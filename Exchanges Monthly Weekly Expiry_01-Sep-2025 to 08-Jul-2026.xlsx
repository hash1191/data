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mank/Claude_Himank/Exchange Monthly Weekly Expiry/Excel Files/"/>
    </mc:Choice>
  </mc:AlternateContent>
  <xr:revisionPtr revIDLastSave="0" documentId="13_ncr:1_{D99E2727-DE71-D748-8C64-94562EDAF226}" xr6:coauthVersionLast="47" xr6:coauthVersionMax="47" xr10:uidLastSave="{00000000-0000-0000-0000-000000000000}"/>
  <bookViews>
    <workbookView xWindow="0" yWindow="600" windowWidth="28800" windowHeight="15940" xr2:uid="{00000000-000D-0000-FFFF-FFFF00000000}"/>
  </bookViews>
  <sheets>
    <sheet name="Quality Check" sheetId="1" r:id="rId1"/>
    <sheet name="Analysis1" sheetId="2" r:id="rId2"/>
    <sheet name="Analysis2" sheetId="3" r:id="rId3"/>
    <sheet name="Analysis3" sheetId="4" r:id="rId4"/>
    <sheet name="Analysis4" sheetId="5" r:id="rId5"/>
    <sheet name="Analysis5" sheetId="6" r:id="rId6"/>
    <sheet name="Analysis6" sheetId="7" r:id="rId7"/>
    <sheet name="Overall Summary" sheetId="8" r:id="rId8"/>
    <sheet name="NSE Summary" sheetId="9" r:id="rId9"/>
    <sheet name="BSE Summary" sheetId="10" r:id="rId10"/>
    <sheet name="NSE - NIFTY Index Options" sheetId="11" r:id="rId11"/>
    <sheet name="NSE - Other Index Options" sheetId="12" r:id="rId12"/>
    <sheet name="BSE - SENSEX Index Options" sheetId="13" r:id="rId13"/>
    <sheet name="BSE - Other Index Options" sheetId="14" r:id="rId14"/>
  </sheets>
  <calcPr calcId="191029"/>
  <pivotCaches>
    <pivotCache cacheId="544" r:id="rId15"/>
    <pivotCache cacheId="549" r:id="rId16"/>
    <pivotCache cacheId="554" r:id="rId17"/>
    <pivotCache cacheId="559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0" l="1"/>
  <c r="B7" i="10"/>
  <c r="B6" i="10"/>
  <c r="B5" i="10"/>
  <c r="B4" i="10"/>
  <c r="B3" i="10"/>
  <c r="B9" i="10" s="1"/>
  <c r="B10" i="9"/>
  <c r="B9" i="9"/>
  <c r="B8" i="9"/>
  <c r="B7" i="9"/>
  <c r="B6" i="9"/>
  <c r="B5" i="9"/>
  <c r="B11" i="9" s="1"/>
  <c r="C8" i="8"/>
  <c r="B8" i="8"/>
  <c r="E8" i="8" s="1"/>
  <c r="F8" i="8" s="1"/>
  <c r="C7" i="8"/>
  <c r="B7" i="8"/>
  <c r="E7" i="8" s="1"/>
  <c r="F7" i="8" s="1"/>
  <c r="C6" i="8"/>
  <c r="B6" i="8"/>
  <c r="E6" i="8" s="1"/>
  <c r="F6" i="8" s="1"/>
  <c r="C5" i="8"/>
  <c r="B5" i="8"/>
  <c r="E5" i="8" s="1"/>
  <c r="F5" i="8" s="1"/>
  <c r="C4" i="8"/>
  <c r="B4" i="8"/>
  <c r="E4" i="8" s="1"/>
  <c r="F4" i="8" s="1"/>
  <c r="C3" i="8"/>
  <c r="C9" i="8" s="1"/>
  <c r="B3" i="8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C99" i="7" s="1"/>
  <c r="B71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C66" i="7" s="1"/>
  <c r="B38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C33" i="7" s="1"/>
  <c r="B5" i="7"/>
  <c r="G571" i="6"/>
  <c r="F571" i="6"/>
  <c r="E571" i="6"/>
  <c r="D571" i="6"/>
  <c r="C571" i="6"/>
  <c r="B571" i="6"/>
  <c r="G570" i="6"/>
  <c r="F570" i="6"/>
  <c r="E570" i="6"/>
  <c r="D570" i="6"/>
  <c r="C570" i="6"/>
  <c r="B570" i="6"/>
  <c r="G569" i="6"/>
  <c r="F569" i="6"/>
  <c r="E569" i="6"/>
  <c r="D569" i="6"/>
  <c r="C569" i="6"/>
  <c r="B569" i="6"/>
  <c r="G568" i="6"/>
  <c r="F568" i="6"/>
  <c r="E568" i="6"/>
  <c r="D568" i="6"/>
  <c r="C568" i="6"/>
  <c r="B568" i="6"/>
  <c r="G567" i="6"/>
  <c r="F567" i="6"/>
  <c r="E567" i="6"/>
  <c r="D567" i="6"/>
  <c r="C567" i="6"/>
  <c r="B567" i="6"/>
  <c r="G566" i="6"/>
  <c r="F566" i="6"/>
  <c r="E566" i="6"/>
  <c r="D566" i="6"/>
  <c r="C566" i="6"/>
  <c r="B566" i="6"/>
  <c r="G565" i="6"/>
  <c r="F565" i="6"/>
  <c r="E565" i="6"/>
  <c r="D565" i="6"/>
  <c r="C565" i="6"/>
  <c r="B565" i="6"/>
  <c r="G564" i="6"/>
  <c r="F564" i="6"/>
  <c r="E564" i="6"/>
  <c r="D564" i="6"/>
  <c r="C564" i="6"/>
  <c r="B564" i="6"/>
  <c r="G563" i="6"/>
  <c r="F563" i="6"/>
  <c r="E563" i="6"/>
  <c r="D563" i="6"/>
  <c r="C563" i="6"/>
  <c r="B563" i="6"/>
  <c r="G562" i="6"/>
  <c r="F562" i="6"/>
  <c r="E562" i="6"/>
  <c r="D562" i="6"/>
  <c r="C562" i="6"/>
  <c r="B562" i="6"/>
  <c r="G561" i="6"/>
  <c r="F561" i="6"/>
  <c r="E561" i="6"/>
  <c r="D561" i="6"/>
  <c r="C561" i="6"/>
  <c r="B561" i="6"/>
  <c r="G560" i="6"/>
  <c r="F560" i="6"/>
  <c r="E560" i="6"/>
  <c r="D560" i="6"/>
  <c r="C560" i="6"/>
  <c r="B560" i="6"/>
  <c r="G559" i="6"/>
  <c r="F559" i="6"/>
  <c r="E559" i="6"/>
  <c r="D559" i="6"/>
  <c r="C559" i="6"/>
  <c r="B559" i="6"/>
  <c r="G558" i="6"/>
  <c r="F558" i="6"/>
  <c r="E558" i="6"/>
  <c r="D558" i="6"/>
  <c r="C558" i="6"/>
  <c r="B558" i="6"/>
  <c r="G557" i="6"/>
  <c r="F557" i="6"/>
  <c r="E557" i="6"/>
  <c r="D557" i="6"/>
  <c r="C557" i="6"/>
  <c r="B557" i="6"/>
  <c r="G556" i="6"/>
  <c r="F556" i="6"/>
  <c r="E556" i="6"/>
  <c r="D556" i="6"/>
  <c r="C556" i="6"/>
  <c r="B556" i="6"/>
  <c r="G555" i="6"/>
  <c r="F555" i="6"/>
  <c r="E555" i="6"/>
  <c r="D555" i="6"/>
  <c r="C555" i="6"/>
  <c r="B555" i="6"/>
  <c r="G554" i="6"/>
  <c r="F554" i="6"/>
  <c r="E554" i="6"/>
  <c r="D554" i="6"/>
  <c r="C554" i="6"/>
  <c r="B554" i="6"/>
  <c r="G553" i="6"/>
  <c r="F553" i="6"/>
  <c r="E553" i="6"/>
  <c r="D553" i="6"/>
  <c r="C553" i="6"/>
  <c r="B553" i="6"/>
  <c r="G552" i="6"/>
  <c r="F552" i="6"/>
  <c r="E552" i="6"/>
  <c r="D552" i="6"/>
  <c r="C552" i="6"/>
  <c r="B552" i="6"/>
  <c r="G551" i="6"/>
  <c r="F551" i="6"/>
  <c r="E551" i="6"/>
  <c r="D551" i="6"/>
  <c r="C551" i="6"/>
  <c r="B551" i="6"/>
  <c r="G550" i="6"/>
  <c r="F550" i="6"/>
  <c r="E550" i="6"/>
  <c r="D550" i="6"/>
  <c r="C550" i="6"/>
  <c r="B550" i="6"/>
  <c r="G549" i="6"/>
  <c r="F549" i="6"/>
  <c r="E549" i="6"/>
  <c r="D549" i="6"/>
  <c r="C549" i="6"/>
  <c r="B549" i="6"/>
  <c r="G548" i="6"/>
  <c r="F548" i="6"/>
  <c r="E548" i="6"/>
  <c r="D548" i="6"/>
  <c r="C548" i="6"/>
  <c r="B548" i="6"/>
  <c r="G547" i="6"/>
  <c r="F547" i="6"/>
  <c r="E547" i="6"/>
  <c r="D547" i="6"/>
  <c r="C547" i="6"/>
  <c r="B547" i="6"/>
  <c r="G546" i="6"/>
  <c r="F546" i="6"/>
  <c r="E546" i="6"/>
  <c r="D546" i="6"/>
  <c r="C546" i="6"/>
  <c r="B546" i="6"/>
  <c r="G545" i="6"/>
  <c r="F545" i="6"/>
  <c r="E545" i="6"/>
  <c r="D545" i="6"/>
  <c r="C545" i="6"/>
  <c r="B545" i="6"/>
  <c r="G544" i="6"/>
  <c r="F544" i="6"/>
  <c r="E544" i="6"/>
  <c r="D544" i="6"/>
  <c r="C544" i="6"/>
  <c r="B544" i="6"/>
  <c r="G543" i="6"/>
  <c r="F543" i="6"/>
  <c r="E543" i="6"/>
  <c r="D543" i="6"/>
  <c r="C543" i="6"/>
  <c r="B543" i="6"/>
  <c r="G542" i="6"/>
  <c r="F542" i="6"/>
  <c r="E542" i="6"/>
  <c r="D542" i="6"/>
  <c r="C542" i="6"/>
  <c r="B542" i="6"/>
  <c r="G541" i="6"/>
  <c r="F541" i="6"/>
  <c r="E541" i="6"/>
  <c r="D541" i="6"/>
  <c r="C541" i="6"/>
  <c r="B541" i="6"/>
  <c r="G540" i="6"/>
  <c r="F540" i="6"/>
  <c r="E540" i="6"/>
  <c r="D540" i="6"/>
  <c r="C540" i="6"/>
  <c r="B540" i="6"/>
  <c r="G539" i="6"/>
  <c r="F539" i="6"/>
  <c r="E539" i="6"/>
  <c r="D539" i="6"/>
  <c r="C539" i="6"/>
  <c r="B539" i="6"/>
  <c r="G538" i="6"/>
  <c r="F538" i="6"/>
  <c r="E538" i="6"/>
  <c r="D538" i="6"/>
  <c r="C538" i="6"/>
  <c r="B538" i="6"/>
  <c r="G537" i="6"/>
  <c r="F537" i="6"/>
  <c r="E537" i="6"/>
  <c r="D537" i="6"/>
  <c r="C537" i="6"/>
  <c r="B537" i="6"/>
  <c r="G536" i="6"/>
  <c r="F536" i="6"/>
  <c r="E536" i="6"/>
  <c r="D536" i="6"/>
  <c r="C536" i="6"/>
  <c r="B536" i="6"/>
  <c r="G535" i="6"/>
  <c r="F535" i="6"/>
  <c r="E535" i="6"/>
  <c r="D535" i="6"/>
  <c r="C535" i="6"/>
  <c r="B535" i="6"/>
  <c r="G534" i="6"/>
  <c r="F534" i="6"/>
  <c r="E534" i="6"/>
  <c r="D534" i="6"/>
  <c r="C534" i="6"/>
  <c r="B534" i="6"/>
  <c r="G533" i="6"/>
  <c r="F533" i="6"/>
  <c r="E533" i="6"/>
  <c r="D533" i="6"/>
  <c r="C533" i="6"/>
  <c r="B533" i="6"/>
  <c r="G532" i="6"/>
  <c r="F532" i="6"/>
  <c r="E532" i="6"/>
  <c r="D532" i="6"/>
  <c r="C532" i="6"/>
  <c r="B532" i="6"/>
  <c r="G531" i="6"/>
  <c r="F531" i="6"/>
  <c r="E531" i="6"/>
  <c r="D531" i="6"/>
  <c r="C531" i="6"/>
  <c r="B531" i="6"/>
  <c r="G530" i="6"/>
  <c r="F530" i="6"/>
  <c r="E530" i="6"/>
  <c r="D530" i="6"/>
  <c r="C530" i="6"/>
  <c r="B530" i="6"/>
  <c r="G529" i="6"/>
  <c r="F529" i="6"/>
  <c r="E529" i="6"/>
  <c r="D529" i="6"/>
  <c r="C529" i="6"/>
  <c r="B529" i="6"/>
  <c r="G528" i="6"/>
  <c r="F528" i="6"/>
  <c r="E528" i="6"/>
  <c r="D528" i="6"/>
  <c r="C528" i="6"/>
  <c r="B528" i="6"/>
  <c r="G527" i="6"/>
  <c r="F527" i="6"/>
  <c r="E527" i="6"/>
  <c r="D527" i="6"/>
  <c r="C527" i="6"/>
  <c r="B527" i="6"/>
  <c r="G526" i="6"/>
  <c r="F526" i="6"/>
  <c r="E526" i="6"/>
  <c r="D526" i="6"/>
  <c r="C526" i="6"/>
  <c r="B526" i="6"/>
  <c r="G525" i="6"/>
  <c r="F525" i="6"/>
  <c r="E525" i="6"/>
  <c r="D525" i="6"/>
  <c r="C525" i="6"/>
  <c r="B525" i="6"/>
  <c r="G524" i="6"/>
  <c r="F524" i="6"/>
  <c r="E524" i="6"/>
  <c r="D524" i="6"/>
  <c r="C524" i="6"/>
  <c r="B524" i="6"/>
  <c r="G523" i="6"/>
  <c r="F523" i="6"/>
  <c r="E523" i="6"/>
  <c r="D523" i="6"/>
  <c r="C523" i="6"/>
  <c r="B523" i="6"/>
  <c r="G522" i="6"/>
  <c r="F522" i="6"/>
  <c r="E522" i="6"/>
  <c r="D522" i="6"/>
  <c r="C522" i="6"/>
  <c r="B522" i="6"/>
  <c r="G521" i="6"/>
  <c r="F521" i="6"/>
  <c r="E521" i="6"/>
  <c r="D521" i="6"/>
  <c r="C521" i="6"/>
  <c r="B521" i="6"/>
  <c r="G520" i="6"/>
  <c r="F520" i="6"/>
  <c r="E520" i="6"/>
  <c r="D520" i="6"/>
  <c r="C520" i="6"/>
  <c r="B520" i="6"/>
  <c r="G519" i="6"/>
  <c r="F519" i="6"/>
  <c r="E519" i="6"/>
  <c r="D519" i="6"/>
  <c r="C519" i="6"/>
  <c r="B519" i="6"/>
  <c r="G518" i="6"/>
  <c r="F518" i="6"/>
  <c r="E518" i="6"/>
  <c r="D518" i="6"/>
  <c r="C518" i="6"/>
  <c r="B518" i="6"/>
  <c r="G517" i="6"/>
  <c r="F517" i="6"/>
  <c r="E517" i="6"/>
  <c r="D517" i="6"/>
  <c r="C517" i="6"/>
  <c r="B517" i="6"/>
  <c r="G516" i="6"/>
  <c r="F516" i="6"/>
  <c r="E516" i="6"/>
  <c r="D516" i="6"/>
  <c r="C516" i="6"/>
  <c r="B516" i="6"/>
  <c r="G515" i="6"/>
  <c r="F515" i="6"/>
  <c r="E515" i="6"/>
  <c r="D515" i="6"/>
  <c r="C515" i="6"/>
  <c r="B515" i="6"/>
  <c r="G514" i="6"/>
  <c r="F514" i="6"/>
  <c r="E514" i="6"/>
  <c r="D514" i="6"/>
  <c r="C514" i="6"/>
  <c r="B514" i="6"/>
  <c r="G513" i="6"/>
  <c r="F513" i="6"/>
  <c r="E513" i="6"/>
  <c r="D513" i="6"/>
  <c r="C513" i="6"/>
  <c r="B513" i="6"/>
  <c r="G512" i="6"/>
  <c r="F512" i="6"/>
  <c r="E512" i="6"/>
  <c r="D512" i="6"/>
  <c r="C512" i="6"/>
  <c r="B512" i="6"/>
  <c r="G511" i="6"/>
  <c r="F511" i="6"/>
  <c r="E511" i="6"/>
  <c r="D511" i="6"/>
  <c r="C511" i="6"/>
  <c r="B511" i="6"/>
  <c r="G510" i="6"/>
  <c r="F510" i="6"/>
  <c r="E510" i="6"/>
  <c r="D510" i="6"/>
  <c r="C510" i="6"/>
  <c r="B510" i="6"/>
  <c r="G509" i="6"/>
  <c r="F509" i="6"/>
  <c r="E509" i="6"/>
  <c r="D509" i="6"/>
  <c r="C509" i="6"/>
  <c r="B509" i="6"/>
  <c r="G508" i="6"/>
  <c r="F508" i="6"/>
  <c r="E508" i="6"/>
  <c r="D508" i="6"/>
  <c r="C508" i="6"/>
  <c r="B508" i="6"/>
  <c r="G507" i="6"/>
  <c r="F507" i="6"/>
  <c r="E507" i="6"/>
  <c r="D507" i="6"/>
  <c r="C507" i="6"/>
  <c r="B507" i="6"/>
  <c r="G506" i="6"/>
  <c r="F506" i="6"/>
  <c r="E506" i="6"/>
  <c r="D506" i="6"/>
  <c r="C506" i="6"/>
  <c r="B506" i="6"/>
  <c r="G505" i="6"/>
  <c r="F505" i="6"/>
  <c r="E505" i="6"/>
  <c r="D505" i="6"/>
  <c r="C505" i="6"/>
  <c r="B505" i="6"/>
  <c r="G504" i="6"/>
  <c r="F504" i="6"/>
  <c r="E504" i="6"/>
  <c r="D504" i="6"/>
  <c r="C504" i="6"/>
  <c r="B504" i="6"/>
  <c r="G503" i="6"/>
  <c r="F503" i="6"/>
  <c r="E503" i="6"/>
  <c r="D503" i="6"/>
  <c r="C503" i="6"/>
  <c r="B503" i="6"/>
  <c r="G502" i="6"/>
  <c r="F502" i="6"/>
  <c r="E502" i="6"/>
  <c r="D502" i="6"/>
  <c r="C502" i="6"/>
  <c r="B502" i="6"/>
  <c r="G501" i="6"/>
  <c r="F501" i="6"/>
  <c r="E501" i="6"/>
  <c r="D501" i="6"/>
  <c r="C501" i="6"/>
  <c r="B501" i="6"/>
  <c r="G500" i="6"/>
  <c r="F500" i="6"/>
  <c r="E500" i="6"/>
  <c r="D500" i="6"/>
  <c r="C500" i="6"/>
  <c r="B500" i="6"/>
  <c r="G499" i="6"/>
  <c r="F499" i="6"/>
  <c r="E499" i="6"/>
  <c r="D499" i="6"/>
  <c r="C499" i="6"/>
  <c r="B499" i="6"/>
  <c r="G498" i="6"/>
  <c r="F498" i="6"/>
  <c r="E498" i="6"/>
  <c r="D498" i="6"/>
  <c r="C498" i="6"/>
  <c r="B498" i="6"/>
  <c r="G497" i="6"/>
  <c r="F497" i="6"/>
  <c r="E497" i="6"/>
  <c r="D497" i="6"/>
  <c r="C497" i="6"/>
  <c r="B497" i="6"/>
  <c r="G496" i="6"/>
  <c r="F496" i="6"/>
  <c r="E496" i="6"/>
  <c r="D496" i="6"/>
  <c r="C496" i="6"/>
  <c r="B496" i="6"/>
  <c r="G495" i="6"/>
  <c r="F495" i="6"/>
  <c r="E495" i="6"/>
  <c r="D495" i="6"/>
  <c r="C495" i="6"/>
  <c r="B495" i="6"/>
  <c r="G494" i="6"/>
  <c r="F494" i="6"/>
  <c r="E494" i="6"/>
  <c r="D494" i="6"/>
  <c r="C494" i="6"/>
  <c r="B494" i="6"/>
  <c r="G493" i="6"/>
  <c r="F493" i="6"/>
  <c r="E493" i="6"/>
  <c r="D493" i="6"/>
  <c r="C493" i="6"/>
  <c r="B493" i="6"/>
  <c r="G492" i="6"/>
  <c r="F492" i="6"/>
  <c r="E492" i="6"/>
  <c r="D492" i="6"/>
  <c r="C492" i="6"/>
  <c r="B492" i="6"/>
  <c r="G491" i="6"/>
  <c r="F491" i="6"/>
  <c r="E491" i="6"/>
  <c r="D491" i="6"/>
  <c r="C491" i="6"/>
  <c r="B491" i="6"/>
  <c r="G490" i="6"/>
  <c r="F490" i="6"/>
  <c r="E490" i="6"/>
  <c r="D490" i="6"/>
  <c r="C490" i="6"/>
  <c r="B490" i="6"/>
  <c r="G489" i="6"/>
  <c r="F489" i="6"/>
  <c r="E489" i="6"/>
  <c r="D489" i="6"/>
  <c r="C489" i="6"/>
  <c r="B489" i="6"/>
  <c r="G488" i="6"/>
  <c r="F488" i="6"/>
  <c r="E488" i="6"/>
  <c r="D488" i="6"/>
  <c r="C488" i="6"/>
  <c r="B488" i="6"/>
  <c r="G487" i="6"/>
  <c r="F487" i="6"/>
  <c r="E487" i="6"/>
  <c r="D487" i="6"/>
  <c r="C487" i="6"/>
  <c r="B487" i="6"/>
  <c r="G486" i="6"/>
  <c r="F486" i="6"/>
  <c r="E486" i="6"/>
  <c r="D486" i="6"/>
  <c r="C486" i="6"/>
  <c r="B486" i="6"/>
  <c r="G485" i="6"/>
  <c r="F485" i="6"/>
  <c r="E485" i="6"/>
  <c r="D485" i="6"/>
  <c r="C485" i="6"/>
  <c r="B485" i="6"/>
  <c r="G484" i="6"/>
  <c r="F484" i="6"/>
  <c r="E484" i="6"/>
  <c r="D484" i="6"/>
  <c r="C484" i="6"/>
  <c r="B484" i="6"/>
  <c r="G483" i="6"/>
  <c r="F483" i="6"/>
  <c r="E483" i="6"/>
  <c r="D483" i="6"/>
  <c r="C483" i="6"/>
  <c r="B483" i="6"/>
  <c r="G482" i="6"/>
  <c r="F482" i="6"/>
  <c r="E482" i="6"/>
  <c r="D482" i="6"/>
  <c r="C482" i="6"/>
  <c r="B482" i="6"/>
  <c r="G481" i="6"/>
  <c r="F481" i="6"/>
  <c r="E481" i="6"/>
  <c r="D481" i="6"/>
  <c r="C481" i="6"/>
  <c r="B481" i="6"/>
  <c r="G480" i="6"/>
  <c r="F480" i="6"/>
  <c r="E480" i="6"/>
  <c r="D480" i="6"/>
  <c r="C480" i="6"/>
  <c r="B480" i="6"/>
  <c r="G479" i="6"/>
  <c r="F479" i="6"/>
  <c r="E479" i="6"/>
  <c r="D479" i="6"/>
  <c r="C479" i="6"/>
  <c r="B479" i="6"/>
  <c r="G478" i="6"/>
  <c r="F478" i="6"/>
  <c r="E478" i="6"/>
  <c r="D478" i="6"/>
  <c r="C478" i="6"/>
  <c r="B478" i="6"/>
  <c r="G477" i="6"/>
  <c r="F477" i="6"/>
  <c r="E477" i="6"/>
  <c r="D477" i="6"/>
  <c r="C477" i="6"/>
  <c r="B477" i="6"/>
  <c r="G476" i="6"/>
  <c r="F476" i="6"/>
  <c r="E476" i="6"/>
  <c r="D476" i="6"/>
  <c r="C476" i="6"/>
  <c r="B476" i="6"/>
  <c r="G475" i="6"/>
  <c r="F475" i="6"/>
  <c r="E475" i="6"/>
  <c r="D475" i="6"/>
  <c r="C475" i="6"/>
  <c r="B475" i="6"/>
  <c r="G474" i="6"/>
  <c r="F474" i="6"/>
  <c r="E474" i="6"/>
  <c r="D474" i="6"/>
  <c r="C474" i="6"/>
  <c r="B474" i="6"/>
  <c r="G473" i="6"/>
  <c r="F473" i="6"/>
  <c r="E473" i="6"/>
  <c r="D473" i="6"/>
  <c r="C473" i="6"/>
  <c r="B473" i="6"/>
  <c r="G472" i="6"/>
  <c r="F472" i="6"/>
  <c r="E472" i="6"/>
  <c r="D472" i="6"/>
  <c r="C472" i="6"/>
  <c r="B472" i="6"/>
  <c r="G471" i="6"/>
  <c r="F471" i="6"/>
  <c r="E471" i="6"/>
  <c r="D471" i="6"/>
  <c r="C471" i="6"/>
  <c r="B471" i="6"/>
  <c r="G470" i="6"/>
  <c r="F470" i="6"/>
  <c r="E470" i="6"/>
  <c r="D470" i="6"/>
  <c r="C470" i="6"/>
  <c r="B470" i="6"/>
  <c r="G469" i="6"/>
  <c r="F469" i="6"/>
  <c r="E469" i="6"/>
  <c r="D469" i="6"/>
  <c r="C469" i="6"/>
  <c r="B469" i="6"/>
  <c r="G468" i="6"/>
  <c r="F468" i="6"/>
  <c r="E468" i="6"/>
  <c r="D468" i="6"/>
  <c r="C468" i="6"/>
  <c r="B468" i="6"/>
  <c r="G467" i="6"/>
  <c r="F467" i="6"/>
  <c r="E467" i="6"/>
  <c r="D467" i="6"/>
  <c r="C467" i="6"/>
  <c r="B467" i="6"/>
  <c r="G466" i="6"/>
  <c r="F466" i="6"/>
  <c r="E466" i="6"/>
  <c r="D466" i="6"/>
  <c r="C466" i="6"/>
  <c r="B466" i="6"/>
  <c r="G465" i="6"/>
  <c r="F465" i="6"/>
  <c r="E465" i="6"/>
  <c r="D465" i="6"/>
  <c r="C465" i="6"/>
  <c r="B465" i="6"/>
  <c r="G464" i="6"/>
  <c r="F464" i="6"/>
  <c r="E464" i="6"/>
  <c r="D464" i="6"/>
  <c r="C464" i="6"/>
  <c r="B464" i="6"/>
  <c r="G463" i="6"/>
  <c r="F463" i="6"/>
  <c r="E463" i="6"/>
  <c r="D463" i="6"/>
  <c r="C463" i="6"/>
  <c r="B463" i="6"/>
  <c r="G462" i="6"/>
  <c r="F462" i="6"/>
  <c r="E462" i="6"/>
  <c r="D462" i="6"/>
  <c r="C462" i="6"/>
  <c r="B462" i="6"/>
  <c r="G461" i="6"/>
  <c r="F461" i="6"/>
  <c r="E461" i="6"/>
  <c r="D461" i="6"/>
  <c r="C461" i="6"/>
  <c r="B461" i="6"/>
  <c r="G460" i="6"/>
  <c r="F460" i="6"/>
  <c r="E460" i="6"/>
  <c r="D460" i="6"/>
  <c r="C460" i="6"/>
  <c r="B460" i="6"/>
  <c r="G459" i="6"/>
  <c r="F459" i="6"/>
  <c r="E459" i="6"/>
  <c r="D459" i="6"/>
  <c r="C459" i="6"/>
  <c r="B459" i="6"/>
  <c r="G458" i="6"/>
  <c r="F458" i="6"/>
  <c r="E458" i="6"/>
  <c r="D458" i="6"/>
  <c r="C458" i="6"/>
  <c r="B458" i="6"/>
  <c r="G457" i="6"/>
  <c r="F457" i="6"/>
  <c r="E457" i="6"/>
  <c r="D457" i="6"/>
  <c r="C457" i="6"/>
  <c r="B457" i="6"/>
  <c r="G456" i="6"/>
  <c r="F456" i="6"/>
  <c r="E456" i="6"/>
  <c r="D456" i="6"/>
  <c r="C456" i="6"/>
  <c r="B456" i="6"/>
  <c r="G455" i="6"/>
  <c r="F455" i="6"/>
  <c r="E455" i="6"/>
  <c r="D455" i="6"/>
  <c r="C455" i="6"/>
  <c r="B455" i="6"/>
  <c r="G454" i="6"/>
  <c r="F454" i="6"/>
  <c r="E454" i="6"/>
  <c r="D454" i="6"/>
  <c r="C454" i="6"/>
  <c r="B454" i="6"/>
  <c r="G453" i="6"/>
  <c r="F453" i="6"/>
  <c r="E453" i="6"/>
  <c r="D453" i="6"/>
  <c r="C453" i="6"/>
  <c r="B453" i="6"/>
  <c r="G452" i="6"/>
  <c r="F452" i="6"/>
  <c r="E452" i="6"/>
  <c r="D452" i="6"/>
  <c r="C452" i="6"/>
  <c r="B452" i="6"/>
  <c r="G451" i="6"/>
  <c r="F451" i="6"/>
  <c r="E451" i="6"/>
  <c r="D451" i="6"/>
  <c r="C451" i="6"/>
  <c r="B451" i="6"/>
  <c r="G450" i="6"/>
  <c r="F450" i="6"/>
  <c r="E450" i="6"/>
  <c r="D450" i="6"/>
  <c r="C450" i="6"/>
  <c r="B450" i="6"/>
  <c r="G449" i="6"/>
  <c r="F449" i="6"/>
  <c r="E449" i="6"/>
  <c r="D449" i="6"/>
  <c r="C449" i="6"/>
  <c r="B449" i="6"/>
  <c r="G448" i="6"/>
  <c r="F448" i="6"/>
  <c r="E448" i="6"/>
  <c r="D448" i="6"/>
  <c r="C448" i="6"/>
  <c r="B448" i="6"/>
  <c r="G447" i="6"/>
  <c r="F447" i="6"/>
  <c r="E447" i="6"/>
  <c r="D447" i="6"/>
  <c r="C447" i="6"/>
  <c r="B447" i="6"/>
  <c r="G446" i="6"/>
  <c r="F446" i="6"/>
  <c r="E446" i="6"/>
  <c r="D446" i="6"/>
  <c r="C446" i="6"/>
  <c r="B446" i="6"/>
  <c r="G445" i="6"/>
  <c r="F445" i="6"/>
  <c r="E445" i="6"/>
  <c r="D445" i="6"/>
  <c r="C445" i="6"/>
  <c r="B445" i="6"/>
  <c r="G444" i="6"/>
  <c r="F444" i="6"/>
  <c r="E444" i="6"/>
  <c r="D444" i="6"/>
  <c r="C444" i="6"/>
  <c r="B444" i="6"/>
  <c r="G443" i="6"/>
  <c r="F443" i="6"/>
  <c r="E443" i="6"/>
  <c r="D443" i="6"/>
  <c r="C443" i="6"/>
  <c r="B443" i="6"/>
  <c r="G442" i="6"/>
  <c r="F442" i="6"/>
  <c r="E442" i="6"/>
  <c r="D442" i="6"/>
  <c r="C442" i="6"/>
  <c r="B442" i="6"/>
  <c r="G441" i="6"/>
  <c r="F441" i="6"/>
  <c r="E441" i="6"/>
  <c r="D441" i="6"/>
  <c r="C441" i="6"/>
  <c r="B441" i="6"/>
  <c r="G440" i="6"/>
  <c r="F440" i="6"/>
  <c r="E440" i="6"/>
  <c r="D440" i="6"/>
  <c r="C440" i="6"/>
  <c r="B440" i="6"/>
  <c r="G439" i="6"/>
  <c r="F439" i="6"/>
  <c r="E439" i="6"/>
  <c r="D439" i="6"/>
  <c r="C439" i="6"/>
  <c r="B439" i="6"/>
  <c r="G438" i="6"/>
  <c r="F438" i="6"/>
  <c r="E438" i="6"/>
  <c r="D438" i="6"/>
  <c r="C438" i="6"/>
  <c r="B438" i="6"/>
  <c r="G437" i="6"/>
  <c r="F437" i="6"/>
  <c r="E437" i="6"/>
  <c r="D437" i="6"/>
  <c r="C437" i="6"/>
  <c r="B437" i="6"/>
  <c r="G436" i="6"/>
  <c r="F436" i="6"/>
  <c r="E436" i="6"/>
  <c r="D436" i="6"/>
  <c r="C436" i="6"/>
  <c r="B436" i="6"/>
  <c r="G435" i="6"/>
  <c r="F435" i="6"/>
  <c r="E435" i="6"/>
  <c r="D435" i="6"/>
  <c r="C435" i="6"/>
  <c r="B435" i="6"/>
  <c r="G434" i="6"/>
  <c r="F434" i="6"/>
  <c r="E434" i="6"/>
  <c r="D434" i="6"/>
  <c r="C434" i="6"/>
  <c r="B434" i="6"/>
  <c r="G428" i="6"/>
  <c r="F428" i="6"/>
  <c r="E428" i="6"/>
  <c r="D428" i="6"/>
  <c r="C428" i="6"/>
  <c r="B428" i="6"/>
  <c r="G427" i="6"/>
  <c r="F427" i="6"/>
  <c r="E427" i="6"/>
  <c r="D427" i="6"/>
  <c r="C427" i="6"/>
  <c r="B427" i="6"/>
  <c r="G426" i="6"/>
  <c r="F426" i="6"/>
  <c r="E426" i="6"/>
  <c r="D426" i="6"/>
  <c r="C426" i="6"/>
  <c r="B426" i="6"/>
  <c r="G425" i="6"/>
  <c r="F425" i="6"/>
  <c r="E425" i="6"/>
  <c r="D425" i="6"/>
  <c r="C425" i="6"/>
  <c r="B425" i="6"/>
  <c r="G424" i="6"/>
  <c r="F424" i="6"/>
  <c r="E424" i="6"/>
  <c r="D424" i="6"/>
  <c r="C424" i="6"/>
  <c r="B424" i="6"/>
  <c r="G423" i="6"/>
  <c r="F423" i="6"/>
  <c r="E423" i="6"/>
  <c r="D423" i="6"/>
  <c r="C423" i="6"/>
  <c r="B423" i="6"/>
  <c r="G422" i="6"/>
  <c r="F422" i="6"/>
  <c r="E422" i="6"/>
  <c r="D422" i="6"/>
  <c r="C422" i="6"/>
  <c r="B422" i="6"/>
  <c r="G421" i="6"/>
  <c r="F421" i="6"/>
  <c r="E421" i="6"/>
  <c r="D421" i="6"/>
  <c r="C421" i="6"/>
  <c r="B421" i="6"/>
  <c r="G420" i="6"/>
  <c r="F420" i="6"/>
  <c r="E420" i="6"/>
  <c r="D420" i="6"/>
  <c r="C420" i="6"/>
  <c r="B420" i="6"/>
  <c r="G419" i="6"/>
  <c r="F419" i="6"/>
  <c r="E419" i="6"/>
  <c r="D419" i="6"/>
  <c r="C419" i="6"/>
  <c r="B419" i="6"/>
  <c r="G418" i="6"/>
  <c r="F418" i="6"/>
  <c r="E418" i="6"/>
  <c r="D418" i="6"/>
  <c r="C418" i="6"/>
  <c r="B418" i="6"/>
  <c r="G417" i="6"/>
  <c r="F417" i="6"/>
  <c r="E417" i="6"/>
  <c r="D417" i="6"/>
  <c r="C417" i="6"/>
  <c r="B417" i="6"/>
  <c r="G416" i="6"/>
  <c r="F416" i="6"/>
  <c r="E416" i="6"/>
  <c r="D416" i="6"/>
  <c r="C416" i="6"/>
  <c r="B416" i="6"/>
  <c r="G415" i="6"/>
  <c r="F415" i="6"/>
  <c r="E415" i="6"/>
  <c r="D415" i="6"/>
  <c r="C415" i="6"/>
  <c r="B415" i="6"/>
  <c r="G414" i="6"/>
  <c r="F414" i="6"/>
  <c r="E414" i="6"/>
  <c r="D414" i="6"/>
  <c r="C414" i="6"/>
  <c r="B414" i="6"/>
  <c r="G413" i="6"/>
  <c r="F413" i="6"/>
  <c r="E413" i="6"/>
  <c r="D413" i="6"/>
  <c r="C413" i="6"/>
  <c r="B413" i="6"/>
  <c r="G412" i="6"/>
  <c r="F412" i="6"/>
  <c r="E412" i="6"/>
  <c r="D412" i="6"/>
  <c r="C412" i="6"/>
  <c r="B412" i="6"/>
  <c r="G411" i="6"/>
  <c r="F411" i="6"/>
  <c r="E411" i="6"/>
  <c r="D411" i="6"/>
  <c r="C411" i="6"/>
  <c r="B411" i="6"/>
  <c r="G410" i="6"/>
  <c r="F410" i="6"/>
  <c r="E410" i="6"/>
  <c r="D410" i="6"/>
  <c r="C410" i="6"/>
  <c r="B410" i="6"/>
  <c r="G409" i="6"/>
  <c r="F409" i="6"/>
  <c r="E409" i="6"/>
  <c r="D409" i="6"/>
  <c r="C409" i="6"/>
  <c r="B409" i="6"/>
  <c r="G408" i="6"/>
  <c r="F408" i="6"/>
  <c r="E408" i="6"/>
  <c r="D408" i="6"/>
  <c r="C408" i="6"/>
  <c r="B408" i="6"/>
  <c r="G407" i="6"/>
  <c r="F407" i="6"/>
  <c r="E407" i="6"/>
  <c r="D407" i="6"/>
  <c r="C407" i="6"/>
  <c r="B407" i="6"/>
  <c r="G406" i="6"/>
  <c r="F406" i="6"/>
  <c r="E406" i="6"/>
  <c r="D406" i="6"/>
  <c r="C406" i="6"/>
  <c r="B406" i="6"/>
  <c r="G405" i="6"/>
  <c r="F405" i="6"/>
  <c r="E405" i="6"/>
  <c r="D405" i="6"/>
  <c r="C405" i="6"/>
  <c r="B405" i="6"/>
  <c r="G404" i="6"/>
  <c r="F404" i="6"/>
  <c r="E404" i="6"/>
  <c r="D404" i="6"/>
  <c r="C404" i="6"/>
  <c r="B404" i="6"/>
  <c r="G403" i="6"/>
  <c r="F403" i="6"/>
  <c r="E403" i="6"/>
  <c r="D403" i="6"/>
  <c r="C403" i="6"/>
  <c r="B403" i="6"/>
  <c r="G402" i="6"/>
  <c r="F402" i="6"/>
  <c r="E402" i="6"/>
  <c r="D402" i="6"/>
  <c r="C402" i="6"/>
  <c r="B402" i="6"/>
  <c r="G401" i="6"/>
  <c r="F401" i="6"/>
  <c r="E401" i="6"/>
  <c r="D401" i="6"/>
  <c r="C401" i="6"/>
  <c r="B401" i="6"/>
  <c r="G400" i="6"/>
  <c r="F400" i="6"/>
  <c r="E400" i="6"/>
  <c r="D400" i="6"/>
  <c r="C400" i="6"/>
  <c r="B400" i="6"/>
  <c r="G399" i="6"/>
  <c r="F399" i="6"/>
  <c r="E399" i="6"/>
  <c r="D399" i="6"/>
  <c r="C399" i="6"/>
  <c r="B399" i="6"/>
  <c r="G398" i="6"/>
  <c r="F398" i="6"/>
  <c r="E398" i="6"/>
  <c r="D398" i="6"/>
  <c r="C398" i="6"/>
  <c r="B398" i="6"/>
  <c r="G397" i="6"/>
  <c r="F397" i="6"/>
  <c r="E397" i="6"/>
  <c r="D397" i="6"/>
  <c r="C397" i="6"/>
  <c r="B397" i="6"/>
  <c r="G396" i="6"/>
  <c r="F396" i="6"/>
  <c r="E396" i="6"/>
  <c r="D396" i="6"/>
  <c r="C396" i="6"/>
  <c r="B396" i="6"/>
  <c r="G395" i="6"/>
  <c r="F395" i="6"/>
  <c r="E395" i="6"/>
  <c r="D395" i="6"/>
  <c r="C395" i="6"/>
  <c r="B395" i="6"/>
  <c r="G394" i="6"/>
  <c r="F394" i="6"/>
  <c r="E394" i="6"/>
  <c r="D394" i="6"/>
  <c r="C394" i="6"/>
  <c r="B394" i="6"/>
  <c r="G393" i="6"/>
  <c r="F393" i="6"/>
  <c r="E393" i="6"/>
  <c r="D393" i="6"/>
  <c r="C393" i="6"/>
  <c r="B393" i="6"/>
  <c r="G392" i="6"/>
  <c r="F392" i="6"/>
  <c r="E392" i="6"/>
  <c r="D392" i="6"/>
  <c r="C392" i="6"/>
  <c r="B392" i="6"/>
  <c r="G391" i="6"/>
  <c r="F391" i="6"/>
  <c r="E391" i="6"/>
  <c r="D391" i="6"/>
  <c r="C391" i="6"/>
  <c r="B391" i="6"/>
  <c r="G390" i="6"/>
  <c r="F390" i="6"/>
  <c r="E390" i="6"/>
  <c r="D390" i="6"/>
  <c r="C390" i="6"/>
  <c r="B390" i="6"/>
  <c r="G389" i="6"/>
  <c r="F389" i="6"/>
  <c r="E389" i="6"/>
  <c r="D389" i="6"/>
  <c r="C389" i="6"/>
  <c r="B389" i="6"/>
  <c r="G388" i="6"/>
  <c r="F388" i="6"/>
  <c r="E388" i="6"/>
  <c r="D388" i="6"/>
  <c r="C388" i="6"/>
  <c r="B388" i="6"/>
  <c r="G387" i="6"/>
  <c r="F387" i="6"/>
  <c r="E387" i="6"/>
  <c r="D387" i="6"/>
  <c r="C387" i="6"/>
  <c r="B387" i="6"/>
  <c r="G386" i="6"/>
  <c r="F386" i="6"/>
  <c r="E386" i="6"/>
  <c r="D386" i="6"/>
  <c r="C386" i="6"/>
  <c r="B386" i="6"/>
  <c r="G385" i="6"/>
  <c r="F385" i="6"/>
  <c r="E385" i="6"/>
  <c r="D385" i="6"/>
  <c r="C385" i="6"/>
  <c r="B385" i="6"/>
  <c r="G384" i="6"/>
  <c r="F384" i="6"/>
  <c r="E384" i="6"/>
  <c r="D384" i="6"/>
  <c r="C384" i="6"/>
  <c r="B384" i="6"/>
  <c r="G383" i="6"/>
  <c r="F383" i="6"/>
  <c r="E383" i="6"/>
  <c r="D383" i="6"/>
  <c r="C383" i="6"/>
  <c r="B383" i="6"/>
  <c r="G382" i="6"/>
  <c r="F382" i="6"/>
  <c r="E382" i="6"/>
  <c r="D382" i="6"/>
  <c r="C382" i="6"/>
  <c r="B382" i="6"/>
  <c r="G381" i="6"/>
  <c r="F381" i="6"/>
  <c r="E381" i="6"/>
  <c r="D381" i="6"/>
  <c r="C381" i="6"/>
  <c r="B381" i="6"/>
  <c r="G380" i="6"/>
  <c r="F380" i="6"/>
  <c r="E380" i="6"/>
  <c r="D380" i="6"/>
  <c r="G285" i="6"/>
  <c r="F285" i="6"/>
  <c r="E285" i="6"/>
  <c r="D285" i="6"/>
  <c r="C285" i="6"/>
  <c r="B285" i="6"/>
  <c r="H285" i="6" s="1"/>
  <c r="G284" i="6"/>
  <c r="F284" i="6"/>
  <c r="E284" i="6"/>
  <c r="D284" i="6"/>
  <c r="C284" i="6"/>
  <c r="B284" i="6"/>
  <c r="H284" i="6" s="1"/>
  <c r="G283" i="6"/>
  <c r="F283" i="6"/>
  <c r="E283" i="6"/>
  <c r="D283" i="6"/>
  <c r="C283" i="6"/>
  <c r="B283" i="6"/>
  <c r="H283" i="6" s="1"/>
  <c r="G282" i="6"/>
  <c r="F282" i="6"/>
  <c r="E282" i="6"/>
  <c r="D282" i="6"/>
  <c r="C282" i="6"/>
  <c r="B282" i="6"/>
  <c r="H282" i="6" s="1"/>
  <c r="G281" i="6"/>
  <c r="F281" i="6"/>
  <c r="E281" i="6"/>
  <c r="D281" i="6"/>
  <c r="C281" i="6"/>
  <c r="B281" i="6"/>
  <c r="H281" i="6" s="1"/>
  <c r="G280" i="6"/>
  <c r="F280" i="6"/>
  <c r="E280" i="6"/>
  <c r="D280" i="6"/>
  <c r="C280" i="6"/>
  <c r="B280" i="6"/>
  <c r="H280" i="6" s="1"/>
  <c r="G279" i="6"/>
  <c r="F279" i="6"/>
  <c r="E279" i="6"/>
  <c r="D279" i="6"/>
  <c r="C279" i="6"/>
  <c r="B279" i="6"/>
  <c r="H279" i="6" s="1"/>
  <c r="G278" i="6"/>
  <c r="F278" i="6"/>
  <c r="E278" i="6"/>
  <c r="D278" i="6"/>
  <c r="C278" i="6"/>
  <c r="B278" i="6"/>
  <c r="H278" i="6" s="1"/>
  <c r="G277" i="6"/>
  <c r="F277" i="6"/>
  <c r="E277" i="6"/>
  <c r="D277" i="6"/>
  <c r="C277" i="6"/>
  <c r="B277" i="6"/>
  <c r="H277" i="6" s="1"/>
  <c r="G276" i="6"/>
  <c r="F276" i="6"/>
  <c r="E276" i="6"/>
  <c r="D276" i="6"/>
  <c r="C276" i="6"/>
  <c r="B276" i="6"/>
  <c r="H276" i="6" s="1"/>
  <c r="G275" i="6"/>
  <c r="F275" i="6"/>
  <c r="E275" i="6"/>
  <c r="D275" i="6"/>
  <c r="C275" i="6"/>
  <c r="B275" i="6"/>
  <c r="H275" i="6" s="1"/>
  <c r="G274" i="6"/>
  <c r="F274" i="6"/>
  <c r="E274" i="6"/>
  <c r="D274" i="6"/>
  <c r="C274" i="6"/>
  <c r="B274" i="6"/>
  <c r="H274" i="6" s="1"/>
  <c r="G273" i="6"/>
  <c r="F273" i="6"/>
  <c r="E273" i="6"/>
  <c r="D273" i="6"/>
  <c r="C273" i="6"/>
  <c r="B273" i="6"/>
  <c r="H273" i="6" s="1"/>
  <c r="G272" i="6"/>
  <c r="F272" i="6"/>
  <c r="E272" i="6"/>
  <c r="D272" i="6"/>
  <c r="C272" i="6"/>
  <c r="B272" i="6"/>
  <c r="H272" i="6" s="1"/>
  <c r="G271" i="6"/>
  <c r="F271" i="6"/>
  <c r="E271" i="6"/>
  <c r="D271" i="6"/>
  <c r="C271" i="6"/>
  <c r="B271" i="6"/>
  <c r="H271" i="6" s="1"/>
  <c r="G270" i="6"/>
  <c r="F270" i="6"/>
  <c r="E270" i="6"/>
  <c r="D270" i="6"/>
  <c r="C270" i="6"/>
  <c r="B270" i="6"/>
  <c r="H270" i="6" s="1"/>
  <c r="G269" i="6"/>
  <c r="F269" i="6"/>
  <c r="E269" i="6"/>
  <c r="D269" i="6"/>
  <c r="C269" i="6"/>
  <c r="B269" i="6"/>
  <c r="H269" i="6" s="1"/>
  <c r="G268" i="6"/>
  <c r="F268" i="6"/>
  <c r="E268" i="6"/>
  <c r="D268" i="6"/>
  <c r="C268" i="6"/>
  <c r="B268" i="6"/>
  <c r="H268" i="6" s="1"/>
  <c r="G267" i="6"/>
  <c r="F267" i="6"/>
  <c r="E267" i="6"/>
  <c r="D267" i="6"/>
  <c r="C267" i="6"/>
  <c r="B267" i="6"/>
  <c r="H267" i="6" s="1"/>
  <c r="G266" i="6"/>
  <c r="F266" i="6"/>
  <c r="E266" i="6"/>
  <c r="D266" i="6"/>
  <c r="C266" i="6"/>
  <c r="B266" i="6"/>
  <c r="H266" i="6" s="1"/>
  <c r="G265" i="6"/>
  <c r="F265" i="6"/>
  <c r="E265" i="6"/>
  <c r="D265" i="6"/>
  <c r="C265" i="6"/>
  <c r="B265" i="6"/>
  <c r="H265" i="6" s="1"/>
  <c r="G264" i="6"/>
  <c r="F264" i="6"/>
  <c r="E264" i="6"/>
  <c r="D264" i="6"/>
  <c r="C264" i="6"/>
  <c r="B264" i="6"/>
  <c r="H264" i="6" s="1"/>
  <c r="G263" i="6"/>
  <c r="F263" i="6"/>
  <c r="E263" i="6"/>
  <c r="D263" i="6"/>
  <c r="C263" i="6"/>
  <c r="B263" i="6"/>
  <c r="H263" i="6" s="1"/>
  <c r="G262" i="6"/>
  <c r="F262" i="6"/>
  <c r="E262" i="6"/>
  <c r="D262" i="6"/>
  <c r="C262" i="6"/>
  <c r="B262" i="6"/>
  <c r="H262" i="6" s="1"/>
  <c r="G261" i="6"/>
  <c r="F261" i="6"/>
  <c r="E261" i="6"/>
  <c r="D261" i="6"/>
  <c r="C261" i="6"/>
  <c r="B261" i="6"/>
  <c r="H261" i="6" s="1"/>
  <c r="G260" i="6"/>
  <c r="F260" i="6"/>
  <c r="E260" i="6"/>
  <c r="D260" i="6"/>
  <c r="C260" i="6"/>
  <c r="B260" i="6"/>
  <c r="H260" i="6" s="1"/>
  <c r="G259" i="6"/>
  <c r="F259" i="6"/>
  <c r="E259" i="6"/>
  <c r="D259" i="6"/>
  <c r="C259" i="6"/>
  <c r="B259" i="6"/>
  <c r="H259" i="6" s="1"/>
  <c r="G258" i="6"/>
  <c r="F258" i="6"/>
  <c r="E258" i="6"/>
  <c r="D258" i="6"/>
  <c r="C258" i="6"/>
  <c r="B258" i="6"/>
  <c r="H258" i="6" s="1"/>
  <c r="G257" i="6"/>
  <c r="F257" i="6"/>
  <c r="E257" i="6"/>
  <c r="D257" i="6"/>
  <c r="C257" i="6"/>
  <c r="B257" i="6"/>
  <c r="H257" i="6" s="1"/>
  <c r="G256" i="6"/>
  <c r="F256" i="6"/>
  <c r="E256" i="6"/>
  <c r="D256" i="6"/>
  <c r="C256" i="6"/>
  <c r="B256" i="6"/>
  <c r="H256" i="6" s="1"/>
  <c r="G255" i="6"/>
  <c r="F255" i="6"/>
  <c r="E255" i="6"/>
  <c r="D255" i="6"/>
  <c r="C255" i="6"/>
  <c r="B255" i="6"/>
  <c r="H255" i="6" s="1"/>
  <c r="G254" i="6"/>
  <c r="F254" i="6"/>
  <c r="E254" i="6"/>
  <c r="D254" i="6"/>
  <c r="C254" i="6"/>
  <c r="B254" i="6"/>
  <c r="H254" i="6" s="1"/>
  <c r="G253" i="6"/>
  <c r="F253" i="6"/>
  <c r="E253" i="6"/>
  <c r="D253" i="6"/>
  <c r="C253" i="6"/>
  <c r="B253" i="6"/>
  <c r="H253" i="6" s="1"/>
  <c r="G252" i="6"/>
  <c r="F252" i="6"/>
  <c r="E252" i="6"/>
  <c r="D252" i="6"/>
  <c r="C252" i="6"/>
  <c r="B252" i="6"/>
  <c r="H252" i="6" s="1"/>
  <c r="G251" i="6"/>
  <c r="F251" i="6"/>
  <c r="E251" i="6"/>
  <c r="D251" i="6"/>
  <c r="C251" i="6"/>
  <c r="B251" i="6"/>
  <c r="H251" i="6" s="1"/>
  <c r="G250" i="6"/>
  <c r="F250" i="6"/>
  <c r="E250" i="6"/>
  <c r="D250" i="6"/>
  <c r="C250" i="6"/>
  <c r="B250" i="6"/>
  <c r="H250" i="6" s="1"/>
  <c r="G249" i="6"/>
  <c r="F249" i="6"/>
  <c r="E249" i="6"/>
  <c r="D249" i="6"/>
  <c r="C249" i="6"/>
  <c r="B249" i="6"/>
  <c r="H249" i="6" s="1"/>
  <c r="G248" i="6"/>
  <c r="F248" i="6"/>
  <c r="E248" i="6"/>
  <c r="D248" i="6"/>
  <c r="C248" i="6"/>
  <c r="B248" i="6"/>
  <c r="H248" i="6" s="1"/>
  <c r="G247" i="6"/>
  <c r="F247" i="6"/>
  <c r="E247" i="6"/>
  <c r="D247" i="6"/>
  <c r="C247" i="6"/>
  <c r="B247" i="6"/>
  <c r="H247" i="6" s="1"/>
  <c r="G246" i="6"/>
  <c r="F246" i="6"/>
  <c r="E246" i="6"/>
  <c r="D246" i="6"/>
  <c r="C246" i="6"/>
  <c r="B246" i="6"/>
  <c r="H246" i="6" s="1"/>
  <c r="G245" i="6"/>
  <c r="F245" i="6"/>
  <c r="E245" i="6"/>
  <c r="D245" i="6"/>
  <c r="C245" i="6"/>
  <c r="B245" i="6"/>
  <c r="H245" i="6" s="1"/>
  <c r="G244" i="6"/>
  <c r="F244" i="6"/>
  <c r="E244" i="6"/>
  <c r="D244" i="6"/>
  <c r="C244" i="6"/>
  <c r="B244" i="6"/>
  <c r="H244" i="6" s="1"/>
  <c r="G243" i="6"/>
  <c r="F243" i="6"/>
  <c r="E243" i="6"/>
  <c r="D243" i="6"/>
  <c r="C243" i="6"/>
  <c r="B243" i="6"/>
  <c r="H243" i="6" s="1"/>
  <c r="G242" i="6"/>
  <c r="F242" i="6"/>
  <c r="E242" i="6"/>
  <c r="D242" i="6"/>
  <c r="C242" i="6"/>
  <c r="B242" i="6"/>
  <c r="H242" i="6" s="1"/>
  <c r="G241" i="6"/>
  <c r="F241" i="6"/>
  <c r="E241" i="6"/>
  <c r="D241" i="6"/>
  <c r="C241" i="6"/>
  <c r="B241" i="6"/>
  <c r="H241" i="6" s="1"/>
  <c r="G240" i="6"/>
  <c r="F240" i="6"/>
  <c r="E240" i="6"/>
  <c r="D240" i="6"/>
  <c r="C240" i="6"/>
  <c r="B240" i="6"/>
  <c r="H240" i="6" s="1"/>
  <c r="G239" i="6"/>
  <c r="F239" i="6"/>
  <c r="E239" i="6"/>
  <c r="D239" i="6"/>
  <c r="C239" i="6"/>
  <c r="B239" i="6"/>
  <c r="H239" i="6" s="1"/>
  <c r="G238" i="6"/>
  <c r="F238" i="6"/>
  <c r="E238" i="6"/>
  <c r="D238" i="6"/>
  <c r="C238" i="6"/>
  <c r="B238" i="6"/>
  <c r="H238" i="6" s="1"/>
  <c r="G237" i="6"/>
  <c r="F237" i="6"/>
  <c r="E237" i="6"/>
  <c r="D237" i="6"/>
  <c r="C237" i="6"/>
  <c r="B237" i="6"/>
  <c r="H237" i="6" s="1"/>
  <c r="G236" i="6"/>
  <c r="F236" i="6"/>
  <c r="E236" i="6"/>
  <c r="D236" i="6"/>
  <c r="C236" i="6"/>
  <c r="B236" i="6"/>
  <c r="H236" i="6" s="1"/>
  <c r="G235" i="6"/>
  <c r="F235" i="6"/>
  <c r="E235" i="6"/>
  <c r="D235" i="6"/>
  <c r="C235" i="6"/>
  <c r="B235" i="6"/>
  <c r="H235" i="6" s="1"/>
  <c r="G234" i="6"/>
  <c r="F234" i="6"/>
  <c r="E234" i="6"/>
  <c r="D234" i="6"/>
  <c r="C234" i="6"/>
  <c r="B234" i="6"/>
  <c r="H234" i="6" s="1"/>
  <c r="G233" i="6"/>
  <c r="F233" i="6"/>
  <c r="E233" i="6"/>
  <c r="D233" i="6"/>
  <c r="C233" i="6"/>
  <c r="B233" i="6"/>
  <c r="H233" i="6" s="1"/>
  <c r="G232" i="6"/>
  <c r="F232" i="6"/>
  <c r="E232" i="6"/>
  <c r="D232" i="6"/>
  <c r="C232" i="6"/>
  <c r="B232" i="6"/>
  <c r="H232" i="6" s="1"/>
  <c r="G231" i="6"/>
  <c r="F231" i="6"/>
  <c r="E231" i="6"/>
  <c r="D231" i="6"/>
  <c r="C231" i="6"/>
  <c r="B231" i="6"/>
  <c r="H231" i="6" s="1"/>
  <c r="G230" i="6"/>
  <c r="F230" i="6"/>
  <c r="E230" i="6"/>
  <c r="D230" i="6"/>
  <c r="C230" i="6"/>
  <c r="B230" i="6"/>
  <c r="H230" i="6" s="1"/>
  <c r="G229" i="6"/>
  <c r="F229" i="6"/>
  <c r="E229" i="6"/>
  <c r="D229" i="6"/>
  <c r="C229" i="6"/>
  <c r="B229" i="6"/>
  <c r="H229" i="6" s="1"/>
  <c r="G228" i="6"/>
  <c r="F228" i="6"/>
  <c r="E228" i="6"/>
  <c r="D228" i="6"/>
  <c r="C228" i="6"/>
  <c r="B228" i="6"/>
  <c r="H228" i="6" s="1"/>
  <c r="G227" i="6"/>
  <c r="F227" i="6"/>
  <c r="E227" i="6"/>
  <c r="D227" i="6"/>
  <c r="C227" i="6"/>
  <c r="B227" i="6"/>
  <c r="H227" i="6" s="1"/>
  <c r="G226" i="6"/>
  <c r="F226" i="6"/>
  <c r="E226" i="6"/>
  <c r="D226" i="6"/>
  <c r="C226" i="6"/>
  <c r="B226" i="6"/>
  <c r="H226" i="6" s="1"/>
  <c r="G225" i="6"/>
  <c r="F225" i="6"/>
  <c r="E225" i="6"/>
  <c r="D225" i="6"/>
  <c r="C225" i="6"/>
  <c r="B225" i="6"/>
  <c r="H225" i="6" s="1"/>
  <c r="G224" i="6"/>
  <c r="F224" i="6"/>
  <c r="E224" i="6"/>
  <c r="D224" i="6"/>
  <c r="C224" i="6"/>
  <c r="B224" i="6"/>
  <c r="H224" i="6" s="1"/>
  <c r="G223" i="6"/>
  <c r="F223" i="6"/>
  <c r="E223" i="6"/>
  <c r="D223" i="6"/>
  <c r="C223" i="6"/>
  <c r="B223" i="6"/>
  <c r="H223" i="6" s="1"/>
  <c r="G222" i="6"/>
  <c r="F222" i="6"/>
  <c r="E222" i="6"/>
  <c r="D222" i="6"/>
  <c r="C222" i="6"/>
  <c r="B222" i="6"/>
  <c r="H222" i="6" s="1"/>
  <c r="G221" i="6"/>
  <c r="F221" i="6"/>
  <c r="E221" i="6"/>
  <c r="D221" i="6"/>
  <c r="C221" i="6"/>
  <c r="B221" i="6"/>
  <c r="H221" i="6" s="1"/>
  <c r="G220" i="6"/>
  <c r="F220" i="6"/>
  <c r="E220" i="6"/>
  <c r="D220" i="6"/>
  <c r="C220" i="6"/>
  <c r="B220" i="6"/>
  <c r="H220" i="6" s="1"/>
  <c r="G219" i="6"/>
  <c r="F219" i="6"/>
  <c r="E219" i="6"/>
  <c r="D219" i="6"/>
  <c r="C219" i="6"/>
  <c r="B219" i="6"/>
  <c r="H219" i="6" s="1"/>
  <c r="G218" i="6"/>
  <c r="F218" i="6"/>
  <c r="E218" i="6"/>
  <c r="D218" i="6"/>
  <c r="C218" i="6"/>
  <c r="B218" i="6"/>
  <c r="H218" i="6" s="1"/>
  <c r="G217" i="6"/>
  <c r="F217" i="6"/>
  <c r="E217" i="6"/>
  <c r="D217" i="6"/>
  <c r="C217" i="6"/>
  <c r="B217" i="6"/>
  <c r="H217" i="6" s="1"/>
  <c r="G216" i="6"/>
  <c r="F216" i="6"/>
  <c r="E216" i="6"/>
  <c r="D216" i="6"/>
  <c r="C216" i="6"/>
  <c r="B216" i="6"/>
  <c r="H216" i="6" s="1"/>
  <c r="G215" i="6"/>
  <c r="F215" i="6"/>
  <c r="E215" i="6"/>
  <c r="D215" i="6"/>
  <c r="C215" i="6"/>
  <c r="B215" i="6"/>
  <c r="H215" i="6" s="1"/>
  <c r="G214" i="6"/>
  <c r="F214" i="6"/>
  <c r="E214" i="6"/>
  <c r="D214" i="6"/>
  <c r="C214" i="6"/>
  <c r="B214" i="6"/>
  <c r="H214" i="6" s="1"/>
  <c r="G213" i="6"/>
  <c r="F213" i="6"/>
  <c r="E213" i="6"/>
  <c r="D213" i="6"/>
  <c r="C213" i="6"/>
  <c r="B213" i="6"/>
  <c r="H213" i="6" s="1"/>
  <c r="G212" i="6"/>
  <c r="F212" i="6"/>
  <c r="E212" i="6"/>
  <c r="D212" i="6"/>
  <c r="C212" i="6"/>
  <c r="B212" i="6"/>
  <c r="H212" i="6" s="1"/>
  <c r="G211" i="6"/>
  <c r="F211" i="6"/>
  <c r="E211" i="6"/>
  <c r="D211" i="6"/>
  <c r="C211" i="6"/>
  <c r="B211" i="6"/>
  <c r="H211" i="6" s="1"/>
  <c r="G210" i="6"/>
  <c r="F210" i="6"/>
  <c r="E210" i="6"/>
  <c r="D210" i="6"/>
  <c r="C210" i="6"/>
  <c r="B210" i="6"/>
  <c r="H210" i="6" s="1"/>
  <c r="G209" i="6"/>
  <c r="F209" i="6"/>
  <c r="E209" i="6"/>
  <c r="D209" i="6"/>
  <c r="C209" i="6"/>
  <c r="B209" i="6"/>
  <c r="H209" i="6" s="1"/>
  <c r="G208" i="6"/>
  <c r="F208" i="6"/>
  <c r="E208" i="6"/>
  <c r="D208" i="6"/>
  <c r="C208" i="6"/>
  <c r="B208" i="6"/>
  <c r="H208" i="6" s="1"/>
  <c r="G207" i="6"/>
  <c r="F207" i="6"/>
  <c r="E207" i="6"/>
  <c r="D207" i="6"/>
  <c r="C207" i="6"/>
  <c r="B207" i="6"/>
  <c r="H207" i="6" s="1"/>
  <c r="G206" i="6"/>
  <c r="F206" i="6"/>
  <c r="E206" i="6"/>
  <c r="D206" i="6"/>
  <c r="C206" i="6"/>
  <c r="B206" i="6"/>
  <c r="H206" i="6" s="1"/>
  <c r="G205" i="6"/>
  <c r="F205" i="6"/>
  <c r="E205" i="6"/>
  <c r="D205" i="6"/>
  <c r="C205" i="6"/>
  <c r="B205" i="6"/>
  <c r="H205" i="6" s="1"/>
  <c r="G204" i="6"/>
  <c r="F204" i="6"/>
  <c r="E204" i="6"/>
  <c r="D204" i="6"/>
  <c r="C204" i="6"/>
  <c r="B204" i="6"/>
  <c r="H204" i="6" s="1"/>
  <c r="G203" i="6"/>
  <c r="F203" i="6"/>
  <c r="E203" i="6"/>
  <c r="D203" i="6"/>
  <c r="C203" i="6"/>
  <c r="B203" i="6"/>
  <c r="H203" i="6" s="1"/>
  <c r="G202" i="6"/>
  <c r="F202" i="6"/>
  <c r="E202" i="6"/>
  <c r="D202" i="6"/>
  <c r="C202" i="6"/>
  <c r="B202" i="6"/>
  <c r="H202" i="6" s="1"/>
  <c r="G201" i="6"/>
  <c r="F201" i="6"/>
  <c r="E201" i="6"/>
  <c r="D201" i="6"/>
  <c r="C201" i="6"/>
  <c r="B201" i="6"/>
  <c r="H201" i="6" s="1"/>
  <c r="G200" i="6"/>
  <c r="F200" i="6"/>
  <c r="E200" i="6"/>
  <c r="D200" i="6"/>
  <c r="C200" i="6"/>
  <c r="B200" i="6"/>
  <c r="H200" i="6" s="1"/>
  <c r="G199" i="6"/>
  <c r="F199" i="6"/>
  <c r="E199" i="6"/>
  <c r="D199" i="6"/>
  <c r="C199" i="6"/>
  <c r="B199" i="6"/>
  <c r="H199" i="6" s="1"/>
  <c r="G198" i="6"/>
  <c r="F198" i="6"/>
  <c r="E198" i="6"/>
  <c r="D198" i="6"/>
  <c r="C198" i="6"/>
  <c r="B198" i="6"/>
  <c r="H198" i="6" s="1"/>
  <c r="G197" i="6"/>
  <c r="F197" i="6"/>
  <c r="E197" i="6"/>
  <c r="D197" i="6"/>
  <c r="C197" i="6"/>
  <c r="B197" i="6"/>
  <c r="H197" i="6" s="1"/>
  <c r="G196" i="6"/>
  <c r="F196" i="6"/>
  <c r="E196" i="6"/>
  <c r="D196" i="6"/>
  <c r="C196" i="6"/>
  <c r="B196" i="6"/>
  <c r="H196" i="6" s="1"/>
  <c r="G195" i="6"/>
  <c r="F195" i="6"/>
  <c r="E195" i="6"/>
  <c r="D195" i="6"/>
  <c r="C195" i="6"/>
  <c r="B195" i="6"/>
  <c r="H195" i="6" s="1"/>
  <c r="G194" i="6"/>
  <c r="F194" i="6"/>
  <c r="E194" i="6"/>
  <c r="D194" i="6"/>
  <c r="C194" i="6"/>
  <c r="B194" i="6"/>
  <c r="H194" i="6" s="1"/>
  <c r="G193" i="6"/>
  <c r="F193" i="6"/>
  <c r="E193" i="6"/>
  <c r="D193" i="6"/>
  <c r="C193" i="6"/>
  <c r="B193" i="6"/>
  <c r="H193" i="6" s="1"/>
  <c r="G192" i="6"/>
  <c r="F192" i="6"/>
  <c r="E192" i="6"/>
  <c r="D192" i="6"/>
  <c r="C192" i="6"/>
  <c r="B192" i="6"/>
  <c r="H192" i="6" s="1"/>
  <c r="G191" i="6"/>
  <c r="F191" i="6"/>
  <c r="E191" i="6"/>
  <c r="D191" i="6"/>
  <c r="C191" i="6"/>
  <c r="B191" i="6"/>
  <c r="H191" i="6" s="1"/>
  <c r="G190" i="6"/>
  <c r="F190" i="6"/>
  <c r="E190" i="6"/>
  <c r="D190" i="6"/>
  <c r="C190" i="6"/>
  <c r="B190" i="6"/>
  <c r="H190" i="6" s="1"/>
  <c r="G189" i="6"/>
  <c r="F189" i="6"/>
  <c r="E189" i="6"/>
  <c r="D189" i="6"/>
  <c r="C189" i="6"/>
  <c r="B189" i="6"/>
  <c r="H189" i="6" s="1"/>
  <c r="G188" i="6"/>
  <c r="F188" i="6"/>
  <c r="E188" i="6"/>
  <c r="D188" i="6"/>
  <c r="C188" i="6"/>
  <c r="B188" i="6"/>
  <c r="H188" i="6" s="1"/>
  <c r="G187" i="6"/>
  <c r="F187" i="6"/>
  <c r="E187" i="6"/>
  <c r="D187" i="6"/>
  <c r="C187" i="6"/>
  <c r="B187" i="6"/>
  <c r="H187" i="6" s="1"/>
  <c r="G186" i="6"/>
  <c r="F186" i="6"/>
  <c r="E186" i="6"/>
  <c r="D186" i="6"/>
  <c r="C186" i="6"/>
  <c r="B186" i="6"/>
  <c r="H186" i="6" s="1"/>
  <c r="G185" i="6"/>
  <c r="F185" i="6"/>
  <c r="E185" i="6"/>
  <c r="D185" i="6"/>
  <c r="C185" i="6"/>
  <c r="B185" i="6"/>
  <c r="H185" i="6" s="1"/>
  <c r="G184" i="6"/>
  <c r="F184" i="6"/>
  <c r="E184" i="6"/>
  <c r="D184" i="6"/>
  <c r="C184" i="6"/>
  <c r="B184" i="6"/>
  <c r="H184" i="6" s="1"/>
  <c r="G183" i="6"/>
  <c r="F183" i="6"/>
  <c r="E183" i="6"/>
  <c r="D183" i="6"/>
  <c r="C183" i="6"/>
  <c r="B183" i="6"/>
  <c r="H183" i="6" s="1"/>
  <c r="G182" i="6"/>
  <c r="F182" i="6"/>
  <c r="E182" i="6"/>
  <c r="D182" i="6"/>
  <c r="C182" i="6"/>
  <c r="B182" i="6"/>
  <c r="H182" i="6" s="1"/>
  <c r="G181" i="6"/>
  <c r="F181" i="6"/>
  <c r="E181" i="6"/>
  <c r="D181" i="6"/>
  <c r="C181" i="6"/>
  <c r="B181" i="6"/>
  <c r="H181" i="6" s="1"/>
  <c r="G180" i="6"/>
  <c r="F180" i="6"/>
  <c r="E180" i="6"/>
  <c r="D180" i="6"/>
  <c r="C180" i="6"/>
  <c r="B180" i="6"/>
  <c r="H180" i="6" s="1"/>
  <c r="G179" i="6"/>
  <c r="F179" i="6"/>
  <c r="E179" i="6"/>
  <c r="D179" i="6"/>
  <c r="C179" i="6"/>
  <c r="B179" i="6"/>
  <c r="H179" i="6" s="1"/>
  <c r="G178" i="6"/>
  <c r="F178" i="6"/>
  <c r="E178" i="6"/>
  <c r="D178" i="6"/>
  <c r="C178" i="6"/>
  <c r="B178" i="6"/>
  <c r="H178" i="6" s="1"/>
  <c r="G177" i="6"/>
  <c r="F177" i="6"/>
  <c r="E177" i="6"/>
  <c r="D177" i="6"/>
  <c r="C177" i="6"/>
  <c r="B177" i="6"/>
  <c r="H177" i="6" s="1"/>
  <c r="G176" i="6"/>
  <c r="F176" i="6"/>
  <c r="E176" i="6"/>
  <c r="D176" i="6"/>
  <c r="C176" i="6"/>
  <c r="B176" i="6"/>
  <c r="H176" i="6" s="1"/>
  <c r="G175" i="6"/>
  <c r="F175" i="6"/>
  <c r="E175" i="6"/>
  <c r="D175" i="6"/>
  <c r="C175" i="6"/>
  <c r="B175" i="6"/>
  <c r="H175" i="6" s="1"/>
  <c r="G174" i="6"/>
  <c r="F174" i="6"/>
  <c r="E174" i="6"/>
  <c r="D174" i="6"/>
  <c r="C174" i="6"/>
  <c r="B174" i="6"/>
  <c r="H174" i="6" s="1"/>
  <c r="G173" i="6"/>
  <c r="F173" i="6"/>
  <c r="E173" i="6"/>
  <c r="D173" i="6"/>
  <c r="C173" i="6"/>
  <c r="B173" i="6"/>
  <c r="H173" i="6" s="1"/>
  <c r="G172" i="6"/>
  <c r="F172" i="6"/>
  <c r="E172" i="6"/>
  <c r="D172" i="6"/>
  <c r="C172" i="6"/>
  <c r="B172" i="6"/>
  <c r="H172" i="6" s="1"/>
  <c r="G171" i="6"/>
  <c r="F171" i="6"/>
  <c r="E171" i="6"/>
  <c r="D171" i="6"/>
  <c r="C171" i="6"/>
  <c r="B171" i="6"/>
  <c r="H171" i="6" s="1"/>
  <c r="G170" i="6"/>
  <c r="F170" i="6"/>
  <c r="E170" i="6"/>
  <c r="D170" i="6"/>
  <c r="C170" i="6"/>
  <c r="B170" i="6"/>
  <c r="H170" i="6" s="1"/>
  <c r="G169" i="6"/>
  <c r="F169" i="6"/>
  <c r="E169" i="6"/>
  <c r="D169" i="6"/>
  <c r="C169" i="6"/>
  <c r="B169" i="6"/>
  <c r="H169" i="6" s="1"/>
  <c r="G168" i="6"/>
  <c r="F168" i="6"/>
  <c r="E168" i="6"/>
  <c r="D168" i="6"/>
  <c r="C168" i="6"/>
  <c r="B168" i="6"/>
  <c r="H168" i="6" s="1"/>
  <c r="G167" i="6"/>
  <c r="F167" i="6"/>
  <c r="E167" i="6"/>
  <c r="D167" i="6"/>
  <c r="C167" i="6"/>
  <c r="B167" i="6"/>
  <c r="H167" i="6" s="1"/>
  <c r="G166" i="6"/>
  <c r="F166" i="6"/>
  <c r="E166" i="6"/>
  <c r="D166" i="6"/>
  <c r="C166" i="6"/>
  <c r="B166" i="6"/>
  <c r="H166" i="6" s="1"/>
  <c r="G165" i="6"/>
  <c r="F165" i="6"/>
  <c r="E165" i="6"/>
  <c r="D165" i="6"/>
  <c r="C165" i="6"/>
  <c r="B165" i="6"/>
  <c r="H165" i="6" s="1"/>
  <c r="G164" i="6"/>
  <c r="F164" i="6"/>
  <c r="E164" i="6"/>
  <c r="D164" i="6"/>
  <c r="C164" i="6"/>
  <c r="B164" i="6"/>
  <c r="H164" i="6" s="1"/>
  <c r="G163" i="6"/>
  <c r="F163" i="6"/>
  <c r="E163" i="6"/>
  <c r="D163" i="6"/>
  <c r="C163" i="6"/>
  <c r="B163" i="6"/>
  <c r="H163" i="6" s="1"/>
  <c r="G162" i="6"/>
  <c r="F162" i="6"/>
  <c r="E162" i="6"/>
  <c r="D162" i="6"/>
  <c r="C162" i="6"/>
  <c r="B162" i="6"/>
  <c r="H162" i="6" s="1"/>
  <c r="G161" i="6"/>
  <c r="F161" i="6"/>
  <c r="E161" i="6"/>
  <c r="D161" i="6"/>
  <c r="C161" i="6"/>
  <c r="B161" i="6"/>
  <c r="H161" i="6" s="1"/>
  <c r="G160" i="6"/>
  <c r="F160" i="6"/>
  <c r="E160" i="6"/>
  <c r="D160" i="6"/>
  <c r="C160" i="6"/>
  <c r="B160" i="6"/>
  <c r="H160" i="6" s="1"/>
  <c r="G159" i="6"/>
  <c r="F159" i="6"/>
  <c r="E159" i="6"/>
  <c r="D159" i="6"/>
  <c r="C159" i="6"/>
  <c r="B159" i="6"/>
  <c r="H159" i="6" s="1"/>
  <c r="G158" i="6"/>
  <c r="F158" i="6"/>
  <c r="E158" i="6"/>
  <c r="D158" i="6"/>
  <c r="C158" i="6"/>
  <c r="B158" i="6"/>
  <c r="H158" i="6" s="1"/>
  <c r="G157" i="6"/>
  <c r="F157" i="6"/>
  <c r="E157" i="6"/>
  <c r="D157" i="6"/>
  <c r="C157" i="6"/>
  <c r="B157" i="6"/>
  <c r="H157" i="6" s="1"/>
  <c r="G156" i="6"/>
  <c r="F156" i="6"/>
  <c r="E156" i="6"/>
  <c r="D156" i="6"/>
  <c r="C156" i="6"/>
  <c r="B156" i="6"/>
  <c r="H156" i="6" s="1"/>
  <c r="G155" i="6"/>
  <c r="F155" i="6"/>
  <c r="E155" i="6"/>
  <c r="D155" i="6"/>
  <c r="C155" i="6"/>
  <c r="B155" i="6"/>
  <c r="H155" i="6" s="1"/>
  <c r="G154" i="6"/>
  <c r="F154" i="6"/>
  <c r="E154" i="6"/>
  <c r="D154" i="6"/>
  <c r="C154" i="6"/>
  <c r="B154" i="6"/>
  <c r="H154" i="6" s="1"/>
  <c r="G153" i="6"/>
  <c r="F153" i="6"/>
  <c r="E153" i="6"/>
  <c r="D153" i="6"/>
  <c r="C153" i="6"/>
  <c r="B153" i="6"/>
  <c r="H153" i="6" s="1"/>
  <c r="G152" i="6"/>
  <c r="F152" i="6"/>
  <c r="E152" i="6"/>
  <c r="D152" i="6"/>
  <c r="C152" i="6"/>
  <c r="B152" i="6"/>
  <c r="H152" i="6" s="1"/>
  <c r="G151" i="6"/>
  <c r="F151" i="6"/>
  <c r="E151" i="6"/>
  <c r="D151" i="6"/>
  <c r="C151" i="6"/>
  <c r="B151" i="6"/>
  <c r="H151" i="6" s="1"/>
  <c r="G150" i="6"/>
  <c r="F150" i="6"/>
  <c r="E150" i="6"/>
  <c r="D150" i="6"/>
  <c r="C150" i="6"/>
  <c r="B150" i="6"/>
  <c r="H150" i="6" s="1"/>
  <c r="G149" i="6"/>
  <c r="F149" i="6"/>
  <c r="E149" i="6"/>
  <c r="D149" i="6"/>
  <c r="C149" i="6"/>
  <c r="B149" i="6"/>
  <c r="H149" i="6" s="1"/>
  <c r="G148" i="6"/>
  <c r="G286" i="6" s="1"/>
  <c r="F148" i="6"/>
  <c r="F286" i="6" s="1"/>
  <c r="E148" i="6"/>
  <c r="E286" i="6" s="1"/>
  <c r="D148" i="6"/>
  <c r="D286" i="6" s="1"/>
  <c r="C148" i="6"/>
  <c r="C286" i="6" s="1"/>
  <c r="B148" i="6"/>
  <c r="G142" i="6"/>
  <c r="F142" i="6"/>
  <c r="E142" i="6"/>
  <c r="D142" i="6"/>
  <c r="C142" i="6"/>
  <c r="B142" i="6"/>
  <c r="H142" i="6" s="1"/>
  <c r="G141" i="6"/>
  <c r="F141" i="6"/>
  <c r="E141" i="6"/>
  <c r="D141" i="6"/>
  <c r="C141" i="6"/>
  <c r="B141" i="6"/>
  <c r="H141" i="6" s="1"/>
  <c r="G140" i="6"/>
  <c r="F140" i="6"/>
  <c r="E140" i="6"/>
  <c r="D140" i="6"/>
  <c r="C140" i="6"/>
  <c r="B140" i="6"/>
  <c r="H140" i="6" s="1"/>
  <c r="G139" i="6"/>
  <c r="F139" i="6"/>
  <c r="E139" i="6"/>
  <c r="D139" i="6"/>
  <c r="C139" i="6"/>
  <c r="B139" i="6"/>
  <c r="H139" i="6" s="1"/>
  <c r="G138" i="6"/>
  <c r="F138" i="6"/>
  <c r="E138" i="6"/>
  <c r="D138" i="6"/>
  <c r="C138" i="6"/>
  <c r="B138" i="6"/>
  <c r="H138" i="6" s="1"/>
  <c r="G137" i="6"/>
  <c r="F137" i="6"/>
  <c r="E137" i="6"/>
  <c r="D137" i="6"/>
  <c r="C137" i="6"/>
  <c r="B137" i="6"/>
  <c r="H137" i="6" s="1"/>
  <c r="G136" i="6"/>
  <c r="F136" i="6"/>
  <c r="E136" i="6"/>
  <c r="D136" i="6"/>
  <c r="C136" i="6"/>
  <c r="B136" i="6"/>
  <c r="H136" i="6" s="1"/>
  <c r="G135" i="6"/>
  <c r="F135" i="6"/>
  <c r="E135" i="6"/>
  <c r="D135" i="6"/>
  <c r="C135" i="6"/>
  <c r="B135" i="6"/>
  <c r="H135" i="6" s="1"/>
  <c r="G134" i="6"/>
  <c r="F134" i="6"/>
  <c r="E134" i="6"/>
  <c r="D134" i="6"/>
  <c r="C134" i="6"/>
  <c r="B134" i="6"/>
  <c r="H134" i="6" s="1"/>
  <c r="G133" i="6"/>
  <c r="F133" i="6"/>
  <c r="E133" i="6"/>
  <c r="D133" i="6"/>
  <c r="C133" i="6"/>
  <c r="B133" i="6"/>
  <c r="H133" i="6" s="1"/>
  <c r="G132" i="6"/>
  <c r="F132" i="6"/>
  <c r="E132" i="6"/>
  <c r="D132" i="6"/>
  <c r="C132" i="6"/>
  <c r="B132" i="6"/>
  <c r="H132" i="6" s="1"/>
  <c r="G131" i="6"/>
  <c r="F131" i="6"/>
  <c r="E131" i="6"/>
  <c r="D131" i="6"/>
  <c r="C131" i="6"/>
  <c r="B131" i="6"/>
  <c r="H131" i="6" s="1"/>
  <c r="G130" i="6"/>
  <c r="F130" i="6"/>
  <c r="E130" i="6"/>
  <c r="D130" i="6"/>
  <c r="C130" i="6"/>
  <c r="B130" i="6"/>
  <c r="H130" i="6" s="1"/>
  <c r="G129" i="6"/>
  <c r="F129" i="6"/>
  <c r="E129" i="6"/>
  <c r="D129" i="6"/>
  <c r="C129" i="6"/>
  <c r="B129" i="6"/>
  <c r="H129" i="6" s="1"/>
  <c r="G128" i="6"/>
  <c r="F128" i="6"/>
  <c r="E128" i="6"/>
  <c r="D128" i="6"/>
  <c r="C128" i="6"/>
  <c r="B128" i="6"/>
  <c r="H128" i="6" s="1"/>
  <c r="H127" i="6"/>
  <c r="G127" i="6"/>
  <c r="F127" i="6"/>
  <c r="E127" i="6"/>
  <c r="D127" i="6"/>
  <c r="C127" i="6"/>
  <c r="B127" i="6"/>
  <c r="G126" i="6"/>
  <c r="F126" i="6"/>
  <c r="E126" i="6"/>
  <c r="D126" i="6"/>
  <c r="C126" i="6"/>
  <c r="B126" i="6"/>
  <c r="H126" i="6" s="1"/>
  <c r="G125" i="6"/>
  <c r="F125" i="6"/>
  <c r="E125" i="6"/>
  <c r="D125" i="6"/>
  <c r="C125" i="6"/>
  <c r="B125" i="6"/>
  <c r="H125" i="6" s="1"/>
  <c r="G124" i="6"/>
  <c r="F124" i="6"/>
  <c r="E124" i="6"/>
  <c r="D124" i="6"/>
  <c r="C124" i="6"/>
  <c r="B124" i="6"/>
  <c r="H124" i="6" s="1"/>
  <c r="G123" i="6"/>
  <c r="F123" i="6"/>
  <c r="E123" i="6"/>
  <c r="D123" i="6"/>
  <c r="C123" i="6"/>
  <c r="B123" i="6"/>
  <c r="H123" i="6" s="1"/>
  <c r="G122" i="6"/>
  <c r="F122" i="6"/>
  <c r="E122" i="6"/>
  <c r="D122" i="6"/>
  <c r="C122" i="6"/>
  <c r="B122" i="6"/>
  <c r="H122" i="6" s="1"/>
  <c r="G121" i="6"/>
  <c r="F121" i="6"/>
  <c r="E121" i="6"/>
  <c r="D121" i="6"/>
  <c r="C121" i="6"/>
  <c r="B121" i="6"/>
  <c r="H121" i="6" s="1"/>
  <c r="G120" i="6"/>
  <c r="F120" i="6"/>
  <c r="E120" i="6"/>
  <c r="D120" i="6"/>
  <c r="C120" i="6"/>
  <c r="B120" i="6"/>
  <c r="H120" i="6" s="1"/>
  <c r="G119" i="6"/>
  <c r="F119" i="6"/>
  <c r="E119" i="6"/>
  <c r="D119" i="6"/>
  <c r="C119" i="6"/>
  <c r="B119" i="6"/>
  <c r="H119" i="6" s="1"/>
  <c r="G118" i="6"/>
  <c r="F118" i="6"/>
  <c r="E118" i="6"/>
  <c r="D118" i="6"/>
  <c r="C118" i="6"/>
  <c r="B118" i="6"/>
  <c r="H118" i="6" s="1"/>
  <c r="G117" i="6"/>
  <c r="F117" i="6"/>
  <c r="E117" i="6"/>
  <c r="D117" i="6"/>
  <c r="C117" i="6"/>
  <c r="B117" i="6"/>
  <c r="H117" i="6" s="1"/>
  <c r="G116" i="6"/>
  <c r="F116" i="6"/>
  <c r="E116" i="6"/>
  <c r="D116" i="6"/>
  <c r="C116" i="6"/>
  <c r="B116" i="6"/>
  <c r="H116" i="6" s="1"/>
  <c r="G115" i="6"/>
  <c r="F115" i="6"/>
  <c r="E115" i="6"/>
  <c r="D115" i="6"/>
  <c r="C115" i="6"/>
  <c r="B115" i="6"/>
  <c r="H115" i="6" s="1"/>
  <c r="G114" i="6"/>
  <c r="F114" i="6"/>
  <c r="E114" i="6"/>
  <c r="D114" i="6"/>
  <c r="C114" i="6"/>
  <c r="B114" i="6"/>
  <c r="H114" i="6" s="1"/>
  <c r="G113" i="6"/>
  <c r="F113" i="6"/>
  <c r="E113" i="6"/>
  <c r="D113" i="6"/>
  <c r="C113" i="6"/>
  <c r="B113" i="6"/>
  <c r="H113" i="6" s="1"/>
  <c r="G112" i="6"/>
  <c r="F112" i="6"/>
  <c r="E112" i="6"/>
  <c r="D112" i="6"/>
  <c r="C112" i="6"/>
  <c r="B112" i="6"/>
  <c r="H112" i="6" s="1"/>
  <c r="G111" i="6"/>
  <c r="F111" i="6"/>
  <c r="E111" i="6"/>
  <c r="D111" i="6"/>
  <c r="C111" i="6"/>
  <c r="B111" i="6"/>
  <c r="H111" i="6" s="1"/>
  <c r="G110" i="6"/>
  <c r="F110" i="6"/>
  <c r="E110" i="6"/>
  <c r="D110" i="6"/>
  <c r="C110" i="6"/>
  <c r="B110" i="6"/>
  <c r="H110" i="6" s="1"/>
  <c r="G109" i="6"/>
  <c r="F109" i="6"/>
  <c r="E109" i="6"/>
  <c r="D109" i="6"/>
  <c r="C109" i="6"/>
  <c r="B109" i="6"/>
  <c r="H109" i="6" s="1"/>
  <c r="G108" i="6"/>
  <c r="F108" i="6"/>
  <c r="E108" i="6"/>
  <c r="D108" i="6"/>
  <c r="C108" i="6"/>
  <c r="B108" i="6"/>
  <c r="H108" i="6" s="1"/>
  <c r="G107" i="6"/>
  <c r="F107" i="6"/>
  <c r="E107" i="6"/>
  <c r="D107" i="6"/>
  <c r="C107" i="6"/>
  <c r="B107" i="6"/>
  <c r="H107" i="6" s="1"/>
  <c r="G106" i="6"/>
  <c r="F106" i="6"/>
  <c r="E106" i="6"/>
  <c r="D106" i="6"/>
  <c r="C106" i="6"/>
  <c r="B106" i="6"/>
  <c r="H106" i="6" s="1"/>
  <c r="G105" i="6"/>
  <c r="F105" i="6"/>
  <c r="E105" i="6"/>
  <c r="D105" i="6"/>
  <c r="C105" i="6"/>
  <c r="B105" i="6"/>
  <c r="H105" i="6" s="1"/>
  <c r="G104" i="6"/>
  <c r="F104" i="6"/>
  <c r="E104" i="6"/>
  <c r="D104" i="6"/>
  <c r="C104" i="6"/>
  <c r="B104" i="6"/>
  <c r="H104" i="6" s="1"/>
  <c r="G103" i="6"/>
  <c r="F103" i="6"/>
  <c r="E103" i="6"/>
  <c r="D103" i="6"/>
  <c r="C103" i="6"/>
  <c r="B103" i="6"/>
  <c r="H103" i="6" s="1"/>
  <c r="G102" i="6"/>
  <c r="F102" i="6"/>
  <c r="E102" i="6"/>
  <c r="D102" i="6"/>
  <c r="C102" i="6"/>
  <c r="B102" i="6"/>
  <c r="H102" i="6" s="1"/>
  <c r="G101" i="6"/>
  <c r="F101" i="6"/>
  <c r="E101" i="6"/>
  <c r="D101" i="6"/>
  <c r="C101" i="6"/>
  <c r="B101" i="6"/>
  <c r="H101" i="6" s="1"/>
  <c r="G100" i="6"/>
  <c r="F100" i="6"/>
  <c r="E100" i="6"/>
  <c r="D100" i="6"/>
  <c r="C100" i="6"/>
  <c r="B100" i="6"/>
  <c r="H100" i="6" s="1"/>
  <c r="G99" i="6"/>
  <c r="F99" i="6"/>
  <c r="E99" i="6"/>
  <c r="D99" i="6"/>
  <c r="C99" i="6"/>
  <c r="B99" i="6"/>
  <c r="H99" i="6" s="1"/>
  <c r="G98" i="6"/>
  <c r="F98" i="6"/>
  <c r="E98" i="6"/>
  <c r="D98" i="6"/>
  <c r="C98" i="6"/>
  <c r="B98" i="6"/>
  <c r="H98" i="6" s="1"/>
  <c r="G97" i="6"/>
  <c r="F97" i="6"/>
  <c r="E97" i="6"/>
  <c r="D97" i="6"/>
  <c r="C97" i="6"/>
  <c r="B97" i="6"/>
  <c r="H97" i="6" s="1"/>
  <c r="G96" i="6"/>
  <c r="F96" i="6"/>
  <c r="E96" i="6"/>
  <c r="D96" i="6"/>
  <c r="C96" i="6"/>
  <c r="B96" i="6"/>
  <c r="H96" i="6" s="1"/>
  <c r="G95" i="6"/>
  <c r="F95" i="6"/>
  <c r="E95" i="6"/>
  <c r="D95" i="6"/>
  <c r="C95" i="6"/>
  <c r="B95" i="6"/>
  <c r="H95" i="6" s="1"/>
  <c r="G94" i="6"/>
  <c r="F94" i="6"/>
  <c r="E94" i="6"/>
  <c r="D94" i="6"/>
  <c r="C94" i="6"/>
  <c r="C380" i="6" s="1"/>
  <c r="B94" i="6"/>
  <c r="G93" i="6"/>
  <c r="G379" i="6" s="1"/>
  <c r="F93" i="6"/>
  <c r="F379" i="6" s="1"/>
  <c r="E93" i="6"/>
  <c r="E379" i="6" s="1"/>
  <c r="D93" i="6"/>
  <c r="D379" i="6" s="1"/>
  <c r="C93" i="6"/>
  <c r="C379" i="6" s="1"/>
  <c r="B93" i="6"/>
  <c r="G92" i="6"/>
  <c r="G378" i="6" s="1"/>
  <c r="F92" i="6"/>
  <c r="F378" i="6" s="1"/>
  <c r="E92" i="6"/>
  <c r="E378" i="6" s="1"/>
  <c r="D92" i="6"/>
  <c r="D378" i="6" s="1"/>
  <c r="C92" i="6"/>
  <c r="C378" i="6" s="1"/>
  <c r="B92" i="6"/>
  <c r="G91" i="6"/>
  <c r="G377" i="6" s="1"/>
  <c r="F91" i="6"/>
  <c r="F377" i="6" s="1"/>
  <c r="E91" i="6"/>
  <c r="E377" i="6" s="1"/>
  <c r="D91" i="6"/>
  <c r="D377" i="6" s="1"/>
  <c r="C91" i="6"/>
  <c r="C377" i="6" s="1"/>
  <c r="B91" i="6"/>
  <c r="G90" i="6"/>
  <c r="G376" i="6" s="1"/>
  <c r="F90" i="6"/>
  <c r="F376" i="6" s="1"/>
  <c r="E90" i="6"/>
  <c r="E376" i="6" s="1"/>
  <c r="D90" i="6"/>
  <c r="D376" i="6" s="1"/>
  <c r="C90" i="6"/>
  <c r="C376" i="6" s="1"/>
  <c r="B90" i="6"/>
  <c r="G89" i="6"/>
  <c r="G375" i="6" s="1"/>
  <c r="F89" i="6"/>
  <c r="F375" i="6" s="1"/>
  <c r="E89" i="6"/>
  <c r="E375" i="6" s="1"/>
  <c r="D89" i="6"/>
  <c r="D375" i="6" s="1"/>
  <c r="C89" i="6"/>
  <c r="C375" i="6" s="1"/>
  <c r="B89" i="6"/>
  <c r="G88" i="6"/>
  <c r="G374" i="6" s="1"/>
  <c r="F88" i="6"/>
  <c r="F374" i="6" s="1"/>
  <c r="E88" i="6"/>
  <c r="E374" i="6" s="1"/>
  <c r="D88" i="6"/>
  <c r="D374" i="6" s="1"/>
  <c r="C88" i="6"/>
  <c r="C374" i="6" s="1"/>
  <c r="B88" i="6"/>
  <c r="G87" i="6"/>
  <c r="G373" i="6" s="1"/>
  <c r="F87" i="6"/>
  <c r="F373" i="6" s="1"/>
  <c r="E87" i="6"/>
  <c r="E373" i="6" s="1"/>
  <c r="D87" i="6"/>
  <c r="D373" i="6" s="1"/>
  <c r="C87" i="6"/>
  <c r="C373" i="6" s="1"/>
  <c r="B87" i="6"/>
  <c r="G86" i="6"/>
  <c r="G372" i="6" s="1"/>
  <c r="F86" i="6"/>
  <c r="F372" i="6" s="1"/>
  <c r="E86" i="6"/>
  <c r="E372" i="6" s="1"/>
  <c r="D86" i="6"/>
  <c r="D372" i="6" s="1"/>
  <c r="C86" i="6"/>
  <c r="C372" i="6" s="1"/>
  <c r="B86" i="6"/>
  <c r="G85" i="6"/>
  <c r="G371" i="6" s="1"/>
  <c r="F85" i="6"/>
  <c r="F371" i="6" s="1"/>
  <c r="E85" i="6"/>
  <c r="E371" i="6" s="1"/>
  <c r="D85" i="6"/>
  <c r="D371" i="6" s="1"/>
  <c r="C85" i="6"/>
  <c r="C371" i="6" s="1"/>
  <c r="B85" i="6"/>
  <c r="G84" i="6"/>
  <c r="G370" i="6" s="1"/>
  <c r="F84" i="6"/>
  <c r="F370" i="6" s="1"/>
  <c r="E84" i="6"/>
  <c r="E370" i="6" s="1"/>
  <c r="D84" i="6"/>
  <c r="D370" i="6" s="1"/>
  <c r="C84" i="6"/>
  <c r="C370" i="6" s="1"/>
  <c r="B84" i="6"/>
  <c r="G83" i="6"/>
  <c r="G369" i="6" s="1"/>
  <c r="F83" i="6"/>
  <c r="F369" i="6" s="1"/>
  <c r="E83" i="6"/>
  <c r="E369" i="6" s="1"/>
  <c r="D83" i="6"/>
  <c r="D369" i="6" s="1"/>
  <c r="C83" i="6"/>
  <c r="C369" i="6" s="1"/>
  <c r="B83" i="6"/>
  <c r="G82" i="6"/>
  <c r="G368" i="6" s="1"/>
  <c r="F82" i="6"/>
  <c r="F368" i="6" s="1"/>
  <c r="E82" i="6"/>
  <c r="E368" i="6" s="1"/>
  <c r="D82" i="6"/>
  <c r="D368" i="6" s="1"/>
  <c r="C82" i="6"/>
  <c r="C368" i="6" s="1"/>
  <c r="B82" i="6"/>
  <c r="G81" i="6"/>
  <c r="G367" i="6" s="1"/>
  <c r="F81" i="6"/>
  <c r="F367" i="6" s="1"/>
  <c r="E81" i="6"/>
  <c r="E367" i="6" s="1"/>
  <c r="D81" i="6"/>
  <c r="D367" i="6" s="1"/>
  <c r="C81" i="6"/>
  <c r="C367" i="6" s="1"/>
  <c r="B81" i="6"/>
  <c r="G80" i="6"/>
  <c r="G366" i="6" s="1"/>
  <c r="F80" i="6"/>
  <c r="F366" i="6" s="1"/>
  <c r="E80" i="6"/>
  <c r="E366" i="6" s="1"/>
  <c r="D80" i="6"/>
  <c r="D366" i="6" s="1"/>
  <c r="C80" i="6"/>
  <c r="C366" i="6" s="1"/>
  <c r="B80" i="6"/>
  <c r="G79" i="6"/>
  <c r="G365" i="6" s="1"/>
  <c r="F79" i="6"/>
  <c r="F365" i="6" s="1"/>
  <c r="E79" i="6"/>
  <c r="E365" i="6" s="1"/>
  <c r="D79" i="6"/>
  <c r="D365" i="6" s="1"/>
  <c r="C79" i="6"/>
  <c r="C365" i="6" s="1"/>
  <c r="B79" i="6"/>
  <c r="G78" i="6"/>
  <c r="G364" i="6" s="1"/>
  <c r="F78" i="6"/>
  <c r="F364" i="6" s="1"/>
  <c r="E78" i="6"/>
  <c r="E364" i="6" s="1"/>
  <c r="D78" i="6"/>
  <c r="D364" i="6" s="1"/>
  <c r="C78" i="6"/>
  <c r="C364" i="6" s="1"/>
  <c r="B78" i="6"/>
  <c r="G77" i="6"/>
  <c r="G363" i="6" s="1"/>
  <c r="F77" i="6"/>
  <c r="F363" i="6" s="1"/>
  <c r="E77" i="6"/>
  <c r="E363" i="6" s="1"/>
  <c r="D77" i="6"/>
  <c r="D363" i="6" s="1"/>
  <c r="C77" i="6"/>
  <c r="C363" i="6" s="1"/>
  <c r="B77" i="6"/>
  <c r="G76" i="6"/>
  <c r="G362" i="6" s="1"/>
  <c r="F76" i="6"/>
  <c r="F362" i="6" s="1"/>
  <c r="E76" i="6"/>
  <c r="E362" i="6" s="1"/>
  <c r="D76" i="6"/>
  <c r="D362" i="6" s="1"/>
  <c r="C76" i="6"/>
  <c r="C362" i="6" s="1"/>
  <c r="B76" i="6"/>
  <c r="G75" i="6"/>
  <c r="G361" i="6" s="1"/>
  <c r="F75" i="6"/>
  <c r="F361" i="6" s="1"/>
  <c r="E75" i="6"/>
  <c r="E361" i="6" s="1"/>
  <c r="D75" i="6"/>
  <c r="D361" i="6" s="1"/>
  <c r="C75" i="6"/>
  <c r="C361" i="6" s="1"/>
  <c r="B75" i="6"/>
  <c r="G74" i="6"/>
  <c r="G360" i="6" s="1"/>
  <c r="F74" i="6"/>
  <c r="F360" i="6" s="1"/>
  <c r="E74" i="6"/>
  <c r="E360" i="6" s="1"/>
  <c r="D74" i="6"/>
  <c r="D360" i="6" s="1"/>
  <c r="C74" i="6"/>
  <c r="C360" i="6" s="1"/>
  <c r="B74" i="6"/>
  <c r="G73" i="6"/>
  <c r="G359" i="6" s="1"/>
  <c r="F73" i="6"/>
  <c r="F359" i="6" s="1"/>
  <c r="E73" i="6"/>
  <c r="E359" i="6" s="1"/>
  <c r="D73" i="6"/>
  <c r="D359" i="6" s="1"/>
  <c r="C73" i="6"/>
  <c r="C359" i="6" s="1"/>
  <c r="B73" i="6"/>
  <c r="G72" i="6"/>
  <c r="G358" i="6" s="1"/>
  <c r="F72" i="6"/>
  <c r="F358" i="6" s="1"/>
  <c r="E72" i="6"/>
  <c r="E358" i="6" s="1"/>
  <c r="D72" i="6"/>
  <c r="D358" i="6" s="1"/>
  <c r="C72" i="6"/>
  <c r="C358" i="6" s="1"/>
  <c r="B72" i="6"/>
  <c r="G71" i="6"/>
  <c r="G357" i="6" s="1"/>
  <c r="F71" i="6"/>
  <c r="F357" i="6" s="1"/>
  <c r="E71" i="6"/>
  <c r="E357" i="6" s="1"/>
  <c r="D71" i="6"/>
  <c r="D357" i="6" s="1"/>
  <c r="C71" i="6"/>
  <c r="C357" i="6" s="1"/>
  <c r="B71" i="6"/>
  <c r="G70" i="6"/>
  <c r="G356" i="6" s="1"/>
  <c r="F70" i="6"/>
  <c r="F356" i="6" s="1"/>
  <c r="E70" i="6"/>
  <c r="E356" i="6" s="1"/>
  <c r="D70" i="6"/>
  <c r="D356" i="6" s="1"/>
  <c r="C70" i="6"/>
  <c r="C356" i="6" s="1"/>
  <c r="B70" i="6"/>
  <c r="G69" i="6"/>
  <c r="G355" i="6" s="1"/>
  <c r="F69" i="6"/>
  <c r="F355" i="6" s="1"/>
  <c r="E69" i="6"/>
  <c r="E355" i="6" s="1"/>
  <c r="D69" i="6"/>
  <c r="D355" i="6" s="1"/>
  <c r="C69" i="6"/>
  <c r="C355" i="6" s="1"/>
  <c r="B69" i="6"/>
  <c r="G68" i="6"/>
  <c r="G354" i="6" s="1"/>
  <c r="F68" i="6"/>
  <c r="F354" i="6" s="1"/>
  <c r="E68" i="6"/>
  <c r="E354" i="6" s="1"/>
  <c r="D68" i="6"/>
  <c r="D354" i="6" s="1"/>
  <c r="C68" i="6"/>
  <c r="C354" i="6" s="1"/>
  <c r="B68" i="6"/>
  <c r="G67" i="6"/>
  <c r="G353" i="6" s="1"/>
  <c r="F67" i="6"/>
  <c r="F353" i="6" s="1"/>
  <c r="E67" i="6"/>
  <c r="E353" i="6" s="1"/>
  <c r="D67" i="6"/>
  <c r="D353" i="6" s="1"/>
  <c r="C67" i="6"/>
  <c r="C353" i="6" s="1"/>
  <c r="B67" i="6"/>
  <c r="G66" i="6"/>
  <c r="G352" i="6" s="1"/>
  <c r="F66" i="6"/>
  <c r="F352" i="6" s="1"/>
  <c r="E66" i="6"/>
  <c r="E352" i="6" s="1"/>
  <c r="D66" i="6"/>
  <c r="D352" i="6" s="1"/>
  <c r="C66" i="6"/>
  <c r="C352" i="6" s="1"/>
  <c r="B66" i="6"/>
  <c r="G65" i="6"/>
  <c r="G351" i="6" s="1"/>
  <c r="F65" i="6"/>
  <c r="F351" i="6" s="1"/>
  <c r="E65" i="6"/>
  <c r="E351" i="6" s="1"/>
  <c r="D65" i="6"/>
  <c r="D351" i="6" s="1"/>
  <c r="C65" i="6"/>
  <c r="C351" i="6" s="1"/>
  <c r="B65" i="6"/>
  <c r="G64" i="6"/>
  <c r="G350" i="6" s="1"/>
  <c r="F64" i="6"/>
  <c r="F350" i="6" s="1"/>
  <c r="E64" i="6"/>
  <c r="E350" i="6" s="1"/>
  <c r="D64" i="6"/>
  <c r="D350" i="6" s="1"/>
  <c r="C64" i="6"/>
  <c r="C350" i="6" s="1"/>
  <c r="B64" i="6"/>
  <c r="G63" i="6"/>
  <c r="G349" i="6" s="1"/>
  <c r="F63" i="6"/>
  <c r="F349" i="6" s="1"/>
  <c r="E63" i="6"/>
  <c r="E349" i="6" s="1"/>
  <c r="D63" i="6"/>
  <c r="D349" i="6" s="1"/>
  <c r="C63" i="6"/>
  <c r="C349" i="6" s="1"/>
  <c r="B63" i="6"/>
  <c r="G62" i="6"/>
  <c r="G348" i="6" s="1"/>
  <c r="F62" i="6"/>
  <c r="F348" i="6" s="1"/>
  <c r="E62" i="6"/>
  <c r="E348" i="6" s="1"/>
  <c r="D62" i="6"/>
  <c r="D348" i="6" s="1"/>
  <c r="C62" i="6"/>
  <c r="C348" i="6" s="1"/>
  <c r="B62" i="6"/>
  <c r="G61" i="6"/>
  <c r="G347" i="6" s="1"/>
  <c r="F61" i="6"/>
  <c r="F347" i="6" s="1"/>
  <c r="E61" i="6"/>
  <c r="E347" i="6" s="1"/>
  <c r="D61" i="6"/>
  <c r="D347" i="6" s="1"/>
  <c r="C61" i="6"/>
  <c r="C347" i="6" s="1"/>
  <c r="B61" i="6"/>
  <c r="G60" i="6"/>
  <c r="G346" i="6" s="1"/>
  <c r="F60" i="6"/>
  <c r="F346" i="6" s="1"/>
  <c r="E60" i="6"/>
  <c r="E346" i="6" s="1"/>
  <c r="D60" i="6"/>
  <c r="D346" i="6" s="1"/>
  <c r="C60" i="6"/>
  <c r="C346" i="6" s="1"/>
  <c r="B60" i="6"/>
  <c r="G59" i="6"/>
  <c r="G345" i="6" s="1"/>
  <c r="F59" i="6"/>
  <c r="F345" i="6" s="1"/>
  <c r="E59" i="6"/>
  <c r="E345" i="6" s="1"/>
  <c r="D59" i="6"/>
  <c r="D345" i="6" s="1"/>
  <c r="C59" i="6"/>
  <c r="C345" i="6" s="1"/>
  <c r="B59" i="6"/>
  <c r="G58" i="6"/>
  <c r="G344" i="6" s="1"/>
  <c r="F58" i="6"/>
  <c r="F344" i="6" s="1"/>
  <c r="E58" i="6"/>
  <c r="E344" i="6" s="1"/>
  <c r="D58" i="6"/>
  <c r="D344" i="6" s="1"/>
  <c r="C58" i="6"/>
  <c r="C344" i="6" s="1"/>
  <c r="B58" i="6"/>
  <c r="G57" i="6"/>
  <c r="G343" i="6" s="1"/>
  <c r="F57" i="6"/>
  <c r="F343" i="6" s="1"/>
  <c r="E57" i="6"/>
  <c r="E343" i="6" s="1"/>
  <c r="D57" i="6"/>
  <c r="D343" i="6" s="1"/>
  <c r="C57" i="6"/>
  <c r="C343" i="6" s="1"/>
  <c r="B57" i="6"/>
  <c r="G56" i="6"/>
  <c r="G342" i="6" s="1"/>
  <c r="F56" i="6"/>
  <c r="F342" i="6" s="1"/>
  <c r="E56" i="6"/>
  <c r="E342" i="6" s="1"/>
  <c r="D56" i="6"/>
  <c r="D342" i="6" s="1"/>
  <c r="C56" i="6"/>
  <c r="C342" i="6" s="1"/>
  <c r="B56" i="6"/>
  <c r="G55" i="6"/>
  <c r="G341" i="6" s="1"/>
  <c r="F55" i="6"/>
  <c r="F341" i="6" s="1"/>
  <c r="E55" i="6"/>
  <c r="E341" i="6" s="1"/>
  <c r="D55" i="6"/>
  <c r="D341" i="6" s="1"/>
  <c r="C55" i="6"/>
  <c r="C341" i="6" s="1"/>
  <c r="B55" i="6"/>
  <c r="G54" i="6"/>
  <c r="G340" i="6" s="1"/>
  <c r="F54" i="6"/>
  <c r="F340" i="6" s="1"/>
  <c r="E54" i="6"/>
  <c r="E340" i="6" s="1"/>
  <c r="D54" i="6"/>
  <c r="D340" i="6" s="1"/>
  <c r="C54" i="6"/>
  <c r="C340" i="6" s="1"/>
  <c r="B54" i="6"/>
  <c r="G53" i="6"/>
  <c r="G339" i="6" s="1"/>
  <c r="F53" i="6"/>
  <c r="F339" i="6" s="1"/>
  <c r="E53" i="6"/>
  <c r="E339" i="6" s="1"/>
  <c r="D53" i="6"/>
  <c r="D339" i="6" s="1"/>
  <c r="C53" i="6"/>
  <c r="C339" i="6" s="1"/>
  <c r="B53" i="6"/>
  <c r="G52" i="6"/>
  <c r="G338" i="6" s="1"/>
  <c r="F52" i="6"/>
  <c r="F338" i="6" s="1"/>
  <c r="E52" i="6"/>
  <c r="E338" i="6" s="1"/>
  <c r="D52" i="6"/>
  <c r="D338" i="6" s="1"/>
  <c r="C52" i="6"/>
  <c r="C338" i="6" s="1"/>
  <c r="B52" i="6"/>
  <c r="G51" i="6"/>
  <c r="G337" i="6" s="1"/>
  <c r="F51" i="6"/>
  <c r="F337" i="6" s="1"/>
  <c r="E51" i="6"/>
  <c r="E337" i="6" s="1"/>
  <c r="D51" i="6"/>
  <c r="D337" i="6" s="1"/>
  <c r="C51" i="6"/>
  <c r="C337" i="6" s="1"/>
  <c r="B51" i="6"/>
  <c r="G50" i="6"/>
  <c r="G336" i="6" s="1"/>
  <c r="F50" i="6"/>
  <c r="F336" i="6" s="1"/>
  <c r="E50" i="6"/>
  <c r="E336" i="6" s="1"/>
  <c r="D50" i="6"/>
  <c r="D336" i="6" s="1"/>
  <c r="C50" i="6"/>
  <c r="C336" i="6" s="1"/>
  <c r="B50" i="6"/>
  <c r="G49" i="6"/>
  <c r="G335" i="6" s="1"/>
  <c r="F49" i="6"/>
  <c r="F335" i="6" s="1"/>
  <c r="E49" i="6"/>
  <c r="E335" i="6" s="1"/>
  <c r="D49" i="6"/>
  <c r="D335" i="6" s="1"/>
  <c r="C49" i="6"/>
  <c r="C335" i="6" s="1"/>
  <c r="B49" i="6"/>
  <c r="G48" i="6"/>
  <c r="G334" i="6" s="1"/>
  <c r="F48" i="6"/>
  <c r="F334" i="6" s="1"/>
  <c r="E48" i="6"/>
  <c r="E334" i="6" s="1"/>
  <c r="D48" i="6"/>
  <c r="D334" i="6" s="1"/>
  <c r="C48" i="6"/>
  <c r="C334" i="6" s="1"/>
  <c r="B48" i="6"/>
  <c r="G47" i="6"/>
  <c r="G333" i="6" s="1"/>
  <c r="F47" i="6"/>
  <c r="F333" i="6" s="1"/>
  <c r="E47" i="6"/>
  <c r="E333" i="6" s="1"/>
  <c r="D47" i="6"/>
  <c r="D333" i="6" s="1"/>
  <c r="C47" i="6"/>
  <c r="C333" i="6" s="1"/>
  <c r="B47" i="6"/>
  <c r="G46" i="6"/>
  <c r="G332" i="6" s="1"/>
  <c r="F46" i="6"/>
  <c r="F332" i="6" s="1"/>
  <c r="E46" i="6"/>
  <c r="E332" i="6" s="1"/>
  <c r="D46" i="6"/>
  <c r="D332" i="6" s="1"/>
  <c r="C46" i="6"/>
  <c r="C332" i="6" s="1"/>
  <c r="B46" i="6"/>
  <c r="G45" i="6"/>
  <c r="G331" i="6" s="1"/>
  <c r="F45" i="6"/>
  <c r="F331" i="6" s="1"/>
  <c r="E45" i="6"/>
  <c r="E331" i="6" s="1"/>
  <c r="D45" i="6"/>
  <c r="D331" i="6" s="1"/>
  <c r="C45" i="6"/>
  <c r="C331" i="6" s="1"/>
  <c r="B45" i="6"/>
  <c r="G44" i="6"/>
  <c r="G330" i="6" s="1"/>
  <c r="F44" i="6"/>
  <c r="F330" i="6" s="1"/>
  <c r="E44" i="6"/>
  <c r="E330" i="6" s="1"/>
  <c r="D44" i="6"/>
  <c r="D330" i="6" s="1"/>
  <c r="C44" i="6"/>
  <c r="C330" i="6" s="1"/>
  <c r="B44" i="6"/>
  <c r="G43" i="6"/>
  <c r="G329" i="6" s="1"/>
  <c r="F43" i="6"/>
  <c r="F329" i="6" s="1"/>
  <c r="E43" i="6"/>
  <c r="E329" i="6" s="1"/>
  <c r="D43" i="6"/>
  <c r="D329" i="6" s="1"/>
  <c r="C43" i="6"/>
  <c r="C329" i="6" s="1"/>
  <c r="B43" i="6"/>
  <c r="G42" i="6"/>
  <c r="G328" i="6" s="1"/>
  <c r="F42" i="6"/>
  <c r="F328" i="6" s="1"/>
  <c r="E42" i="6"/>
  <c r="E328" i="6" s="1"/>
  <c r="D42" i="6"/>
  <c r="D328" i="6" s="1"/>
  <c r="C42" i="6"/>
  <c r="C328" i="6" s="1"/>
  <c r="B42" i="6"/>
  <c r="G41" i="6"/>
  <c r="G327" i="6" s="1"/>
  <c r="F41" i="6"/>
  <c r="F327" i="6" s="1"/>
  <c r="E41" i="6"/>
  <c r="E327" i="6" s="1"/>
  <c r="D41" i="6"/>
  <c r="D327" i="6" s="1"/>
  <c r="C41" i="6"/>
  <c r="C327" i="6" s="1"/>
  <c r="B41" i="6"/>
  <c r="G40" i="6"/>
  <c r="G326" i="6" s="1"/>
  <c r="F40" i="6"/>
  <c r="F326" i="6" s="1"/>
  <c r="E40" i="6"/>
  <c r="E326" i="6" s="1"/>
  <c r="D40" i="6"/>
  <c r="D326" i="6" s="1"/>
  <c r="C40" i="6"/>
  <c r="C326" i="6" s="1"/>
  <c r="B40" i="6"/>
  <c r="G39" i="6"/>
  <c r="G325" i="6" s="1"/>
  <c r="F39" i="6"/>
  <c r="F325" i="6" s="1"/>
  <c r="E39" i="6"/>
  <c r="E325" i="6" s="1"/>
  <c r="D39" i="6"/>
  <c r="D325" i="6" s="1"/>
  <c r="C39" i="6"/>
  <c r="C325" i="6" s="1"/>
  <c r="B39" i="6"/>
  <c r="G38" i="6"/>
  <c r="G324" i="6" s="1"/>
  <c r="F38" i="6"/>
  <c r="F324" i="6" s="1"/>
  <c r="E38" i="6"/>
  <c r="E324" i="6" s="1"/>
  <c r="D38" i="6"/>
  <c r="D324" i="6" s="1"/>
  <c r="C38" i="6"/>
  <c r="C324" i="6" s="1"/>
  <c r="B38" i="6"/>
  <c r="G37" i="6"/>
  <c r="G323" i="6" s="1"/>
  <c r="F37" i="6"/>
  <c r="F323" i="6" s="1"/>
  <c r="E37" i="6"/>
  <c r="E323" i="6" s="1"/>
  <c r="D37" i="6"/>
  <c r="D323" i="6" s="1"/>
  <c r="C37" i="6"/>
  <c r="C323" i="6" s="1"/>
  <c r="B37" i="6"/>
  <c r="G36" i="6"/>
  <c r="G322" i="6" s="1"/>
  <c r="F36" i="6"/>
  <c r="F322" i="6" s="1"/>
  <c r="E36" i="6"/>
  <c r="E322" i="6" s="1"/>
  <c r="D36" i="6"/>
  <c r="D322" i="6" s="1"/>
  <c r="C36" i="6"/>
  <c r="C322" i="6" s="1"/>
  <c r="B36" i="6"/>
  <c r="G35" i="6"/>
  <c r="G321" i="6" s="1"/>
  <c r="F35" i="6"/>
  <c r="F321" i="6" s="1"/>
  <c r="E35" i="6"/>
  <c r="E321" i="6" s="1"/>
  <c r="D35" i="6"/>
  <c r="D321" i="6" s="1"/>
  <c r="C35" i="6"/>
  <c r="C321" i="6" s="1"/>
  <c r="B35" i="6"/>
  <c r="G34" i="6"/>
  <c r="G320" i="6" s="1"/>
  <c r="F34" i="6"/>
  <c r="F320" i="6" s="1"/>
  <c r="E34" i="6"/>
  <c r="E320" i="6" s="1"/>
  <c r="D34" i="6"/>
  <c r="D320" i="6" s="1"/>
  <c r="C34" i="6"/>
  <c r="C320" i="6" s="1"/>
  <c r="B34" i="6"/>
  <c r="G33" i="6"/>
  <c r="G319" i="6" s="1"/>
  <c r="F33" i="6"/>
  <c r="F319" i="6" s="1"/>
  <c r="E33" i="6"/>
  <c r="E319" i="6" s="1"/>
  <c r="D33" i="6"/>
  <c r="D319" i="6" s="1"/>
  <c r="C33" i="6"/>
  <c r="C319" i="6" s="1"/>
  <c r="B33" i="6"/>
  <c r="G32" i="6"/>
  <c r="G318" i="6" s="1"/>
  <c r="F32" i="6"/>
  <c r="F318" i="6" s="1"/>
  <c r="E32" i="6"/>
  <c r="E318" i="6" s="1"/>
  <c r="D32" i="6"/>
  <c r="D318" i="6" s="1"/>
  <c r="C32" i="6"/>
  <c r="C318" i="6" s="1"/>
  <c r="B32" i="6"/>
  <c r="G31" i="6"/>
  <c r="G317" i="6" s="1"/>
  <c r="F31" i="6"/>
  <c r="F317" i="6" s="1"/>
  <c r="E31" i="6"/>
  <c r="E317" i="6" s="1"/>
  <c r="D31" i="6"/>
  <c r="D317" i="6" s="1"/>
  <c r="C31" i="6"/>
  <c r="C317" i="6" s="1"/>
  <c r="B31" i="6"/>
  <c r="G30" i="6"/>
  <c r="G316" i="6" s="1"/>
  <c r="F30" i="6"/>
  <c r="F316" i="6" s="1"/>
  <c r="E30" i="6"/>
  <c r="E316" i="6" s="1"/>
  <c r="D30" i="6"/>
  <c r="D316" i="6" s="1"/>
  <c r="C30" i="6"/>
  <c r="C316" i="6" s="1"/>
  <c r="B30" i="6"/>
  <c r="G29" i="6"/>
  <c r="G315" i="6" s="1"/>
  <c r="F29" i="6"/>
  <c r="F315" i="6" s="1"/>
  <c r="E29" i="6"/>
  <c r="E315" i="6" s="1"/>
  <c r="D29" i="6"/>
  <c r="D315" i="6" s="1"/>
  <c r="C29" i="6"/>
  <c r="C315" i="6" s="1"/>
  <c r="B29" i="6"/>
  <c r="G28" i="6"/>
  <c r="G314" i="6" s="1"/>
  <c r="F28" i="6"/>
  <c r="F314" i="6" s="1"/>
  <c r="E28" i="6"/>
  <c r="E314" i="6" s="1"/>
  <c r="D28" i="6"/>
  <c r="D314" i="6" s="1"/>
  <c r="C28" i="6"/>
  <c r="C314" i="6" s="1"/>
  <c r="B28" i="6"/>
  <c r="G27" i="6"/>
  <c r="G313" i="6" s="1"/>
  <c r="F27" i="6"/>
  <c r="F313" i="6" s="1"/>
  <c r="E27" i="6"/>
  <c r="E313" i="6" s="1"/>
  <c r="D27" i="6"/>
  <c r="D313" i="6" s="1"/>
  <c r="C27" i="6"/>
  <c r="C313" i="6" s="1"/>
  <c r="B27" i="6"/>
  <c r="G26" i="6"/>
  <c r="G312" i="6" s="1"/>
  <c r="F26" i="6"/>
  <c r="F312" i="6" s="1"/>
  <c r="E26" i="6"/>
  <c r="E312" i="6" s="1"/>
  <c r="D26" i="6"/>
  <c r="D312" i="6" s="1"/>
  <c r="C26" i="6"/>
  <c r="C312" i="6" s="1"/>
  <c r="B26" i="6"/>
  <c r="G25" i="6"/>
  <c r="G311" i="6" s="1"/>
  <c r="F25" i="6"/>
  <c r="F311" i="6" s="1"/>
  <c r="E25" i="6"/>
  <c r="E311" i="6" s="1"/>
  <c r="D25" i="6"/>
  <c r="D311" i="6" s="1"/>
  <c r="C25" i="6"/>
  <c r="C311" i="6" s="1"/>
  <c r="B25" i="6"/>
  <c r="G24" i="6"/>
  <c r="G310" i="6" s="1"/>
  <c r="F24" i="6"/>
  <c r="F310" i="6" s="1"/>
  <c r="E24" i="6"/>
  <c r="E310" i="6" s="1"/>
  <c r="D24" i="6"/>
  <c r="D310" i="6" s="1"/>
  <c r="C24" i="6"/>
  <c r="C310" i="6" s="1"/>
  <c r="B24" i="6"/>
  <c r="G23" i="6"/>
  <c r="G309" i="6" s="1"/>
  <c r="F23" i="6"/>
  <c r="F309" i="6" s="1"/>
  <c r="E23" i="6"/>
  <c r="E309" i="6" s="1"/>
  <c r="D23" i="6"/>
  <c r="D309" i="6" s="1"/>
  <c r="C23" i="6"/>
  <c r="C309" i="6" s="1"/>
  <c r="B23" i="6"/>
  <c r="G22" i="6"/>
  <c r="G308" i="6" s="1"/>
  <c r="F22" i="6"/>
  <c r="F308" i="6" s="1"/>
  <c r="E22" i="6"/>
  <c r="E308" i="6" s="1"/>
  <c r="D22" i="6"/>
  <c r="D308" i="6" s="1"/>
  <c r="C22" i="6"/>
  <c r="C308" i="6" s="1"/>
  <c r="B22" i="6"/>
  <c r="G21" i="6"/>
  <c r="G307" i="6" s="1"/>
  <c r="F21" i="6"/>
  <c r="F307" i="6" s="1"/>
  <c r="E21" i="6"/>
  <c r="E307" i="6" s="1"/>
  <c r="D21" i="6"/>
  <c r="D307" i="6" s="1"/>
  <c r="C21" i="6"/>
  <c r="C307" i="6" s="1"/>
  <c r="B21" i="6"/>
  <c r="G20" i="6"/>
  <c r="G306" i="6" s="1"/>
  <c r="F20" i="6"/>
  <c r="F306" i="6" s="1"/>
  <c r="E20" i="6"/>
  <c r="E306" i="6" s="1"/>
  <c r="D20" i="6"/>
  <c r="D306" i="6" s="1"/>
  <c r="C20" i="6"/>
  <c r="C306" i="6" s="1"/>
  <c r="B20" i="6"/>
  <c r="G19" i="6"/>
  <c r="G305" i="6" s="1"/>
  <c r="F19" i="6"/>
  <c r="F305" i="6" s="1"/>
  <c r="E19" i="6"/>
  <c r="E305" i="6" s="1"/>
  <c r="D19" i="6"/>
  <c r="D305" i="6" s="1"/>
  <c r="C19" i="6"/>
  <c r="C305" i="6" s="1"/>
  <c r="B19" i="6"/>
  <c r="G18" i="6"/>
  <c r="G304" i="6" s="1"/>
  <c r="F18" i="6"/>
  <c r="F304" i="6" s="1"/>
  <c r="E18" i="6"/>
  <c r="E304" i="6" s="1"/>
  <c r="D18" i="6"/>
  <c r="D304" i="6" s="1"/>
  <c r="C18" i="6"/>
  <c r="C304" i="6" s="1"/>
  <c r="B18" i="6"/>
  <c r="G17" i="6"/>
  <c r="G303" i="6" s="1"/>
  <c r="F17" i="6"/>
  <c r="F303" i="6" s="1"/>
  <c r="E17" i="6"/>
  <c r="E303" i="6" s="1"/>
  <c r="D17" i="6"/>
  <c r="D303" i="6" s="1"/>
  <c r="C17" i="6"/>
  <c r="C303" i="6" s="1"/>
  <c r="B17" i="6"/>
  <c r="G16" i="6"/>
  <c r="G302" i="6" s="1"/>
  <c r="F16" i="6"/>
  <c r="F302" i="6" s="1"/>
  <c r="E16" i="6"/>
  <c r="E302" i="6" s="1"/>
  <c r="D16" i="6"/>
  <c r="D302" i="6" s="1"/>
  <c r="C16" i="6"/>
  <c r="C302" i="6" s="1"/>
  <c r="B16" i="6"/>
  <c r="G15" i="6"/>
  <c r="G301" i="6" s="1"/>
  <c r="F15" i="6"/>
  <c r="F301" i="6" s="1"/>
  <c r="E15" i="6"/>
  <c r="E301" i="6" s="1"/>
  <c r="D15" i="6"/>
  <c r="D301" i="6" s="1"/>
  <c r="C15" i="6"/>
  <c r="C301" i="6" s="1"/>
  <c r="B15" i="6"/>
  <c r="G14" i="6"/>
  <c r="G300" i="6" s="1"/>
  <c r="F14" i="6"/>
  <c r="F300" i="6" s="1"/>
  <c r="E14" i="6"/>
  <c r="E300" i="6" s="1"/>
  <c r="D14" i="6"/>
  <c r="D300" i="6" s="1"/>
  <c r="C14" i="6"/>
  <c r="C300" i="6" s="1"/>
  <c r="B14" i="6"/>
  <c r="G13" i="6"/>
  <c r="G299" i="6" s="1"/>
  <c r="F13" i="6"/>
  <c r="F299" i="6" s="1"/>
  <c r="E13" i="6"/>
  <c r="E299" i="6" s="1"/>
  <c r="D13" i="6"/>
  <c r="D299" i="6" s="1"/>
  <c r="C13" i="6"/>
  <c r="C299" i="6" s="1"/>
  <c r="B13" i="6"/>
  <c r="G12" i="6"/>
  <c r="G298" i="6" s="1"/>
  <c r="F12" i="6"/>
  <c r="F298" i="6" s="1"/>
  <c r="E12" i="6"/>
  <c r="E298" i="6" s="1"/>
  <c r="D12" i="6"/>
  <c r="D298" i="6" s="1"/>
  <c r="C12" i="6"/>
  <c r="C298" i="6" s="1"/>
  <c r="B12" i="6"/>
  <c r="G11" i="6"/>
  <c r="G297" i="6" s="1"/>
  <c r="F11" i="6"/>
  <c r="F297" i="6" s="1"/>
  <c r="E11" i="6"/>
  <c r="E297" i="6" s="1"/>
  <c r="D11" i="6"/>
  <c r="D297" i="6" s="1"/>
  <c r="C11" i="6"/>
  <c r="C297" i="6" s="1"/>
  <c r="B11" i="6"/>
  <c r="G10" i="6"/>
  <c r="G296" i="6" s="1"/>
  <c r="F10" i="6"/>
  <c r="F296" i="6" s="1"/>
  <c r="E10" i="6"/>
  <c r="E296" i="6" s="1"/>
  <c r="D10" i="6"/>
  <c r="D296" i="6" s="1"/>
  <c r="C10" i="6"/>
  <c r="C296" i="6" s="1"/>
  <c r="B10" i="6"/>
  <c r="G9" i="6"/>
  <c r="G295" i="6" s="1"/>
  <c r="F9" i="6"/>
  <c r="F295" i="6" s="1"/>
  <c r="E9" i="6"/>
  <c r="E295" i="6" s="1"/>
  <c r="D9" i="6"/>
  <c r="D295" i="6" s="1"/>
  <c r="C9" i="6"/>
  <c r="C295" i="6" s="1"/>
  <c r="B9" i="6"/>
  <c r="G8" i="6"/>
  <c r="G294" i="6" s="1"/>
  <c r="F8" i="6"/>
  <c r="F294" i="6" s="1"/>
  <c r="E8" i="6"/>
  <c r="E294" i="6" s="1"/>
  <c r="D8" i="6"/>
  <c r="D294" i="6" s="1"/>
  <c r="C8" i="6"/>
  <c r="C294" i="6" s="1"/>
  <c r="B8" i="6"/>
  <c r="G7" i="6"/>
  <c r="G293" i="6" s="1"/>
  <c r="F7" i="6"/>
  <c r="F293" i="6" s="1"/>
  <c r="E7" i="6"/>
  <c r="E293" i="6" s="1"/>
  <c r="D7" i="6"/>
  <c r="D293" i="6" s="1"/>
  <c r="C7" i="6"/>
  <c r="C293" i="6" s="1"/>
  <c r="B7" i="6"/>
  <c r="G6" i="6"/>
  <c r="G292" i="6" s="1"/>
  <c r="F6" i="6"/>
  <c r="F292" i="6" s="1"/>
  <c r="E6" i="6"/>
  <c r="E292" i="6" s="1"/>
  <c r="D6" i="6"/>
  <c r="D292" i="6" s="1"/>
  <c r="C6" i="6"/>
  <c r="C292" i="6" s="1"/>
  <c r="B6" i="6"/>
  <c r="G5" i="6"/>
  <c r="F5" i="6"/>
  <c r="E5" i="6"/>
  <c r="D5" i="6"/>
  <c r="C5" i="6"/>
  <c r="B5" i="6"/>
  <c r="G571" i="5"/>
  <c r="F571" i="5"/>
  <c r="E571" i="5"/>
  <c r="D571" i="5"/>
  <c r="C571" i="5"/>
  <c r="B571" i="5"/>
  <c r="G570" i="5"/>
  <c r="F570" i="5"/>
  <c r="E570" i="5"/>
  <c r="D570" i="5"/>
  <c r="C570" i="5"/>
  <c r="B570" i="5"/>
  <c r="G569" i="5"/>
  <c r="F569" i="5"/>
  <c r="E569" i="5"/>
  <c r="D569" i="5"/>
  <c r="C569" i="5"/>
  <c r="B569" i="5"/>
  <c r="G568" i="5"/>
  <c r="F568" i="5"/>
  <c r="E568" i="5"/>
  <c r="D568" i="5"/>
  <c r="C568" i="5"/>
  <c r="B568" i="5"/>
  <c r="G567" i="5"/>
  <c r="F567" i="5"/>
  <c r="E567" i="5"/>
  <c r="D567" i="5"/>
  <c r="C567" i="5"/>
  <c r="B567" i="5"/>
  <c r="G566" i="5"/>
  <c r="F566" i="5"/>
  <c r="E566" i="5"/>
  <c r="D566" i="5"/>
  <c r="C566" i="5"/>
  <c r="B566" i="5"/>
  <c r="G565" i="5"/>
  <c r="F565" i="5"/>
  <c r="E565" i="5"/>
  <c r="D565" i="5"/>
  <c r="C565" i="5"/>
  <c r="B565" i="5"/>
  <c r="G564" i="5"/>
  <c r="F564" i="5"/>
  <c r="E564" i="5"/>
  <c r="D564" i="5"/>
  <c r="C564" i="5"/>
  <c r="B564" i="5"/>
  <c r="G563" i="5"/>
  <c r="F563" i="5"/>
  <c r="E563" i="5"/>
  <c r="D563" i="5"/>
  <c r="C563" i="5"/>
  <c r="B563" i="5"/>
  <c r="G562" i="5"/>
  <c r="F562" i="5"/>
  <c r="E562" i="5"/>
  <c r="D562" i="5"/>
  <c r="C562" i="5"/>
  <c r="B562" i="5"/>
  <c r="G561" i="5"/>
  <c r="F561" i="5"/>
  <c r="E561" i="5"/>
  <c r="D561" i="5"/>
  <c r="C561" i="5"/>
  <c r="B561" i="5"/>
  <c r="G560" i="5"/>
  <c r="F560" i="5"/>
  <c r="E560" i="5"/>
  <c r="D560" i="5"/>
  <c r="C560" i="5"/>
  <c r="B560" i="5"/>
  <c r="G559" i="5"/>
  <c r="F559" i="5"/>
  <c r="E559" i="5"/>
  <c r="D559" i="5"/>
  <c r="C559" i="5"/>
  <c r="B559" i="5"/>
  <c r="G558" i="5"/>
  <c r="F558" i="5"/>
  <c r="E558" i="5"/>
  <c r="D558" i="5"/>
  <c r="C558" i="5"/>
  <c r="B558" i="5"/>
  <c r="G557" i="5"/>
  <c r="F557" i="5"/>
  <c r="E557" i="5"/>
  <c r="D557" i="5"/>
  <c r="C557" i="5"/>
  <c r="B557" i="5"/>
  <c r="G556" i="5"/>
  <c r="F556" i="5"/>
  <c r="E556" i="5"/>
  <c r="D556" i="5"/>
  <c r="C556" i="5"/>
  <c r="B556" i="5"/>
  <c r="G555" i="5"/>
  <c r="F555" i="5"/>
  <c r="E555" i="5"/>
  <c r="D555" i="5"/>
  <c r="C555" i="5"/>
  <c r="B555" i="5"/>
  <c r="G554" i="5"/>
  <c r="F554" i="5"/>
  <c r="E554" i="5"/>
  <c r="D554" i="5"/>
  <c r="C554" i="5"/>
  <c r="B554" i="5"/>
  <c r="G553" i="5"/>
  <c r="F553" i="5"/>
  <c r="E553" i="5"/>
  <c r="D553" i="5"/>
  <c r="C553" i="5"/>
  <c r="B553" i="5"/>
  <c r="G552" i="5"/>
  <c r="F552" i="5"/>
  <c r="E552" i="5"/>
  <c r="D552" i="5"/>
  <c r="C552" i="5"/>
  <c r="B552" i="5"/>
  <c r="G551" i="5"/>
  <c r="F551" i="5"/>
  <c r="E551" i="5"/>
  <c r="D551" i="5"/>
  <c r="C551" i="5"/>
  <c r="B551" i="5"/>
  <c r="G550" i="5"/>
  <c r="F550" i="5"/>
  <c r="E550" i="5"/>
  <c r="D550" i="5"/>
  <c r="C550" i="5"/>
  <c r="B550" i="5"/>
  <c r="G549" i="5"/>
  <c r="F549" i="5"/>
  <c r="E549" i="5"/>
  <c r="D549" i="5"/>
  <c r="C549" i="5"/>
  <c r="B549" i="5"/>
  <c r="G548" i="5"/>
  <c r="F548" i="5"/>
  <c r="E548" i="5"/>
  <c r="D548" i="5"/>
  <c r="C548" i="5"/>
  <c r="B548" i="5"/>
  <c r="G547" i="5"/>
  <c r="F547" i="5"/>
  <c r="E547" i="5"/>
  <c r="D547" i="5"/>
  <c r="C547" i="5"/>
  <c r="B547" i="5"/>
  <c r="G546" i="5"/>
  <c r="F546" i="5"/>
  <c r="E546" i="5"/>
  <c r="D546" i="5"/>
  <c r="C546" i="5"/>
  <c r="B546" i="5"/>
  <c r="G545" i="5"/>
  <c r="F545" i="5"/>
  <c r="E545" i="5"/>
  <c r="D545" i="5"/>
  <c r="C545" i="5"/>
  <c r="B545" i="5"/>
  <c r="G544" i="5"/>
  <c r="F544" i="5"/>
  <c r="E544" i="5"/>
  <c r="D544" i="5"/>
  <c r="C544" i="5"/>
  <c r="B544" i="5"/>
  <c r="G543" i="5"/>
  <c r="F543" i="5"/>
  <c r="E543" i="5"/>
  <c r="D543" i="5"/>
  <c r="C543" i="5"/>
  <c r="B543" i="5"/>
  <c r="G542" i="5"/>
  <c r="F542" i="5"/>
  <c r="E542" i="5"/>
  <c r="D542" i="5"/>
  <c r="C542" i="5"/>
  <c r="B542" i="5"/>
  <c r="G541" i="5"/>
  <c r="G285" i="5"/>
  <c r="F285" i="5"/>
  <c r="E285" i="5"/>
  <c r="D285" i="5"/>
  <c r="C285" i="5"/>
  <c r="B285" i="5"/>
  <c r="H285" i="5" s="1"/>
  <c r="G284" i="5"/>
  <c r="F284" i="5"/>
  <c r="E284" i="5"/>
  <c r="D284" i="5"/>
  <c r="C284" i="5"/>
  <c r="B284" i="5"/>
  <c r="H284" i="5" s="1"/>
  <c r="G283" i="5"/>
  <c r="F283" i="5"/>
  <c r="E283" i="5"/>
  <c r="D283" i="5"/>
  <c r="C283" i="5"/>
  <c r="B283" i="5"/>
  <c r="H283" i="5" s="1"/>
  <c r="G282" i="5"/>
  <c r="F282" i="5"/>
  <c r="E282" i="5"/>
  <c r="D282" i="5"/>
  <c r="C282" i="5"/>
  <c r="B282" i="5"/>
  <c r="H282" i="5" s="1"/>
  <c r="G281" i="5"/>
  <c r="F281" i="5"/>
  <c r="E281" i="5"/>
  <c r="D281" i="5"/>
  <c r="C281" i="5"/>
  <c r="B281" i="5"/>
  <c r="H281" i="5" s="1"/>
  <c r="G280" i="5"/>
  <c r="F280" i="5"/>
  <c r="E280" i="5"/>
  <c r="D280" i="5"/>
  <c r="C280" i="5"/>
  <c r="B280" i="5"/>
  <c r="H280" i="5" s="1"/>
  <c r="G279" i="5"/>
  <c r="F279" i="5"/>
  <c r="E279" i="5"/>
  <c r="D279" i="5"/>
  <c r="C279" i="5"/>
  <c r="B279" i="5"/>
  <c r="H279" i="5" s="1"/>
  <c r="G278" i="5"/>
  <c r="F278" i="5"/>
  <c r="E278" i="5"/>
  <c r="D278" i="5"/>
  <c r="C278" i="5"/>
  <c r="B278" i="5"/>
  <c r="H278" i="5" s="1"/>
  <c r="G277" i="5"/>
  <c r="F277" i="5"/>
  <c r="E277" i="5"/>
  <c r="D277" i="5"/>
  <c r="C277" i="5"/>
  <c r="B277" i="5"/>
  <c r="H277" i="5" s="1"/>
  <c r="G276" i="5"/>
  <c r="F276" i="5"/>
  <c r="E276" i="5"/>
  <c r="D276" i="5"/>
  <c r="C276" i="5"/>
  <c r="B276" i="5"/>
  <c r="H276" i="5" s="1"/>
  <c r="G275" i="5"/>
  <c r="F275" i="5"/>
  <c r="E275" i="5"/>
  <c r="D275" i="5"/>
  <c r="C275" i="5"/>
  <c r="B275" i="5"/>
  <c r="H275" i="5" s="1"/>
  <c r="G274" i="5"/>
  <c r="F274" i="5"/>
  <c r="E274" i="5"/>
  <c r="D274" i="5"/>
  <c r="C274" i="5"/>
  <c r="B274" i="5"/>
  <c r="H274" i="5" s="1"/>
  <c r="G273" i="5"/>
  <c r="F273" i="5"/>
  <c r="E273" i="5"/>
  <c r="D273" i="5"/>
  <c r="C273" i="5"/>
  <c r="B273" i="5"/>
  <c r="H273" i="5" s="1"/>
  <c r="G272" i="5"/>
  <c r="F272" i="5"/>
  <c r="E272" i="5"/>
  <c r="D272" i="5"/>
  <c r="C272" i="5"/>
  <c r="B272" i="5"/>
  <c r="H272" i="5" s="1"/>
  <c r="G271" i="5"/>
  <c r="F271" i="5"/>
  <c r="E271" i="5"/>
  <c r="D271" i="5"/>
  <c r="C271" i="5"/>
  <c r="B271" i="5"/>
  <c r="H271" i="5" s="1"/>
  <c r="G270" i="5"/>
  <c r="F270" i="5"/>
  <c r="E270" i="5"/>
  <c r="D270" i="5"/>
  <c r="C270" i="5"/>
  <c r="B270" i="5"/>
  <c r="H270" i="5" s="1"/>
  <c r="G269" i="5"/>
  <c r="F269" i="5"/>
  <c r="E269" i="5"/>
  <c r="D269" i="5"/>
  <c r="C269" i="5"/>
  <c r="B269" i="5"/>
  <c r="H269" i="5" s="1"/>
  <c r="G268" i="5"/>
  <c r="F268" i="5"/>
  <c r="E268" i="5"/>
  <c r="D268" i="5"/>
  <c r="C268" i="5"/>
  <c r="B268" i="5"/>
  <c r="H268" i="5" s="1"/>
  <c r="G267" i="5"/>
  <c r="F267" i="5"/>
  <c r="E267" i="5"/>
  <c r="D267" i="5"/>
  <c r="C267" i="5"/>
  <c r="B267" i="5"/>
  <c r="H267" i="5" s="1"/>
  <c r="G266" i="5"/>
  <c r="F266" i="5"/>
  <c r="E266" i="5"/>
  <c r="D266" i="5"/>
  <c r="C266" i="5"/>
  <c r="B266" i="5"/>
  <c r="H266" i="5" s="1"/>
  <c r="G265" i="5"/>
  <c r="F265" i="5"/>
  <c r="E265" i="5"/>
  <c r="D265" i="5"/>
  <c r="C265" i="5"/>
  <c r="B265" i="5"/>
  <c r="H265" i="5" s="1"/>
  <c r="G264" i="5"/>
  <c r="F264" i="5"/>
  <c r="E264" i="5"/>
  <c r="D264" i="5"/>
  <c r="C264" i="5"/>
  <c r="B264" i="5"/>
  <c r="H264" i="5" s="1"/>
  <c r="G263" i="5"/>
  <c r="F263" i="5"/>
  <c r="E263" i="5"/>
  <c r="D263" i="5"/>
  <c r="C263" i="5"/>
  <c r="B263" i="5"/>
  <c r="H263" i="5" s="1"/>
  <c r="G262" i="5"/>
  <c r="F262" i="5"/>
  <c r="E262" i="5"/>
  <c r="D262" i="5"/>
  <c r="C262" i="5"/>
  <c r="B262" i="5"/>
  <c r="H262" i="5" s="1"/>
  <c r="G261" i="5"/>
  <c r="F261" i="5"/>
  <c r="E261" i="5"/>
  <c r="D261" i="5"/>
  <c r="C261" i="5"/>
  <c r="B261" i="5"/>
  <c r="H261" i="5" s="1"/>
  <c r="G260" i="5"/>
  <c r="F260" i="5"/>
  <c r="E260" i="5"/>
  <c r="D260" i="5"/>
  <c r="C260" i="5"/>
  <c r="B260" i="5"/>
  <c r="H260" i="5" s="1"/>
  <c r="G259" i="5"/>
  <c r="F259" i="5"/>
  <c r="E259" i="5"/>
  <c r="D259" i="5"/>
  <c r="C259" i="5"/>
  <c r="B259" i="5"/>
  <c r="H259" i="5" s="1"/>
  <c r="G258" i="5"/>
  <c r="F258" i="5"/>
  <c r="E258" i="5"/>
  <c r="D258" i="5"/>
  <c r="C258" i="5"/>
  <c r="B258" i="5"/>
  <c r="H258" i="5" s="1"/>
  <c r="G257" i="5"/>
  <c r="F257" i="5"/>
  <c r="E257" i="5"/>
  <c r="D257" i="5"/>
  <c r="C257" i="5"/>
  <c r="B257" i="5"/>
  <c r="H257" i="5" s="1"/>
  <c r="G256" i="5"/>
  <c r="F256" i="5"/>
  <c r="E256" i="5"/>
  <c r="D256" i="5"/>
  <c r="C256" i="5"/>
  <c r="B256" i="5"/>
  <c r="H256" i="5" s="1"/>
  <c r="G255" i="5"/>
  <c r="F255" i="5"/>
  <c r="E255" i="5"/>
  <c r="D255" i="5"/>
  <c r="C255" i="5"/>
  <c r="B255" i="5"/>
  <c r="H255" i="5" s="1"/>
  <c r="G254" i="5"/>
  <c r="F254" i="5"/>
  <c r="E254" i="5"/>
  <c r="D254" i="5"/>
  <c r="C254" i="5"/>
  <c r="B254" i="5"/>
  <c r="H254" i="5" s="1"/>
  <c r="G253" i="5"/>
  <c r="F253" i="5"/>
  <c r="E253" i="5"/>
  <c r="D253" i="5"/>
  <c r="C253" i="5"/>
  <c r="B253" i="5"/>
  <c r="H253" i="5" s="1"/>
  <c r="G252" i="5"/>
  <c r="F252" i="5"/>
  <c r="E252" i="5"/>
  <c r="D252" i="5"/>
  <c r="C252" i="5"/>
  <c r="B252" i="5"/>
  <c r="H252" i="5" s="1"/>
  <c r="G251" i="5"/>
  <c r="F251" i="5"/>
  <c r="E251" i="5"/>
  <c r="D251" i="5"/>
  <c r="C251" i="5"/>
  <c r="B251" i="5"/>
  <c r="H251" i="5" s="1"/>
  <c r="G250" i="5"/>
  <c r="F250" i="5"/>
  <c r="E250" i="5"/>
  <c r="D250" i="5"/>
  <c r="C250" i="5"/>
  <c r="B250" i="5"/>
  <c r="H250" i="5" s="1"/>
  <c r="G249" i="5"/>
  <c r="F249" i="5"/>
  <c r="E249" i="5"/>
  <c r="D249" i="5"/>
  <c r="C249" i="5"/>
  <c r="B249" i="5"/>
  <c r="H249" i="5" s="1"/>
  <c r="G248" i="5"/>
  <c r="F248" i="5"/>
  <c r="E248" i="5"/>
  <c r="D248" i="5"/>
  <c r="C248" i="5"/>
  <c r="B248" i="5"/>
  <c r="H248" i="5" s="1"/>
  <c r="G247" i="5"/>
  <c r="F247" i="5"/>
  <c r="E247" i="5"/>
  <c r="D247" i="5"/>
  <c r="C247" i="5"/>
  <c r="B247" i="5"/>
  <c r="H247" i="5" s="1"/>
  <c r="G246" i="5"/>
  <c r="F246" i="5"/>
  <c r="E246" i="5"/>
  <c r="D246" i="5"/>
  <c r="C246" i="5"/>
  <c r="B246" i="5"/>
  <c r="H246" i="5" s="1"/>
  <c r="G245" i="5"/>
  <c r="F245" i="5"/>
  <c r="E245" i="5"/>
  <c r="D245" i="5"/>
  <c r="C245" i="5"/>
  <c r="B245" i="5"/>
  <c r="H245" i="5" s="1"/>
  <c r="G244" i="5"/>
  <c r="F244" i="5"/>
  <c r="E244" i="5"/>
  <c r="D244" i="5"/>
  <c r="C244" i="5"/>
  <c r="B244" i="5"/>
  <c r="H244" i="5" s="1"/>
  <c r="G243" i="5"/>
  <c r="F243" i="5"/>
  <c r="E243" i="5"/>
  <c r="D243" i="5"/>
  <c r="C243" i="5"/>
  <c r="B243" i="5"/>
  <c r="H243" i="5" s="1"/>
  <c r="G242" i="5"/>
  <c r="F242" i="5"/>
  <c r="E242" i="5"/>
  <c r="D242" i="5"/>
  <c r="C242" i="5"/>
  <c r="B242" i="5"/>
  <c r="H242" i="5" s="1"/>
  <c r="G241" i="5"/>
  <c r="F241" i="5"/>
  <c r="E241" i="5"/>
  <c r="D241" i="5"/>
  <c r="C241" i="5"/>
  <c r="B241" i="5"/>
  <c r="H241" i="5" s="1"/>
  <c r="G240" i="5"/>
  <c r="F240" i="5"/>
  <c r="E240" i="5"/>
  <c r="D240" i="5"/>
  <c r="C240" i="5"/>
  <c r="B240" i="5"/>
  <c r="H240" i="5" s="1"/>
  <c r="G239" i="5"/>
  <c r="F239" i="5"/>
  <c r="E239" i="5"/>
  <c r="D239" i="5"/>
  <c r="C239" i="5"/>
  <c r="B239" i="5"/>
  <c r="H239" i="5" s="1"/>
  <c r="G238" i="5"/>
  <c r="F238" i="5"/>
  <c r="E238" i="5"/>
  <c r="D238" i="5"/>
  <c r="C238" i="5"/>
  <c r="B238" i="5"/>
  <c r="H238" i="5" s="1"/>
  <c r="G237" i="5"/>
  <c r="F237" i="5"/>
  <c r="E237" i="5"/>
  <c r="D237" i="5"/>
  <c r="C237" i="5"/>
  <c r="B237" i="5"/>
  <c r="H237" i="5" s="1"/>
  <c r="G236" i="5"/>
  <c r="F236" i="5"/>
  <c r="E236" i="5"/>
  <c r="D236" i="5"/>
  <c r="C236" i="5"/>
  <c r="B236" i="5"/>
  <c r="H236" i="5" s="1"/>
  <c r="G235" i="5"/>
  <c r="F235" i="5"/>
  <c r="E235" i="5"/>
  <c r="D235" i="5"/>
  <c r="C235" i="5"/>
  <c r="B235" i="5"/>
  <c r="H235" i="5" s="1"/>
  <c r="G234" i="5"/>
  <c r="F234" i="5"/>
  <c r="E234" i="5"/>
  <c r="D234" i="5"/>
  <c r="C234" i="5"/>
  <c r="B234" i="5"/>
  <c r="H234" i="5" s="1"/>
  <c r="G233" i="5"/>
  <c r="F233" i="5"/>
  <c r="E233" i="5"/>
  <c r="D233" i="5"/>
  <c r="C233" i="5"/>
  <c r="B233" i="5"/>
  <c r="H233" i="5" s="1"/>
  <c r="G232" i="5"/>
  <c r="F232" i="5"/>
  <c r="E232" i="5"/>
  <c r="D232" i="5"/>
  <c r="C232" i="5"/>
  <c r="B232" i="5"/>
  <c r="H232" i="5" s="1"/>
  <c r="G231" i="5"/>
  <c r="F231" i="5"/>
  <c r="E231" i="5"/>
  <c r="D231" i="5"/>
  <c r="C231" i="5"/>
  <c r="B231" i="5"/>
  <c r="H231" i="5" s="1"/>
  <c r="G230" i="5"/>
  <c r="F230" i="5"/>
  <c r="E230" i="5"/>
  <c r="D230" i="5"/>
  <c r="C230" i="5"/>
  <c r="B230" i="5"/>
  <c r="H230" i="5" s="1"/>
  <c r="G229" i="5"/>
  <c r="F229" i="5"/>
  <c r="E229" i="5"/>
  <c r="D229" i="5"/>
  <c r="C229" i="5"/>
  <c r="B229" i="5"/>
  <c r="H229" i="5" s="1"/>
  <c r="G228" i="5"/>
  <c r="F228" i="5"/>
  <c r="E228" i="5"/>
  <c r="D228" i="5"/>
  <c r="C228" i="5"/>
  <c r="B228" i="5"/>
  <c r="H228" i="5" s="1"/>
  <c r="G227" i="5"/>
  <c r="F227" i="5"/>
  <c r="E227" i="5"/>
  <c r="D227" i="5"/>
  <c r="C227" i="5"/>
  <c r="B227" i="5"/>
  <c r="H227" i="5" s="1"/>
  <c r="G226" i="5"/>
  <c r="F226" i="5"/>
  <c r="E226" i="5"/>
  <c r="D226" i="5"/>
  <c r="C226" i="5"/>
  <c r="B226" i="5"/>
  <c r="H226" i="5" s="1"/>
  <c r="G225" i="5"/>
  <c r="F225" i="5"/>
  <c r="E225" i="5"/>
  <c r="D225" i="5"/>
  <c r="C225" i="5"/>
  <c r="B225" i="5"/>
  <c r="H225" i="5" s="1"/>
  <c r="G224" i="5"/>
  <c r="F224" i="5"/>
  <c r="E224" i="5"/>
  <c r="D224" i="5"/>
  <c r="C224" i="5"/>
  <c r="B224" i="5"/>
  <c r="H224" i="5" s="1"/>
  <c r="G223" i="5"/>
  <c r="F223" i="5"/>
  <c r="E223" i="5"/>
  <c r="D223" i="5"/>
  <c r="C223" i="5"/>
  <c r="B223" i="5"/>
  <c r="H223" i="5" s="1"/>
  <c r="G222" i="5"/>
  <c r="F222" i="5"/>
  <c r="E222" i="5"/>
  <c r="D222" i="5"/>
  <c r="C222" i="5"/>
  <c r="B222" i="5"/>
  <c r="H222" i="5" s="1"/>
  <c r="G221" i="5"/>
  <c r="F221" i="5"/>
  <c r="E221" i="5"/>
  <c r="D221" i="5"/>
  <c r="C221" i="5"/>
  <c r="B221" i="5"/>
  <c r="H221" i="5" s="1"/>
  <c r="G220" i="5"/>
  <c r="F220" i="5"/>
  <c r="E220" i="5"/>
  <c r="D220" i="5"/>
  <c r="C220" i="5"/>
  <c r="B220" i="5"/>
  <c r="H220" i="5" s="1"/>
  <c r="G219" i="5"/>
  <c r="F219" i="5"/>
  <c r="E219" i="5"/>
  <c r="D219" i="5"/>
  <c r="C219" i="5"/>
  <c r="B219" i="5"/>
  <c r="H219" i="5" s="1"/>
  <c r="G218" i="5"/>
  <c r="F218" i="5"/>
  <c r="E218" i="5"/>
  <c r="D218" i="5"/>
  <c r="C218" i="5"/>
  <c r="B218" i="5"/>
  <c r="H218" i="5" s="1"/>
  <c r="G217" i="5"/>
  <c r="F217" i="5"/>
  <c r="E217" i="5"/>
  <c r="D217" i="5"/>
  <c r="C217" i="5"/>
  <c r="B217" i="5"/>
  <c r="H217" i="5" s="1"/>
  <c r="G216" i="5"/>
  <c r="F216" i="5"/>
  <c r="E216" i="5"/>
  <c r="D216" i="5"/>
  <c r="C216" i="5"/>
  <c r="B216" i="5"/>
  <c r="H216" i="5" s="1"/>
  <c r="G215" i="5"/>
  <c r="F215" i="5"/>
  <c r="E215" i="5"/>
  <c r="D215" i="5"/>
  <c r="C215" i="5"/>
  <c r="B215" i="5"/>
  <c r="H215" i="5" s="1"/>
  <c r="G214" i="5"/>
  <c r="F214" i="5"/>
  <c r="E214" i="5"/>
  <c r="D214" i="5"/>
  <c r="C214" i="5"/>
  <c r="B214" i="5"/>
  <c r="H214" i="5" s="1"/>
  <c r="G213" i="5"/>
  <c r="F213" i="5"/>
  <c r="E213" i="5"/>
  <c r="D213" i="5"/>
  <c r="C213" i="5"/>
  <c r="B213" i="5"/>
  <c r="H213" i="5" s="1"/>
  <c r="G212" i="5"/>
  <c r="F212" i="5"/>
  <c r="E212" i="5"/>
  <c r="D212" i="5"/>
  <c r="C212" i="5"/>
  <c r="B212" i="5"/>
  <c r="H212" i="5" s="1"/>
  <c r="G211" i="5"/>
  <c r="F211" i="5"/>
  <c r="E211" i="5"/>
  <c r="D211" i="5"/>
  <c r="C211" i="5"/>
  <c r="B211" i="5"/>
  <c r="H211" i="5" s="1"/>
  <c r="G210" i="5"/>
  <c r="F210" i="5"/>
  <c r="E210" i="5"/>
  <c r="D210" i="5"/>
  <c r="C210" i="5"/>
  <c r="B210" i="5"/>
  <c r="H210" i="5" s="1"/>
  <c r="G209" i="5"/>
  <c r="F209" i="5"/>
  <c r="E209" i="5"/>
  <c r="D209" i="5"/>
  <c r="C209" i="5"/>
  <c r="B209" i="5"/>
  <c r="H209" i="5" s="1"/>
  <c r="G208" i="5"/>
  <c r="F208" i="5"/>
  <c r="E208" i="5"/>
  <c r="D208" i="5"/>
  <c r="C208" i="5"/>
  <c r="B208" i="5"/>
  <c r="H208" i="5" s="1"/>
  <c r="G207" i="5"/>
  <c r="F207" i="5"/>
  <c r="E207" i="5"/>
  <c r="D207" i="5"/>
  <c r="C207" i="5"/>
  <c r="B207" i="5"/>
  <c r="H207" i="5" s="1"/>
  <c r="G206" i="5"/>
  <c r="F206" i="5"/>
  <c r="E206" i="5"/>
  <c r="D206" i="5"/>
  <c r="C206" i="5"/>
  <c r="B206" i="5"/>
  <c r="H206" i="5" s="1"/>
  <c r="G205" i="5"/>
  <c r="F205" i="5"/>
  <c r="E205" i="5"/>
  <c r="D205" i="5"/>
  <c r="C205" i="5"/>
  <c r="B205" i="5"/>
  <c r="H205" i="5" s="1"/>
  <c r="G204" i="5"/>
  <c r="F204" i="5"/>
  <c r="E204" i="5"/>
  <c r="D204" i="5"/>
  <c r="C204" i="5"/>
  <c r="B204" i="5"/>
  <c r="H204" i="5" s="1"/>
  <c r="G203" i="5"/>
  <c r="F203" i="5"/>
  <c r="E203" i="5"/>
  <c r="D203" i="5"/>
  <c r="C203" i="5"/>
  <c r="B203" i="5"/>
  <c r="H203" i="5" s="1"/>
  <c r="G202" i="5"/>
  <c r="F202" i="5"/>
  <c r="E202" i="5"/>
  <c r="D202" i="5"/>
  <c r="C202" i="5"/>
  <c r="B202" i="5"/>
  <c r="H202" i="5" s="1"/>
  <c r="G201" i="5"/>
  <c r="F201" i="5"/>
  <c r="E201" i="5"/>
  <c r="D201" i="5"/>
  <c r="C201" i="5"/>
  <c r="B201" i="5"/>
  <c r="H201" i="5" s="1"/>
  <c r="G200" i="5"/>
  <c r="F200" i="5"/>
  <c r="E200" i="5"/>
  <c r="D200" i="5"/>
  <c r="C200" i="5"/>
  <c r="B200" i="5"/>
  <c r="H200" i="5" s="1"/>
  <c r="G199" i="5"/>
  <c r="F199" i="5"/>
  <c r="E199" i="5"/>
  <c r="D199" i="5"/>
  <c r="C199" i="5"/>
  <c r="B199" i="5"/>
  <c r="H199" i="5" s="1"/>
  <c r="G198" i="5"/>
  <c r="F198" i="5"/>
  <c r="E198" i="5"/>
  <c r="D198" i="5"/>
  <c r="C198" i="5"/>
  <c r="B198" i="5"/>
  <c r="H198" i="5" s="1"/>
  <c r="G197" i="5"/>
  <c r="F197" i="5"/>
  <c r="E197" i="5"/>
  <c r="D197" i="5"/>
  <c r="C197" i="5"/>
  <c r="B197" i="5"/>
  <c r="H197" i="5" s="1"/>
  <c r="G196" i="5"/>
  <c r="F196" i="5"/>
  <c r="E196" i="5"/>
  <c r="D196" i="5"/>
  <c r="C196" i="5"/>
  <c r="B196" i="5"/>
  <c r="H196" i="5" s="1"/>
  <c r="G195" i="5"/>
  <c r="F195" i="5"/>
  <c r="E195" i="5"/>
  <c r="D195" i="5"/>
  <c r="C195" i="5"/>
  <c r="B195" i="5"/>
  <c r="H195" i="5" s="1"/>
  <c r="G194" i="5"/>
  <c r="F194" i="5"/>
  <c r="E194" i="5"/>
  <c r="D194" i="5"/>
  <c r="C194" i="5"/>
  <c r="B194" i="5"/>
  <c r="H194" i="5" s="1"/>
  <c r="G193" i="5"/>
  <c r="F193" i="5"/>
  <c r="E193" i="5"/>
  <c r="D193" i="5"/>
  <c r="C193" i="5"/>
  <c r="B193" i="5"/>
  <c r="H193" i="5" s="1"/>
  <c r="G192" i="5"/>
  <c r="F192" i="5"/>
  <c r="E192" i="5"/>
  <c r="D192" i="5"/>
  <c r="C192" i="5"/>
  <c r="B192" i="5"/>
  <c r="H192" i="5" s="1"/>
  <c r="G191" i="5"/>
  <c r="F191" i="5"/>
  <c r="E191" i="5"/>
  <c r="D191" i="5"/>
  <c r="C191" i="5"/>
  <c r="B191" i="5"/>
  <c r="H191" i="5" s="1"/>
  <c r="G190" i="5"/>
  <c r="F190" i="5"/>
  <c r="E190" i="5"/>
  <c r="D190" i="5"/>
  <c r="C190" i="5"/>
  <c r="B190" i="5"/>
  <c r="H190" i="5" s="1"/>
  <c r="G189" i="5"/>
  <c r="F189" i="5"/>
  <c r="E189" i="5"/>
  <c r="D189" i="5"/>
  <c r="C189" i="5"/>
  <c r="B189" i="5"/>
  <c r="H189" i="5" s="1"/>
  <c r="G188" i="5"/>
  <c r="F188" i="5"/>
  <c r="E188" i="5"/>
  <c r="D188" i="5"/>
  <c r="C188" i="5"/>
  <c r="B188" i="5"/>
  <c r="H188" i="5" s="1"/>
  <c r="G187" i="5"/>
  <c r="F187" i="5"/>
  <c r="E187" i="5"/>
  <c r="D187" i="5"/>
  <c r="C187" i="5"/>
  <c r="B187" i="5"/>
  <c r="H187" i="5" s="1"/>
  <c r="G186" i="5"/>
  <c r="F186" i="5"/>
  <c r="E186" i="5"/>
  <c r="D186" i="5"/>
  <c r="C186" i="5"/>
  <c r="B186" i="5"/>
  <c r="H186" i="5" s="1"/>
  <c r="G185" i="5"/>
  <c r="F185" i="5"/>
  <c r="E185" i="5"/>
  <c r="D185" i="5"/>
  <c r="C185" i="5"/>
  <c r="B185" i="5"/>
  <c r="H185" i="5" s="1"/>
  <c r="G184" i="5"/>
  <c r="F184" i="5"/>
  <c r="E184" i="5"/>
  <c r="D184" i="5"/>
  <c r="C184" i="5"/>
  <c r="B184" i="5"/>
  <c r="H184" i="5" s="1"/>
  <c r="G183" i="5"/>
  <c r="F183" i="5"/>
  <c r="E183" i="5"/>
  <c r="D183" i="5"/>
  <c r="C183" i="5"/>
  <c r="B183" i="5"/>
  <c r="H183" i="5" s="1"/>
  <c r="G182" i="5"/>
  <c r="F182" i="5"/>
  <c r="E182" i="5"/>
  <c r="D182" i="5"/>
  <c r="C182" i="5"/>
  <c r="B182" i="5"/>
  <c r="H182" i="5" s="1"/>
  <c r="G181" i="5"/>
  <c r="F181" i="5"/>
  <c r="E181" i="5"/>
  <c r="D181" i="5"/>
  <c r="C181" i="5"/>
  <c r="B181" i="5"/>
  <c r="H181" i="5" s="1"/>
  <c r="G180" i="5"/>
  <c r="F180" i="5"/>
  <c r="E180" i="5"/>
  <c r="D180" i="5"/>
  <c r="C180" i="5"/>
  <c r="B180" i="5"/>
  <c r="H180" i="5" s="1"/>
  <c r="G179" i="5"/>
  <c r="F179" i="5"/>
  <c r="E179" i="5"/>
  <c r="D179" i="5"/>
  <c r="C179" i="5"/>
  <c r="B179" i="5"/>
  <c r="H179" i="5" s="1"/>
  <c r="G178" i="5"/>
  <c r="F178" i="5"/>
  <c r="E178" i="5"/>
  <c r="D178" i="5"/>
  <c r="C178" i="5"/>
  <c r="B178" i="5"/>
  <c r="H178" i="5" s="1"/>
  <c r="G177" i="5"/>
  <c r="F177" i="5"/>
  <c r="E177" i="5"/>
  <c r="D177" i="5"/>
  <c r="C177" i="5"/>
  <c r="B177" i="5"/>
  <c r="H177" i="5" s="1"/>
  <c r="G176" i="5"/>
  <c r="F176" i="5"/>
  <c r="E176" i="5"/>
  <c r="D176" i="5"/>
  <c r="C176" i="5"/>
  <c r="B176" i="5"/>
  <c r="H176" i="5" s="1"/>
  <c r="G175" i="5"/>
  <c r="F175" i="5"/>
  <c r="E175" i="5"/>
  <c r="D175" i="5"/>
  <c r="C175" i="5"/>
  <c r="B175" i="5"/>
  <c r="H175" i="5" s="1"/>
  <c r="G174" i="5"/>
  <c r="F174" i="5"/>
  <c r="E174" i="5"/>
  <c r="D174" i="5"/>
  <c r="C174" i="5"/>
  <c r="B174" i="5"/>
  <c r="H174" i="5" s="1"/>
  <c r="G173" i="5"/>
  <c r="F173" i="5"/>
  <c r="E173" i="5"/>
  <c r="D173" i="5"/>
  <c r="C173" i="5"/>
  <c r="B173" i="5"/>
  <c r="H173" i="5" s="1"/>
  <c r="G172" i="5"/>
  <c r="F172" i="5"/>
  <c r="E172" i="5"/>
  <c r="D172" i="5"/>
  <c r="C172" i="5"/>
  <c r="B172" i="5"/>
  <c r="H172" i="5" s="1"/>
  <c r="G171" i="5"/>
  <c r="F171" i="5"/>
  <c r="E171" i="5"/>
  <c r="D171" i="5"/>
  <c r="C171" i="5"/>
  <c r="B171" i="5"/>
  <c r="H171" i="5" s="1"/>
  <c r="G170" i="5"/>
  <c r="F170" i="5"/>
  <c r="E170" i="5"/>
  <c r="D170" i="5"/>
  <c r="C170" i="5"/>
  <c r="B170" i="5"/>
  <c r="H170" i="5" s="1"/>
  <c r="G169" i="5"/>
  <c r="F169" i="5"/>
  <c r="E169" i="5"/>
  <c r="D169" i="5"/>
  <c r="C169" i="5"/>
  <c r="B169" i="5"/>
  <c r="H169" i="5" s="1"/>
  <c r="G168" i="5"/>
  <c r="F168" i="5"/>
  <c r="E168" i="5"/>
  <c r="D168" i="5"/>
  <c r="C168" i="5"/>
  <c r="B168" i="5"/>
  <c r="H168" i="5" s="1"/>
  <c r="G167" i="5"/>
  <c r="F167" i="5"/>
  <c r="E167" i="5"/>
  <c r="D167" i="5"/>
  <c r="C167" i="5"/>
  <c r="B167" i="5"/>
  <c r="H167" i="5" s="1"/>
  <c r="G166" i="5"/>
  <c r="F166" i="5"/>
  <c r="E166" i="5"/>
  <c r="D166" i="5"/>
  <c r="C166" i="5"/>
  <c r="B166" i="5"/>
  <c r="H166" i="5" s="1"/>
  <c r="G165" i="5"/>
  <c r="F165" i="5"/>
  <c r="E165" i="5"/>
  <c r="D165" i="5"/>
  <c r="C165" i="5"/>
  <c r="B165" i="5"/>
  <c r="H165" i="5" s="1"/>
  <c r="G164" i="5"/>
  <c r="F164" i="5"/>
  <c r="E164" i="5"/>
  <c r="D164" i="5"/>
  <c r="C164" i="5"/>
  <c r="B164" i="5"/>
  <c r="H164" i="5" s="1"/>
  <c r="G163" i="5"/>
  <c r="F163" i="5"/>
  <c r="E163" i="5"/>
  <c r="D163" i="5"/>
  <c r="C163" i="5"/>
  <c r="B163" i="5"/>
  <c r="H163" i="5" s="1"/>
  <c r="G162" i="5"/>
  <c r="F162" i="5"/>
  <c r="E162" i="5"/>
  <c r="D162" i="5"/>
  <c r="C162" i="5"/>
  <c r="B162" i="5"/>
  <c r="H162" i="5" s="1"/>
  <c r="G161" i="5"/>
  <c r="F161" i="5"/>
  <c r="E161" i="5"/>
  <c r="D161" i="5"/>
  <c r="C161" i="5"/>
  <c r="B161" i="5"/>
  <c r="H161" i="5" s="1"/>
  <c r="G160" i="5"/>
  <c r="F160" i="5"/>
  <c r="E160" i="5"/>
  <c r="D160" i="5"/>
  <c r="C160" i="5"/>
  <c r="B160" i="5"/>
  <c r="H160" i="5" s="1"/>
  <c r="G159" i="5"/>
  <c r="F159" i="5"/>
  <c r="E159" i="5"/>
  <c r="D159" i="5"/>
  <c r="C159" i="5"/>
  <c r="B159" i="5"/>
  <c r="H159" i="5" s="1"/>
  <c r="G158" i="5"/>
  <c r="F158" i="5"/>
  <c r="E158" i="5"/>
  <c r="D158" i="5"/>
  <c r="C158" i="5"/>
  <c r="B158" i="5"/>
  <c r="H158" i="5" s="1"/>
  <c r="G157" i="5"/>
  <c r="F157" i="5"/>
  <c r="E157" i="5"/>
  <c r="D157" i="5"/>
  <c r="C157" i="5"/>
  <c r="B157" i="5"/>
  <c r="H157" i="5" s="1"/>
  <c r="G156" i="5"/>
  <c r="F156" i="5"/>
  <c r="E156" i="5"/>
  <c r="D156" i="5"/>
  <c r="C156" i="5"/>
  <c r="B156" i="5"/>
  <c r="H156" i="5" s="1"/>
  <c r="G155" i="5"/>
  <c r="F155" i="5"/>
  <c r="E155" i="5"/>
  <c r="D155" i="5"/>
  <c r="C155" i="5"/>
  <c r="B155" i="5"/>
  <c r="H155" i="5" s="1"/>
  <c r="G154" i="5"/>
  <c r="F154" i="5"/>
  <c r="E154" i="5"/>
  <c r="D154" i="5"/>
  <c r="C154" i="5"/>
  <c r="B154" i="5"/>
  <c r="H154" i="5" s="1"/>
  <c r="G153" i="5"/>
  <c r="F153" i="5"/>
  <c r="E153" i="5"/>
  <c r="D153" i="5"/>
  <c r="C153" i="5"/>
  <c r="B153" i="5"/>
  <c r="H153" i="5" s="1"/>
  <c r="G152" i="5"/>
  <c r="F152" i="5"/>
  <c r="E152" i="5"/>
  <c r="D152" i="5"/>
  <c r="C152" i="5"/>
  <c r="B152" i="5"/>
  <c r="H152" i="5" s="1"/>
  <c r="G151" i="5"/>
  <c r="F151" i="5"/>
  <c r="E151" i="5"/>
  <c r="D151" i="5"/>
  <c r="C151" i="5"/>
  <c r="B151" i="5"/>
  <c r="H151" i="5" s="1"/>
  <c r="G150" i="5"/>
  <c r="F150" i="5"/>
  <c r="E150" i="5"/>
  <c r="D150" i="5"/>
  <c r="C150" i="5"/>
  <c r="B150" i="5"/>
  <c r="H150" i="5" s="1"/>
  <c r="G149" i="5"/>
  <c r="F149" i="5"/>
  <c r="E149" i="5"/>
  <c r="D149" i="5"/>
  <c r="C149" i="5"/>
  <c r="B149" i="5"/>
  <c r="H149" i="5" s="1"/>
  <c r="G148" i="5"/>
  <c r="G286" i="5" s="1"/>
  <c r="F148" i="5"/>
  <c r="F286" i="5" s="1"/>
  <c r="E148" i="5"/>
  <c r="E286" i="5" s="1"/>
  <c r="D148" i="5"/>
  <c r="D286" i="5" s="1"/>
  <c r="C148" i="5"/>
  <c r="C286" i="5" s="1"/>
  <c r="B148" i="5"/>
  <c r="G142" i="5"/>
  <c r="G428" i="5" s="1"/>
  <c r="F142" i="5"/>
  <c r="F428" i="5" s="1"/>
  <c r="E142" i="5"/>
  <c r="E428" i="5" s="1"/>
  <c r="D142" i="5"/>
  <c r="D428" i="5" s="1"/>
  <c r="C142" i="5"/>
  <c r="C428" i="5" s="1"/>
  <c r="B142" i="5"/>
  <c r="G141" i="5"/>
  <c r="G427" i="5" s="1"/>
  <c r="F141" i="5"/>
  <c r="F427" i="5" s="1"/>
  <c r="E141" i="5"/>
  <c r="E427" i="5" s="1"/>
  <c r="D141" i="5"/>
  <c r="D427" i="5" s="1"/>
  <c r="C141" i="5"/>
  <c r="C427" i="5" s="1"/>
  <c r="B141" i="5"/>
  <c r="G140" i="5"/>
  <c r="G426" i="5" s="1"/>
  <c r="F140" i="5"/>
  <c r="F426" i="5" s="1"/>
  <c r="E140" i="5"/>
  <c r="E426" i="5" s="1"/>
  <c r="D140" i="5"/>
  <c r="D426" i="5" s="1"/>
  <c r="C140" i="5"/>
  <c r="C426" i="5" s="1"/>
  <c r="B140" i="5"/>
  <c r="G139" i="5"/>
  <c r="G425" i="5" s="1"/>
  <c r="F139" i="5"/>
  <c r="F425" i="5" s="1"/>
  <c r="E139" i="5"/>
  <c r="E425" i="5" s="1"/>
  <c r="D139" i="5"/>
  <c r="D425" i="5" s="1"/>
  <c r="C139" i="5"/>
  <c r="C425" i="5" s="1"/>
  <c r="B139" i="5"/>
  <c r="G138" i="5"/>
  <c r="G424" i="5" s="1"/>
  <c r="F138" i="5"/>
  <c r="F424" i="5" s="1"/>
  <c r="E138" i="5"/>
  <c r="E424" i="5" s="1"/>
  <c r="D138" i="5"/>
  <c r="D424" i="5" s="1"/>
  <c r="C138" i="5"/>
  <c r="C424" i="5" s="1"/>
  <c r="B138" i="5"/>
  <c r="G137" i="5"/>
  <c r="G423" i="5" s="1"/>
  <c r="F137" i="5"/>
  <c r="F423" i="5" s="1"/>
  <c r="E137" i="5"/>
  <c r="E423" i="5" s="1"/>
  <c r="D137" i="5"/>
  <c r="D423" i="5" s="1"/>
  <c r="C137" i="5"/>
  <c r="C423" i="5" s="1"/>
  <c r="B137" i="5"/>
  <c r="G136" i="5"/>
  <c r="G422" i="5" s="1"/>
  <c r="F136" i="5"/>
  <c r="F422" i="5" s="1"/>
  <c r="E136" i="5"/>
  <c r="E422" i="5" s="1"/>
  <c r="D136" i="5"/>
  <c r="D422" i="5" s="1"/>
  <c r="C136" i="5"/>
  <c r="C422" i="5" s="1"/>
  <c r="B136" i="5"/>
  <c r="G135" i="5"/>
  <c r="G421" i="5" s="1"/>
  <c r="F135" i="5"/>
  <c r="F421" i="5" s="1"/>
  <c r="E135" i="5"/>
  <c r="E421" i="5" s="1"/>
  <c r="D135" i="5"/>
  <c r="D421" i="5" s="1"/>
  <c r="C135" i="5"/>
  <c r="C421" i="5" s="1"/>
  <c r="B135" i="5"/>
  <c r="G134" i="5"/>
  <c r="G420" i="5" s="1"/>
  <c r="F134" i="5"/>
  <c r="F420" i="5" s="1"/>
  <c r="E134" i="5"/>
  <c r="E420" i="5" s="1"/>
  <c r="D134" i="5"/>
  <c r="D420" i="5" s="1"/>
  <c r="C134" i="5"/>
  <c r="C420" i="5" s="1"/>
  <c r="B134" i="5"/>
  <c r="G133" i="5"/>
  <c r="G419" i="5" s="1"/>
  <c r="F133" i="5"/>
  <c r="F419" i="5" s="1"/>
  <c r="E133" i="5"/>
  <c r="E419" i="5" s="1"/>
  <c r="D133" i="5"/>
  <c r="D419" i="5" s="1"/>
  <c r="C133" i="5"/>
  <c r="C419" i="5" s="1"/>
  <c r="B133" i="5"/>
  <c r="G132" i="5"/>
  <c r="G418" i="5" s="1"/>
  <c r="F132" i="5"/>
  <c r="F418" i="5" s="1"/>
  <c r="E132" i="5"/>
  <c r="E418" i="5" s="1"/>
  <c r="D132" i="5"/>
  <c r="D418" i="5" s="1"/>
  <c r="C132" i="5"/>
  <c r="C418" i="5" s="1"/>
  <c r="B132" i="5"/>
  <c r="G131" i="5"/>
  <c r="G417" i="5" s="1"/>
  <c r="F131" i="5"/>
  <c r="F417" i="5" s="1"/>
  <c r="E131" i="5"/>
  <c r="E417" i="5" s="1"/>
  <c r="D131" i="5"/>
  <c r="D417" i="5" s="1"/>
  <c r="C131" i="5"/>
  <c r="C417" i="5" s="1"/>
  <c r="B131" i="5"/>
  <c r="G130" i="5"/>
  <c r="G416" i="5" s="1"/>
  <c r="F130" i="5"/>
  <c r="F416" i="5" s="1"/>
  <c r="E130" i="5"/>
  <c r="E416" i="5" s="1"/>
  <c r="D130" i="5"/>
  <c r="D416" i="5" s="1"/>
  <c r="C130" i="5"/>
  <c r="C416" i="5" s="1"/>
  <c r="B130" i="5"/>
  <c r="G129" i="5"/>
  <c r="G415" i="5" s="1"/>
  <c r="F129" i="5"/>
  <c r="F415" i="5" s="1"/>
  <c r="E129" i="5"/>
  <c r="E415" i="5" s="1"/>
  <c r="D129" i="5"/>
  <c r="D415" i="5" s="1"/>
  <c r="C129" i="5"/>
  <c r="C415" i="5" s="1"/>
  <c r="B129" i="5"/>
  <c r="G128" i="5"/>
  <c r="G414" i="5" s="1"/>
  <c r="F128" i="5"/>
  <c r="F414" i="5" s="1"/>
  <c r="E128" i="5"/>
  <c r="E414" i="5" s="1"/>
  <c r="D128" i="5"/>
  <c r="D414" i="5" s="1"/>
  <c r="C128" i="5"/>
  <c r="C414" i="5" s="1"/>
  <c r="B128" i="5"/>
  <c r="G127" i="5"/>
  <c r="G413" i="5" s="1"/>
  <c r="F127" i="5"/>
  <c r="F413" i="5" s="1"/>
  <c r="E127" i="5"/>
  <c r="E413" i="5" s="1"/>
  <c r="D127" i="5"/>
  <c r="D413" i="5" s="1"/>
  <c r="C127" i="5"/>
  <c r="C413" i="5" s="1"/>
  <c r="B127" i="5"/>
  <c r="G126" i="5"/>
  <c r="G412" i="5" s="1"/>
  <c r="F126" i="5"/>
  <c r="F412" i="5" s="1"/>
  <c r="E126" i="5"/>
  <c r="E412" i="5" s="1"/>
  <c r="D126" i="5"/>
  <c r="D412" i="5" s="1"/>
  <c r="C126" i="5"/>
  <c r="C412" i="5" s="1"/>
  <c r="B126" i="5"/>
  <c r="G125" i="5"/>
  <c r="G411" i="5" s="1"/>
  <c r="F125" i="5"/>
  <c r="F411" i="5" s="1"/>
  <c r="E125" i="5"/>
  <c r="E411" i="5" s="1"/>
  <c r="D125" i="5"/>
  <c r="D411" i="5" s="1"/>
  <c r="C125" i="5"/>
  <c r="C411" i="5" s="1"/>
  <c r="B125" i="5"/>
  <c r="G124" i="5"/>
  <c r="G410" i="5" s="1"/>
  <c r="F124" i="5"/>
  <c r="F410" i="5" s="1"/>
  <c r="E124" i="5"/>
  <c r="E410" i="5" s="1"/>
  <c r="D124" i="5"/>
  <c r="D410" i="5" s="1"/>
  <c r="C124" i="5"/>
  <c r="C410" i="5" s="1"/>
  <c r="B124" i="5"/>
  <c r="G123" i="5"/>
  <c r="G409" i="5" s="1"/>
  <c r="F123" i="5"/>
  <c r="F409" i="5" s="1"/>
  <c r="E123" i="5"/>
  <c r="E409" i="5" s="1"/>
  <c r="D123" i="5"/>
  <c r="D409" i="5" s="1"/>
  <c r="C123" i="5"/>
  <c r="C409" i="5" s="1"/>
  <c r="B123" i="5"/>
  <c r="G122" i="5"/>
  <c r="G408" i="5" s="1"/>
  <c r="F122" i="5"/>
  <c r="F408" i="5" s="1"/>
  <c r="E122" i="5"/>
  <c r="E408" i="5" s="1"/>
  <c r="D122" i="5"/>
  <c r="D408" i="5" s="1"/>
  <c r="C122" i="5"/>
  <c r="C408" i="5" s="1"/>
  <c r="B122" i="5"/>
  <c r="G121" i="5"/>
  <c r="G407" i="5" s="1"/>
  <c r="F121" i="5"/>
  <c r="F407" i="5" s="1"/>
  <c r="E121" i="5"/>
  <c r="E407" i="5" s="1"/>
  <c r="D121" i="5"/>
  <c r="D407" i="5" s="1"/>
  <c r="C121" i="5"/>
  <c r="C407" i="5" s="1"/>
  <c r="B121" i="5"/>
  <c r="G120" i="5"/>
  <c r="G406" i="5" s="1"/>
  <c r="F120" i="5"/>
  <c r="F406" i="5" s="1"/>
  <c r="E120" i="5"/>
  <c r="E406" i="5" s="1"/>
  <c r="D120" i="5"/>
  <c r="D406" i="5" s="1"/>
  <c r="C120" i="5"/>
  <c r="C406" i="5" s="1"/>
  <c r="B120" i="5"/>
  <c r="G119" i="5"/>
  <c r="G405" i="5" s="1"/>
  <c r="F119" i="5"/>
  <c r="F405" i="5" s="1"/>
  <c r="E119" i="5"/>
  <c r="E405" i="5" s="1"/>
  <c r="D119" i="5"/>
  <c r="D405" i="5" s="1"/>
  <c r="C119" i="5"/>
  <c r="C405" i="5" s="1"/>
  <c r="B119" i="5"/>
  <c r="G118" i="5"/>
  <c r="G404" i="5" s="1"/>
  <c r="F118" i="5"/>
  <c r="F404" i="5" s="1"/>
  <c r="E118" i="5"/>
  <c r="E404" i="5" s="1"/>
  <c r="D118" i="5"/>
  <c r="D404" i="5" s="1"/>
  <c r="C118" i="5"/>
  <c r="C404" i="5" s="1"/>
  <c r="B118" i="5"/>
  <c r="G117" i="5"/>
  <c r="G403" i="5" s="1"/>
  <c r="F117" i="5"/>
  <c r="F403" i="5" s="1"/>
  <c r="E117" i="5"/>
  <c r="E403" i="5" s="1"/>
  <c r="D117" i="5"/>
  <c r="D403" i="5" s="1"/>
  <c r="C117" i="5"/>
  <c r="C403" i="5" s="1"/>
  <c r="B117" i="5"/>
  <c r="G116" i="5"/>
  <c r="G402" i="5" s="1"/>
  <c r="F116" i="5"/>
  <c r="F402" i="5" s="1"/>
  <c r="E116" i="5"/>
  <c r="E402" i="5" s="1"/>
  <c r="D116" i="5"/>
  <c r="D402" i="5" s="1"/>
  <c r="C116" i="5"/>
  <c r="C402" i="5" s="1"/>
  <c r="B116" i="5"/>
  <c r="G115" i="5"/>
  <c r="G401" i="5" s="1"/>
  <c r="F115" i="5"/>
  <c r="F401" i="5" s="1"/>
  <c r="E115" i="5"/>
  <c r="E401" i="5" s="1"/>
  <c r="D115" i="5"/>
  <c r="D401" i="5" s="1"/>
  <c r="C115" i="5"/>
  <c r="C401" i="5" s="1"/>
  <c r="B115" i="5"/>
  <c r="G114" i="5"/>
  <c r="G400" i="5" s="1"/>
  <c r="F114" i="5"/>
  <c r="F400" i="5" s="1"/>
  <c r="E114" i="5"/>
  <c r="E400" i="5" s="1"/>
  <c r="D114" i="5"/>
  <c r="D400" i="5" s="1"/>
  <c r="C114" i="5"/>
  <c r="C400" i="5" s="1"/>
  <c r="B114" i="5"/>
  <c r="G113" i="5"/>
  <c r="G399" i="5" s="1"/>
  <c r="F113" i="5"/>
  <c r="F399" i="5" s="1"/>
  <c r="E113" i="5"/>
  <c r="E399" i="5" s="1"/>
  <c r="D113" i="5"/>
  <c r="D399" i="5" s="1"/>
  <c r="C113" i="5"/>
  <c r="C399" i="5" s="1"/>
  <c r="B113" i="5"/>
  <c r="G112" i="5"/>
  <c r="G398" i="5" s="1"/>
  <c r="F112" i="5"/>
  <c r="E112" i="5"/>
  <c r="D112" i="5"/>
  <c r="C112" i="5"/>
  <c r="B112" i="5"/>
  <c r="G111" i="5"/>
  <c r="F111" i="5"/>
  <c r="E111" i="5"/>
  <c r="D111" i="5"/>
  <c r="C111" i="5"/>
  <c r="B111" i="5"/>
  <c r="G110" i="5"/>
  <c r="F110" i="5"/>
  <c r="E110" i="5"/>
  <c r="D110" i="5"/>
  <c r="C110" i="5"/>
  <c r="B110" i="5"/>
  <c r="G109" i="5"/>
  <c r="F109" i="5"/>
  <c r="E109" i="5"/>
  <c r="D109" i="5"/>
  <c r="C109" i="5"/>
  <c r="B109" i="5"/>
  <c r="G108" i="5"/>
  <c r="F108" i="5"/>
  <c r="E108" i="5"/>
  <c r="D108" i="5"/>
  <c r="C108" i="5"/>
  <c r="B108" i="5"/>
  <c r="G107" i="5"/>
  <c r="F107" i="5"/>
  <c r="E107" i="5"/>
  <c r="D107" i="5"/>
  <c r="C107" i="5"/>
  <c r="B107" i="5"/>
  <c r="G106" i="5"/>
  <c r="F106" i="5"/>
  <c r="E106" i="5"/>
  <c r="D106" i="5"/>
  <c r="C106" i="5"/>
  <c r="B106" i="5"/>
  <c r="G105" i="5"/>
  <c r="F105" i="5"/>
  <c r="E105" i="5"/>
  <c r="D105" i="5"/>
  <c r="C105" i="5"/>
  <c r="B105" i="5"/>
  <c r="G104" i="5"/>
  <c r="F104" i="5"/>
  <c r="E104" i="5"/>
  <c r="D104" i="5"/>
  <c r="C104" i="5"/>
  <c r="B104" i="5"/>
  <c r="G103" i="5"/>
  <c r="F103" i="5"/>
  <c r="E103" i="5"/>
  <c r="D103" i="5"/>
  <c r="C103" i="5"/>
  <c r="B103" i="5"/>
  <c r="G102" i="5"/>
  <c r="F102" i="5"/>
  <c r="E102" i="5"/>
  <c r="D102" i="5"/>
  <c r="C102" i="5"/>
  <c r="B102" i="5"/>
  <c r="G101" i="5"/>
  <c r="F101" i="5"/>
  <c r="E101" i="5"/>
  <c r="D101" i="5"/>
  <c r="C101" i="5"/>
  <c r="B101" i="5"/>
  <c r="G100" i="5"/>
  <c r="F100" i="5"/>
  <c r="E100" i="5"/>
  <c r="D100" i="5"/>
  <c r="C100" i="5"/>
  <c r="B100" i="5"/>
  <c r="G99" i="5"/>
  <c r="F99" i="5"/>
  <c r="E99" i="5"/>
  <c r="D99" i="5"/>
  <c r="C99" i="5"/>
  <c r="B99" i="5"/>
  <c r="G98" i="5"/>
  <c r="F98" i="5"/>
  <c r="E98" i="5"/>
  <c r="D98" i="5"/>
  <c r="C98" i="5"/>
  <c r="B98" i="5"/>
  <c r="G97" i="5"/>
  <c r="F97" i="5"/>
  <c r="E97" i="5"/>
  <c r="D97" i="5"/>
  <c r="C97" i="5"/>
  <c r="B97" i="5"/>
  <c r="G96" i="5"/>
  <c r="F96" i="5"/>
  <c r="E96" i="5"/>
  <c r="D96" i="5"/>
  <c r="C96" i="5"/>
  <c r="B96" i="5"/>
  <c r="G95" i="5"/>
  <c r="F95" i="5"/>
  <c r="E95" i="5"/>
  <c r="D95" i="5"/>
  <c r="C95" i="5"/>
  <c r="B95" i="5"/>
  <c r="G94" i="5"/>
  <c r="F94" i="5"/>
  <c r="E94" i="5"/>
  <c r="D94" i="5"/>
  <c r="C94" i="5"/>
  <c r="B94" i="5"/>
  <c r="G93" i="5"/>
  <c r="F93" i="5"/>
  <c r="E93" i="5"/>
  <c r="D93" i="5"/>
  <c r="C93" i="5"/>
  <c r="B93" i="5"/>
  <c r="G92" i="5"/>
  <c r="F92" i="5"/>
  <c r="E92" i="5"/>
  <c r="D92" i="5"/>
  <c r="C92" i="5"/>
  <c r="B92" i="5"/>
  <c r="G91" i="5"/>
  <c r="F91" i="5"/>
  <c r="E91" i="5"/>
  <c r="D91" i="5"/>
  <c r="C91" i="5"/>
  <c r="B91" i="5"/>
  <c r="G90" i="5"/>
  <c r="F90" i="5"/>
  <c r="E90" i="5"/>
  <c r="D90" i="5"/>
  <c r="C90" i="5"/>
  <c r="B90" i="5"/>
  <c r="G89" i="5"/>
  <c r="F89" i="5"/>
  <c r="E89" i="5"/>
  <c r="D89" i="5"/>
  <c r="C89" i="5"/>
  <c r="B89" i="5"/>
  <c r="G88" i="5"/>
  <c r="F88" i="5"/>
  <c r="E88" i="5"/>
  <c r="D88" i="5"/>
  <c r="C88" i="5"/>
  <c r="B88" i="5"/>
  <c r="G87" i="5"/>
  <c r="F87" i="5"/>
  <c r="E87" i="5"/>
  <c r="D87" i="5"/>
  <c r="C87" i="5"/>
  <c r="B87" i="5"/>
  <c r="G86" i="5"/>
  <c r="F86" i="5"/>
  <c r="E86" i="5"/>
  <c r="D86" i="5"/>
  <c r="C86" i="5"/>
  <c r="B86" i="5"/>
  <c r="G85" i="5"/>
  <c r="F85" i="5"/>
  <c r="E85" i="5"/>
  <c r="D85" i="5"/>
  <c r="C85" i="5"/>
  <c r="B85" i="5"/>
  <c r="G84" i="5"/>
  <c r="F84" i="5"/>
  <c r="E84" i="5"/>
  <c r="D84" i="5"/>
  <c r="C84" i="5"/>
  <c r="B84" i="5"/>
  <c r="G83" i="5"/>
  <c r="F83" i="5"/>
  <c r="E83" i="5"/>
  <c r="D83" i="5"/>
  <c r="C83" i="5"/>
  <c r="B83" i="5"/>
  <c r="G82" i="5"/>
  <c r="F82" i="5"/>
  <c r="E82" i="5"/>
  <c r="D82" i="5"/>
  <c r="C82" i="5"/>
  <c r="B82" i="5"/>
  <c r="G81" i="5"/>
  <c r="F81" i="5"/>
  <c r="E81" i="5"/>
  <c r="D81" i="5"/>
  <c r="C81" i="5"/>
  <c r="B81" i="5"/>
  <c r="G80" i="5"/>
  <c r="F80" i="5"/>
  <c r="E80" i="5"/>
  <c r="D80" i="5"/>
  <c r="C80" i="5"/>
  <c r="B80" i="5"/>
  <c r="G79" i="5"/>
  <c r="F79" i="5"/>
  <c r="E79" i="5"/>
  <c r="D79" i="5"/>
  <c r="C79" i="5"/>
  <c r="B79" i="5"/>
  <c r="G78" i="5"/>
  <c r="F78" i="5"/>
  <c r="E78" i="5"/>
  <c r="D78" i="5"/>
  <c r="C78" i="5"/>
  <c r="B78" i="5"/>
  <c r="G77" i="5"/>
  <c r="F77" i="5"/>
  <c r="E77" i="5"/>
  <c r="D77" i="5"/>
  <c r="C77" i="5"/>
  <c r="B77" i="5"/>
  <c r="G76" i="5"/>
  <c r="F76" i="5"/>
  <c r="E76" i="5"/>
  <c r="D76" i="5"/>
  <c r="C76" i="5"/>
  <c r="B76" i="5"/>
  <c r="G75" i="5"/>
  <c r="F75" i="5"/>
  <c r="E75" i="5"/>
  <c r="D75" i="5"/>
  <c r="C75" i="5"/>
  <c r="B75" i="5"/>
  <c r="G74" i="5"/>
  <c r="F74" i="5"/>
  <c r="E74" i="5"/>
  <c r="D74" i="5"/>
  <c r="C74" i="5"/>
  <c r="B74" i="5"/>
  <c r="G73" i="5"/>
  <c r="F73" i="5"/>
  <c r="E73" i="5"/>
  <c r="D73" i="5"/>
  <c r="C73" i="5"/>
  <c r="B73" i="5"/>
  <c r="G72" i="5"/>
  <c r="F72" i="5"/>
  <c r="E72" i="5"/>
  <c r="D72" i="5"/>
  <c r="C72" i="5"/>
  <c r="B72" i="5"/>
  <c r="G71" i="5"/>
  <c r="F71" i="5"/>
  <c r="E71" i="5"/>
  <c r="D71" i="5"/>
  <c r="C71" i="5"/>
  <c r="B71" i="5"/>
  <c r="G70" i="5"/>
  <c r="F70" i="5"/>
  <c r="E70" i="5"/>
  <c r="D70" i="5"/>
  <c r="C70" i="5"/>
  <c r="B70" i="5"/>
  <c r="G69" i="5"/>
  <c r="F69" i="5"/>
  <c r="E69" i="5"/>
  <c r="D69" i="5"/>
  <c r="C69" i="5"/>
  <c r="B69" i="5"/>
  <c r="G68" i="5"/>
  <c r="F68" i="5"/>
  <c r="E68" i="5"/>
  <c r="D68" i="5"/>
  <c r="C68" i="5"/>
  <c r="B68" i="5"/>
  <c r="G67" i="5"/>
  <c r="F67" i="5"/>
  <c r="E67" i="5"/>
  <c r="D67" i="5"/>
  <c r="C67" i="5"/>
  <c r="B67" i="5"/>
  <c r="G66" i="5"/>
  <c r="F66" i="5"/>
  <c r="E66" i="5"/>
  <c r="D66" i="5"/>
  <c r="C66" i="5"/>
  <c r="B66" i="5"/>
  <c r="G65" i="5"/>
  <c r="F65" i="5"/>
  <c r="E65" i="5"/>
  <c r="D65" i="5"/>
  <c r="C65" i="5"/>
  <c r="B65" i="5"/>
  <c r="G64" i="5"/>
  <c r="F64" i="5"/>
  <c r="E64" i="5"/>
  <c r="D64" i="5"/>
  <c r="C64" i="5"/>
  <c r="B64" i="5"/>
  <c r="G63" i="5"/>
  <c r="F63" i="5"/>
  <c r="E63" i="5"/>
  <c r="D63" i="5"/>
  <c r="C63" i="5"/>
  <c r="B63" i="5"/>
  <c r="G62" i="5"/>
  <c r="F62" i="5"/>
  <c r="E62" i="5"/>
  <c r="D62" i="5"/>
  <c r="C62" i="5"/>
  <c r="B62" i="5"/>
  <c r="G61" i="5"/>
  <c r="F61" i="5"/>
  <c r="E61" i="5"/>
  <c r="D61" i="5"/>
  <c r="C61" i="5"/>
  <c r="B61" i="5"/>
  <c r="G60" i="5"/>
  <c r="F60" i="5"/>
  <c r="E60" i="5"/>
  <c r="D60" i="5"/>
  <c r="C60" i="5"/>
  <c r="B60" i="5"/>
  <c r="G59" i="5"/>
  <c r="F59" i="5"/>
  <c r="E59" i="5"/>
  <c r="D59" i="5"/>
  <c r="C59" i="5"/>
  <c r="B59" i="5"/>
  <c r="G58" i="5"/>
  <c r="F58" i="5"/>
  <c r="E58" i="5"/>
  <c r="D58" i="5"/>
  <c r="C58" i="5"/>
  <c r="B58" i="5"/>
  <c r="G57" i="5"/>
  <c r="F57" i="5"/>
  <c r="E57" i="5"/>
  <c r="D57" i="5"/>
  <c r="C57" i="5"/>
  <c r="B57" i="5"/>
  <c r="G56" i="5"/>
  <c r="F56" i="5"/>
  <c r="E56" i="5"/>
  <c r="D56" i="5"/>
  <c r="C56" i="5"/>
  <c r="B56" i="5"/>
  <c r="G55" i="5"/>
  <c r="F55" i="5"/>
  <c r="E55" i="5"/>
  <c r="D55" i="5"/>
  <c r="C55" i="5"/>
  <c r="B55" i="5"/>
  <c r="G54" i="5"/>
  <c r="F54" i="5"/>
  <c r="E54" i="5"/>
  <c r="D54" i="5"/>
  <c r="C54" i="5"/>
  <c r="B54" i="5"/>
  <c r="G53" i="5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B51" i="5"/>
  <c r="G50" i="5"/>
  <c r="F50" i="5"/>
  <c r="E50" i="5"/>
  <c r="D50" i="5"/>
  <c r="C50" i="5"/>
  <c r="B50" i="5"/>
  <c r="G49" i="5"/>
  <c r="F49" i="5"/>
  <c r="E49" i="5"/>
  <c r="D49" i="5"/>
  <c r="C49" i="5"/>
  <c r="B49" i="5"/>
  <c r="G48" i="5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B46" i="5"/>
  <c r="G45" i="5"/>
  <c r="F45" i="5"/>
  <c r="E45" i="5"/>
  <c r="D45" i="5"/>
  <c r="C45" i="5"/>
  <c r="B45" i="5"/>
  <c r="G44" i="5"/>
  <c r="F44" i="5"/>
  <c r="E44" i="5"/>
  <c r="D44" i="5"/>
  <c r="C44" i="5"/>
  <c r="B44" i="5"/>
  <c r="G43" i="5"/>
  <c r="F43" i="5"/>
  <c r="E43" i="5"/>
  <c r="D43" i="5"/>
  <c r="C43" i="5"/>
  <c r="B43" i="5"/>
  <c r="G42" i="5"/>
  <c r="F42" i="5"/>
  <c r="E42" i="5"/>
  <c r="D42" i="5"/>
  <c r="C42" i="5"/>
  <c r="B42" i="5"/>
  <c r="G41" i="5"/>
  <c r="F41" i="5"/>
  <c r="E41" i="5"/>
  <c r="D41" i="5"/>
  <c r="C41" i="5"/>
  <c r="B41" i="5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37" i="5"/>
  <c r="F37" i="5"/>
  <c r="E37" i="5"/>
  <c r="D37" i="5"/>
  <c r="C37" i="5"/>
  <c r="B37" i="5"/>
  <c r="G36" i="5"/>
  <c r="F36" i="5"/>
  <c r="E36" i="5"/>
  <c r="D36" i="5"/>
  <c r="C36" i="5"/>
  <c r="B36" i="5"/>
  <c r="G35" i="5"/>
  <c r="F35" i="5"/>
  <c r="E35" i="5"/>
  <c r="D35" i="5"/>
  <c r="C35" i="5"/>
  <c r="B35" i="5"/>
  <c r="G34" i="5"/>
  <c r="F34" i="5"/>
  <c r="E34" i="5"/>
  <c r="D34" i="5"/>
  <c r="C34" i="5"/>
  <c r="B34" i="5"/>
  <c r="G33" i="5"/>
  <c r="F33" i="5"/>
  <c r="E33" i="5"/>
  <c r="D33" i="5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D29" i="5"/>
  <c r="C29" i="5"/>
  <c r="B29" i="5"/>
  <c r="G28" i="5"/>
  <c r="F28" i="5"/>
  <c r="E28" i="5"/>
  <c r="D28" i="5"/>
  <c r="C28" i="5"/>
  <c r="B28" i="5"/>
  <c r="G27" i="5"/>
  <c r="F27" i="5"/>
  <c r="E27" i="5"/>
  <c r="D27" i="5"/>
  <c r="C27" i="5"/>
  <c r="B27" i="5"/>
  <c r="G26" i="5"/>
  <c r="F26" i="5"/>
  <c r="E26" i="5"/>
  <c r="D26" i="5"/>
  <c r="C26" i="5"/>
  <c r="B26" i="5"/>
  <c r="G25" i="5"/>
  <c r="F25" i="5"/>
  <c r="E25" i="5"/>
  <c r="D25" i="5"/>
  <c r="C25" i="5"/>
  <c r="B25" i="5"/>
  <c r="G24" i="5"/>
  <c r="F24" i="5"/>
  <c r="E24" i="5"/>
  <c r="D24" i="5"/>
  <c r="C24" i="5"/>
  <c r="B24" i="5"/>
  <c r="G23" i="5"/>
  <c r="F23" i="5"/>
  <c r="E23" i="5"/>
  <c r="D23" i="5"/>
  <c r="C23" i="5"/>
  <c r="B23" i="5"/>
  <c r="G22" i="5"/>
  <c r="F22" i="5"/>
  <c r="E22" i="5"/>
  <c r="D22" i="5"/>
  <c r="C22" i="5"/>
  <c r="B22" i="5"/>
  <c r="G21" i="5"/>
  <c r="F21" i="5"/>
  <c r="E21" i="5"/>
  <c r="D21" i="5"/>
  <c r="C21" i="5"/>
  <c r="B21" i="5"/>
  <c r="G20" i="5"/>
  <c r="F20" i="5"/>
  <c r="E20" i="5"/>
  <c r="D20" i="5"/>
  <c r="C20" i="5"/>
  <c r="B20" i="5"/>
  <c r="G19" i="5"/>
  <c r="F19" i="5"/>
  <c r="E19" i="5"/>
  <c r="D19" i="5"/>
  <c r="C19" i="5"/>
  <c r="B19" i="5"/>
  <c r="G18" i="5"/>
  <c r="F18" i="5"/>
  <c r="E18" i="5"/>
  <c r="D18" i="5"/>
  <c r="C18" i="5"/>
  <c r="B18" i="5"/>
  <c r="G17" i="5"/>
  <c r="F17" i="5"/>
  <c r="E17" i="5"/>
  <c r="D17" i="5"/>
  <c r="C17" i="5"/>
  <c r="B17" i="5"/>
  <c r="G16" i="5"/>
  <c r="F16" i="5"/>
  <c r="E16" i="5"/>
  <c r="D16" i="5"/>
  <c r="C16" i="5"/>
  <c r="B16" i="5"/>
  <c r="G15" i="5"/>
  <c r="F15" i="5"/>
  <c r="E15" i="5"/>
  <c r="D15" i="5"/>
  <c r="C15" i="5"/>
  <c r="B15" i="5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D7" i="5"/>
  <c r="C7" i="5"/>
  <c r="B7" i="5"/>
  <c r="G6" i="5"/>
  <c r="F6" i="5"/>
  <c r="E6" i="5"/>
  <c r="D6" i="5"/>
  <c r="C6" i="5"/>
  <c r="B6" i="5"/>
  <c r="G5" i="5"/>
  <c r="F5" i="5"/>
  <c r="E5" i="5"/>
  <c r="D5" i="5"/>
  <c r="C5" i="5"/>
  <c r="B5" i="5"/>
  <c r="C192" i="3"/>
  <c r="B192" i="3"/>
  <c r="C191" i="3"/>
  <c r="B191" i="3"/>
  <c r="C190" i="3"/>
  <c r="B190" i="3"/>
  <c r="C189" i="3"/>
  <c r="B189" i="3"/>
  <c r="C188" i="3"/>
  <c r="B188" i="3"/>
  <c r="C187" i="3"/>
  <c r="B187" i="3"/>
  <c r="C186" i="3"/>
  <c r="B186" i="3"/>
  <c r="C185" i="3"/>
  <c r="B185" i="3"/>
  <c r="C184" i="3"/>
  <c r="B184" i="3"/>
  <c r="C183" i="3"/>
  <c r="B183" i="3"/>
  <c r="C182" i="3"/>
  <c r="B182" i="3"/>
  <c r="C181" i="3"/>
  <c r="B181" i="3"/>
  <c r="C180" i="3"/>
  <c r="B180" i="3"/>
  <c r="C179" i="3"/>
  <c r="B179" i="3"/>
  <c r="C178" i="3"/>
  <c r="B178" i="3"/>
  <c r="C177" i="3"/>
  <c r="B177" i="3"/>
  <c r="C176" i="3"/>
  <c r="B176" i="3"/>
  <c r="C175" i="3"/>
  <c r="B175" i="3"/>
  <c r="C174" i="3"/>
  <c r="B174" i="3"/>
  <c r="C173" i="3"/>
  <c r="B173" i="3"/>
  <c r="C172" i="3"/>
  <c r="B172" i="3"/>
  <c r="C171" i="3"/>
  <c r="B171" i="3"/>
  <c r="C170" i="3"/>
  <c r="B170" i="3"/>
  <c r="C169" i="3"/>
  <c r="B169" i="3"/>
  <c r="C168" i="3"/>
  <c r="B168" i="3"/>
  <c r="C167" i="3"/>
  <c r="B167" i="3"/>
  <c r="C166" i="3"/>
  <c r="B166" i="3"/>
  <c r="C165" i="3"/>
  <c r="C193" i="3" s="1"/>
  <c r="B165" i="3"/>
  <c r="C160" i="3"/>
  <c r="B160" i="3"/>
  <c r="C159" i="3"/>
  <c r="B159" i="3"/>
  <c r="C158" i="3"/>
  <c r="B158" i="3"/>
  <c r="C157" i="3"/>
  <c r="B157" i="3"/>
  <c r="C156" i="3"/>
  <c r="B156" i="3"/>
  <c r="C155" i="3"/>
  <c r="B155" i="3"/>
  <c r="C154" i="3"/>
  <c r="B154" i="3"/>
  <c r="C153" i="3"/>
  <c r="B153" i="3"/>
  <c r="C152" i="3"/>
  <c r="B152" i="3"/>
  <c r="C151" i="3"/>
  <c r="B151" i="3"/>
  <c r="C150" i="3"/>
  <c r="B150" i="3"/>
  <c r="C149" i="3"/>
  <c r="B149" i="3"/>
  <c r="C148" i="3"/>
  <c r="B148" i="3"/>
  <c r="C147" i="3"/>
  <c r="B147" i="3"/>
  <c r="C146" i="3"/>
  <c r="B146" i="3"/>
  <c r="C145" i="3"/>
  <c r="B145" i="3"/>
  <c r="C144" i="3"/>
  <c r="B144" i="3"/>
  <c r="C143" i="3"/>
  <c r="B143" i="3"/>
  <c r="C142" i="3"/>
  <c r="B142" i="3"/>
  <c r="C141" i="3"/>
  <c r="B141" i="3"/>
  <c r="C140" i="3"/>
  <c r="B140" i="3"/>
  <c r="C139" i="3"/>
  <c r="B139" i="3"/>
  <c r="C138" i="3"/>
  <c r="B138" i="3"/>
  <c r="C137" i="3"/>
  <c r="B137" i="3"/>
  <c r="C136" i="3"/>
  <c r="B136" i="3"/>
  <c r="C135" i="3"/>
  <c r="B135" i="3"/>
  <c r="C134" i="3"/>
  <c r="B134" i="3"/>
  <c r="C133" i="3"/>
  <c r="C161" i="3" s="1"/>
  <c r="B133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C129" i="3" s="1"/>
  <c r="B101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C97" i="3" s="1"/>
  <c r="B90" i="3"/>
  <c r="E89" i="3"/>
  <c r="C89" i="3"/>
  <c r="B89" i="3"/>
  <c r="D89" i="3" s="1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C65" i="3" s="1"/>
  <c r="B37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C33" i="3" s="1"/>
  <c r="B5" i="3"/>
  <c r="C192" i="2"/>
  <c r="B192" i="2"/>
  <c r="C191" i="2"/>
  <c r="B191" i="2"/>
  <c r="C190" i="2"/>
  <c r="B190" i="2"/>
  <c r="C189" i="2"/>
  <c r="B189" i="2"/>
  <c r="C188" i="2"/>
  <c r="B188" i="2"/>
  <c r="C187" i="2"/>
  <c r="B187" i="2"/>
  <c r="C186" i="2"/>
  <c r="B186" i="2"/>
  <c r="C185" i="2"/>
  <c r="B185" i="2"/>
  <c r="C184" i="2"/>
  <c r="B184" i="2"/>
  <c r="C183" i="2"/>
  <c r="B183" i="2"/>
  <c r="C182" i="2"/>
  <c r="B182" i="2"/>
  <c r="C181" i="2"/>
  <c r="B181" i="2"/>
  <c r="C180" i="2"/>
  <c r="B180" i="2"/>
  <c r="C179" i="2"/>
  <c r="B179" i="2"/>
  <c r="C178" i="2"/>
  <c r="B178" i="2"/>
  <c r="C177" i="2"/>
  <c r="B177" i="2"/>
  <c r="C176" i="2"/>
  <c r="B176" i="2"/>
  <c r="C175" i="2"/>
  <c r="B175" i="2"/>
  <c r="C174" i="2"/>
  <c r="B174" i="2"/>
  <c r="C173" i="2"/>
  <c r="B173" i="2"/>
  <c r="C172" i="2"/>
  <c r="B172" i="2"/>
  <c r="C171" i="2"/>
  <c r="B171" i="2"/>
  <c r="C170" i="2"/>
  <c r="B170" i="2"/>
  <c r="C169" i="2"/>
  <c r="B169" i="2"/>
  <c r="C168" i="2"/>
  <c r="B168" i="2"/>
  <c r="C167" i="2"/>
  <c r="B167" i="2"/>
  <c r="C166" i="2"/>
  <c r="B166" i="2"/>
  <c r="C165" i="2"/>
  <c r="C193" i="2" s="1"/>
  <c r="B165" i="2"/>
  <c r="C160" i="2"/>
  <c r="B160" i="2"/>
  <c r="C159" i="2"/>
  <c r="B159" i="2"/>
  <c r="C158" i="2"/>
  <c r="B158" i="2"/>
  <c r="C157" i="2"/>
  <c r="B157" i="2"/>
  <c r="C156" i="2"/>
  <c r="B156" i="2"/>
  <c r="C155" i="2"/>
  <c r="B155" i="2"/>
  <c r="C154" i="2"/>
  <c r="B154" i="2"/>
  <c r="C153" i="2"/>
  <c r="B153" i="2"/>
  <c r="C152" i="2"/>
  <c r="B152" i="2"/>
  <c r="C151" i="2"/>
  <c r="B151" i="2"/>
  <c r="C150" i="2"/>
  <c r="B150" i="2"/>
  <c r="C149" i="2"/>
  <c r="B149" i="2"/>
  <c r="C148" i="2"/>
  <c r="B148" i="2"/>
  <c r="C147" i="2"/>
  <c r="B147" i="2"/>
  <c r="C146" i="2"/>
  <c r="B146" i="2"/>
  <c r="C145" i="2"/>
  <c r="B145" i="2"/>
  <c r="C144" i="2"/>
  <c r="B144" i="2"/>
  <c r="C143" i="2"/>
  <c r="B143" i="2"/>
  <c r="C142" i="2"/>
  <c r="B142" i="2"/>
  <c r="C141" i="2"/>
  <c r="B141" i="2"/>
  <c r="C140" i="2"/>
  <c r="B140" i="2"/>
  <c r="C139" i="2"/>
  <c r="B139" i="2"/>
  <c r="C138" i="2"/>
  <c r="B138" i="2"/>
  <c r="C137" i="2"/>
  <c r="B137" i="2"/>
  <c r="C136" i="2"/>
  <c r="B136" i="2"/>
  <c r="C135" i="2"/>
  <c r="B135" i="2"/>
  <c r="C134" i="2"/>
  <c r="B134" i="2"/>
  <c r="C133" i="2"/>
  <c r="C161" i="2" s="1"/>
  <c r="B133" i="2"/>
  <c r="C128" i="2"/>
  <c r="B128" i="2"/>
  <c r="C127" i="2"/>
  <c r="B127" i="2"/>
  <c r="C126" i="2"/>
  <c r="B126" i="2"/>
  <c r="C125" i="2"/>
  <c r="B125" i="2"/>
  <c r="C124" i="2"/>
  <c r="B124" i="2"/>
  <c r="C123" i="2"/>
  <c r="B123" i="2"/>
  <c r="C122" i="2"/>
  <c r="B122" i="2"/>
  <c r="C121" i="2"/>
  <c r="B121" i="2"/>
  <c r="C120" i="2"/>
  <c r="B120" i="2"/>
  <c r="C119" i="2"/>
  <c r="B119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C129" i="2" s="1"/>
  <c r="B101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C97" i="2" s="1"/>
  <c r="B69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C65" i="2" s="1"/>
  <c r="B37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C33" i="2" s="1"/>
  <c r="B5" i="2"/>
  <c r="G43" i="1"/>
  <c r="F43" i="1"/>
  <c r="E43" i="1"/>
  <c r="D43" i="1"/>
  <c r="C43" i="1"/>
  <c r="B43" i="1"/>
  <c r="G42" i="1"/>
  <c r="F42" i="1"/>
  <c r="E42" i="1"/>
  <c r="D42" i="1"/>
  <c r="C42" i="1"/>
  <c r="B42" i="1"/>
  <c r="G41" i="1"/>
  <c r="F41" i="1"/>
  <c r="E41" i="1"/>
  <c r="D41" i="1"/>
  <c r="C41" i="1"/>
  <c r="B41" i="1"/>
  <c r="G40" i="1"/>
  <c r="F40" i="1"/>
  <c r="E40" i="1"/>
  <c r="D40" i="1"/>
  <c r="C40" i="1"/>
  <c r="B40" i="1"/>
  <c r="G39" i="1"/>
  <c r="F39" i="1"/>
  <c r="E39" i="1"/>
  <c r="D39" i="1"/>
  <c r="C39" i="1"/>
  <c r="B39" i="1"/>
  <c r="G38" i="1"/>
  <c r="F38" i="1"/>
  <c r="E38" i="1"/>
  <c r="D38" i="1"/>
  <c r="C38" i="1"/>
  <c r="B38" i="1"/>
  <c r="G37" i="1"/>
  <c r="F37" i="1"/>
  <c r="E37" i="1"/>
  <c r="D37" i="1"/>
  <c r="C37" i="1"/>
  <c r="B37" i="1"/>
  <c r="G36" i="1"/>
  <c r="F36" i="1"/>
  <c r="E36" i="1"/>
  <c r="D36" i="1"/>
  <c r="C36" i="1"/>
  <c r="B36" i="1"/>
  <c r="G35" i="1"/>
  <c r="F35" i="1"/>
  <c r="E35" i="1"/>
  <c r="D35" i="1"/>
  <c r="C35" i="1"/>
  <c r="B35" i="1"/>
  <c r="G34" i="1"/>
  <c r="F34" i="1"/>
  <c r="E34" i="1"/>
  <c r="D34" i="1"/>
  <c r="C34" i="1"/>
  <c r="B34" i="1"/>
  <c r="G33" i="1"/>
  <c r="F33" i="1"/>
  <c r="E33" i="1"/>
  <c r="D33" i="1"/>
  <c r="C33" i="1"/>
  <c r="B33" i="1"/>
  <c r="G32" i="1"/>
  <c r="F32" i="1"/>
  <c r="E32" i="1"/>
  <c r="D32" i="1"/>
  <c r="C32" i="1"/>
  <c r="B32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E28" i="1"/>
  <c r="D28" i="1"/>
  <c r="C28" i="1"/>
  <c r="B28" i="1"/>
  <c r="G27" i="1"/>
  <c r="F27" i="1"/>
  <c r="E27" i="1"/>
  <c r="D27" i="1"/>
  <c r="C27" i="1"/>
  <c r="B27" i="1"/>
  <c r="G26" i="1"/>
  <c r="F26" i="1"/>
  <c r="E26" i="1"/>
  <c r="D26" i="1"/>
  <c r="C26" i="1"/>
  <c r="B26" i="1"/>
  <c r="G25" i="1"/>
  <c r="F25" i="1"/>
  <c r="E25" i="1"/>
  <c r="D25" i="1"/>
  <c r="C25" i="1"/>
  <c r="B25" i="1"/>
  <c r="G24" i="1"/>
  <c r="F24" i="1"/>
  <c r="E24" i="1"/>
  <c r="D24" i="1"/>
  <c r="C24" i="1"/>
  <c r="B24" i="1"/>
  <c r="G23" i="1"/>
  <c r="F23" i="1"/>
  <c r="E23" i="1"/>
  <c r="D23" i="1"/>
  <c r="C23" i="1"/>
  <c r="B23" i="1"/>
  <c r="G22" i="1"/>
  <c r="F22" i="1"/>
  <c r="E22" i="1"/>
  <c r="D22" i="1"/>
  <c r="C22" i="1"/>
  <c r="B22" i="1"/>
  <c r="G21" i="1"/>
  <c r="F21" i="1"/>
  <c r="E21" i="1"/>
  <c r="D21" i="1"/>
  <c r="C21" i="1"/>
  <c r="B21" i="1"/>
  <c r="G20" i="1"/>
  <c r="F20" i="1"/>
  <c r="E20" i="1"/>
  <c r="D20" i="1"/>
  <c r="C20" i="1"/>
  <c r="B20" i="1"/>
  <c r="G19" i="1"/>
  <c r="F19" i="1"/>
  <c r="E19" i="1"/>
  <c r="D19" i="1"/>
  <c r="C19" i="1"/>
  <c r="B19" i="1"/>
  <c r="G18" i="1"/>
  <c r="F18" i="1"/>
  <c r="E18" i="1"/>
  <c r="D18" i="1"/>
  <c r="C18" i="1"/>
  <c r="B18" i="1"/>
  <c r="G17" i="1"/>
  <c r="F17" i="1"/>
  <c r="E17" i="1"/>
  <c r="D17" i="1"/>
  <c r="C17" i="1"/>
  <c r="B17" i="1"/>
  <c r="G16" i="1"/>
  <c r="G44" i="1" s="1"/>
  <c r="F16" i="1"/>
  <c r="F44" i="1" s="1"/>
  <c r="E16" i="1"/>
  <c r="E44" i="1" s="1"/>
  <c r="D16" i="1"/>
  <c r="D44" i="1" s="1"/>
  <c r="C16" i="1"/>
  <c r="C44" i="1" s="1"/>
  <c r="B16" i="1"/>
  <c r="B44" i="1" s="1"/>
  <c r="F7" i="1"/>
  <c r="E7" i="1"/>
  <c r="D7" i="1"/>
  <c r="C7" i="1"/>
  <c r="F6" i="1"/>
  <c r="E6" i="1"/>
  <c r="D6" i="1"/>
  <c r="B10" i="1" s="1"/>
  <c r="C6" i="1"/>
  <c r="F5" i="1"/>
  <c r="E5" i="1"/>
  <c r="D5" i="1"/>
  <c r="C5" i="1"/>
  <c r="F4" i="1"/>
  <c r="E4" i="1"/>
  <c r="D4" i="1"/>
  <c r="B9" i="1" s="1"/>
  <c r="B11" i="1" s="1"/>
  <c r="C4" i="1"/>
  <c r="G571" i="4"/>
  <c r="F571" i="4"/>
  <c r="E571" i="4"/>
  <c r="D571" i="4"/>
  <c r="C571" i="4"/>
  <c r="B571" i="4"/>
  <c r="G570" i="4"/>
  <c r="F570" i="4"/>
  <c r="E570" i="4"/>
  <c r="D570" i="4"/>
  <c r="C570" i="4"/>
  <c r="B570" i="4"/>
  <c r="G569" i="4"/>
  <c r="F569" i="4"/>
  <c r="E569" i="4"/>
  <c r="D569" i="4"/>
  <c r="C569" i="4"/>
  <c r="B569" i="4"/>
  <c r="G568" i="4"/>
  <c r="F568" i="4"/>
  <c r="E568" i="4"/>
  <c r="D568" i="4"/>
  <c r="C568" i="4"/>
  <c r="B568" i="4"/>
  <c r="G567" i="4"/>
  <c r="F567" i="4"/>
  <c r="E567" i="4"/>
  <c r="D567" i="4"/>
  <c r="C567" i="4"/>
  <c r="B567" i="4"/>
  <c r="G566" i="4"/>
  <c r="F566" i="4"/>
  <c r="E566" i="4"/>
  <c r="D566" i="4"/>
  <c r="C566" i="4"/>
  <c r="B566" i="4"/>
  <c r="G565" i="4"/>
  <c r="F565" i="4"/>
  <c r="E565" i="4"/>
  <c r="D565" i="4"/>
  <c r="C565" i="4"/>
  <c r="B565" i="4"/>
  <c r="G564" i="4"/>
  <c r="F564" i="4"/>
  <c r="E564" i="4"/>
  <c r="D564" i="4"/>
  <c r="C564" i="4"/>
  <c r="B564" i="4"/>
  <c r="G563" i="4"/>
  <c r="F563" i="4"/>
  <c r="E563" i="4"/>
  <c r="D563" i="4"/>
  <c r="C563" i="4"/>
  <c r="B563" i="4"/>
  <c r="G562" i="4"/>
  <c r="F562" i="4"/>
  <c r="E562" i="4"/>
  <c r="D562" i="4"/>
  <c r="C562" i="4"/>
  <c r="B562" i="4"/>
  <c r="G561" i="4"/>
  <c r="F561" i="4"/>
  <c r="E561" i="4"/>
  <c r="D561" i="4"/>
  <c r="C561" i="4"/>
  <c r="B561" i="4"/>
  <c r="G560" i="4"/>
  <c r="F560" i="4"/>
  <c r="E560" i="4"/>
  <c r="D560" i="4"/>
  <c r="C560" i="4"/>
  <c r="B560" i="4"/>
  <c r="G559" i="4"/>
  <c r="F559" i="4"/>
  <c r="E559" i="4"/>
  <c r="D559" i="4"/>
  <c r="C559" i="4"/>
  <c r="B559" i="4"/>
  <c r="G558" i="4"/>
  <c r="F558" i="4"/>
  <c r="E558" i="4"/>
  <c r="D558" i="4"/>
  <c r="C558" i="4"/>
  <c r="B558" i="4"/>
  <c r="G557" i="4"/>
  <c r="F557" i="4"/>
  <c r="E557" i="4"/>
  <c r="D557" i="4"/>
  <c r="C557" i="4"/>
  <c r="B557" i="4"/>
  <c r="G556" i="4"/>
  <c r="F556" i="4"/>
  <c r="E556" i="4"/>
  <c r="D556" i="4"/>
  <c r="C556" i="4"/>
  <c r="B556" i="4"/>
  <c r="G555" i="4"/>
  <c r="F555" i="4"/>
  <c r="E555" i="4"/>
  <c r="D555" i="4"/>
  <c r="C555" i="4"/>
  <c r="B555" i="4"/>
  <c r="G554" i="4"/>
  <c r="F554" i="4"/>
  <c r="E554" i="4"/>
  <c r="D554" i="4"/>
  <c r="C554" i="4"/>
  <c r="B554" i="4"/>
  <c r="G553" i="4"/>
  <c r="F553" i="4"/>
  <c r="E553" i="4"/>
  <c r="D553" i="4"/>
  <c r="C553" i="4"/>
  <c r="B553" i="4"/>
  <c r="G552" i="4"/>
  <c r="F552" i="4"/>
  <c r="E552" i="4"/>
  <c r="D552" i="4"/>
  <c r="C552" i="4"/>
  <c r="B552" i="4"/>
  <c r="G551" i="4"/>
  <c r="F551" i="4"/>
  <c r="E551" i="4"/>
  <c r="D551" i="4"/>
  <c r="C551" i="4"/>
  <c r="B551" i="4"/>
  <c r="G550" i="4"/>
  <c r="F550" i="4"/>
  <c r="E550" i="4"/>
  <c r="D550" i="4"/>
  <c r="C550" i="4"/>
  <c r="B550" i="4"/>
  <c r="G549" i="4"/>
  <c r="F549" i="4"/>
  <c r="E549" i="4"/>
  <c r="D549" i="4"/>
  <c r="C549" i="4"/>
  <c r="B549" i="4"/>
  <c r="G548" i="4"/>
  <c r="F548" i="4"/>
  <c r="E548" i="4"/>
  <c r="D548" i="4"/>
  <c r="C548" i="4"/>
  <c r="B548" i="4"/>
  <c r="G547" i="4"/>
  <c r="F547" i="4"/>
  <c r="E547" i="4"/>
  <c r="D547" i="4"/>
  <c r="C547" i="4"/>
  <c r="B547" i="4"/>
  <c r="G546" i="4"/>
  <c r="F546" i="4"/>
  <c r="E546" i="4"/>
  <c r="D546" i="4"/>
  <c r="C546" i="4"/>
  <c r="B546" i="4"/>
  <c r="G545" i="4"/>
  <c r="F545" i="4"/>
  <c r="E545" i="4"/>
  <c r="D545" i="4"/>
  <c r="C545" i="4"/>
  <c r="B545" i="4"/>
  <c r="G544" i="4"/>
  <c r="F544" i="4"/>
  <c r="E544" i="4"/>
  <c r="D544" i="4"/>
  <c r="C544" i="4"/>
  <c r="B544" i="4"/>
  <c r="G543" i="4"/>
  <c r="F543" i="4"/>
  <c r="E543" i="4"/>
  <c r="D543" i="4"/>
  <c r="C543" i="4"/>
  <c r="B543" i="4"/>
  <c r="G542" i="4"/>
  <c r="F542" i="4"/>
  <c r="E542" i="4"/>
  <c r="D542" i="4"/>
  <c r="C542" i="4"/>
  <c r="B542" i="4"/>
  <c r="G541" i="4"/>
  <c r="F541" i="4"/>
  <c r="E541" i="4"/>
  <c r="D541" i="4"/>
  <c r="C541" i="4"/>
  <c r="B541" i="4"/>
  <c r="G540" i="4"/>
  <c r="F540" i="4"/>
  <c r="E540" i="4"/>
  <c r="D540" i="4"/>
  <c r="C540" i="4"/>
  <c r="B540" i="4"/>
  <c r="G539" i="4"/>
  <c r="F539" i="4"/>
  <c r="E539" i="4"/>
  <c r="D539" i="4"/>
  <c r="C539" i="4"/>
  <c r="B539" i="4"/>
  <c r="G538" i="4"/>
  <c r="F538" i="4"/>
  <c r="E538" i="4"/>
  <c r="D538" i="4"/>
  <c r="C538" i="4"/>
  <c r="B538" i="4"/>
  <c r="G537" i="4"/>
  <c r="F537" i="4"/>
  <c r="E537" i="4"/>
  <c r="D537" i="4"/>
  <c r="C537" i="4"/>
  <c r="B537" i="4"/>
  <c r="G536" i="4"/>
  <c r="F536" i="4"/>
  <c r="E536" i="4"/>
  <c r="D536" i="4"/>
  <c r="C536" i="4"/>
  <c r="B536" i="4"/>
  <c r="G535" i="4"/>
  <c r="F535" i="4"/>
  <c r="E535" i="4"/>
  <c r="D535" i="4"/>
  <c r="C535" i="4"/>
  <c r="B535" i="4"/>
  <c r="G534" i="4"/>
  <c r="F534" i="4"/>
  <c r="E534" i="4"/>
  <c r="D534" i="4"/>
  <c r="C534" i="4"/>
  <c r="B534" i="4"/>
  <c r="G533" i="4"/>
  <c r="F533" i="4"/>
  <c r="E533" i="4"/>
  <c r="D533" i="4"/>
  <c r="C533" i="4"/>
  <c r="B533" i="4"/>
  <c r="G532" i="4"/>
  <c r="F532" i="4"/>
  <c r="E532" i="4"/>
  <c r="D532" i="4"/>
  <c r="C532" i="4"/>
  <c r="B532" i="4"/>
  <c r="G531" i="4"/>
  <c r="F531" i="4"/>
  <c r="E531" i="4"/>
  <c r="D531" i="4"/>
  <c r="C531" i="4"/>
  <c r="B531" i="4"/>
  <c r="G530" i="4"/>
  <c r="F530" i="4"/>
  <c r="E530" i="4"/>
  <c r="D530" i="4"/>
  <c r="C530" i="4"/>
  <c r="B530" i="4"/>
  <c r="G529" i="4"/>
  <c r="F529" i="4"/>
  <c r="E529" i="4"/>
  <c r="D529" i="4"/>
  <c r="C529" i="4"/>
  <c r="B529" i="4"/>
  <c r="G528" i="4"/>
  <c r="F528" i="4"/>
  <c r="E528" i="4"/>
  <c r="D528" i="4"/>
  <c r="C528" i="4"/>
  <c r="B528" i="4"/>
  <c r="G527" i="4"/>
  <c r="F527" i="4"/>
  <c r="E527" i="4"/>
  <c r="D527" i="4"/>
  <c r="C527" i="4"/>
  <c r="B527" i="4"/>
  <c r="G526" i="4"/>
  <c r="F526" i="4"/>
  <c r="E526" i="4"/>
  <c r="D526" i="4"/>
  <c r="C526" i="4"/>
  <c r="B526" i="4"/>
  <c r="G525" i="4"/>
  <c r="F525" i="4"/>
  <c r="E525" i="4"/>
  <c r="D525" i="4"/>
  <c r="C525" i="4"/>
  <c r="B525" i="4"/>
  <c r="G524" i="4"/>
  <c r="F524" i="4"/>
  <c r="E524" i="4"/>
  <c r="D524" i="4"/>
  <c r="C524" i="4"/>
  <c r="B524" i="4"/>
  <c r="G523" i="4"/>
  <c r="F523" i="4"/>
  <c r="E523" i="4"/>
  <c r="D523" i="4"/>
  <c r="C523" i="4"/>
  <c r="B523" i="4"/>
  <c r="G522" i="4"/>
  <c r="F522" i="4"/>
  <c r="E522" i="4"/>
  <c r="D522" i="4"/>
  <c r="C522" i="4"/>
  <c r="B522" i="4"/>
  <c r="G521" i="4"/>
  <c r="F521" i="4"/>
  <c r="E521" i="4"/>
  <c r="D521" i="4"/>
  <c r="C521" i="4"/>
  <c r="B521" i="4"/>
  <c r="G520" i="4"/>
  <c r="F520" i="4"/>
  <c r="E520" i="4"/>
  <c r="D520" i="4"/>
  <c r="C520" i="4"/>
  <c r="B520" i="4"/>
  <c r="G519" i="4"/>
  <c r="F519" i="4"/>
  <c r="E519" i="4"/>
  <c r="D519" i="4"/>
  <c r="C519" i="4"/>
  <c r="B519" i="4"/>
  <c r="G518" i="4"/>
  <c r="F518" i="4"/>
  <c r="E518" i="4"/>
  <c r="D518" i="4"/>
  <c r="C518" i="4"/>
  <c r="B518" i="4"/>
  <c r="G517" i="4"/>
  <c r="F517" i="4"/>
  <c r="E517" i="4"/>
  <c r="D517" i="4"/>
  <c r="C517" i="4"/>
  <c r="B517" i="4"/>
  <c r="G516" i="4"/>
  <c r="F516" i="4"/>
  <c r="E516" i="4"/>
  <c r="D516" i="4"/>
  <c r="C516" i="4"/>
  <c r="B516" i="4"/>
  <c r="G515" i="4"/>
  <c r="F515" i="4"/>
  <c r="E515" i="4"/>
  <c r="D515" i="4"/>
  <c r="C515" i="4"/>
  <c r="B515" i="4"/>
  <c r="G514" i="4"/>
  <c r="F514" i="4"/>
  <c r="E514" i="4"/>
  <c r="D514" i="4"/>
  <c r="C514" i="4"/>
  <c r="B514" i="4"/>
  <c r="G513" i="4"/>
  <c r="F513" i="4"/>
  <c r="E513" i="4"/>
  <c r="D513" i="4"/>
  <c r="C513" i="4"/>
  <c r="B513" i="4"/>
  <c r="G512" i="4"/>
  <c r="F512" i="4"/>
  <c r="E512" i="4"/>
  <c r="D512" i="4"/>
  <c r="C512" i="4"/>
  <c r="B512" i="4"/>
  <c r="G511" i="4"/>
  <c r="F511" i="4"/>
  <c r="E511" i="4"/>
  <c r="D511" i="4"/>
  <c r="C511" i="4"/>
  <c r="B511" i="4"/>
  <c r="G510" i="4"/>
  <c r="F510" i="4"/>
  <c r="E510" i="4"/>
  <c r="D510" i="4"/>
  <c r="C510" i="4"/>
  <c r="B510" i="4"/>
  <c r="G509" i="4"/>
  <c r="F509" i="4"/>
  <c r="E509" i="4"/>
  <c r="D509" i="4"/>
  <c r="C509" i="4"/>
  <c r="B509" i="4"/>
  <c r="G508" i="4"/>
  <c r="F508" i="4"/>
  <c r="E508" i="4"/>
  <c r="D508" i="4"/>
  <c r="C508" i="4"/>
  <c r="B508" i="4"/>
  <c r="G507" i="4"/>
  <c r="F507" i="4"/>
  <c r="E507" i="4"/>
  <c r="D507" i="4"/>
  <c r="C507" i="4"/>
  <c r="B507" i="4"/>
  <c r="G506" i="4"/>
  <c r="F506" i="4"/>
  <c r="E506" i="4"/>
  <c r="D506" i="4"/>
  <c r="C506" i="4"/>
  <c r="B506" i="4"/>
  <c r="G505" i="4"/>
  <c r="F505" i="4"/>
  <c r="E505" i="4"/>
  <c r="D505" i="4"/>
  <c r="C505" i="4"/>
  <c r="B505" i="4"/>
  <c r="G504" i="4"/>
  <c r="F504" i="4"/>
  <c r="E504" i="4"/>
  <c r="D504" i="4"/>
  <c r="C504" i="4"/>
  <c r="B504" i="4"/>
  <c r="G503" i="4"/>
  <c r="F503" i="4"/>
  <c r="E503" i="4"/>
  <c r="D503" i="4"/>
  <c r="C503" i="4"/>
  <c r="B503" i="4"/>
  <c r="G502" i="4"/>
  <c r="F502" i="4"/>
  <c r="E502" i="4"/>
  <c r="D502" i="4"/>
  <c r="C502" i="4"/>
  <c r="B502" i="4"/>
  <c r="G501" i="4"/>
  <c r="F501" i="4"/>
  <c r="E501" i="4"/>
  <c r="D501" i="4"/>
  <c r="C501" i="4"/>
  <c r="B501" i="4"/>
  <c r="G500" i="4"/>
  <c r="F500" i="4"/>
  <c r="G285" i="4"/>
  <c r="F285" i="4"/>
  <c r="E285" i="4"/>
  <c r="D285" i="4"/>
  <c r="C285" i="4"/>
  <c r="B285" i="4"/>
  <c r="H285" i="4" s="1"/>
  <c r="G284" i="4"/>
  <c r="F284" i="4"/>
  <c r="E284" i="4"/>
  <c r="D284" i="4"/>
  <c r="C284" i="4"/>
  <c r="B284" i="4"/>
  <c r="H284" i="4" s="1"/>
  <c r="G283" i="4"/>
  <c r="F283" i="4"/>
  <c r="E283" i="4"/>
  <c r="D283" i="4"/>
  <c r="C283" i="4"/>
  <c r="B283" i="4"/>
  <c r="H283" i="4" s="1"/>
  <c r="G282" i="4"/>
  <c r="F282" i="4"/>
  <c r="E282" i="4"/>
  <c r="D282" i="4"/>
  <c r="C282" i="4"/>
  <c r="B282" i="4"/>
  <c r="H282" i="4" s="1"/>
  <c r="G281" i="4"/>
  <c r="F281" i="4"/>
  <c r="E281" i="4"/>
  <c r="D281" i="4"/>
  <c r="C281" i="4"/>
  <c r="B281" i="4"/>
  <c r="H281" i="4" s="1"/>
  <c r="G280" i="4"/>
  <c r="F280" i="4"/>
  <c r="E280" i="4"/>
  <c r="D280" i="4"/>
  <c r="C280" i="4"/>
  <c r="B280" i="4"/>
  <c r="H280" i="4" s="1"/>
  <c r="G279" i="4"/>
  <c r="F279" i="4"/>
  <c r="E279" i="4"/>
  <c r="D279" i="4"/>
  <c r="C279" i="4"/>
  <c r="B279" i="4"/>
  <c r="H279" i="4" s="1"/>
  <c r="G278" i="4"/>
  <c r="F278" i="4"/>
  <c r="E278" i="4"/>
  <c r="D278" i="4"/>
  <c r="C278" i="4"/>
  <c r="B278" i="4"/>
  <c r="H278" i="4" s="1"/>
  <c r="G277" i="4"/>
  <c r="F277" i="4"/>
  <c r="E277" i="4"/>
  <c r="D277" i="4"/>
  <c r="C277" i="4"/>
  <c r="B277" i="4"/>
  <c r="H277" i="4" s="1"/>
  <c r="G276" i="4"/>
  <c r="F276" i="4"/>
  <c r="E276" i="4"/>
  <c r="D276" i="4"/>
  <c r="C276" i="4"/>
  <c r="B276" i="4"/>
  <c r="H276" i="4" s="1"/>
  <c r="G275" i="4"/>
  <c r="F275" i="4"/>
  <c r="E275" i="4"/>
  <c r="D275" i="4"/>
  <c r="C275" i="4"/>
  <c r="B275" i="4"/>
  <c r="H275" i="4" s="1"/>
  <c r="G274" i="4"/>
  <c r="F274" i="4"/>
  <c r="E274" i="4"/>
  <c r="D274" i="4"/>
  <c r="C274" i="4"/>
  <c r="B274" i="4"/>
  <c r="H274" i="4" s="1"/>
  <c r="G273" i="4"/>
  <c r="F273" i="4"/>
  <c r="E273" i="4"/>
  <c r="D273" i="4"/>
  <c r="C273" i="4"/>
  <c r="B273" i="4"/>
  <c r="H273" i="4" s="1"/>
  <c r="G272" i="4"/>
  <c r="F272" i="4"/>
  <c r="E272" i="4"/>
  <c r="D272" i="4"/>
  <c r="C272" i="4"/>
  <c r="B272" i="4"/>
  <c r="H272" i="4" s="1"/>
  <c r="G271" i="4"/>
  <c r="F271" i="4"/>
  <c r="E271" i="4"/>
  <c r="D271" i="4"/>
  <c r="C271" i="4"/>
  <c r="B271" i="4"/>
  <c r="H271" i="4" s="1"/>
  <c r="G270" i="4"/>
  <c r="F270" i="4"/>
  <c r="E270" i="4"/>
  <c r="D270" i="4"/>
  <c r="C270" i="4"/>
  <c r="B270" i="4"/>
  <c r="H270" i="4" s="1"/>
  <c r="G269" i="4"/>
  <c r="F269" i="4"/>
  <c r="E269" i="4"/>
  <c r="D269" i="4"/>
  <c r="C269" i="4"/>
  <c r="B269" i="4"/>
  <c r="H269" i="4" s="1"/>
  <c r="G268" i="4"/>
  <c r="F268" i="4"/>
  <c r="E268" i="4"/>
  <c r="D268" i="4"/>
  <c r="C268" i="4"/>
  <c r="B268" i="4"/>
  <c r="H268" i="4" s="1"/>
  <c r="G267" i="4"/>
  <c r="F267" i="4"/>
  <c r="E267" i="4"/>
  <c r="D267" i="4"/>
  <c r="C267" i="4"/>
  <c r="B267" i="4"/>
  <c r="H267" i="4" s="1"/>
  <c r="G266" i="4"/>
  <c r="F266" i="4"/>
  <c r="E266" i="4"/>
  <c r="D266" i="4"/>
  <c r="C266" i="4"/>
  <c r="B266" i="4"/>
  <c r="H266" i="4" s="1"/>
  <c r="G265" i="4"/>
  <c r="F265" i="4"/>
  <c r="E265" i="4"/>
  <c r="D265" i="4"/>
  <c r="C265" i="4"/>
  <c r="B265" i="4"/>
  <c r="H265" i="4" s="1"/>
  <c r="G264" i="4"/>
  <c r="F264" i="4"/>
  <c r="E264" i="4"/>
  <c r="D264" i="4"/>
  <c r="C264" i="4"/>
  <c r="B264" i="4"/>
  <c r="H264" i="4" s="1"/>
  <c r="G263" i="4"/>
  <c r="F263" i="4"/>
  <c r="E263" i="4"/>
  <c r="D263" i="4"/>
  <c r="C263" i="4"/>
  <c r="B263" i="4"/>
  <c r="H263" i="4" s="1"/>
  <c r="G262" i="4"/>
  <c r="F262" i="4"/>
  <c r="E262" i="4"/>
  <c r="D262" i="4"/>
  <c r="C262" i="4"/>
  <c r="B262" i="4"/>
  <c r="H262" i="4" s="1"/>
  <c r="G261" i="4"/>
  <c r="F261" i="4"/>
  <c r="E261" i="4"/>
  <c r="D261" i="4"/>
  <c r="C261" i="4"/>
  <c r="B261" i="4"/>
  <c r="H261" i="4" s="1"/>
  <c r="G260" i="4"/>
  <c r="F260" i="4"/>
  <c r="E260" i="4"/>
  <c r="D260" i="4"/>
  <c r="C260" i="4"/>
  <c r="B260" i="4"/>
  <c r="H260" i="4" s="1"/>
  <c r="G259" i="4"/>
  <c r="F259" i="4"/>
  <c r="E259" i="4"/>
  <c r="D259" i="4"/>
  <c r="C259" i="4"/>
  <c r="B259" i="4"/>
  <c r="H259" i="4" s="1"/>
  <c r="G258" i="4"/>
  <c r="F258" i="4"/>
  <c r="E258" i="4"/>
  <c r="D258" i="4"/>
  <c r="C258" i="4"/>
  <c r="B258" i="4"/>
  <c r="H258" i="4" s="1"/>
  <c r="G257" i="4"/>
  <c r="F257" i="4"/>
  <c r="E257" i="4"/>
  <c r="D257" i="4"/>
  <c r="C257" i="4"/>
  <c r="B257" i="4"/>
  <c r="H257" i="4" s="1"/>
  <c r="G256" i="4"/>
  <c r="F256" i="4"/>
  <c r="E256" i="4"/>
  <c r="D256" i="4"/>
  <c r="C256" i="4"/>
  <c r="B256" i="4"/>
  <c r="H256" i="4" s="1"/>
  <c r="G255" i="4"/>
  <c r="F255" i="4"/>
  <c r="E255" i="4"/>
  <c r="D255" i="4"/>
  <c r="C255" i="4"/>
  <c r="B255" i="4"/>
  <c r="H255" i="4" s="1"/>
  <c r="G254" i="4"/>
  <c r="F254" i="4"/>
  <c r="E254" i="4"/>
  <c r="D254" i="4"/>
  <c r="C254" i="4"/>
  <c r="B254" i="4"/>
  <c r="H254" i="4" s="1"/>
  <c r="G253" i="4"/>
  <c r="F253" i="4"/>
  <c r="E253" i="4"/>
  <c r="D253" i="4"/>
  <c r="C253" i="4"/>
  <c r="B253" i="4"/>
  <c r="H253" i="4" s="1"/>
  <c r="G252" i="4"/>
  <c r="F252" i="4"/>
  <c r="E252" i="4"/>
  <c r="D252" i="4"/>
  <c r="C252" i="4"/>
  <c r="B252" i="4"/>
  <c r="H252" i="4" s="1"/>
  <c r="G251" i="4"/>
  <c r="F251" i="4"/>
  <c r="E251" i="4"/>
  <c r="D251" i="4"/>
  <c r="C251" i="4"/>
  <c r="B251" i="4"/>
  <c r="H251" i="4" s="1"/>
  <c r="G250" i="4"/>
  <c r="F250" i="4"/>
  <c r="E250" i="4"/>
  <c r="D250" i="4"/>
  <c r="C250" i="4"/>
  <c r="B250" i="4"/>
  <c r="H250" i="4" s="1"/>
  <c r="G249" i="4"/>
  <c r="F249" i="4"/>
  <c r="E249" i="4"/>
  <c r="D249" i="4"/>
  <c r="C249" i="4"/>
  <c r="B249" i="4"/>
  <c r="H249" i="4" s="1"/>
  <c r="G248" i="4"/>
  <c r="F248" i="4"/>
  <c r="E248" i="4"/>
  <c r="D248" i="4"/>
  <c r="C248" i="4"/>
  <c r="H248" i="4" s="1"/>
  <c r="B248" i="4"/>
  <c r="G247" i="4"/>
  <c r="F247" i="4"/>
  <c r="E247" i="4"/>
  <c r="D247" i="4"/>
  <c r="C247" i="4"/>
  <c r="B247" i="4"/>
  <c r="H247" i="4" s="1"/>
  <c r="G246" i="4"/>
  <c r="F246" i="4"/>
  <c r="E246" i="4"/>
  <c r="D246" i="4"/>
  <c r="C246" i="4"/>
  <c r="B246" i="4"/>
  <c r="H246" i="4" s="1"/>
  <c r="G245" i="4"/>
  <c r="F245" i="4"/>
  <c r="E245" i="4"/>
  <c r="D245" i="4"/>
  <c r="C245" i="4"/>
  <c r="B245" i="4"/>
  <c r="H245" i="4" s="1"/>
  <c r="G244" i="4"/>
  <c r="F244" i="4"/>
  <c r="E244" i="4"/>
  <c r="D244" i="4"/>
  <c r="C244" i="4"/>
  <c r="B244" i="4"/>
  <c r="H244" i="4" s="1"/>
  <c r="G243" i="4"/>
  <c r="F243" i="4"/>
  <c r="E243" i="4"/>
  <c r="D243" i="4"/>
  <c r="C243" i="4"/>
  <c r="B243" i="4"/>
  <c r="H243" i="4" s="1"/>
  <c r="G242" i="4"/>
  <c r="F242" i="4"/>
  <c r="E242" i="4"/>
  <c r="D242" i="4"/>
  <c r="C242" i="4"/>
  <c r="B242" i="4"/>
  <c r="H242" i="4" s="1"/>
  <c r="G241" i="4"/>
  <c r="F241" i="4"/>
  <c r="E241" i="4"/>
  <c r="D241" i="4"/>
  <c r="C241" i="4"/>
  <c r="B241" i="4"/>
  <c r="H241" i="4" s="1"/>
  <c r="G240" i="4"/>
  <c r="F240" i="4"/>
  <c r="E240" i="4"/>
  <c r="D240" i="4"/>
  <c r="C240" i="4"/>
  <c r="B240" i="4"/>
  <c r="H240" i="4" s="1"/>
  <c r="G239" i="4"/>
  <c r="F239" i="4"/>
  <c r="E239" i="4"/>
  <c r="D239" i="4"/>
  <c r="C239" i="4"/>
  <c r="B239" i="4"/>
  <c r="H239" i="4" s="1"/>
  <c r="G238" i="4"/>
  <c r="F238" i="4"/>
  <c r="E238" i="4"/>
  <c r="D238" i="4"/>
  <c r="C238" i="4"/>
  <c r="B238" i="4"/>
  <c r="H238" i="4" s="1"/>
  <c r="G237" i="4"/>
  <c r="F237" i="4"/>
  <c r="E237" i="4"/>
  <c r="D237" i="4"/>
  <c r="C237" i="4"/>
  <c r="B237" i="4"/>
  <c r="H237" i="4" s="1"/>
  <c r="G236" i="4"/>
  <c r="F236" i="4"/>
  <c r="E236" i="4"/>
  <c r="D236" i="4"/>
  <c r="C236" i="4"/>
  <c r="B236" i="4"/>
  <c r="H236" i="4" s="1"/>
  <c r="G235" i="4"/>
  <c r="F235" i="4"/>
  <c r="E235" i="4"/>
  <c r="D235" i="4"/>
  <c r="C235" i="4"/>
  <c r="B235" i="4"/>
  <c r="H235" i="4" s="1"/>
  <c r="G234" i="4"/>
  <c r="F234" i="4"/>
  <c r="E234" i="4"/>
  <c r="D234" i="4"/>
  <c r="C234" i="4"/>
  <c r="B234" i="4"/>
  <c r="H234" i="4" s="1"/>
  <c r="G233" i="4"/>
  <c r="F233" i="4"/>
  <c r="E233" i="4"/>
  <c r="D233" i="4"/>
  <c r="C233" i="4"/>
  <c r="B233" i="4"/>
  <c r="H233" i="4" s="1"/>
  <c r="G232" i="4"/>
  <c r="F232" i="4"/>
  <c r="E232" i="4"/>
  <c r="D232" i="4"/>
  <c r="C232" i="4"/>
  <c r="B232" i="4"/>
  <c r="H232" i="4" s="1"/>
  <c r="G231" i="4"/>
  <c r="F231" i="4"/>
  <c r="E231" i="4"/>
  <c r="D231" i="4"/>
  <c r="C231" i="4"/>
  <c r="B231" i="4"/>
  <c r="H231" i="4" s="1"/>
  <c r="G230" i="4"/>
  <c r="F230" i="4"/>
  <c r="E230" i="4"/>
  <c r="D230" i="4"/>
  <c r="C230" i="4"/>
  <c r="B230" i="4"/>
  <c r="H230" i="4" s="1"/>
  <c r="G229" i="4"/>
  <c r="F229" i="4"/>
  <c r="E229" i="4"/>
  <c r="D229" i="4"/>
  <c r="C229" i="4"/>
  <c r="B229" i="4"/>
  <c r="H229" i="4" s="1"/>
  <c r="G228" i="4"/>
  <c r="F228" i="4"/>
  <c r="E228" i="4"/>
  <c r="D228" i="4"/>
  <c r="C228" i="4"/>
  <c r="B228" i="4"/>
  <c r="H228" i="4" s="1"/>
  <c r="G227" i="4"/>
  <c r="F227" i="4"/>
  <c r="E227" i="4"/>
  <c r="D227" i="4"/>
  <c r="C227" i="4"/>
  <c r="B227" i="4"/>
  <c r="H227" i="4" s="1"/>
  <c r="G226" i="4"/>
  <c r="F226" i="4"/>
  <c r="E226" i="4"/>
  <c r="D226" i="4"/>
  <c r="C226" i="4"/>
  <c r="B226" i="4"/>
  <c r="H226" i="4" s="1"/>
  <c r="G225" i="4"/>
  <c r="F225" i="4"/>
  <c r="E225" i="4"/>
  <c r="D225" i="4"/>
  <c r="C225" i="4"/>
  <c r="B225" i="4"/>
  <c r="H225" i="4" s="1"/>
  <c r="G224" i="4"/>
  <c r="F224" i="4"/>
  <c r="E224" i="4"/>
  <c r="D224" i="4"/>
  <c r="C224" i="4"/>
  <c r="B224" i="4"/>
  <c r="H224" i="4" s="1"/>
  <c r="G223" i="4"/>
  <c r="F223" i="4"/>
  <c r="E223" i="4"/>
  <c r="D223" i="4"/>
  <c r="C223" i="4"/>
  <c r="B223" i="4"/>
  <c r="H223" i="4" s="1"/>
  <c r="G222" i="4"/>
  <c r="F222" i="4"/>
  <c r="E222" i="4"/>
  <c r="D222" i="4"/>
  <c r="C222" i="4"/>
  <c r="B222" i="4"/>
  <c r="H222" i="4" s="1"/>
  <c r="G221" i="4"/>
  <c r="F221" i="4"/>
  <c r="E221" i="4"/>
  <c r="D221" i="4"/>
  <c r="C221" i="4"/>
  <c r="B221" i="4"/>
  <c r="H221" i="4" s="1"/>
  <c r="G220" i="4"/>
  <c r="F220" i="4"/>
  <c r="E220" i="4"/>
  <c r="D220" i="4"/>
  <c r="C220" i="4"/>
  <c r="B220" i="4"/>
  <c r="H220" i="4" s="1"/>
  <c r="G219" i="4"/>
  <c r="F219" i="4"/>
  <c r="E219" i="4"/>
  <c r="D219" i="4"/>
  <c r="C219" i="4"/>
  <c r="B219" i="4"/>
  <c r="H219" i="4" s="1"/>
  <c r="G218" i="4"/>
  <c r="F218" i="4"/>
  <c r="E218" i="4"/>
  <c r="D218" i="4"/>
  <c r="C218" i="4"/>
  <c r="B218" i="4"/>
  <c r="H218" i="4" s="1"/>
  <c r="G217" i="4"/>
  <c r="F217" i="4"/>
  <c r="E217" i="4"/>
  <c r="D217" i="4"/>
  <c r="C217" i="4"/>
  <c r="B217" i="4"/>
  <c r="H217" i="4" s="1"/>
  <c r="G216" i="4"/>
  <c r="F216" i="4"/>
  <c r="E216" i="4"/>
  <c r="D216" i="4"/>
  <c r="C216" i="4"/>
  <c r="B216" i="4"/>
  <c r="H216" i="4" s="1"/>
  <c r="G215" i="4"/>
  <c r="F215" i="4"/>
  <c r="E215" i="4"/>
  <c r="D215" i="4"/>
  <c r="C215" i="4"/>
  <c r="B215" i="4"/>
  <c r="H215" i="4" s="1"/>
  <c r="G214" i="4"/>
  <c r="F214" i="4"/>
  <c r="E214" i="4"/>
  <c r="D214" i="4"/>
  <c r="C214" i="4"/>
  <c r="B214" i="4"/>
  <c r="H214" i="4" s="1"/>
  <c r="G213" i="4"/>
  <c r="F213" i="4"/>
  <c r="E213" i="4"/>
  <c r="D213" i="4"/>
  <c r="C213" i="4"/>
  <c r="B213" i="4"/>
  <c r="H213" i="4" s="1"/>
  <c r="G212" i="4"/>
  <c r="F212" i="4"/>
  <c r="E212" i="4"/>
  <c r="D212" i="4"/>
  <c r="C212" i="4"/>
  <c r="B212" i="4"/>
  <c r="H212" i="4" s="1"/>
  <c r="G211" i="4"/>
  <c r="F211" i="4"/>
  <c r="E211" i="4"/>
  <c r="D211" i="4"/>
  <c r="C211" i="4"/>
  <c r="B211" i="4"/>
  <c r="H211" i="4" s="1"/>
  <c r="G210" i="4"/>
  <c r="F210" i="4"/>
  <c r="E210" i="4"/>
  <c r="D210" i="4"/>
  <c r="C210" i="4"/>
  <c r="B210" i="4"/>
  <c r="H210" i="4" s="1"/>
  <c r="G209" i="4"/>
  <c r="F209" i="4"/>
  <c r="E209" i="4"/>
  <c r="D209" i="4"/>
  <c r="C209" i="4"/>
  <c r="B209" i="4"/>
  <c r="H209" i="4" s="1"/>
  <c r="G208" i="4"/>
  <c r="F208" i="4"/>
  <c r="E208" i="4"/>
  <c r="D208" i="4"/>
  <c r="C208" i="4"/>
  <c r="B208" i="4"/>
  <c r="H208" i="4" s="1"/>
  <c r="G207" i="4"/>
  <c r="F207" i="4"/>
  <c r="E207" i="4"/>
  <c r="D207" i="4"/>
  <c r="C207" i="4"/>
  <c r="B207" i="4"/>
  <c r="H207" i="4" s="1"/>
  <c r="G206" i="4"/>
  <c r="F206" i="4"/>
  <c r="E206" i="4"/>
  <c r="D206" i="4"/>
  <c r="C206" i="4"/>
  <c r="B206" i="4"/>
  <c r="H206" i="4" s="1"/>
  <c r="G205" i="4"/>
  <c r="F205" i="4"/>
  <c r="E205" i="4"/>
  <c r="D205" i="4"/>
  <c r="C205" i="4"/>
  <c r="B205" i="4"/>
  <c r="H205" i="4" s="1"/>
  <c r="G204" i="4"/>
  <c r="F204" i="4"/>
  <c r="E204" i="4"/>
  <c r="D204" i="4"/>
  <c r="C204" i="4"/>
  <c r="B204" i="4"/>
  <c r="H204" i="4" s="1"/>
  <c r="G203" i="4"/>
  <c r="F203" i="4"/>
  <c r="E203" i="4"/>
  <c r="D203" i="4"/>
  <c r="C203" i="4"/>
  <c r="B203" i="4"/>
  <c r="H203" i="4" s="1"/>
  <c r="G202" i="4"/>
  <c r="F202" i="4"/>
  <c r="E202" i="4"/>
  <c r="D202" i="4"/>
  <c r="C202" i="4"/>
  <c r="B202" i="4"/>
  <c r="H202" i="4" s="1"/>
  <c r="G201" i="4"/>
  <c r="F201" i="4"/>
  <c r="E201" i="4"/>
  <c r="D201" i="4"/>
  <c r="C201" i="4"/>
  <c r="B201" i="4"/>
  <c r="H201" i="4" s="1"/>
  <c r="G200" i="4"/>
  <c r="F200" i="4"/>
  <c r="E200" i="4"/>
  <c r="D200" i="4"/>
  <c r="C200" i="4"/>
  <c r="B200" i="4"/>
  <c r="H200" i="4" s="1"/>
  <c r="G199" i="4"/>
  <c r="F199" i="4"/>
  <c r="E199" i="4"/>
  <c r="D199" i="4"/>
  <c r="C199" i="4"/>
  <c r="B199" i="4"/>
  <c r="H199" i="4" s="1"/>
  <c r="G198" i="4"/>
  <c r="F198" i="4"/>
  <c r="E198" i="4"/>
  <c r="D198" i="4"/>
  <c r="C198" i="4"/>
  <c r="B198" i="4"/>
  <c r="H198" i="4" s="1"/>
  <c r="G197" i="4"/>
  <c r="F197" i="4"/>
  <c r="E197" i="4"/>
  <c r="D197" i="4"/>
  <c r="C197" i="4"/>
  <c r="B197" i="4"/>
  <c r="H197" i="4" s="1"/>
  <c r="G196" i="4"/>
  <c r="F196" i="4"/>
  <c r="E196" i="4"/>
  <c r="D196" i="4"/>
  <c r="C196" i="4"/>
  <c r="B196" i="4"/>
  <c r="H196" i="4" s="1"/>
  <c r="G195" i="4"/>
  <c r="F195" i="4"/>
  <c r="E195" i="4"/>
  <c r="D195" i="4"/>
  <c r="C195" i="4"/>
  <c r="B195" i="4"/>
  <c r="H195" i="4" s="1"/>
  <c r="G194" i="4"/>
  <c r="F194" i="4"/>
  <c r="E194" i="4"/>
  <c r="D194" i="4"/>
  <c r="C194" i="4"/>
  <c r="B194" i="4"/>
  <c r="H194" i="4" s="1"/>
  <c r="G193" i="4"/>
  <c r="F193" i="4"/>
  <c r="E193" i="4"/>
  <c r="D193" i="4"/>
  <c r="C193" i="4"/>
  <c r="B193" i="4"/>
  <c r="H193" i="4" s="1"/>
  <c r="G192" i="4"/>
  <c r="F192" i="4"/>
  <c r="E192" i="4"/>
  <c r="D192" i="4"/>
  <c r="C192" i="4"/>
  <c r="B192" i="4"/>
  <c r="H192" i="4" s="1"/>
  <c r="G191" i="4"/>
  <c r="F191" i="4"/>
  <c r="E191" i="4"/>
  <c r="D191" i="4"/>
  <c r="C191" i="4"/>
  <c r="B191" i="4"/>
  <c r="H191" i="4" s="1"/>
  <c r="G190" i="4"/>
  <c r="F190" i="4"/>
  <c r="E190" i="4"/>
  <c r="D190" i="4"/>
  <c r="C190" i="4"/>
  <c r="B190" i="4"/>
  <c r="H190" i="4" s="1"/>
  <c r="G189" i="4"/>
  <c r="F189" i="4"/>
  <c r="E189" i="4"/>
  <c r="D189" i="4"/>
  <c r="C189" i="4"/>
  <c r="B189" i="4"/>
  <c r="H189" i="4" s="1"/>
  <c r="G188" i="4"/>
  <c r="F188" i="4"/>
  <c r="E188" i="4"/>
  <c r="D188" i="4"/>
  <c r="C188" i="4"/>
  <c r="B188" i="4"/>
  <c r="H188" i="4" s="1"/>
  <c r="G187" i="4"/>
  <c r="F187" i="4"/>
  <c r="E187" i="4"/>
  <c r="D187" i="4"/>
  <c r="C187" i="4"/>
  <c r="B187" i="4"/>
  <c r="H187" i="4" s="1"/>
  <c r="G186" i="4"/>
  <c r="F186" i="4"/>
  <c r="E186" i="4"/>
  <c r="D186" i="4"/>
  <c r="C186" i="4"/>
  <c r="B186" i="4"/>
  <c r="H186" i="4" s="1"/>
  <c r="G185" i="4"/>
  <c r="F185" i="4"/>
  <c r="E185" i="4"/>
  <c r="D185" i="4"/>
  <c r="C185" i="4"/>
  <c r="B185" i="4"/>
  <c r="H185" i="4" s="1"/>
  <c r="G184" i="4"/>
  <c r="F184" i="4"/>
  <c r="E184" i="4"/>
  <c r="D184" i="4"/>
  <c r="C184" i="4"/>
  <c r="B184" i="4"/>
  <c r="H184" i="4" s="1"/>
  <c r="G183" i="4"/>
  <c r="F183" i="4"/>
  <c r="E183" i="4"/>
  <c r="D183" i="4"/>
  <c r="C183" i="4"/>
  <c r="B183" i="4"/>
  <c r="H183" i="4" s="1"/>
  <c r="G182" i="4"/>
  <c r="F182" i="4"/>
  <c r="E182" i="4"/>
  <c r="D182" i="4"/>
  <c r="C182" i="4"/>
  <c r="B182" i="4"/>
  <c r="H182" i="4" s="1"/>
  <c r="G181" i="4"/>
  <c r="F181" i="4"/>
  <c r="E181" i="4"/>
  <c r="D181" i="4"/>
  <c r="C181" i="4"/>
  <c r="B181" i="4"/>
  <c r="H181" i="4" s="1"/>
  <c r="G180" i="4"/>
  <c r="F180" i="4"/>
  <c r="E180" i="4"/>
  <c r="D180" i="4"/>
  <c r="C180" i="4"/>
  <c r="B180" i="4"/>
  <c r="H180" i="4" s="1"/>
  <c r="G179" i="4"/>
  <c r="F179" i="4"/>
  <c r="E179" i="4"/>
  <c r="D179" i="4"/>
  <c r="C179" i="4"/>
  <c r="B179" i="4"/>
  <c r="H179" i="4" s="1"/>
  <c r="G178" i="4"/>
  <c r="F178" i="4"/>
  <c r="E178" i="4"/>
  <c r="D178" i="4"/>
  <c r="C178" i="4"/>
  <c r="B178" i="4"/>
  <c r="H178" i="4" s="1"/>
  <c r="G177" i="4"/>
  <c r="F177" i="4"/>
  <c r="E177" i="4"/>
  <c r="D177" i="4"/>
  <c r="C177" i="4"/>
  <c r="B177" i="4"/>
  <c r="H177" i="4" s="1"/>
  <c r="G176" i="4"/>
  <c r="F176" i="4"/>
  <c r="E176" i="4"/>
  <c r="D176" i="4"/>
  <c r="C176" i="4"/>
  <c r="B176" i="4"/>
  <c r="H176" i="4" s="1"/>
  <c r="G175" i="4"/>
  <c r="F175" i="4"/>
  <c r="E175" i="4"/>
  <c r="D175" i="4"/>
  <c r="C175" i="4"/>
  <c r="B175" i="4"/>
  <c r="H175" i="4" s="1"/>
  <c r="G174" i="4"/>
  <c r="F174" i="4"/>
  <c r="E174" i="4"/>
  <c r="D174" i="4"/>
  <c r="C174" i="4"/>
  <c r="B174" i="4"/>
  <c r="H174" i="4" s="1"/>
  <c r="G173" i="4"/>
  <c r="F173" i="4"/>
  <c r="E173" i="4"/>
  <c r="D173" i="4"/>
  <c r="C173" i="4"/>
  <c r="B173" i="4"/>
  <c r="H173" i="4" s="1"/>
  <c r="G172" i="4"/>
  <c r="F172" i="4"/>
  <c r="E172" i="4"/>
  <c r="D172" i="4"/>
  <c r="C172" i="4"/>
  <c r="B172" i="4"/>
  <c r="H172" i="4" s="1"/>
  <c r="G171" i="4"/>
  <c r="F171" i="4"/>
  <c r="E171" i="4"/>
  <c r="D171" i="4"/>
  <c r="C171" i="4"/>
  <c r="B171" i="4"/>
  <c r="H171" i="4" s="1"/>
  <c r="G170" i="4"/>
  <c r="F170" i="4"/>
  <c r="E170" i="4"/>
  <c r="D170" i="4"/>
  <c r="C170" i="4"/>
  <c r="B170" i="4"/>
  <c r="H170" i="4" s="1"/>
  <c r="G169" i="4"/>
  <c r="F169" i="4"/>
  <c r="E169" i="4"/>
  <c r="D169" i="4"/>
  <c r="C169" i="4"/>
  <c r="B169" i="4"/>
  <c r="H169" i="4" s="1"/>
  <c r="G168" i="4"/>
  <c r="F168" i="4"/>
  <c r="E168" i="4"/>
  <c r="D168" i="4"/>
  <c r="C168" i="4"/>
  <c r="B168" i="4"/>
  <c r="H168" i="4" s="1"/>
  <c r="G167" i="4"/>
  <c r="F167" i="4"/>
  <c r="E167" i="4"/>
  <c r="D167" i="4"/>
  <c r="C167" i="4"/>
  <c r="B167" i="4"/>
  <c r="H167" i="4" s="1"/>
  <c r="G166" i="4"/>
  <c r="F166" i="4"/>
  <c r="E166" i="4"/>
  <c r="D166" i="4"/>
  <c r="C166" i="4"/>
  <c r="B166" i="4"/>
  <c r="H166" i="4" s="1"/>
  <c r="G165" i="4"/>
  <c r="F165" i="4"/>
  <c r="E165" i="4"/>
  <c r="D165" i="4"/>
  <c r="C165" i="4"/>
  <c r="B165" i="4"/>
  <c r="H165" i="4" s="1"/>
  <c r="G164" i="4"/>
  <c r="F164" i="4"/>
  <c r="E164" i="4"/>
  <c r="D164" i="4"/>
  <c r="C164" i="4"/>
  <c r="B164" i="4"/>
  <c r="H164" i="4" s="1"/>
  <c r="G163" i="4"/>
  <c r="F163" i="4"/>
  <c r="E163" i="4"/>
  <c r="D163" i="4"/>
  <c r="C163" i="4"/>
  <c r="B163" i="4"/>
  <c r="H163" i="4" s="1"/>
  <c r="G162" i="4"/>
  <c r="F162" i="4"/>
  <c r="E162" i="4"/>
  <c r="D162" i="4"/>
  <c r="C162" i="4"/>
  <c r="B162" i="4"/>
  <c r="H162" i="4" s="1"/>
  <c r="G161" i="4"/>
  <c r="F161" i="4"/>
  <c r="E161" i="4"/>
  <c r="D161" i="4"/>
  <c r="C161" i="4"/>
  <c r="B161" i="4"/>
  <c r="H161" i="4" s="1"/>
  <c r="G160" i="4"/>
  <c r="F160" i="4"/>
  <c r="E160" i="4"/>
  <c r="D160" i="4"/>
  <c r="C160" i="4"/>
  <c r="B160" i="4"/>
  <c r="H160" i="4" s="1"/>
  <c r="G159" i="4"/>
  <c r="F159" i="4"/>
  <c r="E159" i="4"/>
  <c r="D159" i="4"/>
  <c r="C159" i="4"/>
  <c r="B159" i="4"/>
  <c r="H159" i="4" s="1"/>
  <c r="G158" i="4"/>
  <c r="F158" i="4"/>
  <c r="E158" i="4"/>
  <c r="D158" i="4"/>
  <c r="C158" i="4"/>
  <c r="B158" i="4"/>
  <c r="H158" i="4" s="1"/>
  <c r="G157" i="4"/>
  <c r="F157" i="4"/>
  <c r="E157" i="4"/>
  <c r="D157" i="4"/>
  <c r="C157" i="4"/>
  <c r="B157" i="4"/>
  <c r="H157" i="4" s="1"/>
  <c r="G156" i="4"/>
  <c r="F156" i="4"/>
  <c r="E156" i="4"/>
  <c r="D156" i="4"/>
  <c r="C156" i="4"/>
  <c r="B156" i="4"/>
  <c r="H156" i="4" s="1"/>
  <c r="G155" i="4"/>
  <c r="F155" i="4"/>
  <c r="E155" i="4"/>
  <c r="D155" i="4"/>
  <c r="C155" i="4"/>
  <c r="B155" i="4"/>
  <c r="H155" i="4" s="1"/>
  <c r="G154" i="4"/>
  <c r="F154" i="4"/>
  <c r="E154" i="4"/>
  <c r="D154" i="4"/>
  <c r="C154" i="4"/>
  <c r="B154" i="4"/>
  <c r="H154" i="4" s="1"/>
  <c r="G153" i="4"/>
  <c r="F153" i="4"/>
  <c r="E153" i="4"/>
  <c r="D153" i="4"/>
  <c r="C153" i="4"/>
  <c r="B153" i="4"/>
  <c r="H153" i="4" s="1"/>
  <c r="G152" i="4"/>
  <c r="F152" i="4"/>
  <c r="E152" i="4"/>
  <c r="D152" i="4"/>
  <c r="C152" i="4"/>
  <c r="B152" i="4"/>
  <c r="H152" i="4" s="1"/>
  <c r="G151" i="4"/>
  <c r="F151" i="4"/>
  <c r="E151" i="4"/>
  <c r="D151" i="4"/>
  <c r="C151" i="4"/>
  <c r="B151" i="4"/>
  <c r="H151" i="4" s="1"/>
  <c r="G150" i="4"/>
  <c r="F150" i="4"/>
  <c r="E150" i="4"/>
  <c r="D150" i="4"/>
  <c r="C150" i="4"/>
  <c r="B150" i="4"/>
  <c r="H150" i="4" s="1"/>
  <c r="G149" i="4"/>
  <c r="F149" i="4"/>
  <c r="E149" i="4"/>
  <c r="D149" i="4"/>
  <c r="C149" i="4"/>
  <c r="B149" i="4"/>
  <c r="H149" i="4" s="1"/>
  <c r="G148" i="4"/>
  <c r="G286" i="4" s="1"/>
  <c r="F148" i="4"/>
  <c r="F286" i="4" s="1"/>
  <c r="E148" i="4"/>
  <c r="E286" i="4" s="1"/>
  <c r="D148" i="4"/>
  <c r="D286" i="4" s="1"/>
  <c r="C148" i="4"/>
  <c r="C286" i="4" s="1"/>
  <c r="B148" i="4"/>
  <c r="G142" i="4"/>
  <c r="G428" i="4" s="1"/>
  <c r="F142" i="4"/>
  <c r="F428" i="4" s="1"/>
  <c r="E142" i="4"/>
  <c r="E428" i="4" s="1"/>
  <c r="D142" i="4"/>
  <c r="D428" i="4" s="1"/>
  <c r="C142" i="4"/>
  <c r="C428" i="4" s="1"/>
  <c r="B142" i="4"/>
  <c r="G141" i="4"/>
  <c r="G427" i="4" s="1"/>
  <c r="F141" i="4"/>
  <c r="F427" i="4" s="1"/>
  <c r="E141" i="4"/>
  <c r="E427" i="4" s="1"/>
  <c r="D141" i="4"/>
  <c r="D427" i="4" s="1"/>
  <c r="C141" i="4"/>
  <c r="C427" i="4" s="1"/>
  <c r="B141" i="4"/>
  <c r="G140" i="4"/>
  <c r="G426" i="4" s="1"/>
  <c r="F140" i="4"/>
  <c r="F426" i="4" s="1"/>
  <c r="E140" i="4"/>
  <c r="E426" i="4" s="1"/>
  <c r="D140" i="4"/>
  <c r="D426" i="4" s="1"/>
  <c r="C140" i="4"/>
  <c r="C426" i="4" s="1"/>
  <c r="B140" i="4"/>
  <c r="G139" i="4"/>
  <c r="G425" i="4" s="1"/>
  <c r="F139" i="4"/>
  <c r="F425" i="4" s="1"/>
  <c r="E139" i="4"/>
  <c r="E425" i="4" s="1"/>
  <c r="D139" i="4"/>
  <c r="D425" i="4" s="1"/>
  <c r="C139" i="4"/>
  <c r="C425" i="4" s="1"/>
  <c r="B139" i="4"/>
  <c r="G138" i="4"/>
  <c r="G424" i="4" s="1"/>
  <c r="F138" i="4"/>
  <c r="F424" i="4" s="1"/>
  <c r="E138" i="4"/>
  <c r="E424" i="4" s="1"/>
  <c r="D138" i="4"/>
  <c r="D424" i="4" s="1"/>
  <c r="C138" i="4"/>
  <c r="C424" i="4" s="1"/>
  <c r="B138" i="4"/>
  <c r="G137" i="4"/>
  <c r="G423" i="4" s="1"/>
  <c r="F137" i="4"/>
  <c r="F423" i="4" s="1"/>
  <c r="E137" i="4"/>
  <c r="E423" i="4" s="1"/>
  <c r="D137" i="4"/>
  <c r="D423" i="4" s="1"/>
  <c r="C137" i="4"/>
  <c r="C423" i="4" s="1"/>
  <c r="B137" i="4"/>
  <c r="G136" i="4"/>
  <c r="G422" i="4" s="1"/>
  <c r="F136" i="4"/>
  <c r="F422" i="4" s="1"/>
  <c r="E136" i="4"/>
  <c r="E422" i="4" s="1"/>
  <c r="D136" i="4"/>
  <c r="D422" i="4" s="1"/>
  <c r="C136" i="4"/>
  <c r="C422" i="4" s="1"/>
  <c r="B136" i="4"/>
  <c r="G135" i="4"/>
  <c r="G421" i="4" s="1"/>
  <c r="F135" i="4"/>
  <c r="F421" i="4" s="1"/>
  <c r="E135" i="4"/>
  <c r="E421" i="4" s="1"/>
  <c r="D135" i="4"/>
  <c r="D421" i="4" s="1"/>
  <c r="C135" i="4"/>
  <c r="C421" i="4" s="1"/>
  <c r="B135" i="4"/>
  <c r="G134" i="4"/>
  <c r="G420" i="4" s="1"/>
  <c r="F134" i="4"/>
  <c r="F420" i="4" s="1"/>
  <c r="E134" i="4"/>
  <c r="E420" i="4" s="1"/>
  <c r="D134" i="4"/>
  <c r="D420" i="4" s="1"/>
  <c r="C134" i="4"/>
  <c r="C420" i="4" s="1"/>
  <c r="B134" i="4"/>
  <c r="G133" i="4"/>
  <c r="G419" i="4" s="1"/>
  <c r="F133" i="4"/>
  <c r="F419" i="4" s="1"/>
  <c r="E133" i="4"/>
  <c r="E419" i="4" s="1"/>
  <c r="D133" i="4"/>
  <c r="D419" i="4" s="1"/>
  <c r="C133" i="4"/>
  <c r="C419" i="4" s="1"/>
  <c r="B133" i="4"/>
  <c r="G132" i="4"/>
  <c r="G418" i="4" s="1"/>
  <c r="F132" i="4"/>
  <c r="F418" i="4" s="1"/>
  <c r="E132" i="4"/>
  <c r="E418" i="4" s="1"/>
  <c r="D132" i="4"/>
  <c r="D418" i="4" s="1"/>
  <c r="C132" i="4"/>
  <c r="C418" i="4" s="1"/>
  <c r="B132" i="4"/>
  <c r="G131" i="4"/>
  <c r="G417" i="4" s="1"/>
  <c r="F131" i="4"/>
  <c r="F417" i="4" s="1"/>
  <c r="E131" i="4"/>
  <c r="E417" i="4" s="1"/>
  <c r="D131" i="4"/>
  <c r="D417" i="4" s="1"/>
  <c r="C131" i="4"/>
  <c r="C417" i="4" s="1"/>
  <c r="B131" i="4"/>
  <c r="G130" i="4"/>
  <c r="G416" i="4" s="1"/>
  <c r="F130" i="4"/>
  <c r="F416" i="4" s="1"/>
  <c r="E130" i="4"/>
  <c r="E416" i="4" s="1"/>
  <c r="D130" i="4"/>
  <c r="D416" i="4" s="1"/>
  <c r="C130" i="4"/>
  <c r="C416" i="4" s="1"/>
  <c r="B130" i="4"/>
  <c r="G129" i="4"/>
  <c r="G415" i="4" s="1"/>
  <c r="F129" i="4"/>
  <c r="F415" i="4" s="1"/>
  <c r="E129" i="4"/>
  <c r="E415" i="4" s="1"/>
  <c r="D129" i="4"/>
  <c r="D415" i="4" s="1"/>
  <c r="C129" i="4"/>
  <c r="C415" i="4" s="1"/>
  <c r="B129" i="4"/>
  <c r="G128" i="4"/>
  <c r="G414" i="4" s="1"/>
  <c r="F128" i="4"/>
  <c r="F414" i="4" s="1"/>
  <c r="E128" i="4"/>
  <c r="E414" i="4" s="1"/>
  <c r="D128" i="4"/>
  <c r="D414" i="4" s="1"/>
  <c r="C128" i="4"/>
  <c r="C414" i="4" s="1"/>
  <c r="B128" i="4"/>
  <c r="G127" i="4"/>
  <c r="G413" i="4" s="1"/>
  <c r="F127" i="4"/>
  <c r="F413" i="4" s="1"/>
  <c r="E127" i="4"/>
  <c r="E413" i="4" s="1"/>
  <c r="D127" i="4"/>
  <c r="D413" i="4" s="1"/>
  <c r="C127" i="4"/>
  <c r="C413" i="4" s="1"/>
  <c r="B127" i="4"/>
  <c r="G126" i="4"/>
  <c r="G412" i="4" s="1"/>
  <c r="F126" i="4"/>
  <c r="F412" i="4" s="1"/>
  <c r="E126" i="4"/>
  <c r="E412" i="4" s="1"/>
  <c r="D126" i="4"/>
  <c r="D412" i="4" s="1"/>
  <c r="C126" i="4"/>
  <c r="C412" i="4" s="1"/>
  <c r="B126" i="4"/>
  <c r="G125" i="4"/>
  <c r="G411" i="4" s="1"/>
  <c r="F125" i="4"/>
  <c r="F411" i="4" s="1"/>
  <c r="E125" i="4"/>
  <c r="E411" i="4" s="1"/>
  <c r="D125" i="4"/>
  <c r="D411" i="4" s="1"/>
  <c r="C125" i="4"/>
  <c r="C411" i="4" s="1"/>
  <c r="B125" i="4"/>
  <c r="G124" i="4"/>
  <c r="G410" i="4" s="1"/>
  <c r="F124" i="4"/>
  <c r="F410" i="4" s="1"/>
  <c r="E124" i="4"/>
  <c r="E410" i="4" s="1"/>
  <c r="D124" i="4"/>
  <c r="D410" i="4" s="1"/>
  <c r="C124" i="4"/>
  <c r="C410" i="4" s="1"/>
  <c r="B124" i="4"/>
  <c r="G123" i="4"/>
  <c r="G409" i="4" s="1"/>
  <c r="F123" i="4"/>
  <c r="F409" i="4" s="1"/>
  <c r="E123" i="4"/>
  <c r="E409" i="4" s="1"/>
  <c r="D123" i="4"/>
  <c r="D409" i="4" s="1"/>
  <c r="C123" i="4"/>
  <c r="C409" i="4" s="1"/>
  <c r="B123" i="4"/>
  <c r="G122" i="4"/>
  <c r="G408" i="4" s="1"/>
  <c r="F122" i="4"/>
  <c r="F408" i="4" s="1"/>
  <c r="E122" i="4"/>
  <c r="E408" i="4" s="1"/>
  <c r="D122" i="4"/>
  <c r="D408" i="4" s="1"/>
  <c r="C122" i="4"/>
  <c r="C408" i="4" s="1"/>
  <c r="B122" i="4"/>
  <c r="G121" i="4"/>
  <c r="G407" i="4" s="1"/>
  <c r="F121" i="4"/>
  <c r="F407" i="4" s="1"/>
  <c r="E121" i="4"/>
  <c r="E407" i="4" s="1"/>
  <c r="D121" i="4"/>
  <c r="D407" i="4" s="1"/>
  <c r="C121" i="4"/>
  <c r="C407" i="4" s="1"/>
  <c r="B121" i="4"/>
  <c r="G120" i="4"/>
  <c r="G406" i="4" s="1"/>
  <c r="F120" i="4"/>
  <c r="F406" i="4" s="1"/>
  <c r="E120" i="4"/>
  <c r="E406" i="4" s="1"/>
  <c r="D120" i="4"/>
  <c r="D406" i="4" s="1"/>
  <c r="C120" i="4"/>
  <c r="C406" i="4" s="1"/>
  <c r="B120" i="4"/>
  <c r="G119" i="4"/>
  <c r="G405" i="4" s="1"/>
  <c r="F119" i="4"/>
  <c r="F405" i="4" s="1"/>
  <c r="E119" i="4"/>
  <c r="E405" i="4" s="1"/>
  <c r="D119" i="4"/>
  <c r="D405" i="4" s="1"/>
  <c r="C119" i="4"/>
  <c r="C405" i="4" s="1"/>
  <c r="B119" i="4"/>
  <c r="G118" i="4"/>
  <c r="G404" i="4" s="1"/>
  <c r="F118" i="4"/>
  <c r="F404" i="4" s="1"/>
  <c r="E118" i="4"/>
  <c r="E404" i="4" s="1"/>
  <c r="D118" i="4"/>
  <c r="D404" i="4" s="1"/>
  <c r="C118" i="4"/>
  <c r="C404" i="4" s="1"/>
  <c r="B118" i="4"/>
  <c r="G117" i="4"/>
  <c r="G403" i="4" s="1"/>
  <c r="F117" i="4"/>
  <c r="F403" i="4" s="1"/>
  <c r="E117" i="4"/>
  <c r="E403" i="4" s="1"/>
  <c r="D117" i="4"/>
  <c r="D403" i="4" s="1"/>
  <c r="C117" i="4"/>
  <c r="C403" i="4" s="1"/>
  <c r="B117" i="4"/>
  <c r="G116" i="4"/>
  <c r="G402" i="4" s="1"/>
  <c r="F116" i="4"/>
  <c r="F402" i="4" s="1"/>
  <c r="E116" i="4"/>
  <c r="E402" i="4" s="1"/>
  <c r="D116" i="4"/>
  <c r="D402" i="4" s="1"/>
  <c r="C116" i="4"/>
  <c r="C402" i="4" s="1"/>
  <c r="B116" i="4"/>
  <c r="G115" i="4"/>
  <c r="G401" i="4" s="1"/>
  <c r="F115" i="4"/>
  <c r="F401" i="4" s="1"/>
  <c r="E115" i="4"/>
  <c r="E401" i="4" s="1"/>
  <c r="D115" i="4"/>
  <c r="D401" i="4" s="1"/>
  <c r="C115" i="4"/>
  <c r="C401" i="4" s="1"/>
  <c r="B115" i="4"/>
  <c r="G114" i="4"/>
  <c r="G400" i="4" s="1"/>
  <c r="F114" i="4"/>
  <c r="F400" i="4" s="1"/>
  <c r="E114" i="4"/>
  <c r="E400" i="4" s="1"/>
  <c r="D114" i="4"/>
  <c r="D400" i="4" s="1"/>
  <c r="C114" i="4"/>
  <c r="C400" i="4" s="1"/>
  <c r="B114" i="4"/>
  <c r="G113" i="4"/>
  <c r="G399" i="4" s="1"/>
  <c r="F113" i="4"/>
  <c r="F399" i="4" s="1"/>
  <c r="E113" i="4"/>
  <c r="E399" i="4" s="1"/>
  <c r="D113" i="4"/>
  <c r="D399" i="4" s="1"/>
  <c r="C113" i="4"/>
  <c r="C399" i="4" s="1"/>
  <c r="B113" i="4"/>
  <c r="G112" i="4"/>
  <c r="G398" i="4" s="1"/>
  <c r="F112" i="4"/>
  <c r="F398" i="4" s="1"/>
  <c r="E112" i="4"/>
  <c r="E398" i="4" s="1"/>
  <c r="D112" i="4"/>
  <c r="D398" i="4" s="1"/>
  <c r="C112" i="4"/>
  <c r="C398" i="4" s="1"/>
  <c r="B112" i="4"/>
  <c r="G111" i="4"/>
  <c r="G397" i="4" s="1"/>
  <c r="F111" i="4"/>
  <c r="F397" i="4" s="1"/>
  <c r="E111" i="4"/>
  <c r="E397" i="4" s="1"/>
  <c r="D111" i="4"/>
  <c r="D397" i="4" s="1"/>
  <c r="C111" i="4"/>
  <c r="C397" i="4" s="1"/>
  <c r="B111" i="4"/>
  <c r="G110" i="4"/>
  <c r="G396" i="4" s="1"/>
  <c r="F110" i="4"/>
  <c r="F396" i="4" s="1"/>
  <c r="E110" i="4"/>
  <c r="E396" i="4" s="1"/>
  <c r="D110" i="4"/>
  <c r="D396" i="4" s="1"/>
  <c r="C110" i="4"/>
  <c r="C396" i="4" s="1"/>
  <c r="B110" i="4"/>
  <c r="G109" i="4"/>
  <c r="G395" i="4" s="1"/>
  <c r="F109" i="4"/>
  <c r="F395" i="4" s="1"/>
  <c r="E109" i="4"/>
  <c r="E395" i="4" s="1"/>
  <c r="D109" i="4"/>
  <c r="D395" i="4" s="1"/>
  <c r="C109" i="4"/>
  <c r="C395" i="4" s="1"/>
  <c r="B109" i="4"/>
  <c r="G108" i="4"/>
  <c r="G394" i="4" s="1"/>
  <c r="F108" i="4"/>
  <c r="F394" i="4" s="1"/>
  <c r="E108" i="4"/>
  <c r="E394" i="4" s="1"/>
  <c r="D108" i="4"/>
  <c r="D394" i="4" s="1"/>
  <c r="C108" i="4"/>
  <c r="C394" i="4" s="1"/>
  <c r="B108" i="4"/>
  <c r="G107" i="4"/>
  <c r="G393" i="4" s="1"/>
  <c r="F107" i="4"/>
  <c r="F393" i="4" s="1"/>
  <c r="E107" i="4"/>
  <c r="E393" i="4" s="1"/>
  <c r="D107" i="4"/>
  <c r="D393" i="4" s="1"/>
  <c r="C107" i="4"/>
  <c r="C393" i="4" s="1"/>
  <c r="B107" i="4"/>
  <c r="G106" i="4"/>
  <c r="G392" i="4" s="1"/>
  <c r="F106" i="4"/>
  <c r="F392" i="4" s="1"/>
  <c r="E106" i="4"/>
  <c r="E392" i="4" s="1"/>
  <c r="D106" i="4"/>
  <c r="D392" i="4" s="1"/>
  <c r="C106" i="4"/>
  <c r="C392" i="4" s="1"/>
  <c r="B106" i="4"/>
  <c r="G105" i="4"/>
  <c r="G391" i="4" s="1"/>
  <c r="F105" i="4"/>
  <c r="F391" i="4" s="1"/>
  <c r="E105" i="4"/>
  <c r="E391" i="4" s="1"/>
  <c r="D105" i="4"/>
  <c r="D391" i="4" s="1"/>
  <c r="C105" i="4"/>
  <c r="C391" i="4" s="1"/>
  <c r="B105" i="4"/>
  <c r="G104" i="4"/>
  <c r="G390" i="4" s="1"/>
  <c r="F104" i="4"/>
  <c r="F390" i="4" s="1"/>
  <c r="E104" i="4"/>
  <c r="E390" i="4" s="1"/>
  <c r="D104" i="4"/>
  <c r="D390" i="4" s="1"/>
  <c r="C104" i="4"/>
  <c r="C390" i="4" s="1"/>
  <c r="B104" i="4"/>
  <c r="G103" i="4"/>
  <c r="G389" i="4" s="1"/>
  <c r="F103" i="4"/>
  <c r="F389" i="4" s="1"/>
  <c r="E103" i="4"/>
  <c r="E389" i="4" s="1"/>
  <c r="D103" i="4"/>
  <c r="D389" i="4" s="1"/>
  <c r="C103" i="4"/>
  <c r="C389" i="4" s="1"/>
  <c r="B103" i="4"/>
  <c r="G102" i="4"/>
  <c r="G388" i="4" s="1"/>
  <c r="F102" i="4"/>
  <c r="F388" i="4" s="1"/>
  <c r="E102" i="4"/>
  <c r="E388" i="4" s="1"/>
  <c r="D102" i="4"/>
  <c r="D388" i="4" s="1"/>
  <c r="C102" i="4"/>
  <c r="C388" i="4" s="1"/>
  <c r="B102" i="4"/>
  <c r="G101" i="4"/>
  <c r="G387" i="4" s="1"/>
  <c r="F101" i="4"/>
  <c r="F387" i="4" s="1"/>
  <c r="E101" i="4"/>
  <c r="E387" i="4" s="1"/>
  <c r="D101" i="4"/>
  <c r="D387" i="4" s="1"/>
  <c r="C101" i="4"/>
  <c r="C387" i="4" s="1"/>
  <c r="B101" i="4"/>
  <c r="G100" i="4"/>
  <c r="G386" i="4" s="1"/>
  <c r="F100" i="4"/>
  <c r="F386" i="4" s="1"/>
  <c r="E100" i="4"/>
  <c r="E386" i="4" s="1"/>
  <c r="D100" i="4"/>
  <c r="D386" i="4" s="1"/>
  <c r="C100" i="4"/>
  <c r="C386" i="4" s="1"/>
  <c r="B100" i="4"/>
  <c r="G99" i="4"/>
  <c r="G385" i="4" s="1"/>
  <c r="F99" i="4"/>
  <c r="F385" i="4" s="1"/>
  <c r="E99" i="4"/>
  <c r="E385" i="4" s="1"/>
  <c r="D99" i="4"/>
  <c r="D385" i="4" s="1"/>
  <c r="C99" i="4"/>
  <c r="C385" i="4" s="1"/>
  <c r="B99" i="4"/>
  <c r="G98" i="4"/>
  <c r="G384" i="4" s="1"/>
  <c r="F98" i="4"/>
  <c r="F384" i="4" s="1"/>
  <c r="E98" i="4"/>
  <c r="E384" i="4" s="1"/>
  <c r="D98" i="4"/>
  <c r="D384" i="4" s="1"/>
  <c r="C98" i="4"/>
  <c r="C384" i="4" s="1"/>
  <c r="B98" i="4"/>
  <c r="G97" i="4"/>
  <c r="G383" i="4" s="1"/>
  <c r="F97" i="4"/>
  <c r="F383" i="4" s="1"/>
  <c r="E97" i="4"/>
  <c r="E383" i="4" s="1"/>
  <c r="D97" i="4"/>
  <c r="D383" i="4" s="1"/>
  <c r="C97" i="4"/>
  <c r="C383" i="4" s="1"/>
  <c r="B97" i="4"/>
  <c r="G96" i="4"/>
  <c r="G382" i="4" s="1"/>
  <c r="F96" i="4"/>
  <c r="F382" i="4" s="1"/>
  <c r="E96" i="4"/>
  <c r="E382" i="4" s="1"/>
  <c r="D96" i="4"/>
  <c r="D382" i="4" s="1"/>
  <c r="C96" i="4"/>
  <c r="C382" i="4" s="1"/>
  <c r="B96" i="4"/>
  <c r="G95" i="4"/>
  <c r="G381" i="4" s="1"/>
  <c r="F95" i="4"/>
  <c r="F381" i="4" s="1"/>
  <c r="E95" i="4"/>
  <c r="E381" i="4" s="1"/>
  <c r="D95" i="4"/>
  <c r="D381" i="4" s="1"/>
  <c r="C95" i="4"/>
  <c r="C381" i="4" s="1"/>
  <c r="B95" i="4"/>
  <c r="G94" i="4"/>
  <c r="G380" i="4" s="1"/>
  <c r="F94" i="4"/>
  <c r="F380" i="4" s="1"/>
  <c r="E94" i="4"/>
  <c r="E380" i="4" s="1"/>
  <c r="D94" i="4"/>
  <c r="D380" i="4" s="1"/>
  <c r="C94" i="4"/>
  <c r="C380" i="4" s="1"/>
  <c r="B94" i="4"/>
  <c r="G93" i="4"/>
  <c r="G379" i="4" s="1"/>
  <c r="F93" i="4"/>
  <c r="F379" i="4" s="1"/>
  <c r="E93" i="4"/>
  <c r="E379" i="4" s="1"/>
  <c r="D93" i="4"/>
  <c r="D379" i="4" s="1"/>
  <c r="C93" i="4"/>
  <c r="C379" i="4" s="1"/>
  <c r="B93" i="4"/>
  <c r="G92" i="4"/>
  <c r="G378" i="4" s="1"/>
  <c r="F92" i="4"/>
  <c r="F378" i="4" s="1"/>
  <c r="E92" i="4"/>
  <c r="E378" i="4" s="1"/>
  <c r="D92" i="4"/>
  <c r="D378" i="4" s="1"/>
  <c r="C92" i="4"/>
  <c r="C378" i="4" s="1"/>
  <c r="B92" i="4"/>
  <c r="G91" i="4"/>
  <c r="G377" i="4" s="1"/>
  <c r="F91" i="4"/>
  <c r="F377" i="4" s="1"/>
  <c r="E91" i="4"/>
  <c r="E377" i="4" s="1"/>
  <c r="D91" i="4"/>
  <c r="D377" i="4" s="1"/>
  <c r="C91" i="4"/>
  <c r="C377" i="4" s="1"/>
  <c r="B91" i="4"/>
  <c r="G90" i="4"/>
  <c r="G376" i="4" s="1"/>
  <c r="F90" i="4"/>
  <c r="F376" i="4" s="1"/>
  <c r="E90" i="4"/>
  <c r="E376" i="4" s="1"/>
  <c r="D90" i="4"/>
  <c r="D376" i="4" s="1"/>
  <c r="C90" i="4"/>
  <c r="C376" i="4" s="1"/>
  <c r="B90" i="4"/>
  <c r="G89" i="4"/>
  <c r="G375" i="4" s="1"/>
  <c r="F89" i="4"/>
  <c r="F375" i="4" s="1"/>
  <c r="E89" i="4"/>
  <c r="E375" i="4" s="1"/>
  <c r="D89" i="4"/>
  <c r="D375" i="4" s="1"/>
  <c r="C89" i="4"/>
  <c r="C375" i="4" s="1"/>
  <c r="B89" i="4"/>
  <c r="G88" i="4"/>
  <c r="G374" i="4" s="1"/>
  <c r="F88" i="4"/>
  <c r="F374" i="4" s="1"/>
  <c r="E88" i="4"/>
  <c r="E374" i="4" s="1"/>
  <c r="D88" i="4"/>
  <c r="D374" i="4" s="1"/>
  <c r="C88" i="4"/>
  <c r="C374" i="4" s="1"/>
  <c r="B88" i="4"/>
  <c r="G87" i="4"/>
  <c r="G373" i="4" s="1"/>
  <c r="F87" i="4"/>
  <c r="F373" i="4" s="1"/>
  <c r="E87" i="4"/>
  <c r="E373" i="4" s="1"/>
  <c r="D87" i="4"/>
  <c r="D373" i="4" s="1"/>
  <c r="C87" i="4"/>
  <c r="C373" i="4" s="1"/>
  <c r="B87" i="4"/>
  <c r="G86" i="4"/>
  <c r="G372" i="4" s="1"/>
  <c r="F86" i="4"/>
  <c r="F372" i="4" s="1"/>
  <c r="E86" i="4"/>
  <c r="E372" i="4" s="1"/>
  <c r="D86" i="4"/>
  <c r="D372" i="4" s="1"/>
  <c r="C86" i="4"/>
  <c r="C372" i="4" s="1"/>
  <c r="B86" i="4"/>
  <c r="G85" i="4"/>
  <c r="G371" i="4" s="1"/>
  <c r="F85" i="4"/>
  <c r="F371" i="4" s="1"/>
  <c r="E85" i="4"/>
  <c r="E371" i="4" s="1"/>
  <c r="D85" i="4"/>
  <c r="D371" i="4" s="1"/>
  <c r="C85" i="4"/>
  <c r="C371" i="4" s="1"/>
  <c r="B85" i="4"/>
  <c r="G84" i="4"/>
  <c r="G370" i="4" s="1"/>
  <c r="F84" i="4"/>
  <c r="F370" i="4" s="1"/>
  <c r="E84" i="4"/>
  <c r="E370" i="4" s="1"/>
  <c r="D84" i="4"/>
  <c r="D370" i="4" s="1"/>
  <c r="C84" i="4"/>
  <c r="C370" i="4" s="1"/>
  <c r="B84" i="4"/>
  <c r="G83" i="4"/>
  <c r="G369" i="4" s="1"/>
  <c r="F83" i="4"/>
  <c r="F369" i="4" s="1"/>
  <c r="E83" i="4"/>
  <c r="E369" i="4" s="1"/>
  <c r="D83" i="4"/>
  <c r="D369" i="4" s="1"/>
  <c r="C83" i="4"/>
  <c r="C369" i="4" s="1"/>
  <c r="B83" i="4"/>
  <c r="G82" i="4"/>
  <c r="G368" i="4" s="1"/>
  <c r="F82" i="4"/>
  <c r="F368" i="4" s="1"/>
  <c r="E82" i="4"/>
  <c r="E368" i="4" s="1"/>
  <c r="D82" i="4"/>
  <c r="D368" i="4" s="1"/>
  <c r="C82" i="4"/>
  <c r="C368" i="4" s="1"/>
  <c r="B82" i="4"/>
  <c r="G81" i="4"/>
  <c r="G367" i="4" s="1"/>
  <c r="F81" i="4"/>
  <c r="F367" i="4" s="1"/>
  <c r="E81" i="4"/>
  <c r="E367" i="4" s="1"/>
  <c r="D81" i="4"/>
  <c r="D367" i="4" s="1"/>
  <c r="C81" i="4"/>
  <c r="C367" i="4" s="1"/>
  <c r="B81" i="4"/>
  <c r="G80" i="4"/>
  <c r="G366" i="4" s="1"/>
  <c r="F80" i="4"/>
  <c r="F366" i="4" s="1"/>
  <c r="E80" i="4"/>
  <c r="E366" i="4" s="1"/>
  <c r="D80" i="4"/>
  <c r="D366" i="4" s="1"/>
  <c r="C80" i="4"/>
  <c r="C366" i="4" s="1"/>
  <c r="B80" i="4"/>
  <c r="G79" i="4"/>
  <c r="G365" i="4" s="1"/>
  <c r="F79" i="4"/>
  <c r="F365" i="4" s="1"/>
  <c r="E79" i="4"/>
  <c r="E365" i="4" s="1"/>
  <c r="D79" i="4"/>
  <c r="D365" i="4" s="1"/>
  <c r="C79" i="4"/>
  <c r="C365" i="4" s="1"/>
  <c r="B79" i="4"/>
  <c r="G78" i="4"/>
  <c r="G364" i="4" s="1"/>
  <c r="F78" i="4"/>
  <c r="F364" i="4" s="1"/>
  <c r="E78" i="4"/>
  <c r="E364" i="4" s="1"/>
  <c r="D78" i="4"/>
  <c r="D364" i="4" s="1"/>
  <c r="C78" i="4"/>
  <c r="C364" i="4" s="1"/>
  <c r="B78" i="4"/>
  <c r="G77" i="4"/>
  <c r="G363" i="4" s="1"/>
  <c r="F77" i="4"/>
  <c r="F363" i="4" s="1"/>
  <c r="E77" i="4"/>
  <c r="E363" i="4" s="1"/>
  <c r="D77" i="4"/>
  <c r="D363" i="4" s="1"/>
  <c r="C77" i="4"/>
  <c r="C363" i="4" s="1"/>
  <c r="B77" i="4"/>
  <c r="G76" i="4"/>
  <c r="G362" i="4" s="1"/>
  <c r="F76" i="4"/>
  <c r="F362" i="4" s="1"/>
  <c r="E76" i="4"/>
  <c r="E362" i="4" s="1"/>
  <c r="D76" i="4"/>
  <c r="D362" i="4" s="1"/>
  <c r="C76" i="4"/>
  <c r="C362" i="4" s="1"/>
  <c r="B76" i="4"/>
  <c r="G75" i="4"/>
  <c r="G361" i="4" s="1"/>
  <c r="F75" i="4"/>
  <c r="F361" i="4" s="1"/>
  <c r="E75" i="4"/>
  <c r="E361" i="4" s="1"/>
  <c r="D75" i="4"/>
  <c r="D361" i="4" s="1"/>
  <c r="C75" i="4"/>
  <c r="C361" i="4" s="1"/>
  <c r="B75" i="4"/>
  <c r="G74" i="4"/>
  <c r="G360" i="4" s="1"/>
  <c r="F74" i="4"/>
  <c r="F360" i="4" s="1"/>
  <c r="E74" i="4"/>
  <c r="E360" i="4" s="1"/>
  <c r="D74" i="4"/>
  <c r="D360" i="4" s="1"/>
  <c r="C74" i="4"/>
  <c r="C360" i="4" s="1"/>
  <c r="B74" i="4"/>
  <c r="G73" i="4"/>
  <c r="G359" i="4" s="1"/>
  <c r="F73" i="4"/>
  <c r="F359" i="4" s="1"/>
  <c r="E73" i="4"/>
  <c r="E359" i="4" s="1"/>
  <c r="D73" i="4"/>
  <c r="D359" i="4" s="1"/>
  <c r="C73" i="4"/>
  <c r="C359" i="4" s="1"/>
  <c r="B73" i="4"/>
  <c r="G72" i="4"/>
  <c r="G358" i="4" s="1"/>
  <c r="F72" i="4"/>
  <c r="F358" i="4" s="1"/>
  <c r="E72" i="4"/>
  <c r="E358" i="4" s="1"/>
  <c r="D72" i="4"/>
  <c r="D358" i="4" s="1"/>
  <c r="C72" i="4"/>
  <c r="C358" i="4" s="1"/>
  <c r="B72" i="4"/>
  <c r="G71" i="4"/>
  <c r="G357" i="4" s="1"/>
  <c r="F71" i="4"/>
  <c r="F357" i="4" s="1"/>
  <c r="E71" i="4"/>
  <c r="D71" i="4"/>
  <c r="C71" i="4"/>
  <c r="B71" i="4"/>
  <c r="G70" i="4"/>
  <c r="F70" i="4"/>
  <c r="E70" i="4"/>
  <c r="D70" i="4"/>
  <c r="C70" i="4"/>
  <c r="B70" i="4"/>
  <c r="G69" i="4"/>
  <c r="F69" i="4"/>
  <c r="E69" i="4"/>
  <c r="D69" i="4"/>
  <c r="C69" i="4"/>
  <c r="B69" i="4"/>
  <c r="G68" i="4"/>
  <c r="F68" i="4"/>
  <c r="E68" i="4"/>
  <c r="D68" i="4"/>
  <c r="C68" i="4"/>
  <c r="B68" i="4"/>
  <c r="G67" i="4"/>
  <c r="F67" i="4"/>
  <c r="E67" i="4"/>
  <c r="D67" i="4"/>
  <c r="C67" i="4"/>
  <c r="B67" i="4"/>
  <c r="G66" i="4"/>
  <c r="F66" i="4"/>
  <c r="E66" i="4"/>
  <c r="D66" i="4"/>
  <c r="C66" i="4"/>
  <c r="B66" i="4"/>
  <c r="G65" i="4"/>
  <c r="F65" i="4"/>
  <c r="E65" i="4"/>
  <c r="D65" i="4"/>
  <c r="C65" i="4"/>
  <c r="B65" i="4"/>
  <c r="G64" i="4"/>
  <c r="F64" i="4"/>
  <c r="E64" i="4"/>
  <c r="D64" i="4"/>
  <c r="C64" i="4"/>
  <c r="B64" i="4"/>
  <c r="G63" i="4"/>
  <c r="F63" i="4"/>
  <c r="E63" i="4"/>
  <c r="D63" i="4"/>
  <c r="C63" i="4"/>
  <c r="B63" i="4"/>
  <c r="G62" i="4"/>
  <c r="F62" i="4"/>
  <c r="E62" i="4"/>
  <c r="D62" i="4"/>
  <c r="C62" i="4"/>
  <c r="B62" i="4"/>
  <c r="G61" i="4"/>
  <c r="F61" i="4"/>
  <c r="E61" i="4"/>
  <c r="D61" i="4"/>
  <c r="C61" i="4"/>
  <c r="B61" i="4"/>
  <c r="G60" i="4"/>
  <c r="F60" i="4"/>
  <c r="E60" i="4"/>
  <c r="D60" i="4"/>
  <c r="C60" i="4"/>
  <c r="B60" i="4"/>
  <c r="G59" i="4"/>
  <c r="F59" i="4"/>
  <c r="E59" i="4"/>
  <c r="D59" i="4"/>
  <c r="C59" i="4"/>
  <c r="B59" i="4"/>
  <c r="G58" i="4"/>
  <c r="F58" i="4"/>
  <c r="E58" i="4"/>
  <c r="D58" i="4"/>
  <c r="C58" i="4"/>
  <c r="B58" i="4"/>
  <c r="G57" i="4"/>
  <c r="F57" i="4"/>
  <c r="E57" i="4"/>
  <c r="D57" i="4"/>
  <c r="C57" i="4"/>
  <c r="B57" i="4"/>
  <c r="G56" i="4"/>
  <c r="F56" i="4"/>
  <c r="E56" i="4"/>
  <c r="D56" i="4"/>
  <c r="C56" i="4"/>
  <c r="B56" i="4"/>
  <c r="G55" i="4"/>
  <c r="F55" i="4"/>
  <c r="E55" i="4"/>
  <c r="D55" i="4"/>
  <c r="C55" i="4"/>
  <c r="B55" i="4"/>
  <c r="G54" i="4"/>
  <c r="F54" i="4"/>
  <c r="E54" i="4"/>
  <c r="D54" i="4"/>
  <c r="C54" i="4"/>
  <c r="B54" i="4"/>
  <c r="G53" i="4"/>
  <c r="F53" i="4"/>
  <c r="E53" i="4"/>
  <c r="D53" i="4"/>
  <c r="C53" i="4"/>
  <c r="B53" i="4"/>
  <c r="G52" i="4"/>
  <c r="F52" i="4"/>
  <c r="E52" i="4"/>
  <c r="D52" i="4"/>
  <c r="C52" i="4"/>
  <c r="B52" i="4"/>
  <c r="G51" i="4"/>
  <c r="F51" i="4"/>
  <c r="E51" i="4"/>
  <c r="D51" i="4"/>
  <c r="C51" i="4"/>
  <c r="B51" i="4"/>
  <c r="G50" i="4"/>
  <c r="F50" i="4"/>
  <c r="E50" i="4"/>
  <c r="D50" i="4"/>
  <c r="C50" i="4"/>
  <c r="B50" i="4"/>
  <c r="G49" i="4"/>
  <c r="F49" i="4"/>
  <c r="E49" i="4"/>
  <c r="D49" i="4"/>
  <c r="C49" i="4"/>
  <c r="B49" i="4"/>
  <c r="G48" i="4"/>
  <c r="F48" i="4"/>
  <c r="E48" i="4"/>
  <c r="D48" i="4"/>
  <c r="C48" i="4"/>
  <c r="B48" i="4"/>
  <c r="G47" i="4"/>
  <c r="F47" i="4"/>
  <c r="E47" i="4"/>
  <c r="D47" i="4"/>
  <c r="C47" i="4"/>
  <c r="B47" i="4"/>
  <c r="G46" i="4"/>
  <c r="F46" i="4"/>
  <c r="E46" i="4"/>
  <c r="D46" i="4"/>
  <c r="C46" i="4"/>
  <c r="B46" i="4"/>
  <c r="G45" i="4"/>
  <c r="F45" i="4"/>
  <c r="E45" i="4"/>
  <c r="D45" i="4"/>
  <c r="C45" i="4"/>
  <c r="B45" i="4"/>
  <c r="G44" i="4"/>
  <c r="F44" i="4"/>
  <c r="E44" i="4"/>
  <c r="D44" i="4"/>
  <c r="C44" i="4"/>
  <c r="B44" i="4"/>
  <c r="G43" i="4"/>
  <c r="F43" i="4"/>
  <c r="E43" i="4"/>
  <c r="D43" i="4"/>
  <c r="C43" i="4"/>
  <c r="B43" i="4"/>
  <c r="G42" i="4"/>
  <c r="F42" i="4"/>
  <c r="E42" i="4"/>
  <c r="D42" i="4"/>
  <c r="C42" i="4"/>
  <c r="B42" i="4"/>
  <c r="G41" i="4"/>
  <c r="F41" i="4"/>
  <c r="E41" i="4"/>
  <c r="D41" i="4"/>
  <c r="C41" i="4"/>
  <c r="B41" i="4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37" i="4"/>
  <c r="F37" i="4"/>
  <c r="E37" i="4"/>
  <c r="D37" i="4"/>
  <c r="C37" i="4"/>
  <c r="B37" i="4"/>
  <c r="G36" i="4"/>
  <c r="F36" i="4"/>
  <c r="E36" i="4"/>
  <c r="D36" i="4"/>
  <c r="C36" i="4"/>
  <c r="B36" i="4"/>
  <c r="G35" i="4"/>
  <c r="F35" i="4"/>
  <c r="E35" i="4"/>
  <c r="D35" i="4"/>
  <c r="C35" i="4"/>
  <c r="B35" i="4"/>
  <c r="G34" i="4"/>
  <c r="F34" i="4"/>
  <c r="E34" i="4"/>
  <c r="D34" i="4"/>
  <c r="C34" i="4"/>
  <c r="B34" i="4"/>
  <c r="G33" i="4"/>
  <c r="F33" i="4"/>
  <c r="E33" i="4"/>
  <c r="D33" i="4"/>
  <c r="C33" i="4"/>
  <c r="B33" i="4"/>
  <c r="G32" i="4"/>
  <c r="F32" i="4"/>
  <c r="E32" i="4"/>
  <c r="D32" i="4"/>
  <c r="C32" i="4"/>
  <c r="B32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D29" i="4"/>
  <c r="C29" i="4"/>
  <c r="B29" i="4"/>
  <c r="G28" i="4"/>
  <c r="F28" i="4"/>
  <c r="E28" i="4"/>
  <c r="D28" i="4"/>
  <c r="C28" i="4"/>
  <c r="B28" i="4"/>
  <c r="G27" i="4"/>
  <c r="F27" i="4"/>
  <c r="E27" i="4"/>
  <c r="D27" i="4"/>
  <c r="C27" i="4"/>
  <c r="B27" i="4"/>
  <c r="G26" i="4"/>
  <c r="F26" i="4"/>
  <c r="E26" i="4"/>
  <c r="D26" i="4"/>
  <c r="C26" i="4"/>
  <c r="B26" i="4"/>
  <c r="G25" i="4"/>
  <c r="F25" i="4"/>
  <c r="E25" i="4"/>
  <c r="D25" i="4"/>
  <c r="C25" i="4"/>
  <c r="B25" i="4"/>
  <c r="G24" i="4"/>
  <c r="F24" i="4"/>
  <c r="E24" i="4"/>
  <c r="D24" i="4"/>
  <c r="C24" i="4"/>
  <c r="B24" i="4"/>
  <c r="G23" i="4"/>
  <c r="F23" i="4"/>
  <c r="E23" i="4"/>
  <c r="D23" i="4"/>
  <c r="C23" i="4"/>
  <c r="B23" i="4"/>
  <c r="G22" i="4"/>
  <c r="F22" i="4"/>
  <c r="E22" i="4"/>
  <c r="D22" i="4"/>
  <c r="C22" i="4"/>
  <c r="B22" i="4"/>
  <c r="G21" i="4"/>
  <c r="F21" i="4"/>
  <c r="E21" i="4"/>
  <c r="D21" i="4"/>
  <c r="C21" i="4"/>
  <c r="B21" i="4"/>
  <c r="G20" i="4"/>
  <c r="F20" i="4"/>
  <c r="E20" i="4"/>
  <c r="D20" i="4"/>
  <c r="C20" i="4"/>
  <c r="B20" i="4"/>
  <c r="G19" i="4"/>
  <c r="F19" i="4"/>
  <c r="E19" i="4"/>
  <c r="D19" i="4"/>
  <c r="C19" i="4"/>
  <c r="B19" i="4"/>
  <c r="G18" i="4"/>
  <c r="F18" i="4"/>
  <c r="E18" i="4"/>
  <c r="D18" i="4"/>
  <c r="C18" i="4"/>
  <c r="B18" i="4"/>
  <c r="G17" i="4"/>
  <c r="F17" i="4"/>
  <c r="E17" i="4"/>
  <c r="D17" i="4"/>
  <c r="C17" i="4"/>
  <c r="B17" i="4"/>
  <c r="G16" i="4"/>
  <c r="F16" i="4"/>
  <c r="E16" i="4"/>
  <c r="D16" i="4"/>
  <c r="C16" i="4"/>
  <c r="B16" i="4"/>
  <c r="G15" i="4"/>
  <c r="F15" i="4"/>
  <c r="E15" i="4"/>
  <c r="D15" i="4"/>
  <c r="C15" i="4"/>
  <c r="B15" i="4"/>
  <c r="G14" i="4"/>
  <c r="F14" i="4"/>
  <c r="E14" i="4"/>
  <c r="D14" i="4"/>
  <c r="C14" i="4"/>
  <c r="B14" i="4"/>
  <c r="G13" i="4"/>
  <c r="F13" i="4"/>
  <c r="E13" i="4"/>
  <c r="D13" i="4"/>
  <c r="C13" i="4"/>
  <c r="B13" i="4"/>
  <c r="G12" i="4"/>
  <c r="F12" i="4"/>
  <c r="E12" i="4"/>
  <c r="D12" i="4"/>
  <c r="C12" i="4"/>
  <c r="B12" i="4"/>
  <c r="G11" i="4"/>
  <c r="F11" i="4"/>
  <c r="E11" i="4"/>
  <c r="D11" i="4"/>
  <c r="C11" i="4"/>
  <c r="B11" i="4"/>
  <c r="G10" i="4"/>
  <c r="F10" i="4"/>
  <c r="E10" i="4"/>
  <c r="D10" i="4"/>
  <c r="C10" i="4"/>
  <c r="B10" i="4"/>
  <c r="G9" i="4"/>
  <c r="F9" i="4"/>
  <c r="E9" i="4"/>
  <c r="D9" i="4"/>
  <c r="C9" i="4"/>
  <c r="B9" i="4"/>
  <c r="G8" i="4"/>
  <c r="F8" i="4"/>
  <c r="E8" i="4"/>
  <c r="D8" i="4"/>
  <c r="C8" i="4"/>
  <c r="B8" i="4"/>
  <c r="G7" i="4"/>
  <c r="F7" i="4"/>
  <c r="E7" i="4"/>
  <c r="D7" i="4"/>
  <c r="C7" i="4"/>
  <c r="B7" i="4"/>
  <c r="G6" i="4"/>
  <c r="F6" i="4"/>
  <c r="E6" i="4"/>
  <c r="D6" i="4"/>
  <c r="C6" i="4"/>
  <c r="B6" i="4"/>
  <c r="G5" i="4"/>
  <c r="F5" i="4"/>
  <c r="E5" i="4"/>
  <c r="D5" i="4"/>
  <c r="C5" i="4"/>
  <c r="B5" i="4"/>
  <c r="B9" i="8" l="1"/>
  <c r="E9" i="8" s="1"/>
  <c r="F9" i="8" s="1"/>
  <c r="E3" i="8"/>
  <c r="F3" i="8" s="1"/>
  <c r="E98" i="7"/>
  <c r="D98" i="7"/>
  <c r="E97" i="7"/>
  <c r="D97" i="7"/>
  <c r="E96" i="7"/>
  <c r="D96" i="7"/>
  <c r="E95" i="7"/>
  <c r="D95" i="7"/>
  <c r="E94" i="7"/>
  <c r="D94" i="7"/>
  <c r="E93" i="7"/>
  <c r="D93" i="7"/>
  <c r="D92" i="7"/>
  <c r="E92" i="7"/>
  <c r="E91" i="7"/>
  <c r="D91" i="7"/>
  <c r="D90" i="7"/>
  <c r="E90" i="7"/>
  <c r="D89" i="7"/>
  <c r="E89" i="7"/>
  <c r="D88" i="7"/>
  <c r="E88" i="7"/>
  <c r="E87" i="7"/>
  <c r="D87" i="7"/>
  <c r="E86" i="7"/>
  <c r="D86" i="7"/>
  <c r="E85" i="7"/>
  <c r="D85" i="7"/>
  <c r="E84" i="7"/>
  <c r="D84" i="7"/>
  <c r="E83" i="7"/>
  <c r="D83" i="7"/>
  <c r="E82" i="7"/>
  <c r="D82" i="7"/>
  <c r="E81" i="7"/>
  <c r="D81" i="7"/>
  <c r="D80" i="7"/>
  <c r="E80" i="7"/>
  <c r="E79" i="7"/>
  <c r="D79" i="7"/>
  <c r="E78" i="7"/>
  <c r="D78" i="7"/>
  <c r="E77" i="7"/>
  <c r="D77" i="7"/>
  <c r="E76" i="7"/>
  <c r="D76" i="7"/>
  <c r="E75" i="7"/>
  <c r="D75" i="7"/>
  <c r="E74" i="7"/>
  <c r="D74" i="7"/>
  <c r="E73" i="7"/>
  <c r="D73" i="7"/>
  <c r="D72" i="7"/>
  <c r="E72" i="7"/>
  <c r="B99" i="7"/>
  <c r="E71" i="7"/>
  <c r="D71" i="7"/>
  <c r="E65" i="7"/>
  <c r="D65" i="7"/>
  <c r="D64" i="7"/>
  <c r="E64" i="7"/>
  <c r="D63" i="7"/>
  <c r="E63" i="7"/>
  <c r="D62" i="7"/>
  <c r="E62" i="7"/>
  <c r="D61" i="7"/>
  <c r="E61" i="7"/>
  <c r="D60" i="7"/>
  <c r="E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D49" i="7"/>
  <c r="E49" i="7"/>
  <c r="D48" i="7"/>
  <c r="E48" i="7"/>
  <c r="D47" i="7"/>
  <c r="E47" i="7"/>
  <c r="D46" i="7"/>
  <c r="E46" i="7"/>
  <c r="D45" i="7"/>
  <c r="E45" i="7"/>
  <c r="D44" i="7"/>
  <c r="E44" i="7"/>
  <c r="D43" i="7"/>
  <c r="E43" i="7"/>
  <c r="D42" i="7"/>
  <c r="E42" i="7"/>
  <c r="D41" i="7"/>
  <c r="E41" i="7"/>
  <c r="D40" i="7"/>
  <c r="E40" i="7"/>
  <c r="D39" i="7"/>
  <c r="E39" i="7"/>
  <c r="B66" i="7"/>
  <c r="D38" i="7"/>
  <c r="E38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D17" i="7"/>
  <c r="E17" i="7"/>
  <c r="D16" i="7"/>
  <c r="E16" i="7"/>
  <c r="D15" i="7"/>
  <c r="E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B33" i="7"/>
  <c r="H413" i="6"/>
  <c r="H556" i="6"/>
  <c r="B286" i="6"/>
  <c r="H148" i="6"/>
  <c r="H286" i="6" s="1"/>
  <c r="H428" i="6"/>
  <c r="H571" i="6"/>
  <c r="H427" i="6"/>
  <c r="H570" i="6"/>
  <c r="H426" i="6"/>
  <c r="H569" i="6"/>
  <c r="H425" i="6"/>
  <c r="H568" i="6"/>
  <c r="H424" i="6"/>
  <c r="H567" i="6"/>
  <c r="H423" i="6"/>
  <c r="H566" i="6"/>
  <c r="H422" i="6"/>
  <c r="H565" i="6"/>
  <c r="H421" i="6"/>
  <c r="H564" i="6"/>
  <c r="H420" i="6"/>
  <c r="H563" i="6"/>
  <c r="H419" i="6"/>
  <c r="H562" i="6"/>
  <c r="H418" i="6"/>
  <c r="H561" i="6"/>
  <c r="H417" i="6"/>
  <c r="H560" i="6"/>
  <c r="H416" i="6"/>
  <c r="H559" i="6"/>
  <c r="H415" i="6"/>
  <c r="H558" i="6"/>
  <c r="H414" i="6"/>
  <c r="H557" i="6"/>
  <c r="H412" i="6"/>
  <c r="H555" i="6"/>
  <c r="H411" i="6"/>
  <c r="H554" i="6"/>
  <c r="H410" i="6"/>
  <c r="H553" i="6"/>
  <c r="H409" i="6"/>
  <c r="H552" i="6"/>
  <c r="H408" i="6"/>
  <c r="H551" i="6"/>
  <c r="H407" i="6"/>
  <c r="H550" i="6"/>
  <c r="H406" i="6"/>
  <c r="H549" i="6"/>
  <c r="H405" i="6"/>
  <c r="H548" i="6"/>
  <c r="H404" i="6"/>
  <c r="H547" i="6"/>
  <c r="H403" i="6"/>
  <c r="H546" i="6"/>
  <c r="H402" i="6"/>
  <c r="H545" i="6"/>
  <c r="H401" i="6"/>
  <c r="H544" i="6"/>
  <c r="H400" i="6"/>
  <c r="H543" i="6"/>
  <c r="H399" i="6"/>
  <c r="H542" i="6"/>
  <c r="H398" i="6"/>
  <c r="H541" i="6"/>
  <c r="H397" i="6"/>
  <c r="H540" i="6"/>
  <c r="H396" i="6"/>
  <c r="H539" i="6"/>
  <c r="H395" i="6"/>
  <c r="H538" i="6"/>
  <c r="H394" i="6"/>
  <c r="H537" i="6"/>
  <c r="H393" i="6"/>
  <c r="H536" i="6"/>
  <c r="H392" i="6"/>
  <c r="H535" i="6"/>
  <c r="H391" i="6"/>
  <c r="H534" i="6"/>
  <c r="H390" i="6"/>
  <c r="H533" i="6"/>
  <c r="H389" i="6"/>
  <c r="H532" i="6"/>
  <c r="H388" i="6"/>
  <c r="H531" i="6"/>
  <c r="H387" i="6"/>
  <c r="H530" i="6"/>
  <c r="H386" i="6"/>
  <c r="H529" i="6"/>
  <c r="H385" i="6"/>
  <c r="H528" i="6"/>
  <c r="H384" i="6"/>
  <c r="H527" i="6"/>
  <c r="H383" i="6"/>
  <c r="H526" i="6"/>
  <c r="H382" i="6"/>
  <c r="H525" i="6"/>
  <c r="H381" i="6"/>
  <c r="H524" i="6"/>
  <c r="H94" i="6"/>
  <c r="B380" i="6"/>
  <c r="B379" i="6"/>
  <c r="H93" i="6"/>
  <c r="B378" i="6"/>
  <c r="H92" i="6"/>
  <c r="H91" i="6"/>
  <c r="B377" i="6"/>
  <c r="B376" i="6"/>
  <c r="H90" i="6"/>
  <c r="B375" i="6"/>
  <c r="H89" i="6"/>
  <c r="H88" i="6"/>
  <c r="B374" i="6"/>
  <c r="B373" i="6"/>
  <c r="H87" i="6"/>
  <c r="B372" i="6"/>
  <c r="H86" i="6"/>
  <c r="B371" i="6"/>
  <c r="H85" i="6"/>
  <c r="H84" i="6"/>
  <c r="B370" i="6"/>
  <c r="H83" i="6"/>
  <c r="B369" i="6"/>
  <c r="H82" i="6"/>
  <c r="B368" i="6"/>
  <c r="H81" i="6"/>
  <c r="B367" i="6"/>
  <c r="B366" i="6"/>
  <c r="H80" i="6"/>
  <c r="H79" i="6"/>
  <c r="B365" i="6"/>
  <c r="H78" i="6"/>
  <c r="B364" i="6"/>
  <c r="H77" i="6"/>
  <c r="B363" i="6"/>
  <c r="H76" i="6"/>
  <c r="B362" i="6"/>
  <c r="H75" i="6"/>
  <c r="B361" i="6"/>
  <c r="B360" i="6"/>
  <c r="H74" i="6"/>
  <c r="B359" i="6"/>
  <c r="H73" i="6"/>
  <c r="B358" i="6"/>
  <c r="H72" i="6"/>
  <c r="H71" i="6"/>
  <c r="B357" i="6"/>
  <c r="B356" i="6"/>
  <c r="H70" i="6"/>
  <c r="H69" i="6"/>
  <c r="B355" i="6"/>
  <c r="H68" i="6"/>
  <c r="B354" i="6"/>
  <c r="H67" i="6"/>
  <c r="B353" i="6"/>
  <c r="B352" i="6"/>
  <c r="H66" i="6"/>
  <c r="H65" i="6"/>
  <c r="B351" i="6"/>
  <c r="H64" i="6"/>
  <c r="B350" i="6"/>
  <c r="B349" i="6"/>
  <c r="H63" i="6"/>
  <c r="H62" i="6"/>
  <c r="B348" i="6"/>
  <c r="H61" i="6"/>
  <c r="B347" i="6"/>
  <c r="B346" i="6"/>
  <c r="H60" i="6"/>
  <c r="B345" i="6"/>
  <c r="H59" i="6"/>
  <c r="B344" i="6"/>
  <c r="H58" i="6"/>
  <c r="B343" i="6"/>
  <c r="H57" i="6"/>
  <c r="B342" i="6"/>
  <c r="H56" i="6"/>
  <c r="H55" i="6"/>
  <c r="B341" i="6"/>
  <c r="B340" i="6"/>
  <c r="H54" i="6"/>
  <c r="B339" i="6"/>
  <c r="H53" i="6"/>
  <c r="H52" i="6"/>
  <c r="B338" i="6"/>
  <c r="H51" i="6"/>
  <c r="B337" i="6"/>
  <c r="B336" i="6"/>
  <c r="H50" i="6"/>
  <c r="B335" i="6"/>
  <c r="H49" i="6"/>
  <c r="B334" i="6"/>
  <c r="H48" i="6"/>
  <c r="B333" i="6"/>
  <c r="H47" i="6"/>
  <c r="B332" i="6"/>
  <c r="H46" i="6"/>
  <c r="B331" i="6"/>
  <c r="H45" i="6"/>
  <c r="H44" i="6"/>
  <c r="B330" i="6"/>
  <c r="H43" i="6"/>
  <c r="B329" i="6"/>
  <c r="H42" i="6"/>
  <c r="B328" i="6"/>
  <c r="B327" i="6"/>
  <c r="H41" i="6"/>
  <c r="B326" i="6"/>
  <c r="H40" i="6"/>
  <c r="H39" i="6"/>
  <c r="B325" i="6"/>
  <c r="H38" i="6"/>
  <c r="B324" i="6"/>
  <c r="B323" i="6"/>
  <c r="H37" i="6"/>
  <c r="H36" i="6"/>
  <c r="B322" i="6"/>
  <c r="H35" i="6"/>
  <c r="B321" i="6"/>
  <c r="B320" i="6"/>
  <c r="H34" i="6"/>
  <c r="B319" i="6"/>
  <c r="H33" i="6"/>
  <c r="B318" i="6"/>
  <c r="H32" i="6"/>
  <c r="B317" i="6"/>
  <c r="H31" i="6"/>
  <c r="H30" i="6"/>
  <c r="B316" i="6"/>
  <c r="H29" i="6"/>
  <c r="B315" i="6"/>
  <c r="H28" i="6"/>
  <c r="B314" i="6"/>
  <c r="B313" i="6"/>
  <c r="H27" i="6"/>
  <c r="H26" i="6"/>
  <c r="B312" i="6"/>
  <c r="H25" i="6"/>
  <c r="B311" i="6"/>
  <c r="H24" i="6"/>
  <c r="B310" i="6"/>
  <c r="H23" i="6"/>
  <c r="B309" i="6"/>
  <c r="B308" i="6"/>
  <c r="H22" i="6"/>
  <c r="H21" i="6"/>
  <c r="B307" i="6"/>
  <c r="B306" i="6"/>
  <c r="H20" i="6"/>
  <c r="H19" i="6"/>
  <c r="B305" i="6"/>
  <c r="B304" i="6"/>
  <c r="H18" i="6"/>
  <c r="H17" i="6"/>
  <c r="B303" i="6"/>
  <c r="H16" i="6"/>
  <c r="B302" i="6"/>
  <c r="H15" i="6"/>
  <c r="B301" i="6"/>
  <c r="H14" i="6"/>
  <c r="B300" i="6"/>
  <c r="H13" i="6"/>
  <c r="B299" i="6"/>
  <c r="H12" i="6"/>
  <c r="B298" i="6"/>
  <c r="H11" i="6"/>
  <c r="B297" i="6"/>
  <c r="B296" i="6"/>
  <c r="H10" i="6"/>
  <c r="B295" i="6"/>
  <c r="H9" i="6"/>
  <c r="B294" i="6"/>
  <c r="H8" i="6"/>
  <c r="B293" i="6"/>
  <c r="H7" i="6"/>
  <c r="B292" i="6"/>
  <c r="H6" i="6"/>
  <c r="G291" i="6"/>
  <c r="G143" i="6"/>
  <c r="F143" i="6"/>
  <c r="F291" i="6"/>
  <c r="E143" i="6"/>
  <c r="E291" i="6"/>
  <c r="D291" i="6"/>
  <c r="D143" i="6"/>
  <c r="C143" i="6"/>
  <c r="C291" i="6"/>
  <c r="B143" i="6"/>
  <c r="H5" i="6"/>
  <c r="B291" i="6"/>
  <c r="H148" i="5"/>
  <c r="H286" i="5" s="1"/>
  <c r="B286" i="5"/>
  <c r="H142" i="5"/>
  <c r="B428" i="5"/>
  <c r="H141" i="5"/>
  <c r="B427" i="5"/>
  <c r="H140" i="5"/>
  <c r="B426" i="5"/>
  <c r="B425" i="5"/>
  <c r="H139" i="5"/>
  <c r="H138" i="5"/>
  <c r="B424" i="5"/>
  <c r="B423" i="5"/>
  <c r="H137" i="5"/>
  <c r="H136" i="5"/>
  <c r="B422" i="5"/>
  <c r="B421" i="5"/>
  <c r="H135" i="5"/>
  <c r="B420" i="5"/>
  <c r="H134" i="5"/>
  <c r="B419" i="5"/>
  <c r="H133" i="5"/>
  <c r="H132" i="5"/>
  <c r="B418" i="5"/>
  <c r="H131" i="5"/>
  <c r="B417" i="5"/>
  <c r="H130" i="5"/>
  <c r="B416" i="5"/>
  <c r="H129" i="5"/>
  <c r="B415" i="5"/>
  <c r="B414" i="5"/>
  <c r="H128" i="5"/>
  <c r="B413" i="5"/>
  <c r="H127" i="5"/>
  <c r="B412" i="5"/>
  <c r="H126" i="5"/>
  <c r="H125" i="5"/>
  <c r="B411" i="5"/>
  <c r="B410" i="5"/>
  <c r="H124" i="5"/>
  <c r="B409" i="5"/>
  <c r="H123" i="5"/>
  <c r="B408" i="5"/>
  <c r="H122" i="5"/>
  <c r="H121" i="5"/>
  <c r="B407" i="5"/>
  <c r="H120" i="5"/>
  <c r="B406" i="5"/>
  <c r="B405" i="5"/>
  <c r="H119" i="5"/>
  <c r="B404" i="5"/>
  <c r="H118" i="5"/>
  <c r="B403" i="5"/>
  <c r="H117" i="5"/>
  <c r="H116" i="5"/>
  <c r="B402" i="5"/>
  <c r="H115" i="5"/>
  <c r="B401" i="5"/>
  <c r="H114" i="5"/>
  <c r="B400" i="5"/>
  <c r="H113" i="5"/>
  <c r="B399" i="5"/>
  <c r="F541" i="5"/>
  <c r="F398" i="5"/>
  <c r="E541" i="5"/>
  <c r="E398" i="5"/>
  <c r="D541" i="5"/>
  <c r="D398" i="5"/>
  <c r="C541" i="5"/>
  <c r="C398" i="5"/>
  <c r="B541" i="5"/>
  <c r="H112" i="5"/>
  <c r="B398" i="5"/>
  <c r="G540" i="5"/>
  <c r="G397" i="5"/>
  <c r="F397" i="5"/>
  <c r="F540" i="5"/>
  <c r="E397" i="5"/>
  <c r="E540" i="5"/>
  <c r="D397" i="5"/>
  <c r="D540" i="5"/>
  <c r="C397" i="5"/>
  <c r="C540" i="5"/>
  <c r="B397" i="5"/>
  <c r="B540" i="5"/>
  <c r="H111" i="5"/>
  <c r="G396" i="5"/>
  <c r="G539" i="5"/>
  <c r="F396" i="5"/>
  <c r="F539" i="5"/>
  <c r="E396" i="5"/>
  <c r="E539" i="5"/>
  <c r="D396" i="5"/>
  <c r="D539" i="5"/>
  <c r="C539" i="5"/>
  <c r="C396" i="5"/>
  <c r="B396" i="5"/>
  <c r="H110" i="5"/>
  <c r="B539" i="5"/>
  <c r="G395" i="5"/>
  <c r="G538" i="5"/>
  <c r="F395" i="5"/>
  <c r="F538" i="5"/>
  <c r="E395" i="5"/>
  <c r="E538" i="5"/>
  <c r="D395" i="5"/>
  <c r="D538" i="5"/>
  <c r="C395" i="5"/>
  <c r="C538" i="5"/>
  <c r="H109" i="5"/>
  <c r="B538" i="5"/>
  <c r="B395" i="5"/>
  <c r="G537" i="5"/>
  <c r="G394" i="5"/>
  <c r="F537" i="5"/>
  <c r="F394" i="5"/>
  <c r="E537" i="5"/>
  <c r="E394" i="5"/>
  <c r="D537" i="5"/>
  <c r="D394" i="5"/>
  <c r="C537" i="5"/>
  <c r="C394" i="5"/>
  <c r="B537" i="5"/>
  <c r="B394" i="5"/>
  <c r="H108" i="5"/>
  <c r="G536" i="5"/>
  <c r="G393" i="5"/>
  <c r="F393" i="5"/>
  <c r="F536" i="5"/>
  <c r="E393" i="5"/>
  <c r="E536" i="5"/>
  <c r="D536" i="5"/>
  <c r="D393" i="5"/>
  <c r="C393" i="5"/>
  <c r="C536" i="5"/>
  <c r="B393" i="5"/>
  <c r="H107" i="5"/>
  <c r="B536" i="5"/>
  <c r="G392" i="5"/>
  <c r="G535" i="5"/>
  <c r="F535" i="5"/>
  <c r="F392" i="5"/>
  <c r="E535" i="5"/>
  <c r="E392" i="5"/>
  <c r="D392" i="5"/>
  <c r="D535" i="5"/>
  <c r="C392" i="5"/>
  <c r="C535" i="5"/>
  <c r="B392" i="5"/>
  <c r="H106" i="5"/>
  <c r="B535" i="5"/>
  <c r="G391" i="5"/>
  <c r="G534" i="5"/>
  <c r="F391" i="5"/>
  <c r="F534" i="5"/>
  <c r="E391" i="5"/>
  <c r="E534" i="5"/>
  <c r="D391" i="5"/>
  <c r="D534" i="5"/>
  <c r="C534" i="5"/>
  <c r="C391" i="5"/>
  <c r="H105" i="5"/>
  <c r="B391" i="5"/>
  <c r="B534" i="5"/>
  <c r="G390" i="5"/>
  <c r="G533" i="5"/>
  <c r="F390" i="5"/>
  <c r="F533" i="5"/>
  <c r="E390" i="5"/>
  <c r="E533" i="5"/>
  <c r="D390" i="5"/>
  <c r="D533" i="5"/>
  <c r="C390" i="5"/>
  <c r="C533" i="5"/>
  <c r="H104" i="5"/>
  <c r="B390" i="5"/>
  <c r="B533" i="5"/>
  <c r="G389" i="5"/>
  <c r="G532" i="5"/>
  <c r="F532" i="5"/>
  <c r="F389" i="5"/>
  <c r="E389" i="5"/>
  <c r="E532" i="5"/>
  <c r="D532" i="5"/>
  <c r="D389" i="5"/>
  <c r="C389" i="5"/>
  <c r="C532" i="5"/>
  <c r="H103" i="5"/>
  <c r="B532" i="5"/>
  <c r="B389" i="5"/>
  <c r="G531" i="5"/>
  <c r="G388" i="5"/>
  <c r="F531" i="5"/>
  <c r="F388" i="5"/>
  <c r="E531" i="5"/>
  <c r="E388" i="5"/>
  <c r="D531" i="5"/>
  <c r="D388" i="5"/>
  <c r="C531" i="5"/>
  <c r="C388" i="5"/>
  <c r="H102" i="5"/>
  <c r="B531" i="5"/>
  <c r="B388" i="5"/>
  <c r="G530" i="5"/>
  <c r="G387" i="5"/>
  <c r="F387" i="5"/>
  <c r="F530" i="5"/>
  <c r="E387" i="5"/>
  <c r="E530" i="5"/>
  <c r="D530" i="5"/>
  <c r="D387" i="5"/>
  <c r="C530" i="5"/>
  <c r="C387" i="5"/>
  <c r="B530" i="5"/>
  <c r="H101" i="5"/>
  <c r="B387" i="5"/>
  <c r="G529" i="5"/>
  <c r="G386" i="5"/>
  <c r="F386" i="5"/>
  <c r="F529" i="5"/>
  <c r="E529" i="5"/>
  <c r="E386" i="5"/>
  <c r="D386" i="5"/>
  <c r="D529" i="5"/>
  <c r="C529" i="5"/>
  <c r="C386" i="5"/>
  <c r="B386" i="5"/>
  <c r="B529" i="5"/>
  <c r="H100" i="5"/>
  <c r="G528" i="5"/>
  <c r="G385" i="5"/>
  <c r="F385" i="5"/>
  <c r="F528" i="5"/>
  <c r="E528" i="5"/>
  <c r="E385" i="5"/>
  <c r="D385" i="5"/>
  <c r="D528" i="5"/>
  <c r="C385" i="5"/>
  <c r="C528" i="5"/>
  <c r="H99" i="5"/>
  <c r="B528" i="5"/>
  <c r="B385" i="5"/>
  <c r="G384" i="5"/>
  <c r="G527" i="5"/>
  <c r="F527" i="5"/>
  <c r="F384" i="5"/>
  <c r="E527" i="5"/>
  <c r="E384" i="5"/>
  <c r="D527" i="5"/>
  <c r="D384" i="5"/>
  <c r="C527" i="5"/>
  <c r="C384" i="5"/>
  <c r="B527" i="5"/>
  <c r="B384" i="5"/>
  <c r="H98" i="5"/>
  <c r="G526" i="5"/>
  <c r="G383" i="5"/>
  <c r="F526" i="5"/>
  <c r="F383" i="5"/>
  <c r="E383" i="5"/>
  <c r="E526" i="5"/>
  <c r="D383" i="5"/>
  <c r="D526" i="5"/>
  <c r="C383" i="5"/>
  <c r="C526" i="5"/>
  <c r="H97" i="5"/>
  <c r="B526" i="5"/>
  <c r="B383" i="5"/>
  <c r="G525" i="5"/>
  <c r="G382" i="5"/>
  <c r="F382" i="5"/>
  <c r="F525" i="5"/>
  <c r="E525" i="5"/>
  <c r="E382" i="5"/>
  <c r="D525" i="5"/>
  <c r="D382" i="5"/>
  <c r="C525" i="5"/>
  <c r="C382" i="5"/>
  <c r="B525" i="5"/>
  <c r="H96" i="5"/>
  <c r="B382" i="5"/>
  <c r="G524" i="5"/>
  <c r="G381" i="5"/>
  <c r="F524" i="5"/>
  <c r="F381" i="5"/>
  <c r="E381" i="5"/>
  <c r="E524" i="5"/>
  <c r="D524" i="5"/>
  <c r="D381" i="5"/>
  <c r="C524" i="5"/>
  <c r="C381" i="5"/>
  <c r="H95" i="5"/>
  <c r="B381" i="5"/>
  <c r="B524" i="5"/>
  <c r="G380" i="5"/>
  <c r="G523" i="5"/>
  <c r="F380" i="5"/>
  <c r="F523" i="5"/>
  <c r="E523" i="5"/>
  <c r="E380" i="5"/>
  <c r="D523" i="5"/>
  <c r="D380" i="5"/>
  <c r="C380" i="5"/>
  <c r="C523" i="5"/>
  <c r="H94" i="5"/>
  <c r="B523" i="5"/>
  <c r="B380" i="5"/>
  <c r="G522" i="5"/>
  <c r="G379" i="5"/>
  <c r="F379" i="5"/>
  <c r="F522" i="5"/>
  <c r="E522" i="5"/>
  <c r="E379" i="5"/>
  <c r="D522" i="5"/>
  <c r="D379" i="5"/>
  <c r="C522" i="5"/>
  <c r="C379" i="5"/>
  <c r="B522" i="5"/>
  <c r="B379" i="5"/>
  <c r="H93" i="5"/>
  <c r="G521" i="5"/>
  <c r="G378" i="5"/>
  <c r="F521" i="5"/>
  <c r="F378" i="5"/>
  <c r="E521" i="5"/>
  <c r="E378" i="5"/>
  <c r="D521" i="5"/>
  <c r="D378" i="5"/>
  <c r="C521" i="5"/>
  <c r="C378" i="5"/>
  <c r="H92" i="5"/>
  <c r="B521" i="5"/>
  <c r="B378" i="5"/>
  <c r="G377" i="5"/>
  <c r="G520" i="5"/>
  <c r="F377" i="5"/>
  <c r="F520" i="5"/>
  <c r="E377" i="5"/>
  <c r="E520" i="5"/>
  <c r="D377" i="5"/>
  <c r="D520" i="5"/>
  <c r="C520" i="5"/>
  <c r="C377" i="5"/>
  <c r="B377" i="5"/>
  <c r="H91" i="5"/>
  <c r="B520" i="5"/>
  <c r="G376" i="5"/>
  <c r="G519" i="5"/>
  <c r="F519" i="5"/>
  <c r="F376" i="5"/>
  <c r="E519" i="5"/>
  <c r="E376" i="5"/>
  <c r="D376" i="5"/>
  <c r="D519" i="5"/>
  <c r="C519" i="5"/>
  <c r="C376" i="5"/>
  <c r="H90" i="5"/>
  <c r="B519" i="5"/>
  <c r="B376" i="5"/>
  <c r="G518" i="5"/>
  <c r="G375" i="5"/>
  <c r="F518" i="5"/>
  <c r="F375" i="5"/>
  <c r="E518" i="5"/>
  <c r="E375" i="5"/>
  <c r="D375" i="5"/>
  <c r="D518" i="5"/>
  <c r="C375" i="5"/>
  <c r="C518" i="5"/>
  <c r="B375" i="5"/>
  <c r="H89" i="5"/>
  <c r="B518" i="5"/>
  <c r="G374" i="5"/>
  <c r="G517" i="5"/>
  <c r="F374" i="5"/>
  <c r="F517" i="5"/>
  <c r="E374" i="5"/>
  <c r="E517" i="5"/>
  <c r="D374" i="5"/>
  <c r="D517" i="5"/>
  <c r="C374" i="5"/>
  <c r="C517" i="5"/>
  <c r="H88" i="5"/>
  <c r="B374" i="5"/>
  <c r="B517" i="5"/>
  <c r="G516" i="5"/>
  <c r="G373" i="5"/>
  <c r="F516" i="5"/>
  <c r="F373" i="5"/>
  <c r="E516" i="5"/>
  <c r="E373" i="5"/>
  <c r="D516" i="5"/>
  <c r="D373" i="5"/>
  <c r="C516" i="5"/>
  <c r="C373" i="5"/>
  <c r="H87" i="5"/>
  <c r="B373" i="5"/>
  <c r="B516" i="5"/>
  <c r="G372" i="5"/>
  <c r="G515" i="5"/>
  <c r="F372" i="5"/>
  <c r="F515" i="5"/>
  <c r="E515" i="5"/>
  <c r="E372" i="5"/>
  <c r="D515" i="5"/>
  <c r="D372" i="5"/>
  <c r="C372" i="5"/>
  <c r="C515" i="5"/>
  <c r="H86" i="5"/>
  <c r="B515" i="5"/>
  <c r="B372" i="5"/>
  <c r="G371" i="5"/>
  <c r="G514" i="5"/>
  <c r="F371" i="5"/>
  <c r="F514" i="5"/>
  <c r="E371" i="5"/>
  <c r="E514" i="5"/>
  <c r="D371" i="5"/>
  <c r="D514" i="5"/>
  <c r="C514" i="5"/>
  <c r="C371" i="5"/>
  <c r="B371" i="5"/>
  <c r="H85" i="5"/>
  <c r="B514" i="5"/>
  <c r="G370" i="5"/>
  <c r="G513" i="5"/>
  <c r="F513" i="5"/>
  <c r="F370" i="5"/>
  <c r="E370" i="5"/>
  <c r="E513" i="5"/>
  <c r="D370" i="5"/>
  <c r="D513" i="5"/>
  <c r="C513" i="5"/>
  <c r="C370" i="5"/>
  <c r="B370" i="5"/>
  <c r="B513" i="5"/>
  <c r="H84" i="5"/>
  <c r="G369" i="5"/>
  <c r="G512" i="5"/>
  <c r="F512" i="5"/>
  <c r="F369" i="5"/>
  <c r="E512" i="5"/>
  <c r="E369" i="5"/>
  <c r="D512" i="5"/>
  <c r="D369" i="5"/>
  <c r="C512" i="5"/>
  <c r="C369" i="5"/>
  <c r="H83" i="5"/>
  <c r="B512" i="5"/>
  <c r="B369" i="5"/>
  <c r="G368" i="5"/>
  <c r="G511" i="5"/>
  <c r="F368" i="5"/>
  <c r="F511" i="5"/>
  <c r="E511" i="5"/>
  <c r="E368" i="5"/>
  <c r="D511" i="5"/>
  <c r="D368" i="5"/>
  <c r="C511" i="5"/>
  <c r="C368" i="5"/>
  <c r="H82" i="5"/>
  <c r="B511" i="5"/>
  <c r="B368" i="5"/>
  <c r="G510" i="5"/>
  <c r="G367" i="5"/>
  <c r="F367" i="5"/>
  <c r="F510" i="5"/>
  <c r="E367" i="5"/>
  <c r="E510" i="5"/>
  <c r="D367" i="5"/>
  <c r="D510" i="5"/>
  <c r="C367" i="5"/>
  <c r="C510" i="5"/>
  <c r="B367" i="5"/>
  <c r="B510" i="5"/>
  <c r="H81" i="5"/>
  <c r="G366" i="5"/>
  <c r="G509" i="5"/>
  <c r="F366" i="5"/>
  <c r="F509" i="5"/>
  <c r="E509" i="5"/>
  <c r="E366" i="5"/>
  <c r="D509" i="5"/>
  <c r="D366" i="5"/>
  <c r="C509" i="5"/>
  <c r="C366" i="5"/>
  <c r="H80" i="5"/>
  <c r="B509" i="5"/>
  <c r="B366" i="5"/>
  <c r="G508" i="5"/>
  <c r="G365" i="5"/>
  <c r="F508" i="5"/>
  <c r="F365" i="5"/>
  <c r="E365" i="5"/>
  <c r="E508" i="5"/>
  <c r="D365" i="5"/>
  <c r="D508" i="5"/>
  <c r="C508" i="5"/>
  <c r="C365" i="5"/>
  <c r="B508" i="5"/>
  <c r="B365" i="5"/>
  <c r="H79" i="5"/>
  <c r="G364" i="5"/>
  <c r="G507" i="5"/>
  <c r="F507" i="5"/>
  <c r="F364" i="5"/>
  <c r="E507" i="5"/>
  <c r="E364" i="5"/>
  <c r="D364" i="5"/>
  <c r="D507" i="5"/>
  <c r="C364" i="5"/>
  <c r="C507" i="5"/>
  <c r="B364" i="5"/>
  <c r="H78" i="5"/>
  <c r="B507" i="5"/>
  <c r="G363" i="5"/>
  <c r="G506" i="5"/>
  <c r="F363" i="5"/>
  <c r="F506" i="5"/>
  <c r="E506" i="5"/>
  <c r="E363" i="5"/>
  <c r="D363" i="5"/>
  <c r="D506" i="5"/>
  <c r="C506" i="5"/>
  <c r="C363" i="5"/>
  <c r="B506" i="5"/>
  <c r="B363" i="5"/>
  <c r="H77" i="5"/>
  <c r="G362" i="5"/>
  <c r="G505" i="5"/>
  <c r="F505" i="5"/>
  <c r="F362" i="5"/>
  <c r="E505" i="5"/>
  <c r="E362" i="5"/>
  <c r="D505" i="5"/>
  <c r="D362" i="5"/>
  <c r="C362" i="5"/>
  <c r="C505" i="5"/>
  <c r="H76" i="5"/>
  <c r="B505" i="5"/>
  <c r="B362" i="5"/>
  <c r="G504" i="5"/>
  <c r="G361" i="5"/>
  <c r="F361" i="5"/>
  <c r="F504" i="5"/>
  <c r="E504" i="5"/>
  <c r="E361" i="5"/>
  <c r="D504" i="5"/>
  <c r="D361" i="5"/>
  <c r="C361" i="5"/>
  <c r="C504" i="5"/>
  <c r="H75" i="5"/>
  <c r="B504" i="5"/>
  <c r="B361" i="5"/>
  <c r="G503" i="5"/>
  <c r="G360" i="5"/>
  <c r="F360" i="5"/>
  <c r="F503" i="5"/>
  <c r="E503" i="5"/>
  <c r="E360" i="5"/>
  <c r="D360" i="5"/>
  <c r="D503" i="5"/>
  <c r="C503" i="5"/>
  <c r="C360" i="5"/>
  <c r="B503" i="5"/>
  <c r="H74" i="5"/>
  <c r="B360" i="5"/>
  <c r="G502" i="5"/>
  <c r="G359" i="5"/>
  <c r="F502" i="5"/>
  <c r="F359" i="5"/>
  <c r="E502" i="5"/>
  <c r="E359" i="5"/>
  <c r="D359" i="5"/>
  <c r="D502" i="5"/>
  <c r="C359" i="5"/>
  <c r="C502" i="5"/>
  <c r="B359" i="5"/>
  <c r="H73" i="5"/>
  <c r="B502" i="5"/>
  <c r="G358" i="5"/>
  <c r="G501" i="5"/>
  <c r="F358" i="5"/>
  <c r="F501" i="5"/>
  <c r="E358" i="5"/>
  <c r="E501" i="5"/>
  <c r="D358" i="5"/>
  <c r="D501" i="5"/>
  <c r="C358" i="5"/>
  <c r="C501" i="5"/>
  <c r="B501" i="5"/>
  <c r="B358" i="5"/>
  <c r="H72" i="5"/>
  <c r="G500" i="5"/>
  <c r="G357" i="5"/>
  <c r="F500" i="5"/>
  <c r="F357" i="5"/>
  <c r="E500" i="5"/>
  <c r="E357" i="5"/>
  <c r="D500" i="5"/>
  <c r="D357" i="5"/>
  <c r="C500" i="5"/>
  <c r="C357" i="5"/>
  <c r="B357" i="5"/>
  <c r="H71" i="5"/>
  <c r="B500" i="5"/>
  <c r="G499" i="5"/>
  <c r="G356" i="5"/>
  <c r="F499" i="5"/>
  <c r="F356" i="5"/>
  <c r="E499" i="5"/>
  <c r="E356" i="5"/>
  <c r="D356" i="5"/>
  <c r="D499" i="5"/>
  <c r="C499" i="5"/>
  <c r="C356" i="5"/>
  <c r="B499" i="5"/>
  <c r="B356" i="5"/>
  <c r="H70" i="5"/>
  <c r="G498" i="5"/>
  <c r="G355" i="5"/>
  <c r="F498" i="5"/>
  <c r="F355" i="5"/>
  <c r="E355" i="5"/>
  <c r="E498" i="5"/>
  <c r="D355" i="5"/>
  <c r="D498" i="5"/>
  <c r="C355" i="5"/>
  <c r="C498" i="5"/>
  <c r="B355" i="5"/>
  <c r="H69" i="5"/>
  <c r="B498" i="5"/>
  <c r="G354" i="5"/>
  <c r="G497" i="5"/>
  <c r="F354" i="5"/>
  <c r="F497" i="5"/>
  <c r="E497" i="5"/>
  <c r="E354" i="5"/>
  <c r="D354" i="5"/>
  <c r="D497" i="5"/>
  <c r="C354" i="5"/>
  <c r="C497" i="5"/>
  <c r="B354" i="5"/>
  <c r="H68" i="5"/>
  <c r="B497" i="5"/>
  <c r="G353" i="5"/>
  <c r="G496" i="5"/>
  <c r="F353" i="5"/>
  <c r="F496" i="5"/>
  <c r="E496" i="5"/>
  <c r="E353" i="5"/>
  <c r="D496" i="5"/>
  <c r="D353" i="5"/>
  <c r="C496" i="5"/>
  <c r="C353" i="5"/>
  <c r="B353" i="5"/>
  <c r="B496" i="5"/>
  <c r="H67" i="5"/>
  <c r="G495" i="5"/>
  <c r="G352" i="5"/>
  <c r="F495" i="5"/>
  <c r="F352" i="5"/>
  <c r="E495" i="5"/>
  <c r="E352" i="5"/>
  <c r="D495" i="5"/>
  <c r="D352" i="5"/>
  <c r="C352" i="5"/>
  <c r="C495" i="5"/>
  <c r="H66" i="5"/>
  <c r="B352" i="5"/>
  <c r="B495" i="5"/>
  <c r="G351" i="5"/>
  <c r="G494" i="5"/>
  <c r="F351" i="5"/>
  <c r="F494" i="5"/>
  <c r="E351" i="5"/>
  <c r="E494" i="5"/>
  <c r="D351" i="5"/>
  <c r="D494" i="5"/>
  <c r="C494" i="5"/>
  <c r="C351" i="5"/>
  <c r="B351" i="5"/>
  <c r="H65" i="5"/>
  <c r="B494" i="5"/>
  <c r="G350" i="5"/>
  <c r="G493" i="5"/>
  <c r="F350" i="5"/>
  <c r="F493" i="5"/>
  <c r="E493" i="5"/>
  <c r="E350" i="5"/>
  <c r="D350" i="5"/>
  <c r="D493" i="5"/>
  <c r="C350" i="5"/>
  <c r="C493" i="5"/>
  <c r="B350" i="5"/>
  <c r="B493" i="5"/>
  <c r="H64" i="5"/>
  <c r="G349" i="5"/>
  <c r="G492" i="5"/>
  <c r="F349" i="5"/>
  <c r="F492" i="5"/>
  <c r="E492" i="5"/>
  <c r="E349" i="5"/>
  <c r="D492" i="5"/>
  <c r="D349" i="5"/>
  <c r="C492" i="5"/>
  <c r="C349" i="5"/>
  <c r="B492" i="5"/>
  <c r="H63" i="5"/>
  <c r="B349" i="5"/>
  <c r="G491" i="5"/>
  <c r="G348" i="5"/>
  <c r="F491" i="5"/>
  <c r="F348" i="5"/>
  <c r="E491" i="5"/>
  <c r="E348" i="5"/>
  <c r="D491" i="5"/>
  <c r="D348" i="5"/>
  <c r="C348" i="5"/>
  <c r="C491" i="5"/>
  <c r="H62" i="5"/>
  <c r="B491" i="5"/>
  <c r="B348" i="5"/>
  <c r="G490" i="5"/>
  <c r="G347" i="5"/>
  <c r="F347" i="5"/>
  <c r="F490" i="5"/>
  <c r="E347" i="5"/>
  <c r="E490" i="5"/>
  <c r="D490" i="5"/>
  <c r="D347" i="5"/>
  <c r="C490" i="5"/>
  <c r="C347" i="5"/>
  <c r="B490" i="5"/>
  <c r="H61" i="5"/>
  <c r="B347" i="5"/>
  <c r="G489" i="5"/>
  <c r="G346" i="5"/>
  <c r="F346" i="5"/>
  <c r="F489" i="5"/>
  <c r="E489" i="5"/>
  <c r="E346" i="5"/>
  <c r="D346" i="5"/>
  <c r="D489" i="5"/>
  <c r="C489" i="5"/>
  <c r="C346" i="5"/>
  <c r="B346" i="5"/>
  <c r="H60" i="5"/>
  <c r="B489" i="5"/>
  <c r="G345" i="5"/>
  <c r="G488" i="5"/>
  <c r="F345" i="5"/>
  <c r="F488" i="5"/>
  <c r="E345" i="5"/>
  <c r="E488" i="5"/>
  <c r="D345" i="5"/>
  <c r="D488" i="5"/>
  <c r="C345" i="5"/>
  <c r="C488" i="5"/>
  <c r="B345" i="5"/>
  <c r="B488" i="5"/>
  <c r="H59" i="5"/>
  <c r="G344" i="5"/>
  <c r="G487" i="5"/>
  <c r="F344" i="5"/>
  <c r="F487" i="5"/>
  <c r="E344" i="5"/>
  <c r="E487" i="5"/>
  <c r="D487" i="5"/>
  <c r="D344" i="5"/>
  <c r="C487" i="5"/>
  <c r="C344" i="5"/>
  <c r="B487" i="5"/>
  <c r="B344" i="5"/>
  <c r="H58" i="5"/>
  <c r="G486" i="5"/>
  <c r="G343" i="5"/>
  <c r="F486" i="5"/>
  <c r="F343" i="5"/>
  <c r="E486" i="5"/>
  <c r="E343" i="5"/>
  <c r="D486" i="5"/>
  <c r="D343" i="5"/>
  <c r="C486" i="5"/>
  <c r="C343" i="5"/>
  <c r="H57" i="5"/>
  <c r="B486" i="5"/>
  <c r="B343" i="5"/>
  <c r="G485" i="5"/>
  <c r="G342" i="5"/>
  <c r="F485" i="5"/>
  <c r="F342" i="5"/>
  <c r="E485" i="5"/>
  <c r="E342" i="5"/>
  <c r="D485" i="5"/>
  <c r="D342" i="5"/>
  <c r="C342" i="5"/>
  <c r="C485" i="5"/>
  <c r="H56" i="5"/>
  <c r="B342" i="5"/>
  <c r="B485" i="5"/>
  <c r="G484" i="5"/>
  <c r="G341" i="5"/>
  <c r="F484" i="5"/>
  <c r="F341" i="5"/>
  <c r="E484" i="5"/>
  <c r="E341" i="5"/>
  <c r="D484" i="5"/>
  <c r="D341" i="5"/>
  <c r="C341" i="5"/>
  <c r="C484" i="5"/>
  <c r="B341" i="5"/>
  <c r="B484" i="5"/>
  <c r="H55" i="5"/>
  <c r="G483" i="5"/>
  <c r="G340" i="5"/>
  <c r="F483" i="5"/>
  <c r="F340" i="5"/>
  <c r="E483" i="5"/>
  <c r="E340" i="5"/>
  <c r="D483" i="5"/>
  <c r="D340" i="5"/>
  <c r="C483" i="5"/>
  <c r="C340" i="5"/>
  <c r="B483" i="5"/>
  <c r="B340" i="5"/>
  <c r="H54" i="5"/>
  <c r="G339" i="5"/>
  <c r="G482" i="5"/>
  <c r="F482" i="5"/>
  <c r="F339" i="5"/>
  <c r="E482" i="5"/>
  <c r="E339" i="5"/>
  <c r="D482" i="5"/>
  <c r="D339" i="5"/>
  <c r="C339" i="5"/>
  <c r="C482" i="5"/>
  <c r="B339" i="5"/>
  <c r="H53" i="5"/>
  <c r="B482" i="5"/>
  <c r="G338" i="5"/>
  <c r="G481" i="5"/>
  <c r="F481" i="5"/>
  <c r="F338" i="5"/>
  <c r="E481" i="5"/>
  <c r="E338" i="5"/>
  <c r="D338" i="5"/>
  <c r="D481" i="5"/>
  <c r="C338" i="5"/>
  <c r="C481" i="5"/>
  <c r="B338" i="5"/>
  <c r="B481" i="5"/>
  <c r="H52" i="5"/>
  <c r="G480" i="5"/>
  <c r="G337" i="5"/>
  <c r="F337" i="5"/>
  <c r="F480" i="5"/>
  <c r="E480" i="5"/>
  <c r="E337" i="5"/>
  <c r="D337" i="5"/>
  <c r="D480" i="5"/>
  <c r="C480" i="5"/>
  <c r="C337" i="5"/>
  <c r="B480" i="5"/>
  <c r="B337" i="5"/>
  <c r="H51" i="5"/>
  <c r="G336" i="5"/>
  <c r="G479" i="5"/>
  <c r="F479" i="5"/>
  <c r="F336" i="5"/>
  <c r="E336" i="5"/>
  <c r="E479" i="5"/>
  <c r="D336" i="5"/>
  <c r="D479" i="5"/>
  <c r="C336" i="5"/>
  <c r="C479" i="5"/>
  <c r="B336" i="5"/>
  <c r="B479" i="5"/>
  <c r="H50" i="5"/>
  <c r="G335" i="5"/>
  <c r="G478" i="5"/>
  <c r="F335" i="5"/>
  <c r="F478" i="5"/>
  <c r="E335" i="5"/>
  <c r="E478" i="5"/>
  <c r="D335" i="5"/>
  <c r="D478" i="5"/>
  <c r="C335" i="5"/>
  <c r="C478" i="5"/>
  <c r="B478" i="5"/>
  <c r="B335" i="5"/>
  <c r="H49" i="5"/>
  <c r="G477" i="5"/>
  <c r="G334" i="5"/>
  <c r="F477" i="5"/>
  <c r="F334" i="5"/>
  <c r="E477" i="5"/>
  <c r="E334" i="5"/>
  <c r="D477" i="5"/>
  <c r="D334" i="5"/>
  <c r="C334" i="5"/>
  <c r="C477" i="5"/>
  <c r="H48" i="5"/>
  <c r="B334" i="5"/>
  <c r="B477" i="5"/>
  <c r="G333" i="5"/>
  <c r="G476" i="5"/>
  <c r="F333" i="5"/>
  <c r="F476" i="5"/>
  <c r="E333" i="5"/>
  <c r="E476" i="5"/>
  <c r="D333" i="5"/>
  <c r="D476" i="5"/>
  <c r="C333" i="5"/>
  <c r="C476" i="5"/>
  <c r="B333" i="5"/>
  <c r="B476" i="5"/>
  <c r="H47" i="5"/>
  <c r="G332" i="5"/>
  <c r="G475" i="5"/>
  <c r="F475" i="5"/>
  <c r="F332" i="5"/>
  <c r="E475" i="5"/>
  <c r="E332" i="5"/>
  <c r="D475" i="5"/>
  <c r="D332" i="5"/>
  <c r="C332" i="5"/>
  <c r="C475" i="5"/>
  <c r="B332" i="5"/>
  <c r="B475" i="5"/>
  <c r="H46" i="5"/>
  <c r="G331" i="5"/>
  <c r="G474" i="5"/>
  <c r="F331" i="5"/>
  <c r="F474" i="5"/>
  <c r="E331" i="5"/>
  <c r="E474" i="5"/>
  <c r="D331" i="5"/>
  <c r="D474" i="5"/>
  <c r="C331" i="5"/>
  <c r="C474" i="5"/>
  <c r="B331" i="5"/>
  <c r="B474" i="5"/>
  <c r="H45" i="5"/>
  <c r="G330" i="5"/>
  <c r="G473" i="5"/>
  <c r="F473" i="5"/>
  <c r="F330" i="5"/>
  <c r="E473" i="5"/>
  <c r="E330" i="5"/>
  <c r="D330" i="5"/>
  <c r="D473" i="5"/>
  <c r="C473" i="5"/>
  <c r="C330" i="5"/>
  <c r="B330" i="5"/>
  <c r="B473" i="5"/>
  <c r="H44" i="5"/>
  <c r="G329" i="5"/>
  <c r="G472" i="5"/>
  <c r="F329" i="5"/>
  <c r="F472" i="5"/>
  <c r="E472" i="5"/>
  <c r="E329" i="5"/>
  <c r="D329" i="5"/>
  <c r="D472" i="5"/>
  <c r="C472" i="5"/>
  <c r="C329" i="5"/>
  <c r="B472" i="5"/>
  <c r="B329" i="5"/>
  <c r="H43" i="5"/>
  <c r="G328" i="5"/>
  <c r="G471" i="5"/>
  <c r="F328" i="5"/>
  <c r="F471" i="5"/>
  <c r="E471" i="5"/>
  <c r="E328" i="5"/>
  <c r="D471" i="5"/>
  <c r="D328" i="5"/>
  <c r="C471" i="5"/>
  <c r="C328" i="5"/>
  <c r="B328" i="5"/>
  <c r="H42" i="5"/>
  <c r="B471" i="5"/>
  <c r="G470" i="5"/>
  <c r="G327" i="5"/>
  <c r="F470" i="5"/>
  <c r="F327" i="5"/>
  <c r="E470" i="5"/>
  <c r="E327" i="5"/>
  <c r="D470" i="5"/>
  <c r="D327" i="5"/>
  <c r="C470" i="5"/>
  <c r="C327" i="5"/>
  <c r="B470" i="5"/>
  <c r="H41" i="5"/>
  <c r="B327" i="5"/>
  <c r="G326" i="5"/>
  <c r="G469" i="5"/>
  <c r="F469" i="5"/>
  <c r="F326" i="5"/>
  <c r="E469" i="5"/>
  <c r="E326" i="5"/>
  <c r="D469" i="5"/>
  <c r="D326" i="5"/>
  <c r="C469" i="5"/>
  <c r="C326" i="5"/>
  <c r="B469" i="5"/>
  <c r="H40" i="5"/>
  <c r="B326" i="5"/>
  <c r="G325" i="5"/>
  <c r="G468" i="5"/>
  <c r="F325" i="5"/>
  <c r="F468" i="5"/>
  <c r="E325" i="5"/>
  <c r="E468" i="5"/>
  <c r="D325" i="5"/>
  <c r="D468" i="5"/>
  <c r="C325" i="5"/>
  <c r="C468" i="5"/>
  <c r="H39" i="5"/>
  <c r="B325" i="5"/>
  <c r="B468" i="5"/>
  <c r="G324" i="5"/>
  <c r="G467" i="5"/>
  <c r="F324" i="5"/>
  <c r="F467" i="5"/>
  <c r="E324" i="5"/>
  <c r="E467" i="5"/>
  <c r="D324" i="5"/>
  <c r="D467" i="5"/>
  <c r="C324" i="5"/>
  <c r="C467" i="5"/>
  <c r="B467" i="5"/>
  <c r="H38" i="5"/>
  <c r="B324" i="5"/>
  <c r="G323" i="5"/>
  <c r="G466" i="5"/>
  <c r="F466" i="5"/>
  <c r="F323" i="5"/>
  <c r="E466" i="5"/>
  <c r="E323" i="5"/>
  <c r="D466" i="5"/>
  <c r="D323" i="5"/>
  <c r="C466" i="5"/>
  <c r="C323" i="5"/>
  <c r="H37" i="5"/>
  <c r="B466" i="5"/>
  <c r="B323" i="5"/>
  <c r="G465" i="5"/>
  <c r="G322" i="5"/>
  <c r="F465" i="5"/>
  <c r="F322" i="5"/>
  <c r="E322" i="5"/>
  <c r="E465" i="5"/>
  <c r="D322" i="5"/>
  <c r="D465" i="5"/>
  <c r="C322" i="5"/>
  <c r="C465" i="5"/>
  <c r="H36" i="5"/>
  <c r="B322" i="5"/>
  <c r="B465" i="5"/>
  <c r="G321" i="5"/>
  <c r="G464" i="5"/>
  <c r="F321" i="5"/>
  <c r="F464" i="5"/>
  <c r="E464" i="5"/>
  <c r="E321" i="5"/>
  <c r="D464" i="5"/>
  <c r="D321" i="5"/>
  <c r="C321" i="5"/>
  <c r="C464" i="5"/>
  <c r="H35" i="5"/>
  <c r="B321" i="5"/>
  <c r="B464" i="5"/>
  <c r="G463" i="5"/>
  <c r="G320" i="5"/>
  <c r="F320" i="5"/>
  <c r="F463" i="5"/>
  <c r="E320" i="5"/>
  <c r="E463" i="5"/>
  <c r="D320" i="5"/>
  <c r="D463" i="5"/>
  <c r="C463" i="5"/>
  <c r="C320" i="5"/>
  <c r="B463" i="5"/>
  <c r="H34" i="5"/>
  <c r="B320" i="5"/>
  <c r="G319" i="5"/>
  <c r="G462" i="5"/>
  <c r="F462" i="5"/>
  <c r="F319" i="5"/>
  <c r="E462" i="5"/>
  <c r="E319" i="5"/>
  <c r="D319" i="5"/>
  <c r="D462" i="5"/>
  <c r="C319" i="5"/>
  <c r="C462" i="5"/>
  <c r="B319" i="5"/>
  <c r="H33" i="5"/>
  <c r="B462" i="5"/>
  <c r="G318" i="5"/>
  <c r="G461" i="5"/>
  <c r="F318" i="5"/>
  <c r="F461" i="5"/>
  <c r="E318" i="5"/>
  <c r="E461" i="5"/>
  <c r="D318" i="5"/>
  <c r="D461" i="5"/>
  <c r="C318" i="5"/>
  <c r="C461" i="5"/>
  <c r="H32" i="5"/>
  <c r="B461" i="5"/>
  <c r="B318" i="5"/>
  <c r="G317" i="5"/>
  <c r="G460" i="5"/>
  <c r="F317" i="5"/>
  <c r="F460" i="5"/>
  <c r="E460" i="5"/>
  <c r="E317" i="5"/>
  <c r="D460" i="5"/>
  <c r="D317" i="5"/>
  <c r="C460" i="5"/>
  <c r="C317" i="5"/>
  <c r="H31" i="5"/>
  <c r="B317" i="5"/>
  <c r="B460" i="5"/>
  <c r="G316" i="5"/>
  <c r="G459" i="5"/>
  <c r="F316" i="5"/>
  <c r="F459" i="5"/>
  <c r="E316" i="5"/>
  <c r="E459" i="5"/>
  <c r="D316" i="5"/>
  <c r="D459" i="5"/>
  <c r="C459" i="5"/>
  <c r="C316" i="5"/>
  <c r="H30" i="5"/>
  <c r="B316" i="5"/>
  <c r="B459" i="5"/>
  <c r="G458" i="5"/>
  <c r="G315" i="5"/>
  <c r="F458" i="5"/>
  <c r="F315" i="5"/>
  <c r="E458" i="5"/>
  <c r="E315" i="5"/>
  <c r="D458" i="5"/>
  <c r="D315" i="5"/>
  <c r="C458" i="5"/>
  <c r="C315" i="5"/>
  <c r="B458" i="5"/>
  <c r="B315" i="5"/>
  <c r="H29" i="5"/>
  <c r="G457" i="5"/>
  <c r="G314" i="5"/>
  <c r="F457" i="5"/>
  <c r="F314" i="5"/>
  <c r="E457" i="5"/>
  <c r="E314" i="5"/>
  <c r="D457" i="5"/>
  <c r="D314" i="5"/>
  <c r="C457" i="5"/>
  <c r="C314" i="5"/>
  <c r="B457" i="5"/>
  <c r="B314" i="5"/>
  <c r="H28" i="5"/>
  <c r="G456" i="5"/>
  <c r="G313" i="5"/>
  <c r="F456" i="5"/>
  <c r="F313" i="5"/>
  <c r="E313" i="5"/>
  <c r="E456" i="5"/>
  <c r="D456" i="5"/>
  <c r="D313" i="5"/>
  <c r="C313" i="5"/>
  <c r="C456" i="5"/>
  <c r="B313" i="5"/>
  <c r="H27" i="5"/>
  <c r="B456" i="5"/>
  <c r="G455" i="5"/>
  <c r="G312" i="5"/>
  <c r="F455" i="5"/>
  <c r="F312" i="5"/>
  <c r="E455" i="5"/>
  <c r="E312" i="5"/>
  <c r="D455" i="5"/>
  <c r="D312" i="5"/>
  <c r="C312" i="5"/>
  <c r="C455" i="5"/>
  <c r="B312" i="5"/>
  <c r="B455" i="5"/>
  <c r="H26" i="5"/>
  <c r="G311" i="5"/>
  <c r="G454" i="5"/>
  <c r="F311" i="5"/>
  <c r="F454" i="5"/>
  <c r="E311" i="5"/>
  <c r="E454" i="5"/>
  <c r="D311" i="5"/>
  <c r="D454" i="5"/>
  <c r="C311" i="5"/>
  <c r="C454" i="5"/>
  <c r="B454" i="5"/>
  <c r="H25" i="5"/>
  <c r="B311" i="5"/>
  <c r="G453" i="5"/>
  <c r="G310" i="5"/>
  <c r="F453" i="5"/>
  <c r="F310" i="5"/>
  <c r="E310" i="5"/>
  <c r="E453" i="5"/>
  <c r="D453" i="5"/>
  <c r="D310" i="5"/>
  <c r="C453" i="5"/>
  <c r="C310" i="5"/>
  <c r="B453" i="5"/>
  <c r="H24" i="5"/>
  <c r="B310" i="5"/>
  <c r="G452" i="5"/>
  <c r="G309" i="5"/>
  <c r="F452" i="5"/>
  <c r="F309" i="5"/>
  <c r="E452" i="5"/>
  <c r="E309" i="5"/>
  <c r="D452" i="5"/>
  <c r="D309" i="5"/>
  <c r="C309" i="5"/>
  <c r="C452" i="5"/>
  <c r="H23" i="5"/>
  <c r="B309" i="5"/>
  <c r="B452" i="5"/>
  <c r="G308" i="5"/>
  <c r="G451" i="5"/>
  <c r="F308" i="5"/>
  <c r="F451" i="5"/>
  <c r="E308" i="5"/>
  <c r="E451" i="5"/>
  <c r="D308" i="5"/>
  <c r="D451" i="5"/>
  <c r="C451" i="5"/>
  <c r="C308" i="5"/>
  <c r="B308" i="5"/>
  <c r="B451" i="5"/>
  <c r="H22" i="5"/>
  <c r="G450" i="5"/>
  <c r="G307" i="5"/>
  <c r="F307" i="5"/>
  <c r="F450" i="5"/>
  <c r="E307" i="5"/>
  <c r="E450" i="5"/>
  <c r="D307" i="5"/>
  <c r="D450" i="5"/>
  <c r="C450" i="5"/>
  <c r="C307" i="5"/>
  <c r="B307" i="5"/>
  <c r="H21" i="5"/>
  <c r="B450" i="5"/>
  <c r="G306" i="5"/>
  <c r="G449" i="5"/>
  <c r="F449" i="5"/>
  <c r="F306" i="5"/>
  <c r="E449" i="5"/>
  <c r="E306" i="5"/>
  <c r="D449" i="5"/>
  <c r="D306" i="5"/>
  <c r="C449" i="5"/>
  <c r="C306" i="5"/>
  <c r="H20" i="5"/>
  <c r="B449" i="5"/>
  <c r="B306" i="5"/>
  <c r="G448" i="5"/>
  <c r="G305" i="5"/>
  <c r="F448" i="5"/>
  <c r="F305" i="5"/>
  <c r="E305" i="5"/>
  <c r="E448" i="5"/>
  <c r="D448" i="5"/>
  <c r="D305" i="5"/>
  <c r="C305" i="5"/>
  <c r="C448" i="5"/>
  <c r="H19" i="5"/>
  <c r="B305" i="5"/>
  <c r="B448" i="5"/>
  <c r="G304" i="5"/>
  <c r="G447" i="5"/>
  <c r="F447" i="5"/>
  <c r="F304" i="5"/>
  <c r="E304" i="5"/>
  <c r="E447" i="5"/>
  <c r="D304" i="5"/>
  <c r="D447" i="5"/>
  <c r="C447" i="5"/>
  <c r="C304" i="5"/>
  <c r="H18" i="5"/>
  <c r="B447" i="5"/>
  <c r="B304" i="5"/>
  <c r="G446" i="5"/>
  <c r="G303" i="5"/>
  <c r="F446" i="5"/>
  <c r="F303" i="5"/>
  <c r="E446" i="5"/>
  <c r="E303" i="5"/>
  <c r="D446" i="5"/>
  <c r="D303" i="5"/>
  <c r="C446" i="5"/>
  <c r="C303" i="5"/>
  <c r="H17" i="5"/>
  <c r="B446" i="5"/>
  <c r="B303" i="5"/>
  <c r="G302" i="5"/>
  <c r="G445" i="5"/>
  <c r="F302" i="5"/>
  <c r="F445" i="5"/>
  <c r="E302" i="5"/>
  <c r="E445" i="5"/>
  <c r="D302" i="5"/>
  <c r="D445" i="5"/>
  <c r="C445" i="5"/>
  <c r="C302" i="5"/>
  <c r="B445" i="5"/>
  <c r="B302" i="5"/>
  <c r="H16" i="5"/>
  <c r="G301" i="5"/>
  <c r="G444" i="5"/>
  <c r="F444" i="5"/>
  <c r="F301" i="5"/>
  <c r="E444" i="5"/>
  <c r="E301" i="5"/>
  <c r="D444" i="5"/>
  <c r="D301" i="5"/>
  <c r="C444" i="5"/>
  <c r="C301" i="5"/>
  <c r="H15" i="5"/>
  <c r="B444" i="5"/>
  <c r="B301" i="5"/>
  <c r="G443" i="5"/>
  <c r="G300" i="5"/>
  <c r="F443" i="5"/>
  <c r="F300" i="5"/>
  <c r="E443" i="5"/>
  <c r="E300" i="5"/>
  <c r="D443" i="5"/>
  <c r="D300" i="5"/>
  <c r="C443" i="5"/>
  <c r="C300" i="5"/>
  <c r="B443" i="5"/>
  <c r="B300" i="5"/>
  <c r="H14" i="5"/>
  <c r="G299" i="5"/>
  <c r="G442" i="5"/>
  <c r="F299" i="5"/>
  <c r="F442" i="5"/>
  <c r="E299" i="5"/>
  <c r="E442" i="5"/>
  <c r="D299" i="5"/>
  <c r="D442" i="5"/>
  <c r="C299" i="5"/>
  <c r="C442" i="5"/>
  <c r="H13" i="5"/>
  <c r="B299" i="5"/>
  <c r="B442" i="5"/>
  <c r="G298" i="5"/>
  <c r="G441" i="5"/>
  <c r="F441" i="5"/>
  <c r="F298" i="5"/>
  <c r="E298" i="5"/>
  <c r="E441" i="5"/>
  <c r="D441" i="5"/>
  <c r="D298" i="5"/>
  <c r="C298" i="5"/>
  <c r="C441" i="5"/>
  <c r="H12" i="5"/>
  <c r="B441" i="5"/>
  <c r="B298" i="5"/>
  <c r="G440" i="5"/>
  <c r="G297" i="5"/>
  <c r="F440" i="5"/>
  <c r="F297" i="5"/>
  <c r="E440" i="5"/>
  <c r="E297" i="5"/>
  <c r="D440" i="5"/>
  <c r="D297" i="5"/>
  <c r="C440" i="5"/>
  <c r="C297" i="5"/>
  <c r="B440" i="5"/>
  <c r="B297" i="5"/>
  <c r="H11" i="5"/>
  <c r="G439" i="5"/>
  <c r="G296" i="5"/>
  <c r="F439" i="5"/>
  <c r="F296" i="5"/>
  <c r="E439" i="5"/>
  <c r="E296" i="5"/>
  <c r="D296" i="5"/>
  <c r="D439" i="5"/>
  <c r="C439" i="5"/>
  <c r="C296" i="5"/>
  <c r="B439" i="5"/>
  <c r="B296" i="5"/>
  <c r="H10" i="5"/>
  <c r="G438" i="5"/>
  <c r="G295" i="5"/>
  <c r="F438" i="5"/>
  <c r="F295" i="5"/>
  <c r="E295" i="5"/>
  <c r="E438" i="5"/>
  <c r="D438" i="5"/>
  <c r="D295" i="5"/>
  <c r="C438" i="5"/>
  <c r="C295" i="5"/>
  <c r="B438" i="5"/>
  <c r="H9" i="5"/>
  <c r="B295" i="5"/>
  <c r="G294" i="5"/>
  <c r="G437" i="5"/>
  <c r="F437" i="5"/>
  <c r="F294" i="5"/>
  <c r="E437" i="5"/>
  <c r="E294" i="5"/>
  <c r="D294" i="5"/>
  <c r="D437" i="5"/>
  <c r="C294" i="5"/>
  <c r="C437" i="5"/>
  <c r="B294" i="5"/>
  <c r="H8" i="5"/>
  <c r="B437" i="5"/>
  <c r="G436" i="5"/>
  <c r="G293" i="5"/>
  <c r="F436" i="5"/>
  <c r="F293" i="5"/>
  <c r="E436" i="5"/>
  <c r="E293" i="5"/>
  <c r="D293" i="5"/>
  <c r="D436" i="5"/>
  <c r="C293" i="5"/>
  <c r="C436" i="5"/>
  <c r="B293" i="5"/>
  <c r="B436" i="5"/>
  <c r="H7" i="5"/>
  <c r="G292" i="5"/>
  <c r="G435" i="5"/>
  <c r="F292" i="5"/>
  <c r="F435" i="5"/>
  <c r="E292" i="5"/>
  <c r="E435" i="5"/>
  <c r="D292" i="5"/>
  <c r="D435" i="5"/>
  <c r="C292" i="5"/>
  <c r="C435" i="5"/>
  <c r="B435" i="5"/>
  <c r="B292" i="5"/>
  <c r="H6" i="5"/>
  <c r="G291" i="5"/>
  <c r="G434" i="5"/>
  <c r="G143" i="5"/>
  <c r="F434" i="5"/>
  <c r="F143" i="5"/>
  <c r="F291" i="5"/>
  <c r="E434" i="5"/>
  <c r="E291" i="5"/>
  <c r="E143" i="5"/>
  <c r="D143" i="5"/>
  <c r="D291" i="5"/>
  <c r="D434" i="5"/>
  <c r="C143" i="5"/>
  <c r="C291" i="5"/>
  <c r="C434" i="5"/>
  <c r="H5" i="5"/>
  <c r="B143" i="5"/>
  <c r="B291" i="5"/>
  <c r="B434" i="5"/>
  <c r="D192" i="3"/>
  <c r="E192" i="3"/>
  <c r="E191" i="3"/>
  <c r="D191" i="3"/>
  <c r="E190" i="3"/>
  <c r="D190" i="3"/>
  <c r="D189" i="3"/>
  <c r="E189" i="3"/>
  <c r="D188" i="3"/>
  <c r="E188" i="3"/>
  <c r="E187" i="3"/>
  <c r="D187" i="3"/>
  <c r="D186" i="3"/>
  <c r="E186" i="3"/>
  <c r="D185" i="3"/>
  <c r="E185" i="3"/>
  <c r="D184" i="3"/>
  <c r="E184" i="3"/>
  <c r="E183" i="3"/>
  <c r="D183" i="3"/>
  <c r="D182" i="3"/>
  <c r="E182" i="3"/>
  <c r="E181" i="3"/>
  <c r="D181" i="3"/>
  <c r="D180" i="3"/>
  <c r="E180" i="3"/>
  <c r="D179" i="3"/>
  <c r="E179" i="3"/>
  <c r="E178" i="3"/>
  <c r="D178" i="3"/>
  <c r="D177" i="3"/>
  <c r="E177" i="3"/>
  <c r="D176" i="3"/>
  <c r="E176" i="3"/>
  <c r="D175" i="3"/>
  <c r="E175" i="3"/>
  <c r="E174" i="3"/>
  <c r="D174" i="3"/>
  <c r="E173" i="3"/>
  <c r="D173" i="3"/>
  <c r="D172" i="3"/>
  <c r="E172" i="3"/>
  <c r="E171" i="3"/>
  <c r="D171" i="3"/>
  <c r="E170" i="3"/>
  <c r="D170" i="3"/>
  <c r="D169" i="3"/>
  <c r="E169" i="3"/>
  <c r="D168" i="3"/>
  <c r="E168" i="3"/>
  <c r="D167" i="3"/>
  <c r="E167" i="3"/>
  <c r="E166" i="3"/>
  <c r="D166" i="3"/>
  <c r="D165" i="3"/>
  <c r="E165" i="3"/>
  <c r="B193" i="3"/>
  <c r="D160" i="3"/>
  <c r="E160" i="3"/>
  <c r="D159" i="3"/>
  <c r="E159" i="3"/>
  <c r="E158" i="3"/>
  <c r="D158" i="3"/>
  <c r="E157" i="3"/>
  <c r="D157" i="3"/>
  <c r="D156" i="3"/>
  <c r="E156" i="3"/>
  <c r="E155" i="3"/>
  <c r="D155" i="3"/>
  <c r="E154" i="3"/>
  <c r="D154" i="3"/>
  <c r="D153" i="3"/>
  <c r="E153" i="3"/>
  <c r="D152" i="3"/>
  <c r="E152" i="3"/>
  <c r="E151" i="3"/>
  <c r="D151" i="3"/>
  <c r="D150" i="3"/>
  <c r="E150" i="3"/>
  <c r="D149" i="3"/>
  <c r="E149" i="3"/>
  <c r="E148" i="3"/>
  <c r="D148" i="3"/>
  <c r="E147" i="3"/>
  <c r="D147" i="3"/>
  <c r="D146" i="3"/>
  <c r="E146" i="3"/>
  <c r="D145" i="3"/>
  <c r="E145" i="3"/>
  <c r="D144" i="3"/>
  <c r="E144" i="3"/>
  <c r="E143" i="3"/>
  <c r="D143" i="3"/>
  <c r="E142" i="3"/>
  <c r="D142" i="3"/>
  <c r="E141" i="3"/>
  <c r="D141" i="3"/>
  <c r="E140" i="3"/>
  <c r="D140" i="3"/>
  <c r="E139" i="3"/>
  <c r="D139" i="3"/>
  <c r="D138" i="3"/>
  <c r="E138" i="3"/>
  <c r="E137" i="3"/>
  <c r="D137" i="3"/>
  <c r="E136" i="3"/>
  <c r="D136" i="3"/>
  <c r="E135" i="3"/>
  <c r="D135" i="3"/>
  <c r="E134" i="3"/>
  <c r="D134" i="3"/>
  <c r="B161" i="3"/>
  <c r="E133" i="3"/>
  <c r="D133" i="3"/>
  <c r="D128" i="3"/>
  <c r="E128" i="3"/>
  <c r="D127" i="3"/>
  <c r="E127" i="3"/>
  <c r="E126" i="3"/>
  <c r="D126" i="3"/>
  <c r="E125" i="3"/>
  <c r="D125" i="3"/>
  <c r="D124" i="3"/>
  <c r="E124" i="3"/>
  <c r="D123" i="3"/>
  <c r="E123" i="3"/>
  <c r="E122" i="3"/>
  <c r="D122" i="3"/>
  <c r="D121" i="3"/>
  <c r="E121" i="3"/>
  <c r="D120" i="3"/>
  <c r="E120" i="3"/>
  <c r="D119" i="3"/>
  <c r="E119" i="3"/>
  <c r="E118" i="3"/>
  <c r="D118" i="3"/>
  <c r="D117" i="3"/>
  <c r="E117" i="3"/>
  <c r="E116" i="3"/>
  <c r="D116" i="3"/>
  <c r="E115" i="3"/>
  <c r="D115" i="3"/>
  <c r="E114" i="3"/>
  <c r="D114" i="3"/>
  <c r="D113" i="3"/>
  <c r="E113" i="3"/>
  <c r="D112" i="3"/>
  <c r="E112" i="3"/>
  <c r="D111" i="3"/>
  <c r="E111" i="3"/>
  <c r="D110" i="3"/>
  <c r="E110" i="3"/>
  <c r="D109" i="3"/>
  <c r="E109" i="3"/>
  <c r="D108" i="3"/>
  <c r="E108" i="3"/>
  <c r="E107" i="3"/>
  <c r="D107" i="3"/>
  <c r="D106" i="3"/>
  <c r="E106" i="3"/>
  <c r="D105" i="3"/>
  <c r="E105" i="3"/>
  <c r="E104" i="3"/>
  <c r="D104" i="3"/>
  <c r="D103" i="3"/>
  <c r="E103" i="3"/>
  <c r="D102" i="3"/>
  <c r="E102" i="3"/>
  <c r="B129" i="3"/>
  <c r="D101" i="3"/>
  <c r="E101" i="3"/>
  <c r="D96" i="3"/>
  <c r="E96" i="3"/>
  <c r="D95" i="3"/>
  <c r="E95" i="3"/>
  <c r="D94" i="3"/>
  <c r="E94" i="3"/>
  <c r="D93" i="3"/>
  <c r="E93" i="3"/>
  <c r="D92" i="3"/>
  <c r="E92" i="3"/>
  <c r="D91" i="3"/>
  <c r="E91" i="3"/>
  <c r="B97" i="3"/>
  <c r="D90" i="3"/>
  <c r="E90" i="3"/>
  <c r="E88" i="3"/>
  <c r="D88" i="3"/>
  <c r="D87" i="3"/>
  <c r="E87" i="3"/>
  <c r="D86" i="3"/>
  <c r="E86" i="3"/>
  <c r="D85" i="3"/>
  <c r="E85" i="3"/>
  <c r="E84" i="3"/>
  <c r="D84" i="3"/>
  <c r="E83" i="3"/>
  <c r="D83" i="3"/>
  <c r="D82" i="3"/>
  <c r="E82" i="3"/>
  <c r="D81" i="3"/>
  <c r="E81" i="3"/>
  <c r="E80" i="3"/>
  <c r="D80" i="3"/>
  <c r="D79" i="3"/>
  <c r="E79" i="3"/>
  <c r="E78" i="3"/>
  <c r="D78" i="3"/>
  <c r="E77" i="3"/>
  <c r="D77" i="3"/>
  <c r="E76" i="3"/>
  <c r="D76" i="3"/>
  <c r="E75" i="3"/>
  <c r="D75" i="3"/>
  <c r="D74" i="3"/>
  <c r="E74" i="3"/>
  <c r="E73" i="3"/>
  <c r="D73" i="3"/>
  <c r="E72" i="3"/>
  <c r="D72" i="3"/>
  <c r="E71" i="3"/>
  <c r="D71" i="3"/>
  <c r="E70" i="3"/>
  <c r="D70" i="3"/>
  <c r="E69" i="3"/>
  <c r="D69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D57" i="3"/>
  <c r="E57" i="3"/>
  <c r="D56" i="3"/>
  <c r="E56" i="3"/>
  <c r="D55" i="3"/>
  <c r="E55" i="3"/>
  <c r="E54" i="3"/>
  <c r="D54" i="3"/>
  <c r="E53" i="3"/>
  <c r="D53" i="3"/>
  <c r="E52" i="3"/>
  <c r="D52" i="3"/>
  <c r="E51" i="3"/>
  <c r="D51" i="3"/>
  <c r="D50" i="3"/>
  <c r="E50" i="3"/>
  <c r="D49" i="3"/>
  <c r="E49" i="3"/>
  <c r="E48" i="3"/>
  <c r="D48" i="3"/>
  <c r="E47" i="3"/>
  <c r="D47" i="3"/>
  <c r="D46" i="3"/>
  <c r="E46" i="3"/>
  <c r="E45" i="3"/>
  <c r="D45" i="3"/>
  <c r="E44" i="3"/>
  <c r="D44" i="3"/>
  <c r="E43" i="3"/>
  <c r="D43" i="3"/>
  <c r="E42" i="3"/>
  <c r="D42" i="3"/>
  <c r="E41" i="3"/>
  <c r="D41" i="3"/>
  <c r="E40" i="3"/>
  <c r="D40" i="3"/>
  <c r="D39" i="3"/>
  <c r="E39" i="3"/>
  <c r="E38" i="3"/>
  <c r="D38" i="3"/>
  <c r="E37" i="3"/>
  <c r="D37" i="3"/>
  <c r="B65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D23" i="3"/>
  <c r="E23" i="3"/>
  <c r="D22" i="3"/>
  <c r="E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D13" i="3"/>
  <c r="E13" i="3"/>
  <c r="D12" i="3"/>
  <c r="E12" i="3"/>
  <c r="E11" i="3"/>
  <c r="D11" i="3"/>
  <c r="E10" i="3"/>
  <c r="D10" i="3"/>
  <c r="D9" i="3"/>
  <c r="E9" i="3"/>
  <c r="E8" i="3"/>
  <c r="D8" i="3"/>
  <c r="E7" i="3"/>
  <c r="D7" i="3"/>
  <c r="D6" i="3"/>
  <c r="E6" i="3"/>
  <c r="D5" i="3"/>
  <c r="B33" i="3"/>
  <c r="E5" i="3"/>
  <c r="E192" i="2"/>
  <c r="D192" i="2"/>
  <c r="D191" i="2"/>
  <c r="E191" i="2"/>
  <c r="D190" i="2"/>
  <c r="E190" i="2"/>
  <c r="D189" i="2"/>
  <c r="E189" i="2"/>
  <c r="E188" i="2"/>
  <c r="D188" i="2"/>
  <c r="E187" i="2"/>
  <c r="D187" i="2"/>
  <c r="E186" i="2"/>
  <c r="D186" i="2"/>
  <c r="E185" i="2"/>
  <c r="D185" i="2"/>
  <c r="E184" i="2"/>
  <c r="D184" i="2"/>
  <c r="E183" i="2"/>
  <c r="D183" i="2"/>
  <c r="E182" i="2"/>
  <c r="D182" i="2"/>
  <c r="E181" i="2"/>
  <c r="D181" i="2"/>
  <c r="D180" i="2"/>
  <c r="E180" i="2"/>
  <c r="D179" i="2"/>
  <c r="E179" i="2"/>
  <c r="D178" i="2"/>
  <c r="E178" i="2"/>
  <c r="D177" i="2"/>
  <c r="E177" i="2"/>
  <c r="D176" i="2"/>
  <c r="E176" i="2"/>
  <c r="E175" i="2"/>
  <c r="D175" i="2"/>
  <c r="E174" i="2"/>
  <c r="D174" i="2"/>
  <c r="E173" i="2"/>
  <c r="D173" i="2"/>
  <c r="E172" i="2"/>
  <c r="D172" i="2"/>
  <c r="E171" i="2"/>
  <c r="D171" i="2"/>
  <c r="E170" i="2"/>
  <c r="D170" i="2"/>
  <c r="E169" i="2"/>
  <c r="D169" i="2"/>
  <c r="E168" i="2"/>
  <c r="D168" i="2"/>
  <c r="D167" i="2"/>
  <c r="E167" i="2"/>
  <c r="E166" i="2"/>
  <c r="D166" i="2"/>
  <c r="E165" i="2"/>
  <c r="B193" i="2"/>
  <c r="D165" i="2"/>
  <c r="E160" i="2"/>
  <c r="D160" i="2"/>
  <c r="D159" i="2"/>
  <c r="E159" i="2"/>
  <c r="D158" i="2"/>
  <c r="E158" i="2"/>
  <c r="D157" i="2"/>
  <c r="E157" i="2"/>
  <c r="D156" i="2"/>
  <c r="E156" i="2"/>
  <c r="E155" i="2"/>
  <c r="D155" i="2"/>
  <c r="E154" i="2"/>
  <c r="D154" i="2"/>
  <c r="E153" i="2"/>
  <c r="D153" i="2"/>
  <c r="E152" i="2"/>
  <c r="D152" i="2"/>
  <c r="E151" i="2"/>
  <c r="D151" i="2"/>
  <c r="E150" i="2"/>
  <c r="D150" i="2"/>
  <c r="E149" i="2"/>
  <c r="D149" i="2"/>
  <c r="E148" i="2"/>
  <c r="D148" i="2"/>
  <c r="E147" i="2"/>
  <c r="D147" i="2"/>
  <c r="E146" i="2"/>
  <c r="D146" i="2"/>
  <c r="E145" i="2"/>
  <c r="D145" i="2"/>
  <c r="D144" i="2"/>
  <c r="E144" i="2"/>
  <c r="D143" i="2"/>
  <c r="E143" i="2"/>
  <c r="D142" i="2"/>
  <c r="E142" i="2"/>
  <c r="D141" i="2"/>
  <c r="E141" i="2"/>
  <c r="E140" i="2"/>
  <c r="D140" i="2"/>
  <c r="E139" i="2"/>
  <c r="D139" i="2"/>
  <c r="E138" i="2"/>
  <c r="D138" i="2"/>
  <c r="E137" i="2"/>
  <c r="D137" i="2"/>
  <c r="E136" i="2"/>
  <c r="D136" i="2"/>
  <c r="E135" i="2"/>
  <c r="D135" i="2"/>
  <c r="E134" i="2"/>
  <c r="D134" i="2"/>
  <c r="E133" i="2"/>
  <c r="D133" i="2"/>
  <c r="B161" i="2"/>
  <c r="E128" i="2"/>
  <c r="D128" i="2"/>
  <c r="D127" i="2"/>
  <c r="E127" i="2"/>
  <c r="E126" i="2"/>
  <c r="D126" i="2"/>
  <c r="E125" i="2"/>
  <c r="D125" i="2"/>
  <c r="E124" i="2"/>
  <c r="D124" i="2"/>
  <c r="E123" i="2"/>
  <c r="D123" i="2"/>
  <c r="E122" i="2"/>
  <c r="D122" i="2"/>
  <c r="D121" i="2"/>
  <c r="E121" i="2"/>
  <c r="D120" i="2"/>
  <c r="E120" i="2"/>
  <c r="D119" i="2"/>
  <c r="E119" i="2"/>
  <c r="D118" i="2"/>
  <c r="E118" i="2"/>
  <c r="E117" i="2"/>
  <c r="D117" i="2"/>
  <c r="E116" i="2"/>
  <c r="D116" i="2"/>
  <c r="E115" i="2"/>
  <c r="D115" i="2"/>
  <c r="D114" i="2"/>
  <c r="E114" i="2"/>
  <c r="D113" i="2"/>
  <c r="E113" i="2"/>
  <c r="E112" i="2"/>
  <c r="D112" i="2"/>
  <c r="E111" i="2"/>
  <c r="D111" i="2"/>
  <c r="E110" i="2"/>
  <c r="D110" i="2"/>
  <c r="E109" i="2"/>
  <c r="D109" i="2"/>
  <c r="D108" i="2"/>
  <c r="E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B129" i="2"/>
  <c r="E101" i="2"/>
  <c r="D101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D80" i="2"/>
  <c r="E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B97" i="2"/>
  <c r="D64" i="2"/>
  <c r="E64" i="2"/>
  <c r="E63" i="2"/>
  <c r="D63" i="2"/>
  <c r="D62" i="2"/>
  <c r="E62" i="2"/>
  <c r="E61" i="2"/>
  <c r="D61" i="2"/>
  <c r="E60" i="2"/>
  <c r="D60" i="2"/>
  <c r="E59" i="2"/>
  <c r="D59" i="2"/>
  <c r="E58" i="2"/>
  <c r="D58" i="2"/>
  <c r="E57" i="2"/>
  <c r="D57" i="2"/>
  <c r="E56" i="2"/>
  <c r="D56" i="2"/>
  <c r="D55" i="2"/>
  <c r="E55" i="2"/>
  <c r="E54" i="2"/>
  <c r="D54" i="2"/>
  <c r="E53" i="2"/>
  <c r="D53" i="2"/>
  <c r="E52" i="2"/>
  <c r="D52" i="2"/>
  <c r="E51" i="2"/>
  <c r="D51" i="2"/>
  <c r="E50" i="2"/>
  <c r="D50" i="2"/>
  <c r="D49" i="2"/>
  <c r="E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D41" i="2"/>
  <c r="E41" i="2"/>
  <c r="D40" i="2"/>
  <c r="E40" i="2"/>
  <c r="D39" i="2"/>
  <c r="E39" i="2"/>
  <c r="E38" i="2"/>
  <c r="D38" i="2"/>
  <c r="E37" i="2"/>
  <c r="D37" i="2"/>
  <c r="B65" i="2"/>
  <c r="E32" i="2"/>
  <c r="D32" i="2"/>
  <c r="E31" i="2"/>
  <c r="D31" i="2"/>
  <c r="E30" i="2"/>
  <c r="D30" i="2"/>
  <c r="E29" i="2"/>
  <c r="D29" i="2"/>
  <c r="E28" i="2"/>
  <c r="D28" i="2"/>
  <c r="D27" i="2"/>
  <c r="E27" i="2"/>
  <c r="D26" i="2"/>
  <c r="E26" i="2"/>
  <c r="D25" i="2"/>
  <c r="E25" i="2"/>
  <c r="D24" i="2"/>
  <c r="E24" i="2"/>
  <c r="D23" i="2"/>
  <c r="E23" i="2"/>
  <c r="D22" i="2"/>
  <c r="E22" i="2"/>
  <c r="D21" i="2"/>
  <c r="E21" i="2"/>
  <c r="D20" i="2"/>
  <c r="E20" i="2"/>
  <c r="D19" i="2"/>
  <c r="E19" i="2"/>
  <c r="D18" i="2"/>
  <c r="E18" i="2"/>
  <c r="E17" i="2"/>
  <c r="D17" i="2"/>
  <c r="E16" i="2"/>
  <c r="D16" i="2"/>
  <c r="D15" i="2"/>
  <c r="E15" i="2"/>
  <c r="D14" i="2"/>
  <c r="E14" i="2"/>
  <c r="D13" i="2"/>
  <c r="E13" i="2"/>
  <c r="D12" i="2"/>
  <c r="E12" i="2"/>
  <c r="D11" i="2"/>
  <c r="E11" i="2"/>
  <c r="E10" i="2"/>
  <c r="D10" i="2"/>
  <c r="E9" i="2"/>
  <c r="D9" i="2"/>
  <c r="E8" i="2"/>
  <c r="D8" i="2"/>
  <c r="E7" i="2"/>
  <c r="D7" i="2"/>
  <c r="D6" i="2"/>
  <c r="E6" i="2"/>
  <c r="B33" i="2"/>
  <c r="D5" i="2"/>
  <c r="E5" i="2"/>
  <c r="H148" i="4"/>
  <c r="H286" i="4" s="1"/>
  <c r="B286" i="4"/>
  <c r="H142" i="4"/>
  <c r="B428" i="4"/>
  <c r="H141" i="4"/>
  <c r="B427" i="4"/>
  <c r="H140" i="4"/>
  <c r="B426" i="4"/>
  <c r="B425" i="4"/>
  <c r="H139" i="4"/>
  <c r="H138" i="4"/>
  <c r="B424" i="4"/>
  <c r="H137" i="4"/>
  <c r="B423" i="4"/>
  <c r="H136" i="4"/>
  <c r="B422" i="4"/>
  <c r="B421" i="4"/>
  <c r="H135" i="4"/>
  <c r="H134" i="4"/>
  <c r="B420" i="4"/>
  <c r="B419" i="4"/>
  <c r="H133" i="4"/>
  <c r="H132" i="4"/>
  <c r="B418" i="4"/>
  <c r="H131" i="4"/>
  <c r="B417" i="4"/>
  <c r="H130" i="4"/>
  <c r="B416" i="4"/>
  <c r="H129" i="4"/>
  <c r="B415" i="4"/>
  <c r="B414" i="4"/>
  <c r="H128" i="4"/>
  <c r="H127" i="4"/>
  <c r="B413" i="4"/>
  <c r="B412" i="4"/>
  <c r="H126" i="4"/>
  <c r="H125" i="4"/>
  <c r="B411" i="4"/>
  <c r="B410" i="4"/>
  <c r="H124" i="4"/>
  <c r="B409" i="4"/>
  <c r="H123" i="4"/>
  <c r="H122" i="4"/>
  <c r="B408" i="4"/>
  <c r="B407" i="4"/>
  <c r="H121" i="4"/>
  <c r="B406" i="4"/>
  <c r="H120" i="4"/>
  <c r="B405" i="4"/>
  <c r="H119" i="4"/>
  <c r="H118" i="4"/>
  <c r="B404" i="4"/>
  <c r="H117" i="4"/>
  <c r="B403" i="4"/>
  <c r="H116" i="4"/>
  <c r="B402" i="4"/>
  <c r="H115" i="4"/>
  <c r="B401" i="4"/>
  <c r="H114" i="4"/>
  <c r="B400" i="4"/>
  <c r="H113" i="4"/>
  <c r="B399" i="4"/>
  <c r="B398" i="4"/>
  <c r="H112" i="4"/>
  <c r="H111" i="4"/>
  <c r="B397" i="4"/>
  <c r="H110" i="4"/>
  <c r="B396" i="4"/>
  <c r="B395" i="4"/>
  <c r="H109" i="4"/>
  <c r="B394" i="4"/>
  <c r="H108" i="4"/>
  <c r="B393" i="4"/>
  <c r="H107" i="4"/>
  <c r="B392" i="4"/>
  <c r="H106" i="4"/>
  <c r="B391" i="4"/>
  <c r="H105" i="4"/>
  <c r="H104" i="4"/>
  <c r="B390" i="4"/>
  <c r="B389" i="4"/>
  <c r="H103" i="4"/>
  <c r="B388" i="4"/>
  <c r="H102" i="4"/>
  <c r="H101" i="4"/>
  <c r="B387" i="4"/>
  <c r="B386" i="4"/>
  <c r="H100" i="4"/>
  <c r="H99" i="4"/>
  <c r="B385" i="4"/>
  <c r="H98" i="4"/>
  <c r="B384" i="4"/>
  <c r="H97" i="4"/>
  <c r="B383" i="4"/>
  <c r="H96" i="4"/>
  <c r="B382" i="4"/>
  <c r="H95" i="4"/>
  <c r="B381" i="4"/>
  <c r="H94" i="4"/>
  <c r="B380" i="4"/>
  <c r="H93" i="4"/>
  <c r="B379" i="4"/>
  <c r="B378" i="4"/>
  <c r="H92" i="4"/>
  <c r="B377" i="4"/>
  <c r="H91" i="4"/>
  <c r="B376" i="4"/>
  <c r="H90" i="4"/>
  <c r="B375" i="4"/>
  <c r="H89" i="4"/>
  <c r="H88" i="4"/>
  <c r="B374" i="4"/>
  <c r="H87" i="4"/>
  <c r="B373" i="4"/>
  <c r="H86" i="4"/>
  <c r="B372" i="4"/>
  <c r="H85" i="4"/>
  <c r="B371" i="4"/>
  <c r="B370" i="4"/>
  <c r="H84" i="4"/>
  <c r="B369" i="4"/>
  <c r="H83" i="4"/>
  <c r="H82" i="4"/>
  <c r="B368" i="4"/>
  <c r="B367" i="4"/>
  <c r="H81" i="4"/>
  <c r="H80" i="4"/>
  <c r="B366" i="4"/>
  <c r="H79" i="4"/>
  <c r="B365" i="4"/>
  <c r="B364" i="4"/>
  <c r="H78" i="4"/>
  <c r="H77" i="4"/>
  <c r="B363" i="4"/>
  <c r="B362" i="4"/>
  <c r="H76" i="4"/>
  <c r="B361" i="4"/>
  <c r="H75" i="4"/>
  <c r="B360" i="4"/>
  <c r="H74" i="4"/>
  <c r="B359" i="4"/>
  <c r="H73" i="4"/>
  <c r="B358" i="4"/>
  <c r="H72" i="4"/>
  <c r="E357" i="4"/>
  <c r="E500" i="4"/>
  <c r="D500" i="4"/>
  <c r="D357" i="4"/>
  <c r="C357" i="4"/>
  <c r="C500" i="4"/>
  <c r="B500" i="4"/>
  <c r="H71" i="4"/>
  <c r="B357" i="4"/>
  <c r="G499" i="4"/>
  <c r="G356" i="4"/>
  <c r="F499" i="4"/>
  <c r="F356" i="4"/>
  <c r="E499" i="4"/>
  <c r="E356" i="4"/>
  <c r="D356" i="4"/>
  <c r="D499" i="4"/>
  <c r="C356" i="4"/>
  <c r="C499" i="4"/>
  <c r="B356" i="4"/>
  <c r="B499" i="4"/>
  <c r="H70" i="4"/>
  <c r="G355" i="4"/>
  <c r="G498" i="4"/>
  <c r="F498" i="4"/>
  <c r="F355" i="4"/>
  <c r="E498" i="4"/>
  <c r="E355" i="4"/>
  <c r="D498" i="4"/>
  <c r="D355" i="4"/>
  <c r="C355" i="4"/>
  <c r="C498" i="4"/>
  <c r="B355" i="4"/>
  <c r="H69" i="4"/>
  <c r="B498" i="4"/>
  <c r="G354" i="4"/>
  <c r="G497" i="4"/>
  <c r="F354" i="4"/>
  <c r="F497" i="4"/>
  <c r="E354" i="4"/>
  <c r="E497" i="4"/>
  <c r="D497" i="4"/>
  <c r="D354" i="4"/>
  <c r="C497" i="4"/>
  <c r="C354" i="4"/>
  <c r="B354" i="4"/>
  <c r="B497" i="4"/>
  <c r="H68" i="4"/>
  <c r="G496" i="4"/>
  <c r="G353" i="4"/>
  <c r="F496" i="4"/>
  <c r="F353" i="4"/>
  <c r="E496" i="4"/>
  <c r="E353" i="4"/>
  <c r="D353" i="4"/>
  <c r="D496" i="4"/>
  <c r="C353" i="4"/>
  <c r="C496" i="4"/>
  <c r="B353" i="4"/>
  <c r="H67" i="4"/>
  <c r="B496" i="4"/>
  <c r="G495" i="4"/>
  <c r="G352" i="4"/>
  <c r="F352" i="4"/>
  <c r="F495" i="4"/>
  <c r="E495" i="4"/>
  <c r="E352" i="4"/>
  <c r="D352" i="4"/>
  <c r="D495" i="4"/>
  <c r="C495" i="4"/>
  <c r="C352" i="4"/>
  <c r="H66" i="4"/>
  <c r="B495" i="4"/>
  <c r="B352" i="4"/>
  <c r="G494" i="4"/>
  <c r="G351" i="4"/>
  <c r="F494" i="4"/>
  <c r="F351" i="4"/>
  <c r="E494" i="4"/>
  <c r="E351" i="4"/>
  <c r="D494" i="4"/>
  <c r="D351" i="4"/>
  <c r="C494" i="4"/>
  <c r="C351" i="4"/>
  <c r="B494" i="4"/>
  <c r="H65" i="4"/>
  <c r="B351" i="4"/>
  <c r="G350" i="4"/>
  <c r="G493" i="4"/>
  <c r="F493" i="4"/>
  <c r="F350" i="4"/>
  <c r="E493" i="4"/>
  <c r="E350" i="4"/>
  <c r="D493" i="4"/>
  <c r="D350" i="4"/>
  <c r="C493" i="4"/>
  <c r="C350" i="4"/>
  <c r="B493" i="4"/>
  <c r="B350" i="4"/>
  <c r="H64" i="4"/>
  <c r="G492" i="4"/>
  <c r="G349" i="4"/>
  <c r="F492" i="4"/>
  <c r="F349" i="4"/>
  <c r="E492" i="4"/>
  <c r="E349" i="4"/>
  <c r="D492" i="4"/>
  <c r="D349" i="4"/>
  <c r="C349" i="4"/>
  <c r="C492" i="4"/>
  <c r="H63" i="4"/>
  <c r="B349" i="4"/>
  <c r="B492" i="4"/>
  <c r="G491" i="4"/>
  <c r="G348" i="4"/>
  <c r="F491" i="4"/>
  <c r="F348" i="4"/>
  <c r="E491" i="4"/>
  <c r="E348" i="4"/>
  <c r="D348" i="4"/>
  <c r="D491" i="4"/>
  <c r="C348" i="4"/>
  <c r="C491" i="4"/>
  <c r="B348" i="4"/>
  <c r="B491" i="4"/>
  <c r="H62" i="4"/>
  <c r="G347" i="4"/>
  <c r="G490" i="4"/>
  <c r="F347" i="4"/>
  <c r="F490" i="4"/>
  <c r="E347" i="4"/>
  <c r="E490" i="4"/>
  <c r="D347" i="4"/>
  <c r="D490" i="4"/>
  <c r="C347" i="4"/>
  <c r="C490" i="4"/>
  <c r="B347" i="4"/>
  <c r="H61" i="4"/>
  <c r="B490" i="4"/>
  <c r="G346" i="4"/>
  <c r="G489" i="4"/>
  <c r="F489" i="4"/>
  <c r="F346" i="4"/>
  <c r="E346" i="4"/>
  <c r="E489" i="4"/>
  <c r="D346" i="4"/>
  <c r="D489" i="4"/>
  <c r="C346" i="4"/>
  <c r="C489" i="4"/>
  <c r="B346" i="4"/>
  <c r="B489" i="4"/>
  <c r="H60" i="4"/>
  <c r="G345" i="4"/>
  <c r="G488" i="4"/>
  <c r="F345" i="4"/>
  <c r="F488" i="4"/>
  <c r="E345" i="4"/>
  <c r="E488" i="4"/>
  <c r="D345" i="4"/>
  <c r="D488" i="4"/>
  <c r="C345" i="4"/>
  <c r="C488" i="4"/>
  <c r="H59" i="4"/>
  <c r="B488" i="4"/>
  <c r="B345" i="4"/>
  <c r="G487" i="4"/>
  <c r="G344" i="4"/>
  <c r="F487" i="4"/>
  <c r="F344" i="4"/>
  <c r="E344" i="4"/>
  <c r="E487" i="4"/>
  <c r="D344" i="4"/>
  <c r="D487" i="4"/>
  <c r="C344" i="4"/>
  <c r="C487" i="4"/>
  <c r="H58" i="4"/>
  <c r="B344" i="4"/>
  <c r="B487" i="4"/>
  <c r="G343" i="4"/>
  <c r="G486" i="4"/>
  <c r="F343" i="4"/>
  <c r="F486" i="4"/>
  <c r="E343" i="4"/>
  <c r="E486" i="4"/>
  <c r="D343" i="4"/>
  <c r="D486" i="4"/>
  <c r="C343" i="4"/>
  <c r="C486" i="4"/>
  <c r="H57" i="4"/>
  <c r="B343" i="4"/>
  <c r="B486" i="4"/>
  <c r="G342" i="4"/>
  <c r="G485" i="4"/>
  <c r="F342" i="4"/>
  <c r="F485" i="4"/>
  <c r="E485" i="4"/>
  <c r="E342" i="4"/>
  <c r="D485" i="4"/>
  <c r="D342" i="4"/>
  <c r="C342" i="4"/>
  <c r="C485" i="4"/>
  <c r="B342" i="4"/>
  <c r="B485" i="4"/>
  <c r="H56" i="4"/>
  <c r="G484" i="4"/>
  <c r="G341" i="4"/>
  <c r="F341" i="4"/>
  <c r="F484" i="4"/>
  <c r="E341" i="4"/>
  <c r="E484" i="4"/>
  <c r="D341" i="4"/>
  <c r="D484" i="4"/>
  <c r="C341" i="4"/>
  <c r="C484" i="4"/>
  <c r="B484" i="4"/>
  <c r="H55" i="4"/>
  <c r="B341" i="4"/>
  <c r="G483" i="4"/>
  <c r="G340" i="4"/>
  <c r="F483" i="4"/>
  <c r="F340" i="4"/>
  <c r="E340" i="4"/>
  <c r="E483" i="4"/>
  <c r="D483" i="4"/>
  <c r="D340" i="4"/>
  <c r="C483" i="4"/>
  <c r="C340" i="4"/>
  <c r="B483" i="4"/>
  <c r="H54" i="4"/>
  <c r="B340" i="4"/>
  <c r="G482" i="4"/>
  <c r="G339" i="4"/>
  <c r="F339" i="4"/>
  <c r="F482" i="4"/>
  <c r="E482" i="4"/>
  <c r="E339" i="4"/>
  <c r="D339" i="4"/>
  <c r="D482" i="4"/>
  <c r="C339" i="4"/>
  <c r="C482" i="4"/>
  <c r="H53" i="4"/>
  <c r="B339" i="4"/>
  <c r="B482" i="4"/>
  <c r="G338" i="4"/>
  <c r="G481" i="4"/>
  <c r="F338" i="4"/>
  <c r="F481" i="4"/>
  <c r="E481" i="4"/>
  <c r="E338" i="4"/>
  <c r="D338" i="4"/>
  <c r="D481" i="4"/>
  <c r="C338" i="4"/>
  <c r="C481" i="4"/>
  <c r="B338" i="4"/>
  <c r="B481" i="4"/>
  <c r="H52" i="4"/>
  <c r="G480" i="4"/>
  <c r="G337" i="4"/>
  <c r="F480" i="4"/>
  <c r="F337" i="4"/>
  <c r="E337" i="4"/>
  <c r="E480" i="4"/>
  <c r="D337" i="4"/>
  <c r="D480" i="4"/>
  <c r="C480" i="4"/>
  <c r="C337" i="4"/>
  <c r="B480" i="4"/>
  <c r="B337" i="4"/>
  <c r="H51" i="4"/>
  <c r="G336" i="4"/>
  <c r="G479" i="4"/>
  <c r="F479" i="4"/>
  <c r="F336" i="4"/>
  <c r="E336" i="4"/>
  <c r="E479" i="4"/>
  <c r="D479" i="4"/>
  <c r="D336" i="4"/>
  <c r="C336" i="4"/>
  <c r="C479" i="4"/>
  <c r="B336" i="4"/>
  <c r="H50" i="4"/>
  <c r="B479" i="4"/>
  <c r="G478" i="4"/>
  <c r="G335" i="4"/>
  <c r="F335" i="4"/>
  <c r="F478" i="4"/>
  <c r="E335" i="4"/>
  <c r="E478" i="4"/>
  <c r="D335" i="4"/>
  <c r="D478" i="4"/>
  <c r="C335" i="4"/>
  <c r="C478" i="4"/>
  <c r="H49" i="4"/>
  <c r="B335" i="4"/>
  <c r="B478" i="4"/>
  <c r="G334" i="4"/>
  <c r="G477" i="4"/>
  <c r="F334" i="4"/>
  <c r="F477" i="4"/>
  <c r="E334" i="4"/>
  <c r="E477" i="4"/>
  <c r="D334" i="4"/>
  <c r="D477" i="4"/>
  <c r="C334" i="4"/>
  <c r="C477" i="4"/>
  <c r="H48" i="4"/>
  <c r="B477" i="4"/>
  <c r="B334" i="4"/>
  <c r="G476" i="4"/>
  <c r="G333" i="4"/>
  <c r="F476" i="4"/>
  <c r="F333" i="4"/>
  <c r="E476" i="4"/>
  <c r="E333" i="4"/>
  <c r="D476" i="4"/>
  <c r="D333" i="4"/>
  <c r="C476" i="4"/>
  <c r="C333" i="4"/>
  <c r="B476" i="4"/>
  <c r="B333" i="4"/>
  <c r="H47" i="4"/>
  <c r="G475" i="4"/>
  <c r="G332" i="4"/>
  <c r="F475" i="4"/>
  <c r="F332" i="4"/>
  <c r="E475" i="4"/>
  <c r="E332" i="4"/>
  <c r="D475" i="4"/>
  <c r="D332" i="4"/>
  <c r="C475" i="4"/>
  <c r="C332" i="4"/>
  <c r="B475" i="4"/>
  <c r="H46" i="4"/>
  <c r="B332" i="4"/>
  <c r="G474" i="4"/>
  <c r="G331" i="4"/>
  <c r="F474" i="4"/>
  <c r="F331" i="4"/>
  <c r="E474" i="4"/>
  <c r="E331" i="4"/>
  <c r="D474" i="4"/>
  <c r="D331" i="4"/>
  <c r="C474" i="4"/>
  <c r="C331" i="4"/>
  <c r="H45" i="4"/>
  <c r="B474" i="4"/>
  <c r="B331" i="4"/>
  <c r="G330" i="4"/>
  <c r="G473" i="4"/>
  <c r="F473" i="4"/>
  <c r="F330" i="4"/>
  <c r="E473" i="4"/>
  <c r="E330" i="4"/>
  <c r="D330" i="4"/>
  <c r="D473" i="4"/>
  <c r="C473" i="4"/>
  <c r="C330" i="4"/>
  <c r="B473" i="4"/>
  <c r="B330" i="4"/>
  <c r="H44" i="4"/>
  <c r="G329" i="4"/>
  <c r="G472" i="4"/>
  <c r="F329" i="4"/>
  <c r="F472" i="4"/>
  <c r="E472" i="4"/>
  <c r="E329" i="4"/>
  <c r="D329" i="4"/>
  <c r="D472" i="4"/>
  <c r="C329" i="4"/>
  <c r="C472" i="4"/>
  <c r="B329" i="4"/>
  <c r="H43" i="4"/>
  <c r="B472" i="4"/>
  <c r="G328" i="4"/>
  <c r="G471" i="4"/>
  <c r="F328" i="4"/>
  <c r="F471" i="4"/>
  <c r="E328" i="4"/>
  <c r="E471" i="4"/>
  <c r="D328" i="4"/>
  <c r="D471" i="4"/>
  <c r="C328" i="4"/>
  <c r="C471" i="4"/>
  <c r="B471" i="4"/>
  <c r="B328" i="4"/>
  <c r="H42" i="4"/>
  <c r="G470" i="4"/>
  <c r="G327" i="4"/>
  <c r="F470" i="4"/>
  <c r="F327" i="4"/>
  <c r="E327" i="4"/>
  <c r="E470" i="4"/>
  <c r="D327" i="4"/>
  <c r="D470" i="4"/>
  <c r="C470" i="4"/>
  <c r="C327" i="4"/>
  <c r="B470" i="4"/>
  <c r="H41" i="4"/>
  <c r="B327" i="4"/>
  <c r="G469" i="4"/>
  <c r="G326" i="4"/>
  <c r="F326" i="4"/>
  <c r="F469" i="4"/>
  <c r="E326" i="4"/>
  <c r="E469" i="4"/>
  <c r="D326" i="4"/>
  <c r="D469" i="4"/>
  <c r="C469" i="4"/>
  <c r="C326" i="4"/>
  <c r="H40" i="4"/>
  <c r="B469" i="4"/>
  <c r="B326" i="4"/>
  <c r="G468" i="4"/>
  <c r="G325" i="4"/>
  <c r="F468" i="4"/>
  <c r="F325" i="4"/>
  <c r="E468" i="4"/>
  <c r="E325" i="4"/>
  <c r="D325" i="4"/>
  <c r="D468" i="4"/>
  <c r="C325" i="4"/>
  <c r="C468" i="4"/>
  <c r="H39" i="4"/>
  <c r="B468" i="4"/>
  <c r="B325" i="4"/>
  <c r="G324" i="4"/>
  <c r="G467" i="4"/>
  <c r="F324" i="4"/>
  <c r="F467" i="4"/>
  <c r="E324" i="4"/>
  <c r="E467" i="4"/>
  <c r="D324" i="4"/>
  <c r="D467" i="4"/>
  <c r="C324" i="4"/>
  <c r="C467" i="4"/>
  <c r="H38" i="4"/>
  <c r="B324" i="4"/>
  <c r="B467" i="4"/>
  <c r="G323" i="4"/>
  <c r="G466" i="4"/>
  <c r="F466" i="4"/>
  <c r="F323" i="4"/>
  <c r="E466" i="4"/>
  <c r="E323" i="4"/>
  <c r="D466" i="4"/>
  <c r="D323" i="4"/>
  <c r="C466" i="4"/>
  <c r="C323" i="4"/>
  <c r="H37" i="4"/>
  <c r="B323" i="4"/>
  <c r="B466" i="4"/>
  <c r="G465" i="4"/>
  <c r="G322" i="4"/>
  <c r="F465" i="4"/>
  <c r="F322" i="4"/>
  <c r="E322" i="4"/>
  <c r="E465" i="4"/>
  <c r="D465" i="4"/>
  <c r="D322" i="4"/>
  <c r="C465" i="4"/>
  <c r="C322" i="4"/>
  <c r="B322" i="4"/>
  <c r="H36" i="4"/>
  <c r="B465" i="4"/>
  <c r="G464" i="4"/>
  <c r="G321" i="4"/>
  <c r="F464" i="4"/>
  <c r="F321" i="4"/>
  <c r="E464" i="4"/>
  <c r="E321" i="4"/>
  <c r="D464" i="4"/>
  <c r="D321" i="4"/>
  <c r="C464" i="4"/>
  <c r="C321" i="4"/>
  <c r="H35" i="4"/>
  <c r="B464" i="4"/>
  <c r="B321" i="4"/>
  <c r="G463" i="4"/>
  <c r="G320" i="4"/>
  <c r="F463" i="4"/>
  <c r="F320" i="4"/>
  <c r="E320" i="4"/>
  <c r="E463" i="4"/>
  <c r="D463" i="4"/>
  <c r="D320" i="4"/>
  <c r="C463" i="4"/>
  <c r="C320" i="4"/>
  <c r="B463" i="4"/>
  <c r="H34" i="4"/>
  <c r="B320" i="4"/>
  <c r="G462" i="4"/>
  <c r="G319" i="4"/>
  <c r="F319" i="4"/>
  <c r="F462" i="4"/>
  <c r="E319" i="4"/>
  <c r="E462" i="4"/>
  <c r="D462" i="4"/>
  <c r="D319" i="4"/>
  <c r="C462" i="4"/>
  <c r="C319" i="4"/>
  <c r="H33" i="4"/>
  <c r="B462" i="4"/>
  <c r="B319" i="4"/>
  <c r="G318" i="4"/>
  <c r="G461" i="4"/>
  <c r="F461" i="4"/>
  <c r="F318" i="4"/>
  <c r="E318" i="4"/>
  <c r="E461" i="4"/>
  <c r="D461" i="4"/>
  <c r="D318" i="4"/>
  <c r="C318" i="4"/>
  <c r="C461" i="4"/>
  <c r="B461" i="4"/>
  <c r="B318" i="4"/>
  <c r="H32" i="4"/>
  <c r="G460" i="4"/>
  <c r="G317" i="4"/>
  <c r="F317" i="4"/>
  <c r="F460" i="4"/>
  <c r="E317" i="4"/>
  <c r="E460" i="4"/>
  <c r="D317" i="4"/>
  <c r="D460" i="4"/>
  <c r="C317" i="4"/>
  <c r="C460" i="4"/>
  <c r="B317" i="4"/>
  <c r="H31" i="4"/>
  <c r="B460" i="4"/>
  <c r="G316" i="4"/>
  <c r="G459" i="4"/>
  <c r="F316" i="4"/>
  <c r="F459" i="4"/>
  <c r="E316" i="4"/>
  <c r="E459" i="4"/>
  <c r="D459" i="4"/>
  <c r="D316" i="4"/>
  <c r="C459" i="4"/>
  <c r="C316" i="4"/>
  <c r="B459" i="4"/>
  <c r="H30" i="4"/>
  <c r="B316" i="4"/>
  <c r="G458" i="4"/>
  <c r="G315" i="4"/>
  <c r="F315" i="4"/>
  <c r="F458" i="4"/>
  <c r="E458" i="4"/>
  <c r="E315" i="4"/>
  <c r="D458" i="4"/>
  <c r="D315" i="4"/>
  <c r="C458" i="4"/>
  <c r="C315" i="4"/>
  <c r="H29" i="4"/>
  <c r="B458" i="4"/>
  <c r="B315" i="4"/>
  <c r="G457" i="4"/>
  <c r="G314" i="4"/>
  <c r="F314" i="4"/>
  <c r="F457" i="4"/>
  <c r="E314" i="4"/>
  <c r="E457" i="4"/>
  <c r="D314" i="4"/>
  <c r="D457" i="4"/>
  <c r="C314" i="4"/>
  <c r="C457" i="4"/>
  <c r="B457" i="4"/>
  <c r="H28" i="4"/>
  <c r="B314" i="4"/>
  <c r="G456" i="4"/>
  <c r="G313" i="4"/>
  <c r="F313" i="4"/>
  <c r="F456" i="4"/>
  <c r="E313" i="4"/>
  <c r="E456" i="4"/>
  <c r="D313" i="4"/>
  <c r="D456" i="4"/>
  <c r="C313" i="4"/>
  <c r="C456" i="4"/>
  <c r="B313" i="4"/>
  <c r="H27" i="4"/>
  <c r="B456" i="4"/>
  <c r="G312" i="4"/>
  <c r="G455" i="4"/>
  <c r="F312" i="4"/>
  <c r="F455" i="4"/>
  <c r="E455" i="4"/>
  <c r="E312" i="4"/>
  <c r="D455" i="4"/>
  <c r="D312" i="4"/>
  <c r="C455" i="4"/>
  <c r="C312" i="4"/>
  <c r="B455" i="4"/>
  <c r="B312" i="4"/>
  <c r="H26" i="4"/>
  <c r="G311" i="4"/>
  <c r="G454" i="4"/>
  <c r="F454" i="4"/>
  <c r="F311" i="4"/>
  <c r="E311" i="4"/>
  <c r="E454" i="4"/>
  <c r="D311" i="4"/>
  <c r="D454" i="4"/>
  <c r="C311" i="4"/>
  <c r="C454" i="4"/>
  <c r="B311" i="4"/>
  <c r="H25" i="4"/>
  <c r="B454" i="4"/>
  <c r="G453" i="4"/>
  <c r="G310" i="4"/>
  <c r="F453" i="4"/>
  <c r="F310" i="4"/>
  <c r="E453" i="4"/>
  <c r="E310" i="4"/>
  <c r="D453" i="4"/>
  <c r="D310" i="4"/>
  <c r="C453" i="4"/>
  <c r="C310" i="4"/>
  <c r="H24" i="4"/>
  <c r="B310" i="4"/>
  <c r="B453" i="4"/>
  <c r="G309" i="4"/>
  <c r="G452" i="4"/>
  <c r="F309" i="4"/>
  <c r="F452" i="4"/>
  <c r="E452" i="4"/>
  <c r="E309" i="4"/>
  <c r="D452" i="4"/>
  <c r="D309" i="4"/>
  <c r="C309" i="4"/>
  <c r="C452" i="4"/>
  <c r="B309" i="4"/>
  <c r="B452" i="4"/>
  <c r="H23" i="4"/>
  <c r="G451" i="4"/>
  <c r="G308" i="4"/>
  <c r="F308" i="4"/>
  <c r="F451" i="4"/>
  <c r="E308" i="4"/>
  <c r="E451" i="4"/>
  <c r="D308" i="4"/>
  <c r="D451" i="4"/>
  <c r="C451" i="4"/>
  <c r="C308" i="4"/>
  <c r="B451" i="4"/>
  <c r="H22" i="4"/>
  <c r="B308" i="4"/>
  <c r="G450" i="4"/>
  <c r="G307" i="4"/>
  <c r="F307" i="4"/>
  <c r="F450" i="4"/>
  <c r="E307" i="4"/>
  <c r="E450" i="4"/>
  <c r="D307" i="4"/>
  <c r="D450" i="4"/>
  <c r="C307" i="4"/>
  <c r="C450" i="4"/>
  <c r="H21" i="4"/>
  <c r="B450" i="4"/>
  <c r="B307" i="4"/>
  <c r="G449" i="4"/>
  <c r="G306" i="4"/>
  <c r="F306" i="4"/>
  <c r="F449" i="4"/>
  <c r="E306" i="4"/>
  <c r="E449" i="4"/>
  <c r="D306" i="4"/>
  <c r="D449" i="4"/>
  <c r="C449" i="4"/>
  <c r="C306" i="4"/>
  <c r="H20" i="4"/>
  <c r="B306" i="4"/>
  <c r="B449" i="4"/>
  <c r="G448" i="4"/>
  <c r="G305" i="4"/>
  <c r="F305" i="4"/>
  <c r="F448" i="4"/>
  <c r="E448" i="4"/>
  <c r="E305" i="4"/>
  <c r="D448" i="4"/>
  <c r="D305" i="4"/>
  <c r="C305" i="4"/>
  <c r="C448" i="4"/>
  <c r="B448" i="4"/>
  <c r="H19" i="4"/>
  <c r="B305" i="4"/>
  <c r="G447" i="4"/>
  <c r="G304" i="4"/>
  <c r="F447" i="4"/>
  <c r="F304" i="4"/>
  <c r="E447" i="4"/>
  <c r="E304" i="4"/>
  <c r="D304" i="4"/>
  <c r="D447" i="4"/>
  <c r="C447" i="4"/>
  <c r="C304" i="4"/>
  <c r="B447" i="4"/>
  <c r="B304" i="4"/>
  <c r="H18" i="4"/>
  <c r="G446" i="4"/>
  <c r="G303" i="4"/>
  <c r="F303" i="4"/>
  <c r="F446" i="4"/>
  <c r="E303" i="4"/>
  <c r="E446" i="4"/>
  <c r="D446" i="4"/>
  <c r="D303" i="4"/>
  <c r="C303" i="4"/>
  <c r="C446" i="4"/>
  <c r="H17" i="4"/>
  <c r="B303" i="4"/>
  <c r="B446" i="4"/>
  <c r="G302" i="4"/>
  <c r="G445" i="4"/>
  <c r="F302" i="4"/>
  <c r="F445" i="4"/>
  <c r="E302" i="4"/>
  <c r="E445" i="4"/>
  <c r="D302" i="4"/>
  <c r="D445" i="4"/>
  <c r="C445" i="4"/>
  <c r="C302" i="4"/>
  <c r="B302" i="4"/>
  <c r="B445" i="4"/>
  <c r="H16" i="4"/>
  <c r="G301" i="4"/>
  <c r="G444" i="4"/>
  <c r="F301" i="4"/>
  <c r="F444" i="4"/>
  <c r="E301" i="4"/>
  <c r="E444" i="4"/>
  <c r="D301" i="4"/>
  <c r="D444" i="4"/>
  <c r="C444" i="4"/>
  <c r="C301" i="4"/>
  <c r="B444" i="4"/>
  <c r="H15" i="4"/>
  <c r="B301" i="4"/>
  <c r="G300" i="4"/>
  <c r="G443" i="4"/>
  <c r="F443" i="4"/>
  <c r="F300" i="4"/>
  <c r="E443" i="4"/>
  <c r="E300" i="4"/>
  <c r="D443" i="4"/>
  <c r="D300" i="4"/>
  <c r="C300" i="4"/>
  <c r="C443" i="4"/>
  <c r="B443" i="4"/>
  <c r="B300" i="4"/>
  <c r="H14" i="4"/>
  <c r="G442" i="4"/>
  <c r="G299" i="4"/>
  <c r="F299" i="4"/>
  <c r="F442" i="4"/>
  <c r="E442" i="4"/>
  <c r="E299" i="4"/>
  <c r="D442" i="4"/>
  <c r="D299" i="4"/>
  <c r="C442" i="4"/>
  <c r="C299" i="4"/>
  <c r="H13" i="4"/>
  <c r="B442" i="4"/>
  <c r="B299" i="4"/>
  <c r="G298" i="4"/>
  <c r="G441" i="4"/>
  <c r="F298" i="4"/>
  <c r="F441" i="4"/>
  <c r="E298" i="4"/>
  <c r="E441" i="4"/>
  <c r="D298" i="4"/>
  <c r="D441" i="4"/>
  <c r="C298" i="4"/>
  <c r="C441" i="4"/>
  <c r="H12" i="4"/>
  <c r="B298" i="4"/>
  <c r="B441" i="4"/>
  <c r="G440" i="4"/>
  <c r="G297" i="4"/>
  <c r="F440" i="4"/>
  <c r="F297" i="4"/>
  <c r="E440" i="4"/>
  <c r="E297" i="4"/>
  <c r="D440" i="4"/>
  <c r="D297" i="4"/>
  <c r="C440" i="4"/>
  <c r="C297" i="4"/>
  <c r="B440" i="4"/>
  <c r="H11" i="4"/>
  <c r="B297" i="4"/>
  <c r="G439" i="4"/>
  <c r="G296" i="4"/>
  <c r="F296" i="4"/>
  <c r="F439" i="4"/>
  <c r="E296" i="4"/>
  <c r="E439" i="4"/>
  <c r="D296" i="4"/>
  <c r="D439" i="4"/>
  <c r="C296" i="4"/>
  <c r="C439" i="4"/>
  <c r="B296" i="4"/>
  <c r="H10" i="4"/>
  <c r="B439" i="4"/>
  <c r="G295" i="4"/>
  <c r="G438" i="4"/>
  <c r="F295" i="4"/>
  <c r="F438" i="4"/>
  <c r="E438" i="4"/>
  <c r="E295" i="4"/>
  <c r="D438" i="4"/>
  <c r="D295" i="4"/>
  <c r="C295" i="4"/>
  <c r="C438" i="4"/>
  <c r="H9" i="4"/>
  <c r="B438" i="4"/>
  <c r="B295" i="4"/>
  <c r="G294" i="4"/>
  <c r="G437" i="4"/>
  <c r="F437" i="4"/>
  <c r="F294" i="4"/>
  <c r="E294" i="4"/>
  <c r="E437" i="4"/>
  <c r="D294" i="4"/>
  <c r="D437" i="4"/>
  <c r="C294" i="4"/>
  <c r="C437" i="4"/>
  <c r="B437" i="4"/>
  <c r="B294" i="4"/>
  <c r="H8" i="4"/>
  <c r="G293" i="4"/>
  <c r="G436" i="4"/>
  <c r="F293" i="4"/>
  <c r="F436" i="4"/>
  <c r="E293" i="4"/>
  <c r="E436" i="4"/>
  <c r="D293" i="4"/>
  <c r="D436" i="4"/>
  <c r="C293" i="4"/>
  <c r="C436" i="4"/>
  <c r="B293" i="4"/>
  <c r="H7" i="4"/>
  <c r="B436" i="4"/>
  <c r="G435" i="4"/>
  <c r="G292" i="4"/>
  <c r="F435" i="4"/>
  <c r="F292" i="4"/>
  <c r="E435" i="4"/>
  <c r="E292" i="4"/>
  <c r="D292" i="4"/>
  <c r="D435" i="4"/>
  <c r="C435" i="4"/>
  <c r="C292" i="4"/>
  <c r="B292" i="4"/>
  <c r="H6" i="4"/>
  <c r="B435" i="4"/>
  <c r="G143" i="4"/>
  <c r="G434" i="4"/>
  <c r="G291" i="4"/>
  <c r="F434" i="4"/>
  <c r="F143" i="4"/>
  <c r="F291" i="4"/>
  <c r="E434" i="4"/>
  <c r="E143" i="4"/>
  <c r="E291" i="4"/>
  <c r="D434" i="4"/>
  <c r="D143" i="4"/>
  <c r="D291" i="4"/>
  <c r="C434" i="4"/>
  <c r="C143" i="4"/>
  <c r="C291" i="4"/>
  <c r="B434" i="4"/>
  <c r="H5" i="4"/>
  <c r="B291" i="4"/>
  <c r="B143" i="4"/>
  <c r="D99" i="7" l="1"/>
  <c r="E99" i="7"/>
  <c r="D66" i="7"/>
  <c r="E66" i="7"/>
  <c r="D33" i="7"/>
  <c r="E33" i="7"/>
  <c r="H380" i="6"/>
  <c r="H523" i="6"/>
  <c r="H379" i="6"/>
  <c r="H522" i="6"/>
  <c r="H378" i="6"/>
  <c r="H521" i="6"/>
  <c r="H377" i="6"/>
  <c r="H520" i="6"/>
  <c r="H376" i="6"/>
  <c r="H519" i="6"/>
  <c r="H375" i="6"/>
  <c r="H518" i="6"/>
  <c r="H374" i="6"/>
  <c r="H517" i="6"/>
  <c r="H373" i="6"/>
  <c r="H516" i="6"/>
  <c r="H372" i="6"/>
  <c r="H515" i="6"/>
  <c r="H371" i="6"/>
  <c r="H514" i="6"/>
  <c r="H370" i="6"/>
  <c r="H513" i="6"/>
  <c r="H369" i="6"/>
  <c r="H512" i="6"/>
  <c r="H368" i="6"/>
  <c r="H511" i="6"/>
  <c r="H367" i="6"/>
  <c r="H510" i="6"/>
  <c r="H366" i="6"/>
  <c r="H509" i="6"/>
  <c r="H365" i="6"/>
  <c r="H508" i="6"/>
  <c r="H364" i="6"/>
  <c r="H507" i="6"/>
  <c r="H363" i="6"/>
  <c r="H506" i="6"/>
  <c r="H362" i="6"/>
  <c r="H505" i="6"/>
  <c r="H361" i="6"/>
  <c r="H504" i="6"/>
  <c r="H360" i="6"/>
  <c r="H503" i="6"/>
  <c r="H359" i="6"/>
  <c r="H502" i="6"/>
  <c r="H358" i="6"/>
  <c r="H501" i="6"/>
  <c r="H357" i="6"/>
  <c r="H500" i="6"/>
  <c r="H356" i="6"/>
  <c r="H499" i="6"/>
  <c r="H355" i="6"/>
  <c r="H498" i="6"/>
  <c r="H354" i="6"/>
  <c r="H497" i="6"/>
  <c r="H353" i="6"/>
  <c r="H496" i="6"/>
  <c r="H352" i="6"/>
  <c r="H495" i="6"/>
  <c r="H351" i="6"/>
  <c r="H494" i="6"/>
  <c r="H350" i="6"/>
  <c r="H493" i="6"/>
  <c r="H349" i="6"/>
  <c r="H492" i="6"/>
  <c r="H348" i="6"/>
  <c r="H491" i="6"/>
  <c r="H347" i="6"/>
  <c r="H490" i="6"/>
  <c r="H346" i="6"/>
  <c r="H489" i="6"/>
  <c r="H345" i="6"/>
  <c r="H488" i="6"/>
  <c r="H344" i="6"/>
  <c r="H487" i="6"/>
  <c r="H343" i="6"/>
  <c r="H486" i="6"/>
  <c r="H342" i="6"/>
  <c r="H485" i="6"/>
  <c r="H341" i="6"/>
  <c r="H484" i="6"/>
  <c r="H340" i="6"/>
  <c r="H483" i="6"/>
  <c r="H339" i="6"/>
  <c r="H482" i="6"/>
  <c r="H338" i="6"/>
  <c r="H481" i="6"/>
  <c r="H337" i="6"/>
  <c r="H480" i="6"/>
  <c r="H336" i="6"/>
  <c r="H479" i="6"/>
  <c r="H335" i="6"/>
  <c r="H478" i="6"/>
  <c r="H334" i="6"/>
  <c r="H477" i="6"/>
  <c r="H333" i="6"/>
  <c r="H476" i="6"/>
  <c r="H332" i="6"/>
  <c r="H475" i="6"/>
  <c r="H331" i="6"/>
  <c r="H474" i="6"/>
  <c r="H330" i="6"/>
  <c r="H473" i="6"/>
  <c r="H329" i="6"/>
  <c r="H472" i="6"/>
  <c r="H328" i="6"/>
  <c r="H471" i="6"/>
  <c r="H327" i="6"/>
  <c r="H470" i="6"/>
  <c r="H326" i="6"/>
  <c r="H469" i="6"/>
  <c r="H325" i="6"/>
  <c r="H468" i="6"/>
  <c r="H324" i="6"/>
  <c r="H467" i="6"/>
  <c r="H323" i="6"/>
  <c r="H466" i="6"/>
  <c r="H322" i="6"/>
  <c r="H465" i="6"/>
  <c r="H321" i="6"/>
  <c r="H464" i="6"/>
  <c r="H320" i="6"/>
  <c r="H463" i="6"/>
  <c r="H319" i="6"/>
  <c r="H462" i="6"/>
  <c r="H318" i="6"/>
  <c r="H461" i="6"/>
  <c r="H317" i="6"/>
  <c r="H460" i="6"/>
  <c r="H316" i="6"/>
  <c r="H459" i="6"/>
  <c r="H315" i="6"/>
  <c r="H458" i="6"/>
  <c r="H314" i="6"/>
  <c r="H457" i="6"/>
  <c r="H313" i="6"/>
  <c r="H456" i="6"/>
  <c r="H312" i="6"/>
  <c r="H455" i="6"/>
  <c r="H311" i="6"/>
  <c r="H454" i="6"/>
  <c r="H310" i="6"/>
  <c r="H453" i="6"/>
  <c r="H309" i="6"/>
  <c r="H452" i="6"/>
  <c r="H308" i="6"/>
  <c r="H451" i="6"/>
  <c r="H307" i="6"/>
  <c r="H450" i="6"/>
  <c r="H306" i="6"/>
  <c r="H449" i="6"/>
  <c r="H305" i="6"/>
  <c r="H448" i="6"/>
  <c r="H304" i="6"/>
  <c r="H447" i="6"/>
  <c r="H303" i="6"/>
  <c r="H446" i="6"/>
  <c r="H302" i="6"/>
  <c r="H445" i="6"/>
  <c r="H301" i="6"/>
  <c r="H444" i="6"/>
  <c r="H300" i="6"/>
  <c r="H443" i="6"/>
  <c r="H299" i="6"/>
  <c r="H442" i="6"/>
  <c r="H298" i="6"/>
  <c r="H441" i="6"/>
  <c r="H297" i="6"/>
  <c r="H440" i="6"/>
  <c r="H296" i="6"/>
  <c r="H439" i="6"/>
  <c r="H295" i="6"/>
  <c r="H438" i="6"/>
  <c r="H294" i="6"/>
  <c r="H437" i="6"/>
  <c r="H293" i="6"/>
  <c r="H436" i="6"/>
  <c r="H292" i="6"/>
  <c r="H435" i="6"/>
  <c r="G429" i="6"/>
  <c r="G572" i="6"/>
  <c r="F429" i="6"/>
  <c r="F572" i="6"/>
  <c r="E429" i="6"/>
  <c r="E572" i="6"/>
  <c r="D429" i="6"/>
  <c r="D572" i="6"/>
  <c r="C429" i="6"/>
  <c r="C572" i="6"/>
  <c r="B429" i="6"/>
  <c r="B572" i="6"/>
  <c r="H143" i="6"/>
  <c r="H291" i="6"/>
  <c r="H434" i="6"/>
  <c r="H428" i="5"/>
  <c r="H571" i="5"/>
  <c r="H427" i="5"/>
  <c r="H570" i="5"/>
  <c r="H426" i="5"/>
  <c r="H569" i="5"/>
  <c r="H425" i="5"/>
  <c r="H568" i="5"/>
  <c r="H424" i="5"/>
  <c r="H567" i="5"/>
  <c r="H423" i="5"/>
  <c r="H566" i="5"/>
  <c r="H422" i="5"/>
  <c r="H565" i="5"/>
  <c r="H421" i="5"/>
  <c r="H564" i="5"/>
  <c r="H420" i="5"/>
  <c r="H563" i="5"/>
  <c r="H419" i="5"/>
  <c r="H562" i="5"/>
  <c r="H418" i="5"/>
  <c r="H561" i="5"/>
  <c r="H417" i="5"/>
  <c r="H560" i="5"/>
  <c r="H416" i="5"/>
  <c r="H559" i="5"/>
  <c r="H415" i="5"/>
  <c r="H558" i="5"/>
  <c r="H414" i="5"/>
  <c r="H557" i="5"/>
  <c r="H413" i="5"/>
  <c r="H556" i="5"/>
  <c r="H412" i="5"/>
  <c r="H555" i="5"/>
  <c r="H411" i="5"/>
  <c r="H554" i="5"/>
  <c r="H410" i="5"/>
  <c r="H553" i="5"/>
  <c r="H409" i="5"/>
  <c r="H552" i="5"/>
  <c r="H408" i="5"/>
  <c r="H551" i="5"/>
  <c r="H407" i="5"/>
  <c r="H550" i="5"/>
  <c r="H406" i="5"/>
  <c r="H549" i="5"/>
  <c r="H405" i="5"/>
  <c r="H548" i="5"/>
  <c r="H404" i="5"/>
  <c r="H547" i="5"/>
  <c r="H403" i="5"/>
  <c r="H546" i="5"/>
  <c r="H402" i="5"/>
  <c r="H545" i="5"/>
  <c r="H401" i="5"/>
  <c r="H544" i="5"/>
  <c r="H400" i="5"/>
  <c r="H543" i="5"/>
  <c r="H399" i="5"/>
  <c r="H542" i="5"/>
  <c r="H398" i="5"/>
  <c r="H541" i="5"/>
  <c r="H397" i="5"/>
  <c r="H540" i="5"/>
  <c r="H396" i="5"/>
  <c r="H539" i="5"/>
  <c r="H395" i="5"/>
  <c r="H538" i="5"/>
  <c r="H537" i="5"/>
  <c r="H394" i="5"/>
  <c r="H393" i="5"/>
  <c r="H536" i="5"/>
  <c r="H392" i="5"/>
  <c r="H535" i="5"/>
  <c r="H391" i="5"/>
  <c r="H534" i="5"/>
  <c r="H390" i="5"/>
  <c r="H533" i="5"/>
  <c r="H389" i="5"/>
  <c r="H532" i="5"/>
  <c r="H531" i="5"/>
  <c r="H388" i="5"/>
  <c r="H530" i="5"/>
  <c r="H387" i="5"/>
  <c r="H529" i="5"/>
  <c r="H386" i="5"/>
  <c r="H385" i="5"/>
  <c r="H528" i="5"/>
  <c r="H527" i="5"/>
  <c r="H384" i="5"/>
  <c r="H526" i="5"/>
  <c r="H383" i="5"/>
  <c r="H382" i="5"/>
  <c r="H525" i="5"/>
  <c r="H381" i="5"/>
  <c r="H524" i="5"/>
  <c r="H380" i="5"/>
  <c r="H523" i="5"/>
  <c r="H379" i="5"/>
  <c r="H522" i="5"/>
  <c r="H378" i="5"/>
  <c r="H521" i="5"/>
  <c r="H377" i="5"/>
  <c r="H520" i="5"/>
  <c r="H376" i="5"/>
  <c r="H519" i="5"/>
  <c r="H375" i="5"/>
  <c r="H518" i="5"/>
  <c r="H374" i="5"/>
  <c r="H517" i="5"/>
  <c r="H516" i="5"/>
  <c r="H373" i="5"/>
  <c r="H372" i="5"/>
  <c r="H515" i="5"/>
  <c r="H371" i="5"/>
  <c r="H514" i="5"/>
  <c r="H370" i="5"/>
  <c r="H513" i="5"/>
  <c r="H369" i="5"/>
  <c r="H512" i="5"/>
  <c r="H368" i="5"/>
  <c r="H511" i="5"/>
  <c r="H367" i="5"/>
  <c r="H510" i="5"/>
  <c r="H509" i="5"/>
  <c r="H366" i="5"/>
  <c r="H508" i="5"/>
  <c r="H365" i="5"/>
  <c r="H364" i="5"/>
  <c r="H507" i="5"/>
  <c r="H363" i="5"/>
  <c r="H506" i="5"/>
  <c r="H362" i="5"/>
  <c r="H505" i="5"/>
  <c r="H361" i="5"/>
  <c r="H504" i="5"/>
  <c r="H503" i="5"/>
  <c r="H360" i="5"/>
  <c r="H359" i="5"/>
  <c r="H502" i="5"/>
  <c r="H358" i="5"/>
  <c r="H501" i="5"/>
  <c r="H500" i="5"/>
  <c r="H357" i="5"/>
  <c r="H356" i="5"/>
  <c r="H499" i="5"/>
  <c r="H355" i="5"/>
  <c r="H498" i="5"/>
  <c r="H497" i="5"/>
  <c r="H354" i="5"/>
  <c r="H353" i="5"/>
  <c r="H496" i="5"/>
  <c r="H352" i="5"/>
  <c r="H495" i="5"/>
  <c r="H351" i="5"/>
  <c r="H494" i="5"/>
  <c r="H493" i="5"/>
  <c r="H350" i="5"/>
  <c r="H492" i="5"/>
  <c r="H349" i="5"/>
  <c r="H348" i="5"/>
  <c r="H491" i="5"/>
  <c r="H347" i="5"/>
  <c r="H490" i="5"/>
  <c r="H346" i="5"/>
  <c r="H489" i="5"/>
  <c r="H345" i="5"/>
  <c r="H488" i="5"/>
  <c r="H487" i="5"/>
  <c r="H344" i="5"/>
  <c r="H486" i="5"/>
  <c r="H343" i="5"/>
  <c r="H342" i="5"/>
  <c r="H485" i="5"/>
  <c r="H341" i="5"/>
  <c r="H484" i="5"/>
  <c r="H340" i="5"/>
  <c r="H483" i="5"/>
  <c r="H339" i="5"/>
  <c r="H482" i="5"/>
  <c r="H338" i="5"/>
  <c r="H481" i="5"/>
  <c r="H337" i="5"/>
  <c r="H480" i="5"/>
  <c r="H336" i="5"/>
  <c r="H479" i="5"/>
  <c r="H335" i="5"/>
  <c r="H478" i="5"/>
  <c r="H477" i="5"/>
  <c r="H334" i="5"/>
  <c r="H333" i="5"/>
  <c r="H476" i="5"/>
  <c r="H332" i="5"/>
  <c r="H475" i="5"/>
  <c r="H331" i="5"/>
  <c r="H474" i="5"/>
  <c r="H330" i="5"/>
  <c r="H473" i="5"/>
  <c r="H329" i="5"/>
  <c r="H472" i="5"/>
  <c r="H328" i="5"/>
  <c r="H471" i="5"/>
  <c r="H327" i="5"/>
  <c r="H470" i="5"/>
  <c r="H469" i="5"/>
  <c r="H326" i="5"/>
  <c r="H468" i="5"/>
  <c r="H325" i="5"/>
  <c r="H324" i="5"/>
  <c r="H467" i="5"/>
  <c r="H323" i="5"/>
  <c r="H466" i="5"/>
  <c r="H465" i="5"/>
  <c r="H322" i="5"/>
  <c r="H321" i="5"/>
  <c r="H464" i="5"/>
  <c r="H463" i="5"/>
  <c r="H320" i="5"/>
  <c r="H319" i="5"/>
  <c r="H462" i="5"/>
  <c r="H461" i="5"/>
  <c r="H318" i="5"/>
  <c r="H317" i="5"/>
  <c r="H460" i="5"/>
  <c r="H459" i="5"/>
  <c r="H316" i="5"/>
  <c r="H315" i="5"/>
  <c r="H458" i="5"/>
  <c r="H314" i="5"/>
  <c r="H457" i="5"/>
  <c r="H313" i="5"/>
  <c r="H456" i="5"/>
  <c r="H312" i="5"/>
  <c r="H455" i="5"/>
  <c r="H311" i="5"/>
  <c r="H454" i="5"/>
  <c r="H310" i="5"/>
  <c r="H453" i="5"/>
  <c r="H309" i="5"/>
  <c r="H452" i="5"/>
  <c r="H308" i="5"/>
  <c r="H451" i="5"/>
  <c r="H307" i="5"/>
  <c r="H450" i="5"/>
  <c r="H306" i="5"/>
  <c r="H449" i="5"/>
  <c r="H305" i="5"/>
  <c r="H448" i="5"/>
  <c r="H304" i="5"/>
  <c r="H447" i="5"/>
  <c r="H303" i="5"/>
  <c r="H446" i="5"/>
  <c r="H302" i="5"/>
  <c r="H445" i="5"/>
  <c r="H301" i="5"/>
  <c r="H444" i="5"/>
  <c r="H300" i="5"/>
  <c r="H443" i="5"/>
  <c r="H299" i="5"/>
  <c r="H442" i="5"/>
  <c r="H298" i="5"/>
  <c r="H441" i="5"/>
  <c r="H297" i="5"/>
  <c r="H440" i="5"/>
  <c r="H296" i="5"/>
  <c r="H439" i="5"/>
  <c r="H295" i="5"/>
  <c r="H438" i="5"/>
  <c r="H294" i="5"/>
  <c r="H437" i="5"/>
  <c r="H293" i="5"/>
  <c r="H436" i="5"/>
  <c r="H292" i="5"/>
  <c r="H435" i="5"/>
  <c r="G429" i="5"/>
  <c r="G572" i="5"/>
  <c r="F429" i="5"/>
  <c r="F572" i="5"/>
  <c r="E429" i="5"/>
  <c r="E572" i="5"/>
  <c r="D429" i="5"/>
  <c r="D572" i="5"/>
  <c r="C429" i="5"/>
  <c r="C572" i="5"/>
  <c r="H143" i="5"/>
  <c r="H291" i="5"/>
  <c r="H434" i="5"/>
  <c r="B429" i="5"/>
  <c r="B572" i="5"/>
  <c r="E193" i="3"/>
  <c r="D193" i="3"/>
  <c r="D161" i="3"/>
  <c r="E161" i="3"/>
  <c r="D129" i="3"/>
  <c r="E129" i="3"/>
  <c r="D97" i="3"/>
  <c r="E97" i="3"/>
  <c r="D65" i="3"/>
  <c r="E65" i="3"/>
  <c r="D33" i="3"/>
  <c r="E33" i="3"/>
  <c r="D193" i="2"/>
  <c r="E193" i="2"/>
  <c r="D161" i="2"/>
  <c r="E161" i="2"/>
  <c r="D129" i="2"/>
  <c r="E129" i="2"/>
  <c r="D97" i="2"/>
  <c r="E97" i="2"/>
  <c r="D65" i="2"/>
  <c r="E65" i="2"/>
  <c r="D33" i="2"/>
  <c r="E33" i="2"/>
  <c r="H428" i="4"/>
  <c r="H571" i="4"/>
  <c r="H427" i="4"/>
  <c r="H570" i="4"/>
  <c r="H426" i="4"/>
  <c r="H569" i="4"/>
  <c r="H425" i="4"/>
  <c r="H568" i="4"/>
  <c r="H424" i="4"/>
  <c r="H567" i="4"/>
  <c r="H423" i="4"/>
  <c r="H566" i="4"/>
  <c r="H422" i="4"/>
  <c r="H565" i="4"/>
  <c r="H421" i="4"/>
  <c r="H564" i="4"/>
  <c r="H420" i="4"/>
  <c r="H563" i="4"/>
  <c r="H419" i="4"/>
  <c r="H562" i="4"/>
  <c r="H418" i="4"/>
  <c r="H561" i="4"/>
  <c r="H417" i="4"/>
  <c r="H560" i="4"/>
  <c r="H416" i="4"/>
  <c r="H559" i="4"/>
  <c r="H415" i="4"/>
  <c r="H558" i="4"/>
  <c r="H414" i="4"/>
  <c r="H557" i="4"/>
  <c r="H413" i="4"/>
  <c r="H556" i="4"/>
  <c r="H412" i="4"/>
  <c r="H555" i="4"/>
  <c r="H411" i="4"/>
  <c r="H554" i="4"/>
  <c r="H410" i="4"/>
  <c r="H553" i="4"/>
  <c r="H409" i="4"/>
  <c r="H552" i="4"/>
  <c r="H408" i="4"/>
  <c r="H551" i="4"/>
  <c r="H407" i="4"/>
  <c r="H550" i="4"/>
  <c r="H406" i="4"/>
  <c r="H549" i="4"/>
  <c r="H405" i="4"/>
  <c r="H548" i="4"/>
  <c r="H404" i="4"/>
  <c r="H547" i="4"/>
  <c r="H403" i="4"/>
  <c r="H546" i="4"/>
  <c r="H402" i="4"/>
  <c r="H545" i="4"/>
  <c r="H401" i="4"/>
  <c r="H544" i="4"/>
  <c r="H400" i="4"/>
  <c r="H543" i="4"/>
  <c r="H399" i="4"/>
  <c r="H542" i="4"/>
  <c r="H398" i="4"/>
  <c r="H541" i="4"/>
  <c r="H397" i="4"/>
  <c r="H540" i="4"/>
  <c r="H396" i="4"/>
  <c r="H539" i="4"/>
  <c r="H395" i="4"/>
  <c r="H538" i="4"/>
  <c r="H394" i="4"/>
  <c r="H537" i="4"/>
  <c r="H393" i="4"/>
  <c r="H536" i="4"/>
  <c r="H392" i="4"/>
  <c r="H535" i="4"/>
  <c r="H391" i="4"/>
  <c r="H534" i="4"/>
  <c r="H390" i="4"/>
  <c r="H533" i="4"/>
  <c r="H389" i="4"/>
  <c r="H532" i="4"/>
  <c r="H388" i="4"/>
  <c r="H531" i="4"/>
  <c r="H387" i="4"/>
  <c r="H530" i="4"/>
  <c r="H386" i="4"/>
  <c r="H529" i="4"/>
  <c r="H385" i="4"/>
  <c r="H528" i="4"/>
  <c r="H384" i="4"/>
  <c r="H527" i="4"/>
  <c r="H383" i="4"/>
  <c r="H526" i="4"/>
  <c r="H382" i="4"/>
  <c r="H525" i="4"/>
  <c r="H381" i="4"/>
  <c r="H524" i="4"/>
  <c r="H380" i="4"/>
  <c r="H523" i="4"/>
  <c r="H379" i="4"/>
  <c r="H522" i="4"/>
  <c r="H378" i="4"/>
  <c r="H521" i="4"/>
  <c r="H377" i="4"/>
  <c r="H520" i="4"/>
  <c r="H376" i="4"/>
  <c r="H519" i="4"/>
  <c r="H375" i="4"/>
  <c r="H518" i="4"/>
  <c r="H374" i="4"/>
  <c r="H517" i="4"/>
  <c r="H373" i="4"/>
  <c r="H516" i="4"/>
  <c r="H372" i="4"/>
  <c r="H515" i="4"/>
  <c r="H371" i="4"/>
  <c r="H514" i="4"/>
  <c r="H370" i="4"/>
  <c r="H513" i="4"/>
  <c r="H369" i="4"/>
  <c r="H512" i="4"/>
  <c r="H368" i="4"/>
  <c r="H511" i="4"/>
  <c r="H367" i="4"/>
  <c r="H510" i="4"/>
  <c r="H366" i="4"/>
  <c r="H509" i="4"/>
  <c r="H365" i="4"/>
  <c r="H508" i="4"/>
  <c r="H364" i="4"/>
  <c r="H507" i="4"/>
  <c r="H363" i="4"/>
  <c r="H506" i="4"/>
  <c r="H362" i="4"/>
  <c r="H505" i="4"/>
  <c r="H361" i="4"/>
  <c r="H504" i="4"/>
  <c r="H360" i="4"/>
  <c r="H503" i="4"/>
  <c r="H359" i="4"/>
  <c r="H502" i="4"/>
  <c r="H358" i="4"/>
  <c r="H501" i="4"/>
  <c r="H357" i="4"/>
  <c r="H500" i="4"/>
  <c r="H356" i="4"/>
  <c r="H499" i="4"/>
  <c r="H355" i="4"/>
  <c r="H498" i="4"/>
  <c r="H354" i="4"/>
  <c r="H497" i="4"/>
  <c r="H353" i="4"/>
  <c r="H496" i="4"/>
  <c r="H352" i="4"/>
  <c r="H495" i="4"/>
  <c r="H351" i="4"/>
  <c r="H494" i="4"/>
  <c r="H350" i="4"/>
  <c r="H493" i="4"/>
  <c r="H349" i="4"/>
  <c r="H492" i="4"/>
  <c r="H348" i="4"/>
  <c r="H491" i="4"/>
  <c r="H347" i="4"/>
  <c r="H490" i="4"/>
  <c r="H346" i="4"/>
  <c r="H489" i="4"/>
  <c r="H345" i="4"/>
  <c r="H488" i="4"/>
  <c r="H344" i="4"/>
  <c r="H487" i="4"/>
  <c r="H343" i="4"/>
  <c r="H486" i="4"/>
  <c r="H342" i="4"/>
  <c r="H485" i="4"/>
  <c r="H341" i="4"/>
  <c r="H484" i="4"/>
  <c r="H340" i="4"/>
  <c r="H483" i="4"/>
  <c r="H339" i="4"/>
  <c r="H482" i="4"/>
  <c r="H338" i="4"/>
  <c r="H481" i="4"/>
  <c r="H337" i="4"/>
  <c r="H480" i="4"/>
  <c r="H336" i="4"/>
  <c r="H479" i="4"/>
  <c r="H335" i="4"/>
  <c r="H478" i="4"/>
  <c r="H334" i="4"/>
  <c r="H477" i="4"/>
  <c r="H333" i="4"/>
  <c r="H476" i="4"/>
  <c r="H332" i="4"/>
  <c r="H475" i="4"/>
  <c r="H331" i="4"/>
  <c r="H474" i="4"/>
  <c r="H330" i="4"/>
  <c r="H473" i="4"/>
  <c r="H329" i="4"/>
  <c r="H472" i="4"/>
  <c r="H328" i="4"/>
  <c r="H471" i="4"/>
  <c r="H327" i="4"/>
  <c r="H470" i="4"/>
  <c r="H326" i="4"/>
  <c r="H469" i="4"/>
  <c r="H325" i="4"/>
  <c r="H468" i="4"/>
  <c r="H324" i="4"/>
  <c r="H467" i="4"/>
  <c r="H323" i="4"/>
  <c r="H466" i="4"/>
  <c r="H322" i="4"/>
  <c r="H465" i="4"/>
  <c r="H321" i="4"/>
  <c r="H464" i="4"/>
  <c r="H320" i="4"/>
  <c r="H463" i="4"/>
  <c r="H319" i="4"/>
  <c r="H462" i="4"/>
  <c r="H318" i="4"/>
  <c r="H461" i="4"/>
  <c r="H317" i="4"/>
  <c r="H460" i="4"/>
  <c r="H316" i="4"/>
  <c r="H459" i="4"/>
  <c r="H315" i="4"/>
  <c r="H458" i="4"/>
  <c r="H314" i="4"/>
  <c r="H457" i="4"/>
  <c r="H313" i="4"/>
  <c r="H456" i="4"/>
  <c r="H312" i="4"/>
  <c r="H455" i="4"/>
  <c r="H311" i="4"/>
  <c r="H454" i="4"/>
  <c r="H310" i="4"/>
  <c r="H453" i="4"/>
  <c r="H309" i="4"/>
  <c r="H452" i="4"/>
  <c r="H308" i="4"/>
  <c r="H451" i="4"/>
  <c r="H307" i="4"/>
  <c r="H450" i="4"/>
  <c r="H306" i="4"/>
  <c r="H449" i="4"/>
  <c r="H305" i="4"/>
  <c r="H448" i="4"/>
  <c r="H304" i="4"/>
  <c r="H447" i="4"/>
  <c r="H303" i="4"/>
  <c r="H446" i="4"/>
  <c r="H302" i="4"/>
  <c r="H445" i="4"/>
  <c r="H301" i="4"/>
  <c r="H444" i="4"/>
  <c r="H300" i="4"/>
  <c r="H443" i="4"/>
  <c r="H299" i="4"/>
  <c r="H442" i="4"/>
  <c r="H298" i="4"/>
  <c r="H441" i="4"/>
  <c r="H297" i="4"/>
  <c r="H440" i="4"/>
  <c r="H296" i="4"/>
  <c r="H439" i="4"/>
  <c r="H295" i="4"/>
  <c r="H438" i="4"/>
  <c r="H294" i="4"/>
  <c r="H437" i="4"/>
  <c r="H293" i="4"/>
  <c r="H436" i="4"/>
  <c r="H292" i="4"/>
  <c r="H435" i="4"/>
  <c r="G429" i="4"/>
  <c r="G572" i="4"/>
  <c r="F429" i="4"/>
  <c r="F572" i="4"/>
  <c r="E429" i="4"/>
  <c r="E572" i="4"/>
  <c r="D429" i="4"/>
  <c r="D572" i="4"/>
  <c r="C429" i="4"/>
  <c r="C572" i="4"/>
  <c r="H291" i="4"/>
  <c r="H434" i="4"/>
  <c r="H143" i="4"/>
  <c r="B429" i="4"/>
  <c r="B572" i="4"/>
  <c r="H429" i="6" l="1"/>
  <c r="H572" i="6"/>
  <c r="H429" i="5"/>
  <c r="H572" i="5"/>
  <c r="H429" i="4"/>
  <c r="H572" i="4"/>
</calcChain>
</file>

<file path=xl/sharedStrings.xml><?xml version="1.0" encoding="utf-8"?>
<sst xmlns="http://schemas.openxmlformats.org/spreadsheetml/2006/main" count="56398" uniqueCount="519">
  <si>
    <t>Weekly Time Series by Trade Day — NSE vs BSE Premium Turnover &amp; Market Share (Sep-2025 onwards, live)</t>
  </si>
  <si>
    <t>NSE Premium Turnover (INR Crs)</t>
  </si>
  <si>
    <t>Trade Week-Month-Year</t>
  </si>
  <si>
    <t>Monday</t>
  </si>
  <si>
    <t>Tuesday</t>
  </si>
  <si>
    <t>Wednesday</t>
  </si>
  <si>
    <t>Thursday</t>
  </si>
  <si>
    <t>Friday</t>
  </si>
  <si>
    <t>Sunday</t>
  </si>
  <si>
    <t>Total</t>
  </si>
  <si>
    <t>Week1-Sep-2025</t>
  </si>
  <si>
    <t>Week2-Sep-2025</t>
  </si>
  <si>
    <t>Week3-Sep-2025</t>
  </si>
  <si>
    <t>Week4-Sep-2025</t>
  </si>
  <si>
    <t>Week5-Sep-2025</t>
  </si>
  <si>
    <t>Week1-Oct-2025</t>
  </si>
  <si>
    <t>Week2-Oct-2025</t>
  </si>
  <si>
    <t>Week3-Oct-2025</t>
  </si>
  <si>
    <t>Week4-Oct-2025</t>
  </si>
  <si>
    <t>Week5-Oct-2025</t>
  </si>
  <si>
    <t>Week1-Nov-2025</t>
  </si>
  <si>
    <t>Week2-Nov-2025</t>
  </si>
  <si>
    <t>Week3-Nov-2025</t>
  </si>
  <si>
    <t>Week4-Nov-2025</t>
  </si>
  <si>
    <t>Week5-Nov-2025</t>
  </si>
  <si>
    <t>Week1-Dec-2025</t>
  </si>
  <si>
    <t>Week2-Dec-2025</t>
  </si>
  <si>
    <t>Week3-Dec-2025</t>
  </si>
  <si>
    <t>Week4-Dec-2025</t>
  </si>
  <si>
    <t>Week5-Dec-2025</t>
  </si>
  <si>
    <t>Week1-Jan-2026</t>
  </si>
  <si>
    <t>Week2-Jan-2026</t>
  </si>
  <si>
    <t>Week3-Jan-2026</t>
  </si>
  <si>
    <t>Week4-Jan-2026</t>
  </si>
  <si>
    <t>Week5-Jan-2026</t>
  </si>
  <si>
    <t>Week1-Feb-2026</t>
  </si>
  <si>
    <t>Week2-Feb-2026</t>
  </si>
  <si>
    <t>Week3-Feb-2026</t>
  </si>
  <si>
    <t>Week4-Feb-2026</t>
  </si>
  <si>
    <t>Week1-Mar-2026</t>
  </si>
  <si>
    <t>Week2-Mar-2026</t>
  </si>
  <si>
    <t>Week3-Mar-2026</t>
  </si>
  <si>
    <t>Week4-Mar-2026</t>
  </si>
  <si>
    <t>Week5-Mar-2026</t>
  </si>
  <si>
    <t>Week1-Apr-2026</t>
  </si>
  <si>
    <t>Week2-Apr-2026</t>
  </si>
  <si>
    <t>Week3-Apr-2026</t>
  </si>
  <si>
    <t>Week4-Apr-2026</t>
  </si>
  <si>
    <t>Week5-Apr-2026</t>
  </si>
  <si>
    <t>Week1-May-2026</t>
  </si>
  <si>
    <t>Week2-May-2026</t>
  </si>
  <si>
    <t>Week3-May-2026</t>
  </si>
  <si>
    <t>Week4-May-2026</t>
  </si>
  <si>
    <t>Week5-May-2026</t>
  </si>
  <si>
    <t>Week1-Jun-2026</t>
  </si>
  <si>
    <t>Week2-Jun-2026</t>
  </si>
  <si>
    <t>Week3-Jun-2026</t>
  </si>
  <si>
    <t>Week4-Jun-2026</t>
  </si>
  <si>
    <t>Week5-Jun-2026</t>
  </si>
  <si>
    <t>Week1-Jul-2026</t>
  </si>
  <si>
    <t>Week2-Jul-2026</t>
  </si>
  <si>
    <t>Week3-Jul-2026</t>
  </si>
  <si>
    <t>Week4-Jul-2026</t>
  </si>
  <si>
    <t>Week5-Jul-2026</t>
  </si>
  <si>
    <t>Week1-Aug-2026</t>
  </si>
  <si>
    <t>Week2-Aug-2026</t>
  </si>
  <si>
    <t>Week3-Aug-2026</t>
  </si>
  <si>
    <t>Week4-Aug-2026</t>
  </si>
  <si>
    <t>Week5-Aug-2026</t>
  </si>
  <si>
    <t>Week1-Sep-2026</t>
  </si>
  <si>
    <t>Week2-Sep-2026</t>
  </si>
  <si>
    <t>Week3-Sep-2026</t>
  </si>
  <si>
    <t>Week4-Sep-2026</t>
  </si>
  <si>
    <t>Week5-Sep-2026</t>
  </si>
  <si>
    <t>Week1-Oct-2026</t>
  </si>
  <si>
    <t>Week2-Oct-2026</t>
  </si>
  <si>
    <t>Week3-Oct-2026</t>
  </si>
  <si>
    <t>Week4-Oct-2026</t>
  </si>
  <si>
    <t>Week5-Oct-2026</t>
  </si>
  <si>
    <t>Week1-Nov-2026</t>
  </si>
  <si>
    <t>Week2-Nov-2026</t>
  </si>
  <si>
    <t>Week3-Nov-2026</t>
  </si>
  <si>
    <t>Week4-Nov-2026</t>
  </si>
  <si>
    <t>Week5-Nov-2026</t>
  </si>
  <si>
    <t>Week1-Dec-2026</t>
  </si>
  <si>
    <t>Week2-Dec-2026</t>
  </si>
  <si>
    <t>Week3-Dec-2026</t>
  </si>
  <si>
    <t>Week4-Dec-2026</t>
  </si>
  <si>
    <t>Week5-Dec-2026</t>
  </si>
  <si>
    <t>Week1-Jan-2027</t>
  </si>
  <si>
    <t>Week2-Jan-2027</t>
  </si>
  <si>
    <t>Week3-Jan-2027</t>
  </si>
  <si>
    <t>Week4-Jan-2027</t>
  </si>
  <si>
    <t>Week5-Jan-2027</t>
  </si>
  <si>
    <t>Week1-Feb-2027</t>
  </si>
  <si>
    <t>Week2-Feb-2027</t>
  </si>
  <si>
    <t>Week3-Feb-2027</t>
  </si>
  <si>
    <t>Week4-Feb-2027</t>
  </si>
  <si>
    <t>Week1-Mar-2027</t>
  </si>
  <si>
    <t>Week2-Mar-2027</t>
  </si>
  <si>
    <t>Week3-Mar-2027</t>
  </si>
  <si>
    <t>Week4-Mar-2027</t>
  </si>
  <si>
    <t>Week5-Mar-2027</t>
  </si>
  <si>
    <t>Week1-Apr-2027</t>
  </si>
  <si>
    <t>Week2-Apr-2027</t>
  </si>
  <si>
    <t>Week3-Apr-2027</t>
  </si>
  <si>
    <t>Week4-Apr-2027</t>
  </si>
  <si>
    <t>Week5-Apr-2027</t>
  </si>
  <si>
    <t>Week1-May-2027</t>
  </si>
  <si>
    <t>Week2-May-2027</t>
  </si>
  <si>
    <t>Week3-May-2027</t>
  </si>
  <si>
    <t>Week4-May-2027</t>
  </si>
  <si>
    <t>Week5-May-2027</t>
  </si>
  <si>
    <t>Week1-Jun-2027</t>
  </si>
  <si>
    <t>Week2-Jun-2027</t>
  </si>
  <si>
    <t>Week3-Jun-2027</t>
  </si>
  <si>
    <t>Week4-Jun-2027</t>
  </si>
  <si>
    <t>Week5-Jun-2027</t>
  </si>
  <si>
    <t>Week1-Jul-2027</t>
  </si>
  <si>
    <t>Week2-Jul-2027</t>
  </si>
  <si>
    <t>Week3-Jul-2027</t>
  </si>
  <si>
    <t>Week4-Jul-2027</t>
  </si>
  <si>
    <t>Week5-Jul-2027</t>
  </si>
  <si>
    <t>Week1-Aug-2027</t>
  </si>
  <si>
    <t>Week2-Aug-2027</t>
  </si>
  <si>
    <t>Week3-Aug-2027</t>
  </si>
  <si>
    <t>Week4-Aug-2027</t>
  </si>
  <si>
    <t>Week5-Aug-2027</t>
  </si>
  <si>
    <t>Week1-Sep-2027</t>
  </si>
  <si>
    <t>Week2-Sep-2027</t>
  </si>
  <si>
    <t>Week3-Sep-2027</t>
  </si>
  <si>
    <t>Week4-Sep-2027</t>
  </si>
  <si>
    <t>Week5-Sep-2027</t>
  </si>
  <si>
    <t>Week1-Oct-2027</t>
  </si>
  <si>
    <t>Week2-Oct-2027</t>
  </si>
  <si>
    <t>Week3-Oct-2027</t>
  </si>
  <si>
    <t>Week4-Oct-2027</t>
  </si>
  <si>
    <t>Week5-Oct-2027</t>
  </si>
  <si>
    <t>Week1-Nov-2027</t>
  </si>
  <si>
    <t>Week2-Nov-2027</t>
  </si>
  <si>
    <t>Week3-Nov-2027</t>
  </si>
  <si>
    <t>Week4-Nov-2027</t>
  </si>
  <si>
    <t>Week5-Nov-2027</t>
  </si>
  <si>
    <t>Week1-Dec-2027</t>
  </si>
  <si>
    <t>Week2-Dec-2027</t>
  </si>
  <si>
    <t>Week3-Dec-2027</t>
  </si>
  <si>
    <t>Week4-Dec-2027</t>
  </si>
  <si>
    <t>Week5-Dec-2027</t>
  </si>
  <si>
    <t>BSE Premium Turnover (INR Crs)</t>
  </si>
  <si>
    <t>NSE Market Share</t>
  </si>
  <si>
    <t>BSE Market Share</t>
  </si>
  <si>
    <t>Quality Check — Exchanges Monthly Weekly Expiry (MASTER FILE)</t>
  </si>
  <si>
    <t>Exchange</t>
  </si>
  <si>
    <t>Sheet</t>
  </si>
  <si>
    <t>Data From</t>
  </si>
  <si>
    <t>Data To</t>
  </si>
  <si>
    <t>Data Rows</t>
  </si>
  <si>
    <t>Premium Turnover (INR Crs)</t>
  </si>
  <si>
    <t>NSE</t>
  </si>
  <si>
    <t>NSE - NIFTY Index Options</t>
  </si>
  <si>
    <t>NSE - Other Index Options</t>
  </si>
  <si>
    <t>BSE</t>
  </si>
  <si>
    <t>BSE - SENSEX Index Options</t>
  </si>
  <si>
    <t>BSE - Other Index Options</t>
  </si>
  <si>
    <t>NSE data updated through:</t>
  </si>
  <si>
    <t>BSE data updated through:</t>
  </si>
  <si>
    <t>NSE &amp; BSE end dates aligned?</t>
  </si>
  <si>
    <t>Master file created:</t>
  </si>
  <si>
    <t>Monthly Totals (live — populates as data is updated)</t>
  </si>
  <si>
    <t>Month</t>
  </si>
  <si>
    <t>NSE - Number of Contracts</t>
  </si>
  <si>
    <t>NSE - Notional Turnover (INR Crs)</t>
  </si>
  <si>
    <t>NSE - Premium Turnover (INR Crs)</t>
  </si>
  <si>
    <t>BSE - Number of Contracts</t>
  </si>
  <si>
    <t>BSE - Notional Turnover (INR Crs)</t>
  </si>
  <si>
    <t>BSE - Premium Turnover (INR Crs)</t>
  </si>
  <si>
    <t>Premium Turnover Time Series by Trade Day — NSE vs BSE (Sep-2025 onwards, live — populates as master data is updated)</t>
  </si>
  <si>
    <t>Monday Trade Day</t>
  </si>
  <si>
    <t>Tuesday Trade Day</t>
  </si>
  <si>
    <t>Wednesday Trade Day</t>
  </si>
  <si>
    <t>Thursday Trade Day</t>
  </si>
  <si>
    <t>Friday Trade Day</t>
  </si>
  <si>
    <t>Sunday Trade Day</t>
  </si>
  <si>
    <t>Premium Turnover Time Series by Trade Day — NSE vs BSE, WEEKLY expiries only (Sep-2025 onwards, live — populates as master data is updated)</t>
  </si>
  <si>
    <t>Weekly Time Series by Trade Day — NSE vs BSE (all index options), Expiry Type 2 = Weekly + MDAW (Sep-2025 onwards, live)</t>
  </si>
  <si>
    <t>Weekly Time Series by Trade Day — NSE vs BSE (all index options), Expiry Type 2 = Monthly (Sep-2025 onwards, live)</t>
  </si>
  <si>
    <t>Overall Monthly — NSE vs BSE (all index options) Premium Turnover &amp; Market Share by Expiry Type 2 (Sep-2025 onwards, live)</t>
  </si>
  <si>
    <t>All Expiry Types</t>
  </si>
  <si>
    <t>Weekly + MDAW (Expiry Type 2)</t>
  </si>
  <si>
    <t>Monthly (Expiry Type 2)</t>
  </si>
  <si>
    <t>Total Index Options</t>
  </si>
  <si>
    <t>Premium Turnover</t>
  </si>
  <si>
    <t>Trade Month - Year</t>
  </si>
  <si>
    <t>NIFTY Index Options</t>
  </si>
  <si>
    <t>Other index Options</t>
  </si>
  <si>
    <t>Row Labels</t>
  </si>
  <si>
    <t>Sum of Premium Turnover (INR Crs)</t>
  </si>
  <si>
    <t>Grand Total</t>
  </si>
  <si>
    <t>NIFTY Options</t>
  </si>
  <si>
    <t>Other Index options</t>
  </si>
  <si>
    <t>Trade Date</t>
  </si>
  <si>
    <t>Trade Day</t>
  </si>
  <si>
    <t>Expiry Date</t>
  </si>
  <si>
    <t>Expiry Day</t>
  </si>
  <si>
    <t>Expiry Type</t>
  </si>
  <si>
    <t>Expiry Type 2</t>
  </si>
  <si>
    <t>Expiry Month Offset</t>
  </si>
  <si>
    <t>Number of Contracts</t>
  </si>
  <si>
    <t>Notional Turnover (INR Crs)</t>
  </si>
  <si>
    <t>01-Sep-2025</t>
  </si>
  <si>
    <t>02-Sep-2025</t>
  </si>
  <si>
    <t>Weekly - Tuesday</t>
  </si>
  <si>
    <t>Same Month Expiry</t>
  </si>
  <si>
    <t>09-Sep-2025</t>
  </si>
  <si>
    <t>16-Sep-2025</t>
  </si>
  <si>
    <t>23-Sep-2025</t>
  </si>
  <si>
    <t>30-Sep-2025</t>
  </si>
  <si>
    <t>Monthly - Tuesday</t>
  </si>
  <si>
    <t>28-Oct-2025</t>
  </si>
  <si>
    <t>Month+1 Expiry</t>
  </si>
  <si>
    <t>25-Nov-2025</t>
  </si>
  <si>
    <t>Month+2 Expiry</t>
  </si>
  <si>
    <t>30-Dec-2025</t>
  </si>
  <si>
    <t>Month+3 Expiry</t>
  </si>
  <si>
    <t>31-Mar-2026</t>
  </si>
  <si>
    <t>Month+6 Expiry</t>
  </si>
  <si>
    <t>30-Jun-2026</t>
  </si>
  <si>
    <t>Month+9 Expiry</t>
  </si>
  <si>
    <t>29-Dec-2026</t>
  </si>
  <si>
    <t>Month+15 Expiry</t>
  </si>
  <si>
    <t>29-Jun-2027</t>
  </si>
  <si>
    <t>Month+21 Expiry</t>
  </si>
  <si>
    <t>28-Dec-2027</t>
  </si>
  <si>
    <t>Month+27 Expiry</t>
  </si>
  <si>
    <t>27-Jun-2028</t>
  </si>
  <si>
    <t>Month+33 Expiry</t>
  </si>
  <si>
    <t>26-Dec-2028</t>
  </si>
  <si>
    <t>Month+39 Expiry</t>
  </si>
  <si>
    <t>26-Jun-2029</t>
  </si>
  <si>
    <t>Month+45 Expiry</t>
  </si>
  <si>
    <t>24-Dec-2029</t>
  </si>
  <si>
    <t>Weekly - Monday</t>
  </si>
  <si>
    <t>Month+51 Expiry</t>
  </si>
  <si>
    <t>25-Jun-2030</t>
  </si>
  <si>
    <t>Month+57 Expiry</t>
  </si>
  <si>
    <t>03-Sep-2025</t>
  </si>
  <si>
    <t>07-Oct-2025</t>
  </si>
  <si>
    <t>04-Sep-2025</t>
  </si>
  <si>
    <t>05-Sep-2025</t>
  </si>
  <si>
    <t>08-Sep-2025</t>
  </si>
  <si>
    <t>10-Sep-2025</t>
  </si>
  <si>
    <t>14-Oct-2025</t>
  </si>
  <si>
    <t>11-Sep-2025</t>
  </si>
  <si>
    <t>12-Sep-2025</t>
  </si>
  <si>
    <t>15-Sep-2025</t>
  </si>
  <si>
    <t>17-Sep-2025</t>
  </si>
  <si>
    <t>20-Oct-2025</t>
  </si>
  <si>
    <t>18-Sep-2025</t>
  </si>
  <si>
    <t>19-Sep-2025</t>
  </si>
  <si>
    <t>22-Sep-2025</t>
  </si>
  <si>
    <t>24-Sep-2025</t>
  </si>
  <si>
    <t>MDAW - Tuesday</t>
  </si>
  <si>
    <t>04-Nov-2025</t>
  </si>
  <si>
    <t>25-Sep-2025</t>
  </si>
  <si>
    <t>26-Sep-2025</t>
  </si>
  <si>
    <t>29-Sep-2025</t>
  </si>
  <si>
    <t>01-Oct-2025</t>
  </si>
  <si>
    <t>Month+5 Expiry</t>
  </si>
  <si>
    <t>Month+8 Expiry</t>
  </si>
  <si>
    <t>29-Sep-2026</t>
  </si>
  <si>
    <t>Month+11 Expiry</t>
  </si>
  <si>
    <t>Month+14 Expiry</t>
  </si>
  <si>
    <t>Month+20 Expiry</t>
  </si>
  <si>
    <t>Month+26 Expiry</t>
  </si>
  <si>
    <t>Month+32 Expiry</t>
  </si>
  <si>
    <t>Month+38 Expiry</t>
  </si>
  <si>
    <t>Month+44 Expiry</t>
  </si>
  <si>
    <t>Month+50 Expiry</t>
  </si>
  <si>
    <t>Month+56 Expiry</t>
  </si>
  <si>
    <t>03-Oct-2025</t>
  </si>
  <si>
    <t>06-Oct-2025</t>
  </si>
  <si>
    <t>08-Oct-2025</t>
  </si>
  <si>
    <t>11-Nov-2025</t>
  </si>
  <si>
    <t>09-Oct-2025</t>
  </si>
  <si>
    <t>10-Oct-2025</t>
  </si>
  <si>
    <t>13-Oct-2025</t>
  </si>
  <si>
    <t>15-Oct-2025</t>
  </si>
  <si>
    <t>18-Nov-2025</t>
  </si>
  <si>
    <t>16-Oct-2025</t>
  </si>
  <si>
    <t>17-Oct-2025</t>
  </si>
  <si>
    <t>21-Oct-2025</t>
  </si>
  <si>
    <t>02-Dec-2025</t>
  </si>
  <si>
    <t>23-Oct-2025</t>
  </si>
  <si>
    <t>24-Oct-2025</t>
  </si>
  <si>
    <t>27-Oct-2025</t>
  </si>
  <si>
    <t>29-Oct-2025</t>
  </si>
  <si>
    <t>27-Jan-2026</t>
  </si>
  <si>
    <t>30-Oct-2025</t>
  </si>
  <si>
    <t>31-Oct-2025</t>
  </si>
  <si>
    <t>03-Nov-2025</t>
  </si>
  <si>
    <t>Month+4 Expiry</t>
  </si>
  <si>
    <t>Month+7 Expiry</t>
  </si>
  <si>
    <t>Month+10 Expiry</t>
  </si>
  <si>
    <t>Month+13 Expiry</t>
  </si>
  <si>
    <t>Month+19 Expiry</t>
  </si>
  <si>
    <t>Month+25 Expiry</t>
  </si>
  <si>
    <t>Month+31 Expiry</t>
  </si>
  <si>
    <t>Month+37 Expiry</t>
  </si>
  <si>
    <t>Month+43 Expiry</t>
  </si>
  <si>
    <t>Month+49 Expiry</t>
  </si>
  <si>
    <t>Month+55 Expiry</t>
  </si>
  <si>
    <t>06-Nov-2025</t>
  </si>
  <si>
    <t>09-Dec-2025</t>
  </si>
  <si>
    <t>07-Nov-2025</t>
  </si>
  <si>
    <t>10-Nov-2025</t>
  </si>
  <si>
    <t>12-Nov-2025</t>
  </si>
  <si>
    <t>16-Dec-2025</t>
  </si>
  <si>
    <t>13-Nov-2025</t>
  </si>
  <si>
    <t>14-Nov-2025</t>
  </si>
  <si>
    <t>17-Nov-2025</t>
  </si>
  <si>
    <t>19-Nov-2025</t>
  </si>
  <si>
    <t>23-Dec-2025</t>
  </si>
  <si>
    <t>20-Nov-2025</t>
  </si>
  <si>
    <t>21-Nov-2025</t>
  </si>
  <si>
    <t>24-Nov-2025</t>
  </si>
  <si>
    <t>26-Nov-2025</t>
  </si>
  <si>
    <t>24-Feb-2026</t>
  </si>
  <si>
    <t>27-Nov-2025</t>
  </si>
  <si>
    <t>28-Nov-2025</t>
  </si>
  <si>
    <t>01-Dec-2025</t>
  </si>
  <si>
    <t>Month+12 Expiry</t>
  </si>
  <si>
    <t>Month+18 Expiry</t>
  </si>
  <si>
    <t>Month+24 Expiry</t>
  </si>
  <si>
    <t>Month+30 Expiry</t>
  </si>
  <si>
    <t>Month+36 Expiry</t>
  </si>
  <si>
    <t>Month+42 Expiry</t>
  </si>
  <si>
    <t>Month+48 Expiry</t>
  </si>
  <si>
    <t>Month+54 Expiry</t>
  </si>
  <si>
    <t>03-Dec-2025</t>
  </si>
  <si>
    <t>06-Jan-2026</t>
  </si>
  <si>
    <t>04-Dec-2025</t>
  </si>
  <si>
    <t>05-Dec-2025</t>
  </si>
  <si>
    <t>08-Dec-2025</t>
  </si>
  <si>
    <t>10-Dec-2025</t>
  </si>
  <si>
    <t>13-Jan-2026</t>
  </si>
  <si>
    <t>11-Dec-2025</t>
  </si>
  <si>
    <t>12-Dec-2025</t>
  </si>
  <si>
    <t>15-Dec-2025</t>
  </si>
  <si>
    <t>17-Dec-2025</t>
  </si>
  <si>
    <t>20-Jan-2026</t>
  </si>
  <si>
    <t>18-Dec-2025</t>
  </si>
  <si>
    <t>19-Dec-2025</t>
  </si>
  <si>
    <t>22-Dec-2025</t>
  </si>
  <si>
    <t>24-Dec-2025</t>
  </si>
  <si>
    <t>03-Feb-2026</t>
  </si>
  <si>
    <t>26-Dec-2025</t>
  </si>
  <si>
    <t>29-Dec-2025</t>
  </si>
  <si>
    <t>30-Mar-2026</t>
  </si>
  <si>
    <t>Monthly - Monday</t>
  </si>
  <si>
    <t>31-Dec-2025</t>
  </si>
  <si>
    <t>31-Dec-2030</t>
  </si>
  <si>
    <t>Month+60 Expiry</t>
  </si>
  <si>
    <t>01-Jan-2026</t>
  </si>
  <si>
    <t>Month+17 Expiry</t>
  </si>
  <si>
    <t>Month+23 Expiry</t>
  </si>
  <si>
    <t>Month+29 Expiry</t>
  </si>
  <si>
    <t>Month+35 Expiry</t>
  </si>
  <si>
    <t>Month+41 Expiry</t>
  </si>
  <si>
    <t>Month+47 Expiry</t>
  </si>
  <si>
    <t>Month+53 Expiry</t>
  </si>
  <si>
    <t>Month+59 Expiry</t>
  </si>
  <si>
    <t>02-Jan-2026</t>
  </si>
  <si>
    <t>05-Jan-2026</t>
  </si>
  <si>
    <t>07-Jan-2026</t>
  </si>
  <si>
    <t>10-Feb-2026</t>
  </si>
  <si>
    <t>08-Jan-2026</t>
  </si>
  <si>
    <t>09-Jan-2026</t>
  </si>
  <si>
    <t>12-Jan-2026</t>
  </si>
  <si>
    <t>14-Jan-2026</t>
  </si>
  <si>
    <t>17-Feb-2026</t>
  </si>
  <si>
    <t>16-Jan-2026</t>
  </si>
  <si>
    <t>19-Jan-2026</t>
  </si>
  <si>
    <t>21-Jan-2026</t>
  </si>
  <si>
    <t>02-Mar-2026</t>
  </si>
  <si>
    <t>22-Jan-2026</t>
  </si>
  <si>
    <t>23-Jan-2026</t>
  </si>
  <si>
    <t>28-Jan-2026</t>
  </si>
  <si>
    <t>28-Apr-2026</t>
  </si>
  <si>
    <t>29-Jan-2026</t>
  </si>
  <si>
    <t>30-Jan-2026</t>
  </si>
  <si>
    <t>01-Feb-2026</t>
  </si>
  <si>
    <t>Month+16 Expiry</t>
  </si>
  <si>
    <t>Month+22 Expiry</t>
  </si>
  <si>
    <t>Month+28 Expiry</t>
  </si>
  <si>
    <t>Month+34 Expiry</t>
  </si>
  <si>
    <t>Month+40 Expiry</t>
  </si>
  <si>
    <t>Month+46 Expiry</t>
  </si>
  <si>
    <t>Month+52 Expiry</t>
  </si>
  <si>
    <t>Month+58 Expiry</t>
  </si>
  <si>
    <t>02-Feb-2026</t>
  </si>
  <si>
    <t>04-Feb-2026</t>
  </si>
  <si>
    <t>10-Mar-2026</t>
  </si>
  <si>
    <t>05-Feb-2026</t>
  </si>
  <si>
    <t>06-Feb-2026</t>
  </si>
  <si>
    <t>09-Feb-2026</t>
  </si>
  <si>
    <t>11-Feb-2026</t>
  </si>
  <si>
    <t>17-Mar-2026</t>
  </si>
  <si>
    <t>12-Feb-2026</t>
  </si>
  <si>
    <t>13-Feb-2026</t>
  </si>
  <si>
    <t>16-Feb-2026</t>
  </si>
  <si>
    <t>18-Feb-2026</t>
  </si>
  <si>
    <t>24-Mar-2026</t>
  </si>
  <si>
    <t>19-Feb-2026</t>
  </si>
  <si>
    <t>20-Feb-2026</t>
  </si>
  <si>
    <t>23-Feb-2026</t>
  </si>
  <si>
    <t>25-Feb-2026</t>
  </si>
  <si>
    <t>26-May-2026</t>
  </si>
  <si>
    <t>26-Feb-2026</t>
  </si>
  <si>
    <t>27-Feb-2026</t>
  </si>
  <si>
    <t>04-Mar-2026</t>
  </si>
  <si>
    <t>07-Apr-2026</t>
  </si>
  <si>
    <t>05-Mar-2026</t>
  </si>
  <si>
    <t>06-Mar-2026</t>
  </si>
  <si>
    <t>09-Mar-2026</t>
  </si>
  <si>
    <t>11-Mar-2026</t>
  </si>
  <si>
    <t>13-Apr-2026</t>
  </si>
  <si>
    <t>12-Mar-2026</t>
  </si>
  <si>
    <t>13-Mar-2026</t>
  </si>
  <si>
    <t>16-Mar-2026</t>
  </si>
  <si>
    <t>18-Mar-2026</t>
  </si>
  <si>
    <t>21-Apr-2026</t>
  </si>
  <si>
    <t>19-Mar-2026</t>
  </si>
  <si>
    <t>20-Mar-2026</t>
  </si>
  <si>
    <t>23-Mar-2026</t>
  </si>
  <si>
    <t>MDAW - Monday</t>
  </si>
  <si>
    <t>25-Mar-2026</t>
  </si>
  <si>
    <t>05-May-2026</t>
  </si>
  <si>
    <t>27-Mar-2026</t>
  </si>
  <si>
    <t>01-Apr-2026</t>
  </si>
  <si>
    <t>30-Mar-2027</t>
  </si>
  <si>
    <t>02-Apr-2026</t>
  </si>
  <si>
    <t>06-Apr-2026</t>
  </si>
  <si>
    <t>08-Apr-2026</t>
  </si>
  <si>
    <t>12-May-2026</t>
  </si>
  <si>
    <t>09-Apr-2026</t>
  </si>
  <si>
    <t>10-Apr-2026</t>
  </si>
  <si>
    <t>15-Apr-2026</t>
  </si>
  <si>
    <t>19-May-2026</t>
  </si>
  <si>
    <t>16-Apr-2026</t>
  </si>
  <si>
    <t>17-Apr-2026</t>
  </si>
  <si>
    <t>20-Apr-2026</t>
  </si>
  <si>
    <t>22-Apr-2026</t>
  </si>
  <si>
    <t>02-Jun-2026</t>
  </si>
  <si>
    <t>23-Apr-2026</t>
  </si>
  <si>
    <t>24-Apr-2026</t>
  </si>
  <si>
    <t>27-Apr-2026</t>
  </si>
  <si>
    <t>29-Apr-2026</t>
  </si>
  <si>
    <t>28-Jul-2026</t>
  </si>
  <si>
    <t>30-Apr-2026</t>
  </si>
  <si>
    <t>04-May-2026</t>
  </si>
  <si>
    <t>06-May-2026</t>
  </si>
  <si>
    <t>09-Jun-2026</t>
  </si>
  <si>
    <t>07-May-2026</t>
  </si>
  <si>
    <t>08-May-2026</t>
  </si>
  <si>
    <t>11-May-2026</t>
  </si>
  <si>
    <t>13-May-2026</t>
  </si>
  <si>
    <t>16-Jun-2026</t>
  </si>
  <si>
    <t>14-May-2026</t>
  </si>
  <si>
    <t>15-May-2026</t>
  </si>
  <si>
    <t>18-May-2026</t>
  </si>
  <si>
    <t>20-May-2026</t>
  </si>
  <si>
    <t>23-Jun-2026</t>
  </si>
  <si>
    <t>21-May-2026</t>
  </si>
  <si>
    <t>22-May-2026</t>
  </si>
  <si>
    <t>25-May-2026</t>
  </si>
  <si>
    <t>27-May-2026</t>
  </si>
  <si>
    <t>25-Aug-2026</t>
  </si>
  <si>
    <t>29-May-2026</t>
  </si>
  <si>
    <t>01-Jun-2026</t>
  </si>
  <si>
    <t>03-Jun-2026</t>
  </si>
  <si>
    <t>07-Jul-2026</t>
  </si>
  <si>
    <t>04-Jun-2026</t>
  </si>
  <si>
    <t>05-Jun-2026</t>
  </si>
  <si>
    <t>08-Jun-2026</t>
  </si>
  <si>
    <t>10-Jun-2026</t>
  </si>
  <si>
    <t>14-Jul-2026</t>
  </si>
  <si>
    <t>11-Jun-2026</t>
  </si>
  <si>
    <t>12-Jun-2026</t>
  </si>
  <si>
    <t>15-Jun-2026</t>
  </si>
  <si>
    <t>17-Jun-2026</t>
  </si>
  <si>
    <t>21-Jul-2026</t>
  </si>
  <si>
    <t>18-Jun-2026</t>
  </si>
  <si>
    <t>19-Jun-2026</t>
  </si>
  <si>
    <t>22-Jun-2026</t>
  </si>
  <si>
    <t>24-Jun-2026</t>
  </si>
  <si>
    <t>04-Aug-2026</t>
  </si>
  <si>
    <t>25-Jun-2026</t>
  </si>
  <si>
    <t>29-Jun-2026</t>
  </si>
  <si>
    <t>01-Jul-2026</t>
  </si>
  <si>
    <t>24-Jun-2031</t>
  </si>
  <si>
    <t>02-Jul-2026</t>
  </si>
  <si>
    <t>03-Jul-2026</t>
  </si>
  <si>
    <t>06-Jul-2026</t>
  </si>
  <si>
    <t>08-Jul-2026</t>
  </si>
  <si>
    <t>11-Aug-2026</t>
  </si>
  <si>
    <t>Weekly - Thursday</t>
  </si>
  <si>
    <t>Monthly - Thursday</t>
  </si>
  <si>
    <t>Weekly - Wednesday</t>
  </si>
  <si>
    <t>MDAW - Thursday</t>
  </si>
  <si>
    <t>15-Jan-2026</t>
  </si>
  <si>
    <t>Monthly - Wednesday</t>
  </si>
  <si>
    <t>MDAW - Wednesday</t>
  </si>
  <si>
    <t>30-Jul-2026</t>
  </si>
  <si>
    <t>09-Jul-2026</t>
  </si>
  <si>
    <t>16-Jul-2026</t>
  </si>
  <si>
    <t>23-Jul-2026</t>
  </si>
  <si>
    <t>27-Aug-2026</t>
  </si>
  <si>
    <t>06-Aug-2026</t>
  </si>
  <si>
    <t>Last data refresh: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</si>
</sst>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mmm\-yyyy"/>
    <numFmt numFmtId="167" formatCode="0.0%"/>
  </numFmts>
  <fonts count="1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43" fontId="2" fillId="0" borderId="0"/>
    <xf numFmtId="43" fontId="4" fillId="0" borderId="0"/>
    <xf numFmtId="9" fontId="4" fillId="0" borderId="0"/>
  </cellStyleXfs>
  <cellXfs count="36">
    <xf numFmtId="0" fontId="0" fillId="0" borderId="0" xfId="0"/>
    <xf numFmtId="0" fontId="3" fillId="0" borderId="0" xfId="1" applyFont="1"/>
    <xf numFmtId="0" fontId="2" fillId="0" borderId="0" xfId="1" applyAlignment="1">
      <alignment horizontal="left"/>
    </xf>
    <xf numFmtId="164" fontId="0" fillId="0" borderId="0" xfId="2" applyNumberFormat="1" applyFont="1"/>
    <xf numFmtId="0" fontId="2" fillId="0" borderId="0" xfId="1"/>
    <xf numFmtId="0" fontId="3" fillId="0" borderId="0" xfId="1" applyFont="1" applyAlignment="1">
      <alignment horizontal="left"/>
    </xf>
    <xf numFmtId="165" fontId="3" fillId="0" borderId="0" xfId="2" applyNumberFormat="1" applyFont="1"/>
    <xf numFmtId="4" fontId="2" fillId="0" borderId="0" xfId="1" applyNumberFormat="1"/>
    <xf numFmtId="164" fontId="2" fillId="0" borderId="0" xfId="1" applyNumberFormat="1"/>
    <xf numFmtId="164" fontId="3" fillId="0" borderId="0" xfId="1" applyNumberFormat="1" applyFont="1"/>
    <xf numFmtId="0" fontId="1" fillId="0" borderId="0" xfId="0" applyFont="1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5" fillId="0" borderId="0" xfId="1" applyFont="1"/>
    <xf numFmtId="0" fontId="6" fillId="0" borderId="0" xfId="0" applyFont="1"/>
    <xf numFmtId="0" fontId="7" fillId="0" borderId="0" xfId="0" applyFont="1"/>
    <xf numFmtId="164" fontId="7" fillId="0" borderId="0" xfId="3" applyNumberFormat="1" applyFont="1"/>
    <xf numFmtId="164" fontId="6" fillId="0" borderId="0" xfId="0" applyNumberFormat="1" applyFont="1"/>
    <xf numFmtId="9" fontId="7" fillId="0" borderId="0" xfId="4" applyFont="1"/>
    <xf numFmtId="9" fontId="7" fillId="2" borderId="0" xfId="4" applyFont="1" applyFill="1"/>
    <xf numFmtId="166" fontId="0" fillId="0" borderId="0" xfId="0" applyNumberFormat="1" applyAlignment="1">
      <alignment horizontal="left"/>
    </xf>
    <xf numFmtId="17" fontId="6" fillId="0" borderId="0" xfId="0" applyNumberFormat="1" applyFont="1"/>
    <xf numFmtId="166" fontId="0" fillId="0" borderId="0" xfId="0" applyNumberFormat="1"/>
    <xf numFmtId="3" fontId="0" fillId="0" borderId="0" xfId="0" applyNumberFormat="1"/>
    <xf numFmtId="4" fontId="0" fillId="0" borderId="0" xfId="0" applyNumberFormat="1"/>
    <xf numFmtId="167" fontId="0" fillId="0" borderId="0" xfId="0" applyNumberFormat="1"/>
    <xf numFmtId="0" fontId="8" fillId="0" borderId="0" xfId="0" applyFont="1"/>
    <xf numFmtId="3" fontId="8" fillId="0" borderId="0" xfId="0" applyNumberFormat="1" applyFont="1"/>
    <xf numFmtId="4" fontId="8" fillId="0" borderId="0" xfId="0" applyNumberFormat="1" applyFont="1"/>
    <xf numFmtId="167" fontId="8" fillId="0" borderId="0" xfId="0" applyNumberFormat="1" applyFont="1"/>
    <xf numFmtId="0" fontId="9" fillId="0" borderId="0" xfId="0" applyFont="1"/>
    <xf numFmtId="4" fontId="9" fillId="0" borderId="0" xfId="0" applyNumberFormat="1" applyFont="1"/>
    <xf numFmtId="167" fontId="9" fillId="0" borderId="0" xfId="0" applyNumberFormat="1" applyFont="1"/>
    <xf numFmtId="0" fontId="10" fillId="0" borderId="0" xfId="0" applyFont="1"/>
  </cellXfs>
  <cellStyles count="5">
    <cellStyle name="Comma" xfId="3" builtinId="3"/>
    <cellStyle name="Comma 2" xfId="2" xr:uid="{00000000-0005-0000-0000-000002000000}"/>
    <cellStyle name="Normal" xfId="0" builtinId="0"/>
    <cellStyle name="Normal 2" xfId="1" xr:uid="{00000000-0005-0000-0000-000001000000}"/>
    <cellStyle name="Per cent" xfId="4" builtinId="5"/>
  </cellStyles>
  <dxfs count="8"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ANGAI HIMANK PARMANAND" refreshedDate="46212.449605671296" createdVersion="8" refreshedVersion="8" minRefreshableVersion="3" recordCount="389" xr:uid="{00000000-000A-0000-FFFF-FFFF08020000}">
  <cacheSource type="worksheet">
    <worksheetSource ref="A1:L390" sheet="BSE - Other Index Options"/>
  </cacheSource>
  <cacheFields count="12">
    <cacheField name="Trade Date" numFmtId="0">
      <sharedItems/>
    </cacheField>
    <cacheField name="Trade Day" numFmtId="0">
      <sharedItems containsBlank="1" count="7">
        <s v="Monday"/>
        <s v="Tuesday"/>
        <s v="Wednesday"/>
        <s v="Thursday"/>
        <s v="Friday"/>
        <s v="Sunday"/>
        <m u="1"/>
      </sharedItems>
    </cacheField>
    <cacheField name="Trade Week-Month-Year" numFmtId="0">
      <sharedItems/>
    </cacheField>
    <cacheField name="Trade Month - Year" numFmtId="166">
      <sharedItems containsSemiMixedTypes="0" containsNonDate="0" containsDate="1" containsString="0" minDate="2025-09-01T00:00:00" maxDate="2026-07-02T00:00:00" count="11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</cacheField>
    <cacheField name="Expiry Date" numFmtId="0">
      <sharedItems/>
    </cacheField>
    <cacheField name="Expiry Day" numFmtId="0">
      <sharedItems/>
    </cacheField>
    <cacheField name="Expiry Type" numFmtId="0">
      <sharedItems/>
    </cacheField>
    <cacheField name="Expiry Type 2" numFmtId="0">
      <sharedItems/>
    </cacheField>
    <cacheField name="Expiry Month Offset" numFmtId="0">
      <sharedItems/>
    </cacheField>
    <cacheField name="Number of Contracts" numFmtId="3">
      <sharedItems containsSemiMixedTypes="0" containsString="0" containsNumber="1" containsInteger="1" minValue="0" maxValue="6959031"/>
    </cacheField>
    <cacheField name="Notional Turnover (INR Crs)" numFmtId="4">
      <sharedItems containsSemiMixedTypes="0" containsString="0" containsNumber="1" minValue="0" maxValue="1373884.88"/>
    </cacheField>
    <cacheField name="Premium Turnover (INR Crs)" numFmtId="4">
      <sharedItems containsSemiMixedTypes="0" containsString="0" containsNumber="1" minValue="0" maxValue="1194.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ANGAI HIMANK PARMANAND" refreshedDate="46212.449605902781" createdVersion="8" refreshedVersion="8" minRefreshableVersion="3" recordCount="1367" xr:uid="{00000000-000A-0000-FFFF-FFFF0D020000}">
  <cacheSource type="worksheet">
    <worksheetSource ref="A1:L1368" sheet="BSE - SENSEX Index Options"/>
  </cacheSource>
  <cacheFields count="12">
    <cacheField name="Trade Date" numFmtId="0">
      <sharedItems/>
    </cacheField>
    <cacheField name="Trade Day" numFmtId="0">
      <sharedItems containsBlank="1" count="7">
        <s v="Monday"/>
        <s v="Tuesday"/>
        <s v="Wednesday"/>
        <s v="Thursday"/>
        <s v="Friday"/>
        <s v="Sunday"/>
        <m u="1"/>
      </sharedItems>
    </cacheField>
    <cacheField name="Trade Week-Month-Year" numFmtId="0">
      <sharedItems/>
    </cacheField>
    <cacheField name="Trade Month - Year" numFmtId="166">
      <sharedItems containsSemiMixedTypes="0" containsNonDate="0" containsDate="1" containsString="0" minDate="2025-09-01T00:00:00" maxDate="2026-07-02T00:00:00" count="11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</cacheField>
    <cacheField name="Expiry Date" numFmtId="0">
      <sharedItems/>
    </cacheField>
    <cacheField name="Expiry Day" numFmtId="0">
      <sharedItems/>
    </cacheField>
    <cacheField name="Expiry Type" numFmtId="0">
      <sharedItems/>
    </cacheField>
    <cacheField name="Expiry Type 2" numFmtId="0">
      <sharedItems/>
    </cacheField>
    <cacheField name="Expiry Month Offset" numFmtId="0">
      <sharedItems/>
    </cacheField>
    <cacheField name="Number of Contracts" numFmtId="3">
      <sharedItems containsSemiMixedTypes="0" containsString="0" containsNumber="1" containsInteger="1" minValue="0" maxValue="623890211"/>
    </cacheField>
    <cacheField name="Notional Turnover (INR Crs)" numFmtId="4">
      <sharedItems containsSemiMixedTypes="0" containsString="0" containsNumber="1" minValue="0" maxValue="99324316.879999995"/>
    </cacheField>
    <cacheField name="Premium Turnover (INR Crs)" numFmtId="4">
      <sharedItems containsSemiMixedTypes="0" containsString="0" containsNumber="1" minValue="0" maxValue="832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ANGAI HIMANK PARMANAND" refreshedDate="46212.449606018519" createdVersion="8" refreshedVersion="8" minRefreshableVersion="3" recordCount="1260" xr:uid="{00000000-000A-0000-FFFF-FFFF12020000}">
  <cacheSource type="worksheet">
    <worksheetSource ref="A1:L1261" sheet="NSE - Other Index Options"/>
  </cacheSource>
  <cacheFields count="12">
    <cacheField name="Trade Date" numFmtId="0">
      <sharedItems/>
    </cacheField>
    <cacheField name="Trade Day" numFmtId="0">
      <sharedItems count="6">
        <s v="Monday"/>
        <s v="Tuesday"/>
        <s v="Wednesday"/>
        <s v="Thursday"/>
        <s v="Friday"/>
        <s v="Sunday"/>
      </sharedItems>
    </cacheField>
    <cacheField name="Trade Week-Month-Year" numFmtId="0">
      <sharedItems/>
    </cacheField>
    <cacheField name="Trade Month - Year" numFmtId="166">
      <sharedItems containsSemiMixedTypes="0" containsNonDate="0" containsDate="1" containsString="0" minDate="2025-09-01T00:00:00" maxDate="2026-07-02T00:00:00" count="11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</cacheField>
    <cacheField name="Expiry Date" numFmtId="0">
      <sharedItems/>
    </cacheField>
    <cacheField name="Expiry Day" numFmtId="0">
      <sharedItems/>
    </cacheField>
    <cacheField name="Expiry Type" numFmtId="0">
      <sharedItems/>
    </cacheField>
    <cacheField name="Expiry Type 2" numFmtId="0">
      <sharedItems/>
    </cacheField>
    <cacheField name="Expiry Month Offset" numFmtId="0">
      <sharedItems/>
    </cacheField>
    <cacheField name="Number of Contracts" numFmtId="3">
      <sharedItems containsSemiMixedTypes="0" containsString="0" containsNumber="1" containsInteger="1" minValue="0" maxValue="96694212"/>
    </cacheField>
    <cacheField name="Notional Turnover (INR Crs)" numFmtId="4">
      <sharedItems containsSemiMixedTypes="0" containsString="0" containsNumber="1" minValue="0" maxValue="17451637.23"/>
    </cacheField>
    <cacheField name="Premium Turnover (INR Crs)" numFmtId="4">
      <sharedItems containsSemiMixedTypes="0" containsString="0" containsNumber="1" minValue="0" maxValue="18016.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ANGAI HIMANK PARMANAND" refreshedDate="46212.449606249997" createdVersion="8" refreshedVersion="8" minRefreshableVersion="3" recordCount="3780" xr:uid="{00000000-000A-0000-FFFF-FFFF17020000}">
  <cacheSource type="worksheet">
    <worksheetSource ref="A1:L3781" sheet="NSE - NIFTY Index Options"/>
  </cacheSource>
  <cacheFields count="12">
    <cacheField name="Trade Date" numFmtId="0">
      <sharedItems/>
    </cacheField>
    <cacheField name="Trade Day" numFmtId="0">
      <sharedItems count="6">
        <s v="Monday"/>
        <s v="Tuesday"/>
        <s v="Wednesday"/>
        <s v="Thursday"/>
        <s v="Friday"/>
        <s v="Sunday"/>
      </sharedItems>
    </cacheField>
    <cacheField name="Trade Week-Month-Year" numFmtId="0">
      <sharedItems/>
    </cacheField>
    <cacheField name="Trade Month - Year" numFmtId="166">
      <sharedItems containsSemiMixedTypes="0" containsNonDate="0" containsDate="1" containsString="0" minDate="2025-09-01T00:00:00" maxDate="2026-07-02T00:00:00" count="11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</cacheField>
    <cacheField name="Expiry Date" numFmtId="0">
      <sharedItems/>
    </cacheField>
    <cacheField name="Expiry Day" numFmtId="0">
      <sharedItems/>
    </cacheField>
    <cacheField name="Expiry Type" numFmtId="0">
      <sharedItems/>
    </cacheField>
    <cacheField name="Expiry Type 2" numFmtId="0">
      <sharedItems/>
    </cacheField>
    <cacheField name="Expiry Month Offset" numFmtId="0">
      <sharedItems/>
    </cacheField>
    <cacheField name="Number of Contracts" numFmtId="3">
      <sharedItems containsSemiMixedTypes="0" containsString="0" containsNumber="1" containsInteger="1" minValue="0" maxValue="494349594"/>
    </cacheField>
    <cacheField name="Notional Turnover (INR Crs)" numFmtId="4">
      <sharedItems containsSemiMixedTypes="0" containsString="0" containsNumber="1" minValue="0" maxValue="76310941.829999998"/>
    </cacheField>
    <cacheField name="Premium Turnover (INR Crs)" numFmtId="4">
      <sharedItems containsSemiMixedTypes="0" containsString="0" containsNumber="1" minValue="0" maxValue="97871.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">
  <r>
    <s v="01-Sep-2025"/>
    <x v="0"/>
    <s v="Week1-Sep-2025"/>
    <x v="0"/>
    <s v="25-Sep-2025"/>
    <s v="Thursday"/>
    <s v="Monthly - Thursday"/>
    <s v="Monthly - Thursday"/>
    <s v="Same Month Expiry"/>
    <n v="1824"/>
    <n v="335.03"/>
    <n v="3.25"/>
  </r>
  <r>
    <s v="01-Sep-2025"/>
    <x v="0"/>
    <s v="Week1-Sep-2025"/>
    <x v="0"/>
    <s v="30-Oct-2025"/>
    <s v="Thursday"/>
    <s v="Monthly - Thursday"/>
    <s v="Monthly - Thursday"/>
    <s v="Month+1 Expiry"/>
    <n v="526"/>
    <n v="98.23"/>
    <n v="2.97"/>
  </r>
  <r>
    <s v="01-Sep-2025"/>
    <x v="0"/>
    <s v="Week1-Sep-2025"/>
    <x v="0"/>
    <s v="27-Nov-2025"/>
    <s v="Thursday"/>
    <s v="Monthly - Thursday"/>
    <s v="Monthly - Thursday"/>
    <s v="Month+2 Expiry"/>
    <n v="3"/>
    <n v="0.56999999999999995"/>
    <n v="0.01"/>
  </r>
  <r>
    <s v="02-Sep-2025"/>
    <x v="1"/>
    <s v="Week1-Sep-2025"/>
    <x v="0"/>
    <s v="25-Sep-2025"/>
    <s v="Thursday"/>
    <s v="Monthly - Thursday"/>
    <s v="Monthly - Thursday"/>
    <s v="Same Month Expiry"/>
    <n v="2217"/>
    <n v="407.12"/>
    <n v="3.3"/>
  </r>
  <r>
    <s v="02-Sep-2025"/>
    <x v="1"/>
    <s v="Week1-Sep-2025"/>
    <x v="0"/>
    <s v="30-Oct-2025"/>
    <s v="Thursday"/>
    <s v="Monthly - Thursday"/>
    <s v="Monthly - Thursday"/>
    <s v="Month+1 Expiry"/>
    <n v="350"/>
    <n v="64.959999999999994"/>
    <n v="1.58"/>
  </r>
  <r>
    <s v="03-Sep-2025"/>
    <x v="2"/>
    <s v="Week1-Sep-2025"/>
    <x v="0"/>
    <s v="25-Sep-2025"/>
    <s v="Thursday"/>
    <s v="Monthly - Thursday"/>
    <s v="Monthly - Thursday"/>
    <s v="Same Month Expiry"/>
    <n v="2547"/>
    <n v="467.7"/>
    <n v="3.54"/>
  </r>
  <r>
    <s v="03-Sep-2025"/>
    <x v="2"/>
    <s v="Week1-Sep-2025"/>
    <x v="0"/>
    <s v="30-Oct-2025"/>
    <s v="Thursday"/>
    <s v="Monthly - Thursday"/>
    <s v="Monthly - Thursday"/>
    <s v="Month+1 Expiry"/>
    <n v="433"/>
    <n v="80.33"/>
    <n v="1.76"/>
  </r>
  <r>
    <s v="04-Sep-2025"/>
    <x v="3"/>
    <s v="Week1-Sep-2025"/>
    <x v="0"/>
    <s v="25-Sep-2025"/>
    <s v="Thursday"/>
    <s v="Monthly - Thursday"/>
    <s v="Monthly - Thursday"/>
    <s v="Same Month Expiry"/>
    <n v="2107"/>
    <n v="387"/>
    <n v="2.41"/>
  </r>
  <r>
    <s v="04-Sep-2025"/>
    <x v="3"/>
    <s v="Week1-Sep-2025"/>
    <x v="0"/>
    <s v="30-Oct-2025"/>
    <s v="Thursday"/>
    <s v="Monthly - Thursday"/>
    <s v="Monthly - Thursday"/>
    <s v="Month+1 Expiry"/>
    <n v="326"/>
    <n v="60.25"/>
    <n v="2.09"/>
  </r>
  <r>
    <s v="05-Sep-2025"/>
    <x v="4"/>
    <s v="Week1-Sep-2025"/>
    <x v="0"/>
    <s v="25-Sep-2025"/>
    <s v="Thursday"/>
    <s v="Monthly - Thursday"/>
    <s v="Monthly - Thursday"/>
    <s v="Same Month Expiry"/>
    <n v="3052"/>
    <n v="554.54999999999995"/>
    <n v="2.5"/>
  </r>
  <r>
    <s v="05-Sep-2025"/>
    <x v="4"/>
    <s v="Week1-Sep-2025"/>
    <x v="0"/>
    <s v="30-Oct-2025"/>
    <s v="Thursday"/>
    <s v="Monthly - Thursday"/>
    <s v="Monthly - Thursday"/>
    <s v="Month+1 Expiry"/>
    <n v="147"/>
    <n v="27.55"/>
    <n v="0.43"/>
  </r>
  <r>
    <s v="08-Sep-2025"/>
    <x v="0"/>
    <s v="Week2-Sep-2025"/>
    <x v="0"/>
    <s v="25-Sep-2025"/>
    <s v="Thursday"/>
    <s v="Monthly - Thursday"/>
    <s v="Monthly - Thursday"/>
    <s v="Same Month Expiry"/>
    <n v="4402"/>
    <n v="803.75"/>
    <n v="4.2"/>
  </r>
  <r>
    <s v="08-Sep-2025"/>
    <x v="0"/>
    <s v="Week2-Sep-2025"/>
    <x v="0"/>
    <s v="30-Oct-2025"/>
    <s v="Thursday"/>
    <s v="Monthly - Thursday"/>
    <s v="Monthly - Thursday"/>
    <s v="Month+1 Expiry"/>
    <n v="467"/>
    <n v="87.43"/>
    <n v="2.08"/>
  </r>
  <r>
    <s v="08-Sep-2025"/>
    <x v="0"/>
    <s v="Week2-Sep-2025"/>
    <x v="0"/>
    <s v="27-Nov-2025"/>
    <s v="Thursday"/>
    <s v="Monthly - Thursday"/>
    <s v="Monthly - Thursday"/>
    <s v="Month+2 Expiry"/>
    <n v="3"/>
    <n v="0.56000000000000005"/>
    <n v="0.01"/>
  </r>
  <r>
    <s v="09-Sep-2025"/>
    <x v="1"/>
    <s v="Week2-Sep-2025"/>
    <x v="0"/>
    <s v="25-Sep-2025"/>
    <s v="Thursday"/>
    <s v="Monthly - Thursday"/>
    <s v="Monthly - Thursday"/>
    <s v="Same Month Expiry"/>
    <n v="3576"/>
    <n v="649.16"/>
    <n v="2.84"/>
  </r>
  <r>
    <s v="09-Sep-2025"/>
    <x v="1"/>
    <s v="Week2-Sep-2025"/>
    <x v="0"/>
    <s v="30-Oct-2025"/>
    <s v="Thursday"/>
    <s v="Monthly - Thursday"/>
    <s v="Monthly - Thursday"/>
    <s v="Month+1 Expiry"/>
    <n v="180"/>
    <n v="33.24"/>
    <n v="0.78"/>
  </r>
  <r>
    <s v="10-Sep-2025"/>
    <x v="2"/>
    <s v="Week2-Sep-2025"/>
    <x v="0"/>
    <s v="25-Sep-2025"/>
    <s v="Thursday"/>
    <s v="Monthly - Thursday"/>
    <s v="Monthly - Thursday"/>
    <s v="Same Month Expiry"/>
    <n v="4519"/>
    <n v="833.4"/>
    <n v="4.49"/>
  </r>
  <r>
    <s v="10-Sep-2025"/>
    <x v="2"/>
    <s v="Week2-Sep-2025"/>
    <x v="0"/>
    <s v="30-Oct-2025"/>
    <s v="Thursday"/>
    <s v="Monthly - Thursday"/>
    <s v="Monthly - Thursday"/>
    <s v="Month+1 Expiry"/>
    <n v="279"/>
    <n v="51.87"/>
    <n v="0.76"/>
  </r>
  <r>
    <s v="11-Sep-2025"/>
    <x v="3"/>
    <s v="Week2-Sep-2025"/>
    <x v="0"/>
    <s v="25-Sep-2025"/>
    <s v="Thursday"/>
    <s v="Monthly - Thursday"/>
    <s v="Monthly - Thursday"/>
    <s v="Same Month Expiry"/>
    <n v="5851"/>
    <n v="1068.07"/>
    <n v="4.25"/>
  </r>
  <r>
    <s v="11-Sep-2025"/>
    <x v="3"/>
    <s v="Week2-Sep-2025"/>
    <x v="0"/>
    <s v="30-Oct-2025"/>
    <s v="Thursday"/>
    <s v="Monthly - Thursday"/>
    <s v="Monthly - Thursday"/>
    <s v="Month+1 Expiry"/>
    <n v="300"/>
    <n v="55.84"/>
    <n v="0.87"/>
  </r>
  <r>
    <s v="12-Sep-2025"/>
    <x v="4"/>
    <s v="Week2-Sep-2025"/>
    <x v="0"/>
    <s v="25-Sep-2025"/>
    <s v="Thursday"/>
    <s v="Monthly - Thursday"/>
    <s v="Monthly - Thursday"/>
    <s v="Same Month Expiry"/>
    <n v="5647"/>
    <n v="1037.8699999999999"/>
    <n v="3.54"/>
  </r>
  <r>
    <s v="12-Sep-2025"/>
    <x v="4"/>
    <s v="Week2-Sep-2025"/>
    <x v="0"/>
    <s v="30-Oct-2025"/>
    <s v="Thursday"/>
    <s v="Monthly - Thursday"/>
    <s v="Monthly - Thursday"/>
    <s v="Month+1 Expiry"/>
    <n v="341"/>
    <n v="64.62"/>
    <n v="1.44"/>
  </r>
  <r>
    <s v="15-Sep-2025"/>
    <x v="0"/>
    <s v="Week3-Sep-2025"/>
    <x v="0"/>
    <s v="25-Sep-2025"/>
    <s v="Thursday"/>
    <s v="Monthly - Thursday"/>
    <s v="Monthly - Thursday"/>
    <s v="Same Month Expiry"/>
    <n v="6677"/>
    <n v="1233.71"/>
    <n v="4.8"/>
  </r>
  <r>
    <s v="15-Sep-2025"/>
    <x v="0"/>
    <s v="Week3-Sep-2025"/>
    <x v="0"/>
    <s v="30-Oct-2025"/>
    <s v="Thursday"/>
    <s v="Monthly - Thursday"/>
    <s v="Monthly - Thursday"/>
    <s v="Month+1 Expiry"/>
    <n v="298"/>
    <n v="56.69"/>
    <n v="1.05"/>
  </r>
  <r>
    <s v="16-Sep-2025"/>
    <x v="1"/>
    <s v="Week3-Sep-2025"/>
    <x v="0"/>
    <s v="25-Sep-2025"/>
    <s v="Thursday"/>
    <s v="Monthly - Thursday"/>
    <s v="Monthly - Thursday"/>
    <s v="Same Month Expiry"/>
    <n v="9880"/>
    <n v="1830.6"/>
    <n v="6.8"/>
  </r>
  <r>
    <s v="16-Sep-2025"/>
    <x v="1"/>
    <s v="Week3-Sep-2025"/>
    <x v="0"/>
    <s v="30-Oct-2025"/>
    <s v="Thursday"/>
    <s v="Monthly - Thursday"/>
    <s v="Monthly - Thursday"/>
    <s v="Month+1 Expiry"/>
    <n v="114"/>
    <n v="21.56"/>
    <n v="0.59"/>
  </r>
  <r>
    <s v="17-Sep-2025"/>
    <x v="2"/>
    <s v="Week3-Sep-2025"/>
    <x v="0"/>
    <s v="25-Sep-2025"/>
    <s v="Thursday"/>
    <s v="Monthly - Thursday"/>
    <s v="Monthly - Thursday"/>
    <s v="Same Month Expiry"/>
    <n v="17124"/>
    <n v="3204.47"/>
    <n v="10.53"/>
  </r>
  <r>
    <s v="17-Sep-2025"/>
    <x v="2"/>
    <s v="Week3-Sep-2025"/>
    <x v="0"/>
    <s v="30-Oct-2025"/>
    <s v="Thursday"/>
    <s v="Monthly - Thursday"/>
    <s v="Monthly - Thursday"/>
    <s v="Month+1 Expiry"/>
    <n v="271"/>
    <n v="51.84"/>
    <n v="0.92"/>
  </r>
  <r>
    <s v="17-Sep-2025"/>
    <x v="2"/>
    <s v="Week3-Sep-2025"/>
    <x v="0"/>
    <s v="27-Nov-2025"/>
    <s v="Thursday"/>
    <s v="Monthly - Thursday"/>
    <s v="Monthly - Thursday"/>
    <s v="Month+2 Expiry"/>
    <n v="27"/>
    <n v="5.01"/>
    <n v="0.05"/>
  </r>
  <r>
    <s v="18-Sep-2025"/>
    <x v="3"/>
    <s v="Week3-Sep-2025"/>
    <x v="0"/>
    <s v="25-Sep-2025"/>
    <s v="Thursday"/>
    <s v="Monthly - Thursday"/>
    <s v="Monthly - Thursday"/>
    <s v="Same Month Expiry"/>
    <n v="27478"/>
    <n v="5180.58"/>
    <n v="15.18"/>
  </r>
  <r>
    <s v="18-Sep-2025"/>
    <x v="3"/>
    <s v="Week3-Sep-2025"/>
    <x v="0"/>
    <s v="30-Oct-2025"/>
    <s v="Thursday"/>
    <s v="Monthly - Thursday"/>
    <s v="Monthly - Thursday"/>
    <s v="Month+1 Expiry"/>
    <n v="129"/>
    <n v="24.93"/>
    <n v="0.75"/>
  </r>
  <r>
    <s v="19-Sep-2025"/>
    <x v="4"/>
    <s v="Week3-Sep-2025"/>
    <x v="0"/>
    <s v="25-Sep-2025"/>
    <s v="Thursday"/>
    <s v="Monthly - Thursday"/>
    <s v="Monthly - Thursday"/>
    <s v="Same Month Expiry"/>
    <n v="22754"/>
    <n v="4270.3100000000004"/>
    <n v="10.86"/>
  </r>
  <r>
    <s v="19-Sep-2025"/>
    <x v="4"/>
    <s v="Week3-Sep-2025"/>
    <x v="0"/>
    <s v="30-Oct-2025"/>
    <s v="Thursday"/>
    <s v="Monthly - Thursday"/>
    <s v="Monthly - Thursday"/>
    <s v="Month+1 Expiry"/>
    <n v="94"/>
    <n v="18.14"/>
    <n v="0.39"/>
  </r>
  <r>
    <s v="22-Sep-2025"/>
    <x v="0"/>
    <s v="Week4-Sep-2025"/>
    <x v="0"/>
    <s v="25-Sep-2025"/>
    <s v="Thursday"/>
    <s v="Monthly - Thursday"/>
    <s v="Monthly - Thursday"/>
    <s v="Same Month Expiry"/>
    <n v="60039"/>
    <n v="11282.99"/>
    <n v="23.85"/>
  </r>
  <r>
    <s v="22-Sep-2025"/>
    <x v="0"/>
    <s v="Week4-Sep-2025"/>
    <x v="0"/>
    <s v="30-Oct-2025"/>
    <s v="Thursday"/>
    <s v="Monthly - Thursday"/>
    <s v="Monthly - Thursday"/>
    <s v="Month+1 Expiry"/>
    <n v="120"/>
    <n v="23.06"/>
    <n v="0.46"/>
  </r>
  <r>
    <s v="23-Sep-2025"/>
    <x v="1"/>
    <s v="Week4-Sep-2025"/>
    <x v="0"/>
    <s v="25-Sep-2025"/>
    <s v="Thursday"/>
    <s v="Monthly - Thursday"/>
    <s v="Monthly - Thursday"/>
    <s v="Same Month Expiry"/>
    <n v="78320"/>
    <n v="14676.97"/>
    <n v="27.88"/>
  </r>
  <r>
    <s v="23-Sep-2025"/>
    <x v="1"/>
    <s v="Week4-Sep-2025"/>
    <x v="0"/>
    <s v="30-Oct-2025"/>
    <s v="Thursday"/>
    <s v="Monthly - Thursday"/>
    <s v="Monthly - Thursday"/>
    <s v="Month+1 Expiry"/>
    <n v="91"/>
    <n v="17.22"/>
    <n v="0.26"/>
  </r>
  <r>
    <s v="24-Sep-2025"/>
    <x v="2"/>
    <s v="Week4-Sep-2025"/>
    <x v="0"/>
    <s v="25-Sep-2025"/>
    <s v="Thursday"/>
    <s v="Monthly - Thursday"/>
    <s v="Monthly - Thursday"/>
    <s v="Same Month Expiry"/>
    <n v="892932"/>
    <n v="167327.82999999999"/>
    <n v="266.95999999999998"/>
  </r>
  <r>
    <s v="24-Sep-2025"/>
    <x v="2"/>
    <s v="Week4-Sep-2025"/>
    <x v="0"/>
    <s v="30-Oct-2025"/>
    <s v="Thursday"/>
    <s v="Monthly - Thursday"/>
    <s v="Monthly - Thursday"/>
    <s v="Month+1 Expiry"/>
    <n v="73"/>
    <n v="14.16"/>
    <n v="0.34"/>
  </r>
  <r>
    <s v="25-Sep-2025"/>
    <x v="3"/>
    <s v="Week4-Sep-2025"/>
    <x v="0"/>
    <s v="25-Sep-2025"/>
    <s v="Thursday"/>
    <s v="Monthly - Thursday"/>
    <s v="Monthly - Thursday"/>
    <s v="Same Month Expiry"/>
    <n v="6261198"/>
    <n v="1168113.28"/>
    <n v="839.46"/>
  </r>
  <r>
    <s v="25-Sep-2025"/>
    <x v="3"/>
    <s v="Week4-Sep-2025"/>
    <x v="0"/>
    <s v="30-Oct-2025"/>
    <s v="Thursday"/>
    <s v="Monthly - Thursday"/>
    <s v="Monthly - Thursday"/>
    <s v="Month+1 Expiry"/>
    <n v="301"/>
    <n v="57.75"/>
    <n v="0.35"/>
  </r>
  <r>
    <s v="26-Sep-2025"/>
    <x v="4"/>
    <s v="Week4-Sep-2025"/>
    <x v="0"/>
    <s v="30-Oct-2025"/>
    <s v="Thursday"/>
    <s v="Monthly - Thursday"/>
    <s v="Monthly - Thursday"/>
    <s v="Month+1 Expiry"/>
    <n v="1583"/>
    <n v="297.86"/>
    <n v="3.13"/>
  </r>
  <r>
    <s v="29-Sep-2025"/>
    <x v="0"/>
    <s v="Week5-Sep-2025"/>
    <x v="0"/>
    <s v="30-Oct-2025"/>
    <s v="Thursday"/>
    <s v="Monthly - Thursday"/>
    <s v="Monthly - Thursday"/>
    <s v="Month+1 Expiry"/>
    <n v="971"/>
    <n v="182.45"/>
    <n v="1.79"/>
  </r>
  <r>
    <s v="29-Sep-2025"/>
    <x v="0"/>
    <s v="Week5-Sep-2025"/>
    <x v="0"/>
    <s v="24-Dec-2025"/>
    <s v="Wednesday"/>
    <s v="Weekly - Wednesday"/>
    <s v="Weekly - Wednesday"/>
    <s v="Month+3 Expiry"/>
    <n v="21"/>
    <n v="3.99"/>
    <n v="0.12"/>
  </r>
  <r>
    <s v="30-Sep-2025"/>
    <x v="1"/>
    <s v="Week5-Sep-2025"/>
    <x v="0"/>
    <s v="30-Oct-2025"/>
    <s v="Thursday"/>
    <s v="Monthly - Thursday"/>
    <s v="Monthly - Thursday"/>
    <s v="Month+1 Expiry"/>
    <n v="533"/>
    <n v="101.56"/>
    <n v="0.83"/>
  </r>
  <r>
    <s v="01-Oct-2025"/>
    <x v="2"/>
    <s v="Week1-Oct-2025"/>
    <x v="1"/>
    <s v="30-Oct-2025"/>
    <s v="Thursday"/>
    <s v="Monthly - Thursday"/>
    <s v="Monthly - Thursday"/>
    <s v="Same Month Expiry"/>
    <n v="1671"/>
    <n v="315.24"/>
    <n v="2.81"/>
  </r>
  <r>
    <s v="01-Oct-2025"/>
    <x v="2"/>
    <s v="Week1-Oct-2025"/>
    <x v="1"/>
    <s v="24-Dec-2025"/>
    <s v="Wednesday"/>
    <s v="Weekly - Wednesday"/>
    <s v="Weekly - Wednesday"/>
    <s v="Month+2 Expiry"/>
    <n v="11"/>
    <n v="2.08"/>
    <n v="0.05"/>
  </r>
  <r>
    <s v="03-Oct-2025"/>
    <x v="4"/>
    <s v="Week1-Oct-2025"/>
    <x v="1"/>
    <s v="30-Oct-2025"/>
    <s v="Thursday"/>
    <s v="Monthly - Thursday"/>
    <s v="Monthly - Thursday"/>
    <s v="Same Month Expiry"/>
    <n v="2668"/>
    <n v="500.72"/>
    <n v="3.71"/>
  </r>
  <r>
    <s v="03-Oct-2025"/>
    <x v="4"/>
    <s v="Week1-Oct-2025"/>
    <x v="1"/>
    <s v="24-Dec-2025"/>
    <s v="Wednesday"/>
    <s v="Weekly - Wednesday"/>
    <s v="Weekly - Wednesday"/>
    <s v="Month+2 Expiry"/>
    <n v="9"/>
    <n v="1.76"/>
    <n v="0.03"/>
  </r>
  <r>
    <s v="06-Oct-2025"/>
    <x v="0"/>
    <s v="Week1-Oct-2025"/>
    <x v="1"/>
    <s v="30-Oct-2025"/>
    <s v="Thursday"/>
    <s v="Monthly - Thursday"/>
    <s v="Monthly - Thursday"/>
    <s v="Same Month Expiry"/>
    <n v="2291"/>
    <n v="433.35"/>
    <n v="2.4500000000000002"/>
  </r>
  <r>
    <s v="06-Oct-2025"/>
    <x v="0"/>
    <s v="Week1-Oct-2025"/>
    <x v="1"/>
    <s v="24-Dec-2025"/>
    <s v="Wednesday"/>
    <s v="Weekly - Wednesday"/>
    <s v="Weekly - Wednesday"/>
    <s v="Month+2 Expiry"/>
    <n v="9"/>
    <n v="1.74"/>
    <n v="0.03"/>
  </r>
  <r>
    <s v="07-Oct-2025"/>
    <x v="1"/>
    <s v="Week1-Oct-2025"/>
    <x v="1"/>
    <s v="30-Oct-2025"/>
    <s v="Thursday"/>
    <s v="Monthly - Thursday"/>
    <s v="Monthly - Thursday"/>
    <s v="Same Month Expiry"/>
    <n v="1687"/>
    <n v="322.70999999999998"/>
    <n v="1.63"/>
  </r>
  <r>
    <s v="07-Oct-2025"/>
    <x v="1"/>
    <s v="Week1-Oct-2025"/>
    <x v="1"/>
    <s v="24-Dec-2025"/>
    <s v="Wednesday"/>
    <s v="Weekly - Wednesday"/>
    <s v="Weekly - Wednesday"/>
    <s v="Month+2 Expiry"/>
    <n v="1"/>
    <n v="0.17"/>
    <n v="0"/>
  </r>
  <r>
    <s v="08-Oct-2025"/>
    <x v="2"/>
    <s v="Week2-Oct-2025"/>
    <x v="1"/>
    <s v="30-Oct-2025"/>
    <s v="Thursday"/>
    <s v="Monthly - Thursday"/>
    <s v="Monthly - Thursday"/>
    <s v="Same Month Expiry"/>
    <n v="1233"/>
    <n v="235.59"/>
    <n v="1.67"/>
  </r>
  <r>
    <s v="09-Oct-2025"/>
    <x v="3"/>
    <s v="Week2-Oct-2025"/>
    <x v="1"/>
    <s v="30-Oct-2025"/>
    <s v="Thursday"/>
    <s v="Monthly - Thursday"/>
    <s v="Monthly - Thursday"/>
    <s v="Same Month Expiry"/>
    <n v="1228"/>
    <n v="236.1"/>
    <n v="2.2200000000000002"/>
  </r>
  <r>
    <s v="09-Oct-2025"/>
    <x v="3"/>
    <s v="Week2-Oct-2025"/>
    <x v="1"/>
    <s v="27-Nov-2025"/>
    <s v="Thursday"/>
    <s v="Monthly - Thursday"/>
    <s v="Monthly - Thursday"/>
    <s v="Month+1 Expiry"/>
    <n v="2"/>
    <n v="0.38"/>
    <n v="0.03"/>
  </r>
  <r>
    <s v="09-Oct-2025"/>
    <x v="3"/>
    <s v="Week2-Oct-2025"/>
    <x v="1"/>
    <s v="24-Dec-2025"/>
    <s v="Wednesday"/>
    <s v="Weekly - Wednesday"/>
    <s v="Weekly - Wednesday"/>
    <s v="Month+2 Expiry"/>
    <n v="4"/>
    <n v="0.77"/>
    <n v="0.02"/>
  </r>
  <r>
    <s v="10-Oct-2025"/>
    <x v="4"/>
    <s v="Week2-Oct-2025"/>
    <x v="1"/>
    <s v="30-Oct-2025"/>
    <s v="Thursday"/>
    <s v="Monthly - Thursday"/>
    <s v="Monthly - Thursday"/>
    <s v="Same Month Expiry"/>
    <n v="2611"/>
    <n v="500.23"/>
    <n v="2.65"/>
  </r>
  <r>
    <s v="10-Oct-2025"/>
    <x v="4"/>
    <s v="Week2-Oct-2025"/>
    <x v="1"/>
    <s v="27-Nov-2025"/>
    <s v="Thursday"/>
    <s v="Monthly - Thursday"/>
    <s v="Monthly - Thursday"/>
    <s v="Month+1 Expiry"/>
    <n v="1"/>
    <n v="0.19"/>
    <n v="0.02"/>
  </r>
  <r>
    <s v="13-Oct-2025"/>
    <x v="0"/>
    <s v="Week2-Oct-2025"/>
    <x v="1"/>
    <s v="30-Oct-2025"/>
    <s v="Thursday"/>
    <s v="Monthly - Thursday"/>
    <s v="Monthly - Thursday"/>
    <s v="Same Month Expiry"/>
    <n v="3420"/>
    <n v="655.48"/>
    <n v="3.84"/>
  </r>
  <r>
    <s v="13-Oct-2025"/>
    <x v="0"/>
    <s v="Week2-Oct-2025"/>
    <x v="1"/>
    <s v="27-Nov-2025"/>
    <s v="Thursday"/>
    <s v="Monthly - Thursday"/>
    <s v="Monthly - Thursday"/>
    <s v="Month+1 Expiry"/>
    <n v="30"/>
    <n v="5.88"/>
    <n v="0.08"/>
  </r>
  <r>
    <s v="14-Oct-2025"/>
    <x v="1"/>
    <s v="Week2-Oct-2025"/>
    <x v="1"/>
    <s v="30-Oct-2025"/>
    <s v="Thursday"/>
    <s v="Monthly - Thursday"/>
    <s v="Monthly - Thursday"/>
    <s v="Same Month Expiry"/>
    <n v="1577"/>
    <n v="304.17"/>
    <n v="2.2599999999999998"/>
  </r>
  <r>
    <s v="14-Oct-2025"/>
    <x v="1"/>
    <s v="Week2-Oct-2025"/>
    <x v="1"/>
    <s v="27-Nov-2025"/>
    <s v="Thursday"/>
    <s v="Monthly - Thursday"/>
    <s v="Monthly - Thursday"/>
    <s v="Month+1 Expiry"/>
    <n v="2"/>
    <n v="0.39"/>
    <n v="0.01"/>
  </r>
  <r>
    <s v="15-Oct-2025"/>
    <x v="2"/>
    <s v="Week3-Oct-2025"/>
    <x v="1"/>
    <s v="30-Oct-2025"/>
    <s v="Thursday"/>
    <s v="Monthly - Thursday"/>
    <s v="Monthly - Thursday"/>
    <s v="Same Month Expiry"/>
    <n v="5288"/>
    <n v="1011.76"/>
    <n v="5.65"/>
  </r>
  <r>
    <s v="15-Oct-2025"/>
    <x v="2"/>
    <s v="Week3-Oct-2025"/>
    <x v="1"/>
    <s v="27-Nov-2025"/>
    <s v="Thursday"/>
    <s v="Monthly - Thursday"/>
    <s v="Monthly - Thursday"/>
    <s v="Month+1 Expiry"/>
    <n v="23"/>
    <n v="4.55"/>
    <n v="0.11"/>
  </r>
  <r>
    <s v="16-Oct-2025"/>
    <x v="3"/>
    <s v="Week3-Oct-2025"/>
    <x v="1"/>
    <s v="30-Oct-2025"/>
    <s v="Thursday"/>
    <s v="Monthly - Thursday"/>
    <s v="Monthly - Thursday"/>
    <s v="Same Month Expiry"/>
    <n v="2017"/>
    <n v="388.91"/>
    <n v="2.14"/>
  </r>
  <r>
    <s v="16-Oct-2025"/>
    <x v="3"/>
    <s v="Week3-Oct-2025"/>
    <x v="1"/>
    <s v="27-Nov-2025"/>
    <s v="Thursday"/>
    <s v="Monthly - Thursday"/>
    <s v="Monthly - Thursday"/>
    <s v="Month+1 Expiry"/>
    <n v="23"/>
    <n v="4.57"/>
    <n v="0.04"/>
  </r>
  <r>
    <s v="17-Oct-2025"/>
    <x v="4"/>
    <s v="Week3-Oct-2025"/>
    <x v="1"/>
    <s v="30-Oct-2025"/>
    <s v="Thursday"/>
    <s v="Monthly - Thursday"/>
    <s v="Monthly - Thursday"/>
    <s v="Same Month Expiry"/>
    <n v="4418"/>
    <n v="860.64"/>
    <n v="5.89"/>
  </r>
  <r>
    <s v="17-Oct-2025"/>
    <x v="4"/>
    <s v="Week3-Oct-2025"/>
    <x v="1"/>
    <s v="27-Nov-2025"/>
    <s v="Thursday"/>
    <s v="Monthly - Thursday"/>
    <s v="Monthly - Thursday"/>
    <s v="Month+1 Expiry"/>
    <n v="4"/>
    <n v="0.79"/>
    <n v="0.03"/>
  </r>
  <r>
    <s v="20-Oct-2025"/>
    <x v="0"/>
    <s v="Week3-Oct-2025"/>
    <x v="1"/>
    <s v="30-Oct-2025"/>
    <s v="Thursday"/>
    <s v="Monthly - Thursday"/>
    <s v="Monthly - Thursday"/>
    <s v="Same Month Expiry"/>
    <n v="4441"/>
    <n v="876.27"/>
    <n v="5.17"/>
  </r>
  <r>
    <s v="20-Oct-2025"/>
    <x v="0"/>
    <s v="Week3-Oct-2025"/>
    <x v="1"/>
    <s v="27-Nov-2025"/>
    <s v="Thursday"/>
    <s v="Monthly - Thursday"/>
    <s v="Monthly - Thursday"/>
    <s v="Month+1 Expiry"/>
    <n v="2"/>
    <n v="0.39"/>
    <n v="0"/>
  </r>
  <r>
    <s v="20-Oct-2025"/>
    <x v="0"/>
    <s v="Week3-Oct-2025"/>
    <x v="1"/>
    <s v="24-Dec-2025"/>
    <s v="Wednesday"/>
    <s v="Weekly - Wednesday"/>
    <s v="Weekly - Wednesday"/>
    <s v="Month+2 Expiry"/>
    <n v="11"/>
    <n v="2.2000000000000002"/>
    <n v="0.04"/>
  </r>
  <r>
    <s v="21-Oct-2025"/>
    <x v="1"/>
    <s v="Week3-Oct-2025"/>
    <x v="1"/>
    <s v="30-Oct-2025"/>
    <s v="Thursday"/>
    <s v="Monthly - Thursday"/>
    <s v="Monthly - Thursday"/>
    <s v="Same Month Expiry"/>
    <n v="607"/>
    <n v="119.23"/>
    <n v="0.66"/>
  </r>
  <r>
    <s v="21-Oct-2025"/>
    <x v="1"/>
    <s v="Week3-Oct-2025"/>
    <x v="1"/>
    <s v="27-Nov-2025"/>
    <s v="Thursday"/>
    <s v="Monthly - Thursday"/>
    <s v="Monthly - Thursday"/>
    <s v="Month+1 Expiry"/>
    <n v="2"/>
    <n v="0.4"/>
    <n v="0.01"/>
  </r>
  <r>
    <s v="23-Oct-2025"/>
    <x v="3"/>
    <s v="Week4-Oct-2025"/>
    <x v="1"/>
    <s v="30-Oct-2025"/>
    <s v="Thursday"/>
    <s v="Monthly - Thursday"/>
    <s v="Monthly - Thursday"/>
    <s v="Same Month Expiry"/>
    <n v="7862"/>
    <n v="1543.69"/>
    <n v="7.15"/>
  </r>
  <r>
    <s v="23-Oct-2025"/>
    <x v="3"/>
    <s v="Week4-Oct-2025"/>
    <x v="1"/>
    <s v="27-Nov-2025"/>
    <s v="Thursday"/>
    <s v="Monthly - Thursday"/>
    <s v="Monthly - Thursday"/>
    <s v="Month+1 Expiry"/>
    <n v="0"/>
    <n v="0"/>
    <n v="0"/>
  </r>
  <r>
    <s v="24-Oct-2025"/>
    <x v="4"/>
    <s v="Week4-Oct-2025"/>
    <x v="1"/>
    <s v="30-Oct-2025"/>
    <s v="Thursday"/>
    <s v="Monthly - Thursday"/>
    <s v="Monthly - Thursday"/>
    <s v="Same Month Expiry"/>
    <n v="16056"/>
    <n v="3142.99"/>
    <n v="13.93"/>
  </r>
  <r>
    <s v="24-Oct-2025"/>
    <x v="4"/>
    <s v="Week4-Oct-2025"/>
    <x v="1"/>
    <s v="27-Nov-2025"/>
    <s v="Thursday"/>
    <s v="Monthly - Thursday"/>
    <s v="Monthly - Thursday"/>
    <s v="Month+1 Expiry"/>
    <n v="3"/>
    <n v="0.57999999999999996"/>
    <n v="0.01"/>
  </r>
  <r>
    <s v="27-Oct-2025"/>
    <x v="0"/>
    <s v="Week4-Oct-2025"/>
    <x v="1"/>
    <s v="30-Oct-2025"/>
    <s v="Thursday"/>
    <s v="Monthly - Thursday"/>
    <s v="Monthly - Thursday"/>
    <s v="Same Month Expiry"/>
    <n v="17155"/>
    <n v="3367.13"/>
    <n v="11.92"/>
  </r>
  <r>
    <s v="27-Oct-2025"/>
    <x v="0"/>
    <s v="Week4-Oct-2025"/>
    <x v="1"/>
    <s v="27-Nov-2025"/>
    <s v="Thursday"/>
    <s v="Monthly - Thursday"/>
    <s v="Monthly - Thursday"/>
    <s v="Month+1 Expiry"/>
    <n v="33"/>
    <n v="6.47"/>
    <n v="0.11"/>
  </r>
  <r>
    <s v="28-Oct-2025"/>
    <x v="1"/>
    <s v="Week4-Oct-2025"/>
    <x v="1"/>
    <s v="30-Oct-2025"/>
    <s v="Thursday"/>
    <s v="Monthly - Thursday"/>
    <s v="Monthly - Thursday"/>
    <s v="Same Month Expiry"/>
    <n v="44685"/>
    <n v="8748.9599999999991"/>
    <n v="27.44"/>
  </r>
  <r>
    <s v="28-Oct-2025"/>
    <x v="1"/>
    <s v="Week4-Oct-2025"/>
    <x v="1"/>
    <s v="27-Nov-2025"/>
    <s v="Thursday"/>
    <s v="Monthly - Thursday"/>
    <s v="Monthly - Thursday"/>
    <s v="Month+1 Expiry"/>
    <n v="1"/>
    <n v="0.2"/>
    <n v="0"/>
  </r>
  <r>
    <s v="28-Oct-2025"/>
    <x v="1"/>
    <s v="Week4-Oct-2025"/>
    <x v="1"/>
    <s v="24-Dec-2025"/>
    <s v="Wednesday"/>
    <s v="Weekly - Wednesday"/>
    <s v="Weekly - Wednesday"/>
    <s v="Month+2 Expiry"/>
    <n v="4"/>
    <n v="0.78"/>
    <n v="0.03"/>
  </r>
  <r>
    <s v="29-Oct-2025"/>
    <x v="2"/>
    <s v="Week5-Oct-2025"/>
    <x v="1"/>
    <s v="30-Oct-2025"/>
    <s v="Thursday"/>
    <s v="Monthly - Thursday"/>
    <s v="Monthly - Thursday"/>
    <s v="Same Month Expiry"/>
    <n v="881903"/>
    <n v="174155.97"/>
    <n v="350.29"/>
  </r>
  <r>
    <s v="29-Oct-2025"/>
    <x v="2"/>
    <s v="Week5-Oct-2025"/>
    <x v="1"/>
    <s v="27-Nov-2025"/>
    <s v="Thursday"/>
    <s v="Monthly - Thursday"/>
    <s v="Monthly - Thursday"/>
    <s v="Month+1 Expiry"/>
    <n v="33"/>
    <n v="6.58"/>
    <n v="0.09"/>
  </r>
  <r>
    <s v="29-Oct-2025"/>
    <x v="2"/>
    <s v="Week5-Oct-2025"/>
    <x v="1"/>
    <s v="24-Dec-2025"/>
    <s v="Wednesday"/>
    <s v="Weekly - Wednesday"/>
    <s v="Weekly - Wednesday"/>
    <s v="Month+2 Expiry"/>
    <n v="4"/>
    <n v="0.8"/>
    <n v="0.05"/>
  </r>
  <r>
    <s v="30-Oct-2025"/>
    <x v="3"/>
    <s v="Week5-Oct-2025"/>
    <x v="1"/>
    <s v="30-Oct-2025"/>
    <s v="Thursday"/>
    <s v="Monthly - Thursday"/>
    <s v="Monthly - Thursday"/>
    <s v="Same Month Expiry"/>
    <n v="4978445"/>
    <n v="978318.05"/>
    <n v="662.73"/>
  </r>
  <r>
    <s v="30-Oct-2025"/>
    <x v="3"/>
    <s v="Week5-Oct-2025"/>
    <x v="1"/>
    <s v="27-Nov-2025"/>
    <s v="Thursday"/>
    <s v="Monthly - Thursday"/>
    <s v="Monthly - Thursday"/>
    <s v="Month+1 Expiry"/>
    <n v="172"/>
    <n v="33.950000000000003"/>
    <n v="0.27"/>
  </r>
  <r>
    <s v="31-Oct-2025"/>
    <x v="4"/>
    <s v="Week5-Oct-2025"/>
    <x v="1"/>
    <s v="27-Nov-2025"/>
    <s v="Thursday"/>
    <s v="Monthly - Thursday"/>
    <s v="Monthly - Thursday"/>
    <s v="Month+1 Expiry"/>
    <n v="1240"/>
    <n v="244.25"/>
    <n v="2.14"/>
  </r>
  <r>
    <s v="03-Nov-2025"/>
    <x v="0"/>
    <s v="Week1-Nov-2025"/>
    <x v="2"/>
    <s v="27-Nov-2025"/>
    <s v="Thursday"/>
    <s v="Monthly - Thursday"/>
    <s v="Monthly - Thursday"/>
    <s v="Same Month Expiry"/>
    <n v="1274"/>
    <n v="252.15"/>
    <n v="2.1800000000000002"/>
  </r>
  <r>
    <s v="03-Nov-2025"/>
    <x v="0"/>
    <s v="Week1-Nov-2025"/>
    <x v="2"/>
    <s v="24-Dec-2025"/>
    <s v="Wednesday"/>
    <s v="Weekly - Wednesday"/>
    <s v="Weekly - Wednesday"/>
    <s v="Month+1 Expiry"/>
    <n v="4"/>
    <n v="0.78"/>
    <n v="0.02"/>
  </r>
  <r>
    <s v="04-Nov-2025"/>
    <x v="1"/>
    <s v="Week1-Nov-2025"/>
    <x v="2"/>
    <s v="27-Nov-2025"/>
    <s v="Thursday"/>
    <s v="Monthly - Thursday"/>
    <s v="Monthly - Thursday"/>
    <s v="Same Month Expiry"/>
    <n v="678"/>
    <n v="132.9"/>
    <n v="0.98"/>
  </r>
  <r>
    <s v="04-Nov-2025"/>
    <x v="1"/>
    <s v="Week1-Nov-2025"/>
    <x v="2"/>
    <s v="24-Dec-2025"/>
    <s v="Wednesday"/>
    <s v="Weekly - Wednesday"/>
    <s v="Weekly - Wednesday"/>
    <s v="Month+1 Expiry"/>
    <n v="3"/>
    <n v="0.59"/>
    <n v="0.02"/>
  </r>
  <r>
    <s v="06-Nov-2025"/>
    <x v="3"/>
    <s v="Week1-Nov-2025"/>
    <x v="2"/>
    <s v="27-Nov-2025"/>
    <s v="Thursday"/>
    <s v="Monthly - Thursday"/>
    <s v="Monthly - Thursday"/>
    <s v="Same Month Expiry"/>
    <n v="1259"/>
    <n v="246.91"/>
    <n v="1.62"/>
  </r>
  <r>
    <s v="06-Nov-2025"/>
    <x v="3"/>
    <s v="Week1-Nov-2025"/>
    <x v="2"/>
    <s v="24-Dec-2025"/>
    <s v="Wednesday"/>
    <s v="Weekly - Wednesday"/>
    <s v="Weekly - Wednesday"/>
    <s v="Month+1 Expiry"/>
    <n v="15"/>
    <n v="2.83"/>
    <n v="0.02"/>
  </r>
  <r>
    <s v="07-Nov-2025"/>
    <x v="4"/>
    <s v="Week1-Nov-2025"/>
    <x v="2"/>
    <s v="27-Nov-2025"/>
    <s v="Thursday"/>
    <s v="Monthly - Thursday"/>
    <s v="Monthly - Thursday"/>
    <s v="Same Month Expiry"/>
    <n v="2756"/>
    <n v="543.35"/>
    <n v="2.82"/>
  </r>
  <r>
    <s v="07-Nov-2025"/>
    <x v="4"/>
    <s v="Week1-Nov-2025"/>
    <x v="2"/>
    <s v="24-Dec-2025"/>
    <s v="Wednesday"/>
    <s v="Weekly - Wednesday"/>
    <s v="Weekly - Wednesday"/>
    <s v="Month+1 Expiry"/>
    <n v="2"/>
    <n v="0.4"/>
    <n v="0.01"/>
  </r>
  <r>
    <s v="10-Nov-2025"/>
    <x v="0"/>
    <s v="Week2-Nov-2025"/>
    <x v="2"/>
    <s v="27-Nov-2025"/>
    <s v="Thursday"/>
    <s v="Monthly - Thursday"/>
    <s v="Monthly - Thursday"/>
    <s v="Same Month Expiry"/>
    <n v="1396"/>
    <n v="276.36"/>
    <n v="1.42"/>
  </r>
  <r>
    <s v="10-Nov-2025"/>
    <x v="0"/>
    <s v="Week2-Nov-2025"/>
    <x v="2"/>
    <s v="24-Dec-2025"/>
    <s v="Wednesday"/>
    <s v="Weekly - Wednesday"/>
    <s v="Weekly - Wednesday"/>
    <s v="Month+1 Expiry"/>
    <n v="5"/>
    <n v="0.99"/>
    <n v="0.01"/>
  </r>
  <r>
    <s v="11-Nov-2025"/>
    <x v="1"/>
    <s v="Week2-Nov-2025"/>
    <x v="2"/>
    <s v="27-Nov-2025"/>
    <s v="Thursday"/>
    <s v="Monthly - Thursday"/>
    <s v="Monthly - Thursday"/>
    <s v="Same Month Expiry"/>
    <n v="1529"/>
    <n v="300.20999999999998"/>
    <n v="1.79"/>
  </r>
  <r>
    <s v="11-Nov-2025"/>
    <x v="1"/>
    <s v="Week2-Nov-2025"/>
    <x v="2"/>
    <s v="24-Dec-2025"/>
    <s v="Wednesday"/>
    <s v="Weekly - Wednesday"/>
    <s v="Weekly - Wednesday"/>
    <s v="Month+1 Expiry"/>
    <n v="46"/>
    <n v="9.09"/>
    <n v="0.12"/>
  </r>
  <r>
    <s v="11-Nov-2025"/>
    <x v="1"/>
    <s v="Week2-Nov-2025"/>
    <x v="2"/>
    <s v="29-Jan-2026"/>
    <s v="Thursday"/>
    <s v="Monthly - Thursday"/>
    <s v="Monthly - Thursday"/>
    <s v="Month+2 Expiry"/>
    <n v="7"/>
    <n v="1.32"/>
    <n v="0.01"/>
  </r>
  <r>
    <s v="12-Nov-2025"/>
    <x v="2"/>
    <s v="Week2-Nov-2025"/>
    <x v="2"/>
    <s v="27-Nov-2025"/>
    <s v="Thursday"/>
    <s v="Monthly - Thursday"/>
    <s v="Monthly - Thursday"/>
    <s v="Same Month Expiry"/>
    <n v="1546"/>
    <n v="306.42"/>
    <n v="1.99"/>
  </r>
  <r>
    <s v="12-Nov-2025"/>
    <x v="2"/>
    <s v="Week2-Nov-2025"/>
    <x v="2"/>
    <s v="24-Dec-2025"/>
    <s v="Wednesday"/>
    <s v="Weekly - Wednesday"/>
    <s v="Weekly - Wednesday"/>
    <s v="Month+1 Expiry"/>
    <n v="37"/>
    <n v="7.35"/>
    <n v="0.1"/>
  </r>
  <r>
    <s v="13-Nov-2025"/>
    <x v="3"/>
    <s v="Week2-Nov-2025"/>
    <x v="2"/>
    <s v="27-Nov-2025"/>
    <s v="Thursday"/>
    <s v="Monthly - Thursday"/>
    <s v="Monthly - Thursday"/>
    <s v="Same Month Expiry"/>
    <n v="2023"/>
    <n v="396.67"/>
    <n v="2.19"/>
  </r>
  <r>
    <s v="13-Nov-2025"/>
    <x v="3"/>
    <s v="Week2-Nov-2025"/>
    <x v="2"/>
    <s v="24-Dec-2025"/>
    <s v="Wednesday"/>
    <s v="Weekly - Wednesday"/>
    <s v="Weekly - Wednesday"/>
    <s v="Month+1 Expiry"/>
    <n v="9"/>
    <n v="1.76"/>
    <n v="0.02"/>
  </r>
  <r>
    <s v="14-Nov-2025"/>
    <x v="4"/>
    <s v="Week2-Nov-2025"/>
    <x v="2"/>
    <s v="27-Nov-2025"/>
    <s v="Thursday"/>
    <s v="Monthly - Thursday"/>
    <s v="Monthly - Thursday"/>
    <s v="Same Month Expiry"/>
    <n v="2700"/>
    <n v="531.28"/>
    <n v="3.22"/>
  </r>
  <r>
    <s v="14-Nov-2025"/>
    <x v="4"/>
    <s v="Week2-Nov-2025"/>
    <x v="2"/>
    <s v="24-Dec-2025"/>
    <s v="Wednesday"/>
    <s v="Weekly - Wednesday"/>
    <s v="Weekly - Wednesday"/>
    <s v="Month+1 Expiry"/>
    <n v="1"/>
    <n v="0.2"/>
    <n v="0"/>
  </r>
  <r>
    <s v="17-Nov-2025"/>
    <x v="0"/>
    <s v="Week3-Nov-2025"/>
    <x v="2"/>
    <s v="27-Nov-2025"/>
    <s v="Thursday"/>
    <s v="Monthly - Thursday"/>
    <s v="Monthly - Thursday"/>
    <s v="Same Month Expiry"/>
    <n v="2907"/>
    <n v="576.44000000000005"/>
    <n v="3.23"/>
  </r>
  <r>
    <s v="17-Nov-2025"/>
    <x v="0"/>
    <s v="Week3-Nov-2025"/>
    <x v="2"/>
    <s v="24-Dec-2025"/>
    <s v="Wednesday"/>
    <s v="Weekly - Wednesday"/>
    <s v="Weekly - Wednesday"/>
    <s v="Month+1 Expiry"/>
    <n v="6"/>
    <n v="1.21"/>
    <n v="0.02"/>
  </r>
  <r>
    <s v="18-Nov-2025"/>
    <x v="1"/>
    <s v="Week3-Nov-2025"/>
    <x v="2"/>
    <s v="27-Nov-2025"/>
    <s v="Thursday"/>
    <s v="Monthly - Thursday"/>
    <s v="Monthly - Thursday"/>
    <s v="Same Month Expiry"/>
    <n v="3933"/>
    <n v="782.13"/>
    <n v="3.89"/>
  </r>
  <r>
    <s v="18-Nov-2025"/>
    <x v="1"/>
    <s v="Week3-Nov-2025"/>
    <x v="2"/>
    <s v="24-Dec-2025"/>
    <s v="Wednesday"/>
    <s v="Weekly - Wednesday"/>
    <s v="Weekly - Wednesday"/>
    <s v="Month+1 Expiry"/>
    <n v="0"/>
    <n v="0"/>
    <n v="0"/>
  </r>
  <r>
    <s v="19-Nov-2025"/>
    <x v="2"/>
    <s v="Week3-Nov-2025"/>
    <x v="2"/>
    <s v="27-Nov-2025"/>
    <s v="Thursday"/>
    <s v="Monthly - Thursday"/>
    <s v="Monthly - Thursday"/>
    <s v="Same Month Expiry"/>
    <n v="5796"/>
    <n v="1153.6400000000001"/>
    <n v="4.6399999999999997"/>
  </r>
  <r>
    <s v="19-Nov-2025"/>
    <x v="2"/>
    <s v="Week3-Nov-2025"/>
    <x v="2"/>
    <s v="24-Dec-2025"/>
    <s v="Wednesday"/>
    <s v="Weekly - Wednesday"/>
    <s v="Weekly - Wednesday"/>
    <s v="Month+1 Expiry"/>
    <n v="2"/>
    <n v="0.39"/>
    <n v="0"/>
  </r>
  <r>
    <s v="20-Nov-2025"/>
    <x v="3"/>
    <s v="Week3-Nov-2025"/>
    <x v="2"/>
    <s v="27-Nov-2025"/>
    <s v="Thursday"/>
    <s v="Monthly - Thursday"/>
    <s v="Monthly - Thursday"/>
    <s v="Same Month Expiry"/>
    <n v="5271"/>
    <n v="1057.1600000000001"/>
    <n v="4.53"/>
  </r>
  <r>
    <s v="20-Nov-2025"/>
    <x v="3"/>
    <s v="Week3-Nov-2025"/>
    <x v="2"/>
    <s v="24-Dec-2025"/>
    <s v="Wednesday"/>
    <s v="Weekly - Wednesday"/>
    <s v="Weekly - Wednesday"/>
    <s v="Month+1 Expiry"/>
    <n v="0"/>
    <n v="0"/>
    <n v="0"/>
  </r>
  <r>
    <s v="21-Nov-2025"/>
    <x v="4"/>
    <s v="Week3-Nov-2025"/>
    <x v="2"/>
    <s v="27-Nov-2025"/>
    <s v="Thursday"/>
    <s v="Monthly - Thursday"/>
    <s v="Monthly - Thursday"/>
    <s v="Same Month Expiry"/>
    <n v="7542"/>
    <n v="1509.03"/>
    <n v="6.28"/>
  </r>
  <r>
    <s v="21-Nov-2025"/>
    <x v="4"/>
    <s v="Week3-Nov-2025"/>
    <x v="2"/>
    <s v="24-Dec-2025"/>
    <s v="Wednesday"/>
    <s v="Weekly - Wednesday"/>
    <s v="Weekly - Wednesday"/>
    <s v="Month+1 Expiry"/>
    <n v="1"/>
    <n v="0.2"/>
    <n v="0"/>
  </r>
  <r>
    <s v="24-Nov-2025"/>
    <x v="0"/>
    <s v="Week4-Nov-2025"/>
    <x v="2"/>
    <s v="27-Nov-2025"/>
    <s v="Thursday"/>
    <s v="Monthly - Thursday"/>
    <s v="Monthly - Thursday"/>
    <s v="Same Month Expiry"/>
    <n v="18719"/>
    <n v="3737.35"/>
    <n v="11.36"/>
  </r>
  <r>
    <s v="24-Nov-2025"/>
    <x v="0"/>
    <s v="Week4-Nov-2025"/>
    <x v="2"/>
    <s v="24-Dec-2025"/>
    <s v="Wednesday"/>
    <s v="Weekly - Wednesday"/>
    <s v="Weekly - Wednesday"/>
    <s v="Month+1 Expiry"/>
    <n v="0"/>
    <n v="0"/>
    <n v="0"/>
  </r>
  <r>
    <s v="25-Nov-2025"/>
    <x v="1"/>
    <s v="Week4-Nov-2025"/>
    <x v="2"/>
    <s v="27-Nov-2025"/>
    <s v="Thursday"/>
    <s v="Monthly - Thursday"/>
    <s v="Monthly - Thursday"/>
    <s v="Same Month Expiry"/>
    <n v="39960"/>
    <n v="7935.58"/>
    <n v="19.13"/>
  </r>
  <r>
    <s v="25-Nov-2025"/>
    <x v="1"/>
    <s v="Week4-Nov-2025"/>
    <x v="2"/>
    <s v="24-Dec-2025"/>
    <s v="Wednesday"/>
    <s v="Weekly - Wednesday"/>
    <s v="Weekly - Wednesday"/>
    <s v="Month+1 Expiry"/>
    <n v="7"/>
    <n v="1.3"/>
    <n v="0"/>
  </r>
  <r>
    <s v="26-Nov-2025"/>
    <x v="2"/>
    <s v="Week4-Nov-2025"/>
    <x v="2"/>
    <s v="27-Nov-2025"/>
    <s v="Thursday"/>
    <s v="Monthly - Thursday"/>
    <s v="Monthly - Thursday"/>
    <s v="Same Month Expiry"/>
    <n v="870644"/>
    <n v="174147.13"/>
    <n v="296.44"/>
  </r>
  <r>
    <s v="26-Nov-2025"/>
    <x v="2"/>
    <s v="Week4-Nov-2025"/>
    <x v="2"/>
    <s v="24-Dec-2025"/>
    <s v="Wednesday"/>
    <s v="Weekly - Wednesday"/>
    <s v="Weekly - Wednesday"/>
    <s v="Month+1 Expiry"/>
    <n v="24"/>
    <n v="4.57"/>
    <n v="0"/>
  </r>
  <r>
    <s v="27-Nov-2025"/>
    <x v="3"/>
    <s v="Week4-Nov-2025"/>
    <x v="2"/>
    <s v="27-Nov-2025"/>
    <s v="Thursday"/>
    <s v="Monthly - Thursday"/>
    <s v="Monthly - Thursday"/>
    <s v="Same Month Expiry"/>
    <n v="6809087"/>
    <n v="1367238.33"/>
    <n v="892"/>
  </r>
  <r>
    <s v="27-Nov-2025"/>
    <x v="3"/>
    <s v="Week4-Nov-2025"/>
    <x v="2"/>
    <s v="24-Dec-2025"/>
    <s v="Wednesday"/>
    <s v="Weekly - Wednesday"/>
    <s v="Weekly - Wednesday"/>
    <s v="Month+1 Expiry"/>
    <n v="948"/>
    <n v="189.43"/>
    <n v="1.08"/>
  </r>
  <r>
    <s v="28-Nov-2025"/>
    <x v="4"/>
    <s v="Week4-Nov-2025"/>
    <x v="2"/>
    <s v="24-Dec-2025"/>
    <s v="Wednesday"/>
    <s v="Weekly - Wednesday"/>
    <s v="Weekly - Wednesday"/>
    <s v="Month+1 Expiry"/>
    <n v="2768"/>
    <n v="560.48"/>
    <n v="4.68"/>
  </r>
  <r>
    <s v="01-Dec-2025"/>
    <x v="0"/>
    <s v="Week1-Dec-2025"/>
    <x v="3"/>
    <s v="24-Dec-2025"/>
    <s v="Wednesday"/>
    <s v="Weekly - Wednesday"/>
    <s v="Weekly - Wednesday"/>
    <s v="Same Month Expiry"/>
    <n v="2680"/>
    <n v="545.39"/>
    <n v="4.18"/>
  </r>
  <r>
    <s v="02-Dec-2025"/>
    <x v="1"/>
    <s v="Week1-Dec-2025"/>
    <x v="3"/>
    <s v="24-Dec-2025"/>
    <s v="Wednesday"/>
    <s v="Weekly - Wednesday"/>
    <s v="Weekly - Wednesday"/>
    <s v="Same Month Expiry"/>
    <n v="1672"/>
    <n v="338.08"/>
    <n v="2.17"/>
  </r>
  <r>
    <s v="03-Dec-2025"/>
    <x v="2"/>
    <s v="Week1-Dec-2025"/>
    <x v="3"/>
    <s v="24-Dec-2025"/>
    <s v="Wednesday"/>
    <s v="Weekly - Wednesday"/>
    <s v="Weekly - Wednesday"/>
    <s v="Same Month Expiry"/>
    <n v="1498"/>
    <n v="302.74"/>
    <n v="1.95"/>
  </r>
  <r>
    <s v="04-Dec-2025"/>
    <x v="3"/>
    <s v="Week1-Dec-2025"/>
    <x v="3"/>
    <s v="24-Dec-2025"/>
    <s v="Wednesday"/>
    <s v="Weekly - Wednesday"/>
    <s v="Weekly - Wednesday"/>
    <s v="Same Month Expiry"/>
    <n v="1693"/>
    <n v="341.04"/>
    <n v="2.23"/>
  </r>
  <r>
    <s v="04-Dec-2025"/>
    <x v="3"/>
    <s v="Week1-Dec-2025"/>
    <x v="3"/>
    <s v="29-Jan-2026"/>
    <s v="Thursday"/>
    <s v="Monthly - Thursday"/>
    <s v="Monthly - Thursday"/>
    <s v="Month+1 Expiry"/>
    <n v="11"/>
    <n v="2.2200000000000002"/>
    <n v="0.09"/>
  </r>
  <r>
    <s v="05-Dec-2025"/>
    <x v="4"/>
    <s v="Week1-Dec-2025"/>
    <x v="3"/>
    <s v="24-Dec-2025"/>
    <s v="Wednesday"/>
    <s v="Weekly - Wednesday"/>
    <s v="Weekly - Wednesday"/>
    <s v="Same Month Expiry"/>
    <n v="3703"/>
    <n v="749"/>
    <n v="3.86"/>
  </r>
  <r>
    <s v="05-Dec-2025"/>
    <x v="4"/>
    <s v="Week1-Dec-2025"/>
    <x v="3"/>
    <s v="29-Jan-2026"/>
    <s v="Thursday"/>
    <s v="Monthly - Thursday"/>
    <s v="Monthly - Thursday"/>
    <s v="Month+1 Expiry"/>
    <n v="1"/>
    <n v="0.2"/>
    <n v="0.01"/>
  </r>
  <r>
    <s v="08-Dec-2025"/>
    <x v="0"/>
    <s v="Week2-Dec-2025"/>
    <x v="3"/>
    <s v="24-Dec-2025"/>
    <s v="Wednesday"/>
    <s v="Weekly - Wednesday"/>
    <s v="Weekly - Wednesday"/>
    <s v="Same Month Expiry"/>
    <n v="2722"/>
    <n v="548.73"/>
    <n v="3.32"/>
  </r>
  <r>
    <s v="08-Dec-2025"/>
    <x v="0"/>
    <s v="Week2-Dec-2025"/>
    <x v="3"/>
    <s v="29-Jan-2026"/>
    <s v="Thursday"/>
    <s v="Monthly - Thursday"/>
    <s v="Monthly - Thursday"/>
    <s v="Month+1 Expiry"/>
    <n v="0"/>
    <n v="0"/>
    <n v="0"/>
  </r>
  <r>
    <s v="09-Dec-2025"/>
    <x v="1"/>
    <s v="Week2-Dec-2025"/>
    <x v="3"/>
    <s v="24-Dec-2025"/>
    <s v="Wednesday"/>
    <s v="Weekly - Wednesday"/>
    <s v="Weekly - Wednesday"/>
    <s v="Same Month Expiry"/>
    <n v="3096"/>
    <n v="621.41"/>
    <n v="2.84"/>
  </r>
  <r>
    <s v="09-Dec-2025"/>
    <x v="1"/>
    <s v="Week2-Dec-2025"/>
    <x v="3"/>
    <s v="29-Jan-2026"/>
    <s v="Thursday"/>
    <s v="Monthly - Thursday"/>
    <s v="Monthly - Thursday"/>
    <s v="Month+1 Expiry"/>
    <n v="0"/>
    <n v="0"/>
    <n v="0"/>
  </r>
  <r>
    <s v="10-Dec-2025"/>
    <x v="2"/>
    <s v="Week2-Dec-2025"/>
    <x v="3"/>
    <s v="24-Dec-2025"/>
    <s v="Wednesday"/>
    <s v="Weekly - Wednesday"/>
    <s v="Weekly - Wednesday"/>
    <s v="Same Month Expiry"/>
    <n v="4106"/>
    <n v="817.18"/>
    <n v="3.8"/>
  </r>
  <r>
    <s v="10-Dec-2025"/>
    <x v="2"/>
    <s v="Week2-Dec-2025"/>
    <x v="3"/>
    <s v="29-Jan-2026"/>
    <s v="Thursday"/>
    <s v="Monthly - Thursday"/>
    <s v="Monthly - Thursday"/>
    <s v="Month+1 Expiry"/>
    <n v="0"/>
    <n v="0"/>
    <n v="0"/>
  </r>
  <r>
    <s v="11-Dec-2025"/>
    <x v="3"/>
    <s v="Week2-Dec-2025"/>
    <x v="3"/>
    <s v="24-Dec-2025"/>
    <s v="Wednesday"/>
    <s v="Weekly - Wednesday"/>
    <s v="Weekly - Wednesday"/>
    <s v="Same Month Expiry"/>
    <n v="4232"/>
    <n v="851.71"/>
    <n v="4.0999999999999996"/>
  </r>
  <r>
    <s v="11-Dec-2025"/>
    <x v="3"/>
    <s v="Week2-Dec-2025"/>
    <x v="3"/>
    <s v="29-Jan-2026"/>
    <s v="Thursday"/>
    <s v="Monthly - Thursday"/>
    <s v="Monthly - Thursday"/>
    <s v="Month+1 Expiry"/>
    <n v="0"/>
    <n v="0"/>
    <n v="0"/>
  </r>
  <r>
    <s v="12-Dec-2025"/>
    <x v="4"/>
    <s v="Week2-Dec-2025"/>
    <x v="3"/>
    <s v="24-Dec-2025"/>
    <s v="Wednesday"/>
    <s v="Weekly - Wednesday"/>
    <s v="Weekly - Wednesday"/>
    <s v="Same Month Expiry"/>
    <n v="3664"/>
    <n v="737.44"/>
    <n v="3.07"/>
  </r>
  <r>
    <s v="12-Dec-2025"/>
    <x v="4"/>
    <s v="Week2-Dec-2025"/>
    <x v="3"/>
    <s v="29-Jan-2026"/>
    <s v="Thursday"/>
    <s v="Monthly - Thursday"/>
    <s v="Monthly - Thursday"/>
    <s v="Month+1 Expiry"/>
    <n v="0"/>
    <n v="0"/>
    <n v="0"/>
  </r>
  <r>
    <s v="15-Dec-2025"/>
    <x v="0"/>
    <s v="Week3-Dec-2025"/>
    <x v="3"/>
    <s v="24-Dec-2025"/>
    <s v="Wednesday"/>
    <s v="Weekly - Wednesday"/>
    <s v="Weekly - Wednesday"/>
    <s v="Same Month Expiry"/>
    <n v="3419"/>
    <n v="690.23"/>
    <n v="2.86"/>
  </r>
  <r>
    <s v="15-Dec-2025"/>
    <x v="0"/>
    <s v="Week3-Dec-2025"/>
    <x v="3"/>
    <s v="29-Jan-2026"/>
    <s v="Thursday"/>
    <s v="Monthly - Thursday"/>
    <s v="Monthly - Thursday"/>
    <s v="Month+1 Expiry"/>
    <n v="0"/>
    <n v="0"/>
    <n v="0"/>
  </r>
  <r>
    <s v="16-Dec-2025"/>
    <x v="1"/>
    <s v="Week3-Dec-2025"/>
    <x v="3"/>
    <s v="24-Dec-2025"/>
    <s v="Wednesday"/>
    <s v="Weekly - Wednesday"/>
    <s v="Weekly - Wednesday"/>
    <s v="Same Month Expiry"/>
    <n v="8489"/>
    <n v="1701.44"/>
    <n v="6.82"/>
  </r>
  <r>
    <s v="16-Dec-2025"/>
    <x v="1"/>
    <s v="Week3-Dec-2025"/>
    <x v="3"/>
    <s v="29-Jan-2026"/>
    <s v="Thursday"/>
    <s v="Monthly - Thursday"/>
    <s v="Monthly - Thursday"/>
    <s v="Month+1 Expiry"/>
    <n v="1"/>
    <n v="0.18"/>
    <n v="0"/>
  </r>
  <r>
    <s v="16-Dec-2025"/>
    <x v="1"/>
    <s v="Week3-Dec-2025"/>
    <x v="3"/>
    <s v="26-Feb-2026"/>
    <s v="Thursday"/>
    <s v="Monthly - Thursday"/>
    <s v="Monthly - Thursday"/>
    <s v="Month+2 Expiry"/>
    <n v="0"/>
    <n v="0"/>
    <n v="0"/>
  </r>
  <r>
    <s v="17-Dec-2025"/>
    <x v="2"/>
    <s v="Week3-Dec-2025"/>
    <x v="3"/>
    <s v="24-Dec-2025"/>
    <s v="Wednesday"/>
    <s v="Weekly - Wednesday"/>
    <s v="Weekly - Wednesday"/>
    <s v="Same Month Expiry"/>
    <n v="9577"/>
    <n v="1917.58"/>
    <n v="6.51"/>
  </r>
  <r>
    <s v="17-Dec-2025"/>
    <x v="2"/>
    <s v="Week3-Dec-2025"/>
    <x v="3"/>
    <s v="29-Jan-2026"/>
    <s v="Thursday"/>
    <s v="Monthly - Thursday"/>
    <s v="Monthly - Thursday"/>
    <s v="Month+1 Expiry"/>
    <n v="0"/>
    <n v="0"/>
    <n v="0"/>
  </r>
  <r>
    <s v="17-Dec-2025"/>
    <x v="2"/>
    <s v="Week3-Dec-2025"/>
    <x v="3"/>
    <s v="26-Feb-2026"/>
    <s v="Thursday"/>
    <s v="Monthly - Thursday"/>
    <s v="Monthly - Thursday"/>
    <s v="Month+2 Expiry"/>
    <n v="0"/>
    <n v="0"/>
    <n v="0"/>
  </r>
  <r>
    <s v="18-Dec-2025"/>
    <x v="3"/>
    <s v="Week3-Dec-2025"/>
    <x v="3"/>
    <s v="24-Dec-2025"/>
    <s v="Wednesday"/>
    <s v="Weekly - Wednesday"/>
    <s v="Weekly - Wednesday"/>
    <s v="Same Month Expiry"/>
    <n v="12385"/>
    <n v="2468.4899999999998"/>
    <n v="7.13"/>
  </r>
  <r>
    <s v="18-Dec-2025"/>
    <x v="3"/>
    <s v="Week3-Dec-2025"/>
    <x v="3"/>
    <s v="29-Jan-2026"/>
    <s v="Thursday"/>
    <s v="Monthly - Thursday"/>
    <s v="Monthly - Thursday"/>
    <s v="Month+1 Expiry"/>
    <n v="3"/>
    <n v="0.6"/>
    <n v="0.02"/>
  </r>
  <r>
    <s v="18-Dec-2025"/>
    <x v="3"/>
    <s v="Week3-Dec-2025"/>
    <x v="3"/>
    <s v="26-Feb-2026"/>
    <s v="Thursday"/>
    <s v="Monthly - Thursday"/>
    <s v="Monthly - Thursday"/>
    <s v="Month+2 Expiry"/>
    <n v="0"/>
    <n v="0"/>
    <n v="0"/>
  </r>
  <r>
    <s v="19-Dec-2025"/>
    <x v="4"/>
    <s v="Week3-Dec-2025"/>
    <x v="3"/>
    <s v="24-Dec-2025"/>
    <s v="Wednesday"/>
    <s v="Weekly - Wednesday"/>
    <s v="Weekly - Wednesday"/>
    <s v="Same Month Expiry"/>
    <n v="13067"/>
    <n v="2607.56"/>
    <n v="6.66"/>
  </r>
  <r>
    <s v="19-Dec-2025"/>
    <x v="4"/>
    <s v="Week3-Dec-2025"/>
    <x v="3"/>
    <s v="29-Jan-2026"/>
    <s v="Thursday"/>
    <s v="Monthly - Thursday"/>
    <s v="Monthly - Thursday"/>
    <s v="Month+1 Expiry"/>
    <n v="0"/>
    <n v="0"/>
    <n v="0"/>
  </r>
  <r>
    <s v="19-Dec-2025"/>
    <x v="4"/>
    <s v="Week3-Dec-2025"/>
    <x v="3"/>
    <s v="26-Feb-2026"/>
    <s v="Thursday"/>
    <s v="Monthly - Thursday"/>
    <s v="Monthly - Thursday"/>
    <s v="Month+2 Expiry"/>
    <n v="0"/>
    <n v="0"/>
    <n v="0"/>
  </r>
  <r>
    <s v="22-Dec-2025"/>
    <x v="0"/>
    <s v="Week4-Dec-2025"/>
    <x v="3"/>
    <s v="24-Dec-2025"/>
    <s v="Wednesday"/>
    <s v="Weekly - Wednesday"/>
    <s v="Weekly - Wednesday"/>
    <s v="Same Month Expiry"/>
    <n v="35679"/>
    <n v="7120.47"/>
    <n v="13.56"/>
  </r>
  <r>
    <s v="22-Dec-2025"/>
    <x v="0"/>
    <s v="Week4-Dec-2025"/>
    <x v="3"/>
    <s v="29-Jan-2026"/>
    <s v="Thursday"/>
    <s v="Monthly - Thursday"/>
    <s v="Monthly - Thursday"/>
    <s v="Month+1 Expiry"/>
    <n v="2"/>
    <n v="0.41"/>
    <n v="0.01"/>
  </r>
  <r>
    <s v="22-Dec-2025"/>
    <x v="0"/>
    <s v="Week4-Dec-2025"/>
    <x v="3"/>
    <s v="26-Feb-2026"/>
    <s v="Thursday"/>
    <s v="Monthly - Thursday"/>
    <s v="Monthly - Thursday"/>
    <s v="Month+2 Expiry"/>
    <n v="0"/>
    <n v="0"/>
    <n v="0"/>
  </r>
  <r>
    <s v="23-Dec-2025"/>
    <x v="1"/>
    <s v="Week4-Dec-2025"/>
    <x v="3"/>
    <s v="24-Dec-2025"/>
    <s v="Wednesday"/>
    <s v="Weekly - Wednesday"/>
    <s v="Weekly - Wednesday"/>
    <s v="Same Month Expiry"/>
    <n v="114389"/>
    <n v="22814.54"/>
    <n v="24.63"/>
  </r>
  <r>
    <s v="23-Dec-2025"/>
    <x v="1"/>
    <s v="Week4-Dec-2025"/>
    <x v="3"/>
    <s v="29-Jan-2026"/>
    <s v="Thursday"/>
    <s v="Monthly - Thursday"/>
    <s v="Monthly - Thursday"/>
    <s v="Month+1 Expiry"/>
    <n v="20"/>
    <n v="4"/>
    <n v="0.04"/>
  </r>
  <r>
    <s v="23-Dec-2025"/>
    <x v="1"/>
    <s v="Week4-Dec-2025"/>
    <x v="3"/>
    <s v="26-Feb-2026"/>
    <s v="Thursday"/>
    <s v="Monthly - Thursday"/>
    <s v="Monthly - Thursday"/>
    <s v="Month+2 Expiry"/>
    <n v="0"/>
    <n v="0"/>
    <n v="0"/>
  </r>
  <r>
    <s v="24-Dec-2025"/>
    <x v="2"/>
    <s v="Week4-Dec-2025"/>
    <x v="3"/>
    <s v="24-Dec-2025"/>
    <s v="Wednesday"/>
    <s v="Weekly - Wednesday"/>
    <s v="Weekly - Wednesday"/>
    <s v="Same Month Expiry"/>
    <n v="5394460"/>
    <n v="1072810.02"/>
    <n v="578.34"/>
  </r>
  <r>
    <s v="24-Dec-2025"/>
    <x v="2"/>
    <s v="Week4-Dec-2025"/>
    <x v="3"/>
    <s v="29-Jan-2026"/>
    <s v="Thursday"/>
    <s v="Monthly - Thursday"/>
    <s v="Monthly - Thursday"/>
    <s v="Month+1 Expiry"/>
    <n v="48"/>
    <n v="9.6"/>
    <n v="0.09"/>
  </r>
  <r>
    <s v="24-Dec-2025"/>
    <x v="2"/>
    <s v="Week4-Dec-2025"/>
    <x v="3"/>
    <s v="26-Feb-2026"/>
    <s v="Thursday"/>
    <s v="Monthly - Thursday"/>
    <s v="Monthly - Thursday"/>
    <s v="Month+2 Expiry"/>
    <n v="0"/>
    <n v="0"/>
    <n v="0"/>
  </r>
  <r>
    <s v="26-Dec-2025"/>
    <x v="4"/>
    <s v="Week4-Dec-2025"/>
    <x v="3"/>
    <s v="29-Jan-2026"/>
    <s v="Thursday"/>
    <s v="Monthly - Thursday"/>
    <s v="Monthly - Thursday"/>
    <s v="Month+1 Expiry"/>
    <n v="1211"/>
    <n v="244.33"/>
    <n v="1.27"/>
  </r>
  <r>
    <s v="26-Dec-2025"/>
    <x v="4"/>
    <s v="Week4-Dec-2025"/>
    <x v="3"/>
    <s v="26-Feb-2026"/>
    <s v="Thursday"/>
    <s v="Monthly - Thursday"/>
    <s v="Monthly - Thursday"/>
    <s v="Month+2 Expiry"/>
    <n v="0"/>
    <n v="0"/>
    <n v="0"/>
  </r>
  <r>
    <s v="29-Dec-2025"/>
    <x v="0"/>
    <s v="Week5-Dec-2025"/>
    <x v="3"/>
    <s v="29-Jan-2026"/>
    <s v="Thursday"/>
    <s v="Monthly - Thursday"/>
    <s v="Monthly - Thursday"/>
    <s v="Month+1 Expiry"/>
    <n v="758"/>
    <n v="152.69"/>
    <n v="0.98"/>
  </r>
  <r>
    <s v="29-Dec-2025"/>
    <x v="0"/>
    <s v="Week5-Dec-2025"/>
    <x v="3"/>
    <s v="26-Feb-2026"/>
    <s v="Thursday"/>
    <s v="Monthly - Thursday"/>
    <s v="Monthly - Thursday"/>
    <s v="Month+2 Expiry"/>
    <n v="0"/>
    <n v="0"/>
    <n v="0"/>
  </r>
  <r>
    <s v="30-Dec-2025"/>
    <x v="1"/>
    <s v="Week5-Dec-2025"/>
    <x v="3"/>
    <s v="29-Jan-2026"/>
    <s v="Thursday"/>
    <s v="Monthly - Thursday"/>
    <s v="Monthly - Thursday"/>
    <s v="Month+1 Expiry"/>
    <n v="848"/>
    <n v="168.91"/>
    <n v="0.93"/>
  </r>
  <r>
    <s v="30-Dec-2025"/>
    <x v="1"/>
    <s v="Week5-Dec-2025"/>
    <x v="3"/>
    <s v="26-Feb-2026"/>
    <s v="Thursday"/>
    <s v="Monthly - Thursday"/>
    <s v="Monthly - Thursday"/>
    <s v="Month+2 Expiry"/>
    <n v="4"/>
    <n v="0.71"/>
    <n v="0"/>
  </r>
  <r>
    <s v="31-Dec-2025"/>
    <x v="2"/>
    <s v="Week5-Dec-2025"/>
    <x v="3"/>
    <s v="29-Jan-2026"/>
    <s v="Thursday"/>
    <s v="Monthly - Thursday"/>
    <s v="Monthly - Thursday"/>
    <s v="Month+1 Expiry"/>
    <n v="864"/>
    <n v="172.37"/>
    <n v="0.88"/>
  </r>
  <r>
    <s v="31-Dec-2025"/>
    <x v="2"/>
    <s v="Week5-Dec-2025"/>
    <x v="3"/>
    <s v="26-Feb-2026"/>
    <s v="Thursday"/>
    <s v="Monthly - Thursday"/>
    <s v="Monthly - Thursday"/>
    <s v="Month+2 Expiry"/>
    <n v="0"/>
    <n v="0"/>
    <n v="0"/>
  </r>
  <r>
    <s v="01-Jan-2026"/>
    <x v="3"/>
    <s v="Week1-Jan-2026"/>
    <x v="4"/>
    <s v="29-Jan-2026"/>
    <s v="Thursday"/>
    <s v="Monthly - Thursday"/>
    <s v="Monthly - Thursday"/>
    <s v="Same Month Expiry"/>
    <n v="1142"/>
    <n v="230.52"/>
    <n v="1.42"/>
  </r>
  <r>
    <s v="01-Jan-2026"/>
    <x v="3"/>
    <s v="Week1-Jan-2026"/>
    <x v="4"/>
    <s v="26-Feb-2026"/>
    <s v="Thursday"/>
    <s v="Monthly - Thursday"/>
    <s v="Monthly - Thursday"/>
    <s v="Month+1 Expiry"/>
    <n v="4"/>
    <n v="0.76"/>
    <n v="0.01"/>
  </r>
  <r>
    <s v="02-Jan-2026"/>
    <x v="4"/>
    <s v="Week1-Jan-2026"/>
    <x v="4"/>
    <s v="29-Jan-2026"/>
    <s v="Thursday"/>
    <s v="Monthly - Thursday"/>
    <s v="Monthly - Thursday"/>
    <s v="Same Month Expiry"/>
    <n v="1769"/>
    <n v="362.59"/>
    <n v="1.69"/>
  </r>
  <r>
    <s v="02-Jan-2026"/>
    <x v="4"/>
    <s v="Week1-Jan-2026"/>
    <x v="4"/>
    <s v="26-Feb-2026"/>
    <s v="Thursday"/>
    <s v="Monthly - Thursday"/>
    <s v="Monthly - Thursday"/>
    <s v="Month+1 Expiry"/>
    <n v="0"/>
    <n v="0"/>
    <n v="0"/>
  </r>
  <r>
    <s v="05-Jan-2026"/>
    <x v="0"/>
    <s v="Week1-Jan-2026"/>
    <x v="4"/>
    <s v="29-Jan-2026"/>
    <s v="Thursday"/>
    <s v="Monthly - Thursday"/>
    <s v="Monthly - Thursday"/>
    <s v="Same Month Expiry"/>
    <n v="1965"/>
    <n v="399.36"/>
    <n v="2.0299999999999998"/>
  </r>
  <r>
    <s v="05-Jan-2026"/>
    <x v="0"/>
    <s v="Week1-Jan-2026"/>
    <x v="4"/>
    <s v="26-Feb-2026"/>
    <s v="Thursday"/>
    <s v="Monthly - Thursday"/>
    <s v="Monthly - Thursday"/>
    <s v="Month+1 Expiry"/>
    <n v="3"/>
    <n v="0.62"/>
    <n v="0.02"/>
  </r>
  <r>
    <s v="06-Jan-2026"/>
    <x v="1"/>
    <s v="Week1-Jan-2026"/>
    <x v="4"/>
    <s v="29-Jan-2026"/>
    <s v="Thursday"/>
    <s v="Monthly - Thursday"/>
    <s v="Monthly - Thursday"/>
    <s v="Same Month Expiry"/>
    <n v="1951"/>
    <n v="391.52"/>
    <n v="1.64"/>
  </r>
  <r>
    <s v="06-Jan-2026"/>
    <x v="1"/>
    <s v="Week1-Jan-2026"/>
    <x v="4"/>
    <s v="26-Feb-2026"/>
    <s v="Thursday"/>
    <s v="Monthly - Thursday"/>
    <s v="Monthly - Thursday"/>
    <s v="Month+1 Expiry"/>
    <n v="2"/>
    <n v="0.41"/>
    <n v="0.02"/>
  </r>
  <r>
    <s v="07-Jan-2026"/>
    <x v="2"/>
    <s v="Week1-Jan-2026"/>
    <x v="4"/>
    <s v="29-Jan-2026"/>
    <s v="Thursday"/>
    <s v="Monthly - Thursday"/>
    <s v="Monthly - Thursday"/>
    <s v="Same Month Expiry"/>
    <n v="1636"/>
    <n v="332.57"/>
    <n v="1.1000000000000001"/>
  </r>
  <r>
    <s v="07-Jan-2026"/>
    <x v="2"/>
    <s v="Week1-Jan-2026"/>
    <x v="4"/>
    <s v="26-Feb-2026"/>
    <s v="Thursday"/>
    <s v="Monthly - Thursday"/>
    <s v="Monthly - Thursday"/>
    <s v="Month+1 Expiry"/>
    <n v="0"/>
    <n v="0"/>
    <n v="0"/>
  </r>
  <r>
    <s v="08-Jan-2026"/>
    <x v="3"/>
    <s v="Week2-Jan-2026"/>
    <x v="4"/>
    <s v="29-Jan-2026"/>
    <s v="Thursday"/>
    <s v="Monthly - Thursday"/>
    <s v="Monthly - Thursday"/>
    <s v="Same Month Expiry"/>
    <n v="2550"/>
    <n v="517.16999999999996"/>
    <n v="2.46"/>
  </r>
  <r>
    <s v="08-Jan-2026"/>
    <x v="3"/>
    <s v="Week2-Jan-2026"/>
    <x v="4"/>
    <s v="26-Feb-2026"/>
    <s v="Thursday"/>
    <s v="Monthly - Thursday"/>
    <s v="Monthly - Thursday"/>
    <s v="Month+1 Expiry"/>
    <n v="0"/>
    <n v="0"/>
    <n v="0"/>
  </r>
  <r>
    <s v="09-Jan-2026"/>
    <x v="4"/>
    <s v="Week2-Jan-2026"/>
    <x v="4"/>
    <s v="29-Jan-2026"/>
    <s v="Thursday"/>
    <s v="Monthly - Thursday"/>
    <s v="Monthly - Thursday"/>
    <s v="Same Month Expiry"/>
    <n v="3411"/>
    <n v="689.81"/>
    <n v="3.51"/>
  </r>
  <r>
    <s v="09-Jan-2026"/>
    <x v="4"/>
    <s v="Week2-Jan-2026"/>
    <x v="4"/>
    <s v="26-Feb-2026"/>
    <s v="Thursday"/>
    <s v="Monthly - Thursday"/>
    <s v="Monthly - Thursday"/>
    <s v="Month+1 Expiry"/>
    <n v="0"/>
    <n v="0"/>
    <n v="0"/>
  </r>
  <r>
    <s v="12-Jan-2026"/>
    <x v="0"/>
    <s v="Week2-Jan-2026"/>
    <x v="4"/>
    <s v="29-Jan-2026"/>
    <s v="Thursday"/>
    <s v="Monthly - Thursday"/>
    <s v="Monthly - Thursday"/>
    <s v="Same Month Expiry"/>
    <n v="2651"/>
    <n v="536.89"/>
    <n v="3.02"/>
  </r>
  <r>
    <s v="12-Jan-2026"/>
    <x v="0"/>
    <s v="Week2-Jan-2026"/>
    <x v="4"/>
    <s v="26-Feb-2026"/>
    <s v="Thursday"/>
    <s v="Monthly - Thursday"/>
    <s v="Monthly - Thursday"/>
    <s v="Month+1 Expiry"/>
    <n v="0"/>
    <n v="0"/>
    <n v="0"/>
  </r>
  <r>
    <s v="13-Jan-2026"/>
    <x v="1"/>
    <s v="Week2-Jan-2026"/>
    <x v="4"/>
    <s v="29-Jan-2026"/>
    <s v="Thursday"/>
    <s v="Monthly - Thursday"/>
    <s v="Monthly - Thursday"/>
    <s v="Same Month Expiry"/>
    <n v="2007"/>
    <n v="405.22"/>
    <n v="1.94"/>
  </r>
  <r>
    <s v="13-Jan-2026"/>
    <x v="1"/>
    <s v="Week2-Jan-2026"/>
    <x v="4"/>
    <s v="26-Feb-2026"/>
    <s v="Thursday"/>
    <s v="Monthly - Thursday"/>
    <s v="Monthly - Thursday"/>
    <s v="Month+1 Expiry"/>
    <n v="1"/>
    <n v="0.2"/>
    <n v="0.02"/>
  </r>
  <r>
    <s v="14-Jan-2026"/>
    <x v="2"/>
    <s v="Week2-Jan-2026"/>
    <x v="4"/>
    <s v="29-Jan-2026"/>
    <s v="Thursday"/>
    <s v="Monthly - Thursday"/>
    <s v="Monthly - Thursday"/>
    <s v="Same Month Expiry"/>
    <n v="3158"/>
    <n v="638.95000000000005"/>
    <n v="3.17"/>
  </r>
  <r>
    <s v="14-Jan-2026"/>
    <x v="2"/>
    <s v="Week2-Jan-2026"/>
    <x v="4"/>
    <s v="26-Feb-2026"/>
    <s v="Thursday"/>
    <s v="Monthly - Thursday"/>
    <s v="Monthly - Thursday"/>
    <s v="Month+1 Expiry"/>
    <n v="0"/>
    <n v="0"/>
    <n v="0"/>
  </r>
  <r>
    <s v="16-Jan-2026"/>
    <x v="4"/>
    <s v="Week3-Jan-2026"/>
    <x v="4"/>
    <s v="29-Jan-2026"/>
    <s v="Thursday"/>
    <s v="Monthly - Thursday"/>
    <s v="Monthly - Thursday"/>
    <s v="Same Month Expiry"/>
    <n v="4187"/>
    <n v="852.37"/>
    <n v="4.05"/>
  </r>
  <r>
    <s v="16-Jan-2026"/>
    <x v="4"/>
    <s v="Week3-Jan-2026"/>
    <x v="4"/>
    <s v="26-Feb-2026"/>
    <s v="Thursday"/>
    <s v="Monthly - Thursday"/>
    <s v="Monthly - Thursday"/>
    <s v="Month+1 Expiry"/>
    <n v="0"/>
    <n v="0"/>
    <n v="0"/>
  </r>
  <r>
    <s v="19-Jan-2026"/>
    <x v="0"/>
    <s v="Week3-Jan-2026"/>
    <x v="4"/>
    <s v="29-Jan-2026"/>
    <s v="Thursday"/>
    <s v="Monthly - Thursday"/>
    <s v="Monthly - Thursday"/>
    <s v="Same Month Expiry"/>
    <n v="4019"/>
    <n v="815.83"/>
    <n v="3.39"/>
  </r>
  <r>
    <s v="19-Jan-2026"/>
    <x v="0"/>
    <s v="Week3-Jan-2026"/>
    <x v="4"/>
    <s v="26-Feb-2026"/>
    <s v="Thursday"/>
    <s v="Monthly - Thursday"/>
    <s v="Monthly - Thursday"/>
    <s v="Month+1 Expiry"/>
    <n v="1"/>
    <n v="0.21"/>
    <n v="0"/>
  </r>
  <r>
    <s v="20-Jan-2026"/>
    <x v="1"/>
    <s v="Week3-Jan-2026"/>
    <x v="4"/>
    <s v="29-Jan-2026"/>
    <s v="Thursday"/>
    <s v="Monthly - Thursday"/>
    <s v="Monthly - Thursday"/>
    <s v="Same Month Expiry"/>
    <n v="5548"/>
    <n v="1124.57"/>
    <n v="5.03"/>
  </r>
  <r>
    <s v="20-Jan-2026"/>
    <x v="1"/>
    <s v="Week3-Jan-2026"/>
    <x v="4"/>
    <s v="26-Feb-2026"/>
    <s v="Thursday"/>
    <s v="Monthly - Thursday"/>
    <s v="Monthly - Thursday"/>
    <s v="Month+1 Expiry"/>
    <n v="0"/>
    <n v="0"/>
    <n v="0"/>
  </r>
  <r>
    <s v="21-Jan-2026"/>
    <x v="2"/>
    <s v="Week3-Jan-2026"/>
    <x v="4"/>
    <s v="29-Jan-2026"/>
    <s v="Thursday"/>
    <s v="Monthly - Thursday"/>
    <s v="Monthly - Thursday"/>
    <s v="Same Month Expiry"/>
    <n v="13315"/>
    <n v="2686.45"/>
    <n v="12.31"/>
  </r>
  <r>
    <s v="21-Jan-2026"/>
    <x v="2"/>
    <s v="Week3-Jan-2026"/>
    <x v="4"/>
    <s v="26-Feb-2026"/>
    <s v="Thursday"/>
    <s v="Monthly - Thursday"/>
    <s v="Monthly - Thursday"/>
    <s v="Month+1 Expiry"/>
    <n v="2"/>
    <n v="0.35"/>
    <n v="0"/>
  </r>
  <r>
    <s v="22-Jan-2026"/>
    <x v="3"/>
    <s v="Week4-Jan-2026"/>
    <x v="4"/>
    <s v="29-Jan-2026"/>
    <s v="Thursday"/>
    <s v="Monthly - Thursday"/>
    <s v="Monthly - Thursday"/>
    <s v="Same Month Expiry"/>
    <n v="15483"/>
    <n v="3119.5"/>
    <n v="11.88"/>
  </r>
  <r>
    <s v="22-Jan-2026"/>
    <x v="3"/>
    <s v="Week4-Jan-2026"/>
    <x v="4"/>
    <s v="26-Feb-2026"/>
    <s v="Thursday"/>
    <s v="Monthly - Thursday"/>
    <s v="Monthly - Thursday"/>
    <s v="Month+1 Expiry"/>
    <n v="0"/>
    <n v="0"/>
    <n v="0"/>
  </r>
  <r>
    <s v="23-Jan-2026"/>
    <x v="4"/>
    <s v="Week4-Jan-2026"/>
    <x v="4"/>
    <s v="29-Jan-2026"/>
    <s v="Thursday"/>
    <s v="Monthly - Thursday"/>
    <s v="Monthly - Thursday"/>
    <s v="Same Month Expiry"/>
    <n v="24430"/>
    <n v="4899.7"/>
    <n v="20.440000000000001"/>
  </r>
  <r>
    <s v="23-Jan-2026"/>
    <x v="4"/>
    <s v="Week4-Jan-2026"/>
    <x v="4"/>
    <s v="26-Feb-2026"/>
    <s v="Thursday"/>
    <s v="Monthly - Thursday"/>
    <s v="Monthly - Thursday"/>
    <s v="Month+1 Expiry"/>
    <n v="74"/>
    <n v="15.06"/>
    <n v="0.15"/>
  </r>
  <r>
    <s v="27-Jan-2026"/>
    <x v="1"/>
    <s v="Week4-Jan-2026"/>
    <x v="4"/>
    <s v="29-Jan-2026"/>
    <s v="Thursday"/>
    <s v="Monthly - Thursday"/>
    <s v="Monthly - Thursday"/>
    <s v="Same Month Expiry"/>
    <n v="34632"/>
    <n v="6906.47"/>
    <n v="24.87"/>
  </r>
  <r>
    <s v="27-Jan-2026"/>
    <x v="1"/>
    <s v="Week4-Jan-2026"/>
    <x v="4"/>
    <s v="26-Feb-2026"/>
    <s v="Thursday"/>
    <s v="Monthly - Thursday"/>
    <s v="Monthly - Thursday"/>
    <s v="Month+1 Expiry"/>
    <n v="55"/>
    <n v="11.16"/>
    <n v="0.11"/>
  </r>
  <r>
    <s v="28-Jan-2026"/>
    <x v="2"/>
    <s v="Week4-Jan-2026"/>
    <x v="4"/>
    <s v="29-Jan-2026"/>
    <s v="Thursday"/>
    <s v="Monthly - Thursday"/>
    <s v="Monthly - Thursday"/>
    <s v="Same Month Expiry"/>
    <n v="977915"/>
    <n v="196834.85"/>
    <n v="377.37"/>
  </r>
  <r>
    <s v="28-Jan-2026"/>
    <x v="2"/>
    <s v="Week4-Jan-2026"/>
    <x v="4"/>
    <s v="26-Feb-2026"/>
    <s v="Thursday"/>
    <s v="Monthly - Thursday"/>
    <s v="Monthly - Thursday"/>
    <s v="Month+1 Expiry"/>
    <n v="267"/>
    <n v="54.85"/>
    <n v="0.4"/>
  </r>
  <r>
    <s v="29-Jan-2026"/>
    <x v="3"/>
    <s v="Week5-Jan-2026"/>
    <x v="4"/>
    <s v="29-Jan-2026"/>
    <s v="Thursday"/>
    <s v="Monthly - Thursday"/>
    <s v="Monthly - Thursday"/>
    <s v="Same Month Expiry"/>
    <n v="6328193"/>
    <n v="1278293.98"/>
    <n v="1106.1600000000001"/>
  </r>
  <r>
    <s v="29-Jan-2026"/>
    <x v="3"/>
    <s v="Week5-Jan-2026"/>
    <x v="4"/>
    <s v="26-Feb-2026"/>
    <s v="Thursday"/>
    <s v="Monthly - Thursday"/>
    <s v="Monthly - Thursday"/>
    <s v="Month+1 Expiry"/>
    <n v="419"/>
    <n v="86.23"/>
    <n v="0.66"/>
  </r>
  <r>
    <s v="30-Jan-2026"/>
    <x v="4"/>
    <s v="Week5-Jan-2026"/>
    <x v="4"/>
    <s v="26-Feb-2026"/>
    <s v="Thursday"/>
    <s v="Monthly - Thursday"/>
    <s v="Monthly - Thursday"/>
    <s v="Month+1 Expiry"/>
    <n v="1134"/>
    <n v="230.56"/>
    <n v="2.39"/>
  </r>
  <r>
    <s v="01-Feb-2026"/>
    <x v="5"/>
    <s v="Week1-Feb-2026"/>
    <x v="5"/>
    <s v="26-Feb-2026"/>
    <s v="Thursday"/>
    <s v="Monthly - Thursday"/>
    <s v="Monthly - Thursday"/>
    <s v="Same Month Expiry"/>
    <n v="3213"/>
    <n v="653.19000000000005"/>
    <n v="6.73"/>
  </r>
  <r>
    <s v="02-Feb-2026"/>
    <x v="0"/>
    <s v="Week1-Feb-2026"/>
    <x v="5"/>
    <s v="26-Feb-2026"/>
    <s v="Thursday"/>
    <s v="Monthly - Thursday"/>
    <s v="Monthly - Thursday"/>
    <s v="Same Month Expiry"/>
    <n v="1579"/>
    <n v="317.14999999999998"/>
    <n v="2.39"/>
  </r>
  <r>
    <s v="03-Feb-2026"/>
    <x v="1"/>
    <s v="Week1-Feb-2026"/>
    <x v="5"/>
    <s v="26-Feb-2026"/>
    <s v="Thursday"/>
    <s v="Monthly - Thursday"/>
    <s v="Monthly - Thursday"/>
    <s v="Same Month Expiry"/>
    <n v="1544"/>
    <n v="314.43"/>
    <n v="3.22"/>
  </r>
  <r>
    <s v="04-Feb-2026"/>
    <x v="2"/>
    <s v="Week1-Feb-2026"/>
    <x v="5"/>
    <s v="26-Feb-2026"/>
    <s v="Thursday"/>
    <s v="Monthly - Thursday"/>
    <s v="Monthly - Thursday"/>
    <s v="Same Month Expiry"/>
    <n v="2053"/>
    <n v="416.96"/>
    <n v="2.85"/>
  </r>
  <r>
    <s v="05-Feb-2026"/>
    <x v="3"/>
    <s v="Week1-Feb-2026"/>
    <x v="5"/>
    <s v="26-Feb-2026"/>
    <s v="Thursday"/>
    <s v="Monthly - Thursday"/>
    <s v="Monthly - Thursday"/>
    <s v="Same Month Expiry"/>
    <n v="1595"/>
    <n v="325.7"/>
    <n v="2.2000000000000002"/>
  </r>
  <r>
    <s v="06-Feb-2026"/>
    <x v="4"/>
    <s v="Week1-Feb-2026"/>
    <x v="5"/>
    <s v="26-Feb-2026"/>
    <s v="Thursday"/>
    <s v="Monthly - Thursday"/>
    <s v="Monthly - Thursday"/>
    <s v="Same Month Expiry"/>
    <n v="3726"/>
    <n v="759.67"/>
    <n v="4.42"/>
  </r>
  <r>
    <s v="09-Feb-2026"/>
    <x v="0"/>
    <s v="Week2-Feb-2026"/>
    <x v="5"/>
    <s v="26-Feb-2026"/>
    <s v="Thursday"/>
    <s v="Monthly - Thursday"/>
    <s v="Monthly - Thursday"/>
    <s v="Same Month Expiry"/>
    <n v="2884"/>
    <n v="590.94000000000005"/>
    <n v="2.97"/>
  </r>
  <r>
    <s v="10-Feb-2026"/>
    <x v="1"/>
    <s v="Week2-Feb-2026"/>
    <x v="5"/>
    <s v="26-Feb-2026"/>
    <s v="Thursday"/>
    <s v="Monthly - Thursday"/>
    <s v="Monthly - Thursday"/>
    <s v="Same Month Expiry"/>
    <n v="2764"/>
    <n v="567.72"/>
    <n v="3.05"/>
  </r>
  <r>
    <s v="11-Feb-2026"/>
    <x v="2"/>
    <s v="Week2-Feb-2026"/>
    <x v="5"/>
    <s v="26-Feb-2026"/>
    <s v="Thursday"/>
    <s v="Monthly - Thursday"/>
    <s v="Monthly - Thursday"/>
    <s v="Same Month Expiry"/>
    <n v="3545"/>
    <n v="724.84"/>
    <n v="3.38"/>
  </r>
  <r>
    <s v="12-Feb-2026"/>
    <x v="3"/>
    <s v="Week2-Feb-2026"/>
    <x v="5"/>
    <s v="26-Feb-2026"/>
    <s v="Thursday"/>
    <s v="Monthly - Thursday"/>
    <s v="Monthly - Thursday"/>
    <s v="Same Month Expiry"/>
    <n v="2780"/>
    <n v="567.55999999999995"/>
    <n v="2.44"/>
  </r>
  <r>
    <s v="13-Feb-2026"/>
    <x v="4"/>
    <s v="Week2-Feb-2026"/>
    <x v="5"/>
    <s v="26-Feb-2026"/>
    <s v="Thursday"/>
    <s v="Monthly - Thursday"/>
    <s v="Monthly - Thursday"/>
    <s v="Same Month Expiry"/>
    <n v="8397"/>
    <n v="1711.63"/>
    <n v="8.98"/>
  </r>
  <r>
    <s v="16-Feb-2026"/>
    <x v="0"/>
    <s v="Week3-Feb-2026"/>
    <x v="5"/>
    <s v="26-Feb-2026"/>
    <s v="Thursday"/>
    <s v="Monthly - Thursday"/>
    <s v="Monthly - Thursday"/>
    <s v="Same Month Expiry"/>
    <n v="6732"/>
    <n v="1373.05"/>
    <n v="5.72"/>
  </r>
  <r>
    <s v="16-Feb-2026"/>
    <x v="0"/>
    <s v="Week3-Feb-2026"/>
    <x v="5"/>
    <s v="30-Apr-2026"/>
    <s v="Thursday"/>
    <s v="Monthly - Thursday"/>
    <s v="Monthly - Thursday"/>
    <s v="Month+2 Expiry"/>
    <n v="0"/>
    <n v="0"/>
    <n v="0"/>
  </r>
  <r>
    <s v="17-Feb-2026"/>
    <x v="1"/>
    <s v="Week3-Feb-2026"/>
    <x v="5"/>
    <s v="26-Feb-2026"/>
    <s v="Thursday"/>
    <s v="Monthly - Thursday"/>
    <s v="Monthly - Thursday"/>
    <s v="Same Month Expiry"/>
    <n v="16693"/>
    <n v="3431.47"/>
    <n v="13.69"/>
  </r>
  <r>
    <s v="17-Feb-2026"/>
    <x v="1"/>
    <s v="Week3-Feb-2026"/>
    <x v="5"/>
    <s v="30-Apr-2026"/>
    <s v="Thursday"/>
    <s v="Monthly - Thursday"/>
    <s v="Monthly - Thursday"/>
    <s v="Month+2 Expiry"/>
    <n v="0"/>
    <n v="0"/>
    <n v="0"/>
  </r>
  <r>
    <s v="18-Feb-2026"/>
    <x v="2"/>
    <s v="Week3-Feb-2026"/>
    <x v="5"/>
    <s v="26-Feb-2026"/>
    <s v="Thursday"/>
    <s v="Monthly - Thursday"/>
    <s v="Monthly - Thursday"/>
    <s v="Same Month Expiry"/>
    <n v="14317"/>
    <n v="2937.41"/>
    <n v="10.119999999999999"/>
  </r>
  <r>
    <s v="18-Feb-2026"/>
    <x v="2"/>
    <s v="Week3-Feb-2026"/>
    <x v="5"/>
    <s v="30-Apr-2026"/>
    <s v="Thursday"/>
    <s v="Monthly - Thursday"/>
    <s v="Monthly - Thursday"/>
    <s v="Month+2 Expiry"/>
    <n v="0"/>
    <n v="0"/>
    <n v="0"/>
  </r>
  <r>
    <s v="19-Feb-2026"/>
    <x v="3"/>
    <s v="Week3-Feb-2026"/>
    <x v="5"/>
    <s v="26-Feb-2026"/>
    <s v="Thursday"/>
    <s v="Monthly - Thursday"/>
    <s v="Monthly - Thursday"/>
    <s v="Same Month Expiry"/>
    <n v="15051"/>
    <n v="3105.91"/>
    <n v="13.28"/>
  </r>
  <r>
    <s v="19-Feb-2026"/>
    <x v="3"/>
    <s v="Week3-Feb-2026"/>
    <x v="5"/>
    <s v="25-Mar-2026"/>
    <s v="Wednesday"/>
    <s v="Monthly - Wednesday"/>
    <s v="Monthly - Wednesday"/>
    <s v="Month+1 Expiry"/>
    <n v="4"/>
    <n v="0.82"/>
    <n v="0.02"/>
  </r>
  <r>
    <s v="19-Feb-2026"/>
    <x v="3"/>
    <s v="Week3-Feb-2026"/>
    <x v="5"/>
    <s v="30-Apr-2026"/>
    <s v="Thursday"/>
    <s v="Monthly - Thursday"/>
    <s v="Monthly - Thursday"/>
    <s v="Month+2 Expiry"/>
    <n v="0"/>
    <n v="0"/>
    <n v="0"/>
  </r>
  <r>
    <s v="20-Feb-2026"/>
    <x v="4"/>
    <s v="Week3-Feb-2026"/>
    <x v="5"/>
    <s v="26-Feb-2026"/>
    <s v="Thursday"/>
    <s v="Monthly - Thursday"/>
    <s v="Monthly - Thursday"/>
    <s v="Same Month Expiry"/>
    <n v="31740"/>
    <n v="6566.22"/>
    <n v="27.67"/>
  </r>
  <r>
    <s v="20-Feb-2026"/>
    <x v="4"/>
    <s v="Week3-Feb-2026"/>
    <x v="5"/>
    <s v="25-Mar-2026"/>
    <s v="Wednesday"/>
    <s v="Monthly - Wednesday"/>
    <s v="Monthly - Wednesday"/>
    <s v="Month+1 Expiry"/>
    <n v="2"/>
    <n v="0.42"/>
    <n v="0.01"/>
  </r>
  <r>
    <s v="20-Feb-2026"/>
    <x v="4"/>
    <s v="Week3-Feb-2026"/>
    <x v="5"/>
    <s v="30-Apr-2026"/>
    <s v="Thursday"/>
    <s v="Monthly - Thursday"/>
    <s v="Monthly - Thursday"/>
    <s v="Month+2 Expiry"/>
    <n v="0"/>
    <n v="0"/>
    <n v="0"/>
  </r>
  <r>
    <s v="23-Feb-2026"/>
    <x v="0"/>
    <s v="Week4-Feb-2026"/>
    <x v="5"/>
    <s v="26-Feb-2026"/>
    <s v="Thursday"/>
    <s v="Monthly - Thursday"/>
    <s v="Monthly - Thursday"/>
    <s v="Same Month Expiry"/>
    <n v="43534"/>
    <n v="8988.9500000000007"/>
    <n v="41.01"/>
  </r>
  <r>
    <s v="23-Feb-2026"/>
    <x v="0"/>
    <s v="Week4-Feb-2026"/>
    <x v="5"/>
    <s v="25-Mar-2026"/>
    <s v="Wednesday"/>
    <s v="Monthly - Wednesday"/>
    <s v="Monthly - Wednesday"/>
    <s v="Month+1 Expiry"/>
    <n v="6"/>
    <n v="1.26"/>
    <n v="0.04"/>
  </r>
  <r>
    <s v="23-Feb-2026"/>
    <x v="0"/>
    <s v="Week4-Feb-2026"/>
    <x v="5"/>
    <s v="30-Apr-2026"/>
    <s v="Thursday"/>
    <s v="Monthly - Thursday"/>
    <s v="Monthly - Thursday"/>
    <s v="Month+2 Expiry"/>
    <n v="0"/>
    <n v="0"/>
    <n v="0"/>
  </r>
  <r>
    <s v="24-Feb-2026"/>
    <x v="1"/>
    <s v="Week4-Feb-2026"/>
    <x v="5"/>
    <s v="26-Feb-2026"/>
    <s v="Thursday"/>
    <s v="Monthly - Thursday"/>
    <s v="Monthly - Thursday"/>
    <s v="Same Month Expiry"/>
    <n v="53853"/>
    <n v="11130.47"/>
    <n v="41.76"/>
  </r>
  <r>
    <s v="24-Feb-2026"/>
    <x v="1"/>
    <s v="Week4-Feb-2026"/>
    <x v="5"/>
    <s v="25-Mar-2026"/>
    <s v="Wednesday"/>
    <s v="Monthly - Wednesday"/>
    <s v="Monthly - Wednesday"/>
    <s v="Month+1 Expiry"/>
    <n v="40"/>
    <n v="8.3699999999999992"/>
    <n v="0.13"/>
  </r>
  <r>
    <s v="24-Feb-2026"/>
    <x v="1"/>
    <s v="Week4-Feb-2026"/>
    <x v="5"/>
    <s v="30-Apr-2026"/>
    <s v="Thursday"/>
    <s v="Monthly - Thursday"/>
    <s v="Monthly - Thursday"/>
    <s v="Month+2 Expiry"/>
    <n v="0"/>
    <n v="0"/>
    <n v="0"/>
  </r>
  <r>
    <s v="25-Feb-2026"/>
    <x v="2"/>
    <s v="Week4-Feb-2026"/>
    <x v="5"/>
    <s v="26-Feb-2026"/>
    <s v="Thursday"/>
    <s v="Monthly - Thursday"/>
    <s v="Monthly - Thursday"/>
    <s v="Same Month Expiry"/>
    <n v="706826"/>
    <n v="145733.66"/>
    <n v="322.58999999999997"/>
  </r>
  <r>
    <s v="25-Feb-2026"/>
    <x v="2"/>
    <s v="Week4-Feb-2026"/>
    <x v="5"/>
    <s v="25-Mar-2026"/>
    <s v="Wednesday"/>
    <s v="Monthly - Wednesday"/>
    <s v="Monthly - Wednesday"/>
    <s v="Month+1 Expiry"/>
    <n v="263"/>
    <n v="53.76"/>
    <n v="0.34"/>
  </r>
  <r>
    <s v="25-Feb-2026"/>
    <x v="2"/>
    <s v="Week4-Feb-2026"/>
    <x v="5"/>
    <s v="30-Apr-2026"/>
    <s v="Thursday"/>
    <s v="Monthly - Thursday"/>
    <s v="Monthly - Thursday"/>
    <s v="Month+2 Expiry"/>
    <n v="0"/>
    <n v="0"/>
    <n v="0"/>
  </r>
  <r>
    <s v="26-Feb-2026"/>
    <x v="3"/>
    <s v="Week4-Feb-2026"/>
    <x v="5"/>
    <s v="26-Feb-2026"/>
    <s v="Thursday"/>
    <s v="Monthly - Thursday"/>
    <s v="Monthly - Thursday"/>
    <s v="Same Month Expiry"/>
    <n v="6384699"/>
    <n v="1315711.45"/>
    <n v="959.93"/>
  </r>
  <r>
    <s v="26-Feb-2026"/>
    <x v="3"/>
    <s v="Week4-Feb-2026"/>
    <x v="5"/>
    <s v="25-Mar-2026"/>
    <s v="Wednesday"/>
    <s v="Monthly - Wednesday"/>
    <s v="Monthly - Wednesday"/>
    <s v="Month+1 Expiry"/>
    <n v="343"/>
    <n v="71.569999999999993"/>
    <n v="0.46"/>
  </r>
  <r>
    <s v="26-Feb-2026"/>
    <x v="3"/>
    <s v="Week4-Feb-2026"/>
    <x v="5"/>
    <s v="30-Apr-2026"/>
    <s v="Thursday"/>
    <s v="Monthly - Thursday"/>
    <s v="Monthly - Thursday"/>
    <s v="Month+2 Expiry"/>
    <n v="0"/>
    <n v="0"/>
    <n v="0"/>
  </r>
  <r>
    <s v="27-Feb-2026"/>
    <x v="4"/>
    <s v="Week4-Feb-2026"/>
    <x v="5"/>
    <s v="25-Mar-2026"/>
    <s v="Wednesday"/>
    <s v="Monthly - Wednesday"/>
    <s v="Monthly - Wednesday"/>
    <s v="Month+1 Expiry"/>
    <n v="5184"/>
    <n v="1064.24"/>
    <n v="7.37"/>
  </r>
  <r>
    <s v="27-Feb-2026"/>
    <x v="4"/>
    <s v="Week4-Feb-2026"/>
    <x v="5"/>
    <s v="30-Apr-2026"/>
    <s v="Thursday"/>
    <s v="Monthly - Thursday"/>
    <s v="Monthly - Thursday"/>
    <s v="Month+2 Expiry"/>
    <n v="0"/>
    <n v="0"/>
    <n v="0"/>
  </r>
  <r>
    <s v="02-Mar-2026"/>
    <x v="0"/>
    <s v="Week1-Mar-2026"/>
    <x v="6"/>
    <s v="25-Mar-2026"/>
    <s v="Wednesday"/>
    <s v="Monthly - Wednesday"/>
    <s v="Monthly - Wednesday"/>
    <s v="Same Month Expiry"/>
    <n v="4508"/>
    <n v="927.49"/>
    <n v="8.66"/>
  </r>
  <r>
    <s v="02-Mar-2026"/>
    <x v="0"/>
    <s v="Week1-Mar-2026"/>
    <x v="6"/>
    <s v="30-Apr-2026"/>
    <s v="Thursday"/>
    <s v="Monthly - Thursday"/>
    <s v="Monthly - Thursday"/>
    <s v="Month+1 Expiry"/>
    <n v="6"/>
    <n v="1.19"/>
    <n v="0.01"/>
  </r>
  <r>
    <s v="04-Mar-2026"/>
    <x v="2"/>
    <s v="Week1-Mar-2026"/>
    <x v="6"/>
    <s v="25-Mar-2026"/>
    <s v="Wednesday"/>
    <s v="Monthly - Wednesday"/>
    <s v="Monthly - Wednesday"/>
    <s v="Same Month Expiry"/>
    <n v="4317"/>
    <n v="883.69"/>
    <n v="10.85"/>
  </r>
  <r>
    <s v="04-Mar-2026"/>
    <x v="2"/>
    <s v="Week1-Mar-2026"/>
    <x v="6"/>
    <s v="30-Apr-2026"/>
    <s v="Thursday"/>
    <s v="Monthly - Thursday"/>
    <s v="Monthly - Thursday"/>
    <s v="Month+1 Expiry"/>
    <n v="0"/>
    <n v="0"/>
    <n v="0"/>
  </r>
  <r>
    <s v="05-Mar-2026"/>
    <x v="3"/>
    <s v="Week1-Mar-2026"/>
    <x v="6"/>
    <s v="25-Mar-2026"/>
    <s v="Wednesday"/>
    <s v="Monthly - Wednesday"/>
    <s v="Monthly - Wednesday"/>
    <s v="Same Month Expiry"/>
    <n v="5371"/>
    <n v="1092.6400000000001"/>
    <n v="12.83"/>
  </r>
  <r>
    <s v="05-Mar-2026"/>
    <x v="3"/>
    <s v="Week1-Mar-2026"/>
    <x v="6"/>
    <s v="30-Apr-2026"/>
    <s v="Thursday"/>
    <s v="Monthly - Thursday"/>
    <s v="Monthly - Thursday"/>
    <s v="Month+1 Expiry"/>
    <n v="13"/>
    <n v="2.63"/>
    <n v="0.05"/>
  </r>
  <r>
    <s v="06-Mar-2026"/>
    <x v="4"/>
    <s v="Week1-Mar-2026"/>
    <x v="6"/>
    <s v="25-Mar-2026"/>
    <s v="Wednesday"/>
    <s v="Monthly - Wednesday"/>
    <s v="Monthly - Wednesday"/>
    <s v="Same Month Expiry"/>
    <n v="6296"/>
    <n v="1264.96"/>
    <n v="13.43"/>
  </r>
  <r>
    <s v="06-Mar-2026"/>
    <x v="4"/>
    <s v="Week1-Mar-2026"/>
    <x v="6"/>
    <s v="30-Apr-2026"/>
    <s v="Thursday"/>
    <s v="Monthly - Thursday"/>
    <s v="Monthly - Thursday"/>
    <s v="Month+1 Expiry"/>
    <n v="0"/>
    <n v="0"/>
    <n v="0"/>
  </r>
  <r>
    <s v="09-Mar-2026"/>
    <x v="0"/>
    <s v="Week2-Mar-2026"/>
    <x v="6"/>
    <s v="25-Mar-2026"/>
    <s v="Wednesday"/>
    <s v="Monthly - Wednesday"/>
    <s v="Monthly - Wednesday"/>
    <s v="Same Month Expiry"/>
    <n v="1455"/>
    <n v="295.77"/>
    <n v="7.91"/>
  </r>
  <r>
    <s v="09-Mar-2026"/>
    <x v="0"/>
    <s v="Week2-Mar-2026"/>
    <x v="6"/>
    <s v="30-Apr-2026"/>
    <s v="Thursday"/>
    <s v="Monthly - Thursday"/>
    <s v="Monthly - Thursday"/>
    <s v="Month+1 Expiry"/>
    <n v="0"/>
    <n v="0"/>
    <n v="0"/>
  </r>
  <r>
    <s v="10-Mar-2026"/>
    <x v="1"/>
    <s v="Week2-Mar-2026"/>
    <x v="6"/>
    <s v="25-Mar-2026"/>
    <s v="Wednesday"/>
    <s v="Monthly - Wednesday"/>
    <s v="Monthly - Wednesday"/>
    <s v="Same Month Expiry"/>
    <n v="4293"/>
    <n v="846.4"/>
    <n v="8.11"/>
  </r>
  <r>
    <s v="10-Mar-2026"/>
    <x v="1"/>
    <s v="Week2-Mar-2026"/>
    <x v="6"/>
    <s v="30-Apr-2026"/>
    <s v="Thursday"/>
    <s v="Monthly - Thursday"/>
    <s v="Monthly - Thursday"/>
    <s v="Month+1 Expiry"/>
    <n v="0"/>
    <n v="0"/>
    <n v="0"/>
  </r>
  <r>
    <s v="11-Mar-2026"/>
    <x v="2"/>
    <s v="Week2-Mar-2026"/>
    <x v="6"/>
    <s v="25-Mar-2026"/>
    <s v="Wednesday"/>
    <s v="Monthly - Wednesday"/>
    <s v="Monthly - Wednesday"/>
    <s v="Same Month Expiry"/>
    <n v="8478"/>
    <n v="1654.86"/>
    <n v="15.64"/>
  </r>
  <r>
    <s v="11-Mar-2026"/>
    <x v="2"/>
    <s v="Week2-Mar-2026"/>
    <x v="6"/>
    <s v="30-Apr-2026"/>
    <s v="Thursday"/>
    <s v="Monthly - Thursday"/>
    <s v="Monthly - Thursday"/>
    <s v="Month+1 Expiry"/>
    <n v="0"/>
    <n v="0"/>
    <n v="0"/>
  </r>
  <r>
    <s v="12-Mar-2026"/>
    <x v="3"/>
    <s v="Week2-Mar-2026"/>
    <x v="6"/>
    <s v="25-Mar-2026"/>
    <s v="Wednesday"/>
    <s v="Monthly - Wednesday"/>
    <s v="Monthly - Wednesday"/>
    <s v="Same Month Expiry"/>
    <n v="5309"/>
    <n v="1020.21"/>
    <n v="14.63"/>
  </r>
  <r>
    <s v="12-Mar-2026"/>
    <x v="3"/>
    <s v="Week2-Mar-2026"/>
    <x v="6"/>
    <s v="30-Apr-2026"/>
    <s v="Thursday"/>
    <s v="Monthly - Thursday"/>
    <s v="Monthly - Thursday"/>
    <s v="Month+1 Expiry"/>
    <n v="0"/>
    <n v="0"/>
    <n v="0"/>
  </r>
  <r>
    <s v="13-Mar-2026"/>
    <x v="4"/>
    <s v="Week2-Mar-2026"/>
    <x v="6"/>
    <s v="25-Mar-2026"/>
    <s v="Wednesday"/>
    <s v="Monthly - Wednesday"/>
    <s v="Monthly - Wednesday"/>
    <s v="Same Month Expiry"/>
    <n v="5740"/>
    <n v="1093.9100000000001"/>
    <n v="11.57"/>
  </r>
  <r>
    <s v="13-Mar-2026"/>
    <x v="4"/>
    <s v="Week2-Mar-2026"/>
    <x v="6"/>
    <s v="30-Apr-2026"/>
    <s v="Thursday"/>
    <s v="Monthly - Thursday"/>
    <s v="Monthly - Thursday"/>
    <s v="Month+1 Expiry"/>
    <n v="0"/>
    <n v="0"/>
    <n v="0"/>
  </r>
  <r>
    <s v="16-Mar-2026"/>
    <x v="0"/>
    <s v="Week3-Mar-2026"/>
    <x v="6"/>
    <s v="25-Mar-2026"/>
    <s v="Wednesday"/>
    <s v="Monthly - Wednesday"/>
    <s v="Monthly - Wednesday"/>
    <s v="Same Month Expiry"/>
    <n v="8874"/>
    <n v="1663.34"/>
    <n v="23.35"/>
  </r>
  <r>
    <s v="16-Mar-2026"/>
    <x v="0"/>
    <s v="Week3-Mar-2026"/>
    <x v="6"/>
    <s v="30-Apr-2026"/>
    <s v="Thursday"/>
    <s v="Monthly - Thursday"/>
    <s v="Monthly - Thursday"/>
    <s v="Month+1 Expiry"/>
    <n v="0"/>
    <n v="0"/>
    <n v="0"/>
  </r>
  <r>
    <s v="17-Mar-2026"/>
    <x v="1"/>
    <s v="Week3-Mar-2026"/>
    <x v="6"/>
    <s v="25-Mar-2026"/>
    <s v="Wednesday"/>
    <s v="Monthly - Wednesday"/>
    <s v="Monthly - Wednesday"/>
    <s v="Same Month Expiry"/>
    <n v="10898"/>
    <n v="2020.97"/>
    <n v="22.52"/>
  </r>
  <r>
    <s v="17-Mar-2026"/>
    <x v="1"/>
    <s v="Week3-Mar-2026"/>
    <x v="6"/>
    <s v="30-Apr-2026"/>
    <s v="Thursday"/>
    <s v="Monthly - Thursday"/>
    <s v="Monthly - Thursday"/>
    <s v="Month+1 Expiry"/>
    <n v="0"/>
    <n v="0"/>
    <n v="0"/>
  </r>
  <r>
    <s v="18-Mar-2026"/>
    <x v="2"/>
    <s v="Week3-Mar-2026"/>
    <x v="6"/>
    <s v="25-Mar-2026"/>
    <s v="Wednesday"/>
    <s v="Monthly - Wednesday"/>
    <s v="Monthly - Wednesday"/>
    <s v="Same Month Expiry"/>
    <n v="12088"/>
    <n v="2225.69"/>
    <n v="14.28"/>
  </r>
  <r>
    <s v="18-Mar-2026"/>
    <x v="2"/>
    <s v="Week3-Mar-2026"/>
    <x v="6"/>
    <s v="30-Apr-2026"/>
    <s v="Thursday"/>
    <s v="Monthly - Thursday"/>
    <s v="Monthly - Thursday"/>
    <s v="Month+1 Expiry"/>
    <n v="1"/>
    <n v="0.19"/>
    <n v="0"/>
  </r>
  <r>
    <s v="19-Mar-2026"/>
    <x v="3"/>
    <s v="Week3-Mar-2026"/>
    <x v="6"/>
    <s v="25-Mar-2026"/>
    <s v="Wednesday"/>
    <s v="Monthly - Wednesday"/>
    <s v="Monthly - Wednesday"/>
    <s v="Same Month Expiry"/>
    <n v="7943"/>
    <n v="1464.71"/>
    <n v="14.31"/>
  </r>
  <r>
    <s v="19-Mar-2026"/>
    <x v="3"/>
    <s v="Week3-Mar-2026"/>
    <x v="6"/>
    <s v="30-Apr-2026"/>
    <s v="Thursday"/>
    <s v="Monthly - Thursday"/>
    <s v="Monthly - Thursday"/>
    <s v="Month+1 Expiry"/>
    <n v="2"/>
    <n v="0.38"/>
    <n v="0.01"/>
  </r>
  <r>
    <s v="20-Mar-2026"/>
    <x v="4"/>
    <s v="Week3-Mar-2026"/>
    <x v="6"/>
    <s v="25-Mar-2026"/>
    <s v="Wednesday"/>
    <s v="Monthly - Wednesday"/>
    <s v="Monthly - Wednesday"/>
    <s v="Same Month Expiry"/>
    <n v="32300"/>
    <n v="5952.62"/>
    <n v="52.03"/>
  </r>
  <r>
    <s v="20-Mar-2026"/>
    <x v="4"/>
    <s v="Week3-Mar-2026"/>
    <x v="6"/>
    <s v="30-Apr-2026"/>
    <s v="Thursday"/>
    <s v="Monthly - Thursday"/>
    <s v="Monthly - Thursday"/>
    <s v="Month+1 Expiry"/>
    <n v="0"/>
    <n v="0"/>
    <n v="0"/>
  </r>
  <r>
    <s v="23-Mar-2026"/>
    <x v="0"/>
    <s v="Week4-Mar-2026"/>
    <x v="6"/>
    <s v="25-Mar-2026"/>
    <s v="Wednesday"/>
    <s v="Monthly - Wednesday"/>
    <s v="Monthly - Wednesday"/>
    <s v="Same Month Expiry"/>
    <n v="18991"/>
    <n v="3429.58"/>
    <n v="31.45"/>
  </r>
  <r>
    <s v="23-Mar-2026"/>
    <x v="0"/>
    <s v="Week4-Mar-2026"/>
    <x v="6"/>
    <s v="30-Apr-2026"/>
    <s v="Thursday"/>
    <s v="Monthly - Thursday"/>
    <s v="Monthly - Thursday"/>
    <s v="Month+1 Expiry"/>
    <n v="2"/>
    <n v="0.39"/>
    <n v="0.02"/>
  </r>
  <r>
    <s v="24-Mar-2026"/>
    <x v="1"/>
    <s v="Week4-Mar-2026"/>
    <x v="6"/>
    <s v="25-Mar-2026"/>
    <s v="Wednesday"/>
    <s v="Monthly - Wednesday"/>
    <s v="Monthly - Wednesday"/>
    <s v="Same Month Expiry"/>
    <n v="68543"/>
    <n v="12214.38"/>
    <n v="59.73"/>
  </r>
  <r>
    <s v="24-Mar-2026"/>
    <x v="1"/>
    <s v="Week4-Mar-2026"/>
    <x v="6"/>
    <s v="30-Apr-2026"/>
    <s v="Thursday"/>
    <s v="Monthly - Thursday"/>
    <s v="Monthly - Thursday"/>
    <s v="Month+1 Expiry"/>
    <n v="1"/>
    <n v="0.19"/>
    <n v="0.01"/>
  </r>
  <r>
    <s v="25-Mar-2026"/>
    <x v="2"/>
    <s v="Week4-Mar-2026"/>
    <x v="6"/>
    <s v="25-Mar-2026"/>
    <s v="Wednesday"/>
    <s v="Monthly - Wednesday"/>
    <s v="Monthly - Wednesday"/>
    <s v="Same Month Expiry"/>
    <n v="5725364"/>
    <n v="1040091.18"/>
    <n v="1143.28"/>
  </r>
  <r>
    <s v="25-Mar-2026"/>
    <x v="2"/>
    <s v="Week4-Mar-2026"/>
    <x v="6"/>
    <s v="30-Apr-2026"/>
    <s v="Thursday"/>
    <s v="Monthly - Thursday"/>
    <s v="Monthly - Thursday"/>
    <s v="Month+1 Expiry"/>
    <n v="12"/>
    <n v="2.19"/>
    <n v="7.0000000000000007E-2"/>
  </r>
  <r>
    <s v="27-Mar-2026"/>
    <x v="4"/>
    <s v="Week4-Mar-2026"/>
    <x v="6"/>
    <s v="30-Apr-2026"/>
    <s v="Thursday"/>
    <s v="Monthly - Thursday"/>
    <s v="Monthly - Thursday"/>
    <s v="Month+1 Expiry"/>
    <n v="122"/>
    <n v="22.62"/>
    <n v="0.65"/>
  </r>
  <r>
    <s v="30-Mar-2026"/>
    <x v="0"/>
    <s v="Week5-Mar-2026"/>
    <x v="6"/>
    <s v="30-Apr-2026"/>
    <s v="Thursday"/>
    <s v="Monthly - Thursday"/>
    <s v="Monthly - Thursday"/>
    <s v="Month+1 Expiry"/>
    <n v="85"/>
    <n v="15.58"/>
    <n v="0.23"/>
  </r>
  <r>
    <s v="30-Mar-2026"/>
    <x v="0"/>
    <s v="Week5-Mar-2026"/>
    <x v="6"/>
    <s v="27-May-2026"/>
    <s v="Wednesday"/>
    <s v="Monthly - Wednesday"/>
    <s v="Monthly - Wednesday"/>
    <s v="Month+2 Expiry"/>
    <n v="10"/>
    <n v="1.72"/>
    <n v="0.04"/>
  </r>
  <r>
    <s v="01-Apr-2026"/>
    <x v="2"/>
    <s v="Week1-Apr-2026"/>
    <x v="7"/>
    <s v="30-Apr-2026"/>
    <s v="Thursday"/>
    <s v="Monthly - Thursday"/>
    <s v="Monthly - Thursday"/>
    <s v="Same Month Expiry"/>
    <n v="650"/>
    <n v="120.18"/>
    <n v="1.88"/>
  </r>
  <r>
    <s v="02-Apr-2026"/>
    <x v="3"/>
    <s v="Week1-Apr-2026"/>
    <x v="7"/>
    <s v="30-Apr-2026"/>
    <s v="Thursday"/>
    <s v="Monthly - Thursday"/>
    <s v="Monthly - Thursday"/>
    <s v="Same Month Expiry"/>
    <n v="1099"/>
    <n v="202.2"/>
    <n v="2.57"/>
  </r>
  <r>
    <s v="02-Apr-2026"/>
    <x v="3"/>
    <s v="Week1-Apr-2026"/>
    <x v="7"/>
    <s v="27-May-2026"/>
    <s v="Wednesday"/>
    <s v="Monthly - Wednesday"/>
    <s v="Monthly - Wednesday"/>
    <s v="Month+1 Expiry"/>
    <n v="2"/>
    <n v="0.32"/>
    <n v="0"/>
  </r>
  <r>
    <s v="06-Apr-2026"/>
    <x v="0"/>
    <s v="Week1-Apr-2026"/>
    <x v="7"/>
    <s v="30-Apr-2026"/>
    <s v="Thursday"/>
    <s v="Monthly - Thursday"/>
    <s v="Monthly - Thursday"/>
    <s v="Same Month Expiry"/>
    <n v="1614"/>
    <n v="293.20999999999998"/>
    <n v="5.32"/>
  </r>
  <r>
    <s v="06-Apr-2026"/>
    <x v="0"/>
    <s v="Week1-Apr-2026"/>
    <x v="7"/>
    <s v="27-May-2026"/>
    <s v="Wednesday"/>
    <s v="Monthly - Wednesday"/>
    <s v="Monthly - Wednesday"/>
    <s v="Month+1 Expiry"/>
    <n v="1"/>
    <n v="0.16"/>
    <n v="0"/>
  </r>
  <r>
    <s v="07-Apr-2026"/>
    <x v="1"/>
    <s v="Week1-Apr-2026"/>
    <x v="7"/>
    <s v="30-Apr-2026"/>
    <s v="Thursday"/>
    <s v="Monthly - Thursday"/>
    <s v="Monthly - Thursday"/>
    <s v="Same Month Expiry"/>
    <n v="1902"/>
    <n v="344.89"/>
    <n v="4.6900000000000004"/>
  </r>
  <r>
    <s v="07-Apr-2026"/>
    <x v="1"/>
    <s v="Week1-Apr-2026"/>
    <x v="7"/>
    <s v="27-May-2026"/>
    <s v="Wednesday"/>
    <s v="Monthly - Wednesday"/>
    <s v="Monthly - Wednesday"/>
    <s v="Month+1 Expiry"/>
    <n v="2"/>
    <n v="0.32"/>
    <n v="0"/>
  </r>
  <r>
    <s v="08-Apr-2026"/>
    <x v="2"/>
    <s v="Week2-Apr-2026"/>
    <x v="7"/>
    <s v="30-Apr-2026"/>
    <s v="Thursday"/>
    <s v="Monthly - Thursday"/>
    <s v="Monthly - Thursday"/>
    <s v="Same Month Expiry"/>
    <n v="432"/>
    <n v="99.8"/>
    <n v="8.9"/>
  </r>
  <r>
    <s v="08-Apr-2026"/>
    <x v="2"/>
    <s v="Week2-Apr-2026"/>
    <x v="7"/>
    <s v="27-May-2026"/>
    <s v="Wednesday"/>
    <s v="Monthly - Wednesday"/>
    <s v="Monthly - Wednesday"/>
    <s v="Month+1 Expiry"/>
    <n v="2"/>
    <n v="0.32"/>
    <n v="0"/>
  </r>
  <r>
    <s v="09-Apr-2026"/>
    <x v="3"/>
    <s v="Week2-Apr-2026"/>
    <x v="7"/>
    <s v="30-Apr-2026"/>
    <s v="Thursday"/>
    <s v="Monthly - Thursday"/>
    <s v="Monthly - Thursday"/>
    <s v="Same Month Expiry"/>
    <n v="3722"/>
    <n v="695.65"/>
    <n v="13.04"/>
  </r>
  <r>
    <s v="10-Apr-2026"/>
    <x v="4"/>
    <s v="Week2-Apr-2026"/>
    <x v="7"/>
    <s v="30-Apr-2026"/>
    <s v="Thursday"/>
    <s v="Monthly - Thursday"/>
    <s v="Monthly - Thursday"/>
    <s v="Same Month Expiry"/>
    <n v="2442"/>
    <n v="462.41"/>
    <n v="8.27"/>
  </r>
  <r>
    <s v="13-Apr-2026"/>
    <x v="0"/>
    <s v="Week2-Apr-2026"/>
    <x v="7"/>
    <s v="30-Apr-2026"/>
    <s v="Thursday"/>
    <s v="Monthly - Thursday"/>
    <s v="Monthly - Thursday"/>
    <s v="Same Month Expiry"/>
    <n v="2547"/>
    <n v="479.51"/>
    <n v="6.97"/>
  </r>
  <r>
    <s v="15-Apr-2026"/>
    <x v="2"/>
    <s v="Week3-Apr-2026"/>
    <x v="7"/>
    <s v="30-Apr-2026"/>
    <s v="Thursday"/>
    <s v="Monthly - Thursday"/>
    <s v="Monthly - Thursday"/>
    <s v="Same Month Expiry"/>
    <n v="2117"/>
    <n v="409.79"/>
    <n v="5.6"/>
  </r>
  <r>
    <s v="15-Apr-2026"/>
    <x v="2"/>
    <s v="Week3-Apr-2026"/>
    <x v="7"/>
    <s v="27-May-2026"/>
    <s v="Wednesday"/>
    <s v="Monthly - Wednesday"/>
    <s v="Monthly - Wednesday"/>
    <s v="Month+1 Expiry"/>
    <n v="1"/>
    <n v="0.23"/>
    <n v="0"/>
  </r>
  <r>
    <s v="16-Apr-2026"/>
    <x v="3"/>
    <s v="Week3-Apr-2026"/>
    <x v="7"/>
    <s v="30-Apr-2026"/>
    <s v="Thursday"/>
    <s v="Monthly - Thursday"/>
    <s v="Monthly - Thursday"/>
    <s v="Same Month Expiry"/>
    <n v="2245"/>
    <n v="423.93"/>
    <n v="4.9400000000000004"/>
  </r>
  <r>
    <s v="16-Apr-2026"/>
    <x v="3"/>
    <s v="Week3-Apr-2026"/>
    <x v="7"/>
    <s v="27-May-2026"/>
    <s v="Wednesday"/>
    <s v="Monthly - Wednesday"/>
    <s v="Monthly - Wednesday"/>
    <s v="Month+1 Expiry"/>
    <n v="2"/>
    <n v="0.41"/>
    <n v="0"/>
  </r>
  <r>
    <s v="17-Apr-2026"/>
    <x v="4"/>
    <s v="Week3-Apr-2026"/>
    <x v="7"/>
    <s v="30-Apr-2026"/>
    <s v="Thursday"/>
    <s v="Monthly - Thursday"/>
    <s v="Monthly - Thursday"/>
    <s v="Same Month Expiry"/>
    <n v="2554"/>
    <n v="472.28"/>
    <n v="4.16"/>
  </r>
  <r>
    <s v="17-Apr-2026"/>
    <x v="4"/>
    <s v="Week3-Apr-2026"/>
    <x v="7"/>
    <s v="27-May-2026"/>
    <s v="Wednesday"/>
    <s v="Monthly - Wednesday"/>
    <s v="Monthly - Wednesday"/>
    <s v="Month+1 Expiry"/>
    <n v="0"/>
    <n v="0"/>
    <n v="0"/>
  </r>
  <r>
    <s v="20-Apr-2026"/>
    <x v="0"/>
    <s v="Week3-Apr-2026"/>
    <x v="7"/>
    <s v="30-Apr-2026"/>
    <s v="Thursday"/>
    <s v="Monthly - Thursday"/>
    <s v="Monthly - Thursday"/>
    <s v="Same Month Expiry"/>
    <n v="5563"/>
    <n v="1054.5999999999999"/>
    <n v="11.07"/>
  </r>
  <r>
    <s v="20-Apr-2026"/>
    <x v="0"/>
    <s v="Week3-Apr-2026"/>
    <x v="7"/>
    <s v="27-May-2026"/>
    <s v="Wednesday"/>
    <s v="Monthly - Wednesday"/>
    <s v="Monthly - Wednesday"/>
    <s v="Month+1 Expiry"/>
    <n v="1"/>
    <n v="0.2"/>
    <n v="0"/>
  </r>
  <r>
    <s v="21-Apr-2026"/>
    <x v="1"/>
    <s v="Week3-Apr-2026"/>
    <x v="7"/>
    <s v="30-Apr-2026"/>
    <s v="Thursday"/>
    <s v="Monthly - Thursday"/>
    <s v="Monthly - Thursday"/>
    <s v="Same Month Expiry"/>
    <n v="3779"/>
    <n v="722.81"/>
    <n v="7.96"/>
  </r>
  <r>
    <s v="21-Apr-2026"/>
    <x v="1"/>
    <s v="Week3-Apr-2026"/>
    <x v="7"/>
    <s v="27-May-2026"/>
    <s v="Wednesday"/>
    <s v="Monthly - Wednesday"/>
    <s v="Monthly - Wednesday"/>
    <s v="Month+1 Expiry"/>
    <n v="2"/>
    <n v="0.47"/>
    <n v="0"/>
  </r>
  <r>
    <s v="22-Apr-2026"/>
    <x v="2"/>
    <s v="Week4-Apr-2026"/>
    <x v="7"/>
    <s v="30-Apr-2026"/>
    <s v="Thursday"/>
    <s v="Monthly - Thursday"/>
    <s v="Monthly - Thursday"/>
    <s v="Same Month Expiry"/>
    <n v="4622"/>
    <n v="889.63"/>
    <n v="8.49"/>
  </r>
  <r>
    <s v="22-Apr-2026"/>
    <x v="2"/>
    <s v="Week4-Apr-2026"/>
    <x v="7"/>
    <s v="27-May-2026"/>
    <s v="Wednesday"/>
    <s v="Monthly - Wednesday"/>
    <s v="Monthly - Wednesday"/>
    <s v="Month+1 Expiry"/>
    <n v="3"/>
    <n v="0.63"/>
    <n v="0"/>
  </r>
  <r>
    <s v="23-Apr-2026"/>
    <x v="3"/>
    <s v="Week4-Apr-2026"/>
    <x v="7"/>
    <s v="30-Apr-2026"/>
    <s v="Thursday"/>
    <s v="Monthly - Thursday"/>
    <s v="Monthly - Thursday"/>
    <s v="Same Month Expiry"/>
    <n v="5464"/>
    <n v="1048.5"/>
    <n v="9.3800000000000008"/>
  </r>
  <r>
    <s v="23-Apr-2026"/>
    <x v="3"/>
    <s v="Week4-Apr-2026"/>
    <x v="7"/>
    <s v="27-May-2026"/>
    <s v="Wednesday"/>
    <s v="Monthly - Wednesday"/>
    <s v="Monthly - Wednesday"/>
    <s v="Month+1 Expiry"/>
    <n v="1"/>
    <n v="0.2"/>
    <n v="0.01"/>
  </r>
  <r>
    <s v="24-Apr-2026"/>
    <x v="4"/>
    <s v="Week4-Apr-2026"/>
    <x v="7"/>
    <s v="30-Apr-2026"/>
    <s v="Thursday"/>
    <s v="Monthly - Thursday"/>
    <s v="Monthly - Thursday"/>
    <s v="Same Month Expiry"/>
    <n v="7159"/>
    <n v="1368.19"/>
    <n v="10.34"/>
  </r>
  <r>
    <s v="24-Apr-2026"/>
    <x v="4"/>
    <s v="Week4-Apr-2026"/>
    <x v="7"/>
    <s v="27-May-2026"/>
    <s v="Wednesday"/>
    <s v="Monthly - Wednesday"/>
    <s v="Monthly - Wednesday"/>
    <s v="Month+1 Expiry"/>
    <n v="5"/>
    <n v="1.04"/>
    <n v="0"/>
  </r>
  <r>
    <s v="27-Apr-2026"/>
    <x v="0"/>
    <s v="Week4-Apr-2026"/>
    <x v="7"/>
    <s v="30-Apr-2026"/>
    <s v="Thursday"/>
    <s v="Monthly - Thursday"/>
    <s v="Monthly - Thursday"/>
    <s v="Same Month Expiry"/>
    <n v="17004"/>
    <n v="3235.43"/>
    <n v="18.100000000000001"/>
  </r>
  <r>
    <s v="27-Apr-2026"/>
    <x v="0"/>
    <s v="Week4-Apr-2026"/>
    <x v="7"/>
    <s v="27-May-2026"/>
    <s v="Wednesday"/>
    <s v="Monthly - Wednesday"/>
    <s v="Monthly - Wednesday"/>
    <s v="Month+1 Expiry"/>
    <n v="0"/>
    <n v="0"/>
    <n v="0"/>
  </r>
  <r>
    <s v="28-Apr-2026"/>
    <x v="1"/>
    <s v="Week4-Apr-2026"/>
    <x v="7"/>
    <s v="30-Apr-2026"/>
    <s v="Thursday"/>
    <s v="Monthly - Thursday"/>
    <s v="Monthly - Thursday"/>
    <s v="Same Month Expiry"/>
    <n v="21677"/>
    <n v="4086.75"/>
    <n v="16.45"/>
  </r>
  <r>
    <s v="28-Apr-2026"/>
    <x v="1"/>
    <s v="Week4-Apr-2026"/>
    <x v="7"/>
    <s v="27-May-2026"/>
    <s v="Wednesday"/>
    <s v="Monthly - Wednesday"/>
    <s v="Monthly - Wednesday"/>
    <s v="Month+1 Expiry"/>
    <n v="27"/>
    <n v="5.29"/>
    <n v="0.06"/>
  </r>
  <r>
    <s v="29-Apr-2026"/>
    <x v="2"/>
    <s v="Week5-Apr-2026"/>
    <x v="7"/>
    <s v="30-Apr-2026"/>
    <s v="Thursday"/>
    <s v="Monthly - Thursday"/>
    <s v="Monthly - Thursday"/>
    <s v="Same Month Expiry"/>
    <n v="781125"/>
    <n v="147222.04999999999"/>
    <n v="365.8"/>
  </r>
  <r>
    <s v="29-Apr-2026"/>
    <x v="2"/>
    <s v="Week5-Apr-2026"/>
    <x v="7"/>
    <s v="27-May-2026"/>
    <s v="Wednesday"/>
    <s v="Monthly - Wednesday"/>
    <s v="Monthly - Wednesday"/>
    <s v="Month+1 Expiry"/>
    <n v="24"/>
    <n v="4.63"/>
    <n v="0.05"/>
  </r>
  <r>
    <s v="30-Apr-2026"/>
    <x v="3"/>
    <s v="Week5-Apr-2026"/>
    <x v="7"/>
    <s v="30-Apr-2026"/>
    <s v="Thursday"/>
    <s v="Monthly - Thursday"/>
    <s v="Monthly - Thursday"/>
    <s v="Same Month Expiry"/>
    <n v="6877305"/>
    <n v="1273870.3899999999"/>
    <n v="1194.51"/>
  </r>
  <r>
    <s v="30-Apr-2026"/>
    <x v="3"/>
    <s v="Week5-Apr-2026"/>
    <x v="7"/>
    <s v="27-May-2026"/>
    <s v="Wednesday"/>
    <s v="Monthly - Wednesday"/>
    <s v="Monthly - Wednesday"/>
    <s v="Month+1 Expiry"/>
    <n v="400"/>
    <n v="65.89"/>
    <n v="0.28999999999999998"/>
  </r>
  <r>
    <s v="04-May-2026"/>
    <x v="0"/>
    <s v="Week1-May-2026"/>
    <x v="8"/>
    <s v="27-May-2026"/>
    <s v="Wednesday"/>
    <s v="Monthly - Wednesday"/>
    <s v="Monthly - Wednesday"/>
    <s v="Same Month Expiry"/>
    <n v="828"/>
    <n v="155.30000000000001"/>
    <n v="1.24"/>
  </r>
  <r>
    <s v="05-May-2026"/>
    <x v="1"/>
    <s v="Week1-May-2026"/>
    <x v="8"/>
    <s v="27-May-2026"/>
    <s v="Wednesday"/>
    <s v="Monthly - Wednesday"/>
    <s v="Monthly - Wednesday"/>
    <s v="Same Month Expiry"/>
    <n v="1376"/>
    <n v="260.94"/>
    <n v="3.32"/>
  </r>
  <r>
    <s v="06-May-2026"/>
    <x v="2"/>
    <s v="Week1-May-2026"/>
    <x v="8"/>
    <s v="27-May-2026"/>
    <s v="Wednesday"/>
    <s v="Monthly - Wednesday"/>
    <s v="Monthly - Wednesday"/>
    <s v="Same Month Expiry"/>
    <n v="3073"/>
    <n v="581.25"/>
    <n v="7.09"/>
  </r>
  <r>
    <s v="06-May-2026"/>
    <x v="2"/>
    <s v="Week1-May-2026"/>
    <x v="8"/>
    <s v="25-Jun-2026"/>
    <s v="Thursday"/>
    <s v="Monthly - Thursday"/>
    <s v="Monthly - Thursday"/>
    <s v="Month+1 Expiry"/>
    <n v="4"/>
    <n v="0.78"/>
    <n v="0.01"/>
  </r>
  <r>
    <s v="07-May-2026"/>
    <x v="3"/>
    <s v="Week1-May-2026"/>
    <x v="8"/>
    <s v="27-May-2026"/>
    <s v="Wednesday"/>
    <s v="Monthly - Wednesday"/>
    <s v="Monthly - Wednesday"/>
    <s v="Same Month Expiry"/>
    <n v="1664"/>
    <n v="316.56"/>
    <n v="3.62"/>
  </r>
  <r>
    <s v="07-May-2026"/>
    <x v="3"/>
    <s v="Week1-May-2026"/>
    <x v="8"/>
    <s v="25-Jun-2026"/>
    <s v="Thursday"/>
    <s v="Monthly - Thursday"/>
    <s v="Monthly - Thursday"/>
    <s v="Month+1 Expiry"/>
    <n v="0"/>
    <n v="0"/>
    <n v="0"/>
  </r>
  <r>
    <s v="08-May-2026"/>
    <x v="4"/>
    <s v="Week2-May-2026"/>
    <x v="8"/>
    <s v="27-May-2026"/>
    <s v="Wednesday"/>
    <s v="Monthly - Wednesday"/>
    <s v="Monthly - Wednesday"/>
    <s v="Same Month Expiry"/>
    <n v="2742"/>
    <n v="516.87"/>
    <n v="6.64"/>
  </r>
  <r>
    <s v="08-May-2026"/>
    <x v="4"/>
    <s v="Week2-May-2026"/>
    <x v="8"/>
    <s v="25-Jun-2026"/>
    <s v="Thursday"/>
    <s v="Monthly - Thursday"/>
    <s v="Monthly - Thursday"/>
    <s v="Month+1 Expiry"/>
    <n v="0"/>
    <n v="0"/>
    <n v="0"/>
  </r>
  <r>
    <s v="11-May-2026"/>
    <x v="0"/>
    <s v="Week2-May-2026"/>
    <x v="8"/>
    <s v="27-May-2026"/>
    <s v="Wednesday"/>
    <s v="Monthly - Wednesday"/>
    <s v="Monthly - Wednesday"/>
    <s v="Same Month Expiry"/>
    <n v="1747"/>
    <n v="311.44"/>
    <n v="2.17"/>
  </r>
  <r>
    <s v="11-May-2026"/>
    <x v="0"/>
    <s v="Week2-May-2026"/>
    <x v="8"/>
    <s v="25-Jun-2026"/>
    <s v="Thursday"/>
    <s v="Monthly - Thursday"/>
    <s v="Monthly - Thursday"/>
    <s v="Month+1 Expiry"/>
    <n v="0"/>
    <n v="0"/>
    <n v="0"/>
  </r>
  <r>
    <s v="12-May-2026"/>
    <x v="1"/>
    <s v="Week2-May-2026"/>
    <x v="8"/>
    <s v="27-May-2026"/>
    <s v="Wednesday"/>
    <s v="Monthly - Wednesday"/>
    <s v="Monthly - Wednesday"/>
    <s v="Same Month Expiry"/>
    <n v="1389"/>
    <n v="245.76"/>
    <n v="1.51"/>
  </r>
  <r>
    <s v="12-May-2026"/>
    <x v="1"/>
    <s v="Week2-May-2026"/>
    <x v="8"/>
    <s v="25-Jun-2026"/>
    <s v="Thursday"/>
    <s v="Monthly - Thursday"/>
    <s v="Monthly - Thursday"/>
    <s v="Month+1 Expiry"/>
    <n v="0"/>
    <n v="0"/>
    <n v="0"/>
  </r>
  <r>
    <s v="13-May-2026"/>
    <x v="2"/>
    <s v="Week2-May-2026"/>
    <x v="8"/>
    <s v="27-May-2026"/>
    <s v="Wednesday"/>
    <s v="Monthly - Wednesday"/>
    <s v="Monthly - Wednesday"/>
    <s v="Same Month Expiry"/>
    <n v="3893"/>
    <n v="672.23"/>
    <n v="3.9"/>
  </r>
  <r>
    <s v="13-May-2026"/>
    <x v="2"/>
    <s v="Week2-May-2026"/>
    <x v="8"/>
    <s v="25-Jun-2026"/>
    <s v="Thursday"/>
    <s v="Monthly - Thursday"/>
    <s v="Monthly - Thursday"/>
    <s v="Month+1 Expiry"/>
    <n v="0"/>
    <n v="0"/>
    <n v="0"/>
  </r>
  <r>
    <s v="14-May-2026"/>
    <x v="3"/>
    <s v="Week2-May-2026"/>
    <x v="8"/>
    <s v="27-May-2026"/>
    <s v="Wednesday"/>
    <s v="Monthly - Wednesday"/>
    <s v="Monthly - Wednesday"/>
    <s v="Same Month Expiry"/>
    <n v="6178"/>
    <n v="1097"/>
    <n v="9.8000000000000007"/>
  </r>
  <r>
    <s v="14-May-2026"/>
    <x v="3"/>
    <s v="Week2-May-2026"/>
    <x v="8"/>
    <s v="25-Jun-2026"/>
    <s v="Thursday"/>
    <s v="Monthly - Thursday"/>
    <s v="Monthly - Thursday"/>
    <s v="Month+1 Expiry"/>
    <n v="0"/>
    <n v="0"/>
    <n v="0"/>
  </r>
  <r>
    <s v="15-May-2026"/>
    <x v="4"/>
    <s v="Week3-May-2026"/>
    <x v="8"/>
    <s v="27-May-2026"/>
    <s v="Wednesday"/>
    <s v="Monthly - Wednesday"/>
    <s v="Monthly - Wednesday"/>
    <s v="Same Month Expiry"/>
    <n v="6654"/>
    <n v="1175.26"/>
    <n v="10.15"/>
  </r>
  <r>
    <s v="15-May-2026"/>
    <x v="4"/>
    <s v="Week3-May-2026"/>
    <x v="8"/>
    <s v="25-Jun-2026"/>
    <s v="Thursday"/>
    <s v="Monthly - Thursday"/>
    <s v="Monthly - Thursday"/>
    <s v="Month+1 Expiry"/>
    <n v="2"/>
    <n v="0.38"/>
    <n v="0.01"/>
  </r>
  <r>
    <s v="18-May-2026"/>
    <x v="0"/>
    <s v="Week3-May-2026"/>
    <x v="8"/>
    <s v="27-May-2026"/>
    <s v="Wednesday"/>
    <s v="Monthly - Wednesday"/>
    <s v="Monthly - Wednesday"/>
    <s v="Same Month Expiry"/>
    <n v="5130"/>
    <n v="901.24"/>
    <n v="8.7200000000000006"/>
  </r>
  <r>
    <s v="18-May-2026"/>
    <x v="0"/>
    <s v="Week3-May-2026"/>
    <x v="8"/>
    <s v="25-Jun-2026"/>
    <s v="Thursday"/>
    <s v="Monthly - Thursday"/>
    <s v="Monthly - Thursday"/>
    <s v="Month+1 Expiry"/>
    <n v="0"/>
    <n v="0"/>
    <n v="0"/>
  </r>
  <r>
    <s v="19-May-2026"/>
    <x v="1"/>
    <s v="Week3-May-2026"/>
    <x v="8"/>
    <s v="27-May-2026"/>
    <s v="Wednesday"/>
    <s v="Monthly - Wednesday"/>
    <s v="Monthly - Wednesday"/>
    <s v="Same Month Expiry"/>
    <n v="6964"/>
    <n v="1219.48"/>
    <n v="10.7"/>
  </r>
  <r>
    <s v="19-May-2026"/>
    <x v="1"/>
    <s v="Week3-May-2026"/>
    <x v="8"/>
    <s v="25-Jun-2026"/>
    <s v="Thursday"/>
    <s v="Monthly - Thursday"/>
    <s v="Monthly - Thursday"/>
    <s v="Month+1 Expiry"/>
    <n v="3"/>
    <n v="0.65"/>
    <n v="0"/>
  </r>
  <r>
    <s v="20-May-2026"/>
    <x v="2"/>
    <s v="Week3-May-2026"/>
    <x v="8"/>
    <s v="27-May-2026"/>
    <s v="Wednesday"/>
    <s v="Monthly - Wednesday"/>
    <s v="Monthly - Wednesday"/>
    <s v="Same Month Expiry"/>
    <n v="4771"/>
    <n v="836.41"/>
    <n v="7.04"/>
  </r>
  <r>
    <s v="20-May-2026"/>
    <x v="2"/>
    <s v="Week3-May-2026"/>
    <x v="8"/>
    <s v="25-Jun-2026"/>
    <s v="Thursday"/>
    <s v="Monthly - Thursday"/>
    <s v="Monthly - Thursday"/>
    <s v="Month+1 Expiry"/>
    <n v="7"/>
    <n v="1.48"/>
    <n v="0.01"/>
  </r>
  <r>
    <s v="21-May-2026"/>
    <x v="3"/>
    <s v="Week3-May-2026"/>
    <x v="8"/>
    <s v="27-May-2026"/>
    <s v="Wednesday"/>
    <s v="Monthly - Wednesday"/>
    <s v="Monthly - Wednesday"/>
    <s v="Same Month Expiry"/>
    <n v="10940"/>
    <n v="1940.1"/>
    <n v="13.01"/>
  </r>
  <r>
    <s v="21-May-2026"/>
    <x v="3"/>
    <s v="Week3-May-2026"/>
    <x v="8"/>
    <s v="25-Jun-2026"/>
    <s v="Thursday"/>
    <s v="Monthly - Thursday"/>
    <s v="Monthly - Thursday"/>
    <s v="Month+1 Expiry"/>
    <n v="1"/>
    <n v="0.17"/>
    <n v="0"/>
  </r>
  <r>
    <s v="22-May-2026"/>
    <x v="4"/>
    <s v="Week4-May-2026"/>
    <x v="8"/>
    <s v="27-May-2026"/>
    <s v="Wednesday"/>
    <s v="Monthly - Wednesday"/>
    <s v="Monthly - Wednesday"/>
    <s v="Same Month Expiry"/>
    <n v="11023"/>
    <n v="1955.22"/>
    <n v="9.2100000000000009"/>
  </r>
  <r>
    <s v="22-May-2026"/>
    <x v="4"/>
    <s v="Week4-May-2026"/>
    <x v="8"/>
    <s v="25-Jun-2026"/>
    <s v="Thursday"/>
    <s v="Monthly - Thursday"/>
    <s v="Monthly - Thursday"/>
    <s v="Month+1 Expiry"/>
    <n v="0"/>
    <n v="0"/>
    <n v="0"/>
  </r>
  <r>
    <s v="25-May-2026"/>
    <x v="0"/>
    <s v="Week4-May-2026"/>
    <x v="8"/>
    <s v="27-May-2026"/>
    <s v="Wednesday"/>
    <s v="Monthly - Wednesday"/>
    <s v="Monthly - Wednesday"/>
    <s v="Same Month Expiry"/>
    <n v="14856"/>
    <n v="2718.5"/>
    <n v="11.46"/>
  </r>
  <r>
    <s v="25-May-2026"/>
    <x v="0"/>
    <s v="Week4-May-2026"/>
    <x v="8"/>
    <s v="25-Jun-2026"/>
    <s v="Thursday"/>
    <s v="Monthly - Thursday"/>
    <s v="Monthly - Thursday"/>
    <s v="Month+1 Expiry"/>
    <n v="8"/>
    <n v="1.23"/>
    <n v="0"/>
  </r>
  <r>
    <s v="26-May-2026"/>
    <x v="1"/>
    <s v="Week4-May-2026"/>
    <x v="8"/>
    <s v="27-May-2026"/>
    <s v="Wednesday"/>
    <s v="Monthly - Wednesday"/>
    <s v="Monthly - Wednesday"/>
    <s v="Same Month Expiry"/>
    <n v="56880"/>
    <n v="10609.84"/>
    <n v="29.59"/>
  </r>
  <r>
    <s v="26-May-2026"/>
    <x v="1"/>
    <s v="Week4-May-2026"/>
    <x v="8"/>
    <s v="25-Jun-2026"/>
    <s v="Thursday"/>
    <s v="Monthly - Thursday"/>
    <s v="Monthly - Thursday"/>
    <s v="Month+1 Expiry"/>
    <n v="145"/>
    <n v="27.36"/>
    <n v="0.44"/>
  </r>
  <r>
    <s v="27-May-2026"/>
    <x v="2"/>
    <s v="Week4-May-2026"/>
    <x v="8"/>
    <s v="27-May-2026"/>
    <s v="Wednesday"/>
    <s v="Monthly - Wednesday"/>
    <s v="Monthly - Wednesday"/>
    <s v="Same Month Expiry"/>
    <n v="6532534"/>
    <n v="1214490.1299999999"/>
    <n v="1019.84"/>
  </r>
  <r>
    <s v="27-May-2026"/>
    <x v="2"/>
    <s v="Week4-May-2026"/>
    <x v="8"/>
    <s v="25-Jun-2026"/>
    <s v="Thursday"/>
    <s v="Monthly - Thursday"/>
    <s v="Monthly - Thursday"/>
    <s v="Month+1 Expiry"/>
    <n v="236"/>
    <n v="41.4"/>
    <n v="0.77"/>
  </r>
  <r>
    <s v="29-May-2026"/>
    <x v="4"/>
    <s v="Week5-May-2026"/>
    <x v="8"/>
    <s v="25-Jun-2026"/>
    <s v="Thursday"/>
    <s v="Monthly - Thursday"/>
    <s v="Monthly - Thursday"/>
    <s v="Month+1 Expiry"/>
    <n v="2579"/>
    <n v="474.03"/>
    <n v="7.36"/>
  </r>
  <r>
    <s v="01-Jun-2026"/>
    <x v="0"/>
    <s v="Week1-Jun-2026"/>
    <x v="9"/>
    <s v="25-Jun-2026"/>
    <s v="Thursday"/>
    <s v="Monthly - Thursday"/>
    <s v="Monthly - Thursday"/>
    <s v="Same Month Expiry"/>
    <n v="2492"/>
    <n v="449.35"/>
    <n v="7.19"/>
  </r>
  <r>
    <s v="02-Jun-2026"/>
    <x v="1"/>
    <s v="Week1-Jun-2026"/>
    <x v="9"/>
    <s v="25-Jun-2026"/>
    <s v="Thursday"/>
    <s v="Monthly - Thursday"/>
    <s v="Monthly - Thursday"/>
    <s v="Same Month Expiry"/>
    <n v="2671"/>
    <n v="470.07"/>
    <n v="6.32"/>
  </r>
  <r>
    <s v="03-Jun-2026"/>
    <x v="2"/>
    <s v="Week1-Jun-2026"/>
    <x v="9"/>
    <s v="25-Jun-2026"/>
    <s v="Thursday"/>
    <s v="Monthly - Thursday"/>
    <s v="Monthly - Thursday"/>
    <s v="Same Month Expiry"/>
    <n v="4996"/>
    <n v="884.15"/>
    <n v="12.96"/>
  </r>
  <r>
    <s v="04-Jun-2026"/>
    <x v="3"/>
    <s v="Week1-Jun-2026"/>
    <x v="9"/>
    <s v="25-Jun-2026"/>
    <s v="Thursday"/>
    <s v="Monthly - Thursday"/>
    <s v="Monthly - Thursday"/>
    <s v="Same Month Expiry"/>
    <n v="2962"/>
    <n v="536.69000000000005"/>
    <n v="7.98"/>
  </r>
  <r>
    <s v="05-Jun-2026"/>
    <x v="4"/>
    <s v="Week1-Jun-2026"/>
    <x v="9"/>
    <s v="25-Jun-2026"/>
    <s v="Thursday"/>
    <s v="Monthly - Thursday"/>
    <s v="Monthly - Thursday"/>
    <s v="Same Month Expiry"/>
    <n v="5449"/>
    <n v="1008.55"/>
    <n v="14.19"/>
  </r>
  <r>
    <s v="08-Jun-2026"/>
    <x v="0"/>
    <s v="Week2-Jun-2026"/>
    <x v="9"/>
    <s v="25-Jun-2026"/>
    <s v="Thursday"/>
    <s v="Monthly - Thursday"/>
    <s v="Monthly - Thursday"/>
    <s v="Same Month Expiry"/>
    <n v="2927"/>
    <n v="534.95000000000005"/>
    <n v="6.84"/>
  </r>
  <r>
    <s v="09-Jun-2026"/>
    <x v="1"/>
    <s v="Week2-Jun-2026"/>
    <x v="9"/>
    <s v="25-Jun-2026"/>
    <s v="Thursday"/>
    <s v="Monthly - Thursday"/>
    <s v="Monthly - Thursday"/>
    <s v="Same Month Expiry"/>
    <n v="5829"/>
    <n v="1022.77"/>
    <n v="6.78"/>
  </r>
  <r>
    <s v="10-Jun-2026"/>
    <x v="2"/>
    <s v="Week2-Jun-2026"/>
    <x v="9"/>
    <s v="25-Jun-2026"/>
    <s v="Thursday"/>
    <s v="Monthly - Thursday"/>
    <s v="Monthly - Thursday"/>
    <s v="Same Month Expiry"/>
    <n v="3225"/>
    <n v="596.67999999999995"/>
    <n v="5.76"/>
  </r>
  <r>
    <s v="11-Jun-2026"/>
    <x v="3"/>
    <s v="Week2-Jun-2026"/>
    <x v="9"/>
    <s v="25-Jun-2026"/>
    <s v="Thursday"/>
    <s v="Monthly - Thursday"/>
    <s v="Monthly - Thursday"/>
    <s v="Same Month Expiry"/>
    <n v="4118"/>
    <n v="753.72"/>
    <n v="7.81"/>
  </r>
  <r>
    <s v="12-Jun-2026"/>
    <x v="4"/>
    <s v="Week2-Jun-2026"/>
    <x v="9"/>
    <s v="25-Jun-2026"/>
    <s v="Thursday"/>
    <s v="Monthly - Thursday"/>
    <s v="Monthly - Thursday"/>
    <s v="Same Month Expiry"/>
    <n v="6419"/>
    <n v="1162.3599999999999"/>
    <n v="6.77"/>
  </r>
  <r>
    <s v="15-Jun-2026"/>
    <x v="0"/>
    <s v="Week3-Jun-2026"/>
    <x v="9"/>
    <s v="25-Jun-2026"/>
    <s v="Thursday"/>
    <s v="Monthly - Thursday"/>
    <s v="Monthly - Thursday"/>
    <s v="Same Month Expiry"/>
    <n v="4515"/>
    <n v="844.82"/>
    <n v="7.28"/>
  </r>
  <r>
    <s v="16-Jun-2026"/>
    <x v="1"/>
    <s v="Week3-Jun-2026"/>
    <x v="9"/>
    <s v="25-Jun-2026"/>
    <s v="Thursday"/>
    <s v="Monthly - Thursday"/>
    <s v="Monthly - Thursday"/>
    <s v="Same Month Expiry"/>
    <n v="4725"/>
    <n v="877.51"/>
    <n v="6.47"/>
  </r>
  <r>
    <s v="17-Jun-2026"/>
    <x v="2"/>
    <s v="Week3-Jun-2026"/>
    <x v="9"/>
    <s v="25-Jun-2026"/>
    <s v="Thursday"/>
    <s v="Monthly - Thursday"/>
    <s v="Monthly - Thursday"/>
    <s v="Same Month Expiry"/>
    <n v="6611"/>
    <n v="1249.17"/>
    <n v="7.42"/>
  </r>
  <r>
    <s v="18-Jun-2026"/>
    <x v="3"/>
    <s v="Week3-Jun-2026"/>
    <x v="9"/>
    <s v="25-Jun-2026"/>
    <s v="Thursday"/>
    <s v="Monthly - Thursday"/>
    <s v="Monthly - Thursday"/>
    <s v="Same Month Expiry"/>
    <n v="10049"/>
    <n v="1855.7"/>
    <n v="10.1"/>
  </r>
  <r>
    <s v="19-Jun-2026"/>
    <x v="4"/>
    <s v="Week3-Jun-2026"/>
    <x v="9"/>
    <s v="25-Jun-2026"/>
    <s v="Thursday"/>
    <s v="Monthly - Thursday"/>
    <s v="Monthly - Thursday"/>
    <s v="Same Month Expiry"/>
    <n v="19264"/>
    <n v="3449.43"/>
    <n v="15.74"/>
  </r>
  <r>
    <s v="22-Jun-2026"/>
    <x v="0"/>
    <s v="Week4-Jun-2026"/>
    <x v="9"/>
    <s v="25-Jun-2026"/>
    <s v="Thursday"/>
    <s v="Monthly - Thursday"/>
    <s v="Monthly - Thursday"/>
    <s v="Same Month Expiry"/>
    <n v="17827"/>
    <n v="3294.51"/>
    <n v="11.91"/>
  </r>
  <r>
    <s v="23-Jun-2026"/>
    <x v="1"/>
    <s v="Week4-Jun-2026"/>
    <x v="9"/>
    <s v="25-Jun-2026"/>
    <s v="Thursday"/>
    <s v="Monthly - Thursday"/>
    <s v="Monthly - Thursday"/>
    <s v="Same Month Expiry"/>
    <n v="35145"/>
    <n v="6663.42"/>
    <n v="23.47"/>
  </r>
  <r>
    <s v="23-Jun-2026"/>
    <x v="1"/>
    <s v="Week4-Jun-2026"/>
    <x v="9"/>
    <s v="30-Jul-2026"/>
    <s v="Thursday"/>
    <s v="Monthly - Thursday"/>
    <s v="Monthly - Thursday"/>
    <s v="Month+1 Expiry"/>
    <n v="123"/>
    <n v="19.03"/>
    <n v="0.67"/>
  </r>
  <r>
    <s v="24-Jun-2026"/>
    <x v="2"/>
    <s v="Week4-Jun-2026"/>
    <x v="9"/>
    <s v="25-Jun-2026"/>
    <s v="Thursday"/>
    <s v="Monthly - Thursday"/>
    <s v="Monthly - Thursday"/>
    <s v="Same Month Expiry"/>
    <n v="584158"/>
    <n v="114441.38"/>
    <n v="266.75"/>
  </r>
  <r>
    <s v="24-Jun-2026"/>
    <x v="2"/>
    <s v="Week4-Jun-2026"/>
    <x v="9"/>
    <s v="30-Jul-2026"/>
    <s v="Thursday"/>
    <s v="Monthly - Thursday"/>
    <s v="Monthly - Thursday"/>
    <s v="Month+1 Expiry"/>
    <n v="364"/>
    <n v="63.21"/>
    <n v="1.26"/>
  </r>
  <r>
    <s v="25-Jun-2026"/>
    <x v="3"/>
    <s v="Week4-Jun-2026"/>
    <x v="9"/>
    <s v="25-Jun-2026"/>
    <s v="Thursday"/>
    <s v="Monthly - Thursday"/>
    <s v="Monthly - Thursday"/>
    <s v="Same Month Expiry"/>
    <n v="6959031"/>
    <n v="1373884.88"/>
    <n v="1069.27"/>
  </r>
  <r>
    <s v="25-Jun-2026"/>
    <x v="3"/>
    <s v="Week4-Jun-2026"/>
    <x v="9"/>
    <s v="30-Jul-2026"/>
    <s v="Thursday"/>
    <s v="Monthly - Thursday"/>
    <s v="Monthly - Thursday"/>
    <s v="Month+1 Expiry"/>
    <n v="876"/>
    <n v="151.94"/>
    <n v="1.33"/>
  </r>
  <r>
    <s v="29-Jun-2026"/>
    <x v="0"/>
    <s v="Week5-Jun-2026"/>
    <x v="9"/>
    <s v="30-Jul-2026"/>
    <s v="Thursday"/>
    <s v="Monthly - Thursday"/>
    <s v="Monthly - Thursday"/>
    <s v="Month+1 Expiry"/>
    <n v="1472"/>
    <n v="270.83"/>
    <n v="4.2300000000000004"/>
  </r>
  <r>
    <s v="30-Jun-2026"/>
    <x v="1"/>
    <s v="Week5-Jun-2026"/>
    <x v="9"/>
    <s v="30-Jul-2026"/>
    <s v="Thursday"/>
    <s v="Monthly - Thursday"/>
    <s v="Monthly - Thursday"/>
    <s v="Month+1 Expiry"/>
    <n v="2019"/>
    <n v="340.11"/>
    <n v="4.6900000000000004"/>
  </r>
  <r>
    <s v="01-Jul-2026"/>
    <x v="2"/>
    <s v="Week1-Jul-2026"/>
    <x v="10"/>
    <s v="30-Jul-2026"/>
    <s v="Thursday"/>
    <s v="Monthly - Thursday"/>
    <s v="Monthly - Thursday"/>
    <s v="Same Month Expiry"/>
    <n v="2665"/>
    <n v="461.63"/>
    <n v="8.41"/>
  </r>
  <r>
    <s v="02-Jul-2026"/>
    <x v="3"/>
    <s v="Week1-Jul-2026"/>
    <x v="10"/>
    <s v="30-Jul-2026"/>
    <s v="Thursday"/>
    <s v="Monthly - Thursday"/>
    <s v="Monthly - Thursday"/>
    <s v="Same Month Expiry"/>
    <n v="3117"/>
    <n v="568.42999999999995"/>
    <n v="7.87"/>
  </r>
  <r>
    <s v="03-Jul-2026"/>
    <x v="4"/>
    <s v="Week1-Jul-2026"/>
    <x v="10"/>
    <s v="30-Jul-2026"/>
    <s v="Thursday"/>
    <s v="Monthly - Thursday"/>
    <s v="Monthly - Thursday"/>
    <s v="Same Month Expiry"/>
    <n v="1946"/>
    <n v="344.09"/>
    <n v="4.43"/>
  </r>
  <r>
    <s v="06-Jul-2026"/>
    <x v="0"/>
    <s v="Week1-Jul-2026"/>
    <x v="10"/>
    <s v="30-Jul-2026"/>
    <s v="Thursday"/>
    <s v="Monthly - Thursday"/>
    <s v="Monthly - Thursday"/>
    <s v="Same Month Expiry"/>
    <n v="1871"/>
    <n v="350.92"/>
    <n v="3.64"/>
  </r>
  <r>
    <s v="07-Jul-2026"/>
    <x v="1"/>
    <s v="Week1-Jul-2026"/>
    <x v="10"/>
    <s v="30-Jul-2026"/>
    <s v="Thursday"/>
    <s v="Monthly - Thursday"/>
    <s v="Monthly - Thursday"/>
    <s v="Same Month Expiry"/>
    <n v="3823"/>
    <n v="653.75"/>
    <n v="5.67"/>
  </r>
  <r>
    <s v="08-Jul-2026"/>
    <x v="2"/>
    <s v="Week2-Jul-2026"/>
    <x v="10"/>
    <s v="30-Jul-2026"/>
    <s v="Thursday"/>
    <s v="Monthly - Thursday"/>
    <s v="Monthly - Thursday"/>
    <s v="Same Month Expiry"/>
    <n v="4709"/>
    <n v="890.8"/>
    <n v="8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7">
  <r>
    <s v="01-Sep-2025"/>
    <x v="0"/>
    <s v="Week1-Sep-2025"/>
    <x v="0"/>
    <s v="04-Sep-2025"/>
    <s v="Thursday"/>
    <s v="Weekly - Thursday"/>
    <s v="Weekly - Thursday"/>
    <s v="Same Month Expiry"/>
    <n v="20321566"/>
    <n v="3270809.82"/>
    <n v="7659.21"/>
  </r>
  <r>
    <s v="01-Sep-2025"/>
    <x v="0"/>
    <s v="Week1-Sep-2025"/>
    <x v="0"/>
    <s v="11-Sep-2025"/>
    <s v="Thursday"/>
    <s v="Weekly - Thursday"/>
    <s v="Weekly - Thursday"/>
    <s v="Same Month Expiry"/>
    <n v="99880"/>
    <n v="16161.7"/>
    <n v="54.83"/>
  </r>
  <r>
    <s v="01-Sep-2025"/>
    <x v="0"/>
    <s v="Week1-Sep-2025"/>
    <x v="0"/>
    <s v="18-Sep-2025"/>
    <s v="Thursday"/>
    <s v="Weekly - Thursday"/>
    <s v="Weekly - Thursday"/>
    <s v="Same Month Expiry"/>
    <n v="1170"/>
    <n v="190.15"/>
    <n v="1.42"/>
  </r>
  <r>
    <s v="01-Sep-2025"/>
    <x v="0"/>
    <s v="Week1-Sep-2025"/>
    <x v="0"/>
    <s v="25-Sep-2025"/>
    <s v="Thursday"/>
    <s v="Monthly - Thursday"/>
    <s v="Monthly - Thursday"/>
    <s v="Same Month Expiry"/>
    <n v="11434"/>
    <n v="1869.04"/>
    <n v="12.49"/>
  </r>
  <r>
    <s v="01-Sep-2025"/>
    <x v="0"/>
    <s v="Week1-Sep-2025"/>
    <x v="0"/>
    <s v="01-Oct-2025"/>
    <s v="Wednesday"/>
    <s v="Weekly - Wednesday"/>
    <s v="Weekly - Wednesday"/>
    <s v="Month+1 Expiry"/>
    <n v="0"/>
    <n v="0"/>
    <n v="0"/>
  </r>
  <r>
    <s v="01-Sep-2025"/>
    <x v="0"/>
    <s v="Week1-Sep-2025"/>
    <x v="0"/>
    <s v="09-Oct-2025"/>
    <s v="Thursday"/>
    <s v="Weekly - Thursday"/>
    <s v="Weekly - Thursday"/>
    <s v="Month+1 Expiry"/>
    <n v="0"/>
    <n v="0"/>
    <n v="0"/>
  </r>
  <r>
    <s v="01-Sep-2025"/>
    <x v="0"/>
    <s v="Week1-Sep-2025"/>
    <x v="0"/>
    <s v="30-Oct-2025"/>
    <s v="Thursday"/>
    <s v="Monthly - Thursday"/>
    <s v="Monthly - Thursday"/>
    <s v="Month+1 Expiry"/>
    <n v="1"/>
    <n v="0.16"/>
    <n v="0"/>
  </r>
  <r>
    <s v="02-Sep-2025"/>
    <x v="1"/>
    <s v="Week1-Sep-2025"/>
    <x v="0"/>
    <s v="04-Sep-2025"/>
    <s v="Thursday"/>
    <s v="Weekly - Thursday"/>
    <s v="Weekly - Thursday"/>
    <s v="Same Month Expiry"/>
    <n v="31364724"/>
    <n v="5058082.78"/>
    <n v="9253.07"/>
  </r>
  <r>
    <s v="02-Sep-2025"/>
    <x v="1"/>
    <s v="Week1-Sep-2025"/>
    <x v="0"/>
    <s v="11-Sep-2025"/>
    <s v="Thursday"/>
    <s v="Weekly - Thursday"/>
    <s v="Weekly - Thursday"/>
    <s v="Same Month Expiry"/>
    <n v="237536"/>
    <n v="38449.49"/>
    <n v="120.91"/>
  </r>
  <r>
    <s v="02-Sep-2025"/>
    <x v="1"/>
    <s v="Week1-Sep-2025"/>
    <x v="0"/>
    <s v="18-Sep-2025"/>
    <s v="Thursday"/>
    <s v="Weekly - Thursday"/>
    <s v="Weekly - Thursday"/>
    <s v="Same Month Expiry"/>
    <n v="1918"/>
    <n v="312.45"/>
    <n v="2.14"/>
  </r>
  <r>
    <s v="02-Sep-2025"/>
    <x v="1"/>
    <s v="Week1-Sep-2025"/>
    <x v="0"/>
    <s v="25-Sep-2025"/>
    <s v="Thursday"/>
    <s v="Monthly - Thursday"/>
    <s v="Monthly - Thursday"/>
    <s v="Same Month Expiry"/>
    <n v="17640"/>
    <n v="2877.96"/>
    <n v="20.45"/>
  </r>
  <r>
    <s v="02-Sep-2025"/>
    <x v="1"/>
    <s v="Week1-Sep-2025"/>
    <x v="0"/>
    <s v="01-Oct-2025"/>
    <s v="Wednesday"/>
    <s v="Weekly - Wednesday"/>
    <s v="Weekly - Wednesday"/>
    <s v="Month+1 Expiry"/>
    <n v="0"/>
    <n v="0"/>
    <n v="0"/>
  </r>
  <r>
    <s v="02-Sep-2025"/>
    <x v="1"/>
    <s v="Week1-Sep-2025"/>
    <x v="0"/>
    <s v="09-Oct-2025"/>
    <s v="Thursday"/>
    <s v="Weekly - Thursday"/>
    <s v="Weekly - Thursday"/>
    <s v="Month+1 Expiry"/>
    <n v="0"/>
    <n v="0"/>
    <n v="0"/>
  </r>
  <r>
    <s v="02-Sep-2025"/>
    <x v="1"/>
    <s v="Week1-Sep-2025"/>
    <x v="0"/>
    <s v="30-Oct-2025"/>
    <s v="Thursday"/>
    <s v="Monthly - Thursday"/>
    <s v="Monthly - Thursday"/>
    <s v="Month+1 Expiry"/>
    <n v="6"/>
    <n v="1.03"/>
    <n v="0"/>
  </r>
  <r>
    <s v="03-Sep-2025"/>
    <x v="2"/>
    <s v="Week1-Sep-2025"/>
    <x v="0"/>
    <s v="04-Sep-2025"/>
    <s v="Thursday"/>
    <s v="Weekly - Thursday"/>
    <s v="Weekly - Thursday"/>
    <s v="Same Month Expiry"/>
    <n v="123053157"/>
    <n v="19788299.190000001"/>
    <n v="27291"/>
  </r>
  <r>
    <s v="03-Sep-2025"/>
    <x v="2"/>
    <s v="Week1-Sep-2025"/>
    <x v="0"/>
    <s v="11-Sep-2025"/>
    <s v="Thursday"/>
    <s v="Weekly - Thursday"/>
    <s v="Weekly - Thursday"/>
    <s v="Same Month Expiry"/>
    <n v="520443"/>
    <n v="83991.92"/>
    <n v="235.19"/>
  </r>
  <r>
    <s v="03-Sep-2025"/>
    <x v="2"/>
    <s v="Week1-Sep-2025"/>
    <x v="0"/>
    <s v="18-Sep-2025"/>
    <s v="Thursday"/>
    <s v="Weekly - Thursday"/>
    <s v="Weekly - Thursday"/>
    <s v="Same Month Expiry"/>
    <n v="3890"/>
    <n v="630.66"/>
    <n v="3.7"/>
  </r>
  <r>
    <s v="03-Sep-2025"/>
    <x v="2"/>
    <s v="Week1-Sep-2025"/>
    <x v="0"/>
    <s v="25-Sep-2025"/>
    <s v="Thursday"/>
    <s v="Monthly - Thursday"/>
    <s v="Monthly - Thursday"/>
    <s v="Same Month Expiry"/>
    <n v="19013"/>
    <n v="3092.38"/>
    <n v="18.63"/>
  </r>
  <r>
    <s v="03-Sep-2025"/>
    <x v="2"/>
    <s v="Week1-Sep-2025"/>
    <x v="0"/>
    <s v="01-Oct-2025"/>
    <s v="Wednesday"/>
    <s v="Weekly - Wednesday"/>
    <s v="Weekly - Wednesday"/>
    <s v="Month+1 Expiry"/>
    <n v="0"/>
    <n v="0"/>
    <n v="0"/>
  </r>
  <r>
    <s v="03-Sep-2025"/>
    <x v="2"/>
    <s v="Week1-Sep-2025"/>
    <x v="0"/>
    <s v="09-Oct-2025"/>
    <s v="Thursday"/>
    <s v="Weekly - Thursday"/>
    <s v="Weekly - Thursday"/>
    <s v="Month+1 Expiry"/>
    <n v="0"/>
    <n v="0"/>
    <n v="0"/>
  </r>
  <r>
    <s v="03-Sep-2025"/>
    <x v="2"/>
    <s v="Week1-Sep-2025"/>
    <x v="0"/>
    <s v="30-Oct-2025"/>
    <s v="Thursday"/>
    <s v="Monthly - Thursday"/>
    <s v="Monthly - Thursday"/>
    <s v="Month+1 Expiry"/>
    <n v="688"/>
    <n v="110.12"/>
    <n v="0.75"/>
  </r>
  <r>
    <s v="04-Sep-2025"/>
    <x v="3"/>
    <s v="Week1-Sep-2025"/>
    <x v="0"/>
    <s v="04-Sep-2025"/>
    <s v="Thursday"/>
    <s v="Weekly - Thursday"/>
    <s v="Weekly - Thursday"/>
    <s v="Same Month Expiry"/>
    <n v="444346973"/>
    <n v="71939664.599999994"/>
    <n v="48289.52"/>
  </r>
  <r>
    <s v="04-Sep-2025"/>
    <x v="3"/>
    <s v="Week1-Sep-2025"/>
    <x v="0"/>
    <s v="11-Sep-2025"/>
    <s v="Thursday"/>
    <s v="Weekly - Thursday"/>
    <s v="Weekly - Thursday"/>
    <s v="Same Month Expiry"/>
    <n v="2114561"/>
    <n v="343928.09"/>
    <n v="933.9"/>
  </r>
  <r>
    <s v="04-Sep-2025"/>
    <x v="3"/>
    <s v="Week1-Sep-2025"/>
    <x v="0"/>
    <s v="18-Sep-2025"/>
    <s v="Thursday"/>
    <s v="Weekly - Thursday"/>
    <s v="Weekly - Thursday"/>
    <s v="Same Month Expiry"/>
    <n v="10030"/>
    <n v="1631.83"/>
    <n v="7.79"/>
  </r>
  <r>
    <s v="04-Sep-2025"/>
    <x v="3"/>
    <s v="Week1-Sep-2025"/>
    <x v="0"/>
    <s v="25-Sep-2025"/>
    <s v="Thursday"/>
    <s v="Monthly - Thursday"/>
    <s v="Monthly - Thursday"/>
    <s v="Same Month Expiry"/>
    <n v="27593"/>
    <n v="4508.32"/>
    <n v="28.21"/>
  </r>
  <r>
    <s v="04-Sep-2025"/>
    <x v="3"/>
    <s v="Week1-Sep-2025"/>
    <x v="0"/>
    <s v="01-Oct-2025"/>
    <s v="Wednesday"/>
    <s v="Weekly - Wednesday"/>
    <s v="Weekly - Wednesday"/>
    <s v="Month+1 Expiry"/>
    <n v="0"/>
    <n v="0"/>
    <n v="0"/>
  </r>
  <r>
    <s v="04-Sep-2025"/>
    <x v="3"/>
    <s v="Week1-Sep-2025"/>
    <x v="0"/>
    <s v="09-Oct-2025"/>
    <s v="Thursday"/>
    <s v="Weekly - Thursday"/>
    <s v="Weekly - Thursday"/>
    <s v="Month+1 Expiry"/>
    <n v="5"/>
    <n v="0.82"/>
    <n v="0.01"/>
  </r>
  <r>
    <s v="04-Sep-2025"/>
    <x v="3"/>
    <s v="Week1-Sep-2025"/>
    <x v="0"/>
    <s v="16-Oct-2025"/>
    <s v="Thursday"/>
    <s v="Weekly - Thursday"/>
    <s v="Weekly - Thursday"/>
    <s v="Month+1 Expiry"/>
    <n v="3"/>
    <n v="0.49"/>
    <n v="0"/>
  </r>
  <r>
    <s v="04-Sep-2025"/>
    <x v="3"/>
    <s v="Week1-Sep-2025"/>
    <x v="0"/>
    <s v="30-Oct-2025"/>
    <s v="Thursday"/>
    <s v="Monthly - Thursday"/>
    <s v="Monthly - Thursday"/>
    <s v="Month+1 Expiry"/>
    <n v="1567"/>
    <n v="255.2"/>
    <n v="1.66"/>
  </r>
  <r>
    <s v="05-Sep-2025"/>
    <x v="4"/>
    <s v="Week1-Sep-2025"/>
    <x v="0"/>
    <s v="11-Sep-2025"/>
    <s v="Thursday"/>
    <s v="Weekly - Thursday"/>
    <s v="Weekly - Thursday"/>
    <s v="Same Month Expiry"/>
    <n v="23735888"/>
    <n v="3841371.13"/>
    <n v="10028.709999999999"/>
  </r>
  <r>
    <s v="05-Sep-2025"/>
    <x v="4"/>
    <s v="Week1-Sep-2025"/>
    <x v="0"/>
    <s v="18-Sep-2025"/>
    <s v="Thursday"/>
    <s v="Weekly - Thursday"/>
    <s v="Weekly - Thursday"/>
    <s v="Same Month Expiry"/>
    <n v="72612"/>
    <n v="11785.24"/>
    <n v="48.64"/>
  </r>
  <r>
    <s v="05-Sep-2025"/>
    <x v="4"/>
    <s v="Week1-Sep-2025"/>
    <x v="0"/>
    <s v="25-Sep-2025"/>
    <s v="Thursday"/>
    <s v="Monthly - Thursday"/>
    <s v="Monthly - Thursday"/>
    <s v="Same Month Expiry"/>
    <n v="29841"/>
    <n v="4876.66"/>
    <n v="27.64"/>
  </r>
  <r>
    <s v="05-Sep-2025"/>
    <x v="4"/>
    <s v="Week1-Sep-2025"/>
    <x v="0"/>
    <s v="01-Oct-2025"/>
    <s v="Wednesday"/>
    <s v="Weekly - Wednesday"/>
    <s v="Weekly - Wednesday"/>
    <s v="Month+1 Expiry"/>
    <n v="4"/>
    <n v="0.67"/>
    <n v="0.01"/>
  </r>
  <r>
    <s v="05-Sep-2025"/>
    <x v="4"/>
    <s v="Week1-Sep-2025"/>
    <x v="0"/>
    <s v="09-Oct-2025"/>
    <s v="Thursday"/>
    <s v="Weekly - Thursday"/>
    <s v="Weekly - Thursday"/>
    <s v="Month+1 Expiry"/>
    <n v="0"/>
    <n v="0"/>
    <n v="0"/>
  </r>
  <r>
    <s v="05-Sep-2025"/>
    <x v="4"/>
    <s v="Week1-Sep-2025"/>
    <x v="0"/>
    <s v="16-Oct-2025"/>
    <s v="Thursday"/>
    <s v="Weekly - Thursday"/>
    <s v="Weekly - Thursday"/>
    <s v="Month+1 Expiry"/>
    <n v="1"/>
    <n v="0.17"/>
    <n v="0"/>
  </r>
  <r>
    <s v="05-Sep-2025"/>
    <x v="4"/>
    <s v="Week1-Sep-2025"/>
    <x v="0"/>
    <s v="30-Oct-2025"/>
    <s v="Thursday"/>
    <s v="Monthly - Thursday"/>
    <s v="Monthly - Thursday"/>
    <s v="Month+1 Expiry"/>
    <n v="613"/>
    <n v="98.56"/>
    <n v="0.56999999999999995"/>
  </r>
  <r>
    <s v="08-Sep-2025"/>
    <x v="0"/>
    <s v="Week2-Sep-2025"/>
    <x v="0"/>
    <s v="11-Sep-2025"/>
    <s v="Thursday"/>
    <s v="Weekly - Thursday"/>
    <s v="Weekly - Thursday"/>
    <s v="Same Month Expiry"/>
    <n v="23745730"/>
    <n v="3852477.68"/>
    <n v="8647.1200000000008"/>
  </r>
  <r>
    <s v="08-Sep-2025"/>
    <x v="0"/>
    <s v="Week2-Sep-2025"/>
    <x v="0"/>
    <s v="18-Sep-2025"/>
    <s v="Thursday"/>
    <s v="Weekly - Thursday"/>
    <s v="Weekly - Thursday"/>
    <s v="Same Month Expiry"/>
    <n v="130446"/>
    <n v="21189.360000000001"/>
    <n v="70.260000000000005"/>
  </r>
  <r>
    <s v="08-Sep-2025"/>
    <x v="0"/>
    <s v="Week2-Sep-2025"/>
    <x v="0"/>
    <s v="25-Sep-2025"/>
    <s v="Thursday"/>
    <s v="Monthly - Thursday"/>
    <s v="Monthly - Thursday"/>
    <s v="Same Month Expiry"/>
    <n v="24716"/>
    <n v="4035.61"/>
    <n v="19.420000000000002"/>
  </r>
  <r>
    <s v="08-Sep-2025"/>
    <x v="0"/>
    <s v="Week2-Sep-2025"/>
    <x v="0"/>
    <s v="01-Oct-2025"/>
    <s v="Wednesday"/>
    <s v="Weekly - Wednesday"/>
    <s v="Weekly - Wednesday"/>
    <s v="Month+1 Expiry"/>
    <n v="183"/>
    <n v="29.89"/>
    <n v="0.22"/>
  </r>
  <r>
    <s v="08-Sep-2025"/>
    <x v="0"/>
    <s v="Week2-Sep-2025"/>
    <x v="0"/>
    <s v="09-Oct-2025"/>
    <s v="Thursday"/>
    <s v="Weekly - Thursday"/>
    <s v="Weekly - Thursday"/>
    <s v="Month+1 Expiry"/>
    <n v="302"/>
    <n v="51.16"/>
    <n v="0.08"/>
  </r>
  <r>
    <s v="08-Sep-2025"/>
    <x v="0"/>
    <s v="Week2-Sep-2025"/>
    <x v="0"/>
    <s v="16-Oct-2025"/>
    <s v="Thursday"/>
    <s v="Weekly - Thursday"/>
    <s v="Weekly - Thursday"/>
    <s v="Month+1 Expiry"/>
    <n v="1"/>
    <n v="0.16"/>
    <n v="0"/>
  </r>
  <r>
    <s v="08-Sep-2025"/>
    <x v="0"/>
    <s v="Week2-Sep-2025"/>
    <x v="0"/>
    <s v="30-Oct-2025"/>
    <s v="Thursday"/>
    <s v="Monthly - Thursday"/>
    <s v="Monthly - Thursday"/>
    <s v="Month+1 Expiry"/>
    <n v="1083"/>
    <n v="177.31"/>
    <n v="1.74"/>
  </r>
  <r>
    <s v="09-Sep-2025"/>
    <x v="1"/>
    <s v="Week2-Sep-2025"/>
    <x v="0"/>
    <s v="11-Sep-2025"/>
    <s v="Thursday"/>
    <s v="Weekly - Thursday"/>
    <s v="Weekly - Thursday"/>
    <s v="Same Month Expiry"/>
    <n v="23531891"/>
    <n v="3821183.56"/>
    <n v="7153.72"/>
  </r>
  <r>
    <s v="09-Sep-2025"/>
    <x v="1"/>
    <s v="Week2-Sep-2025"/>
    <x v="0"/>
    <s v="18-Sep-2025"/>
    <s v="Thursday"/>
    <s v="Weekly - Thursday"/>
    <s v="Weekly - Thursday"/>
    <s v="Same Month Expiry"/>
    <n v="171913"/>
    <n v="28002.19"/>
    <n v="88.13"/>
  </r>
  <r>
    <s v="09-Sep-2025"/>
    <x v="1"/>
    <s v="Week2-Sep-2025"/>
    <x v="0"/>
    <s v="25-Sep-2025"/>
    <s v="Thursday"/>
    <s v="Monthly - Thursday"/>
    <s v="Monthly - Thursday"/>
    <s v="Same Month Expiry"/>
    <n v="21297"/>
    <n v="3476.82"/>
    <n v="17.71"/>
  </r>
  <r>
    <s v="09-Sep-2025"/>
    <x v="1"/>
    <s v="Week2-Sep-2025"/>
    <x v="0"/>
    <s v="01-Oct-2025"/>
    <s v="Wednesday"/>
    <s v="Weekly - Wednesday"/>
    <s v="Weekly - Wednesday"/>
    <s v="Month+1 Expiry"/>
    <n v="114"/>
    <n v="18.670000000000002"/>
    <n v="0.15"/>
  </r>
  <r>
    <s v="09-Sep-2025"/>
    <x v="1"/>
    <s v="Week2-Sep-2025"/>
    <x v="0"/>
    <s v="09-Oct-2025"/>
    <s v="Thursday"/>
    <s v="Weekly - Thursday"/>
    <s v="Weekly - Thursday"/>
    <s v="Month+1 Expiry"/>
    <n v="0"/>
    <n v="0"/>
    <n v="0"/>
  </r>
  <r>
    <s v="09-Sep-2025"/>
    <x v="1"/>
    <s v="Week2-Sep-2025"/>
    <x v="0"/>
    <s v="16-Oct-2025"/>
    <s v="Thursday"/>
    <s v="Weekly - Thursday"/>
    <s v="Weekly - Thursday"/>
    <s v="Month+1 Expiry"/>
    <n v="0"/>
    <n v="0"/>
    <n v="0"/>
  </r>
  <r>
    <s v="09-Sep-2025"/>
    <x v="1"/>
    <s v="Week2-Sep-2025"/>
    <x v="0"/>
    <s v="30-Oct-2025"/>
    <s v="Thursday"/>
    <s v="Monthly - Thursday"/>
    <s v="Monthly - Thursday"/>
    <s v="Month+1 Expiry"/>
    <n v="720"/>
    <n v="118.55"/>
    <n v="0.93"/>
  </r>
  <r>
    <s v="10-Sep-2025"/>
    <x v="2"/>
    <s v="Week2-Sep-2025"/>
    <x v="0"/>
    <s v="11-Sep-2025"/>
    <s v="Thursday"/>
    <s v="Weekly - Thursday"/>
    <s v="Weekly - Thursday"/>
    <s v="Same Month Expiry"/>
    <n v="95775843"/>
    <n v="15622109.9"/>
    <n v="20836.27"/>
  </r>
  <r>
    <s v="10-Sep-2025"/>
    <x v="2"/>
    <s v="Week2-Sep-2025"/>
    <x v="0"/>
    <s v="18-Sep-2025"/>
    <s v="Thursday"/>
    <s v="Weekly - Thursday"/>
    <s v="Weekly - Thursday"/>
    <s v="Same Month Expiry"/>
    <n v="510878"/>
    <n v="83363.929999999993"/>
    <n v="240.4"/>
  </r>
  <r>
    <s v="10-Sep-2025"/>
    <x v="2"/>
    <s v="Week2-Sep-2025"/>
    <x v="0"/>
    <s v="25-Sep-2025"/>
    <s v="Thursday"/>
    <s v="Monthly - Thursday"/>
    <s v="Monthly - Thursday"/>
    <s v="Same Month Expiry"/>
    <n v="43868"/>
    <n v="7224"/>
    <n v="32.24"/>
  </r>
  <r>
    <s v="10-Sep-2025"/>
    <x v="2"/>
    <s v="Week2-Sep-2025"/>
    <x v="0"/>
    <s v="01-Oct-2025"/>
    <s v="Wednesday"/>
    <s v="Weekly - Wednesday"/>
    <s v="Weekly - Wednesday"/>
    <s v="Month+1 Expiry"/>
    <n v="146"/>
    <n v="23.88"/>
    <n v="0.19"/>
  </r>
  <r>
    <s v="10-Sep-2025"/>
    <x v="2"/>
    <s v="Week2-Sep-2025"/>
    <x v="0"/>
    <s v="09-Oct-2025"/>
    <s v="Thursday"/>
    <s v="Weekly - Thursday"/>
    <s v="Weekly - Thursday"/>
    <s v="Month+1 Expiry"/>
    <n v="0"/>
    <n v="0"/>
    <n v="0"/>
  </r>
  <r>
    <s v="10-Sep-2025"/>
    <x v="2"/>
    <s v="Week2-Sep-2025"/>
    <x v="0"/>
    <s v="16-Oct-2025"/>
    <s v="Thursday"/>
    <s v="Weekly - Thursday"/>
    <s v="Weekly - Thursday"/>
    <s v="Month+1 Expiry"/>
    <n v="0"/>
    <n v="0"/>
    <n v="0"/>
  </r>
  <r>
    <s v="10-Sep-2025"/>
    <x v="2"/>
    <s v="Week2-Sep-2025"/>
    <x v="0"/>
    <s v="30-Oct-2025"/>
    <s v="Thursday"/>
    <s v="Monthly - Thursday"/>
    <s v="Monthly - Thursday"/>
    <s v="Month+1 Expiry"/>
    <n v="1090"/>
    <n v="179.74"/>
    <n v="1.42"/>
  </r>
  <r>
    <s v="10-Sep-2025"/>
    <x v="2"/>
    <s v="Week2-Sep-2025"/>
    <x v="0"/>
    <s v="27-Nov-2025"/>
    <s v="Thursday"/>
    <s v="Monthly - Thursday"/>
    <s v="Monthly - Thursday"/>
    <s v="Month+2 Expiry"/>
    <n v="3"/>
    <n v="0.5"/>
    <n v="0.01"/>
  </r>
  <r>
    <s v="11-Sep-2025"/>
    <x v="3"/>
    <s v="Week2-Sep-2025"/>
    <x v="0"/>
    <s v="11-Sep-2025"/>
    <s v="Thursday"/>
    <s v="Weekly - Thursday"/>
    <s v="Weekly - Thursday"/>
    <s v="Same Month Expiry"/>
    <n v="317804062"/>
    <n v="51827205.200000003"/>
    <n v="27528.18"/>
  </r>
  <r>
    <s v="11-Sep-2025"/>
    <x v="3"/>
    <s v="Week2-Sep-2025"/>
    <x v="0"/>
    <s v="18-Sep-2025"/>
    <s v="Thursday"/>
    <s v="Weekly - Thursday"/>
    <s v="Weekly - Thursday"/>
    <s v="Same Month Expiry"/>
    <n v="1426551"/>
    <n v="232519.07"/>
    <n v="546.88"/>
  </r>
  <r>
    <s v="11-Sep-2025"/>
    <x v="3"/>
    <s v="Week2-Sep-2025"/>
    <x v="0"/>
    <s v="25-Sep-2025"/>
    <s v="Thursday"/>
    <s v="Monthly - Thursday"/>
    <s v="Monthly - Thursday"/>
    <s v="Same Month Expiry"/>
    <n v="45952"/>
    <n v="7577.71"/>
    <n v="33.71"/>
  </r>
  <r>
    <s v="11-Sep-2025"/>
    <x v="3"/>
    <s v="Week2-Sep-2025"/>
    <x v="0"/>
    <s v="01-Oct-2025"/>
    <s v="Wednesday"/>
    <s v="Weekly - Wednesday"/>
    <s v="Weekly - Wednesday"/>
    <s v="Month+1 Expiry"/>
    <n v="473"/>
    <n v="77.239999999999995"/>
    <n v="0.43"/>
  </r>
  <r>
    <s v="11-Sep-2025"/>
    <x v="3"/>
    <s v="Week2-Sep-2025"/>
    <x v="0"/>
    <s v="09-Oct-2025"/>
    <s v="Thursday"/>
    <s v="Weekly - Thursday"/>
    <s v="Weekly - Thursday"/>
    <s v="Month+1 Expiry"/>
    <n v="100"/>
    <n v="16.95"/>
    <n v="0.03"/>
  </r>
  <r>
    <s v="11-Sep-2025"/>
    <x v="3"/>
    <s v="Week2-Sep-2025"/>
    <x v="0"/>
    <s v="16-Oct-2025"/>
    <s v="Thursday"/>
    <s v="Weekly - Thursday"/>
    <s v="Weekly - Thursday"/>
    <s v="Month+1 Expiry"/>
    <n v="1"/>
    <n v="0.16"/>
    <n v="0"/>
  </r>
  <r>
    <s v="11-Sep-2025"/>
    <x v="3"/>
    <s v="Week2-Sep-2025"/>
    <x v="0"/>
    <s v="23-Oct-2025"/>
    <s v="Thursday"/>
    <s v="Weekly - Thursday"/>
    <s v="Weekly - Thursday"/>
    <s v="Month+1 Expiry"/>
    <n v="1"/>
    <n v="0.16"/>
    <n v="0"/>
  </r>
  <r>
    <s v="11-Sep-2025"/>
    <x v="3"/>
    <s v="Week2-Sep-2025"/>
    <x v="0"/>
    <s v="30-Oct-2025"/>
    <s v="Thursday"/>
    <s v="Monthly - Thursday"/>
    <s v="Monthly - Thursday"/>
    <s v="Month+1 Expiry"/>
    <n v="1495"/>
    <n v="249.57"/>
    <n v="1.29"/>
  </r>
  <r>
    <s v="12-Sep-2025"/>
    <x v="4"/>
    <s v="Week2-Sep-2025"/>
    <x v="0"/>
    <s v="18-Sep-2025"/>
    <s v="Thursday"/>
    <s v="Weekly - Thursday"/>
    <s v="Weekly - Thursday"/>
    <s v="Same Month Expiry"/>
    <n v="13017689"/>
    <n v="2137174.54"/>
    <n v="5351.75"/>
  </r>
  <r>
    <s v="12-Sep-2025"/>
    <x v="4"/>
    <s v="Week2-Sep-2025"/>
    <x v="0"/>
    <s v="25-Sep-2025"/>
    <s v="Thursday"/>
    <s v="Monthly - Thursday"/>
    <s v="Monthly - Thursday"/>
    <s v="Same Month Expiry"/>
    <n v="75990"/>
    <n v="12494.78"/>
    <n v="51.78"/>
  </r>
  <r>
    <s v="12-Sep-2025"/>
    <x v="4"/>
    <s v="Week2-Sep-2025"/>
    <x v="0"/>
    <s v="01-Oct-2025"/>
    <s v="Wednesday"/>
    <s v="Weekly - Wednesday"/>
    <s v="Weekly - Wednesday"/>
    <s v="Month+1 Expiry"/>
    <n v="3354"/>
    <n v="553.91"/>
    <n v="4.0199999999999996"/>
  </r>
  <r>
    <s v="12-Sep-2025"/>
    <x v="4"/>
    <s v="Week2-Sep-2025"/>
    <x v="0"/>
    <s v="09-Oct-2025"/>
    <s v="Thursday"/>
    <s v="Weekly - Thursday"/>
    <s v="Weekly - Thursday"/>
    <s v="Month+1 Expiry"/>
    <n v="0"/>
    <n v="0"/>
    <n v="0"/>
  </r>
  <r>
    <s v="12-Sep-2025"/>
    <x v="4"/>
    <s v="Week2-Sep-2025"/>
    <x v="0"/>
    <s v="23-Oct-2025"/>
    <s v="Thursday"/>
    <s v="Weekly - Thursday"/>
    <s v="Weekly - Thursday"/>
    <s v="Month+1 Expiry"/>
    <n v="0"/>
    <n v="0"/>
    <n v="0"/>
  </r>
  <r>
    <s v="12-Sep-2025"/>
    <x v="4"/>
    <s v="Week2-Sep-2025"/>
    <x v="0"/>
    <s v="30-Oct-2025"/>
    <s v="Thursday"/>
    <s v="Monthly - Thursday"/>
    <s v="Monthly - Thursday"/>
    <s v="Month+1 Expiry"/>
    <n v="1095"/>
    <n v="181.03"/>
    <n v="1.26"/>
  </r>
  <r>
    <s v="15-Sep-2025"/>
    <x v="0"/>
    <s v="Week3-Sep-2025"/>
    <x v="0"/>
    <s v="18-Sep-2025"/>
    <s v="Thursday"/>
    <s v="Weekly - Thursday"/>
    <s v="Weekly - Thursday"/>
    <s v="Same Month Expiry"/>
    <n v="15831773"/>
    <n v="2598112.41"/>
    <n v="5697.38"/>
  </r>
  <r>
    <s v="15-Sep-2025"/>
    <x v="0"/>
    <s v="Week3-Sep-2025"/>
    <x v="0"/>
    <s v="25-Sep-2025"/>
    <s v="Thursday"/>
    <s v="Monthly - Thursday"/>
    <s v="Monthly - Thursday"/>
    <s v="Same Month Expiry"/>
    <n v="110600"/>
    <n v="18279.63"/>
    <n v="61.34"/>
  </r>
  <r>
    <s v="15-Sep-2025"/>
    <x v="0"/>
    <s v="Week3-Sep-2025"/>
    <x v="0"/>
    <s v="01-Oct-2025"/>
    <s v="Wednesday"/>
    <s v="Weekly - Wednesday"/>
    <s v="Weekly - Wednesday"/>
    <s v="Month+1 Expiry"/>
    <n v="4219"/>
    <n v="693.18"/>
    <n v="3.76"/>
  </r>
  <r>
    <s v="15-Sep-2025"/>
    <x v="0"/>
    <s v="Week3-Sep-2025"/>
    <x v="0"/>
    <s v="09-Oct-2025"/>
    <s v="Thursday"/>
    <s v="Weekly - Thursday"/>
    <s v="Weekly - Thursday"/>
    <s v="Month+1 Expiry"/>
    <n v="23"/>
    <n v="3.91"/>
    <n v="0.03"/>
  </r>
  <r>
    <s v="15-Sep-2025"/>
    <x v="0"/>
    <s v="Week3-Sep-2025"/>
    <x v="0"/>
    <s v="16-Oct-2025"/>
    <s v="Thursday"/>
    <s v="Weekly - Thursday"/>
    <s v="Weekly - Thursday"/>
    <s v="Month+1 Expiry"/>
    <n v="6"/>
    <n v="0.99"/>
    <n v="0"/>
  </r>
  <r>
    <s v="15-Sep-2025"/>
    <x v="0"/>
    <s v="Week3-Sep-2025"/>
    <x v="0"/>
    <s v="23-Oct-2025"/>
    <s v="Thursday"/>
    <s v="Weekly - Thursday"/>
    <s v="Weekly - Thursday"/>
    <s v="Month+1 Expiry"/>
    <n v="0"/>
    <n v="0"/>
    <n v="0"/>
  </r>
  <r>
    <s v="15-Sep-2025"/>
    <x v="0"/>
    <s v="Week3-Sep-2025"/>
    <x v="0"/>
    <s v="30-Oct-2025"/>
    <s v="Thursday"/>
    <s v="Monthly - Thursday"/>
    <s v="Monthly - Thursday"/>
    <s v="Month+1 Expiry"/>
    <n v="1123"/>
    <n v="185.66"/>
    <n v="1.33"/>
  </r>
  <r>
    <s v="16-Sep-2025"/>
    <x v="1"/>
    <s v="Week3-Sep-2025"/>
    <x v="0"/>
    <s v="18-Sep-2025"/>
    <s v="Thursday"/>
    <s v="Weekly - Thursday"/>
    <s v="Weekly - Thursday"/>
    <s v="Same Month Expiry"/>
    <n v="23195941"/>
    <n v="3814455.72"/>
    <n v="6660.48"/>
  </r>
  <r>
    <s v="16-Sep-2025"/>
    <x v="1"/>
    <s v="Week3-Sep-2025"/>
    <x v="0"/>
    <s v="25-Sep-2025"/>
    <s v="Thursday"/>
    <s v="Monthly - Thursday"/>
    <s v="Monthly - Thursday"/>
    <s v="Same Month Expiry"/>
    <n v="266887"/>
    <n v="44035.040000000001"/>
    <n v="148.35"/>
  </r>
  <r>
    <s v="16-Sep-2025"/>
    <x v="1"/>
    <s v="Week3-Sep-2025"/>
    <x v="0"/>
    <s v="01-Oct-2025"/>
    <s v="Wednesday"/>
    <s v="Weekly - Wednesday"/>
    <s v="Weekly - Wednesday"/>
    <s v="Month+1 Expiry"/>
    <n v="5893"/>
    <n v="974.12"/>
    <n v="5.37"/>
  </r>
  <r>
    <s v="16-Sep-2025"/>
    <x v="1"/>
    <s v="Week3-Sep-2025"/>
    <x v="0"/>
    <s v="09-Oct-2025"/>
    <s v="Thursday"/>
    <s v="Weekly - Thursday"/>
    <s v="Weekly - Thursday"/>
    <s v="Month+1 Expiry"/>
    <n v="19"/>
    <n v="3.1"/>
    <n v="0.04"/>
  </r>
  <r>
    <s v="16-Sep-2025"/>
    <x v="1"/>
    <s v="Week3-Sep-2025"/>
    <x v="0"/>
    <s v="16-Oct-2025"/>
    <s v="Thursday"/>
    <s v="Weekly - Thursday"/>
    <s v="Weekly - Thursday"/>
    <s v="Month+1 Expiry"/>
    <n v="0"/>
    <n v="0"/>
    <n v="0"/>
  </r>
  <r>
    <s v="16-Sep-2025"/>
    <x v="1"/>
    <s v="Week3-Sep-2025"/>
    <x v="0"/>
    <s v="23-Oct-2025"/>
    <s v="Thursday"/>
    <s v="Weekly - Thursday"/>
    <s v="Weekly - Thursday"/>
    <s v="Month+1 Expiry"/>
    <n v="1"/>
    <n v="0.16"/>
    <n v="0"/>
  </r>
  <r>
    <s v="16-Sep-2025"/>
    <x v="1"/>
    <s v="Week3-Sep-2025"/>
    <x v="0"/>
    <s v="30-Oct-2025"/>
    <s v="Thursday"/>
    <s v="Monthly - Thursday"/>
    <s v="Monthly - Thursday"/>
    <s v="Month+1 Expiry"/>
    <n v="1432"/>
    <n v="236.85"/>
    <n v="1.76"/>
  </r>
  <r>
    <s v="17-Sep-2025"/>
    <x v="2"/>
    <s v="Week3-Sep-2025"/>
    <x v="0"/>
    <s v="18-Sep-2025"/>
    <s v="Thursday"/>
    <s v="Weekly - Thursday"/>
    <s v="Weekly - Thursday"/>
    <s v="Same Month Expiry"/>
    <n v="74887780"/>
    <n v="12393120.060000001"/>
    <n v="16369.6"/>
  </r>
  <r>
    <s v="17-Sep-2025"/>
    <x v="2"/>
    <s v="Week3-Sep-2025"/>
    <x v="0"/>
    <s v="25-Sep-2025"/>
    <s v="Thursday"/>
    <s v="Monthly - Thursday"/>
    <s v="Monthly - Thursday"/>
    <s v="Same Month Expiry"/>
    <n v="504822"/>
    <n v="83631.009999999995"/>
    <n v="234.43"/>
  </r>
  <r>
    <s v="17-Sep-2025"/>
    <x v="2"/>
    <s v="Week3-Sep-2025"/>
    <x v="0"/>
    <s v="01-Oct-2025"/>
    <s v="Wednesday"/>
    <s v="Weekly - Wednesday"/>
    <s v="Weekly - Wednesday"/>
    <s v="Month+1 Expiry"/>
    <n v="8997"/>
    <n v="1492.37"/>
    <n v="7.54"/>
  </r>
  <r>
    <s v="17-Sep-2025"/>
    <x v="2"/>
    <s v="Week3-Sep-2025"/>
    <x v="0"/>
    <s v="09-Oct-2025"/>
    <s v="Thursday"/>
    <s v="Weekly - Thursday"/>
    <s v="Weekly - Thursday"/>
    <s v="Month+1 Expiry"/>
    <n v="151"/>
    <n v="25.21"/>
    <n v="0.32"/>
  </r>
  <r>
    <s v="17-Sep-2025"/>
    <x v="2"/>
    <s v="Week3-Sep-2025"/>
    <x v="0"/>
    <s v="16-Oct-2025"/>
    <s v="Thursday"/>
    <s v="Weekly - Thursday"/>
    <s v="Weekly - Thursday"/>
    <s v="Month+1 Expiry"/>
    <n v="0"/>
    <n v="0"/>
    <n v="0"/>
  </r>
  <r>
    <s v="17-Sep-2025"/>
    <x v="2"/>
    <s v="Week3-Sep-2025"/>
    <x v="0"/>
    <s v="23-Oct-2025"/>
    <s v="Thursday"/>
    <s v="Weekly - Thursday"/>
    <s v="Weekly - Thursday"/>
    <s v="Month+1 Expiry"/>
    <n v="1"/>
    <n v="0.17"/>
    <n v="0"/>
  </r>
  <r>
    <s v="17-Sep-2025"/>
    <x v="2"/>
    <s v="Week3-Sep-2025"/>
    <x v="0"/>
    <s v="30-Oct-2025"/>
    <s v="Thursday"/>
    <s v="Monthly - Thursday"/>
    <s v="Monthly - Thursday"/>
    <s v="Month+1 Expiry"/>
    <n v="1874"/>
    <n v="312.48"/>
    <n v="2.23"/>
  </r>
  <r>
    <s v="18-Sep-2025"/>
    <x v="3"/>
    <s v="Week3-Sep-2025"/>
    <x v="0"/>
    <s v="18-Sep-2025"/>
    <s v="Thursday"/>
    <s v="Weekly - Thursday"/>
    <s v="Weekly - Thursday"/>
    <s v="Same Month Expiry"/>
    <n v="351117533"/>
    <n v="58247538.329999998"/>
    <n v="29363.25"/>
  </r>
  <r>
    <s v="18-Sep-2025"/>
    <x v="3"/>
    <s v="Week3-Sep-2025"/>
    <x v="0"/>
    <s v="25-Sep-2025"/>
    <s v="Thursday"/>
    <s v="Monthly - Thursday"/>
    <s v="Monthly - Thursday"/>
    <s v="Same Month Expiry"/>
    <n v="1928304"/>
    <n v="320277.09999999998"/>
    <n v="807.26"/>
  </r>
  <r>
    <s v="18-Sep-2025"/>
    <x v="3"/>
    <s v="Week3-Sep-2025"/>
    <x v="0"/>
    <s v="01-Oct-2025"/>
    <s v="Wednesday"/>
    <s v="Weekly - Wednesday"/>
    <s v="Weekly - Wednesday"/>
    <s v="Month+1 Expiry"/>
    <n v="17959"/>
    <n v="2988.19"/>
    <n v="12.73"/>
  </r>
  <r>
    <s v="18-Sep-2025"/>
    <x v="3"/>
    <s v="Week3-Sep-2025"/>
    <x v="0"/>
    <s v="09-Oct-2025"/>
    <s v="Thursday"/>
    <s v="Weekly - Thursday"/>
    <s v="Weekly - Thursday"/>
    <s v="Month+1 Expiry"/>
    <n v="281"/>
    <n v="47.64"/>
    <n v="0.21"/>
  </r>
  <r>
    <s v="18-Sep-2025"/>
    <x v="3"/>
    <s v="Week3-Sep-2025"/>
    <x v="0"/>
    <s v="16-Oct-2025"/>
    <s v="Thursday"/>
    <s v="Weekly - Thursday"/>
    <s v="Weekly - Thursday"/>
    <s v="Month+1 Expiry"/>
    <n v="0"/>
    <n v="0"/>
    <n v="0"/>
  </r>
  <r>
    <s v="18-Sep-2025"/>
    <x v="3"/>
    <s v="Week3-Sep-2025"/>
    <x v="0"/>
    <s v="23-Oct-2025"/>
    <s v="Thursday"/>
    <s v="Weekly - Thursday"/>
    <s v="Weekly - Thursday"/>
    <s v="Month+1 Expiry"/>
    <n v="0"/>
    <n v="0"/>
    <n v="0"/>
  </r>
  <r>
    <s v="18-Sep-2025"/>
    <x v="3"/>
    <s v="Week3-Sep-2025"/>
    <x v="0"/>
    <s v="30-Oct-2025"/>
    <s v="Thursday"/>
    <s v="Monthly - Thursday"/>
    <s v="Monthly - Thursday"/>
    <s v="Month+1 Expiry"/>
    <n v="2926"/>
    <n v="490.23"/>
    <n v="3.81"/>
  </r>
  <r>
    <s v="19-Sep-2025"/>
    <x v="4"/>
    <s v="Week3-Sep-2025"/>
    <x v="0"/>
    <s v="25-Sep-2025"/>
    <s v="Thursday"/>
    <s v="Monthly - Thursday"/>
    <s v="MDAW - Thursday"/>
    <s v="Same Month Expiry"/>
    <n v="17376796"/>
    <n v="2883431.53"/>
    <n v="7001.19"/>
  </r>
  <r>
    <s v="19-Sep-2025"/>
    <x v="4"/>
    <s v="Week3-Sep-2025"/>
    <x v="0"/>
    <s v="01-Oct-2025"/>
    <s v="Wednesday"/>
    <s v="Weekly - Wednesday"/>
    <s v="Weekly - Wednesday"/>
    <s v="Month+1 Expiry"/>
    <n v="70585"/>
    <n v="11754.69"/>
    <n v="49.99"/>
  </r>
  <r>
    <s v="19-Sep-2025"/>
    <x v="4"/>
    <s v="Week3-Sep-2025"/>
    <x v="0"/>
    <s v="09-Oct-2025"/>
    <s v="Thursday"/>
    <s v="Weekly - Thursday"/>
    <s v="Weekly - Thursday"/>
    <s v="Month+1 Expiry"/>
    <n v="1316"/>
    <n v="220.42"/>
    <n v="1.6"/>
  </r>
  <r>
    <s v="19-Sep-2025"/>
    <x v="4"/>
    <s v="Week3-Sep-2025"/>
    <x v="0"/>
    <s v="16-Oct-2025"/>
    <s v="Thursday"/>
    <s v="Weekly - Thursday"/>
    <s v="Weekly - Thursday"/>
    <s v="Month+1 Expiry"/>
    <n v="0"/>
    <n v="0"/>
    <n v="0"/>
  </r>
  <r>
    <s v="19-Sep-2025"/>
    <x v="4"/>
    <s v="Week3-Sep-2025"/>
    <x v="0"/>
    <s v="23-Oct-2025"/>
    <s v="Thursday"/>
    <s v="Weekly - Thursday"/>
    <s v="Weekly - Thursday"/>
    <s v="Month+1 Expiry"/>
    <n v="2"/>
    <n v="0.34"/>
    <n v="0"/>
  </r>
  <r>
    <s v="19-Sep-2025"/>
    <x v="4"/>
    <s v="Week3-Sep-2025"/>
    <x v="0"/>
    <s v="30-Oct-2025"/>
    <s v="Thursday"/>
    <s v="Monthly - Thursday"/>
    <s v="Monthly - Thursday"/>
    <s v="Month+1 Expiry"/>
    <n v="3521"/>
    <n v="588.85"/>
    <n v="4.1500000000000004"/>
  </r>
  <r>
    <s v="22-Sep-2025"/>
    <x v="0"/>
    <s v="Week4-Sep-2025"/>
    <x v="0"/>
    <s v="25-Sep-2025"/>
    <s v="Thursday"/>
    <s v="Monthly - Thursday"/>
    <s v="MDAW - Thursday"/>
    <s v="Same Month Expiry"/>
    <n v="23747754"/>
    <n v="3928049.42"/>
    <n v="8220.4699999999993"/>
  </r>
  <r>
    <s v="22-Sep-2025"/>
    <x v="0"/>
    <s v="Week4-Sep-2025"/>
    <x v="0"/>
    <s v="01-Oct-2025"/>
    <s v="Wednesday"/>
    <s v="Weekly - Wednesday"/>
    <s v="Weekly - Wednesday"/>
    <s v="Month+1 Expiry"/>
    <n v="164335"/>
    <n v="27242.97"/>
    <n v="97.06"/>
  </r>
  <r>
    <s v="22-Sep-2025"/>
    <x v="0"/>
    <s v="Week4-Sep-2025"/>
    <x v="0"/>
    <s v="09-Oct-2025"/>
    <s v="Thursday"/>
    <s v="Weekly - Thursday"/>
    <s v="Weekly - Thursday"/>
    <s v="Month+1 Expiry"/>
    <n v="3841"/>
    <n v="640.61"/>
    <n v="4.38"/>
  </r>
  <r>
    <s v="22-Sep-2025"/>
    <x v="0"/>
    <s v="Week4-Sep-2025"/>
    <x v="0"/>
    <s v="16-Oct-2025"/>
    <s v="Thursday"/>
    <s v="Weekly - Thursday"/>
    <s v="Weekly - Thursday"/>
    <s v="Month+1 Expiry"/>
    <n v="7"/>
    <n v="1.17"/>
    <n v="0.01"/>
  </r>
  <r>
    <s v="22-Sep-2025"/>
    <x v="0"/>
    <s v="Week4-Sep-2025"/>
    <x v="0"/>
    <s v="23-Oct-2025"/>
    <s v="Thursday"/>
    <s v="Weekly - Thursday"/>
    <s v="Weekly - Thursday"/>
    <s v="Month+1 Expiry"/>
    <n v="9"/>
    <n v="1.52"/>
    <n v="0.02"/>
  </r>
  <r>
    <s v="22-Sep-2025"/>
    <x v="0"/>
    <s v="Week4-Sep-2025"/>
    <x v="0"/>
    <s v="30-Oct-2025"/>
    <s v="Thursday"/>
    <s v="Monthly - Thursday"/>
    <s v="Monthly - Thursday"/>
    <s v="Month+1 Expiry"/>
    <n v="4159"/>
    <n v="694.7"/>
    <n v="5.05"/>
  </r>
  <r>
    <s v="23-Sep-2025"/>
    <x v="1"/>
    <s v="Week4-Sep-2025"/>
    <x v="0"/>
    <s v="25-Sep-2025"/>
    <s v="Thursday"/>
    <s v="Monthly - Thursday"/>
    <s v="MDAW - Thursday"/>
    <s v="Same Month Expiry"/>
    <n v="30068388"/>
    <n v="4957872.07"/>
    <n v="9169.33"/>
  </r>
  <r>
    <s v="23-Sep-2025"/>
    <x v="1"/>
    <s v="Week4-Sep-2025"/>
    <x v="0"/>
    <s v="01-Oct-2025"/>
    <s v="Wednesday"/>
    <s v="Weekly - Wednesday"/>
    <s v="Weekly - Wednesday"/>
    <s v="Month+1 Expiry"/>
    <n v="316259"/>
    <n v="52298.61"/>
    <n v="193.91"/>
  </r>
  <r>
    <s v="23-Sep-2025"/>
    <x v="1"/>
    <s v="Week4-Sep-2025"/>
    <x v="0"/>
    <s v="09-Oct-2025"/>
    <s v="Thursday"/>
    <s v="Weekly - Thursday"/>
    <s v="Weekly - Thursday"/>
    <s v="Month+1 Expiry"/>
    <n v="7901"/>
    <n v="1312.71"/>
    <n v="9.6"/>
  </r>
  <r>
    <s v="23-Sep-2025"/>
    <x v="1"/>
    <s v="Week4-Sep-2025"/>
    <x v="0"/>
    <s v="16-Oct-2025"/>
    <s v="Thursday"/>
    <s v="Weekly - Thursday"/>
    <s v="Weekly - Thursday"/>
    <s v="Month+1 Expiry"/>
    <n v="1"/>
    <n v="0.16"/>
    <n v="0"/>
  </r>
  <r>
    <s v="23-Sep-2025"/>
    <x v="1"/>
    <s v="Week4-Sep-2025"/>
    <x v="0"/>
    <s v="23-Oct-2025"/>
    <s v="Thursday"/>
    <s v="Weekly - Thursday"/>
    <s v="Weekly - Thursday"/>
    <s v="Month+1 Expiry"/>
    <n v="0"/>
    <n v="0"/>
    <n v="0"/>
  </r>
  <r>
    <s v="23-Sep-2025"/>
    <x v="1"/>
    <s v="Week4-Sep-2025"/>
    <x v="0"/>
    <s v="30-Oct-2025"/>
    <s v="Thursday"/>
    <s v="Monthly - Thursday"/>
    <s v="Monthly - Thursday"/>
    <s v="Month+1 Expiry"/>
    <n v="3768"/>
    <n v="628.75"/>
    <n v="4.95"/>
  </r>
  <r>
    <s v="24-Sep-2025"/>
    <x v="2"/>
    <s v="Week4-Sep-2025"/>
    <x v="0"/>
    <s v="25-Sep-2025"/>
    <s v="Thursday"/>
    <s v="Monthly - Thursday"/>
    <s v="MDAW - Thursday"/>
    <s v="Same Month Expiry"/>
    <n v="111212431"/>
    <n v="18242116.829999998"/>
    <n v="22829.57"/>
  </r>
  <r>
    <s v="24-Sep-2025"/>
    <x v="2"/>
    <s v="Week4-Sep-2025"/>
    <x v="0"/>
    <s v="01-Oct-2025"/>
    <s v="Wednesday"/>
    <s v="Weekly - Wednesday"/>
    <s v="Weekly - Wednesday"/>
    <s v="Month+1 Expiry"/>
    <n v="639422"/>
    <n v="105312.41"/>
    <n v="301"/>
  </r>
  <r>
    <s v="24-Sep-2025"/>
    <x v="2"/>
    <s v="Week4-Sep-2025"/>
    <x v="0"/>
    <s v="09-Oct-2025"/>
    <s v="Thursday"/>
    <s v="Weekly - Thursday"/>
    <s v="Weekly - Thursday"/>
    <s v="Month+1 Expiry"/>
    <n v="8581"/>
    <n v="1418.25"/>
    <n v="7.25"/>
  </r>
  <r>
    <s v="24-Sep-2025"/>
    <x v="2"/>
    <s v="Week4-Sep-2025"/>
    <x v="0"/>
    <s v="16-Oct-2025"/>
    <s v="Thursday"/>
    <s v="Weekly - Thursday"/>
    <s v="Weekly - Thursday"/>
    <s v="Month+1 Expiry"/>
    <n v="5"/>
    <n v="0.83"/>
    <n v="0.02"/>
  </r>
  <r>
    <s v="24-Sep-2025"/>
    <x v="2"/>
    <s v="Week4-Sep-2025"/>
    <x v="0"/>
    <s v="23-Oct-2025"/>
    <s v="Thursday"/>
    <s v="Weekly - Thursday"/>
    <s v="Weekly - Thursday"/>
    <s v="Month+1 Expiry"/>
    <n v="0"/>
    <n v="0"/>
    <n v="0"/>
  </r>
  <r>
    <s v="24-Sep-2025"/>
    <x v="2"/>
    <s v="Week4-Sep-2025"/>
    <x v="0"/>
    <s v="30-Oct-2025"/>
    <s v="Thursday"/>
    <s v="Monthly - Thursday"/>
    <s v="Monthly - Thursday"/>
    <s v="Month+1 Expiry"/>
    <n v="5252"/>
    <n v="870.56"/>
    <n v="6.62"/>
  </r>
  <r>
    <s v="25-Sep-2025"/>
    <x v="3"/>
    <s v="Week4-Sep-2025"/>
    <x v="0"/>
    <s v="25-Sep-2025"/>
    <s v="Thursday"/>
    <s v="Monthly - Thursday"/>
    <s v="MDAW - Thursday"/>
    <s v="Same Month Expiry"/>
    <n v="373937295"/>
    <n v="61014357.829999998"/>
    <n v="35043.74"/>
  </r>
  <r>
    <s v="25-Sep-2025"/>
    <x v="3"/>
    <s v="Week4-Sep-2025"/>
    <x v="0"/>
    <s v="01-Oct-2025"/>
    <s v="Wednesday"/>
    <s v="Weekly - Wednesday"/>
    <s v="Weekly - Wednesday"/>
    <s v="Month+1 Expiry"/>
    <n v="1912405"/>
    <n v="313497.33"/>
    <n v="843.14"/>
  </r>
  <r>
    <s v="25-Sep-2025"/>
    <x v="3"/>
    <s v="Week4-Sep-2025"/>
    <x v="0"/>
    <s v="09-Oct-2025"/>
    <s v="Thursday"/>
    <s v="Weekly - Thursday"/>
    <s v="Weekly - Thursday"/>
    <s v="Month+1 Expiry"/>
    <n v="17591"/>
    <n v="2900.32"/>
    <n v="14.74"/>
  </r>
  <r>
    <s v="25-Sep-2025"/>
    <x v="3"/>
    <s v="Week4-Sep-2025"/>
    <x v="0"/>
    <s v="16-Oct-2025"/>
    <s v="Thursday"/>
    <s v="Weekly - Thursday"/>
    <s v="Weekly - Thursday"/>
    <s v="Month+1 Expiry"/>
    <n v="3"/>
    <n v="0.49"/>
    <n v="0"/>
  </r>
  <r>
    <s v="25-Sep-2025"/>
    <x v="3"/>
    <s v="Week4-Sep-2025"/>
    <x v="0"/>
    <s v="23-Oct-2025"/>
    <s v="Thursday"/>
    <s v="Weekly - Thursday"/>
    <s v="Weekly - Thursday"/>
    <s v="Month+1 Expiry"/>
    <n v="6"/>
    <n v="1.06"/>
    <n v="0.04"/>
  </r>
  <r>
    <s v="25-Sep-2025"/>
    <x v="3"/>
    <s v="Week4-Sep-2025"/>
    <x v="0"/>
    <s v="30-Oct-2025"/>
    <s v="Thursday"/>
    <s v="Monthly - Thursday"/>
    <s v="Monthly - Thursday"/>
    <s v="Month+1 Expiry"/>
    <n v="11195"/>
    <n v="1831.22"/>
    <n v="13.55"/>
  </r>
  <r>
    <s v="25-Sep-2025"/>
    <x v="3"/>
    <s v="Week4-Sep-2025"/>
    <x v="0"/>
    <s v="06-Nov-2025"/>
    <s v="Thursday"/>
    <s v="Weekly - Thursday"/>
    <s v="Weekly - Thursday"/>
    <s v="Month+2 Expiry"/>
    <n v="2"/>
    <n v="0.34"/>
    <n v="0.01"/>
  </r>
  <r>
    <s v="25-Sep-2025"/>
    <x v="3"/>
    <s v="Week4-Sep-2025"/>
    <x v="0"/>
    <s v="24-Dec-2025"/>
    <s v="Wednesday"/>
    <s v="Weekly - Wednesday"/>
    <s v="Weekly - Wednesday"/>
    <s v="Month+3 Expiry"/>
    <n v="6"/>
    <n v="1"/>
    <n v="0.02"/>
  </r>
  <r>
    <s v="26-Sep-2025"/>
    <x v="4"/>
    <s v="Week4-Sep-2025"/>
    <x v="0"/>
    <s v="01-Oct-2025"/>
    <s v="Wednesday"/>
    <s v="Weekly - Wednesday"/>
    <s v="Weekly - Wednesday"/>
    <s v="Month+1 Expiry"/>
    <n v="19601513"/>
    <n v="3180509.85"/>
    <n v="8432.26"/>
  </r>
  <r>
    <s v="26-Sep-2025"/>
    <x v="4"/>
    <s v="Week4-Sep-2025"/>
    <x v="0"/>
    <s v="09-Oct-2025"/>
    <s v="Thursday"/>
    <s v="Weekly - Thursday"/>
    <s v="Weekly - Thursday"/>
    <s v="Month+1 Expiry"/>
    <n v="87505"/>
    <n v="14333.14"/>
    <n v="65.09"/>
  </r>
  <r>
    <s v="26-Sep-2025"/>
    <x v="4"/>
    <s v="Week4-Sep-2025"/>
    <x v="0"/>
    <s v="16-Oct-2025"/>
    <s v="Thursday"/>
    <s v="Weekly - Thursday"/>
    <s v="Weekly - Thursday"/>
    <s v="Month+1 Expiry"/>
    <n v="1594"/>
    <n v="260.38"/>
    <n v="2.13"/>
  </r>
  <r>
    <s v="26-Sep-2025"/>
    <x v="4"/>
    <s v="Week4-Sep-2025"/>
    <x v="0"/>
    <s v="23-Oct-2025"/>
    <s v="Thursday"/>
    <s v="Weekly - Thursday"/>
    <s v="Weekly - Thursday"/>
    <s v="Month+1 Expiry"/>
    <n v="32"/>
    <n v="5.31"/>
    <n v="0.06"/>
  </r>
  <r>
    <s v="26-Sep-2025"/>
    <x v="4"/>
    <s v="Week4-Sep-2025"/>
    <x v="0"/>
    <s v="30-Oct-2025"/>
    <s v="Thursday"/>
    <s v="Monthly - Thursday"/>
    <s v="Monthly - Thursday"/>
    <s v="Month+1 Expiry"/>
    <n v="17476"/>
    <n v="2865.66"/>
    <n v="20.83"/>
  </r>
  <r>
    <s v="26-Sep-2025"/>
    <x v="4"/>
    <s v="Week4-Sep-2025"/>
    <x v="0"/>
    <s v="06-Nov-2025"/>
    <s v="Thursday"/>
    <s v="Weekly - Thursday"/>
    <s v="Weekly - Thursday"/>
    <s v="Month+2 Expiry"/>
    <n v="2"/>
    <n v="0.34"/>
    <n v="0.01"/>
  </r>
  <r>
    <s v="29-Sep-2025"/>
    <x v="0"/>
    <s v="Week5-Sep-2025"/>
    <x v="0"/>
    <s v="01-Oct-2025"/>
    <s v="Wednesday"/>
    <s v="Weekly - Wednesday"/>
    <s v="Weekly - Wednesday"/>
    <s v="Month+1 Expiry"/>
    <n v="27288562"/>
    <n v="4411854.6500000004"/>
    <n v="9875.1299999999992"/>
  </r>
  <r>
    <s v="29-Sep-2025"/>
    <x v="0"/>
    <s v="Week5-Sep-2025"/>
    <x v="0"/>
    <s v="09-Oct-2025"/>
    <s v="Thursday"/>
    <s v="Weekly - Thursday"/>
    <s v="Weekly - Thursday"/>
    <s v="Month+1 Expiry"/>
    <n v="130780"/>
    <n v="21297.39"/>
    <n v="94.19"/>
  </r>
  <r>
    <s v="29-Sep-2025"/>
    <x v="0"/>
    <s v="Week5-Sep-2025"/>
    <x v="0"/>
    <s v="16-Oct-2025"/>
    <s v="Thursday"/>
    <s v="Weekly - Thursday"/>
    <s v="Weekly - Thursday"/>
    <s v="Month+1 Expiry"/>
    <n v="1696"/>
    <n v="275.02999999999997"/>
    <n v="1.84"/>
  </r>
  <r>
    <s v="29-Sep-2025"/>
    <x v="0"/>
    <s v="Week5-Sep-2025"/>
    <x v="0"/>
    <s v="23-Oct-2025"/>
    <s v="Thursday"/>
    <s v="Weekly - Thursday"/>
    <s v="Weekly - Thursday"/>
    <s v="Month+1 Expiry"/>
    <n v="32"/>
    <n v="5.23"/>
    <n v="7.0000000000000007E-2"/>
  </r>
  <r>
    <s v="29-Sep-2025"/>
    <x v="0"/>
    <s v="Week5-Sep-2025"/>
    <x v="0"/>
    <s v="30-Oct-2025"/>
    <s v="Thursday"/>
    <s v="Monthly - Thursday"/>
    <s v="Monthly - Thursday"/>
    <s v="Month+1 Expiry"/>
    <n v="13610"/>
    <n v="2225.83"/>
    <n v="17.73"/>
  </r>
  <r>
    <s v="30-Sep-2025"/>
    <x v="1"/>
    <s v="Week5-Sep-2025"/>
    <x v="0"/>
    <s v="01-Oct-2025"/>
    <s v="Wednesday"/>
    <s v="Weekly - Wednesday"/>
    <s v="Weekly - Wednesday"/>
    <s v="Month+1 Expiry"/>
    <n v="30746266"/>
    <n v="4962138.1900000004"/>
    <n v="8391.35"/>
  </r>
  <r>
    <s v="30-Sep-2025"/>
    <x v="1"/>
    <s v="Week5-Sep-2025"/>
    <x v="0"/>
    <s v="09-Oct-2025"/>
    <s v="Thursday"/>
    <s v="Weekly - Thursday"/>
    <s v="Weekly - Thursday"/>
    <s v="Month+1 Expiry"/>
    <n v="306984"/>
    <n v="49827.360000000001"/>
    <n v="171.2"/>
  </r>
  <r>
    <s v="30-Sep-2025"/>
    <x v="1"/>
    <s v="Week5-Sep-2025"/>
    <x v="0"/>
    <s v="16-Oct-2025"/>
    <s v="Thursday"/>
    <s v="Weekly - Thursday"/>
    <s v="Weekly - Thursday"/>
    <s v="Month+1 Expiry"/>
    <n v="1959"/>
    <n v="319.38"/>
    <n v="1.32"/>
  </r>
  <r>
    <s v="30-Sep-2025"/>
    <x v="1"/>
    <s v="Week5-Sep-2025"/>
    <x v="0"/>
    <s v="23-Oct-2025"/>
    <s v="Thursday"/>
    <s v="Weekly - Thursday"/>
    <s v="Weekly - Thursday"/>
    <s v="Month+1 Expiry"/>
    <n v="9"/>
    <n v="1.48"/>
    <n v="0.01"/>
  </r>
  <r>
    <s v="30-Sep-2025"/>
    <x v="1"/>
    <s v="Week5-Sep-2025"/>
    <x v="0"/>
    <s v="30-Oct-2025"/>
    <s v="Thursday"/>
    <s v="Monthly - Thursday"/>
    <s v="Monthly - Thursday"/>
    <s v="Month+1 Expiry"/>
    <n v="11030"/>
    <n v="1802.85"/>
    <n v="12.63"/>
  </r>
  <r>
    <s v="30-Sep-2025"/>
    <x v="1"/>
    <s v="Week5-Sep-2025"/>
    <x v="0"/>
    <s v="06-Nov-2025"/>
    <s v="Thursday"/>
    <s v="Weekly - Thursday"/>
    <s v="Weekly - Thursday"/>
    <s v="Month+2 Expiry"/>
    <n v="1"/>
    <n v="0.15"/>
    <n v="0"/>
  </r>
  <r>
    <s v="01-Oct-2025"/>
    <x v="2"/>
    <s v="Week1-Oct-2025"/>
    <x v="1"/>
    <s v="01-Oct-2025"/>
    <s v="Wednesday"/>
    <s v="Weekly - Wednesday"/>
    <s v="Weekly - Wednesday"/>
    <s v="Same Month Expiry"/>
    <n v="410094220"/>
    <n v="66273440.600000001"/>
    <n v="41043.629999999997"/>
  </r>
  <r>
    <s v="01-Oct-2025"/>
    <x v="2"/>
    <s v="Week1-Oct-2025"/>
    <x v="1"/>
    <s v="09-Oct-2025"/>
    <s v="Thursday"/>
    <s v="Weekly - Thursday"/>
    <s v="Weekly - Thursday"/>
    <s v="Same Month Expiry"/>
    <n v="1943067"/>
    <n v="314106.74"/>
    <n v="860.49"/>
  </r>
  <r>
    <s v="01-Oct-2025"/>
    <x v="2"/>
    <s v="Week1-Oct-2025"/>
    <x v="1"/>
    <s v="16-Oct-2025"/>
    <s v="Thursday"/>
    <s v="Weekly - Thursday"/>
    <s v="Weekly - Thursday"/>
    <s v="Same Month Expiry"/>
    <n v="12850"/>
    <n v="2096.1"/>
    <n v="9.93"/>
  </r>
  <r>
    <s v="01-Oct-2025"/>
    <x v="2"/>
    <s v="Week1-Oct-2025"/>
    <x v="1"/>
    <s v="23-Oct-2025"/>
    <s v="Thursday"/>
    <s v="Weekly - Thursday"/>
    <s v="Weekly - Thursday"/>
    <s v="Same Month Expiry"/>
    <n v="7222"/>
    <n v="1189.07"/>
    <n v="7.88"/>
  </r>
  <r>
    <s v="01-Oct-2025"/>
    <x v="2"/>
    <s v="Week1-Oct-2025"/>
    <x v="1"/>
    <s v="30-Oct-2025"/>
    <s v="Thursday"/>
    <s v="Monthly - Thursday"/>
    <s v="Monthly - Thursday"/>
    <s v="Same Month Expiry"/>
    <n v="30128"/>
    <n v="4931.46"/>
    <n v="33.15"/>
  </r>
  <r>
    <s v="01-Oct-2025"/>
    <x v="2"/>
    <s v="Week1-Oct-2025"/>
    <x v="1"/>
    <s v="06-Nov-2025"/>
    <s v="Thursday"/>
    <s v="Weekly - Thursday"/>
    <s v="Weekly - Thursday"/>
    <s v="Month+1 Expiry"/>
    <n v="3"/>
    <n v="0.45"/>
    <n v="0"/>
  </r>
  <r>
    <s v="03-Oct-2025"/>
    <x v="4"/>
    <s v="Week1-Oct-2025"/>
    <x v="1"/>
    <s v="09-Oct-2025"/>
    <s v="Thursday"/>
    <s v="Weekly - Thursday"/>
    <s v="Weekly - Thursday"/>
    <s v="Same Month Expiry"/>
    <n v="20807348"/>
    <n v="3382479.11"/>
    <n v="8467.0400000000009"/>
  </r>
  <r>
    <s v="03-Oct-2025"/>
    <x v="4"/>
    <s v="Week1-Oct-2025"/>
    <x v="1"/>
    <s v="16-Oct-2025"/>
    <s v="Thursday"/>
    <s v="Weekly - Thursday"/>
    <s v="Weekly - Thursday"/>
    <s v="Same Month Expiry"/>
    <n v="67891"/>
    <n v="11084.09"/>
    <n v="46.29"/>
  </r>
  <r>
    <s v="03-Oct-2025"/>
    <x v="4"/>
    <s v="Week1-Oct-2025"/>
    <x v="1"/>
    <s v="23-Oct-2025"/>
    <s v="Thursday"/>
    <s v="Weekly - Thursday"/>
    <s v="Weekly - Thursday"/>
    <s v="Same Month Expiry"/>
    <n v="12159"/>
    <n v="2000.18"/>
    <n v="11.76"/>
  </r>
  <r>
    <s v="03-Oct-2025"/>
    <x v="4"/>
    <s v="Week1-Oct-2025"/>
    <x v="1"/>
    <s v="30-Oct-2025"/>
    <s v="Thursday"/>
    <s v="Monthly - Thursday"/>
    <s v="Monthly - Thursday"/>
    <s v="Same Month Expiry"/>
    <n v="25341"/>
    <n v="4160.53"/>
    <n v="22.49"/>
  </r>
  <r>
    <s v="03-Oct-2025"/>
    <x v="4"/>
    <s v="Week1-Oct-2025"/>
    <x v="1"/>
    <s v="06-Nov-2025"/>
    <s v="Thursday"/>
    <s v="Weekly - Thursday"/>
    <s v="Weekly - Thursday"/>
    <s v="Month+1 Expiry"/>
    <n v="0"/>
    <n v="0"/>
    <n v="0"/>
  </r>
  <r>
    <s v="06-Oct-2025"/>
    <x v="0"/>
    <s v="Week1-Oct-2025"/>
    <x v="1"/>
    <s v="09-Oct-2025"/>
    <s v="Thursday"/>
    <s v="Weekly - Thursday"/>
    <s v="Weekly - Thursday"/>
    <s v="Same Month Expiry"/>
    <n v="26245699"/>
    <n v="4287820.3499999996"/>
    <n v="8659.83"/>
  </r>
  <r>
    <s v="06-Oct-2025"/>
    <x v="0"/>
    <s v="Week1-Oct-2025"/>
    <x v="1"/>
    <s v="16-Oct-2025"/>
    <s v="Thursday"/>
    <s v="Weekly - Thursday"/>
    <s v="Weekly - Thursday"/>
    <s v="Same Month Expiry"/>
    <n v="138152"/>
    <n v="22632.22"/>
    <n v="80.06"/>
  </r>
  <r>
    <s v="06-Oct-2025"/>
    <x v="0"/>
    <s v="Week1-Oct-2025"/>
    <x v="1"/>
    <s v="23-Oct-2025"/>
    <s v="Thursday"/>
    <s v="Weekly - Thursday"/>
    <s v="Weekly - Thursday"/>
    <s v="Same Month Expiry"/>
    <n v="7293"/>
    <n v="1203.8"/>
    <n v="5.56"/>
  </r>
  <r>
    <s v="06-Oct-2025"/>
    <x v="0"/>
    <s v="Week1-Oct-2025"/>
    <x v="1"/>
    <s v="30-Oct-2025"/>
    <s v="Thursday"/>
    <s v="Monthly - Thursday"/>
    <s v="Monthly - Thursday"/>
    <s v="Same Month Expiry"/>
    <n v="27400"/>
    <n v="4514.54"/>
    <n v="25"/>
  </r>
  <r>
    <s v="06-Oct-2025"/>
    <x v="0"/>
    <s v="Week1-Oct-2025"/>
    <x v="1"/>
    <s v="06-Nov-2025"/>
    <s v="Thursday"/>
    <s v="Weekly - Thursday"/>
    <s v="Weekly - Thursday"/>
    <s v="Month+1 Expiry"/>
    <n v="1"/>
    <n v="0.15"/>
    <n v="0"/>
  </r>
  <r>
    <s v="06-Oct-2025"/>
    <x v="0"/>
    <s v="Week1-Oct-2025"/>
    <x v="1"/>
    <s v="27-Nov-2025"/>
    <s v="Thursday"/>
    <s v="Monthly - Thursday"/>
    <s v="Monthly - Thursday"/>
    <s v="Month+1 Expiry"/>
    <n v="12"/>
    <n v="1.96"/>
    <n v="0.01"/>
  </r>
  <r>
    <s v="07-Oct-2025"/>
    <x v="1"/>
    <s v="Week1-Oct-2025"/>
    <x v="1"/>
    <s v="09-Oct-2025"/>
    <s v="Thursday"/>
    <s v="Weekly - Thursday"/>
    <s v="Weekly - Thursday"/>
    <s v="Same Month Expiry"/>
    <n v="38415008"/>
    <n v="6308748.1799999997"/>
    <n v="10441.629999999999"/>
  </r>
  <r>
    <s v="07-Oct-2025"/>
    <x v="1"/>
    <s v="Week1-Oct-2025"/>
    <x v="1"/>
    <s v="16-Oct-2025"/>
    <s v="Thursday"/>
    <s v="Weekly - Thursday"/>
    <s v="Weekly - Thursday"/>
    <s v="Same Month Expiry"/>
    <n v="292883"/>
    <n v="48144.15"/>
    <n v="145.55000000000001"/>
  </r>
  <r>
    <s v="07-Oct-2025"/>
    <x v="1"/>
    <s v="Week1-Oct-2025"/>
    <x v="1"/>
    <s v="23-Oct-2025"/>
    <s v="Thursday"/>
    <s v="Weekly - Thursday"/>
    <s v="Weekly - Thursday"/>
    <s v="Same Month Expiry"/>
    <n v="6573"/>
    <n v="1089.51"/>
    <n v="5.94"/>
  </r>
  <r>
    <s v="07-Oct-2025"/>
    <x v="1"/>
    <s v="Week1-Oct-2025"/>
    <x v="1"/>
    <s v="30-Oct-2025"/>
    <s v="Thursday"/>
    <s v="Monthly - Thursday"/>
    <s v="Monthly - Thursday"/>
    <s v="Same Month Expiry"/>
    <n v="26629"/>
    <n v="4406.28"/>
    <n v="26.97"/>
  </r>
  <r>
    <s v="07-Oct-2025"/>
    <x v="1"/>
    <s v="Week1-Oct-2025"/>
    <x v="1"/>
    <s v="06-Nov-2025"/>
    <s v="Thursday"/>
    <s v="Weekly - Thursday"/>
    <s v="Weekly - Thursday"/>
    <s v="Month+1 Expiry"/>
    <n v="1"/>
    <n v="0.15"/>
    <n v="0"/>
  </r>
  <r>
    <s v="07-Oct-2025"/>
    <x v="1"/>
    <s v="Week1-Oct-2025"/>
    <x v="1"/>
    <s v="27-Nov-2025"/>
    <s v="Thursday"/>
    <s v="Monthly - Thursday"/>
    <s v="Monthly - Thursday"/>
    <s v="Month+1 Expiry"/>
    <n v="34"/>
    <n v="5.59"/>
    <n v="0.05"/>
  </r>
  <r>
    <s v="08-Oct-2025"/>
    <x v="2"/>
    <s v="Week2-Oct-2025"/>
    <x v="1"/>
    <s v="09-Oct-2025"/>
    <s v="Thursday"/>
    <s v="Weekly - Thursday"/>
    <s v="Weekly - Thursday"/>
    <s v="Same Month Expiry"/>
    <n v="153866658"/>
    <n v="25240448.41"/>
    <n v="31640.53"/>
  </r>
  <r>
    <s v="08-Oct-2025"/>
    <x v="2"/>
    <s v="Week2-Oct-2025"/>
    <x v="1"/>
    <s v="16-Oct-2025"/>
    <s v="Thursday"/>
    <s v="Weekly - Thursday"/>
    <s v="Weekly - Thursday"/>
    <s v="Same Month Expiry"/>
    <n v="712809"/>
    <n v="117208.31"/>
    <n v="327.39999999999998"/>
  </r>
  <r>
    <s v="08-Oct-2025"/>
    <x v="2"/>
    <s v="Week2-Oct-2025"/>
    <x v="1"/>
    <s v="23-Oct-2025"/>
    <s v="Thursday"/>
    <s v="Weekly - Thursday"/>
    <s v="Weekly - Thursday"/>
    <s v="Same Month Expiry"/>
    <n v="9551"/>
    <n v="1576.44"/>
    <n v="8.11"/>
  </r>
  <r>
    <s v="08-Oct-2025"/>
    <x v="2"/>
    <s v="Week2-Oct-2025"/>
    <x v="1"/>
    <s v="30-Oct-2025"/>
    <s v="Thursday"/>
    <s v="Monthly - Thursday"/>
    <s v="Monthly - Thursday"/>
    <s v="Same Month Expiry"/>
    <n v="25074"/>
    <n v="4138.47"/>
    <n v="24.54"/>
  </r>
  <r>
    <s v="08-Oct-2025"/>
    <x v="2"/>
    <s v="Week2-Oct-2025"/>
    <x v="1"/>
    <s v="06-Nov-2025"/>
    <s v="Thursday"/>
    <s v="Weekly - Thursday"/>
    <s v="Weekly - Thursday"/>
    <s v="Month+1 Expiry"/>
    <n v="2"/>
    <n v="0.33"/>
    <n v="0"/>
  </r>
  <r>
    <s v="08-Oct-2025"/>
    <x v="2"/>
    <s v="Week2-Oct-2025"/>
    <x v="1"/>
    <s v="20-Nov-2025"/>
    <s v="Thursday"/>
    <s v="Weekly - Thursday"/>
    <s v="Weekly - Thursday"/>
    <s v="Month+1 Expiry"/>
    <n v="10"/>
    <n v="1.7"/>
    <n v="0.02"/>
  </r>
  <r>
    <s v="08-Oct-2025"/>
    <x v="2"/>
    <s v="Week2-Oct-2025"/>
    <x v="1"/>
    <s v="27-Nov-2025"/>
    <s v="Thursday"/>
    <s v="Monthly - Thursday"/>
    <s v="Monthly - Thursday"/>
    <s v="Month+1 Expiry"/>
    <n v="65"/>
    <n v="10.85"/>
    <n v="0.09"/>
  </r>
  <r>
    <s v="09-Oct-2025"/>
    <x v="3"/>
    <s v="Week2-Oct-2025"/>
    <x v="1"/>
    <s v="09-Oct-2025"/>
    <s v="Thursday"/>
    <s v="Weekly - Thursday"/>
    <s v="Weekly - Thursday"/>
    <s v="Same Month Expiry"/>
    <n v="447730234"/>
    <n v="73474683.599999994"/>
    <n v="43954.26"/>
  </r>
  <r>
    <s v="09-Oct-2025"/>
    <x v="3"/>
    <s v="Week2-Oct-2025"/>
    <x v="1"/>
    <s v="16-Oct-2025"/>
    <s v="Thursday"/>
    <s v="Weekly - Thursday"/>
    <s v="Weekly - Thursday"/>
    <s v="Same Month Expiry"/>
    <n v="2079840"/>
    <n v="341455.4"/>
    <n v="878.38"/>
  </r>
  <r>
    <s v="09-Oct-2025"/>
    <x v="3"/>
    <s v="Week2-Oct-2025"/>
    <x v="1"/>
    <s v="23-Oct-2025"/>
    <s v="Thursday"/>
    <s v="Weekly - Thursday"/>
    <s v="Weekly - Thursday"/>
    <s v="Same Month Expiry"/>
    <n v="16011"/>
    <n v="2647.01"/>
    <n v="11.68"/>
  </r>
  <r>
    <s v="09-Oct-2025"/>
    <x v="3"/>
    <s v="Week2-Oct-2025"/>
    <x v="1"/>
    <s v="30-Oct-2025"/>
    <s v="Thursday"/>
    <s v="Monthly - Thursday"/>
    <s v="Monthly - Thursday"/>
    <s v="Same Month Expiry"/>
    <n v="22681"/>
    <n v="3749.58"/>
    <n v="22.43"/>
  </r>
  <r>
    <s v="09-Oct-2025"/>
    <x v="3"/>
    <s v="Week2-Oct-2025"/>
    <x v="1"/>
    <s v="06-Nov-2025"/>
    <s v="Thursday"/>
    <s v="Weekly - Thursday"/>
    <s v="Weekly - Thursday"/>
    <s v="Month+1 Expiry"/>
    <n v="0"/>
    <n v="0"/>
    <n v="0"/>
  </r>
  <r>
    <s v="09-Oct-2025"/>
    <x v="3"/>
    <s v="Week2-Oct-2025"/>
    <x v="1"/>
    <s v="20-Nov-2025"/>
    <s v="Thursday"/>
    <s v="Weekly - Thursday"/>
    <s v="Weekly - Thursday"/>
    <s v="Month+1 Expiry"/>
    <n v="0"/>
    <n v="0"/>
    <n v="0"/>
  </r>
  <r>
    <s v="09-Oct-2025"/>
    <x v="3"/>
    <s v="Week2-Oct-2025"/>
    <x v="1"/>
    <s v="27-Nov-2025"/>
    <s v="Thursday"/>
    <s v="Monthly - Thursday"/>
    <s v="Monthly - Thursday"/>
    <s v="Month+1 Expiry"/>
    <n v="28"/>
    <n v="4.6399999999999997"/>
    <n v="0.05"/>
  </r>
  <r>
    <s v="10-Oct-2025"/>
    <x v="4"/>
    <s v="Week2-Oct-2025"/>
    <x v="1"/>
    <s v="16-Oct-2025"/>
    <s v="Thursday"/>
    <s v="Weekly - Thursday"/>
    <s v="Weekly - Thursday"/>
    <s v="Same Month Expiry"/>
    <n v="21427448"/>
    <n v="3545540.31"/>
    <n v="9040.5300000000007"/>
  </r>
  <r>
    <s v="10-Oct-2025"/>
    <x v="4"/>
    <s v="Week2-Oct-2025"/>
    <x v="1"/>
    <s v="23-Oct-2025"/>
    <s v="Thursday"/>
    <s v="Weekly - Thursday"/>
    <s v="Weekly - Thursday"/>
    <s v="Same Month Expiry"/>
    <n v="72546"/>
    <n v="12040.04"/>
    <n v="49.36"/>
  </r>
  <r>
    <s v="10-Oct-2025"/>
    <x v="4"/>
    <s v="Week2-Oct-2025"/>
    <x v="1"/>
    <s v="30-Oct-2025"/>
    <s v="Thursday"/>
    <s v="Monthly - Thursday"/>
    <s v="Monthly - Thursday"/>
    <s v="Same Month Expiry"/>
    <n v="39478"/>
    <n v="6559.13"/>
    <n v="36.130000000000003"/>
  </r>
  <r>
    <s v="10-Oct-2025"/>
    <x v="4"/>
    <s v="Week2-Oct-2025"/>
    <x v="1"/>
    <s v="06-Nov-2025"/>
    <s v="Thursday"/>
    <s v="Weekly - Thursday"/>
    <s v="Weekly - Thursday"/>
    <s v="Month+1 Expiry"/>
    <n v="200"/>
    <n v="33.92"/>
    <n v="0.69"/>
  </r>
  <r>
    <s v="10-Oct-2025"/>
    <x v="4"/>
    <s v="Week2-Oct-2025"/>
    <x v="1"/>
    <s v="20-Nov-2025"/>
    <s v="Thursday"/>
    <s v="Weekly - Thursday"/>
    <s v="Weekly - Thursday"/>
    <s v="Month+1 Expiry"/>
    <n v="0"/>
    <n v="0"/>
    <n v="0"/>
  </r>
  <r>
    <s v="10-Oct-2025"/>
    <x v="4"/>
    <s v="Week2-Oct-2025"/>
    <x v="1"/>
    <s v="27-Nov-2025"/>
    <s v="Thursday"/>
    <s v="Monthly - Thursday"/>
    <s v="Monthly - Thursday"/>
    <s v="Month+1 Expiry"/>
    <n v="841"/>
    <n v="140.38"/>
    <n v="1.3"/>
  </r>
  <r>
    <s v="13-Oct-2025"/>
    <x v="0"/>
    <s v="Week2-Oct-2025"/>
    <x v="1"/>
    <s v="16-Oct-2025"/>
    <s v="Thursday"/>
    <s v="Weekly - Thursday"/>
    <s v="Weekly - Thursday"/>
    <s v="Same Month Expiry"/>
    <n v="26169967"/>
    <n v="4313686.0199999996"/>
    <n v="10202.91"/>
  </r>
  <r>
    <s v="13-Oct-2025"/>
    <x v="0"/>
    <s v="Week2-Oct-2025"/>
    <x v="1"/>
    <s v="23-Oct-2025"/>
    <s v="Thursday"/>
    <s v="Weekly - Thursday"/>
    <s v="Weekly - Thursday"/>
    <s v="Same Month Expiry"/>
    <n v="129231"/>
    <n v="21335.55"/>
    <n v="75.77"/>
  </r>
  <r>
    <s v="13-Oct-2025"/>
    <x v="0"/>
    <s v="Week2-Oct-2025"/>
    <x v="1"/>
    <s v="30-Oct-2025"/>
    <s v="Thursday"/>
    <s v="Monthly - Thursday"/>
    <s v="Monthly - Thursday"/>
    <s v="Same Month Expiry"/>
    <n v="35939"/>
    <n v="5957.78"/>
    <n v="31.01"/>
  </r>
  <r>
    <s v="13-Oct-2025"/>
    <x v="0"/>
    <s v="Week2-Oct-2025"/>
    <x v="1"/>
    <s v="06-Nov-2025"/>
    <s v="Thursday"/>
    <s v="Weekly - Thursday"/>
    <s v="Weekly - Thursday"/>
    <s v="Month+1 Expiry"/>
    <n v="111"/>
    <n v="18.440000000000001"/>
    <n v="0.22"/>
  </r>
  <r>
    <s v="13-Oct-2025"/>
    <x v="0"/>
    <s v="Week2-Oct-2025"/>
    <x v="1"/>
    <s v="13-Nov-2025"/>
    <s v="Thursday"/>
    <s v="Weekly - Thursday"/>
    <s v="Weekly - Thursday"/>
    <s v="Month+1 Expiry"/>
    <n v="4"/>
    <n v="0.66"/>
    <n v="0.04"/>
  </r>
  <r>
    <s v="13-Oct-2025"/>
    <x v="0"/>
    <s v="Week2-Oct-2025"/>
    <x v="1"/>
    <s v="20-Nov-2025"/>
    <s v="Thursday"/>
    <s v="Weekly - Thursday"/>
    <s v="Weekly - Thursday"/>
    <s v="Month+1 Expiry"/>
    <n v="13"/>
    <n v="2.16"/>
    <n v="0.1"/>
  </r>
  <r>
    <s v="13-Oct-2025"/>
    <x v="0"/>
    <s v="Week2-Oct-2025"/>
    <x v="1"/>
    <s v="27-Nov-2025"/>
    <s v="Thursday"/>
    <s v="Monthly - Thursday"/>
    <s v="Monthly - Thursday"/>
    <s v="Month+1 Expiry"/>
    <n v="600"/>
    <n v="100"/>
    <n v="0.79"/>
  </r>
  <r>
    <s v="14-Oct-2025"/>
    <x v="1"/>
    <s v="Week2-Oct-2025"/>
    <x v="1"/>
    <s v="16-Oct-2025"/>
    <s v="Thursday"/>
    <s v="Weekly - Thursday"/>
    <s v="Weekly - Thursday"/>
    <s v="Same Month Expiry"/>
    <n v="35110297"/>
    <n v="5781046.1799999997"/>
    <n v="11665.11"/>
  </r>
  <r>
    <s v="14-Oct-2025"/>
    <x v="1"/>
    <s v="Week2-Oct-2025"/>
    <x v="1"/>
    <s v="23-Oct-2025"/>
    <s v="Thursday"/>
    <s v="Weekly - Thursday"/>
    <s v="Weekly - Thursday"/>
    <s v="Same Month Expiry"/>
    <n v="320580"/>
    <n v="52980.07"/>
    <n v="207.47"/>
  </r>
  <r>
    <s v="14-Oct-2025"/>
    <x v="1"/>
    <s v="Week2-Oct-2025"/>
    <x v="1"/>
    <s v="30-Oct-2025"/>
    <s v="Thursday"/>
    <s v="Monthly - Thursday"/>
    <s v="Monthly - Thursday"/>
    <s v="Same Month Expiry"/>
    <n v="49457"/>
    <n v="8184.75"/>
    <n v="45.13"/>
  </r>
  <r>
    <s v="14-Oct-2025"/>
    <x v="1"/>
    <s v="Week2-Oct-2025"/>
    <x v="1"/>
    <s v="06-Nov-2025"/>
    <s v="Thursday"/>
    <s v="Weekly - Thursday"/>
    <s v="Weekly - Thursday"/>
    <s v="Month+1 Expiry"/>
    <n v="25"/>
    <n v="4.21"/>
    <n v="0.04"/>
  </r>
  <r>
    <s v="14-Oct-2025"/>
    <x v="1"/>
    <s v="Week2-Oct-2025"/>
    <x v="1"/>
    <s v="20-Nov-2025"/>
    <s v="Thursday"/>
    <s v="Weekly - Thursday"/>
    <s v="Weekly - Thursday"/>
    <s v="Month+1 Expiry"/>
    <n v="0"/>
    <n v="0"/>
    <n v="0"/>
  </r>
  <r>
    <s v="14-Oct-2025"/>
    <x v="1"/>
    <s v="Week2-Oct-2025"/>
    <x v="1"/>
    <s v="27-Nov-2025"/>
    <s v="Thursday"/>
    <s v="Monthly - Thursday"/>
    <s v="Monthly - Thursday"/>
    <s v="Month+1 Expiry"/>
    <n v="1008"/>
    <n v="166.86"/>
    <n v="1.78"/>
  </r>
  <r>
    <s v="15-Oct-2025"/>
    <x v="2"/>
    <s v="Week3-Oct-2025"/>
    <x v="1"/>
    <s v="16-Oct-2025"/>
    <s v="Thursday"/>
    <s v="Weekly - Thursday"/>
    <s v="Weekly - Thursday"/>
    <s v="Same Month Expiry"/>
    <n v="111639069"/>
    <n v="18434463.210000001"/>
    <n v="24125.4"/>
  </r>
  <r>
    <s v="15-Oct-2025"/>
    <x v="2"/>
    <s v="Week3-Oct-2025"/>
    <x v="1"/>
    <s v="23-Oct-2025"/>
    <s v="Thursday"/>
    <s v="Weekly - Thursday"/>
    <s v="Weekly - Thursday"/>
    <s v="Same Month Expiry"/>
    <n v="833444"/>
    <n v="137913.73000000001"/>
    <n v="415.82"/>
  </r>
  <r>
    <s v="15-Oct-2025"/>
    <x v="2"/>
    <s v="Week3-Oct-2025"/>
    <x v="1"/>
    <s v="30-Oct-2025"/>
    <s v="Thursday"/>
    <s v="Monthly - Thursday"/>
    <s v="Monthly - Thursday"/>
    <s v="Same Month Expiry"/>
    <n v="64932"/>
    <n v="10777.51"/>
    <n v="54.87"/>
  </r>
  <r>
    <s v="15-Oct-2025"/>
    <x v="2"/>
    <s v="Week3-Oct-2025"/>
    <x v="1"/>
    <s v="06-Nov-2025"/>
    <s v="Thursday"/>
    <s v="Weekly - Thursday"/>
    <s v="Weekly - Thursday"/>
    <s v="Month+1 Expiry"/>
    <n v="93"/>
    <n v="15.61"/>
    <n v="0.15"/>
  </r>
  <r>
    <s v="15-Oct-2025"/>
    <x v="2"/>
    <s v="Week3-Oct-2025"/>
    <x v="1"/>
    <s v="20-Nov-2025"/>
    <s v="Thursday"/>
    <s v="Weekly - Thursday"/>
    <s v="Weekly - Thursday"/>
    <s v="Month+1 Expiry"/>
    <n v="0"/>
    <n v="0"/>
    <n v="0"/>
  </r>
  <r>
    <s v="15-Oct-2025"/>
    <x v="2"/>
    <s v="Week3-Oct-2025"/>
    <x v="1"/>
    <s v="27-Nov-2025"/>
    <s v="Thursday"/>
    <s v="Monthly - Thursday"/>
    <s v="Monthly - Thursday"/>
    <s v="Month+1 Expiry"/>
    <n v="1227"/>
    <n v="204.57"/>
    <n v="2.13"/>
  </r>
  <r>
    <s v="16-Oct-2025"/>
    <x v="3"/>
    <s v="Week3-Oct-2025"/>
    <x v="1"/>
    <s v="16-Oct-2025"/>
    <s v="Thursday"/>
    <s v="Weekly - Thursday"/>
    <s v="Weekly - Thursday"/>
    <s v="Same Month Expiry"/>
    <n v="385184679"/>
    <n v="64116388.640000001"/>
    <n v="38464.93"/>
  </r>
  <r>
    <s v="16-Oct-2025"/>
    <x v="3"/>
    <s v="Week3-Oct-2025"/>
    <x v="1"/>
    <s v="23-Oct-2025"/>
    <s v="Thursday"/>
    <s v="Weekly - Thursday"/>
    <s v="Weekly - Thursday"/>
    <s v="Same Month Expiry"/>
    <n v="2776178"/>
    <n v="460334.45"/>
    <n v="1209.06"/>
  </r>
  <r>
    <s v="16-Oct-2025"/>
    <x v="3"/>
    <s v="Week3-Oct-2025"/>
    <x v="1"/>
    <s v="30-Oct-2025"/>
    <s v="Thursday"/>
    <s v="Monthly - Thursday"/>
    <s v="Monthly - Thursday"/>
    <s v="Same Month Expiry"/>
    <n v="112037"/>
    <n v="18749.919999999998"/>
    <n v="93.83"/>
  </r>
  <r>
    <s v="16-Oct-2025"/>
    <x v="3"/>
    <s v="Week3-Oct-2025"/>
    <x v="1"/>
    <s v="06-Nov-2025"/>
    <s v="Thursday"/>
    <s v="Weekly - Thursday"/>
    <s v="Weekly - Thursday"/>
    <s v="Month+1 Expiry"/>
    <n v="351"/>
    <n v="59.09"/>
    <n v="0.4"/>
  </r>
  <r>
    <s v="16-Oct-2025"/>
    <x v="3"/>
    <s v="Week3-Oct-2025"/>
    <x v="1"/>
    <s v="13-Nov-2025"/>
    <s v="Thursday"/>
    <s v="Weekly - Thursday"/>
    <s v="Weekly - Thursday"/>
    <s v="Month+1 Expiry"/>
    <n v="1"/>
    <n v="0.16"/>
    <n v="0"/>
  </r>
  <r>
    <s v="16-Oct-2025"/>
    <x v="3"/>
    <s v="Week3-Oct-2025"/>
    <x v="1"/>
    <s v="20-Nov-2025"/>
    <s v="Thursday"/>
    <s v="Weekly - Thursday"/>
    <s v="Weekly - Thursday"/>
    <s v="Month+1 Expiry"/>
    <n v="1"/>
    <n v="0.17"/>
    <n v="0"/>
  </r>
  <r>
    <s v="16-Oct-2025"/>
    <x v="3"/>
    <s v="Week3-Oct-2025"/>
    <x v="1"/>
    <s v="27-Nov-2025"/>
    <s v="Thursday"/>
    <s v="Monthly - Thursday"/>
    <s v="Monthly - Thursday"/>
    <s v="Month+1 Expiry"/>
    <n v="2078"/>
    <n v="348.26"/>
    <n v="3.32"/>
  </r>
  <r>
    <s v="17-Oct-2025"/>
    <x v="4"/>
    <s v="Week3-Oct-2025"/>
    <x v="1"/>
    <s v="23-Oct-2025"/>
    <s v="Thursday"/>
    <s v="Weekly - Thursday"/>
    <s v="Weekly - Thursday"/>
    <s v="Same Month Expiry"/>
    <n v="30160185"/>
    <n v="5071784.51"/>
    <n v="14113.39"/>
  </r>
  <r>
    <s v="17-Oct-2025"/>
    <x v="4"/>
    <s v="Week3-Oct-2025"/>
    <x v="1"/>
    <s v="30-Oct-2025"/>
    <s v="Thursday"/>
    <s v="Monthly - Thursday"/>
    <s v="Monthly - Thursday"/>
    <s v="Same Month Expiry"/>
    <n v="265534"/>
    <n v="44826.93"/>
    <n v="209.93"/>
  </r>
  <r>
    <s v="17-Oct-2025"/>
    <x v="4"/>
    <s v="Week3-Oct-2025"/>
    <x v="1"/>
    <s v="06-Nov-2025"/>
    <s v="Thursday"/>
    <s v="Weekly - Thursday"/>
    <s v="Weekly - Thursday"/>
    <s v="Month+1 Expiry"/>
    <n v="2356"/>
    <n v="397.06"/>
    <n v="2.71"/>
  </r>
  <r>
    <s v="17-Oct-2025"/>
    <x v="4"/>
    <s v="Week3-Oct-2025"/>
    <x v="1"/>
    <s v="13-Nov-2025"/>
    <s v="Thursday"/>
    <s v="Weekly - Thursday"/>
    <s v="Weekly - Thursday"/>
    <s v="Month+1 Expiry"/>
    <n v="39"/>
    <n v="6.6"/>
    <n v="0.08"/>
  </r>
  <r>
    <s v="17-Oct-2025"/>
    <x v="4"/>
    <s v="Week3-Oct-2025"/>
    <x v="1"/>
    <s v="27-Nov-2025"/>
    <s v="Thursday"/>
    <s v="Monthly - Thursday"/>
    <s v="Monthly - Thursday"/>
    <s v="Month+1 Expiry"/>
    <n v="3039"/>
    <n v="508.99"/>
    <n v="4.82"/>
  </r>
  <r>
    <s v="20-Oct-2025"/>
    <x v="0"/>
    <s v="Week3-Oct-2025"/>
    <x v="1"/>
    <s v="23-Oct-2025"/>
    <s v="Thursday"/>
    <s v="Weekly - Thursday"/>
    <s v="Weekly - Thursday"/>
    <s v="Same Month Expiry"/>
    <n v="31115813"/>
    <n v="5256757.53"/>
    <n v="10063.23"/>
  </r>
  <r>
    <s v="20-Oct-2025"/>
    <x v="0"/>
    <s v="Week3-Oct-2025"/>
    <x v="1"/>
    <s v="30-Oct-2025"/>
    <s v="Thursday"/>
    <s v="Monthly - Thursday"/>
    <s v="Monthly - Thursday"/>
    <s v="Same Month Expiry"/>
    <n v="354726"/>
    <n v="60094.5"/>
    <n v="248.26"/>
  </r>
  <r>
    <s v="20-Oct-2025"/>
    <x v="0"/>
    <s v="Week3-Oct-2025"/>
    <x v="1"/>
    <s v="06-Nov-2025"/>
    <s v="Thursday"/>
    <s v="Weekly - Thursday"/>
    <s v="Weekly - Thursday"/>
    <s v="Month+1 Expiry"/>
    <n v="5538"/>
    <n v="941.71"/>
    <n v="6.07"/>
  </r>
  <r>
    <s v="20-Oct-2025"/>
    <x v="0"/>
    <s v="Week3-Oct-2025"/>
    <x v="1"/>
    <s v="13-Nov-2025"/>
    <s v="Thursday"/>
    <s v="Weekly - Thursday"/>
    <s v="Weekly - Thursday"/>
    <s v="Month+1 Expiry"/>
    <n v="79"/>
    <n v="13.15"/>
    <n v="0.05"/>
  </r>
  <r>
    <s v="20-Oct-2025"/>
    <x v="0"/>
    <s v="Week3-Oct-2025"/>
    <x v="1"/>
    <s v="20-Nov-2025"/>
    <s v="Thursday"/>
    <s v="Weekly - Thursday"/>
    <s v="Weekly - Thursday"/>
    <s v="Month+1 Expiry"/>
    <n v="4"/>
    <n v="0.68"/>
    <n v="0.01"/>
  </r>
  <r>
    <s v="20-Oct-2025"/>
    <x v="0"/>
    <s v="Week3-Oct-2025"/>
    <x v="1"/>
    <s v="27-Nov-2025"/>
    <s v="Thursday"/>
    <s v="Monthly - Thursday"/>
    <s v="Monthly - Thursday"/>
    <s v="Month+1 Expiry"/>
    <n v="2533"/>
    <n v="425.83"/>
    <n v="3.64"/>
  </r>
  <r>
    <s v="21-Oct-2025"/>
    <x v="1"/>
    <s v="Week3-Oct-2025"/>
    <x v="1"/>
    <s v="23-Oct-2025"/>
    <s v="Thursday"/>
    <s v="Weekly - Thursday"/>
    <s v="Weekly - Thursday"/>
    <s v="Same Month Expiry"/>
    <n v="16328486"/>
    <n v="2760232.84"/>
    <n v="3222.65"/>
  </r>
  <r>
    <s v="21-Oct-2025"/>
    <x v="1"/>
    <s v="Week3-Oct-2025"/>
    <x v="1"/>
    <s v="30-Oct-2025"/>
    <s v="Thursday"/>
    <s v="Monthly - Thursday"/>
    <s v="Monthly - Thursday"/>
    <s v="Same Month Expiry"/>
    <n v="120047"/>
    <n v="20292.689999999999"/>
    <n v="67.52"/>
  </r>
  <r>
    <s v="21-Oct-2025"/>
    <x v="1"/>
    <s v="Week3-Oct-2025"/>
    <x v="1"/>
    <s v="06-Nov-2025"/>
    <s v="Thursday"/>
    <s v="Weekly - Thursday"/>
    <s v="Weekly - Thursday"/>
    <s v="Month+1 Expiry"/>
    <n v="2192"/>
    <n v="371.96"/>
    <n v="2.34"/>
  </r>
  <r>
    <s v="21-Oct-2025"/>
    <x v="1"/>
    <s v="Week3-Oct-2025"/>
    <x v="1"/>
    <s v="13-Nov-2025"/>
    <s v="Thursday"/>
    <s v="Weekly - Thursday"/>
    <s v="Weekly - Thursday"/>
    <s v="Month+1 Expiry"/>
    <n v="22"/>
    <n v="3.76"/>
    <n v="0.04"/>
  </r>
  <r>
    <s v="21-Oct-2025"/>
    <x v="1"/>
    <s v="Week3-Oct-2025"/>
    <x v="1"/>
    <s v="20-Nov-2025"/>
    <s v="Thursday"/>
    <s v="Weekly - Thursday"/>
    <s v="Weekly - Thursday"/>
    <s v="Month+1 Expiry"/>
    <n v="0"/>
    <n v="0"/>
    <n v="0"/>
  </r>
  <r>
    <s v="21-Oct-2025"/>
    <x v="1"/>
    <s v="Week3-Oct-2025"/>
    <x v="1"/>
    <s v="27-Nov-2025"/>
    <s v="Thursday"/>
    <s v="Monthly - Thursday"/>
    <s v="Monthly - Thursday"/>
    <s v="Month+1 Expiry"/>
    <n v="674"/>
    <n v="114.72"/>
    <n v="1.1499999999999999"/>
  </r>
  <r>
    <s v="23-Oct-2025"/>
    <x v="3"/>
    <s v="Week4-Oct-2025"/>
    <x v="1"/>
    <s v="23-Oct-2025"/>
    <s v="Thursday"/>
    <s v="Weekly - Thursday"/>
    <s v="Weekly - Thursday"/>
    <s v="Same Month Expiry"/>
    <n v="436334067"/>
    <n v="74158495.469999999"/>
    <n v="46101.32"/>
  </r>
  <r>
    <s v="23-Oct-2025"/>
    <x v="3"/>
    <s v="Week4-Oct-2025"/>
    <x v="1"/>
    <s v="30-Oct-2025"/>
    <s v="Thursday"/>
    <s v="Monthly - Thursday"/>
    <s v="Monthly - Thursday"/>
    <s v="Same Month Expiry"/>
    <n v="2321018"/>
    <n v="395731.17"/>
    <n v="1344.48"/>
  </r>
  <r>
    <s v="23-Oct-2025"/>
    <x v="3"/>
    <s v="Week4-Oct-2025"/>
    <x v="1"/>
    <s v="06-Nov-2025"/>
    <s v="Thursday"/>
    <s v="Weekly - Thursday"/>
    <s v="Weekly - Thursday"/>
    <s v="Month+1 Expiry"/>
    <n v="21974"/>
    <n v="3760.38"/>
    <n v="21"/>
  </r>
  <r>
    <s v="23-Oct-2025"/>
    <x v="3"/>
    <s v="Week4-Oct-2025"/>
    <x v="1"/>
    <s v="13-Nov-2025"/>
    <s v="Thursday"/>
    <s v="Weekly - Thursday"/>
    <s v="Weekly - Thursday"/>
    <s v="Month+1 Expiry"/>
    <n v="42"/>
    <n v="7.21"/>
    <n v="0.05"/>
  </r>
  <r>
    <s v="23-Oct-2025"/>
    <x v="3"/>
    <s v="Week4-Oct-2025"/>
    <x v="1"/>
    <s v="20-Nov-2025"/>
    <s v="Thursday"/>
    <s v="Weekly - Thursday"/>
    <s v="Weekly - Thursday"/>
    <s v="Month+1 Expiry"/>
    <n v="10"/>
    <n v="1.67"/>
    <n v="0.01"/>
  </r>
  <r>
    <s v="23-Oct-2025"/>
    <x v="3"/>
    <s v="Week4-Oct-2025"/>
    <x v="1"/>
    <s v="27-Nov-2025"/>
    <s v="Thursday"/>
    <s v="Monthly - Thursday"/>
    <s v="Monthly - Thursday"/>
    <s v="Month+1 Expiry"/>
    <n v="5741"/>
    <n v="990.92"/>
    <n v="8.1999999999999993"/>
  </r>
  <r>
    <s v="24-Oct-2025"/>
    <x v="4"/>
    <s v="Week4-Oct-2025"/>
    <x v="1"/>
    <s v="30-Oct-2025"/>
    <s v="Thursday"/>
    <s v="Monthly - Thursday"/>
    <s v="MDAW - Thursday"/>
    <s v="Same Month Expiry"/>
    <n v="21172205"/>
    <n v="3585473.91"/>
    <n v="10441.66"/>
  </r>
  <r>
    <s v="24-Oct-2025"/>
    <x v="4"/>
    <s v="Week4-Oct-2025"/>
    <x v="1"/>
    <s v="06-Nov-2025"/>
    <s v="Thursday"/>
    <s v="Weekly - Thursday"/>
    <s v="Weekly - Thursday"/>
    <s v="Month+1 Expiry"/>
    <n v="122792"/>
    <n v="20894.23"/>
    <n v="120.63"/>
  </r>
  <r>
    <s v="24-Oct-2025"/>
    <x v="4"/>
    <s v="Week4-Oct-2025"/>
    <x v="1"/>
    <s v="13-Nov-2025"/>
    <s v="Thursday"/>
    <s v="Weekly - Thursday"/>
    <s v="Weekly - Thursday"/>
    <s v="Month+1 Expiry"/>
    <n v="1663"/>
    <n v="283.5"/>
    <n v="2.62"/>
  </r>
  <r>
    <s v="24-Oct-2025"/>
    <x v="4"/>
    <s v="Week4-Oct-2025"/>
    <x v="1"/>
    <s v="20-Nov-2025"/>
    <s v="Thursday"/>
    <s v="Weekly - Thursday"/>
    <s v="Weekly - Thursday"/>
    <s v="Month+1 Expiry"/>
    <n v="4"/>
    <n v="0.68"/>
    <n v="0.01"/>
  </r>
  <r>
    <s v="24-Oct-2025"/>
    <x v="4"/>
    <s v="Week4-Oct-2025"/>
    <x v="1"/>
    <s v="27-Nov-2025"/>
    <s v="Thursday"/>
    <s v="Monthly - Thursday"/>
    <s v="Monthly - Thursday"/>
    <s v="Month+1 Expiry"/>
    <n v="7002"/>
    <n v="1194.33"/>
    <n v="9.99"/>
  </r>
  <r>
    <s v="27-Oct-2025"/>
    <x v="0"/>
    <s v="Week4-Oct-2025"/>
    <x v="1"/>
    <s v="30-Oct-2025"/>
    <s v="Thursday"/>
    <s v="Monthly - Thursday"/>
    <s v="MDAW - Thursday"/>
    <s v="Same Month Expiry"/>
    <n v="20117076"/>
    <n v="3419806.93"/>
    <n v="9538.26"/>
  </r>
  <r>
    <s v="27-Oct-2025"/>
    <x v="0"/>
    <s v="Week4-Oct-2025"/>
    <x v="1"/>
    <s v="06-Nov-2025"/>
    <s v="Thursday"/>
    <s v="Weekly - Thursday"/>
    <s v="Weekly - Thursday"/>
    <s v="Month+1 Expiry"/>
    <n v="159261"/>
    <n v="27171.99"/>
    <n v="144.59"/>
  </r>
  <r>
    <s v="27-Oct-2025"/>
    <x v="0"/>
    <s v="Week4-Oct-2025"/>
    <x v="1"/>
    <s v="13-Nov-2025"/>
    <s v="Thursday"/>
    <s v="Weekly - Thursday"/>
    <s v="Weekly - Thursday"/>
    <s v="Month+1 Expiry"/>
    <n v="3258"/>
    <n v="559.27"/>
    <n v="5.13"/>
  </r>
  <r>
    <s v="27-Oct-2025"/>
    <x v="0"/>
    <s v="Week4-Oct-2025"/>
    <x v="1"/>
    <s v="20-Nov-2025"/>
    <s v="Thursday"/>
    <s v="Weekly - Thursday"/>
    <s v="Weekly - Thursday"/>
    <s v="Month+1 Expiry"/>
    <n v="7"/>
    <n v="1.2"/>
    <n v="0.01"/>
  </r>
  <r>
    <s v="27-Oct-2025"/>
    <x v="0"/>
    <s v="Week4-Oct-2025"/>
    <x v="1"/>
    <s v="27-Nov-2025"/>
    <s v="Thursday"/>
    <s v="Monthly - Thursday"/>
    <s v="Monthly - Thursday"/>
    <s v="Month+1 Expiry"/>
    <n v="9063"/>
    <n v="1548.78"/>
    <n v="12.48"/>
  </r>
  <r>
    <s v="28-Oct-2025"/>
    <x v="1"/>
    <s v="Week4-Oct-2025"/>
    <x v="1"/>
    <s v="30-Oct-2025"/>
    <s v="Thursday"/>
    <s v="Monthly - Thursday"/>
    <s v="MDAW - Thursday"/>
    <s v="Same Month Expiry"/>
    <n v="25634361"/>
    <n v="4354680.5999999996"/>
    <n v="10527.89"/>
  </r>
  <r>
    <s v="28-Oct-2025"/>
    <x v="1"/>
    <s v="Week4-Oct-2025"/>
    <x v="1"/>
    <s v="06-Nov-2025"/>
    <s v="Thursday"/>
    <s v="Weekly - Thursday"/>
    <s v="Weekly - Thursday"/>
    <s v="Month+1 Expiry"/>
    <n v="288489"/>
    <n v="49181.89"/>
    <n v="257.27"/>
  </r>
  <r>
    <s v="28-Oct-2025"/>
    <x v="1"/>
    <s v="Week4-Oct-2025"/>
    <x v="1"/>
    <s v="13-Nov-2025"/>
    <s v="Thursday"/>
    <s v="Weekly - Thursday"/>
    <s v="Weekly - Thursday"/>
    <s v="Month+1 Expiry"/>
    <n v="4090"/>
    <n v="700.85"/>
    <n v="6.01"/>
  </r>
  <r>
    <s v="28-Oct-2025"/>
    <x v="1"/>
    <s v="Week4-Oct-2025"/>
    <x v="1"/>
    <s v="20-Nov-2025"/>
    <s v="Thursday"/>
    <s v="Weekly - Thursday"/>
    <s v="Weekly - Thursday"/>
    <s v="Month+1 Expiry"/>
    <n v="12"/>
    <n v="2.02"/>
    <n v="0.02"/>
  </r>
  <r>
    <s v="28-Oct-2025"/>
    <x v="1"/>
    <s v="Week4-Oct-2025"/>
    <x v="1"/>
    <s v="27-Nov-2025"/>
    <s v="Thursday"/>
    <s v="Monthly - Thursday"/>
    <s v="Monthly - Thursday"/>
    <s v="Month+1 Expiry"/>
    <n v="9952"/>
    <n v="1697.97"/>
    <n v="14.56"/>
  </r>
  <r>
    <s v="28-Oct-2025"/>
    <x v="1"/>
    <s v="Week4-Oct-2025"/>
    <x v="1"/>
    <s v="11-Dec-2025"/>
    <s v="Thursday"/>
    <s v="Weekly - Thursday"/>
    <s v="Weekly - Thursday"/>
    <s v="Month+2 Expiry"/>
    <n v="4"/>
    <n v="0.67"/>
    <n v="0.02"/>
  </r>
  <r>
    <s v="29-Oct-2025"/>
    <x v="2"/>
    <s v="Week5-Oct-2025"/>
    <x v="1"/>
    <s v="30-Oct-2025"/>
    <s v="Thursday"/>
    <s v="Monthly - Thursday"/>
    <s v="MDAW - Thursday"/>
    <s v="Same Month Expiry"/>
    <n v="95297049"/>
    <n v="16214391.4"/>
    <n v="26394.21"/>
  </r>
  <r>
    <s v="29-Oct-2025"/>
    <x v="2"/>
    <s v="Week5-Oct-2025"/>
    <x v="1"/>
    <s v="06-Nov-2025"/>
    <s v="Thursday"/>
    <s v="Weekly - Thursday"/>
    <s v="Weekly - Thursday"/>
    <s v="Month+1 Expiry"/>
    <n v="567001"/>
    <n v="96659.22"/>
    <n v="426.89"/>
  </r>
  <r>
    <s v="29-Oct-2025"/>
    <x v="2"/>
    <s v="Week5-Oct-2025"/>
    <x v="1"/>
    <s v="13-Nov-2025"/>
    <s v="Thursday"/>
    <s v="Weekly - Thursday"/>
    <s v="Weekly - Thursday"/>
    <s v="Month+1 Expiry"/>
    <n v="5020"/>
    <n v="862.84"/>
    <n v="6.73"/>
  </r>
  <r>
    <s v="29-Oct-2025"/>
    <x v="2"/>
    <s v="Week5-Oct-2025"/>
    <x v="1"/>
    <s v="20-Nov-2025"/>
    <s v="Thursday"/>
    <s v="Weekly - Thursday"/>
    <s v="Weekly - Thursday"/>
    <s v="Month+1 Expiry"/>
    <n v="28"/>
    <n v="4.8499999999999996"/>
    <n v="0.01"/>
  </r>
  <r>
    <s v="29-Oct-2025"/>
    <x v="2"/>
    <s v="Week5-Oct-2025"/>
    <x v="1"/>
    <s v="27-Nov-2025"/>
    <s v="Thursday"/>
    <s v="Monthly - Thursday"/>
    <s v="Monthly - Thursday"/>
    <s v="Month+1 Expiry"/>
    <n v="10371"/>
    <n v="1774.46"/>
    <n v="14.9"/>
  </r>
  <r>
    <s v="29-Oct-2025"/>
    <x v="2"/>
    <s v="Week5-Oct-2025"/>
    <x v="1"/>
    <s v="11-Dec-2025"/>
    <s v="Thursday"/>
    <s v="Weekly - Thursday"/>
    <s v="Weekly - Thursday"/>
    <s v="Month+2 Expiry"/>
    <n v="2"/>
    <n v="0.35"/>
    <n v="0.02"/>
  </r>
  <r>
    <s v="30-Oct-2025"/>
    <x v="3"/>
    <s v="Week5-Oct-2025"/>
    <x v="1"/>
    <s v="30-Oct-2025"/>
    <s v="Thursday"/>
    <s v="Monthly - Thursday"/>
    <s v="MDAW - Thursday"/>
    <s v="Same Month Expiry"/>
    <n v="394547294"/>
    <n v="66799968.450000003"/>
    <n v="42275.09"/>
  </r>
  <r>
    <s v="30-Oct-2025"/>
    <x v="3"/>
    <s v="Week5-Oct-2025"/>
    <x v="1"/>
    <s v="06-Nov-2025"/>
    <s v="Thursday"/>
    <s v="Weekly - Thursday"/>
    <s v="Weekly - Thursday"/>
    <s v="Month+1 Expiry"/>
    <n v="1915152"/>
    <n v="326297.82"/>
    <n v="1129.47"/>
  </r>
  <r>
    <s v="30-Oct-2025"/>
    <x v="3"/>
    <s v="Week5-Oct-2025"/>
    <x v="1"/>
    <s v="13-Nov-2025"/>
    <s v="Thursday"/>
    <s v="Weekly - Thursday"/>
    <s v="Weekly - Thursday"/>
    <s v="Month+1 Expiry"/>
    <n v="15970"/>
    <n v="2732.78"/>
    <n v="16.86"/>
  </r>
  <r>
    <s v="30-Oct-2025"/>
    <x v="3"/>
    <s v="Week5-Oct-2025"/>
    <x v="1"/>
    <s v="20-Nov-2025"/>
    <s v="Thursday"/>
    <s v="Weekly - Thursday"/>
    <s v="Weekly - Thursday"/>
    <s v="Month+1 Expiry"/>
    <n v="25"/>
    <n v="4.3600000000000003"/>
    <n v="0.03"/>
  </r>
  <r>
    <s v="30-Oct-2025"/>
    <x v="3"/>
    <s v="Week5-Oct-2025"/>
    <x v="1"/>
    <s v="27-Nov-2025"/>
    <s v="Thursday"/>
    <s v="Monthly - Thursday"/>
    <s v="Monthly - Thursday"/>
    <s v="Month+1 Expiry"/>
    <n v="11690"/>
    <n v="1999.18"/>
    <n v="16.39"/>
  </r>
  <r>
    <s v="30-Oct-2025"/>
    <x v="3"/>
    <s v="Week5-Oct-2025"/>
    <x v="1"/>
    <s v="04-Dec-2025"/>
    <s v="Thursday"/>
    <s v="Weekly - Thursday"/>
    <s v="Weekly - Thursday"/>
    <s v="Month+2 Expiry"/>
    <n v="4"/>
    <n v="0.66"/>
    <n v="0"/>
  </r>
  <r>
    <s v="31-Oct-2025"/>
    <x v="4"/>
    <s v="Week5-Oct-2025"/>
    <x v="1"/>
    <s v="06-Nov-2025"/>
    <s v="Thursday"/>
    <s v="Weekly - Thursday"/>
    <s v="Weekly - Thursday"/>
    <s v="Month+1 Expiry"/>
    <n v="20452896"/>
    <n v="3464883.49"/>
    <n v="9959.39"/>
  </r>
  <r>
    <s v="31-Oct-2025"/>
    <x v="4"/>
    <s v="Week5-Oct-2025"/>
    <x v="1"/>
    <s v="13-Nov-2025"/>
    <s v="Thursday"/>
    <s v="Weekly - Thursday"/>
    <s v="Weekly - Thursday"/>
    <s v="Month+1 Expiry"/>
    <n v="61266"/>
    <n v="10437.89"/>
    <n v="55.65"/>
  </r>
  <r>
    <s v="31-Oct-2025"/>
    <x v="4"/>
    <s v="Week5-Oct-2025"/>
    <x v="1"/>
    <s v="20-Nov-2025"/>
    <s v="Thursday"/>
    <s v="Weekly - Thursday"/>
    <s v="Weekly - Thursday"/>
    <s v="Month+1 Expiry"/>
    <n v="1485"/>
    <n v="252.87"/>
    <n v="2.2200000000000002"/>
  </r>
  <r>
    <s v="31-Oct-2025"/>
    <x v="4"/>
    <s v="Week5-Oct-2025"/>
    <x v="1"/>
    <s v="27-Nov-2025"/>
    <s v="Thursday"/>
    <s v="Monthly - Thursday"/>
    <s v="Monthly - Thursday"/>
    <s v="Month+1 Expiry"/>
    <n v="15413"/>
    <n v="2628.93"/>
    <n v="18.98"/>
  </r>
  <r>
    <s v="31-Oct-2025"/>
    <x v="4"/>
    <s v="Week5-Oct-2025"/>
    <x v="1"/>
    <s v="04-Dec-2025"/>
    <s v="Thursday"/>
    <s v="Weekly - Thursday"/>
    <s v="Weekly - Thursday"/>
    <s v="Month+2 Expiry"/>
    <n v="0"/>
    <n v="0"/>
    <n v="0"/>
  </r>
  <r>
    <s v="03-Nov-2025"/>
    <x v="0"/>
    <s v="Week1-Nov-2025"/>
    <x v="2"/>
    <s v="06-Nov-2025"/>
    <s v="Thursday"/>
    <s v="Weekly - Thursday"/>
    <s v="Weekly - Thursday"/>
    <s v="Same Month Expiry"/>
    <n v="24722967"/>
    <n v="4171160.29"/>
    <n v="10038.85"/>
  </r>
  <r>
    <s v="03-Nov-2025"/>
    <x v="0"/>
    <s v="Week1-Nov-2025"/>
    <x v="2"/>
    <s v="13-Nov-2025"/>
    <s v="Thursday"/>
    <s v="Weekly - Thursday"/>
    <s v="Weekly - Thursday"/>
    <s v="Same Month Expiry"/>
    <n v="133120"/>
    <n v="22562.880000000001"/>
    <n v="111.97"/>
  </r>
  <r>
    <s v="03-Nov-2025"/>
    <x v="0"/>
    <s v="Week1-Nov-2025"/>
    <x v="2"/>
    <s v="20-Nov-2025"/>
    <s v="Thursday"/>
    <s v="Weekly - Thursday"/>
    <s v="Weekly - Thursday"/>
    <s v="Same Month Expiry"/>
    <n v="1998"/>
    <n v="339.53"/>
    <n v="2.71"/>
  </r>
  <r>
    <s v="03-Nov-2025"/>
    <x v="0"/>
    <s v="Week1-Nov-2025"/>
    <x v="2"/>
    <s v="27-Nov-2025"/>
    <s v="Thursday"/>
    <s v="Monthly - Thursday"/>
    <s v="Monthly - Thursday"/>
    <s v="Same Month Expiry"/>
    <n v="14982"/>
    <n v="2545.56"/>
    <n v="19.79"/>
  </r>
  <r>
    <s v="03-Nov-2025"/>
    <x v="0"/>
    <s v="Week1-Nov-2025"/>
    <x v="2"/>
    <s v="04-Dec-2025"/>
    <s v="Thursday"/>
    <s v="Weekly - Thursday"/>
    <s v="Weekly - Thursday"/>
    <s v="Month+1 Expiry"/>
    <n v="2"/>
    <n v="0.34"/>
    <n v="0"/>
  </r>
  <r>
    <s v="03-Nov-2025"/>
    <x v="0"/>
    <s v="Week1-Nov-2025"/>
    <x v="2"/>
    <s v="24-Dec-2025"/>
    <s v="Wednesday"/>
    <s v="Weekly - Wednesday"/>
    <s v="Weekly - Wednesday"/>
    <s v="Month+1 Expiry"/>
    <n v="1"/>
    <n v="0.18"/>
    <n v="0"/>
  </r>
  <r>
    <s v="04-Nov-2025"/>
    <x v="1"/>
    <s v="Week1-Nov-2025"/>
    <x v="2"/>
    <s v="06-Nov-2025"/>
    <s v="Thursday"/>
    <s v="Weekly - Thursday"/>
    <s v="Weekly - Thursday"/>
    <s v="Same Month Expiry"/>
    <n v="30172171"/>
    <n v="5080554.3600000003"/>
    <n v="9027.11"/>
  </r>
  <r>
    <s v="04-Nov-2025"/>
    <x v="1"/>
    <s v="Week1-Nov-2025"/>
    <x v="2"/>
    <s v="13-Nov-2025"/>
    <s v="Thursday"/>
    <s v="Weekly - Thursday"/>
    <s v="Weekly - Thursday"/>
    <s v="Same Month Expiry"/>
    <n v="324629"/>
    <n v="54836.13"/>
    <n v="193.53"/>
  </r>
  <r>
    <s v="04-Nov-2025"/>
    <x v="1"/>
    <s v="Week1-Nov-2025"/>
    <x v="2"/>
    <s v="20-Nov-2025"/>
    <s v="Thursday"/>
    <s v="Weekly - Thursday"/>
    <s v="Weekly - Thursday"/>
    <s v="Same Month Expiry"/>
    <n v="1227"/>
    <n v="207.95"/>
    <n v="1.34"/>
  </r>
  <r>
    <s v="04-Nov-2025"/>
    <x v="1"/>
    <s v="Week1-Nov-2025"/>
    <x v="2"/>
    <s v="27-Nov-2025"/>
    <s v="Thursday"/>
    <s v="Monthly - Thursday"/>
    <s v="Monthly - Thursday"/>
    <s v="Same Month Expiry"/>
    <n v="21908"/>
    <n v="3734.65"/>
    <n v="29.2"/>
  </r>
  <r>
    <s v="04-Nov-2025"/>
    <x v="1"/>
    <s v="Week1-Nov-2025"/>
    <x v="2"/>
    <s v="04-Dec-2025"/>
    <s v="Thursday"/>
    <s v="Weekly - Thursday"/>
    <s v="Weekly - Thursday"/>
    <s v="Month+1 Expiry"/>
    <n v="13"/>
    <n v="2.25"/>
    <n v="0.01"/>
  </r>
  <r>
    <s v="04-Nov-2025"/>
    <x v="1"/>
    <s v="Week1-Nov-2025"/>
    <x v="2"/>
    <s v="24-Dec-2025"/>
    <s v="Wednesday"/>
    <s v="Weekly - Wednesday"/>
    <s v="Weekly - Wednesday"/>
    <s v="Month+1 Expiry"/>
    <n v="10"/>
    <n v="1.8"/>
    <n v="0"/>
  </r>
  <r>
    <s v="06-Nov-2025"/>
    <x v="3"/>
    <s v="Week1-Nov-2025"/>
    <x v="2"/>
    <s v="06-Nov-2025"/>
    <s v="Thursday"/>
    <s v="Weekly - Thursday"/>
    <s v="Weekly - Thursday"/>
    <s v="Same Month Expiry"/>
    <n v="446444827"/>
    <n v="74599013.879999995"/>
    <n v="42026.69"/>
  </r>
  <r>
    <s v="06-Nov-2025"/>
    <x v="3"/>
    <s v="Week1-Nov-2025"/>
    <x v="2"/>
    <s v="13-Nov-2025"/>
    <s v="Thursday"/>
    <s v="Weekly - Thursday"/>
    <s v="Weekly - Thursday"/>
    <s v="Same Month Expiry"/>
    <n v="1949507"/>
    <n v="327543.74"/>
    <n v="1025.98"/>
  </r>
  <r>
    <s v="06-Nov-2025"/>
    <x v="3"/>
    <s v="Week1-Nov-2025"/>
    <x v="2"/>
    <s v="20-Nov-2025"/>
    <s v="Thursday"/>
    <s v="Weekly - Thursday"/>
    <s v="Weekly - Thursday"/>
    <s v="Same Month Expiry"/>
    <n v="7186"/>
    <n v="1212.32"/>
    <n v="6.75"/>
  </r>
  <r>
    <s v="06-Nov-2025"/>
    <x v="3"/>
    <s v="Week1-Nov-2025"/>
    <x v="2"/>
    <s v="27-Nov-2025"/>
    <s v="Thursday"/>
    <s v="Monthly - Thursday"/>
    <s v="Monthly - Thursday"/>
    <s v="Same Month Expiry"/>
    <n v="26690"/>
    <n v="4520.3599999999997"/>
    <n v="32.520000000000003"/>
  </r>
  <r>
    <s v="06-Nov-2025"/>
    <x v="3"/>
    <s v="Week1-Nov-2025"/>
    <x v="2"/>
    <s v="04-Dec-2025"/>
    <s v="Thursday"/>
    <s v="Weekly - Thursday"/>
    <s v="Weekly - Thursday"/>
    <s v="Month+1 Expiry"/>
    <n v="1"/>
    <n v="0.17"/>
    <n v="0"/>
  </r>
  <r>
    <s v="06-Nov-2025"/>
    <x v="3"/>
    <s v="Week1-Nov-2025"/>
    <x v="2"/>
    <s v="11-Dec-2025"/>
    <s v="Thursday"/>
    <s v="Weekly - Thursday"/>
    <s v="Weekly - Thursday"/>
    <s v="Month+1 Expiry"/>
    <n v="1"/>
    <n v="0.17"/>
    <n v="0"/>
  </r>
  <r>
    <s v="06-Nov-2025"/>
    <x v="3"/>
    <s v="Week1-Nov-2025"/>
    <x v="2"/>
    <s v="24-Dec-2025"/>
    <s v="Wednesday"/>
    <s v="Weekly - Wednesday"/>
    <s v="Weekly - Wednesday"/>
    <s v="Month+1 Expiry"/>
    <n v="379"/>
    <n v="63.2"/>
    <n v="0.56999999999999995"/>
  </r>
  <r>
    <s v="07-Nov-2025"/>
    <x v="4"/>
    <s v="Week1-Nov-2025"/>
    <x v="2"/>
    <s v="13-Nov-2025"/>
    <s v="Thursday"/>
    <s v="Weekly - Thursday"/>
    <s v="Weekly - Thursday"/>
    <s v="Same Month Expiry"/>
    <n v="22276917"/>
    <n v="3715238.48"/>
    <n v="10437.290000000001"/>
  </r>
  <r>
    <s v="07-Nov-2025"/>
    <x v="4"/>
    <s v="Week1-Nov-2025"/>
    <x v="2"/>
    <s v="20-Nov-2025"/>
    <s v="Thursday"/>
    <s v="Weekly - Thursday"/>
    <s v="Weekly - Thursday"/>
    <s v="Same Month Expiry"/>
    <n v="70870"/>
    <n v="11896.72"/>
    <n v="63.27"/>
  </r>
  <r>
    <s v="07-Nov-2025"/>
    <x v="4"/>
    <s v="Week1-Nov-2025"/>
    <x v="2"/>
    <s v="27-Nov-2025"/>
    <s v="Thursday"/>
    <s v="Monthly - Thursday"/>
    <s v="Monthly - Thursday"/>
    <s v="Same Month Expiry"/>
    <n v="31538"/>
    <n v="5312.04"/>
    <n v="35.75"/>
  </r>
  <r>
    <s v="07-Nov-2025"/>
    <x v="4"/>
    <s v="Week1-Nov-2025"/>
    <x v="2"/>
    <s v="04-Dec-2025"/>
    <s v="Thursday"/>
    <s v="Weekly - Thursday"/>
    <s v="Weekly - Thursday"/>
    <s v="Month+1 Expiry"/>
    <n v="0"/>
    <n v="0"/>
    <n v="0"/>
  </r>
  <r>
    <s v="07-Nov-2025"/>
    <x v="4"/>
    <s v="Week1-Nov-2025"/>
    <x v="2"/>
    <s v="11-Dec-2025"/>
    <s v="Thursday"/>
    <s v="Weekly - Thursday"/>
    <s v="Weekly - Thursday"/>
    <s v="Month+1 Expiry"/>
    <n v="1"/>
    <n v="0.17"/>
    <n v="0"/>
  </r>
  <r>
    <s v="07-Nov-2025"/>
    <x v="4"/>
    <s v="Week1-Nov-2025"/>
    <x v="2"/>
    <s v="24-Dec-2025"/>
    <s v="Wednesday"/>
    <s v="Weekly - Wednesday"/>
    <s v="Weekly - Wednesday"/>
    <s v="Month+1 Expiry"/>
    <n v="738"/>
    <n v="123.76"/>
    <n v="1.34"/>
  </r>
  <r>
    <s v="10-Nov-2025"/>
    <x v="0"/>
    <s v="Week2-Nov-2025"/>
    <x v="2"/>
    <s v="13-Nov-2025"/>
    <s v="Thursday"/>
    <s v="Weekly - Thursday"/>
    <s v="Weekly - Thursday"/>
    <s v="Same Month Expiry"/>
    <n v="20183765"/>
    <n v="3379821.94"/>
    <n v="8339.5400000000009"/>
  </r>
  <r>
    <s v="10-Nov-2025"/>
    <x v="0"/>
    <s v="Week2-Nov-2025"/>
    <x v="2"/>
    <s v="20-Nov-2025"/>
    <s v="Thursday"/>
    <s v="Weekly - Thursday"/>
    <s v="Weekly - Thursday"/>
    <s v="Same Month Expiry"/>
    <n v="79318"/>
    <n v="13374.2"/>
    <n v="58.56"/>
  </r>
  <r>
    <s v="10-Nov-2025"/>
    <x v="0"/>
    <s v="Week2-Nov-2025"/>
    <x v="2"/>
    <s v="27-Nov-2025"/>
    <s v="Thursday"/>
    <s v="Monthly - Thursday"/>
    <s v="Monthly - Thursday"/>
    <s v="Same Month Expiry"/>
    <n v="20314"/>
    <n v="3426.92"/>
    <n v="19.97"/>
  </r>
  <r>
    <s v="10-Nov-2025"/>
    <x v="0"/>
    <s v="Week2-Nov-2025"/>
    <x v="2"/>
    <s v="04-Dec-2025"/>
    <s v="Thursday"/>
    <s v="Weekly - Thursday"/>
    <s v="Weekly - Thursday"/>
    <s v="Month+1 Expiry"/>
    <n v="1"/>
    <n v="0.17"/>
    <n v="0"/>
  </r>
  <r>
    <s v="10-Nov-2025"/>
    <x v="0"/>
    <s v="Week2-Nov-2025"/>
    <x v="2"/>
    <s v="24-Dec-2025"/>
    <s v="Wednesday"/>
    <s v="Weekly - Wednesday"/>
    <s v="Weekly - Wednesday"/>
    <s v="Month+1 Expiry"/>
    <n v="790"/>
    <n v="132.78"/>
    <n v="1.41"/>
  </r>
  <r>
    <s v="11-Nov-2025"/>
    <x v="1"/>
    <s v="Week2-Nov-2025"/>
    <x v="2"/>
    <s v="13-Nov-2025"/>
    <s v="Thursday"/>
    <s v="Weekly - Thursday"/>
    <s v="Weekly - Thursday"/>
    <s v="Same Month Expiry"/>
    <n v="29121568"/>
    <n v="4873801.13"/>
    <n v="10366.629999999999"/>
  </r>
  <r>
    <s v="11-Nov-2025"/>
    <x v="1"/>
    <s v="Week2-Nov-2025"/>
    <x v="2"/>
    <s v="20-Nov-2025"/>
    <s v="Thursday"/>
    <s v="Weekly - Thursday"/>
    <s v="Weekly - Thursday"/>
    <s v="Same Month Expiry"/>
    <n v="260324"/>
    <n v="43905.599999999999"/>
    <n v="178.92"/>
  </r>
  <r>
    <s v="11-Nov-2025"/>
    <x v="1"/>
    <s v="Week2-Nov-2025"/>
    <x v="2"/>
    <s v="27-Nov-2025"/>
    <s v="Thursday"/>
    <s v="Monthly - Thursday"/>
    <s v="Monthly - Thursday"/>
    <s v="Same Month Expiry"/>
    <n v="29904"/>
    <n v="5050.51"/>
    <n v="31.41"/>
  </r>
  <r>
    <s v="11-Nov-2025"/>
    <x v="1"/>
    <s v="Week2-Nov-2025"/>
    <x v="2"/>
    <s v="04-Dec-2025"/>
    <s v="Thursday"/>
    <s v="Weekly - Thursday"/>
    <s v="Weekly - Thursday"/>
    <s v="Month+1 Expiry"/>
    <n v="5"/>
    <n v="0.85"/>
    <n v="0.01"/>
  </r>
  <r>
    <s v="11-Nov-2025"/>
    <x v="1"/>
    <s v="Week2-Nov-2025"/>
    <x v="2"/>
    <s v="24-Dec-2025"/>
    <s v="Wednesday"/>
    <s v="Weekly - Wednesday"/>
    <s v="Weekly - Wednesday"/>
    <s v="Month+1 Expiry"/>
    <n v="1629"/>
    <n v="276.60000000000002"/>
    <n v="2.54"/>
  </r>
  <r>
    <s v="12-Nov-2025"/>
    <x v="2"/>
    <s v="Week2-Nov-2025"/>
    <x v="2"/>
    <s v="13-Nov-2025"/>
    <s v="Thursday"/>
    <s v="Weekly - Thursday"/>
    <s v="Weekly - Thursday"/>
    <s v="Same Month Expiry"/>
    <n v="96162445"/>
    <n v="16239994.82"/>
    <n v="22347.32"/>
  </r>
  <r>
    <s v="12-Nov-2025"/>
    <x v="2"/>
    <s v="Week2-Nov-2025"/>
    <x v="2"/>
    <s v="20-Nov-2025"/>
    <s v="Thursday"/>
    <s v="Weekly - Thursday"/>
    <s v="Weekly - Thursday"/>
    <s v="Same Month Expiry"/>
    <n v="554526"/>
    <n v="93692.36"/>
    <n v="290.29000000000002"/>
  </r>
  <r>
    <s v="12-Nov-2025"/>
    <x v="2"/>
    <s v="Week2-Nov-2025"/>
    <x v="2"/>
    <s v="27-Nov-2025"/>
    <s v="Thursday"/>
    <s v="Monthly - Thursday"/>
    <s v="Monthly - Thursday"/>
    <s v="Same Month Expiry"/>
    <n v="47816"/>
    <n v="8084.44"/>
    <n v="43.66"/>
  </r>
  <r>
    <s v="12-Nov-2025"/>
    <x v="2"/>
    <s v="Week2-Nov-2025"/>
    <x v="2"/>
    <s v="04-Dec-2025"/>
    <s v="Thursday"/>
    <s v="Weekly - Thursday"/>
    <s v="Weekly - Thursday"/>
    <s v="Month+1 Expiry"/>
    <n v="19"/>
    <n v="3.34"/>
    <n v="0.02"/>
  </r>
  <r>
    <s v="12-Nov-2025"/>
    <x v="2"/>
    <s v="Week2-Nov-2025"/>
    <x v="2"/>
    <s v="24-Dec-2025"/>
    <s v="Wednesday"/>
    <s v="Weekly - Wednesday"/>
    <s v="Weekly - Wednesday"/>
    <s v="Month+1 Expiry"/>
    <n v="2000"/>
    <n v="342.92"/>
    <n v="3.7"/>
  </r>
  <r>
    <s v="13-Nov-2025"/>
    <x v="3"/>
    <s v="Week2-Nov-2025"/>
    <x v="2"/>
    <s v="13-Nov-2025"/>
    <s v="Thursday"/>
    <s v="Weekly - Thursday"/>
    <s v="Weekly - Thursday"/>
    <s v="Same Month Expiry"/>
    <n v="483531057"/>
    <n v="81817594.530000001"/>
    <n v="47671.15"/>
  </r>
  <r>
    <s v="13-Nov-2025"/>
    <x v="3"/>
    <s v="Week2-Nov-2025"/>
    <x v="2"/>
    <s v="20-Nov-2025"/>
    <s v="Thursday"/>
    <s v="Weekly - Thursday"/>
    <s v="Weekly - Thursday"/>
    <s v="Same Month Expiry"/>
    <n v="1863500"/>
    <n v="315932.56"/>
    <n v="1069.9000000000001"/>
  </r>
  <r>
    <s v="13-Nov-2025"/>
    <x v="3"/>
    <s v="Week2-Nov-2025"/>
    <x v="2"/>
    <s v="27-Nov-2025"/>
    <s v="Thursday"/>
    <s v="Monthly - Thursday"/>
    <s v="Monthly - Thursday"/>
    <s v="Same Month Expiry"/>
    <n v="57755"/>
    <n v="9837.51"/>
    <n v="54.62"/>
  </r>
  <r>
    <s v="13-Nov-2025"/>
    <x v="3"/>
    <s v="Week2-Nov-2025"/>
    <x v="2"/>
    <s v="04-Dec-2025"/>
    <s v="Thursday"/>
    <s v="Weekly - Thursday"/>
    <s v="Weekly - Thursday"/>
    <s v="Month+1 Expiry"/>
    <n v="44"/>
    <n v="7.65"/>
    <n v="0.08"/>
  </r>
  <r>
    <s v="13-Nov-2025"/>
    <x v="3"/>
    <s v="Week2-Nov-2025"/>
    <x v="2"/>
    <s v="24-Dec-2025"/>
    <s v="Wednesday"/>
    <s v="Weekly - Wednesday"/>
    <s v="Weekly - Wednesday"/>
    <s v="Month+1 Expiry"/>
    <n v="2011"/>
    <n v="343.29"/>
    <n v="2.99"/>
  </r>
  <r>
    <s v="14-Nov-2025"/>
    <x v="4"/>
    <s v="Week2-Nov-2025"/>
    <x v="2"/>
    <s v="20-Nov-2025"/>
    <s v="Thursday"/>
    <s v="Weekly - Thursday"/>
    <s v="Weekly - Thursday"/>
    <s v="Same Month Expiry"/>
    <n v="21939100"/>
    <n v="3715344.71"/>
    <n v="11152.46"/>
  </r>
  <r>
    <s v="14-Nov-2025"/>
    <x v="4"/>
    <s v="Week2-Nov-2025"/>
    <x v="2"/>
    <s v="27-Nov-2025"/>
    <s v="Thursday"/>
    <s v="Monthly - Thursday"/>
    <s v="Monthly - Thursday"/>
    <s v="Same Month Expiry"/>
    <n v="129814"/>
    <n v="22046.97"/>
    <n v="115.6"/>
  </r>
  <r>
    <s v="14-Nov-2025"/>
    <x v="4"/>
    <s v="Week2-Nov-2025"/>
    <x v="2"/>
    <s v="04-Dec-2025"/>
    <s v="Thursday"/>
    <s v="Weekly - Thursday"/>
    <s v="Weekly - Thursday"/>
    <s v="Month+1 Expiry"/>
    <n v="1721"/>
    <n v="292.79000000000002"/>
    <n v="2.44"/>
  </r>
  <r>
    <s v="14-Nov-2025"/>
    <x v="4"/>
    <s v="Week2-Nov-2025"/>
    <x v="2"/>
    <s v="24-Dec-2025"/>
    <s v="Wednesday"/>
    <s v="Weekly - Wednesday"/>
    <s v="Weekly - Wednesday"/>
    <s v="Month+1 Expiry"/>
    <n v="2233"/>
    <n v="379.94"/>
    <n v="3.6"/>
  </r>
  <r>
    <s v="17-Nov-2025"/>
    <x v="0"/>
    <s v="Week3-Nov-2025"/>
    <x v="2"/>
    <s v="20-Nov-2025"/>
    <s v="Thursday"/>
    <s v="Weekly - Thursday"/>
    <s v="Weekly - Thursday"/>
    <s v="Same Month Expiry"/>
    <n v="18603629"/>
    <n v="3162059.13"/>
    <n v="7991.47"/>
  </r>
  <r>
    <s v="17-Nov-2025"/>
    <x v="0"/>
    <s v="Week3-Nov-2025"/>
    <x v="2"/>
    <s v="27-Nov-2025"/>
    <s v="Thursday"/>
    <s v="Monthly - Thursday"/>
    <s v="Monthly - Thursday"/>
    <s v="Same Month Expiry"/>
    <n v="107962"/>
    <n v="18343.47"/>
    <n v="81.69"/>
  </r>
  <r>
    <s v="17-Nov-2025"/>
    <x v="0"/>
    <s v="Week3-Nov-2025"/>
    <x v="2"/>
    <s v="04-Dec-2025"/>
    <s v="Thursday"/>
    <s v="Weekly - Thursday"/>
    <s v="Weekly - Thursday"/>
    <s v="Month+1 Expiry"/>
    <n v="2611"/>
    <n v="446.32"/>
    <n v="3.46"/>
  </r>
  <r>
    <s v="17-Nov-2025"/>
    <x v="0"/>
    <s v="Week3-Nov-2025"/>
    <x v="2"/>
    <s v="11-Dec-2025"/>
    <s v="Thursday"/>
    <s v="Weekly - Thursday"/>
    <s v="Weekly - Thursday"/>
    <s v="Month+1 Expiry"/>
    <n v="148"/>
    <n v="25.55"/>
    <n v="0.33"/>
  </r>
  <r>
    <s v="17-Nov-2025"/>
    <x v="0"/>
    <s v="Week3-Nov-2025"/>
    <x v="2"/>
    <s v="24-Dec-2025"/>
    <s v="Wednesday"/>
    <s v="Weekly - Wednesday"/>
    <s v="Weekly - Wednesday"/>
    <s v="Month+1 Expiry"/>
    <n v="1566"/>
    <n v="268"/>
    <n v="2.36"/>
  </r>
  <r>
    <s v="18-Nov-2025"/>
    <x v="1"/>
    <s v="Week3-Nov-2025"/>
    <x v="2"/>
    <s v="20-Nov-2025"/>
    <s v="Thursday"/>
    <s v="Weekly - Thursday"/>
    <s v="Weekly - Thursday"/>
    <s v="Same Month Expiry"/>
    <n v="24563259"/>
    <n v="4171607.34"/>
    <n v="8706.34"/>
  </r>
  <r>
    <s v="18-Nov-2025"/>
    <x v="1"/>
    <s v="Week3-Nov-2025"/>
    <x v="2"/>
    <s v="27-Nov-2025"/>
    <s v="Thursday"/>
    <s v="Monthly - Thursday"/>
    <s v="Monthly - Thursday"/>
    <s v="Same Month Expiry"/>
    <n v="240888"/>
    <n v="40964.15"/>
    <n v="169.49"/>
  </r>
  <r>
    <s v="18-Nov-2025"/>
    <x v="1"/>
    <s v="Week3-Nov-2025"/>
    <x v="2"/>
    <s v="04-Dec-2025"/>
    <s v="Thursday"/>
    <s v="Weekly - Thursday"/>
    <s v="Weekly - Thursday"/>
    <s v="Month+1 Expiry"/>
    <n v="3573"/>
    <n v="610.79999999999995"/>
    <n v="4.72"/>
  </r>
  <r>
    <s v="18-Nov-2025"/>
    <x v="1"/>
    <s v="Week3-Nov-2025"/>
    <x v="2"/>
    <s v="11-Dec-2025"/>
    <s v="Thursday"/>
    <s v="Weekly - Thursday"/>
    <s v="Weekly - Thursday"/>
    <s v="Month+1 Expiry"/>
    <n v="22"/>
    <n v="3.75"/>
    <n v="0.04"/>
  </r>
  <r>
    <s v="18-Nov-2025"/>
    <x v="1"/>
    <s v="Week3-Nov-2025"/>
    <x v="2"/>
    <s v="24-Dec-2025"/>
    <s v="Wednesday"/>
    <s v="Weekly - Wednesday"/>
    <s v="Weekly - Wednesday"/>
    <s v="Month+1 Expiry"/>
    <n v="2497"/>
    <n v="416.15"/>
    <n v="2.23"/>
  </r>
  <r>
    <s v="19-Nov-2025"/>
    <x v="2"/>
    <s v="Week3-Nov-2025"/>
    <x v="2"/>
    <s v="20-Nov-2025"/>
    <s v="Thursday"/>
    <s v="Weekly - Thursday"/>
    <s v="Weekly - Thursday"/>
    <s v="Same Month Expiry"/>
    <n v="92874552"/>
    <n v="15780894.630000001"/>
    <n v="22936.55"/>
  </r>
  <r>
    <s v="19-Nov-2025"/>
    <x v="2"/>
    <s v="Week3-Nov-2025"/>
    <x v="2"/>
    <s v="27-Nov-2025"/>
    <s v="Thursday"/>
    <s v="Monthly - Thursday"/>
    <s v="Monthly - Thursday"/>
    <s v="Same Month Expiry"/>
    <n v="658344"/>
    <n v="112107.78"/>
    <n v="396.93"/>
  </r>
  <r>
    <s v="19-Nov-2025"/>
    <x v="2"/>
    <s v="Week3-Nov-2025"/>
    <x v="2"/>
    <s v="04-Dec-2025"/>
    <s v="Thursday"/>
    <s v="Weekly - Thursday"/>
    <s v="Weekly - Thursday"/>
    <s v="Month+1 Expiry"/>
    <n v="6213"/>
    <n v="1064.79"/>
    <n v="7.75"/>
  </r>
  <r>
    <s v="19-Nov-2025"/>
    <x v="2"/>
    <s v="Week3-Nov-2025"/>
    <x v="2"/>
    <s v="11-Dec-2025"/>
    <s v="Thursday"/>
    <s v="Weekly - Thursday"/>
    <s v="Weekly - Thursday"/>
    <s v="Month+1 Expiry"/>
    <n v="62"/>
    <n v="10.66"/>
    <n v="0.12"/>
  </r>
  <r>
    <s v="19-Nov-2025"/>
    <x v="2"/>
    <s v="Week3-Nov-2025"/>
    <x v="2"/>
    <s v="24-Dec-2025"/>
    <s v="Wednesday"/>
    <s v="Weekly - Wednesday"/>
    <s v="Weekly - Wednesday"/>
    <s v="Month+1 Expiry"/>
    <n v="3116"/>
    <n v="532.74"/>
    <n v="3.81"/>
  </r>
  <r>
    <s v="20-Nov-2025"/>
    <x v="3"/>
    <s v="Week3-Nov-2025"/>
    <x v="2"/>
    <s v="20-Nov-2025"/>
    <s v="Thursday"/>
    <s v="Weekly - Thursday"/>
    <s v="Weekly - Thursday"/>
    <s v="Same Month Expiry"/>
    <n v="375685545"/>
    <n v="64236448.380000003"/>
    <n v="38671.410000000003"/>
  </r>
  <r>
    <s v="20-Nov-2025"/>
    <x v="3"/>
    <s v="Week3-Nov-2025"/>
    <x v="2"/>
    <s v="27-Nov-2025"/>
    <s v="Thursday"/>
    <s v="Monthly - Thursday"/>
    <s v="Monthly - Thursday"/>
    <s v="Same Month Expiry"/>
    <n v="1837946"/>
    <n v="313976.01"/>
    <n v="991.31"/>
  </r>
  <r>
    <s v="20-Nov-2025"/>
    <x v="3"/>
    <s v="Week3-Nov-2025"/>
    <x v="2"/>
    <s v="04-Dec-2025"/>
    <s v="Thursday"/>
    <s v="Weekly - Thursday"/>
    <s v="Weekly - Thursday"/>
    <s v="Month+1 Expiry"/>
    <n v="16450"/>
    <n v="2831.66"/>
    <n v="18.43"/>
  </r>
  <r>
    <s v="20-Nov-2025"/>
    <x v="3"/>
    <s v="Week3-Nov-2025"/>
    <x v="2"/>
    <s v="11-Dec-2025"/>
    <s v="Thursday"/>
    <s v="Weekly - Thursday"/>
    <s v="Weekly - Thursday"/>
    <s v="Month+1 Expiry"/>
    <n v="428"/>
    <n v="74.41"/>
    <n v="0.68"/>
  </r>
  <r>
    <s v="20-Nov-2025"/>
    <x v="3"/>
    <s v="Week3-Nov-2025"/>
    <x v="2"/>
    <s v="24-Dec-2025"/>
    <s v="Wednesday"/>
    <s v="Weekly - Wednesday"/>
    <s v="Weekly - Wednesday"/>
    <s v="Month+1 Expiry"/>
    <n v="4549"/>
    <n v="787.48"/>
    <n v="5.47"/>
  </r>
  <r>
    <s v="21-Nov-2025"/>
    <x v="4"/>
    <s v="Week3-Nov-2025"/>
    <x v="2"/>
    <s v="27-Nov-2025"/>
    <s v="Thursday"/>
    <s v="Monthly - Thursday"/>
    <s v="MDAW - Thursday"/>
    <s v="Same Month Expiry"/>
    <n v="16294373"/>
    <n v="2793415.52"/>
    <n v="8711.65"/>
  </r>
  <r>
    <s v="21-Nov-2025"/>
    <x v="4"/>
    <s v="Week3-Nov-2025"/>
    <x v="2"/>
    <s v="04-Dec-2025"/>
    <s v="Thursday"/>
    <s v="Weekly - Thursday"/>
    <s v="Weekly - Thursday"/>
    <s v="Month+1 Expiry"/>
    <n v="61887"/>
    <n v="10652.68"/>
    <n v="71.739999999999995"/>
  </r>
  <r>
    <s v="21-Nov-2025"/>
    <x v="4"/>
    <s v="Week3-Nov-2025"/>
    <x v="2"/>
    <s v="11-Dec-2025"/>
    <s v="Thursday"/>
    <s v="Weekly - Thursday"/>
    <s v="Weekly - Thursday"/>
    <s v="Month+1 Expiry"/>
    <n v="731"/>
    <n v="126.05"/>
    <n v="1.23"/>
  </r>
  <r>
    <s v="21-Nov-2025"/>
    <x v="4"/>
    <s v="Week3-Nov-2025"/>
    <x v="2"/>
    <s v="18-Dec-2025"/>
    <s v="Thursday"/>
    <s v="Weekly - Thursday"/>
    <s v="Weekly - Thursday"/>
    <s v="Month+1 Expiry"/>
    <n v="96"/>
    <n v="16.649999999999999"/>
    <n v="0.23"/>
  </r>
  <r>
    <s v="21-Nov-2025"/>
    <x v="4"/>
    <s v="Week3-Nov-2025"/>
    <x v="2"/>
    <s v="24-Dec-2025"/>
    <s v="Wednesday"/>
    <s v="Weekly - Wednesday"/>
    <s v="Weekly - Wednesday"/>
    <s v="Month+1 Expiry"/>
    <n v="5119"/>
    <n v="881.76"/>
    <n v="7.79"/>
  </r>
  <r>
    <s v="24-Nov-2025"/>
    <x v="0"/>
    <s v="Week4-Nov-2025"/>
    <x v="2"/>
    <s v="27-Nov-2025"/>
    <s v="Thursday"/>
    <s v="Monthly - Thursday"/>
    <s v="MDAW - Thursday"/>
    <s v="Same Month Expiry"/>
    <n v="18547569"/>
    <n v="3174189.88"/>
    <n v="7940.28"/>
  </r>
  <r>
    <s v="24-Nov-2025"/>
    <x v="0"/>
    <s v="Week4-Nov-2025"/>
    <x v="2"/>
    <s v="04-Dec-2025"/>
    <s v="Thursday"/>
    <s v="Weekly - Thursday"/>
    <s v="Weekly - Thursday"/>
    <s v="Month+1 Expiry"/>
    <n v="143459"/>
    <n v="24670.33"/>
    <n v="107.84"/>
  </r>
  <r>
    <s v="24-Nov-2025"/>
    <x v="0"/>
    <s v="Week4-Nov-2025"/>
    <x v="2"/>
    <s v="11-Dec-2025"/>
    <s v="Thursday"/>
    <s v="Weekly - Thursday"/>
    <s v="Weekly - Thursday"/>
    <s v="Month+1 Expiry"/>
    <n v="962"/>
    <n v="165.78"/>
    <n v="1.46"/>
  </r>
  <r>
    <s v="24-Nov-2025"/>
    <x v="0"/>
    <s v="Week4-Nov-2025"/>
    <x v="2"/>
    <s v="18-Dec-2025"/>
    <s v="Thursday"/>
    <s v="Weekly - Thursday"/>
    <s v="Weekly - Thursday"/>
    <s v="Month+1 Expiry"/>
    <n v="259"/>
    <n v="44.87"/>
    <n v="0.47"/>
  </r>
  <r>
    <s v="24-Nov-2025"/>
    <x v="0"/>
    <s v="Week4-Nov-2025"/>
    <x v="2"/>
    <s v="24-Dec-2025"/>
    <s v="Wednesday"/>
    <s v="Weekly - Wednesday"/>
    <s v="Weekly - Wednesday"/>
    <s v="Month+1 Expiry"/>
    <n v="4524"/>
    <n v="778.15"/>
    <n v="5.92"/>
  </r>
  <r>
    <s v="24-Nov-2025"/>
    <x v="0"/>
    <s v="Week4-Nov-2025"/>
    <x v="2"/>
    <s v="29-Jan-2026"/>
    <s v="Thursday"/>
    <s v="Monthly - Thursday"/>
    <s v="Monthly - Thursday"/>
    <s v="Month+2 Expiry"/>
    <n v="1"/>
    <n v="0.16"/>
    <n v="0"/>
  </r>
  <r>
    <s v="25-Nov-2025"/>
    <x v="1"/>
    <s v="Week4-Nov-2025"/>
    <x v="2"/>
    <s v="27-Nov-2025"/>
    <s v="Thursday"/>
    <s v="Monthly - Thursday"/>
    <s v="MDAW - Thursday"/>
    <s v="Same Month Expiry"/>
    <n v="24613099"/>
    <n v="4199516.6900000004"/>
    <n v="8377.83"/>
  </r>
  <r>
    <s v="25-Nov-2025"/>
    <x v="1"/>
    <s v="Week4-Nov-2025"/>
    <x v="2"/>
    <s v="04-Dec-2025"/>
    <s v="Thursday"/>
    <s v="Weekly - Thursday"/>
    <s v="Weekly - Thursday"/>
    <s v="Month+1 Expiry"/>
    <n v="329418"/>
    <n v="56401.88"/>
    <n v="240.04"/>
  </r>
  <r>
    <s v="25-Nov-2025"/>
    <x v="1"/>
    <s v="Week4-Nov-2025"/>
    <x v="2"/>
    <s v="11-Dec-2025"/>
    <s v="Thursday"/>
    <s v="Weekly - Thursday"/>
    <s v="Weekly - Thursday"/>
    <s v="Month+1 Expiry"/>
    <n v="5564"/>
    <n v="954.93"/>
    <n v="8.89"/>
  </r>
  <r>
    <s v="25-Nov-2025"/>
    <x v="1"/>
    <s v="Week4-Nov-2025"/>
    <x v="2"/>
    <s v="18-Dec-2025"/>
    <s v="Thursday"/>
    <s v="Weekly - Thursday"/>
    <s v="Weekly - Thursday"/>
    <s v="Month+1 Expiry"/>
    <n v="1277"/>
    <n v="220.11"/>
    <n v="2.74"/>
  </r>
  <r>
    <s v="25-Nov-2025"/>
    <x v="1"/>
    <s v="Week4-Nov-2025"/>
    <x v="2"/>
    <s v="24-Dec-2025"/>
    <s v="Wednesday"/>
    <s v="Weekly - Wednesday"/>
    <s v="Weekly - Wednesday"/>
    <s v="Month+1 Expiry"/>
    <n v="39236"/>
    <n v="6774.66"/>
    <n v="82.31"/>
  </r>
  <r>
    <s v="25-Nov-2025"/>
    <x v="1"/>
    <s v="Week4-Nov-2025"/>
    <x v="2"/>
    <s v="01-Jan-2026"/>
    <s v="Thursday"/>
    <s v="Weekly - Thursday"/>
    <s v="Weekly - Thursday"/>
    <s v="Month+2 Expiry"/>
    <n v="1"/>
    <n v="0.17"/>
    <n v="0"/>
  </r>
  <r>
    <s v="25-Nov-2025"/>
    <x v="1"/>
    <s v="Week4-Nov-2025"/>
    <x v="2"/>
    <s v="29-Jan-2026"/>
    <s v="Thursday"/>
    <s v="Monthly - Thursday"/>
    <s v="Monthly - Thursday"/>
    <s v="Month+2 Expiry"/>
    <n v="0"/>
    <n v="0"/>
    <n v="0"/>
  </r>
  <r>
    <s v="26-Nov-2025"/>
    <x v="2"/>
    <s v="Week4-Nov-2025"/>
    <x v="2"/>
    <s v="27-Nov-2025"/>
    <s v="Thursday"/>
    <s v="Monthly - Thursday"/>
    <s v="MDAW - Thursday"/>
    <s v="Same Month Expiry"/>
    <n v="100693756"/>
    <n v="17193356.079999998"/>
    <n v="23996.080000000002"/>
  </r>
  <r>
    <s v="26-Nov-2025"/>
    <x v="2"/>
    <s v="Week4-Nov-2025"/>
    <x v="2"/>
    <s v="04-Dec-2025"/>
    <s v="Thursday"/>
    <s v="Weekly - Thursday"/>
    <s v="Weekly - Thursday"/>
    <s v="Month+1 Expiry"/>
    <n v="753744"/>
    <n v="129169.29"/>
    <n v="443.07"/>
  </r>
  <r>
    <s v="26-Nov-2025"/>
    <x v="2"/>
    <s v="Week4-Nov-2025"/>
    <x v="2"/>
    <s v="11-Dec-2025"/>
    <s v="Thursday"/>
    <s v="Weekly - Thursday"/>
    <s v="Weekly - Thursday"/>
    <s v="Month+1 Expiry"/>
    <n v="6244"/>
    <n v="1073.83"/>
    <n v="7.69"/>
  </r>
  <r>
    <s v="26-Nov-2025"/>
    <x v="2"/>
    <s v="Week4-Nov-2025"/>
    <x v="2"/>
    <s v="18-Dec-2025"/>
    <s v="Thursday"/>
    <s v="Weekly - Thursday"/>
    <s v="Weekly - Thursday"/>
    <s v="Month+1 Expiry"/>
    <n v="865"/>
    <n v="149.29"/>
    <n v="1.54"/>
  </r>
  <r>
    <s v="26-Nov-2025"/>
    <x v="2"/>
    <s v="Week4-Nov-2025"/>
    <x v="2"/>
    <s v="24-Dec-2025"/>
    <s v="Wednesday"/>
    <s v="Weekly - Wednesday"/>
    <s v="Weekly - Wednesday"/>
    <s v="Month+1 Expiry"/>
    <n v="11616"/>
    <n v="2002.98"/>
    <n v="16.16"/>
  </r>
  <r>
    <s v="26-Nov-2025"/>
    <x v="2"/>
    <s v="Week4-Nov-2025"/>
    <x v="2"/>
    <s v="01-Jan-2026"/>
    <s v="Thursday"/>
    <s v="Weekly - Thursday"/>
    <s v="Weekly - Thursday"/>
    <s v="Month+2 Expiry"/>
    <n v="0"/>
    <n v="0"/>
    <n v="0"/>
  </r>
  <r>
    <s v="26-Nov-2025"/>
    <x v="2"/>
    <s v="Week4-Nov-2025"/>
    <x v="2"/>
    <s v="29-Jan-2026"/>
    <s v="Thursday"/>
    <s v="Monthly - Thursday"/>
    <s v="Monthly - Thursday"/>
    <s v="Month+2 Expiry"/>
    <n v="0"/>
    <n v="0"/>
    <n v="0"/>
  </r>
  <r>
    <s v="27-Nov-2025"/>
    <x v="3"/>
    <s v="Week4-Nov-2025"/>
    <x v="2"/>
    <s v="27-Nov-2025"/>
    <s v="Thursday"/>
    <s v="Monthly - Thursday"/>
    <s v="MDAW - Thursday"/>
    <s v="Same Month Expiry"/>
    <n v="451877999"/>
    <n v="77480546.769999996"/>
    <n v="47600.78"/>
  </r>
  <r>
    <s v="27-Nov-2025"/>
    <x v="3"/>
    <s v="Week4-Nov-2025"/>
    <x v="2"/>
    <s v="04-Dec-2025"/>
    <s v="Thursday"/>
    <s v="Weekly - Thursday"/>
    <s v="Weekly - Thursday"/>
    <s v="Month+1 Expiry"/>
    <n v="2126811"/>
    <n v="365538.71"/>
    <n v="1153.55"/>
  </r>
  <r>
    <s v="27-Nov-2025"/>
    <x v="3"/>
    <s v="Week4-Nov-2025"/>
    <x v="2"/>
    <s v="11-Dec-2025"/>
    <s v="Thursday"/>
    <s v="Weekly - Thursday"/>
    <s v="Weekly - Thursday"/>
    <s v="Month+1 Expiry"/>
    <n v="14252"/>
    <n v="2460.96"/>
    <n v="14.96"/>
  </r>
  <r>
    <s v="27-Nov-2025"/>
    <x v="3"/>
    <s v="Week4-Nov-2025"/>
    <x v="2"/>
    <s v="18-Dec-2025"/>
    <s v="Thursday"/>
    <s v="Weekly - Thursday"/>
    <s v="Weekly - Thursday"/>
    <s v="Month+1 Expiry"/>
    <n v="305"/>
    <n v="52.85"/>
    <n v="0.52"/>
  </r>
  <r>
    <s v="27-Nov-2025"/>
    <x v="3"/>
    <s v="Week4-Nov-2025"/>
    <x v="2"/>
    <s v="24-Dec-2025"/>
    <s v="Wednesday"/>
    <s v="Weekly - Wednesday"/>
    <s v="Weekly - Wednesday"/>
    <s v="Month+1 Expiry"/>
    <n v="14934"/>
    <n v="2579.11"/>
    <n v="18.54"/>
  </r>
  <r>
    <s v="27-Nov-2025"/>
    <x v="3"/>
    <s v="Week4-Nov-2025"/>
    <x v="2"/>
    <s v="01-Jan-2026"/>
    <s v="Thursday"/>
    <s v="Weekly - Thursday"/>
    <s v="Weekly - Thursday"/>
    <s v="Month+2 Expiry"/>
    <n v="0"/>
    <n v="0"/>
    <n v="0"/>
  </r>
  <r>
    <s v="27-Nov-2025"/>
    <x v="3"/>
    <s v="Week4-Nov-2025"/>
    <x v="2"/>
    <s v="29-Jan-2026"/>
    <s v="Thursday"/>
    <s v="Monthly - Thursday"/>
    <s v="Monthly - Thursday"/>
    <s v="Month+2 Expiry"/>
    <n v="0"/>
    <n v="0"/>
    <n v="0"/>
  </r>
  <r>
    <s v="28-Nov-2025"/>
    <x v="4"/>
    <s v="Week4-Nov-2025"/>
    <x v="2"/>
    <s v="04-Dec-2025"/>
    <s v="Thursday"/>
    <s v="Weekly - Thursday"/>
    <s v="Weekly - Thursday"/>
    <s v="Month+1 Expiry"/>
    <n v="17270006"/>
    <n v="2975135.2"/>
    <n v="8183.09"/>
  </r>
  <r>
    <s v="28-Nov-2025"/>
    <x v="4"/>
    <s v="Week4-Nov-2025"/>
    <x v="2"/>
    <s v="11-Dec-2025"/>
    <s v="Thursday"/>
    <s v="Weekly - Thursday"/>
    <s v="Weekly - Thursday"/>
    <s v="Month+1 Expiry"/>
    <n v="91618"/>
    <n v="15950.47"/>
    <n v="43.95"/>
  </r>
  <r>
    <s v="28-Nov-2025"/>
    <x v="4"/>
    <s v="Week4-Nov-2025"/>
    <x v="2"/>
    <s v="18-Dec-2025"/>
    <s v="Thursday"/>
    <s v="Weekly - Thursday"/>
    <s v="Weekly - Thursday"/>
    <s v="Month+1 Expiry"/>
    <n v="866"/>
    <n v="149.18"/>
    <n v="1.18"/>
  </r>
  <r>
    <s v="28-Nov-2025"/>
    <x v="4"/>
    <s v="Week4-Nov-2025"/>
    <x v="2"/>
    <s v="24-Dec-2025"/>
    <s v="Wednesday"/>
    <s v="Weekly - Wednesday"/>
    <s v="Weekly - Wednesday"/>
    <s v="Month+1 Expiry"/>
    <n v="16031"/>
    <n v="2783.73"/>
    <n v="18.68"/>
  </r>
  <r>
    <s v="28-Nov-2025"/>
    <x v="4"/>
    <s v="Week4-Nov-2025"/>
    <x v="2"/>
    <s v="01-Jan-2026"/>
    <s v="Thursday"/>
    <s v="Weekly - Thursday"/>
    <s v="Weekly - Thursday"/>
    <s v="Month+2 Expiry"/>
    <n v="1"/>
    <n v="0.18"/>
    <n v="0"/>
  </r>
  <r>
    <s v="28-Nov-2025"/>
    <x v="4"/>
    <s v="Week4-Nov-2025"/>
    <x v="2"/>
    <s v="29-Jan-2026"/>
    <s v="Thursday"/>
    <s v="Monthly - Thursday"/>
    <s v="Monthly - Thursday"/>
    <s v="Month+2 Expiry"/>
    <n v="0"/>
    <n v="0"/>
    <n v="0"/>
  </r>
  <r>
    <s v="01-Dec-2025"/>
    <x v="0"/>
    <s v="Week1-Dec-2025"/>
    <x v="3"/>
    <s v="04-Dec-2025"/>
    <s v="Thursday"/>
    <s v="Weekly - Thursday"/>
    <s v="Weekly - Thursday"/>
    <s v="Same Month Expiry"/>
    <n v="25057343"/>
    <n v="4311876.0199999996"/>
    <n v="10109.030000000001"/>
  </r>
  <r>
    <s v="01-Dec-2025"/>
    <x v="0"/>
    <s v="Week1-Dec-2025"/>
    <x v="3"/>
    <s v="11-Dec-2025"/>
    <s v="Thursday"/>
    <s v="Weekly - Thursday"/>
    <s v="Weekly - Thursday"/>
    <s v="Same Month Expiry"/>
    <n v="152746"/>
    <n v="26316.7"/>
    <n v="86.09"/>
  </r>
  <r>
    <s v="01-Dec-2025"/>
    <x v="0"/>
    <s v="Week1-Dec-2025"/>
    <x v="3"/>
    <s v="18-Dec-2025"/>
    <s v="Thursday"/>
    <s v="Weekly - Thursday"/>
    <s v="Weekly - Thursday"/>
    <s v="Same Month Expiry"/>
    <n v="1894"/>
    <n v="327.16000000000003"/>
    <n v="2.63"/>
  </r>
  <r>
    <s v="01-Dec-2025"/>
    <x v="0"/>
    <s v="Week1-Dec-2025"/>
    <x v="3"/>
    <s v="24-Dec-2025"/>
    <s v="Wednesday"/>
    <s v="Weekly - Wednesday"/>
    <s v="Weekly - Wednesday"/>
    <s v="Same Month Expiry"/>
    <n v="23544"/>
    <n v="4095.22"/>
    <n v="25.89"/>
  </r>
  <r>
    <s v="01-Dec-2025"/>
    <x v="0"/>
    <s v="Week1-Dec-2025"/>
    <x v="3"/>
    <s v="01-Jan-2026"/>
    <s v="Thursday"/>
    <s v="Weekly - Thursday"/>
    <s v="Weekly - Thursday"/>
    <s v="Month+1 Expiry"/>
    <n v="2"/>
    <n v="0.34"/>
    <n v="0"/>
  </r>
  <r>
    <s v="01-Dec-2025"/>
    <x v="0"/>
    <s v="Week1-Dec-2025"/>
    <x v="3"/>
    <s v="29-Jan-2026"/>
    <s v="Thursday"/>
    <s v="Monthly - Thursday"/>
    <s v="Monthly - Thursday"/>
    <s v="Month+1 Expiry"/>
    <n v="10"/>
    <n v="1.76"/>
    <n v="0.02"/>
  </r>
  <r>
    <s v="02-Dec-2025"/>
    <x v="1"/>
    <s v="Week1-Dec-2025"/>
    <x v="3"/>
    <s v="04-Dec-2025"/>
    <s v="Thursday"/>
    <s v="Weekly - Thursday"/>
    <s v="Weekly - Thursday"/>
    <s v="Same Month Expiry"/>
    <n v="25732723"/>
    <n v="4410504.04"/>
    <n v="8209.2800000000007"/>
  </r>
  <r>
    <s v="02-Dec-2025"/>
    <x v="1"/>
    <s v="Week1-Dec-2025"/>
    <x v="3"/>
    <s v="11-Dec-2025"/>
    <s v="Thursday"/>
    <s v="Weekly - Thursday"/>
    <s v="Weekly - Thursday"/>
    <s v="Same Month Expiry"/>
    <n v="275508"/>
    <n v="47334.59"/>
    <n v="144.49"/>
  </r>
  <r>
    <s v="02-Dec-2025"/>
    <x v="1"/>
    <s v="Week1-Dec-2025"/>
    <x v="3"/>
    <s v="18-Dec-2025"/>
    <s v="Thursday"/>
    <s v="Weekly - Thursday"/>
    <s v="Weekly - Thursday"/>
    <s v="Same Month Expiry"/>
    <n v="1591"/>
    <n v="274.18"/>
    <n v="1.81"/>
  </r>
  <r>
    <s v="02-Dec-2025"/>
    <x v="1"/>
    <s v="Week1-Dec-2025"/>
    <x v="3"/>
    <s v="24-Dec-2025"/>
    <s v="Wednesday"/>
    <s v="Weekly - Wednesday"/>
    <s v="Weekly - Wednesday"/>
    <s v="Same Month Expiry"/>
    <n v="21321"/>
    <n v="3676.96"/>
    <n v="24.7"/>
  </r>
  <r>
    <s v="02-Dec-2025"/>
    <x v="1"/>
    <s v="Week1-Dec-2025"/>
    <x v="3"/>
    <s v="01-Jan-2026"/>
    <s v="Thursday"/>
    <s v="Weekly - Thursday"/>
    <s v="Weekly - Thursday"/>
    <s v="Month+1 Expiry"/>
    <n v="2"/>
    <n v="0.34"/>
    <n v="0"/>
  </r>
  <r>
    <s v="02-Dec-2025"/>
    <x v="1"/>
    <s v="Week1-Dec-2025"/>
    <x v="3"/>
    <s v="29-Jan-2026"/>
    <s v="Thursday"/>
    <s v="Monthly - Thursday"/>
    <s v="Monthly - Thursday"/>
    <s v="Month+1 Expiry"/>
    <n v="32"/>
    <n v="5.6"/>
    <n v="0.13"/>
  </r>
  <r>
    <s v="03-Dec-2025"/>
    <x v="2"/>
    <s v="Week1-Dec-2025"/>
    <x v="3"/>
    <s v="04-Dec-2025"/>
    <s v="Thursday"/>
    <s v="Weekly - Thursday"/>
    <s v="Weekly - Thursday"/>
    <s v="Same Month Expiry"/>
    <n v="116392409"/>
    <n v="19827658.25"/>
    <n v="25846.25"/>
  </r>
  <r>
    <s v="03-Dec-2025"/>
    <x v="2"/>
    <s v="Week1-Dec-2025"/>
    <x v="3"/>
    <s v="11-Dec-2025"/>
    <s v="Thursday"/>
    <s v="Weekly - Thursday"/>
    <s v="Weekly - Thursday"/>
    <s v="Same Month Expiry"/>
    <n v="726279"/>
    <n v="123969.45"/>
    <n v="352.93"/>
  </r>
  <r>
    <s v="03-Dec-2025"/>
    <x v="2"/>
    <s v="Week1-Dec-2025"/>
    <x v="3"/>
    <s v="18-Dec-2025"/>
    <s v="Thursday"/>
    <s v="Weekly - Thursday"/>
    <s v="Weekly - Thursday"/>
    <s v="Same Month Expiry"/>
    <n v="2515"/>
    <n v="432.17"/>
    <n v="3.17"/>
  </r>
  <r>
    <s v="03-Dec-2025"/>
    <x v="2"/>
    <s v="Week1-Dec-2025"/>
    <x v="3"/>
    <s v="24-Dec-2025"/>
    <s v="Wednesday"/>
    <s v="Weekly - Wednesday"/>
    <s v="Weekly - Wednesday"/>
    <s v="Same Month Expiry"/>
    <n v="26067"/>
    <n v="4365.1400000000003"/>
    <n v="21.41"/>
  </r>
  <r>
    <s v="03-Dec-2025"/>
    <x v="2"/>
    <s v="Week1-Dec-2025"/>
    <x v="3"/>
    <s v="01-Jan-2026"/>
    <s v="Thursday"/>
    <s v="Weekly - Thursday"/>
    <s v="Weekly - Thursday"/>
    <s v="Month+1 Expiry"/>
    <n v="0"/>
    <n v="0"/>
    <n v="0"/>
  </r>
  <r>
    <s v="03-Dec-2025"/>
    <x v="2"/>
    <s v="Week1-Dec-2025"/>
    <x v="3"/>
    <s v="29-Jan-2026"/>
    <s v="Thursday"/>
    <s v="Monthly - Thursday"/>
    <s v="Monthly - Thursday"/>
    <s v="Month+1 Expiry"/>
    <n v="39"/>
    <n v="6.8"/>
    <n v="7.0000000000000007E-2"/>
  </r>
  <r>
    <s v="04-Dec-2025"/>
    <x v="3"/>
    <s v="Week1-Dec-2025"/>
    <x v="3"/>
    <s v="04-Dec-2025"/>
    <s v="Thursday"/>
    <s v="Weekly - Thursday"/>
    <s v="Weekly - Thursday"/>
    <s v="Same Month Expiry"/>
    <n v="470486788"/>
    <n v="80209902.659999996"/>
    <n v="46509.67"/>
  </r>
  <r>
    <s v="04-Dec-2025"/>
    <x v="3"/>
    <s v="Week1-Dec-2025"/>
    <x v="3"/>
    <s v="11-Dec-2025"/>
    <s v="Thursday"/>
    <s v="Weekly - Thursday"/>
    <s v="Weekly - Thursday"/>
    <s v="Same Month Expiry"/>
    <n v="1990623"/>
    <n v="340406.1"/>
    <n v="950.36"/>
  </r>
  <r>
    <s v="04-Dec-2025"/>
    <x v="3"/>
    <s v="Week1-Dec-2025"/>
    <x v="3"/>
    <s v="18-Dec-2025"/>
    <s v="Thursday"/>
    <s v="Weekly - Thursday"/>
    <s v="Weekly - Thursday"/>
    <s v="Same Month Expiry"/>
    <n v="5779"/>
    <n v="993.24"/>
    <n v="5.94"/>
  </r>
  <r>
    <s v="04-Dec-2025"/>
    <x v="3"/>
    <s v="Week1-Dec-2025"/>
    <x v="3"/>
    <s v="24-Dec-2025"/>
    <s v="Wednesday"/>
    <s v="Weekly - Wednesday"/>
    <s v="Weekly - Wednesday"/>
    <s v="Same Month Expiry"/>
    <n v="29570"/>
    <n v="5105.99"/>
    <n v="37.08"/>
  </r>
  <r>
    <s v="04-Dec-2025"/>
    <x v="3"/>
    <s v="Week1-Dec-2025"/>
    <x v="3"/>
    <s v="01-Jan-2026"/>
    <s v="Thursday"/>
    <s v="Weekly - Thursday"/>
    <s v="Weekly - Thursday"/>
    <s v="Month+1 Expiry"/>
    <n v="2"/>
    <n v="0.36"/>
    <n v="0"/>
  </r>
  <r>
    <s v="04-Dec-2025"/>
    <x v="3"/>
    <s v="Week1-Dec-2025"/>
    <x v="3"/>
    <s v="29-Jan-2026"/>
    <s v="Thursday"/>
    <s v="Monthly - Thursday"/>
    <s v="Monthly - Thursday"/>
    <s v="Month+1 Expiry"/>
    <n v="57"/>
    <n v="9.99"/>
    <n v="0.14000000000000001"/>
  </r>
  <r>
    <s v="05-Dec-2025"/>
    <x v="4"/>
    <s v="Week1-Dec-2025"/>
    <x v="3"/>
    <s v="11-Dec-2025"/>
    <s v="Thursday"/>
    <s v="Weekly - Thursday"/>
    <s v="Weekly - Thursday"/>
    <s v="Same Month Expiry"/>
    <n v="24250095"/>
    <n v="4163225.7"/>
    <n v="10250.67"/>
  </r>
  <r>
    <s v="05-Dec-2025"/>
    <x v="4"/>
    <s v="Week1-Dec-2025"/>
    <x v="3"/>
    <s v="18-Dec-2025"/>
    <s v="Thursday"/>
    <s v="Weekly - Thursday"/>
    <s v="Weekly - Thursday"/>
    <s v="Same Month Expiry"/>
    <n v="133736"/>
    <n v="23151.94"/>
    <n v="79.28"/>
  </r>
  <r>
    <s v="05-Dec-2025"/>
    <x v="4"/>
    <s v="Week1-Dec-2025"/>
    <x v="3"/>
    <s v="24-Dec-2025"/>
    <s v="Wednesday"/>
    <s v="Weekly - Wednesday"/>
    <s v="Weekly - Wednesday"/>
    <s v="Same Month Expiry"/>
    <n v="41794"/>
    <n v="7221.13"/>
    <n v="47.05"/>
  </r>
  <r>
    <s v="05-Dec-2025"/>
    <x v="4"/>
    <s v="Week1-Dec-2025"/>
    <x v="3"/>
    <s v="01-Jan-2026"/>
    <s v="Thursday"/>
    <s v="Weekly - Thursday"/>
    <s v="Weekly - Thursday"/>
    <s v="Month+1 Expiry"/>
    <n v="404"/>
    <n v="69.91"/>
    <n v="0.55000000000000004"/>
  </r>
  <r>
    <s v="05-Dec-2025"/>
    <x v="4"/>
    <s v="Week1-Dec-2025"/>
    <x v="3"/>
    <s v="22-Jan-2026"/>
    <s v="Thursday"/>
    <s v="Weekly - Thursday"/>
    <s v="Weekly - Thursday"/>
    <s v="Month+1 Expiry"/>
    <n v="1"/>
    <n v="0.17"/>
    <n v="0"/>
  </r>
  <r>
    <s v="05-Dec-2025"/>
    <x v="4"/>
    <s v="Week1-Dec-2025"/>
    <x v="3"/>
    <s v="29-Jan-2026"/>
    <s v="Thursday"/>
    <s v="Monthly - Thursday"/>
    <s v="Monthly - Thursday"/>
    <s v="Month+1 Expiry"/>
    <n v="138"/>
    <n v="24.01"/>
    <n v="0.32"/>
  </r>
  <r>
    <s v="08-Dec-2025"/>
    <x v="0"/>
    <s v="Week2-Dec-2025"/>
    <x v="3"/>
    <s v="11-Dec-2025"/>
    <s v="Thursday"/>
    <s v="Weekly - Thursday"/>
    <s v="Weekly - Thursday"/>
    <s v="Same Month Expiry"/>
    <n v="28121168"/>
    <n v="4811534.76"/>
    <n v="10539.99"/>
  </r>
  <r>
    <s v="08-Dec-2025"/>
    <x v="0"/>
    <s v="Week2-Dec-2025"/>
    <x v="3"/>
    <s v="18-Dec-2025"/>
    <s v="Thursday"/>
    <s v="Weekly - Thursday"/>
    <s v="Weekly - Thursday"/>
    <s v="Same Month Expiry"/>
    <n v="164728"/>
    <n v="28267.91"/>
    <n v="111.55"/>
  </r>
  <r>
    <s v="08-Dec-2025"/>
    <x v="0"/>
    <s v="Week2-Dec-2025"/>
    <x v="3"/>
    <s v="24-Dec-2025"/>
    <s v="Wednesday"/>
    <s v="Weekly - Wednesday"/>
    <s v="Weekly - Wednesday"/>
    <s v="Same Month Expiry"/>
    <n v="31144"/>
    <n v="5364.79"/>
    <n v="28.85"/>
  </r>
  <r>
    <s v="08-Dec-2025"/>
    <x v="0"/>
    <s v="Week2-Dec-2025"/>
    <x v="3"/>
    <s v="01-Jan-2026"/>
    <s v="Thursday"/>
    <s v="Weekly - Thursday"/>
    <s v="Weekly - Thursday"/>
    <s v="Month+1 Expiry"/>
    <n v="289"/>
    <n v="49.68"/>
    <n v="0.35"/>
  </r>
  <r>
    <s v="08-Dec-2025"/>
    <x v="0"/>
    <s v="Week2-Dec-2025"/>
    <x v="3"/>
    <s v="22-Jan-2026"/>
    <s v="Thursday"/>
    <s v="Weekly - Thursday"/>
    <s v="Weekly - Thursday"/>
    <s v="Month+1 Expiry"/>
    <n v="3"/>
    <n v="0.52"/>
    <n v="0.01"/>
  </r>
  <r>
    <s v="08-Dec-2025"/>
    <x v="0"/>
    <s v="Week2-Dec-2025"/>
    <x v="3"/>
    <s v="29-Jan-2026"/>
    <s v="Thursday"/>
    <s v="Monthly - Thursday"/>
    <s v="Monthly - Thursday"/>
    <s v="Month+1 Expiry"/>
    <n v="410"/>
    <n v="71.489999999999995"/>
    <n v="0.86"/>
  </r>
  <r>
    <s v="09-Dec-2025"/>
    <x v="1"/>
    <s v="Week2-Dec-2025"/>
    <x v="3"/>
    <s v="11-Dec-2025"/>
    <s v="Thursday"/>
    <s v="Weekly - Thursday"/>
    <s v="Weekly - Thursday"/>
    <s v="Same Month Expiry"/>
    <n v="35907556"/>
    <n v="6109683.5"/>
    <n v="11245.74"/>
  </r>
  <r>
    <s v="09-Dec-2025"/>
    <x v="1"/>
    <s v="Week2-Dec-2025"/>
    <x v="3"/>
    <s v="18-Dec-2025"/>
    <s v="Thursday"/>
    <s v="Weekly - Thursday"/>
    <s v="Weekly - Thursday"/>
    <s v="Same Month Expiry"/>
    <n v="355012"/>
    <n v="60763.82"/>
    <n v="205.02"/>
  </r>
  <r>
    <s v="09-Dec-2025"/>
    <x v="1"/>
    <s v="Week2-Dec-2025"/>
    <x v="3"/>
    <s v="24-Dec-2025"/>
    <s v="Wednesday"/>
    <s v="Weekly - Wednesday"/>
    <s v="Weekly - Wednesday"/>
    <s v="Same Month Expiry"/>
    <n v="40480"/>
    <n v="6946.11"/>
    <n v="39.340000000000003"/>
  </r>
  <r>
    <s v="09-Dec-2025"/>
    <x v="1"/>
    <s v="Week2-Dec-2025"/>
    <x v="3"/>
    <s v="01-Jan-2026"/>
    <s v="Thursday"/>
    <s v="Weekly - Thursday"/>
    <s v="Weekly - Thursday"/>
    <s v="Month+1 Expiry"/>
    <n v="345"/>
    <n v="60.72"/>
    <n v="0.26"/>
  </r>
  <r>
    <s v="09-Dec-2025"/>
    <x v="1"/>
    <s v="Week2-Dec-2025"/>
    <x v="3"/>
    <s v="08-Jan-2026"/>
    <s v="Thursday"/>
    <s v="Weekly - Thursday"/>
    <s v="Weekly - Thursday"/>
    <s v="Month+1 Expiry"/>
    <n v="1"/>
    <n v="0.17"/>
    <n v="0"/>
  </r>
  <r>
    <s v="09-Dec-2025"/>
    <x v="1"/>
    <s v="Week2-Dec-2025"/>
    <x v="3"/>
    <s v="22-Jan-2026"/>
    <s v="Thursday"/>
    <s v="Weekly - Thursday"/>
    <s v="Weekly - Thursday"/>
    <s v="Month+1 Expiry"/>
    <n v="1"/>
    <n v="0.17"/>
    <n v="0"/>
  </r>
  <r>
    <s v="09-Dec-2025"/>
    <x v="1"/>
    <s v="Week2-Dec-2025"/>
    <x v="3"/>
    <s v="29-Jan-2026"/>
    <s v="Thursday"/>
    <s v="Monthly - Thursday"/>
    <s v="Monthly - Thursday"/>
    <s v="Month+1 Expiry"/>
    <n v="331"/>
    <n v="57.38"/>
    <n v="0.7"/>
  </r>
  <r>
    <s v="10-Dec-2025"/>
    <x v="2"/>
    <s v="Week2-Dec-2025"/>
    <x v="3"/>
    <s v="11-Dec-2025"/>
    <s v="Thursday"/>
    <s v="Weekly - Thursday"/>
    <s v="Weekly - Thursday"/>
    <s v="Same Month Expiry"/>
    <n v="136505436"/>
    <n v="23158081.129999999"/>
    <n v="33408.300000000003"/>
  </r>
  <r>
    <s v="10-Dec-2025"/>
    <x v="2"/>
    <s v="Week2-Dec-2025"/>
    <x v="3"/>
    <s v="18-Dec-2025"/>
    <s v="Thursday"/>
    <s v="Weekly - Thursday"/>
    <s v="Weekly - Thursday"/>
    <s v="Same Month Expiry"/>
    <n v="731485"/>
    <n v="124564.1"/>
    <n v="353.31"/>
  </r>
  <r>
    <s v="10-Dec-2025"/>
    <x v="2"/>
    <s v="Week2-Dec-2025"/>
    <x v="3"/>
    <s v="24-Dec-2025"/>
    <s v="Wednesday"/>
    <s v="Weekly - Wednesday"/>
    <s v="Weekly - Wednesday"/>
    <s v="Same Month Expiry"/>
    <n v="44536"/>
    <n v="7622.02"/>
    <n v="38.909999999999997"/>
  </r>
  <r>
    <s v="10-Dec-2025"/>
    <x v="2"/>
    <s v="Week2-Dec-2025"/>
    <x v="3"/>
    <s v="01-Jan-2026"/>
    <s v="Thursday"/>
    <s v="Weekly - Thursday"/>
    <s v="Weekly - Thursday"/>
    <s v="Month+1 Expiry"/>
    <n v="505"/>
    <n v="87.12"/>
    <n v="0.63"/>
  </r>
  <r>
    <s v="10-Dec-2025"/>
    <x v="2"/>
    <s v="Week2-Dec-2025"/>
    <x v="3"/>
    <s v="08-Jan-2026"/>
    <s v="Thursday"/>
    <s v="Weekly - Thursday"/>
    <s v="Weekly - Thursday"/>
    <s v="Month+1 Expiry"/>
    <n v="1"/>
    <n v="0.17"/>
    <n v="0"/>
  </r>
  <r>
    <s v="10-Dec-2025"/>
    <x v="2"/>
    <s v="Week2-Dec-2025"/>
    <x v="3"/>
    <s v="22-Jan-2026"/>
    <s v="Thursday"/>
    <s v="Weekly - Thursday"/>
    <s v="Weekly - Thursday"/>
    <s v="Month+1 Expiry"/>
    <n v="0"/>
    <n v="0"/>
    <n v="0"/>
  </r>
  <r>
    <s v="10-Dec-2025"/>
    <x v="2"/>
    <s v="Week2-Dec-2025"/>
    <x v="3"/>
    <s v="29-Jan-2026"/>
    <s v="Thursday"/>
    <s v="Monthly - Thursday"/>
    <s v="Monthly - Thursday"/>
    <s v="Month+1 Expiry"/>
    <n v="194"/>
    <n v="33.42"/>
    <n v="0.47"/>
  </r>
  <r>
    <s v="11-Dec-2025"/>
    <x v="3"/>
    <s v="Week2-Dec-2025"/>
    <x v="3"/>
    <s v="11-Dec-2025"/>
    <s v="Thursday"/>
    <s v="Weekly - Thursday"/>
    <s v="Weekly - Thursday"/>
    <s v="Same Month Expiry"/>
    <n v="471443833"/>
    <n v="79865469.739999995"/>
    <n v="52695.07"/>
  </r>
  <r>
    <s v="11-Dec-2025"/>
    <x v="3"/>
    <s v="Week2-Dec-2025"/>
    <x v="3"/>
    <s v="18-Dec-2025"/>
    <s v="Thursday"/>
    <s v="Weekly - Thursday"/>
    <s v="Weekly - Thursday"/>
    <s v="Same Month Expiry"/>
    <n v="2393536"/>
    <n v="405981.28"/>
    <n v="1068.77"/>
  </r>
  <r>
    <s v="11-Dec-2025"/>
    <x v="3"/>
    <s v="Week2-Dec-2025"/>
    <x v="3"/>
    <s v="24-Dec-2025"/>
    <s v="Wednesday"/>
    <s v="Weekly - Wednesday"/>
    <s v="Weekly - Wednesday"/>
    <s v="Same Month Expiry"/>
    <n v="88575"/>
    <n v="15074.81"/>
    <n v="64.739999999999995"/>
  </r>
  <r>
    <s v="11-Dec-2025"/>
    <x v="3"/>
    <s v="Week2-Dec-2025"/>
    <x v="3"/>
    <s v="01-Jan-2026"/>
    <s v="Thursday"/>
    <s v="Weekly - Thursday"/>
    <s v="Weekly - Thursday"/>
    <s v="Month+1 Expiry"/>
    <n v="722"/>
    <n v="124.37"/>
    <n v="0.72"/>
  </r>
  <r>
    <s v="11-Dec-2025"/>
    <x v="3"/>
    <s v="Week2-Dec-2025"/>
    <x v="3"/>
    <s v="08-Jan-2026"/>
    <s v="Thursday"/>
    <s v="Weekly - Thursday"/>
    <s v="Weekly - Thursday"/>
    <s v="Month+1 Expiry"/>
    <n v="2"/>
    <n v="0.34"/>
    <n v="0"/>
  </r>
  <r>
    <s v="11-Dec-2025"/>
    <x v="3"/>
    <s v="Week2-Dec-2025"/>
    <x v="3"/>
    <s v="22-Jan-2026"/>
    <s v="Thursday"/>
    <s v="Weekly - Thursday"/>
    <s v="Weekly - Thursday"/>
    <s v="Month+1 Expiry"/>
    <n v="0"/>
    <n v="0"/>
    <n v="0"/>
  </r>
  <r>
    <s v="11-Dec-2025"/>
    <x v="3"/>
    <s v="Week2-Dec-2025"/>
    <x v="3"/>
    <s v="29-Jan-2026"/>
    <s v="Thursday"/>
    <s v="Monthly - Thursday"/>
    <s v="Monthly - Thursday"/>
    <s v="Month+1 Expiry"/>
    <n v="377"/>
    <n v="64.86"/>
    <n v="0.76"/>
  </r>
  <r>
    <s v="12-Dec-2025"/>
    <x v="4"/>
    <s v="Week2-Dec-2025"/>
    <x v="3"/>
    <s v="18-Dec-2025"/>
    <s v="Thursday"/>
    <s v="Weekly - Thursday"/>
    <s v="Weekly - Thursday"/>
    <s v="Same Month Expiry"/>
    <n v="22156420"/>
    <n v="3786310.54"/>
    <n v="9813.14"/>
  </r>
  <r>
    <s v="12-Dec-2025"/>
    <x v="4"/>
    <s v="Week2-Dec-2025"/>
    <x v="3"/>
    <s v="24-Dec-2025"/>
    <s v="Wednesday"/>
    <s v="Weekly - Wednesday"/>
    <s v="Weekly - Wednesday"/>
    <s v="Same Month Expiry"/>
    <n v="133571"/>
    <n v="22856.29"/>
    <n v="82.51"/>
  </r>
  <r>
    <s v="12-Dec-2025"/>
    <x v="4"/>
    <s v="Week2-Dec-2025"/>
    <x v="3"/>
    <s v="01-Jan-2026"/>
    <s v="Thursday"/>
    <s v="Weekly - Thursday"/>
    <s v="Weekly - Thursday"/>
    <s v="Month+1 Expiry"/>
    <n v="2283"/>
    <n v="393.57"/>
    <n v="2.2000000000000002"/>
  </r>
  <r>
    <s v="12-Dec-2025"/>
    <x v="4"/>
    <s v="Week2-Dec-2025"/>
    <x v="3"/>
    <s v="08-Jan-2026"/>
    <s v="Thursday"/>
    <s v="Weekly - Thursday"/>
    <s v="Weekly - Thursday"/>
    <s v="Month+1 Expiry"/>
    <n v="14"/>
    <n v="2.42"/>
    <n v="0.03"/>
  </r>
  <r>
    <s v="12-Dec-2025"/>
    <x v="4"/>
    <s v="Week2-Dec-2025"/>
    <x v="3"/>
    <s v="15-Jan-2026"/>
    <s v="Thursday"/>
    <s v="Weekly - Thursday"/>
    <s v="Weekly - Thursday"/>
    <s v="Month+1 Expiry"/>
    <n v="3"/>
    <n v="0.5"/>
    <n v="0"/>
  </r>
  <r>
    <s v="12-Dec-2025"/>
    <x v="4"/>
    <s v="Week2-Dec-2025"/>
    <x v="3"/>
    <s v="22-Jan-2026"/>
    <s v="Thursday"/>
    <s v="Weekly - Thursday"/>
    <s v="Weekly - Thursday"/>
    <s v="Month+1 Expiry"/>
    <n v="1"/>
    <n v="0.17"/>
    <n v="0"/>
  </r>
  <r>
    <s v="12-Dec-2025"/>
    <x v="4"/>
    <s v="Week2-Dec-2025"/>
    <x v="3"/>
    <s v="29-Jan-2026"/>
    <s v="Thursday"/>
    <s v="Monthly - Thursday"/>
    <s v="Monthly - Thursday"/>
    <s v="Month+1 Expiry"/>
    <n v="650"/>
    <n v="112.04"/>
    <n v="1.1299999999999999"/>
  </r>
  <r>
    <s v="15-Dec-2025"/>
    <x v="0"/>
    <s v="Week3-Dec-2025"/>
    <x v="3"/>
    <s v="18-Dec-2025"/>
    <s v="Thursday"/>
    <s v="Weekly - Thursday"/>
    <s v="Weekly - Thursday"/>
    <s v="Same Month Expiry"/>
    <n v="24503164"/>
    <n v="4179369.32"/>
    <n v="9469.01"/>
  </r>
  <r>
    <s v="15-Dec-2025"/>
    <x v="0"/>
    <s v="Week3-Dec-2025"/>
    <x v="3"/>
    <s v="24-Dec-2025"/>
    <s v="Wednesday"/>
    <s v="Weekly - Wednesday"/>
    <s v="Weekly - Wednesday"/>
    <s v="Same Month Expiry"/>
    <n v="255414"/>
    <n v="43616"/>
    <n v="123.01"/>
  </r>
  <r>
    <s v="15-Dec-2025"/>
    <x v="0"/>
    <s v="Week3-Dec-2025"/>
    <x v="3"/>
    <s v="01-Jan-2026"/>
    <s v="Thursday"/>
    <s v="Weekly - Thursday"/>
    <s v="Weekly - Thursday"/>
    <s v="Month+1 Expiry"/>
    <n v="3164"/>
    <n v="545.58000000000004"/>
    <n v="3.19"/>
  </r>
  <r>
    <s v="15-Dec-2025"/>
    <x v="0"/>
    <s v="Week3-Dec-2025"/>
    <x v="3"/>
    <s v="08-Jan-2026"/>
    <s v="Thursday"/>
    <s v="Weekly - Thursday"/>
    <s v="Weekly - Thursday"/>
    <s v="Month+1 Expiry"/>
    <n v="1"/>
    <n v="0.17"/>
    <n v="0"/>
  </r>
  <r>
    <s v="15-Dec-2025"/>
    <x v="0"/>
    <s v="Week3-Dec-2025"/>
    <x v="3"/>
    <s v="15-Jan-2026"/>
    <s v="Thursday"/>
    <s v="Weekly - Thursday"/>
    <s v="Weekly - Thursday"/>
    <s v="Month+1 Expiry"/>
    <n v="0"/>
    <n v="0"/>
    <n v="0"/>
  </r>
  <r>
    <s v="15-Dec-2025"/>
    <x v="0"/>
    <s v="Week3-Dec-2025"/>
    <x v="3"/>
    <s v="29-Jan-2026"/>
    <s v="Thursday"/>
    <s v="Monthly - Thursday"/>
    <s v="Monthly - Thursday"/>
    <s v="Month+1 Expiry"/>
    <n v="1008"/>
    <n v="174.07"/>
    <n v="1.71"/>
  </r>
  <r>
    <s v="16-Dec-2025"/>
    <x v="1"/>
    <s v="Week3-Dec-2025"/>
    <x v="3"/>
    <s v="18-Dec-2025"/>
    <s v="Thursday"/>
    <s v="Weekly - Thursday"/>
    <s v="Weekly - Thursday"/>
    <s v="Same Month Expiry"/>
    <n v="26962596"/>
    <n v="4589747.79"/>
    <n v="8402.1299999999992"/>
  </r>
  <r>
    <s v="16-Dec-2025"/>
    <x v="1"/>
    <s v="Week3-Dec-2025"/>
    <x v="3"/>
    <s v="24-Dec-2025"/>
    <s v="Wednesday"/>
    <s v="Weekly - Wednesday"/>
    <s v="Weekly - Wednesday"/>
    <s v="Same Month Expiry"/>
    <n v="401539"/>
    <n v="68571.360000000001"/>
    <n v="194.89"/>
  </r>
  <r>
    <s v="16-Dec-2025"/>
    <x v="1"/>
    <s v="Week3-Dec-2025"/>
    <x v="3"/>
    <s v="01-Jan-2026"/>
    <s v="Thursday"/>
    <s v="Weekly - Thursday"/>
    <s v="Weekly - Thursday"/>
    <s v="Month+1 Expiry"/>
    <n v="4009"/>
    <n v="689.34"/>
    <n v="3.52"/>
  </r>
  <r>
    <s v="16-Dec-2025"/>
    <x v="1"/>
    <s v="Week3-Dec-2025"/>
    <x v="3"/>
    <s v="08-Jan-2026"/>
    <s v="Thursday"/>
    <s v="Weekly - Thursday"/>
    <s v="Weekly - Thursday"/>
    <s v="Month+1 Expiry"/>
    <n v="63"/>
    <n v="10.82"/>
    <n v="0.09"/>
  </r>
  <r>
    <s v="16-Dec-2025"/>
    <x v="1"/>
    <s v="Week3-Dec-2025"/>
    <x v="3"/>
    <s v="15-Jan-2026"/>
    <s v="Thursday"/>
    <s v="Weekly - Thursday"/>
    <s v="Weekly - Thursday"/>
    <s v="Month+1 Expiry"/>
    <n v="0"/>
    <n v="0"/>
    <n v="0"/>
  </r>
  <r>
    <s v="16-Dec-2025"/>
    <x v="1"/>
    <s v="Week3-Dec-2025"/>
    <x v="3"/>
    <s v="29-Jan-2026"/>
    <s v="Thursday"/>
    <s v="Monthly - Thursday"/>
    <s v="Monthly - Thursday"/>
    <s v="Month+1 Expiry"/>
    <n v="1203"/>
    <n v="206.7"/>
    <n v="1.88"/>
  </r>
  <r>
    <s v="17-Dec-2025"/>
    <x v="2"/>
    <s v="Week3-Dec-2025"/>
    <x v="3"/>
    <s v="18-Dec-2025"/>
    <s v="Thursday"/>
    <s v="Weekly - Thursday"/>
    <s v="Weekly - Thursday"/>
    <s v="Same Month Expiry"/>
    <n v="110609327"/>
    <n v="18757836.920000002"/>
    <n v="25397.85"/>
  </r>
  <r>
    <s v="17-Dec-2025"/>
    <x v="2"/>
    <s v="Week3-Dec-2025"/>
    <x v="3"/>
    <s v="24-Dec-2025"/>
    <s v="Wednesday"/>
    <s v="Weekly - Wednesday"/>
    <s v="Weekly - Wednesday"/>
    <s v="Same Month Expiry"/>
    <n v="757797"/>
    <n v="129009.99"/>
    <n v="329.23"/>
  </r>
  <r>
    <s v="17-Dec-2025"/>
    <x v="2"/>
    <s v="Week3-Dec-2025"/>
    <x v="3"/>
    <s v="01-Jan-2026"/>
    <s v="Thursday"/>
    <s v="Weekly - Thursday"/>
    <s v="Weekly - Thursday"/>
    <s v="Month+1 Expiry"/>
    <n v="7741"/>
    <n v="1325.36"/>
    <n v="6.12"/>
  </r>
  <r>
    <s v="17-Dec-2025"/>
    <x v="2"/>
    <s v="Week3-Dec-2025"/>
    <x v="3"/>
    <s v="08-Jan-2026"/>
    <s v="Thursday"/>
    <s v="Weekly - Thursday"/>
    <s v="Weekly - Thursday"/>
    <s v="Month+1 Expiry"/>
    <n v="77"/>
    <n v="12.6"/>
    <n v="0.06"/>
  </r>
  <r>
    <s v="17-Dec-2025"/>
    <x v="2"/>
    <s v="Week3-Dec-2025"/>
    <x v="3"/>
    <s v="15-Jan-2026"/>
    <s v="Thursday"/>
    <s v="Weekly - Thursday"/>
    <s v="Weekly - Thursday"/>
    <s v="Month+1 Expiry"/>
    <n v="0"/>
    <n v="0"/>
    <n v="0"/>
  </r>
  <r>
    <s v="17-Dec-2025"/>
    <x v="2"/>
    <s v="Week3-Dec-2025"/>
    <x v="3"/>
    <s v="29-Jan-2026"/>
    <s v="Thursday"/>
    <s v="Monthly - Thursday"/>
    <s v="Monthly - Thursday"/>
    <s v="Month+1 Expiry"/>
    <n v="1485"/>
    <n v="255.77"/>
    <n v="2.4500000000000002"/>
  </r>
  <r>
    <s v="18-Dec-2025"/>
    <x v="3"/>
    <s v="Week3-Dec-2025"/>
    <x v="3"/>
    <s v="18-Dec-2025"/>
    <s v="Thursday"/>
    <s v="Weekly - Thursday"/>
    <s v="Weekly - Thursday"/>
    <s v="Same Month Expiry"/>
    <n v="435932021"/>
    <n v="73760360.280000001"/>
    <n v="43637.7"/>
  </r>
  <r>
    <s v="18-Dec-2025"/>
    <x v="3"/>
    <s v="Week3-Dec-2025"/>
    <x v="3"/>
    <s v="24-Dec-2025"/>
    <s v="Wednesday"/>
    <s v="Weekly - Wednesday"/>
    <s v="Weekly - Wednesday"/>
    <s v="Same Month Expiry"/>
    <n v="2417966"/>
    <n v="410450.93"/>
    <n v="989.79"/>
  </r>
  <r>
    <s v="18-Dec-2025"/>
    <x v="3"/>
    <s v="Week3-Dec-2025"/>
    <x v="3"/>
    <s v="01-Jan-2026"/>
    <s v="Thursday"/>
    <s v="Weekly - Thursday"/>
    <s v="Weekly - Thursday"/>
    <s v="Month+1 Expiry"/>
    <n v="26048"/>
    <n v="4445.57"/>
    <n v="21.34"/>
  </r>
  <r>
    <s v="18-Dec-2025"/>
    <x v="3"/>
    <s v="Week3-Dec-2025"/>
    <x v="3"/>
    <s v="08-Jan-2026"/>
    <s v="Thursday"/>
    <s v="Weekly - Thursday"/>
    <s v="Weekly - Thursday"/>
    <s v="Month+1 Expiry"/>
    <n v="218"/>
    <n v="36.22"/>
    <n v="0.18"/>
  </r>
  <r>
    <s v="18-Dec-2025"/>
    <x v="3"/>
    <s v="Week3-Dec-2025"/>
    <x v="3"/>
    <s v="15-Jan-2026"/>
    <s v="Thursday"/>
    <s v="Weekly - Thursday"/>
    <s v="Weekly - Thursday"/>
    <s v="Month+1 Expiry"/>
    <n v="0"/>
    <n v="0"/>
    <n v="0"/>
  </r>
  <r>
    <s v="18-Dec-2025"/>
    <x v="3"/>
    <s v="Week3-Dec-2025"/>
    <x v="3"/>
    <s v="29-Jan-2026"/>
    <s v="Thursday"/>
    <s v="Monthly - Thursday"/>
    <s v="Monthly - Thursday"/>
    <s v="Month+1 Expiry"/>
    <n v="2677"/>
    <n v="460.53"/>
    <n v="3.88"/>
  </r>
  <r>
    <s v="19-Dec-2025"/>
    <x v="4"/>
    <s v="Week3-Dec-2025"/>
    <x v="3"/>
    <s v="24-Dec-2025"/>
    <s v="Wednesday"/>
    <s v="Weekly - Wednesday"/>
    <s v="Weekly - Wednesday"/>
    <s v="Same Month Expiry"/>
    <n v="21271593"/>
    <n v="3622459.51"/>
    <n v="8639.1299999999992"/>
  </r>
  <r>
    <s v="19-Dec-2025"/>
    <x v="4"/>
    <s v="Week3-Dec-2025"/>
    <x v="3"/>
    <s v="01-Jan-2026"/>
    <s v="Thursday"/>
    <s v="Weekly - Thursday"/>
    <s v="Weekly - Thursday"/>
    <s v="Month+1 Expiry"/>
    <n v="78550"/>
    <n v="13438.96"/>
    <n v="57.48"/>
  </r>
  <r>
    <s v="19-Dec-2025"/>
    <x v="4"/>
    <s v="Week3-Dec-2025"/>
    <x v="3"/>
    <s v="08-Jan-2026"/>
    <s v="Thursday"/>
    <s v="Weekly - Thursday"/>
    <s v="Weekly - Thursday"/>
    <s v="Month+1 Expiry"/>
    <n v="1392"/>
    <n v="236.35"/>
    <n v="1.2"/>
  </r>
  <r>
    <s v="19-Dec-2025"/>
    <x v="4"/>
    <s v="Week3-Dec-2025"/>
    <x v="3"/>
    <s v="15-Jan-2026"/>
    <s v="Thursday"/>
    <s v="Weekly - Thursday"/>
    <s v="Weekly - Thursday"/>
    <s v="Month+1 Expiry"/>
    <n v="32"/>
    <n v="5.49"/>
    <n v="0.05"/>
  </r>
  <r>
    <s v="19-Dec-2025"/>
    <x v="4"/>
    <s v="Week3-Dec-2025"/>
    <x v="3"/>
    <s v="29-Jan-2026"/>
    <s v="Thursday"/>
    <s v="Monthly - Thursday"/>
    <s v="Monthly - Thursday"/>
    <s v="Month+1 Expiry"/>
    <n v="3793"/>
    <n v="653.98"/>
    <n v="5.0199999999999996"/>
  </r>
  <r>
    <s v="22-Dec-2025"/>
    <x v="0"/>
    <s v="Week4-Dec-2025"/>
    <x v="3"/>
    <s v="24-Dec-2025"/>
    <s v="Wednesday"/>
    <s v="Weekly - Wednesday"/>
    <s v="Weekly - Wednesday"/>
    <s v="Same Month Expiry"/>
    <n v="21431230"/>
    <n v="3660862.51"/>
    <n v="6793.89"/>
  </r>
  <r>
    <s v="22-Dec-2025"/>
    <x v="0"/>
    <s v="Week4-Dec-2025"/>
    <x v="3"/>
    <s v="01-Jan-2026"/>
    <s v="Thursday"/>
    <s v="Weekly - Thursday"/>
    <s v="Weekly - Thursday"/>
    <s v="Month+1 Expiry"/>
    <n v="159748"/>
    <n v="27369.17"/>
    <n v="92.18"/>
  </r>
  <r>
    <s v="22-Dec-2025"/>
    <x v="0"/>
    <s v="Week4-Dec-2025"/>
    <x v="3"/>
    <s v="08-Jan-2026"/>
    <s v="Thursday"/>
    <s v="Weekly - Thursday"/>
    <s v="Weekly - Thursday"/>
    <s v="Month+1 Expiry"/>
    <n v="2582"/>
    <n v="443.73"/>
    <n v="2.42"/>
  </r>
  <r>
    <s v="22-Dec-2025"/>
    <x v="0"/>
    <s v="Week4-Dec-2025"/>
    <x v="3"/>
    <s v="15-Jan-2026"/>
    <s v="Thursday"/>
    <s v="Weekly - Thursday"/>
    <s v="Weekly - Thursday"/>
    <s v="Month+1 Expiry"/>
    <n v="19"/>
    <n v="3.29"/>
    <n v="0.03"/>
  </r>
  <r>
    <s v="22-Dec-2025"/>
    <x v="0"/>
    <s v="Week4-Dec-2025"/>
    <x v="3"/>
    <s v="29-Jan-2026"/>
    <s v="Thursday"/>
    <s v="Monthly - Thursday"/>
    <s v="Monthly - Thursday"/>
    <s v="Month+1 Expiry"/>
    <n v="2969"/>
    <n v="514.14"/>
    <n v="4.21"/>
  </r>
  <r>
    <s v="23-Dec-2025"/>
    <x v="1"/>
    <s v="Week4-Dec-2025"/>
    <x v="3"/>
    <s v="24-Dec-2025"/>
    <s v="Wednesday"/>
    <s v="Weekly - Wednesday"/>
    <s v="Weekly - Wednesday"/>
    <s v="Same Month Expiry"/>
    <n v="35736628"/>
    <n v="6113366.3700000001"/>
    <n v="7923.31"/>
  </r>
  <r>
    <s v="23-Dec-2025"/>
    <x v="1"/>
    <s v="Week4-Dec-2025"/>
    <x v="3"/>
    <s v="01-Jan-2026"/>
    <s v="Thursday"/>
    <s v="Weekly - Thursday"/>
    <s v="Weekly - Thursday"/>
    <s v="Month+1 Expiry"/>
    <n v="424229"/>
    <n v="72721.17"/>
    <n v="216.44"/>
  </r>
  <r>
    <s v="23-Dec-2025"/>
    <x v="1"/>
    <s v="Week4-Dec-2025"/>
    <x v="3"/>
    <s v="08-Jan-2026"/>
    <s v="Thursday"/>
    <s v="Weekly - Thursday"/>
    <s v="Weekly - Thursday"/>
    <s v="Month+1 Expiry"/>
    <n v="4106"/>
    <n v="707.64"/>
    <n v="3.93"/>
  </r>
  <r>
    <s v="23-Dec-2025"/>
    <x v="1"/>
    <s v="Week4-Dec-2025"/>
    <x v="3"/>
    <s v="15-Jan-2026"/>
    <s v="Thursday"/>
    <s v="Weekly - Thursday"/>
    <s v="Weekly - Thursday"/>
    <s v="Month+1 Expiry"/>
    <n v="37"/>
    <n v="6.44"/>
    <n v="0.06"/>
  </r>
  <r>
    <s v="23-Dec-2025"/>
    <x v="1"/>
    <s v="Week4-Dec-2025"/>
    <x v="3"/>
    <s v="29-Jan-2026"/>
    <s v="Thursday"/>
    <s v="Monthly - Thursday"/>
    <s v="Monthly - Thursday"/>
    <s v="Month+1 Expiry"/>
    <n v="3514"/>
    <n v="606.32000000000005"/>
    <n v="5.04"/>
  </r>
  <r>
    <s v="24-Dec-2025"/>
    <x v="2"/>
    <s v="Week4-Dec-2025"/>
    <x v="3"/>
    <s v="24-Dec-2025"/>
    <s v="Wednesday"/>
    <s v="Weekly - Wednesday"/>
    <s v="Weekly - Wednesday"/>
    <s v="Same Month Expiry"/>
    <n v="348719565"/>
    <n v="59642107.770000003"/>
    <n v="31288.97"/>
  </r>
  <r>
    <s v="24-Dec-2025"/>
    <x v="2"/>
    <s v="Week4-Dec-2025"/>
    <x v="3"/>
    <s v="01-Jan-2026"/>
    <s v="Thursday"/>
    <s v="Weekly - Thursday"/>
    <s v="Weekly - Thursday"/>
    <s v="Month+1 Expiry"/>
    <n v="1622301"/>
    <n v="278434.86"/>
    <n v="643.71"/>
  </r>
  <r>
    <s v="24-Dec-2025"/>
    <x v="2"/>
    <s v="Week4-Dec-2025"/>
    <x v="3"/>
    <s v="08-Jan-2026"/>
    <s v="Thursday"/>
    <s v="Weekly - Thursday"/>
    <s v="Weekly - Thursday"/>
    <s v="Month+1 Expiry"/>
    <n v="12217"/>
    <n v="2101.09"/>
    <n v="8.69"/>
  </r>
  <r>
    <s v="24-Dec-2025"/>
    <x v="2"/>
    <s v="Week4-Dec-2025"/>
    <x v="3"/>
    <s v="15-Jan-2026"/>
    <s v="Thursday"/>
    <s v="Weekly - Thursday"/>
    <s v="Weekly - Thursday"/>
    <s v="Month+1 Expiry"/>
    <n v="42"/>
    <n v="7.26"/>
    <n v="0.05"/>
  </r>
  <r>
    <s v="24-Dec-2025"/>
    <x v="2"/>
    <s v="Week4-Dec-2025"/>
    <x v="3"/>
    <s v="29-Jan-2026"/>
    <s v="Thursday"/>
    <s v="Monthly - Thursday"/>
    <s v="Monthly - Thursday"/>
    <s v="Month+1 Expiry"/>
    <n v="4453"/>
    <n v="768.91"/>
    <n v="5.51"/>
  </r>
  <r>
    <s v="26-Dec-2025"/>
    <x v="4"/>
    <s v="Week4-Dec-2025"/>
    <x v="3"/>
    <s v="01-Jan-2026"/>
    <s v="Thursday"/>
    <s v="Weekly - Thursday"/>
    <s v="Weekly - Thursday"/>
    <s v="Month+1 Expiry"/>
    <n v="15658607"/>
    <n v="2677604.88"/>
    <n v="5674.62"/>
  </r>
  <r>
    <s v="26-Dec-2025"/>
    <x v="4"/>
    <s v="Week4-Dec-2025"/>
    <x v="3"/>
    <s v="08-Jan-2026"/>
    <s v="Thursday"/>
    <s v="Weekly - Thursday"/>
    <s v="Weekly - Thursday"/>
    <s v="Month+1 Expiry"/>
    <n v="52518"/>
    <n v="9009.39"/>
    <n v="33.76"/>
  </r>
  <r>
    <s v="26-Dec-2025"/>
    <x v="4"/>
    <s v="Week4-Dec-2025"/>
    <x v="3"/>
    <s v="15-Jan-2026"/>
    <s v="Thursday"/>
    <s v="Weekly - Thursday"/>
    <s v="Weekly - Thursday"/>
    <s v="Month+1 Expiry"/>
    <n v="431"/>
    <n v="74.12"/>
    <n v="0.47"/>
  </r>
  <r>
    <s v="26-Dec-2025"/>
    <x v="4"/>
    <s v="Week4-Dec-2025"/>
    <x v="3"/>
    <s v="22-Jan-2026"/>
    <s v="Thursday"/>
    <s v="Weekly - Thursday"/>
    <s v="Weekly - Thursday"/>
    <s v="Month+1 Expiry"/>
    <n v="36"/>
    <n v="6.23"/>
    <n v="0.06"/>
  </r>
  <r>
    <s v="26-Dec-2025"/>
    <x v="4"/>
    <s v="Week4-Dec-2025"/>
    <x v="3"/>
    <s v="29-Jan-2026"/>
    <s v="Thursday"/>
    <s v="Monthly - Thursday"/>
    <s v="Monthly - Thursday"/>
    <s v="Month+1 Expiry"/>
    <n v="7815"/>
    <n v="1347.98"/>
    <n v="9.9499999999999993"/>
  </r>
  <r>
    <s v="26-Dec-2025"/>
    <x v="4"/>
    <s v="Week4-Dec-2025"/>
    <x v="3"/>
    <s v="26-Feb-2026"/>
    <s v="Thursday"/>
    <s v="Monthly - Thursday"/>
    <s v="Monthly - Thursday"/>
    <s v="Month+2 Expiry"/>
    <n v="1"/>
    <n v="0.17"/>
    <n v="0"/>
  </r>
  <r>
    <s v="29-Dec-2025"/>
    <x v="0"/>
    <s v="Week5-Dec-2025"/>
    <x v="3"/>
    <s v="01-Jan-2026"/>
    <s v="Thursday"/>
    <s v="Weekly - Thursday"/>
    <s v="Weekly - Thursday"/>
    <s v="Month+1 Expiry"/>
    <n v="22647619"/>
    <n v="3858754.58"/>
    <n v="6910.91"/>
  </r>
  <r>
    <s v="29-Dec-2025"/>
    <x v="0"/>
    <s v="Week5-Dec-2025"/>
    <x v="3"/>
    <s v="08-Jan-2026"/>
    <s v="Thursday"/>
    <s v="Weekly - Thursday"/>
    <s v="Weekly - Thursday"/>
    <s v="Month+1 Expiry"/>
    <n v="136766"/>
    <n v="23379.43"/>
    <n v="79.62"/>
  </r>
  <r>
    <s v="29-Dec-2025"/>
    <x v="0"/>
    <s v="Week5-Dec-2025"/>
    <x v="3"/>
    <s v="15-Jan-2026"/>
    <s v="Thursday"/>
    <s v="Weekly - Thursday"/>
    <s v="Weekly - Thursday"/>
    <s v="Month+1 Expiry"/>
    <n v="778"/>
    <n v="134.16"/>
    <n v="0.71"/>
  </r>
  <r>
    <s v="29-Dec-2025"/>
    <x v="0"/>
    <s v="Week5-Dec-2025"/>
    <x v="3"/>
    <s v="22-Jan-2026"/>
    <s v="Thursday"/>
    <s v="Weekly - Thursday"/>
    <s v="Weekly - Thursday"/>
    <s v="Month+1 Expiry"/>
    <n v="28"/>
    <n v="4.82"/>
    <n v="0.04"/>
  </r>
  <r>
    <s v="29-Dec-2025"/>
    <x v="0"/>
    <s v="Week5-Dec-2025"/>
    <x v="3"/>
    <s v="29-Jan-2026"/>
    <s v="Thursday"/>
    <s v="Monthly - Thursday"/>
    <s v="Monthly - Thursday"/>
    <s v="Month+1 Expiry"/>
    <n v="7076"/>
    <n v="1216.53"/>
    <n v="9.33"/>
  </r>
  <r>
    <s v="29-Dec-2025"/>
    <x v="0"/>
    <s v="Week5-Dec-2025"/>
    <x v="3"/>
    <s v="26-Feb-2026"/>
    <s v="Thursday"/>
    <s v="Monthly - Thursday"/>
    <s v="Monthly - Thursday"/>
    <s v="Month+2 Expiry"/>
    <n v="24"/>
    <n v="3.92"/>
    <n v="0.01"/>
  </r>
  <r>
    <s v="30-Dec-2025"/>
    <x v="1"/>
    <s v="Week5-Dec-2025"/>
    <x v="3"/>
    <s v="01-Jan-2026"/>
    <s v="Thursday"/>
    <s v="Weekly - Thursday"/>
    <s v="Weekly - Thursday"/>
    <s v="Month+1 Expiry"/>
    <n v="28909632"/>
    <n v="4914475.21"/>
    <n v="7901.64"/>
  </r>
  <r>
    <s v="30-Dec-2025"/>
    <x v="1"/>
    <s v="Week5-Dec-2025"/>
    <x v="3"/>
    <s v="08-Jan-2026"/>
    <s v="Thursday"/>
    <s v="Weekly - Thursday"/>
    <s v="Weekly - Thursday"/>
    <s v="Month+1 Expiry"/>
    <n v="270109"/>
    <n v="46053.71"/>
    <n v="139.15"/>
  </r>
  <r>
    <s v="30-Dec-2025"/>
    <x v="1"/>
    <s v="Week5-Dec-2025"/>
    <x v="3"/>
    <s v="15-Jan-2026"/>
    <s v="Thursday"/>
    <s v="Weekly - Thursday"/>
    <s v="Weekly - Thursday"/>
    <s v="Month+1 Expiry"/>
    <n v="1567"/>
    <n v="268.55"/>
    <n v="1.54"/>
  </r>
  <r>
    <s v="30-Dec-2025"/>
    <x v="1"/>
    <s v="Week5-Dec-2025"/>
    <x v="3"/>
    <s v="22-Jan-2026"/>
    <s v="Thursday"/>
    <s v="Weekly - Thursday"/>
    <s v="Weekly - Thursday"/>
    <s v="Month+1 Expiry"/>
    <n v="180"/>
    <n v="30.91"/>
    <n v="0.26"/>
  </r>
  <r>
    <s v="30-Dec-2025"/>
    <x v="1"/>
    <s v="Week5-Dec-2025"/>
    <x v="3"/>
    <s v="29-Jan-2026"/>
    <s v="Thursday"/>
    <s v="Monthly - Thursday"/>
    <s v="Monthly - Thursday"/>
    <s v="Month+1 Expiry"/>
    <n v="7984"/>
    <n v="1370.69"/>
    <n v="8.8000000000000007"/>
  </r>
  <r>
    <s v="30-Dec-2025"/>
    <x v="1"/>
    <s v="Week5-Dec-2025"/>
    <x v="3"/>
    <s v="26-Feb-2026"/>
    <s v="Thursday"/>
    <s v="Monthly - Thursday"/>
    <s v="Monthly - Thursday"/>
    <s v="Month+2 Expiry"/>
    <n v="7"/>
    <n v="1.19"/>
    <n v="0.01"/>
  </r>
  <r>
    <s v="30-Dec-2025"/>
    <x v="1"/>
    <s v="Week5-Dec-2025"/>
    <x v="3"/>
    <s v="25-Mar-2026"/>
    <s v="Wednesday"/>
    <s v="Monthly - Wednesday"/>
    <s v="Monthly - Wednesday"/>
    <s v="Month+3 Expiry"/>
    <n v="1"/>
    <n v="0.17"/>
    <n v="0"/>
  </r>
  <r>
    <s v="31-Dec-2025"/>
    <x v="2"/>
    <s v="Week5-Dec-2025"/>
    <x v="3"/>
    <s v="01-Jan-2026"/>
    <s v="Thursday"/>
    <s v="Weekly - Thursday"/>
    <s v="Weekly - Thursday"/>
    <s v="Month+1 Expiry"/>
    <n v="125272593"/>
    <n v="21336524.34"/>
    <n v="24375.42"/>
  </r>
  <r>
    <s v="31-Dec-2025"/>
    <x v="2"/>
    <s v="Week5-Dec-2025"/>
    <x v="3"/>
    <s v="08-Jan-2026"/>
    <s v="Thursday"/>
    <s v="Weekly - Thursday"/>
    <s v="Weekly - Thursday"/>
    <s v="Month+1 Expiry"/>
    <n v="864792"/>
    <n v="147637.69"/>
    <n v="355.32"/>
  </r>
  <r>
    <s v="31-Dec-2025"/>
    <x v="2"/>
    <s v="Week5-Dec-2025"/>
    <x v="3"/>
    <s v="15-Jan-2026"/>
    <s v="Thursday"/>
    <s v="Weekly - Thursday"/>
    <s v="Weekly - Thursday"/>
    <s v="Month+1 Expiry"/>
    <n v="5282"/>
    <n v="906.1"/>
    <n v="5.04"/>
  </r>
  <r>
    <s v="31-Dec-2025"/>
    <x v="2"/>
    <s v="Week5-Dec-2025"/>
    <x v="3"/>
    <s v="22-Jan-2026"/>
    <s v="Thursday"/>
    <s v="Weekly - Thursday"/>
    <s v="Weekly - Thursday"/>
    <s v="Month+1 Expiry"/>
    <n v="151"/>
    <n v="26"/>
    <n v="0.24"/>
  </r>
  <r>
    <s v="31-Dec-2025"/>
    <x v="2"/>
    <s v="Week5-Dec-2025"/>
    <x v="3"/>
    <s v="29-Jan-2026"/>
    <s v="Thursday"/>
    <s v="Monthly - Thursday"/>
    <s v="Monthly - Thursday"/>
    <s v="Month+1 Expiry"/>
    <n v="16823"/>
    <n v="2897.3"/>
    <n v="21.49"/>
  </r>
  <r>
    <s v="31-Dec-2025"/>
    <x v="2"/>
    <s v="Week5-Dec-2025"/>
    <x v="3"/>
    <s v="26-Feb-2026"/>
    <s v="Thursday"/>
    <s v="Monthly - Thursday"/>
    <s v="Monthly - Thursday"/>
    <s v="Month+2 Expiry"/>
    <n v="28"/>
    <n v="4.8499999999999996"/>
    <n v="0.09"/>
  </r>
  <r>
    <s v="31-Dec-2025"/>
    <x v="2"/>
    <s v="Week5-Dec-2025"/>
    <x v="3"/>
    <s v="25-Mar-2026"/>
    <s v="Wednesday"/>
    <s v="Monthly - Wednesday"/>
    <s v="Monthly - Wednesday"/>
    <s v="Month+3 Expiry"/>
    <n v="0"/>
    <n v="0"/>
    <n v="0"/>
  </r>
  <r>
    <s v="01-Jan-2026"/>
    <x v="3"/>
    <s v="Week1-Jan-2026"/>
    <x v="4"/>
    <s v="01-Jan-2026"/>
    <s v="Thursday"/>
    <s v="Weekly - Thursday"/>
    <s v="Weekly - Thursday"/>
    <s v="Same Month Expiry"/>
    <n v="420361430"/>
    <n v="71712975.689999998"/>
    <n v="36075.550000000003"/>
  </r>
  <r>
    <s v="01-Jan-2026"/>
    <x v="3"/>
    <s v="Week1-Jan-2026"/>
    <x v="4"/>
    <s v="08-Jan-2026"/>
    <s v="Thursday"/>
    <s v="Weekly - Thursday"/>
    <s v="Weekly - Thursday"/>
    <s v="Same Month Expiry"/>
    <n v="1772419"/>
    <n v="302968.40999999997"/>
    <n v="684.74"/>
  </r>
  <r>
    <s v="01-Jan-2026"/>
    <x v="3"/>
    <s v="Week1-Jan-2026"/>
    <x v="4"/>
    <s v="15-Jan-2026"/>
    <s v="Thursday"/>
    <s v="Weekly - Thursday"/>
    <s v="Weekly - Thursday"/>
    <s v="Same Month Expiry"/>
    <n v="11272"/>
    <n v="1938.54"/>
    <n v="8.0299999999999994"/>
  </r>
  <r>
    <s v="01-Jan-2026"/>
    <x v="3"/>
    <s v="Week1-Jan-2026"/>
    <x v="4"/>
    <s v="22-Jan-2026"/>
    <s v="Thursday"/>
    <s v="Weekly - Thursday"/>
    <s v="Weekly - Thursday"/>
    <s v="Same Month Expiry"/>
    <n v="249"/>
    <n v="42.83"/>
    <n v="0.3"/>
  </r>
  <r>
    <s v="01-Jan-2026"/>
    <x v="3"/>
    <s v="Week1-Jan-2026"/>
    <x v="4"/>
    <s v="29-Jan-2026"/>
    <s v="Thursday"/>
    <s v="Monthly - Thursday"/>
    <s v="Monthly - Thursday"/>
    <s v="Same Month Expiry"/>
    <n v="17052"/>
    <n v="2932.89"/>
    <n v="18.47"/>
  </r>
  <r>
    <s v="01-Jan-2026"/>
    <x v="3"/>
    <s v="Week1-Jan-2026"/>
    <x v="4"/>
    <s v="05-Feb-2026"/>
    <s v="Thursday"/>
    <s v="Weekly - Thursday"/>
    <s v="Weekly - Thursday"/>
    <s v="Month+1 Expiry"/>
    <n v="3"/>
    <n v="0.54"/>
    <n v="0"/>
  </r>
  <r>
    <s v="01-Jan-2026"/>
    <x v="3"/>
    <s v="Week1-Jan-2026"/>
    <x v="4"/>
    <s v="26-Feb-2026"/>
    <s v="Thursday"/>
    <s v="Monthly - Thursday"/>
    <s v="Monthly - Thursday"/>
    <s v="Month+1 Expiry"/>
    <n v="19"/>
    <n v="3.31"/>
    <n v="0.05"/>
  </r>
  <r>
    <s v="01-Jan-2026"/>
    <x v="3"/>
    <s v="Week1-Jan-2026"/>
    <x v="4"/>
    <s v="25-Mar-2026"/>
    <s v="Wednesday"/>
    <s v="Monthly - Wednesday"/>
    <s v="Monthly - Wednesday"/>
    <s v="Month+2 Expiry"/>
    <n v="0"/>
    <n v="0"/>
    <n v="0"/>
  </r>
  <r>
    <s v="02-Jan-2026"/>
    <x v="4"/>
    <s v="Week1-Jan-2026"/>
    <x v="4"/>
    <s v="08-Jan-2026"/>
    <s v="Thursday"/>
    <s v="Weekly - Thursday"/>
    <s v="Weekly - Thursday"/>
    <s v="Same Month Expiry"/>
    <n v="19212653"/>
    <n v="3295966.97"/>
    <n v="7054.88"/>
  </r>
  <r>
    <s v="02-Jan-2026"/>
    <x v="4"/>
    <s v="Week1-Jan-2026"/>
    <x v="4"/>
    <s v="15-Jan-2026"/>
    <s v="Thursday"/>
    <s v="Weekly - Thursday"/>
    <s v="Weekly - Thursday"/>
    <s v="Same Month Expiry"/>
    <n v="52148"/>
    <n v="8978.61"/>
    <n v="37.69"/>
  </r>
  <r>
    <s v="02-Jan-2026"/>
    <x v="4"/>
    <s v="Week1-Jan-2026"/>
    <x v="4"/>
    <s v="22-Jan-2026"/>
    <s v="Thursday"/>
    <s v="Weekly - Thursday"/>
    <s v="Weekly - Thursday"/>
    <s v="Same Month Expiry"/>
    <n v="1190"/>
    <n v="204.98"/>
    <n v="1.43"/>
  </r>
  <r>
    <s v="02-Jan-2026"/>
    <x v="4"/>
    <s v="Week1-Jan-2026"/>
    <x v="4"/>
    <s v="29-Jan-2026"/>
    <s v="Thursday"/>
    <s v="Monthly - Thursday"/>
    <s v="Monthly - Thursday"/>
    <s v="Same Month Expiry"/>
    <n v="18302"/>
    <n v="3157.09"/>
    <n v="17.760000000000002"/>
  </r>
  <r>
    <s v="02-Jan-2026"/>
    <x v="4"/>
    <s v="Week1-Jan-2026"/>
    <x v="4"/>
    <s v="05-Feb-2026"/>
    <s v="Thursday"/>
    <s v="Weekly - Thursday"/>
    <s v="Weekly - Thursday"/>
    <s v="Month+1 Expiry"/>
    <n v="90"/>
    <n v="16.12"/>
    <n v="0.05"/>
  </r>
  <r>
    <s v="02-Jan-2026"/>
    <x v="4"/>
    <s v="Week1-Jan-2026"/>
    <x v="4"/>
    <s v="26-Feb-2026"/>
    <s v="Thursday"/>
    <s v="Monthly - Thursday"/>
    <s v="Monthly - Thursday"/>
    <s v="Month+1 Expiry"/>
    <n v="671"/>
    <n v="118.59"/>
    <n v="1.02"/>
  </r>
  <r>
    <s v="02-Jan-2026"/>
    <x v="4"/>
    <s v="Week1-Jan-2026"/>
    <x v="4"/>
    <s v="25-Mar-2026"/>
    <s v="Wednesday"/>
    <s v="Monthly - Wednesday"/>
    <s v="Monthly - Wednesday"/>
    <s v="Month+2 Expiry"/>
    <n v="0"/>
    <n v="0"/>
    <n v="0"/>
  </r>
  <r>
    <s v="05-Jan-2026"/>
    <x v="0"/>
    <s v="Week1-Jan-2026"/>
    <x v="4"/>
    <s v="08-Jan-2026"/>
    <s v="Thursday"/>
    <s v="Weekly - Thursday"/>
    <s v="Weekly - Thursday"/>
    <s v="Same Month Expiry"/>
    <n v="35170686"/>
    <n v="6032540.3200000003"/>
    <n v="11426.47"/>
  </r>
  <r>
    <s v="05-Jan-2026"/>
    <x v="0"/>
    <s v="Week1-Jan-2026"/>
    <x v="4"/>
    <s v="15-Jan-2026"/>
    <s v="Thursday"/>
    <s v="Weekly - Thursday"/>
    <s v="Weekly - Thursday"/>
    <s v="Same Month Expiry"/>
    <n v="204832"/>
    <n v="35230.46"/>
    <n v="129.43"/>
  </r>
  <r>
    <s v="05-Jan-2026"/>
    <x v="0"/>
    <s v="Week1-Jan-2026"/>
    <x v="4"/>
    <s v="22-Jan-2026"/>
    <s v="Thursday"/>
    <s v="Weekly - Thursday"/>
    <s v="Weekly - Thursday"/>
    <s v="Same Month Expiry"/>
    <n v="2673"/>
    <n v="462.07"/>
    <n v="3.05"/>
  </r>
  <r>
    <s v="05-Jan-2026"/>
    <x v="0"/>
    <s v="Week1-Jan-2026"/>
    <x v="4"/>
    <s v="29-Jan-2026"/>
    <s v="Thursday"/>
    <s v="Monthly - Thursday"/>
    <s v="Monthly - Thursday"/>
    <s v="Same Month Expiry"/>
    <n v="28754"/>
    <n v="4971.3500000000004"/>
    <n v="28.98"/>
  </r>
  <r>
    <s v="05-Jan-2026"/>
    <x v="0"/>
    <s v="Week1-Jan-2026"/>
    <x v="4"/>
    <s v="05-Feb-2026"/>
    <s v="Thursday"/>
    <s v="Weekly - Thursday"/>
    <s v="Weekly - Thursday"/>
    <s v="Month+1 Expiry"/>
    <n v="63"/>
    <n v="11.35"/>
    <n v="0.01"/>
  </r>
  <r>
    <s v="05-Jan-2026"/>
    <x v="0"/>
    <s v="Week1-Jan-2026"/>
    <x v="4"/>
    <s v="26-Feb-2026"/>
    <s v="Thursday"/>
    <s v="Monthly - Thursday"/>
    <s v="Monthly - Thursday"/>
    <s v="Month+1 Expiry"/>
    <n v="320"/>
    <n v="56.07"/>
    <n v="0.66"/>
  </r>
  <r>
    <s v="05-Jan-2026"/>
    <x v="0"/>
    <s v="Week1-Jan-2026"/>
    <x v="4"/>
    <s v="25-Mar-2026"/>
    <s v="Wednesday"/>
    <s v="Monthly - Wednesday"/>
    <s v="Monthly - Wednesday"/>
    <s v="Month+2 Expiry"/>
    <n v="0"/>
    <n v="0"/>
    <n v="0"/>
  </r>
  <r>
    <s v="06-Jan-2026"/>
    <x v="1"/>
    <s v="Week1-Jan-2026"/>
    <x v="4"/>
    <s v="08-Jan-2026"/>
    <s v="Thursday"/>
    <s v="Weekly - Thursday"/>
    <s v="Weekly - Thursday"/>
    <s v="Same Month Expiry"/>
    <n v="38228435"/>
    <n v="6532024.2400000002"/>
    <n v="10229.950000000001"/>
  </r>
  <r>
    <s v="06-Jan-2026"/>
    <x v="1"/>
    <s v="Week1-Jan-2026"/>
    <x v="4"/>
    <s v="15-Jan-2026"/>
    <s v="Thursday"/>
    <s v="Weekly - Thursday"/>
    <s v="Weekly - Thursday"/>
    <s v="Same Month Expiry"/>
    <n v="392910"/>
    <n v="67287.64"/>
    <n v="202.41"/>
  </r>
  <r>
    <s v="06-Jan-2026"/>
    <x v="1"/>
    <s v="Week1-Jan-2026"/>
    <x v="4"/>
    <s v="22-Jan-2026"/>
    <s v="Thursday"/>
    <s v="Weekly - Thursday"/>
    <s v="Weekly - Thursday"/>
    <s v="Same Month Expiry"/>
    <n v="2087"/>
    <n v="358.94"/>
    <n v="2.46"/>
  </r>
  <r>
    <s v="06-Jan-2026"/>
    <x v="1"/>
    <s v="Week1-Jan-2026"/>
    <x v="4"/>
    <s v="29-Jan-2026"/>
    <s v="Thursday"/>
    <s v="Monthly - Thursday"/>
    <s v="Monthly - Thursday"/>
    <s v="Same Month Expiry"/>
    <n v="23445"/>
    <n v="4036.5"/>
    <n v="23.43"/>
  </r>
  <r>
    <s v="06-Jan-2026"/>
    <x v="1"/>
    <s v="Week1-Jan-2026"/>
    <x v="4"/>
    <s v="05-Feb-2026"/>
    <s v="Thursday"/>
    <s v="Weekly - Thursday"/>
    <s v="Weekly - Thursday"/>
    <s v="Month+1 Expiry"/>
    <n v="10"/>
    <n v="1.66"/>
    <n v="0.01"/>
  </r>
  <r>
    <s v="06-Jan-2026"/>
    <x v="1"/>
    <s v="Week1-Jan-2026"/>
    <x v="4"/>
    <s v="26-Feb-2026"/>
    <s v="Thursday"/>
    <s v="Monthly - Thursday"/>
    <s v="Monthly - Thursday"/>
    <s v="Month+1 Expiry"/>
    <n v="243"/>
    <n v="42.48"/>
    <n v="0.5"/>
  </r>
  <r>
    <s v="06-Jan-2026"/>
    <x v="1"/>
    <s v="Week1-Jan-2026"/>
    <x v="4"/>
    <s v="25-Mar-2026"/>
    <s v="Wednesday"/>
    <s v="Monthly - Wednesday"/>
    <s v="Monthly - Wednesday"/>
    <s v="Month+2 Expiry"/>
    <n v="0"/>
    <n v="0"/>
    <n v="0"/>
  </r>
  <r>
    <s v="07-Jan-2026"/>
    <x v="2"/>
    <s v="Week1-Jan-2026"/>
    <x v="4"/>
    <s v="08-Jan-2026"/>
    <s v="Thursday"/>
    <s v="Weekly - Thursday"/>
    <s v="Weekly - Thursday"/>
    <s v="Same Month Expiry"/>
    <n v="142154055"/>
    <n v="24190582.18"/>
    <n v="27403.81"/>
  </r>
  <r>
    <s v="07-Jan-2026"/>
    <x v="2"/>
    <s v="Week1-Jan-2026"/>
    <x v="4"/>
    <s v="15-Jan-2026"/>
    <s v="Thursday"/>
    <s v="Weekly - Thursday"/>
    <s v="Weekly - Thursday"/>
    <s v="Same Month Expiry"/>
    <n v="821106"/>
    <n v="140372.51999999999"/>
    <n v="321.07"/>
  </r>
  <r>
    <s v="07-Jan-2026"/>
    <x v="2"/>
    <s v="Week1-Jan-2026"/>
    <x v="4"/>
    <s v="22-Jan-2026"/>
    <s v="Thursday"/>
    <s v="Weekly - Thursday"/>
    <s v="Weekly - Thursday"/>
    <s v="Same Month Expiry"/>
    <n v="4405"/>
    <n v="755.6"/>
    <n v="4.4800000000000004"/>
  </r>
  <r>
    <s v="07-Jan-2026"/>
    <x v="2"/>
    <s v="Week1-Jan-2026"/>
    <x v="4"/>
    <s v="29-Jan-2026"/>
    <s v="Thursday"/>
    <s v="Monthly - Thursday"/>
    <s v="Monthly - Thursday"/>
    <s v="Same Month Expiry"/>
    <n v="26023"/>
    <n v="4468.0600000000004"/>
    <n v="24.49"/>
  </r>
  <r>
    <s v="07-Jan-2026"/>
    <x v="2"/>
    <s v="Week1-Jan-2026"/>
    <x v="4"/>
    <s v="05-Feb-2026"/>
    <s v="Thursday"/>
    <s v="Weekly - Thursday"/>
    <s v="Weekly - Thursday"/>
    <s v="Month+1 Expiry"/>
    <n v="37"/>
    <n v="6.44"/>
    <n v="0.01"/>
  </r>
  <r>
    <s v="07-Jan-2026"/>
    <x v="2"/>
    <s v="Week1-Jan-2026"/>
    <x v="4"/>
    <s v="12-Feb-2026"/>
    <s v="Thursday"/>
    <s v="Weekly - Thursday"/>
    <s v="Weekly - Thursday"/>
    <s v="Month+1 Expiry"/>
    <n v="2"/>
    <n v="0.32"/>
    <n v="0"/>
  </r>
  <r>
    <s v="07-Jan-2026"/>
    <x v="2"/>
    <s v="Week1-Jan-2026"/>
    <x v="4"/>
    <s v="19-Feb-2026"/>
    <s v="Thursday"/>
    <s v="Weekly - Thursday"/>
    <s v="Weekly - Thursday"/>
    <s v="Month+1 Expiry"/>
    <n v="1"/>
    <n v="0.17"/>
    <n v="0"/>
  </r>
  <r>
    <s v="07-Jan-2026"/>
    <x v="2"/>
    <s v="Week1-Jan-2026"/>
    <x v="4"/>
    <s v="26-Feb-2026"/>
    <s v="Thursday"/>
    <s v="Monthly - Thursday"/>
    <s v="Monthly - Thursday"/>
    <s v="Month+1 Expiry"/>
    <n v="334"/>
    <n v="57.88"/>
    <n v="0.9"/>
  </r>
  <r>
    <s v="07-Jan-2026"/>
    <x v="2"/>
    <s v="Week1-Jan-2026"/>
    <x v="4"/>
    <s v="25-Mar-2026"/>
    <s v="Wednesday"/>
    <s v="Monthly - Wednesday"/>
    <s v="Monthly - Wednesday"/>
    <s v="Month+2 Expiry"/>
    <n v="0"/>
    <n v="0"/>
    <n v="0"/>
  </r>
  <r>
    <s v="08-Jan-2026"/>
    <x v="3"/>
    <s v="Week2-Jan-2026"/>
    <x v="4"/>
    <s v="08-Jan-2026"/>
    <s v="Thursday"/>
    <s v="Weekly - Thursday"/>
    <s v="Weekly - Thursday"/>
    <s v="Same Month Expiry"/>
    <n v="469209067"/>
    <n v="79350006.810000002"/>
    <n v="44598.5"/>
  </r>
  <r>
    <s v="08-Jan-2026"/>
    <x v="3"/>
    <s v="Week2-Jan-2026"/>
    <x v="4"/>
    <s v="15-Jan-2026"/>
    <s v="Thursday"/>
    <s v="Weekly - Thursday"/>
    <s v="Weekly - Thursday"/>
    <s v="Same Month Expiry"/>
    <n v="3116341"/>
    <n v="529798.43000000005"/>
    <n v="1169.97"/>
  </r>
  <r>
    <s v="08-Jan-2026"/>
    <x v="3"/>
    <s v="Week2-Jan-2026"/>
    <x v="4"/>
    <s v="22-Jan-2026"/>
    <s v="Thursday"/>
    <s v="Weekly - Thursday"/>
    <s v="Weekly - Thursday"/>
    <s v="Same Month Expiry"/>
    <n v="15737"/>
    <n v="2685.07"/>
    <n v="13.88"/>
  </r>
  <r>
    <s v="08-Jan-2026"/>
    <x v="3"/>
    <s v="Week2-Jan-2026"/>
    <x v="4"/>
    <s v="29-Jan-2026"/>
    <s v="Thursday"/>
    <s v="Monthly - Thursday"/>
    <s v="Monthly - Thursday"/>
    <s v="Same Month Expiry"/>
    <n v="48926"/>
    <n v="8359.1"/>
    <n v="49.51"/>
  </r>
  <r>
    <s v="08-Jan-2026"/>
    <x v="3"/>
    <s v="Week2-Jan-2026"/>
    <x v="4"/>
    <s v="05-Feb-2026"/>
    <s v="Thursday"/>
    <s v="Weekly - Thursday"/>
    <s v="Weekly - Thursday"/>
    <s v="Month+1 Expiry"/>
    <n v="18"/>
    <n v="3.06"/>
    <n v="0"/>
  </r>
  <r>
    <s v="08-Jan-2026"/>
    <x v="3"/>
    <s v="Week2-Jan-2026"/>
    <x v="4"/>
    <s v="12-Feb-2026"/>
    <s v="Thursday"/>
    <s v="Weekly - Thursday"/>
    <s v="Weekly - Thursday"/>
    <s v="Month+1 Expiry"/>
    <n v="0"/>
    <n v="0"/>
    <n v="0"/>
  </r>
  <r>
    <s v="08-Jan-2026"/>
    <x v="3"/>
    <s v="Week2-Jan-2026"/>
    <x v="4"/>
    <s v="19-Feb-2026"/>
    <s v="Thursday"/>
    <s v="Weekly - Thursday"/>
    <s v="Weekly - Thursday"/>
    <s v="Month+1 Expiry"/>
    <n v="0"/>
    <n v="0"/>
    <n v="0"/>
  </r>
  <r>
    <s v="08-Jan-2026"/>
    <x v="3"/>
    <s v="Week2-Jan-2026"/>
    <x v="4"/>
    <s v="26-Feb-2026"/>
    <s v="Thursday"/>
    <s v="Monthly - Thursday"/>
    <s v="Monthly - Thursday"/>
    <s v="Month+1 Expiry"/>
    <n v="1598"/>
    <n v="275.68"/>
    <n v="3.47"/>
  </r>
  <r>
    <s v="08-Jan-2026"/>
    <x v="3"/>
    <s v="Week2-Jan-2026"/>
    <x v="4"/>
    <s v="25-Mar-2026"/>
    <s v="Wednesday"/>
    <s v="Monthly - Wednesday"/>
    <s v="Monthly - Wednesday"/>
    <s v="Month+2 Expiry"/>
    <n v="0"/>
    <n v="0"/>
    <n v="0"/>
  </r>
  <r>
    <s v="09-Jan-2026"/>
    <x v="4"/>
    <s v="Week2-Jan-2026"/>
    <x v="4"/>
    <s v="15-Jan-2026"/>
    <s v="Thursday"/>
    <s v="Weekly - Thursday"/>
    <s v="Weekly - Thursday"/>
    <s v="Same Month Expiry"/>
    <n v="30504563"/>
    <n v="5133235.95"/>
    <n v="12888.39"/>
  </r>
  <r>
    <s v="09-Jan-2026"/>
    <x v="4"/>
    <s v="Week2-Jan-2026"/>
    <x v="4"/>
    <s v="22-Jan-2026"/>
    <s v="Thursday"/>
    <s v="Weekly - Thursday"/>
    <s v="Weekly - Thursday"/>
    <s v="Same Month Expiry"/>
    <n v="105185"/>
    <n v="17812.84"/>
    <n v="79.540000000000006"/>
  </r>
  <r>
    <s v="09-Jan-2026"/>
    <x v="4"/>
    <s v="Week2-Jan-2026"/>
    <x v="4"/>
    <s v="29-Jan-2026"/>
    <s v="Thursday"/>
    <s v="Monthly - Thursday"/>
    <s v="Monthly - Thursday"/>
    <s v="Same Month Expiry"/>
    <n v="61918"/>
    <n v="10506.44"/>
    <n v="57.7"/>
  </r>
  <r>
    <s v="09-Jan-2026"/>
    <x v="4"/>
    <s v="Week2-Jan-2026"/>
    <x v="4"/>
    <s v="05-Feb-2026"/>
    <s v="Thursday"/>
    <s v="Weekly - Thursday"/>
    <s v="Weekly - Thursday"/>
    <s v="Month+1 Expiry"/>
    <n v="654"/>
    <n v="112.08"/>
    <n v="1.22"/>
  </r>
  <r>
    <s v="09-Jan-2026"/>
    <x v="4"/>
    <s v="Week2-Jan-2026"/>
    <x v="4"/>
    <s v="12-Feb-2026"/>
    <s v="Thursday"/>
    <s v="Weekly - Thursday"/>
    <s v="Weekly - Thursday"/>
    <s v="Month+1 Expiry"/>
    <n v="0"/>
    <n v="0"/>
    <n v="0"/>
  </r>
  <r>
    <s v="09-Jan-2026"/>
    <x v="4"/>
    <s v="Week2-Jan-2026"/>
    <x v="4"/>
    <s v="19-Feb-2026"/>
    <s v="Thursday"/>
    <s v="Weekly - Thursday"/>
    <s v="Weekly - Thursday"/>
    <s v="Month+1 Expiry"/>
    <n v="1"/>
    <n v="0.17"/>
    <n v="0"/>
  </r>
  <r>
    <s v="09-Jan-2026"/>
    <x v="4"/>
    <s v="Week2-Jan-2026"/>
    <x v="4"/>
    <s v="26-Feb-2026"/>
    <s v="Thursday"/>
    <s v="Monthly - Thursday"/>
    <s v="Monthly - Thursday"/>
    <s v="Month+1 Expiry"/>
    <n v="2100"/>
    <n v="360.9"/>
    <n v="3.91"/>
  </r>
  <r>
    <s v="09-Jan-2026"/>
    <x v="4"/>
    <s v="Week2-Jan-2026"/>
    <x v="4"/>
    <s v="25-Mar-2026"/>
    <s v="Wednesday"/>
    <s v="Monthly - Wednesday"/>
    <s v="Monthly - Wednesday"/>
    <s v="Month+2 Expiry"/>
    <n v="0"/>
    <n v="0"/>
    <n v="0"/>
  </r>
  <r>
    <s v="12-Jan-2026"/>
    <x v="0"/>
    <s v="Week2-Jan-2026"/>
    <x v="4"/>
    <s v="15-Jan-2026"/>
    <s v="Thursday"/>
    <s v="Weekly - Thursday"/>
    <s v="Weekly - Thursday"/>
    <s v="Same Month Expiry"/>
    <n v="39080816"/>
    <n v="6543140.1799999997"/>
    <n v="15703.93"/>
  </r>
  <r>
    <s v="12-Jan-2026"/>
    <x v="0"/>
    <s v="Week2-Jan-2026"/>
    <x v="4"/>
    <s v="22-Jan-2026"/>
    <s v="Thursday"/>
    <s v="Weekly - Thursday"/>
    <s v="Weekly - Thursday"/>
    <s v="Same Month Expiry"/>
    <n v="230816"/>
    <n v="38878.92"/>
    <n v="161.83000000000001"/>
  </r>
  <r>
    <s v="12-Jan-2026"/>
    <x v="0"/>
    <s v="Week2-Jan-2026"/>
    <x v="4"/>
    <s v="29-Jan-2026"/>
    <s v="Thursday"/>
    <s v="Monthly - Thursday"/>
    <s v="Monthly - Thursday"/>
    <s v="Same Month Expiry"/>
    <n v="91586"/>
    <n v="15448.15"/>
    <n v="84"/>
  </r>
  <r>
    <s v="12-Jan-2026"/>
    <x v="0"/>
    <s v="Week2-Jan-2026"/>
    <x v="4"/>
    <s v="05-Feb-2026"/>
    <s v="Thursday"/>
    <s v="Weekly - Thursday"/>
    <s v="Weekly - Thursday"/>
    <s v="Month+1 Expiry"/>
    <n v="3523"/>
    <n v="596.89"/>
    <n v="5.38"/>
  </r>
  <r>
    <s v="12-Jan-2026"/>
    <x v="0"/>
    <s v="Week2-Jan-2026"/>
    <x v="4"/>
    <s v="12-Feb-2026"/>
    <s v="Thursday"/>
    <s v="Weekly - Thursday"/>
    <s v="Weekly - Thursday"/>
    <s v="Month+1 Expiry"/>
    <n v="3"/>
    <n v="0.51"/>
    <n v="0.01"/>
  </r>
  <r>
    <s v="12-Jan-2026"/>
    <x v="0"/>
    <s v="Week2-Jan-2026"/>
    <x v="4"/>
    <s v="19-Feb-2026"/>
    <s v="Thursday"/>
    <s v="Weekly - Thursday"/>
    <s v="Weekly - Thursday"/>
    <s v="Month+1 Expiry"/>
    <n v="1"/>
    <n v="0.17"/>
    <n v="0"/>
  </r>
  <r>
    <s v="12-Jan-2026"/>
    <x v="0"/>
    <s v="Week2-Jan-2026"/>
    <x v="4"/>
    <s v="26-Feb-2026"/>
    <s v="Thursday"/>
    <s v="Monthly - Thursday"/>
    <s v="Monthly - Thursday"/>
    <s v="Month+1 Expiry"/>
    <n v="2285"/>
    <n v="389.16"/>
    <n v="3.66"/>
  </r>
  <r>
    <s v="12-Jan-2026"/>
    <x v="0"/>
    <s v="Week2-Jan-2026"/>
    <x v="4"/>
    <s v="25-Mar-2026"/>
    <s v="Wednesday"/>
    <s v="Monthly - Wednesday"/>
    <s v="Monthly - Wednesday"/>
    <s v="Month+2 Expiry"/>
    <n v="0"/>
    <n v="0"/>
    <n v="0"/>
  </r>
  <r>
    <s v="13-Jan-2026"/>
    <x v="1"/>
    <s v="Week2-Jan-2026"/>
    <x v="4"/>
    <s v="14-Jan-2026"/>
    <s v="Wednesday"/>
    <s v="Weekly - Wednesday"/>
    <s v="Weekly - Wednesday"/>
    <s v="Same Month Expiry"/>
    <n v="62410414"/>
    <n v="10472006.26"/>
    <n v="16875"/>
  </r>
  <r>
    <s v="13-Jan-2026"/>
    <x v="1"/>
    <s v="Week2-Jan-2026"/>
    <x v="4"/>
    <s v="22-Jan-2026"/>
    <s v="Thursday"/>
    <s v="Weekly - Thursday"/>
    <s v="Weekly - Thursday"/>
    <s v="Same Month Expiry"/>
    <n v="762693"/>
    <n v="128753.32"/>
    <n v="468.54"/>
  </r>
  <r>
    <s v="13-Jan-2026"/>
    <x v="1"/>
    <s v="Week2-Jan-2026"/>
    <x v="4"/>
    <s v="29-Jan-2026"/>
    <s v="Thursday"/>
    <s v="Monthly - Thursday"/>
    <s v="Monthly - Thursday"/>
    <s v="Same Month Expiry"/>
    <n v="101143"/>
    <n v="17089.349999999999"/>
    <n v="92.73"/>
  </r>
  <r>
    <s v="13-Jan-2026"/>
    <x v="1"/>
    <s v="Week2-Jan-2026"/>
    <x v="4"/>
    <s v="05-Feb-2026"/>
    <s v="Thursday"/>
    <s v="Weekly - Thursday"/>
    <s v="Weekly - Thursday"/>
    <s v="Month+1 Expiry"/>
    <n v="2898"/>
    <n v="491.15"/>
    <n v="3.83"/>
  </r>
  <r>
    <s v="13-Jan-2026"/>
    <x v="1"/>
    <s v="Week2-Jan-2026"/>
    <x v="4"/>
    <s v="12-Feb-2026"/>
    <s v="Thursday"/>
    <s v="Weekly - Thursday"/>
    <s v="Weekly - Thursday"/>
    <s v="Month+1 Expiry"/>
    <n v="2"/>
    <n v="0.34"/>
    <n v="0"/>
  </r>
  <r>
    <s v="13-Jan-2026"/>
    <x v="1"/>
    <s v="Week2-Jan-2026"/>
    <x v="4"/>
    <s v="19-Feb-2026"/>
    <s v="Thursday"/>
    <s v="Weekly - Thursday"/>
    <s v="Weekly - Thursday"/>
    <s v="Month+1 Expiry"/>
    <n v="0"/>
    <n v="0"/>
    <n v="0"/>
  </r>
  <r>
    <s v="13-Jan-2026"/>
    <x v="1"/>
    <s v="Week2-Jan-2026"/>
    <x v="4"/>
    <s v="26-Feb-2026"/>
    <s v="Thursday"/>
    <s v="Monthly - Thursday"/>
    <s v="Monthly - Thursday"/>
    <s v="Month+1 Expiry"/>
    <n v="1728"/>
    <n v="297.64"/>
    <n v="2.1800000000000002"/>
  </r>
  <r>
    <s v="13-Jan-2026"/>
    <x v="1"/>
    <s v="Week2-Jan-2026"/>
    <x v="4"/>
    <s v="25-Mar-2026"/>
    <s v="Wednesday"/>
    <s v="Monthly - Wednesday"/>
    <s v="Monthly - Wednesday"/>
    <s v="Month+2 Expiry"/>
    <n v="4"/>
    <n v="0.69"/>
    <n v="0.01"/>
  </r>
  <r>
    <s v="14-Jan-2026"/>
    <x v="2"/>
    <s v="Week2-Jan-2026"/>
    <x v="4"/>
    <s v="14-Jan-2026"/>
    <s v="Wednesday"/>
    <s v="Weekly - Wednesday"/>
    <s v="Weekly - Wednesday"/>
    <s v="Same Month Expiry"/>
    <n v="541932069"/>
    <n v="90578355.090000004"/>
    <n v="56886.68"/>
  </r>
  <r>
    <s v="14-Jan-2026"/>
    <x v="2"/>
    <s v="Week2-Jan-2026"/>
    <x v="4"/>
    <s v="22-Jan-2026"/>
    <s v="Thursday"/>
    <s v="Weekly - Thursday"/>
    <s v="Weekly - Thursday"/>
    <s v="Same Month Expiry"/>
    <n v="2565900"/>
    <n v="430472.79"/>
    <n v="1310.43"/>
  </r>
  <r>
    <s v="14-Jan-2026"/>
    <x v="2"/>
    <s v="Week2-Jan-2026"/>
    <x v="4"/>
    <s v="29-Jan-2026"/>
    <s v="Thursday"/>
    <s v="Monthly - Thursday"/>
    <s v="Monthly - Thursday"/>
    <s v="Same Month Expiry"/>
    <n v="94993"/>
    <n v="16048.42"/>
    <n v="83.38"/>
  </r>
  <r>
    <s v="14-Jan-2026"/>
    <x v="2"/>
    <s v="Week2-Jan-2026"/>
    <x v="4"/>
    <s v="05-Feb-2026"/>
    <s v="Thursday"/>
    <s v="Weekly - Thursday"/>
    <s v="Weekly - Thursday"/>
    <s v="Month+1 Expiry"/>
    <n v="2508"/>
    <n v="424.11"/>
    <n v="3.08"/>
  </r>
  <r>
    <s v="14-Jan-2026"/>
    <x v="2"/>
    <s v="Week2-Jan-2026"/>
    <x v="4"/>
    <s v="12-Feb-2026"/>
    <s v="Thursday"/>
    <s v="Weekly - Thursday"/>
    <s v="Weekly - Thursday"/>
    <s v="Month+1 Expiry"/>
    <n v="355"/>
    <n v="60.4"/>
    <n v="2.2599999999999998"/>
  </r>
  <r>
    <s v="14-Jan-2026"/>
    <x v="2"/>
    <s v="Week2-Jan-2026"/>
    <x v="4"/>
    <s v="19-Feb-2026"/>
    <s v="Thursday"/>
    <s v="Weekly - Thursday"/>
    <s v="Weekly - Thursday"/>
    <s v="Month+1 Expiry"/>
    <n v="0"/>
    <n v="0"/>
    <n v="0"/>
  </r>
  <r>
    <s v="14-Jan-2026"/>
    <x v="2"/>
    <s v="Week2-Jan-2026"/>
    <x v="4"/>
    <s v="26-Feb-2026"/>
    <s v="Thursday"/>
    <s v="Monthly - Thursday"/>
    <s v="Monthly - Thursday"/>
    <s v="Month+1 Expiry"/>
    <n v="1718"/>
    <n v="295.08"/>
    <n v="2.35"/>
  </r>
  <r>
    <s v="14-Jan-2026"/>
    <x v="2"/>
    <s v="Week2-Jan-2026"/>
    <x v="4"/>
    <s v="25-Mar-2026"/>
    <s v="Wednesday"/>
    <s v="Monthly - Wednesday"/>
    <s v="Monthly - Wednesday"/>
    <s v="Month+2 Expiry"/>
    <n v="0"/>
    <n v="0"/>
    <n v="0"/>
  </r>
  <r>
    <s v="16-Jan-2026"/>
    <x v="4"/>
    <s v="Week3-Jan-2026"/>
    <x v="4"/>
    <s v="22-Jan-2026"/>
    <s v="Thursday"/>
    <s v="Weekly - Thursday"/>
    <s v="Weekly - Thursday"/>
    <s v="Same Month Expiry"/>
    <n v="28908498"/>
    <n v="4862908.22"/>
    <n v="13809.59"/>
  </r>
  <r>
    <s v="16-Jan-2026"/>
    <x v="4"/>
    <s v="Week3-Jan-2026"/>
    <x v="4"/>
    <s v="29-Jan-2026"/>
    <s v="Thursday"/>
    <s v="Monthly - Thursday"/>
    <s v="Monthly - Thursday"/>
    <s v="Same Month Expiry"/>
    <n v="233022"/>
    <n v="39416.26"/>
    <n v="183.5"/>
  </r>
  <r>
    <s v="16-Jan-2026"/>
    <x v="4"/>
    <s v="Week3-Jan-2026"/>
    <x v="4"/>
    <s v="05-Feb-2026"/>
    <s v="Thursday"/>
    <s v="Weekly - Thursday"/>
    <s v="Weekly - Thursday"/>
    <s v="Month+1 Expiry"/>
    <n v="5037"/>
    <n v="865.22"/>
    <n v="5.53"/>
  </r>
  <r>
    <s v="16-Jan-2026"/>
    <x v="4"/>
    <s v="Week3-Jan-2026"/>
    <x v="4"/>
    <s v="12-Feb-2026"/>
    <s v="Thursday"/>
    <s v="Weekly - Thursday"/>
    <s v="Weekly - Thursday"/>
    <s v="Month+1 Expiry"/>
    <n v="44"/>
    <n v="7.52"/>
    <n v="7.0000000000000007E-2"/>
  </r>
  <r>
    <s v="16-Jan-2026"/>
    <x v="4"/>
    <s v="Week3-Jan-2026"/>
    <x v="4"/>
    <s v="19-Feb-2026"/>
    <s v="Thursday"/>
    <s v="Weekly - Thursday"/>
    <s v="Weekly - Thursday"/>
    <s v="Month+1 Expiry"/>
    <n v="1"/>
    <n v="0.17"/>
    <n v="0"/>
  </r>
  <r>
    <s v="16-Jan-2026"/>
    <x v="4"/>
    <s v="Week3-Jan-2026"/>
    <x v="4"/>
    <s v="26-Feb-2026"/>
    <s v="Thursday"/>
    <s v="Monthly - Thursday"/>
    <s v="Monthly - Thursday"/>
    <s v="Month+1 Expiry"/>
    <n v="2750"/>
    <n v="471.19"/>
    <n v="3.76"/>
  </r>
  <r>
    <s v="16-Jan-2026"/>
    <x v="4"/>
    <s v="Week3-Jan-2026"/>
    <x v="4"/>
    <s v="25-Mar-2026"/>
    <s v="Wednesday"/>
    <s v="Monthly - Wednesday"/>
    <s v="Monthly - Wednesday"/>
    <s v="Month+2 Expiry"/>
    <n v="0"/>
    <n v="0"/>
    <n v="0"/>
  </r>
  <r>
    <s v="19-Jan-2026"/>
    <x v="0"/>
    <s v="Week3-Jan-2026"/>
    <x v="4"/>
    <s v="22-Jan-2026"/>
    <s v="Thursday"/>
    <s v="Weekly - Thursday"/>
    <s v="Weekly - Thursday"/>
    <s v="Same Month Expiry"/>
    <n v="30725563"/>
    <n v="5135816.2"/>
    <n v="12825.07"/>
  </r>
  <r>
    <s v="19-Jan-2026"/>
    <x v="0"/>
    <s v="Week3-Jan-2026"/>
    <x v="4"/>
    <s v="29-Jan-2026"/>
    <s v="Thursday"/>
    <s v="Monthly - Thursday"/>
    <s v="Monthly - Thursday"/>
    <s v="Same Month Expiry"/>
    <n v="345396"/>
    <n v="58121.95"/>
    <n v="215.83"/>
  </r>
  <r>
    <s v="19-Jan-2026"/>
    <x v="0"/>
    <s v="Week3-Jan-2026"/>
    <x v="4"/>
    <s v="05-Feb-2026"/>
    <s v="Thursday"/>
    <s v="Weekly - Thursday"/>
    <s v="Weekly - Thursday"/>
    <s v="Month+1 Expiry"/>
    <n v="4306"/>
    <n v="728.88"/>
    <n v="5.71"/>
  </r>
  <r>
    <s v="19-Jan-2026"/>
    <x v="0"/>
    <s v="Week3-Jan-2026"/>
    <x v="4"/>
    <s v="12-Feb-2026"/>
    <s v="Thursday"/>
    <s v="Weekly - Thursday"/>
    <s v="Weekly - Thursday"/>
    <s v="Month+1 Expiry"/>
    <n v="36"/>
    <n v="6.1"/>
    <n v="0.06"/>
  </r>
  <r>
    <s v="19-Jan-2026"/>
    <x v="0"/>
    <s v="Week3-Jan-2026"/>
    <x v="4"/>
    <s v="19-Feb-2026"/>
    <s v="Thursday"/>
    <s v="Weekly - Thursday"/>
    <s v="Weekly - Thursday"/>
    <s v="Month+1 Expiry"/>
    <n v="0"/>
    <n v="0"/>
    <n v="0"/>
  </r>
  <r>
    <s v="19-Jan-2026"/>
    <x v="0"/>
    <s v="Week3-Jan-2026"/>
    <x v="4"/>
    <s v="26-Feb-2026"/>
    <s v="Thursday"/>
    <s v="Monthly - Thursday"/>
    <s v="Monthly - Thursday"/>
    <s v="Month+1 Expiry"/>
    <n v="2775"/>
    <n v="469.75"/>
    <n v="3.56"/>
  </r>
  <r>
    <s v="19-Jan-2026"/>
    <x v="0"/>
    <s v="Week3-Jan-2026"/>
    <x v="4"/>
    <s v="25-Mar-2026"/>
    <s v="Wednesday"/>
    <s v="Monthly - Wednesday"/>
    <s v="Monthly - Wednesday"/>
    <s v="Month+2 Expiry"/>
    <n v="1"/>
    <n v="0.17"/>
    <n v="0"/>
  </r>
  <r>
    <s v="19-Jan-2026"/>
    <x v="0"/>
    <s v="Week3-Jan-2026"/>
    <x v="4"/>
    <s v="25-Jun-2026"/>
    <s v="Thursday"/>
    <s v="Monthly - Thursday"/>
    <s v="Monthly - Thursday"/>
    <s v="Month+5 Expiry"/>
    <n v="0"/>
    <n v="0"/>
    <n v="0"/>
  </r>
  <r>
    <s v="20-Jan-2026"/>
    <x v="1"/>
    <s v="Week3-Jan-2026"/>
    <x v="4"/>
    <s v="22-Jan-2026"/>
    <s v="Thursday"/>
    <s v="Weekly - Thursday"/>
    <s v="Weekly - Thursday"/>
    <s v="Same Month Expiry"/>
    <n v="35733690"/>
    <n v="5948877.5700000003"/>
    <n v="12168.25"/>
  </r>
  <r>
    <s v="20-Jan-2026"/>
    <x v="1"/>
    <s v="Week3-Jan-2026"/>
    <x v="4"/>
    <s v="29-Jan-2026"/>
    <s v="Thursday"/>
    <s v="Monthly - Thursday"/>
    <s v="Monthly - Thursday"/>
    <s v="Same Month Expiry"/>
    <n v="490227"/>
    <n v="81944.350000000006"/>
    <n v="316.64999999999998"/>
  </r>
  <r>
    <s v="20-Jan-2026"/>
    <x v="1"/>
    <s v="Week3-Jan-2026"/>
    <x v="4"/>
    <s v="05-Feb-2026"/>
    <s v="Thursday"/>
    <s v="Weekly - Thursday"/>
    <s v="Weekly - Thursday"/>
    <s v="Month+1 Expiry"/>
    <n v="7276"/>
    <n v="1226.56"/>
    <n v="9.5299999999999994"/>
  </r>
  <r>
    <s v="20-Jan-2026"/>
    <x v="1"/>
    <s v="Week3-Jan-2026"/>
    <x v="4"/>
    <s v="12-Feb-2026"/>
    <s v="Thursday"/>
    <s v="Weekly - Thursday"/>
    <s v="Weekly - Thursday"/>
    <s v="Month+1 Expiry"/>
    <n v="171"/>
    <n v="29"/>
    <n v="0.33"/>
  </r>
  <r>
    <s v="20-Jan-2026"/>
    <x v="1"/>
    <s v="Week3-Jan-2026"/>
    <x v="4"/>
    <s v="19-Feb-2026"/>
    <s v="Thursday"/>
    <s v="Weekly - Thursday"/>
    <s v="Weekly - Thursday"/>
    <s v="Month+1 Expiry"/>
    <n v="1"/>
    <n v="0.17"/>
    <n v="0"/>
  </r>
  <r>
    <s v="20-Jan-2026"/>
    <x v="1"/>
    <s v="Week3-Jan-2026"/>
    <x v="4"/>
    <s v="26-Feb-2026"/>
    <s v="Thursday"/>
    <s v="Monthly - Thursday"/>
    <s v="Monthly - Thursday"/>
    <s v="Month+1 Expiry"/>
    <n v="4160"/>
    <n v="708.44"/>
    <n v="6.18"/>
  </r>
  <r>
    <s v="20-Jan-2026"/>
    <x v="1"/>
    <s v="Week3-Jan-2026"/>
    <x v="4"/>
    <s v="25-Mar-2026"/>
    <s v="Wednesday"/>
    <s v="Monthly - Wednesday"/>
    <s v="Monthly - Wednesday"/>
    <s v="Month+2 Expiry"/>
    <n v="0"/>
    <n v="0"/>
    <n v="0"/>
  </r>
  <r>
    <s v="20-Jan-2026"/>
    <x v="1"/>
    <s v="Week3-Jan-2026"/>
    <x v="4"/>
    <s v="25-Jun-2026"/>
    <s v="Thursday"/>
    <s v="Monthly - Thursday"/>
    <s v="Monthly - Thursday"/>
    <s v="Month+5 Expiry"/>
    <n v="0"/>
    <n v="0"/>
    <n v="0"/>
  </r>
  <r>
    <s v="21-Jan-2026"/>
    <x v="2"/>
    <s v="Week3-Jan-2026"/>
    <x v="4"/>
    <s v="22-Jan-2026"/>
    <s v="Thursday"/>
    <s v="Weekly - Thursday"/>
    <s v="Weekly - Thursday"/>
    <s v="Same Month Expiry"/>
    <n v="195389782"/>
    <n v="32051907.010000002"/>
    <n v="54955.94"/>
  </r>
  <r>
    <s v="21-Jan-2026"/>
    <x v="2"/>
    <s v="Week3-Jan-2026"/>
    <x v="4"/>
    <s v="29-Jan-2026"/>
    <s v="Thursday"/>
    <s v="Monthly - Thursday"/>
    <s v="Monthly - Thursday"/>
    <s v="Same Month Expiry"/>
    <n v="1287768"/>
    <n v="213373.47"/>
    <n v="816.71"/>
  </r>
  <r>
    <s v="21-Jan-2026"/>
    <x v="2"/>
    <s v="Week3-Jan-2026"/>
    <x v="4"/>
    <s v="05-Feb-2026"/>
    <s v="Thursday"/>
    <s v="Weekly - Thursday"/>
    <s v="Weekly - Thursday"/>
    <s v="Month+1 Expiry"/>
    <n v="12543"/>
    <n v="2108.89"/>
    <n v="17.04"/>
  </r>
  <r>
    <s v="21-Jan-2026"/>
    <x v="2"/>
    <s v="Week3-Jan-2026"/>
    <x v="4"/>
    <s v="12-Feb-2026"/>
    <s v="Thursday"/>
    <s v="Weekly - Thursday"/>
    <s v="Weekly - Thursday"/>
    <s v="Month+1 Expiry"/>
    <n v="984"/>
    <n v="164.9"/>
    <n v="1.95"/>
  </r>
  <r>
    <s v="21-Jan-2026"/>
    <x v="2"/>
    <s v="Week3-Jan-2026"/>
    <x v="4"/>
    <s v="19-Feb-2026"/>
    <s v="Thursday"/>
    <s v="Weekly - Thursday"/>
    <s v="Weekly - Thursday"/>
    <s v="Month+1 Expiry"/>
    <n v="0"/>
    <n v="0"/>
    <n v="0"/>
  </r>
  <r>
    <s v="21-Jan-2026"/>
    <x v="2"/>
    <s v="Week3-Jan-2026"/>
    <x v="4"/>
    <s v="26-Feb-2026"/>
    <s v="Thursday"/>
    <s v="Monthly - Thursday"/>
    <s v="Monthly - Thursday"/>
    <s v="Month+1 Expiry"/>
    <n v="6707"/>
    <n v="1135.42"/>
    <n v="9.8000000000000007"/>
  </r>
  <r>
    <s v="21-Jan-2026"/>
    <x v="2"/>
    <s v="Week3-Jan-2026"/>
    <x v="4"/>
    <s v="25-Mar-2026"/>
    <s v="Wednesday"/>
    <s v="Monthly - Wednesday"/>
    <s v="Monthly - Wednesday"/>
    <s v="Month+2 Expiry"/>
    <n v="0"/>
    <n v="0"/>
    <n v="0"/>
  </r>
  <r>
    <s v="21-Jan-2026"/>
    <x v="2"/>
    <s v="Week3-Jan-2026"/>
    <x v="4"/>
    <s v="25-Jun-2026"/>
    <s v="Thursday"/>
    <s v="Monthly - Thursday"/>
    <s v="Monthly - Thursday"/>
    <s v="Month+5 Expiry"/>
    <n v="0"/>
    <n v="0"/>
    <n v="0"/>
  </r>
  <r>
    <s v="22-Jan-2026"/>
    <x v="3"/>
    <s v="Week4-Jan-2026"/>
    <x v="4"/>
    <s v="22-Jan-2026"/>
    <s v="Thursday"/>
    <s v="Weekly - Thursday"/>
    <s v="Weekly - Thursday"/>
    <s v="Same Month Expiry"/>
    <n v="562410493"/>
    <n v="92521338.219999999"/>
    <n v="74125"/>
  </r>
  <r>
    <s v="22-Jan-2026"/>
    <x v="3"/>
    <s v="Week4-Jan-2026"/>
    <x v="4"/>
    <s v="29-Jan-2026"/>
    <s v="Thursday"/>
    <s v="Monthly - Thursday"/>
    <s v="Monthly - Thursday"/>
    <s v="Same Month Expiry"/>
    <n v="2768201"/>
    <n v="457965.98"/>
    <n v="1731.1"/>
  </r>
  <r>
    <s v="22-Jan-2026"/>
    <x v="3"/>
    <s v="Week4-Jan-2026"/>
    <x v="4"/>
    <s v="05-Feb-2026"/>
    <s v="Thursday"/>
    <s v="Weekly - Thursday"/>
    <s v="Weekly - Thursday"/>
    <s v="Month+1 Expiry"/>
    <n v="22398"/>
    <n v="3768"/>
    <n v="29.75"/>
  </r>
  <r>
    <s v="22-Jan-2026"/>
    <x v="3"/>
    <s v="Week4-Jan-2026"/>
    <x v="4"/>
    <s v="12-Feb-2026"/>
    <s v="Thursday"/>
    <s v="Weekly - Thursday"/>
    <s v="Weekly - Thursday"/>
    <s v="Month+1 Expiry"/>
    <n v="682"/>
    <n v="114.55"/>
    <n v="1.23"/>
  </r>
  <r>
    <s v="22-Jan-2026"/>
    <x v="3"/>
    <s v="Week4-Jan-2026"/>
    <x v="4"/>
    <s v="19-Feb-2026"/>
    <s v="Thursday"/>
    <s v="Weekly - Thursday"/>
    <s v="Weekly - Thursday"/>
    <s v="Month+1 Expiry"/>
    <n v="1"/>
    <n v="0.17"/>
    <n v="0"/>
  </r>
  <r>
    <s v="22-Jan-2026"/>
    <x v="3"/>
    <s v="Week4-Jan-2026"/>
    <x v="4"/>
    <s v="26-Feb-2026"/>
    <s v="Thursday"/>
    <s v="Monthly - Thursday"/>
    <s v="Monthly - Thursday"/>
    <s v="Month+1 Expiry"/>
    <n v="9530"/>
    <n v="1612.27"/>
    <n v="14.46"/>
  </r>
  <r>
    <s v="22-Jan-2026"/>
    <x v="3"/>
    <s v="Week4-Jan-2026"/>
    <x v="4"/>
    <s v="25-Mar-2026"/>
    <s v="Wednesday"/>
    <s v="Monthly - Wednesday"/>
    <s v="Monthly - Wednesday"/>
    <s v="Month+2 Expiry"/>
    <n v="0"/>
    <n v="0"/>
    <n v="0"/>
  </r>
  <r>
    <s v="22-Jan-2026"/>
    <x v="3"/>
    <s v="Week4-Jan-2026"/>
    <x v="4"/>
    <s v="25-Jun-2026"/>
    <s v="Thursday"/>
    <s v="Monthly - Thursday"/>
    <s v="Monthly - Thursday"/>
    <s v="Month+5 Expiry"/>
    <n v="0"/>
    <n v="0"/>
    <n v="0"/>
  </r>
  <r>
    <s v="23-Jan-2026"/>
    <x v="4"/>
    <s v="Week4-Jan-2026"/>
    <x v="4"/>
    <s v="29-Jan-2026"/>
    <s v="Thursday"/>
    <s v="Monthly - Thursday"/>
    <s v="MDAW - Thursday"/>
    <s v="Same Month Expiry"/>
    <n v="27084808"/>
    <n v="4464882.72"/>
    <n v="14412.29"/>
  </r>
  <r>
    <s v="23-Jan-2026"/>
    <x v="4"/>
    <s v="Week4-Jan-2026"/>
    <x v="4"/>
    <s v="05-Feb-2026"/>
    <s v="Thursday"/>
    <s v="Weekly - Thursday"/>
    <s v="Weekly - Thursday"/>
    <s v="Month+1 Expiry"/>
    <n v="109639"/>
    <n v="18236.02"/>
    <n v="125.61"/>
  </r>
  <r>
    <s v="23-Jan-2026"/>
    <x v="4"/>
    <s v="Week4-Jan-2026"/>
    <x v="4"/>
    <s v="12-Feb-2026"/>
    <s v="Thursday"/>
    <s v="Weekly - Thursday"/>
    <s v="Weekly - Thursday"/>
    <s v="Month+1 Expiry"/>
    <n v="1905"/>
    <n v="318.44"/>
    <n v="3.55"/>
  </r>
  <r>
    <s v="23-Jan-2026"/>
    <x v="4"/>
    <s v="Week4-Jan-2026"/>
    <x v="4"/>
    <s v="19-Feb-2026"/>
    <s v="Thursday"/>
    <s v="Weekly - Thursday"/>
    <s v="Weekly - Thursday"/>
    <s v="Month+1 Expiry"/>
    <n v="132"/>
    <n v="22.19"/>
    <n v="0.28000000000000003"/>
  </r>
  <r>
    <s v="23-Jan-2026"/>
    <x v="4"/>
    <s v="Week4-Jan-2026"/>
    <x v="4"/>
    <s v="26-Feb-2026"/>
    <s v="Thursday"/>
    <s v="Monthly - Thursday"/>
    <s v="Monthly - Thursday"/>
    <s v="Month+1 Expiry"/>
    <n v="14349"/>
    <n v="2411.36"/>
    <n v="25.07"/>
  </r>
  <r>
    <s v="23-Jan-2026"/>
    <x v="4"/>
    <s v="Week4-Jan-2026"/>
    <x v="4"/>
    <s v="25-Mar-2026"/>
    <s v="Wednesday"/>
    <s v="Monthly - Wednesday"/>
    <s v="Monthly - Wednesday"/>
    <s v="Month+2 Expiry"/>
    <n v="0"/>
    <n v="0"/>
    <n v="0"/>
  </r>
  <r>
    <s v="23-Jan-2026"/>
    <x v="4"/>
    <s v="Week4-Jan-2026"/>
    <x v="4"/>
    <s v="25-Jun-2026"/>
    <s v="Thursday"/>
    <s v="Monthly - Thursday"/>
    <s v="Monthly - Thursday"/>
    <s v="Month+5 Expiry"/>
    <n v="0"/>
    <n v="0"/>
    <n v="0"/>
  </r>
  <r>
    <s v="27-Jan-2026"/>
    <x v="1"/>
    <s v="Week4-Jan-2026"/>
    <x v="4"/>
    <s v="29-Jan-2026"/>
    <s v="Thursday"/>
    <s v="Monthly - Thursday"/>
    <s v="MDAW - Thursday"/>
    <s v="Same Month Expiry"/>
    <n v="36024252"/>
    <n v="5906098.8799999999"/>
    <n v="16003.09"/>
  </r>
  <r>
    <s v="27-Jan-2026"/>
    <x v="1"/>
    <s v="Week4-Jan-2026"/>
    <x v="4"/>
    <s v="05-Feb-2026"/>
    <s v="Thursday"/>
    <s v="Weekly - Thursday"/>
    <s v="Weekly - Thursday"/>
    <s v="Month+1 Expiry"/>
    <n v="254292"/>
    <n v="42050.02"/>
    <n v="280.86"/>
  </r>
  <r>
    <s v="27-Jan-2026"/>
    <x v="1"/>
    <s v="Week4-Jan-2026"/>
    <x v="4"/>
    <s v="12-Feb-2026"/>
    <s v="Thursday"/>
    <s v="Weekly - Thursday"/>
    <s v="Weekly - Thursday"/>
    <s v="Month+1 Expiry"/>
    <n v="2534"/>
    <n v="420.6"/>
    <n v="4.83"/>
  </r>
  <r>
    <s v="27-Jan-2026"/>
    <x v="1"/>
    <s v="Week4-Jan-2026"/>
    <x v="4"/>
    <s v="19-Feb-2026"/>
    <s v="Thursday"/>
    <s v="Weekly - Thursday"/>
    <s v="Weekly - Thursday"/>
    <s v="Month+1 Expiry"/>
    <n v="118"/>
    <n v="19.68"/>
    <n v="0.24"/>
  </r>
  <r>
    <s v="27-Jan-2026"/>
    <x v="1"/>
    <s v="Week4-Jan-2026"/>
    <x v="4"/>
    <s v="26-Feb-2026"/>
    <s v="Thursday"/>
    <s v="Monthly - Thursday"/>
    <s v="Monthly - Thursday"/>
    <s v="Month+1 Expiry"/>
    <n v="13706"/>
    <n v="2299.71"/>
    <n v="25.68"/>
  </r>
  <r>
    <s v="27-Jan-2026"/>
    <x v="1"/>
    <s v="Week4-Jan-2026"/>
    <x v="4"/>
    <s v="25-Mar-2026"/>
    <s v="Wednesday"/>
    <s v="Monthly - Wednesday"/>
    <s v="Monthly - Wednesday"/>
    <s v="Month+2 Expiry"/>
    <n v="1"/>
    <n v="0.17"/>
    <n v="0"/>
  </r>
  <r>
    <s v="27-Jan-2026"/>
    <x v="1"/>
    <s v="Week4-Jan-2026"/>
    <x v="4"/>
    <s v="25-Jun-2026"/>
    <s v="Thursday"/>
    <s v="Monthly - Thursday"/>
    <s v="Monthly - Thursday"/>
    <s v="Month+5 Expiry"/>
    <n v="0"/>
    <n v="0"/>
    <n v="0"/>
  </r>
  <r>
    <s v="28-Jan-2026"/>
    <x v="2"/>
    <s v="Week4-Jan-2026"/>
    <x v="4"/>
    <s v="29-Jan-2026"/>
    <s v="Thursday"/>
    <s v="Monthly - Thursday"/>
    <s v="MDAW - Thursday"/>
    <s v="Same Month Expiry"/>
    <n v="158593395"/>
    <n v="26112281.539999999"/>
    <n v="45939.48"/>
  </r>
  <r>
    <s v="28-Jan-2026"/>
    <x v="2"/>
    <s v="Week4-Jan-2026"/>
    <x v="4"/>
    <s v="05-Feb-2026"/>
    <s v="Thursday"/>
    <s v="Weekly - Thursday"/>
    <s v="Weekly - Thursday"/>
    <s v="Month+1 Expiry"/>
    <n v="595027"/>
    <n v="98161.1"/>
    <n v="451.84"/>
  </r>
  <r>
    <s v="28-Jan-2026"/>
    <x v="2"/>
    <s v="Week4-Jan-2026"/>
    <x v="4"/>
    <s v="12-Feb-2026"/>
    <s v="Thursday"/>
    <s v="Weekly - Thursday"/>
    <s v="Weekly - Thursday"/>
    <s v="Month+1 Expiry"/>
    <n v="3485"/>
    <n v="581.34"/>
    <n v="5.4"/>
  </r>
  <r>
    <s v="28-Jan-2026"/>
    <x v="2"/>
    <s v="Week4-Jan-2026"/>
    <x v="4"/>
    <s v="19-Feb-2026"/>
    <s v="Thursday"/>
    <s v="Weekly - Thursday"/>
    <s v="Weekly - Thursday"/>
    <s v="Month+1 Expiry"/>
    <n v="165"/>
    <n v="27.7"/>
    <n v="0.32"/>
  </r>
  <r>
    <s v="28-Jan-2026"/>
    <x v="2"/>
    <s v="Week4-Jan-2026"/>
    <x v="4"/>
    <s v="26-Feb-2026"/>
    <s v="Thursday"/>
    <s v="Monthly - Thursday"/>
    <s v="Monthly - Thursday"/>
    <s v="Month+1 Expiry"/>
    <n v="14944"/>
    <n v="2508.85"/>
    <n v="23.07"/>
  </r>
  <r>
    <s v="28-Jan-2026"/>
    <x v="2"/>
    <s v="Week4-Jan-2026"/>
    <x v="4"/>
    <s v="25-Mar-2026"/>
    <s v="Wednesday"/>
    <s v="Monthly - Wednesday"/>
    <s v="Monthly - Wednesday"/>
    <s v="Month+2 Expiry"/>
    <n v="2"/>
    <n v="0.34"/>
    <n v="0"/>
  </r>
  <r>
    <s v="28-Jan-2026"/>
    <x v="2"/>
    <s v="Week4-Jan-2026"/>
    <x v="4"/>
    <s v="25-Jun-2026"/>
    <s v="Thursday"/>
    <s v="Monthly - Thursday"/>
    <s v="Monthly - Thursday"/>
    <s v="Month+5 Expiry"/>
    <n v="0"/>
    <n v="0"/>
    <n v="0"/>
  </r>
  <r>
    <s v="29-Jan-2026"/>
    <x v="3"/>
    <s v="Week5-Jan-2026"/>
    <x v="4"/>
    <s v="29-Jan-2026"/>
    <s v="Thursday"/>
    <s v="Monthly - Thursday"/>
    <s v="MDAW - Thursday"/>
    <s v="Same Month Expiry"/>
    <n v="515244580"/>
    <n v="84886660.450000003"/>
    <n v="65837.17"/>
  </r>
  <r>
    <s v="29-Jan-2026"/>
    <x v="3"/>
    <s v="Week5-Jan-2026"/>
    <x v="4"/>
    <s v="05-Feb-2026"/>
    <s v="Thursday"/>
    <s v="Weekly - Thursday"/>
    <s v="Weekly - Thursday"/>
    <s v="Month+1 Expiry"/>
    <n v="1616150"/>
    <n v="267472.21000000002"/>
    <n v="1297.17"/>
  </r>
  <r>
    <s v="29-Jan-2026"/>
    <x v="3"/>
    <s v="Week5-Jan-2026"/>
    <x v="4"/>
    <s v="12-Feb-2026"/>
    <s v="Thursday"/>
    <s v="Weekly - Thursday"/>
    <s v="Weekly - Thursday"/>
    <s v="Month+1 Expiry"/>
    <n v="7512"/>
    <n v="1251.6500000000001"/>
    <n v="10.8"/>
  </r>
  <r>
    <s v="29-Jan-2026"/>
    <x v="3"/>
    <s v="Week5-Jan-2026"/>
    <x v="4"/>
    <s v="19-Feb-2026"/>
    <s v="Thursday"/>
    <s v="Weekly - Thursday"/>
    <s v="Weekly - Thursday"/>
    <s v="Month+1 Expiry"/>
    <n v="833"/>
    <n v="138.77000000000001"/>
    <n v="1.49"/>
  </r>
  <r>
    <s v="29-Jan-2026"/>
    <x v="3"/>
    <s v="Week5-Jan-2026"/>
    <x v="4"/>
    <s v="26-Feb-2026"/>
    <s v="Thursday"/>
    <s v="Monthly - Thursday"/>
    <s v="Monthly - Thursday"/>
    <s v="Month+1 Expiry"/>
    <n v="15731"/>
    <n v="2641.55"/>
    <n v="24.82"/>
  </r>
  <r>
    <s v="29-Jan-2026"/>
    <x v="3"/>
    <s v="Week5-Jan-2026"/>
    <x v="4"/>
    <s v="25-Mar-2026"/>
    <s v="Wednesday"/>
    <s v="Monthly - Wednesday"/>
    <s v="Monthly - Wednesday"/>
    <s v="Month+2 Expiry"/>
    <n v="1"/>
    <n v="0.17"/>
    <n v="0"/>
  </r>
  <r>
    <s v="29-Jan-2026"/>
    <x v="3"/>
    <s v="Week5-Jan-2026"/>
    <x v="4"/>
    <s v="25-Jun-2026"/>
    <s v="Thursday"/>
    <s v="Monthly - Thursday"/>
    <s v="Monthly - Thursday"/>
    <s v="Month+5 Expiry"/>
    <n v="0"/>
    <n v="0"/>
    <n v="0"/>
  </r>
  <r>
    <s v="30-Jan-2026"/>
    <x v="4"/>
    <s v="Week5-Jan-2026"/>
    <x v="4"/>
    <s v="05-Feb-2026"/>
    <s v="Thursday"/>
    <s v="Weekly - Thursday"/>
    <s v="Weekly - Thursday"/>
    <s v="Month+1 Expiry"/>
    <n v="17023177"/>
    <n v="2819096.19"/>
    <n v="13697.49"/>
  </r>
  <r>
    <s v="30-Jan-2026"/>
    <x v="4"/>
    <s v="Week5-Jan-2026"/>
    <x v="4"/>
    <s v="12-Feb-2026"/>
    <s v="Thursday"/>
    <s v="Weekly - Thursday"/>
    <s v="Weekly - Thursday"/>
    <s v="Month+1 Expiry"/>
    <n v="56516"/>
    <n v="9408.5"/>
    <n v="73.98"/>
  </r>
  <r>
    <s v="30-Jan-2026"/>
    <x v="4"/>
    <s v="Week5-Jan-2026"/>
    <x v="4"/>
    <s v="19-Feb-2026"/>
    <s v="Thursday"/>
    <s v="Weekly - Thursday"/>
    <s v="Weekly - Thursday"/>
    <s v="Month+1 Expiry"/>
    <n v="488"/>
    <n v="80.87"/>
    <n v="0.76"/>
  </r>
  <r>
    <s v="30-Jan-2026"/>
    <x v="4"/>
    <s v="Week5-Jan-2026"/>
    <x v="4"/>
    <s v="26-Feb-2026"/>
    <s v="Thursday"/>
    <s v="Monthly - Thursday"/>
    <s v="Monthly - Thursday"/>
    <s v="Month+1 Expiry"/>
    <n v="17729"/>
    <n v="2971.79"/>
    <n v="27.17"/>
  </r>
  <r>
    <s v="30-Jan-2026"/>
    <x v="4"/>
    <s v="Week5-Jan-2026"/>
    <x v="4"/>
    <s v="25-Mar-2026"/>
    <s v="Wednesday"/>
    <s v="Monthly - Wednesday"/>
    <s v="Monthly - Wednesday"/>
    <s v="Month+2 Expiry"/>
    <n v="23"/>
    <n v="3.9"/>
    <n v="0.06"/>
  </r>
  <r>
    <s v="30-Jan-2026"/>
    <x v="4"/>
    <s v="Week5-Jan-2026"/>
    <x v="4"/>
    <s v="25-Jun-2026"/>
    <s v="Thursday"/>
    <s v="Monthly - Thursday"/>
    <s v="Monthly - Thursday"/>
    <s v="Month+5 Expiry"/>
    <n v="0"/>
    <n v="0"/>
    <n v="0"/>
  </r>
  <r>
    <s v="01-Feb-2026"/>
    <x v="5"/>
    <s v="Week1-Feb-2026"/>
    <x v="5"/>
    <s v="05-Feb-2026"/>
    <s v="Thursday"/>
    <s v="Weekly - Thursday"/>
    <s v="Weekly - Thursday"/>
    <s v="Same Month Expiry"/>
    <n v="37163843"/>
    <n v="6128096.2800000003"/>
    <n v="24504.1"/>
  </r>
  <r>
    <s v="01-Feb-2026"/>
    <x v="5"/>
    <s v="Week1-Feb-2026"/>
    <x v="5"/>
    <s v="12-Feb-2026"/>
    <s v="Thursday"/>
    <s v="Weekly - Thursday"/>
    <s v="Weekly - Thursday"/>
    <s v="Same Month Expiry"/>
    <n v="185960"/>
    <n v="30816.34"/>
    <n v="227.97"/>
  </r>
  <r>
    <s v="01-Feb-2026"/>
    <x v="5"/>
    <s v="Week1-Feb-2026"/>
    <x v="5"/>
    <s v="19-Feb-2026"/>
    <s v="Thursday"/>
    <s v="Weekly - Thursday"/>
    <s v="Weekly - Thursday"/>
    <s v="Same Month Expiry"/>
    <n v="622"/>
    <n v="102.83"/>
    <n v="1.05"/>
  </r>
  <r>
    <s v="01-Feb-2026"/>
    <x v="5"/>
    <s v="Week1-Feb-2026"/>
    <x v="5"/>
    <s v="26-Feb-2026"/>
    <s v="Thursday"/>
    <s v="Monthly - Thursday"/>
    <s v="Monthly - Thursday"/>
    <s v="Same Month Expiry"/>
    <n v="32333"/>
    <n v="5398.13"/>
    <n v="45.06"/>
  </r>
  <r>
    <s v="01-Feb-2026"/>
    <x v="5"/>
    <s v="Week1-Feb-2026"/>
    <x v="5"/>
    <s v="25-Mar-2026"/>
    <s v="Wednesday"/>
    <s v="Monthly - Wednesday"/>
    <s v="Monthly - Wednesday"/>
    <s v="Month+1 Expiry"/>
    <n v="11"/>
    <n v="1.75"/>
    <n v="0.02"/>
  </r>
  <r>
    <s v="01-Feb-2026"/>
    <x v="5"/>
    <s v="Week1-Feb-2026"/>
    <x v="5"/>
    <s v="25-Jun-2026"/>
    <s v="Thursday"/>
    <s v="Monthly - Thursday"/>
    <s v="Monthly - Thursday"/>
    <s v="Month+4 Expiry"/>
    <n v="0"/>
    <n v="0"/>
    <n v="0"/>
  </r>
  <r>
    <s v="02-Feb-2026"/>
    <x v="0"/>
    <s v="Week1-Feb-2026"/>
    <x v="5"/>
    <s v="05-Feb-2026"/>
    <s v="Thursday"/>
    <s v="Weekly - Thursday"/>
    <s v="Weekly - Thursday"/>
    <s v="Same Month Expiry"/>
    <n v="31364788"/>
    <n v="5114044.34"/>
    <n v="17340.13"/>
  </r>
  <r>
    <s v="02-Feb-2026"/>
    <x v="0"/>
    <s v="Week1-Feb-2026"/>
    <x v="5"/>
    <s v="12-Feb-2026"/>
    <s v="Thursday"/>
    <s v="Weekly - Thursday"/>
    <s v="Weekly - Thursday"/>
    <s v="Same Month Expiry"/>
    <n v="159942"/>
    <n v="26251.31"/>
    <n v="167.09"/>
  </r>
  <r>
    <s v="02-Feb-2026"/>
    <x v="0"/>
    <s v="Week1-Feb-2026"/>
    <x v="5"/>
    <s v="19-Feb-2026"/>
    <s v="Thursday"/>
    <s v="Weekly - Thursday"/>
    <s v="Weekly - Thursday"/>
    <s v="Same Month Expiry"/>
    <n v="595"/>
    <n v="97.79"/>
    <n v="0.7"/>
  </r>
  <r>
    <s v="02-Feb-2026"/>
    <x v="0"/>
    <s v="Week1-Feb-2026"/>
    <x v="5"/>
    <s v="26-Feb-2026"/>
    <s v="Thursday"/>
    <s v="Monthly - Thursday"/>
    <s v="Monthly - Thursday"/>
    <s v="Same Month Expiry"/>
    <n v="22143"/>
    <n v="3666"/>
    <n v="33.43"/>
  </r>
  <r>
    <s v="02-Feb-2026"/>
    <x v="0"/>
    <s v="Week1-Feb-2026"/>
    <x v="5"/>
    <s v="05-Mar-2026"/>
    <s v="Thursday"/>
    <s v="Weekly - Thursday"/>
    <s v="Weekly - Thursday"/>
    <s v="Month+1 Expiry"/>
    <n v="2"/>
    <n v="0.28999999999999998"/>
    <n v="0"/>
  </r>
  <r>
    <s v="02-Feb-2026"/>
    <x v="0"/>
    <s v="Week1-Feb-2026"/>
    <x v="5"/>
    <s v="25-Mar-2026"/>
    <s v="Wednesday"/>
    <s v="Monthly - Wednesday"/>
    <s v="Monthly - Wednesday"/>
    <s v="Month+1 Expiry"/>
    <n v="14"/>
    <n v="2.34"/>
    <n v="0.04"/>
  </r>
  <r>
    <s v="02-Feb-2026"/>
    <x v="0"/>
    <s v="Week1-Feb-2026"/>
    <x v="5"/>
    <s v="25-Jun-2026"/>
    <s v="Thursday"/>
    <s v="Monthly - Thursday"/>
    <s v="Monthly - Thursday"/>
    <s v="Month+4 Expiry"/>
    <n v="0"/>
    <n v="0"/>
    <n v="0"/>
  </r>
  <r>
    <s v="03-Feb-2026"/>
    <x v="1"/>
    <s v="Week1-Feb-2026"/>
    <x v="5"/>
    <s v="05-Feb-2026"/>
    <s v="Thursday"/>
    <s v="Weekly - Thursday"/>
    <s v="Weekly - Thursday"/>
    <s v="Same Month Expiry"/>
    <n v="37562693"/>
    <n v="6308608.54"/>
    <n v="19248"/>
  </r>
  <r>
    <s v="03-Feb-2026"/>
    <x v="1"/>
    <s v="Week1-Feb-2026"/>
    <x v="5"/>
    <s v="12-Feb-2026"/>
    <s v="Thursday"/>
    <s v="Weekly - Thursday"/>
    <s v="Weekly - Thursday"/>
    <s v="Same Month Expiry"/>
    <n v="372556"/>
    <n v="62460.26"/>
    <n v="397.46"/>
  </r>
  <r>
    <s v="03-Feb-2026"/>
    <x v="1"/>
    <s v="Week1-Feb-2026"/>
    <x v="5"/>
    <s v="19-Feb-2026"/>
    <s v="Thursday"/>
    <s v="Weekly - Thursday"/>
    <s v="Weekly - Thursday"/>
    <s v="Same Month Expiry"/>
    <n v="158"/>
    <n v="27.09"/>
    <n v="0.17"/>
  </r>
  <r>
    <s v="03-Feb-2026"/>
    <x v="1"/>
    <s v="Week1-Feb-2026"/>
    <x v="5"/>
    <s v="26-Feb-2026"/>
    <s v="Thursday"/>
    <s v="Monthly - Thursday"/>
    <s v="Monthly - Thursday"/>
    <s v="Same Month Expiry"/>
    <n v="38087"/>
    <n v="6432.76"/>
    <n v="62.73"/>
  </r>
  <r>
    <s v="03-Feb-2026"/>
    <x v="1"/>
    <s v="Week1-Feb-2026"/>
    <x v="5"/>
    <s v="05-Mar-2026"/>
    <s v="Thursday"/>
    <s v="Weekly - Thursday"/>
    <s v="Weekly - Thursday"/>
    <s v="Month+1 Expiry"/>
    <n v="14"/>
    <n v="2.02"/>
    <n v="0"/>
  </r>
  <r>
    <s v="03-Feb-2026"/>
    <x v="1"/>
    <s v="Week1-Feb-2026"/>
    <x v="5"/>
    <s v="25-Mar-2026"/>
    <s v="Wednesday"/>
    <s v="Monthly - Wednesday"/>
    <s v="Monthly - Wednesday"/>
    <s v="Month+1 Expiry"/>
    <n v="5"/>
    <n v="0.86"/>
    <n v="0.02"/>
  </r>
  <r>
    <s v="03-Feb-2026"/>
    <x v="1"/>
    <s v="Week1-Feb-2026"/>
    <x v="5"/>
    <s v="25-Jun-2026"/>
    <s v="Thursday"/>
    <s v="Monthly - Thursday"/>
    <s v="Monthly - Thursday"/>
    <s v="Month+4 Expiry"/>
    <n v="0"/>
    <n v="0"/>
    <n v="0"/>
  </r>
  <r>
    <s v="04-Feb-2026"/>
    <x v="2"/>
    <s v="Week1-Feb-2026"/>
    <x v="5"/>
    <s v="05-Feb-2026"/>
    <s v="Thursday"/>
    <s v="Weekly - Thursday"/>
    <s v="Weekly - Thursday"/>
    <s v="Same Month Expiry"/>
    <n v="129869631"/>
    <n v="21768230.210000001"/>
    <n v="36963.06"/>
  </r>
  <r>
    <s v="04-Feb-2026"/>
    <x v="2"/>
    <s v="Week1-Feb-2026"/>
    <x v="5"/>
    <s v="12-Feb-2026"/>
    <s v="Thursday"/>
    <s v="Weekly - Thursday"/>
    <s v="Weekly - Thursday"/>
    <s v="Same Month Expiry"/>
    <n v="585478"/>
    <n v="98118.33"/>
    <n v="390"/>
  </r>
  <r>
    <s v="04-Feb-2026"/>
    <x v="2"/>
    <s v="Week1-Feb-2026"/>
    <x v="5"/>
    <s v="19-Feb-2026"/>
    <s v="Thursday"/>
    <s v="Weekly - Thursday"/>
    <s v="Weekly - Thursday"/>
    <s v="Same Month Expiry"/>
    <n v="762"/>
    <n v="128.31"/>
    <n v="1.19"/>
  </r>
  <r>
    <s v="04-Feb-2026"/>
    <x v="2"/>
    <s v="Week1-Feb-2026"/>
    <x v="5"/>
    <s v="26-Feb-2026"/>
    <s v="Thursday"/>
    <s v="Monthly - Thursday"/>
    <s v="Monthly - Thursday"/>
    <s v="Same Month Expiry"/>
    <n v="30040"/>
    <n v="5077.25"/>
    <n v="37.22"/>
  </r>
  <r>
    <s v="04-Feb-2026"/>
    <x v="2"/>
    <s v="Week1-Feb-2026"/>
    <x v="5"/>
    <s v="05-Mar-2026"/>
    <s v="Thursday"/>
    <s v="Weekly - Thursday"/>
    <s v="Weekly - Thursday"/>
    <s v="Month+1 Expiry"/>
    <n v="3"/>
    <n v="0.43"/>
    <n v="0"/>
  </r>
  <r>
    <s v="04-Feb-2026"/>
    <x v="2"/>
    <s v="Week1-Feb-2026"/>
    <x v="5"/>
    <s v="25-Mar-2026"/>
    <s v="Wednesday"/>
    <s v="Monthly - Wednesday"/>
    <s v="Monthly - Wednesday"/>
    <s v="Month+1 Expiry"/>
    <n v="20"/>
    <n v="3.42"/>
    <n v="7.0000000000000007E-2"/>
  </r>
  <r>
    <s v="04-Feb-2026"/>
    <x v="2"/>
    <s v="Week1-Feb-2026"/>
    <x v="5"/>
    <s v="25-Jun-2026"/>
    <s v="Thursday"/>
    <s v="Monthly - Thursday"/>
    <s v="Monthly - Thursday"/>
    <s v="Month+4 Expiry"/>
    <n v="0"/>
    <n v="0"/>
    <n v="0"/>
  </r>
  <r>
    <s v="05-Feb-2026"/>
    <x v="3"/>
    <s v="Week1-Feb-2026"/>
    <x v="5"/>
    <s v="05-Feb-2026"/>
    <s v="Thursday"/>
    <s v="Weekly - Thursday"/>
    <s v="Weekly - Thursday"/>
    <s v="Same Month Expiry"/>
    <n v="458782180"/>
    <n v="76556264.939999998"/>
    <n v="50471.25"/>
  </r>
  <r>
    <s v="05-Feb-2026"/>
    <x v="3"/>
    <s v="Week1-Feb-2026"/>
    <x v="5"/>
    <s v="12-Feb-2026"/>
    <s v="Thursday"/>
    <s v="Weekly - Thursday"/>
    <s v="Weekly - Thursday"/>
    <s v="Same Month Expiry"/>
    <n v="1869301"/>
    <n v="313193.94"/>
    <n v="1049.74"/>
  </r>
  <r>
    <s v="05-Feb-2026"/>
    <x v="3"/>
    <s v="Week1-Feb-2026"/>
    <x v="5"/>
    <s v="19-Feb-2026"/>
    <s v="Thursday"/>
    <s v="Weekly - Thursday"/>
    <s v="Weekly - Thursday"/>
    <s v="Same Month Expiry"/>
    <n v="4770"/>
    <n v="801.48"/>
    <n v="5.99"/>
  </r>
  <r>
    <s v="05-Feb-2026"/>
    <x v="3"/>
    <s v="Week1-Feb-2026"/>
    <x v="5"/>
    <s v="26-Feb-2026"/>
    <s v="Thursday"/>
    <s v="Monthly - Thursday"/>
    <s v="Monthly - Thursday"/>
    <s v="Same Month Expiry"/>
    <n v="25304"/>
    <n v="4259.83"/>
    <n v="28.38"/>
  </r>
  <r>
    <s v="05-Feb-2026"/>
    <x v="3"/>
    <s v="Week1-Feb-2026"/>
    <x v="5"/>
    <s v="05-Mar-2026"/>
    <s v="Thursday"/>
    <s v="Weekly - Thursday"/>
    <s v="Weekly - Thursday"/>
    <s v="Month+1 Expiry"/>
    <n v="0"/>
    <n v="0"/>
    <n v="0"/>
  </r>
  <r>
    <s v="05-Feb-2026"/>
    <x v="3"/>
    <s v="Week1-Feb-2026"/>
    <x v="5"/>
    <s v="25-Mar-2026"/>
    <s v="Wednesday"/>
    <s v="Monthly - Wednesday"/>
    <s v="Monthly - Wednesday"/>
    <s v="Month+1 Expiry"/>
    <n v="254"/>
    <n v="43.63"/>
    <n v="0.4"/>
  </r>
  <r>
    <s v="05-Feb-2026"/>
    <x v="3"/>
    <s v="Week1-Feb-2026"/>
    <x v="5"/>
    <s v="25-Jun-2026"/>
    <s v="Thursday"/>
    <s v="Monthly - Thursday"/>
    <s v="Monthly - Thursday"/>
    <s v="Month+4 Expiry"/>
    <n v="0"/>
    <n v="0"/>
    <n v="0"/>
  </r>
  <r>
    <s v="06-Feb-2026"/>
    <x v="4"/>
    <s v="Week1-Feb-2026"/>
    <x v="5"/>
    <s v="12-Feb-2026"/>
    <s v="Thursday"/>
    <s v="Weekly - Thursday"/>
    <s v="Weekly - Thursday"/>
    <s v="Same Month Expiry"/>
    <n v="22506144"/>
    <n v="3763221.97"/>
    <n v="12590.04"/>
  </r>
  <r>
    <s v="06-Feb-2026"/>
    <x v="4"/>
    <s v="Week1-Feb-2026"/>
    <x v="5"/>
    <s v="19-Feb-2026"/>
    <s v="Thursday"/>
    <s v="Weekly - Thursday"/>
    <s v="Weekly - Thursday"/>
    <s v="Same Month Expiry"/>
    <n v="68944"/>
    <n v="11557.89"/>
    <n v="66.8"/>
  </r>
  <r>
    <s v="06-Feb-2026"/>
    <x v="4"/>
    <s v="Week1-Feb-2026"/>
    <x v="5"/>
    <s v="26-Feb-2026"/>
    <s v="Thursday"/>
    <s v="Monthly - Thursday"/>
    <s v="Monthly - Thursday"/>
    <s v="Same Month Expiry"/>
    <n v="41126"/>
    <n v="6899.11"/>
    <n v="44.56"/>
  </r>
  <r>
    <s v="06-Feb-2026"/>
    <x v="4"/>
    <s v="Week1-Feb-2026"/>
    <x v="5"/>
    <s v="05-Mar-2026"/>
    <s v="Thursday"/>
    <s v="Weekly - Thursday"/>
    <s v="Weekly - Thursday"/>
    <s v="Month+1 Expiry"/>
    <n v="5"/>
    <n v="0.83"/>
    <n v="0.01"/>
  </r>
  <r>
    <s v="06-Feb-2026"/>
    <x v="4"/>
    <s v="Week1-Feb-2026"/>
    <x v="5"/>
    <s v="25-Mar-2026"/>
    <s v="Wednesday"/>
    <s v="Monthly - Wednesday"/>
    <s v="Monthly - Wednesday"/>
    <s v="Month+1 Expiry"/>
    <n v="536"/>
    <n v="92.71"/>
    <n v="0.53"/>
  </r>
  <r>
    <s v="06-Feb-2026"/>
    <x v="4"/>
    <s v="Week1-Feb-2026"/>
    <x v="5"/>
    <s v="25-Jun-2026"/>
    <s v="Thursday"/>
    <s v="Monthly - Thursday"/>
    <s v="Monthly - Thursday"/>
    <s v="Month+4 Expiry"/>
    <n v="0"/>
    <n v="0"/>
    <n v="0"/>
  </r>
  <r>
    <s v="09-Feb-2026"/>
    <x v="0"/>
    <s v="Week2-Feb-2026"/>
    <x v="5"/>
    <s v="12-Feb-2026"/>
    <s v="Thursday"/>
    <s v="Weekly - Thursday"/>
    <s v="Weekly - Thursday"/>
    <s v="Same Month Expiry"/>
    <n v="19526470"/>
    <n v="3282061.81"/>
    <n v="8512.15"/>
  </r>
  <r>
    <s v="09-Feb-2026"/>
    <x v="0"/>
    <s v="Week2-Feb-2026"/>
    <x v="5"/>
    <s v="19-Feb-2026"/>
    <s v="Thursday"/>
    <s v="Weekly - Thursday"/>
    <s v="Weekly - Thursday"/>
    <s v="Same Month Expiry"/>
    <n v="98069"/>
    <n v="16514.169999999998"/>
    <n v="70.72"/>
  </r>
  <r>
    <s v="09-Feb-2026"/>
    <x v="0"/>
    <s v="Week2-Feb-2026"/>
    <x v="5"/>
    <s v="26-Feb-2026"/>
    <s v="Thursday"/>
    <s v="Monthly - Thursday"/>
    <s v="Monthly - Thursday"/>
    <s v="Same Month Expiry"/>
    <n v="46334"/>
    <n v="7850.62"/>
    <n v="50.99"/>
  </r>
  <r>
    <s v="09-Feb-2026"/>
    <x v="0"/>
    <s v="Week2-Feb-2026"/>
    <x v="5"/>
    <s v="05-Mar-2026"/>
    <s v="Thursday"/>
    <s v="Weekly - Thursday"/>
    <s v="Weekly - Thursday"/>
    <s v="Month+1 Expiry"/>
    <n v="3"/>
    <n v="0.51"/>
    <n v="0"/>
  </r>
  <r>
    <s v="09-Feb-2026"/>
    <x v="0"/>
    <s v="Week2-Feb-2026"/>
    <x v="5"/>
    <s v="19-Mar-2026"/>
    <s v="Thursday"/>
    <s v="Weekly - Thursday"/>
    <s v="Weekly - Thursday"/>
    <s v="Month+1 Expiry"/>
    <n v="2"/>
    <n v="0.34"/>
    <n v="0"/>
  </r>
  <r>
    <s v="09-Feb-2026"/>
    <x v="0"/>
    <s v="Week2-Feb-2026"/>
    <x v="5"/>
    <s v="25-Mar-2026"/>
    <s v="Wednesday"/>
    <s v="Monthly - Wednesday"/>
    <s v="Monthly - Wednesday"/>
    <s v="Month+1 Expiry"/>
    <n v="710"/>
    <n v="120.8"/>
    <n v="1.44"/>
  </r>
  <r>
    <s v="09-Feb-2026"/>
    <x v="0"/>
    <s v="Week2-Feb-2026"/>
    <x v="5"/>
    <s v="25-Jun-2026"/>
    <s v="Thursday"/>
    <s v="Monthly - Thursday"/>
    <s v="Monthly - Thursday"/>
    <s v="Month+4 Expiry"/>
    <n v="0"/>
    <n v="0"/>
    <n v="0"/>
  </r>
  <r>
    <s v="10-Feb-2026"/>
    <x v="1"/>
    <s v="Week2-Feb-2026"/>
    <x v="5"/>
    <s v="12-Feb-2026"/>
    <s v="Thursday"/>
    <s v="Weekly - Thursday"/>
    <s v="Weekly - Thursday"/>
    <s v="Same Month Expiry"/>
    <n v="24884330"/>
    <n v="4191505.06"/>
    <n v="8617.7099999999991"/>
  </r>
  <r>
    <s v="10-Feb-2026"/>
    <x v="1"/>
    <s v="Week2-Feb-2026"/>
    <x v="5"/>
    <s v="19-Feb-2026"/>
    <s v="Thursday"/>
    <s v="Weekly - Thursday"/>
    <s v="Weekly - Thursday"/>
    <s v="Same Month Expiry"/>
    <n v="207914"/>
    <n v="35220.839999999997"/>
    <n v="134.66999999999999"/>
  </r>
  <r>
    <s v="10-Feb-2026"/>
    <x v="1"/>
    <s v="Week2-Feb-2026"/>
    <x v="5"/>
    <s v="26-Feb-2026"/>
    <s v="Thursday"/>
    <s v="Monthly - Thursday"/>
    <s v="Monthly - Thursday"/>
    <s v="Same Month Expiry"/>
    <n v="40923"/>
    <n v="6930.37"/>
    <n v="41.62"/>
  </r>
  <r>
    <s v="10-Feb-2026"/>
    <x v="1"/>
    <s v="Week2-Feb-2026"/>
    <x v="5"/>
    <s v="05-Mar-2026"/>
    <s v="Thursday"/>
    <s v="Weekly - Thursday"/>
    <s v="Weekly - Thursday"/>
    <s v="Month+1 Expiry"/>
    <n v="33"/>
    <n v="5.67"/>
    <n v="0.06"/>
  </r>
  <r>
    <s v="10-Feb-2026"/>
    <x v="1"/>
    <s v="Week2-Feb-2026"/>
    <x v="5"/>
    <s v="19-Mar-2026"/>
    <s v="Thursday"/>
    <s v="Weekly - Thursday"/>
    <s v="Weekly - Thursday"/>
    <s v="Month+1 Expiry"/>
    <n v="0"/>
    <n v="0"/>
    <n v="0"/>
  </r>
  <r>
    <s v="10-Feb-2026"/>
    <x v="1"/>
    <s v="Week2-Feb-2026"/>
    <x v="5"/>
    <s v="25-Mar-2026"/>
    <s v="Wednesday"/>
    <s v="Monthly - Wednesday"/>
    <s v="Monthly - Wednesday"/>
    <s v="Month+1 Expiry"/>
    <n v="528"/>
    <n v="88.4"/>
    <n v="0.63"/>
  </r>
  <r>
    <s v="10-Feb-2026"/>
    <x v="1"/>
    <s v="Week2-Feb-2026"/>
    <x v="5"/>
    <s v="25-Jun-2026"/>
    <s v="Thursday"/>
    <s v="Monthly - Thursday"/>
    <s v="Monthly - Thursday"/>
    <s v="Month+4 Expiry"/>
    <n v="0"/>
    <n v="0"/>
    <n v="0"/>
  </r>
  <r>
    <s v="11-Feb-2026"/>
    <x v="2"/>
    <s v="Week2-Feb-2026"/>
    <x v="5"/>
    <s v="12-Feb-2026"/>
    <s v="Thursday"/>
    <s v="Weekly - Thursday"/>
    <s v="Weekly - Thursday"/>
    <s v="Same Month Expiry"/>
    <n v="107565495"/>
    <n v="18134813.289999999"/>
    <n v="25700.2"/>
  </r>
  <r>
    <s v="11-Feb-2026"/>
    <x v="2"/>
    <s v="Week2-Feb-2026"/>
    <x v="5"/>
    <s v="19-Feb-2026"/>
    <s v="Thursday"/>
    <s v="Weekly - Thursday"/>
    <s v="Weekly - Thursday"/>
    <s v="Same Month Expiry"/>
    <n v="527887"/>
    <n v="89103.02"/>
    <n v="249.19"/>
  </r>
  <r>
    <s v="11-Feb-2026"/>
    <x v="2"/>
    <s v="Week2-Feb-2026"/>
    <x v="5"/>
    <s v="26-Feb-2026"/>
    <s v="Thursday"/>
    <s v="Monthly - Thursday"/>
    <s v="Monthly - Thursday"/>
    <s v="Same Month Expiry"/>
    <n v="39998"/>
    <n v="6758.27"/>
    <n v="37.47"/>
  </r>
  <r>
    <s v="11-Feb-2026"/>
    <x v="2"/>
    <s v="Week2-Feb-2026"/>
    <x v="5"/>
    <s v="05-Mar-2026"/>
    <s v="Thursday"/>
    <s v="Weekly - Thursday"/>
    <s v="Weekly - Thursday"/>
    <s v="Month+1 Expiry"/>
    <n v="137"/>
    <n v="23.44"/>
    <n v="0.24"/>
  </r>
  <r>
    <s v="11-Feb-2026"/>
    <x v="2"/>
    <s v="Week2-Feb-2026"/>
    <x v="5"/>
    <s v="19-Mar-2026"/>
    <s v="Thursday"/>
    <s v="Weekly - Thursday"/>
    <s v="Weekly - Thursday"/>
    <s v="Month+1 Expiry"/>
    <n v="0"/>
    <n v="0"/>
    <n v="0"/>
  </r>
  <r>
    <s v="11-Feb-2026"/>
    <x v="2"/>
    <s v="Week2-Feb-2026"/>
    <x v="5"/>
    <s v="25-Mar-2026"/>
    <s v="Wednesday"/>
    <s v="Monthly - Wednesday"/>
    <s v="Monthly - Wednesday"/>
    <s v="Month+1 Expiry"/>
    <n v="316"/>
    <n v="53.45"/>
    <n v="0.31"/>
  </r>
  <r>
    <s v="11-Feb-2026"/>
    <x v="2"/>
    <s v="Week2-Feb-2026"/>
    <x v="5"/>
    <s v="25-Jun-2026"/>
    <s v="Thursday"/>
    <s v="Monthly - Thursday"/>
    <s v="Monthly - Thursday"/>
    <s v="Month+4 Expiry"/>
    <n v="0"/>
    <n v="0"/>
    <n v="0"/>
  </r>
  <r>
    <s v="12-Feb-2026"/>
    <x v="3"/>
    <s v="Week2-Feb-2026"/>
    <x v="5"/>
    <s v="12-Feb-2026"/>
    <s v="Thursday"/>
    <s v="Weekly - Thursday"/>
    <s v="Weekly - Thursday"/>
    <s v="Same Month Expiry"/>
    <n v="452101461"/>
    <n v="75811099.519999996"/>
    <n v="41831.57"/>
  </r>
  <r>
    <s v="12-Feb-2026"/>
    <x v="3"/>
    <s v="Week2-Feb-2026"/>
    <x v="5"/>
    <s v="19-Feb-2026"/>
    <s v="Thursday"/>
    <s v="Weekly - Thursday"/>
    <s v="Weekly - Thursday"/>
    <s v="Same Month Expiry"/>
    <n v="1873085"/>
    <n v="315356.90000000002"/>
    <n v="922.75"/>
  </r>
  <r>
    <s v="12-Feb-2026"/>
    <x v="3"/>
    <s v="Week2-Feb-2026"/>
    <x v="5"/>
    <s v="26-Feb-2026"/>
    <s v="Thursday"/>
    <s v="Monthly - Thursday"/>
    <s v="Monthly - Thursday"/>
    <s v="Same Month Expiry"/>
    <n v="65256"/>
    <n v="11001.76"/>
    <n v="54.5"/>
  </r>
  <r>
    <s v="12-Feb-2026"/>
    <x v="3"/>
    <s v="Week2-Feb-2026"/>
    <x v="5"/>
    <s v="05-Mar-2026"/>
    <s v="Thursday"/>
    <s v="Weekly - Thursday"/>
    <s v="Weekly - Thursday"/>
    <s v="Month+1 Expiry"/>
    <n v="628"/>
    <n v="106.71"/>
    <n v="0.83"/>
  </r>
  <r>
    <s v="12-Feb-2026"/>
    <x v="3"/>
    <s v="Week2-Feb-2026"/>
    <x v="5"/>
    <s v="19-Mar-2026"/>
    <s v="Thursday"/>
    <s v="Weekly - Thursday"/>
    <s v="Weekly - Thursday"/>
    <s v="Month+1 Expiry"/>
    <n v="0"/>
    <n v="0"/>
    <n v="0"/>
  </r>
  <r>
    <s v="12-Feb-2026"/>
    <x v="3"/>
    <s v="Week2-Feb-2026"/>
    <x v="5"/>
    <s v="25-Mar-2026"/>
    <s v="Wednesday"/>
    <s v="Monthly - Wednesday"/>
    <s v="Monthly - Wednesday"/>
    <s v="Month+1 Expiry"/>
    <n v="1003"/>
    <n v="169.93"/>
    <n v="0.97"/>
  </r>
  <r>
    <s v="12-Feb-2026"/>
    <x v="3"/>
    <s v="Week2-Feb-2026"/>
    <x v="5"/>
    <s v="25-Jun-2026"/>
    <s v="Thursday"/>
    <s v="Monthly - Thursday"/>
    <s v="Monthly - Thursday"/>
    <s v="Month+4 Expiry"/>
    <n v="0"/>
    <n v="0"/>
    <n v="0"/>
  </r>
  <r>
    <s v="13-Feb-2026"/>
    <x v="4"/>
    <s v="Week2-Feb-2026"/>
    <x v="5"/>
    <s v="19-Feb-2026"/>
    <s v="Thursday"/>
    <s v="Weekly - Thursday"/>
    <s v="Weekly - Thursday"/>
    <s v="Same Month Expiry"/>
    <n v="19115544"/>
    <n v="3181885.99"/>
    <n v="10274.89"/>
  </r>
  <r>
    <s v="13-Feb-2026"/>
    <x v="4"/>
    <s v="Week2-Feb-2026"/>
    <x v="5"/>
    <s v="26-Feb-2026"/>
    <s v="Thursday"/>
    <s v="Monthly - Thursday"/>
    <s v="Monthly - Thursday"/>
    <s v="Same Month Expiry"/>
    <n v="174820"/>
    <n v="29224.05"/>
    <n v="141.82"/>
  </r>
  <r>
    <s v="13-Feb-2026"/>
    <x v="4"/>
    <s v="Week2-Feb-2026"/>
    <x v="5"/>
    <s v="05-Mar-2026"/>
    <s v="Thursday"/>
    <s v="Weekly - Thursday"/>
    <s v="Weekly - Thursday"/>
    <s v="Month+1 Expiry"/>
    <n v="934"/>
    <n v="156.99"/>
    <n v="1"/>
  </r>
  <r>
    <s v="13-Feb-2026"/>
    <x v="4"/>
    <s v="Week2-Feb-2026"/>
    <x v="5"/>
    <s v="12-Mar-2026"/>
    <s v="Thursday"/>
    <s v="Weekly - Thursday"/>
    <s v="Weekly - Thursday"/>
    <s v="Month+1 Expiry"/>
    <n v="4"/>
    <n v="0.73"/>
    <n v="0"/>
  </r>
  <r>
    <s v="13-Feb-2026"/>
    <x v="4"/>
    <s v="Week2-Feb-2026"/>
    <x v="5"/>
    <s v="19-Mar-2026"/>
    <s v="Thursday"/>
    <s v="Weekly - Thursday"/>
    <s v="Weekly - Thursday"/>
    <s v="Month+1 Expiry"/>
    <n v="0"/>
    <n v="0"/>
    <n v="0"/>
  </r>
  <r>
    <s v="13-Feb-2026"/>
    <x v="4"/>
    <s v="Week2-Feb-2026"/>
    <x v="5"/>
    <s v="25-Mar-2026"/>
    <s v="Wednesday"/>
    <s v="Monthly - Wednesday"/>
    <s v="Monthly - Wednesday"/>
    <s v="Month+1 Expiry"/>
    <n v="2362"/>
    <n v="400.45"/>
    <n v="2.94"/>
  </r>
  <r>
    <s v="13-Feb-2026"/>
    <x v="4"/>
    <s v="Week2-Feb-2026"/>
    <x v="5"/>
    <s v="25-Jun-2026"/>
    <s v="Thursday"/>
    <s v="Monthly - Thursday"/>
    <s v="Monthly - Thursday"/>
    <s v="Month+4 Expiry"/>
    <n v="0"/>
    <n v="0"/>
    <n v="0"/>
  </r>
  <r>
    <s v="16-Feb-2026"/>
    <x v="0"/>
    <s v="Week3-Feb-2026"/>
    <x v="5"/>
    <s v="19-Feb-2026"/>
    <s v="Thursday"/>
    <s v="Weekly - Thursday"/>
    <s v="Weekly - Thursday"/>
    <s v="Same Month Expiry"/>
    <n v="22447715"/>
    <n v="3733706.81"/>
    <n v="11231.8"/>
  </r>
  <r>
    <s v="16-Feb-2026"/>
    <x v="0"/>
    <s v="Week3-Feb-2026"/>
    <x v="5"/>
    <s v="26-Feb-2026"/>
    <s v="Thursday"/>
    <s v="Monthly - Thursday"/>
    <s v="Monthly - Thursday"/>
    <s v="Same Month Expiry"/>
    <n v="193700"/>
    <n v="32278.66"/>
    <n v="147.66999999999999"/>
  </r>
  <r>
    <s v="16-Feb-2026"/>
    <x v="0"/>
    <s v="Week3-Feb-2026"/>
    <x v="5"/>
    <s v="05-Mar-2026"/>
    <s v="Thursday"/>
    <s v="Weekly - Thursday"/>
    <s v="Weekly - Thursday"/>
    <s v="Month+1 Expiry"/>
    <n v="3561"/>
    <n v="598.66999999999996"/>
    <n v="3.47"/>
  </r>
  <r>
    <s v="16-Feb-2026"/>
    <x v="0"/>
    <s v="Week3-Feb-2026"/>
    <x v="5"/>
    <s v="12-Mar-2026"/>
    <s v="Thursday"/>
    <s v="Weekly - Thursday"/>
    <s v="Weekly - Thursday"/>
    <s v="Month+1 Expiry"/>
    <n v="3"/>
    <n v="0.51"/>
    <n v="0.01"/>
  </r>
  <r>
    <s v="16-Feb-2026"/>
    <x v="0"/>
    <s v="Week3-Feb-2026"/>
    <x v="5"/>
    <s v="19-Mar-2026"/>
    <s v="Thursday"/>
    <s v="Weekly - Thursday"/>
    <s v="Weekly - Thursday"/>
    <s v="Month+1 Expiry"/>
    <n v="0"/>
    <n v="0"/>
    <n v="0"/>
  </r>
  <r>
    <s v="16-Feb-2026"/>
    <x v="0"/>
    <s v="Week3-Feb-2026"/>
    <x v="5"/>
    <s v="25-Mar-2026"/>
    <s v="Wednesday"/>
    <s v="Monthly - Wednesday"/>
    <s v="Monthly - Wednesday"/>
    <s v="Month+1 Expiry"/>
    <n v="2763"/>
    <n v="468.46"/>
    <n v="2.97"/>
  </r>
  <r>
    <s v="16-Feb-2026"/>
    <x v="0"/>
    <s v="Week3-Feb-2026"/>
    <x v="5"/>
    <s v="30-Apr-2026"/>
    <s v="Thursday"/>
    <s v="Monthly - Thursday"/>
    <s v="Monthly - Thursday"/>
    <s v="Month+2 Expiry"/>
    <n v="0"/>
    <n v="0"/>
    <n v="0"/>
  </r>
  <r>
    <s v="16-Feb-2026"/>
    <x v="0"/>
    <s v="Week3-Feb-2026"/>
    <x v="5"/>
    <s v="25-Jun-2026"/>
    <s v="Thursday"/>
    <s v="Monthly - Thursday"/>
    <s v="Monthly - Thursday"/>
    <s v="Month+4 Expiry"/>
    <n v="0"/>
    <n v="0"/>
    <n v="0"/>
  </r>
  <r>
    <s v="17-Feb-2026"/>
    <x v="1"/>
    <s v="Week3-Feb-2026"/>
    <x v="5"/>
    <s v="19-Feb-2026"/>
    <s v="Thursday"/>
    <s v="Weekly - Thursday"/>
    <s v="Weekly - Thursday"/>
    <s v="Same Month Expiry"/>
    <n v="28298629"/>
    <n v="4722921.16"/>
    <n v="10987.82"/>
  </r>
  <r>
    <s v="17-Feb-2026"/>
    <x v="1"/>
    <s v="Week3-Feb-2026"/>
    <x v="5"/>
    <s v="26-Feb-2026"/>
    <s v="Thursday"/>
    <s v="Monthly - Thursday"/>
    <s v="Monthly - Thursday"/>
    <s v="Same Month Expiry"/>
    <n v="319249"/>
    <n v="53398.83"/>
    <n v="219.57"/>
  </r>
  <r>
    <s v="17-Feb-2026"/>
    <x v="1"/>
    <s v="Week3-Feb-2026"/>
    <x v="5"/>
    <s v="05-Mar-2026"/>
    <s v="Thursday"/>
    <s v="Weekly - Thursday"/>
    <s v="Weekly - Thursday"/>
    <s v="Month+1 Expiry"/>
    <n v="4301"/>
    <n v="717.03"/>
    <n v="3.99"/>
  </r>
  <r>
    <s v="17-Feb-2026"/>
    <x v="1"/>
    <s v="Week3-Feb-2026"/>
    <x v="5"/>
    <s v="12-Mar-2026"/>
    <s v="Thursday"/>
    <s v="Weekly - Thursday"/>
    <s v="Weekly - Thursday"/>
    <s v="Month+1 Expiry"/>
    <n v="2"/>
    <n v="0.35"/>
    <n v="0"/>
  </r>
  <r>
    <s v="17-Feb-2026"/>
    <x v="1"/>
    <s v="Week3-Feb-2026"/>
    <x v="5"/>
    <s v="19-Mar-2026"/>
    <s v="Thursday"/>
    <s v="Weekly - Thursday"/>
    <s v="Weekly - Thursday"/>
    <s v="Month+1 Expiry"/>
    <n v="5"/>
    <n v="0.84"/>
    <n v="0.02"/>
  </r>
  <r>
    <s v="17-Feb-2026"/>
    <x v="1"/>
    <s v="Week3-Feb-2026"/>
    <x v="5"/>
    <s v="25-Mar-2026"/>
    <s v="Wednesday"/>
    <s v="Monthly - Wednesday"/>
    <s v="Monthly - Wednesday"/>
    <s v="Month+1 Expiry"/>
    <n v="1340"/>
    <n v="224.82"/>
    <n v="1.78"/>
  </r>
  <r>
    <s v="17-Feb-2026"/>
    <x v="1"/>
    <s v="Week3-Feb-2026"/>
    <x v="5"/>
    <s v="30-Apr-2026"/>
    <s v="Thursday"/>
    <s v="Monthly - Thursday"/>
    <s v="Monthly - Thursday"/>
    <s v="Month+2 Expiry"/>
    <n v="0"/>
    <n v="0"/>
    <n v="0"/>
  </r>
  <r>
    <s v="17-Feb-2026"/>
    <x v="1"/>
    <s v="Week3-Feb-2026"/>
    <x v="5"/>
    <s v="25-Jun-2026"/>
    <s v="Thursday"/>
    <s v="Monthly - Thursday"/>
    <s v="Monthly - Thursday"/>
    <s v="Month+4 Expiry"/>
    <n v="0"/>
    <n v="0"/>
    <n v="0"/>
  </r>
  <r>
    <s v="18-Feb-2026"/>
    <x v="2"/>
    <s v="Week3-Feb-2026"/>
    <x v="5"/>
    <s v="19-Feb-2026"/>
    <s v="Thursday"/>
    <s v="Weekly - Thursday"/>
    <s v="Weekly - Thursday"/>
    <s v="Same Month Expiry"/>
    <n v="120516501"/>
    <n v="20126895.82"/>
    <n v="30955.33"/>
  </r>
  <r>
    <s v="18-Feb-2026"/>
    <x v="2"/>
    <s v="Week3-Feb-2026"/>
    <x v="5"/>
    <s v="26-Feb-2026"/>
    <s v="Thursday"/>
    <s v="Monthly - Thursday"/>
    <s v="Monthly - Thursday"/>
    <s v="Same Month Expiry"/>
    <n v="746320"/>
    <n v="124932.81"/>
    <n v="417.09"/>
  </r>
  <r>
    <s v="18-Feb-2026"/>
    <x v="2"/>
    <s v="Week3-Feb-2026"/>
    <x v="5"/>
    <s v="05-Mar-2026"/>
    <s v="Thursday"/>
    <s v="Weekly - Thursday"/>
    <s v="Weekly - Thursday"/>
    <s v="Month+1 Expiry"/>
    <n v="8790"/>
    <n v="1463.23"/>
    <n v="7.2"/>
  </r>
  <r>
    <s v="18-Feb-2026"/>
    <x v="2"/>
    <s v="Week3-Feb-2026"/>
    <x v="5"/>
    <s v="12-Mar-2026"/>
    <s v="Thursday"/>
    <s v="Weekly - Thursday"/>
    <s v="Weekly - Thursday"/>
    <s v="Month+1 Expiry"/>
    <n v="74"/>
    <n v="12.71"/>
    <n v="0.09"/>
  </r>
  <r>
    <s v="18-Feb-2026"/>
    <x v="2"/>
    <s v="Week3-Feb-2026"/>
    <x v="5"/>
    <s v="19-Mar-2026"/>
    <s v="Thursday"/>
    <s v="Weekly - Thursday"/>
    <s v="Weekly - Thursday"/>
    <s v="Month+1 Expiry"/>
    <n v="9"/>
    <n v="1.52"/>
    <n v="0.02"/>
  </r>
  <r>
    <s v="18-Feb-2026"/>
    <x v="2"/>
    <s v="Week3-Feb-2026"/>
    <x v="5"/>
    <s v="25-Mar-2026"/>
    <s v="Wednesday"/>
    <s v="Monthly - Wednesday"/>
    <s v="Monthly - Wednesday"/>
    <s v="Month+1 Expiry"/>
    <n v="1582"/>
    <n v="266.7"/>
    <n v="2.08"/>
  </r>
  <r>
    <s v="18-Feb-2026"/>
    <x v="2"/>
    <s v="Week3-Feb-2026"/>
    <x v="5"/>
    <s v="30-Apr-2026"/>
    <s v="Thursday"/>
    <s v="Monthly - Thursday"/>
    <s v="Monthly - Thursday"/>
    <s v="Month+2 Expiry"/>
    <n v="0"/>
    <n v="0"/>
    <n v="0"/>
  </r>
  <r>
    <s v="18-Feb-2026"/>
    <x v="2"/>
    <s v="Week3-Feb-2026"/>
    <x v="5"/>
    <s v="25-Jun-2026"/>
    <s v="Thursday"/>
    <s v="Monthly - Thursday"/>
    <s v="Monthly - Thursday"/>
    <s v="Month+4 Expiry"/>
    <n v="0"/>
    <n v="0"/>
    <n v="0"/>
  </r>
  <r>
    <s v="19-Feb-2026"/>
    <x v="3"/>
    <s v="Week3-Feb-2026"/>
    <x v="5"/>
    <s v="19-Feb-2026"/>
    <s v="Thursday"/>
    <s v="Weekly - Thursday"/>
    <s v="Weekly - Thursday"/>
    <s v="Same Month Expiry"/>
    <n v="519457891"/>
    <n v="86378780.890000001"/>
    <n v="57518.67"/>
  </r>
  <r>
    <s v="19-Feb-2026"/>
    <x v="3"/>
    <s v="Week3-Feb-2026"/>
    <x v="5"/>
    <s v="26-Feb-2026"/>
    <s v="Thursday"/>
    <s v="Monthly - Thursday"/>
    <s v="Monthly - Thursday"/>
    <s v="Same Month Expiry"/>
    <n v="2787628"/>
    <n v="465905.57"/>
    <n v="1743.97"/>
  </r>
  <r>
    <s v="19-Feb-2026"/>
    <x v="3"/>
    <s v="Week3-Feb-2026"/>
    <x v="5"/>
    <s v="05-Mar-2026"/>
    <s v="Thursday"/>
    <s v="Weekly - Thursday"/>
    <s v="Weekly - Thursday"/>
    <s v="Month+1 Expiry"/>
    <n v="22402"/>
    <n v="3747.96"/>
    <n v="25.94"/>
  </r>
  <r>
    <s v="19-Feb-2026"/>
    <x v="3"/>
    <s v="Week3-Feb-2026"/>
    <x v="5"/>
    <s v="12-Mar-2026"/>
    <s v="Thursday"/>
    <s v="Weekly - Thursday"/>
    <s v="Weekly - Thursday"/>
    <s v="Month+1 Expiry"/>
    <n v="329"/>
    <n v="55.43"/>
    <n v="0.35"/>
  </r>
  <r>
    <s v="19-Feb-2026"/>
    <x v="3"/>
    <s v="Week3-Feb-2026"/>
    <x v="5"/>
    <s v="19-Mar-2026"/>
    <s v="Thursday"/>
    <s v="Weekly - Thursday"/>
    <s v="Weekly - Thursday"/>
    <s v="Month+1 Expiry"/>
    <n v="0"/>
    <n v="0"/>
    <n v="0"/>
  </r>
  <r>
    <s v="19-Feb-2026"/>
    <x v="3"/>
    <s v="Week3-Feb-2026"/>
    <x v="5"/>
    <s v="25-Mar-2026"/>
    <s v="Wednesday"/>
    <s v="Monthly - Wednesday"/>
    <s v="Monthly - Wednesday"/>
    <s v="Month+1 Expiry"/>
    <n v="5241"/>
    <n v="882.36"/>
    <n v="8.1199999999999992"/>
  </r>
  <r>
    <s v="19-Feb-2026"/>
    <x v="3"/>
    <s v="Week3-Feb-2026"/>
    <x v="5"/>
    <s v="30-Apr-2026"/>
    <s v="Thursday"/>
    <s v="Monthly - Thursday"/>
    <s v="Monthly - Thursday"/>
    <s v="Month+2 Expiry"/>
    <n v="0"/>
    <n v="0"/>
    <n v="0"/>
  </r>
  <r>
    <s v="19-Feb-2026"/>
    <x v="3"/>
    <s v="Week3-Feb-2026"/>
    <x v="5"/>
    <s v="25-Jun-2026"/>
    <s v="Thursday"/>
    <s v="Monthly - Thursday"/>
    <s v="Monthly - Thursday"/>
    <s v="Month+4 Expiry"/>
    <n v="0"/>
    <n v="0"/>
    <n v="0"/>
  </r>
  <r>
    <s v="20-Feb-2026"/>
    <x v="4"/>
    <s v="Week3-Feb-2026"/>
    <x v="5"/>
    <s v="26-Feb-2026"/>
    <s v="Thursday"/>
    <s v="Monthly - Thursday"/>
    <s v="MDAW - Thursday"/>
    <s v="Same Month Expiry"/>
    <n v="23486165"/>
    <n v="3905563.35"/>
    <n v="14573.23"/>
  </r>
  <r>
    <s v="20-Feb-2026"/>
    <x v="4"/>
    <s v="Week3-Feb-2026"/>
    <x v="5"/>
    <s v="05-Mar-2026"/>
    <s v="Thursday"/>
    <s v="Weekly - Thursday"/>
    <s v="Weekly - Thursday"/>
    <s v="Month+1 Expiry"/>
    <n v="125557"/>
    <n v="20972.68"/>
    <n v="133.19"/>
  </r>
  <r>
    <s v="20-Feb-2026"/>
    <x v="4"/>
    <s v="Week3-Feb-2026"/>
    <x v="5"/>
    <s v="12-Mar-2026"/>
    <s v="Thursday"/>
    <s v="Weekly - Thursday"/>
    <s v="Weekly - Thursday"/>
    <s v="Month+1 Expiry"/>
    <n v="794"/>
    <n v="132.62"/>
    <n v="1.25"/>
  </r>
  <r>
    <s v="20-Feb-2026"/>
    <x v="4"/>
    <s v="Week3-Feb-2026"/>
    <x v="5"/>
    <s v="19-Mar-2026"/>
    <s v="Thursday"/>
    <s v="Weekly - Thursday"/>
    <s v="Weekly - Thursday"/>
    <s v="Month+1 Expiry"/>
    <n v="4"/>
    <n v="0.67"/>
    <n v="0.01"/>
  </r>
  <r>
    <s v="20-Feb-2026"/>
    <x v="4"/>
    <s v="Week3-Feb-2026"/>
    <x v="5"/>
    <s v="25-Mar-2026"/>
    <s v="Wednesday"/>
    <s v="Monthly - Wednesday"/>
    <s v="Monthly - Wednesday"/>
    <s v="Month+1 Expiry"/>
    <n v="7349"/>
    <n v="1237.98"/>
    <n v="10.79"/>
  </r>
  <r>
    <s v="20-Feb-2026"/>
    <x v="4"/>
    <s v="Week3-Feb-2026"/>
    <x v="5"/>
    <s v="30-Apr-2026"/>
    <s v="Thursday"/>
    <s v="Monthly - Thursday"/>
    <s v="Monthly - Thursday"/>
    <s v="Month+2 Expiry"/>
    <n v="0"/>
    <n v="0"/>
    <n v="0"/>
  </r>
  <r>
    <s v="20-Feb-2026"/>
    <x v="4"/>
    <s v="Week3-Feb-2026"/>
    <x v="5"/>
    <s v="25-Jun-2026"/>
    <s v="Thursday"/>
    <s v="Monthly - Thursday"/>
    <s v="Monthly - Thursday"/>
    <s v="Month+4 Expiry"/>
    <n v="0"/>
    <n v="0"/>
    <n v="0"/>
  </r>
  <r>
    <s v="23-Feb-2026"/>
    <x v="0"/>
    <s v="Week4-Feb-2026"/>
    <x v="5"/>
    <s v="26-Feb-2026"/>
    <s v="Thursday"/>
    <s v="Monthly - Thursday"/>
    <s v="MDAW - Thursday"/>
    <s v="Same Month Expiry"/>
    <n v="21428245"/>
    <n v="3573352.67"/>
    <n v="11788.01"/>
  </r>
  <r>
    <s v="23-Feb-2026"/>
    <x v="0"/>
    <s v="Week4-Feb-2026"/>
    <x v="5"/>
    <s v="05-Mar-2026"/>
    <s v="Thursday"/>
    <s v="Weekly - Thursday"/>
    <s v="Weekly - Thursday"/>
    <s v="Month+1 Expiry"/>
    <n v="139554"/>
    <n v="23284.87"/>
    <n v="125.63"/>
  </r>
  <r>
    <s v="23-Feb-2026"/>
    <x v="0"/>
    <s v="Week4-Feb-2026"/>
    <x v="5"/>
    <s v="12-Mar-2026"/>
    <s v="Thursday"/>
    <s v="Weekly - Thursday"/>
    <s v="Weekly - Thursday"/>
    <s v="Month+1 Expiry"/>
    <n v="961"/>
    <n v="161.44999999999999"/>
    <n v="1.44"/>
  </r>
  <r>
    <s v="23-Feb-2026"/>
    <x v="0"/>
    <s v="Week4-Feb-2026"/>
    <x v="5"/>
    <s v="19-Mar-2026"/>
    <s v="Thursday"/>
    <s v="Weekly - Thursday"/>
    <s v="Weekly - Thursday"/>
    <s v="Month+1 Expiry"/>
    <n v="35"/>
    <n v="6.19"/>
    <n v="0.17"/>
  </r>
  <r>
    <s v="23-Feb-2026"/>
    <x v="0"/>
    <s v="Week4-Feb-2026"/>
    <x v="5"/>
    <s v="25-Mar-2026"/>
    <s v="Wednesday"/>
    <s v="Monthly - Wednesday"/>
    <s v="Monthly - Wednesday"/>
    <s v="Month+1 Expiry"/>
    <n v="6364"/>
    <n v="1076.19"/>
    <n v="9.83"/>
  </r>
  <r>
    <s v="23-Feb-2026"/>
    <x v="0"/>
    <s v="Week4-Feb-2026"/>
    <x v="5"/>
    <s v="30-Apr-2026"/>
    <s v="Thursday"/>
    <s v="Monthly - Thursday"/>
    <s v="Monthly - Thursday"/>
    <s v="Month+2 Expiry"/>
    <n v="0"/>
    <n v="0"/>
    <n v="0"/>
  </r>
  <r>
    <s v="23-Feb-2026"/>
    <x v="0"/>
    <s v="Week4-Feb-2026"/>
    <x v="5"/>
    <s v="25-Jun-2026"/>
    <s v="Thursday"/>
    <s v="Monthly - Thursday"/>
    <s v="Monthly - Thursday"/>
    <s v="Month+4 Expiry"/>
    <n v="0"/>
    <n v="0"/>
    <n v="0"/>
  </r>
  <r>
    <s v="24-Feb-2026"/>
    <x v="1"/>
    <s v="Week4-Feb-2026"/>
    <x v="5"/>
    <s v="26-Feb-2026"/>
    <s v="Thursday"/>
    <s v="Monthly - Thursday"/>
    <s v="MDAW - Thursday"/>
    <s v="Same Month Expiry"/>
    <n v="28316692"/>
    <n v="4688576.54"/>
    <n v="12261.22"/>
  </r>
  <r>
    <s v="24-Feb-2026"/>
    <x v="1"/>
    <s v="Week4-Feb-2026"/>
    <x v="5"/>
    <s v="05-Mar-2026"/>
    <s v="Thursday"/>
    <s v="Weekly - Thursday"/>
    <s v="Weekly - Thursday"/>
    <s v="Month+1 Expiry"/>
    <n v="331410"/>
    <n v="55167.99"/>
    <n v="303"/>
  </r>
  <r>
    <s v="24-Feb-2026"/>
    <x v="1"/>
    <s v="Week4-Feb-2026"/>
    <x v="5"/>
    <s v="12-Mar-2026"/>
    <s v="Thursday"/>
    <s v="Weekly - Thursday"/>
    <s v="Weekly - Thursday"/>
    <s v="Month+1 Expiry"/>
    <n v="7169"/>
    <n v="1196.8499999999999"/>
    <n v="11.93"/>
  </r>
  <r>
    <s v="24-Feb-2026"/>
    <x v="1"/>
    <s v="Week4-Feb-2026"/>
    <x v="5"/>
    <s v="19-Mar-2026"/>
    <s v="Thursday"/>
    <s v="Weekly - Thursday"/>
    <s v="Weekly - Thursday"/>
    <s v="Month+1 Expiry"/>
    <n v="5"/>
    <n v="0.84"/>
    <n v="0.01"/>
  </r>
  <r>
    <s v="24-Feb-2026"/>
    <x v="1"/>
    <s v="Week4-Feb-2026"/>
    <x v="5"/>
    <s v="25-Mar-2026"/>
    <s v="Wednesday"/>
    <s v="Monthly - Wednesday"/>
    <s v="Monthly - Wednesday"/>
    <s v="Month+1 Expiry"/>
    <n v="12689"/>
    <n v="2133.52"/>
    <n v="22.15"/>
  </r>
  <r>
    <s v="24-Feb-2026"/>
    <x v="1"/>
    <s v="Week4-Feb-2026"/>
    <x v="5"/>
    <s v="30-Apr-2026"/>
    <s v="Thursday"/>
    <s v="Monthly - Thursday"/>
    <s v="Monthly - Thursday"/>
    <s v="Month+2 Expiry"/>
    <n v="0"/>
    <n v="0"/>
    <n v="0"/>
  </r>
  <r>
    <s v="24-Feb-2026"/>
    <x v="1"/>
    <s v="Week4-Feb-2026"/>
    <x v="5"/>
    <s v="25-Jun-2026"/>
    <s v="Thursday"/>
    <s v="Monthly - Thursday"/>
    <s v="Monthly - Thursday"/>
    <s v="Month+4 Expiry"/>
    <n v="0"/>
    <n v="0"/>
    <n v="0"/>
  </r>
  <r>
    <s v="25-Feb-2026"/>
    <x v="2"/>
    <s v="Week4-Feb-2026"/>
    <x v="5"/>
    <s v="26-Feb-2026"/>
    <s v="Thursday"/>
    <s v="Monthly - Thursday"/>
    <s v="MDAW - Thursday"/>
    <s v="Same Month Expiry"/>
    <n v="140214616"/>
    <n v="23174473.09"/>
    <n v="40117.33"/>
  </r>
  <r>
    <s v="25-Feb-2026"/>
    <x v="2"/>
    <s v="Week4-Feb-2026"/>
    <x v="5"/>
    <s v="05-Mar-2026"/>
    <s v="Thursday"/>
    <s v="Weekly - Thursday"/>
    <s v="Weekly - Thursday"/>
    <s v="Month+1 Expiry"/>
    <n v="726377"/>
    <n v="120571.12"/>
    <n v="534.12"/>
  </r>
  <r>
    <s v="25-Feb-2026"/>
    <x v="2"/>
    <s v="Week4-Feb-2026"/>
    <x v="5"/>
    <s v="12-Mar-2026"/>
    <s v="Thursday"/>
    <s v="Weekly - Thursday"/>
    <s v="Weekly - Thursday"/>
    <s v="Month+1 Expiry"/>
    <n v="15005"/>
    <n v="2481.98"/>
    <n v="17.48"/>
  </r>
  <r>
    <s v="25-Feb-2026"/>
    <x v="2"/>
    <s v="Week4-Feb-2026"/>
    <x v="5"/>
    <s v="19-Mar-2026"/>
    <s v="Thursday"/>
    <s v="Weekly - Thursday"/>
    <s v="Weekly - Thursday"/>
    <s v="Month+1 Expiry"/>
    <n v="126"/>
    <n v="21.11"/>
    <n v="0.25"/>
  </r>
  <r>
    <s v="25-Feb-2026"/>
    <x v="2"/>
    <s v="Week4-Feb-2026"/>
    <x v="5"/>
    <s v="25-Mar-2026"/>
    <s v="Wednesday"/>
    <s v="Monthly - Wednesday"/>
    <s v="Monthly - Wednesday"/>
    <s v="Month+1 Expiry"/>
    <n v="15892"/>
    <n v="2663.33"/>
    <n v="25.56"/>
  </r>
  <r>
    <s v="25-Feb-2026"/>
    <x v="2"/>
    <s v="Week4-Feb-2026"/>
    <x v="5"/>
    <s v="30-Apr-2026"/>
    <s v="Thursday"/>
    <s v="Monthly - Thursday"/>
    <s v="Monthly - Thursday"/>
    <s v="Month+2 Expiry"/>
    <n v="0"/>
    <n v="0"/>
    <n v="0"/>
  </r>
  <r>
    <s v="25-Feb-2026"/>
    <x v="2"/>
    <s v="Week4-Feb-2026"/>
    <x v="5"/>
    <s v="25-Jun-2026"/>
    <s v="Thursday"/>
    <s v="Monthly - Thursday"/>
    <s v="Monthly - Thursday"/>
    <s v="Month+4 Expiry"/>
    <n v="0"/>
    <n v="0"/>
    <n v="0"/>
  </r>
  <r>
    <s v="26-Feb-2026"/>
    <x v="3"/>
    <s v="Week4-Feb-2026"/>
    <x v="5"/>
    <s v="26-Feb-2026"/>
    <s v="Thursday"/>
    <s v="Monthly - Thursday"/>
    <s v="MDAW - Thursday"/>
    <s v="Same Month Expiry"/>
    <n v="531656607"/>
    <n v="87522464.959999993"/>
    <n v="63300.7"/>
  </r>
  <r>
    <s v="26-Feb-2026"/>
    <x v="3"/>
    <s v="Week4-Feb-2026"/>
    <x v="5"/>
    <s v="05-Mar-2026"/>
    <s v="Thursday"/>
    <s v="Weekly - Thursday"/>
    <s v="Weekly - Thursday"/>
    <s v="Month+1 Expiry"/>
    <n v="2270333"/>
    <n v="375484.01"/>
    <n v="1395.63"/>
  </r>
  <r>
    <s v="26-Feb-2026"/>
    <x v="3"/>
    <s v="Week4-Feb-2026"/>
    <x v="5"/>
    <s v="12-Mar-2026"/>
    <s v="Thursday"/>
    <s v="Weekly - Thursday"/>
    <s v="Weekly - Thursday"/>
    <s v="Month+1 Expiry"/>
    <n v="27115"/>
    <n v="4502.91"/>
    <n v="29.06"/>
  </r>
  <r>
    <s v="26-Feb-2026"/>
    <x v="3"/>
    <s v="Week4-Feb-2026"/>
    <x v="5"/>
    <s v="19-Mar-2026"/>
    <s v="Thursday"/>
    <s v="Weekly - Thursday"/>
    <s v="Weekly - Thursday"/>
    <s v="Month+1 Expiry"/>
    <n v="80"/>
    <n v="13.5"/>
    <n v="0.13"/>
  </r>
  <r>
    <s v="26-Feb-2026"/>
    <x v="3"/>
    <s v="Week4-Feb-2026"/>
    <x v="5"/>
    <s v="25-Mar-2026"/>
    <s v="Wednesday"/>
    <s v="Monthly - Wednesday"/>
    <s v="Monthly - Wednesday"/>
    <s v="Month+1 Expiry"/>
    <n v="21177"/>
    <n v="3549.62"/>
    <n v="34.81"/>
  </r>
  <r>
    <s v="26-Feb-2026"/>
    <x v="3"/>
    <s v="Week4-Feb-2026"/>
    <x v="5"/>
    <s v="30-Apr-2026"/>
    <s v="Thursday"/>
    <s v="Monthly - Thursday"/>
    <s v="Monthly - Thursday"/>
    <s v="Month+2 Expiry"/>
    <n v="0"/>
    <n v="0"/>
    <n v="0"/>
  </r>
  <r>
    <s v="26-Feb-2026"/>
    <x v="3"/>
    <s v="Week4-Feb-2026"/>
    <x v="5"/>
    <s v="25-Jun-2026"/>
    <s v="Thursday"/>
    <s v="Monthly - Thursday"/>
    <s v="Monthly - Thursday"/>
    <s v="Month+4 Expiry"/>
    <n v="0"/>
    <n v="0"/>
    <n v="0"/>
  </r>
  <r>
    <s v="27-Feb-2026"/>
    <x v="4"/>
    <s v="Week4-Feb-2026"/>
    <x v="5"/>
    <s v="05-Mar-2026"/>
    <s v="Thursday"/>
    <s v="Weekly - Thursday"/>
    <s v="Weekly - Thursday"/>
    <s v="Month+1 Expiry"/>
    <n v="20443841"/>
    <n v="3351408.24"/>
    <n v="12116.5"/>
  </r>
  <r>
    <s v="27-Feb-2026"/>
    <x v="4"/>
    <s v="Week4-Feb-2026"/>
    <x v="5"/>
    <s v="12-Mar-2026"/>
    <s v="Thursday"/>
    <s v="Weekly - Thursday"/>
    <s v="Weekly - Thursday"/>
    <s v="Month+1 Expiry"/>
    <n v="88447"/>
    <n v="14574.97"/>
    <n v="88.5"/>
  </r>
  <r>
    <s v="27-Feb-2026"/>
    <x v="4"/>
    <s v="Week4-Feb-2026"/>
    <x v="5"/>
    <s v="19-Mar-2026"/>
    <s v="Thursday"/>
    <s v="Weekly - Thursday"/>
    <s v="Weekly - Thursday"/>
    <s v="Month+1 Expiry"/>
    <n v="327"/>
    <n v="53.59"/>
    <n v="0.51"/>
  </r>
  <r>
    <s v="27-Feb-2026"/>
    <x v="4"/>
    <s v="Week4-Feb-2026"/>
    <x v="5"/>
    <s v="25-Mar-2026"/>
    <s v="Wednesday"/>
    <s v="Monthly - Wednesday"/>
    <s v="Monthly - Wednesday"/>
    <s v="Month+1 Expiry"/>
    <n v="42451"/>
    <n v="7092.57"/>
    <n v="70.540000000000006"/>
  </r>
  <r>
    <s v="27-Feb-2026"/>
    <x v="4"/>
    <s v="Week4-Feb-2026"/>
    <x v="5"/>
    <s v="30-Apr-2026"/>
    <s v="Thursday"/>
    <s v="Monthly - Thursday"/>
    <s v="Monthly - Thursday"/>
    <s v="Month+2 Expiry"/>
    <n v="0"/>
    <n v="0"/>
    <n v="0"/>
  </r>
  <r>
    <s v="27-Feb-2026"/>
    <x v="4"/>
    <s v="Week4-Feb-2026"/>
    <x v="5"/>
    <s v="25-Jun-2026"/>
    <s v="Thursday"/>
    <s v="Monthly - Thursday"/>
    <s v="Monthly - Thursday"/>
    <s v="Month+4 Expiry"/>
    <n v="0"/>
    <n v="0"/>
    <n v="0"/>
  </r>
  <r>
    <s v="02-Mar-2026"/>
    <x v="0"/>
    <s v="Week1-Mar-2026"/>
    <x v="6"/>
    <s v="05-Mar-2026"/>
    <s v="Thursday"/>
    <s v="Weekly - Thursday"/>
    <s v="Weekly - Thursday"/>
    <s v="Same Month Expiry"/>
    <n v="30932779"/>
    <n v="4975848.74"/>
    <n v="17581.68"/>
  </r>
  <r>
    <s v="02-Mar-2026"/>
    <x v="0"/>
    <s v="Week1-Mar-2026"/>
    <x v="6"/>
    <s v="12-Mar-2026"/>
    <s v="Thursday"/>
    <s v="Weekly - Thursday"/>
    <s v="Weekly - Thursday"/>
    <s v="Same Month Expiry"/>
    <n v="247534"/>
    <n v="40256.25"/>
    <n v="282.54000000000002"/>
  </r>
  <r>
    <s v="02-Mar-2026"/>
    <x v="0"/>
    <s v="Week1-Mar-2026"/>
    <x v="6"/>
    <s v="19-Mar-2026"/>
    <s v="Thursday"/>
    <s v="Weekly - Thursday"/>
    <s v="Weekly - Thursday"/>
    <s v="Same Month Expiry"/>
    <n v="859"/>
    <n v="141.19999999999999"/>
    <n v="1.31"/>
  </r>
  <r>
    <s v="02-Mar-2026"/>
    <x v="0"/>
    <s v="Week1-Mar-2026"/>
    <x v="6"/>
    <s v="25-Mar-2026"/>
    <s v="Wednesday"/>
    <s v="Monthly - Wednesday"/>
    <s v="Monthly - Wednesday"/>
    <s v="Same Month Expiry"/>
    <n v="50067"/>
    <n v="8272.58"/>
    <n v="74.86"/>
  </r>
  <r>
    <s v="02-Mar-2026"/>
    <x v="0"/>
    <s v="Week1-Mar-2026"/>
    <x v="6"/>
    <s v="30-Apr-2026"/>
    <s v="Thursday"/>
    <s v="Monthly - Thursday"/>
    <s v="Monthly - Thursday"/>
    <s v="Month+1 Expiry"/>
    <n v="4"/>
    <n v="0.66"/>
    <n v="0.03"/>
  </r>
  <r>
    <s v="02-Mar-2026"/>
    <x v="0"/>
    <s v="Week1-Mar-2026"/>
    <x v="6"/>
    <s v="25-Jun-2026"/>
    <s v="Thursday"/>
    <s v="Monthly - Thursday"/>
    <s v="Monthly - Thursday"/>
    <s v="Month+3 Expiry"/>
    <n v="0"/>
    <n v="0"/>
    <n v="0"/>
  </r>
  <r>
    <s v="04-Mar-2026"/>
    <x v="2"/>
    <s v="Week1-Mar-2026"/>
    <x v="6"/>
    <s v="05-Mar-2026"/>
    <s v="Thursday"/>
    <s v="Weekly - Thursday"/>
    <s v="Weekly - Thursday"/>
    <s v="Same Month Expiry"/>
    <n v="110981536"/>
    <n v="17575014.280000001"/>
    <n v="52118.1"/>
  </r>
  <r>
    <s v="04-Mar-2026"/>
    <x v="2"/>
    <s v="Week1-Mar-2026"/>
    <x v="6"/>
    <s v="12-Mar-2026"/>
    <s v="Thursday"/>
    <s v="Weekly - Thursday"/>
    <s v="Weekly - Thursday"/>
    <s v="Same Month Expiry"/>
    <n v="440591"/>
    <n v="71068.149999999994"/>
    <n v="621.05999999999995"/>
  </r>
  <r>
    <s v="04-Mar-2026"/>
    <x v="2"/>
    <s v="Week1-Mar-2026"/>
    <x v="6"/>
    <s v="19-Mar-2026"/>
    <s v="Thursday"/>
    <s v="Weekly - Thursday"/>
    <s v="Weekly - Thursday"/>
    <s v="Same Month Expiry"/>
    <n v="967"/>
    <n v="160.77000000000001"/>
    <n v="0.8"/>
  </r>
  <r>
    <s v="04-Mar-2026"/>
    <x v="2"/>
    <s v="Week1-Mar-2026"/>
    <x v="6"/>
    <s v="25-Mar-2026"/>
    <s v="Wednesday"/>
    <s v="Monthly - Wednesday"/>
    <s v="Monthly - Wednesday"/>
    <s v="Same Month Expiry"/>
    <n v="56747"/>
    <n v="9590.35"/>
    <n v="77.19"/>
  </r>
  <r>
    <s v="04-Mar-2026"/>
    <x v="2"/>
    <s v="Week1-Mar-2026"/>
    <x v="6"/>
    <s v="02-Apr-2026"/>
    <s v="Thursday"/>
    <s v="Weekly - Thursday"/>
    <s v="Weekly - Thursday"/>
    <s v="Month+1 Expiry"/>
    <n v="1"/>
    <n v="0.14000000000000001"/>
    <n v="0"/>
  </r>
  <r>
    <s v="04-Mar-2026"/>
    <x v="2"/>
    <s v="Week1-Mar-2026"/>
    <x v="6"/>
    <s v="30-Apr-2026"/>
    <s v="Thursday"/>
    <s v="Monthly - Thursday"/>
    <s v="Monthly - Thursday"/>
    <s v="Month+1 Expiry"/>
    <n v="58"/>
    <n v="9.3800000000000008"/>
    <n v="0.22"/>
  </r>
  <r>
    <s v="04-Mar-2026"/>
    <x v="2"/>
    <s v="Week1-Mar-2026"/>
    <x v="6"/>
    <s v="25-Jun-2026"/>
    <s v="Thursday"/>
    <s v="Monthly - Thursday"/>
    <s v="Monthly - Thursday"/>
    <s v="Month+3 Expiry"/>
    <n v="0"/>
    <n v="0"/>
    <n v="0"/>
  </r>
  <r>
    <s v="05-Mar-2026"/>
    <x v="3"/>
    <s v="Week1-Mar-2026"/>
    <x v="6"/>
    <s v="05-Mar-2026"/>
    <s v="Thursday"/>
    <s v="Weekly - Thursday"/>
    <s v="Weekly - Thursday"/>
    <s v="Same Month Expiry"/>
    <n v="623890211"/>
    <n v="99324316.879999995"/>
    <n v="80690.05"/>
  </r>
  <r>
    <s v="05-Mar-2026"/>
    <x v="3"/>
    <s v="Week1-Mar-2026"/>
    <x v="6"/>
    <s v="12-Mar-2026"/>
    <s v="Thursday"/>
    <s v="Weekly - Thursday"/>
    <s v="Weekly - Thursday"/>
    <s v="Same Month Expiry"/>
    <n v="1946780"/>
    <n v="313820.34000000003"/>
    <n v="2037.18"/>
  </r>
  <r>
    <s v="05-Mar-2026"/>
    <x v="3"/>
    <s v="Week1-Mar-2026"/>
    <x v="6"/>
    <s v="19-Mar-2026"/>
    <s v="Thursday"/>
    <s v="Weekly - Thursday"/>
    <s v="Weekly - Thursday"/>
    <s v="Same Month Expiry"/>
    <n v="3851"/>
    <n v="623.88"/>
    <n v="6.34"/>
  </r>
  <r>
    <s v="05-Mar-2026"/>
    <x v="3"/>
    <s v="Week1-Mar-2026"/>
    <x v="6"/>
    <s v="25-Mar-2026"/>
    <s v="Wednesday"/>
    <s v="Monthly - Wednesday"/>
    <s v="Monthly - Wednesday"/>
    <s v="Same Month Expiry"/>
    <n v="54115"/>
    <n v="9165.2900000000009"/>
    <n v="70.239999999999995"/>
  </r>
  <r>
    <s v="05-Mar-2026"/>
    <x v="3"/>
    <s v="Week1-Mar-2026"/>
    <x v="6"/>
    <s v="02-Apr-2026"/>
    <s v="Thursday"/>
    <s v="Weekly - Thursday"/>
    <s v="Weekly - Thursday"/>
    <s v="Month+1 Expiry"/>
    <n v="0"/>
    <n v="0"/>
    <n v="0"/>
  </r>
  <r>
    <s v="05-Mar-2026"/>
    <x v="3"/>
    <s v="Week1-Mar-2026"/>
    <x v="6"/>
    <s v="30-Apr-2026"/>
    <s v="Thursday"/>
    <s v="Monthly - Thursday"/>
    <s v="Monthly - Thursday"/>
    <s v="Month+1 Expiry"/>
    <n v="154"/>
    <n v="25.95"/>
    <n v="0.24"/>
  </r>
  <r>
    <s v="05-Mar-2026"/>
    <x v="3"/>
    <s v="Week1-Mar-2026"/>
    <x v="6"/>
    <s v="25-Jun-2026"/>
    <s v="Thursday"/>
    <s v="Monthly - Thursday"/>
    <s v="Monthly - Thursday"/>
    <s v="Month+3 Expiry"/>
    <n v="0"/>
    <n v="0"/>
    <n v="0"/>
  </r>
  <r>
    <s v="06-Mar-2026"/>
    <x v="4"/>
    <s v="Week1-Mar-2026"/>
    <x v="6"/>
    <s v="12-Mar-2026"/>
    <s v="Thursday"/>
    <s v="Weekly - Thursday"/>
    <s v="Weekly - Thursday"/>
    <s v="Same Month Expiry"/>
    <n v="14610254"/>
    <n v="2338071.58"/>
    <n v="13382.06"/>
  </r>
  <r>
    <s v="06-Mar-2026"/>
    <x v="4"/>
    <s v="Week1-Mar-2026"/>
    <x v="6"/>
    <s v="19-Mar-2026"/>
    <s v="Thursday"/>
    <s v="Weekly - Thursday"/>
    <s v="Weekly - Thursday"/>
    <s v="Same Month Expiry"/>
    <n v="44641"/>
    <n v="7217.7"/>
    <n v="78.84"/>
  </r>
  <r>
    <s v="06-Mar-2026"/>
    <x v="4"/>
    <s v="Week1-Mar-2026"/>
    <x v="6"/>
    <s v="25-Mar-2026"/>
    <s v="Wednesday"/>
    <s v="Monthly - Wednesday"/>
    <s v="Monthly - Wednesday"/>
    <s v="Same Month Expiry"/>
    <n v="42835"/>
    <n v="7237.44"/>
    <n v="47.43"/>
  </r>
  <r>
    <s v="06-Mar-2026"/>
    <x v="4"/>
    <s v="Week1-Mar-2026"/>
    <x v="6"/>
    <s v="02-Apr-2026"/>
    <s v="Thursday"/>
    <s v="Weekly - Thursday"/>
    <s v="Weekly - Thursday"/>
    <s v="Month+1 Expiry"/>
    <n v="0"/>
    <n v="0"/>
    <n v="0"/>
  </r>
  <r>
    <s v="06-Mar-2026"/>
    <x v="4"/>
    <s v="Week1-Mar-2026"/>
    <x v="6"/>
    <s v="30-Apr-2026"/>
    <s v="Thursday"/>
    <s v="Monthly - Thursday"/>
    <s v="Monthly - Thursday"/>
    <s v="Month+1 Expiry"/>
    <n v="80"/>
    <n v="13.27"/>
    <n v="0.23"/>
  </r>
  <r>
    <s v="06-Mar-2026"/>
    <x v="4"/>
    <s v="Week1-Mar-2026"/>
    <x v="6"/>
    <s v="25-Jun-2026"/>
    <s v="Thursday"/>
    <s v="Monthly - Thursday"/>
    <s v="Monthly - Thursday"/>
    <s v="Month+3 Expiry"/>
    <n v="0"/>
    <n v="0"/>
    <n v="0"/>
  </r>
  <r>
    <s v="09-Mar-2026"/>
    <x v="0"/>
    <s v="Week2-Mar-2026"/>
    <x v="6"/>
    <s v="12-Mar-2026"/>
    <s v="Thursday"/>
    <s v="Weekly - Thursday"/>
    <s v="Weekly - Thursday"/>
    <s v="Same Month Expiry"/>
    <n v="15580795"/>
    <n v="2443159.1"/>
    <n v="16199.3"/>
  </r>
  <r>
    <s v="09-Mar-2026"/>
    <x v="0"/>
    <s v="Week2-Mar-2026"/>
    <x v="6"/>
    <s v="19-Mar-2026"/>
    <s v="Thursday"/>
    <s v="Weekly - Thursday"/>
    <s v="Weekly - Thursday"/>
    <s v="Same Month Expiry"/>
    <n v="53316"/>
    <n v="8517.17"/>
    <n v="122.17"/>
  </r>
  <r>
    <s v="09-Mar-2026"/>
    <x v="0"/>
    <s v="Week2-Mar-2026"/>
    <x v="6"/>
    <s v="25-Mar-2026"/>
    <s v="Wednesday"/>
    <s v="Monthly - Wednesday"/>
    <s v="Monthly - Wednesday"/>
    <s v="Same Month Expiry"/>
    <n v="56192"/>
    <n v="9273.76"/>
    <n v="89.29"/>
  </r>
  <r>
    <s v="09-Mar-2026"/>
    <x v="0"/>
    <s v="Week2-Mar-2026"/>
    <x v="6"/>
    <s v="02-Apr-2026"/>
    <s v="Thursday"/>
    <s v="Weekly - Thursday"/>
    <s v="Weekly - Thursday"/>
    <s v="Month+1 Expiry"/>
    <n v="18"/>
    <n v="2.84"/>
    <n v="0.08"/>
  </r>
  <r>
    <s v="09-Mar-2026"/>
    <x v="0"/>
    <s v="Week2-Mar-2026"/>
    <x v="6"/>
    <s v="30-Apr-2026"/>
    <s v="Thursday"/>
    <s v="Monthly - Thursday"/>
    <s v="Monthly - Thursday"/>
    <s v="Month+1 Expiry"/>
    <n v="203"/>
    <n v="32.590000000000003"/>
    <n v="0.95"/>
  </r>
  <r>
    <s v="09-Mar-2026"/>
    <x v="0"/>
    <s v="Week2-Mar-2026"/>
    <x v="6"/>
    <s v="25-Jun-2026"/>
    <s v="Thursday"/>
    <s v="Monthly - Thursday"/>
    <s v="Monthly - Thursday"/>
    <s v="Month+3 Expiry"/>
    <n v="0"/>
    <n v="0"/>
    <n v="0"/>
  </r>
  <r>
    <s v="10-Mar-2026"/>
    <x v="1"/>
    <s v="Week2-Mar-2026"/>
    <x v="6"/>
    <s v="12-Mar-2026"/>
    <s v="Thursday"/>
    <s v="Weekly - Thursday"/>
    <s v="Weekly - Thursday"/>
    <s v="Same Month Expiry"/>
    <n v="22484181"/>
    <n v="3521991.37"/>
    <n v="12460.12"/>
  </r>
  <r>
    <s v="10-Mar-2026"/>
    <x v="1"/>
    <s v="Week2-Mar-2026"/>
    <x v="6"/>
    <s v="19-Mar-2026"/>
    <s v="Thursday"/>
    <s v="Weekly - Thursday"/>
    <s v="Weekly - Thursday"/>
    <s v="Same Month Expiry"/>
    <n v="147164"/>
    <n v="23228.67"/>
    <n v="180.71"/>
  </r>
  <r>
    <s v="10-Mar-2026"/>
    <x v="1"/>
    <s v="Week2-Mar-2026"/>
    <x v="6"/>
    <s v="25-Mar-2026"/>
    <s v="Wednesday"/>
    <s v="Monthly - Wednesday"/>
    <s v="Monthly - Wednesday"/>
    <s v="Same Month Expiry"/>
    <n v="75347"/>
    <n v="12898.16"/>
    <n v="57.19"/>
  </r>
  <r>
    <s v="10-Mar-2026"/>
    <x v="1"/>
    <s v="Week2-Mar-2026"/>
    <x v="6"/>
    <s v="02-Apr-2026"/>
    <s v="Thursday"/>
    <s v="Weekly - Thursday"/>
    <s v="Weekly - Thursday"/>
    <s v="Month+1 Expiry"/>
    <n v="15"/>
    <n v="2.44"/>
    <n v="0.05"/>
  </r>
  <r>
    <s v="10-Mar-2026"/>
    <x v="1"/>
    <s v="Week2-Mar-2026"/>
    <x v="6"/>
    <s v="09-Apr-2026"/>
    <s v="Thursday"/>
    <s v="Weekly - Thursday"/>
    <s v="Weekly - Thursday"/>
    <s v="Month+1 Expiry"/>
    <n v="3"/>
    <n v="0.51"/>
    <n v="0.01"/>
  </r>
  <r>
    <s v="10-Mar-2026"/>
    <x v="1"/>
    <s v="Week2-Mar-2026"/>
    <x v="6"/>
    <s v="30-Apr-2026"/>
    <s v="Thursday"/>
    <s v="Monthly - Thursday"/>
    <s v="Monthly - Thursday"/>
    <s v="Month+1 Expiry"/>
    <n v="5"/>
    <n v="0.84"/>
    <n v="0.01"/>
  </r>
  <r>
    <s v="10-Mar-2026"/>
    <x v="1"/>
    <s v="Week2-Mar-2026"/>
    <x v="6"/>
    <s v="25-Jun-2026"/>
    <s v="Thursday"/>
    <s v="Monthly - Thursday"/>
    <s v="Monthly - Thursday"/>
    <s v="Month+3 Expiry"/>
    <n v="0"/>
    <n v="0"/>
    <n v="0"/>
  </r>
  <r>
    <s v="11-Mar-2026"/>
    <x v="2"/>
    <s v="Week2-Mar-2026"/>
    <x v="6"/>
    <s v="12-Mar-2026"/>
    <s v="Thursday"/>
    <s v="Weekly - Thursday"/>
    <s v="Weekly - Thursday"/>
    <s v="Same Month Expiry"/>
    <n v="115862665"/>
    <n v="17968984.98"/>
    <n v="47462.98"/>
  </r>
  <r>
    <s v="11-Mar-2026"/>
    <x v="2"/>
    <s v="Week2-Mar-2026"/>
    <x v="6"/>
    <s v="19-Mar-2026"/>
    <s v="Thursday"/>
    <s v="Weekly - Thursday"/>
    <s v="Weekly - Thursday"/>
    <s v="Same Month Expiry"/>
    <n v="418441"/>
    <n v="65777.97"/>
    <n v="473.47"/>
  </r>
  <r>
    <s v="11-Mar-2026"/>
    <x v="2"/>
    <s v="Week2-Mar-2026"/>
    <x v="6"/>
    <s v="25-Mar-2026"/>
    <s v="Wednesday"/>
    <s v="Monthly - Wednesday"/>
    <s v="Monthly - Wednesday"/>
    <s v="Same Month Expiry"/>
    <n v="77890"/>
    <n v="12858.72"/>
    <n v="82.98"/>
  </r>
  <r>
    <s v="11-Mar-2026"/>
    <x v="2"/>
    <s v="Week2-Mar-2026"/>
    <x v="6"/>
    <s v="02-Apr-2026"/>
    <s v="Thursday"/>
    <s v="Weekly - Thursday"/>
    <s v="Weekly - Thursday"/>
    <s v="Month+1 Expiry"/>
    <n v="27"/>
    <n v="4.2699999999999996"/>
    <n v="0.05"/>
  </r>
  <r>
    <s v="11-Mar-2026"/>
    <x v="2"/>
    <s v="Week2-Mar-2026"/>
    <x v="6"/>
    <s v="30-Apr-2026"/>
    <s v="Thursday"/>
    <s v="Monthly - Thursday"/>
    <s v="Monthly - Thursday"/>
    <s v="Month+1 Expiry"/>
    <n v="158"/>
    <n v="25.29"/>
    <n v="0.76"/>
  </r>
  <r>
    <s v="11-Mar-2026"/>
    <x v="2"/>
    <s v="Week2-Mar-2026"/>
    <x v="6"/>
    <s v="25-Jun-2026"/>
    <s v="Thursday"/>
    <s v="Monthly - Thursday"/>
    <s v="Monthly - Thursday"/>
    <s v="Month+3 Expiry"/>
    <n v="0"/>
    <n v="0"/>
    <n v="0"/>
  </r>
  <r>
    <s v="12-Mar-2026"/>
    <x v="3"/>
    <s v="Week2-Mar-2026"/>
    <x v="6"/>
    <s v="12-Mar-2026"/>
    <s v="Thursday"/>
    <s v="Weekly - Thursday"/>
    <s v="Weekly - Thursday"/>
    <s v="Same Month Expiry"/>
    <n v="561278757"/>
    <n v="85827536.790000007"/>
    <n v="76119.7"/>
  </r>
  <r>
    <s v="12-Mar-2026"/>
    <x v="3"/>
    <s v="Week2-Mar-2026"/>
    <x v="6"/>
    <s v="19-Mar-2026"/>
    <s v="Thursday"/>
    <s v="Weekly - Thursday"/>
    <s v="Weekly - Thursday"/>
    <s v="Same Month Expiry"/>
    <n v="1366487"/>
    <n v="211962.3"/>
    <n v="1615.23"/>
  </r>
  <r>
    <s v="12-Mar-2026"/>
    <x v="3"/>
    <s v="Week2-Mar-2026"/>
    <x v="6"/>
    <s v="25-Mar-2026"/>
    <s v="Wednesday"/>
    <s v="Monthly - Wednesday"/>
    <s v="Monthly - Wednesday"/>
    <s v="Same Month Expiry"/>
    <n v="77550"/>
    <n v="12270.41"/>
    <n v="139.81"/>
  </r>
  <r>
    <s v="12-Mar-2026"/>
    <x v="3"/>
    <s v="Week2-Mar-2026"/>
    <x v="6"/>
    <s v="02-Apr-2026"/>
    <s v="Thursday"/>
    <s v="Weekly - Thursday"/>
    <s v="Weekly - Thursday"/>
    <s v="Month+1 Expiry"/>
    <n v="125"/>
    <n v="19.940000000000001"/>
    <n v="0.16"/>
  </r>
  <r>
    <s v="12-Mar-2026"/>
    <x v="3"/>
    <s v="Week2-Mar-2026"/>
    <x v="6"/>
    <s v="09-Apr-2026"/>
    <s v="Thursday"/>
    <s v="Weekly - Thursday"/>
    <s v="Weekly - Thursday"/>
    <s v="Month+1 Expiry"/>
    <n v="1"/>
    <n v="0.16"/>
    <n v="0.01"/>
  </r>
  <r>
    <s v="12-Mar-2026"/>
    <x v="3"/>
    <s v="Week2-Mar-2026"/>
    <x v="6"/>
    <s v="16-Apr-2026"/>
    <s v="Thursday"/>
    <s v="Weekly - Thursday"/>
    <s v="Weekly - Thursday"/>
    <s v="Month+1 Expiry"/>
    <n v="2"/>
    <n v="0.33"/>
    <n v="0"/>
  </r>
  <r>
    <s v="12-Mar-2026"/>
    <x v="3"/>
    <s v="Week2-Mar-2026"/>
    <x v="6"/>
    <s v="30-Apr-2026"/>
    <s v="Thursday"/>
    <s v="Monthly - Thursday"/>
    <s v="Monthly - Thursday"/>
    <s v="Month+1 Expiry"/>
    <n v="430"/>
    <n v="68.44"/>
    <n v="1.71"/>
  </r>
  <r>
    <s v="12-Mar-2026"/>
    <x v="3"/>
    <s v="Week2-Mar-2026"/>
    <x v="6"/>
    <s v="25-Jun-2026"/>
    <s v="Thursday"/>
    <s v="Monthly - Thursday"/>
    <s v="Monthly - Thursday"/>
    <s v="Month+3 Expiry"/>
    <n v="0"/>
    <n v="0"/>
    <n v="0"/>
  </r>
  <r>
    <s v="13-Mar-2026"/>
    <x v="4"/>
    <s v="Week2-Mar-2026"/>
    <x v="6"/>
    <s v="19-Mar-2026"/>
    <s v="Thursday"/>
    <s v="Weekly - Thursday"/>
    <s v="Weekly - Thursday"/>
    <s v="Same Month Expiry"/>
    <n v="12335595"/>
    <n v="1873336.43"/>
    <n v="12934.58"/>
  </r>
  <r>
    <s v="13-Mar-2026"/>
    <x v="4"/>
    <s v="Week2-Mar-2026"/>
    <x v="6"/>
    <s v="25-Mar-2026"/>
    <s v="Wednesday"/>
    <s v="Monthly - Wednesday"/>
    <s v="Monthly - Wednesday"/>
    <s v="Same Month Expiry"/>
    <n v="143955"/>
    <n v="22441.09"/>
    <n v="256.11"/>
  </r>
  <r>
    <s v="13-Mar-2026"/>
    <x v="4"/>
    <s v="Week2-Mar-2026"/>
    <x v="6"/>
    <s v="02-Apr-2026"/>
    <s v="Thursday"/>
    <s v="Weekly - Thursday"/>
    <s v="Weekly - Thursday"/>
    <s v="Month+1 Expiry"/>
    <n v="647"/>
    <n v="103.98"/>
    <n v="0.28999999999999998"/>
  </r>
  <r>
    <s v="13-Mar-2026"/>
    <x v="4"/>
    <s v="Week2-Mar-2026"/>
    <x v="6"/>
    <s v="09-Apr-2026"/>
    <s v="Thursday"/>
    <s v="Weekly - Thursday"/>
    <s v="Weekly - Thursday"/>
    <s v="Month+1 Expiry"/>
    <n v="1"/>
    <n v="0.18"/>
    <n v="0"/>
  </r>
  <r>
    <s v="13-Mar-2026"/>
    <x v="4"/>
    <s v="Week2-Mar-2026"/>
    <x v="6"/>
    <s v="16-Apr-2026"/>
    <s v="Thursday"/>
    <s v="Weekly - Thursday"/>
    <s v="Weekly - Thursday"/>
    <s v="Month+1 Expiry"/>
    <n v="0"/>
    <n v="0"/>
    <n v="0"/>
  </r>
  <r>
    <s v="13-Mar-2026"/>
    <x v="4"/>
    <s v="Week2-Mar-2026"/>
    <x v="6"/>
    <s v="30-Apr-2026"/>
    <s v="Thursday"/>
    <s v="Monthly - Thursday"/>
    <s v="Monthly - Thursday"/>
    <s v="Month+1 Expiry"/>
    <n v="557"/>
    <n v="88.17"/>
    <n v="2.2799999999999998"/>
  </r>
  <r>
    <s v="13-Mar-2026"/>
    <x v="4"/>
    <s v="Week2-Mar-2026"/>
    <x v="6"/>
    <s v="25-Jun-2026"/>
    <s v="Thursday"/>
    <s v="Monthly - Thursday"/>
    <s v="Monthly - Thursday"/>
    <s v="Month+3 Expiry"/>
    <n v="0"/>
    <n v="0"/>
    <n v="0"/>
  </r>
  <r>
    <s v="16-Mar-2026"/>
    <x v="0"/>
    <s v="Week3-Mar-2026"/>
    <x v="6"/>
    <s v="19-Mar-2026"/>
    <s v="Thursday"/>
    <s v="Weekly - Thursday"/>
    <s v="Weekly - Thursday"/>
    <s v="Same Month Expiry"/>
    <n v="21733663"/>
    <n v="3283694.11"/>
    <n v="17656.63"/>
  </r>
  <r>
    <s v="16-Mar-2026"/>
    <x v="0"/>
    <s v="Week3-Mar-2026"/>
    <x v="6"/>
    <s v="25-Mar-2026"/>
    <s v="Wednesday"/>
    <s v="Monthly - Wednesday"/>
    <s v="Monthly - Wednesday"/>
    <s v="Same Month Expiry"/>
    <n v="199674"/>
    <n v="30922.04"/>
    <n v="289.86"/>
  </r>
  <r>
    <s v="16-Mar-2026"/>
    <x v="0"/>
    <s v="Week3-Mar-2026"/>
    <x v="6"/>
    <s v="02-Apr-2026"/>
    <s v="Thursday"/>
    <s v="Weekly - Thursday"/>
    <s v="Weekly - Thursday"/>
    <s v="Month+1 Expiry"/>
    <n v="1295"/>
    <n v="206.07"/>
    <n v="1.05"/>
  </r>
  <r>
    <s v="16-Mar-2026"/>
    <x v="0"/>
    <s v="Week3-Mar-2026"/>
    <x v="6"/>
    <s v="09-Apr-2026"/>
    <s v="Thursday"/>
    <s v="Weekly - Thursday"/>
    <s v="Weekly - Thursday"/>
    <s v="Month+1 Expiry"/>
    <n v="14"/>
    <n v="2.57"/>
    <n v="0"/>
  </r>
  <r>
    <s v="16-Mar-2026"/>
    <x v="0"/>
    <s v="Week3-Mar-2026"/>
    <x v="6"/>
    <s v="16-Apr-2026"/>
    <s v="Thursday"/>
    <s v="Weekly - Thursday"/>
    <s v="Weekly - Thursday"/>
    <s v="Month+1 Expiry"/>
    <n v="0"/>
    <n v="0"/>
    <n v="0"/>
  </r>
  <r>
    <s v="16-Mar-2026"/>
    <x v="0"/>
    <s v="Week3-Mar-2026"/>
    <x v="6"/>
    <s v="30-Apr-2026"/>
    <s v="Thursday"/>
    <s v="Monthly - Thursday"/>
    <s v="Monthly - Thursday"/>
    <s v="Month+1 Expiry"/>
    <n v="161"/>
    <n v="25.31"/>
    <n v="0.56000000000000005"/>
  </r>
  <r>
    <s v="16-Mar-2026"/>
    <x v="0"/>
    <s v="Week3-Mar-2026"/>
    <x v="6"/>
    <s v="25-Jun-2026"/>
    <s v="Thursday"/>
    <s v="Monthly - Thursday"/>
    <s v="Monthly - Thursday"/>
    <s v="Month+3 Expiry"/>
    <n v="0"/>
    <n v="0"/>
    <n v="0"/>
  </r>
  <r>
    <s v="17-Mar-2026"/>
    <x v="1"/>
    <s v="Week3-Mar-2026"/>
    <x v="6"/>
    <s v="19-Mar-2026"/>
    <s v="Thursday"/>
    <s v="Weekly - Thursday"/>
    <s v="Weekly - Thursday"/>
    <s v="Same Month Expiry"/>
    <n v="29487435"/>
    <n v="4460519.54"/>
    <n v="15145.92"/>
  </r>
  <r>
    <s v="17-Mar-2026"/>
    <x v="1"/>
    <s v="Week3-Mar-2026"/>
    <x v="6"/>
    <s v="25-Mar-2026"/>
    <s v="Wednesday"/>
    <s v="Monthly - Wednesday"/>
    <s v="Monthly - Wednesday"/>
    <s v="Same Month Expiry"/>
    <n v="275929"/>
    <n v="42198.77"/>
    <n v="301.16000000000003"/>
  </r>
  <r>
    <s v="17-Mar-2026"/>
    <x v="1"/>
    <s v="Week3-Mar-2026"/>
    <x v="6"/>
    <s v="02-Apr-2026"/>
    <s v="Thursday"/>
    <s v="Weekly - Thursday"/>
    <s v="Weekly - Thursday"/>
    <s v="Month+1 Expiry"/>
    <n v="2260"/>
    <n v="350.53"/>
    <n v="2.98"/>
  </r>
  <r>
    <s v="17-Mar-2026"/>
    <x v="1"/>
    <s v="Week3-Mar-2026"/>
    <x v="6"/>
    <s v="09-Apr-2026"/>
    <s v="Thursday"/>
    <s v="Weekly - Thursday"/>
    <s v="Weekly - Thursday"/>
    <s v="Month+1 Expiry"/>
    <n v="5"/>
    <n v="0.92"/>
    <n v="0"/>
  </r>
  <r>
    <s v="17-Mar-2026"/>
    <x v="1"/>
    <s v="Week3-Mar-2026"/>
    <x v="6"/>
    <s v="16-Apr-2026"/>
    <s v="Thursday"/>
    <s v="Weekly - Thursday"/>
    <s v="Weekly - Thursday"/>
    <s v="Month+1 Expiry"/>
    <n v="0"/>
    <n v="0"/>
    <n v="0"/>
  </r>
  <r>
    <s v="17-Mar-2026"/>
    <x v="1"/>
    <s v="Week3-Mar-2026"/>
    <x v="6"/>
    <s v="30-Apr-2026"/>
    <s v="Thursday"/>
    <s v="Monthly - Thursday"/>
    <s v="Monthly - Thursday"/>
    <s v="Month+1 Expiry"/>
    <n v="186"/>
    <n v="29.67"/>
    <n v="0.61"/>
  </r>
  <r>
    <s v="17-Mar-2026"/>
    <x v="1"/>
    <s v="Week3-Mar-2026"/>
    <x v="6"/>
    <s v="25-Jun-2026"/>
    <s v="Thursday"/>
    <s v="Monthly - Thursday"/>
    <s v="Monthly - Thursday"/>
    <s v="Month+3 Expiry"/>
    <n v="0"/>
    <n v="0"/>
    <n v="0"/>
  </r>
  <r>
    <s v="18-Mar-2026"/>
    <x v="2"/>
    <s v="Week3-Mar-2026"/>
    <x v="6"/>
    <s v="19-Mar-2026"/>
    <s v="Thursday"/>
    <s v="Weekly - Thursday"/>
    <s v="Weekly - Thursday"/>
    <s v="Same Month Expiry"/>
    <n v="116604116"/>
    <n v="17867793.300000001"/>
    <n v="41840.53"/>
  </r>
  <r>
    <s v="18-Mar-2026"/>
    <x v="2"/>
    <s v="Week3-Mar-2026"/>
    <x v="6"/>
    <s v="25-Mar-2026"/>
    <s v="Wednesday"/>
    <s v="Monthly - Wednesday"/>
    <s v="Monthly - Wednesday"/>
    <s v="Same Month Expiry"/>
    <n v="548121"/>
    <n v="84320.51"/>
    <n v="501.99"/>
  </r>
  <r>
    <s v="18-Mar-2026"/>
    <x v="2"/>
    <s v="Week3-Mar-2026"/>
    <x v="6"/>
    <s v="02-Apr-2026"/>
    <s v="Thursday"/>
    <s v="Weekly - Thursday"/>
    <s v="Weekly - Thursday"/>
    <s v="Month+1 Expiry"/>
    <n v="29994"/>
    <n v="5295.76"/>
    <n v="7.23"/>
  </r>
  <r>
    <s v="18-Mar-2026"/>
    <x v="2"/>
    <s v="Week3-Mar-2026"/>
    <x v="6"/>
    <s v="09-Apr-2026"/>
    <s v="Thursday"/>
    <s v="Weekly - Thursday"/>
    <s v="Weekly - Thursday"/>
    <s v="Month+1 Expiry"/>
    <n v="4"/>
    <n v="0.68"/>
    <n v="0.01"/>
  </r>
  <r>
    <s v="18-Mar-2026"/>
    <x v="2"/>
    <s v="Week3-Mar-2026"/>
    <x v="6"/>
    <s v="16-Apr-2026"/>
    <s v="Thursday"/>
    <s v="Weekly - Thursday"/>
    <s v="Weekly - Thursday"/>
    <s v="Month+1 Expiry"/>
    <n v="0"/>
    <n v="0"/>
    <n v="0"/>
  </r>
  <r>
    <s v="18-Mar-2026"/>
    <x v="2"/>
    <s v="Week3-Mar-2026"/>
    <x v="6"/>
    <s v="30-Apr-2026"/>
    <s v="Thursday"/>
    <s v="Monthly - Thursday"/>
    <s v="Monthly - Thursday"/>
    <s v="Month+1 Expiry"/>
    <n v="1038"/>
    <n v="164.52"/>
    <n v="3.39"/>
  </r>
  <r>
    <s v="18-Mar-2026"/>
    <x v="2"/>
    <s v="Week3-Mar-2026"/>
    <x v="6"/>
    <s v="25-Jun-2026"/>
    <s v="Thursday"/>
    <s v="Monthly - Thursday"/>
    <s v="Monthly - Thursday"/>
    <s v="Month+3 Expiry"/>
    <n v="0"/>
    <n v="0"/>
    <n v="0"/>
  </r>
  <r>
    <s v="19-Mar-2026"/>
    <x v="3"/>
    <s v="Week3-Mar-2026"/>
    <x v="6"/>
    <s v="19-Mar-2026"/>
    <s v="Thursday"/>
    <s v="Weekly - Thursday"/>
    <s v="Weekly - Thursday"/>
    <s v="Same Month Expiry"/>
    <n v="509485928"/>
    <n v="76275035.650000006"/>
    <n v="67531.22"/>
  </r>
  <r>
    <s v="19-Mar-2026"/>
    <x v="3"/>
    <s v="Week3-Mar-2026"/>
    <x v="6"/>
    <s v="25-Mar-2026"/>
    <s v="Wednesday"/>
    <s v="Monthly - Wednesday"/>
    <s v="MDAW - Wednesday"/>
    <s v="Same Month Expiry"/>
    <n v="1730718"/>
    <n v="262290.24"/>
    <n v="1804.08"/>
  </r>
  <r>
    <s v="19-Mar-2026"/>
    <x v="3"/>
    <s v="Week3-Mar-2026"/>
    <x v="6"/>
    <s v="02-Apr-2026"/>
    <s v="Thursday"/>
    <s v="Weekly - Thursday"/>
    <s v="Weekly - Thursday"/>
    <s v="Month+1 Expiry"/>
    <n v="10631"/>
    <n v="1660.49"/>
    <n v="12.52"/>
  </r>
  <r>
    <s v="19-Mar-2026"/>
    <x v="3"/>
    <s v="Week3-Mar-2026"/>
    <x v="6"/>
    <s v="09-Apr-2026"/>
    <s v="Thursday"/>
    <s v="Weekly - Thursday"/>
    <s v="Weekly - Thursday"/>
    <s v="Month+1 Expiry"/>
    <n v="78"/>
    <n v="13.16"/>
    <n v="0.03"/>
  </r>
  <r>
    <s v="19-Mar-2026"/>
    <x v="3"/>
    <s v="Week3-Mar-2026"/>
    <x v="6"/>
    <s v="16-Apr-2026"/>
    <s v="Thursday"/>
    <s v="Weekly - Thursday"/>
    <s v="Weekly - Thursday"/>
    <s v="Month+1 Expiry"/>
    <n v="0"/>
    <n v="0"/>
    <n v="0"/>
  </r>
  <r>
    <s v="19-Mar-2026"/>
    <x v="3"/>
    <s v="Week3-Mar-2026"/>
    <x v="6"/>
    <s v="30-Apr-2026"/>
    <s v="Thursday"/>
    <s v="Monthly - Thursday"/>
    <s v="Monthly - Thursday"/>
    <s v="Month+1 Expiry"/>
    <n v="3030"/>
    <n v="472.48"/>
    <n v="11.32"/>
  </r>
  <r>
    <s v="19-Mar-2026"/>
    <x v="3"/>
    <s v="Week3-Mar-2026"/>
    <x v="6"/>
    <s v="25-Jun-2026"/>
    <s v="Thursday"/>
    <s v="Monthly - Thursday"/>
    <s v="Monthly - Thursday"/>
    <s v="Month+3 Expiry"/>
    <n v="0"/>
    <n v="0"/>
    <n v="0"/>
  </r>
  <r>
    <s v="20-Mar-2026"/>
    <x v="4"/>
    <s v="Week3-Mar-2026"/>
    <x v="6"/>
    <s v="25-Mar-2026"/>
    <s v="Wednesday"/>
    <s v="Monthly - Wednesday"/>
    <s v="MDAW - Wednesday"/>
    <s v="Same Month Expiry"/>
    <n v="15831269"/>
    <n v="2391247.6800000002"/>
    <n v="14853.18"/>
  </r>
  <r>
    <s v="20-Mar-2026"/>
    <x v="4"/>
    <s v="Week3-Mar-2026"/>
    <x v="6"/>
    <s v="02-Apr-2026"/>
    <s v="Thursday"/>
    <s v="Weekly - Thursday"/>
    <s v="Weekly - Thursday"/>
    <s v="Month+1 Expiry"/>
    <n v="56885"/>
    <n v="8862.2800000000007"/>
    <n v="89.39"/>
  </r>
  <r>
    <s v="20-Mar-2026"/>
    <x v="4"/>
    <s v="Week3-Mar-2026"/>
    <x v="6"/>
    <s v="09-Apr-2026"/>
    <s v="Thursday"/>
    <s v="Weekly - Thursday"/>
    <s v="Weekly - Thursday"/>
    <s v="Month+1 Expiry"/>
    <n v="2826"/>
    <n v="510.04"/>
    <n v="0.12"/>
  </r>
  <r>
    <s v="20-Mar-2026"/>
    <x v="4"/>
    <s v="Week3-Mar-2026"/>
    <x v="6"/>
    <s v="16-Apr-2026"/>
    <s v="Thursday"/>
    <s v="Weekly - Thursday"/>
    <s v="Weekly - Thursday"/>
    <s v="Month+1 Expiry"/>
    <n v="5"/>
    <n v="0.81"/>
    <n v="0"/>
  </r>
  <r>
    <s v="20-Mar-2026"/>
    <x v="4"/>
    <s v="Week3-Mar-2026"/>
    <x v="6"/>
    <s v="30-Apr-2026"/>
    <s v="Thursday"/>
    <s v="Monthly - Thursday"/>
    <s v="Monthly - Thursday"/>
    <s v="Month+1 Expiry"/>
    <n v="1941"/>
    <n v="303.87"/>
    <n v="6.8"/>
  </r>
  <r>
    <s v="20-Mar-2026"/>
    <x v="4"/>
    <s v="Week3-Mar-2026"/>
    <x v="6"/>
    <s v="25-Jun-2026"/>
    <s v="Thursday"/>
    <s v="Monthly - Thursday"/>
    <s v="Monthly - Thursday"/>
    <s v="Month+3 Expiry"/>
    <n v="0"/>
    <n v="0"/>
    <n v="0"/>
  </r>
  <r>
    <s v="23-Mar-2026"/>
    <x v="0"/>
    <s v="Week4-Mar-2026"/>
    <x v="6"/>
    <s v="25-Mar-2026"/>
    <s v="Wednesday"/>
    <s v="Monthly - Wednesday"/>
    <s v="MDAW - Wednesday"/>
    <s v="Same Month Expiry"/>
    <n v="16922314"/>
    <n v="2490434.94"/>
    <n v="15371.1"/>
  </r>
  <r>
    <s v="23-Mar-2026"/>
    <x v="0"/>
    <s v="Week4-Mar-2026"/>
    <x v="6"/>
    <s v="02-Apr-2026"/>
    <s v="Thursday"/>
    <s v="Weekly - Thursday"/>
    <s v="Weekly - Thursday"/>
    <s v="Month+1 Expiry"/>
    <n v="85696"/>
    <n v="12990.33"/>
    <n v="196.72"/>
  </r>
  <r>
    <s v="23-Mar-2026"/>
    <x v="0"/>
    <s v="Week4-Mar-2026"/>
    <x v="6"/>
    <s v="09-Apr-2026"/>
    <s v="Thursday"/>
    <s v="Weekly - Thursday"/>
    <s v="Weekly - Thursday"/>
    <s v="Month+1 Expiry"/>
    <n v="559"/>
    <n v="87.03"/>
    <n v="1.1299999999999999"/>
  </r>
  <r>
    <s v="23-Mar-2026"/>
    <x v="0"/>
    <s v="Week4-Mar-2026"/>
    <x v="6"/>
    <s v="16-Apr-2026"/>
    <s v="Thursday"/>
    <s v="Weekly - Thursday"/>
    <s v="Weekly - Thursday"/>
    <s v="Month+1 Expiry"/>
    <n v="0"/>
    <n v="0"/>
    <n v="0"/>
  </r>
  <r>
    <s v="23-Mar-2026"/>
    <x v="0"/>
    <s v="Week4-Mar-2026"/>
    <x v="6"/>
    <s v="30-Apr-2026"/>
    <s v="Thursday"/>
    <s v="Monthly - Thursday"/>
    <s v="Monthly - Thursday"/>
    <s v="Month+1 Expiry"/>
    <n v="4557"/>
    <n v="701.92"/>
    <n v="17.7"/>
  </r>
  <r>
    <s v="23-Mar-2026"/>
    <x v="0"/>
    <s v="Week4-Mar-2026"/>
    <x v="6"/>
    <s v="25-Jun-2026"/>
    <s v="Thursday"/>
    <s v="Monthly - Thursday"/>
    <s v="Monthly - Thursday"/>
    <s v="Month+3 Expiry"/>
    <n v="0"/>
    <n v="0"/>
    <n v="0"/>
  </r>
  <r>
    <s v="24-Mar-2026"/>
    <x v="1"/>
    <s v="Week4-Mar-2026"/>
    <x v="6"/>
    <s v="25-Mar-2026"/>
    <s v="Wednesday"/>
    <s v="Monthly - Wednesday"/>
    <s v="MDAW - Wednesday"/>
    <s v="Same Month Expiry"/>
    <n v="41456574"/>
    <n v="6136865.1200000001"/>
    <n v="20984.49"/>
  </r>
  <r>
    <s v="24-Mar-2026"/>
    <x v="1"/>
    <s v="Week4-Mar-2026"/>
    <x v="6"/>
    <s v="02-Apr-2026"/>
    <s v="Thursday"/>
    <s v="Weekly - Thursday"/>
    <s v="Weekly - Thursday"/>
    <s v="Month+1 Expiry"/>
    <n v="269766"/>
    <n v="40709.620000000003"/>
    <n v="523.66"/>
  </r>
  <r>
    <s v="24-Mar-2026"/>
    <x v="1"/>
    <s v="Week4-Mar-2026"/>
    <x v="6"/>
    <s v="09-Apr-2026"/>
    <s v="Thursday"/>
    <s v="Weekly - Thursday"/>
    <s v="Weekly - Thursday"/>
    <s v="Month+1 Expiry"/>
    <n v="2330"/>
    <n v="354.06"/>
    <n v="7.31"/>
  </r>
  <r>
    <s v="24-Mar-2026"/>
    <x v="1"/>
    <s v="Week4-Mar-2026"/>
    <x v="6"/>
    <s v="16-Apr-2026"/>
    <s v="Thursday"/>
    <s v="Weekly - Thursday"/>
    <s v="Weekly - Thursday"/>
    <s v="Month+1 Expiry"/>
    <n v="0"/>
    <n v="0"/>
    <n v="0"/>
  </r>
  <r>
    <s v="24-Mar-2026"/>
    <x v="1"/>
    <s v="Week4-Mar-2026"/>
    <x v="6"/>
    <s v="30-Apr-2026"/>
    <s v="Thursday"/>
    <s v="Monthly - Thursday"/>
    <s v="Monthly - Thursday"/>
    <s v="Month+1 Expiry"/>
    <n v="3386"/>
    <n v="523.48"/>
    <n v="12.51"/>
  </r>
  <r>
    <s v="24-Mar-2026"/>
    <x v="1"/>
    <s v="Week4-Mar-2026"/>
    <x v="6"/>
    <s v="25-Jun-2026"/>
    <s v="Thursday"/>
    <s v="Monthly - Thursday"/>
    <s v="Monthly - Thursday"/>
    <s v="Month+3 Expiry"/>
    <n v="0"/>
    <n v="0"/>
    <n v="0"/>
  </r>
  <r>
    <s v="25-Mar-2026"/>
    <x v="2"/>
    <s v="Week4-Mar-2026"/>
    <x v="6"/>
    <s v="25-Mar-2026"/>
    <s v="Wednesday"/>
    <s v="Monthly - Wednesday"/>
    <s v="MDAW - Wednesday"/>
    <s v="Same Month Expiry"/>
    <n v="480650155"/>
    <n v="72441237.810000002"/>
    <n v="69545.039999999994"/>
  </r>
  <r>
    <s v="25-Mar-2026"/>
    <x v="2"/>
    <s v="Week4-Mar-2026"/>
    <x v="6"/>
    <s v="02-Apr-2026"/>
    <s v="Thursday"/>
    <s v="Weekly - Thursday"/>
    <s v="Weekly - Thursday"/>
    <s v="Month+1 Expiry"/>
    <n v="1156117"/>
    <n v="174468.56"/>
    <n v="1477.82"/>
  </r>
  <r>
    <s v="25-Mar-2026"/>
    <x v="2"/>
    <s v="Week4-Mar-2026"/>
    <x v="6"/>
    <s v="09-Apr-2026"/>
    <s v="Thursday"/>
    <s v="Weekly - Thursday"/>
    <s v="Weekly - Thursday"/>
    <s v="Month+1 Expiry"/>
    <n v="3169"/>
    <n v="486.74"/>
    <n v="5.99"/>
  </r>
  <r>
    <s v="25-Mar-2026"/>
    <x v="2"/>
    <s v="Week4-Mar-2026"/>
    <x v="6"/>
    <s v="16-Apr-2026"/>
    <s v="Thursday"/>
    <s v="Weekly - Thursday"/>
    <s v="Weekly - Thursday"/>
    <s v="Month+1 Expiry"/>
    <n v="8"/>
    <n v="1.26"/>
    <n v="0.02"/>
  </r>
  <r>
    <s v="25-Mar-2026"/>
    <x v="2"/>
    <s v="Week4-Mar-2026"/>
    <x v="6"/>
    <s v="30-Apr-2026"/>
    <s v="Thursday"/>
    <s v="Monthly - Thursday"/>
    <s v="Monthly - Thursday"/>
    <s v="Month+1 Expiry"/>
    <n v="7293"/>
    <n v="1140.55"/>
    <n v="23.98"/>
  </r>
  <r>
    <s v="25-Mar-2026"/>
    <x v="2"/>
    <s v="Week4-Mar-2026"/>
    <x v="6"/>
    <s v="25-Jun-2026"/>
    <s v="Thursday"/>
    <s v="Monthly - Thursday"/>
    <s v="Monthly - Thursday"/>
    <s v="Month+3 Expiry"/>
    <n v="0"/>
    <n v="0"/>
    <n v="0"/>
  </r>
  <r>
    <s v="27-Mar-2026"/>
    <x v="4"/>
    <s v="Week4-Mar-2026"/>
    <x v="6"/>
    <s v="02-Apr-2026"/>
    <s v="Thursday"/>
    <s v="Weekly - Thursday"/>
    <s v="Weekly - Thursday"/>
    <s v="Month+1 Expiry"/>
    <n v="8647743"/>
    <n v="1293592.72"/>
    <n v="9975.35"/>
  </r>
  <r>
    <s v="27-Mar-2026"/>
    <x v="4"/>
    <s v="Week4-Mar-2026"/>
    <x v="6"/>
    <s v="09-Apr-2026"/>
    <s v="Thursday"/>
    <s v="Weekly - Thursday"/>
    <s v="Weekly - Thursday"/>
    <s v="Month+1 Expiry"/>
    <n v="15550"/>
    <n v="2365.2199999999998"/>
    <n v="38.35"/>
  </r>
  <r>
    <s v="27-Mar-2026"/>
    <x v="4"/>
    <s v="Week4-Mar-2026"/>
    <x v="6"/>
    <s v="16-Apr-2026"/>
    <s v="Thursday"/>
    <s v="Weekly - Thursday"/>
    <s v="Weekly - Thursday"/>
    <s v="Month+1 Expiry"/>
    <n v="0"/>
    <n v="0"/>
    <n v="0"/>
  </r>
  <r>
    <s v="27-Mar-2026"/>
    <x v="4"/>
    <s v="Week4-Mar-2026"/>
    <x v="6"/>
    <s v="30-Apr-2026"/>
    <s v="Thursday"/>
    <s v="Monthly - Thursday"/>
    <s v="Monthly - Thursday"/>
    <s v="Month+1 Expiry"/>
    <n v="10052"/>
    <n v="1545.36"/>
    <n v="38.659999999999997"/>
  </r>
  <r>
    <s v="27-Mar-2026"/>
    <x v="4"/>
    <s v="Week4-Mar-2026"/>
    <x v="6"/>
    <s v="25-Jun-2026"/>
    <s v="Thursday"/>
    <s v="Monthly - Thursday"/>
    <s v="Monthly - Thursday"/>
    <s v="Month+3 Expiry"/>
    <n v="0"/>
    <n v="0"/>
    <n v="0"/>
  </r>
  <r>
    <s v="30-Mar-2026"/>
    <x v="0"/>
    <s v="Week5-Mar-2026"/>
    <x v="6"/>
    <s v="02-Apr-2026"/>
    <s v="Thursday"/>
    <s v="Weekly - Thursday"/>
    <s v="Weekly - Thursday"/>
    <s v="Month+1 Expiry"/>
    <n v="16149325"/>
    <n v="2365694.63"/>
    <n v="12634.05"/>
  </r>
  <r>
    <s v="30-Mar-2026"/>
    <x v="0"/>
    <s v="Week5-Mar-2026"/>
    <x v="6"/>
    <s v="09-Apr-2026"/>
    <s v="Thursday"/>
    <s v="Weekly - Thursday"/>
    <s v="Weekly - Thursday"/>
    <s v="Month+1 Expiry"/>
    <n v="58041"/>
    <n v="8619.86"/>
    <n v="120.2"/>
  </r>
  <r>
    <s v="30-Mar-2026"/>
    <x v="0"/>
    <s v="Week5-Mar-2026"/>
    <x v="6"/>
    <s v="16-Apr-2026"/>
    <s v="Thursday"/>
    <s v="Weekly - Thursday"/>
    <s v="Weekly - Thursday"/>
    <s v="Month+1 Expiry"/>
    <n v="52"/>
    <n v="7.81"/>
    <n v="0.06"/>
  </r>
  <r>
    <s v="30-Mar-2026"/>
    <x v="0"/>
    <s v="Week5-Mar-2026"/>
    <x v="6"/>
    <s v="30-Apr-2026"/>
    <s v="Thursday"/>
    <s v="Monthly - Thursday"/>
    <s v="Monthly - Thursday"/>
    <s v="Month+1 Expiry"/>
    <n v="9991"/>
    <n v="1526.53"/>
    <n v="33.17"/>
  </r>
  <r>
    <s v="30-Mar-2026"/>
    <x v="0"/>
    <s v="Week5-Mar-2026"/>
    <x v="6"/>
    <s v="07-May-2026"/>
    <s v="Thursday"/>
    <s v="Weekly - Thursday"/>
    <s v="Weekly - Thursday"/>
    <s v="Month+2 Expiry"/>
    <n v="3"/>
    <n v="0.46"/>
    <n v="0.02"/>
  </r>
  <r>
    <s v="30-Mar-2026"/>
    <x v="0"/>
    <s v="Week5-Mar-2026"/>
    <x v="6"/>
    <s v="27-May-2026"/>
    <s v="Wednesday"/>
    <s v="Monthly - Wednesday"/>
    <s v="Monthly - Wednesday"/>
    <s v="Month+2 Expiry"/>
    <n v="1"/>
    <n v="0.15"/>
    <n v="0.01"/>
  </r>
  <r>
    <s v="30-Mar-2026"/>
    <x v="0"/>
    <s v="Week5-Mar-2026"/>
    <x v="6"/>
    <s v="25-Jun-2026"/>
    <s v="Thursday"/>
    <s v="Monthly - Thursday"/>
    <s v="Monthly - Thursday"/>
    <s v="Month+3 Expiry"/>
    <n v="0"/>
    <n v="0"/>
    <n v="0"/>
  </r>
  <r>
    <s v="01-Apr-2026"/>
    <x v="2"/>
    <s v="Week1-Apr-2026"/>
    <x v="7"/>
    <s v="02-Apr-2026"/>
    <s v="Thursday"/>
    <s v="Weekly - Thursday"/>
    <s v="Weekly - Thursday"/>
    <s v="Same Month Expiry"/>
    <n v="104241385"/>
    <n v="15346754.68"/>
    <n v="43037.36"/>
  </r>
  <r>
    <s v="01-Apr-2026"/>
    <x v="2"/>
    <s v="Week1-Apr-2026"/>
    <x v="7"/>
    <s v="09-Apr-2026"/>
    <s v="Thursday"/>
    <s v="Weekly - Thursday"/>
    <s v="Weekly - Thursday"/>
    <s v="Same Month Expiry"/>
    <n v="250478"/>
    <n v="37462.800000000003"/>
    <n v="382.36"/>
  </r>
  <r>
    <s v="01-Apr-2026"/>
    <x v="2"/>
    <s v="Week1-Apr-2026"/>
    <x v="7"/>
    <s v="16-Apr-2026"/>
    <s v="Thursday"/>
    <s v="Weekly - Thursday"/>
    <s v="Weekly - Thursday"/>
    <s v="Same Month Expiry"/>
    <n v="376"/>
    <n v="56.23"/>
    <n v="0.85"/>
  </r>
  <r>
    <s v="01-Apr-2026"/>
    <x v="2"/>
    <s v="Week1-Apr-2026"/>
    <x v="7"/>
    <s v="23-Apr-2026"/>
    <s v="Thursday"/>
    <s v="Weekly - Thursday"/>
    <s v="Weekly - Thursday"/>
    <s v="Same Month Expiry"/>
    <n v="22"/>
    <n v="3.33"/>
    <n v="0.05"/>
  </r>
  <r>
    <s v="01-Apr-2026"/>
    <x v="2"/>
    <s v="Week1-Apr-2026"/>
    <x v="7"/>
    <s v="30-Apr-2026"/>
    <s v="Thursday"/>
    <s v="Monthly - Thursday"/>
    <s v="Monthly - Thursday"/>
    <s v="Same Month Expiry"/>
    <n v="12219"/>
    <n v="1868.41"/>
    <n v="34.25"/>
  </r>
  <r>
    <s v="01-Apr-2026"/>
    <x v="2"/>
    <s v="Week1-Apr-2026"/>
    <x v="7"/>
    <s v="07-May-2026"/>
    <s v="Thursday"/>
    <s v="Weekly - Thursday"/>
    <s v="Weekly - Thursday"/>
    <s v="Month+1 Expiry"/>
    <n v="1"/>
    <n v="0.16"/>
    <n v="0"/>
  </r>
  <r>
    <s v="01-Apr-2026"/>
    <x v="2"/>
    <s v="Week1-Apr-2026"/>
    <x v="7"/>
    <s v="27-May-2026"/>
    <s v="Wednesday"/>
    <s v="Monthly - Wednesday"/>
    <s v="Monthly - Wednesday"/>
    <s v="Month+1 Expiry"/>
    <n v="1"/>
    <n v="0.15"/>
    <n v="0.01"/>
  </r>
  <r>
    <s v="01-Apr-2026"/>
    <x v="2"/>
    <s v="Week1-Apr-2026"/>
    <x v="7"/>
    <s v="25-Jun-2026"/>
    <s v="Thursday"/>
    <s v="Monthly - Thursday"/>
    <s v="Monthly - Thursday"/>
    <s v="Month+2 Expiry"/>
    <n v="0"/>
    <n v="0"/>
    <n v="0"/>
  </r>
  <r>
    <s v="02-Apr-2026"/>
    <x v="3"/>
    <s v="Week1-Apr-2026"/>
    <x v="7"/>
    <s v="02-Apr-2026"/>
    <s v="Thursday"/>
    <s v="Weekly - Thursday"/>
    <s v="Weekly - Thursday"/>
    <s v="Same Month Expiry"/>
    <n v="599549226"/>
    <n v="87065709.450000003"/>
    <n v="83294"/>
  </r>
  <r>
    <s v="02-Apr-2026"/>
    <x v="3"/>
    <s v="Week1-Apr-2026"/>
    <x v="7"/>
    <s v="09-Apr-2026"/>
    <s v="Thursday"/>
    <s v="Weekly - Thursday"/>
    <s v="Weekly - Thursday"/>
    <s v="Same Month Expiry"/>
    <n v="1494154"/>
    <n v="219351.21"/>
    <n v="1866.6"/>
  </r>
  <r>
    <s v="02-Apr-2026"/>
    <x v="3"/>
    <s v="Week1-Apr-2026"/>
    <x v="7"/>
    <s v="16-Apr-2026"/>
    <s v="Thursday"/>
    <s v="Weekly - Thursday"/>
    <s v="Weekly - Thursday"/>
    <s v="Same Month Expiry"/>
    <n v="6848"/>
    <n v="1134.76"/>
    <n v="5.54"/>
  </r>
  <r>
    <s v="02-Apr-2026"/>
    <x v="3"/>
    <s v="Week1-Apr-2026"/>
    <x v="7"/>
    <s v="23-Apr-2026"/>
    <s v="Thursday"/>
    <s v="Weekly - Thursday"/>
    <s v="Weekly - Thursday"/>
    <s v="Same Month Expiry"/>
    <n v="33"/>
    <n v="5.14"/>
    <n v="0.06"/>
  </r>
  <r>
    <s v="02-Apr-2026"/>
    <x v="3"/>
    <s v="Week1-Apr-2026"/>
    <x v="7"/>
    <s v="30-Apr-2026"/>
    <s v="Thursday"/>
    <s v="Monthly - Thursday"/>
    <s v="Monthly - Thursday"/>
    <s v="Same Month Expiry"/>
    <n v="17082"/>
    <n v="2595.5"/>
    <n v="42.57"/>
  </r>
  <r>
    <s v="02-Apr-2026"/>
    <x v="3"/>
    <s v="Week1-Apr-2026"/>
    <x v="7"/>
    <s v="07-May-2026"/>
    <s v="Thursday"/>
    <s v="Weekly - Thursday"/>
    <s v="Weekly - Thursday"/>
    <s v="Month+1 Expiry"/>
    <n v="3"/>
    <n v="0.45"/>
    <n v="0.02"/>
  </r>
  <r>
    <s v="02-Apr-2026"/>
    <x v="3"/>
    <s v="Week1-Apr-2026"/>
    <x v="7"/>
    <s v="27-May-2026"/>
    <s v="Wednesday"/>
    <s v="Monthly - Wednesday"/>
    <s v="Monthly - Wednesday"/>
    <s v="Month+1 Expiry"/>
    <n v="0"/>
    <n v="0"/>
    <n v="0"/>
  </r>
  <r>
    <s v="02-Apr-2026"/>
    <x v="3"/>
    <s v="Week1-Apr-2026"/>
    <x v="7"/>
    <s v="25-Jun-2026"/>
    <s v="Thursday"/>
    <s v="Monthly - Thursday"/>
    <s v="Monthly - Thursday"/>
    <s v="Month+2 Expiry"/>
    <n v="0"/>
    <n v="0"/>
    <n v="0"/>
  </r>
  <r>
    <s v="06-Apr-2026"/>
    <x v="0"/>
    <s v="Week1-Apr-2026"/>
    <x v="7"/>
    <s v="09-Apr-2026"/>
    <s v="Thursday"/>
    <s v="Weekly - Thursday"/>
    <s v="Weekly - Thursday"/>
    <s v="Same Month Expiry"/>
    <n v="20759388"/>
    <n v="3076348.79"/>
    <n v="16226.17"/>
  </r>
  <r>
    <s v="06-Apr-2026"/>
    <x v="0"/>
    <s v="Week1-Apr-2026"/>
    <x v="7"/>
    <s v="16-Apr-2026"/>
    <s v="Thursday"/>
    <s v="Weekly - Thursday"/>
    <s v="Weekly - Thursday"/>
    <s v="Same Month Expiry"/>
    <n v="50940"/>
    <n v="7982.68"/>
    <n v="64.709999999999994"/>
  </r>
  <r>
    <s v="06-Apr-2026"/>
    <x v="0"/>
    <s v="Week1-Apr-2026"/>
    <x v="7"/>
    <s v="23-Apr-2026"/>
    <s v="Thursday"/>
    <s v="Weekly - Thursday"/>
    <s v="Weekly - Thursday"/>
    <s v="Same Month Expiry"/>
    <n v="12128"/>
    <n v="2089.36"/>
    <n v="0.78"/>
  </r>
  <r>
    <s v="06-Apr-2026"/>
    <x v="0"/>
    <s v="Week1-Apr-2026"/>
    <x v="7"/>
    <s v="30-Apr-2026"/>
    <s v="Thursday"/>
    <s v="Monthly - Thursday"/>
    <s v="Monthly - Thursday"/>
    <s v="Same Month Expiry"/>
    <n v="36769"/>
    <n v="6194.51"/>
    <n v="39.840000000000003"/>
  </r>
  <r>
    <s v="06-Apr-2026"/>
    <x v="0"/>
    <s v="Week1-Apr-2026"/>
    <x v="7"/>
    <s v="07-May-2026"/>
    <s v="Thursday"/>
    <s v="Weekly - Thursday"/>
    <s v="Weekly - Thursday"/>
    <s v="Month+1 Expiry"/>
    <n v="0"/>
    <n v="0"/>
    <n v="0"/>
  </r>
  <r>
    <s v="06-Apr-2026"/>
    <x v="0"/>
    <s v="Week1-Apr-2026"/>
    <x v="7"/>
    <s v="14-May-2026"/>
    <s v="Thursday"/>
    <s v="Weekly - Thursday"/>
    <s v="Weekly - Thursday"/>
    <s v="Month+1 Expiry"/>
    <n v="6"/>
    <n v="0.94"/>
    <n v="0.01"/>
  </r>
  <r>
    <s v="06-Apr-2026"/>
    <x v="0"/>
    <s v="Week1-Apr-2026"/>
    <x v="7"/>
    <s v="27-May-2026"/>
    <s v="Wednesday"/>
    <s v="Monthly - Wednesday"/>
    <s v="Monthly - Wednesday"/>
    <s v="Month+1 Expiry"/>
    <n v="61"/>
    <n v="9.2899999999999991"/>
    <n v="0.26"/>
  </r>
  <r>
    <s v="06-Apr-2026"/>
    <x v="0"/>
    <s v="Week1-Apr-2026"/>
    <x v="7"/>
    <s v="25-Jun-2026"/>
    <s v="Thursday"/>
    <s v="Monthly - Thursday"/>
    <s v="Monthly - Thursday"/>
    <s v="Month+2 Expiry"/>
    <n v="0"/>
    <n v="0"/>
    <n v="0"/>
  </r>
  <r>
    <s v="07-Apr-2026"/>
    <x v="1"/>
    <s v="Week1-Apr-2026"/>
    <x v="7"/>
    <s v="09-Apr-2026"/>
    <s v="Thursday"/>
    <s v="Weekly - Thursday"/>
    <s v="Weekly - Thursday"/>
    <s v="Same Month Expiry"/>
    <n v="20921296"/>
    <n v="3095558.22"/>
    <n v="14007.12"/>
  </r>
  <r>
    <s v="07-Apr-2026"/>
    <x v="1"/>
    <s v="Week1-Apr-2026"/>
    <x v="7"/>
    <s v="16-Apr-2026"/>
    <s v="Thursday"/>
    <s v="Weekly - Thursday"/>
    <s v="Weekly - Thursday"/>
    <s v="Same Month Expiry"/>
    <n v="141824"/>
    <n v="22193.77"/>
    <n v="160.79"/>
  </r>
  <r>
    <s v="07-Apr-2026"/>
    <x v="1"/>
    <s v="Week1-Apr-2026"/>
    <x v="7"/>
    <s v="23-Apr-2026"/>
    <s v="Thursday"/>
    <s v="Weekly - Thursday"/>
    <s v="Weekly - Thursday"/>
    <s v="Same Month Expiry"/>
    <n v="1144"/>
    <n v="199.42"/>
    <n v="0.02"/>
  </r>
  <r>
    <s v="07-Apr-2026"/>
    <x v="1"/>
    <s v="Week1-Apr-2026"/>
    <x v="7"/>
    <s v="30-Apr-2026"/>
    <s v="Thursday"/>
    <s v="Monthly - Thursday"/>
    <s v="Monthly - Thursday"/>
    <s v="Same Month Expiry"/>
    <n v="14498"/>
    <n v="2274.27"/>
    <n v="29.4"/>
  </r>
  <r>
    <s v="07-Apr-2026"/>
    <x v="1"/>
    <s v="Week1-Apr-2026"/>
    <x v="7"/>
    <s v="07-May-2026"/>
    <s v="Thursday"/>
    <s v="Weekly - Thursday"/>
    <s v="Weekly - Thursday"/>
    <s v="Month+1 Expiry"/>
    <n v="2"/>
    <n v="0.31"/>
    <n v="0.01"/>
  </r>
  <r>
    <s v="07-Apr-2026"/>
    <x v="1"/>
    <s v="Week1-Apr-2026"/>
    <x v="7"/>
    <s v="27-May-2026"/>
    <s v="Wednesday"/>
    <s v="Monthly - Wednesday"/>
    <s v="Monthly - Wednesday"/>
    <s v="Month+1 Expiry"/>
    <n v="810"/>
    <n v="124.23"/>
    <n v="4.3499999999999996"/>
  </r>
  <r>
    <s v="07-Apr-2026"/>
    <x v="1"/>
    <s v="Week1-Apr-2026"/>
    <x v="7"/>
    <s v="25-Jun-2026"/>
    <s v="Thursday"/>
    <s v="Monthly - Thursday"/>
    <s v="Monthly - Thursday"/>
    <s v="Month+2 Expiry"/>
    <n v="0"/>
    <n v="0"/>
    <n v="0"/>
  </r>
  <r>
    <s v="08-Apr-2026"/>
    <x v="2"/>
    <s v="Week2-Apr-2026"/>
    <x v="7"/>
    <s v="09-Apr-2026"/>
    <s v="Thursday"/>
    <s v="Weekly - Thursday"/>
    <s v="Weekly - Thursday"/>
    <s v="Same Month Expiry"/>
    <n v="106445866"/>
    <n v="16438242.859999999"/>
    <n v="41293.61"/>
  </r>
  <r>
    <s v="08-Apr-2026"/>
    <x v="2"/>
    <s v="Week2-Apr-2026"/>
    <x v="7"/>
    <s v="16-Apr-2026"/>
    <s v="Thursday"/>
    <s v="Weekly - Thursday"/>
    <s v="Weekly - Thursday"/>
    <s v="Same Month Expiry"/>
    <n v="436374"/>
    <n v="66913.850000000006"/>
    <n v="434.09"/>
  </r>
  <r>
    <s v="08-Apr-2026"/>
    <x v="2"/>
    <s v="Week2-Apr-2026"/>
    <x v="7"/>
    <s v="23-Apr-2026"/>
    <s v="Thursday"/>
    <s v="Weekly - Thursday"/>
    <s v="Weekly - Thursday"/>
    <s v="Same Month Expiry"/>
    <n v="700"/>
    <n v="112.89"/>
    <n v="1.2"/>
  </r>
  <r>
    <s v="08-Apr-2026"/>
    <x v="2"/>
    <s v="Week2-Apr-2026"/>
    <x v="7"/>
    <s v="30-Apr-2026"/>
    <s v="Thursday"/>
    <s v="Monthly - Thursday"/>
    <s v="Monthly - Thursday"/>
    <s v="Same Month Expiry"/>
    <n v="39964"/>
    <n v="6200.13"/>
    <n v="63.26"/>
  </r>
  <r>
    <s v="08-Apr-2026"/>
    <x v="2"/>
    <s v="Week2-Apr-2026"/>
    <x v="7"/>
    <s v="07-May-2026"/>
    <s v="Thursday"/>
    <s v="Weekly - Thursday"/>
    <s v="Weekly - Thursday"/>
    <s v="Month+1 Expiry"/>
    <n v="1"/>
    <n v="0.15"/>
    <n v="0.01"/>
  </r>
  <r>
    <s v="08-Apr-2026"/>
    <x v="2"/>
    <s v="Week2-Apr-2026"/>
    <x v="7"/>
    <s v="27-May-2026"/>
    <s v="Wednesday"/>
    <s v="Monthly - Wednesday"/>
    <s v="Monthly - Wednesday"/>
    <s v="Month+1 Expiry"/>
    <n v="1"/>
    <n v="0.15"/>
    <n v="0.01"/>
  </r>
  <r>
    <s v="08-Apr-2026"/>
    <x v="2"/>
    <s v="Week2-Apr-2026"/>
    <x v="7"/>
    <s v="25-Jun-2026"/>
    <s v="Thursday"/>
    <s v="Monthly - Thursday"/>
    <s v="Monthly - Thursday"/>
    <s v="Month+2 Expiry"/>
    <n v="0"/>
    <n v="0"/>
    <n v="0"/>
  </r>
  <r>
    <s v="09-Apr-2026"/>
    <x v="3"/>
    <s v="Week2-Apr-2026"/>
    <x v="7"/>
    <s v="09-Apr-2026"/>
    <s v="Thursday"/>
    <s v="Weekly - Thursday"/>
    <s v="Weekly - Thursday"/>
    <s v="Same Month Expiry"/>
    <n v="557236168"/>
    <n v="85645752.090000004"/>
    <n v="76242.460000000006"/>
  </r>
  <r>
    <s v="09-Apr-2026"/>
    <x v="3"/>
    <s v="Week2-Apr-2026"/>
    <x v="7"/>
    <s v="16-Apr-2026"/>
    <s v="Thursday"/>
    <s v="Weekly - Thursday"/>
    <s v="Weekly - Thursday"/>
    <s v="Same Month Expiry"/>
    <n v="1515370"/>
    <n v="234035.86"/>
    <n v="1442.07"/>
  </r>
  <r>
    <s v="09-Apr-2026"/>
    <x v="3"/>
    <s v="Week2-Apr-2026"/>
    <x v="7"/>
    <s v="23-Apr-2026"/>
    <s v="Thursday"/>
    <s v="Weekly - Thursday"/>
    <s v="Weekly - Thursday"/>
    <s v="Same Month Expiry"/>
    <n v="3119"/>
    <n v="497.27"/>
    <n v="4.62"/>
  </r>
  <r>
    <s v="09-Apr-2026"/>
    <x v="3"/>
    <s v="Week2-Apr-2026"/>
    <x v="7"/>
    <s v="30-Apr-2026"/>
    <s v="Thursday"/>
    <s v="Monthly - Thursday"/>
    <s v="Monthly - Thursday"/>
    <s v="Same Month Expiry"/>
    <n v="42179"/>
    <n v="6539.21"/>
    <n v="61.71"/>
  </r>
  <r>
    <s v="09-Apr-2026"/>
    <x v="3"/>
    <s v="Week2-Apr-2026"/>
    <x v="7"/>
    <s v="07-May-2026"/>
    <s v="Thursday"/>
    <s v="Weekly - Thursday"/>
    <s v="Weekly - Thursday"/>
    <s v="Month+1 Expiry"/>
    <n v="23"/>
    <n v="3.59"/>
    <n v="0.1"/>
  </r>
  <r>
    <s v="09-Apr-2026"/>
    <x v="3"/>
    <s v="Week2-Apr-2026"/>
    <x v="7"/>
    <s v="27-May-2026"/>
    <s v="Wednesday"/>
    <s v="Monthly - Wednesday"/>
    <s v="Monthly - Wednesday"/>
    <s v="Month+1 Expiry"/>
    <n v="100"/>
    <n v="15.84"/>
    <n v="0.43"/>
  </r>
  <r>
    <s v="09-Apr-2026"/>
    <x v="3"/>
    <s v="Week2-Apr-2026"/>
    <x v="7"/>
    <s v="25-Jun-2026"/>
    <s v="Thursday"/>
    <s v="Monthly - Thursday"/>
    <s v="Monthly - Thursday"/>
    <s v="Month+2 Expiry"/>
    <n v="0"/>
    <n v="0"/>
    <n v="0"/>
  </r>
  <r>
    <s v="10-Apr-2026"/>
    <x v="4"/>
    <s v="Week2-Apr-2026"/>
    <x v="7"/>
    <s v="16-Apr-2026"/>
    <s v="Thursday"/>
    <s v="Weekly - Thursday"/>
    <s v="Weekly - Thursday"/>
    <s v="Same Month Expiry"/>
    <n v="12731198"/>
    <n v="1972379.56"/>
    <n v="9970.57"/>
  </r>
  <r>
    <s v="10-Apr-2026"/>
    <x v="4"/>
    <s v="Week2-Apr-2026"/>
    <x v="7"/>
    <s v="23-Apr-2026"/>
    <s v="Thursday"/>
    <s v="Weekly - Thursday"/>
    <s v="Weekly - Thursday"/>
    <s v="Same Month Expiry"/>
    <n v="36292"/>
    <n v="5691.55"/>
    <n v="58.33"/>
  </r>
  <r>
    <s v="10-Apr-2026"/>
    <x v="4"/>
    <s v="Week2-Apr-2026"/>
    <x v="7"/>
    <s v="30-Apr-2026"/>
    <s v="Thursday"/>
    <s v="Monthly - Thursday"/>
    <s v="Monthly - Thursday"/>
    <s v="Same Month Expiry"/>
    <n v="21704"/>
    <n v="3359.77"/>
    <n v="27.37"/>
  </r>
  <r>
    <s v="10-Apr-2026"/>
    <x v="4"/>
    <s v="Week2-Apr-2026"/>
    <x v="7"/>
    <s v="07-May-2026"/>
    <s v="Thursday"/>
    <s v="Weekly - Thursday"/>
    <s v="Weekly - Thursday"/>
    <s v="Month+1 Expiry"/>
    <n v="2"/>
    <n v="0.33"/>
    <n v="0"/>
  </r>
  <r>
    <s v="10-Apr-2026"/>
    <x v="4"/>
    <s v="Week2-Apr-2026"/>
    <x v="7"/>
    <s v="27-May-2026"/>
    <s v="Wednesday"/>
    <s v="Monthly - Wednesday"/>
    <s v="Monthly - Wednesday"/>
    <s v="Month+1 Expiry"/>
    <n v="2"/>
    <n v="0.32"/>
    <n v="0.01"/>
  </r>
  <r>
    <s v="10-Apr-2026"/>
    <x v="4"/>
    <s v="Week2-Apr-2026"/>
    <x v="7"/>
    <s v="25-Jun-2026"/>
    <s v="Thursday"/>
    <s v="Monthly - Thursday"/>
    <s v="Monthly - Thursday"/>
    <s v="Month+2 Expiry"/>
    <n v="1"/>
    <n v="0.18"/>
    <n v="0"/>
  </r>
  <r>
    <s v="13-Apr-2026"/>
    <x v="0"/>
    <s v="Week2-Apr-2026"/>
    <x v="7"/>
    <s v="16-Apr-2026"/>
    <s v="Thursday"/>
    <s v="Weekly - Thursday"/>
    <s v="Weekly - Thursday"/>
    <s v="Same Month Expiry"/>
    <n v="19345986"/>
    <n v="2969231.22"/>
    <n v="11766.73"/>
  </r>
  <r>
    <s v="13-Apr-2026"/>
    <x v="0"/>
    <s v="Week2-Apr-2026"/>
    <x v="7"/>
    <s v="23-Apr-2026"/>
    <s v="Thursday"/>
    <s v="Weekly - Thursday"/>
    <s v="Weekly - Thursday"/>
    <s v="Same Month Expiry"/>
    <n v="79089"/>
    <n v="12315.62"/>
    <n v="106.84"/>
  </r>
  <r>
    <s v="13-Apr-2026"/>
    <x v="0"/>
    <s v="Week2-Apr-2026"/>
    <x v="7"/>
    <s v="30-Apr-2026"/>
    <s v="Thursday"/>
    <s v="Monthly - Thursday"/>
    <s v="Monthly - Thursday"/>
    <s v="Same Month Expiry"/>
    <n v="25768"/>
    <n v="3981.03"/>
    <n v="33.479999999999997"/>
  </r>
  <r>
    <s v="13-Apr-2026"/>
    <x v="0"/>
    <s v="Week2-Apr-2026"/>
    <x v="7"/>
    <s v="07-May-2026"/>
    <s v="Thursday"/>
    <s v="Weekly - Thursday"/>
    <s v="Weekly - Thursday"/>
    <s v="Month+1 Expiry"/>
    <n v="97"/>
    <n v="15.22"/>
    <n v="0.34"/>
  </r>
  <r>
    <s v="13-Apr-2026"/>
    <x v="0"/>
    <s v="Week2-Apr-2026"/>
    <x v="7"/>
    <s v="27-May-2026"/>
    <s v="Wednesday"/>
    <s v="Monthly - Wednesday"/>
    <s v="Monthly - Wednesday"/>
    <s v="Month+1 Expiry"/>
    <n v="102"/>
    <n v="16.010000000000002"/>
    <n v="0.38"/>
  </r>
  <r>
    <s v="13-Apr-2026"/>
    <x v="0"/>
    <s v="Week2-Apr-2026"/>
    <x v="7"/>
    <s v="25-Jun-2026"/>
    <s v="Thursday"/>
    <s v="Monthly - Thursday"/>
    <s v="Monthly - Thursday"/>
    <s v="Month+2 Expiry"/>
    <n v="4"/>
    <n v="0.72"/>
    <n v="0"/>
  </r>
  <r>
    <s v="15-Apr-2026"/>
    <x v="2"/>
    <s v="Week3-Apr-2026"/>
    <x v="7"/>
    <s v="16-Apr-2026"/>
    <s v="Thursday"/>
    <s v="Weekly - Thursday"/>
    <s v="Weekly - Thursday"/>
    <s v="Same Month Expiry"/>
    <n v="99256587"/>
    <n v="15483896.18"/>
    <n v="34376.660000000003"/>
  </r>
  <r>
    <s v="15-Apr-2026"/>
    <x v="2"/>
    <s v="Week3-Apr-2026"/>
    <x v="7"/>
    <s v="23-Apr-2026"/>
    <s v="Thursday"/>
    <s v="Weekly - Thursday"/>
    <s v="Weekly - Thursday"/>
    <s v="Same Month Expiry"/>
    <n v="324760"/>
    <n v="50722.65"/>
    <n v="326.8"/>
  </r>
  <r>
    <s v="15-Apr-2026"/>
    <x v="2"/>
    <s v="Week3-Apr-2026"/>
    <x v="7"/>
    <s v="30-Apr-2026"/>
    <s v="Thursday"/>
    <s v="Monthly - Thursday"/>
    <s v="Monthly - Thursday"/>
    <s v="Same Month Expiry"/>
    <n v="32791"/>
    <n v="5142.1000000000004"/>
    <n v="45.44"/>
  </r>
  <r>
    <s v="15-Apr-2026"/>
    <x v="2"/>
    <s v="Week3-Apr-2026"/>
    <x v="7"/>
    <s v="07-May-2026"/>
    <s v="Thursday"/>
    <s v="Weekly - Thursday"/>
    <s v="Weekly - Thursday"/>
    <s v="Month+1 Expiry"/>
    <n v="223"/>
    <n v="35.58"/>
    <n v="0.52"/>
  </r>
  <r>
    <s v="15-Apr-2026"/>
    <x v="2"/>
    <s v="Week3-Apr-2026"/>
    <x v="7"/>
    <s v="14-May-2026"/>
    <s v="Thursday"/>
    <s v="Weekly - Thursday"/>
    <s v="Weekly - Thursday"/>
    <s v="Month+1 Expiry"/>
    <n v="3"/>
    <n v="0.49"/>
    <n v="0.01"/>
  </r>
  <r>
    <s v="15-Apr-2026"/>
    <x v="2"/>
    <s v="Week3-Apr-2026"/>
    <x v="7"/>
    <s v="27-May-2026"/>
    <s v="Wednesday"/>
    <s v="Monthly - Wednesday"/>
    <s v="Monthly - Wednesday"/>
    <s v="Month+1 Expiry"/>
    <n v="298"/>
    <n v="47.84"/>
    <n v="1.08"/>
  </r>
  <r>
    <s v="15-Apr-2026"/>
    <x v="2"/>
    <s v="Week3-Apr-2026"/>
    <x v="7"/>
    <s v="25-Jun-2026"/>
    <s v="Thursday"/>
    <s v="Monthly - Thursday"/>
    <s v="Monthly - Thursday"/>
    <s v="Month+2 Expiry"/>
    <n v="4"/>
    <n v="0.72"/>
    <n v="0"/>
  </r>
  <r>
    <s v="16-Apr-2026"/>
    <x v="3"/>
    <s v="Week3-Apr-2026"/>
    <x v="7"/>
    <s v="16-Apr-2026"/>
    <s v="Thursday"/>
    <s v="Weekly - Thursday"/>
    <s v="Weekly - Thursday"/>
    <s v="Same Month Expiry"/>
    <n v="542010071"/>
    <n v="84701228.469999999"/>
    <n v="68327.13"/>
  </r>
  <r>
    <s v="16-Apr-2026"/>
    <x v="3"/>
    <s v="Week3-Apr-2026"/>
    <x v="7"/>
    <s v="23-Apr-2026"/>
    <s v="Thursday"/>
    <s v="Weekly - Thursday"/>
    <s v="Weekly - Thursday"/>
    <s v="Same Month Expiry"/>
    <n v="1666236"/>
    <n v="261332.04"/>
    <n v="1332.84"/>
  </r>
  <r>
    <s v="16-Apr-2026"/>
    <x v="3"/>
    <s v="Week3-Apr-2026"/>
    <x v="7"/>
    <s v="30-Apr-2026"/>
    <s v="Thursday"/>
    <s v="Monthly - Thursday"/>
    <s v="Monthly - Thursday"/>
    <s v="Same Month Expiry"/>
    <n v="44407"/>
    <n v="7002.01"/>
    <n v="61.95"/>
  </r>
  <r>
    <s v="16-Apr-2026"/>
    <x v="3"/>
    <s v="Week3-Apr-2026"/>
    <x v="7"/>
    <s v="07-May-2026"/>
    <s v="Thursday"/>
    <s v="Weekly - Thursday"/>
    <s v="Weekly - Thursday"/>
    <s v="Month+1 Expiry"/>
    <n v="1811"/>
    <n v="288.22000000000003"/>
    <n v="4.6500000000000004"/>
  </r>
  <r>
    <s v="16-Apr-2026"/>
    <x v="3"/>
    <s v="Week3-Apr-2026"/>
    <x v="7"/>
    <s v="14-May-2026"/>
    <s v="Thursday"/>
    <s v="Weekly - Thursday"/>
    <s v="Weekly - Thursday"/>
    <s v="Month+1 Expiry"/>
    <n v="2"/>
    <n v="0.32"/>
    <n v="0.01"/>
  </r>
  <r>
    <s v="16-Apr-2026"/>
    <x v="3"/>
    <s v="Week3-Apr-2026"/>
    <x v="7"/>
    <s v="27-May-2026"/>
    <s v="Wednesday"/>
    <s v="Monthly - Wednesday"/>
    <s v="Monthly - Wednesday"/>
    <s v="Month+1 Expiry"/>
    <n v="1156"/>
    <n v="185.13"/>
    <n v="3.67"/>
  </r>
  <r>
    <s v="16-Apr-2026"/>
    <x v="3"/>
    <s v="Week3-Apr-2026"/>
    <x v="7"/>
    <s v="25-Jun-2026"/>
    <s v="Thursday"/>
    <s v="Monthly - Thursday"/>
    <s v="Monthly - Thursday"/>
    <s v="Month+2 Expiry"/>
    <n v="7"/>
    <n v="1.26"/>
    <n v="0"/>
  </r>
  <r>
    <s v="17-Apr-2026"/>
    <x v="4"/>
    <s v="Week3-Apr-2026"/>
    <x v="7"/>
    <s v="23-Apr-2026"/>
    <s v="Thursday"/>
    <s v="Weekly - Thursday"/>
    <s v="Weekly - Thursday"/>
    <s v="Same Month Expiry"/>
    <n v="12276342"/>
    <n v="1931494.72"/>
    <n v="8989.01"/>
  </r>
  <r>
    <s v="17-Apr-2026"/>
    <x v="4"/>
    <s v="Week3-Apr-2026"/>
    <x v="7"/>
    <s v="30-Apr-2026"/>
    <s v="Thursday"/>
    <s v="Monthly - Thursday"/>
    <s v="Monthly - Thursday"/>
    <s v="Same Month Expiry"/>
    <n v="91788"/>
    <n v="14466.31"/>
    <n v="93.29"/>
  </r>
  <r>
    <s v="17-Apr-2026"/>
    <x v="4"/>
    <s v="Week3-Apr-2026"/>
    <x v="7"/>
    <s v="07-May-2026"/>
    <s v="Thursday"/>
    <s v="Weekly - Thursday"/>
    <s v="Weekly - Thursday"/>
    <s v="Month+1 Expiry"/>
    <n v="1388"/>
    <n v="221.17"/>
    <n v="2.9"/>
  </r>
  <r>
    <s v="17-Apr-2026"/>
    <x v="4"/>
    <s v="Week3-Apr-2026"/>
    <x v="7"/>
    <s v="14-May-2026"/>
    <s v="Thursday"/>
    <s v="Weekly - Thursday"/>
    <s v="Weekly - Thursday"/>
    <s v="Month+1 Expiry"/>
    <n v="0"/>
    <n v="0"/>
    <n v="0"/>
  </r>
  <r>
    <s v="17-Apr-2026"/>
    <x v="4"/>
    <s v="Week3-Apr-2026"/>
    <x v="7"/>
    <s v="27-May-2026"/>
    <s v="Wednesday"/>
    <s v="Monthly - Wednesday"/>
    <s v="Monthly - Wednesday"/>
    <s v="Month+1 Expiry"/>
    <n v="862"/>
    <n v="139.41999999999999"/>
    <n v="2.48"/>
  </r>
  <r>
    <s v="17-Apr-2026"/>
    <x v="4"/>
    <s v="Week3-Apr-2026"/>
    <x v="7"/>
    <s v="25-Jun-2026"/>
    <s v="Thursday"/>
    <s v="Monthly - Thursday"/>
    <s v="Monthly - Thursday"/>
    <s v="Month+2 Expiry"/>
    <n v="0"/>
    <n v="0"/>
    <n v="0"/>
  </r>
  <r>
    <s v="20-Apr-2026"/>
    <x v="0"/>
    <s v="Week3-Apr-2026"/>
    <x v="7"/>
    <s v="23-Apr-2026"/>
    <s v="Thursday"/>
    <s v="Weekly - Thursday"/>
    <s v="Weekly - Thursday"/>
    <s v="Same Month Expiry"/>
    <n v="17694914"/>
    <n v="2788297.39"/>
    <n v="11712.47"/>
  </r>
  <r>
    <s v="20-Apr-2026"/>
    <x v="0"/>
    <s v="Week3-Apr-2026"/>
    <x v="7"/>
    <s v="30-Apr-2026"/>
    <s v="Thursday"/>
    <s v="Monthly - Thursday"/>
    <s v="Monthly - Thursday"/>
    <s v="Same Month Expiry"/>
    <n v="193645"/>
    <n v="30563.41"/>
    <n v="168.41"/>
  </r>
  <r>
    <s v="20-Apr-2026"/>
    <x v="0"/>
    <s v="Week3-Apr-2026"/>
    <x v="7"/>
    <s v="07-May-2026"/>
    <s v="Thursday"/>
    <s v="Weekly - Thursday"/>
    <s v="Weekly - Thursday"/>
    <s v="Month+1 Expiry"/>
    <n v="1596"/>
    <n v="255.32"/>
    <n v="3.08"/>
  </r>
  <r>
    <s v="20-Apr-2026"/>
    <x v="0"/>
    <s v="Week3-Apr-2026"/>
    <x v="7"/>
    <s v="14-May-2026"/>
    <s v="Thursday"/>
    <s v="Weekly - Thursday"/>
    <s v="Weekly - Thursday"/>
    <s v="Month+1 Expiry"/>
    <n v="13"/>
    <n v="2.11"/>
    <n v="0.02"/>
  </r>
  <r>
    <s v="20-Apr-2026"/>
    <x v="0"/>
    <s v="Week3-Apr-2026"/>
    <x v="7"/>
    <s v="27-May-2026"/>
    <s v="Wednesday"/>
    <s v="Monthly - Wednesday"/>
    <s v="Monthly - Wednesday"/>
    <s v="Month+1 Expiry"/>
    <n v="1351"/>
    <n v="221.41"/>
    <n v="2.97"/>
  </r>
  <r>
    <s v="20-Apr-2026"/>
    <x v="0"/>
    <s v="Week3-Apr-2026"/>
    <x v="7"/>
    <s v="25-Jun-2026"/>
    <s v="Thursday"/>
    <s v="Monthly - Thursday"/>
    <s v="Monthly - Thursday"/>
    <s v="Month+2 Expiry"/>
    <n v="2"/>
    <n v="0.36"/>
    <n v="0"/>
  </r>
  <r>
    <s v="21-Apr-2026"/>
    <x v="1"/>
    <s v="Week3-Apr-2026"/>
    <x v="7"/>
    <s v="23-Apr-2026"/>
    <s v="Thursday"/>
    <s v="Weekly - Thursday"/>
    <s v="Weekly - Thursday"/>
    <s v="Same Month Expiry"/>
    <n v="17992610"/>
    <n v="2835265.53"/>
    <n v="8813.5"/>
  </r>
  <r>
    <s v="21-Apr-2026"/>
    <x v="1"/>
    <s v="Week3-Apr-2026"/>
    <x v="7"/>
    <s v="30-Apr-2026"/>
    <s v="Thursday"/>
    <s v="Monthly - Thursday"/>
    <s v="Monthly - Thursday"/>
    <s v="Same Month Expiry"/>
    <n v="210243"/>
    <n v="33213.360000000001"/>
    <n v="164.21"/>
  </r>
  <r>
    <s v="21-Apr-2026"/>
    <x v="1"/>
    <s v="Week3-Apr-2026"/>
    <x v="7"/>
    <s v="07-May-2026"/>
    <s v="Thursday"/>
    <s v="Weekly - Thursday"/>
    <s v="Weekly - Thursday"/>
    <s v="Month+1 Expiry"/>
    <n v="2707"/>
    <n v="432.27"/>
    <n v="3.71"/>
  </r>
  <r>
    <s v="21-Apr-2026"/>
    <x v="1"/>
    <s v="Week3-Apr-2026"/>
    <x v="7"/>
    <s v="14-May-2026"/>
    <s v="Thursday"/>
    <s v="Weekly - Thursday"/>
    <s v="Weekly - Thursday"/>
    <s v="Month+1 Expiry"/>
    <n v="18"/>
    <n v="2.94"/>
    <n v="0.03"/>
  </r>
  <r>
    <s v="21-Apr-2026"/>
    <x v="1"/>
    <s v="Week3-Apr-2026"/>
    <x v="7"/>
    <s v="27-May-2026"/>
    <s v="Wednesday"/>
    <s v="Monthly - Wednesday"/>
    <s v="Monthly - Wednesday"/>
    <s v="Month+1 Expiry"/>
    <n v="2427"/>
    <n v="392.86"/>
    <n v="5.23"/>
  </r>
  <r>
    <s v="21-Apr-2026"/>
    <x v="1"/>
    <s v="Week3-Apr-2026"/>
    <x v="7"/>
    <s v="25-Jun-2026"/>
    <s v="Thursday"/>
    <s v="Monthly - Thursday"/>
    <s v="Monthly - Thursday"/>
    <s v="Month+2 Expiry"/>
    <n v="3"/>
    <n v="0.54"/>
    <n v="0"/>
  </r>
  <r>
    <s v="22-Apr-2026"/>
    <x v="2"/>
    <s v="Week4-Apr-2026"/>
    <x v="7"/>
    <s v="23-Apr-2026"/>
    <s v="Thursday"/>
    <s v="Weekly - Thursday"/>
    <s v="Weekly - Thursday"/>
    <s v="Same Month Expiry"/>
    <n v="90849550"/>
    <n v="14325221.789999999"/>
    <n v="32847.050000000003"/>
  </r>
  <r>
    <s v="22-Apr-2026"/>
    <x v="2"/>
    <s v="Week4-Apr-2026"/>
    <x v="7"/>
    <s v="30-Apr-2026"/>
    <s v="Thursday"/>
    <s v="Monthly - Thursday"/>
    <s v="Monthly - Thursday"/>
    <s v="Same Month Expiry"/>
    <n v="484520"/>
    <n v="76314.84"/>
    <n v="399.81"/>
  </r>
  <r>
    <s v="22-Apr-2026"/>
    <x v="2"/>
    <s v="Week4-Apr-2026"/>
    <x v="7"/>
    <s v="07-May-2026"/>
    <s v="Thursday"/>
    <s v="Weekly - Thursday"/>
    <s v="Weekly - Thursday"/>
    <s v="Month+1 Expiry"/>
    <n v="5539"/>
    <n v="886.09"/>
    <n v="8.1300000000000008"/>
  </r>
  <r>
    <s v="22-Apr-2026"/>
    <x v="2"/>
    <s v="Week4-Apr-2026"/>
    <x v="7"/>
    <s v="14-May-2026"/>
    <s v="Thursday"/>
    <s v="Weekly - Thursday"/>
    <s v="Weekly - Thursday"/>
    <s v="Month+1 Expiry"/>
    <n v="74"/>
    <n v="11.88"/>
    <n v="0.23"/>
  </r>
  <r>
    <s v="22-Apr-2026"/>
    <x v="2"/>
    <s v="Week4-Apr-2026"/>
    <x v="7"/>
    <s v="27-May-2026"/>
    <s v="Wednesday"/>
    <s v="Monthly - Wednesday"/>
    <s v="Monthly - Wednesday"/>
    <s v="Month+1 Expiry"/>
    <n v="3095"/>
    <n v="500.37"/>
    <n v="6.34"/>
  </r>
  <r>
    <s v="22-Apr-2026"/>
    <x v="2"/>
    <s v="Week4-Apr-2026"/>
    <x v="7"/>
    <s v="25-Jun-2026"/>
    <s v="Thursday"/>
    <s v="Monthly - Thursday"/>
    <s v="Monthly - Thursday"/>
    <s v="Month+2 Expiry"/>
    <n v="2"/>
    <n v="0.34"/>
    <n v="0"/>
  </r>
  <r>
    <s v="23-Apr-2026"/>
    <x v="3"/>
    <s v="Week4-Apr-2026"/>
    <x v="7"/>
    <s v="23-Apr-2026"/>
    <s v="Thursday"/>
    <s v="Weekly - Thursday"/>
    <s v="Weekly - Thursday"/>
    <s v="Same Month Expiry"/>
    <n v="500132473"/>
    <n v="77968662.680000007"/>
    <n v="55799.77"/>
  </r>
  <r>
    <s v="23-Apr-2026"/>
    <x v="3"/>
    <s v="Week4-Apr-2026"/>
    <x v="7"/>
    <s v="30-Apr-2026"/>
    <s v="Thursday"/>
    <s v="Monthly - Thursday"/>
    <s v="Monthly - Thursday"/>
    <s v="Same Month Expiry"/>
    <n v="1614722"/>
    <n v="252704.85"/>
    <n v="1214.97"/>
  </r>
  <r>
    <s v="23-Apr-2026"/>
    <x v="3"/>
    <s v="Week4-Apr-2026"/>
    <x v="7"/>
    <s v="07-May-2026"/>
    <s v="Thursday"/>
    <s v="Weekly - Thursday"/>
    <s v="Weekly - Thursday"/>
    <s v="Month+1 Expiry"/>
    <n v="12004"/>
    <n v="1915.28"/>
    <n v="15.62"/>
  </r>
  <r>
    <s v="23-Apr-2026"/>
    <x v="3"/>
    <s v="Week4-Apr-2026"/>
    <x v="7"/>
    <s v="14-May-2026"/>
    <s v="Thursday"/>
    <s v="Weekly - Thursday"/>
    <s v="Weekly - Thursday"/>
    <s v="Month+1 Expiry"/>
    <n v="115"/>
    <n v="18.28"/>
    <n v="0.34"/>
  </r>
  <r>
    <s v="23-Apr-2026"/>
    <x v="3"/>
    <s v="Week4-Apr-2026"/>
    <x v="7"/>
    <s v="21-May-2026"/>
    <s v="Thursday"/>
    <s v="Weekly - Thursday"/>
    <s v="Weekly - Thursday"/>
    <s v="Month+1 Expiry"/>
    <n v="2"/>
    <n v="0.32"/>
    <n v="0.02"/>
  </r>
  <r>
    <s v="23-Apr-2026"/>
    <x v="3"/>
    <s v="Week4-Apr-2026"/>
    <x v="7"/>
    <s v="27-May-2026"/>
    <s v="Wednesday"/>
    <s v="Monthly - Wednesday"/>
    <s v="Monthly - Wednesday"/>
    <s v="Month+1 Expiry"/>
    <n v="3965"/>
    <n v="641.44000000000005"/>
    <n v="7.78"/>
  </r>
  <r>
    <s v="23-Apr-2026"/>
    <x v="3"/>
    <s v="Week4-Apr-2026"/>
    <x v="7"/>
    <s v="25-Jun-2026"/>
    <s v="Thursday"/>
    <s v="Monthly - Thursday"/>
    <s v="Monthly - Thursday"/>
    <s v="Month+2 Expiry"/>
    <n v="13"/>
    <n v="2.34"/>
    <n v="0"/>
  </r>
  <r>
    <s v="24-Apr-2026"/>
    <x v="4"/>
    <s v="Week4-Apr-2026"/>
    <x v="7"/>
    <s v="30-Apr-2026"/>
    <s v="Thursday"/>
    <s v="Monthly - Thursday"/>
    <s v="MDAW - Thursday"/>
    <s v="Same Month Expiry"/>
    <n v="12823711"/>
    <n v="1981501.23"/>
    <n v="9254.7099999999991"/>
  </r>
  <r>
    <s v="24-Apr-2026"/>
    <x v="4"/>
    <s v="Week4-Apr-2026"/>
    <x v="7"/>
    <s v="07-May-2026"/>
    <s v="Thursday"/>
    <s v="Weekly - Thursday"/>
    <s v="Weekly - Thursday"/>
    <s v="Month+1 Expiry"/>
    <n v="45252"/>
    <n v="7103.25"/>
    <n v="54.62"/>
  </r>
  <r>
    <s v="24-Apr-2026"/>
    <x v="4"/>
    <s v="Week4-Apr-2026"/>
    <x v="7"/>
    <s v="14-May-2026"/>
    <s v="Thursday"/>
    <s v="Weekly - Thursday"/>
    <s v="Weekly - Thursday"/>
    <s v="Month+1 Expiry"/>
    <n v="356"/>
    <n v="55.92"/>
    <n v="1.06"/>
  </r>
  <r>
    <s v="24-Apr-2026"/>
    <x v="4"/>
    <s v="Week4-Apr-2026"/>
    <x v="7"/>
    <s v="21-May-2026"/>
    <s v="Thursday"/>
    <s v="Weekly - Thursday"/>
    <s v="Weekly - Thursday"/>
    <s v="Month+1 Expiry"/>
    <n v="1"/>
    <n v="0.16"/>
    <n v="0"/>
  </r>
  <r>
    <s v="24-Apr-2026"/>
    <x v="4"/>
    <s v="Week4-Apr-2026"/>
    <x v="7"/>
    <s v="27-May-2026"/>
    <s v="Wednesday"/>
    <s v="Monthly - Wednesday"/>
    <s v="Monthly - Wednesday"/>
    <s v="Month+1 Expiry"/>
    <n v="4970"/>
    <n v="795.3"/>
    <n v="10.199999999999999"/>
  </r>
  <r>
    <s v="24-Apr-2026"/>
    <x v="4"/>
    <s v="Week4-Apr-2026"/>
    <x v="7"/>
    <s v="25-Jun-2026"/>
    <s v="Thursday"/>
    <s v="Monthly - Thursday"/>
    <s v="Monthly - Thursday"/>
    <s v="Month+2 Expiry"/>
    <n v="165"/>
    <n v="26.33"/>
    <n v="0.75"/>
  </r>
  <r>
    <s v="27-Apr-2026"/>
    <x v="0"/>
    <s v="Week4-Apr-2026"/>
    <x v="7"/>
    <s v="30-Apr-2026"/>
    <s v="Thursday"/>
    <s v="Monthly - Thursday"/>
    <s v="MDAW - Thursday"/>
    <s v="Same Month Expiry"/>
    <n v="15077713"/>
    <n v="2334229.15"/>
    <n v="8788.36"/>
  </r>
  <r>
    <s v="27-Apr-2026"/>
    <x v="0"/>
    <s v="Week4-Apr-2026"/>
    <x v="7"/>
    <s v="07-May-2026"/>
    <s v="Thursday"/>
    <s v="Weekly - Thursday"/>
    <s v="Weekly - Thursday"/>
    <s v="Month+1 Expiry"/>
    <n v="84862"/>
    <n v="13284.34"/>
    <n v="77.06"/>
  </r>
  <r>
    <s v="27-Apr-2026"/>
    <x v="0"/>
    <s v="Week4-Apr-2026"/>
    <x v="7"/>
    <s v="14-May-2026"/>
    <s v="Thursday"/>
    <s v="Weekly - Thursday"/>
    <s v="Weekly - Thursday"/>
    <s v="Month+1 Expiry"/>
    <n v="695"/>
    <n v="109.96"/>
    <n v="1.84"/>
  </r>
  <r>
    <s v="27-Apr-2026"/>
    <x v="0"/>
    <s v="Week4-Apr-2026"/>
    <x v="7"/>
    <s v="21-May-2026"/>
    <s v="Thursday"/>
    <s v="Weekly - Thursday"/>
    <s v="Weekly - Thursday"/>
    <s v="Month+1 Expiry"/>
    <n v="34"/>
    <n v="5.7"/>
    <n v="0.01"/>
  </r>
  <r>
    <s v="27-Apr-2026"/>
    <x v="0"/>
    <s v="Week4-Apr-2026"/>
    <x v="7"/>
    <s v="27-May-2026"/>
    <s v="Wednesday"/>
    <s v="Monthly - Wednesday"/>
    <s v="Monthly - Wednesday"/>
    <s v="Month+1 Expiry"/>
    <n v="3499"/>
    <n v="556.12"/>
    <n v="6.86"/>
  </r>
  <r>
    <s v="27-Apr-2026"/>
    <x v="0"/>
    <s v="Week4-Apr-2026"/>
    <x v="7"/>
    <s v="25-Jun-2026"/>
    <s v="Thursday"/>
    <s v="Monthly - Thursday"/>
    <s v="Monthly - Thursday"/>
    <s v="Month+2 Expiry"/>
    <n v="15"/>
    <n v="2.44"/>
    <n v="0.06"/>
  </r>
  <r>
    <s v="28-Apr-2026"/>
    <x v="1"/>
    <s v="Week4-Apr-2026"/>
    <x v="7"/>
    <s v="30-Apr-2026"/>
    <s v="Thursday"/>
    <s v="Monthly - Thursday"/>
    <s v="MDAW - Thursday"/>
    <s v="Same Month Expiry"/>
    <n v="22416130"/>
    <n v="3461499.07"/>
    <n v="9127.0300000000007"/>
  </r>
  <r>
    <s v="28-Apr-2026"/>
    <x v="1"/>
    <s v="Week4-Apr-2026"/>
    <x v="7"/>
    <s v="07-May-2026"/>
    <s v="Thursday"/>
    <s v="Weekly - Thursday"/>
    <s v="Weekly - Thursday"/>
    <s v="Month+1 Expiry"/>
    <n v="215690"/>
    <n v="33549.64"/>
    <n v="143.74"/>
  </r>
  <r>
    <s v="28-Apr-2026"/>
    <x v="1"/>
    <s v="Week4-Apr-2026"/>
    <x v="7"/>
    <s v="14-May-2026"/>
    <s v="Thursday"/>
    <s v="Weekly - Thursday"/>
    <s v="Weekly - Thursday"/>
    <s v="Month+1 Expiry"/>
    <n v="1116"/>
    <n v="177.22"/>
    <n v="1.53"/>
  </r>
  <r>
    <s v="28-Apr-2026"/>
    <x v="1"/>
    <s v="Week4-Apr-2026"/>
    <x v="7"/>
    <s v="21-May-2026"/>
    <s v="Thursday"/>
    <s v="Weekly - Thursday"/>
    <s v="Weekly - Thursday"/>
    <s v="Month+1 Expiry"/>
    <n v="141"/>
    <n v="22.08"/>
    <n v="0.56999999999999995"/>
  </r>
  <r>
    <s v="28-Apr-2026"/>
    <x v="1"/>
    <s v="Week4-Apr-2026"/>
    <x v="7"/>
    <s v="27-May-2026"/>
    <s v="Wednesday"/>
    <s v="Monthly - Wednesday"/>
    <s v="Monthly - Wednesday"/>
    <s v="Month+1 Expiry"/>
    <n v="6361"/>
    <n v="1004.64"/>
    <n v="11.1"/>
  </r>
  <r>
    <s v="28-Apr-2026"/>
    <x v="1"/>
    <s v="Week4-Apr-2026"/>
    <x v="7"/>
    <s v="25-Jun-2026"/>
    <s v="Thursday"/>
    <s v="Monthly - Thursday"/>
    <s v="Monthly - Thursday"/>
    <s v="Month+2 Expiry"/>
    <n v="85"/>
    <n v="13.52"/>
    <n v="0.4"/>
  </r>
  <r>
    <s v="29-Apr-2026"/>
    <x v="2"/>
    <s v="Week5-Apr-2026"/>
    <x v="7"/>
    <s v="30-Apr-2026"/>
    <s v="Thursday"/>
    <s v="Monthly - Thursday"/>
    <s v="MDAW - Thursday"/>
    <s v="Same Month Expiry"/>
    <n v="114233559"/>
    <n v="17765882.670000002"/>
    <n v="36215.699999999997"/>
  </r>
  <r>
    <s v="29-Apr-2026"/>
    <x v="2"/>
    <s v="Week5-Apr-2026"/>
    <x v="7"/>
    <s v="07-May-2026"/>
    <s v="Thursday"/>
    <s v="Weekly - Thursday"/>
    <s v="Weekly - Thursday"/>
    <s v="Month+1 Expiry"/>
    <n v="707340"/>
    <n v="109538.51"/>
    <n v="436.6"/>
  </r>
  <r>
    <s v="29-Apr-2026"/>
    <x v="2"/>
    <s v="Week5-Apr-2026"/>
    <x v="7"/>
    <s v="14-May-2026"/>
    <s v="Thursday"/>
    <s v="Weekly - Thursday"/>
    <s v="Weekly - Thursday"/>
    <s v="Month+1 Expiry"/>
    <n v="6391"/>
    <n v="1008.34"/>
    <n v="8.39"/>
  </r>
  <r>
    <s v="29-Apr-2026"/>
    <x v="2"/>
    <s v="Week5-Apr-2026"/>
    <x v="7"/>
    <s v="21-May-2026"/>
    <s v="Thursday"/>
    <s v="Weekly - Thursday"/>
    <s v="Weekly - Thursday"/>
    <s v="Month+1 Expiry"/>
    <n v="9"/>
    <n v="1.5"/>
    <n v="0"/>
  </r>
  <r>
    <s v="29-Apr-2026"/>
    <x v="2"/>
    <s v="Week5-Apr-2026"/>
    <x v="7"/>
    <s v="27-May-2026"/>
    <s v="Wednesday"/>
    <s v="Monthly - Wednesday"/>
    <s v="Monthly - Wednesday"/>
    <s v="Month+1 Expiry"/>
    <n v="14201"/>
    <n v="2332.4699999999998"/>
    <n v="55.59"/>
  </r>
  <r>
    <s v="29-Apr-2026"/>
    <x v="2"/>
    <s v="Week5-Apr-2026"/>
    <x v="7"/>
    <s v="25-Jun-2026"/>
    <s v="Thursday"/>
    <s v="Monthly - Thursday"/>
    <s v="Monthly - Thursday"/>
    <s v="Month+2 Expiry"/>
    <n v="110"/>
    <n v="17.66"/>
    <n v="0.51"/>
  </r>
  <r>
    <s v="30-Apr-2026"/>
    <x v="3"/>
    <s v="Week5-Apr-2026"/>
    <x v="7"/>
    <s v="30-Apr-2026"/>
    <s v="Thursday"/>
    <s v="Monthly - Thursday"/>
    <s v="MDAW - Thursday"/>
    <s v="Same Month Expiry"/>
    <n v="606194499"/>
    <n v="93277389.549999997"/>
    <n v="69857.149999999994"/>
  </r>
  <r>
    <s v="30-Apr-2026"/>
    <x v="3"/>
    <s v="Week5-Apr-2026"/>
    <x v="7"/>
    <s v="07-May-2026"/>
    <s v="Thursday"/>
    <s v="Weekly - Thursday"/>
    <s v="Weekly - Thursday"/>
    <s v="Month+1 Expiry"/>
    <n v="1990377"/>
    <n v="307599.39"/>
    <n v="1609.88"/>
  </r>
  <r>
    <s v="30-Apr-2026"/>
    <x v="3"/>
    <s v="Week5-Apr-2026"/>
    <x v="7"/>
    <s v="14-May-2026"/>
    <s v="Thursday"/>
    <s v="Weekly - Thursday"/>
    <s v="Weekly - Thursday"/>
    <s v="Month+1 Expiry"/>
    <n v="11154"/>
    <n v="1745.08"/>
    <n v="15.82"/>
  </r>
  <r>
    <s v="30-Apr-2026"/>
    <x v="3"/>
    <s v="Week5-Apr-2026"/>
    <x v="7"/>
    <s v="21-May-2026"/>
    <s v="Thursday"/>
    <s v="Weekly - Thursday"/>
    <s v="Weekly - Thursday"/>
    <s v="Month+1 Expiry"/>
    <n v="24"/>
    <n v="3.9"/>
    <n v="0.03"/>
  </r>
  <r>
    <s v="30-Apr-2026"/>
    <x v="3"/>
    <s v="Week5-Apr-2026"/>
    <x v="7"/>
    <s v="27-May-2026"/>
    <s v="Wednesday"/>
    <s v="Monthly - Wednesday"/>
    <s v="Monthly - Wednesday"/>
    <s v="Month+1 Expiry"/>
    <n v="18371"/>
    <n v="2940.81"/>
    <n v="63.24"/>
  </r>
  <r>
    <s v="30-Apr-2026"/>
    <x v="3"/>
    <s v="Week5-Apr-2026"/>
    <x v="7"/>
    <s v="04-Jun-2026"/>
    <s v="Thursday"/>
    <s v="Weekly - Thursday"/>
    <s v="Weekly - Thursday"/>
    <s v="Month+2 Expiry"/>
    <n v="1"/>
    <n v="0.16"/>
    <n v="0"/>
  </r>
  <r>
    <s v="30-Apr-2026"/>
    <x v="3"/>
    <s v="Week5-Apr-2026"/>
    <x v="7"/>
    <s v="25-Jun-2026"/>
    <s v="Thursday"/>
    <s v="Monthly - Thursday"/>
    <s v="Monthly - Thursday"/>
    <s v="Month+2 Expiry"/>
    <n v="295"/>
    <n v="47.11"/>
    <n v="1.07"/>
  </r>
  <r>
    <s v="04-May-2026"/>
    <x v="0"/>
    <s v="Week1-May-2026"/>
    <x v="8"/>
    <s v="07-May-2026"/>
    <s v="Thursday"/>
    <s v="Weekly - Thursday"/>
    <s v="Weekly - Thursday"/>
    <s v="Same Month Expiry"/>
    <n v="23860456"/>
    <n v="3709703.15"/>
    <n v="14848.56"/>
  </r>
  <r>
    <s v="04-May-2026"/>
    <x v="0"/>
    <s v="Week1-May-2026"/>
    <x v="8"/>
    <s v="14-May-2026"/>
    <s v="Thursday"/>
    <s v="Weekly - Thursday"/>
    <s v="Weekly - Thursday"/>
    <s v="Same Month Expiry"/>
    <n v="90268"/>
    <n v="14188.96"/>
    <n v="97.6"/>
  </r>
  <r>
    <s v="04-May-2026"/>
    <x v="0"/>
    <s v="Week1-May-2026"/>
    <x v="8"/>
    <s v="21-May-2026"/>
    <s v="Thursday"/>
    <s v="Weekly - Thursday"/>
    <s v="Weekly - Thursday"/>
    <s v="Same Month Expiry"/>
    <n v="1107"/>
    <n v="174.23"/>
    <n v="2.61"/>
  </r>
  <r>
    <s v="04-May-2026"/>
    <x v="0"/>
    <s v="Week1-May-2026"/>
    <x v="8"/>
    <s v="27-May-2026"/>
    <s v="Wednesday"/>
    <s v="Monthly - Wednesday"/>
    <s v="Monthly - Wednesday"/>
    <s v="Same Month Expiry"/>
    <n v="69728"/>
    <n v="12083.8"/>
    <n v="37.56"/>
  </r>
  <r>
    <s v="04-May-2026"/>
    <x v="0"/>
    <s v="Week1-May-2026"/>
    <x v="8"/>
    <s v="04-Jun-2026"/>
    <s v="Thursday"/>
    <s v="Weekly - Thursday"/>
    <s v="Weekly - Thursday"/>
    <s v="Month+1 Expiry"/>
    <n v="2"/>
    <n v="0.32"/>
    <n v="0.01"/>
  </r>
  <r>
    <s v="04-May-2026"/>
    <x v="0"/>
    <s v="Week1-May-2026"/>
    <x v="8"/>
    <s v="25-Jun-2026"/>
    <s v="Thursday"/>
    <s v="Monthly - Thursday"/>
    <s v="Monthly - Thursday"/>
    <s v="Month+1 Expiry"/>
    <n v="237"/>
    <n v="37.93"/>
    <n v="0.87"/>
  </r>
  <r>
    <s v="05-May-2026"/>
    <x v="1"/>
    <s v="Week1-May-2026"/>
    <x v="8"/>
    <s v="07-May-2026"/>
    <s v="Thursday"/>
    <s v="Weekly - Thursday"/>
    <s v="Weekly - Thursday"/>
    <s v="Same Month Expiry"/>
    <n v="26472603"/>
    <n v="4095507"/>
    <n v="11795.14"/>
  </r>
  <r>
    <s v="05-May-2026"/>
    <x v="1"/>
    <s v="Week1-May-2026"/>
    <x v="8"/>
    <s v="14-May-2026"/>
    <s v="Thursday"/>
    <s v="Weekly - Thursday"/>
    <s v="Weekly - Thursday"/>
    <s v="Same Month Expiry"/>
    <n v="189691"/>
    <n v="29466.46"/>
    <n v="143.28"/>
  </r>
  <r>
    <s v="05-May-2026"/>
    <x v="1"/>
    <s v="Week1-May-2026"/>
    <x v="8"/>
    <s v="21-May-2026"/>
    <s v="Thursday"/>
    <s v="Weekly - Thursday"/>
    <s v="Weekly - Thursday"/>
    <s v="Same Month Expiry"/>
    <n v="639"/>
    <n v="100.32"/>
    <n v="1.28"/>
  </r>
  <r>
    <s v="05-May-2026"/>
    <x v="1"/>
    <s v="Week1-May-2026"/>
    <x v="8"/>
    <s v="27-May-2026"/>
    <s v="Wednesday"/>
    <s v="Monthly - Wednesday"/>
    <s v="Monthly - Wednesday"/>
    <s v="Same Month Expiry"/>
    <n v="19227"/>
    <n v="3014.45"/>
    <n v="33.75"/>
  </r>
  <r>
    <s v="05-May-2026"/>
    <x v="1"/>
    <s v="Week1-May-2026"/>
    <x v="8"/>
    <s v="04-Jun-2026"/>
    <s v="Thursday"/>
    <s v="Weekly - Thursday"/>
    <s v="Weekly - Thursday"/>
    <s v="Month+1 Expiry"/>
    <n v="0"/>
    <n v="0"/>
    <n v="0"/>
  </r>
  <r>
    <s v="05-May-2026"/>
    <x v="1"/>
    <s v="Week1-May-2026"/>
    <x v="8"/>
    <s v="25-Jun-2026"/>
    <s v="Thursday"/>
    <s v="Monthly - Thursday"/>
    <s v="Monthly - Thursday"/>
    <s v="Month+1 Expiry"/>
    <n v="316"/>
    <n v="49.87"/>
    <n v="1.1000000000000001"/>
  </r>
  <r>
    <s v="06-May-2026"/>
    <x v="2"/>
    <s v="Week1-May-2026"/>
    <x v="8"/>
    <s v="07-May-2026"/>
    <s v="Thursday"/>
    <s v="Weekly - Thursday"/>
    <s v="Weekly - Thursday"/>
    <s v="Same Month Expiry"/>
    <n v="154690847"/>
    <n v="24026843.719999999"/>
    <n v="50544.02"/>
  </r>
  <r>
    <s v="06-May-2026"/>
    <x v="2"/>
    <s v="Week1-May-2026"/>
    <x v="8"/>
    <s v="14-May-2026"/>
    <s v="Thursday"/>
    <s v="Weekly - Thursday"/>
    <s v="Weekly - Thursday"/>
    <s v="Same Month Expiry"/>
    <n v="789865"/>
    <n v="122760.57"/>
    <n v="517.4"/>
  </r>
  <r>
    <s v="06-May-2026"/>
    <x v="2"/>
    <s v="Week1-May-2026"/>
    <x v="8"/>
    <s v="21-May-2026"/>
    <s v="Thursday"/>
    <s v="Weekly - Thursday"/>
    <s v="Weekly - Thursday"/>
    <s v="Same Month Expiry"/>
    <n v="2434"/>
    <n v="382.49"/>
    <n v="4.67"/>
  </r>
  <r>
    <s v="06-May-2026"/>
    <x v="2"/>
    <s v="Week1-May-2026"/>
    <x v="8"/>
    <s v="27-May-2026"/>
    <s v="Wednesday"/>
    <s v="Monthly - Wednesday"/>
    <s v="Monthly - Wednesday"/>
    <s v="Same Month Expiry"/>
    <n v="29115"/>
    <n v="4590.74"/>
    <n v="43.81"/>
  </r>
  <r>
    <s v="06-May-2026"/>
    <x v="2"/>
    <s v="Week1-May-2026"/>
    <x v="8"/>
    <s v="04-Jun-2026"/>
    <s v="Thursday"/>
    <s v="Weekly - Thursday"/>
    <s v="Weekly - Thursday"/>
    <s v="Month+1 Expiry"/>
    <n v="0"/>
    <n v="0"/>
    <n v="0"/>
  </r>
  <r>
    <s v="06-May-2026"/>
    <x v="2"/>
    <s v="Week1-May-2026"/>
    <x v="8"/>
    <s v="25-Jun-2026"/>
    <s v="Thursday"/>
    <s v="Monthly - Thursday"/>
    <s v="Monthly - Thursday"/>
    <s v="Month+1 Expiry"/>
    <n v="341"/>
    <n v="54.26"/>
    <n v="1.18"/>
  </r>
  <r>
    <s v="07-May-2026"/>
    <x v="3"/>
    <s v="Week1-May-2026"/>
    <x v="8"/>
    <s v="07-May-2026"/>
    <s v="Thursday"/>
    <s v="Weekly - Thursday"/>
    <s v="Weekly - Thursday"/>
    <s v="Same Month Expiry"/>
    <n v="579709230"/>
    <n v="90556636.909999996"/>
    <n v="74684.649999999994"/>
  </r>
  <r>
    <s v="07-May-2026"/>
    <x v="3"/>
    <s v="Week1-May-2026"/>
    <x v="8"/>
    <s v="14-May-2026"/>
    <s v="Thursday"/>
    <s v="Weekly - Thursday"/>
    <s v="Weekly - Thursday"/>
    <s v="Same Month Expiry"/>
    <n v="1994951"/>
    <n v="312850.52"/>
    <n v="1504.73"/>
  </r>
  <r>
    <s v="07-May-2026"/>
    <x v="3"/>
    <s v="Week1-May-2026"/>
    <x v="8"/>
    <s v="21-May-2026"/>
    <s v="Thursday"/>
    <s v="Weekly - Thursday"/>
    <s v="Weekly - Thursday"/>
    <s v="Same Month Expiry"/>
    <n v="5177"/>
    <n v="811.84"/>
    <n v="7.04"/>
  </r>
  <r>
    <s v="07-May-2026"/>
    <x v="3"/>
    <s v="Week1-May-2026"/>
    <x v="8"/>
    <s v="27-May-2026"/>
    <s v="Wednesday"/>
    <s v="Monthly - Wednesday"/>
    <s v="Monthly - Wednesday"/>
    <s v="Same Month Expiry"/>
    <n v="45539"/>
    <n v="7231.19"/>
    <n v="79.400000000000006"/>
  </r>
  <r>
    <s v="07-May-2026"/>
    <x v="3"/>
    <s v="Week1-May-2026"/>
    <x v="8"/>
    <s v="04-Jun-2026"/>
    <s v="Thursday"/>
    <s v="Weekly - Thursday"/>
    <s v="Weekly - Thursday"/>
    <s v="Month+1 Expiry"/>
    <n v="1"/>
    <n v="0.16"/>
    <n v="0"/>
  </r>
  <r>
    <s v="07-May-2026"/>
    <x v="3"/>
    <s v="Week1-May-2026"/>
    <x v="8"/>
    <s v="25-Jun-2026"/>
    <s v="Thursday"/>
    <s v="Monthly - Thursday"/>
    <s v="Monthly - Thursday"/>
    <s v="Month+1 Expiry"/>
    <n v="669"/>
    <n v="106.84"/>
    <n v="2.44"/>
  </r>
  <r>
    <s v="08-May-2026"/>
    <x v="4"/>
    <s v="Week2-May-2026"/>
    <x v="8"/>
    <s v="14-May-2026"/>
    <s v="Thursday"/>
    <s v="Weekly - Thursday"/>
    <s v="Weekly - Thursday"/>
    <s v="Same Month Expiry"/>
    <n v="15203339"/>
    <n v="2364953.4300000002"/>
    <n v="10856.68"/>
  </r>
  <r>
    <s v="08-May-2026"/>
    <x v="4"/>
    <s v="Week2-May-2026"/>
    <x v="8"/>
    <s v="21-May-2026"/>
    <s v="Thursday"/>
    <s v="Weekly - Thursday"/>
    <s v="Weekly - Thursday"/>
    <s v="Same Month Expiry"/>
    <n v="56214"/>
    <n v="8836.94"/>
    <n v="66.03"/>
  </r>
  <r>
    <s v="08-May-2026"/>
    <x v="4"/>
    <s v="Week2-May-2026"/>
    <x v="8"/>
    <s v="27-May-2026"/>
    <s v="Wednesday"/>
    <s v="Monthly - Wednesday"/>
    <s v="Monthly - Wednesday"/>
    <s v="Same Month Expiry"/>
    <n v="29924"/>
    <n v="4747.59"/>
    <n v="40.869999999999997"/>
  </r>
  <r>
    <s v="08-May-2026"/>
    <x v="4"/>
    <s v="Week2-May-2026"/>
    <x v="8"/>
    <s v="04-Jun-2026"/>
    <s v="Thursday"/>
    <s v="Weekly - Thursday"/>
    <s v="Weekly - Thursday"/>
    <s v="Month+1 Expiry"/>
    <n v="392"/>
    <n v="61.98"/>
    <n v="1.1200000000000001"/>
  </r>
  <r>
    <s v="08-May-2026"/>
    <x v="4"/>
    <s v="Week2-May-2026"/>
    <x v="8"/>
    <s v="25-Jun-2026"/>
    <s v="Thursday"/>
    <s v="Monthly - Thursday"/>
    <s v="Monthly - Thursday"/>
    <s v="Month+1 Expiry"/>
    <n v="572"/>
    <n v="90.89"/>
    <n v="2.0299999999999998"/>
  </r>
  <r>
    <s v="11-May-2026"/>
    <x v="0"/>
    <s v="Week2-May-2026"/>
    <x v="8"/>
    <s v="14-May-2026"/>
    <s v="Thursday"/>
    <s v="Weekly - Thursday"/>
    <s v="Weekly - Thursday"/>
    <s v="Same Month Expiry"/>
    <n v="19648716"/>
    <n v="3023408.05"/>
    <n v="11563.96"/>
  </r>
  <r>
    <s v="11-May-2026"/>
    <x v="0"/>
    <s v="Week2-May-2026"/>
    <x v="8"/>
    <s v="21-May-2026"/>
    <s v="Thursday"/>
    <s v="Weekly - Thursday"/>
    <s v="Weekly - Thursday"/>
    <s v="Same Month Expiry"/>
    <n v="97408"/>
    <n v="15150.93"/>
    <n v="106.25"/>
  </r>
  <r>
    <s v="11-May-2026"/>
    <x v="0"/>
    <s v="Week2-May-2026"/>
    <x v="8"/>
    <s v="27-May-2026"/>
    <s v="Wednesday"/>
    <s v="Monthly - Wednesday"/>
    <s v="Monthly - Wednesday"/>
    <s v="Same Month Expiry"/>
    <n v="30448"/>
    <n v="4795.8599999999997"/>
    <n v="37.58"/>
  </r>
  <r>
    <s v="11-May-2026"/>
    <x v="0"/>
    <s v="Week2-May-2026"/>
    <x v="8"/>
    <s v="04-Jun-2026"/>
    <s v="Thursday"/>
    <s v="Weekly - Thursday"/>
    <s v="Weekly - Thursday"/>
    <s v="Month+1 Expiry"/>
    <n v="263"/>
    <n v="41.18"/>
    <n v="0.68"/>
  </r>
  <r>
    <s v="11-May-2026"/>
    <x v="0"/>
    <s v="Week2-May-2026"/>
    <x v="8"/>
    <s v="11-Jun-2026"/>
    <s v="Thursday"/>
    <s v="Weekly - Thursday"/>
    <s v="Weekly - Thursday"/>
    <s v="Month+1 Expiry"/>
    <n v="1"/>
    <n v="0.16"/>
    <n v="0"/>
  </r>
  <r>
    <s v="11-May-2026"/>
    <x v="0"/>
    <s v="Week2-May-2026"/>
    <x v="8"/>
    <s v="18-Jun-2026"/>
    <s v="Thursday"/>
    <s v="Weekly - Thursday"/>
    <s v="Weekly - Thursday"/>
    <s v="Month+1 Expiry"/>
    <n v="2"/>
    <n v="0.32"/>
    <n v="0.01"/>
  </r>
  <r>
    <s v="11-May-2026"/>
    <x v="0"/>
    <s v="Week2-May-2026"/>
    <x v="8"/>
    <s v="25-Jun-2026"/>
    <s v="Thursday"/>
    <s v="Monthly - Thursday"/>
    <s v="Monthly - Thursday"/>
    <s v="Month+1 Expiry"/>
    <n v="687"/>
    <n v="108.47"/>
    <n v="2.2999999999999998"/>
  </r>
  <r>
    <s v="12-May-2026"/>
    <x v="1"/>
    <s v="Week2-May-2026"/>
    <x v="8"/>
    <s v="14-May-2026"/>
    <s v="Thursday"/>
    <s v="Weekly - Thursday"/>
    <s v="Weekly - Thursday"/>
    <s v="Same Month Expiry"/>
    <n v="27082932"/>
    <n v="4107622.3999999999"/>
    <n v="11850.02"/>
  </r>
  <r>
    <s v="12-May-2026"/>
    <x v="1"/>
    <s v="Week2-May-2026"/>
    <x v="8"/>
    <s v="21-May-2026"/>
    <s v="Thursday"/>
    <s v="Weekly - Thursday"/>
    <s v="Weekly - Thursday"/>
    <s v="Same Month Expiry"/>
    <n v="193579"/>
    <n v="29580.43"/>
    <n v="179.78"/>
  </r>
  <r>
    <s v="12-May-2026"/>
    <x v="1"/>
    <s v="Week2-May-2026"/>
    <x v="8"/>
    <s v="27-May-2026"/>
    <s v="Wednesday"/>
    <s v="Monthly - Wednesday"/>
    <s v="Monthly - Wednesday"/>
    <s v="Same Month Expiry"/>
    <n v="40318"/>
    <n v="6252.04"/>
    <n v="45.5"/>
  </r>
  <r>
    <s v="12-May-2026"/>
    <x v="1"/>
    <s v="Week2-May-2026"/>
    <x v="8"/>
    <s v="04-Jun-2026"/>
    <s v="Thursday"/>
    <s v="Weekly - Thursday"/>
    <s v="Weekly - Thursday"/>
    <s v="Month+1 Expiry"/>
    <n v="461"/>
    <n v="71.03"/>
    <n v="1.04"/>
  </r>
  <r>
    <s v="12-May-2026"/>
    <x v="1"/>
    <s v="Week2-May-2026"/>
    <x v="8"/>
    <s v="11-Jun-2026"/>
    <s v="Thursday"/>
    <s v="Weekly - Thursday"/>
    <s v="Weekly - Thursday"/>
    <s v="Month+1 Expiry"/>
    <n v="5"/>
    <n v="0.73"/>
    <n v="0"/>
  </r>
  <r>
    <s v="12-May-2026"/>
    <x v="1"/>
    <s v="Week2-May-2026"/>
    <x v="8"/>
    <s v="18-Jun-2026"/>
    <s v="Thursday"/>
    <s v="Weekly - Thursday"/>
    <s v="Weekly - Thursday"/>
    <s v="Month+1 Expiry"/>
    <n v="2"/>
    <n v="0.32"/>
    <n v="0.01"/>
  </r>
  <r>
    <s v="12-May-2026"/>
    <x v="1"/>
    <s v="Week2-May-2026"/>
    <x v="8"/>
    <s v="25-Jun-2026"/>
    <s v="Thursday"/>
    <s v="Monthly - Thursday"/>
    <s v="Monthly - Thursday"/>
    <s v="Month+1 Expiry"/>
    <n v="421"/>
    <n v="65.77"/>
    <n v="0.97"/>
  </r>
  <r>
    <s v="13-May-2026"/>
    <x v="2"/>
    <s v="Week2-May-2026"/>
    <x v="8"/>
    <s v="14-May-2026"/>
    <s v="Thursday"/>
    <s v="Weekly - Thursday"/>
    <s v="Weekly - Thursday"/>
    <s v="Same Month Expiry"/>
    <n v="147163287"/>
    <n v="22054115.66"/>
    <n v="52818.98"/>
  </r>
  <r>
    <s v="13-May-2026"/>
    <x v="2"/>
    <s v="Week2-May-2026"/>
    <x v="8"/>
    <s v="21-May-2026"/>
    <s v="Thursday"/>
    <s v="Weekly - Thursday"/>
    <s v="Weekly - Thursday"/>
    <s v="Same Month Expiry"/>
    <n v="420609"/>
    <n v="63771.07"/>
    <n v="379.14"/>
  </r>
  <r>
    <s v="13-May-2026"/>
    <x v="2"/>
    <s v="Week2-May-2026"/>
    <x v="8"/>
    <s v="27-May-2026"/>
    <s v="Wednesday"/>
    <s v="Monthly - Wednesday"/>
    <s v="Monthly - Wednesday"/>
    <s v="Same Month Expiry"/>
    <n v="52824"/>
    <n v="8150.84"/>
    <n v="82.97"/>
  </r>
  <r>
    <s v="13-May-2026"/>
    <x v="2"/>
    <s v="Week2-May-2026"/>
    <x v="8"/>
    <s v="04-Jun-2026"/>
    <s v="Thursday"/>
    <s v="Weekly - Thursday"/>
    <s v="Weekly - Thursday"/>
    <s v="Month+1 Expiry"/>
    <n v="715"/>
    <n v="109.09"/>
    <n v="1.88"/>
  </r>
  <r>
    <s v="13-May-2026"/>
    <x v="2"/>
    <s v="Week2-May-2026"/>
    <x v="8"/>
    <s v="11-Jun-2026"/>
    <s v="Thursday"/>
    <s v="Weekly - Thursday"/>
    <s v="Weekly - Thursday"/>
    <s v="Month+1 Expiry"/>
    <n v="2"/>
    <n v="0.31"/>
    <n v="0"/>
  </r>
  <r>
    <s v="13-May-2026"/>
    <x v="2"/>
    <s v="Week2-May-2026"/>
    <x v="8"/>
    <s v="18-Jun-2026"/>
    <s v="Thursday"/>
    <s v="Weekly - Thursday"/>
    <s v="Weekly - Thursday"/>
    <s v="Month+1 Expiry"/>
    <n v="0"/>
    <n v="0"/>
    <n v="0"/>
  </r>
  <r>
    <s v="13-May-2026"/>
    <x v="2"/>
    <s v="Week2-May-2026"/>
    <x v="8"/>
    <s v="25-Jun-2026"/>
    <s v="Thursday"/>
    <s v="Monthly - Thursday"/>
    <s v="Monthly - Thursday"/>
    <s v="Month+1 Expiry"/>
    <n v="397"/>
    <n v="61.84"/>
    <n v="1.08"/>
  </r>
  <r>
    <s v="14-May-2026"/>
    <x v="3"/>
    <s v="Week2-May-2026"/>
    <x v="8"/>
    <s v="14-May-2026"/>
    <s v="Thursday"/>
    <s v="Weekly - Thursday"/>
    <s v="Weekly - Thursday"/>
    <s v="Same Month Expiry"/>
    <n v="588939866"/>
    <n v="88667311.819999993"/>
    <n v="77297.63"/>
  </r>
  <r>
    <s v="14-May-2026"/>
    <x v="3"/>
    <s v="Week2-May-2026"/>
    <x v="8"/>
    <s v="21-May-2026"/>
    <s v="Thursday"/>
    <s v="Weekly - Thursday"/>
    <s v="Weekly - Thursday"/>
    <s v="Same Month Expiry"/>
    <n v="1759203"/>
    <n v="266262.18"/>
    <n v="1414.5"/>
  </r>
  <r>
    <s v="14-May-2026"/>
    <x v="3"/>
    <s v="Week2-May-2026"/>
    <x v="8"/>
    <s v="27-May-2026"/>
    <s v="Wednesday"/>
    <s v="Monthly - Wednesday"/>
    <s v="Monthly - Wednesday"/>
    <s v="Same Month Expiry"/>
    <n v="61454"/>
    <n v="9475.6"/>
    <n v="59.87"/>
  </r>
  <r>
    <s v="14-May-2026"/>
    <x v="3"/>
    <s v="Week2-May-2026"/>
    <x v="8"/>
    <s v="04-Jun-2026"/>
    <s v="Thursday"/>
    <s v="Weekly - Thursday"/>
    <s v="Weekly - Thursday"/>
    <s v="Month+1 Expiry"/>
    <n v="708"/>
    <n v="108.96"/>
    <n v="1.52"/>
  </r>
  <r>
    <s v="14-May-2026"/>
    <x v="3"/>
    <s v="Week2-May-2026"/>
    <x v="8"/>
    <s v="11-Jun-2026"/>
    <s v="Thursday"/>
    <s v="Weekly - Thursday"/>
    <s v="Weekly - Thursday"/>
    <s v="Month+1 Expiry"/>
    <n v="0"/>
    <n v="0"/>
    <n v="0"/>
  </r>
  <r>
    <s v="14-May-2026"/>
    <x v="3"/>
    <s v="Week2-May-2026"/>
    <x v="8"/>
    <s v="18-Jun-2026"/>
    <s v="Thursday"/>
    <s v="Weekly - Thursday"/>
    <s v="Weekly - Thursday"/>
    <s v="Month+1 Expiry"/>
    <n v="1"/>
    <n v="0.16"/>
    <n v="0"/>
  </r>
  <r>
    <s v="14-May-2026"/>
    <x v="3"/>
    <s v="Week2-May-2026"/>
    <x v="8"/>
    <s v="25-Jun-2026"/>
    <s v="Thursday"/>
    <s v="Monthly - Thursday"/>
    <s v="Monthly - Thursday"/>
    <s v="Month+1 Expiry"/>
    <n v="921"/>
    <n v="143.21"/>
    <n v="2.74"/>
  </r>
  <r>
    <s v="15-May-2026"/>
    <x v="4"/>
    <s v="Week3-May-2026"/>
    <x v="8"/>
    <s v="21-May-2026"/>
    <s v="Thursday"/>
    <s v="Weekly - Thursday"/>
    <s v="Weekly - Thursday"/>
    <s v="Same Month Expiry"/>
    <n v="16299906"/>
    <n v="2474451.48"/>
    <n v="12785.35"/>
  </r>
  <r>
    <s v="15-May-2026"/>
    <x v="4"/>
    <s v="Week3-May-2026"/>
    <x v="8"/>
    <s v="27-May-2026"/>
    <s v="Wednesday"/>
    <s v="Monthly - Wednesday"/>
    <s v="Monthly - Wednesday"/>
    <s v="Same Month Expiry"/>
    <n v="96504"/>
    <n v="14867.94"/>
    <n v="92.92"/>
  </r>
  <r>
    <s v="15-May-2026"/>
    <x v="4"/>
    <s v="Week3-May-2026"/>
    <x v="8"/>
    <s v="04-Jun-2026"/>
    <s v="Thursday"/>
    <s v="Weekly - Thursday"/>
    <s v="Weekly - Thursday"/>
    <s v="Month+1 Expiry"/>
    <n v="1510"/>
    <n v="232.44"/>
    <n v="3.16"/>
  </r>
  <r>
    <s v="15-May-2026"/>
    <x v="4"/>
    <s v="Week3-May-2026"/>
    <x v="8"/>
    <s v="11-Jun-2026"/>
    <s v="Thursday"/>
    <s v="Weekly - Thursday"/>
    <s v="Weekly - Thursday"/>
    <s v="Month+1 Expiry"/>
    <n v="15"/>
    <n v="2.2799999999999998"/>
    <n v="0.03"/>
  </r>
  <r>
    <s v="15-May-2026"/>
    <x v="4"/>
    <s v="Week3-May-2026"/>
    <x v="8"/>
    <s v="18-Jun-2026"/>
    <s v="Thursday"/>
    <s v="Weekly - Thursday"/>
    <s v="Weekly - Thursday"/>
    <s v="Month+1 Expiry"/>
    <n v="2"/>
    <n v="0.31"/>
    <n v="0.01"/>
  </r>
  <r>
    <s v="15-May-2026"/>
    <x v="4"/>
    <s v="Week3-May-2026"/>
    <x v="8"/>
    <s v="25-Jun-2026"/>
    <s v="Thursday"/>
    <s v="Monthly - Thursday"/>
    <s v="Monthly - Thursday"/>
    <s v="Month+1 Expiry"/>
    <n v="977"/>
    <n v="152.62"/>
    <n v="2.6"/>
  </r>
  <r>
    <s v="15-May-2026"/>
    <x v="4"/>
    <s v="Week3-May-2026"/>
    <x v="8"/>
    <s v="30-Jul-2026"/>
    <s v="Thursday"/>
    <s v="Monthly - Thursday"/>
    <s v="Monthly - Thursday"/>
    <s v="Month+2 Expiry"/>
    <n v="20"/>
    <n v="3.13"/>
    <n v="0.09"/>
  </r>
  <r>
    <s v="18-May-2026"/>
    <x v="0"/>
    <s v="Week3-May-2026"/>
    <x v="8"/>
    <s v="21-May-2026"/>
    <s v="Thursday"/>
    <s v="Weekly - Thursday"/>
    <s v="Weekly - Thursday"/>
    <s v="Same Month Expiry"/>
    <n v="23597053"/>
    <n v="3549582.63"/>
    <n v="15600.5"/>
  </r>
  <r>
    <s v="18-May-2026"/>
    <x v="0"/>
    <s v="Week3-May-2026"/>
    <x v="8"/>
    <s v="27-May-2026"/>
    <s v="Wednesday"/>
    <s v="Monthly - Wednesday"/>
    <s v="Monthly - Wednesday"/>
    <s v="Same Month Expiry"/>
    <n v="174195"/>
    <n v="26599.86"/>
    <n v="155.75"/>
  </r>
  <r>
    <s v="18-May-2026"/>
    <x v="0"/>
    <s v="Week3-May-2026"/>
    <x v="8"/>
    <s v="04-Jun-2026"/>
    <s v="Thursday"/>
    <s v="Weekly - Thursday"/>
    <s v="Weekly - Thursday"/>
    <s v="Month+1 Expiry"/>
    <n v="1953"/>
    <n v="299.05"/>
    <n v="3.94"/>
  </r>
  <r>
    <s v="18-May-2026"/>
    <x v="0"/>
    <s v="Week3-May-2026"/>
    <x v="8"/>
    <s v="11-Jun-2026"/>
    <s v="Thursday"/>
    <s v="Weekly - Thursday"/>
    <s v="Weekly - Thursday"/>
    <s v="Month+1 Expiry"/>
    <n v="2"/>
    <n v="0.31"/>
    <n v="0.01"/>
  </r>
  <r>
    <s v="18-May-2026"/>
    <x v="0"/>
    <s v="Week3-May-2026"/>
    <x v="8"/>
    <s v="18-Jun-2026"/>
    <s v="Thursday"/>
    <s v="Weekly - Thursday"/>
    <s v="Weekly - Thursday"/>
    <s v="Month+1 Expiry"/>
    <n v="2"/>
    <n v="0.31"/>
    <n v="0.01"/>
  </r>
  <r>
    <s v="18-May-2026"/>
    <x v="0"/>
    <s v="Week3-May-2026"/>
    <x v="8"/>
    <s v="25-Jun-2026"/>
    <s v="Thursday"/>
    <s v="Monthly - Thursday"/>
    <s v="Monthly - Thursday"/>
    <s v="Month+1 Expiry"/>
    <n v="1851"/>
    <n v="287.10000000000002"/>
    <n v="5.0199999999999996"/>
  </r>
  <r>
    <s v="18-May-2026"/>
    <x v="0"/>
    <s v="Week3-May-2026"/>
    <x v="8"/>
    <s v="30-Jul-2026"/>
    <s v="Thursday"/>
    <s v="Monthly - Thursday"/>
    <s v="Monthly - Thursday"/>
    <s v="Month+2 Expiry"/>
    <n v="10"/>
    <n v="1.56"/>
    <n v="0.04"/>
  </r>
  <r>
    <s v="19-May-2026"/>
    <x v="1"/>
    <s v="Week3-May-2026"/>
    <x v="8"/>
    <s v="21-May-2026"/>
    <s v="Thursday"/>
    <s v="Weekly - Thursday"/>
    <s v="Weekly - Thursday"/>
    <s v="Same Month Expiry"/>
    <n v="26194559"/>
    <n v="3954971.58"/>
    <n v="11395.16"/>
  </r>
  <r>
    <s v="19-May-2026"/>
    <x v="1"/>
    <s v="Week3-May-2026"/>
    <x v="8"/>
    <s v="27-May-2026"/>
    <s v="Wednesday"/>
    <s v="Monthly - Wednesday"/>
    <s v="Monthly - Wednesday"/>
    <s v="Same Month Expiry"/>
    <n v="257674"/>
    <n v="39187.86"/>
    <n v="183.28"/>
  </r>
  <r>
    <s v="19-May-2026"/>
    <x v="1"/>
    <s v="Week3-May-2026"/>
    <x v="8"/>
    <s v="04-Jun-2026"/>
    <s v="Thursday"/>
    <s v="Weekly - Thursday"/>
    <s v="Weekly - Thursday"/>
    <s v="Month+1 Expiry"/>
    <n v="3485"/>
    <n v="540.96"/>
    <n v="4.6900000000000004"/>
  </r>
  <r>
    <s v="19-May-2026"/>
    <x v="1"/>
    <s v="Week3-May-2026"/>
    <x v="8"/>
    <s v="11-Jun-2026"/>
    <s v="Thursday"/>
    <s v="Weekly - Thursday"/>
    <s v="Weekly - Thursday"/>
    <s v="Month+1 Expiry"/>
    <n v="9"/>
    <n v="1.38"/>
    <n v="0.02"/>
  </r>
  <r>
    <s v="19-May-2026"/>
    <x v="1"/>
    <s v="Week3-May-2026"/>
    <x v="8"/>
    <s v="18-Jun-2026"/>
    <s v="Thursday"/>
    <s v="Weekly - Thursday"/>
    <s v="Weekly - Thursday"/>
    <s v="Month+1 Expiry"/>
    <n v="1"/>
    <n v="0.15"/>
    <n v="0"/>
  </r>
  <r>
    <s v="19-May-2026"/>
    <x v="1"/>
    <s v="Week3-May-2026"/>
    <x v="8"/>
    <s v="25-Jun-2026"/>
    <s v="Thursday"/>
    <s v="Monthly - Thursday"/>
    <s v="Monthly - Thursday"/>
    <s v="Month+1 Expiry"/>
    <n v="1823"/>
    <n v="283.26"/>
    <n v="4.5199999999999996"/>
  </r>
  <r>
    <s v="19-May-2026"/>
    <x v="1"/>
    <s v="Week3-May-2026"/>
    <x v="8"/>
    <s v="30-Jul-2026"/>
    <s v="Thursday"/>
    <s v="Monthly - Thursday"/>
    <s v="Monthly - Thursday"/>
    <s v="Month+2 Expiry"/>
    <n v="0"/>
    <n v="0"/>
    <n v="0"/>
  </r>
  <r>
    <s v="20-May-2026"/>
    <x v="2"/>
    <s v="Week3-May-2026"/>
    <x v="8"/>
    <s v="21-May-2026"/>
    <s v="Thursday"/>
    <s v="Weekly - Thursday"/>
    <s v="Weekly - Thursday"/>
    <s v="Same Month Expiry"/>
    <n v="120744677"/>
    <n v="18163800.420000002"/>
    <n v="41954.76"/>
  </r>
  <r>
    <s v="20-May-2026"/>
    <x v="2"/>
    <s v="Week3-May-2026"/>
    <x v="8"/>
    <s v="27-May-2026"/>
    <s v="Wednesday"/>
    <s v="Monthly - Wednesday"/>
    <s v="Monthly - Wednesday"/>
    <s v="Same Month Expiry"/>
    <n v="477503"/>
    <n v="72207.210000000006"/>
    <n v="336.36"/>
  </r>
  <r>
    <s v="20-May-2026"/>
    <x v="2"/>
    <s v="Week3-May-2026"/>
    <x v="8"/>
    <s v="04-Jun-2026"/>
    <s v="Thursday"/>
    <s v="Weekly - Thursday"/>
    <s v="Weekly - Thursday"/>
    <s v="Month+1 Expiry"/>
    <n v="6051"/>
    <n v="931.41"/>
    <n v="6.03"/>
  </r>
  <r>
    <s v="20-May-2026"/>
    <x v="2"/>
    <s v="Week3-May-2026"/>
    <x v="8"/>
    <s v="11-Jun-2026"/>
    <s v="Thursday"/>
    <s v="Weekly - Thursday"/>
    <s v="Weekly - Thursday"/>
    <s v="Month+1 Expiry"/>
    <n v="2"/>
    <n v="0.31"/>
    <n v="0.01"/>
  </r>
  <r>
    <s v="20-May-2026"/>
    <x v="2"/>
    <s v="Week3-May-2026"/>
    <x v="8"/>
    <s v="18-Jun-2026"/>
    <s v="Thursday"/>
    <s v="Weekly - Thursday"/>
    <s v="Weekly - Thursday"/>
    <s v="Month+1 Expiry"/>
    <n v="0"/>
    <n v="0"/>
    <n v="0"/>
  </r>
  <r>
    <s v="20-May-2026"/>
    <x v="2"/>
    <s v="Week3-May-2026"/>
    <x v="8"/>
    <s v="25-Jun-2026"/>
    <s v="Thursday"/>
    <s v="Monthly - Thursday"/>
    <s v="Monthly - Thursday"/>
    <s v="Month+1 Expiry"/>
    <n v="2507"/>
    <n v="387.56"/>
    <n v="5.86"/>
  </r>
  <r>
    <s v="20-May-2026"/>
    <x v="2"/>
    <s v="Week3-May-2026"/>
    <x v="8"/>
    <s v="30-Jul-2026"/>
    <s v="Thursday"/>
    <s v="Monthly - Thursday"/>
    <s v="Monthly - Thursday"/>
    <s v="Month+2 Expiry"/>
    <n v="0"/>
    <n v="0"/>
    <n v="0"/>
  </r>
  <r>
    <s v="21-May-2026"/>
    <x v="3"/>
    <s v="Week3-May-2026"/>
    <x v="8"/>
    <s v="21-May-2026"/>
    <s v="Thursday"/>
    <s v="Weekly - Thursday"/>
    <s v="Weekly - Thursday"/>
    <s v="Same Month Expiry"/>
    <n v="533439880"/>
    <n v="80441066.810000002"/>
    <n v="65268.58"/>
  </r>
  <r>
    <s v="21-May-2026"/>
    <x v="3"/>
    <s v="Week3-May-2026"/>
    <x v="8"/>
    <s v="27-May-2026"/>
    <s v="Wednesday"/>
    <s v="Monthly - Wednesday"/>
    <s v="MDAW - Wednesday"/>
    <s v="Same Month Expiry"/>
    <n v="2042443"/>
    <n v="309382.15000000002"/>
    <n v="1372.74"/>
  </r>
  <r>
    <s v="21-May-2026"/>
    <x v="3"/>
    <s v="Week3-May-2026"/>
    <x v="8"/>
    <s v="04-Jun-2026"/>
    <s v="Thursday"/>
    <s v="Weekly - Thursday"/>
    <s v="Weekly - Thursday"/>
    <s v="Month+1 Expiry"/>
    <n v="20236"/>
    <n v="3094.71"/>
    <n v="26.38"/>
  </r>
  <r>
    <s v="21-May-2026"/>
    <x v="3"/>
    <s v="Week3-May-2026"/>
    <x v="8"/>
    <s v="11-Jun-2026"/>
    <s v="Thursday"/>
    <s v="Weekly - Thursday"/>
    <s v="Weekly - Thursday"/>
    <s v="Month+1 Expiry"/>
    <n v="75"/>
    <n v="11.39"/>
    <n v="0.13"/>
  </r>
  <r>
    <s v="21-May-2026"/>
    <x v="3"/>
    <s v="Week3-May-2026"/>
    <x v="8"/>
    <s v="18-Jun-2026"/>
    <s v="Thursday"/>
    <s v="Weekly - Thursday"/>
    <s v="Weekly - Thursday"/>
    <s v="Month+1 Expiry"/>
    <n v="1"/>
    <n v="0.17"/>
    <n v="0"/>
  </r>
  <r>
    <s v="21-May-2026"/>
    <x v="3"/>
    <s v="Week3-May-2026"/>
    <x v="8"/>
    <s v="25-Jun-2026"/>
    <s v="Thursday"/>
    <s v="Monthly - Thursday"/>
    <s v="Monthly - Thursday"/>
    <s v="Month+1 Expiry"/>
    <n v="2616"/>
    <n v="404.76"/>
    <n v="5.93"/>
  </r>
  <r>
    <s v="21-May-2026"/>
    <x v="3"/>
    <s v="Week3-May-2026"/>
    <x v="8"/>
    <s v="02-Jul-2026"/>
    <s v="Thursday"/>
    <s v="Weekly - Thursday"/>
    <s v="Weekly - Thursday"/>
    <s v="Month+2 Expiry"/>
    <n v="1"/>
    <n v="0.16"/>
    <n v="0"/>
  </r>
  <r>
    <s v="21-May-2026"/>
    <x v="3"/>
    <s v="Week3-May-2026"/>
    <x v="8"/>
    <s v="30-Jul-2026"/>
    <s v="Thursday"/>
    <s v="Monthly - Thursday"/>
    <s v="Monthly - Thursday"/>
    <s v="Month+2 Expiry"/>
    <n v="0"/>
    <n v="0"/>
    <n v="0"/>
  </r>
  <r>
    <s v="22-May-2026"/>
    <x v="4"/>
    <s v="Week4-May-2026"/>
    <x v="8"/>
    <s v="27-May-2026"/>
    <s v="Wednesday"/>
    <s v="Monthly - Wednesday"/>
    <s v="MDAW - Wednesday"/>
    <s v="Same Month Expiry"/>
    <n v="15196836"/>
    <n v="2307329.2000000002"/>
    <n v="9580.2999999999993"/>
  </r>
  <r>
    <s v="22-May-2026"/>
    <x v="4"/>
    <s v="Week4-May-2026"/>
    <x v="8"/>
    <s v="04-Jun-2026"/>
    <s v="Thursday"/>
    <s v="Weekly - Thursday"/>
    <s v="Weekly - Thursday"/>
    <s v="Month+1 Expiry"/>
    <n v="57728"/>
    <n v="8856.11"/>
    <n v="57.93"/>
  </r>
  <r>
    <s v="22-May-2026"/>
    <x v="4"/>
    <s v="Week4-May-2026"/>
    <x v="8"/>
    <s v="11-Jun-2026"/>
    <s v="Thursday"/>
    <s v="Weekly - Thursday"/>
    <s v="Weekly - Thursday"/>
    <s v="Month+1 Expiry"/>
    <n v="368"/>
    <n v="56.4"/>
    <n v="0.78"/>
  </r>
  <r>
    <s v="22-May-2026"/>
    <x v="4"/>
    <s v="Week4-May-2026"/>
    <x v="8"/>
    <s v="18-Jun-2026"/>
    <s v="Thursday"/>
    <s v="Weekly - Thursday"/>
    <s v="Weekly - Thursday"/>
    <s v="Month+1 Expiry"/>
    <n v="0"/>
    <n v="0"/>
    <n v="0"/>
  </r>
  <r>
    <s v="22-May-2026"/>
    <x v="4"/>
    <s v="Week4-May-2026"/>
    <x v="8"/>
    <s v="25-Jun-2026"/>
    <s v="Thursday"/>
    <s v="Monthly - Thursday"/>
    <s v="Monthly - Thursday"/>
    <s v="Month+1 Expiry"/>
    <n v="4435"/>
    <n v="688.43"/>
    <n v="10.3"/>
  </r>
  <r>
    <s v="22-May-2026"/>
    <x v="4"/>
    <s v="Week4-May-2026"/>
    <x v="8"/>
    <s v="02-Jul-2026"/>
    <s v="Thursday"/>
    <s v="Weekly - Thursday"/>
    <s v="Weekly - Thursday"/>
    <s v="Month+2 Expiry"/>
    <n v="0"/>
    <n v="0"/>
    <n v="0"/>
  </r>
  <r>
    <s v="22-May-2026"/>
    <x v="4"/>
    <s v="Week4-May-2026"/>
    <x v="8"/>
    <s v="30-Jul-2026"/>
    <s v="Thursday"/>
    <s v="Monthly - Thursday"/>
    <s v="Monthly - Thursday"/>
    <s v="Month+2 Expiry"/>
    <n v="116"/>
    <n v="18.18"/>
    <n v="0.51"/>
  </r>
  <r>
    <s v="25-May-2026"/>
    <x v="0"/>
    <s v="Week4-May-2026"/>
    <x v="8"/>
    <s v="27-May-2026"/>
    <s v="Wednesday"/>
    <s v="Monthly - Wednesday"/>
    <s v="MDAW - Wednesday"/>
    <s v="Same Month Expiry"/>
    <n v="19794703"/>
    <n v="3024016.59"/>
    <n v="9171.0499999999993"/>
  </r>
  <r>
    <s v="25-May-2026"/>
    <x v="0"/>
    <s v="Week4-May-2026"/>
    <x v="8"/>
    <s v="04-Jun-2026"/>
    <s v="Thursday"/>
    <s v="Weekly - Thursday"/>
    <s v="Weekly - Thursday"/>
    <s v="Month+1 Expiry"/>
    <n v="162385"/>
    <n v="24980.46"/>
    <n v="140.41999999999999"/>
  </r>
  <r>
    <s v="25-May-2026"/>
    <x v="0"/>
    <s v="Week4-May-2026"/>
    <x v="8"/>
    <s v="11-Jun-2026"/>
    <s v="Thursday"/>
    <s v="Weekly - Thursday"/>
    <s v="Weekly - Thursday"/>
    <s v="Month+1 Expiry"/>
    <n v="680"/>
    <n v="104.08"/>
    <n v="1.06"/>
  </r>
  <r>
    <s v="25-May-2026"/>
    <x v="0"/>
    <s v="Week4-May-2026"/>
    <x v="8"/>
    <s v="18-Jun-2026"/>
    <s v="Thursday"/>
    <s v="Weekly - Thursday"/>
    <s v="Weekly - Thursday"/>
    <s v="Month+1 Expiry"/>
    <n v="62"/>
    <n v="9.58"/>
    <n v="0.23"/>
  </r>
  <r>
    <s v="25-May-2026"/>
    <x v="0"/>
    <s v="Week4-May-2026"/>
    <x v="8"/>
    <s v="25-Jun-2026"/>
    <s v="Thursday"/>
    <s v="Monthly - Thursday"/>
    <s v="Monthly - Thursday"/>
    <s v="Month+1 Expiry"/>
    <n v="9687"/>
    <n v="1507.17"/>
    <n v="21.6"/>
  </r>
  <r>
    <s v="25-May-2026"/>
    <x v="0"/>
    <s v="Week4-May-2026"/>
    <x v="8"/>
    <s v="02-Jul-2026"/>
    <s v="Thursday"/>
    <s v="Weekly - Thursday"/>
    <s v="Weekly - Thursday"/>
    <s v="Month+2 Expiry"/>
    <n v="0"/>
    <n v="0"/>
    <n v="0"/>
  </r>
  <r>
    <s v="25-May-2026"/>
    <x v="0"/>
    <s v="Week4-May-2026"/>
    <x v="8"/>
    <s v="30-Jul-2026"/>
    <s v="Thursday"/>
    <s v="Monthly - Thursday"/>
    <s v="Monthly - Thursday"/>
    <s v="Month+2 Expiry"/>
    <n v="7"/>
    <n v="1.1000000000000001"/>
    <n v="0.03"/>
  </r>
  <r>
    <s v="26-May-2026"/>
    <x v="1"/>
    <s v="Week4-May-2026"/>
    <x v="8"/>
    <s v="27-May-2026"/>
    <s v="Wednesday"/>
    <s v="Monthly - Wednesday"/>
    <s v="MDAW - Wednesday"/>
    <s v="Same Month Expiry"/>
    <n v="32042404"/>
    <n v="4898930.37"/>
    <n v="9998.77"/>
  </r>
  <r>
    <s v="26-May-2026"/>
    <x v="1"/>
    <s v="Week4-May-2026"/>
    <x v="8"/>
    <s v="04-Jun-2026"/>
    <s v="Thursday"/>
    <s v="Weekly - Thursday"/>
    <s v="Weekly - Thursday"/>
    <s v="Month+1 Expiry"/>
    <n v="411687"/>
    <n v="62946.57"/>
    <n v="277.94"/>
  </r>
  <r>
    <s v="26-May-2026"/>
    <x v="1"/>
    <s v="Week4-May-2026"/>
    <x v="8"/>
    <s v="11-Jun-2026"/>
    <s v="Thursday"/>
    <s v="Weekly - Thursday"/>
    <s v="Weekly - Thursday"/>
    <s v="Month+1 Expiry"/>
    <n v="4614"/>
    <n v="720.02"/>
    <n v="4.08"/>
  </r>
  <r>
    <s v="26-May-2026"/>
    <x v="1"/>
    <s v="Week4-May-2026"/>
    <x v="8"/>
    <s v="18-Jun-2026"/>
    <s v="Thursday"/>
    <s v="Weekly - Thursday"/>
    <s v="Weekly - Thursday"/>
    <s v="Month+1 Expiry"/>
    <n v="16"/>
    <n v="2.65"/>
    <n v="0.01"/>
  </r>
  <r>
    <s v="26-May-2026"/>
    <x v="1"/>
    <s v="Week4-May-2026"/>
    <x v="8"/>
    <s v="25-Jun-2026"/>
    <s v="Thursday"/>
    <s v="Monthly - Thursday"/>
    <s v="Monthly - Thursday"/>
    <s v="Month+1 Expiry"/>
    <n v="10475"/>
    <n v="1678.25"/>
    <n v="44.08"/>
  </r>
  <r>
    <s v="26-May-2026"/>
    <x v="1"/>
    <s v="Week4-May-2026"/>
    <x v="8"/>
    <s v="02-Jul-2026"/>
    <s v="Thursday"/>
    <s v="Weekly - Thursday"/>
    <s v="Weekly - Thursday"/>
    <s v="Month+2 Expiry"/>
    <n v="0"/>
    <n v="0"/>
    <n v="0"/>
  </r>
  <r>
    <s v="26-May-2026"/>
    <x v="1"/>
    <s v="Week4-May-2026"/>
    <x v="8"/>
    <s v="30-Jul-2026"/>
    <s v="Thursday"/>
    <s v="Monthly - Thursday"/>
    <s v="Monthly - Thursday"/>
    <s v="Month+2 Expiry"/>
    <n v="224"/>
    <n v="35.49"/>
    <n v="0.87"/>
  </r>
  <r>
    <s v="27-May-2026"/>
    <x v="2"/>
    <s v="Week4-May-2026"/>
    <x v="8"/>
    <s v="27-May-2026"/>
    <s v="Wednesday"/>
    <s v="Monthly - Wednesday"/>
    <s v="MDAW - Wednesday"/>
    <s v="Same Month Expiry"/>
    <n v="451496139"/>
    <n v="68644350.260000005"/>
    <n v="49466.54"/>
  </r>
  <r>
    <s v="27-May-2026"/>
    <x v="2"/>
    <s v="Week4-May-2026"/>
    <x v="8"/>
    <s v="04-Jun-2026"/>
    <s v="Thursday"/>
    <s v="Weekly - Thursday"/>
    <s v="Weekly - Thursday"/>
    <s v="Month+1 Expiry"/>
    <n v="1653822"/>
    <n v="252680.3"/>
    <n v="1112.3"/>
  </r>
  <r>
    <s v="27-May-2026"/>
    <x v="2"/>
    <s v="Week4-May-2026"/>
    <x v="8"/>
    <s v="11-Jun-2026"/>
    <s v="Thursday"/>
    <s v="Weekly - Thursday"/>
    <s v="Weekly - Thursday"/>
    <s v="Month+1 Expiry"/>
    <n v="11972"/>
    <n v="1843.14"/>
    <n v="8.76"/>
  </r>
  <r>
    <s v="27-May-2026"/>
    <x v="2"/>
    <s v="Week4-May-2026"/>
    <x v="8"/>
    <s v="18-Jun-2026"/>
    <s v="Thursday"/>
    <s v="Weekly - Thursday"/>
    <s v="Weekly - Thursday"/>
    <s v="Month+1 Expiry"/>
    <n v="17"/>
    <n v="2.66"/>
    <n v="0.05"/>
  </r>
  <r>
    <s v="27-May-2026"/>
    <x v="2"/>
    <s v="Week4-May-2026"/>
    <x v="8"/>
    <s v="25-Jun-2026"/>
    <s v="Thursday"/>
    <s v="Monthly - Thursday"/>
    <s v="Monthly - Thursday"/>
    <s v="Month+1 Expiry"/>
    <n v="16912"/>
    <n v="2666.72"/>
    <n v="50.05"/>
  </r>
  <r>
    <s v="27-May-2026"/>
    <x v="2"/>
    <s v="Week4-May-2026"/>
    <x v="8"/>
    <s v="02-Jul-2026"/>
    <s v="Thursday"/>
    <s v="Weekly - Thursday"/>
    <s v="Weekly - Thursday"/>
    <s v="Month+2 Expiry"/>
    <n v="0"/>
    <n v="0"/>
    <n v="0"/>
  </r>
  <r>
    <s v="27-May-2026"/>
    <x v="2"/>
    <s v="Week4-May-2026"/>
    <x v="8"/>
    <s v="30-Jul-2026"/>
    <s v="Thursday"/>
    <s v="Monthly - Thursday"/>
    <s v="Monthly - Thursday"/>
    <s v="Month+2 Expiry"/>
    <n v="543"/>
    <n v="85"/>
    <n v="1.86"/>
  </r>
  <r>
    <s v="29-May-2026"/>
    <x v="4"/>
    <s v="Week5-May-2026"/>
    <x v="8"/>
    <s v="04-Jun-2026"/>
    <s v="Thursday"/>
    <s v="Weekly - Thursday"/>
    <s v="Weekly - Thursday"/>
    <s v="Month+1 Expiry"/>
    <n v="19470766"/>
    <n v="2961573.04"/>
    <n v="12089.01"/>
  </r>
  <r>
    <s v="29-May-2026"/>
    <x v="4"/>
    <s v="Week5-May-2026"/>
    <x v="8"/>
    <s v="11-Jun-2026"/>
    <s v="Thursday"/>
    <s v="Weekly - Thursday"/>
    <s v="Weekly - Thursday"/>
    <s v="Month+1 Expiry"/>
    <n v="59342"/>
    <n v="9066.89"/>
    <n v="48.7"/>
  </r>
  <r>
    <s v="29-May-2026"/>
    <x v="4"/>
    <s v="Week5-May-2026"/>
    <x v="8"/>
    <s v="18-Jun-2026"/>
    <s v="Thursday"/>
    <s v="Weekly - Thursday"/>
    <s v="Weekly - Thursday"/>
    <s v="Month+1 Expiry"/>
    <n v="1598"/>
    <n v="246.2"/>
    <n v="3.07"/>
  </r>
  <r>
    <s v="29-May-2026"/>
    <x v="4"/>
    <s v="Week5-May-2026"/>
    <x v="8"/>
    <s v="25-Jun-2026"/>
    <s v="Thursday"/>
    <s v="Monthly - Thursday"/>
    <s v="Monthly - Thursday"/>
    <s v="Month+1 Expiry"/>
    <n v="27684"/>
    <n v="4275.12"/>
    <n v="47.78"/>
  </r>
  <r>
    <s v="29-May-2026"/>
    <x v="4"/>
    <s v="Week5-May-2026"/>
    <x v="8"/>
    <s v="02-Jul-2026"/>
    <s v="Thursday"/>
    <s v="Weekly - Thursday"/>
    <s v="Weekly - Thursday"/>
    <s v="Month+2 Expiry"/>
    <n v="0"/>
    <n v="0"/>
    <n v="0"/>
  </r>
  <r>
    <s v="29-May-2026"/>
    <x v="4"/>
    <s v="Week5-May-2026"/>
    <x v="8"/>
    <s v="30-Jul-2026"/>
    <s v="Thursday"/>
    <s v="Monthly - Thursday"/>
    <s v="Monthly - Thursday"/>
    <s v="Month+2 Expiry"/>
    <n v="754"/>
    <n v="117.5"/>
    <n v="2.4500000000000002"/>
  </r>
  <r>
    <s v="01-Jun-2026"/>
    <x v="0"/>
    <s v="Week1-Jun-2026"/>
    <x v="9"/>
    <s v="04-Jun-2026"/>
    <s v="Thursday"/>
    <s v="Weekly - Thursday"/>
    <s v="Weekly - Thursday"/>
    <s v="Same Month Expiry"/>
    <n v="22481524"/>
    <n v="3381932.46"/>
    <n v="12192.52"/>
  </r>
  <r>
    <s v="01-Jun-2026"/>
    <x v="0"/>
    <s v="Week1-Jun-2026"/>
    <x v="9"/>
    <s v="11-Jun-2026"/>
    <s v="Thursday"/>
    <s v="Weekly - Thursday"/>
    <s v="Weekly - Thursday"/>
    <s v="Same Month Expiry"/>
    <n v="119231"/>
    <n v="18004.29"/>
    <n v="78.66"/>
  </r>
  <r>
    <s v="01-Jun-2026"/>
    <x v="0"/>
    <s v="Week1-Jun-2026"/>
    <x v="9"/>
    <s v="18-Jun-2026"/>
    <s v="Thursday"/>
    <s v="Weekly - Thursday"/>
    <s v="Weekly - Thursday"/>
    <s v="Same Month Expiry"/>
    <n v="965"/>
    <n v="147.49"/>
    <n v="1.67"/>
  </r>
  <r>
    <s v="01-Jun-2026"/>
    <x v="0"/>
    <s v="Week1-Jun-2026"/>
    <x v="9"/>
    <s v="25-Jun-2026"/>
    <s v="Thursday"/>
    <s v="Monthly - Thursday"/>
    <s v="Monthly - Thursday"/>
    <s v="Same Month Expiry"/>
    <n v="13606"/>
    <n v="2092"/>
    <n v="19.78"/>
  </r>
  <r>
    <s v="01-Jun-2026"/>
    <x v="0"/>
    <s v="Week1-Jun-2026"/>
    <x v="9"/>
    <s v="02-Jul-2026"/>
    <s v="Thursday"/>
    <s v="Weekly - Thursday"/>
    <s v="Weekly - Thursday"/>
    <s v="Month+1 Expiry"/>
    <n v="1"/>
    <n v="0.16"/>
    <n v="0"/>
  </r>
  <r>
    <s v="01-Jun-2026"/>
    <x v="0"/>
    <s v="Week1-Jun-2026"/>
    <x v="9"/>
    <s v="30-Jul-2026"/>
    <s v="Thursday"/>
    <s v="Monthly - Thursday"/>
    <s v="Monthly - Thursday"/>
    <s v="Month+1 Expiry"/>
    <n v="250"/>
    <n v="38.65"/>
    <n v="0.74"/>
  </r>
  <r>
    <s v="02-Jun-2026"/>
    <x v="1"/>
    <s v="Week1-Jun-2026"/>
    <x v="9"/>
    <s v="04-Jun-2026"/>
    <s v="Thursday"/>
    <s v="Weekly - Thursday"/>
    <s v="Weekly - Thursday"/>
    <s v="Same Month Expiry"/>
    <n v="33865725"/>
    <n v="5059750.45"/>
    <n v="13356.2"/>
  </r>
  <r>
    <s v="02-Jun-2026"/>
    <x v="1"/>
    <s v="Week1-Jun-2026"/>
    <x v="9"/>
    <s v="11-Jun-2026"/>
    <s v="Thursday"/>
    <s v="Weekly - Thursday"/>
    <s v="Weekly - Thursday"/>
    <s v="Same Month Expiry"/>
    <n v="298679"/>
    <n v="44723.96"/>
    <n v="179.69"/>
  </r>
  <r>
    <s v="02-Jun-2026"/>
    <x v="1"/>
    <s v="Week1-Jun-2026"/>
    <x v="9"/>
    <s v="18-Jun-2026"/>
    <s v="Thursday"/>
    <s v="Weekly - Thursday"/>
    <s v="Weekly - Thursday"/>
    <s v="Same Month Expiry"/>
    <n v="2410"/>
    <n v="368.16"/>
    <n v="3.12"/>
  </r>
  <r>
    <s v="02-Jun-2026"/>
    <x v="1"/>
    <s v="Week1-Jun-2026"/>
    <x v="9"/>
    <s v="25-Jun-2026"/>
    <s v="Thursday"/>
    <s v="Monthly - Thursday"/>
    <s v="Monthly - Thursday"/>
    <s v="Same Month Expiry"/>
    <n v="17170"/>
    <n v="2624.91"/>
    <n v="21.61"/>
  </r>
  <r>
    <s v="02-Jun-2026"/>
    <x v="1"/>
    <s v="Week1-Jun-2026"/>
    <x v="9"/>
    <s v="02-Jul-2026"/>
    <s v="Thursday"/>
    <s v="Weekly - Thursday"/>
    <s v="Weekly - Thursday"/>
    <s v="Month+1 Expiry"/>
    <n v="2"/>
    <n v="0.31"/>
    <n v="0"/>
  </r>
  <r>
    <s v="02-Jun-2026"/>
    <x v="1"/>
    <s v="Week1-Jun-2026"/>
    <x v="9"/>
    <s v="30-Jul-2026"/>
    <s v="Thursday"/>
    <s v="Monthly - Thursday"/>
    <s v="Monthly - Thursday"/>
    <s v="Month+1 Expiry"/>
    <n v="255"/>
    <n v="39.14"/>
    <n v="0.78"/>
  </r>
  <r>
    <s v="03-Jun-2026"/>
    <x v="2"/>
    <s v="Week1-Jun-2026"/>
    <x v="9"/>
    <s v="04-Jun-2026"/>
    <s v="Thursday"/>
    <s v="Weekly - Thursday"/>
    <s v="Weekly - Thursday"/>
    <s v="Same Month Expiry"/>
    <n v="170142016"/>
    <n v="25320606.300000001"/>
    <n v="55289.36"/>
  </r>
  <r>
    <s v="03-Jun-2026"/>
    <x v="2"/>
    <s v="Week1-Jun-2026"/>
    <x v="9"/>
    <s v="11-Jun-2026"/>
    <s v="Thursday"/>
    <s v="Weekly - Thursday"/>
    <s v="Weekly - Thursday"/>
    <s v="Same Month Expiry"/>
    <n v="993934"/>
    <n v="148508.57999999999"/>
    <n v="750.96"/>
  </r>
  <r>
    <s v="03-Jun-2026"/>
    <x v="2"/>
    <s v="Week1-Jun-2026"/>
    <x v="9"/>
    <s v="18-Jun-2026"/>
    <s v="Thursday"/>
    <s v="Weekly - Thursday"/>
    <s v="Weekly - Thursday"/>
    <s v="Same Month Expiry"/>
    <n v="4860"/>
    <n v="747.49"/>
    <n v="3.63"/>
  </r>
  <r>
    <s v="03-Jun-2026"/>
    <x v="2"/>
    <s v="Week1-Jun-2026"/>
    <x v="9"/>
    <s v="25-Jun-2026"/>
    <s v="Thursday"/>
    <s v="Monthly - Thursday"/>
    <s v="Monthly - Thursday"/>
    <s v="Same Month Expiry"/>
    <n v="36027"/>
    <n v="5497.51"/>
    <n v="67.2"/>
  </r>
  <r>
    <s v="03-Jun-2026"/>
    <x v="2"/>
    <s v="Week1-Jun-2026"/>
    <x v="9"/>
    <s v="02-Jul-2026"/>
    <s v="Thursday"/>
    <s v="Weekly - Thursday"/>
    <s v="Weekly - Thursday"/>
    <s v="Month+1 Expiry"/>
    <n v="1"/>
    <n v="0.15"/>
    <n v="0"/>
  </r>
  <r>
    <s v="03-Jun-2026"/>
    <x v="2"/>
    <s v="Week1-Jun-2026"/>
    <x v="9"/>
    <s v="09-Jul-2026"/>
    <s v="Thursday"/>
    <s v="Weekly - Thursday"/>
    <s v="Weekly - Thursday"/>
    <s v="Month+1 Expiry"/>
    <n v="1"/>
    <n v="0.15"/>
    <n v="0"/>
  </r>
  <r>
    <s v="03-Jun-2026"/>
    <x v="2"/>
    <s v="Week1-Jun-2026"/>
    <x v="9"/>
    <s v="30-Jul-2026"/>
    <s v="Thursday"/>
    <s v="Monthly - Thursday"/>
    <s v="Monthly - Thursday"/>
    <s v="Month+1 Expiry"/>
    <n v="1214"/>
    <n v="185.49"/>
    <n v="3.72"/>
  </r>
  <r>
    <s v="04-Jun-2026"/>
    <x v="3"/>
    <s v="Week1-Jun-2026"/>
    <x v="9"/>
    <s v="04-Jun-2026"/>
    <s v="Thursday"/>
    <s v="Weekly - Thursday"/>
    <s v="Weekly - Thursday"/>
    <s v="Same Month Expiry"/>
    <n v="562898150"/>
    <n v="83765719.620000005"/>
    <n v="69992.95"/>
  </r>
  <r>
    <s v="04-Jun-2026"/>
    <x v="3"/>
    <s v="Week1-Jun-2026"/>
    <x v="9"/>
    <s v="11-Jun-2026"/>
    <s v="Thursday"/>
    <s v="Weekly - Thursday"/>
    <s v="Weekly - Thursday"/>
    <s v="Same Month Expiry"/>
    <n v="2317288"/>
    <n v="346616.3"/>
    <n v="1605.48"/>
  </r>
  <r>
    <s v="04-Jun-2026"/>
    <x v="3"/>
    <s v="Week1-Jun-2026"/>
    <x v="9"/>
    <s v="18-Jun-2026"/>
    <s v="Thursday"/>
    <s v="Weekly - Thursday"/>
    <s v="Weekly - Thursday"/>
    <s v="Same Month Expiry"/>
    <n v="8405"/>
    <n v="1277.3900000000001"/>
    <n v="10.06"/>
  </r>
  <r>
    <s v="04-Jun-2026"/>
    <x v="3"/>
    <s v="Week1-Jun-2026"/>
    <x v="9"/>
    <s v="25-Jun-2026"/>
    <s v="Thursday"/>
    <s v="Monthly - Thursday"/>
    <s v="Monthly - Thursday"/>
    <s v="Same Month Expiry"/>
    <n v="35785"/>
    <n v="5423.96"/>
    <n v="62.22"/>
  </r>
  <r>
    <s v="04-Jun-2026"/>
    <x v="3"/>
    <s v="Week1-Jun-2026"/>
    <x v="9"/>
    <s v="02-Jul-2026"/>
    <s v="Thursday"/>
    <s v="Weekly - Thursday"/>
    <s v="Weekly - Thursday"/>
    <s v="Month+1 Expiry"/>
    <n v="0"/>
    <n v="0"/>
    <n v="0"/>
  </r>
  <r>
    <s v="04-Jun-2026"/>
    <x v="3"/>
    <s v="Week1-Jun-2026"/>
    <x v="9"/>
    <s v="09-Jul-2026"/>
    <s v="Thursday"/>
    <s v="Weekly - Thursday"/>
    <s v="Weekly - Thursday"/>
    <s v="Month+1 Expiry"/>
    <n v="2"/>
    <n v="0.3"/>
    <n v="0.01"/>
  </r>
  <r>
    <s v="04-Jun-2026"/>
    <x v="3"/>
    <s v="Week1-Jun-2026"/>
    <x v="9"/>
    <s v="30-Jul-2026"/>
    <s v="Thursday"/>
    <s v="Monthly - Thursday"/>
    <s v="Monthly - Thursday"/>
    <s v="Month+1 Expiry"/>
    <n v="382"/>
    <n v="58.36"/>
    <n v="1.1599999999999999"/>
  </r>
  <r>
    <s v="05-Jun-2026"/>
    <x v="4"/>
    <s v="Week1-Jun-2026"/>
    <x v="9"/>
    <s v="11-Jun-2026"/>
    <s v="Thursday"/>
    <s v="Weekly - Thursday"/>
    <s v="Weekly - Thursday"/>
    <s v="Same Month Expiry"/>
    <n v="20309223"/>
    <n v="3037639.54"/>
    <n v="13914.7"/>
  </r>
  <r>
    <s v="05-Jun-2026"/>
    <x v="4"/>
    <s v="Week1-Jun-2026"/>
    <x v="9"/>
    <s v="18-Jun-2026"/>
    <s v="Thursday"/>
    <s v="Weekly - Thursday"/>
    <s v="Weekly - Thursday"/>
    <s v="Same Month Expiry"/>
    <n v="48116"/>
    <n v="7261.52"/>
    <n v="50.74"/>
  </r>
  <r>
    <s v="05-Jun-2026"/>
    <x v="4"/>
    <s v="Week1-Jun-2026"/>
    <x v="9"/>
    <s v="25-Jun-2026"/>
    <s v="Thursday"/>
    <s v="Monthly - Thursday"/>
    <s v="Monthly - Thursday"/>
    <s v="Same Month Expiry"/>
    <n v="21340"/>
    <n v="3234.28"/>
    <n v="26.17"/>
  </r>
  <r>
    <s v="05-Jun-2026"/>
    <x v="4"/>
    <s v="Week1-Jun-2026"/>
    <x v="9"/>
    <s v="02-Jul-2026"/>
    <s v="Thursday"/>
    <s v="Weekly - Thursday"/>
    <s v="Weekly - Thursday"/>
    <s v="Month+1 Expiry"/>
    <n v="677"/>
    <n v="103.1"/>
    <n v="1.52"/>
  </r>
  <r>
    <s v="05-Jun-2026"/>
    <x v="4"/>
    <s v="Week1-Jun-2026"/>
    <x v="9"/>
    <s v="09-Jul-2026"/>
    <s v="Thursday"/>
    <s v="Weekly - Thursday"/>
    <s v="Weekly - Thursday"/>
    <s v="Month+1 Expiry"/>
    <n v="0"/>
    <n v="0"/>
    <n v="0"/>
  </r>
  <r>
    <s v="05-Jun-2026"/>
    <x v="4"/>
    <s v="Week1-Jun-2026"/>
    <x v="9"/>
    <s v="30-Jul-2026"/>
    <s v="Thursday"/>
    <s v="Monthly - Thursday"/>
    <s v="Monthly - Thursday"/>
    <s v="Month+1 Expiry"/>
    <n v="406"/>
    <n v="62.22"/>
    <n v="1.22"/>
  </r>
  <r>
    <s v="08-Jun-2026"/>
    <x v="0"/>
    <s v="Week2-Jun-2026"/>
    <x v="9"/>
    <s v="11-Jun-2026"/>
    <s v="Thursday"/>
    <s v="Weekly - Thursday"/>
    <s v="Weekly - Thursday"/>
    <s v="Same Month Expiry"/>
    <n v="18650848"/>
    <n v="2767788.5"/>
    <n v="11285.99"/>
  </r>
  <r>
    <s v="08-Jun-2026"/>
    <x v="0"/>
    <s v="Week2-Jun-2026"/>
    <x v="9"/>
    <s v="18-Jun-2026"/>
    <s v="Thursday"/>
    <s v="Weekly - Thursday"/>
    <s v="Weekly - Thursday"/>
    <s v="Same Month Expiry"/>
    <n v="78307"/>
    <n v="11741.5"/>
    <n v="68.47"/>
  </r>
  <r>
    <s v="08-Jun-2026"/>
    <x v="0"/>
    <s v="Week2-Jun-2026"/>
    <x v="9"/>
    <s v="25-Jun-2026"/>
    <s v="Thursday"/>
    <s v="Monthly - Thursday"/>
    <s v="Monthly - Thursday"/>
    <s v="Same Month Expiry"/>
    <n v="28764"/>
    <n v="4369.62"/>
    <n v="30.52"/>
  </r>
  <r>
    <s v="08-Jun-2026"/>
    <x v="0"/>
    <s v="Week2-Jun-2026"/>
    <x v="9"/>
    <s v="02-Jul-2026"/>
    <s v="Thursday"/>
    <s v="Weekly - Thursday"/>
    <s v="Weekly - Thursday"/>
    <s v="Month+1 Expiry"/>
    <n v="380"/>
    <n v="57.35"/>
    <n v="1"/>
  </r>
  <r>
    <s v="08-Jun-2026"/>
    <x v="0"/>
    <s v="Week2-Jun-2026"/>
    <x v="9"/>
    <s v="09-Jul-2026"/>
    <s v="Thursday"/>
    <s v="Weekly - Thursday"/>
    <s v="Weekly - Thursday"/>
    <s v="Month+1 Expiry"/>
    <n v="0"/>
    <n v="0"/>
    <n v="0"/>
  </r>
  <r>
    <s v="08-Jun-2026"/>
    <x v="0"/>
    <s v="Week2-Jun-2026"/>
    <x v="9"/>
    <s v="30-Jul-2026"/>
    <s v="Thursday"/>
    <s v="Monthly - Thursday"/>
    <s v="Monthly - Thursday"/>
    <s v="Month+1 Expiry"/>
    <n v="444"/>
    <n v="67.95"/>
    <n v="1.44"/>
  </r>
  <r>
    <s v="09-Jun-2026"/>
    <x v="1"/>
    <s v="Week2-Jun-2026"/>
    <x v="9"/>
    <s v="11-Jun-2026"/>
    <s v="Thursday"/>
    <s v="Weekly - Thursday"/>
    <s v="Weekly - Thursday"/>
    <s v="Same Month Expiry"/>
    <n v="26885222"/>
    <n v="3976773.12"/>
    <n v="11223.39"/>
  </r>
  <r>
    <s v="09-Jun-2026"/>
    <x v="1"/>
    <s v="Week2-Jun-2026"/>
    <x v="9"/>
    <s v="18-Jun-2026"/>
    <s v="Thursday"/>
    <s v="Weekly - Thursday"/>
    <s v="Weekly - Thursday"/>
    <s v="Same Month Expiry"/>
    <n v="261049"/>
    <n v="38407.42"/>
    <n v="133.88"/>
  </r>
  <r>
    <s v="09-Jun-2026"/>
    <x v="1"/>
    <s v="Week2-Jun-2026"/>
    <x v="9"/>
    <s v="25-Jun-2026"/>
    <s v="Thursday"/>
    <s v="Monthly - Thursday"/>
    <s v="Monthly - Thursday"/>
    <s v="Same Month Expiry"/>
    <n v="25408"/>
    <n v="3836.69"/>
    <n v="25.04"/>
  </r>
  <r>
    <s v="09-Jun-2026"/>
    <x v="1"/>
    <s v="Week2-Jun-2026"/>
    <x v="9"/>
    <s v="02-Jul-2026"/>
    <s v="Thursday"/>
    <s v="Weekly - Thursday"/>
    <s v="Weekly - Thursday"/>
    <s v="Month+1 Expiry"/>
    <n v="376"/>
    <n v="56.44"/>
    <n v="0.87"/>
  </r>
  <r>
    <s v="09-Jun-2026"/>
    <x v="1"/>
    <s v="Week2-Jun-2026"/>
    <x v="9"/>
    <s v="09-Jul-2026"/>
    <s v="Thursday"/>
    <s v="Weekly - Thursday"/>
    <s v="Weekly - Thursday"/>
    <s v="Month+1 Expiry"/>
    <n v="0"/>
    <n v="0"/>
    <n v="0"/>
  </r>
  <r>
    <s v="09-Jun-2026"/>
    <x v="1"/>
    <s v="Week2-Jun-2026"/>
    <x v="9"/>
    <s v="30-Jul-2026"/>
    <s v="Thursday"/>
    <s v="Monthly - Thursday"/>
    <s v="Monthly - Thursday"/>
    <s v="Month+1 Expiry"/>
    <n v="204"/>
    <n v="31.16"/>
    <n v="0.63"/>
  </r>
  <r>
    <s v="10-Jun-2026"/>
    <x v="2"/>
    <s v="Week2-Jun-2026"/>
    <x v="9"/>
    <s v="11-Jun-2026"/>
    <s v="Thursday"/>
    <s v="Weekly - Thursday"/>
    <s v="Weekly - Thursday"/>
    <s v="Same Month Expiry"/>
    <n v="112776627"/>
    <n v="16787636.16"/>
    <n v="37249.129999999997"/>
  </r>
  <r>
    <s v="10-Jun-2026"/>
    <x v="2"/>
    <s v="Week2-Jun-2026"/>
    <x v="9"/>
    <s v="18-Jun-2026"/>
    <s v="Thursday"/>
    <s v="Weekly - Thursday"/>
    <s v="Weekly - Thursday"/>
    <s v="Same Month Expiry"/>
    <n v="655450"/>
    <n v="97502.63"/>
    <n v="395.13"/>
  </r>
  <r>
    <s v="10-Jun-2026"/>
    <x v="2"/>
    <s v="Week2-Jun-2026"/>
    <x v="9"/>
    <s v="25-Jun-2026"/>
    <s v="Thursday"/>
    <s v="Monthly - Thursday"/>
    <s v="Monthly - Thursday"/>
    <s v="Same Month Expiry"/>
    <n v="36551"/>
    <n v="5520.47"/>
    <n v="39.35"/>
  </r>
  <r>
    <s v="10-Jun-2026"/>
    <x v="2"/>
    <s v="Week2-Jun-2026"/>
    <x v="9"/>
    <s v="02-Jul-2026"/>
    <s v="Thursday"/>
    <s v="Weekly - Thursday"/>
    <s v="Weekly - Thursday"/>
    <s v="Month+1 Expiry"/>
    <n v="735"/>
    <n v="112.25"/>
    <n v="1.04"/>
  </r>
  <r>
    <s v="10-Jun-2026"/>
    <x v="2"/>
    <s v="Week2-Jun-2026"/>
    <x v="9"/>
    <s v="09-Jul-2026"/>
    <s v="Thursday"/>
    <s v="Weekly - Thursday"/>
    <s v="Weekly - Thursday"/>
    <s v="Month+1 Expiry"/>
    <n v="0"/>
    <n v="0"/>
    <n v="0"/>
  </r>
  <r>
    <s v="10-Jun-2026"/>
    <x v="2"/>
    <s v="Week2-Jun-2026"/>
    <x v="9"/>
    <s v="30-Jul-2026"/>
    <s v="Thursday"/>
    <s v="Monthly - Thursday"/>
    <s v="Monthly - Thursday"/>
    <s v="Month+1 Expiry"/>
    <n v="310"/>
    <n v="47.65"/>
    <n v="0.87"/>
  </r>
  <r>
    <s v="11-Jun-2026"/>
    <x v="3"/>
    <s v="Week2-Jun-2026"/>
    <x v="9"/>
    <s v="11-Jun-2026"/>
    <s v="Thursday"/>
    <s v="Weekly - Thursday"/>
    <s v="Weekly - Thursday"/>
    <s v="Same Month Expiry"/>
    <n v="554090630"/>
    <n v="82025207.5"/>
    <n v="64191.9"/>
  </r>
  <r>
    <s v="11-Jun-2026"/>
    <x v="3"/>
    <s v="Week2-Jun-2026"/>
    <x v="9"/>
    <s v="18-Jun-2026"/>
    <s v="Thursday"/>
    <s v="Weekly - Thursday"/>
    <s v="Weekly - Thursday"/>
    <s v="Same Month Expiry"/>
    <n v="2254612"/>
    <n v="334593.34000000003"/>
    <n v="1471.66"/>
  </r>
  <r>
    <s v="11-Jun-2026"/>
    <x v="3"/>
    <s v="Week2-Jun-2026"/>
    <x v="9"/>
    <s v="25-Jun-2026"/>
    <s v="Thursday"/>
    <s v="Monthly - Thursday"/>
    <s v="Monthly - Thursday"/>
    <s v="Same Month Expiry"/>
    <n v="66495"/>
    <n v="10016.02"/>
    <n v="73.03"/>
  </r>
  <r>
    <s v="11-Jun-2026"/>
    <x v="3"/>
    <s v="Week2-Jun-2026"/>
    <x v="9"/>
    <s v="02-Jul-2026"/>
    <s v="Thursday"/>
    <s v="Weekly - Thursday"/>
    <s v="Weekly - Thursday"/>
    <s v="Month+1 Expiry"/>
    <n v="981"/>
    <n v="147.86000000000001"/>
    <n v="2"/>
  </r>
  <r>
    <s v="11-Jun-2026"/>
    <x v="3"/>
    <s v="Week2-Jun-2026"/>
    <x v="9"/>
    <s v="09-Jul-2026"/>
    <s v="Thursday"/>
    <s v="Weekly - Thursday"/>
    <s v="Weekly - Thursday"/>
    <s v="Month+1 Expiry"/>
    <n v="0"/>
    <n v="0"/>
    <n v="0"/>
  </r>
  <r>
    <s v="11-Jun-2026"/>
    <x v="3"/>
    <s v="Week2-Jun-2026"/>
    <x v="9"/>
    <s v="30-Jul-2026"/>
    <s v="Thursday"/>
    <s v="Monthly - Thursday"/>
    <s v="Monthly - Thursday"/>
    <s v="Month+1 Expiry"/>
    <n v="1278"/>
    <n v="193.96"/>
    <n v="3.41"/>
  </r>
  <r>
    <s v="12-Jun-2026"/>
    <x v="4"/>
    <s v="Week2-Jun-2026"/>
    <x v="9"/>
    <s v="18-Jun-2026"/>
    <s v="Thursday"/>
    <s v="Weekly - Thursday"/>
    <s v="Weekly - Thursday"/>
    <s v="Same Month Expiry"/>
    <n v="20794782"/>
    <n v="3128493.62"/>
    <n v="12920.18"/>
  </r>
  <r>
    <s v="12-Jun-2026"/>
    <x v="4"/>
    <s v="Week2-Jun-2026"/>
    <x v="9"/>
    <s v="25-Jun-2026"/>
    <s v="Thursday"/>
    <s v="Monthly - Thursday"/>
    <s v="Monthly - Thursday"/>
    <s v="Same Month Expiry"/>
    <n v="157468"/>
    <n v="23926.69"/>
    <n v="141.16999999999999"/>
  </r>
  <r>
    <s v="12-Jun-2026"/>
    <x v="4"/>
    <s v="Week2-Jun-2026"/>
    <x v="9"/>
    <s v="02-Jul-2026"/>
    <s v="Thursday"/>
    <s v="Weekly - Thursday"/>
    <s v="Weekly - Thursday"/>
    <s v="Month+1 Expiry"/>
    <n v="3644"/>
    <n v="556.94000000000005"/>
    <n v="4.97"/>
  </r>
  <r>
    <s v="12-Jun-2026"/>
    <x v="4"/>
    <s v="Week2-Jun-2026"/>
    <x v="9"/>
    <s v="09-Jul-2026"/>
    <s v="Thursday"/>
    <s v="Weekly - Thursday"/>
    <s v="Weekly - Thursday"/>
    <s v="Month+1 Expiry"/>
    <n v="390"/>
    <n v="59.65"/>
    <n v="0.91"/>
  </r>
  <r>
    <s v="12-Jun-2026"/>
    <x v="4"/>
    <s v="Week2-Jun-2026"/>
    <x v="9"/>
    <s v="16-Jul-2026"/>
    <s v="Thursday"/>
    <s v="Weekly - Thursday"/>
    <s v="Weekly - Thursday"/>
    <s v="Month+1 Expiry"/>
    <n v="1"/>
    <n v="0.15"/>
    <n v="0"/>
  </r>
  <r>
    <s v="12-Jun-2026"/>
    <x v="4"/>
    <s v="Week2-Jun-2026"/>
    <x v="9"/>
    <s v="30-Jul-2026"/>
    <s v="Thursday"/>
    <s v="Monthly - Thursday"/>
    <s v="Monthly - Thursday"/>
    <s v="Month+1 Expiry"/>
    <n v="2743"/>
    <n v="421.84"/>
    <n v="6.51"/>
  </r>
  <r>
    <s v="15-Jun-2026"/>
    <x v="0"/>
    <s v="Week3-Jun-2026"/>
    <x v="9"/>
    <s v="18-Jun-2026"/>
    <s v="Thursday"/>
    <s v="Weekly - Thursday"/>
    <s v="Weekly - Thursday"/>
    <s v="Same Month Expiry"/>
    <n v="23538849"/>
    <n v="3607020.19"/>
    <n v="11868.64"/>
  </r>
  <r>
    <s v="15-Jun-2026"/>
    <x v="0"/>
    <s v="Week3-Jun-2026"/>
    <x v="9"/>
    <s v="25-Jun-2026"/>
    <s v="Thursday"/>
    <s v="Monthly - Thursday"/>
    <s v="Monthly - Thursday"/>
    <s v="Same Month Expiry"/>
    <n v="225501"/>
    <n v="34501.019999999997"/>
    <n v="176.45"/>
  </r>
  <r>
    <s v="15-Jun-2026"/>
    <x v="0"/>
    <s v="Week3-Jun-2026"/>
    <x v="9"/>
    <s v="02-Jul-2026"/>
    <s v="Thursday"/>
    <s v="Weekly - Thursday"/>
    <s v="Weekly - Thursday"/>
    <s v="Month+1 Expiry"/>
    <n v="3773"/>
    <n v="583.62"/>
    <n v="5.44"/>
  </r>
  <r>
    <s v="15-Jun-2026"/>
    <x v="0"/>
    <s v="Week3-Jun-2026"/>
    <x v="9"/>
    <s v="09-Jul-2026"/>
    <s v="Thursday"/>
    <s v="Weekly - Thursday"/>
    <s v="Weekly - Thursday"/>
    <s v="Month+1 Expiry"/>
    <n v="2475"/>
    <n v="383.71"/>
    <n v="5.87"/>
  </r>
  <r>
    <s v="15-Jun-2026"/>
    <x v="0"/>
    <s v="Week3-Jun-2026"/>
    <x v="9"/>
    <s v="16-Jul-2026"/>
    <s v="Thursday"/>
    <s v="Weekly - Thursday"/>
    <s v="Weekly - Thursday"/>
    <s v="Month+1 Expiry"/>
    <n v="0"/>
    <n v="0"/>
    <n v="0"/>
  </r>
  <r>
    <s v="15-Jun-2026"/>
    <x v="0"/>
    <s v="Week3-Jun-2026"/>
    <x v="9"/>
    <s v="23-Jul-2026"/>
    <s v="Thursday"/>
    <s v="Weekly - Thursday"/>
    <s v="Weekly - Thursday"/>
    <s v="Month+1 Expiry"/>
    <n v="1"/>
    <n v="0.16"/>
    <n v="0"/>
  </r>
  <r>
    <s v="15-Jun-2026"/>
    <x v="0"/>
    <s v="Week3-Jun-2026"/>
    <x v="9"/>
    <s v="30-Jul-2026"/>
    <s v="Thursday"/>
    <s v="Monthly - Thursday"/>
    <s v="Monthly - Thursday"/>
    <s v="Month+1 Expiry"/>
    <n v="6348"/>
    <n v="992.2"/>
    <n v="16.87"/>
  </r>
  <r>
    <s v="16-Jun-2026"/>
    <x v="1"/>
    <s v="Week3-Jun-2026"/>
    <x v="9"/>
    <s v="18-Jun-2026"/>
    <s v="Thursday"/>
    <s v="Weekly - Thursday"/>
    <s v="Weekly - Thursday"/>
    <s v="Same Month Expiry"/>
    <n v="24258967"/>
    <n v="3719718.82"/>
    <n v="8986.94"/>
  </r>
  <r>
    <s v="16-Jun-2026"/>
    <x v="1"/>
    <s v="Week3-Jun-2026"/>
    <x v="9"/>
    <s v="25-Jun-2026"/>
    <s v="Thursday"/>
    <s v="Monthly - Thursday"/>
    <s v="Monthly - Thursday"/>
    <s v="Same Month Expiry"/>
    <n v="261338"/>
    <n v="39842.85"/>
    <n v="154.72999999999999"/>
  </r>
  <r>
    <s v="16-Jun-2026"/>
    <x v="1"/>
    <s v="Week3-Jun-2026"/>
    <x v="9"/>
    <s v="02-Jul-2026"/>
    <s v="Thursday"/>
    <s v="Weekly - Thursday"/>
    <s v="Weekly - Thursday"/>
    <s v="Month+1 Expiry"/>
    <n v="3964"/>
    <n v="615.74"/>
    <n v="4.3099999999999996"/>
  </r>
  <r>
    <s v="16-Jun-2026"/>
    <x v="1"/>
    <s v="Week3-Jun-2026"/>
    <x v="9"/>
    <s v="09-Jul-2026"/>
    <s v="Thursday"/>
    <s v="Weekly - Thursday"/>
    <s v="Weekly - Thursday"/>
    <s v="Month+1 Expiry"/>
    <n v="384"/>
    <n v="59.59"/>
    <n v="0.7"/>
  </r>
  <r>
    <s v="16-Jun-2026"/>
    <x v="1"/>
    <s v="Week3-Jun-2026"/>
    <x v="9"/>
    <s v="16-Jul-2026"/>
    <s v="Thursday"/>
    <s v="Weekly - Thursday"/>
    <s v="Weekly - Thursday"/>
    <s v="Month+1 Expiry"/>
    <n v="0"/>
    <n v="0"/>
    <n v="0"/>
  </r>
  <r>
    <s v="16-Jun-2026"/>
    <x v="1"/>
    <s v="Week3-Jun-2026"/>
    <x v="9"/>
    <s v="23-Jul-2026"/>
    <s v="Thursday"/>
    <s v="Weekly - Thursday"/>
    <s v="Weekly - Thursday"/>
    <s v="Month+1 Expiry"/>
    <n v="0"/>
    <n v="0"/>
    <n v="0"/>
  </r>
  <r>
    <s v="16-Jun-2026"/>
    <x v="1"/>
    <s v="Week3-Jun-2026"/>
    <x v="9"/>
    <s v="30-Jul-2026"/>
    <s v="Thursday"/>
    <s v="Monthly - Thursday"/>
    <s v="Monthly - Thursday"/>
    <s v="Month+1 Expiry"/>
    <n v="1672"/>
    <n v="261.45"/>
    <n v="3.81"/>
  </r>
  <r>
    <s v="17-Jun-2026"/>
    <x v="2"/>
    <s v="Week3-Jun-2026"/>
    <x v="9"/>
    <s v="18-Jun-2026"/>
    <s v="Thursday"/>
    <s v="Weekly - Thursday"/>
    <s v="Weekly - Thursday"/>
    <s v="Same Month Expiry"/>
    <n v="91482176"/>
    <n v="14097826.529999999"/>
    <n v="26455.05"/>
  </r>
  <r>
    <s v="17-Jun-2026"/>
    <x v="2"/>
    <s v="Week3-Jun-2026"/>
    <x v="9"/>
    <s v="25-Jun-2026"/>
    <s v="Thursday"/>
    <s v="Monthly - Thursday"/>
    <s v="Monthly - Thursday"/>
    <s v="Same Month Expiry"/>
    <n v="525339"/>
    <n v="80618.490000000005"/>
    <n v="301.72000000000003"/>
  </r>
  <r>
    <s v="17-Jun-2026"/>
    <x v="2"/>
    <s v="Week3-Jun-2026"/>
    <x v="9"/>
    <s v="02-Jul-2026"/>
    <s v="Thursday"/>
    <s v="Weekly - Thursday"/>
    <s v="Weekly - Thursday"/>
    <s v="Month+1 Expiry"/>
    <n v="8825"/>
    <n v="1379.93"/>
    <n v="9.5299999999999994"/>
  </r>
  <r>
    <s v="17-Jun-2026"/>
    <x v="2"/>
    <s v="Week3-Jun-2026"/>
    <x v="9"/>
    <s v="09-Jul-2026"/>
    <s v="Thursday"/>
    <s v="Weekly - Thursday"/>
    <s v="Weekly - Thursday"/>
    <s v="Month+1 Expiry"/>
    <n v="122"/>
    <n v="19.05"/>
    <n v="0.2"/>
  </r>
  <r>
    <s v="17-Jun-2026"/>
    <x v="2"/>
    <s v="Week3-Jun-2026"/>
    <x v="9"/>
    <s v="16-Jul-2026"/>
    <s v="Thursday"/>
    <s v="Weekly - Thursday"/>
    <s v="Weekly - Thursday"/>
    <s v="Month+1 Expiry"/>
    <n v="0"/>
    <n v="0"/>
    <n v="0"/>
  </r>
  <r>
    <s v="17-Jun-2026"/>
    <x v="2"/>
    <s v="Week3-Jun-2026"/>
    <x v="9"/>
    <s v="23-Jul-2026"/>
    <s v="Thursday"/>
    <s v="Weekly - Thursday"/>
    <s v="Weekly - Thursday"/>
    <s v="Month+1 Expiry"/>
    <n v="0"/>
    <n v="0"/>
    <n v="0"/>
  </r>
  <r>
    <s v="17-Jun-2026"/>
    <x v="2"/>
    <s v="Week3-Jun-2026"/>
    <x v="9"/>
    <s v="30-Jul-2026"/>
    <s v="Thursday"/>
    <s v="Monthly - Thursday"/>
    <s v="Monthly - Thursday"/>
    <s v="Month+1 Expiry"/>
    <n v="2248"/>
    <n v="352.72"/>
    <n v="4.6100000000000003"/>
  </r>
  <r>
    <s v="18-Jun-2026"/>
    <x v="3"/>
    <s v="Week3-Jun-2026"/>
    <x v="9"/>
    <s v="18-Jun-2026"/>
    <s v="Thursday"/>
    <s v="Weekly - Thursday"/>
    <s v="Weekly - Thursday"/>
    <s v="Same Month Expiry"/>
    <n v="478899730"/>
    <n v="73990256.530000001"/>
    <n v="47565.760000000002"/>
  </r>
  <r>
    <s v="18-Jun-2026"/>
    <x v="3"/>
    <s v="Week3-Jun-2026"/>
    <x v="9"/>
    <s v="25-Jun-2026"/>
    <s v="Thursday"/>
    <s v="Monthly - Thursday"/>
    <s v="Monthly - Thursday"/>
    <s v="Same Month Expiry"/>
    <n v="2175162"/>
    <n v="336727.18"/>
    <n v="1206.6099999999999"/>
  </r>
  <r>
    <s v="18-Jun-2026"/>
    <x v="3"/>
    <s v="Week3-Jun-2026"/>
    <x v="9"/>
    <s v="02-Jul-2026"/>
    <s v="Thursday"/>
    <s v="Weekly - Thursday"/>
    <s v="Weekly - Thursday"/>
    <s v="Month+1 Expiry"/>
    <n v="17327"/>
    <n v="2711.58"/>
    <n v="15.55"/>
  </r>
  <r>
    <s v="18-Jun-2026"/>
    <x v="3"/>
    <s v="Week3-Jun-2026"/>
    <x v="9"/>
    <s v="09-Jul-2026"/>
    <s v="Thursday"/>
    <s v="Weekly - Thursday"/>
    <s v="Weekly - Thursday"/>
    <s v="Month+1 Expiry"/>
    <n v="168"/>
    <n v="26.26"/>
    <n v="0.3"/>
  </r>
  <r>
    <s v="18-Jun-2026"/>
    <x v="3"/>
    <s v="Week3-Jun-2026"/>
    <x v="9"/>
    <s v="16-Jul-2026"/>
    <s v="Thursday"/>
    <s v="Weekly - Thursday"/>
    <s v="Weekly - Thursday"/>
    <s v="Month+1 Expiry"/>
    <n v="5"/>
    <n v="0.73"/>
    <n v="0"/>
  </r>
  <r>
    <s v="18-Jun-2026"/>
    <x v="3"/>
    <s v="Week3-Jun-2026"/>
    <x v="9"/>
    <s v="23-Jul-2026"/>
    <s v="Thursday"/>
    <s v="Weekly - Thursday"/>
    <s v="Weekly - Thursday"/>
    <s v="Month+1 Expiry"/>
    <n v="1"/>
    <n v="0.15"/>
    <n v="0"/>
  </r>
  <r>
    <s v="18-Jun-2026"/>
    <x v="3"/>
    <s v="Week3-Jun-2026"/>
    <x v="9"/>
    <s v="30-Jul-2026"/>
    <s v="Thursday"/>
    <s v="Monthly - Thursday"/>
    <s v="Monthly - Thursday"/>
    <s v="Month+1 Expiry"/>
    <n v="2472"/>
    <n v="386.56"/>
    <n v="4.78"/>
  </r>
  <r>
    <s v="19-Jun-2026"/>
    <x v="4"/>
    <s v="Week3-Jun-2026"/>
    <x v="9"/>
    <s v="25-Jun-2026"/>
    <s v="Thursday"/>
    <s v="Monthly - Thursday"/>
    <s v="MDAW - Thursday"/>
    <s v="Same Month Expiry"/>
    <n v="14800619"/>
    <n v="2280791.27"/>
    <n v="8636.2900000000009"/>
  </r>
  <r>
    <s v="19-Jun-2026"/>
    <x v="4"/>
    <s v="Week3-Jun-2026"/>
    <x v="9"/>
    <s v="02-Jul-2026"/>
    <s v="Thursday"/>
    <s v="Weekly - Thursday"/>
    <s v="Weekly - Thursday"/>
    <s v="Month+1 Expiry"/>
    <n v="129387"/>
    <n v="20104.63"/>
    <n v="130.22"/>
  </r>
  <r>
    <s v="19-Jun-2026"/>
    <x v="4"/>
    <s v="Week3-Jun-2026"/>
    <x v="9"/>
    <s v="09-Jul-2026"/>
    <s v="Thursday"/>
    <s v="Weekly - Thursday"/>
    <s v="Weekly - Thursday"/>
    <s v="Month+1 Expiry"/>
    <n v="1593"/>
    <n v="247.55"/>
    <n v="2.61"/>
  </r>
  <r>
    <s v="19-Jun-2026"/>
    <x v="4"/>
    <s v="Week3-Jun-2026"/>
    <x v="9"/>
    <s v="16-Jul-2026"/>
    <s v="Thursday"/>
    <s v="Weekly - Thursday"/>
    <s v="Weekly - Thursday"/>
    <s v="Month+1 Expiry"/>
    <n v="658"/>
    <n v="102.55"/>
    <n v="1.23"/>
  </r>
  <r>
    <s v="19-Jun-2026"/>
    <x v="4"/>
    <s v="Week3-Jun-2026"/>
    <x v="9"/>
    <s v="23-Jul-2026"/>
    <s v="Thursday"/>
    <s v="Weekly - Thursday"/>
    <s v="Weekly - Thursday"/>
    <s v="Month+1 Expiry"/>
    <n v="0"/>
    <n v="0"/>
    <n v="0"/>
  </r>
  <r>
    <s v="19-Jun-2026"/>
    <x v="4"/>
    <s v="Week3-Jun-2026"/>
    <x v="9"/>
    <s v="30-Jul-2026"/>
    <s v="Thursday"/>
    <s v="Monthly - Thursday"/>
    <s v="Monthly - Thursday"/>
    <s v="Month+1 Expiry"/>
    <n v="3317"/>
    <n v="518.37"/>
    <n v="7.1"/>
  </r>
  <r>
    <s v="22-Jun-2026"/>
    <x v="0"/>
    <s v="Week4-Jun-2026"/>
    <x v="9"/>
    <s v="25-Jun-2026"/>
    <s v="Thursday"/>
    <s v="Monthly - Thursday"/>
    <s v="MDAW - Thursday"/>
    <s v="Same Month Expiry"/>
    <n v="15143822"/>
    <n v="2344026.92"/>
    <n v="6647.46"/>
  </r>
  <r>
    <s v="22-Jun-2026"/>
    <x v="0"/>
    <s v="Week4-Jun-2026"/>
    <x v="9"/>
    <s v="02-Jul-2026"/>
    <s v="Thursday"/>
    <s v="Weekly - Thursday"/>
    <s v="Weekly - Thursday"/>
    <s v="Month+1 Expiry"/>
    <n v="127363"/>
    <n v="19814.8"/>
    <n v="96.88"/>
  </r>
  <r>
    <s v="22-Jun-2026"/>
    <x v="0"/>
    <s v="Week4-Jun-2026"/>
    <x v="9"/>
    <s v="09-Jul-2026"/>
    <s v="Thursday"/>
    <s v="Weekly - Thursday"/>
    <s v="Weekly - Thursday"/>
    <s v="Month+1 Expiry"/>
    <n v="1072"/>
    <n v="167.77"/>
    <n v="1.49"/>
  </r>
  <r>
    <s v="22-Jun-2026"/>
    <x v="0"/>
    <s v="Week4-Jun-2026"/>
    <x v="9"/>
    <s v="16-Jul-2026"/>
    <s v="Thursday"/>
    <s v="Weekly - Thursday"/>
    <s v="Weekly - Thursday"/>
    <s v="Month+1 Expiry"/>
    <n v="139"/>
    <n v="21.85"/>
    <n v="0.2"/>
  </r>
  <r>
    <s v="22-Jun-2026"/>
    <x v="0"/>
    <s v="Week4-Jun-2026"/>
    <x v="9"/>
    <s v="23-Jul-2026"/>
    <s v="Thursday"/>
    <s v="Weekly - Thursday"/>
    <s v="Weekly - Thursday"/>
    <s v="Month+1 Expiry"/>
    <n v="0"/>
    <n v="0"/>
    <n v="0"/>
  </r>
  <r>
    <s v="22-Jun-2026"/>
    <x v="0"/>
    <s v="Week4-Jun-2026"/>
    <x v="9"/>
    <s v="30-Jul-2026"/>
    <s v="Thursday"/>
    <s v="Monthly - Thursday"/>
    <s v="Monthly - Thursday"/>
    <s v="Month+1 Expiry"/>
    <n v="2639"/>
    <n v="413.46"/>
    <n v="5.33"/>
  </r>
  <r>
    <s v="23-Jun-2026"/>
    <x v="1"/>
    <s v="Week4-Jun-2026"/>
    <x v="9"/>
    <s v="25-Jun-2026"/>
    <s v="Thursday"/>
    <s v="Monthly - Thursday"/>
    <s v="MDAW - Thursday"/>
    <s v="Same Month Expiry"/>
    <n v="34360080"/>
    <n v="5293662.9000000004"/>
    <n v="11381.89"/>
  </r>
  <r>
    <s v="23-Jun-2026"/>
    <x v="1"/>
    <s v="Week4-Jun-2026"/>
    <x v="9"/>
    <s v="02-Jul-2026"/>
    <s v="Thursday"/>
    <s v="Weekly - Thursday"/>
    <s v="Weekly - Thursday"/>
    <s v="Month+1 Expiry"/>
    <n v="400349"/>
    <n v="61720.07"/>
    <n v="253.62"/>
  </r>
  <r>
    <s v="23-Jun-2026"/>
    <x v="1"/>
    <s v="Week4-Jun-2026"/>
    <x v="9"/>
    <s v="09-Jul-2026"/>
    <s v="Thursday"/>
    <s v="Weekly - Thursday"/>
    <s v="Weekly - Thursday"/>
    <s v="Month+1 Expiry"/>
    <n v="6247"/>
    <n v="973.36"/>
    <n v="8"/>
  </r>
  <r>
    <s v="23-Jun-2026"/>
    <x v="1"/>
    <s v="Week4-Jun-2026"/>
    <x v="9"/>
    <s v="16-Jul-2026"/>
    <s v="Thursday"/>
    <s v="Weekly - Thursday"/>
    <s v="Weekly - Thursday"/>
    <s v="Month+1 Expiry"/>
    <n v="854"/>
    <n v="133.44"/>
    <n v="1.57"/>
  </r>
  <r>
    <s v="23-Jun-2026"/>
    <x v="1"/>
    <s v="Week4-Jun-2026"/>
    <x v="9"/>
    <s v="23-Jul-2026"/>
    <s v="Thursday"/>
    <s v="Weekly - Thursday"/>
    <s v="Weekly - Thursday"/>
    <s v="Month+1 Expiry"/>
    <n v="0"/>
    <n v="0"/>
    <n v="0"/>
  </r>
  <r>
    <s v="23-Jun-2026"/>
    <x v="1"/>
    <s v="Week4-Jun-2026"/>
    <x v="9"/>
    <s v="30-Jul-2026"/>
    <s v="Thursday"/>
    <s v="Monthly - Thursday"/>
    <s v="Monthly - Thursday"/>
    <s v="Month+1 Expiry"/>
    <n v="6215"/>
    <n v="967.36"/>
    <n v="10.75"/>
  </r>
  <r>
    <s v="24-Jun-2026"/>
    <x v="2"/>
    <s v="Week4-Jun-2026"/>
    <x v="9"/>
    <s v="25-Jun-2026"/>
    <s v="Thursday"/>
    <s v="Monthly - Thursday"/>
    <s v="MDAW - Thursday"/>
    <s v="Same Month Expiry"/>
    <n v="129858422"/>
    <n v="19975890.760000002"/>
    <n v="37557.120000000003"/>
  </r>
  <r>
    <s v="24-Jun-2026"/>
    <x v="2"/>
    <s v="Week4-Jun-2026"/>
    <x v="9"/>
    <s v="02-Jul-2026"/>
    <s v="Thursday"/>
    <s v="Weekly - Thursday"/>
    <s v="Weekly - Thursday"/>
    <s v="Month+1 Expiry"/>
    <n v="706983"/>
    <n v="109085.08"/>
    <n v="444.04"/>
  </r>
  <r>
    <s v="24-Jun-2026"/>
    <x v="2"/>
    <s v="Week4-Jun-2026"/>
    <x v="9"/>
    <s v="09-Jul-2026"/>
    <s v="Thursday"/>
    <s v="Weekly - Thursday"/>
    <s v="Weekly - Thursday"/>
    <s v="Month+1 Expiry"/>
    <n v="10001"/>
    <n v="1566.44"/>
    <n v="11.9"/>
  </r>
  <r>
    <s v="24-Jun-2026"/>
    <x v="2"/>
    <s v="Week4-Jun-2026"/>
    <x v="9"/>
    <s v="16-Jul-2026"/>
    <s v="Thursday"/>
    <s v="Weekly - Thursday"/>
    <s v="Weekly - Thursday"/>
    <s v="Month+1 Expiry"/>
    <n v="735"/>
    <n v="114.9"/>
    <n v="1.29"/>
  </r>
  <r>
    <s v="24-Jun-2026"/>
    <x v="2"/>
    <s v="Week4-Jun-2026"/>
    <x v="9"/>
    <s v="23-Jul-2026"/>
    <s v="Thursday"/>
    <s v="Weekly - Thursday"/>
    <s v="Weekly - Thursday"/>
    <s v="Month+1 Expiry"/>
    <n v="4"/>
    <n v="0.63"/>
    <n v="0.01"/>
  </r>
  <r>
    <s v="24-Jun-2026"/>
    <x v="2"/>
    <s v="Week4-Jun-2026"/>
    <x v="9"/>
    <s v="30-Jul-2026"/>
    <s v="Thursday"/>
    <s v="Monthly - Thursday"/>
    <s v="Monthly - Thursday"/>
    <s v="Month+1 Expiry"/>
    <n v="7046"/>
    <n v="1117.69"/>
    <n v="18.899999999999999"/>
  </r>
  <r>
    <s v="25-Jun-2026"/>
    <x v="3"/>
    <s v="Week4-Jun-2026"/>
    <x v="9"/>
    <s v="25-Jun-2026"/>
    <s v="Thursday"/>
    <s v="Monthly - Thursday"/>
    <s v="MDAW - Thursday"/>
    <s v="Same Month Expiry"/>
    <n v="544402510"/>
    <n v="84236638.739999995"/>
    <n v="58088.32"/>
  </r>
  <r>
    <s v="25-Jun-2026"/>
    <x v="3"/>
    <s v="Week4-Jun-2026"/>
    <x v="9"/>
    <s v="02-Jul-2026"/>
    <s v="Thursday"/>
    <s v="Weekly - Thursday"/>
    <s v="Weekly - Thursday"/>
    <s v="Month+1 Expiry"/>
    <n v="2414775"/>
    <n v="375183.3"/>
    <n v="1459.12"/>
  </r>
  <r>
    <s v="25-Jun-2026"/>
    <x v="3"/>
    <s v="Week4-Jun-2026"/>
    <x v="9"/>
    <s v="09-Jul-2026"/>
    <s v="Thursday"/>
    <s v="Weekly - Thursday"/>
    <s v="Weekly - Thursday"/>
    <s v="Month+1 Expiry"/>
    <n v="23740"/>
    <n v="3707.05"/>
    <n v="24.27"/>
  </r>
  <r>
    <s v="25-Jun-2026"/>
    <x v="3"/>
    <s v="Week4-Jun-2026"/>
    <x v="9"/>
    <s v="16-Jul-2026"/>
    <s v="Thursday"/>
    <s v="Weekly - Thursday"/>
    <s v="Weekly - Thursday"/>
    <s v="Month+1 Expiry"/>
    <n v="1079"/>
    <n v="168.83"/>
    <n v="1.83"/>
  </r>
  <r>
    <s v="25-Jun-2026"/>
    <x v="3"/>
    <s v="Week4-Jun-2026"/>
    <x v="9"/>
    <s v="23-Jul-2026"/>
    <s v="Thursday"/>
    <s v="Weekly - Thursday"/>
    <s v="Weekly - Thursday"/>
    <s v="Month+1 Expiry"/>
    <n v="0"/>
    <n v="0"/>
    <n v="0"/>
  </r>
  <r>
    <s v="25-Jun-2026"/>
    <x v="3"/>
    <s v="Week4-Jun-2026"/>
    <x v="9"/>
    <s v="30-Jul-2026"/>
    <s v="Thursday"/>
    <s v="Monthly - Thursday"/>
    <s v="Monthly - Thursday"/>
    <s v="Month+1 Expiry"/>
    <n v="18608"/>
    <n v="2917.02"/>
    <n v="39.03"/>
  </r>
  <r>
    <s v="25-Jun-2026"/>
    <x v="3"/>
    <s v="Week4-Jun-2026"/>
    <x v="9"/>
    <s v="27-Aug-2026"/>
    <s v="Thursday"/>
    <s v="Monthly - Thursday"/>
    <s v="Monthly - Thursday"/>
    <s v="Month+2 Expiry"/>
    <n v="5"/>
    <n v="0.81"/>
    <n v="0.02"/>
  </r>
  <r>
    <s v="29-Jun-2026"/>
    <x v="0"/>
    <s v="Week5-Jun-2026"/>
    <x v="9"/>
    <s v="02-Jul-2026"/>
    <s v="Thursday"/>
    <s v="Weekly - Thursday"/>
    <s v="Weekly - Thursday"/>
    <s v="Month+1 Expiry"/>
    <n v="20330522"/>
    <n v="3135288.71"/>
    <n v="9759.86"/>
  </r>
  <r>
    <s v="29-Jun-2026"/>
    <x v="0"/>
    <s v="Week5-Jun-2026"/>
    <x v="9"/>
    <s v="09-Jul-2026"/>
    <s v="Thursday"/>
    <s v="Weekly - Thursday"/>
    <s v="Weekly - Thursday"/>
    <s v="Month+1 Expiry"/>
    <n v="94103"/>
    <n v="14576.93"/>
    <n v="93.21"/>
  </r>
  <r>
    <s v="29-Jun-2026"/>
    <x v="0"/>
    <s v="Week5-Jun-2026"/>
    <x v="9"/>
    <s v="16-Jul-2026"/>
    <s v="Thursday"/>
    <s v="Weekly - Thursday"/>
    <s v="Weekly - Thursday"/>
    <s v="Month+1 Expiry"/>
    <n v="1345"/>
    <n v="209.81"/>
    <n v="2.1800000000000002"/>
  </r>
  <r>
    <s v="29-Jun-2026"/>
    <x v="0"/>
    <s v="Week5-Jun-2026"/>
    <x v="9"/>
    <s v="23-Jul-2026"/>
    <s v="Thursday"/>
    <s v="Weekly - Thursday"/>
    <s v="Weekly - Thursday"/>
    <s v="Month+1 Expiry"/>
    <n v="30"/>
    <n v="4.63"/>
    <n v="0.04"/>
  </r>
  <r>
    <s v="29-Jun-2026"/>
    <x v="0"/>
    <s v="Week5-Jun-2026"/>
    <x v="9"/>
    <s v="30-Jul-2026"/>
    <s v="Thursday"/>
    <s v="Monthly - Thursday"/>
    <s v="Monthly - Thursday"/>
    <s v="Month+1 Expiry"/>
    <n v="18056"/>
    <n v="2897.69"/>
    <n v="72.38"/>
  </r>
  <r>
    <s v="29-Jun-2026"/>
    <x v="0"/>
    <s v="Week5-Jun-2026"/>
    <x v="9"/>
    <s v="27-Aug-2026"/>
    <s v="Thursday"/>
    <s v="Monthly - Thursday"/>
    <s v="Monthly - Thursday"/>
    <s v="Month+2 Expiry"/>
    <n v="398"/>
    <n v="63"/>
    <n v="1.51"/>
  </r>
  <r>
    <s v="30-Jun-2026"/>
    <x v="1"/>
    <s v="Week5-Jun-2026"/>
    <x v="9"/>
    <s v="02-Jul-2026"/>
    <s v="Thursday"/>
    <s v="Weekly - Thursday"/>
    <s v="Weekly - Thursday"/>
    <s v="Month+1 Expiry"/>
    <n v="25962486"/>
    <n v="3997121.97"/>
    <n v="10176.120000000001"/>
  </r>
  <r>
    <s v="30-Jun-2026"/>
    <x v="1"/>
    <s v="Week5-Jun-2026"/>
    <x v="9"/>
    <s v="09-Jul-2026"/>
    <s v="Thursday"/>
    <s v="Weekly - Thursday"/>
    <s v="Weekly - Thursday"/>
    <s v="Month+1 Expiry"/>
    <n v="226286"/>
    <n v="34970.120000000003"/>
    <n v="171.25"/>
  </r>
  <r>
    <s v="30-Jun-2026"/>
    <x v="1"/>
    <s v="Week5-Jun-2026"/>
    <x v="9"/>
    <s v="16-Jul-2026"/>
    <s v="Thursday"/>
    <s v="Weekly - Thursday"/>
    <s v="Weekly - Thursday"/>
    <s v="Month+1 Expiry"/>
    <n v="2103"/>
    <n v="325.72000000000003"/>
    <n v="3.03"/>
  </r>
  <r>
    <s v="30-Jun-2026"/>
    <x v="1"/>
    <s v="Week5-Jun-2026"/>
    <x v="9"/>
    <s v="23-Jul-2026"/>
    <s v="Thursday"/>
    <s v="Weekly - Thursday"/>
    <s v="Weekly - Thursday"/>
    <s v="Month+1 Expiry"/>
    <n v="4"/>
    <n v="0.62"/>
    <n v="0.01"/>
  </r>
  <r>
    <s v="30-Jun-2026"/>
    <x v="1"/>
    <s v="Week5-Jun-2026"/>
    <x v="9"/>
    <s v="30-Jul-2026"/>
    <s v="Thursday"/>
    <s v="Monthly - Thursday"/>
    <s v="Monthly - Thursday"/>
    <s v="Month+1 Expiry"/>
    <n v="7517"/>
    <n v="1182.22"/>
    <n v="13.31"/>
  </r>
  <r>
    <s v="30-Jun-2026"/>
    <x v="1"/>
    <s v="Week5-Jun-2026"/>
    <x v="9"/>
    <s v="27-Aug-2026"/>
    <s v="Thursday"/>
    <s v="Monthly - Thursday"/>
    <s v="Monthly - Thursday"/>
    <s v="Month+2 Expiry"/>
    <n v="388"/>
    <n v="61.1"/>
    <n v="1.08"/>
  </r>
  <r>
    <s v="01-Jul-2026"/>
    <x v="2"/>
    <s v="Week1-Jul-2026"/>
    <x v="10"/>
    <s v="02-Jul-2026"/>
    <s v="Thursday"/>
    <s v="Weekly - Thursday"/>
    <s v="Weekly - Thursday"/>
    <s v="Same Month Expiry"/>
    <n v="121504128"/>
    <n v="18720769.120000001"/>
    <n v="35224.5"/>
  </r>
  <r>
    <s v="01-Jul-2026"/>
    <x v="2"/>
    <s v="Week1-Jul-2026"/>
    <x v="10"/>
    <s v="09-Jul-2026"/>
    <s v="Thursday"/>
    <s v="Weekly - Thursday"/>
    <s v="Weekly - Thursday"/>
    <s v="Same Month Expiry"/>
    <n v="486793"/>
    <n v="75033.47"/>
    <n v="255.8"/>
  </r>
  <r>
    <s v="01-Jul-2026"/>
    <x v="2"/>
    <s v="Week1-Jul-2026"/>
    <x v="10"/>
    <s v="16-Jul-2026"/>
    <s v="Thursday"/>
    <s v="Weekly - Thursday"/>
    <s v="Weekly - Thursday"/>
    <s v="Same Month Expiry"/>
    <n v="3678"/>
    <n v="571.84"/>
    <n v="5.19"/>
  </r>
  <r>
    <s v="01-Jul-2026"/>
    <x v="2"/>
    <s v="Week1-Jul-2026"/>
    <x v="10"/>
    <s v="23-Jul-2026"/>
    <s v="Thursday"/>
    <s v="Weekly - Thursday"/>
    <s v="Weekly - Thursday"/>
    <s v="Same Month Expiry"/>
    <n v="11"/>
    <n v="1.76"/>
    <n v="0.01"/>
  </r>
  <r>
    <s v="01-Jul-2026"/>
    <x v="2"/>
    <s v="Week1-Jul-2026"/>
    <x v="10"/>
    <s v="30-Jul-2026"/>
    <s v="Thursday"/>
    <s v="Monthly - Thursday"/>
    <s v="Monthly - Thursday"/>
    <s v="Same Month Expiry"/>
    <n v="11530"/>
    <n v="1796.95"/>
    <n v="16.579999999999998"/>
  </r>
  <r>
    <s v="01-Jul-2026"/>
    <x v="2"/>
    <s v="Week1-Jul-2026"/>
    <x v="10"/>
    <s v="27-Aug-2026"/>
    <s v="Thursday"/>
    <s v="Monthly - Thursday"/>
    <s v="Monthly - Thursday"/>
    <s v="Month+1 Expiry"/>
    <n v="248"/>
    <n v="39.200000000000003"/>
    <n v="0.77"/>
  </r>
  <r>
    <s v="02-Jul-2026"/>
    <x v="3"/>
    <s v="Week1-Jul-2026"/>
    <x v="10"/>
    <s v="02-Jul-2026"/>
    <s v="Thursday"/>
    <s v="Weekly - Thursday"/>
    <s v="Weekly - Thursday"/>
    <s v="Same Month Expiry"/>
    <n v="482093606"/>
    <n v="74569763.620000005"/>
    <n v="53544.23"/>
  </r>
  <r>
    <s v="02-Jul-2026"/>
    <x v="3"/>
    <s v="Week1-Jul-2026"/>
    <x v="10"/>
    <s v="09-Jul-2026"/>
    <s v="Thursday"/>
    <s v="Weekly - Thursday"/>
    <s v="Weekly - Thursday"/>
    <s v="Same Month Expiry"/>
    <n v="2051872"/>
    <n v="318168.28000000003"/>
    <n v="1112.4000000000001"/>
  </r>
  <r>
    <s v="02-Jul-2026"/>
    <x v="3"/>
    <s v="Week1-Jul-2026"/>
    <x v="10"/>
    <s v="16-Jul-2026"/>
    <s v="Thursday"/>
    <s v="Weekly - Thursday"/>
    <s v="Weekly - Thursday"/>
    <s v="Same Month Expiry"/>
    <n v="10495"/>
    <n v="1624.92"/>
    <n v="11.76"/>
  </r>
  <r>
    <s v="02-Jul-2026"/>
    <x v="3"/>
    <s v="Week1-Jul-2026"/>
    <x v="10"/>
    <s v="23-Jul-2026"/>
    <s v="Thursday"/>
    <s v="Weekly - Thursday"/>
    <s v="Weekly - Thursday"/>
    <s v="Same Month Expiry"/>
    <n v="5"/>
    <n v="0.78"/>
    <n v="0.01"/>
  </r>
  <r>
    <s v="02-Jul-2026"/>
    <x v="3"/>
    <s v="Week1-Jul-2026"/>
    <x v="10"/>
    <s v="30-Jul-2026"/>
    <s v="Thursday"/>
    <s v="Monthly - Thursday"/>
    <s v="Monthly - Thursday"/>
    <s v="Same Month Expiry"/>
    <n v="17662"/>
    <n v="2769.99"/>
    <n v="24.93"/>
  </r>
  <r>
    <s v="02-Jul-2026"/>
    <x v="3"/>
    <s v="Week1-Jul-2026"/>
    <x v="10"/>
    <s v="27-Aug-2026"/>
    <s v="Thursday"/>
    <s v="Monthly - Thursday"/>
    <s v="Monthly - Thursday"/>
    <s v="Month+1 Expiry"/>
    <n v="346"/>
    <n v="54.92"/>
    <n v="0.93"/>
  </r>
  <r>
    <s v="03-Jul-2026"/>
    <x v="4"/>
    <s v="Week1-Jul-2026"/>
    <x v="10"/>
    <s v="09-Jul-2026"/>
    <s v="Thursday"/>
    <s v="Weekly - Thursday"/>
    <s v="Weekly - Thursday"/>
    <s v="Same Month Expiry"/>
    <n v="16764340"/>
    <n v="2619541.9700000002"/>
    <n v="9137.23"/>
  </r>
  <r>
    <s v="03-Jul-2026"/>
    <x v="4"/>
    <s v="Week1-Jul-2026"/>
    <x v="10"/>
    <s v="16-Jul-2026"/>
    <s v="Thursday"/>
    <s v="Weekly - Thursday"/>
    <s v="Weekly - Thursday"/>
    <s v="Same Month Expiry"/>
    <n v="49154"/>
    <n v="7713.54"/>
    <n v="44.98"/>
  </r>
  <r>
    <s v="03-Jul-2026"/>
    <x v="4"/>
    <s v="Week1-Jul-2026"/>
    <x v="10"/>
    <s v="23-Jul-2026"/>
    <s v="Thursday"/>
    <s v="Weekly - Thursday"/>
    <s v="Weekly - Thursday"/>
    <s v="Same Month Expiry"/>
    <n v="1000"/>
    <n v="157.96"/>
    <n v="1.54"/>
  </r>
  <r>
    <s v="03-Jul-2026"/>
    <x v="4"/>
    <s v="Week1-Jul-2026"/>
    <x v="10"/>
    <s v="30-Jul-2026"/>
    <s v="Thursday"/>
    <s v="Monthly - Thursday"/>
    <s v="Monthly - Thursday"/>
    <s v="Same Month Expiry"/>
    <n v="17546"/>
    <n v="2746.48"/>
    <n v="21.19"/>
  </r>
  <r>
    <s v="03-Jul-2026"/>
    <x v="4"/>
    <s v="Week1-Jul-2026"/>
    <x v="10"/>
    <s v="27-Aug-2026"/>
    <s v="Thursday"/>
    <s v="Monthly - Thursday"/>
    <s v="Monthly - Thursday"/>
    <s v="Month+1 Expiry"/>
    <n v="740"/>
    <n v="118.6"/>
    <n v="2.17"/>
  </r>
  <r>
    <s v="06-Jul-2026"/>
    <x v="0"/>
    <s v="Week1-Jul-2026"/>
    <x v="10"/>
    <s v="09-Jul-2026"/>
    <s v="Thursday"/>
    <s v="Weekly - Thursday"/>
    <s v="Weekly - Thursday"/>
    <s v="Same Month Expiry"/>
    <n v="20047833"/>
    <n v="3137595.28"/>
    <n v="8615.92"/>
  </r>
  <r>
    <s v="06-Jul-2026"/>
    <x v="0"/>
    <s v="Week1-Jul-2026"/>
    <x v="10"/>
    <s v="16-Jul-2026"/>
    <s v="Thursday"/>
    <s v="Weekly - Thursday"/>
    <s v="Weekly - Thursday"/>
    <s v="Same Month Expiry"/>
    <n v="98823"/>
    <n v="15508.26"/>
    <n v="73.180000000000007"/>
  </r>
  <r>
    <s v="06-Jul-2026"/>
    <x v="0"/>
    <s v="Week1-Jul-2026"/>
    <x v="10"/>
    <s v="23-Jul-2026"/>
    <s v="Thursday"/>
    <s v="Weekly - Thursday"/>
    <s v="Weekly - Thursday"/>
    <s v="Same Month Expiry"/>
    <n v="819"/>
    <n v="129.63"/>
    <n v="1.17"/>
  </r>
  <r>
    <s v="06-Jul-2026"/>
    <x v="0"/>
    <s v="Week1-Jul-2026"/>
    <x v="10"/>
    <s v="30-Jul-2026"/>
    <s v="Thursday"/>
    <s v="Monthly - Thursday"/>
    <s v="Monthly - Thursday"/>
    <s v="Same Month Expiry"/>
    <n v="13617"/>
    <n v="2139.33"/>
    <n v="13.58"/>
  </r>
  <r>
    <s v="06-Jul-2026"/>
    <x v="0"/>
    <s v="Week1-Jul-2026"/>
    <x v="10"/>
    <s v="06-Aug-2026"/>
    <s v="Thursday"/>
    <s v="Weekly - Thursday"/>
    <s v="Weekly - Thursday"/>
    <s v="Month+1 Expiry"/>
    <n v="1"/>
    <n v="0.16"/>
    <n v="0"/>
  </r>
  <r>
    <s v="06-Jul-2026"/>
    <x v="0"/>
    <s v="Week1-Jul-2026"/>
    <x v="10"/>
    <s v="27-Aug-2026"/>
    <s v="Thursday"/>
    <s v="Monthly - Thursday"/>
    <s v="Monthly - Thursday"/>
    <s v="Month+1 Expiry"/>
    <n v="220"/>
    <n v="35.22"/>
    <n v="0.52"/>
  </r>
  <r>
    <s v="07-Jul-2026"/>
    <x v="1"/>
    <s v="Week1-Jul-2026"/>
    <x v="10"/>
    <s v="09-Jul-2026"/>
    <s v="Thursday"/>
    <s v="Weekly - Thursday"/>
    <s v="Weekly - Thursday"/>
    <s v="Same Month Expiry"/>
    <n v="29473822"/>
    <n v="4623714.96"/>
    <n v="9957.7800000000007"/>
  </r>
  <r>
    <s v="07-Jul-2026"/>
    <x v="1"/>
    <s v="Week1-Jul-2026"/>
    <x v="10"/>
    <s v="16-Jul-2026"/>
    <s v="Thursday"/>
    <s v="Weekly - Thursday"/>
    <s v="Weekly - Thursday"/>
    <s v="Same Month Expiry"/>
    <n v="266466"/>
    <n v="41856.06"/>
    <n v="175.91"/>
  </r>
  <r>
    <s v="07-Jul-2026"/>
    <x v="1"/>
    <s v="Week1-Jul-2026"/>
    <x v="10"/>
    <s v="23-Jul-2026"/>
    <s v="Thursday"/>
    <s v="Weekly - Thursday"/>
    <s v="Weekly - Thursday"/>
    <s v="Same Month Expiry"/>
    <n v="2466"/>
    <n v="389.54"/>
    <n v="2.97"/>
  </r>
  <r>
    <s v="07-Jul-2026"/>
    <x v="1"/>
    <s v="Week1-Jul-2026"/>
    <x v="10"/>
    <s v="30-Jul-2026"/>
    <s v="Thursday"/>
    <s v="Monthly - Thursday"/>
    <s v="Monthly - Thursday"/>
    <s v="Same Month Expiry"/>
    <n v="15854"/>
    <n v="2498.25"/>
    <n v="16.510000000000002"/>
  </r>
  <r>
    <s v="07-Jul-2026"/>
    <x v="1"/>
    <s v="Week1-Jul-2026"/>
    <x v="10"/>
    <s v="06-Aug-2026"/>
    <s v="Thursday"/>
    <s v="Weekly - Thursday"/>
    <s v="Weekly - Thursday"/>
    <s v="Month+1 Expiry"/>
    <n v="0"/>
    <n v="0"/>
    <n v="0"/>
  </r>
  <r>
    <s v="07-Jul-2026"/>
    <x v="1"/>
    <s v="Week1-Jul-2026"/>
    <x v="10"/>
    <s v="27-Aug-2026"/>
    <s v="Thursday"/>
    <s v="Monthly - Thursday"/>
    <s v="Monthly - Thursday"/>
    <s v="Month+1 Expiry"/>
    <n v="184"/>
    <n v="29.5"/>
    <n v="0.46"/>
  </r>
  <r>
    <s v="08-Jul-2026"/>
    <x v="2"/>
    <s v="Week2-Jul-2026"/>
    <x v="10"/>
    <s v="09-Jul-2026"/>
    <s v="Thursday"/>
    <s v="Weekly - Thursday"/>
    <s v="Weekly - Thursday"/>
    <s v="Same Month Expiry"/>
    <n v="171595314"/>
    <n v="26538534.510000002"/>
    <n v="49206.73"/>
  </r>
  <r>
    <s v="08-Jul-2026"/>
    <x v="2"/>
    <s v="Week2-Jul-2026"/>
    <x v="10"/>
    <s v="16-Jul-2026"/>
    <s v="Thursday"/>
    <s v="Weekly - Thursday"/>
    <s v="Weekly - Thursday"/>
    <s v="Same Month Expiry"/>
    <n v="1020707"/>
    <n v="157996.21"/>
    <n v="656.77"/>
  </r>
  <r>
    <s v="08-Jul-2026"/>
    <x v="2"/>
    <s v="Week2-Jul-2026"/>
    <x v="10"/>
    <s v="23-Jul-2026"/>
    <s v="Thursday"/>
    <s v="Weekly - Thursday"/>
    <s v="Weekly - Thursday"/>
    <s v="Same Month Expiry"/>
    <n v="7474"/>
    <n v="1168.83"/>
    <n v="9.89"/>
  </r>
  <r>
    <s v="08-Jul-2026"/>
    <x v="2"/>
    <s v="Week2-Jul-2026"/>
    <x v="10"/>
    <s v="30-Jul-2026"/>
    <s v="Thursday"/>
    <s v="Monthly - Thursday"/>
    <s v="Monthly - Thursday"/>
    <s v="Same Month Expiry"/>
    <n v="47247"/>
    <n v="7348.87"/>
    <n v="53.74"/>
  </r>
  <r>
    <s v="08-Jul-2026"/>
    <x v="2"/>
    <s v="Week2-Jul-2026"/>
    <x v="10"/>
    <s v="06-Aug-2026"/>
    <s v="Thursday"/>
    <s v="Weekly - Thursday"/>
    <s v="Weekly - Thursday"/>
    <s v="Month+1 Expiry"/>
    <n v="2"/>
    <n v="0.32"/>
    <n v="0"/>
  </r>
  <r>
    <s v="08-Jul-2026"/>
    <x v="2"/>
    <s v="Week2-Jul-2026"/>
    <x v="10"/>
    <s v="27-Aug-2026"/>
    <s v="Thursday"/>
    <s v="Monthly - Thursday"/>
    <s v="Monthly - Thursday"/>
    <s v="Month+1 Expiry"/>
    <n v="484"/>
    <n v="76.59"/>
    <n v="1.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0">
  <r>
    <s v="01-Sep-2025"/>
    <x v="0"/>
    <s v="Week1-Sep-2025"/>
    <x v="0"/>
    <s v="30-Sep-2025"/>
    <s v="Tuesday"/>
    <s v="Monthly - Tuesday"/>
    <s v="Monthly - Tuesday"/>
    <s v="Same Month Expiry"/>
    <n v="2038762"/>
    <n v="388441.65"/>
    <n v="3260.23"/>
  </r>
  <r>
    <s v="01-Sep-2025"/>
    <x v="0"/>
    <s v="Week1-Sep-2025"/>
    <x v="0"/>
    <s v="28-Oct-2025"/>
    <s v="Tuesday"/>
    <s v="Monthly - Tuesday"/>
    <s v="Monthly - Tuesday"/>
    <s v="Month+1 Expiry"/>
    <n v="17731"/>
    <n v="3412.63"/>
    <n v="30.66"/>
  </r>
  <r>
    <s v="01-Sep-2025"/>
    <x v="0"/>
    <s v="Week1-Sep-2025"/>
    <x v="0"/>
    <s v="25-Nov-2025"/>
    <s v="Tuesday"/>
    <s v="Monthly - Tuesday"/>
    <s v="Monthly - Tuesday"/>
    <s v="Month+2 Expiry"/>
    <n v="382"/>
    <n v="74.260000000000005"/>
    <n v="1.57"/>
  </r>
  <r>
    <s v="01-Sep-2025"/>
    <x v="0"/>
    <s v="Week1-Sep-2025"/>
    <x v="0"/>
    <s v="30-Dec-2025"/>
    <s v="Tuesday"/>
    <s v="Monthly - Tuesday"/>
    <s v="Monthly - Tuesday"/>
    <s v="Month+3 Expiry"/>
    <n v="3133"/>
    <n v="616.69000000000005"/>
    <n v="8.51"/>
  </r>
  <r>
    <s v="01-Sep-2025"/>
    <x v="0"/>
    <s v="Week1-Sep-2025"/>
    <x v="0"/>
    <s v="31-Mar-2026"/>
    <s v="Tuesday"/>
    <s v="Monthly - Tuesday"/>
    <s v="Monthly - Tuesday"/>
    <s v="Month+6 Expiry"/>
    <n v="123"/>
    <n v="25.75"/>
    <n v="0.41"/>
  </r>
  <r>
    <s v="01-Sep-2025"/>
    <x v="0"/>
    <s v="Week1-Sep-2025"/>
    <x v="0"/>
    <s v="30-Jun-2026"/>
    <s v="Tuesday"/>
    <s v="Monthly - Tuesday"/>
    <s v="Monthly - Tuesday"/>
    <s v="Month+9 Expiry"/>
    <n v="0"/>
    <n v="0"/>
    <n v="0"/>
  </r>
  <r>
    <s v="02-Sep-2025"/>
    <x v="1"/>
    <s v="Week1-Sep-2025"/>
    <x v="0"/>
    <s v="30-Sep-2025"/>
    <s v="Tuesday"/>
    <s v="Monthly - Tuesday"/>
    <s v="Monthly - Tuesday"/>
    <s v="Same Month Expiry"/>
    <n v="2335453"/>
    <n v="444731.57"/>
    <n v="3739.23"/>
  </r>
  <r>
    <s v="02-Sep-2025"/>
    <x v="1"/>
    <s v="Week1-Sep-2025"/>
    <x v="0"/>
    <s v="28-Oct-2025"/>
    <s v="Tuesday"/>
    <s v="Monthly - Tuesday"/>
    <s v="Monthly - Tuesday"/>
    <s v="Month+1 Expiry"/>
    <n v="25566"/>
    <n v="4934.97"/>
    <n v="48.37"/>
  </r>
  <r>
    <s v="02-Sep-2025"/>
    <x v="1"/>
    <s v="Week1-Sep-2025"/>
    <x v="0"/>
    <s v="25-Nov-2025"/>
    <s v="Tuesday"/>
    <s v="Monthly - Tuesday"/>
    <s v="Monthly - Tuesday"/>
    <s v="Month+2 Expiry"/>
    <n v="633"/>
    <n v="122.79"/>
    <n v="2.5"/>
  </r>
  <r>
    <s v="02-Sep-2025"/>
    <x v="1"/>
    <s v="Week1-Sep-2025"/>
    <x v="0"/>
    <s v="30-Dec-2025"/>
    <s v="Tuesday"/>
    <s v="Monthly - Tuesday"/>
    <s v="Monthly - Tuesday"/>
    <s v="Month+3 Expiry"/>
    <n v="3041"/>
    <n v="601.14"/>
    <n v="8.4"/>
  </r>
  <r>
    <s v="02-Sep-2025"/>
    <x v="1"/>
    <s v="Week1-Sep-2025"/>
    <x v="0"/>
    <s v="31-Mar-2026"/>
    <s v="Tuesday"/>
    <s v="Monthly - Tuesday"/>
    <s v="Monthly - Tuesday"/>
    <s v="Month+6 Expiry"/>
    <n v="130"/>
    <n v="27.19"/>
    <n v="0.42"/>
  </r>
  <r>
    <s v="02-Sep-2025"/>
    <x v="1"/>
    <s v="Week1-Sep-2025"/>
    <x v="0"/>
    <s v="30-Jun-2026"/>
    <s v="Tuesday"/>
    <s v="Monthly - Tuesday"/>
    <s v="Monthly - Tuesday"/>
    <s v="Month+9 Expiry"/>
    <n v="0"/>
    <n v="0"/>
    <n v="0"/>
  </r>
  <r>
    <s v="03-Sep-2025"/>
    <x v="2"/>
    <s v="Week1-Sep-2025"/>
    <x v="0"/>
    <s v="30-Sep-2025"/>
    <s v="Tuesday"/>
    <s v="Monthly - Tuesday"/>
    <s v="Monthly - Tuesday"/>
    <s v="Same Month Expiry"/>
    <n v="2543972"/>
    <n v="483980.17"/>
    <n v="4035.64"/>
  </r>
  <r>
    <s v="03-Sep-2025"/>
    <x v="2"/>
    <s v="Week1-Sep-2025"/>
    <x v="0"/>
    <s v="28-Oct-2025"/>
    <s v="Tuesday"/>
    <s v="Monthly - Tuesday"/>
    <s v="Monthly - Tuesday"/>
    <s v="Month+1 Expiry"/>
    <n v="29423"/>
    <n v="5680.88"/>
    <n v="47.59"/>
  </r>
  <r>
    <s v="03-Sep-2025"/>
    <x v="2"/>
    <s v="Week1-Sep-2025"/>
    <x v="0"/>
    <s v="25-Nov-2025"/>
    <s v="Tuesday"/>
    <s v="Monthly - Tuesday"/>
    <s v="Monthly - Tuesday"/>
    <s v="Month+2 Expiry"/>
    <n v="1324"/>
    <n v="256.56"/>
    <n v="5.52"/>
  </r>
  <r>
    <s v="03-Sep-2025"/>
    <x v="2"/>
    <s v="Week1-Sep-2025"/>
    <x v="0"/>
    <s v="30-Dec-2025"/>
    <s v="Tuesday"/>
    <s v="Monthly - Tuesday"/>
    <s v="Monthly - Tuesday"/>
    <s v="Month+3 Expiry"/>
    <n v="3953"/>
    <n v="789.25"/>
    <n v="12.01"/>
  </r>
  <r>
    <s v="03-Sep-2025"/>
    <x v="2"/>
    <s v="Week1-Sep-2025"/>
    <x v="0"/>
    <s v="31-Mar-2026"/>
    <s v="Tuesday"/>
    <s v="Monthly - Tuesday"/>
    <s v="Monthly - Tuesday"/>
    <s v="Month+6 Expiry"/>
    <n v="138"/>
    <n v="28.7"/>
    <n v="0.49"/>
  </r>
  <r>
    <s v="03-Sep-2025"/>
    <x v="2"/>
    <s v="Week1-Sep-2025"/>
    <x v="0"/>
    <s v="30-Jun-2026"/>
    <s v="Tuesday"/>
    <s v="Monthly - Tuesday"/>
    <s v="Monthly - Tuesday"/>
    <s v="Month+9 Expiry"/>
    <n v="0"/>
    <n v="0"/>
    <n v="0"/>
  </r>
  <r>
    <s v="04-Sep-2025"/>
    <x v="3"/>
    <s v="Week1-Sep-2025"/>
    <x v="0"/>
    <s v="30-Sep-2025"/>
    <s v="Tuesday"/>
    <s v="Monthly - Tuesday"/>
    <s v="Monthly - Tuesday"/>
    <s v="Same Month Expiry"/>
    <n v="2537028"/>
    <n v="484871.47"/>
    <n v="3741.47"/>
  </r>
  <r>
    <s v="04-Sep-2025"/>
    <x v="3"/>
    <s v="Week1-Sep-2025"/>
    <x v="0"/>
    <s v="28-Oct-2025"/>
    <s v="Tuesday"/>
    <s v="Monthly - Tuesday"/>
    <s v="Monthly - Tuesday"/>
    <s v="Month+1 Expiry"/>
    <n v="23723"/>
    <n v="4577.28"/>
    <n v="47.61"/>
  </r>
  <r>
    <s v="04-Sep-2025"/>
    <x v="3"/>
    <s v="Week1-Sep-2025"/>
    <x v="0"/>
    <s v="25-Nov-2025"/>
    <s v="Tuesday"/>
    <s v="Monthly - Tuesday"/>
    <s v="Monthly - Tuesday"/>
    <s v="Month+2 Expiry"/>
    <n v="710"/>
    <n v="137.13999999999999"/>
    <n v="2.87"/>
  </r>
  <r>
    <s v="04-Sep-2025"/>
    <x v="3"/>
    <s v="Week1-Sep-2025"/>
    <x v="0"/>
    <s v="30-Dec-2025"/>
    <s v="Tuesday"/>
    <s v="Monthly - Tuesday"/>
    <s v="Monthly - Tuesday"/>
    <s v="Month+3 Expiry"/>
    <n v="3065"/>
    <n v="600.11"/>
    <n v="9.4499999999999993"/>
  </r>
  <r>
    <s v="04-Sep-2025"/>
    <x v="3"/>
    <s v="Week1-Sep-2025"/>
    <x v="0"/>
    <s v="31-Mar-2026"/>
    <s v="Tuesday"/>
    <s v="Monthly - Tuesday"/>
    <s v="Monthly - Tuesday"/>
    <s v="Month+6 Expiry"/>
    <n v="92"/>
    <n v="19.16"/>
    <n v="0.33"/>
  </r>
  <r>
    <s v="04-Sep-2025"/>
    <x v="3"/>
    <s v="Week1-Sep-2025"/>
    <x v="0"/>
    <s v="30-Jun-2026"/>
    <s v="Tuesday"/>
    <s v="Monthly - Tuesday"/>
    <s v="Monthly - Tuesday"/>
    <s v="Month+9 Expiry"/>
    <n v="0"/>
    <n v="0"/>
    <n v="0"/>
  </r>
  <r>
    <s v="05-Sep-2025"/>
    <x v="4"/>
    <s v="Week1-Sep-2025"/>
    <x v="0"/>
    <s v="30-Sep-2025"/>
    <s v="Tuesday"/>
    <s v="Monthly - Tuesday"/>
    <s v="Monthly - Tuesday"/>
    <s v="Same Month Expiry"/>
    <n v="2935345"/>
    <n v="558584.96"/>
    <n v="4228.49"/>
  </r>
  <r>
    <s v="05-Sep-2025"/>
    <x v="4"/>
    <s v="Week1-Sep-2025"/>
    <x v="0"/>
    <s v="28-Oct-2025"/>
    <s v="Tuesday"/>
    <s v="Monthly - Tuesday"/>
    <s v="Monthly - Tuesday"/>
    <s v="Month+1 Expiry"/>
    <n v="33458"/>
    <n v="6456.03"/>
    <n v="73.34"/>
  </r>
  <r>
    <s v="05-Sep-2025"/>
    <x v="4"/>
    <s v="Week1-Sep-2025"/>
    <x v="0"/>
    <s v="25-Nov-2025"/>
    <s v="Tuesday"/>
    <s v="Monthly - Tuesday"/>
    <s v="Monthly - Tuesday"/>
    <s v="Month+2 Expiry"/>
    <n v="722"/>
    <n v="139.85"/>
    <n v="3.13"/>
  </r>
  <r>
    <s v="05-Sep-2025"/>
    <x v="4"/>
    <s v="Week1-Sep-2025"/>
    <x v="0"/>
    <s v="30-Dec-2025"/>
    <s v="Tuesday"/>
    <s v="Monthly - Tuesday"/>
    <s v="Monthly - Tuesday"/>
    <s v="Month+3 Expiry"/>
    <n v="1986"/>
    <n v="396.85"/>
    <n v="6.18"/>
  </r>
  <r>
    <s v="05-Sep-2025"/>
    <x v="4"/>
    <s v="Week1-Sep-2025"/>
    <x v="0"/>
    <s v="31-Mar-2026"/>
    <s v="Tuesday"/>
    <s v="Monthly - Tuesday"/>
    <s v="Monthly - Tuesday"/>
    <s v="Month+6 Expiry"/>
    <n v="77"/>
    <n v="16.149999999999999"/>
    <n v="0.21"/>
  </r>
  <r>
    <s v="05-Sep-2025"/>
    <x v="4"/>
    <s v="Week1-Sep-2025"/>
    <x v="0"/>
    <s v="30-Jun-2026"/>
    <s v="Tuesday"/>
    <s v="Monthly - Tuesday"/>
    <s v="Monthly - Tuesday"/>
    <s v="Month+9 Expiry"/>
    <n v="0"/>
    <n v="0"/>
    <n v="0"/>
  </r>
  <r>
    <s v="08-Sep-2025"/>
    <x v="0"/>
    <s v="Week2-Sep-2025"/>
    <x v="0"/>
    <s v="30-Sep-2025"/>
    <s v="Tuesday"/>
    <s v="Monthly - Tuesday"/>
    <s v="Monthly - Tuesday"/>
    <s v="Same Month Expiry"/>
    <n v="2772664"/>
    <n v="528942.27"/>
    <n v="3731.4"/>
  </r>
  <r>
    <s v="08-Sep-2025"/>
    <x v="0"/>
    <s v="Week2-Sep-2025"/>
    <x v="0"/>
    <s v="28-Oct-2025"/>
    <s v="Tuesday"/>
    <s v="Monthly - Tuesday"/>
    <s v="Monthly - Tuesday"/>
    <s v="Month+1 Expiry"/>
    <n v="23556"/>
    <n v="4524.99"/>
    <n v="46.35"/>
  </r>
  <r>
    <s v="08-Sep-2025"/>
    <x v="0"/>
    <s v="Week2-Sep-2025"/>
    <x v="0"/>
    <s v="25-Nov-2025"/>
    <s v="Tuesday"/>
    <s v="Monthly - Tuesday"/>
    <s v="Monthly - Tuesday"/>
    <s v="Month+2 Expiry"/>
    <n v="723"/>
    <n v="137.97"/>
    <n v="2.2000000000000002"/>
  </r>
  <r>
    <s v="08-Sep-2025"/>
    <x v="0"/>
    <s v="Week2-Sep-2025"/>
    <x v="0"/>
    <s v="30-Dec-2025"/>
    <s v="Tuesday"/>
    <s v="Monthly - Tuesday"/>
    <s v="Monthly - Tuesday"/>
    <s v="Month+3 Expiry"/>
    <n v="2328"/>
    <n v="451.47"/>
    <n v="6.8"/>
  </r>
  <r>
    <s v="08-Sep-2025"/>
    <x v="0"/>
    <s v="Week2-Sep-2025"/>
    <x v="0"/>
    <s v="31-Mar-2026"/>
    <s v="Tuesday"/>
    <s v="Monthly - Tuesday"/>
    <s v="Monthly - Tuesday"/>
    <s v="Month+6 Expiry"/>
    <n v="123"/>
    <n v="25.76"/>
    <n v="0.39"/>
  </r>
  <r>
    <s v="08-Sep-2025"/>
    <x v="0"/>
    <s v="Week2-Sep-2025"/>
    <x v="0"/>
    <s v="30-Jun-2026"/>
    <s v="Tuesday"/>
    <s v="Monthly - Tuesday"/>
    <s v="Monthly - Tuesday"/>
    <s v="Month+9 Expiry"/>
    <n v="0"/>
    <n v="0"/>
    <n v="0"/>
  </r>
  <r>
    <s v="09-Sep-2025"/>
    <x v="1"/>
    <s v="Week2-Sep-2025"/>
    <x v="0"/>
    <s v="30-Sep-2025"/>
    <s v="Tuesday"/>
    <s v="Monthly - Tuesday"/>
    <s v="Monthly - Tuesday"/>
    <s v="Same Month Expiry"/>
    <n v="2184553"/>
    <n v="416243.89"/>
    <n v="2958.29"/>
  </r>
  <r>
    <s v="09-Sep-2025"/>
    <x v="1"/>
    <s v="Week2-Sep-2025"/>
    <x v="0"/>
    <s v="28-Oct-2025"/>
    <s v="Tuesday"/>
    <s v="Monthly - Tuesday"/>
    <s v="Monthly - Tuesday"/>
    <s v="Month+1 Expiry"/>
    <n v="20360"/>
    <n v="3913.89"/>
    <n v="31.46"/>
  </r>
  <r>
    <s v="09-Sep-2025"/>
    <x v="1"/>
    <s v="Week2-Sep-2025"/>
    <x v="0"/>
    <s v="25-Nov-2025"/>
    <s v="Tuesday"/>
    <s v="Monthly - Tuesday"/>
    <s v="Monthly - Tuesday"/>
    <s v="Month+2 Expiry"/>
    <n v="577"/>
    <n v="112.23"/>
    <n v="1.39"/>
  </r>
  <r>
    <s v="09-Sep-2025"/>
    <x v="1"/>
    <s v="Week2-Sep-2025"/>
    <x v="0"/>
    <s v="30-Dec-2025"/>
    <s v="Tuesday"/>
    <s v="Monthly - Tuesday"/>
    <s v="Monthly - Tuesday"/>
    <s v="Month+3 Expiry"/>
    <n v="1049"/>
    <n v="205.95"/>
    <n v="3.1"/>
  </r>
  <r>
    <s v="09-Sep-2025"/>
    <x v="1"/>
    <s v="Week2-Sep-2025"/>
    <x v="0"/>
    <s v="31-Mar-2026"/>
    <s v="Tuesday"/>
    <s v="Monthly - Tuesday"/>
    <s v="Monthly - Tuesday"/>
    <s v="Month+6 Expiry"/>
    <n v="17"/>
    <n v="3.57"/>
    <n v="0.05"/>
  </r>
  <r>
    <s v="09-Sep-2025"/>
    <x v="1"/>
    <s v="Week2-Sep-2025"/>
    <x v="0"/>
    <s v="30-Jun-2026"/>
    <s v="Tuesday"/>
    <s v="Monthly - Tuesday"/>
    <s v="Monthly - Tuesday"/>
    <s v="Month+9 Expiry"/>
    <n v="0"/>
    <n v="0"/>
    <n v="0"/>
  </r>
  <r>
    <s v="10-Sep-2025"/>
    <x v="2"/>
    <s v="Week2-Sep-2025"/>
    <x v="0"/>
    <s v="30-Sep-2025"/>
    <s v="Tuesday"/>
    <s v="Monthly - Tuesday"/>
    <s v="Monthly - Tuesday"/>
    <s v="Same Month Expiry"/>
    <n v="2977307"/>
    <n v="569506.36"/>
    <n v="3954.22"/>
  </r>
  <r>
    <s v="10-Sep-2025"/>
    <x v="2"/>
    <s v="Week2-Sep-2025"/>
    <x v="0"/>
    <s v="28-Oct-2025"/>
    <s v="Tuesday"/>
    <s v="Monthly - Tuesday"/>
    <s v="Monthly - Tuesday"/>
    <s v="Month+1 Expiry"/>
    <n v="35141"/>
    <n v="6767.75"/>
    <n v="62.71"/>
  </r>
  <r>
    <s v="10-Sep-2025"/>
    <x v="2"/>
    <s v="Week2-Sep-2025"/>
    <x v="0"/>
    <s v="25-Nov-2025"/>
    <s v="Tuesday"/>
    <s v="Monthly - Tuesday"/>
    <s v="Monthly - Tuesday"/>
    <s v="Month+2 Expiry"/>
    <n v="1391"/>
    <n v="269"/>
    <n v="3.26"/>
  </r>
  <r>
    <s v="10-Sep-2025"/>
    <x v="2"/>
    <s v="Week2-Sep-2025"/>
    <x v="0"/>
    <s v="30-Dec-2025"/>
    <s v="Tuesday"/>
    <s v="Monthly - Tuesday"/>
    <s v="Monthly - Tuesday"/>
    <s v="Month+3 Expiry"/>
    <n v="3275"/>
    <n v="640.37"/>
    <n v="10.23"/>
  </r>
  <r>
    <s v="10-Sep-2025"/>
    <x v="2"/>
    <s v="Week2-Sep-2025"/>
    <x v="0"/>
    <s v="31-Mar-2026"/>
    <s v="Tuesday"/>
    <s v="Monthly - Tuesday"/>
    <s v="Monthly - Tuesday"/>
    <s v="Month+6 Expiry"/>
    <n v="198"/>
    <n v="41.74"/>
    <n v="0.56999999999999995"/>
  </r>
  <r>
    <s v="10-Sep-2025"/>
    <x v="2"/>
    <s v="Week2-Sep-2025"/>
    <x v="0"/>
    <s v="30-Jun-2026"/>
    <s v="Tuesday"/>
    <s v="Monthly - Tuesday"/>
    <s v="Monthly - Tuesday"/>
    <s v="Month+9 Expiry"/>
    <n v="0"/>
    <n v="0"/>
    <n v="0"/>
  </r>
  <r>
    <s v="11-Sep-2025"/>
    <x v="3"/>
    <s v="Week2-Sep-2025"/>
    <x v="0"/>
    <s v="30-Sep-2025"/>
    <s v="Tuesday"/>
    <s v="Monthly - Tuesday"/>
    <s v="Monthly - Tuesday"/>
    <s v="Same Month Expiry"/>
    <n v="2376862"/>
    <n v="455751.6"/>
    <n v="2933.58"/>
  </r>
  <r>
    <s v="11-Sep-2025"/>
    <x v="3"/>
    <s v="Week2-Sep-2025"/>
    <x v="0"/>
    <s v="28-Oct-2025"/>
    <s v="Tuesday"/>
    <s v="Monthly - Tuesday"/>
    <s v="Monthly - Tuesday"/>
    <s v="Month+1 Expiry"/>
    <n v="28274"/>
    <n v="5436.77"/>
    <n v="45.52"/>
  </r>
  <r>
    <s v="11-Sep-2025"/>
    <x v="3"/>
    <s v="Week2-Sep-2025"/>
    <x v="0"/>
    <s v="25-Nov-2025"/>
    <s v="Tuesday"/>
    <s v="Monthly - Tuesday"/>
    <s v="Monthly - Tuesday"/>
    <s v="Month+2 Expiry"/>
    <n v="976"/>
    <n v="187.98"/>
    <n v="1.88"/>
  </r>
  <r>
    <s v="11-Sep-2025"/>
    <x v="3"/>
    <s v="Week2-Sep-2025"/>
    <x v="0"/>
    <s v="30-Dec-2025"/>
    <s v="Tuesday"/>
    <s v="Monthly - Tuesday"/>
    <s v="Monthly - Tuesday"/>
    <s v="Month+3 Expiry"/>
    <n v="1450"/>
    <n v="283.3"/>
    <n v="4.24"/>
  </r>
  <r>
    <s v="11-Sep-2025"/>
    <x v="3"/>
    <s v="Week2-Sep-2025"/>
    <x v="0"/>
    <s v="31-Mar-2026"/>
    <s v="Tuesday"/>
    <s v="Monthly - Tuesday"/>
    <s v="Monthly - Tuesday"/>
    <s v="Month+6 Expiry"/>
    <n v="36"/>
    <n v="7.63"/>
    <n v="0.09"/>
  </r>
  <r>
    <s v="11-Sep-2025"/>
    <x v="3"/>
    <s v="Week2-Sep-2025"/>
    <x v="0"/>
    <s v="30-Jun-2026"/>
    <s v="Tuesday"/>
    <s v="Monthly - Tuesday"/>
    <s v="Monthly - Tuesday"/>
    <s v="Month+9 Expiry"/>
    <n v="0"/>
    <n v="0"/>
    <n v="0"/>
  </r>
  <r>
    <s v="12-Sep-2025"/>
    <x v="4"/>
    <s v="Week2-Sep-2025"/>
    <x v="0"/>
    <s v="30-Sep-2025"/>
    <s v="Tuesday"/>
    <s v="Monthly - Tuesday"/>
    <s v="Monthly - Tuesday"/>
    <s v="Same Month Expiry"/>
    <n v="2574698"/>
    <n v="493503.99"/>
    <n v="3078.07"/>
  </r>
  <r>
    <s v="12-Sep-2025"/>
    <x v="4"/>
    <s v="Week2-Sep-2025"/>
    <x v="0"/>
    <s v="28-Oct-2025"/>
    <s v="Tuesday"/>
    <s v="Monthly - Tuesday"/>
    <s v="Monthly - Tuesday"/>
    <s v="Month+1 Expiry"/>
    <n v="42978"/>
    <n v="8300.49"/>
    <n v="56.7"/>
  </r>
  <r>
    <s v="12-Sep-2025"/>
    <x v="4"/>
    <s v="Week2-Sep-2025"/>
    <x v="0"/>
    <s v="25-Nov-2025"/>
    <s v="Tuesday"/>
    <s v="Monthly - Tuesday"/>
    <s v="Monthly - Tuesday"/>
    <s v="Month+2 Expiry"/>
    <n v="1864"/>
    <n v="355.9"/>
    <n v="3.56"/>
  </r>
  <r>
    <s v="12-Sep-2025"/>
    <x v="4"/>
    <s v="Week2-Sep-2025"/>
    <x v="0"/>
    <s v="30-Dec-2025"/>
    <s v="Tuesday"/>
    <s v="Monthly - Tuesday"/>
    <s v="Monthly - Tuesday"/>
    <s v="Month+3 Expiry"/>
    <n v="2649"/>
    <n v="528.32000000000005"/>
    <n v="7.98"/>
  </r>
  <r>
    <s v="12-Sep-2025"/>
    <x v="4"/>
    <s v="Week2-Sep-2025"/>
    <x v="0"/>
    <s v="31-Mar-2026"/>
    <s v="Tuesday"/>
    <s v="Monthly - Tuesday"/>
    <s v="Monthly - Tuesday"/>
    <s v="Month+6 Expiry"/>
    <n v="35"/>
    <n v="7.42"/>
    <n v="0.09"/>
  </r>
  <r>
    <s v="12-Sep-2025"/>
    <x v="4"/>
    <s v="Week2-Sep-2025"/>
    <x v="0"/>
    <s v="30-Jun-2026"/>
    <s v="Tuesday"/>
    <s v="Monthly - Tuesday"/>
    <s v="Monthly - Tuesday"/>
    <s v="Month+9 Expiry"/>
    <n v="0"/>
    <n v="0"/>
    <n v="0"/>
  </r>
  <r>
    <s v="15-Sep-2025"/>
    <x v="0"/>
    <s v="Week3-Sep-2025"/>
    <x v="0"/>
    <s v="30-Sep-2025"/>
    <s v="Tuesday"/>
    <s v="Monthly - Tuesday"/>
    <s v="Monthly - Tuesday"/>
    <s v="Same Month Expiry"/>
    <n v="2447180"/>
    <n v="471861.86"/>
    <n v="2751.24"/>
  </r>
  <r>
    <s v="15-Sep-2025"/>
    <x v="0"/>
    <s v="Week3-Sep-2025"/>
    <x v="0"/>
    <s v="28-Oct-2025"/>
    <s v="Tuesday"/>
    <s v="Monthly - Tuesday"/>
    <s v="Monthly - Tuesday"/>
    <s v="Month+1 Expiry"/>
    <n v="49449"/>
    <n v="9577.76"/>
    <n v="84.09"/>
  </r>
  <r>
    <s v="15-Sep-2025"/>
    <x v="0"/>
    <s v="Week3-Sep-2025"/>
    <x v="0"/>
    <s v="25-Nov-2025"/>
    <s v="Tuesday"/>
    <s v="Monthly - Tuesday"/>
    <s v="Monthly - Tuesday"/>
    <s v="Month+2 Expiry"/>
    <n v="2231"/>
    <n v="425.51"/>
    <n v="3.64"/>
  </r>
  <r>
    <s v="15-Sep-2025"/>
    <x v="0"/>
    <s v="Week3-Sep-2025"/>
    <x v="0"/>
    <s v="30-Dec-2025"/>
    <s v="Tuesday"/>
    <s v="Monthly - Tuesday"/>
    <s v="Monthly - Tuesday"/>
    <s v="Month+3 Expiry"/>
    <n v="1971"/>
    <n v="390.13"/>
    <n v="6.13"/>
  </r>
  <r>
    <s v="15-Sep-2025"/>
    <x v="0"/>
    <s v="Week3-Sep-2025"/>
    <x v="0"/>
    <s v="31-Mar-2026"/>
    <s v="Tuesday"/>
    <s v="Monthly - Tuesday"/>
    <s v="Monthly - Tuesday"/>
    <s v="Month+6 Expiry"/>
    <n v="16"/>
    <n v="3.31"/>
    <n v="0.08"/>
  </r>
  <r>
    <s v="15-Sep-2025"/>
    <x v="0"/>
    <s v="Week3-Sep-2025"/>
    <x v="0"/>
    <s v="30-Jun-2026"/>
    <s v="Tuesday"/>
    <s v="Monthly - Tuesday"/>
    <s v="Monthly - Tuesday"/>
    <s v="Month+9 Expiry"/>
    <n v="0"/>
    <n v="0"/>
    <n v="0"/>
  </r>
  <r>
    <s v="16-Sep-2025"/>
    <x v="1"/>
    <s v="Week3-Sep-2025"/>
    <x v="0"/>
    <s v="30-Sep-2025"/>
    <s v="Tuesday"/>
    <s v="Monthly - Tuesday"/>
    <s v="Monthly - Tuesday"/>
    <s v="Same Month Expiry"/>
    <n v="2920520"/>
    <n v="563306.41"/>
    <n v="3075.42"/>
  </r>
  <r>
    <s v="16-Sep-2025"/>
    <x v="1"/>
    <s v="Week3-Sep-2025"/>
    <x v="0"/>
    <s v="28-Oct-2025"/>
    <s v="Tuesday"/>
    <s v="Monthly - Tuesday"/>
    <s v="Monthly - Tuesday"/>
    <s v="Month+1 Expiry"/>
    <n v="105859"/>
    <n v="20799.88"/>
    <n v="203.44"/>
  </r>
  <r>
    <s v="16-Sep-2025"/>
    <x v="1"/>
    <s v="Week3-Sep-2025"/>
    <x v="0"/>
    <s v="25-Nov-2025"/>
    <s v="Tuesday"/>
    <s v="Monthly - Tuesday"/>
    <s v="Monthly - Tuesday"/>
    <s v="Month+2 Expiry"/>
    <n v="2986"/>
    <n v="579.89"/>
    <n v="6.35"/>
  </r>
  <r>
    <s v="16-Sep-2025"/>
    <x v="1"/>
    <s v="Week3-Sep-2025"/>
    <x v="0"/>
    <s v="30-Dec-2025"/>
    <s v="Tuesday"/>
    <s v="Monthly - Tuesday"/>
    <s v="Monthly - Tuesday"/>
    <s v="Month+3 Expiry"/>
    <n v="2875"/>
    <n v="563.26"/>
    <n v="8.1999999999999993"/>
  </r>
  <r>
    <s v="16-Sep-2025"/>
    <x v="1"/>
    <s v="Week3-Sep-2025"/>
    <x v="0"/>
    <s v="31-Mar-2026"/>
    <s v="Tuesday"/>
    <s v="Monthly - Tuesday"/>
    <s v="Monthly - Tuesday"/>
    <s v="Month+6 Expiry"/>
    <n v="24"/>
    <n v="5.04"/>
    <n v="0.1"/>
  </r>
  <r>
    <s v="16-Sep-2025"/>
    <x v="1"/>
    <s v="Week3-Sep-2025"/>
    <x v="0"/>
    <s v="30-Jun-2026"/>
    <s v="Tuesday"/>
    <s v="Monthly - Tuesday"/>
    <s v="Monthly - Tuesday"/>
    <s v="Month+9 Expiry"/>
    <n v="0"/>
    <n v="0"/>
    <n v="0"/>
  </r>
  <r>
    <s v="17-Sep-2025"/>
    <x v="2"/>
    <s v="Week3-Sep-2025"/>
    <x v="0"/>
    <s v="30-Sep-2025"/>
    <s v="Tuesday"/>
    <s v="Monthly - Tuesday"/>
    <s v="Monthly - Tuesday"/>
    <s v="Same Month Expiry"/>
    <n v="3892571"/>
    <n v="756304.27"/>
    <n v="3789.1"/>
  </r>
  <r>
    <s v="17-Sep-2025"/>
    <x v="2"/>
    <s v="Week3-Sep-2025"/>
    <x v="0"/>
    <s v="28-Oct-2025"/>
    <s v="Tuesday"/>
    <s v="Monthly - Tuesday"/>
    <s v="Monthly - Tuesday"/>
    <s v="Month+1 Expiry"/>
    <n v="157463"/>
    <n v="31035.93"/>
    <n v="276.07"/>
  </r>
  <r>
    <s v="17-Sep-2025"/>
    <x v="2"/>
    <s v="Week3-Sep-2025"/>
    <x v="0"/>
    <s v="25-Nov-2025"/>
    <s v="Tuesday"/>
    <s v="Monthly - Tuesday"/>
    <s v="Monthly - Tuesday"/>
    <s v="Month+2 Expiry"/>
    <n v="3342"/>
    <n v="646.62"/>
    <n v="7.39"/>
  </r>
  <r>
    <s v="17-Sep-2025"/>
    <x v="2"/>
    <s v="Week3-Sep-2025"/>
    <x v="0"/>
    <s v="30-Dec-2025"/>
    <s v="Tuesday"/>
    <s v="Monthly - Tuesday"/>
    <s v="Monthly - Tuesday"/>
    <s v="Month+3 Expiry"/>
    <n v="4108"/>
    <n v="814.5"/>
    <n v="11.27"/>
  </r>
  <r>
    <s v="17-Sep-2025"/>
    <x v="2"/>
    <s v="Week3-Sep-2025"/>
    <x v="0"/>
    <s v="31-Mar-2026"/>
    <s v="Tuesday"/>
    <s v="Monthly - Tuesday"/>
    <s v="Monthly - Tuesday"/>
    <s v="Month+6 Expiry"/>
    <n v="70"/>
    <n v="14.59"/>
    <n v="0.34"/>
  </r>
  <r>
    <s v="17-Sep-2025"/>
    <x v="2"/>
    <s v="Week3-Sep-2025"/>
    <x v="0"/>
    <s v="30-Jun-2026"/>
    <s v="Tuesday"/>
    <s v="Monthly - Tuesday"/>
    <s v="Monthly - Tuesday"/>
    <s v="Month+9 Expiry"/>
    <n v="0"/>
    <n v="0"/>
    <n v="0"/>
  </r>
  <r>
    <s v="18-Sep-2025"/>
    <x v="3"/>
    <s v="Week3-Sep-2025"/>
    <x v="0"/>
    <s v="30-Sep-2025"/>
    <s v="Tuesday"/>
    <s v="Monthly - Tuesday"/>
    <s v="Monthly - Tuesday"/>
    <s v="Same Month Expiry"/>
    <n v="4534462"/>
    <n v="881186.43"/>
    <n v="4216.55"/>
  </r>
  <r>
    <s v="18-Sep-2025"/>
    <x v="3"/>
    <s v="Week3-Sep-2025"/>
    <x v="0"/>
    <s v="28-Oct-2025"/>
    <s v="Tuesday"/>
    <s v="Monthly - Tuesday"/>
    <s v="Monthly - Tuesday"/>
    <s v="Month+1 Expiry"/>
    <n v="131399"/>
    <n v="25826.49"/>
    <n v="222.79"/>
  </r>
  <r>
    <s v="18-Sep-2025"/>
    <x v="3"/>
    <s v="Week3-Sep-2025"/>
    <x v="0"/>
    <s v="25-Nov-2025"/>
    <s v="Tuesday"/>
    <s v="Monthly - Tuesday"/>
    <s v="Monthly - Tuesday"/>
    <s v="Month+2 Expiry"/>
    <n v="4016"/>
    <n v="778.5"/>
    <n v="8.39"/>
  </r>
  <r>
    <s v="18-Sep-2025"/>
    <x v="3"/>
    <s v="Week3-Sep-2025"/>
    <x v="0"/>
    <s v="30-Dec-2025"/>
    <s v="Tuesday"/>
    <s v="Monthly - Tuesday"/>
    <s v="Monthly - Tuesday"/>
    <s v="Month+3 Expiry"/>
    <n v="4726"/>
    <n v="932.94"/>
    <n v="11.85"/>
  </r>
  <r>
    <s v="18-Sep-2025"/>
    <x v="3"/>
    <s v="Week3-Sep-2025"/>
    <x v="0"/>
    <s v="31-Mar-2026"/>
    <s v="Tuesday"/>
    <s v="Monthly - Tuesday"/>
    <s v="Monthly - Tuesday"/>
    <s v="Month+6 Expiry"/>
    <n v="155"/>
    <n v="32.380000000000003"/>
    <n v="0.78"/>
  </r>
  <r>
    <s v="18-Sep-2025"/>
    <x v="3"/>
    <s v="Week3-Sep-2025"/>
    <x v="0"/>
    <s v="30-Jun-2026"/>
    <s v="Tuesday"/>
    <s v="Monthly - Tuesday"/>
    <s v="Monthly - Tuesday"/>
    <s v="Month+9 Expiry"/>
    <n v="0"/>
    <n v="0"/>
    <n v="0"/>
  </r>
  <r>
    <s v="19-Sep-2025"/>
    <x v="4"/>
    <s v="Week3-Sep-2025"/>
    <x v="0"/>
    <s v="30-Sep-2025"/>
    <s v="Tuesday"/>
    <s v="Monthly - Tuesday"/>
    <s v="Monthly - Tuesday"/>
    <s v="Same Month Expiry"/>
    <n v="4276939"/>
    <n v="829406.82"/>
    <n v="3767.88"/>
  </r>
  <r>
    <s v="19-Sep-2025"/>
    <x v="4"/>
    <s v="Week3-Sep-2025"/>
    <x v="0"/>
    <s v="28-Oct-2025"/>
    <s v="Tuesday"/>
    <s v="Monthly - Tuesday"/>
    <s v="Monthly - Tuesday"/>
    <s v="Month+1 Expiry"/>
    <n v="95212"/>
    <n v="18667.25"/>
    <n v="158.22999999999999"/>
  </r>
  <r>
    <s v="19-Sep-2025"/>
    <x v="4"/>
    <s v="Week3-Sep-2025"/>
    <x v="0"/>
    <s v="25-Nov-2025"/>
    <s v="Tuesday"/>
    <s v="Monthly - Tuesday"/>
    <s v="Monthly - Tuesday"/>
    <s v="Month+2 Expiry"/>
    <n v="2021"/>
    <n v="393.45"/>
    <n v="3.93"/>
  </r>
  <r>
    <s v="19-Sep-2025"/>
    <x v="4"/>
    <s v="Week3-Sep-2025"/>
    <x v="0"/>
    <s v="30-Dec-2025"/>
    <s v="Tuesday"/>
    <s v="Monthly - Tuesday"/>
    <s v="Monthly - Tuesday"/>
    <s v="Month+3 Expiry"/>
    <n v="1793"/>
    <n v="357.28"/>
    <n v="4.72"/>
  </r>
  <r>
    <s v="19-Sep-2025"/>
    <x v="4"/>
    <s v="Week3-Sep-2025"/>
    <x v="0"/>
    <s v="31-Mar-2026"/>
    <s v="Tuesday"/>
    <s v="Monthly - Tuesday"/>
    <s v="Monthly - Tuesday"/>
    <s v="Month+6 Expiry"/>
    <n v="87"/>
    <n v="18.16"/>
    <n v="0.44"/>
  </r>
  <r>
    <s v="19-Sep-2025"/>
    <x v="4"/>
    <s v="Week3-Sep-2025"/>
    <x v="0"/>
    <s v="30-Jun-2026"/>
    <s v="Tuesday"/>
    <s v="Monthly - Tuesday"/>
    <s v="Monthly - Tuesday"/>
    <s v="Month+9 Expiry"/>
    <n v="0"/>
    <n v="0"/>
    <n v="0"/>
  </r>
  <r>
    <s v="22-Sep-2025"/>
    <x v="0"/>
    <s v="Week4-Sep-2025"/>
    <x v="0"/>
    <s v="30-Sep-2025"/>
    <s v="Tuesday"/>
    <s v="Monthly - Tuesday"/>
    <s v="Monthly - Tuesday"/>
    <s v="Same Month Expiry"/>
    <n v="4695908"/>
    <n v="911008.45"/>
    <n v="3844.08"/>
  </r>
  <r>
    <s v="22-Sep-2025"/>
    <x v="0"/>
    <s v="Week4-Sep-2025"/>
    <x v="0"/>
    <s v="28-Oct-2025"/>
    <s v="Tuesday"/>
    <s v="Monthly - Tuesday"/>
    <s v="Monthly - Tuesday"/>
    <s v="Month+1 Expiry"/>
    <n v="136773"/>
    <n v="26776.61"/>
    <n v="226.23"/>
  </r>
  <r>
    <s v="22-Sep-2025"/>
    <x v="0"/>
    <s v="Week4-Sep-2025"/>
    <x v="0"/>
    <s v="25-Nov-2025"/>
    <s v="Tuesday"/>
    <s v="Monthly - Tuesday"/>
    <s v="Monthly - Tuesday"/>
    <s v="Month+2 Expiry"/>
    <n v="3032"/>
    <n v="590.29999999999995"/>
    <n v="5.95"/>
  </r>
  <r>
    <s v="22-Sep-2025"/>
    <x v="0"/>
    <s v="Week4-Sep-2025"/>
    <x v="0"/>
    <s v="30-Dec-2025"/>
    <s v="Tuesday"/>
    <s v="Monthly - Tuesday"/>
    <s v="Monthly - Tuesday"/>
    <s v="Month+3 Expiry"/>
    <n v="1819"/>
    <n v="360.93"/>
    <n v="3.96"/>
  </r>
  <r>
    <s v="22-Sep-2025"/>
    <x v="0"/>
    <s v="Week4-Sep-2025"/>
    <x v="0"/>
    <s v="31-Mar-2026"/>
    <s v="Tuesday"/>
    <s v="Monthly - Tuesday"/>
    <s v="Monthly - Tuesday"/>
    <s v="Month+6 Expiry"/>
    <n v="34"/>
    <n v="7.03"/>
    <n v="0.21"/>
  </r>
  <r>
    <s v="22-Sep-2025"/>
    <x v="0"/>
    <s v="Week4-Sep-2025"/>
    <x v="0"/>
    <s v="30-Jun-2026"/>
    <s v="Tuesday"/>
    <s v="Monthly - Tuesday"/>
    <s v="Monthly - Tuesday"/>
    <s v="Month+9 Expiry"/>
    <n v="0"/>
    <n v="0"/>
    <n v="0"/>
  </r>
  <r>
    <s v="23-Sep-2025"/>
    <x v="1"/>
    <s v="Week4-Sep-2025"/>
    <x v="0"/>
    <s v="30-Sep-2025"/>
    <s v="Tuesday"/>
    <s v="Monthly - Tuesday"/>
    <s v="Monthly - Tuesday"/>
    <s v="Same Month Expiry"/>
    <n v="5254990"/>
    <n v="1017951.41"/>
    <n v="3976.39"/>
  </r>
  <r>
    <s v="23-Sep-2025"/>
    <x v="1"/>
    <s v="Week4-Sep-2025"/>
    <x v="0"/>
    <s v="28-Oct-2025"/>
    <s v="Tuesday"/>
    <s v="Monthly - Tuesday"/>
    <s v="Monthly - Tuesday"/>
    <s v="Month+1 Expiry"/>
    <n v="162251"/>
    <n v="31769.68"/>
    <n v="268.66000000000003"/>
  </r>
  <r>
    <s v="23-Sep-2025"/>
    <x v="1"/>
    <s v="Week4-Sep-2025"/>
    <x v="0"/>
    <s v="25-Nov-2025"/>
    <s v="Tuesday"/>
    <s v="Monthly - Tuesday"/>
    <s v="Monthly - Tuesday"/>
    <s v="Month+2 Expiry"/>
    <n v="3541"/>
    <n v="689.85"/>
    <n v="6.71"/>
  </r>
  <r>
    <s v="23-Sep-2025"/>
    <x v="1"/>
    <s v="Week4-Sep-2025"/>
    <x v="0"/>
    <s v="30-Dec-2025"/>
    <s v="Tuesday"/>
    <s v="Monthly - Tuesday"/>
    <s v="Monthly - Tuesday"/>
    <s v="Month+3 Expiry"/>
    <n v="2155"/>
    <n v="429.61"/>
    <n v="5.49"/>
  </r>
  <r>
    <s v="23-Sep-2025"/>
    <x v="1"/>
    <s v="Week4-Sep-2025"/>
    <x v="0"/>
    <s v="31-Mar-2026"/>
    <s v="Tuesday"/>
    <s v="Monthly - Tuesday"/>
    <s v="Monthly - Tuesday"/>
    <s v="Month+6 Expiry"/>
    <n v="201"/>
    <n v="41.53"/>
    <n v="1.24"/>
  </r>
  <r>
    <s v="23-Sep-2025"/>
    <x v="1"/>
    <s v="Week4-Sep-2025"/>
    <x v="0"/>
    <s v="30-Jun-2026"/>
    <s v="Tuesday"/>
    <s v="Monthly - Tuesday"/>
    <s v="Monthly - Tuesday"/>
    <s v="Month+9 Expiry"/>
    <n v="0"/>
    <n v="0"/>
    <n v="0"/>
  </r>
  <r>
    <s v="24-Sep-2025"/>
    <x v="2"/>
    <s v="Week4-Sep-2025"/>
    <x v="0"/>
    <s v="30-Sep-2025"/>
    <s v="Tuesday"/>
    <s v="Monthly - Tuesday"/>
    <s v="Monthly - Tuesday"/>
    <s v="Same Month Expiry"/>
    <n v="8230927"/>
    <n v="1588096.11"/>
    <n v="5312.02"/>
  </r>
  <r>
    <s v="24-Sep-2025"/>
    <x v="2"/>
    <s v="Week4-Sep-2025"/>
    <x v="0"/>
    <s v="28-Oct-2025"/>
    <s v="Tuesday"/>
    <s v="Monthly - Tuesday"/>
    <s v="Monthly - Tuesday"/>
    <s v="Month+1 Expiry"/>
    <n v="210834"/>
    <n v="41227.24"/>
    <n v="358.88"/>
  </r>
  <r>
    <s v="24-Sep-2025"/>
    <x v="2"/>
    <s v="Week4-Sep-2025"/>
    <x v="0"/>
    <s v="25-Nov-2025"/>
    <s v="Tuesday"/>
    <s v="Monthly - Tuesday"/>
    <s v="Monthly - Tuesday"/>
    <s v="Month+2 Expiry"/>
    <n v="4862"/>
    <n v="946.44"/>
    <n v="8.5500000000000007"/>
  </r>
  <r>
    <s v="24-Sep-2025"/>
    <x v="2"/>
    <s v="Week4-Sep-2025"/>
    <x v="0"/>
    <s v="30-Dec-2025"/>
    <s v="Tuesday"/>
    <s v="Monthly - Tuesday"/>
    <s v="Monthly - Tuesday"/>
    <s v="Month+3 Expiry"/>
    <n v="2084"/>
    <n v="415.45"/>
    <n v="4.84"/>
  </r>
  <r>
    <s v="24-Sep-2025"/>
    <x v="2"/>
    <s v="Week4-Sep-2025"/>
    <x v="0"/>
    <s v="31-Mar-2026"/>
    <s v="Tuesday"/>
    <s v="Monthly - Tuesday"/>
    <s v="Monthly - Tuesday"/>
    <s v="Month+6 Expiry"/>
    <n v="100"/>
    <n v="20.71"/>
    <n v="0.61"/>
  </r>
  <r>
    <s v="24-Sep-2025"/>
    <x v="2"/>
    <s v="Week4-Sep-2025"/>
    <x v="0"/>
    <s v="30-Jun-2026"/>
    <s v="Tuesday"/>
    <s v="Monthly - Tuesday"/>
    <s v="Monthly - Tuesday"/>
    <s v="Month+9 Expiry"/>
    <n v="0"/>
    <n v="0"/>
    <n v="0"/>
  </r>
  <r>
    <s v="25-Sep-2025"/>
    <x v="3"/>
    <s v="Week4-Sep-2025"/>
    <x v="0"/>
    <s v="30-Sep-2025"/>
    <s v="Tuesday"/>
    <s v="Monthly - Tuesday"/>
    <s v="Monthly - Tuesday"/>
    <s v="Same Month Expiry"/>
    <n v="8655021"/>
    <n v="1667316.8"/>
    <n v="5069.93"/>
  </r>
  <r>
    <s v="25-Sep-2025"/>
    <x v="3"/>
    <s v="Week4-Sep-2025"/>
    <x v="0"/>
    <s v="28-Oct-2025"/>
    <s v="Tuesday"/>
    <s v="Monthly - Tuesday"/>
    <s v="Monthly - Tuesday"/>
    <s v="Month+1 Expiry"/>
    <n v="229999"/>
    <n v="44733.14"/>
    <n v="412.56"/>
  </r>
  <r>
    <s v="25-Sep-2025"/>
    <x v="3"/>
    <s v="Week4-Sep-2025"/>
    <x v="0"/>
    <s v="25-Nov-2025"/>
    <s v="Tuesday"/>
    <s v="Monthly - Tuesday"/>
    <s v="Monthly - Tuesday"/>
    <s v="Month+2 Expiry"/>
    <n v="4065"/>
    <n v="787.98"/>
    <n v="7.6"/>
  </r>
  <r>
    <s v="25-Sep-2025"/>
    <x v="3"/>
    <s v="Week4-Sep-2025"/>
    <x v="0"/>
    <s v="30-Dec-2025"/>
    <s v="Tuesday"/>
    <s v="Monthly - Tuesday"/>
    <s v="Monthly - Tuesday"/>
    <s v="Month+3 Expiry"/>
    <n v="1708"/>
    <n v="340.37"/>
    <n v="4.34"/>
  </r>
  <r>
    <s v="25-Sep-2025"/>
    <x v="3"/>
    <s v="Week4-Sep-2025"/>
    <x v="0"/>
    <s v="31-Mar-2026"/>
    <s v="Tuesday"/>
    <s v="Monthly - Tuesday"/>
    <s v="Monthly - Tuesday"/>
    <s v="Month+6 Expiry"/>
    <n v="93"/>
    <n v="19.3"/>
    <n v="0.5"/>
  </r>
  <r>
    <s v="25-Sep-2025"/>
    <x v="3"/>
    <s v="Week4-Sep-2025"/>
    <x v="0"/>
    <s v="30-Jun-2026"/>
    <s v="Tuesday"/>
    <s v="Monthly - Tuesday"/>
    <s v="Monthly - Tuesday"/>
    <s v="Month+9 Expiry"/>
    <n v="0"/>
    <n v="0"/>
    <n v="0"/>
  </r>
  <r>
    <s v="26-Sep-2025"/>
    <x v="4"/>
    <s v="Week4-Sep-2025"/>
    <x v="0"/>
    <s v="30-Sep-2025"/>
    <s v="Tuesday"/>
    <s v="Monthly - Tuesday"/>
    <s v="Monthly - Tuesday"/>
    <s v="Same Month Expiry"/>
    <n v="15559407"/>
    <n v="2953883.34"/>
    <n v="7979.82"/>
  </r>
  <r>
    <s v="26-Sep-2025"/>
    <x v="4"/>
    <s v="Week4-Sep-2025"/>
    <x v="0"/>
    <s v="28-Oct-2025"/>
    <s v="Tuesday"/>
    <s v="Monthly - Tuesday"/>
    <s v="Monthly - Tuesday"/>
    <s v="Month+1 Expiry"/>
    <n v="458425"/>
    <n v="88795.4"/>
    <n v="802.39"/>
  </r>
  <r>
    <s v="26-Sep-2025"/>
    <x v="4"/>
    <s v="Week4-Sep-2025"/>
    <x v="0"/>
    <s v="25-Nov-2025"/>
    <s v="Tuesday"/>
    <s v="Monthly - Tuesday"/>
    <s v="Monthly - Tuesday"/>
    <s v="Month+2 Expiry"/>
    <n v="12857"/>
    <n v="2504.8200000000002"/>
    <n v="26.56"/>
  </r>
  <r>
    <s v="26-Sep-2025"/>
    <x v="4"/>
    <s v="Week4-Sep-2025"/>
    <x v="0"/>
    <s v="30-Dec-2025"/>
    <s v="Tuesday"/>
    <s v="Monthly - Tuesday"/>
    <s v="Monthly - Tuesday"/>
    <s v="Month+3 Expiry"/>
    <n v="5665"/>
    <n v="1129.06"/>
    <n v="15.09"/>
  </r>
  <r>
    <s v="26-Sep-2025"/>
    <x v="4"/>
    <s v="Week4-Sep-2025"/>
    <x v="0"/>
    <s v="31-Mar-2026"/>
    <s v="Tuesday"/>
    <s v="Monthly - Tuesday"/>
    <s v="Monthly - Tuesday"/>
    <s v="Month+6 Expiry"/>
    <n v="201"/>
    <n v="42.06"/>
    <n v="0.72"/>
  </r>
  <r>
    <s v="26-Sep-2025"/>
    <x v="4"/>
    <s v="Week4-Sep-2025"/>
    <x v="0"/>
    <s v="30-Jun-2026"/>
    <s v="Tuesday"/>
    <s v="Monthly - Tuesday"/>
    <s v="Monthly - Tuesday"/>
    <s v="Month+9 Expiry"/>
    <n v="0"/>
    <n v="0"/>
    <n v="0"/>
  </r>
  <r>
    <s v="29-Sep-2025"/>
    <x v="0"/>
    <s v="Week5-Sep-2025"/>
    <x v="0"/>
    <s v="30-Sep-2025"/>
    <s v="Tuesday"/>
    <s v="Monthly - Tuesday"/>
    <s v="Monthly - Tuesday"/>
    <s v="Same Month Expiry"/>
    <n v="27075109"/>
    <n v="5106750.75"/>
    <n v="10807.76"/>
  </r>
  <r>
    <s v="29-Sep-2025"/>
    <x v="0"/>
    <s v="Week5-Sep-2025"/>
    <x v="0"/>
    <s v="28-Oct-2025"/>
    <s v="Tuesday"/>
    <s v="Monthly - Tuesday"/>
    <s v="Monthly - Tuesday"/>
    <s v="Month+1 Expiry"/>
    <n v="502600"/>
    <n v="97123.86"/>
    <n v="936.75"/>
  </r>
  <r>
    <s v="29-Sep-2025"/>
    <x v="0"/>
    <s v="Week5-Sep-2025"/>
    <x v="0"/>
    <s v="25-Nov-2025"/>
    <s v="Tuesday"/>
    <s v="Monthly - Tuesday"/>
    <s v="Monthly - Tuesday"/>
    <s v="Month+2 Expiry"/>
    <n v="9914"/>
    <n v="1926.53"/>
    <n v="20.83"/>
  </r>
  <r>
    <s v="29-Sep-2025"/>
    <x v="0"/>
    <s v="Week5-Sep-2025"/>
    <x v="0"/>
    <s v="30-Dec-2025"/>
    <s v="Tuesday"/>
    <s v="Monthly - Tuesday"/>
    <s v="Monthly - Tuesday"/>
    <s v="Month+3 Expiry"/>
    <n v="3166"/>
    <n v="631.69000000000005"/>
    <n v="8.4600000000000009"/>
  </r>
  <r>
    <s v="29-Sep-2025"/>
    <x v="0"/>
    <s v="Week5-Sep-2025"/>
    <x v="0"/>
    <s v="31-Mar-2026"/>
    <s v="Tuesday"/>
    <s v="Monthly - Tuesday"/>
    <s v="Monthly - Tuesday"/>
    <s v="Month+6 Expiry"/>
    <n v="118"/>
    <n v="24.64"/>
    <n v="0.41"/>
  </r>
  <r>
    <s v="29-Sep-2025"/>
    <x v="0"/>
    <s v="Week5-Sep-2025"/>
    <x v="0"/>
    <s v="30-Jun-2026"/>
    <s v="Tuesday"/>
    <s v="Monthly - Tuesday"/>
    <s v="Monthly - Tuesday"/>
    <s v="Month+9 Expiry"/>
    <n v="0"/>
    <n v="0"/>
    <n v="0"/>
  </r>
  <r>
    <s v="30-Sep-2025"/>
    <x v="1"/>
    <s v="Week5-Sep-2025"/>
    <x v="0"/>
    <s v="30-Sep-2025"/>
    <s v="Tuesday"/>
    <s v="Monthly - Tuesday"/>
    <s v="Monthly - Tuesday"/>
    <s v="Same Month Expiry"/>
    <n v="77935545"/>
    <n v="14673456.91"/>
    <n v="14470.1"/>
  </r>
  <r>
    <s v="30-Sep-2025"/>
    <x v="1"/>
    <s v="Week5-Sep-2025"/>
    <x v="0"/>
    <s v="28-Oct-2025"/>
    <s v="Tuesday"/>
    <s v="Monthly - Tuesday"/>
    <s v="Monthly - Tuesday"/>
    <s v="Month+1 Expiry"/>
    <n v="703306"/>
    <n v="135519.76999999999"/>
    <n v="1179.75"/>
  </r>
  <r>
    <s v="30-Sep-2025"/>
    <x v="1"/>
    <s v="Week5-Sep-2025"/>
    <x v="0"/>
    <s v="25-Nov-2025"/>
    <s v="Tuesday"/>
    <s v="Monthly - Tuesday"/>
    <s v="Monthly - Tuesday"/>
    <s v="Month+2 Expiry"/>
    <n v="7401"/>
    <n v="1431.43"/>
    <n v="16.46"/>
  </r>
  <r>
    <s v="30-Sep-2025"/>
    <x v="1"/>
    <s v="Week5-Sep-2025"/>
    <x v="0"/>
    <s v="30-Dec-2025"/>
    <s v="Tuesday"/>
    <s v="Monthly - Tuesday"/>
    <s v="Monthly - Tuesday"/>
    <s v="Month+3 Expiry"/>
    <n v="2577"/>
    <n v="510.74"/>
    <n v="8.36"/>
  </r>
  <r>
    <s v="30-Sep-2025"/>
    <x v="1"/>
    <s v="Week5-Sep-2025"/>
    <x v="0"/>
    <s v="31-Mar-2026"/>
    <s v="Tuesday"/>
    <s v="Monthly - Tuesday"/>
    <s v="Monthly - Tuesday"/>
    <s v="Month+6 Expiry"/>
    <n v="79"/>
    <n v="16.47"/>
    <n v="0.3"/>
  </r>
  <r>
    <s v="30-Sep-2025"/>
    <x v="1"/>
    <s v="Week5-Sep-2025"/>
    <x v="0"/>
    <s v="30-Jun-2026"/>
    <s v="Tuesday"/>
    <s v="Monthly - Tuesday"/>
    <s v="Monthly - Tuesday"/>
    <s v="Month+9 Expiry"/>
    <n v="0"/>
    <n v="0"/>
    <n v="0"/>
  </r>
  <r>
    <s v="01-Oct-2025"/>
    <x v="2"/>
    <s v="Week1-Oct-2025"/>
    <x v="1"/>
    <s v="28-Oct-2025"/>
    <s v="Tuesday"/>
    <s v="Monthly - Tuesday"/>
    <s v="Monthly - Tuesday"/>
    <s v="Same Month Expiry"/>
    <n v="3418398"/>
    <n v="662270.30000000005"/>
    <n v="5038.4799999999996"/>
  </r>
  <r>
    <s v="01-Oct-2025"/>
    <x v="2"/>
    <s v="Week1-Oct-2025"/>
    <x v="1"/>
    <s v="25-Nov-2025"/>
    <s v="Tuesday"/>
    <s v="Monthly - Tuesday"/>
    <s v="Monthly - Tuesday"/>
    <s v="Month+1 Expiry"/>
    <n v="23611"/>
    <n v="4608.5600000000004"/>
    <n v="51.62"/>
  </r>
  <r>
    <s v="01-Oct-2025"/>
    <x v="2"/>
    <s v="Week1-Oct-2025"/>
    <x v="1"/>
    <s v="30-Dec-2025"/>
    <s v="Tuesday"/>
    <s v="Monthly - Tuesday"/>
    <s v="Monthly - Tuesday"/>
    <s v="Month+2 Expiry"/>
    <n v="6012"/>
    <n v="1200.28"/>
    <n v="16.18"/>
  </r>
  <r>
    <s v="01-Oct-2025"/>
    <x v="2"/>
    <s v="Week1-Oct-2025"/>
    <x v="1"/>
    <s v="31-Mar-2026"/>
    <s v="Tuesday"/>
    <s v="Monthly - Tuesday"/>
    <s v="Monthly - Tuesday"/>
    <s v="Month+5 Expiry"/>
    <n v="185"/>
    <n v="38.799999999999997"/>
    <n v="0.67"/>
  </r>
  <r>
    <s v="01-Oct-2025"/>
    <x v="2"/>
    <s v="Week1-Oct-2025"/>
    <x v="1"/>
    <s v="30-Jun-2026"/>
    <s v="Tuesday"/>
    <s v="Monthly - Tuesday"/>
    <s v="Monthly - Tuesday"/>
    <s v="Month+8 Expiry"/>
    <n v="0"/>
    <n v="0"/>
    <n v="0"/>
  </r>
  <r>
    <s v="01-Oct-2025"/>
    <x v="2"/>
    <s v="Week1-Oct-2025"/>
    <x v="1"/>
    <s v="29-Sep-2026"/>
    <s v="Tuesday"/>
    <s v="Monthly - Tuesday"/>
    <s v="Monthly - Tuesday"/>
    <s v="Month+11 Expiry"/>
    <n v="0"/>
    <n v="0"/>
    <n v="0"/>
  </r>
  <r>
    <s v="03-Oct-2025"/>
    <x v="4"/>
    <s v="Week1-Oct-2025"/>
    <x v="1"/>
    <s v="28-Oct-2025"/>
    <s v="Tuesday"/>
    <s v="Monthly - Tuesday"/>
    <s v="Monthly - Tuesday"/>
    <s v="Same Month Expiry"/>
    <n v="2480760"/>
    <n v="481743.19"/>
    <n v="3559.73"/>
  </r>
  <r>
    <s v="03-Oct-2025"/>
    <x v="4"/>
    <s v="Week1-Oct-2025"/>
    <x v="1"/>
    <s v="25-Nov-2025"/>
    <s v="Tuesday"/>
    <s v="Monthly - Tuesday"/>
    <s v="Monthly - Tuesday"/>
    <s v="Month+1 Expiry"/>
    <n v="24070"/>
    <n v="4677.97"/>
    <n v="44.72"/>
  </r>
  <r>
    <s v="03-Oct-2025"/>
    <x v="4"/>
    <s v="Week1-Oct-2025"/>
    <x v="1"/>
    <s v="30-Dec-2025"/>
    <s v="Tuesday"/>
    <s v="Monthly - Tuesday"/>
    <s v="Monthly - Tuesday"/>
    <s v="Month+2 Expiry"/>
    <n v="4540"/>
    <n v="896.45"/>
    <n v="11.83"/>
  </r>
  <r>
    <s v="03-Oct-2025"/>
    <x v="4"/>
    <s v="Week1-Oct-2025"/>
    <x v="1"/>
    <s v="31-Mar-2026"/>
    <s v="Tuesday"/>
    <s v="Monthly - Tuesday"/>
    <s v="Monthly - Tuesday"/>
    <s v="Month+5 Expiry"/>
    <n v="55"/>
    <n v="11.44"/>
    <n v="0.26"/>
  </r>
  <r>
    <s v="03-Oct-2025"/>
    <x v="4"/>
    <s v="Week1-Oct-2025"/>
    <x v="1"/>
    <s v="30-Jun-2026"/>
    <s v="Tuesday"/>
    <s v="Monthly - Tuesday"/>
    <s v="Monthly - Tuesday"/>
    <s v="Month+8 Expiry"/>
    <n v="0"/>
    <n v="0"/>
    <n v="0"/>
  </r>
  <r>
    <s v="03-Oct-2025"/>
    <x v="4"/>
    <s v="Week1-Oct-2025"/>
    <x v="1"/>
    <s v="29-Sep-2026"/>
    <s v="Tuesday"/>
    <s v="Monthly - Tuesday"/>
    <s v="Monthly - Tuesday"/>
    <s v="Month+11 Expiry"/>
    <n v="0"/>
    <n v="0"/>
    <n v="0"/>
  </r>
  <r>
    <s v="06-Oct-2025"/>
    <x v="0"/>
    <s v="Week1-Oct-2025"/>
    <x v="1"/>
    <s v="28-Oct-2025"/>
    <s v="Tuesday"/>
    <s v="Monthly - Tuesday"/>
    <s v="Monthly - Tuesday"/>
    <s v="Same Month Expiry"/>
    <n v="2876686"/>
    <n v="561709.56999999995"/>
    <n v="3607.48"/>
  </r>
  <r>
    <s v="06-Oct-2025"/>
    <x v="0"/>
    <s v="Week1-Oct-2025"/>
    <x v="1"/>
    <s v="25-Nov-2025"/>
    <s v="Tuesday"/>
    <s v="Monthly - Tuesday"/>
    <s v="Monthly - Tuesday"/>
    <s v="Month+1 Expiry"/>
    <n v="35975"/>
    <n v="7057.43"/>
    <n v="66.66"/>
  </r>
  <r>
    <s v="06-Oct-2025"/>
    <x v="0"/>
    <s v="Week1-Oct-2025"/>
    <x v="1"/>
    <s v="30-Dec-2025"/>
    <s v="Tuesday"/>
    <s v="Monthly - Tuesday"/>
    <s v="Monthly - Tuesday"/>
    <s v="Month+2 Expiry"/>
    <n v="9736"/>
    <n v="1913.45"/>
    <n v="24.22"/>
  </r>
  <r>
    <s v="06-Oct-2025"/>
    <x v="0"/>
    <s v="Week1-Oct-2025"/>
    <x v="1"/>
    <s v="31-Mar-2026"/>
    <s v="Tuesday"/>
    <s v="Monthly - Tuesday"/>
    <s v="Monthly - Tuesday"/>
    <s v="Month+5 Expiry"/>
    <n v="164"/>
    <n v="34.22"/>
    <n v="0.81"/>
  </r>
  <r>
    <s v="06-Oct-2025"/>
    <x v="0"/>
    <s v="Week1-Oct-2025"/>
    <x v="1"/>
    <s v="30-Jun-2026"/>
    <s v="Tuesday"/>
    <s v="Monthly - Tuesday"/>
    <s v="Monthly - Tuesday"/>
    <s v="Month+8 Expiry"/>
    <n v="0"/>
    <n v="0"/>
    <n v="0"/>
  </r>
  <r>
    <s v="06-Oct-2025"/>
    <x v="0"/>
    <s v="Week1-Oct-2025"/>
    <x v="1"/>
    <s v="29-Sep-2026"/>
    <s v="Tuesday"/>
    <s v="Monthly - Tuesday"/>
    <s v="Monthly - Tuesday"/>
    <s v="Month+11 Expiry"/>
    <n v="0"/>
    <n v="0"/>
    <n v="0"/>
  </r>
  <r>
    <s v="07-Oct-2025"/>
    <x v="1"/>
    <s v="Week1-Oct-2025"/>
    <x v="1"/>
    <s v="28-Oct-2025"/>
    <s v="Tuesday"/>
    <s v="Monthly - Tuesday"/>
    <s v="Monthly - Tuesday"/>
    <s v="Same Month Expiry"/>
    <n v="2903786"/>
    <n v="570815.86"/>
    <n v="3770.32"/>
  </r>
  <r>
    <s v="07-Oct-2025"/>
    <x v="1"/>
    <s v="Week1-Oct-2025"/>
    <x v="1"/>
    <s v="25-Nov-2025"/>
    <s v="Tuesday"/>
    <s v="Monthly - Tuesday"/>
    <s v="Monthly - Tuesday"/>
    <s v="Month+1 Expiry"/>
    <n v="40257"/>
    <n v="8028.15"/>
    <n v="75.97"/>
  </r>
  <r>
    <s v="07-Oct-2025"/>
    <x v="1"/>
    <s v="Week1-Oct-2025"/>
    <x v="1"/>
    <s v="30-Dec-2025"/>
    <s v="Tuesday"/>
    <s v="Monthly - Tuesday"/>
    <s v="Monthly - Tuesday"/>
    <s v="Month+2 Expiry"/>
    <n v="6664"/>
    <n v="1328.79"/>
    <n v="14.03"/>
  </r>
  <r>
    <s v="07-Oct-2025"/>
    <x v="1"/>
    <s v="Week1-Oct-2025"/>
    <x v="1"/>
    <s v="31-Mar-2026"/>
    <s v="Tuesday"/>
    <s v="Monthly - Tuesday"/>
    <s v="Monthly - Tuesday"/>
    <s v="Month+5 Expiry"/>
    <n v="245"/>
    <n v="51.22"/>
    <n v="1.23"/>
  </r>
  <r>
    <s v="07-Oct-2025"/>
    <x v="1"/>
    <s v="Week1-Oct-2025"/>
    <x v="1"/>
    <s v="30-Jun-2026"/>
    <s v="Tuesday"/>
    <s v="Monthly - Tuesday"/>
    <s v="Monthly - Tuesday"/>
    <s v="Month+8 Expiry"/>
    <n v="0"/>
    <n v="0"/>
    <n v="0"/>
  </r>
  <r>
    <s v="07-Oct-2025"/>
    <x v="1"/>
    <s v="Week1-Oct-2025"/>
    <x v="1"/>
    <s v="29-Sep-2026"/>
    <s v="Tuesday"/>
    <s v="Monthly - Tuesday"/>
    <s v="Monthly - Tuesday"/>
    <s v="Month+11 Expiry"/>
    <n v="0"/>
    <n v="0"/>
    <n v="0"/>
  </r>
  <r>
    <s v="08-Oct-2025"/>
    <x v="2"/>
    <s v="Week2-Oct-2025"/>
    <x v="1"/>
    <s v="28-Oct-2025"/>
    <s v="Tuesday"/>
    <s v="Monthly - Tuesday"/>
    <s v="Monthly - Tuesday"/>
    <s v="Same Month Expiry"/>
    <n v="3420593"/>
    <n v="671398.99"/>
    <n v="4420.05"/>
  </r>
  <r>
    <s v="08-Oct-2025"/>
    <x v="2"/>
    <s v="Week2-Oct-2025"/>
    <x v="1"/>
    <s v="25-Nov-2025"/>
    <s v="Tuesday"/>
    <s v="Monthly - Tuesday"/>
    <s v="Monthly - Tuesday"/>
    <s v="Month+1 Expiry"/>
    <n v="43425"/>
    <n v="8640.68"/>
    <n v="86.98"/>
  </r>
  <r>
    <s v="08-Oct-2025"/>
    <x v="2"/>
    <s v="Week2-Oct-2025"/>
    <x v="1"/>
    <s v="30-Dec-2025"/>
    <s v="Tuesday"/>
    <s v="Monthly - Tuesday"/>
    <s v="Monthly - Tuesday"/>
    <s v="Month+2 Expiry"/>
    <n v="4411"/>
    <n v="878.6"/>
    <n v="10.43"/>
  </r>
  <r>
    <s v="08-Oct-2025"/>
    <x v="2"/>
    <s v="Week2-Oct-2025"/>
    <x v="1"/>
    <s v="31-Mar-2026"/>
    <s v="Tuesday"/>
    <s v="Monthly - Tuesday"/>
    <s v="Monthly - Tuesday"/>
    <s v="Month+5 Expiry"/>
    <n v="119"/>
    <n v="24.98"/>
    <n v="0.5"/>
  </r>
  <r>
    <s v="08-Oct-2025"/>
    <x v="2"/>
    <s v="Week2-Oct-2025"/>
    <x v="1"/>
    <s v="30-Jun-2026"/>
    <s v="Tuesday"/>
    <s v="Monthly - Tuesday"/>
    <s v="Monthly - Tuesday"/>
    <s v="Month+8 Expiry"/>
    <n v="0"/>
    <n v="0"/>
    <n v="0"/>
  </r>
  <r>
    <s v="08-Oct-2025"/>
    <x v="2"/>
    <s v="Week2-Oct-2025"/>
    <x v="1"/>
    <s v="29-Sep-2026"/>
    <s v="Tuesday"/>
    <s v="Monthly - Tuesday"/>
    <s v="Monthly - Tuesday"/>
    <s v="Month+11 Expiry"/>
    <n v="0"/>
    <n v="0"/>
    <n v="0"/>
  </r>
  <r>
    <s v="09-Oct-2025"/>
    <x v="3"/>
    <s v="Week2-Oct-2025"/>
    <x v="1"/>
    <s v="28-Oct-2025"/>
    <s v="Tuesday"/>
    <s v="Monthly - Tuesday"/>
    <s v="Monthly - Tuesday"/>
    <s v="Same Month Expiry"/>
    <n v="2616312"/>
    <n v="513909.98"/>
    <n v="3412.13"/>
  </r>
  <r>
    <s v="09-Oct-2025"/>
    <x v="3"/>
    <s v="Week2-Oct-2025"/>
    <x v="1"/>
    <s v="25-Nov-2025"/>
    <s v="Tuesday"/>
    <s v="Monthly - Tuesday"/>
    <s v="Monthly - Tuesday"/>
    <s v="Month+1 Expiry"/>
    <n v="26557"/>
    <n v="5288.64"/>
    <n v="52.74"/>
  </r>
  <r>
    <s v="09-Oct-2025"/>
    <x v="3"/>
    <s v="Week2-Oct-2025"/>
    <x v="1"/>
    <s v="30-Dec-2025"/>
    <s v="Tuesday"/>
    <s v="Monthly - Tuesday"/>
    <s v="Monthly - Tuesday"/>
    <s v="Month+2 Expiry"/>
    <n v="2323"/>
    <n v="461.76"/>
    <n v="5.27"/>
  </r>
  <r>
    <s v="09-Oct-2025"/>
    <x v="3"/>
    <s v="Week2-Oct-2025"/>
    <x v="1"/>
    <s v="31-Mar-2026"/>
    <s v="Tuesday"/>
    <s v="Monthly - Tuesday"/>
    <s v="Monthly - Tuesday"/>
    <s v="Month+5 Expiry"/>
    <n v="159"/>
    <n v="33.11"/>
    <n v="0.79"/>
  </r>
  <r>
    <s v="09-Oct-2025"/>
    <x v="3"/>
    <s v="Week2-Oct-2025"/>
    <x v="1"/>
    <s v="30-Jun-2026"/>
    <s v="Tuesday"/>
    <s v="Monthly - Tuesday"/>
    <s v="Monthly - Tuesday"/>
    <s v="Month+8 Expiry"/>
    <n v="0"/>
    <n v="0"/>
    <n v="0"/>
  </r>
  <r>
    <s v="09-Oct-2025"/>
    <x v="3"/>
    <s v="Week2-Oct-2025"/>
    <x v="1"/>
    <s v="29-Sep-2026"/>
    <s v="Tuesday"/>
    <s v="Monthly - Tuesday"/>
    <s v="Monthly - Tuesday"/>
    <s v="Month+11 Expiry"/>
    <n v="0"/>
    <n v="0"/>
    <n v="0"/>
  </r>
  <r>
    <s v="10-Oct-2025"/>
    <x v="4"/>
    <s v="Week2-Oct-2025"/>
    <x v="1"/>
    <s v="28-Oct-2025"/>
    <s v="Tuesday"/>
    <s v="Monthly - Tuesday"/>
    <s v="Monthly - Tuesday"/>
    <s v="Same Month Expiry"/>
    <n v="3637423"/>
    <n v="719177.64"/>
    <n v="4239.2"/>
  </r>
  <r>
    <s v="10-Oct-2025"/>
    <x v="4"/>
    <s v="Week2-Oct-2025"/>
    <x v="1"/>
    <s v="25-Nov-2025"/>
    <s v="Tuesday"/>
    <s v="Monthly - Tuesday"/>
    <s v="Monthly - Tuesday"/>
    <s v="Month+1 Expiry"/>
    <n v="66068"/>
    <n v="13156.25"/>
    <n v="124.56"/>
  </r>
  <r>
    <s v="10-Oct-2025"/>
    <x v="4"/>
    <s v="Week2-Oct-2025"/>
    <x v="1"/>
    <s v="30-Dec-2025"/>
    <s v="Tuesday"/>
    <s v="Monthly - Tuesday"/>
    <s v="Monthly - Tuesday"/>
    <s v="Month+2 Expiry"/>
    <n v="9440"/>
    <n v="1882.16"/>
    <n v="21.3"/>
  </r>
  <r>
    <s v="10-Oct-2025"/>
    <x v="4"/>
    <s v="Week2-Oct-2025"/>
    <x v="1"/>
    <s v="31-Mar-2026"/>
    <s v="Tuesday"/>
    <s v="Monthly - Tuesday"/>
    <s v="Monthly - Tuesday"/>
    <s v="Month+5 Expiry"/>
    <n v="540"/>
    <n v="112.83"/>
    <n v="2.5499999999999998"/>
  </r>
  <r>
    <s v="10-Oct-2025"/>
    <x v="4"/>
    <s v="Week2-Oct-2025"/>
    <x v="1"/>
    <s v="30-Jun-2026"/>
    <s v="Tuesday"/>
    <s v="Monthly - Tuesday"/>
    <s v="Monthly - Tuesday"/>
    <s v="Month+8 Expiry"/>
    <n v="0"/>
    <n v="0"/>
    <n v="0"/>
  </r>
  <r>
    <s v="10-Oct-2025"/>
    <x v="4"/>
    <s v="Week2-Oct-2025"/>
    <x v="1"/>
    <s v="29-Sep-2026"/>
    <s v="Tuesday"/>
    <s v="Monthly - Tuesday"/>
    <s v="Monthly - Tuesday"/>
    <s v="Month+11 Expiry"/>
    <n v="0"/>
    <n v="0"/>
    <n v="0"/>
  </r>
  <r>
    <s v="13-Oct-2025"/>
    <x v="0"/>
    <s v="Week2-Oct-2025"/>
    <x v="1"/>
    <s v="28-Oct-2025"/>
    <s v="Tuesday"/>
    <s v="Monthly - Tuesday"/>
    <s v="Monthly - Tuesday"/>
    <s v="Same Month Expiry"/>
    <n v="3390928"/>
    <n v="670043.35"/>
    <n v="4091.66"/>
  </r>
  <r>
    <s v="13-Oct-2025"/>
    <x v="0"/>
    <s v="Week2-Oct-2025"/>
    <x v="1"/>
    <s v="25-Nov-2025"/>
    <s v="Tuesday"/>
    <s v="Monthly - Tuesday"/>
    <s v="Monthly - Tuesday"/>
    <s v="Month+1 Expiry"/>
    <n v="52287"/>
    <n v="10426.25"/>
    <n v="105.47"/>
  </r>
  <r>
    <s v="13-Oct-2025"/>
    <x v="0"/>
    <s v="Week2-Oct-2025"/>
    <x v="1"/>
    <s v="30-Dec-2025"/>
    <s v="Tuesday"/>
    <s v="Monthly - Tuesday"/>
    <s v="Monthly - Tuesday"/>
    <s v="Month+2 Expiry"/>
    <n v="10215"/>
    <n v="2055.37"/>
    <n v="30.83"/>
  </r>
  <r>
    <s v="13-Oct-2025"/>
    <x v="0"/>
    <s v="Week2-Oct-2025"/>
    <x v="1"/>
    <s v="31-Mar-2026"/>
    <s v="Tuesday"/>
    <s v="Monthly - Tuesday"/>
    <s v="Monthly - Tuesday"/>
    <s v="Month+5 Expiry"/>
    <n v="3616"/>
    <n v="737.05"/>
    <n v="13.88"/>
  </r>
  <r>
    <s v="13-Oct-2025"/>
    <x v="0"/>
    <s v="Week2-Oct-2025"/>
    <x v="1"/>
    <s v="30-Jun-2026"/>
    <s v="Tuesday"/>
    <s v="Monthly - Tuesday"/>
    <s v="Monthly - Tuesday"/>
    <s v="Month+8 Expiry"/>
    <n v="0"/>
    <n v="0"/>
    <n v="0"/>
  </r>
  <r>
    <s v="13-Oct-2025"/>
    <x v="0"/>
    <s v="Week2-Oct-2025"/>
    <x v="1"/>
    <s v="29-Sep-2026"/>
    <s v="Tuesday"/>
    <s v="Monthly - Tuesday"/>
    <s v="Monthly - Tuesday"/>
    <s v="Month+11 Expiry"/>
    <n v="0"/>
    <n v="0"/>
    <n v="0"/>
  </r>
  <r>
    <s v="14-Oct-2025"/>
    <x v="1"/>
    <s v="Week2-Oct-2025"/>
    <x v="1"/>
    <s v="28-Oct-2025"/>
    <s v="Tuesday"/>
    <s v="Monthly - Tuesday"/>
    <s v="Monthly - Tuesday"/>
    <s v="Same Month Expiry"/>
    <n v="3317035"/>
    <n v="653917"/>
    <n v="3932.18"/>
  </r>
  <r>
    <s v="14-Oct-2025"/>
    <x v="1"/>
    <s v="Week2-Oct-2025"/>
    <x v="1"/>
    <s v="25-Nov-2025"/>
    <s v="Tuesday"/>
    <s v="Monthly - Tuesday"/>
    <s v="Monthly - Tuesday"/>
    <s v="Month+1 Expiry"/>
    <n v="50425"/>
    <n v="10042.23"/>
    <n v="96.62"/>
  </r>
  <r>
    <s v="14-Oct-2025"/>
    <x v="1"/>
    <s v="Week2-Oct-2025"/>
    <x v="1"/>
    <s v="30-Dec-2025"/>
    <s v="Tuesday"/>
    <s v="Monthly - Tuesday"/>
    <s v="Monthly - Tuesday"/>
    <s v="Month+2 Expiry"/>
    <n v="4720"/>
    <n v="937.85"/>
    <n v="12"/>
  </r>
  <r>
    <s v="14-Oct-2025"/>
    <x v="1"/>
    <s v="Week2-Oct-2025"/>
    <x v="1"/>
    <s v="31-Mar-2026"/>
    <s v="Tuesday"/>
    <s v="Monthly - Tuesday"/>
    <s v="Monthly - Tuesday"/>
    <s v="Month+5 Expiry"/>
    <n v="258"/>
    <n v="53.46"/>
    <n v="1.1299999999999999"/>
  </r>
  <r>
    <s v="14-Oct-2025"/>
    <x v="1"/>
    <s v="Week2-Oct-2025"/>
    <x v="1"/>
    <s v="30-Jun-2026"/>
    <s v="Tuesday"/>
    <s v="Monthly - Tuesday"/>
    <s v="Monthly - Tuesday"/>
    <s v="Month+8 Expiry"/>
    <n v="0"/>
    <n v="0"/>
    <n v="0"/>
  </r>
  <r>
    <s v="14-Oct-2025"/>
    <x v="1"/>
    <s v="Week2-Oct-2025"/>
    <x v="1"/>
    <s v="29-Sep-2026"/>
    <s v="Tuesday"/>
    <s v="Monthly - Tuesday"/>
    <s v="Monthly - Tuesday"/>
    <s v="Month+11 Expiry"/>
    <n v="0"/>
    <n v="0"/>
    <n v="0"/>
  </r>
  <r>
    <s v="15-Oct-2025"/>
    <x v="2"/>
    <s v="Week3-Oct-2025"/>
    <x v="1"/>
    <s v="28-Oct-2025"/>
    <s v="Tuesday"/>
    <s v="Monthly - Tuesday"/>
    <s v="Monthly - Tuesday"/>
    <s v="Same Month Expiry"/>
    <n v="3566936"/>
    <n v="704731.34"/>
    <n v="3945.78"/>
  </r>
  <r>
    <s v="15-Oct-2025"/>
    <x v="2"/>
    <s v="Week3-Oct-2025"/>
    <x v="1"/>
    <s v="25-Nov-2025"/>
    <s v="Tuesday"/>
    <s v="Monthly - Tuesday"/>
    <s v="Monthly - Tuesday"/>
    <s v="Month+1 Expiry"/>
    <n v="79388"/>
    <n v="15844.45"/>
    <n v="143.18"/>
  </r>
  <r>
    <s v="15-Oct-2025"/>
    <x v="2"/>
    <s v="Week3-Oct-2025"/>
    <x v="1"/>
    <s v="30-Dec-2025"/>
    <s v="Tuesday"/>
    <s v="Monthly - Tuesday"/>
    <s v="Monthly - Tuesday"/>
    <s v="Month+2 Expiry"/>
    <n v="7735"/>
    <n v="1546.27"/>
    <n v="20.91"/>
  </r>
  <r>
    <s v="15-Oct-2025"/>
    <x v="2"/>
    <s v="Week3-Oct-2025"/>
    <x v="1"/>
    <s v="31-Mar-2026"/>
    <s v="Tuesday"/>
    <s v="Monthly - Tuesday"/>
    <s v="Monthly - Tuesday"/>
    <s v="Month+5 Expiry"/>
    <n v="1158"/>
    <n v="236.77"/>
    <n v="4.09"/>
  </r>
  <r>
    <s v="15-Oct-2025"/>
    <x v="2"/>
    <s v="Week3-Oct-2025"/>
    <x v="1"/>
    <s v="30-Jun-2026"/>
    <s v="Tuesday"/>
    <s v="Monthly - Tuesday"/>
    <s v="Monthly - Tuesday"/>
    <s v="Month+8 Expiry"/>
    <n v="0"/>
    <n v="0"/>
    <n v="0"/>
  </r>
  <r>
    <s v="15-Oct-2025"/>
    <x v="2"/>
    <s v="Week3-Oct-2025"/>
    <x v="1"/>
    <s v="29-Sep-2026"/>
    <s v="Tuesday"/>
    <s v="Monthly - Tuesday"/>
    <s v="Monthly - Tuesday"/>
    <s v="Month+11 Expiry"/>
    <n v="0"/>
    <n v="0"/>
    <n v="0"/>
  </r>
  <r>
    <s v="16-Oct-2025"/>
    <x v="3"/>
    <s v="Week3-Oct-2025"/>
    <x v="1"/>
    <s v="28-Oct-2025"/>
    <s v="Tuesday"/>
    <s v="Monthly - Tuesday"/>
    <s v="Monthly - Tuesday"/>
    <s v="Same Month Expiry"/>
    <n v="4449066"/>
    <n v="883644.24"/>
    <n v="4483.38"/>
  </r>
  <r>
    <s v="16-Oct-2025"/>
    <x v="3"/>
    <s v="Week3-Oct-2025"/>
    <x v="1"/>
    <s v="25-Nov-2025"/>
    <s v="Tuesday"/>
    <s v="Monthly - Tuesday"/>
    <s v="Monthly - Tuesday"/>
    <s v="Month+1 Expiry"/>
    <n v="157673"/>
    <n v="31830.44"/>
    <n v="322.64999999999998"/>
  </r>
  <r>
    <s v="16-Oct-2025"/>
    <x v="3"/>
    <s v="Week3-Oct-2025"/>
    <x v="1"/>
    <s v="30-Dec-2025"/>
    <s v="Tuesday"/>
    <s v="Monthly - Tuesday"/>
    <s v="Monthly - Tuesday"/>
    <s v="Month+2 Expiry"/>
    <n v="16458"/>
    <n v="3323.52"/>
    <n v="44.89"/>
  </r>
  <r>
    <s v="16-Oct-2025"/>
    <x v="3"/>
    <s v="Week3-Oct-2025"/>
    <x v="1"/>
    <s v="31-Mar-2026"/>
    <s v="Tuesday"/>
    <s v="Monthly - Tuesday"/>
    <s v="Monthly - Tuesday"/>
    <s v="Month+5 Expiry"/>
    <n v="836"/>
    <n v="172.77"/>
    <n v="3.68"/>
  </r>
  <r>
    <s v="16-Oct-2025"/>
    <x v="3"/>
    <s v="Week3-Oct-2025"/>
    <x v="1"/>
    <s v="30-Jun-2026"/>
    <s v="Tuesday"/>
    <s v="Monthly - Tuesday"/>
    <s v="Monthly - Tuesday"/>
    <s v="Month+8 Expiry"/>
    <n v="0"/>
    <n v="0"/>
    <n v="0"/>
  </r>
  <r>
    <s v="16-Oct-2025"/>
    <x v="3"/>
    <s v="Week3-Oct-2025"/>
    <x v="1"/>
    <s v="29-Sep-2026"/>
    <s v="Tuesday"/>
    <s v="Monthly - Tuesday"/>
    <s v="Monthly - Tuesday"/>
    <s v="Month+11 Expiry"/>
    <n v="0"/>
    <n v="0"/>
    <n v="0"/>
  </r>
  <r>
    <s v="17-Oct-2025"/>
    <x v="4"/>
    <s v="Week3-Oct-2025"/>
    <x v="1"/>
    <s v="28-Oct-2025"/>
    <s v="Tuesday"/>
    <s v="Monthly - Tuesday"/>
    <s v="Monthly - Tuesday"/>
    <s v="Same Month Expiry"/>
    <n v="6181755"/>
    <n v="1237494.3999999999"/>
    <n v="6532.61"/>
  </r>
  <r>
    <s v="17-Oct-2025"/>
    <x v="4"/>
    <s v="Week3-Oct-2025"/>
    <x v="1"/>
    <s v="25-Nov-2025"/>
    <s v="Tuesday"/>
    <s v="Monthly - Tuesday"/>
    <s v="Monthly - Tuesday"/>
    <s v="Month+1 Expiry"/>
    <n v="215289"/>
    <n v="43890.18"/>
    <n v="437.31"/>
  </r>
  <r>
    <s v="17-Oct-2025"/>
    <x v="4"/>
    <s v="Week3-Oct-2025"/>
    <x v="1"/>
    <s v="30-Dec-2025"/>
    <s v="Tuesday"/>
    <s v="Monthly - Tuesday"/>
    <s v="Monthly - Tuesday"/>
    <s v="Month+2 Expiry"/>
    <n v="18041"/>
    <n v="3641.24"/>
    <n v="43.59"/>
  </r>
  <r>
    <s v="17-Oct-2025"/>
    <x v="4"/>
    <s v="Week3-Oct-2025"/>
    <x v="1"/>
    <s v="31-Mar-2026"/>
    <s v="Tuesday"/>
    <s v="Monthly - Tuesday"/>
    <s v="Monthly - Tuesday"/>
    <s v="Month+5 Expiry"/>
    <n v="1090"/>
    <n v="224.18"/>
    <n v="4.8"/>
  </r>
  <r>
    <s v="17-Oct-2025"/>
    <x v="4"/>
    <s v="Week3-Oct-2025"/>
    <x v="1"/>
    <s v="30-Jun-2026"/>
    <s v="Tuesday"/>
    <s v="Monthly - Tuesday"/>
    <s v="Monthly - Tuesday"/>
    <s v="Month+8 Expiry"/>
    <n v="0"/>
    <n v="0"/>
    <n v="0"/>
  </r>
  <r>
    <s v="17-Oct-2025"/>
    <x v="4"/>
    <s v="Week3-Oct-2025"/>
    <x v="1"/>
    <s v="29-Sep-2026"/>
    <s v="Tuesday"/>
    <s v="Monthly - Tuesday"/>
    <s v="Monthly - Tuesday"/>
    <s v="Month+11 Expiry"/>
    <n v="0"/>
    <n v="0"/>
    <n v="0"/>
  </r>
  <r>
    <s v="20-Oct-2025"/>
    <x v="0"/>
    <s v="Week3-Oct-2025"/>
    <x v="1"/>
    <s v="28-Oct-2025"/>
    <s v="Tuesday"/>
    <s v="Monthly - Tuesday"/>
    <s v="Monthly - Tuesday"/>
    <s v="Same Month Expiry"/>
    <n v="5438752"/>
    <n v="1090795.8799999999"/>
    <n v="4495.21"/>
  </r>
  <r>
    <s v="20-Oct-2025"/>
    <x v="0"/>
    <s v="Week3-Oct-2025"/>
    <x v="1"/>
    <s v="25-Nov-2025"/>
    <s v="Tuesday"/>
    <s v="Monthly - Tuesday"/>
    <s v="Monthly - Tuesday"/>
    <s v="Month+1 Expiry"/>
    <n v="225269"/>
    <n v="45923.01"/>
    <n v="422.67"/>
  </r>
  <r>
    <s v="20-Oct-2025"/>
    <x v="0"/>
    <s v="Week3-Oct-2025"/>
    <x v="1"/>
    <s v="30-Dec-2025"/>
    <s v="Tuesday"/>
    <s v="Monthly - Tuesday"/>
    <s v="Monthly - Tuesday"/>
    <s v="Month+2 Expiry"/>
    <n v="16214"/>
    <n v="3297.6"/>
    <n v="43.25"/>
  </r>
  <r>
    <s v="20-Oct-2025"/>
    <x v="0"/>
    <s v="Week3-Oct-2025"/>
    <x v="1"/>
    <s v="31-Mar-2026"/>
    <s v="Tuesday"/>
    <s v="Monthly - Tuesday"/>
    <s v="Monthly - Tuesday"/>
    <s v="Month+5 Expiry"/>
    <n v="1405"/>
    <n v="288.31"/>
    <n v="5.46"/>
  </r>
  <r>
    <s v="20-Oct-2025"/>
    <x v="0"/>
    <s v="Week3-Oct-2025"/>
    <x v="1"/>
    <s v="30-Jun-2026"/>
    <s v="Tuesday"/>
    <s v="Monthly - Tuesday"/>
    <s v="Monthly - Tuesday"/>
    <s v="Month+8 Expiry"/>
    <n v="0"/>
    <n v="0"/>
    <n v="0"/>
  </r>
  <r>
    <s v="20-Oct-2025"/>
    <x v="0"/>
    <s v="Week3-Oct-2025"/>
    <x v="1"/>
    <s v="29-Sep-2026"/>
    <s v="Tuesday"/>
    <s v="Monthly - Tuesday"/>
    <s v="Monthly - Tuesday"/>
    <s v="Month+11 Expiry"/>
    <n v="0"/>
    <n v="0"/>
    <n v="0"/>
  </r>
  <r>
    <s v="21-Oct-2025"/>
    <x v="1"/>
    <s v="Week3-Oct-2025"/>
    <x v="1"/>
    <s v="28-Oct-2025"/>
    <s v="Tuesday"/>
    <s v="Monthly - Tuesday"/>
    <s v="Monthly - Tuesday"/>
    <s v="Same Month Expiry"/>
    <n v="1267899"/>
    <n v="254416.7"/>
    <n v="783.29"/>
  </r>
  <r>
    <s v="21-Oct-2025"/>
    <x v="1"/>
    <s v="Week3-Oct-2025"/>
    <x v="1"/>
    <s v="25-Nov-2025"/>
    <s v="Tuesday"/>
    <s v="Monthly - Tuesday"/>
    <s v="Monthly - Tuesday"/>
    <s v="Month+1 Expiry"/>
    <n v="35546"/>
    <n v="7233.83"/>
    <n v="70.31"/>
  </r>
  <r>
    <s v="21-Oct-2025"/>
    <x v="1"/>
    <s v="Week3-Oct-2025"/>
    <x v="1"/>
    <s v="30-Dec-2025"/>
    <s v="Tuesday"/>
    <s v="Monthly - Tuesday"/>
    <s v="Monthly - Tuesday"/>
    <s v="Month+2 Expiry"/>
    <n v="1915"/>
    <n v="388.71"/>
    <n v="4.79"/>
  </r>
  <r>
    <s v="21-Oct-2025"/>
    <x v="1"/>
    <s v="Week3-Oct-2025"/>
    <x v="1"/>
    <s v="31-Mar-2026"/>
    <s v="Tuesday"/>
    <s v="Monthly - Tuesday"/>
    <s v="Monthly - Tuesday"/>
    <s v="Month+5 Expiry"/>
    <n v="114"/>
    <n v="23.12"/>
    <n v="0.36"/>
  </r>
  <r>
    <s v="21-Oct-2025"/>
    <x v="1"/>
    <s v="Week3-Oct-2025"/>
    <x v="1"/>
    <s v="30-Jun-2026"/>
    <s v="Tuesday"/>
    <s v="Monthly - Tuesday"/>
    <s v="Monthly - Tuesday"/>
    <s v="Month+8 Expiry"/>
    <n v="0"/>
    <n v="0"/>
    <n v="0"/>
  </r>
  <r>
    <s v="21-Oct-2025"/>
    <x v="1"/>
    <s v="Week3-Oct-2025"/>
    <x v="1"/>
    <s v="29-Sep-2026"/>
    <s v="Tuesday"/>
    <s v="Monthly - Tuesday"/>
    <s v="Monthly - Tuesday"/>
    <s v="Month+11 Expiry"/>
    <n v="0"/>
    <n v="0"/>
    <n v="0"/>
  </r>
  <r>
    <s v="23-Oct-2025"/>
    <x v="3"/>
    <s v="Week4-Oct-2025"/>
    <x v="1"/>
    <s v="28-Oct-2025"/>
    <s v="Tuesday"/>
    <s v="Monthly - Tuesday"/>
    <s v="Monthly - Tuesday"/>
    <s v="Same Month Expiry"/>
    <n v="8673940"/>
    <n v="1749927.77"/>
    <n v="5735.91"/>
  </r>
  <r>
    <s v="23-Oct-2025"/>
    <x v="3"/>
    <s v="Week4-Oct-2025"/>
    <x v="1"/>
    <s v="25-Nov-2025"/>
    <s v="Tuesday"/>
    <s v="Monthly - Tuesday"/>
    <s v="Monthly - Tuesday"/>
    <s v="Month+1 Expiry"/>
    <n v="395163"/>
    <n v="80914.86"/>
    <n v="862.11"/>
  </r>
  <r>
    <s v="23-Oct-2025"/>
    <x v="3"/>
    <s v="Week4-Oct-2025"/>
    <x v="1"/>
    <s v="30-Dec-2025"/>
    <s v="Tuesday"/>
    <s v="Monthly - Tuesday"/>
    <s v="Monthly - Tuesday"/>
    <s v="Month+2 Expiry"/>
    <n v="21545"/>
    <n v="4376.6099999999997"/>
    <n v="57.51"/>
  </r>
  <r>
    <s v="23-Oct-2025"/>
    <x v="3"/>
    <s v="Week4-Oct-2025"/>
    <x v="1"/>
    <s v="31-Mar-2026"/>
    <s v="Tuesday"/>
    <s v="Monthly - Tuesday"/>
    <s v="Monthly - Tuesday"/>
    <s v="Month+5 Expiry"/>
    <n v="948"/>
    <n v="193.97"/>
    <n v="3.2"/>
  </r>
  <r>
    <s v="23-Oct-2025"/>
    <x v="3"/>
    <s v="Week4-Oct-2025"/>
    <x v="1"/>
    <s v="30-Jun-2026"/>
    <s v="Tuesday"/>
    <s v="Monthly - Tuesday"/>
    <s v="Monthly - Tuesday"/>
    <s v="Month+8 Expiry"/>
    <n v="0"/>
    <n v="0"/>
    <n v="0"/>
  </r>
  <r>
    <s v="23-Oct-2025"/>
    <x v="3"/>
    <s v="Week4-Oct-2025"/>
    <x v="1"/>
    <s v="29-Sep-2026"/>
    <s v="Tuesday"/>
    <s v="Monthly - Tuesday"/>
    <s v="Monthly - Tuesday"/>
    <s v="Month+11 Expiry"/>
    <n v="0"/>
    <n v="0"/>
    <n v="0"/>
  </r>
  <r>
    <s v="24-Oct-2025"/>
    <x v="4"/>
    <s v="Week4-Oct-2025"/>
    <x v="1"/>
    <s v="28-Oct-2025"/>
    <s v="Tuesday"/>
    <s v="Monthly - Tuesday"/>
    <s v="Monthly - Tuesday"/>
    <s v="Same Month Expiry"/>
    <n v="15507859"/>
    <n v="3101167.41"/>
    <n v="8697.06"/>
  </r>
  <r>
    <s v="24-Oct-2025"/>
    <x v="4"/>
    <s v="Week4-Oct-2025"/>
    <x v="1"/>
    <s v="25-Nov-2025"/>
    <s v="Tuesday"/>
    <s v="Monthly - Tuesday"/>
    <s v="Monthly - Tuesday"/>
    <s v="Month+1 Expiry"/>
    <n v="469846"/>
    <n v="95716.07"/>
    <n v="982.88"/>
  </r>
  <r>
    <s v="24-Oct-2025"/>
    <x v="4"/>
    <s v="Week4-Oct-2025"/>
    <x v="1"/>
    <s v="30-Dec-2025"/>
    <s v="Tuesday"/>
    <s v="Monthly - Tuesday"/>
    <s v="Monthly - Tuesday"/>
    <s v="Month+2 Expiry"/>
    <n v="19045"/>
    <n v="3898.19"/>
    <n v="52.68"/>
  </r>
  <r>
    <s v="24-Oct-2025"/>
    <x v="4"/>
    <s v="Week4-Oct-2025"/>
    <x v="1"/>
    <s v="31-Mar-2026"/>
    <s v="Tuesday"/>
    <s v="Monthly - Tuesday"/>
    <s v="Monthly - Tuesday"/>
    <s v="Month+5 Expiry"/>
    <n v="868"/>
    <n v="178.67"/>
    <n v="3.29"/>
  </r>
  <r>
    <s v="24-Oct-2025"/>
    <x v="4"/>
    <s v="Week4-Oct-2025"/>
    <x v="1"/>
    <s v="30-Jun-2026"/>
    <s v="Tuesday"/>
    <s v="Monthly - Tuesday"/>
    <s v="Monthly - Tuesday"/>
    <s v="Month+8 Expiry"/>
    <n v="0"/>
    <n v="0"/>
    <n v="0"/>
  </r>
  <r>
    <s v="24-Oct-2025"/>
    <x v="4"/>
    <s v="Week4-Oct-2025"/>
    <x v="1"/>
    <s v="29-Sep-2026"/>
    <s v="Tuesday"/>
    <s v="Monthly - Tuesday"/>
    <s v="Monthly - Tuesday"/>
    <s v="Month+11 Expiry"/>
    <n v="0"/>
    <n v="0"/>
    <n v="0"/>
  </r>
  <r>
    <s v="27-Oct-2025"/>
    <x v="0"/>
    <s v="Week4-Oct-2025"/>
    <x v="1"/>
    <s v="28-Oct-2025"/>
    <s v="Tuesday"/>
    <s v="Monthly - Tuesday"/>
    <s v="Monthly - Tuesday"/>
    <s v="Same Month Expiry"/>
    <n v="20633717"/>
    <n v="4141903.11"/>
    <n v="9209.24"/>
  </r>
  <r>
    <s v="27-Oct-2025"/>
    <x v="0"/>
    <s v="Week4-Oct-2025"/>
    <x v="1"/>
    <s v="25-Nov-2025"/>
    <s v="Tuesday"/>
    <s v="Monthly - Tuesday"/>
    <s v="Monthly - Tuesday"/>
    <s v="Month+1 Expiry"/>
    <n v="524563"/>
    <n v="107143.97"/>
    <n v="1091.08"/>
  </r>
  <r>
    <s v="27-Oct-2025"/>
    <x v="0"/>
    <s v="Week4-Oct-2025"/>
    <x v="1"/>
    <s v="30-Dec-2025"/>
    <s v="Tuesday"/>
    <s v="Monthly - Tuesday"/>
    <s v="Monthly - Tuesday"/>
    <s v="Month+2 Expiry"/>
    <n v="19469"/>
    <n v="3969.86"/>
    <n v="51.33"/>
  </r>
  <r>
    <s v="27-Oct-2025"/>
    <x v="0"/>
    <s v="Week4-Oct-2025"/>
    <x v="1"/>
    <s v="31-Mar-2026"/>
    <s v="Tuesday"/>
    <s v="Monthly - Tuesday"/>
    <s v="Monthly - Tuesday"/>
    <s v="Month+5 Expiry"/>
    <n v="428"/>
    <n v="86.7"/>
    <n v="1.52"/>
  </r>
  <r>
    <s v="27-Oct-2025"/>
    <x v="0"/>
    <s v="Week4-Oct-2025"/>
    <x v="1"/>
    <s v="30-Jun-2026"/>
    <s v="Tuesday"/>
    <s v="Monthly - Tuesday"/>
    <s v="Monthly - Tuesday"/>
    <s v="Month+8 Expiry"/>
    <n v="0"/>
    <n v="0"/>
    <n v="0"/>
  </r>
  <r>
    <s v="27-Oct-2025"/>
    <x v="0"/>
    <s v="Week4-Oct-2025"/>
    <x v="1"/>
    <s v="29-Sep-2026"/>
    <s v="Tuesday"/>
    <s v="Monthly - Tuesday"/>
    <s v="Monthly - Tuesday"/>
    <s v="Month+11 Expiry"/>
    <n v="0"/>
    <n v="0"/>
    <n v="0"/>
  </r>
  <r>
    <s v="28-Oct-2025"/>
    <x v="1"/>
    <s v="Week4-Oct-2025"/>
    <x v="1"/>
    <s v="28-Oct-2025"/>
    <s v="Tuesday"/>
    <s v="Monthly - Tuesday"/>
    <s v="Monthly - Tuesday"/>
    <s v="Same Month Expiry"/>
    <n v="87083272"/>
    <n v="17451637.23"/>
    <n v="17407.38"/>
  </r>
  <r>
    <s v="28-Oct-2025"/>
    <x v="1"/>
    <s v="Week4-Oct-2025"/>
    <x v="1"/>
    <s v="25-Nov-2025"/>
    <s v="Tuesday"/>
    <s v="Monthly - Tuesday"/>
    <s v="Monthly - Tuesday"/>
    <s v="Month+1 Expiry"/>
    <n v="1161369"/>
    <n v="237445.17"/>
    <n v="2209.4699999999998"/>
  </r>
  <r>
    <s v="28-Oct-2025"/>
    <x v="1"/>
    <s v="Week4-Oct-2025"/>
    <x v="1"/>
    <s v="30-Dec-2025"/>
    <s v="Tuesday"/>
    <s v="Monthly - Tuesday"/>
    <s v="Monthly - Tuesday"/>
    <s v="Month+2 Expiry"/>
    <n v="23664"/>
    <n v="4873.66"/>
    <n v="73.349999999999994"/>
  </r>
  <r>
    <s v="28-Oct-2025"/>
    <x v="1"/>
    <s v="Week4-Oct-2025"/>
    <x v="1"/>
    <s v="31-Mar-2026"/>
    <s v="Tuesday"/>
    <s v="Monthly - Tuesday"/>
    <s v="Monthly - Tuesday"/>
    <s v="Month+5 Expiry"/>
    <n v="638"/>
    <n v="131.47999999999999"/>
    <n v="2.54"/>
  </r>
  <r>
    <s v="28-Oct-2025"/>
    <x v="1"/>
    <s v="Week4-Oct-2025"/>
    <x v="1"/>
    <s v="30-Jun-2026"/>
    <s v="Tuesday"/>
    <s v="Monthly - Tuesday"/>
    <s v="Monthly - Tuesday"/>
    <s v="Month+8 Expiry"/>
    <n v="0"/>
    <n v="0"/>
    <n v="0"/>
  </r>
  <r>
    <s v="28-Oct-2025"/>
    <x v="1"/>
    <s v="Week4-Oct-2025"/>
    <x v="1"/>
    <s v="29-Sep-2026"/>
    <s v="Tuesday"/>
    <s v="Monthly - Tuesday"/>
    <s v="Monthly - Tuesday"/>
    <s v="Month+11 Expiry"/>
    <n v="0"/>
    <n v="0"/>
    <n v="0"/>
  </r>
  <r>
    <s v="29-Oct-2025"/>
    <x v="2"/>
    <s v="Week5-Oct-2025"/>
    <x v="1"/>
    <s v="25-Nov-2025"/>
    <s v="Tuesday"/>
    <s v="Monthly - Tuesday"/>
    <s v="Monthly - Tuesday"/>
    <s v="Month+1 Expiry"/>
    <n v="2212302"/>
    <n v="453350.92"/>
    <n v="3993.3"/>
  </r>
  <r>
    <s v="29-Oct-2025"/>
    <x v="2"/>
    <s v="Week5-Oct-2025"/>
    <x v="1"/>
    <s v="30-Dec-2025"/>
    <s v="Tuesday"/>
    <s v="Monthly - Tuesday"/>
    <s v="Monthly - Tuesday"/>
    <s v="Month+2 Expiry"/>
    <n v="24422"/>
    <n v="5010.3599999999997"/>
    <n v="57.82"/>
  </r>
  <r>
    <s v="29-Oct-2025"/>
    <x v="2"/>
    <s v="Week5-Oct-2025"/>
    <x v="1"/>
    <s v="27-Jan-2026"/>
    <s v="Tuesday"/>
    <s v="Monthly - Tuesday"/>
    <s v="Monthly - Tuesday"/>
    <s v="Month+3 Expiry"/>
    <n v="86"/>
    <n v="15.27"/>
    <n v="0.4"/>
  </r>
  <r>
    <s v="29-Oct-2025"/>
    <x v="2"/>
    <s v="Week5-Oct-2025"/>
    <x v="1"/>
    <s v="31-Mar-2026"/>
    <s v="Tuesday"/>
    <s v="Monthly - Tuesday"/>
    <s v="Monthly - Tuesday"/>
    <s v="Month+5 Expiry"/>
    <n v="550"/>
    <n v="113.46"/>
    <n v="2.19"/>
  </r>
  <r>
    <s v="29-Oct-2025"/>
    <x v="2"/>
    <s v="Week5-Oct-2025"/>
    <x v="1"/>
    <s v="30-Jun-2026"/>
    <s v="Tuesday"/>
    <s v="Monthly - Tuesday"/>
    <s v="Monthly - Tuesday"/>
    <s v="Month+8 Expiry"/>
    <n v="0"/>
    <n v="0"/>
    <n v="0"/>
  </r>
  <r>
    <s v="29-Oct-2025"/>
    <x v="2"/>
    <s v="Week5-Oct-2025"/>
    <x v="1"/>
    <s v="29-Sep-2026"/>
    <s v="Tuesday"/>
    <s v="Monthly - Tuesday"/>
    <s v="Monthly - Tuesday"/>
    <s v="Month+11 Expiry"/>
    <n v="0"/>
    <n v="0"/>
    <n v="0"/>
  </r>
  <r>
    <s v="30-Oct-2025"/>
    <x v="3"/>
    <s v="Week5-Oct-2025"/>
    <x v="1"/>
    <s v="25-Nov-2025"/>
    <s v="Tuesday"/>
    <s v="Monthly - Tuesday"/>
    <s v="Monthly - Tuesday"/>
    <s v="Month+1 Expiry"/>
    <n v="1949720"/>
    <n v="399438.44"/>
    <n v="3449.45"/>
  </r>
  <r>
    <s v="30-Oct-2025"/>
    <x v="3"/>
    <s v="Week5-Oct-2025"/>
    <x v="1"/>
    <s v="30-Dec-2025"/>
    <s v="Tuesday"/>
    <s v="Monthly - Tuesday"/>
    <s v="Monthly - Tuesday"/>
    <s v="Month+2 Expiry"/>
    <n v="20662"/>
    <n v="4217.82"/>
    <n v="47.23"/>
  </r>
  <r>
    <s v="30-Oct-2025"/>
    <x v="3"/>
    <s v="Week5-Oct-2025"/>
    <x v="1"/>
    <s v="27-Jan-2026"/>
    <s v="Tuesday"/>
    <s v="Monthly - Tuesday"/>
    <s v="Monthly - Tuesday"/>
    <s v="Month+3 Expiry"/>
    <n v="292"/>
    <n v="50.53"/>
    <n v="0.71"/>
  </r>
  <r>
    <s v="30-Oct-2025"/>
    <x v="3"/>
    <s v="Week5-Oct-2025"/>
    <x v="1"/>
    <s v="31-Mar-2026"/>
    <s v="Tuesday"/>
    <s v="Monthly - Tuesday"/>
    <s v="Monthly - Tuesday"/>
    <s v="Month+5 Expiry"/>
    <n v="1572"/>
    <n v="317.57"/>
    <n v="4.7699999999999996"/>
  </r>
  <r>
    <s v="30-Oct-2025"/>
    <x v="3"/>
    <s v="Week5-Oct-2025"/>
    <x v="1"/>
    <s v="30-Jun-2026"/>
    <s v="Tuesday"/>
    <s v="Monthly - Tuesday"/>
    <s v="Monthly - Tuesday"/>
    <s v="Month+8 Expiry"/>
    <n v="0"/>
    <n v="0"/>
    <n v="0"/>
  </r>
  <r>
    <s v="30-Oct-2025"/>
    <x v="3"/>
    <s v="Week5-Oct-2025"/>
    <x v="1"/>
    <s v="29-Sep-2026"/>
    <s v="Tuesday"/>
    <s v="Monthly - Tuesday"/>
    <s v="Monthly - Tuesday"/>
    <s v="Month+11 Expiry"/>
    <n v="0"/>
    <n v="0"/>
    <n v="0"/>
  </r>
  <r>
    <s v="31-Oct-2025"/>
    <x v="4"/>
    <s v="Week5-Oct-2025"/>
    <x v="1"/>
    <s v="25-Nov-2025"/>
    <s v="Tuesday"/>
    <s v="Monthly - Tuesday"/>
    <s v="Monthly - Tuesday"/>
    <s v="Month+1 Expiry"/>
    <n v="2569744"/>
    <n v="524573.18000000005"/>
    <n v="4490.16"/>
  </r>
  <r>
    <s v="31-Oct-2025"/>
    <x v="4"/>
    <s v="Week5-Oct-2025"/>
    <x v="1"/>
    <s v="30-Dec-2025"/>
    <s v="Tuesday"/>
    <s v="Monthly - Tuesday"/>
    <s v="Monthly - Tuesday"/>
    <s v="Month+2 Expiry"/>
    <n v="30409"/>
    <n v="6297.64"/>
    <n v="73.59"/>
  </r>
  <r>
    <s v="31-Oct-2025"/>
    <x v="4"/>
    <s v="Week5-Oct-2025"/>
    <x v="1"/>
    <s v="27-Jan-2026"/>
    <s v="Tuesday"/>
    <s v="Monthly - Tuesday"/>
    <s v="Monthly - Tuesday"/>
    <s v="Month+3 Expiry"/>
    <n v="427"/>
    <n v="73.34"/>
    <n v="0.9"/>
  </r>
  <r>
    <s v="31-Oct-2025"/>
    <x v="4"/>
    <s v="Week5-Oct-2025"/>
    <x v="1"/>
    <s v="31-Mar-2026"/>
    <s v="Tuesday"/>
    <s v="Monthly - Tuesday"/>
    <s v="Monthly - Tuesday"/>
    <s v="Month+5 Expiry"/>
    <n v="538"/>
    <n v="109.46"/>
    <n v="1.88"/>
  </r>
  <r>
    <s v="31-Oct-2025"/>
    <x v="4"/>
    <s v="Week5-Oct-2025"/>
    <x v="1"/>
    <s v="30-Jun-2026"/>
    <s v="Tuesday"/>
    <s v="Monthly - Tuesday"/>
    <s v="Monthly - Tuesday"/>
    <s v="Month+8 Expiry"/>
    <n v="0"/>
    <n v="0"/>
    <n v="0"/>
  </r>
  <r>
    <s v="31-Oct-2025"/>
    <x v="4"/>
    <s v="Week5-Oct-2025"/>
    <x v="1"/>
    <s v="29-Sep-2026"/>
    <s v="Tuesday"/>
    <s v="Monthly - Tuesday"/>
    <s v="Monthly - Tuesday"/>
    <s v="Month+11 Expiry"/>
    <n v="0"/>
    <n v="0"/>
    <n v="0"/>
  </r>
  <r>
    <s v="03-Nov-2025"/>
    <x v="0"/>
    <s v="Week1-Nov-2025"/>
    <x v="2"/>
    <s v="25-Nov-2025"/>
    <s v="Tuesday"/>
    <s v="Monthly - Tuesday"/>
    <s v="Monthly - Tuesday"/>
    <s v="Same Month Expiry"/>
    <n v="2228380"/>
    <n v="456070.56"/>
    <n v="3763.46"/>
  </r>
  <r>
    <s v="03-Nov-2025"/>
    <x v="0"/>
    <s v="Week1-Nov-2025"/>
    <x v="2"/>
    <s v="30-Dec-2025"/>
    <s v="Tuesday"/>
    <s v="Monthly - Tuesday"/>
    <s v="Monthly - Tuesday"/>
    <s v="Month+1 Expiry"/>
    <n v="27468"/>
    <n v="5641.41"/>
    <n v="59.05"/>
  </r>
  <r>
    <s v="03-Nov-2025"/>
    <x v="0"/>
    <s v="Week1-Nov-2025"/>
    <x v="2"/>
    <s v="27-Jan-2026"/>
    <s v="Tuesday"/>
    <s v="Monthly - Tuesday"/>
    <s v="Monthly - Tuesday"/>
    <s v="Month+2 Expiry"/>
    <n v="351"/>
    <n v="60.25"/>
    <n v="0.65"/>
  </r>
  <r>
    <s v="03-Nov-2025"/>
    <x v="0"/>
    <s v="Week1-Nov-2025"/>
    <x v="2"/>
    <s v="31-Mar-2026"/>
    <s v="Tuesday"/>
    <s v="Monthly - Tuesday"/>
    <s v="Monthly - Tuesday"/>
    <s v="Month+4 Expiry"/>
    <n v="474"/>
    <n v="98.79"/>
    <n v="2.11"/>
  </r>
  <r>
    <s v="03-Nov-2025"/>
    <x v="0"/>
    <s v="Week1-Nov-2025"/>
    <x v="2"/>
    <s v="30-Jun-2026"/>
    <s v="Tuesday"/>
    <s v="Monthly - Tuesday"/>
    <s v="Monthly - Tuesday"/>
    <s v="Month+7 Expiry"/>
    <n v="0"/>
    <n v="0"/>
    <n v="0"/>
  </r>
  <r>
    <s v="03-Nov-2025"/>
    <x v="0"/>
    <s v="Week1-Nov-2025"/>
    <x v="2"/>
    <s v="29-Sep-2026"/>
    <s v="Tuesday"/>
    <s v="Monthly - Tuesday"/>
    <s v="Monthly - Tuesday"/>
    <s v="Month+10 Expiry"/>
    <n v="0"/>
    <n v="0"/>
    <n v="0"/>
  </r>
  <r>
    <s v="04-Nov-2025"/>
    <x v="1"/>
    <s v="Week1-Nov-2025"/>
    <x v="2"/>
    <s v="25-Nov-2025"/>
    <s v="Tuesday"/>
    <s v="Monthly - Tuesday"/>
    <s v="Monthly - Tuesday"/>
    <s v="Same Month Expiry"/>
    <n v="1994174"/>
    <n v="407528.26"/>
    <n v="3150.15"/>
  </r>
  <r>
    <s v="04-Nov-2025"/>
    <x v="1"/>
    <s v="Week1-Nov-2025"/>
    <x v="2"/>
    <s v="30-Dec-2025"/>
    <s v="Tuesday"/>
    <s v="Monthly - Tuesday"/>
    <s v="Monthly - Tuesday"/>
    <s v="Month+1 Expiry"/>
    <n v="28187"/>
    <n v="5787.67"/>
    <n v="55.15"/>
  </r>
  <r>
    <s v="04-Nov-2025"/>
    <x v="1"/>
    <s v="Week1-Nov-2025"/>
    <x v="2"/>
    <s v="27-Jan-2026"/>
    <s v="Tuesday"/>
    <s v="Monthly - Tuesday"/>
    <s v="Monthly - Tuesday"/>
    <s v="Month+2 Expiry"/>
    <n v="320"/>
    <n v="54.82"/>
    <n v="0.57999999999999996"/>
  </r>
  <r>
    <s v="04-Nov-2025"/>
    <x v="1"/>
    <s v="Week1-Nov-2025"/>
    <x v="2"/>
    <s v="31-Mar-2026"/>
    <s v="Tuesday"/>
    <s v="Monthly - Tuesday"/>
    <s v="Monthly - Tuesday"/>
    <s v="Month+4 Expiry"/>
    <n v="203"/>
    <n v="41.64"/>
    <n v="0.8"/>
  </r>
  <r>
    <s v="04-Nov-2025"/>
    <x v="1"/>
    <s v="Week1-Nov-2025"/>
    <x v="2"/>
    <s v="30-Jun-2026"/>
    <s v="Tuesday"/>
    <s v="Monthly - Tuesday"/>
    <s v="Monthly - Tuesday"/>
    <s v="Month+7 Expiry"/>
    <n v="0"/>
    <n v="0"/>
    <n v="0"/>
  </r>
  <r>
    <s v="04-Nov-2025"/>
    <x v="1"/>
    <s v="Week1-Nov-2025"/>
    <x v="2"/>
    <s v="29-Sep-2026"/>
    <s v="Tuesday"/>
    <s v="Monthly - Tuesday"/>
    <s v="Monthly - Tuesday"/>
    <s v="Month+10 Expiry"/>
    <n v="0"/>
    <n v="0"/>
    <n v="0"/>
  </r>
  <r>
    <s v="06-Nov-2025"/>
    <x v="3"/>
    <s v="Week1-Nov-2025"/>
    <x v="2"/>
    <s v="25-Nov-2025"/>
    <s v="Tuesday"/>
    <s v="Monthly - Tuesday"/>
    <s v="Monthly - Tuesday"/>
    <s v="Same Month Expiry"/>
    <n v="2186489"/>
    <n v="443814.84"/>
    <n v="3345.73"/>
  </r>
  <r>
    <s v="06-Nov-2025"/>
    <x v="3"/>
    <s v="Week1-Nov-2025"/>
    <x v="2"/>
    <s v="30-Dec-2025"/>
    <s v="Tuesday"/>
    <s v="Monthly - Tuesday"/>
    <s v="Monthly - Tuesday"/>
    <s v="Month+1 Expiry"/>
    <n v="38633"/>
    <n v="7937.71"/>
    <n v="73.739999999999995"/>
  </r>
  <r>
    <s v="06-Nov-2025"/>
    <x v="3"/>
    <s v="Week1-Nov-2025"/>
    <x v="2"/>
    <s v="27-Jan-2026"/>
    <s v="Tuesday"/>
    <s v="Monthly - Tuesday"/>
    <s v="Monthly - Tuesday"/>
    <s v="Month+2 Expiry"/>
    <n v="831"/>
    <n v="144.27000000000001"/>
    <n v="1.87"/>
  </r>
  <r>
    <s v="06-Nov-2025"/>
    <x v="3"/>
    <s v="Week1-Nov-2025"/>
    <x v="2"/>
    <s v="31-Mar-2026"/>
    <s v="Tuesday"/>
    <s v="Monthly - Tuesday"/>
    <s v="Monthly - Tuesday"/>
    <s v="Month+4 Expiry"/>
    <n v="296"/>
    <n v="60.95"/>
    <n v="1.0900000000000001"/>
  </r>
  <r>
    <s v="06-Nov-2025"/>
    <x v="3"/>
    <s v="Week1-Nov-2025"/>
    <x v="2"/>
    <s v="30-Jun-2026"/>
    <s v="Tuesday"/>
    <s v="Monthly - Tuesday"/>
    <s v="Monthly - Tuesday"/>
    <s v="Month+7 Expiry"/>
    <n v="0"/>
    <n v="0"/>
    <n v="0"/>
  </r>
  <r>
    <s v="06-Nov-2025"/>
    <x v="3"/>
    <s v="Week1-Nov-2025"/>
    <x v="2"/>
    <s v="29-Sep-2026"/>
    <s v="Tuesday"/>
    <s v="Monthly - Tuesday"/>
    <s v="Monthly - Tuesday"/>
    <s v="Month+10 Expiry"/>
    <n v="0"/>
    <n v="0"/>
    <n v="0"/>
  </r>
  <r>
    <s v="07-Nov-2025"/>
    <x v="4"/>
    <s v="Week1-Nov-2025"/>
    <x v="2"/>
    <s v="25-Nov-2025"/>
    <s v="Tuesday"/>
    <s v="Monthly - Tuesday"/>
    <s v="Monthly - Tuesday"/>
    <s v="Same Month Expiry"/>
    <n v="3649590"/>
    <n v="740422.29"/>
    <n v="5274.41"/>
  </r>
  <r>
    <s v="07-Nov-2025"/>
    <x v="4"/>
    <s v="Week1-Nov-2025"/>
    <x v="2"/>
    <s v="30-Dec-2025"/>
    <s v="Tuesday"/>
    <s v="Monthly - Tuesday"/>
    <s v="Monthly - Tuesday"/>
    <s v="Month+1 Expiry"/>
    <n v="77834"/>
    <n v="15947.62"/>
    <n v="140.30000000000001"/>
  </r>
  <r>
    <s v="07-Nov-2025"/>
    <x v="4"/>
    <s v="Week1-Nov-2025"/>
    <x v="2"/>
    <s v="27-Jan-2026"/>
    <s v="Tuesday"/>
    <s v="Monthly - Tuesday"/>
    <s v="Monthly - Tuesday"/>
    <s v="Month+2 Expiry"/>
    <n v="3310"/>
    <n v="565.49"/>
    <n v="6.41"/>
  </r>
  <r>
    <s v="07-Nov-2025"/>
    <x v="4"/>
    <s v="Week1-Nov-2025"/>
    <x v="2"/>
    <s v="31-Mar-2026"/>
    <s v="Tuesday"/>
    <s v="Monthly - Tuesday"/>
    <s v="Monthly - Tuesday"/>
    <s v="Month+4 Expiry"/>
    <n v="695"/>
    <n v="141.05000000000001"/>
    <n v="2.21"/>
  </r>
  <r>
    <s v="07-Nov-2025"/>
    <x v="4"/>
    <s v="Week1-Nov-2025"/>
    <x v="2"/>
    <s v="30-Jun-2026"/>
    <s v="Tuesday"/>
    <s v="Monthly - Tuesday"/>
    <s v="Monthly - Tuesday"/>
    <s v="Month+7 Expiry"/>
    <n v="0"/>
    <n v="0"/>
    <n v="0"/>
  </r>
  <r>
    <s v="07-Nov-2025"/>
    <x v="4"/>
    <s v="Week1-Nov-2025"/>
    <x v="2"/>
    <s v="29-Sep-2026"/>
    <s v="Tuesday"/>
    <s v="Monthly - Tuesday"/>
    <s v="Monthly - Tuesday"/>
    <s v="Month+10 Expiry"/>
    <n v="0"/>
    <n v="0"/>
    <n v="0"/>
  </r>
  <r>
    <s v="10-Nov-2025"/>
    <x v="0"/>
    <s v="Week2-Nov-2025"/>
    <x v="2"/>
    <s v="25-Nov-2025"/>
    <s v="Tuesday"/>
    <s v="Monthly - Tuesday"/>
    <s v="Monthly - Tuesday"/>
    <s v="Same Month Expiry"/>
    <n v="2241174"/>
    <n v="455881.52"/>
    <n v="3166.4"/>
  </r>
  <r>
    <s v="10-Nov-2025"/>
    <x v="0"/>
    <s v="Week2-Nov-2025"/>
    <x v="2"/>
    <s v="30-Dec-2025"/>
    <s v="Tuesday"/>
    <s v="Monthly - Tuesday"/>
    <s v="Monthly - Tuesday"/>
    <s v="Month+1 Expiry"/>
    <n v="33783"/>
    <n v="6861.12"/>
    <n v="56.43"/>
  </r>
  <r>
    <s v="10-Nov-2025"/>
    <x v="0"/>
    <s v="Week2-Nov-2025"/>
    <x v="2"/>
    <s v="27-Jan-2026"/>
    <s v="Tuesday"/>
    <s v="Monthly - Tuesday"/>
    <s v="Monthly - Tuesday"/>
    <s v="Month+2 Expiry"/>
    <n v="1569"/>
    <n v="273.35000000000002"/>
    <n v="3.77"/>
  </r>
  <r>
    <s v="10-Nov-2025"/>
    <x v="0"/>
    <s v="Week2-Nov-2025"/>
    <x v="2"/>
    <s v="31-Mar-2026"/>
    <s v="Tuesday"/>
    <s v="Monthly - Tuesday"/>
    <s v="Monthly - Tuesday"/>
    <s v="Month+4 Expiry"/>
    <n v="301"/>
    <n v="61.9"/>
    <n v="1.06"/>
  </r>
  <r>
    <s v="10-Nov-2025"/>
    <x v="0"/>
    <s v="Week2-Nov-2025"/>
    <x v="2"/>
    <s v="30-Jun-2026"/>
    <s v="Tuesday"/>
    <s v="Monthly - Tuesday"/>
    <s v="Monthly - Tuesday"/>
    <s v="Month+7 Expiry"/>
    <n v="0"/>
    <n v="0"/>
    <n v="0"/>
  </r>
  <r>
    <s v="10-Nov-2025"/>
    <x v="0"/>
    <s v="Week2-Nov-2025"/>
    <x v="2"/>
    <s v="29-Sep-2026"/>
    <s v="Tuesday"/>
    <s v="Monthly - Tuesday"/>
    <s v="Monthly - Tuesday"/>
    <s v="Month+10 Expiry"/>
    <n v="0"/>
    <n v="0"/>
    <n v="0"/>
  </r>
  <r>
    <s v="11-Nov-2025"/>
    <x v="1"/>
    <s v="Week2-Nov-2025"/>
    <x v="2"/>
    <s v="25-Nov-2025"/>
    <s v="Tuesday"/>
    <s v="Monthly - Tuesday"/>
    <s v="Monthly - Tuesday"/>
    <s v="Same Month Expiry"/>
    <n v="2918580"/>
    <n v="591850.82999999996"/>
    <n v="4047.73"/>
  </r>
  <r>
    <s v="11-Nov-2025"/>
    <x v="1"/>
    <s v="Week2-Nov-2025"/>
    <x v="2"/>
    <s v="30-Dec-2025"/>
    <s v="Tuesday"/>
    <s v="Monthly - Tuesday"/>
    <s v="Monthly - Tuesday"/>
    <s v="Month+1 Expiry"/>
    <n v="52106"/>
    <n v="10684.88"/>
    <n v="100.8"/>
  </r>
  <r>
    <s v="11-Nov-2025"/>
    <x v="1"/>
    <s v="Week2-Nov-2025"/>
    <x v="2"/>
    <s v="27-Jan-2026"/>
    <s v="Tuesday"/>
    <s v="Monthly - Tuesday"/>
    <s v="Monthly - Tuesday"/>
    <s v="Month+2 Expiry"/>
    <n v="2356"/>
    <n v="408.17"/>
    <n v="5.08"/>
  </r>
  <r>
    <s v="11-Nov-2025"/>
    <x v="1"/>
    <s v="Week2-Nov-2025"/>
    <x v="2"/>
    <s v="31-Mar-2026"/>
    <s v="Tuesday"/>
    <s v="Monthly - Tuesday"/>
    <s v="Monthly - Tuesday"/>
    <s v="Month+4 Expiry"/>
    <n v="533"/>
    <n v="109.25"/>
    <n v="1.8"/>
  </r>
  <r>
    <s v="11-Nov-2025"/>
    <x v="1"/>
    <s v="Week2-Nov-2025"/>
    <x v="2"/>
    <s v="30-Jun-2026"/>
    <s v="Tuesday"/>
    <s v="Monthly - Tuesday"/>
    <s v="Monthly - Tuesday"/>
    <s v="Month+7 Expiry"/>
    <n v="0"/>
    <n v="0"/>
    <n v="0"/>
  </r>
  <r>
    <s v="11-Nov-2025"/>
    <x v="1"/>
    <s v="Week2-Nov-2025"/>
    <x v="2"/>
    <s v="29-Sep-2026"/>
    <s v="Tuesday"/>
    <s v="Monthly - Tuesday"/>
    <s v="Monthly - Tuesday"/>
    <s v="Month+10 Expiry"/>
    <n v="0"/>
    <n v="0"/>
    <n v="0"/>
  </r>
  <r>
    <s v="12-Nov-2025"/>
    <x v="2"/>
    <s v="Week2-Nov-2025"/>
    <x v="2"/>
    <s v="25-Nov-2025"/>
    <s v="Tuesday"/>
    <s v="Monthly - Tuesday"/>
    <s v="Monthly - Tuesday"/>
    <s v="Same Month Expiry"/>
    <n v="2822988"/>
    <n v="574436.81999999995"/>
    <n v="3716.54"/>
  </r>
  <r>
    <s v="12-Nov-2025"/>
    <x v="2"/>
    <s v="Week2-Nov-2025"/>
    <x v="2"/>
    <s v="30-Dec-2025"/>
    <s v="Tuesday"/>
    <s v="Monthly - Tuesday"/>
    <s v="Monthly - Tuesday"/>
    <s v="Month+1 Expiry"/>
    <n v="60386"/>
    <n v="12238.52"/>
    <n v="104.3"/>
  </r>
  <r>
    <s v="12-Nov-2025"/>
    <x v="2"/>
    <s v="Week2-Nov-2025"/>
    <x v="2"/>
    <s v="27-Jan-2026"/>
    <s v="Tuesday"/>
    <s v="Monthly - Tuesday"/>
    <s v="Monthly - Tuesday"/>
    <s v="Month+2 Expiry"/>
    <n v="2598"/>
    <n v="447.3"/>
    <n v="4.7"/>
  </r>
  <r>
    <s v="12-Nov-2025"/>
    <x v="2"/>
    <s v="Week2-Nov-2025"/>
    <x v="2"/>
    <s v="31-Mar-2026"/>
    <s v="Tuesday"/>
    <s v="Monthly - Tuesday"/>
    <s v="Monthly - Tuesday"/>
    <s v="Month+4 Expiry"/>
    <n v="491"/>
    <n v="100.57"/>
    <n v="1.58"/>
  </r>
  <r>
    <s v="12-Nov-2025"/>
    <x v="2"/>
    <s v="Week2-Nov-2025"/>
    <x v="2"/>
    <s v="30-Jun-2026"/>
    <s v="Tuesday"/>
    <s v="Monthly - Tuesday"/>
    <s v="Monthly - Tuesday"/>
    <s v="Month+7 Expiry"/>
    <n v="0"/>
    <n v="0"/>
    <n v="0"/>
  </r>
  <r>
    <s v="12-Nov-2025"/>
    <x v="2"/>
    <s v="Week2-Nov-2025"/>
    <x v="2"/>
    <s v="29-Sep-2026"/>
    <s v="Tuesday"/>
    <s v="Monthly - Tuesday"/>
    <s v="Monthly - Tuesday"/>
    <s v="Month+10 Expiry"/>
    <n v="0"/>
    <n v="0"/>
    <n v="0"/>
  </r>
  <r>
    <s v="13-Nov-2025"/>
    <x v="3"/>
    <s v="Week2-Nov-2025"/>
    <x v="2"/>
    <s v="25-Nov-2025"/>
    <s v="Tuesday"/>
    <s v="Monthly - Tuesday"/>
    <s v="Monthly - Tuesday"/>
    <s v="Same Month Expiry"/>
    <n v="3111743"/>
    <n v="636305.03"/>
    <n v="3959.13"/>
  </r>
  <r>
    <s v="13-Nov-2025"/>
    <x v="3"/>
    <s v="Week2-Nov-2025"/>
    <x v="2"/>
    <s v="30-Dec-2025"/>
    <s v="Tuesday"/>
    <s v="Monthly - Tuesday"/>
    <s v="Monthly - Tuesday"/>
    <s v="Month+1 Expiry"/>
    <n v="72337"/>
    <n v="14873.16"/>
    <n v="139.86000000000001"/>
  </r>
  <r>
    <s v="13-Nov-2025"/>
    <x v="3"/>
    <s v="Week2-Nov-2025"/>
    <x v="2"/>
    <s v="27-Jan-2026"/>
    <s v="Tuesday"/>
    <s v="Monthly - Tuesday"/>
    <s v="Monthly - Tuesday"/>
    <s v="Month+2 Expiry"/>
    <n v="4137"/>
    <n v="729.5"/>
    <n v="10.9"/>
  </r>
  <r>
    <s v="13-Nov-2025"/>
    <x v="3"/>
    <s v="Week2-Nov-2025"/>
    <x v="2"/>
    <s v="31-Mar-2026"/>
    <s v="Tuesday"/>
    <s v="Monthly - Tuesday"/>
    <s v="Monthly - Tuesday"/>
    <s v="Month+4 Expiry"/>
    <n v="767"/>
    <n v="156.44"/>
    <n v="2.2999999999999998"/>
  </r>
  <r>
    <s v="13-Nov-2025"/>
    <x v="3"/>
    <s v="Week2-Nov-2025"/>
    <x v="2"/>
    <s v="30-Jun-2026"/>
    <s v="Tuesday"/>
    <s v="Monthly - Tuesday"/>
    <s v="Monthly - Tuesday"/>
    <s v="Month+7 Expiry"/>
    <n v="0"/>
    <n v="0"/>
    <n v="0"/>
  </r>
  <r>
    <s v="13-Nov-2025"/>
    <x v="3"/>
    <s v="Week2-Nov-2025"/>
    <x v="2"/>
    <s v="29-Sep-2026"/>
    <s v="Tuesday"/>
    <s v="Monthly - Tuesday"/>
    <s v="Monthly - Tuesday"/>
    <s v="Month+10 Expiry"/>
    <n v="0"/>
    <n v="0"/>
    <n v="0"/>
  </r>
  <r>
    <s v="14-Nov-2025"/>
    <x v="4"/>
    <s v="Week2-Nov-2025"/>
    <x v="2"/>
    <s v="25-Nov-2025"/>
    <s v="Tuesday"/>
    <s v="Monthly - Tuesday"/>
    <s v="Monthly - Tuesday"/>
    <s v="Same Month Expiry"/>
    <n v="3462484"/>
    <n v="707980.5"/>
    <n v="4143.6400000000003"/>
  </r>
  <r>
    <s v="14-Nov-2025"/>
    <x v="4"/>
    <s v="Week2-Nov-2025"/>
    <x v="2"/>
    <s v="30-Dec-2025"/>
    <s v="Tuesday"/>
    <s v="Monthly - Tuesday"/>
    <s v="Monthly - Tuesday"/>
    <s v="Month+1 Expiry"/>
    <n v="68514"/>
    <n v="14089.27"/>
    <n v="133.1"/>
  </r>
  <r>
    <s v="14-Nov-2025"/>
    <x v="4"/>
    <s v="Week2-Nov-2025"/>
    <x v="2"/>
    <s v="27-Jan-2026"/>
    <s v="Tuesday"/>
    <s v="Monthly - Tuesday"/>
    <s v="Monthly - Tuesday"/>
    <s v="Month+2 Expiry"/>
    <n v="2813"/>
    <n v="496.43"/>
    <n v="7.44"/>
  </r>
  <r>
    <s v="14-Nov-2025"/>
    <x v="4"/>
    <s v="Week2-Nov-2025"/>
    <x v="2"/>
    <s v="31-Mar-2026"/>
    <s v="Tuesday"/>
    <s v="Monthly - Tuesday"/>
    <s v="Monthly - Tuesday"/>
    <s v="Month+4 Expiry"/>
    <n v="740"/>
    <n v="152.06"/>
    <n v="2.6"/>
  </r>
  <r>
    <s v="14-Nov-2025"/>
    <x v="4"/>
    <s v="Week2-Nov-2025"/>
    <x v="2"/>
    <s v="30-Jun-2026"/>
    <s v="Tuesday"/>
    <s v="Monthly - Tuesday"/>
    <s v="Monthly - Tuesday"/>
    <s v="Month+7 Expiry"/>
    <n v="0"/>
    <n v="0"/>
    <n v="0"/>
  </r>
  <r>
    <s v="14-Nov-2025"/>
    <x v="4"/>
    <s v="Week2-Nov-2025"/>
    <x v="2"/>
    <s v="29-Sep-2026"/>
    <s v="Tuesday"/>
    <s v="Monthly - Tuesday"/>
    <s v="Monthly - Tuesday"/>
    <s v="Month+10 Expiry"/>
    <n v="0"/>
    <n v="0"/>
    <n v="0"/>
  </r>
  <r>
    <s v="17-Nov-2025"/>
    <x v="0"/>
    <s v="Week3-Nov-2025"/>
    <x v="2"/>
    <s v="25-Nov-2025"/>
    <s v="Tuesday"/>
    <s v="Monthly - Tuesday"/>
    <s v="Monthly - Tuesday"/>
    <s v="Same Month Expiry"/>
    <n v="3637020"/>
    <n v="745354.8"/>
    <n v="3807.17"/>
  </r>
  <r>
    <s v="17-Nov-2025"/>
    <x v="0"/>
    <s v="Week3-Nov-2025"/>
    <x v="2"/>
    <s v="30-Dec-2025"/>
    <s v="Tuesday"/>
    <s v="Monthly - Tuesday"/>
    <s v="Monthly - Tuesday"/>
    <s v="Month+1 Expiry"/>
    <n v="156925"/>
    <n v="32491.52"/>
    <n v="332.85"/>
  </r>
  <r>
    <s v="17-Nov-2025"/>
    <x v="0"/>
    <s v="Week3-Nov-2025"/>
    <x v="2"/>
    <s v="27-Jan-2026"/>
    <s v="Tuesday"/>
    <s v="Monthly - Tuesday"/>
    <s v="Monthly - Tuesday"/>
    <s v="Month+2 Expiry"/>
    <n v="3892"/>
    <n v="683.27"/>
    <n v="8.91"/>
  </r>
  <r>
    <s v="17-Nov-2025"/>
    <x v="0"/>
    <s v="Week3-Nov-2025"/>
    <x v="2"/>
    <s v="31-Mar-2026"/>
    <s v="Tuesday"/>
    <s v="Monthly - Tuesday"/>
    <s v="Monthly - Tuesday"/>
    <s v="Month+4 Expiry"/>
    <n v="2128"/>
    <n v="439.69"/>
    <n v="8.33"/>
  </r>
  <r>
    <s v="17-Nov-2025"/>
    <x v="0"/>
    <s v="Week3-Nov-2025"/>
    <x v="2"/>
    <s v="30-Jun-2026"/>
    <s v="Tuesday"/>
    <s v="Monthly - Tuesday"/>
    <s v="Monthly - Tuesday"/>
    <s v="Month+7 Expiry"/>
    <n v="0"/>
    <n v="0"/>
    <n v="0"/>
  </r>
  <r>
    <s v="17-Nov-2025"/>
    <x v="0"/>
    <s v="Week3-Nov-2025"/>
    <x v="2"/>
    <s v="29-Sep-2026"/>
    <s v="Tuesday"/>
    <s v="Monthly - Tuesday"/>
    <s v="Monthly - Tuesday"/>
    <s v="Month+10 Expiry"/>
    <n v="0"/>
    <n v="0"/>
    <n v="0"/>
  </r>
  <r>
    <s v="18-Nov-2025"/>
    <x v="1"/>
    <s v="Week3-Nov-2025"/>
    <x v="2"/>
    <s v="25-Nov-2025"/>
    <s v="Tuesday"/>
    <s v="Monthly - Tuesday"/>
    <s v="Monthly - Tuesday"/>
    <s v="Same Month Expiry"/>
    <n v="3898075"/>
    <n v="799547.88"/>
    <n v="3716.48"/>
  </r>
  <r>
    <s v="18-Nov-2025"/>
    <x v="1"/>
    <s v="Week3-Nov-2025"/>
    <x v="2"/>
    <s v="30-Dec-2025"/>
    <s v="Tuesday"/>
    <s v="Monthly - Tuesday"/>
    <s v="Monthly - Tuesday"/>
    <s v="Month+1 Expiry"/>
    <n v="123004"/>
    <n v="25495.35"/>
    <n v="268.82"/>
  </r>
  <r>
    <s v="18-Nov-2025"/>
    <x v="1"/>
    <s v="Week3-Nov-2025"/>
    <x v="2"/>
    <s v="27-Jan-2026"/>
    <s v="Tuesday"/>
    <s v="Monthly - Tuesday"/>
    <s v="Monthly - Tuesday"/>
    <s v="Month+2 Expiry"/>
    <n v="4143"/>
    <n v="729.95"/>
    <n v="9.4600000000000009"/>
  </r>
  <r>
    <s v="18-Nov-2025"/>
    <x v="1"/>
    <s v="Week3-Nov-2025"/>
    <x v="2"/>
    <s v="31-Mar-2026"/>
    <s v="Tuesday"/>
    <s v="Monthly - Tuesday"/>
    <s v="Monthly - Tuesday"/>
    <s v="Month+4 Expiry"/>
    <n v="1542"/>
    <n v="316.01"/>
    <n v="5.3"/>
  </r>
  <r>
    <s v="18-Nov-2025"/>
    <x v="1"/>
    <s v="Week3-Nov-2025"/>
    <x v="2"/>
    <s v="30-Jun-2026"/>
    <s v="Tuesday"/>
    <s v="Monthly - Tuesday"/>
    <s v="Monthly - Tuesday"/>
    <s v="Month+7 Expiry"/>
    <n v="0"/>
    <n v="0"/>
    <n v="0"/>
  </r>
  <r>
    <s v="18-Nov-2025"/>
    <x v="1"/>
    <s v="Week3-Nov-2025"/>
    <x v="2"/>
    <s v="29-Sep-2026"/>
    <s v="Tuesday"/>
    <s v="Monthly - Tuesday"/>
    <s v="Monthly - Tuesday"/>
    <s v="Month+10 Expiry"/>
    <n v="0"/>
    <n v="0"/>
    <n v="0"/>
  </r>
  <r>
    <s v="19-Nov-2025"/>
    <x v="2"/>
    <s v="Week3-Nov-2025"/>
    <x v="2"/>
    <s v="25-Nov-2025"/>
    <s v="Tuesday"/>
    <s v="Monthly - Tuesday"/>
    <s v="Monthly - Tuesday"/>
    <s v="Same Month Expiry"/>
    <n v="6053709"/>
    <n v="1238777.47"/>
    <n v="5081.72"/>
  </r>
  <r>
    <s v="19-Nov-2025"/>
    <x v="2"/>
    <s v="Week3-Nov-2025"/>
    <x v="2"/>
    <s v="30-Dec-2025"/>
    <s v="Tuesday"/>
    <s v="Monthly - Tuesday"/>
    <s v="Monthly - Tuesday"/>
    <s v="Month+1 Expiry"/>
    <n v="199504"/>
    <n v="41540.35"/>
    <n v="432.55"/>
  </r>
  <r>
    <s v="19-Nov-2025"/>
    <x v="2"/>
    <s v="Week3-Nov-2025"/>
    <x v="2"/>
    <s v="27-Jan-2026"/>
    <s v="Tuesday"/>
    <s v="Monthly - Tuesday"/>
    <s v="Monthly - Tuesday"/>
    <s v="Month+2 Expiry"/>
    <n v="6526"/>
    <n v="1160.1400000000001"/>
    <n v="15.87"/>
  </r>
  <r>
    <s v="19-Nov-2025"/>
    <x v="2"/>
    <s v="Week3-Nov-2025"/>
    <x v="2"/>
    <s v="31-Mar-2026"/>
    <s v="Tuesday"/>
    <s v="Monthly - Tuesday"/>
    <s v="Monthly - Tuesday"/>
    <s v="Month+4 Expiry"/>
    <n v="1988"/>
    <n v="420.25"/>
    <n v="9.58"/>
  </r>
  <r>
    <s v="19-Nov-2025"/>
    <x v="2"/>
    <s v="Week3-Nov-2025"/>
    <x v="2"/>
    <s v="30-Jun-2026"/>
    <s v="Tuesday"/>
    <s v="Monthly - Tuesday"/>
    <s v="Monthly - Tuesday"/>
    <s v="Month+7 Expiry"/>
    <n v="0"/>
    <n v="0"/>
    <n v="0"/>
  </r>
  <r>
    <s v="19-Nov-2025"/>
    <x v="2"/>
    <s v="Week3-Nov-2025"/>
    <x v="2"/>
    <s v="29-Sep-2026"/>
    <s v="Tuesday"/>
    <s v="Monthly - Tuesday"/>
    <s v="Monthly - Tuesday"/>
    <s v="Month+10 Expiry"/>
    <n v="0"/>
    <n v="0"/>
    <n v="0"/>
  </r>
  <r>
    <s v="20-Nov-2025"/>
    <x v="3"/>
    <s v="Week3-Nov-2025"/>
    <x v="2"/>
    <s v="25-Nov-2025"/>
    <s v="Tuesday"/>
    <s v="Monthly - Tuesday"/>
    <s v="Monthly - Tuesday"/>
    <s v="Same Month Expiry"/>
    <n v="5656595"/>
    <n v="1158225.29"/>
    <n v="3943.98"/>
  </r>
  <r>
    <s v="20-Nov-2025"/>
    <x v="3"/>
    <s v="Week3-Nov-2025"/>
    <x v="2"/>
    <s v="30-Dec-2025"/>
    <s v="Tuesday"/>
    <s v="Monthly - Tuesday"/>
    <s v="Monthly - Tuesday"/>
    <s v="Month+1 Expiry"/>
    <n v="207429"/>
    <n v="43190.239999999998"/>
    <n v="471.64"/>
  </r>
  <r>
    <s v="20-Nov-2025"/>
    <x v="3"/>
    <s v="Week3-Nov-2025"/>
    <x v="2"/>
    <s v="27-Jan-2026"/>
    <s v="Tuesday"/>
    <s v="Monthly - Tuesday"/>
    <s v="Monthly - Tuesday"/>
    <s v="Month+2 Expiry"/>
    <n v="6413"/>
    <n v="1142.07"/>
    <n v="17.010000000000002"/>
  </r>
  <r>
    <s v="20-Nov-2025"/>
    <x v="3"/>
    <s v="Week3-Nov-2025"/>
    <x v="2"/>
    <s v="31-Mar-2026"/>
    <s v="Tuesday"/>
    <s v="Monthly - Tuesday"/>
    <s v="Monthly - Tuesday"/>
    <s v="Month+4 Expiry"/>
    <n v="3035"/>
    <n v="637.34"/>
    <n v="12.83"/>
  </r>
  <r>
    <s v="20-Nov-2025"/>
    <x v="3"/>
    <s v="Week3-Nov-2025"/>
    <x v="2"/>
    <s v="30-Jun-2026"/>
    <s v="Tuesday"/>
    <s v="Monthly - Tuesday"/>
    <s v="Monthly - Tuesday"/>
    <s v="Month+7 Expiry"/>
    <n v="0"/>
    <n v="0"/>
    <n v="0"/>
  </r>
  <r>
    <s v="20-Nov-2025"/>
    <x v="3"/>
    <s v="Week3-Nov-2025"/>
    <x v="2"/>
    <s v="29-Sep-2026"/>
    <s v="Tuesday"/>
    <s v="Monthly - Tuesday"/>
    <s v="Monthly - Tuesday"/>
    <s v="Month+10 Expiry"/>
    <n v="0"/>
    <n v="0"/>
    <n v="0"/>
  </r>
  <r>
    <s v="21-Nov-2025"/>
    <x v="4"/>
    <s v="Week3-Nov-2025"/>
    <x v="2"/>
    <s v="25-Nov-2025"/>
    <s v="Tuesday"/>
    <s v="Monthly - Tuesday"/>
    <s v="Monthly - Tuesday"/>
    <s v="Same Month Expiry"/>
    <n v="10692487"/>
    <n v="2189930.4700000002"/>
    <n v="6499.58"/>
  </r>
  <r>
    <s v="21-Nov-2025"/>
    <x v="4"/>
    <s v="Week3-Nov-2025"/>
    <x v="2"/>
    <s v="30-Dec-2025"/>
    <s v="Tuesday"/>
    <s v="Monthly - Tuesday"/>
    <s v="Monthly - Tuesday"/>
    <s v="Month+1 Expiry"/>
    <n v="359705"/>
    <n v="74715.05"/>
    <n v="785.21"/>
  </r>
  <r>
    <s v="21-Nov-2025"/>
    <x v="4"/>
    <s v="Week3-Nov-2025"/>
    <x v="2"/>
    <s v="27-Jan-2026"/>
    <s v="Tuesday"/>
    <s v="Monthly - Tuesday"/>
    <s v="Monthly - Tuesday"/>
    <s v="Month+2 Expiry"/>
    <n v="9417"/>
    <n v="1690.76"/>
    <n v="25.12"/>
  </r>
  <r>
    <s v="21-Nov-2025"/>
    <x v="4"/>
    <s v="Week3-Nov-2025"/>
    <x v="2"/>
    <s v="31-Mar-2026"/>
    <s v="Tuesday"/>
    <s v="Monthly - Tuesday"/>
    <s v="Monthly - Tuesday"/>
    <s v="Month+4 Expiry"/>
    <n v="1699"/>
    <n v="351.16"/>
    <n v="5.6"/>
  </r>
  <r>
    <s v="21-Nov-2025"/>
    <x v="4"/>
    <s v="Week3-Nov-2025"/>
    <x v="2"/>
    <s v="30-Jun-2026"/>
    <s v="Tuesday"/>
    <s v="Monthly - Tuesday"/>
    <s v="Monthly - Tuesday"/>
    <s v="Month+7 Expiry"/>
    <n v="0"/>
    <n v="0"/>
    <n v="0"/>
  </r>
  <r>
    <s v="21-Nov-2025"/>
    <x v="4"/>
    <s v="Week3-Nov-2025"/>
    <x v="2"/>
    <s v="29-Sep-2026"/>
    <s v="Tuesday"/>
    <s v="Monthly - Tuesday"/>
    <s v="Monthly - Tuesday"/>
    <s v="Month+10 Expiry"/>
    <n v="0"/>
    <n v="0"/>
    <n v="0"/>
  </r>
  <r>
    <s v="24-Nov-2025"/>
    <x v="0"/>
    <s v="Week4-Nov-2025"/>
    <x v="2"/>
    <s v="25-Nov-2025"/>
    <s v="Tuesday"/>
    <s v="Monthly - Tuesday"/>
    <s v="Monthly - Tuesday"/>
    <s v="Same Month Expiry"/>
    <n v="19567412"/>
    <n v="4001510.14"/>
    <n v="8585.31"/>
  </r>
  <r>
    <s v="24-Nov-2025"/>
    <x v="0"/>
    <s v="Week4-Nov-2025"/>
    <x v="2"/>
    <s v="30-Dec-2025"/>
    <s v="Tuesday"/>
    <s v="Monthly - Tuesday"/>
    <s v="Monthly - Tuesday"/>
    <s v="Month+1 Expiry"/>
    <n v="424184"/>
    <n v="88501.94"/>
    <n v="980.7"/>
  </r>
  <r>
    <s v="24-Nov-2025"/>
    <x v="0"/>
    <s v="Week4-Nov-2025"/>
    <x v="2"/>
    <s v="27-Jan-2026"/>
    <s v="Tuesday"/>
    <s v="Monthly - Tuesday"/>
    <s v="Monthly - Tuesday"/>
    <s v="Month+2 Expiry"/>
    <n v="6842"/>
    <n v="1220.58"/>
    <n v="15.65"/>
  </r>
  <r>
    <s v="24-Nov-2025"/>
    <x v="0"/>
    <s v="Week4-Nov-2025"/>
    <x v="2"/>
    <s v="31-Mar-2026"/>
    <s v="Tuesday"/>
    <s v="Monthly - Tuesday"/>
    <s v="Monthly - Tuesday"/>
    <s v="Month+4 Expiry"/>
    <n v="1087"/>
    <n v="228.3"/>
    <n v="4.33"/>
  </r>
  <r>
    <s v="24-Nov-2025"/>
    <x v="0"/>
    <s v="Week4-Nov-2025"/>
    <x v="2"/>
    <s v="30-Jun-2026"/>
    <s v="Tuesday"/>
    <s v="Monthly - Tuesday"/>
    <s v="Monthly - Tuesday"/>
    <s v="Month+7 Expiry"/>
    <n v="0"/>
    <n v="0"/>
    <n v="0"/>
  </r>
  <r>
    <s v="24-Nov-2025"/>
    <x v="0"/>
    <s v="Week4-Nov-2025"/>
    <x v="2"/>
    <s v="29-Sep-2026"/>
    <s v="Tuesday"/>
    <s v="Monthly - Tuesday"/>
    <s v="Monthly - Tuesday"/>
    <s v="Month+10 Expiry"/>
    <n v="0"/>
    <n v="0"/>
    <n v="0"/>
  </r>
  <r>
    <s v="25-Nov-2025"/>
    <x v="1"/>
    <s v="Week4-Nov-2025"/>
    <x v="2"/>
    <s v="25-Nov-2025"/>
    <s v="Tuesday"/>
    <s v="Monthly - Tuesday"/>
    <s v="Monthly - Tuesday"/>
    <s v="Same Month Expiry"/>
    <n v="79305371"/>
    <n v="16174666.1"/>
    <n v="15140.41"/>
  </r>
  <r>
    <s v="25-Nov-2025"/>
    <x v="1"/>
    <s v="Week4-Nov-2025"/>
    <x v="2"/>
    <s v="30-Dec-2025"/>
    <s v="Tuesday"/>
    <s v="Monthly - Tuesday"/>
    <s v="Monthly - Tuesday"/>
    <s v="Month+1 Expiry"/>
    <n v="722792"/>
    <n v="150380.93"/>
    <n v="1523.52"/>
  </r>
  <r>
    <s v="25-Nov-2025"/>
    <x v="1"/>
    <s v="Week4-Nov-2025"/>
    <x v="2"/>
    <s v="27-Jan-2026"/>
    <s v="Tuesday"/>
    <s v="Monthly - Tuesday"/>
    <s v="Monthly - Tuesday"/>
    <s v="Month+2 Expiry"/>
    <n v="8387"/>
    <n v="1508.03"/>
    <n v="18.440000000000001"/>
  </r>
  <r>
    <s v="25-Nov-2025"/>
    <x v="1"/>
    <s v="Week4-Nov-2025"/>
    <x v="2"/>
    <s v="31-Mar-2026"/>
    <s v="Tuesday"/>
    <s v="Monthly - Tuesday"/>
    <s v="Monthly - Tuesday"/>
    <s v="Month+4 Expiry"/>
    <n v="919"/>
    <n v="192.65"/>
    <n v="3.83"/>
  </r>
  <r>
    <s v="25-Nov-2025"/>
    <x v="1"/>
    <s v="Week4-Nov-2025"/>
    <x v="2"/>
    <s v="30-Jun-2026"/>
    <s v="Tuesday"/>
    <s v="Monthly - Tuesday"/>
    <s v="Monthly - Tuesday"/>
    <s v="Month+7 Expiry"/>
    <n v="0"/>
    <n v="0"/>
    <n v="0"/>
  </r>
  <r>
    <s v="25-Nov-2025"/>
    <x v="1"/>
    <s v="Week4-Nov-2025"/>
    <x v="2"/>
    <s v="29-Sep-2026"/>
    <s v="Tuesday"/>
    <s v="Monthly - Tuesday"/>
    <s v="Monthly - Tuesday"/>
    <s v="Month+10 Expiry"/>
    <n v="0"/>
    <n v="0"/>
    <n v="0"/>
  </r>
  <r>
    <s v="26-Nov-2025"/>
    <x v="2"/>
    <s v="Week4-Nov-2025"/>
    <x v="2"/>
    <s v="30-Dec-2025"/>
    <s v="Tuesday"/>
    <s v="Monthly - Tuesday"/>
    <s v="Monthly - Tuesday"/>
    <s v="Month+1 Expiry"/>
    <n v="2110443"/>
    <n v="441060.45"/>
    <n v="3915.95"/>
  </r>
  <r>
    <s v="26-Nov-2025"/>
    <x v="2"/>
    <s v="Week4-Nov-2025"/>
    <x v="2"/>
    <s v="27-Jan-2026"/>
    <s v="Tuesday"/>
    <s v="Monthly - Tuesday"/>
    <s v="Monthly - Tuesday"/>
    <s v="Month+2 Expiry"/>
    <n v="19811"/>
    <n v="3567.28"/>
    <n v="44.69"/>
  </r>
  <r>
    <s v="26-Nov-2025"/>
    <x v="2"/>
    <s v="Week4-Nov-2025"/>
    <x v="2"/>
    <s v="24-Feb-2026"/>
    <s v="Tuesday"/>
    <s v="Monthly - Tuesday"/>
    <s v="Monthly - Tuesday"/>
    <s v="Month+3 Expiry"/>
    <n v="159"/>
    <n v="28"/>
    <n v="0.53"/>
  </r>
  <r>
    <s v="26-Nov-2025"/>
    <x v="2"/>
    <s v="Week4-Nov-2025"/>
    <x v="2"/>
    <s v="31-Mar-2026"/>
    <s v="Tuesday"/>
    <s v="Monthly - Tuesday"/>
    <s v="Monthly - Tuesday"/>
    <s v="Month+4 Expiry"/>
    <n v="2433"/>
    <n v="505.32"/>
    <n v="7.92"/>
  </r>
  <r>
    <s v="26-Nov-2025"/>
    <x v="2"/>
    <s v="Week4-Nov-2025"/>
    <x v="2"/>
    <s v="30-Jun-2026"/>
    <s v="Tuesday"/>
    <s v="Monthly - Tuesday"/>
    <s v="Monthly - Tuesday"/>
    <s v="Month+7 Expiry"/>
    <n v="0"/>
    <n v="0"/>
    <n v="0"/>
  </r>
  <r>
    <s v="26-Nov-2025"/>
    <x v="2"/>
    <s v="Week4-Nov-2025"/>
    <x v="2"/>
    <s v="29-Sep-2026"/>
    <s v="Tuesday"/>
    <s v="Monthly - Tuesday"/>
    <s v="Monthly - Tuesday"/>
    <s v="Month+10 Expiry"/>
    <n v="0"/>
    <n v="0"/>
    <n v="0"/>
  </r>
  <r>
    <s v="27-Nov-2025"/>
    <x v="3"/>
    <s v="Week4-Nov-2025"/>
    <x v="2"/>
    <s v="30-Dec-2025"/>
    <s v="Tuesday"/>
    <s v="Monthly - Tuesday"/>
    <s v="Monthly - Tuesday"/>
    <s v="Month+1 Expiry"/>
    <n v="2075050"/>
    <n v="435570.78"/>
    <n v="4050.44"/>
  </r>
  <r>
    <s v="27-Nov-2025"/>
    <x v="3"/>
    <s v="Week4-Nov-2025"/>
    <x v="2"/>
    <s v="27-Jan-2026"/>
    <s v="Tuesday"/>
    <s v="Monthly - Tuesday"/>
    <s v="Monthly - Tuesday"/>
    <s v="Month+2 Expiry"/>
    <n v="21635"/>
    <n v="3875.77"/>
    <n v="47.78"/>
  </r>
  <r>
    <s v="27-Nov-2025"/>
    <x v="3"/>
    <s v="Week4-Nov-2025"/>
    <x v="2"/>
    <s v="24-Feb-2026"/>
    <s v="Tuesday"/>
    <s v="Monthly - Tuesday"/>
    <s v="Monthly - Tuesday"/>
    <s v="Month+3 Expiry"/>
    <n v="263"/>
    <n v="47.15"/>
    <n v="0.79"/>
  </r>
  <r>
    <s v="27-Nov-2025"/>
    <x v="3"/>
    <s v="Week4-Nov-2025"/>
    <x v="2"/>
    <s v="31-Mar-2026"/>
    <s v="Tuesday"/>
    <s v="Monthly - Tuesday"/>
    <s v="Monthly - Tuesday"/>
    <s v="Month+4 Expiry"/>
    <n v="1803"/>
    <n v="376.32"/>
    <n v="6.18"/>
  </r>
  <r>
    <s v="27-Nov-2025"/>
    <x v="3"/>
    <s v="Week4-Nov-2025"/>
    <x v="2"/>
    <s v="30-Jun-2026"/>
    <s v="Tuesday"/>
    <s v="Monthly - Tuesday"/>
    <s v="Monthly - Tuesday"/>
    <s v="Month+7 Expiry"/>
    <n v="0"/>
    <n v="0"/>
    <n v="0"/>
  </r>
  <r>
    <s v="27-Nov-2025"/>
    <x v="3"/>
    <s v="Week4-Nov-2025"/>
    <x v="2"/>
    <s v="29-Sep-2026"/>
    <s v="Tuesday"/>
    <s v="Monthly - Tuesday"/>
    <s v="Monthly - Tuesday"/>
    <s v="Month+10 Expiry"/>
    <n v="0"/>
    <n v="0"/>
    <n v="0"/>
  </r>
  <r>
    <s v="28-Nov-2025"/>
    <x v="4"/>
    <s v="Week4-Nov-2025"/>
    <x v="2"/>
    <s v="30-Dec-2025"/>
    <s v="Tuesday"/>
    <s v="Monthly - Tuesday"/>
    <s v="Monthly - Tuesday"/>
    <s v="Month+1 Expiry"/>
    <n v="1708304"/>
    <n v="358249.52"/>
    <n v="3160.02"/>
  </r>
  <r>
    <s v="28-Nov-2025"/>
    <x v="4"/>
    <s v="Week4-Nov-2025"/>
    <x v="2"/>
    <s v="27-Jan-2026"/>
    <s v="Tuesday"/>
    <s v="Monthly - Tuesday"/>
    <s v="Monthly - Tuesday"/>
    <s v="Month+2 Expiry"/>
    <n v="15141"/>
    <n v="2734.64"/>
    <n v="35.75"/>
  </r>
  <r>
    <s v="28-Nov-2025"/>
    <x v="4"/>
    <s v="Week4-Nov-2025"/>
    <x v="2"/>
    <s v="24-Feb-2026"/>
    <s v="Tuesday"/>
    <s v="Monthly - Tuesday"/>
    <s v="Monthly - Tuesday"/>
    <s v="Month+3 Expiry"/>
    <n v="254"/>
    <n v="46.33"/>
    <n v="0.89"/>
  </r>
  <r>
    <s v="28-Nov-2025"/>
    <x v="4"/>
    <s v="Week4-Nov-2025"/>
    <x v="2"/>
    <s v="31-Mar-2026"/>
    <s v="Tuesday"/>
    <s v="Monthly - Tuesday"/>
    <s v="Monthly - Tuesday"/>
    <s v="Month+4 Expiry"/>
    <n v="1989"/>
    <n v="412.47"/>
    <n v="5.82"/>
  </r>
  <r>
    <s v="28-Nov-2025"/>
    <x v="4"/>
    <s v="Week4-Nov-2025"/>
    <x v="2"/>
    <s v="30-Jun-2026"/>
    <s v="Tuesday"/>
    <s v="Monthly - Tuesday"/>
    <s v="Monthly - Tuesday"/>
    <s v="Month+7 Expiry"/>
    <n v="0"/>
    <n v="0"/>
    <n v="0"/>
  </r>
  <r>
    <s v="28-Nov-2025"/>
    <x v="4"/>
    <s v="Week4-Nov-2025"/>
    <x v="2"/>
    <s v="29-Sep-2026"/>
    <s v="Tuesday"/>
    <s v="Monthly - Tuesday"/>
    <s v="Monthly - Tuesday"/>
    <s v="Month+10 Expiry"/>
    <n v="0"/>
    <n v="0"/>
    <n v="0"/>
  </r>
  <r>
    <s v="01-Dec-2025"/>
    <x v="0"/>
    <s v="Week1-Dec-2025"/>
    <x v="3"/>
    <s v="30-Dec-2025"/>
    <s v="Tuesday"/>
    <s v="Monthly - Tuesday"/>
    <s v="Monthly - Tuesday"/>
    <s v="Same Month Expiry"/>
    <n v="2279487"/>
    <n v="479779.46"/>
    <n v="4002.24"/>
  </r>
  <r>
    <s v="01-Dec-2025"/>
    <x v="0"/>
    <s v="Week1-Dec-2025"/>
    <x v="3"/>
    <s v="27-Jan-2026"/>
    <s v="Tuesday"/>
    <s v="Monthly - Tuesday"/>
    <s v="Monthly - Tuesday"/>
    <s v="Month+1 Expiry"/>
    <n v="24325"/>
    <n v="4426.8500000000004"/>
    <n v="50.29"/>
  </r>
  <r>
    <s v="01-Dec-2025"/>
    <x v="0"/>
    <s v="Week1-Dec-2025"/>
    <x v="3"/>
    <s v="24-Feb-2026"/>
    <s v="Tuesday"/>
    <s v="Monthly - Tuesday"/>
    <s v="Monthly - Tuesday"/>
    <s v="Month+2 Expiry"/>
    <n v="1275"/>
    <n v="225.89"/>
    <n v="2.74"/>
  </r>
  <r>
    <s v="01-Dec-2025"/>
    <x v="0"/>
    <s v="Week1-Dec-2025"/>
    <x v="3"/>
    <s v="31-Mar-2026"/>
    <s v="Tuesday"/>
    <s v="Monthly - Tuesday"/>
    <s v="Monthly - Tuesday"/>
    <s v="Month+3 Expiry"/>
    <n v="8334"/>
    <n v="1716.55"/>
    <n v="20.28"/>
  </r>
  <r>
    <s v="01-Dec-2025"/>
    <x v="0"/>
    <s v="Week1-Dec-2025"/>
    <x v="3"/>
    <s v="30-Jun-2026"/>
    <s v="Tuesday"/>
    <s v="Monthly - Tuesday"/>
    <s v="Monthly - Tuesday"/>
    <s v="Month+6 Expiry"/>
    <n v="0"/>
    <n v="0"/>
    <n v="0"/>
  </r>
  <r>
    <s v="01-Dec-2025"/>
    <x v="0"/>
    <s v="Week1-Dec-2025"/>
    <x v="3"/>
    <s v="29-Sep-2026"/>
    <s v="Tuesday"/>
    <s v="Monthly - Tuesday"/>
    <s v="Monthly - Tuesday"/>
    <s v="Month+9 Expiry"/>
    <n v="0"/>
    <n v="0"/>
    <n v="0"/>
  </r>
  <r>
    <s v="02-Dec-2025"/>
    <x v="1"/>
    <s v="Week1-Dec-2025"/>
    <x v="3"/>
    <s v="30-Dec-2025"/>
    <s v="Tuesday"/>
    <s v="Monthly - Tuesday"/>
    <s v="Monthly - Tuesday"/>
    <s v="Same Month Expiry"/>
    <n v="1916768"/>
    <n v="400798.53"/>
    <n v="3415.48"/>
  </r>
  <r>
    <s v="02-Dec-2025"/>
    <x v="1"/>
    <s v="Week1-Dec-2025"/>
    <x v="3"/>
    <s v="27-Jan-2026"/>
    <s v="Tuesday"/>
    <s v="Monthly - Tuesday"/>
    <s v="Monthly - Tuesday"/>
    <s v="Month+1 Expiry"/>
    <n v="18854"/>
    <n v="3431.95"/>
    <n v="41.61"/>
  </r>
  <r>
    <s v="02-Dec-2025"/>
    <x v="1"/>
    <s v="Week1-Dec-2025"/>
    <x v="3"/>
    <s v="24-Feb-2026"/>
    <s v="Tuesday"/>
    <s v="Monthly - Tuesday"/>
    <s v="Monthly - Tuesday"/>
    <s v="Month+2 Expiry"/>
    <n v="971"/>
    <n v="174.24"/>
    <n v="2.2200000000000002"/>
  </r>
  <r>
    <s v="02-Dec-2025"/>
    <x v="1"/>
    <s v="Week1-Dec-2025"/>
    <x v="3"/>
    <s v="31-Mar-2026"/>
    <s v="Tuesday"/>
    <s v="Monthly - Tuesday"/>
    <s v="Monthly - Tuesday"/>
    <s v="Month+3 Expiry"/>
    <n v="1683"/>
    <n v="354.67"/>
    <n v="6.89"/>
  </r>
  <r>
    <s v="02-Dec-2025"/>
    <x v="1"/>
    <s v="Week1-Dec-2025"/>
    <x v="3"/>
    <s v="30-Jun-2026"/>
    <s v="Tuesday"/>
    <s v="Monthly - Tuesday"/>
    <s v="Monthly - Tuesday"/>
    <s v="Month+6 Expiry"/>
    <n v="0"/>
    <n v="0"/>
    <n v="0"/>
  </r>
  <r>
    <s v="02-Dec-2025"/>
    <x v="1"/>
    <s v="Week1-Dec-2025"/>
    <x v="3"/>
    <s v="29-Sep-2026"/>
    <s v="Tuesday"/>
    <s v="Monthly - Tuesday"/>
    <s v="Monthly - Tuesday"/>
    <s v="Month+9 Expiry"/>
    <n v="0"/>
    <n v="0"/>
    <n v="0"/>
  </r>
  <r>
    <s v="03-Dec-2025"/>
    <x v="2"/>
    <s v="Week1-Dec-2025"/>
    <x v="3"/>
    <s v="30-Dec-2025"/>
    <s v="Tuesday"/>
    <s v="Monthly - Tuesday"/>
    <s v="Monthly - Tuesday"/>
    <s v="Same Month Expiry"/>
    <n v="2431052"/>
    <n v="507001.82"/>
    <n v="4024.07"/>
  </r>
  <r>
    <s v="03-Dec-2025"/>
    <x v="2"/>
    <s v="Week1-Dec-2025"/>
    <x v="3"/>
    <s v="27-Jan-2026"/>
    <s v="Tuesday"/>
    <s v="Monthly - Tuesday"/>
    <s v="Monthly - Tuesday"/>
    <s v="Month+1 Expiry"/>
    <n v="29815"/>
    <n v="5400.05"/>
    <n v="54.9"/>
  </r>
  <r>
    <s v="03-Dec-2025"/>
    <x v="2"/>
    <s v="Week1-Dec-2025"/>
    <x v="3"/>
    <s v="24-Feb-2026"/>
    <s v="Tuesday"/>
    <s v="Monthly - Tuesday"/>
    <s v="Monthly - Tuesday"/>
    <s v="Month+2 Expiry"/>
    <n v="1192"/>
    <n v="211.94"/>
    <n v="2.4"/>
  </r>
  <r>
    <s v="03-Dec-2025"/>
    <x v="2"/>
    <s v="Week1-Dec-2025"/>
    <x v="3"/>
    <s v="31-Mar-2026"/>
    <s v="Tuesday"/>
    <s v="Monthly - Tuesday"/>
    <s v="Monthly - Tuesday"/>
    <s v="Month+3 Expiry"/>
    <n v="2903"/>
    <n v="603.95000000000005"/>
    <n v="9.77"/>
  </r>
  <r>
    <s v="03-Dec-2025"/>
    <x v="2"/>
    <s v="Week1-Dec-2025"/>
    <x v="3"/>
    <s v="30-Jun-2026"/>
    <s v="Tuesday"/>
    <s v="Monthly - Tuesday"/>
    <s v="Monthly - Tuesday"/>
    <s v="Month+6 Expiry"/>
    <n v="0"/>
    <n v="0"/>
    <n v="0"/>
  </r>
  <r>
    <s v="03-Dec-2025"/>
    <x v="2"/>
    <s v="Week1-Dec-2025"/>
    <x v="3"/>
    <s v="29-Sep-2026"/>
    <s v="Tuesday"/>
    <s v="Monthly - Tuesday"/>
    <s v="Monthly - Tuesday"/>
    <s v="Month+9 Expiry"/>
    <n v="0"/>
    <n v="0"/>
    <n v="0"/>
  </r>
  <r>
    <s v="04-Dec-2025"/>
    <x v="3"/>
    <s v="Week1-Dec-2025"/>
    <x v="3"/>
    <s v="30-Dec-2025"/>
    <s v="Tuesday"/>
    <s v="Monthly - Tuesday"/>
    <s v="Monthly - Tuesday"/>
    <s v="Same Month Expiry"/>
    <n v="1959814"/>
    <n v="408936.38"/>
    <n v="3297.76"/>
  </r>
  <r>
    <s v="04-Dec-2025"/>
    <x v="3"/>
    <s v="Week1-Dec-2025"/>
    <x v="3"/>
    <s v="27-Jan-2026"/>
    <s v="Tuesday"/>
    <s v="Monthly - Tuesday"/>
    <s v="Monthly - Tuesday"/>
    <s v="Month+1 Expiry"/>
    <n v="16349"/>
    <n v="2959.48"/>
    <n v="32.39"/>
  </r>
  <r>
    <s v="04-Dec-2025"/>
    <x v="3"/>
    <s v="Week1-Dec-2025"/>
    <x v="3"/>
    <s v="24-Feb-2026"/>
    <s v="Tuesday"/>
    <s v="Monthly - Tuesday"/>
    <s v="Monthly - Tuesday"/>
    <s v="Month+2 Expiry"/>
    <n v="1569"/>
    <n v="286.35000000000002"/>
    <n v="3.36"/>
  </r>
  <r>
    <s v="04-Dec-2025"/>
    <x v="3"/>
    <s v="Week1-Dec-2025"/>
    <x v="3"/>
    <s v="31-Mar-2026"/>
    <s v="Tuesday"/>
    <s v="Monthly - Tuesday"/>
    <s v="Monthly - Tuesday"/>
    <s v="Month+3 Expiry"/>
    <n v="1050"/>
    <n v="218.8"/>
    <n v="3.51"/>
  </r>
  <r>
    <s v="04-Dec-2025"/>
    <x v="3"/>
    <s v="Week1-Dec-2025"/>
    <x v="3"/>
    <s v="30-Jun-2026"/>
    <s v="Tuesday"/>
    <s v="Monthly - Tuesday"/>
    <s v="Monthly - Tuesday"/>
    <s v="Month+6 Expiry"/>
    <n v="0"/>
    <n v="0"/>
    <n v="0"/>
  </r>
  <r>
    <s v="04-Dec-2025"/>
    <x v="3"/>
    <s v="Week1-Dec-2025"/>
    <x v="3"/>
    <s v="29-Sep-2026"/>
    <s v="Tuesday"/>
    <s v="Monthly - Tuesday"/>
    <s v="Monthly - Tuesday"/>
    <s v="Month+9 Expiry"/>
    <n v="0"/>
    <n v="0"/>
    <n v="0"/>
  </r>
  <r>
    <s v="05-Dec-2025"/>
    <x v="4"/>
    <s v="Week1-Dec-2025"/>
    <x v="3"/>
    <s v="30-Dec-2025"/>
    <s v="Tuesday"/>
    <s v="Monthly - Tuesday"/>
    <s v="Monthly - Tuesday"/>
    <s v="Same Month Expiry"/>
    <n v="3058190"/>
    <n v="639698.37"/>
    <n v="4694.68"/>
  </r>
  <r>
    <s v="05-Dec-2025"/>
    <x v="4"/>
    <s v="Week1-Dec-2025"/>
    <x v="3"/>
    <s v="27-Jan-2026"/>
    <s v="Tuesday"/>
    <s v="Monthly - Tuesday"/>
    <s v="Monthly - Tuesday"/>
    <s v="Month+1 Expiry"/>
    <n v="53615"/>
    <n v="9595.19"/>
    <n v="93.23"/>
  </r>
  <r>
    <s v="05-Dec-2025"/>
    <x v="4"/>
    <s v="Week1-Dec-2025"/>
    <x v="3"/>
    <s v="24-Feb-2026"/>
    <s v="Tuesday"/>
    <s v="Monthly - Tuesday"/>
    <s v="Monthly - Tuesday"/>
    <s v="Month+2 Expiry"/>
    <n v="1466"/>
    <n v="260.98"/>
    <n v="2.68"/>
  </r>
  <r>
    <s v="05-Dec-2025"/>
    <x v="4"/>
    <s v="Week1-Dec-2025"/>
    <x v="3"/>
    <s v="31-Mar-2026"/>
    <s v="Tuesday"/>
    <s v="Monthly - Tuesday"/>
    <s v="Monthly - Tuesday"/>
    <s v="Month+3 Expiry"/>
    <n v="1893"/>
    <n v="391.46"/>
    <n v="4.92"/>
  </r>
  <r>
    <s v="05-Dec-2025"/>
    <x v="4"/>
    <s v="Week1-Dec-2025"/>
    <x v="3"/>
    <s v="30-Jun-2026"/>
    <s v="Tuesday"/>
    <s v="Monthly - Tuesday"/>
    <s v="Monthly - Tuesday"/>
    <s v="Month+6 Expiry"/>
    <n v="0"/>
    <n v="0"/>
    <n v="0"/>
  </r>
  <r>
    <s v="05-Dec-2025"/>
    <x v="4"/>
    <s v="Week1-Dec-2025"/>
    <x v="3"/>
    <s v="29-Sep-2026"/>
    <s v="Tuesday"/>
    <s v="Monthly - Tuesday"/>
    <s v="Monthly - Tuesday"/>
    <s v="Month+9 Expiry"/>
    <n v="0"/>
    <n v="0"/>
    <n v="0"/>
  </r>
  <r>
    <s v="08-Dec-2025"/>
    <x v="0"/>
    <s v="Week2-Dec-2025"/>
    <x v="3"/>
    <s v="30-Dec-2025"/>
    <s v="Tuesday"/>
    <s v="Monthly - Tuesday"/>
    <s v="Monthly - Tuesday"/>
    <s v="Same Month Expiry"/>
    <n v="2909142"/>
    <n v="606124.31000000006"/>
    <n v="4314.3100000000004"/>
  </r>
  <r>
    <s v="08-Dec-2025"/>
    <x v="0"/>
    <s v="Week2-Dec-2025"/>
    <x v="3"/>
    <s v="27-Jan-2026"/>
    <s v="Tuesday"/>
    <s v="Monthly - Tuesday"/>
    <s v="Monthly - Tuesday"/>
    <s v="Month+1 Expiry"/>
    <n v="58358"/>
    <n v="10587.31"/>
    <n v="134"/>
  </r>
  <r>
    <s v="08-Dec-2025"/>
    <x v="0"/>
    <s v="Week2-Dec-2025"/>
    <x v="3"/>
    <s v="24-Feb-2026"/>
    <s v="Tuesday"/>
    <s v="Monthly - Tuesday"/>
    <s v="Monthly - Tuesday"/>
    <s v="Month+2 Expiry"/>
    <n v="2710"/>
    <n v="488.41"/>
    <n v="5.25"/>
  </r>
  <r>
    <s v="08-Dec-2025"/>
    <x v="0"/>
    <s v="Week2-Dec-2025"/>
    <x v="3"/>
    <s v="31-Mar-2026"/>
    <s v="Tuesday"/>
    <s v="Monthly - Tuesday"/>
    <s v="Monthly - Tuesday"/>
    <s v="Month+3 Expiry"/>
    <n v="1565"/>
    <n v="328.73"/>
    <n v="5.64"/>
  </r>
  <r>
    <s v="08-Dec-2025"/>
    <x v="0"/>
    <s v="Week2-Dec-2025"/>
    <x v="3"/>
    <s v="30-Jun-2026"/>
    <s v="Tuesday"/>
    <s v="Monthly - Tuesday"/>
    <s v="Monthly - Tuesday"/>
    <s v="Month+6 Expiry"/>
    <n v="0"/>
    <n v="0"/>
    <n v="0"/>
  </r>
  <r>
    <s v="08-Dec-2025"/>
    <x v="0"/>
    <s v="Week2-Dec-2025"/>
    <x v="3"/>
    <s v="29-Sep-2026"/>
    <s v="Tuesday"/>
    <s v="Monthly - Tuesday"/>
    <s v="Monthly - Tuesday"/>
    <s v="Month+9 Expiry"/>
    <n v="0"/>
    <n v="0"/>
    <n v="0"/>
  </r>
  <r>
    <s v="09-Dec-2025"/>
    <x v="1"/>
    <s v="Week2-Dec-2025"/>
    <x v="3"/>
    <s v="30-Dec-2025"/>
    <s v="Tuesday"/>
    <s v="Monthly - Tuesday"/>
    <s v="Monthly - Tuesday"/>
    <s v="Same Month Expiry"/>
    <n v="2848895"/>
    <n v="591896.15"/>
    <n v="4107.04"/>
  </r>
  <r>
    <s v="09-Dec-2025"/>
    <x v="1"/>
    <s v="Week2-Dec-2025"/>
    <x v="3"/>
    <s v="27-Jan-2026"/>
    <s v="Tuesday"/>
    <s v="Monthly - Tuesday"/>
    <s v="Monthly - Tuesday"/>
    <s v="Month+1 Expiry"/>
    <n v="69626"/>
    <n v="12586.03"/>
    <n v="170.98"/>
  </r>
  <r>
    <s v="09-Dec-2025"/>
    <x v="1"/>
    <s v="Week2-Dec-2025"/>
    <x v="3"/>
    <s v="24-Feb-2026"/>
    <s v="Tuesday"/>
    <s v="Monthly - Tuesday"/>
    <s v="Monthly - Tuesday"/>
    <s v="Month+2 Expiry"/>
    <n v="2255"/>
    <n v="399.59"/>
    <n v="4.18"/>
  </r>
  <r>
    <s v="09-Dec-2025"/>
    <x v="1"/>
    <s v="Week2-Dec-2025"/>
    <x v="3"/>
    <s v="31-Mar-2026"/>
    <s v="Tuesday"/>
    <s v="Monthly - Tuesday"/>
    <s v="Monthly - Tuesday"/>
    <s v="Month+3 Expiry"/>
    <n v="1983"/>
    <n v="415.55"/>
    <n v="8.68"/>
  </r>
  <r>
    <s v="09-Dec-2025"/>
    <x v="1"/>
    <s v="Week2-Dec-2025"/>
    <x v="3"/>
    <s v="30-Jun-2026"/>
    <s v="Tuesday"/>
    <s v="Monthly - Tuesday"/>
    <s v="Monthly - Tuesday"/>
    <s v="Month+6 Expiry"/>
    <n v="0"/>
    <n v="0"/>
    <n v="0"/>
  </r>
  <r>
    <s v="09-Dec-2025"/>
    <x v="1"/>
    <s v="Week2-Dec-2025"/>
    <x v="3"/>
    <s v="29-Sep-2026"/>
    <s v="Tuesday"/>
    <s v="Monthly - Tuesday"/>
    <s v="Monthly - Tuesday"/>
    <s v="Month+9 Expiry"/>
    <n v="0"/>
    <n v="0"/>
    <n v="0"/>
  </r>
  <r>
    <s v="10-Dec-2025"/>
    <x v="2"/>
    <s v="Week2-Dec-2025"/>
    <x v="3"/>
    <s v="30-Dec-2025"/>
    <s v="Tuesday"/>
    <s v="Monthly - Tuesday"/>
    <s v="Monthly - Tuesday"/>
    <s v="Same Month Expiry"/>
    <n v="2906344"/>
    <n v="603482.37"/>
    <n v="4130.8599999999997"/>
  </r>
  <r>
    <s v="10-Dec-2025"/>
    <x v="2"/>
    <s v="Week2-Dec-2025"/>
    <x v="3"/>
    <s v="27-Jan-2026"/>
    <s v="Tuesday"/>
    <s v="Monthly - Tuesday"/>
    <s v="Monthly - Tuesday"/>
    <s v="Month+1 Expiry"/>
    <n v="57094"/>
    <n v="10308.58"/>
    <n v="119.03"/>
  </r>
  <r>
    <s v="10-Dec-2025"/>
    <x v="2"/>
    <s v="Week2-Dec-2025"/>
    <x v="3"/>
    <s v="24-Feb-2026"/>
    <s v="Tuesday"/>
    <s v="Monthly - Tuesday"/>
    <s v="Monthly - Tuesday"/>
    <s v="Month+2 Expiry"/>
    <n v="3361"/>
    <n v="602.74"/>
    <n v="7.38"/>
  </r>
  <r>
    <s v="10-Dec-2025"/>
    <x v="2"/>
    <s v="Week2-Dec-2025"/>
    <x v="3"/>
    <s v="31-Mar-2026"/>
    <s v="Tuesday"/>
    <s v="Monthly - Tuesday"/>
    <s v="Monthly - Tuesday"/>
    <s v="Month+3 Expiry"/>
    <n v="2156"/>
    <n v="442.19"/>
    <n v="6.12"/>
  </r>
  <r>
    <s v="10-Dec-2025"/>
    <x v="2"/>
    <s v="Week2-Dec-2025"/>
    <x v="3"/>
    <s v="30-Jun-2026"/>
    <s v="Tuesday"/>
    <s v="Monthly - Tuesday"/>
    <s v="Monthly - Tuesday"/>
    <s v="Month+6 Expiry"/>
    <n v="0"/>
    <n v="0"/>
    <n v="0"/>
  </r>
  <r>
    <s v="10-Dec-2025"/>
    <x v="2"/>
    <s v="Week2-Dec-2025"/>
    <x v="3"/>
    <s v="29-Sep-2026"/>
    <s v="Tuesday"/>
    <s v="Monthly - Tuesday"/>
    <s v="Monthly - Tuesday"/>
    <s v="Month+9 Expiry"/>
    <n v="0"/>
    <n v="0"/>
    <n v="0"/>
  </r>
  <r>
    <s v="11-Dec-2025"/>
    <x v="3"/>
    <s v="Week2-Dec-2025"/>
    <x v="3"/>
    <s v="30-Dec-2025"/>
    <s v="Tuesday"/>
    <s v="Monthly - Tuesday"/>
    <s v="Monthly - Tuesday"/>
    <s v="Same Month Expiry"/>
    <n v="3034560"/>
    <n v="629419.81000000006"/>
    <n v="4113.79"/>
  </r>
  <r>
    <s v="11-Dec-2025"/>
    <x v="3"/>
    <s v="Week2-Dec-2025"/>
    <x v="3"/>
    <s v="27-Jan-2026"/>
    <s v="Tuesday"/>
    <s v="Monthly - Tuesday"/>
    <s v="Monthly - Tuesday"/>
    <s v="Month+1 Expiry"/>
    <n v="72786"/>
    <n v="13158.61"/>
    <n v="163.96"/>
  </r>
  <r>
    <s v="11-Dec-2025"/>
    <x v="3"/>
    <s v="Week2-Dec-2025"/>
    <x v="3"/>
    <s v="24-Feb-2026"/>
    <s v="Tuesday"/>
    <s v="Monthly - Tuesday"/>
    <s v="Monthly - Tuesday"/>
    <s v="Month+2 Expiry"/>
    <n v="3137"/>
    <n v="564.98"/>
    <n v="5.99"/>
  </r>
  <r>
    <s v="11-Dec-2025"/>
    <x v="3"/>
    <s v="Week2-Dec-2025"/>
    <x v="3"/>
    <s v="31-Mar-2026"/>
    <s v="Tuesday"/>
    <s v="Monthly - Tuesday"/>
    <s v="Monthly - Tuesday"/>
    <s v="Month+3 Expiry"/>
    <n v="1024"/>
    <n v="214"/>
    <n v="3.53"/>
  </r>
  <r>
    <s v="11-Dec-2025"/>
    <x v="3"/>
    <s v="Week2-Dec-2025"/>
    <x v="3"/>
    <s v="30-Jun-2026"/>
    <s v="Tuesday"/>
    <s v="Monthly - Tuesday"/>
    <s v="Monthly - Tuesday"/>
    <s v="Month+6 Expiry"/>
    <n v="0"/>
    <n v="0"/>
    <n v="0"/>
  </r>
  <r>
    <s v="11-Dec-2025"/>
    <x v="3"/>
    <s v="Week2-Dec-2025"/>
    <x v="3"/>
    <s v="29-Sep-2026"/>
    <s v="Tuesday"/>
    <s v="Monthly - Tuesday"/>
    <s v="Monthly - Tuesday"/>
    <s v="Month+9 Expiry"/>
    <n v="0"/>
    <n v="0"/>
    <n v="0"/>
  </r>
  <r>
    <s v="12-Dec-2025"/>
    <x v="4"/>
    <s v="Week2-Dec-2025"/>
    <x v="3"/>
    <s v="30-Dec-2025"/>
    <s v="Tuesday"/>
    <s v="Monthly - Tuesday"/>
    <s v="Monthly - Tuesday"/>
    <s v="Same Month Expiry"/>
    <n v="2840229"/>
    <n v="589801.56000000006"/>
    <n v="3674.17"/>
  </r>
  <r>
    <s v="12-Dec-2025"/>
    <x v="4"/>
    <s v="Week2-Dec-2025"/>
    <x v="3"/>
    <s v="27-Jan-2026"/>
    <s v="Tuesday"/>
    <s v="Monthly - Tuesday"/>
    <s v="Monthly - Tuesday"/>
    <s v="Month+1 Expiry"/>
    <n v="56415"/>
    <n v="10185.469999999999"/>
    <n v="111.26"/>
  </r>
  <r>
    <s v="12-Dec-2025"/>
    <x v="4"/>
    <s v="Week2-Dec-2025"/>
    <x v="3"/>
    <s v="24-Feb-2026"/>
    <s v="Tuesday"/>
    <s v="Monthly - Tuesday"/>
    <s v="Monthly - Tuesday"/>
    <s v="Month+2 Expiry"/>
    <n v="2244"/>
    <n v="402.87"/>
    <n v="4.1399999999999997"/>
  </r>
  <r>
    <s v="12-Dec-2025"/>
    <x v="4"/>
    <s v="Week2-Dec-2025"/>
    <x v="3"/>
    <s v="31-Mar-2026"/>
    <s v="Tuesday"/>
    <s v="Monthly - Tuesday"/>
    <s v="Monthly - Tuesday"/>
    <s v="Month+3 Expiry"/>
    <n v="557"/>
    <n v="116.05"/>
    <n v="1.94"/>
  </r>
  <r>
    <s v="12-Dec-2025"/>
    <x v="4"/>
    <s v="Week2-Dec-2025"/>
    <x v="3"/>
    <s v="30-Jun-2026"/>
    <s v="Tuesday"/>
    <s v="Monthly - Tuesday"/>
    <s v="Monthly - Tuesday"/>
    <s v="Month+6 Expiry"/>
    <n v="0"/>
    <n v="0"/>
    <n v="0"/>
  </r>
  <r>
    <s v="12-Dec-2025"/>
    <x v="4"/>
    <s v="Week2-Dec-2025"/>
    <x v="3"/>
    <s v="29-Sep-2026"/>
    <s v="Tuesday"/>
    <s v="Monthly - Tuesday"/>
    <s v="Monthly - Tuesday"/>
    <s v="Month+9 Expiry"/>
    <n v="0"/>
    <n v="0"/>
    <n v="0"/>
  </r>
  <r>
    <s v="15-Dec-2025"/>
    <x v="0"/>
    <s v="Week3-Dec-2025"/>
    <x v="3"/>
    <s v="30-Dec-2025"/>
    <s v="Tuesday"/>
    <s v="Monthly - Tuesday"/>
    <s v="Monthly - Tuesday"/>
    <s v="Same Month Expiry"/>
    <n v="2655527"/>
    <n v="552005.61"/>
    <n v="3184.78"/>
  </r>
  <r>
    <s v="15-Dec-2025"/>
    <x v="0"/>
    <s v="Week3-Dec-2025"/>
    <x v="3"/>
    <s v="27-Jan-2026"/>
    <s v="Tuesday"/>
    <s v="Monthly - Tuesday"/>
    <s v="Monthly - Tuesday"/>
    <s v="Month+1 Expiry"/>
    <n v="59568"/>
    <n v="10761.15"/>
    <n v="111.72"/>
  </r>
  <r>
    <s v="15-Dec-2025"/>
    <x v="0"/>
    <s v="Week3-Dec-2025"/>
    <x v="3"/>
    <s v="24-Feb-2026"/>
    <s v="Tuesday"/>
    <s v="Monthly - Tuesday"/>
    <s v="Monthly - Tuesday"/>
    <s v="Month+2 Expiry"/>
    <n v="2465"/>
    <n v="443.54"/>
    <n v="4.6900000000000004"/>
  </r>
  <r>
    <s v="15-Dec-2025"/>
    <x v="0"/>
    <s v="Week3-Dec-2025"/>
    <x v="3"/>
    <s v="31-Mar-2026"/>
    <s v="Tuesday"/>
    <s v="Monthly - Tuesday"/>
    <s v="Monthly - Tuesday"/>
    <s v="Month+3 Expiry"/>
    <n v="634"/>
    <n v="132.26"/>
    <n v="2.11"/>
  </r>
  <r>
    <s v="15-Dec-2025"/>
    <x v="0"/>
    <s v="Week3-Dec-2025"/>
    <x v="3"/>
    <s v="30-Jun-2026"/>
    <s v="Tuesday"/>
    <s v="Monthly - Tuesday"/>
    <s v="Monthly - Tuesday"/>
    <s v="Month+6 Expiry"/>
    <n v="0"/>
    <n v="0"/>
    <n v="0"/>
  </r>
  <r>
    <s v="15-Dec-2025"/>
    <x v="0"/>
    <s v="Week3-Dec-2025"/>
    <x v="3"/>
    <s v="29-Sep-2026"/>
    <s v="Tuesday"/>
    <s v="Monthly - Tuesday"/>
    <s v="Monthly - Tuesday"/>
    <s v="Month+9 Expiry"/>
    <n v="0"/>
    <n v="0"/>
    <n v="0"/>
  </r>
  <r>
    <s v="16-Dec-2025"/>
    <x v="1"/>
    <s v="Week3-Dec-2025"/>
    <x v="3"/>
    <s v="30-Dec-2025"/>
    <s v="Tuesday"/>
    <s v="Monthly - Tuesday"/>
    <s v="Monthly - Tuesday"/>
    <s v="Same Month Expiry"/>
    <n v="2787074"/>
    <n v="578117.47"/>
    <n v="3261.53"/>
  </r>
  <r>
    <s v="16-Dec-2025"/>
    <x v="1"/>
    <s v="Week3-Dec-2025"/>
    <x v="3"/>
    <s v="27-Jan-2026"/>
    <s v="Tuesday"/>
    <s v="Monthly - Tuesday"/>
    <s v="Monthly - Tuesday"/>
    <s v="Month+1 Expiry"/>
    <n v="57880"/>
    <n v="10437.18"/>
    <n v="111.18"/>
  </r>
  <r>
    <s v="16-Dec-2025"/>
    <x v="1"/>
    <s v="Week3-Dec-2025"/>
    <x v="3"/>
    <s v="24-Feb-2026"/>
    <s v="Tuesday"/>
    <s v="Monthly - Tuesday"/>
    <s v="Monthly - Tuesday"/>
    <s v="Month+2 Expiry"/>
    <n v="3458"/>
    <n v="624.67999999999995"/>
    <n v="6.63"/>
  </r>
  <r>
    <s v="16-Dec-2025"/>
    <x v="1"/>
    <s v="Week3-Dec-2025"/>
    <x v="3"/>
    <s v="31-Mar-2026"/>
    <s v="Tuesday"/>
    <s v="Monthly - Tuesday"/>
    <s v="Monthly - Tuesday"/>
    <s v="Month+3 Expiry"/>
    <n v="1009"/>
    <n v="207.33"/>
    <n v="2.5499999999999998"/>
  </r>
  <r>
    <s v="16-Dec-2025"/>
    <x v="1"/>
    <s v="Week3-Dec-2025"/>
    <x v="3"/>
    <s v="30-Jun-2026"/>
    <s v="Tuesday"/>
    <s v="Monthly - Tuesday"/>
    <s v="Monthly - Tuesday"/>
    <s v="Month+6 Expiry"/>
    <n v="0"/>
    <n v="0"/>
    <n v="0"/>
  </r>
  <r>
    <s v="16-Dec-2025"/>
    <x v="1"/>
    <s v="Week3-Dec-2025"/>
    <x v="3"/>
    <s v="29-Sep-2026"/>
    <s v="Tuesday"/>
    <s v="Monthly - Tuesday"/>
    <s v="Monthly - Tuesday"/>
    <s v="Month+9 Expiry"/>
    <n v="0"/>
    <n v="0"/>
    <n v="0"/>
  </r>
  <r>
    <s v="17-Dec-2025"/>
    <x v="2"/>
    <s v="Week3-Dec-2025"/>
    <x v="3"/>
    <s v="30-Dec-2025"/>
    <s v="Tuesday"/>
    <s v="Monthly - Tuesday"/>
    <s v="Monthly - Tuesday"/>
    <s v="Same Month Expiry"/>
    <n v="3053525"/>
    <n v="630829.53"/>
    <n v="3341.14"/>
  </r>
  <r>
    <s v="17-Dec-2025"/>
    <x v="2"/>
    <s v="Week3-Dec-2025"/>
    <x v="3"/>
    <s v="27-Jan-2026"/>
    <s v="Tuesday"/>
    <s v="Monthly - Tuesday"/>
    <s v="Monthly - Tuesday"/>
    <s v="Month+1 Expiry"/>
    <n v="80732"/>
    <n v="14530.79"/>
    <n v="161.57"/>
  </r>
  <r>
    <s v="17-Dec-2025"/>
    <x v="2"/>
    <s v="Week3-Dec-2025"/>
    <x v="3"/>
    <s v="24-Feb-2026"/>
    <s v="Tuesday"/>
    <s v="Monthly - Tuesday"/>
    <s v="Monthly - Tuesday"/>
    <s v="Month+2 Expiry"/>
    <n v="3475"/>
    <n v="629.03"/>
    <n v="7.54"/>
  </r>
  <r>
    <s v="17-Dec-2025"/>
    <x v="2"/>
    <s v="Week3-Dec-2025"/>
    <x v="3"/>
    <s v="31-Mar-2026"/>
    <s v="Tuesday"/>
    <s v="Monthly - Tuesday"/>
    <s v="Monthly - Tuesday"/>
    <s v="Month+3 Expiry"/>
    <n v="678"/>
    <n v="142.88999999999999"/>
    <n v="2.79"/>
  </r>
  <r>
    <s v="17-Dec-2025"/>
    <x v="2"/>
    <s v="Week3-Dec-2025"/>
    <x v="3"/>
    <s v="30-Jun-2026"/>
    <s v="Tuesday"/>
    <s v="Monthly - Tuesday"/>
    <s v="Monthly - Tuesday"/>
    <s v="Month+6 Expiry"/>
    <n v="0"/>
    <n v="0"/>
    <n v="0"/>
  </r>
  <r>
    <s v="17-Dec-2025"/>
    <x v="2"/>
    <s v="Week3-Dec-2025"/>
    <x v="3"/>
    <s v="29-Sep-2026"/>
    <s v="Tuesday"/>
    <s v="Monthly - Tuesday"/>
    <s v="Monthly - Tuesday"/>
    <s v="Month+9 Expiry"/>
    <n v="0"/>
    <n v="0"/>
    <n v="0"/>
  </r>
  <r>
    <s v="18-Dec-2025"/>
    <x v="3"/>
    <s v="Week3-Dec-2025"/>
    <x v="3"/>
    <s v="30-Dec-2025"/>
    <s v="Tuesday"/>
    <s v="Monthly - Tuesday"/>
    <s v="Monthly - Tuesday"/>
    <s v="Same Month Expiry"/>
    <n v="3644058"/>
    <n v="752425.13"/>
    <n v="3731.43"/>
  </r>
  <r>
    <s v="18-Dec-2025"/>
    <x v="3"/>
    <s v="Week3-Dec-2025"/>
    <x v="3"/>
    <s v="27-Jan-2026"/>
    <s v="Tuesday"/>
    <s v="Monthly - Tuesday"/>
    <s v="Monthly - Tuesday"/>
    <s v="Month+1 Expiry"/>
    <n v="130966"/>
    <n v="23456.82"/>
    <n v="239.68"/>
  </r>
  <r>
    <s v="18-Dec-2025"/>
    <x v="3"/>
    <s v="Week3-Dec-2025"/>
    <x v="3"/>
    <s v="24-Feb-2026"/>
    <s v="Tuesday"/>
    <s v="Monthly - Tuesday"/>
    <s v="Monthly - Tuesday"/>
    <s v="Month+2 Expiry"/>
    <n v="3173"/>
    <n v="569.35"/>
    <n v="6.36"/>
  </r>
  <r>
    <s v="18-Dec-2025"/>
    <x v="3"/>
    <s v="Week3-Dec-2025"/>
    <x v="3"/>
    <s v="31-Mar-2026"/>
    <s v="Tuesday"/>
    <s v="Monthly - Tuesday"/>
    <s v="Monthly - Tuesday"/>
    <s v="Month+3 Expiry"/>
    <n v="779"/>
    <n v="162.66"/>
    <n v="2.57"/>
  </r>
  <r>
    <s v="18-Dec-2025"/>
    <x v="3"/>
    <s v="Week3-Dec-2025"/>
    <x v="3"/>
    <s v="30-Jun-2026"/>
    <s v="Tuesday"/>
    <s v="Monthly - Tuesday"/>
    <s v="Monthly - Tuesday"/>
    <s v="Month+6 Expiry"/>
    <n v="0"/>
    <n v="0"/>
    <n v="0"/>
  </r>
  <r>
    <s v="18-Dec-2025"/>
    <x v="3"/>
    <s v="Week3-Dec-2025"/>
    <x v="3"/>
    <s v="29-Sep-2026"/>
    <s v="Tuesday"/>
    <s v="Monthly - Tuesday"/>
    <s v="Monthly - Tuesday"/>
    <s v="Month+9 Expiry"/>
    <n v="0"/>
    <n v="0"/>
    <n v="0"/>
  </r>
  <r>
    <s v="19-Dec-2025"/>
    <x v="4"/>
    <s v="Week3-Dec-2025"/>
    <x v="3"/>
    <s v="30-Dec-2025"/>
    <s v="Tuesday"/>
    <s v="Monthly - Tuesday"/>
    <s v="Monthly - Tuesday"/>
    <s v="Same Month Expiry"/>
    <n v="3605550"/>
    <n v="742757.34"/>
    <n v="3472.88"/>
  </r>
  <r>
    <s v="19-Dec-2025"/>
    <x v="4"/>
    <s v="Week3-Dec-2025"/>
    <x v="3"/>
    <s v="27-Jan-2026"/>
    <s v="Tuesday"/>
    <s v="Monthly - Tuesday"/>
    <s v="Monthly - Tuesday"/>
    <s v="Month+1 Expiry"/>
    <n v="102550"/>
    <n v="18385.7"/>
    <n v="183.72"/>
  </r>
  <r>
    <s v="19-Dec-2025"/>
    <x v="4"/>
    <s v="Week3-Dec-2025"/>
    <x v="3"/>
    <s v="24-Feb-2026"/>
    <s v="Tuesday"/>
    <s v="Monthly - Tuesday"/>
    <s v="Monthly - Tuesday"/>
    <s v="Month+2 Expiry"/>
    <n v="2940"/>
    <n v="529.24"/>
    <n v="5.61"/>
  </r>
  <r>
    <s v="19-Dec-2025"/>
    <x v="4"/>
    <s v="Week3-Dec-2025"/>
    <x v="3"/>
    <s v="31-Mar-2026"/>
    <s v="Tuesday"/>
    <s v="Monthly - Tuesday"/>
    <s v="Monthly - Tuesday"/>
    <s v="Month+3 Expiry"/>
    <n v="614"/>
    <n v="127.53"/>
    <n v="2.0299999999999998"/>
  </r>
  <r>
    <s v="19-Dec-2025"/>
    <x v="4"/>
    <s v="Week3-Dec-2025"/>
    <x v="3"/>
    <s v="30-Jun-2026"/>
    <s v="Tuesday"/>
    <s v="Monthly - Tuesday"/>
    <s v="Monthly - Tuesday"/>
    <s v="Month+6 Expiry"/>
    <n v="0"/>
    <n v="0"/>
    <n v="0"/>
  </r>
  <r>
    <s v="19-Dec-2025"/>
    <x v="4"/>
    <s v="Week3-Dec-2025"/>
    <x v="3"/>
    <s v="29-Sep-2026"/>
    <s v="Tuesday"/>
    <s v="Monthly - Tuesday"/>
    <s v="Monthly - Tuesday"/>
    <s v="Month+9 Expiry"/>
    <n v="0"/>
    <n v="0"/>
    <n v="0"/>
  </r>
  <r>
    <s v="22-Dec-2025"/>
    <x v="0"/>
    <s v="Week4-Dec-2025"/>
    <x v="3"/>
    <s v="30-Dec-2025"/>
    <s v="Tuesday"/>
    <s v="Monthly - Tuesday"/>
    <s v="Monthly - Tuesday"/>
    <s v="Same Month Expiry"/>
    <n v="3028061"/>
    <n v="623558.17000000004"/>
    <n v="2596.56"/>
  </r>
  <r>
    <s v="22-Dec-2025"/>
    <x v="0"/>
    <s v="Week4-Dec-2025"/>
    <x v="3"/>
    <s v="27-Jan-2026"/>
    <s v="Tuesday"/>
    <s v="Monthly - Tuesday"/>
    <s v="Monthly - Tuesday"/>
    <s v="Month+1 Expiry"/>
    <n v="114264"/>
    <n v="20469.45"/>
    <n v="186.7"/>
  </r>
  <r>
    <s v="22-Dec-2025"/>
    <x v="0"/>
    <s v="Week4-Dec-2025"/>
    <x v="3"/>
    <s v="24-Feb-2026"/>
    <s v="Tuesday"/>
    <s v="Monthly - Tuesday"/>
    <s v="Monthly - Tuesday"/>
    <s v="Month+2 Expiry"/>
    <n v="4171"/>
    <n v="743.09"/>
    <n v="6.13"/>
  </r>
  <r>
    <s v="22-Dec-2025"/>
    <x v="0"/>
    <s v="Week4-Dec-2025"/>
    <x v="3"/>
    <s v="31-Mar-2026"/>
    <s v="Tuesday"/>
    <s v="Monthly - Tuesday"/>
    <s v="Monthly - Tuesday"/>
    <s v="Month+3 Expiry"/>
    <n v="769"/>
    <n v="159.35"/>
    <n v="2.83"/>
  </r>
  <r>
    <s v="22-Dec-2025"/>
    <x v="0"/>
    <s v="Week4-Dec-2025"/>
    <x v="3"/>
    <s v="30-Jun-2026"/>
    <s v="Tuesday"/>
    <s v="Monthly - Tuesday"/>
    <s v="Monthly - Tuesday"/>
    <s v="Month+6 Expiry"/>
    <n v="0"/>
    <n v="0"/>
    <n v="0"/>
  </r>
  <r>
    <s v="22-Dec-2025"/>
    <x v="0"/>
    <s v="Week4-Dec-2025"/>
    <x v="3"/>
    <s v="29-Sep-2026"/>
    <s v="Tuesday"/>
    <s v="Monthly - Tuesday"/>
    <s v="Monthly - Tuesday"/>
    <s v="Month+9 Expiry"/>
    <n v="0"/>
    <n v="0"/>
    <n v="0"/>
  </r>
  <r>
    <s v="23-Dec-2025"/>
    <x v="1"/>
    <s v="Week4-Dec-2025"/>
    <x v="3"/>
    <s v="30-Dec-2025"/>
    <s v="Tuesday"/>
    <s v="Monthly - Tuesday"/>
    <s v="Monthly - Tuesday"/>
    <s v="Same Month Expiry"/>
    <n v="3342654"/>
    <n v="689010.32"/>
    <n v="2322.7800000000002"/>
  </r>
  <r>
    <s v="23-Dec-2025"/>
    <x v="1"/>
    <s v="Week4-Dec-2025"/>
    <x v="3"/>
    <s v="27-Jan-2026"/>
    <s v="Tuesday"/>
    <s v="Monthly - Tuesday"/>
    <s v="Monthly - Tuesday"/>
    <s v="Month+1 Expiry"/>
    <n v="103825"/>
    <n v="18611.830000000002"/>
    <n v="165.78"/>
  </r>
  <r>
    <s v="23-Dec-2025"/>
    <x v="1"/>
    <s v="Week4-Dec-2025"/>
    <x v="3"/>
    <s v="24-Feb-2026"/>
    <s v="Tuesday"/>
    <s v="Monthly - Tuesday"/>
    <s v="Monthly - Tuesday"/>
    <s v="Month+2 Expiry"/>
    <n v="3727"/>
    <n v="664.14"/>
    <n v="6.47"/>
  </r>
  <r>
    <s v="23-Dec-2025"/>
    <x v="1"/>
    <s v="Week4-Dec-2025"/>
    <x v="3"/>
    <s v="31-Mar-2026"/>
    <s v="Tuesday"/>
    <s v="Monthly - Tuesday"/>
    <s v="Monthly - Tuesday"/>
    <s v="Month+3 Expiry"/>
    <n v="1528"/>
    <n v="316.06"/>
    <n v="4.8600000000000003"/>
  </r>
  <r>
    <s v="23-Dec-2025"/>
    <x v="1"/>
    <s v="Week4-Dec-2025"/>
    <x v="3"/>
    <s v="30-Jun-2026"/>
    <s v="Tuesday"/>
    <s v="Monthly - Tuesday"/>
    <s v="Monthly - Tuesday"/>
    <s v="Month+6 Expiry"/>
    <n v="0"/>
    <n v="0"/>
    <n v="0"/>
  </r>
  <r>
    <s v="23-Dec-2025"/>
    <x v="1"/>
    <s v="Week4-Dec-2025"/>
    <x v="3"/>
    <s v="29-Sep-2026"/>
    <s v="Tuesday"/>
    <s v="Monthly - Tuesday"/>
    <s v="Monthly - Tuesday"/>
    <s v="Month+9 Expiry"/>
    <n v="0"/>
    <n v="0"/>
    <n v="0"/>
  </r>
  <r>
    <s v="24-Dec-2025"/>
    <x v="2"/>
    <s v="Week4-Dec-2025"/>
    <x v="3"/>
    <s v="30-Dec-2025"/>
    <s v="Tuesday"/>
    <s v="Monthly - Tuesday"/>
    <s v="Monthly - Tuesday"/>
    <s v="Same Month Expiry"/>
    <n v="6051130"/>
    <n v="1246017.71"/>
    <n v="3237.45"/>
  </r>
  <r>
    <s v="24-Dec-2025"/>
    <x v="2"/>
    <s v="Week4-Dec-2025"/>
    <x v="3"/>
    <s v="27-Jan-2026"/>
    <s v="Tuesday"/>
    <s v="Monthly - Tuesday"/>
    <s v="Monthly - Tuesday"/>
    <s v="Month+1 Expiry"/>
    <n v="183087"/>
    <n v="32810.660000000003"/>
    <n v="298.02"/>
  </r>
  <r>
    <s v="24-Dec-2025"/>
    <x v="2"/>
    <s v="Week4-Dec-2025"/>
    <x v="3"/>
    <s v="24-Feb-2026"/>
    <s v="Tuesday"/>
    <s v="Monthly - Tuesday"/>
    <s v="Monthly - Tuesday"/>
    <s v="Month+2 Expiry"/>
    <n v="6487"/>
    <n v="1169.71"/>
    <n v="12.01"/>
  </r>
  <r>
    <s v="24-Dec-2025"/>
    <x v="2"/>
    <s v="Week4-Dec-2025"/>
    <x v="3"/>
    <s v="31-Mar-2026"/>
    <s v="Tuesday"/>
    <s v="Monthly - Tuesday"/>
    <s v="Monthly - Tuesday"/>
    <s v="Month+3 Expiry"/>
    <n v="1812"/>
    <n v="384.54"/>
    <n v="7.25"/>
  </r>
  <r>
    <s v="24-Dec-2025"/>
    <x v="2"/>
    <s v="Week4-Dec-2025"/>
    <x v="3"/>
    <s v="30-Jun-2026"/>
    <s v="Tuesday"/>
    <s v="Monthly - Tuesday"/>
    <s v="Monthly - Tuesday"/>
    <s v="Month+6 Expiry"/>
    <n v="0"/>
    <n v="0"/>
    <n v="0"/>
  </r>
  <r>
    <s v="24-Dec-2025"/>
    <x v="2"/>
    <s v="Week4-Dec-2025"/>
    <x v="3"/>
    <s v="29-Sep-2026"/>
    <s v="Tuesday"/>
    <s v="Monthly - Tuesday"/>
    <s v="Monthly - Tuesday"/>
    <s v="Month+9 Expiry"/>
    <n v="0"/>
    <n v="0"/>
    <n v="0"/>
  </r>
  <r>
    <s v="26-Dec-2025"/>
    <x v="4"/>
    <s v="Week4-Dec-2025"/>
    <x v="3"/>
    <s v="30-Dec-2025"/>
    <s v="Tuesday"/>
    <s v="Monthly - Tuesday"/>
    <s v="Monthly - Tuesday"/>
    <s v="Same Month Expiry"/>
    <n v="9201123"/>
    <n v="1881581.61"/>
    <n v="4026.61"/>
  </r>
  <r>
    <s v="26-Dec-2025"/>
    <x v="4"/>
    <s v="Week4-Dec-2025"/>
    <x v="3"/>
    <s v="27-Jan-2026"/>
    <s v="Tuesday"/>
    <s v="Monthly - Tuesday"/>
    <s v="Monthly - Tuesday"/>
    <s v="Month+1 Expiry"/>
    <n v="260010"/>
    <n v="46546.61"/>
    <n v="447.32"/>
  </r>
  <r>
    <s v="26-Dec-2025"/>
    <x v="4"/>
    <s v="Week4-Dec-2025"/>
    <x v="3"/>
    <s v="24-Feb-2026"/>
    <s v="Tuesday"/>
    <s v="Monthly - Tuesday"/>
    <s v="Monthly - Tuesday"/>
    <s v="Month+2 Expiry"/>
    <n v="10395"/>
    <n v="1860.06"/>
    <n v="17.98"/>
  </r>
  <r>
    <s v="26-Dec-2025"/>
    <x v="4"/>
    <s v="Week4-Dec-2025"/>
    <x v="3"/>
    <s v="31-Mar-2026"/>
    <s v="Tuesday"/>
    <s v="Monthly - Tuesday"/>
    <s v="Monthly - Tuesday"/>
    <s v="Month+3 Expiry"/>
    <n v="1782"/>
    <n v="370.52"/>
    <n v="5.94"/>
  </r>
  <r>
    <s v="26-Dec-2025"/>
    <x v="4"/>
    <s v="Week4-Dec-2025"/>
    <x v="3"/>
    <s v="30-Jun-2026"/>
    <s v="Tuesday"/>
    <s v="Monthly - Tuesday"/>
    <s v="Monthly - Tuesday"/>
    <s v="Month+6 Expiry"/>
    <n v="0"/>
    <n v="0"/>
    <n v="0"/>
  </r>
  <r>
    <s v="26-Dec-2025"/>
    <x v="4"/>
    <s v="Week4-Dec-2025"/>
    <x v="3"/>
    <s v="29-Sep-2026"/>
    <s v="Tuesday"/>
    <s v="Monthly - Tuesday"/>
    <s v="Monthly - Tuesday"/>
    <s v="Month+9 Expiry"/>
    <n v="0"/>
    <n v="0"/>
    <n v="0"/>
  </r>
  <r>
    <s v="29-Dec-2025"/>
    <x v="0"/>
    <s v="Week5-Dec-2025"/>
    <x v="3"/>
    <s v="30-Dec-2025"/>
    <s v="Tuesday"/>
    <s v="Monthly - Tuesday"/>
    <s v="Monthly - Tuesday"/>
    <s v="Same Month Expiry"/>
    <n v="17345726"/>
    <n v="3536925.64"/>
    <n v="5652.87"/>
  </r>
  <r>
    <s v="29-Dec-2025"/>
    <x v="0"/>
    <s v="Week5-Dec-2025"/>
    <x v="3"/>
    <s v="27-Jan-2026"/>
    <s v="Tuesday"/>
    <s v="Monthly - Tuesday"/>
    <s v="Monthly - Tuesday"/>
    <s v="Month+1 Expiry"/>
    <n v="363743"/>
    <n v="65042.81"/>
    <n v="648.91999999999996"/>
  </r>
  <r>
    <s v="29-Dec-2025"/>
    <x v="0"/>
    <s v="Week5-Dec-2025"/>
    <x v="3"/>
    <s v="24-Feb-2026"/>
    <s v="Tuesday"/>
    <s v="Monthly - Tuesday"/>
    <s v="Monthly - Tuesday"/>
    <s v="Month+2 Expiry"/>
    <n v="15249"/>
    <n v="2709.15"/>
    <n v="23.39"/>
  </r>
  <r>
    <s v="29-Dec-2025"/>
    <x v="0"/>
    <s v="Week5-Dec-2025"/>
    <x v="3"/>
    <s v="30-Mar-2026"/>
    <s v="Monday"/>
    <s v="Monthly - Monday"/>
    <s v="Monthly - Monday"/>
    <s v="Month+3 Expiry"/>
    <n v="4448"/>
    <n v="916.15"/>
    <n v="14.9"/>
  </r>
  <r>
    <s v="29-Dec-2025"/>
    <x v="0"/>
    <s v="Week5-Dec-2025"/>
    <x v="3"/>
    <s v="30-Jun-2026"/>
    <s v="Tuesday"/>
    <s v="Monthly - Tuesday"/>
    <s v="Monthly - Tuesday"/>
    <s v="Month+6 Expiry"/>
    <n v="0"/>
    <n v="0"/>
    <n v="0"/>
  </r>
  <r>
    <s v="29-Dec-2025"/>
    <x v="0"/>
    <s v="Week5-Dec-2025"/>
    <x v="3"/>
    <s v="29-Sep-2026"/>
    <s v="Tuesday"/>
    <s v="Monthly - Tuesday"/>
    <s v="Monthly - Tuesday"/>
    <s v="Month+9 Expiry"/>
    <n v="0"/>
    <n v="0"/>
    <n v="0"/>
  </r>
  <r>
    <s v="30-Dec-2025"/>
    <x v="1"/>
    <s v="Week5-Dec-2025"/>
    <x v="3"/>
    <s v="30-Dec-2025"/>
    <s v="Tuesday"/>
    <s v="Monthly - Tuesday"/>
    <s v="Monthly - Tuesday"/>
    <s v="Same Month Expiry"/>
    <n v="78603896"/>
    <n v="16032120.23"/>
    <n v="13101.23"/>
  </r>
  <r>
    <s v="30-Dec-2025"/>
    <x v="1"/>
    <s v="Week5-Dec-2025"/>
    <x v="3"/>
    <s v="27-Jan-2026"/>
    <s v="Tuesday"/>
    <s v="Monthly - Tuesday"/>
    <s v="Monthly - Tuesday"/>
    <s v="Month+1 Expiry"/>
    <n v="765819"/>
    <n v="136338.19"/>
    <n v="1210.24"/>
  </r>
  <r>
    <s v="30-Dec-2025"/>
    <x v="1"/>
    <s v="Week5-Dec-2025"/>
    <x v="3"/>
    <s v="24-Feb-2026"/>
    <s v="Tuesday"/>
    <s v="Monthly - Tuesday"/>
    <s v="Monthly - Tuesday"/>
    <s v="Month+2 Expiry"/>
    <n v="12656"/>
    <n v="2280.36"/>
    <n v="23.43"/>
  </r>
  <r>
    <s v="30-Dec-2025"/>
    <x v="1"/>
    <s v="Week5-Dec-2025"/>
    <x v="3"/>
    <s v="30-Mar-2026"/>
    <s v="Monday"/>
    <s v="Monthly - Monday"/>
    <s v="Monthly - Monday"/>
    <s v="Month+3 Expiry"/>
    <n v="4061"/>
    <n v="842.95"/>
    <n v="11.91"/>
  </r>
  <r>
    <s v="30-Dec-2025"/>
    <x v="1"/>
    <s v="Week5-Dec-2025"/>
    <x v="3"/>
    <s v="30-Jun-2026"/>
    <s v="Tuesday"/>
    <s v="Monthly - Tuesday"/>
    <s v="Monthly - Tuesday"/>
    <s v="Month+6 Expiry"/>
    <n v="0"/>
    <n v="0"/>
    <n v="0"/>
  </r>
  <r>
    <s v="30-Dec-2025"/>
    <x v="1"/>
    <s v="Week5-Dec-2025"/>
    <x v="3"/>
    <s v="29-Sep-2026"/>
    <s v="Tuesday"/>
    <s v="Monthly - Tuesday"/>
    <s v="Monthly - Tuesday"/>
    <s v="Month+9 Expiry"/>
    <n v="0"/>
    <n v="0"/>
    <n v="0"/>
  </r>
  <r>
    <s v="31-Dec-2025"/>
    <x v="2"/>
    <s v="Week5-Dec-2025"/>
    <x v="3"/>
    <s v="27-Jan-2026"/>
    <s v="Tuesday"/>
    <s v="Monthly - Tuesday"/>
    <s v="Monthly - Tuesday"/>
    <s v="Month+1 Expiry"/>
    <n v="2192565"/>
    <n v="392507.69"/>
    <n v="2858.19"/>
  </r>
  <r>
    <s v="31-Dec-2025"/>
    <x v="2"/>
    <s v="Week5-Dec-2025"/>
    <x v="3"/>
    <s v="24-Feb-2026"/>
    <s v="Tuesday"/>
    <s v="Monthly - Tuesday"/>
    <s v="Monthly - Tuesday"/>
    <s v="Month+2 Expiry"/>
    <n v="27378"/>
    <n v="4963.13"/>
    <n v="45.28"/>
  </r>
  <r>
    <s v="31-Dec-2025"/>
    <x v="2"/>
    <s v="Week5-Dec-2025"/>
    <x v="3"/>
    <s v="30-Mar-2026"/>
    <s v="Monday"/>
    <s v="Monthly - Monday"/>
    <s v="Monthly - Monday"/>
    <s v="Month+3 Expiry"/>
    <n v="7104"/>
    <n v="1291.74"/>
    <n v="20.14"/>
  </r>
  <r>
    <s v="31-Dec-2025"/>
    <x v="2"/>
    <s v="Week5-Dec-2025"/>
    <x v="3"/>
    <s v="30-Jun-2026"/>
    <s v="Tuesday"/>
    <s v="Monthly - Tuesday"/>
    <s v="Monthly - Tuesday"/>
    <s v="Month+6 Expiry"/>
    <n v="0"/>
    <n v="0"/>
    <n v="0"/>
  </r>
  <r>
    <s v="31-Dec-2025"/>
    <x v="2"/>
    <s v="Week5-Dec-2025"/>
    <x v="3"/>
    <s v="29-Sep-2026"/>
    <s v="Tuesday"/>
    <s v="Monthly - Tuesday"/>
    <s v="Monthly - Tuesday"/>
    <s v="Month+9 Expiry"/>
    <n v="0"/>
    <n v="0"/>
    <n v="0"/>
  </r>
  <r>
    <s v="31-Dec-2025"/>
    <x v="2"/>
    <s v="Week5-Dec-2025"/>
    <x v="3"/>
    <s v="29-Dec-2026"/>
    <s v="Tuesday"/>
    <s v="Monthly - Tuesday"/>
    <s v="Monthly - Tuesday"/>
    <s v="Month+12 Expiry"/>
    <n v="0"/>
    <n v="0"/>
    <n v="0"/>
  </r>
  <r>
    <s v="01-Jan-2026"/>
    <x v="3"/>
    <s v="Week1-Jan-2026"/>
    <x v="4"/>
    <s v="27-Jan-2026"/>
    <s v="Tuesday"/>
    <s v="Monthly - Tuesday"/>
    <s v="Monthly - Tuesday"/>
    <s v="Same Month Expiry"/>
    <n v="1218064"/>
    <n v="217721.18"/>
    <n v="1591.39"/>
  </r>
  <r>
    <s v="01-Jan-2026"/>
    <x v="3"/>
    <s v="Week1-Jan-2026"/>
    <x v="4"/>
    <s v="24-Feb-2026"/>
    <s v="Tuesday"/>
    <s v="Monthly - Tuesday"/>
    <s v="Monthly - Tuesday"/>
    <s v="Month+1 Expiry"/>
    <n v="11460"/>
    <n v="2070.34"/>
    <n v="20.93"/>
  </r>
  <r>
    <s v="01-Jan-2026"/>
    <x v="3"/>
    <s v="Week1-Jan-2026"/>
    <x v="4"/>
    <s v="30-Mar-2026"/>
    <s v="Monday"/>
    <s v="Monthly - Monday"/>
    <s v="Monthly - Monday"/>
    <s v="Month+2 Expiry"/>
    <n v="1868"/>
    <n v="335.04"/>
    <n v="4.03"/>
  </r>
  <r>
    <s v="01-Jan-2026"/>
    <x v="3"/>
    <s v="Week1-Jan-2026"/>
    <x v="4"/>
    <s v="30-Jun-2026"/>
    <s v="Tuesday"/>
    <s v="Monthly - Tuesday"/>
    <s v="Monthly - Tuesday"/>
    <s v="Month+5 Expiry"/>
    <n v="0"/>
    <n v="0"/>
    <n v="0"/>
  </r>
  <r>
    <s v="01-Jan-2026"/>
    <x v="3"/>
    <s v="Week1-Jan-2026"/>
    <x v="4"/>
    <s v="29-Sep-2026"/>
    <s v="Tuesday"/>
    <s v="Monthly - Tuesday"/>
    <s v="Monthly - Tuesday"/>
    <s v="Month+8 Expiry"/>
    <n v="0"/>
    <n v="0"/>
    <n v="0"/>
  </r>
  <r>
    <s v="01-Jan-2026"/>
    <x v="3"/>
    <s v="Week1-Jan-2026"/>
    <x v="4"/>
    <s v="29-Dec-2026"/>
    <s v="Tuesday"/>
    <s v="Monthly - Tuesday"/>
    <s v="Monthly - Tuesday"/>
    <s v="Month+11 Expiry"/>
    <n v="0"/>
    <n v="0"/>
    <n v="0"/>
  </r>
  <r>
    <s v="02-Jan-2026"/>
    <x v="4"/>
    <s v="Week1-Jan-2026"/>
    <x v="4"/>
    <s v="27-Jan-2026"/>
    <s v="Tuesday"/>
    <s v="Monthly - Tuesday"/>
    <s v="Monthly - Tuesday"/>
    <s v="Same Month Expiry"/>
    <n v="2233318"/>
    <n v="401507.91"/>
    <n v="2803.59"/>
  </r>
  <r>
    <s v="02-Jan-2026"/>
    <x v="4"/>
    <s v="Week1-Jan-2026"/>
    <x v="4"/>
    <s v="24-Feb-2026"/>
    <s v="Tuesday"/>
    <s v="Monthly - Tuesday"/>
    <s v="Monthly - Tuesday"/>
    <s v="Month+1 Expiry"/>
    <n v="31896"/>
    <n v="5797.01"/>
    <n v="57.6"/>
  </r>
  <r>
    <s v="02-Jan-2026"/>
    <x v="4"/>
    <s v="Week1-Jan-2026"/>
    <x v="4"/>
    <s v="30-Mar-2026"/>
    <s v="Monday"/>
    <s v="Monthly - Monday"/>
    <s v="Monthly - Monday"/>
    <s v="Month+2 Expiry"/>
    <n v="6090"/>
    <n v="1107.08"/>
    <n v="15.89"/>
  </r>
  <r>
    <s v="02-Jan-2026"/>
    <x v="4"/>
    <s v="Week1-Jan-2026"/>
    <x v="4"/>
    <s v="30-Jun-2026"/>
    <s v="Tuesday"/>
    <s v="Monthly - Tuesday"/>
    <s v="Monthly - Tuesday"/>
    <s v="Month+5 Expiry"/>
    <n v="0"/>
    <n v="0"/>
    <n v="0"/>
  </r>
  <r>
    <s v="02-Jan-2026"/>
    <x v="4"/>
    <s v="Week1-Jan-2026"/>
    <x v="4"/>
    <s v="29-Sep-2026"/>
    <s v="Tuesday"/>
    <s v="Monthly - Tuesday"/>
    <s v="Monthly - Tuesday"/>
    <s v="Month+8 Expiry"/>
    <n v="0"/>
    <n v="0"/>
    <n v="0"/>
  </r>
  <r>
    <s v="02-Jan-2026"/>
    <x v="4"/>
    <s v="Week1-Jan-2026"/>
    <x v="4"/>
    <s v="29-Dec-2026"/>
    <s v="Tuesday"/>
    <s v="Monthly - Tuesday"/>
    <s v="Monthly - Tuesday"/>
    <s v="Month+11 Expiry"/>
    <n v="0"/>
    <n v="0"/>
    <n v="0"/>
  </r>
  <r>
    <s v="05-Jan-2026"/>
    <x v="0"/>
    <s v="Week1-Jan-2026"/>
    <x v="4"/>
    <s v="27-Jan-2026"/>
    <s v="Tuesday"/>
    <s v="Monthly - Tuesday"/>
    <s v="Monthly - Tuesday"/>
    <s v="Same Month Expiry"/>
    <n v="2557337"/>
    <n v="461481.39"/>
    <n v="3117.52"/>
  </r>
  <r>
    <s v="05-Jan-2026"/>
    <x v="0"/>
    <s v="Week1-Jan-2026"/>
    <x v="4"/>
    <s v="24-Feb-2026"/>
    <s v="Tuesday"/>
    <s v="Monthly - Tuesday"/>
    <s v="Monthly - Tuesday"/>
    <s v="Month+1 Expiry"/>
    <n v="26875"/>
    <n v="4889.95"/>
    <n v="48.74"/>
  </r>
  <r>
    <s v="05-Jan-2026"/>
    <x v="0"/>
    <s v="Week1-Jan-2026"/>
    <x v="4"/>
    <s v="30-Mar-2026"/>
    <s v="Monday"/>
    <s v="Monthly - Monday"/>
    <s v="Monthly - Monday"/>
    <s v="Month+2 Expiry"/>
    <n v="6279"/>
    <n v="1149.5"/>
    <n v="15.01"/>
  </r>
  <r>
    <s v="05-Jan-2026"/>
    <x v="0"/>
    <s v="Week1-Jan-2026"/>
    <x v="4"/>
    <s v="30-Jun-2026"/>
    <s v="Tuesday"/>
    <s v="Monthly - Tuesday"/>
    <s v="Monthly - Tuesday"/>
    <s v="Month+5 Expiry"/>
    <n v="0"/>
    <n v="0"/>
    <n v="0"/>
  </r>
  <r>
    <s v="05-Jan-2026"/>
    <x v="0"/>
    <s v="Week1-Jan-2026"/>
    <x v="4"/>
    <s v="29-Sep-2026"/>
    <s v="Tuesday"/>
    <s v="Monthly - Tuesday"/>
    <s v="Monthly - Tuesday"/>
    <s v="Month+8 Expiry"/>
    <n v="0"/>
    <n v="0"/>
    <n v="0"/>
  </r>
  <r>
    <s v="05-Jan-2026"/>
    <x v="0"/>
    <s v="Week1-Jan-2026"/>
    <x v="4"/>
    <s v="29-Dec-2026"/>
    <s v="Tuesday"/>
    <s v="Monthly - Tuesday"/>
    <s v="Monthly - Tuesday"/>
    <s v="Month+11 Expiry"/>
    <n v="0"/>
    <n v="0"/>
    <n v="0"/>
  </r>
  <r>
    <s v="06-Jan-2026"/>
    <x v="1"/>
    <s v="Week1-Jan-2026"/>
    <x v="4"/>
    <s v="27-Jan-2026"/>
    <s v="Tuesday"/>
    <s v="Monthly - Tuesday"/>
    <s v="Monthly - Tuesday"/>
    <s v="Same Month Expiry"/>
    <n v="2102559"/>
    <n v="379410.32"/>
    <n v="2572.69"/>
  </r>
  <r>
    <s v="06-Jan-2026"/>
    <x v="1"/>
    <s v="Week1-Jan-2026"/>
    <x v="4"/>
    <s v="24-Feb-2026"/>
    <s v="Tuesday"/>
    <s v="Monthly - Tuesday"/>
    <s v="Monthly - Tuesday"/>
    <s v="Month+1 Expiry"/>
    <n v="27710"/>
    <n v="5006.22"/>
    <n v="42.5"/>
  </r>
  <r>
    <s v="06-Jan-2026"/>
    <x v="1"/>
    <s v="Week1-Jan-2026"/>
    <x v="4"/>
    <s v="30-Mar-2026"/>
    <s v="Monday"/>
    <s v="Monthly - Monday"/>
    <s v="Monthly - Monday"/>
    <s v="Month+2 Expiry"/>
    <n v="3017"/>
    <n v="550.16999999999996"/>
    <n v="6.91"/>
  </r>
  <r>
    <s v="06-Jan-2026"/>
    <x v="1"/>
    <s v="Week1-Jan-2026"/>
    <x v="4"/>
    <s v="30-Jun-2026"/>
    <s v="Tuesday"/>
    <s v="Monthly - Tuesday"/>
    <s v="Monthly - Tuesday"/>
    <s v="Month+5 Expiry"/>
    <n v="0"/>
    <n v="0"/>
    <n v="0"/>
  </r>
  <r>
    <s v="06-Jan-2026"/>
    <x v="1"/>
    <s v="Week1-Jan-2026"/>
    <x v="4"/>
    <s v="29-Sep-2026"/>
    <s v="Tuesday"/>
    <s v="Monthly - Tuesday"/>
    <s v="Monthly - Tuesday"/>
    <s v="Month+8 Expiry"/>
    <n v="0"/>
    <n v="0"/>
    <n v="0"/>
  </r>
  <r>
    <s v="06-Jan-2026"/>
    <x v="1"/>
    <s v="Week1-Jan-2026"/>
    <x v="4"/>
    <s v="29-Dec-2026"/>
    <s v="Tuesday"/>
    <s v="Monthly - Tuesday"/>
    <s v="Monthly - Tuesday"/>
    <s v="Month+11 Expiry"/>
    <n v="0"/>
    <n v="0"/>
    <n v="0"/>
  </r>
  <r>
    <s v="07-Jan-2026"/>
    <x v="2"/>
    <s v="Week1-Jan-2026"/>
    <x v="4"/>
    <s v="27-Jan-2026"/>
    <s v="Tuesday"/>
    <s v="Monthly - Tuesday"/>
    <s v="Monthly - Tuesday"/>
    <s v="Same Month Expiry"/>
    <n v="2284207"/>
    <n v="409962.4"/>
    <n v="2753.45"/>
  </r>
  <r>
    <s v="07-Jan-2026"/>
    <x v="2"/>
    <s v="Week1-Jan-2026"/>
    <x v="4"/>
    <s v="24-Feb-2026"/>
    <s v="Tuesday"/>
    <s v="Monthly - Tuesday"/>
    <s v="Monthly - Tuesday"/>
    <s v="Month+1 Expiry"/>
    <n v="26715"/>
    <n v="4852.07"/>
    <n v="48.17"/>
  </r>
  <r>
    <s v="07-Jan-2026"/>
    <x v="2"/>
    <s v="Week1-Jan-2026"/>
    <x v="4"/>
    <s v="30-Mar-2026"/>
    <s v="Monday"/>
    <s v="Monthly - Monday"/>
    <s v="Monthly - Monday"/>
    <s v="Month+2 Expiry"/>
    <n v="3455"/>
    <n v="622.52"/>
    <n v="7.44"/>
  </r>
  <r>
    <s v="07-Jan-2026"/>
    <x v="2"/>
    <s v="Week1-Jan-2026"/>
    <x v="4"/>
    <s v="30-Jun-2026"/>
    <s v="Tuesday"/>
    <s v="Monthly - Tuesday"/>
    <s v="Monthly - Tuesday"/>
    <s v="Month+5 Expiry"/>
    <n v="0"/>
    <n v="0"/>
    <n v="0"/>
  </r>
  <r>
    <s v="07-Jan-2026"/>
    <x v="2"/>
    <s v="Week1-Jan-2026"/>
    <x v="4"/>
    <s v="29-Sep-2026"/>
    <s v="Tuesday"/>
    <s v="Monthly - Tuesday"/>
    <s v="Monthly - Tuesday"/>
    <s v="Month+8 Expiry"/>
    <n v="0"/>
    <n v="0"/>
    <n v="0"/>
  </r>
  <r>
    <s v="07-Jan-2026"/>
    <x v="2"/>
    <s v="Week1-Jan-2026"/>
    <x v="4"/>
    <s v="29-Dec-2026"/>
    <s v="Tuesday"/>
    <s v="Monthly - Tuesday"/>
    <s v="Monthly - Tuesday"/>
    <s v="Month+11 Expiry"/>
    <n v="0"/>
    <n v="0"/>
    <n v="0"/>
  </r>
  <r>
    <s v="08-Jan-2026"/>
    <x v="3"/>
    <s v="Week2-Jan-2026"/>
    <x v="4"/>
    <s v="27-Jan-2026"/>
    <s v="Tuesday"/>
    <s v="Monthly - Tuesday"/>
    <s v="Monthly - Tuesday"/>
    <s v="Same Month Expiry"/>
    <n v="3139153"/>
    <n v="561644.4"/>
    <n v="3601.32"/>
  </r>
  <r>
    <s v="08-Jan-2026"/>
    <x v="3"/>
    <s v="Week2-Jan-2026"/>
    <x v="4"/>
    <s v="24-Feb-2026"/>
    <s v="Tuesday"/>
    <s v="Monthly - Tuesday"/>
    <s v="Monthly - Tuesday"/>
    <s v="Month+1 Expiry"/>
    <n v="40476"/>
    <n v="7350.37"/>
    <n v="80.319999999999993"/>
  </r>
  <r>
    <s v="08-Jan-2026"/>
    <x v="3"/>
    <s v="Week2-Jan-2026"/>
    <x v="4"/>
    <s v="30-Mar-2026"/>
    <s v="Monday"/>
    <s v="Monthly - Monday"/>
    <s v="Monthly - Monday"/>
    <s v="Month+2 Expiry"/>
    <n v="5459"/>
    <n v="982.63"/>
    <n v="12.39"/>
  </r>
  <r>
    <s v="08-Jan-2026"/>
    <x v="3"/>
    <s v="Week2-Jan-2026"/>
    <x v="4"/>
    <s v="30-Jun-2026"/>
    <s v="Tuesday"/>
    <s v="Monthly - Tuesday"/>
    <s v="Monthly - Tuesday"/>
    <s v="Month+5 Expiry"/>
    <n v="0"/>
    <n v="0"/>
    <n v="0"/>
  </r>
  <r>
    <s v="08-Jan-2026"/>
    <x v="3"/>
    <s v="Week2-Jan-2026"/>
    <x v="4"/>
    <s v="29-Sep-2026"/>
    <s v="Tuesday"/>
    <s v="Monthly - Tuesday"/>
    <s v="Monthly - Tuesday"/>
    <s v="Month+8 Expiry"/>
    <n v="0"/>
    <n v="0"/>
    <n v="0"/>
  </r>
  <r>
    <s v="08-Jan-2026"/>
    <x v="3"/>
    <s v="Week2-Jan-2026"/>
    <x v="4"/>
    <s v="29-Dec-2026"/>
    <s v="Tuesday"/>
    <s v="Monthly - Tuesday"/>
    <s v="Monthly - Tuesday"/>
    <s v="Month+11 Expiry"/>
    <n v="0"/>
    <n v="0"/>
    <n v="0"/>
  </r>
  <r>
    <s v="09-Jan-2026"/>
    <x v="4"/>
    <s v="Week2-Jan-2026"/>
    <x v="4"/>
    <s v="27-Jan-2026"/>
    <s v="Tuesday"/>
    <s v="Monthly - Tuesday"/>
    <s v="Monthly - Tuesday"/>
    <s v="Same Month Expiry"/>
    <n v="3354589"/>
    <n v="596836.97"/>
    <n v="3839.11"/>
  </r>
  <r>
    <s v="09-Jan-2026"/>
    <x v="4"/>
    <s v="Week2-Jan-2026"/>
    <x v="4"/>
    <s v="24-Feb-2026"/>
    <s v="Tuesday"/>
    <s v="Monthly - Tuesday"/>
    <s v="Monthly - Tuesday"/>
    <s v="Month+1 Expiry"/>
    <n v="50797"/>
    <n v="9139.4500000000007"/>
    <n v="98.06"/>
  </r>
  <r>
    <s v="09-Jan-2026"/>
    <x v="4"/>
    <s v="Week2-Jan-2026"/>
    <x v="4"/>
    <s v="30-Mar-2026"/>
    <s v="Monday"/>
    <s v="Monthly - Monday"/>
    <s v="Monthly - Monday"/>
    <s v="Month+2 Expiry"/>
    <n v="6876"/>
    <n v="1235.5"/>
    <n v="14.39"/>
  </r>
  <r>
    <s v="09-Jan-2026"/>
    <x v="4"/>
    <s v="Week2-Jan-2026"/>
    <x v="4"/>
    <s v="30-Jun-2026"/>
    <s v="Tuesday"/>
    <s v="Monthly - Tuesday"/>
    <s v="Monthly - Tuesday"/>
    <s v="Month+5 Expiry"/>
    <n v="0"/>
    <n v="0"/>
    <n v="0"/>
  </r>
  <r>
    <s v="09-Jan-2026"/>
    <x v="4"/>
    <s v="Week2-Jan-2026"/>
    <x v="4"/>
    <s v="29-Sep-2026"/>
    <s v="Tuesday"/>
    <s v="Monthly - Tuesday"/>
    <s v="Monthly - Tuesday"/>
    <s v="Month+8 Expiry"/>
    <n v="0"/>
    <n v="0"/>
    <n v="0"/>
  </r>
  <r>
    <s v="09-Jan-2026"/>
    <x v="4"/>
    <s v="Week2-Jan-2026"/>
    <x v="4"/>
    <s v="29-Dec-2026"/>
    <s v="Tuesday"/>
    <s v="Monthly - Tuesday"/>
    <s v="Monthly - Tuesday"/>
    <s v="Month+11 Expiry"/>
    <n v="0"/>
    <n v="0"/>
    <n v="0"/>
  </r>
  <r>
    <s v="12-Jan-2026"/>
    <x v="0"/>
    <s v="Week2-Jan-2026"/>
    <x v="4"/>
    <s v="27-Jan-2026"/>
    <s v="Tuesday"/>
    <s v="Monthly - Tuesday"/>
    <s v="Monthly - Tuesday"/>
    <s v="Same Month Expiry"/>
    <n v="3762037"/>
    <n v="667461.42000000004"/>
    <n v="4256.2700000000004"/>
  </r>
  <r>
    <s v="12-Jan-2026"/>
    <x v="0"/>
    <s v="Week2-Jan-2026"/>
    <x v="4"/>
    <s v="24-Feb-2026"/>
    <s v="Tuesday"/>
    <s v="Monthly - Tuesday"/>
    <s v="Monthly - Tuesday"/>
    <s v="Month+1 Expiry"/>
    <n v="55544"/>
    <n v="10032.700000000001"/>
    <n v="112.41"/>
  </r>
  <r>
    <s v="12-Jan-2026"/>
    <x v="0"/>
    <s v="Week2-Jan-2026"/>
    <x v="4"/>
    <s v="30-Mar-2026"/>
    <s v="Monday"/>
    <s v="Monthly - Monday"/>
    <s v="Monthly - Monday"/>
    <s v="Month+2 Expiry"/>
    <n v="7322"/>
    <n v="1322.47"/>
    <n v="18.75"/>
  </r>
  <r>
    <s v="12-Jan-2026"/>
    <x v="0"/>
    <s v="Week2-Jan-2026"/>
    <x v="4"/>
    <s v="30-Jun-2026"/>
    <s v="Tuesday"/>
    <s v="Monthly - Tuesday"/>
    <s v="Monthly - Tuesday"/>
    <s v="Month+5 Expiry"/>
    <n v="0"/>
    <n v="0"/>
    <n v="0"/>
  </r>
  <r>
    <s v="12-Jan-2026"/>
    <x v="0"/>
    <s v="Week2-Jan-2026"/>
    <x v="4"/>
    <s v="29-Sep-2026"/>
    <s v="Tuesday"/>
    <s v="Monthly - Tuesday"/>
    <s v="Monthly - Tuesday"/>
    <s v="Month+8 Expiry"/>
    <n v="0"/>
    <n v="0"/>
    <n v="0"/>
  </r>
  <r>
    <s v="12-Jan-2026"/>
    <x v="0"/>
    <s v="Week2-Jan-2026"/>
    <x v="4"/>
    <s v="29-Dec-2026"/>
    <s v="Tuesday"/>
    <s v="Monthly - Tuesday"/>
    <s v="Monthly - Tuesday"/>
    <s v="Month+11 Expiry"/>
    <n v="0"/>
    <n v="0"/>
    <n v="0"/>
  </r>
  <r>
    <s v="13-Jan-2026"/>
    <x v="1"/>
    <s v="Week2-Jan-2026"/>
    <x v="4"/>
    <s v="27-Jan-2026"/>
    <s v="Tuesday"/>
    <s v="Monthly - Tuesday"/>
    <s v="Monthly - Tuesday"/>
    <s v="Same Month Expiry"/>
    <n v="3238380"/>
    <n v="576697.34"/>
    <n v="3724.34"/>
  </r>
  <r>
    <s v="13-Jan-2026"/>
    <x v="1"/>
    <s v="Week2-Jan-2026"/>
    <x v="4"/>
    <s v="24-Feb-2026"/>
    <s v="Tuesday"/>
    <s v="Monthly - Tuesday"/>
    <s v="Monthly - Tuesday"/>
    <s v="Month+1 Expiry"/>
    <n v="49313"/>
    <n v="8947.15"/>
    <n v="95.96"/>
  </r>
  <r>
    <s v="13-Jan-2026"/>
    <x v="1"/>
    <s v="Week2-Jan-2026"/>
    <x v="4"/>
    <s v="30-Mar-2026"/>
    <s v="Monday"/>
    <s v="Monthly - Monday"/>
    <s v="Monthly - Monday"/>
    <s v="Month+2 Expiry"/>
    <n v="4454"/>
    <n v="797.16"/>
    <n v="10.17"/>
  </r>
  <r>
    <s v="13-Jan-2026"/>
    <x v="1"/>
    <s v="Week2-Jan-2026"/>
    <x v="4"/>
    <s v="30-Jun-2026"/>
    <s v="Tuesday"/>
    <s v="Monthly - Tuesday"/>
    <s v="Monthly - Tuesday"/>
    <s v="Month+5 Expiry"/>
    <n v="0"/>
    <n v="0"/>
    <n v="0"/>
  </r>
  <r>
    <s v="13-Jan-2026"/>
    <x v="1"/>
    <s v="Week2-Jan-2026"/>
    <x v="4"/>
    <s v="29-Sep-2026"/>
    <s v="Tuesday"/>
    <s v="Monthly - Tuesday"/>
    <s v="Monthly - Tuesday"/>
    <s v="Month+8 Expiry"/>
    <n v="0"/>
    <n v="0"/>
    <n v="0"/>
  </r>
  <r>
    <s v="13-Jan-2026"/>
    <x v="1"/>
    <s v="Week2-Jan-2026"/>
    <x v="4"/>
    <s v="29-Dec-2026"/>
    <s v="Tuesday"/>
    <s v="Monthly - Tuesday"/>
    <s v="Monthly - Tuesday"/>
    <s v="Month+11 Expiry"/>
    <n v="0"/>
    <n v="0"/>
    <n v="0"/>
  </r>
  <r>
    <s v="14-Jan-2026"/>
    <x v="2"/>
    <s v="Week2-Jan-2026"/>
    <x v="4"/>
    <s v="27-Jan-2026"/>
    <s v="Tuesday"/>
    <s v="Monthly - Tuesday"/>
    <s v="Monthly - Tuesday"/>
    <s v="Same Month Expiry"/>
    <n v="3079585"/>
    <n v="549733.37"/>
    <n v="3276.71"/>
  </r>
  <r>
    <s v="14-Jan-2026"/>
    <x v="2"/>
    <s v="Week2-Jan-2026"/>
    <x v="4"/>
    <s v="24-Feb-2026"/>
    <s v="Tuesday"/>
    <s v="Monthly - Tuesday"/>
    <s v="Monthly - Tuesday"/>
    <s v="Month+1 Expiry"/>
    <n v="39092"/>
    <n v="7089.23"/>
    <n v="68.88"/>
  </r>
  <r>
    <s v="14-Jan-2026"/>
    <x v="2"/>
    <s v="Week2-Jan-2026"/>
    <x v="4"/>
    <s v="30-Mar-2026"/>
    <s v="Monday"/>
    <s v="Monthly - Monday"/>
    <s v="Monthly - Monday"/>
    <s v="Month+2 Expiry"/>
    <n v="4347"/>
    <n v="779.01"/>
    <n v="9.66"/>
  </r>
  <r>
    <s v="14-Jan-2026"/>
    <x v="2"/>
    <s v="Week2-Jan-2026"/>
    <x v="4"/>
    <s v="30-Jun-2026"/>
    <s v="Tuesday"/>
    <s v="Monthly - Tuesday"/>
    <s v="Monthly - Tuesday"/>
    <s v="Month+5 Expiry"/>
    <n v="0"/>
    <n v="0"/>
    <n v="0"/>
  </r>
  <r>
    <s v="14-Jan-2026"/>
    <x v="2"/>
    <s v="Week2-Jan-2026"/>
    <x v="4"/>
    <s v="29-Sep-2026"/>
    <s v="Tuesday"/>
    <s v="Monthly - Tuesday"/>
    <s v="Monthly - Tuesday"/>
    <s v="Month+8 Expiry"/>
    <n v="0"/>
    <n v="0"/>
    <n v="0"/>
  </r>
  <r>
    <s v="14-Jan-2026"/>
    <x v="2"/>
    <s v="Week2-Jan-2026"/>
    <x v="4"/>
    <s v="29-Dec-2026"/>
    <s v="Tuesday"/>
    <s v="Monthly - Tuesday"/>
    <s v="Monthly - Tuesday"/>
    <s v="Month+11 Expiry"/>
    <n v="0"/>
    <n v="0"/>
    <n v="0"/>
  </r>
  <r>
    <s v="16-Jan-2026"/>
    <x v="4"/>
    <s v="Week3-Jan-2026"/>
    <x v="4"/>
    <s v="27-Jan-2026"/>
    <s v="Tuesday"/>
    <s v="Monthly - Tuesday"/>
    <s v="Monthly - Tuesday"/>
    <s v="Same Month Expiry"/>
    <n v="4031567"/>
    <n v="720002.63"/>
    <n v="3903.12"/>
  </r>
  <r>
    <s v="16-Jan-2026"/>
    <x v="4"/>
    <s v="Week3-Jan-2026"/>
    <x v="4"/>
    <s v="24-Feb-2026"/>
    <s v="Tuesday"/>
    <s v="Monthly - Tuesday"/>
    <s v="Monthly - Tuesday"/>
    <s v="Month+1 Expiry"/>
    <n v="101397"/>
    <n v="18411.650000000001"/>
    <n v="216.61"/>
  </r>
  <r>
    <s v="16-Jan-2026"/>
    <x v="4"/>
    <s v="Week3-Jan-2026"/>
    <x v="4"/>
    <s v="30-Mar-2026"/>
    <s v="Monday"/>
    <s v="Monthly - Monday"/>
    <s v="Monthly - Monday"/>
    <s v="Month+2 Expiry"/>
    <n v="8143"/>
    <n v="1462.56"/>
    <n v="20.170000000000002"/>
  </r>
  <r>
    <s v="16-Jan-2026"/>
    <x v="4"/>
    <s v="Week3-Jan-2026"/>
    <x v="4"/>
    <s v="30-Jun-2026"/>
    <s v="Tuesday"/>
    <s v="Monthly - Tuesday"/>
    <s v="Monthly - Tuesday"/>
    <s v="Month+5 Expiry"/>
    <n v="0"/>
    <n v="0"/>
    <n v="0"/>
  </r>
  <r>
    <s v="16-Jan-2026"/>
    <x v="4"/>
    <s v="Week3-Jan-2026"/>
    <x v="4"/>
    <s v="29-Sep-2026"/>
    <s v="Tuesday"/>
    <s v="Monthly - Tuesday"/>
    <s v="Monthly - Tuesday"/>
    <s v="Month+8 Expiry"/>
    <n v="0"/>
    <n v="0"/>
    <n v="0"/>
  </r>
  <r>
    <s v="16-Jan-2026"/>
    <x v="4"/>
    <s v="Week3-Jan-2026"/>
    <x v="4"/>
    <s v="29-Dec-2026"/>
    <s v="Tuesday"/>
    <s v="Monthly - Tuesday"/>
    <s v="Monthly - Tuesday"/>
    <s v="Month+11 Expiry"/>
    <n v="0"/>
    <n v="0"/>
    <n v="0"/>
  </r>
  <r>
    <s v="19-Jan-2026"/>
    <x v="0"/>
    <s v="Week3-Jan-2026"/>
    <x v="4"/>
    <s v="27-Jan-2026"/>
    <s v="Tuesday"/>
    <s v="Monthly - Tuesday"/>
    <s v="Monthly - Tuesday"/>
    <s v="Same Month Expiry"/>
    <n v="4658716"/>
    <n v="830464.55"/>
    <n v="3650.61"/>
  </r>
  <r>
    <s v="19-Jan-2026"/>
    <x v="0"/>
    <s v="Week3-Jan-2026"/>
    <x v="4"/>
    <s v="24-Feb-2026"/>
    <s v="Tuesday"/>
    <s v="Monthly - Tuesday"/>
    <s v="Monthly - Tuesday"/>
    <s v="Month+1 Expiry"/>
    <n v="155196"/>
    <n v="28224.35"/>
    <n v="319.13"/>
  </r>
  <r>
    <s v="19-Jan-2026"/>
    <x v="0"/>
    <s v="Week3-Jan-2026"/>
    <x v="4"/>
    <s v="30-Mar-2026"/>
    <s v="Monday"/>
    <s v="Monthly - Monday"/>
    <s v="Monthly - Monday"/>
    <s v="Month+2 Expiry"/>
    <n v="7648"/>
    <n v="1384.89"/>
    <n v="15.8"/>
  </r>
  <r>
    <s v="19-Jan-2026"/>
    <x v="0"/>
    <s v="Week3-Jan-2026"/>
    <x v="4"/>
    <s v="30-Jun-2026"/>
    <s v="Tuesday"/>
    <s v="Monthly - Tuesday"/>
    <s v="Monthly - Tuesday"/>
    <s v="Month+5 Expiry"/>
    <n v="0"/>
    <n v="0"/>
    <n v="0"/>
  </r>
  <r>
    <s v="19-Jan-2026"/>
    <x v="0"/>
    <s v="Week3-Jan-2026"/>
    <x v="4"/>
    <s v="29-Sep-2026"/>
    <s v="Tuesday"/>
    <s v="Monthly - Tuesday"/>
    <s v="Monthly - Tuesday"/>
    <s v="Month+8 Expiry"/>
    <n v="0"/>
    <n v="0"/>
    <n v="0"/>
  </r>
  <r>
    <s v="19-Jan-2026"/>
    <x v="0"/>
    <s v="Week3-Jan-2026"/>
    <x v="4"/>
    <s v="29-Dec-2026"/>
    <s v="Tuesday"/>
    <s v="Monthly - Tuesday"/>
    <s v="Monthly - Tuesday"/>
    <s v="Month+11 Expiry"/>
    <n v="0"/>
    <n v="0"/>
    <n v="0"/>
  </r>
  <r>
    <s v="20-Jan-2026"/>
    <x v="1"/>
    <s v="Week3-Jan-2026"/>
    <x v="4"/>
    <s v="27-Jan-2026"/>
    <s v="Tuesday"/>
    <s v="Monthly - Tuesday"/>
    <s v="Monthly - Tuesday"/>
    <s v="Same Month Expiry"/>
    <n v="5101235"/>
    <n v="901557"/>
    <n v="3846.01"/>
  </r>
  <r>
    <s v="20-Jan-2026"/>
    <x v="1"/>
    <s v="Week3-Jan-2026"/>
    <x v="4"/>
    <s v="24-Feb-2026"/>
    <s v="Tuesday"/>
    <s v="Monthly - Tuesday"/>
    <s v="Monthly - Tuesday"/>
    <s v="Month+1 Expiry"/>
    <n v="195951"/>
    <n v="35499.25"/>
    <n v="430.73"/>
  </r>
  <r>
    <s v="20-Jan-2026"/>
    <x v="1"/>
    <s v="Week3-Jan-2026"/>
    <x v="4"/>
    <s v="30-Mar-2026"/>
    <s v="Monday"/>
    <s v="Monthly - Monday"/>
    <s v="Monthly - Monday"/>
    <s v="Month+2 Expiry"/>
    <n v="10843"/>
    <n v="1967.79"/>
    <n v="23.42"/>
  </r>
  <r>
    <s v="20-Jan-2026"/>
    <x v="1"/>
    <s v="Week3-Jan-2026"/>
    <x v="4"/>
    <s v="30-Jun-2026"/>
    <s v="Tuesday"/>
    <s v="Monthly - Tuesday"/>
    <s v="Monthly - Tuesday"/>
    <s v="Month+5 Expiry"/>
    <n v="1"/>
    <n v="0.19"/>
    <n v="0.02"/>
  </r>
  <r>
    <s v="20-Jan-2026"/>
    <x v="1"/>
    <s v="Week3-Jan-2026"/>
    <x v="4"/>
    <s v="29-Sep-2026"/>
    <s v="Tuesday"/>
    <s v="Monthly - Tuesday"/>
    <s v="Monthly - Tuesday"/>
    <s v="Month+8 Expiry"/>
    <n v="0"/>
    <n v="0"/>
    <n v="0"/>
  </r>
  <r>
    <s v="20-Jan-2026"/>
    <x v="1"/>
    <s v="Week3-Jan-2026"/>
    <x v="4"/>
    <s v="29-Dec-2026"/>
    <s v="Tuesday"/>
    <s v="Monthly - Tuesday"/>
    <s v="Monthly - Tuesday"/>
    <s v="Month+11 Expiry"/>
    <n v="0"/>
    <n v="0"/>
    <n v="0"/>
  </r>
  <r>
    <s v="21-Jan-2026"/>
    <x v="2"/>
    <s v="Week3-Jan-2026"/>
    <x v="4"/>
    <s v="27-Jan-2026"/>
    <s v="Tuesday"/>
    <s v="Monthly - Tuesday"/>
    <s v="Monthly - Tuesday"/>
    <s v="Same Month Expiry"/>
    <n v="12414213"/>
    <n v="2172461.5299999998"/>
    <n v="8483.6299999999992"/>
  </r>
  <r>
    <s v="21-Jan-2026"/>
    <x v="2"/>
    <s v="Week3-Jan-2026"/>
    <x v="4"/>
    <s v="24-Feb-2026"/>
    <s v="Tuesday"/>
    <s v="Monthly - Tuesday"/>
    <s v="Monthly - Tuesday"/>
    <s v="Month+1 Expiry"/>
    <n v="372901"/>
    <n v="66761.039999999994"/>
    <n v="754.71"/>
  </r>
  <r>
    <s v="21-Jan-2026"/>
    <x v="2"/>
    <s v="Week3-Jan-2026"/>
    <x v="4"/>
    <s v="30-Mar-2026"/>
    <s v="Monday"/>
    <s v="Monthly - Monday"/>
    <s v="Monthly - Monday"/>
    <s v="Month+2 Expiry"/>
    <n v="37571"/>
    <n v="6733.88"/>
    <n v="92.23"/>
  </r>
  <r>
    <s v="21-Jan-2026"/>
    <x v="2"/>
    <s v="Week3-Jan-2026"/>
    <x v="4"/>
    <s v="30-Jun-2026"/>
    <s v="Tuesday"/>
    <s v="Monthly - Tuesday"/>
    <s v="Monthly - Tuesday"/>
    <s v="Month+5 Expiry"/>
    <n v="0"/>
    <n v="0"/>
    <n v="0"/>
  </r>
  <r>
    <s v="21-Jan-2026"/>
    <x v="2"/>
    <s v="Week3-Jan-2026"/>
    <x v="4"/>
    <s v="29-Sep-2026"/>
    <s v="Tuesday"/>
    <s v="Monthly - Tuesday"/>
    <s v="Monthly - Tuesday"/>
    <s v="Month+8 Expiry"/>
    <n v="0"/>
    <n v="0"/>
    <n v="0"/>
  </r>
  <r>
    <s v="21-Jan-2026"/>
    <x v="2"/>
    <s v="Week3-Jan-2026"/>
    <x v="4"/>
    <s v="29-Dec-2026"/>
    <s v="Tuesday"/>
    <s v="Monthly - Tuesday"/>
    <s v="Monthly - Tuesday"/>
    <s v="Month+11 Expiry"/>
    <n v="0"/>
    <n v="0"/>
    <n v="0"/>
  </r>
  <r>
    <s v="22-Jan-2026"/>
    <x v="3"/>
    <s v="Week4-Jan-2026"/>
    <x v="4"/>
    <s v="27-Jan-2026"/>
    <s v="Tuesday"/>
    <s v="Monthly - Tuesday"/>
    <s v="Monthly - Tuesday"/>
    <s v="Same Month Expiry"/>
    <n v="9418009"/>
    <n v="1654025.4"/>
    <n v="6258.35"/>
  </r>
  <r>
    <s v="22-Jan-2026"/>
    <x v="3"/>
    <s v="Week4-Jan-2026"/>
    <x v="4"/>
    <s v="24-Feb-2026"/>
    <s v="Tuesday"/>
    <s v="Monthly - Tuesday"/>
    <s v="Monthly - Tuesday"/>
    <s v="Month+1 Expiry"/>
    <n v="287934"/>
    <n v="51552.37"/>
    <n v="598.4"/>
  </r>
  <r>
    <s v="22-Jan-2026"/>
    <x v="3"/>
    <s v="Week4-Jan-2026"/>
    <x v="4"/>
    <s v="30-Mar-2026"/>
    <s v="Monday"/>
    <s v="Monthly - Monday"/>
    <s v="Monthly - Monday"/>
    <s v="Month+2 Expiry"/>
    <n v="19189"/>
    <n v="3430.47"/>
    <n v="45.85"/>
  </r>
  <r>
    <s v="22-Jan-2026"/>
    <x v="3"/>
    <s v="Week4-Jan-2026"/>
    <x v="4"/>
    <s v="30-Jun-2026"/>
    <s v="Tuesday"/>
    <s v="Monthly - Tuesday"/>
    <s v="Monthly - Tuesday"/>
    <s v="Month+5 Expiry"/>
    <n v="1"/>
    <n v="0.18"/>
    <n v="0"/>
  </r>
  <r>
    <s v="22-Jan-2026"/>
    <x v="3"/>
    <s v="Week4-Jan-2026"/>
    <x v="4"/>
    <s v="29-Sep-2026"/>
    <s v="Tuesday"/>
    <s v="Monthly - Tuesday"/>
    <s v="Monthly - Tuesday"/>
    <s v="Month+8 Expiry"/>
    <n v="0"/>
    <n v="0"/>
    <n v="0"/>
  </r>
  <r>
    <s v="22-Jan-2026"/>
    <x v="3"/>
    <s v="Week4-Jan-2026"/>
    <x v="4"/>
    <s v="29-Dec-2026"/>
    <s v="Tuesday"/>
    <s v="Monthly - Tuesday"/>
    <s v="Monthly - Tuesday"/>
    <s v="Month+11 Expiry"/>
    <n v="0"/>
    <n v="0"/>
    <n v="0"/>
  </r>
  <r>
    <s v="23-Jan-2026"/>
    <x v="4"/>
    <s v="Week4-Jan-2026"/>
    <x v="4"/>
    <s v="27-Jan-2026"/>
    <s v="Tuesday"/>
    <s v="Monthly - Tuesday"/>
    <s v="Monthly - Tuesday"/>
    <s v="Same Month Expiry"/>
    <n v="18445823"/>
    <n v="3223590.71"/>
    <n v="10252.14"/>
  </r>
  <r>
    <s v="23-Jan-2026"/>
    <x v="4"/>
    <s v="Week4-Jan-2026"/>
    <x v="4"/>
    <s v="24-Feb-2026"/>
    <s v="Tuesday"/>
    <s v="Monthly - Tuesday"/>
    <s v="Monthly - Tuesday"/>
    <s v="Month+1 Expiry"/>
    <n v="391805"/>
    <n v="70269.94"/>
    <n v="913.16"/>
  </r>
  <r>
    <s v="23-Jan-2026"/>
    <x v="4"/>
    <s v="Week4-Jan-2026"/>
    <x v="4"/>
    <s v="30-Mar-2026"/>
    <s v="Monday"/>
    <s v="Monthly - Monday"/>
    <s v="Monthly - Monday"/>
    <s v="Month+2 Expiry"/>
    <n v="17636"/>
    <n v="3178.74"/>
    <n v="51.79"/>
  </r>
  <r>
    <s v="23-Jan-2026"/>
    <x v="4"/>
    <s v="Week4-Jan-2026"/>
    <x v="4"/>
    <s v="30-Jun-2026"/>
    <s v="Tuesday"/>
    <s v="Monthly - Tuesday"/>
    <s v="Monthly - Tuesday"/>
    <s v="Month+5 Expiry"/>
    <n v="1"/>
    <n v="0.18"/>
    <n v="0"/>
  </r>
  <r>
    <s v="23-Jan-2026"/>
    <x v="4"/>
    <s v="Week4-Jan-2026"/>
    <x v="4"/>
    <s v="29-Sep-2026"/>
    <s v="Tuesday"/>
    <s v="Monthly - Tuesday"/>
    <s v="Monthly - Tuesday"/>
    <s v="Month+8 Expiry"/>
    <n v="0"/>
    <n v="0"/>
    <n v="0"/>
  </r>
  <r>
    <s v="23-Jan-2026"/>
    <x v="4"/>
    <s v="Week4-Jan-2026"/>
    <x v="4"/>
    <s v="29-Dec-2026"/>
    <s v="Tuesday"/>
    <s v="Monthly - Tuesday"/>
    <s v="Monthly - Tuesday"/>
    <s v="Month+11 Expiry"/>
    <n v="0"/>
    <n v="0"/>
    <n v="0"/>
  </r>
  <r>
    <s v="27-Jan-2026"/>
    <x v="1"/>
    <s v="Week4-Jan-2026"/>
    <x v="4"/>
    <s v="27-Jan-2026"/>
    <s v="Tuesday"/>
    <s v="Monthly - Tuesday"/>
    <s v="Monthly - Tuesday"/>
    <s v="Same Month Expiry"/>
    <n v="89044441"/>
    <n v="15478701.439999999"/>
    <n v="18016.61"/>
  </r>
  <r>
    <s v="27-Jan-2026"/>
    <x v="1"/>
    <s v="Week4-Jan-2026"/>
    <x v="4"/>
    <s v="24-Feb-2026"/>
    <s v="Tuesday"/>
    <s v="Monthly - Tuesday"/>
    <s v="Monthly - Tuesday"/>
    <s v="Month+1 Expiry"/>
    <n v="825718"/>
    <n v="146969.84"/>
    <n v="1797.67"/>
  </r>
  <r>
    <s v="27-Jan-2026"/>
    <x v="1"/>
    <s v="Week4-Jan-2026"/>
    <x v="4"/>
    <s v="30-Mar-2026"/>
    <s v="Monday"/>
    <s v="Monthly - Monday"/>
    <s v="Monthly - Monday"/>
    <s v="Month+2 Expiry"/>
    <n v="24215"/>
    <n v="4369.8"/>
    <n v="61.73"/>
  </r>
  <r>
    <s v="27-Jan-2026"/>
    <x v="1"/>
    <s v="Week4-Jan-2026"/>
    <x v="4"/>
    <s v="30-Jun-2026"/>
    <s v="Tuesday"/>
    <s v="Monthly - Tuesday"/>
    <s v="Monthly - Tuesday"/>
    <s v="Month+5 Expiry"/>
    <n v="21"/>
    <n v="3.75"/>
    <n v="7.0000000000000007E-2"/>
  </r>
  <r>
    <s v="27-Jan-2026"/>
    <x v="1"/>
    <s v="Week4-Jan-2026"/>
    <x v="4"/>
    <s v="29-Sep-2026"/>
    <s v="Tuesday"/>
    <s v="Monthly - Tuesday"/>
    <s v="Monthly - Tuesday"/>
    <s v="Month+8 Expiry"/>
    <n v="0"/>
    <n v="0"/>
    <n v="0"/>
  </r>
  <r>
    <s v="27-Jan-2026"/>
    <x v="1"/>
    <s v="Week4-Jan-2026"/>
    <x v="4"/>
    <s v="29-Dec-2026"/>
    <s v="Tuesday"/>
    <s v="Monthly - Tuesday"/>
    <s v="Monthly - Tuesday"/>
    <s v="Month+11 Expiry"/>
    <n v="0"/>
    <n v="0"/>
    <n v="0"/>
  </r>
  <r>
    <s v="28-Jan-2026"/>
    <x v="2"/>
    <s v="Week4-Jan-2026"/>
    <x v="4"/>
    <s v="24-Feb-2026"/>
    <s v="Tuesday"/>
    <s v="Monthly - Tuesday"/>
    <s v="Monthly - Tuesday"/>
    <s v="Month+1 Expiry"/>
    <n v="2041946"/>
    <n v="364652.82"/>
    <n v="3838.67"/>
  </r>
  <r>
    <s v="28-Jan-2026"/>
    <x v="2"/>
    <s v="Week4-Jan-2026"/>
    <x v="4"/>
    <s v="30-Mar-2026"/>
    <s v="Monday"/>
    <s v="Monthly - Monday"/>
    <s v="Monthly - Monday"/>
    <s v="Month+2 Expiry"/>
    <n v="24716"/>
    <n v="4425.72"/>
    <n v="53.91"/>
  </r>
  <r>
    <s v="28-Jan-2026"/>
    <x v="2"/>
    <s v="Week4-Jan-2026"/>
    <x v="4"/>
    <s v="28-Apr-2026"/>
    <s v="Tuesday"/>
    <s v="Monthly - Tuesday"/>
    <s v="Monthly - Tuesday"/>
    <s v="Month+3 Expiry"/>
    <n v="159"/>
    <n v="28.18"/>
    <n v="0.44"/>
  </r>
  <r>
    <s v="28-Jan-2026"/>
    <x v="2"/>
    <s v="Week4-Jan-2026"/>
    <x v="4"/>
    <s v="30-Jun-2026"/>
    <s v="Tuesday"/>
    <s v="Monthly - Tuesday"/>
    <s v="Monthly - Tuesday"/>
    <s v="Month+5 Expiry"/>
    <n v="14"/>
    <n v="2.5"/>
    <n v="0.04"/>
  </r>
  <r>
    <s v="28-Jan-2026"/>
    <x v="2"/>
    <s v="Week4-Jan-2026"/>
    <x v="4"/>
    <s v="29-Sep-2026"/>
    <s v="Tuesday"/>
    <s v="Monthly - Tuesday"/>
    <s v="Monthly - Tuesday"/>
    <s v="Month+8 Expiry"/>
    <n v="0"/>
    <n v="0"/>
    <n v="0"/>
  </r>
  <r>
    <s v="28-Jan-2026"/>
    <x v="2"/>
    <s v="Week4-Jan-2026"/>
    <x v="4"/>
    <s v="29-Dec-2026"/>
    <s v="Tuesday"/>
    <s v="Monthly - Tuesday"/>
    <s v="Monthly - Tuesday"/>
    <s v="Month+11 Expiry"/>
    <n v="0"/>
    <n v="0"/>
    <n v="0"/>
  </r>
  <r>
    <s v="29-Jan-2026"/>
    <x v="3"/>
    <s v="Week5-Jan-2026"/>
    <x v="4"/>
    <s v="24-Feb-2026"/>
    <s v="Tuesday"/>
    <s v="Monthly - Tuesday"/>
    <s v="Monthly - Tuesday"/>
    <s v="Month+1 Expiry"/>
    <n v="1883204"/>
    <n v="337464.49"/>
    <n v="3504.25"/>
  </r>
  <r>
    <s v="29-Jan-2026"/>
    <x v="3"/>
    <s v="Week5-Jan-2026"/>
    <x v="4"/>
    <s v="30-Mar-2026"/>
    <s v="Monday"/>
    <s v="Monthly - Monday"/>
    <s v="Monthly - Monday"/>
    <s v="Month+2 Expiry"/>
    <n v="27686"/>
    <n v="4986.26"/>
    <n v="55.69"/>
  </r>
  <r>
    <s v="29-Jan-2026"/>
    <x v="3"/>
    <s v="Week5-Jan-2026"/>
    <x v="4"/>
    <s v="28-Apr-2026"/>
    <s v="Tuesday"/>
    <s v="Monthly - Tuesday"/>
    <s v="Monthly - Tuesday"/>
    <s v="Month+3 Expiry"/>
    <n v="320"/>
    <n v="58.22"/>
    <n v="1.03"/>
  </r>
  <r>
    <s v="29-Jan-2026"/>
    <x v="3"/>
    <s v="Week5-Jan-2026"/>
    <x v="4"/>
    <s v="30-Jun-2026"/>
    <s v="Tuesday"/>
    <s v="Monthly - Tuesday"/>
    <s v="Monthly - Tuesday"/>
    <s v="Month+5 Expiry"/>
    <n v="11"/>
    <n v="1.96"/>
    <n v="0.03"/>
  </r>
  <r>
    <s v="29-Jan-2026"/>
    <x v="3"/>
    <s v="Week5-Jan-2026"/>
    <x v="4"/>
    <s v="29-Sep-2026"/>
    <s v="Tuesday"/>
    <s v="Monthly - Tuesday"/>
    <s v="Monthly - Tuesday"/>
    <s v="Month+8 Expiry"/>
    <n v="0"/>
    <n v="0"/>
    <n v="0"/>
  </r>
  <r>
    <s v="29-Jan-2026"/>
    <x v="3"/>
    <s v="Week5-Jan-2026"/>
    <x v="4"/>
    <s v="29-Dec-2026"/>
    <s v="Tuesday"/>
    <s v="Monthly - Tuesday"/>
    <s v="Monthly - Tuesday"/>
    <s v="Month+11 Expiry"/>
    <n v="0"/>
    <n v="0"/>
    <n v="0"/>
  </r>
  <r>
    <s v="30-Jan-2026"/>
    <x v="4"/>
    <s v="Week5-Jan-2026"/>
    <x v="4"/>
    <s v="24-Feb-2026"/>
    <s v="Tuesday"/>
    <s v="Monthly - Tuesday"/>
    <s v="Monthly - Tuesday"/>
    <s v="Month+1 Expiry"/>
    <n v="2224337"/>
    <n v="398243.56"/>
    <n v="4037.95"/>
  </r>
  <r>
    <s v="30-Jan-2026"/>
    <x v="4"/>
    <s v="Week5-Jan-2026"/>
    <x v="4"/>
    <s v="30-Mar-2026"/>
    <s v="Monday"/>
    <s v="Monthly - Monday"/>
    <s v="Monthly - Monday"/>
    <s v="Month+2 Expiry"/>
    <n v="25777"/>
    <n v="4668.2"/>
    <n v="59.52"/>
  </r>
  <r>
    <s v="30-Jan-2026"/>
    <x v="4"/>
    <s v="Week5-Jan-2026"/>
    <x v="4"/>
    <s v="28-Apr-2026"/>
    <s v="Tuesday"/>
    <s v="Monthly - Tuesday"/>
    <s v="Monthly - Tuesday"/>
    <s v="Month+3 Expiry"/>
    <n v="487"/>
    <n v="88.85"/>
    <n v="1.75"/>
  </r>
  <r>
    <s v="30-Jan-2026"/>
    <x v="4"/>
    <s v="Week5-Jan-2026"/>
    <x v="4"/>
    <s v="30-Jun-2026"/>
    <s v="Tuesday"/>
    <s v="Monthly - Tuesday"/>
    <s v="Monthly - Tuesday"/>
    <s v="Month+5 Expiry"/>
    <n v="11"/>
    <n v="1.96"/>
    <n v="0.03"/>
  </r>
  <r>
    <s v="30-Jan-2026"/>
    <x v="4"/>
    <s v="Week5-Jan-2026"/>
    <x v="4"/>
    <s v="29-Sep-2026"/>
    <s v="Tuesday"/>
    <s v="Monthly - Tuesday"/>
    <s v="Monthly - Tuesday"/>
    <s v="Month+8 Expiry"/>
    <n v="0"/>
    <n v="0"/>
    <n v="0"/>
  </r>
  <r>
    <s v="30-Jan-2026"/>
    <x v="4"/>
    <s v="Week5-Jan-2026"/>
    <x v="4"/>
    <s v="29-Dec-2026"/>
    <s v="Tuesday"/>
    <s v="Monthly - Tuesday"/>
    <s v="Monthly - Tuesday"/>
    <s v="Month+11 Expiry"/>
    <n v="0"/>
    <n v="0"/>
    <n v="0"/>
  </r>
  <r>
    <s v="01-Feb-2026"/>
    <x v="5"/>
    <s v="Week1-Feb-2026"/>
    <x v="5"/>
    <s v="24-Feb-2026"/>
    <s v="Tuesday"/>
    <s v="Monthly - Tuesday"/>
    <s v="Monthly - Tuesday"/>
    <s v="Same Month Expiry"/>
    <n v="4014589"/>
    <n v="717337.55"/>
    <n v="6335.44"/>
  </r>
  <r>
    <s v="01-Feb-2026"/>
    <x v="5"/>
    <s v="Week1-Feb-2026"/>
    <x v="5"/>
    <s v="30-Mar-2026"/>
    <s v="Monday"/>
    <s v="Monthly - Monday"/>
    <s v="Monthly - Monday"/>
    <s v="Month+1 Expiry"/>
    <n v="67953"/>
    <n v="12264.79"/>
    <n v="151.91"/>
  </r>
  <r>
    <s v="01-Feb-2026"/>
    <x v="5"/>
    <s v="Week1-Feb-2026"/>
    <x v="5"/>
    <s v="28-Apr-2026"/>
    <s v="Tuesday"/>
    <s v="Monthly - Tuesday"/>
    <s v="Monthly - Tuesday"/>
    <s v="Month+2 Expiry"/>
    <n v="750"/>
    <n v="136.68"/>
    <n v="2.6"/>
  </r>
  <r>
    <s v="01-Feb-2026"/>
    <x v="5"/>
    <s v="Week1-Feb-2026"/>
    <x v="5"/>
    <s v="30-Jun-2026"/>
    <s v="Tuesday"/>
    <s v="Monthly - Tuesday"/>
    <s v="Monthly - Tuesday"/>
    <s v="Month+4 Expiry"/>
    <n v="43"/>
    <n v="7.69"/>
    <n v="0.14000000000000001"/>
  </r>
  <r>
    <s v="01-Feb-2026"/>
    <x v="5"/>
    <s v="Week1-Feb-2026"/>
    <x v="5"/>
    <s v="29-Sep-2026"/>
    <s v="Tuesday"/>
    <s v="Monthly - Tuesday"/>
    <s v="Monthly - Tuesday"/>
    <s v="Month+7 Expiry"/>
    <n v="0"/>
    <n v="0"/>
    <n v="0"/>
  </r>
  <r>
    <s v="01-Feb-2026"/>
    <x v="5"/>
    <s v="Week1-Feb-2026"/>
    <x v="5"/>
    <s v="29-Dec-2026"/>
    <s v="Tuesday"/>
    <s v="Monthly - Tuesday"/>
    <s v="Monthly - Tuesday"/>
    <s v="Month+10 Expiry"/>
    <n v="0"/>
    <n v="0"/>
    <n v="0"/>
  </r>
  <r>
    <s v="02-Feb-2026"/>
    <x v="0"/>
    <s v="Week1-Feb-2026"/>
    <x v="5"/>
    <s v="24-Feb-2026"/>
    <s v="Tuesday"/>
    <s v="Monthly - Tuesday"/>
    <s v="Monthly - Tuesday"/>
    <s v="Same Month Expiry"/>
    <n v="2941021"/>
    <n v="518591.58"/>
    <n v="4679.05"/>
  </r>
  <r>
    <s v="02-Feb-2026"/>
    <x v="0"/>
    <s v="Week1-Feb-2026"/>
    <x v="5"/>
    <s v="30-Mar-2026"/>
    <s v="Monday"/>
    <s v="Monthly - Monday"/>
    <s v="Monthly - Monday"/>
    <s v="Month+1 Expiry"/>
    <n v="55122"/>
    <n v="9868.0400000000009"/>
    <n v="123.41"/>
  </r>
  <r>
    <s v="02-Feb-2026"/>
    <x v="0"/>
    <s v="Week1-Feb-2026"/>
    <x v="5"/>
    <s v="28-Apr-2026"/>
    <s v="Tuesday"/>
    <s v="Monthly - Tuesday"/>
    <s v="Monthly - Tuesday"/>
    <s v="Month+2 Expiry"/>
    <n v="1483"/>
    <n v="267.98"/>
    <n v="4.1500000000000004"/>
  </r>
  <r>
    <s v="02-Feb-2026"/>
    <x v="0"/>
    <s v="Week1-Feb-2026"/>
    <x v="5"/>
    <s v="30-Jun-2026"/>
    <s v="Tuesday"/>
    <s v="Monthly - Tuesday"/>
    <s v="Monthly - Tuesday"/>
    <s v="Month+4 Expiry"/>
    <n v="44"/>
    <n v="7.89"/>
    <n v="0.17"/>
  </r>
  <r>
    <s v="02-Feb-2026"/>
    <x v="0"/>
    <s v="Week1-Feb-2026"/>
    <x v="5"/>
    <s v="29-Sep-2026"/>
    <s v="Tuesday"/>
    <s v="Monthly - Tuesday"/>
    <s v="Monthly - Tuesday"/>
    <s v="Month+7 Expiry"/>
    <n v="0"/>
    <n v="0"/>
    <n v="0"/>
  </r>
  <r>
    <s v="02-Feb-2026"/>
    <x v="0"/>
    <s v="Week1-Feb-2026"/>
    <x v="5"/>
    <s v="29-Dec-2026"/>
    <s v="Tuesday"/>
    <s v="Monthly - Tuesday"/>
    <s v="Monthly - Tuesday"/>
    <s v="Month+10 Expiry"/>
    <n v="0"/>
    <n v="0"/>
    <n v="0"/>
  </r>
  <r>
    <s v="03-Feb-2026"/>
    <x v="1"/>
    <s v="Week1-Feb-2026"/>
    <x v="5"/>
    <s v="24-Feb-2026"/>
    <s v="Tuesday"/>
    <s v="Monthly - Tuesday"/>
    <s v="Monthly - Tuesday"/>
    <s v="Same Month Expiry"/>
    <n v="3282380"/>
    <n v="587891.96"/>
    <n v="5110.09"/>
  </r>
  <r>
    <s v="03-Feb-2026"/>
    <x v="1"/>
    <s v="Week1-Feb-2026"/>
    <x v="5"/>
    <s v="30-Mar-2026"/>
    <s v="Monday"/>
    <s v="Monthly - Monday"/>
    <s v="Monthly - Monday"/>
    <s v="Month+1 Expiry"/>
    <n v="85238"/>
    <n v="15537.94"/>
    <n v="203.96"/>
  </r>
  <r>
    <s v="03-Feb-2026"/>
    <x v="1"/>
    <s v="Week1-Feb-2026"/>
    <x v="5"/>
    <s v="28-Apr-2026"/>
    <s v="Tuesday"/>
    <s v="Monthly - Tuesday"/>
    <s v="Monthly - Tuesday"/>
    <s v="Month+2 Expiry"/>
    <n v="1405"/>
    <n v="257.5"/>
    <n v="4.62"/>
  </r>
  <r>
    <s v="03-Feb-2026"/>
    <x v="1"/>
    <s v="Week1-Feb-2026"/>
    <x v="5"/>
    <s v="30-Jun-2026"/>
    <s v="Tuesday"/>
    <s v="Monthly - Tuesday"/>
    <s v="Monthly - Tuesday"/>
    <s v="Month+4 Expiry"/>
    <n v="40"/>
    <n v="7.13"/>
    <n v="0.11"/>
  </r>
  <r>
    <s v="03-Feb-2026"/>
    <x v="1"/>
    <s v="Week1-Feb-2026"/>
    <x v="5"/>
    <s v="29-Sep-2026"/>
    <s v="Tuesday"/>
    <s v="Monthly - Tuesday"/>
    <s v="Monthly - Tuesday"/>
    <s v="Month+7 Expiry"/>
    <n v="0"/>
    <n v="0"/>
    <n v="0"/>
  </r>
  <r>
    <s v="03-Feb-2026"/>
    <x v="1"/>
    <s v="Week1-Feb-2026"/>
    <x v="5"/>
    <s v="29-Dec-2026"/>
    <s v="Tuesday"/>
    <s v="Monthly - Tuesday"/>
    <s v="Monthly - Tuesday"/>
    <s v="Month+10 Expiry"/>
    <n v="0"/>
    <n v="0"/>
    <n v="0"/>
  </r>
  <r>
    <s v="04-Feb-2026"/>
    <x v="2"/>
    <s v="Week1-Feb-2026"/>
    <x v="5"/>
    <s v="24-Feb-2026"/>
    <s v="Tuesday"/>
    <s v="Monthly - Tuesday"/>
    <s v="Monthly - Tuesday"/>
    <s v="Same Month Expiry"/>
    <n v="2276529"/>
    <n v="409708.79"/>
    <n v="3282.48"/>
  </r>
  <r>
    <s v="04-Feb-2026"/>
    <x v="2"/>
    <s v="Week1-Feb-2026"/>
    <x v="5"/>
    <s v="30-Mar-2026"/>
    <s v="Monday"/>
    <s v="Monthly - Monday"/>
    <s v="Monthly - Monday"/>
    <s v="Month+1 Expiry"/>
    <n v="44167"/>
    <n v="7946.26"/>
    <n v="81.569999999999993"/>
  </r>
  <r>
    <s v="04-Feb-2026"/>
    <x v="2"/>
    <s v="Week1-Feb-2026"/>
    <x v="5"/>
    <s v="28-Apr-2026"/>
    <s v="Tuesday"/>
    <s v="Monthly - Tuesday"/>
    <s v="Monthly - Tuesday"/>
    <s v="Month+2 Expiry"/>
    <n v="1768"/>
    <n v="320.20999999999998"/>
    <n v="4.72"/>
  </r>
  <r>
    <s v="04-Feb-2026"/>
    <x v="2"/>
    <s v="Week1-Feb-2026"/>
    <x v="5"/>
    <s v="30-Jun-2026"/>
    <s v="Tuesday"/>
    <s v="Monthly - Tuesday"/>
    <s v="Monthly - Tuesday"/>
    <s v="Month+4 Expiry"/>
    <n v="52"/>
    <n v="9.41"/>
    <n v="0.28000000000000003"/>
  </r>
  <r>
    <s v="04-Feb-2026"/>
    <x v="2"/>
    <s v="Week1-Feb-2026"/>
    <x v="5"/>
    <s v="29-Sep-2026"/>
    <s v="Tuesday"/>
    <s v="Monthly - Tuesday"/>
    <s v="Monthly - Tuesday"/>
    <s v="Month+7 Expiry"/>
    <n v="0"/>
    <n v="0"/>
    <n v="0"/>
  </r>
  <r>
    <s v="04-Feb-2026"/>
    <x v="2"/>
    <s v="Week1-Feb-2026"/>
    <x v="5"/>
    <s v="29-Dec-2026"/>
    <s v="Tuesday"/>
    <s v="Monthly - Tuesday"/>
    <s v="Monthly - Tuesday"/>
    <s v="Month+10 Expiry"/>
    <n v="0"/>
    <n v="0"/>
    <n v="0"/>
  </r>
  <r>
    <s v="05-Feb-2026"/>
    <x v="3"/>
    <s v="Week1-Feb-2026"/>
    <x v="5"/>
    <s v="24-Feb-2026"/>
    <s v="Tuesday"/>
    <s v="Monthly - Tuesday"/>
    <s v="Monthly - Tuesday"/>
    <s v="Same Month Expiry"/>
    <n v="1900416"/>
    <n v="341981.34"/>
    <n v="2650.09"/>
  </r>
  <r>
    <s v="05-Feb-2026"/>
    <x v="3"/>
    <s v="Week1-Feb-2026"/>
    <x v="5"/>
    <s v="30-Mar-2026"/>
    <s v="Monday"/>
    <s v="Monthly - Monday"/>
    <s v="Monthly - Monday"/>
    <s v="Month+1 Expiry"/>
    <n v="28610"/>
    <n v="5205.6400000000003"/>
    <n v="53.56"/>
  </r>
  <r>
    <s v="05-Feb-2026"/>
    <x v="3"/>
    <s v="Week1-Feb-2026"/>
    <x v="5"/>
    <s v="28-Apr-2026"/>
    <s v="Tuesday"/>
    <s v="Monthly - Tuesday"/>
    <s v="Monthly - Tuesday"/>
    <s v="Month+2 Expiry"/>
    <n v="1227"/>
    <n v="222.19"/>
    <n v="3.12"/>
  </r>
  <r>
    <s v="05-Feb-2026"/>
    <x v="3"/>
    <s v="Week1-Feb-2026"/>
    <x v="5"/>
    <s v="30-Jun-2026"/>
    <s v="Tuesday"/>
    <s v="Monthly - Tuesday"/>
    <s v="Monthly - Tuesday"/>
    <s v="Month+4 Expiry"/>
    <n v="35"/>
    <n v="6.28"/>
    <n v="0.13"/>
  </r>
  <r>
    <s v="05-Feb-2026"/>
    <x v="3"/>
    <s v="Week1-Feb-2026"/>
    <x v="5"/>
    <s v="29-Sep-2026"/>
    <s v="Tuesday"/>
    <s v="Monthly - Tuesday"/>
    <s v="Monthly - Tuesday"/>
    <s v="Month+7 Expiry"/>
    <n v="0"/>
    <n v="0"/>
    <n v="0"/>
  </r>
  <r>
    <s v="05-Feb-2026"/>
    <x v="3"/>
    <s v="Week1-Feb-2026"/>
    <x v="5"/>
    <s v="29-Dec-2026"/>
    <s v="Tuesday"/>
    <s v="Monthly - Tuesday"/>
    <s v="Monthly - Tuesday"/>
    <s v="Month+10 Expiry"/>
    <n v="0"/>
    <n v="0"/>
    <n v="0"/>
  </r>
  <r>
    <s v="06-Feb-2026"/>
    <x v="4"/>
    <s v="Week1-Feb-2026"/>
    <x v="5"/>
    <s v="24-Feb-2026"/>
    <s v="Tuesday"/>
    <s v="Monthly - Tuesday"/>
    <s v="Monthly - Tuesday"/>
    <s v="Same Month Expiry"/>
    <n v="3206221"/>
    <n v="576755.97"/>
    <n v="4093.51"/>
  </r>
  <r>
    <s v="06-Feb-2026"/>
    <x v="4"/>
    <s v="Week1-Feb-2026"/>
    <x v="5"/>
    <s v="30-Mar-2026"/>
    <s v="Monday"/>
    <s v="Monthly - Monday"/>
    <s v="Monthly - Monday"/>
    <s v="Month+1 Expiry"/>
    <n v="46668"/>
    <n v="8472.9500000000007"/>
    <n v="88.62"/>
  </r>
  <r>
    <s v="06-Feb-2026"/>
    <x v="4"/>
    <s v="Week1-Feb-2026"/>
    <x v="5"/>
    <s v="28-Apr-2026"/>
    <s v="Tuesday"/>
    <s v="Monthly - Tuesday"/>
    <s v="Monthly - Tuesday"/>
    <s v="Month+2 Expiry"/>
    <n v="2290"/>
    <n v="417.25"/>
    <n v="5.17"/>
  </r>
  <r>
    <s v="06-Feb-2026"/>
    <x v="4"/>
    <s v="Week1-Feb-2026"/>
    <x v="5"/>
    <s v="30-Jun-2026"/>
    <s v="Tuesday"/>
    <s v="Monthly - Tuesday"/>
    <s v="Monthly - Tuesday"/>
    <s v="Month+4 Expiry"/>
    <n v="44"/>
    <n v="7.86"/>
    <n v="0.14000000000000001"/>
  </r>
  <r>
    <s v="06-Feb-2026"/>
    <x v="4"/>
    <s v="Week1-Feb-2026"/>
    <x v="5"/>
    <s v="29-Sep-2026"/>
    <s v="Tuesday"/>
    <s v="Monthly - Tuesday"/>
    <s v="Monthly - Tuesday"/>
    <s v="Month+7 Expiry"/>
    <n v="0"/>
    <n v="0"/>
    <n v="0"/>
  </r>
  <r>
    <s v="06-Feb-2026"/>
    <x v="4"/>
    <s v="Week1-Feb-2026"/>
    <x v="5"/>
    <s v="29-Dec-2026"/>
    <s v="Tuesday"/>
    <s v="Monthly - Tuesday"/>
    <s v="Monthly - Tuesday"/>
    <s v="Month+10 Expiry"/>
    <n v="0"/>
    <n v="0"/>
    <n v="0"/>
  </r>
  <r>
    <s v="09-Feb-2026"/>
    <x v="0"/>
    <s v="Week2-Feb-2026"/>
    <x v="5"/>
    <s v="24-Feb-2026"/>
    <s v="Tuesday"/>
    <s v="Monthly - Tuesday"/>
    <s v="Monthly - Tuesday"/>
    <s v="Same Month Expiry"/>
    <n v="2427088"/>
    <n v="437365.01"/>
    <n v="2800.95"/>
  </r>
  <r>
    <s v="09-Feb-2026"/>
    <x v="0"/>
    <s v="Week2-Feb-2026"/>
    <x v="5"/>
    <s v="30-Mar-2026"/>
    <s v="Monday"/>
    <s v="Monthly - Monday"/>
    <s v="Monthly - Monday"/>
    <s v="Month+1 Expiry"/>
    <n v="56574"/>
    <n v="10285.33"/>
    <n v="109.63"/>
  </r>
  <r>
    <s v="09-Feb-2026"/>
    <x v="0"/>
    <s v="Week2-Feb-2026"/>
    <x v="5"/>
    <s v="28-Apr-2026"/>
    <s v="Tuesday"/>
    <s v="Monthly - Tuesday"/>
    <s v="Monthly - Tuesday"/>
    <s v="Month+2 Expiry"/>
    <n v="5815"/>
    <n v="1065.26"/>
    <n v="13.88"/>
  </r>
  <r>
    <s v="09-Feb-2026"/>
    <x v="0"/>
    <s v="Week2-Feb-2026"/>
    <x v="5"/>
    <s v="30-Jun-2026"/>
    <s v="Tuesday"/>
    <s v="Monthly - Tuesday"/>
    <s v="Monthly - Tuesday"/>
    <s v="Month+4 Expiry"/>
    <n v="78"/>
    <n v="14.05"/>
    <n v="0.25"/>
  </r>
  <r>
    <s v="09-Feb-2026"/>
    <x v="0"/>
    <s v="Week2-Feb-2026"/>
    <x v="5"/>
    <s v="29-Sep-2026"/>
    <s v="Tuesday"/>
    <s v="Monthly - Tuesday"/>
    <s v="Monthly - Tuesday"/>
    <s v="Month+7 Expiry"/>
    <n v="0"/>
    <n v="0"/>
    <n v="0"/>
  </r>
  <r>
    <s v="09-Feb-2026"/>
    <x v="0"/>
    <s v="Week2-Feb-2026"/>
    <x v="5"/>
    <s v="29-Dec-2026"/>
    <s v="Tuesday"/>
    <s v="Monthly - Tuesday"/>
    <s v="Monthly - Tuesday"/>
    <s v="Month+10 Expiry"/>
    <n v="0"/>
    <n v="0"/>
    <n v="0"/>
  </r>
  <r>
    <s v="10-Feb-2026"/>
    <x v="1"/>
    <s v="Week2-Feb-2026"/>
    <x v="5"/>
    <s v="24-Feb-2026"/>
    <s v="Tuesday"/>
    <s v="Monthly - Tuesday"/>
    <s v="Monthly - Tuesday"/>
    <s v="Same Month Expiry"/>
    <n v="2052558"/>
    <n v="370866.84"/>
    <n v="2245.75"/>
  </r>
  <r>
    <s v="10-Feb-2026"/>
    <x v="1"/>
    <s v="Week2-Feb-2026"/>
    <x v="5"/>
    <s v="30-Mar-2026"/>
    <s v="Monday"/>
    <s v="Monthly - Monday"/>
    <s v="Monthly - Monday"/>
    <s v="Month+1 Expiry"/>
    <n v="45749"/>
    <n v="8279.42"/>
    <n v="76.5"/>
  </r>
  <r>
    <s v="10-Feb-2026"/>
    <x v="1"/>
    <s v="Week2-Feb-2026"/>
    <x v="5"/>
    <s v="28-Apr-2026"/>
    <s v="Tuesday"/>
    <s v="Monthly - Tuesday"/>
    <s v="Monthly - Tuesday"/>
    <s v="Month+2 Expiry"/>
    <n v="2784"/>
    <n v="511.11"/>
    <n v="6.14"/>
  </r>
  <r>
    <s v="10-Feb-2026"/>
    <x v="1"/>
    <s v="Week2-Feb-2026"/>
    <x v="5"/>
    <s v="30-Jun-2026"/>
    <s v="Tuesday"/>
    <s v="Monthly - Tuesday"/>
    <s v="Monthly - Tuesday"/>
    <s v="Month+4 Expiry"/>
    <n v="72"/>
    <n v="12.88"/>
    <n v="0.16"/>
  </r>
  <r>
    <s v="10-Feb-2026"/>
    <x v="1"/>
    <s v="Week2-Feb-2026"/>
    <x v="5"/>
    <s v="29-Sep-2026"/>
    <s v="Tuesday"/>
    <s v="Monthly - Tuesday"/>
    <s v="Monthly - Tuesday"/>
    <s v="Month+7 Expiry"/>
    <n v="0"/>
    <n v="0"/>
    <n v="0"/>
  </r>
  <r>
    <s v="10-Feb-2026"/>
    <x v="1"/>
    <s v="Week2-Feb-2026"/>
    <x v="5"/>
    <s v="29-Dec-2026"/>
    <s v="Tuesday"/>
    <s v="Monthly - Tuesday"/>
    <s v="Monthly - Tuesday"/>
    <s v="Month+10 Expiry"/>
    <n v="0"/>
    <n v="0"/>
    <n v="0"/>
  </r>
  <r>
    <s v="11-Feb-2026"/>
    <x v="2"/>
    <s v="Week2-Feb-2026"/>
    <x v="5"/>
    <s v="24-Feb-2026"/>
    <s v="Tuesday"/>
    <s v="Monthly - Tuesday"/>
    <s v="Monthly - Tuesday"/>
    <s v="Same Month Expiry"/>
    <n v="2490815"/>
    <n v="450543.09"/>
    <n v="2548.59"/>
  </r>
  <r>
    <s v="11-Feb-2026"/>
    <x v="2"/>
    <s v="Week2-Feb-2026"/>
    <x v="5"/>
    <s v="30-Mar-2026"/>
    <s v="Monday"/>
    <s v="Monthly - Monday"/>
    <s v="Monthly - Monday"/>
    <s v="Month+1 Expiry"/>
    <n v="48893"/>
    <n v="8887.92"/>
    <n v="79.77"/>
  </r>
  <r>
    <s v="11-Feb-2026"/>
    <x v="2"/>
    <s v="Week2-Feb-2026"/>
    <x v="5"/>
    <s v="28-Apr-2026"/>
    <s v="Tuesday"/>
    <s v="Monthly - Tuesday"/>
    <s v="Monthly - Tuesday"/>
    <s v="Month+2 Expiry"/>
    <n v="2539"/>
    <n v="461.51"/>
    <n v="5.0599999999999996"/>
  </r>
  <r>
    <s v="11-Feb-2026"/>
    <x v="2"/>
    <s v="Week2-Feb-2026"/>
    <x v="5"/>
    <s v="30-Jun-2026"/>
    <s v="Tuesday"/>
    <s v="Monthly - Tuesday"/>
    <s v="Monthly - Tuesday"/>
    <s v="Month+4 Expiry"/>
    <n v="109"/>
    <n v="19.75"/>
    <n v="0.28000000000000003"/>
  </r>
  <r>
    <s v="11-Feb-2026"/>
    <x v="2"/>
    <s v="Week2-Feb-2026"/>
    <x v="5"/>
    <s v="29-Sep-2026"/>
    <s v="Tuesday"/>
    <s v="Monthly - Tuesday"/>
    <s v="Monthly - Tuesday"/>
    <s v="Month+7 Expiry"/>
    <n v="0"/>
    <n v="0"/>
    <n v="0"/>
  </r>
  <r>
    <s v="11-Feb-2026"/>
    <x v="2"/>
    <s v="Week2-Feb-2026"/>
    <x v="5"/>
    <s v="29-Dec-2026"/>
    <s v="Tuesday"/>
    <s v="Monthly - Tuesday"/>
    <s v="Monthly - Tuesday"/>
    <s v="Month+10 Expiry"/>
    <n v="0"/>
    <n v="0"/>
    <n v="0"/>
  </r>
  <r>
    <s v="12-Feb-2026"/>
    <x v="3"/>
    <s v="Week2-Feb-2026"/>
    <x v="5"/>
    <s v="24-Feb-2026"/>
    <s v="Tuesday"/>
    <s v="Monthly - Tuesday"/>
    <s v="Monthly - Tuesday"/>
    <s v="Same Month Expiry"/>
    <n v="2534040"/>
    <n v="458663.92"/>
    <n v="2547.67"/>
  </r>
  <r>
    <s v="12-Feb-2026"/>
    <x v="3"/>
    <s v="Week2-Feb-2026"/>
    <x v="5"/>
    <s v="30-Mar-2026"/>
    <s v="Monday"/>
    <s v="Monthly - Monday"/>
    <s v="Monthly - Monday"/>
    <s v="Month+1 Expiry"/>
    <n v="54955"/>
    <n v="9884.7900000000009"/>
    <n v="86.43"/>
  </r>
  <r>
    <s v="12-Feb-2026"/>
    <x v="3"/>
    <s v="Week2-Feb-2026"/>
    <x v="5"/>
    <s v="28-Apr-2026"/>
    <s v="Tuesday"/>
    <s v="Monthly - Tuesday"/>
    <s v="Monthly - Tuesday"/>
    <s v="Month+2 Expiry"/>
    <n v="3366"/>
    <n v="614.88"/>
    <n v="7.72"/>
  </r>
  <r>
    <s v="12-Feb-2026"/>
    <x v="3"/>
    <s v="Week2-Feb-2026"/>
    <x v="5"/>
    <s v="30-Jun-2026"/>
    <s v="Tuesday"/>
    <s v="Monthly - Tuesday"/>
    <s v="Monthly - Tuesday"/>
    <s v="Month+4 Expiry"/>
    <n v="59"/>
    <n v="10.59"/>
    <n v="0.13"/>
  </r>
  <r>
    <s v="12-Feb-2026"/>
    <x v="3"/>
    <s v="Week2-Feb-2026"/>
    <x v="5"/>
    <s v="29-Sep-2026"/>
    <s v="Tuesday"/>
    <s v="Monthly - Tuesday"/>
    <s v="Monthly - Tuesday"/>
    <s v="Month+7 Expiry"/>
    <n v="0"/>
    <n v="0"/>
    <n v="0"/>
  </r>
  <r>
    <s v="12-Feb-2026"/>
    <x v="3"/>
    <s v="Week2-Feb-2026"/>
    <x v="5"/>
    <s v="29-Dec-2026"/>
    <s v="Tuesday"/>
    <s v="Monthly - Tuesday"/>
    <s v="Monthly - Tuesday"/>
    <s v="Month+10 Expiry"/>
    <n v="0"/>
    <n v="0"/>
    <n v="0"/>
  </r>
  <r>
    <s v="13-Feb-2026"/>
    <x v="4"/>
    <s v="Week2-Feb-2026"/>
    <x v="5"/>
    <s v="24-Feb-2026"/>
    <s v="Tuesday"/>
    <s v="Monthly - Tuesday"/>
    <s v="Monthly - Tuesday"/>
    <s v="Same Month Expiry"/>
    <n v="3531486"/>
    <n v="634951.42000000004"/>
    <n v="3447.65"/>
  </r>
  <r>
    <s v="13-Feb-2026"/>
    <x v="4"/>
    <s v="Week2-Feb-2026"/>
    <x v="5"/>
    <s v="30-Mar-2026"/>
    <s v="Monday"/>
    <s v="Monthly - Monday"/>
    <s v="Monthly - Monday"/>
    <s v="Month+1 Expiry"/>
    <n v="102674"/>
    <n v="18665.46"/>
    <n v="176.57"/>
  </r>
  <r>
    <s v="13-Feb-2026"/>
    <x v="4"/>
    <s v="Week2-Feb-2026"/>
    <x v="5"/>
    <s v="28-Apr-2026"/>
    <s v="Tuesday"/>
    <s v="Monthly - Tuesday"/>
    <s v="Monthly - Tuesday"/>
    <s v="Month+2 Expiry"/>
    <n v="5415"/>
    <n v="979.94"/>
    <n v="9.75"/>
  </r>
  <r>
    <s v="13-Feb-2026"/>
    <x v="4"/>
    <s v="Week2-Feb-2026"/>
    <x v="5"/>
    <s v="30-Jun-2026"/>
    <s v="Tuesday"/>
    <s v="Monthly - Tuesday"/>
    <s v="Monthly - Tuesday"/>
    <s v="Month+4 Expiry"/>
    <n v="123"/>
    <n v="22.28"/>
    <n v="0.34"/>
  </r>
  <r>
    <s v="13-Feb-2026"/>
    <x v="4"/>
    <s v="Week2-Feb-2026"/>
    <x v="5"/>
    <s v="29-Sep-2026"/>
    <s v="Tuesday"/>
    <s v="Monthly - Tuesday"/>
    <s v="Monthly - Tuesday"/>
    <s v="Month+7 Expiry"/>
    <n v="0"/>
    <n v="0"/>
    <n v="0"/>
  </r>
  <r>
    <s v="13-Feb-2026"/>
    <x v="4"/>
    <s v="Week2-Feb-2026"/>
    <x v="5"/>
    <s v="29-Dec-2026"/>
    <s v="Tuesday"/>
    <s v="Monthly - Tuesday"/>
    <s v="Monthly - Tuesday"/>
    <s v="Month+10 Expiry"/>
    <n v="0"/>
    <n v="0"/>
    <n v="0"/>
  </r>
  <r>
    <s v="16-Feb-2026"/>
    <x v="0"/>
    <s v="Week3-Feb-2026"/>
    <x v="5"/>
    <s v="24-Feb-2026"/>
    <s v="Tuesday"/>
    <s v="Monthly - Tuesday"/>
    <s v="Monthly - Tuesday"/>
    <s v="Same Month Expiry"/>
    <n v="4350327"/>
    <n v="786480.48"/>
    <n v="4117.72"/>
  </r>
  <r>
    <s v="16-Feb-2026"/>
    <x v="0"/>
    <s v="Week3-Feb-2026"/>
    <x v="5"/>
    <s v="30-Mar-2026"/>
    <s v="Monday"/>
    <s v="Monthly - Monday"/>
    <s v="Monthly - Monday"/>
    <s v="Month+1 Expiry"/>
    <n v="132760"/>
    <n v="24179.46"/>
    <n v="246.52"/>
  </r>
  <r>
    <s v="16-Feb-2026"/>
    <x v="0"/>
    <s v="Week3-Feb-2026"/>
    <x v="5"/>
    <s v="28-Apr-2026"/>
    <s v="Tuesday"/>
    <s v="Monthly - Tuesday"/>
    <s v="Monthly - Tuesday"/>
    <s v="Month+2 Expiry"/>
    <n v="7394"/>
    <n v="1358.87"/>
    <n v="18.2"/>
  </r>
  <r>
    <s v="16-Feb-2026"/>
    <x v="0"/>
    <s v="Week3-Feb-2026"/>
    <x v="5"/>
    <s v="30-Jun-2026"/>
    <s v="Tuesday"/>
    <s v="Monthly - Tuesday"/>
    <s v="Monthly - Tuesday"/>
    <s v="Month+4 Expiry"/>
    <n v="176"/>
    <n v="32.1"/>
    <n v="0.55000000000000004"/>
  </r>
  <r>
    <s v="16-Feb-2026"/>
    <x v="0"/>
    <s v="Week3-Feb-2026"/>
    <x v="5"/>
    <s v="29-Sep-2026"/>
    <s v="Tuesday"/>
    <s v="Monthly - Tuesday"/>
    <s v="Monthly - Tuesday"/>
    <s v="Month+7 Expiry"/>
    <n v="0"/>
    <n v="0"/>
    <n v="0"/>
  </r>
  <r>
    <s v="16-Feb-2026"/>
    <x v="0"/>
    <s v="Week3-Feb-2026"/>
    <x v="5"/>
    <s v="29-Dec-2026"/>
    <s v="Tuesday"/>
    <s v="Monthly - Tuesday"/>
    <s v="Monthly - Tuesday"/>
    <s v="Month+10 Expiry"/>
    <n v="0"/>
    <n v="0"/>
    <n v="0"/>
  </r>
  <r>
    <s v="17-Feb-2026"/>
    <x v="1"/>
    <s v="Week3-Feb-2026"/>
    <x v="5"/>
    <s v="24-Feb-2026"/>
    <s v="Tuesday"/>
    <s v="Monthly - Tuesday"/>
    <s v="Monthly - Tuesday"/>
    <s v="Same Month Expiry"/>
    <n v="4695879"/>
    <n v="849944.81"/>
    <n v="3916.83"/>
  </r>
  <r>
    <s v="17-Feb-2026"/>
    <x v="1"/>
    <s v="Week3-Feb-2026"/>
    <x v="5"/>
    <s v="30-Mar-2026"/>
    <s v="Monday"/>
    <s v="Monthly - Monday"/>
    <s v="Monthly - Monday"/>
    <s v="Month+1 Expiry"/>
    <n v="181804"/>
    <n v="33370.69"/>
    <n v="365.91"/>
  </r>
  <r>
    <s v="17-Feb-2026"/>
    <x v="1"/>
    <s v="Week3-Feb-2026"/>
    <x v="5"/>
    <s v="28-Apr-2026"/>
    <s v="Tuesday"/>
    <s v="Monthly - Tuesday"/>
    <s v="Monthly - Tuesday"/>
    <s v="Month+2 Expiry"/>
    <n v="7836"/>
    <n v="1443.56"/>
    <n v="18.989999999999998"/>
  </r>
  <r>
    <s v="17-Feb-2026"/>
    <x v="1"/>
    <s v="Week3-Feb-2026"/>
    <x v="5"/>
    <s v="30-Jun-2026"/>
    <s v="Tuesday"/>
    <s v="Monthly - Tuesday"/>
    <s v="Monthly - Tuesday"/>
    <s v="Month+4 Expiry"/>
    <n v="205"/>
    <n v="37.119999999999997"/>
    <n v="0.55000000000000004"/>
  </r>
  <r>
    <s v="17-Feb-2026"/>
    <x v="1"/>
    <s v="Week3-Feb-2026"/>
    <x v="5"/>
    <s v="29-Sep-2026"/>
    <s v="Tuesday"/>
    <s v="Monthly - Tuesday"/>
    <s v="Monthly - Tuesday"/>
    <s v="Month+7 Expiry"/>
    <n v="0"/>
    <n v="0"/>
    <n v="0"/>
  </r>
  <r>
    <s v="17-Feb-2026"/>
    <x v="1"/>
    <s v="Week3-Feb-2026"/>
    <x v="5"/>
    <s v="29-Dec-2026"/>
    <s v="Tuesday"/>
    <s v="Monthly - Tuesday"/>
    <s v="Monthly - Tuesday"/>
    <s v="Month+10 Expiry"/>
    <n v="0"/>
    <n v="0"/>
    <n v="0"/>
  </r>
  <r>
    <s v="18-Feb-2026"/>
    <x v="2"/>
    <s v="Week3-Feb-2026"/>
    <x v="5"/>
    <s v="24-Feb-2026"/>
    <s v="Tuesday"/>
    <s v="Monthly - Tuesday"/>
    <s v="Monthly - Tuesday"/>
    <s v="Same Month Expiry"/>
    <n v="6187632"/>
    <n v="1120122.94"/>
    <n v="4238.43"/>
  </r>
  <r>
    <s v="18-Feb-2026"/>
    <x v="2"/>
    <s v="Week3-Feb-2026"/>
    <x v="5"/>
    <s v="30-Mar-2026"/>
    <s v="Monday"/>
    <s v="Monthly - Monday"/>
    <s v="Monthly - Monday"/>
    <s v="Month+1 Expiry"/>
    <n v="238935"/>
    <n v="43801.08"/>
    <n v="416.57"/>
  </r>
  <r>
    <s v="18-Feb-2026"/>
    <x v="2"/>
    <s v="Week3-Feb-2026"/>
    <x v="5"/>
    <s v="28-Apr-2026"/>
    <s v="Tuesday"/>
    <s v="Monthly - Tuesday"/>
    <s v="Monthly - Tuesday"/>
    <s v="Month+2 Expiry"/>
    <n v="9490"/>
    <n v="1751.73"/>
    <n v="25.04"/>
  </r>
  <r>
    <s v="18-Feb-2026"/>
    <x v="2"/>
    <s v="Week3-Feb-2026"/>
    <x v="5"/>
    <s v="30-Jun-2026"/>
    <s v="Tuesday"/>
    <s v="Monthly - Tuesday"/>
    <s v="Monthly - Tuesday"/>
    <s v="Month+4 Expiry"/>
    <n v="204"/>
    <n v="37.19"/>
    <n v="0.74"/>
  </r>
  <r>
    <s v="18-Feb-2026"/>
    <x v="2"/>
    <s v="Week3-Feb-2026"/>
    <x v="5"/>
    <s v="29-Sep-2026"/>
    <s v="Tuesday"/>
    <s v="Monthly - Tuesday"/>
    <s v="Monthly - Tuesday"/>
    <s v="Month+7 Expiry"/>
    <n v="0"/>
    <n v="0"/>
    <n v="0"/>
  </r>
  <r>
    <s v="18-Feb-2026"/>
    <x v="2"/>
    <s v="Week3-Feb-2026"/>
    <x v="5"/>
    <s v="29-Dec-2026"/>
    <s v="Tuesday"/>
    <s v="Monthly - Tuesday"/>
    <s v="Monthly - Tuesday"/>
    <s v="Month+10 Expiry"/>
    <n v="0"/>
    <n v="0"/>
    <n v="0"/>
  </r>
  <r>
    <s v="19-Feb-2026"/>
    <x v="3"/>
    <s v="Week3-Feb-2026"/>
    <x v="5"/>
    <s v="24-Feb-2026"/>
    <s v="Tuesday"/>
    <s v="Monthly - Tuesday"/>
    <s v="Monthly - Tuesday"/>
    <s v="Same Month Expiry"/>
    <n v="7927108"/>
    <n v="1429535.63"/>
    <n v="4991.96"/>
  </r>
  <r>
    <s v="19-Feb-2026"/>
    <x v="3"/>
    <s v="Week3-Feb-2026"/>
    <x v="5"/>
    <s v="30-Mar-2026"/>
    <s v="Monday"/>
    <s v="Monthly - Monday"/>
    <s v="Monthly - Monday"/>
    <s v="Month+1 Expiry"/>
    <n v="378952"/>
    <n v="69736.63"/>
    <n v="740.26"/>
  </r>
  <r>
    <s v="19-Feb-2026"/>
    <x v="3"/>
    <s v="Week3-Feb-2026"/>
    <x v="5"/>
    <s v="28-Apr-2026"/>
    <s v="Tuesday"/>
    <s v="Monthly - Tuesday"/>
    <s v="Monthly - Tuesday"/>
    <s v="Month+2 Expiry"/>
    <n v="14971"/>
    <n v="2757.02"/>
    <n v="38.18"/>
  </r>
  <r>
    <s v="19-Feb-2026"/>
    <x v="3"/>
    <s v="Week3-Feb-2026"/>
    <x v="5"/>
    <s v="30-Jun-2026"/>
    <s v="Tuesday"/>
    <s v="Monthly - Tuesday"/>
    <s v="Monthly - Tuesday"/>
    <s v="Month+4 Expiry"/>
    <n v="352"/>
    <n v="64.39"/>
    <n v="1.26"/>
  </r>
  <r>
    <s v="19-Feb-2026"/>
    <x v="3"/>
    <s v="Week3-Feb-2026"/>
    <x v="5"/>
    <s v="29-Sep-2026"/>
    <s v="Tuesday"/>
    <s v="Monthly - Tuesday"/>
    <s v="Monthly - Tuesday"/>
    <s v="Month+7 Expiry"/>
    <n v="0"/>
    <n v="0"/>
    <n v="0"/>
  </r>
  <r>
    <s v="19-Feb-2026"/>
    <x v="3"/>
    <s v="Week3-Feb-2026"/>
    <x v="5"/>
    <s v="29-Dec-2026"/>
    <s v="Tuesday"/>
    <s v="Monthly - Tuesday"/>
    <s v="Monthly - Tuesday"/>
    <s v="Month+10 Expiry"/>
    <n v="0"/>
    <n v="0"/>
    <n v="0"/>
  </r>
  <r>
    <s v="20-Feb-2026"/>
    <x v="4"/>
    <s v="Week3-Feb-2026"/>
    <x v="5"/>
    <s v="24-Feb-2026"/>
    <s v="Tuesday"/>
    <s v="Monthly - Tuesday"/>
    <s v="Monthly - Tuesday"/>
    <s v="Same Month Expiry"/>
    <n v="12680554"/>
    <n v="2302730.91"/>
    <n v="8559.2900000000009"/>
  </r>
  <r>
    <s v="20-Feb-2026"/>
    <x v="4"/>
    <s v="Week3-Feb-2026"/>
    <x v="5"/>
    <s v="30-Mar-2026"/>
    <s v="Monday"/>
    <s v="Monthly - Monday"/>
    <s v="Monthly - Monday"/>
    <s v="Month+1 Expiry"/>
    <n v="408308"/>
    <n v="75078.95"/>
    <n v="826.64"/>
  </r>
  <r>
    <s v="20-Feb-2026"/>
    <x v="4"/>
    <s v="Week3-Feb-2026"/>
    <x v="5"/>
    <s v="28-Apr-2026"/>
    <s v="Tuesday"/>
    <s v="Monthly - Tuesday"/>
    <s v="Monthly - Tuesday"/>
    <s v="Month+2 Expiry"/>
    <n v="11033"/>
    <n v="2027.04"/>
    <n v="27.97"/>
  </r>
  <r>
    <s v="20-Feb-2026"/>
    <x v="4"/>
    <s v="Week3-Feb-2026"/>
    <x v="5"/>
    <s v="30-Jun-2026"/>
    <s v="Tuesday"/>
    <s v="Monthly - Tuesday"/>
    <s v="Monthly - Tuesday"/>
    <s v="Month+4 Expiry"/>
    <n v="306"/>
    <n v="56.09"/>
    <n v="1.1299999999999999"/>
  </r>
  <r>
    <s v="20-Feb-2026"/>
    <x v="4"/>
    <s v="Week3-Feb-2026"/>
    <x v="5"/>
    <s v="29-Sep-2026"/>
    <s v="Tuesday"/>
    <s v="Monthly - Tuesday"/>
    <s v="Monthly - Tuesday"/>
    <s v="Month+7 Expiry"/>
    <n v="0"/>
    <n v="0"/>
    <n v="0"/>
  </r>
  <r>
    <s v="20-Feb-2026"/>
    <x v="4"/>
    <s v="Week3-Feb-2026"/>
    <x v="5"/>
    <s v="29-Dec-2026"/>
    <s v="Tuesday"/>
    <s v="Monthly - Tuesday"/>
    <s v="Monthly - Tuesday"/>
    <s v="Month+10 Expiry"/>
    <n v="0"/>
    <n v="0"/>
    <n v="0"/>
  </r>
  <r>
    <s v="23-Feb-2026"/>
    <x v="0"/>
    <s v="Week4-Feb-2026"/>
    <x v="5"/>
    <s v="24-Feb-2026"/>
    <s v="Tuesday"/>
    <s v="Monthly - Tuesday"/>
    <s v="Monthly - Tuesday"/>
    <s v="Same Month Expiry"/>
    <n v="18965791"/>
    <n v="3437054.32"/>
    <n v="9669.15"/>
  </r>
  <r>
    <s v="23-Feb-2026"/>
    <x v="0"/>
    <s v="Week4-Feb-2026"/>
    <x v="5"/>
    <s v="30-Mar-2026"/>
    <s v="Monday"/>
    <s v="Monthly - Monday"/>
    <s v="Monthly - Monday"/>
    <s v="Month+1 Expiry"/>
    <n v="423329"/>
    <n v="78038.240000000005"/>
    <n v="964.54"/>
  </r>
  <r>
    <s v="23-Feb-2026"/>
    <x v="0"/>
    <s v="Week4-Feb-2026"/>
    <x v="5"/>
    <s v="28-Apr-2026"/>
    <s v="Tuesday"/>
    <s v="Monthly - Tuesday"/>
    <s v="Monthly - Tuesday"/>
    <s v="Month+2 Expiry"/>
    <n v="10642"/>
    <n v="1963.11"/>
    <n v="27.18"/>
  </r>
  <r>
    <s v="23-Feb-2026"/>
    <x v="0"/>
    <s v="Week4-Feb-2026"/>
    <x v="5"/>
    <s v="30-Jun-2026"/>
    <s v="Tuesday"/>
    <s v="Monthly - Tuesday"/>
    <s v="Monthly - Tuesday"/>
    <s v="Month+4 Expiry"/>
    <n v="150"/>
    <n v="27.47"/>
    <n v="0.6"/>
  </r>
  <r>
    <s v="23-Feb-2026"/>
    <x v="0"/>
    <s v="Week4-Feb-2026"/>
    <x v="5"/>
    <s v="29-Sep-2026"/>
    <s v="Tuesday"/>
    <s v="Monthly - Tuesday"/>
    <s v="Monthly - Tuesday"/>
    <s v="Month+7 Expiry"/>
    <n v="0"/>
    <n v="0"/>
    <n v="0"/>
  </r>
  <r>
    <s v="23-Feb-2026"/>
    <x v="0"/>
    <s v="Week4-Feb-2026"/>
    <x v="5"/>
    <s v="29-Dec-2026"/>
    <s v="Tuesday"/>
    <s v="Monthly - Tuesday"/>
    <s v="Monthly - Tuesday"/>
    <s v="Month+10 Expiry"/>
    <n v="0"/>
    <n v="0"/>
    <n v="0"/>
  </r>
  <r>
    <s v="24-Feb-2026"/>
    <x v="1"/>
    <s v="Week4-Feb-2026"/>
    <x v="5"/>
    <s v="24-Feb-2026"/>
    <s v="Tuesday"/>
    <s v="Monthly - Tuesday"/>
    <s v="Monthly - Tuesday"/>
    <s v="Same Month Expiry"/>
    <n v="90988108"/>
    <n v="16440671.640000001"/>
    <n v="16981.91"/>
  </r>
  <r>
    <s v="24-Feb-2026"/>
    <x v="1"/>
    <s v="Week4-Feb-2026"/>
    <x v="5"/>
    <s v="30-Mar-2026"/>
    <s v="Monday"/>
    <s v="Monthly - Monday"/>
    <s v="Monthly - Monday"/>
    <s v="Month+1 Expiry"/>
    <n v="895039"/>
    <n v="164413.47"/>
    <n v="1806.93"/>
  </r>
  <r>
    <s v="24-Feb-2026"/>
    <x v="1"/>
    <s v="Week4-Feb-2026"/>
    <x v="5"/>
    <s v="28-Apr-2026"/>
    <s v="Tuesday"/>
    <s v="Monthly - Tuesday"/>
    <s v="Monthly - Tuesday"/>
    <s v="Month+2 Expiry"/>
    <n v="15753"/>
    <n v="2911.45"/>
    <n v="37.799999999999997"/>
  </r>
  <r>
    <s v="24-Feb-2026"/>
    <x v="1"/>
    <s v="Week4-Feb-2026"/>
    <x v="5"/>
    <s v="30-Jun-2026"/>
    <s v="Tuesday"/>
    <s v="Monthly - Tuesday"/>
    <s v="Monthly - Tuesday"/>
    <s v="Month+4 Expiry"/>
    <n v="268"/>
    <n v="48.95"/>
    <n v="1.03"/>
  </r>
  <r>
    <s v="24-Feb-2026"/>
    <x v="1"/>
    <s v="Week4-Feb-2026"/>
    <x v="5"/>
    <s v="29-Sep-2026"/>
    <s v="Tuesday"/>
    <s v="Monthly - Tuesday"/>
    <s v="Monthly - Tuesday"/>
    <s v="Month+7 Expiry"/>
    <n v="0"/>
    <n v="0"/>
    <n v="0"/>
  </r>
  <r>
    <s v="24-Feb-2026"/>
    <x v="1"/>
    <s v="Week4-Feb-2026"/>
    <x v="5"/>
    <s v="29-Dec-2026"/>
    <s v="Tuesday"/>
    <s v="Monthly - Tuesday"/>
    <s v="Monthly - Tuesday"/>
    <s v="Month+10 Expiry"/>
    <n v="0"/>
    <n v="0"/>
    <n v="0"/>
  </r>
  <r>
    <s v="25-Feb-2026"/>
    <x v="2"/>
    <s v="Week4-Feb-2026"/>
    <x v="5"/>
    <s v="30-Mar-2026"/>
    <s v="Monday"/>
    <s v="Monthly - Monday"/>
    <s v="Monthly - Monday"/>
    <s v="Month+1 Expiry"/>
    <n v="1954093"/>
    <n v="358046.93"/>
    <n v="3513.57"/>
  </r>
  <r>
    <s v="25-Feb-2026"/>
    <x v="2"/>
    <s v="Week4-Feb-2026"/>
    <x v="5"/>
    <s v="28-Apr-2026"/>
    <s v="Tuesday"/>
    <s v="Monthly - Tuesday"/>
    <s v="Monthly - Tuesday"/>
    <s v="Month+2 Expiry"/>
    <n v="18789"/>
    <n v="3466.15"/>
    <n v="43.79"/>
  </r>
  <r>
    <s v="25-Feb-2026"/>
    <x v="2"/>
    <s v="Week4-Feb-2026"/>
    <x v="5"/>
    <s v="26-May-2026"/>
    <s v="Tuesday"/>
    <s v="Monthly - Tuesday"/>
    <s v="Monthly - Tuesday"/>
    <s v="Month+3 Expiry"/>
    <n v="370"/>
    <n v="66.760000000000005"/>
    <n v="0.94"/>
  </r>
  <r>
    <s v="25-Feb-2026"/>
    <x v="2"/>
    <s v="Week4-Feb-2026"/>
    <x v="5"/>
    <s v="30-Jun-2026"/>
    <s v="Tuesday"/>
    <s v="Monthly - Tuesday"/>
    <s v="Monthly - Tuesday"/>
    <s v="Month+4 Expiry"/>
    <n v="242"/>
    <n v="44.08"/>
    <n v="0.83"/>
  </r>
  <r>
    <s v="25-Feb-2026"/>
    <x v="2"/>
    <s v="Week4-Feb-2026"/>
    <x v="5"/>
    <s v="29-Sep-2026"/>
    <s v="Tuesday"/>
    <s v="Monthly - Tuesday"/>
    <s v="Monthly - Tuesday"/>
    <s v="Month+7 Expiry"/>
    <n v="0"/>
    <n v="0"/>
    <n v="0"/>
  </r>
  <r>
    <s v="25-Feb-2026"/>
    <x v="2"/>
    <s v="Week4-Feb-2026"/>
    <x v="5"/>
    <s v="29-Dec-2026"/>
    <s v="Tuesday"/>
    <s v="Monthly - Tuesday"/>
    <s v="Monthly - Tuesday"/>
    <s v="Month+10 Expiry"/>
    <n v="0"/>
    <n v="0"/>
    <n v="0"/>
  </r>
  <r>
    <s v="26-Feb-2026"/>
    <x v="3"/>
    <s v="Week4-Feb-2026"/>
    <x v="5"/>
    <s v="30-Mar-2026"/>
    <s v="Monday"/>
    <s v="Monthly - Monday"/>
    <s v="Monthly - Monday"/>
    <s v="Month+1 Expiry"/>
    <n v="1640894"/>
    <n v="299843.90999999997"/>
    <n v="2935.64"/>
  </r>
  <r>
    <s v="26-Feb-2026"/>
    <x v="3"/>
    <s v="Week4-Feb-2026"/>
    <x v="5"/>
    <s v="28-Apr-2026"/>
    <s v="Tuesday"/>
    <s v="Monthly - Tuesday"/>
    <s v="Monthly - Tuesday"/>
    <s v="Month+2 Expiry"/>
    <n v="17189"/>
    <n v="3152.13"/>
    <n v="36.770000000000003"/>
  </r>
  <r>
    <s v="26-Feb-2026"/>
    <x v="3"/>
    <s v="Week4-Feb-2026"/>
    <x v="5"/>
    <s v="26-May-2026"/>
    <s v="Tuesday"/>
    <s v="Monthly - Tuesday"/>
    <s v="Monthly - Tuesday"/>
    <s v="Month+3 Expiry"/>
    <n v="936"/>
    <n v="171.44"/>
    <n v="2.67"/>
  </r>
  <r>
    <s v="26-Feb-2026"/>
    <x v="3"/>
    <s v="Week4-Feb-2026"/>
    <x v="5"/>
    <s v="30-Jun-2026"/>
    <s v="Tuesday"/>
    <s v="Monthly - Tuesday"/>
    <s v="Monthly - Tuesday"/>
    <s v="Month+4 Expiry"/>
    <n v="186"/>
    <n v="33.74"/>
    <n v="0.55000000000000004"/>
  </r>
  <r>
    <s v="26-Feb-2026"/>
    <x v="3"/>
    <s v="Week4-Feb-2026"/>
    <x v="5"/>
    <s v="29-Sep-2026"/>
    <s v="Tuesday"/>
    <s v="Monthly - Tuesday"/>
    <s v="Monthly - Tuesday"/>
    <s v="Month+7 Expiry"/>
    <n v="0"/>
    <n v="0"/>
    <n v="0"/>
  </r>
  <r>
    <s v="26-Feb-2026"/>
    <x v="3"/>
    <s v="Week4-Feb-2026"/>
    <x v="5"/>
    <s v="29-Dec-2026"/>
    <s v="Tuesday"/>
    <s v="Monthly - Tuesday"/>
    <s v="Monthly - Tuesday"/>
    <s v="Month+10 Expiry"/>
    <n v="0"/>
    <n v="0"/>
    <n v="0"/>
  </r>
  <r>
    <s v="27-Feb-2026"/>
    <x v="4"/>
    <s v="Week4-Feb-2026"/>
    <x v="5"/>
    <s v="30-Mar-2026"/>
    <s v="Monday"/>
    <s v="Monthly - Monday"/>
    <s v="Monthly - Monday"/>
    <s v="Month+1 Expiry"/>
    <n v="2217864"/>
    <n v="403950.65"/>
    <n v="3866.31"/>
  </r>
  <r>
    <s v="27-Feb-2026"/>
    <x v="4"/>
    <s v="Week4-Feb-2026"/>
    <x v="5"/>
    <s v="28-Apr-2026"/>
    <s v="Tuesday"/>
    <s v="Monthly - Tuesday"/>
    <s v="Monthly - Tuesday"/>
    <s v="Month+2 Expiry"/>
    <n v="25813"/>
    <n v="4754.47"/>
    <n v="57.74"/>
  </r>
  <r>
    <s v="27-Feb-2026"/>
    <x v="4"/>
    <s v="Week4-Feb-2026"/>
    <x v="5"/>
    <s v="26-May-2026"/>
    <s v="Tuesday"/>
    <s v="Monthly - Tuesday"/>
    <s v="Monthly - Tuesday"/>
    <s v="Month+3 Expiry"/>
    <n v="2404"/>
    <n v="440.69"/>
    <n v="7.05"/>
  </r>
  <r>
    <s v="27-Feb-2026"/>
    <x v="4"/>
    <s v="Week4-Feb-2026"/>
    <x v="5"/>
    <s v="30-Jun-2026"/>
    <s v="Tuesday"/>
    <s v="Monthly - Tuesday"/>
    <s v="Monthly - Tuesday"/>
    <s v="Month+4 Expiry"/>
    <n v="329"/>
    <n v="59.75"/>
    <n v="1.1000000000000001"/>
  </r>
  <r>
    <s v="27-Feb-2026"/>
    <x v="4"/>
    <s v="Week4-Feb-2026"/>
    <x v="5"/>
    <s v="29-Sep-2026"/>
    <s v="Tuesday"/>
    <s v="Monthly - Tuesday"/>
    <s v="Monthly - Tuesday"/>
    <s v="Month+7 Expiry"/>
    <n v="0"/>
    <n v="0"/>
    <n v="0"/>
  </r>
  <r>
    <s v="27-Feb-2026"/>
    <x v="4"/>
    <s v="Week4-Feb-2026"/>
    <x v="5"/>
    <s v="29-Dec-2026"/>
    <s v="Tuesday"/>
    <s v="Monthly - Tuesday"/>
    <s v="Monthly - Tuesday"/>
    <s v="Month+10 Expiry"/>
    <n v="0"/>
    <n v="0"/>
    <n v="0"/>
  </r>
  <r>
    <s v="02-Mar-2026"/>
    <x v="0"/>
    <s v="Week1-Mar-2026"/>
    <x v="6"/>
    <s v="30-Mar-2026"/>
    <s v="Monday"/>
    <s v="Monthly - Monday"/>
    <s v="Monthly - Monday"/>
    <s v="Same Month Expiry"/>
    <n v="2903983"/>
    <n v="522372.8"/>
    <n v="5052.54"/>
  </r>
  <r>
    <s v="02-Mar-2026"/>
    <x v="0"/>
    <s v="Week1-Mar-2026"/>
    <x v="6"/>
    <s v="28-Apr-2026"/>
    <s v="Tuesday"/>
    <s v="Monthly - Tuesday"/>
    <s v="Monthly - Tuesday"/>
    <s v="Month+1 Expiry"/>
    <n v="77490"/>
    <n v="14135.85"/>
    <n v="193.88"/>
  </r>
  <r>
    <s v="02-Mar-2026"/>
    <x v="0"/>
    <s v="Week1-Mar-2026"/>
    <x v="6"/>
    <s v="26-May-2026"/>
    <s v="Tuesday"/>
    <s v="Monthly - Tuesday"/>
    <s v="Monthly - Tuesday"/>
    <s v="Month+2 Expiry"/>
    <n v="3791"/>
    <n v="693.07"/>
    <n v="11.92"/>
  </r>
  <r>
    <s v="02-Mar-2026"/>
    <x v="0"/>
    <s v="Week1-Mar-2026"/>
    <x v="6"/>
    <s v="30-Jun-2026"/>
    <s v="Tuesday"/>
    <s v="Monthly - Tuesday"/>
    <s v="Monthly - Tuesday"/>
    <s v="Month+3 Expiry"/>
    <n v="739"/>
    <n v="134.63999999999999"/>
    <n v="2.77"/>
  </r>
  <r>
    <s v="02-Mar-2026"/>
    <x v="0"/>
    <s v="Week1-Mar-2026"/>
    <x v="6"/>
    <s v="29-Sep-2026"/>
    <s v="Tuesday"/>
    <s v="Monthly - Tuesday"/>
    <s v="Monthly - Tuesday"/>
    <s v="Month+6 Expiry"/>
    <n v="0"/>
    <n v="0"/>
    <n v="0"/>
  </r>
  <r>
    <s v="02-Mar-2026"/>
    <x v="0"/>
    <s v="Week1-Mar-2026"/>
    <x v="6"/>
    <s v="29-Dec-2026"/>
    <s v="Tuesday"/>
    <s v="Monthly - Tuesday"/>
    <s v="Monthly - Tuesday"/>
    <s v="Month+9 Expiry"/>
    <n v="0"/>
    <n v="0"/>
    <n v="0"/>
  </r>
  <r>
    <s v="04-Mar-2026"/>
    <x v="2"/>
    <s v="Week1-Mar-2026"/>
    <x v="6"/>
    <s v="30-Mar-2026"/>
    <s v="Monday"/>
    <s v="Monthly - Monday"/>
    <s v="Monthly - Monday"/>
    <s v="Same Month Expiry"/>
    <n v="2933995"/>
    <n v="521252.91"/>
    <n v="6252.84"/>
  </r>
  <r>
    <s v="04-Mar-2026"/>
    <x v="2"/>
    <s v="Week1-Mar-2026"/>
    <x v="6"/>
    <s v="28-Apr-2026"/>
    <s v="Tuesday"/>
    <s v="Monthly - Tuesday"/>
    <s v="Monthly - Tuesday"/>
    <s v="Month+1 Expiry"/>
    <n v="68047"/>
    <n v="12285.18"/>
    <n v="204.93"/>
  </r>
  <r>
    <s v="04-Mar-2026"/>
    <x v="2"/>
    <s v="Week1-Mar-2026"/>
    <x v="6"/>
    <s v="26-May-2026"/>
    <s v="Tuesday"/>
    <s v="Monthly - Tuesday"/>
    <s v="Monthly - Tuesday"/>
    <s v="Month+2 Expiry"/>
    <n v="5848"/>
    <n v="1068.03"/>
    <n v="22.46"/>
  </r>
  <r>
    <s v="04-Mar-2026"/>
    <x v="2"/>
    <s v="Week1-Mar-2026"/>
    <x v="6"/>
    <s v="30-Jun-2026"/>
    <s v="Tuesday"/>
    <s v="Monthly - Tuesday"/>
    <s v="Monthly - Tuesday"/>
    <s v="Month+3 Expiry"/>
    <n v="871"/>
    <n v="160.56"/>
    <n v="3.78"/>
  </r>
  <r>
    <s v="04-Mar-2026"/>
    <x v="2"/>
    <s v="Week1-Mar-2026"/>
    <x v="6"/>
    <s v="29-Sep-2026"/>
    <s v="Tuesday"/>
    <s v="Monthly - Tuesday"/>
    <s v="Monthly - Tuesday"/>
    <s v="Month+6 Expiry"/>
    <n v="0"/>
    <n v="0"/>
    <n v="0"/>
  </r>
  <r>
    <s v="04-Mar-2026"/>
    <x v="2"/>
    <s v="Week1-Mar-2026"/>
    <x v="6"/>
    <s v="29-Dec-2026"/>
    <s v="Tuesday"/>
    <s v="Monthly - Tuesday"/>
    <s v="Monthly - Tuesday"/>
    <s v="Month+9 Expiry"/>
    <n v="0"/>
    <n v="0"/>
    <n v="0"/>
  </r>
  <r>
    <s v="05-Mar-2026"/>
    <x v="3"/>
    <s v="Week1-Mar-2026"/>
    <x v="6"/>
    <s v="30-Mar-2026"/>
    <s v="Monday"/>
    <s v="Monthly - Monday"/>
    <s v="Monthly - Monday"/>
    <s v="Same Month Expiry"/>
    <n v="2837637"/>
    <n v="505289.77"/>
    <n v="5410.67"/>
  </r>
  <r>
    <s v="05-Mar-2026"/>
    <x v="3"/>
    <s v="Week1-Mar-2026"/>
    <x v="6"/>
    <s v="28-Apr-2026"/>
    <s v="Tuesday"/>
    <s v="Monthly - Tuesday"/>
    <s v="Monthly - Tuesday"/>
    <s v="Month+1 Expiry"/>
    <n v="82730"/>
    <n v="14999.02"/>
    <n v="238.73"/>
  </r>
  <r>
    <s v="05-Mar-2026"/>
    <x v="3"/>
    <s v="Week1-Mar-2026"/>
    <x v="6"/>
    <s v="26-May-2026"/>
    <s v="Tuesday"/>
    <s v="Monthly - Tuesday"/>
    <s v="Monthly - Tuesday"/>
    <s v="Month+2 Expiry"/>
    <n v="3869"/>
    <n v="708.22"/>
    <n v="12.08"/>
  </r>
  <r>
    <s v="05-Mar-2026"/>
    <x v="3"/>
    <s v="Week1-Mar-2026"/>
    <x v="6"/>
    <s v="30-Jun-2026"/>
    <s v="Tuesday"/>
    <s v="Monthly - Tuesday"/>
    <s v="Monthly - Tuesday"/>
    <s v="Month+3 Expiry"/>
    <n v="764"/>
    <n v="140.61000000000001"/>
    <n v="2.94"/>
  </r>
  <r>
    <s v="05-Mar-2026"/>
    <x v="3"/>
    <s v="Week1-Mar-2026"/>
    <x v="6"/>
    <s v="29-Sep-2026"/>
    <s v="Tuesday"/>
    <s v="Monthly - Tuesday"/>
    <s v="Monthly - Tuesday"/>
    <s v="Month+6 Expiry"/>
    <n v="0"/>
    <n v="0"/>
    <n v="0"/>
  </r>
  <r>
    <s v="05-Mar-2026"/>
    <x v="3"/>
    <s v="Week1-Mar-2026"/>
    <x v="6"/>
    <s v="29-Dec-2026"/>
    <s v="Tuesday"/>
    <s v="Monthly - Tuesday"/>
    <s v="Monthly - Tuesday"/>
    <s v="Month+9 Expiry"/>
    <n v="0"/>
    <n v="0"/>
    <n v="0"/>
  </r>
  <r>
    <s v="06-Mar-2026"/>
    <x v="4"/>
    <s v="Week1-Mar-2026"/>
    <x v="6"/>
    <s v="30-Mar-2026"/>
    <s v="Monday"/>
    <s v="Monthly - Monday"/>
    <s v="Monthly - Monday"/>
    <s v="Same Month Expiry"/>
    <n v="2866522"/>
    <n v="504996.53"/>
    <n v="5858.98"/>
  </r>
  <r>
    <s v="06-Mar-2026"/>
    <x v="4"/>
    <s v="Week1-Mar-2026"/>
    <x v="6"/>
    <s v="28-Apr-2026"/>
    <s v="Tuesday"/>
    <s v="Monthly - Tuesday"/>
    <s v="Monthly - Tuesday"/>
    <s v="Month+1 Expiry"/>
    <n v="90120"/>
    <n v="16287.29"/>
    <n v="258.89999999999998"/>
  </r>
  <r>
    <s v="06-Mar-2026"/>
    <x v="4"/>
    <s v="Week1-Mar-2026"/>
    <x v="6"/>
    <s v="26-May-2026"/>
    <s v="Tuesday"/>
    <s v="Monthly - Tuesday"/>
    <s v="Monthly - Tuesday"/>
    <s v="Month+2 Expiry"/>
    <n v="4256"/>
    <n v="772.39"/>
    <n v="15.35"/>
  </r>
  <r>
    <s v="06-Mar-2026"/>
    <x v="4"/>
    <s v="Week1-Mar-2026"/>
    <x v="6"/>
    <s v="30-Jun-2026"/>
    <s v="Tuesday"/>
    <s v="Monthly - Tuesday"/>
    <s v="Monthly - Tuesday"/>
    <s v="Month+3 Expiry"/>
    <n v="916"/>
    <n v="167.78"/>
    <n v="3.31"/>
  </r>
  <r>
    <s v="06-Mar-2026"/>
    <x v="4"/>
    <s v="Week1-Mar-2026"/>
    <x v="6"/>
    <s v="29-Sep-2026"/>
    <s v="Tuesday"/>
    <s v="Monthly - Tuesday"/>
    <s v="Monthly - Tuesday"/>
    <s v="Month+6 Expiry"/>
    <n v="0"/>
    <n v="0"/>
    <n v="0"/>
  </r>
  <r>
    <s v="06-Mar-2026"/>
    <x v="4"/>
    <s v="Week1-Mar-2026"/>
    <x v="6"/>
    <s v="29-Dec-2026"/>
    <s v="Tuesday"/>
    <s v="Monthly - Tuesday"/>
    <s v="Monthly - Tuesday"/>
    <s v="Month+9 Expiry"/>
    <n v="0"/>
    <n v="0"/>
    <n v="0"/>
  </r>
  <r>
    <s v="09-Mar-2026"/>
    <x v="0"/>
    <s v="Week2-Mar-2026"/>
    <x v="6"/>
    <s v="30-Mar-2026"/>
    <s v="Monday"/>
    <s v="Monthly - Monday"/>
    <s v="Monthly - Monday"/>
    <s v="Same Month Expiry"/>
    <n v="2888911"/>
    <n v="500190.83"/>
    <n v="7226.41"/>
  </r>
  <r>
    <s v="09-Mar-2026"/>
    <x v="0"/>
    <s v="Week2-Mar-2026"/>
    <x v="6"/>
    <s v="28-Apr-2026"/>
    <s v="Tuesday"/>
    <s v="Monthly - Tuesday"/>
    <s v="Monthly - Tuesday"/>
    <s v="Month+1 Expiry"/>
    <n v="125757"/>
    <n v="22470.17"/>
    <n v="423.53"/>
  </r>
  <r>
    <s v="09-Mar-2026"/>
    <x v="0"/>
    <s v="Week2-Mar-2026"/>
    <x v="6"/>
    <s v="26-May-2026"/>
    <s v="Tuesday"/>
    <s v="Monthly - Tuesday"/>
    <s v="Monthly - Tuesday"/>
    <s v="Month+2 Expiry"/>
    <n v="6838"/>
    <n v="1226.45"/>
    <n v="30.72"/>
  </r>
  <r>
    <s v="09-Mar-2026"/>
    <x v="0"/>
    <s v="Week2-Mar-2026"/>
    <x v="6"/>
    <s v="30-Jun-2026"/>
    <s v="Tuesday"/>
    <s v="Monthly - Tuesday"/>
    <s v="Monthly - Tuesday"/>
    <s v="Month+3 Expiry"/>
    <n v="2798"/>
    <n v="501.52"/>
    <n v="11.25"/>
  </r>
  <r>
    <s v="09-Mar-2026"/>
    <x v="0"/>
    <s v="Week2-Mar-2026"/>
    <x v="6"/>
    <s v="29-Sep-2026"/>
    <s v="Tuesday"/>
    <s v="Monthly - Tuesday"/>
    <s v="Monthly - Tuesday"/>
    <s v="Month+6 Expiry"/>
    <n v="0"/>
    <n v="0"/>
    <n v="0"/>
  </r>
  <r>
    <s v="09-Mar-2026"/>
    <x v="0"/>
    <s v="Week2-Mar-2026"/>
    <x v="6"/>
    <s v="29-Dec-2026"/>
    <s v="Tuesday"/>
    <s v="Monthly - Tuesday"/>
    <s v="Monthly - Tuesday"/>
    <s v="Month+9 Expiry"/>
    <n v="0"/>
    <n v="0"/>
    <n v="0"/>
  </r>
  <r>
    <s v="10-Mar-2026"/>
    <x v="1"/>
    <s v="Week2-Mar-2026"/>
    <x v="6"/>
    <s v="30-Mar-2026"/>
    <s v="Monday"/>
    <s v="Monthly - Monday"/>
    <s v="Monthly - Monday"/>
    <s v="Same Month Expiry"/>
    <n v="2451975"/>
    <n v="424473.77"/>
    <n v="4939.32"/>
  </r>
  <r>
    <s v="10-Mar-2026"/>
    <x v="1"/>
    <s v="Week2-Mar-2026"/>
    <x v="6"/>
    <s v="28-Apr-2026"/>
    <s v="Tuesday"/>
    <s v="Monthly - Tuesday"/>
    <s v="Monthly - Tuesday"/>
    <s v="Month+1 Expiry"/>
    <n v="114144"/>
    <n v="20555.98"/>
    <n v="371.64"/>
  </r>
  <r>
    <s v="10-Mar-2026"/>
    <x v="1"/>
    <s v="Week2-Mar-2026"/>
    <x v="6"/>
    <s v="26-May-2026"/>
    <s v="Tuesday"/>
    <s v="Monthly - Tuesday"/>
    <s v="Monthly - Tuesday"/>
    <s v="Month+2 Expiry"/>
    <n v="4678"/>
    <n v="843.31"/>
    <n v="15.49"/>
  </r>
  <r>
    <s v="10-Mar-2026"/>
    <x v="1"/>
    <s v="Week2-Mar-2026"/>
    <x v="6"/>
    <s v="30-Jun-2026"/>
    <s v="Tuesday"/>
    <s v="Monthly - Tuesday"/>
    <s v="Monthly - Tuesday"/>
    <s v="Month+3 Expiry"/>
    <n v="1351"/>
    <n v="245.94"/>
    <n v="4.29"/>
  </r>
  <r>
    <s v="10-Mar-2026"/>
    <x v="1"/>
    <s v="Week2-Mar-2026"/>
    <x v="6"/>
    <s v="29-Sep-2026"/>
    <s v="Tuesday"/>
    <s v="Monthly - Tuesday"/>
    <s v="Monthly - Tuesday"/>
    <s v="Month+6 Expiry"/>
    <n v="0"/>
    <n v="0"/>
    <n v="0"/>
  </r>
  <r>
    <s v="10-Mar-2026"/>
    <x v="1"/>
    <s v="Week2-Mar-2026"/>
    <x v="6"/>
    <s v="29-Dec-2026"/>
    <s v="Tuesday"/>
    <s v="Monthly - Tuesday"/>
    <s v="Monthly - Tuesday"/>
    <s v="Month+9 Expiry"/>
    <n v="0"/>
    <n v="0"/>
    <n v="0"/>
  </r>
  <r>
    <s v="11-Mar-2026"/>
    <x v="2"/>
    <s v="Week2-Mar-2026"/>
    <x v="6"/>
    <s v="30-Mar-2026"/>
    <s v="Monday"/>
    <s v="Monthly - Monday"/>
    <s v="Monthly - Monday"/>
    <s v="Same Month Expiry"/>
    <n v="2588800"/>
    <n v="445783.54"/>
    <n v="5142.96"/>
  </r>
  <r>
    <s v="11-Mar-2026"/>
    <x v="2"/>
    <s v="Week2-Mar-2026"/>
    <x v="6"/>
    <s v="28-Apr-2026"/>
    <s v="Tuesday"/>
    <s v="Monthly - Tuesday"/>
    <s v="Monthly - Tuesday"/>
    <s v="Month+1 Expiry"/>
    <n v="138782"/>
    <n v="24749.27"/>
    <n v="432.29"/>
  </r>
  <r>
    <s v="11-Mar-2026"/>
    <x v="2"/>
    <s v="Week2-Mar-2026"/>
    <x v="6"/>
    <s v="26-May-2026"/>
    <s v="Tuesday"/>
    <s v="Monthly - Tuesday"/>
    <s v="Monthly - Tuesday"/>
    <s v="Month+2 Expiry"/>
    <n v="6964"/>
    <n v="1251.23"/>
    <n v="23.81"/>
  </r>
  <r>
    <s v="11-Mar-2026"/>
    <x v="2"/>
    <s v="Week2-Mar-2026"/>
    <x v="6"/>
    <s v="30-Jun-2026"/>
    <s v="Tuesday"/>
    <s v="Monthly - Tuesday"/>
    <s v="Monthly - Tuesday"/>
    <s v="Month+3 Expiry"/>
    <n v="1586"/>
    <n v="286.89"/>
    <n v="5.6"/>
  </r>
  <r>
    <s v="11-Mar-2026"/>
    <x v="2"/>
    <s v="Week2-Mar-2026"/>
    <x v="6"/>
    <s v="29-Sep-2026"/>
    <s v="Tuesday"/>
    <s v="Monthly - Tuesday"/>
    <s v="Monthly - Tuesday"/>
    <s v="Month+6 Expiry"/>
    <n v="0"/>
    <n v="0"/>
    <n v="0"/>
  </r>
  <r>
    <s v="11-Mar-2026"/>
    <x v="2"/>
    <s v="Week2-Mar-2026"/>
    <x v="6"/>
    <s v="29-Dec-2026"/>
    <s v="Tuesday"/>
    <s v="Monthly - Tuesday"/>
    <s v="Monthly - Tuesday"/>
    <s v="Month+9 Expiry"/>
    <n v="0"/>
    <n v="0"/>
    <n v="0"/>
  </r>
  <r>
    <s v="12-Mar-2026"/>
    <x v="3"/>
    <s v="Week2-Mar-2026"/>
    <x v="6"/>
    <s v="30-Mar-2026"/>
    <s v="Monday"/>
    <s v="Monthly - Monday"/>
    <s v="Monthly - Monday"/>
    <s v="Same Month Expiry"/>
    <n v="2622396"/>
    <n v="445454.84"/>
    <n v="5364.27"/>
  </r>
  <r>
    <s v="12-Mar-2026"/>
    <x v="3"/>
    <s v="Week2-Mar-2026"/>
    <x v="6"/>
    <s v="28-Apr-2026"/>
    <s v="Tuesday"/>
    <s v="Monthly - Tuesday"/>
    <s v="Monthly - Tuesday"/>
    <s v="Month+1 Expiry"/>
    <n v="116200"/>
    <n v="20480.34"/>
    <n v="384.03"/>
  </r>
  <r>
    <s v="12-Mar-2026"/>
    <x v="3"/>
    <s v="Week2-Mar-2026"/>
    <x v="6"/>
    <s v="26-May-2026"/>
    <s v="Tuesday"/>
    <s v="Monthly - Tuesday"/>
    <s v="Monthly - Tuesday"/>
    <s v="Month+2 Expiry"/>
    <n v="6475"/>
    <n v="1139.03"/>
    <n v="26.25"/>
  </r>
  <r>
    <s v="12-Mar-2026"/>
    <x v="3"/>
    <s v="Week2-Mar-2026"/>
    <x v="6"/>
    <s v="30-Jun-2026"/>
    <s v="Tuesday"/>
    <s v="Monthly - Tuesday"/>
    <s v="Monthly - Tuesday"/>
    <s v="Month+3 Expiry"/>
    <n v="1155"/>
    <n v="207.86"/>
    <n v="3.79"/>
  </r>
  <r>
    <s v="12-Mar-2026"/>
    <x v="3"/>
    <s v="Week2-Mar-2026"/>
    <x v="6"/>
    <s v="29-Sep-2026"/>
    <s v="Tuesday"/>
    <s v="Monthly - Tuesday"/>
    <s v="Monthly - Tuesday"/>
    <s v="Month+6 Expiry"/>
    <n v="0"/>
    <n v="0"/>
    <n v="0"/>
  </r>
  <r>
    <s v="12-Mar-2026"/>
    <x v="3"/>
    <s v="Week2-Mar-2026"/>
    <x v="6"/>
    <s v="29-Dec-2026"/>
    <s v="Tuesday"/>
    <s v="Monthly - Tuesday"/>
    <s v="Monthly - Tuesday"/>
    <s v="Month+9 Expiry"/>
    <n v="0"/>
    <n v="0"/>
    <n v="0"/>
  </r>
  <r>
    <s v="13-Mar-2026"/>
    <x v="4"/>
    <s v="Week2-Mar-2026"/>
    <x v="6"/>
    <s v="30-Mar-2026"/>
    <s v="Monday"/>
    <s v="Monthly - Monday"/>
    <s v="Monthly - Monday"/>
    <s v="Same Month Expiry"/>
    <n v="3217131"/>
    <n v="536085.6"/>
    <n v="7075.62"/>
  </r>
  <r>
    <s v="13-Mar-2026"/>
    <x v="4"/>
    <s v="Week2-Mar-2026"/>
    <x v="6"/>
    <s v="28-Apr-2026"/>
    <s v="Tuesday"/>
    <s v="Monthly - Tuesday"/>
    <s v="Monthly - Tuesday"/>
    <s v="Month+1 Expiry"/>
    <n v="160765"/>
    <n v="28048.85"/>
    <n v="532.09"/>
  </r>
  <r>
    <s v="13-Mar-2026"/>
    <x v="4"/>
    <s v="Week2-Mar-2026"/>
    <x v="6"/>
    <s v="26-May-2026"/>
    <s v="Tuesday"/>
    <s v="Monthly - Tuesday"/>
    <s v="Monthly - Tuesday"/>
    <s v="Month+2 Expiry"/>
    <n v="9073"/>
    <n v="1595.69"/>
    <n v="33.159999999999997"/>
  </r>
  <r>
    <s v="13-Mar-2026"/>
    <x v="4"/>
    <s v="Week2-Mar-2026"/>
    <x v="6"/>
    <s v="30-Jun-2026"/>
    <s v="Tuesday"/>
    <s v="Monthly - Tuesday"/>
    <s v="Monthly - Tuesday"/>
    <s v="Month+3 Expiry"/>
    <n v="2729"/>
    <n v="495.67"/>
    <n v="9.15"/>
  </r>
  <r>
    <s v="13-Mar-2026"/>
    <x v="4"/>
    <s v="Week2-Mar-2026"/>
    <x v="6"/>
    <s v="29-Sep-2026"/>
    <s v="Tuesday"/>
    <s v="Monthly - Tuesday"/>
    <s v="Monthly - Tuesday"/>
    <s v="Month+6 Expiry"/>
    <n v="0"/>
    <n v="0"/>
    <n v="0"/>
  </r>
  <r>
    <s v="13-Mar-2026"/>
    <x v="4"/>
    <s v="Week2-Mar-2026"/>
    <x v="6"/>
    <s v="29-Dec-2026"/>
    <s v="Tuesday"/>
    <s v="Monthly - Tuesday"/>
    <s v="Monthly - Tuesday"/>
    <s v="Month+9 Expiry"/>
    <n v="0"/>
    <n v="0"/>
    <n v="0"/>
  </r>
  <r>
    <s v="16-Mar-2026"/>
    <x v="0"/>
    <s v="Week3-Mar-2026"/>
    <x v="6"/>
    <s v="30-Mar-2026"/>
    <s v="Monday"/>
    <s v="Monthly - Monday"/>
    <s v="Monthly - Monday"/>
    <s v="Same Month Expiry"/>
    <n v="3269610"/>
    <n v="543354.13"/>
    <n v="6553.62"/>
  </r>
  <r>
    <s v="16-Mar-2026"/>
    <x v="0"/>
    <s v="Week3-Mar-2026"/>
    <x v="6"/>
    <s v="28-Apr-2026"/>
    <s v="Tuesday"/>
    <s v="Monthly - Tuesday"/>
    <s v="Monthly - Tuesday"/>
    <s v="Month+1 Expiry"/>
    <n v="129880"/>
    <n v="22749.86"/>
    <n v="417.16"/>
  </r>
  <r>
    <s v="16-Mar-2026"/>
    <x v="0"/>
    <s v="Week3-Mar-2026"/>
    <x v="6"/>
    <s v="26-May-2026"/>
    <s v="Tuesday"/>
    <s v="Monthly - Tuesday"/>
    <s v="Monthly - Tuesday"/>
    <s v="Month+2 Expiry"/>
    <n v="9942"/>
    <n v="1774.25"/>
    <n v="45.16"/>
  </r>
  <r>
    <s v="16-Mar-2026"/>
    <x v="0"/>
    <s v="Week3-Mar-2026"/>
    <x v="6"/>
    <s v="30-Jun-2026"/>
    <s v="Tuesday"/>
    <s v="Monthly - Tuesday"/>
    <s v="Monthly - Tuesday"/>
    <s v="Month+3 Expiry"/>
    <n v="1452"/>
    <n v="265.08999999999997"/>
    <n v="5.87"/>
  </r>
  <r>
    <s v="16-Mar-2026"/>
    <x v="0"/>
    <s v="Week3-Mar-2026"/>
    <x v="6"/>
    <s v="29-Sep-2026"/>
    <s v="Tuesday"/>
    <s v="Monthly - Tuesday"/>
    <s v="Monthly - Tuesday"/>
    <s v="Month+6 Expiry"/>
    <n v="0"/>
    <n v="0"/>
    <n v="0"/>
  </r>
  <r>
    <s v="16-Mar-2026"/>
    <x v="0"/>
    <s v="Week3-Mar-2026"/>
    <x v="6"/>
    <s v="29-Dec-2026"/>
    <s v="Tuesday"/>
    <s v="Monthly - Tuesday"/>
    <s v="Monthly - Tuesday"/>
    <s v="Month+9 Expiry"/>
    <n v="0"/>
    <n v="0"/>
    <n v="0"/>
  </r>
  <r>
    <s v="17-Mar-2026"/>
    <x v="1"/>
    <s v="Week3-Mar-2026"/>
    <x v="6"/>
    <s v="30-Mar-2026"/>
    <s v="Monday"/>
    <s v="Monthly - Monday"/>
    <s v="Monthly - Monday"/>
    <s v="Same Month Expiry"/>
    <n v="2770487"/>
    <n v="460221.11"/>
    <n v="4917.42"/>
  </r>
  <r>
    <s v="17-Mar-2026"/>
    <x v="1"/>
    <s v="Week3-Mar-2026"/>
    <x v="6"/>
    <s v="28-Apr-2026"/>
    <s v="Tuesday"/>
    <s v="Monthly - Tuesday"/>
    <s v="Monthly - Tuesday"/>
    <s v="Month+1 Expiry"/>
    <n v="153010"/>
    <n v="27466.41"/>
    <n v="534.09"/>
  </r>
  <r>
    <s v="17-Mar-2026"/>
    <x v="1"/>
    <s v="Week3-Mar-2026"/>
    <x v="6"/>
    <s v="26-May-2026"/>
    <s v="Tuesday"/>
    <s v="Monthly - Tuesday"/>
    <s v="Monthly - Tuesday"/>
    <s v="Month+2 Expiry"/>
    <n v="7194"/>
    <n v="1267.07"/>
    <n v="22"/>
  </r>
  <r>
    <s v="17-Mar-2026"/>
    <x v="1"/>
    <s v="Week3-Mar-2026"/>
    <x v="6"/>
    <s v="30-Jun-2026"/>
    <s v="Tuesday"/>
    <s v="Monthly - Tuesday"/>
    <s v="Monthly - Tuesday"/>
    <s v="Month+3 Expiry"/>
    <n v="2282"/>
    <n v="416.4"/>
    <n v="15.1"/>
  </r>
  <r>
    <s v="17-Mar-2026"/>
    <x v="1"/>
    <s v="Week3-Mar-2026"/>
    <x v="6"/>
    <s v="29-Sep-2026"/>
    <s v="Tuesday"/>
    <s v="Monthly - Tuesday"/>
    <s v="Monthly - Tuesday"/>
    <s v="Month+6 Expiry"/>
    <n v="0"/>
    <n v="0"/>
    <n v="0"/>
  </r>
  <r>
    <s v="17-Mar-2026"/>
    <x v="1"/>
    <s v="Week3-Mar-2026"/>
    <x v="6"/>
    <s v="29-Dec-2026"/>
    <s v="Tuesday"/>
    <s v="Monthly - Tuesday"/>
    <s v="Monthly - Tuesday"/>
    <s v="Month+9 Expiry"/>
    <n v="0"/>
    <n v="0"/>
    <n v="0"/>
  </r>
  <r>
    <s v="18-Mar-2026"/>
    <x v="2"/>
    <s v="Week3-Mar-2026"/>
    <x v="6"/>
    <s v="30-Mar-2026"/>
    <s v="Monday"/>
    <s v="Monthly - Monday"/>
    <s v="Monthly - Monday"/>
    <s v="Same Month Expiry"/>
    <n v="3507101"/>
    <n v="585030.80000000005"/>
    <n v="4921.18"/>
  </r>
  <r>
    <s v="18-Mar-2026"/>
    <x v="2"/>
    <s v="Week3-Mar-2026"/>
    <x v="6"/>
    <s v="28-Apr-2026"/>
    <s v="Tuesday"/>
    <s v="Monthly - Tuesday"/>
    <s v="Monthly - Tuesday"/>
    <s v="Month+1 Expiry"/>
    <n v="182675"/>
    <n v="32757.98"/>
    <n v="723.4"/>
  </r>
  <r>
    <s v="18-Mar-2026"/>
    <x v="2"/>
    <s v="Week3-Mar-2026"/>
    <x v="6"/>
    <s v="26-May-2026"/>
    <s v="Tuesday"/>
    <s v="Monthly - Tuesday"/>
    <s v="Monthly - Tuesday"/>
    <s v="Month+2 Expiry"/>
    <n v="9872"/>
    <n v="1738.24"/>
    <n v="35.06"/>
  </r>
  <r>
    <s v="18-Mar-2026"/>
    <x v="2"/>
    <s v="Week3-Mar-2026"/>
    <x v="6"/>
    <s v="30-Jun-2026"/>
    <s v="Tuesday"/>
    <s v="Monthly - Tuesday"/>
    <s v="Monthly - Tuesday"/>
    <s v="Month+3 Expiry"/>
    <n v="2915"/>
    <n v="531.66999999999996"/>
    <n v="18.09"/>
  </r>
  <r>
    <s v="18-Mar-2026"/>
    <x v="2"/>
    <s v="Week3-Mar-2026"/>
    <x v="6"/>
    <s v="29-Sep-2026"/>
    <s v="Tuesday"/>
    <s v="Monthly - Tuesday"/>
    <s v="Monthly - Tuesday"/>
    <s v="Month+6 Expiry"/>
    <n v="0"/>
    <n v="0"/>
    <n v="0"/>
  </r>
  <r>
    <s v="18-Mar-2026"/>
    <x v="2"/>
    <s v="Week3-Mar-2026"/>
    <x v="6"/>
    <s v="29-Dec-2026"/>
    <s v="Tuesday"/>
    <s v="Monthly - Tuesday"/>
    <s v="Monthly - Tuesday"/>
    <s v="Month+9 Expiry"/>
    <n v="0"/>
    <n v="0"/>
    <n v="0"/>
  </r>
  <r>
    <s v="19-Mar-2026"/>
    <x v="3"/>
    <s v="Week3-Mar-2026"/>
    <x v="6"/>
    <s v="30-Mar-2026"/>
    <s v="Monday"/>
    <s v="Monthly - Monday"/>
    <s v="Monthly - Monday"/>
    <s v="Same Month Expiry"/>
    <n v="4382804"/>
    <n v="718332.45"/>
    <n v="6685.72"/>
  </r>
  <r>
    <s v="19-Mar-2026"/>
    <x v="3"/>
    <s v="Week3-Mar-2026"/>
    <x v="6"/>
    <s v="28-Apr-2026"/>
    <s v="Tuesday"/>
    <s v="Monthly - Tuesday"/>
    <s v="Monthly - Tuesday"/>
    <s v="Month+1 Expiry"/>
    <n v="211453"/>
    <n v="36451.800000000003"/>
    <n v="604.36"/>
  </r>
  <r>
    <s v="19-Mar-2026"/>
    <x v="3"/>
    <s v="Week3-Mar-2026"/>
    <x v="6"/>
    <s v="26-May-2026"/>
    <s v="Tuesday"/>
    <s v="Monthly - Tuesday"/>
    <s v="Monthly - Tuesday"/>
    <s v="Month+2 Expiry"/>
    <n v="13023"/>
    <n v="2230.7800000000002"/>
    <n v="40.98"/>
  </r>
  <r>
    <s v="19-Mar-2026"/>
    <x v="3"/>
    <s v="Week3-Mar-2026"/>
    <x v="6"/>
    <s v="30-Jun-2026"/>
    <s v="Tuesday"/>
    <s v="Monthly - Tuesday"/>
    <s v="Monthly - Tuesday"/>
    <s v="Month+3 Expiry"/>
    <n v="2651"/>
    <n v="475.75"/>
    <n v="9.92"/>
  </r>
  <r>
    <s v="19-Mar-2026"/>
    <x v="3"/>
    <s v="Week3-Mar-2026"/>
    <x v="6"/>
    <s v="29-Sep-2026"/>
    <s v="Tuesday"/>
    <s v="Monthly - Tuesday"/>
    <s v="Monthly - Tuesday"/>
    <s v="Month+6 Expiry"/>
    <n v="0"/>
    <n v="0"/>
    <n v="0"/>
  </r>
  <r>
    <s v="19-Mar-2026"/>
    <x v="3"/>
    <s v="Week3-Mar-2026"/>
    <x v="6"/>
    <s v="29-Dec-2026"/>
    <s v="Tuesday"/>
    <s v="Monthly - Tuesday"/>
    <s v="Monthly - Tuesday"/>
    <s v="Month+9 Expiry"/>
    <n v="0"/>
    <n v="0"/>
    <n v="0"/>
  </r>
  <r>
    <s v="20-Mar-2026"/>
    <x v="4"/>
    <s v="Week3-Mar-2026"/>
    <x v="6"/>
    <s v="30-Mar-2026"/>
    <s v="Monday"/>
    <s v="Monthly - Monday"/>
    <s v="Monthly - Monday"/>
    <s v="Same Month Expiry"/>
    <n v="4159763"/>
    <n v="681343.29"/>
    <n v="6895.34"/>
  </r>
  <r>
    <s v="20-Mar-2026"/>
    <x v="4"/>
    <s v="Week3-Mar-2026"/>
    <x v="6"/>
    <s v="28-Apr-2026"/>
    <s v="Tuesday"/>
    <s v="Monthly - Tuesday"/>
    <s v="Monthly - Tuesday"/>
    <s v="Month+1 Expiry"/>
    <n v="164907"/>
    <n v="28333.17"/>
    <n v="520.58000000000004"/>
  </r>
  <r>
    <s v="20-Mar-2026"/>
    <x v="4"/>
    <s v="Week3-Mar-2026"/>
    <x v="6"/>
    <s v="26-May-2026"/>
    <s v="Tuesday"/>
    <s v="Monthly - Tuesday"/>
    <s v="Monthly - Tuesday"/>
    <s v="Month+2 Expiry"/>
    <n v="11759"/>
    <n v="2038.9"/>
    <n v="36.049999999999997"/>
  </r>
  <r>
    <s v="20-Mar-2026"/>
    <x v="4"/>
    <s v="Week3-Mar-2026"/>
    <x v="6"/>
    <s v="30-Jun-2026"/>
    <s v="Tuesday"/>
    <s v="Monthly - Tuesday"/>
    <s v="Monthly - Tuesday"/>
    <s v="Month+3 Expiry"/>
    <n v="5460"/>
    <n v="994.19"/>
    <n v="40.9"/>
  </r>
  <r>
    <s v="20-Mar-2026"/>
    <x v="4"/>
    <s v="Week3-Mar-2026"/>
    <x v="6"/>
    <s v="29-Sep-2026"/>
    <s v="Tuesday"/>
    <s v="Monthly - Tuesday"/>
    <s v="Monthly - Tuesday"/>
    <s v="Month+6 Expiry"/>
    <n v="0"/>
    <n v="0"/>
    <n v="0"/>
  </r>
  <r>
    <s v="20-Mar-2026"/>
    <x v="4"/>
    <s v="Week3-Mar-2026"/>
    <x v="6"/>
    <s v="29-Dec-2026"/>
    <s v="Tuesday"/>
    <s v="Monthly - Tuesday"/>
    <s v="Monthly - Tuesday"/>
    <s v="Month+9 Expiry"/>
    <n v="0"/>
    <n v="0"/>
    <n v="0"/>
  </r>
  <r>
    <s v="23-Mar-2026"/>
    <x v="0"/>
    <s v="Week4-Mar-2026"/>
    <x v="6"/>
    <s v="30-Mar-2026"/>
    <s v="Monday"/>
    <s v="Monthly - Monday"/>
    <s v="Monthly - Monday"/>
    <s v="Same Month Expiry"/>
    <n v="4418333"/>
    <n v="706175.03"/>
    <n v="8238.4599999999991"/>
  </r>
  <r>
    <s v="23-Mar-2026"/>
    <x v="0"/>
    <s v="Week4-Mar-2026"/>
    <x v="6"/>
    <s v="28-Apr-2026"/>
    <s v="Tuesday"/>
    <s v="Monthly - Tuesday"/>
    <s v="Monthly - Tuesday"/>
    <s v="Month+1 Expiry"/>
    <n v="239462"/>
    <n v="40677.599999999999"/>
    <n v="964.24"/>
  </r>
  <r>
    <s v="23-Mar-2026"/>
    <x v="0"/>
    <s v="Week4-Mar-2026"/>
    <x v="6"/>
    <s v="26-May-2026"/>
    <s v="Tuesday"/>
    <s v="Monthly - Tuesday"/>
    <s v="Monthly - Tuesday"/>
    <s v="Month+2 Expiry"/>
    <n v="17769"/>
    <n v="3037.21"/>
    <n v="74.17"/>
  </r>
  <r>
    <s v="23-Mar-2026"/>
    <x v="0"/>
    <s v="Week4-Mar-2026"/>
    <x v="6"/>
    <s v="30-Jun-2026"/>
    <s v="Tuesday"/>
    <s v="Monthly - Tuesday"/>
    <s v="Monthly - Tuesday"/>
    <s v="Month+3 Expiry"/>
    <n v="4014"/>
    <n v="713.33"/>
    <n v="20.7"/>
  </r>
  <r>
    <s v="23-Mar-2026"/>
    <x v="0"/>
    <s v="Week4-Mar-2026"/>
    <x v="6"/>
    <s v="29-Sep-2026"/>
    <s v="Tuesday"/>
    <s v="Monthly - Tuesday"/>
    <s v="Monthly - Tuesday"/>
    <s v="Month+6 Expiry"/>
    <n v="0"/>
    <n v="0"/>
    <n v="0"/>
  </r>
  <r>
    <s v="23-Mar-2026"/>
    <x v="0"/>
    <s v="Week4-Mar-2026"/>
    <x v="6"/>
    <s v="29-Dec-2026"/>
    <s v="Tuesday"/>
    <s v="Monthly - Tuesday"/>
    <s v="Monthly - Tuesday"/>
    <s v="Month+9 Expiry"/>
    <n v="0"/>
    <n v="0"/>
    <n v="0"/>
  </r>
  <r>
    <s v="24-Mar-2026"/>
    <x v="1"/>
    <s v="Week4-Mar-2026"/>
    <x v="6"/>
    <s v="30-Mar-2026"/>
    <s v="Monday"/>
    <s v="Monthly - Monday"/>
    <s v="Monthly - Monday"/>
    <s v="Same Month Expiry"/>
    <n v="4968343"/>
    <n v="794151.22"/>
    <n v="7552"/>
  </r>
  <r>
    <s v="24-Mar-2026"/>
    <x v="1"/>
    <s v="Week4-Mar-2026"/>
    <x v="6"/>
    <s v="28-Apr-2026"/>
    <s v="Tuesday"/>
    <s v="Monthly - Tuesday"/>
    <s v="Monthly - Tuesday"/>
    <s v="Month+1 Expiry"/>
    <n v="200927"/>
    <n v="33835.19"/>
    <n v="797.12"/>
  </r>
  <r>
    <s v="24-Mar-2026"/>
    <x v="1"/>
    <s v="Week4-Mar-2026"/>
    <x v="6"/>
    <s v="26-May-2026"/>
    <s v="Tuesday"/>
    <s v="Monthly - Tuesday"/>
    <s v="Monthly - Tuesday"/>
    <s v="Month+2 Expiry"/>
    <n v="11386"/>
    <n v="1932.61"/>
    <n v="53.18"/>
  </r>
  <r>
    <s v="24-Mar-2026"/>
    <x v="1"/>
    <s v="Week4-Mar-2026"/>
    <x v="6"/>
    <s v="30-Jun-2026"/>
    <s v="Tuesday"/>
    <s v="Monthly - Tuesday"/>
    <s v="Monthly - Tuesday"/>
    <s v="Month+3 Expiry"/>
    <n v="2948"/>
    <n v="531.38"/>
    <n v="18.62"/>
  </r>
  <r>
    <s v="24-Mar-2026"/>
    <x v="1"/>
    <s v="Week4-Mar-2026"/>
    <x v="6"/>
    <s v="29-Sep-2026"/>
    <s v="Tuesday"/>
    <s v="Monthly - Tuesday"/>
    <s v="Monthly - Tuesday"/>
    <s v="Month+6 Expiry"/>
    <n v="0"/>
    <n v="0"/>
    <n v="0"/>
  </r>
  <r>
    <s v="24-Mar-2026"/>
    <x v="1"/>
    <s v="Week4-Mar-2026"/>
    <x v="6"/>
    <s v="29-Dec-2026"/>
    <s v="Tuesday"/>
    <s v="Monthly - Tuesday"/>
    <s v="Monthly - Tuesday"/>
    <s v="Month+9 Expiry"/>
    <n v="0"/>
    <n v="0"/>
    <n v="0"/>
  </r>
  <r>
    <s v="25-Mar-2026"/>
    <x v="2"/>
    <s v="Week4-Mar-2026"/>
    <x v="6"/>
    <s v="30-Mar-2026"/>
    <s v="Monday"/>
    <s v="Monthly - Monday"/>
    <s v="Monthly - Monday"/>
    <s v="Same Month Expiry"/>
    <n v="4979362"/>
    <n v="806835.44"/>
    <n v="6149.95"/>
  </r>
  <r>
    <s v="25-Mar-2026"/>
    <x v="2"/>
    <s v="Week4-Mar-2026"/>
    <x v="6"/>
    <s v="28-Apr-2026"/>
    <s v="Tuesday"/>
    <s v="Monthly - Tuesday"/>
    <s v="Monthly - Tuesday"/>
    <s v="Month+1 Expiry"/>
    <n v="293040"/>
    <n v="49221.11"/>
    <n v="1027.92"/>
  </r>
  <r>
    <s v="25-Mar-2026"/>
    <x v="2"/>
    <s v="Week4-Mar-2026"/>
    <x v="6"/>
    <s v="26-May-2026"/>
    <s v="Tuesday"/>
    <s v="Monthly - Tuesday"/>
    <s v="Monthly - Tuesday"/>
    <s v="Month+2 Expiry"/>
    <n v="14940"/>
    <n v="2581.94"/>
    <n v="68.239999999999995"/>
  </r>
  <r>
    <s v="25-Mar-2026"/>
    <x v="2"/>
    <s v="Week4-Mar-2026"/>
    <x v="6"/>
    <s v="30-Jun-2026"/>
    <s v="Tuesday"/>
    <s v="Monthly - Tuesday"/>
    <s v="Monthly - Tuesday"/>
    <s v="Month+3 Expiry"/>
    <n v="3858"/>
    <n v="707.5"/>
    <n v="30.26"/>
  </r>
  <r>
    <s v="25-Mar-2026"/>
    <x v="2"/>
    <s v="Week4-Mar-2026"/>
    <x v="6"/>
    <s v="29-Sep-2026"/>
    <s v="Tuesday"/>
    <s v="Monthly - Tuesday"/>
    <s v="Monthly - Tuesday"/>
    <s v="Month+6 Expiry"/>
    <n v="0"/>
    <n v="0"/>
    <n v="0"/>
  </r>
  <r>
    <s v="25-Mar-2026"/>
    <x v="2"/>
    <s v="Week4-Mar-2026"/>
    <x v="6"/>
    <s v="29-Dec-2026"/>
    <s v="Tuesday"/>
    <s v="Monthly - Tuesday"/>
    <s v="Monthly - Tuesday"/>
    <s v="Month+9 Expiry"/>
    <n v="0"/>
    <n v="0"/>
    <n v="0"/>
  </r>
  <r>
    <s v="27-Mar-2026"/>
    <x v="4"/>
    <s v="Week4-Mar-2026"/>
    <x v="6"/>
    <s v="30-Mar-2026"/>
    <s v="Monday"/>
    <s v="Monthly - Monday"/>
    <s v="Monthly - Monday"/>
    <s v="Same Month Expiry"/>
    <n v="9232979"/>
    <n v="1467528.02"/>
    <n v="8762.83"/>
  </r>
  <r>
    <s v="27-Mar-2026"/>
    <x v="4"/>
    <s v="Week4-Mar-2026"/>
    <x v="6"/>
    <s v="28-Apr-2026"/>
    <s v="Tuesday"/>
    <s v="Monthly - Tuesday"/>
    <s v="Monthly - Tuesday"/>
    <s v="Month+1 Expiry"/>
    <n v="408018"/>
    <n v="69474.429999999993"/>
    <n v="1684.35"/>
  </r>
  <r>
    <s v="27-Mar-2026"/>
    <x v="4"/>
    <s v="Week4-Mar-2026"/>
    <x v="6"/>
    <s v="26-May-2026"/>
    <s v="Tuesday"/>
    <s v="Monthly - Tuesday"/>
    <s v="Monthly - Tuesday"/>
    <s v="Month+2 Expiry"/>
    <n v="15100"/>
    <n v="2588.84"/>
    <n v="65.86"/>
  </r>
  <r>
    <s v="27-Mar-2026"/>
    <x v="4"/>
    <s v="Week4-Mar-2026"/>
    <x v="6"/>
    <s v="30-Jun-2026"/>
    <s v="Tuesday"/>
    <s v="Monthly - Tuesday"/>
    <s v="Monthly - Tuesday"/>
    <s v="Month+3 Expiry"/>
    <n v="2727"/>
    <n v="489.15"/>
    <n v="14.74"/>
  </r>
  <r>
    <s v="27-Mar-2026"/>
    <x v="4"/>
    <s v="Week4-Mar-2026"/>
    <x v="6"/>
    <s v="29-Sep-2026"/>
    <s v="Tuesday"/>
    <s v="Monthly - Tuesday"/>
    <s v="Monthly - Tuesday"/>
    <s v="Month+6 Expiry"/>
    <n v="0"/>
    <n v="0"/>
    <n v="0"/>
  </r>
  <r>
    <s v="27-Mar-2026"/>
    <x v="4"/>
    <s v="Week4-Mar-2026"/>
    <x v="6"/>
    <s v="29-Dec-2026"/>
    <s v="Tuesday"/>
    <s v="Monthly - Tuesday"/>
    <s v="Monthly - Tuesday"/>
    <s v="Month+9 Expiry"/>
    <n v="0"/>
    <n v="0"/>
    <n v="0"/>
  </r>
  <r>
    <s v="30-Mar-2026"/>
    <x v="0"/>
    <s v="Week5-Mar-2026"/>
    <x v="6"/>
    <s v="30-Mar-2026"/>
    <s v="Monday"/>
    <s v="Monthly - Monday"/>
    <s v="Monthly - Monday"/>
    <s v="Same Month Expiry"/>
    <n v="74523432"/>
    <n v="11348703.23"/>
    <n v="17644.7"/>
  </r>
  <r>
    <s v="30-Mar-2026"/>
    <x v="0"/>
    <s v="Week5-Mar-2026"/>
    <x v="6"/>
    <s v="28-Apr-2026"/>
    <s v="Tuesday"/>
    <s v="Monthly - Tuesday"/>
    <s v="Monthly - Tuesday"/>
    <s v="Month+1 Expiry"/>
    <n v="740519"/>
    <n v="120858.79"/>
    <n v="2927.68"/>
  </r>
  <r>
    <s v="30-Mar-2026"/>
    <x v="0"/>
    <s v="Week5-Mar-2026"/>
    <x v="6"/>
    <s v="26-May-2026"/>
    <s v="Tuesday"/>
    <s v="Monthly - Tuesday"/>
    <s v="Monthly - Tuesday"/>
    <s v="Month+2 Expiry"/>
    <n v="26898"/>
    <n v="4542.7700000000004"/>
    <n v="125.22"/>
  </r>
  <r>
    <s v="30-Mar-2026"/>
    <x v="0"/>
    <s v="Week5-Mar-2026"/>
    <x v="6"/>
    <s v="30-Jun-2026"/>
    <s v="Tuesday"/>
    <s v="Monthly - Tuesday"/>
    <s v="Monthly - Tuesday"/>
    <s v="Month+3 Expiry"/>
    <n v="4799"/>
    <n v="831.41"/>
    <n v="21.79"/>
  </r>
  <r>
    <s v="30-Mar-2026"/>
    <x v="0"/>
    <s v="Week5-Mar-2026"/>
    <x v="6"/>
    <s v="29-Sep-2026"/>
    <s v="Tuesday"/>
    <s v="Monthly - Tuesday"/>
    <s v="Monthly - Tuesday"/>
    <s v="Month+6 Expiry"/>
    <n v="0"/>
    <n v="0"/>
    <n v="0"/>
  </r>
  <r>
    <s v="30-Mar-2026"/>
    <x v="0"/>
    <s v="Week5-Mar-2026"/>
    <x v="6"/>
    <s v="29-Dec-2026"/>
    <s v="Tuesday"/>
    <s v="Monthly - Tuesday"/>
    <s v="Monthly - Tuesday"/>
    <s v="Month+9 Expiry"/>
    <n v="0"/>
    <n v="0"/>
    <n v="0"/>
  </r>
  <r>
    <s v="01-Apr-2026"/>
    <x v="2"/>
    <s v="Week1-Apr-2026"/>
    <x v="7"/>
    <s v="28-Apr-2026"/>
    <s v="Tuesday"/>
    <s v="Monthly - Tuesday"/>
    <s v="Monthly - Tuesday"/>
    <s v="Same Month Expiry"/>
    <n v="1701252"/>
    <n v="276861.02"/>
    <n v="4789.62"/>
  </r>
  <r>
    <s v="01-Apr-2026"/>
    <x v="2"/>
    <s v="Week1-Apr-2026"/>
    <x v="7"/>
    <s v="26-May-2026"/>
    <s v="Tuesday"/>
    <s v="Monthly - Tuesday"/>
    <s v="Monthly - Tuesday"/>
    <s v="Month+1 Expiry"/>
    <n v="25312"/>
    <n v="4242.3599999999997"/>
    <n v="106.49"/>
  </r>
  <r>
    <s v="01-Apr-2026"/>
    <x v="2"/>
    <s v="Week1-Apr-2026"/>
    <x v="7"/>
    <s v="30-Jun-2026"/>
    <s v="Tuesday"/>
    <s v="Monthly - Tuesday"/>
    <s v="Monthly - Tuesday"/>
    <s v="Month+2 Expiry"/>
    <n v="5844"/>
    <n v="1012.44"/>
    <n v="24.26"/>
  </r>
  <r>
    <s v="01-Apr-2026"/>
    <x v="2"/>
    <s v="Week1-Apr-2026"/>
    <x v="7"/>
    <s v="29-Sep-2026"/>
    <s v="Tuesday"/>
    <s v="Monthly - Tuesday"/>
    <s v="Monthly - Tuesday"/>
    <s v="Month+5 Expiry"/>
    <n v="0"/>
    <n v="0"/>
    <n v="0"/>
  </r>
  <r>
    <s v="01-Apr-2026"/>
    <x v="2"/>
    <s v="Week1-Apr-2026"/>
    <x v="7"/>
    <s v="29-Dec-2026"/>
    <s v="Tuesday"/>
    <s v="Monthly - Tuesday"/>
    <s v="Monthly - Tuesday"/>
    <s v="Month+8 Expiry"/>
    <n v="0"/>
    <n v="0"/>
    <n v="0"/>
  </r>
  <r>
    <s v="01-Apr-2026"/>
    <x v="2"/>
    <s v="Week1-Apr-2026"/>
    <x v="7"/>
    <s v="30-Mar-2027"/>
    <s v="Tuesday"/>
    <s v="Monthly - Tuesday"/>
    <s v="Monthly - Tuesday"/>
    <s v="Month+11 Expiry"/>
    <n v="0"/>
    <n v="0"/>
    <n v="0"/>
  </r>
  <r>
    <s v="02-Apr-2026"/>
    <x v="3"/>
    <s v="Week1-Apr-2026"/>
    <x v="7"/>
    <s v="28-Apr-2026"/>
    <s v="Tuesday"/>
    <s v="Monthly - Tuesday"/>
    <s v="Monthly - Tuesday"/>
    <s v="Same Month Expiry"/>
    <n v="1780823"/>
    <n v="286008.96000000002"/>
    <n v="5178.1000000000004"/>
  </r>
  <r>
    <s v="02-Apr-2026"/>
    <x v="3"/>
    <s v="Week1-Apr-2026"/>
    <x v="7"/>
    <s v="26-May-2026"/>
    <s v="Tuesday"/>
    <s v="Monthly - Tuesday"/>
    <s v="Monthly - Tuesday"/>
    <s v="Month+1 Expiry"/>
    <n v="29372"/>
    <n v="4867.42"/>
    <n v="106.2"/>
  </r>
  <r>
    <s v="02-Apr-2026"/>
    <x v="3"/>
    <s v="Week1-Apr-2026"/>
    <x v="7"/>
    <s v="30-Jun-2026"/>
    <s v="Tuesday"/>
    <s v="Monthly - Tuesday"/>
    <s v="Monthly - Tuesday"/>
    <s v="Month+2 Expiry"/>
    <n v="5892"/>
    <n v="1022.9"/>
    <n v="38.979999999999997"/>
  </r>
  <r>
    <s v="02-Apr-2026"/>
    <x v="3"/>
    <s v="Week1-Apr-2026"/>
    <x v="7"/>
    <s v="29-Sep-2026"/>
    <s v="Tuesday"/>
    <s v="Monthly - Tuesday"/>
    <s v="Monthly - Tuesday"/>
    <s v="Month+5 Expiry"/>
    <n v="0"/>
    <n v="0"/>
    <n v="0"/>
  </r>
  <r>
    <s v="02-Apr-2026"/>
    <x v="3"/>
    <s v="Week1-Apr-2026"/>
    <x v="7"/>
    <s v="29-Dec-2026"/>
    <s v="Tuesday"/>
    <s v="Monthly - Tuesday"/>
    <s v="Monthly - Tuesday"/>
    <s v="Month+8 Expiry"/>
    <n v="0"/>
    <n v="0"/>
    <n v="0"/>
  </r>
  <r>
    <s v="02-Apr-2026"/>
    <x v="3"/>
    <s v="Week1-Apr-2026"/>
    <x v="7"/>
    <s v="30-Mar-2027"/>
    <s v="Tuesday"/>
    <s v="Monthly - Tuesday"/>
    <s v="Monthly - Tuesday"/>
    <s v="Month+11 Expiry"/>
    <n v="0"/>
    <n v="0"/>
    <n v="0"/>
  </r>
  <r>
    <s v="06-Apr-2026"/>
    <x v="0"/>
    <s v="Week1-Apr-2026"/>
    <x v="7"/>
    <s v="28-Apr-2026"/>
    <s v="Tuesday"/>
    <s v="Monthly - Tuesday"/>
    <s v="Monthly - Tuesday"/>
    <s v="Same Month Expiry"/>
    <n v="1792247"/>
    <n v="289248.76"/>
    <n v="5125.67"/>
  </r>
  <r>
    <s v="06-Apr-2026"/>
    <x v="0"/>
    <s v="Week1-Apr-2026"/>
    <x v="7"/>
    <s v="26-May-2026"/>
    <s v="Tuesday"/>
    <s v="Monthly - Tuesday"/>
    <s v="Monthly - Tuesday"/>
    <s v="Month+1 Expiry"/>
    <n v="28665"/>
    <n v="4761.01"/>
    <n v="94.15"/>
  </r>
  <r>
    <s v="06-Apr-2026"/>
    <x v="0"/>
    <s v="Week1-Apr-2026"/>
    <x v="7"/>
    <s v="30-Jun-2026"/>
    <s v="Tuesday"/>
    <s v="Monthly - Tuesday"/>
    <s v="Monthly - Tuesday"/>
    <s v="Month+2 Expiry"/>
    <n v="8025"/>
    <n v="1359.14"/>
    <n v="37.450000000000003"/>
  </r>
  <r>
    <s v="06-Apr-2026"/>
    <x v="0"/>
    <s v="Week1-Apr-2026"/>
    <x v="7"/>
    <s v="29-Sep-2026"/>
    <s v="Tuesday"/>
    <s v="Monthly - Tuesday"/>
    <s v="Monthly - Tuesday"/>
    <s v="Month+5 Expiry"/>
    <n v="0"/>
    <n v="0"/>
    <n v="0"/>
  </r>
  <r>
    <s v="06-Apr-2026"/>
    <x v="0"/>
    <s v="Week1-Apr-2026"/>
    <x v="7"/>
    <s v="29-Dec-2026"/>
    <s v="Tuesday"/>
    <s v="Monthly - Tuesday"/>
    <s v="Monthly - Tuesday"/>
    <s v="Month+8 Expiry"/>
    <n v="0"/>
    <n v="0"/>
    <n v="0"/>
  </r>
  <r>
    <s v="06-Apr-2026"/>
    <x v="0"/>
    <s v="Week1-Apr-2026"/>
    <x v="7"/>
    <s v="30-Mar-2027"/>
    <s v="Tuesday"/>
    <s v="Monthly - Tuesday"/>
    <s v="Monthly - Tuesday"/>
    <s v="Month+11 Expiry"/>
    <n v="0"/>
    <n v="0"/>
    <n v="0"/>
  </r>
  <r>
    <s v="07-Apr-2026"/>
    <x v="1"/>
    <s v="Week1-Apr-2026"/>
    <x v="7"/>
    <s v="28-Apr-2026"/>
    <s v="Tuesday"/>
    <s v="Monthly - Tuesday"/>
    <s v="Monthly - Tuesday"/>
    <s v="Same Month Expiry"/>
    <n v="1394871"/>
    <n v="225667.3"/>
    <n v="3686.49"/>
  </r>
  <r>
    <s v="07-Apr-2026"/>
    <x v="1"/>
    <s v="Week1-Apr-2026"/>
    <x v="7"/>
    <s v="26-May-2026"/>
    <s v="Tuesday"/>
    <s v="Monthly - Tuesday"/>
    <s v="Monthly - Tuesday"/>
    <s v="Month+1 Expiry"/>
    <n v="23434"/>
    <n v="3948.02"/>
    <n v="61.09"/>
  </r>
  <r>
    <s v="07-Apr-2026"/>
    <x v="1"/>
    <s v="Week1-Apr-2026"/>
    <x v="7"/>
    <s v="30-Jun-2026"/>
    <s v="Tuesday"/>
    <s v="Monthly - Tuesday"/>
    <s v="Monthly - Tuesday"/>
    <s v="Month+2 Expiry"/>
    <n v="5400"/>
    <n v="916.12"/>
    <n v="22.1"/>
  </r>
  <r>
    <s v="07-Apr-2026"/>
    <x v="1"/>
    <s v="Week1-Apr-2026"/>
    <x v="7"/>
    <s v="29-Sep-2026"/>
    <s v="Tuesday"/>
    <s v="Monthly - Tuesday"/>
    <s v="Monthly - Tuesday"/>
    <s v="Month+5 Expiry"/>
    <n v="0"/>
    <n v="0"/>
    <n v="0"/>
  </r>
  <r>
    <s v="07-Apr-2026"/>
    <x v="1"/>
    <s v="Week1-Apr-2026"/>
    <x v="7"/>
    <s v="29-Dec-2026"/>
    <s v="Tuesday"/>
    <s v="Monthly - Tuesday"/>
    <s v="Monthly - Tuesday"/>
    <s v="Month+8 Expiry"/>
    <n v="0"/>
    <n v="0"/>
    <n v="0"/>
  </r>
  <r>
    <s v="07-Apr-2026"/>
    <x v="1"/>
    <s v="Week1-Apr-2026"/>
    <x v="7"/>
    <s v="30-Mar-2027"/>
    <s v="Tuesday"/>
    <s v="Monthly - Tuesday"/>
    <s v="Monthly - Tuesday"/>
    <s v="Month+11 Expiry"/>
    <n v="0"/>
    <n v="0"/>
    <n v="0"/>
  </r>
  <r>
    <s v="08-Apr-2026"/>
    <x v="2"/>
    <s v="Week2-Apr-2026"/>
    <x v="7"/>
    <s v="28-Apr-2026"/>
    <s v="Tuesday"/>
    <s v="Monthly - Tuesday"/>
    <s v="Monthly - Tuesday"/>
    <s v="Same Month Expiry"/>
    <n v="2950592"/>
    <n v="493262.34"/>
    <n v="5320.15"/>
  </r>
  <r>
    <s v="08-Apr-2026"/>
    <x v="2"/>
    <s v="Week2-Apr-2026"/>
    <x v="7"/>
    <s v="26-May-2026"/>
    <s v="Tuesday"/>
    <s v="Monthly - Tuesday"/>
    <s v="Monthly - Tuesday"/>
    <s v="Month+1 Expiry"/>
    <n v="81961"/>
    <n v="14015.05"/>
    <n v="252.47"/>
  </r>
  <r>
    <s v="08-Apr-2026"/>
    <x v="2"/>
    <s v="Week2-Apr-2026"/>
    <x v="7"/>
    <s v="30-Jun-2026"/>
    <s v="Tuesday"/>
    <s v="Monthly - Tuesday"/>
    <s v="Monthly - Tuesday"/>
    <s v="Month+2 Expiry"/>
    <n v="20085"/>
    <n v="3358.6"/>
    <n v="62.55"/>
  </r>
  <r>
    <s v="08-Apr-2026"/>
    <x v="2"/>
    <s v="Week2-Apr-2026"/>
    <x v="7"/>
    <s v="29-Sep-2026"/>
    <s v="Tuesday"/>
    <s v="Monthly - Tuesday"/>
    <s v="Monthly - Tuesday"/>
    <s v="Month+5 Expiry"/>
    <n v="0"/>
    <n v="0"/>
    <n v="0"/>
  </r>
  <r>
    <s v="08-Apr-2026"/>
    <x v="2"/>
    <s v="Week2-Apr-2026"/>
    <x v="7"/>
    <s v="29-Dec-2026"/>
    <s v="Tuesday"/>
    <s v="Monthly - Tuesday"/>
    <s v="Monthly - Tuesday"/>
    <s v="Month+8 Expiry"/>
    <n v="0"/>
    <n v="0"/>
    <n v="0"/>
  </r>
  <r>
    <s v="08-Apr-2026"/>
    <x v="2"/>
    <s v="Week2-Apr-2026"/>
    <x v="7"/>
    <s v="30-Mar-2027"/>
    <s v="Tuesday"/>
    <s v="Monthly - Tuesday"/>
    <s v="Monthly - Tuesday"/>
    <s v="Month+11 Expiry"/>
    <n v="0"/>
    <n v="0"/>
    <n v="0"/>
  </r>
  <r>
    <s v="09-Apr-2026"/>
    <x v="3"/>
    <s v="Week2-Apr-2026"/>
    <x v="7"/>
    <s v="28-Apr-2026"/>
    <s v="Tuesday"/>
    <s v="Monthly - Tuesday"/>
    <s v="Monthly - Tuesday"/>
    <s v="Same Month Expiry"/>
    <n v="2260289"/>
    <n v="379277.89"/>
    <n v="4760.55"/>
  </r>
  <r>
    <s v="09-Apr-2026"/>
    <x v="3"/>
    <s v="Week2-Apr-2026"/>
    <x v="7"/>
    <s v="26-May-2026"/>
    <s v="Tuesday"/>
    <s v="Monthly - Tuesday"/>
    <s v="Monthly - Tuesday"/>
    <s v="Month+1 Expiry"/>
    <n v="64228"/>
    <n v="10993.22"/>
    <n v="212.18"/>
  </r>
  <r>
    <s v="09-Apr-2026"/>
    <x v="3"/>
    <s v="Week2-Apr-2026"/>
    <x v="7"/>
    <s v="30-Jun-2026"/>
    <s v="Tuesday"/>
    <s v="Monthly - Tuesday"/>
    <s v="Monthly - Tuesday"/>
    <s v="Month+2 Expiry"/>
    <n v="14046"/>
    <n v="2302.88"/>
    <n v="40.369999999999997"/>
  </r>
  <r>
    <s v="09-Apr-2026"/>
    <x v="3"/>
    <s v="Week2-Apr-2026"/>
    <x v="7"/>
    <s v="29-Sep-2026"/>
    <s v="Tuesday"/>
    <s v="Monthly - Tuesday"/>
    <s v="Monthly - Tuesday"/>
    <s v="Month+5 Expiry"/>
    <n v="0"/>
    <n v="0"/>
    <n v="0"/>
  </r>
  <r>
    <s v="09-Apr-2026"/>
    <x v="3"/>
    <s v="Week2-Apr-2026"/>
    <x v="7"/>
    <s v="29-Dec-2026"/>
    <s v="Tuesday"/>
    <s v="Monthly - Tuesday"/>
    <s v="Monthly - Tuesday"/>
    <s v="Month+8 Expiry"/>
    <n v="0"/>
    <n v="0"/>
    <n v="0"/>
  </r>
  <r>
    <s v="09-Apr-2026"/>
    <x v="3"/>
    <s v="Week2-Apr-2026"/>
    <x v="7"/>
    <s v="30-Mar-2027"/>
    <s v="Tuesday"/>
    <s v="Monthly - Tuesday"/>
    <s v="Monthly - Tuesday"/>
    <s v="Month+11 Expiry"/>
    <n v="0"/>
    <n v="0"/>
    <n v="0"/>
  </r>
  <r>
    <s v="10-Apr-2026"/>
    <x v="4"/>
    <s v="Week2-Apr-2026"/>
    <x v="7"/>
    <s v="28-Apr-2026"/>
    <s v="Tuesday"/>
    <s v="Monthly - Tuesday"/>
    <s v="Monthly - Tuesday"/>
    <s v="Same Month Expiry"/>
    <n v="2333048"/>
    <n v="393780.99"/>
    <n v="4223.67"/>
  </r>
  <r>
    <s v="10-Apr-2026"/>
    <x v="4"/>
    <s v="Week2-Apr-2026"/>
    <x v="7"/>
    <s v="26-May-2026"/>
    <s v="Tuesday"/>
    <s v="Monthly - Tuesday"/>
    <s v="Monthly - Tuesday"/>
    <s v="Month+1 Expiry"/>
    <n v="67641"/>
    <n v="11665.31"/>
    <n v="223.97"/>
  </r>
  <r>
    <s v="10-Apr-2026"/>
    <x v="4"/>
    <s v="Week2-Apr-2026"/>
    <x v="7"/>
    <s v="30-Jun-2026"/>
    <s v="Tuesday"/>
    <s v="Monthly - Tuesday"/>
    <s v="Monthly - Tuesday"/>
    <s v="Month+2 Expiry"/>
    <n v="7886"/>
    <n v="1367.57"/>
    <n v="25.06"/>
  </r>
  <r>
    <s v="10-Apr-2026"/>
    <x v="4"/>
    <s v="Week2-Apr-2026"/>
    <x v="7"/>
    <s v="29-Sep-2026"/>
    <s v="Tuesday"/>
    <s v="Monthly - Tuesday"/>
    <s v="Monthly - Tuesday"/>
    <s v="Month+5 Expiry"/>
    <n v="0"/>
    <n v="0"/>
    <n v="0"/>
  </r>
  <r>
    <s v="10-Apr-2026"/>
    <x v="4"/>
    <s v="Week2-Apr-2026"/>
    <x v="7"/>
    <s v="29-Dec-2026"/>
    <s v="Tuesday"/>
    <s v="Monthly - Tuesday"/>
    <s v="Monthly - Tuesday"/>
    <s v="Month+8 Expiry"/>
    <n v="0"/>
    <n v="0"/>
    <n v="0"/>
  </r>
  <r>
    <s v="10-Apr-2026"/>
    <x v="4"/>
    <s v="Week2-Apr-2026"/>
    <x v="7"/>
    <s v="30-Mar-2027"/>
    <s v="Tuesday"/>
    <s v="Monthly - Tuesday"/>
    <s v="Monthly - Tuesday"/>
    <s v="Month+11 Expiry"/>
    <n v="0"/>
    <n v="0"/>
    <n v="0"/>
  </r>
  <r>
    <s v="13-Apr-2026"/>
    <x v="0"/>
    <s v="Week2-Apr-2026"/>
    <x v="7"/>
    <s v="28-Apr-2026"/>
    <s v="Tuesday"/>
    <s v="Monthly - Tuesday"/>
    <s v="Monthly - Tuesday"/>
    <s v="Same Month Expiry"/>
    <n v="2385883"/>
    <n v="400279.58"/>
    <n v="4280.04"/>
  </r>
  <r>
    <s v="13-Apr-2026"/>
    <x v="0"/>
    <s v="Week2-Apr-2026"/>
    <x v="7"/>
    <s v="26-May-2026"/>
    <s v="Tuesday"/>
    <s v="Monthly - Tuesday"/>
    <s v="Monthly - Tuesday"/>
    <s v="Month+1 Expiry"/>
    <n v="135820"/>
    <n v="23979.71"/>
    <n v="333.25"/>
  </r>
  <r>
    <s v="13-Apr-2026"/>
    <x v="0"/>
    <s v="Week2-Apr-2026"/>
    <x v="7"/>
    <s v="30-Jun-2026"/>
    <s v="Tuesday"/>
    <s v="Monthly - Tuesday"/>
    <s v="Monthly - Tuesday"/>
    <s v="Month+2 Expiry"/>
    <n v="13438"/>
    <n v="2334.37"/>
    <n v="39.6"/>
  </r>
  <r>
    <s v="13-Apr-2026"/>
    <x v="0"/>
    <s v="Week2-Apr-2026"/>
    <x v="7"/>
    <s v="29-Sep-2026"/>
    <s v="Tuesday"/>
    <s v="Monthly - Tuesday"/>
    <s v="Monthly - Tuesday"/>
    <s v="Month+5 Expiry"/>
    <n v="0"/>
    <n v="0"/>
    <n v="0"/>
  </r>
  <r>
    <s v="13-Apr-2026"/>
    <x v="0"/>
    <s v="Week2-Apr-2026"/>
    <x v="7"/>
    <s v="29-Dec-2026"/>
    <s v="Tuesday"/>
    <s v="Monthly - Tuesday"/>
    <s v="Monthly - Tuesday"/>
    <s v="Month+8 Expiry"/>
    <n v="0"/>
    <n v="0"/>
    <n v="0"/>
  </r>
  <r>
    <s v="13-Apr-2026"/>
    <x v="0"/>
    <s v="Week2-Apr-2026"/>
    <x v="7"/>
    <s v="30-Mar-2027"/>
    <s v="Tuesday"/>
    <s v="Monthly - Tuesday"/>
    <s v="Monthly - Tuesday"/>
    <s v="Month+11 Expiry"/>
    <n v="0"/>
    <n v="0"/>
    <n v="0"/>
  </r>
  <r>
    <s v="15-Apr-2026"/>
    <x v="2"/>
    <s v="Week3-Apr-2026"/>
    <x v="7"/>
    <s v="28-Apr-2026"/>
    <s v="Tuesday"/>
    <s v="Monthly - Tuesday"/>
    <s v="Monthly - Tuesday"/>
    <s v="Same Month Expiry"/>
    <n v="2656328"/>
    <n v="448150.77"/>
    <n v="4174.55"/>
  </r>
  <r>
    <s v="15-Apr-2026"/>
    <x v="2"/>
    <s v="Week3-Apr-2026"/>
    <x v="7"/>
    <s v="26-May-2026"/>
    <s v="Tuesday"/>
    <s v="Monthly - Tuesday"/>
    <s v="Monthly - Tuesday"/>
    <s v="Month+1 Expiry"/>
    <n v="147651"/>
    <n v="25866.1"/>
    <n v="496.11"/>
  </r>
  <r>
    <s v="15-Apr-2026"/>
    <x v="2"/>
    <s v="Week3-Apr-2026"/>
    <x v="7"/>
    <s v="30-Jun-2026"/>
    <s v="Tuesday"/>
    <s v="Monthly - Tuesday"/>
    <s v="Monthly - Tuesday"/>
    <s v="Month+2 Expiry"/>
    <n v="12414"/>
    <n v="2119.37"/>
    <n v="35.31"/>
  </r>
  <r>
    <s v="15-Apr-2026"/>
    <x v="2"/>
    <s v="Week3-Apr-2026"/>
    <x v="7"/>
    <s v="29-Sep-2026"/>
    <s v="Tuesday"/>
    <s v="Monthly - Tuesday"/>
    <s v="Monthly - Tuesday"/>
    <s v="Month+5 Expiry"/>
    <n v="0"/>
    <n v="0"/>
    <n v="0"/>
  </r>
  <r>
    <s v="15-Apr-2026"/>
    <x v="2"/>
    <s v="Week3-Apr-2026"/>
    <x v="7"/>
    <s v="29-Dec-2026"/>
    <s v="Tuesday"/>
    <s v="Monthly - Tuesday"/>
    <s v="Monthly - Tuesday"/>
    <s v="Month+8 Expiry"/>
    <n v="0"/>
    <n v="0"/>
    <n v="0"/>
  </r>
  <r>
    <s v="15-Apr-2026"/>
    <x v="2"/>
    <s v="Week3-Apr-2026"/>
    <x v="7"/>
    <s v="30-Mar-2027"/>
    <s v="Tuesday"/>
    <s v="Monthly - Tuesday"/>
    <s v="Monthly - Tuesday"/>
    <s v="Month+11 Expiry"/>
    <n v="0"/>
    <n v="0"/>
    <n v="0"/>
  </r>
  <r>
    <s v="16-Apr-2026"/>
    <x v="3"/>
    <s v="Week3-Apr-2026"/>
    <x v="7"/>
    <s v="28-Apr-2026"/>
    <s v="Tuesday"/>
    <s v="Monthly - Tuesday"/>
    <s v="Monthly - Tuesday"/>
    <s v="Same Month Expiry"/>
    <n v="2664316"/>
    <n v="450967.7"/>
    <n v="4137.7700000000004"/>
  </r>
  <r>
    <s v="16-Apr-2026"/>
    <x v="3"/>
    <s v="Week3-Apr-2026"/>
    <x v="7"/>
    <s v="26-May-2026"/>
    <s v="Tuesday"/>
    <s v="Monthly - Tuesday"/>
    <s v="Monthly - Tuesday"/>
    <s v="Month+1 Expiry"/>
    <n v="117117"/>
    <n v="20703.71"/>
    <n v="328.96"/>
  </r>
  <r>
    <s v="16-Apr-2026"/>
    <x v="3"/>
    <s v="Week3-Apr-2026"/>
    <x v="7"/>
    <s v="30-Jun-2026"/>
    <s v="Tuesday"/>
    <s v="Monthly - Tuesday"/>
    <s v="Monthly - Tuesday"/>
    <s v="Month+2 Expiry"/>
    <n v="9648"/>
    <n v="1676.56"/>
    <n v="25.89"/>
  </r>
  <r>
    <s v="16-Apr-2026"/>
    <x v="3"/>
    <s v="Week3-Apr-2026"/>
    <x v="7"/>
    <s v="29-Sep-2026"/>
    <s v="Tuesday"/>
    <s v="Monthly - Tuesday"/>
    <s v="Monthly - Tuesday"/>
    <s v="Month+5 Expiry"/>
    <n v="0"/>
    <n v="0"/>
    <n v="0"/>
  </r>
  <r>
    <s v="16-Apr-2026"/>
    <x v="3"/>
    <s v="Week3-Apr-2026"/>
    <x v="7"/>
    <s v="29-Dec-2026"/>
    <s v="Tuesday"/>
    <s v="Monthly - Tuesday"/>
    <s v="Monthly - Tuesday"/>
    <s v="Month+8 Expiry"/>
    <n v="0"/>
    <n v="0"/>
    <n v="0"/>
  </r>
  <r>
    <s v="16-Apr-2026"/>
    <x v="3"/>
    <s v="Week3-Apr-2026"/>
    <x v="7"/>
    <s v="30-Mar-2027"/>
    <s v="Tuesday"/>
    <s v="Monthly - Tuesday"/>
    <s v="Monthly - Tuesday"/>
    <s v="Month+11 Expiry"/>
    <n v="0"/>
    <n v="0"/>
    <n v="0"/>
  </r>
  <r>
    <s v="17-Apr-2026"/>
    <x v="4"/>
    <s v="Week3-Apr-2026"/>
    <x v="7"/>
    <s v="28-Apr-2026"/>
    <s v="Tuesday"/>
    <s v="Monthly - Tuesday"/>
    <s v="Monthly - Tuesday"/>
    <s v="Same Month Expiry"/>
    <n v="2695208"/>
    <n v="454324.34"/>
    <n v="3576.19"/>
  </r>
  <r>
    <s v="17-Apr-2026"/>
    <x v="4"/>
    <s v="Week3-Apr-2026"/>
    <x v="7"/>
    <s v="26-May-2026"/>
    <s v="Tuesday"/>
    <s v="Monthly - Tuesday"/>
    <s v="Monthly - Tuesday"/>
    <s v="Month+1 Expiry"/>
    <n v="132661"/>
    <n v="23212.85"/>
    <n v="317.68"/>
  </r>
  <r>
    <s v="17-Apr-2026"/>
    <x v="4"/>
    <s v="Week3-Apr-2026"/>
    <x v="7"/>
    <s v="30-Jun-2026"/>
    <s v="Tuesday"/>
    <s v="Monthly - Tuesday"/>
    <s v="Monthly - Tuesday"/>
    <s v="Month+2 Expiry"/>
    <n v="10165"/>
    <n v="1749.21"/>
    <n v="27.11"/>
  </r>
  <r>
    <s v="17-Apr-2026"/>
    <x v="4"/>
    <s v="Week3-Apr-2026"/>
    <x v="7"/>
    <s v="29-Sep-2026"/>
    <s v="Tuesday"/>
    <s v="Monthly - Tuesday"/>
    <s v="Monthly - Tuesday"/>
    <s v="Month+5 Expiry"/>
    <n v="0"/>
    <n v="0"/>
    <n v="0"/>
  </r>
  <r>
    <s v="17-Apr-2026"/>
    <x v="4"/>
    <s v="Week3-Apr-2026"/>
    <x v="7"/>
    <s v="29-Dec-2026"/>
    <s v="Tuesday"/>
    <s v="Monthly - Tuesday"/>
    <s v="Monthly - Tuesday"/>
    <s v="Month+8 Expiry"/>
    <n v="0"/>
    <n v="0"/>
    <n v="0"/>
  </r>
  <r>
    <s v="17-Apr-2026"/>
    <x v="4"/>
    <s v="Week3-Apr-2026"/>
    <x v="7"/>
    <s v="30-Mar-2027"/>
    <s v="Tuesday"/>
    <s v="Monthly - Tuesday"/>
    <s v="Monthly - Tuesday"/>
    <s v="Month+11 Expiry"/>
    <n v="0"/>
    <n v="0"/>
    <n v="0"/>
  </r>
  <r>
    <s v="20-Apr-2026"/>
    <x v="0"/>
    <s v="Week3-Apr-2026"/>
    <x v="7"/>
    <s v="28-Apr-2026"/>
    <s v="Tuesday"/>
    <s v="Monthly - Tuesday"/>
    <s v="Monthly - Tuesday"/>
    <s v="Same Month Expiry"/>
    <n v="3666502"/>
    <n v="622620.13"/>
    <n v="4420.92"/>
  </r>
  <r>
    <s v="20-Apr-2026"/>
    <x v="0"/>
    <s v="Week3-Apr-2026"/>
    <x v="7"/>
    <s v="26-May-2026"/>
    <s v="Tuesday"/>
    <s v="Monthly - Tuesday"/>
    <s v="Monthly - Tuesday"/>
    <s v="Month+1 Expiry"/>
    <n v="180150"/>
    <n v="31480.38"/>
    <n v="399.54"/>
  </r>
  <r>
    <s v="20-Apr-2026"/>
    <x v="0"/>
    <s v="Week3-Apr-2026"/>
    <x v="7"/>
    <s v="30-Jun-2026"/>
    <s v="Tuesday"/>
    <s v="Monthly - Tuesday"/>
    <s v="Monthly - Tuesday"/>
    <s v="Month+2 Expiry"/>
    <n v="15269"/>
    <n v="2678.54"/>
    <n v="51.45"/>
  </r>
  <r>
    <s v="20-Apr-2026"/>
    <x v="0"/>
    <s v="Week3-Apr-2026"/>
    <x v="7"/>
    <s v="29-Sep-2026"/>
    <s v="Tuesday"/>
    <s v="Monthly - Tuesday"/>
    <s v="Monthly - Tuesday"/>
    <s v="Month+5 Expiry"/>
    <n v="0"/>
    <n v="0"/>
    <n v="0"/>
  </r>
  <r>
    <s v="20-Apr-2026"/>
    <x v="0"/>
    <s v="Week3-Apr-2026"/>
    <x v="7"/>
    <s v="29-Dec-2026"/>
    <s v="Tuesday"/>
    <s v="Monthly - Tuesday"/>
    <s v="Monthly - Tuesday"/>
    <s v="Month+8 Expiry"/>
    <n v="0"/>
    <n v="0"/>
    <n v="0"/>
  </r>
  <r>
    <s v="20-Apr-2026"/>
    <x v="0"/>
    <s v="Week3-Apr-2026"/>
    <x v="7"/>
    <s v="30-Mar-2027"/>
    <s v="Tuesday"/>
    <s v="Monthly - Tuesday"/>
    <s v="Monthly - Tuesday"/>
    <s v="Month+11 Expiry"/>
    <n v="0"/>
    <n v="0"/>
    <n v="0"/>
  </r>
  <r>
    <s v="21-Apr-2026"/>
    <x v="1"/>
    <s v="Week3-Apr-2026"/>
    <x v="7"/>
    <s v="28-Apr-2026"/>
    <s v="Tuesday"/>
    <s v="Monthly - Tuesday"/>
    <s v="Monthly - Tuesday"/>
    <s v="Same Month Expiry"/>
    <n v="2989722"/>
    <n v="506462.64"/>
    <n v="3392.11"/>
  </r>
  <r>
    <s v="21-Apr-2026"/>
    <x v="1"/>
    <s v="Week3-Apr-2026"/>
    <x v="7"/>
    <s v="26-May-2026"/>
    <s v="Tuesday"/>
    <s v="Monthly - Tuesday"/>
    <s v="Monthly - Tuesday"/>
    <s v="Month+1 Expiry"/>
    <n v="179279"/>
    <n v="31355.34"/>
    <n v="414.59"/>
  </r>
  <r>
    <s v="21-Apr-2026"/>
    <x v="1"/>
    <s v="Week3-Apr-2026"/>
    <x v="7"/>
    <s v="30-Jun-2026"/>
    <s v="Tuesday"/>
    <s v="Monthly - Tuesday"/>
    <s v="Monthly - Tuesday"/>
    <s v="Month+2 Expiry"/>
    <n v="12233"/>
    <n v="2118.65"/>
    <n v="37.369999999999997"/>
  </r>
  <r>
    <s v="21-Apr-2026"/>
    <x v="1"/>
    <s v="Week3-Apr-2026"/>
    <x v="7"/>
    <s v="29-Sep-2026"/>
    <s v="Tuesday"/>
    <s v="Monthly - Tuesday"/>
    <s v="Monthly - Tuesday"/>
    <s v="Month+5 Expiry"/>
    <n v="0"/>
    <n v="0"/>
    <n v="0"/>
  </r>
  <r>
    <s v="21-Apr-2026"/>
    <x v="1"/>
    <s v="Week3-Apr-2026"/>
    <x v="7"/>
    <s v="29-Dec-2026"/>
    <s v="Tuesday"/>
    <s v="Monthly - Tuesday"/>
    <s v="Monthly - Tuesday"/>
    <s v="Month+8 Expiry"/>
    <n v="0"/>
    <n v="0"/>
    <n v="0"/>
  </r>
  <r>
    <s v="21-Apr-2026"/>
    <x v="1"/>
    <s v="Week3-Apr-2026"/>
    <x v="7"/>
    <s v="30-Mar-2027"/>
    <s v="Tuesday"/>
    <s v="Monthly - Tuesday"/>
    <s v="Monthly - Tuesday"/>
    <s v="Month+11 Expiry"/>
    <n v="0"/>
    <n v="0"/>
    <n v="0"/>
  </r>
  <r>
    <s v="22-Apr-2026"/>
    <x v="2"/>
    <s v="Week4-Apr-2026"/>
    <x v="7"/>
    <s v="28-Apr-2026"/>
    <s v="Tuesday"/>
    <s v="Monthly - Tuesday"/>
    <s v="Monthly - Tuesday"/>
    <s v="Same Month Expiry"/>
    <n v="4046063"/>
    <n v="691236.95"/>
    <n v="4168.0200000000004"/>
  </r>
  <r>
    <s v="22-Apr-2026"/>
    <x v="2"/>
    <s v="Week4-Apr-2026"/>
    <x v="7"/>
    <s v="26-May-2026"/>
    <s v="Tuesday"/>
    <s v="Monthly - Tuesday"/>
    <s v="Monthly - Tuesday"/>
    <s v="Month+1 Expiry"/>
    <n v="177749"/>
    <n v="30750.02"/>
    <n v="395.47"/>
  </r>
  <r>
    <s v="22-Apr-2026"/>
    <x v="2"/>
    <s v="Week4-Apr-2026"/>
    <x v="7"/>
    <s v="30-Jun-2026"/>
    <s v="Tuesday"/>
    <s v="Monthly - Tuesday"/>
    <s v="Monthly - Tuesday"/>
    <s v="Month+2 Expiry"/>
    <n v="9273"/>
    <n v="1614.06"/>
    <n v="28.44"/>
  </r>
  <r>
    <s v="22-Apr-2026"/>
    <x v="2"/>
    <s v="Week4-Apr-2026"/>
    <x v="7"/>
    <s v="29-Sep-2026"/>
    <s v="Tuesday"/>
    <s v="Monthly - Tuesday"/>
    <s v="Monthly - Tuesday"/>
    <s v="Month+5 Expiry"/>
    <n v="31"/>
    <n v="5.79"/>
    <n v="0.17"/>
  </r>
  <r>
    <s v="22-Apr-2026"/>
    <x v="2"/>
    <s v="Week4-Apr-2026"/>
    <x v="7"/>
    <s v="29-Dec-2026"/>
    <s v="Tuesday"/>
    <s v="Monthly - Tuesday"/>
    <s v="Monthly - Tuesday"/>
    <s v="Month+8 Expiry"/>
    <n v="0"/>
    <n v="0"/>
    <n v="0"/>
  </r>
  <r>
    <s v="22-Apr-2026"/>
    <x v="2"/>
    <s v="Week4-Apr-2026"/>
    <x v="7"/>
    <s v="30-Mar-2027"/>
    <s v="Tuesday"/>
    <s v="Monthly - Tuesday"/>
    <s v="Monthly - Tuesday"/>
    <s v="Month+11 Expiry"/>
    <n v="0"/>
    <n v="0"/>
    <n v="0"/>
  </r>
  <r>
    <s v="23-Apr-2026"/>
    <x v="3"/>
    <s v="Week4-Apr-2026"/>
    <x v="7"/>
    <s v="28-Apr-2026"/>
    <s v="Tuesday"/>
    <s v="Monthly - Tuesday"/>
    <s v="Monthly - Tuesday"/>
    <s v="Same Month Expiry"/>
    <n v="4408079"/>
    <n v="750923.37"/>
    <n v="3849.19"/>
  </r>
  <r>
    <s v="23-Apr-2026"/>
    <x v="3"/>
    <s v="Week4-Apr-2026"/>
    <x v="7"/>
    <s v="26-May-2026"/>
    <s v="Tuesday"/>
    <s v="Monthly - Tuesday"/>
    <s v="Monthly - Tuesday"/>
    <s v="Month+1 Expiry"/>
    <n v="223671"/>
    <n v="39019.550000000003"/>
    <n v="517.04"/>
  </r>
  <r>
    <s v="23-Apr-2026"/>
    <x v="3"/>
    <s v="Week4-Apr-2026"/>
    <x v="7"/>
    <s v="30-Jun-2026"/>
    <s v="Tuesday"/>
    <s v="Monthly - Tuesday"/>
    <s v="Monthly - Tuesday"/>
    <s v="Month+2 Expiry"/>
    <n v="12076"/>
    <n v="2101"/>
    <n v="38.83"/>
  </r>
  <r>
    <s v="23-Apr-2026"/>
    <x v="3"/>
    <s v="Week4-Apr-2026"/>
    <x v="7"/>
    <s v="29-Sep-2026"/>
    <s v="Tuesday"/>
    <s v="Monthly - Tuesday"/>
    <s v="Monthly - Tuesday"/>
    <s v="Month+5 Expiry"/>
    <n v="96"/>
    <n v="15.98"/>
    <n v="0.3"/>
  </r>
  <r>
    <s v="23-Apr-2026"/>
    <x v="3"/>
    <s v="Week4-Apr-2026"/>
    <x v="7"/>
    <s v="29-Dec-2026"/>
    <s v="Tuesday"/>
    <s v="Monthly - Tuesday"/>
    <s v="Monthly - Tuesday"/>
    <s v="Month+8 Expiry"/>
    <n v="0"/>
    <n v="0"/>
    <n v="0"/>
  </r>
  <r>
    <s v="23-Apr-2026"/>
    <x v="3"/>
    <s v="Week4-Apr-2026"/>
    <x v="7"/>
    <s v="30-Mar-2027"/>
    <s v="Tuesday"/>
    <s v="Monthly - Tuesday"/>
    <s v="Monthly - Tuesday"/>
    <s v="Month+11 Expiry"/>
    <n v="0"/>
    <n v="0"/>
    <n v="0"/>
  </r>
  <r>
    <s v="24-Apr-2026"/>
    <x v="4"/>
    <s v="Week4-Apr-2026"/>
    <x v="7"/>
    <s v="28-Apr-2026"/>
    <s v="Tuesday"/>
    <s v="Monthly - Tuesday"/>
    <s v="Monthly - Tuesday"/>
    <s v="Same Month Expiry"/>
    <n v="8502479"/>
    <n v="1435826.74"/>
    <n v="6769.04"/>
  </r>
  <r>
    <s v="24-Apr-2026"/>
    <x v="4"/>
    <s v="Week4-Apr-2026"/>
    <x v="7"/>
    <s v="26-May-2026"/>
    <s v="Tuesday"/>
    <s v="Monthly - Tuesday"/>
    <s v="Monthly - Tuesday"/>
    <s v="Month+1 Expiry"/>
    <n v="225336"/>
    <n v="38904.58"/>
    <n v="564.58000000000004"/>
  </r>
  <r>
    <s v="24-Apr-2026"/>
    <x v="4"/>
    <s v="Week4-Apr-2026"/>
    <x v="7"/>
    <s v="30-Jun-2026"/>
    <s v="Tuesday"/>
    <s v="Monthly - Tuesday"/>
    <s v="Monthly - Tuesday"/>
    <s v="Month+2 Expiry"/>
    <n v="14634"/>
    <n v="2566.17"/>
    <n v="42.83"/>
  </r>
  <r>
    <s v="24-Apr-2026"/>
    <x v="4"/>
    <s v="Week4-Apr-2026"/>
    <x v="7"/>
    <s v="29-Sep-2026"/>
    <s v="Tuesday"/>
    <s v="Monthly - Tuesday"/>
    <s v="Monthly - Tuesday"/>
    <s v="Month+5 Expiry"/>
    <n v="83"/>
    <n v="14.83"/>
    <n v="0.28999999999999998"/>
  </r>
  <r>
    <s v="24-Apr-2026"/>
    <x v="4"/>
    <s v="Week4-Apr-2026"/>
    <x v="7"/>
    <s v="29-Dec-2026"/>
    <s v="Tuesday"/>
    <s v="Monthly - Tuesday"/>
    <s v="Monthly - Tuesday"/>
    <s v="Month+8 Expiry"/>
    <n v="0"/>
    <n v="0"/>
    <n v="0"/>
  </r>
  <r>
    <s v="24-Apr-2026"/>
    <x v="4"/>
    <s v="Week4-Apr-2026"/>
    <x v="7"/>
    <s v="30-Mar-2027"/>
    <s v="Tuesday"/>
    <s v="Monthly - Tuesday"/>
    <s v="Monthly - Tuesday"/>
    <s v="Month+11 Expiry"/>
    <n v="0"/>
    <n v="0"/>
    <n v="0"/>
  </r>
  <r>
    <s v="27-Apr-2026"/>
    <x v="0"/>
    <s v="Week4-Apr-2026"/>
    <x v="7"/>
    <s v="28-Apr-2026"/>
    <s v="Tuesday"/>
    <s v="Monthly - Tuesday"/>
    <s v="Monthly - Tuesday"/>
    <s v="Same Month Expiry"/>
    <n v="16838175"/>
    <n v="2841991.7"/>
    <n v="8223.73"/>
  </r>
  <r>
    <s v="27-Apr-2026"/>
    <x v="0"/>
    <s v="Week4-Apr-2026"/>
    <x v="7"/>
    <s v="26-May-2026"/>
    <s v="Tuesday"/>
    <s v="Monthly - Tuesday"/>
    <s v="Monthly - Tuesday"/>
    <s v="Month+1 Expiry"/>
    <n v="336365"/>
    <n v="57992.41"/>
    <n v="938.62"/>
  </r>
  <r>
    <s v="27-Apr-2026"/>
    <x v="0"/>
    <s v="Week4-Apr-2026"/>
    <x v="7"/>
    <s v="30-Jun-2026"/>
    <s v="Tuesday"/>
    <s v="Monthly - Tuesday"/>
    <s v="Monthly - Tuesday"/>
    <s v="Month+2 Expiry"/>
    <n v="11984"/>
    <n v="2088.48"/>
    <n v="44.46"/>
  </r>
  <r>
    <s v="27-Apr-2026"/>
    <x v="0"/>
    <s v="Week4-Apr-2026"/>
    <x v="7"/>
    <s v="29-Sep-2026"/>
    <s v="Tuesday"/>
    <s v="Monthly - Tuesday"/>
    <s v="Monthly - Tuesday"/>
    <s v="Month+5 Expiry"/>
    <n v="72"/>
    <n v="12.41"/>
    <n v="0.23"/>
  </r>
  <r>
    <s v="27-Apr-2026"/>
    <x v="0"/>
    <s v="Week4-Apr-2026"/>
    <x v="7"/>
    <s v="29-Dec-2026"/>
    <s v="Tuesday"/>
    <s v="Monthly - Tuesday"/>
    <s v="Monthly - Tuesday"/>
    <s v="Month+8 Expiry"/>
    <n v="0"/>
    <n v="0"/>
    <n v="0"/>
  </r>
  <r>
    <s v="27-Apr-2026"/>
    <x v="0"/>
    <s v="Week4-Apr-2026"/>
    <x v="7"/>
    <s v="30-Mar-2027"/>
    <s v="Tuesday"/>
    <s v="Monthly - Tuesday"/>
    <s v="Monthly - Tuesday"/>
    <s v="Month+11 Expiry"/>
    <n v="0"/>
    <n v="0"/>
    <n v="0"/>
  </r>
  <r>
    <s v="28-Apr-2026"/>
    <x v="1"/>
    <s v="Week4-Apr-2026"/>
    <x v="7"/>
    <s v="28-Apr-2026"/>
    <s v="Tuesday"/>
    <s v="Monthly - Tuesday"/>
    <s v="Monthly - Tuesday"/>
    <s v="Same Month Expiry"/>
    <n v="91759485"/>
    <n v="15328621.189999999"/>
    <n v="14422.9"/>
  </r>
  <r>
    <s v="28-Apr-2026"/>
    <x v="1"/>
    <s v="Week4-Apr-2026"/>
    <x v="7"/>
    <s v="26-May-2026"/>
    <s v="Tuesday"/>
    <s v="Monthly - Tuesday"/>
    <s v="Monthly - Tuesday"/>
    <s v="Month+1 Expiry"/>
    <n v="735866"/>
    <n v="125683.62"/>
    <n v="1702.92"/>
  </r>
  <r>
    <s v="28-Apr-2026"/>
    <x v="1"/>
    <s v="Week4-Apr-2026"/>
    <x v="7"/>
    <s v="30-Jun-2026"/>
    <s v="Tuesday"/>
    <s v="Monthly - Tuesday"/>
    <s v="Monthly - Tuesday"/>
    <s v="Month+2 Expiry"/>
    <n v="24881"/>
    <n v="4282.21"/>
    <n v="82.57"/>
  </r>
  <r>
    <s v="28-Apr-2026"/>
    <x v="1"/>
    <s v="Week4-Apr-2026"/>
    <x v="7"/>
    <s v="29-Sep-2026"/>
    <s v="Tuesday"/>
    <s v="Monthly - Tuesday"/>
    <s v="Monthly - Tuesday"/>
    <s v="Month+5 Expiry"/>
    <n v="85"/>
    <n v="14.5"/>
    <n v="0.31"/>
  </r>
  <r>
    <s v="28-Apr-2026"/>
    <x v="1"/>
    <s v="Week4-Apr-2026"/>
    <x v="7"/>
    <s v="29-Dec-2026"/>
    <s v="Tuesday"/>
    <s v="Monthly - Tuesday"/>
    <s v="Monthly - Tuesday"/>
    <s v="Month+8 Expiry"/>
    <n v="3"/>
    <n v="0.54"/>
    <n v="0.02"/>
  </r>
  <r>
    <s v="28-Apr-2026"/>
    <x v="1"/>
    <s v="Week4-Apr-2026"/>
    <x v="7"/>
    <s v="30-Mar-2027"/>
    <s v="Tuesday"/>
    <s v="Monthly - Tuesday"/>
    <s v="Monthly - Tuesday"/>
    <s v="Month+11 Expiry"/>
    <n v="0"/>
    <n v="0"/>
    <n v="0"/>
  </r>
  <r>
    <s v="29-Apr-2026"/>
    <x v="2"/>
    <s v="Week5-Apr-2026"/>
    <x v="7"/>
    <s v="26-May-2026"/>
    <s v="Tuesday"/>
    <s v="Monthly - Tuesday"/>
    <s v="Monthly - Tuesday"/>
    <s v="Month+1 Expiry"/>
    <n v="1895212"/>
    <n v="322890.82"/>
    <n v="3967.97"/>
  </r>
  <r>
    <s v="29-Apr-2026"/>
    <x v="2"/>
    <s v="Week5-Apr-2026"/>
    <x v="7"/>
    <s v="30-Jun-2026"/>
    <s v="Tuesday"/>
    <s v="Monthly - Tuesday"/>
    <s v="Monthly - Tuesday"/>
    <s v="Month+2 Expiry"/>
    <n v="33169"/>
    <n v="5665.35"/>
    <n v="85.18"/>
  </r>
  <r>
    <s v="29-Apr-2026"/>
    <x v="2"/>
    <s v="Week5-Apr-2026"/>
    <x v="7"/>
    <s v="28-Jul-2026"/>
    <s v="Tuesday"/>
    <s v="Monthly - Tuesday"/>
    <s v="Monthly - Tuesday"/>
    <s v="Month+3 Expiry"/>
    <n v="443"/>
    <n v="75.38"/>
    <n v="2.13"/>
  </r>
  <r>
    <s v="29-Apr-2026"/>
    <x v="2"/>
    <s v="Week5-Apr-2026"/>
    <x v="7"/>
    <s v="29-Sep-2026"/>
    <s v="Tuesday"/>
    <s v="Monthly - Tuesday"/>
    <s v="Monthly - Tuesday"/>
    <s v="Month+5 Expiry"/>
    <n v="250"/>
    <n v="44.29"/>
    <n v="0.91"/>
  </r>
  <r>
    <s v="29-Apr-2026"/>
    <x v="2"/>
    <s v="Week5-Apr-2026"/>
    <x v="7"/>
    <s v="29-Dec-2026"/>
    <s v="Tuesday"/>
    <s v="Monthly - Tuesday"/>
    <s v="Monthly - Tuesday"/>
    <s v="Month+8 Expiry"/>
    <n v="8"/>
    <n v="1.1399999999999999"/>
    <n v="0.01"/>
  </r>
  <r>
    <s v="29-Apr-2026"/>
    <x v="2"/>
    <s v="Week5-Apr-2026"/>
    <x v="7"/>
    <s v="30-Mar-2027"/>
    <s v="Tuesday"/>
    <s v="Monthly - Tuesday"/>
    <s v="Monthly - Tuesday"/>
    <s v="Month+11 Expiry"/>
    <n v="0"/>
    <n v="0"/>
    <n v="0"/>
  </r>
  <r>
    <s v="30-Apr-2026"/>
    <x v="3"/>
    <s v="Week5-Apr-2026"/>
    <x v="7"/>
    <s v="26-May-2026"/>
    <s v="Tuesday"/>
    <s v="Monthly - Tuesday"/>
    <s v="Monthly - Tuesday"/>
    <s v="Month+1 Expiry"/>
    <n v="1712831"/>
    <n v="287716.78000000003"/>
    <n v="3766.04"/>
  </r>
  <r>
    <s v="30-Apr-2026"/>
    <x v="3"/>
    <s v="Week5-Apr-2026"/>
    <x v="7"/>
    <s v="30-Jun-2026"/>
    <s v="Tuesday"/>
    <s v="Monthly - Tuesday"/>
    <s v="Monthly - Tuesday"/>
    <s v="Month+2 Expiry"/>
    <n v="30370"/>
    <n v="5182.74"/>
    <n v="86.55"/>
  </r>
  <r>
    <s v="30-Apr-2026"/>
    <x v="3"/>
    <s v="Week5-Apr-2026"/>
    <x v="7"/>
    <s v="28-Jul-2026"/>
    <s v="Tuesday"/>
    <s v="Monthly - Tuesday"/>
    <s v="Monthly - Tuesday"/>
    <s v="Month+3 Expiry"/>
    <n v="1064"/>
    <n v="179.26"/>
    <n v="5.12"/>
  </r>
  <r>
    <s v="30-Apr-2026"/>
    <x v="3"/>
    <s v="Week5-Apr-2026"/>
    <x v="7"/>
    <s v="29-Sep-2026"/>
    <s v="Tuesday"/>
    <s v="Monthly - Tuesday"/>
    <s v="Monthly - Tuesday"/>
    <s v="Month+5 Expiry"/>
    <n v="389"/>
    <n v="67.91"/>
    <n v="1.42"/>
  </r>
  <r>
    <s v="30-Apr-2026"/>
    <x v="3"/>
    <s v="Week5-Apr-2026"/>
    <x v="7"/>
    <s v="29-Dec-2026"/>
    <s v="Tuesday"/>
    <s v="Monthly - Tuesday"/>
    <s v="Monthly - Tuesday"/>
    <s v="Month+8 Expiry"/>
    <n v="0"/>
    <n v="0"/>
    <n v="0"/>
  </r>
  <r>
    <s v="30-Apr-2026"/>
    <x v="3"/>
    <s v="Week5-Apr-2026"/>
    <x v="7"/>
    <s v="30-Mar-2027"/>
    <s v="Tuesday"/>
    <s v="Monthly - Tuesday"/>
    <s v="Monthly - Tuesday"/>
    <s v="Month+11 Expiry"/>
    <n v="0"/>
    <n v="0"/>
    <n v="0"/>
  </r>
  <r>
    <s v="04-May-2026"/>
    <x v="0"/>
    <s v="Week1-May-2026"/>
    <x v="8"/>
    <s v="26-May-2026"/>
    <s v="Tuesday"/>
    <s v="Monthly - Tuesday"/>
    <s v="Monthly - Tuesday"/>
    <s v="Same Month Expiry"/>
    <n v="1767544"/>
    <n v="298700.88"/>
    <n v="3496.21"/>
  </r>
  <r>
    <s v="04-May-2026"/>
    <x v="0"/>
    <s v="Week1-May-2026"/>
    <x v="8"/>
    <s v="30-Jun-2026"/>
    <s v="Tuesday"/>
    <s v="Monthly - Tuesday"/>
    <s v="Monthly - Tuesday"/>
    <s v="Month+1 Expiry"/>
    <n v="33202"/>
    <n v="5757.89"/>
    <n v="73.900000000000006"/>
  </r>
  <r>
    <s v="04-May-2026"/>
    <x v="0"/>
    <s v="Week1-May-2026"/>
    <x v="8"/>
    <s v="28-Jul-2026"/>
    <s v="Tuesday"/>
    <s v="Monthly - Tuesday"/>
    <s v="Monthly - Tuesday"/>
    <s v="Month+2 Expiry"/>
    <n v="1352"/>
    <n v="229.95"/>
    <n v="5.78"/>
  </r>
  <r>
    <s v="04-May-2026"/>
    <x v="0"/>
    <s v="Week1-May-2026"/>
    <x v="8"/>
    <s v="29-Sep-2026"/>
    <s v="Tuesday"/>
    <s v="Monthly - Tuesday"/>
    <s v="Monthly - Tuesday"/>
    <s v="Month+4 Expiry"/>
    <n v="201"/>
    <n v="34.880000000000003"/>
    <n v="0.66"/>
  </r>
  <r>
    <s v="04-May-2026"/>
    <x v="0"/>
    <s v="Week1-May-2026"/>
    <x v="8"/>
    <s v="29-Dec-2026"/>
    <s v="Tuesday"/>
    <s v="Monthly - Tuesday"/>
    <s v="Monthly - Tuesday"/>
    <s v="Month+7 Expiry"/>
    <n v="0"/>
    <n v="0"/>
    <n v="0"/>
  </r>
  <r>
    <s v="04-May-2026"/>
    <x v="0"/>
    <s v="Week1-May-2026"/>
    <x v="8"/>
    <s v="30-Mar-2027"/>
    <s v="Tuesday"/>
    <s v="Monthly - Tuesday"/>
    <s v="Monthly - Tuesday"/>
    <s v="Month+10 Expiry"/>
    <n v="0"/>
    <n v="0"/>
    <n v="0"/>
  </r>
  <r>
    <s v="05-May-2026"/>
    <x v="1"/>
    <s v="Week1-May-2026"/>
    <x v="8"/>
    <s v="26-May-2026"/>
    <s v="Tuesday"/>
    <s v="Monthly - Tuesday"/>
    <s v="Monthly - Tuesday"/>
    <s v="Same Month Expiry"/>
    <n v="1802314"/>
    <n v="302026.96000000002"/>
    <n v="3520.89"/>
  </r>
  <r>
    <s v="05-May-2026"/>
    <x v="1"/>
    <s v="Week1-May-2026"/>
    <x v="8"/>
    <s v="30-Jun-2026"/>
    <s v="Tuesday"/>
    <s v="Monthly - Tuesday"/>
    <s v="Monthly - Tuesday"/>
    <s v="Month+1 Expiry"/>
    <n v="37015"/>
    <n v="6381.88"/>
    <n v="80.58"/>
  </r>
  <r>
    <s v="05-May-2026"/>
    <x v="1"/>
    <s v="Week1-May-2026"/>
    <x v="8"/>
    <s v="28-Jul-2026"/>
    <s v="Tuesday"/>
    <s v="Monthly - Tuesday"/>
    <s v="Monthly - Tuesday"/>
    <s v="Month+2 Expiry"/>
    <n v="1540"/>
    <n v="259.5"/>
    <n v="5.68"/>
  </r>
  <r>
    <s v="05-May-2026"/>
    <x v="1"/>
    <s v="Week1-May-2026"/>
    <x v="8"/>
    <s v="29-Sep-2026"/>
    <s v="Tuesday"/>
    <s v="Monthly - Tuesday"/>
    <s v="Monthly - Tuesday"/>
    <s v="Month+4 Expiry"/>
    <n v="231"/>
    <n v="40.64"/>
    <n v="0.83"/>
  </r>
  <r>
    <s v="05-May-2026"/>
    <x v="1"/>
    <s v="Week1-May-2026"/>
    <x v="8"/>
    <s v="29-Dec-2026"/>
    <s v="Tuesday"/>
    <s v="Monthly - Tuesday"/>
    <s v="Monthly - Tuesday"/>
    <s v="Month+7 Expiry"/>
    <n v="1"/>
    <n v="0.18"/>
    <n v="0.01"/>
  </r>
  <r>
    <s v="05-May-2026"/>
    <x v="1"/>
    <s v="Week1-May-2026"/>
    <x v="8"/>
    <s v="30-Mar-2027"/>
    <s v="Tuesday"/>
    <s v="Monthly - Tuesday"/>
    <s v="Monthly - Tuesday"/>
    <s v="Month+10 Expiry"/>
    <n v="0"/>
    <n v="0"/>
    <n v="0"/>
  </r>
  <r>
    <s v="06-May-2026"/>
    <x v="2"/>
    <s v="Week1-May-2026"/>
    <x v="8"/>
    <s v="26-May-2026"/>
    <s v="Tuesday"/>
    <s v="Monthly - Tuesday"/>
    <s v="Monthly - Tuesday"/>
    <s v="Same Month Expiry"/>
    <n v="3044751"/>
    <n v="512294.06"/>
    <n v="5396.87"/>
  </r>
  <r>
    <s v="06-May-2026"/>
    <x v="2"/>
    <s v="Week1-May-2026"/>
    <x v="8"/>
    <s v="30-Jun-2026"/>
    <s v="Tuesday"/>
    <s v="Monthly - Tuesday"/>
    <s v="Monthly - Tuesday"/>
    <s v="Month+1 Expiry"/>
    <n v="86772"/>
    <n v="14709.36"/>
    <n v="177.06"/>
  </r>
  <r>
    <s v="06-May-2026"/>
    <x v="2"/>
    <s v="Week1-May-2026"/>
    <x v="8"/>
    <s v="28-Jul-2026"/>
    <s v="Tuesday"/>
    <s v="Monthly - Tuesday"/>
    <s v="Monthly - Tuesday"/>
    <s v="Month+2 Expiry"/>
    <n v="4341"/>
    <n v="743.99"/>
    <n v="17.87"/>
  </r>
  <r>
    <s v="06-May-2026"/>
    <x v="2"/>
    <s v="Week1-May-2026"/>
    <x v="8"/>
    <s v="29-Sep-2026"/>
    <s v="Tuesday"/>
    <s v="Monthly - Tuesday"/>
    <s v="Monthly - Tuesday"/>
    <s v="Month+4 Expiry"/>
    <n v="432"/>
    <n v="74.95"/>
    <n v="1.69"/>
  </r>
  <r>
    <s v="06-May-2026"/>
    <x v="2"/>
    <s v="Week1-May-2026"/>
    <x v="8"/>
    <s v="29-Dec-2026"/>
    <s v="Tuesday"/>
    <s v="Monthly - Tuesday"/>
    <s v="Monthly - Tuesday"/>
    <s v="Month+7 Expiry"/>
    <n v="12"/>
    <n v="1.83"/>
    <n v="0.05"/>
  </r>
  <r>
    <s v="06-May-2026"/>
    <x v="2"/>
    <s v="Week1-May-2026"/>
    <x v="8"/>
    <s v="30-Mar-2027"/>
    <s v="Tuesday"/>
    <s v="Monthly - Tuesday"/>
    <s v="Monthly - Tuesday"/>
    <s v="Month+10 Expiry"/>
    <n v="0"/>
    <n v="0"/>
    <n v="0"/>
  </r>
  <r>
    <s v="07-May-2026"/>
    <x v="3"/>
    <s v="Week1-May-2026"/>
    <x v="8"/>
    <s v="26-May-2026"/>
    <s v="Tuesday"/>
    <s v="Monthly - Tuesday"/>
    <s v="Monthly - Tuesday"/>
    <s v="Same Month Expiry"/>
    <n v="2146088"/>
    <n v="366070.45"/>
    <n v="3824.74"/>
  </r>
  <r>
    <s v="07-May-2026"/>
    <x v="3"/>
    <s v="Week1-May-2026"/>
    <x v="8"/>
    <s v="30-Jun-2026"/>
    <s v="Tuesday"/>
    <s v="Monthly - Tuesday"/>
    <s v="Monthly - Tuesday"/>
    <s v="Month+1 Expiry"/>
    <n v="40308"/>
    <n v="6861.4"/>
    <n v="92.22"/>
  </r>
  <r>
    <s v="07-May-2026"/>
    <x v="3"/>
    <s v="Week1-May-2026"/>
    <x v="8"/>
    <s v="28-Jul-2026"/>
    <s v="Tuesday"/>
    <s v="Monthly - Tuesday"/>
    <s v="Monthly - Tuesday"/>
    <s v="Month+2 Expiry"/>
    <n v="2085"/>
    <n v="350.55"/>
    <n v="7.18"/>
  </r>
  <r>
    <s v="07-May-2026"/>
    <x v="3"/>
    <s v="Week1-May-2026"/>
    <x v="8"/>
    <s v="29-Sep-2026"/>
    <s v="Tuesday"/>
    <s v="Monthly - Tuesday"/>
    <s v="Monthly - Tuesday"/>
    <s v="Month+4 Expiry"/>
    <n v="340"/>
    <n v="59.41"/>
    <n v="1.22"/>
  </r>
  <r>
    <s v="07-May-2026"/>
    <x v="3"/>
    <s v="Week1-May-2026"/>
    <x v="8"/>
    <s v="29-Dec-2026"/>
    <s v="Tuesday"/>
    <s v="Monthly - Tuesday"/>
    <s v="Monthly - Tuesday"/>
    <s v="Month+7 Expiry"/>
    <n v="30"/>
    <n v="4.1399999999999997"/>
    <n v="0.04"/>
  </r>
  <r>
    <s v="07-May-2026"/>
    <x v="3"/>
    <s v="Week1-May-2026"/>
    <x v="8"/>
    <s v="30-Mar-2027"/>
    <s v="Tuesday"/>
    <s v="Monthly - Tuesday"/>
    <s v="Monthly - Tuesday"/>
    <s v="Month+10 Expiry"/>
    <n v="0"/>
    <n v="0"/>
    <n v="0"/>
  </r>
  <r>
    <s v="08-May-2026"/>
    <x v="4"/>
    <s v="Week2-May-2026"/>
    <x v="8"/>
    <s v="26-May-2026"/>
    <s v="Tuesday"/>
    <s v="Monthly - Tuesday"/>
    <s v="Monthly - Tuesday"/>
    <s v="Same Month Expiry"/>
    <n v="2286129"/>
    <n v="386059.66"/>
    <n v="3872.98"/>
  </r>
  <r>
    <s v="08-May-2026"/>
    <x v="4"/>
    <s v="Week2-May-2026"/>
    <x v="8"/>
    <s v="30-Jun-2026"/>
    <s v="Tuesday"/>
    <s v="Monthly - Tuesday"/>
    <s v="Monthly - Tuesday"/>
    <s v="Month+1 Expiry"/>
    <n v="41757"/>
    <n v="7085.81"/>
    <n v="92.57"/>
  </r>
  <r>
    <s v="08-May-2026"/>
    <x v="4"/>
    <s v="Week2-May-2026"/>
    <x v="8"/>
    <s v="28-Jul-2026"/>
    <s v="Tuesday"/>
    <s v="Monthly - Tuesday"/>
    <s v="Monthly - Tuesday"/>
    <s v="Month+2 Expiry"/>
    <n v="3861"/>
    <n v="663.62"/>
    <n v="15.3"/>
  </r>
  <r>
    <s v="08-May-2026"/>
    <x v="4"/>
    <s v="Week2-May-2026"/>
    <x v="8"/>
    <s v="29-Sep-2026"/>
    <s v="Tuesday"/>
    <s v="Monthly - Tuesday"/>
    <s v="Monthly - Tuesday"/>
    <s v="Month+4 Expiry"/>
    <n v="260"/>
    <n v="45.32"/>
    <n v="0.98"/>
  </r>
  <r>
    <s v="08-May-2026"/>
    <x v="4"/>
    <s v="Week2-May-2026"/>
    <x v="8"/>
    <s v="29-Dec-2026"/>
    <s v="Tuesday"/>
    <s v="Monthly - Tuesday"/>
    <s v="Monthly - Tuesday"/>
    <s v="Month+7 Expiry"/>
    <n v="19"/>
    <n v="2.58"/>
    <n v="0.02"/>
  </r>
  <r>
    <s v="08-May-2026"/>
    <x v="4"/>
    <s v="Week2-May-2026"/>
    <x v="8"/>
    <s v="30-Mar-2027"/>
    <s v="Tuesday"/>
    <s v="Monthly - Tuesday"/>
    <s v="Monthly - Tuesday"/>
    <s v="Month+10 Expiry"/>
    <n v="0"/>
    <n v="0"/>
    <n v="0"/>
  </r>
  <r>
    <s v="11-May-2026"/>
    <x v="0"/>
    <s v="Week2-May-2026"/>
    <x v="8"/>
    <s v="26-May-2026"/>
    <s v="Tuesday"/>
    <s v="Monthly - Tuesday"/>
    <s v="Monthly - Tuesday"/>
    <s v="Same Month Expiry"/>
    <n v="2634472"/>
    <n v="441354.15"/>
    <n v="4333.8"/>
  </r>
  <r>
    <s v="11-May-2026"/>
    <x v="0"/>
    <s v="Week2-May-2026"/>
    <x v="8"/>
    <s v="30-Jun-2026"/>
    <s v="Tuesday"/>
    <s v="Monthly - Tuesday"/>
    <s v="Monthly - Tuesday"/>
    <s v="Month+1 Expiry"/>
    <n v="64400"/>
    <n v="11031.22"/>
    <n v="142.11000000000001"/>
  </r>
  <r>
    <s v="11-May-2026"/>
    <x v="0"/>
    <s v="Week2-May-2026"/>
    <x v="8"/>
    <s v="28-Jul-2026"/>
    <s v="Tuesday"/>
    <s v="Monthly - Tuesday"/>
    <s v="Monthly - Tuesday"/>
    <s v="Month+2 Expiry"/>
    <n v="4072"/>
    <n v="694.1"/>
    <n v="15.57"/>
  </r>
  <r>
    <s v="11-May-2026"/>
    <x v="0"/>
    <s v="Week2-May-2026"/>
    <x v="8"/>
    <s v="29-Sep-2026"/>
    <s v="Tuesday"/>
    <s v="Monthly - Tuesday"/>
    <s v="Monthly - Tuesday"/>
    <s v="Month+4 Expiry"/>
    <n v="443"/>
    <n v="76.34"/>
    <n v="1.47"/>
  </r>
  <r>
    <s v="11-May-2026"/>
    <x v="0"/>
    <s v="Week2-May-2026"/>
    <x v="8"/>
    <s v="29-Dec-2026"/>
    <s v="Tuesday"/>
    <s v="Monthly - Tuesday"/>
    <s v="Monthly - Tuesday"/>
    <s v="Month+7 Expiry"/>
    <n v="0"/>
    <n v="0"/>
    <n v="0"/>
  </r>
  <r>
    <s v="11-May-2026"/>
    <x v="0"/>
    <s v="Week2-May-2026"/>
    <x v="8"/>
    <s v="30-Mar-2027"/>
    <s v="Tuesday"/>
    <s v="Monthly - Tuesday"/>
    <s v="Monthly - Tuesday"/>
    <s v="Month+10 Expiry"/>
    <n v="0"/>
    <n v="0"/>
    <n v="0"/>
  </r>
  <r>
    <s v="12-May-2026"/>
    <x v="1"/>
    <s v="Week2-May-2026"/>
    <x v="8"/>
    <s v="26-May-2026"/>
    <s v="Tuesday"/>
    <s v="Monthly - Tuesday"/>
    <s v="Monthly - Tuesday"/>
    <s v="Same Month Expiry"/>
    <n v="2490093"/>
    <n v="413759.51"/>
    <n v="4108.5600000000004"/>
  </r>
  <r>
    <s v="12-May-2026"/>
    <x v="1"/>
    <s v="Week2-May-2026"/>
    <x v="8"/>
    <s v="30-Jun-2026"/>
    <s v="Tuesday"/>
    <s v="Monthly - Tuesday"/>
    <s v="Monthly - Tuesday"/>
    <s v="Month+1 Expiry"/>
    <n v="73595"/>
    <n v="12416.64"/>
    <n v="182.05"/>
  </r>
  <r>
    <s v="12-May-2026"/>
    <x v="1"/>
    <s v="Week2-May-2026"/>
    <x v="8"/>
    <s v="28-Jul-2026"/>
    <s v="Tuesday"/>
    <s v="Monthly - Tuesday"/>
    <s v="Monthly - Tuesday"/>
    <s v="Month+2 Expiry"/>
    <n v="5661"/>
    <n v="949.35"/>
    <n v="22.91"/>
  </r>
  <r>
    <s v="12-May-2026"/>
    <x v="1"/>
    <s v="Week2-May-2026"/>
    <x v="8"/>
    <s v="29-Sep-2026"/>
    <s v="Tuesday"/>
    <s v="Monthly - Tuesday"/>
    <s v="Monthly - Tuesday"/>
    <s v="Month+4 Expiry"/>
    <n v="493"/>
    <n v="85.4"/>
    <n v="1.81"/>
  </r>
  <r>
    <s v="12-May-2026"/>
    <x v="1"/>
    <s v="Week2-May-2026"/>
    <x v="8"/>
    <s v="29-Dec-2026"/>
    <s v="Tuesday"/>
    <s v="Monthly - Tuesday"/>
    <s v="Monthly - Tuesday"/>
    <s v="Month+7 Expiry"/>
    <n v="1"/>
    <n v="0.15"/>
    <n v="0"/>
  </r>
  <r>
    <s v="12-May-2026"/>
    <x v="1"/>
    <s v="Week2-May-2026"/>
    <x v="8"/>
    <s v="30-Mar-2027"/>
    <s v="Tuesday"/>
    <s v="Monthly - Tuesday"/>
    <s v="Monthly - Tuesday"/>
    <s v="Month+10 Expiry"/>
    <n v="0"/>
    <n v="0"/>
    <n v="0"/>
  </r>
  <r>
    <s v="13-May-2026"/>
    <x v="2"/>
    <s v="Week2-May-2026"/>
    <x v="8"/>
    <s v="26-May-2026"/>
    <s v="Tuesday"/>
    <s v="Monthly - Tuesday"/>
    <s v="Monthly - Tuesday"/>
    <s v="Same Month Expiry"/>
    <n v="2989323"/>
    <n v="492856.98"/>
    <n v="4960.01"/>
  </r>
  <r>
    <s v="13-May-2026"/>
    <x v="2"/>
    <s v="Week2-May-2026"/>
    <x v="8"/>
    <s v="30-Jun-2026"/>
    <s v="Tuesday"/>
    <s v="Monthly - Tuesday"/>
    <s v="Monthly - Tuesday"/>
    <s v="Month+1 Expiry"/>
    <n v="79357"/>
    <n v="13440.18"/>
    <n v="198.87"/>
  </r>
  <r>
    <s v="13-May-2026"/>
    <x v="2"/>
    <s v="Week2-May-2026"/>
    <x v="8"/>
    <s v="28-Jul-2026"/>
    <s v="Tuesday"/>
    <s v="Monthly - Tuesday"/>
    <s v="Monthly - Tuesday"/>
    <s v="Month+2 Expiry"/>
    <n v="4106"/>
    <n v="695.49"/>
    <n v="17.489999999999998"/>
  </r>
  <r>
    <s v="13-May-2026"/>
    <x v="2"/>
    <s v="Week2-May-2026"/>
    <x v="8"/>
    <s v="29-Sep-2026"/>
    <s v="Tuesday"/>
    <s v="Monthly - Tuesday"/>
    <s v="Monthly - Tuesday"/>
    <s v="Month+4 Expiry"/>
    <n v="394"/>
    <n v="67.75"/>
    <n v="1.33"/>
  </r>
  <r>
    <s v="13-May-2026"/>
    <x v="2"/>
    <s v="Week2-May-2026"/>
    <x v="8"/>
    <s v="29-Dec-2026"/>
    <s v="Tuesday"/>
    <s v="Monthly - Tuesday"/>
    <s v="Monthly - Tuesday"/>
    <s v="Month+7 Expiry"/>
    <n v="1"/>
    <n v="0.15"/>
    <n v="0"/>
  </r>
  <r>
    <s v="13-May-2026"/>
    <x v="2"/>
    <s v="Week2-May-2026"/>
    <x v="8"/>
    <s v="30-Mar-2027"/>
    <s v="Tuesday"/>
    <s v="Monthly - Tuesday"/>
    <s v="Monthly - Tuesday"/>
    <s v="Month+10 Expiry"/>
    <n v="0"/>
    <n v="0"/>
    <n v="0"/>
  </r>
  <r>
    <s v="14-May-2026"/>
    <x v="3"/>
    <s v="Week2-May-2026"/>
    <x v="8"/>
    <s v="26-May-2026"/>
    <s v="Tuesday"/>
    <s v="Monthly - Tuesday"/>
    <s v="Monthly - Tuesday"/>
    <s v="Same Month Expiry"/>
    <n v="3187916"/>
    <n v="526338.61"/>
    <n v="4876.13"/>
  </r>
  <r>
    <s v="14-May-2026"/>
    <x v="3"/>
    <s v="Week2-May-2026"/>
    <x v="8"/>
    <s v="30-Jun-2026"/>
    <s v="Tuesday"/>
    <s v="Monthly - Tuesday"/>
    <s v="Monthly - Tuesday"/>
    <s v="Month+1 Expiry"/>
    <n v="85290"/>
    <n v="14477.89"/>
    <n v="194.9"/>
  </r>
  <r>
    <s v="14-May-2026"/>
    <x v="3"/>
    <s v="Week2-May-2026"/>
    <x v="8"/>
    <s v="28-Jul-2026"/>
    <s v="Tuesday"/>
    <s v="Monthly - Tuesday"/>
    <s v="Monthly - Tuesday"/>
    <s v="Month+2 Expiry"/>
    <n v="4184"/>
    <n v="710"/>
    <n v="16.920000000000002"/>
  </r>
  <r>
    <s v="14-May-2026"/>
    <x v="3"/>
    <s v="Week2-May-2026"/>
    <x v="8"/>
    <s v="29-Sep-2026"/>
    <s v="Tuesday"/>
    <s v="Monthly - Tuesday"/>
    <s v="Monthly - Tuesday"/>
    <s v="Month+4 Expiry"/>
    <n v="303"/>
    <n v="52.06"/>
    <n v="1.02"/>
  </r>
  <r>
    <s v="14-May-2026"/>
    <x v="3"/>
    <s v="Week2-May-2026"/>
    <x v="8"/>
    <s v="29-Dec-2026"/>
    <s v="Tuesday"/>
    <s v="Monthly - Tuesday"/>
    <s v="Monthly - Tuesday"/>
    <s v="Month+7 Expiry"/>
    <n v="6"/>
    <n v="1.05"/>
    <n v="0.06"/>
  </r>
  <r>
    <s v="14-May-2026"/>
    <x v="3"/>
    <s v="Week2-May-2026"/>
    <x v="8"/>
    <s v="30-Mar-2027"/>
    <s v="Tuesday"/>
    <s v="Monthly - Tuesday"/>
    <s v="Monthly - Tuesday"/>
    <s v="Month+10 Expiry"/>
    <n v="0"/>
    <n v="0"/>
    <n v="0"/>
  </r>
  <r>
    <s v="15-May-2026"/>
    <x v="4"/>
    <s v="Week3-May-2026"/>
    <x v="8"/>
    <s v="26-May-2026"/>
    <s v="Tuesday"/>
    <s v="Monthly - Tuesday"/>
    <s v="Monthly - Tuesday"/>
    <s v="Same Month Expiry"/>
    <n v="3112842"/>
    <n v="515246.8"/>
    <n v="4586.2700000000004"/>
  </r>
  <r>
    <s v="15-May-2026"/>
    <x v="4"/>
    <s v="Week3-May-2026"/>
    <x v="8"/>
    <s v="30-Jun-2026"/>
    <s v="Tuesday"/>
    <s v="Monthly - Tuesday"/>
    <s v="Monthly - Tuesday"/>
    <s v="Month+1 Expiry"/>
    <n v="175767"/>
    <n v="30940.49"/>
    <n v="305.45999999999998"/>
  </r>
  <r>
    <s v="15-May-2026"/>
    <x v="4"/>
    <s v="Week3-May-2026"/>
    <x v="8"/>
    <s v="28-Jul-2026"/>
    <s v="Tuesday"/>
    <s v="Monthly - Tuesday"/>
    <s v="Monthly - Tuesday"/>
    <s v="Month+2 Expiry"/>
    <n v="5173"/>
    <n v="887.25"/>
    <n v="18.829999999999998"/>
  </r>
  <r>
    <s v="15-May-2026"/>
    <x v="4"/>
    <s v="Week3-May-2026"/>
    <x v="8"/>
    <s v="29-Sep-2026"/>
    <s v="Tuesday"/>
    <s v="Monthly - Tuesday"/>
    <s v="Monthly - Tuesday"/>
    <s v="Month+4 Expiry"/>
    <n v="266"/>
    <n v="46.55"/>
    <n v="0.81"/>
  </r>
  <r>
    <s v="15-May-2026"/>
    <x v="4"/>
    <s v="Week3-May-2026"/>
    <x v="8"/>
    <s v="29-Dec-2026"/>
    <s v="Tuesday"/>
    <s v="Monthly - Tuesday"/>
    <s v="Monthly - Tuesday"/>
    <s v="Month+7 Expiry"/>
    <n v="14"/>
    <n v="2.4900000000000002"/>
    <n v="0.1"/>
  </r>
  <r>
    <s v="15-May-2026"/>
    <x v="4"/>
    <s v="Week3-May-2026"/>
    <x v="8"/>
    <s v="30-Mar-2027"/>
    <s v="Tuesday"/>
    <s v="Monthly - Tuesday"/>
    <s v="Monthly - Tuesday"/>
    <s v="Month+10 Expiry"/>
    <n v="0"/>
    <n v="0"/>
    <n v="0"/>
  </r>
  <r>
    <s v="18-May-2026"/>
    <x v="0"/>
    <s v="Week3-May-2026"/>
    <x v="8"/>
    <s v="26-May-2026"/>
    <s v="Tuesday"/>
    <s v="Monthly - Tuesday"/>
    <s v="Monthly - Tuesday"/>
    <s v="Same Month Expiry"/>
    <n v="3798263"/>
    <n v="622586.78"/>
    <n v="5179.75"/>
  </r>
  <r>
    <s v="18-May-2026"/>
    <x v="0"/>
    <s v="Week3-May-2026"/>
    <x v="8"/>
    <s v="30-Jun-2026"/>
    <s v="Tuesday"/>
    <s v="Monthly - Tuesday"/>
    <s v="Monthly - Tuesday"/>
    <s v="Month+1 Expiry"/>
    <n v="202314"/>
    <n v="35093.97"/>
    <n v="476.36"/>
  </r>
  <r>
    <s v="18-May-2026"/>
    <x v="0"/>
    <s v="Week3-May-2026"/>
    <x v="8"/>
    <s v="28-Jul-2026"/>
    <s v="Tuesday"/>
    <s v="Monthly - Tuesday"/>
    <s v="Monthly - Tuesday"/>
    <s v="Month+2 Expiry"/>
    <n v="6807"/>
    <n v="1150.6600000000001"/>
    <n v="22.33"/>
  </r>
  <r>
    <s v="18-May-2026"/>
    <x v="0"/>
    <s v="Week3-May-2026"/>
    <x v="8"/>
    <s v="29-Sep-2026"/>
    <s v="Tuesday"/>
    <s v="Monthly - Tuesday"/>
    <s v="Monthly - Tuesday"/>
    <s v="Month+4 Expiry"/>
    <n v="464"/>
    <n v="79.8"/>
    <n v="1.67"/>
  </r>
  <r>
    <s v="18-May-2026"/>
    <x v="0"/>
    <s v="Week3-May-2026"/>
    <x v="8"/>
    <s v="29-Dec-2026"/>
    <s v="Tuesday"/>
    <s v="Monthly - Tuesday"/>
    <s v="Monthly - Tuesday"/>
    <s v="Month+7 Expiry"/>
    <n v="15"/>
    <n v="2.54"/>
    <n v="0.11"/>
  </r>
  <r>
    <s v="18-May-2026"/>
    <x v="0"/>
    <s v="Week3-May-2026"/>
    <x v="8"/>
    <s v="30-Mar-2027"/>
    <s v="Tuesday"/>
    <s v="Monthly - Tuesday"/>
    <s v="Monthly - Tuesday"/>
    <s v="Month+10 Expiry"/>
    <n v="0"/>
    <n v="0"/>
    <n v="0"/>
  </r>
  <r>
    <s v="19-May-2026"/>
    <x v="1"/>
    <s v="Week3-May-2026"/>
    <x v="8"/>
    <s v="26-May-2026"/>
    <s v="Tuesday"/>
    <s v="Monthly - Tuesday"/>
    <s v="Monthly - Tuesday"/>
    <s v="Same Month Expiry"/>
    <n v="3135913"/>
    <n v="513395.7"/>
    <n v="3666.72"/>
  </r>
  <r>
    <s v="19-May-2026"/>
    <x v="1"/>
    <s v="Week3-May-2026"/>
    <x v="8"/>
    <s v="30-Jun-2026"/>
    <s v="Tuesday"/>
    <s v="Monthly - Tuesday"/>
    <s v="Monthly - Tuesday"/>
    <s v="Month+1 Expiry"/>
    <n v="149854"/>
    <n v="26271.27"/>
    <n v="335"/>
  </r>
  <r>
    <s v="19-May-2026"/>
    <x v="1"/>
    <s v="Week3-May-2026"/>
    <x v="8"/>
    <s v="28-Jul-2026"/>
    <s v="Tuesday"/>
    <s v="Monthly - Tuesday"/>
    <s v="Monthly - Tuesday"/>
    <s v="Month+2 Expiry"/>
    <n v="2913"/>
    <n v="494.24"/>
    <n v="10.95"/>
  </r>
  <r>
    <s v="19-May-2026"/>
    <x v="1"/>
    <s v="Week3-May-2026"/>
    <x v="8"/>
    <s v="29-Sep-2026"/>
    <s v="Tuesday"/>
    <s v="Monthly - Tuesday"/>
    <s v="Monthly - Tuesday"/>
    <s v="Month+4 Expiry"/>
    <n v="185"/>
    <n v="31.64"/>
    <n v="0.7"/>
  </r>
  <r>
    <s v="19-May-2026"/>
    <x v="1"/>
    <s v="Week3-May-2026"/>
    <x v="8"/>
    <s v="29-Dec-2026"/>
    <s v="Tuesday"/>
    <s v="Monthly - Tuesday"/>
    <s v="Monthly - Tuesday"/>
    <s v="Month+7 Expiry"/>
    <n v="26"/>
    <n v="4.3"/>
    <n v="0.11"/>
  </r>
  <r>
    <s v="19-May-2026"/>
    <x v="1"/>
    <s v="Week3-May-2026"/>
    <x v="8"/>
    <s v="30-Mar-2027"/>
    <s v="Tuesday"/>
    <s v="Monthly - Tuesday"/>
    <s v="Monthly - Tuesday"/>
    <s v="Month+10 Expiry"/>
    <n v="0"/>
    <n v="0"/>
    <n v="0"/>
  </r>
  <r>
    <s v="20-May-2026"/>
    <x v="2"/>
    <s v="Week3-May-2026"/>
    <x v="8"/>
    <s v="26-May-2026"/>
    <s v="Tuesday"/>
    <s v="Monthly - Tuesday"/>
    <s v="Monthly - Tuesday"/>
    <s v="Same Month Expiry"/>
    <n v="5188850"/>
    <n v="845083.3"/>
    <n v="5339.51"/>
  </r>
  <r>
    <s v="20-May-2026"/>
    <x v="2"/>
    <s v="Week3-May-2026"/>
    <x v="8"/>
    <s v="30-Jun-2026"/>
    <s v="Tuesday"/>
    <s v="Monthly - Tuesday"/>
    <s v="Monthly - Tuesday"/>
    <s v="Month+1 Expiry"/>
    <n v="221112"/>
    <n v="38103.89"/>
    <n v="573.41999999999996"/>
  </r>
  <r>
    <s v="20-May-2026"/>
    <x v="2"/>
    <s v="Week3-May-2026"/>
    <x v="8"/>
    <s v="28-Jul-2026"/>
    <s v="Tuesday"/>
    <s v="Monthly - Tuesday"/>
    <s v="Monthly - Tuesday"/>
    <s v="Month+2 Expiry"/>
    <n v="6345"/>
    <n v="1059.72"/>
    <n v="22.31"/>
  </r>
  <r>
    <s v="20-May-2026"/>
    <x v="2"/>
    <s v="Week3-May-2026"/>
    <x v="8"/>
    <s v="29-Sep-2026"/>
    <s v="Tuesday"/>
    <s v="Monthly - Tuesday"/>
    <s v="Monthly - Tuesday"/>
    <s v="Month+4 Expiry"/>
    <n v="517"/>
    <n v="88.93"/>
    <n v="1.94"/>
  </r>
  <r>
    <s v="20-May-2026"/>
    <x v="2"/>
    <s v="Week3-May-2026"/>
    <x v="8"/>
    <s v="29-Dec-2026"/>
    <s v="Tuesday"/>
    <s v="Monthly - Tuesday"/>
    <s v="Monthly - Tuesday"/>
    <s v="Month+7 Expiry"/>
    <n v="21"/>
    <n v="3.56"/>
    <n v="0.14000000000000001"/>
  </r>
  <r>
    <s v="20-May-2026"/>
    <x v="2"/>
    <s v="Week3-May-2026"/>
    <x v="8"/>
    <s v="30-Mar-2027"/>
    <s v="Tuesday"/>
    <s v="Monthly - Tuesday"/>
    <s v="Monthly - Tuesday"/>
    <s v="Month+10 Expiry"/>
    <n v="0"/>
    <n v="0"/>
    <n v="0"/>
  </r>
  <r>
    <s v="21-May-2026"/>
    <x v="3"/>
    <s v="Week3-May-2026"/>
    <x v="8"/>
    <s v="26-May-2026"/>
    <s v="Tuesday"/>
    <s v="Monthly - Tuesday"/>
    <s v="Monthly - Tuesday"/>
    <s v="Same Month Expiry"/>
    <n v="5824458"/>
    <n v="949866.51"/>
    <n v="4857.28"/>
  </r>
  <r>
    <s v="21-May-2026"/>
    <x v="3"/>
    <s v="Week3-May-2026"/>
    <x v="8"/>
    <s v="30-Jun-2026"/>
    <s v="Tuesday"/>
    <s v="Monthly - Tuesday"/>
    <s v="Monthly - Tuesday"/>
    <s v="Month+1 Expiry"/>
    <n v="250807"/>
    <n v="42677.93"/>
    <n v="645.72"/>
  </r>
  <r>
    <s v="21-May-2026"/>
    <x v="3"/>
    <s v="Week3-May-2026"/>
    <x v="8"/>
    <s v="28-Jul-2026"/>
    <s v="Tuesday"/>
    <s v="Monthly - Tuesday"/>
    <s v="Monthly - Tuesday"/>
    <s v="Month+2 Expiry"/>
    <n v="6595"/>
    <n v="1111.92"/>
    <n v="22.79"/>
  </r>
  <r>
    <s v="21-May-2026"/>
    <x v="3"/>
    <s v="Week3-May-2026"/>
    <x v="8"/>
    <s v="29-Sep-2026"/>
    <s v="Tuesday"/>
    <s v="Monthly - Tuesday"/>
    <s v="Monthly - Tuesday"/>
    <s v="Month+4 Expiry"/>
    <n v="502"/>
    <n v="86.25"/>
    <n v="2.21"/>
  </r>
  <r>
    <s v="21-May-2026"/>
    <x v="3"/>
    <s v="Week3-May-2026"/>
    <x v="8"/>
    <s v="29-Dec-2026"/>
    <s v="Tuesday"/>
    <s v="Monthly - Tuesday"/>
    <s v="Monthly - Tuesday"/>
    <s v="Month+7 Expiry"/>
    <n v="19"/>
    <n v="3.24"/>
    <n v="0.11"/>
  </r>
  <r>
    <s v="21-May-2026"/>
    <x v="3"/>
    <s v="Week3-May-2026"/>
    <x v="8"/>
    <s v="30-Mar-2027"/>
    <s v="Tuesday"/>
    <s v="Monthly - Tuesday"/>
    <s v="Monthly - Tuesday"/>
    <s v="Month+10 Expiry"/>
    <n v="0"/>
    <n v="0"/>
    <n v="0"/>
  </r>
  <r>
    <s v="22-May-2026"/>
    <x v="4"/>
    <s v="Week4-May-2026"/>
    <x v="8"/>
    <s v="26-May-2026"/>
    <s v="Tuesday"/>
    <s v="Monthly - Tuesday"/>
    <s v="Monthly - Tuesday"/>
    <s v="Same Month Expiry"/>
    <n v="9184146"/>
    <n v="1503389.02"/>
    <n v="6734.3"/>
  </r>
  <r>
    <s v="22-May-2026"/>
    <x v="4"/>
    <s v="Week4-May-2026"/>
    <x v="8"/>
    <s v="30-Jun-2026"/>
    <s v="Tuesday"/>
    <s v="Monthly - Tuesday"/>
    <s v="Monthly - Tuesday"/>
    <s v="Month+1 Expiry"/>
    <n v="352471"/>
    <n v="59790.01"/>
    <n v="977.31"/>
  </r>
  <r>
    <s v="22-May-2026"/>
    <x v="4"/>
    <s v="Week4-May-2026"/>
    <x v="8"/>
    <s v="28-Jul-2026"/>
    <s v="Tuesday"/>
    <s v="Monthly - Tuesday"/>
    <s v="Monthly - Tuesday"/>
    <s v="Month+2 Expiry"/>
    <n v="8441"/>
    <n v="1424.95"/>
    <n v="24.13"/>
  </r>
  <r>
    <s v="22-May-2026"/>
    <x v="4"/>
    <s v="Week4-May-2026"/>
    <x v="8"/>
    <s v="29-Sep-2026"/>
    <s v="Tuesday"/>
    <s v="Monthly - Tuesday"/>
    <s v="Monthly - Tuesday"/>
    <s v="Month+4 Expiry"/>
    <n v="668"/>
    <n v="115.76"/>
    <n v="2.0499999999999998"/>
  </r>
  <r>
    <s v="22-May-2026"/>
    <x v="4"/>
    <s v="Week4-May-2026"/>
    <x v="8"/>
    <s v="29-Dec-2026"/>
    <s v="Tuesday"/>
    <s v="Monthly - Tuesday"/>
    <s v="Monthly - Tuesday"/>
    <s v="Month+7 Expiry"/>
    <n v="62"/>
    <n v="11.05"/>
    <n v="0.38"/>
  </r>
  <r>
    <s v="22-May-2026"/>
    <x v="4"/>
    <s v="Week4-May-2026"/>
    <x v="8"/>
    <s v="30-Mar-2027"/>
    <s v="Tuesday"/>
    <s v="Monthly - Tuesday"/>
    <s v="Monthly - Tuesday"/>
    <s v="Month+10 Expiry"/>
    <n v="0"/>
    <n v="0"/>
    <n v="0"/>
  </r>
  <r>
    <s v="25-May-2026"/>
    <x v="0"/>
    <s v="Week4-May-2026"/>
    <x v="8"/>
    <s v="26-May-2026"/>
    <s v="Tuesday"/>
    <s v="Monthly - Tuesday"/>
    <s v="Monthly - Tuesday"/>
    <s v="Same Month Expiry"/>
    <n v="16090631"/>
    <n v="2665590.37"/>
    <n v="7957.74"/>
  </r>
  <r>
    <s v="25-May-2026"/>
    <x v="0"/>
    <s v="Week4-May-2026"/>
    <x v="8"/>
    <s v="30-Jun-2026"/>
    <s v="Tuesday"/>
    <s v="Monthly - Tuesday"/>
    <s v="Monthly - Tuesday"/>
    <s v="Month+1 Expiry"/>
    <n v="571878"/>
    <n v="96279.92"/>
    <n v="1385.22"/>
  </r>
  <r>
    <s v="25-May-2026"/>
    <x v="0"/>
    <s v="Week4-May-2026"/>
    <x v="8"/>
    <s v="28-Jul-2026"/>
    <s v="Tuesday"/>
    <s v="Monthly - Tuesday"/>
    <s v="Monthly - Tuesday"/>
    <s v="Month+2 Expiry"/>
    <n v="18692"/>
    <n v="3077.46"/>
    <n v="45.98"/>
  </r>
  <r>
    <s v="25-May-2026"/>
    <x v="0"/>
    <s v="Week4-May-2026"/>
    <x v="8"/>
    <s v="29-Sep-2026"/>
    <s v="Tuesday"/>
    <s v="Monthly - Tuesday"/>
    <s v="Monthly - Tuesday"/>
    <s v="Month+4 Expiry"/>
    <n v="1803"/>
    <n v="318.54000000000002"/>
    <n v="4.87"/>
  </r>
  <r>
    <s v="25-May-2026"/>
    <x v="0"/>
    <s v="Week4-May-2026"/>
    <x v="8"/>
    <s v="29-Dec-2026"/>
    <s v="Tuesday"/>
    <s v="Monthly - Tuesday"/>
    <s v="Monthly - Tuesday"/>
    <s v="Month+7 Expiry"/>
    <n v="50"/>
    <n v="8.9600000000000009"/>
    <n v="0.3"/>
  </r>
  <r>
    <s v="25-May-2026"/>
    <x v="0"/>
    <s v="Week4-May-2026"/>
    <x v="8"/>
    <s v="30-Mar-2027"/>
    <s v="Tuesday"/>
    <s v="Monthly - Tuesday"/>
    <s v="Monthly - Tuesday"/>
    <s v="Month+10 Expiry"/>
    <n v="0"/>
    <n v="0"/>
    <n v="0"/>
  </r>
  <r>
    <s v="26-May-2026"/>
    <x v="1"/>
    <s v="Week4-May-2026"/>
    <x v="8"/>
    <s v="26-May-2026"/>
    <s v="Tuesday"/>
    <s v="Monthly - Tuesday"/>
    <s v="Monthly - Tuesday"/>
    <s v="Same Month Expiry"/>
    <n v="96694212"/>
    <n v="16061956.619999999"/>
    <n v="17614.349999999999"/>
  </r>
  <r>
    <s v="26-May-2026"/>
    <x v="1"/>
    <s v="Week4-May-2026"/>
    <x v="8"/>
    <s v="30-Jun-2026"/>
    <s v="Tuesday"/>
    <s v="Monthly - Tuesday"/>
    <s v="Monthly - Tuesday"/>
    <s v="Month+1 Expiry"/>
    <n v="711453"/>
    <n v="120351.3"/>
    <n v="1686.89"/>
  </r>
  <r>
    <s v="26-May-2026"/>
    <x v="1"/>
    <s v="Week4-May-2026"/>
    <x v="8"/>
    <s v="28-Jul-2026"/>
    <s v="Tuesday"/>
    <s v="Monthly - Tuesday"/>
    <s v="Monthly - Tuesday"/>
    <s v="Month+2 Expiry"/>
    <n v="18448"/>
    <n v="3067.15"/>
    <n v="38.159999999999997"/>
  </r>
  <r>
    <s v="26-May-2026"/>
    <x v="1"/>
    <s v="Week4-May-2026"/>
    <x v="8"/>
    <s v="29-Sep-2026"/>
    <s v="Tuesday"/>
    <s v="Monthly - Tuesday"/>
    <s v="Monthly - Tuesday"/>
    <s v="Month+4 Expiry"/>
    <n v="854"/>
    <n v="148.27000000000001"/>
    <n v="2.56"/>
  </r>
  <r>
    <s v="26-May-2026"/>
    <x v="1"/>
    <s v="Week4-May-2026"/>
    <x v="8"/>
    <s v="29-Dec-2026"/>
    <s v="Tuesday"/>
    <s v="Monthly - Tuesday"/>
    <s v="Monthly - Tuesday"/>
    <s v="Month+7 Expiry"/>
    <n v="21"/>
    <n v="3.63"/>
    <n v="0.11"/>
  </r>
  <r>
    <s v="26-May-2026"/>
    <x v="1"/>
    <s v="Week4-May-2026"/>
    <x v="8"/>
    <s v="30-Mar-2027"/>
    <s v="Tuesday"/>
    <s v="Monthly - Tuesday"/>
    <s v="Monthly - Tuesday"/>
    <s v="Month+10 Expiry"/>
    <n v="0"/>
    <n v="0"/>
    <n v="0"/>
  </r>
  <r>
    <s v="27-May-2026"/>
    <x v="2"/>
    <s v="Week4-May-2026"/>
    <x v="8"/>
    <s v="30-Jun-2026"/>
    <s v="Tuesday"/>
    <s v="Monthly - Tuesday"/>
    <s v="Monthly - Tuesday"/>
    <s v="Month+1 Expiry"/>
    <n v="1543898"/>
    <n v="260792.09"/>
    <n v="3311.77"/>
  </r>
  <r>
    <s v="27-May-2026"/>
    <x v="2"/>
    <s v="Week4-May-2026"/>
    <x v="8"/>
    <s v="28-Jul-2026"/>
    <s v="Tuesday"/>
    <s v="Monthly - Tuesday"/>
    <s v="Monthly - Tuesday"/>
    <s v="Month+2 Expiry"/>
    <n v="20273"/>
    <n v="3335.46"/>
    <n v="39.24"/>
  </r>
  <r>
    <s v="27-May-2026"/>
    <x v="2"/>
    <s v="Week4-May-2026"/>
    <x v="8"/>
    <s v="25-Aug-2026"/>
    <s v="Tuesday"/>
    <s v="Monthly - Tuesday"/>
    <s v="Monthly - Tuesday"/>
    <s v="Month+3 Expiry"/>
    <n v="375"/>
    <n v="62.35"/>
    <n v="1.31"/>
  </r>
  <r>
    <s v="27-May-2026"/>
    <x v="2"/>
    <s v="Week4-May-2026"/>
    <x v="8"/>
    <s v="29-Sep-2026"/>
    <s v="Tuesday"/>
    <s v="Monthly - Tuesday"/>
    <s v="Monthly - Tuesday"/>
    <s v="Month+4 Expiry"/>
    <n v="743"/>
    <n v="128.6"/>
    <n v="2.6"/>
  </r>
  <r>
    <s v="27-May-2026"/>
    <x v="2"/>
    <s v="Week4-May-2026"/>
    <x v="8"/>
    <s v="29-Dec-2026"/>
    <s v="Tuesday"/>
    <s v="Monthly - Tuesday"/>
    <s v="Monthly - Tuesday"/>
    <s v="Month+7 Expiry"/>
    <n v="46"/>
    <n v="7.75"/>
    <n v="0.21"/>
  </r>
  <r>
    <s v="27-May-2026"/>
    <x v="2"/>
    <s v="Week4-May-2026"/>
    <x v="8"/>
    <s v="30-Mar-2027"/>
    <s v="Tuesday"/>
    <s v="Monthly - Tuesday"/>
    <s v="Monthly - Tuesday"/>
    <s v="Month+10 Expiry"/>
    <n v="0"/>
    <n v="0"/>
    <n v="0"/>
  </r>
  <r>
    <s v="29-May-2026"/>
    <x v="4"/>
    <s v="Week5-May-2026"/>
    <x v="8"/>
    <s v="30-Jun-2026"/>
    <s v="Tuesday"/>
    <s v="Monthly - Tuesday"/>
    <s v="Monthly - Tuesday"/>
    <s v="Month+1 Expiry"/>
    <n v="2073141"/>
    <n v="348217.17"/>
    <n v="4353.29"/>
  </r>
  <r>
    <s v="29-May-2026"/>
    <x v="4"/>
    <s v="Week5-May-2026"/>
    <x v="8"/>
    <s v="28-Jul-2026"/>
    <s v="Tuesday"/>
    <s v="Monthly - Tuesday"/>
    <s v="Monthly - Tuesday"/>
    <s v="Month+2 Expiry"/>
    <n v="28947"/>
    <n v="4909.49"/>
    <n v="81.349999999999994"/>
  </r>
  <r>
    <s v="29-May-2026"/>
    <x v="4"/>
    <s v="Week5-May-2026"/>
    <x v="8"/>
    <s v="25-Aug-2026"/>
    <s v="Tuesday"/>
    <s v="Monthly - Tuesday"/>
    <s v="Monthly - Tuesday"/>
    <s v="Month+3 Expiry"/>
    <n v="877"/>
    <n v="146.02000000000001"/>
    <n v="2.83"/>
  </r>
  <r>
    <s v="29-May-2026"/>
    <x v="4"/>
    <s v="Week5-May-2026"/>
    <x v="8"/>
    <s v="29-Sep-2026"/>
    <s v="Tuesday"/>
    <s v="Monthly - Tuesday"/>
    <s v="Monthly - Tuesday"/>
    <s v="Month+4 Expiry"/>
    <n v="1085"/>
    <n v="189.13"/>
    <n v="3.4"/>
  </r>
  <r>
    <s v="29-May-2026"/>
    <x v="4"/>
    <s v="Week5-May-2026"/>
    <x v="8"/>
    <s v="29-Dec-2026"/>
    <s v="Tuesday"/>
    <s v="Monthly - Tuesday"/>
    <s v="Monthly - Tuesday"/>
    <s v="Month+7 Expiry"/>
    <n v="33"/>
    <n v="5.52"/>
    <n v="0.14000000000000001"/>
  </r>
  <r>
    <s v="29-May-2026"/>
    <x v="4"/>
    <s v="Week5-May-2026"/>
    <x v="8"/>
    <s v="30-Mar-2027"/>
    <s v="Tuesday"/>
    <s v="Monthly - Tuesday"/>
    <s v="Monthly - Tuesday"/>
    <s v="Month+10 Expiry"/>
    <n v="0"/>
    <n v="0"/>
    <n v="0"/>
  </r>
  <r>
    <s v="01-Jun-2026"/>
    <x v="0"/>
    <s v="Week1-Jun-2026"/>
    <x v="9"/>
    <s v="30-Jun-2026"/>
    <s v="Tuesday"/>
    <s v="Monthly - Tuesday"/>
    <s v="Monthly - Tuesday"/>
    <s v="Same Month Expiry"/>
    <n v="2087116"/>
    <n v="348836.23"/>
    <n v="4151.76"/>
  </r>
  <r>
    <s v="01-Jun-2026"/>
    <x v="0"/>
    <s v="Week1-Jun-2026"/>
    <x v="9"/>
    <s v="28-Jul-2026"/>
    <s v="Tuesday"/>
    <s v="Monthly - Tuesday"/>
    <s v="Monthly - Tuesday"/>
    <s v="Month+1 Expiry"/>
    <n v="83895"/>
    <n v="14765.27"/>
    <n v="87.16"/>
  </r>
  <r>
    <s v="01-Jun-2026"/>
    <x v="0"/>
    <s v="Week1-Jun-2026"/>
    <x v="9"/>
    <s v="25-Aug-2026"/>
    <s v="Tuesday"/>
    <s v="Monthly - Tuesday"/>
    <s v="Monthly - Tuesday"/>
    <s v="Month+2 Expiry"/>
    <n v="1769"/>
    <n v="296.85000000000002"/>
    <n v="7.54"/>
  </r>
  <r>
    <s v="01-Jun-2026"/>
    <x v="0"/>
    <s v="Week1-Jun-2026"/>
    <x v="9"/>
    <s v="29-Sep-2026"/>
    <s v="Tuesday"/>
    <s v="Monthly - Tuesday"/>
    <s v="Monthly - Tuesday"/>
    <s v="Month+3 Expiry"/>
    <n v="2500"/>
    <n v="441.05"/>
    <n v="9.56"/>
  </r>
  <r>
    <s v="01-Jun-2026"/>
    <x v="0"/>
    <s v="Week1-Jun-2026"/>
    <x v="9"/>
    <s v="29-Dec-2026"/>
    <s v="Tuesday"/>
    <s v="Monthly - Tuesday"/>
    <s v="Monthly - Tuesday"/>
    <s v="Month+6 Expiry"/>
    <n v="33"/>
    <n v="5.44"/>
    <n v="0.11"/>
  </r>
  <r>
    <s v="01-Jun-2026"/>
    <x v="0"/>
    <s v="Week1-Jun-2026"/>
    <x v="9"/>
    <s v="30-Mar-2027"/>
    <s v="Tuesday"/>
    <s v="Monthly - Tuesday"/>
    <s v="Monthly - Tuesday"/>
    <s v="Month+9 Expiry"/>
    <n v="0"/>
    <n v="0"/>
    <n v="0"/>
  </r>
  <r>
    <s v="02-Jun-2026"/>
    <x v="1"/>
    <s v="Week1-Jun-2026"/>
    <x v="9"/>
    <s v="30-Jun-2026"/>
    <s v="Tuesday"/>
    <s v="Monthly - Tuesday"/>
    <s v="Monthly - Tuesday"/>
    <s v="Same Month Expiry"/>
    <n v="1957882"/>
    <n v="324044.26"/>
    <n v="4028.26"/>
  </r>
  <r>
    <s v="02-Jun-2026"/>
    <x v="1"/>
    <s v="Week1-Jun-2026"/>
    <x v="9"/>
    <s v="28-Jul-2026"/>
    <s v="Tuesday"/>
    <s v="Monthly - Tuesday"/>
    <s v="Monthly - Tuesday"/>
    <s v="Month+1 Expiry"/>
    <n v="39495"/>
    <n v="6711.38"/>
    <n v="73.78"/>
  </r>
  <r>
    <s v="02-Jun-2026"/>
    <x v="1"/>
    <s v="Week1-Jun-2026"/>
    <x v="9"/>
    <s v="25-Aug-2026"/>
    <s v="Tuesday"/>
    <s v="Monthly - Tuesday"/>
    <s v="Monthly - Tuesday"/>
    <s v="Month+2 Expiry"/>
    <n v="1730"/>
    <n v="294.8"/>
    <n v="6.18"/>
  </r>
  <r>
    <s v="02-Jun-2026"/>
    <x v="1"/>
    <s v="Week1-Jun-2026"/>
    <x v="9"/>
    <s v="29-Sep-2026"/>
    <s v="Tuesday"/>
    <s v="Monthly - Tuesday"/>
    <s v="Monthly - Tuesday"/>
    <s v="Month+3 Expiry"/>
    <n v="2027"/>
    <n v="355.26"/>
    <n v="7.06"/>
  </r>
  <r>
    <s v="02-Jun-2026"/>
    <x v="1"/>
    <s v="Week1-Jun-2026"/>
    <x v="9"/>
    <s v="29-Dec-2026"/>
    <s v="Tuesday"/>
    <s v="Monthly - Tuesday"/>
    <s v="Monthly - Tuesday"/>
    <s v="Month+6 Expiry"/>
    <n v="47"/>
    <n v="8.4499999999999993"/>
    <n v="0.19"/>
  </r>
  <r>
    <s v="02-Jun-2026"/>
    <x v="1"/>
    <s v="Week1-Jun-2026"/>
    <x v="9"/>
    <s v="30-Mar-2027"/>
    <s v="Tuesday"/>
    <s v="Monthly - Tuesday"/>
    <s v="Monthly - Tuesday"/>
    <s v="Month+9 Expiry"/>
    <n v="0"/>
    <n v="0"/>
    <n v="0"/>
  </r>
  <r>
    <s v="03-Jun-2026"/>
    <x v="2"/>
    <s v="Week1-Jun-2026"/>
    <x v="9"/>
    <s v="30-Jun-2026"/>
    <s v="Tuesday"/>
    <s v="Monthly - Tuesday"/>
    <s v="Monthly - Tuesday"/>
    <s v="Same Month Expiry"/>
    <n v="2574159"/>
    <n v="427050.75"/>
    <n v="5282.91"/>
  </r>
  <r>
    <s v="03-Jun-2026"/>
    <x v="2"/>
    <s v="Week1-Jun-2026"/>
    <x v="9"/>
    <s v="28-Jul-2026"/>
    <s v="Tuesday"/>
    <s v="Monthly - Tuesday"/>
    <s v="Monthly - Tuesday"/>
    <s v="Month+1 Expiry"/>
    <n v="58330"/>
    <n v="9879.6"/>
    <n v="114.6"/>
  </r>
  <r>
    <s v="03-Jun-2026"/>
    <x v="2"/>
    <s v="Week1-Jun-2026"/>
    <x v="9"/>
    <s v="25-Aug-2026"/>
    <s v="Tuesday"/>
    <s v="Monthly - Tuesday"/>
    <s v="Monthly - Tuesday"/>
    <s v="Month+2 Expiry"/>
    <n v="2635"/>
    <n v="448.26"/>
    <n v="8.4499999999999993"/>
  </r>
  <r>
    <s v="03-Jun-2026"/>
    <x v="2"/>
    <s v="Week1-Jun-2026"/>
    <x v="9"/>
    <s v="29-Sep-2026"/>
    <s v="Tuesday"/>
    <s v="Monthly - Tuesday"/>
    <s v="Monthly - Tuesday"/>
    <s v="Month+3 Expiry"/>
    <n v="1774"/>
    <n v="309.48"/>
    <n v="6.49"/>
  </r>
  <r>
    <s v="03-Jun-2026"/>
    <x v="2"/>
    <s v="Week1-Jun-2026"/>
    <x v="9"/>
    <s v="29-Dec-2026"/>
    <s v="Tuesday"/>
    <s v="Monthly - Tuesday"/>
    <s v="Monthly - Tuesday"/>
    <s v="Month+6 Expiry"/>
    <n v="64"/>
    <n v="11.45"/>
    <n v="0.28999999999999998"/>
  </r>
  <r>
    <s v="03-Jun-2026"/>
    <x v="2"/>
    <s v="Week1-Jun-2026"/>
    <x v="9"/>
    <s v="30-Mar-2027"/>
    <s v="Tuesday"/>
    <s v="Monthly - Tuesday"/>
    <s v="Monthly - Tuesday"/>
    <s v="Month+9 Expiry"/>
    <n v="0"/>
    <n v="0"/>
    <n v="0"/>
  </r>
  <r>
    <s v="04-Jun-2026"/>
    <x v="3"/>
    <s v="Week1-Jun-2026"/>
    <x v="9"/>
    <s v="30-Jun-2026"/>
    <s v="Tuesday"/>
    <s v="Monthly - Tuesday"/>
    <s v="Monthly - Tuesday"/>
    <s v="Same Month Expiry"/>
    <n v="1805357"/>
    <n v="301270.34999999998"/>
    <n v="3782.57"/>
  </r>
  <r>
    <s v="04-Jun-2026"/>
    <x v="3"/>
    <s v="Week1-Jun-2026"/>
    <x v="9"/>
    <s v="28-Jul-2026"/>
    <s v="Tuesday"/>
    <s v="Monthly - Tuesday"/>
    <s v="Monthly - Tuesday"/>
    <s v="Month+1 Expiry"/>
    <n v="25161"/>
    <n v="4279.97"/>
    <n v="53.84"/>
  </r>
  <r>
    <s v="04-Jun-2026"/>
    <x v="3"/>
    <s v="Week1-Jun-2026"/>
    <x v="9"/>
    <s v="25-Aug-2026"/>
    <s v="Tuesday"/>
    <s v="Monthly - Tuesday"/>
    <s v="Monthly - Tuesday"/>
    <s v="Month+2 Expiry"/>
    <n v="1206"/>
    <n v="203.82"/>
    <n v="3.7"/>
  </r>
  <r>
    <s v="04-Jun-2026"/>
    <x v="3"/>
    <s v="Week1-Jun-2026"/>
    <x v="9"/>
    <s v="29-Sep-2026"/>
    <s v="Tuesday"/>
    <s v="Monthly - Tuesday"/>
    <s v="Monthly - Tuesday"/>
    <s v="Month+3 Expiry"/>
    <n v="995"/>
    <n v="173.44"/>
    <n v="4.3"/>
  </r>
  <r>
    <s v="04-Jun-2026"/>
    <x v="3"/>
    <s v="Week1-Jun-2026"/>
    <x v="9"/>
    <s v="29-Dec-2026"/>
    <s v="Tuesday"/>
    <s v="Monthly - Tuesday"/>
    <s v="Monthly - Tuesday"/>
    <s v="Month+6 Expiry"/>
    <n v="92"/>
    <n v="16.940000000000001"/>
    <n v="0.43"/>
  </r>
  <r>
    <s v="04-Jun-2026"/>
    <x v="3"/>
    <s v="Week1-Jun-2026"/>
    <x v="9"/>
    <s v="30-Mar-2027"/>
    <s v="Tuesday"/>
    <s v="Monthly - Tuesday"/>
    <s v="Monthly - Tuesday"/>
    <s v="Month+9 Expiry"/>
    <n v="0"/>
    <n v="0"/>
    <n v="0"/>
  </r>
  <r>
    <s v="05-Jun-2026"/>
    <x v="4"/>
    <s v="Week1-Jun-2026"/>
    <x v="9"/>
    <s v="30-Jun-2026"/>
    <s v="Tuesday"/>
    <s v="Monthly - Tuesday"/>
    <s v="Monthly - Tuesday"/>
    <s v="Same Month Expiry"/>
    <n v="2821084"/>
    <n v="471100.52"/>
    <n v="5919.51"/>
  </r>
  <r>
    <s v="05-Jun-2026"/>
    <x v="4"/>
    <s v="Week1-Jun-2026"/>
    <x v="9"/>
    <s v="28-Jul-2026"/>
    <s v="Tuesday"/>
    <s v="Monthly - Tuesday"/>
    <s v="Monthly - Tuesday"/>
    <s v="Month+1 Expiry"/>
    <n v="55903"/>
    <n v="9508.65"/>
    <n v="116.84"/>
  </r>
  <r>
    <s v="05-Jun-2026"/>
    <x v="4"/>
    <s v="Week1-Jun-2026"/>
    <x v="9"/>
    <s v="25-Aug-2026"/>
    <s v="Tuesday"/>
    <s v="Monthly - Tuesday"/>
    <s v="Monthly - Tuesday"/>
    <s v="Month+2 Expiry"/>
    <n v="1450"/>
    <n v="244.63"/>
    <n v="5.27"/>
  </r>
  <r>
    <s v="05-Jun-2026"/>
    <x v="4"/>
    <s v="Week1-Jun-2026"/>
    <x v="9"/>
    <s v="29-Sep-2026"/>
    <s v="Tuesday"/>
    <s v="Monthly - Tuesday"/>
    <s v="Monthly - Tuesday"/>
    <s v="Month+3 Expiry"/>
    <n v="1001"/>
    <n v="171.52"/>
    <n v="3.7"/>
  </r>
  <r>
    <s v="05-Jun-2026"/>
    <x v="4"/>
    <s v="Week1-Jun-2026"/>
    <x v="9"/>
    <s v="29-Dec-2026"/>
    <s v="Tuesday"/>
    <s v="Monthly - Tuesday"/>
    <s v="Monthly - Tuesday"/>
    <s v="Month+6 Expiry"/>
    <n v="113"/>
    <n v="20.54"/>
    <n v="0.51"/>
  </r>
  <r>
    <s v="05-Jun-2026"/>
    <x v="4"/>
    <s v="Week1-Jun-2026"/>
    <x v="9"/>
    <s v="30-Mar-2027"/>
    <s v="Tuesday"/>
    <s v="Monthly - Tuesday"/>
    <s v="Monthly - Tuesday"/>
    <s v="Month+9 Expiry"/>
    <n v="0"/>
    <n v="0"/>
    <n v="0"/>
  </r>
  <r>
    <s v="08-Jun-2026"/>
    <x v="0"/>
    <s v="Week2-Jun-2026"/>
    <x v="9"/>
    <s v="30-Jun-2026"/>
    <s v="Tuesday"/>
    <s v="Monthly - Tuesday"/>
    <s v="Monthly - Tuesday"/>
    <s v="Same Month Expiry"/>
    <n v="2052438"/>
    <n v="341117.72"/>
    <n v="4260.87"/>
  </r>
  <r>
    <s v="08-Jun-2026"/>
    <x v="0"/>
    <s v="Week2-Jun-2026"/>
    <x v="9"/>
    <s v="28-Jul-2026"/>
    <s v="Tuesday"/>
    <s v="Monthly - Tuesday"/>
    <s v="Monthly - Tuesday"/>
    <s v="Month+1 Expiry"/>
    <n v="37591"/>
    <n v="6427.83"/>
    <n v="72.58"/>
  </r>
  <r>
    <s v="08-Jun-2026"/>
    <x v="0"/>
    <s v="Week2-Jun-2026"/>
    <x v="9"/>
    <s v="25-Aug-2026"/>
    <s v="Tuesday"/>
    <s v="Monthly - Tuesday"/>
    <s v="Monthly - Tuesday"/>
    <s v="Month+2 Expiry"/>
    <n v="1172"/>
    <n v="198.58"/>
    <n v="3.83"/>
  </r>
  <r>
    <s v="08-Jun-2026"/>
    <x v="0"/>
    <s v="Week2-Jun-2026"/>
    <x v="9"/>
    <s v="29-Sep-2026"/>
    <s v="Tuesday"/>
    <s v="Monthly - Tuesday"/>
    <s v="Monthly - Tuesday"/>
    <s v="Month+3 Expiry"/>
    <n v="1104"/>
    <n v="195.02"/>
    <n v="3.37"/>
  </r>
  <r>
    <s v="08-Jun-2026"/>
    <x v="0"/>
    <s v="Week2-Jun-2026"/>
    <x v="9"/>
    <s v="29-Dec-2026"/>
    <s v="Tuesday"/>
    <s v="Monthly - Tuesday"/>
    <s v="Monthly - Tuesday"/>
    <s v="Month+6 Expiry"/>
    <n v="37"/>
    <n v="6.63"/>
    <n v="0.15"/>
  </r>
  <r>
    <s v="08-Jun-2026"/>
    <x v="0"/>
    <s v="Week2-Jun-2026"/>
    <x v="9"/>
    <s v="30-Mar-2027"/>
    <s v="Tuesday"/>
    <s v="Monthly - Tuesday"/>
    <s v="Monthly - Tuesday"/>
    <s v="Month+9 Expiry"/>
    <n v="0"/>
    <n v="0"/>
    <n v="0"/>
  </r>
  <r>
    <s v="09-Jun-2026"/>
    <x v="1"/>
    <s v="Week2-Jun-2026"/>
    <x v="9"/>
    <s v="30-Jun-2026"/>
    <s v="Tuesday"/>
    <s v="Monthly - Tuesday"/>
    <s v="Monthly - Tuesday"/>
    <s v="Same Month Expiry"/>
    <n v="2449924"/>
    <n v="409474.7"/>
    <n v="4609.96"/>
  </r>
  <r>
    <s v="09-Jun-2026"/>
    <x v="1"/>
    <s v="Week2-Jun-2026"/>
    <x v="9"/>
    <s v="28-Jul-2026"/>
    <s v="Tuesday"/>
    <s v="Monthly - Tuesday"/>
    <s v="Monthly - Tuesday"/>
    <s v="Month+1 Expiry"/>
    <n v="65975"/>
    <n v="11405.21"/>
    <n v="205.52"/>
  </r>
  <r>
    <s v="09-Jun-2026"/>
    <x v="1"/>
    <s v="Week2-Jun-2026"/>
    <x v="9"/>
    <s v="25-Aug-2026"/>
    <s v="Tuesday"/>
    <s v="Monthly - Tuesday"/>
    <s v="Monthly - Tuesday"/>
    <s v="Month+2 Expiry"/>
    <n v="2406"/>
    <n v="412.09"/>
    <n v="6.36"/>
  </r>
  <r>
    <s v="09-Jun-2026"/>
    <x v="1"/>
    <s v="Week2-Jun-2026"/>
    <x v="9"/>
    <s v="29-Sep-2026"/>
    <s v="Tuesday"/>
    <s v="Monthly - Tuesday"/>
    <s v="Monthly - Tuesday"/>
    <s v="Month+3 Expiry"/>
    <n v="1189"/>
    <n v="206.23"/>
    <n v="4.0599999999999996"/>
  </r>
  <r>
    <s v="09-Jun-2026"/>
    <x v="1"/>
    <s v="Week2-Jun-2026"/>
    <x v="9"/>
    <s v="29-Dec-2026"/>
    <s v="Tuesday"/>
    <s v="Monthly - Tuesday"/>
    <s v="Monthly - Tuesday"/>
    <s v="Month+6 Expiry"/>
    <n v="54"/>
    <n v="9.3800000000000008"/>
    <n v="0.23"/>
  </r>
  <r>
    <s v="09-Jun-2026"/>
    <x v="1"/>
    <s v="Week2-Jun-2026"/>
    <x v="9"/>
    <s v="30-Mar-2027"/>
    <s v="Tuesday"/>
    <s v="Monthly - Tuesday"/>
    <s v="Monthly - Tuesday"/>
    <s v="Month+9 Expiry"/>
    <n v="0"/>
    <n v="0"/>
    <n v="0"/>
  </r>
  <r>
    <s v="10-Jun-2026"/>
    <x v="2"/>
    <s v="Week2-Jun-2026"/>
    <x v="9"/>
    <s v="30-Jun-2026"/>
    <s v="Tuesday"/>
    <s v="Monthly - Tuesday"/>
    <s v="Monthly - Tuesday"/>
    <s v="Same Month Expiry"/>
    <n v="2183426"/>
    <n v="367087.68"/>
    <n v="4108.08"/>
  </r>
  <r>
    <s v="10-Jun-2026"/>
    <x v="2"/>
    <s v="Week2-Jun-2026"/>
    <x v="9"/>
    <s v="28-Jul-2026"/>
    <s v="Tuesday"/>
    <s v="Monthly - Tuesday"/>
    <s v="Monthly - Tuesday"/>
    <s v="Month+1 Expiry"/>
    <n v="79845"/>
    <n v="13872.55"/>
    <n v="223.07"/>
  </r>
  <r>
    <s v="10-Jun-2026"/>
    <x v="2"/>
    <s v="Week2-Jun-2026"/>
    <x v="9"/>
    <s v="25-Aug-2026"/>
    <s v="Tuesday"/>
    <s v="Monthly - Tuesday"/>
    <s v="Monthly - Tuesday"/>
    <s v="Month+2 Expiry"/>
    <n v="3055"/>
    <n v="521.26"/>
    <n v="9.7899999999999991"/>
  </r>
  <r>
    <s v="10-Jun-2026"/>
    <x v="2"/>
    <s v="Week2-Jun-2026"/>
    <x v="9"/>
    <s v="29-Sep-2026"/>
    <s v="Tuesday"/>
    <s v="Monthly - Tuesday"/>
    <s v="Monthly - Tuesday"/>
    <s v="Month+3 Expiry"/>
    <n v="1691"/>
    <n v="294.42"/>
    <n v="7.19"/>
  </r>
  <r>
    <s v="10-Jun-2026"/>
    <x v="2"/>
    <s v="Week2-Jun-2026"/>
    <x v="9"/>
    <s v="29-Dec-2026"/>
    <s v="Tuesday"/>
    <s v="Monthly - Tuesday"/>
    <s v="Monthly - Tuesday"/>
    <s v="Month+6 Expiry"/>
    <n v="46"/>
    <n v="8.07"/>
    <n v="0.28000000000000003"/>
  </r>
  <r>
    <s v="10-Jun-2026"/>
    <x v="2"/>
    <s v="Week2-Jun-2026"/>
    <x v="9"/>
    <s v="30-Mar-2027"/>
    <s v="Tuesday"/>
    <s v="Monthly - Tuesday"/>
    <s v="Monthly - Tuesday"/>
    <s v="Month+9 Expiry"/>
    <n v="0"/>
    <n v="0"/>
    <n v="0"/>
  </r>
  <r>
    <s v="11-Jun-2026"/>
    <x v="3"/>
    <s v="Week2-Jun-2026"/>
    <x v="9"/>
    <s v="30-Jun-2026"/>
    <s v="Tuesday"/>
    <s v="Monthly - Tuesday"/>
    <s v="Monthly - Tuesday"/>
    <s v="Same Month Expiry"/>
    <n v="2259732"/>
    <n v="380948.95"/>
    <n v="4008.56"/>
  </r>
  <r>
    <s v="11-Jun-2026"/>
    <x v="3"/>
    <s v="Week2-Jun-2026"/>
    <x v="9"/>
    <s v="28-Jul-2026"/>
    <s v="Tuesday"/>
    <s v="Monthly - Tuesday"/>
    <s v="Monthly - Tuesday"/>
    <s v="Month+1 Expiry"/>
    <n v="65775"/>
    <n v="11470.93"/>
    <n v="217.94"/>
  </r>
  <r>
    <s v="11-Jun-2026"/>
    <x v="3"/>
    <s v="Week2-Jun-2026"/>
    <x v="9"/>
    <s v="25-Aug-2026"/>
    <s v="Tuesday"/>
    <s v="Monthly - Tuesday"/>
    <s v="Monthly - Tuesday"/>
    <s v="Month+2 Expiry"/>
    <n v="3126"/>
    <n v="529.55999999999995"/>
    <n v="8.64"/>
  </r>
  <r>
    <s v="11-Jun-2026"/>
    <x v="3"/>
    <s v="Week2-Jun-2026"/>
    <x v="9"/>
    <s v="29-Sep-2026"/>
    <s v="Tuesday"/>
    <s v="Monthly - Tuesday"/>
    <s v="Monthly - Tuesday"/>
    <s v="Month+3 Expiry"/>
    <n v="1332"/>
    <n v="232.97"/>
    <n v="5.2"/>
  </r>
  <r>
    <s v="11-Jun-2026"/>
    <x v="3"/>
    <s v="Week2-Jun-2026"/>
    <x v="9"/>
    <s v="29-Dec-2026"/>
    <s v="Tuesday"/>
    <s v="Monthly - Tuesday"/>
    <s v="Monthly - Tuesday"/>
    <s v="Month+6 Expiry"/>
    <n v="43"/>
    <n v="7.41"/>
    <n v="0.17"/>
  </r>
  <r>
    <s v="11-Jun-2026"/>
    <x v="3"/>
    <s v="Week2-Jun-2026"/>
    <x v="9"/>
    <s v="30-Mar-2027"/>
    <s v="Tuesday"/>
    <s v="Monthly - Tuesday"/>
    <s v="Monthly - Tuesday"/>
    <s v="Month+9 Expiry"/>
    <n v="0"/>
    <n v="0"/>
    <n v="0"/>
  </r>
  <r>
    <s v="12-Jun-2026"/>
    <x v="4"/>
    <s v="Week2-Jun-2026"/>
    <x v="9"/>
    <s v="30-Jun-2026"/>
    <s v="Tuesday"/>
    <s v="Monthly - Tuesday"/>
    <s v="Monthly - Tuesday"/>
    <s v="Same Month Expiry"/>
    <n v="3673301"/>
    <n v="624191.12"/>
    <n v="5451.99"/>
  </r>
  <r>
    <s v="12-Jun-2026"/>
    <x v="4"/>
    <s v="Week2-Jun-2026"/>
    <x v="9"/>
    <s v="28-Jul-2026"/>
    <s v="Tuesday"/>
    <s v="Monthly - Tuesday"/>
    <s v="Monthly - Tuesday"/>
    <s v="Month+1 Expiry"/>
    <n v="154892"/>
    <n v="26797.14"/>
    <n v="411.15"/>
  </r>
  <r>
    <s v="12-Jun-2026"/>
    <x v="4"/>
    <s v="Week2-Jun-2026"/>
    <x v="9"/>
    <s v="25-Aug-2026"/>
    <s v="Tuesday"/>
    <s v="Monthly - Tuesday"/>
    <s v="Monthly - Tuesday"/>
    <s v="Month+2 Expiry"/>
    <n v="6353"/>
    <n v="1073.68"/>
    <n v="18.47"/>
  </r>
  <r>
    <s v="12-Jun-2026"/>
    <x v="4"/>
    <s v="Week2-Jun-2026"/>
    <x v="9"/>
    <s v="29-Sep-2026"/>
    <s v="Tuesday"/>
    <s v="Monthly - Tuesday"/>
    <s v="Monthly - Tuesday"/>
    <s v="Month+3 Expiry"/>
    <n v="3419"/>
    <n v="591.25"/>
    <n v="10.85"/>
  </r>
  <r>
    <s v="12-Jun-2026"/>
    <x v="4"/>
    <s v="Week2-Jun-2026"/>
    <x v="9"/>
    <s v="29-Dec-2026"/>
    <s v="Tuesday"/>
    <s v="Monthly - Tuesday"/>
    <s v="Monthly - Tuesday"/>
    <s v="Month+6 Expiry"/>
    <n v="175"/>
    <n v="28.82"/>
    <n v="0.62"/>
  </r>
  <r>
    <s v="12-Jun-2026"/>
    <x v="4"/>
    <s v="Week2-Jun-2026"/>
    <x v="9"/>
    <s v="30-Mar-2027"/>
    <s v="Tuesday"/>
    <s v="Monthly - Tuesday"/>
    <s v="Monthly - Tuesday"/>
    <s v="Month+9 Expiry"/>
    <n v="0"/>
    <n v="0"/>
    <n v="0"/>
  </r>
  <r>
    <s v="15-Jun-2026"/>
    <x v="0"/>
    <s v="Week3-Jun-2026"/>
    <x v="9"/>
    <s v="30-Jun-2026"/>
    <s v="Tuesday"/>
    <s v="Monthly - Tuesday"/>
    <s v="Monthly - Tuesday"/>
    <s v="Same Month Expiry"/>
    <n v="2832594"/>
    <n v="487363.36"/>
    <n v="3867.03"/>
  </r>
  <r>
    <s v="15-Jun-2026"/>
    <x v="0"/>
    <s v="Week3-Jun-2026"/>
    <x v="9"/>
    <s v="28-Jul-2026"/>
    <s v="Tuesday"/>
    <s v="Monthly - Tuesday"/>
    <s v="Monthly - Tuesday"/>
    <s v="Month+1 Expiry"/>
    <n v="146089"/>
    <n v="25322.81"/>
    <n v="316.23"/>
  </r>
  <r>
    <s v="15-Jun-2026"/>
    <x v="0"/>
    <s v="Week3-Jun-2026"/>
    <x v="9"/>
    <s v="25-Aug-2026"/>
    <s v="Tuesday"/>
    <s v="Monthly - Tuesday"/>
    <s v="Monthly - Tuesday"/>
    <s v="Month+2 Expiry"/>
    <n v="6355"/>
    <n v="1085.1300000000001"/>
    <n v="17.670000000000002"/>
  </r>
  <r>
    <s v="15-Jun-2026"/>
    <x v="0"/>
    <s v="Week3-Jun-2026"/>
    <x v="9"/>
    <s v="29-Sep-2026"/>
    <s v="Tuesday"/>
    <s v="Monthly - Tuesday"/>
    <s v="Monthly - Tuesday"/>
    <s v="Month+3 Expiry"/>
    <n v="2628"/>
    <n v="457.74"/>
    <n v="8.84"/>
  </r>
  <r>
    <s v="15-Jun-2026"/>
    <x v="0"/>
    <s v="Week3-Jun-2026"/>
    <x v="9"/>
    <s v="29-Dec-2026"/>
    <s v="Tuesday"/>
    <s v="Monthly - Tuesday"/>
    <s v="Monthly - Tuesday"/>
    <s v="Month+6 Expiry"/>
    <n v="204"/>
    <n v="36.130000000000003"/>
    <n v="0.96"/>
  </r>
  <r>
    <s v="15-Jun-2026"/>
    <x v="0"/>
    <s v="Week3-Jun-2026"/>
    <x v="9"/>
    <s v="30-Mar-2027"/>
    <s v="Tuesday"/>
    <s v="Monthly - Tuesday"/>
    <s v="Monthly - Tuesday"/>
    <s v="Month+9 Expiry"/>
    <n v="0"/>
    <n v="0"/>
    <n v="0"/>
  </r>
  <r>
    <s v="16-Jun-2026"/>
    <x v="1"/>
    <s v="Week3-Jun-2026"/>
    <x v="9"/>
    <s v="30-Jun-2026"/>
    <s v="Tuesday"/>
    <s v="Monthly - Tuesday"/>
    <s v="Monthly - Tuesday"/>
    <s v="Same Month Expiry"/>
    <n v="2103004"/>
    <n v="361532.12"/>
    <n v="2747.9"/>
  </r>
  <r>
    <s v="16-Jun-2026"/>
    <x v="1"/>
    <s v="Week3-Jun-2026"/>
    <x v="9"/>
    <s v="28-Jul-2026"/>
    <s v="Tuesday"/>
    <s v="Monthly - Tuesday"/>
    <s v="Monthly - Tuesday"/>
    <s v="Month+1 Expiry"/>
    <n v="83078"/>
    <n v="14278.05"/>
    <n v="153.75"/>
  </r>
  <r>
    <s v="16-Jun-2026"/>
    <x v="1"/>
    <s v="Week3-Jun-2026"/>
    <x v="9"/>
    <s v="25-Aug-2026"/>
    <s v="Tuesday"/>
    <s v="Monthly - Tuesday"/>
    <s v="Monthly - Tuesday"/>
    <s v="Month+2 Expiry"/>
    <n v="3424"/>
    <n v="584.05999999999995"/>
    <n v="8.9600000000000009"/>
  </r>
  <r>
    <s v="16-Jun-2026"/>
    <x v="1"/>
    <s v="Week3-Jun-2026"/>
    <x v="9"/>
    <s v="29-Sep-2026"/>
    <s v="Tuesday"/>
    <s v="Monthly - Tuesday"/>
    <s v="Monthly - Tuesday"/>
    <s v="Month+3 Expiry"/>
    <n v="1724"/>
    <n v="307.95999999999998"/>
    <n v="6.13"/>
  </r>
  <r>
    <s v="16-Jun-2026"/>
    <x v="1"/>
    <s v="Week3-Jun-2026"/>
    <x v="9"/>
    <s v="29-Dec-2026"/>
    <s v="Tuesday"/>
    <s v="Monthly - Tuesday"/>
    <s v="Monthly - Tuesday"/>
    <s v="Month+6 Expiry"/>
    <n v="135"/>
    <n v="23.97"/>
    <n v="0.57999999999999996"/>
  </r>
  <r>
    <s v="16-Jun-2026"/>
    <x v="1"/>
    <s v="Week3-Jun-2026"/>
    <x v="9"/>
    <s v="30-Mar-2027"/>
    <s v="Tuesday"/>
    <s v="Monthly - Tuesday"/>
    <s v="Monthly - Tuesday"/>
    <s v="Month+9 Expiry"/>
    <n v="1"/>
    <n v="0.19"/>
    <n v="0.01"/>
  </r>
  <r>
    <s v="17-Jun-2026"/>
    <x v="2"/>
    <s v="Week3-Jun-2026"/>
    <x v="9"/>
    <s v="30-Jun-2026"/>
    <s v="Tuesday"/>
    <s v="Monthly - Tuesday"/>
    <s v="Monthly - Tuesday"/>
    <s v="Same Month Expiry"/>
    <n v="2389751"/>
    <n v="411567.35"/>
    <n v="2980.25"/>
  </r>
  <r>
    <s v="17-Jun-2026"/>
    <x v="2"/>
    <s v="Week3-Jun-2026"/>
    <x v="9"/>
    <s v="28-Jul-2026"/>
    <s v="Tuesday"/>
    <s v="Monthly - Tuesday"/>
    <s v="Monthly - Tuesday"/>
    <s v="Month+1 Expiry"/>
    <n v="84520"/>
    <n v="14562.96"/>
    <n v="149.96"/>
  </r>
  <r>
    <s v="17-Jun-2026"/>
    <x v="2"/>
    <s v="Week3-Jun-2026"/>
    <x v="9"/>
    <s v="25-Aug-2026"/>
    <s v="Tuesday"/>
    <s v="Monthly - Tuesday"/>
    <s v="Monthly - Tuesday"/>
    <s v="Month+2 Expiry"/>
    <n v="5306"/>
    <n v="923.2"/>
    <n v="16.03"/>
  </r>
  <r>
    <s v="17-Jun-2026"/>
    <x v="2"/>
    <s v="Week3-Jun-2026"/>
    <x v="9"/>
    <s v="29-Sep-2026"/>
    <s v="Tuesday"/>
    <s v="Monthly - Tuesday"/>
    <s v="Monthly - Tuesday"/>
    <s v="Month+3 Expiry"/>
    <n v="1376"/>
    <n v="243.94"/>
    <n v="4.4000000000000004"/>
  </r>
  <r>
    <s v="17-Jun-2026"/>
    <x v="2"/>
    <s v="Week3-Jun-2026"/>
    <x v="9"/>
    <s v="29-Dec-2026"/>
    <s v="Tuesday"/>
    <s v="Monthly - Tuesday"/>
    <s v="Monthly - Tuesday"/>
    <s v="Month+6 Expiry"/>
    <n v="255"/>
    <n v="45.1"/>
    <n v="1.01"/>
  </r>
  <r>
    <s v="17-Jun-2026"/>
    <x v="2"/>
    <s v="Week3-Jun-2026"/>
    <x v="9"/>
    <s v="30-Mar-2027"/>
    <s v="Tuesday"/>
    <s v="Monthly - Tuesday"/>
    <s v="Monthly - Tuesday"/>
    <s v="Month+9 Expiry"/>
    <n v="3"/>
    <n v="0.57999999999999996"/>
    <n v="0.02"/>
  </r>
  <r>
    <s v="18-Jun-2026"/>
    <x v="3"/>
    <s v="Week3-Jun-2026"/>
    <x v="9"/>
    <s v="30-Jun-2026"/>
    <s v="Tuesday"/>
    <s v="Monthly - Tuesday"/>
    <s v="Monthly - Tuesday"/>
    <s v="Same Month Expiry"/>
    <n v="2908467"/>
    <n v="501573.19"/>
    <n v="3085.3"/>
  </r>
  <r>
    <s v="18-Jun-2026"/>
    <x v="3"/>
    <s v="Week3-Jun-2026"/>
    <x v="9"/>
    <s v="28-Jul-2026"/>
    <s v="Tuesday"/>
    <s v="Monthly - Tuesday"/>
    <s v="Monthly - Tuesday"/>
    <s v="Month+1 Expiry"/>
    <n v="131734"/>
    <n v="22953.759999999998"/>
    <n v="232.31"/>
  </r>
  <r>
    <s v="18-Jun-2026"/>
    <x v="3"/>
    <s v="Week3-Jun-2026"/>
    <x v="9"/>
    <s v="25-Aug-2026"/>
    <s v="Tuesday"/>
    <s v="Monthly - Tuesday"/>
    <s v="Monthly - Tuesday"/>
    <s v="Month+2 Expiry"/>
    <n v="10641"/>
    <n v="1858.18"/>
    <n v="29.41"/>
  </r>
  <r>
    <s v="18-Jun-2026"/>
    <x v="3"/>
    <s v="Week3-Jun-2026"/>
    <x v="9"/>
    <s v="29-Sep-2026"/>
    <s v="Tuesday"/>
    <s v="Monthly - Tuesday"/>
    <s v="Monthly - Tuesday"/>
    <s v="Month+3 Expiry"/>
    <n v="1499"/>
    <n v="261.41000000000003"/>
    <n v="4.62"/>
  </r>
  <r>
    <s v="18-Jun-2026"/>
    <x v="3"/>
    <s v="Week3-Jun-2026"/>
    <x v="9"/>
    <s v="29-Dec-2026"/>
    <s v="Tuesday"/>
    <s v="Monthly - Tuesday"/>
    <s v="Monthly - Tuesday"/>
    <s v="Month+6 Expiry"/>
    <n v="266"/>
    <n v="47.59"/>
    <n v="1.1000000000000001"/>
  </r>
  <r>
    <s v="18-Jun-2026"/>
    <x v="3"/>
    <s v="Week3-Jun-2026"/>
    <x v="9"/>
    <s v="30-Mar-2027"/>
    <s v="Tuesday"/>
    <s v="Monthly - Tuesday"/>
    <s v="Monthly - Tuesday"/>
    <s v="Month+9 Expiry"/>
    <n v="0"/>
    <n v="0"/>
    <n v="0"/>
  </r>
  <r>
    <s v="19-Jun-2026"/>
    <x v="4"/>
    <s v="Week3-Jun-2026"/>
    <x v="9"/>
    <s v="30-Jun-2026"/>
    <s v="Tuesday"/>
    <s v="Monthly - Tuesday"/>
    <s v="Monthly - Tuesday"/>
    <s v="Same Month Expiry"/>
    <n v="3249146"/>
    <n v="563069.12"/>
    <n v="3415.12"/>
  </r>
  <r>
    <s v="19-Jun-2026"/>
    <x v="4"/>
    <s v="Week3-Jun-2026"/>
    <x v="9"/>
    <s v="28-Jul-2026"/>
    <s v="Tuesday"/>
    <s v="Monthly - Tuesday"/>
    <s v="Monthly - Tuesday"/>
    <s v="Month+1 Expiry"/>
    <n v="125510"/>
    <n v="21884.98"/>
    <n v="213.67"/>
  </r>
  <r>
    <s v="19-Jun-2026"/>
    <x v="4"/>
    <s v="Week3-Jun-2026"/>
    <x v="9"/>
    <s v="25-Aug-2026"/>
    <s v="Tuesday"/>
    <s v="Monthly - Tuesday"/>
    <s v="Monthly - Tuesday"/>
    <s v="Month+2 Expiry"/>
    <n v="5251"/>
    <n v="918.75"/>
    <n v="14.8"/>
  </r>
  <r>
    <s v="19-Jun-2026"/>
    <x v="4"/>
    <s v="Week3-Jun-2026"/>
    <x v="9"/>
    <s v="29-Sep-2026"/>
    <s v="Tuesday"/>
    <s v="Monthly - Tuesday"/>
    <s v="Monthly - Tuesday"/>
    <s v="Month+3 Expiry"/>
    <n v="2582"/>
    <n v="428.7"/>
    <n v="5.87"/>
  </r>
  <r>
    <s v="19-Jun-2026"/>
    <x v="4"/>
    <s v="Week3-Jun-2026"/>
    <x v="9"/>
    <s v="29-Dec-2026"/>
    <s v="Tuesday"/>
    <s v="Monthly - Tuesday"/>
    <s v="Monthly - Tuesday"/>
    <s v="Month+6 Expiry"/>
    <n v="38"/>
    <n v="6.57"/>
    <n v="0.15"/>
  </r>
  <r>
    <s v="19-Jun-2026"/>
    <x v="4"/>
    <s v="Week3-Jun-2026"/>
    <x v="9"/>
    <s v="30-Mar-2027"/>
    <s v="Tuesday"/>
    <s v="Monthly - Tuesday"/>
    <s v="Monthly - Tuesday"/>
    <s v="Month+9 Expiry"/>
    <n v="0"/>
    <n v="0"/>
    <n v="0"/>
  </r>
  <r>
    <s v="22-Jun-2026"/>
    <x v="0"/>
    <s v="Week4-Jun-2026"/>
    <x v="9"/>
    <s v="30-Jun-2026"/>
    <s v="Tuesday"/>
    <s v="Monthly - Tuesday"/>
    <s v="Monthly - Tuesday"/>
    <s v="Same Month Expiry"/>
    <n v="2948751"/>
    <n v="511861.38"/>
    <n v="2427.91"/>
  </r>
  <r>
    <s v="22-Jun-2026"/>
    <x v="0"/>
    <s v="Week4-Jun-2026"/>
    <x v="9"/>
    <s v="28-Jul-2026"/>
    <s v="Tuesday"/>
    <s v="Monthly - Tuesday"/>
    <s v="Monthly - Tuesday"/>
    <s v="Month+1 Expiry"/>
    <n v="108355"/>
    <n v="18888.21"/>
    <n v="200.09"/>
  </r>
  <r>
    <s v="22-Jun-2026"/>
    <x v="0"/>
    <s v="Week4-Jun-2026"/>
    <x v="9"/>
    <s v="25-Aug-2026"/>
    <s v="Tuesday"/>
    <s v="Monthly - Tuesday"/>
    <s v="Monthly - Tuesday"/>
    <s v="Month+2 Expiry"/>
    <n v="7799"/>
    <n v="1366.16"/>
    <n v="22.27"/>
  </r>
  <r>
    <s v="22-Jun-2026"/>
    <x v="0"/>
    <s v="Week4-Jun-2026"/>
    <x v="9"/>
    <s v="29-Sep-2026"/>
    <s v="Tuesday"/>
    <s v="Monthly - Tuesday"/>
    <s v="Monthly - Tuesday"/>
    <s v="Month+3 Expiry"/>
    <n v="1375"/>
    <n v="237.17"/>
    <n v="3.6"/>
  </r>
  <r>
    <s v="22-Jun-2026"/>
    <x v="0"/>
    <s v="Week4-Jun-2026"/>
    <x v="9"/>
    <s v="29-Dec-2026"/>
    <s v="Tuesday"/>
    <s v="Monthly - Tuesday"/>
    <s v="Monthly - Tuesday"/>
    <s v="Month+6 Expiry"/>
    <n v="43"/>
    <n v="7.39"/>
    <n v="0.18"/>
  </r>
  <r>
    <s v="22-Jun-2026"/>
    <x v="0"/>
    <s v="Week4-Jun-2026"/>
    <x v="9"/>
    <s v="30-Mar-2027"/>
    <s v="Tuesday"/>
    <s v="Monthly - Tuesday"/>
    <s v="Monthly - Tuesday"/>
    <s v="Month+9 Expiry"/>
    <n v="0"/>
    <n v="0"/>
    <n v="0"/>
  </r>
  <r>
    <s v="23-Jun-2026"/>
    <x v="1"/>
    <s v="Week4-Jun-2026"/>
    <x v="9"/>
    <s v="30-Jun-2026"/>
    <s v="Tuesday"/>
    <s v="Monthly - Tuesday"/>
    <s v="Monthly - Tuesday"/>
    <s v="Same Month Expiry"/>
    <n v="5162520"/>
    <n v="893181.46"/>
    <n v="3800.27"/>
  </r>
  <r>
    <s v="23-Jun-2026"/>
    <x v="1"/>
    <s v="Week4-Jun-2026"/>
    <x v="9"/>
    <s v="28-Jul-2026"/>
    <s v="Tuesday"/>
    <s v="Monthly - Tuesday"/>
    <s v="Monthly - Tuesday"/>
    <s v="Month+1 Expiry"/>
    <n v="224292"/>
    <n v="39170.620000000003"/>
    <n v="433.17"/>
  </r>
  <r>
    <s v="23-Jun-2026"/>
    <x v="1"/>
    <s v="Week4-Jun-2026"/>
    <x v="9"/>
    <s v="25-Aug-2026"/>
    <s v="Tuesday"/>
    <s v="Monthly - Tuesday"/>
    <s v="Monthly - Tuesday"/>
    <s v="Month+2 Expiry"/>
    <n v="8782"/>
    <n v="1527.53"/>
    <n v="20.72"/>
  </r>
  <r>
    <s v="23-Jun-2026"/>
    <x v="1"/>
    <s v="Week4-Jun-2026"/>
    <x v="9"/>
    <s v="29-Sep-2026"/>
    <s v="Tuesday"/>
    <s v="Monthly - Tuesday"/>
    <s v="Monthly - Tuesday"/>
    <s v="Month+3 Expiry"/>
    <n v="2117"/>
    <n v="368.46"/>
    <n v="5.15"/>
  </r>
  <r>
    <s v="23-Jun-2026"/>
    <x v="1"/>
    <s v="Week4-Jun-2026"/>
    <x v="9"/>
    <s v="29-Dec-2026"/>
    <s v="Tuesday"/>
    <s v="Monthly - Tuesday"/>
    <s v="Monthly - Tuesday"/>
    <s v="Month+6 Expiry"/>
    <n v="117"/>
    <n v="20.04"/>
    <n v="0.42"/>
  </r>
  <r>
    <s v="23-Jun-2026"/>
    <x v="1"/>
    <s v="Week4-Jun-2026"/>
    <x v="9"/>
    <s v="30-Mar-2027"/>
    <s v="Tuesday"/>
    <s v="Monthly - Tuesday"/>
    <s v="Monthly - Tuesday"/>
    <s v="Month+9 Expiry"/>
    <n v="0"/>
    <n v="0"/>
    <n v="0"/>
  </r>
  <r>
    <s v="24-Jun-2026"/>
    <x v="2"/>
    <s v="Week4-Jun-2026"/>
    <x v="9"/>
    <s v="30-Jun-2026"/>
    <s v="Tuesday"/>
    <s v="Monthly - Tuesday"/>
    <s v="Monthly - Tuesday"/>
    <s v="Same Month Expiry"/>
    <n v="6810780"/>
    <n v="1182623.77"/>
    <n v="5336.21"/>
  </r>
  <r>
    <s v="24-Jun-2026"/>
    <x v="2"/>
    <s v="Week4-Jun-2026"/>
    <x v="9"/>
    <s v="28-Jul-2026"/>
    <s v="Tuesday"/>
    <s v="Monthly - Tuesday"/>
    <s v="Monthly - Tuesday"/>
    <s v="Month+1 Expiry"/>
    <n v="322276"/>
    <n v="56738.55"/>
    <n v="671.82"/>
  </r>
  <r>
    <s v="24-Jun-2026"/>
    <x v="2"/>
    <s v="Week4-Jun-2026"/>
    <x v="9"/>
    <s v="25-Aug-2026"/>
    <s v="Tuesday"/>
    <s v="Monthly - Tuesday"/>
    <s v="Monthly - Tuesday"/>
    <s v="Month+2 Expiry"/>
    <n v="11399"/>
    <n v="2017.92"/>
    <n v="30.95"/>
  </r>
  <r>
    <s v="24-Jun-2026"/>
    <x v="2"/>
    <s v="Week4-Jun-2026"/>
    <x v="9"/>
    <s v="29-Sep-2026"/>
    <s v="Tuesday"/>
    <s v="Monthly - Tuesday"/>
    <s v="Monthly - Tuesday"/>
    <s v="Month+3 Expiry"/>
    <n v="1741"/>
    <n v="305.62"/>
    <n v="5.68"/>
  </r>
  <r>
    <s v="24-Jun-2026"/>
    <x v="2"/>
    <s v="Week4-Jun-2026"/>
    <x v="9"/>
    <s v="29-Dec-2026"/>
    <s v="Tuesday"/>
    <s v="Monthly - Tuesday"/>
    <s v="Monthly - Tuesday"/>
    <s v="Month+6 Expiry"/>
    <n v="267"/>
    <n v="46.57"/>
    <n v="1.1200000000000001"/>
  </r>
  <r>
    <s v="24-Jun-2026"/>
    <x v="2"/>
    <s v="Week4-Jun-2026"/>
    <x v="9"/>
    <s v="30-Mar-2027"/>
    <s v="Tuesday"/>
    <s v="Monthly - Tuesday"/>
    <s v="Monthly - Tuesday"/>
    <s v="Month+9 Expiry"/>
    <n v="0"/>
    <n v="0"/>
    <n v="0"/>
  </r>
  <r>
    <s v="25-Jun-2026"/>
    <x v="3"/>
    <s v="Week4-Jun-2026"/>
    <x v="9"/>
    <s v="30-Jun-2026"/>
    <s v="Tuesday"/>
    <s v="Monthly - Tuesday"/>
    <s v="Monthly - Tuesday"/>
    <s v="Same Month Expiry"/>
    <n v="6781654"/>
    <n v="1183786.01"/>
    <n v="3936.71"/>
  </r>
  <r>
    <s v="25-Jun-2026"/>
    <x v="3"/>
    <s v="Week4-Jun-2026"/>
    <x v="9"/>
    <s v="28-Jul-2026"/>
    <s v="Tuesday"/>
    <s v="Monthly - Tuesday"/>
    <s v="Monthly - Tuesday"/>
    <s v="Month+1 Expiry"/>
    <n v="403951"/>
    <n v="71390.3"/>
    <n v="831.13"/>
  </r>
  <r>
    <s v="25-Jun-2026"/>
    <x v="3"/>
    <s v="Week4-Jun-2026"/>
    <x v="9"/>
    <s v="25-Aug-2026"/>
    <s v="Tuesday"/>
    <s v="Monthly - Tuesday"/>
    <s v="Monthly - Tuesday"/>
    <s v="Month+2 Expiry"/>
    <n v="16063"/>
    <n v="2836.68"/>
    <n v="38.57"/>
  </r>
  <r>
    <s v="25-Jun-2026"/>
    <x v="3"/>
    <s v="Week4-Jun-2026"/>
    <x v="9"/>
    <s v="29-Sep-2026"/>
    <s v="Tuesday"/>
    <s v="Monthly - Tuesday"/>
    <s v="Monthly - Tuesday"/>
    <s v="Month+3 Expiry"/>
    <n v="3623"/>
    <n v="641.83000000000004"/>
    <n v="11.02"/>
  </r>
  <r>
    <s v="25-Jun-2026"/>
    <x v="3"/>
    <s v="Week4-Jun-2026"/>
    <x v="9"/>
    <s v="29-Dec-2026"/>
    <s v="Tuesday"/>
    <s v="Monthly - Tuesday"/>
    <s v="Monthly - Tuesday"/>
    <s v="Month+6 Expiry"/>
    <n v="133"/>
    <n v="23.07"/>
    <n v="0.51"/>
  </r>
  <r>
    <s v="25-Jun-2026"/>
    <x v="3"/>
    <s v="Week4-Jun-2026"/>
    <x v="9"/>
    <s v="30-Mar-2027"/>
    <s v="Tuesday"/>
    <s v="Monthly - Tuesday"/>
    <s v="Monthly - Tuesday"/>
    <s v="Month+9 Expiry"/>
    <n v="0"/>
    <n v="0"/>
    <n v="0"/>
  </r>
  <r>
    <s v="29-Jun-2026"/>
    <x v="0"/>
    <s v="Week5-Jun-2026"/>
    <x v="9"/>
    <s v="30-Jun-2026"/>
    <s v="Tuesday"/>
    <s v="Monthly - Tuesday"/>
    <s v="Monthly - Tuesday"/>
    <s v="Same Month Expiry"/>
    <n v="22572112"/>
    <n v="3922518.55"/>
    <n v="9952.58"/>
  </r>
  <r>
    <s v="29-Jun-2026"/>
    <x v="0"/>
    <s v="Week5-Jun-2026"/>
    <x v="9"/>
    <s v="28-Jul-2026"/>
    <s v="Tuesday"/>
    <s v="Monthly - Tuesday"/>
    <s v="Monthly - Tuesday"/>
    <s v="Month+1 Expiry"/>
    <n v="475306"/>
    <n v="84037.84"/>
    <n v="1080.8599999999999"/>
  </r>
  <r>
    <s v="29-Jun-2026"/>
    <x v="0"/>
    <s v="Week5-Jun-2026"/>
    <x v="9"/>
    <s v="25-Aug-2026"/>
    <s v="Tuesday"/>
    <s v="Monthly - Tuesday"/>
    <s v="Monthly - Tuesday"/>
    <s v="Month+2 Expiry"/>
    <n v="14064"/>
    <n v="2453.63"/>
    <n v="33.880000000000003"/>
  </r>
  <r>
    <s v="29-Jun-2026"/>
    <x v="0"/>
    <s v="Week5-Jun-2026"/>
    <x v="9"/>
    <s v="29-Sep-2026"/>
    <s v="Tuesday"/>
    <s v="Monthly - Tuesday"/>
    <s v="Monthly - Tuesday"/>
    <s v="Month+3 Expiry"/>
    <n v="1399"/>
    <n v="246.01"/>
    <n v="4.5"/>
  </r>
  <r>
    <s v="29-Jun-2026"/>
    <x v="0"/>
    <s v="Week5-Jun-2026"/>
    <x v="9"/>
    <s v="29-Dec-2026"/>
    <s v="Tuesday"/>
    <s v="Monthly - Tuesday"/>
    <s v="Monthly - Tuesday"/>
    <s v="Month+6 Expiry"/>
    <n v="62"/>
    <n v="10.69"/>
    <n v="0.23"/>
  </r>
  <r>
    <s v="29-Jun-2026"/>
    <x v="0"/>
    <s v="Week5-Jun-2026"/>
    <x v="9"/>
    <s v="30-Mar-2027"/>
    <s v="Tuesday"/>
    <s v="Monthly - Tuesday"/>
    <s v="Monthly - Tuesday"/>
    <s v="Month+9 Expiry"/>
    <n v="0"/>
    <n v="0"/>
    <n v="0"/>
  </r>
  <r>
    <s v="30-Jun-2026"/>
    <x v="1"/>
    <s v="Week5-Jun-2026"/>
    <x v="9"/>
    <s v="30-Jun-2026"/>
    <s v="Tuesday"/>
    <s v="Monthly - Tuesday"/>
    <s v="Monthly - Tuesday"/>
    <s v="Same Month Expiry"/>
    <n v="90608397"/>
    <n v="15671379.449999999"/>
    <n v="16577.560000000001"/>
  </r>
  <r>
    <s v="30-Jun-2026"/>
    <x v="1"/>
    <s v="Week5-Jun-2026"/>
    <x v="9"/>
    <s v="28-Jul-2026"/>
    <s v="Tuesday"/>
    <s v="Monthly - Tuesday"/>
    <s v="Monthly - Tuesday"/>
    <s v="Month+1 Expiry"/>
    <n v="658052"/>
    <n v="115760.16"/>
    <n v="1439.16"/>
  </r>
  <r>
    <s v="30-Jun-2026"/>
    <x v="1"/>
    <s v="Week5-Jun-2026"/>
    <x v="9"/>
    <s v="25-Aug-2026"/>
    <s v="Tuesday"/>
    <s v="Monthly - Tuesday"/>
    <s v="Monthly - Tuesday"/>
    <s v="Month+2 Expiry"/>
    <n v="11039"/>
    <n v="1937.38"/>
    <n v="31.73"/>
  </r>
  <r>
    <s v="30-Jun-2026"/>
    <x v="1"/>
    <s v="Week5-Jun-2026"/>
    <x v="9"/>
    <s v="29-Sep-2026"/>
    <s v="Tuesday"/>
    <s v="Monthly - Tuesday"/>
    <s v="Monthly - Tuesday"/>
    <s v="Month+3 Expiry"/>
    <n v="1586"/>
    <n v="283.43"/>
    <n v="4.78"/>
  </r>
  <r>
    <s v="30-Jun-2026"/>
    <x v="1"/>
    <s v="Week5-Jun-2026"/>
    <x v="9"/>
    <s v="29-Dec-2026"/>
    <s v="Tuesday"/>
    <s v="Monthly - Tuesday"/>
    <s v="Monthly - Tuesday"/>
    <s v="Month+6 Expiry"/>
    <n v="72"/>
    <n v="12.86"/>
    <n v="0.39"/>
  </r>
  <r>
    <s v="30-Jun-2026"/>
    <x v="1"/>
    <s v="Week5-Jun-2026"/>
    <x v="9"/>
    <s v="30-Mar-2027"/>
    <s v="Tuesday"/>
    <s v="Monthly - Tuesday"/>
    <s v="Monthly - Tuesday"/>
    <s v="Month+9 Expiry"/>
    <n v="0"/>
    <n v="0"/>
    <n v="0"/>
  </r>
  <r>
    <s v="01-Jul-2026"/>
    <x v="2"/>
    <s v="Week1-Jul-2026"/>
    <x v="10"/>
    <s v="28-Jul-2026"/>
    <s v="Tuesday"/>
    <s v="Monthly - Tuesday"/>
    <s v="Monthly - Tuesday"/>
    <s v="Same Month Expiry"/>
    <n v="1531718"/>
    <n v="269163.88"/>
    <n v="2775.57"/>
  </r>
  <r>
    <s v="01-Jul-2026"/>
    <x v="2"/>
    <s v="Week1-Jul-2026"/>
    <x v="10"/>
    <s v="25-Aug-2026"/>
    <s v="Tuesday"/>
    <s v="Monthly - Tuesday"/>
    <s v="Monthly - Tuesday"/>
    <s v="Month+1 Expiry"/>
    <n v="15430"/>
    <n v="2669.15"/>
    <n v="34.39"/>
  </r>
  <r>
    <s v="01-Jul-2026"/>
    <x v="2"/>
    <s v="Week1-Jul-2026"/>
    <x v="10"/>
    <s v="29-Sep-2026"/>
    <s v="Tuesday"/>
    <s v="Monthly - Tuesday"/>
    <s v="Monthly - Tuesday"/>
    <s v="Month+2 Expiry"/>
    <n v="3290"/>
    <n v="562.59"/>
    <n v="7.53"/>
  </r>
  <r>
    <s v="01-Jul-2026"/>
    <x v="2"/>
    <s v="Week1-Jul-2026"/>
    <x v="10"/>
    <s v="29-Dec-2026"/>
    <s v="Tuesday"/>
    <s v="Monthly - Tuesday"/>
    <s v="Monthly - Tuesday"/>
    <s v="Month+5 Expiry"/>
    <n v="681"/>
    <n v="96.76"/>
    <n v="0.66"/>
  </r>
  <r>
    <s v="01-Jul-2026"/>
    <x v="2"/>
    <s v="Week1-Jul-2026"/>
    <x v="10"/>
    <s v="30-Mar-2027"/>
    <s v="Tuesday"/>
    <s v="Monthly - Tuesday"/>
    <s v="Monthly - Tuesday"/>
    <s v="Month+8 Expiry"/>
    <n v="0"/>
    <n v="0"/>
    <n v="0"/>
  </r>
  <r>
    <s v="01-Jul-2026"/>
    <x v="2"/>
    <s v="Week1-Jul-2026"/>
    <x v="10"/>
    <s v="29-Jun-2027"/>
    <s v="Tuesday"/>
    <s v="Monthly - Tuesday"/>
    <s v="Monthly - Tuesday"/>
    <s v="Month+11 Expiry"/>
    <n v="0"/>
    <n v="0"/>
    <n v="0"/>
  </r>
  <r>
    <s v="02-Jul-2026"/>
    <x v="3"/>
    <s v="Week1-Jul-2026"/>
    <x v="10"/>
    <s v="28-Jul-2026"/>
    <s v="Tuesday"/>
    <s v="Monthly - Tuesday"/>
    <s v="Monthly - Tuesday"/>
    <s v="Same Month Expiry"/>
    <n v="1501955"/>
    <n v="264403.87"/>
    <n v="2705.59"/>
  </r>
  <r>
    <s v="02-Jul-2026"/>
    <x v="3"/>
    <s v="Week1-Jul-2026"/>
    <x v="10"/>
    <s v="25-Aug-2026"/>
    <s v="Tuesday"/>
    <s v="Monthly - Tuesday"/>
    <s v="Monthly - Tuesday"/>
    <s v="Month+1 Expiry"/>
    <n v="16533"/>
    <n v="2914.49"/>
    <n v="40.299999999999997"/>
  </r>
  <r>
    <s v="02-Jul-2026"/>
    <x v="3"/>
    <s v="Week1-Jul-2026"/>
    <x v="10"/>
    <s v="29-Sep-2026"/>
    <s v="Tuesday"/>
    <s v="Monthly - Tuesday"/>
    <s v="Monthly - Tuesday"/>
    <s v="Month+2 Expiry"/>
    <n v="2461"/>
    <n v="417.71"/>
    <n v="5.6"/>
  </r>
  <r>
    <s v="02-Jul-2026"/>
    <x v="3"/>
    <s v="Week1-Jul-2026"/>
    <x v="10"/>
    <s v="29-Dec-2026"/>
    <s v="Tuesday"/>
    <s v="Monthly - Tuesday"/>
    <s v="Monthly - Tuesday"/>
    <s v="Month+5 Expiry"/>
    <n v="130"/>
    <n v="22.33"/>
    <n v="0.44"/>
  </r>
  <r>
    <s v="02-Jul-2026"/>
    <x v="3"/>
    <s v="Week1-Jul-2026"/>
    <x v="10"/>
    <s v="30-Mar-2027"/>
    <s v="Tuesday"/>
    <s v="Monthly - Tuesday"/>
    <s v="Monthly - Tuesday"/>
    <s v="Month+8 Expiry"/>
    <n v="0"/>
    <n v="0"/>
    <n v="0"/>
  </r>
  <r>
    <s v="02-Jul-2026"/>
    <x v="3"/>
    <s v="Week1-Jul-2026"/>
    <x v="10"/>
    <s v="29-Jun-2027"/>
    <s v="Tuesday"/>
    <s v="Monthly - Tuesday"/>
    <s v="Monthly - Tuesday"/>
    <s v="Month+11 Expiry"/>
    <n v="0"/>
    <n v="0"/>
    <n v="0"/>
  </r>
  <r>
    <s v="03-Jul-2026"/>
    <x v="4"/>
    <s v="Week1-Jul-2026"/>
    <x v="10"/>
    <s v="28-Jul-2026"/>
    <s v="Tuesday"/>
    <s v="Monthly - Tuesday"/>
    <s v="Monthly - Tuesday"/>
    <s v="Same Month Expiry"/>
    <n v="1623313"/>
    <n v="286264.42"/>
    <n v="2888.71"/>
  </r>
  <r>
    <s v="03-Jul-2026"/>
    <x v="4"/>
    <s v="Week1-Jul-2026"/>
    <x v="10"/>
    <s v="25-Aug-2026"/>
    <s v="Tuesday"/>
    <s v="Monthly - Tuesday"/>
    <s v="Monthly - Tuesday"/>
    <s v="Month+1 Expiry"/>
    <n v="23323"/>
    <n v="4094.08"/>
    <n v="58.41"/>
  </r>
  <r>
    <s v="03-Jul-2026"/>
    <x v="4"/>
    <s v="Week1-Jul-2026"/>
    <x v="10"/>
    <s v="29-Sep-2026"/>
    <s v="Tuesday"/>
    <s v="Monthly - Tuesday"/>
    <s v="Monthly - Tuesday"/>
    <s v="Month+2 Expiry"/>
    <n v="3664"/>
    <n v="637.65"/>
    <n v="11.78"/>
  </r>
  <r>
    <s v="03-Jul-2026"/>
    <x v="4"/>
    <s v="Week1-Jul-2026"/>
    <x v="10"/>
    <s v="29-Dec-2026"/>
    <s v="Tuesday"/>
    <s v="Monthly - Tuesday"/>
    <s v="Monthly - Tuesday"/>
    <s v="Month+5 Expiry"/>
    <n v="95"/>
    <n v="16.41"/>
    <n v="0.34"/>
  </r>
  <r>
    <s v="03-Jul-2026"/>
    <x v="4"/>
    <s v="Week1-Jul-2026"/>
    <x v="10"/>
    <s v="30-Mar-2027"/>
    <s v="Tuesday"/>
    <s v="Monthly - Tuesday"/>
    <s v="Monthly - Tuesday"/>
    <s v="Month+8 Expiry"/>
    <n v="0"/>
    <n v="0"/>
    <n v="0"/>
  </r>
  <r>
    <s v="03-Jul-2026"/>
    <x v="4"/>
    <s v="Week1-Jul-2026"/>
    <x v="10"/>
    <s v="29-Jun-2027"/>
    <s v="Tuesday"/>
    <s v="Monthly - Tuesday"/>
    <s v="Monthly - Tuesday"/>
    <s v="Month+11 Expiry"/>
    <n v="0"/>
    <n v="0"/>
    <n v="0"/>
  </r>
  <r>
    <s v="06-Jul-2026"/>
    <x v="0"/>
    <s v="Week1-Jul-2026"/>
    <x v="10"/>
    <s v="28-Jul-2026"/>
    <s v="Tuesday"/>
    <s v="Monthly - Tuesday"/>
    <s v="Monthly - Tuesday"/>
    <s v="Same Month Expiry"/>
    <n v="1652760"/>
    <n v="292172.87"/>
    <n v="2580.63"/>
  </r>
  <r>
    <s v="06-Jul-2026"/>
    <x v="0"/>
    <s v="Week1-Jul-2026"/>
    <x v="10"/>
    <s v="25-Aug-2026"/>
    <s v="Tuesday"/>
    <s v="Monthly - Tuesday"/>
    <s v="Monthly - Tuesday"/>
    <s v="Month+1 Expiry"/>
    <n v="23715"/>
    <n v="4121.33"/>
    <n v="46.71"/>
  </r>
  <r>
    <s v="06-Jul-2026"/>
    <x v="0"/>
    <s v="Week1-Jul-2026"/>
    <x v="10"/>
    <s v="29-Sep-2026"/>
    <s v="Tuesday"/>
    <s v="Monthly - Tuesday"/>
    <s v="Monthly - Tuesday"/>
    <s v="Month+2 Expiry"/>
    <n v="3246"/>
    <n v="569.29999999999995"/>
    <n v="9.5"/>
  </r>
  <r>
    <s v="06-Jul-2026"/>
    <x v="0"/>
    <s v="Week1-Jul-2026"/>
    <x v="10"/>
    <s v="29-Dec-2026"/>
    <s v="Tuesday"/>
    <s v="Monthly - Tuesday"/>
    <s v="Monthly - Tuesday"/>
    <s v="Month+5 Expiry"/>
    <n v="205"/>
    <n v="34.86"/>
    <n v="0.61"/>
  </r>
  <r>
    <s v="06-Jul-2026"/>
    <x v="0"/>
    <s v="Week1-Jul-2026"/>
    <x v="10"/>
    <s v="30-Mar-2027"/>
    <s v="Tuesday"/>
    <s v="Monthly - Tuesday"/>
    <s v="Monthly - Tuesday"/>
    <s v="Month+8 Expiry"/>
    <n v="0"/>
    <n v="0"/>
    <n v="0"/>
  </r>
  <r>
    <s v="06-Jul-2026"/>
    <x v="0"/>
    <s v="Week1-Jul-2026"/>
    <x v="10"/>
    <s v="29-Jun-2027"/>
    <s v="Tuesday"/>
    <s v="Monthly - Tuesday"/>
    <s v="Monthly - Tuesday"/>
    <s v="Month+11 Expiry"/>
    <n v="0"/>
    <n v="0"/>
    <n v="0"/>
  </r>
  <r>
    <s v="07-Jul-2026"/>
    <x v="1"/>
    <s v="Week1-Jul-2026"/>
    <x v="10"/>
    <s v="28-Jul-2026"/>
    <s v="Tuesday"/>
    <s v="Monthly - Tuesday"/>
    <s v="Monthly - Tuesday"/>
    <s v="Same Month Expiry"/>
    <n v="1591088"/>
    <n v="280671.01"/>
    <n v="2277.4699999999998"/>
  </r>
  <r>
    <s v="07-Jul-2026"/>
    <x v="1"/>
    <s v="Week1-Jul-2026"/>
    <x v="10"/>
    <s v="25-Aug-2026"/>
    <s v="Tuesday"/>
    <s v="Monthly - Tuesday"/>
    <s v="Monthly - Tuesday"/>
    <s v="Month+1 Expiry"/>
    <n v="19016"/>
    <n v="3345.12"/>
    <n v="38.71"/>
  </r>
  <r>
    <s v="07-Jul-2026"/>
    <x v="1"/>
    <s v="Week1-Jul-2026"/>
    <x v="10"/>
    <s v="29-Sep-2026"/>
    <s v="Tuesday"/>
    <s v="Monthly - Tuesday"/>
    <s v="Monthly - Tuesday"/>
    <s v="Month+2 Expiry"/>
    <n v="2629"/>
    <n v="459.61"/>
    <n v="7.24"/>
  </r>
  <r>
    <s v="07-Jul-2026"/>
    <x v="1"/>
    <s v="Week1-Jul-2026"/>
    <x v="10"/>
    <s v="29-Dec-2026"/>
    <s v="Tuesday"/>
    <s v="Monthly - Tuesday"/>
    <s v="Monthly - Tuesday"/>
    <s v="Month+5 Expiry"/>
    <n v="154"/>
    <n v="26.59"/>
    <n v="0.5"/>
  </r>
  <r>
    <s v="07-Jul-2026"/>
    <x v="1"/>
    <s v="Week1-Jul-2026"/>
    <x v="10"/>
    <s v="30-Mar-2027"/>
    <s v="Tuesday"/>
    <s v="Monthly - Tuesday"/>
    <s v="Monthly - Tuesday"/>
    <s v="Month+8 Expiry"/>
    <n v="0"/>
    <n v="0"/>
    <n v="0"/>
  </r>
  <r>
    <s v="07-Jul-2026"/>
    <x v="1"/>
    <s v="Week1-Jul-2026"/>
    <x v="10"/>
    <s v="29-Jun-2027"/>
    <s v="Tuesday"/>
    <s v="Monthly - Tuesday"/>
    <s v="Monthly - Tuesday"/>
    <s v="Month+11 Expiry"/>
    <n v="0"/>
    <n v="0"/>
    <n v="0"/>
  </r>
  <r>
    <s v="08-Jul-2026"/>
    <x v="2"/>
    <s v="Week2-Jul-2026"/>
    <x v="10"/>
    <s v="28-Jul-2026"/>
    <s v="Tuesday"/>
    <s v="Monthly - Tuesday"/>
    <s v="Monthly - Tuesday"/>
    <s v="Same Month Expiry"/>
    <n v="3176686"/>
    <n v="553040.37"/>
    <n v="4742.74"/>
  </r>
  <r>
    <s v="08-Jul-2026"/>
    <x v="2"/>
    <s v="Week2-Jul-2026"/>
    <x v="10"/>
    <s v="25-Aug-2026"/>
    <s v="Tuesday"/>
    <s v="Monthly - Tuesday"/>
    <s v="Monthly - Tuesday"/>
    <s v="Month+1 Expiry"/>
    <n v="71715"/>
    <n v="12560.2"/>
    <n v="171.56"/>
  </r>
  <r>
    <s v="08-Jul-2026"/>
    <x v="2"/>
    <s v="Week2-Jul-2026"/>
    <x v="10"/>
    <s v="29-Sep-2026"/>
    <s v="Tuesday"/>
    <s v="Monthly - Tuesday"/>
    <s v="Monthly - Tuesday"/>
    <s v="Month+2 Expiry"/>
    <n v="9458"/>
    <n v="1652.37"/>
    <n v="26.08"/>
  </r>
  <r>
    <s v="08-Jul-2026"/>
    <x v="2"/>
    <s v="Week2-Jul-2026"/>
    <x v="10"/>
    <s v="29-Dec-2026"/>
    <s v="Tuesday"/>
    <s v="Monthly - Tuesday"/>
    <s v="Monthly - Tuesday"/>
    <s v="Month+5 Expiry"/>
    <n v="724"/>
    <n v="123.32"/>
    <n v="2.69"/>
  </r>
  <r>
    <s v="08-Jul-2026"/>
    <x v="2"/>
    <s v="Week2-Jul-2026"/>
    <x v="10"/>
    <s v="30-Mar-2027"/>
    <s v="Tuesday"/>
    <s v="Monthly - Tuesday"/>
    <s v="Monthly - Tuesday"/>
    <s v="Month+8 Expiry"/>
    <n v="0"/>
    <n v="0"/>
    <n v="0"/>
  </r>
  <r>
    <s v="08-Jul-2026"/>
    <x v="2"/>
    <s v="Week2-Jul-2026"/>
    <x v="10"/>
    <s v="29-Jun-2027"/>
    <s v="Tuesday"/>
    <s v="Monthly - Tuesday"/>
    <s v="Monthly - Tuesday"/>
    <s v="Month+11 Expiry"/>
    <n v="0"/>
    <n v="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80">
  <r>
    <s v="01-Sep-2025"/>
    <x v="0"/>
    <s v="Week1-Sep-2025"/>
    <x v="0"/>
    <s v="02-Sep-2025"/>
    <s v="Tuesday"/>
    <s v="Weekly - Tuesday"/>
    <s v="Weekly - Tuesday"/>
    <s v="Same Month Expiry"/>
    <n v="106028868"/>
    <n v="19561132.379999999"/>
    <n v="32047.47"/>
  </r>
  <r>
    <s v="01-Sep-2025"/>
    <x v="0"/>
    <s v="Week1-Sep-2025"/>
    <x v="0"/>
    <s v="09-Sep-2025"/>
    <s v="Tuesday"/>
    <s v="Weekly - Tuesday"/>
    <s v="Weekly - Tuesday"/>
    <s v="Same Month Expiry"/>
    <n v="4029784"/>
    <n v="745215.97"/>
    <n v="2051.34"/>
  </r>
  <r>
    <s v="01-Sep-2025"/>
    <x v="0"/>
    <s v="Week1-Sep-2025"/>
    <x v="0"/>
    <s v="16-Sep-2025"/>
    <s v="Tuesday"/>
    <s v="Weekly - Tuesday"/>
    <s v="Weekly - Tuesday"/>
    <s v="Same Month Expiry"/>
    <n v="180472"/>
    <n v="33483.64"/>
    <n v="129.27000000000001"/>
  </r>
  <r>
    <s v="01-Sep-2025"/>
    <x v="0"/>
    <s v="Week1-Sep-2025"/>
    <x v="0"/>
    <s v="23-Sep-2025"/>
    <s v="Tuesday"/>
    <s v="Weekly - Tuesday"/>
    <s v="Weekly - Tuesday"/>
    <s v="Same Month Expiry"/>
    <n v="12809"/>
    <n v="2379.25"/>
    <n v="12.22"/>
  </r>
  <r>
    <s v="01-Sep-2025"/>
    <x v="0"/>
    <s v="Week1-Sep-2025"/>
    <x v="0"/>
    <s v="30-Sep-2025"/>
    <s v="Tuesday"/>
    <s v="Monthly - Tuesday"/>
    <s v="Monthly - Tuesday"/>
    <s v="Same Month Expiry"/>
    <n v="937540"/>
    <n v="174544.6"/>
    <n v="1174.28"/>
  </r>
  <r>
    <s v="01-Sep-2025"/>
    <x v="0"/>
    <s v="Week1-Sep-2025"/>
    <x v="0"/>
    <s v="28-Oct-2025"/>
    <s v="Tuesday"/>
    <s v="Monthly - Tuesday"/>
    <s v="Monthly - Tuesday"/>
    <s v="Month+1 Expiry"/>
    <n v="92526"/>
    <n v="17313.330000000002"/>
    <n v="159.34"/>
  </r>
  <r>
    <s v="01-Sep-2025"/>
    <x v="0"/>
    <s v="Week1-Sep-2025"/>
    <x v="0"/>
    <s v="25-Nov-2025"/>
    <s v="Tuesday"/>
    <s v="Monthly - Tuesday"/>
    <s v="Monthly - Tuesday"/>
    <s v="Month+2 Expiry"/>
    <n v="12947"/>
    <n v="2416.4699999999998"/>
    <n v="31.38"/>
  </r>
  <r>
    <s v="01-Sep-2025"/>
    <x v="0"/>
    <s v="Week1-Sep-2025"/>
    <x v="0"/>
    <s v="30-Dec-2025"/>
    <s v="Tuesday"/>
    <s v="Monthly - Tuesday"/>
    <s v="Monthly - Tuesday"/>
    <s v="Month+3 Expiry"/>
    <n v="47888"/>
    <n v="9183.7199999999993"/>
    <n v="154.43"/>
  </r>
  <r>
    <s v="01-Sep-2025"/>
    <x v="0"/>
    <s v="Week1-Sep-2025"/>
    <x v="0"/>
    <s v="31-Mar-2026"/>
    <s v="Tuesday"/>
    <s v="Monthly - Tuesday"/>
    <s v="Monthly - Tuesday"/>
    <s v="Month+6 Expiry"/>
    <n v="7389"/>
    <n v="1434.11"/>
    <n v="26.84"/>
  </r>
  <r>
    <s v="01-Sep-2025"/>
    <x v="0"/>
    <s v="Week1-Sep-2025"/>
    <x v="0"/>
    <s v="30-Jun-2026"/>
    <s v="Tuesday"/>
    <s v="Monthly - Tuesday"/>
    <s v="Monthly - Tuesday"/>
    <s v="Month+9 Expiry"/>
    <n v="98"/>
    <n v="18.39"/>
    <n v="0.49"/>
  </r>
  <r>
    <s v="01-Sep-2025"/>
    <x v="0"/>
    <s v="Week1-Sep-2025"/>
    <x v="0"/>
    <s v="29-Dec-2026"/>
    <s v="Tuesday"/>
    <s v="Monthly - Tuesday"/>
    <s v="Monthly - Tuesday"/>
    <s v="Month+15 Expiry"/>
    <n v="625"/>
    <n v="126.43"/>
    <n v="5.13"/>
  </r>
  <r>
    <s v="01-Sep-2025"/>
    <x v="0"/>
    <s v="Week1-Sep-2025"/>
    <x v="0"/>
    <s v="29-Jun-2027"/>
    <s v="Tuesday"/>
    <s v="Monthly - Tuesday"/>
    <s v="Monthly - Tuesday"/>
    <s v="Month+21 Expiry"/>
    <n v="0"/>
    <n v="0"/>
    <n v="0"/>
  </r>
  <r>
    <s v="01-Sep-2025"/>
    <x v="0"/>
    <s v="Week1-Sep-2025"/>
    <x v="0"/>
    <s v="28-Dec-2027"/>
    <s v="Tuesday"/>
    <s v="Monthly - Tuesday"/>
    <s v="Monthly - Tuesday"/>
    <s v="Month+27 Expiry"/>
    <n v="1"/>
    <n v="0.18"/>
    <n v="0"/>
  </r>
  <r>
    <s v="01-Sep-2025"/>
    <x v="0"/>
    <s v="Week1-Sep-2025"/>
    <x v="0"/>
    <s v="27-Jun-2028"/>
    <s v="Tuesday"/>
    <s v="Monthly - Tuesday"/>
    <s v="Monthly - Tuesday"/>
    <s v="Month+33 Expiry"/>
    <n v="4"/>
    <n v="0.67"/>
    <n v="0.01"/>
  </r>
  <r>
    <s v="01-Sep-2025"/>
    <x v="0"/>
    <s v="Week1-Sep-2025"/>
    <x v="0"/>
    <s v="26-Dec-2028"/>
    <s v="Tuesday"/>
    <s v="Monthly - Tuesday"/>
    <s v="Monthly - Tuesday"/>
    <s v="Month+39 Expiry"/>
    <n v="14"/>
    <n v="2.52"/>
    <n v="7.0000000000000007E-2"/>
  </r>
  <r>
    <s v="01-Sep-2025"/>
    <x v="0"/>
    <s v="Week1-Sep-2025"/>
    <x v="0"/>
    <s v="26-Jun-2029"/>
    <s v="Tuesday"/>
    <s v="Monthly - Tuesday"/>
    <s v="Monthly - Tuesday"/>
    <s v="Month+45 Expiry"/>
    <n v="0"/>
    <n v="0"/>
    <n v="0"/>
  </r>
  <r>
    <s v="01-Sep-2025"/>
    <x v="0"/>
    <s v="Week1-Sep-2025"/>
    <x v="0"/>
    <s v="24-Dec-2029"/>
    <s v="Monday"/>
    <s v="Weekly - Monday"/>
    <s v="Weekly - Monday"/>
    <s v="Month+51 Expiry"/>
    <n v="0"/>
    <n v="0"/>
    <n v="0"/>
  </r>
  <r>
    <s v="01-Sep-2025"/>
    <x v="0"/>
    <s v="Week1-Sep-2025"/>
    <x v="0"/>
    <s v="25-Jun-2030"/>
    <s v="Tuesday"/>
    <s v="Monthly - Tuesday"/>
    <s v="Monthly - Tuesday"/>
    <s v="Month+57 Expiry"/>
    <n v="0"/>
    <n v="0"/>
    <n v="0"/>
  </r>
  <r>
    <s v="02-Sep-2025"/>
    <x v="1"/>
    <s v="Week1-Sep-2025"/>
    <x v="0"/>
    <s v="02-Sep-2025"/>
    <s v="Tuesday"/>
    <s v="Weekly - Tuesday"/>
    <s v="Weekly - Tuesday"/>
    <s v="Same Month Expiry"/>
    <n v="345607365"/>
    <n v="63912905.609999999"/>
    <n v="56361.8"/>
  </r>
  <r>
    <s v="02-Sep-2025"/>
    <x v="1"/>
    <s v="Week1-Sep-2025"/>
    <x v="0"/>
    <s v="09-Sep-2025"/>
    <s v="Tuesday"/>
    <s v="Weekly - Tuesday"/>
    <s v="Weekly - Tuesday"/>
    <s v="Same Month Expiry"/>
    <n v="11437491"/>
    <n v="2120571.39"/>
    <n v="6159.92"/>
  </r>
  <r>
    <s v="02-Sep-2025"/>
    <x v="1"/>
    <s v="Week1-Sep-2025"/>
    <x v="0"/>
    <s v="16-Sep-2025"/>
    <s v="Tuesday"/>
    <s v="Weekly - Tuesday"/>
    <s v="Weekly - Tuesday"/>
    <s v="Same Month Expiry"/>
    <n v="407592"/>
    <n v="75621.95"/>
    <n v="298.27999999999997"/>
  </r>
  <r>
    <s v="02-Sep-2025"/>
    <x v="1"/>
    <s v="Week1-Sep-2025"/>
    <x v="0"/>
    <s v="23-Sep-2025"/>
    <s v="Tuesday"/>
    <s v="Weekly - Tuesday"/>
    <s v="Weekly - Tuesday"/>
    <s v="Same Month Expiry"/>
    <n v="23137"/>
    <n v="4299.07"/>
    <n v="23.09"/>
  </r>
  <r>
    <s v="02-Sep-2025"/>
    <x v="1"/>
    <s v="Week1-Sep-2025"/>
    <x v="0"/>
    <s v="30-Sep-2025"/>
    <s v="Tuesday"/>
    <s v="Monthly - Tuesday"/>
    <s v="Monthly - Tuesday"/>
    <s v="Same Month Expiry"/>
    <n v="1258468"/>
    <n v="234873.95"/>
    <n v="1626.04"/>
  </r>
  <r>
    <s v="02-Sep-2025"/>
    <x v="1"/>
    <s v="Week1-Sep-2025"/>
    <x v="0"/>
    <s v="28-Oct-2025"/>
    <s v="Tuesday"/>
    <s v="Monthly - Tuesday"/>
    <s v="Monthly - Tuesday"/>
    <s v="Month+1 Expiry"/>
    <n v="142317"/>
    <n v="26583.24"/>
    <n v="201.35"/>
  </r>
  <r>
    <s v="02-Sep-2025"/>
    <x v="1"/>
    <s v="Week1-Sep-2025"/>
    <x v="0"/>
    <s v="25-Nov-2025"/>
    <s v="Tuesday"/>
    <s v="Monthly - Tuesday"/>
    <s v="Monthly - Tuesday"/>
    <s v="Month+2 Expiry"/>
    <n v="32847"/>
    <n v="6100.75"/>
    <n v="59.43"/>
  </r>
  <r>
    <s v="02-Sep-2025"/>
    <x v="1"/>
    <s v="Week1-Sep-2025"/>
    <x v="0"/>
    <s v="30-Dec-2025"/>
    <s v="Tuesday"/>
    <s v="Monthly - Tuesday"/>
    <s v="Monthly - Tuesday"/>
    <s v="Month+3 Expiry"/>
    <n v="50509"/>
    <n v="9557.0499999999993"/>
    <n v="146.88"/>
  </r>
  <r>
    <s v="02-Sep-2025"/>
    <x v="1"/>
    <s v="Week1-Sep-2025"/>
    <x v="0"/>
    <s v="31-Mar-2026"/>
    <s v="Tuesday"/>
    <s v="Monthly - Tuesday"/>
    <s v="Monthly - Tuesday"/>
    <s v="Month+6 Expiry"/>
    <n v="8237"/>
    <n v="1607.25"/>
    <n v="32.229999999999997"/>
  </r>
  <r>
    <s v="02-Sep-2025"/>
    <x v="1"/>
    <s v="Week1-Sep-2025"/>
    <x v="0"/>
    <s v="30-Jun-2026"/>
    <s v="Tuesday"/>
    <s v="Monthly - Tuesday"/>
    <s v="Monthly - Tuesday"/>
    <s v="Month+9 Expiry"/>
    <n v="64"/>
    <n v="12.17"/>
    <n v="0.35"/>
  </r>
  <r>
    <s v="02-Sep-2025"/>
    <x v="1"/>
    <s v="Week1-Sep-2025"/>
    <x v="0"/>
    <s v="29-Dec-2026"/>
    <s v="Tuesday"/>
    <s v="Monthly - Tuesday"/>
    <s v="Monthly - Tuesday"/>
    <s v="Month+15 Expiry"/>
    <n v="425"/>
    <n v="81.7"/>
    <n v="2.65"/>
  </r>
  <r>
    <s v="02-Sep-2025"/>
    <x v="1"/>
    <s v="Week1-Sep-2025"/>
    <x v="0"/>
    <s v="29-Jun-2027"/>
    <s v="Tuesday"/>
    <s v="Monthly - Tuesday"/>
    <s v="Monthly - Tuesday"/>
    <s v="Month+21 Expiry"/>
    <n v="0"/>
    <n v="0"/>
    <n v="0"/>
  </r>
  <r>
    <s v="02-Sep-2025"/>
    <x v="1"/>
    <s v="Week1-Sep-2025"/>
    <x v="0"/>
    <s v="28-Dec-2027"/>
    <s v="Tuesday"/>
    <s v="Monthly - Tuesday"/>
    <s v="Monthly - Tuesday"/>
    <s v="Month+27 Expiry"/>
    <n v="1"/>
    <n v="0.22"/>
    <n v="0.02"/>
  </r>
  <r>
    <s v="02-Sep-2025"/>
    <x v="1"/>
    <s v="Week1-Sep-2025"/>
    <x v="0"/>
    <s v="27-Jun-2028"/>
    <s v="Tuesday"/>
    <s v="Monthly - Tuesday"/>
    <s v="Monthly - Tuesday"/>
    <s v="Month+33 Expiry"/>
    <n v="0"/>
    <n v="0"/>
    <n v="0"/>
  </r>
  <r>
    <s v="02-Sep-2025"/>
    <x v="1"/>
    <s v="Week1-Sep-2025"/>
    <x v="0"/>
    <s v="26-Dec-2028"/>
    <s v="Tuesday"/>
    <s v="Monthly - Tuesday"/>
    <s v="Monthly - Tuesday"/>
    <s v="Month+39 Expiry"/>
    <n v="0"/>
    <n v="0"/>
    <n v="0"/>
  </r>
  <r>
    <s v="02-Sep-2025"/>
    <x v="1"/>
    <s v="Week1-Sep-2025"/>
    <x v="0"/>
    <s v="26-Jun-2029"/>
    <s v="Tuesday"/>
    <s v="Monthly - Tuesday"/>
    <s v="Monthly - Tuesday"/>
    <s v="Month+45 Expiry"/>
    <n v="0"/>
    <n v="0"/>
    <n v="0"/>
  </r>
  <r>
    <s v="02-Sep-2025"/>
    <x v="1"/>
    <s v="Week1-Sep-2025"/>
    <x v="0"/>
    <s v="24-Dec-2029"/>
    <s v="Monday"/>
    <s v="Weekly - Monday"/>
    <s v="Weekly - Monday"/>
    <s v="Month+51 Expiry"/>
    <n v="0"/>
    <n v="0"/>
    <n v="0"/>
  </r>
  <r>
    <s v="02-Sep-2025"/>
    <x v="1"/>
    <s v="Week1-Sep-2025"/>
    <x v="0"/>
    <s v="25-Jun-2030"/>
    <s v="Tuesday"/>
    <s v="Monthly - Tuesday"/>
    <s v="Monthly - Tuesday"/>
    <s v="Month+57 Expiry"/>
    <n v="0"/>
    <n v="0"/>
    <n v="0"/>
  </r>
  <r>
    <s v="03-Sep-2025"/>
    <x v="2"/>
    <s v="Week1-Sep-2025"/>
    <x v="0"/>
    <s v="09-Sep-2025"/>
    <s v="Tuesday"/>
    <s v="Weekly - Tuesday"/>
    <s v="Weekly - Tuesday"/>
    <s v="Same Month Expiry"/>
    <n v="58381775"/>
    <n v="10809450.119999999"/>
    <n v="30937.33"/>
  </r>
  <r>
    <s v="03-Sep-2025"/>
    <x v="2"/>
    <s v="Week1-Sep-2025"/>
    <x v="0"/>
    <s v="16-Sep-2025"/>
    <s v="Tuesday"/>
    <s v="Weekly - Tuesday"/>
    <s v="Weekly - Tuesday"/>
    <s v="Same Month Expiry"/>
    <n v="944724"/>
    <n v="175293.38"/>
    <n v="603.77"/>
  </r>
  <r>
    <s v="03-Sep-2025"/>
    <x v="2"/>
    <s v="Week1-Sep-2025"/>
    <x v="0"/>
    <s v="23-Sep-2025"/>
    <s v="Tuesday"/>
    <s v="Weekly - Tuesday"/>
    <s v="Weekly - Tuesday"/>
    <s v="Same Month Expiry"/>
    <n v="45649"/>
    <n v="8533.83"/>
    <n v="41.17"/>
  </r>
  <r>
    <s v="03-Sep-2025"/>
    <x v="2"/>
    <s v="Week1-Sep-2025"/>
    <x v="0"/>
    <s v="30-Sep-2025"/>
    <s v="Tuesday"/>
    <s v="Monthly - Tuesday"/>
    <s v="Monthly - Tuesday"/>
    <s v="Same Month Expiry"/>
    <n v="970036"/>
    <n v="181101.63"/>
    <n v="1160.74"/>
  </r>
  <r>
    <s v="03-Sep-2025"/>
    <x v="2"/>
    <s v="Week1-Sep-2025"/>
    <x v="0"/>
    <s v="07-Oct-2025"/>
    <s v="Tuesday"/>
    <s v="Weekly - Tuesday"/>
    <s v="Weekly - Tuesday"/>
    <s v="Month+1 Expiry"/>
    <n v="928"/>
    <n v="172.2"/>
    <n v="2.2000000000000002"/>
  </r>
  <r>
    <s v="03-Sep-2025"/>
    <x v="2"/>
    <s v="Week1-Sep-2025"/>
    <x v="0"/>
    <s v="28-Oct-2025"/>
    <s v="Tuesday"/>
    <s v="Monthly - Tuesday"/>
    <s v="Monthly - Tuesday"/>
    <s v="Month+1 Expiry"/>
    <n v="131634"/>
    <n v="24621.67"/>
    <n v="166.84"/>
  </r>
  <r>
    <s v="03-Sep-2025"/>
    <x v="2"/>
    <s v="Week1-Sep-2025"/>
    <x v="0"/>
    <s v="25-Nov-2025"/>
    <s v="Tuesday"/>
    <s v="Monthly - Tuesday"/>
    <s v="Monthly - Tuesday"/>
    <s v="Month+2 Expiry"/>
    <n v="20810"/>
    <n v="3912.96"/>
    <n v="36.25"/>
  </r>
  <r>
    <s v="03-Sep-2025"/>
    <x v="2"/>
    <s v="Week1-Sep-2025"/>
    <x v="0"/>
    <s v="30-Dec-2025"/>
    <s v="Tuesday"/>
    <s v="Monthly - Tuesday"/>
    <s v="Monthly - Tuesday"/>
    <s v="Month+3 Expiry"/>
    <n v="40731"/>
    <n v="7734.48"/>
    <n v="101.03"/>
  </r>
  <r>
    <s v="03-Sep-2025"/>
    <x v="2"/>
    <s v="Week1-Sep-2025"/>
    <x v="0"/>
    <s v="31-Mar-2026"/>
    <s v="Tuesday"/>
    <s v="Monthly - Tuesday"/>
    <s v="Monthly - Tuesday"/>
    <s v="Month+6 Expiry"/>
    <n v="5689"/>
    <n v="1102.3800000000001"/>
    <n v="18.78"/>
  </r>
  <r>
    <s v="03-Sep-2025"/>
    <x v="2"/>
    <s v="Week1-Sep-2025"/>
    <x v="0"/>
    <s v="30-Jun-2026"/>
    <s v="Tuesday"/>
    <s v="Monthly - Tuesday"/>
    <s v="Monthly - Tuesday"/>
    <s v="Month+9 Expiry"/>
    <n v="4722"/>
    <n v="710.75"/>
    <n v="1.56"/>
  </r>
  <r>
    <s v="03-Sep-2025"/>
    <x v="2"/>
    <s v="Week1-Sep-2025"/>
    <x v="0"/>
    <s v="29-Dec-2026"/>
    <s v="Tuesday"/>
    <s v="Monthly - Tuesday"/>
    <s v="Monthly - Tuesday"/>
    <s v="Month+15 Expiry"/>
    <n v="437"/>
    <n v="87.82"/>
    <n v="3.13"/>
  </r>
  <r>
    <s v="03-Sep-2025"/>
    <x v="2"/>
    <s v="Week1-Sep-2025"/>
    <x v="0"/>
    <s v="29-Jun-2027"/>
    <s v="Tuesday"/>
    <s v="Monthly - Tuesday"/>
    <s v="Monthly - Tuesday"/>
    <s v="Month+21 Expiry"/>
    <n v="0"/>
    <n v="0"/>
    <n v="0"/>
  </r>
  <r>
    <s v="03-Sep-2025"/>
    <x v="2"/>
    <s v="Week1-Sep-2025"/>
    <x v="0"/>
    <s v="28-Dec-2027"/>
    <s v="Tuesday"/>
    <s v="Monthly - Tuesday"/>
    <s v="Monthly - Tuesday"/>
    <s v="Month+27 Expiry"/>
    <n v="16"/>
    <n v="2.9"/>
    <n v="0.1"/>
  </r>
  <r>
    <s v="03-Sep-2025"/>
    <x v="2"/>
    <s v="Week1-Sep-2025"/>
    <x v="0"/>
    <s v="27-Jun-2028"/>
    <s v="Tuesday"/>
    <s v="Monthly - Tuesday"/>
    <s v="Monthly - Tuesday"/>
    <s v="Month+33 Expiry"/>
    <n v="0"/>
    <n v="0"/>
    <n v="0"/>
  </r>
  <r>
    <s v="03-Sep-2025"/>
    <x v="2"/>
    <s v="Week1-Sep-2025"/>
    <x v="0"/>
    <s v="26-Dec-2028"/>
    <s v="Tuesday"/>
    <s v="Monthly - Tuesday"/>
    <s v="Monthly - Tuesday"/>
    <s v="Month+39 Expiry"/>
    <n v="1"/>
    <n v="0.2"/>
    <n v="0.01"/>
  </r>
  <r>
    <s v="03-Sep-2025"/>
    <x v="2"/>
    <s v="Week1-Sep-2025"/>
    <x v="0"/>
    <s v="26-Jun-2029"/>
    <s v="Tuesday"/>
    <s v="Monthly - Tuesday"/>
    <s v="Monthly - Tuesday"/>
    <s v="Month+45 Expiry"/>
    <n v="0"/>
    <n v="0"/>
    <n v="0"/>
  </r>
  <r>
    <s v="03-Sep-2025"/>
    <x v="2"/>
    <s v="Week1-Sep-2025"/>
    <x v="0"/>
    <s v="24-Dec-2029"/>
    <s v="Monday"/>
    <s v="Weekly - Monday"/>
    <s v="Weekly - Monday"/>
    <s v="Month+51 Expiry"/>
    <n v="0"/>
    <n v="0"/>
    <n v="0"/>
  </r>
  <r>
    <s v="03-Sep-2025"/>
    <x v="2"/>
    <s v="Week1-Sep-2025"/>
    <x v="0"/>
    <s v="25-Jun-2030"/>
    <s v="Tuesday"/>
    <s v="Monthly - Tuesday"/>
    <s v="Monthly - Tuesday"/>
    <s v="Month+57 Expiry"/>
    <n v="0"/>
    <n v="0"/>
    <n v="0"/>
  </r>
  <r>
    <s v="04-Sep-2025"/>
    <x v="3"/>
    <s v="Week1-Sep-2025"/>
    <x v="0"/>
    <s v="09-Sep-2025"/>
    <s v="Tuesday"/>
    <s v="Weekly - Tuesday"/>
    <s v="Weekly - Tuesday"/>
    <s v="Same Month Expiry"/>
    <n v="69893914"/>
    <n v="13037423.59"/>
    <n v="31514.06"/>
  </r>
  <r>
    <s v="04-Sep-2025"/>
    <x v="3"/>
    <s v="Week1-Sep-2025"/>
    <x v="0"/>
    <s v="16-Sep-2025"/>
    <s v="Tuesday"/>
    <s v="Weekly - Tuesday"/>
    <s v="Weekly - Tuesday"/>
    <s v="Same Month Expiry"/>
    <n v="1970946"/>
    <n v="368832.04"/>
    <n v="1268.94"/>
  </r>
  <r>
    <s v="04-Sep-2025"/>
    <x v="3"/>
    <s v="Week1-Sep-2025"/>
    <x v="0"/>
    <s v="23-Sep-2025"/>
    <s v="Tuesday"/>
    <s v="Weekly - Tuesday"/>
    <s v="Weekly - Tuesday"/>
    <s v="Same Month Expiry"/>
    <n v="81233"/>
    <n v="15235.91"/>
    <n v="74.73"/>
  </r>
  <r>
    <s v="04-Sep-2025"/>
    <x v="3"/>
    <s v="Week1-Sep-2025"/>
    <x v="0"/>
    <s v="30-Sep-2025"/>
    <s v="Tuesday"/>
    <s v="Monthly - Tuesday"/>
    <s v="Monthly - Tuesday"/>
    <s v="Same Month Expiry"/>
    <n v="1438666"/>
    <n v="269252.88"/>
    <n v="1642.58"/>
  </r>
  <r>
    <s v="04-Sep-2025"/>
    <x v="3"/>
    <s v="Week1-Sep-2025"/>
    <x v="0"/>
    <s v="07-Oct-2025"/>
    <s v="Tuesday"/>
    <s v="Weekly - Tuesday"/>
    <s v="Weekly - Tuesday"/>
    <s v="Month+1 Expiry"/>
    <n v="2435"/>
    <n v="460.03"/>
    <n v="3.66"/>
  </r>
  <r>
    <s v="04-Sep-2025"/>
    <x v="3"/>
    <s v="Week1-Sep-2025"/>
    <x v="0"/>
    <s v="28-Oct-2025"/>
    <s v="Tuesday"/>
    <s v="Monthly - Tuesday"/>
    <s v="Monthly - Tuesday"/>
    <s v="Month+1 Expiry"/>
    <n v="173860"/>
    <n v="32568.54"/>
    <n v="274.25"/>
  </r>
  <r>
    <s v="04-Sep-2025"/>
    <x v="3"/>
    <s v="Week1-Sep-2025"/>
    <x v="0"/>
    <s v="25-Nov-2025"/>
    <s v="Tuesday"/>
    <s v="Monthly - Tuesday"/>
    <s v="Monthly - Tuesday"/>
    <s v="Month+2 Expiry"/>
    <n v="22847"/>
    <n v="4272.57"/>
    <n v="44.99"/>
  </r>
  <r>
    <s v="04-Sep-2025"/>
    <x v="3"/>
    <s v="Week1-Sep-2025"/>
    <x v="0"/>
    <s v="30-Dec-2025"/>
    <s v="Tuesday"/>
    <s v="Monthly - Tuesday"/>
    <s v="Monthly - Tuesday"/>
    <s v="Month+3 Expiry"/>
    <n v="60015"/>
    <n v="11304.29"/>
    <n v="150.56"/>
  </r>
  <r>
    <s v="04-Sep-2025"/>
    <x v="3"/>
    <s v="Week1-Sep-2025"/>
    <x v="0"/>
    <s v="31-Mar-2026"/>
    <s v="Tuesday"/>
    <s v="Monthly - Tuesday"/>
    <s v="Monthly - Tuesday"/>
    <s v="Month+6 Expiry"/>
    <n v="8607"/>
    <n v="1685.36"/>
    <n v="28.99"/>
  </r>
  <r>
    <s v="04-Sep-2025"/>
    <x v="3"/>
    <s v="Week1-Sep-2025"/>
    <x v="0"/>
    <s v="30-Jun-2026"/>
    <s v="Tuesday"/>
    <s v="Monthly - Tuesday"/>
    <s v="Monthly - Tuesday"/>
    <s v="Month+9 Expiry"/>
    <n v="91"/>
    <n v="16.87"/>
    <n v="0.45"/>
  </r>
  <r>
    <s v="04-Sep-2025"/>
    <x v="3"/>
    <s v="Week1-Sep-2025"/>
    <x v="0"/>
    <s v="29-Dec-2026"/>
    <s v="Tuesday"/>
    <s v="Monthly - Tuesday"/>
    <s v="Monthly - Tuesday"/>
    <s v="Month+15 Expiry"/>
    <n v="520"/>
    <n v="101.5"/>
    <n v="3.56"/>
  </r>
  <r>
    <s v="04-Sep-2025"/>
    <x v="3"/>
    <s v="Week1-Sep-2025"/>
    <x v="0"/>
    <s v="29-Jun-2027"/>
    <s v="Tuesday"/>
    <s v="Monthly - Tuesday"/>
    <s v="Monthly - Tuesday"/>
    <s v="Month+21 Expiry"/>
    <n v="0"/>
    <n v="0"/>
    <n v="0"/>
  </r>
  <r>
    <s v="04-Sep-2025"/>
    <x v="3"/>
    <s v="Week1-Sep-2025"/>
    <x v="0"/>
    <s v="28-Dec-2027"/>
    <s v="Tuesday"/>
    <s v="Monthly - Tuesday"/>
    <s v="Monthly - Tuesday"/>
    <s v="Month+27 Expiry"/>
    <n v="1"/>
    <n v="0.16"/>
    <n v="0"/>
  </r>
  <r>
    <s v="04-Sep-2025"/>
    <x v="3"/>
    <s v="Week1-Sep-2025"/>
    <x v="0"/>
    <s v="27-Jun-2028"/>
    <s v="Tuesday"/>
    <s v="Monthly - Tuesday"/>
    <s v="Monthly - Tuesday"/>
    <s v="Month+33 Expiry"/>
    <n v="0"/>
    <n v="0"/>
    <n v="0"/>
  </r>
  <r>
    <s v="04-Sep-2025"/>
    <x v="3"/>
    <s v="Week1-Sep-2025"/>
    <x v="0"/>
    <s v="26-Dec-2028"/>
    <s v="Tuesday"/>
    <s v="Monthly - Tuesday"/>
    <s v="Monthly - Tuesday"/>
    <s v="Month+39 Expiry"/>
    <n v="1"/>
    <n v="0.2"/>
    <n v="0.01"/>
  </r>
  <r>
    <s v="04-Sep-2025"/>
    <x v="3"/>
    <s v="Week1-Sep-2025"/>
    <x v="0"/>
    <s v="26-Jun-2029"/>
    <s v="Tuesday"/>
    <s v="Monthly - Tuesday"/>
    <s v="Monthly - Tuesday"/>
    <s v="Month+45 Expiry"/>
    <n v="0"/>
    <n v="0"/>
    <n v="0"/>
  </r>
  <r>
    <s v="04-Sep-2025"/>
    <x v="3"/>
    <s v="Week1-Sep-2025"/>
    <x v="0"/>
    <s v="24-Dec-2029"/>
    <s v="Monday"/>
    <s v="Weekly - Monday"/>
    <s v="Weekly - Monday"/>
    <s v="Month+51 Expiry"/>
    <n v="0"/>
    <n v="0"/>
    <n v="0"/>
  </r>
  <r>
    <s v="04-Sep-2025"/>
    <x v="3"/>
    <s v="Week1-Sep-2025"/>
    <x v="0"/>
    <s v="25-Jun-2030"/>
    <s v="Tuesday"/>
    <s v="Monthly - Tuesday"/>
    <s v="Monthly - Tuesday"/>
    <s v="Month+57 Expiry"/>
    <n v="0"/>
    <n v="0"/>
    <n v="0"/>
  </r>
  <r>
    <s v="05-Sep-2025"/>
    <x v="4"/>
    <s v="Week1-Sep-2025"/>
    <x v="0"/>
    <s v="09-Sep-2025"/>
    <s v="Tuesday"/>
    <s v="Weekly - Tuesday"/>
    <s v="Weekly - Tuesday"/>
    <s v="Same Month Expiry"/>
    <n v="120034823"/>
    <n v="22314709.899999999"/>
    <n v="45008.84"/>
  </r>
  <r>
    <s v="05-Sep-2025"/>
    <x v="4"/>
    <s v="Week1-Sep-2025"/>
    <x v="0"/>
    <s v="16-Sep-2025"/>
    <s v="Tuesday"/>
    <s v="Weekly - Tuesday"/>
    <s v="Weekly - Tuesday"/>
    <s v="Same Month Expiry"/>
    <n v="3091445"/>
    <n v="575599.77"/>
    <n v="1858.99"/>
  </r>
  <r>
    <s v="05-Sep-2025"/>
    <x v="4"/>
    <s v="Week1-Sep-2025"/>
    <x v="0"/>
    <s v="23-Sep-2025"/>
    <s v="Tuesday"/>
    <s v="Weekly - Tuesday"/>
    <s v="Weekly - Tuesday"/>
    <s v="Same Month Expiry"/>
    <n v="103549"/>
    <n v="19294.919999999998"/>
    <n v="96.38"/>
  </r>
  <r>
    <s v="05-Sep-2025"/>
    <x v="4"/>
    <s v="Week1-Sep-2025"/>
    <x v="0"/>
    <s v="30-Sep-2025"/>
    <s v="Tuesday"/>
    <s v="Monthly - Tuesday"/>
    <s v="Monthly - Tuesday"/>
    <s v="Same Month Expiry"/>
    <n v="1320053"/>
    <n v="246714.45"/>
    <n v="1462.44"/>
  </r>
  <r>
    <s v="05-Sep-2025"/>
    <x v="4"/>
    <s v="Week1-Sep-2025"/>
    <x v="0"/>
    <s v="07-Oct-2025"/>
    <s v="Tuesday"/>
    <s v="Weekly - Tuesday"/>
    <s v="Weekly - Tuesday"/>
    <s v="Month+1 Expiry"/>
    <n v="4045"/>
    <n v="775.25"/>
    <n v="3.44"/>
  </r>
  <r>
    <s v="05-Sep-2025"/>
    <x v="4"/>
    <s v="Week1-Sep-2025"/>
    <x v="0"/>
    <s v="28-Oct-2025"/>
    <s v="Tuesday"/>
    <s v="Monthly - Tuesday"/>
    <s v="Monthly - Tuesday"/>
    <s v="Month+1 Expiry"/>
    <n v="158050"/>
    <n v="29759.1"/>
    <n v="225.62"/>
  </r>
  <r>
    <s v="05-Sep-2025"/>
    <x v="4"/>
    <s v="Week1-Sep-2025"/>
    <x v="0"/>
    <s v="25-Nov-2025"/>
    <s v="Tuesday"/>
    <s v="Monthly - Tuesday"/>
    <s v="Monthly - Tuesday"/>
    <s v="Month+2 Expiry"/>
    <n v="19933"/>
    <n v="3715.05"/>
    <n v="36.880000000000003"/>
  </r>
  <r>
    <s v="05-Sep-2025"/>
    <x v="4"/>
    <s v="Week1-Sep-2025"/>
    <x v="0"/>
    <s v="30-Dec-2025"/>
    <s v="Tuesday"/>
    <s v="Monthly - Tuesday"/>
    <s v="Monthly - Tuesday"/>
    <s v="Month+3 Expiry"/>
    <n v="51322"/>
    <n v="9642.91"/>
    <n v="121.53"/>
  </r>
  <r>
    <s v="05-Sep-2025"/>
    <x v="4"/>
    <s v="Week1-Sep-2025"/>
    <x v="0"/>
    <s v="31-Mar-2026"/>
    <s v="Tuesday"/>
    <s v="Monthly - Tuesday"/>
    <s v="Monthly - Tuesday"/>
    <s v="Month+6 Expiry"/>
    <n v="7751"/>
    <n v="1521.4"/>
    <n v="24.8"/>
  </r>
  <r>
    <s v="05-Sep-2025"/>
    <x v="4"/>
    <s v="Week1-Sep-2025"/>
    <x v="0"/>
    <s v="30-Jun-2026"/>
    <s v="Tuesday"/>
    <s v="Monthly - Tuesday"/>
    <s v="Monthly - Tuesday"/>
    <s v="Month+9 Expiry"/>
    <n v="57"/>
    <n v="10.63"/>
    <n v="0.3"/>
  </r>
  <r>
    <s v="05-Sep-2025"/>
    <x v="4"/>
    <s v="Week1-Sep-2025"/>
    <x v="0"/>
    <s v="29-Dec-2026"/>
    <s v="Tuesday"/>
    <s v="Monthly - Tuesday"/>
    <s v="Monthly - Tuesday"/>
    <s v="Month+15 Expiry"/>
    <n v="486"/>
    <n v="93.34"/>
    <n v="3.17"/>
  </r>
  <r>
    <s v="05-Sep-2025"/>
    <x v="4"/>
    <s v="Week1-Sep-2025"/>
    <x v="0"/>
    <s v="29-Jun-2027"/>
    <s v="Tuesday"/>
    <s v="Monthly - Tuesday"/>
    <s v="Monthly - Tuesday"/>
    <s v="Month+21 Expiry"/>
    <n v="0"/>
    <n v="0"/>
    <n v="0"/>
  </r>
  <r>
    <s v="05-Sep-2025"/>
    <x v="4"/>
    <s v="Week1-Sep-2025"/>
    <x v="0"/>
    <s v="28-Dec-2027"/>
    <s v="Tuesday"/>
    <s v="Monthly - Tuesday"/>
    <s v="Monthly - Tuesday"/>
    <s v="Month+27 Expiry"/>
    <n v="0"/>
    <n v="0"/>
    <n v="0"/>
  </r>
  <r>
    <s v="05-Sep-2025"/>
    <x v="4"/>
    <s v="Week1-Sep-2025"/>
    <x v="0"/>
    <s v="27-Jun-2028"/>
    <s v="Tuesday"/>
    <s v="Monthly - Tuesday"/>
    <s v="Monthly - Tuesday"/>
    <s v="Month+33 Expiry"/>
    <n v="0"/>
    <n v="0"/>
    <n v="0"/>
  </r>
  <r>
    <s v="05-Sep-2025"/>
    <x v="4"/>
    <s v="Week1-Sep-2025"/>
    <x v="0"/>
    <s v="26-Dec-2028"/>
    <s v="Tuesday"/>
    <s v="Monthly - Tuesday"/>
    <s v="Monthly - Tuesday"/>
    <s v="Month+39 Expiry"/>
    <n v="1"/>
    <n v="0.2"/>
    <n v="0.01"/>
  </r>
  <r>
    <s v="05-Sep-2025"/>
    <x v="4"/>
    <s v="Week1-Sep-2025"/>
    <x v="0"/>
    <s v="26-Jun-2029"/>
    <s v="Tuesday"/>
    <s v="Monthly - Tuesday"/>
    <s v="Monthly - Tuesday"/>
    <s v="Month+45 Expiry"/>
    <n v="0"/>
    <n v="0"/>
    <n v="0"/>
  </r>
  <r>
    <s v="05-Sep-2025"/>
    <x v="4"/>
    <s v="Week1-Sep-2025"/>
    <x v="0"/>
    <s v="24-Dec-2029"/>
    <s v="Monday"/>
    <s v="Weekly - Monday"/>
    <s v="Weekly - Monday"/>
    <s v="Month+51 Expiry"/>
    <n v="4"/>
    <n v="0.71"/>
    <n v="0.02"/>
  </r>
  <r>
    <s v="05-Sep-2025"/>
    <x v="4"/>
    <s v="Week1-Sep-2025"/>
    <x v="0"/>
    <s v="25-Jun-2030"/>
    <s v="Tuesday"/>
    <s v="Monthly - Tuesday"/>
    <s v="Monthly - Tuesday"/>
    <s v="Month+57 Expiry"/>
    <n v="0"/>
    <n v="0"/>
    <n v="0"/>
  </r>
  <r>
    <s v="08-Sep-2025"/>
    <x v="0"/>
    <s v="Week2-Sep-2025"/>
    <x v="0"/>
    <s v="09-Sep-2025"/>
    <s v="Tuesday"/>
    <s v="Weekly - Tuesday"/>
    <s v="Weekly - Tuesday"/>
    <s v="Same Month Expiry"/>
    <n v="130935873"/>
    <n v="24400169.760000002"/>
    <n v="39110.65"/>
  </r>
  <r>
    <s v="08-Sep-2025"/>
    <x v="0"/>
    <s v="Week2-Sep-2025"/>
    <x v="0"/>
    <s v="16-Sep-2025"/>
    <s v="Tuesday"/>
    <s v="Weekly - Tuesday"/>
    <s v="Weekly - Tuesday"/>
    <s v="Same Month Expiry"/>
    <n v="4524032"/>
    <n v="843509.73"/>
    <n v="2319.81"/>
  </r>
  <r>
    <s v="08-Sep-2025"/>
    <x v="0"/>
    <s v="Week2-Sep-2025"/>
    <x v="0"/>
    <s v="23-Sep-2025"/>
    <s v="Tuesday"/>
    <s v="Weekly - Tuesday"/>
    <s v="Weekly - Tuesday"/>
    <s v="Same Month Expiry"/>
    <n v="184275"/>
    <n v="34415.769999999997"/>
    <n v="142.91"/>
  </r>
  <r>
    <s v="08-Sep-2025"/>
    <x v="0"/>
    <s v="Week2-Sep-2025"/>
    <x v="0"/>
    <s v="30-Sep-2025"/>
    <s v="Tuesday"/>
    <s v="Monthly - Tuesday"/>
    <s v="Monthly - Tuesday"/>
    <s v="Same Month Expiry"/>
    <n v="1103535"/>
    <n v="206296.52"/>
    <n v="1184.1600000000001"/>
  </r>
  <r>
    <s v="08-Sep-2025"/>
    <x v="0"/>
    <s v="Week2-Sep-2025"/>
    <x v="0"/>
    <s v="07-Oct-2025"/>
    <s v="Tuesday"/>
    <s v="Weekly - Tuesday"/>
    <s v="Weekly - Tuesday"/>
    <s v="Month+1 Expiry"/>
    <n v="5457"/>
    <n v="1038.52"/>
    <n v="7.32"/>
  </r>
  <r>
    <s v="08-Sep-2025"/>
    <x v="0"/>
    <s v="Week2-Sep-2025"/>
    <x v="0"/>
    <s v="28-Oct-2025"/>
    <s v="Tuesday"/>
    <s v="Monthly - Tuesday"/>
    <s v="Monthly - Tuesday"/>
    <s v="Month+1 Expiry"/>
    <n v="133776"/>
    <n v="24971.67"/>
    <n v="157.38999999999999"/>
  </r>
  <r>
    <s v="08-Sep-2025"/>
    <x v="0"/>
    <s v="Week2-Sep-2025"/>
    <x v="0"/>
    <s v="25-Nov-2025"/>
    <s v="Tuesday"/>
    <s v="Monthly - Tuesday"/>
    <s v="Monthly - Tuesday"/>
    <s v="Month+2 Expiry"/>
    <n v="23514"/>
    <n v="4385.1000000000004"/>
    <n v="40.18"/>
  </r>
  <r>
    <s v="08-Sep-2025"/>
    <x v="0"/>
    <s v="Week2-Sep-2025"/>
    <x v="0"/>
    <s v="30-Dec-2025"/>
    <s v="Tuesday"/>
    <s v="Monthly - Tuesday"/>
    <s v="Monthly - Tuesday"/>
    <s v="Month+3 Expiry"/>
    <n v="44818"/>
    <n v="8403.07"/>
    <n v="109.65"/>
  </r>
  <r>
    <s v="08-Sep-2025"/>
    <x v="0"/>
    <s v="Week2-Sep-2025"/>
    <x v="0"/>
    <s v="31-Mar-2026"/>
    <s v="Tuesday"/>
    <s v="Monthly - Tuesday"/>
    <s v="Monthly - Tuesday"/>
    <s v="Month+6 Expiry"/>
    <n v="7598"/>
    <n v="1458.56"/>
    <n v="24.87"/>
  </r>
  <r>
    <s v="08-Sep-2025"/>
    <x v="0"/>
    <s v="Week2-Sep-2025"/>
    <x v="0"/>
    <s v="30-Jun-2026"/>
    <s v="Tuesday"/>
    <s v="Monthly - Tuesday"/>
    <s v="Monthly - Tuesday"/>
    <s v="Month+9 Expiry"/>
    <n v="165"/>
    <n v="31.08"/>
    <n v="0.94"/>
  </r>
  <r>
    <s v="08-Sep-2025"/>
    <x v="0"/>
    <s v="Week2-Sep-2025"/>
    <x v="0"/>
    <s v="29-Dec-2026"/>
    <s v="Tuesday"/>
    <s v="Monthly - Tuesday"/>
    <s v="Monthly - Tuesday"/>
    <s v="Month+15 Expiry"/>
    <n v="692"/>
    <n v="141.04"/>
    <n v="4.9400000000000004"/>
  </r>
  <r>
    <s v="08-Sep-2025"/>
    <x v="0"/>
    <s v="Week2-Sep-2025"/>
    <x v="0"/>
    <s v="29-Jun-2027"/>
    <s v="Tuesday"/>
    <s v="Monthly - Tuesday"/>
    <s v="Monthly - Tuesday"/>
    <s v="Month+21 Expiry"/>
    <n v="0"/>
    <n v="0"/>
    <n v="0"/>
  </r>
  <r>
    <s v="08-Sep-2025"/>
    <x v="0"/>
    <s v="Week2-Sep-2025"/>
    <x v="0"/>
    <s v="28-Dec-2027"/>
    <s v="Tuesday"/>
    <s v="Monthly - Tuesday"/>
    <s v="Monthly - Tuesday"/>
    <s v="Month+27 Expiry"/>
    <n v="18"/>
    <n v="3.41"/>
    <n v="0.12"/>
  </r>
  <r>
    <s v="08-Sep-2025"/>
    <x v="0"/>
    <s v="Week2-Sep-2025"/>
    <x v="0"/>
    <s v="27-Jun-2028"/>
    <s v="Tuesday"/>
    <s v="Monthly - Tuesday"/>
    <s v="Monthly - Tuesday"/>
    <s v="Month+33 Expiry"/>
    <n v="0"/>
    <n v="0"/>
    <n v="0"/>
  </r>
  <r>
    <s v="08-Sep-2025"/>
    <x v="0"/>
    <s v="Week2-Sep-2025"/>
    <x v="0"/>
    <s v="26-Dec-2028"/>
    <s v="Tuesday"/>
    <s v="Monthly - Tuesday"/>
    <s v="Monthly - Tuesday"/>
    <s v="Month+39 Expiry"/>
    <n v="0"/>
    <n v="0"/>
    <n v="0"/>
  </r>
  <r>
    <s v="08-Sep-2025"/>
    <x v="0"/>
    <s v="Week2-Sep-2025"/>
    <x v="0"/>
    <s v="26-Jun-2029"/>
    <s v="Tuesday"/>
    <s v="Monthly - Tuesday"/>
    <s v="Monthly - Tuesday"/>
    <s v="Month+45 Expiry"/>
    <n v="0"/>
    <n v="0"/>
    <n v="0"/>
  </r>
  <r>
    <s v="08-Sep-2025"/>
    <x v="0"/>
    <s v="Week2-Sep-2025"/>
    <x v="0"/>
    <s v="24-Dec-2029"/>
    <s v="Monday"/>
    <s v="Weekly - Monday"/>
    <s v="Weekly - Monday"/>
    <s v="Month+51 Expiry"/>
    <n v="0"/>
    <n v="0"/>
    <n v="0"/>
  </r>
  <r>
    <s v="08-Sep-2025"/>
    <x v="0"/>
    <s v="Week2-Sep-2025"/>
    <x v="0"/>
    <s v="25-Jun-2030"/>
    <s v="Tuesday"/>
    <s v="Monthly - Tuesday"/>
    <s v="Monthly - Tuesday"/>
    <s v="Month+57 Expiry"/>
    <n v="0"/>
    <n v="0"/>
    <n v="0"/>
  </r>
  <r>
    <s v="09-Sep-2025"/>
    <x v="1"/>
    <s v="Week2-Sep-2025"/>
    <x v="0"/>
    <s v="09-Sep-2025"/>
    <s v="Tuesday"/>
    <s v="Weekly - Tuesday"/>
    <s v="Weekly - Tuesday"/>
    <s v="Same Month Expiry"/>
    <n v="261389801"/>
    <n v="48726762.619999997"/>
    <n v="43403.199999999997"/>
  </r>
  <r>
    <s v="09-Sep-2025"/>
    <x v="1"/>
    <s v="Week2-Sep-2025"/>
    <x v="0"/>
    <s v="16-Sep-2025"/>
    <s v="Tuesday"/>
    <s v="Weekly - Tuesday"/>
    <s v="Weekly - Tuesday"/>
    <s v="Same Month Expiry"/>
    <n v="7566681"/>
    <n v="1414584.71"/>
    <n v="4042.73"/>
  </r>
  <r>
    <s v="09-Sep-2025"/>
    <x v="1"/>
    <s v="Week2-Sep-2025"/>
    <x v="0"/>
    <s v="23-Sep-2025"/>
    <s v="Tuesday"/>
    <s v="Weekly - Tuesday"/>
    <s v="Weekly - Tuesday"/>
    <s v="Same Month Expiry"/>
    <n v="217221"/>
    <n v="40652.49"/>
    <n v="167"/>
  </r>
  <r>
    <s v="09-Sep-2025"/>
    <x v="1"/>
    <s v="Week2-Sep-2025"/>
    <x v="0"/>
    <s v="30-Sep-2025"/>
    <s v="Tuesday"/>
    <s v="Monthly - Tuesday"/>
    <s v="Monthly - Tuesday"/>
    <s v="Same Month Expiry"/>
    <n v="803333"/>
    <n v="150264.78"/>
    <n v="867.23"/>
  </r>
  <r>
    <s v="09-Sep-2025"/>
    <x v="1"/>
    <s v="Week2-Sep-2025"/>
    <x v="0"/>
    <s v="07-Oct-2025"/>
    <s v="Tuesday"/>
    <s v="Weekly - Tuesday"/>
    <s v="Weekly - Tuesday"/>
    <s v="Month+1 Expiry"/>
    <n v="3236"/>
    <n v="610.74"/>
    <n v="4.04"/>
  </r>
  <r>
    <s v="09-Sep-2025"/>
    <x v="1"/>
    <s v="Week2-Sep-2025"/>
    <x v="0"/>
    <s v="28-Oct-2025"/>
    <s v="Tuesday"/>
    <s v="Monthly - Tuesday"/>
    <s v="Monthly - Tuesday"/>
    <s v="Month+1 Expiry"/>
    <n v="103493"/>
    <n v="19559.990000000002"/>
    <n v="117.82"/>
  </r>
  <r>
    <s v="09-Sep-2025"/>
    <x v="1"/>
    <s v="Week2-Sep-2025"/>
    <x v="0"/>
    <s v="25-Nov-2025"/>
    <s v="Tuesday"/>
    <s v="Monthly - Tuesday"/>
    <s v="Monthly - Tuesday"/>
    <s v="Month+2 Expiry"/>
    <n v="18191"/>
    <n v="3370.36"/>
    <n v="25.26"/>
  </r>
  <r>
    <s v="09-Sep-2025"/>
    <x v="1"/>
    <s v="Week2-Sep-2025"/>
    <x v="0"/>
    <s v="30-Dec-2025"/>
    <s v="Tuesday"/>
    <s v="Monthly - Tuesday"/>
    <s v="Monthly - Tuesday"/>
    <s v="Month+3 Expiry"/>
    <n v="34213"/>
    <n v="6387.54"/>
    <n v="98.35"/>
  </r>
  <r>
    <s v="09-Sep-2025"/>
    <x v="1"/>
    <s v="Week2-Sep-2025"/>
    <x v="0"/>
    <s v="31-Mar-2026"/>
    <s v="Tuesday"/>
    <s v="Monthly - Tuesday"/>
    <s v="Monthly - Tuesday"/>
    <s v="Month+6 Expiry"/>
    <n v="6404"/>
    <n v="1230.33"/>
    <n v="20.99"/>
  </r>
  <r>
    <s v="09-Sep-2025"/>
    <x v="1"/>
    <s v="Week2-Sep-2025"/>
    <x v="0"/>
    <s v="30-Jun-2026"/>
    <s v="Tuesday"/>
    <s v="Monthly - Tuesday"/>
    <s v="Monthly - Tuesday"/>
    <s v="Month+9 Expiry"/>
    <n v="60"/>
    <n v="11.68"/>
    <n v="0.38"/>
  </r>
  <r>
    <s v="09-Sep-2025"/>
    <x v="1"/>
    <s v="Week2-Sep-2025"/>
    <x v="0"/>
    <s v="29-Dec-2026"/>
    <s v="Tuesday"/>
    <s v="Monthly - Tuesday"/>
    <s v="Monthly - Tuesday"/>
    <s v="Month+15 Expiry"/>
    <n v="424"/>
    <n v="85.98"/>
    <n v="3.05"/>
  </r>
  <r>
    <s v="09-Sep-2025"/>
    <x v="1"/>
    <s v="Week2-Sep-2025"/>
    <x v="0"/>
    <s v="29-Jun-2027"/>
    <s v="Tuesday"/>
    <s v="Monthly - Tuesday"/>
    <s v="Monthly - Tuesday"/>
    <s v="Month+21 Expiry"/>
    <n v="0"/>
    <n v="0"/>
    <n v="0"/>
  </r>
  <r>
    <s v="09-Sep-2025"/>
    <x v="1"/>
    <s v="Week2-Sep-2025"/>
    <x v="0"/>
    <s v="28-Dec-2027"/>
    <s v="Tuesday"/>
    <s v="Monthly - Tuesday"/>
    <s v="Monthly - Tuesday"/>
    <s v="Month+27 Expiry"/>
    <n v="3"/>
    <n v="0.56000000000000005"/>
    <n v="0.02"/>
  </r>
  <r>
    <s v="09-Sep-2025"/>
    <x v="1"/>
    <s v="Week2-Sep-2025"/>
    <x v="0"/>
    <s v="27-Jun-2028"/>
    <s v="Tuesday"/>
    <s v="Monthly - Tuesday"/>
    <s v="Monthly - Tuesday"/>
    <s v="Month+33 Expiry"/>
    <n v="0"/>
    <n v="0"/>
    <n v="0"/>
  </r>
  <r>
    <s v="09-Sep-2025"/>
    <x v="1"/>
    <s v="Week2-Sep-2025"/>
    <x v="0"/>
    <s v="26-Dec-2028"/>
    <s v="Tuesday"/>
    <s v="Monthly - Tuesday"/>
    <s v="Monthly - Tuesday"/>
    <s v="Month+39 Expiry"/>
    <n v="0"/>
    <n v="0"/>
    <n v="0"/>
  </r>
  <r>
    <s v="09-Sep-2025"/>
    <x v="1"/>
    <s v="Week2-Sep-2025"/>
    <x v="0"/>
    <s v="26-Jun-2029"/>
    <s v="Tuesday"/>
    <s v="Monthly - Tuesday"/>
    <s v="Monthly - Tuesday"/>
    <s v="Month+45 Expiry"/>
    <n v="0"/>
    <n v="0"/>
    <n v="0"/>
  </r>
  <r>
    <s v="09-Sep-2025"/>
    <x v="1"/>
    <s v="Week2-Sep-2025"/>
    <x v="0"/>
    <s v="24-Dec-2029"/>
    <s v="Monday"/>
    <s v="Weekly - Monday"/>
    <s v="Weekly - Monday"/>
    <s v="Month+51 Expiry"/>
    <n v="0"/>
    <n v="0"/>
    <n v="0"/>
  </r>
  <r>
    <s v="09-Sep-2025"/>
    <x v="1"/>
    <s v="Week2-Sep-2025"/>
    <x v="0"/>
    <s v="25-Jun-2030"/>
    <s v="Tuesday"/>
    <s v="Monthly - Tuesday"/>
    <s v="Monthly - Tuesday"/>
    <s v="Month+57 Expiry"/>
    <n v="0"/>
    <n v="0"/>
    <n v="0"/>
  </r>
  <r>
    <s v="10-Sep-2025"/>
    <x v="2"/>
    <s v="Week2-Sep-2025"/>
    <x v="0"/>
    <s v="16-Sep-2025"/>
    <s v="Tuesday"/>
    <s v="Weekly - Tuesday"/>
    <s v="Weekly - Tuesday"/>
    <s v="Same Month Expiry"/>
    <n v="48764604"/>
    <n v="9166071.2300000004"/>
    <n v="25818.75"/>
  </r>
  <r>
    <s v="10-Sep-2025"/>
    <x v="2"/>
    <s v="Week2-Sep-2025"/>
    <x v="0"/>
    <s v="23-Sep-2025"/>
    <s v="Tuesday"/>
    <s v="Weekly - Tuesday"/>
    <s v="Weekly - Tuesday"/>
    <s v="Same Month Expiry"/>
    <n v="860660"/>
    <n v="161764.22"/>
    <n v="595.19000000000005"/>
  </r>
  <r>
    <s v="10-Sep-2025"/>
    <x v="2"/>
    <s v="Week2-Sep-2025"/>
    <x v="0"/>
    <s v="30-Sep-2025"/>
    <s v="Tuesday"/>
    <s v="Monthly - Tuesday"/>
    <s v="Monthly - Tuesday"/>
    <s v="Same Month Expiry"/>
    <n v="1405153"/>
    <n v="263566.44"/>
    <n v="1418.82"/>
  </r>
  <r>
    <s v="10-Sep-2025"/>
    <x v="2"/>
    <s v="Week2-Sep-2025"/>
    <x v="0"/>
    <s v="07-Oct-2025"/>
    <s v="Tuesday"/>
    <s v="Weekly - Tuesday"/>
    <s v="Weekly - Tuesday"/>
    <s v="Month+1 Expiry"/>
    <n v="11846"/>
    <n v="2252.41"/>
    <n v="15.7"/>
  </r>
  <r>
    <s v="10-Sep-2025"/>
    <x v="2"/>
    <s v="Week2-Sep-2025"/>
    <x v="0"/>
    <s v="14-Oct-2025"/>
    <s v="Tuesday"/>
    <s v="Weekly - Tuesday"/>
    <s v="Weekly - Tuesday"/>
    <s v="Month+1 Expiry"/>
    <n v="441"/>
    <n v="83.97"/>
    <n v="0.82"/>
  </r>
  <r>
    <s v="10-Sep-2025"/>
    <x v="2"/>
    <s v="Week2-Sep-2025"/>
    <x v="0"/>
    <s v="28-Oct-2025"/>
    <s v="Tuesday"/>
    <s v="Monthly - Tuesday"/>
    <s v="Monthly - Tuesday"/>
    <s v="Month+1 Expiry"/>
    <n v="176317"/>
    <n v="33067.160000000003"/>
    <n v="242"/>
  </r>
  <r>
    <s v="10-Sep-2025"/>
    <x v="2"/>
    <s v="Week2-Sep-2025"/>
    <x v="0"/>
    <s v="25-Nov-2025"/>
    <s v="Tuesday"/>
    <s v="Monthly - Tuesday"/>
    <s v="Monthly - Tuesday"/>
    <s v="Month+2 Expiry"/>
    <n v="36969"/>
    <n v="6975"/>
    <n v="76.569999999999993"/>
  </r>
  <r>
    <s v="10-Sep-2025"/>
    <x v="2"/>
    <s v="Week2-Sep-2025"/>
    <x v="0"/>
    <s v="30-Dec-2025"/>
    <s v="Tuesday"/>
    <s v="Monthly - Tuesday"/>
    <s v="Monthly - Tuesday"/>
    <s v="Month+3 Expiry"/>
    <n v="63476"/>
    <n v="12055.57"/>
    <n v="173.68"/>
  </r>
  <r>
    <s v="10-Sep-2025"/>
    <x v="2"/>
    <s v="Week2-Sep-2025"/>
    <x v="0"/>
    <s v="31-Mar-2026"/>
    <s v="Tuesday"/>
    <s v="Monthly - Tuesday"/>
    <s v="Monthly - Tuesday"/>
    <s v="Month+6 Expiry"/>
    <n v="21994"/>
    <n v="4215.51"/>
    <n v="58.47"/>
  </r>
  <r>
    <s v="10-Sep-2025"/>
    <x v="2"/>
    <s v="Week2-Sep-2025"/>
    <x v="0"/>
    <s v="30-Jun-2026"/>
    <s v="Tuesday"/>
    <s v="Monthly - Tuesday"/>
    <s v="Monthly - Tuesday"/>
    <s v="Month+9 Expiry"/>
    <n v="150"/>
    <n v="29.02"/>
    <n v="0.88"/>
  </r>
  <r>
    <s v="10-Sep-2025"/>
    <x v="2"/>
    <s v="Week2-Sep-2025"/>
    <x v="0"/>
    <s v="29-Dec-2026"/>
    <s v="Tuesday"/>
    <s v="Monthly - Tuesday"/>
    <s v="Monthly - Tuesday"/>
    <s v="Month+15 Expiry"/>
    <n v="847"/>
    <n v="170.79"/>
    <n v="5.69"/>
  </r>
  <r>
    <s v="10-Sep-2025"/>
    <x v="2"/>
    <s v="Week2-Sep-2025"/>
    <x v="0"/>
    <s v="29-Jun-2027"/>
    <s v="Tuesday"/>
    <s v="Monthly - Tuesday"/>
    <s v="Monthly - Tuesday"/>
    <s v="Month+21 Expiry"/>
    <n v="0"/>
    <n v="0"/>
    <n v="0"/>
  </r>
  <r>
    <s v="10-Sep-2025"/>
    <x v="2"/>
    <s v="Week2-Sep-2025"/>
    <x v="0"/>
    <s v="28-Dec-2027"/>
    <s v="Tuesday"/>
    <s v="Monthly - Tuesday"/>
    <s v="Monthly - Tuesday"/>
    <s v="Month+27 Expiry"/>
    <n v="24"/>
    <n v="4.4000000000000004"/>
    <n v="0.14000000000000001"/>
  </r>
  <r>
    <s v="10-Sep-2025"/>
    <x v="2"/>
    <s v="Week2-Sep-2025"/>
    <x v="0"/>
    <s v="27-Jun-2028"/>
    <s v="Tuesday"/>
    <s v="Monthly - Tuesday"/>
    <s v="Monthly - Tuesday"/>
    <s v="Month+33 Expiry"/>
    <n v="0"/>
    <n v="0"/>
    <n v="0"/>
  </r>
  <r>
    <s v="10-Sep-2025"/>
    <x v="2"/>
    <s v="Week2-Sep-2025"/>
    <x v="0"/>
    <s v="26-Dec-2028"/>
    <s v="Tuesday"/>
    <s v="Monthly - Tuesday"/>
    <s v="Monthly - Tuesday"/>
    <s v="Month+39 Expiry"/>
    <n v="0"/>
    <n v="0"/>
    <n v="0"/>
  </r>
  <r>
    <s v="10-Sep-2025"/>
    <x v="2"/>
    <s v="Week2-Sep-2025"/>
    <x v="0"/>
    <s v="26-Jun-2029"/>
    <s v="Tuesday"/>
    <s v="Monthly - Tuesday"/>
    <s v="Monthly - Tuesday"/>
    <s v="Month+45 Expiry"/>
    <n v="0"/>
    <n v="0"/>
    <n v="0"/>
  </r>
  <r>
    <s v="10-Sep-2025"/>
    <x v="2"/>
    <s v="Week2-Sep-2025"/>
    <x v="0"/>
    <s v="24-Dec-2029"/>
    <s v="Monday"/>
    <s v="Weekly - Monday"/>
    <s v="Weekly - Monday"/>
    <s v="Month+51 Expiry"/>
    <n v="3"/>
    <n v="0.53"/>
    <n v="0.02"/>
  </r>
  <r>
    <s v="10-Sep-2025"/>
    <x v="2"/>
    <s v="Week2-Sep-2025"/>
    <x v="0"/>
    <s v="25-Jun-2030"/>
    <s v="Tuesday"/>
    <s v="Monthly - Tuesday"/>
    <s v="Monthly - Tuesday"/>
    <s v="Month+57 Expiry"/>
    <n v="0"/>
    <n v="0"/>
    <n v="0"/>
  </r>
  <r>
    <s v="11-Sep-2025"/>
    <x v="3"/>
    <s v="Week2-Sep-2025"/>
    <x v="0"/>
    <s v="16-Sep-2025"/>
    <s v="Tuesday"/>
    <s v="Weekly - Tuesday"/>
    <s v="Weekly - Tuesday"/>
    <s v="Same Month Expiry"/>
    <n v="39565538"/>
    <n v="7428784.7999999998"/>
    <n v="16953.53"/>
  </r>
  <r>
    <s v="11-Sep-2025"/>
    <x v="3"/>
    <s v="Week2-Sep-2025"/>
    <x v="0"/>
    <s v="23-Sep-2025"/>
    <s v="Tuesday"/>
    <s v="Weekly - Tuesday"/>
    <s v="Weekly - Tuesday"/>
    <s v="Same Month Expiry"/>
    <n v="849629"/>
    <n v="159492.35999999999"/>
    <n v="541.95000000000005"/>
  </r>
  <r>
    <s v="11-Sep-2025"/>
    <x v="3"/>
    <s v="Week2-Sep-2025"/>
    <x v="0"/>
    <s v="30-Sep-2025"/>
    <s v="Tuesday"/>
    <s v="Monthly - Tuesday"/>
    <s v="Monthly - Tuesday"/>
    <s v="Same Month Expiry"/>
    <n v="799508"/>
    <n v="149912.51999999999"/>
    <n v="756.92"/>
  </r>
  <r>
    <s v="11-Sep-2025"/>
    <x v="3"/>
    <s v="Week2-Sep-2025"/>
    <x v="0"/>
    <s v="07-Oct-2025"/>
    <s v="Tuesday"/>
    <s v="Weekly - Tuesday"/>
    <s v="Weekly - Tuesday"/>
    <s v="Month+1 Expiry"/>
    <n v="9729"/>
    <n v="1859.27"/>
    <n v="9.6199999999999992"/>
  </r>
  <r>
    <s v="11-Sep-2025"/>
    <x v="3"/>
    <s v="Week2-Sep-2025"/>
    <x v="0"/>
    <s v="14-Oct-2025"/>
    <s v="Tuesday"/>
    <s v="Weekly - Tuesday"/>
    <s v="Weekly - Tuesday"/>
    <s v="Month+1 Expiry"/>
    <n v="913"/>
    <n v="173.16"/>
    <n v="1.81"/>
  </r>
  <r>
    <s v="11-Sep-2025"/>
    <x v="3"/>
    <s v="Week2-Sep-2025"/>
    <x v="0"/>
    <s v="28-Oct-2025"/>
    <s v="Tuesday"/>
    <s v="Monthly - Tuesday"/>
    <s v="Monthly - Tuesday"/>
    <s v="Month+1 Expiry"/>
    <n v="107810"/>
    <n v="20300.16"/>
    <n v="147.32"/>
  </r>
  <r>
    <s v="11-Sep-2025"/>
    <x v="3"/>
    <s v="Week2-Sep-2025"/>
    <x v="0"/>
    <s v="25-Nov-2025"/>
    <s v="Tuesday"/>
    <s v="Monthly - Tuesday"/>
    <s v="Monthly - Tuesday"/>
    <s v="Month+2 Expiry"/>
    <n v="19263"/>
    <n v="3596.4"/>
    <n v="34.25"/>
  </r>
  <r>
    <s v="11-Sep-2025"/>
    <x v="3"/>
    <s v="Week2-Sep-2025"/>
    <x v="0"/>
    <s v="30-Dec-2025"/>
    <s v="Tuesday"/>
    <s v="Monthly - Tuesday"/>
    <s v="Monthly - Tuesday"/>
    <s v="Month+3 Expiry"/>
    <n v="36831"/>
    <n v="6899.51"/>
    <n v="89.9"/>
  </r>
  <r>
    <s v="11-Sep-2025"/>
    <x v="3"/>
    <s v="Week2-Sep-2025"/>
    <x v="0"/>
    <s v="31-Mar-2026"/>
    <s v="Tuesday"/>
    <s v="Monthly - Tuesday"/>
    <s v="Monthly - Tuesday"/>
    <s v="Month+6 Expiry"/>
    <n v="9470"/>
    <n v="1771.23"/>
    <n v="22.44"/>
  </r>
  <r>
    <s v="11-Sep-2025"/>
    <x v="3"/>
    <s v="Week2-Sep-2025"/>
    <x v="0"/>
    <s v="30-Jun-2026"/>
    <s v="Tuesday"/>
    <s v="Monthly - Tuesday"/>
    <s v="Monthly - Tuesday"/>
    <s v="Month+9 Expiry"/>
    <n v="192"/>
    <n v="33.36"/>
    <n v="0.47"/>
  </r>
  <r>
    <s v="11-Sep-2025"/>
    <x v="3"/>
    <s v="Week2-Sep-2025"/>
    <x v="0"/>
    <s v="29-Dec-2026"/>
    <s v="Tuesday"/>
    <s v="Monthly - Tuesday"/>
    <s v="Monthly - Tuesday"/>
    <s v="Month+15 Expiry"/>
    <n v="892"/>
    <n v="180.41"/>
    <n v="5.12"/>
  </r>
  <r>
    <s v="11-Sep-2025"/>
    <x v="3"/>
    <s v="Week2-Sep-2025"/>
    <x v="0"/>
    <s v="29-Jun-2027"/>
    <s v="Tuesday"/>
    <s v="Monthly - Tuesday"/>
    <s v="Monthly - Tuesday"/>
    <s v="Month+21 Expiry"/>
    <n v="4"/>
    <n v="0.64"/>
    <n v="0.01"/>
  </r>
  <r>
    <s v="11-Sep-2025"/>
    <x v="3"/>
    <s v="Week2-Sep-2025"/>
    <x v="0"/>
    <s v="28-Dec-2027"/>
    <s v="Tuesday"/>
    <s v="Monthly - Tuesday"/>
    <s v="Monthly - Tuesday"/>
    <s v="Month+27 Expiry"/>
    <n v="30"/>
    <n v="4.5"/>
    <n v="7.0000000000000007E-2"/>
  </r>
  <r>
    <s v="11-Sep-2025"/>
    <x v="3"/>
    <s v="Week2-Sep-2025"/>
    <x v="0"/>
    <s v="27-Jun-2028"/>
    <s v="Tuesday"/>
    <s v="Monthly - Tuesday"/>
    <s v="Monthly - Tuesday"/>
    <s v="Month+33 Expiry"/>
    <n v="0"/>
    <n v="0"/>
    <n v="0"/>
  </r>
  <r>
    <s v="11-Sep-2025"/>
    <x v="3"/>
    <s v="Week2-Sep-2025"/>
    <x v="0"/>
    <s v="26-Dec-2028"/>
    <s v="Tuesday"/>
    <s v="Monthly - Tuesday"/>
    <s v="Monthly - Tuesday"/>
    <s v="Month+39 Expiry"/>
    <n v="3"/>
    <n v="0.47"/>
    <n v="0.01"/>
  </r>
  <r>
    <s v="11-Sep-2025"/>
    <x v="3"/>
    <s v="Week2-Sep-2025"/>
    <x v="0"/>
    <s v="26-Jun-2029"/>
    <s v="Tuesday"/>
    <s v="Monthly - Tuesday"/>
    <s v="Monthly - Tuesday"/>
    <s v="Month+45 Expiry"/>
    <n v="0"/>
    <n v="0"/>
    <n v="0"/>
  </r>
  <r>
    <s v="11-Sep-2025"/>
    <x v="3"/>
    <s v="Week2-Sep-2025"/>
    <x v="0"/>
    <s v="24-Dec-2029"/>
    <s v="Monday"/>
    <s v="Weekly - Monday"/>
    <s v="Weekly - Monday"/>
    <s v="Month+51 Expiry"/>
    <n v="0"/>
    <n v="0"/>
    <n v="0"/>
  </r>
  <r>
    <s v="11-Sep-2025"/>
    <x v="3"/>
    <s v="Week2-Sep-2025"/>
    <x v="0"/>
    <s v="25-Jun-2030"/>
    <s v="Tuesday"/>
    <s v="Monthly - Tuesday"/>
    <s v="Monthly - Tuesday"/>
    <s v="Month+57 Expiry"/>
    <n v="0"/>
    <n v="0"/>
    <n v="0"/>
  </r>
  <r>
    <s v="12-Sep-2025"/>
    <x v="4"/>
    <s v="Week2-Sep-2025"/>
    <x v="0"/>
    <s v="16-Sep-2025"/>
    <s v="Tuesday"/>
    <s v="Weekly - Tuesday"/>
    <s v="Weekly - Tuesday"/>
    <s v="Same Month Expiry"/>
    <n v="63575606"/>
    <n v="11962454.369999999"/>
    <n v="23216.62"/>
  </r>
  <r>
    <s v="12-Sep-2025"/>
    <x v="4"/>
    <s v="Week2-Sep-2025"/>
    <x v="0"/>
    <s v="23-Sep-2025"/>
    <s v="Tuesday"/>
    <s v="Weekly - Tuesday"/>
    <s v="Weekly - Tuesday"/>
    <s v="Same Month Expiry"/>
    <n v="1601449"/>
    <n v="302074.48"/>
    <n v="946.05"/>
  </r>
  <r>
    <s v="12-Sep-2025"/>
    <x v="4"/>
    <s v="Week2-Sep-2025"/>
    <x v="0"/>
    <s v="30-Sep-2025"/>
    <s v="Tuesday"/>
    <s v="Monthly - Tuesday"/>
    <s v="Monthly - Tuesday"/>
    <s v="Same Month Expiry"/>
    <n v="1308003"/>
    <n v="246027.31"/>
    <n v="1174.4100000000001"/>
  </r>
  <r>
    <s v="12-Sep-2025"/>
    <x v="4"/>
    <s v="Week2-Sep-2025"/>
    <x v="0"/>
    <s v="07-Oct-2025"/>
    <s v="Tuesday"/>
    <s v="Weekly - Tuesday"/>
    <s v="Weekly - Tuesday"/>
    <s v="Month+1 Expiry"/>
    <n v="14879"/>
    <n v="2832.9"/>
    <n v="14.59"/>
  </r>
  <r>
    <s v="12-Sep-2025"/>
    <x v="4"/>
    <s v="Week2-Sep-2025"/>
    <x v="0"/>
    <s v="14-Oct-2025"/>
    <s v="Tuesday"/>
    <s v="Weekly - Tuesday"/>
    <s v="Weekly - Tuesday"/>
    <s v="Month+1 Expiry"/>
    <n v="1097"/>
    <n v="209.53"/>
    <n v="1.79"/>
  </r>
  <r>
    <s v="12-Sep-2025"/>
    <x v="4"/>
    <s v="Week2-Sep-2025"/>
    <x v="0"/>
    <s v="28-Oct-2025"/>
    <s v="Tuesday"/>
    <s v="Monthly - Tuesday"/>
    <s v="Monthly - Tuesday"/>
    <s v="Month+1 Expiry"/>
    <n v="203404"/>
    <n v="38254.160000000003"/>
    <n v="249.72"/>
  </r>
  <r>
    <s v="12-Sep-2025"/>
    <x v="4"/>
    <s v="Week2-Sep-2025"/>
    <x v="0"/>
    <s v="25-Nov-2025"/>
    <s v="Tuesday"/>
    <s v="Monthly - Tuesday"/>
    <s v="Monthly - Tuesday"/>
    <s v="Month+2 Expiry"/>
    <n v="42937"/>
    <n v="8138.47"/>
    <n v="81.86"/>
  </r>
  <r>
    <s v="12-Sep-2025"/>
    <x v="4"/>
    <s v="Week2-Sep-2025"/>
    <x v="0"/>
    <s v="30-Dec-2025"/>
    <s v="Tuesday"/>
    <s v="Monthly - Tuesday"/>
    <s v="Monthly - Tuesday"/>
    <s v="Month+3 Expiry"/>
    <n v="49135"/>
    <n v="9252.56"/>
    <n v="133.36000000000001"/>
  </r>
  <r>
    <s v="12-Sep-2025"/>
    <x v="4"/>
    <s v="Week2-Sep-2025"/>
    <x v="0"/>
    <s v="31-Mar-2026"/>
    <s v="Tuesday"/>
    <s v="Monthly - Tuesday"/>
    <s v="Monthly - Tuesday"/>
    <s v="Month+6 Expiry"/>
    <n v="15010"/>
    <n v="2885.98"/>
    <n v="40.57"/>
  </r>
  <r>
    <s v="12-Sep-2025"/>
    <x v="4"/>
    <s v="Week2-Sep-2025"/>
    <x v="0"/>
    <s v="30-Jun-2026"/>
    <s v="Tuesday"/>
    <s v="Monthly - Tuesday"/>
    <s v="Monthly - Tuesday"/>
    <s v="Month+9 Expiry"/>
    <n v="371"/>
    <n v="68.790000000000006"/>
    <n v="1.28"/>
  </r>
  <r>
    <s v="12-Sep-2025"/>
    <x v="4"/>
    <s v="Week2-Sep-2025"/>
    <x v="0"/>
    <s v="29-Dec-2026"/>
    <s v="Tuesday"/>
    <s v="Monthly - Tuesday"/>
    <s v="Monthly - Tuesday"/>
    <s v="Month+15 Expiry"/>
    <n v="1083"/>
    <n v="220.52"/>
    <n v="6.95"/>
  </r>
  <r>
    <s v="12-Sep-2025"/>
    <x v="4"/>
    <s v="Week2-Sep-2025"/>
    <x v="0"/>
    <s v="29-Jun-2027"/>
    <s v="Tuesday"/>
    <s v="Monthly - Tuesday"/>
    <s v="Monthly - Tuesday"/>
    <s v="Month+21 Expiry"/>
    <n v="0"/>
    <n v="0"/>
    <n v="0"/>
  </r>
  <r>
    <s v="12-Sep-2025"/>
    <x v="4"/>
    <s v="Week2-Sep-2025"/>
    <x v="0"/>
    <s v="28-Dec-2027"/>
    <s v="Tuesday"/>
    <s v="Monthly - Tuesday"/>
    <s v="Monthly - Tuesday"/>
    <s v="Month+27 Expiry"/>
    <n v="12"/>
    <n v="2.3199999999999998"/>
    <n v="0.09"/>
  </r>
  <r>
    <s v="12-Sep-2025"/>
    <x v="4"/>
    <s v="Week2-Sep-2025"/>
    <x v="0"/>
    <s v="27-Jun-2028"/>
    <s v="Tuesday"/>
    <s v="Monthly - Tuesday"/>
    <s v="Monthly - Tuesday"/>
    <s v="Month+33 Expiry"/>
    <n v="0"/>
    <n v="0"/>
    <n v="0"/>
  </r>
  <r>
    <s v="12-Sep-2025"/>
    <x v="4"/>
    <s v="Week2-Sep-2025"/>
    <x v="0"/>
    <s v="26-Dec-2028"/>
    <s v="Tuesday"/>
    <s v="Monthly - Tuesday"/>
    <s v="Monthly - Tuesday"/>
    <s v="Month+39 Expiry"/>
    <n v="1"/>
    <n v="0.2"/>
    <n v="0.01"/>
  </r>
  <r>
    <s v="12-Sep-2025"/>
    <x v="4"/>
    <s v="Week2-Sep-2025"/>
    <x v="0"/>
    <s v="26-Jun-2029"/>
    <s v="Tuesday"/>
    <s v="Monthly - Tuesday"/>
    <s v="Monthly - Tuesday"/>
    <s v="Month+45 Expiry"/>
    <n v="0"/>
    <n v="0"/>
    <n v="0"/>
  </r>
  <r>
    <s v="12-Sep-2025"/>
    <x v="4"/>
    <s v="Week2-Sep-2025"/>
    <x v="0"/>
    <s v="24-Dec-2029"/>
    <s v="Monday"/>
    <s v="Weekly - Monday"/>
    <s v="Weekly - Monday"/>
    <s v="Month+51 Expiry"/>
    <n v="0"/>
    <n v="0"/>
    <n v="0"/>
  </r>
  <r>
    <s v="12-Sep-2025"/>
    <x v="4"/>
    <s v="Week2-Sep-2025"/>
    <x v="0"/>
    <s v="25-Jun-2030"/>
    <s v="Tuesday"/>
    <s v="Monthly - Tuesday"/>
    <s v="Monthly - Tuesday"/>
    <s v="Month+57 Expiry"/>
    <n v="0"/>
    <n v="0"/>
    <n v="0"/>
  </r>
  <r>
    <s v="15-Sep-2025"/>
    <x v="0"/>
    <s v="Week3-Sep-2025"/>
    <x v="0"/>
    <s v="16-Sep-2025"/>
    <s v="Tuesday"/>
    <s v="Weekly - Tuesday"/>
    <s v="Weekly - Tuesday"/>
    <s v="Same Month Expiry"/>
    <n v="86803783"/>
    <n v="16346230.57"/>
    <n v="23949.94"/>
  </r>
  <r>
    <s v="15-Sep-2025"/>
    <x v="0"/>
    <s v="Week3-Sep-2025"/>
    <x v="0"/>
    <s v="23-Sep-2025"/>
    <s v="Tuesday"/>
    <s v="Weekly - Tuesday"/>
    <s v="Weekly - Tuesday"/>
    <s v="Same Month Expiry"/>
    <n v="3165579"/>
    <n v="597031.22"/>
    <n v="1486.7"/>
  </r>
  <r>
    <s v="15-Sep-2025"/>
    <x v="0"/>
    <s v="Week3-Sep-2025"/>
    <x v="0"/>
    <s v="30-Sep-2025"/>
    <s v="Tuesday"/>
    <s v="Monthly - Tuesday"/>
    <s v="Monthly - Tuesday"/>
    <s v="Same Month Expiry"/>
    <n v="952976"/>
    <n v="179158.52"/>
    <n v="797.65"/>
  </r>
  <r>
    <s v="15-Sep-2025"/>
    <x v="0"/>
    <s v="Week3-Sep-2025"/>
    <x v="0"/>
    <s v="07-Oct-2025"/>
    <s v="Tuesday"/>
    <s v="Weekly - Tuesday"/>
    <s v="Weekly - Tuesday"/>
    <s v="Month+1 Expiry"/>
    <n v="12129"/>
    <n v="2307.54"/>
    <n v="11.11"/>
  </r>
  <r>
    <s v="15-Sep-2025"/>
    <x v="0"/>
    <s v="Week3-Sep-2025"/>
    <x v="0"/>
    <s v="14-Oct-2025"/>
    <s v="Tuesday"/>
    <s v="Weekly - Tuesday"/>
    <s v="Weekly - Tuesday"/>
    <s v="Month+1 Expiry"/>
    <n v="1131"/>
    <n v="216.13"/>
    <n v="1.64"/>
  </r>
  <r>
    <s v="15-Sep-2025"/>
    <x v="0"/>
    <s v="Week3-Sep-2025"/>
    <x v="0"/>
    <s v="28-Oct-2025"/>
    <s v="Tuesday"/>
    <s v="Monthly - Tuesday"/>
    <s v="Monthly - Tuesday"/>
    <s v="Month+1 Expiry"/>
    <n v="141320"/>
    <n v="26747.4"/>
    <n v="186.97"/>
  </r>
  <r>
    <s v="15-Sep-2025"/>
    <x v="0"/>
    <s v="Week3-Sep-2025"/>
    <x v="0"/>
    <s v="25-Nov-2025"/>
    <s v="Tuesday"/>
    <s v="Monthly - Tuesday"/>
    <s v="Monthly - Tuesday"/>
    <s v="Month+2 Expiry"/>
    <n v="23786"/>
    <n v="4483.6499999999996"/>
    <n v="44.65"/>
  </r>
  <r>
    <s v="15-Sep-2025"/>
    <x v="0"/>
    <s v="Week3-Sep-2025"/>
    <x v="0"/>
    <s v="30-Dec-2025"/>
    <s v="Tuesday"/>
    <s v="Monthly - Tuesday"/>
    <s v="Monthly - Tuesday"/>
    <s v="Month+3 Expiry"/>
    <n v="32834"/>
    <n v="6190.01"/>
    <n v="91.98"/>
  </r>
  <r>
    <s v="15-Sep-2025"/>
    <x v="0"/>
    <s v="Week3-Sep-2025"/>
    <x v="0"/>
    <s v="31-Mar-2026"/>
    <s v="Tuesday"/>
    <s v="Monthly - Tuesday"/>
    <s v="Monthly - Tuesday"/>
    <s v="Month+6 Expiry"/>
    <n v="10002"/>
    <n v="1971.54"/>
    <n v="32.049999999999997"/>
  </r>
  <r>
    <s v="15-Sep-2025"/>
    <x v="0"/>
    <s v="Week3-Sep-2025"/>
    <x v="0"/>
    <s v="30-Jun-2026"/>
    <s v="Tuesday"/>
    <s v="Monthly - Tuesday"/>
    <s v="Monthly - Tuesday"/>
    <s v="Month+9 Expiry"/>
    <n v="253"/>
    <n v="47.9"/>
    <n v="1.03"/>
  </r>
  <r>
    <s v="15-Sep-2025"/>
    <x v="0"/>
    <s v="Week3-Sep-2025"/>
    <x v="0"/>
    <s v="29-Dec-2026"/>
    <s v="Tuesday"/>
    <s v="Monthly - Tuesday"/>
    <s v="Monthly - Tuesday"/>
    <s v="Month+15 Expiry"/>
    <n v="916"/>
    <n v="182.58"/>
    <n v="5.57"/>
  </r>
  <r>
    <s v="15-Sep-2025"/>
    <x v="0"/>
    <s v="Week3-Sep-2025"/>
    <x v="0"/>
    <s v="29-Jun-2027"/>
    <s v="Tuesday"/>
    <s v="Monthly - Tuesday"/>
    <s v="Monthly - Tuesday"/>
    <s v="Month+21 Expiry"/>
    <n v="0"/>
    <n v="0"/>
    <n v="0"/>
  </r>
  <r>
    <s v="15-Sep-2025"/>
    <x v="0"/>
    <s v="Week3-Sep-2025"/>
    <x v="0"/>
    <s v="28-Dec-2027"/>
    <s v="Tuesday"/>
    <s v="Monthly - Tuesday"/>
    <s v="Monthly - Tuesday"/>
    <s v="Month+27 Expiry"/>
    <n v="3"/>
    <n v="0.57999999999999996"/>
    <n v="0.02"/>
  </r>
  <r>
    <s v="15-Sep-2025"/>
    <x v="0"/>
    <s v="Week3-Sep-2025"/>
    <x v="0"/>
    <s v="27-Jun-2028"/>
    <s v="Tuesday"/>
    <s v="Monthly - Tuesday"/>
    <s v="Monthly - Tuesday"/>
    <s v="Month+33 Expiry"/>
    <n v="0"/>
    <n v="0"/>
    <n v="0"/>
  </r>
  <r>
    <s v="15-Sep-2025"/>
    <x v="0"/>
    <s v="Week3-Sep-2025"/>
    <x v="0"/>
    <s v="26-Dec-2028"/>
    <s v="Tuesday"/>
    <s v="Monthly - Tuesday"/>
    <s v="Monthly - Tuesday"/>
    <s v="Month+39 Expiry"/>
    <n v="1"/>
    <n v="0.2"/>
    <n v="0.01"/>
  </r>
  <r>
    <s v="15-Sep-2025"/>
    <x v="0"/>
    <s v="Week3-Sep-2025"/>
    <x v="0"/>
    <s v="26-Jun-2029"/>
    <s v="Tuesday"/>
    <s v="Monthly - Tuesday"/>
    <s v="Monthly - Tuesday"/>
    <s v="Month+45 Expiry"/>
    <n v="0"/>
    <n v="0"/>
    <n v="0"/>
  </r>
  <r>
    <s v="15-Sep-2025"/>
    <x v="0"/>
    <s v="Week3-Sep-2025"/>
    <x v="0"/>
    <s v="24-Dec-2029"/>
    <s v="Monday"/>
    <s v="Weekly - Monday"/>
    <s v="Weekly - Monday"/>
    <s v="Month+51 Expiry"/>
    <n v="0"/>
    <n v="0"/>
    <n v="0"/>
  </r>
  <r>
    <s v="15-Sep-2025"/>
    <x v="0"/>
    <s v="Week3-Sep-2025"/>
    <x v="0"/>
    <s v="25-Jun-2030"/>
    <s v="Tuesday"/>
    <s v="Monthly - Tuesday"/>
    <s v="Monthly - Tuesday"/>
    <s v="Month+57 Expiry"/>
    <n v="0"/>
    <n v="0"/>
    <n v="0"/>
  </r>
  <r>
    <s v="16-Sep-2025"/>
    <x v="1"/>
    <s v="Week3-Sep-2025"/>
    <x v="0"/>
    <s v="16-Sep-2025"/>
    <s v="Tuesday"/>
    <s v="Weekly - Tuesday"/>
    <s v="Weekly - Tuesday"/>
    <s v="Same Month Expiry"/>
    <n v="233518289"/>
    <n v="44068875.969999999"/>
    <n v="34516.35"/>
  </r>
  <r>
    <s v="16-Sep-2025"/>
    <x v="1"/>
    <s v="Week3-Sep-2025"/>
    <x v="0"/>
    <s v="23-Sep-2025"/>
    <s v="Tuesday"/>
    <s v="Weekly - Tuesday"/>
    <s v="Weekly - Tuesday"/>
    <s v="Same Month Expiry"/>
    <n v="8233050"/>
    <n v="1553473.91"/>
    <n v="4227.8100000000004"/>
  </r>
  <r>
    <s v="16-Sep-2025"/>
    <x v="1"/>
    <s v="Week3-Sep-2025"/>
    <x v="0"/>
    <s v="30-Sep-2025"/>
    <s v="Tuesday"/>
    <s v="Monthly - Tuesday"/>
    <s v="Monthly - Tuesday"/>
    <s v="Same Month Expiry"/>
    <n v="1784357"/>
    <n v="337158.97"/>
    <n v="1533.68"/>
  </r>
  <r>
    <s v="16-Sep-2025"/>
    <x v="1"/>
    <s v="Week3-Sep-2025"/>
    <x v="0"/>
    <s v="07-Oct-2025"/>
    <s v="Tuesday"/>
    <s v="Weekly - Tuesday"/>
    <s v="Weekly - Tuesday"/>
    <s v="Month+1 Expiry"/>
    <n v="30608"/>
    <n v="5806.46"/>
    <n v="28.96"/>
  </r>
  <r>
    <s v="16-Sep-2025"/>
    <x v="1"/>
    <s v="Week3-Sep-2025"/>
    <x v="0"/>
    <s v="14-Oct-2025"/>
    <s v="Tuesday"/>
    <s v="Weekly - Tuesday"/>
    <s v="Weekly - Tuesday"/>
    <s v="Month+1 Expiry"/>
    <n v="4362"/>
    <n v="830.53"/>
    <n v="6.31"/>
  </r>
  <r>
    <s v="16-Sep-2025"/>
    <x v="1"/>
    <s v="Week3-Sep-2025"/>
    <x v="0"/>
    <s v="28-Oct-2025"/>
    <s v="Tuesday"/>
    <s v="Monthly - Tuesday"/>
    <s v="Monthly - Tuesday"/>
    <s v="Month+1 Expiry"/>
    <n v="232397"/>
    <n v="43889.71"/>
    <n v="320.37"/>
  </r>
  <r>
    <s v="16-Sep-2025"/>
    <x v="1"/>
    <s v="Week3-Sep-2025"/>
    <x v="0"/>
    <s v="25-Nov-2025"/>
    <s v="Tuesday"/>
    <s v="Monthly - Tuesday"/>
    <s v="Monthly - Tuesday"/>
    <s v="Month+2 Expiry"/>
    <n v="39790"/>
    <n v="7455.69"/>
    <n v="65.14"/>
  </r>
  <r>
    <s v="16-Sep-2025"/>
    <x v="1"/>
    <s v="Week3-Sep-2025"/>
    <x v="0"/>
    <s v="30-Dec-2025"/>
    <s v="Tuesday"/>
    <s v="Monthly - Tuesday"/>
    <s v="Monthly - Tuesday"/>
    <s v="Month+3 Expiry"/>
    <n v="58754"/>
    <n v="11063.12"/>
    <n v="156.27000000000001"/>
  </r>
  <r>
    <s v="16-Sep-2025"/>
    <x v="1"/>
    <s v="Week3-Sep-2025"/>
    <x v="0"/>
    <s v="31-Mar-2026"/>
    <s v="Tuesday"/>
    <s v="Monthly - Tuesday"/>
    <s v="Monthly - Tuesday"/>
    <s v="Month+6 Expiry"/>
    <n v="11081"/>
    <n v="2159.35"/>
    <n v="42.29"/>
  </r>
  <r>
    <s v="16-Sep-2025"/>
    <x v="1"/>
    <s v="Week3-Sep-2025"/>
    <x v="0"/>
    <s v="30-Jun-2026"/>
    <s v="Tuesday"/>
    <s v="Monthly - Tuesday"/>
    <s v="Monthly - Tuesday"/>
    <s v="Month+9 Expiry"/>
    <n v="370"/>
    <n v="71.98"/>
    <n v="1.36"/>
  </r>
  <r>
    <s v="16-Sep-2025"/>
    <x v="1"/>
    <s v="Week3-Sep-2025"/>
    <x v="0"/>
    <s v="29-Dec-2026"/>
    <s v="Tuesday"/>
    <s v="Monthly - Tuesday"/>
    <s v="Monthly - Tuesday"/>
    <s v="Month+15 Expiry"/>
    <n v="1653"/>
    <n v="330.63"/>
    <n v="11.68"/>
  </r>
  <r>
    <s v="16-Sep-2025"/>
    <x v="1"/>
    <s v="Week3-Sep-2025"/>
    <x v="0"/>
    <s v="29-Jun-2027"/>
    <s v="Tuesday"/>
    <s v="Monthly - Tuesday"/>
    <s v="Monthly - Tuesday"/>
    <s v="Month+21 Expiry"/>
    <n v="0"/>
    <n v="0"/>
    <n v="0"/>
  </r>
  <r>
    <s v="16-Sep-2025"/>
    <x v="1"/>
    <s v="Week3-Sep-2025"/>
    <x v="0"/>
    <s v="28-Dec-2027"/>
    <s v="Tuesday"/>
    <s v="Monthly - Tuesday"/>
    <s v="Monthly - Tuesday"/>
    <s v="Month+27 Expiry"/>
    <n v="6"/>
    <n v="1.2"/>
    <n v="0.05"/>
  </r>
  <r>
    <s v="16-Sep-2025"/>
    <x v="1"/>
    <s v="Week3-Sep-2025"/>
    <x v="0"/>
    <s v="27-Jun-2028"/>
    <s v="Tuesday"/>
    <s v="Monthly - Tuesday"/>
    <s v="Monthly - Tuesday"/>
    <s v="Month+33 Expiry"/>
    <n v="0"/>
    <n v="0"/>
    <n v="0"/>
  </r>
  <r>
    <s v="16-Sep-2025"/>
    <x v="1"/>
    <s v="Week3-Sep-2025"/>
    <x v="0"/>
    <s v="26-Dec-2028"/>
    <s v="Tuesday"/>
    <s v="Monthly - Tuesday"/>
    <s v="Monthly - Tuesday"/>
    <s v="Month+39 Expiry"/>
    <n v="106"/>
    <n v="25.83"/>
    <n v="1.98"/>
  </r>
  <r>
    <s v="16-Sep-2025"/>
    <x v="1"/>
    <s v="Week3-Sep-2025"/>
    <x v="0"/>
    <s v="26-Jun-2029"/>
    <s v="Tuesday"/>
    <s v="Monthly - Tuesday"/>
    <s v="Monthly - Tuesday"/>
    <s v="Month+45 Expiry"/>
    <n v="0"/>
    <n v="0"/>
    <n v="0"/>
  </r>
  <r>
    <s v="16-Sep-2025"/>
    <x v="1"/>
    <s v="Week3-Sep-2025"/>
    <x v="0"/>
    <s v="24-Dec-2029"/>
    <s v="Monday"/>
    <s v="Weekly - Monday"/>
    <s v="Weekly - Monday"/>
    <s v="Month+51 Expiry"/>
    <n v="0"/>
    <n v="0"/>
    <n v="0"/>
  </r>
  <r>
    <s v="16-Sep-2025"/>
    <x v="1"/>
    <s v="Week3-Sep-2025"/>
    <x v="0"/>
    <s v="25-Jun-2030"/>
    <s v="Tuesday"/>
    <s v="Monthly - Tuesday"/>
    <s v="Monthly - Tuesday"/>
    <s v="Month+57 Expiry"/>
    <n v="0"/>
    <n v="0"/>
    <n v="0"/>
  </r>
  <r>
    <s v="17-Sep-2025"/>
    <x v="2"/>
    <s v="Week3-Sep-2025"/>
    <x v="0"/>
    <s v="23-Sep-2025"/>
    <s v="Tuesday"/>
    <s v="Weekly - Tuesday"/>
    <s v="Weekly - Tuesday"/>
    <s v="Same Month Expiry"/>
    <n v="38570402"/>
    <n v="7337460.46"/>
    <n v="19411.46"/>
  </r>
  <r>
    <s v="17-Sep-2025"/>
    <x v="2"/>
    <s v="Week3-Sep-2025"/>
    <x v="0"/>
    <s v="30-Sep-2025"/>
    <s v="Tuesday"/>
    <s v="Monthly - Tuesday"/>
    <s v="Monthly - Tuesday"/>
    <s v="Same Month Expiry"/>
    <n v="2322510"/>
    <n v="440967.21"/>
    <n v="1718.42"/>
  </r>
  <r>
    <s v="17-Sep-2025"/>
    <x v="2"/>
    <s v="Week3-Sep-2025"/>
    <x v="0"/>
    <s v="07-Oct-2025"/>
    <s v="Tuesday"/>
    <s v="Weekly - Tuesday"/>
    <s v="Weekly - Tuesday"/>
    <s v="Month+1 Expiry"/>
    <n v="70322"/>
    <n v="13473.71"/>
    <n v="58.91"/>
  </r>
  <r>
    <s v="17-Sep-2025"/>
    <x v="2"/>
    <s v="Week3-Sep-2025"/>
    <x v="0"/>
    <s v="14-Oct-2025"/>
    <s v="Tuesday"/>
    <s v="Weekly - Tuesday"/>
    <s v="Weekly - Tuesday"/>
    <s v="Month+1 Expiry"/>
    <n v="6116"/>
    <n v="1173.54"/>
    <n v="7.61"/>
  </r>
  <r>
    <s v="17-Sep-2025"/>
    <x v="2"/>
    <s v="Week3-Sep-2025"/>
    <x v="0"/>
    <s v="20-Oct-2025"/>
    <s v="Monday"/>
    <s v="Weekly - Monday"/>
    <s v="Weekly - Monday"/>
    <s v="Month+1 Expiry"/>
    <n v="119"/>
    <n v="23.06"/>
    <n v="0.33"/>
  </r>
  <r>
    <s v="17-Sep-2025"/>
    <x v="2"/>
    <s v="Week3-Sep-2025"/>
    <x v="0"/>
    <s v="28-Oct-2025"/>
    <s v="Tuesday"/>
    <s v="Monthly - Tuesday"/>
    <s v="Monthly - Tuesday"/>
    <s v="Month+1 Expiry"/>
    <n v="328795"/>
    <n v="62396.33"/>
    <n v="411.52"/>
  </r>
  <r>
    <s v="17-Sep-2025"/>
    <x v="2"/>
    <s v="Week3-Sep-2025"/>
    <x v="0"/>
    <s v="25-Nov-2025"/>
    <s v="Tuesday"/>
    <s v="Monthly - Tuesday"/>
    <s v="Monthly - Tuesday"/>
    <s v="Month+2 Expiry"/>
    <n v="50854"/>
    <n v="9629.27"/>
    <n v="94.73"/>
  </r>
  <r>
    <s v="17-Sep-2025"/>
    <x v="2"/>
    <s v="Week3-Sep-2025"/>
    <x v="0"/>
    <s v="30-Dec-2025"/>
    <s v="Tuesday"/>
    <s v="Monthly - Tuesday"/>
    <s v="Monthly - Tuesday"/>
    <s v="Month+3 Expiry"/>
    <n v="69100"/>
    <n v="13148.64"/>
    <n v="179.47"/>
  </r>
  <r>
    <s v="17-Sep-2025"/>
    <x v="2"/>
    <s v="Week3-Sep-2025"/>
    <x v="0"/>
    <s v="31-Mar-2026"/>
    <s v="Tuesday"/>
    <s v="Monthly - Tuesday"/>
    <s v="Monthly - Tuesday"/>
    <s v="Month+6 Expiry"/>
    <n v="15640"/>
    <n v="3014.42"/>
    <n v="59.35"/>
  </r>
  <r>
    <s v="17-Sep-2025"/>
    <x v="2"/>
    <s v="Week3-Sep-2025"/>
    <x v="0"/>
    <s v="30-Jun-2026"/>
    <s v="Tuesday"/>
    <s v="Monthly - Tuesday"/>
    <s v="Monthly - Tuesday"/>
    <s v="Month+9 Expiry"/>
    <n v="292"/>
    <n v="55.23"/>
    <n v="1.37"/>
  </r>
  <r>
    <s v="17-Sep-2025"/>
    <x v="2"/>
    <s v="Week3-Sep-2025"/>
    <x v="0"/>
    <s v="29-Dec-2026"/>
    <s v="Tuesday"/>
    <s v="Monthly - Tuesday"/>
    <s v="Monthly - Tuesday"/>
    <s v="Month+15 Expiry"/>
    <n v="1364"/>
    <n v="270.16000000000003"/>
    <n v="8.74"/>
  </r>
  <r>
    <s v="17-Sep-2025"/>
    <x v="2"/>
    <s v="Week3-Sep-2025"/>
    <x v="0"/>
    <s v="29-Jun-2027"/>
    <s v="Tuesday"/>
    <s v="Monthly - Tuesday"/>
    <s v="Monthly - Tuesday"/>
    <s v="Month+21 Expiry"/>
    <n v="0"/>
    <n v="0"/>
    <n v="0"/>
  </r>
  <r>
    <s v="17-Sep-2025"/>
    <x v="2"/>
    <s v="Week3-Sep-2025"/>
    <x v="0"/>
    <s v="28-Dec-2027"/>
    <s v="Tuesday"/>
    <s v="Monthly - Tuesday"/>
    <s v="Monthly - Tuesday"/>
    <s v="Month+27 Expiry"/>
    <n v="11"/>
    <n v="2.15"/>
    <n v="0.08"/>
  </r>
  <r>
    <s v="17-Sep-2025"/>
    <x v="2"/>
    <s v="Week3-Sep-2025"/>
    <x v="0"/>
    <s v="27-Jun-2028"/>
    <s v="Tuesday"/>
    <s v="Monthly - Tuesday"/>
    <s v="Monthly - Tuesday"/>
    <s v="Month+33 Expiry"/>
    <n v="0"/>
    <n v="0"/>
    <n v="0"/>
  </r>
  <r>
    <s v="17-Sep-2025"/>
    <x v="2"/>
    <s v="Week3-Sep-2025"/>
    <x v="0"/>
    <s v="26-Dec-2028"/>
    <s v="Tuesday"/>
    <s v="Monthly - Tuesday"/>
    <s v="Monthly - Tuesday"/>
    <s v="Month+39 Expiry"/>
    <n v="213"/>
    <n v="51.94"/>
    <n v="4.05"/>
  </r>
  <r>
    <s v="17-Sep-2025"/>
    <x v="2"/>
    <s v="Week3-Sep-2025"/>
    <x v="0"/>
    <s v="26-Jun-2029"/>
    <s v="Tuesday"/>
    <s v="Monthly - Tuesday"/>
    <s v="Monthly - Tuesday"/>
    <s v="Month+45 Expiry"/>
    <n v="0"/>
    <n v="0"/>
    <n v="0"/>
  </r>
  <r>
    <s v="17-Sep-2025"/>
    <x v="2"/>
    <s v="Week3-Sep-2025"/>
    <x v="0"/>
    <s v="24-Dec-2029"/>
    <s v="Monday"/>
    <s v="Weekly - Monday"/>
    <s v="Weekly - Monday"/>
    <s v="Month+51 Expiry"/>
    <n v="0"/>
    <n v="0"/>
    <n v="0"/>
  </r>
  <r>
    <s v="17-Sep-2025"/>
    <x v="2"/>
    <s v="Week3-Sep-2025"/>
    <x v="0"/>
    <s v="25-Jun-2030"/>
    <s v="Tuesday"/>
    <s v="Monthly - Tuesday"/>
    <s v="Monthly - Tuesday"/>
    <s v="Month+57 Expiry"/>
    <n v="0"/>
    <n v="0"/>
    <n v="0"/>
  </r>
  <r>
    <s v="18-Sep-2025"/>
    <x v="3"/>
    <s v="Week3-Sep-2025"/>
    <x v="0"/>
    <s v="23-Sep-2025"/>
    <s v="Tuesday"/>
    <s v="Weekly - Tuesday"/>
    <s v="Weekly - Tuesday"/>
    <s v="Same Month Expiry"/>
    <n v="48837235"/>
    <n v="9302657.0199999996"/>
    <n v="18870.64"/>
  </r>
  <r>
    <s v="18-Sep-2025"/>
    <x v="3"/>
    <s v="Week3-Sep-2025"/>
    <x v="0"/>
    <s v="30-Sep-2025"/>
    <s v="Tuesday"/>
    <s v="Monthly - Tuesday"/>
    <s v="Monthly - Tuesday"/>
    <s v="Same Month Expiry"/>
    <n v="2866624"/>
    <n v="545723.57999999996"/>
    <n v="1917.03"/>
  </r>
  <r>
    <s v="18-Sep-2025"/>
    <x v="3"/>
    <s v="Week3-Sep-2025"/>
    <x v="0"/>
    <s v="07-Oct-2025"/>
    <s v="Tuesday"/>
    <s v="Weekly - Tuesday"/>
    <s v="Weekly - Tuesday"/>
    <s v="Month+1 Expiry"/>
    <n v="88457"/>
    <n v="16929.150000000001"/>
    <n v="75.73"/>
  </r>
  <r>
    <s v="18-Sep-2025"/>
    <x v="3"/>
    <s v="Week3-Sep-2025"/>
    <x v="0"/>
    <s v="14-Oct-2025"/>
    <s v="Tuesday"/>
    <s v="Weekly - Tuesday"/>
    <s v="Weekly - Tuesday"/>
    <s v="Month+1 Expiry"/>
    <n v="7676"/>
    <n v="1461.9"/>
    <n v="7.99"/>
  </r>
  <r>
    <s v="18-Sep-2025"/>
    <x v="3"/>
    <s v="Week3-Sep-2025"/>
    <x v="0"/>
    <s v="20-Oct-2025"/>
    <s v="Monday"/>
    <s v="Weekly - Monday"/>
    <s v="Weekly - Monday"/>
    <s v="Month+1 Expiry"/>
    <n v="494"/>
    <n v="95.21"/>
    <n v="0.78"/>
  </r>
  <r>
    <s v="18-Sep-2025"/>
    <x v="3"/>
    <s v="Week3-Sep-2025"/>
    <x v="0"/>
    <s v="28-Oct-2025"/>
    <s v="Tuesday"/>
    <s v="Monthly - Tuesday"/>
    <s v="Monthly - Tuesday"/>
    <s v="Month+1 Expiry"/>
    <n v="308709"/>
    <n v="58978.54"/>
    <n v="410.4"/>
  </r>
  <r>
    <s v="18-Sep-2025"/>
    <x v="3"/>
    <s v="Week3-Sep-2025"/>
    <x v="0"/>
    <s v="25-Nov-2025"/>
    <s v="Tuesday"/>
    <s v="Monthly - Tuesday"/>
    <s v="Monthly - Tuesday"/>
    <s v="Month+2 Expiry"/>
    <n v="59149"/>
    <n v="11252.04"/>
    <n v="98.32"/>
  </r>
  <r>
    <s v="18-Sep-2025"/>
    <x v="3"/>
    <s v="Week3-Sep-2025"/>
    <x v="0"/>
    <s v="30-Dec-2025"/>
    <s v="Tuesday"/>
    <s v="Monthly - Tuesday"/>
    <s v="Monthly - Tuesday"/>
    <s v="Month+3 Expiry"/>
    <n v="55098"/>
    <n v="10532.17"/>
    <n v="137.05000000000001"/>
  </r>
  <r>
    <s v="18-Sep-2025"/>
    <x v="3"/>
    <s v="Week3-Sep-2025"/>
    <x v="0"/>
    <s v="31-Mar-2026"/>
    <s v="Tuesday"/>
    <s v="Monthly - Tuesday"/>
    <s v="Monthly - Tuesday"/>
    <s v="Month+6 Expiry"/>
    <n v="12826"/>
    <n v="2471.69"/>
    <n v="41.77"/>
  </r>
  <r>
    <s v="18-Sep-2025"/>
    <x v="3"/>
    <s v="Week3-Sep-2025"/>
    <x v="0"/>
    <s v="30-Jun-2026"/>
    <s v="Tuesday"/>
    <s v="Monthly - Tuesday"/>
    <s v="Monthly - Tuesday"/>
    <s v="Month+9 Expiry"/>
    <n v="391"/>
    <n v="73.59"/>
    <n v="1.52"/>
  </r>
  <r>
    <s v="18-Sep-2025"/>
    <x v="3"/>
    <s v="Week3-Sep-2025"/>
    <x v="0"/>
    <s v="29-Dec-2026"/>
    <s v="Tuesday"/>
    <s v="Monthly - Tuesday"/>
    <s v="Monthly - Tuesday"/>
    <s v="Month+15 Expiry"/>
    <n v="1207"/>
    <n v="243.98"/>
    <n v="7.83"/>
  </r>
  <r>
    <s v="18-Sep-2025"/>
    <x v="3"/>
    <s v="Week3-Sep-2025"/>
    <x v="0"/>
    <s v="29-Jun-2027"/>
    <s v="Tuesday"/>
    <s v="Monthly - Tuesday"/>
    <s v="Monthly - Tuesday"/>
    <s v="Month+21 Expiry"/>
    <n v="0"/>
    <n v="0"/>
    <n v="0"/>
  </r>
  <r>
    <s v="18-Sep-2025"/>
    <x v="3"/>
    <s v="Week3-Sep-2025"/>
    <x v="0"/>
    <s v="28-Dec-2027"/>
    <s v="Tuesday"/>
    <s v="Monthly - Tuesday"/>
    <s v="Monthly - Tuesday"/>
    <s v="Month+27 Expiry"/>
    <n v="8"/>
    <n v="1.56"/>
    <n v="0.06"/>
  </r>
  <r>
    <s v="18-Sep-2025"/>
    <x v="3"/>
    <s v="Week3-Sep-2025"/>
    <x v="0"/>
    <s v="27-Jun-2028"/>
    <s v="Tuesday"/>
    <s v="Monthly - Tuesday"/>
    <s v="Monthly - Tuesday"/>
    <s v="Month+33 Expiry"/>
    <n v="0"/>
    <n v="0"/>
    <n v="0"/>
  </r>
  <r>
    <s v="18-Sep-2025"/>
    <x v="3"/>
    <s v="Week3-Sep-2025"/>
    <x v="0"/>
    <s v="26-Dec-2028"/>
    <s v="Tuesday"/>
    <s v="Monthly - Tuesday"/>
    <s v="Monthly - Tuesday"/>
    <s v="Month+39 Expiry"/>
    <n v="2"/>
    <n v="0.39"/>
    <n v="0.02"/>
  </r>
  <r>
    <s v="18-Sep-2025"/>
    <x v="3"/>
    <s v="Week3-Sep-2025"/>
    <x v="0"/>
    <s v="26-Jun-2029"/>
    <s v="Tuesday"/>
    <s v="Monthly - Tuesday"/>
    <s v="Monthly - Tuesday"/>
    <s v="Month+45 Expiry"/>
    <n v="0"/>
    <n v="0"/>
    <n v="0"/>
  </r>
  <r>
    <s v="18-Sep-2025"/>
    <x v="3"/>
    <s v="Week3-Sep-2025"/>
    <x v="0"/>
    <s v="24-Dec-2029"/>
    <s v="Monday"/>
    <s v="Weekly - Monday"/>
    <s v="Weekly - Monday"/>
    <s v="Month+51 Expiry"/>
    <n v="3"/>
    <n v="0.6"/>
    <n v="0.03"/>
  </r>
  <r>
    <s v="18-Sep-2025"/>
    <x v="3"/>
    <s v="Week3-Sep-2025"/>
    <x v="0"/>
    <s v="25-Jun-2030"/>
    <s v="Tuesday"/>
    <s v="Monthly - Tuesday"/>
    <s v="Monthly - Tuesday"/>
    <s v="Month+57 Expiry"/>
    <n v="0"/>
    <n v="0"/>
    <n v="0"/>
  </r>
  <r>
    <s v="19-Sep-2025"/>
    <x v="4"/>
    <s v="Week3-Sep-2025"/>
    <x v="0"/>
    <s v="23-Sep-2025"/>
    <s v="Tuesday"/>
    <s v="Weekly - Tuesday"/>
    <s v="Weekly - Tuesday"/>
    <s v="Same Month Expiry"/>
    <n v="86606410"/>
    <n v="16486572.52"/>
    <n v="30471.69"/>
  </r>
  <r>
    <s v="19-Sep-2025"/>
    <x v="4"/>
    <s v="Week3-Sep-2025"/>
    <x v="0"/>
    <s v="30-Sep-2025"/>
    <s v="Tuesday"/>
    <s v="Monthly - Tuesday"/>
    <s v="Monthly - Tuesday"/>
    <s v="Same Month Expiry"/>
    <n v="3690004"/>
    <n v="703779.94"/>
    <n v="2373.83"/>
  </r>
  <r>
    <s v="19-Sep-2025"/>
    <x v="4"/>
    <s v="Week3-Sep-2025"/>
    <x v="0"/>
    <s v="07-Oct-2025"/>
    <s v="Tuesday"/>
    <s v="Weekly - Tuesday"/>
    <s v="Weekly - Tuesday"/>
    <s v="Month+1 Expiry"/>
    <n v="136603"/>
    <n v="26147.58"/>
    <n v="112.69"/>
  </r>
  <r>
    <s v="19-Sep-2025"/>
    <x v="4"/>
    <s v="Week3-Sep-2025"/>
    <x v="0"/>
    <s v="14-Oct-2025"/>
    <s v="Tuesday"/>
    <s v="Weekly - Tuesday"/>
    <s v="Weekly - Tuesday"/>
    <s v="Month+1 Expiry"/>
    <n v="9002"/>
    <n v="1731.6"/>
    <n v="10.45"/>
  </r>
  <r>
    <s v="19-Sep-2025"/>
    <x v="4"/>
    <s v="Week3-Sep-2025"/>
    <x v="0"/>
    <s v="20-Oct-2025"/>
    <s v="Monday"/>
    <s v="Weekly - Monday"/>
    <s v="Weekly - Monday"/>
    <s v="Month+1 Expiry"/>
    <n v="1736"/>
    <n v="339.21"/>
    <n v="1.79"/>
  </r>
  <r>
    <s v="19-Sep-2025"/>
    <x v="4"/>
    <s v="Week3-Sep-2025"/>
    <x v="0"/>
    <s v="28-Oct-2025"/>
    <s v="Tuesday"/>
    <s v="Monthly - Tuesday"/>
    <s v="Monthly - Tuesday"/>
    <s v="Month+1 Expiry"/>
    <n v="282571"/>
    <n v="53999.81"/>
    <n v="371.87"/>
  </r>
  <r>
    <s v="19-Sep-2025"/>
    <x v="4"/>
    <s v="Week3-Sep-2025"/>
    <x v="0"/>
    <s v="25-Nov-2025"/>
    <s v="Tuesday"/>
    <s v="Monthly - Tuesday"/>
    <s v="Monthly - Tuesday"/>
    <s v="Month+2 Expiry"/>
    <n v="41072"/>
    <n v="7812.9"/>
    <n v="68.33"/>
  </r>
  <r>
    <s v="19-Sep-2025"/>
    <x v="4"/>
    <s v="Week3-Sep-2025"/>
    <x v="0"/>
    <s v="30-Dec-2025"/>
    <s v="Tuesday"/>
    <s v="Monthly - Tuesday"/>
    <s v="Monthly - Tuesday"/>
    <s v="Month+3 Expiry"/>
    <n v="40537"/>
    <n v="7634.44"/>
    <n v="94.1"/>
  </r>
  <r>
    <s v="19-Sep-2025"/>
    <x v="4"/>
    <s v="Week3-Sep-2025"/>
    <x v="0"/>
    <s v="31-Mar-2026"/>
    <s v="Tuesday"/>
    <s v="Monthly - Tuesday"/>
    <s v="Monthly - Tuesday"/>
    <s v="Month+6 Expiry"/>
    <n v="8262"/>
    <n v="1564.45"/>
    <n v="25.92"/>
  </r>
  <r>
    <s v="19-Sep-2025"/>
    <x v="4"/>
    <s v="Week3-Sep-2025"/>
    <x v="0"/>
    <s v="30-Jun-2026"/>
    <s v="Tuesday"/>
    <s v="Monthly - Tuesday"/>
    <s v="Monthly - Tuesday"/>
    <s v="Month+9 Expiry"/>
    <n v="243"/>
    <n v="45.88"/>
    <n v="0.78"/>
  </r>
  <r>
    <s v="19-Sep-2025"/>
    <x v="4"/>
    <s v="Week3-Sep-2025"/>
    <x v="0"/>
    <s v="29-Dec-2026"/>
    <s v="Tuesday"/>
    <s v="Monthly - Tuesday"/>
    <s v="Monthly - Tuesday"/>
    <s v="Month+15 Expiry"/>
    <n v="895"/>
    <n v="174.86"/>
    <n v="5.29"/>
  </r>
  <r>
    <s v="19-Sep-2025"/>
    <x v="4"/>
    <s v="Week3-Sep-2025"/>
    <x v="0"/>
    <s v="29-Jun-2027"/>
    <s v="Tuesday"/>
    <s v="Monthly - Tuesday"/>
    <s v="Monthly - Tuesday"/>
    <s v="Month+21 Expiry"/>
    <n v="0"/>
    <n v="0"/>
    <n v="0"/>
  </r>
  <r>
    <s v="19-Sep-2025"/>
    <x v="4"/>
    <s v="Week3-Sep-2025"/>
    <x v="0"/>
    <s v="28-Dec-2027"/>
    <s v="Tuesday"/>
    <s v="Monthly - Tuesday"/>
    <s v="Monthly - Tuesday"/>
    <s v="Month+27 Expiry"/>
    <n v="3"/>
    <n v="0.61"/>
    <n v="0.03"/>
  </r>
  <r>
    <s v="19-Sep-2025"/>
    <x v="4"/>
    <s v="Week3-Sep-2025"/>
    <x v="0"/>
    <s v="27-Jun-2028"/>
    <s v="Tuesday"/>
    <s v="Monthly - Tuesday"/>
    <s v="Monthly - Tuesday"/>
    <s v="Month+33 Expiry"/>
    <n v="0"/>
    <n v="0"/>
    <n v="0"/>
  </r>
  <r>
    <s v="19-Sep-2025"/>
    <x v="4"/>
    <s v="Week3-Sep-2025"/>
    <x v="0"/>
    <s v="26-Dec-2028"/>
    <s v="Tuesday"/>
    <s v="Monthly - Tuesday"/>
    <s v="Monthly - Tuesday"/>
    <s v="Month+39 Expiry"/>
    <n v="1"/>
    <n v="0.2"/>
    <n v="0.01"/>
  </r>
  <r>
    <s v="19-Sep-2025"/>
    <x v="4"/>
    <s v="Week3-Sep-2025"/>
    <x v="0"/>
    <s v="26-Jun-2029"/>
    <s v="Tuesday"/>
    <s v="Monthly - Tuesday"/>
    <s v="Monthly - Tuesday"/>
    <s v="Month+45 Expiry"/>
    <n v="1"/>
    <n v="0.2"/>
    <n v="0.01"/>
  </r>
  <r>
    <s v="19-Sep-2025"/>
    <x v="4"/>
    <s v="Week3-Sep-2025"/>
    <x v="0"/>
    <s v="24-Dec-2029"/>
    <s v="Monday"/>
    <s v="Weekly - Monday"/>
    <s v="Weekly - Monday"/>
    <s v="Month+51 Expiry"/>
    <n v="1"/>
    <n v="0.2"/>
    <n v="0.01"/>
  </r>
  <r>
    <s v="19-Sep-2025"/>
    <x v="4"/>
    <s v="Week3-Sep-2025"/>
    <x v="0"/>
    <s v="25-Jun-2030"/>
    <s v="Tuesday"/>
    <s v="Monthly - Tuesday"/>
    <s v="Monthly - Tuesday"/>
    <s v="Month+57 Expiry"/>
    <n v="0"/>
    <n v="0"/>
    <n v="0"/>
  </r>
  <r>
    <s v="22-Sep-2025"/>
    <x v="0"/>
    <s v="Week4-Sep-2025"/>
    <x v="0"/>
    <s v="23-Sep-2025"/>
    <s v="Tuesday"/>
    <s v="Weekly - Tuesday"/>
    <s v="Weekly - Tuesday"/>
    <s v="Same Month Expiry"/>
    <n v="121193325"/>
    <n v="23010819.300000001"/>
    <n v="32109.91"/>
  </r>
  <r>
    <s v="22-Sep-2025"/>
    <x v="0"/>
    <s v="Week4-Sep-2025"/>
    <x v="0"/>
    <s v="30-Sep-2025"/>
    <s v="Tuesday"/>
    <s v="Monthly - Tuesday"/>
    <s v="Monthly - Tuesday"/>
    <s v="Same Month Expiry"/>
    <n v="6090352"/>
    <n v="1160754.92"/>
    <n v="3107.46"/>
  </r>
  <r>
    <s v="22-Sep-2025"/>
    <x v="0"/>
    <s v="Week4-Sep-2025"/>
    <x v="0"/>
    <s v="07-Oct-2025"/>
    <s v="Tuesday"/>
    <s v="Weekly - Tuesday"/>
    <s v="Weekly - Tuesday"/>
    <s v="Month+1 Expiry"/>
    <n v="253425"/>
    <n v="48371.67"/>
    <n v="210.78"/>
  </r>
  <r>
    <s v="22-Sep-2025"/>
    <x v="0"/>
    <s v="Week4-Sep-2025"/>
    <x v="0"/>
    <s v="14-Oct-2025"/>
    <s v="Tuesday"/>
    <s v="Weekly - Tuesday"/>
    <s v="Weekly - Tuesday"/>
    <s v="Month+1 Expiry"/>
    <n v="18706"/>
    <n v="3585.36"/>
    <n v="23.33"/>
  </r>
  <r>
    <s v="22-Sep-2025"/>
    <x v="0"/>
    <s v="Week4-Sep-2025"/>
    <x v="0"/>
    <s v="20-Oct-2025"/>
    <s v="Monday"/>
    <s v="Weekly - Monday"/>
    <s v="Weekly - Monday"/>
    <s v="Month+1 Expiry"/>
    <n v="2965"/>
    <n v="570.32000000000005"/>
    <n v="3.13"/>
  </r>
  <r>
    <s v="22-Sep-2025"/>
    <x v="0"/>
    <s v="Week4-Sep-2025"/>
    <x v="0"/>
    <s v="28-Oct-2025"/>
    <s v="Tuesday"/>
    <s v="Monthly - Tuesday"/>
    <s v="Monthly - Tuesday"/>
    <s v="Month+1 Expiry"/>
    <n v="363209"/>
    <n v="69528.600000000006"/>
    <n v="437.11"/>
  </r>
  <r>
    <s v="22-Sep-2025"/>
    <x v="0"/>
    <s v="Week4-Sep-2025"/>
    <x v="0"/>
    <s v="25-Nov-2025"/>
    <s v="Tuesday"/>
    <s v="Monthly - Tuesday"/>
    <s v="Monthly - Tuesday"/>
    <s v="Month+2 Expiry"/>
    <n v="48895"/>
    <n v="9336.75"/>
    <n v="69.64"/>
  </r>
  <r>
    <s v="22-Sep-2025"/>
    <x v="0"/>
    <s v="Week4-Sep-2025"/>
    <x v="0"/>
    <s v="30-Dec-2025"/>
    <s v="Tuesday"/>
    <s v="Monthly - Tuesday"/>
    <s v="Monthly - Tuesday"/>
    <s v="Month+3 Expiry"/>
    <n v="49161"/>
    <n v="9312.0300000000007"/>
    <n v="179.76"/>
  </r>
  <r>
    <s v="22-Sep-2025"/>
    <x v="0"/>
    <s v="Week4-Sep-2025"/>
    <x v="0"/>
    <s v="31-Mar-2026"/>
    <s v="Tuesday"/>
    <s v="Monthly - Tuesday"/>
    <s v="Monthly - Tuesday"/>
    <s v="Month+6 Expiry"/>
    <n v="11515"/>
    <n v="2221.5700000000002"/>
    <n v="50.67"/>
  </r>
  <r>
    <s v="22-Sep-2025"/>
    <x v="0"/>
    <s v="Week4-Sep-2025"/>
    <x v="0"/>
    <s v="30-Jun-2026"/>
    <s v="Tuesday"/>
    <s v="Monthly - Tuesday"/>
    <s v="Monthly - Tuesday"/>
    <s v="Month+9 Expiry"/>
    <n v="243"/>
    <n v="46.14"/>
    <n v="0.74"/>
  </r>
  <r>
    <s v="22-Sep-2025"/>
    <x v="0"/>
    <s v="Week4-Sep-2025"/>
    <x v="0"/>
    <s v="29-Dec-2026"/>
    <s v="Tuesday"/>
    <s v="Monthly - Tuesday"/>
    <s v="Monthly - Tuesday"/>
    <s v="Month+15 Expiry"/>
    <n v="628"/>
    <n v="124.47"/>
    <n v="4.49"/>
  </r>
  <r>
    <s v="22-Sep-2025"/>
    <x v="0"/>
    <s v="Week4-Sep-2025"/>
    <x v="0"/>
    <s v="29-Jun-2027"/>
    <s v="Tuesday"/>
    <s v="Monthly - Tuesday"/>
    <s v="Monthly - Tuesday"/>
    <s v="Month+21 Expiry"/>
    <n v="0"/>
    <n v="0"/>
    <n v="0"/>
  </r>
  <r>
    <s v="22-Sep-2025"/>
    <x v="0"/>
    <s v="Week4-Sep-2025"/>
    <x v="0"/>
    <s v="28-Dec-2027"/>
    <s v="Tuesday"/>
    <s v="Monthly - Tuesday"/>
    <s v="Monthly - Tuesday"/>
    <s v="Month+27 Expiry"/>
    <n v="0"/>
    <n v="0"/>
    <n v="0"/>
  </r>
  <r>
    <s v="22-Sep-2025"/>
    <x v="0"/>
    <s v="Week4-Sep-2025"/>
    <x v="0"/>
    <s v="27-Jun-2028"/>
    <s v="Tuesday"/>
    <s v="Monthly - Tuesday"/>
    <s v="Monthly - Tuesday"/>
    <s v="Month+33 Expiry"/>
    <n v="0"/>
    <n v="0"/>
    <n v="0"/>
  </r>
  <r>
    <s v="22-Sep-2025"/>
    <x v="0"/>
    <s v="Week4-Sep-2025"/>
    <x v="0"/>
    <s v="26-Dec-2028"/>
    <s v="Tuesday"/>
    <s v="Monthly - Tuesday"/>
    <s v="Monthly - Tuesday"/>
    <s v="Month+39 Expiry"/>
    <n v="0"/>
    <n v="0"/>
    <n v="0"/>
  </r>
  <r>
    <s v="22-Sep-2025"/>
    <x v="0"/>
    <s v="Week4-Sep-2025"/>
    <x v="0"/>
    <s v="26-Jun-2029"/>
    <s v="Tuesday"/>
    <s v="Monthly - Tuesday"/>
    <s v="Monthly - Tuesday"/>
    <s v="Month+45 Expiry"/>
    <n v="0"/>
    <n v="0"/>
    <n v="0"/>
  </r>
  <r>
    <s v="22-Sep-2025"/>
    <x v="0"/>
    <s v="Week4-Sep-2025"/>
    <x v="0"/>
    <s v="24-Dec-2029"/>
    <s v="Monday"/>
    <s v="Weekly - Monday"/>
    <s v="Weekly - Monday"/>
    <s v="Month+51 Expiry"/>
    <n v="0"/>
    <n v="0"/>
    <n v="0"/>
  </r>
  <r>
    <s v="22-Sep-2025"/>
    <x v="0"/>
    <s v="Week4-Sep-2025"/>
    <x v="0"/>
    <s v="25-Jun-2030"/>
    <s v="Tuesday"/>
    <s v="Monthly - Tuesday"/>
    <s v="Monthly - Tuesday"/>
    <s v="Month+57 Expiry"/>
    <n v="0"/>
    <n v="0"/>
    <n v="0"/>
  </r>
  <r>
    <s v="23-Sep-2025"/>
    <x v="1"/>
    <s v="Week4-Sep-2025"/>
    <x v="0"/>
    <s v="23-Sep-2025"/>
    <s v="Tuesday"/>
    <s v="Weekly - Tuesday"/>
    <s v="Weekly - Tuesday"/>
    <s v="Same Month Expiry"/>
    <n v="308437541"/>
    <n v="58359516.119999997"/>
    <n v="49783.65"/>
  </r>
  <r>
    <s v="23-Sep-2025"/>
    <x v="1"/>
    <s v="Week4-Sep-2025"/>
    <x v="0"/>
    <s v="30-Sep-2025"/>
    <s v="Tuesday"/>
    <s v="Monthly - Tuesday"/>
    <s v="Monthly - Tuesday"/>
    <s v="Same Month Expiry"/>
    <n v="11870233"/>
    <n v="2253980.29"/>
    <n v="6388.94"/>
  </r>
  <r>
    <s v="23-Sep-2025"/>
    <x v="1"/>
    <s v="Week4-Sep-2025"/>
    <x v="0"/>
    <s v="07-Oct-2025"/>
    <s v="Tuesday"/>
    <s v="Weekly - Tuesday"/>
    <s v="Weekly - Tuesday"/>
    <s v="Month+1 Expiry"/>
    <n v="470301"/>
    <n v="89567.1"/>
    <n v="411.61"/>
  </r>
  <r>
    <s v="23-Sep-2025"/>
    <x v="1"/>
    <s v="Week4-Sep-2025"/>
    <x v="0"/>
    <s v="14-Oct-2025"/>
    <s v="Tuesday"/>
    <s v="Weekly - Tuesday"/>
    <s v="Weekly - Tuesday"/>
    <s v="Month+1 Expiry"/>
    <n v="27345"/>
    <n v="5229.03"/>
    <n v="27.85"/>
  </r>
  <r>
    <s v="23-Sep-2025"/>
    <x v="1"/>
    <s v="Week4-Sep-2025"/>
    <x v="0"/>
    <s v="20-Oct-2025"/>
    <s v="Monday"/>
    <s v="Weekly - Monday"/>
    <s v="Weekly - Monday"/>
    <s v="Month+1 Expiry"/>
    <n v="3652"/>
    <n v="703.58"/>
    <n v="4.59"/>
  </r>
  <r>
    <s v="23-Sep-2025"/>
    <x v="1"/>
    <s v="Week4-Sep-2025"/>
    <x v="0"/>
    <s v="28-Oct-2025"/>
    <s v="Tuesday"/>
    <s v="Monthly - Tuesday"/>
    <s v="Monthly - Tuesday"/>
    <s v="Month+1 Expiry"/>
    <n v="488602"/>
    <n v="93178.76"/>
    <n v="668.91"/>
  </r>
  <r>
    <s v="23-Sep-2025"/>
    <x v="1"/>
    <s v="Week4-Sep-2025"/>
    <x v="0"/>
    <s v="25-Nov-2025"/>
    <s v="Tuesday"/>
    <s v="Monthly - Tuesday"/>
    <s v="Monthly - Tuesday"/>
    <s v="Month+2 Expiry"/>
    <n v="51888"/>
    <n v="9905.61"/>
    <n v="76.67"/>
  </r>
  <r>
    <s v="23-Sep-2025"/>
    <x v="1"/>
    <s v="Week4-Sep-2025"/>
    <x v="0"/>
    <s v="30-Dec-2025"/>
    <s v="Tuesday"/>
    <s v="Monthly - Tuesday"/>
    <s v="Monthly - Tuesday"/>
    <s v="Month+3 Expiry"/>
    <n v="48230"/>
    <n v="9286.9699999999993"/>
    <n v="183.91"/>
  </r>
  <r>
    <s v="23-Sep-2025"/>
    <x v="1"/>
    <s v="Week4-Sep-2025"/>
    <x v="0"/>
    <s v="31-Mar-2026"/>
    <s v="Tuesday"/>
    <s v="Monthly - Tuesday"/>
    <s v="Monthly - Tuesday"/>
    <s v="Month+6 Expiry"/>
    <n v="14337"/>
    <n v="2784.03"/>
    <n v="60.95"/>
  </r>
  <r>
    <s v="23-Sep-2025"/>
    <x v="1"/>
    <s v="Week4-Sep-2025"/>
    <x v="0"/>
    <s v="30-Jun-2026"/>
    <s v="Tuesday"/>
    <s v="Monthly - Tuesday"/>
    <s v="Monthly - Tuesday"/>
    <s v="Month+9 Expiry"/>
    <n v="240"/>
    <n v="45.04"/>
    <n v="0.78"/>
  </r>
  <r>
    <s v="23-Sep-2025"/>
    <x v="1"/>
    <s v="Week4-Sep-2025"/>
    <x v="0"/>
    <s v="29-Dec-2026"/>
    <s v="Tuesday"/>
    <s v="Monthly - Tuesday"/>
    <s v="Monthly - Tuesday"/>
    <s v="Month+15 Expiry"/>
    <n v="657"/>
    <n v="132.21"/>
    <n v="4.5999999999999996"/>
  </r>
  <r>
    <s v="23-Sep-2025"/>
    <x v="1"/>
    <s v="Week4-Sep-2025"/>
    <x v="0"/>
    <s v="29-Jun-2027"/>
    <s v="Tuesday"/>
    <s v="Monthly - Tuesday"/>
    <s v="Monthly - Tuesday"/>
    <s v="Month+21 Expiry"/>
    <n v="2"/>
    <n v="0.32"/>
    <n v="0"/>
  </r>
  <r>
    <s v="23-Sep-2025"/>
    <x v="1"/>
    <s v="Week4-Sep-2025"/>
    <x v="0"/>
    <s v="28-Dec-2027"/>
    <s v="Tuesday"/>
    <s v="Monthly - Tuesday"/>
    <s v="Monthly - Tuesday"/>
    <s v="Month+27 Expiry"/>
    <n v="2"/>
    <n v="0.37"/>
    <n v="0.01"/>
  </r>
  <r>
    <s v="23-Sep-2025"/>
    <x v="1"/>
    <s v="Week4-Sep-2025"/>
    <x v="0"/>
    <s v="27-Jun-2028"/>
    <s v="Tuesday"/>
    <s v="Monthly - Tuesday"/>
    <s v="Monthly - Tuesday"/>
    <s v="Month+33 Expiry"/>
    <n v="0"/>
    <n v="0"/>
    <n v="0"/>
  </r>
  <r>
    <s v="23-Sep-2025"/>
    <x v="1"/>
    <s v="Week4-Sep-2025"/>
    <x v="0"/>
    <s v="26-Dec-2028"/>
    <s v="Tuesday"/>
    <s v="Monthly - Tuesday"/>
    <s v="Monthly - Tuesday"/>
    <s v="Month+39 Expiry"/>
    <n v="0"/>
    <n v="0"/>
    <n v="0"/>
  </r>
  <r>
    <s v="23-Sep-2025"/>
    <x v="1"/>
    <s v="Week4-Sep-2025"/>
    <x v="0"/>
    <s v="26-Jun-2029"/>
    <s v="Tuesday"/>
    <s v="Monthly - Tuesday"/>
    <s v="Monthly - Tuesday"/>
    <s v="Month+45 Expiry"/>
    <n v="0"/>
    <n v="0"/>
    <n v="0"/>
  </r>
  <r>
    <s v="23-Sep-2025"/>
    <x v="1"/>
    <s v="Week4-Sep-2025"/>
    <x v="0"/>
    <s v="24-Dec-2029"/>
    <s v="Monday"/>
    <s v="Weekly - Monday"/>
    <s v="Weekly - Monday"/>
    <s v="Month+51 Expiry"/>
    <n v="0"/>
    <n v="0"/>
    <n v="0"/>
  </r>
  <r>
    <s v="23-Sep-2025"/>
    <x v="1"/>
    <s v="Week4-Sep-2025"/>
    <x v="0"/>
    <s v="25-Jun-2030"/>
    <s v="Tuesday"/>
    <s v="Monthly - Tuesday"/>
    <s v="Monthly - Tuesday"/>
    <s v="Month+57 Expiry"/>
    <n v="0"/>
    <n v="0"/>
    <n v="0"/>
  </r>
  <r>
    <s v="24-Sep-2025"/>
    <x v="2"/>
    <s v="Week4-Sep-2025"/>
    <x v="0"/>
    <s v="30-Sep-2025"/>
    <s v="Tuesday"/>
    <s v="Monthly - Tuesday"/>
    <s v="MDAW - Tuesday"/>
    <s v="Same Month Expiry"/>
    <n v="52030968"/>
    <n v="9838488.4600000009"/>
    <n v="26206.799999999999"/>
  </r>
  <r>
    <s v="24-Sep-2025"/>
    <x v="2"/>
    <s v="Week4-Sep-2025"/>
    <x v="0"/>
    <s v="07-Oct-2025"/>
    <s v="Tuesday"/>
    <s v="Weekly - Tuesday"/>
    <s v="Weekly - Tuesday"/>
    <s v="Month+1 Expiry"/>
    <n v="1304519"/>
    <n v="247433.13"/>
    <n v="990.6"/>
  </r>
  <r>
    <s v="24-Sep-2025"/>
    <x v="2"/>
    <s v="Week4-Sep-2025"/>
    <x v="0"/>
    <s v="14-Oct-2025"/>
    <s v="Tuesday"/>
    <s v="Weekly - Tuesday"/>
    <s v="Weekly - Tuesday"/>
    <s v="Month+1 Expiry"/>
    <n v="67639"/>
    <n v="12892.05"/>
    <n v="66.42"/>
  </r>
  <r>
    <s v="24-Sep-2025"/>
    <x v="2"/>
    <s v="Week4-Sep-2025"/>
    <x v="0"/>
    <s v="20-Oct-2025"/>
    <s v="Monday"/>
    <s v="Weekly - Monday"/>
    <s v="Weekly - Monday"/>
    <s v="Month+1 Expiry"/>
    <n v="8196"/>
    <n v="1573.87"/>
    <n v="9.15"/>
  </r>
  <r>
    <s v="24-Sep-2025"/>
    <x v="2"/>
    <s v="Week4-Sep-2025"/>
    <x v="0"/>
    <s v="28-Oct-2025"/>
    <s v="Tuesday"/>
    <s v="Monthly - Tuesday"/>
    <s v="Monthly - Tuesday"/>
    <s v="Month+1 Expiry"/>
    <n v="512105"/>
    <n v="97514.28"/>
    <n v="715.95"/>
  </r>
  <r>
    <s v="24-Sep-2025"/>
    <x v="2"/>
    <s v="Week4-Sep-2025"/>
    <x v="0"/>
    <s v="04-Nov-2025"/>
    <s v="Tuesday"/>
    <s v="Weekly - Tuesday"/>
    <s v="Weekly - Tuesday"/>
    <s v="Month+2 Expiry"/>
    <n v="206"/>
    <n v="40.14"/>
    <n v="0.21"/>
  </r>
  <r>
    <s v="24-Sep-2025"/>
    <x v="2"/>
    <s v="Week4-Sep-2025"/>
    <x v="0"/>
    <s v="25-Nov-2025"/>
    <s v="Tuesday"/>
    <s v="Monthly - Tuesday"/>
    <s v="Monthly - Tuesday"/>
    <s v="Month+2 Expiry"/>
    <n v="46704"/>
    <n v="8955.39"/>
    <n v="67.34"/>
  </r>
  <r>
    <s v="24-Sep-2025"/>
    <x v="2"/>
    <s v="Week4-Sep-2025"/>
    <x v="0"/>
    <s v="30-Dec-2025"/>
    <s v="Tuesday"/>
    <s v="Monthly - Tuesday"/>
    <s v="Monthly - Tuesday"/>
    <s v="Month+3 Expiry"/>
    <n v="48983"/>
    <n v="9503.2000000000007"/>
    <n v="196.82"/>
  </r>
  <r>
    <s v="24-Sep-2025"/>
    <x v="2"/>
    <s v="Week4-Sep-2025"/>
    <x v="0"/>
    <s v="31-Mar-2026"/>
    <s v="Tuesday"/>
    <s v="Monthly - Tuesday"/>
    <s v="Monthly - Tuesday"/>
    <s v="Month+6 Expiry"/>
    <n v="12196"/>
    <n v="2448.23"/>
    <n v="49.75"/>
  </r>
  <r>
    <s v="24-Sep-2025"/>
    <x v="2"/>
    <s v="Week4-Sep-2025"/>
    <x v="0"/>
    <s v="30-Jun-2026"/>
    <s v="Tuesday"/>
    <s v="Monthly - Tuesday"/>
    <s v="Monthly - Tuesday"/>
    <s v="Month+9 Expiry"/>
    <n v="169"/>
    <n v="32.47"/>
    <n v="0.7"/>
  </r>
  <r>
    <s v="24-Sep-2025"/>
    <x v="2"/>
    <s v="Week4-Sep-2025"/>
    <x v="0"/>
    <s v="29-Dec-2026"/>
    <s v="Tuesday"/>
    <s v="Monthly - Tuesday"/>
    <s v="Monthly - Tuesday"/>
    <s v="Month+15 Expiry"/>
    <n v="986"/>
    <n v="197.23"/>
    <n v="7.35"/>
  </r>
  <r>
    <s v="24-Sep-2025"/>
    <x v="2"/>
    <s v="Week4-Sep-2025"/>
    <x v="0"/>
    <s v="29-Jun-2027"/>
    <s v="Tuesday"/>
    <s v="Monthly - Tuesday"/>
    <s v="Monthly - Tuesday"/>
    <s v="Month+21 Expiry"/>
    <n v="0"/>
    <n v="0"/>
    <n v="0"/>
  </r>
  <r>
    <s v="24-Sep-2025"/>
    <x v="2"/>
    <s v="Week4-Sep-2025"/>
    <x v="0"/>
    <s v="28-Dec-2027"/>
    <s v="Tuesday"/>
    <s v="Monthly - Tuesday"/>
    <s v="Monthly - Tuesday"/>
    <s v="Month+27 Expiry"/>
    <n v="5"/>
    <n v="0.96"/>
    <n v="0.03"/>
  </r>
  <r>
    <s v="24-Sep-2025"/>
    <x v="2"/>
    <s v="Week4-Sep-2025"/>
    <x v="0"/>
    <s v="27-Jun-2028"/>
    <s v="Tuesday"/>
    <s v="Monthly - Tuesday"/>
    <s v="Monthly - Tuesday"/>
    <s v="Month+33 Expiry"/>
    <n v="0"/>
    <n v="0"/>
    <n v="0"/>
  </r>
  <r>
    <s v="24-Sep-2025"/>
    <x v="2"/>
    <s v="Week4-Sep-2025"/>
    <x v="0"/>
    <s v="26-Dec-2028"/>
    <s v="Tuesday"/>
    <s v="Monthly - Tuesday"/>
    <s v="Monthly - Tuesday"/>
    <s v="Month+39 Expiry"/>
    <n v="1"/>
    <n v="0.2"/>
    <n v="0.01"/>
  </r>
  <r>
    <s v="24-Sep-2025"/>
    <x v="2"/>
    <s v="Week4-Sep-2025"/>
    <x v="0"/>
    <s v="26-Jun-2029"/>
    <s v="Tuesday"/>
    <s v="Monthly - Tuesday"/>
    <s v="Monthly - Tuesday"/>
    <s v="Month+45 Expiry"/>
    <n v="0"/>
    <n v="0"/>
    <n v="0"/>
  </r>
  <r>
    <s v="24-Sep-2025"/>
    <x v="2"/>
    <s v="Week4-Sep-2025"/>
    <x v="0"/>
    <s v="24-Dec-2029"/>
    <s v="Monday"/>
    <s v="Weekly - Monday"/>
    <s v="Weekly - Monday"/>
    <s v="Month+51 Expiry"/>
    <n v="0"/>
    <n v="0"/>
    <n v="0"/>
  </r>
  <r>
    <s v="24-Sep-2025"/>
    <x v="2"/>
    <s v="Week4-Sep-2025"/>
    <x v="0"/>
    <s v="25-Jun-2030"/>
    <s v="Tuesday"/>
    <s v="Monthly - Tuesday"/>
    <s v="Monthly - Tuesday"/>
    <s v="Month+57 Expiry"/>
    <n v="0"/>
    <n v="0"/>
    <n v="0"/>
  </r>
  <r>
    <s v="25-Sep-2025"/>
    <x v="3"/>
    <s v="Week4-Sep-2025"/>
    <x v="0"/>
    <s v="30-Sep-2025"/>
    <s v="Tuesday"/>
    <s v="Monthly - Tuesday"/>
    <s v="MDAW - Tuesday"/>
    <s v="Same Month Expiry"/>
    <n v="53729065"/>
    <n v="10140836.960000001"/>
    <n v="23245.34"/>
  </r>
  <r>
    <s v="25-Sep-2025"/>
    <x v="3"/>
    <s v="Week4-Sep-2025"/>
    <x v="0"/>
    <s v="07-Oct-2025"/>
    <s v="Tuesday"/>
    <s v="Weekly - Tuesday"/>
    <s v="Weekly - Tuesday"/>
    <s v="Month+1 Expiry"/>
    <n v="1747807"/>
    <n v="330744.46999999997"/>
    <n v="1327.47"/>
  </r>
  <r>
    <s v="25-Sep-2025"/>
    <x v="3"/>
    <s v="Week4-Sep-2025"/>
    <x v="0"/>
    <s v="14-Oct-2025"/>
    <s v="Tuesday"/>
    <s v="Weekly - Tuesday"/>
    <s v="Weekly - Tuesday"/>
    <s v="Month+1 Expiry"/>
    <n v="95792"/>
    <n v="18162.5"/>
    <n v="94.08"/>
  </r>
  <r>
    <s v="25-Sep-2025"/>
    <x v="3"/>
    <s v="Week4-Sep-2025"/>
    <x v="0"/>
    <s v="20-Oct-2025"/>
    <s v="Monday"/>
    <s v="Weekly - Monday"/>
    <s v="Weekly - Monday"/>
    <s v="Month+1 Expiry"/>
    <n v="12189"/>
    <n v="2330.71"/>
    <n v="12.61"/>
  </r>
  <r>
    <s v="25-Sep-2025"/>
    <x v="3"/>
    <s v="Week4-Sep-2025"/>
    <x v="0"/>
    <s v="28-Oct-2025"/>
    <s v="Tuesday"/>
    <s v="Monthly - Tuesday"/>
    <s v="Monthly - Tuesday"/>
    <s v="Month+1 Expiry"/>
    <n v="630100"/>
    <n v="120014.32"/>
    <n v="831.69"/>
  </r>
  <r>
    <s v="25-Sep-2025"/>
    <x v="3"/>
    <s v="Week4-Sep-2025"/>
    <x v="0"/>
    <s v="04-Nov-2025"/>
    <s v="Tuesday"/>
    <s v="Weekly - Tuesday"/>
    <s v="Weekly - Tuesday"/>
    <s v="Month+2 Expiry"/>
    <n v="189"/>
    <n v="36.6"/>
    <n v="0.22"/>
  </r>
  <r>
    <s v="25-Sep-2025"/>
    <x v="3"/>
    <s v="Week4-Sep-2025"/>
    <x v="0"/>
    <s v="25-Nov-2025"/>
    <s v="Tuesday"/>
    <s v="Monthly - Tuesday"/>
    <s v="Monthly - Tuesday"/>
    <s v="Month+2 Expiry"/>
    <n v="63297"/>
    <n v="12117.14"/>
    <n v="105.87"/>
  </r>
  <r>
    <s v="25-Sep-2025"/>
    <x v="3"/>
    <s v="Week4-Sep-2025"/>
    <x v="0"/>
    <s v="30-Dec-2025"/>
    <s v="Tuesday"/>
    <s v="Monthly - Tuesday"/>
    <s v="Monthly - Tuesday"/>
    <s v="Month+3 Expiry"/>
    <n v="73200"/>
    <n v="14096.67"/>
    <n v="312.23"/>
  </r>
  <r>
    <s v="25-Sep-2025"/>
    <x v="3"/>
    <s v="Week4-Sep-2025"/>
    <x v="0"/>
    <s v="31-Mar-2026"/>
    <s v="Tuesday"/>
    <s v="Monthly - Tuesday"/>
    <s v="Monthly - Tuesday"/>
    <s v="Month+6 Expiry"/>
    <n v="14701"/>
    <n v="2895.32"/>
    <n v="58.39"/>
  </r>
  <r>
    <s v="25-Sep-2025"/>
    <x v="3"/>
    <s v="Week4-Sep-2025"/>
    <x v="0"/>
    <s v="30-Jun-2026"/>
    <s v="Tuesday"/>
    <s v="Monthly - Tuesday"/>
    <s v="Monthly - Tuesday"/>
    <s v="Month+9 Expiry"/>
    <n v="592"/>
    <n v="110.68"/>
    <n v="2.06"/>
  </r>
  <r>
    <s v="25-Sep-2025"/>
    <x v="3"/>
    <s v="Week4-Sep-2025"/>
    <x v="0"/>
    <s v="29-Dec-2026"/>
    <s v="Tuesday"/>
    <s v="Monthly - Tuesday"/>
    <s v="Monthly - Tuesday"/>
    <s v="Month+15 Expiry"/>
    <n v="1576"/>
    <n v="298.36"/>
    <n v="8.2100000000000009"/>
  </r>
  <r>
    <s v="25-Sep-2025"/>
    <x v="3"/>
    <s v="Week4-Sep-2025"/>
    <x v="0"/>
    <s v="29-Jun-2027"/>
    <s v="Tuesday"/>
    <s v="Monthly - Tuesday"/>
    <s v="Monthly - Tuesday"/>
    <s v="Month+21 Expiry"/>
    <n v="0"/>
    <n v="0"/>
    <n v="0"/>
  </r>
  <r>
    <s v="25-Sep-2025"/>
    <x v="3"/>
    <s v="Week4-Sep-2025"/>
    <x v="0"/>
    <s v="28-Dec-2027"/>
    <s v="Tuesday"/>
    <s v="Monthly - Tuesday"/>
    <s v="Monthly - Tuesday"/>
    <s v="Month+27 Expiry"/>
    <n v="9"/>
    <n v="1.65"/>
    <n v="0.05"/>
  </r>
  <r>
    <s v="25-Sep-2025"/>
    <x v="3"/>
    <s v="Week4-Sep-2025"/>
    <x v="0"/>
    <s v="27-Jun-2028"/>
    <s v="Tuesday"/>
    <s v="Monthly - Tuesday"/>
    <s v="Monthly - Tuesday"/>
    <s v="Month+33 Expiry"/>
    <n v="0"/>
    <n v="0"/>
    <n v="0"/>
  </r>
  <r>
    <s v="25-Sep-2025"/>
    <x v="3"/>
    <s v="Week4-Sep-2025"/>
    <x v="0"/>
    <s v="26-Dec-2028"/>
    <s v="Tuesday"/>
    <s v="Monthly - Tuesday"/>
    <s v="Monthly - Tuesday"/>
    <s v="Month+39 Expiry"/>
    <n v="0"/>
    <n v="0"/>
    <n v="0"/>
  </r>
  <r>
    <s v="25-Sep-2025"/>
    <x v="3"/>
    <s v="Week4-Sep-2025"/>
    <x v="0"/>
    <s v="26-Jun-2029"/>
    <s v="Tuesday"/>
    <s v="Monthly - Tuesday"/>
    <s v="Monthly - Tuesday"/>
    <s v="Month+45 Expiry"/>
    <n v="0"/>
    <n v="0"/>
    <n v="0"/>
  </r>
  <r>
    <s v="25-Sep-2025"/>
    <x v="3"/>
    <s v="Week4-Sep-2025"/>
    <x v="0"/>
    <s v="24-Dec-2029"/>
    <s v="Monday"/>
    <s v="Weekly - Monday"/>
    <s v="Weekly - Monday"/>
    <s v="Month+51 Expiry"/>
    <n v="0"/>
    <n v="0"/>
    <n v="0"/>
  </r>
  <r>
    <s v="25-Sep-2025"/>
    <x v="3"/>
    <s v="Week4-Sep-2025"/>
    <x v="0"/>
    <s v="25-Jun-2030"/>
    <s v="Tuesday"/>
    <s v="Monthly - Tuesday"/>
    <s v="Monthly - Tuesday"/>
    <s v="Month+57 Expiry"/>
    <n v="0"/>
    <n v="0"/>
    <n v="0"/>
  </r>
  <r>
    <s v="26-Sep-2025"/>
    <x v="4"/>
    <s v="Week4-Sep-2025"/>
    <x v="0"/>
    <s v="30-Sep-2025"/>
    <s v="Tuesday"/>
    <s v="Monthly - Tuesday"/>
    <s v="MDAW - Tuesday"/>
    <s v="Same Month Expiry"/>
    <n v="99902311"/>
    <n v="18660655.59"/>
    <n v="39279.480000000003"/>
  </r>
  <r>
    <s v="26-Sep-2025"/>
    <x v="4"/>
    <s v="Week4-Sep-2025"/>
    <x v="0"/>
    <s v="07-Oct-2025"/>
    <s v="Tuesday"/>
    <s v="Weekly - Tuesday"/>
    <s v="Weekly - Tuesday"/>
    <s v="Month+1 Expiry"/>
    <n v="3007115"/>
    <n v="563645.18000000005"/>
    <n v="2157.25"/>
  </r>
  <r>
    <s v="26-Sep-2025"/>
    <x v="4"/>
    <s v="Week4-Sep-2025"/>
    <x v="0"/>
    <s v="14-Oct-2025"/>
    <s v="Tuesday"/>
    <s v="Weekly - Tuesday"/>
    <s v="Weekly - Tuesday"/>
    <s v="Month+1 Expiry"/>
    <n v="192790"/>
    <n v="36296.870000000003"/>
    <n v="204.04"/>
  </r>
  <r>
    <s v="26-Sep-2025"/>
    <x v="4"/>
    <s v="Week4-Sep-2025"/>
    <x v="0"/>
    <s v="20-Oct-2025"/>
    <s v="Monday"/>
    <s v="Weekly - Monday"/>
    <s v="Weekly - Monday"/>
    <s v="Month+1 Expiry"/>
    <n v="22364"/>
    <n v="4227.45"/>
    <n v="24.44"/>
  </r>
  <r>
    <s v="26-Sep-2025"/>
    <x v="4"/>
    <s v="Week4-Sep-2025"/>
    <x v="0"/>
    <s v="28-Oct-2025"/>
    <s v="Tuesday"/>
    <s v="Monthly - Tuesday"/>
    <s v="Monthly - Tuesday"/>
    <s v="Month+1 Expiry"/>
    <n v="1011986"/>
    <n v="190810.63"/>
    <n v="1396.74"/>
  </r>
  <r>
    <s v="26-Sep-2025"/>
    <x v="4"/>
    <s v="Week4-Sep-2025"/>
    <x v="0"/>
    <s v="04-Nov-2025"/>
    <s v="Tuesday"/>
    <s v="Weekly - Tuesday"/>
    <s v="Weekly - Tuesday"/>
    <s v="Month+2 Expiry"/>
    <n v="532"/>
    <n v="101.88"/>
    <n v="0.46"/>
  </r>
  <r>
    <s v="26-Sep-2025"/>
    <x v="4"/>
    <s v="Week4-Sep-2025"/>
    <x v="0"/>
    <s v="25-Nov-2025"/>
    <s v="Tuesday"/>
    <s v="Monthly - Tuesday"/>
    <s v="Monthly - Tuesday"/>
    <s v="Month+2 Expiry"/>
    <n v="132012"/>
    <n v="25059.759999999998"/>
    <n v="209.04"/>
  </r>
  <r>
    <s v="26-Sep-2025"/>
    <x v="4"/>
    <s v="Week4-Sep-2025"/>
    <x v="0"/>
    <s v="30-Dec-2025"/>
    <s v="Tuesday"/>
    <s v="Monthly - Tuesday"/>
    <s v="Monthly - Tuesday"/>
    <s v="Month+3 Expiry"/>
    <n v="106942"/>
    <n v="20478.87"/>
    <n v="467.64"/>
  </r>
  <r>
    <s v="26-Sep-2025"/>
    <x v="4"/>
    <s v="Week4-Sep-2025"/>
    <x v="0"/>
    <s v="31-Mar-2026"/>
    <s v="Tuesday"/>
    <s v="Monthly - Tuesday"/>
    <s v="Monthly - Tuesday"/>
    <s v="Month+6 Expiry"/>
    <n v="22082"/>
    <n v="4269.08"/>
    <n v="84.95"/>
  </r>
  <r>
    <s v="26-Sep-2025"/>
    <x v="4"/>
    <s v="Week4-Sep-2025"/>
    <x v="0"/>
    <s v="30-Jun-2026"/>
    <s v="Tuesday"/>
    <s v="Monthly - Tuesday"/>
    <s v="Monthly - Tuesday"/>
    <s v="Month+9 Expiry"/>
    <n v="753"/>
    <n v="142.76"/>
    <n v="3.52"/>
  </r>
  <r>
    <s v="26-Sep-2025"/>
    <x v="4"/>
    <s v="Week4-Sep-2025"/>
    <x v="0"/>
    <s v="29-Dec-2026"/>
    <s v="Tuesday"/>
    <s v="Monthly - Tuesday"/>
    <s v="Monthly - Tuesday"/>
    <s v="Month+15 Expiry"/>
    <n v="1488"/>
    <n v="295.08999999999997"/>
    <n v="10.44"/>
  </r>
  <r>
    <s v="26-Sep-2025"/>
    <x v="4"/>
    <s v="Week4-Sep-2025"/>
    <x v="0"/>
    <s v="29-Jun-2027"/>
    <s v="Tuesday"/>
    <s v="Monthly - Tuesday"/>
    <s v="Monthly - Tuesday"/>
    <s v="Month+21 Expiry"/>
    <n v="0"/>
    <n v="0"/>
    <n v="0"/>
  </r>
  <r>
    <s v="26-Sep-2025"/>
    <x v="4"/>
    <s v="Week4-Sep-2025"/>
    <x v="0"/>
    <s v="28-Dec-2027"/>
    <s v="Tuesday"/>
    <s v="Monthly - Tuesday"/>
    <s v="Monthly - Tuesday"/>
    <s v="Month+27 Expiry"/>
    <n v="8"/>
    <n v="1.52"/>
    <n v="7.0000000000000007E-2"/>
  </r>
  <r>
    <s v="26-Sep-2025"/>
    <x v="4"/>
    <s v="Week4-Sep-2025"/>
    <x v="0"/>
    <s v="27-Jun-2028"/>
    <s v="Tuesday"/>
    <s v="Monthly - Tuesday"/>
    <s v="Monthly - Tuesday"/>
    <s v="Month+33 Expiry"/>
    <n v="0"/>
    <n v="0"/>
    <n v="0"/>
  </r>
  <r>
    <s v="26-Sep-2025"/>
    <x v="4"/>
    <s v="Week4-Sep-2025"/>
    <x v="0"/>
    <s v="26-Dec-2028"/>
    <s v="Tuesday"/>
    <s v="Monthly - Tuesday"/>
    <s v="Monthly - Tuesday"/>
    <s v="Month+39 Expiry"/>
    <n v="5"/>
    <n v="0.92"/>
    <n v="0.03"/>
  </r>
  <r>
    <s v="26-Sep-2025"/>
    <x v="4"/>
    <s v="Week4-Sep-2025"/>
    <x v="0"/>
    <s v="26-Jun-2029"/>
    <s v="Tuesday"/>
    <s v="Monthly - Tuesday"/>
    <s v="Monthly - Tuesday"/>
    <s v="Month+45 Expiry"/>
    <n v="0"/>
    <n v="0"/>
    <n v="0"/>
  </r>
  <r>
    <s v="26-Sep-2025"/>
    <x v="4"/>
    <s v="Week4-Sep-2025"/>
    <x v="0"/>
    <s v="24-Dec-2029"/>
    <s v="Monday"/>
    <s v="Weekly - Monday"/>
    <s v="Weekly - Monday"/>
    <s v="Month+51 Expiry"/>
    <n v="2"/>
    <n v="0.36"/>
    <n v="0.01"/>
  </r>
  <r>
    <s v="26-Sep-2025"/>
    <x v="4"/>
    <s v="Week4-Sep-2025"/>
    <x v="0"/>
    <s v="25-Jun-2030"/>
    <s v="Tuesday"/>
    <s v="Monthly - Tuesday"/>
    <s v="Monthly - Tuesday"/>
    <s v="Month+57 Expiry"/>
    <n v="0"/>
    <n v="0"/>
    <n v="0"/>
  </r>
  <r>
    <s v="29-Sep-2025"/>
    <x v="0"/>
    <s v="Week5-Sep-2025"/>
    <x v="0"/>
    <s v="30-Sep-2025"/>
    <s v="Tuesday"/>
    <s v="Monthly - Tuesday"/>
    <s v="MDAW - Tuesday"/>
    <s v="Same Month Expiry"/>
    <n v="147916079"/>
    <n v="27483291.170000002"/>
    <n v="44734.36"/>
  </r>
  <r>
    <s v="29-Sep-2025"/>
    <x v="0"/>
    <s v="Week5-Sep-2025"/>
    <x v="0"/>
    <s v="07-Oct-2025"/>
    <s v="Tuesday"/>
    <s v="Weekly - Tuesday"/>
    <s v="Weekly - Tuesday"/>
    <s v="Month+1 Expiry"/>
    <n v="5759231"/>
    <n v="1075955.33"/>
    <n v="3542.21"/>
  </r>
  <r>
    <s v="29-Sep-2025"/>
    <x v="0"/>
    <s v="Week5-Sep-2025"/>
    <x v="0"/>
    <s v="14-Oct-2025"/>
    <s v="Tuesday"/>
    <s v="Weekly - Tuesday"/>
    <s v="Weekly - Tuesday"/>
    <s v="Month+1 Expiry"/>
    <n v="269709"/>
    <n v="50516.68"/>
    <n v="254.28"/>
  </r>
  <r>
    <s v="29-Sep-2025"/>
    <x v="0"/>
    <s v="Week5-Sep-2025"/>
    <x v="0"/>
    <s v="20-Oct-2025"/>
    <s v="Monday"/>
    <s v="Weekly - Monday"/>
    <s v="Weekly - Monday"/>
    <s v="Month+1 Expiry"/>
    <n v="23648"/>
    <n v="4465.6400000000003"/>
    <n v="22.67"/>
  </r>
  <r>
    <s v="29-Sep-2025"/>
    <x v="0"/>
    <s v="Week5-Sep-2025"/>
    <x v="0"/>
    <s v="28-Oct-2025"/>
    <s v="Tuesday"/>
    <s v="Monthly - Tuesday"/>
    <s v="Monthly - Tuesday"/>
    <s v="Month+1 Expiry"/>
    <n v="945288"/>
    <n v="178118.71"/>
    <n v="1556.83"/>
  </r>
  <r>
    <s v="29-Sep-2025"/>
    <x v="0"/>
    <s v="Week5-Sep-2025"/>
    <x v="0"/>
    <s v="04-Nov-2025"/>
    <s v="Tuesday"/>
    <s v="Weekly - Tuesday"/>
    <s v="Weekly - Tuesday"/>
    <s v="Month+2 Expiry"/>
    <n v="588"/>
    <n v="110.23"/>
    <n v="0.72"/>
  </r>
  <r>
    <s v="29-Sep-2025"/>
    <x v="0"/>
    <s v="Week5-Sep-2025"/>
    <x v="0"/>
    <s v="25-Nov-2025"/>
    <s v="Tuesday"/>
    <s v="Monthly - Tuesday"/>
    <s v="Monthly - Tuesday"/>
    <s v="Month+2 Expiry"/>
    <n v="97441"/>
    <n v="18455.41"/>
    <n v="153.88999999999999"/>
  </r>
  <r>
    <s v="29-Sep-2025"/>
    <x v="0"/>
    <s v="Week5-Sep-2025"/>
    <x v="0"/>
    <s v="30-Dec-2025"/>
    <s v="Tuesday"/>
    <s v="Monthly - Tuesday"/>
    <s v="Monthly - Tuesday"/>
    <s v="Month+3 Expiry"/>
    <n v="86763"/>
    <n v="16690.3"/>
    <n v="428.9"/>
  </r>
  <r>
    <s v="29-Sep-2025"/>
    <x v="0"/>
    <s v="Week5-Sep-2025"/>
    <x v="0"/>
    <s v="31-Mar-2026"/>
    <s v="Tuesday"/>
    <s v="Monthly - Tuesday"/>
    <s v="Monthly - Tuesday"/>
    <s v="Month+6 Expiry"/>
    <n v="13958"/>
    <n v="2697.19"/>
    <n v="51.61"/>
  </r>
  <r>
    <s v="29-Sep-2025"/>
    <x v="0"/>
    <s v="Week5-Sep-2025"/>
    <x v="0"/>
    <s v="30-Jun-2026"/>
    <s v="Tuesday"/>
    <s v="Monthly - Tuesday"/>
    <s v="Monthly - Tuesday"/>
    <s v="Month+9 Expiry"/>
    <n v="491"/>
    <n v="95.76"/>
    <n v="2.5299999999999998"/>
  </r>
  <r>
    <s v="29-Sep-2025"/>
    <x v="0"/>
    <s v="Week5-Sep-2025"/>
    <x v="0"/>
    <s v="29-Dec-2026"/>
    <s v="Tuesday"/>
    <s v="Monthly - Tuesday"/>
    <s v="Monthly - Tuesday"/>
    <s v="Month+15 Expiry"/>
    <n v="719"/>
    <n v="141.47999999999999"/>
    <n v="4.88"/>
  </r>
  <r>
    <s v="29-Sep-2025"/>
    <x v="0"/>
    <s v="Week5-Sep-2025"/>
    <x v="0"/>
    <s v="29-Jun-2027"/>
    <s v="Tuesday"/>
    <s v="Monthly - Tuesday"/>
    <s v="Monthly - Tuesday"/>
    <s v="Month+21 Expiry"/>
    <n v="0"/>
    <n v="0"/>
    <n v="0"/>
  </r>
  <r>
    <s v="29-Sep-2025"/>
    <x v="0"/>
    <s v="Week5-Sep-2025"/>
    <x v="0"/>
    <s v="28-Dec-2027"/>
    <s v="Tuesday"/>
    <s v="Monthly - Tuesday"/>
    <s v="Monthly - Tuesday"/>
    <s v="Month+27 Expiry"/>
    <n v="19"/>
    <n v="3.55"/>
    <n v="0.12"/>
  </r>
  <r>
    <s v="29-Sep-2025"/>
    <x v="0"/>
    <s v="Week5-Sep-2025"/>
    <x v="0"/>
    <s v="27-Jun-2028"/>
    <s v="Tuesday"/>
    <s v="Monthly - Tuesday"/>
    <s v="Monthly - Tuesday"/>
    <s v="Month+33 Expiry"/>
    <n v="0"/>
    <n v="0"/>
    <n v="0"/>
  </r>
  <r>
    <s v="29-Sep-2025"/>
    <x v="0"/>
    <s v="Week5-Sep-2025"/>
    <x v="0"/>
    <s v="26-Dec-2028"/>
    <s v="Tuesday"/>
    <s v="Monthly - Tuesday"/>
    <s v="Monthly - Tuesday"/>
    <s v="Month+39 Expiry"/>
    <n v="0"/>
    <n v="0"/>
    <n v="0"/>
  </r>
  <r>
    <s v="29-Sep-2025"/>
    <x v="0"/>
    <s v="Week5-Sep-2025"/>
    <x v="0"/>
    <s v="26-Jun-2029"/>
    <s v="Tuesday"/>
    <s v="Monthly - Tuesday"/>
    <s v="Monthly - Tuesday"/>
    <s v="Month+45 Expiry"/>
    <n v="0"/>
    <n v="0"/>
    <n v="0"/>
  </r>
  <r>
    <s v="29-Sep-2025"/>
    <x v="0"/>
    <s v="Week5-Sep-2025"/>
    <x v="0"/>
    <s v="24-Dec-2029"/>
    <s v="Monday"/>
    <s v="Weekly - Monday"/>
    <s v="Weekly - Monday"/>
    <s v="Month+51 Expiry"/>
    <n v="0"/>
    <n v="0"/>
    <n v="0"/>
  </r>
  <r>
    <s v="29-Sep-2025"/>
    <x v="0"/>
    <s v="Week5-Sep-2025"/>
    <x v="0"/>
    <s v="25-Jun-2030"/>
    <s v="Tuesday"/>
    <s v="Monthly - Tuesday"/>
    <s v="Monthly - Tuesday"/>
    <s v="Month+57 Expiry"/>
    <n v="0"/>
    <n v="0"/>
    <n v="0"/>
  </r>
  <r>
    <s v="30-Sep-2025"/>
    <x v="1"/>
    <s v="Week5-Sep-2025"/>
    <x v="0"/>
    <s v="30-Sep-2025"/>
    <s v="Tuesday"/>
    <s v="Monthly - Tuesday"/>
    <s v="MDAW - Tuesday"/>
    <s v="Same Month Expiry"/>
    <n v="259531734"/>
    <n v="48063694.899999999"/>
    <n v="44638.91"/>
  </r>
  <r>
    <s v="30-Sep-2025"/>
    <x v="1"/>
    <s v="Week5-Sep-2025"/>
    <x v="0"/>
    <s v="07-Oct-2025"/>
    <s v="Tuesday"/>
    <s v="Weekly - Tuesday"/>
    <s v="Weekly - Tuesday"/>
    <s v="Month+1 Expiry"/>
    <n v="9735243"/>
    <n v="1814528.37"/>
    <n v="5782.83"/>
  </r>
  <r>
    <s v="30-Sep-2025"/>
    <x v="1"/>
    <s v="Week5-Sep-2025"/>
    <x v="0"/>
    <s v="14-Oct-2025"/>
    <s v="Tuesday"/>
    <s v="Weekly - Tuesday"/>
    <s v="Weekly - Tuesday"/>
    <s v="Month+1 Expiry"/>
    <n v="384164"/>
    <n v="71732.45"/>
    <n v="354.66"/>
  </r>
  <r>
    <s v="30-Sep-2025"/>
    <x v="1"/>
    <s v="Week5-Sep-2025"/>
    <x v="0"/>
    <s v="20-Oct-2025"/>
    <s v="Monday"/>
    <s v="Weekly - Monday"/>
    <s v="Weekly - Monday"/>
    <s v="Month+1 Expiry"/>
    <n v="28319"/>
    <n v="5308.32"/>
    <n v="27.53"/>
  </r>
  <r>
    <s v="30-Sep-2025"/>
    <x v="1"/>
    <s v="Week5-Sep-2025"/>
    <x v="0"/>
    <s v="28-Oct-2025"/>
    <s v="Tuesday"/>
    <s v="Monthly - Tuesday"/>
    <s v="Monthly - Tuesday"/>
    <s v="Month+1 Expiry"/>
    <n v="1144811"/>
    <n v="215149.76"/>
    <n v="1767.81"/>
  </r>
  <r>
    <s v="30-Sep-2025"/>
    <x v="1"/>
    <s v="Week5-Sep-2025"/>
    <x v="0"/>
    <s v="04-Nov-2025"/>
    <s v="Tuesday"/>
    <s v="Weekly - Tuesday"/>
    <s v="Weekly - Tuesday"/>
    <s v="Month+2 Expiry"/>
    <n v="501"/>
    <n v="94.17"/>
    <n v="0.6"/>
  </r>
  <r>
    <s v="30-Sep-2025"/>
    <x v="1"/>
    <s v="Week5-Sep-2025"/>
    <x v="0"/>
    <s v="25-Nov-2025"/>
    <s v="Tuesday"/>
    <s v="Monthly - Tuesday"/>
    <s v="Monthly - Tuesday"/>
    <s v="Month+2 Expiry"/>
    <n v="87430"/>
    <n v="16693.32"/>
    <n v="131.69999999999999"/>
  </r>
  <r>
    <s v="30-Sep-2025"/>
    <x v="1"/>
    <s v="Week5-Sep-2025"/>
    <x v="0"/>
    <s v="30-Dec-2025"/>
    <s v="Tuesday"/>
    <s v="Monthly - Tuesday"/>
    <s v="Monthly - Tuesday"/>
    <s v="Month+3 Expiry"/>
    <n v="71868"/>
    <n v="13800.28"/>
    <n v="283.58"/>
  </r>
  <r>
    <s v="30-Sep-2025"/>
    <x v="1"/>
    <s v="Week5-Sep-2025"/>
    <x v="0"/>
    <s v="31-Mar-2026"/>
    <s v="Tuesday"/>
    <s v="Monthly - Tuesday"/>
    <s v="Monthly - Tuesday"/>
    <s v="Month+6 Expiry"/>
    <n v="11478"/>
    <n v="2228.83"/>
    <n v="40.5"/>
  </r>
  <r>
    <s v="30-Sep-2025"/>
    <x v="1"/>
    <s v="Week5-Sep-2025"/>
    <x v="0"/>
    <s v="30-Jun-2026"/>
    <s v="Tuesday"/>
    <s v="Monthly - Tuesday"/>
    <s v="Monthly - Tuesday"/>
    <s v="Month+9 Expiry"/>
    <n v="450"/>
    <n v="88.22"/>
    <n v="2.5"/>
  </r>
  <r>
    <s v="30-Sep-2025"/>
    <x v="1"/>
    <s v="Week5-Sep-2025"/>
    <x v="0"/>
    <s v="29-Dec-2026"/>
    <s v="Tuesday"/>
    <s v="Monthly - Tuesday"/>
    <s v="Monthly - Tuesday"/>
    <s v="Month+15 Expiry"/>
    <n v="854"/>
    <n v="173.73"/>
    <n v="6.71"/>
  </r>
  <r>
    <s v="30-Sep-2025"/>
    <x v="1"/>
    <s v="Week5-Sep-2025"/>
    <x v="0"/>
    <s v="29-Jun-2027"/>
    <s v="Tuesday"/>
    <s v="Monthly - Tuesday"/>
    <s v="Monthly - Tuesday"/>
    <s v="Month+21 Expiry"/>
    <n v="0"/>
    <n v="0"/>
    <n v="0"/>
  </r>
  <r>
    <s v="30-Sep-2025"/>
    <x v="1"/>
    <s v="Week5-Sep-2025"/>
    <x v="0"/>
    <s v="28-Dec-2027"/>
    <s v="Tuesday"/>
    <s v="Monthly - Tuesday"/>
    <s v="Monthly - Tuesday"/>
    <s v="Month+27 Expiry"/>
    <n v="19"/>
    <n v="2.9"/>
    <n v="0.05"/>
  </r>
  <r>
    <s v="30-Sep-2025"/>
    <x v="1"/>
    <s v="Week5-Sep-2025"/>
    <x v="0"/>
    <s v="27-Jun-2028"/>
    <s v="Tuesday"/>
    <s v="Monthly - Tuesday"/>
    <s v="Monthly - Tuesday"/>
    <s v="Month+33 Expiry"/>
    <n v="0"/>
    <n v="0"/>
    <n v="0"/>
  </r>
  <r>
    <s v="30-Sep-2025"/>
    <x v="1"/>
    <s v="Week5-Sep-2025"/>
    <x v="0"/>
    <s v="26-Dec-2028"/>
    <s v="Tuesday"/>
    <s v="Monthly - Tuesday"/>
    <s v="Monthly - Tuesday"/>
    <s v="Month+39 Expiry"/>
    <n v="11"/>
    <n v="2.16"/>
    <n v="0.09"/>
  </r>
  <r>
    <s v="30-Sep-2025"/>
    <x v="1"/>
    <s v="Week5-Sep-2025"/>
    <x v="0"/>
    <s v="26-Jun-2029"/>
    <s v="Tuesday"/>
    <s v="Monthly - Tuesday"/>
    <s v="Monthly - Tuesday"/>
    <s v="Month+45 Expiry"/>
    <n v="0"/>
    <n v="0"/>
    <n v="0"/>
  </r>
  <r>
    <s v="30-Sep-2025"/>
    <x v="1"/>
    <s v="Week5-Sep-2025"/>
    <x v="0"/>
    <s v="24-Dec-2029"/>
    <s v="Monday"/>
    <s v="Weekly - Monday"/>
    <s v="Weekly - Monday"/>
    <s v="Month+51 Expiry"/>
    <n v="1"/>
    <n v="0.21"/>
    <n v="0.01"/>
  </r>
  <r>
    <s v="30-Sep-2025"/>
    <x v="1"/>
    <s v="Week5-Sep-2025"/>
    <x v="0"/>
    <s v="25-Jun-2030"/>
    <s v="Tuesday"/>
    <s v="Monthly - Tuesday"/>
    <s v="Monthly - Tuesday"/>
    <s v="Month+57 Expiry"/>
    <n v="0"/>
    <n v="0"/>
    <n v="0"/>
  </r>
  <r>
    <s v="01-Oct-2025"/>
    <x v="2"/>
    <s v="Week1-Oct-2025"/>
    <x v="1"/>
    <s v="07-Oct-2025"/>
    <s v="Tuesday"/>
    <s v="Weekly - Tuesday"/>
    <s v="Weekly - Tuesday"/>
    <s v="Same Month Expiry"/>
    <n v="57093533"/>
    <n v="10616116.32"/>
    <n v="27050.69"/>
  </r>
  <r>
    <s v="01-Oct-2025"/>
    <x v="2"/>
    <s v="Week1-Oct-2025"/>
    <x v="1"/>
    <s v="14-Oct-2025"/>
    <s v="Tuesday"/>
    <s v="Weekly - Tuesday"/>
    <s v="Weekly - Tuesday"/>
    <s v="Same Month Expiry"/>
    <n v="1562101"/>
    <n v="291421.15000000002"/>
    <n v="1143.58"/>
  </r>
  <r>
    <s v="01-Oct-2025"/>
    <x v="2"/>
    <s v="Week1-Oct-2025"/>
    <x v="1"/>
    <s v="20-Oct-2025"/>
    <s v="Monday"/>
    <s v="Weekly - Monday"/>
    <s v="Weekly - Monday"/>
    <s v="Same Month Expiry"/>
    <n v="69968"/>
    <n v="13114.95"/>
    <n v="67.5"/>
  </r>
  <r>
    <s v="01-Oct-2025"/>
    <x v="2"/>
    <s v="Week1-Oct-2025"/>
    <x v="1"/>
    <s v="28-Oct-2025"/>
    <s v="Tuesday"/>
    <s v="Monthly - Tuesday"/>
    <s v="Monthly - Tuesday"/>
    <s v="Same Month Expiry"/>
    <n v="1476361"/>
    <n v="276609.61"/>
    <n v="1798.66"/>
  </r>
  <r>
    <s v="01-Oct-2025"/>
    <x v="2"/>
    <s v="Week1-Oct-2025"/>
    <x v="1"/>
    <s v="04-Nov-2025"/>
    <s v="Tuesday"/>
    <s v="Weekly - Tuesday"/>
    <s v="Weekly - Tuesday"/>
    <s v="Month+1 Expiry"/>
    <n v="1722"/>
    <n v="323.51"/>
    <n v="2.0299999999999998"/>
  </r>
  <r>
    <s v="01-Oct-2025"/>
    <x v="2"/>
    <s v="Week1-Oct-2025"/>
    <x v="1"/>
    <s v="25-Nov-2025"/>
    <s v="Tuesday"/>
    <s v="Monthly - Tuesday"/>
    <s v="Monthly - Tuesday"/>
    <s v="Month+1 Expiry"/>
    <n v="131267"/>
    <n v="24794.27"/>
    <n v="175.85"/>
  </r>
  <r>
    <s v="01-Oct-2025"/>
    <x v="2"/>
    <s v="Week1-Oct-2025"/>
    <x v="1"/>
    <s v="30-Dec-2025"/>
    <s v="Tuesday"/>
    <s v="Monthly - Tuesday"/>
    <s v="Monthly - Tuesday"/>
    <s v="Month+2 Expiry"/>
    <n v="104980"/>
    <n v="19931.82"/>
    <n v="270.06"/>
  </r>
  <r>
    <s v="01-Oct-2025"/>
    <x v="2"/>
    <s v="Week1-Oct-2025"/>
    <x v="1"/>
    <s v="31-Mar-2026"/>
    <s v="Tuesday"/>
    <s v="Monthly - Tuesday"/>
    <s v="Monthly - Tuesday"/>
    <s v="Month+5 Expiry"/>
    <n v="17572"/>
    <n v="3390.13"/>
    <n v="59.66"/>
  </r>
  <r>
    <s v="01-Oct-2025"/>
    <x v="2"/>
    <s v="Week1-Oct-2025"/>
    <x v="1"/>
    <s v="30-Jun-2026"/>
    <s v="Tuesday"/>
    <s v="Monthly - Tuesday"/>
    <s v="Monthly - Tuesday"/>
    <s v="Month+8 Expiry"/>
    <n v="1395"/>
    <n v="271.64999999999998"/>
    <n v="7.39"/>
  </r>
  <r>
    <s v="01-Oct-2025"/>
    <x v="2"/>
    <s v="Week1-Oct-2025"/>
    <x v="1"/>
    <s v="29-Sep-2026"/>
    <s v="Tuesday"/>
    <s v="Monthly - Tuesday"/>
    <s v="Monthly - Tuesday"/>
    <s v="Month+11 Expiry"/>
    <n v="0"/>
    <n v="0"/>
    <n v="0"/>
  </r>
  <r>
    <s v="01-Oct-2025"/>
    <x v="2"/>
    <s v="Week1-Oct-2025"/>
    <x v="1"/>
    <s v="29-Dec-2026"/>
    <s v="Tuesday"/>
    <s v="Monthly - Tuesday"/>
    <s v="Monthly - Tuesday"/>
    <s v="Month+14 Expiry"/>
    <n v="1044"/>
    <n v="207.05"/>
    <n v="7.26"/>
  </r>
  <r>
    <s v="01-Oct-2025"/>
    <x v="2"/>
    <s v="Week1-Oct-2025"/>
    <x v="1"/>
    <s v="29-Jun-2027"/>
    <s v="Tuesday"/>
    <s v="Monthly - Tuesday"/>
    <s v="Monthly - Tuesday"/>
    <s v="Month+20 Expiry"/>
    <n v="2"/>
    <n v="0.32"/>
    <n v="0"/>
  </r>
  <r>
    <s v="01-Oct-2025"/>
    <x v="2"/>
    <s v="Week1-Oct-2025"/>
    <x v="1"/>
    <s v="28-Dec-2027"/>
    <s v="Tuesday"/>
    <s v="Monthly - Tuesday"/>
    <s v="Monthly - Tuesday"/>
    <s v="Month+26 Expiry"/>
    <n v="11"/>
    <n v="1.97"/>
    <n v="0.05"/>
  </r>
  <r>
    <s v="01-Oct-2025"/>
    <x v="2"/>
    <s v="Week1-Oct-2025"/>
    <x v="1"/>
    <s v="27-Jun-2028"/>
    <s v="Tuesday"/>
    <s v="Monthly - Tuesday"/>
    <s v="Monthly - Tuesday"/>
    <s v="Month+32 Expiry"/>
    <n v="0"/>
    <n v="0"/>
    <n v="0"/>
  </r>
  <r>
    <s v="01-Oct-2025"/>
    <x v="2"/>
    <s v="Week1-Oct-2025"/>
    <x v="1"/>
    <s v="26-Dec-2028"/>
    <s v="Tuesday"/>
    <s v="Monthly - Tuesday"/>
    <s v="Monthly - Tuesday"/>
    <s v="Month+38 Expiry"/>
    <n v="5"/>
    <n v="1.01"/>
    <n v="0.05"/>
  </r>
  <r>
    <s v="01-Oct-2025"/>
    <x v="2"/>
    <s v="Week1-Oct-2025"/>
    <x v="1"/>
    <s v="26-Jun-2029"/>
    <s v="Tuesday"/>
    <s v="Monthly - Tuesday"/>
    <s v="Monthly - Tuesday"/>
    <s v="Month+44 Expiry"/>
    <n v="0"/>
    <n v="0"/>
    <n v="0"/>
  </r>
  <r>
    <s v="01-Oct-2025"/>
    <x v="2"/>
    <s v="Week1-Oct-2025"/>
    <x v="1"/>
    <s v="24-Dec-2029"/>
    <s v="Monday"/>
    <s v="Weekly - Monday"/>
    <s v="Weekly - Monday"/>
    <s v="Month+50 Expiry"/>
    <n v="0"/>
    <n v="0"/>
    <n v="0"/>
  </r>
  <r>
    <s v="01-Oct-2025"/>
    <x v="2"/>
    <s v="Week1-Oct-2025"/>
    <x v="1"/>
    <s v="25-Jun-2030"/>
    <s v="Tuesday"/>
    <s v="Monthly - Tuesday"/>
    <s v="Monthly - Tuesday"/>
    <s v="Month+56 Expiry"/>
    <n v="0"/>
    <n v="0"/>
    <n v="0"/>
  </r>
  <r>
    <s v="03-Oct-2025"/>
    <x v="4"/>
    <s v="Week1-Oct-2025"/>
    <x v="1"/>
    <s v="07-Oct-2025"/>
    <s v="Tuesday"/>
    <s v="Weekly - Tuesday"/>
    <s v="Weekly - Tuesday"/>
    <s v="Same Month Expiry"/>
    <n v="96091988"/>
    <n v="17916622.039999999"/>
    <n v="36099.769999999997"/>
  </r>
  <r>
    <s v="03-Oct-2025"/>
    <x v="4"/>
    <s v="Week1-Oct-2025"/>
    <x v="1"/>
    <s v="14-Oct-2025"/>
    <s v="Tuesday"/>
    <s v="Weekly - Tuesday"/>
    <s v="Weekly - Tuesday"/>
    <s v="Same Month Expiry"/>
    <n v="1998875"/>
    <n v="373816.54"/>
    <n v="1220.08"/>
  </r>
  <r>
    <s v="03-Oct-2025"/>
    <x v="4"/>
    <s v="Week1-Oct-2025"/>
    <x v="1"/>
    <s v="20-Oct-2025"/>
    <s v="Monday"/>
    <s v="Weekly - Monday"/>
    <s v="Weekly - Monday"/>
    <s v="Same Month Expiry"/>
    <n v="107954"/>
    <n v="20249.13"/>
    <n v="85.08"/>
  </r>
  <r>
    <s v="03-Oct-2025"/>
    <x v="4"/>
    <s v="Week1-Oct-2025"/>
    <x v="1"/>
    <s v="28-Oct-2025"/>
    <s v="Tuesday"/>
    <s v="Monthly - Tuesday"/>
    <s v="Monthly - Tuesday"/>
    <s v="Same Month Expiry"/>
    <n v="1055430"/>
    <n v="198016.04"/>
    <n v="1080.71"/>
  </r>
  <r>
    <s v="03-Oct-2025"/>
    <x v="4"/>
    <s v="Week1-Oct-2025"/>
    <x v="1"/>
    <s v="04-Nov-2025"/>
    <s v="Tuesday"/>
    <s v="Weekly - Tuesday"/>
    <s v="Weekly - Tuesday"/>
    <s v="Month+1 Expiry"/>
    <n v="3288"/>
    <n v="620.53"/>
    <n v="3.27"/>
  </r>
  <r>
    <s v="03-Oct-2025"/>
    <x v="4"/>
    <s v="Week1-Oct-2025"/>
    <x v="1"/>
    <s v="25-Nov-2025"/>
    <s v="Tuesday"/>
    <s v="Monthly - Tuesday"/>
    <s v="Monthly - Tuesday"/>
    <s v="Month+1 Expiry"/>
    <n v="102465"/>
    <n v="19431.669999999998"/>
    <n v="114.61"/>
  </r>
  <r>
    <s v="03-Oct-2025"/>
    <x v="4"/>
    <s v="Week1-Oct-2025"/>
    <x v="1"/>
    <s v="30-Dec-2025"/>
    <s v="Tuesday"/>
    <s v="Monthly - Tuesday"/>
    <s v="Monthly - Tuesday"/>
    <s v="Month+2 Expiry"/>
    <n v="66987"/>
    <n v="12484.32"/>
    <n v="130.96"/>
  </r>
  <r>
    <s v="03-Oct-2025"/>
    <x v="4"/>
    <s v="Week1-Oct-2025"/>
    <x v="1"/>
    <s v="31-Mar-2026"/>
    <s v="Tuesday"/>
    <s v="Monthly - Tuesday"/>
    <s v="Monthly - Tuesday"/>
    <s v="Month+5 Expiry"/>
    <n v="14897"/>
    <n v="2902.5"/>
    <n v="52.52"/>
  </r>
  <r>
    <s v="03-Oct-2025"/>
    <x v="4"/>
    <s v="Week1-Oct-2025"/>
    <x v="1"/>
    <s v="30-Jun-2026"/>
    <s v="Tuesday"/>
    <s v="Monthly - Tuesday"/>
    <s v="Monthly - Tuesday"/>
    <s v="Month+8 Expiry"/>
    <n v="1207"/>
    <n v="235.02"/>
    <n v="5.5"/>
  </r>
  <r>
    <s v="03-Oct-2025"/>
    <x v="4"/>
    <s v="Week1-Oct-2025"/>
    <x v="1"/>
    <s v="29-Sep-2026"/>
    <s v="Tuesday"/>
    <s v="Monthly - Tuesday"/>
    <s v="Monthly - Tuesday"/>
    <s v="Month+11 Expiry"/>
    <n v="0"/>
    <n v="0"/>
    <n v="0"/>
  </r>
  <r>
    <s v="03-Oct-2025"/>
    <x v="4"/>
    <s v="Week1-Oct-2025"/>
    <x v="1"/>
    <s v="29-Dec-2026"/>
    <s v="Tuesday"/>
    <s v="Monthly - Tuesday"/>
    <s v="Monthly - Tuesday"/>
    <s v="Month+14 Expiry"/>
    <n v="725"/>
    <n v="145.51"/>
    <n v="4.83"/>
  </r>
  <r>
    <s v="03-Oct-2025"/>
    <x v="4"/>
    <s v="Week1-Oct-2025"/>
    <x v="1"/>
    <s v="29-Jun-2027"/>
    <s v="Tuesday"/>
    <s v="Monthly - Tuesday"/>
    <s v="Monthly - Tuesday"/>
    <s v="Month+20 Expiry"/>
    <n v="0"/>
    <n v="0"/>
    <n v="0"/>
  </r>
  <r>
    <s v="03-Oct-2025"/>
    <x v="4"/>
    <s v="Week1-Oct-2025"/>
    <x v="1"/>
    <s v="28-Dec-2027"/>
    <s v="Tuesday"/>
    <s v="Monthly - Tuesday"/>
    <s v="Monthly - Tuesday"/>
    <s v="Month+26 Expiry"/>
    <n v="4"/>
    <n v="0.75"/>
    <n v="0.03"/>
  </r>
  <r>
    <s v="03-Oct-2025"/>
    <x v="4"/>
    <s v="Week1-Oct-2025"/>
    <x v="1"/>
    <s v="27-Jun-2028"/>
    <s v="Tuesday"/>
    <s v="Monthly - Tuesday"/>
    <s v="Monthly - Tuesday"/>
    <s v="Month+32 Expiry"/>
    <n v="0"/>
    <n v="0"/>
    <n v="0"/>
  </r>
  <r>
    <s v="03-Oct-2025"/>
    <x v="4"/>
    <s v="Week1-Oct-2025"/>
    <x v="1"/>
    <s v="26-Dec-2028"/>
    <s v="Tuesday"/>
    <s v="Monthly - Tuesday"/>
    <s v="Monthly - Tuesday"/>
    <s v="Month+38 Expiry"/>
    <n v="0"/>
    <n v="0"/>
    <n v="0"/>
  </r>
  <r>
    <s v="03-Oct-2025"/>
    <x v="4"/>
    <s v="Week1-Oct-2025"/>
    <x v="1"/>
    <s v="26-Jun-2029"/>
    <s v="Tuesday"/>
    <s v="Monthly - Tuesday"/>
    <s v="Monthly - Tuesday"/>
    <s v="Month+44 Expiry"/>
    <n v="0"/>
    <n v="0"/>
    <n v="0"/>
  </r>
  <r>
    <s v="03-Oct-2025"/>
    <x v="4"/>
    <s v="Week1-Oct-2025"/>
    <x v="1"/>
    <s v="24-Dec-2029"/>
    <s v="Monday"/>
    <s v="Weekly - Monday"/>
    <s v="Weekly - Monday"/>
    <s v="Month+50 Expiry"/>
    <n v="0"/>
    <n v="0"/>
    <n v="0"/>
  </r>
  <r>
    <s v="03-Oct-2025"/>
    <x v="4"/>
    <s v="Week1-Oct-2025"/>
    <x v="1"/>
    <s v="25-Jun-2030"/>
    <s v="Tuesday"/>
    <s v="Monthly - Tuesday"/>
    <s v="Monthly - Tuesday"/>
    <s v="Month+56 Expiry"/>
    <n v="0"/>
    <n v="0"/>
    <n v="0"/>
  </r>
  <r>
    <s v="06-Oct-2025"/>
    <x v="0"/>
    <s v="Week1-Oct-2025"/>
    <x v="1"/>
    <s v="07-Oct-2025"/>
    <s v="Tuesday"/>
    <s v="Weekly - Tuesday"/>
    <s v="Weekly - Tuesday"/>
    <s v="Same Month Expiry"/>
    <n v="139433590"/>
    <n v="26120781.960000001"/>
    <n v="36810.44"/>
  </r>
  <r>
    <s v="06-Oct-2025"/>
    <x v="0"/>
    <s v="Week1-Oct-2025"/>
    <x v="1"/>
    <s v="14-Oct-2025"/>
    <s v="Tuesday"/>
    <s v="Weekly - Tuesday"/>
    <s v="Weekly - Tuesday"/>
    <s v="Same Month Expiry"/>
    <n v="4572736"/>
    <n v="859255.25"/>
    <n v="2402.4299999999998"/>
  </r>
  <r>
    <s v="06-Oct-2025"/>
    <x v="0"/>
    <s v="Week1-Oct-2025"/>
    <x v="1"/>
    <s v="20-Oct-2025"/>
    <s v="Monday"/>
    <s v="Weekly - Monday"/>
    <s v="Weekly - Monday"/>
    <s v="Same Month Expiry"/>
    <n v="241272"/>
    <n v="45449.02"/>
    <n v="175.31"/>
  </r>
  <r>
    <s v="06-Oct-2025"/>
    <x v="0"/>
    <s v="Week1-Oct-2025"/>
    <x v="1"/>
    <s v="28-Oct-2025"/>
    <s v="Tuesday"/>
    <s v="Monthly - Tuesday"/>
    <s v="Monthly - Tuesday"/>
    <s v="Same Month Expiry"/>
    <n v="1611903"/>
    <n v="303423.43"/>
    <n v="1619.67"/>
  </r>
  <r>
    <s v="06-Oct-2025"/>
    <x v="0"/>
    <s v="Week1-Oct-2025"/>
    <x v="1"/>
    <s v="04-Nov-2025"/>
    <s v="Tuesday"/>
    <s v="Weekly - Tuesday"/>
    <s v="Weekly - Tuesday"/>
    <s v="Month+1 Expiry"/>
    <n v="5546"/>
    <n v="1047.3900000000001"/>
    <n v="6.72"/>
  </r>
  <r>
    <s v="06-Oct-2025"/>
    <x v="0"/>
    <s v="Week1-Oct-2025"/>
    <x v="1"/>
    <s v="25-Nov-2025"/>
    <s v="Tuesday"/>
    <s v="Monthly - Tuesday"/>
    <s v="Monthly - Tuesday"/>
    <s v="Month+1 Expiry"/>
    <n v="147420"/>
    <n v="27824.1"/>
    <n v="191.95"/>
  </r>
  <r>
    <s v="06-Oct-2025"/>
    <x v="0"/>
    <s v="Week1-Oct-2025"/>
    <x v="1"/>
    <s v="30-Dec-2025"/>
    <s v="Tuesday"/>
    <s v="Monthly - Tuesday"/>
    <s v="Monthly - Tuesday"/>
    <s v="Month+2 Expiry"/>
    <n v="107070"/>
    <n v="19922.78"/>
    <n v="196.14"/>
  </r>
  <r>
    <s v="06-Oct-2025"/>
    <x v="0"/>
    <s v="Week1-Oct-2025"/>
    <x v="1"/>
    <s v="31-Mar-2026"/>
    <s v="Tuesday"/>
    <s v="Monthly - Tuesday"/>
    <s v="Monthly - Tuesday"/>
    <s v="Month+5 Expiry"/>
    <n v="15433"/>
    <n v="2961.03"/>
    <n v="49.21"/>
  </r>
  <r>
    <s v="06-Oct-2025"/>
    <x v="0"/>
    <s v="Week1-Oct-2025"/>
    <x v="1"/>
    <s v="30-Jun-2026"/>
    <s v="Tuesday"/>
    <s v="Monthly - Tuesday"/>
    <s v="Monthly - Tuesday"/>
    <s v="Month+8 Expiry"/>
    <n v="2105"/>
    <n v="409.66"/>
    <n v="9.3699999999999992"/>
  </r>
  <r>
    <s v="06-Oct-2025"/>
    <x v="0"/>
    <s v="Week1-Oct-2025"/>
    <x v="1"/>
    <s v="29-Sep-2026"/>
    <s v="Tuesday"/>
    <s v="Monthly - Tuesday"/>
    <s v="Monthly - Tuesday"/>
    <s v="Month+11 Expiry"/>
    <n v="0"/>
    <n v="0"/>
    <n v="0"/>
  </r>
  <r>
    <s v="06-Oct-2025"/>
    <x v="0"/>
    <s v="Week1-Oct-2025"/>
    <x v="1"/>
    <s v="29-Dec-2026"/>
    <s v="Tuesday"/>
    <s v="Monthly - Tuesday"/>
    <s v="Monthly - Tuesday"/>
    <s v="Month+14 Expiry"/>
    <n v="1044"/>
    <n v="208.59"/>
    <n v="6.75"/>
  </r>
  <r>
    <s v="06-Oct-2025"/>
    <x v="0"/>
    <s v="Week1-Oct-2025"/>
    <x v="1"/>
    <s v="29-Jun-2027"/>
    <s v="Tuesday"/>
    <s v="Monthly - Tuesday"/>
    <s v="Monthly - Tuesday"/>
    <s v="Month+20 Expiry"/>
    <n v="0"/>
    <n v="0"/>
    <n v="0"/>
  </r>
  <r>
    <s v="06-Oct-2025"/>
    <x v="0"/>
    <s v="Week1-Oct-2025"/>
    <x v="1"/>
    <s v="28-Dec-2027"/>
    <s v="Tuesday"/>
    <s v="Monthly - Tuesday"/>
    <s v="Monthly - Tuesday"/>
    <s v="Month+26 Expiry"/>
    <n v="0"/>
    <n v="0"/>
    <n v="0"/>
  </r>
  <r>
    <s v="06-Oct-2025"/>
    <x v="0"/>
    <s v="Week1-Oct-2025"/>
    <x v="1"/>
    <s v="27-Jun-2028"/>
    <s v="Tuesday"/>
    <s v="Monthly - Tuesday"/>
    <s v="Monthly - Tuesday"/>
    <s v="Month+32 Expiry"/>
    <n v="0"/>
    <n v="0"/>
    <n v="0"/>
  </r>
  <r>
    <s v="06-Oct-2025"/>
    <x v="0"/>
    <s v="Week1-Oct-2025"/>
    <x v="1"/>
    <s v="26-Dec-2028"/>
    <s v="Tuesday"/>
    <s v="Monthly - Tuesday"/>
    <s v="Monthly - Tuesday"/>
    <s v="Month+38 Expiry"/>
    <n v="2"/>
    <n v="0.34"/>
    <n v="0.01"/>
  </r>
  <r>
    <s v="06-Oct-2025"/>
    <x v="0"/>
    <s v="Week1-Oct-2025"/>
    <x v="1"/>
    <s v="26-Jun-2029"/>
    <s v="Tuesday"/>
    <s v="Monthly - Tuesday"/>
    <s v="Monthly - Tuesday"/>
    <s v="Month+44 Expiry"/>
    <n v="0"/>
    <n v="0"/>
    <n v="0"/>
  </r>
  <r>
    <s v="06-Oct-2025"/>
    <x v="0"/>
    <s v="Week1-Oct-2025"/>
    <x v="1"/>
    <s v="24-Dec-2029"/>
    <s v="Monday"/>
    <s v="Weekly - Monday"/>
    <s v="Weekly - Monday"/>
    <s v="Month+50 Expiry"/>
    <n v="0"/>
    <n v="0"/>
    <n v="0"/>
  </r>
  <r>
    <s v="06-Oct-2025"/>
    <x v="0"/>
    <s v="Week1-Oct-2025"/>
    <x v="1"/>
    <s v="25-Jun-2030"/>
    <s v="Tuesday"/>
    <s v="Monthly - Tuesday"/>
    <s v="Monthly - Tuesday"/>
    <s v="Month+56 Expiry"/>
    <n v="0"/>
    <n v="0"/>
    <n v="0"/>
  </r>
  <r>
    <s v="07-Oct-2025"/>
    <x v="1"/>
    <s v="Week1-Oct-2025"/>
    <x v="1"/>
    <s v="07-Oct-2025"/>
    <s v="Tuesday"/>
    <s v="Weekly - Tuesday"/>
    <s v="Weekly - Tuesday"/>
    <s v="Same Month Expiry"/>
    <n v="331806540"/>
    <n v="62607677.789999999"/>
    <n v="52478.33"/>
  </r>
  <r>
    <s v="07-Oct-2025"/>
    <x v="1"/>
    <s v="Week1-Oct-2025"/>
    <x v="1"/>
    <s v="14-Oct-2025"/>
    <s v="Tuesday"/>
    <s v="Weekly - Tuesday"/>
    <s v="Weekly - Tuesday"/>
    <s v="Same Month Expiry"/>
    <n v="11375836"/>
    <n v="2149607.23"/>
    <n v="5567.39"/>
  </r>
  <r>
    <s v="07-Oct-2025"/>
    <x v="1"/>
    <s v="Week1-Oct-2025"/>
    <x v="1"/>
    <s v="20-Oct-2025"/>
    <s v="Monday"/>
    <s v="Weekly - Monday"/>
    <s v="Weekly - Monday"/>
    <s v="Same Month Expiry"/>
    <n v="416113"/>
    <n v="78833.61"/>
    <n v="283.3"/>
  </r>
  <r>
    <s v="07-Oct-2025"/>
    <x v="1"/>
    <s v="Week1-Oct-2025"/>
    <x v="1"/>
    <s v="28-Oct-2025"/>
    <s v="Tuesday"/>
    <s v="Monthly - Tuesday"/>
    <s v="Monthly - Tuesday"/>
    <s v="Same Month Expiry"/>
    <n v="1588259"/>
    <n v="300466.2"/>
    <n v="1632.95"/>
  </r>
  <r>
    <s v="07-Oct-2025"/>
    <x v="1"/>
    <s v="Week1-Oct-2025"/>
    <x v="1"/>
    <s v="04-Nov-2025"/>
    <s v="Tuesday"/>
    <s v="Weekly - Tuesday"/>
    <s v="Weekly - Tuesday"/>
    <s v="Month+1 Expiry"/>
    <n v="6550"/>
    <n v="1238.2"/>
    <n v="6.15"/>
  </r>
  <r>
    <s v="07-Oct-2025"/>
    <x v="1"/>
    <s v="Week1-Oct-2025"/>
    <x v="1"/>
    <s v="25-Nov-2025"/>
    <s v="Tuesday"/>
    <s v="Monthly - Tuesday"/>
    <s v="Monthly - Tuesday"/>
    <s v="Month+1 Expiry"/>
    <n v="160788"/>
    <n v="30469.88"/>
    <n v="201.76"/>
  </r>
  <r>
    <s v="07-Oct-2025"/>
    <x v="1"/>
    <s v="Week1-Oct-2025"/>
    <x v="1"/>
    <s v="30-Dec-2025"/>
    <s v="Tuesday"/>
    <s v="Monthly - Tuesday"/>
    <s v="Monthly - Tuesday"/>
    <s v="Month+2 Expiry"/>
    <n v="86974"/>
    <n v="16482.21"/>
    <n v="190.78"/>
  </r>
  <r>
    <s v="07-Oct-2025"/>
    <x v="1"/>
    <s v="Week1-Oct-2025"/>
    <x v="1"/>
    <s v="31-Mar-2026"/>
    <s v="Tuesday"/>
    <s v="Monthly - Tuesday"/>
    <s v="Monthly - Tuesday"/>
    <s v="Month+5 Expiry"/>
    <n v="13577"/>
    <n v="2617.64"/>
    <n v="45.86"/>
  </r>
  <r>
    <s v="07-Oct-2025"/>
    <x v="1"/>
    <s v="Week1-Oct-2025"/>
    <x v="1"/>
    <s v="30-Jun-2026"/>
    <s v="Tuesday"/>
    <s v="Monthly - Tuesday"/>
    <s v="Monthly - Tuesday"/>
    <s v="Month+8 Expiry"/>
    <n v="1089"/>
    <n v="208.54"/>
    <n v="4.3899999999999997"/>
  </r>
  <r>
    <s v="07-Oct-2025"/>
    <x v="1"/>
    <s v="Week1-Oct-2025"/>
    <x v="1"/>
    <s v="29-Sep-2026"/>
    <s v="Tuesday"/>
    <s v="Monthly - Tuesday"/>
    <s v="Monthly - Tuesday"/>
    <s v="Month+11 Expiry"/>
    <n v="0"/>
    <n v="0"/>
    <n v="0"/>
  </r>
  <r>
    <s v="07-Oct-2025"/>
    <x v="1"/>
    <s v="Week1-Oct-2025"/>
    <x v="1"/>
    <s v="29-Dec-2026"/>
    <s v="Tuesday"/>
    <s v="Monthly - Tuesday"/>
    <s v="Monthly - Tuesday"/>
    <s v="Month+14 Expiry"/>
    <n v="811"/>
    <n v="162.19"/>
    <n v="5.93"/>
  </r>
  <r>
    <s v="07-Oct-2025"/>
    <x v="1"/>
    <s v="Week1-Oct-2025"/>
    <x v="1"/>
    <s v="29-Jun-2027"/>
    <s v="Tuesday"/>
    <s v="Monthly - Tuesday"/>
    <s v="Monthly - Tuesday"/>
    <s v="Month+20 Expiry"/>
    <n v="0"/>
    <n v="0"/>
    <n v="0"/>
  </r>
  <r>
    <s v="07-Oct-2025"/>
    <x v="1"/>
    <s v="Week1-Oct-2025"/>
    <x v="1"/>
    <s v="28-Dec-2027"/>
    <s v="Tuesday"/>
    <s v="Monthly - Tuesday"/>
    <s v="Monthly - Tuesday"/>
    <s v="Month+26 Expiry"/>
    <n v="2"/>
    <n v="0.39"/>
    <n v="0.01"/>
  </r>
  <r>
    <s v="07-Oct-2025"/>
    <x v="1"/>
    <s v="Week1-Oct-2025"/>
    <x v="1"/>
    <s v="27-Jun-2028"/>
    <s v="Tuesday"/>
    <s v="Monthly - Tuesday"/>
    <s v="Monthly - Tuesday"/>
    <s v="Month+32 Expiry"/>
    <n v="0"/>
    <n v="0"/>
    <n v="0"/>
  </r>
  <r>
    <s v="07-Oct-2025"/>
    <x v="1"/>
    <s v="Week1-Oct-2025"/>
    <x v="1"/>
    <s v="26-Dec-2028"/>
    <s v="Tuesday"/>
    <s v="Monthly - Tuesday"/>
    <s v="Monthly - Tuesday"/>
    <s v="Month+38 Expiry"/>
    <n v="1"/>
    <n v="0.18"/>
    <n v="0"/>
  </r>
  <r>
    <s v="07-Oct-2025"/>
    <x v="1"/>
    <s v="Week1-Oct-2025"/>
    <x v="1"/>
    <s v="26-Jun-2029"/>
    <s v="Tuesday"/>
    <s v="Monthly - Tuesday"/>
    <s v="Monthly - Tuesday"/>
    <s v="Month+44 Expiry"/>
    <n v="0"/>
    <n v="0"/>
    <n v="0"/>
  </r>
  <r>
    <s v="07-Oct-2025"/>
    <x v="1"/>
    <s v="Week1-Oct-2025"/>
    <x v="1"/>
    <s v="24-Dec-2029"/>
    <s v="Monday"/>
    <s v="Weekly - Monday"/>
    <s v="Weekly - Monday"/>
    <s v="Month+50 Expiry"/>
    <n v="0"/>
    <n v="0"/>
    <n v="0"/>
  </r>
  <r>
    <s v="07-Oct-2025"/>
    <x v="1"/>
    <s v="Week1-Oct-2025"/>
    <x v="1"/>
    <s v="25-Jun-2030"/>
    <s v="Tuesday"/>
    <s v="Monthly - Tuesday"/>
    <s v="Monthly - Tuesday"/>
    <s v="Month+56 Expiry"/>
    <n v="0"/>
    <n v="0"/>
    <n v="0"/>
  </r>
  <r>
    <s v="08-Oct-2025"/>
    <x v="2"/>
    <s v="Week2-Oct-2025"/>
    <x v="1"/>
    <s v="14-Oct-2025"/>
    <s v="Tuesday"/>
    <s v="Weekly - Tuesday"/>
    <s v="Weekly - Tuesday"/>
    <s v="Same Month Expiry"/>
    <n v="73976004"/>
    <n v="13978284.43"/>
    <n v="35121.64"/>
  </r>
  <r>
    <s v="08-Oct-2025"/>
    <x v="2"/>
    <s v="Week2-Oct-2025"/>
    <x v="1"/>
    <s v="20-Oct-2025"/>
    <s v="Monday"/>
    <s v="Weekly - Monday"/>
    <s v="Weekly - Monday"/>
    <s v="Same Month Expiry"/>
    <n v="1234466"/>
    <n v="233747.12"/>
    <n v="828.69"/>
  </r>
  <r>
    <s v="08-Oct-2025"/>
    <x v="2"/>
    <s v="Week2-Oct-2025"/>
    <x v="1"/>
    <s v="28-Oct-2025"/>
    <s v="Tuesday"/>
    <s v="Monthly - Tuesday"/>
    <s v="Monthly - Tuesday"/>
    <s v="Same Month Expiry"/>
    <n v="1675658"/>
    <n v="317834.3"/>
    <n v="1596.16"/>
  </r>
  <r>
    <s v="08-Oct-2025"/>
    <x v="2"/>
    <s v="Week2-Oct-2025"/>
    <x v="1"/>
    <s v="04-Nov-2025"/>
    <s v="Tuesday"/>
    <s v="Weekly - Tuesday"/>
    <s v="Weekly - Tuesday"/>
    <s v="Month+1 Expiry"/>
    <n v="10938"/>
    <n v="2070.59"/>
    <n v="13.79"/>
  </r>
  <r>
    <s v="08-Oct-2025"/>
    <x v="2"/>
    <s v="Week2-Oct-2025"/>
    <x v="1"/>
    <s v="11-Nov-2025"/>
    <s v="Tuesday"/>
    <s v="Weekly - Tuesday"/>
    <s v="Weekly - Tuesday"/>
    <s v="Month+1 Expiry"/>
    <n v="436"/>
    <n v="82.7"/>
    <n v="0.74"/>
  </r>
  <r>
    <s v="08-Oct-2025"/>
    <x v="2"/>
    <s v="Week2-Oct-2025"/>
    <x v="1"/>
    <s v="25-Nov-2025"/>
    <s v="Tuesday"/>
    <s v="Monthly - Tuesday"/>
    <s v="Monthly - Tuesday"/>
    <s v="Month+1 Expiry"/>
    <n v="168690"/>
    <n v="32037.78"/>
    <n v="223.96"/>
  </r>
  <r>
    <s v="08-Oct-2025"/>
    <x v="2"/>
    <s v="Week2-Oct-2025"/>
    <x v="1"/>
    <s v="30-Dec-2025"/>
    <s v="Tuesday"/>
    <s v="Monthly - Tuesday"/>
    <s v="Monthly - Tuesday"/>
    <s v="Month+2 Expiry"/>
    <n v="89038"/>
    <n v="16764.11"/>
    <n v="162.12"/>
  </r>
  <r>
    <s v="08-Oct-2025"/>
    <x v="2"/>
    <s v="Week2-Oct-2025"/>
    <x v="1"/>
    <s v="31-Mar-2026"/>
    <s v="Tuesday"/>
    <s v="Monthly - Tuesday"/>
    <s v="Monthly - Tuesday"/>
    <s v="Month+5 Expiry"/>
    <n v="10703"/>
    <n v="2074.85"/>
    <n v="32.47"/>
  </r>
  <r>
    <s v="08-Oct-2025"/>
    <x v="2"/>
    <s v="Week2-Oct-2025"/>
    <x v="1"/>
    <s v="30-Jun-2026"/>
    <s v="Tuesday"/>
    <s v="Monthly - Tuesday"/>
    <s v="Monthly - Tuesday"/>
    <s v="Month+8 Expiry"/>
    <n v="2033"/>
    <n v="400.16"/>
    <n v="11.06"/>
  </r>
  <r>
    <s v="08-Oct-2025"/>
    <x v="2"/>
    <s v="Week2-Oct-2025"/>
    <x v="1"/>
    <s v="29-Sep-2026"/>
    <s v="Tuesday"/>
    <s v="Monthly - Tuesday"/>
    <s v="Monthly - Tuesday"/>
    <s v="Month+11 Expiry"/>
    <n v="0"/>
    <n v="0"/>
    <n v="0"/>
  </r>
  <r>
    <s v="08-Oct-2025"/>
    <x v="2"/>
    <s v="Week2-Oct-2025"/>
    <x v="1"/>
    <s v="29-Dec-2026"/>
    <s v="Tuesday"/>
    <s v="Monthly - Tuesday"/>
    <s v="Monthly - Tuesday"/>
    <s v="Month+14 Expiry"/>
    <n v="1918"/>
    <n v="387.36"/>
    <n v="16.11"/>
  </r>
  <r>
    <s v="08-Oct-2025"/>
    <x v="2"/>
    <s v="Week2-Oct-2025"/>
    <x v="1"/>
    <s v="29-Jun-2027"/>
    <s v="Tuesday"/>
    <s v="Monthly - Tuesday"/>
    <s v="Monthly - Tuesday"/>
    <s v="Month+20 Expiry"/>
    <n v="0"/>
    <n v="0"/>
    <n v="0"/>
  </r>
  <r>
    <s v="08-Oct-2025"/>
    <x v="2"/>
    <s v="Week2-Oct-2025"/>
    <x v="1"/>
    <s v="28-Dec-2027"/>
    <s v="Tuesday"/>
    <s v="Monthly - Tuesday"/>
    <s v="Monthly - Tuesday"/>
    <s v="Month+26 Expiry"/>
    <n v="0"/>
    <n v="0"/>
    <n v="0"/>
  </r>
  <r>
    <s v="08-Oct-2025"/>
    <x v="2"/>
    <s v="Week2-Oct-2025"/>
    <x v="1"/>
    <s v="27-Jun-2028"/>
    <s v="Tuesday"/>
    <s v="Monthly - Tuesday"/>
    <s v="Monthly - Tuesday"/>
    <s v="Month+32 Expiry"/>
    <n v="0"/>
    <n v="0"/>
    <n v="0"/>
  </r>
  <r>
    <s v="08-Oct-2025"/>
    <x v="2"/>
    <s v="Week2-Oct-2025"/>
    <x v="1"/>
    <s v="26-Dec-2028"/>
    <s v="Tuesday"/>
    <s v="Monthly - Tuesday"/>
    <s v="Monthly - Tuesday"/>
    <s v="Month+38 Expiry"/>
    <n v="0"/>
    <n v="0"/>
    <n v="0"/>
  </r>
  <r>
    <s v="08-Oct-2025"/>
    <x v="2"/>
    <s v="Week2-Oct-2025"/>
    <x v="1"/>
    <s v="26-Jun-2029"/>
    <s v="Tuesday"/>
    <s v="Monthly - Tuesday"/>
    <s v="Monthly - Tuesday"/>
    <s v="Month+44 Expiry"/>
    <n v="0"/>
    <n v="0"/>
    <n v="0"/>
  </r>
  <r>
    <s v="08-Oct-2025"/>
    <x v="2"/>
    <s v="Week2-Oct-2025"/>
    <x v="1"/>
    <s v="24-Dec-2029"/>
    <s v="Monday"/>
    <s v="Weekly - Monday"/>
    <s v="Weekly - Monday"/>
    <s v="Month+50 Expiry"/>
    <n v="0"/>
    <n v="0"/>
    <n v="0"/>
  </r>
  <r>
    <s v="08-Oct-2025"/>
    <x v="2"/>
    <s v="Week2-Oct-2025"/>
    <x v="1"/>
    <s v="25-Jun-2030"/>
    <s v="Tuesday"/>
    <s v="Monthly - Tuesday"/>
    <s v="Monthly - Tuesday"/>
    <s v="Month+56 Expiry"/>
    <n v="0"/>
    <n v="0"/>
    <n v="0"/>
  </r>
  <r>
    <s v="09-Oct-2025"/>
    <x v="3"/>
    <s v="Week2-Oct-2025"/>
    <x v="1"/>
    <s v="14-Oct-2025"/>
    <s v="Tuesday"/>
    <s v="Weekly - Tuesday"/>
    <s v="Weekly - Tuesday"/>
    <s v="Same Month Expiry"/>
    <n v="64315398"/>
    <n v="12143000.25"/>
    <n v="27453.96"/>
  </r>
  <r>
    <s v="09-Oct-2025"/>
    <x v="3"/>
    <s v="Week2-Oct-2025"/>
    <x v="1"/>
    <s v="20-Oct-2025"/>
    <s v="Monday"/>
    <s v="Weekly - Monday"/>
    <s v="Weekly - Monday"/>
    <s v="Same Month Expiry"/>
    <n v="1418930"/>
    <n v="268743.12"/>
    <n v="887.11"/>
  </r>
  <r>
    <s v="09-Oct-2025"/>
    <x v="3"/>
    <s v="Week2-Oct-2025"/>
    <x v="1"/>
    <s v="28-Oct-2025"/>
    <s v="Tuesday"/>
    <s v="Monthly - Tuesday"/>
    <s v="Monthly - Tuesday"/>
    <s v="Same Month Expiry"/>
    <n v="1460975"/>
    <n v="276705.57"/>
    <n v="1422.93"/>
  </r>
  <r>
    <s v="09-Oct-2025"/>
    <x v="3"/>
    <s v="Week2-Oct-2025"/>
    <x v="1"/>
    <s v="04-Nov-2025"/>
    <s v="Tuesday"/>
    <s v="Weekly - Tuesday"/>
    <s v="Weekly - Tuesday"/>
    <s v="Month+1 Expiry"/>
    <n v="12400"/>
    <n v="2369.6799999999998"/>
    <n v="13.26"/>
  </r>
  <r>
    <s v="09-Oct-2025"/>
    <x v="3"/>
    <s v="Week2-Oct-2025"/>
    <x v="1"/>
    <s v="11-Nov-2025"/>
    <s v="Tuesday"/>
    <s v="Weekly - Tuesday"/>
    <s v="Weekly - Tuesday"/>
    <s v="Month+1 Expiry"/>
    <n v="1549"/>
    <n v="293.70999999999998"/>
    <n v="2.13"/>
  </r>
  <r>
    <s v="09-Oct-2025"/>
    <x v="3"/>
    <s v="Week2-Oct-2025"/>
    <x v="1"/>
    <s v="25-Nov-2025"/>
    <s v="Tuesday"/>
    <s v="Monthly - Tuesday"/>
    <s v="Monthly - Tuesday"/>
    <s v="Month+1 Expiry"/>
    <n v="184524"/>
    <n v="35110.550000000003"/>
    <n v="233.56"/>
  </r>
  <r>
    <s v="09-Oct-2025"/>
    <x v="3"/>
    <s v="Week2-Oct-2025"/>
    <x v="1"/>
    <s v="30-Dec-2025"/>
    <s v="Tuesday"/>
    <s v="Monthly - Tuesday"/>
    <s v="Monthly - Tuesday"/>
    <s v="Month+2 Expiry"/>
    <n v="81705"/>
    <n v="15500.28"/>
    <n v="183.43"/>
  </r>
  <r>
    <s v="09-Oct-2025"/>
    <x v="3"/>
    <s v="Week2-Oct-2025"/>
    <x v="1"/>
    <s v="31-Mar-2026"/>
    <s v="Tuesday"/>
    <s v="Monthly - Tuesday"/>
    <s v="Monthly - Tuesday"/>
    <s v="Month+5 Expiry"/>
    <n v="10263"/>
    <n v="1966.47"/>
    <n v="26.44"/>
  </r>
  <r>
    <s v="09-Oct-2025"/>
    <x v="3"/>
    <s v="Week2-Oct-2025"/>
    <x v="1"/>
    <s v="30-Jun-2026"/>
    <s v="Tuesday"/>
    <s v="Monthly - Tuesday"/>
    <s v="Monthly - Tuesday"/>
    <s v="Month+8 Expiry"/>
    <n v="1286"/>
    <n v="245.37"/>
    <n v="5.53"/>
  </r>
  <r>
    <s v="09-Oct-2025"/>
    <x v="3"/>
    <s v="Week2-Oct-2025"/>
    <x v="1"/>
    <s v="29-Sep-2026"/>
    <s v="Tuesday"/>
    <s v="Monthly - Tuesday"/>
    <s v="Monthly - Tuesday"/>
    <s v="Month+11 Expiry"/>
    <n v="0"/>
    <n v="0"/>
    <n v="0"/>
  </r>
  <r>
    <s v="09-Oct-2025"/>
    <x v="3"/>
    <s v="Week2-Oct-2025"/>
    <x v="1"/>
    <s v="29-Dec-2026"/>
    <s v="Tuesday"/>
    <s v="Monthly - Tuesday"/>
    <s v="Monthly - Tuesday"/>
    <s v="Month+14 Expiry"/>
    <n v="1339"/>
    <n v="271.49"/>
    <n v="11.17"/>
  </r>
  <r>
    <s v="09-Oct-2025"/>
    <x v="3"/>
    <s v="Week2-Oct-2025"/>
    <x v="1"/>
    <s v="29-Jun-2027"/>
    <s v="Tuesday"/>
    <s v="Monthly - Tuesday"/>
    <s v="Monthly - Tuesday"/>
    <s v="Month+20 Expiry"/>
    <n v="0"/>
    <n v="0"/>
    <n v="0"/>
  </r>
  <r>
    <s v="09-Oct-2025"/>
    <x v="3"/>
    <s v="Week2-Oct-2025"/>
    <x v="1"/>
    <s v="28-Dec-2027"/>
    <s v="Tuesday"/>
    <s v="Monthly - Tuesday"/>
    <s v="Monthly - Tuesday"/>
    <s v="Month+26 Expiry"/>
    <n v="0"/>
    <n v="0"/>
    <n v="0"/>
  </r>
  <r>
    <s v="09-Oct-2025"/>
    <x v="3"/>
    <s v="Week2-Oct-2025"/>
    <x v="1"/>
    <s v="27-Jun-2028"/>
    <s v="Tuesday"/>
    <s v="Monthly - Tuesday"/>
    <s v="Monthly - Tuesday"/>
    <s v="Month+32 Expiry"/>
    <n v="0"/>
    <n v="0"/>
    <n v="0"/>
  </r>
  <r>
    <s v="09-Oct-2025"/>
    <x v="3"/>
    <s v="Week2-Oct-2025"/>
    <x v="1"/>
    <s v="26-Dec-2028"/>
    <s v="Tuesday"/>
    <s v="Monthly - Tuesday"/>
    <s v="Monthly - Tuesday"/>
    <s v="Month+38 Expiry"/>
    <n v="0"/>
    <n v="0"/>
    <n v="0"/>
  </r>
  <r>
    <s v="09-Oct-2025"/>
    <x v="3"/>
    <s v="Week2-Oct-2025"/>
    <x v="1"/>
    <s v="26-Jun-2029"/>
    <s v="Tuesday"/>
    <s v="Monthly - Tuesday"/>
    <s v="Monthly - Tuesday"/>
    <s v="Month+44 Expiry"/>
    <n v="0"/>
    <n v="0"/>
    <n v="0"/>
  </r>
  <r>
    <s v="09-Oct-2025"/>
    <x v="3"/>
    <s v="Week2-Oct-2025"/>
    <x v="1"/>
    <s v="24-Dec-2029"/>
    <s v="Monday"/>
    <s v="Weekly - Monday"/>
    <s v="Weekly - Monday"/>
    <s v="Month+50 Expiry"/>
    <n v="0"/>
    <n v="0"/>
    <n v="0"/>
  </r>
  <r>
    <s v="09-Oct-2025"/>
    <x v="3"/>
    <s v="Week2-Oct-2025"/>
    <x v="1"/>
    <s v="25-Jun-2030"/>
    <s v="Tuesday"/>
    <s v="Monthly - Tuesday"/>
    <s v="Monthly - Tuesday"/>
    <s v="Month+56 Expiry"/>
    <n v="0"/>
    <n v="0"/>
    <n v="0"/>
  </r>
  <r>
    <s v="10-Oct-2025"/>
    <x v="4"/>
    <s v="Week2-Oct-2025"/>
    <x v="1"/>
    <s v="14-Oct-2025"/>
    <s v="Tuesday"/>
    <s v="Weekly - Tuesday"/>
    <s v="Weekly - Tuesday"/>
    <s v="Same Month Expiry"/>
    <n v="93724570"/>
    <n v="17758210.98"/>
    <n v="36685.269999999997"/>
  </r>
  <r>
    <s v="10-Oct-2025"/>
    <x v="4"/>
    <s v="Week2-Oct-2025"/>
    <x v="1"/>
    <s v="20-Oct-2025"/>
    <s v="Monday"/>
    <s v="Weekly - Monday"/>
    <s v="Weekly - Monday"/>
    <s v="Same Month Expiry"/>
    <n v="2263147"/>
    <n v="430758.06"/>
    <n v="1343.45"/>
  </r>
  <r>
    <s v="10-Oct-2025"/>
    <x v="4"/>
    <s v="Week2-Oct-2025"/>
    <x v="1"/>
    <s v="28-Oct-2025"/>
    <s v="Tuesday"/>
    <s v="Monthly - Tuesday"/>
    <s v="Monthly - Tuesday"/>
    <s v="Same Month Expiry"/>
    <n v="1847985"/>
    <n v="351495.46"/>
    <n v="1775.74"/>
  </r>
  <r>
    <s v="10-Oct-2025"/>
    <x v="4"/>
    <s v="Week2-Oct-2025"/>
    <x v="1"/>
    <s v="04-Nov-2025"/>
    <s v="Tuesday"/>
    <s v="Weekly - Tuesday"/>
    <s v="Weekly - Tuesday"/>
    <s v="Month+1 Expiry"/>
    <n v="23117"/>
    <n v="4416"/>
    <n v="21.85"/>
  </r>
  <r>
    <s v="10-Oct-2025"/>
    <x v="4"/>
    <s v="Week2-Oct-2025"/>
    <x v="1"/>
    <s v="11-Nov-2025"/>
    <s v="Tuesday"/>
    <s v="Weekly - Tuesday"/>
    <s v="Weekly - Tuesday"/>
    <s v="Month+1 Expiry"/>
    <n v="2614"/>
    <n v="499.54"/>
    <n v="3.59"/>
  </r>
  <r>
    <s v="10-Oct-2025"/>
    <x v="4"/>
    <s v="Week2-Oct-2025"/>
    <x v="1"/>
    <s v="25-Nov-2025"/>
    <s v="Tuesday"/>
    <s v="Monthly - Tuesday"/>
    <s v="Monthly - Tuesday"/>
    <s v="Month+1 Expiry"/>
    <n v="241260"/>
    <n v="45895.91"/>
    <n v="343.63"/>
  </r>
  <r>
    <s v="10-Oct-2025"/>
    <x v="4"/>
    <s v="Week2-Oct-2025"/>
    <x v="1"/>
    <s v="30-Dec-2025"/>
    <s v="Tuesday"/>
    <s v="Monthly - Tuesday"/>
    <s v="Monthly - Tuesday"/>
    <s v="Month+2 Expiry"/>
    <n v="128509"/>
    <n v="24444.93"/>
    <n v="292.37"/>
  </r>
  <r>
    <s v="10-Oct-2025"/>
    <x v="4"/>
    <s v="Week2-Oct-2025"/>
    <x v="1"/>
    <s v="31-Mar-2026"/>
    <s v="Tuesday"/>
    <s v="Monthly - Tuesday"/>
    <s v="Monthly - Tuesday"/>
    <s v="Month+5 Expiry"/>
    <n v="15312"/>
    <n v="2947.33"/>
    <n v="45.49"/>
  </r>
  <r>
    <s v="10-Oct-2025"/>
    <x v="4"/>
    <s v="Week2-Oct-2025"/>
    <x v="1"/>
    <s v="30-Jun-2026"/>
    <s v="Tuesday"/>
    <s v="Monthly - Tuesday"/>
    <s v="Monthly - Tuesday"/>
    <s v="Month+8 Expiry"/>
    <n v="1789"/>
    <n v="346.02"/>
    <n v="7.77"/>
  </r>
  <r>
    <s v="10-Oct-2025"/>
    <x v="4"/>
    <s v="Week2-Oct-2025"/>
    <x v="1"/>
    <s v="29-Sep-2026"/>
    <s v="Tuesday"/>
    <s v="Monthly - Tuesday"/>
    <s v="Monthly - Tuesday"/>
    <s v="Month+11 Expiry"/>
    <n v="0"/>
    <n v="0"/>
    <n v="0"/>
  </r>
  <r>
    <s v="10-Oct-2025"/>
    <x v="4"/>
    <s v="Week2-Oct-2025"/>
    <x v="1"/>
    <s v="29-Dec-2026"/>
    <s v="Tuesday"/>
    <s v="Monthly - Tuesday"/>
    <s v="Monthly - Tuesday"/>
    <s v="Month+14 Expiry"/>
    <n v="1218"/>
    <n v="244.36"/>
    <n v="8.14"/>
  </r>
  <r>
    <s v="10-Oct-2025"/>
    <x v="4"/>
    <s v="Week2-Oct-2025"/>
    <x v="1"/>
    <s v="29-Jun-2027"/>
    <s v="Tuesday"/>
    <s v="Monthly - Tuesday"/>
    <s v="Monthly - Tuesday"/>
    <s v="Month+20 Expiry"/>
    <n v="0"/>
    <n v="0"/>
    <n v="0"/>
  </r>
  <r>
    <s v="10-Oct-2025"/>
    <x v="4"/>
    <s v="Week2-Oct-2025"/>
    <x v="1"/>
    <s v="28-Dec-2027"/>
    <s v="Tuesday"/>
    <s v="Monthly - Tuesday"/>
    <s v="Monthly - Tuesday"/>
    <s v="Month+26 Expiry"/>
    <n v="8"/>
    <n v="1.55"/>
    <n v="0.06"/>
  </r>
  <r>
    <s v="10-Oct-2025"/>
    <x v="4"/>
    <s v="Week2-Oct-2025"/>
    <x v="1"/>
    <s v="27-Jun-2028"/>
    <s v="Tuesday"/>
    <s v="Monthly - Tuesday"/>
    <s v="Monthly - Tuesday"/>
    <s v="Month+32 Expiry"/>
    <n v="0"/>
    <n v="0"/>
    <n v="0"/>
  </r>
  <r>
    <s v="10-Oct-2025"/>
    <x v="4"/>
    <s v="Week2-Oct-2025"/>
    <x v="1"/>
    <s v="26-Dec-2028"/>
    <s v="Tuesday"/>
    <s v="Monthly - Tuesday"/>
    <s v="Monthly - Tuesday"/>
    <s v="Month+38 Expiry"/>
    <n v="1"/>
    <n v="0.23"/>
    <n v="0.02"/>
  </r>
  <r>
    <s v="10-Oct-2025"/>
    <x v="4"/>
    <s v="Week2-Oct-2025"/>
    <x v="1"/>
    <s v="26-Jun-2029"/>
    <s v="Tuesday"/>
    <s v="Monthly - Tuesday"/>
    <s v="Monthly - Tuesday"/>
    <s v="Month+44 Expiry"/>
    <n v="0"/>
    <n v="0"/>
    <n v="0"/>
  </r>
  <r>
    <s v="10-Oct-2025"/>
    <x v="4"/>
    <s v="Week2-Oct-2025"/>
    <x v="1"/>
    <s v="24-Dec-2029"/>
    <s v="Monday"/>
    <s v="Weekly - Monday"/>
    <s v="Weekly - Monday"/>
    <s v="Month+50 Expiry"/>
    <n v="0"/>
    <n v="0"/>
    <n v="0"/>
  </r>
  <r>
    <s v="10-Oct-2025"/>
    <x v="4"/>
    <s v="Week2-Oct-2025"/>
    <x v="1"/>
    <s v="25-Jun-2030"/>
    <s v="Tuesday"/>
    <s v="Monthly - Tuesday"/>
    <s v="Monthly - Tuesday"/>
    <s v="Month+56 Expiry"/>
    <n v="0"/>
    <n v="0"/>
    <n v="0"/>
  </r>
  <r>
    <s v="13-Oct-2025"/>
    <x v="0"/>
    <s v="Week2-Oct-2025"/>
    <x v="1"/>
    <s v="14-Oct-2025"/>
    <s v="Tuesday"/>
    <s v="Weekly - Tuesday"/>
    <s v="Weekly - Tuesday"/>
    <s v="Same Month Expiry"/>
    <n v="128912031"/>
    <n v="24391640.420000002"/>
    <n v="40289.25"/>
  </r>
  <r>
    <s v="13-Oct-2025"/>
    <x v="0"/>
    <s v="Week2-Oct-2025"/>
    <x v="1"/>
    <s v="20-Oct-2025"/>
    <s v="Monday"/>
    <s v="Weekly - Monday"/>
    <s v="Weekly - Monday"/>
    <s v="Same Month Expiry"/>
    <n v="4326911"/>
    <n v="821178.07"/>
    <n v="2535.19"/>
  </r>
  <r>
    <s v="13-Oct-2025"/>
    <x v="0"/>
    <s v="Week2-Oct-2025"/>
    <x v="1"/>
    <s v="28-Oct-2025"/>
    <s v="Tuesday"/>
    <s v="Monthly - Tuesday"/>
    <s v="Monthly - Tuesday"/>
    <s v="Same Month Expiry"/>
    <n v="1830186"/>
    <n v="347741.45"/>
    <n v="1768.47"/>
  </r>
  <r>
    <s v="13-Oct-2025"/>
    <x v="0"/>
    <s v="Week2-Oct-2025"/>
    <x v="1"/>
    <s v="04-Nov-2025"/>
    <s v="Tuesday"/>
    <s v="Weekly - Tuesday"/>
    <s v="Weekly - Tuesday"/>
    <s v="Month+1 Expiry"/>
    <n v="30856"/>
    <n v="5872.25"/>
    <n v="32.75"/>
  </r>
  <r>
    <s v="13-Oct-2025"/>
    <x v="0"/>
    <s v="Week2-Oct-2025"/>
    <x v="1"/>
    <s v="11-Nov-2025"/>
    <s v="Tuesday"/>
    <s v="Weekly - Tuesday"/>
    <s v="Weekly - Tuesday"/>
    <s v="Month+1 Expiry"/>
    <n v="4406"/>
    <n v="842.87"/>
    <n v="5.49"/>
  </r>
  <r>
    <s v="13-Oct-2025"/>
    <x v="0"/>
    <s v="Week2-Oct-2025"/>
    <x v="1"/>
    <s v="25-Nov-2025"/>
    <s v="Tuesday"/>
    <s v="Monthly - Tuesday"/>
    <s v="Monthly - Tuesday"/>
    <s v="Month+1 Expiry"/>
    <n v="177422"/>
    <n v="33680.25"/>
    <n v="216.83"/>
  </r>
  <r>
    <s v="13-Oct-2025"/>
    <x v="0"/>
    <s v="Week2-Oct-2025"/>
    <x v="1"/>
    <s v="30-Dec-2025"/>
    <s v="Tuesday"/>
    <s v="Monthly - Tuesday"/>
    <s v="Monthly - Tuesday"/>
    <s v="Month+2 Expiry"/>
    <n v="89829"/>
    <n v="16945.61"/>
    <n v="175.15"/>
  </r>
  <r>
    <s v="13-Oct-2025"/>
    <x v="0"/>
    <s v="Week2-Oct-2025"/>
    <x v="1"/>
    <s v="31-Mar-2026"/>
    <s v="Tuesday"/>
    <s v="Monthly - Tuesday"/>
    <s v="Monthly - Tuesday"/>
    <s v="Month+5 Expiry"/>
    <n v="10943"/>
    <n v="2120.09"/>
    <n v="35.93"/>
  </r>
  <r>
    <s v="13-Oct-2025"/>
    <x v="0"/>
    <s v="Week2-Oct-2025"/>
    <x v="1"/>
    <s v="30-Jun-2026"/>
    <s v="Tuesday"/>
    <s v="Monthly - Tuesday"/>
    <s v="Monthly - Tuesday"/>
    <s v="Month+8 Expiry"/>
    <n v="1020"/>
    <n v="196.96"/>
    <n v="4.37"/>
  </r>
  <r>
    <s v="13-Oct-2025"/>
    <x v="0"/>
    <s v="Week2-Oct-2025"/>
    <x v="1"/>
    <s v="29-Sep-2026"/>
    <s v="Tuesday"/>
    <s v="Monthly - Tuesday"/>
    <s v="Monthly - Tuesday"/>
    <s v="Month+11 Expiry"/>
    <n v="0"/>
    <n v="0"/>
    <n v="0"/>
  </r>
  <r>
    <s v="13-Oct-2025"/>
    <x v="0"/>
    <s v="Week2-Oct-2025"/>
    <x v="1"/>
    <s v="29-Dec-2026"/>
    <s v="Tuesday"/>
    <s v="Monthly - Tuesday"/>
    <s v="Monthly - Tuesday"/>
    <s v="Month+14 Expiry"/>
    <n v="867"/>
    <n v="174.88"/>
    <n v="6.72"/>
  </r>
  <r>
    <s v="13-Oct-2025"/>
    <x v="0"/>
    <s v="Week2-Oct-2025"/>
    <x v="1"/>
    <s v="29-Jun-2027"/>
    <s v="Tuesday"/>
    <s v="Monthly - Tuesday"/>
    <s v="Monthly - Tuesday"/>
    <s v="Month+20 Expiry"/>
    <n v="0"/>
    <n v="0"/>
    <n v="0"/>
  </r>
  <r>
    <s v="13-Oct-2025"/>
    <x v="0"/>
    <s v="Week2-Oct-2025"/>
    <x v="1"/>
    <s v="28-Dec-2027"/>
    <s v="Tuesday"/>
    <s v="Monthly - Tuesday"/>
    <s v="Monthly - Tuesday"/>
    <s v="Month+26 Expiry"/>
    <n v="0"/>
    <n v="0"/>
    <n v="0"/>
  </r>
  <r>
    <s v="13-Oct-2025"/>
    <x v="0"/>
    <s v="Week2-Oct-2025"/>
    <x v="1"/>
    <s v="27-Jun-2028"/>
    <s v="Tuesday"/>
    <s v="Monthly - Tuesday"/>
    <s v="Monthly - Tuesday"/>
    <s v="Month+32 Expiry"/>
    <n v="0"/>
    <n v="0"/>
    <n v="0"/>
  </r>
  <r>
    <s v="13-Oct-2025"/>
    <x v="0"/>
    <s v="Week2-Oct-2025"/>
    <x v="1"/>
    <s v="26-Dec-2028"/>
    <s v="Tuesday"/>
    <s v="Monthly - Tuesday"/>
    <s v="Monthly - Tuesday"/>
    <s v="Month+38 Expiry"/>
    <n v="0"/>
    <n v="0"/>
    <n v="0"/>
  </r>
  <r>
    <s v="13-Oct-2025"/>
    <x v="0"/>
    <s v="Week2-Oct-2025"/>
    <x v="1"/>
    <s v="26-Jun-2029"/>
    <s v="Tuesday"/>
    <s v="Monthly - Tuesday"/>
    <s v="Monthly - Tuesday"/>
    <s v="Month+44 Expiry"/>
    <n v="0"/>
    <n v="0"/>
    <n v="0"/>
  </r>
  <r>
    <s v="13-Oct-2025"/>
    <x v="0"/>
    <s v="Week2-Oct-2025"/>
    <x v="1"/>
    <s v="24-Dec-2029"/>
    <s v="Monday"/>
    <s v="Weekly - Monday"/>
    <s v="Weekly - Monday"/>
    <s v="Month+50 Expiry"/>
    <n v="0"/>
    <n v="0"/>
    <n v="0"/>
  </r>
  <r>
    <s v="13-Oct-2025"/>
    <x v="0"/>
    <s v="Week2-Oct-2025"/>
    <x v="1"/>
    <s v="25-Jun-2030"/>
    <s v="Tuesday"/>
    <s v="Monthly - Tuesday"/>
    <s v="Monthly - Tuesday"/>
    <s v="Month+56 Expiry"/>
    <n v="0"/>
    <n v="0"/>
    <n v="0"/>
  </r>
  <r>
    <s v="14-Oct-2025"/>
    <x v="1"/>
    <s v="Week2-Oct-2025"/>
    <x v="1"/>
    <s v="14-Oct-2025"/>
    <s v="Tuesday"/>
    <s v="Weekly - Tuesday"/>
    <s v="Weekly - Tuesday"/>
    <s v="Same Month Expiry"/>
    <n v="344063307"/>
    <n v="65013553.380000003"/>
    <n v="58607.6"/>
  </r>
  <r>
    <s v="14-Oct-2025"/>
    <x v="1"/>
    <s v="Week2-Oct-2025"/>
    <x v="1"/>
    <s v="20-Oct-2025"/>
    <s v="Monday"/>
    <s v="Weekly - Monday"/>
    <s v="Weekly - Monday"/>
    <s v="Same Month Expiry"/>
    <n v="12826860"/>
    <n v="2433871.65"/>
    <n v="6879.44"/>
  </r>
  <r>
    <s v="14-Oct-2025"/>
    <x v="1"/>
    <s v="Week2-Oct-2025"/>
    <x v="1"/>
    <s v="28-Oct-2025"/>
    <s v="Tuesday"/>
    <s v="Monthly - Tuesday"/>
    <s v="Monthly - Tuesday"/>
    <s v="Same Month Expiry"/>
    <n v="2379900"/>
    <n v="452164.4"/>
    <n v="2212.81"/>
  </r>
  <r>
    <s v="14-Oct-2025"/>
    <x v="1"/>
    <s v="Week2-Oct-2025"/>
    <x v="1"/>
    <s v="04-Nov-2025"/>
    <s v="Tuesday"/>
    <s v="Weekly - Tuesday"/>
    <s v="Weekly - Tuesday"/>
    <s v="Month+1 Expiry"/>
    <n v="53967"/>
    <n v="10310.18"/>
    <n v="64.66"/>
  </r>
  <r>
    <s v="14-Oct-2025"/>
    <x v="1"/>
    <s v="Week2-Oct-2025"/>
    <x v="1"/>
    <s v="11-Nov-2025"/>
    <s v="Tuesday"/>
    <s v="Weekly - Tuesday"/>
    <s v="Weekly - Tuesday"/>
    <s v="Month+1 Expiry"/>
    <n v="5727"/>
    <n v="1095.6600000000001"/>
    <n v="7.8"/>
  </r>
  <r>
    <s v="14-Oct-2025"/>
    <x v="1"/>
    <s v="Week2-Oct-2025"/>
    <x v="1"/>
    <s v="25-Nov-2025"/>
    <s v="Tuesday"/>
    <s v="Monthly - Tuesday"/>
    <s v="Monthly - Tuesday"/>
    <s v="Month+1 Expiry"/>
    <n v="253773"/>
    <n v="48459.93"/>
    <n v="352.13"/>
  </r>
  <r>
    <s v="14-Oct-2025"/>
    <x v="1"/>
    <s v="Week2-Oct-2025"/>
    <x v="1"/>
    <s v="30-Dec-2025"/>
    <s v="Tuesday"/>
    <s v="Monthly - Tuesday"/>
    <s v="Monthly - Tuesday"/>
    <s v="Month+2 Expiry"/>
    <n v="122704"/>
    <n v="23331.200000000001"/>
    <n v="252.15"/>
  </r>
  <r>
    <s v="14-Oct-2025"/>
    <x v="1"/>
    <s v="Week2-Oct-2025"/>
    <x v="1"/>
    <s v="31-Mar-2026"/>
    <s v="Tuesday"/>
    <s v="Monthly - Tuesday"/>
    <s v="Monthly - Tuesday"/>
    <s v="Month+5 Expiry"/>
    <n v="18052"/>
    <n v="3488.2"/>
    <n v="66.739999999999995"/>
  </r>
  <r>
    <s v="14-Oct-2025"/>
    <x v="1"/>
    <s v="Week2-Oct-2025"/>
    <x v="1"/>
    <s v="30-Jun-2026"/>
    <s v="Tuesday"/>
    <s v="Monthly - Tuesday"/>
    <s v="Monthly - Tuesday"/>
    <s v="Month+8 Expiry"/>
    <n v="1599"/>
    <n v="314.61"/>
    <n v="7.46"/>
  </r>
  <r>
    <s v="14-Oct-2025"/>
    <x v="1"/>
    <s v="Week2-Oct-2025"/>
    <x v="1"/>
    <s v="29-Sep-2026"/>
    <s v="Tuesday"/>
    <s v="Monthly - Tuesday"/>
    <s v="Monthly - Tuesday"/>
    <s v="Month+11 Expiry"/>
    <n v="0"/>
    <n v="0"/>
    <n v="0"/>
  </r>
  <r>
    <s v="14-Oct-2025"/>
    <x v="1"/>
    <s v="Week2-Oct-2025"/>
    <x v="1"/>
    <s v="29-Dec-2026"/>
    <s v="Tuesday"/>
    <s v="Monthly - Tuesday"/>
    <s v="Monthly - Tuesday"/>
    <s v="Month+14 Expiry"/>
    <n v="732"/>
    <n v="146.85"/>
    <n v="5.52"/>
  </r>
  <r>
    <s v="14-Oct-2025"/>
    <x v="1"/>
    <s v="Week2-Oct-2025"/>
    <x v="1"/>
    <s v="29-Jun-2027"/>
    <s v="Tuesday"/>
    <s v="Monthly - Tuesday"/>
    <s v="Monthly - Tuesday"/>
    <s v="Month+20 Expiry"/>
    <n v="0"/>
    <n v="0"/>
    <n v="0"/>
  </r>
  <r>
    <s v="14-Oct-2025"/>
    <x v="1"/>
    <s v="Week2-Oct-2025"/>
    <x v="1"/>
    <s v="28-Dec-2027"/>
    <s v="Tuesday"/>
    <s v="Monthly - Tuesday"/>
    <s v="Monthly - Tuesday"/>
    <s v="Month+26 Expiry"/>
    <n v="0"/>
    <n v="0"/>
    <n v="0"/>
  </r>
  <r>
    <s v="14-Oct-2025"/>
    <x v="1"/>
    <s v="Week2-Oct-2025"/>
    <x v="1"/>
    <s v="27-Jun-2028"/>
    <s v="Tuesday"/>
    <s v="Monthly - Tuesday"/>
    <s v="Monthly - Tuesday"/>
    <s v="Month+32 Expiry"/>
    <n v="0"/>
    <n v="0"/>
    <n v="0"/>
  </r>
  <r>
    <s v="14-Oct-2025"/>
    <x v="1"/>
    <s v="Week2-Oct-2025"/>
    <x v="1"/>
    <s v="26-Dec-2028"/>
    <s v="Tuesday"/>
    <s v="Monthly - Tuesday"/>
    <s v="Monthly - Tuesday"/>
    <s v="Month+38 Expiry"/>
    <n v="0"/>
    <n v="0"/>
    <n v="0"/>
  </r>
  <r>
    <s v="14-Oct-2025"/>
    <x v="1"/>
    <s v="Week2-Oct-2025"/>
    <x v="1"/>
    <s v="26-Jun-2029"/>
    <s v="Tuesday"/>
    <s v="Monthly - Tuesday"/>
    <s v="Monthly - Tuesday"/>
    <s v="Month+44 Expiry"/>
    <n v="0"/>
    <n v="0"/>
    <n v="0"/>
  </r>
  <r>
    <s v="14-Oct-2025"/>
    <x v="1"/>
    <s v="Week2-Oct-2025"/>
    <x v="1"/>
    <s v="24-Dec-2029"/>
    <s v="Monday"/>
    <s v="Weekly - Monday"/>
    <s v="Weekly - Monday"/>
    <s v="Month+50 Expiry"/>
    <n v="0"/>
    <n v="0"/>
    <n v="0"/>
  </r>
  <r>
    <s v="14-Oct-2025"/>
    <x v="1"/>
    <s v="Week2-Oct-2025"/>
    <x v="1"/>
    <s v="25-Jun-2030"/>
    <s v="Tuesday"/>
    <s v="Monthly - Tuesday"/>
    <s v="Monthly - Tuesday"/>
    <s v="Month+56 Expiry"/>
    <n v="0"/>
    <n v="0"/>
    <n v="0"/>
  </r>
  <r>
    <s v="15-Oct-2025"/>
    <x v="2"/>
    <s v="Week3-Oct-2025"/>
    <x v="1"/>
    <s v="20-Oct-2025"/>
    <s v="Monday"/>
    <s v="Weekly - Monday"/>
    <s v="Weekly - Monday"/>
    <s v="Same Month Expiry"/>
    <n v="57350473"/>
    <n v="10899720.210000001"/>
    <n v="28639.48"/>
  </r>
  <r>
    <s v="15-Oct-2025"/>
    <x v="2"/>
    <s v="Week3-Oct-2025"/>
    <x v="1"/>
    <s v="28-Oct-2025"/>
    <s v="Tuesday"/>
    <s v="Monthly - Tuesday"/>
    <s v="Monthly - Tuesday"/>
    <s v="Same Month Expiry"/>
    <n v="3191824"/>
    <n v="606781.69999999995"/>
    <n v="2595.6999999999998"/>
  </r>
  <r>
    <s v="15-Oct-2025"/>
    <x v="2"/>
    <s v="Week3-Oct-2025"/>
    <x v="1"/>
    <s v="04-Nov-2025"/>
    <s v="Tuesday"/>
    <s v="Weekly - Tuesday"/>
    <s v="Weekly - Tuesday"/>
    <s v="Month+1 Expiry"/>
    <n v="109413"/>
    <n v="20922.830000000002"/>
    <n v="115.26"/>
  </r>
  <r>
    <s v="15-Oct-2025"/>
    <x v="2"/>
    <s v="Week3-Oct-2025"/>
    <x v="1"/>
    <s v="11-Nov-2025"/>
    <s v="Tuesday"/>
    <s v="Weekly - Tuesday"/>
    <s v="Weekly - Tuesday"/>
    <s v="Month+1 Expiry"/>
    <n v="10526"/>
    <n v="2011.4"/>
    <n v="13.68"/>
  </r>
  <r>
    <s v="15-Oct-2025"/>
    <x v="2"/>
    <s v="Week3-Oct-2025"/>
    <x v="1"/>
    <s v="18-Nov-2025"/>
    <s v="Tuesday"/>
    <s v="Weekly - Tuesday"/>
    <s v="Weekly - Tuesday"/>
    <s v="Month+1 Expiry"/>
    <n v="98"/>
    <n v="18.940000000000001"/>
    <n v="0.15"/>
  </r>
  <r>
    <s v="15-Oct-2025"/>
    <x v="2"/>
    <s v="Week3-Oct-2025"/>
    <x v="1"/>
    <s v="25-Nov-2025"/>
    <s v="Tuesday"/>
    <s v="Monthly - Tuesday"/>
    <s v="Monthly - Tuesday"/>
    <s v="Month+1 Expiry"/>
    <n v="356992"/>
    <n v="68171.33"/>
    <n v="484.35"/>
  </r>
  <r>
    <s v="15-Oct-2025"/>
    <x v="2"/>
    <s v="Week3-Oct-2025"/>
    <x v="1"/>
    <s v="30-Dec-2025"/>
    <s v="Tuesday"/>
    <s v="Monthly - Tuesday"/>
    <s v="Monthly - Tuesday"/>
    <s v="Month+2 Expiry"/>
    <n v="121328"/>
    <n v="22962.78"/>
    <n v="238.38"/>
  </r>
  <r>
    <s v="15-Oct-2025"/>
    <x v="2"/>
    <s v="Week3-Oct-2025"/>
    <x v="1"/>
    <s v="31-Mar-2026"/>
    <s v="Tuesday"/>
    <s v="Monthly - Tuesday"/>
    <s v="Monthly - Tuesday"/>
    <s v="Month+5 Expiry"/>
    <n v="16265"/>
    <n v="3130.51"/>
    <n v="54.18"/>
  </r>
  <r>
    <s v="15-Oct-2025"/>
    <x v="2"/>
    <s v="Week3-Oct-2025"/>
    <x v="1"/>
    <s v="30-Jun-2026"/>
    <s v="Tuesday"/>
    <s v="Monthly - Tuesday"/>
    <s v="Monthly - Tuesday"/>
    <s v="Month+8 Expiry"/>
    <n v="6349"/>
    <n v="1235.1600000000001"/>
    <n v="25.11"/>
  </r>
  <r>
    <s v="15-Oct-2025"/>
    <x v="2"/>
    <s v="Week3-Oct-2025"/>
    <x v="1"/>
    <s v="29-Sep-2026"/>
    <s v="Tuesday"/>
    <s v="Monthly - Tuesday"/>
    <s v="Monthly - Tuesday"/>
    <s v="Month+11 Expiry"/>
    <n v="0"/>
    <n v="0"/>
    <n v="0"/>
  </r>
  <r>
    <s v="15-Oct-2025"/>
    <x v="2"/>
    <s v="Week3-Oct-2025"/>
    <x v="1"/>
    <s v="29-Dec-2026"/>
    <s v="Tuesday"/>
    <s v="Monthly - Tuesday"/>
    <s v="Monthly - Tuesday"/>
    <s v="Month+14 Expiry"/>
    <n v="1528"/>
    <n v="307.99"/>
    <n v="11.16"/>
  </r>
  <r>
    <s v="15-Oct-2025"/>
    <x v="2"/>
    <s v="Week3-Oct-2025"/>
    <x v="1"/>
    <s v="29-Jun-2027"/>
    <s v="Tuesday"/>
    <s v="Monthly - Tuesday"/>
    <s v="Monthly - Tuesday"/>
    <s v="Month+20 Expiry"/>
    <n v="0"/>
    <n v="0"/>
    <n v="0"/>
  </r>
  <r>
    <s v="15-Oct-2025"/>
    <x v="2"/>
    <s v="Week3-Oct-2025"/>
    <x v="1"/>
    <s v="28-Dec-2027"/>
    <s v="Tuesday"/>
    <s v="Monthly - Tuesday"/>
    <s v="Monthly - Tuesday"/>
    <s v="Month+26 Expiry"/>
    <n v="7"/>
    <n v="1.24"/>
    <n v="0.03"/>
  </r>
  <r>
    <s v="15-Oct-2025"/>
    <x v="2"/>
    <s v="Week3-Oct-2025"/>
    <x v="1"/>
    <s v="27-Jun-2028"/>
    <s v="Tuesday"/>
    <s v="Monthly - Tuesday"/>
    <s v="Monthly - Tuesday"/>
    <s v="Month+32 Expiry"/>
    <n v="0"/>
    <n v="0"/>
    <n v="0"/>
  </r>
  <r>
    <s v="15-Oct-2025"/>
    <x v="2"/>
    <s v="Week3-Oct-2025"/>
    <x v="1"/>
    <s v="26-Dec-2028"/>
    <s v="Tuesday"/>
    <s v="Monthly - Tuesday"/>
    <s v="Monthly - Tuesday"/>
    <s v="Month+38 Expiry"/>
    <n v="0"/>
    <n v="0"/>
    <n v="0"/>
  </r>
  <r>
    <s v="15-Oct-2025"/>
    <x v="2"/>
    <s v="Week3-Oct-2025"/>
    <x v="1"/>
    <s v="26-Jun-2029"/>
    <s v="Tuesday"/>
    <s v="Monthly - Tuesday"/>
    <s v="Monthly - Tuesday"/>
    <s v="Month+44 Expiry"/>
    <n v="0"/>
    <n v="0"/>
    <n v="0"/>
  </r>
  <r>
    <s v="15-Oct-2025"/>
    <x v="2"/>
    <s v="Week3-Oct-2025"/>
    <x v="1"/>
    <s v="24-Dec-2029"/>
    <s v="Monday"/>
    <s v="Weekly - Monday"/>
    <s v="Weekly - Monday"/>
    <s v="Month+50 Expiry"/>
    <n v="0"/>
    <n v="0"/>
    <n v="0"/>
  </r>
  <r>
    <s v="15-Oct-2025"/>
    <x v="2"/>
    <s v="Week3-Oct-2025"/>
    <x v="1"/>
    <s v="25-Jun-2030"/>
    <s v="Tuesday"/>
    <s v="Monthly - Tuesday"/>
    <s v="Monthly - Tuesday"/>
    <s v="Month+56 Expiry"/>
    <n v="0"/>
    <n v="0"/>
    <n v="0"/>
  </r>
  <r>
    <s v="16-Oct-2025"/>
    <x v="3"/>
    <s v="Week3-Oct-2025"/>
    <x v="1"/>
    <s v="20-Oct-2025"/>
    <s v="Monday"/>
    <s v="Weekly - Monday"/>
    <s v="Weekly - Monday"/>
    <s v="Same Month Expiry"/>
    <n v="60901085"/>
    <n v="11637702.01"/>
    <n v="25494.51"/>
  </r>
  <r>
    <s v="16-Oct-2025"/>
    <x v="3"/>
    <s v="Week3-Oct-2025"/>
    <x v="1"/>
    <s v="28-Oct-2025"/>
    <s v="Tuesday"/>
    <s v="Monthly - Tuesday"/>
    <s v="Monthly - Tuesday"/>
    <s v="Same Month Expiry"/>
    <n v="4708456"/>
    <n v="901435.24"/>
    <n v="3568.95"/>
  </r>
  <r>
    <s v="16-Oct-2025"/>
    <x v="3"/>
    <s v="Week3-Oct-2025"/>
    <x v="1"/>
    <s v="04-Nov-2025"/>
    <s v="Tuesday"/>
    <s v="Weekly - Tuesday"/>
    <s v="Weekly - Tuesday"/>
    <s v="Month+1 Expiry"/>
    <n v="174904"/>
    <n v="33618.93"/>
    <n v="181.24"/>
  </r>
  <r>
    <s v="16-Oct-2025"/>
    <x v="3"/>
    <s v="Week3-Oct-2025"/>
    <x v="1"/>
    <s v="11-Nov-2025"/>
    <s v="Tuesday"/>
    <s v="Weekly - Tuesday"/>
    <s v="Weekly - Tuesday"/>
    <s v="Month+1 Expiry"/>
    <n v="23423"/>
    <n v="4518.37"/>
    <n v="30.3"/>
  </r>
  <r>
    <s v="16-Oct-2025"/>
    <x v="3"/>
    <s v="Week3-Oct-2025"/>
    <x v="1"/>
    <s v="18-Nov-2025"/>
    <s v="Tuesday"/>
    <s v="Weekly - Tuesday"/>
    <s v="Weekly - Tuesday"/>
    <s v="Month+1 Expiry"/>
    <n v="1957"/>
    <n v="380.14"/>
    <n v="2.74"/>
  </r>
  <r>
    <s v="16-Oct-2025"/>
    <x v="3"/>
    <s v="Week3-Oct-2025"/>
    <x v="1"/>
    <s v="25-Nov-2025"/>
    <s v="Tuesday"/>
    <s v="Monthly - Tuesday"/>
    <s v="Monthly - Tuesday"/>
    <s v="Month+1 Expiry"/>
    <n v="489711"/>
    <n v="94032.36"/>
    <n v="728.03"/>
  </r>
  <r>
    <s v="16-Oct-2025"/>
    <x v="3"/>
    <s v="Week3-Oct-2025"/>
    <x v="1"/>
    <s v="30-Dec-2025"/>
    <s v="Tuesday"/>
    <s v="Monthly - Tuesday"/>
    <s v="Monthly - Tuesday"/>
    <s v="Month+2 Expiry"/>
    <n v="166754"/>
    <n v="32051.02"/>
    <n v="386.01"/>
  </r>
  <r>
    <s v="16-Oct-2025"/>
    <x v="3"/>
    <s v="Week3-Oct-2025"/>
    <x v="1"/>
    <s v="31-Mar-2026"/>
    <s v="Tuesday"/>
    <s v="Monthly - Tuesday"/>
    <s v="Monthly - Tuesday"/>
    <s v="Month+5 Expiry"/>
    <n v="32304"/>
    <n v="6418.1"/>
    <n v="95.89"/>
  </r>
  <r>
    <s v="16-Oct-2025"/>
    <x v="3"/>
    <s v="Week3-Oct-2025"/>
    <x v="1"/>
    <s v="30-Jun-2026"/>
    <s v="Tuesday"/>
    <s v="Monthly - Tuesday"/>
    <s v="Monthly - Tuesday"/>
    <s v="Month+8 Expiry"/>
    <n v="7851"/>
    <n v="1555.62"/>
    <n v="39.51"/>
  </r>
  <r>
    <s v="16-Oct-2025"/>
    <x v="3"/>
    <s v="Week3-Oct-2025"/>
    <x v="1"/>
    <s v="29-Sep-2026"/>
    <s v="Tuesday"/>
    <s v="Monthly - Tuesday"/>
    <s v="Monthly - Tuesday"/>
    <s v="Month+11 Expiry"/>
    <n v="0"/>
    <n v="0"/>
    <n v="0"/>
  </r>
  <r>
    <s v="16-Oct-2025"/>
    <x v="3"/>
    <s v="Week3-Oct-2025"/>
    <x v="1"/>
    <s v="29-Dec-2026"/>
    <s v="Tuesday"/>
    <s v="Monthly - Tuesday"/>
    <s v="Monthly - Tuesday"/>
    <s v="Month+14 Expiry"/>
    <n v="1843"/>
    <n v="370.02"/>
    <n v="12.2"/>
  </r>
  <r>
    <s v="16-Oct-2025"/>
    <x v="3"/>
    <s v="Week3-Oct-2025"/>
    <x v="1"/>
    <s v="29-Jun-2027"/>
    <s v="Tuesday"/>
    <s v="Monthly - Tuesday"/>
    <s v="Monthly - Tuesday"/>
    <s v="Month+20 Expiry"/>
    <n v="2"/>
    <n v="0.32"/>
    <n v="0"/>
  </r>
  <r>
    <s v="16-Oct-2025"/>
    <x v="3"/>
    <s v="Week3-Oct-2025"/>
    <x v="1"/>
    <s v="28-Dec-2027"/>
    <s v="Tuesday"/>
    <s v="Monthly - Tuesday"/>
    <s v="Monthly - Tuesday"/>
    <s v="Month+26 Expiry"/>
    <n v="20"/>
    <n v="3.61"/>
    <n v="0.09"/>
  </r>
  <r>
    <s v="16-Oct-2025"/>
    <x v="3"/>
    <s v="Week3-Oct-2025"/>
    <x v="1"/>
    <s v="27-Jun-2028"/>
    <s v="Tuesday"/>
    <s v="Monthly - Tuesday"/>
    <s v="Monthly - Tuesday"/>
    <s v="Month+32 Expiry"/>
    <n v="0"/>
    <n v="0"/>
    <n v="0"/>
  </r>
  <r>
    <s v="16-Oct-2025"/>
    <x v="3"/>
    <s v="Week3-Oct-2025"/>
    <x v="1"/>
    <s v="26-Dec-2028"/>
    <s v="Tuesday"/>
    <s v="Monthly - Tuesday"/>
    <s v="Monthly - Tuesday"/>
    <s v="Month+38 Expiry"/>
    <n v="1"/>
    <n v="0.2"/>
    <n v="0.01"/>
  </r>
  <r>
    <s v="16-Oct-2025"/>
    <x v="3"/>
    <s v="Week3-Oct-2025"/>
    <x v="1"/>
    <s v="26-Jun-2029"/>
    <s v="Tuesday"/>
    <s v="Monthly - Tuesday"/>
    <s v="Monthly - Tuesday"/>
    <s v="Month+44 Expiry"/>
    <n v="0"/>
    <n v="0"/>
    <n v="0"/>
  </r>
  <r>
    <s v="16-Oct-2025"/>
    <x v="3"/>
    <s v="Week3-Oct-2025"/>
    <x v="1"/>
    <s v="24-Dec-2029"/>
    <s v="Monday"/>
    <s v="Weekly - Monday"/>
    <s v="Weekly - Monday"/>
    <s v="Month+50 Expiry"/>
    <n v="106"/>
    <n v="26.78"/>
    <n v="2.93"/>
  </r>
  <r>
    <s v="16-Oct-2025"/>
    <x v="3"/>
    <s v="Week3-Oct-2025"/>
    <x v="1"/>
    <s v="25-Jun-2030"/>
    <s v="Tuesday"/>
    <s v="Monthly - Tuesday"/>
    <s v="Monthly - Tuesday"/>
    <s v="Month+56 Expiry"/>
    <n v="0"/>
    <n v="0"/>
    <n v="0"/>
  </r>
  <r>
    <s v="17-Oct-2025"/>
    <x v="4"/>
    <s v="Week3-Oct-2025"/>
    <x v="1"/>
    <s v="20-Oct-2025"/>
    <s v="Monday"/>
    <s v="Weekly - Monday"/>
    <s v="Weekly - Monday"/>
    <s v="Same Month Expiry"/>
    <n v="147465614"/>
    <n v="28430139.640000001"/>
    <n v="57854.39"/>
  </r>
  <r>
    <s v="17-Oct-2025"/>
    <x v="4"/>
    <s v="Week3-Oct-2025"/>
    <x v="1"/>
    <s v="28-Oct-2025"/>
    <s v="Tuesday"/>
    <s v="Monthly - Tuesday"/>
    <s v="Monthly - Tuesday"/>
    <s v="Same Month Expiry"/>
    <n v="7867428"/>
    <n v="1519087.99"/>
    <n v="5745.51"/>
  </r>
  <r>
    <s v="17-Oct-2025"/>
    <x v="4"/>
    <s v="Week3-Oct-2025"/>
    <x v="1"/>
    <s v="04-Nov-2025"/>
    <s v="Tuesday"/>
    <s v="Weekly - Tuesday"/>
    <s v="Weekly - Tuesday"/>
    <s v="Month+1 Expiry"/>
    <n v="363357"/>
    <n v="70429.789999999994"/>
    <n v="403.69"/>
  </r>
  <r>
    <s v="17-Oct-2025"/>
    <x v="4"/>
    <s v="Week3-Oct-2025"/>
    <x v="1"/>
    <s v="11-Nov-2025"/>
    <s v="Tuesday"/>
    <s v="Weekly - Tuesday"/>
    <s v="Weekly - Tuesday"/>
    <s v="Month+1 Expiry"/>
    <n v="42802"/>
    <n v="8304.65"/>
    <n v="56.58"/>
  </r>
  <r>
    <s v="17-Oct-2025"/>
    <x v="4"/>
    <s v="Week3-Oct-2025"/>
    <x v="1"/>
    <s v="18-Nov-2025"/>
    <s v="Tuesday"/>
    <s v="Weekly - Tuesday"/>
    <s v="Weekly - Tuesday"/>
    <s v="Month+1 Expiry"/>
    <n v="5185"/>
    <n v="1010.6"/>
    <n v="7.53"/>
  </r>
  <r>
    <s v="17-Oct-2025"/>
    <x v="4"/>
    <s v="Week3-Oct-2025"/>
    <x v="1"/>
    <s v="25-Nov-2025"/>
    <s v="Tuesday"/>
    <s v="Monthly - Tuesday"/>
    <s v="Monthly - Tuesday"/>
    <s v="Month+1 Expiry"/>
    <n v="677364"/>
    <n v="130910.78"/>
    <n v="1097.95"/>
  </r>
  <r>
    <s v="17-Oct-2025"/>
    <x v="4"/>
    <s v="Week3-Oct-2025"/>
    <x v="1"/>
    <s v="30-Dec-2025"/>
    <s v="Tuesday"/>
    <s v="Monthly - Tuesday"/>
    <s v="Monthly - Tuesday"/>
    <s v="Month+2 Expiry"/>
    <n v="221702"/>
    <n v="42711.03"/>
    <n v="453.06"/>
  </r>
  <r>
    <s v="17-Oct-2025"/>
    <x v="4"/>
    <s v="Week3-Oct-2025"/>
    <x v="1"/>
    <s v="31-Mar-2026"/>
    <s v="Tuesday"/>
    <s v="Monthly - Tuesday"/>
    <s v="Monthly - Tuesday"/>
    <s v="Month+5 Expiry"/>
    <n v="33762"/>
    <n v="6696.67"/>
    <n v="129.99"/>
  </r>
  <r>
    <s v="17-Oct-2025"/>
    <x v="4"/>
    <s v="Week3-Oct-2025"/>
    <x v="1"/>
    <s v="30-Jun-2026"/>
    <s v="Tuesday"/>
    <s v="Monthly - Tuesday"/>
    <s v="Monthly - Tuesday"/>
    <s v="Month+8 Expiry"/>
    <n v="5715"/>
    <n v="1150.3800000000001"/>
    <n v="31.64"/>
  </r>
  <r>
    <s v="17-Oct-2025"/>
    <x v="4"/>
    <s v="Week3-Oct-2025"/>
    <x v="1"/>
    <s v="29-Sep-2026"/>
    <s v="Tuesday"/>
    <s v="Monthly - Tuesday"/>
    <s v="Monthly - Tuesday"/>
    <s v="Month+11 Expiry"/>
    <n v="0"/>
    <n v="0"/>
    <n v="0"/>
  </r>
  <r>
    <s v="17-Oct-2025"/>
    <x v="4"/>
    <s v="Week3-Oct-2025"/>
    <x v="1"/>
    <s v="29-Dec-2026"/>
    <s v="Tuesday"/>
    <s v="Monthly - Tuesday"/>
    <s v="Monthly - Tuesday"/>
    <s v="Month+14 Expiry"/>
    <n v="2143"/>
    <n v="430.35"/>
    <n v="15.09"/>
  </r>
  <r>
    <s v="17-Oct-2025"/>
    <x v="4"/>
    <s v="Week3-Oct-2025"/>
    <x v="1"/>
    <s v="29-Jun-2027"/>
    <s v="Tuesday"/>
    <s v="Monthly - Tuesday"/>
    <s v="Monthly - Tuesday"/>
    <s v="Month+20 Expiry"/>
    <n v="2"/>
    <n v="0.32"/>
    <n v="0"/>
  </r>
  <r>
    <s v="17-Oct-2025"/>
    <x v="4"/>
    <s v="Week3-Oct-2025"/>
    <x v="1"/>
    <s v="28-Dec-2027"/>
    <s v="Tuesday"/>
    <s v="Monthly - Tuesday"/>
    <s v="Monthly - Tuesday"/>
    <s v="Month+26 Expiry"/>
    <n v="2"/>
    <n v="0.23"/>
    <n v="0"/>
  </r>
  <r>
    <s v="17-Oct-2025"/>
    <x v="4"/>
    <s v="Week3-Oct-2025"/>
    <x v="1"/>
    <s v="27-Jun-2028"/>
    <s v="Tuesday"/>
    <s v="Monthly - Tuesday"/>
    <s v="Monthly - Tuesday"/>
    <s v="Month+32 Expiry"/>
    <n v="0"/>
    <n v="0"/>
    <n v="0"/>
  </r>
  <r>
    <s v="17-Oct-2025"/>
    <x v="4"/>
    <s v="Week3-Oct-2025"/>
    <x v="1"/>
    <s v="26-Dec-2028"/>
    <s v="Tuesday"/>
    <s v="Monthly - Tuesday"/>
    <s v="Monthly - Tuesday"/>
    <s v="Month+38 Expiry"/>
    <n v="0"/>
    <n v="0"/>
    <n v="0"/>
  </r>
  <r>
    <s v="17-Oct-2025"/>
    <x v="4"/>
    <s v="Week3-Oct-2025"/>
    <x v="1"/>
    <s v="26-Jun-2029"/>
    <s v="Tuesday"/>
    <s v="Monthly - Tuesday"/>
    <s v="Monthly - Tuesday"/>
    <s v="Month+44 Expiry"/>
    <n v="0"/>
    <n v="0"/>
    <n v="0"/>
  </r>
  <r>
    <s v="17-Oct-2025"/>
    <x v="4"/>
    <s v="Week3-Oct-2025"/>
    <x v="1"/>
    <s v="24-Dec-2029"/>
    <s v="Monday"/>
    <s v="Weekly - Monday"/>
    <s v="Weekly - Monday"/>
    <s v="Month+50 Expiry"/>
    <n v="0"/>
    <n v="0"/>
    <n v="0"/>
  </r>
  <r>
    <s v="17-Oct-2025"/>
    <x v="4"/>
    <s v="Week3-Oct-2025"/>
    <x v="1"/>
    <s v="25-Jun-2030"/>
    <s v="Tuesday"/>
    <s v="Monthly - Tuesday"/>
    <s v="Monthly - Tuesday"/>
    <s v="Month+56 Expiry"/>
    <n v="0"/>
    <n v="0"/>
    <n v="0"/>
  </r>
  <r>
    <s v="20-Oct-2025"/>
    <x v="0"/>
    <s v="Week3-Oct-2025"/>
    <x v="1"/>
    <s v="20-Oct-2025"/>
    <s v="Monday"/>
    <s v="Weekly - Monday"/>
    <s v="Weekly - Monday"/>
    <s v="Same Month Expiry"/>
    <n v="311031142"/>
    <n v="60324255.590000004"/>
    <n v="53824.800000000003"/>
  </r>
  <r>
    <s v="20-Oct-2025"/>
    <x v="0"/>
    <s v="Week3-Oct-2025"/>
    <x v="1"/>
    <s v="28-Oct-2025"/>
    <s v="Tuesday"/>
    <s v="Monthly - Tuesday"/>
    <s v="Monthly - Tuesday"/>
    <s v="Same Month Expiry"/>
    <n v="12681176"/>
    <n v="2450352.02"/>
    <n v="7679.01"/>
  </r>
  <r>
    <s v="20-Oct-2025"/>
    <x v="0"/>
    <s v="Week3-Oct-2025"/>
    <x v="1"/>
    <s v="04-Nov-2025"/>
    <s v="Tuesday"/>
    <s v="Weekly - Tuesday"/>
    <s v="Weekly - Tuesday"/>
    <s v="Month+1 Expiry"/>
    <n v="518155"/>
    <n v="100611.68"/>
    <n v="481.25"/>
  </r>
  <r>
    <s v="20-Oct-2025"/>
    <x v="0"/>
    <s v="Week3-Oct-2025"/>
    <x v="1"/>
    <s v="11-Nov-2025"/>
    <s v="Tuesday"/>
    <s v="Weekly - Tuesday"/>
    <s v="Weekly - Tuesday"/>
    <s v="Month+1 Expiry"/>
    <n v="54089"/>
    <n v="10534.14"/>
    <n v="65.930000000000007"/>
  </r>
  <r>
    <s v="20-Oct-2025"/>
    <x v="0"/>
    <s v="Week3-Oct-2025"/>
    <x v="1"/>
    <s v="18-Nov-2025"/>
    <s v="Tuesday"/>
    <s v="Weekly - Tuesday"/>
    <s v="Weekly - Tuesday"/>
    <s v="Month+1 Expiry"/>
    <n v="7350"/>
    <n v="1427.21"/>
    <n v="9.2799999999999994"/>
  </r>
  <r>
    <s v="20-Oct-2025"/>
    <x v="0"/>
    <s v="Week3-Oct-2025"/>
    <x v="1"/>
    <s v="25-Nov-2025"/>
    <s v="Tuesday"/>
    <s v="Monthly - Tuesday"/>
    <s v="Monthly - Tuesday"/>
    <s v="Month+1 Expiry"/>
    <n v="566262"/>
    <n v="109552.2"/>
    <n v="880.95"/>
  </r>
  <r>
    <s v="20-Oct-2025"/>
    <x v="0"/>
    <s v="Week3-Oct-2025"/>
    <x v="1"/>
    <s v="30-Dec-2025"/>
    <s v="Tuesday"/>
    <s v="Monthly - Tuesday"/>
    <s v="Monthly - Tuesday"/>
    <s v="Month+2 Expiry"/>
    <n v="206805"/>
    <n v="39841.18"/>
    <n v="442.95"/>
  </r>
  <r>
    <s v="20-Oct-2025"/>
    <x v="0"/>
    <s v="Week3-Oct-2025"/>
    <x v="1"/>
    <s v="31-Mar-2026"/>
    <s v="Tuesday"/>
    <s v="Monthly - Tuesday"/>
    <s v="Monthly - Tuesday"/>
    <s v="Month+5 Expiry"/>
    <n v="27904"/>
    <n v="5545.71"/>
    <n v="99.23"/>
  </r>
  <r>
    <s v="20-Oct-2025"/>
    <x v="0"/>
    <s v="Week3-Oct-2025"/>
    <x v="1"/>
    <s v="30-Jun-2026"/>
    <s v="Tuesday"/>
    <s v="Monthly - Tuesday"/>
    <s v="Monthly - Tuesday"/>
    <s v="Month+8 Expiry"/>
    <n v="6572"/>
    <n v="1305.57"/>
    <n v="35.08"/>
  </r>
  <r>
    <s v="20-Oct-2025"/>
    <x v="0"/>
    <s v="Week3-Oct-2025"/>
    <x v="1"/>
    <s v="29-Sep-2026"/>
    <s v="Tuesday"/>
    <s v="Monthly - Tuesday"/>
    <s v="Monthly - Tuesday"/>
    <s v="Month+11 Expiry"/>
    <n v="0"/>
    <n v="0"/>
    <n v="0"/>
  </r>
  <r>
    <s v="20-Oct-2025"/>
    <x v="0"/>
    <s v="Week3-Oct-2025"/>
    <x v="1"/>
    <s v="29-Dec-2026"/>
    <s v="Tuesday"/>
    <s v="Monthly - Tuesday"/>
    <s v="Monthly - Tuesday"/>
    <s v="Month+14 Expiry"/>
    <n v="1764"/>
    <n v="352.43"/>
    <n v="11.41"/>
  </r>
  <r>
    <s v="20-Oct-2025"/>
    <x v="0"/>
    <s v="Week3-Oct-2025"/>
    <x v="1"/>
    <s v="29-Jun-2027"/>
    <s v="Tuesday"/>
    <s v="Monthly - Tuesday"/>
    <s v="Monthly - Tuesday"/>
    <s v="Month+20 Expiry"/>
    <n v="0"/>
    <n v="0"/>
    <n v="0"/>
  </r>
  <r>
    <s v="20-Oct-2025"/>
    <x v="0"/>
    <s v="Week3-Oct-2025"/>
    <x v="1"/>
    <s v="28-Dec-2027"/>
    <s v="Tuesday"/>
    <s v="Monthly - Tuesday"/>
    <s v="Monthly - Tuesday"/>
    <s v="Month+26 Expiry"/>
    <n v="0"/>
    <n v="0"/>
    <n v="0"/>
  </r>
  <r>
    <s v="20-Oct-2025"/>
    <x v="0"/>
    <s v="Week3-Oct-2025"/>
    <x v="1"/>
    <s v="27-Jun-2028"/>
    <s v="Tuesday"/>
    <s v="Monthly - Tuesday"/>
    <s v="Monthly - Tuesday"/>
    <s v="Month+32 Expiry"/>
    <n v="0"/>
    <n v="0"/>
    <n v="0"/>
  </r>
  <r>
    <s v="20-Oct-2025"/>
    <x v="0"/>
    <s v="Week3-Oct-2025"/>
    <x v="1"/>
    <s v="26-Dec-2028"/>
    <s v="Tuesday"/>
    <s v="Monthly - Tuesday"/>
    <s v="Monthly - Tuesday"/>
    <s v="Month+38 Expiry"/>
    <n v="5"/>
    <n v="1.01"/>
    <n v="0.04"/>
  </r>
  <r>
    <s v="20-Oct-2025"/>
    <x v="0"/>
    <s v="Week3-Oct-2025"/>
    <x v="1"/>
    <s v="26-Jun-2029"/>
    <s v="Tuesday"/>
    <s v="Monthly - Tuesday"/>
    <s v="Monthly - Tuesday"/>
    <s v="Month+44 Expiry"/>
    <n v="0"/>
    <n v="0"/>
    <n v="0"/>
  </r>
  <r>
    <s v="20-Oct-2025"/>
    <x v="0"/>
    <s v="Week3-Oct-2025"/>
    <x v="1"/>
    <s v="24-Dec-2029"/>
    <s v="Monday"/>
    <s v="Weekly - Monday"/>
    <s v="Weekly - Monday"/>
    <s v="Month+50 Expiry"/>
    <n v="0"/>
    <n v="0"/>
    <n v="0"/>
  </r>
  <r>
    <s v="20-Oct-2025"/>
    <x v="0"/>
    <s v="Week3-Oct-2025"/>
    <x v="1"/>
    <s v="25-Jun-2030"/>
    <s v="Tuesday"/>
    <s v="Monthly - Tuesday"/>
    <s v="Monthly - Tuesday"/>
    <s v="Month+56 Expiry"/>
    <n v="0"/>
    <n v="0"/>
    <n v="0"/>
  </r>
  <r>
    <s v="21-Oct-2025"/>
    <x v="1"/>
    <s v="Week3-Oct-2025"/>
    <x v="1"/>
    <s v="28-Oct-2025"/>
    <s v="Tuesday"/>
    <s v="Monthly - Tuesday"/>
    <s v="Monthly - Tuesday"/>
    <s v="Same Month Expiry"/>
    <n v="11563142"/>
    <n v="2250242.71"/>
    <n v="5433.21"/>
  </r>
  <r>
    <s v="21-Oct-2025"/>
    <x v="1"/>
    <s v="Week3-Oct-2025"/>
    <x v="1"/>
    <s v="04-Nov-2025"/>
    <s v="Tuesday"/>
    <s v="Weekly - Tuesday"/>
    <s v="Weekly - Tuesday"/>
    <s v="Month+1 Expiry"/>
    <n v="293585"/>
    <n v="57323.21"/>
    <n v="269.08"/>
  </r>
  <r>
    <s v="21-Oct-2025"/>
    <x v="1"/>
    <s v="Week3-Oct-2025"/>
    <x v="1"/>
    <s v="11-Nov-2025"/>
    <s v="Tuesday"/>
    <s v="Weekly - Tuesday"/>
    <s v="Weekly - Tuesday"/>
    <s v="Month+1 Expiry"/>
    <n v="19983"/>
    <n v="3899.38"/>
    <n v="20.5"/>
  </r>
  <r>
    <s v="21-Oct-2025"/>
    <x v="1"/>
    <s v="Week3-Oct-2025"/>
    <x v="1"/>
    <s v="18-Nov-2025"/>
    <s v="Tuesday"/>
    <s v="Weekly - Tuesday"/>
    <s v="Weekly - Tuesday"/>
    <s v="Month+1 Expiry"/>
    <n v="2113"/>
    <n v="410.28"/>
    <n v="2.4"/>
  </r>
  <r>
    <s v="21-Oct-2025"/>
    <x v="1"/>
    <s v="Week3-Oct-2025"/>
    <x v="1"/>
    <s v="25-Nov-2025"/>
    <s v="Tuesday"/>
    <s v="Monthly - Tuesday"/>
    <s v="Monthly - Tuesday"/>
    <s v="Month+1 Expiry"/>
    <n v="118482"/>
    <n v="23044.04"/>
    <n v="174.19"/>
  </r>
  <r>
    <s v="21-Oct-2025"/>
    <x v="1"/>
    <s v="Week3-Oct-2025"/>
    <x v="1"/>
    <s v="02-Dec-2025"/>
    <s v="Tuesday"/>
    <s v="Weekly - Tuesday"/>
    <s v="Weekly - Tuesday"/>
    <s v="Month+2 Expiry"/>
    <n v="6"/>
    <n v="1.1499999999999999"/>
    <n v="0.01"/>
  </r>
  <r>
    <s v="21-Oct-2025"/>
    <x v="1"/>
    <s v="Week3-Oct-2025"/>
    <x v="1"/>
    <s v="30-Dec-2025"/>
    <s v="Tuesday"/>
    <s v="Monthly - Tuesday"/>
    <s v="Monthly - Tuesday"/>
    <s v="Month+2 Expiry"/>
    <n v="32684"/>
    <n v="6345.87"/>
    <n v="64.84"/>
  </r>
  <r>
    <s v="21-Oct-2025"/>
    <x v="1"/>
    <s v="Week3-Oct-2025"/>
    <x v="1"/>
    <s v="31-Mar-2026"/>
    <s v="Tuesday"/>
    <s v="Monthly - Tuesday"/>
    <s v="Monthly - Tuesday"/>
    <s v="Month+5 Expiry"/>
    <n v="4482"/>
    <n v="902.26"/>
    <n v="13.83"/>
  </r>
  <r>
    <s v="21-Oct-2025"/>
    <x v="1"/>
    <s v="Week3-Oct-2025"/>
    <x v="1"/>
    <s v="30-Jun-2026"/>
    <s v="Tuesday"/>
    <s v="Monthly - Tuesday"/>
    <s v="Monthly - Tuesday"/>
    <s v="Month+8 Expiry"/>
    <n v="966"/>
    <n v="190.48"/>
    <n v="3.29"/>
  </r>
  <r>
    <s v="21-Oct-2025"/>
    <x v="1"/>
    <s v="Week3-Oct-2025"/>
    <x v="1"/>
    <s v="29-Sep-2026"/>
    <s v="Tuesday"/>
    <s v="Monthly - Tuesday"/>
    <s v="Monthly - Tuesday"/>
    <s v="Month+11 Expiry"/>
    <n v="0"/>
    <n v="0"/>
    <n v="0"/>
  </r>
  <r>
    <s v="21-Oct-2025"/>
    <x v="1"/>
    <s v="Week3-Oct-2025"/>
    <x v="1"/>
    <s v="29-Dec-2026"/>
    <s v="Tuesday"/>
    <s v="Monthly - Tuesday"/>
    <s v="Monthly - Tuesday"/>
    <s v="Month+14 Expiry"/>
    <n v="325"/>
    <n v="67.45"/>
    <n v="2.31"/>
  </r>
  <r>
    <s v="21-Oct-2025"/>
    <x v="1"/>
    <s v="Week3-Oct-2025"/>
    <x v="1"/>
    <s v="29-Jun-2027"/>
    <s v="Tuesday"/>
    <s v="Monthly - Tuesday"/>
    <s v="Monthly - Tuesday"/>
    <s v="Month+20 Expiry"/>
    <n v="0"/>
    <n v="0"/>
    <n v="0"/>
  </r>
  <r>
    <s v="21-Oct-2025"/>
    <x v="1"/>
    <s v="Week3-Oct-2025"/>
    <x v="1"/>
    <s v="28-Dec-2027"/>
    <s v="Tuesday"/>
    <s v="Monthly - Tuesday"/>
    <s v="Monthly - Tuesday"/>
    <s v="Month+26 Expiry"/>
    <n v="0"/>
    <n v="0"/>
    <n v="0"/>
  </r>
  <r>
    <s v="21-Oct-2025"/>
    <x v="1"/>
    <s v="Week3-Oct-2025"/>
    <x v="1"/>
    <s v="27-Jun-2028"/>
    <s v="Tuesday"/>
    <s v="Monthly - Tuesday"/>
    <s v="Monthly - Tuesday"/>
    <s v="Month+32 Expiry"/>
    <n v="0"/>
    <n v="0"/>
    <n v="0"/>
  </r>
  <r>
    <s v="21-Oct-2025"/>
    <x v="1"/>
    <s v="Week3-Oct-2025"/>
    <x v="1"/>
    <s v="26-Dec-2028"/>
    <s v="Tuesday"/>
    <s v="Monthly - Tuesday"/>
    <s v="Monthly - Tuesday"/>
    <s v="Month+38 Expiry"/>
    <n v="0"/>
    <n v="0"/>
    <n v="0"/>
  </r>
  <r>
    <s v="21-Oct-2025"/>
    <x v="1"/>
    <s v="Week3-Oct-2025"/>
    <x v="1"/>
    <s v="26-Jun-2029"/>
    <s v="Tuesday"/>
    <s v="Monthly - Tuesday"/>
    <s v="Monthly - Tuesday"/>
    <s v="Month+44 Expiry"/>
    <n v="0"/>
    <n v="0"/>
    <n v="0"/>
  </r>
  <r>
    <s v="21-Oct-2025"/>
    <x v="1"/>
    <s v="Week3-Oct-2025"/>
    <x v="1"/>
    <s v="24-Dec-2029"/>
    <s v="Monday"/>
    <s v="Weekly - Monday"/>
    <s v="Weekly - Monday"/>
    <s v="Month+50 Expiry"/>
    <n v="0"/>
    <n v="0"/>
    <n v="0"/>
  </r>
  <r>
    <s v="21-Oct-2025"/>
    <x v="1"/>
    <s v="Week3-Oct-2025"/>
    <x v="1"/>
    <s v="25-Jun-2030"/>
    <s v="Tuesday"/>
    <s v="Monthly - Tuesday"/>
    <s v="Monthly - Tuesday"/>
    <s v="Month+56 Expiry"/>
    <n v="0"/>
    <n v="0"/>
    <n v="0"/>
  </r>
  <r>
    <s v="23-Oct-2025"/>
    <x v="3"/>
    <s v="Week4-Oct-2025"/>
    <x v="1"/>
    <s v="28-Oct-2025"/>
    <s v="Tuesday"/>
    <s v="Monthly - Tuesday"/>
    <s v="MDAW - Tuesday"/>
    <s v="Same Month Expiry"/>
    <n v="63610577"/>
    <n v="12416321.77"/>
    <n v="32036.55"/>
  </r>
  <r>
    <s v="23-Oct-2025"/>
    <x v="3"/>
    <s v="Week4-Oct-2025"/>
    <x v="1"/>
    <s v="04-Nov-2025"/>
    <s v="Tuesday"/>
    <s v="Weekly - Tuesday"/>
    <s v="Weekly - Tuesday"/>
    <s v="Month+1 Expiry"/>
    <n v="2560294"/>
    <n v="503176.3"/>
    <n v="2199.31"/>
  </r>
  <r>
    <s v="23-Oct-2025"/>
    <x v="3"/>
    <s v="Week4-Oct-2025"/>
    <x v="1"/>
    <s v="11-Nov-2025"/>
    <s v="Tuesday"/>
    <s v="Weekly - Tuesday"/>
    <s v="Weekly - Tuesday"/>
    <s v="Month+1 Expiry"/>
    <n v="180008"/>
    <n v="35464.36"/>
    <n v="219.26"/>
  </r>
  <r>
    <s v="23-Oct-2025"/>
    <x v="3"/>
    <s v="Week4-Oct-2025"/>
    <x v="1"/>
    <s v="18-Nov-2025"/>
    <s v="Tuesday"/>
    <s v="Weekly - Tuesday"/>
    <s v="Weekly - Tuesday"/>
    <s v="Month+1 Expiry"/>
    <n v="19548"/>
    <n v="3835.66"/>
    <n v="24.58"/>
  </r>
  <r>
    <s v="23-Oct-2025"/>
    <x v="3"/>
    <s v="Week4-Oct-2025"/>
    <x v="1"/>
    <s v="25-Nov-2025"/>
    <s v="Tuesday"/>
    <s v="Monthly - Tuesday"/>
    <s v="Monthly - Tuesday"/>
    <s v="Month+1 Expiry"/>
    <n v="911423"/>
    <n v="177498.31"/>
    <n v="1371.44"/>
  </r>
  <r>
    <s v="23-Oct-2025"/>
    <x v="3"/>
    <s v="Week4-Oct-2025"/>
    <x v="1"/>
    <s v="02-Dec-2025"/>
    <s v="Tuesday"/>
    <s v="Weekly - Tuesday"/>
    <s v="Weekly - Tuesday"/>
    <s v="Month+2 Expiry"/>
    <n v="823"/>
    <n v="161.52000000000001"/>
    <n v="1.56"/>
  </r>
  <r>
    <s v="23-Oct-2025"/>
    <x v="3"/>
    <s v="Week4-Oct-2025"/>
    <x v="1"/>
    <s v="30-Dec-2025"/>
    <s v="Tuesday"/>
    <s v="Monthly - Tuesday"/>
    <s v="Monthly - Tuesday"/>
    <s v="Month+2 Expiry"/>
    <n v="278799"/>
    <n v="54046.16"/>
    <n v="553.6"/>
  </r>
  <r>
    <s v="23-Oct-2025"/>
    <x v="3"/>
    <s v="Week4-Oct-2025"/>
    <x v="1"/>
    <s v="31-Mar-2026"/>
    <s v="Tuesday"/>
    <s v="Monthly - Tuesday"/>
    <s v="Monthly - Tuesday"/>
    <s v="Month+5 Expiry"/>
    <n v="33216"/>
    <n v="6555.13"/>
    <n v="101.08"/>
  </r>
  <r>
    <s v="23-Oct-2025"/>
    <x v="3"/>
    <s v="Week4-Oct-2025"/>
    <x v="1"/>
    <s v="30-Jun-2026"/>
    <s v="Tuesday"/>
    <s v="Monthly - Tuesday"/>
    <s v="Monthly - Tuesday"/>
    <s v="Month+8 Expiry"/>
    <n v="7074"/>
    <n v="1431.34"/>
    <n v="43.04"/>
  </r>
  <r>
    <s v="23-Oct-2025"/>
    <x v="3"/>
    <s v="Week4-Oct-2025"/>
    <x v="1"/>
    <s v="29-Sep-2026"/>
    <s v="Tuesday"/>
    <s v="Monthly - Tuesday"/>
    <s v="Monthly - Tuesday"/>
    <s v="Month+11 Expiry"/>
    <n v="0"/>
    <n v="0"/>
    <n v="0"/>
  </r>
  <r>
    <s v="23-Oct-2025"/>
    <x v="3"/>
    <s v="Week4-Oct-2025"/>
    <x v="1"/>
    <s v="29-Dec-2026"/>
    <s v="Tuesday"/>
    <s v="Monthly - Tuesday"/>
    <s v="Monthly - Tuesday"/>
    <s v="Month+14 Expiry"/>
    <n v="3413"/>
    <n v="686.46"/>
    <n v="20.51"/>
  </r>
  <r>
    <s v="23-Oct-2025"/>
    <x v="3"/>
    <s v="Week4-Oct-2025"/>
    <x v="1"/>
    <s v="29-Jun-2027"/>
    <s v="Tuesday"/>
    <s v="Monthly - Tuesday"/>
    <s v="Monthly - Tuesday"/>
    <s v="Month+20 Expiry"/>
    <n v="0"/>
    <n v="0"/>
    <n v="0"/>
  </r>
  <r>
    <s v="23-Oct-2025"/>
    <x v="3"/>
    <s v="Week4-Oct-2025"/>
    <x v="1"/>
    <s v="28-Dec-2027"/>
    <s v="Tuesday"/>
    <s v="Monthly - Tuesday"/>
    <s v="Monthly - Tuesday"/>
    <s v="Month+26 Expiry"/>
    <n v="1"/>
    <n v="0.2"/>
    <n v="0.01"/>
  </r>
  <r>
    <s v="23-Oct-2025"/>
    <x v="3"/>
    <s v="Week4-Oct-2025"/>
    <x v="1"/>
    <s v="27-Jun-2028"/>
    <s v="Tuesday"/>
    <s v="Monthly - Tuesday"/>
    <s v="Monthly - Tuesday"/>
    <s v="Month+32 Expiry"/>
    <n v="0"/>
    <n v="0"/>
    <n v="0"/>
  </r>
  <r>
    <s v="23-Oct-2025"/>
    <x v="3"/>
    <s v="Week4-Oct-2025"/>
    <x v="1"/>
    <s v="26-Dec-2028"/>
    <s v="Tuesday"/>
    <s v="Monthly - Tuesday"/>
    <s v="Monthly - Tuesday"/>
    <s v="Month+38 Expiry"/>
    <n v="2"/>
    <n v="0.41"/>
    <n v="0.02"/>
  </r>
  <r>
    <s v="23-Oct-2025"/>
    <x v="3"/>
    <s v="Week4-Oct-2025"/>
    <x v="1"/>
    <s v="26-Jun-2029"/>
    <s v="Tuesday"/>
    <s v="Monthly - Tuesday"/>
    <s v="Monthly - Tuesday"/>
    <s v="Month+44 Expiry"/>
    <n v="0"/>
    <n v="0"/>
    <n v="0"/>
  </r>
  <r>
    <s v="23-Oct-2025"/>
    <x v="3"/>
    <s v="Week4-Oct-2025"/>
    <x v="1"/>
    <s v="24-Dec-2029"/>
    <s v="Monday"/>
    <s v="Weekly - Monday"/>
    <s v="Weekly - Monday"/>
    <s v="Month+50 Expiry"/>
    <n v="0"/>
    <n v="0"/>
    <n v="0"/>
  </r>
  <r>
    <s v="23-Oct-2025"/>
    <x v="3"/>
    <s v="Week4-Oct-2025"/>
    <x v="1"/>
    <s v="25-Jun-2030"/>
    <s v="Tuesday"/>
    <s v="Monthly - Tuesday"/>
    <s v="Monthly - Tuesday"/>
    <s v="Month+56 Expiry"/>
    <n v="0"/>
    <n v="0"/>
    <n v="0"/>
  </r>
  <r>
    <s v="24-Oct-2025"/>
    <x v="4"/>
    <s v="Week4-Oct-2025"/>
    <x v="1"/>
    <s v="28-Oct-2025"/>
    <s v="Tuesday"/>
    <s v="Monthly - Tuesday"/>
    <s v="MDAW - Tuesday"/>
    <s v="Same Month Expiry"/>
    <n v="116718152"/>
    <n v="22689150.84"/>
    <n v="51233.05"/>
  </r>
  <r>
    <s v="24-Oct-2025"/>
    <x v="4"/>
    <s v="Week4-Oct-2025"/>
    <x v="1"/>
    <s v="04-Nov-2025"/>
    <s v="Tuesday"/>
    <s v="Weekly - Tuesday"/>
    <s v="Weekly - Tuesday"/>
    <s v="Month+1 Expiry"/>
    <n v="3354263"/>
    <n v="655858.76"/>
    <n v="2585.77"/>
  </r>
  <r>
    <s v="24-Oct-2025"/>
    <x v="4"/>
    <s v="Week4-Oct-2025"/>
    <x v="1"/>
    <s v="11-Nov-2025"/>
    <s v="Tuesday"/>
    <s v="Weekly - Tuesday"/>
    <s v="Weekly - Tuesday"/>
    <s v="Month+1 Expiry"/>
    <n v="206646"/>
    <n v="40521.93"/>
    <n v="224.49"/>
  </r>
  <r>
    <s v="24-Oct-2025"/>
    <x v="4"/>
    <s v="Week4-Oct-2025"/>
    <x v="1"/>
    <s v="18-Nov-2025"/>
    <s v="Tuesday"/>
    <s v="Weekly - Tuesday"/>
    <s v="Weekly - Tuesday"/>
    <s v="Month+1 Expiry"/>
    <n v="20023"/>
    <n v="3917.16"/>
    <n v="26.27"/>
  </r>
  <r>
    <s v="24-Oct-2025"/>
    <x v="4"/>
    <s v="Week4-Oct-2025"/>
    <x v="1"/>
    <s v="25-Nov-2025"/>
    <s v="Tuesday"/>
    <s v="Monthly - Tuesday"/>
    <s v="Monthly - Tuesday"/>
    <s v="Month+1 Expiry"/>
    <n v="823504"/>
    <n v="160862.18"/>
    <n v="1288.3900000000001"/>
  </r>
  <r>
    <s v="24-Oct-2025"/>
    <x v="4"/>
    <s v="Week4-Oct-2025"/>
    <x v="1"/>
    <s v="02-Dec-2025"/>
    <s v="Tuesday"/>
    <s v="Weekly - Tuesday"/>
    <s v="Weekly - Tuesday"/>
    <s v="Month+2 Expiry"/>
    <n v="1280"/>
    <n v="251.74"/>
    <n v="2.17"/>
  </r>
  <r>
    <s v="24-Oct-2025"/>
    <x v="4"/>
    <s v="Week4-Oct-2025"/>
    <x v="1"/>
    <s v="30-Dec-2025"/>
    <s v="Tuesday"/>
    <s v="Monthly - Tuesday"/>
    <s v="Monthly - Tuesday"/>
    <s v="Month+2 Expiry"/>
    <n v="188476"/>
    <n v="36874.61"/>
    <n v="358.99"/>
  </r>
  <r>
    <s v="24-Oct-2025"/>
    <x v="4"/>
    <s v="Week4-Oct-2025"/>
    <x v="1"/>
    <s v="31-Mar-2026"/>
    <s v="Tuesday"/>
    <s v="Monthly - Tuesday"/>
    <s v="Monthly - Tuesday"/>
    <s v="Month+5 Expiry"/>
    <n v="20954"/>
    <n v="4146.5"/>
    <n v="58.55"/>
  </r>
  <r>
    <s v="24-Oct-2025"/>
    <x v="4"/>
    <s v="Week4-Oct-2025"/>
    <x v="1"/>
    <s v="30-Jun-2026"/>
    <s v="Tuesday"/>
    <s v="Monthly - Tuesday"/>
    <s v="Monthly - Tuesday"/>
    <s v="Month+8 Expiry"/>
    <n v="7618"/>
    <n v="1438.71"/>
    <n v="20.2"/>
  </r>
  <r>
    <s v="24-Oct-2025"/>
    <x v="4"/>
    <s v="Week4-Oct-2025"/>
    <x v="1"/>
    <s v="29-Sep-2026"/>
    <s v="Tuesday"/>
    <s v="Monthly - Tuesday"/>
    <s v="Monthly - Tuesday"/>
    <s v="Month+11 Expiry"/>
    <n v="0"/>
    <n v="0"/>
    <n v="0"/>
  </r>
  <r>
    <s v="24-Oct-2025"/>
    <x v="4"/>
    <s v="Week4-Oct-2025"/>
    <x v="1"/>
    <s v="29-Dec-2026"/>
    <s v="Tuesday"/>
    <s v="Monthly - Tuesday"/>
    <s v="Monthly - Tuesday"/>
    <s v="Month+14 Expiry"/>
    <n v="2067"/>
    <n v="410.74"/>
    <n v="11.81"/>
  </r>
  <r>
    <s v="24-Oct-2025"/>
    <x v="4"/>
    <s v="Week4-Oct-2025"/>
    <x v="1"/>
    <s v="29-Jun-2027"/>
    <s v="Tuesday"/>
    <s v="Monthly - Tuesday"/>
    <s v="Monthly - Tuesday"/>
    <s v="Month+20 Expiry"/>
    <n v="0"/>
    <n v="0"/>
    <n v="0"/>
  </r>
  <r>
    <s v="24-Oct-2025"/>
    <x v="4"/>
    <s v="Week4-Oct-2025"/>
    <x v="1"/>
    <s v="28-Dec-2027"/>
    <s v="Tuesday"/>
    <s v="Monthly - Tuesday"/>
    <s v="Monthly - Tuesday"/>
    <s v="Month+26 Expiry"/>
    <n v="1"/>
    <n v="0.18"/>
    <n v="0.01"/>
  </r>
  <r>
    <s v="24-Oct-2025"/>
    <x v="4"/>
    <s v="Week4-Oct-2025"/>
    <x v="1"/>
    <s v="27-Jun-2028"/>
    <s v="Tuesday"/>
    <s v="Monthly - Tuesday"/>
    <s v="Monthly - Tuesday"/>
    <s v="Month+32 Expiry"/>
    <n v="0"/>
    <n v="0"/>
    <n v="0"/>
  </r>
  <r>
    <s v="24-Oct-2025"/>
    <x v="4"/>
    <s v="Week4-Oct-2025"/>
    <x v="1"/>
    <s v="26-Dec-2028"/>
    <s v="Tuesday"/>
    <s v="Monthly - Tuesday"/>
    <s v="Monthly - Tuesday"/>
    <s v="Month+38 Expiry"/>
    <n v="0"/>
    <n v="0"/>
    <n v="0"/>
  </r>
  <r>
    <s v="24-Oct-2025"/>
    <x v="4"/>
    <s v="Week4-Oct-2025"/>
    <x v="1"/>
    <s v="26-Jun-2029"/>
    <s v="Tuesday"/>
    <s v="Monthly - Tuesday"/>
    <s v="Monthly - Tuesday"/>
    <s v="Month+44 Expiry"/>
    <n v="0"/>
    <n v="0"/>
    <n v="0"/>
  </r>
  <r>
    <s v="24-Oct-2025"/>
    <x v="4"/>
    <s v="Week4-Oct-2025"/>
    <x v="1"/>
    <s v="24-Dec-2029"/>
    <s v="Monday"/>
    <s v="Weekly - Monday"/>
    <s v="Weekly - Monday"/>
    <s v="Month+50 Expiry"/>
    <n v="0"/>
    <n v="0"/>
    <n v="0"/>
  </r>
  <r>
    <s v="24-Oct-2025"/>
    <x v="4"/>
    <s v="Week4-Oct-2025"/>
    <x v="1"/>
    <s v="25-Jun-2030"/>
    <s v="Tuesday"/>
    <s v="Monthly - Tuesday"/>
    <s v="Monthly - Tuesday"/>
    <s v="Month+56 Expiry"/>
    <n v="0"/>
    <n v="0"/>
    <n v="0"/>
  </r>
  <r>
    <s v="27-Oct-2025"/>
    <x v="0"/>
    <s v="Week4-Oct-2025"/>
    <x v="1"/>
    <s v="28-Oct-2025"/>
    <s v="Tuesday"/>
    <s v="Monthly - Tuesday"/>
    <s v="MDAW - Tuesday"/>
    <s v="Same Month Expiry"/>
    <n v="124384858"/>
    <n v="24219332.100000001"/>
    <n v="45347.040000000001"/>
  </r>
  <r>
    <s v="27-Oct-2025"/>
    <x v="0"/>
    <s v="Week4-Oct-2025"/>
    <x v="1"/>
    <s v="04-Nov-2025"/>
    <s v="Tuesday"/>
    <s v="Weekly - Tuesday"/>
    <s v="Weekly - Tuesday"/>
    <s v="Month+1 Expiry"/>
    <n v="4989759"/>
    <n v="977684.74"/>
    <n v="3582.32"/>
  </r>
  <r>
    <s v="27-Oct-2025"/>
    <x v="0"/>
    <s v="Week4-Oct-2025"/>
    <x v="1"/>
    <s v="11-Nov-2025"/>
    <s v="Tuesday"/>
    <s v="Weekly - Tuesday"/>
    <s v="Weekly - Tuesday"/>
    <s v="Month+1 Expiry"/>
    <n v="287074"/>
    <n v="56427.22"/>
    <n v="294.92"/>
  </r>
  <r>
    <s v="27-Oct-2025"/>
    <x v="0"/>
    <s v="Week4-Oct-2025"/>
    <x v="1"/>
    <s v="18-Nov-2025"/>
    <s v="Tuesday"/>
    <s v="Weekly - Tuesday"/>
    <s v="Weekly - Tuesday"/>
    <s v="Month+1 Expiry"/>
    <n v="30684"/>
    <n v="6056.84"/>
    <n v="35.75"/>
  </r>
  <r>
    <s v="27-Oct-2025"/>
    <x v="0"/>
    <s v="Week4-Oct-2025"/>
    <x v="1"/>
    <s v="25-Nov-2025"/>
    <s v="Tuesday"/>
    <s v="Monthly - Tuesday"/>
    <s v="Monthly - Tuesday"/>
    <s v="Month+1 Expiry"/>
    <n v="1027928"/>
    <n v="201461.02"/>
    <n v="1656.05"/>
  </r>
  <r>
    <s v="27-Oct-2025"/>
    <x v="0"/>
    <s v="Week4-Oct-2025"/>
    <x v="1"/>
    <s v="02-Dec-2025"/>
    <s v="Tuesday"/>
    <s v="Weekly - Tuesday"/>
    <s v="Weekly - Tuesday"/>
    <s v="Month+2 Expiry"/>
    <n v="2000"/>
    <n v="395.14"/>
    <n v="3.47"/>
  </r>
  <r>
    <s v="27-Oct-2025"/>
    <x v="0"/>
    <s v="Week4-Oct-2025"/>
    <x v="1"/>
    <s v="30-Dec-2025"/>
    <s v="Tuesday"/>
    <s v="Monthly - Tuesday"/>
    <s v="Monthly - Tuesday"/>
    <s v="Month+2 Expiry"/>
    <n v="156428"/>
    <n v="30566.92"/>
    <n v="334.79"/>
  </r>
  <r>
    <s v="27-Oct-2025"/>
    <x v="0"/>
    <s v="Week4-Oct-2025"/>
    <x v="1"/>
    <s v="31-Mar-2026"/>
    <s v="Tuesday"/>
    <s v="Monthly - Tuesday"/>
    <s v="Monthly - Tuesday"/>
    <s v="Month+5 Expiry"/>
    <n v="25329"/>
    <n v="4973.3"/>
    <n v="72.27"/>
  </r>
  <r>
    <s v="27-Oct-2025"/>
    <x v="0"/>
    <s v="Week4-Oct-2025"/>
    <x v="1"/>
    <s v="30-Jun-2026"/>
    <s v="Tuesday"/>
    <s v="Monthly - Tuesday"/>
    <s v="Monthly - Tuesday"/>
    <s v="Month+8 Expiry"/>
    <n v="3914"/>
    <n v="757.38"/>
    <n v="13.42"/>
  </r>
  <r>
    <s v="27-Oct-2025"/>
    <x v="0"/>
    <s v="Week4-Oct-2025"/>
    <x v="1"/>
    <s v="29-Sep-2026"/>
    <s v="Tuesday"/>
    <s v="Monthly - Tuesday"/>
    <s v="Monthly - Tuesday"/>
    <s v="Month+11 Expiry"/>
    <n v="0"/>
    <n v="0"/>
    <n v="0"/>
  </r>
  <r>
    <s v="27-Oct-2025"/>
    <x v="0"/>
    <s v="Week4-Oct-2025"/>
    <x v="1"/>
    <s v="29-Dec-2026"/>
    <s v="Tuesday"/>
    <s v="Monthly - Tuesday"/>
    <s v="Monthly - Tuesday"/>
    <s v="Month+14 Expiry"/>
    <n v="2988"/>
    <n v="590.71"/>
    <n v="15.91"/>
  </r>
  <r>
    <s v="27-Oct-2025"/>
    <x v="0"/>
    <s v="Week4-Oct-2025"/>
    <x v="1"/>
    <s v="29-Jun-2027"/>
    <s v="Tuesday"/>
    <s v="Monthly - Tuesday"/>
    <s v="Monthly - Tuesday"/>
    <s v="Month+20 Expiry"/>
    <n v="0"/>
    <n v="0"/>
    <n v="0"/>
  </r>
  <r>
    <s v="27-Oct-2025"/>
    <x v="0"/>
    <s v="Week4-Oct-2025"/>
    <x v="1"/>
    <s v="28-Dec-2027"/>
    <s v="Tuesday"/>
    <s v="Monthly - Tuesday"/>
    <s v="Monthly - Tuesday"/>
    <s v="Month+26 Expiry"/>
    <n v="45"/>
    <n v="8.0500000000000007"/>
    <n v="0.19"/>
  </r>
  <r>
    <s v="27-Oct-2025"/>
    <x v="0"/>
    <s v="Week4-Oct-2025"/>
    <x v="1"/>
    <s v="27-Jun-2028"/>
    <s v="Tuesday"/>
    <s v="Monthly - Tuesday"/>
    <s v="Monthly - Tuesday"/>
    <s v="Month+32 Expiry"/>
    <n v="0"/>
    <n v="0"/>
    <n v="0"/>
  </r>
  <r>
    <s v="27-Oct-2025"/>
    <x v="0"/>
    <s v="Week4-Oct-2025"/>
    <x v="1"/>
    <s v="26-Dec-2028"/>
    <s v="Tuesday"/>
    <s v="Monthly - Tuesday"/>
    <s v="Monthly - Tuesday"/>
    <s v="Month+38 Expiry"/>
    <n v="6"/>
    <n v="1.21"/>
    <n v="0.04"/>
  </r>
  <r>
    <s v="27-Oct-2025"/>
    <x v="0"/>
    <s v="Week4-Oct-2025"/>
    <x v="1"/>
    <s v="26-Jun-2029"/>
    <s v="Tuesday"/>
    <s v="Monthly - Tuesday"/>
    <s v="Monthly - Tuesday"/>
    <s v="Month+44 Expiry"/>
    <n v="0"/>
    <n v="0"/>
    <n v="0"/>
  </r>
  <r>
    <s v="27-Oct-2025"/>
    <x v="0"/>
    <s v="Week4-Oct-2025"/>
    <x v="1"/>
    <s v="24-Dec-2029"/>
    <s v="Monday"/>
    <s v="Weekly - Monday"/>
    <s v="Weekly - Monday"/>
    <s v="Month+50 Expiry"/>
    <n v="1"/>
    <n v="0.18"/>
    <n v="0"/>
  </r>
  <r>
    <s v="27-Oct-2025"/>
    <x v="0"/>
    <s v="Week4-Oct-2025"/>
    <x v="1"/>
    <s v="25-Jun-2030"/>
    <s v="Tuesday"/>
    <s v="Monthly - Tuesday"/>
    <s v="Monthly - Tuesday"/>
    <s v="Month+56 Expiry"/>
    <n v="0"/>
    <n v="0"/>
    <n v="0"/>
  </r>
  <r>
    <s v="28-Oct-2025"/>
    <x v="1"/>
    <s v="Week4-Oct-2025"/>
    <x v="1"/>
    <s v="28-Oct-2025"/>
    <s v="Tuesday"/>
    <s v="Monthly - Tuesday"/>
    <s v="MDAW - Tuesday"/>
    <s v="Same Month Expiry"/>
    <n v="307497252"/>
    <n v="59819492.409999996"/>
    <n v="60693.93"/>
  </r>
  <r>
    <s v="28-Oct-2025"/>
    <x v="1"/>
    <s v="Week4-Oct-2025"/>
    <x v="1"/>
    <s v="04-Nov-2025"/>
    <s v="Tuesday"/>
    <s v="Weekly - Tuesday"/>
    <s v="Weekly - Tuesday"/>
    <s v="Month+1 Expiry"/>
    <n v="11689763"/>
    <n v="2284001.48"/>
    <n v="8084.83"/>
  </r>
  <r>
    <s v="28-Oct-2025"/>
    <x v="1"/>
    <s v="Week4-Oct-2025"/>
    <x v="1"/>
    <s v="11-Nov-2025"/>
    <s v="Tuesday"/>
    <s v="Weekly - Tuesday"/>
    <s v="Weekly - Tuesday"/>
    <s v="Month+1 Expiry"/>
    <n v="513420"/>
    <n v="100636.04"/>
    <n v="518.29"/>
  </r>
  <r>
    <s v="28-Oct-2025"/>
    <x v="1"/>
    <s v="Week4-Oct-2025"/>
    <x v="1"/>
    <s v="18-Nov-2025"/>
    <s v="Tuesday"/>
    <s v="Weekly - Tuesday"/>
    <s v="Weekly - Tuesday"/>
    <s v="Month+1 Expiry"/>
    <n v="42332"/>
    <n v="8327.56"/>
    <n v="48.74"/>
  </r>
  <r>
    <s v="28-Oct-2025"/>
    <x v="1"/>
    <s v="Week4-Oct-2025"/>
    <x v="1"/>
    <s v="25-Nov-2025"/>
    <s v="Tuesday"/>
    <s v="Monthly - Tuesday"/>
    <s v="Monthly - Tuesday"/>
    <s v="Month+1 Expiry"/>
    <n v="1235485"/>
    <n v="242968.17"/>
    <n v="2139.42"/>
  </r>
  <r>
    <s v="28-Oct-2025"/>
    <x v="1"/>
    <s v="Week4-Oct-2025"/>
    <x v="1"/>
    <s v="02-Dec-2025"/>
    <s v="Tuesday"/>
    <s v="Weekly - Tuesday"/>
    <s v="Weekly - Tuesday"/>
    <s v="Month+2 Expiry"/>
    <n v="2343"/>
    <n v="462.67"/>
    <n v="4.46"/>
  </r>
  <r>
    <s v="28-Oct-2025"/>
    <x v="1"/>
    <s v="Week4-Oct-2025"/>
    <x v="1"/>
    <s v="30-Dec-2025"/>
    <s v="Tuesday"/>
    <s v="Monthly - Tuesday"/>
    <s v="Monthly - Tuesday"/>
    <s v="Month+2 Expiry"/>
    <n v="188460"/>
    <n v="36702.629999999997"/>
    <n v="380.92"/>
  </r>
  <r>
    <s v="28-Oct-2025"/>
    <x v="1"/>
    <s v="Week4-Oct-2025"/>
    <x v="1"/>
    <s v="31-Mar-2026"/>
    <s v="Tuesday"/>
    <s v="Monthly - Tuesday"/>
    <s v="Monthly - Tuesday"/>
    <s v="Month+5 Expiry"/>
    <n v="25313"/>
    <n v="4889.1899999999996"/>
    <n v="65.28"/>
  </r>
  <r>
    <s v="28-Oct-2025"/>
    <x v="1"/>
    <s v="Week4-Oct-2025"/>
    <x v="1"/>
    <s v="30-Jun-2026"/>
    <s v="Tuesday"/>
    <s v="Monthly - Tuesday"/>
    <s v="Monthly - Tuesday"/>
    <s v="Month+8 Expiry"/>
    <n v="6268"/>
    <n v="1171.51"/>
    <n v="16.63"/>
  </r>
  <r>
    <s v="28-Oct-2025"/>
    <x v="1"/>
    <s v="Week4-Oct-2025"/>
    <x v="1"/>
    <s v="29-Sep-2026"/>
    <s v="Tuesday"/>
    <s v="Monthly - Tuesday"/>
    <s v="Monthly - Tuesday"/>
    <s v="Month+11 Expiry"/>
    <n v="0"/>
    <n v="0"/>
    <n v="0"/>
  </r>
  <r>
    <s v="28-Oct-2025"/>
    <x v="1"/>
    <s v="Week4-Oct-2025"/>
    <x v="1"/>
    <s v="29-Dec-2026"/>
    <s v="Tuesday"/>
    <s v="Monthly - Tuesday"/>
    <s v="Monthly - Tuesday"/>
    <s v="Month+14 Expiry"/>
    <n v="1741"/>
    <n v="342.94"/>
    <n v="9.32"/>
  </r>
  <r>
    <s v="28-Oct-2025"/>
    <x v="1"/>
    <s v="Week4-Oct-2025"/>
    <x v="1"/>
    <s v="29-Jun-2027"/>
    <s v="Tuesday"/>
    <s v="Monthly - Tuesday"/>
    <s v="Monthly - Tuesday"/>
    <s v="Month+20 Expiry"/>
    <n v="0"/>
    <n v="0"/>
    <n v="0"/>
  </r>
  <r>
    <s v="28-Oct-2025"/>
    <x v="1"/>
    <s v="Week4-Oct-2025"/>
    <x v="1"/>
    <s v="28-Dec-2027"/>
    <s v="Tuesday"/>
    <s v="Monthly - Tuesday"/>
    <s v="Monthly - Tuesday"/>
    <s v="Month+26 Expiry"/>
    <n v="30"/>
    <n v="5.41"/>
    <n v="0.13"/>
  </r>
  <r>
    <s v="28-Oct-2025"/>
    <x v="1"/>
    <s v="Week4-Oct-2025"/>
    <x v="1"/>
    <s v="27-Jun-2028"/>
    <s v="Tuesday"/>
    <s v="Monthly - Tuesday"/>
    <s v="Monthly - Tuesday"/>
    <s v="Month+32 Expiry"/>
    <n v="0"/>
    <n v="0"/>
    <n v="0"/>
  </r>
  <r>
    <s v="28-Oct-2025"/>
    <x v="1"/>
    <s v="Week4-Oct-2025"/>
    <x v="1"/>
    <s v="26-Dec-2028"/>
    <s v="Tuesday"/>
    <s v="Monthly - Tuesday"/>
    <s v="Monthly - Tuesday"/>
    <s v="Month+38 Expiry"/>
    <n v="3"/>
    <n v="0.61"/>
    <n v="0.02"/>
  </r>
  <r>
    <s v="28-Oct-2025"/>
    <x v="1"/>
    <s v="Week4-Oct-2025"/>
    <x v="1"/>
    <s v="26-Jun-2029"/>
    <s v="Tuesday"/>
    <s v="Monthly - Tuesday"/>
    <s v="Monthly - Tuesday"/>
    <s v="Month+44 Expiry"/>
    <n v="0"/>
    <n v="0"/>
    <n v="0"/>
  </r>
  <r>
    <s v="28-Oct-2025"/>
    <x v="1"/>
    <s v="Week4-Oct-2025"/>
    <x v="1"/>
    <s v="24-Dec-2029"/>
    <s v="Monday"/>
    <s v="Weekly - Monday"/>
    <s v="Weekly - Monday"/>
    <s v="Month+50 Expiry"/>
    <n v="1"/>
    <n v="0.18"/>
    <n v="0"/>
  </r>
  <r>
    <s v="28-Oct-2025"/>
    <x v="1"/>
    <s v="Week4-Oct-2025"/>
    <x v="1"/>
    <s v="25-Jun-2030"/>
    <s v="Tuesday"/>
    <s v="Monthly - Tuesday"/>
    <s v="Monthly - Tuesday"/>
    <s v="Month+56 Expiry"/>
    <n v="0"/>
    <n v="0"/>
    <n v="0"/>
  </r>
  <r>
    <s v="29-Oct-2025"/>
    <x v="2"/>
    <s v="Week5-Oct-2025"/>
    <x v="1"/>
    <s v="04-Nov-2025"/>
    <s v="Tuesday"/>
    <s v="Weekly - Tuesday"/>
    <s v="Weekly - Tuesday"/>
    <s v="Month+1 Expiry"/>
    <n v="48510836"/>
    <n v="9512703.5999999996"/>
    <n v="32385.34"/>
  </r>
  <r>
    <s v="29-Oct-2025"/>
    <x v="2"/>
    <s v="Week5-Oct-2025"/>
    <x v="1"/>
    <s v="11-Nov-2025"/>
    <s v="Tuesday"/>
    <s v="Weekly - Tuesday"/>
    <s v="Weekly - Tuesday"/>
    <s v="Month+1 Expiry"/>
    <n v="1082960"/>
    <n v="212752.52"/>
    <n v="1055.26"/>
  </r>
  <r>
    <s v="29-Oct-2025"/>
    <x v="2"/>
    <s v="Week5-Oct-2025"/>
    <x v="1"/>
    <s v="18-Nov-2025"/>
    <s v="Tuesday"/>
    <s v="Weekly - Tuesday"/>
    <s v="Weekly - Tuesday"/>
    <s v="Month+1 Expiry"/>
    <n v="71069"/>
    <n v="14007.94"/>
    <n v="89.3"/>
  </r>
  <r>
    <s v="29-Oct-2025"/>
    <x v="2"/>
    <s v="Week5-Oct-2025"/>
    <x v="1"/>
    <s v="25-Nov-2025"/>
    <s v="Tuesday"/>
    <s v="Monthly - Tuesday"/>
    <s v="Monthly - Tuesday"/>
    <s v="Month+1 Expiry"/>
    <n v="1256875"/>
    <n v="246862.47"/>
    <n v="1912.13"/>
  </r>
  <r>
    <s v="29-Oct-2025"/>
    <x v="2"/>
    <s v="Week5-Oct-2025"/>
    <x v="1"/>
    <s v="02-Dec-2025"/>
    <s v="Tuesday"/>
    <s v="Weekly - Tuesday"/>
    <s v="Weekly - Tuesday"/>
    <s v="Month+2 Expiry"/>
    <n v="7380"/>
    <n v="1469.23"/>
    <n v="12.81"/>
  </r>
  <r>
    <s v="29-Oct-2025"/>
    <x v="2"/>
    <s v="Week5-Oct-2025"/>
    <x v="1"/>
    <s v="30-Dec-2025"/>
    <s v="Tuesday"/>
    <s v="Monthly - Tuesday"/>
    <s v="Monthly - Tuesday"/>
    <s v="Month+2 Expiry"/>
    <n v="212059"/>
    <n v="41340.300000000003"/>
    <n v="382.99"/>
  </r>
  <r>
    <s v="29-Oct-2025"/>
    <x v="2"/>
    <s v="Week5-Oct-2025"/>
    <x v="1"/>
    <s v="27-Jan-2026"/>
    <s v="Tuesday"/>
    <s v="Monthly - Tuesday"/>
    <s v="Monthly - Tuesday"/>
    <s v="Month+3 Expiry"/>
    <n v="18355"/>
    <n v="3100.66"/>
    <n v="32.71"/>
  </r>
  <r>
    <s v="29-Oct-2025"/>
    <x v="2"/>
    <s v="Week5-Oct-2025"/>
    <x v="1"/>
    <s v="31-Mar-2026"/>
    <s v="Tuesday"/>
    <s v="Monthly - Tuesday"/>
    <s v="Monthly - Tuesday"/>
    <s v="Month+5 Expiry"/>
    <n v="28487"/>
    <n v="5532.95"/>
    <n v="76.94"/>
  </r>
  <r>
    <s v="29-Oct-2025"/>
    <x v="2"/>
    <s v="Week5-Oct-2025"/>
    <x v="1"/>
    <s v="30-Jun-2026"/>
    <s v="Tuesday"/>
    <s v="Monthly - Tuesday"/>
    <s v="Monthly - Tuesday"/>
    <s v="Month+8 Expiry"/>
    <n v="5588"/>
    <n v="1112.47"/>
    <n v="20.25"/>
  </r>
  <r>
    <s v="29-Oct-2025"/>
    <x v="2"/>
    <s v="Week5-Oct-2025"/>
    <x v="1"/>
    <s v="29-Sep-2026"/>
    <s v="Tuesday"/>
    <s v="Monthly - Tuesday"/>
    <s v="Monthly - Tuesday"/>
    <s v="Month+11 Expiry"/>
    <n v="54"/>
    <n v="9.7899999999999991"/>
    <n v="0.1"/>
  </r>
  <r>
    <s v="29-Oct-2025"/>
    <x v="2"/>
    <s v="Week5-Oct-2025"/>
    <x v="1"/>
    <s v="29-Dec-2026"/>
    <s v="Tuesday"/>
    <s v="Monthly - Tuesday"/>
    <s v="Monthly - Tuesday"/>
    <s v="Month+14 Expiry"/>
    <n v="2689"/>
    <n v="517.44000000000005"/>
    <n v="16.350000000000001"/>
  </r>
  <r>
    <s v="29-Oct-2025"/>
    <x v="2"/>
    <s v="Week5-Oct-2025"/>
    <x v="1"/>
    <s v="29-Jun-2027"/>
    <s v="Tuesday"/>
    <s v="Monthly - Tuesday"/>
    <s v="Monthly - Tuesday"/>
    <s v="Month+20 Expiry"/>
    <n v="0"/>
    <n v="0"/>
    <n v="0"/>
  </r>
  <r>
    <s v="29-Oct-2025"/>
    <x v="2"/>
    <s v="Week5-Oct-2025"/>
    <x v="1"/>
    <s v="28-Dec-2027"/>
    <s v="Tuesday"/>
    <s v="Monthly - Tuesday"/>
    <s v="Monthly - Tuesday"/>
    <s v="Month+26 Expiry"/>
    <n v="10"/>
    <n v="1.54"/>
    <n v="0.03"/>
  </r>
  <r>
    <s v="29-Oct-2025"/>
    <x v="2"/>
    <s v="Week5-Oct-2025"/>
    <x v="1"/>
    <s v="27-Jun-2028"/>
    <s v="Tuesday"/>
    <s v="Monthly - Tuesday"/>
    <s v="Monthly - Tuesday"/>
    <s v="Month+32 Expiry"/>
    <n v="0"/>
    <n v="0"/>
    <n v="0"/>
  </r>
  <r>
    <s v="29-Oct-2025"/>
    <x v="2"/>
    <s v="Week5-Oct-2025"/>
    <x v="1"/>
    <s v="26-Dec-2028"/>
    <s v="Tuesday"/>
    <s v="Monthly - Tuesday"/>
    <s v="Monthly - Tuesday"/>
    <s v="Month+38 Expiry"/>
    <n v="1"/>
    <n v="0.2"/>
    <n v="0.01"/>
  </r>
  <r>
    <s v="29-Oct-2025"/>
    <x v="2"/>
    <s v="Week5-Oct-2025"/>
    <x v="1"/>
    <s v="26-Jun-2029"/>
    <s v="Tuesday"/>
    <s v="Monthly - Tuesday"/>
    <s v="Monthly - Tuesday"/>
    <s v="Month+44 Expiry"/>
    <n v="0"/>
    <n v="0"/>
    <n v="0"/>
  </r>
  <r>
    <s v="29-Oct-2025"/>
    <x v="2"/>
    <s v="Week5-Oct-2025"/>
    <x v="1"/>
    <s v="24-Dec-2029"/>
    <s v="Monday"/>
    <s v="Weekly - Monday"/>
    <s v="Weekly - Monday"/>
    <s v="Month+50 Expiry"/>
    <n v="0"/>
    <n v="0"/>
    <n v="0"/>
  </r>
  <r>
    <s v="29-Oct-2025"/>
    <x v="2"/>
    <s v="Week5-Oct-2025"/>
    <x v="1"/>
    <s v="25-Jun-2030"/>
    <s v="Tuesday"/>
    <s v="Monthly - Tuesday"/>
    <s v="Monthly - Tuesday"/>
    <s v="Month+56 Expiry"/>
    <n v="0"/>
    <n v="0"/>
    <n v="0"/>
  </r>
  <r>
    <s v="30-Oct-2025"/>
    <x v="3"/>
    <s v="Week5-Oct-2025"/>
    <x v="1"/>
    <s v="04-Nov-2025"/>
    <s v="Tuesday"/>
    <s v="Weekly - Tuesday"/>
    <s v="Weekly - Tuesday"/>
    <s v="Month+1 Expiry"/>
    <n v="52560220"/>
    <n v="10283082.42"/>
    <n v="28665.68"/>
  </r>
  <r>
    <s v="30-Oct-2025"/>
    <x v="3"/>
    <s v="Week5-Oct-2025"/>
    <x v="1"/>
    <s v="11-Nov-2025"/>
    <s v="Tuesday"/>
    <s v="Weekly - Tuesday"/>
    <s v="Weekly - Tuesday"/>
    <s v="Month+1 Expiry"/>
    <n v="1449290"/>
    <n v="284454.90999999997"/>
    <n v="1248.9000000000001"/>
  </r>
  <r>
    <s v="30-Oct-2025"/>
    <x v="3"/>
    <s v="Week5-Oct-2025"/>
    <x v="1"/>
    <s v="18-Nov-2025"/>
    <s v="Tuesday"/>
    <s v="Weekly - Tuesday"/>
    <s v="Weekly - Tuesday"/>
    <s v="Month+1 Expiry"/>
    <n v="84113"/>
    <n v="16565.59"/>
    <n v="92.45"/>
  </r>
  <r>
    <s v="30-Oct-2025"/>
    <x v="3"/>
    <s v="Week5-Oct-2025"/>
    <x v="1"/>
    <s v="25-Nov-2025"/>
    <s v="Tuesday"/>
    <s v="Monthly - Tuesday"/>
    <s v="Monthly - Tuesday"/>
    <s v="Month+1 Expiry"/>
    <n v="1206538"/>
    <n v="237266.58"/>
    <n v="1809.03"/>
  </r>
  <r>
    <s v="30-Oct-2025"/>
    <x v="3"/>
    <s v="Week5-Oct-2025"/>
    <x v="1"/>
    <s v="02-Dec-2025"/>
    <s v="Tuesday"/>
    <s v="Weekly - Tuesday"/>
    <s v="Weekly - Tuesday"/>
    <s v="Month+2 Expiry"/>
    <n v="5354"/>
    <n v="1063.75"/>
    <n v="9.07"/>
  </r>
  <r>
    <s v="30-Oct-2025"/>
    <x v="3"/>
    <s v="Week5-Oct-2025"/>
    <x v="1"/>
    <s v="30-Dec-2025"/>
    <s v="Tuesday"/>
    <s v="Monthly - Tuesday"/>
    <s v="Monthly - Tuesday"/>
    <s v="Month+2 Expiry"/>
    <n v="160602"/>
    <n v="31617.81"/>
    <n v="317.25"/>
  </r>
  <r>
    <s v="30-Oct-2025"/>
    <x v="3"/>
    <s v="Week5-Oct-2025"/>
    <x v="1"/>
    <s v="27-Jan-2026"/>
    <s v="Tuesday"/>
    <s v="Monthly - Tuesday"/>
    <s v="Monthly - Tuesday"/>
    <s v="Month+3 Expiry"/>
    <n v="14161"/>
    <n v="2401.81"/>
    <n v="27.25"/>
  </r>
  <r>
    <s v="30-Oct-2025"/>
    <x v="3"/>
    <s v="Week5-Oct-2025"/>
    <x v="1"/>
    <s v="31-Mar-2026"/>
    <s v="Tuesday"/>
    <s v="Monthly - Tuesday"/>
    <s v="Monthly - Tuesday"/>
    <s v="Month+5 Expiry"/>
    <n v="22497"/>
    <n v="4396.88"/>
    <n v="59.92"/>
  </r>
  <r>
    <s v="30-Oct-2025"/>
    <x v="3"/>
    <s v="Week5-Oct-2025"/>
    <x v="1"/>
    <s v="30-Jun-2026"/>
    <s v="Tuesday"/>
    <s v="Monthly - Tuesday"/>
    <s v="Monthly - Tuesday"/>
    <s v="Month+8 Expiry"/>
    <n v="4283"/>
    <n v="868.97"/>
    <n v="19.68"/>
  </r>
  <r>
    <s v="30-Oct-2025"/>
    <x v="3"/>
    <s v="Week5-Oct-2025"/>
    <x v="1"/>
    <s v="29-Sep-2026"/>
    <s v="Tuesday"/>
    <s v="Monthly - Tuesday"/>
    <s v="Monthly - Tuesday"/>
    <s v="Month+11 Expiry"/>
    <n v="80"/>
    <n v="14.99"/>
    <n v="0.21"/>
  </r>
  <r>
    <s v="30-Oct-2025"/>
    <x v="3"/>
    <s v="Week5-Oct-2025"/>
    <x v="1"/>
    <s v="29-Dec-2026"/>
    <s v="Tuesday"/>
    <s v="Monthly - Tuesday"/>
    <s v="Monthly - Tuesday"/>
    <s v="Month+14 Expiry"/>
    <n v="1746"/>
    <n v="351.78"/>
    <n v="11.55"/>
  </r>
  <r>
    <s v="30-Oct-2025"/>
    <x v="3"/>
    <s v="Week5-Oct-2025"/>
    <x v="1"/>
    <s v="29-Jun-2027"/>
    <s v="Tuesday"/>
    <s v="Monthly - Tuesday"/>
    <s v="Monthly - Tuesday"/>
    <s v="Month+20 Expiry"/>
    <n v="0"/>
    <n v="0"/>
    <n v="0"/>
  </r>
  <r>
    <s v="30-Oct-2025"/>
    <x v="3"/>
    <s v="Week5-Oct-2025"/>
    <x v="1"/>
    <s v="28-Dec-2027"/>
    <s v="Tuesday"/>
    <s v="Monthly - Tuesday"/>
    <s v="Monthly - Tuesday"/>
    <s v="Month+26 Expiry"/>
    <n v="9"/>
    <n v="1.57"/>
    <n v="0.04"/>
  </r>
  <r>
    <s v="30-Oct-2025"/>
    <x v="3"/>
    <s v="Week5-Oct-2025"/>
    <x v="1"/>
    <s v="27-Jun-2028"/>
    <s v="Tuesday"/>
    <s v="Monthly - Tuesday"/>
    <s v="Monthly - Tuesday"/>
    <s v="Month+32 Expiry"/>
    <n v="0"/>
    <n v="0"/>
    <n v="0"/>
  </r>
  <r>
    <s v="30-Oct-2025"/>
    <x v="3"/>
    <s v="Week5-Oct-2025"/>
    <x v="1"/>
    <s v="26-Dec-2028"/>
    <s v="Tuesday"/>
    <s v="Monthly - Tuesday"/>
    <s v="Monthly - Tuesday"/>
    <s v="Month+38 Expiry"/>
    <n v="3"/>
    <n v="0.61"/>
    <n v="0.02"/>
  </r>
  <r>
    <s v="30-Oct-2025"/>
    <x v="3"/>
    <s v="Week5-Oct-2025"/>
    <x v="1"/>
    <s v="26-Jun-2029"/>
    <s v="Tuesday"/>
    <s v="Monthly - Tuesday"/>
    <s v="Monthly - Tuesday"/>
    <s v="Month+44 Expiry"/>
    <n v="0"/>
    <n v="0"/>
    <n v="0"/>
  </r>
  <r>
    <s v="30-Oct-2025"/>
    <x v="3"/>
    <s v="Week5-Oct-2025"/>
    <x v="1"/>
    <s v="24-Dec-2029"/>
    <s v="Monday"/>
    <s v="Weekly - Monday"/>
    <s v="Weekly - Monday"/>
    <s v="Month+50 Expiry"/>
    <n v="0"/>
    <n v="0"/>
    <n v="0"/>
  </r>
  <r>
    <s v="30-Oct-2025"/>
    <x v="3"/>
    <s v="Week5-Oct-2025"/>
    <x v="1"/>
    <s v="25-Jun-2030"/>
    <s v="Tuesday"/>
    <s v="Monthly - Tuesday"/>
    <s v="Monthly - Tuesday"/>
    <s v="Month+56 Expiry"/>
    <n v="0"/>
    <n v="0"/>
    <n v="0"/>
  </r>
  <r>
    <s v="31-Oct-2025"/>
    <x v="4"/>
    <s v="Week5-Oct-2025"/>
    <x v="1"/>
    <s v="04-Nov-2025"/>
    <s v="Tuesday"/>
    <s v="Weekly - Tuesday"/>
    <s v="Weekly - Tuesday"/>
    <s v="Month+1 Expiry"/>
    <n v="99361213"/>
    <n v="19359067.809999999"/>
    <n v="44892.46"/>
  </r>
  <r>
    <s v="31-Oct-2025"/>
    <x v="4"/>
    <s v="Week5-Oct-2025"/>
    <x v="1"/>
    <s v="11-Nov-2025"/>
    <s v="Tuesday"/>
    <s v="Weekly - Tuesday"/>
    <s v="Weekly - Tuesday"/>
    <s v="Month+1 Expiry"/>
    <n v="2325416"/>
    <n v="454925.7"/>
    <n v="1765.55"/>
  </r>
  <r>
    <s v="31-Oct-2025"/>
    <x v="4"/>
    <s v="Week5-Oct-2025"/>
    <x v="1"/>
    <s v="18-Nov-2025"/>
    <s v="Tuesday"/>
    <s v="Weekly - Tuesday"/>
    <s v="Weekly - Tuesday"/>
    <s v="Month+1 Expiry"/>
    <n v="132718"/>
    <n v="26063.93"/>
    <n v="135.85"/>
  </r>
  <r>
    <s v="31-Oct-2025"/>
    <x v="4"/>
    <s v="Week5-Oct-2025"/>
    <x v="1"/>
    <s v="25-Nov-2025"/>
    <s v="Tuesday"/>
    <s v="Monthly - Tuesday"/>
    <s v="Monthly - Tuesday"/>
    <s v="Month+1 Expiry"/>
    <n v="1231944"/>
    <n v="241771.07"/>
    <n v="1737.39"/>
  </r>
  <r>
    <s v="31-Oct-2025"/>
    <x v="4"/>
    <s v="Week5-Oct-2025"/>
    <x v="1"/>
    <s v="02-Dec-2025"/>
    <s v="Tuesday"/>
    <s v="Weekly - Tuesday"/>
    <s v="Weekly - Tuesday"/>
    <s v="Month+2 Expiry"/>
    <n v="6204"/>
    <n v="1223.6099999999999"/>
    <n v="9.6199999999999992"/>
  </r>
  <r>
    <s v="31-Oct-2025"/>
    <x v="4"/>
    <s v="Week5-Oct-2025"/>
    <x v="1"/>
    <s v="30-Dec-2025"/>
    <s v="Tuesday"/>
    <s v="Monthly - Tuesday"/>
    <s v="Monthly - Tuesday"/>
    <s v="Month+2 Expiry"/>
    <n v="154754"/>
    <n v="30402.98"/>
    <n v="284.95999999999998"/>
  </r>
  <r>
    <s v="31-Oct-2025"/>
    <x v="4"/>
    <s v="Week5-Oct-2025"/>
    <x v="1"/>
    <s v="27-Jan-2026"/>
    <s v="Tuesday"/>
    <s v="Monthly - Tuesday"/>
    <s v="Monthly - Tuesday"/>
    <s v="Month+3 Expiry"/>
    <n v="14522"/>
    <n v="2461.29"/>
    <n v="28.51"/>
  </r>
  <r>
    <s v="31-Oct-2025"/>
    <x v="4"/>
    <s v="Week5-Oct-2025"/>
    <x v="1"/>
    <s v="31-Mar-2026"/>
    <s v="Tuesday"/>
    <s v="Monthly - Tuesday"/>
    <s v="Monthly - Tuesday"/>
    <s v="Month+5 Expiry"/>
    <n v="13524"/>
    <n v="2660.63"/>
    <n v="38.94"/>
  </r>
  <r>
    <s v="31-Oct-2025"/>
    <x v="4"/>
    <s v="Week5-Oct-2025"/>
    <x v="1"/>
    <s v="30-Jun-2026"/>
    <s v="Tuesday"/>
    <s v="Monthly - Tuesday"/>
    <s v="Monthly - Tuesday"/>
    <s v="Month+8 Expiry"/>
    <n v="7676"/>
    <n v="1478.14"/>
    <n v="31.09"/>
  </r>
  <r>
    <s v="31-Oct-2025"/>
    <x v="4"/>
    <s v="Week5-Oct-2025"/>
    <x v="1"/>
    <s v="29-Sep-2026"/>
    <s v="Tuesday"/>
    <s v="Monthly - Tuesday"/>
    <s v="Monthly - Tuesday"/>
    <s v="Month+11 Expiry"/>
    <n v="25"/>
    <n v="4.6900000000000004"/>
    <n v="7.0000000000000007E-2"/>
  </r>
  <r>
    <s v="31-Oct-2025"/>
    <x v="4"/>
    <s v="Week5-Oct-2025"/>
    <x v="1"/>
    <s v="29-Dec-2026"/>
    <s v="Tuesday"/>
    <s v="Monthly - Tuesday"/>
    <s v="Monthly - Tuesday"/>
    <s v="Month+14 Expiry"/>
    <n v="2630"/>
    <n v="534.17999999999995"/>
    <n v="16.52"/>
  </r>
  <r>
    <s v="31-Oct-2025"/>
    <x v="4"/>
    <s v="Week5-Oct-2025"/>
    <x v="1"/>
    <s v="29-Jun-2027"/>
    <s v="Tuesday"/>
    <s v="Monthly - Tuesday"/>
    <s v="Monthly - Tuesday"/>
    <s v="Month+20 Expiry"/>
    <n v="0"/>
    <n v="0"/>
    <n v="0"/>
  </r>
  <r>
    <s v="31-Oct-2025"/>
    <x v="4"/>
    <s v="Week5-Oct-2025"/>
    <x v="1"/>
    <s v="28-Dec-2027"/>
    <s v="Tuesday"/>
    <s v="Monthly - Tuesday"/>
    <s v="Monthly - Tuesday"/>
    <s v="Month+26 Expiry"/>
    <n v="46"/>
    <n v="9.27"/>
    <n v="0.34"/>
  </r>
  <r>
    <s v="31-Oct-2025"/>
    <x v="4"/>
    <s v="Week5-Oct-2025"/>
    <x v="1"/>
    <s v="27-Jun-2028"/>
    <s v="Tuesday"/>
    <s v="Monthly - Tuesday"/>
    <s v="Monthly - Tuesday"/>
    <s v="Month+32 Expiry"/>
    <n v="0"/>
    <n v="0"/>
    <n v="0"/>
  </r>
  <r>
    <s v="31-Oct-2025"/>
    <x v="4"/>
    <s v="Week5-Oct-2025"/>
    <x v="1"/>
    <s v="26-Dec-2028"/>
    <s v="Tuesday"/>
    <s v="Monthly - Tuesday"/>
    <s v="Monthly - Tuesday"/>
    <s v="Month+38 Expiry"/>
    <n v="1"/>
    <n v="0.25"/>
    <n v="0.02"/>
  </r>
  <r>
    <s v="31-Oct-2025"/>
    <x v="4"/>
    <s v="Week5-Oct-2025"/>
    <x v="1"/>
    <s v="26-Jun-2029"/>
    <s v="Tuesday"/>
    <s v="Monthly - Tuesday"/>
    <s v="Monthly - Tuesday"/>
    <s v="Month+44 Expiry"/>
    <n v="0"/>
    <n v="0"/>
    <n v="0"/>
  </r>
  <r>
    <s v="31-Oct-2025"/>
    <x v="4"/>
    <s v="Week5-Oct-2025"/>
    <x v="1"/>
    <s v="24-Dec-2029"/>
    <s v="Monday"/>
    <s v="Weekly - Monday"/>
    <s v="Weekly - Monday"/>
    <s v="Month+50 Expiry"/>
    <n v="0"/>
    <n v="0"/>
    <n v="0"/>
  </r>
  <r>
    <s v="31-Oct-2025"/>
    <x v="4"/>
    <s v="Week5-Oct-2025"/>
    <x v="1"/>
    <s v="25-Jun-2030"/>
    <s v="Tuesday"/>
    <s v="Monthly - Tuesday"/>
    <s v="Monthly - Tuesday"/>
    <s v="Month+56 Expiry"/>
    <n v="0"/>
    <n v="0"/>
    <n v="0"/>
  </r>
  <r>
    <s v="03-Nov-2025"/>
    <x v="0"/>
    <s v="Week1-Nov-2025"/>
    <x v="2"/>
    <s v="04-Nov-2025"/>
    <s v="Tuesday"/>
    <s v="Weekly - Tuesday"/>
    <s v="Weekly - Tuesday"/>
    <s v="Same Month Expiry"/>
    <n v="123061875"/>
    <n v="23844914.559999999"/>
    <n v="42696.31"/>
  </r>
  <r>
    <s v="03-Nov-2025"/>
    <x v="0"/>
    <s v="Week1-Nov-2025"/>
    <x v="2"/>
    <s v="11-Nov-2025"/>
    <s v="Tuesday"/>
    <s v="Weekly - Tuesday"/>
    <s v="Weekly - Tuesday"/>
    <s v="Same Month Expiry"/>
    <n v="4528472"/>
    <n v="883332.92"/>
    <n v="2862.85"/>
  </r>
  <r>
    <s v="03-Nov-2025"/>
    <x v="0"/>
    <s v="Week1-Nov-2025"/>
    <x v="2"/>
    <s v="18-Nov-2025"/>
    <s v="Tuesday"/>
    <s v="Weekly - Tuesday"/>
    <s v="Weekly - Tuesday"/>
    <s v="Same Month Expiry"/>
    <n v="179949"/>
    <n v="35191.85"/>
    <n v="199.04"/>
  </r>
  <r>
    <s v="03-Nov-2025"/>
    <x v="0"/>
    <s v="Week1-Nov-2025"/>
    <x v="2"/>
    <s v="25-Nov-2025"/>
    <s v="Tuesday"/>
    <s v="Monthly - Tuesday"/>
    <s v="Monthly - Tuesday"/>
    <s v="Same Month Expiry"/>
    <n v="1015423"/>
    <n v="198189.78"/>
    <n v="1375.35"/>
  </r>
  <r>
    <s v="03-Nov-2025"/>
    <x v="0"/>
    <s v="Week1-Nov-2025"/>
    <x v="2"/>
    <s v="02-Dec-2025"/>
    <s v="Tuesday"/>
    <s v="Weekly - Tuesday"/>
    <s v="Weekly - Tuesday"/>
    <s v="Month+1 Expiry"/>
    <n v="6510"/>
    <n v="1280.76"/>
    <n v="8.92"/>
  </r>
  <r>
    <s v="03-Nov-2025"/>
    <x v="0"/>
    <s v="Week1-Nov-2025"/>
    <x v="2"/>
    <s v="30-Dec-2025"/>
    <s v="Tuesday"/>
    <s v="Monthly - Tuesday"/>
    <s v="Monthly - Tuesday"/>
    <s v="Month+1 Expiry"/>
    <n v="150322"/>
    <n v="29175.279999999999"/>
    <n v="280.01"/>
  </r>
  <r>
    <s v="03-Nov-2025"/>
    <x v="0"/>
    <s v="Week1-Nov-2025"/>
    <x v="2"/>
    <s v="27-Jan-2026"/>
    <s v="Tuesday"/>
    <s v="Monthly - Tuesday"/>
    <s v="Monthly - Tuesday"/>
    <s v="Month+2 Expiry"/>
    <n v="20428"/>
    <n v="3444.2"/>
    <n v="35.729999999999997"/>
  </r>
  <r>
    <s v="03-Nov-2025"/>
    <x v="0"/>
    <s v="Week1-Nov-2025"/>
    <x v="2"/>
    <s v="31-Mar-2026"/>
    <s v="Tuesday"/>
    <s v="Monthly - Tuesday"/>
    <s v="Monthly - Tuesday"/>
    <s v="Month+4 Expiry"/>
    <n v="18142"/>
    <n v="3539.4"/>
    <n v="51.24"/>
  </r>
  <r>
    <s v="03-Nov-2025"/>
    <x v="0"/>
    <s v="Week1-Nov-2025"/>
    <x v="2"/>
    <s v="30-Jun-2026"/>
    <s v="Tuesday"/>
    <s v="Monthly - Tuesday"/>
    <s v="Monthly - Tuesday"/>
    <s v="Month+7 Expiry"/>
    <n v="5771"/>
    <n v="1171.27"/>
    <n v="32.89"/>
  </r>
  <r>
    <s v="03-Nov-2025"/>
    <x v="0"/>
    <s v="Week1-Nov-2025"/>
    <x v="2"/>
    <s v="29-Sep-2026"/>
    <s v="Tuesday"/>
    <s v="Monthly - Tuesday"/>
    <s v="Monthly - Tuesday"/>
    <s v="Month+10 Expiry"/>
    <n v="4"/>
    <n v="0.73"/>
    <n v="0.01"/>
  </r>
  <r>
    <s v="03-Nov-2025"/>
    <x v="0"/>
    <s v="Week1-Nov-2025"/>
    <x v="2"/>
    <s v="29-Dec-2026"/>
    <s v="Tuesday"/>
    <s v="Monthly - Tuesday"/>
    <s v="Monthly - Tuesday"/>
    <s v="Month+13 Expiry"/>
    <n v="1832"/>
    <n v="375.15"/>
    <n v="14.44"/>
  </r>
  <r>
    <s v="03-Nov-2025"/>
    <x v="0"/>
    <s v="Week1-Nov-2025"/>
    <x v="2"/>
    <s v="29-Jun-2027"/>
    <s v="Tuesday"/>
    <s v="Monthly - Tuesday"/>
    <s v="Monthly - Tuesday"/>
    <s v="Month+19 Expiry"/>
    <n v="0"/>
    <n v="0"/>
    <n v="0"/>
  </r>
  <r>
    <s v="03-Nov-2025"/>
    <x v="0"/>
    <s v="Week1-Nov-2025"/>
    <x v="2"/>
    <s v="28-Dec-2027"/>
    <s v="Tuesday"/>
    <s v="Monthly - Tuesday"/>
    <s v="Monthly - Tuesday"/>
    <s v="Month+25 Expiry"/>
    <n v="0"/>
    <n v="0"/>
    <n v="0"/>
  </r>
  <r>
    <s v="03-Nov-2025"/>
    <x v="0"/>
    <s v="Week1-Nov-2025"/>
    <x v="2"/>
    <s v="27-Jun-2028"/>
    <s v="Tuesday"/>
    <s v="Monthly - Tuesday"/>
    <s v="Monthly - Tuesday"/>
    <s v="Month+31 Expiry"/>
    <n v="0"/>
    <n v="0"/>
    <n v="0"/>
  </r>
  <r>
    <s v="03-Nov-2025"/>
    <x v="0"/>
    <s v="Week1-Nov-2025"/>
    <x v="2"/>
    <s v="26-Dec-2028"/>
    <s v="Tuesday"/>
    <s v="Monthly - Tuesday"/>
    <s v="Monthly - Tuesday"/>
    <s v="Month+37 Expiry"/>
    <n v="1"/>
    <n v="0.19"/>
    <n v="0.01"/>
  </r>
  <r>
    <s v="03-Nov-2025"/>
    <x v="0"/>
    <s v="Week1-Nov-2025"/>
    <x v="2"/>
    <s v="26-Jun-2029"/>
    <s v="Tuesday"/>
    <s v="Monthly - Tuesday"/>
    <s v="Monthly - Tuesday"/>
    <s v="Month+43 Expiry"/>
    <n v="0"/>
    <n v="0"/>
    <n v="0"/>
  </r>
  <r>
    <s v="03-Nov-2025"/>
    <x v="0"/>
    <s v="Week1-Nov-2025"/>
    <x v="2"/>
    <s v="24-Dec-2029"/>
    <s v="Monday"/>
    <s v="Weekly - Monday"/>
    <s v="Weekly - Monday"/>
    <s v="Month+49 Expiry"/>
    <n v="0"/>
    <n v="0"/>
    <n v="0"/>
  </r>
  <r>
    <s v="03-Nov-2025"/>
    <x v="0"/>
    <s v="Week1-Nov-2025"/>
    <x v="2"/>
    <s v="25-Jun-2030"/>
    <s v="Tuesday"/>
    <s v="Monthly - Tuesday"/>
    <s v="Monthly - Tuesday"/>
    <s v="Month+55 Expiry"/>
    <n v="0"/>
    <n v="0"/>
    <n v="0"/>
  </r>
  <r>
    <s v="04-Nov-2025"/>
    <x v="1"/>
    <s v="Week1-Nov-2025"/>
    <x v="2"/>
    <s v="04-Nov-2025"/>
    <s v="Tuesday"/>
    <s v="Weekly - Tuesday"/>
    <s v="Weekly - Tuesday"/>
    <s v="Same Month Expiry"/>
    <n v="268817188"/>
    <n v="51874769.43"/>
    <n v="45420.84"/>
  </r>
  <r>
    <s v="04-Nov-2025"/>
    <x v="1"/>
    <s v="Week1-Nov-2025"/>
    <x v="2"/>
    <s v="11-Nov-2025"/>
    <s v="Tuesday"/>
    <s v="Weekly - Tuesday"/>
    <s v="Weekly - Tuesday"/>
    <s v="Same Month Expiry"/>
    <n v="10235910"/>
    <n v="1987402.16"/>
    <n v="5269.86"/>
  </r>
  <r>
    <s v="04-Nov-2025"/>
    <x v="1"/>
    <s v="Week1-Nov-2025"/>
    <x v="2"/>
    <s v="18-Nov-2025"/>
    <s v="Tuesday"/>
    <s v="Weekly - Tuesday"/>
    <s v="Weekly - Tuesday"/>
    <s v="Same Month Expiry"/>
    <n v="407155"/>
    <n v="79521.09"/>
    <n v="321.58"/>
  </r>
  <r>
    <s v="04-Nov-2025"/>
    <x v="1"/>
    <s v="Week1-Nov-2025"/>
    <x v="2"/>
    <s v="25-Nov-2025"/>
    <s v="Tuesday"/>
    <s v="Monthly - Tuesday"/>
    <s v="Monthly - Tuesday"/>
    <s v="Same Month Expiry"/>
    <n v="1272407"/>
    <n v="248324.77"/>
    <n v="1589.82"/>
  </r>
  <r>
    <s v="04-Nov-2025"/>
    <x v="1"/>
    <s v="Week1-Nov-2025"/>
    <x v="2"/>
    <s v="02-Dec-2025"/>
    <s v="Tuesday"/>
    <s v="Weekly - Tuesday"/>
    <s v="Weekly - Tuesday"/>
    <s v="Month+1 Expiry"/>
    <n v="15013"/>
    <n v="2951.78"/>
    <n v="20.38"/>
  </r>
  <r>
    <s v="04-Nov-2025"/>
    <x v="1"/>
    <s v="Week1-Nov-2025"/>
    <x v="2"/>
    <s v="30-Dec-2025"/>
    <s v="Tuesday"/>
    <s v="Monthly - Tuesday"/>
    <s v="Monthly - Tuesday"/>
    <s v="Month+1 Expiry"/>
    <n v="203788"/>
    <n v="39974.57"/>
    <n v="363.6"/>
  </r>
  <r>
    <s v="04-Nov-2025"/>
    <x v="1"/>
    <s v="Week1-Nov-2025"/>
    <x v="2"/>
    <s v="27-Jan-2026"/>
    <s v="Tuesday"/>
    <s v="Monthly - Tuesday"/>
    <s v="Monthly - Tuesday"/>
    <s v="Month+2 Expiry"/>
    <n v="32251"/>
    <n v="5506.75"/>
    <n v="76.08"/>
  </r>
  <r>
    <s v="04-Nov-2025"/>
    <x v="1"/>
    <s v="Week1-Nov-2025"/>
    <x v="2"/>
    <s v="31-Mar-2026"/>
    <s v="Tuesday"/>
    <s v="Monthly - Tuesday"/>
    <s v="Monthly - Tuesday"/>
    <s v="Month+4 Expiry"/>
    <n v="23947"/>
    <n v="4827.92"/>
    <n v="64.430000000000007"/>
  </r>
  <r>
    <s v="04-Nov-2025"/>
    <x v="1"/>
    <s v="Week1-Nov-2025"/>
    <x v="2"/>
    <s v="30-Jun-2026"/>
    <s v="Tuesday"/>
    <s v="Monthly - Tuesday"/>
    <s v="Monthly - Tuesday"/>
    <s v="Month+7 Expiry"/>
    <n v="8552"/>
    <n v="1787.63"/>
    <n v="34.72"/>
  </r>
  <r>
    <s v="04-Nov-2025"/>
    <x v="1"/>
    <s v="Week1-Nov-2025"/>
    <x v="2"/>
    <s v="29-Sep-2026"/>
    <s v="Tuesday"/>
    <s v="Monthly - Tuesday"/>
    <s v="Monthly - Tuesday"/>
    <s v="Month+10 Expiry"/>
    <n v="10"/>
    <n v="1.81"/>
    <n v="0.02"/>
  </r>
  <r>
    <s v="04-Nov-2025"/>
    <x v="1"/>
    <s v="Week1-Nov-2025"/>
    <x v="2"/>
    <s v="29-Dec-2026"/>
    <s v="Tuesday"/>
    <s v="Monthly - Tuesday"/>
    <s v="Monthly - Tuesday"/>
    <s v="Month+13 Expiry"/>
    <n v="1833"/>
    <n v="375.56"/>
    <n v="13.36"/>
  </r>
  <r>
    <s v="04-Nov-2025"/>
    <x v="1"/>
    <s v="Week1-Nov-2025"/>
    <x v="2"/>
    <s v="29-Jun-2027"/>
    <s v="Tuesday"/>
    <s v="Monthly - Tuesday"/>
    <s v="Monthly - Tuesday"/>
    <s v="Month+19 Expiry"/>
    <n v="0"/>
    <n v="0"/>
    <n v="0"/>
  </r>
  <r>
    <s v="04-Nov-2025"/>
    <x v="1"/>
    <s v="Week1-Nov-2025"/>
    <x v="2"/>
    <s v="28-Dec-2027"/>
    <s v="Tuesday"/>
    <s v="Monthly - Tuesday"/>
    <s v="Monthly - Tuesday"/>
    <s v="Month+25 Expiry"/>
    <n v="7"/>
    <n v="1.34"/>
    <n v="0.05"/>
  </r>
  <r>
    <s v="04-Nov-2025"/>
    <x v="1"/>
    <s v="Week1-Nov-2025"/>
    <x v="2"/>
    <s v="27-Jun-2028"/>
    <s v="Tuesday"/>
    <s v="Monthly - Tuesday"/>
    <s v="Monthly - Tuesday"/>
    <s v="Month+31 Expiry"/>
    <n v="0"/>
    <n v="0"/>
    <n v="0"/>
  </r>
  <r>
    <s v="04-Nov-2025"/>
    <x v="1"/>
    <s v="Week1-Nov-2025"/>
    <x v="2"/>
    <s v="26-Dec-2028"/>
    <s v="Tuesday"/>
    <s v="Monthly - Tuesday"/>
    <s v="Monthly - Tuesday"/>
    <s v="Month+37 Expiry"/>
    <n v="4"/>
    <n v="0.78"/>
    <n v="0.03"/>
  </r>
  <r>
    <s v="04-Nov-2025"/>
    <x v="1"/>
    <s v="Week1-Nov-2025"/>
    <x v="2"/>
    <s v="26-Jun-2029"/>
    <s v="Tuesday"/>
    <s v="Monthly - Tuesday"/>
    <s v="Monthly - Tuesday"/>
    <s v="Month+43 Expiry"/>
    <n v="0"/>
    <n v="0"/>
    <n v="0"/>
  </r>
  <r>
    <s v="04-Nov-2025"/>
    <x v="1"/>
    <s v="Week1-Nov-2025"/>
    <x v="2"/>
    <s v="24-Dec-2029"/>
    <s v="Monday"/>
    <s v="Weekly - Monday"/>
    <s v="Weekly - Monday"/>
    <s v="Month+49 Expiry"/>
    <n v="0"/>
    <n v="0"/>
    <n v="0"/>
  </r>
  <r>
    <s v="04-Nov-2025"/>
    <x v="1"/>
    <s v="Week1-Nov-2025"/>
    <x v="2"/>
    <s v="25-Jun-2030"/>
    <s v="Tuesday"/>
    <s v="Monthly - Tuesday"/>
    <s v="Monthly - Tuesday"/>
    <s v="Month+55 Expiry"/>
    <n v="0"/>
    <n v="0"/>
    <n v="0"/>
  </r>
  <r>
    <s v="06-Nov-2025"/>
    <x v="3"/>
    <s v="Week1-Nov-2025"/>
    <x v="2"/>
    <s v="11-Nov-2025"/>
    <s v="Tuesday"/>
    <s v="Weekly - Tuesday"/>
    <s v="Weekly - Tuesday"/>
    <s v="Same Month Expiry"/>
    <n v="54181826"/>
    <n v="10458064.279999999"/>
    <n v="26374.59"/>
  </r>
  <r>
    <s v="06-Nov-2025"/>
    <x v="3"/>
    <s v="Week1-Nov-2025"/>
    <x v="2"/>
    <s v="18-Nov-2025"/>
    <s v="Tuesday"/>
    <s v="Weekly - Tuesday"/>
    <s v="Weekly - Tuesday"/>
    <s v="Same Month Expiry"/>
    <n v="1313434"/>
    <n v="254952.89"/>
    <n v="955.47"/>
  </r>
  <r>
    <s v="06-Nov-2025"/>
    <x v="3"/>
    <s v="Week1-Nov-2025"/>
    <x v="2"/>
    <s v="25-Nov-2025"/>
    <s v="Tuesday"/>
    <s v="Monthly - Tuesday"/>
    <s v="Monthly - Tuesday"/>
    <s v="Same Month Expiry"/>
    <n v="1379802"/>
    <n v="268264.92"/>
    <n v="1603.13"/>
  </r>
  <r>
    <s v="06-Nov-2025"/>
    <x v="3"/>
    <s v="Week1-Nov-2025"/>
    <x v="2"/>
    <s v="02-Dec-2025"/>
    <s v="Tuesday"/>
    <s v="Weekly - Tuesday"/>
    <s v="Weekly - Tuesday"/>
    <s v="Month+1 Expiry"/>
    <n v="19510"/>
    <n v="3804.24"/>
    <n v="23.16"/>
  </r>
  <r>
    <s v="06-Nov-2025"/>
    <x v="3"/>
    <s v="Week1-Nov-2025"/>
    <x v="2"/>
    <s v="09-Dec-2025"/>
    <s v="Tuesday"/>
    <s v="Weekly - Tuesday"/>
    <s v="Weekly - Tuesday"/>
    <s v="Month+1 Expiry"/>
    <n v="893"/>
    <n v="173.55"/>
    <n v="1.78"/>
  </r>
  <r>
    <s v="06-Nov-2025"/>
    <x v="3"/>
    <s v="Week1-Nov-2025"/>
    <x v="2"/>
    <s v="30-Dec-2025"/>
    <s v="Tuesday"/>
    <s v="Monthly - Tuesday"/>
    <s v="Monthly - Tuesday"/>
    <s v="Month+1 Expiry"/>
    <n v="256233"/>
    <n v="50022.02"/>
    <n v="505.15"/>
  </r>
  <r>
    <s v="06-Nov-2025"/>
    <x v="3"/>
    <s v="Week1-Nov-2025"/>
    <x v="2"/>
    <s v="27-Jan-2026"/>
    <s v="Tuesday"/>
    <s v="Monthly - Tuesday"/>
    <s v="Monthly - Tuesday"/>
    <s v="Month+2 Expiry"/>
    <n v="24861"/>
    <n v="4217.6000000000004"/>
    <n v="49.32"/>
  </r>
  <r>
    <s v="06-Nov-2025"/>
    <x v="3"/>
    <s v="Week1-Nov-2025"/>
    <x v="2"/>
    <s v="31-Mar-2026"/>
    <s v="Tuesday"/>
    <s v="Monthly - Tuesday"/>
    <s v="Monthly - Tuesday"/>
    <s v="Month+4 Expiry"/>
    <n v="19340"/>
    <n v="3863.3"/>
    <n v="60.25"/>
  </r>
  <r>
    <s v="06-Nov-2025"/>
    <x v="3"/>
    <s v="Week1-Nov-2025"/>
    <x v="2"/>
    <s v="30-Jun-2026"/>
    <s v="Tuesday"/>
    <s v="Monthly - Tuesday"/>
    <s v="Monthly - Tuesday"/>
    <s v="Month+7 Expiry"/>
    <n v="5578"/>
    <n v="1087.04"/>
    <n v="22.54"/>
  </r>
  <r>
    <s v="06-Nov-2025"/>
    <x v="3"/>
    <s v="Week1-Nov-2025"/>
    <x v="2"/>
    <s v="29-Sep-2026"/>
    <s v="Tuesday"/>
    <s v="Monthly - Tuesday"/>
    <s v="Monthly - Tuesday"/>
    <s v="Month+10 Expiry"/>
    <n v="79"/>
    <n v="15.15"/>
    <n v="0.4"/>
  </r>
  <r>
    <s v="06-Nov-2025"/>
    <x v="3"/>
    <s v="Week1-Nov-2025"/>
    <x v="2"/>
    <s v="29-Dec-2026"/>
    <s v="Tuesday"/>
    <s v="Monthly - Tuesday"/>
    <s v="Monthly - Tuesday"/>
    <s v="Month+13 Expiry"/>
    <n v="2302"/>
    <n v="463.3"/>
    <n v="15.52"/>
  </r>
  <r>
    <s v="06-Nov-2025"/>
    <x v="3"/>
    <s v="Week1-Nov-2025"/>
    <x v="2"/>
    <s v="29-Jun-2027"/>
    <s v="Tuesday"/>
    <s v="Monthly - Tuesday"/>
    <s v="Monthly - Tuesday"/>
    <s v="Month+19 Expiry"/>
    <n v="1"/>
    <n v="0.16"/>
    <n v="0"/>
  </r>
  <r>
    <s v="06-Nov-2025"/>
    <x v="3"/>
    <s v="Week1-Nov-2025"/>
    <x v="2"/>
    <s v="28-Dec-2027"/>
    <s v="Tuesday"/>
    <s v="Monthly - Tuesday"/>
    <s v="Monthly - Tuesday"/>
    <s v="Month+25 Expiry"/>
    <n v="20"/>
    <n v="3.71"/>
    <n v="0.12"/>
  </r>
  <r>
    <s v="06-Nov-2025"/>
    <x v="3"/>
    <s v="Week1-Nov-2025"/>
    <x v="2"/>
    <s v="27-Jun-2028"/>
    <s v="Tuesday"/>
    <s v="Monthly - Tuesday"/>
    <s v="Monthly - Tuesday"/>
    <s v="Month+31 Expiry"/>
    <n v="0"/>
    <n v="0"/>
    <n v="0"/>
  </r>
  <r>
    <s v="06-Nov-2025"/>
    <x v="3"/>
    <s v="Week1-Nov-2025"/>
    <x v="2"/>
    <s v="26-Dec-2028"/>
    <s v="Tuesday"/>
    <s v="Monthly - Tuesday"/>
    <s v="Monthly - Tuesday"/>
    <s v="Month+37 Expiry"/>
    <n v="1"/>
    <n v="0.21"/>
    <n v="0.01"/>
  </r>
  <r>
    <s v="06-Nov-2025"/>
    <x v="3"/>
    <s v="Week1-Nov-2025"/>
    <x v="2"/>
    <s v="26-Jun-2029"/>
    <s v="Tuesday"/>
    <s v="Monthly - Tuesday"/>
    <s v="Monthly - Tuesday"/>
    <s v="Month+43 Expiry"/>
    <n v="0"/>
    <n v="0"/>
    <n v="0"/>
  </r>
  <r>
    <s v="06-Nov-2025"/>
    <x v="3"/>
    <s v="Week1-Nov-2025"/>
    <x v="2"/>
    <s v="24-Dec-2029"/>
    <s v="Monday"/>
    <s v="Weekly - Monday"/>
    <s v="Weekly - Monday"/>
    <s v="Month+49 Expiry"/>
    <n v="0"/>
    <n v="0"/>
    <n v="0"/>
  </r>
  <r>
    <s v="06-Nov-2025"/>
    <x v="3"/>
    <s v="Week1-Nov-2025"/>
    <x v="2"/>
    <s v="25-Jun-2030"/>
    <s v="Tuesday"/>
    <s v="Monthly - Tuesday"/>
    <s v="Monthly - Tuesday"/>
    <s v="Month+55 Expiry"/>
    <n v="0"/>
    <n v="0"/>
    <n v="0"/>
  </r>
  <r>
    <s v="07-Nov-2025"/>
    <x v="4"/>
    <s v="Week1-Nov-2025"/>
    <x v="2"/>
    <s v="11-Nov-2025"/>
    <s v="Tuesday"/>
    <s v="Weekly - Tuesday"/>
    <s v="Weekly - Tuesday"/>
    <s v="Same Month Expiry"/>
    <n v="110646410"/>
    <n v="21198206.109999999"/>
    <n v="45390.75"/>
  </r>
  <r>
    <s v="07-Nov-2025"/>
    <x v="4"/>
    <s v="Week1-Nov-2025"/>
    <x v="2"/>
    <s v="18-Nov-2025"/>
    <s v="Tuesday"/>
    <s v="Weekly - Tuesday"/>
    <s v="Weekly - Tuesday"/>
    <s v="Same Month Expiry"/>
    <n v="2318818"/>
    <n v="446607.52"/>
    <n v="1597.89"/>
  </r>
  <r>
    <s v="07-Nov-2025"/>
    <x v="4"/>
    <s v="Week1-Nov-2025"/>
    <x v="2"/>
    <s v="25-Nov-2025"/>
    <s v="Tuesday"/>
    <s v="Monthly - Tuesday"/>
    <s v="Monthly - Tuesday"/>
    <s v="Same Month Expiry"/>
    <n v="1940295"/>
    <n v="375073.26"/>
    <n v="2180.3200000000002"/>
  </r>
  <r>
    <s v="07-Nov-2025"/>
    <x v="4"/>
    <s v="Week1-Nov-2025"/>
    <x v="2"/>
    <s v="02-Dec-2025"/>
    <s v="Tuesday"/>
    <s v="Weekly - Tuesday"/>
    <s v="Weekly - Tuesday"/>
    <s v="Month+1 Expiry"/>
    <n v="32635"/>
    <n v="6347.81"/>
    <n v="35.71"/>
  </r>
  <r>
    <s v="07-Nov-2025"/>
    <x v="4"/>
    <s v="Week1-Nov-2025"/>
    <x v="2"/>
    <s v="09-Dec-2025"/>
    <s v="Tuesday"/>
    <s v="Weekly - Tuesday"/>
    <s v="Weekly - Tuesday"/>
    <s v="Month+1 Expiry"/>
    <n v="3826"/>
    <n v="741.39"/>
    <n v="6.06"/>
  </r>
  <r>
    <s v="07-Nov-2025"/>
    <x v="4"/>
    <s v="Week1-Nov-2025"/>
    <x v="2"/>
    <s v="30-Dec-2025"/>
    <s v="Tuesday"/>
    <s v="Monthly - Tuesday"/>
    <s v="Monthly - Tuesday"/>
    <s v="Month+1 Expiry"/>
    <n v="344384"/>
    <n v="67085.88"/>
    <n v="624.16"/>
  </r>
  <r>
    <s v="07-Nov-2025"/>
    <x v="4"/>
    <s v="Week1-Nov-2025"/>
    <x v="2"/>
    <s v="27-Jan-2026"/>
    <s v="Tuesday"/>
    <s v="Monthly - Tuesday"/>
    <s v="Monthly - Tuesday"/>
    <s v="Month+2 Expiry"/>
    <n v="34430"/>
    <n v="5842.76"/>
    <n v="58.83"/>
  </r>
  <r>
    <s v="07-Nov-2025"/>
    <x v="4"/>
    <s v="Week1-Nov-2025"/>
    <x v="2"/>
    <s v="31-Mar-2026"/>
    <s v="Tuesday"/>
    <s v="Monthly - Tuesday"/>
    <s v="Monthly - Tuesday"/>
    <s v="Month+4 Expiry"/>
    <n v="27874"/>
    <n v="5562.93"/>
    <n v="89.4"/>
  </r>
  <r>
    <s v="07-Nov-2025"/>
    <x v="4"/>
    <s v="Week1-Nov-2025"/>
    <x v="2"/>
    <s v="30-Jun-2026"/>
    <s v="Tuesday"/>
    <s v="Monthly - Tuesday"/>
    <s v="Monthly - Tuesday"/>
    <s v="Month+7 Expiry"/>
    <n v="5549"/>
    <n v="1100.8599999999999"/>
    <n v="25.69"/>
  </r>
  <r>
    <s v="07-Nov-2025"/>
    <x v="4"/>
    <s v="Week1-Nov-2025"/>
    <x v="2"/>
    <s v="29-Sep-2026"/>
    <s v="Tuesday"/>
    <s v="Monthly - Tuesday"/>
    <s v="Monthly - Tuesday"/>
    <s v="Month+10 Expiry"/>
    <n v="36"/>
    <n v="6.87"/>
    <n v="0.13"/>
  </r>
  <r>
    <s v="07-Nov-2025"/>
    <x v="4"/>
    <s v="Week1-Nov-2025"/>
    <x v="2"/>
    <s v="29-Dec-2026"/>
    <s v="Tuesday"/>
    <s v="Monthly - Tuesday"/>
    <s v="Monthly - Tuesday"/>
    <s v="Month+13 Expiry"/>
    <n v="2675"/>
    <n v="537.74"/>
    <n v="18.32"/>
  </r>
  <r>
    <s v="07-Nov-2025"/>
    <x v="4"/>
    <s v="Week1-Nov-2025"/>
    <x v="2"/>
    <s v="29-Jun-2027"/>
    <s v="Tuesday"/>
    <s v="Monthly - Tuesday"/>
    <s v="Monthly - Tuesday"/>
    <s v="Month+19 Expiry"/>
    <n v="0"/>
    <n v="0"/>
    <n v="0"/>
  </r>
  <r>
    <s v="07-Nov-2025"/>
    <x v="4"/>
    <s v="Week1-Nov-2025"/>
    <x v="2"/>
    <s v="28-Dec-2027"/>
    <s v="Tuesday"/>
    <s v="Monthly - Tuesday"/>
    <s v="Monthly - Tuesday"/>
    <s v="Month+25 Expiry"/>
    <n v="10"/>
    <n v="1.9"/>
    <n v="0.08"/>
  </r>
  <r>
    <s v="07-Nov-2025"/>
    <x v="4"/>
    <s v="Week1-Nov-2025"/>
    <x v="2"/>
    <s v="27-Jun-2028"/>
    <s v="Tuesday"/>
    <s v="Monthly - Tuesday"/>
    <s v="Monthly - Tuesday"/>
    <s v="Month+31 Expiry"/>
    <n v="0"/>
    <n v="0"/>
    <n v="0"/>
  </r>
  <r>
    <s v="07-Nov-2025"/>
    <x v="4"/>
    <s v="Week1-Nov-2025"/>
    <x v="2"/>
    <s v="26-Dec-2028"/>
    <s v="Tuesday"/>
    <s v="Monthly - Tuesday"/>
    <s v="Monthly - Tuesday"/>
    <s v="Month+37 Expiry"/>
    <n v="2"/>
    <n v="0.4"/>
    <n v="0.02"/>
  </r>
  <r>
    <s v="07-Nov-2025"/>
    <x v="4"/>
    <s v="Week1-Nov-2025"/>
    <x v="2"/>
    <s v="26-Jun-2029"/>
    <s v="Tuesday"/>
    <s v="Monthly - Tuesday"/>
    <s v="Monthly - Tuesday"/>
    <s v="Month+43 Expiry"/>
    <n v="0"/>
    <n v="0"/>
    <n v="0"/>
  </r>
  <r>
    <s v="07-Nov-2025"/>
    <x v="4"/>
    <s v="Week1-Nov-2025"/>
    <x v="2"/>
    <s v="24-Dec-2029"/>
    <s v="Monday"/>
    <s v="Weekly - Monday"/>
    <s v="Weekly - Monday"/>
    <s v="Month+49 Expiry"/>
    <n v="0"/>
    <n v="0"/>
    <n v="0"/>
  </r>
  <r>
    <s v="07-Nov-2025"/>
    <x v="4"/>
    <s v="Week1-Nov-2025"/>
    <x v="2"/>
    <s v="25-Jun-2030"/>
    <s v="Tuesday"/>
    <s v="Monthly - Tuesday"/>
    <s v="Monthly - Tuesday"/>
    <s v="Month+55 Expiry"/>
    <n v="0"/>
    <n v="0"/>
    <n v="0"/>
  </r>
  <r>
    <s v="10-Nov-2025"/>
    <x v="0"/>
    <s v="Week2-Nov-2025"/>
    <x v="2"/>
    <s v="11-Nov-2025"/>
    <s v="Tuesday"/>
    <s v="Weekly - Tuesday"/>
    <s v="Weekly - Tuesday"/>
    <s v="Same Month Expiry"/>
    <n v="117487933"/>
    <n v="22566023.59"/>
    <n v="37618.15"/>
  </r>
  <r>
    <s v="10-Nov-2025"/>
    <x v="0"/>
    <s v="Week2-Nov-2025"/>
    <x v="2"/>
    <s v="18-Nov-2025"/>
    <s v="Tuesday"/>
    <s v="Weekly - Tuesday"/>
    <s v="Weekly - Tuesday"/>
    <s v="Same Month Expiry"/>
    <n v="3858805"/>
    <n v="744772.41"/>
    <n v="2276.58"/>
  </r>
  <r>
    <s v="10-Nov-2025"/>
    <x v="0"/>
    <s v="Week2-Nov-2025"/>
    <x v="2"/>
    <s v="25-Nov-2025"/>
    <s v="Tuesday"/>
    <s v="Monthly - Tuesday"/>
    <s v="Monthly - Tuesday"/>
    <s v="Same Month Expiry"/>
    <n v="1311066"/>
    <n v="254086.72"/>
    <n v="1324.22"/>
  </r>
  <r>
    <s v="10-Nov-2025"/>
    <x v="0"/>
    <s v="Week2-Nov-2025"/>
    <x v="2"/>
    <s v="02-Dec-2025"/>
    <s v="Tuesday"/>
    <s v="Weekly - Tuesday"/>
    <s v="Weekly - Tuesday"/>
    <s v="Month+1 Expiry"/>
    <n v="31373"/>
    <n v="6099.84"/>
    <n v="31.6"/>
  </r>
  <r>
    <s v="10-Nov-2025"/>
    <x v="0"/>
    <s v="Week2-Nov-2025"/>
    <x v="2"/>
    <s v="09-Dec-2025"/>
    <s v="Tuesday"/>
    <s v="Weekly - Tuesday"/>
    <s v="Weekly - Tuesday"/>
    <s v="Month+1 Expiry"/>
    <n v="4741"/>
    <n v="914.57"/>
    <n v="6.8"/>
  </r>
  <r>
    <s v="10-Nov-2025"/>
    <x v="0"/>
    <s v="Week2-Nov-2025"/>
    <x v="2"/>
    <s v="30-Dec-2025"/>
    <s v="Tuesday"/>
    <s v="Monthly - Tuesday"/>
    <s v="Monthly - Tuesday"/>
    <s v="Month+1 Expiry"/>
    <n v="211381"/>
    <n v="40897.79"/>
    <n v="319.64"/>
  </r>
  <r>
    <s v="10-Nov-2025"/>
    <x v="0"/>
    <s v="Week2-Nov-2025"/>
    <x v="2"/>
    <s v="27-Jan-2026"/>
    <s v="Tuesday"/>
    <s v="Monthly - Tuesday"/>
    <s v="Monthly - Tuesday"/>
    <s v="Month+2 Expiry"/>
    <n v="19543"/>
    <n v="3306.05"/>
    <n v="28.64"/>
  </r>
  <r>
    <s v="10-Nov-2025"/>
    <x v="0"/>
    <s v="Week2-Nov-2025"/>
    <x v="2"/>
    <s v="31-Mar-2026"/>
    <s v="Tuesday"/>
    <s v="Monthly - Tuesday"/>
    <s v="Monthly - Tuesday"/>
    <s v="Month+4 Expiry"/>
    <n v="16598"/>
    <n v="3243.01"/>
    <n v="40.6"/>
  </r>
  <r>
    <s v="10-Nov-2025"/>
    <x v="0"/>
    <s v="Week2-Nov-2025"/>
    <x v="2"/>
    <s v="30-Jun-2026"/>
    <s v="Tuesday"/>
    <s v="Monthly - Tuesday"/>
    <s v="Monthly - Tuesday"/>
    <s v="Month+7 Expiry"/>
    <n v="5196"/>
    <n v="997.57"/>
    <n v="17.809999999999999"/>
  </r>
  <r>
    <s v="10-Nov-2025"/>
    <x v="0"/>
    <s v="Week2-Nov-2025"/>
    <x v="2"/>
    <s v="29-Sep-2026"/>
    <s v="Tuesday"/>
    <s v="Monthly - Tuesday"/>
    <s v="Monthly - Tuesday"/>
    <s v="Month+10 Expiry"/>
    <n v="111"/>
    <n v="20.85"/>
    <n v="0.33"/>
  </r>
  <r>
    <s v="10-Nov-2025"/>
    <x v="0"/>
    <s v="Week2-Nov-2025"/>
    <x v="2"/>
    <s v="29-Dec-2026"/>
    <s v="Tuesday"/>
    <s v="Monthly - Tuesday"/>
    <s v="Monthly - Tuesday"/>
    <s v="Month+13 Expiry"/>
    <n v="6584"/>
    <n v="1179.01"/>
    <n v="20.61"/>
  </r>
  <r>
    <s v="10-Nov-2025"/>
    <x v="0"/>
    <s v="Week2-Nov-2025"/>
    <x v="2"/>
    <s v="29-Jun-2027"/>
    <s v="Tuesday"/>
    <s v="Monthly - Tuesday"/>
    <s v="Monthly - Tuesday"/>
    <s v="Month+19 Expiry"/>
    <n v="0"/>
    <n v="0"/>
    <n v="0"/>
  </r>
  <r>
    <s v="10-Nov-2025"/>
    <x v="0"/>
    <s v="Week2-Nov-2025"/>
    <x v="2"/>
    <s v="28-Dec-2027"/>
    <s v="Tuesday"/>
    <s v="Monthly - Tuesday"/>
    <s v="Monthly - Tuesday"/>
    <s v="Month+25 Expiry"/>
    <n v="22"/>
    <n v="4.07"/>
    <n v="0.1"/>
  </r>
  <r>
    <s v="10-Nov-2025"/>
    <x v="0"/>
    <s v="Week2-Nov-2025"/>
    <x v="2"/>
    <s v="27-Jun-2028"/>
    <s v="Tuesday"/>
    <s v="Monthly - Tuesday"/>
    <s v="Monthly - Tuesday"/>
    <s v="Month+31 Expiry"/>
    <n v="0"/>
    <n v="0"/>
    <n v="0"/>
  </r>
  <r>
    <s v="10-Nov-2025"/>
    <x v="0"/>
    <s v="Week2-Nov-2025"/>
    <x v="2"/>
    <s v="26-Dec-2028"/>
    <s v="Tuesday"/>
    <s v="Monthly - Tuesday"/>
    <s v="Monthly - Tuesday"/>
    <s v="Month+37 Expiry"/>
    <n v="2"/>
    <n v="0.39"/>
    <n v="0.01"/>
  </r>
  <r>
    <s v="10-Nov-2025"/>
    <x v="0"/>
    <s v="Week2-Nov-2025"/>
    <x v="2"/>
    <s v="26-Jun-2029"/>
    <s v="Tuesday"/>
    <s v="Monthly - Tuesday"/>
    <s v="Monthly - Tuesday"/>
    <s v="Month+43 Expiry"/>
    <n v="0"/>
    <n v="0"/>
    <n v="0"/>
  </r>
  <r>
    <s v="10-Nov-2025"/>
    <x v="0"/>
    <s v="Week2-Nov-2025"/>
    <x v="2"/>
    <s v="24-Dec-2029"/>
    <s v="Monday"/>
    <s v="Weekly - Monday"/>
    <s v="Weekly - Monday"/>
    <s v="Month+49 Expiry"/>
    <n v="0"/>
    <n v="0"/>
    <n v="0"/>
  </r>
  <r>
    <s v="10-Nov-2025"/>
    <x v="0"/>
    <s v="Week2-Nov-2025"/>
    <x v="2"/>
    <s v="25-Jun-2030"/>
    <s v="Tuesday"/>
    <s v="Monthly - Tuesday"/>
    <s v="Monthly - Tuesday"/>
    <s v="Month+55 Expiry"/>
    <n v="0"/>
    <n v="0"/>
    <n v="0"/>
  </r>
  <r>
    <s v="11-Nov-2025"/>
    <x v="1"/>
    <s v="Week2-Nov-2025"/>
    <x v="2"/>
    <s v="11-Nov-2025"/>
    <s v="Tuesday"/>
    <s v="Weekly - Tuesday"/>
    <s v="Weekly - Tuesday"/>
    <s v="Same Month Expiry"/>
    <n v="324263669"/>
    <n v="62299460.909999996"/>
    <n v="56363.85"/>
  </r>
  <r>
    <s v="11-Nov-2025"/>
    <x v="1"/>
    <s v="Week2-Nov-2025"/>
    <x v="2"/>
    <s v="18-Nov-2025"/>
    <s v="Tuesday"/>
    <s v="Weekly - Tuesday"/>
    <s v="Weekly - Tuesday"/>
    <s v="Same Month Expiry"/>
    <n v="11300056"/>
    <n v="2180683.48"/>
    <n v="6975.19"/>
  </r>
  <r>
    <s v="11-Nov-2025"/>
    <x v="1"/>
    <s v="Week2-Nov-2025"/>
    <x v="2"/>
    <s v="25-Nov-2025"/>
    <s v="Tuesday"/>
    <s v="Monthly - Tuesday"/>
    <s v="Monthly - Tuesday"/>
    <s v="Same Month Expiry"/>
    <n v="2182678"/>
    <n v="422962.63"/>
    <n v="2339.02"/>
  </r>
  <r>
    <s v="11-Nov-2025"/>
    <x v="1"/>
    <s v="Week2-Nov-2025"/>
    <x v="2"/>
    <s v="02-Dec-2025"/>
    <s v="Tuesday"/>
    <s v="Weekly - Tuesday"/>
    <s v="Weekly - Tuesday"/>
    <s v="Month+1 Expiry"/>
    <n v="49899"/>
    <n v="9723.89"/>
    <n v="50.44"/>
  </r>
  <r>
    <s v="11-Nov-2025"/>
    <x v="1"/>
    <s v="Week2-Nov-2025"/>
    <x v="2"/>
    <s v="09-Dec-2025"/>
    <s v="Tuesday"/>
    <s v="Weekly - Tuesday"/>
    <s v="Weekly - Tuesday"/>
    <s v="Month+1 Expiry"/>
    <n v="7701"/>
    <n v="1489.41"/>
    <n v="12.17"/>
  </r>
  <r>
    <s v="11-Nov-2025"/>
    <x v="1"/>
    <s v="Week2-Nov-2025"/>
    <x v="2"/>
    <s v="30-Dec-2025"/>
    <s v="Tuesday"/>
    <s v="Monthly - Tuesday"/>
    <s v="Monthly - Tuesday"/>
    <s v="Month+1 Expiry"/>
    <n v="353681"/>
    <n v="68438.539999999994"/>
    <n v="536.35"/>
  </r>
  <r>
    <s v="11-Nov-2025"/>
    <x v="1"/>
    <s v="Week2-Nov-2025"/>
    <x v="2"/>
    <s v="27-Jan-2026"/>
    <s v="Tuesday"/>
    <s v="Monthly - Tuesday"/>
    <s v="Monthly - Tuesday"/>
    <s v="Month+2 Expiry"/>
    <n v="32541"/>
    <n v="5511.07"/>
    <n v="51.87"/>
  </r>
  <r>
    <s v="11-Nov-2025"/>
    <x v="1"/>
    <s v="Week2-Nov-2025"/>
    <x v="2"/>
    <s v="31-Mar-2026"/>
    <s v="Tuesday"/>
    <s v="Monthly - Tuesday"/>
    <s v="Monthly - Tuesday"/>
    <s v="Month+4 Expiry"/>
    <n v="26575"/>
    <n v="5257.76"/>
    <n v="74.77"/>
  </r>
  <r>
    <s v="11-Nov-2025"/>
    <x v="1"/>
    <s v="Week2-Nov-2025"/>
    <x v="2"/>
    <s v="30-Jun-2026"/>
    <s v="Tuesday"/>
    <s v="Monthly - Tuesday"/>
    <s v="Monthly - Tuesday"/>
    <s v="Month+7 Expiry"/>
    <n v="7936"/>
    <n v="1652.29"/>
    <n v="25.06"/>
  </r>
  <r>
    <s v="11-Nov-2025"/>
    <x v="1"/>
    <s v="Week2-Nov-2025"/>
    <x v="2"/>
    <s v="29-Sep-2026"/>
    <s v="Tuesday"/>
    <s v="Monthly - Tuesday"/>
    <s v="Monthly - Tuesday"/>
    <s v="Month+10 Expiry"/>
    <n v="66"/>
    <n v="12.4"/>
    <n v="0.19"/>
  </r>
  <r>
    <s v="11-Nov-2025"/>
    <x v="1"/>
    <s v="Week2-Nov-2025"/>
    <x v="2"/>
    <s v="29-Dec-2026"/>
    <s v="Tuesday"/>
    <s v="Monthly - Tuesday"/>
    <s v="Monthly - Tuesday"/>
    <s v="Month+13 Expiry"/>
    <n v="6306"/>
    <n v="1361.29"/>
    <n v="37.119999999999997"/>
  </r>
  <r>
    <s v="11-Nov-2025"/>
    <x v="1"/>
    <s v="Week2-Nov-2025"/>
    <x v="2"/>
    <s v="29-Jun-2027"/>
    <s v="Tuesday"/>
    <s v="Monthly - Tuesday"/>
    <s v="Monthly - Tuesday"/>
    <s v="Month+19 Expiry"/>
    <n v="0"/>
    <n v="0"/>
    <n v="0"/>
  </r>
  <r>
    <s v="11-Nov-2025"/>
    <x v="1"/>
    <s v="Week2-Nov-2025"/>
    <x v="2"/>
    <s v="28-Dec-2027"/>
    <s v="Tuesday"/>
    <s v="Monthly - Tuesday"/>
    <s v="Monthly - Tuesday"/>
    <s v="Month+25 Expiry"/>
    <n v="9"/>
    <n v="1.65"/>
    <n v="0.04"/>
  </r>
  <r>
    <s v="11-Nov-2025"/>
    <x v="1"/>
    <s v="Week2-Nov-2025"/>
    <x v="2"/>
    <s v="27-Jun-2028"/>
    <s v="Tuesday"/>
    <s v="Monthly - Tuesday"/>
    <s v="Monthly - Tuesday"/>
    <s v="Month+31 Expiry"/>
    <n v="0"/>
    <n v="0"/>
    <n v="0"/>
  </r>
  <r>
    <s v="11-Nov-2025"/>
    <x v="1"/>
    <s v="Week2-Nov-2025"/>
    <x v="2"/>
    <s v="26-Dec-2028"/>
    <s v="Tuesday"/>
    <s v="Monthly - Tuesday"/>
    <s v="Monthly - Tuesday"/>
    <s v="Month+37 Expiry"/>
    <n v="3"/>
    <n v="0.57999999999999996"/>
    <n v="0.02"/>
  </r>
  <r>
    <s v="11-Nov-2025"/>
    <x v="1"/>
    <s v="Week2-Nov-2025"/>
    <x v="2"/>
    <s v="26-Jun-2029"/>
    <s v="Tuesday"/>
    <s v="Monthly - Tuesday"/>
    <s v="Monthly - Tuesday"/>
    <s v="Month+43 Expiry"/>
    <n v="0"/>
    <n v="0"/>
    <n v="0"/>
  </r>
  <r>
    <s v="11-Nov-2025"/>
    <x v="1"/>
    <s v="Week2-Nov-2025"/>
    <x v="2"/>
    <s v="24-Dec-2029"/>
    <s v="Monday"/>
    <s v="Weekly - Monday"/>
    <s v="Weekly - Monday"/>
    <s v="Month+49 Expiry"/>
    <n v="0"/>
    <n v="0"/>
    <n v="0"/>
  </r>
  <r>
    <s v="11-Nov-2025"/>
    <x v="1"/>
    <s v="Week2-Nov-2025"/>
    <x v="2"/>
    <s v="25-Jun-2030"/>
    <s v="Tuesday"/>
    <s v="Monthly - Tuesday"/>
    <s v="Monthly - Tuesday"/>
    <s v="Month+55 Expiry"/>
    <n v="0"/>
    <n v="0"/>
    <n v="0"/>
  </r>
  <r>
    <s v="12-Nov-2025"/>
    <x v="2"/>
    <s v="Week2-Nov-2025"/>
    <x v="2"/>
    <s v="18-Nov-2025"/>
    <s v="Tuesday"/>
    <s v="Weekly - Tuesday"/>
    <s v="Weekly - Tuesday"/>
    <s v="Same Month Expiry"/>
    <n v="41848047"/>
    <n v="8133264.4900000002"/>
    <n v="25090.91"/>
  </r>
  <r>
    <s v="12-Nov-2025"/>
    <x v="2"/>
    <s v="Week2-Nov-2025"/>
    <x v="2"/>
    <s v="25-Nov-2025"/>
    <s v="Tuesday"/>
    <s v="Monthly - Tuesday"/>
    <s v="Monthly - Tuesday"/>
    <s v="Same Month Expiry"/>
    <n v="2420254"/>
    <n v="470485.94"/>
    <n v="2246.1999999999998"/>
  </r>
  <r>
    <s v="12-Nov-2025"/>
    <x v="2"/>
    <s v="Week2-Nov-2025"/>
    <x v="2"/>
    <s v="02-Dec-2025"/>
    <s v="Tuesday"/>
    <s v="Weekly - Tuesday"/>
    <s v="Weekly - Tuesday"/>
    <s v="Month+1 Expiry"/>
    <n v="92101"/>
    <n v="18013.98"/>
    <n v="86.13"/>
  </r>
  <r>
    <s v="12-Nov-2025"/>
    <x v="2"/>
    <s v="Week2-Nov-2025"/>
    <x v="2"/>
    <s v="09-Dec-2025"/>
    <s v="Tuesday"/>
    <s v="Weekly - Tuesday"/>
    <s v="Weekly - Tuesday"/>
    <s v="Month+1 Expiry"/>
    <n v="14692"/>
    <n v="2864.01"/>
    <n v="20.02"/>
  </r>
  <r>
    <s v="12-Nov-2025"/>
    <x v="2"/>
    <s v="Week2-Nov-2025"/>
    <x v="2"/>
    <s v="16-Dec-2025"/>
    <s v="Tuesday"/>
    <s v="Weekly - Tuesday"/>
    <s v="Weekly - Tuesday"/>
    <s v="Month+1 Expiry"/>
    <n v="1756"/>
    <n v="343.64"/>
    <n v="3.18"/>
  </r>
  <r>
    <s v="12-Nov-2025"/>
    <x v="2"/>
    <s v="Week2-Nov-2025"/>
    <x v="2"/>
    <s v="30-Dec-2025"/>
    <s v="Tuesday"/>
    <s v="Monthly - Tuesday"/>
    <s v="Monthly - Tuesday"/>
    <s v="Month+1 Expiry"/>
    <n v="464933"/>
    <n v="90159.51"/>
    <n v="678.1"/>
  </r>
  <r>
    <s v="12-Nov-2025"/>
    <x v="2"/>
    <s v="Week2-Nov-2025"/>
    <x v="2"/>
    <s v="27-Jan-2026"/>
    <s v="Tuesday"/>
    <s v="Monthly - Tuesday"/>
    <s v="Monthly - Tuesday"/>
    <s v="Month+2 Expiry"/>
    <n v="39669"/>
    <n v="6701.2"/>
    <n v="76.040000000000006"/>
  </r>
  <r>
    <s v="12-Nov-2025"/>
    <x v="2"/>
    <s v="Week2-Nov-2025"/>
    <x v="2"/>
    <s v="31-Mar-2026"/>
    <s v="Tuesday"/>
    <s v="Monthly - Tuesday"/>
    <s v="Monthly - Tuesday"/>
    <s v="Month+4 Expiry"/>
    <n v="25658"/>
    <n v="5032.6400000000003"/>
    <n v="74.739999999999995"/>
  </r>
  <r>
    <s v="12-Nov-2025"/>
    <x v="2"/>
    <s v="Week2-Nov-2025"/>
    <x v="2"/>
    <s v="30-Jun-2026"/>
    <s v="Tuesday"/>
    <s v="Monthly - Tuesday"/>
    <s v="Monthly - Tuesday"/>
    <s v="Month+7 Expiry"/>
    <n v="6312"/>
    <n v="1254.93"/>
    <n v="23.68"/>
  </r>
  <r>
    <s v="12-Nov-2025"/>
    <x v="2"/>
    <s v="Week2-Nov-2025"/>
    <x v="2"/>
    <s v="29-Sep-2026"/>
    <s v="Tuesday"/>
    <s v="Monthly - Tuesday"/>
    <s v="Monthly - Tuesday"/>
    <s v="Month+10 Expiry"/>
    <n v="77"/>
    <n v="14.45"/>
    <n v="0.2"/>
  </r>
  <r>
    <s v="12-Nov-2025"/>
    <x v="2"/>
    <s v="Week2-Nov-2025"/>
    <x v="2"/>
    <s v="29-Dec-2026"/>
    <s v="Tuesday"/>
    <s v="Monthly - Tuesday"/>
    <s v="Monthly - Tuesday"/>
    <s v="Month+13 Expiry"/>
    <n v="4249"/>
    <n v="847.58"/>
    <n v="22.84"/>
  </r>
  <r>
    <s v="12-Nov-2025"/>
    <x v="2"/>
    <s v="Week2-Nov-2025"/>
    <x v="2"/>
    <s v="29-Jun-2027"/>
    <s v="Tuesday"/>
    <s v="Monthly - Tuesday"/>
    <s v="Monthly - Tuesday"/>
    <s v="Month+19 Expiry"/>
    <n v="0"/>
    <n v="0"/>
    <n v="0"/>
  </r>
  <r>
    <s v="12-Nov-2025"/>
    <x v="2"/>
    <s v="Week2-Nov-2025"/>
    <x v="2"/>
    <s v="28-Dec-2027"/>
    <s v="Tuesday"/>
    <s v="Monthly - Tuesday"/>
    <s v="Monthly - Tuesday"/>
    <s v="Month+25 Expiry"/>
    <n v="20"/>
    <n v="3.74"/>
    <n v="0.09"/>
  </r>
  <r>
    <s v="12-Nov-2025"/>
    <x v="2"/>
    <s v="Week2-Nov-2025"/>
    <x v="2"/>
    <s v="27-Jun-2028"/>
    <s v="Tuesday"/>
    <s v="Monthly - Tuesday"/>
    <s v="Monthly - Tuesday"/>
    <s v="Month+31 Expiry"/>
    <n v="0"/>
    <n v="0"/>
    <n v="0"/>
  </r>
  <r>
    <s v="12-Nov-2025"/>
    <x v="2"/>
    <s v="Week2-Nov-2025"/>
    <x v="2"/>
    <s v="26-Dec-2028"/>
    <s v="Tuesday"/>
    <s v="Monthly - Tuesday"/>
    <s v="Monthly - Tuesday"/>
    <s v="Month+37 Expiry"/>
    <n v="1"/>
    <n v="0.2"/>
    <n v="0.01"/>
  </r>
  <r>
    <s v="12-Nov-2025"/>
    <x v="2"/>
    <s v="Week2-Nov-2025"/>
    <x v="2"/>
    <s v="26-Jun-2029"/>
    <s v="Tuesday"/>
    <s v="Monthly - Tuesday"/>
    <s v="Monthly - Tuesday"/>
    <s v="Month+43 Expiry"/>
    <n v="0"/>
    <n v="0"/>
    <n v="0"/>
  </r>
  <r>
    <s v="12-Nov-2025"/>
    <x v="2"/>
    <s v="Week2-Nov-2025"/>
    <x v="2"/>
    <s v="24-Dec-2029"/>
    <s v="Monday"/>
    <s v="Weekly - Monday"/>
    <s v="Weekly - Monday"/>
    <s v="Month+49 Expiry"/>
    <n v="0"/>
    <n v="0"/>
    <n v="0"/>
  </r>
  <r>
    <s v="12-Nov-2025"/>
    <x v="2"/>
    <s v="Week2-Nov-2025"/>
    <x v="2"/>
    <s v="25-Jun-2030"/>
    <s v="Tuesday"/>
    <s v="Monthly - Tuesday"/>
    <s v="Monthly - Tuesday"/>
    <s v="Month+55 Expiry"/>
    <n v="0"/>
    <n v="0"/>
    <n v="0"/>
  </r>
  <r>
    <s v="13-Nov-2025"/>
    <x v="3"/>
    <s v="Week2-Nov-2025"/>
    <x v="2"/>
    <s v="18-Nov-2025"/>
    <s v="Tuesday"/>
    <s v="Weekly - Tuesday"/>
    <s v="Weekly - Tuesday"/>
    <s v="Same Month Expiry"/>
    <n v="51081339"/>
    <n v="9944889.3499999996"/>
    <n v="27931.31"/>
  </r>
  <r>
    <s v="13-Nov-2025"/>
    <x v="3"/>
    <s v="Week2-Nov-2025"/>
    <x v="2"/>
    <s v="25-Nov-2025"/>
    <s v="Tuesday"/>
    <s v="Monthly - Tuesday"/>
    <s v="Monthly - Tuesday"/>
    <s v="Same Month Expiry"/>
    <n v="3213467"/>
    <n v="627000.64"/>
    <n v="2895.85"/>
  </r>
  <r>
    <s v="13-Nov-2025"/>
    <x v="3"/>
    <s v="Week2-Nov-2025"/>
    <x v="2"/>
    <s v="02-Dec-2025"/>
    <s v="Tuesday"/>
    <s v="Weekly - Tuesday"/>
    <s v="Weekly - Tuesday"/>
    <s v="Month+1 Expiry"/>
    <n v="109416"/>
    <n v="21495.41"/>
    <n v="117.71"/>
  </r>
  <r>
    <s v="13-Nov-2025"/>
    <x v="3"/>
    <s v="Week2-Nov-2025"/>
    <x v="2"/>
    <s v="09-Dec-2025"/>
    <s v="Tuesday"/>
    <s v="Weekly - Tuesday"/>
    <s v="Weekly - Tuesday"/>
    <s v="Month+1 Expiry"/>
    <n v="14653"/>
    <n v="2866.38"/>
    <n v="20.3"/>
  </r>
  <r>
    <s v="13-Nov-2025"/>
    <x v="3"/>
    <s v="Week2-Nov-2025"/>
    <x v="2"/>
    <s v="16-Dec-2025"/>
    <s v="Tuesday"/>
    <s v="Weekly - Tuesday"/>
    <s v="Weekly - Tuesday"/>
    <s v="Month+1 Expiry"/>
    <n v="3249"/>
    <n v="638.34"/>
    <n v="5.76"/>
  </r>
  <r>
    <s v="13-Nov-2025"/>
    <x v="3"/>
    <s v="Week2-Nov-2025"/>
    <x v="2"/>
    <s v="30-Dec-2025"/>
    <s v="Tuesday"/>
    <s v="Monthly - Tuesday"/>
    <s v="Monthly - Tuesday"/>
    <s v="Month+1 Expiry"/>
    <n v="361809"/>
    <n v="70561.759999999995"/>
    <n v="567.57000000000005"/>
  </r>
  <r>
    <s v="13-Nov-2025"/>
    <x v="3"/>
    <s v="Week2-Nov-2025"/>
    <x v="2"/>
    <s v="27-Jan-2026"/>
    <s v="Tuesday"/>
    <s v="Monthly - Tuesday"/>
    <s v="Monthly - Tuesday"/>
    <s v="Month+2 Expiry"/>
    <n v="31296"/>
    <n v="5314.95"/>
    <n v="61.21"/>
  </r>
  <r>
    <s v="13-Nov-2025"/>
    <x v="3"/>
    <s v="Week2-Nov-2025"/>
    <x v="2"/>
    <s v="31-Mar-2026"/>
    <s v="Tuesday"/>
    <s v="Monthly - Tuesday"/>
    <s v="Monthly - Tuesday"/>
    <s v="Month+4 Expiry"/>
    <n v="22765"/>
    <n v="4595.32"/>
    <n v="78.099999999999994"/>
  </r>
  <r>
    <s v="13-Nov-2025"/>
    <x v="3"/>
    <s v="Week2-Nov-2025"/>
    <x v="2"/>
    <s v="30-Jun-2026"/>
    <s v="Tuesday"/>
    <s v="Monthly - Tuesday"/>
    <s v="Monthly - Tuesday"/>
    <s v="Month+7 Expiry"/>
    <n v="4855"/>
    <n v="991.61"/>
    <n v="23.72"/>
  </r>
  <r>
    <s v="13-Nov-2025"/>
    <x v="3"/>
    <s v="Week2-Nov-2025"/>
    <x v="2"/>
    <s v="29-Sep-2026"/>
    <s v="Tuesday"/>
    <s v="Monthly - Tuesday"/>
    <s v="Monthly - Tuesday"/>
    <s v="Month+10 Expiry"/>
    <n v="20"/>
    <n v="3.76"/>
    <n v="0.05"/>
  </r>
  <r>
    <s v="13-Nov-2025"/>
    <x v="3"/>
    <s v="Week2-Nov-2025"/>
    <x v="2"/>
    <s v="29-Dec-2026"/>
    <s v="Tuesday"/>
    <s v="Monthly - Tuesday"/>
    <s v="Monthly - Tuesday"/>
    <s v="Month+13 Expiry"/>
    <n v="4193"/>
    <n v="875.19"/>
    <n v="33.75"/>
  </r>
  <r>
    <s v="13-Nov-2025"/>
    <x v="3"/>
    <s v="Week2-Nov-2025"/>
    <x v="2"/>
    <s v="29-Jun-2027"/>
    <s v="Tuesday"/>
    <s v="Monthly - Tuesday"/>
    <s v="Monthly - Tuesday"/>
    <s v="Month+19 Expiry"/>
    <n v="0"/>
    <n v="0"/>
    <n v="0"/>
  </r>
  <r>
    <s v="13-Nov-2025"/>
    <x v="3"/>
    <s v="Week2-Nov-2025"/>
    <x v="2"/>
    <s v="28-Dec-2027"/>
    <s v="Tuesday"/>
    <s v="Monthly - Tuesday"/>
    <s v="Monthly - Tuesday"/>
    <s v="Month+25 Expiry"/>
    <n v="2"/>
    <n v="0.4"/>
    <n v="0.01"/>
  </r>
  <r>
    <s v="13-Nov-2025"/>
    <x v="3"/>
    <s v="Week2-Nov-2025"/>
    <x v="2"/>
    <s v="27-Jun-2028"/>
    <s v="Tuesday"/>
    <s v="Monthly - Tuesday"/>
    <s v="Monthly - Tuesday"/>
    <s v="Month+31 Expiry"/>
    <n v="0"/>
    <n v="0"/>
    <n v="0"/>
  </r>
  <r>
    <s v="13-Nov-2025"/>
    <x v="3"/>
    <s v="Week2-Nov-2025"/>
    <x v="2"/>
    <s v="26-Dec-2028"/>
    <s v="Tuesday"/>
    <s v="Monthly - Tuesday"/>
    <s v="Monthly - Tuesday"/>
    <s v="Month+37 Expiry"/>
    <n v="0"/>
    <n v="0"/>
    <n v="0"/>
  </r>
  <r>
    <s v="13-Nov-2025"/>
    <x v="3"/>
    <s v="Week2-Nov-2025"/>
    <x v="2"/>
    <s v="26-Jun-2029"/>
    <s v="Tuesday"/>
    <s v="Monthly - Tuesday"/>
    <s v="Monthly - Tuesday"/>
    <s v="Month+43 Expiry"/>
    <n v="0"/>
    <n v="0"/>
    <n v="0"/>
  </r>
  <r>
    <s v="13-Nov-2025"/>
    <x v="3"/>
    <s v="Week2-Nov-2025"/>
    <x v="2"/>
    <s v="24-Dec-2029"/>
    <s v="Monday"/>
    <s v="Weekly - Monday"/>
    <s v="Weekly - Monday"/>
    <s v="Month+49 Expiry"/>
    <n v="0"/>
    <n v="0"/>
    <n v="0"/>
  </r>
  <r>
    <s v="13-Nov-2025"/>
    <x v="3"/>
    <s v="Week2-Nov-2025"/>
    <x v="2"/>
    <s v="25-Jun-2030"/>
    <s v="Tuesday"/>
    <s v="Monthly - Tuesday"/>
    <s v="Monthly - Tuesday"/>
    <s v="Month+55 Expiry"/>
    <n v="0"/>
    <n v="0"/>
    <n v="0"/>
  </r>
  <r>
    <s v="14-Nov-2025"/>
    <x v="4"/>
    <s v="Week2-Nov-2025"/>
    <x v="2"/>
    <s v="18-Nov-2025"/>
    <s v="Tuesday"/>
    <s v="Weekly - Tuesday"/>
    <s v="Weekly - Tuesday"/>
    <s v="Same Month Expiry"/>
    <n v="114475041"/>
    <n v="22260670.530000001"/>
    <n v="55377.77"/>
  </r>
  <r>
    <s v="14-Nov-2025"/>
    <x v="4"/>
    <s v="Week2-Nov-2025"/>
    <x v="2"/>
    <s v="25-Nov-2025"/>
    <s v="Tuesday"/>
    <s v="Monthly - Tuesday"/>
    <s v="Monthly - Tuesday"/>
    <s v="Same Month Expiry"/>
    <n v="5240099"/>
    <n v="1019525.35"/>
    <n v="4629.78"/>
  </r>
  <r>
    <s v="14-Nov-2025"/>
    <x v="4"/>
    <s v="Week2-Nov-2025"/>
    <x v="2"/>
    <s v="02-Dec-2025"/>
    <s v="Tuesday"/>
    <s v="Weekly - Tuesday"/>
    <s v="Weekly - Tuesday"/>
    <s v="Month+1 Expiry"/>
    <n v="217583"/>
    <n v="42619.47"/>
    <n v="236.02"/>
  </r>
  <r>
    <s v="14-Nov-2025"/>
    <x v="4"/>
    <s v="Week2-Nov-2025"/>
    <x v="2"/>
    <s v="09-Dec-2025"/>
    <s v="Tuesday"/>
    <s v="Weekly - Tuesday"/>
    <s v="Weekly - Tuesday"/>
    <s v="Month+1 Expiry"/>
    <n v="26311"/>
    <n v="5156.49"/>
    <n v="38.54"/>
  </r>
  <r>
    <s v="14-Nov-2025"/>
    <x v="4"/>
    <s v="Week2-Nov-2025"/>
    <x v="2"/>
    <s v="16-Dec-2025"/>
    <s v="Tuesday"/>
    <s v="Weekly - Tuesday"/>
    <s v="Weekly - Tuesday"/>
    <s v="Month+1 Expiry"/>
    <n v="4042"/>
    <n v="797.68"/>
    <n v="7.16"/>
  </r>
  <r>
    <s v="14-Nov-2025"/>
    <x v="4"/>
    <s v="Week2-Nov-2025"/>
    <x v="2"/>
    <s v="30-Dec-2025"/>
    <s v="Tuesday"/>
    <s v="Monthly - Tuesday"/>
    <s v="Monthly - Tuesday"/>
    <s v="Month+1 Expiry"/>
    <n v="490525"/>
    <n v="95578.2"/>
    <n v="772.58"/>
  </r>
  <r>
    <s v="14-Nov-2025"/>
    <x v="4"/>
    <s v="Week2-Nov-2025"/>
    <x v="2"/>
    <s v="27-Jan-2026"/>
    <s v="Tuesday"/>
    <s v="Monthly - Tuesday"/>
    <s v="Monthly - Tuesday"/>
    <s v="Month+2 Expiry"/>
    <n v="39481"/>
    <n v="6700.03"/>
    <n v="75.25"/>
  </r>
  <r>
    <s v="14-Nov-2025"/>
    <x v="4"/>
    <s v="Week2-Nov-2025"/>
    <x v="2"/>
    <s v="31-Mar-2026"/>
    <s v="Tuesday"/>
    <s v="Monthly - Tuesday"/>
    <s v="Monthly - Tuesday"/>
    <s v="Month+4 Expiry"/>
    <n v="21613"/>
    <n v="4240.8999999999996"/>
    <n v="62.77"/>
  </r>
  <r>
    <s v="14-Nov-2025"/>
    <x v="4"/>
    <s v="Week2-Nov-2025"/>
    <x v="2"/>
    <s v="30-Jun-2026"/>
    <s v="Tuesday"/>
    <s v="Monthly - Tuesday"/>
    <s v="Monthly - Tuesday"/>
    <s v="Month+7 Expiry"/>
    <n v="4110"/>
    <n v="813.78"/>
    <n v="18.37"/>
  </r>
  <r>
    <s v="14-Nov-2025"/>
    <x v="4"/>
    <s v="Week2-Nov-2025"/>
    <x v="2"/>
    <s v="29-Sep-2026"/>
    <s v="Tuesday"/>
    <s v="Monthly - Tuesday"/>
    <s v="Monthly - Tuesday"/>
    <s v="Month+10 Expiry"/>
    <n v="31"/>
    <n v="5.75"/>
    <n v="7.0000000000000007E-2"/>
  </r>
  <r>
    <s v="14-Nov-2025"/>
    <x v="4"/>
    <s v="Week2-Nov-2025"/>
    <x v="2"/>
    <s v="29-Dec-2026"/>
    <s v="Tuesday"/>
    <s v="Monthly - Tuesday"/>
    <s v="Monthly - Tuesday"/>
    <s v="Month+13 Expiry"/>
    <n v="3669"/>
    <n v="746.48"/>
    <n v="25.38"/>
  </r>
  <r>
    <s v="14-Nov-2025"/>
    <x v="4"/>
    <s v="Week2-Nov-2025"/>
    <x v="2"/>
    <s v="29-Jun-2027"/>
    <s v="Tuesday"/>
    <s v="Monthly - Tuesday"/>
    <s v="Monthly - Tuesday"/>
    <s v="Month+19 Expiry"/>
    <n v="0"/>
    <n v="0"/>
    <n v="0"/>
  </r>
  <r>
    <s v="14-Nov-2025"/>
    <x v="4"/>
    <s v="Week2-Nov-2025"/>
    <x v="2"/>
    <s v="28-Dec-2027"/>
    <s v="Tuesday"/>
    <s v="Monthly - Tuesday"/>
    <s v="Monthly - Tuesday"/>
    <s v="Month+25 Expiry"/>
    <n v="7"/>
    <n v="1.4"/>
    <n v="7.0000000000000007E-2"/>
  </r>
  <r>
    <s v="14-Nov-2025"/>
    <x v="4"/>
    <s v="Week2-Nov-2025"/>
    <x v="2"/>
    <s v="27-Jun-2028"/>
    <s v="Tuesday"/>
    <s v="Monthly - Tuesday"/>
    <s v="Monthly - Tuesday"/>
    <s v="Month+31 Expiry"/>
    <n v="0"/>
    <n v="0"/>
    <n v="0"/>
  </r>
  <r>
    <s v="14-Nov-2025"/>
    <x v="4"/>
    <s v="Week2-Nov-2025"/>
    <x v="2"/>
    <s v="26-Dec-2028"/>
    <s v="Tuesday"/>
    <s v="Monthly - Tuesday"/>
    <s v="Monthly - Tuesday"/>
    <s v="Month+37 Expiry"/>
    <n v="0"/>
    <n v="0"/>
    <n v="0"/>
  </r>
  <r>
    <s v="14-Nov-2025"/>
    <x v="4"/>
    <s v="Week2-Nov-2025"/>
    <x v="2"/>
    <s v="26-Jun-2029"/>
    <s v="Tuesday"/>
    <s v="Monthly - Tuesday"/>
    <s v="Monthly - Tuesday"/>
    <s v="Month+43 Expiry"/>
    <n v="0"/>
    <n v="0"/>
    <n v="0"/>
  </r>
  <r>
    <s v="14-Nov-2025"/>
    <x v="4"/>
    <s v="Week2-Nov-2025"/>
    <x v="2"/>
    <s v="24-Dec-2029"/>
    <s v="Monday"/>
    <s v="Weekly - Monday"/>
    <s v="Weekly - Monday"/>
    <s v="Month+49 Expiry"/>
    <n v="0"/>
    <n v="0"/>
    <n v="0"/>
  </r>
  <r>
    <s v="14-Nov-2025"/>
    <x v="4"/>
    <s v="Week2-Nov-2025"/>
    <x v="2"/>
    <s v="25-Jun-2030"/>
    <s v="Tuesday"/>
    <s v="Monthly - Tuesday"/>
    <s v="Monthly - Tuesday"/>
    <s v="Month+55 Expiry"/>
    <n v="0"/>
    <n v="0"/>
    <n v="0"/>
  </r>
  <r>
    <s v="17-Nov-2025"/>
    <x v="0"/>
    <s v="Week3-Nov-2025"/>
    <x v="2"/>
    <s v="18-Nov-2025"/>
    <s v="Tuesday"/>
    <s v="Weekly - Tuesday"/>
    <s v="Weekly - Tuesday"/>
    <s v="Same Month Expiry"/>
    <n v="107771286"/>
    <n v="20993550.190000001"/>
    <n v="37510.07"/>
  </r>
  <r>
    <s v="17-Nov-2025"/>
    <x v="0"/>
    <s v="Week3-Nov-2025"/>
    <x v="2"/>
    <s v="25-Nov-2025"/>
    <s v="Tuesday"/>
    <s v="Monthly - Tuesday"/>
    <s v="Monthly - Tuesday"/>
    <s v="Same Month Expiry"/>
    <n v="5331308"/>
    <n v="1038723.03"/>
    <n v="3501.74"/>
  </r>
  <r>
    <s v="17-Nov-2025"/>
    <x v="0"/>
    <s v="Week3-Nov-2025"/>
    <x v="2"/>
    <s v="02-Dec-2025"/>
    <s v="Tuesday"/>
    <s v="Weekly - Tuesday"/>
    <s v="Weekly - Tuesday"/>
    <s v="Month+1 Expiry"/>
    <n v="242786"/>
    <n v="47556.82"/>
    <n v="230.96"/>
  </r>
  <r>
    <s v="17-Nov-2025"/>
    <x v="0"/>
    <s v="Week3-Nov-2025"/>
    <x v="2"/>
    <s v="09-Dec-2025"/>
    <s v="Tuesday"/>
    <s v="Weekly - Tuesday"/>
    <s v="Weekly - Tuesday"/>
    <s v="Month+1 Expiry"/>
    <n v="35900"/>
    <n v="7081.69"/>
    <n v="37.06"/>
  </r>
  <r>
    <s v="17-Nov-2025"/>
    <x v="0"/>
    <s v="Week3-Nov-2025"/>
    <x v="2"/>
    <s v="16-Dec-2025"/>
    <s v="Tuesday"/>
    <s v="Weekly - Tuesday"/>
    <s v="Weekly - Tuesday"/>
    <s v="Month+1 Expiry"/>
    <n v="6519"/>
    <n v="1286.49"/>
    <n v="10.16"/>
  </r>
  <r>
    <s v="17-Nov-2025"/>
    <x v="0"/>
    <s v="Week3-Nov-2025"/>
    <x v="2"/>
    <s v="30-Dec-2025"/>
    <s v="Tuesday"/>
    <s v="Monthly - Tuesday"/>
    <s v="Monthly - Tuesday"/>
    <s v="Month+1 Expiry"/>
    <n v="449443"/>
    <n v="87617.17"/>
    <n v="676.96"/>
  </r>
  <r>
    <s v="17-Nov-2025"/>
    <x v="0"/>
    <s v="Week3-Nov-2025"/>
    <x v="2"/>
    <s v="27-Jan-2026"/>
    <s v="Tuesday"/>
    <s v="Monthly - Tuesday"/>
    <s v="Monthly - Tuesday"/>
    <s v="Month+2 Expiry"/>
    <n v="34297"/>
    <n v="5807.33"/>
    <n v="54.69"/>
  </r>
  <r>
    <s v="17-Nov-2025"/>
    <x v="0"/>
    <s v="Week3-Nov-2025"/>
    <x v="2"/>
    <s v="31-Mar-2026"/>
    <s v="Tuesday"/>
    <s v="Monthly - Tuesday"/>
    <s v="Monthly - Tuesday"/>
    <s v="Month+4 Expiry"/>
    <n v="18206"/>
    <n v="3547.22"/>
    <n v="49.5"/>
  </r>
  <r>
    <s v="17-Nov-2025"/>
    <x v="0"/>
    <s v="Week3-Nov-2025"/>
    <x v="2"/>
    <s v="30-Jun-2026"/>
    <s v="Tuesday"/>
    <s v="Monthly - Tuesday"/>
    <s v="Monthly - Tuesday"/>
    <s v="Month+7 Expiry"/>
    <n v="6583"/>
    <n v="1257.9000000000001"/>
    <n v="23.66"/>
  </r>
  <r>
    <s v="17-Nov-2025"/>
    <x v="0"/>
    <s v="Week3-Nov-2025"/>
    <x v="2"/>
    <s v="29-Sep-2026"/>
    <s v="Tuesday"/>
    <s v="Monthly - Tuesday"/>
    <s v="Monthly - Tuesday"/>
    <s v="Month+10 Expiry"/>
    <n v="31"/>
    <n v="5.57"/>
    <n v="0.05"/>
  </r>
  <r>
    <s v="17-Nov-2025"/>
    <x v="0"/>
    <s v="Week3-Nov-2025"/>
    <x v="2"/>
    <s v="29-Dec-2026"/>
    <s v="Tuesday"/>
    <s v="Monthly - Tuesday"/>
    <s v="Monthly - Tuesday"/>
    <s v="Month+13 Expiry"/>
    <n v="6631"/>
    <n v="1364.08"/>
    <n v="32.619999999999997"/>
  </r>
  <r>
    <s v="17-Nov-2025"/>
    <x v="0"/>
    <s v="Week3-Nov-2025"/>
    <x v="2"/>
    <s v="29-Jun-2027"/>
    <s v="Tuesday"/>
    <s v="Monthly - Tuesday"/>
    <s v="Monthly - Tuesday"/>
    <s v="Month+19 Expiry"/>
    <n v="0"/>
    <n v="0"/>
    <n v="0"/>
  </r>
  <r>
    <s v="17-Nov-2025"/>
    <x v="0"/>
    <s v="Week3-Nov-2025"/>
    <x v="2"/>
    <s v="28-Dec-2027"/>
    <s v="Tuesday"/>
    <s v="Monthly - Tuesday"/>
    <s v="Monthly - Tuesday"/>
    <s v="Month+25 Expiry"/>
    <n v="10"/>
    <n v="2.0299999999999998"/>
    <n v="0.16"/>
  </r>
  <r>
    <s v="17-Nov-2025"/>
    <x v="0"/>
    <s v="Week3-Nov-2025"/>
    <x v="2"/>
    <s v="27-Jun-2028"/>
    <s v="Tuesday"/>
    <s v="Monthly - Tuesday"/>
    <s v="Monthly - Tuesday"/>
    <s v="Month+31 Expiry"/>
    <n v="0"/>
    <n v="0"/>
    <n v="0"/>
  </r>
  <r>
    <s v="17-Nov-2025"/>
    <x v="0"/>
    <s v="Week3-Nov-2025"/>
    <x v="2"/>
    <s v="26-Dec-2028"/>
    <s v="Tuesday"/>
    <s v="Monthly - Tuesday"/>
    <s v="Monthly - Tuesday"/>
    <s v="Month+37 Expiry"/>
    <n v="0"/>
    <n v="0"/>
    <n v="0"/>
  </r>
  <r>
    <s v="17-Nov-2025"/>
    <x v="0"/>
    <s v="Week3-Nov-2025"/>
    <x v="2"/>
    <s v="26-Jun-2029"/>
    <s v="Tuesday"/>
    <s v="Monthly - Tuesday"/>
    <s v="Monthly - Tuesday"/>
    <s v="Month+43 Expiry"/>
    <n v="0"/>
    <n v="0"/>
    <n v="0"/>
  </r>
  <r>
    <s v="17-Nov-2025"/>
    <x v="0"/>
    <s v="Week3-Nov-2025"/>
    <x v="2"/>
    <s v="24-Dec-2029"/>
    <s v="Monday"/>
    <s v="Weekly - Monday"/>
    <s v="Weekly - Monday"/>
    <s v="Month+49 Expiry"/>
    <n v="0"/>
    <n v="0"/>
    <n v="0"/>
  </r>
  <r>
    <s v="17-Nov-2025"/>
    <x v="0"/>
    <s v="Week3-Nov-2025"/>
    <x v="2"/>
    <s v="25-Jun-2030"/>
    <s v="Tuesday"/>
    <s v="Monthly - Tuesday"/>
    <s v="Monthly - Tuesday"/>
    <s v="Month+55 Expiry"/>
    <n v="0"/>
    <n v="0"/>
    <n v="0"/>
  </r>
  <r>
    <s v="18-Nov-2025"/>
    <x v="1"/>
    <s v="Week3-Nov-2025"/>
    <x v="2"/>
    <s v="18-Nov-2025"/>
    <s v="Tuesday"/>
    <s v="Weekly - Tuesday"/>
    <s v="Weekly - Tuesday"/>
    <s v="Same Month Expiry"/>
    <n v="272098953"/>
    <n v="53004660.039999999"/>
    <n v="48978.65"/>
  </r>
  <r>
    <s v="18-Nov-2025"/>
    <x v="1"/>
    <s v="Week3-Nov-2025"/>
    <x v="2"/>
    <s v="25-Nov-2025"/>
    <s v="Tuesday"/>
    <s v="Monthly - Tuesday"/>
    <s v="Monthly - Tuesday"/>
    <s v="Same Month Expiry"/>
    <n v="11016416"/>
    <n v="2150141.14"/>
    <n v="7097.41"/>
  </r>
  <r>
    <s v="18-Nov-2025"/>
    <x v="1"/>
    <s v="Week3-Nov-2025"/>
    <x v="2"/>
    <s v="02-Dec-2025"/>
    <s v="Tuesday"/>
    <s v="Weekly - Tuesday"/>
    <s v="Weekly - Tuesday"/>
    <s v="Month+1 Expiry"/>
    <n v="432620"/>
    <n v="84752.04"/>
    <n v="446.64"/>
  </r>
  <r>
    <s v="18-Nov-2025"/>
    <x v="1"/>
    <s v="Week3-Nov-2025"/>
    <x v="2"/>
    <s v="09-Dec-2025"/>
    <s v="Tuesday"/>
    <s v="Weekly - Tuesday"/>
    <s v="Weekly - Tuesday"/>
    <s v="Month+1 Expiry"/>
    <n v="38063"/>
    <n v="7464.53"/>
    <n v="44.38"/>
  </r>
  <r>
    <s v="18-Nov-2025"/>
    <x v="1"/>
    <s v="Week3-Nov-2025"/>
    <x v="2"/>
    <s v="16-Dec-2025"/>
    <s v="Tuesday"/>
    <s v="Weekly - Tuesday"/>
    <s v="Weekly - Tuesday"/>
    <s v="Month+1 Expiry"/>
    <n v="8106"/>
    <n v="1595.43"/>
    <n v="12.18"/>
  </r>
  <r>
    <s v="18-Nov-2025"/>
    <x v="1"/>
    <s v="Week3-Nov-2025"/>
    <x v="2"/>
    <s v="30-Dec-2025"/>
    <s v="Tuesday"/>
    <s v="Monthly - Tuesday"/>
    <s v="Monthly - Tuesday"/>
    <s v="Month+1 Expiry"/>
    <n v="410036"/>
    <n v="80151.05"/>
    <n v="668.34"/>
  </r>
  <r>
    <s v="18-Nov-2025"/>
    <x v="1"/>
    <s v="Week3-Nov-2025"/>
    <x v="2"/>
    <s v="27-Jan-2026"/>
    <s v="Tuesday"/>
    <s v="Monthly - Tuesday"/>
    <s v="Monthly - Tuesday"/>
    <s v="Month+2 Expiry"/>
    <n v="34059"/>
    <n v="5766.07"/>
    <n v="62.03"/>
  </r>
  <r>
    <s v="18-Nov-2025"/>
    <x v="1"/>
    <s v="Week3-Nov-2025"/>
    <x v="2"/>
    <s v="31-Mar-2026"/>
    <s v="Tuesday"/>
    <s v="Monthly - Tuesday"/>
    <s v="Monthly - Tuesday"/>
    <s v="Month+4 Expiry"/>
    <n v="20885"/>
    <n v="4176.2700000000004"/>
    <n v="55.63"/>
  </r>
  <r>
    <s v="18-Nov-2025"/>
    <x v="1"/>
    <s v="Week3-Nov-2025"/>
    <x v="2"/>
    <s v="30-Jun-2026"/>
    <s v="Tuesday"/>
    <s v="Monthly - Tuesday"/>
    <s v="Monthly - Tuesday"/>
    <s v="Month+7 Expiry"/>
    <n v="3708"/>
    <n v="730.26"/>
    <n v="15.36"/>
  </r>
  <r>
    <s v="18-Nov-2025"/>
    <x v="1"/>
    <s v="Week3-Nov-2025"/>
    <x v="2"/>
    <s v="29-Sep-2026"/>
    <s v="Tuesday"/>
    <s v="Monthly - Tuesday"/>
    <s v="Monthly - Tuesday"/>
    <s v="Month+10 Expiry"/>
    <n v="26"/>
    <n v="4.66"/>
    <n v="0.05"/>
  </r>
  <r>
    <s v="18-Nov-2025"/>
    <x v="1"/>
    <s v="Week3-Nov-2025"/>
    <x v="2"/>
    <s v="29-Dec-2026"/>
    <s v="Tuesday"/>
    <s v="Monthly - Tuesday"/>
    <s v="Monthly - Tuesday"/>
    <s v="Month+13 Expiry"/>
    <n v="3588"/>
    <n v="724.6"/>
    <n v="24.2"/>
  </r>
  <r>
    <s v="18-Nov-2025"/>
    <x v="1"/>
    <s v="Week3-Nov-2025"/>
    <x v="2"/>
    <s v="29-Jun-2027"/>
    <s v="Tuesday"/>
    <s v="Monthly - Tuesday"/>
    <s v="Monthly - Tuesday"/>
    <s v="Month+19 Expiry"/>
    <n v="0"/>
    <n v="0"/>
    <n v="0"/>
  </r>
  <r>
    <s v="18-Nov-2025"/>
    <x v="1"/>
    <s v="Week3-Nov-2025"/>
    <x v="2"/>
    <s v="28-Dec-2027"/>
    <s v="Tuesday"/>
    <s v="Monthly - Tuesday"/>
    <s v="Monthly - Tuesday"/>
    <s v="Month+25 Expiry"/>
    <n v="2"/>
    <n v="0.43"/>
    <n v="0.03"/>
  </r>
  <r>
    <s v="18-Nov-2025"/>
    <x v="1"/>
    <s v="Week3-Nov-2025"/>
    <x v="2"/>
    <s v="27-Jun-2028"/>
    <s v="Tuesday"/>
    <s v="Monthly - Tuesday"/>
    <s v="Monthly - Tuesday"/>
    <s v="Month+31 Expiry"/>
    <n v="0"/>
    <n v="0"/>
    <n v="0"/>
  </r>
  <r>
    <s v="18-Nov-2025"/>
    <x v="1"/>
    <s v="Week3-Nov-2025"/>
    <x v="2"/>
    <s v="26-Dec-2028"/>
    <s v="Tuesday"/>
    <s v="Monthly - Tuesday"/>
    <s v="Monthly - Tuesday"/>
    <s v="Month+37 Expiry"/>
    <n v="0"/>
    <n v="0"/>
    <n v="0"/>
  </r>
  <r>
    <s v="18-Nov-2025"/>
    <x v="1"/>
    <s v="Week3-Nov-2025"/>
    <x v="2"/>
    <s v="26-Jun-2029"/>
    <s v="Tuesday"/>
    <s v="Monthly - Tuesday"/>
    <s v="Monthly - Tuesday"/>
    <s v="Month+43 Expiry"/>
    <n v="0"/>
    <n v="0"/>
    <n v="0"/>
  </r>
  <r>
    <s v="18-Nov-2025"/>
    <x v="1"/>
    <s v="Week3-Nov-2025"/>
    <x v="2"/>
    <s v="24-Dec-2029"/>
    <s v="Monday"/>
    <s v="Weekly - Monday"/>
    <s v="Weekly - Monday"/>
    <s v="Month+49 Expiry"/>
    <n v="0"/>
    <n v="0"/>
    <n v="0"/>
  </r>
  <r>
    <s v="18-Nov-2025"/>
    <x v="1"/>
    <s v="Week3-Nov-2025"/>
    <x v="2"/>
    <s v="25-Jun-2030"/>
    <s v="Tuesday"/>
    <s v="Monthly - Tuesday"/>
    <s v="Monthly - Tuesday"/>
    <s v="Month+55 Expiry"/>
    <n v="0"/>
    <n v="0"/>
    <n v="0"/>
  </r>
  <r>
    <s v="19-Nov-2025"/>
    <x v="2"/>
    <s v="Week3-Nov-2025"/>
    <x v="2"/>
    <s v="25-Nov-2025"/>
    <s v="Tuesday"/>
    <s v="Monthly - Tuesday"/>
    <s v="MDAW - Tuesday"/>
    <s v="Same Month Expiry"/>
    <n v="46914263"/>
    <n v="9156452.8000000007"/>
    <n v="29451"/>
  </r>
  <r>
    <s v="19-Nov-2025"/>
    <x v="2"/>
    <s v="Week3-Nov-2025"/>
    <x v="2"/>
    <s v="02-Dec-2025"/>
    <s v="Tuesday"/>
    <s v="Weekly - Tuesday"/>
    <s v="Weekly - Tuesday"/>
    <s v="Month+1 Expiry"/>
    <n v="1223527"/>
    <n v="240083.84"/>
    <n v="1108.74"/>
  </r>
  <r>
    <s v="19-Nov-2025"/>
    <x v="2"/>
    <s v="Week3-Nov-2025"/>
    <x v="2"/>
    <s v="09-Dec-2025"/>
    <s v="Tuesday"/>
    <s v="Weekly - Tuesday"/>
    <s v="Weekly - Tuesday"/>
    <s v="Month+1 Expiry"/>
    <n v="78762"/>
    <n v="15457.75"/>
    <n v="90.03"/>
  </r>
  <r>
    <s v="19-Nov-2025"/>
    <x v="2"/>
    <s v="Week3-Nov-2025"/>
    <x v="2"/>
    <s v="16-Dec-2025"/>
    <s v="Tuesday"/>
    <s v="Weekly - Tuesday"/>
    <s v="Weekly - Tuesday"/>
    <s v="Month+1 Expiry"/>
    <n v="13648"/>
    <n v="2685.11"/>
    <n v="19.350000000000001"/>
  </r>
  <r>
    <s v="19-Nov-2025"/>
    <x v="2"/>
    <s v="Week3-Nov-2025"/>
    <x v="2"/>
    <s v="23-Dec-2025"/>
    <s v="Tuesday"/>
    <s v="Weekly - Tuesday"/>
    <s v="Weekly - Tuesday"/>
    <s v="Month+1 Expiry"/>
    <n v="3442"/>
    <n v="680.61"/>
    <n v="5.81"/>
  </r>
  <r>
    <s v="19-Nov-2025"/>
    <x v="2"/>
    <s v="Week3-Nov-2025"/>
    <x v="2"/>
    <s v="30-Dec-2025"/>
    <s v="Tuesday"/>
    <s v="Monthly - Tuesday"/>
    <s v="Monthly - Tuesday"/>
    <s v="Month+1 Expiry"/>
    <n v="581222"/>
    <n v="113638.57"/>
    <n v="890.82"/>
  </r>
  <r>
    <s v="19-Nov-2025"/>
    <x v="2"/>
    <s v="Week3-Nov-2025"/>
    <x v="2"/>
    <s v="27-Jan-2026"/>
    <s v="Tuesday"/>
    <s v="Monthly - Tuesday"/>
    <s v="Monthly - Tuesday"/>
    <s v="Month+2 Expiry"/>
    <n v="46895"/>
    <n v="7987.77"/>
    <n v="82.19"/>
  </r>
  <r>
    <s v="19-Nov-2025"/>
    <x v="2"/>
    <s v="Week3-Nov-2025"/>
    <x v="2"/>
    <s v="31-Mar-2026"/>
    <s v="Tuesday"/>
    <s v="Monthly - Tuesday"/>
    <s v="Monthly - Tuesday"/>
    <s v="Month+4 Expiry"/>
    <n v="25872"/>
    <n v="5065.95"/>
    <n v="75.48"/>
  </r>
  <r>
    <s v="19-Nov-2025"/>
    <x v="2"/>
    <s v="Week3-Nov-2025"/>
    <x v="2"/>
    <s v="30-Jun-2026"/>
    <s v="Tuesday"/>
    <s v="Monthly - Tuesday"/>
    <s v="Monthly - Tuesday"/>
    <s v="Month+7 Expiry"/>
    <n v="4389"/>
    <n v="860.72"/>
    <n v="16.27"/>
  </r>
  <r>
    <s v="19-Nov-2025"/>
    <x v="2"/>
    <s v="Week3-Nov-2025"/>
    <x v="2"/>
    <s v="29-Sep-2026"/>
    <s v="Tuesday"/>
    <s v="Monthly - Tuesday"/>
    <s v="Monthly - Tuesday"/>
    <s v="Month+10 Expiry"/>
    <n v="77"/>
    <n v="14.23"/>
    <n v="0.17"/>
  </r>
  <r>
    <s v="19-Nov-2025"/>
    <x v="2"/>
    <s v="Week3-Nov-2025"/>
    <x v="2"/>
    <s v="29-Dec-2026"/>
    <s v="Tuesday"/>
    <s v="Monthly - Tuesday"/>
    <s v="Monthly - Tuesday"/>
    <s v="Month+13 Expiry"/>
    <n v="2667"/>
    <n v="551.05999999999995"/>
    <n v="19.82"/>
  </r>
  <r>
    <s v="19-Nov-2025"/>
    <x v="2"/>
    <s v="Week3-Nov-2025"/>
    <x v="2"/>
    <s v="29-Jun-2027"/>
    <s v="Tuesday"/>
    <s v="Monthly - Tuesday"/>
    <s v="Monthly - Tuesday"/>
    <s v="Month+19 Expiry"/>
    <n v="0"/>
    <n v="0"/>
    <n v="0"/>
  </r>
  <r>
    <s v="19-Nov-2025"/>
    <x v="2"/>
    <s v="Week3-Nov-2025"/>
    <x v="2"/>
    <s v="28-Dec-2027"/>
    <s v="Tuesday"/>
    <s v="Monthly - Tuesday"/>
    <s v="Monthly - Tuesday"/>
    <s v="Month+25 Expiry"/>
    <n v="3"/>
    <n v="0.55000000000000004"/>
    <n v="0.01"/>
  </r>
  <r>
    <s v="19-Nov-2025"/>
    <x v="2"/>
    <s v="Week3-Nov-2025"/>
    <x v="2"/>
    <s v="27-Jun-2028"/>
    <s v="Tuesday"/>
    <s v="Monthly - Tuesday"/>
    <s v="Monthly - Tuesday"/>
    <s v="Month+31 Expiry"/>
    <n v="0"/>
    <n v="0"/>
    <n v="0"/>
  </r>
  <r>
    <s v="19-Nov-2025"/>
    <x v="2"/>
    <s v="Week3-Nov-2025"/>
    <x v="2"/>
    <s v="26-Dec-2028"/>
    <s v="Tuesday"/>
    <s v="Monthly - Tuesday"/>
    <s v="Monthly - Tuesday"/>
    <s v="Month+37 Expiry"/>
    <n v="0"/>
    <n v="0"/>
    <n v="0"/>
  </r>
  <r>
    <s v="19-Nov-2025"/>
    <x v="2"/>
    <s v="Week3-Nov-2025"/>
    <x v="2"/>
    <s v="26-Jun-2029"/>
    <s v="Tuesday"/>
    <s v="Monthly - Tuesday"/>
    <s v="Monthly - Tuesday"/>
    <s v="Month+43 Expiry"/>
    <n v="0"/>
    <n v="0"/>
    <n v="0"/>
  </r>
  <r>
    <s v="19-Nov-2025"/>
    <x v="2"/>
    <s v="Week3-Nov-2025"/>
    <x v="2"/>
    <s v="24-Dec-2029"/>
    <s v="Monday"/>
    <s v="Weekly - Monday"/>
    <s v="Weekly - Monday"/>
    <s v="Month+49 Expiry"/>
    <n v="0"/>
    <n v="0"/>
    <n v="0"/>
  </r>
  <r>
    <s v="19-Nov-2025"/>
    <x v="2"/>
    <s v="Week3-Nov-2025"/>
    <x v="2"/>
    <s v="25-Jun-2030"/>
    <s v="Tuesday"/>
    <s v="Monthly - Tuesday"/>
    <s v="Monthly - Tuesday"/>
    <s v="Month+55 Expiry"/>
    <n v="0"/>
    <n v="0"/>
    <n v="0"/>
  </r>
  <r>
    <s v="20-Nov-2025"/>
    <x v="3"/>
    <s v="Week3-Nov-2025"/>
    <x v="2"/>
    <s v="25-Nov-2025"/>
    <s v="Tuesday"/>
    <s v="Monthly - Tuesday"/>
    <s v="MDAW - Tuesday"/>
    <s v="Same Month Expiry"/>
    <n v="46727999"/>
    <n v="9144439.0899999999"/>
    <n v="23668.3"/>
  </r>
  <r>
    <s v="20-Nov-2025"/>
    <x v="3"/>
    <s v="Week3-Nov-2025"/>
    <x v="2"/>
    <s v="02-Dec-2025"/>
    <s v="Tuesday"/>
    <s v="Weekly - Tuesday"/>
    <s v="Weekly - Tuesday"/>
    <s v="Month+1 Expiry"/>
    <n v="1797677"/>
    <n v="355243.38"/>
    <n v="1569.47"/>
  </r>
  <r>
    <s v="20-Nov-2025"/>
    <x v="3"/>
    <s v="Week3-Nov-2025"/>
    <x v="2"/>
    <s v="09-Dec-2025"/>
    <s v="Tuesday"/>
    <s v="Weekly - Tuesday"/>
    <s v="Weekly - Tuesday"/>
    <s v="Month+1 Expiry"/>
    <n v="127811"/>
    <n v="25218.880000000001"/>
    <n v="148.06"/>
  </r>
  <r>
    <s v="20-Nov-2025"/>
    <x v="3"/>
    <s v="Week3-Nov-2025"/>
    <x v="2"/>
    <s v="16-Dec-2025"/>
    <s v="Tuesday"/>
    <s v="Weekly - Tuesday"/>
    <s v="Weekly - Tuesday"/>
    <s v="Month+1 Expiry"/>
    <n v="18590"/>
    <n v="3664.88"/>
    <n v="24.14"/>
  </r>
  <r>
    <s v="20-Nov-2025"/>
    <x v="3"/>
    <s v="Week3-Nov-2025"/>
    <x v="2"/>
    <s v="23-Dec-2025"/>
    <s v="Tuesday"/>
    <s v="Weekly - Tuesday"/>
    <s v="Weekly - Tuesday"/>
    <s v="Month+1 Expiry"/>
    <n v="4861"/>
    <n v="961.85"/>
    <n v="7.64"/>
  </r>
  <r>
    <s v="20-Nov-2025"/>
    <x v="3"/>
    <s v="Week3-Nov-2025"/>
    <x v="2"/>
    <s v="30-Dec-2025"/>
    <s v="Tuesday"/>
    <s v="Monthly - Tuesday"/>
    <s v="Monthly - Tuesday"/>
    <s v="Month+1 Expiry"/>
    <n v="767805"/>
    <n v="151180.19"/>
    <n v="1247.99"/>
  </r>
  <r>
    <s v="20-Nov-2025"/>
    <x v="3"/>
    <s v="Week3-Nov-2025"/>
    <x v="2"/>
    <s v="27-Jan-2026"/>
    <s v="Tuesday"/>
    <s v="Monthly - Tuesday"/>
    <s v="Monthly - Tuesday"/>
    <s v="Month+2 Expiry"/>
    <n v="62334"/>
    <n v="10689.89"/>
    <n v="116.73"/>
  </r>
  <r>
    <s v="20-Nov-2025"/>
    <x v="3"/>
    <s v="Week3-Nov-2025"/>
    <x v="2"/>
    <s v="31-Mar-2026"/>
    <s v="Tuesday"/>
    <s v="Monthly - Tuesday"/>
    <s v="Monthly - Tuesday"/>
    <s v="Month+4 Expiry"/>
    <n v="32246"/>
    <n v="6384.22"/>
    <n v="97.12"/>
  </r>
  <r>
    <s v="20-Nov-2025"/>
    <x v="3"/>
    <s v="Week3-Nov-2025"/>
    <x v="2"/>
    <s v="30-Jun-2026"/>
    <s v="Tuesday"/>
    <s v="Monthly - Tuesday"/>
    <s v="Monthly - Tuesday"/>
    <s v="Month+7 Expiry"/>
    <n v="17237"/>
    <n v="3378.06"/>
    <n v="57.12"/>
  </r>
  <r>
    <s v="20-Nov-2025"/>
    <x v="3"/>
    <s v="Week3-Nov-2025"/>
    <x v="2"/>
    <s v="29-Sep-2026"/>
    <s v="Tuesday"/>
    <s v="Monthly - Tuesday"/>
    <s v="Monthly - Tuesday"/>
    <s v="Month+10 Expiry"/>
    <n v="160"/>
    <n v="29.95"/>
    <n v="0.38"/>
  </r>
  <r>
    <s v="20-Nov-2025"/>
    <x v="3"/>
    <s v="Week3-Nov-2025"/>
    <x v="2"/>
    <s v="29-Dec-2026"/>
    <s v="Tuesday"/>
    <s v="Monthly - Tuesday"/>
    <s v="Monthly - Tuesday"/>
    <s v="Month+13 Expiry"/>
    <n v="7030"/>
    <n v="1428.67"/>
    <n v="44.52"/>
  </r>
  <r>
    <s v="20-Nov-2025"/>
    <x v="3"/>
    <s v="Week3-Nov-2025"/>
    <x v="2"/>
    <s v="29-Jun-2027"/>
    <s v="Tuesday"/>
    <s v="Monthly - Tuesday"/>
    <s v="Monthly - Tuesday"/>
    <s v="Month+19 Expiry"/>
    <n v="0"/>
    <n v="0"/>
    <n v="0"/>
  </r>
  <r>
    <s v="20-Nov-2025"/>
    <x v="3"/>
    <s v="Week3-Nov-2025"/>
    <x v="2"/>
    <s v="28-Dec-2027"/>
    <s v="Tuesday"/>
    <s v="Monthly - Tuesday"/>
    <s v="Monthly - Tuesday"/>
    <s v="Month+25 Expiry"/>
    <n v="6"/>
    <n v="1.21"/>
    <n v="7.0000000000000007E-2"/>
  </r>
  <r>
    <s v="20-Nov-2025"/>
    <x v="3"/>
    <s v="Week3-Nov-2025"/>
    <x v="2"/>
    <s v="27-Jun-2028"/>
    <s v="Tuesday"/>
    <s v="Monthly - Tuesday"/>
    <s v="Monthly - Tuesday"/>
    <s v="Month+31 Expiry"/>
    <n v="0"/>
    <n v="0"/>
    <n v="0"/>
  </r>
  <r>
    <s v="20-Nov-2025"/>
    <x v="3"/>
    <s v="Week3-Nov-2025"/>
    <x v="2"/>
    <s v="26-Dec-2028"/>
    <s v="Tuesday"/>
    <s v="Monthly - Tuesday"/>
    <s v="Monthly - Tuesday"/>
    <s v="Month+37 Expiry"/>
    <n v="7"/>
    <n v="1.42"/>
    <n v="0.05"/>
  </r>
  <r>
    <s v="20-Nov-2025"/>
    <x v="3"/>
    <s v="Week3-Nov-2025"/>
    <x v="2"/>
    <s v="26-Jun-2029"/>
    <s v="Tuesday"/>
    <s v="Monthly - Tuesday"/>
    <s v="Monthly - Tuesday"/>
    <s v="Month+43 Expiry"/>
    <n v="0"/>
    <n v="0"/>
    <n v="0"/>
  </r>
  <r>
    <s v="20-Nov-2025"/>
    <x v="3"/>
    <s v="Week3-Nov-2025"/>
    <x v="2"/>
    <s v="24-Dec-2029"/>
    <s v="Monday"/>
    <s v="Weekly - Monday"/>
    <s v="Weekly - Monday"/>
    <s v="Month+49 Expiry"/>
    <n v="1"/>
    <n v="0.2"/>
    <n v="0.01"/>
  </r>
  <r>
    <s v="20-Nov-2025"/>
    <x v="3"/>
    <s v="Week3-Nov-2025"/>
    <x v="2"/>
    <s v="25-Jun-2030"/>
    <s v="Tuesday"/>
    <s v="Monthly - Tuesday"/>
    <s v="Monthly - Tuesday"/>
    <s v="Month+55 Expiry"/>
    <n v="0"/>
    <n v="0"/>
    <n v="0"/>
  </r>
  <r>
    <s v="21-Nov-2025"/>
    <x v="4"/>
    <s v="Week3-Nov-2025"/>
    <x v="2"/>
    <s v="25-Nov-2025"/>
    <s v="Tuesday"/>
    <s v="Monthly - Tuesday"/>
    <s v="MDAW - Tuesday"/>
    <s v="Same Month Expiry"/>
    <n v="88544488"/>
    <n v="17359842.719999999"/>
    <n v="43179.54"/>
  </r>
  <r>
    <s v="21-Nov-2025"/>
    <x v="4"/>
    <s v="Week3-Nov-2025"/>
    <x v="2"/>
    <s v="02-Dec-2025"/>
    <s v="Tuesday"/>
    <s v="Weekly - Tuesday"/>
    <s v="Weekly - Tuesday"/>
    <s v="Month+1 Expiry"/>
    <n v="2640719"/>
    <n v="520675.4"/>
    <n v="2239.6"/>
  </r>
  <r>
    <s v="21-Nov-2025"/>
    <x v="4"/>
    <s v="Week3-Nov-2025"/>
    <x v="2"/>
    <s v="09-Dec-2025"/>
    <s v="Tuesday"/>
    <s v="Weekly - Tuesday"/>
    <s v="Weekly - Tuesday"/>
    <s v="Month+1 Expiry"/>
    <n v="167294"/>
    <n v="32988.99"/>
    <n v="199.89"/>
  </r>
  <r>
    <s v="21-Nov-2025"/>
    <x v="4"/>
    <s v="Week3-Nov-2025"/>
    <x v="2"/>
    <s v="16-Dec-2025"/>
    <s v="Tuesday"/>
    <s v="Weekly - Tuesday"/>
    <s v="Weekly - Tuesday"/>
    <s v="Month+1 Expiry"/>
    <n v="21531"/>
    <n v="4248.09"/>
    <n v="30.39"/>
  </r>
  <r>
    <s v="21-Nov-2025"/>
    <x v="4"/>
    <s v="Week3-Nov-2025"/>
    <x v="2"/>
    <s v="23-Dec-2025"/>
    <s v="Tuesday"/>
    <s v="Weekly - Tuesday"/>
    <s v="Weekly - Tuesday"/>
    <s v="Month+1 Expiry"/>
    <n v="8321"/>
    <n v="1649.54"/>
    <n v="13.83"/>
  </r>
  <r>
    <s v="21-Nov-2025"/>
    <x v="4"/>
    <s v="Week3-Nov-2025"/>
    <x v="2"/>
    <s v="30-Dec-2025"/>
    <s v="Tuesday"/>
    <s v="Monthly - Tuesday"/>
    <s v="Monthly - Tuesday"/>
    <s v="Month+1 Expiry"/>
    <n v="755227"/>
    <n v="148865.46"/>
    <n v="1335.18"/>
  </r>
  <r>
    <s v="21-Nov-2025"/>
    <x v="4"/>
    <s v="Week3-Nov-2025"/>
    <x v="2"/>
    <s v="27-Jan-2026"/>
    <s v="Tuesday"/>
    <s v="Monthly - Tuesday"/>
    <s v="Monthly - Tuesday"/>
    <s v="Month+2 Expiry"/>
    <n v="49802"/>
    <n v="8546.1299999999992"/>
    <n v="99.84"/>
  </r>
  <r>
    <s v="21-Nov-2025"/>
    <x v="4"/>
    <s v="Week3-Nov-2025"/>
    <x v="2"/>
    <s v="31-Mar-2026"/>
    <s v="Tuesday"/>
    <s v="Monthly - Tuesday"/>
    <s v="Monthly - Tuesday"/>
    <s v="Month+4 Expiry"/>
    <n v="25376"/>
    <n v="5072.5"/>
    <n v="91.38"/>
  </r>
  <r>
    <s v="21-Nov-2025"/>
    <x v="4"/>
    <s v="Week3-Nov-2025"/>
    <x v="2"/>
    <s v="30-Jun-2026"/>
    <s v="Tuesday"/>
    <s v="Monthly - Tuesday"/>
    <s v="Monthly - Tuesday"/>
    <s v="Month+7 Expiry"/>
    <n v="6637"/>
    <n v="1338.38"/>
    <n v="30.47"/>
  </r>
  <r>
    <s v="21-Nov-2025"/>
    <x v="4"/>
    <s v="Week3-Nov-2025"/>
    <x v="2"/>
    <s v="29-Sep-2026"/>
    <s v="Tuesday"/>
    <s v="Monthly - Tuesday"/>
    <s v="Monthly - Tuesday"/>
    <s v="Month+10 Expiry"/>
    <n v="61"/>
    <n v="11.36"/>
    <n v="0.12"/>
  </r>
  <r>
    <s v="21-Nov-2025"/>
    <x v="4"/>
    <s v="Week3-Nov-2025"/>
    <x v="2"/>
    <s v="29-Dec-2026"/>
    <s v="Tuesday"/>
    <s v="Monthly - Tuesday"/>
    <s v="Monthly - Tuesday"/>
    <s v="Month+13 Expiry"/>
    <n v="3243"/>
    <n v="662.81"/>
    <n v="21.49"/>
  </r>
  <r>
    <s v="21-Nov-2025"/>
    <x v="4"/>
    <s v="Week3-Nov-2025"/>
    <x v="2"/>
    <s v="29-Jun-2027"/>
    <s v="Tuesday"/>
    <s v="Monthly - Tuesday"/>
    <s v="Monthly - Tuesday"/>
    <s v="Month+19 Expiry"/>
    <n v="0"/>
    <n v="0"/>
    <n v="0"/>
  </r>
  <r>
    <s v="21-Nov-2025"/>
    <x v="4"/>
    <s v="Week3-Nov-2025"/>
    <x v="2"/>
    <s v="28-Dec-2027"/>
    <s v="Tuesday"/>
    <s v="Monthly - Tuesday"/>
    <s v="Monthly - Tuesday"/>
    <s v="Month+25 Expiry"/>
    <n v="3"/>
    <n v="0.56000000000000005"/>
    <n v="0.04"/>
  </r>
  <r>
    <s v="21-Nov-2025"/>
    <x v="4"/>
    <s v="Week3-Nov-2025"/>
    <x v="2"/>
    <s v="27-Jun-2028"/>
    <s v="Tuesday"/>
    <s v="Monthly - Tuesday"/>
    <s v="Monthly - Tuesday"/>
    <s v="Month+31 Expiry"/>
    <n v="0"/>
    <n v="0"/>
    <n v="0"/>
  </r>
  <r>
    <s v="21-Nov-2025"/>
    <x v="4"/>
    <s v="Week3-Nov-2025"/>
    <x v="2"/>
    <s v="26-Dec-2028"/>
    <s v="Tuesday"/>
    <s v="Monthly - Tuesday"/>
    <s v="Monthly - Tuesday"/>
    <s v="Month+37 Expiry"/>
    <n v="18"/>
    <n v="3.63"/>
    <n v="0.12"/>
  </r>
  <r>
    <s v="21-Nov-2025"/>
    <x v="4"/>
    <s v="Week3-Nov-2025"/>
    <x v="2"/>
    <s v="26-Jun-2029"/>
    <s v="Tuesday"/>
    <s v="Monthly - Tuesday"/>
    <s v="Monthly - Tuesday"/>
    <s v="Month+43 Expiry"/>
    <n v="0"/>
    <n v="0"/>
    <n v="0"/>
  </r>
  <r>
    <s v="21-Nov-2025"/>
    <x v="4"/>
    <s v="Week3-Nov-2025"/>
    <x v="2"/>
    <s v="24-Dec-2029"/>
    <s v="Monday"/>
    <s v="Weekly - Monday"/>
    <s v="Weekly - Monday"/>
    <s v="Month+49 Expiry"/>
    <n v="0"/>
    <n v="0"/>
    <n v="0"/>
  </r>
  <r>
    <s v="21-Nov-2025"/>
    <x v="4"/>
    <s v="Week3-Nov-2025"/>
    <x v="2"/>
    <s v="25-Jun-2030"/>
    <s v="Tuesday"/>
    <s v="Monthly - Tuesday"/>
    <s v="Monthly - Tuesday"/>
    <s v="Month+55 Expiry"/>
    <n v="0"/>
    <n v="0"/>
    <n v="0"/>
  </r>
  <r>
    <s v="24-Nov-2025"/>
    <x v="0"/>
    <s v="Week4-Nov-2025"/>
    <x v="2"/>
    <s v="25-Nov-2025"/>
    <s v="Tuesday"/>
    <s v="Monthly - Tuesday"/>
    <s v="MDAW - Tuesday"/>
    <s v="Same Month Expiry"/>
    <n v="109636860"/>
    <n v="21473301.73"/>
    <n v="39443.040000000001"/>
  </r>
  <r>
    <s v="24-Nov-2025"/>
    <x v="0"/>
    <s v="Week4-Nov-2025"/>
    <x v="2"/>
    <s v="02-Dec-2025"/>
    <s v="Tuesday"/>
    <s v="Weekly - Tuesday"/>
    <s v="Weekly - Tuesday"/>
    <s v="Month+1 Expiry"/>
    <n v="4946387"/>
    <n v="973444.11"/>
    <n v="3208.25"/>
  </r>
  <r>
    <s v="24-Nov-2025"/>
    <x v="0"/>
    <s v="Week4-Nov-2025"/>
    <x v="2"/>
    <s v="09-Dec-2025"/>
    <s v="Tuesday"/>
    <s v="Weekly - Tuesday"/>
    <s v="Weekly - Tuesday"/>
    <s v="Month+1 Expiry"/>
    <n v="286816"/>
    <n v="56555.61"/>
    <n v="273.69"/>
  </r>
  <r>
    <s v="24-Nov-2025"/>
    <x v="0"/>
    <s v="Week4-Nov-2025"/>
    <x v="2"/>
    <s v="16-Dec-2025"/>
    <s v="Tuesday"/>
    <s v="Weekly - Tuesday"/>
    <s v="Weekly - Tuesday"/>
    <s v="Month+1 Expiry"/>
    <n v="27914"/>
    <n v="5517.74"/>
    <n v="31.3"/>
  </r>
  <r>
    <s v="24-Nov-2025"/>
    <x v="0"/>
    <s v="Week4-Nov-2025"/>
    <x v="2"/>
    <s v="23-Dec-2025"/>
    <s v="Tuesday"/>
    <s v="Weekly - Tuesday"/>
    <s v="Weekly - Tuesday"/>
    <s v="Month+1 Expiry"/>
    <n v="8441"/>
    <n v="1667.9"/>
    <n v="12.01"/>
  </r>
  <r>
    <s v="24-Nov-2025"/>
    <x v="0"/>
    <s v="Week4-Nov-2025"/>
    <x v="2"/>
    <s v="30-Dec-2025"/>
    <s v="Tuesday"/>
    <s v="Monthly - Tuesday"/>
    <s v="Monthly - Tuesday"/>
    <s v="Month+1 Expiry"/>
    <n v="800864"/>
    <n v="157701.88"/>
    <n v="1458.04"/>
  </r>
  <r>
    <s v="24-Nov-2025"/>
    <x v="0"/>
    <s v="Week4-Nov-2025"/>
    <x v="2"/>
    <s v="27-Jan-2026"/>
    <s v="Tuesday"/>
    <s v="Monthly - Tuesday"/>
    <s v="Monthly - Tuesday"/>
    <s v="Month+2 Expiry"/>
    <n v="50116"/>
    <n v="8593.42"/>
    <n v="95.03"/>
  </r>
  <r>
    <s v="24-Nov-2025"/>
    <x v="0"/>
    <s v="Week4-Nov-2025"/>
    <x v="2"/>
    <s v="31-Mar-2026"/>
    <s v="Tuesday"/>
    <s v="Monthly - Tuesday"/>
    <s v="Monthly - Tuesday"/>
    <s v="Month+4 Expiry"/>
    <n v="24274"/>
    <n v="4833.91"/>
    <n v="103.04"/>
  </r>
  <r>
    <s v="24-Nov-2025"/>
    <x v="0"/>
    <s v="Week4-Nov-2025"/>
    <x v="2"/>
    <s v="30-Jun-2026"/>
    <s v="Tuesday"/>
    <s v="Monthly - Tuesday"/>
    <s v="Monthly - Tuesday"/>
    <s v="Month+7 Expiry"/>
    <n v="6662"/>
    <n v="1310.1099999999999"/>
    <n v="22.64"/>
  </r>
  <r>
    <s v="24-Nov-2025"/>
    <x v="0"/>
    <s v="Week4-Nov-2025"/>
    <x v="2"/>
    <s v="29-Sep-2026"/>
    <s v="Tuesday"/>
    <s v="Monthly - Tuesday"/>
    <s v="Monthly - Tuesday"/>
    <s v="Month+10 Expiry"/>
    <n v="58"/>
    <n v="10.85"/>
    <n v="0.14000000000000001"/>
  </r>
  <r>
    <s v="24-Nov-2025"/>
    <x v="0"/>
    <s v="Week4-Nov-2025"/>
    <x v="2"/>
    <s v="29-Dec-2026"/>
    <s v="Tuesday"/>
    <s v="Monthly - Tuesday"/>
    <s v="Monthly - Tuesday"/>
    <s v="Month+13 Expiry"/>
    <n v="3039"/>
    <n v="622.36"/>
    <n v="19.23"/>
  </r>
  <r>
    <s v="24-Nov-2025"/>
    <x v="0"/>
    <s v="Week4-Nov-2025"/>
    <x v="2"/>
    <s v="29-Jun-2027"/>
    <s v="Tuesday"/>
    <s v="Monthly - Tuesday"/>
    <s v="Monthly - Tuesday"/>
    <s v="Month+19 Expiry"/>
    <n v="0"/>
    <n v="0"/>
    <n v="0"/>
  </r>
  <r>
    <s v="24-Nov-2025"/>
    <x v="0"/>
    <s v="Week4-Nov-2025"/>
    <x v="2"/>
    <s v="28-Dec-2027"/>
    <s v="Tuesday"/>
    <s v="Monthly - Tuesday"/>
    <s v="Monthly - Tuesday"/>
    <s v="Month+25 Expiry"/>
    <n v="3"/>
    <n v="0.56999999999999995"/>
    <n v="0.01"/>
  </r>
  <r>
    <s v="24-Nov-2025"/>
    <x v="0"/>
    <s v="Week4-Nov-2025"/>
    <x v="2"/>
    <s v="27-Jun-2028"/>
    <s v="Tuesday"/>
    <s v="Monthly - Tuesday"/>
    <s v="Monthly - Tuesday"/>
    <s v="Month+31 Expiry"/>
    <n v="0"/>
    <n v="0"/>
    <n v="0"/>
  </r>
  <r>
    <s v="24-Nov-2025"/>
    <x v="0"/>
    <s v="Week4-Nov-2025"/>
    <x v="2"/>
    <s v="26-Dec-2028"/>
    <s v="Tuesday"/>
    <s v="Monthly - Tuesday"/>
    <s v="Monthly - Tuesday"/>
    <s v="Month+37 Expiry"/>
    <n v="4"/>
    <n v="0.82"/>
    <n v="0.03"/>
  </r>
  <r>
    <s v="24-Nov-2025"/>
    <x v="0"/>
    <s v="Week4-Nov-2025"/>
    <x v="2"/>
    <s v="26-Jun-2029"/>
    <s v="Tuesday"/>
    <s v="Monthly - Tuesday"/>
    <s v="Monthly - Tuesday"/>
    <s v="Month+43 Expiry"/>
    <n v="0"/>
    <n v="0"/>
    <n v="0"/>
  </r>
  <r>
    <s v="24-Nov-2025"/>
    <x v="0"/>
    <s v="Week4-Nov-2025"/>
    <x v="2"/>
    <s v="24-Dec-2029"/>
    <s v="Monday"/>
    <s v="Weekly - Monday"/>
    <s v="Weekly - Monday"/>
    <s v="Month+49 Expiry"/>
    <n v="0"/>
    <n v="0"/>
    <n v="0"/>
  </r>
  <r>
    <s v="24-Nov-2025"/>
    <x v="0"/>
    <s v="Week4-Nov-2025"/>
    <x v="2"/>
    <s v="25-Jun-2030"/>
    <s v="Tuesday"/>
    <s v="Monthly - Tuesday"/>
    <s v="Monthly - Tuesday"/>
    <s v="Month+55 Expiry"/>
    <n v="0"/>
    <n v="0"/>
    <n v="0"/>
  </r>
  <r>
    <s v="25-Nov-2025"/>
    <x v="1"/>
    <s v="Week4-Nov-2025"/>
    <x v="2"/>
    <s v="25-Nov-2025"/>
    <s v="Tuesday"/>
    <s v="Monthly - Tuesday"/>
    <s v="MDAW - Tuesday"/>
    <s v="Same Month Expiry"/>
    <n v="255047333"/>
    <n v="49741173.140000001"/>
    <n v="45082.04"/>
  </r>
  <r>
    <s v="25-Nov-2025"/>
    <x v="1"/>
    <s v="Week4-Nov-2025"/>
    <x v="2"/>
    <s v="02-Dec-2025"/>
    <s v="Tuesday"/>
    <s v="Weekly - Tuesday"/>
    <s v="Weekly - Tuesday"/>
    <s v="Month+1 Expiry"/>
    <n v="10102726"/>
    <n v="1981650.59"/>
    <n v="6121.9"/>
  </r>
  <r>
    <s v="25-Nov-2025"/>
    <x v="1"/>
    <s v="Week4-Nov-2025"/>
    <x v="2"/>
    <s v="09-Dec-2025"/>
    <s v="Tuesday"/>
    <s v="Weekly - Tuesday"/>
    <s v="Weekly - Tuesday"/>
    <s v="Month+1 Expiry"/>
    <n v="547642"/>
    <n v="107728.63"/>
    <n v="460.24"/>
  </r>
  <r>
    <s v="25-Nov-2025"/>
    <x v="1"/>
    <s v="Week4-Nov-2025"/>
    <x v="2"/>
    <s v="16-Dec-2025"/>
    <s v="Tuesday"/>
    <s v="Weekly - Tuesday"/>
    <s v="Weekly - Tuesday"/>
    <s v="Month+1 Expiry"/>
    <n v="36281"/>
    <n v="7138.94"/>
    <n v="36.65"/>
  </r>
  <r>
    <s v="25-Nov-2025"/>
    <x v="1"/>
    <s v="Week4-Nov-2025"/>
    <x v="2"/>
    <s v="23-Dec-2025"/>
    <s v="Tuesday"/>
    <s v="Weekly - Tuesday"/>
    <s v="Weekly - Tuesday"/>
    <s v="Month+1 Expiry"/>
    <n v="13356"/>
    <n v="2634.24"/>
    <n v="20.84"/>
  </r>
  <r>
    <s v="25-Nov-2025"/>
    <x v="1"/>
    <s v="Week4-Nov-2025"/>
    <x v="2"/>
    <s v="30-Dec-2025"/>
    <s v="Tuesday"/>
    <s v="Monthly - Tuesday"/>
    <s v="Monthly - Tuesday"/>
    <s v="Month+1 Expiry"/>
    <n v="1018659"/>
    <n v="201203.34"/>
    <n v="1687.9"/>
  </r>
  <r>
    <s v="25-Nov-2025"/>
    <x v="1"/>
    <s v="Week4-Nov-2025"/>
    <x v="2"/>
    <s v="27-Jan-2026"/>
    <s v="Tuesday"/>
    <s v="Monthly - Tuesday"/>
    <s v="Monthly - Tuesday"/>
    <s v="Month+2 Expiry"/>
    <n v="69739"/>
    <n v="11937.96"/>
    <n v="111.46"/>
  </r>
  <r>
    <s v="25-Nov-2025"/>
    <x v="1"/>
    <s v="Week4-Nov-2025"/>
    <x v="2"/>
    <s v="31-Mar-2026"/>
    <s v="Tuesday"/>
    <s v="Monthly - Tuesday"/>
    <s v="Monthly - Tuesday"/>
    <s v="Month+4 Expiry"/>
    <n v="20734"/>
    <n v="4117.62"/>
    <n v="60.39"/>
  </r>
  <r>
    <s v="25-Nov-2025"/>
    <x v="1"/>
    <s v="Week4-Nov-2025"/>
    <x v="2"/>
    <s v="30-Jun-2026"/>
    <s v="Tuesday"/>
    <s v="Monthly - Tuesday"/>
    <s v="Monthly - Tuesday"/>
    <s v="Month+7 Expiry"/>
    <n v="5437"/>
    <n v="1070.55"/>
    <n v="21.71"/>
  </r>
  <r>
    <s v="25-Nov-2025"/>
    <x v="1"/>
    <s v="Week4-Nov-2025"/>
    <x v="2"/>
    <s v="29-Sep-2026"/>
    <s v="Tuesday"/>
    <s v="Monthly - Tuesday"/>
    <s v="Monthly - Tuesday"/>
    <s v="Month+10 Expiry"/>
    <n v="40"/>
    <n v="7.36"/>
    <n v="0.09"/>
  </r>
  <r>
    <s v="25-Nov-2025"/>
    <x v="1"/>
    <s v="Week4-Nov-2025"/>
    <x v="2"/>
    <s v="29-Dec-2026"/>
    <s v="Tuesday"/>
    <s v="Monthly - Tuesday"/>
    <s v="Monthly - Tuesday"/>
    <s v="Month+13 Expiry"/>
    <n v="7435"/>
    <n v="1499.99"/>
    <n v="56.03"/>
  </r>
  <r>
    <s v="25-Nov-2025"/>
    <x v="1"/>
    <s v="Week4-Nov-2025"/>
    <x v="2"/>
    <s v="29-Jun-2027"/>
    <s v="Tuesday"/>
    <s v="Monthly - Tuesday"/>
    <s v="Monthly - Tuesday"/>
    <s v="Month+19 Expiry"/>
    <n v="0"/>
    <n v="0"/>
    <n v="0"/>
  </r>
  <r>
    <s v="25-Nov-2025"/>
    <x v="1"/>
    <s v="Week4-Nov-2025"/>
    <x v="2"/>
    <s v="28-Dec-2027"/>
    <s v="Tuesday"/>
    <s v="Monthly - Tuesday"/>
    <s v="Monthly - Tuesday"/>
    <s v="Month+25 Expiry"/>
    <n v="0"/>
    <n v="0"/>
    <n v="0"/>
  </r>
  <r>
    <s v="25-Nov-2025"/>
    <x v="1"/>
    <s v="Week4-Nov-2025"/>
    <x v="2"/>
    <s v="27-Jun-2028"/>
    <s v="Tuesday"/>
    <s v="Monthly - Tuesday"/>
    <s v="Monthly - Tuesday"/>
    <s v="Month+31 Expiry"/>
    <n v="0"/>
    <n v="0"/>
    <n v="0"/>
  </r>
  <r>
    <s v="25-Nov-2025"/>
    <x v="1"/>
    <s v="Week4-Nov-2025"/>
    <x v="2"/>
    <s v="26-Dec-2028"/>
    <s v="Tuesday"/>
    <s v="Monthly - Tuesday"/>
    <s v="Monthly - Tuesday"/>
    <s v="Month+37 Expiry"/>
    <n v="2"/>
    <n v="0.4"/>
    <n v="0.01"/>
  </r>
  <r>
    <s v="25-Nov-2025"/>
    <x v="1"/>
    <s v="Week4-Nov-2025"/>
    <x v="2"/>
    <s v="26-Jun-2029"/>
    <s v="Tuesday"/>
    <s v="Monthly - Tuesday"/>
    <s v="Monthly - Tuesday"/>
    <s v="Month+43 Expiry"/>
    <n v="0"/>
    <n v="0"/>
    <n v="0"/>
  </r>
  <r>
    <s v="25-Nov-2025"/>
    <x v="1"/>
    <s v="Week4-Nov-2025"/>
    <x v="2"/>
    <s v="24-Dec-2029"/>
    <s v="Monday"/>
    <s v="Weekly - Monday"/>
    <s v="Weekly - Monday"/>
    <s v="Month+49 Expiry"/>
    <n v="0"/>
    <n v="0"/>
    <n v="0"/>
  </r>
  <r>
    <s v="25-Nov-2025"/>
    <x v="1"/>
    <s v="Week4-Nov-2025"/>
    <x v="2"/>
    <s v="25-Jun-2030"/>
    <s v="Tuesday"/>
    <s v="Monthly - Tuesday"/>
    <s v="Monthly - Tuesday"/>
    <s v="Month+55 Expiry"/>
    <n v="0"/>
    <n v="0"/>
    <n v="0"/>
  </r>
  <r>
    <s v="26-Nov-2025"/>
    <x v="2"/>
    <s v="Week4-Nov-2025"/>
    <x v="2"/>
    <s v="02-Dec-2025"/>
    <s v="Tuesday"/>
    <s v="Weekly - Tuesday"/>
    <s v="Weekly - Tuesday"/>
    <s v="Month+1 Expiry"/>
    <n v="47884736"/>
    <n v="9401776.7599999998"/>
    <n v="27731.05"/>
  </r>
  <r>
    <s v="26-Nov-2025"/>
    <x v="2"/>
    <s v="Week4-Nov-2025"/>
    <x v="2"/>
    <s v="09-Dec-2025"/>
    <s v="Tuesday"/>
    <s v="Weekly - Tuesday"/>
    <s v="Weekly - Tuesday"/>
    <s v="Month+1 Expiry"/>
    <n v="1366420"/>
    <n v="268491.81"/>
    <n v="1049.3599999999999"/>
  </r>
  <r>
    <s v="26-Nov-2025"/>
    <x v="2"/>
    <s v="Week4-Nov-2025"/>
    <x v="2"/>
    <s v="16-Dec-2025"/>
    <s v="Tuesday"/>
    <s v="Weekly - Tuesday"/>
    <s v="Weekly - Tuesday"/>
    <s v="Month+1 Expiry"/>
    <n v="78250"/>
    <n v="15429.35"/>
    <n v="83.15"/>
  </r>
  <r>
    <s v="26-Nov-2025"/>
    <x v="2"/>
    <s v="Week4-Nov-2025"/>
    <x v="2"/>
    <s v="23-Dec-2025"/>
    <s v="Tuesday"/>
    <s v="Weekly - Tuesday"/>
    <s v="Weekly - Tuesday"/>
    <s v="Month+1 Expiry"/>
    <n v="19871"/>
    <n v="3926.26"/>
    <n v="27.81"/>
  </r>
  <r>
    <s v="26-Nov-2025"/>
    <x v="2"/>
    <s v="Week4-Nov-2025"/>
    <x v="2"/>
    <s v="30-Dec-2025"/>
    <s v="Tuesday"/>
    <s v="Monthly - Tuesday"/>
    <s v="Monthly - Tuesday"/>
    <s v="Month+1 Expiry"/>
    <n v="1482545"/>
    <n v="291891.24"/>
    <n v="2276.5300000000002"/>
  </r>
  <r>
    <s v="26-Nov-2025"/>
    <x v="2"/>
    <s v="Week4-Nov-2025"/>
    <x v="2"/>
    <s v="27-Jan-2026"/>
    <s v="Tuesday"/>
    <s v="Monthly - Tuesday"/>
    <s v="Monthly - Tuesday"/>
    <s v="Month+2 Expiry"/>
    <n v="119692"/>
    <n v="20504.3"/>
    <n v="202.04"/>
  </r>
  <r>
    <s v="26-Nov-2025"/>
    <x v="2"/>
    <s v="Week4-Nov-2025"/>
    <x v="2"/>
    <s v="24-Feb-2026"/>
    <s v="Tuesday"/>
    <s v="Monthly - Tuesday"/>
    <s v="Monthly - Tuesday"/>
    <s v="Month+3 Expiry"/>
    <n v="8015"/>
    <n v="1358.73"/>
    <n v="15.65"/>
  </r>
  <r>
    <s v="26-Nov-2025"/>
    <x v="2"/>
    <s v="Week4-Nov-2025"/>
    <x v="2"/>
    <s v="31-Mar-2026"/>
    <s v="Tuesday"/>
    <s v="Monthly - Tuesday"/>
    <s v="Monthly - Tuesday"/>
    <s v="Month+4 Expiry"/>
    <n v="30755"/>
    <n v="5983.16"/>
    <n v="84.04"/>
  </r>
  <r>
    <s v="26-Nov-2025"/>
    <x v="2"/>
    <s v="Week4-Nov-2025"/>
    <x v="2"/>
    <s v="30-Jun-2026"/>
    <s v="Tuesday"/>
    <s v="Monthly - Tuesday"/>
    <s v="Monthly - Tuesday"/>
    <s v="Month+7 Expiry"/>
    <n v="8140"/>
    <n v="1599.11"/>
    <n v="32.08"/>
  </r>
  <r>
    <s v="26-Nov-2025"/>
    <x v="2"/>
    <s v="Week4-Nov-2025"/>
    <x v="2"/>
    <s v="29-Sep-2026"/>
    <s v="Tuesday"/>
    <s v="Monthly - Tuesday"/>
    <s v="Monthly - Tuesday"/>
    <s v="Month+10 Expiry"/>
    <n v="47"/>
    <n v="9.26"/>
    <n v="0.2"/>
  </r>
  <r>
    <s v="26-Nov-2025"/>
    <x v="2"/>
    <s v="Week4-Nov-2025"/>
    <x v="2"/>
    <s v="29-Dec-2026"/>
    <s v="Tuesday"/>
    <s v="Monthly - Tuesday"/>
    <s v="Monthly - Tuesday"/>
    <s v="Month+13 Expiry"/>
    <n v="5293"/>
    <n v="1086.0999999999999"/>
    <n v="38.61"/>
  </r>
  <r>
    <s v="26-Nov-2025"/>
    <x v="2"/>
    <s v="Week4-Nov-2025"/>
    <x v="2"/>
    <s v="29-Jun-2027"/>
    <s v="Tuesday"/>
    <s v="Monthly - Tuesday"/>
    <s v="Monthly - Tuesday"/>
    <s v="Month+19 Expiry"/>
    <n v="1"/>
    <n v="0.2"/>
    <n v="0.02"/>
  </r>
  <r>
    <s v="26-Nov-2025"/>
    <x v="2"/>
    <s v="Week4-Nov-2025"/>
    <x v="2"/>
    <s v="28-Dec-2027"/>
    <s v="Tuesday"/>
    <s v="Monthly - Tuesday"/>
    <s v="Monthly - Tuesday"/>
    <s v="Month+25 Expiry"/>
    <n v="12"/>
    <n v="2.36"/>
    <n v="7.0000000000000007E-2"/>
  </r>
  <r>
    <s v="26-Nov-2025"/>
    <x v="2"/>
    <s v="Week4-Nov-2025"/>
    <x v="2"/>
    <s v="27-Jun-2028"/>
    <s v="Tuesday"/>
    <s v="Monthly - Tuesday"/>
    <s v="Monthly - Tuesday"/>
    <s v="Month+31 Expiry"/>
    <n v="0"/>
    <n v="0"/>
    <n v="0"/>
  </r>
  <r>
    <s v="26-Nov-2025"/>
    <x v="2"/>
    <s v="Week4-Nov-2025"/>
    <x v="2"/>
    <s v="26-Dec-2028"/>
    <s v="Tuesday"/>
    <s v="Monthly - Tuesday"/>
    <s v="Monthly - Tuesday"/>
    <s v="Month+37 Expiry"/>
    <n v="0"/>
    <n v="0"/>
    <n v="0"/>
  </r>
  <r>
    <s v="26-Nov-2025"/>
    <x v="2"/>
    <s v="Week4-Nov-2025"/>
    <x v="2"/>
    <s v="26-Jun-2029"/>
    <s v="Tuesday"/>
    <s v="Monthly - Tuesday"/>
    <s v="Monthly - Tuesday"/>
    <s v="Month+43 Expiry"/>
    <n v="0"/>
    <n v="0"/>
    <n v="0"/>
  </r>
  <r>
    <s v="26-Nov-2025"/>
    <x v="2"/>
    <s v="Week4-Nov-2025"/>
    <x v="2"/>
    <s v="24-Dec-2029"/>
    <s v="Monday"/>
    <s v="Weekly - Monday"/>
    <s v="Weekly - Monday"/>
    <s v="Month+49 Expiry"/>
    <n v="0"/>
    <n v="0"/>
    <n v="0"/>
  </r>
  <r>
    <s v="26-Nov-2025"/>
    <x v="2"/>
    <s v="Week4-Nov-2025"/>
    <x v="2"/>
    <s v="25-Jun-2030"/>
    <s v="Tuesday"/>
    <s v="Monthly - Tuesday"/>
    <s v="Monthly - Tuesday"/>
    <s v="Month+55 Expiry"/>
    <n v="0"/>
    <n v="0"/>
    <n v="0"/>
  </r>
  <r>
    <s v="27-Nov-2025"/>
    <x v="3"/>
    <s v="Week4-Nov-2025"/>
    <x v="2"/>
    <s v="02-Dec-2025"/>
    <s v="Tuesday"/>
    <s v="Weekly - Tuesday"/>
    <s v="Weekly - Tuesday"/>
    <s v="Month+1 Expiry"/>
    <n v="55918264"/>
    <n v="11011592.779999999"/>
    <n v="28319.5"/>
  </r>
  <r>
    <s v="27-Nov-2025"/>
    <x v="3"/>
    <s v="Week4-Nov-2025"/>
    <x v="2"/>
    <s v="09-Dec-2025"/>
    <s v="Tuesday"/>
    <s v="Weekly - Tuesday"/>
    <s v="Weekly - Tuesday"/>
    <s v="Month+1 Expiry"/>
    <n v="1797566"/>
    <n v="355402.23999999999"/>
    <n v="1287.94"/>
  </r>
  <r>
    <s v="27-Nov-2025"/>
    <x v="3"/>
    <s v="Week4-Nov-2025"/>
    <x v="2"/>
    <s v="16-Dec-2025"/>
    <s v="Tuesday"/>
    <s v="Weekly - Tuesday"/>
    <s v="Weekly - Tuesday"/>
    <s v="Month+1 Expiry"/>
    <n v="103668"/>
    <n v="20561.88"/>
    <n v="106.66"/>
  </r>
  <r>
    <s v="27-Nov-2025"/>
    <x v="3"/>
    <s v="Week4-Nov-2025"/>
    <x v="2"/>
    <s v="23-Dec-2025"/>
    <s v="Tuesday"/>
    <s v="Weekly - Tuesday"/>
    <s v="Weekly - Tuesday"/>
    <s v="Month+1 Expiry"/>
    <n v="22212"/>
    <n v="4412.92"/>
    <n v="29.38"/>
  </r>
  <r>
    <s v="27-Nov-2025"/>
    <x v="3"/>
    <s v="Week4-Nov-2025"/>
    <x v="2"/>
    <s v="30-Dec-2025"/>
    <s v="Tuesday"/>
    <s v="Monthly - Tuesday"/>
    <s v="Monthly - Tuesday"/>
    <s v="Month+1 Expiry"/>
    <n v="1252510"/>
    <n v="246666.53"/>
    <n v="1756.74"/>
  </r>
  <r>
    <s v="27-Nov-2025"/>
    <x v="3"/>
    <s v="Week4-Nov-2025"/>
    <x v="2"/>
    <s v="27-Jan-2026"/>
    <s v="Tuesday"/>
    <s v="Monthly - Tuesday"/>
    <s v="Monthly - Tuesday"/>
    <s v="Month+2 Expiry"/>
    <n v="107355"/>
    <n v="18377.07"/>
    <n v="177.59"/>
  </r>
  <r>
    <s v="27-Nov-2025"/>
    <x v="3"/>
    <s v="Week4-Nov-2025"/>
    <x v="2"/>
    <s v="24-Feb-2026"/>
    <s v="Tuesday"/>
    <s v="Monthly - Tuesday"/>
    <s v="Monthly - Tuesday"/>
    <s v="Month+3 Expiry"/>
    <n v="13533"/>
    <n v="2286.31"/>
    <n v="21.08"/>
  </r>
  <r>
    <s v="27-Nov-2025"/>
    <x v="3"/>
    <s v="Week4-Nov-2025"/>
    <x v="2"/>
    <s v="31-Mar-2026"/>
    <s v="Tuesday"/>
    <s v="Monthly - Tuesday"/>
    <s v="Monthly - Tuesday"/>
    <s v="Month+4 Expiry"/>
    <n v="33193"/>
    <n v="6508.59"/>
    <n v="98.33"/>
  </r>
  <r>
    <s v="27-Nov-2025"/>
    <x v="3"/>
    <s v="Week4-Nov-2025"/>
    <x v="2"/>
    <s v="30-Jun-2026"/>
    <s v="Tuesday"/>
    <s v="Monthly - Tuesday"/>
    <s v="Monthly - Tuesday"/>
    <s v="Month+7 Expiry"/>
    <n v="9984"/>
    <n v="1975.4"/>
    <n v="40.86"/>
  </r>
  <r>
    <s v="27-Nov-2025"/>
    <x v="3"/>
    <s v="Week4-Nov-2025"/>
    <x v="2"/>
    <s v="29-Sep-2026"/>
    <s v="Tuesday"/>
    <s v="Monthly - Tuesday"/>
    <s v="Monthly - Tuesday"/>
    <s v="Month+10 Expiry"/>
    <n v="64"/>
    <n v="12.34"/>
    <n v="0.21"/>
  </r>
  <r>
    <s v="27-Nov-2025"/>
    <x v="3"/>
    <s v="Week4-Nov-2025"/>
    <x v="2"/>
    <s v="29-Dec-2026"/>
    <s v="Tuesday"/>
    <s v="Monthly - Tuesday"/>
    <s v="Monthly - Tuesday"/>
    <s v="Month+13 Expiry"/>
    <n v="4620"/>
    <n v="925.19"/>
    <n v="29.4"/>
  </r>
  <r>
    <s v="27-Nov-2025"/>
    <x v="3"/>
    <s v="Week4-Nov-2025"/>
    <x v="2"/>
    <s v="29-Jun-2027"/>
    <s v="Tuesday"/>
    <s v="Monthly - Tuesday"/>
    <s v="Monthly - Tuesday"/>
    <s v="Month+19 Expiry"/>
    <n v="0"/>
    <n v="0"/>
    <n v="0"/>
  </r>
  <r>
    <s v="27-Nov-2025"/>
    <x v="3"/>
    <s v="Week4-Nov-2025"/>
    <x v="2"/>
    <s v="28-Dec-2027"/>
    <s v="Tuesday"/>
    <s v="Monthly - Tuesday"/>
    <s v="Monthly - Tuesday"/>
    <s v="Month+25 Expiry"/>
    <n v="9"/>
    <n v="1.77"/>
    <n v="0.05"/>
  </r>
  <r>
    <s v="27-Nov-2025"/>
    <x v="3"/>
    <s v="Week4-Nov-2025"/>
    <x v="2"/>
    <s v="27-Jun-2028"/>
    <s v="Tuesday"/>
    <s v="Monthly - Tuesday"/>
    <s v="Monthly - Tuesday"/>
    <s v="Month+31 Expiry"/>
    <n v="0"/>
    <n v="0"/>
    <n v="0"/>
  </r>
  <r>
    <s v="27-Nov-2025"/>
    <x v="3"/>
    <s v="Week4-Nov-2025"/>
    <x v="2"/>
    <s v="26-Dec-2028"/>
    <s v="Tuesday"/>
    <s v="Monthly - Tuesday"/>
    <s v="Monthly - Tuesday"/>
    <s v="Month+37 Expiry"/>
    <n v="5"/>
    <n v="1.01"/>
    <n v="0.03"/>
  </r>
  <r>
    <s v="27-Nov-2025"/>
    <x v="3"/>
    <s v="Week4-Nov-2025"/>
    <x v="2"/>
    <s v="26-Jun-2029"/>
    <s v="Tuesday"/>
    <s v="Monthly - Tuesday"/>
    <s v="Monthly - Tuesday"/>
    <s v="Month+43 Expiry"/>
    <n v="0"/>
    <n v="0"/>
    <n v="0"/>
  </r>
  <r>
    <s v="27-Nov-2025"/>
    <x v="3"/>
    <s v="Week4-Nov-2025"/>
    <x v="2"/>
    <s v="24-Dec-2029"/>
    <s v="Monday"/>
    <s v="Weekly - Monday"/>
    <s v="Weekly - Monday"/>
    <s v="Month+49 Expiry"/>
    <n v="0"/>
    <n v="0"/>
    <n v="0"/>
  </r>
  <r>
    <s v="27-Nov-2025"/>
    <x v="3"/>
    <s v="Week4-Nov-2025"/>
    <x v="2"/>
    <s v="25-Jun-2030"/>
    <s v="Tuesday"/>
    <s v="Monthly - Tuesday"/>
    <s v="Monthly - Tuesday"/>
    <s v="Month+55 Expiry"/>
    <n v="0"/>
    <n v="0"/>
    <n v="0"/>
  </r>
  <r>
    <s v="28-Nov-2025"/>
    <x v="4"/>
    <s v="Week4-Nov-2025"/>
    <x v="2"/>
    <s v="02-Dec-2025"/>
    <s v="Tuesday"/>
    <s v="Weekly - Tuesday"/>
    <s v="Weekly - Tuesday"/>
    <s v="Month+1 Expiry"/>
    <n v="77102046"/>
    <n v="15181540.09"/>
    <n v="35052.93"/>
  </r>
  <r>
    <s v="28-Nov-2025"/>
    <x v="4"/>
    <s v="Week4-Nov-2025"/>
    <x v="2"/>
    <s v="09-Dec-2025"/>
    <s v="Tuesday"/>
    <s v="Weekly - Tuesday"/>
    <s v="Weekly - Tuesday"/>
    <s v="Month+1 Expiry"/>
    <n v="1979306"/>
    <n v="390931.02"/>
    <n v="1244.06"/>
  </r>
  <r>
    <s v="28-Nov-2025"/>
    <x v="4"/>
    <s v="Week4-Nov-2025"/>
    <x v="2"/>
    <s v="16-Dec-2025"/>
    <s v="Tuesday"/>
    <s v="Weekly - Tuesday"/>
    <s v="Weekly - Tuesday"/>
    <s v="Month+1 Expiry"/>
    <n v="116529"/>
    <n v="23066.31"/>
    <n v="107.13"/>
  </r>
  <r>
    <s v="28-Nov-2025"/>
    <x v="4"/>
    <s v="Week4-Nov-2025"/>
    <x v="2"/>
    <s v="23-Dec-2025"/>
    <s v="Tuesday"/>
    <s v="Weekly - Tuesday"/>
    <s v="Weekly - Tuesday"/>
    <s v="Month+1 Expiry"/>
    <n v="17610"/>
    <n v="3478.92"/>
    <n v="15.11"/>
  </r>
  <r>
    <s v="28-Nov-2025"/>
    <x v="4"/>
    <s v="Week4-Nov-2025"/>
    <x v="2"/>
    <s v="30-Dec-2025"/>
    <s v="Tuesday"/>
    <s v="Monthly - Tuesday"/>
    <s v="Monthly - Tuesday"/>
    <s v="Month+1 Expiry"/>
    <n v="835820"/>
    <n v="163611.87"/>
    <n v="1068.27"/>
  </r>
  <r>
    <s v="28-Nov-2025"/>
    <x v="4"/>
    <s v="Week4-Nov-2025"/>
    <x v="2"/>
    <s v="27-Jan-2026"/>
    <s v="Tuesday"/>
    <s v="Monthly - Tuesday"/>
    <s v="Monthly - Tuesday"/>
    <s v="Month+2 Expiry"/>
    <n v="59376"/>
    <n v="10166.879999999999"/>
    <n v="97.39"/>
  </r>
  <r>
    <s v="28-Nov-2025"/>
    <x v="4"/>
    <s v="Week4-Nov-2025"/>
    <x v="2"/>
    <s v="24-Feb-2026"/>
    <s v="Tuesday"/>
    <s v="Monthly - Tuesday"/>
    <s v="Monthly - Tuesday"/>
    <s v="Month+3 Expiry"/>
    <n v="9533"/>
    <n v="1619.55"/>
    <n v="15.47"/>
  </r>
  <r>
    <s v="28-Nov-2025"/>
    <x v="4"/>
    <s v="Week4-Nov-2025"/>
    <x v="2"/>
    <s v="31-Mar-2026"/>
    <s v="Tuesday"/>
    <s v="Monthly - Tuesday"/>
    <s v="Monthly - Tuesday"/>
    <s v="Month+4 Expiry"/>
    <n v="18808"/>
    <n v="3746.49"/>
    <n v="61.12"/>
  </r>
  <r>
    <s v="28-Nov-2025"/>
    <x v="4"/>
    <s v="Week4-Nov-2025"/>
    <x v="2"/>
    <s v="30-Jun-2026"/>
    <s v="Tuesday"/>
    <s v="Monthly - Tuesday"/>
    <s v="Monthly - Tuesday"/>
    <s v="Month+7 Expiry"/>
    <n v="10106"/>
    <n v="1967.16"/>
    <n v="30.98"/>
  </r>
  <r>
    <s v="28-Nov-2025"/>
    <x v="4"/>
    <s v="Week4-Nov-2025"/>
    <x v="2"/>
    <s v="29-Sep-2026"/>
    <s v="Tuesday"/>
    <s v="Monthly - Tuesday"/>
    <s v="Monthly - Tuesday"/>
    <s v="Month+10 Expiry"/>
    <n v="54"/>
    <n v="10.29"/>
    <n v="0.15"/>
  </r>
  <r>
    <s v="28-Nov-2025"/>
    <x v="4"/>
    <s v="Week4-Nov-2025"/>
    <x v="2"/>
    <s v="29-Dec-2026"/>
    <s v="Tuesday"/>
    <s v="Monthly - Tuesday"/>
    <s v="Monthly - Tuesday"/>
    <s v="Month+13 Expiry"/>
    <n v="4893"/>
    <n v="909.89"/>
    <n v="18.22"/>
  </r>
  <r>
    <s v="28-Nov-2025"/>
    <x v="4"/>
    <s v="Week4-Nov-2025"/>
    <x v="2"/>
    <s v="29-Jun-2027"/>
    <s v="Tuesday"/>
    <s v="Monthly - Tuesday"/>
    <s v="Monthly - Tuesday"/>
    <s v="Month+19 Expiry"/>
    <n v="1"/>
    <n v="0.21"/>
    <n v="0.03"/>
  </r>
  <r>
    <s v="28-Nov-2025"/>
    <x v="4"/>
    <s v="Week4-Nov-2025"/>
    <x v="2"/>
    <s v="28-Dec-2027"/>
    <s v="Tuesday"/>
    <s v="Monthly - Tuesday"/>
    <s v="Monthly - Tuesday"/>
    <s v="Month+25 Expiry"/>
    <n v="4"/>
    <n v="0.8"/>
    <n v="0.02"/>
  </r>
  <r>
    <s v="28-Nov-2025"/>
    <x v="4"/>
    <s v="Week4-Nov-2025"/>
    <x v="2"/>
    <s v="27-Jun-2028"/>
    <s v="Tuesday"/>
    <s v="Monthly - Tuesday"/>
    <s v="Monthly - Tuesday"/>
    <s v="Month+31 Expiry"/>
    <n v="0"/>
    <n v="0"/>
    <n v="0"/>
  </r>
  <r>
    <s v="28-Nov-2025"/>
    <x v="4"/>
    <s v="Week4-Nov-2025"/>
    <x v="2"/>
    <s v="26-Dec-2028"/>
    <s v="Tuesday"/>
    <s v="Monthly - Tuesday"/>
    <s v="Monthly - Tuesday"/>
    <s v="Month+37 Expiry"/>
    <n v="4"/>
    <n v="0.81"/>
    <n v="0.03"/>
  </r>
  <r>
    <s v="28-Nov-2025"/>
    <x v="4"/>
    <s v="Week4-Nov-2025"/>
    <x v="2"/>
    <s v="26-Jun-2029"/>
    <s v="Tuesday"/>
    <s v="Monthly - Tuesday"/>
    <s v="Monthly - Tuesday"/>
    <s v="Month+43 Expiry"/>
    <n v="0"/>
    <n v="0"/>
    <n v="0"/>
  </r>
  <r>
    <s v="28-Nov-2025"/>
    <x v="4"/>
    <s v="Week4-Nov-2025"/>
    <x v="2"/>
    <s v="24-Dec-2029"/>
    <s v="Monday"/>
    <s v="Weekly - Monday"/>
    <s v="Weekly - Monday"/>
    <s v="Month+49 Expiry"/>
    <n v="0"/>
    <n v="0"/>
    <n v="0"/>
  </r>
  <r>
    <s v="28-Nov-2025"/>
    <x v="4"/>
    <s v="Week4-Nov-2025"/>
    <x v="2"/>
    <s v="25-Jun-2030"/>
    <s v="Tuesday"/>
    <s v="Monthly - Tuesday"/>
    <s v="Monthly - Tuesday"/>
    <s v="Month+55 Expiry"/>
    <n v="0"/>
    <n v="0"/>
    <n v="0"/>
  </r>
  <r>
    <s v="01-Dec-2025"/>
    <x v="0"/>
    <s v="Week1-Dec-2025"/>
    <x v="3"/>
    <s v="02-Dec-2025"/>
    <s v="Tuesday"/>
    <s v="Weekly - Tuesday"/>
    <s v="Weekly - Tuesday"/>
    <s v="Same Month Expiry"/>
    <n v="129196931"/>
    <n v="25436857.710000001"/>
    <n v="43618.86"/>
  </r>
  <r>
    <s v="01-Dec-2025"/>
    <x v="0"/>
    <s v="Week1-Dec-2025"/>
    <x v="3"/>
    <s v="09-Dec-2025"/>
    <s v="Tuesday"/>
    <s v="Weekly - Tuesday"/>
    <s v="Weekly - Tuesday"/>
    <s v="Same Month Expiry"/>
    <n v="4831528"/>
    <n v="953590.52"/>
    <n v="2931.09"/>
  </r>
  <r>
    <s v="01-Dec-2025"/>
    <x v="0"/>
    <s v="Week1-Dec-2025"/>
    <x v="3"/>
    <s v="16-Dec-2025"/>
    <s v="Tuesday"/>
    <s v="Weekly - Tuesday"/>
    <s v="Weekly - Tuesday"/>
    <s v="Same Month Expiry"/>
    <n v="302747"/>
    <n v="59954.91"/>
    <n v="254.93"/>
  </r>
  <r>
    <s v="01-Dec-2025"/>
    <x v="0"/>
    <s v="Week1-Dec-2025"/>
    <x v="3"/>
    <s v="23-Dec-2025"/>
    <s v="Tuesday"/>
    <s v="Weekly - Tuesday"/>
    <s v="Weekly - Tuesday"/>
    <s v="Same Month Expiry"/>
    <n v="30125"/>
    <n v="5958.18"/>
    <n v="26.84"/>
  </r>
  <r>
    <s v="01-Dec-2025"/>
    <x v="0"/>
    <s v="Week1-Dec-2025"/>
    <x v="3"/>
    <s v="30-Dec-2025"/>
    <s v="Tuesday"/>
    <s v="Monthly - Tuesday"/>
    <s v="Monthly - Tuesday"/>
    <s v="Same Month Expiry"/>
    <n v="1096531"/>
    <n v="215903.02"/>
    <n v="1462.69"/>
  </r>
  <r>
    <s v="01-Dec-2025"/>
    <x v="0"/>
    <s v="Week1-Dec-2025"/>
    <x v="3"/>
    <s v="27-Jan-2026"/>
    <s v="Tuesday"/>
    <s v="Monthly - Tuesday"/>
    <s v="Monthly - Tuesday"/>
    <s v="Month+1 Expiry"/>
    <n v="80007"/>
    <n v="13679.69"/>
    <n v="126.94"/>
  </r>
  <r>
    <s v="01-Dec-2025"/>
    <x v="0"/>
    <s v="Week1-Dec-2025"/>
    <x v="3"/>
    <s v="24-Feb-2026"/>
    <s v="Tuesday"/>
    <s v="Monthly - Tuesday"/>
    <s v="Monthly - Tuesday"/>
    <s v="Month+2 Expiry"/>
    <n v="15249"/>
    <n v="2572.2399999999998"/>
    <n v="24.59"/>
  </r>
  <r>
    <s v="01-Dec-2025"/>
    <x v="0"/>
    <s v="Week1-Dec-2025"/>
    <x v="3"/>
    <s v="31-Mar-2026"/>
    <s v="Tuesday"/>
    <s v="Monthly - Tuesday"/>
    <s v="Monthly - Tuesday"/>
    <s v="Month+3 Expiry"/>
    <n v="29194"/>
    <n v="5734.15"/>
    <n v="75.150000000000006"/>
  </r>
  <r>
    <s v="01-Dec-2025"/>
    <x v="0"/>
    <s v="Week1-Dec-2025"/>
    <x v="3"/>
    <s v="30-Jun-2026"/>
    <s v="Tuesday"/>
    <s v="Monthly - Tuesday"/>
    <s v="Monthly - Tuesday"/>
    <s v="Month+6 Expiry"/>
    <n v="5278"/>
    <n v="1056.97"/>
    <n v="20.7"/>
  </r>
  <r>
    <s v="01-Dec-2025"/>
    <x v="0"/>
    <s v="Week1-Dec-2025"/>
    <x v="3"/>
    <s v="29-Sep-2026"/>
    <s v="Tuesday"/>
    <s v="Monthly - Tuesday"/>
    <s v="Monthly - Tuesday"/>
    <s v="Month+9 Expiry"/>
    <n v="42"/>
    <n v="7.93"/>
    <n v="0.11"/>
  </r>
  <r>
    <s v="01-Dec-2025"/>
    <x v="0"/>
    <s v="Week1-Dec-2025"/>
    <x v="3"/>
    <s v="29-Dec-2026"/>
    <s v="Tuesday"/>
    <s v="Monthly - Tuesday"/>
    <s v="Monthly - Tuesday"/>
    <s v="Month+12 Expiry"/>
    <n v="2868"/>
    <n v="595.13"/>
    <n v="20.260000000000002"/>
  </r>
  <r>
    <s v="01-Dec-2025"/>
    <x v="0"/>
    <s v="Week1-Dec-2025"/>
    <x v="3"/>
    <s v="29-Jun-2027"/>
    <s v="Tuesday"/>
    <s v="Monthly - Tuesday"/>
    <s v="Monthly - Tuesday"/>
    <s v="Month+18 Expiry"/>
    <n v="1"/>
    <n v="0.22"/>
    <n v="0.04"/>
  </r>
  <r>
    <s v="01-Dec-2025"/>
    <x v="0"/>
    <s v="Week1-Dec-2025"/>
    <x v="3"/>
    <s v="28-Dec-2027"/>
    <s v="Tuesday"/>
    <s v="Monthly - Tuesday"/>
    <s v="Monthly - Tuesday"/>
    <s v="Month+24 Expiry"/>
    <n v="12"/>
    <n v="2.58"/>
    <n v="0.24"/>
  </r>
  <r>
    <s v="01-Dec-2025"/>
    <x v="0"/>
    <s v="Week1-Dec-2025"/>
    <x v="3"/>
    <s v="27-Jun-2028"/>
    <s v="Tuesday"/>
    <s v="Monthly - Tuesday"/>
    <s v="Monthly - Tuesday"/>
    <s v="Month+30 Expiry"/>
    <n v="0"/>
    <n v="0"/>
    <n v="0"/>
  </r>
  <r>
    <s v="01-Dec-2025"/>
    <x v="0"/>
    <s v="Week1-Dec-2025"/>
    <x v="3"/>
    <s v="26-Dec-2028"/>
    <s v="Tuesday"/>
    <s v="Monthly - Tuesday"/>
    <s v="Monthly - Tuesday"/>
    <s v="Month+36 Expiry"/>
    <n v="3"/>
    <n v="0.61"/>
    <n v="0.02"/>
  </r>
  <r>
    <s v="01-Dec-2025"/>
    <x v="0"/>
    <s v="Week1-Dec-2025"/>
    <x v="3"/>
    <s v="26-Jun-2029"/>
    <s v="Tuesday"/>
    <s v="Monthly - Tuesday"/>
    <s v="Monthly - Tuesday"/>
    <s v="Month+42 Expiry"/>
    <n v="0"/>
    <n v="0"/>
    <n v="0"/>
  </r>
  <r>
    <s v="01-Dec-2025"/>
    <x v="0"/>
    <s v="Week1-Dec-2025"/>
    <x v="3"/>
    <s v="24-Dec-2029"/>
    <s v="Monday"/>
    <s v="Weekly - Monday"/>
    <s v="Weekly - Monday"/>
    <s v="Month+48 Expiry"/>
    <n v="0"/>
    <n v="0"/>
    <n v="0"/>
  </r>
  <r>
    <s v="01-Dec-2025"/>
    <x v="0"/>
    <s v="Week1-Dec-2025"/>
    <x v="3"/>
    <s v="25-Jun-2030"/>
    <s v="Tuesday"/>
    <s v="Monthly - Tuesday"/>
    <s v="Monthly - Tuesday"/>
    <s v="Month+54 Expiry"/>
    <n v="0"/>
    <n v="0"/>
    <n v="0"/>
  </r>
  <r>
    <s v="02-Dec-2025"/>
    <x v="1"/>
    <s v="Week1-Dec-2025"/>
    <x v="3"/>
    <s v="02-Dec-2025"/>
    <s v="Tuesday"/>
    <s v="Weekly - Tuesday"/>
    <s v="Weekly - Tuesday"/>
    <s v="Same Month Expiry"/>
    <n v="275149286"/>
    <n v="53883027.560000002"/>
    <n v="48333.94"/>
  </r>
  <r>
    <s v="02-Dec-2025"/>
    <x v="1"/>
    <s v="Week1-Dec-2025"/>
    <x v="3"/>
    <s v="09-Dec-2025"/>
    <s v="Tuesday"/>
    <s v="Weekly - Tuesday"/>
    <s v="Weekly - Tuesday"/>
    <s v="Same Month Expiry"/>
    <n v="9411796"/>
    <n v="1855949.53"/>
    <n v="5201.17"/>
  </r>
  <r>
    <s v="02-Dec-2025"/>
    <x v="1"/>
    <s v="Week1-Dec-2025"/>
    <x v="3"/>
    <s v="16-Dec-2025"/>
    <s v="Tuesday"/>
    <s v="Weekly - Tuesday"/>
    <s v="Weekly - Tuesday"/>
    <s v="Same Month Expiry"/>
    <n v="412929"/>
    <n v="81627.789999999994"/>
    <n v="324.24"/>
  </r>
  <r>
    <s v="02-Dec-2025"/>
    <x v="1"/>
    <s v="Week1-Dec-2025"/>
    <x v="3"/>
    <s v="23-Dec-2025"/>
    <s v="Tuesday"/>
    <s v="Weekly - Tuesday"/>
    <s v="Weekly - Tuesday"/>
    <s v="Same Month Expiry"/>
    <n v="35666"/>
    <n v="7064.11"/>
    <n v="36.979999999999997"/>
  </r>
  <r>
    <s v="02-Dec-2025"/>
    <x v="1"/>
    <s v="Week1-Dec-2025"/>
    <x v="3"/>
    <s v="30-Dec-2025"/>
    <s v="Tuesday"/>
    <s v="Monthly - Tuesday"/>
    <s v="Monthly - Tuesday"/>
    <s v="Same Month Expiry"/>
    <n v="1163052"/>
    <n v="229646.62"/>
    <n v="1543.22"/>
  </r>
  <r>
    <s v="02-Dec-2025"/>
    <x v="1"/>
    <s v="Week1-Dec-2025"/>
    <x v="3"/>
    <s v="27-Jan-2026"/>
    <s v="Tuesday"/>
    <s v="Monthly - Tuesday"/>
    <s v="Monthly - Tuesday"/>
    <s v="Month+1 Expiry"/>
    <n v="83168"/>
    <n v="14359.53"/>
    <n v="127.41"/>
  </r>
  <r>
    <s v="02-Dec-2025"/>
    <x v="1"/>
    <s v="Week1-Dec-2025"/>
    <x v="3"/>
    <s v="24-Feb-2026"/>
    <s v="Tuesday"/>
    <s v="Monthly - Tuesday"/>
    <s v="Monthly - Tuesday"/>
    <s v="Month+2 Expiry"/>
    <n v="15653"/>
    <n v="2672.78"/>
    <n v="30.13"/>
  </r>
  <r>
    <s v="02-Dec-2025"/>
    <x v="1"/>
    <s v="Week1-Dec-2025"/>
    <x v="3"/>
    <s v="31-Mar-2026"/>
    <s v="Tuesday"/>
    <s v="Monthly - Tuesday"/>
    <s v="Monthly - Tuesday"/>
    <s v="Month+3 Expiry"/>
    <n v="21426"/>
    <n v="4249.0200000000004"/>
    <n v="68.22"/>
  </r>
  <r>
    <s v="02-Dec-2025"/>
    <x v="1"/>
    <s v="Week1-Dec-2025"/>
    <x v="3"/>
    <s v="30-Jun-2026"/>
    <s v="Tuesday"/>
    <s v="Monthly - Tuesday"/>
    <s v="Monthly - Tuesday"/>
    <s v="Month+6 Expiry"/>
    <n v="10393"/>
    <n v="2114.6999999999998"/>
    <n v="33.31"/>
  </r>
  <r>
    <s v="02-Dec-2025"/>
    <x v="1"/>
    <s v="Week1-Dec-2025"/>
    <x v="3"/>
    <s v="29-Sep-2026"/>
    <s v="Tuesday"/>
    <s v="Monthly - Tuesday"/>
    <s v="Monthly - Tuesday"/>
    <s v="Month+9 Expiry"/>
    <n v="3"/>
    <n v="0.59"/>
    <n v="0.01"/>
  </r>
  <r>
    <s v="02-Dec-2025"/>
    <x v="1"/>
    <s v="Week1-Dec-2025"/>
    <x v="3"/>
    <s v="29-Dec-2026"/>
    <s v="Tuesday"/>
    <s v="Monthly - Tuesday"/>
    <s v="Monthly - Tuesday"/>
    <s v="Month+12 Expiry"/>
    <n v="2023"/>
    <n v="413.28"/>
    <n v="13.95"/>
  </r>
  <r>
    <s v="02-Dec-2025"/>
    <x v="1"/>
    <s v="Week1-Dec-2025"/>
    <x v="3"/>
    <s v="29-Jun-2027"/>
    <s v="Tuesday"/>
    <s v="Monthly - Tuesday"/>
    <s v="Monthly - Tuesday"/>
    <s v="Month+18 Expiry"/>
    <n v="9"/>
    <n v="1.93"/>
    <n v="0.31"/>
  </r>
  <r>
    <s v="02-Dec-2025"/>
    <x v="1"/>
    <s v="Week1-Dec-2025"/>
    <x v="3"/>
    <s v="28-Dec-2027"/>
    <s v="Tuesday"/>
    <s v="Monthly - Tuesday"/>
    <s v="Monthly - Tuesday"/>
    <s v="Month+24 Expiry"/>
    <n v="10"/>
    <n v="1.99"/>
    <n v="0.12"/>
  </r>
  <r>
    <s v="02-Dec-2025"/>
    <x v="1"/>
    <s v="Week1-Dec-2025"/>
    <x v="3"/>
    <s v="27-Jun-2028"/>
    <s v="Tuesday"/>
    <s v="Monthly - Tuesday"/>
    <s v="Monthly - Tuesday"/>
    <s v="Month+30 Expiry"/>
    <n v="0"/>
    <n v="0"/>
    <n v="0"/>
  </r>
  <r>
    <s v="02-Dec-2025"/>
    <x v="1"/>
    <s v="Week1-Dec-2025"/>
    <x v="3"/>
    <s v="26-Dec-2028"/>
    <s v="Tuesday"/>
    <s v="Monthly - Tuesday"/>
    <s v="Monthly - Tuesday"/>
    <s v="Month+36 Expiry"/>
    <n v="15"/>
    <n v="3.07"/>
    <n v="0.11"/>
  </r>
  <r>
    <s v="02-Dec-2025"/>
    <x v="1"/>
    <s v="Week1-Dec-2025"/>
    <x v="3"/>
    <s v="26-Jun-2029"/>
    <s v="Tuesday"/>
    <s v="Monthly - Tuesday"/>
    <s v="Monthly - Tuesday"/>
    <s v="Month+42 Expiry"/>
    <n v="0"/>
    <n v="0"/>
    <n v="0"/>
  </r>
  <r>
    <s v="02-Dec-2025"/>
    <x v="1"/>
    <s v="Week1-Dec-2025"/>
    <x v="3"/>
    <s v="24-Dec-2029"/>
    <s v="Monday"/>
    <s v="Weekly - Monday"/>
    <s v="Weekly - Monday"/>
    <s v="Month+48 Expiry"/>
    <n v="20"/>
    <n v="4.05"/>
    <n v="0.15"/>
  </r>
  <r>
    <s v="02-Dec-2025"/>
    <x v="1"/>
    <s v="Week1-Dec-2025"/>
    <x v="3"/>
    <s v="25-Jun-2030"/>
    <s v="Tuesday"/>
    <s v="Monthly - Tuesday"/>
    <s v="Monthly - Tuesday"/>
    <s v="Month+54 Expiry"/>
    <n v="0"/>
    <n v="0"/>
    <n v="0"/>
  </r>
  <r>
    <s v="03-Dec-2025"/>
    <x v="2"/>
    <s v="Week1-Dec-2025"/>
    <x v="3"/>
    <s v="09-Dec-2025"/>
    <s v="Tuesday"/>
    <s v="Weekly - Tuesday"/>
    <s v="Weekly - Tuesday"/>
    <s v="Same Month Expiry"/>
    <n v="47350874"/>
    <n v="9272636.1099999994"/>
    <n v="26652.44"/>
  </r>
  <r>
    <s v="03-Dec-2025"/>
    <x v="2"/>
    <s v="Week1-Dec-2025"/>
    <x v="3"/>
    <s v="16-Dec-2025"/>
    <s v="Tuesday"/>
    <s v="Weekly - Tuesday"/>
    <s v="Weekly - Tuesday"/>
    <s v="Same Month Expiry"/>
    <n v="1020209"/>
    <n v="200615.91"/>
    <n v="763.81"/>
  </r>
  <r>
    <s v="03-Dec-2025"/>
    <x v="2"/>
    <s v="Week1-Dec-2025"/>
    <x v="3"/>
    <s v="23-Dec-2025"/>
    <s v="Tuesday"/>
    <s v="Weekly - Tuesday"/>
    <s v="Weekly - Tuesday"/>
    <s v="Same Month Expiry"/>
    <n v="69841"/>
    <n v="13763.41"/>
    <n v="73.650000000000006"/>
  </r>
  <r>
    <s v="03-Dec-2025"/>
    <x v="2"/>
    <s v="Week1-Dec-2025"/>
    <x v="3"/>
    <s v="30-Dec-2025"/>
    <s v="Tuesday"/>
    <s v="Monthly - Tuesday"/>
    <s v="Monthly - Tuesday"/>
    <s v="Same Month Expiry"/>
    <n v="1316491"/>
    <n v="259713.28"/>
    <n v="1653.36"/>
  </r>
  <r>
    <s v="03-Dec-2025"/>
    <x v="2"/>
    <s v="Week1-Dec-2025"/>
    <x v="3"/>
    <s v="06-Jan-2026"/>
    <s v="Tuesday"/>
    <s v="Weekly - Tuesday"/>
    <s v="Weekly - Tuesday"/>
    <s v="Month+1 Expiry"/>
    <n v="575"/>
    <n v="98.68"/>
    <n v="0.88"/>
  </r>
  <r>
    <s v="03-Dec-2025"/>
    <x v="2"/>
    <s v="Week1-Dec-2025"/>
    <x v="3"/>
    <s v="27-Jan-2026"/>
    <s v="Tuesday"/>
    <s v="Monthly - Tuesday"/>
    <s v="Monthly - Tuesday"/>
    <s v="Month+1 Expiry"/>
    <n v="102681"/>
    <n v="17667.71"/>
    <n v="155.93"/>
  </r>
  <r>
    <s v="03-Dec-2025"/>
    <x v="2"/>
    <s v="Week1-Dec-2025"/>
    <x v="3"/>
    <s v="24-Feb-2026"/>
    <s v="Tuesday"/>
    <s v="Monthly - Tuesday"/>
    <s v="Monthly - Tuesday"/>
    <s v="Month+2 Expiry"/>
    <n v="18888"/>
    <n v="3241.61"/>
    <n v="37.659999999999997"/>
  </r>
  <r>
    <s v="03-Dec-2025"/>
    <x v="2"/>
    <s v="Week1-Dec-2025"/>
    <x v="3"/>
    <s v="31-Mar-2026"/>
    <s v="Tuesday"/>
    <s v="Monthly - Tuesday"/>
    <s v="Monthly - Tuesday"/>
    <s v="Month+3 Expiry"/>
    <n v="23875"/>
    <n v="4751.1400000000003"/>
    <n v="89.26"/>
  </r>
  <r>
    <s v="03-Dec-2025"/>
    <x v="2"/>
    <s v="Week1-Dec-2025"/>
    <x v="3"/>
    <s v="30-Jun-2026"/>
    <s v="Tuesday"/>
    <s v="Monthly - Tuesday"/>
    <s v="Monthly - Tuesday"/>
    <s v="Month+6 Expiry"/>
    <n v="8879"/>
    <n v="1784.7"/>
    <n v="34.36"/>
  </r>
  <r>
    <s v="03-Dec-2025"/>
    <x v="2"/>
    <s v="Week1-Dec-2025"/>
    <x v="3"/>
    <s v="29-Sep-2026"/>
    <s v="Tuesday"/>
    <s v="Monthly - Tuesday"/>
    <s v="Monthly - Tuesday"/>
    <s v="Month+9 Expiry"/>
    <n v="17"/>
    <n v="3.19"/>
    <n v="0.05"/>
  </r>
  <r>
    <s v="03-Dec-2025"/>
    <x v="2"/>
    <s v="Week1-Dec-2025"/>
    <x v="3"/>
    <s v="29-Dec-2026"/>
    <s v="Tuesday"/>
    <s v="Monthly - Tuesday"/>
    <s v="Monthly - Tuesday"/>
    <s v="Month+12 Expiry"/>
    <n v="3444"/>
    <n v="698.06"/>
    <n v="20.81"/>
  </r>
  <r>
    <s v="03-Dec-2025"/>
    <x v="2"/>
    <s v="Week1-Dec-2025"/>
    <x v="3"/>
    <s v="29-Jun-2027"/>
    <s v="Tuesday"/>
    <s v="Monthly - Tuesday"/>
    <s v="Monthly - Tuesday"/>
    <s v="Month+18 Expiry"/>
    <n v="0"/>
    <n v="0"/>
    <n v="0"/>
  </r>
  <r>
    <s v="03-Dec-2025"/>
    <x v="2"/>
    <s v="Week1-Dec-2025"/>
    <x v="3"/>
    <s v="28-Dec-2027"/>
    <s v="Tuesday"/>
    <s v="Monthly - Tuesday"/>
    <s v="Monthly - Tuesday"/>
    <s v="Month+24 Expiry"/>
    <n v="14"/>
    <n v="2.85"/>
    <n v="0.11"/>
  </r>
  <r>
    <s v="03-Dec-2025"/>
    <x v="2"/>
    <s v="Week1-Dec-2025"/>
    <x v="3"/>
    <s v="27-Jun-2028"/>
    <s v="Tuesday"/>
    <s v="Monthly - Tuesday"/>
    <s v="Monthly - Tuesday"/>
    <s v="Month+30 Expiry"/>
    <n v="0"/>
    <n v="0"/>
    <n v="0"/>
  </r>
  <r>
    <s v="03-Dec-2025"/>
    <x v="2"/>
    <s v="Week1-Dec-2025"/>
    <x v="3"/>
    <s v="26-Dec-2028"/>
    <s v="Tuesday"/>
    <s v="Monthly - Tuesday"/>
    <s v="Monthly - Tuesday"/>
    <s v="Month+36 Expiry"/>
    <n v="9"/>
    <n v="1.82"/>
    <n v="0.06"/>
  </r>
  <r>
    <s v="03-Dec-2025"/>
    <x v="2"/>
    <s v="Week1-Dec-2025"/>
    <x v="3"/>
    <s v="26-Jun-2029"/>
    <s v="Tuesday"/>
    <s v="Monthly - Tuesday"/>
    <s v="Monthly - Tuesday"/>
    <s v="Month+42 Expiry"/>
    <n v="0"/>
    <n v="0"/>
    <n v="0"/>
  </r>
  <r>
    <s v="03-Dec-2025"/>
    <x v="2"/>
    <s v="Week1-Dec-2025"/>
    <x v="3"/>
    <s v="24-Dec-2029"/>
    <s v="Monday"/>
    <s v="Weekly - Monday"/>
    <s v="Weekly - Monday"/>
    <s v="Month+48 Expiry"/>
    <n v="0"/>
    <n v="0"/>
    <n v="0"/>
  </r>
  <r>
    <s v="03-Dec-2025"/>
    <x v="2"/>
    <s v="Week1-Dec-2025"/>
    <x v="3"/>
    <s v="25-Jun-2030"/>
    <s v="Tuesday"/>
    <s v="Monthly - Tuesday"/>
    <s v="Monthly - Tuesday"/>
    <s v="Month+54 Expiry"/>
    <n v="0"/>
    <n v="0"/>
    <n v="0"/>
  </r>
  <r>
    <s v="04-Dec-2025"/>
    <x v="3"/>
    <s v="Week1-Dec-2025"/>
    <x v="3"/>
    <s v="09-Dec-2025"/>
    <s v="Tuesday"/>
    <s v="Weekly - Tuesday"/>
    <s v="Weekly - Tuesday"/>
    <s v="Same Month Expiry"/>
    <n v="50710932"/>
    <n v="9921042.0199999996"/>
    <n v="24942.720000000001"/>
  </r>
  <r>
    <s v="04-Dec-2025"/>
    <x v="3"/>
    <s v="Week1-Dec-2025"/>
    <x v="3"/>
    <s v="16-Dec-2025"/>
    <s v="Tuesday"/>
    <s v="Weekly - Tuesday"/>
    <s v="Weekly - Tuesday"/>
    <s v="Same Month Expiry"/>
    <n v="1376176"/>
    <n v="270317.53999999998"/>
    <n v="1033.21"/>
  </r>
  <r>
    <s v="04-Dec-2025"/>
    <x v="3"/>
    <s v="Week1-Dec-2025"/>
    <x v="3"/>
    <s v="23-Dec-2025"/>
    <s v="Tuesday"/>
    <s v="Weekly - Tuesday"/>
    <s v="Weekly - Tuesday"/>
    <s v="Same Month Expiry"/>
    <n v="77956"/>
    <n v="15352.8"/>
    <n v="80.37"/>
  </r>
  <r>
    <s v="04-Dec-2025"/>
    <x v="3"/>
    <s v="Week1-Dec-2025"/>
    <x v="3"/>
    <s v="30-Dec-2025"/>
    <s v="Tuesday"/>
    <s v="Monthly - Tuesday"/>
    <s v="Monthly - Tuesday"/>
    <s v="Same Month Expiry"/>
    <n v="1070620"/>
    <n v="210614.52"/>
    <n v="1368"/>
  </r>
  <r>
    <s v="04-Dec-2025"/>
    <x v="3"/>
    <s v="Week1-Dec-2025"/>
    <x v="3"/>
    <s v="06-Jan-2026"/>
    <s v="Tuesday"/>
    <s v="Weekly - Tuesday"/>
    <s v="Weekly - Tuesday"/>
    <s v="Month+1 Expiry"/>
    <n v="1138"/>
    <n v="196.11"/>
    <n v="1.36"/>
  </r>
  <r>
    <s v="04-Dec-2025"/>
    <x v="3"/>
    <s v="Week1-Dec-2025"/>
    <x v="3"/>
    <s v="27-Jan-2026"/>
    <s v="Tuesday"/>
    <s v="Monthly - Tuesday"/>
    <s v="Monthly - Tuesday"/>
    <s v="Month+1 Expiry"/>
    <n v="88251"/>
    <n v="15075.68"/>
    <n v="129.94999999999999"/>
  </r>
  <r>
    <s v="04-Dec-2025"/>
    <x v="3"/>
    <s v="Week1-Dec-2025"/>
    <x v="3"/>
    <s v="24-Feb-2026"/>
    <s v="Tuesday"/>
    <s v="Monthly - Tuesday"/>
    <s v="Monthly - Tuesday"/>
    <s v="Month+2 Expiry"/>
    <n v="18637"/>
    <n v="3185.11"/>
    <n v="32.979999999999997"/>
  </r>
  <r>
    <s v="04-Dec-2025"/>
    <x v="3"/>
    <s v="Week1-Dec-2025"/>
    <x v="3"/>
    <s v="31-Mar-2026"/>
    <s v="Tuesday"/>
    <s v="Monthly - Tuesday"/>
    <s v="Monthly - Tuesday"/>
    <s v="Month+3 Expiry"/>
    <n v="22406"/>
    <n v="4473.8999999999996"/>
    <n v="70.17"/>
  </r>
  <r>
    <s v="04-Dec-2025"/>
    <x v="3"/>
    <s v="Week1-Dec-2025"/>
    <x v="3"/>
    <s v="30-Jun-2026"/>
    <s v="Tuesday"/>
    <s v="Monthly - Tuesday"/>
    <s v="Monthly - Tuesday"/>
    <s v="Month+6 Expiry"/>
    <n v="6417"/>
    <n v="1282.47"/>
    <n v="21.39"/>
  </r>
  <r>
    <s v="04-Dec-2025"/>
    <x v="3"/>
    <s v="Week1-Dec-2025"/>
    <x v="3"/>
    <s v="29-Sep-2026"/>
    <s v="Tuesday"/>
    <s v="Monthly - Tuesday"/>
    <s v="Monthly - Tuesday"/>
    <s v="Month+9 Expiry"/>
    <n v="51"/>
    <n v="9.69"/>
    <n v="0.15"/>
  </r>
  <r>
    <s v="04-Dec-2025"/>
    <x v="3"/>
    <s v="Week1-Dec-2025"/>
    <x v="3"/>
    <s v="29-Dec-2026"/>
    <s v="Tuesday"/>
    <s v="Monthly - Tuesday"/>
    <s v="Monthly - Tuesday"/>
    <s v="Month+12 Expiry"/>
    <n v="2192"/>
    <n v="459.33"/>
    <n v="17.809999999999999"/>
  </r>
  <r>
    <s v="04-Dec-2025"/>
    <x v="3"/>
    <s v="Week1-Dec-2025"/>
    <x v="3"/>
    <s v="29-Jun-2027"/>
    <s v="Tuesday"/>
    <s v="Monthly - Tuesday"/>
    <s v="Monthly - Tuesday"/>
    <s v="Month+18 Expiry"/>
    <n v="1"/>
    <n v="0.21"/>
    <n v="0.03"/>
  </r>
  <r>
    <s v="04-Dec-2025"/>
    <x v="3"/>
    <s v="Week1-Dec-2025"/>
    <x v="3"/>
    <s v="28-Dec-2027"/>
    <s v="Tuesday"/>
    <s v="Monthly - Tuesday"/>
    <s v="Monthly - Tuesday"/>
    <s v="Month+24 Expiry"/>
    <n v="8"/>
    <n v="1.73"/>
    <n v="0.16"/>
  </r>
  <r>
    <s v="04-Dec-2025"/>
    <x v="3"/>
    <s v="Week1-Dec-2025"/>
    <x v="3"/>
    <s v="27-Jun-2028"/>
    <s v="Tuesday"/>
    <s v="Monthly - Tuesday"/>
    <s v="Monthly - Tuesday"/>
    <s v="Month+30 Expiry"/>
    <n v="0"/>
    <n v="0"/>
    <n v="0"/>
  </r>
  <r>
    <s v="04-Dec-2025"/>
    <x v="3"/>
    <s v="Week1-Dec-2025"/>
    <x v="3"/>
    <s v="26-Dec-2028"/>
    <s v="Tuesday"/>
    <s v="Monthly - Tuesday"/>
    <s v="Monthly - Tuesday"/>
    <s v="Month+36 Expiry"/>
    <n v="2"/>
    <n v="0.39"/>
    <n v="0.01"/>
  </r>
  <r>
    <s v="04-Dec-2025"/>
    <x v="3"/>
    <s v="Week1-Dec-2025"/>
    <x v="3"/>
    <s v="26-Jun-2029"/>
    <s v="Tuesday"/>
    <s v="Monthly - Tuesday"/>
    <s v="Monthly - Tuesday"/>
    <s v="Month+42 Expiry"/>
    <n v="0"/>
    <n v="0"/>
    <n v="0"/>
  </r>
  <r>
    <s v="04-Dec-2025"/>
    <x v="3"/>
    <s v="Week1-Dec-2025"/>
    <x v="3"/>
    <s v="24-Dec-2029"/>
    <s v="Monday"/>
    <s v="Weekly - Monday"/>
    <s v="Weekly - Monday"/>
    <s v="Month+48 Expiry"/>
    <n v="0"/>
    <n v="0"/>
    <n v="0"/>
  </r>
  <r>
    <s v="04-Dec-2025"/>
    <x v="3"/>
    <s v="Week1-Dec-2025"/>
    <x v="3"/>
    <s v="25-Jun-2030"/>
    <s v="Tuesday"/>
    <s v="Monthly - Tuesday"/>
    <s v="Monthly - Tuesday"/>
    <s v="Month+54 Expiry"/>
    <n v="0"/>
    <n v="0"/>
    <n v="0"/>
  </r>
  <r>
    <s v="05-Dec-2025"/>
    <x v="4"/>
    <s v="Week1-Dec-2025"/>
    <x v="3"/>
    <s v="09-Dec-2025"/>
    <s v="Tuesday"/>
    <s v="Weekly - Tuesday"/>
    <s v="Weekly - Tuesday"/>
    <s v="Same Month Expiry"/>
    <n v="104321653"/>
    <n v="20455293.260000002"/>
    <n v="41664.19"/>
  </r>
  <r>
    <s v="05-Dec-2025"/>
    <x v="4"/>
    <s v="Week1-Dec-2025"/>
    <x v="3"/>
    <s v="16-Dec-2025"/>
    <s v="Tuesday"/>
    <s v="Weekly - Tuesday"/>
    <s v="Weekly - Tuesday"/>
    <s v="Same Month Expiry"/>
    <n v="2802860"/>
    <n v="551273.26"/>
    <n v="1839.27"/>
  </r>
  <r>
    <s v="05-Dec-2025"/>
    <x v="4"/>
    <s v="Week1-Dec-2025"/>
    <x v="3"/>
    <s v="23-Dec-2025"/>
    <s v="Tuesday"/>
    <s v="Weekly - Tuesday"/>
    <s v="Weekly - Tuesday"/>
    <s v="Same Month Expiry"/>
    <n v="192601"/>
    <n v="38015.660000000003"/>
    <n v="175.25"/>
  </r>
  <r>
    <s v="05-Dec-2025"/>
    <x v="4"/>
    <s v="Week1-Dec-2025"/>
    <x v="3"/>
    <s v="30-Dec-2025"/>
    <s v="Tuesday"/>
    <s v="Monthly - Tuesday"/>
    <s v="Monthly - Tuesday"/>
    <s v="Same Month Expiry"/>
    <n v="1577388"/>
    <n v="310568.63"/>
    <n v="1869.61"/>
  </r>
  <r>
    <s v="05-Dec-2025"/>
    <x v="4"/>
    <s v="Week1-Dec-2025"/>
    <x v="3"/>
    <s v="06-Jan-2026"/>
    <s v="Tuesday"/>
    <s v="Weekly - Tuesday"/>
    <s v="Weekly - Tuesday"/>
    <s v="Month+1 Expiry"/>
    <n v="2814"/>
    <n v="485.64"/>
    <n v="3.83"/>
  </r>
  <r>
    <s v="05-Dec-2025"/>
    <x v="4"/>
    <s v="Week1-Dec-2025"/>
    <x v="3"/>
    <s v="27-Jan-2026"/>
    <s v="Tuesday"/>
    <s v="Monthly - Tuesday"/>
    <s v="Monthly - Tuesday"/>
    <s v="Month+1 Expiry"/>
    <n v="171357"/>
    <n v="29219.09"/>
    <n v="222.79"/>
  </r>
  <r>
    <s v="05-Dec-2025"/>
    <x v="4"/>
    <s v="Week1-Dec-2025"/>
    <x v="3"/>
    <s v="24-Feb-2026"/>
    <s v="Tuesday"/>
    <s v="Monthly - Tuesday"/>
    <s v="Monthly - Tuesday"/>
    <s v="Month+2 Expiry"/>
    <n v="21432"/>
    <n v="3667.3"/>
    <n v="39.03"/>
  </r>
  <r>
    <s v="05-Dec-2025"/>
    <x v="4"/>
    <s v="Week1-Dec-2025"/>
    <x v="3"/>
    <s v="31-Mar-2026"/>
    <s v="Tuesday"/>
    <s v="Monthly - Tuesday"/>
    <s v="Monthly - Tuesday"/>
    <s v="Month+3 Expiry"/>
    <n v="27572"/>
    <n v="5442.15"/>
    <n v="76.569999999999993"/>
  </r>
  <r>
    <s v="05-Dec-2025"/>
    <x v="4"/>
    <s v="Week1-Dec-2025"/>
    <x v="3"/>
    <s v="30-Jun-2026"/>
    <s v="Tuesday"/>
    <s v="Monthly - Tuesday"/>
    <s v="Monthly - Tuesday"/>
    <s v="Month+6 Expiry"/>
    <n v="12922"/>
    <n v="2582.5500000000002"/>
    <n v="38.409999999999997"/>
  </r>
  <r>
    <s v="05-Dec-2025"/>
    <x v="4"/>
    <s v="Week1-Dec-2025"/>
    <x v="3"/>
    <s v="29-Sep-2026"/>
    <s v="Tuesday"/>
    <s v="Monthly - Tuesday"/>
    <s v="Monthly - Tuesday"/>
    <s v="Month+9 Expiry"/>
    <n v="82"/>
    <n v="15.69"/>
    <n v="0.28000000000000003"/>
  </r>
  <r>
    <s v="05-Dec-2025"/>
    <x v="4"/>
    <s v="Week1-Dec-2025"/>
    <x v="3"/>
    <s v="29-Dec-2026"/>
    <s v="Tuesday"/>
    <s v="Monthly - Tuesday"/>
    <s v="Monthly - Tuesday"/>
    <s v="Month+12 Expiry"/>
    <n v="6298"/>
    <n v="1210.31"/>
    <n v="29.18"/>
  </r>
  <r>
    <s v="05-Dec-2025"/>
    <x v="4"/>
    <s v="Week1-Dec-2025"/>
    <x v="3"/>
    <s v="29-Jun-2027"/>
    <s v="Tuesday"/>
    <s v="Monthly - Tuesday"/>
    <s v="Monthly - Tuesday"/>
    <s v="Month+18 Expiry"/>
    <n v="0"/>
    <n v="0"/>
    <n v="0"/>
  </r>
  <r>
    <s v="05-Dec-2025"/>
    <x v="4"/>
    <s v="Week1-Dec-2025"/>
    <x v="3"/>
    <s v="28-Dec-2027"/>
    <s v="Tuesday"/>
    <s v="Monthly - Tuesday"/>
    <s v="Monthly - Tuesday"/>
    <s v="Month+24 Expiry"/>
    <n v="2"/>
    <n v="0.4"/>
    <n v="0.01"/>
  </r>
  <r>
    <s v="05-Dec-2025"/>
    <x v="4"/>
    <s v="Week1-Dec-2025"/>
    <x v="3"/>
    <s v="27-Jun-2028"/>
    <s v="Tuesday"/>
    <s v="Monthly - Tuesday"/>
    <s v="Monthly - Tuesday"/>
    <s v="Month+30 Expiry"/>
    <n v="0"/>
    <n v="0"/>
    <n v="0"/>
  </r>
  <r>
    <s v="05-Dec-2025"/>
    <x v="4"/>
    <s v="Week1-Dec-2025"/>
    <x v="3"/>
    <s v="26-Dec-2028"/>
    <s v="Tuesday"/>
    <s v="Monthly - Tuesday"/>
    <s v="Monthly - Tuesday"/>
    <s v="Month+36 Expiry"/>
    <n v="2"/>
    <n v="0.41"/>
    <n v="0.01"/>
  </r>
  <r>
    <s v="05-Dec-2025"/>
    <x v="4"/>
    <s v="Week1-Dec-2025"/>
    <x v="3"/>
    <s v="26-Jun-2029"/>
    <s v="Tuesday"/>
    <s v="Monthly - Tuesday"/>
    <s v="Monthly - Tuesday"/>
    <s v="Month+42 Expiry"/>
    <n v="0"/>
    <n v="0"/>
    <n v="0"/>
  </r>
  <r>
    <s v="05-Dec-2025"/>
    <x v="4"/>
    <s v="Week1-Dec-2025"/>
    <x v="3"/>
    <s v="24-Dec-2029"/>
    <s v="Monday"/>
    <s v="Weekly - Monday"/>
    <s v="Weekly - Monday"/>
    <s v="Month+48 Expiry"/>
    <n v="0"/>
    <n v="0"/>
    <n v="0"/>
  </r>
  <r>
    <s v="05-Dec-2025"/>
    <x v="4"/>
    <s v="Week1-Dec-2025"/>
    <x v="3"/>
    <s v="25-Jun-2030"/>
    <s v="Tuesday"/>
    <s v="Monthly - Tuesday"/>
    <s v="Monthly - Tuesday"/>
    <s v="Month+54 Expiry"/>
    <n v="0"/>
    <n v="0"/>
    <n v="0"/>
  </r>
  <r>
    <s v="08-Dec-2025"/>
    <x v="0"/>
    <s v="Week2-Dec-2025"/>
    <x v="3"/>
    <s v="09-Dec-2025"/>
    <s v="Tuesday"/>
    <s v="Weekly - Tuesday"/>
    <s v="Weekly - Tuesday"/>
    <s v="Same Month Expiry"/>
    <n v="149462521"/>
    <n v="29274316.309999999"/>
    <n v="45670.26"/>
  </r>
  <r>
    <s v="08-Dec-2025"/>
    <x v="0"/>
    <s v="Week2-Dec-2025"/>
    <x v="3"/>
    <s v="16-Dec-2025"/>
    <s v="Tuesday"/>
    <s v="Weekly - Tuesday"/>
    <s v="Weekly - Tuesday"/>
    <s v="Same Month Expiry"/>
    <n v="5761246"/>
    <n v="1132965.3600000001"/>
    <n v="3271.7"/>
  </r>
  <r>
    <s v="08-Dec-2025"/>
    <x v="0"/>
    <s v="Week2-Dec-2025"/>
    <x v="3"/>
    <s v="23-Dec-2025"/>
    <s v="Tuesday"/>
    <s v="Weekly - Tuesday"/>
    <s v="Weekly - Tuesday"/>
    <s v="Same Month Expiry"/>
    <n v="334349"/>
    <n v="65925.36"/>
    <n v="292.27999999999997"/>
  </r>
  <r>
    <s v="08-Dec-2025"/>
    <x v="0"/>
    <s v="Week2-Dec-2025"/>
    <x v="3"/>
    <s v="30-Dec-2025"/>
    <s v="Tuesday"/>
    <s v="Monthly - Tuesday"/>
    <s v="Monthly - Tuesday"/>
    <s v="Same Month Expiry"/>
    <n v="1751787"/>
    <n v="344634.41"/>
    <n v="1985.51"/>
  </r>
  <r>
    <s v="08-Dec-2025"/>
    <x v="0"/>
    <s v="Week2-Dec-2025"/>
    <x v="3"/>
    <s v="06-Jan-2026"/>
    <s v="Tuesday"/>
    <s v="Weekly - Tuesday"/>
    <s v="Weekly - Tuesday"/>
    <s v="Month+1 Expiry"/>
    <n v="6798"/>
    <n v="1166.7"/>
    <n v="6.91"/>
  </r>
  <r>
    <s v="08-Dec-2025"/>
    <x v="0"/>
    <s v="Week2-Dec-2025"/>
    <x v="3"/>
    <s v="27-Jan-2026"/>
    <s v="Tuesday"/>
    <s v="Monthly - Tuesday"/>
    <s v="Monthly - Tuesday"/>
    <s v="Month+1 Expiry"/>
    <n v="182712"/>
    <n v="31276"/>
    <n v="235.96"/>
  </r>
  <r>
    <s v="08-Dec-2025"/>
    <x v="0"/>
    <s v="Week2-Dec-2025"/>
    <x v="3"/>
    <s v="24-Feb-2026"/>
    <s v="Tuesday"/>
    <s v="Monthly - Tuesday"/>
    <s v="Monthly - Tuesday"/>
    <s v="Month+2 Expiry"/>
    <n v="30043"/>
    <n v="5157.0200000000004"/>
    <n v="53.59"/>
  </r>
  <r>
    <s v="08-Dec-2025"/>
    <x v="0"/>
    <s v="Week2-Dec-2025"/>
    <x v="3"/>
    <s v="31-Mar-2026"/>
    <s v="Tuesday"/>
    <s v="Monthly - Tuesday"/>
    <s v="Monthly - Tuesday"/>
    <s v="Month+3 Expiry"/>
    <n v="31516"/>
    <n v="6238.66"/>
    <n v="80.900000000000006"/>
  </r>
  <r>
    <s v="08-Dec-2025"/>
    <x v="0"/>
    <s v="Week2-Dec-2025"/>
    <x v="3"/>
    <s v="30-Jun-2026"/>
    <s v="Tuesday"/>
    <s v="Monthly - Tuesday"/>
    <s v="Monthly - Tuesday"/>
    <s v="Month+6 Expiry"/>
    <n v="6713"/>
    <n v="1338.55"/>
    <n v="24.57"/>
  </r>
  <r>
    <s v="08-Dec-2025"/>
    <x v="0"/>
    <s v="Week2-Dec-2025"/>
    <x v="3"/>
    <s v="29-Sep-2026"/>
    <s v="Tuesday"/>
    <s v="Monthly - Tuesday"/>
    <s v="Monthly - Tuesday"/>
    <s v="Month+9 Expiry"/>
    <n v="117"/>
    <n v="22.48"/>
    <n v="0.33"/>
  </r>
  <r>
    <s v="08-Dec-2025"/>
    <x v="0"/>
    <s v="Week2-Dec-2025"/>
    <x v="3"/>
    <s v="29-Dec-2026"/>
    <s v="Tuesday"/>
    <s v="Monthly - Tuesday"/>
    <s v="Monthly - Tuesday"/>
    <s v="Month+12 Expiry"/>
    <n v="3251"/>
    <n v="658.64"/>
    <n v="21.04"/>
  </r>
  <r>
    <s v="08-Dec-2025"/>
    <x v="0"/>
    <s v="Week2-Dec-2025"/>
    <x v="3"/>
    <s v="29-Jun-2027"/>
    <s v="Tuesday"/>
    <s v="Monthly - Tuesday"/>
    <s v="Monthly - Tuesday"/>
    <s v="Month+18 Expiry"/>
    <n v="0"/>
    <n v="0"/>
    <n v="0"/>
  </r>
  <r>
    <s v="08-Dec-2025"/>
    <x v="0"/>
    <s v="Week2-Dec-2025"/>
    <x v="3"/>
    <s v="28-Dec-2027"/>
    <s v="Tuesday"/>
    <s v="Monthly - Tuesday"/>
    <s v="Monthly - Tuesday"/>
    <s v="Month+24 Expiry"/>
    <n v="23"/>
    <n v="4.46"/>
    <n v="0.15"/>
  </r>
  <r>
    <s v="08-Dec-2025"/>
    <x v="0"/>
    <s v="Week2-Dec-2025"/>
    <x v="3"/>
    <s v="27-Jun-2028"/>
    <s v="Tuesday"/>
    <s v="Monthly - Tuesday"/>
    <s v="Monthly - Tuesday"/>
    <s v="Month+30 Expiry"/>
    <n v="0"/>
    <n v="0"/>
    <n v="0"/>
  </r>
  <r>
    <s v="08-Dec-2025"/>
    <x v="0"/>
    <s v="Week2-Dec-2025"/>
    <x v="3"/>
    <s v="26-Dec-2028"/>
    <s v="Tuesday"/>
    <s v="Monthly - Tuesday"/>
    <s v="Monthly - Tuesday"/>
    <s v="Month+36 Expiry"/>
    <n v="1"/>
    <n v="0.19"/>
    <n v="0.01"/>
  </r>
  <r>
    <s v="08-Dec-2025"/>
    <x v="0"/>
    <s v="Week2-Dec-2025"/>
    <x v="3"/>
    <s v="26-Jun-2029"/>
    <s v="Tuesday"/>
    <s v="Monthly - Tuesday"/>
    <s v="Monthly - Tuesday"/>
    <s v="Month+42 Expiry"/>
    <n v="0"/>
    <n v="0"/>
    <n v="0"/>
  </r>
  <r>
    <s v="08-Dec-2025"/>
    <x v="0"/>
    <s v="Week2-Dec-2025"/>
    <x v="3"/>
    <s v="24-Dec-2029"/>
    <s v="Monday"/>
    <s v="Weekly - Monday"/>
    <s v="Weekly - Monday"/>
    <s v="Month+48 Expiry"/>
    <n v="0"/>
    <n v="0"/>
    <n v="0"/>
  </r>
  <r>
    <s v="08-Dec-2025"/>
    <x v="0"/>
    <s v="Week2-Dec-2025"/>
    <x v="3"/>
    <s v="25-Jun-2030"/>
    <s v="Tuesday"/>
    <s v="Monthly - Tuesday"/>
    <s v="Monthly - Tuesday"/>
    <s v="Month+54 Expiry"/>
    <n v="0"/>
    <n v="0"/>
    <n v="0"/>
  </r>
  <r>
    <s v="09-Dec-2025"/>
    <x v="1"/>
    <s v="Week2-Dec-2025"/>
    <x v="3"/>
    <s v="09-Dec-2025"/>
    <s v="Tuesday"/>
    <s v="Weekly - Tuesday"/>
    <s v="Weekly - Tuesday"/>
    <s v="Same Month Expiry"/>
    <n v="351882123"/>
    <n v="68349824.569999993"/>
    <n v="62982.97"/>
  </r>
  <r>
    <s v="09-Dec-2025"/>
    <x v="1"/>
    <s v="Week2-Dec-2025"/>
    <x v="3"/>
    <s v="16-Dec-2025"/>
    <s v="Tuesday"/>
    <s v="Weekly - Tuesday"/>
    <s v="Weekly - Tuesday"/>
    <s v="Same Month Expiry"/>
    <n v="12780373"/>
    <n v="2497846.7400000002"/>
    <n v="6949.76"/>
  </r>
  <r>
    <s v="09-Dec-2025"/>
    <x v="1"/>
    <s v="Week2-Dec-2025"/>
    <x v="3"/>
    <s v="23-Dec-2025"/>
    <s v="Tuesday"/>
    <s v="Weekly - Tuesday"/>
    <s v="Weekly - Tuesday"/>
    <s v="Same Month Expiry"/>
    <n v="459859"/>
    <n v="90166.97"/>
    <n v="374.44"/>
  </r>
  <r>
    <s v="09-Dec-2025"/>
    <x v="1"/>
    <s v="Week2-Dec-2025"/>
    <x v="3"/>
    <s v="30-Dec-2025"/>
    <s v="Tuesday"/>
    <s v="Monthly - Tuesday"/>
    <s v="Monthly - Tuesday"/>
    <s v="Same Month Expiry"/>
    <n v="1918113"/>
    <n v="375399.31"/>
    <n v="2166.92"/>
  </r>
  <r>
    <s v="09-Dec-2025"/>
    <x v="1"/>
    <s v="Week2-Dec-2025"/>
    <x v="3"/>
    <s v="06-Jan-2026"/>
    <s v="Tuesday"/>
    <s v="Weekly - Tuesday"/>
    <s v="Weekly - Tuesday"/>
    <s v="Month+1 Expiry"/>
    <n v="11914"/>
    <n v="2042.29"/>
    <n v="14.43"/>
  </r>
  <r>
    <s v="09-Dec-2025"/>
    <x v="1"/>
    <s v="Week2-Dec-2025"/>
    <x v="3"/>
    <s v="27-Jan-2026"/>
    <s v="Tuesday"/>
    <s v="Monthly - Tuesday"/>
    <s v="Monthly - Tuesday"/>
    <s v="Month+1 Expiry"/>
    <n v="233704"/>
    <n v="40023.18"/>
    <n v="364.32"/>
  </r>
  <r>
    <s v="09-Dec-2025"/>
    <x v="1"/>
    <s v="Week2-Dec-2025"/>
    <x v="3"/>
    <s v="24-Feb-2026"/>
    <s v="Tuesday"/>
    <s v="Monthly - Tuesday"/>
    <s v="Monthly - Tuesday"/>
    <s v="Month+2 Expiry"/>
    <n v="36864"/>
    <n v="6307.63"/>
    <n v="68.31"/>
  </r>
  <r>
    <s v="09-Dec-2025"/>
    <x v="1"/>
    <s v="Week2-Dec-2025"/>
    <x v="3"/>
    <s v="31-Mar-2026"/>
    <s v="Tuesday"/>
    <s v="Monthly - Tuesday"/>
    <s v="Monthly - Tuesday"/>
    <s v="Month+3 Expiry"/>
    <n v="34555"/>
    <n v="6876.74"/>
    <n v="101.14"/>
  </r>
  <r>
    <s v="09-Dec-2025"/>
    <x v="1"/>
    <s v="Week2-Dec-2025"/>
    <x v="3"/>
    <s v="30-Jun-2026"/>
    <s v="Tuesday"/>
    <s v="Monthly - Tuesday"/>
    <s v="Monthly - Tuesday"/>
    <s v="Month+6 Expiry"/>
    <n v="7864"/>
    <n v="1579.45"/>
    <n v="33.5"/>
  </r>
  <r>
    <s v="09-Dec-2025"/>
    <x v="1"/>
    <s v="Week2-Dec-2025"/>
    <x v="3"/>
    <s v="29-Sep-2026"/>
    <s v="Tuesday"/>
    <s v="Monthly - Tuesday"/>
    <s v="Monthly - Tuesday"/>
    <s v="Month+9 Expiry"/>
    <n v="62"/>
    <n v="12.07"/>
    <n v="0.21"/>
  </r>
  <r>
    <s v="09-Dec-2025"/>
    <x v="1"/>
    <s v="Week2-Dec-2025"/>
    <x v="3"/>
    <s v="29-Dec-2026"/>
    <s v="Tuesday"/>
    <s v="Monthly - Tuesday"/>
    <s v="Monthly - Tuesday"/>
    <s v="Month+12 Expiry"/>
    <n v="6471"/>
    <n v="1273.02"/>
    <n v="32.21"/>
  </r>
  <r>
    <s v="09-Dec-2025"/>
    <x v="1"/>
    <s v="Week2-Dec-2025"/>
    <x v="3"/>
    <s v="29-Jun-2027"/>
    <s v="Tuesday"/>
    <s v="Monthly - Tuesday"/>
    <s v="Monthly - Tuesday"/>
    <s v="Month+18 Expiry"/>
    <n v="0"/>
    <n v="0"/>
    <n v="0"/>
  </r>
  <r>
    <s v="09-Dec-2025"/>
    <x v="1"/>
    <s v="Week2-Dec-2025"/>
    <x v="3"/>
    <s v="28-Dec-2027"/>
    <s v="Tuesday"/>
    <s v="Monthly - Tuesday"/>
    <s v="Monthly - Tuesday"/>
    <s v="Month+24 Expiry"/>
    <n v="8"/>
    <n v="1.64"/>
    <n v="0.08"/>
  </r>
  <r>
    <s v="09-Dec-2025"/>
    <x v="1"/>
    <s v="Week2-Dec-2025"/>
    <x v="3"/>
    <s v="27-Jun-2028"/>
    <s v="Tuesday"/>
    <s v="Monthly - Tuesday"/>
    <s v="Monthly - Tuesday"/>
    <s v="Month+30 Expiry"/>
    <n v="0"/>
    <n v="0"/>
    <n v="0"/>
  </r>
  <r>
    <s v="09-Dec-2025"/>
    <x v="1"/>
    <s v="Week2-Dec-2025"/>
    <x v="3"/>
    <s v="26-Dec-2028"/>
    <s v="Tuesday"/>
    <s v="Monthly - Tuesday"/>
    <s v="Monthly - Tuesday"/>
    <s v="Month+36 Expiry"/>
    <n v="10"/>
    <n v="2.06"/>
    <n v="7.0000000000000007E-2"/>
  </r>
  <r>
    <s v="09-Dec-2025"/>
    <x v="1"/>
    <s v="Week2-Dec-2025"/>
    <x v="3"/>
    <s v="26-Jun-2029"/>
    <s v="Tuesday"/>
    <s v="Monthly - Tuesday"/>
    <s v="Monthly - Tuesday"/>
    <s v="Month+42 Expiry"/>
    <n v="0"/>
    <n v="0"/>
    <n v="0"/>
  </r>
  <r>
    <s v="09-Dec-2025"/>
    <x v="1"/>
    <s v="Week2-Dec-2025"/>
    <x v="3"/>
    <s v="24-Dec-2029"/>
    <s v="Monday"/>
    <s v="Weekly - Monday"/>
    <s v="Weekly - Monday"/>
    <s v="Month+48 Expiry"/>
    <n v="0"/>
    <n v="0"/>
    <n v="0"/>
  </r>
  <r>
    <s v="09-Dec-2025"/>
    <x v="1"/>
    <s v="Week2-Dec-2025"/>
    <x v="3"/>
    <s v="25-Jun-2030"/>
    <s v="Tuesday"/>
    <s v="Monthly - Tuesday"/>
    <s v="Monthly - Tuesday"/>
    <s v="Month+54 Expiry"/>
    <n v="0"/>
    <n v="0"/>
    <n v="0"/>
  </r>
  <r>
    <s v="10-Dec-2025"/>
    <x v="2"/>
    <s v="Week2-Dec-2025"/>
    <x v="3"/>
    <s v="16-Dec-2025"/>
    <s v="Tuesday"/>
    <s v="Weekly - Tuesday"/>
    <s v="Weekly - Tuesday"/>
    <s v="Same Month Expiry"/>
    <n v="62017240"/>
    <n v="12082256.91"/>
    <n v="34816.81"/>
  </r>
  <r>
    <s v="10-Dec-2025"/>
    <x v="2"/>
    <s v="Week2-Dec-2025"/>
    <x v="3"/>
    <s v="23-Dec-2025"/>
    <s v="Tuesday"/>
    <s v="Weekly - Tuesday"/>
    <s v="Weekly - Tuesday"/>
    <s v="Same Month Expiry"/>
    <n v="1088506"/>
    <n v="212511.73"/>
    <n v="790.11"/>
  </r>
  <r>
    <s v="10-Dec-2025"/>
    <x v="2"/>
    <s v="Week2-Dec-2025"/>
    <x v="3"/>
    <s v="30-Dec-2025"/>
    <s v="Tuesday"/>
    <s v="Monthly - Tuesday"/>
    <s v="Monthly - Tuesday"/>
    <s v="Same Month Expiry"/>
    <n v="1628557"/>
    <n v="319117.81"/>
    <n v="1741.29"/>
  </r>
  <r>
    <s v="10-Dec-2025"/>
    <x v="2"/>
    <s v="Week2-Dec-2025"/>
    <x v="3"/>
    <s v="06-Jan-2026"/>
    <s v="Tuesday"/>
    <s v="Weekly - Tuesday"/>
    <s v="Weekly - Tuesday"/>
    <s v="Month+1 Expiry"/>
    <n v="27470"/>
    <n v="4686.6400000000003"/>
    <n v="33.46"/>
  </r>
  <r>
    <s v="10-Dec-2025"/>
    <x v="2"/>
    <s v="Week2-Dec-2025"/>
    <x v="3"/>
    <s v="13-Jan-2026"/>
    <s v="Tuesday"/>
    <s v="Weekly - Tuesday"/>
    <s v="Weekly - Tuesday"/>
    <s v="Month+1 Expiry"/>
    <n v="152"/>
    <n v="26.2"/>
    <n v="0.2"/>
  </r>
  <r>
    <s v="10-Dec-2025"/>
    <x v="2"/>
    <s v="Week2-Dec-2025"/>
    <x v="3"/>
    <s v="27-Jan-2026"/>
    <s v="Tuesday"/>
    <s v="Monthly - Tuesday"/>
    <s v="Monthly - Tuesday"/>
    <s v="Month+1 Expiry"/>
    <n v="194871"/>
    <n v="33320.82"/>
    <n v="249.88"/>
  </r>
  <r>
    <s v="10-Dec-2025"/>
    <x v="2"/>
    <s v="Week2-Dec-2025"/>
    <x v="3"/>
    <s v="24-Feb-2026"/>
    <s v="Tuesday"/>
    <s v="Monthly - Tuesday"/>
    <s v="Monthly - Tuesday"/>
    <s v="Month+2 Expiry"/>
    <n v="40153"/>
    <n v="6892.64"/>
    <n v="83.1"/>
  </r>
  <r>
    <s v="10-Dec-2025"/>
    <x v="2"/>
    <s v="Week2-Dec-2025"/>
    <x v="3"/>
    <s v="31-Mar-2026"/>
    <s v="Tuesday"/>
    <s v="Monthly - Tuesday"/>
    <s v="Monthly - Tuesday"/>
    <s v="Month+3 Expiry"/>
    <n v="35246"/>
    <n v="7185.77"/>
    <n v="85.39"/>
  </r>
  <r>
    <s v="10-Dec-2025"/>
    <x v="2"/>
    <s v="Week2-Dec-2025"/>
    <x v="3"/>
    <s v="30-Jun-2026"/>
    <s v="Tuesday"/>
    <s v="Monthly - Tuesday"/>
    <s v="Monthly - Tuesday"/>
    <s v="Month+6 Expiry"/>
    <n v="7069"/>
    <n v="1446.69"/>
    <n v="30.35"/>
  </r>
  <r>
    <s v="10-Dec-2025"/>
    <x v="2"/>
    <s v="Week2-Dec-2025"/>
    <x v="3"/>
    <s v="29-Sep-2026"/>
    <s v="Tuesday"/>
    <s v="Monthly - Tuesday"/>
    <s v="Monthly - Tuesday"/>
    <s v="Month+9 Expiry"/>
    <n v="91"/>
    <n v="17.38"/>
    <n v="0.24"/>
  </r>
  <r>
    <s v="10-Dec-2025"/>
    <x v="2"/>
    <s v="Week2-Dec-2025"/>
    <x v="3"/>
    <s v="29-Dec-2026"/>
    <s v="Tuesday"/>
    <s v="Monthly - Tuesday"/>
    <s v="Monthly - Tuesday"/>
    <s v="Month+12 Expiry"/>
    <n v="2905"/>
    <n v="595.12"/>
    <n v="20.32"/>
  </r>
  <r>
    <s v="10-Dec-2025"/>
    <x v="2"/>
    <s v="Week2-Dec-2025"/>
    <x v="3"/>
    <s v="29-Jun-2027"/>
    <s v="Tuesday"/>
    <s v="Monthly - Tuesday"/>
    <s v="Monthly - Tuesday"/>
    <s v="Month+18 Expiry"/>
    <n v="0"/>
    <n v="0"/>
    <n v="0"/>
  </r>
  <r>
    <s v="10-Dec-2025"/>
    <x v="2"/>
    <s v="Week2-Dec-2025"/>
    <x v="3"/>
    <s v="28-Dec-2027"/>
    <s v="Tuesday"/>
    <s v="Monthly - Tuesday"/>
    <s v="Monthly - Tuesday"/>
    <s v="Month+24 Expiry"/>
    <n v="4"/>
    <n v="0.8"/>
    <n v="0.02"/>
  </r>
  <r>
    <s v="10-Dec-2025"/>
    <x v="2"/>
    <s v="Week2-Dec-2025"/>
    <x v="3"/>
    <s v="27-Jun-2028"/>
    <s v="Tuesday"/>
    <s v="Monthly - Tuesday"/>
    <s v="Monthly - Tuesday"/>
    <s v="Month+30 Expiry"/>
    <n v="0"/>
    <n v="0"/>
    <n v="0"/>
  </r>
  <r>
    <s v="10-Dec-2025"/>
    <x v="2"/>
    <s v="Week2-Dec-2025"/>
    <x v="3"/>
    <s v="26-Dec-2028"/>
    <s v="Tuesday"/>
    <s v="Monthly - Tuesday"/>
    <s v="Monthly - Tuesday"/>
    <s v="Month+36 Expiry"/>
    <n v="0"/>
    <n v="0"/>
    <n v="0"/>
  </r>
  <r>
    <s v="10-Dec-2025"/>
    <x v="2"/>
    <s v="Week2-Dec-2025"/>
    <x v="3"/>
    <s v="26-Jun-2029"/>
    <s v="Tuesday"/>
    <s v="Monthly - Tuesday"/>
    <s v="Monthly - Tuesday"/>
    <s v="Month+42 Expiry"/>
    <n v="0"/>
    <n v="0"/>
    <n v="0"/>
  </r>
  <r>
    <s v="10-Dec-2025"/>
    <x v="2"/>
    <s v="Week2-Dec-2025"/>
    <x v="3"/>
    <s v="24-Dec-2029"/>
    <s v="Monday"/>
    <s v="Weekly - Monday"/>
    <s v="Weekly - Monday"/>
    <s v="Month+48 Expiry"/>
    <n v="0"/>
    <n v="0"/>
    <n v="0"/>
  </r>
  <r>
    <s v="10-Dec-2025"/>
    <x v="2"/>
    <s v="Week2-Dec-2025"/>
    <x v="3"/>
    <s v="25-Jun-2030"/>
    <s v="Tuesday"/>
    <s v="Monthly - Tuesday"/>
    <s v="Monthly - Tuesday"/>
    <s v="Month+54 Expiry"/>
    <n v="0"/>
    <n v="0"/>
    <n v="0"/>
  </r>
  <r>
    <s v="11-Dec-2025"/>
    <x v="3"/>
    <s v="Week2-Dec-2025"/>
    <x v="3"/>
    <s v="16-Dec-2025"/>
    <s v="Tuesday"/>
    <s v="Weekly - Tuesday"/>
    <s v="Weekly - Tuesday"/>
    <s v="Same Month Expiry"/>
    <n v="64159868"/>
    <n v="12480017.6"/>
    <n v="31490.42"/>
  </r>
  <r>
    <s v="11-Dec-2025"/>
    <x v="3"/>
    <s v="Week2-Dec-2025"/>
    <x v="3"/>
    <s v="23-Dec-2025"/>
    <s v="Tuesday"/>
    <s v="Weekly - Tuesday"/>
    <s v="Weekly - Tuesday"/>
    <s v="Same Month Expiry"/>
    <n v="1578651"/>
    <n v="308003.06"/>
    <n v="1193.4100000000001"/>
  </r>
  <r>
    <s v="11-Dec-2025"/>
    <x v="3"/>
    <s v="Week2-Dec-2025"/>
    <x v="3"/>
    <s v="30-Dec-2025"/>
    <s v="Tuesday"/>
    <s v="Monthly - Tuesday"/>
    <s v="Monthly - Tuesday"/>
    <s v="Same Month Expiry"/>
    <n v="1738617"/>
    <n v="339804.35"/>
    <n v="1875.99"/>
  </r>
  <r>
    <s v="11-Dec-2025"/>
    <x v="3"/>
    <s v="Week2-Dec-2025"/>
    <x v="3"/>
    <s v="06-Jan-2026"/>
    <s v="Tuesday"/>
    <s v="Weekly - Tuesday"/>
    <s v="Weekly - Tuesday"/>
    <s v="Month+1 Expiry"/>
    <n v="18042"/>
    <n v="3079.17"/>
    <n v="20.22"/>
  </r>
  <r>
    <s v="11-Dec-2025"/>
    <x v="3"/>
    <s v="Week2-Dec-2025"/>
    <x v="3"/>
    <s v="13-Jan-2026"/>
    <s v="Tuesday"/>
    <s v="Weekly - Tuesday"/>
    <s v="Weekly - Tuesday"/>
    <s v="Month+1 Expiry"/>
    <n v="604"/>
    <n v="103.62"/>
    <n v="0.55000000000000004"/>
  </r>
  <r>
    <s v="11-Dec-2025"/>
    <x v="3"/>
    <s v="Week2-Dec-2025"/>
    <x v="3"/>
    <s v="27-Jan-2026"/>
    <s v="Tuesday"/>
    <s v="Monthly - Tuesday"/>
    <s v="Monthly - Tuesday"/>
    <s v="Month+1 Expiry"/>
    <n v="181926"/>
    <n v="31028.67"/>
    <n v="245.84"/>
  </r>
  <r>
    <s v="11-Dec-2025"/>
    <x v="3"/>
    <s v="Week2-Dec-2025"/>
    <x v="3"/>
    <s v="24-Feb-2026"/>
    <s v="Tuesday"/>
    <s v="Monthly - Tuesday"/>
    <s v="Monthly - Tuesday"/>
    <s v="Month+2 Expiry"/>
    <n v="35641"/>
    <n v="6139.32"/>
    <n v="72.64"/>
  </r>
  <r>
    <s v="11-Dec-2025"/>
    <x v="3"/>
    <s v="Week2-Dec-2025"/>
    <x v="3"/>
    <s v="31-Mar-2026"/>
    <s v="Tuesday"/>
    <s v="Monthly - Tuesday"/>
    <s v="Monthly - Tuesday"/>
    <s v="Month+3 Expiry"/>
    <n v="22995"/>
    <n v="4582.6400000000003"/>
    <n v="76.14"/>
  </r>
  <r>
    <s v="11-Dec-2025"/>
    <x v="3"/>
    <s v="Week2-Dec-2025"/>
    <x v="3"/>
    <s v="30-Jun-2026"/>
    <s v="Tuesday"/>
    <s v="Monthly - Tuesday"/>
    <s v="Monthly - Tuesday"/>
    <s v="Month+6 Expiry"/>
    <n v="10882"/>
    <n v="2186.08"/>
    <n v="39.200000000000003"/>
  </r>
  <r>
    <s v="11-Dec-2025"/>
    <x v="3"/>
    <s v="Week2-Dec-2025"/>
    <x v="3"/>
    <s v="29-Sep-2026"/>
    <s v="Tuesday"/>
    <s v="Monthly - Tuesday"/>
    <s v="Monthly - Tuesday"/>
    <s v="Month+9 Expiry"/>
    <n v="48"/>
    <n v="9.56"/>
    <n v="0.12"/>
  </r>
  <r>
    <s v="11-Dec-2025"/>
    <x v="3"/>
    <s v="Week2-Dec-2025"/>
    <x v="3"/>
    <s v="29-Dec-2026"/>
    <s v="Tuesday"/>
    <s v="Monthly - Tuesday"/>
    <s v="Monthly - Tuesday"/>
    <s v="Month+12 Expiry"/>
    <n v="6113"/>
    <n v="1255.22"/>
    <n v="40.32"/>
  </r>
  <r>
    <s v="11-Dec-2025"/>
    <x v="3"/>
    <s v="Week2-Dec-2025"/>
    <x v="3"/>
    <s v="29-Jun-2027"/>
    <s v="Tuesday"/>
    <s v="Monthly - Tuesday"/>
    <s v="Monthly - Tuesday"/>
    <s v="Month+18 Expiry"/>
    <n v="0"/>
    <n v="0"/>
    <n v="0"/>
  </r>
  <r>
    <s v="11-Dec-2025"/>
    <x v="3"/>
    <s v="Week2-Dec-2025"/>
    <x v="3"/>
    <s v="28-Dec-2027"/>
    <s v="Tuesday"/>
    <s v="Monthly - Tuesday"/>
    <s v="Monthly - Tuesday"/>
    <s v="Month+24 Expiry"/>
    <n v="9"/>
    <n v="1.61"/>
    <n v="0.03"/>
  </r>
  <r>
    <s v="11-Dec-2025"/>
    <x v="3"/>
    <s v="Week2-Dec-2025"/>
    <x v="3"/>
    <s v="27-Jun-2028"/>
    <s v="Tuesday"/>
    <s v="Monthly - Tuesday"/>
    <s v="Monthly - Tuesday"/>
    <s v="Month+30 Expiry"/>
    <n v="0"/>
    <n v="0"/>
    <n v="0"/>
  </r>
  <r>
    <s v="11-Dec-2025"/>
    <x v="3"/>
    <s v="Week2-Dec-2025"/>
    <x v="3"/>
    <s v="26-Dec-2028"/>
    <s v="Tuesday"/>
    <s v="Monthly - Tuesday"/>
    <s v="Monthly - Tuesday"/>
    <s v="Month+36 Expiry"/>
    <n v="72"/>
    <n v="12.6"/>
    <n v="0.31"/>
  </r>
  <r>
    <s v="11-Dec-2025"/>
    <x v="3"/>
    <s v="Week2-Dec-2025"/>
    <x v="3"/>
    <s v="26-Jun-2029"/>
    <s v="Tuesday"/>
    <s v="Monthly - Tuesday"/>
    <s v="Monthly - Tuesday"/>
    <s v="Month+42 Expiry"/>
    <n v="0"/>
    <n v="0"/>
    <n v="0"/>
  </r>
  <r>
    <s v="11-Dec-2025"/>
    <x v="3"/>
    <s v="Week2-Dec-2025"/>
    <x v="3"/>
    <s v="24-Dec-2029"/>
    <s v="Monday"/>
    <s v="Weekly - Monday"/>
    <s v="Weekly - Monday"/>
    <s v="Month+48 Expiry"/>
    <n v="33"/>
    <n v="5.85"/>
    <n v="0.16"/>
  </r>
  <r>
    <s v="11-Dec-2025"/>
    <x v="3"/>
    <s v="Week2-Dec-2025"/>
    <x v="3"/>
    <s v="25-Jun-2030"/>
    <s v="Tuesday"/>
    <s v="Monthly - Tuesday"/>
    <s v="Monthly - Tuesday"/>
    <s v="Month+54 Expiry"/>
    <n v="0"/>
    <n v="0"/>
    <n v="0"/>
  </r>
  <r>
    <s v="12-Dec-2025"/>
    <x v="4"/>
    <s v="Week2-Dec-2025"/>
    <x v="3"/>
    <s v="16-Dec-2025"/>
    <s v="Tuesday"/>
    <s v="Weekly - Tuesday"/>
    <s v="Weekly - Tuesday"/>
    <s v="Same Month Expiry"/>
    <n v="94717457"/>
    <n v="18492628.809999999"/>
    <n v="40484.339999999997"/>
  </r>
  <r>
    <s v="12-Dec-2025"/>
    <x v="4"/>
    <s v="Week2-Dec-2025"/>
    <x v="3"/>
    <s v="23-Dec-2025"/>
    <s v="Tuesday"/>
    <s v="Weekly - Tuesday"/>
    <s v="Weekly - Tuesday"/>
    <s v="Same Month Expiry"/>
    <n v="2186608"/>
    <n v="427982.56"/>
    <n v="1396.03"/>
  </r>
  <r>
    <s v="12-Dec-2025"/>
    <x v="4"/>
    <s v="Week2-Dec-2025"/>
    <x v="3"/>
    <s v="30-Dec-2025"/>
    <s v="Tuesday"/>
    <s v="Monthly - Tuesday"/>
    <s v="Monthly - Tuesday"/>
    <s v="Same Month Expiry"/>
    <n v="1785413"/>
    <n v="349897.72"/>
    <n v="1747.23"/>
  </r>
  <r>
    <s v="12-Dec-2025"/>
    <x v="4"/>
    <s v="Week2-Dec-2025"/>
    <x v="3"/>
    <s v="06-Jan-2026"/>
    <s v="Tuesday"/>
    <s v="Weekly - Tuesday"/>
    <s v="Weekly - Tuesday"/>
    <s v="Month+1 Expiry"/>
    <n v="28781"/>
    <n v="4914.07"/>
    <n v="31.09"/>
  </r>
  <r>
    <s v="12-Dec-2025"/>
    <x v="4"/>
    <s v="Week2-Dec-2025"/>
    <x v="3"/>
    <s v="13-Jan-2026"/>
    <s v="Tuesday"/>
    <s v="Weekly - Tuesday"/>
    <s v="Weekly - Tuesday"/>
    <s v="Month+1 Expiry"/>
    <n v="1275"/>
    <n v="217.83"/>
    <n v="1.48"/>
  </r>
  <r>
    <s v="12-Dec-2025"/>
    <x v="4"/>
    <s v="Week2-Dec-2025"/>
    <x v="3"/>
    <s v="27-Jan-2026"/>
    <s v="Tuesday"/>
    <s v="Monthly - Tuesday"/>
    <s v="Monthly - Tuesday"/>
    <s v="Month+1 Expiry"/>
    <n v="204610"/>
    <n v="34831.26"/>
    <n v="247.96"/>
  </r>
  <r>
    <s v="12-Dec-2025"/>
    <x v="4"/>
    <s v="Week2-Dec-2025"/>
    <x v="3"/>
    <s v="24-Feb-2026"/>
    <s v="Tuesday"/>
    <s v="Monthly - Tuesday"/>
    <s v="Monthly - Tuesday"/>
    <s v="Month+2 Expiry"/>
    <n v="35355"/>
    <n v="6029.17"/>
    <n v="58.67"/>
  </r>
  <r>
    <s v="12-Dec-2025"/>
    <x v="4"/>
    <s v="Week2-Dec-2025"/>
    <x v="3"/>
    <s v="31-Mar-2026"/>
    <s v="Tuesday"/>
    <s v="Monthly - Tuesday"/>
    <s v="Monthly - Tuesday"/>
    <s v="Month+3 Expiry"/>
    <n v="27932"/>
    <n v="5378.42"/>
    <n v="68.400000000000006"/>
  </r>
  <r>
    <s v="12-Dec-2025"/>
    <x v="4"/>
    <s v="Week2-Dec-2025"/>
    <x v="3"/>
    <s v="30-Jun-2026"/>
    <s v="Tuesday"/>
    <s v="Monthly - Tuesday"/>
    <s v="Monthly - Tuesday"/>
    <s v="Month+6 Expiry"/>
    <n v="6698"/>
    <n v="1329.74"/>
    <n v="21.19"/>
  </r>
  <r>
    <s v="12-Dec-2025"/>
    <x v="4"/>
    <s v="Week2-Dec-2025"/>
    <x v="3"/>
    <s v="29-Sep-2026"/>
    <s v="Tuesday"/>
    <s v="Monthly - Tuesday"/>
    <s v="Monthly - Tuesday"/>
    <s v="Month+9 Expiry"/>
    <n v="368"/>
    <n v="74.680000000000007"/>
    <n v="0.78"/>
  </r>
  <r>
    <s v="12-Dec-2025"/>
    <x v="4"/>
    <s v="Week2-Dec-2025"/>
    <x v="3"/>
    <s v="29-Dec-2026"/>
    <s v="Tuesday"/>
    <s v="Monthly - Tuesday"/>
    <s v="Monthly - Tuesday"/>
    <s v="Month+12 Expiry"/>
    <n v="3351"/>
    <n v="673.88"/>
    <n v="18.77"/>
  </r>
  <r>
    <s v="12-Dec-2025"/>
    <x v="4"/>
    <s v="Week2-Dec-2025"/>
    <x v="3"/>
    <s v="29-Jun-2027"/>
    <s v="Tuesday"/>
    <s v="Monthly - Tuesday"/>
    <s v="Monthly - Tuesday"/>
    <s v="Month+18 Expiry"/>
    <n v="0"/>
    <n v="0"/>
    <n v="0"/>
  </r>
  <r>
    <s v="12-Dec-2025"/>
    <x v="4"/>
    <s v="Week2-Dec-2025"/>
    <x v="3"/>
    <s v="28-Dec-2027"/>
    <s v="Tuesday"/>
    <s v="Monthly - Tuesday"/>
    <s v="Monthly - Tuesday"/>
    <s v="Month+24 Expiry"/>
    <n v="18"/>
    <n v="3.32"/>
    <n v="0.11"/>
  </r>
  <r>
    <s v="12-Dec-2025"/>
    <x v="4"/>
    <s v="Week2-Dec-2025"/>
    <x v="3"/>
    <s v="27-Jun-2028"/>
    <s v="Tuesday"/>
    <s v="Monthly - Tuesday"/>
    <s v="Monthly - Tuesday"/>
    <s v="Month+30 Expiry"/>
    <n v="0"/>
    <n v="0"/>
    <n v="0"/>
  </r>
  <r>
    <s v="12-Dec-2025"/>
    <x v="4"/>
    <s v="Week2-Dec-2025"/>
    <x v="3"/>
    <s v="26-Dec-2028"/>
    <s v="Tuesday"/>
    <s v="Monthly - Tuesday"/>
    <s v="Monthly - Tuesday"/>
    <s v="Month+36 Expiry"/>
    <n v="4"/>
    <n v="0.66"/>
    <n v="0.01"/>
  </r>
  <r>
    <s v="12-Dec-2025"/>
    <x v="4"/>
    <s v="Week2-Dec-2025"/>
    <x v="3"/>
    <s v="26-Jun-2029"/>
    <s v="Tuesday"/>
    <s v="Monthly - Tuesday"/>
    <s v="Monthly - Tuesday"/>
    <s v="Month+42 Expiry"/>
    <n v="0"/>
    <n v="0"/>
    <n v="0"/>
  </r>
  <r>
    <s v="12-Dec-2025"/>
    <x v="4"/>
    <s v="Week2-Dec-2025"/>
    <x v="3"/>
    <s v="24-Dec-2029"/>
    <s v="Monday"/>
    <s v="Weekly - Monday"/>
    <s v="Weekly - Monday"/>
    <s v="Month+48 Expiry"/>
    <n v="0"/>
    <n v="0"/>
    <n v="0"/>
  </r>
  <r>
    <s v="12-Dec-2025"/>
    <x v="4"/>
    <s v="Week2-Dec-2025"/>
    <x v="3"/>
    <s v="25-Jun-2030"/>
    <s v="Tuesday"/>
    <s v="Monthly - Tuesday"/>
    <s v="Monthly - Tuesday"/>
    <s v="Month+54 Expiry"/>
    <n v="0"/>
    <n v="0"/>
    <n v="0"/>
  </r>
  <r>
    <s v="15-Dec-2025"/>
    <x v="0"/>
    <s v="Week3-Dec-2025"/>
    <x v="3"/>
    <s v="16-Dec-2025"/>
    <s v="Tuesday"/>
    <s v="Weekly - Tuesday"/>
    <s v="Weekly - Tuesday"/>
    <s v="Same Month Expiry"/>
    <n v="126198933"/>
    <n v="24612870.600000001"/>
    <n v="40731.129999999997"/>
  </r>
  <r>
    <s v="15-Dec-2025"/>
    <x v="0"/>
    <s v="Week3-Dec-2025"/>
    <x v="3"/>
    <s v="23-Dec-2025"/>
    <s v="Tuesday"/>
    <s v="Weekly - Tuesday"/>
    <s v="Weekly - Tuesday"/>
    <s v="Same Month Expiry"/>
    <n v="4346404"/>
    <n v="850784.8"/>
    <n v="2422.23"/>
  </r>
  <r>
    <s v="15-Dec-2025"/>
    <x v="0"/>
    <s v="Week3-Dec-2025"/>
    <x v="3"/>
    <s v="30-Dec-2025"/>
    <s v="Tuesday"/>
    <s v="Monthly - Tuesday"/>
    <s v="Monthly - Tuesday"/>
    <s v="Same Month Expiry"/>
    <n v="1709878"/>
    <n v="334846.08000000002"/>
    <n v="1526.01"/>
  </r>
  <r>
    <s v="15-Dec-2025"/>
    <x v="0"/>
    <s v="Week3-Dec-2025"/>
    <x v="3"/>
    <s v="06-Jan-2026"/>
    <s v="Tuesday"/>
    <s v="Weekly - Tuesday"/>
    <s v="Weekly - Tuesday"/>
    <s v="Month+1 Expiry"/>
    <n v="34132"/>
    <n v="5828.18"/>
    <n v="33.729999999999997"/>
  </r>
  <r>
    <s v="15-Dec-2025"/>
    <x v="0"/>
    <s v="Week3-Dec-2025"/>
    <x v="3"/>
    <s v="13-Jan-2026"/>
    <s v="Tuesday"/>
    <s v="Weekly - Tuesday"/>
    <s v="Weekly - Tuesday"/>
    <s v="Month+1 Expiry"/>
    <n v="3229"/>
    <n v="552.75"/>
    <n v="4.26"/>
  </r>
  <r>
    <s v="15-Dec-2025"/>
    <x v="0"/>
    <s v="Week3-Dec-2025"/>
    <x v="3"/>
    <s v="27-Jan-2026"/>
    <s v="Tuesday"/>
    <s v="Monthly - Tuesday"/>
    <s v="Monthly - Tuesday"/>
    <s v="Month+1 Expiry"/>
    <n v="219718"/>
    <n v="37429.81"/>
    <n v="234.56"/>
  </r>
  <r>
    <s v="15-Dec-2025"/>
    <x v="0"/>
    <s v="Week3-Dec-2025"/>
    <x v="3"/>
    <s v="24-Feb-2026"/>
    <s v="Tuesday"/>
    <s v="Monthly - Tuesday"/>
    <s v="Monthly - Tuesday"/>
    <s v="Month+2 Expiry"/>
    <n v="32776"/>
    <n v="5612.44"/>
    <n v="54.67"/>
  </r>
  <r>
    <s v="15-Dec-2025"/>
    <x v="0"/>
    <s v="Week3-Dec-2025"/>
    <x v="3"/>
    <s v="31-Mar-2026"/>
    <s v="Tuesday"/>
    <s v="Monthly - Tuesday"/>
    <s v="Monthly - Tuesday"/>
    <s v="Month+3 Expiry"/>
    <n v="18120"/>
    <n v="3556.07"/>
    <n v="49.53"/>
  </r>
  <r>
    <s v="15-Dec-2025"/>
    <x v="0"/>
    <s v="Week3-Dec-2025"/>
    <x v="3"/>
    <s v="30-Jun-2026"/>
    <s v="Tuesday"/>
    <s v="Monthly - Tuesday"/>
    <s v="Monthly - Tuesday"/>
    <s v="Month+6 Expiry"/>
    <n v="4693"/>
    <n v="936.47"/>
    <n v="17.309999999999999"/>
  </r>
  <r>
    <s v="15-Dec-2025"/>
    <x v="0"/>
    <s v="Week3-Dec-2025"/>
    <x v="3"/>
    <s v="29-Sep-2026"/>
    <s v="Tuesday"/>
    <s v="Monthly - Tuesday"/>
    <s v="Monthly - Tuesday"/>
    <s v="Month+9 Expiry"/>
    <n v="102"/>
    <n v="19.64"/>
    <n v="0.27"/>
  </r>
  <r>
    <s v="15-Dec-2025"/>
    <x v="0"/>
    <s v="Week3-Dec-2025"/>
    <x v="3"/>
    <s v="29-Dec-2026"/>
    <s v="Tuesday"/>
    <s v="Monthly - Tuesday"/>
    <s v="Monthly - Tuesday"/>
    <s v="Month+12 Expiry"/>
    <n v="1855"/>
    <n v="387.8"/>
    <n v="13.22"/>
  </r>
  <r>
    <s v="15-Dec-2025"/>
    <x v="0"/>
    <s v="Week3-Dec-2025"/>
    <x v="3"/>
    <s v="29-Jun-2027"/>
    <s v="Tuesday"/>
    <s v="Monthly - Tuesday"/>
    <s v="Monthly - Tuesday"/>
    <s v="Month+18 Expiry"/>
    <n v="0"/>
    <n v="0"/>
    <n v="0"/>
  </r>
  <r>
    <s v="15-Dec-2025"/>
    <x v="0"/>
    <s v="Week3-Dec-2025"/>
    <x v="3"/>
    <s v="28-Dec-2027"/>
    <s v="Tuesday"/>
    <s v="Monthly - Tuesday"/>
    <s v="Monthly - Tuesday"/>
    <s v="Month+24 Expiry"/>
    <n v="2"/>
    <n v="0.4"/>
    <n v="0.01"/>
  </r>
  <r>
    <s v="15-Dec-2025"/>
    <x v="0"/>
    <s v="Week3-Dec-2025"/>
    <x v="3"/>
    <s v="27-Jun-2028"/>
    <s v="Tuesday"/>
    <s v="Monthly - Tuesday"/>
    <s v="Monthly - Tuesday"/>
    <s v="Month+30 Expiry"/>
    <n v="0"/>
    <n v="0"/>
    <n v="0"/>
  </r>
  <r>
    <s v="15-Dec-2025"/>
    <x v="0"/>
    <s v="Week3-Dec-2025"/>
    <x v="3"/>
    <s v="26-Dec-2028"/>
    <s v="Tuesday"/>
    <s v="Monthly - Tuesday"/>
    <s v="Monthly - Tuesday"/>
    <s v="Month+36 Expiry"/>
    <n v="2"/>
    <n v="0.42"/>
    <n v="0.02"/>
  </r>
  <r>
    <s v="15-Dec-2025"/>
    <x v="0"/>
    <s v="Week3-Dec-2025"/>
    <x v="3"/>
    <s v="26-Jun-2029"/>
    <s v="Tuesday"/>
    <s v="Monthly - Tuesday"/>
    <s v="Monthly - Tuesday"/>
    <s v="Month+42 Expiry"/>
    <n v="0"/>
    <n v="0"/>
    <n v="0"/>
  </r>
  <r>
    <s v="15-Dec-2025"/>
    <x v="0"/>
    <s v="Week3-Dec-2025"/>
    <x v="3"/>
    <s v="24-Dec-2029"/>
    <s v="Monday"/>
    <s v="Weekly - Monday"/>
    <s v="Weekly - Monday"/>
    <s v="Month+48 Expiry"/>
    <n v="0"/>
    <n v="0"/>
    <n v="0"/>
  </r>
  <r>
    <s v="15-Dec-2025"/>
    <x v="0"/>
    <s v="Week3-Dec-2025"/>
    <x v="3"/>
    <s v="25-Jun-2030"/>
    <s v="Tuesday"/>
    <s v="Monthly - Tuesday"/>
    <s v="Monthly - Tuesday"/>
    <s v="Month+54 Expiry"/>
    <n v="0"/>
    <n v="0"/>
    <n v="0"/>
  </r>
  <r>
    <s v="16-Dec-2025"/>
    <x v="1"/>
    <s v="Week3-Dec-2025"/>
    <x v="3"/>
    <s v="16-Dec-2025"/>
    <s v="Tuesday"/>
    <s v="Weekly - Tuesday"/>
    <s v="Weekly - Tuesday"/>
    <s v="Same Month Expiry"/>
    <n v="253082263"/>
    <n v="49240171.5"/>
    <n v="43245.1"/>
  </r>
  <r>
    <s v="16-Dec-2025"/>
    <x v="1"/>
    <s v="Week3-Dec-2025"/>
    <x v="3"/>
    <s v="23-Dec-2025"/>
    <s v="Tuesday"/>
    <s v="Weekly - Tuesday"/>
    <s v="Weekly - Tuesday"/>
    <s v="Same Month Expiry"/>
    <n v="9484122"/>
    <n v="1857114.21"/>
    <n v="4768.1499999999996"/>
  </r>
  <r>
    <s v="16-Dec-2025"/>
    <x v="1"/>
    <s v="Week3-Dec-2025"/>
    <x v="3"/>
    <s v="30-Dec-2025"/>
    <s v="Tuesday"/>
    <s v="Monthly - Tuesday"/>
    <s v="Monthly - Tuesday"/>
    <s v="Same Month Expiry"/>
    <n v="2006012"/>
    <n v="392559.32"/>
    <n v="1727.34"/>
  </r>
  <r>
    <s v="16-Dec-2025"/>
    <x v="1"/>
    <s v="Week3-Dec-2025"/>
    <x v="3"/>
    <s v="06-Jan-2026"/>
    <s v="Tuesday"/>
    <s v="Weekly - Tuesday"/>
    <s v="Weekly - Tuesday"/>
    <s v="Month+1 Expiry"/>
    <n v="54419"/>
    <n v="9270.81"/>
    <n v="47.63"/>
  </r>
  <r>
    <s v="16-Dec-2025"/>
    <x v="1"/>
    <s v="Week3-Dec-2025"/>
    <x v="3"/>
    <s v="13-Jan-2026"/>
    <s v="Tuesday"/>
    <s v="Weekly - Tuesday"/>
    <s v="Weekly - Tuesday"/>
    <s v="Month+1 Expiry"/>
    <n v="3910"/>
    <n v="664.94"/>
    <n v="4.5599999999999996"/>
  </r>
  <r>
    <s v="16-Dec-2025"/>
    <x v="1"/>
    <s v="Week3-Dec-2025"/>
    <x v="3"/>
    <s v="27-Jan-2026"/>
    <s v="Tuesday"/>
    <s v="Monthly - Tuesday"/>
    <s v="Monthly - Tuesday"/>
    <s v="Month+1 Expiry"/>
    <n v="247571"/>
    <n v="42270.65"/>
    <n v="275.52"/>
  </r>
  <r>
    <s v="16-Dec-2025"/>
    <x v="1"/>
    <s v="Week3-Dec-2025"/>
    <x v="3"/>
    <s v="24-Feb-2026"/>
    <s v="Tuesday"/>
    <s v="Monthly - Tuesday"/>
    <s v="Monthly - Tuesday"/>
    <s v="Month+2 Expiry"/>
    <n v="45086"/>
    <n v="7699.2"/>
    <n v="71.16"/>
  </r>
  <r>
    <s v="16-Dec-2025"/>
    <x v="1"/>
    <s v="Week3-Dec-2025"/>
    <x v="3"/>
    <s v="31-Mar-2026"/>
    <s v="Tuesday"/>
    <s v="Monthly - Tuesday"/>
    <s v="Monthly - Tuesday"/>
    <s v="Month+3 Expiry"/>
    <n v="23387"/>
    <n v="4602.17"/>
    <n v="75.540000000000006"/>
  </r>
  <r>
    <s v="16-Dec-2025"/>
    <x v="1"/>
    <s v="Week3-Dec-2025"/>
    <x v="3"/>
    <s v="30-Jun-2026"/>
    <s v="Tuesday"/>
    <s v="Monthly - Tuesday"/>
    <s v="Monthly - Tuesday"/>
    <s v="Month+6 Expiry"/>
    <n v="5884"/>
    <n v="1169.26"/>
    <n v="19.87"/>
  </r>
  <r>
    <s v="16-Dec-2025"/>
    <x v="1"/>
    <s v="Week3-Dec-2025"/>
    <x v="3"/>
    <s v="29-Sep-2026"/>
    <s v="Tuesday"/>
    <s v="Monthly - Tuesday"/>
    <s v="Monthly - Tuesday"/>
    <s v="Month+9 Expiry"/>
    <n v="54"/>
    <n v="10.38"/>
    <n v="0.21"/>
  </r>
  <r>
    <s v="16-Dec-2025"/>
    <x v="1"/>
    <s v="Week3-Dec-2025"/>
    <x v="3"/>
    <s v="29-Dec-2026"/>
    <s v="Tuesday"/>
    <s v="Monthly - Tuesday"/>
    <s v="Monthly - Tuesday"/>
    <s v="Month+12 Expiry"/>
    <n v="2252"/>
    <n v="463.72"/>
    <n v="15.08"/>
  </r>
  <r>
    <s v="16-Dec-2025"/>
    <x v="1"/>
    <s v="Week3-Dec-2025"/>
    <x v="3"/>
    <s v="29-Jun-2027"/>
    <s v="Tuesday"/>
    <s v="Monthly - Tuesday"/>
    <s v="Monthly - Tuesday"/>
    <s v="Month+18 Expiry"/>
    <n v="0"/>
    <n v="0"/>
    <n v="0"/>
  </r>
  <r>
    <s v="16-Dec-2025"/>
    <x v="1"/>
    <s v="Week3-Dec-2025"/>
    <x v="3"/>
    <s v="28-Dec-2027"/>
    <s v="Tuesday"/>
    <s v="Monthly - Tuesday"/>
    <s v="Monthly - Tuesday"/>
    <s v="Month+24 Expiry"/>
    <n v="12"/>
    <n v="2.35"/>
    <n v="7.0000000000000007E-2"/>
  </r>
  <r>
    <s v="16-Dec-2025"/>
    <x v="1"/>
    <s v="Week3-Dec-2025"/>
    <x v="3"/>
    <s v="27-Jun-2028"/>
    <s v="Tuesday"/>
    <s v="Monthly - Tuesday"/>
    <s v="Monthly - Tuesday"/>
    <s v="Month+30 Expiry"/>
    <n v="0"/>
    <n v="0"/>
    <n v="0"/>
  </r>
  <r>
    <s v="16-Dec-2025"/>
    <x v="1"/>
    <s v="Week3-Dec-2025"/>
    <x v="3"/>
    <s v="26-Dec-2028"/>
    <s v="Tuesday"/>
    <s v="Monthly - Tuesday"/>
    <s v="Monthly - Tuesday"/>
    <s v="Month+36 Expiry"/>
    <n v="6"/>
    <n v="1.22"/>
    <n v="0.05"/>
  </r>
  <r>
    <s v="16-Dec-2025"/>
    <x v="1"/>
    <s v="Week3-Dec-2025"/>
    <x v="3"/>
    <s v="26-Jun-2029"/>
    <s v="Tuesday"/>
    <s v="Monthly - Tuesday"/>
    <s v="Monthly - Tuesday"/>
    <s v="Month+42 Expiry"/>
    <n v="0"/>
    <n v="0"/>
    <n v="0"/>
  </r>
  <r>
    <s v="16-Dec-2025"/>
    <x v="1"/>
    <s v="Week3-Dec-2025"/>
    <x v="3"/>
    <s v="24-Dec-2029"/>
    <s v="Monday"/>
    <s v="Weekly - Monday"/>
    <s v="Weekly - Monday"/>
    <s v="Month+48 Expiry"/>
    <n v="0"/>
    <n v="0"/>
    <n v="0"/>
  </r>
  <r>
    <s v="16-Dec-2025"/>
    <x v="1"/>
    <s v="Week3-Dec-2025"/>
    <x v="3"/>
    <s v="25-Jun-2030"/>
    <s v="Tuesday"/>
    <s v="Monthly - Tuesday"/>
    <s v="Monthly - Tuesday"/>
    <s v="Month+54 Expiry"/>
    <n v="0"/>
    <n v="0"/>
    <n v="0"/>
  </r>
  <r>
    <s v="17-Dec-2025"/>
    <x v="2"/>
    <s v="Week3-Dec-2025"/>
    <x v="3"/>
    <s v="23-Dec-2025"/>
    <s v="Tuesday"/>
    <s v="Weekly - Tuesday"/>
    <s v="Weekly - Tuesday"/>
    <s v="Same Month Expiry"/>
    <n v="44362053"/>
    <n v="8647400.4199999999"/>
    <n v="25229.14"/>
  </r>
  <r>
    <s v="17-Dec-2025"/>
    <x v="2"/>
    <s v="Week3-Dec-2025"/>
    <x v="3"/>
    <s v="30-Dec-2025"/>
    <s v="Tuesday"/>
    <s v="Monthly - Tuesday"/>
    <s v="Monthly - Tuesday"/>
    <s v="Same Month Expiry"/>
    <n v="2323562"/>
    <n v="453741.95"/>
    <n v="1807.73"/>
  </r>
  <r>
    <s v="17-Dec-2025"/>
    <x v="2"/>
    <s v="Week3-Dec-2025"/>
    <x v="3"/>
    <s v="06-Jan-2026"/>
    <s v="Tuesday"/>
    <s v="Weekly - Tuesday"/>
    <s v="Weekly - Tuesday"/>
    <s v="Month+1 Expiry"/>
    <n v="97994"/>
    <n v="16674.89"/>
    <n v="77.319999999999993"/>
  </r>
  <r>
    <s v="17-Dec-2025"/>
    <x v="2"/>
    <s v="Week3-Dec-2025"/>
    <x v="3"/>
    <s v="13-Jan-2026"/>
    <s v="Tuesday"/>
    <s v="Weekly - Tuesday"/>
    <s v="Weekly - Tuesday"/>
    <s v="Month+1 Expiry"/>
    <n v="8453"/>
    <n v="1435.95"/>
    <n v="9.07"/>
  </r>
  <r>
    <s v="17-Dec-2025"/>
    <x v="2"/>
    <s v="Week3-Dec-2025"/>
    <x v="3"/>
    <s v="20-Jan-2026"/>
    <s v="Tuesday"/>
    <s v="Weekly - Tuesday"/>
    <s v="Weekly - Tuesday"/>
    <s v="Month+1 Expiry"/>
    <n v="48"/>
    <n v="8.23"/>
    <n v="0.11"/>
  </r>
  <r>
    <s v="17-Dec-2025"/>
    <x v="2"/>
    <s v="Week3-Dec-2025"/>
    <x v="3"/>
    <s v="27-Jan-2026"/>
    <s v="Tuesday"/>
    <s v="Monthly - Tuesday"/>
    <s v="Monthly - Tuesday"/>
    <s v="Month+1 Expiry"/>
    <n v="320377"/>
    <n v="54783.360000000001"/>
    <n v="332.69"/>
  </r>
  <r>
    <s v="17-Dec-2025"/>
    <x v="2"/>
    <s v="Week3-Dec-2025"/>
    <x v="3"/>
    <s v="24-Feb-2026"/>
    <s v="Tuesday"/>
    <s v="Monthly - Tuesday"/>
    <s v="Monthly - Tuesday"/>
    <s v="Month+2 Expiry"/>
    <n v="46486"/>
    <n v="8005.84"/>
    <n v="72.58"/>
  </r>
  <r>
    <s v="17-Dec-2025"/>
    <x v="2"/>
    <s v="Week3-Dec-2025"/>
    <x v="3"/>
    <s v="31-Mar-2026"/>
    <s v="Tuesday"/>
    <s v="Monthly - Tuesday"/>
    <s v="Monthly - Tuesday"/>
    <s v="Month+3 Expiry"/>
    <n v="25940"/>
    <n v="5194.99"/>
    <n v="82.83"/>
  </r>
  <r>
    <s v="17-Dec-2025"/>
    <x v="2"/>
    <s v="Week3-Dec-2025"/>
    <x v="3"/>
    <s v="30-Jun-2026"/>
    <s v="Tuesday"/>
    <s v="Monthly - Tuesday"/>
    <s v="Monthly - Tuesday"/>
    <s v="Month+6 Expiry"/>
    <n v="7368"/>
    <n v="1484.3"/>
    <n v="25.7"/>
  </r>
  <r>
    <s v="17-Dec-2025"/>
    <x v="2"/>
    <s v="Week3-Dec-2025"/>
    <x v="3"/>
    <s v="29-Sep-2026"/>
    <s v="Tuesday"/>
    <s v="Monthly - Tuesday"/>
    <s v="Monthly - Tuesday"/>
    <s v="Month+9 Expiry"/>
    <n v="76"/>
    <n v="14.53"/>
    <n v="0.24"/>
  </r>
  <r>
    <s v="17-Dec-2025"/>
    <x v="2"/>
    <s v="Week3-Dec-2025"/>
    <x v="3"/>
    <s v="29-Dec-2026"/>
    <s v="Tuesday"/>
    <s v="Monthly - Tuesday"/>
    <s v="Monthly - Tuesday"/>
    <s v="Month+12 Expiry"/>
    <n v="2412"/>
    <n v="498.73"/>
    <n v="17.29"/>
  </r>
  <r>
    <s v="17-Dec-2025"/>
    <x v="2"/>
    <s v="Week3-Dec-2025"/>
    <x v="3"/>
    <s v="29-Jun-2027"/>
    <s v="Tuesday"/>
    <s v="Monthly - Tuesday"/>
    <s v="Monthly - Tuesday"/>
    <s v="Month+18 Expiry"/>
    <n v="0"/>
    <n v="0"/>
    <n v="0"/>
  </r>
  <r>
    <s v="17-Dec-2025"/>
    <x v="2"/>
    <s v="Week3-Dec-2025"/>
    <x v="3"/>
    <s v="28-Dec-2027"/>
    <s v="Tuesday"/>
    <s v="Monthly - Tuesday"/>
    <s v="Monthly - Tuesday"/>
    <s v="Month+24 Expiry"/>
    <n v="2"/>
    <n v="0.39"/>
    <n v="0.03"/>
  </r>
  <r>
    <s v="17-Dec-2025"/>
    <x v="2"/>
    <s v="Week3-Dec-2025"/>
    <x v="3"/>
    <s v="27-Jun-2028"/>
    <s v="Tuesday"/>
    <s v="Monthly - Tuesday"/>
    <s v="Monthly - Tuesday"/>
    <s v="Month+30 Expiry"/>
    <n v="0"/>
    <n v="0"/>
    <n v="0"/>
  </r>
  <r>
    <s v="17-Dec-2025"/>
    <x v="2"/>
    <s v="Week3-Dec-2025"/>
    <x v="3"/>
    <s v="26-Dec-2028"/>
    <s v="Tuesday"/>
    <s v="Monthly - Tuesday"/>
    <s v="Monthly - Tuesday"/>
    <s v="Month+36 Expiry"/>
    <n v="7"/>
    <n v="1.43"/>
    <n v="0.06"/>
  </r>
  <r>
    <s v="17-Dec-2025"/>
    <x v="2"/>
    <s v="Week3-Dec-2025"/>
    <x v="3"/>
    <s v="26-Jun-2029"/>
    <s v="Tuesday"/>
    <s v="Monthly - Tuesday"/>
    <s v="Monthly - Tuesday"/>
    <s v="Month+42 Expiry"/>
    <n v="0"/>
    <n v="0"/>
    <n v="0"/>
  </r>
  <r>
    <s v="17-Dec-2025"/>
    <x v="2"/>
    <s v="Week3-Dec-2025"/>
    <x v="3"/>
    <s v="24-Dec-2029"/>
    <s v="Monday"/>
    <s v="Weekly - Monday"/>
    <s v="Weekly - Monday"/>
    <s v="Month+48 Expiry"/>
    <n v="0"/>
    <n v="0"/>
    <n v="0"/>
  </r>
  <r>
    <s v="17-Dec-2025"/>
    <x v="2"/>
    <s v="Week3-Dec-2025"/>
    <x v="3"/>
    <s v="25-Jun-2030"/>
    <s v="Tuesday"/>
    <s v="Monthly - Tuesday"/>
    <s v="Monthly - Tuesday"/>
    <s v="Month+54 Expiry"/>
    <n v="0"/>
    <n v="0"/>
    <n v="0"/>
  </r>
  <r>
    <s v="18-Dec-2025"/>
    <x v="3"/>
    <s v="Week3-Dec-2025"/>
    <x v="3"/>
    <s v="23-Dec-2025"/>
    <s v="Tuesday"/>
    <s v="Weekly - Tuesday"/>
    <s v="Weekly - Tuesday"/>
    <s v="Same Month Expiry"/>
    <n v="51955629"/>
    <n v="10108884.890000001"/>
    <n v="24716.13"/>
  </r>
  <r>
    <s v="18-Dec-2025"/>
    <x v="3"/>
    <s v="Week3-Dec-2025"/>
    <x v="3"/>
    <s v="30-Dec-2025"/>
    <s v="Tuesday"/>
    <s v="Monthly - Tuesday"/>
    <s v="Monthly - Tuesday"/>
    <s v="Same Month Expiry"/>
    <n v="3239924"/>
    <n v="632378.98"/>
    <n v="2368.94"/>
  </r>
  <r>
    <s v="18-Dec-2025"/>
    <x v="3"/>
    <s v="Week3-Dec-2025"/>
    <x v="3"/>
    <s v="06-Jan-2026"/>
    <s v="Tuesday"/>
    <s v="Weekly - Tuesday"/>
    <s v="Weekly - Tuesday"/>
    <s v="Month+1 Expiry"/>
    <n v="132433"/>
    <n v="22501.47"/>
    <n v="113.3"/>
  </r>
  <r>
    <s v="18-Dec-2025"/>
    <x v="3"/>
    <s v="Week3-Dec-2025"/>
    <x v="3"/>
    <s v="13-Jan-2026"/>
    <s v="Tuesday"/>
    <s v="Weekly - Tuesday"/>
    <s v="Weekly - Tuesday"/>
    <s v="Month+1 Expiry"/>
    <n v="12250"/>
    <n v="2085.87"/>
    <n v="11.68"/>
  </r>
  <r>
    <s v="18-Dec-2025"/>
    <x v="3"/>
    <s v="Week3-Dec-2025"/>
    <x v="3"/>
    <s v="20-Jan-2026"/>
    <s v="Tuesday"/>
    <s v="Weekly - Tuesday"/>
    <s v="Weekly - Tuesday"/>
    <s v="Month+1 Expiry"/>
    <n v="634"/>
    <n v="107.74"/>
    <n v="1.18"/>
  </r>
  <r>
    <s v="18-Dec-2025"/>
    <x v="3"/>
    <s v="Week3-Dec-2025"/>
    <x v="3"/>
    <s v="27-Jan-2026"/>
    <s v="Tuesday"/>
    <s v="Monthly - Tuesday"/>
    <s v="Monthly - Tuesday"/>
    <s v="Month+1 Expiry"/>
    <n v="377937"/>
    <n v="64359.72"/>
    <n v="414.75"/>
  </r>
  <r>
    <s v="18-Dec-2025"/>
    <x v="3"/>
    <s v="Week3-Dec-2025"/>
    <x v="3"/>
    <s v="24-Feb-2026"/>
    <s v="Tuesday"/>
    <s v="Monthly - Tuesday"/>
    <s v="Monthly - Tuesday"/>
    <s v="Month+2 Expiry"/>
    <n v="54614"/>
    <n v="9388.98"/>
    <n v="97.71"/>
  </r>
  <r>
    <s v="18-Dec-2025"/>
    <x v="3"/>
    <s v="Week3-Dec-2025"/>
    <x v="3"/>
    <s v="31-Mar-2026"/>
    <s v="Tuesday"/>
    <s v="Monthly - Tuesday"/>
    <s v="Monthly - Tuesday"/>
    <s v="Month+3 Expiry"/>
    <n v="40194"/>
    <n v="7879.5"/>
    <n v="109.49"/>
  </r>
  <r>
    <s v="18-Dec-2025"/>
    <x v="3"/>
    <s v="Week3-Dec-2025"/>
    <x v="3"/>
    <s v="30-Jun-2026"/>
    <s v="Tuesday"/>
    <s v="Monthly - Tuesday"/>
    <s v="Monthly - Tuesday"/>
    <s v="Month+6 Expiry"/>
    <n v="10340"/>
    <n v="2070.96"/>
    <n v="33.229999999999997"/>
  </r>
  <r>
    <s v="18-Dec-2025"/>
    <x v="3"/>
    <s v="Week3-Dec-2025"/>
    <x v="3"/>
    <s v="29-Sep-2026"/>
    <s v="Tuesday"/>
    <s v="Monthly - Tuesday"/>
    <s v="Monthly - Tuesday"/>
    <s v="Month+9 Expiry"/>
    <n v="84"/>
    <n v="16.05"/>
    <n v="0.23"/>
  </r>
  <r>
    <s v="18-Dec-2025"/>
    <x v="3"/>
    <s v="Week3-Dec-2025"/>
    <x v="3"/>
    <s v="29-Dec-2026"/>
    <s v="Tuesday"/>
    <s v="Monthly - Tuesday"/>
    <s v="Monthly - Tuesday"/>
    <s v="Month+12 Expiry"/>
    <n v="4261"/>
    <n v="888.16"/>
    <n v="28.81"/>
  </r>
  <r>
    <s v="18-Dec-2025"/>
    <x v="3"/>
    <s v="Week3-Dec-2025"/>
    <x v="3"/>
    <s v="29-Jun-2027"/>
    <s v="Tuesday"/>
    <s v="Monthly - Tuesday"/>
    <s v="Monthly - Tuesday"/>
    <s v="Month+18 Expiry"/>
    <n v="0"/>
    <n v="0"/>
    <n v="0"/>
  </r>
  <r>
    <s v="18-Dec-2025"/>
    <x v="3"/>
    <s v="Week3-Dec-2025"/>
    <x v="3"/>
    <s v="28-Dec-2027"/>
    <s v="Tuesday"/>
    <s v="Monthly - Tuesday"/>
    <s v="Monthly - Tuesday"/>
    <s v="Month+24 Expiry"/>
    <n v="29"/>
    <n v="5.23"/>
    <n v="0.12"/>
  </r>
  <r>
    <s v="18-Dec-2025"/>
    <x v="3"/>
    <s v="Week3-Dec-2025"/>
    <x v="3"/>
    <s v="27-Jun-2028"/>
    <s v="Tuesday"/>
    <s v="Monthly - Tuesday"/>
    <s v="Monthly - Tuesday"/>
    <s v="Month+30 Expiry"/>
    <n v="0"/>
    <n v="0"/>
    <n v="0"/>
  </r>
  <r>
    <s v="18-Dec-2025"/>
    <x v="3"/>
    <s v="Week3-Dec-2025"/>
    <x v="3"/>
    <s v="26-Dec-2028"/>
    <s v="Tuesday"/>
    <s v="Monthly - Tuesday"/>
    <s v="Monthly - Tuesday"/>
    <s v="Month+36 Expiry"/>
    <n v="0"/>
    <n v="0"/>
    <n v="0"/>
  </r>
  <r>
    <s v="18-Dec-2025"/>
    <x v="3"/>
    <s v="Week3-Dec-2025"/>
    <x v="3"/>
    <s v="26-Jun-2029"/>
    <s v="Tuesday"/>
    <s v="Monthly - Tuesday"/>
    <s v="Monthly - Tuesday"/>
    <s v="Month+42 Expiry"/>
    <n v="0"/>
    <n v="0"/>
    <n v="0"/>
  </r>
  <r>
    <s v="18-Dec-2025"/>
    <x v="3"/>
    <s v="Week3-Dec-2025"/>
    <x v="3"/>
    <s v="24-Dec-2029"/>
    <s v="Monday"/>
    <s v="Weekly - Monday"/>
    <s v="Weekly - Monday"/>
    <s v="Month+48 Expiry"/>
    <n v="0"/>
    <n v="0"/>
    <n v="0"/>
  </r>
  <r>
    <s v="18-Dec-2025"/>
    <x v="3"/>
    <s v="Week3-Dec-2025"/>
    <x v="3"/>
    <s v="25-Jun-2030"/>
    <s v="Tuesday"/>
    <s v="Monthly - Tuesday"/>
    <s v="Monthly - Tuesday"/>
    <s v="Month+54 Expiry"/>
    <n v="0"/>
    <n v="0"/>
    <n v="0"/>
  </r>
  <r>
    <s v="19-Dec-2025"/>
    <x v="4"/>
    <s v="Week3-Dec-2025"/>
    <x v="3"/>
    <s v="23-Dec-2025"/>
    <s v="Tuesday"/>
    <s v="Weekly - Tuesday"/>
    <s v="Weekly - Tuesday"/>
    <s v="Same Month Expiry"/>
    <n v="78946464"/>
    <n v="15371848.83"/>
    <n v="32714.15"/>
  </r>
  <r>
    <s v="19-Dec-2025"/>
    <x v="4"/>
    <s v="Week3-Dec-2025"/>
    <x v="3"/>
    <s v="30-Dec-2025"/>
    <s v="Tuesday"/>
    <s v="Monthly - Tuesday"/>
    <s v="Monthly - Tuesday"/>
    <s v="Same Month Expiry"/>
    <n v="3708164"/>
    <n v="723318.16"/>
    <n v="2498.16"/>
  </r>
  <r>
    <s v="19-Dec-2025"/>
    <x v="4"/>
    <s v="Week3-Dec-2025"/>
    <x v="3"/>
    <s v="06-Jan-2026"/>
    <s v="Tuesday"/>
    <s v="Weekly - Tuesday"/>
    <s v="Weekly - Tuesday"/>
    <s v="Month+1 Expiry"/>
    <n v="211809"/>
    <n v="36036.93"/>
    <n v="160.69"/>
  </r>
  <r>
    <s v="19-Dec-2025"/>
    <x v="4"/>
    <s v="Week3-Dec-2025"/>
    <x v="3"/>
    <s v="13-Jan-2026"/>
    <s v="Tuesday"/>
    <s v="Weekly - Tuesday"/>
    <s v="Weekly - Tuesday"/>
    <s v="Month+1 Expiry"/>
    <n v="16901"/>
    <n v="2877.29"/>
    <n v="17.22"/>
  </r>
  <r>
    <s v="19-Dec-2025"/>
    <x v="4"/>
    <s v="Week3-Dec-2025"/>
    <x v="3"/>
    <s v="20-Jan-2026"/>
    <s v="Tuesday"/>
    <s v="Weekly - Tuesday"/>
    <s v="Weekly - Tuesday"/>
    <s v="Month+1 Expiry"/>
    <n v="1080"/>
    <n v="184.48"/>
    <n v="1.82"/>
  </r>
  <r>
    <s v="19-Dec-2025"/>
    <x v="4"/>
    <s v="Week3-Dec-2025"/>
    <x v="3"/>
    <s v="27-Jan-2026"/>
    <s v="Tuesday"/>
    <s v="Monthly - Tuesday"/>
    <s v="Monthly - Tuesday"/>
    <s v="Month+1 Expiry"/>
    <n v="408119"/>
    <n v="69313.94"/>
    <n v="450.79"/>
  </r>
  <r>
    <s v="19-Dec-2025"/>
    <x v="4"/>
    <s v="Week3-Dec-2025"/>
    <x v="3"/>
    <s v="24-Feb-2026"/>
    <s v="Tuesday"/>
    <s v="Monthly - Tuesday"/>
    <s v="Monthly - Tuesday"/>
    <s v="Month+2 Expiry"/>
    <n v="43013"/>
    <n v="7321.49"/>
    <n v="71.62"/>
  </r>
  <r>
    <s v="19-Dec-2025"/>
    <x v="4"/>
    <s v="Week3-Dec-2025"/>
    <x v="3"/>
    <s v="31-Mar-2026"/>
    <s v="Tuesday"/>
    <s v="Monthly - Tuesday"/>
    <s v="Monthly - Tuesday"/>
    <s v="Month+3 Expiry"/>
    <n v="25179"/>
    <n v="5012.05"/>
    <n v="94.49"/>
  </r>
  <r>
    <s v="19-Dec-2025"/>
    <x v="4"/>
    <s v="Week3-Dec-2025"/>
    <x v="3"/>
    <s v="30-Jun-2026"/>
    <s v="Tuesday"/>
    <s v="Monthly - Tuesday"/>
    <s v="Monthly - Tuesday"/>
    <s v="Month+6 Expiry"/>
    <n v="8385"/>
    <n v="1687.06"/>
    <n v="29.26"/>
  </r>
  <r>
    <s v="19-Dec-2025"/>
    <x v="4"/>
    <s v="Week3-Dec-2025"/>
    <x v="3"/>
    <s v="29-Sep-2026"/>
    <s v="Tuesday"/>
    <s v="Monthly - Tuesday"/>
    <s v="Monthly - Tuesday"/>
    <s v="Month+9 Expiry"/>
    <n v="106"/>
    <n v="20.23"/>
    <n v="0.28000000000000003"/>
  </r>
  <r>
    <s v="19-Dec-2025"/>
    <x v="4"/>
    <s v="Week3-Dec-2025"/>
    <x v="3"/>
    <s v="29-Dec-2026"/>
    <s v="Tuesday"/>
    <s v="Monthly - Tuesday"/>
    <s v="Monthly - Tuesday"/>
    <s v="Month+12 Expiry"/>
    <n v="5017"/>
    <n v="1039.06"/>
    <n v="32.5"/>
  </r>
  <r>
    <s v="19-Dec-2025"/>
    <x v="4"/>
    <s v="Week3-Dec-2025"/>
    <x v="3"/>
    <s v="29-Jun-2027"/>
    <s v="Tuesday"/>
    <s v="Monthly - Tuesday"/>
    <s v="Monthly - Tuesday"/>
    <s v="Month+18 Expiry"/>
    <n v="0"/>
    <n v="0"/>
    <n v="0"/>
  </r>
  <r>
    <s v="19-Dec-2025"/>
    <x v="4"/>
    <s v="Week3-Dec-2025"/>
    <x v="3"/>
    <s v="28-Dec-2027"/>
    <s v="Tuesday"/>
    <s v="Monthly - Tuesday"/>
    <s v="Monthly - Tuesday"/>
    <s v="Month+24 Expiry"/>
    <n v="7"/>
    <n v="1.47"/>
    <n v="0.12"/>
  </r>
  <r>
    <s v="19-Dec-2025"/>
    <x v="4"/>
    <s v="Week3-Dec-2025"/>
    <x v="3"/>
    <s v="27-Jun-2028"/>
    <s v="Tuesday"/>
    <s v="Monthly - Tuesday"/>
    <s v="Monthly - Tuesday"/>
    <s v="Month+30 Expiry"/>
    <n v="0"/>
    <n v="0"/>
    <n v="0"/>
  </r>
  <r>
    <s v="19-Dec-2025"/>
    <x v="4"/>
    <s v="Week3-Dec-2025"/>
    <x v="3"/>
    <s v="26-Dec-2028"/>
    <s v="Tuesday"/>
    <s v="Monthly - Tuesday"/>
    <s v="Monthly - Tuesday"/>
    <s v="Month+36 Expiry"/>
    <n v="6"/>
    <n v="1.21"/>
    <n v="0.05"/>
  </r>
  <r>
    <s v="19-Dec-2025"/>
    <x v="4"/>
    <s v="Week3-Dec-2025"/>
    <x v="3"/>
    <s v="26-Jun-2029"/>
    <s v="Tuesday"/>
    <s v="Monthly - Tuesday"/>
    <s v="Monthly - Tuesday"/>
    <s v="Month+42 Expiry"/>
    <n v="0"/>
    <n v="0"/>
    <n v="0"/>
  </r>
  <r>
    <s v="19-Dec-2025"/>
    <x v="4"/>
    <s v="Week3-Dec-2025"/>
    <x v="3"/>
    <s v="24-Dec-2029"/>
    <s v="Monday"/>
    <s v="Weekly - Monday"/>
    <s v="Weekly - Monday"/>
    <s v="Month+48 Expiry"/>
    <n v="0"/>
    <n v="0"/>
    <n v="0"/>
  </r>
  <r>
    <s v="19-Dec-2025"/>
    <x v="4"/>
    <s v="Week3-Dec-2025"/>
    <x v="3"/>
    <s v="25-Jun-2030"/>
    <s v="Tuesday"/>
    <s v="Monthly - Tuesday"/>
    <s v="Monthly - Tuesday"/>
    <s v="Month+54 Expiry"/>
    <n v="0"/>
    <n v="0"/>
    <n v="0"/>
  </r>
  <r>
    <s v="22-Dec-2025"/>
    <x v="0"/>
    <s v="Week4-Dec-2025"/>
    <x v="3"/>
    <s v="23-Dec-2025"/>
    <s v="Tuesday"/>
    <s v="Weekly - Tuesday"/>
    <s v="Weekly - Tuesday"/>
    <s v="Same Month Expiry"/>
    <n v="76937483"/>
    <n v="15044287.58"/>
    <n v="22931.85"/>
  </r>
  <r>
    <s v="22-Dec-2025"/>
    <x v="0"/>
    <s v="Week4-Dec-2025"/>
    <x v="3"/>
    <s v="30-Dec-2025"/>
    <s v="Tuesday"/>
    <s v="Monthly - Tuesday"/>
    <s v="Monthly - Tuesday"/>
    <s v="Same Month Expiry"/>
    <n v="4819612"/>
    <n v="942414.77"/>
    <n v="2796.77"/>
  </r>
  <r>
    <s v="22-Dec-2025"/>
    <x v="0"/>
    <s v="Week4-Dec-2025"/>
    <x v="3"/>
    <s v="06-Jan-2026"/>
    <s v="Tuesday"/>
    <s v="Weekly - Tuesday"/>
    <s v="Weekly - Tuesday"/>
    <s v="Month+1 Expiry"/>
    <n v="426880"/>
    <n v="72927.62"/>
    <n v="347.72"/>
  </r>
  <r>
    <s v="22-Dec-2025"/>
    <x v="0"/>
    <s v="Week4-Dec-2025"/>
    <x v="3"/>
    <s v="13-Jan-2026"/>
    <s v="Tuesday"/>
    <s v="Weekly - Tuesday"/>
    <s v="Weekly - Tuesday"/>
    <s v="Month+1 Expiry"/>
    <n v="27521"/>
    <n v="4704.9799999999996"/>
    <n v="25.19"/>
  </r>
  <r>
    <s v="22-Dec-2025"/>
    <x v="0"/>
    <s v="Week4-Dec-2025"/>
    <x v="3"/>
    <s v="20-Jan-2026"/>
    <s v="Tuesday"/>
    <s v="Weekly - Tuesday"/>
    <s v="Weekly - Tuesday"/>
    <s v="Month+1 Expiry"/>
    <n v="1882"/>
    <n v="321.04000000000002"/>
    <n v="2.79"/>
  </r>
  <r>
    <s v="22-Dec-2025"/>
    <x v="0"/>
    <s v="Week4-Dec-2025"/>
    <x v="3"/>
    <s v="27-Jan-2026"/>
    <s v="Tuesday"/>
    <s v="Monthly - Tuesday"/>
    <s v="Monthly - Tuesday"/>
    <s v="Month+1 Expiry"/>
    <n v="506514"/>
    <n v="86431.38"/>
    <n v="593.24"/>
  </r>
  <r>
    <s v="22-Dec-2025"/>
    <x v="0"/>
    <s v="Week4-Dec-2025"/>
    <x v="3"/>
    <s v="24-Feb-2026"/>
    <s v="Tuesday"/>
    <s v="Monthly - Tuesday"/>
    <s v="Monthly - Tuesday"/>
    <s v="Month+2 Expiry"/>
    <n v="70128"/>
    <n v="11998.11"/>
    <n v="110.73"/>
  </r>
  <r>
    <s v="22-Dec-2025"/>
    <x v="0"/>
    <s v="Week4-Dec-2025"/>
    <x v="3"/>
    <s v="31-Mar-2026"/>
    <s v="Tuesday"/>
    <s v="Monthly - Tuesday"/>
    <s v="Monthly - Tuesday"/>
    <s v="Month+3 Expiry"/>
    <n v="48242"/>
    <n v="9488.2000000000007"/>
    <n v="163.03"/>
  </r>
  <r>
    <s v="22-Dec-2025"/>
    <x v="0"/>
    <s v="Week4-Dec-2025"/>
    <x v="3"/>
    <s v="30-Jun-2026"/>
    <s v="Tuesday"/>
    <s v="Monthly - Tuesday"/>
    <s v="Monthly - Tuesday"/>
    <s v="Month+6 Expiry"/>
    <n v="16647"/>
    <n v="3324.92"/>
    <n v="55.1"/>
  </r>
  <r>
    <s v="22-Dec-2025"/>
    <x v="0"/>
    <s v="Week4-Dec-2025"/>
    <x v="3"/>
    <s v="29-Sep-2026"/>
    <s v="Tuesday"/>
    <s v="Monthly - Tuesday"/>
    <s v="Monthly - Tuesday"/>
    <s v="Month+9 Expiry"/>
    <n v="280"/>
    <n v="53.39"/>
    <n v="0.7"/>
  </r>
  <r>
    <s v="22-Dec-2025"/>
    <x v="0"/>
    <s v="Week4-Dec-2025"/>
    <x v="3"/>
    <s v="29-Dec-2026"/>
    <s v="Tuesday"/>
    <s v="Monthly - Tuesday"/>
    <s v="Monthly - Tuesday"/>
    <s v="Month+12 Expiry"/>
    <n v="4681"/>
    <n v="964.39"/>
    <n v="30.38"/>
  </r>
  <r>
    <s v="22-Dec-2025"/>
    <x v="0"/>
    <s v="Week4-Dec-2025"/>
    <x v="3"/>
    <s v="29-Jun-2027"/>
    <s v="Tuesday"/>
    <s v="Monthly - Tuesday"/>
    <s v="Monthly - Tuesday"/>
    <s v="Month+18 Expiry"/>
    <n v="0"/>
    <n v="0"/>
    <n v="0"/>
  </r>
  <r>
    <s v="22-Dec-2025"/>
    <x v="0"/>
    <s v="Week4-Dec-2025"/>
    <x v="3"/>
    <s v="28-Dec-2027"/>
    <s v="Tuesday"/>
    <s v="Monthly - Tuesday"/>
    <s v="Monthly - Tuesday"/>
    <s v="Month+24 Expiry"/>
    <n v="17"/>
    <n v="3.24"/>
    <n v="0.11"/>
  </r>
  <r>
    <s v="22-Dec-2025"/>
    <x v="0"/>
    <s v="Week4-Dec-2025"/>
    <x v="3"/>
    <s v="27-Jun-2028"/>
    <s v="Tuesday"/>
    <s v="Monthly - Tuesday"/>
    <s v="Monthly - Tuesday"/>
    <s v="Month+30 Expiry"/>
    <n v="0"/>
    <n v="0"/>
    <n v="0"/>
  </r>
  <r>
    <s v="22-Dec-2025"/>
    <x v="0"/>
    <s v="Week4-Dec-2025"/>
    <x v="3"/>
    <s v="26-Dec-2028"/>
    <s v="Tuesday"/>
    <s v="Monthly - Tuesday"/>
    <s v="Monthly - Tuesday"/>
    <s v="Month+36 Expiry"/>
    <n v="19"/>
    <n v="3.94"/>
    <n v="0.13"/>
  </r>
  <r>
    <s v="22-Dec-2025"/>
    <x v="0"/>
    <s v="Week4-Dec-2025"/>
    <x v="3"/>
    <s v="26-Jun-2029"/>
    <s v="Tuesday"/>
    <s v="Monthly - Tuesday"/>
    <s v="Monthly - Tuesday"/>
    <s v="Month+42 Expiry"/>
    <n v="0"/>
    <n v="0"/>
    <n v="0"/>
  </r>
  <r>
    <s v="22-Dec-2025"/>
    <x v="0"/>
    <s v="Week4-Dec-2025"/>
    <x v="3"/>
    <s v="24-Dec-2029"/>
    <s v="Monday"/>
    <s v="Weekly - Monday"/>
    <s v="Weekly - Monday"/>
    <s v="Month+48 Expiry"/>
    <n v="0"/>
    <n v="0"/>
    <n v="0"/>
  </r>
  <r>
    <s v="22-Dec-2025"/>
    <x v="0"/>
    <s v="Week4-Dec-2025"/>
    <x v="3"/>
    <s v="25-Jun-2030"/>
    <s v="Tuesday"/>
    <s v="Monthly - Tuesday"/>
    <s v="Monthly - Tuesday"/>
    <s v="Month+54 Expiry"/>
    <n v="0"/>
    <n v="0"/>
    <n v="0"/>
  </r>
  <r>
    <s v="23-Dec-2025"/>
    <x v="1"/>
    <s v="Week4-Dec-2025"/>
    <x v="3"/>
    <s v="23-Dec-2025"/>
    <s v="Tuesday"/>
    <s v="Weekly - Tuesday"/>
    <s v="Weekly - Tuesday"/>
    <s v="Same Month Expiry"/>
    <n v="237318907"/>
    <n v="46584226.740000002"/>
    <n v="37071.69"/>
  </r>
  <r>
    <s v="23-Dec-2025"/>
    <x v="1"/>
    <s v="Week4-Dec-2025"/>
    <x v="3"/>
    <s v="30-Dec-2025"/>
    <s v="Tuesday"/>
    <s v="Monthly - Tuesday"/>
    <s v="Monthly - Tuesday"/>
    <s v="Same Month Expiry"/>
    <n v="9823880"/>
    <n v="1927854.55"/>
    <n v="4804.42"/>
  </r>
  <r>
    <s v="23-Dec-2025"/>
    <x v="1"/>
    <s v="Week4-Dec-2025"/>
    <x v="3"/>
    <s v="06-Jan-2026"/>
    <s v="Tuesday"/>
    <s v="Weekly - Tuesday"/>
    <s v="Weekly - Tuesday"/>
    <s v="Month+1 Expiry"/>
    <n v="539904"/>
    <n v="92373.34"/>
    <n v="392.84"/>
  </r>
  <r>
    <s v="23-Dec-2025"/>
    <x v="1"/>
    <s v="Week4-Dec-2025"/>
    <x v="3"/>
    <s v="13-Jan-2026"/>
    <s v="Tuesday"/>
    <s v="Weekly - Tuesday"/>
    <s v="Weekly - Tuesday"/>
    <s v="Month+1 Expiry"/>
    <n v="32980"/>
    <n v="5645.81"/>
    <n v="30.43"/>
  </r>
  <r>
    <s v="23-Dec-2025"/>
    <x v="1"/>
    <s v="Week4-Dec-2025"/>
    <x v="3"/>
    <s v="20-Jan-2026"/>
    <s v="Tuesday"/>
    <s v="Weekly - Tuesday"/>
    <s v="Weekly - Tuesday"/>
    <s v="Month+1 Expiry"/>
    <n v="2422"/>
    <n v="413.78"/>
    <n v="2.98"/>
  </r>
  <r>
    <s v="23-Dec-2025"/>
    <x v="1"/>
    <s v="Week4-Dec-2025"/>
    <x v="3"/>
    <s v="27-Jan-2026"/>
    <s v="Tuesday"/>
    <s v="Monthly - Tuesday"/>
    <s v="Monthly - Tuesday"/>
    <s v="Month+1 Expiry"/>
    <n v="524719"/>
    <n v="89717.88"/>
    <n v="619.04"/>
  </r>
  <r>
    <s v="23-Dec-2025"/>
    <x v="1"/>
    <s v="Week4-Dec-2025"/>
    <x v="3"/>
    <s v="24-Feb-2026"/>
    <s v="Tuesday"/>
    <s v="Monthly - Tuesday"/>
    <s v="Monthly - Tuesday"/>
    <s v="Month+2 Expiry"/>
    <n v="69529"/>
    <n v="11904.33"/>
    <n v="118.5"/>
  </r>
  <r>
    <s v="23-Dec-2025"/>
    <x v="1"/>
    <s v="Week4-Dec-2025"/>
    <x v="3"/>
    <s v="31-Mar-2026"/>
    <s v="Tuesday"/>
    <s v="Monthly - Tuesday"/>
    <s v="Monthly - Tuesday"/>
    <s v="Month+3 Expiry"/>
    <n v="47999"/>
    <n v="9620.56"/>
    <n v="263.98"/>
  </r>
  <r>
    <s v="23-Dec-2025"/>
    <x v="1"/>
    <s v="Week4-Dec-2025"/>
    <x v="3"/>
    <s v="30-Jun-2026"/>
    <s v="Tuesday"/>
    <s v="Monthly - Tuesday"/>
    <s v="Monthly - Tuesday"/>
    <s v="Month+6 Expiry"/>
    <n v="11215"/>
    <n v="2260.31"/>
    <n v="39.99"/>
  </r>
  <r>
    <s v="23-Dec-2025"/>
    <x v="1"/>
    <s v="Week4-Dec-2025"/>
    <x v="3"/>
    <s v="29-Sep-2026"/>
    <s v="Tuesday"/>
    <s v="Monthly - Tuesday"/>
    <s v="Monthly - Tuesday"/>
    <s v="Month+9 Expiry"/>
    <n v="134"/>
    <n v="26.1"/>
    <n v="0.31"/>
  </r>
  <r>
    <s v="23-Dec-2025"/>
    <x v="1"/>
    <s v="Week4-Dec-2025"/>
    <x v="3"/>
    <s v="29-Dec-2026"/>
    <s v="Tuesday"/>
    <s v="Monthly - Tuesday"/>
    <s v="Monthly - Tuesday"/>
    <s v="Month+12 Expiry"/>
    <n v="3732"/>
    <n v="781.41"/>
    <n v="24.72"/>
  </r>
  <r>
    <s v="23-Dec-2025"/>
    <x v="1"/>
    <s v="Week4-Dec-2025"/>
    <x v="3"/>
    <s v="29-Jun-2027"/>
    <s v="Tuesday"/>
    <s v="Monthly - Tuesday"/>
    <s v="Monthly - Tuesday"/>
    <s v="Month+18 Expiry"/>
    <n v="0"/>
    <n v="0"/>
    <n v="0"/>
  </r>
  <r>
    <s v="23-Dec-2025"/>
    <x v="1"/>
    <s v="Week4-Dec-2025"/>
    <x v="3"/>
    <s v="28-Dec-2027"/>
    <s v="Tuesday"/>
    <s v="Monthly - Tuesday"/>
    <s v="Monthly - Tuesday"/>
    <s v="Month+24 Expiry"/>
    <n v="11"/>
    <n v="2.14"/>
    <n v="0.15"/>
  </r>
  <r>
    <s v="23-Dec-2025"/>
    <x v="1"/>
    <s v="Week4-Dec-2025"/>
    <x v="3"/>
    <s v="27-Jun-2028"/>
    <s v="Tuesday"/>
    <s v="Monthly - Tuesday"/>
    <s v="Monthly - Tuesday"/>
    <s v="Month+30 Expiry"/>
    <n v="0"/>
    <n v="0"/>
    <n v="0"/>
  </r>
  <r>
    <s v="23-Dec-2025"/>
    <x v="1"/>
    <s v="Week4-Dec-2025"/>
    <x v="3"/>
    <s v="26-Dec-2028"/>
    <s v="Tuesday"/>
    <s v="Monthly - Tuesday"/>
    <s v="Monthly - Tuesday"/>
    <s v="Month+36 Expiry"/>
    <n v="6"/>
    <n v="1.23"/>
    <n v="0.05"/>
  </r>
  <r>
    <s v="23-Dec-2025"/>
    <x v="1"/>
    <s v="Week4-Dec-2025"/>
    <x v="3"/>
    <s v="26-Jun-2029"/>
    <s v="Tuesday"/>
    <s v="Monthly - Tuesday"/>
    <s v="Monthly - Tuesday"/>
    <s v="Month+42 Expiry"/>
    <n v="0"/>
    <n v="0"/>
    <n v="0"/>
  </r>
  <r>
    <s v="23-Dec-2025"/>
    <x v="1"/>
    <s v="Week4-Dec-2025"/>
    <x v="3"/>
    <s v="24-Dec-2029"/>
    <s v="Monday"/>
    <s v="Weekly - Monday"/>
    <s v="Weekly - Monday"/>
    <s v="Month+48 Expiry"/>
    <n v="0"/>
    <n v="0"/>
    <n v="0"/>
  </r>
  <r>
    <s v="23-Dec-2025"/>
    <x v="1"/>
    <s v="Week4-Dec-2025"/>
    <x v="3"/>
    <s v="25-Jun-2030"/>
    <s v="Tuesday"/>
    <s v="Monthly - Tuesday"/>
    <s v="Monthly - Tuesday"/>
    <s v="Month+54 Expiry"/>
    <n v="0"/>
    <n v="0"/>
    <n v="0"/>
  </r>
  <r>
    <s v="24-Dec-2025"/>
    <x v="2"/>
    <s v="Week4-Dec-2025"/>
    <x v="3"/>
    <s v="30-Dec-2025"/>
    <s v="Tuesday"/>
    <s v="Monthly - Tuesday"/>
    <s v="MDAW - Tuesday"/>
    <s v="Same Month Expiry"/>
    <n v="39281815"/>
    <n v="7725512.8700000001"/>
    <n v="17628.830000000002"/>
  </r>
  <r>
    <s v="24-Dec-2025"/>
    <x v="2"/>
    <s v="Week4-Dec-2025"/>
    <x v="3"/>
    <s v="06-Jan-2026"/>
    <s v="Tuesday"/>
    <s v="Weekly - Tuesday"/>
    <s v="Weekly - Tuesday"/>
    <s v="Month+1 Expiry"/>
    <n v="1494493"/>
    <n v="255519.43"/>
    <n v="861.83"/>
  </r>
  <r>
    <s v="24-Dec-2025"/>
    <x v="2"/>
    <s v="Week4-Dec-2025"/>
    <x v="3"/>
    <s v="13-Jan-2026"/>
    <s v="Tuesday"/>
    <s v="Weekly - Tuesday"/>
    <s v="Weekly - Tuesday"/>
    <s v="Month+1 Expiry"/>
    <n v="81889"/>
    <n v="14009.44"/>
    <n v="64.95"/>
  </r>
  <r>
    <s v="24-Dec-2025"/>
    <x v="2"/>
    <s v="Week4-Dec-2025"/>
    <x v="3"/>
    <s v="20-Jan-2026"/>
    <s v="Tuesday"/>
    <s v="Weekly - Tuesday"/>
    <s v="Weekly - Tuesday"/>
    <s v="Month+1 Expiry"/>
    <n v="7856"/>
    <n v="1347.3"/>
    <n v="7.93"/>
  </r>
  <r>
    <s v="24-Dec-2025"/>
    <x v="2"/>
    <s v="Week4-Dec-2025"/>
    <x v="3"/>
    <s v="27-Jan-2026"/>
    <s v="Tuesday"/>
    <s v="Monthly - Tuesday"/>
    <s v="Monthly - Tuesday"/>
    <s v="Month+1 Expiry"/>
    <n v="547456"/>
    <n v="93601.85"/>
    <n v="631.64"/>
  </r>
  <r>
    <s v="24-Dec-2025"/>
    <x v="2"/>
    <s v="Week4-Dec-2025"/>
    <x v="3"/>
    <s v="03-Feb-2026"/>
    <s v="Tuesday"/>
    <s v="Weekly - Tuesday"/>
    <s v="Weekly - Tuesday"/>
    <s v="Month+2 Expiry"/>
    <n v="180"/>
    <n v="29.52"/>
    <n v="0.11"/>
  </r>
  <r>
    <s v="24-Dec-2025"/>
    <x v="2"/>
    <s v="Week4-Dec-2025"/>
    <x v="3"/>
    <s v="24-Feb-2026"/>
    <s v="Tuesday"/>
    <s v="Monthly - Tuesday"/>
    <s v="Monthly - Tuesday"/>
    <s v="Month+2 Expiry"/>
    <n v="65411"/>
    <n v="11233.78"/>
    <n v="123.49"/>
  </r>
  <r>
    <s v="24-Dec-2025"/>
    <x v="2"/>
    <s v="Week4-Dec-2025"/>
    <x v="3"/>
    <s v="31-Mar-2026"/>
    <s v="Tuesday"/>
    <s v="Monthly - Tuesday"/>
    <s v="Monthly - Tuesday"/>
    <s v="Month+3 Expiry"/>
    <n v="50282"/>
    <n v="10111.799999999999"/>
    <n v="330.02"/>
  </r>
  <r>
    <s v="24-Dec-2025"/>
    <x v="2"/>
    <s v="Week4-Dec-2025"/>
    <x v="3"/>
    <s v="30-Jun-2026"/>
    <s v="Tuesday"/>
    <s v="Monthly - Tuesday"/>
    <s v="Monthly - Tuesday"/>
    <s v="Month+6 Expiry"/>
    <n v="8161"/>
    <n v="1607.05"/>
    <n v="28.84"/>
  </r>
  <r>
    <s v="24-Dec-2025"/>
    <x v="2"/>
    <s v="Week4-Dec-2025"/>
    <x v="3"/>
    <s v="29-Sep-2026"/>
    <s v="Tuesday"/>
    <s v="Monthly - Tuesday"/>
    <s v="Monthly - Tuesday"/>
    <s v="Month+9 Expiry"/>
    <n v="187"/>
    <n v="36.92"/>
    <n v="0.55000000000000004"/>
  </r>
  <r>
    <s v="24-Dec-2025"/>
    <x v="2"/>
    <s v="Week4-Dec-2025"/>
    <x v="3"/>
    <s v="29-Dec-2026"/>
    <s v="Tuesday"/>
    <s v="Monthly - Tuesday"/>
    <s v="Monthly - Tuesday"/>
    <s v="Month+12 Expiry"/>
    <n v="3743"/>
    <n v="782.94"/>
    <n v="25.26"/>
  </r>
  <r>
    <s v="24-Dec-2025"/>
    <x v="2"/>
    <s v="Week4-Dec-2025"/>
    <x v="3"/>
    <s v="29-Jun-2027"/>
    <s v="Tuesday"/>
    <s v="Monthly - Tuesday"/>
    <s v="Monthly - Tuesday"/>
    <s v="Month+18 Expiry"/>
    <n v="0"/>
    <n v="0"/>
    <n v="0"/>
  </r>
  <r>
    <s v="24-Dec-2025"/>
    <x v="2"/>
    <s v="Week4-Dec-2025"/>
    <x v="3"/>
    <s v="28-Dec-2027"/>
    <s v="Tuesday"/>
    <s v="Monthly - Tuesday"/>
    <s v="Monthly - Tuesday"/>
    <s v="Month+24 Expiry"/>
    <n v="9"/>
    <n v="1.67"/>
    <n v="7.0000000000000007E-2"/>
  </r>
  <r>
    <s v="24-Dec-2025"/>
    <x v="2"/>
    <s v="Week4-Dec-2025"/>
    <x v="3"/>
    <s v="27-Jun-2028"/>
    <s v="Tuesday"/>
    <s v="Monthly - Tuesday"/>
    <s v="Monthly - Tuesday"/>
    <s v="Month+30 Expiry"/>
    <n v="0"/>
    <n v="0"/>
    <n v="0"/>
  </r>
  <r>
    <s v="24-Dec-2025"/>
    <x v="2"/>
    <s v="Week4-Dec-2025"/>
    <x v="3"/>
    <s v="26-Dec-2028"/>
    <s v="Tuesday"/>
    <s v="Monthly - Tuesday"/>
    <s v="Monthly - Tuesday"/>
    <s v="Month+36 Expiry"/>
    <n v="5"/>
    <n v="1.02"/>
    <n v="0.03"/>
  </r>
  <r>
    <s v="24-Dec-2025"/>
    <x v="2"/>
    <s v="Week4-Dec-2025"/>
    <x v="3"/>
    <s v="26-Jun-2029"/>
    <s v="Tuesday"/>
    <s v="Monthly - Tuesday"/>
    <s v="Monthly - Tuesday"/>
    <s v="Month+42 Expiry"/>
    <n v="0"/>
    <n v="0"/>
    <n v="0"/>
  </r>
  <r>
    <s v="24-Dec-2025"/>
    <x v="2"/>
    <s v="Week4-Dec-2025"/>
    <x v="3"/>
    <s v="24-Dec-2029"/>
    <s v="Monday"/>
    <s v="Weekly - Monday"/>
    <s v="Weekly - Monday"/>
    <s v="Month+48 Expiry"/>
    <n v="0"/>
    <n v="0"/>
    <n v="0"/>
  </r>
  <r>
    <s v="24-Dec-2025"/>
    <x v="2"/>
    <s v="Week4-Dec-2025"/>
    <x v="3"/>
    <s v="25-Jun-2030"/>
    <s v="Tuesday"/>
    <s v="Monthly - Tuesday"/>
    <s v="Monthly - Tuesday"/>
    <s v="Month+54 Expiry"/>
    <n v="0"/>
    <n v="0"/>
    <n v="0"/>
  </r>
  <r>
    <s v="26-Dec-2025"/>
    <x v="4"/>
    <s v="Week4-Dec-2025"/>
    <x v="3"/>
    <s v="30-Dec-2025"/>
    <s v="Tuesday"/>
    <s v="Monthly - Tuesday"/>
    <s v="MDAW - Tuesday"/>
    <s v="Same Month Expiry"/>
    <n v="58640372"/>
    <n v="11506439.449999999"/>
    <n v="21140.2"/>
  </r>
  <r>
    <s v="26-Dec-2025"/>
    <x v="4"/>
    <s v="Week4-Dec-2025"/>
    <x v="3"/>
    <s v="06-Jan-2026"/>
    <s v="Tuesday"/>
    <s v="Weekly - Tuesday"/>
    <s v="Weekly - Tuesday"/>
    <s v="Month+1 Expiry"/>
    <n v="2489699"/>
    <n v="424477.27"/>
    <n v="1161.8399999999999"/>
  </r>
  <r>
    <s v="26-Dec-2025"/>
    <x v="4"/>
    <s v="Week4-Dec-2025"/>
    <x v="3"/>
    <s v="13-Jan-2026"/>
    <s v="Tuesday"/>
    <s v="Weekly - Tuesday"/>
    <s v="Weekly - Tuesday"/>
    <s v="Month+1 Expiry"/>
    <n v="165830"/>
    <n v="28286.26"/>
    <n v="129.04"/>
  </r>
  <r>
    <s v="26-Dec-2025"/>
    <x v="4"/>
    <s v="Week4-Dec-2025"/>
    <x v="3"/>
    <s v="20-Jan-2026"/>
    <s v="Tuesday"/>
    <s v="Weekly - Tuesday"/>
    <s v="Weekly - Tuesday"/>
    <s v="Month+1 Expiry"/>
    <n v="11369"/>
    <n v="1946.19"/>
    <n v="10.54"/>
  </r>
  <r>
    <s v="26-Dec-2025"/>
    <x v="4"/>
    <s v="Week4-Dec-2025"/>
    <x v="3"/>
    <s v="27-Jan-2026"/>
    <s v="Tuesday"/>
    <s v="Monthly - Tuesday"/>
    <s v="Monthly - Tuesday"/>
    <s v="Month+1 Expiry"/>
    <n v="695552"/>
    <n v="119308.14"/>
    <n v="805.71"/>
  </r>
  <r>
    <s v="26-Dec-2025"/>
    <x v="4"/>
    <s v="Week4-Dec-2025"/>
    <x v="3"/>
    <s v="03-Feb-2026"/>
    <s v="Tuesday"/>
    <s v="Weekly - Tuesday"/>
    <s v="Weekly - Tuesday"/>
    <s v="Month+2 Expiry"/>
    <n v="920"/>
    <n v="155.79"/>
    <n v="1.01"/>
  </r>
  <r>
    <s v="26-Dec-2025"/>
    <x v="4"/>
    <s v="Week4-Dec-2025"/>
    <x v="3"/>
    <s v="24-Feb-2026"/>
    <s v="Tuesday"/>
    <s v="Monthly - Tuesday"/>
    <s v="Monthly - Tuesday"/>
    <s v="Month+2 Expiry"/>
    <n v="77348"/>
    <n v="13287.15"/>
    <n v="135.18"/>
  </r>
  <r>
    <s v="26-Dec-2025"/>
    <x v="4"/>
    <s v="Week4-Dec-2025"/>
    <x v="3"/>
    <s v="31-Mar-2026"/>
    <s v="Tuesday"/>
    <s v="Monthly - Tuesday"/>
    <s v="Monthly - Tuesday"/>
    <s v="Month+3 Expiry"/>
    <n v="55862"/>
    <n v="11381.4"/>
    <n v="306.95"/>
  </r>
  <r>
    <s v="26-Dec-2025"/>
    <x v="4"/>
    <s v="Week4-Dec-2025"/>
    <x v="3"/>
    <s v="30-Jun-2026"/>
    <s v="Tuesday"/>
    <s v="Monthly - Tuesday"/>
    <s v="Monthly - Tuesday"/>
    <s v="Month+6 Expiry"/>
    <n v="11859"/>
    <n v="2385.59"/>
    <n v="40.22"/>
  </r>
  <r>
    <s v="26-Dec-2025"/>
    <x v="4"/>
    <s v="Week4-Dec-2025"/>
    <x v="3"/>
    <s v="29-Sep-2026"/>
    <s v="Tuesday"/>
    <s v="Monthly - Tuesday"/>
    <s v="Monthly - Tuesday"/>
    <s v="Month+9 Expiry"/>
    <n v="768"/>
    <n v="147.51"/>
    <n v="1.89"/>
  </r>
  <r>
    <s v="26-Dec-2025"/>
    <x v="4"/>
    <s v="Week4-Dec-2025"/>
    <x v="3"/>
    <s v="29-Dec-2026"/>
    <s v="Tuesday"/>
    <s v="Monthly - Tuesday"/>
    <s v="Monthly - Tuesday"/>
    <s v="Month+12 Expiry"/>
    <n v="4577"/>
    <n v="951.67"/>
    <n v="32.42"/>
  </r>
  <r>
    <s v="26-Dec-2025"/>
    <x v="4"/>
    <s v="Week4-Dec-2025"/>
    <x v="3"/>
    <s v="29-Jun-2027"/>
    <s v="Tuesday"/>
    <s v="Monthly - Tuesday"/>
    <s v="Monthly - Tuesday"/>
    <s v="Month+18 Expiry"/>
    <n v="1"/>
    <n v="0.21"/>
    <n v="0.03"/>
  </r>
  <r>
    <s v="26-Dec-2025"/>
    <x v="4"/>
    <s v="Week4-Dec-2025"/>
    <x v="3"/>
    <s v="28-Dec-2027"/>
    <s v="Tuesday"/>
    <s v="Monthly - Tuesday"/>
    <s v="Monthly - Tuesday"/>
    <s v="Month+24 Expiry"/>
    <n v="11"/>
    <n v="2.09"/>
    <n v="0.05"/>
  </r>
  <r>
    <s v="26-Dec-2025"/>
    <x v="4"/>
    <s v="Week4-Dec-2025"/>
    <x v="3"/>
    <s v="27-Jun-2028"/>
    <s v="Tuesday"/>
    <s v="Monthly - Tuesday"/>
    <s v="Monthly - Tuesday"/>
    <s v="Month+30 Expiry"/>
    <n v="0"/>
    <n v="0"/>
    <n v="0"/>
  </r>
  <r>
    <s v="26-Dec-2025"/>
    <x v="4"/>
    <s v="Week4-Dec-2025"/>
    <x v="3"/>
    <s v="26-Dec-2028"/>
    <s v="Tuesday"/>
    <s v="Monthly - Tuesday"/>
    <s v="Monthly - Tuesday"/>
    <s v="Month+36 Expiry"/>
    <n v="1"/>
    <n v="0.21"/>
    <n v="0.01"/>
  </r>
  <r>
    <s v="26-Dec-2025"/>
    <x v="4"/>
    <s v="Week4-Dec-2025"/>
    <x v="3"/>
    <s v="26-Jun-2029"/>
    <s v="Tuesday"/>
    <s v="Monthly - Tuesday"/>
    <s v="Monthly - Tuesday"/>
    <s v="Month+42 Expiry"/>
    <n v="0"/>
    <n v="0"/>
    <n v="0"/>
  </r>
  <r>
    <s v="26-Dec-2025"/>
    <x v="4"/>
    <s v="Week4-Dec-2025"/>
    <x v="3"/>
    <s v="24-Dec-2029"/>
    <s v="Monday"/>
    <s v="Weekly - Monday"/>
    <s v="Weekly - Monday"/>
    <s v="Month+48 Expiry"/>
    <n v="0"/>
    <n v="0"/>
    <n v="0"/>
  </r>
  <r>
    <s v="26-Dec-2025"/>
    <x v="4"/>
    <s v="Week4-Dec-2025"/>
    <x v="3"/>
    <s v="25-Jun-2030"/>
    <s v="Tuesday"/>
    <s v="Monthly - Tuesday"/>
    <s v="Monthly - Tuesday"/>
    <s v="Month+54 Expiry"/>
    <n v="0"/>
    <n v="0"/>
    <n v="0"/>
  </r>
  <r>
    <s v="29-Dec-2025"/>
    <x v="0"/>
    <s v="Week5-Dec-2025"/>
    <x v="3"/>
    <s v="30-Dec-2025"/>
    <s v="Tuesday"/>
    <s v="Monthly - Tuesday"/>
    <s v="MDAW - Tuesday"/>
    <s v="Same Month Expiry"/>
    <n v="95807647"/>
    <n v="18730825.02"/>
    <n v="26901.38"/>
  </r>
  <r>
    <s v="29-Dec-2025"/>
    <x v="0"/>
    <s v="Week5-Dec-2025"/>
    <x v="3"/>
    <s v="06-Jan-2026"/>
    <s v="Tuesday"/>
    <s v="Weekly - Tuesday"/>
    <s v="Weekly - Tuesday"/>
    <s v="Month+1 Expiry"/>
    <n v="4991299"/>
    <n v="849721.47"/>
    <n v="2129.84"/>
  </r>
  <r>
    <s v="29-Dec-2025"/>
    <x v="0"/>
    <s v="Week5-Dec-2025"/>
    <x v="3"/>
    <s v="13-Jan-2026"/>
    <s v="Tuesday"/>
    <s v="Weekly - Tuesday"/>
    <s v="Weekly - Tuesday"/>
    <s v="Month+1 Expiry"/>
    <n v="331508"/>
    <n v="56400.47"/>
    <n v="225.02"/>
  </r>
  <r>
    <s v="29-Dec-2025"/>
    <x v="0"/>
    <s v="Week5-Dec-2025"/>
    <x v="3"/>
    <s v="20-Jan-2026"/>
    <s v="Tuesday"/>
    <s v="Weekly - Tuesday"/>
    <s v="Weekly - Tuesday"/>
    <s v="Month+1 Expiry"/>
    <n v="21848"/>
    <n v="3723.46"/>
    <n v="20.34"/>
  </r>
  <r>
    <s v="29-Dec-2025"/>
    <x v="0"/>
    <s v="Week5-Dec-2025"/>
    <x v="3"/>
    <s v="27-Jan-2026"/>
    <s v="Tuesday"/>
    <s v="Monthly - Tuesday"/>
    <s v="Monthly - Tuesday"/>
    <s v="Month+1 Expiry"/>
    <n v="985190"/>
    <n v="168889.38"/>
    <n v="1266.05"/>
  </r>
  <r>
    <s v="29-Dec-2025"/>
    <x v="0"/>
    <s v="Week5-Dec-2025"/>
    <x v="3"/>
    <s v="03-Feb-2026"/>
    <s v="Tuesday"/>
    <s v="Weekly - Tuesday"/>
    <s v="Weekly - Tuesday"/>
    <s v="Month+2 Expiry"/>
    <n v="2259"/>
    <n v="386.44"/>
    <n v="2.42"/>
  </r>
  <r>
    <s v="29-Dec-2025"/>
    <x v="0"/>
    <s v="Week5-Dec-2025"/>
    <x v="3"/>
    <s v="24-Feb-2026"/>
    <s v="Tuesday"/>
    <s v="Monthly - Tuesday"/>
    <s v="Monthly - Tuesday"/>
    <s v="Month+2 Expiry"/>
    <n v="105935"/>
    <n v="18108.32"/>
    <n v="170.98"/>
  </r>
  <r>
    <s v="29-Dec-2025"/>
    <x v="0"/>
    <s v="Week5-Dec-2025"/>
    <x v="3"/>
    <s v="30-Mar-2026"/>
    <s v="Monday"/>
    <s v="Monthly - Monday"/>
    <s v="Monthly - Monday"/>
    <s v="Month+3 Expiry"/>
    <n v="67799"/>
    <n v="13618.09"/>
    <n v="492.59"/>
  </r>
  <r>
    <s v="29-Dec-2025"/>
    <x v="0"/>
    <s v="Week5-Dec-2025"/>
    <x v="3"/>
    <s v="30-Jun-2026"/>
    <s v="Tuesday"/>
    <s v="Monthly - Tuesday"/>
    <s v="Monthly - Tuesday"/>
    <s v="Month+6 Expiry"/>
    <n v="15873"/>
    <n v="3232.25"/>
    <n v="92.71"/>
  </r>
  <r>
    <s v="29-Dec-2025"/>
    <x v="0"/>
    <s v="Week5-Dec-2025"/>
    <x v="3"/>
    <s v="29-Sep-2026"/>
    <s v="Tuesday"/>
    <s v="Monthly - Tuesday"/>
    <s v="Monthly - Tuesday"/>
    <s v="Month+9 Expiry"/>
    <n v="446"/>
    <n v="88.85"/>
    <n v="1.05"/>
  </r>
  <r>
    <s v="29-Dec-2025"/>
    <x v="0"/>
    <s v="Week5-Dec-2025"/>
    <x v="3"/>
    <s v="29-Dec-2026"/>
    <s v="Tuesday"/>
    <s v="Monthly - Tuesday"/>
    <s v="Monthly - Tuesday"/>
    <s v="Month+12 Expiry"/>
    <n v="6324"/>
    <n v="1275.3499999999999"/>
    <n v="38.880000000000003"/>
  </r>
  <r>
    <s v="29-Dec-2025"/>
    <x v="0"/>
    <s v="Week5-Dec-2025"/>
    <x v="3"/>
    <s v="29-Jun-2027"/>
    <s v="Tuesday"/>
    <s v="Monthly - Tuesday"/>
    <s v="Monthly - Tuesday"/>
    <s v="Month+18 Expiry"/>
    <n v="0"/>
    <n v="0"/>
    <n v="0"/>
  </r>
  <r>
    <s v="29-Dec-2025"/>
    <x v="0"/>
    <s v="Week5-Dec-2025"/>
    <x v="3"/>
    <s v="28-Dec-2027"/>
    <s v="Tuesday"/>
    <s v="Monthly - Tuesday"/>
    <s v="Monthly - Tuesday"/>
    <s v="Month+24 Expiry"/>
    <n v="9"/>
    <n v="1.82"/>
    <n v="0.09"/>
  </r>
  <r>
    <s v="29-Dec-2025"/>
    <x v="0"/>
    <s v="Week5-Dec-2025"/>
    <x v="3"/>
    <s v="27-Jun-2028"/>
    <s v="Tuesday"/>
    <s v="Monthly - Tuesday"/>
    <s v="Monthly - Tuesday"/>
    <s v="Month+30 Expiry"/>
    <n v="0"/>
    <n v="0"/>
    <n v="0"/>
  </r>
  <r>
    <s v="29-Dec-2025"/>
    <x v="0"/>
    <s v="Week5-Dec-2025"/>
    <x v="3"/>
    <s v="26-Dec-2028"/>
    <s v="Tuesday"/>
    <s v="Monthly - Tuesday"/>
    <s v="Monthly - Tuesday"/>
    <s v="Month+36 Expiry"/>
    <n v="2"/>
    <n v="0.39"/>
    <n v="0.01"/>
  </r>
  <r>
    <s v="29-Dec-2025"/>
    <x v="0"/>
    <s v="Week5-Dec-2025"/>
    <x v="3"/>
    <s v="26-Jun-2029"/>
    <s v="Tuesday"/>
    <s v="Monthly - Tuesday"/>
    <s v="Monthly - Tuesday"/>
    <s v="Month+42 Expiry"/>
    <n v="0"/>
    <n v="0"/>
    <n v="0"/>
  </r>
  <r>
    <s v="29-Dec-2025"/>
    <x v="0"/>
    <s v="Week5-Dec-2025"/>
    <x v="3"/>
    <s v="24-Dec-2029"/>
    <s v="Monday"/>
    <s v="Weekly - Monday"/>
    <s v="Weekly - Monday"/>
    <s v="Month+48 Expiry"/>
    <n v="6"/>
    <n v="1.06"/>
    <n v="0.02"/>
  </r>
  <r>
    <s v="29-Dec-2025"/>
    <x v="0"/>
    <s v="Week5-Dec-2025"/>
    <x v="3"/>
    <s v="25-Jun-2030"/>
    <s v="Tuesday"/>
    <s v="Monthly - Tuesday"/>
    <s v="Monthly - Tuesday"/>
    <s v="Month+54 Expiry"/>
    <n v="0"/>
    <n v="0"/>
    <n v="0"/>
  </r>
  <r>
    <s v="30-Dec-2025"/>
    <x v="1"/>
    <s v="Week5-Dec-2025"/>
    <x v="3"/>
    <s v="30-Dec-2025"/>
    <s v="Tuesday"/>
    <s v="Monthly - Tuesday"/>
    <s v="MDAW - Tuesday"/>
    <s v="Same Month Expiry"/>
    <n v="243334731"/>
    <n v="47389142.079999998"/>
    <n v="37528.58"/>
  </r>
  <r>
    <s v="30-Dec-2025"/>
    <x v="1"/>
    <s v="Week5-Dec-2025"/>
    <x v="3"/>
    <s v="06-Jan-2026"/>
    <s v="Tuesday"/>
    <s v="Weekly - Tuesday"/>
    <s v="Weekly - Tuesday"/>
    <s v="Month+1 Expiry"/>
    <n v="9718548"/>
    <n v="1651079.9"/>
    <n v="4134.78"/>
  </r>
  <r>
    <s v="30-Dec-2025"/>
    <x v="1"/>
    <s v="Week5-Dec-2025"/>
    <x v="3"/>
    <s v="13-Jan-2026"/>
    <s v="Tuesday"/>
    <s v="Weekly - Tuesday"/>
    <s v="Weekly - Tuesday"/>
    <s v="Month+1 Expiry"/>
    <n v="441624"/>
    <n v="75055.460000000006"/>
    <n v="296.2"/>
  </r>
  <r>
    <s v="30-Dec-2025"/>
    <x v="1"/>
    <s v="Week5-Dec-2025"/>
    <x v="3"/>
    <s v="20-Jan-2026"/>
    <s v="Tuesday"/>
    <s v="Weekly - Tuesday"/>
    <s v="Weekly - Tuesday"/>
    <s v="Month+1 Expiry"/>
    <n v="30847"/>
    <n v="5253.71"/>
    <n v="28.04"/>
  </r>
  <r>
    <s v="30-Dec-2025"/>
    <x v="1"/>
    <s v="Week5-Dec-2025"/>
    <x v="3"/>
    <s v="27-Jan-2026"/>
    <s v="Tuesday"/>
    <s v="Monthly - Tuesday"/>
    <s v="Monthly - Tuesday"/>
    <s v="Month+1 Expiry"/>
    <n v="1123901"/>
    <n v="192171.33"/>
    <n v="1486.54"/>
  </r>
  <r>
    <s v="30-Dec-2025"/>
    <x v="1"/>
    <s v="Week5-Dec-2025"/>
    <x v="3"/>
    <s v="03-Feb-2026"/>
    <s v="Tuesday"/>
    <s v="Weekly - Tuesday"/>
    <s v="Weekly - Tuesday"/>
    <s v="Month+2 Expiry"/>
    <n v="3078"/>
    <n v="528.21"/>
    <n v="3.47"/>
  </r>
  <r>
    <s v="30-Dec-2025"/>
    <x v="1"/>
    <s v="Week5-Dec-2025"/>
    <x v="3"/>
    <s v="24-Feb-2026"/>
    <s v="Tuesday"/>
    <s v="Monthly - Tuesday"/>
    <s v="Monthly - Tuesday"/>
    <s v="Month+2 Expiry"/>
    <n v="89977"/>
    <n v="15457.5"/>
    <n v="148.58000000000001"/>
  </r>
  <r>
    <s v="30-Dec-2025"/>
    <x v="1"/>
    <s v="Week5-Dec-2025"/>
    <x v="3"/>
    <s v="30-Mar-2026"/>
    <s v="Monday"/>
    <s v="Monthly - Monday"/>
    <s v="Monthly - Monday"/>
    <s v="Month+3 Expiry"/>
    <n v="66375"/>
    <n v="13131.08"/>
    <n v="251"/>
  </r>
  <r>
    <s v="30-Dec-2025"/>
    <x v="1"/>
    <s v="Week5-Dec-2025"/>
    <x v="3"/>
    <s v="30-Jun-2026"/>
    <s v="Tuesday"/>
    <s v="Monthly - Tuesday"/>
    <s v="Monthly - Tuesday"/>
    <s v="Month+6 Expiry"/>
    <n v="12370"/>
    <n v="2475.6999999999998"/>
    <n v="40.89"/>
  </r>
  <r>
    <s v="30-Dec-2025"/>
    <x v="1"/>
    <s v="Week5-Dec-2025"/>
    <x v="3"/>
    <s v="29-Sep-2026"/>
    <s v="Tuesday"/>
    <s v="Monthly - Tuesday"/>
    <s v="Monthly - Tuesday"/>
    <s v="Month+9 Expiry"/>
    <n v="313"/>
    <n v="62.72"/>
    <n v="1.1599999999999999"/>
  </r>
  <r>
    <s v="30-Dec-2025"/>
    <x v="1"/>
    <s v="Week5-Dec-2025"/>
    <x v="3"/>
    <s v="29-Dec-2026"/>
    <s v="Tuesday"/>
    <s v="Monthly - Tuesday"/>
    <s v="Monthly - Tuesday"/>
    <s v="Month+12 Expiry"/>
    <n v="6574"/>
    <n v="1335.26"/>
    <n v="42.39"/>
  </r>
  <r>
    <s v="30-Dec-2025"/>
    <x v="1"/>
    <s v="Week5-Dec-2025"/>
    <x v="3"/>
    <s v="29-Jun-2027"/>
    <s v="Tuesday"/>
    <s v="Monthly - Tuesday"/>
    <s v="Monthly - Tuesday"/>
    <s v="Month+18 Expiry"/>
    <n v="0"/>
    <n v="0"/>
    <n v="0"/>
  </r>
  <r>
    <s v="30-Dec-2025"/>
    <x v="1"/>
    <s v="Week5-Dec-2025"/>
    <x v="3"/>
    <s v="28-Dec-2027"/>
    <s v="Tuesday"/>
    <s v="Monthly - Tuesday"/>
    <s v="Monthly - Tuesday"/>
    <s v="Month+24 Expiry"/>
    <n v="22"/>
    <n v="4.5999999999999996"/>
    <n v="0.34"/>
  </r>
  <r>
    <s v="30-Dec-2025"/>
    <x v="1"/>
    <s v="Week5-Dec-2025"/>
    <x v="3"/>
    <s v="27-Jun-2028"/>
    <s v="Tuesday"/>
    <s v="Monthly - Tuesday"/>
    <s v="Monthly - Tuesday"/>
    <s v="Month+30 Expiry"/>
    <n v="0"/>
    <n v="0"/>
    <n v="0"/>
  </r>
  <r>
    <s v="30-Dec-2025"/>
    <x v="1"/>
    <s v="Week5-Dec-2025"/>
    <x v="3"/>
    <s v="26-Dec-2028"/>
    <s v="Tuesday"/>
    <s v="Monthly - Tuesday"/>
    <s v="Monthly - Tuesday"/>
    <s v="Month+36 Expiry"/>
    <n v="6"/>
    <n v="1.22"/>
    <n v="0.04"/>
  </r>
  <r>
    <s v="30-Dec-2025"/>
    <x v="1"/>
    <s v="Week5-Dec-2025"/>
    <x v="3"/>
    <s v="26-Jun-2029"/>
    <s v="Tuesday"/>
    <s v="Monthly - Tuesday"/>
    <s v="Monthly - Tuesday"/>
    <s v="Month+42 Expiry"/>
    <n v="0"/>
    <n v="0"/>
    <n v="0"/>
  </r>
  <r>
    <s v="30-Dec-2025"/>
    <x v="1"/>
    <s v="Week5-Dec-2025"/>
    <x v="3"/>
    <s v="24-Dec-2029"/>
    <s v="Monday"/>
    <s v="Weekly - Monday"/>
    <s v="Weekly - Monday"/>
    <s v="Month+48 Expiry"/>
    <n v="0"/>
    <n v="0"/>
    <n v="0"/>
  </r>
  <r>
    <s v="30-Dec-2025"/>
    <x v="1"/>
    <s v="Week5-Dec-2025"/>
    <x v="3"/>
    <s v="25-Jun-2030"/>
    <s v="Tuesday"/>
    <s v="Monthly - Tuesday"/>
    <s v="Monthly - Tuesday"/>
    <s v="Month+54 Expiry"/>
    <n v="0"/>
    <n v="0"/>
    <n v="0"/>
  </r>
  <r>
    <s v="31-Dec-2025"/>
    <x v="2"/>
    <s v="Week5-Dec-2025"/>
    <x v="3"/>
    <s v="06-Jan-2026"/>
    <s v="Tuesday"/>
    <s v="Weekly - Tuesday"/>
    <s v="Weekly - Tuesday"/>
    <s v="Month+1 Expiry"/>
    <n v="55665963"/>
    <n v="9456999.1600000001"/>
    <n v="22789.03"/>
  </r>
  <r>
    <s v="31-Dec-2025"/>
    <x v="2"/>
    <s v="Week5-Dec-2025"/>
    <x v="3"/>
    <s v="13-Jan-2026"/>
    <s v="Tuesday"/>
    <s v="Weekly - Tuesday"/>
    <s v="Weekly - Tuesday"/>
    <s v="Month+1 Expiry"/>
    <n v="1469049"/>
    <n v="250428.02"/>
    <n v="828.28"/>
  </r>
  <r>
    <s v="31-Dec-2025"/>
    <x v="2"/>
    <s v="Week5-Dec-2025"/>
    <x v="3"/>
    <s v="20-Jan-2026"/>
    <s v="Tuesday"/>
    <s v="Weekly - Tuesday"/>
    <s v="Weekly - Tuesday"/>
    <s v="Month+1 Expiry"/>
    <n v="65509"/>
    <n v="11161.84"/>
    <n v="58.01"/>
  </r>
  <r>
    <s v="31-Dec-2025"/>
    <x v="2"/>
    <s v="Week5-Dec-2025"/>
    <x v="3"/>
    <s v="27-Jan-2026"/>
    <s v="Tuesday"/>
    <s v="Monthly - Tuesday"/>
    <s v="Monthly - Tuesday"/>
    <s v="Month+1 Expiry"/>
    <n v="1555271"/>
    <n v="265706.8"/>
    <n v="1615.08"/>
  </r>
  <r>
    <s v="31-Dec-2025"/>
    <x v="2"/>
    <s v="Week5-Dec-2025"/>
    <x v="3"/>
    <s v="03-Feb-2026"/>
    <s v="Tuesday"/>
    <s v="Weekly - Tuesday"/>
    <s v="Weekly - Tuesday"/>
    <s v="Month+2 Expiry"/>
    <n v="7514"/>
    <n v="1292"/>
    <n v="9.15"/>
  </r>
  <r>
    <s v="31-Dec-2025"/>
    <x v="2"/>
    <s v="Week5-Dec-2025"/>
    <x v="3"/>
    <s v="24-Feb-2026"/>
    <s v="Tuesday"/>
    <s v="Monthly - Tuesday"/>
    <s v="Monthly - Tuesday"/>
    <s v="Month+2 Expiry"/>
    <n v="189708"/>
    <n v="32526.2"/>
    <n v="279.07"/>
  </r>
  <r>
    <s v="31-Dec-2025"/>
    <x v="2"/>
    <s v="Week5-Dec-2025"/>
    <x v="3"/>
    <s v="30-Mar-2026"/>
    <s v="Monday"/>
    <s v="Monthly - Monday"/>
    <s v="Monthly - Monday"/>
    <s v="Month+3 Expiry"/>
    <n v="92372"/>
    <n v="15788.55"/>
    <n v="233.39"/>
  </r>
  <r>
    <s v="31-Dec-2025"/>
    <x v="2"/>
    <s v="Week5-Dec-2025"/>
    <x v="3"/>
    <s v="30-Jun-2026"/>
    <s v="Tuesday"/>
    <s v="Monthly - Tuesday"/>
    <s v="Monthly - Tuesday"/>
    <s v="Month+6 Expiry"/>
    <n v="29976"/>
    <n v="5268.36"/>
    <n v="96.52"/>
  </r>
  <r>
    <s v="31-Dec-2025"/>
    <x v="2"/>
    <s v="Week5-Dec-2025"/>
    <x v="3"/>
    <s v="29-Sep-2026"/>
    <s v="Tuesday"/>
    <s v="Monthly - Tuesday"/>
    <s v="Monthly - Tuesday"/>
    <s v="Month+9 Expiry"/>
    <n v="1950"/>
    <n v="338.72"/>
    <n v="6.28"/>
  </r>
  <r>
    <s v="31-Dec-2025"/>
    <x v="2"/>
    <s v="Week5-Dec-2025"/>
    <x v="3"/>
    <s v="29-Dec-2026"/>
    <s v="Tuesday"/>
    <s v="Monthly - Tuesday"/>
    <s v="Monthly - Tuesday"/>
    <s v="Month+12 Expiry"/>
    <n v="12883"/>
    <n v="2281.0100000000002"/>
    <n v="65.510000000000005"/>
  </r>
  <r>
    <s v="31-Dec-2025"/>
    <x v="2"/>
    <s v="Week5-Dec-2025"/>
    <x v="3"/>
    <s v="29-Jun-2027"/>
    <s v="Tuesday"/>
    <s v="Monthly - Tuesday"/>
    <s v="Monthly - Tuesday"/>
    <s v="Month+18 Expiry"/>
    <n v="0"/>
    <n v="0"/>
    <n v="0"/>
  </r>
  <r>
    <s v="31-Dec-2025"/>
    <x v="2"/>
    <s v="Week5-Dec-2025"/>
    <x v="3"/>
    <s v="28-Dec-2027"/>
    <s v="Tuesday"/>
    <s v="Monthly - Tuesday"/>
    <s v="Monthly - Tuesday"/>
    <s v="Month+24 Expiry"/>
    <n v="139"/>
    <n v="22.23"/>
    <n v="0.57999999999999996"/>
  </r>
  <r>
    <s v="31-Dec-2025"/>
    <x v="2"/>
    <s v="Week5-Dec-2025"/>
    <x v="3"/>
    <s v="27-Jun-2028"/>
    <s v="Tuesday"/>
    <s v="Monthly - Tuesday"/>
    <s v="Monthly - Tuesday"/>
    <s v="Month+30 Expiry"/>
    <n v="0"/>
    <n v="0"/>
    <n v="0"/>
  </r>
  <r>
    <s v="31-Dec-2025"/>
    <x v="2"/>
    <s v="Week5-Dec-2025"/>
    <x v="3"/>
    <s v="26-Dec-2028"/>
    <s v="Tuesday"/>
    <s v="Monthly - Tuesday"/>
    <s v="Monthly - Tuesday"/>
    <s v="Month+36 Expiry"/>
    <n v="8"/>
    <n v="1.49"/>
    <n v="0.08"/>
  </r>
  <r>
    <s v="31-Dec-2025"/>
    <x v="2"/>
    <s v="Week5-Dec-2025"/>
    <x v="3"/>
    <s v="26-Jun-2029"/>
    <s v="Tuesday"/>
    <s v="Monthly - Tuesday"/>
    <s v="Monthly - Tuesday"/>
    <s v="Month+42 Expiry"/>
    <n v="0"/>
    <n v="0"/>
    <n v="0"/>
  </r>
  <r>
    <s v="31-Dec-2025"/>
    <x v="2"/>
    <s v="Week5-Dec-2025"/>
    <x v="3"/>
    <s v="24-Dec-2029"/>
    <s v="Monday"/>
    <s v="Weekly - Monday"/>
    <s v="Weekly - Monday"/>
    <s v="Month+48 Expiry"/>
    <n v="0"/>
    <n v="0"/>
    <n v="0"/>
  </r>
  <r>
    <s v="31-Dec-2025"/>
    <x v="2"/>
    <s v="Week5-Dec-2025"/>
    <x v="3"/>
    <s v="25-Jun-2030"/>
    <s v="Tuesday"/>
    <s v="Monthly - Tuesday"/>
    <s v="Monthly - Tuesday"/>
    <s v="Month+54 Expiry"/>
    <n v="0"/>
    <n v="0"/>
    <n v="0"/>
  </r>
  <r>
    <s v="31-Dec-2025"/>
    <x v="2"/>
    <s v="Week5-Dec-2025"/>
    <x v="3"/>
    <s v="31-Dec-2030"/>
    <s v="Tuesday"/>
    <s v="Monthly - Tuesday"/>
    <s v="Monthly - Tuesday"/>
    <s v="Month+60 Expiry"/>
    <n v="0"/>
    <n v="0"/>
    <n v="0"/>
  </r>
  <r>
    <s v="01-Jan-2026"/>
    <x v="3"/>
    <s v="Week1-Jan-2026"/>
    <x v="4"/>
    <s v="06-Jan-2026"/>
    <s v="Tuesday"/>
    <s v="Weekly - Tuesday"/>
    <s v="Weekly - Tuesday"/>
    <s v="Same Month Expiry"/>
    <n v="46697117"/>
    <n v="7943695.5700000003"/>
    <n v="16327.06"/>
  </r>
  <r>
    <s v="01-Jan-2026"/>
    <x v="3"/>
    <s v="Week1-Jan-2026"/>
    <x v="4"/>
    <s v="13-Jan-2026"/>
    <s v="Tuesday"/>
    <s v="Weekly - Tuesday"/>
    <s v="Weekly - Tuesday"/>
    <s v="Same Month Expiry"/>
    <n v="1326700"/>
    <n v="226460.9"/>
    <n v="650.49"/>
  </r>
  <r>
    <s v="01-Jan-2026"/>
    <x v="3"/>
    <s v="Week1-Jan-2026"/>
    <x v="4"/>
    <s v="20-Jan-2026"/>
    <s v="Tuesday"/>
    <s v="Weekly - Tuesday"/>
    <s v="Weekly - Tuesday"/>
    <s v="Same Month Expiry"/>
    <n v="68305"/>
    <n v="11656.51"/>
    <n v="55.23"/>
  </r>
  <r>
    <s v="01-Jan-2026"/>
    <x v="3"/>
    <s v="Week1-Jan-2026"/>
    <x v="4"/>
    <s v="27-Jan-2026"/>
    <s v="Tuesday"/>
    <s v="Monthly - Tuesday"/>
    <s v="Monthly - Tuesday"/>
    <s v="Same Month Expiry"/>
    <n v="711849"/>
    <n v="121646.08"/>
    <n v="682.67"/>
  </r>
  <r>
    <s v="01-Jan-2026"/>
    <x v="3"/>
    <s v="Week1-Jan-2026"/>
    <x v="4"/>
    <s v="03-Feb-2026"/>
    <s v="Tuesday"/>
    <s v="Weekly - Tuesday"/>
    <s v="Weekly - Tuesday"/>
    <s v="Month+1 Expiry"/>
    <n v="4347"/>
    <n v="747.58"/>
    <n v="4.6500000000000004"/>
  </r>
  <r>
    <s v="01-Jan-2026"/>
    <x v="3"/>
    <s v="Week1-Jan-2026"/>
    <x v="4"/>
    <s v="24-Feb-2026"/>
    <s v="Tuesday"/>
    <s v="Monthly - Tuesday"/>
    <s v="Monthly - Tuesday"/>
    <s v="Month+1 Expiry"/>
    <n v="107575"/>
    <n v="18471.240000000002"/>
    <n v="182.04"/>
  </r>
  <r>
    <s v="01-Jan-2026"/>
    <x v="3"/>
    <s v="Week1-Jan-2026"/>
    <x v="4"/>
    <s v="30-Mar-2026"/>
    <s v="Monday"/>
    <s v="Monthly - Monday"/>
    <s v="Monthly - Monday"/>
    <s v="Month+2 Expiry"/>
    <n v="62427"/>
    <n v="10714.69"/>
    <n v="133.66"/>
  </r>
  <r>
    <s v="01-Jan-2026"/>
    <x v="3"/>
    <s v="Week1-Jan-2026"/>
    <x v="4"/>
    <s v="30-Jun-2026"/>
    <s v="Tuesday"/>
    <s v="Monthly - Tuesday"/>
    <s v="Monthly - Tuesday"/>
    <s v="Month+5 Expiry"/>
    <n v="18155"/>
    <n v="3173.89"/>
    <n v="57.68"/>
  </r>
  <r>
    <s v="01-Jan-2026"/>
    <x v="3"/>
    <s v="Week1-Jan-2026"/>
    <x v="4"/>
    <s v="29-Sep-2026"/>
    <s v="Tuesday"/>
    <s v="Monthly - Tuesday"/>
    <s v="Monthly - Tuesday"/>
    <s v="Month+8 Expiry"/>
    <n v="532"/>
    <n v="95.64"/>
    <n v="1.68"/>
  </r>
  <r>
    <s v="01-Jan-2026"/>
    <x v="3"/>
    <s v="Week1-Jan-2026"/>
    <x v="4"/>
    <s v="29-Dec-2026"/>
    <s v="Tuesday"/>
    <s v="Monthly - Tuesday"/>
    <s v="Monthly - Tuesday"/>
    <s v="Month+11 Expiry"/>
    <n v="6440"/>
    <n v="1150.74"/>
    <n v="34.26"/>
  </r>
  <r>
    <s v="01-Jan-2026"/>
    <x v="3"/>
    <s v="Week1-Jan-2026"/>
    <x v="4"/>
    <s v="29-Jun-2027"/>
    <s v="Tuesday"/>
    <s v="Monthly - Tuesday"/>
    <s v="Monthly - Tuesday"/>
    <s v="Month+17 Expiry"/>
    <n v="0"/>
    <n v="0"/>
    <n v="0"/>
  </r>
  <r>
    <s v="01-Jan-2026"/>
    <x v="3"/>
    <s v="Week1-Jan-2026"/>
    <x v="4"/>
    <s v="28-Dec-2027"/>
    <s v="Tuesday"/>
    <s v="Monthly - Tuesday"/>
    <s v="Monthly - Tuesday"/>
    <s v="Month+23 Expiry"/>
    <n v="35"/>
    <n v="6.13"/>
    <n v="0.2"/>
  </r>
  <r>
    <s v="01-Jan-2026"/>
    <x v="3"/>
    <s v="Week1-Jan-2026"/>
    <x v="4"/>
    <s v="27-Jun-2028"/>
    <s v="Tuesday"/>
    <s v="Monthly - Tuesday"/>
    <s v="Monthly - Tuesday"/>
    <s v="Month+29 Expiry"/>
    <n v="0"/>
    <n v="0"/>
    <n v="0"/>
  </r>
  <r>
    <s v="01-Jan-2026"/>
    <x v="3"/>
    <s v="Week1-Jan-2026"/>
    <x v="4"/>
    <s v="26-Dec-2028"/>
    <s v="Tuesday"/>
    <s v="Monthly - Tuesday"/>
    <s v="Monthly - Tuesday"/>
    <s v="Month+35 Expiry"/>
    <n v="44"/>
    <n v="7.74"/>
    <n v="0.28999999999999998"/>
  </r>
  <r>
    <s v="01-Jan-2026"/>
    <x v="3"/>
    <s v="Week1-Jan-2026"/>
    <x v="4"/>
    <s v="26-Jun-2029"/>
    <s v="Tuesday"/>
    <s v="Monthly - Tuesday"/>
    <s v="Monthly - Tuesday"/>
    <s v="Month+41 Expiry"/>
    <n v="0"/>
    <n v="0"/>
    <n v="0"/>
  </r>
  <r>
    <s v="01-Jan-2026"/>
    <x v="3"/>
    <s v="Week1-Jan-2026"/>
    <x v="4"/>
    <s v="24-Dec-2029"/>
    <s v="Monday"/>
    <s v="Weekly - Monday"/>
    <s v="Weekly - Monday"/>
    <s v="Month+47 Expiry"/>
    <n v="10"/>
    <n v="1.75"/>
    <n v="0.06"/>
  </r>
  <r>
    <s v="01-Jan-2026"/>
    <x v="3"/>
    <s v="Week1-Jan-2026"/>
    <x v="4"/>
    <s v="25-Jun-2030"/>
    <s v="Tuesday"/>
    <s v="Monthly - Tuesday"/>
    <s v="Monthly - Tuesday"/>
    <s v="Month+53 Expiry"/>
    <n v="0"/>
    <n v="0"/>
    <n v="0"/>
  </r>
  <r>
    <s v="01-Jan-2026"/>
    <x v="3"/>
    <s v="Week1-Jan-2026"/>
    <x v="4"/>
    <s v="31-Dec-2030"/>
    <s v="Tuesday"/>
    <s v="Monthly - Tuesday"/>
    <s v="Monthly - Tuesday"/>
    <s v="Month+59 Expiry"/>
    <n v="0"/>
    <n v="0"/>
    <n v="0"/>
  </r>
  <r>
    <s v="02-Jan-2026"/>
    <x v="4"/>
    <s v="Week1-Jan-2026"/>
    <x v="4"/>
    <s v="06-Jan-2026"/>
    <s v="Tuesday"/>
    <s v="Weekly - Tuesday"/>
    <s v="Weekly - Tuesday"/>
    <s v="Same Month Expiry"/>
    <n v="85360743"/>
    <n v="14562132.26"/>
    <n v="25583.19"/>
  </r>
  <r>
    <s v="02-Jan-2026"/>
    <x v="4"/>
    <s v="Week1-Jan-2026"/>
    <x v="4"/>
    <s v="13-Jan-2026"/>
    <s v="Tuesday"/>
    <s v="Weekly - Tuesday"/>
    <s v="Weekly - Tuesday"/>
    <s v="Same Month Expiry"/>
    <n v="2629288"/>
    <n v="451008.1"/>
    <n v="1171.3499999999999"/>
  </r>
  <r>
    <s v="02-Jan-2026"/>
    <x v="4"/>
    <s v="Week1-Jan-2026"/>
    <x v="4"/>
    <s v="20-Jan-2026"/>
    <s v="Tuesday"/>
    <s v="Weekly - Tuesday"/>
    <s v="Weekly - Tuesday"/>
    <s v="Same Month Expiry"/>
    <n v="157765"/>
    <n v="27027.17"/>
    <n v="113.35"/>
  </r>
  <r>
    <s v="02-Jan-2026"/>
    <x v="4"/>
    <s v="Week1-Jan-2026"/>
    <x v="4"/>
    <s v="27-Jan-2026"/>
    <s v="Tuesday"/>
    <s v="Monthly - Tuesday"/>
    <s v="Monthly - Tuesday"/>
    <s v="Same Month Expiry"/>
    <n v="1433586"/>
    <n v="245598.66"/>
    <n v="1361.7"/>
  </r>
  <r>
    <s v="02-Jan-2026"/>
    <x v="4"/>
    <s v="Week1-Jan-2026"/>
    <x v="4"/>
    <s v="03-Feb-2026"/>
    <s v="Tuesday"/>
    <s v="Weekly - Tuesday"/>
    <s v="Weekly - Tuesday"/>
    <s v="Month+1 Expiry"/>
    <n v="10409"/>
    <n v="1794.28"/>
    <n v="11.5"/>
  </r>
  <r>
    <s v="02-Jan-2026"/>
    <x v="4"/>
    <s v="Week1-Jan-2026"/>
    <x v="4"/>
    <s v="24-Feb-2026"/>
    <s v="Tuesday"/>
    <s v="Monthly - Tuesday"/>
    <s v="Monthly - Tuesday"/>
    <s v="Month+1 Expiry"/>
    <n v="177264"/>
    <n v="30547.37"/>
    <n v="297.45"/>
  </r>
  <r>
    <s v="02-Jan-2026"/>
    <x v="4"/>
    <s v="Week1-Jan-2026"/>
    <x v="4"/>
    <s v="30-Mar-2026"/>
    <s v="Monday"/>
    <s v="Monthly - Monday"/>
    <s v="Monthly - Monday"/>
    <s v="Month+2 Expiry"/>
    <n v="87709"/>
    <n v="15217.8"/>
    <n v="224.92"/>
  </r>
  <r>
    <s v="02-Jan-2026"/>
    <x v="4"/>
    <s v="Week1-Jan-2026"/>
    <x v="4"/>
    <s v="30-Jun-2026"/>
    <s v="Tuesday"/>
    <s v="Monthly - Tuesday"/>
    <s v="Monthly - Tuesday"/>
    <s v="Month+5 Expiry"/>
    <n v="29432"/>
    <n v="5241.12"/>
    <n v="102.87"/>
  </r>
  <r>
    <s v="02-Jan-2026"/>
    <x v="4"/>
    <s v="Week1-Jan-2026"/>
    <x v="4"/>
    <s v="29-Sep-2026"/>
    <s v="Tuesday"/>
    <s v="Monthly - Tuesday"/>
    <s v="Monthly - Tuesday"/>
    <s v="Month+8 Expiry"/>
    <n v="736"/>
    <n v="130.57"/>
    <n v="2.15"/>
  </r>
  <r>
    <s v="02-Jan-2026"/>
    <x v="4"/>
    <s v="Week1-Jan-2026"/>
    <x v="4"/>
    <s v="29-Dec-2026"/>
    <s v="Tuesday"/>
    <s v="Monthly - Tuesday"/>
    <s v="Monthly - Tuesday"/>
    <s v="Month+11 Expiry"/>
    <n v="8201"/>
    <n v="1457.03"/>
    <n v="39.880000000000003"/>
  </r>
  <r>
    <s v="02-Jan-2026"/>
    <x v="4"/>
    <s v="Week1-Jan-2026"/>
    <x v="4"/>
    <s v="29-Jun-2027"/>
    <s v="Tuesday"/>
    <s v="Monthly - Tuesday"/>
    <s v="Monthly - Tuesday"/>
    <s v="Month+17 Expiry"/>
    <n v="0"/>
    <n v="0"/>
    <n v="0"/>
  </r>
  <r>
    <s v="02-Jan-2026"/>
    <x v="4"/>
    <s v="Week1-Jan-2026"/>
    <x v="4"/>
    <s v="28-Dec-2027"/>
    <s v="Tuesday"/>
    <s v="Monthly - Tuesday"/>
    <s v="Monthly - Tuesday"/>
    <s v="Month+23 Expiry"/>
    <n v="60"/>
    <n v="10.72"/>
    <n v="0.55000000000000004"/>
  </r>
  <r>
    <s v="02-Jan-2026"/>
    <x v="4"/>
    <s v="Week1-Jan-2026"/>
    <x v="4"/>
    <s v="27-Jun-2028"/>
    <s v="Tuesday"/>
    <s v="Monthly - Tuesday"/>
    <s v="Monthly - Tuesday"/>
    <s v="Month+29 Expiry"/>
    <n v="0"/>
    <n v="0"/>
    <n v="0"/>
  </r>
  <r>
    <s v="02-Jan-2026"/>
    <x v="4"/>
    <s v="Week1-Jan-2026"/>
    <x v="4"/>
    <s v="26-Dec-2028"/>
    <s v="Tuesday"/>
    <s v="Monthly - Tuesday"/>
    <s v="Monthly - Tuesday"/>
    <s v="Month+35 Expiry"/>
    <n v="2"/>
    <n v="0.34"/>
    <n v="0.01"/>
  </r>
  <r>
    <s v="02-Jan-2026"/>
    <x v="4"/>
    <s v="Week1-Jan-2026"/>
    <x v="4"/>
    <s v="26-Jun-2029"/>
    <s v="Tuesday"/>
    <s v="Monthly - Tuesday"/>
    <s v="Monthly - Tuesday"/>
    <s v="Month+41 Expiry"/>
    <n v="0"/>
    <n v="0"/>
    <n v="0"/>
  </r>
  <r>
    <s v="02-Jan-2026"/>
    <x v="4"/>
    <s v="Week1-Jan-2026"/>
    <x v="4"/>
    <s v="24-Dec-2029"/>
    <s v="Monday"/>
    <s v="Weekly - Monday"/>
    <s v="Weekly - Monday"/>
    <s v="Month+47 Expiry"/>
    <n v="0"/>
    <n v="0"/>
    <n v="0"/>
  </r>
  <r>
    <s v="02-Jan-2026"/>
    <x v="4"/>
    <s v="Week1-Jan-2026"/>
    <x v="4"/>
    <s v="25-Jun-2030"/>
    <s v="Tuesday"/>
    <s v="Monthly - Tuesday"/>
    <s v="Monthly - Tuesday"/>
    <s v="Month+53 Expiry"/>
    <n v="0"/>
    <n v="0"/>
    <n v="0"/>
  </r>
  <r>
    <s v="02-Jan-2026"/>
    <x v="4"/>
    <s v="Week1-Jan-2026"/>
    <x v="4"/>
    <s v="31-Dec-2030"/>
    <s v="Tuesday"/>
    <s v="Monthly - Tuesday"/>
    <s v="Monthly - Tuesday"/>
    <s v="Month+59 Expiry"/>
    <n v="0"/>
    <n v="0"/>
    <n v="0"/>
  </r>
  <r>
    <s v="05-Jan-2026"/>
    <x v="0"/>
    <s v="Week1-Jan-2026"/>
    <x v="4"/>
    <s v="06-Jan-2026"/>
    <s v="Tuesday"/>
    <s v="Weekly - Tuesday"/>
    <s v="Weekly - Tuesday"/>
    <s v="Same Month Expiry"/>
    <n v="163137061"/>
    <n v="27901246.030000001"/>
    <n v="40469.33"/>
  </r>
  <r>
    <s v="05-Jan-2026"/>
    <x v="0"/>
    <s v="Week1-Jan-2026"/>
    <x v="4"/>
    <s v="13-Jan-2026"/>
    <s v="Tuesday"/>
    <s v="Weekly - Tuesday"/>
    <s v="Weekly - Tuesday"/>
    <s v="Same Month Expiry"/>
    <n v="5963166"/>
    <n v="1022971.44"/>
    <n v="2896.22"/>
  </r>
  <r>
    <s v="05-Jan-2026"/>
    <x v="0"/>
    <s v="Week1-Jan-2026"/>
    <x v="4"/>
    <s v="20-Jan-2026"/>
    <s v="Tuesday"/>
    <s v="Weekly - Tuesday"/>
    <s v="Weekly - Tuesday"/>
    <s v="Same Month Expiry"/>
    <n v="330846"/>
    <n v="56792.08"/>
    <n v="245.33"/>
  </r>
  <r>
    <s v="05-Jan-2026"/>
    <x v="0"/>
    <s v="Week1-Jan-2026"/>
    <x v="4"/>
    <s v="27-Jan-2026"/>
    <s v="Tuesday"/>
    <s v="Monthly - Tuesday"/>
    <s v="Monthly - Tuesday"/>
    <s v="Same Month Expiry"/>
    <n v="1563958"/>
    <n v="269007.67"/>
    <n v="1544.14"/>
  </r>
  <r>
    <s v="05-Jan-2026"/>
    <x v="0"/>
    <s v="Week1-Jan-2026"/>
    <x v="4"/>
    <s v="03-Feb-2026"/>
    <s v="Tuesday"/>
    <s v="Weekly - Tuesday"/>
    <s v="Weekly - Tuesday"/>
    <s v="Month+1 Expiry"/>
    <n v="13190"/>
    <n v="2278.81"/>
    <n v="14.89"/>
  </r>
  <r>
    <s v="05-Jan-2026"/>
    <x v="0"/>
    <s v="Week1-Jan-2026"/>
    <x v="4"/>
    <s v="24-Feb-2026"/>
    <s v="Tuesday"/>
    <s v="Monthly - Tuesday"/>
    <s v="Monthly - Tuesday"/>
    <s v="Month+1 Expiry"/>
    <n v="174277"/>
    <n v="29975.58"/>
    <n v="266.57"/>
  </r>
  <r>
    <s v="05-Jan-2026"/>
    <x v="0"/>
    <s v="Week1-Jan-2026"/>
    <x v="4"/>
    <s v="30-Mar-2026"/>
    <s v="Monday"/>
    <s v="Monthly - Monday"/>
    <s v="Monthly - Monday"/>
    <s v="Month+2 Expiry"/>
    <n v="76783"/>
    <n v="13452.91"/>
    <n v="181.43"/>
  </r>
  <r>
    <s v="05-Jan-2026"/>
    <x v="0"/>
    <s v="Week1-Jan-2026"/>
    <x v="4"/>
    <s v="30-Jun-2026"/>
    <s v="Tuesday"/>
    <s v="Monthly - Tuesday"/>
    <s v="Monthly - Tuesday"/>
    <s v="Month+5 Expiry"/>
    <n v="19290"/>
    <n v="3420.87"/>
    <n v="58.09"/>
  </r>
  <r>
    <s v="05-Jan-2026"/>
    <x v="0"/>
    <s v="Week1-Jan-2026"/>
    <x v="4"/>
    <s v="29-Sep-2026"/>
    <s v="Tuesday"/>
    <s v="Monthly - Tuesday"/>
    <s v="Monthly - Tuesday"/>
    <s v="Month+8 Expiry"/>
    <n v="784"/>
    <n v="137.36000000000001"/>
    <n v="1.8"/>
  </r>
  <r>
    <s v="05-Jan-2026"/>
    <x v="0"/>
    <s v="Week1-Jan-2026"/>
    <x v="4"/>
    <s v="29-Dec-2026"/>
    <s v="Tuesday"/>
    <s v="Monthly - Tuesday"/>
    <s v="Monthly - Tuesday"/>
    <s v="Month+11 Expiry"/>
    <n v="6144"/>
    <n v="1098.1199999999999"/>
    <n v="30.71"/>
  </r>
  <r>
    <s v="05-Jan-2026"/>
    <x v="0"/>
    <s v="Week1-Jan-2026"/>
    <x v="4"/>
    <s v="29-Jun-2027"/>
    <s v="Tuesday"/>
    <s v="Monthly - Tuesday"/>
    <s v="Monthly - Tuesday"/>
    <s v="Month+17 Expiry"/>
    <n v="0"/>
    <n v="0"/>
    <n v="0"/>
  </r>
  <r>
    <s v="05-Jan-2026"/>
    <x v="0"/>
    <s v="Week1-Jan-2026"/>
    <x v="4"/>
    <s v="28-Dec-2027"/>
    <s v="Tuesday"/>
    <s v="Monthly - Tuesday"/>
    <s v="Monthly - Tuesday"/>
    <s v="Month+23 Expiry"/>
    <n v="90"/>
    <n v="14.76"/>
    <n v="0.57999999999999996"/>
  </r>
  <r>
    <s v="05-Jan-2026"/>
    <x v="0"/>
    <s v="Week1-Jan-2026"/>
    <x v="4"/>
    <s v="27-Jun-2028"/>
    <s v="Tuesday"/>
    <s v="Monthly - Tuesday"/>
    <s v="Monthly - Tuesday"/>
    <s v="Month+29 Expiry"/>
    <n v="0"/>
    <n v="0"/>
    <n v="0"/>
  </r>
  <r>
    <s v="05-Jan-2026"/>
    <x v="0"/>
    <s v="Week1-Jan-2026"/>
    <x v="4"/>
    <s v="26-Dec-2028"/>
    <s v="Tuesday"/>
    <s v="Monthly - Tuesday"/>
    <s v="Monthly - Tuesday"/>
    <s v="Month+35 Expiry"/>
    <n v="3"/>
    <n v="0.6"/>
    <n v="0.04"/>
  </r>
  <r>
    <s v="05-Jan-2026"/>
    <x v="0"/>
    <s v="Week1-Jan-2026"/>
    <x v="4"/>
    <s v="26-Jun-2029"/>
    <s v="Tuesday"/>
    <s v="Monthly - Tuesday"/>
    <s v="Monthly - Tuesday"/>
    <s v="Month+41 Expiry"/>
    <n v="0"/>
    <n v="0"/>
    <n v="0"/>
  </r>
  <r>
    <s v="05-Jan-2026"/>
    <x v="0"/>
    <s v="Week1-Jan-2026"/>
    <x v="4"/>
    <s v="24-Dec-2029"/>
    <s v="Monday"/>
    <s v="Weekly - Monday"/>
    <s v="Weekly - Monday"/>
    <s v="Month+47 Expiry"/>
    <n v="0"/>
    <n v="0"/>
    <n v="0"/>
  </r>
  <r>
    <s v="05-Jan-2026"/>
    <x v="0"/>
    <s v="Week1-Jan-2026"/>
    <x v="4"/>
    <s v="25-Jun-2030"/>
    <s v="Tuesday"/>
    <s v="Monthly - Tuesday"/>
    <s v="Monthly - Tuesday"/>
    <s v="Month+53 Expiry"/>
    <n v="0"/>
    <n v="0"/>
    <n v="0"/>
  </r>
  <r>
    <s v="05-Jan-2026"/>
    <x v="0"/>
    <s v="Week1-Jan-2026"/>
    <x v="4"/>
    <s v="31-Dec-2030"/>
    <s v="Tuesday"/>
    <s v="Monthly - Tuesday"/>
    <s v="Monthly - Tuesday"/>
    <s v="Month+59 Expiry"/>
    <n v="0"/>
    <n v="0"/>
    <n v="0"/>
  </r>
  <r>
    <s v="06-Jan-2026"/>
    <x v="1"/>
    <s v="Week1-Jan-2026"/>
    <x v="4"/>
    <s v="06-Jan-2026"/>
    <s v="Tuesday"/>
    <s v="Weekly - Tuesday"/>
    <s v="Weekly - Tuesday"/>
    <s v="Same Month Expiry"/>
    <n v="321920482"/>
    <n v="54845024.810000002"/>
    <n v="45420.68"/>
  </r>
  <r>
    <s v="06-Jan-2026"/>
    <x v="1"/>
    <s v="Week1-Jan-2026"/>
    <x v="4"/>
    <s v="13-Jan-2026"/>
    <s v="Tuesday"/>
    <s v="Weekly - Tuesday"/>
    <s v="Weekly - Tuesday"/>
    <s v="Same Month Expiry"/>
    <n v="12248934"/>
    <n v="2095670.09"/>
    <n v="4944.9399999999996"/>
  </r>
  <r>
    <s v="06-Jan-2026"/>
    <x v="1"/>
    <s v="Week1-Jan-2026"/>
    <x v="4"/>
    <s v="20-Jan-2026"/>
    <s v="Tuesday"/>
    <s v="Weekly - Tuesday"/>
    <s v="Weekly - Tuesday"/>
    <s v="Same Month Expiry"/>
    <n v="397266"/>
    <n v="68065.09"/>
    <n v="260.83999999999997"/>
  </r>
  <r>
    <s v="06-Jan-2026"/>
    <x v="1"/>
    <s v="Week1-Jan-2026"/>
    <x v="4"/>
    <s v="27-Jan-2026"/>
    <s v="Tuesday"/>
    <s v="Monthly - Tuesday"/>
    <s v="Monthly - Tuesday"/>
    <s v="Same Month Expiry"/>
    <n v="1290079"/>
    <n v="221490.18"/>
    <n v="1209.3399999999999"/>
  </r>
  <r>
    <s v="06-Jan-2026"/>
    <x v="1"/>
    <s v="Week1-Jan-2026"/>
    <x v="4"/>
    <s v="03-Feb-2026"/>
    <s v="Tuesday"/>
    <s v="Weekly - Tuesday"/>
    <s v="Weekly - Tuesday"/>
    <s v="Month+1 Expiry"/>
    <n v="17605"/>
    <n v="3045.55"/>
    <n v="18.14"/>
  </r>
  <r>
    <s v="06-Jan-2026"/>
    <x v="1"/>
    <s v="Week1-Jan-2026"/>
    <x v="4"/>
    <s v="24-Feb-2026"/>
    <s v="Tuesday"/>
    <s v="Monthly - Tuesday"/>
    <s v="Monthly - Tuesday"/>
    <s v="Month+1 Expiry"/>
    <n v="143865"/>
    <n v="24785.38"/>
    <n v="213.93"/>
  </r>
  <r>
    <s v="06-Jan-2026"/>
    <x v="1"/>
    <s v="Week1-Jan-2026"/>
    <x v="4"/>
    <s v="30-Mar-2026"/>
    <s v="Monday"/>
    <s v="Monthly - Monday"/>
    <s v="Monthly - Monday"/>
    <s v="Month+2 Expiry"/>
    <n v="71060"/>
    <n v="12314.4"/>
    <n v="137.34"/>
  </r>
  <r>
    <s v="06-Jan-2026"/>
    <x v="1"/>
    <s v="Week1-Jan-2026"/>
    <x v="4"/>
    <s v="30-Jun-2026"/>
    <s v="Tuesday"/>
    <s v="Monthly - Tuesday"/>
    <s v="Monthly - Tuesday"/>
    <s v="Month+5 Expiry"/>
    <n v="16121"/>
    <n v="2870.89"/>
    <n v="48.64"/>
  </r>
  <r>
    <s v="06-Jan-2026"/>
    <x v="1"/>
    <s v="Week1-Jan-2026"/>
    <x v="4"/>
    <s v="29-Sep-2026"/>
    <s v="Tuesday"/>
    <s v="Monthly - Tuesday"/>
    <s v="Monthly - Tuesday"/>
    <s v="Month+8 Expiry"/>
    <n v="751"/>
    <n v="134.41"/>
    <n v="1.6"/>
  </r>
  <r>
    <s v="06-Jan-2026"/>
    <x v="1"/>
    <s v="Week1-Jan-2026"/>
    <x v="4"/>
    <s v="29-Dec-2026"/>
    <s v="Tuesday"/>
    <s v="Monthly - Tuesday"/>
    <s v="Monthly - Tuesday"/>
    <s v="Month+11 Expiry"/>
    <n v="5845"/>
    <n v="1066.6199999999999"/>
    <n v="26.39"/>
  </r>
  <r>
    <s v="06-Jan-2026"/>
    <x v="1"/>
    <s v="Week1-Jan-2026"/>
    <x v="4"/>
    <s v="29-Jun-2027"/>
    <s v="Tuesday"/>
    <s v="Monthly - Tuesday"/>
    <s v="Monthly - Tuesday"/>
    <s v="Month+17 Expiry"/>
    <n v="0"/>
    <n v="0"/>
    <n v="0"/>
  </r>
  <r>
    <s v="06-Jan-2026"/>
    <x v="1"/>
    <s v="Week1-Jan-2026"/>
    <x v="4"/>
    <s v="28-Dec-2027"/>
    <s v="Tuesday"/>
    <s v="Monthly - Tuesday"/>
    <s v="Monthly - Tuesday"/>
    <s v="Month+23 Expiry"/>
    <n v="56"/>
    <n v="9.36"/>
    <n v="0.42"/>
  </r>
  <r>
    <s v="06-Jan-2026"/>
    <x v="1"/>
    <s v="Week1-Jan-2026"/>
    <x v="4"/>
    <s v="27-Jun-2028"/>
    <s v="Tuesday"/>
    <s v="Monthly - Tuesday"/>
    <s v="Monthly - Tuesday"/>
    <s v="Month+29 Expiry"/>
    <n v="0"/>
    <n v="0"/>
    <n v="0"/>
  </r>
  <r>
    <s v="06-Jan-2026"/>
    <x v="1"/>
    <s v="Week1-Jan-2026"/>
    <x v="4"/>
    <s v="26-Dec-2028"/>
    <s v="Tuesday"/>
    <s v="Monthly - Tuesday"/>
    <s v="Monthly - Tuesday"/>
    <s v="Month+35 Expiry"/>
    <n v="1"/>
    <n v="0.18"/>
    <n v="0.01"/>
  </r>
  <r>
    <s v="06-Jan-2026"/>
    <x v="1"/>
    <s v="Week1-Jan-2026"/>
    <x v="4"/>
    <s v="26-Jun-2029"/>
    <s v="Tuesday"/>
    <s v="Monthly - Tuesday"/>
    <s v="Monthly - Tuesday"/>
    <s v="Month+41 Expiry"/>
    <n v="0"/>
    <n v="0"/>
    <n v="0"/>
  </r>
  <r>
    <s v="06-Jan-2026"/>
    <x v="1"/>
    <s v="Week1-Jan-2026"/>
    <x v="4"/>
    <s v="24-Dec-2029"/>
    <s v="Monday"/>
    <s v="Weekly - Monday"/>
    <s v="Weekly - Monday"/>
    <s v="Month+47 Expiry"/>
    <n v="0"/>
    <n v="0"/>
    <n v="0"/>
  </r>
  <r>
    <s v="06-Jan-2026"/>
    <x v="1"/>
    <s v="Week1-Jan-2026"/>
    <x v="4"/>
    <s v="25-Jun-2030"/>
    <s v="Tuesday"/>
    <s v="Monthly - Tuesday"/>
    <s v="Monthly - Tuesday"/>
    <s v="Month+53 Expiry"/>
    <n v="0"/>
    <n v="0"/>
    <n v="0"/>
  </r>
  <r>
    <s v="06-Jan-2026"/>
    <x v="1"/>
    <s v="Week1-Jan-2026"/>
    <x v="4"/>
    <s v="31-Dec-2030"/>
    <s v="Tuesday"/>
    <s v="Monthly - Tuesday"/>
    <s v="Monthly - Tuesday"/>
    <s v="Month+59 Expiry"/>
    <n v="0"/>
    <n v="0"/>
    <n v="0"/>
  </r>
  <r>
    <s v="07-Jan-2026"/>
    <x v="2"/>
    <s v="Week1-Jan-2026"/>
    <x v="4"/>
    <s v="13-Jan-2026"/>
    <s v="Tuesday"/>
    <s v="Weekly - Tuesday"/>
    <s v="Weekly - Tuesday"/>
    <s v="Same Month Expiry"/>
    <n v="64224686"/>
    <n v="10951303.07"/>
    <n v="26981.360000000001"/>
  </r>
  <r>
    <s v="07-Jan-2026"/>
    <x v="2"/>
    <s v="Week1-Jan-2026"/>
    <x v="4"/>
    <s v="20-Jan-2026"/>
    <s v="Tuesday"/>
    <s v="Weekly - Tuesday"/>
    <s v="Weekly - Tuesday"/>
    <s v="Same Month Expiry"/>
    <n v="1199643"/>
    <n v="205108.7"/>
    <n v="675.71"/>
  </r>
  <r>
    <s v="07-Jan-2026"/>
    <x v="2"/>
    <s v="Week1-Jan-2026"/>
    <x v="4"/>
    <s v="27-Jan-2026"/>
    <s v="Tuesday"/>
    <s v="Monthly - Tuesday"/>
    <s v="Monthly - Tuesday"/>
    <s v="Same Month Expiry"/>
    <n v="1501010"/>
    <n v="257461.42"/>
    <n v="1195.48"/>
  </r>
  <r>
    <s v="07-Jan-2026"/>
    <x v="2"/>
    <s v="Week1-Jan-2026"/>
    <x v="4"/>
    <s v="03-Feb-2026"/>
    <s v="Tuesday"/>
    <s v="Weekly - Tuesday"/>
    <s v="Weekly - Tuesday"/>
    <s v="Month+1 Expiry"/>
    <n v="24274"/>
    <n v="4198.55"/>
    <n v="25.85"/>
  </r>
  <r>
    <s v="07-Jan-2026"/>
    <x v="2"/>
    <s v="Week1-Jan-2026"/>
    <x v="4"/>
    <s v="10-Feb-2026"/>
    <s v="Tuesday"/>
    <s v="Weekly - Tuesday"/>
    <s v="Weekly - Tuesday"/>
    <s v="Month+1 Expiry"/>
    <n v="862"/>
    <n v="148.22"/>
    <n v="1.4"/>
  </r>
  <r>
    <s v="07-Jan-2026"/>
    <x v="2"/>
    <s v="Week1-Jan-2026"/>
    <x v="4"/>
    <s v="24-Feb-2026"/>
    <s v="Tuesday"/>
    <s v="Monthly - Tuesday"/>
    <s v="Monthly - Tuesday"/>
    <s v="Month+1 Expiry"/>
    <n v="160541"/>
    <n v="27675.55"/>
    <n v="215.65"/>
  </r>
  <r>
    <s v="07-Jan-2026"/>
    <x v="2"/>
    <s v="Week1-Jan-2026"/>
    <x v="4"/>
    <s v="30-Mar-2026"/>
    <s v="Monday"/>
    <s v="Monthly - Monday"/>
    <s v="Monthly - Monday"/>
    <s v="Month+2 Expiry"/>
    <n v="72672"/>
    <n v="12546.59"/>
    <n v="157.22999999999999"/>
  </r>
  <r>
    <s v="07-Jan-2026"/>
    <x v="2"/>
    <s v="Week1-Jan-2026"/>
    <x v="4"/>
    <s v="30-Jun-2026"/>
    <s v="Tuesday"/>
    <s v="Monthly - Tuesday"/>
    <s v="Monthly - Tuesday"/>
    <s v="Month+5 Expiry"/>
    <n v="14755"/>
    <n v="2546.0300000000002"/>
    <n v="44.41"/>
  </r>
  <r>
    <s v="07-Jan-2026"/>
    <x v="2"/>
    <s v="Week1-Jan-2026"/>
    <x v="4"/>
    <s v="29-Sep-2026"/>
    <s v="Tuesday"/>
    <s v="Monthly - Tuesday"/>
    <s v="Monthly - Tuesday"/>
    <s v="Month+8 Expiry"/>
    <n v="591"/>
    <n v="104.54"/>
    <n v="1.32"/>
  </r>
  <r>
    <s v="07-Jan-2026"/>
    <x v="2"/>
    <s v="Week1-Jan-2026"/>
    <x v="4"/>
    <s v="29-Dec-2026"/>
    <s v="Tuesday"/>
    <s v="Monthly - Tuesday"/>
    <s v="Monthly - Tuesday"/>
    <s v="Month+11 Expiry"/>
    <n v="3954"/>
    <n v="705.09"/>
    <n v="20.64"/>
  </r>
  <r>
    <s v="07-Jan-2026"/>
    <x v="2"/>
    <s v="Week1-Jan-2026"/>
    <x v="4"/>
    <s v="29-Jun-2027"/>
    <s v="Tuesday"/>
    <s v="Monthly - Tuesday"/>
    <s v="Monthly - Tuesday"/>
    <s v="Month+17 Expiry"/>
    <n v="0"/>
    <n v="0"/>
    <n v="0"/>
  </r>
  <r>
    <s v="07-Jan-2026"/>
    <x v="2"/>
    <s v="Week1-Jan-2026"/>
    <x v="4"/>
    <s v="28-Dec-2027"/>
    <s v="Tuesday"/>
    <s v="Monthly - Tuesday"/>
    <s v="Monthly - Tuesday"/>
    <s v="Month+23 Expiry"/>
    <n v="49"/>
    <n v="8.23"/>
    <n v="0.24"/>
  </r>
  <r>
    <s v="07-Jan-2026"/>
    <x v="2"/>
    <s v="Week1-Jan-2026"/>
    <x v="4"/>
    <s v="27-Jun-2028"/>
    <s v="Tuesday"/>
    <s v="Monthly - Tuesday"/>
    <s v="Monthly - Tuesday"/>
    <s v="Month+29 Expiry"/>
    <n v="0"/>
    <n v="0"/>
    <n v="0"/>
  </r>
  <r>
    <s v="07-Jan-2026"/>
    <x v="2"/>
    <s v="Week1-Jan-2026"/>
    <x v="4"/>
    <s v="26-Dec-2028"/>
    <s v="Tuesday"/>
    <s v="Monthly - Tuesday"/>
    <s v="Monthly - Tuesday"/>
    <s v="Month+35 Expiry"/>
    <n v="62"/>
    <n v="9.02"/>
    <n v="0.1"/>
  </r>
  <r>
    <s v="07-Jan-2026"/>
    <x v="2"/>
    <s v="Week1-Jan-2026"/>
    <x v="4"/>
    <s v="26-Jun-2029"/>
    <s v="Tuesday"/>
    <s v="Monthly - Tuesday"/>
    <s v="Monthly - Tuesday"/>
    <s v="Month+41 Expiry"/>
    <n v="0"/>
    <n v="0"/>
    <n v="0"/>
  </r>
  <r>
    <s v="07-Jan-2026"/>
    <x v="2"/>
    <s v="Week1-Jan-2026"/>
    <x v="4"/>
    <s v="24-Dec-2029"/>
    <s v="Monday"/>
    <s v="Weekly - Monday"/>
    <s v="Weekly - Monday"/>
    <s v="Month+47 Expiry"/>
    <n v="0"/>
    <n v="0"/>
    <n v="0"/>
  </r>
  <r>
    <s v="07-Jan-2026"/>
    <x v="2"/>
    <s v="Week1-Jan-2026"/>
    <x v="4"/>
    <s v="25-Jun-2030"/>
    <s v="Tuesday"/>
    <s v="Monthly - Tuesday"/>
    <s v="Monthly - Tuesday"/>
    <s v="Month+53 Expiry"/>
    <n v="0"/>
    <n v="0"/>
    <n v="0"/>
  </r>
  <r>
    <s v="07-Jan-2026"/>
    <x v="2"/>
    <s v="Week1-Jan-2026"/>
    <x v="4"/>
    <s v="31-Dec-2030"/>
    <s v="Tuesday"/>
    <s v="Monthly - Tuesday"/>
    <s v="Monthly - Tuesday"/>
    <s v="Month+59 Expiry"/>
    <n v="0"/>
    <n v="0"/>
    <n v="0"/>
  </r>
  <r>
    <s v="08-Jan-2026"/>
    <x v="3"/>
    <s v="Week2-Jan-2026"/>
    <x v="4"/>
    <s v="13-Jan-2026"/>
    <s v="Tuesday"/>
    <s v="Weekly - Tuesday"/>
    <s v="Weekly - Tuesday"/>
    <s v="Same Month Expiry"/>
    <n v="74981240"/>
    <n v="12737329.48"/>
    <n v="25869.1"/>
  </r>
  <r>
    <s v="08-Jan-2026"/>
    <x v="3"/>
    <s v="Week2-Jan-2026"/>
    <x v="4"/>
    <s v="20-Jan-2026"/>
    <s v="Tuesday"/>
    <s v="Weekly - Tuesday"/>
    <s v="Weekly - Tuesday"/>
    <s v="Same Month Expiry"/>
    <n v="2239650"/>
    <n v="381003.75"/>
    <n v="1205.48"/>
  </r>
  <r>
    <s v="08-Jan-2026"/>
    <x v="3"/>
    <s v="Week2-Jan-2026"/>
    <x v="4"/>
    <s v="27-Jan-2026"/>
    <s v="Tuesday"/>
    <s v="Monthly - Tuesday"/>
    <s v="Monthly - Tuesday"/>
    <s v="Same Month Expiry"/>
    <n v="2423651"/>
    <n v="413455.28"/>
    <n v="2004.9"/>
  </r>
  <r>
    <s v="08-Jan-2026"/>
    <x v="3"/>
    <s v="Week2-Jan-2026"/>
    <x v="4"/>
    <s v="03-Feb-2026"/>
    <s v="Tuesday"/>
    <s v="Weekly - Tuesday"/>
    <s v="Weekly - Tuesday"/>
    <s v="Month+1 Expiry"/>
    <n v="64629"/>
    <n v="11087.16"/>
    <n v="83.38"/>
  </r>
  <r>
    <s v="08-Jan-2026"/>
    <x v="3"/>
    <s v="Week2-Jan-2026"/>
    <x v="4"/>
    <s v="10-Feb-2026"/>
    <s v="Tuesday"/>
    <s v="Weekly - Tuesday"/>
    <s v="Weekly - Tuesday"/>
    <s v="Month+1 Expiry"/>
    <n v="3701"/>
    <n v="634.75"/>
    <n v="5.36"/>
  </r>
  <r>
    <s v="08-Jan-2026"/>
    <x v="3"/>
    <s v="Week2-Jan-2026"/>
    <x v="4"/>
    <s v="24-Feb-2026"/>
    <s v="Tuesday"/>
    <s v="Monthly - Tuesday"/>
    <s v="Monthly - Tuesday"/>
    <s v="Month+1 Expiry"/>
    <n v="311840"/>
    <n v="53582.66"/>
    <n v="447.45"/>
  </r>
  <r>
    <s v="08-Jan-2026"/>
    <x v="3"/>
    <s v="Week2-Jan-2026"/>
    <x v="4"/>
    <s v="30-Mar-2026"/>
    <s v="Monday"/>
    <s v="Monthly - Monday"/>
    <s v="Monthly - Monday"/>
    <s v="Month+2 Expiry"/>
    <n v="159853"/>
    <n v="27153.75"/>
    <n v="331.8"/>
  </r>
  <r>
    <s v="08-Jan-2026"/>
    <x v="3"/>
    <s v="Week2-Jan-2026"/>
    <x v="4"/>
    <s v="30-Jun-2026"/>
    <s v="Tuesday"/>
    <s v="Monthly - Tuesday"/>
    <s v="Monthly - Tuesday"/>
    <s v="Month+5 Expiry"/>
    <n v="25554"/>
    <n v="4406.3500000000004"/>
    <n v="80.2"/>
  </r>
  <r>
    <s v="08-Jan-2026"/>
    <x v="3"/>
    <s v="Week2-Jan-2026"/>
    <x v="4"/>
    <s v="29-Sep-2026"/>
    <s v="Tuesday"/>
    <s v="Monthly - Tuesday"/>
    <s v="Monthly - Tuesday"/>
    <s v="Month+8 Expiry"/>
    <n v="1251"/>
    <n v="213.18"/>
    <n v="3.17"/>
  </r>
  <r>
    <s v="08-Jan-2026"/>
    <x v="3"/>
    <s v="Week2-Jan-2026"/>
    <x v="4"/>
    <s v="29-Dec-2026"/>
    <s v="Tuesday"/>
    <s v="Monthly - Tuesday"/>
    <s v="Monthly - Tuesday"/>
    <s v="Month+11 Expiry"/>
    <n v="7376"/>
    <n v="1298.25"/>
    <n v="34.36"/>
  </r>
  <r>
    <s v="08-Jan-2026"/>
    <x v="3"/>
    <s v="Week2-Jan-2026"/>
    <x v="4"/>
    <s v="29-Jun-2027"/>
    <s v="Tuesday"/>
    <s v="Monthly - Tuesday"/>
    <s v="Monthly - Tuesday"/>
    <s v="Month+17 Expiry"/>
    <n v="0"/>
    <n v="0"/>
    <n v="0"/>
  </r>
  <r>
    <s v="08-Jan-2026"/>
    <x v="3"/>
    <s v="Week2-Jan-2026"/>
    <x v="4"/>
    <s v="28-Dec-2027"/>
    <s v="Tuesday"/>
    <s v="Monthly - Tuesday"/>
    <s v="Monthly - Tuesday"/>
    <s v="Month+23 Expiry"/>
    <n v="137"/>
    <n v="21.84"/>
    <n v="0.75"/>
  </r>
  <r>
    <s v="08-Jan-2026"/>
    <x v="3"/>
    <s v="Week2-Jan-2026"/>
    <x v="4"/>
    <s v="27-Jun-2028"/>
    <s v="Tuesday"/>
    <s v="Monthly - Tuesday"/>
    <s v="Monthly - Tuesday"/>
    <s v="Month+29 Expiry"/>
    <n v="0"/>
    <n v="0"/>
    <n v="0"/>
  </r>
  <r>
    <s v="08-Jan-2026"/>
    <x v="3"/>
    <s v="Week2-Jan-2026"/>
    <x v="4"/>
    <s v="26-Dec-2028"/>
    <s v="Tuesday"/>
    <s v="Monthly - Tuesday"/>
    <s v="Monthly - Tuesday"/>
    <s v="Month+35 Expiry"/>
    <n v="42"/>
    <n v="6.25"/>
    <n v="0.1"/>
  </r>
  <r>
    <s v="08-Jan-2026"/>
    <x v="3"/>
    <s v="Week2-Jan-2026"/>
    <x v="4"/>
    <s v="26-Jun-2029"/>
    <s v="Tuesday"/>
    <s v="Monthly - Tuesday"/>
    <s v="Monthly - Tuesday"/>
    <s v="Month+41 Expiry"/>
    <n v="0"/>
    <n v="0"/>
    <n v="0"/>
  </r>
  <r>
    <s v="08-Jan-2026"/>
    <x v="3"/>
    <s v="Week2-Jan-2026"/>
    <x v="4"/>
    <s v="24-Dec-2029"/>
    <s v="Monday"/>
    <s v="Weekly - Monday"/>
    <s v="Weekly - Monday"/>
    <s v="Month+47 Expiry"/>
    <n v="0"/>
    <n v="0"/>
    <n v="0"/>
  </r>
  <r>
    <s v="08-Jan-2026"/>
    <x v="3"/>
    <s v="Week2-Jan-2026"/>
    <x v="4"/>
    <s v="25-Jun-2030"/>
    <s v="Tuesday"/>
    <s v="Monthly - Tuesday"/>
    <s v="Monthly - Tuesday"/>
    <s v="Month+53 Expiry"/>
    <n v="0"/>
    <n v="0"/>
    <n v="0"/>
  </r>
  <r>
    <s v="08-Jan-2026"/>
    <x v="3"/>
    <s v="Week2-Jan-2026"/>
    <x v="4"/>
    <s v="31-Dec-2030"/>
    <s v="Tuesday"/>
    <s v="Monthly - Tuesday"/>
    <s v="Monthly - Tuesday"/>
    <s v="Month+59 Expiry"/>
    <n v="0"/>
    <n v="0"/>
    <n v="0"/>
  </r>
  <r>
    <s v="09-Jan-2026"/>
    <x v="4"/>
    <s v="Week2-Jan-2026"/>
    <x v="4"/>
    <s v="13-Jan-2026"/>
    <s v="Tuesday"/>
    <s v="Weekly - Tuesday"/>
    <s v="Weekly - Tuesday"/>
    <s v="Same Month Expiry"/>
    <n v="137247651"/>
    <n v="23107188.620000001"/>
    <n v="48821.68"/>
  </r>
  <r>
    <s v="09-Jan-2026"/>
    <x v="4"/>
    <s v="Week2-Jan-2026"/>
    <x v="4"/>
    <s v="20-Jan-2026"/>
    <s v="Tuesday"/>
    <s v="Weekly - Tuesday"/>
    <s v="Weekly - Tuesday"/>
    <s v="Same Month Expiry"/>
    <n v="3900359"/>
    <n v="660428.93000000005"/>
    <n v="2027.44"/>
  </r>
  <r>
    <s v="09-Jan-2026"/>
    <x v="4"/>
    <s v="Week2-Jan-2026"/>
    <x v="4"/>
    <s v="27-Jan-2026"/>
    <s v="Tuesday"/>
    <s v="Monthly - Tuesday"/>
    <s v="Monthly - Tuesday"/>
    <s v="Same Month Expiry"/>
    <n v="2891414"/>
    <n v="490286.91"/>
    <n v="2444.6999999999998"/>
  </r>
  <r>
    <s v="09-Jan-2026"/>
    <x v="4"/>
    <s v="Week2-Jan-2026"/>
    <x v="4"/>
    <s v="03-Feb-2026"/>
    <s v="Tuesday"/>
    <s v="Weekly - Tuesday"/>
    <s v="Weekly - Tuesday"/>
    <s v="Month+1 Expiry"/>
    <n v="69758"/>
    <n v="11909.9"/>
    <n v="71.81"/>
  </r>
  <r>
    <s v="09-Jan-2026"/>
    <x v="4"/>
    <s v="Week2-Jan-2026"/>
    <x v="4"/>
    <s v="10-Feb-2026"/>
    <s v="Tuesday"/>
    <s v="Weekly - Tuesday"/>
    <s v="Weekly - Tuesday"/>
    <s v="Month+1 Expiry"/>
    <n v="6982"/>
    <n v="1193.6199999999999"/>
    <n v="9.0299999999999994"/>
  </r>
  <r>
    <s v="09-Jan-2026"/>
    <x v="4"/>
    <s v="Week2-Jan-2026"/>
    <x v="4"/>
    <s v="24-Feb-2026"/>
    <s v="Tuesday"/>
    <s v="Monthly - Tuesday"/>
    <s v="Monthly - Tuesday"/>
    <s v="Month+1 Expiry"/>
    <n v="387106"/>
    <n v="66317.88"/>
    <n v="502.47"/>
  </r>
  <r>
    <s v="09-Jan-2026"/>
    <x v="4"/>
    <s v="Week2-Jan-2026"/>
    <x v="4"/>
    <s v="30-Mar-2026"/>
    <s v="Monday"/>
    <s v="Monthly - Monday"/>
    <s v="Monthly - Monday"/>
    <s v="Month+2 Expiry"/>
    <n v="178225"/>
    <n v="30447.02"/>
    <n v="352.21"/>
  </r>
  <r>
    <s v="09-Jan-2026"/>
    <x v="4"/>
    <s v="Week2-Jan-2026"/>
    <x v="4"/>
    <s v="30-Jun-2026"/>
    <s v="Tuesday"/>
    <s v="Monthly - Tuesday"/>
    <s v="Monthly - Tuesday"/>
    <s v="Month+5 Expiry"/>
    <n v="30535"/>
    <n v="5330.83"/>
    <n v="87.62"/>
  </r>
  <r>
    <s v="09-Jan-2026"/>
    <x v="4"/>
    <s v="Week2-Jan-2026"/>
    <x v="4"/>
    <s v="29-Sep-2026"/>
    <s v="Tuesday"/>
    <s v="Monthly - Tuesday"/>
    <s v="Monthly - Tuesday"/>
    <s v="Month+8 Expiry"/>
    <n v="1348"/>
    <n v="231.71"/>
    <n v="4.6500000000000004"/>
  </r>
  <r>
    <s v="09-Jan-2026"/>
    <x v="4"/>
    <s v="Week2-Jan-2026"/>
    <x v="4"/>
    <s v="29-Dec-2026"/>
    <s v="Tuesday"/>
    <s v="Monthly - Tuesday"/>
    <s v="Monthly - Tuesday"/>
    <s v="Month+11 Expiry"/>
    <n v="12265"/>
    <n v="2239.98"/>
    <n v="67.13"/>
  </r>
  <r>
    <s v="09-Jan-2026"/>
    <x v="4"/>
    <s v="Week2-Jan-2026"/>
    <x v="4"/>
    <s v="29-Jun-2027"/>
    <s v="Tuesday"/>
    <s v="Monthly - Tuesday"/>
    <s v="Monthly - Tuesday"/>
    <s v="Month+17 Expiry"/>
    <n v="0"/>
    <n v="0"/>
    <n v="0"/>
  </r>
  <r>
    <s v="09-Jan-2026"/>
    <x v="4"/>
    <s v="Week2-Jan-2026"/>
    <x v="4"/>
    <s v="28-Dec-2027"/>
    <s v="Tuesday"/>
    <s v="Monthly - Tuesday"/>
    <s v="Monthly - Tuesday"/>
    <s v="Month+23 Expiry"/>
    <n v="70"/>
    <n v="12.28"/>
    <n v="0.62"/>
  </r>
  <r>
    <s v="09-Jan-2026"/>
    <x v="4"/>
    <s v="Week2-Jan-2026"/>
    <x v="4"/>
    <s v="27-Jun-2028"/>
    <s v="Tuesday"/>
    <s v="Monthly - Tuesday"/>
    <s v="Monthly - Tuesday"/>
    <s v="Month+29 Expiry"/>
    <n v="0"/>
    <n v="0"/>
    <n v="0"/>
  </r>
  <r>
    <s v="09-Jan-2026"/>
    <x v="4"/>
    <s v="Week2-Jan-2026"/>
    <x v="4"/>
    <s v="26-Dec-2028"/>
    <s v="Tuesday"/>
    <s v="Monthly - Tuesday"/>
    <s v="Monthly - Tuesday"/>
    <s v="Month+35 Expiry"/>
    <n v="24"/>
    <n v="3.92"/>
    <n v="0.13"/>
  </r>
  <r>
    <s v="09-Jan-2026"/>
    <x v="4"/>
    <s v="Week2-Jan-2026"/>
    <x v="4"/>
    <s v="26-Jun-2029"/>
    <s v="Tuesday"/>
    <s v="Monthly - Tuesday"/>
    <s v="Monthly - Tuesday"/>
    <s v="Month+41 Expiry"/>
    <n v="0"/>
    <n v="0"/>
    <n v="0"/>
  </r>
  <r>
    <s v="09-Jan-2026"/>
    <x v="4"/>
    <s v="Week2-Jan-2026"/>
    <x v="4"/>
    <s v="24-Dec-2029"/>
    <s v="Monday"/>
    <s v="Weekly - Monday"/>
    <s v="Weekly - Monday"/>
    <s v="Month+47 Expiry"/>
    <n v="3"/>
    <n v="0.53"/>
    <n v="0.02"/>
  </r>
  <r>
    <s v="09-Jan-2026"/>
    <x v="4"/>
    <s v="Week2-Jan-2026"/>
    <x v="4"/>
    <s v="25-Jun-2030"/>
    <s v="Tuesday"/>
    <s v="Monthly - Tuesday"/>
    <s v="Monthly - Tuesday"/>
    <s v="Month+53 Expiry"/>
    <n v="0"/>
    <n v="0"/>
    <n v="0"/>
  </r>
  <r>
    <s v="09-Jan-2026"/>
    <x v="4"/>
    <s v="Week2-Jan-2026"/>
    <x v="4"/>
    <s v="31-Dec-2030"/>
    <s v="Tuesday"/>
    <s v="Monthly - Tuesday"/>
    <s v="Monthly - Tuesday"/>
    <s v="Month+59 Expiry"/>
    <n v="0"/>
    <n v="0"/>
    <n v="0"/>
  </r>
  <r>
    <s v="12-Jan-2026"/>
    <x v="0"/>
    <s v="Week2-Jan-2026"/>
    <x v="4"/>
    <s v="13-Jan-2026"/>
    <s v="Tuesday"/>
    <s v="Weekly - Tuesday"/>
    <s v="Weekly - Tuesday"/>
    <s v="Same Month Expiry"/>
    <n v="219185433"/>
    <n v="36675374.600000001"/>
    <n v="63918.71"/>
  </r>
  <r>
    <s v="12-Jan-2026"/>
    <x v="0"/>
    <s v="Week2-Jan-2026"/>
    <x v="4"/>
    <s v="20-Jan-2026"/>
    <s v="Tuesday"/>
    <s v="Weekly - Tuesday"/>
    <s v="Weekly - Tuesday"/>
    <s v="Same Month Expiry"/>
    <n v="8147709"/>
    <n v="1373485.57"/>
    <n v="4511.6499999999996"/>
  </r>
  <r>
    <s v="12-Jan-2026"/>
    <x v="0"/>
    <s v="Week2-Jan-2026"/>
    <x v="4"/>
    <s v="27-Jan-2026"/>
    <s v="Tuesday"/>
    <s v="Monthly - Tuesday"/>
    <s v="Monthly - Tuesday"/>
    <s v="Same Month Expiry"/>
    <n v="3635420"/>
    <n v="612612.96"/>
    <n v="3133.88"/>
  </r>
  <r>
    <s v="12-Jan-2026"/>
    <x v="0"/>
    <s v="Week2-Jan-2026"/>
    <x v="4"/>
    <s v="03-Feb-2026"/>
    <s v="Tuesday"/>
    <s v="Weekly - Tuesday"/>
    <s v="Weekly - Tuesday"/>
    <s v="Month+1 Expiry"/>
    <n v="114284"/>
    <n v="19428.810000000001"/>
    <n v="122.06"/>
  </r>
  <r>
    <s v="12-Jan-2026"/>
    <x v="0"/>
    <s v="Week2-Jan-2026"/>
    <x v="4"/>
    <s v="10-Feb-2026"/>
    <s v="Tuesday"/>
    <s v="Weekly - Tuesday"/>
    <s v="Weekly - Tuesday"/>
    <s v="Month+1 Expiry"/>
    <n v="11878"/>
    <n v="2021.37"/>
    <n v="14.35"/>
  </r>
  <r>
    <s v="12-Jan-2026"/>
    <x v="0"/>
    <s v="Week2-Jan-2026"/>
    <x v="4"/>
    <s v="24-Feb-2026"/>
    <s v="Tuesday"/>
    <s v="Monthly - Tuesday"/>
    <s v="Monthly - Tuesday"/>
    <s v="Month+1 Expiry"/>
    <n v="507688"/>
    <n v="86465.16"/>
    <n v="677.61"/>
  </r>
  <r>
    <s v="12-Jan-2026"/>
    <x v="0"/>
    <s v="Week2-Jan-2026"/>
    <x v="4"/>
    <s v="30-Mar-2026"/>
    <s v="Monday"/>
    <s v="Monthly - Monday"/>
    <s v="Monthly - Monday"/>
    <s v="Month+2 Expiry"/>
    <n v="208048"/>
    <n v="35450.5"/>
    <n v="417.21"/>
  </r>
  <r>
    <s v="12-Jan-2026"/>
    <x v="0"/>
    <s v="Week2-Jan-2026"/>
    <x v="4"/>
    <s v="30-Jun-2026"/>
    <s v="Tuesday"/>
    <s v="Monthly - Tuesday"/>
    <s v="Monthly - Tuesday"/>
    <s v="Month+5 Expiry"/>
    <n v="32938"/>
    <n v="5710.09"/>
    <n v="98.37"/>
  </r>
  <r>
    <s v="12-Jan-2026"/>
    <x v="0"/>
    <s v="Week2-Jan-2026"/>
    <x v="4"/>
    <s v="29-Sep-2026"/>
    <s v="Tuesday"/>
    <s v="Monthly - Tuesday"/>
    <s v="Monthly - Tuesday"/>
    <s v="Month+8 Expiry"/>
    <n v="1329"/>
    <n v="233.14"/>
    <n v="4.68"/>
  </r>
  <r>
    <s v="12-Jan-2026"/>
    <x v="0"/>
    <s v="Week2-Jan-2026"/>
    <x v="4"/>
    <s v="29-Dec-2026"/>
    <s v="Tuesday"/>
    <s v="Monthly - Tuesday"/>
    <s v="Monthly - Tuesday"/>
    <s v="Month+11 Expiry"/>
    <n v="11714"/>
    <n v="2097.25"/>
    <n v="62.29"/>
  </r>
  <r>
    <s v="12-Jan-2026"/>
    <x v="0"/>
    <s v="Week2-Jan-2026"/>
    <x v="4"/>
    <s v="29-Jun-2027"/>
    <s v="Tuesday"/>
    <s v="Monthly - Tuesday"/>
    <s v="Monthly - Tuesday"/>
    <s v="Month+17 Expiry"/>
    <n v="0"/>
    <n v="0"/>
    <n v="0"/>
  </r>
  <r>
    <s v="12-Jan-2026"/>
    <x v="0"/>
    <s v="Week2-Jan-2026"/>
    <x v="4"/>
    <s v="28-Dec-2027"/>
    <s v="Tuesday"/>
    <s v="Monthly - Tuesday"/>
    <s v="Monthly - Tuesday"/>
    <s v="Month+23 Expiry"/>
    <n v="88"/>
    <n v="15.96"/>
    <n v="1.31"/>
  </r>
  <r>
    <s v="12-Jan-2026"/>
    <x v="0"/>
    <s v="Week2-Jan-2026"/>
    <x v="4"/>
    <s v="27-Jun-2028"/>
    <s v="Tuesday"/>
    <s v="Monthly - Tuesday"/>
    <s v="Monthly - Tuesday"/>
    <s v="Month+29 Expiry"/>
    <n v="0"/>
    <n v="0"/>
    <n v="0"/>
  </r>
  <r>
    <s v="12-Jan-2026"/>
    <x v="0"/>
    <s v="Week2-Jan-2026"/>
    <x v="4"/>
    <s v="26-Dec-2028"/>
    <s v="Tuesday"/>
    <s v="Monthly - Tuesday"/>
    <s v="Monthly - Tuesday"/>
    <s v="Month+35 Expiry"/>
    <n v="108"/>
    <n v="16.28"/>
    <n v="0.33"/>
  </r>
  <r>
    <s v="12-Jan-2026"/>
    <x v="0"/>
    <s v="Week2-Jan-2026"/>
    <x v="4"/>
    <s v="26-Jun-2029"/>
    <s v="Tuesday"/>
    <s v="Monthly - Tuesday"/>
    <s v="Monthly - Tuesday"/>
    <s v="Month+41 Expiry"/>
    <n v="0"/>
    <n v="0"/>
    <n v="0"/>
  </r>
  <r>
    <s v="12-Jan-2026"/>
    <x v="0"/>
    <s v="Week2-Jan-2026"/>
    <x v="4"/>
    <s v="24-Dec-2029"/>
    <s v="Monday"/>
    <s v="Weekly - Monday"/>
    <s v="Weekly - Monday"/>
    <s v="Month+47 Expiry"/>
    <n v="20"/>
    <n v="3.51"/>
    <n v="0.13"/>
  </r>
  <r>
    <s v="12-Jan-2026"/>
    <x v="0"/>
    <s v="Week2-Jan-2026"/>
    <x v="4"/>
    <s v="25-Jun-2030"/>
    <s v="Tuesday"/>
    <s v="Monthly - Tuesday"/>
    <s v="Monthly - Tuesday"/>
    <s v="Month+53 Expiry"/>
    <n v="0"/>
    <n v="0"/>
    <n v="0"/>
  </r>
  <r>
    <s v="12-Jan-2026"/>
    <x v="0"/>
    <s v="Week2-Jan-2026"/>
    <x v="4"/>
    <s v="31-Dec-2030"/>
    <s v="Tuesday"/>
    <s v="Monthly - Tuesday"/>
    <s v="Monthly - Tuesday"/>
    <s v="Month+59 Expiry"/>
    <n v="0"/>
    <n v="0"/>
    <n v="0"/>
  </r>
  <r>
    <s v="13-Jan-2026"/>
    <x v="1"/>
    <s v="Week2-Jan-2026"/>
    <x v="4"/>
    <s v="13-Jan-2026"/>
    <s v="Tuesday"/>
    <s v="Weekly - Tuesday"/>
    <s v="Weekly - Tuesday"/>
    <s v="Same Month Expiry"/>
    <n v="455624308"/>
    <n v="76310941.829999998"/>
    <n v="71246.8"/>
  </r>
  <r>
    <s v="13-Jan-2026"/>
    <x v="1"/>
    <s v="Week2-Jan-2026"/>
    <x v="4"/>
    <s v="20-Jan-2026"/>
    <s v="Tuesday"/>
    <s v="Weekly - Tuesday"/>
    <s v="Weekly - Tuesday"/>
    <s v="Same Month Expiry"/>
    <n v="14626395"/>
    <n v="2465540.16"/>
    <n v="7725.53"/>
  </r>
  <r>
    <s v="13-Jan-2026"/>
    <x v="1"/>
    <s v="Week2-Jan-2026"/>
    <x v="4"/>
    <s v="27-Jan-2026"/>
    <s v="Tuesday"/>
    <s v="Monthly - Tuesday"/>
    <s v="Monthly - Tuesday"/>
    <s v="Same Month Expiry"/>
    <n v="2669250"/>
    <n v="450520.06"/>
    <n v="2263.94"/>
  </r>
  <r>
    <s v="13-Jan-2026"/>
    <x v="1"/>
    <s v="Week2-Jan-2026"/>
    <x v="4"/>
    <s v="03-Feb-2026"/>
    <s v="Tuesday"/>
    <s v="Weekly - Tuesday"/>
    <s v="Weekly - Tuesday"/>
    <s v="Month+1 Expiry"/>
    <n v="84811"/>
    <n v="14402.74"/>
    <n v="96.46"/>
  </r>
  <r>
    <s v="13-Jan-2026"/>
    <x v="1"/>
    <s v="Week2-Jan-2026"/>
    <x v="4"/>
    <s v="10-Feb-2026"/>
    <s v="Tuesday"/>
    <s v="Weekly - Tuesday"/>
    <s v="Weekly - Tuesday"/>
    <s v="Month+1 Expiry"/>
    <n v="10324"/>
    <n v="1761.76"/>
    <n v="10.66"/>
  </r>
  <r>
    <s v="13-Jan-2026"/>
    <x v="1"/>
    <s v="Week2-Jan-2026"/>
    <x v="4"/>
    <s v="24-Feb-2026"/>
    <s v="Tuesday"/>
    <s v="Monthly - Tuesday"/>
    <s v="Monthly - Tuesday"/>
    <s v="Month+1 Expiry"/>
    <n v="275292"/>
    <n v="46903.66"/>
    <n v="367.95"/>
  </r>
  <r>
    <s v="13-Jan-2026"/>
    <x v="1"/>
    <s v="Week2-Jan-2026"/>
    <x v="4"/>
    <s v="30-Mar-2026"/>
    <s v="Monday"/>
    <s v="Monthly - Monday"/>
    <s v="Monthly - Monday"/>
    <s v="Month+2 Expiry"/>
    <n v="103890"/>
    <n v="17739.63"/>
    <n v="220.93"/>
  </r>
  <r>
    <s v="13-Jan-2026"/>
    <x v="1"/>
    <s v="Week2-Jan-2026"/>
    <x v="4"/>
    <s v="30-Jun-2026"/>
    <s v="Tuesday"/>
    <s v="Monthly - Tuesday"/>
    <s v="Monthly - Tuesday"/>
    <s v="Month+5 Expiry"/>
    <n v="15976"/>
    <n v="2749.44"/>
    <n v="49.12"/>
  </r>
  <r>
    <s v="13-Jan-2026"/>
    <x v="1"/>
    <s v="Week2-Jan-2026"/>
    <x v="4"/>
    <s v="29-Sep-2026"/>
    <s v="Tuesday"/>
    <s v="Monthly - Tuesday"/>
    <s v="Monthly - Tuesday"/>
    <s v="Month+8 Expiry"/>
    <n v="713"/>
    <n v="123.35"/>
    <n v="2.5499999999999998"/>
  </r>
  <r>
    <s v="13-Jan-2026"/>
    <x v="1"/>
    <s v="Week2-Jan-2026"/>
    <x v="4"/>
    <s v="29-Dec-2026"/>
    <s v="Tuesday"/>
    <s v="Monthly - Tuesday"/>
    <s v="Monthly - Tuesday"/>
    <s v="Month+11 Expiry"/>
    <n v="6930"/>
    <n v="1237.1600000000001"/>
    <n v="38.96"/>
  </r>
  <r>
    <s v="13-Jan-2026"/>
    <x v="1"/>
    <s v="Week2-Jan-2026"/>
    <x v="4"/>
    <s v="29-Jun-2027"/>
    <s v="Tuesday"/>
    <s v="Monthly - Tuesday"/>
    <s v="Monthly - Tuesday"/>
    <s v="Month+17 Expiry"/>
    <n v="0"/>
    <n v="0"/>
    <n v="0"/>
  </r>
  <r>
    <s v="13-Jan-2026"/>
    <x v="1"/>
    <s v="Week2-Jan-2026"/>
    <x v="4"/>
    <s v="28-Dec-2027"/>
    <s v="Tuesday"/>
    <s v="Monthly - Tuesday"/>
    <s v="Monthly - Tuesday"/>
    <s v="Month+23 Expiry"/>
    <n v="83"/>
    <n v="13.28"/>
    <n v="0.33"/>
  </r>
  <r>
    <s v="13-Jan-2026"/>
    <x v="1"/>
    <s v="Week2-Jan-2026"/>
    <x v="4"/>
    <s v="27-Jun-2028"/>
    <s v="Tuesday"/>
    <s v="Monthly - Tuesday"/>
    <s v="Monthly - Tuesday"/>
    <s v="Month+29 Expiry"/>
    <n v="0"/>
    <n v="0"/>
    <n v="0"/>
  </r>
  <r>
    <s v="13-Jan-2026"/>
    <x v="1"/>
    <s v="Week2-Jan-2026"/>
    <x v="4"/>
    <s v="26-Dec-2028"/>
    <s v="Tuesday"/>
    <s v="Monthly - Tuesday"/>
    <s v="Monthly - Tuesday"/>
    <s v="Month+35 Expiry"/>
    <n v="122"/>
    <n v="18.32"/>
    <n v="0.35"/>
  </r>
  <r>
    <s v="13-Jan-2026"/>
    <x v="1"/>
    <s v="Week2-Jan-2026"/>
    <x v="4"/>
    <s v="26-Jun-2029"/>
    <s v="Tuesday"/>
    <s v="Monthly - Tuesday"/>
    <s v="Monthly - Tuesday"/>
    <s v="Month+41 Expiry"/>
    <n v="0"/>
    <n v="0"/>
    <n v="0"/>
  </r>
  <r>
    <s v="13-Jan-2026"/>
    <x v="1"/>
    <s v="Week2-Jan-2026"/>
    <x v="4"/>
    <s v="24-Dec-2029"/>
    <s v="Monday"/>
    <s v="Weekly - Monday"/>
    <s v="Weekly - Monday"/>
    <s v="Month+47 Expiry"/>
    <n v="2"/>
    <n v="0.35"/>
    <n v="0.01"/>
  </r>
  <r>
    <s v="13-Jan-2026"/>
    <x v="1"/>
    <s v="Week2-Jan-2026"/>
    <x v="4"/>
    <s v="25-Jun-2030"/>
    <s v="Tuesday"/>
    <s v="Monthly - Tuesday"/>
    <s v="Monthly - Tuesday"/>
    <s v="Month+53 Expiry"/>
    <n v="0"/>
    <n v="0"/>
    <n v="0"/>
  </r>
  <r>
    <s v="13-Jan-2026"/>
    <x v="1"/>
    <s v="Week2-Jan-2026"/>
    <x v="4"/>
    <s v="31-Dec-2030"/>
    <s v="Tuesday"/>
    <s v="Monthly - Tuesday"/>
    <s v="Monthly - Tuesday"/>
    <s v="Month+59 Expiry"/>
    <n v="0"/>
    <n v="0"/>
    <n v="0"/>
  </r>
  <r>
    <s v="14-Jan-2026"/>
    <x v="2"/>
    <s v="Week2-Jan-2026"/>
    <x v="4"/>
    <s v="20-Jan-2026"/>
    <s v="Tuesday"/>
    <s v="Weekly - Tuesday"/>
    <s v="Weekly - Tuesday"/>
    <s v="Same Month Expiry"/>
    <n v="63584049"/>
    <n v="10678136.33"/>
    <n v="31978.71"/>
  </r>
  <r>
    <s v="14-Jan-2026"/>
    <x v="2"/>
    <s v="Week2-Jan-2026"/>
    <x v="4"/>
    <s v="27-Jan-2026"/>
    <s v="Tuesday"/>
    <s v="Monthly - Tuesday"/>
    <s v="Monthly - Tuesday"/>
    <s v="Same Month Expiry"/>
    <n v="3256351"/>
    <n v="549230.66"/>
    <n v="2420.34"/>
  </r>
  <r>
    <s v="14-Jan-2026"/>
    <x v="2"/>
    <s v="Week2-Jan-2026"/>
    <x v="4"/>
    <s v="03-Feb-2026"/>
    <s v="Tuesday"/>
    <s v="Weekly - Tuesday"/>
    <s v="Weekly - Tuesday"/>
    <s v="Month+1 Expiry"/>
    <n v="147036"/>
    <n v="24935.14"/>
    <n v="156.76"/>
  </r>
  <r>
    <s v="14-Jan-2026"/>
    <x v="2"/>
    <s v="Week2-Jan-2026"/>
    <x v="4"/>
    <s v="10-Feb-2026"/>
    <s v="Tuesday"/>
    <s v="Weekly - Tuesday"/>
    <s v="Weekly - Tuesday"/>
    <s v="Month+1 Expiry"/>
    <n v="14543"/>
    <n v="2465.21"/>
    <n v="18.48"/>
  </r>
  <r>
    <s v="14-Jan-2026"/>
    <x v="2"/>
    <s v="Week2-Jan-2026"/>
    <x v="4"/>
    <s v="17-Feb-2026"/>
    <s v="Tuesday"/>
    <s v="Weekly - Tuesday"/>
    <s v="Weekly - Tuesday"/>
    <s v="Month+1 Expiry"/>
    <n v="247"/>
    <n v="41.79"/>
    <n v="0.51"/>
  </r>
  <r>
    <s v="14-Jan-2026"/>
    <x v="2"/>
    <s v="Week2-Jan-2026"/>
    <x v="4"/>
    <s v="24-Feb-2026"/>
    <s v="Tuesday"/>
    <s v="Monthly - Tuesday"/>
    <s v="Monthly - Tuesday"/>
    <s v="Month+1 Expiry"/>
    <n v="320113"/>
    <n v="54536.89"/>
    <n v="409.3"/>
  </r>
  <r>
    <s v="14-Jan-2026"/>
    <x v="2"/>
    <s v="Week2-Jan-2026"/>
    <x v="4"/>
    <s v="30-Mar-2026"/>
    <s v="Monday"/>
    <s v="Monthly - Monday"/>
    <s v="Monthly - Monday"/>
    <s v="Month+2 Expiry"/>
    <n v="87801"/>
    <n v="14929.43"/>
    <n v="178.6"/>
  </r>
  <r>
    <s v="14-Jan-2026"/>
    <x v="2"/>
    <s v="Week2-Jan-2026"/>
    <x v="4"/>
    <s v="30-Jun-2026"/>
    <s v="Tuesday"/>
    <s v="Monthly - Tuesday"/>
    <s v="Monthly - Tuesday"/>
    <s v="Month+5 Expiry"/>
    <n v="14742"/>
    <n v="2531.23"/>
    <n v="47.92"/>
  </r>
  <r>
    <s v="14-Jan-2026"/>
    <x v="2"/>
    <s v="Week2-Jan-2026"/>
    <x v="4"/>
    <s v="29-Sep-2026"/>
    <s v="Tuesday"/>
    <s v="Monthly - Tuesday"/>
    <s v="Monthly - Tuesday"/>
    <s v="Month+8 Expiry"/>
    <n v="793"/>
    <n v="137.96"/>
    <n v="3.21"/>
  </r>
  <r>
    <s v="14-Jan-2026"/>
    <x v="2"/>
    <s v="Week2-Jan-2026"/>
    <x v="4"/>
    <s v="29-Dec-2026"/>
    <s v="Tuesday"/>
    <s v="Monthly - Tuesday"/>
    <s v="Monthly - Tuesday"/>
    <s v="Month+11 Expiry"/>
    <n v="6629"/>
    <n v="1191.82"/>
    <n v="34.909999999999997"/>
  </r>
  <r>
    <s v="14-Jan-2026"/>
    <x v="2"/>
    <s v="Week2-Jan-2026"/>
    <x v="4"/>
    <s v="29-Jun-2027"/>
    <s v="Tuesday"/>
    <s v="Monthly - Tuesday"/>
    <s v="Monthly - Tuesday"/>
    <s v="Month+17 Expiry"/>
    <n v="0"/>
    <n v="0"/>
    <n v="0"/>
  </r>
  <r>
    <s v="14-Jan-2026"/>
    <x v="2"/>
    <s v="Week2-Jan-2026"/>
    <x v="4"/>
    <s v="28-Dec-2027"/>
    <s v="Tuesday"/>
    <s v="Monthly - Tuesday"/>
    <s v="Monthly - Tuesday"/>
    <s v="Month+23 Expiry"/>
    <n v="36"/>
    <n v="5.97"/>
    <n v="0.17"/>
  </r>
  <r>
    <s v="14-Jan-2026"/>
    <x v="2"/>
    <s v="Week2-Jan-2026"/>
    <x v="4"/>
    <s v="27-Jun-2028"/>
    <s v="Tuesday"/>
    <s v="Monthly - Tuesday"/>
    <s v="Monthly - Tuesday"/>
    <s v="Month+29 Expiry"/>
    <n v="0"/>
    <n v="0"/>
    <n v="0"/>
  </r>
  <r>
    <s v="14-Jan-2026"/>
    <x v="2"/>
    <s v="Week2-Jan-2026"/>
    <x v="4"/>
    <s v="26-Dec-2028"/>
    <s v="Tuesday"/>
    <s v="Monthly - Tuesday"/>
    <s v="Monthly - Tuesday"/>
    <s v="Month+35 Expiry"/>
    <n v="0"/>
    <n v="0"/>
    <n v="0"/>
  </r>
  <r>
    <s v="14-Jan-2026"/>
    <x v="2"/>
    <s v="Week2-Jan-2026"/>
    <x v="4"/>
    <s v="26-Jun-2029"/>
    <s v="Tuesday"/>
    <s v="Monthly - Tuesday"/>
    <s v="Monthly - Tuesday"/>
    <s v="Month+41 Expiry"/>
    <n v="0"/>
    <n v="0"/>
    <n v="0"/>
  </r>
  <r>
    <s v="14-Jan-2026"/>
    <x v="2"/>
    <s v="Week2-Jan-2026"/>
    <x v="4"/>
    <s v="24-Dec-2029"/>
    <s v="Monday"/>
    <s v="Weekly - Monday"/>
    <s v="Weekly - Monday"/>
    <s v="Month+47 Expiry"/>
    <n v="0"/>
    <n v="0"/>
    <n v="0"/>
  </r>
  <r>
    <s v="14-Jan-2026"/>
    <x v="2"/>
    <s v="Week2-Jan-2026"/>
    <x v="4"/>
    <s v="25-Jun-2030"/>
    <s v="Tuesday"/>
    <s v="Monthly - Tuesday"/>
    <s v="Monthly - Tuesday"/>
    <s v="Month+53 Expiry"/>
    <n v="0"/>
    <n v="0"/>
    <n v="0"/>
  </r>
  <r>
    <s v="14-Jan-2026"/>
    <x v="2"/>
    <s v="Week2-Jan-2026"/>
    <x v="4"/>
    <s v="31-Dec-2030"/>
    <s v="Tuesday"/>
    <s v="Monthly - Tuesday"/>
    <s v="Monthly - Tuesday"/>
    <s v="Month+59 Expiry"/>
    <n v="0"/>
    <n v="0"/>
    <n v="0"/>
  </r>
  <r>
    <s v="16-Jan-2026"/>
    <x v="4"/>
    <s v="Week3-Jan-2026"/>
    <x v="4"/>
    <s v="20-Jan-2026"/>
    <s v="Tuesday"/>
    <s v="Weekly - Tuesday"/>
    <s v="Weekly - Tuesday"/>
    <s v="Same Month Expiry"/>
    <n v="143997483"/>
    <n v="24177781.449999999"/>
    <n v="56382.45"/>
  </r>
  <r>
    <s v="16-Jan-2026"/>
    <x v="4"/>
    <s v="Week3-Jan-2026"/>
    <x v="4"/>
    <s v="27-Jan-2026"/>
    <s v="Tuesday"/>
    <s v="Monthly - Tuesday"/>
    <s v="Monthly - Tuesday"/>
    <s v="Same Month Expiry"/>
    <n v="6185453"/>
    <n v="1044698.27"/>
    <n v="3780.42"/>
  </r>
  <r>
    <s v="16-Jan-2026"/>
    <x v="4"/>
    <s v="Week3-Jan-2026"/>
    <x v="4"/>
    <s v="03-Feb-2026"/>
    <s v="Tuesday"/>
    <s v="Weekly - Tuesday"/>
    <s v="Weekly - Tuesday"/>
    <s v="Month+1 Expiry"/>
    <n v="253810"/>
    <n v="42992.85"/>
    <n v="237.94"/>
  </r>
  <r>
    <s v="16-Jan-2026"/>
    <x v="4"/>
    <s v="Week3-Jan-2026"/>
    <x v="4"/>
    <s v="10-Feb-2026"/>
    <s v="Tuesday"/>
    <s v="Weekly - Tuesday"/>
    <s v="Weekly - Tuesday"/>
    <s v="Month+1 Expiry"/>
    <n v="26226"/>
    <n v="4457.6499999999996"/>
    <n v="32.85"/>
  </r>
  <r>
    <s v="16-Jan-2026"/>
    <x v="4"/>
    <s v="Week3-Jan-2026"/>
    <x v="4"/>
    <s v="17-Feb-2026"/>
    <s v="Tuesday"/>
    <s v="Weekly - Tuesday"/>
    <s v="Weekly - Tuesday"/>
    <s v="Month+1 Expiry"/>
    <n v="1123"/>
    <n v="191.43"/>
    <n v="1.23"/>
  </r>
  <r>
    <s v="16-Jan-2026"/>
    <x v="4"/>
    <s v="Week3-Jan-2026"/>
    <x v="4"/>
    <s v="24-Feb-2026"/>
    <s v="Tuesday"/>
    <s v="Monthly - Tuesday"/>
    <s v="Monthly - Tuesday"/>
    <s v="Month+1 Expiry"/>
    <n v="372289"/>
    <n v="63415.73"/>
    <n v="480.87"/>
  </r>
  <r>
    <s v="16-Jan-2026"/>
    <x v="4"/>
    <s v="Week3-Jan-2026"/>
    <x v="4"/>
    <s v="30-Mar-2026"/>
    <s v="Monday"/>
    <s v="Monthly - Monday"/>
    <s v="Monthly - Monday"/>
    <s v="Month+2 Expiry"/>
    <n v="87252"/>
    <n v="14841.52"/>
    <n v="170.82"/>
  </r>
  <r>
    <s v="16-Jan-2026"/>
    <x v="4"/>
    <s v="Week3-Jan-2026"/>
    <x v="4"/>
    <s v="30-Jun-2026"/>
    <s v="Tuesday"/>
    <s v="Monthly - Tuesday"/>
    <s v="Monthly - Tuesday"/>
    <s v="Month+5 Expiry"/>
    <n v="16727"/>
    <n v="2788.02"/>
    <n v="39.08"/>
  </r>
  <r>
    <s v="16-Jan-2026"/>
    <x v="4"/>
    <s v="Week3-Jan-2026"/>
    <x v="4"/>
    <s v="29-Sep-2026"/>
    <s v="Tuesday"/>
    <s v="Monthly - Tuesday"/>
    <s v="Monthly - Tuesday"/>
    <s v="Month+8 Expiry"/>
    <n v="873"/>
    <n v="149.62"/>
    <n v="2.83"/>
  </r>
  <r>
    <s v="16-Jan-2026"/>
    <x v="4"/>
    <s v="Week3-Jan-2026"/>
    <x v="4"/>
    <s v="29-Dec-2026"/>
    <s v="Tuesday"/>
    <s v="Monthly - Tuesday"/>
    <s v="Monthly - Tuesday"/>
    <s v="Month+11 Expiry"/>
    <n v="6560"/>
    <n v="1184.6199999999999"/>
    <n v="36.590000000000003"/>
  </r>
  <r>
    <s v="16-Jan-2026"/>
    <x v="4"/>
    <s v="Week3-Jan-2026"/>
    <x v="4"/>
    <s v="29-Jun-2027"/>
    <s v="Tuesday"/>
    <s v="Monthly - Tuesday"/>
    <s v="Monthly - Tuesday"/>
    <s v="Month+17 Expiry"/>
    <n v="0"/>
    <n v="0"/>
    <n v="0"/>
  </r>
  <r>
    <s v="16-Jan-2026"/>
    <x v="4"/>
    <s v="Week3-Jan-2026"/>
    <x v="4"/>
    <s v="28-Dec-2027"/>
    <s v="Tuesday"/>
    <s v="Monthly - Tuesday"/>
    <s v="Monthly - Tuesday"/>
    <s v="Month+23 Expiry"/>
    <n v="102"/>
    <n v="18.079999999999998"/>
    <n v="0.7"/>
  </r>
  <r>
    <s v="16-Jan-2026"/>
    <x v="4"/>
    <s v="Week3-Jan-2026"/>
    <x v="4"/>
    <s v="27-Jun-2028"/>
    <s v="Tuesday"/>
    <s v="Monthly - Tuesday"/>
    <s v="Monthly - Tuesday"/>
    <s v="Month+29 Expiry"/>
    <n v="0"/>
    <n v="0"/>
    <n v="0"/>
  </r>
  <r>
    <s v="16-Jan-2026"/>
    <x v="4"/>
    <s v="Week3-Jan-2026"/>
    <x v="4"/>
    <s v="26-Dec-2028"/>
    <s v="Tuesday"/>
    <s v="Monthly - Tuesday"/>
    <s v="Monthly - Tuesday"/>
    <s v="Month+35 Expiry"/>
    <n v="10"/>
    <n v="1.76"/>
    <n v="0.06"/>
  </r>
  <r>
    <s v="16-Jan-2026"/>
    <x v="4"/>
    <s v="Week3-Jan-2026"/>
    <x v="4"/>
    <s v="26-Jun-2029"/>
    <s v="Tuesday"/>
    <s v="Monthly - Tuesday"/>
    <s v="Monthly - Tuesday"/>
    <s v="Month+41 Expiry"/>
    <n v="0"/>
    <n v="0"/>
    <n v="0"/>
  </r>
  <r>
    <s v="16-Jan-2026"/>
    <x v="4"/>
    <s v="Week3-Jan-2026"/>
    <x v="4"/>
    <s v="24-Dec-2029"/>
    <s v="Monday"/>
    <s v="Weekly - Monday"/>
    <s v="Weekly - Monday"/>
    <s v="Month+47 Expiry"/>
    <n v="0"/>
    <n v="0"/>
    <n v="0"/>
  </r>
  <r>
    <s v="16-Jan-2026"/>
    <x v="4"/>
    <s v="Week3-Jan-2026"/>
    <x v="4"/>
    <s v="25-Jun-2030"/>
    <s v="Tuesday"/>
    <s v="Monthly - Tuesday"/>
    <s v="Monthly - Tuesday"/>
    <s v="Month+53 Expiry"/>
    <n v="0"/>
    <n v="0"/>
    <n v="0"/>
  </r>
  <r>
    <s v="16-Jan-2026"/>
    <x v="4"/>
    <s v="Week3-Jan-2026"/>
    <x v="4"/>
    <s v="31-Dec-2030"/>
    <s v="Tuesday"/>
    <s v="Monthly - Tuesday"/>
    <s v="Monthly - Tuesday"/>
    <s v="Month+59 Expiry"/>
    <n v="0"/>
    <n v="0"/>
    <n v="0"/>
  </r>
  <r>
    <s v="19-Jan-2026"/>
    <x v="0"/>
    <s v="Week3-Jan-2026"/>
    <x v="4"/>
    <s v="20-Jan-2026"/>
    <s v="Tuesday"/>
    <s v="Weekly - Tuesday"/>
    <s v="Weekly - Tuesday"/>
    <s v="Same Month Expiry"/>
    <n v="178470411"/>
    <n v="29757670.149999999"/>
    <n v="52512.35"/>
  </r>
  <r>
    <s v="19-Jan-2026"/>
    <x v="0"/>
    <s v="Week3-Jan-2026"/>
    <x v="4"/>
    <s v="27-Jan-2026"/>
    <s v="Tuesday"/>
    <s v="Monthly - Tuesday"/>
    <s v="Monthly - Tuesday"/>
    <s v="Same Month Expiry"/>
    <n v="8545308"/>
    <n v="1438103.35"/>
    <n v="4596.17"/>
  </r>
  <r>
    <s v="19-Jan-2026"/>
    <x v="0"/>
    <s v="Week3-Jan-2026"/>
    <x v="4"/>
    <s v="03-Feb-2026"/>
    <s v="Tuesday"/>
    <s v="Weekly - Tuesday"/>
    <s v="Weekly - Tuesday"/>
    <s v="Month+1 Expiry"/>
    <n v="373243"/>
    <n v="63105.98"/>
    <n v="321.02999999999997"/>
  </r>
  <r>
    <s v="19-Jan-2026"/>
    <x v="0"/>
    <s v="Week3-Jan-2026"/>
    <x v="4"/>
    <s v="10-Feb-2026"/>
    <s v="Tuesday"/>
    <s v="Weekly - Tuesday"/>
    <s v="Weekly - Tuesday"/>
    <s v="Month+1 Expiry"/>
    <n v="36611"/>
    <n v="6185.6"/>
    <n v="47.32"/>
  </r>
  <r>
    <s v="19-Jan-2026"/>
    <x v="0"/>
    <s v="Week3-Jan-2026"/>
    <x v="4"/>
    <s v="17-Feb-2026"/>
    <s v="Tuesday"/>
    <s v="Weekly - Tuesday"/>
    <s v="Weekly - Tuesday"/>
    <s v="Month+1 Expiry"/>
    <n v="2082"/>
    <n v="351.55"/>
    <n v="2.66"/>
  </r>
  <r>
    <s v="19-Jan-2026"/>
    <x v="0"/>
    <s v="Week3-Jan-2026"/>
    <x v="4"/>
    <s v="24-Feb-2026"/>
    <s v="Tuesday"/>
    <s v="Monthly - Tuesday"/>
    <s v="Monthly - Tuesday"/>
    <s v="Month+1 Expiry"/>
    <n v="463602"/>
    <n v="78720.75"/>
    <n v="640.98"/>
  </r>
  <r>
    <s v="19-Jan-2026"/>
    <x v="0"/>
    <s v="Week3-Jan-2026"/>
    <x v="4"/>
    <s v="30-Mar-2026"/>
    <s v="Monday"/>
    <s v="Monthly - Monday"/>
    <s v="Monthly - Monday"/>
    <s v="Month+2 Expiry"/>
    <n v="139334"/>
    <n v="23556.95"/>
    <n v="247.84"/>
  </r>
  <r>
    <s v="19-Jan-2026"/>
    <x v="0"/>
    <s v="Week3-Jan-2026"/>
    <x v="4"/>
    <s v="30-Jun-2026"/>
    <s v="Tuesday"/>
    <s v="Monthly - Tuesday"/>
    <s v="Monthly - Tuesday"/>
    <s v="Month+5 Expiry"/>
    <n v="25795"/>
    <n v="4375.03"/>
    <n v="64.400000000000006"/>
  </r>
  <r>
    <s v="19-Jan-2026"/>
    <x v="0"/>
    <s v="Week3-Jan-2026"/>
    <x v="4"/>
    <s v="29-Sep-2026"/>
    <s v="Tuesday"/>
    <s v="Monthly - Tuesday"/>
    <s v="Monthly - Tuesday"/>
    <s v="Month+8 Expiry"/>
    <n v="4865"/>
    <n v="814.12"/>
    <n v="9.33"/>
  </r>
  <r>
    <s v="19-Jan-2026"/>
    <x v="0"/>
    <s v="Week3-Jan-2026"/>
    <x v="4"/>
    <s v="29-Dec-2026"/>
    <s v="Tuesday"/>
    <s v="Monthly - Tuesday"/>
    <s v="Monthly - Tuesday"/>
    <s v="Month+11 Expiry"/>
    <n v="7336"/>
    <n v="1301.55"/>
    <n v="34.97"/>
  </r>
  <r>
    <s v="19-Jan-2026"/>
    <x v="0"/>
    <s v="Week3-Jan-2026"/>
    <x v="4"/>
    <s v="29-Jun-2027"/>
    <s v="Tuesday"/>
    <s v="Monthly - Tuesday"/>
    <s v="Monthly - Tuesday"/>
    <s v="Month+17 Expiry"/>
    <n v="0"/>
    <n v="0"/>
    <n v="0"/>
  </r>
  <r>
    <s v="19-Jan-2026"/>
    <x v="0"/>
    <s v="Week3-Jan-2026"/>
    <x v="4"/>
    <s v="28-Dec-2027"/>
    <s v="Tuesday"/>
    <s v="Monthly - Tuesday"/>
    <s v="Monthly - Tuesday"/>
    <s v="Month+23 Expiry"/>
    <n v="47"/>
    <n v="7.88"/>
    <n v="0.34"/>
  </r>
  <r>
    <s v="19-Jan-2026"/>
    <x v="0"/>
    <s v="Week3-Jan-2026"/>
    <x v="4"/>
    <s v="27-Jun-2028"/>
    <s v="Tuesday"/>
    <s v="Monthly - Tuesday"/>
    <s v="Monthly - Tuesday"/>
    <s v="Month+29 Expiry"/>
    <n v="0"/>
    <n v="0"/>
    <n v="0"/>
  </r>
  <r>
    <s v="19-Jan-2026"/>
    <x v="0"/>
    <s v="Week3-Jan-2026"/>
    <x v="4"/>
    <s v="26-Dec-2028"/>
    <s v="Tuesday"/>
    <s v="Monthly - Tuesday"/>
    <s v="Monthly - Tuesday"/>
    <s v="Month+35 Expiry"/>
    <n v="37"/>
    <n v="6.56"/>
    <n v="0.25"/>
  </r>
  <r>
    <s v="19-Jan-2026"/>
    <x v="0"/>
    <s v="Week3-Jan-2026"/>
    <x v="4"/>
    <s v="26-Jun-2029"/>
    <s v="Tuesday"/>
    <s v="Monthly - Tuesday"/>
    <s v="Monthly - Tuesday"/>
    <s v="Month+41 Expiry"/>
    <n v="0"/>
    <n v="0"/>
    <n v="0"/>
  </r>
  <r>
    <s v="19-Jan-2026"/>
    <x v="0"/>
    <s v="Week3-Jan-2026"/>
    <x v="4"/>
    <s v="24-Dec-2029"/>
    <s v="Monday"/>
    <s v="Weekly - Monday"/>
    <s v="Weekly - Monday"/>
    <s v="Month+47 Expiry"/>
    <n v="0"/>
    <n v="0"/>
    <n v="0"/>
  </r>
  <r>
    <s v="19-Jan-2026"/>
    <x v="0"/>
    <s v="Week3-Jan-2026"/>
    <x v="4"/>
    <s v="25-Jun-2030"/>
    <s v="Tuesday"/>
    <s v="Monthly - Tuesday"/>
    <s v="Monthly - Tuesday"/>
    <s v="Month+53 Expiry"/>
    <n v="0"/>
    <n v="0"/>
    <n v="0"/>
  </r>
  <r>
    <s v="19-Jan-2026"/>
    <x v="0"/>
    <s v="Week3-Jan-2026"/>
    <x v="4"/>
    <s v="31-Dec-2030"/>
    <s v="Tuesday"/>
    <s v="Monthly - Tuesday"/>
    <s v="Monthly - Tuesday"/>
    <s v="Month+59 Expiry"/>
    <n v="0"/>
    <n v="0"/>
    <n v="0"/>
  </r>
  <r>
    <s v="20-Jan-2026"/>
    <x v="1"/>
    <s v="Week3-Jan-2026"/>
    <x v="4"/>
    <s v="20-Jan-2026"/>
    <s v="Tuesday"/>
    <s v="Weekly - Tuesday"/>
    <s v="Weekly - Tuesday"/>
    <s v="Same Month Expiry"/>
    <n v="383628863"/>
    <n v="63507858.369999997"/>
    <n v="58620.5"/>
  </r>
  <r>
    <s v="20-Jan-2026"/>
    <x v="1"/>
    <s v="Week3-Jan-2026"/>
    <x v="4"/>
    <s v="27-Jan-2026"/>
    <s v="Tuesday"/>
    <s v="Monthly - Tuesday"/>
    <s v="Monthly - Tuesday"/>
    <s v="Same Month Expiry"/>
    <n v="17382498"/>
    <n v="2908865.51"/>
    <n v="9030.17"/>
  </r>
  <r>
    <s v="20-Jan-2026"/>
    <x v="1"/>
    <s v="Week3-Jan-2026"/>
    <x v="4"/>
    <s v="03-Feb-2026"/>
    <s v="Tuesday"/>
    <s v="Weekly - Tuesday"/>
    <s v="Weekly - Tuesday"/>
    <s v="Month+1 Expiry"/>
    <n v="654522"/>
    <n v="109776.76"/>
    <n v="627.47"/>
  </r>
  <r>
    <s v="20-Jan-2026"/>
    <x v="1"/>
    <s v="Week3-Jan-2026"/>
    <x v="4"/>
    <s v="10-Feb-2026"/>
    <s v="Tuesday"/>
    <s v="Weekly - Tuesday"/>
    <s v="Weekly - Tuesday"/>
    <s v="Month+1 Expiry"/>
    <n v="71384"/>
    <n v="11979.86"/>
    <n v="80.290000000000006"/>
  </r>
  <r>
    <s v="20-Jan-2026"/>
    <x v="1"/>
    <s v="Week3-Jan-2026"/>
    <x v="4"/>
    <s v="17-Feb-2026"/>
    <s v="Tuesday"/>
    <s v="Weekly - Tuesday"/>
    <s v="Weekly - Tuesday"/>
    <s v="Month+1 Expiry"/>
    <n v="5247"/>
    <n v="886.31"/>
    <n v="6.11"/>
  </r>
  <r>
    <s v="20-Jan-2026"/>
    <x v="1"/>
    <s v="Week3-Jan-2026"/>
    <x v="4"/>
    <s v="24-Feb-2026"/>
    <s v="Tuesday"/>
    <s v="Monthly - Tuesday"/>
    <s v="Monthly - Tuesday"/>
    <s v="Month+1 Expiry"/>
    <n v="733753"/>
    <n v="123610.41"/>
    <n v="1103.67"/>
  </r>
  <r>
    <s v="20-Jan-2026"/>
    <x v="1"/>
    <s v="Week3-Jan-2026"/>
    <x v="4"/>
    <s v="30-Mar-2026"/>
    <s v="Monday"/>
    <s v="Monthly - Monday"/>
    <s v="Monthly - Monday"/>
    <s v="Month+2 Expiry"/>
    <n v="221755"/>
    <n v="37333.15"/>
    <n v="438.12"/>
  </r>
  <r>
    <s v="20-Jan-2026"/>
    <x v="1"/>
    <s v="Week3-Jan-2026"/>
    <x v="4"/>
    <s v="30-Jun-2026"/>
    <s v="Tuesday"/>
    <s v="Monthly - Tuesday"/>
    <s v="Monthly - Tuesday"/>
    <s v="Month+5 Expiry"/>
    <n v="38473"/>
    <n v="6577.82"/>
    <n v="100.54"/>
  </r>
  <r>
    <s v="20-Jan-2026"/>
    <x v="1"/>
    <s v="Week3-Jan-2026"/>
    <x v="4"/>
    <s v="29-Sep-2026"/>
    <s v="Tuesday"/>
    <s v="Monthly - Tuesday"/>
    <s v="Monthly - Tuesday"/>
    <s v="Month+8 Expiry"/>
    <n v="4340"/>
    <n v="719.09"/>
    <n v="11.5"/>
  </r>
  <r>
    <s v="20-Jan-2026"/>
    <x v="1"/>
    <s v="Week3-Jan-2026"/>
    <x v="4"/>
    <s v="29-Dec-2026"/>
    <s v="Tuesday"/>
    <s v="Monthly - Tuesday"/>
    <s v="Monthly - Tuesday"/>
    <s v="Month+11 Expiry"/>
    <n v="14885"/>
    <n v="2625.23"/>
    <n v="71.05"/>
  </r>
  <r>
    <s v="20-Jan-2026"/>
    <x v="1"/>
    <s v="Week3-Jan-2026"/>
    <x v="4"/>
    <s v="29-Jun-2027"/>
    <s v="Tuesday"/>
    <s v="Monthly - Tuesday"/>
    <s v="Monthly - Tuesday"/>
    <s v="Month+17 Expiry"/>
    <n v="0"/>
    <n v="0"/>
    <n v="0"/>
  </r>
  <r>
    <s v="20-Jan-2026"/>
    <x v="1"/>
    <s v="Week3-Jan-2026"/>
    <x v="4"/>
    <s v="28-Dec-2027"/>
    <s v="Tuesday"/>
    <s v="Monthly - Tuesday"/>
    <s v="Monthly - Tuesday"/>
    <s v="Month+23 Expiry"/>
    <n v="77"/>
    <n v="13.49"/>
    <n v="0.82"/>
  </r>
  <r>
    <s v="20-Jan-2026"/>
    <x v="1"/>
    <s v="Week3-Jan-2026"/>
    <x v="4"/>
    <s v="27-Jun-2028"/>
    <s v="Tuesday"/>
    <s v="Monthly - Tuesday"/>
    <s v="Monthly - Tuesday"/>
    <s v="Month+29 Expiry"/>
    <n v="0"/>
    <n v="0"/>
    <n v="0"/>
  </r>
  <r>
    <s v="20-Jan-2026"/>
    <x v="1"/>
    <s v="Week3-Jan-2026"/>
    <x v="4"/>
    <s v="26-Dec-2028"/>
    <s v="Tuesday"/>
    <s v="Monthly - Tuesday"/>
    <s v="Monthly - Tuesday"/>
    <s v="Month+35 Expiry"/>
    <n v="30"/>
    <n v="5.35"/>
    <n v="0.2"/>
  </r>
  <r>
    <s v="20-Jan-2026"/>
    <x v="1"/>
    <s v="Week3-Jan-2026"/>
    <x v="4"/>
    <s v="26-Jun-2029"/>
    <s v="Tuesday"/>
    <s v="Monthly - Tuesday"/>
    <s v="Monthly - Tuesday"/>
    <s v="Month+41 Expiry"/>
    <n v="0"/>
    <n v="0"/>
    <n v="0"/>
  </r>
  <r>
    <s v="20-Jan-2026"/>
    <x v="1"/>
    <s v="Week3-Jan-2026"/>
    <x v="4"/>
    <s v="24-Dec-2029"/>
    <s v="Monday"/>
    <s v="Weekly - Monday"/>
    <s v="Weekly - Monday"/>
    <s v="Month+47 Expiry"/>
    <n v="0"/>
    <n v="0"/>
    <n v="0"/>
  </r>
  <r>
    <s v="20-Jan-2026"/>
    <x v="1"/>
    <s v="Week3-Jan-2026"/>
    <x v="4"/>
    <s v="25-Jun-2030"/>
    <s v="Tuesday"/>
    <s v="Monthly - Tuesday"/>
    <s v="Monthly - Tuesday"/>
    <s v="Month+53 Expiry"/>
    <n v="0"/>
    <n v="0"/>
    <n v="0"/>
  </r>
  <r>
    <s v="20-Jan-2026"/>
    <x v="1"/>
    <s v="Week3-Jan-2026"/>
    <x v="4"/>
    <s v="31-Dec-2030"/>
    <s v="Tuesday"/>
    <s v="Monthly - Tuesday"/>
    <s v="Monthly - Tuesday"/>
    <s v="Month+59 Expiry"/>
    <n v="0"/>
    <n v="0"/>
    <n v="0"/>
  </r>
  <r>
    <s v="21-Jan-2026"/>
    <x v="2"/>
    <s v="Week3-Jan-2026"/>
    <x v="4"/>
    <s v="27-Jan-2026"/>
    <s v="Tuesday"/>
    <s v="Monthly - Tuesday"/>
    <s v="MDAW - Tuesday"/>
    <s v="Same Month Expiry"/>
    <n v="98572048"/>
    <n v="16234323.42"/>
    <n v="58409.95"/>
  </r>
  <r>
    <s v="21-Jan-2026"/>
    <x v="2"/>
    <s v="Week3-Jan-2026"/>
    <x v="4"/>
    <s v="03-Feb-2026"/>
    <s v="Tuesday"/>
    <s v="Weekly - Tuesday"/>
    <s v="Weekly - Tuesday"/>
    <s v="Month+1 Expiry"/>
    <n v="2214344"/>
    <n v="365912.07"/>
    <n v="2153.56"/>
  </r>
  <r>
    <s v="21-Jan-2026"/>
    <x v="2"/>
    <s v="Week3-Jan-2026"/>
    <x v="4"/>
    <s v="10-Feb-2026"/>
    <s v="Tuesday"/>
    <s v="Weekly - Tuesday"/>
    <s v="Weekly - Tuesday"/>
    <s v="Month+1 Expiry"/>
    <n v="214954"/>
    <n v="35688.5"/>
    <n v="235.71"/>
  </r>
  <r>
    <s v="21-Jan-2026"/>
    <x v="2"/>
    <s v="Week3-Jan-2026"/>
    <x v="4"/>
    <s v="17-Feb-2026"/>
    <s v="Tuesday"/>
    <s v="Weekly - Tuesday"/>
    <s v="Weekly - Tuesday"/>
    <s v="Month+1 Expiry"/>
    <n v="22800"/>
    <n v="3790.15"/>
    <n v="36.56"/>
  </r>
  <r>
    <s v="21-Jan-2026"/>
    <x v="2"/>
    <s v="Week3-Jan-2026"/>
    <x v="4"/>
    <s v="24-Feb-2026"/>
    <s v="Tuesday"/>
    <s v="Monthly - Tuesday"/>
    <s v="Monthly - Tuesday"/>
    <s v="Month+1 Expiry"/>
    <n v="1298066"/>
    <n v="216621.17"/>
    <n v="2160.6"/>
  </r>
  <r>
    <s v="21-Jan-2026"/>
    <x v="2"/>
    <s v="Week3-Jan-2026"/>
    <x v="4"/>
    <s v="02-Mar-2026"/>
    <s v="Monday"/>
    <s v="Weekly - Monday"/>
    <s v="Weekly - Monday"/>
    <s v="Month+2 Expiry"/>
    <n v="255"/>
    <n v="43.71"/>
    <n v="0.27"/>
  </r>
  <r>
    <s v="21-Jan-2026"/>
    <x v="2"/>
    <s v="Week3-Jan-2026"/>
    <x v="4"/>
    <s v="30-Mar-2026"/>
    <s v="Monday"/>
    <s v="Monthly - Monday"/>
    <s v="Monthly - Monday"/>
    <s v="Month+2 Expiry"/>
    <n v="370735"/>
    <n v="61956.88"/>
    <n v="816.07"/>
  </r>
  <r>
    <s v="21-Jan-2026"/>
    <x v="2"/>
    <s v="Week3-Jan-2026"/>
    <x v="4"/>
    <s v="30-Jun-2026"/>
    <s v="Tuesday"/>
    <s v="Monthly - Tuesday"/>
    <s v="Monthly - Tuesday"/>
    <s v="Month+5 Expiry"/>
    <n v="69756"/>
    <n v="11983.08"/>
    <n v="193.46"/>
  </r>
  <r>
    <s v="21-Jan-2026"/>
    <x v="2"/>
    <s v="Week3-Jan-2026"/>
    <x v="4"/>
    <s v="29-Sep-2026"/>
    <s v="Tuesday"/>
    <s v="Monthly - Tuesday"/>
    <s v="Monthly - Tuesday"/>
    <s v="Month+8 Expiry"/>
    <n v="10584"/>
    <n v="1774.43"/>
    <n v="24.02"/>
  </r>
  <r>
    <s v="21-Jan-2026"/>
    <x v="2"/>
    <s v="Week3-Jan-2026"/>
    <x v="4"/>
    <s v="29-Dec-2026"/>
    <s v="Tuesday"/>
    <s v="Monthly - Tuesday"/>
    <s v="Monthly - Tuesday"/>
    <s v="Month+11 Expiry"/>
    <n v="17693"/>
    <n v="3131.06"/>
    <n v="98.06"/>
  </r>
  <r>
    <s v="21-Jan-2026"/>
    <x v="2"/>
    <s v="Week3-Jan-2026"/>
    <x v="4"/>
    <s v="29-Jun-2027"/>
    <s v="Tuesday"/>
    <s v="Monthly - Tuesday"/>
    <s v="Monthly - Tuesday"/>
    <s v="Month+17 Expiry"/>
    <n v="0"/>
    <n v="0"/>
    <n v="0"/>
  </r>
  <r>
    <s v="21-Jan-2026"/>
    <x v="2"/>
    <s v="Week3-Jan-2026"/>
    <x v="4"/>
    <s v="28-Dec-2027"/>
    <s v="Tuesday"/>
    <s v="Monthly - Tuesday"/>
    <s v="Monthly - Tuesday"/>
    <s v="Month+23 Expiry"/>
    <n v="94"/>
    <n v="16.440000000000001"/>
    <n v="0.94"/>
  </r>
  <r>
    <s v="21-Jan-2026"/>
    <x v="2"/>
    <s v="Week3-Jan-2026"/>
    <x v="4"/>
    <s v="27-Jun-2028"/>
    <s v="Tuesday"/>
    <s v="Monthly - Tuesday"/>
    <s v="Monthly - Tuesday"/>
    <s v="Month+29 Expiry"/>
    <n v="0"/>
    <n v="0"/>
    <n v="0"/>
  </r>
  <r>
    <s v="21-Jan-2026"/>
    <x v="2"/>
    <s v="Week3-Jan-2026"/>
    <x v="4"/>
    <s v="26-Dec-2028"/>
    <s v="Tuesday"/>
    <s v="Monthly - Tuesday"/>
    <s v="Monthly - Tuesday"/>
    <s v="Month+35 Expiry"/>
    <n v="12"/>
    <n v="1.92"/>
    <n v="0.05"/>
  </r>
  <r>
    <s v="21-Jan-2026"/>
    <x v="2"/>
    <s v="Week3-Jan-2026"/>
    <x v="4"/>
    <s v="26-Jun-2029"/>
    <s v="Tuesday"/>
    <s v="Monthly - Tuesday"/>
    <s v="Monthly - Tuesday"/>
    <s v="Month+41 Expiry"/>
    <n v="0"/>
    <n v="0"/>
    <n v="0"/>
  </r>
  <r>
    <s v="21-Jan-2026"/>
    <x v="2"/>
    <s v="Week3-Jan-2026"/>
    <x v="4"/>
    <s v="24-Dec-2029"/>
    <s v="Monday"/>
    <s v="Weekly - Monday"/>
    <s v="Weekly - Monday"/>
    <s v="Month+47 Expiry"/>
    <n v="0"/>
    <n v="0"/>
    <n v="0"/>
  </r>
  <r>
    <s v="21-Jan-2026"/>
    <x v="2"/>
    <s v="Week3-Jan-2026"/>
    <x v="4"/>
    <s v="25-Jun-2030"/>
    <s v="Tuesday"/>
    <s v="Monthly - Tuesday"/>
    <s v="Monthly - Tuesday"/>
    <s v="Month+53 Expiry"/>
    <n v="0"/>
    <n v="0"/>
    <n v="0"/>
  </r>
  <r>
    <s v="21-Jan-2026"/>
    <x v="2"/>
    <s v="Week3-Jan-2026"/>
    <x v="4"/>
    <s v="31-Dec-2030"/>
    <s v="Tuesday"/>
    <s v="Monthly - Tuesday"/>
    <s v="Monthly - Tuesday"/>
    <s v="Month+59 Expiry"/>
    <n v="0"/>
    <n v="0"/>
    <n v="0"/>
  </r>
  <r>
    <s v="22-Jan-2026"/>
    <x v="3"/>
    <s v="Week4-Jan-2026"/>
    <x v="4"/>
    <s v="27-Jan-2026"/>
    <s v="Tuesday"/>
    <s v="Monthly - Tuesday"/>
    <s v="MDAW - Tuesday"/>
    <s v="Same Month Expiry"/>
    <n v="89227070"/>
    <n v="14704023.82"/>
    <n v="43808.88"/>
  </r>
  <r>
    <s v="22-Jan-2026"/>
    <x v="3"/>
    <s v="Week4-Jan-2026"/>
    <x v="4"/>
    <s v="03-Feb-2026"/>
    <s v="Tuesday"/>
    <s v="Weekly - Tuesday"/>
    <s v="Weekly - Tuesday"/>
    <s v="Month+1 Expiry"/>
    <n v="2167294"/>
    <n v="358657.8"/>
    <n v="2041.09"/>
  </r>
  <r>
    <s v="22-Jan-2026"/>
    <x v="3"/>
    <s v="Week4-Jan-2026"/>
    <x v="4"/>
    <s v="10-Feb-2026"/>
    <s v="Tuesday"/>
    <s v="Weekly - Tuesday"/>
    <s v="Weekly - Tuesday"/>
    <s v="Month+1 Expiry"/>
    <n v="186101"/>
    <n v="30902.62"/>
    <n v="214.6"/>
  </r>
  <r>
    <s v="22-Jan-2026"/>
    <x v="3"/>
    <s v="Week4-Jan-2026"/>
    <x v="4"/>
    <s v="17-Feb-2026"/>
    <s v="Tuesday"/>
    <s v="Weekly - Tuesday"/>
    <s v="Weekly - Tuesday"/>
    <s v="Month+1 Expiry"/>
    <n v="20271"/>
    <n v="3368.6"/>
    <n v="31.69"/>
  </r>
  <r>
    <s v="22-Jan-2026"/>
    <x v="3"/>
    <s v="Week4-Jan-2026"/>
    <x v="4"/>
    <s v="24-Feb-2026"/>
    <s v="Tuesday"/>
    <s v="Monthly - Tuesday"/>
    <s v="Monthly - Tuesday"/>
    <s v="Month+1 Expiry"/>
    <n v="864709"/>
    <n v="144693.24"/>
    <n v="1434.41"/>
  </r>
  <r>
    <s v="22-Jan-2026"/>
    <x v="3"/>
    <s v="Week4-Jan-2026"/>
    <x v="4"/>
    <s v="02-Mar-2026"/>
    <s v="Monday"/>
    <s v="Weekly - Monday"/>
    <s v="Weekly - Monday"/>
    <s v="Month+2 Expiry"/>
    <n v="323"/>
    <n v="54.78"/>
    <n v="0.27"/>
  </r>
  <r>
    <s v="22-Jan-2026"/>
    <x v="3"/>
    <s v="Week4-Jan-2026"/>
    <x v="4"/>
    <s v="30-Mar-2026"/>
    <s v="Monday"/>
    <s v="Monthly - Monday"/>
    <s v="Monthly - Monday"/>
    <s v="Month+2 Expiry"/>
    <n v="225978"/>
    <n v="37860.559999999998"/>
    <n v="475.17"/>
  </r>
  <r>
    <s v="22-Jan-2026"/>
    <x v="3"/>
    <s v="Week4-Jan-2026"/>
    <x v="4"/>
    <s v="30-Jun-2026"/>
    <s v="Tuesday"/>
    <s v="Monthly - Tuesday"/>
    <s v="Monthly - Tuesday"/>
    <s v="Month+5 Expiry"/>
    <n v="30285"/>
    <n v="5015.74"/>
    <n v="83.03"/>
  </r>
  <r>
    <s v="22-Jan-2026"/>
    <x v="3"/>
    <s v="Week4-Jan-2026"/>
    <x v="4"/>
    <s v="29-Sep-2026"/>
    <s v="Tuesday"/>
    <s v="Monthly - Tuesday"/>
    <s v="Monthly - Tuesday"/>
    <s v="Month+8 Expiry"/>
    <n v="4255"/>
    <n v="708.49"/>
    <n v="13.01"/>
  </r>
  <r>
    <s v="22-Jan-2026"/>
    <x v="3"/>
    <s v="Week4-Jan-2026"/>
    <x v="4"/>
    <s v="29-Dec-2026"/>
    <s v="Tuesday"/>
    <s v="Monthly - Tuesday"/>
    <s v="Monthly - Tuesday"/>
    <s v="Month+11 Expiry"/>
    <n v="9632"/>
    <n v="1683.37"/>
    <n v="56.72"/>
  </r>
  <r>
    <s v="22-Jan-2026"/>
    <x v="3"/>
    <s v="Week4-Jan-2026"/>
    <x v="4"/>
    <s v="29-Jun-2027"/>
    <s v="Tuesday"/>
    <s v="Monthly - Tuesday"/>
    <s v="Monthly - Tuesday"/>
    <s v="Month+17 Expiry"/>
    <n v="0"/>
    <n v="0"/>
    <n v="0"/>
  </r>
  <r>
    <s v="22-Jan-2026"/>
    <x v="3"/>
    <s v="Week4-Jan-2026"/>
    <x v="4"/>
    <s v="28-Dec-2027"/>
    <s v="Tuesday"/>
    <s v="Monthly - Tuesday"/>
    <s v="Monthly - Tuesday"/>
    <s v="Month+23 Expiry"/>
    <n v="74"/>
    <n v="12.48"/>
    <n v="0.41"/>
  </r>
  <r>
    <s v="22-Jan-2026"/>
    <x v="3"/>
    <s v="Week4-Jan-2026"/>
    <x v="4"/>
    <s v="27-Jun-2028"/>
    <s v="Tuesday"/>
    <s v="Monthly - Tuesday"/>
    <s v="Monthly - Tuesday"/>
    <s v="Month+29 Expiry"/>
    <n v="0"/>
    <n v="0"/>
    <n v="0"/>
  </r>
  <r>
    <s v="22-Jan-2026"/>
    <x v="3"/>
    <s v="Week4-Jan-2026"/>
    <x v="4"/>
    <s v="26-Dec-2028"/>
    <s v="Tuesday"/>
    <s v="Monthly - Tuesday"/>
    <s v="Monthly - Tuesday"/>
    <s v="Month+35 Expiry"/>
    <n v="1"/>
    <n v="0.18"/>
    <n v="0.01"/>
  </r>
  <r>
    <s v="22-Jan-2026"/>
    <x v="3"/>
    <s v="Week4-Jan-2026"/>
    <x v="4"/>
    <s v="26-Jun-2029"/>
    <s v="Tuesday"/>
    <s v="Monthly - Tuesday"/>
    <s v="Monthly - Tuesday"/>
    <s v="Month+41 Expiry"/>
    <n v="0"/>
    <n v="0"/>
    <n v="0"/>
  </r>
  <r>
    <s v="22-Jan-2026"/>
    <x v="3"/>
    <s v="Week4-Jan-2026"/>
    <x v="4"/>
    <s v="24-Dec-2029"/>
    <s v="Monday"/>
    <s v="Weekly - Monday"/>
    <s v="Weekly - Monday"/>
    <s v="Month+47 Expiry"/>
    <n v="0"/>
    <n v="0"/>
    <n v="0"/>
  </r>
  <r>
    <s v="22-Jan-2026"/>
    <x v="3"/>
    <s v="Week4-Jan-2026"/>
    <x v="4"/>
    <s v="25-Jun-2030"/>
    <s v="Tuesday"/>
    <s v="Monthly - Tuesday"/>
    <s v="Monthly - Tuesday"/>
    <s v="Month+53 Expiry"/>
    <n v="0"/>
    <n v="0"/>
    <n v="0"/>
  </r>
  <r>
    <s v="22-Jan-2026"/>
    <x v="3"/>
    <s v="Week4-Jan-2026"/>
    <x v="4"/>
    <s v="31-Dec-2030"/>
    <s v="Tuesday"/>
    <s v="Monthly - Tuesday"/>
    <s v="Monthly - Tuesday"/>
    <s v="Month+59 Expiry"/>
    <n v="0"/>
    <n v="0"/>
    <n v="0"/>
  </r>
  <r>
    <s v="23-Jan-2026"/>
    <x v="4"/>
    <s v="Week4-Jan-2026"/>
    <x v="4"/>
    <s v="27-Jan-2026"/>
    <s v="Tuesday"/>
    <s v="Monthly - Tuesday"/>
    <s v="MDAW - Tuesday"/>
    <s v="Same Month Expiry"/>
    <n v="149220916"/>
    <n v="24536441.77"/>
    <n v="62189.91"/>
  </r>
  <r>
    <s v="23-Jan-2026"/>
    <x v="4"/>
    <s v="Week4-Jan-2026"/>
    <x v="4"/>
    <s v="03-Feb-2026"/>
    <s v="Tuesday"/>
    <s v="Weekly - Tuesday"/>
    <s v="Weekly - Tuesday"/>
    <s v="Month+1 Expiry"/>
    <n v="3142569"/>
    <n v="522148.71"/>
    <n v="2773.59"/>
  </r>
  <r>
    <s v="23-Jan-2026"/>
    <x v="4"/>
    <s v="Week4-Jan-2026"/>
    <x v="4"/>
    <s v="10-Feb-2026"/>
    <s v="Tuesday"/>
    <s v="Weekly - Tuesday"/>
    <s v="Weekly - Tuesday"/>
    <s v="Month+1 Expiry"/>
    <n v="205979"/>
    <n v="34237.86"/>
    <n v="241.22"/>
  </r>
  <r>
    <s v="23-Jan-2026"/>
    <x v="4"/>
    <s v="Week4-Jan-2026"/>
    <x v="4"/>
    <s v="17-Feb-2026"/>
    <s v="Tuesday"/>
    <s v="Weekly - Tuesday"/>
    <s v="Weekly - Tuesday"/>
    <s v="Month+1 Expiry"/>
    <n v="19732"/>
    <n v="3286.59"/>
    <n v="29.68"/>
  </r>
  <r>
    <s v="23-Jan-2026"/>
    <x v="4"/>
    <s v="Week4-Jan-2026"/>
    <x v="4"/>
    <s v="24-Feb-2026"/>
    <s v="Tuesday"/>
    <s v="Monthly - Tuesday"/>
    <s v="Monthly - Tuesday"/>
    <s v="Month+1 Expiry"/>
    <n v="970459"/>
    <n v="162670.06"/>
    <n v="1760.1"/>
  </r>
  <r>
    <s v="23-Jan-2026"/>
    <x v="4"/>
    <s v="Week4-Jan-2026"/>
    <x v="4"/>
    <s v="02-Mar-2026"/>
    <s v="Monday"/>
    <s v="Weekly - Monday"/>
    <s v="Weekly - Monday"/>
    <s v="Month+2 Expiry"/>
    <n v="641"/>
    <n v="108.77"/>
    <n v="0.69"/>
  </r>
  <r>
    <s v="23-Jan-2026"/>
    <x v="4"/>
    <s v="Week4-Jan-2026"/>
    <x v="4"/>
    <s v="30-Mar-2026"/>
    <s v="Monday"/>
    <s v="Monthly - Monday"/>
    <s v="Monthly - Monday"/>
    <s v="Month+2 Expiry"/>
    <n v="176508"/>
    <n v="29594.27"/>
    <n v="379.19"/>
  </r>
  <r>
    <s v="23-Jan-2026"/>
    <x v="4"/>
    <s v="Week4-Jan-2026"/>
    <x v="4"/>
    <s v="30-Jun-2026"/>
    <s v="Tuesday"/>
    <s v="Monthly - Tuesday"/>
    <s v="Monthly - Tuesday"/>
    <s v="Month+5 Expiry"/>
    <n v="26136"/>
    <n v="4432.7700000000004"/>
    <n v="74.98"/>
  </r>
  <r>
    <s v="23-Jan-2026"/>
    <x v="4"/>
    <s v="Week4-Jan-2026"/>
    <x v="4"/>
    <s v="29-Sep-2026"/>
    <s v="Tuesday"/>
    <s v="Monthly - Tuesday"/>
    <s v="Monthly - Tuesday"/>
    <s v="Month+8 Expiry"/>
    <n v="3447"/>
    <n v="593.97"/>
    <n v="13.63"/>
  </r>
  <r>
    <s v="23-Jan-2026"/>
    <x v="4"/>
    <s v="Week4-Jan-2026"/>
    <x v="4"/>
    <s v="29-Dec-2026"/>
    <s v="Tuesday"/>
    <s v="Monthly - Tuesday"/>
    <s v="Monthly - Tuesday"/>
    <s v="Month+11 Expiry"/>
    <n v="11935"/>
    <n v="2074.16"/>
    <n v="55.47"/>
  </r>
  <r>
    <s v="23-Jan-2026"/>
    <x v="4"/>
    <s v="Week4-Jan-2026"/>
    <x v="4"/>
    <s v="29-Jun-2027"/>
    <s v="Tuesday"/>
    <s v="Monthly - Tuesday"/>
    <s v="Monthly - Tuesday"/>
    <s v="Month+17 Expiry"/>
    <n v="0"/>
    <n v="0"/>
    <n v="0"/>
  </r>
  <r>
    <s v="23-Jan-2026"/>
    <x v="4"/>
    <s v="Week4-Jan-2026"/>
    <x v="4"/>
    <s v="28-Dec-2027"/>
    <s v="Tuesday"/>
    <s v="Monthly - Tuesday"/>
    <s v="Monthly - Tuesday"/>
    <s v="Month+23 Expiry"/>
    <n v="90"/>
    <n v="15.45"/>
    <n v="0.72"/>
  </r>
  <r>
    <s v="23-Jan-2026"/>
    <x v="4"/>
    <s v="Week4-Jan-2026"/>
    <x v="4"/>
    <s v="27-Jun-2028"/>
    <s v="Tuesday"/>
    <s v="Monthly - Tuesday"/>
    <s v="Monthly - Tuesday"/>
    <s v="Month+29 Expiry"/>
    <n v="0"/>
    <n v="0"/>
    <n v="0"/>
  </r>
  <r>
    <s v="23-Jan-2026"/>
    <x v="4"/>
    <s v="Week4-Jan-2026"/>
    <x v="4"/>
    <s v="26-Dec-2028"/>
    <s v="Tuesday"/>
    <s v="Monthly - Tuesday"/>
    <s v="Monthly - Tuesday"/>
    <s v="Month+35 Expiry"/>
    <n v="4"/>
    <n v="0.71"/>
    <n v="0.03"/>
  </r>
  <r>
    <s v="23-Jan-2026"/>
    <x v="4"/>
    <s v="Week4-Jan-2026"/>
    <x v="4"/>
    <s v="26-Jun-2029"/>
    <s v="Tuesday"/>
    <s v="Monthly - Tuesday"/>
    <s v="Monthly - Tuesday"/>
    <s v="Month+41 Expiry"/>
    <n v="0"/>
    <n v="0"/>
    <n v="0"/>
  </r>
  <r>
    <s v="23-Jan-2026"/>
    <x v="4"/>
    <s v="Week4-Jan-2026"/>
    <x v="4"/>
    <s v="24-Dec-2029"/>
    <s v="Monday"/>
    <s v="Weekly - Monday"/>
    <s v="Weekly - Monday"/>
    <s v="Month+47 Expiry"/>
    <n v="0"/>
    <n v="0"/>
    <n v="0"/>
  </r>
  <r>
    <s v="23-Jan-2026"/>
    <x v="4"/>
    <s v="Week4-Jan-2026"/>
    <x v="4"/>
    <s v="25-Jun-2030"/>
    <s v="Tuesday"/>
    <s v="Monthly - Tuesday"/>
    <s v="Monthly - Tuesday"/>
    <s v="Month+53 Expiry"/>
    <n v="0"/>
    <n v="0"/>
    <n v="0"/>
  </r>
  <r>
    <s v="23-Jan-2026"/>
    <x v="4"/>
    <s v="Week4-Jan-2026"/>
    <x v="4"/>
    <s v="31-Dec-2030"/>
    <s v="Tuesday"/>
    <s v="Monthly - Tuesday"/>
    <s v="Monthly - Tuesday"/>
    <s v="Month+59 Expiry"/>
    <n v="0"/>
    <n v="0"/>
    <n v="0"/>
  </r>
  <r>
    <s v="27-Jan-2026"/>
    <x v="1"/>
    <s v="Week4-Jan-2026"/>
    <x v="4"/>
    <s v="27-Jan-2026"/>
    <s v="Tuesday"/>
    <s v="Monthly - Tuesday"/>
    <s v="MDAW - Tuesday"/>
    <s v="Same Month Expiry"/>
    <n v="392546316"/>
    <n v="64148722.32"/>
    <n v="77729.06"/>
  </r>
  <r>
    <s v="27-Jan-2026"/>
    <x v="1"/>
    <s v="Week4-Jan-2026"/>
    <x v="4"/>
    <s v="03-Feb-2026"/>
    <s v="Tuesday"/>
    <s v="Weekly - Tuesday"/>
    <s v="Weekly - Tuesday"/>
    <s v="Month+1 Expiry"/>
    <n v="8950086"/>
    <n v="1477893.23"/>
    <n v="8723.26"/>
  </r>
  <r>
    <s v="27-Jan-2026"/>
    <x v="1"/>
    <s v="Week4-Jan-2026"/>
    <x v="4"/>
    <s v="10-Feb-2026"/>
    <s v="Tuesday"/>
    <s v="Weekly - Tuesday"/>
    <s v="Weekly - Tuesday"/>
    <s v="Month+1 Expiry"/>
    <n v="409364"/>
    <n v="67772.73"/>
    <n v="512.19000000000005"/>
  </r>
  <r>
    <s v="27-Jan-2026"/>
    <x v="1"/>
    <s v="Week4-Jan-2026"/>
    <x v="4"/>
    <s v="17-Feb-2026"/>
    <s v="Tuesday"/>
    <s v="Weekly - Tuesday"/>
    <s v="Weekly - Tuesday"/>
    <s v="Month+1 Expiry"/>
    <n v="34035"/>
    <n v="5632.75"/>
    <n v="55.57"/>
  </r>
  <r>
    <s v="27-Jan-2026"/>
    <x v="1"/>
    <s v="Week4-Jan-2026"/>
    <x v="4"/>
    <s v="24-Feb-2026"/>
    <s v="Tuesday"/>
    <s v="Monthly - Tuesday"/>
    <s v="Monthly - Tuesday"/>
    <s v="Month+1 Expiry"/>
    <n v="1439003"/>
    <n v="240131.89"/>
    <n v="2879.66"/>
  </r>
  <r>
    <s v="27-Jan-2026"/>
    <x v="1"/>
    <s v="Week4-Jan-2026"/>
    <x v="4"/>
    <s v="02-Mar-2026"/>
    <s v="Monday"/>
    <s v="Weekly - Monday"/>
    <s v="Weekly - Monday"/>
    <s v="Month+2 Expiry"/>
    <n v="1151"/>
    <n v="192.35"/>
    <n v="1.49"/>
  </r>
  <r>
    <s v="27-Jan-2026"/>
    <x v="1"/>
    <s v="Week4-Jan-2026"/>
    <x v="4"/>
    <s v="30-Mar-2026"/>
    <s v="Monday"/>
    <s v="Monthly - Monday"/>
    <s v="Monthly - Monday"/>
    <s v="Month+2 Expiry"/>
    <n v="283915"/>
    <n v="47609.48"/>
    <n v="691.82"/>
  </r>
  <r>
    <s v="27-Jan-2026"/>
    <x v="1"/>
    <s v="Week4-Jan-2026"/>
    <x v="4"/>
    <s v="30-Jun-2026"/>
    <s v="Tuesday"/>
    <s v="Monthly - Tuesday"/>
    <s v="Monthly - Tuesday"/>
    <s v="Month+5 Expiry"/>
    <n v="38190"/>
    <n v="6433.35"/>
    <n v="100.34"/>
  </r>
  <r>
    <s v="27-Jan-2026"/>
    <x v="1"/>
    <s v="Week4-Jan-2026"/>
    <x v="4"/>
    <s v="29-Sep-2026"/>
    <s v="Tuesday"/>
    <s v="Monthly - Tuesday"/>
    <s v="Monthly - Tuesday"/>
    <s v="Month+8 Expiry"/>
    <n v="4175"/>
    <n v="714.3"/>
    <n v="12.66"/>
  </r>
  <r>
    <s v="27-Jan-2026"/>
    <x v="1"/>
    <s v="Week4-Jan-2026"/>
    <x v="4"/>
    <s v="29-Dec-2026"/>
    <s v="Tuesday"/>
    <s v="Monthly - Tuesday"/>
    <s v="Monthly - Tuesday"/>
    <s v="Month+11 Expiry"/>
    <n v="15540"/>
    <n v="2675.29"/>
    <n v="77.91"/>
  </r>
  <r>
    <s v="27-Jan-2026"/>
    <x v="1"/>
    <s v="Week4-Jan-2026"/>
    <x v="4"/>
    <s v="29-Jun-2027"/>
    <s v="Tuesday"/>
    <s v="Monthly - Tuesday"/>
    <s v="Monthly - Tuesday"/>
    <s v="Month+17 Expiry"/>
    <n v="0"/>
    <n v="0"/>
    <n v="0"/>
  </r>
  <r>
    <s v="27-Jan-2026"/>
    <x v="1"/>
    <s v="Week4-Jan-2026"/>
    <x v="4"/>
    <s v="28-Dec-2027"/>
    <s v="Tuesday"/>
    <s v="Monthly - Tuesday"/>
    <s v="Monthly - Tuesday"/>
    <s v="Month+23 Expiry"/>
    <n v="43"/>
    <n v="7.57"/>
    <n v="0.54"/>
  </r>
  <r>
    <s v="27-Jan-2026"/>
    <x v="1"/>
    <s v="Week4-Jan-2026"/>
    <x v="4"/>
    <s v="27-Jun-2028"/>
    <s v="Tuesday"/>
    <s v="Monthly - Tuesday"/>
    <s v="Monthly - Tuesday"/>
    <s v="Month+29 Expiry"/>
    <n v="0"/>
    <n v="0"/>
    <n v="0"/>
  </r>
  <r>
    <s v="27-Jan-2026"/>
    <x v="1"/>
    <s v="Week4-Jan-2026"/>
    <x v="4"/>
    <s v="26-Dec-2028"/>
    <s v="Tuesday"/>
    <s v="Monthly - Tuesday"/>
    <s v="Monthly - Tuesday"/>
    <s v="Month+35 Expiry"/>
    <n v="0"/>
    <n v="0"/>
    <n v="0"/>
  </r>
  <r>
    <s v="27-Jan-2026"/>
    <x v="1"/>
    <s v="Week4-Jan-2026"/>
    <x v="4"/>
    <s v="26-Jun-2029"/>
    <s v="Tuesday"/>
    <s v="Monthly - Tuesday"/>
    <s v="Monthly - Tuesday"/>
    <s v="Month+41 Expiry"/>
    <n v="0"/>
    <n v="0"/>
    <n v="0"/>
  </r>
  <r>
    <s v="27-Jan-2026"/>
    <x v="1"/>
    <s v="Week4-Jan-2026"/>
    <x v="4"/>
    <s v="24-Dec-2029"/>
    <s v="Monday"/>
    <s v="Weekly - Monday"/>
    <s v="Weekly - Monday"/>
    <s v="Month+47 Expiry"/>
    <n v="2"/>
    <n v="0.43"/>
    <n v="0.04"/>
  </r>
  <r>
    <s v="27-Jan-2026"/>
    <x v="1"/>
    <s v="Week4-Jan-2026"/>
    <x v="4"/>
    <s v="25-Jun-2030"/>
    <s v="Tuesday"/>
    <s v="Monthly - Tuesday"/>
    <s v="Monthly - Tuesday"/>
    <s v="Month+53 Expiry"/>
    <n v="0"/>
    <n v="0"/>
    <n v="0"/>
  </r>
  <r>
    <s v="27-Jan-2026"/>
    <x v="1"/>
    <s v="Week4-Jan-2026"/>
    <x v="4"/>
    <s v="31-Dec-2030"/>
    <s v="Tuesday"/>
    <s v="Monthly - Tuesday"/>
    <s v="Monthly - Tuesday"/>
    <s v="Month+59 Expiry"/>
    <n v="0"/>
    <n v="0"/>
    <n v="0"/>
  </r>
  <r>
    <s v="28-Jan-2026"/>
    <x v="2"/>
    <s v="Week4-Jan-2026"/>
    <x v="4"/>
    <s v="03-Feb-2026"/>
    <s v="Tuesday"/>
    <s v="Weekly - Tuesday"/>
    <s v="Weekly - Tuesday"/>
    <s v="Month+1 Expiry"/>
    <n v="45617780"/>
    <n v="7555377.9800000004"/>
    <n v="39181.9"/>
  </r>
  <r>
    <s v="28-Jan-2026"/>
    <x v="2"/>
    <s v="Week4-Jan-2026"/>
    <x v="4"/>
    <s v="10-Feb-2026"/>
    <s v="Tuesday"/>
    <s v="Weekly - Tuesday"/>
    <s v="Weekly - Tuesday"/>
    <s v="Month+1 Expiry"/>
    <n v="926122"/>
    <n v="153486.01999999999"/>
    <n v="932.51"/>
  </r>
  <r>
    <s v="28-Jan-2026"/>
    <x v="2"/>
    <s v="Week4-Jan-2026"/>
    <x v="4"/>
    <s v="17-Feb-2026"/>
    <s v="Tuesday"/>
    <s v="Weekly - Tuesday"/>
    <s v="Weekly - Tuesday"/>
    <s v="Month+1 Expiry"/>
    <n v="57294"/>
    <n v="9538.0300000000007"/>
    <n v="82.65"/>
  </r>
  <r>
    <s v="28-Jan-2026"/>
    <x v="2"/>
    <s v="Week4-Jan-2026"/>
    <x v="4"/>
    <s v="24-Feb-2026"/>
    <s v="Tuesday"/>
    <s v="Monthly - Tuesday"/>
    <s v="Monthly - Tuesday"/>
    <s v="Month+1 Expiry"/>
    <n v="1333120"/>
    <n v="222034.65"/>
    <n v="2013.34"/>
  </r>
  <r>
    <s v="28-Jan-2026"/>
    <x v="2"/>
    <s v="Week4-Jan-2026"/>
    <x v="4"/>
    <s v="02-Mar-2026"/>
    <s v="Monday"/>
    <s v="Weekly - Monday"/>
    <s v="Weekly - Monday"/>
    <s v="Month+2 Expiry"/>
    <n v="3895"/>
    <n v="650.01"/>
    <n v="6.29"/>
  </r>
  <r>
    <s v="28-Jan-2026"/>
    <x v="2"/>
    <s v="Week4-Jan-2026"/>
    <x v="4"/>
    <s v="30-Mar-2026"/>
    <s v="Monday"/>
    <s v="Monthly - Monday"/>
    <s v="Monthly - Monday"/>
    <s v="Month+2 Expiry"/>
    <n v="190979"/>
    <n v="32075.46"/>
    <n v="342.18"/>
  </r>
  <r>
    <s v="28-Jan-2026"/>
    <x v="2"/>
    <s v="Week4-Jan-2026"/>
    <x v="4"/>
    <s v="28-Apr-2026"/>
    <s v="Tuesday"/>
    <s v="Monthly - Tuesday"/>
    <s v="Monthly - Tuesday"/>
    <s v="Month+3 Expiry"/>
    <n v="6558"/>
    <n v="1104.49"/>
    <n v="16.34"/>
  </r>
  <r>
    <s v="28-Jan-2026"/>
    <x v="2"/>
    <s v="Week4-Jan-2026"/>
    <x v="4"/>
    <s v="30-Jun-2026"/>
    <s v="Tuesday"/>
    <s v="Monthly - Tuesday"/>
    <s v="Monthly - Tuesday"/>
    <s v="Month+5 Expiry"/>
    <n v="29748"/>
    <n v="5167.24"/>
    <n v="71.84"/>
  </r>
  <r>
    <s v="28-Jan-2026"/>
    <x v="2"/>
    <s v="Week4-Jan-2026"/>
    <x v="4"/>
    <s v="29-Sep-2026"/>
    <s v="Tuesday"/>
    <s v="Monthly - Tuesday"/>
    <s v="Monthly - Tuesday"/>
    <s v="Month+8 Expiry"/>
    <n v="1897"/>
    <n v="328.48"/>
    <n v="6.13"/>
  </r>
  <r>
    <s v="28-Jan-2026"/>
    <x v="2"/>
    <s v="Week4-Jan-2026"/>
    <x v="4"/>
    <s v="29-Dec-2026"/>
    <s v="Tuesday"/>
    <s v="Monthly - Tuesday"/>
    <s v="Monthly - Tuesday"/>
    <s v="Month+11 Expiry"/>
    <n v="12494"/>
    <n v="2132.59"/>
    <n v="57.03"/>
  </r>
  <r>
    <s v="28-Jan-2026"/>
    <x v="2"/>
    <s v="Week4-Jan-2026"/>
    <x v="4"/>
    <s v="29-Jun-2027"/>
    <s v="Tuesday"/>
    <s v="Monthly - Tuesday"/>
    <s v="Monthly - Tuesday"/>
    <s v="Month+17 Expiry"/>
    <n v="0"/>
    <n v="0"/>
    <n v="0"/>
  </r>
  <r>
    <s v="28-Jan-2026"/>
    <x v="2"/>
    <s v="Week4-Jan-2026"/>
    <x v="4"/>
    <s v="28-Dec-2027"/>
    <s v="Tuesday"/>
    <s v="Monthly - Tuesday"/>
    <s v="Monthly - Tuesday"/>
    <s v="Month+23 Expiry"/>
    <n v="23"/>
    <n v="3.95"/>
    <n v="0.2"/>
  </r>
  <r>
    <s v="28-Jan-2026"/>
    <x v="2"/>
    <s v="Week4-Jan-2026"/>
    <x v="4"/>
    <s v="27-Jun-2028"/>
    <s v="Tuesday"/>
    <s v="Monthly - Tuesday"/>
    <s v="Monthly - Tuesday"/>
    <s v="Month+29 Expiry"/>
    <n v="0"/>
    <n v="0"/>
    <n v="0"/>
  </r>
  <r>
    <s v="28-Jan-2026"/>
    <x v="2"/>
    <s v="Week4-Jan-2026"/>
    <x v="4"/>
    <s v="26-Dec-2028"/>
    <s v="Tuesday"/>
    <s v="Monthly - Tuesday"/>
    <s v="Monthly - Tuesday"/>
    <s v="Month+35 Expiry"/>
    <n v="3"/>
    <n v="0.57999999999999996"/>
    <n v="0.05"/>
  </r>
  <r>
    <s v="28-Jan-2026"/>
    <x v="2"/>
    <s v="Week4-Jan-2026"/>
    <x v="4"/>
    <s v="26-Jun-2029"/>
    <s v="Tuesday"/>
    <s v="Monthly - Tuesday"/>
    <s v="Monthly - Tuesday"/>
    <s v="Month+41 Expiry"/>
    <n v="0"/>
    <n v="0"/>
    <n v="0"/>
  </r>
  <r>
    <s v="28-Jan-2026"/>
    <x v="2"/>
    <s v="Week4-Jan-2026"/>
    <x v="4"/>
    <s v="24-Dec-2029"/>
    <s v="Monday"/>
    <s v="Weekly - Monday"/>
    <s v="Weekly - Monday"/>
    <s v="Month+47 Expiry"/>
    <n v="5"/>
    <n v="1.02"/>
    <n v="0.09"/>
  </r>
  <r>
    <s v="28-Jan-2026"/>
    <x v="2"/>
    <s v="Week4-Jan-2026"/>
    <x v="4"/>
    <s v="25-Jun-2030"/>
    <s v="Tuesday"/>
    <s v="Monthly - Tuesday"/>
    <s v="Monthly - Tuesday"/>
    <s v="Month+53 Expiry"/>
    <n v="0"/>
    <n v="0"/>
    <n v="0"/>
  </r>
  <r>
    <s v="28-Jan-2026"/>
    <x v="2"/>
    <s v="Week4-Jan-2026"/>
    <x v="4"/>
    <s v="31-Dec-2030"/>
    <s v="Tuesday"/>
    <s v="Monthly - Tuesday"/>
    <s v="Monthly - Tuesday"/>
    <s v="Month+59 Expiry"/>
    <n v="0"/>
    <n v="0"/>
    <n v="0"/>
  </r>
  <r>
    <s v="29-Jan-2026"/>
    <x v="3"/>
    <s v="Week5-Jan-2026"/>
    <x v="4"/>
    <s v="03-Feb-2026"/>
    <s v="Tuesday"/>
    <s v="Weekly - Tuesday"/>
    <s v="Weekly - Tuesday"/>
    <s v="Month+1 Expiry"/>
    <n v="43486226"/>
    <n v="7202088.3200000003"/>
    <n v="32721.48"/>
  </r>
  <r>
    <s v="29-Jan-2026"/>
    <x v="3"/>
    <s v="Week5-Jan-2026"/>
    <x v="4"/>
    <s v="10-Feb-2026"/>
    <s v="Tuesday"/>
    <s v="Weekly - Tuesday"/>
    <s v="Weekly - Tuesday"/>
    <s v="Month+1 Expiry"/>
    <n v="1120920"/>
    <n v="185776.78"/>
    <n v="1119.3499999999999"/>
  </r>
  <r>
    <s v="29-Jan-2026"/>
    <x v="3"/>
    <s v="Week5-Jan-2026"/>
    <x v="4"/>
    <s v="17-Feb-2026"/>
    <s v="Tuesday"/>
    <s v="Weekly - Tuesday"/>
    <s v="Weekly - Tuesday"/>
    <s v="Month+1 Expiry"/>
    <n v="62054"/>
    <n v="10325.370000000001"/>
    <n v="84.63"/>
  </r>
  <r>
    <s v="29-Jan-2026"/>
    <x v="3"/>
    <s v="Week5-Jan-2026"/>
    <x v="4"/>
    <s v="24-Feb-2026"/>
    <s v="Tuesday"/>
    <s v="Monthly - Tuesday"/>
    <s v="Monthly - Tuesday"/>
    <s v="Month+1 Expiry"/>
    <n v="1345064"/>
    <n v="224159.81"/>
    <n v="1995.34"/>
  </r>
  <r>
    <s v="29-Jan-2026"/>
    <x v="3"/>
    <s v="Week5-Jan-2026"/>
    <x v="4"/>
    <s v="02-Mar-2026"/>
    <s v="Monday"/>
    <s v="Weekly - Monday"/>
    <s v="Weekly - Monday"/>
    <s v="Month+2 Expiry"/>
    <n v="3968"/>
    <n v="661.34"/>
    <n v="6.48"/>
  </r>
  <r>
    <s v="29-Jan-2026"/>
    <x v="3"/>
    <s v="Week5-Jan-2026"/>
    <x v="4"/>
    <s v="30-Mar-2026"/>
    <s v="Monday"/>
    <s v="Monthly - Monday"/>
    <s v="Monthly - Monday"/>
    <s v="Month+2 Expiry"/>
    <n v="212586"/>
    <n v="35893.199999999997"/>
    <n v="331.26"/>
  </r>
  <r>
    <s v="29-Jan-2026"/>
    <x v="3"/>
    <s v="Week5-Jan-2026"/>
    <x v="4"/>
    <s v="28-Apr-2026"/>
    <s v="Tuesday"/>
    <s v="Monthly - Tuesday"/>
    <s v="Monthly - Tuesday"/>
    <s v="Month+3 Expiry"/>
    <n v="12159"/>
    <n v="2067.16"/>
    <n v="30.88"/>
  </r>
  <r>
    <s v="29-Jan-2026"/>
    <x v="3"/>
    <s v="Week5-Jan-2026"/>
    <x v="4"/>
    <s v="30-Jun-2026"/>
    <s v="Tuesday"/>
    <s v="Monthly - Tuesday"/>
    <s v="Monthly - Tuesday"/>
    <s v="Month+5 Expiry"/>
    <n v="32546"/>
    <n v="5615.71"/>
    <n v="88.46"/>
  </r>
  <r>
    <s v="29-Jan-2026"/>
    <x v="3"/>
    <s v="Week5-Jan-2026"/>
    <x v="4"/>
    <s v="29-Sep-2026"/>
    <s v="Tuesday"/>
    <s v="Monthly - Tuesday"/>
    <s v="Monthly - Tuesday"/>
    <s v="Month+8 Expiry"/>
    <n v="3248"/>
    <n v="570.66999999999996"/>
    <n v="10.02"/>
  </r>
  <r>
    <s v="29-Jan-2026"/>
    <x v="3"/>
    <s v="Week5-Jan-2026"/>
    <x v="4"/>
    <s v="29-Dec-2026"/>
    <s v="Tuesday"/>
    <s v="Monthly - Tuesday"/>
    <s v="Monthly - Tuesday"/>
    <s v="Month+11 Expiry"/>
    <n v="14356"/>
    <n v="2517.0100000000002"/>
    <n v="79.09"/>
  </r>
  <r>
    <s v="29-Jan-2026"/>
    <x v="3"/>
    <s v="Week5-Jan-2026"/>
    <x v="4"/>
    <s v="29-Jun-2027"/>
    <s v="Tuesday"/>
    <s v="Monthly - Tuesday"/>
    <s v="Monthly - Tuesday"/>
    <s v="Month+17 Expiry"/>
    <n v="0"/>
    <n v="0"/>
    <n v="0"/>
  </r>
  <r>
    <s v="29-Jan-2026"/>
    <x v="3"/>
    <s v="Week5-Jan-2026"/>
    <x v="4"/>
    <s v="28-Dec-2027"/>
    <s v="Tuesday"/>
    <s v="Monthly - Tuesday"/>
    <s v="Monthly - Tuesday"/>
    <s v="Month+23 Expiry"/>
    <n v="34"/>
    <n v="5.73"/>
    <n v="0.26"/>
  </r>
  <r>
    <s v="29-Jan-2026"/>
    <x v="3"/>
    <s v="Week5-Jan-2026"/>
    <x v="4"/>
    <s v="27-Jun-2028"/>
    <s v="Tuesday"/>
    <s v="Monthly - Tuesday"/>
    <s v="Monthly - Tuesday"/>
    <s v="Month+29 Expiry"/>
    <n v="0"/>
    <n v="0"/>
    <n v="0"/>
  </r>
  <r>
    <s v="29-Jan-2026"/>
    <x v="3"/>
    <s v="Week5-Jan-2026"/>
    <x v="4"/>
    <s v="26-Dec-2028"/>
    <s v="Tuesday"/>
    <s v="Monthly - Tuesday"/>
    <s v="Monthly - Tuesday"/>
    <s v="Month+35 Expiry"/>
    <n v="20"/>
    <n v="3.75"/>
    <n v="0.19"/>
  </r>
  <r>
    <s v="29-Jan-2026"/>
    <x v="3"/>
    <s v="Week5-Jan-2026"/>
    <x v="4"/>
    <s v="26-Jun-2029"/>
    <s v="Tuesday"/>
    <s v="Monthly - Tuesday"/>
    <s v="Monthly - Tuesday"/>
    <s v="Month+41 Expiry"/>
    <n v="0"/>
    <n v="0"/>
    <n v="0"/>
  </r>
  <r>
    <s v="29-Jan-2026"/>
    <x v="3"/>
    <s v="Week5-Jan-2026"/>
    <x v="4"/>
    <s v="24-Dec-2029"/>
    <s v="Monday"/>
    <s v="Weekly - Monday"/>
    <s v="Weekly - Monday"/>
    <s v="Month+47 Expiry"/>
    <n v="0"/>
    <n v="0"/>
    <n v="0"/>
  </r>
  <r>
    <s v="29-Jan-2026"/>
    <x v="3"/>
    <s v="Week5-Jan-2026"/>
    <x v="4"/>
    <s v="25-Jun-2030"/>
    <s v="Tuesday"/>
    <s v="Monthly - Tuesday"/>
    <s v="Monthly - Tuesday"/>
    <s v="Month+53 Expiry"/>
    <n v="0"/>
    <n v="0"/>
    <n v="0"/>
  </r>
  <r>
    <s v="29-Jan-2026"/>
    <x v="3"/>
    <s v="Week5-Jan-2026"/>
    <x v="4"/>
    <s v="31-Dec-2030"/>
    <s v="Tuesday"/>
    <s v="Monthly - Tuesday"/>
    <s v="Monthly - Tuesday"/>
    <s v="Month+59 Expiry"/>
    <n v="0"/>
    <n v="0"/>
    <n v="0"/>
  </r>
  <r>
    <s v="30-Jan-2026"/>
    <x v="4"/>
    <s v="Week5-Jan-2026"/>
    <x v="4"/>
    <s v="03-Feb-2026"/>
    <s v="Tuesday"/>
    <s v="Weekly - Tuesday"/>
    <s v="Weekly - Tuesday"/>
    <s v="Month+1 Expiry"/>
    <n v="73735691"/>
    <n v="12197930.6"/>
    <n v="56427.94"/>
  </r>
  <r>
    <s v="30-Jan-2026"/>
    <x v="4"/>
    <s v="Week5-Jan-2026"/>
    <x v="4"/>
    <s v="10-Feb-2026"/>
    <s v="Tuesday"/>
    <s v="Weekly - Tuesday"/>
    <s v="Weekly - Tuesday"/>
    <s v="Month+1 Expiry"/>
    <n v="1518328"/>
    <n v="251751.42"/>
    <n v="1557.89"/>
  </r>
  <r>
    <s v="30-Jan-2026"/>
    <x v="4"/>
    <s v="Week5-Jan-2026"/>
    <x v="4"/>
    <s v="17-Feb-2026"/>
    <s v="Tuesday"/>
    <s v="Weekly - Tuesday"/>
    <s v="Weekly - Tuesday"/>
    <s v="Month+1 Expiry"/>
    <n v="79780"/>
    <n v="13286.65"/>
    <n v="112.15"/>
  </r>
  <r>
    <s v="30-Jan-2026"/>
    <x v="4"/>
    <s v="Week5-Jan-2026"/>
    <x v="4"/>
    <s v="24-Feb-2026"/>
    <s v="Tuesday"/>
    <s v="Monthly - Tuesday"/>
    <s v="Monthly - Tuesday"/>
    <s v="Month+1 Expiry"/>
    <n v="1559753"/>
    <n v="259275.27"/>
    <n v="2323.63"/>
  </r>
  <r>
    <s v="30-Jan-2026"/>
    <x v="4"/>
    <s v="Week5-Jan-2026"/>
    <x v="4"/>
    <s v="02-Mar-2026"/>
    <s v="Monday"/>
    <s v="Weekly - Monday"/>
    <s v="Weekly - Monday"/>
    <s v="Month+2 Expiry"/>
    <n v="8515"/>
    <n v="1419.55"/>
    <n v="12.19"/>
  </r>
  <r>
    <s v="30-Jan-2026"/>
    <x v="4"/>
    <s v="Week5-Jan-2026"/>
    <x v="4"/>
    <s v="30-Mar-2026"/>
    <s v="Monday"/>
    <s v="Monthly - Monday"/>
    <s v="Monthly - Monday"/>
    <s v="Month+2 Expiry"/>
    <n v="213561"/>
    <n v="35499.449999999997"/>
    <n v="338.77"/>
  </r>
  <r>
    <s v="30-Jan-2026"/>
    <x v="4"/>
    <s v="Week5-Jan-2026"/>
    <x v="4"/>
    <s v="28-Apr-2026"/>
    <s v="Tuesday"/>
    <s v="Monthly - Tuesday"/>
    <s v="Monthly - Tuesday"/>
    <s v="Month+3 Expiry"/>
    <n v="14125"/>
    <n v="2381.41"/>
    <n v="38.44"/>
  </r>
  <r>
    <s v="30-Jan-2026"/>
    <x v="4"/>
    <s v="Week5-Jan-2026"/>
    <x v="4"/>
    <s v="30-Jun-2026"/>
    <s v="Tuesday"/>
    <s v="Monthly - Tuesday"/>
    <s v="Monthly - Tuesday"/>
    <s v="Month+5 Expiry"/>
    <n v="28634"/>
    <n v="4883.26"/>
    <n v="86.82"/>
  </r>
  <r>
    <s v="30-Jan-2026"/>
    <x v="4"/>
    <s v="Week5-Jan-2026"/>
    <x v="4"/>
    <s v="29-Sep-2026"/>
    <s v="Tuesday"/>
    <s v="Monthly - Tuesday"/>
    <s v="Monthly - Tuesday"/>
    <s v="Month+8 Expiry"/>
    <n v="2776"/>
    <n v="467.4"/>
    <n v="8.09"/>
  </r>
  <r>
    <s v="30-Jan-2026"/>
    <x v="4"/>
    <s v="Week5-Jan-2026"/>
    <x v="4"/>
    <s v="29-Dec-2026"/>
    <s v="Tuesday"/>
    <s v="Monthly - Tuesday"/>
    <s v="Monthly - Tuesday"/>
    <s v="Month+11 Expiry"/>
    <n v="14198"/>
    <n v="2470.2199999999998"/>
    <n v="72.95"/>
  </r>
  <r>
    <s v="30-Jan-2026"/>
    <x v="4"/>
    <s v="Week5-Jan-2026"/>
    <x v="4"/>
    <s v="29-Jun-2027"/>
    <s v="Tuesday"/>
    <s v="Monthly - Tuesday"/>
    <s v="Monthly - Tuesday"/>
    <s v="Month+17 Expiry"/>
    <n v="0"/>
    <n v="0"/>
    <n v="0"/>
  </r>
  <r>
    <s v="30-Jan-2026"/>
    <x v="4"/>
    <s v="Week5-Jan-2026"/>
    <x v="4"/>
    <s v="28-Dec-2027"/>
    <s v="Tuesday"/>
    <s v="Monthly - Tuesday"/>
    <s v="Monthly - Tuesday"/>
    <s v="Month+23 Expiry"/>
    <n v="59"/>
    <n v="10.46"/>
    <n v="0.7"/>
  </r>
  <r>
    <s v="30-Jan-2026"/>
    <x v="4"/>
    <s v="Week5-Jan-2026"/>
    <x v="4"/>
    <s v="27-Jun-2028"/>
    <s v="Tuesday"/>
    <s v="Monthly - Tuesday"/>
    <s v="Monthly - Tuesday"/>
    <s v="Month+29 Expiry"/>
    <n v="0"/>
    <n v="0"/>
    <n v="0"/>
  </r>
  <r>
    <s v="30-Jan-2026"/>
    <x v="4"/>
    <s v="Week5-Jan-2026"/>
    <x v="4"/>
    <s v="26-Dec-2028"/>
    <s v="Tuesday"/>
    <s v="Monthly - Tuesday"/>
    <s v="Monthly - Tuesday"/>
    <s v="Month+35 Expiry"/>
    <n v="4"/>
    <n v="0.71"/>
    <n v="0.03"/>
  </r>
  <r>
    <s v="30-Jan-2026"/>
    <x v="4"/>
    <s v="Week5-Jan-2026"/>
    <x v="4"/>
    <s v="26-Jun-2029"/>
    <s v="Tuesday"/>
    <s v="Monthly - Tuesday"/>
    <s v="Monthly - Tuesday"/>
    <s v="Month+41 Expiry"/>
    <n v="0"/>
    <n v="0"/>
    <n v="0"/>
  </r>
  <r>
    <s v="30-Jan-2026"/>
    <x v="4"/>
    <s v="Week5-Jan-2026"/>
    <x v="4"/>
    <s v="24-Dec-2029"/>
    <s v="Monday"/>
    <s v="Weekly - Monday"/>
    <s v="Weekly - Monday"/>
    <s v="Month+47 Expiry"/>
    <n v="0"/>
    <n v="0"/>
    <n v="0"/>
  </r>
  <r>
    <s v="30-Jan-2026"/>
    <x v="4"/>
    <s v="Week5-Jan-2026"/>
    <x v="4"/>
    <s v="25-Jun-2030"/>
    <s v="Tuesday"/>
    <s v="Monthly - Tuesday"/>
    <s v="Monthly - Tuesday"/>
    <s v="Month+53 Expiry"/>
    <n v="0"/>
    <n v="0"/>
    <n v="0"/>
  </r>
  <r>
    <s v="30-Jan-2026"/>
    <x v="4"/>
    <s v="Week5-Jan-2026"/>
    <x v="4"/>
    <s v="31-Dec-2030"/>
    <s v="Tuesday"/>
    <s v="Monthly - Tuesday"/>
    <s v="Monthly - Tuesday"/>
    <s v="Month+59 Expiry"/>
    <n v="0"/>
    <n v="0"/>
    <n v="0"/>
  </r>
  <r>
    <s v="01-Feb-2026"/>
    <x v="5"/>
    <s v="Week1-Feb-2026"/>
    <x v="5"/>
    <s v="03-Feb-2026"/>
    <s v="Tuesday"/>
    <s v="Weekly - Tuesday"/>
    <s v="Weekly - Tuesday"/>
    <s v="Same Month Expiry"/>
    <n v="182800803"/>
    <n v="30038295.300000001"/>
    <n v="94242.3"/>
  </r>
  <r>
    <s v="01-Feb-2026"/>
    <x v="5"/>
    <s v="Week1-Feb-2026"/>
    <x v="5"/>
    <s v="10-Feb-2026"/>
    <s v="Tuesday"/>
    <s v="Weekly - Tuesday"/>
    <s v="Weekly - Tuesday"/>
    <s v="Same Month Expiry"/>
    <n v="5078013"/>
    <n v="837935.28"/>
    <n v="4432.46"/>
  </r>
  <r>
    <s v="01-Feb-2026"/>
    <x v="5"/>
    <s v="Week1-Feb-2026"/>
    <x v="5"/>
    <s v="17-Feb-2026"/>
    <s v="Tuesday"/>
    <s v="Weekly - Tuesday"/>
    <s v="Weekly - Tuesday"/>
    <s v="Same Month Expiry"/>
    <n v="238124"/>
    <n v="39345.29"/>
    <n v="287.07"/>
  </r>
  <r>
    <s v="01-Feb-2026"/>
    <x v="5"/>
    <s v="Week1-Feb-2026"/>
    <x v="5"/>
    <s v="24-Feb-2026"/>
    <s v="Tuesday"/>
    <s v="Monthly - Tuesday"/>
    <s v="Monthly - Tuesday"/>
    <s v="Same Month Expiry"/>
    <n v="3644583"/>
    <n v="603999.09"/>
    <n v="5089.7"/>
  </r>
  <r>
    <s v="01-Feb-2026"/>
    <x v="5"/>
    <s v="Week1-Feb-2026"/>
    <x v="5"/>
    <s v="02-Mar-2026"/>
    <s v="Monday"/>
    <s v="Weekly - Monday"/>
    <s v="Weekly - Monday"/>
    <s v="Month+1 Expiry"/>
    <n v="24996"/>
    <n v="4170.68"/>
    <n v="35.15"/>
  </r>
  <r>
    <s v="01-Feb-2026"/>
    <x v="5"/>
    <s v="Week1-Feb-2026"/>
    <x v="5"/>
    <s v="30-Mar-2026"/>
    <s v="Monday"/>
    <s v="Monthly - Monday"/>
    <s v="Monthly - Monday"/>
    <s v="Month+1 Expiry"/>
    <n v="535877"/>
    <n v="89327.05"/>
    <n v="855.5"/>
  </r>
  <r>
    <s v="01-Feb-2026"/>
    <x v="5"/>
    <s v="Week1-Feb-2026"/>
    <x v="5"/>
    <s v="28-Apr-2026"/>
    <s v="Tuesday"/>
    <s v="Monthly - Tuesday"/>
    <s v="Monthly - Tuesday"/>
    <s v="Month+2 Expiry"/>
    <n v="41955"/>
    <n v="7054.95"/>
    <n v="109.2"/>
  </r>
  <r>
    <s v="01-Feb-2026"/>
    <x v="5"/>
    <s v="Week1-Feb-2026"/>
    <x v="5"/>
    <s v="30-Jun-2026"/>
    <s v="Tuesday"/>
    <s v="Monthly - Tuesday"/>
    <s v="Monthly - Tuesday"/>
    <s v="Month+4 Expiry"/>
    <n v="69565"/>
    <n v="11798.28"/>
    <n v="209.18"/>
  </r>
  <r>
    <s v="01-Feb-2026"/>
    <x v="5"/>
    <s v="Week1-Feb-2026"/>
    <x v="5"/>
    <s v="29-Sep-2026"/>
    <s v="Tuesday"/>
    <s v="Monthly - Tuesday"/>
    <s v="Monthly - Tuesday"/>
    <s v="Month+7 Expiry"/>
    <n v="4202"/>
    <n v="715.73"/>
    <n v="14.48"/>
  </r>
  <r>
    <s v="01-Feb-2026"/>
    <x v="5"/>
    <s v="Week1-Feb-2026"/>
    <x v="5"/>
    <s v="29-Dec-2026"/>
    <s v="Tuesday"/>
    <s v="Monthly - Tuesday"/>
    <s v="Monthly - Tuesday"/>
    <s v="Month+10 Expiry"/>
    <n v="30971"/>
    <n v="5427.76"/>
    <n v="166.71"/>
  </r>
  <r>
    <s v="01-Feb-2026"/>
    <x v="5"/>
    <s v="Week1-Feb-2026"/>
    <x v="5"/>
    <s v="29-Jun-2027"/>
    <s v="Tuesday"/>
    <s v="Monthly - Tuesday"/>
    <s v="Monthly - Tuesday"/>
    <s v="Month+16 Expiry"/>
    <n v="0"/>
    <n v="0"/>
    <n v="0"/>
  </r>
  <r>
    <s v="01-Feb-2026"/>
    <x v="5"/>
    <s v="Week1-Feb-2026"/>
    <x v="5"/>
    <s v="28-Dec-2027"/>
    <s v="Tuesday"/>
    <s v="Monthly - Tuesday"/>
    <s v="Monthly - Tuesday"/>
    <s v="Month+22 Expiry"/>
    <n v="119"/>
    <n v="20.13"/>
    <n v="1.05"/>
  </r>
  <r>
    <s v="01-Feb-2026"/>
    <x v="5"/>
    <s v="Week1-Feb-2026"/>
    <x v="5"/>
    <s v="27-Jun-2028"/>
    <s v="Tuesday"/>
    <s v="Monthly - Tuesday"/>
    <s v="Monthly - Tuesday"/>
    <s v="Month+28 Expiry"/>
    <n v="0"/>
    <n v="0"/>
    <n v="0"/>
  </r>
  <r>
    <s v="01-Feb-2026"/>
    <x v="5"/>
    <s v="Week1-Feb-2026"/>
    <x v="5"/>
    <s v="26-Dec-2028"/>
    <s v="Tuesday"/>
    <s v="Monthly - Tuesday"/>
    <s v="Monthly - Tuesday"/>
    <s v="Month+34 Expiry"/>
    <n v="9"/>
    <n v="1.7"/>
    <n v="0.09"/>
  </r>
  <r>
    <s v="01-Feb-2026"/>
    <x v="5"/>
    <s v="Week1-Feb-2026"/>
    <x v="5"/>
    <s v="26-Jun-2029"/>
    <s v="Tuesday"/>
    <s v="Monthly - Tuesday"/>
    <s v="Monthly - Tuesday"/>
    <s v="Month+40 Expiry"/>
    <n v="0"/>
    <n v="0"/>
    <n v="0"/>
  </r>
  <r>
    <s v="01-Feb-2026"/>
    <x v="5"/>
    <s v="Week1-Feb-2026"/>
    <x v="5"/>
    <s v="24-Dec-2029"/>
    <s v="Monday"/>
    <s v="Weekly - Monday"/>
    <s v="Weekly - Monday"/>
    <s v="Month+46 Expiry"/>
    <n v="1"/>
    <n v="0.18"/>
    <n v="0.01"/>
  </r>
  <r>
    <s v="01-Feb-2026"/>
    <x v="5"/>
    <s v="Week1-Feb-2026"/>
    <x v="5"/>
    <s v="25-Jun-2030"/>
    <s v="Tuesday"/>
    <s v="Monthly - Tuesday"/>
    <s v="Monthly - Tuesday"/>
    <s v="Month+52 Expiry"/>
    <n v="0"/>
    <n v="0"/>
    <n v="0"/>
  </r>
  <r>
    <s v="01-Feb-2026"/>
    <x v="5"/>
    <s v="Week1-Feb-2026"/>
    <x v="5"/>
    <s v="31-Dec-2030"/>
    <s v="Tuesday"/>
    <s v="Monthly - Tuesday"/>
    <s v="Monthly - Tuesday"/>
    <s v="Month+58 Expiry"/>
    <n v="0"/>
    <n v="0"/>
    <n v="0"/>
  </r>
  <r>
    <s v="02-Feb-2026"/>
    <x v="0"/>
    <s v="Week1-Feb-2026"/>
    <x v="5"/>
    <s v="03-Feb-2026"/>
    <s v="Tuesday"/>
    <s v="Weekly - Tuesday"/>
    <s v="Weekly - Tuesday"/>
    <s v="Same Month Expiry"/>
    <n v="209173208"/>
    <n v="33967837.549999997"/>
    <n v="78718.81"/>
  </r>
  <r>
    <s v="02-Feb-2026"/>
    <x v="0"/>
    <s v="Week1-Feb-2026"/>
    <x v="5"/>
    <s v="10-Feb-2026"/>
    <s v="Tuesday"/>
    <s v="Weekly - Tuesday"/>
    <s v="Weekly - Tuesday"/>
    <s v="Same Month Expiry"/>
    <n v="6823475"/>
    <n v="1114138.92"/>
    <n v="5256.04"/>
  </r>
  <r>
    <s v="02-Feb-2026"/>
    <x v="0"/>
    <s v="Week1-Feb-2026"/>
    <x v="5"/>
    <s v="17-Feb-2026"/>
    <s v="Tuesday"/>
    <s v="Weekly - Tuesday"/>
    <s v="Weekly - Tuesday"/>
    <s v="Same Month Expiry"/>
    <n v="327293"/>
    <n v="53736.99"/>
    <n v="322.33999999999997"/>
  </r>
  <r>
    <s v="02-Feb-2026"/>
    <x v="0"/>
    <s v="Week1-Feb-2026"/>
    <x v="5"/>
    <s v="24-Feb-2026"/>
    <s v="Tuesday"/>
    <s v="Monthly - Tuesday"/>
    <s v="Monthly - Tuesday"/>
    <s v="Same Month Expiry"/>
    <n v="2335694"/>
    <n v="384697.45"/>
    <n v="3393.28"/>
  </r>
  <r>
    <s v="02-Feb-2026"/>
    <x v="0"/>
    <s v="Week1-Feb-2026"/>
    <x v="5"/>
    <s v="02-Mar-2026"/>
    <s v="Monday"/>
    <s v="Weekly - Monday"/>
    <s v="Weekly - Monday"/>
    <s v="Month+1 Expiry"/>
    <n v="26926"/>
    <n v="4458.6000000000004"/>
    <n v="36.08"/>
  </r>
  <r>
    <s v="02-Feb-2026"/>
    <x v="0"/>
    <s v="Week1-Feb-2026"/>
    <x v="5"/>
    <s v="30-Mar-2026"/>
    <s v="Monday"/>
    <s v="Monthly - Monday"/>
    <s v="Monthly - Monday"/>
    <s v="Month+1 Expiry"/>
    <n v="437559"/>
    <n v="72324.11"/>
    <n v="807.18"/>
  </r>
  <r>
    <s v="02-Feb-2026"/>
    <x v="0"/>
    <s v="Week1-Feb-2026"/>
    <x v="5"/>
    <s v="28-Apr-2026"/>
    <s v="Tuesday"/>
    <s v="Monthly - Tuesday"/>
    <s v="Monthly - Tuesday"/>
    <s v="Month+2 Expiry"/>
    <n v="41084"/>
    <n v="6864.74"/>
    <n v="104.42"/>
  </r>
  <r>
    <s v="02-Feb-2026"/>
    <x v="0"/>
    <s v="Week1-Feb-2026"/>
    <x v="5"/>
    <s v="30-Jun-2026"/>
    <s v="Tuesday"/>
    <s v="Monthly - Tuesday"/>
    <s v="Monthly - Tuesday"/>
    <s v="Month+4 Expiry"/>
    <n v="52842"/>
    <n v="8952.7900000000009"/>
    <n v="150.61000000000001"/>
  </r>
  <r>
    <s v="02-Feb-2026"/>
    <x v="0"/>
    <s v="Week1-Feb-2026"/>
    <x v="5"/>
    <s v="29-Sep-2026"/>
    <s v="Tuesday"/>
    <s v="Monthly - Tuesday"/>
    <s v="Monthly - Tuesday"/>
    <s v="Month+7 Expiry"/>
    <n v="6069"/>
    <n v="1039.72"/>
    <n v="25.53"/>
  </r>
  <r>
    <s v="02-Feb-2026"/>
    <x v="0"/>
    <s v="Week1-Feb-2026"/>
    <x v="5"/>
    <s v="29-Dec-2026"/>
    <s v="Tuesday"/>
    <s v="Monthly - Tuesday"/>
    <s v="Monthly - Tuesday"/>
    <s v="Month+10 Expiry"/>
    <n v="23042"/>
    <n v="4006.87"/>
    <n v="120.1"/>
  </r>
  <r>
    <s v="02-Feb-2026"/>
    <x v="0"/>
    <s v="Week1-Feb-2026"/>
    <x v="5"/>
    <s v="29-Jun-2027"/>
    <s v="Tuesday"/>
    <s v="Monthly - Tuesday"/>
    <s v="Monthly - Tuesday"/>
    <s v="Month+16 Expiry"/>
    <n v="0"/>
    <n v="0"/>
    <n v="0"/>
  </r>
  <r>
    <s v="02-Feb-2026"/>
    <x v="0"/>
    <s v="Week1-Feb-2026"/>
    <x v="5"/>
    <s v="28-Dec-2027"/>
    <s v="Tuesday"/>
    <s v="Monthly - Tuesday"/>
    <s v="Monthly - Tuesday"/>
    <s v="Month+22 Expiry"/>
    <n v="168"/>
    <n v="27.82"/>
    <n v="1.59"/>
  </r>
  <r>
    <s v="02-Feb-2026"/>
    <x v="0"/>
    <s v="Week1-Feb-2026"/>
    <x v="5"/>
    <s v="27-Jun-2028"/>
    <s v="Tuesday"/>
    <s v="Monthly - Tuesday"/>
    <s v="Monthly - Tuesday"/>
    <s v="Month+28 Expiry"/>
    <n v="0"/>
    <n v="0"/>
    <n v="0"/>
  </r>
  <r>
    <s v="02-Feb-2026"/>
    <x v="0"/>
    <s v="Week1-Feb-2026"/>
    <x v="5"/>
    <s v="26-Dec-2028"/>
    <s v="Tuesday"/>
    <s v="Monthly - Tuesday"/>
    <s v="Monthly - Tuesday"/>
    <s v="Month+34 Expiry"/>
    <n v="6"/>
    <n v="1.17"/>
    <n v="7.0000000000000007E-2"/>
  </r>
  <r>
    <s v="02-Feb-2026"/>
    <x v="0"/>
    <s v="Week1-Feb-2026"/>
    <x v="5"/>
    <s v="26-Jun-2029"/>
    <s v="Tuesday"/>
    <s v="Monthly - Tuesday"/>
    <s v="Monthly - Tuesday"/>
    <s v="Month+40 Expiry"/>
    <n v="0"/>
    <n v="0"/>
    <n v="0"/>
  </r>
  <r>
    <s v="02-Feb-2026"/>
    <x v="0"/>
    <s v="Week1-Feb-2026"/>
    <x v="5"/>
    <s v="24-Dec-2029"/>
    <s v="Monday"/>
    <s v="Weekly - Monday"/>
    <s v="Weekly - Monday"/>
    <s v="Month+46 Expiry"/>
    <n v="4"/>
    <n v="0.71"/>
    <n v="0.03"/>
  </r>
  <r>
    <s v="02-Feb-2026"/>
    <x v="0"/>
    <s v="Week1-Feb-2026"/>
    <x v="5"/>
    <s v="25-Jun-2030"/>
    <s v="Tuesday"/>
    <s v="Monthly - Tuesday"/>
    <s v="Monthly - Tuesday"/>
    <s v="Month+52 Expiry"/>
    <n v="0"/>
    <n v="0"/>
    <n v="0"/>
  </r>
  <r>
    <s v="02-Feb-2026"/>
    <x v="0"/>
    <s v="Week1-Feb-2026"/>
    <x v="5"/>
    <s v="31-Dec-2030"/>
    <s v="Tuesday"/>
    <s v="Monthly - Tuesday"/>
    <s v="Monthly - Tuesday"/>
    <s v="Month+58 Expiry"/>
    <n v="0"/>
    <n v="0"/>
    <n v="0"/>
  </r>
  <r>
    <s v="03-Feb-2026"/>
    <x v="1"/>
    <s v="Week1-Feb-2026"/>
    <x v="5"/>
    <s v="03-Feb-2026"/>
    <s v="Tuesday"/>
    <s v="Weekly - Tuesday"/>
    <s v="Weekly - Tuesday"/>
    <s v="Same Month Expiry"/>
    <n v="393553357"/>
    <n v="65924048.719999999"/>
    <n v="93332.5"/>
  </r>
  <r>
    <s v="03-Feb-2026"/>
    <x v="1"/>
    <s v="Week1-Feb-2026"/>
    <x v="5"/>
    <s v="10-Feb-2026"/>
    <s v="Tuesday"/>
    <s v="Weekly - Tuesday"/>
    <s v="Weekly - Tuesday"/>
    <s v="Same Month Expiry"/>
    <n v="15276175"/>
    <n v="2561007.4"/>
    <n v="11639.93"/>
  </r>
  <r>
    <s v="03-Feb-2026"/>
    <x v="1"/>
    <s v="Week1-Feb-2026"/>
    <x v="5"/>
    <s v="17-Feb-2026"/>
    <s v="Tuesday"/>
    <s v="Weekly - Tuesday"/>
    <s v="Weekly - Tuesday"/>
    <s v="Same Month Expiry"/>
    <n v="673371"/>
    <n v="113253.63"/>
    <n v="735.28"/>
  </r>
  <r>
    <s v="03-Feb-2026"/>
    <x v="1"/>
    <s v="Week1-Feb-2026"/>
    <x v="5"/>
    <s v="24-Feb-2026"/>
    <s v="Tuesday"/>
    <s v="Monthly - Tuesday"/>
    <s v="Monthly - Tuesday"/>
    <s v="Same Month Expiry"/>
    <n v="4012104"/>
    <n v="675792.95"/>
    <n v="5964.7"/>
  </r>
  <r>
    <s v="03-Feb-2026"/>
    <x v="1"/>
    <s v="Week1-Feb-2026"/>
    <x v="5"/>
    <s v="02-Mar-2026"/>
    <s v="Monday"/>
    <s v="Weekly - Monday"/>
    <s v="Weekly - Monday"/>
    <s v="Month+1 Expiry"/>
    <n v="32819"/>
    <n v="5496.66"/>
    <n v="44.54"/>
  </r>
  <r>
    <s v="03-Feb-2026"/>
    <x v="1"/>
    <s v="Week1-Feb-2026"/>
    <x v="5"/>
    <s v="30-Mar-2026"/>
    <s v="Monday"/>
    <s v="Monthly - Monday"/>
    <s v="Monthly - Monday"/>
    <s v="Month+1 Expiry"/>
    <n v="716428"/>
    <n v="120417.05"/>
    <n v="1236.28"/>
  </r>
  <r>
    <s v="03-Feb-2026"/>
    <x v="1"/>
    <s v="Week1-Feb-2026"/>
    <x v="5"/>
    <s v="28-Apr-2026"/>
    <s v="Tuesday"/>
    <s v="Monthly - Tuesday"/>
    <s v="Monthly - Tuesday"/>
    <s v="Month+2 Expiry"/>
    <n v="71822"/>
    <n v="12219.97"/>
    <n v="174.5"/>
  </r>
  <r>
    <s v="03-Feb-2026"/>
    <x v="1"/>
    <s v="Week1-Feb-2026"/>
    <x v="5"/>
    <s v="30-Jun-2026"/>
    <s v="Tuesday"/>
    <s v="Monthly - Tuesday"/>
    <s v="Monthly - Tuesday"/>
    <s v="Month+4 Expiry"/>
    <n v="78866"/>
    <n v="13534.53"/>
    <n v="214.12"/>
  </r>
  <r>
    <s v="03-Feb-2026"/>
    <x v="1"/>
    <s v="Week1-Feb-2026"/>
    <x v="5"/>
    <s v="29-Sep-2026"/>
    <s v="Tuesday"/>
    <s v="Monthly - Tuesday"/>
    <s v="Monthly - Tuesday"/>
    <s v="Month+7 Expiry"/>
    <n v="7308"/>
    <n v="1260.76"/>
    <n v="26.09"/>
  </r>
  <r>
    <s v="03-Feb-2026"/>
    <x v="1"/>
    <s v="Week1-Feb-2026"/>
    <x v="5"/>
    <s v="29-Dec-2026"/>
    <s v="Tuesday"/>
    <s v="Monthly - Tuesday"/>
    <s v="Monthly - Tuesday"/>
    <s v="Month+10 Expiry"/>
    <n v="30230"/>
    <n v="5313.99"/>
    <n v="139.29"/>
  </r>
  <r>
    <s v="03-Feb-2026"/>
    <x v="1"/>
    <s v="Week1-Feb-2026"/>
    <x v="5"/>
    <s v="29-Jun-2027"/>
    <s v="Tuesday"/>
    <s v="Monthly - Tuesday"/>
    <s v="Monthly - Tuesday"/>
    <s v="Month+16 Expiry"/>
    <n v="0"/>
    <n v="0"/>
    <n v="0"/>
  </r>
  <r>
    <s v="03-Feb-2026"/>
    <x v="1"/>
    <s v="Week1-Feb-2026"/>
    <x v="5"/>
    <s v="28-Dec-2027"/>
    <s v="Tuesday"/>
    <s v="Monthly - Tuesday"/>
    <s v="Monthly - Tuesday"/>
    <s v="Month+22 Expiry"/>
    <n v="73"/>
    <n v="12.34"/>
    <n v="0.56999999999999995"/>
  </r>
  <r>
    <s v="03-Feb-2026"/>
    <x v="1"/>
    <s v="Week1-Feb-2026"/>
    <x v="5"/>
    <s v="27-Jun-2028"/>
    <s v="Tuesday"/>
    <s v="Monthly - Tuesday"/>
    <s v="Monthly - Tuesday"/>
    <s v="Month+28 Expiry"/>
    <n v="0"/>
    <n v="0"/>
    <n v="0"/>
  </r>
  <r>
    <s v="03-Feb-2026"/>
    <x v="1"/>
    <s v="Week1-Feb-2026"/>
    <x v="5"/>
    <s v="26-Dec-2028"/>
    <s v="Tuesday"/>
    <s v="Monthly - Tuesday"/>
    <s v="Monthly - Tuesday"/>
    <s v="Month+34 Expiry"/>
    <n v="0"/>
    <n v="0"/>
    <n v="0"/>
  </r>
  <r>
    <s v="03-Feb-2026"/>
    <x v="1"/>
    <s v="Week1-Feb-2026"/>
    <x v="5"/>
    <s v="26-Jun-2029"/>
    <s v="Tuesday"/>
    <s v="Monthly - Tuesday"/>
    <s v="Monthly - Tuesday"/>
    <s v="Month+40 Expiry"/>
    <n v="0"/>
    <n v="0"/>
    <n v="0"/>
  </r>
  <r>
    <s v="03-Feb-2026"/>
    <x v="1"/>
    <s v="Week1-Feb-2026"/>
    <x v="5"/>
    <s v="24-Dec-2029"/>
    <s v="Monday"/>
    <s v="Weekly - Monday"/>
    <s v="Weekly - Monday"/>
    <s v="Month+46 Expiry"/>
    <n v="0"/>
    <n v="0"/>
    <n v="0"/>
  </r>
  <r>
    <s v="03-Feb-2026"/>
    <x v="1"/>
    <s v="Week1-Feb-2026"/>
    <x v="5"/>
    <s v="25-Jun-2030"/>
    <s v="Tuesday"/>
    <s v="Monthly - Tuesday"/>
    <s v="Monthly - Tuesday"/>
    <s v="Month+52 Expiry"/>
    <n v="0"/>
    <n v="0"/>
    <n v="0"/>
  </r>
  <r>
    <s v="03-Feb-2026"/>
    <x v="1"/>
    <s v="Week1-Feb-2026"/>
    <x v="5"/>
    <s v="31-Dec-2030"/>
    <s v="Tuesday"/>
    <s v="Monthly - Tuesday"/>
    <s v="Monthly - Tuesday"/>
    <s v="Month+58 Expiry"/>
    <n v="0"/>
    <n v="0"/>
    <n v="0"/>
  </r>
  <r>
    <s v="04-Feb-2026"/>
    <x v="2"/>
    <s v="Week1-Feb-2026"/>
    <x v="5"/>
    <s v="10-Feb-2026"/>
    <s v="Tuesday"/>
    <s v="Weekly - Tuesday"/>
    <s v="Weekly - Tuesday"/>
    <s v="Same Month Expiry"/>
    <n v="52436416"/>
    <n v="8813776.3699999992"/>
    <n v="33556.339999999997"/>
  </r>
  <r>
    <s v="04-Feb-2026"/>
    <x v="2"/>
    <s v="Week1-Feb-2026"/>
    <x v="5"/>
    <s v="17-Feb-2026"/>
    <s v="Tuesday"/>
    <s v="Weekly - Tuesday"/>
    <s v="Weekly - Tuesday"/>
    <s v="Same Month Expiry"/>
    <n v="863143"/>
    <n v="145087.84"/>
    <n v="704.14"/>
  </r>
  <r>
    <s v="04-Feb-2026"/>
    <x v="2"/>
    <s v="Week1-Feb-2026"/>
    <x v="5"/>
    <s v="24-Feb-2026"/>
    <s v="Tuesday"/>
    <s v="Monthly - Tuesday"/>
    <s v="Monthly - Tuesday"/>
    <s v="Same Month Expiry"/>
    <n v="1738212"/>
    <n v="291975.84000000003"/>
    <n v="1830.83"/>
  </r>
  <r>
    <s v="04-Feb-2026"/>
    <x v="2"/>
    <s v="Week1-Feb-2026"/>
    <x v="5"/>
    <s v="02-Mar-2026"/>
    <s v="Monday"/>
    <s v="Weekly - Monday"/>
    <s v="Weekly - Monday"/>
    <s v="Month+1 Expiry"/>
    <n v="26415"/>
    <n v="4441.8999999999996"/>
    <n v="28.71"/>
  </r>
  <r>
    <s v="04-Feb-2026"/>
    <x v="2"/>
    <s v="Week1-Feb-2026"/>
    <x v="5"/>
    <s v="10-Mar-2026"/>
    <s v="Tuesday"/>
    <s v="Weekly - Tuesday"/>
    <s v="Weekly - Tuesday"/>
    <s v="Month+1 Expiry"/>
    <n v="388"/>
    <n v="64.930000000000007"/>
    <n v="0.56000000000000005"/>
  </r>
  <r>
    <s v="04-Feb-2026"/>
    <x v="2"/>
    <s v="Week1-Feb-2026"/>
    <x v="5"/>
    <s v="30-Mar-2026"/>
    <s v="Monday"/>
    <s v="Monthly - Monday"/>
    <s v="Monthly - Monday"/>
    <s v="Month+1 Expiry"/>
    <n v="352785"/>
    <n v="59052.42"/>
    <n v="463.09"/>
  </r>
  <r>
    <s v="04-Feb-2026"/>
    <x v="2"/>
    <s v="Week1-Feb-2026"/>
    <x v="5"/>
    <s v="28-Apr-2026"/>
    <s v="Tuesday"/>
    <s v="Monthly - Tuesday"/>
    <s v="Monthly - Tuesday"/>
    <s v="Month+2 Expiry"/>
    <n v="29099"/>
    <n v="4909.29"/>
    <n v="67.819999999999993"/>
  </r>
  <r>
    <s v="04-Feb-2026"/>
    <x v="2"/>
    <s v="Week1-Feb-2026"/>
    <x v="5"/>
    <s v="30-Jun-2026"/>
    <s v="Tuesday"/>
    <s v="Monthly - Tuesday"/>
    <s v="Monthly - Tuesday"/>
    <s v="Month+4 Expiry"/>
    <n v="46154"/>
    <n v="7893.64"/>
    <n v="100.97"/>
  </r>
  <r>
    <s v="04-Feb-2026"/>
    <x v="2"/>
    <s v="Week1-Feb-2026"/>
    <x v="5"/>
    <s v="29-Sep-2026"/>
    <s v="Tuesday"/>
    <s v="Monthly - Tuesday"/>
    <s v="Monthly - Tuesday"/>
    <s v="Month+7 Expiry"/>
    <n v="3871"/>
    <n v="661.26"/>
    <n v="12.87"/>
  </r>
  <r>
    <s v="04-Feb-2026"/>
    <x v="2"/>
    <s v="Week1-Feb-2026"/>
    <x v="5"/>
    <s v="29-Dec-2026"/>
    <s v="Tuesday"/>
    <s v="Monthly - Tuesday"/>
    <s v="Monthly - Tuesday"/>
    <s v="Month+10 Expiry"/>
    <n v="13003"/>
    <n v="2283.56"/>
    <n v="56.19"/>
  </r>
  <r>
    <s v="04-Feb-2026"/>
    <x v="2"/>
    <s v="Week1-Feb-2026"/>
    <x v="5"/>
    <s v="29-Jun-2027"/>
    <s v="Tuesday"/>
    <s v="Monthly - Tuesday"/>
    <s v="Monthly - Tuesday"/>
    <s v="Month+16 Expiry"/>
    <n v="0"/>
    <n v="0"/>
    <n v="0"/>
  </r>
  <r>
    <s v="04-Feb-2026"/>
    <x v="2"/>
    <s v="Week1-Feb-2026"/>
    <x v="5"/>
    <s v="28-Dec-2027"/>
    <s v="Tuesday"/>
    <s v="Monthly - Tuesday"/>
    <s v="Monthly - Tuesday"/>
    <s v="Month+22 Expiry"/>
    <n v="60"/>
    <n v="10.54"/>
    <n v="0.48"/>
  </r>
  <r>
    <s v="04-Feb-2026"/>
    <x v="2"/>
    <s v="Week1-Feb-2026"/>
    <x v="5"/>
    <s v="27-Jun-2028"/>
    <s v="Tuesday"/>
    <s v="Monthly - Tuesday"/>
    <s v="Monthly - Tuesday"/>
    <s v="Month+28 Expiry"/>
    <n v="0"/>
    <n v="0"/>
    <n v="0"/>
  </r>
  <r>
    <s v="04-Feb-2026"/>
    <x v="2"/>
    <s v="Week1-Feb-2026"/>
    <x v="5"/>
    <s v="26-Dec-2028"/>
    <s v="Tuesday"/>
    <s v="Monthly - Tuesday"/>
    <s v="Monthly - Tuesday"/>
    <s v="Month+34 Expiry"/>
    <n v="13"/>
    <n v="2.34"/>
    <n v="0.09"/>
  </r>
  <r>
    <s v="04-Feb-2026"/>
    <x v="2"/>
    <s v="Week1-Feb-2026"/>
    <x v="5"/>
    <s v="26-Jun-2029"/>
    <s v="Tuesday"/>
    <s v="Monthly - Tuesday"/>
    <s v="Monthly - Tuesday"/>
    <s v="Month+40 Expiry"/>
    <n v="0"/>
    <n v="0"/>
    <n v="0"/>
  </r>
  <r>
    <s v="04-Feb-2026"/>
    <x v="2"/>
    <s v="Week1-Feb-2026"/>
    <x v="5"/>
    <s v="24-Dec-2029"/>
    <s v="Monday"/>
    <s v="Weekly - Monday"/>
    <s v="Weekly - Monday"/>
    <s v="Month+46 Expiry"/>
    <n v="0"/>
    <n v="0"/>
    <n v="0"/>
  </r>
  <r>
    <s v="04-Feb-2026"/>
    <x v="2"/>
    <s v="Week1-Feb-2026"/>
    <x v="5"/>
    <s v="25-Jun-2030"/>
    <s v="Tuesday"/>
    <s v="Monthly - Tuesday"/>
    <s v="Monthly - Tuesday"/>
    <s v="Month+52 Expiry"/>
    <n v="0"/>
    <n v="0"/>
    <n v="0"/>
  </r>
  <r>
    <s v="04-Feb-2026"/>
    <x v="2"/>
    <s v="Week1-Feb-2026"/>
    <x v="5"/>
    <s v="31-Dec-2030"/>
    <s v="Tuesday"/>
    <s v="Monthly - Tuesday"/>
    <s v="Monthly - Tuesday"/>
    <s v="Month+58 Expiry"/>
    <n v="0"/>
    <n v="0"/>
    <n v="0"/>
  </r>
  <r>
    <s v="05-Feb-2026"/>
    <x v="3"/>
    <s v="Week1-Feb-2026"/>
    <x v="5"/>
    <s v="10-Feb-2026"/>
    <s v="Tuesday"/>
    <s v="Weekly - Tuesday"/>
    <s v="Weekly - Tuesday"/>
    <s v="Same Month Expiry"/>
    <n v="48324220"/>
    <n v="8099650.71"/>
    <n v="26358.240000000002"/>
  </r>
  <r>
    <s v="05-Feb-2026"/>
    <x v="3"/>
    <s v="Week1-Feb-2026"/>
    <x v="5"/>
    <s v="17-Feb-2026"/>
    <s v="Tuesday"/>
    <s v="Weekly - Tuesday"/>
    <s v="Weekly - Tuesday"/>
    <s v="Same Month Expiry"/>
    <n v="1149868"/>
    <n v="192620.01"/>
    <n v="877.78"/>
  </r>
  <r>
    <s v="05-Feb-2026"/>
    <x v="3"/>
    <s v="Week1-Feb-2026"/>
    <x v="5"/>
    <s v="24-Feb-2026"/>
    <s v="Tuesday"/>
    <s v="Monthly - Tuesday"/>
    <s v="Monthly - Tuesday"/>
    <s v="Same Month Expiry"/>
    <n v="1444265"/>
    <n v="242935.9"/>
    <n v="1598.62"/>
  </r>
  <r>
    <s v="05-Feb-2026"/>
    <x v="3"/>
    <s v="Week1-Feb-2026"/>
    <x v="5"/>
    <s v="02-Mar-2026"/>
    <s v="Monday"/>
    <s v="Weekly - Monday"/>
    <s v="Weekly - Monday"/>
    <s v="Month+1 Expiry"/>
    <n v="22818"/>
    <n v="3821.86"/>
    <n v="25.11"/>
  </r>
  <r>
    <s v="05-Feb-2026"/>
    <x v="3"/>
    <s v="Week1-Feb-2026"/>
    <x v="5"/>
    <s v="10-Mar-2026"/>
    <s v="Tuesday"/>
    <s v="Weekly - Tuesday"/>
    <s v="Weekly - Tuesday"/>
    <s v="Month+1 Expiry"/>
    <n v="698"/>
    <n v="116.96"/>
    <n v="0.97"/>
  </r>
  <r>
    <s v="05-Feb-2026"/>
    <x v="3"/>
    <s v="Week1-Feb-2026"/>
    <x v="5"/>
    <s v="30-Mar-2026"/>
    <s v="Monday"/>
    <s v="Monthly - Monday"/>
    <s v="Monthly - Monday"/>
    <s v="Month+1 Expiry"/>
    <n v="255718"/>
    <n v="43000.58"/>
    <n v="366.22"/>
  </r>
  <r>
    <s v="05-Feb-2026"/>
    <x v="3"/>
    <s v="Week1-Feb-2026"/>
    <x v="5"/>
    <s v="28-Apr-2026"/>
    <s v="Tuesday"/>
    <s v="Monthly - Tuesday"/>
    <s v="Monthly - Tuesday"/>
    <s v="Month+2 Expiry"/>
    <n v="32094"/>
    <n v="5421.03"/>
    <n v="69.69"/>
  </r>
  <r>
    <s v="05-Feb-2026"/>
    <x v="3"/>
    <s v="Week1-Feb-2026"/>
    <x v="5"/>
    <s v="30-Jun-2026"/>
    <s v="Tuesday"/>
    <s v="Monthly - Tuesday"/>
    <s v="Monthly - Tuesday"/>
    <s v="Month+4 Expiry"/>
    <n v="37106"/>
    <n v="6478.87"/>
    <n v="106.22"/>
  </r>
  <r>
    <s v="05-Feb-2026"/>
    <x v="3"/>
    <s v="Week1-Feb-2026"/>
    <x v="5"/>
    <s v="29-Sep-2026"/>
    <s v="Tuesday"/>
    <s v="Monthly - Tuesday"/>
    <s v="Monthly - Tuesday"/>
    <s v="Month+7 Expiry"/>
    <n v="4349"/>
    <n v="815.17"/>
    <n v="8.9"/>
  </r>
  <r>
    <s v="05-Feb-2026"/>
    <x v="3"/>
    <s v="Week1-Feb-2026"/>
    <x v="5"/>
    <s v="29-Dec-2026"/>
    <s v="Tuesday"/>
    <s v="Monthly - Tuesday"/>
    <s v="Monthly - Tuesday"/>
    <s v="Month+10 Expiry"/>
    <n v="7819"/>
    <n v="1404.84"/>
    <n v="35.5"/>
  </r>
  <r>
    <s v="05-Feb-2026"/>
    <x v="3"/>
    <s v="Week1-Feb-2026"/>
    <x v="5"/>
    <s v="29-Jun-2027"/>
    <s v="Tuesday"/>
    <s v="Monthly - Tuesday"/>
    <s v="Monthly - Tuesday"/>
    <s v="Month+16 Expiry"/>
    <n v="0"/>
    <n v="0"/>
    <n v="0"/>
  </r>
  <r>
    <s v="05-Feb-2026"/>
    <x v="3"/>
    <s v="Week1-Feb-2026"/>
    <x v="5"/>
    <s v="28-Dec-2027"/>
    <s v="Tuesday"/>
    <s v="Monthly - Tuesday"/>
    <s v="Monthly - Tuesday"/>
    <s v="Month+22 Expiry"/>
    <n v="24"/>
    <n v="4.1500000000000004"/>
    <n v="0.19"/>
  </r>
  <r>
    <s v="05-Feb-2026"/>
    <x v="3"/>
    <s v="Week1-Feb-2026"/>
    <x v="5"/>
    <s v="27-Jun-2028"/>
    <s v="Tuesday"/>
    <s v="Monthly - Tuesday"/>
    <s v="Monthly - Tuesday"/>
    <s v="Month+28 Expiry"/>
    <n v="0"/>
    <n v="0"/>
    <n v="0"/>
  </r>
  <r>
    <s v="05-Feb-2026"/>
    <x v="3"/>
    <s v="Week1-Feb-2026"/>
    <x v="5"/>
    <s v="26-Dec-2028"/>
    <s v="Tuesday"/>
    <s v="Monthly - Tuesday"/>
    <s v="Monthly - Tuesday"/>
    <s v="Month+34 Expiry"/>
    <n v="0"/>
    <n v="0"/>
    <n v="0"/>
  </r>
  <r>
    <s v="05-Feb-2026"/>
    <x v="3"/>
    <s v="Week1-Feb-2026"/>
    <x v="5"/>
    <s v="26-Jun-2029"/>
    <s v="Tuesday"/>
    <s v="Monthly - Tuesday"/>
    <s v="Monthly - Tuesday"/>
    <s v="Month+40 Expiry"/>
    <n v="0"/>
    <n v="0"/>
    <n v="0"/>
  </r>
  <r>
    <s v="05-Feb-2026"/>
    <x v="3"/>
    <s v="Week1-Feb-2026"/>
    <x v="5"/>
    <s v="24-Dec-2029"/>
    <s v="Monday"/>
    <s v="Weekly - Monday"/>
    <s v="Weekly - Monday"/>
    <s v="Month+46 Expiry"/>
    <n v="0"/>
    <n v="0"/>
    <n v="0"/>
  </r>
  <r>
    <s v="05-Feb-2026"/>
    <x v="3"/>
    <s v="Week1-Feb-2026"/>
    <x v="5"/>
    <s v="25-Jun-2030"/>
    <s v="Tuesday"/>
    <s v="Monthly - Tuesday"/>
    <s v="Monthly - Tuesday"/>
    <s v="Month+52 Expiry"/>
    <n v="0"/>
    <n v="0"/>
    <n v="0"/>
  </r>
  <r>
    <s v="05-Feb-2026"/>
    <x v="3"/>
    <s v="Week1-Feb-2026"/>
    <x v="5"/>
    <s v="31-Dec-2030"/>
    <s v="Tuesday"/>
    <s v="Monthly - Tuesday"/>
    <s v="Monthly - Tuesday"/>
    <s v="Month+58 Expiry"/>
    <n v="0"/>
    <n v="0"/>
    <n v="0"/>
  </r>
  <r>
    <s v="06-Feb-2026"/>
    <x v="4"/>
    <s v="Week1-Feb-2026"/>
    <x v="5"/>
    <s v="10-Feb-2026"/>
    <s v="Tuesday"/>
    <s v="Weekly - Tuesday"/>
    <s v="Weekly - Tuesday"/>
    <s v="Same Month Expiry"/>
    <n v="117866850"/>
    <n v="19674829.710000001"/>
    <n v="52533.77"/>
  </r>
  <r>
    <s v="06-Feb-2026"/>
    <x v="4"/>
    <s v="Week1-Feb-2026"/>
    <x v="5"/>
    <s v="17-Feb-2026"/>
    <s v="Tuesday"/>
    <s v="Weekly - Tuesday"/>
    <s v="Weekly - Tuesday"/>
    <s v="Same Month Expiry"/>
    <n v="2309564"/>
    <n v="386222.5"/>
    <n v="1526.64"/>
  </r>
  <r>
    <s v="06-Feb-2026"/>
    <x v="4"/>
    <s v="Week1-Feb-2026"/>
    <x v="5"/>
    <s v="24-Feb-2026"/>
    <s v="Tuesday"/>
    <s v="Monthly - Tuesday"/>
    <s v="Monthly - Tuesday"/>
    <s v="Same Month Expiry"/>
    <n v="1924260"/>
    <n v="322604.14"/>
    <n v="1953.8"/>
  </r>
  <r>
    <s v="06-Feb-2026"/>
    <x v="4"/>
    <s v="Week1-Feb-2026"/>
    <x v="5"/>
    <s v="02-Mar-2026"/>
    <s v="Monday"/>
    <s v="Weekly - Monday"/>
    <s v="Weekly - Monday"/>
    <s v="Month+1 Expiry"/>
    <n v="36252"/>
    <n v="6072"/>
    <n v="41.07"/>
  </r>
  <r>
    <s v="06-Feb-2026"/>
    <x v="4"/>
    <s v="Week1-Feb-2026"/>
    <x v="5"/>
    <s v="10-Mar-2026"/>
    <s v="Tuesday"/>
    <s v="Weekly - Tuesday"/>
    <s v="Weekly - Tuesday"/>
    <s v="Month+1 Expiry"/>
    <n v="2486"/>
    <n v="418.73"/>
    <n v="3.23"/>
  </r>
  <r>
    <s v="06-Feb-2026"/>
    <x v="4"/>
    <s v="Week1-Feb-2026"/>
    <x v="5"/>
    <s v="30-Mar-2026"/>
    <s v="Monday"/>
    <s v="Monthly - Monday"/>
    <s v="Monthly - Monday"/>
    <s v="Month+1 Expiry"/>
    <n v="285989"/>
    <n v="48167.16"/>
    <n v="411.55"/>
  </r>
  <r>
    <s v="06-Feb-2026"/>
    <x v="4"/>
    <s v="Week1-Feb-2026"/>
    <x v="5"/>
    <s v="28-Apr-2026"/>
    <s v="Tuesday"/>
    <s v="Monthly - Tuesday"/>
    <s v="Monthly - Tuesday"/>
    <s v="Month+2 Expiry"/>
    <n v="29492"/>
    <n v="4982.32"/>
    <n v="58.33"/>
  </r>
  <r>
    <s v="06-Feb-2026"/>
    <x v="4"/>
    <s v="Week1-Feb-2026"/>
    <x v="5"/>
    <s v="30-Jun-2026"/>
    <s v="Tuesday"/>
    <s v="Monthly - Tuesday"/>
    <s v="Monthly - Tuesday"/>
    <s v="Month+4 Expiry"/>
    <n v="30503"/>
    <n v="5239.5200000000004"/>
    <n v="87.6"/>
  </r>
  <r>
    <s v="06-Feb-2026"/>
    <x v="4"/>
    <s v="Week1-Feb-2026"/>
    <x v="5"/>
    <s v="29-Sep-2026"/>
    <s v="Tuesday"/>
    <s v="Monthly - Tuesday"/>
    <s v="Monthly - Tuesday"/>
    <s v="Month+7 Expiry"/>
    <n v="2417"/>
    <n v="424.86"/>
    <n v="9.68"/>
  </r>
  <r>
    <s v="06-Feb-2026"/>
    <x v="4"/>
    <s v="Week1-Feb-2026"/>
    <x v="5"/>
    <s v="29-Dec-2026"/>
    <s v="Tuesday"/>
    <s v="Monthly - Tuesday"/>
    <s v="Monthly - Tuesday"/>
    <s v="Month+10 Expiry"/>
    <n v="12654"/>
    <n v="2259.39"/>
    <n v="52.09"/>
  </r>
  <r>
    <s v="06-Feb-2026"/>
    <x v="4"/>
    <s v="Week1-Feb-2026"/>
    <x v="5"/>
    <s v="29-Jun-2027"/>
    <s v="Tuesday"/>
    <s v="Monthly - Tuesday"/>
    <s v="Monthly - Tuesday"/>
    <s v="Month+16 Expiry"/>
    <n v="0"/>
    <n v="0"/>
    <n v="0"/>
  </r>
  <r>
    <s v="06-Feb-2026"/>
    <x v="4"/>
    <s v="Week1-Feb-2026"/>
    <x v="5"/>
    <s v="28-Dec-2027"/>
    <s v="Tuesday"/>
    <s v="Monthly - Tuesday"/>
    <s v="Monthly - Tuesday"/>
    <s v="Month+22 Expiry"/>
    <n v="48"/>
    <n v="8.07"/>
    <n v="0.3"/>
  </r>
  <r>
    <s v="06-Feb-2026"/>
    <x v="4"/>
    <s v="Week1-Feb-2026"/>
    <x v="5"/>
    <s v="27-Jun-2028"/>
    <s v="Tuesday"/>
    <s v="Monthly - Tuesday"/>
    <s v="Monthly - Tuesday"/>
    <s v="Month+28 Expiry"/>
    <n v="0"/>
    <n v="0"/>
    <n v="0"/>
  </r>
  <r>
    <s v="06-Feb-2026"/>
    <x v="4"/>
    <s v="Week1-Feb-2026"/>
    <x v="5"/>
    <s v="26-Dec-2028"/>
    <s v="Tuesday"/>
    <s v="Monthly - Tuesday"/>
    <s v="Monthly - Tuesday"/>
    <s v="Month+34 Expiry"/>
    <n v="2"/>
    <n v="0.37"/>
    <n v="0.02"/>
  </r>
  <r>
    <s v="06-Feb-2026"/>
    <x v="4"/>
    <s v="Week1-Feb-2026"/>
    <x v="5"/>
    <s v="26-Jun-2029"/>
    <s v="Tuesday"/>
    <s v="Monthly - Tuesday"/>
    <s v="Monthly - Tuesday"/>
    <s v="Month+40 Expiry"/>
    <n v="0"/>
    <n v="0"/>
    <n v="0"/>
  </r>
  <r>
    <s v="06-Feb-2026"/>
    <x v="4"/>
    <s v="Week1-Feb-2026"/>
    <x v="5"/>
    <s v="24-Dec-2029"/>
    <s v="Monday"/>
    <s v="Weekly - Monday"/>
    <s v="Weekly - Monday"/>
    <s v="Month+46 Expiry"/>
    <n v="0"/>
    <n v="0"/>
    <n v="0"/>
  </r>
  <r>
    <s v="06-Feb-2026"/>
    <x v="4"/>
    <s v="Week1-Feb-2026"/>
    <x v="5"/>
    <s v="25-Jun-2030"/>
    <s v="Tuesday"/>
    <s v="Monthly - Tuesday"/>
    <s v="Monthly - Tuesday"/>
    <s v="Month+52 Expiry"/>
    <n v="0"/>
    <n v="0"/>
    <n v="0"/>
  </r>
  <r>
    <s v="06-Feb-2026"/>
    <x v="4"/>
    <s v="Week1-Feb-2026"/>
    <x v="5"/>
    <s v="31-Dec-2030"/>
    <s v="Tuesday"/>
    <s v="Monthly - Tuesday"/>
    <s v="Monthly - Tuesday"/>
    <s v="Month+58 Expiry"/>
    <n v="0"/>
    <n v="0"/>
    <n v="0"/>
  </r>
  <r>
    <s v="09-Feb-2026"/>
    <x v="0"/>
    <s v="Week2-Feb-2026"/>
    <x v="5"/>
    <s v="10-Feb-2026"/>
    <s v="Tuesday"/>
    <s v="Weekly - Tuesday"/>
    <s v="Weekly - Tuesday"/>
    <s v="Same Month Expiry"/>
    <n v="120229086"/>
    <n v="20186688.899999999"/>
    <n v="38073.269999999997"/>
  </r>
  <r>
    <s v="09-Feb-2026"/>
    <x v="0"/>
    <s v="Week2-Feb-2026"/>
    <x v="5"/>
    <s v="17-Feb-2026"/>
    <s v="Tuesday"/>
    <s v="Weekly - Tuesday"/>
    <s v="Weekly - Tuesday"/>
    <s v="Same Month Expiry"/>
    <n v="3946871"/>
    <n v="663107.9"/>
    <n v="2272.88"/>
  </r>
  <r>
    <s v="09-Feb-2026"/>
    <x v="0"/>
    <s v="Week2-Feb-2026"/>
    <x v="5"/>
    <s v="24-Feb-2026"/>
    <s v="Tuesday"/>
    <s v="Monthly - Tuesday"/>
    <s v="Monthly - Tuesday"/>
    <s v="Same Month Expiry"/>
    <n v="1754137"/>
    <n v="294728.84000000003"/>
    <n v="1627.53"/>
  </r>
  <r>
    <s v="09-Feb-2026"/>
    <x v="0"/>
    <s v="Week2-Feb-2026"/>
    <x v="5"/>
    <s v="02-Mar-2026"/>
    <s v="Monday"/>
    <s v="Weekly - Monday"/>
    <s v="Weekly - Monday"/>
    <s v="Month+1 Expiry"/>
    <n v="45170"/>
    <n v="7607.66"/>
    <n v="44.17"/>
  </r>
  <r>
    <s v="09-Feb-2026"/>
    <x v="0"/>
    <s v="Week2-Feb-2026"/>
    <x v="5"/>
    <s v="10-Mar-2026"/>
    <s v="Tuesday"/>
    <s v="Weekly - Tuesday"/>
    <s v="Weekly - Tuesday"/>
    <s v="Month+1 Expiry"/>
    <n v="3202"/>
    <n v="540.91"/>
    <n v="4.13"/>
  </r>
  <r>
    <s v="09-Feb-2026"/>
    <x v="0"/>
    <s v="Week2-Feb-2026"/>
    <x v="5"/>
    <s v="30-Mar-2026"/>
    <s v="Monday"/>
    <s v="Monthly - Monday"/>
    <s v="Monthly - Monday"/>
    <s v="Month+1 Expiry"/>
    <n v="289276"/>
    <n v="48403.51"/>
    <n v="410.33"/>
  </r>
  <r>
    <s v="09-Feb-2026"/>
    <x v="0"/>
    <s v="Week2-Feb-2026"/>
    <x v="5"/>
    <s v="28-Apr-2026"/>
    <s v="Tuesday"/>
    <s v="Monthly - Tuesday"/>
    <s v="Monthly - Tuesday"/>
    <s v="Month+2 Expiry"/>
    <n v="40079"/>
    <n v="6744.27"/>
    <n v="83.34"/>
  </r>
  <r>
    <s v="09-Feb-2026"/>
    <x v="0"/>
    <s v="Week2-Feb-2026"/>
    <x v="5"/>
    <s v="30-Jun-2026"/>
    <s v="Tuesday"/>
    <s v="Monthly - Tuesday"/>
    <s v="Monthly - Tuesday"/>
    <s v="Month+4 Expiry"/>
    <n v="32252"/>
    <n v="5573.67"/>
    <n v="84.46"/>
  </r>
  <r>
    <s v="09-Feb-2026"/>
    <x v="0"/>
    <s v="Week2-Feb-2026"/>
    <x v="5"/>
    <s v="29-Sep-2026"/>
    <s v="Tuesday"/>
    <s v="Monthly - Tuesday"/>
    <s v="Monthly - Tuesday"/>
    <s v="Month+7 Expiry"/>
    <n v="2606"/>
    <n v="458.27"/>
    <n v="10.89"/>
  </r>
  <r>
    <s v="09-Feb-2026"/>
    <x v="0"/>
    <s v="Week2-Feb-2026"/>
    <x v="5"/>
    <s v="29-Dec-2026"/>
    <s v="Tuesday"/>
    <s v="Monthly - Tuesday"/>
    <s v="Monthly - Tuesday"/>
    <s v="Month+10 Expiry"/>
    <n v="7992"/>
    <n v="1400.64"/>
    <n v="36.24"/>
  </r>
  <r>
    <s v="09-Feb-2026"/>
    <x v="0"/>
    <s v="Week2-Feb-2026"/>
    <x v="5"/>
    <s v="29-Jun-2027"/>
    <s v="Tuesday"/>
    <s v="Monthly - Tuesday"/>
    <s v="Monthly - Tuesday"/>
    <s v="Month+16 Expiry"/>
    <n v="0"/>
    <n v="0"/>
    <n v="0"/>
  </r>
  <r>
    <s v="09-Feb-2026"/>
    <x v="0"/>
    <s v="Week2-Feb-2026"/>
    <x v="5"/>
    <s v="28-Dec-2027"/>
    <s v="Tuesday"/>
    <s v="Monthly - Tuesday"/>
    <s v="Monthly - Tuesday"/>
    <s v="Month+22 Expiry"/>
    <n v="11"/>
    <n v="1.85"/>
    <n v="0.05"/>
  </r>
  <r>
    <s v="09-Feb-2026"/>
    <x v="0"/>
    <s v="Week2-Feb-2026"/>
    <x v="5"/>
    <s v="27-Jun-2028"/>
    <s v="Tuesday"/>
    <s v="Monthly - Tuesday"/>
    <s v="Monthly - Tuesday"/>
    <s v="Month+28 Expiry"/>
    <n v="0"/>
    <n v="0"/>
    <n v="0"/>
  </r>
  <r>
    <s v="09-Feb-2026"/>
    <x v="0"/>
    <s v="Week2-Feb-2026"/>
    <x v="5"/>
    <s v="26-Dec-2028"/>
    <s v="Tuesday"/>
    <s v="Monthly - Tuesday"/>
    <s v="Monthly - Tuesday"/>
    <s v="Month+34 Expiry"/>
    <n v="1"/>
    <n v="0.18"/>
    <n v="0.01"/>
  </r>
  <r>
    <s v="09-Feb-2026"/>
    <x v="0"/>
    <s v="Week2-Feb-2026"/>
    <x v="5"/>
    <s v="26-Jun-2029"/>
    <s v="Tuesday"/>
    <s v="Monthly - Tuesday"/>
    <s v="Monthly - Tuesday"/>
    <s v="Month+40 Expiry"/>
    <n v="0"/>
    <n v="0"/>
    <n v="0"/>
  </r>
  <r>
    <s v="09-Feb-2026"/>
    <x v="0"/>
    <s v="Week2-Feb-2026"/>
    <x v="5"/>
    <s v="24-Dec-2029"/>
    <s v="Monday"/>
    <s v="Weekly - Monday"/>
    <s v="Weekly - Monday"/>
    <s v="Month+46 Expiry"/>
    <n v="0"/>
    <n v="0"/>
    <n v="0"/>
  </r>
  <r>
    <s v="09-Feb-2026"/>
    <x v="0"/>
    <s v="Week2-Feb-2026"/>
    <x v="5"/>
    <s v="25-Jun-2030"/>
    <s v="Tuesday"/>
    <s v="Monthly - Tuesday"/>
    <s v="Monthly - Tuesday"/>
    <s v="Month+52 Expiry"/>
    <n v="0"/>
    <n v="0"/>
    <n v="0"/>
  </r>
  <r>
    <s v="09-Feb-2026"/>
    <x v="0"/>
    <s v="Week2-Feb-2026"/>
    <x v="5"/>
    <s v="31-Dec-2030"/>
    <s v="Tuesday"/>
    <s v="Monthly - Tuesday"/>
    <s v="Monthly - Tuesday"/>
    <s v="Month+58 Expiry"/>
    <n v="0"/>
    <n v="0"/>
    <n v="0"/>
  </r>
  <r>
    <s v="10-Feb-2026"/>
    <x v="1"/>
    <s v="Week2-Feb-2026"/>
    <x v="5"/>
    <s v="10-Feb-2026"/>
    <s v="Tuesday"/>
    <s v="Weekly - Tuesday"/>
    <s v="Weekly - Tuesday"/>
    <s v="Same Month Expiry"/>
    <n v="338004292"/>
    <n v="56954680.780000001"/>
    <n v="47179.54"/>
  </r>
  <r>
    <s v="10-Feb-2026"/>
    <x v="1"/>
    <s v="Week2-Feb-2026"/>
    <x v="5"/>
    <s v="17-Feb-2026"/>
    <s v="Tuesday"/>
    <s v="Weekly - Tuesday"/>
    <s v="Weekly - Tuesday"/>
    <s v="Same Month Expiry"/>
    <n v="9131741"/>
    <n v="1539784.66"/>
    <n v="4806.3100000000004"/>
  </r>
  <r>
    <s v="10-Feb-2026"/>
    <x v="1"/>
    <s v="Week2-Feb-2026"/>
    <x v="5"/>
    <s v="24-Feb-2026"/>
    <s v="Tuesday"/>
    <s v="Monthly - Tuesday"/>
    <s v="Monthly - Tuesday"/>
    <s v="Same Month Expiry"/>
    <n v="1850050"/>
    <n v="312094.03999999998"/>
    <n v="1653.06"/>
  </r>
  <r>
    <s v="10-Feb-2026"/>
    <x v="1"/>
    <s v="Week2-Feb-2026"/>
    <x v="5"/>
    <s v="02-Mar-2026"/>
    <s v="Monday"/>
    <s v="Weekly - Monday"/>
    <s v="Weekly - Monday"/>
    <s v="Month+1 Expiry"/>
    <n v="52934"/>
    <n v="8924.77"/>
    <n v="51.03"/>
  </r>
  <r>
    <s v="10-Feb-2026"/>
    <x v="1"/>
    <s v="Week2-Feb-2026"/>
    <x v="5"/>
    <s v="10-Mar-2026"/>
    <s v="Tuesday"/>
    <s v="Weekly - Tuesday"/>
    <s v="Weekly - Tuesday"/>
    <s v="Month+1 Expiry"/>
    <n v="5200"/>
    <n v="880.28"/>
    <n v="5.91"/>
  </r>
  <r>
    <s v="10-Feb-2026"/>
    <x v="1"/>
    <s v="Week2-Feb-2026"/>
    <x v="5"/>
    <s v="30-Mar-2026"/>
    <s v="Monday"/>
    <s v="Monthly - Monday"/>
    <s v="Monthly - Monday"/>
    <s v="Month+1 Expiry"/>
    <n v="280728"/>
    <n v="47173.06"/>
    <n v="384.07"/>
  </r>
  <r>
    <s v="10-Feb-2026"/>
    <x v="1"/>
    <s v="Week2-Feb-2026"/>
    <x v="5"/>
    <s v="28-Apr-2026"/>
    <s v="Tuesday"/>
    <s v="Monthly - Tuesday"/>
    <s v="Monthly - Tuesday"/>
    <s v="Month+2 Expiry"/>
    <n v="44077"/>
    <n v="7390.43"/>
    <n v="76.52"/>
  </r>
  <r>
    <s v="10-Feb-2026"/>
    <x v="1"/>
    <s v="Week2-Feb-2026"/>
    <x v="5"/>
    <s v="30-Jun-2026"/>
    <s v="Tuesday"/>
    <s v="Monthly - Tuesday"/>
    <s v="Monthly - Tuesday"/>
    <s v="Month+4 Expiry"/>
    <n v="42908"/>
    <n v="7399.22"/>
    <n v="108.89"/>
  </r>
  <r>
    <s v="10-Feb-2026"/>
    <x v="1"/>
    <s v="Week2-Feb-2026"/>
    <x v="5"/>
    <s v="29-Sep-2026"/>
    <s v="Tuesday"/>
    <s v="Monthly - Tuesday"/>
    <s v="Monthly - Tuesday"/>
    <s v="Month+7 Expiry"/>
    <n v="8007"/>
    <n v="1317.16"/>
    <n v="18.670000000000002"/>
  </r>
  <r>
    <s v="10-Feb-2026"/>
    <x v="1"/>
    <s v="Week2-Feb-2026"/>
    <x v="5"/>
    <s v="29-Dec-2026"/>
    <s v="Tuesday"/>
    <s v="Monthly - Tuesday"/>
    <s v="Monthly - Tuesday"/>
    <s v="Month+10 Expiry"/>
    <n v="14372"/>
    <n v="2349.33"/>
    <n v="41.72"/>
  </r>
  <r>
    <s v="10-Feb-2026"/>
    <x v="1"/>
    <s v="Week2-Feb-2026"/>
    <x v="5"/>
    <s v="29-Jun-2027"/>
    <s v="Tuesday"/>
    <s v="Monthly - Tuesday"/>
    <s v="Monthly - Tuesday"/>
    <s v="Month+16 Expiry"/>
    <n v="0"/>
    <n v="0"/>
    <n v="0"/>
  </r>
  <r>
    <s v="10-Feb-2026"/>
    <x v="1"/>
    <s v="Week2-Feb-2026"/>
    <x v="5"/>
    <s v="28-Dec-2027"/>
    <s v="Tuesday"/>
    <s v="Monthly - Tuesday"/>
    <s v="Monthly - Tuesday"/>
    <s v="Month+22 Expiry"/>
    <n v="112"/>
    <n v="19.93"/>
    <n v="0.83"/>
  </r>
  <r>
    <s v="10-Feb-2026"/>
    <x v="1"/>
    <s v="Week2-Feb-2026"/>
    <x v="5"/>
    <s v="27-Jun-2028"/>
    <s v="Tuesday"/>
    <s v="Monthly - Tuesday"/>
    <s v="Monthly - Tuesday"/>
    <s v="Month+28 Expiry"/>
    <n v="0"/>
    <n v="0"/>
    <n v="0"/>
  </r>
  <r>
    <s v="10-Feb-2026"/>
    <x v="1"/>
    <s v="Week2-Feb-2026"/>
    <x v="5"/>
    <s v="26-Dec-2028"/>
    <s v="Tuesday"/>
    <s v="Monthly - Tuesday"/>
    <s v="Monthly - Tuesday"/>
    <s v="Month+34 Expiry"/>
    <n v="9"/>
    <n v="1.59"/>
    <n v="0.06"/>
  </r>
  <r>
    <s v="10-Feb-2026"/>
    <x v="1"/>
    <s v="Week2-Feb-2026"/>
    <x v="5"/>
    <s v="26-Jun-2029"/>
    <s v="Tuesday"/>
    <s v="Monthly - Tuesday"/>
    <s v="Monthly - Tuesday"/>
    <s v="Month+40 Expiry"/>
    <n v="0"/>
    <n v="0"/>
    <n v="0"/>
  </r>
  <r>
    <s v="10-Feb-2026"/>
    <x v="1"/>
    <s v="Week2-Feb-2026"/>
    <x v="5"/>
    <s v="24-Dec-2029"/>
    <s v="Monday"/>
    <s v="Weekly - Monday"/>
    <s v="Weekly - Monday"/>
    <s v="Month+46 Expiry"/>
    <n v="0"/>
    <n v="0"/>
    <n v="0"/>
  </r>
  <r>
    <s v="10-Feb-2026"/>
    <x v="1"/>
    <s v="Week2-Feb-2026"/>
    <x v="5"/>
    <s v="25-Jun-2030"/>
    <s v="Tuesday"/>
    <s v="Monthly - Tuesday"/>
    <s v="Monthly - Tuesday"/>
    <s v="Month+52 Expiry"/>
    <n v="0"/>
    <n v="0"/>
    <n v="0"/>
  </r>
  <r>
    <s v="10-Feb-2026"/>
    <x v="1"/>
    <s v="Week2-Feb-2026"/>
    <x v="5"/>
    <s v="31-Dec-2030"/>
    <s v="Tuesday"/>
    <s v="Monthly - Tuesday"/>
    <s v="Monthly - Tuesday"/>
    <s v="Month+58 Expiry"/>
    <n v="0"/>
    <n v="0"/>
    <n v="0"/>
  </r>
  <r>
    <s v="11-Feb-2026"/>
    <x v="2"/>
    <s v="Week2-Feb-2026"/>
    <x v="5"/>
    <s v="17-Feb-2026"/>
    <s v="Tuesday"/>
    <s v="Weekly - Tuesday"/>
    <s v="Weekly - Tuesday"/>
    <s v="Same Month Expiry"/>
    <n v="48454588"/>
    <n v="8192838.5700000003"/>
    <n v="25151.02"/>
  </r>
  <r>
    <s v="11-Feb-2026"/>
    <x v="2"/>
    <s v="Week2-Feb-2026"/>
    <x v="5"/>
    <s v="24-Feb-2026"/>
    <s v="Tuesday"/>
    <s v="Monthly - Tuesday"/>
    <s v="Monthly - Tuesday"/>
    <s v="Same Month Expiry"/>
    <n v="2062573"/>
    <n v="348468.3"/>
    <n v="1538.02"/>
  </r>
  <r>
    <s v="11-Feb-2026"/>
    <x v="2"/>
    <s v="Week2-Feb-2026"/>
    <x v="5"/>
    <s v="02-Mar-2026"/>
    <s v="Monday"/>
    <s v="Weekly - Monday"/>
    <s v="Weekly - Monday"/>
    <s v="Month+1 Expiry"/>
    <n v="90525"/>
    <n v="15342.49"/>
    <n v="82.28"/>
  </r>
  <r>
    <s v="11-Feb-2026"/>
    <x v="2"/>
    <s v="Week2-Feb-2026"/>
    <x v="5"/>
    <s v="10-Mar-2026"/>
    <s v="Tuesday"/>
    <s v="Weekly - Tuesday"/>
    <s v="Weekly - Tuesday"/>
    <s v="Month+1 Expiry"/>
    <n v="8102"/>
    <n v="1376.58"/>
    <n v="8.27"/>
  </r>
  <r>
    <s v="11-Feb-2026"/>
    <x v="2"/>
    <s v="Week2-Feb-2026"/>
    <x v="5"/>
    <s v="17-Mar-2026"/>
    <s v="Tuesday"/>
    <s v="Weekly - Tuesday"/>
    <s v="Weekly - Tuesday"/>
    <s v="Month+1 Expiry"/>
    <n v="317"/>
    <n v="53.4"/>
    <n v="0.28999999999999998"/>
  </r>
  <r>
    <s v="11-Feb-2026"/>
    <x v="2"/>
    <s v="Week2-Feb-2026"/>
    <x v="5"/>
    <s v="30-Mar-2026"/>
    <s v="Monday"/>
    <s v="Monthly - Monday"/>
    <s v="Monthly - Monday"/>
    <s v="Month+1 Expiry"/>
    <n v="296792"/>
    <n v="49992.5"/>
    <n v="343.76"/>
  </r>
  <r>
    <s v="11-Feb-2026"/>
    <x v="2"/>
    <s v="Week2-Feb-2026"/>
    <x v="5"/>
    <s v="28-Apr-2026"/>
    <s v="Tuesday"/>
    <s v="Monthly - Tuesday"/>
    <s v="Monthly - Tuesday"/>
    <s v="Month+2 Expiry"/>
    <n v="41162"/>
    <n v="7038.92"/>
    <n v="71.44"/>
  </r>
  <r>
    <s v="11-Feb-2026"/>
    <x v="2"/>
    <s v="Week2-Feb-2026"/>
    <x v="5"/>
    <s v="30-Jun-2026"/>
    <s v="Tuesday"/>
    <s v="Monthly - Tuesday"/>
    <s v="Monthly - Tuesday"/>
    <s v="Month+4 Expiry"/>
    <n v="25857"/>
    <n v="4454.09"/>
    <n v="68.739999999999995"/>
  </r>
  <r>
    <s v="11-Feb-2026"/>
    <x v="2"/>
    <s v="Week2-Feb-2026"/>
    <x v="5"/>
    <s v="29-Sep-2026"/>
    <s v="Tuesday"/>
    <s v="Monthly - Tuesday"/>
    <s v="Monthly - Tuesday"/>
    <s v="Month+7 Expiry"/>
    <n v="2729"/>
    <n v="470.53"/>
    <n v="9.2899999999999991"/>
  </r>
  <r>
    <s v="11-Feb-2026"/>
    <x v="2"/>
    <s v="Week2-Feb-2026"/>
    <x v="5"/>
    <s v="29-Dec-2026"/>
    <s v="Tuesday"/>
    <s v="Monthly - Tuesday"/>
    <s v="Monthly - Tuesday"/>
    <s v="Month+10 Expiry"/>
    <n v="5851"/>
    <n v="1013.81"/>
    <n v="22.41"/>
  </r>
  <r>
    <s v="11-Feb-2026"/>
    <x v="2"/>
    <s v="Week2-Feb-2026"/>
    <x v="5"/>
    <s v="29-Jun-2027"/>
    <s v="Tuesday"/>
    <s v="Monthly - Tuesday"/>
    <s v="Monthly - Tuesday"/>
    <s v="Month+16 Expiry"/>
    <n v="0"/>
    <n v="0"/>
    <n v="0"/>
  </r>
  <r>
    <s v="11-Feb-2026"/>
    <x v="2"/>
    <s v="Week2-Feb-2026"/>
    <x v="5"/>
    <s v="28-Dec-2027"/>
    <s v="Tuesday"/>
    <s v="Monthly - Tuesday"/>
    <s v="Monthly - Tuesday"/>
    <s v="Month+22 Expiry"/>
    <n v="26"/>
    <n v="4.68"/>
    <n v="0.24"/>
  </r>
  <r>
    <s v="11-Feb-2026"/>
    <x v="2"/>
    <s v="Week2-Feb-2026"/>
    <x v="5"/>
    <s v="27-Jun-2028"/>
    <s v="Tuesday"/>
    <s v="Monthly - Tuesday"/>
    <s v="Monthly - Tuesday"/>
    <s v="Month+28 Expiry"/>
    <n v="0"/>
    <n v="0"/>
    <n v="0"/>
  </r>
  <r>
    <s v="11-Feb-2026"/>
    <x v="2"/>
    <s v="Week2-Feb-2026"/>
    <x v="5"/>
    <s v="26-Dec-2028"/>
    <s v="Tuesday"/>
    <s v="Monthly - Tuesday"/>
    <s v="Monthly - Tuesday"/>
    <s v="Month+34 Expiry"/>
    <n v="2"/>
    <n v="0.36"/>
    <n v="0.01"/>
  </r>
  <r>
    <s v="11-Feb-2026"/>
    <x v="2"/>
    <s v="Week2-Feb-2026"/>
    <x v="5"/>
    <s v="26-Jun-2029"/>
    <s v="Tuesday"/>
    <s v="Monthly - Tuesday"/>
    <s v="Monthly - Tuesday"/>
    <s v="Month+40 Expiry"/>
    <n v="0"/>
    <n v="0"/>
    <n v="0"/>
  </r>
  <r>
    <s v="11-Feb-2026"/>
    <x v="2"/>
    <s v="Week2-Feb-2026"/>
    <x v="5"/>
    <s v="24-Dec-2029"/>
    <s v="Monday"/>
    <s v="Weekly - Monday"/>
    <s v="Weekly - Monday"/>
    <s v="Month+46 Expiry"/>
    <n v="0"/>
    <n v="0"/>
    <n v="0"/>
  </r>
  <r>
    <s v="11-Feb-2026"/>
    <x v="2"/>
    <s v="Week2-Feb-2026"/>
    <x v="5"/>
    <s v="25-Jun-2030"/>
    <s v="Tuesday"/>
    <s v="Monthly - Tuesday"/>
    <s v="Monthly - Tuesday"/>
    <s v="Month+52 Expiry"/>
    <n v="0"/>
    <n v="0"/>
    <n v="0"/>
  </r>
  <r>
    <s v="11-Feb-2026"/>
    <x v="2"/>
    <s v="Week2-Feb-2026"/>
    <x v="5"/>
    <s v="31-Dec-2030"/>
    <s v="Tuesday"/>
    <s v="Monthly - Tuesday"/>
    <s v="Monthly - Tuesday"/>
    <s v="Month+58 Expiry"/>
    <n v="0"/>
    <n v="0"/>
    <n v="0"/>
  </r>
  <r>
    <s v="12-Feb-2026"/>
    <x v="3"/>
    <s v="Week2-Feb-2026"/>
    <x v="5"/>
    <s v="17-Feb-2026"/>
    <s v="Tuesday"/>
    <s v="Weekly - Tuesday"/>
    <s v="Weekly - Tuesday"/>
    <s v="Same Month Expiry"/>
    <n v="47923897"/>
    <n v="8080729.3399999999"/>
    <n v="21779.32"/>
  </r>
  <r>
    <s v="12-Feb-2026"/>
    <x v="3"/>
    <s v="Week2-Feb-2026"/>
    <x v="5"/>
    <s v="24-Feb-2026"/>
    <s v="Tuesday"/>
    <s v="Monthly - Tuesday"/>
    <s v="Monthly - Tuesday"/>
    <s v="Same Month Expiry"/>
    <n v="2420400"/>
    <n v="408310.93"/>
    <n v="1838"/>
  </r>
  <r>
    <s v="12-Feb-2026"/>
    <x v="3"/>
    <s v="Week2-Feb-2026"/>
    <x v="5"/>
    <s v="02-Mar-2026"/>
    <s v="Monday"/>
    <s v="Weekly - Monday"/>
    <s v="Weekly - Monday"/>
    <s v="Month+1 Expiry"/>
    <n v="134504"/>
    <n v="22761.03"/>
    <n v="123.56"/>
  </r>
  <r>
    <s v="12-Feb-2026"/>
    <x v="3"/>
    <s v="Week2-Feb-2026"/>
    <x v="5"/>
    <s v="10-Mar-2026"/>
    <s v="Tuesday"/>
    <s v="Weekly - Tuesday"/>
    <s v="Weekly - Tuesday"/>
    <s v="Month+1 Expiry"/>
    <n v="12458"/>
    <n v="2112.5500000000002"/>
    <n v="13.74"/>
  </r>
  <r>
    <s v="12-Feb-2026"/>
    <x v="3"/>
    <s v="Week2-Feb-2026"/>
    <x v="5"/>
    <s v="17-Mar-2026"/>
    <s v="Tuesday"/>
    <s v="Weekly - Tuesday"/>
    <s v="Weekly - Tuesday"/>
    <s v="Month+1 Expiry"/>
    <n v="638"/>
    <n v="107.33"/>
    <n v="0.75"/>
  </r>
  <r>
    <s v="12-Feb-2026"/>
    <x v="3"/>
    <s v="Week2-Feb-2026"/>
    <x v="5"/>
    <s v="30-Mar-2026"/>
    <s v="Monday"/>
    <s v="Monthly - Monday"/>
    <s v="Monthly - Monday"/>
    <s v="Month+1 Expiry"/>
    <n v="326803"/>
    <n v="55091.61"/>
    <n v="417.83"/>
  </r>
  <r>
    <s v="12-Feb-2026"/>
    <x v="3"/>
    <s v="Week2-Feb-2026"/>
    <x v="5"/>
    <s v="28-Apr-2026"/>
    <s v="Tuesday"/>
    <s v="Monthly - Tuesday"/>
    <s v="Monthly - Tuesday"/>
    <s v="Month+2 Expiry"/>
    <n v="40803"/>
    <n v="6862.94"/>
    <n v="66.37"/>
  </r>
  <r>
    <s v="12-Feb-2026"/>
    <x v="3"/>
    <s v="Week2-Feb-2026"/>
    <x v="5"/>
    <s v="30-Jun-2026"/>
    <s v="Tuesday"/>
    <s v="Monthly - Tuesday"/>
    <s v="Monthly - Tuesday"/>
    <s v="Month+4 Expiry"/>
    <n v="24649"/>
    <n v="4174.51"/>
    <n v="70.58"/>
  </r>
  <r>
    <s v="12-Feb-2026"/>
    <x v="3"/>
    <s v="Week2-Feb-2026"/>
    <x v="5"/>
    <s v="29-Sep-2026"/>
    <s v="Tuesday"/>
    <s v="Monthly - Tuesday"/>
    <s v="Monthly - Tuesday"/>
    <s v="Month+7 Expiry"/>
    <n v="3358"/>
    <n v="568.07000000000005"/>
    <n v="10.58"/>
  </r>
  <r>
    <s v="12-Feb-2026"/>
    <x v="3"/>
    <s v="Week2-Feb-2026"/>
    <x v="5"/>
    <s v="29-Dec-2026"/>
    <s v="Tuesday"/>
    <s v="Monthly - Tuesday"/>
    <s v="Monthly - Tuesday"/>
    <s v="Month+10 Expiry"/>
    <n v="7613"/>
    <n v="1307.73"/>
    <n v="28.54"/>
  </r>
  <r>
    <s v="12-Feb-2026"/>
    <x v="3"/>
    <s v="Week2-Feb-2026"/>
    <x v="5"/>
    <s v="29-Jun-2027"/>
    <s v="Tuesday"/>
    <s v="Monthly - Tuesday"/>
    <s v="Monthly - Tuesday"/>
    <s v="Month+16 Expiry"/>
    <n v="0"/>
    <n v="0"/>
    <n v="0"/>
  </r>
  <r>
    <s v="12-Feb-2026"/>
    <x v="3"/>
    <s v="Week2-Feb-2026"/>
    <x v="5"/>
    <s v="28-Dec-2027"/>
    <s v="Tuesday"/>
    <s v="Monthly - Tuesday"/>
    <s v="Monthly - Tuesday"/>
    <s v="Month+22 Expiry"/>
    <n v="29"/>
    <n v="5.2"/>
    <n v="0.34"/>
  </r>
  <r>
    <s v="12-Feb-2026"/>
    <x v="3"/>
    <s v="Week2-Feb-2026"/>
    <x v="5"/>
    <s v="27-Jun-2028"/>
    <s v="Tuesday"/>
    <s v="Monthly - Tuesday"/>
    <s v="Monthly - Tuesday"/>
    <s v="Month+28 Expiry"/>
    <n v="1"/>
    <n v="0.14000000000000001"/>
    <n v="0"/>
  </r>
  <r>
    <s v="12-Feb-2026"/>
    <x v="3"/>
    <s v="Week2-Feb-2026"/>
    <x v="5"/>
    <s v="26-Dec-2028"/>
    <s v="Tuesday"/>
    <s v="Monthly - Tuesday"/>
    <s v="Monthly - Tuesday"/>
    <s v="Month+34 Expiry"/>
    <n v="1"/>
    <n v="0.18"/>
    <n v="0.01"/>
  </r>
  <r>
    <s v="12-Feb-2026"/>
    <x v="3"/>
    <s v="Week2-Feb-2026"/>
    <x v="5"/>
    <s v="26-Jun-2029"/>
    <s v="Tuesday"/>
    <s v="Monthly - Tuesday"/>
    <s v="Monthly - Tuesday"/>
    <s v="Month+40 Expiry"/>
    <n v="0"/>
    <n v="0"/>
    <n v="0"/>
  </r>
  <r>
    <s v="12-Feb-2026"/>
    <x v="3"/>
    <s v="Week2-Feb-2026"/>
    <x v="5"/>
    <s v="24-Dec-2029"/>
    <s v="Monday"/>
    <s v="Weekly - Monday"/>
    <s v="Weekly - Monday"/>
    <s v="Month+46 Expiry"/>
    <n v="0"/>
    <n v="0"/>
    <n v="0"/>
  </r>
  <r>
    <s v="12-Feb-2026"/>
    <x v="3"/>
    <s v="Week2-Feb-2026"/>
    <x v="5"/>
    <s v="25-Jun-2030"/>
    <s v="Tuesday"/>
    <s v="Monthly - Tuesday"/>
    <s v="Monthly - Tuesday"/>
    <s v="Month+52 Expiry"/>
    <n v="0"/>
    <n v="0"/>
    <n v="0"/>
  </r>
  <r>
    <s v="12-Feb-2026"/>
    <x v="3"/>
    <s v="Week2-Feb-2026"/>
    <x v="5"/>
    <s v="31-Dec-2030"/>
    <s v="Tuesday"/>
    <s v="Monthly - Tuesday"/>
    <s v="Monthly - Tuesday"/>
    <s v="Month+58 Expiry"/>
    <n v="0"/>
    <n v="0"/>
    <n v="0"/>
  </r>
  <r>
    <s v="13-Feb-2026"/>
    <x v="4"/>
    <s v="Week2-Feb-2026"/>
    <x v="5"/>
    <s v="17-Feb-2026"/>
    <s v="Tuesday"/>
    <s v="Weekly - Tuesday"/>
    <s v="Weekly - Tuesday"/>
    <s v="Same Month Expiry"/>
    <n v="97511668"/>
    <n v="16293000.029999999"/>
    <n v="41183.410000000003"/>
  </r>
  <r>
    <s v="13-Feb-2026"/>
    <x v="4"/>
    <s v="Week2-Feb-2026"/>
    <x v="5"/>
    <s v="24-Feb-2026"/>
    <s v="Tuesday"/>
    <s v="Monthly - Tuesday"/>
    <s v="Monthly - Tuesday"/>
    <s v="Same Month Expiry"/>
    <n v="4609030"/>
    <n v="771963.21"/>
    <n v="3321.03"/>
  </r>
  <r>
    <s v="13-Feb-2026"/>
    <x v="4"/>
    <s v="Week2-Feb-2026"/>
    <x v="5"/>
    <s v="02-Mar-2026"/>
    <s v="Monday"/>
    <s v="Weekly - Monday"/>
    <s v="Weekly - Monday"/>
    <s v="Month+1 Expiry"/>
    <n v="298498"/>
    <n v="50054.58"/>
    <n v="267.52999999999997"/>
  </r>
  <r>
    <s v="13-Feb-2026"/>
    <x v="4"/>
    <s v="Week2-Feb-2026"/>
    <x v="5"/>
    <s v="10-Mar-2026"/>
    <s v="Tuesday"/>
    <s v="Weekly - Tuesday"/>
    <s v="Weekly - Tuesday"/>
    <s v="Month+1 Expiry"/>
    <n v="30338"/>
    <n v="5099.6499999999996"/>
    <n v="34.96"/>
  </r>
  <r>
    <s v="13-Feb-2026"/>
    <x v="4"/>
    <s v="Week2-Feb-2026"/>
    <x v="5"/>
    <s v="17-Mar-2026"/>
    <s v="Tuesday"/>
    <s v="Weekly - Tuesday"/>
    <s v="Weekly - Tuesday"/>
    <s v="Month+1 Expiry"/>
    <n v="2769"/>
    <n v="462.14"/>
    <n v="3.23"/>
  </r>
  <r>
    <s v="13-Feb-2026"/>
    <x v="4"/>
    <s v="Week2-Feb-2026"/>
    <x v="5"/>
    <s v="30-Mar-2026"/>
    <s v="Monday"/>
    <s v="Monthly - Monday"/>
    <s v="Monthly - Monday"/>
    <s v="Month+1 Expiry"/>
    <n v="694238"/>
    <n v="115496.95"/>
    <n v="835.29"/>
  </r>
  <r>
    <s v="13-Feb-2026"/>
    <x v="4"/>
    <s v="Week2-Feb-2026"/>
    <x v="5"/>
    <s v="28-Apr-2026"/>
    <s v="Tuesday"/>
    <s v="Monthly - Tuesday"/>
    <s v="Monthly - Tuesday"/>
    <s v="Month+2 Expiry"/>
    <n v="79830"/>
    <n v="13401.25"/>
    <n v="139.05000000000001"/>
  </r>
  <r>
    <s v="13-Feb-2026"/>
    <x v="4"/>
    <s v="Week2-Feb-2026"/>
    <x v="5"/>
    <s v="30-Jun-2026"/>
    <s v="Tuesday"/>
    <s v="Monthly - Tuesday"/>
    <s v="Monthly - Tuesday"/>
    <s v="Month+4 Expiry"/>
    <n v="40492"/>
    <n v="6895.28"/>
    <n v="92.58"/>
  </r>
  <r>
    <s v="13-Feb-2026"/>
    <x v="4"/>
    <s v="Week2-Feb-2026"/>
    <x v="5"/>
    <s v="29-Sep-2026"/>
    <s v="Tuesday"/>
    <s v="Monthly - Tuesday"/>
    <s v="Monthly - Tuesday"/>
    <s v="Month+7 Expiry"/>
    <n v="5250"/>
    <n v="879.68"/>
    <n v="17"/>
  </r>
  <r>
    <s v="13-Feb-2026"/>
    <x v="4"/>
    <s v="Week2-Feb-2026"/>
    <x v="5"/>
    <s v="29-Dec-2026"/>
    <s v="Tuesday"/>
    <s v="Monthly - Tuesday"/>
    <s v="Monthly - Tuesday"/>
    <s v="Month+10 Expiry"/>
    <n v="14535"/>
    <n v="2557.9299999999998"/>
    <n v="65.08"/>
  </r>
  <r>
    <s v="13-Feb-2026"/>
    <x v="4"/>
    <s v="Week2-Feb-2026"/>
    <x v="5"/>
    <s v="29-Jun-2027"/>
    <s v="Tuesday"/>
    <s v="Monthly - Tuesday"/>
    <s v="Monthly - Tuesday"/>
    <s v="Month+16 Expiry"/>
    <n v="0"/>
    <n v="0"/>
    <n v="0"/>
  </r>
  <r>
    <s v="13-Feb-2026"/>
    <x v="4"/>
    <s v="Week2-Feb-2026"/>
    <x v="5"/>
    <s v="28-Dec-2027"/>
    <s v="Tuesday"/>
    <s v="Monthly - Tuesday"/>
    <s v="Monthly - Tuesday"/>
    <s v="Month+22 Expiry"/>
    <n v="32"/>
    <n v="5.52"/>
    <n v="0.25"/>
  </r>
  <r>
    <s v="13-Feb-2026"/>
    <x v="4"/>
    <s v="Week2-Feb-2026"/>
    <x v="5"/>
    <s v="27-Jun-2028"/>
    <s v="Tuesday"/>
    <s v="Monthly - Tuesday"/>
    <s v="Monthly - Tuesday"/>
    <s v="Month+28 Expiry"/>
    <n v="0"/>
    <n v="0"/>
    <n v="0"/>
  </r>
  <r>
    <s v="13-Feb-2026"/>
    <x v="4"/>
    <s v="Week2-Feb-2026"/>
    <x v="5"/>
    <s v="26-Dec-2028"/>
    <s v="Tuesday"/>
    <s v="Monthly - Tuesday"/>
    <s v="Monthly - Tuesday"/>
    <s v="Month+34 Expiry"/>
    <n v="4"/>
    <n v="0.76"/>
    <n v="0.06"/>
  </r>
  <r>
    <s v="13-Feb-2026"/>
    <x v="4"/>
    <s v="Week2-Feb-2026"/>
    <x v="5"/>
    <s v="26-Jun-2029"/>
    <s v="Tuesday"/>
    <s v="Monthly - Tuesday"/>
    <s v="Monthly - Tuesday"/>
    <s v="Month+40 Expiry"/>
    <n v="0"/>
    <n v="0"/>
    <n v="0"/>
  </r>
  <r>
    <s v="13-Feb-2026"/>
    <x v="4"/>
    <s v="Week2-Feb-2026"/>
    <x v="5"/>
    <s v="24-Dec-2029"/>
    <s v="Monday"/>
    <s v="Weekly - Monday"/>
    <s v="Weekly - Monday"/>
    <s v="Month+46 Expiry"/>
    <n v="0"/>
    <n v="0"/>
    <n v="0"/>
  </r>
  <r>
    <s v="13-Feb-2026"/>
    <x v="4"/>
    <s v="Week2-Feb-2026"/>
    <x v="5"/>
    <s v="25-Jun-2030"/>
    <s v="Tuesday"/>
    <s v="Monthly - Tuesday"/>
    <s v="Monthly - Tuesday"/>
    <s v="Month+52 Expiry"/>
    <n v="0"/>
    <n v="0"/>
    <n v="0"/>
  </r>
  <r>
    <s v="13-Feb-2026"/>
    <x v="4"/>
    <s v="Week2-Feb-2026"/>
    <x v="5"/>
    <s v="31-Dec-2030"/>
    <s v="Tuesday"/>
    <s v="Monthly - Tuesday"/>
    <s v="Monthly - Tuesday"/>
    <s v="Month+58 Expiry"/>
    <n v="0"/>
    <n v="0"/>
    <n v="0"/>
  </r>
  <r>
    <s v="16-Feb-2026"/>
    <x v="0"/>
    <s v="Week3-Feb-2026"/>
    <x v="5"/>
    <s v="17-Feb-2026"/>
    <s v="Tuesday"/>
    <s v="Weekly - Tuesday"/>
    <s v="Weekly - Tuesday"/>
    <s v="Same Month Expiry"/>
    <n v="147274200"/>
    <n v="24513515.949999999"/>
    <n v="49023.95"/>
  </r>
  <r>
    <s v="16-Feb-2026"/>
    <x v="0"/>
    <s v="Week3-Feb-2026"/>
    <x v="5"/>
    <s v="24-Feb-2026"/>
    <s v="Tuesday"/>
    <s v="Monthly - Tuesday"/>
    <s v="Monthly - Tuesday"/>
    <s v="Same Month Expiry"/>
    <n v="6124050"/>
    <n v="1025716.27"/>
    <n v="4052.9"/>
  </r>
  <r>
    <s v="16-Feb-2026"/>
    <x v="0"/>
    <s v="Week3-Feb-2026"/>
    <x v="5"/>
    <s v="02-Mar-2026"/>
    <s v="Monday"/>
    <s v="Weekly - Monday"/>
    <s v="Weekly - Monday"/>
    <s v="Month+1 Expiry"/>
    <n v="341861"/>
    <n v="57239.39"/>
    <n v="299.77"/>
  </r>
  <r>
    <s v="16-Feb-2026"/>
    <x v="0"/>
    <s v="Week3-Feb-2026"/>
    <x v="5"/>
    <s v="10-Mar-2026"/>
    <s v="Tuesday"/>
    <s v="Weekly - Tuesday"/>
    <s v="Weekly - Tuesday"/>
    <s v="Month+1 Expiry"/>
    <n v="38403"/>
    <n v="6438.56"/>
    <n v="44.37"/>
  </r>
  <r>
    <s v="16-Feb-2026"/>
    <x v="0"/>
    <s v="Week3-Feb-2026"/>
    <x v="5"/>
    <s v="17-Mar-2026"/>
    <s v="Tuesday"/>
    <s v="Weekly - Tuesday"/>
    <s v="Weekly - Tuesday"/>
    <s v="Month+1 Expiry"/>
    <n v="4959"/>
    <n v="831.6"/>
    <n v="6.01"/>
  </r>
  <r>
    <s v="16-Feb-2026"/>
    <x v="0"/>
    <s v="Week3-Feb-2026"/>
    <x v="5"/>
    <s v="30-Mar-2026"/>
    <s v="Monday"/>
    <s v="Monthly - Monday"/>
    <s v="Monthly - Monday"/>
    <s v="Month+1 Expiry"/>
    <n v="476827"/>
    <n v="79774.12"/>
    <n v="650.79"/>
  </r>
  <r>
    <s v="16-Feb-2026"/>
    <x v="0"/>
    <s v="Week3-Feb-2026"/>
    <x v="5"/>
    <s v="28-Apr-2026"/>
    <s v="Tuesday"/>
    <s v="Monthly - Tuesday"/>
    <s v="Monthly - Tuesday"/>
    <s v="Month+2 Expiry"/>
    <n v="54819"/>
    <n v="9192.48"/>
    <n v="96.01"/>
  </r>
  <r>
    <s v="16-Feb-2026"/>
    <x v="0"/>
    <s v="Week3-Feb-2026"/>
    <x v="5"/>
    <s v="30-Jun-2026"/>
    <s v="Tuesday"/>
    <s v="Monthly - Tuesday"/>
    <s v="Monthly - Tuesday"/>
    <s v="Month+4 Expiry"/>
    <n v="39950"/>
    <n v="6845.39"/>
    <n v="88.96"/>
  </r>
  <r>
    <s v="16-Feb-2026"/>
    <x v="0"/>
    <s v="Week3-Feb-2026"/>
    <x v="5"/>
    <s v="29-Sep-2026"/>
    <s v="Tuesday"/>
    <s v="Monthly - Tuesday"/>
    <s v="Monthly - Tuesday"/>
    <s v="Month+7 Expiry"/>
    <n v="7308"/>
    <n v="1241.3900000000001"/>
    <n v="24.36"/>
  </r>
  <r>
    <s v="16-Feb-2026"/>
    <x v="0"/>
    <s v="Week3-Feb-2026"/>
    <x v="5"/>
    <s v="29-Dec-2026"/>
    <s v="Tuesday"/>
    <s v="Monthly - Tuesday"/>
    <s v="Monthly - Tuesday"/>
    <s v="Month+10 Expiry"/>
    <n v="12671"/>
    <n v="2177.69"/>
    <n v="50.39"/>
  </r>
  <r>
    <s v="16-Feb-2026"/>
    <x v="0"/>
    <s v="Week3-Feb-2026"/>
    <x v="5"/>
    <s v="29-Jun-2027"/>
    <s v="Tuesday"/>
    <s v="Monthly - Tuesday"/>
    <s v="Monthly - Tuesday"/>
    <s v="Month+16 Expiry"/>
    <n v="0"/>
    <n v="0"/>
    <n v="0"/>
  </r>
  <r>
    <s v="16-Feb-2026"/>
    <x v="0"/>
    <s v="Week3-Feb-2026"/>
    <x v="5"/>
    <s v="28-Dec-2027"/>
    <s v="Tuesday"/>
    <s v="Monthly - Tuesday"/>
    <s v="Monthly - Tuesday"/>
    <s v="Month+22 Expiry"/>
    <n v="20"/>
    <n v="3.45"/>
    <n v="0.15"/>
  </r>
  <r>
    <s v="16-Feb-2026"/>
    <x v="0"/>
    <s v="Week3-Feb-2026"/>
    <x v="5"/>
    <s v="27-Jun-2028"/>
    <s v="Tuesday"/>
    <s v="Monthly - Tuesday"/>
    <s v="Monthly - Tuesday"/>
    <s v="Month+28 Expiry"/>
    <n v="0"/>
    <n v="0"/>
    <n v="0"/>
  </r>
  <r>
    <s v="16-Feb-2026"/>
    <x v="0"/>
    <s v="Week3-Feb-2026"/>
    <x v="5"/>
    <s v="26-Dec-2028"/>
    <s v="Tuesday"/>
    <s v="Monthly - Tuesday"/>
    <s v="Monthly - Tuesday"/>
    <s v="Month+34 Expiry"/>
    <n v="1"/>
    <n v="0.2"/>
    <n v="0.02"/>
  </r>
  <r>
    <s v="16-Feb-2026"/>
    <x v="0"/>
    <s v="Week3-Feb-2026"/>
    <x v="5"/>
    <s v="26-Jun-2029"/>
    <s v="Tuesday"/>
    <s v="Monthly - Tuesday"/>
    <s v="Monthly - Tuesday"/>
    <s v="Month+40 Expiry"/>
    <n v="0"/>
    <n v="0"/>
    <n v="0"/>
  </r>
  <r>
    <s v="16-Feb-2026"/>
    <x v="0"/>
    <s v="Week3-Feb-2026"/>
    <x v="5"/>
    <s v="24-Dec-2029"/>
    <s v="Monday"/>
    <s v="Weekly - Monday"/>
    <s v="Weekly - Monday"/>
    <s v="Month+46 Expiry"/>
    <n v="0"/>
    <n v="0"/>
    <n v="0"/>
  </r>
  <r>
    <s v="16-Feb-2026"/>
    <x v="0"/>
    <s v="Week3-Feb-2026"/>
    <x v="5"/>
    <s v="25-Jun-2030"/>
    <s v="Tuesday"/>
    <s v="Monthly - Tuesday"/>
    <s v="Monthly - Tuesday"/>
    <s v="Month+52 Expiry"/>
    <n v="0"/>
    <n v="0"/>
    <n v="0"/>
  </r>
  <r>
    <s v="16-Feb-2026"/>
    <x v="0"/>
    <s v="Week3-Feb-2026"/>
    <x v="5"/>
    <s v="31-Dec-2030"/>
    <s v="Tuesday"/>
    <s v="Monthly - Tuesday"/>
    <s v="Monthly - Tuesday"/>
    <s v="Month+58 Expiry"/>
    <n v="0"/>
    <n v="0"/>
    <n v="0"/>
  </r>
  <r>
    <s v="17-Feb-2026"/>
    <x v="1"/>
    <s v="Week3-Feb-2026"/>
    <x v="5"/>
    <s v="17-Feb-2026"/>
    <s v="Tuesday"/>
    <s v="Weekly - Tuesday"/>
    <s v="Weekly - Tuesday"/>
    <s v="Same Month Expiry"/>
    <n v="404008818"/>
    <n v="67502176.069999993"/>
    <n v="61818.66"/>
  </r>
  <r>
    <s v="17-Feb-2026"/>
    <x v="1"/>
    <s v="Week3-Feb-2026"/>
    <x v="5"/>
    <s v="24-Feb-2026"/>
    <s v="Tuesday"/>
    <s v="Monthly - Tuesday"/>
    <s v="Monthly - Tuesday"/>
    <s v="Same Month Expiry"/>
    <n v="12141492"/>
    <n v="2032339.21"/>
    <n v="7129.09"/>
  </r>
  <r>
    <s v="17-Feb-2026"/>
    <x v="1"/>
    <s v="Week3-Feb-2026"/>
    <x v="5"/>
    <s v="02-Mar-2026"/>
    <s v="Monday"/>
    <s v="Weekly - Monday"/>
    <s v="Weekly - Monday"/>
    <s v="Month+1 Expiry"/>
    <n v="540284"/>
    <n v="90826.51"/>
    <n v="454.71"/>
  </r>
  <r>
    <s v="17-Feb-2026"/>
    <x v="1"/>
    <s v="Week3-Feb-2026"/>
    <x v="5"/>
    <s v="10-Mar-2026"/>
    <s v="Tuesday"/>
    <s v="Weekly - Tuesday"/>
    <s v="Weekly - Tuesday"/>
    <s v="Month+1 Expiry"/>
    <n v="53518"/>
    <n v="9017.8700000000008"/>
    <n v="57.03"/>
  </r>
  <r>
    <s v="17-Feb-2026"/>
    <x v="1"/>
    <s v="Week3-Feb-2026"/>
    <x v="5"/>
    <s v="17-Mar-2026"/>
    <s v="Tuesday"/>
    <s v="Weekly - Tuesday"/>
    <s v="Weekly - Tuesday"/>
    <s v="Month+1 Expiry"/>
    <n v="7413"/>
    <n v="1245.53"/>
    <n v="8.8800000000000008"/>
  </r>
  <r>
    <s v="17-Feb-2026"/>
    <x v="1"/>
    <s v="Week3-Feb-2026"/>
    <x v="5"/>
    <s v="30-Mar-2026"/>
    <s v="Monday"/>
    <s v="Monthly - Monday"/>
    <s v="Monthly - Monday"/>
    <s v="Month+1 Expiry"/>
    <n v="501615"/>
    <n v="83814.42"/>
    <n v="665.39"/>
  </r>
  <r>
    <s v="17-Feb-2026"/>
    <x v="1"/>
    <s v="Week3-Feb-2026"/>
    <x v="5"/>
    <s v="28-Apr-2026"/>
    <s v="Tuesday"/>
    <s v="Monthly - Tuesday"/>
    <s v="Monthly - Tuesday"/>
    <s v="Month+2 Expiry"/>
    <n v="40553"/>
    <n v="6835.97"/>
    <n v="78.069999999999993"/>
  </r>
  <r>
    <s v="17-Feb-2026"/>
    <x v="1"/>
    <s v="Week3-Feb-2026"/>
    <x v="5"/>
    <s v="30-Jun-2026"/>
    <s v="Tuesday"/>
    <s v="Monthly - Tuesday"/>
    <s v="Monthly - Tuesday"/>
    <s v="Month+4 Expiry"/>
    <n v="28040"/>
    <n v="4778.2299999999996"/>
    <n v="64.900000000000006"/>
  </r>
  <r>
    <s v="17-Feb-2026"/>
    <x v="1"/>
    <s v="Week3-Feb-2026"/>
    <x v="5"/>
    <s v="29-Sep-2026"/>
    <s v="Tuesday"/>
    <s v="Monthly - Tuesday"/>
    <s v="Monthly - Tuesday"/>
    <s v="Month+7 Expiry"/>
    <n v="2933"/>
    <n v="501.48"/>
    <n v="9.74"/>
  </r>
  <r>
    <s v="17-Feb-2026"/>
    <x v="1"/>
    <s v="Week3-Feb-2026"/>
    <x v="5"/>
    <s v="29-Dec-2026"/>
    <s v="Tuesday"/>
    <s v="Monthly - Tuesday"/>
    <s v="Monthly - Tuesday"/>
    <s v="Month+10 Expiry"/>
    <n v="8248"/>
    <n v="1429.49"/>
    <n v="35.54"/>
  </r>
  <r>
    <s v="17-Feb-2026"/>
    <x v="1"/>
    <s v="Week3-Feb-2026"/>
    <x v="5"/>
    <s v="29-Jun-2027"/>
    <s v="Tuesday"/>
    <s v="Monthly - Tuesday"/>
    <s v="Monthly - Tuesday"/>
    <s v="Month+16 Expiry"/>
    <n v="0"/>
    <n v="0"/>
    <n v="0"/>
  </r>
  <r>
    <s v="17-Feb-2026"/>
    <x v="1"/>
    <s v="Week3-Feb-2026"/>
    <x v="5"/>
    <s v="28-Dec-2027"/>
    <s v="Tuesday"/>
    <s v="Monthly - Tuesday"/>
    <s v="Monthly - Tuesday"/>
    <s v="Month+22 Expiry"/>
    <n v="21"/>
    <n v="3.87"/>
    <n v="0.24"/>
  </r>
  <r>
    <s v="17-Feb-2026"/>
    <x v="1"/>
    <s v="Week3-Feb-2026"/>
    <x v="5"/>
    <s v="27-Jun-2028"/>
    <s v="Tuesday"/>
    <s v="Monthly - Tuesday"/>
    <s v="Monthly - Tuesday"/>
    <s v="Month+28 Expiry"/>
    <n v="0"/>
    <n v="0"/>
    <n v="0"/>
  </r>
  <r>
    <s v="17-Feb-2026"/>
    <x v="1"/>
    <s v="Week3-Feb-2026"/>
    <x v="5"/>
    <s v="26-Dec-2028"/>
    <s v="Tuesday"/>
    <s v="Monthly - Tuesday"/>
    <s v="Monthly - Tuesday"/>
    <s v="Month+34 Expiry"/>
    <n v="0"/>
    <n v="0"/>
    <n v="0"/>
  </r>
  <r>
    <s v="17-Feb-2026"/>
    <x v="1"/>
    <s v="Week3-Feb-2026"/>
    <x v="5"/>
    <s v="26-Jun-2029"/>
    <s v="Tuesday"/>
    <s v="Monthly - Tuesday"/>
    <s v="Monthly - Tuesday"/>
    <s v="Month+40 Expiry"/>
    <n v="0"/>
    <n v="0"/>
    <n v="0"/>
  </r>
  <r>
    <s v="17-Feb-2026"/>
    <x v="1"/>
    <s v="Week3-Feb-2026"/>
    <x v="5"/>
    <s v="24-Dec-2029"/>
    <s v="Monday"/>
    <s v="Weekly - Monday"/>
    <s v="Weekly - Monday"/>
    <s v="Month+46 Expiry"/>
    <n v="1"/>
    <n v="0.17"/>
    <n v="0"/>
  </r>
  <r>
    <s v="17-Feb-2026"/>
    <x v="1"/>
    <s v="Week3-Feb-2026"/>
    <x v="5"/>
    <s v="25-Jun-2030"/>
    <s v="Tuesday"/>
    <s v="Monthly - Tuesday"/>
    <s v="Monthly - Tuesday"/>
    <s v="Month+52 Expiry"/>
    <n v="0"/>
    <n v="0"/>
    <n v="0"/>
  </r>
  <r>
    <s v="17-Feb-2026"/>
    <x v="1"/>
    <s v="Week3-Feb-2026"/>
    <x v="5"/>
    <s v="31-Dec-2030"/>
    <s v="Tuesday"/>
    <s v="Monthly - Tuesday"/>
    <s v="Monthly - Tuesday"/>
    <s v="Month+58 Expiry"/>
    <n v="0"/>
    <n v="0"/>
    <n v="0"/>
  </r>
  <r>
    <s v="18-Feb-2026"/>
    <x v="2"/>
    <s v="Week3-Feb-2026"/>
    <x v="5"/>
    <s v="24-Feb-2026"/>
    <s v="Tuesday"/>
    <s v="Monthly - Tuesday"/>
    <s v="MDAW - Tuesday"/>
    <s v="Same Month Expiry"/>
    <n v="56224135"/>
    <n v="9431666.2699999996"/>
    <n v="31037.26"/>
  </r>
  <r>
    <s v="18-Feb-2026"/>
    <x v="2"/>
    <s v="Week3-Feb-2026"/>
    <x v="5"/>
    <s v="02-Mar-2026"/>
    <s v="Monday"/>
    <s v="Weekly - Monday"/>
    <s v="Weekly - Monday"/>
    <s v="Month+1 Expiry"/>
    <n v="1359952"/>
    <n v="228499.84"/>
    <n v="1099.27"/>
  </r>
  <r>
    <s v="18-Feb-2026"/>
    <x v="2"/>
    <s v="Week3-Feb-2026"/>
    <x v="5"/>
    <s v="10-Mar-2026"/>
    <s v="Tuesday"/>
    <s v="Weekly - Tuesday"/>
    <s v="Weekly - Tuesday"/>
    <s v="Month+1 Expiry"/>
    <n v="88430"/>
    <n v="14877.56"/>
    <n v="88.67"/>
  </r>
  <r>
    <s v="18-Feb-2026"/>
    <x v="2"/>
    <s v="Week3-Feb-2026"/>
    <x v="5"/>
    <s v="17-Mar-2026"/>
    <s v="Tuesday"/>
    <s v="Weekly - Tuesday"/>
    <s v="Weekly - Tuesday"/>
    <s v="Month+1 Expiry"/>
    <n v="11834"/>
    <n v="1987.16"/>
    <n v="12.63"/>
  </r>
  <r>
    <s v="18-Feb-2026"/>
    <x v="2"/>
    <s v="Week3-Feb-2026"/>
    <x v="5"/>
    <s v="24-Mar-2026"/>
    <s v="Tuesday"/>
    <s v="Weekly - Tuesday"/>
    <s v="Weekly - Tuesday"/>
    <s v="Month+1 Expiry"/>
    <n v="2885"/>
    <n v="485.45"/>
    <n v="4.63"/>
  </r>
  <r>
    <s v="18-Feb-2026"/>
    <x v="2"/>
    <s v="Week3-Feb-2026"/>
    <x v="5"/>
    <s v="30-Mar-2026"/>
    <s v="Monday"/>
    <s v="Monthly - Monday"/>
    <s v="Monthly - Monday"/>
    <s v="Month+1 Expiry"/>
    <n v="490459"/>
    <n v="82443.25"/>
    <n v="695.15"/>
  </r>
  <r>
    <s v="18-Feb-2026"/>
    <x v="2"/>
    <s v="Week3-Feb-2026"/>
    <x v="5"/>
    <s v="28-Apr-2026"/>
    <s v="Tuesday"/>
    <s v="Monthly - Tuesday"/>
    <s v="Monthly - Tuesday"/>
    <s v="Month+2 Expiry"/>
    <n v="44976"/>
    <n v="7596.87"/>
    <n v="78.900000000000006"/>
  </r>
  <r>
    <s v="18-Feb-2026"/>
    <x v="2"/>
    <s v="Week3-Feb-2026"/>
    <x v="5"/>
    <s v="30-Jun-2026"/>
    <s v="Tuesday"/>
    <s v="Monthly - Tuesday"/>
    <s v="Monthly - Tuesday"/>
    <s v="Month+4 Expiry"/>
    <n v="41257"/>
    <n v="7011.94"/>
    <n v="118.36"/>
  </r>
  <r>
    <s v="18-Feb-2026"/>
    <x v="2"/>
    <s v="Week3-Feb-2026"/>
    <x v="5"/>
    <s v="29-Sep-2026"/>
    <s v="Tuesday"/>
    <s v="Monthly - Tuesday"/>
    <s v="Monthly - Tuesday"/>
    <s v="Month+7 Expiry"/>
    <n v="6494"/>
    <n v="1144.6300000000001"/>
    <n v="27.48"/>
  </r>
  <r>
    <s v="18-Feb-2026"/>
    <x v="2"/>
    <s v="Week3-Feb-2026"/>
    <x v="5"/>
    <s v="29-Dec-2026"/>
    <s v="Tuesday"/>
    <s v="Monthly - Tuesday"/>
    <s v="Monthly - Tuesday"/>
    <s v="Month+10 Expiry"/>
    <n v="14560"/>
    <n v="2643.85"/>
    <n v="52.52"/>
  </r>
  <r>
    <s v="18-Feb-2026"/>
    <x v="2"/>
    <s v="Week3-Feb-2026"/>
    <x v="5"/>
    <s v="29-Jun-2027"/>
    <s v="Tuesday"/>
    <s v="Monthly - Tuesday"/>
    <s v="Monthly - Tuesday"/>
    <s v="Month+16 Expiry"/>
    <n v="0"/>
    <n v="0"/>
    <n v="0"/>
  </r>
  <r>
    <s v="18-Feb-2026"/>
    <x v="2"/>
    <s v="Week3-Feb-2026"/>
    <x v="5"/>
    <s v="28-Dec-2027"/>
    <s v="Tuesday"/>
    <s v="Monthly - Tuesday"/>
    <s v="Monthly - Tuesday"/>
    <s v="Month+22 Expiry"/>
    <n v="35"/>
    <n v="5.96"/>
    <n v="0.28999999999999998"/>
  </r>
  <r>
    <s v="18-Feb-2026"/>
    <x v="2"/>
    <s v="Week3-Feb-2026"/>
    <x v="5"/>
    <s v="27-Jun-2028"/>
    <s v="Tuesday"/>
    <s v="Monthly - Tuesday"/>
    <s v="Monthly - Tuesday"/>
    <s v="Month+28 Expiry"/>
    <n v="0"/>
    <n v="0"/>
    <n v="0"/>
  </r>
  <r>
    <s v="18-Feb-2026"/>
    <x v="2"/>
    <s v="Week3-Feb-2026"/>
    <x v="5"/>
    <s v="26-Dec-2028"/>
    <s v="Tuesday"/>
    <s v="Monthly - Tuesday"/>
    <s v="Monthly - Tuesday"/>
    <s v="Month+34 Expiry"/>
    <n v="0"/>
    <n v="0"/>
    <n v="0"/>
  </r>
  <r>
    <s v="18-Feb-2026"/>
    <x v="2"/>
    <s v="Week3-Feb-2026"/>
    <x v="5"/>
    <s v="26-Jun-2029"/>
    <s v="Tuesday"/>
    <s v="Monthly - Tuesday"/>
    <s v="Monthly - Tuesday"/>
    <s v="Month+40 Expiry"/>
    <n v="0"/>
    <n v="0"/>
    <n v="0"/>
  </r>
  <r>
    <s v="18-Feb-2026"/>
    <x v="2"/>
    <s v="Week3-Feb-2026"/>
    <x v="5"/>
    <s v="24-Dec-2029"/>
    <s v="Monday"/>
    <s v="Weekly - Monday"/>
    <s v="Weekly - Monday"/>
    <s v="Month+46 Expiry"/>
    <n v="0"/>
    <n v="0"/>
    <n v="0"/>
  </r>
  <r>
    <s v="18-Feb-2026"/>
    <x v="2"/>
    <s v="Week3-Feb-2026"/>
    <x v="5"/>
    <s v="25-Jun-2030"/>
    <s v="Tuesday"/>
    <s v="Monthly - Tuesday"/>
    <s v="Monthly - Tuesday"/>
    <s v="Month+52 Expiry"/>
    <n v="0"/>
    <n v="0"/>
    <n v="0"/>
  </r>
  <r>
    <s v="18-Feb-2026"/>
    <x v="2"/>
    <s v="Week3-Feb-2026"/>
    <x v="5"/>
    <s v="31-Dec-2030"/>
    <s v="Tuesday"/>
    <s v="Monthly - Tuesday"/>
    <s v="Monthly - Tuesday"/>
    <s v="Month+58 Expiry"/>
    <n v="0"/>
    <n v="0"/>
    <n v="0"/>
  </r>
  <r>
    <s v="19-Feb-2026"/>
    <x v="3"/>
    <s v="Week3-Feb-2026"/>
    <x v="5"/>
    <s v="24-Feb-2026"/>
    <s v="Tuesday"/>
    <s v="Monthly - Tuesday"/>
    <s v="MDAW - Tuesday"/>
    <s v="Same Month Expiry"/>
    <n v="67332820"/>
    <n v="11275969.24"/>
    <n v="34178.06"/>
  </r>
  <r>
    <s v="19-Feb-2026"/>
    <x v="3"/>
    <s v="Week3-Feb-2026"/>
    <x v="5"/>
    <s v="02-Mar-2026"/>
    <s v="Monday"/>
    <s v="Weekly - Monday"/>
    <s v="Weekly - Monday"/>
    <s v="Month+1 Expiry"/>
    <n v="2484734"/>
    <n v="416478.91"/>
    <n v="1941.54"/>
  </r>
  <r>
    <s v="19-Feb-2026"/>
    <x v="3"/>
    <s v="Week3-Feb-2026"/>
    <x v="5"/>
    <s v="10-Mar-2026"/>
    <s v="Tuesday"/>
    <s v="Weekly - Tuesday"/>
    <s v="Weekly - Tuesday"/>
    <s v="Month+1 Expiry"/>
    <n v="200350"/>
    <n v="33621.5"/>
    <n v="213.19"/>
  </r>
  <r>
    <s v="19-Feb-2026"/>
    <x v="3"/>
    <s v="Week3-Feb-2026"/>
    <x v="5"/>
    <s v="17-Mar-2026"/>
    <s v="Tuesday"/>
    <s v="Weekly - Tuesday"/>
    <s v="Weekly - Tuesday"/>
    <s v="Month+1 Expiry"/>
    <n v="24727"/>
    <n v="4168.47"/>
    <n v="28.64"/>
  </r>
  <r>
    <s v="19-Feb-2026"/>
    <x v="3"/>
    <s v="Week3-Feb-2026"/>
    <x v="5"/>
    <s v="24-Mar-2026"/>
    <s v="Tuesday"/>
    <s v="Weekly - Tuesday"/>
    <s v="Weekly - Tuesday"/>
    <s v="Month+1 Expiry"/>
    <n v="11556"/>
    <n v="1935.19"/>
    <n v="16.53"/>
  </r>
  <r>
    <s v="19-Feb-2026"/>
    <x v="3"/>
    <s v="Week3-Feb-2026"/>
    <x v="5"/>
    <s v="30-Mar-2026"/>
    <s v="Monday"/>
    <s v="Monthly - Monday"/>
    <s v="Monthly - Monday"/>
    <s v="Month+1 Expiry"/>
    <n v="986317"/>
    <n v="165806.01999999999"/>
    <n v="1486.23"/>
  </r>
  <r>
    <s v="19-Feb-2026"/>
    <x v="3"/>
    <s v="Week3-Feb-2026"/>
    <x v="5"/>
    <s v="28-Apr-2026"/>
    <s v="Tuesday"/>
    <s v="Monthly - Tuesday"/>
    <s v="Monthly - Tuesday"/>
    <s v="Month+2 Expiry"/>
    <n v="84827"/>
    <n v="14291.37"/>
    <n v="150.71"/>
  </r>
  <r>
    <s v="19-Feb-2026"/>
    <x v="3"/>
    <s v="Week3-Feb-2026"/>
    <x v="5"/>
    <s v="30-Jun-2026"/>
    <s v="Tuesday"/>
    <s v="Monthly - Tuesday"/>
    <s v="Monthly - Tuesday"/>
    <s v="Month+4 Expiry"/>
    <n v="53434"/>
    <n v="9164.43"/>
    <n v="151.65"/>
  </r>
  <r>
    <s v="19-Feb-2026"/>
    <x v="3"/>
    <s v="Week3-Feb-2026"/>
    <x v="5"/>
    <s v="29-Sep-2026"/>
    <s v="Tuesday"/>
    <s v="Monthly - Tuesday"/>
    <s v="Monthly - Tuesday"/>
    <s v="Month+7 Expiry"/>
    <n v="7837"/>
    <n v="1315"/>
    <n v="23.77"/>
  </r>
  <r>
    <s v="19-Feb-2026"/>
    <x v="3"/>
    <s v="Week3-Feb-2026"/>
    <x v="5"/>
    <s v="29-Dec-2026"/>
    <s v="Tuesday"/>
    <s v="Monthly - Tuesday"/>
    <s v="Monthly - Tuesday"/>
    <s v="Month+10 Expiry"/>
    <n v="22930"/>
    <n v="3922.84"/>
    <n v="95.05"/>
  </r>
  <r>
    <s v="19-Feb-2026"/>
    <x v="3"/>
    <s v="Week3-Feb-2026"/>
    <x v="5"/>
    <s v="29-Jun-2027"/>
    <s v="Tuesday"/>
    <s v="Monthly - Tuesday"/>
    <s v="Monthly - Tuesday"/>
    <s v="Month+16 Expiry"/>
    <n v="0"/>
    <n v="0"/>
    <n v="0"/>
  </r>
  <r>
    <s v="19-Feb-2026"/>
    <x v="3"/>
    <s v="Week3-Feb-2026"/>
    <x v="5"/>
    <s v="28-Dec-2027"/>
    <s v="Tuesday"/>
    <s v="Monthly - Tuesday"/>
    <s v="Monthly - Tuesday"/>
    <s v="Month+22 Expiry"/>
    <n v="52"/>
    <n v="9.1"/>
    <n v="0.38"/>
  </r>
  <r>
    <s v="19-Feb-2026"/>
    <x v="3"/>
    <s v="Week3-Feb-2026"/>
    <x v="5"/>
    <s v="27-Jun-2028"/>
    <s v="Tuesday"/>
    <s v="Monthly - Tuesday"/>
    <s v="Monthly - Tuesday"/>
    <s v="Month+28 Expiry"/>
    <n v="0"/>
    <n v="0"/>
    <n v="0"/>
  </r>
  <r>
    <s v="19-Feb-2026"/>
    <x v="3"/>
    <s v="Week3-Feb-2026"/>
    <x v="5"/>
    <s v="26-Dec-2028"/>
    <s v="Tuesday"/>
    <s v="Monthly - Tuesday"/>
    <s v="Monthly - Tuesday"/>
    <s v="Month+34 Expiry"/>
    <n v="0"/>
    <n v="0"/>
    <n v="0"/>
  </r>
  <r>
    <s v="19-Feb-2026"/>
    <x v="3"/>
    <s v="Week3-Feb-2026"/>
    <x v="5"/>
    <s v="26-Jun-2029"/>
    <s v="Tuesday"/>
    <s v="Monthly - Tuesday"/>
    <s v="Monthly - Tuesday"/>
    <s v="Month+40 Expiry"/>
    <n v="0"/>
    <n v="0"/>
    <n v="0"/>
  </r>
  <r>
    <s v="19-Feb-2026"/>
    <x v="3"/>
    <s v="Week3-Feb-2026"/>
    <x v="5"/>
    <s v="24-Dec-2029"/>
    <s v="Monday"/>
    <s v="Weekly - Monday"/>
    <s v="Weekly - Monday"/>
    <s v="Month+46 Expiry"/>
    <n v="0"/>
    <n v="0"/>
    <n v="0"/>
  </r>
  <r>
    <s v="19-Feb-2026"/>
    <x v="3"/>
    <s v="Week3-Feb-2026"/>
    <x v="5"/>
    <s v="25-Jun-2030"/>
    <s v="Tuesday"/>
    <s v="Monthly - Tuesday"/>
    <s v="Monthly - Tuesday"/>
    <s v="Month+52 Expiry"/>
    <n v="0"/>
    <n v="0"/>
    <n v="0"/>
  </r>
  <r>
    <s v="19-Feb-2026"/>
    <x v="3"/>
    <s v="Week3-Feb-2026"/>
    <x v="5"/>
    <s v="31-Dec-2030"/>
    <s v="Tuesday"/>
    <s v="Monthly - Tuesday"/>
    <s v="Monthly - Tuesday"/>
    <s v="Month+58 Expiry"/>
    <n v="0"/>
    <n v="0"/>
    <n v="0"/>
  </r>
  <r>
    <s v="20-Feb-2026"/>
    <x v="4"/>
    <s v="Week3-Feb-2026"/>
    <x v="5"/>
    <s v="24-Feb-2026"/>
    <s v="Tuesday"/>
    <s v="Monthly - Tuesday"/>
    <s v="MDAW - Tuesday"/>
    <s v="Same Month Expiry"/>
    <n v="120809966"/>
    <n v="20137656.66"/>
    <n v="63648.25"/>
  </r>
  <r>
    <s v="20-Feb-2026"/>
    <x v="4"/>
    <s v="Week3-Feb-2026"/>
    <x v="5"/>
    <s v="02-Mar-2026"/>
    <s v="Monday"/>
    <s v="Weekly - Monday"/>
    <s v="Weekly - Monday"/>
    <s v="Month+1 Expiry"/>
    <n v="3557007"/>
    <n v="594610.24"/>
    <n v="2905.72"/>
  </r>
  <r>
    <s v="20-Feb-2026"/>
    <x v="4"/>
    <s v="Week3-Feb-2026"/>
    <x v="5"/>
    <s v="10-Mar-2026"/>
    <s v="Tuesday"/>
    <s v="Weekly - Tuesday"/>
    <s v="Weekly - Tuesday"/>
    <s v="Month+1 Expiry"/>
    <n v="304227"/>
    <n v="50979.839999999997"/>
    <n v="339.85"/>
  </r>
  <r>
    <s v="20-Feb-2026"/>
    <x v="4"/>
    <s v="Week3-Feb-2026"/>
    <x v="5"/>
    <s v="17-Mar-2026"/>
    <s v="Tuesday"/>
    <s v="Weekly - Tuesday"/>
    <s v="Weekly - Tuesday"/>
    <s v="Month+1 Expiry"/>
    <n v="25704"/>
    <n v="4306.37"/>
    <n v="33.15"/>
  </r>
  <r>
    <s v="20-Feb-2026"/>
    <x v="4"/>
    <s v="Week3-Feb-2026"/>
    <x v="5"/>
    <s v="24-Mar-2026"/>
    <s v="Tuesday"/>
    <s v="Weekly - Tuesday"/>
    <s v="Weekly - Tuesday"/>
    <s v="Month+1 Expiry"/>
    <n v="17965"/>
    <n v="3010.48"/>
    <n v="27.77"/>
  </r>
  <r>
    <s v="20-Feb-2026"/>
    <x v="4"/>
    <s v="Week3-Feb-2026"/>
    <x v="5"/>
    <s v="30-Mar-2026"/>
    <s v="Monday"/>
    <s v="Monthly - Monday"/>
    <s v="Monthly - Monday"/>
    <s v="Month+1 Expiry"/>
    <n v="995528"/>
    <n v="166610.63"/>
    <n v="1515.69"/>
  </r>
  <r>
    <s v="20-Feb-2026"/>
    <x v="4"/>
    <s v="Week3-Feb-2026"/>
    <x v="5"/>
    <s v="28-Apr-2026"/>
    <s v="Tuesday"/>
    <s v="Monthly - Tuesday"/>
    <s v="Monthly - Tuesday"/>
    <s v="Month+2 Expiry"/>
    <n v="84787"/>
    <n v="14323.2"/>
    <n v="149.71"/>
  </r>
  <r>
    <s v="20-Feb-2026"/>
    <x v="4"/>
    <s v="Week3-Feb-2026"/>
    <x v="5"/>
    <s v="30-Jun-2026"/>
    <s v="Tuesday"/>
    <s v="Monthly - Tuesday"/>
    <s v="Monthly - Tuesday"/>
    <s v="Month+4 Expiry"/>
    <n v="44930"/>
    <n v="7708.02"/>
    <n v="127.66"/>
  </r>
  <r>
    <s v="20-Feb-2026"/>
    <x v="4"/>
    <s v="Week3-Feb-2026"/>
    <x v="5"/>
    <s v="29-Sep-2026"/>
    <s v="Tuesday"/>
    <s v="Monthly - Tuesday"/>
    <s v="Monthly - Tuesday"/>
    <s v="Month+7 Expiry"/>
    <n v="4022"/>
    <n v="686.13"/>
    <n v="15.23"/>
  </r>
  <r>
    <s v="20-Feb-2026"/>
    <x v="4"/>
    <s v="Week3-Feb-2026"/>
    <x v="5"/>
    <s v="29-Dec-2026"/>
    <s v="Tuesday"/>
    <s v="Monthly - Tuesday"/>
    <s v="Monthly - Tuesday"/>
    <s v="Month+10 Expiry"/>
    <n v="14989"/>
    <n v="2604.2600000000002"/>
    <n v="62.58"/>
  </r>
  <r>
    <s v="20-Feb-2026"/>
    <x v="4"/>
    <s v="Week3-Feb-2026"/>
    <x v="5"/>
    <s v="29-Jun-2027"/>
    <s v="Tuesday"/>
    <s v="Monthly - Tuesday"/>
    <s v="Monthly - Tuesday"/>
    <s v="Month+16 Expiry"/>
    <n v="0"/>
    <n v="0"/>
    <n v="0"/>
  </r>
  <r>
    <s v="20-Feb-2026"/>
    <x v="4"/>
    <s v="Week3-Feb-2026"/>
    <x v="5"/>
    <s v="28-Dec-2027"/>
    <s v="Tuesday"/>
    <s v="Monthly - Tuesday"/>
    <s v="Monthly - Tuesday"/>
    <s v="Month+22 Expiry"/>
    <n v="27"/>
    <n v="4.88"/>
    <n v="0.27"/>
  </r>
  <r>
    <s v="20-Feb-2026"/>
    <x v="4"/>
    <s v="Week3-Feb-2026"/>
    <x v="5"/>
    <s v="27-Jun-2028"/>
    <s v="Tuesday"/>
    <s v="Monthly - Tuesday"/>
    <s v="Monthly - Tuesday"/>
    <s v="Month+28 Expiry"/>
    <n v="0"/>
    <n v="0"/>
    <n v="0"/>
  </r>
  <r>
    <s v="20-Feb-2026"/>
    <x v="4"/>
    <s v="Week3-Feb-2026"/>
    <x v="5"/>
    <s v="26-Dec-2028"/>
    <s v="Tuesday"/>
    <s v="Monthly - Tuesday"/>
    <s v="Monthly - Tuesday"/>
    <s v="Month+34 Expiry"/>
    <n v="0"/>
    <n v="0"/>
    <n v="0"/>
  </r>
  <r>
    <s v="20-Feb-2026"/>
    <x v="4"/>
    <s v="Week3-Feb-2026"/>
    <x v="5"/>
    <s v="26-Jun-2029"/>
    <s v="Tuesday"/>
    <s v="Monthly - Tuesday"/>
    <s v="Monthly - Tuesday"/>
    <s v="Month+40 Expiry"/>
    <n v="0"/>
    <n v="0"/>
    <n v="0"/>
  </r>
  <r>
    <s v="20-Feb-2026"/>
    <x v="4"/>
    <s v="Week3-Feb-2026"/>
    <x v="5"/>
    <s v="24-Dec-2029"/>
    <s v="Monday"/>
    <s v="Weekly - Monday"/>
    <s v="Weekly - Monday"/>
    <s v="Month+46 Expiry"/>
    <n v="0"/>
    <n v="0"/>
    <n v="0"/>
  </r>
  <r>
    <s v="20-Feb-2026"/>
    <x v="4"/>
    <s v="Week3-Feb-2026"/>
    <x v="5"/>
    <s v="25-Jun-2030"/>
    <s v="Tuesday"/>
    <s v="Monthly - Tuesday"/>
    <s v="Monthly - Tuesday"/>
    <s v="Month+52 Expiry"/>
    <n v="0"/>
    <n v="0"/>
    <n v="0"/>
  </r>
  <r>
    <s v="20-Feb-2026"/>
    <x v="4"/>
    <s v="Week3-Feb-2026"/>
    <x v="5"/>
    <s v="31-Dec-2030"/>
    <s v="Tuesday"/>
    <s v="Monthly - Tuesday"/>
    <s v="Monthly - Tuesday"/>
    <s v="Month+58 Expiry"/>
    <n v="0"/>
    <n v="0"/>
    <n v="0"/>
  </r>
  <r>
    <s v="23-Feb-2026"/>
    <x v="0"/>
    <s v="Week4-Feb-2026"/>
    <x v="5"/>
    <s v="24-Feb-2026"/>
    <s v="Tuesday"/>
    <s v="Monthly - Tuesday"/>
    <s v="MDAW - Tuesday"/>
    <s v="Same Month Expiry"/>
    <n v="152344874"/>
    <n v="25454911.66"/>
    <n v="58527.1"/>
  </r>
  <r>
    <s v="23-Feb-2026"/>
    <x v="0"/>
    <s v="Week4-Feb-2026"/>
    <x v="5"/>
    <s v="02-Mar-2026"/>
    <s v="Monday"/>
    <s v="Weekly - Monday"/>
    <s v="Weekly - Monday"/>
    <s v="Month+1 Expiry"/>
    <n v="5187850"/>
    <n v="869477.33"/>
    <n v="3796.82"/>
  </r>
  <r>
    <s v="23-Feb-2026"/>
    <x v="0"/>
    <s v="Week4-Feb-2026"/>
    <x v="5"/>
    <s v="10-Mar-2026"/>
    <s v="Tuesday"/>
    <s v="Weekly - Tuesday"/>
    <s v="Weekly - Tuesday"/>
    <s v="Month+1 Expiry"/>
    <n v="392617"/>
    <n v="65948.259999999995"/>
    <n v="418.71"/>
  </r>
  <r>
    <s v="23-Feb-2026"/>
    <x v="0"/>
    <s v="Week4-Feb-2026"/>
    <x v="5"/>
    <s v="17-Mar-2026"/>
    <s v="Tuesday"/>
    <s v="Weekly - Tuesday"/>
    <s v="Weekly - Tuesday"/>
    <s v="Month+1 Expiry"/>
    <n v="25345"/>
    <n v="4262.12"/>
    <n v="33.93"/>
  </r>
  <r>
    <s v="23-Feb-2026"/>
    <x v="0"/>
    <s v="Week4-Feb-2026"/>
    <x v="5"/>
    <s v="24-Mar-2026"/>
    <s v="Tuesday"/>
    <s v="Weekly - Tuesday"/>
    <s v="Weekly - Tuesday"/>
    <s v="Month+1 Expiry"/>
    <n v="17895"/>
    <n v="3018.66"/>
    <n v="29.75"/>
  </r>
  <r>
    <s v="23-Feb-2026"/>
    <x v="0"/>
    <s v="Week4-Feb-2026"/>
    <x v="5"/>
    <s v="30-Mar-2026"/>
    <s v="Monday"/>
    <s v="Monthly - Monday"/>
    <s v="Monthly - Monday"/>
    <s v="Month+1 Expiry"/>
    <n v="919569"/>
    <n v="155158.49"/>
    <n v="1663.69"/>
  </r>
  <r>
    <s v="23-Feb-2026"/>
    <x v="0"/>
    <s v="Week4-Feb-2026"/>
    <x v="5"/>
    <s v="28-Apr-2026"/>
    <s v="Tuesday"/>
    <s v="Monthly - Tuesday"/>
    <s v="Monthly - Tuesday"/>
    <s v="Month+2 Expiry"/>
    <n v="81081"/>
    <n v="13656.04"/>
    <n v="172.24"/>
  </r>
  <r>
    <s v="23-Feb-2026"/>
    <x v="0"/>
    <s v="Week4-Feb-2026"/>
    <x v="5"/>
    <s v="30-Jun-2026"/>
    <s v="Tuesday"/>
    <s v="Monthly - Tuesday"/>
    <s v="Monthly - Tuesday"/>
    <s v="Month+4 Expiry"/>
    <n v="60344"/>
    <n v="10298.200000000001"/>
    <n v="190.94"/>
  </r>
  <r>
    <s v="23-Feb-2026"/>
    <x v="0"/>
    <s v="Week4-Feb-2026"/>
    <x v="5"/>
    <s v="29-Sep-2026"/>
    <s v="Tuesday"/>
    <s v="Monthly - Tuesday"/>
    <s v="Monthly - Tuesday"/>
    <s v="Month+7 Expiry"/>
    <n v="3121"/>
    <n v="538.72"/>
    <n v="12.33"/>
  </r>
  <r>
    <s v="23-Feb-2026"/>
    <x v="0"/>
    <s v="Week4-Feb-2026"/>
    <x v="5"/>
    <s v="29-Dec-2026"/>
    <s v="Tuesday"/>
    <s v="Monthly - Tuesday"/>
    <s v="Monthly - Tuesday"/>
    <s v="Month+10 Expiry"/>
    <n v="10644"/>
    <n v="1843.39"/>
    <n v="42.52"/>
  </r>
  <r>
    <s v="23-Feb-2026"/>
    <x v="0"/>
    <s v="Week4-Feb-2026"/>
    <x v="5"/>
    <s v="29-Jun-2027"/>
    <s v="Tuesday"/>
    <s v="Monthly - Tuesday"/>
    <s v="Monthly - Tuesday"/>
    <s v="Month+16 Expiry"/>
    <n v="0"/>
    <n v="0"/>
    <n v="0"/>
  </r>
  <r>
    <s v="23-Feb-2026"/>
    <x v="0"/>
    <s v="Week4-Feb-2026"/>
    <x v="5"/>
    <s v="28-Dec-2027"/>
    <s v="Tuesday"/>
    <s v="Monthly - Tuesday"/>
    <s v="Monthly - Tuesday"/>
    <s v="Month+22 Expiry"/>
    <n v="38"/>
    <n v="6.86"/>
    <n v="0.35"/>
  </r>
  <r>
    <s v="23-Feb-2026"/>
    <x v="0"/>
    <s v="Week4-Feb-2026"/>
    <x v="5"/>
    <s v="27-Jun-2028"/>
    <s v="Tuesday"/>
    <s v="Monthly - Tuesday"/>
    <s v="Monthly - Tuesday"/>
    <s v="Month+28 Expiry"/>
    <n v="0"/>
    <n v="0"/>
    <n v="0"/>
  </r>
  <r>
    <s v="23-Feb-2026"/>
    <x v="0"/>
    <s v="Week4-Feb-2026"/>
    <x v="5"/>
    <s v="26-Dec-2028"/>
    <s v="Tuesday"/>
    <s v="Monthly - Tuesday"/>
    <s v="Monthly - Tuesday"/>
    <s v="Month+34 Expiry"/>
    <n v="1"/>
    <n v="0.18"/>
    <n v="0.01"/>
  </r>
  <r>
    <s v="23-Feb-2026"/>
    <x v="0"/>
    <s v="Week4-Feb-2026"/>
    <x v="5"/>
    <s v="26-Jun-2029"/>
    <s v="Tuesday"/>
    <s v="Monthly - Tuesday"/>
    <s v="Monthly - Tuesday"/>
    <s v="Month+40 Expiry"/>
    <n v="0"/>
    <n v="0"/>
    <n v="0"/>
  </r>
  <r>
    <s v="23-Feb-2026"/>
    <x v="0"/>
    <s v="Week4-Feb-2026"/>
    <x v="5"/>
    <s v="24-Dec-2029"/>
    <s v="Monday"/>
    <s v="Weekly - Monday"/>
    <s v="Weekly - Monday"/>
    <s v="Month+46 Expiry"/>
    <n v="0"/>
    <n v="0"/>
    <n v="0"/>
  </r>
  <r>
    <s v="23-Feb-2026"/>
    <x v="0"/>
    <s v="Week4-Feb-2026"/>
    <x v="5"/>
    <s v="25-Jun-2030"/>
    <s v="Tuesday"/>
    <s v="Monthly - Tuesday"/>
    <s v="Monthly - Tuesday"/>
    <s v="Month+52 Expiry"/>
    <n v="0"/>
    <n v="0"/>
    <n v="0"/>
  </r>
  <r>
    <s v="23-Feb-2026"/>
    <x v="0"/>
    <s v="Week4-Feb-2026"/>
    <x v="5"/>
    <s v="31-Dec-2030"/>
    <s v="Tuesday"/>
    <s v="Monthly - Tuesday"/>
    <s v="Monthly - Tuesday"/>
    <s v="Month+58 Expiry"/>
    <n v="0"/>
    <n v="0"/>
    <n v="0"/>
  </r>
  <r>
    <s v="24-Feb-2026"/>
    <x v="1"/>
    <s v="Week4-Feb-2026"/>
    <x v="5"/>
    <s v="24-Feb-2026"/>
    <s v="Tuesday"/>
    <s v="Monthly - Tuesday"/>
    <s v="MDAW - Tuesday"/>
    <s v="Same Month Expiry"/>
    <n v="356787027"/>
    <n v="59131433.609999999"/>
    <n v="64238.51"/>
  </r>
  <r>
    <s v="24-Feb-2026"/>
    <x v="1"/>
    <s v="Week4-Feb-2026"/>
    <x v="5"/>
    <s v="02-Mar-2026"/>
    <s v="Monday"/>
    <s v="Weekly - Monday"/>
    <s v="Weekly - Monday"/>
    <s v="Month+1 Expiry"/>
    <n v="11817686"/>
    <n v="1972859.04"/>
    <n v="7748.52"/>
  </r>
  <r>
    <s v="24-Feb-2026"/>
    <x v="1"/>
    <s v="Week4-Feb-2026"/>
    <x v="5"/>
    <s v="10-Mar-2026"/>
    <s v="Tuesday"/>
    <s v="Weekly - Tuesday"/>
    <s v="Weekly - Tuesday"/>
    <s v="Month+1 Expiry"/>
    <n v="756161"/>
    <n v="126294.92"/>
    <n v="743.01"/>
  </r>
  <r>
    <s v="24-Feb-2026"/>
    <x v="1"/>
    <s v="Week4-Feb-2026"/>
    <x v="5"/>
    <s v="17-Mar-2026"/>
    <s v="Tuesday"/>
    <s v="Weekly - Tuesday"/>
    <s v="Weekly - Tuesday"/>
    <s v="Month+1 Expiry"/>
    <n v="56010"/>
    <n v="9369.26"/>
    <n v="68.95"/>
  </r>
  <r>
    <s v="24-Feb-2026"/>
    <x v="1"/>
    <s v="Week4-Feb-2026"/>
    <x v="5"/>
    <s v="24-Mar-2026"/>
    <s v="Tuesday"/>
    <s v="Weekly - Tuesday"/>
    <s v="Weekly - Tuesday"/>
    <s v="Month+1 Expiry"/>
    <n v="30873"/>
    <n v="5172.79"/>
    <n v="45.07"/>
  </r>
  <r>
    <s v="24-Feb-2026"/>
    <x v="1"/>
    <s v="Week4-Feb-2026"/>
    <x v="5"/>
    <s v="30-Mar-2026"/>
    <s v="Monday"/>
    <s v="Monthly - Monday"/>
    <s v="Monthly - Monday"/>
    <s v="Month+1 Expiry"/>
    <n v="1372941"/>
    <n v="230116.35"/>
    <n v="2341.81"/>
  </r>
  <r>
    <s v="24-Feb-2026"/>
    <x v="1"/>
    <s v="Week4-Feb-2026"/>
    <x v="5"/>
    <s v="28-Apr-2026"/>
    <s v="Tuesday"/>
    <s v="Monthly - Tuesday"/>
    <s v="Monthly - Tuesday"/>
    <s v="Month+2 Expiry"/>
    <n v="122337"/>
    <n v="20606.919999999998"/>
    <n v="254.27"/>
  </r>
  <r>
    <s v="24-Feb-2026"/>
    <x v="1"/>
    <s v="Week4-Feb-2026"/>
    <x v="5"/>
    <s v="30-Jun-2026"/>
    <s v="Tuesday"/>
    <s v="Monthly - Tuesday"/>
    <s v="Monthly - Tuesday"/>
    <s v="Month+4 Expiry"/>
    <n v="61722"/>
    <n v="10446.66"/>
    <n v="172.81"/>
  </r>
  <r>
    <s v="24-Feb-2026"/>
    <x v="1"/>
    <s v="Week4-Feb-2026"/>
    <x v="5"/>
    <s v="29-Sep-2026"/>
    <s v="Tuesday"/>
    <s v="Monthly - Tuesday"/>
    <s v="Monthly - Tuesday"/>
    <s v="Month+7 Expiry"/>
    <n v="5209"/>
    <n v="884.39"/>
    <n v="19.760000000000002"/>
  </r>
  <r>
    <s v="24-Feb-2026"/>
    <x v="1"/>
    <s v="Week4-Feb-2026"/>
    <x v="5"/>
    <s v="29-Dec-2026"/>
    <s v="Tuesday"/>
    <s v="Monthly - Tuesday"/>
    <s v="Monthly - Tuesday"/>
    <s v="Month+10 Expiry"/>
    <n v="17310"/>
    <n v="2994.05"/>
    <n v="78.900000000000006"/>
  </r>
  <r>
    <s v="24-Feb-2026"/>
    <x v="1"/>
    <s v="Week4-Feb-2026"/>
    <x v="5"/>
    <s v="29-Jun-2027"/>
    <s v="Tuesday"/>
    <s v="Monthly - Tuesday"/>
    <s v="Monthly - Tuesday"/>
    <s v="Month+16 Expiry"/>
    <n v="2"/>
    <n v="0.36"/>
    <n v="0.05"/>
  </r>
  <r>
    <s v="24-Feb-2026"/>
    <x v="1"/>
    <s v="Week4-Feb-2026"/>
    <x v="5"/>
    <s v="28-Dec-2027"/>
    <s v="Tuesday"/>
    <s v="Monthly - Tuesday"/>
    <s v="Monthly - Tuesday"/>
    <s v="Month+22 Expiry"/>
    <n v="26"/>
    <n v="4.82"/>
    <n v="0.24"/>
  </r>
  <r>
    <s v="24-Feb-2026"/>
    <x v="1"/>
    <s v="Week4-Feb-2026"/>
    <x v="5"/>
    <s v="27-Jun-2028"/>
    <s v="Tuesday"/>
    <s v="Monthly - Tuesday"/>
    <s v="Monthly - Tuesday"/>
    <s v="Month+28 Expiry"/>
    <n v="0"/>
    <n v="0"/>
    <n v="0"/>
  </r>
  <r>
    <s v="24-Feb-2026"/>
    <x v="1"/>
    <s v="Week4-Feb-2026"/>
    <x v="5"/>
    <s v="26-Dec-2028"/>
    <s v="Tuesday"/>
    <s v="Monthly - Tuesday"/>
    <s v="Monthly - Tuesday"/>
    <s v="Month+34 Expiry"/>
    <n v="0"/>
    <n v="0"/>
    <n v="0"/>
  </r>
  <r>
    <s v="24-Feb-2026"/>
    <x v="1"/>
    <s v="Week4-Feb-2026"/>
    <x v="5"/>
    <s v="26-Jun-2029"/>
    <s v="Tuesday"/>
    <s v="Monthly - Tuesday"/>
    <s v="Monthly - Tuesday"/>
    <s v="Month+40 Expiry"/>
    <n v="0"/>
    <n v="0"/>
    <n v="0"/>
  </r>
  <r>
    <s v="24-Feb-2026"/>
    <x v="1"/>
    <s v="Week4-Feb-2026"/>
    <x v="5"/>
    <s v="24-Dec-2029"/>
    <s v="Monday"/>
    <s v="Weekly - Monday"/>
    <s v="Weekly - Monday"/>
    <s v="Month+46 Expiry"/>
    <n v="0"/>
    <n v="0"/>
    <n v="0"/>
  </r>
  <r>
    <s v="24-Feb-2026"/>
    <x v="1"/>
    <s v="Week4-Feb-2026"/>
    <x v="5"/>
    <s v="25-Jun-2030"/>
    <s v="Tuesday"/>
    <s v="Monthly - Tuesday"/>
    <s v="Monthly - Tuesday"/>
    <s v="Month+52 Expiry"/>
    <n v="0"/>
    <n v="0"/>
    <n v="0"/>
  </r>
  <r>
    <s v="24-Feb-2026"/>
    <x v="1"/>
    <s v="Week4-Feb-2026"/>
    <x v="5"/>
    <s v="31-Dec-2030"/>
    <s v="Tuesday"/>
    <s v="Monthly - Tuesday"/>
    <s v="Monthly - Tuesday"/>
    <s v="Month+58 Expiry"/>
    <n v="0"/>
    <n v="0"/>
    <n v="0"/>
  </r>
  <r>
    <s v="25-Feb-2026"/>
    <x v="2"/>
    <s v="Week4-Feb-2026"/>
    <x v="5"/>
    <s v="02-Mar-2026"/>
    <s v="Monday"/>
    <s v="Weekly - Monday"/>
    <s v="Weekly - Monday"/>
    <s v="Month+1 Expiry"/>
    <n v="64985867"/>
    <n v="10834012.34"/>
    <n v="39227.339999999997"/>
  </r>
  <r>
    <s v="25-Feb-2026"/>
    <x v="2"/>
    <s v="Week4-Feb-2026"/>
    <x v="5"/>
    <s v="10-Mar-2026"/>
    <s v="Tuesday"/>
    <s v="Weekly - Tuesday"/>
    <s v="Weekly - Tuesday"/>
    <s v="Month+1 Expiry"/>
    <n v="1423266"/>
    <n v="237767.26"/>
    <n v="1240.6600000000001"/>
  </r>
  <r>
    <s v="25-Feb-2026"/>
    <x v="2"/>
    <s v="Week4-Feb-2026"/>
    <x v="5"/>
    <s v="17-Mar-2026"/>
    <s v="Tuesday"/>
    <s v="Weekly - Tuesday"/>
    <s v="Weekly - Tuesday"/>
    <s v="Month+1 Expiry"/>
    <n v="99623"/>
    <n v="16687.32"/>
    <n v="110.41"/>
  </r>
  <r>
    <s v="25-Feb-2026"/>
    <x v="2"/>
    <s v="Week4-Feb-2026"/>
    <x v="5"/>
    <s v="24-Mar-2026"/>
    <s v="Tuesday"/>
    <s v="Weekly - Tuesday"/>
    <s v="Weekly - Tuesday"/>
    <s v="Month+1 Expiry"/>
    <n v="42829"/>
    <n v="7189.56"/>
    <n v="56.59"/>
  </r>
  <r>
    <s v="25-Feb-2026"/>
    <x v="2"/>
    <s v="Week4-Feb-2026"/>
    <x v="5"/>
    <s v="30-Mar-2026"/>
    <s v="Monday"/>
    <s v="Monthly - Monday"/>
    <s v="Monthly - Monday"/>
    <s v="Month+1 Expiry"/>
    <n v="1388202"/>
    <n v="232958.04"/>
    <n v="1988.43"/>
  </r>
  <r>
    <s v="25-Feb-2026"/>
    <x v="2"/>
    <s v="Week4-Feb-2026"/>
    <x v="5"/>
    <s v="28-Apr-2026"/>
    <s v="Tuesday"/>
    <s v="Monthly - Tuesday"/>
    <s v="Monthly - Tuesday"/>
    <s v="Month+2 Expiry"/>
    <n v="128489"/>
    <n v="21590.32"/>
    <n v="192.86"/>
  </r>
  <r>
    <s v="25-Feb-2026"/>
    <x v="2"/>
    <s v="Week4-Feb-2026"/>
    <x v="5"/>
    <s v="26-May-2026"/>
    <s v="Tuesday"/>
    <s v="Monthly - Tuesday"/>
    <s v="Monthly - Tuesday"/>
    <s v="Month+3 Expiry"/>
    <n v="9435"/>
    <n v="1586.75"/>
    <n v="21.41"/>
  </r>
  <r>
    <s v="25-Feb-2026"/>
    <x v="2"/>
    <s v="Week4-Feb-2026"/>
    <x v="5"/>
    <s v="30-Jun-2026"/>
    <s v="Tuesday"/>
    <s v="Monthly - Tuesday"/>
    <s v="Monthly - Tuesday"/>
    <s v="Month+4 Expiry"/>
    <n v="41720"/>
    <n v="7108.1"/>
    <n v="114.5"/>
  </r>
  <r>
    <s v="25-Feb-2026"/>
    <x v="2"/>
    <s v="Week4-Feb-2026"/>
    <x v="5"/>
    <s v="29-Sep-2026"/>
    <s v="Tuesday"/>
    <s v="Monthly - Tuesday"/>
    <s v="Monthly - Tuesday"/>
    <s v="Month+7 Expiry"/>
    <n v="4621"/>
    <n v="792.94"/>
    <n v="17.16"/>
  </r>
  <r>
    <s v="25-Feb-2026"/>
    <x v="2"/>
    <s v="Week4-Feb-2026"/>
    <x v="5"/>
    <s v="29-Dec-2026"/>
    <s v="Tuesday"/>
    <s v="Monthly - Tuesday"/>
    <s v="Monthly - Tuesday"/>
    <s v="Month+10 Expiry"/>
    <n v="11160"/>
    <n v="1936"/>
    <n v="46.58"/>
  </r>
  <r>
    <s v="25-Feb-2026"/>
    <x v="2"/>
    <s v="Week4-Feb-2026"/>
    <x v="5"/>
    <s v="29-Jun-2027"/>
    <s v="Tuesday"/>
    <s v="Monthly - Tuesday"/>
    <s v="Monthly - Tuesday"/>
    <s v="Month+16 Expiry"/>
    <n v="0"/>
    <n v="0"/>
    <n v="0"/>
  </r>
  <r>
    <s v="25-Feb-2026"/>
    <x v="2"/>
    <s v="Week4-Feb-2026"/>
    <x v="5"/>
    <s v="28-Dec-2027"/>
    <s v="Tuesday"/>
    <s v="Monthly - Tuesday"/>
    <s v="Monthly - Tuesday"/>
    <s v="Month+22 Expiry"/>
    <n v="29"/>
    <n v="5.4"/>
    <n v="0.4"/>
  </r>
  <r>
    <s v="25-Feb-2026"/>
    <x v="2"/>
    <s v="Week4-Feb-2026"/>
    <x v="5"/>
    <s v="27-Jun-2028"/>
    <s v="Tuesday"/>
    <s v="Monthly - Tuesday"/>
    <s v="Monthly - Tuesday"/>
    <s v="Month+28 Expiry"/>
    <n v="0"/>
    <n v="0"/>
    <n v="0"/>
  </r>
  <r>
    <s v="25-Feb-2026"/>
    <x v="2"/>
    <s v="Week4-Feb-2026"/>
    <x v="5"/>
    <s v="26-Dec-2028"/>
    <s v="Tuesday"/>
    <s v="Monthly - Tuesday"/>
    <s v="Monthly - Tuesday"/>
    <s v="Month+34 Expiry"/>
    <n v="0"/>
    <n v="0"/>
    <n v="0"/>
  </r>
  <r>
    <s v="25-Feb-2026"/>
    <x v="2"/>
    <s v="Week4-Feb-2026"/>
    <x v="5"/>
    <s v="26-Jun-2029"/>
    <s v="Tuesday"/>
    <s v="Monthly - Tuesday"/>
    <s v="Monthly - Tuesday"/>
    <s v="Month+40 Expiry"/>
    <n v="0"/>
    <n v="0"/>
    <n v="0"/>
  </r>
  <r>
    <s v="25-Feb-2026"/>
    <x v="2"/>
    <s v="Week4-Feb-2026"/>
    <x v="5"/>
    <s v="24-Dec-2029"/>
    <s v="Monday"/>
    <s v="Weekly - Monday"/>
    <s v="Weekly - Monday"/>
    <s v="Month+46 Expiry"/>
    <n v="0"/>
    <n v="0"/>
    <n v="0"/>
  </r>
  <r>
    <s v="25-Feb-2026"/>
    <x v="2"/>
    <s v="Week4-Feb-2026"/>
    <x v="5"/>
    <s v="25-Jun-2030"/>
    <s v="Tuesday"/>
    <s v="Monthly - Tuesday"/>
    <s v="Monthly - Tuesday"/>
    <s v="Month+52 Expiry"/>
    <n v="0"/>
    <n v="0"/>
    <n v="0"/>
  </r>
  <r>
    <s v="25-Feb-2026"/>
    <x v="2"/>
    <s v="Week4-Feb-2026"/>
    <x v="5"/>
    <s v="31-Dec-2030"/>
    <s v="Tuesday"/>
    <s v="Monthly - Tuesday"/>
    <s v="Monthly - Tuesday"/>
    <s v="Month+58 Expiry"/>
    <n v="0"/>
    <n v="0"/>
    <n v="0"/>
  </r>
  <r>
    <s v="26-Feb-2026"/>
    <x v="3"/>
    <s v="Week4-Feb-2026"/>
    <x v="5"/>
    <s v="02-Mar-2026"/>
    <s v="Monday"/>
    <s v="Weekly - Monday"/>
    <s v="Weekly - Monday"/>
    <s v="Month+1 Expiry"/>
    <n v="66594422"/>
    <n v="11077037.779999999"/>
    <n v="34007.32"/>
  </r>
  <r>
    <s v="26-Feb-2026"/>
    <x v="3"/>
    <s v="Week4-Feb-2026"/>
    <x v="5"/>
    <s v="10-Mar-2026"/>
    <s v="Tuesday"/>
    <s v="Weekly - Tuesday"/>
    <s v="Weekly - Tuesday"/>
    <s v="Month+1 Expiry"/>
    <n v="1884086"/>
    <n v="314258.5"/>
    <n v="1537.21"/>
  </r>
  <r>
    <s v="26-Feb-2026"/>
    <x v="3"/>
    <s v="Week4-Feb-2026"/>
    <x v="5"/>
    <s v="17-Mar-2026"/>
    <s v="Tuesday"/>
    <s v="Weekly - Tuesday"/>
    <s v="Weekly - Tuesday"/>
    <s v="Month+1 Expiry"/>
    <n v="139715"/>
    <n v="23372.52"/>
    <n v="141.76"/>
  </r>
  <r>
    <s v="26-Feb-2026"/>
    <x v="3"/>
    <s v="Week4-Feb-2026"/>
    <x v="5"/>
    <s v="24-Mar-2026"/>
    <s v="Tuesday"/>
    <s v="Weekly - Tuesday"/>
    <s v="Weekly - Tuesday"/>
    <s v="Month+1 Expiry"/>
    <n v="32816"/>
    <n v="5498.58"/>
    <n v="43.87"/>
  </r>
  <r>
    <s v="26-Feb-2026"/>
    <x v="3"/>
    <s v="Week4-Feb-2026"/>
    <x v="5"/>
    <s v="30-Mar-2026"/>
    <s v="Monday"/>
    <s v="Monthly - Monday"/>
    <s v="Monthly - Monday"/>
    <s v="Month+1 Expiry"/>
    <n v="1085945"/>
    <n v="182283.09"/>
    <n v="1491.1"/>
  </r>
  <r>
    <s v="26-Feb-2026"/>
    <x v="3"/>
    <s v="Week4-Feb-2026"/>
    <x v="5"/>
    <s v="28-Apr-2026"/>
    <s v="Tuesday"/>
    <s v="Monthly - Tuesday"/>
    <s v="Monthly - Tuesday"/>
    <s v="Month+2 Expiry"/>
    <n v="88608"/>
    <n v="14936.32"/>
    <n v="142.30000000000001"/>
  </r>
  <r>
    <s v="26-Feb-2026"/>
    <x v="3"/>
    <s v="Week4-Feb-2026"/>
    <x v="5"/>
    <s v="26-May-2026"/>
    <s v="Tuesday"/>
    <s v="Monthly - Tuesday"/>
    <s v="Monthly - Tuesday"/>
    <s v="Month+3 Expiry"/>
    <n v="7317"/>
    <n v="1241.2"/>
    <n v="16.91"/>
  </r>
  <r>
    <s v="26-Feb-2026"/>
    <x v="3"/>
    <s v="Week4-Feb-2026"/>
    <x v="5"/>
    <s v="30-Jun-2026"/>
    <s v="Tuesday"/>
    <s v="Monthly - Tuesday"/>
    <s v="Monthly - Tuesday"/>
    <s v="Month+4 Expiry"/>
    <n v="35556"/>
    <n v="6008.91"/>
    <n v="94.08"/>
  </r>
  <r>
    <s v="26-Feb-2026"/>
    <x v="3"/>
    <s v="Week4-Feb-2026"/>
    <x v="5"/>
    <s v="29-Sep-2026"/>
    <s v="Tuesday"/>
    <s v="Monthly - Tuesday"/>
    <s v="Monthly - Tuesday"/>
    <s v="Month+7 Expiry"/>
    <n v="2862"/>
    <n v="483.84"/>
    <n v="9.6"/>
  </r>
  <r>
    <s v="26-Feb-2026"/>
    <x v="3"/>
    <s v="Week4-Feb-2026"/>
    <x v="5"/>
    <s v="29-Dec-2026"/>
    <s v="Tuesday"/>
    <s v="Monthly - Tuesday"/>
    <s v="Monthly - Tuesday"/>
    <s v="Month+10 Expiry"/>
    <n v="8429"/>
    <n v="1459.93"/>
    <n v="34.64"/>
  </r>
  <r>
    <s v="26-Feb-2026"/>
    <x v="3"/>
    <s v="Week4-Feb-2026"/>
    <x v="5"/>
    <s v="29-Jun-2027"/>
    <s v="Tuesday"/>
    <s v="Monthly - Tuesday"/>
    <s v="Monthly - Tuesday"/>
    <s v="Month+16 Expiry"/>
    <n v="0"/>
    <n v="0"/>
    <n v="0"/>
  </r>
  <r>
    <s v="26-Feb-2026"/>
    <x v="3"/>
    <s v="Week4-Feb-2026"/>
    <x v="5"/>
    <s v="28-Dec-2027"/>
    <s v="Tuesday"/>
    <s v="Monthly - Tuesday"/>
    <s v="Monthly - Tuesday"/>
    <s v="Month+22 Expiry"/>
    <n v="53"/>
    <n v="9.84"/>
    <n v="0.66"/>
  </r>
  <r>
    <s v="26-Feb-2026"/>
    <x v="3"/>
    <s v="Week4-Feb-2026"/>
    <x v="5"/>
    <s v="27-Jun-2028"/>
    <s v="Tuesday"/>
    <s v="Monthly - Tuesday"/>
    <s v="Monthly - Tuesday"/>
    <s v="Month+28 Expiry"/>
    <n v="0"/>
    <n v="0"/>
    <n v="0"/>
  </r>
  <r>
    <s v="26-Feb-2026"/>
    <x v="3"/>
    <s v="Week4-Feb-2026"/>
    <x v="5"/>
    <s v="26-Dec-2028"/>
    <s v="Tuesday"/>
    <s v="Monthly - Tuesday"/>
    <s v="Monthly - Tuesday"/>
    <s v="Month+34 Expiry"/>
    <n v="1"/>
    <n v="0.18"/>
    <n v="0.01"/>
  </r>
  <r>
    <s v="26-Feb-2026"/>
    <x v="3"/>
    <s v="Week4-Feb-2026"/>
    <x v="5"/>
    <s v="26-Jun-2029"/>
    <s v="Tuesday"/>
    <s v="Monthly - Tuesday"/>
    <s v="Monthly - Tuesday"/>
    <s v="Month+40 Expiry"/>
    <n v="0"/>
    <n v="0"/>
    <n v="0"/>
  </r>
  <r>
    <s v="26-Feb-2026"/>
    <x v="3"/>
    <s v="Week4-Feb-2026"/>
    <x v="5"/>
    <s v="24-Dec-2029"/>
    <s v="Monday"/>
    <s v="Weekly - Monday"/>
    <s v="Weekly - Monday"/>
    <s v="Month+46 Expiry"/>
    <n v="0"/>
    <n v="0"/>
    <n v="0"/>
  </r>
  <r>
    <s v="26-Feb-2026"/>
    <x v="3"/>
    <s v="Week4-Feb-2026"/>
    <x v="5"/>
    <s v="25-Jun-2030"/>
    <s v="Tuesday"/>
    <s v="Monthly - Tuesday"/>
    <s v="Monthly - Tuesday"/>
    <s v="Month+52 Expiry"/>
    <n v="0"/>
    <n v="0"/>
    <n v="0"/>
  </r>
  <r>
    <s v="26-Feb-2026"/>
    <x v="3"/>
    <s v="Week4-Feb-2026"/>
    <x v="5"/>
    <s v="31-Dec-2030"/>
    <s v="Tuesday"/>
    <s v="Monthly - Tuesday"/>
    <s v="Monthly - Tuesday"/>
    <s v="Month+58 Expiry"/>
    <n v="0"/>
    <n v="0"/>
    <n v="0"/>
  </r>
  <r>
    <s v="27-Feb-2026"/>
    <x v="4"/>
    <s v="Week4-Feb-2026"/>
    <x v="5"/>
    <s v="02-Mar-2026"/>
    <s v="Monday"/>
    <s v="Weekly - Monday"/>
    <s v="Weekly - Monday"/>
    <s v="Month+1 Expiry"/>
    <n v="130736288"/>
    <n v="21612241.5"/>
    <n v="57050.76"/>
  </r>
  <r>
    <s v="27-Feb-2026"/>
    <x v="4"/>
    <s v="Week4-Feb-2026"/>
    <x v="5"/>
    <s v="10-Mar-2026"/>
    <s v="Tuesday"/>
    <s v="Weekly - Tuesday"/>
    <s v="Weekly - Tuesday"/>
    <s v="Month+1 Expiry"/>
    <n v="3838738"/>
    <n v="639976.61"/>
    <n v="2696"/>
  </r>
  <r>
    <s v="27-Feb-2026"/>
    <x v="4"/>
    <s v="Week4-Feb-2026"/>
    <x v="5"/>
    <s v="17-Mar-2026"/>
    <s v="Tuesday"/>
    <s v="Weekly - Tuesday"/>
    <s v="Weekly - Tuesday"/>
    <s v="Month+1 Expiry"/>
    <n v="236296"/>
    <n v="39369.760000000002"/>
    <n v="251.89"/>
  </r>
  <r>
    <s v="27-Feb-2026"/>
    <x v="4"/>
    <s v="Week4-Feb-2026"/>
    <x v="5"/>
    <s v="24-Mar-2026"/>
    <s v="Tuesday"/>
    <s v="Weekly - Tuesday"/>
    <s v="Weekly - Tuesday"/>
    <s v="Month+1 Expiry"/>
    <n v="57012"/>
    <n v="9516.7999999999993"/>
    <n v="78.11"/>
  </r>
  <r>
    <s v="27-Feb-2026"/>
    <x v="4"/>
    <s v="Week4-Feb-2026"/>
    <x v="5"/>
    <s v="30-Mar-2026"/>
    <s v="Monday"/>
    <s v="Monthly - Monday"/>
    <s v="Monthly - Monday"/>
    <s v="Month+1 Expiry"/>
    <n v="1523031"/>
    <n v="254243.31"/>
    <n v="2179.9299999999998"/>
  </r>
  <r>
    <s v="27-Feb-2026"/>
    <x v="4"/>
    <s v="Week4-Feb-2026"/>
    <x v="5"/>
    <s v="28-Apr-2026"/>
    <s v="Tuesday"/>
    <s v="Monthly - Tuesday"/>
    <s v="Monthly - Tuesday"/>
    <s v="Month+2 Expiry"/>
    <n v="174252"/>
    <n v="29296.82"/>
    <n v="304.82"/>
  </r>
  <r>
    <s v="27-Feb-2026"/>
    <x v="4"/>
    <s v="Week4-Feb-2026"/>
    <x v="5"/>
    <s v="26-May-2026"/>
    <s v="Tuesday"/>
    <s v="Monthly - Tuesday"/>
    <s v="Monthly - Tuesday"/>
    <s v="Month+3 Expiry"/>
    <n v="17475"/>
    <n v="2926.3"/>
    <n v="40.75"/>
  </r>
  <r>
    <s v="27-Feb-2026"/>
    <x v="4"/>
    <s v="Week4-Feb-2026"/>
    <x v="5"/>
    <s v="30-Jun-2026"/>
    <s v="Tuesday"/>
    <s v="Monthly - Tuesday"/>
    <s v="Monthly - Tuesday"/>
    <s v="Month+4 Expiry"/>
    <n v="60808"/>
    <n v="10136.299999999999"/>
    <n v="153.24"/>
  </r>
  <r>
    <s v="27-Feb-2026"/>
    <x v="4"/>
    <s v="Week4-Feb-2026"/>
    <x v="5"/>
    <s v="29-Sep-2026"/>
    <s v="Tuesday"/>
    <s v="Monthly - Tuesday"/>
    <s v="Monthly - Tuesday"/>
    <s v="Month+7 Expiry"/>
    <n v="9654"/>
    <n v="1622.17"/>
    <n v="33.53"/>
  </r>
  <r>
    <s v="27-Feb-2026"/>
    <x v="4"/>
    <s v="Week4-Feb-2026"/>
    <x v="5"/>
    <s v="29-Dec-2026"/>
    <s v="Tuesday"/>
    <s v="Monthly - Tuesday"/>
    <s v="Monthly - Tuesday"/>
    <s v="Month+10 Expiry"/>
    <n v="23522"/>
    <n v="4012.02"/>
    <n v="92.41"/>
  </r>
  <r>
    <s v="27-Feb-2026"/>
    <x v="4"/>
    <s v="Week4-Feb-2026"/>
    <x v="5"/>
    <s v="29-Jun-2027"/>
    <s v="Tuesday"/>
    <s v="Monthly - Tuesday"/>
    <s v="Monthly - Tuesday"/>
    <s v="Month+16 Expiry"/>
    <n v="0"/>
    <n v="0"/>
    <n v="0"/>
  </r>
  <r>
    <s v="27-Feb-2026"/>
    <x v="4"/>
    <s v="Week4-Feb-2026"/>
    <x v="5"/>
    <s v="28-Dec-2027"/>
    <s v="Tuesday"/>
    <s v="Monthly - Tuesday"/>
    <s v="Monthly - Tuesday"/>
    <s v="Month+22 Expiry"/>
    <n v="86"/>
    <n v="15.6"/>
    <n v="0.76"/>
  </r>
  <r>
    <s v="27-Feb-2026"/>
    <x v="4"/>
    <s v="Week4-Feb-2026"/>
    <x v="5"/>
    <s v="27-Jun-2028"/>
    <s v="Tuesday"/>
    <s v="Monthly - Tuesday"/>
    <s v="Monthly - Tuesday"/>
    <s v="Month+28 Expiry"/>
    <n v="0"/>
    <n v="0"/>
    <n v="0"/>
  </r>
  <r>
    <s v="27-Feb-2026"/>
    <x v="4"/>
    <s v="Week4-Feb-2026"/>
    <x v="5"/>
    <s v="26-Dec-2028"/>
    <s v="Tuesday"/>
    <s v="Monthly - Tuesday"/>
    <s v="Monthly - Tuesday"/>
    <s v="Month+34 Expiry"/>
    <n v="1"/>
    <n v="0.18"/>
    <n v="0.01"/>
  </r>
  <r>
    <s v="27-Feb-2026"/>
    <x v="4"/>
    <s v="Week4-Feb-2026"/>
    <x v="5"/>
    <s v="26-Jun-2029"/>
    <s v="Tuesday"/>
    <s v="Monthly - Tuesday"/>
    <s v="Monthly - Tuesday"/>
    <s v="Month+40 Expiry"/>
    <n v="0"/>
    <n v="0"/>
    <n v="0"/>
  </r>
  <r>
    <s v="27-Feb-2026"/>
    <x v="4"/>
    <s v="Week4-Feb-2026"/>
    <x v="5"/>
    <s v="24-Dec-2029"/>
    <s v="Monday"/>
    <s v="Weekly - Monday"/>
    <s v="Weekly - Monday"/>
    <s v="Month+46 Expiry"/>
    <n v="0"/>
    <n v="0"/>
    <n v="0"/>
  </r>
  <r>
    <s v="27-Feb-2026"/>
    <x v="4"/>
    <s v="Week4-Feb-2026"/>
    <x v="5"/>
    <s v="25-Jun-2030"/>
    <s v="Tuesday"/>
    <s v="Monthly - Tuesday"/>
    <s v="Monthly - Tuesday"/>
    <s v="Month+52 Expiry"/>
    <n v="0"/>
    <n v="0"/>
    <n v="0"/>
  </r>
  <r>
    <s v="27-Feb-2026"/>
    <x v="4"/>
    <s v="Week4-Feb-2026"/>
    <x v="5"/>
    <s v="31-Dec-2030"/>
    <s v="Tuesday"/>
    <s v="Monthly - Tuesday"/>
    <s v="Monthly - Tuesday"/>
    <s v="Month+58 Expiry"/>
    <n v="0"/>
    <n v="0"/>
    <n v="0"/>
  </r>
  <r>
    <s v="02-Mar-2026"/>
    <x v="0"/>
    <s v="Week1-Mar-2026"/>
    <x v="6"/>
    <s v="02-Mar-2026"/>
    <s v="Monday"/>
    <s v="Weekly - Monday"/>
    <s v="Weekly - Monday"/>
    <s v="Same Month Expiry"/>
    <n v="452059382"/>
    <n v="73001505.439999998"/>
    <n v="91296.66"/>
  </r>
  <r>
    <s v="02-Mar-2026"/>
    <x v="0"/>
    <s v="Week1-Mar-2026"/>
    <x v="6"/>
    <s v="10-Mar-2026"/>
    <s v="Tuesday"/>
    <s v="Weekly - Tuesday"/>
    <s v="Weekly - Tuesday"/>
    <s v="Same Month Expiry"/>
    <n v="13362896"/>
    <n v="2191065.8199999998"/>
    <n v="11925.16"/>
  </r>
  <r>
    <s v="02-Mar-2026"/>
    <x v="0"/>
    <s v="Week1-Mar-2026"/>
    <x v="6"/>
    <s v="17-Mar-2026"/>
    <s v="Tuesday"/>
    <s v="Weekly - Tuesday"/>
    <s v="Weekly - Tuesday"/>
    <s v="Same Month Expiry"/>
    <n v="597272"/>
    <n v="98039.17"/>
    <n v="725.15"/>
  </r>
  <r>
    <s v="02-Mar-2026"/>
    <x v="0"/>
    <s v="Week1-Mar-2026"/>
    <x v="6"/>
    <s v="24-Mar-2026"/>
    <s v="Tuesday"/>
    <s v="Weekly - Tuesday"/>
    <s v="Weekly - Tuesday"/>
    <s v="Same Month Expiry"/>
    <n v="130448"/>
    <n v="21552.400000000001"/>
    <n v="188.17"/>
  </r>
  <r>
    <s v="02-Mar-2026"/>
    <x v="0"/>
    <s v="Week1-Mar-2026"/>
    <x v="6"/>
    <s v="30-Mar-2026"/>
    <s v="Monday"/>
    <s v="Monthly - Monday"/>
    <s v="Monthly - Monday"/>
    <s v="Same Month Expiry"/>
    <n v="3003231"/>
    <n v="493349.28"/>
    <n v="4963.7"/>
  </r>
  <r>
    <s v="02-Mar-2026"/>
    <x v="0"/>
    <s v="Week1-Mar-2026"/>
    <x v="6"/>
    <s v="28-Apr-2026"/>
    <s v="Tuesday"/>
    <s v="Monthly - Tuesday"/>
    <s v="Monthly - Tuesday"/>
    <s v="Month+1 Expiry"/>
    <n v="403798"/>
    <n v="67176.41"/>
    <n v="829.24"/>
  </r>
  <r>
    <s v="02-Mar-2026"/>
    <x v="0"/>
    <s v="Week1-Mar-2026"/>
    <x v="6"/>
    <s v="26-May-2026"/>
    <s v="Tuesday"/>
    <s v="Monthly - Tuesday"/>
    <s v="Monthly - Tuesday"/>
    <s v="Month+2 Expiry"/>
    <n v="60710"/>
    <n v="9996.36"/>
    <n v="155.63"/>
  </r>
  <r>
    <s v="02-Mar-2026"/>
    <x v="0"/>
    <s v="Week1-Mar-2026"/>
    <x v="6"/>
    <s v="30-Jun-2026"/>
    <s v="Tuesday"/>
    <s v="Monthly - Tuesday"/>
    <s v="Monthly - Tuesday"/>
    <s v="Month+3 Expiry"/>
    <n v="161620"/>
    <n v="26519.69"/>
    <n v="414.13"/>
  </r>
  <r>
    <s v="02-Mar-2026"/>
    <x v="0"/>
    <s v="Week1-Mar-2026"/>
    <x v="6"/>
    <s v="29-Sep-2026"/>
    <s v="Tuesday"/>
    <s v="Monthly - Tuesday"/>
    <s v="Monthly - Tuesday"/>
    <s v="Month+6 Expiry"/>
    <n v="26117"/>
    <n v="4401.72"/>
    <n v="91.82"/>
  </r>
  <r>
    <s v="02-Mar-2026"/>
    <x v="0"/>
    <s v="Week1-Mar-2026"/>
    <x v="6"/>
    <s v="29-Dec-2026"/>
    <s v="Tuesday"/>
    <s v="Monthly - Tuesday"/>
    <s v="Monthly - Tuesday"/>
    <s v="Month+9 Expiry"/>
    <n v="54216"/>
    <n v="9188.35"/>
    <n v="263.92"/>
  </r>
  <r>
    <s v="02-Mar-2026"/>
    <x v="0"/>
    <s v="Week1-Mar-2026"/>
    <x v="6"/>
    <s v="29-Jun-2027"/>
    <s v="Tuesday"/>
    <s v="Monthly - Tuesday"/>
    <s v="Monthly - Tuesday"/>
    <s v="Month+15 Expiry"/>
    <n v="0"/>
    <n v="0"/>
    <n v="0"/>
  </r>
  <r>
    <s v="02-Mar-2026"/>
    <x v="0"/>
    <s v="Week1-Mar-2026"/>
    <x v="6"/>
    <s v="28-Dec-2027"/>
    <s v="Tuesday"/>
    <s v="Monthly - Tuesday"/>
    <s v="Monthly - Tuesday"/>
    <s v="Month+21 Expiry"/>
    <n v="290"/>
    <n v="49.93"/>
    <n v="2.7"/>
  </r>
  <r>
    <s v="02-Mar-2026"/>
    <x v="0"/>
    <s v="Week1-Mar-2026"/>
    <x v="6"/>
    <s v="27-Jun-2028"/>
    <s v="Tuesday"/>
    <s v="Monthly - Tuesday"/>
    <s v="Monthly - Tuesday"/>
    <s v="Month+27 Expiry"/>
    <n v="0"/>
    <n v="0"/>
    <n v="0"/>
  </r>
  <r>
    <s v="02-Mar-2026"/>
    <x v="0"/>
    <s v="Week1-Mar-2026"/>
    <x v="6"/>
    <s v="26-Dec-2028"/>
    <s v="Tuesday"/>
    <s v="Monthly - Tuesday"/>
    <s v="Monthly - Tuesday"/>
    <s v="Month+33 Expiry"/>
    <n v="4"/>
    <n v="0.71"/>
    <n v="0.04"/>
  </r>
  <r>
    <s v="02-Mar-2026"/>
    <x v="0"/>
    <s v="Week1-Mar-2026"/>
    <x v="6"/>
    <s v="26-Jun-2029"/>
    <s v="Tuesday"/>
    <s v="Monthly - Tuesday"/>
    <s v="Monthly - Tuesday"/>
    <s v="Month+39 Expiry"/>
    <n v="0"/>
    <n v="0"/>
    <n v="0"/>
  </r>
  <r>
    <s v="02-Mar-2026"/>
    <x v="0"/>
    <s v="Week1-Mar-2026"/>
    <x v="6"/>
    <s v="24-Dec-2029"/>
    <s v="Monday"/>
    <s v="Weekly - Monday"/>
    <s v="Weekly - Monday"/>
    <s v="Month+45 Expiry"/>
    <n v="0"/>
    <n v="0"/>
    <n v="0"/>
  </r>
  <r>
    <s v="02-Mar-2026"/>
    <x v="0"/>
    <s v="Week1-Mar-2026"/>
    <x v="6"/>
    <s v="25-Jun-2030"/>
    <s v="Tuesday"/>
    <s v="Monthly - Tuesday"/>
    <s v="Monthly - Tuesday"/>
    <s v="Month+51 Expiry"/>
    <n v="0"/>
    <n v="0"/>
    <n v="0"/>
  </r>
  <r>
    <s v="02-Mar-2026"/>
    <x v="0"/>
    <s v="Week1-Mar-2026"/>
    <x v="6"/>
    <s v="31-Dec-2030"/>
    <s v="Tuesday"/>
    <s v="Monthly - Tuesday"/>
    <s v="Monthly - Tuesday"/>
    <s v="Month+57 Expiry"/>
    <n v="0"/>
    <n v="0"/>
    <n v="0"/>
  </r>
  <r>
    <s v="04-Mar-2026"/>
    <x v="2"/>
    <s v="Week1-Mar-2026"/>
    <x v="6"/>
    <s v="10-Mar-2026"/>
    <s v="Tuesday"/>
    <s v="Weekly - Tuesday"/>
    <s v="Weekly - Tuesday"/>
    <s v="Same Month Expiry"/>
    <n v="47826038"/>
    <n v="7730672.2699999996"/>
    <n v="55118.879999999997"/>
  </r>
  <r>
    <s v="04-Mar-2026"/>
    <x v="2"/>
    <s v="Week1-Mar-2026"/>
    <x v="6"/>
    <s v="17-Mar-2026"/>
    <s v="Tuesday"/>
    <s v="Weekly - Tuesday"/>
    <s v="Weekly - Tuesday"/>
    <s v="Same Month Expiry"/>
    <n v="1149100"/>
    <n v="187467.19"/>
    <n v="1688.11"/>
  </r>
  <r>
    <s v="04-Mar-2026"/>
    <x v="2"/>
    <s v="Week1-Mar-2026"/>
    <x v="6"/>
    <s v="24-Mar-2026"/>
    <s v="Tuesday"/>
    <s v="Weekly - Tuesday"/>
    <s v="Weekly - Tuesday"/>
    <s v="Same Month Expiry"/>
    <n v="139749"/>
    <n v="22872.44"/>
    <n v="236.96"/>
  </r>
  <r>
    <s v="04-Mar-2026"/>
    <x v="2"/>
    <s v="Week1-Mar-2026"/>
    <x v="6"/>
    <s v="30-Mar-2026"/>
    <s v="Monday"/>
    <s v="Monthly - Monday"/>
    <s v="Monthly - Monday"/>
    <s v="Same Month Expiry"/>
    <n v="2645590"/>
    <n v="427651.28"/>
    <n v="4995.07"/>
  </r>
  <r>
    <s v="04-Mar-2026"/>
    <x v="2"/>
    <s v="Week1-Mar-2026"/>
    <x v="6"/>
    <s v="07-Apr-2026"/>
    <s v="Tuesday"/>
    <s v="Weekly - Tuesday"/>
    <s v="Weekly - Tuesday"/>
    <s v="Month+1 Expiry"/>
    <n v="68118"/>
    <n v="11111.23"/>
    <n v="234.52"/>
  </r>
  <r>
    <s v="04-Mar-2026"/>
    <x v="2"/>
    <s v="Week1-Mar-2026"/>
    <x v="6"/>
    <s v="28-Apr-2026"/>
    <s v="Tuesday"/>
    <s v="Monthly - Tuesday"/>
    <s v="Monthly - Tuesday"/>
    <s v="Month+1 Expiry"/>
    <n v="320088"/>
    <n v="53028.959999999999"/>
    <n v="799.7"/>
  </r>
  <r>
    <s v="04-Mar-2026"/>
    <x v="2"/>
    <s v="Week1-Mar-2026"/>
    <x v="6"/>
    <s v="26-May-2026"/>
    <s v="Tuesday"/>
    <s v="Monthly - Tuesday"/>
    <s v="Monthly - Tuesday"/>
    <s v="Month+2 Expiry"/>
    <n v="59647"/>
    <n v="9951.59"/>
    <n v="174.35"/>
  </r>
  <r>
    <s v="04-Mar-2026"/>
    <x v="2"/>
    <s v="Week1-Mar-2026"/>
    <x v="6"/>
    <s v="30-Jun-2026"/>
    <s v="Tuesday"/>
    <s v="Monthly - Tuesday"/>
    <s v="Monthly - Tuesday"/>
    <s v="Month+3 Expiry"/>
    <n v="158548"/>
    <n v="25693.439999999999"/>
    <n v="432.64"/>
  </r>
  <r>
    <s v="04-Mar-2026"/>
    <x v="2"/>
    <s v="Week1-Mar-2026"/>
    <x v="6"/>
    <s v="29-Sep-2026"/>
    <s v="Tuesday"/>
    <s v="Monthly - Tuesday"/>
    <s v="Monthly - Tuesday"/>
    <s v="Month+6 Expiry"/>
    <n v="23122"/>
    <n v="3817.53"/>
    <n v="96.29"/>
  </r>
  <r>
    <s v="04-Mar-2026"/>
    <x v="2"/>
    <s v="Week1-Mar-2026"/>
    <x v="6"/>
    <s v="29-Dec-2026"/>
    <s v="Tuesday"/>
    <s v="Monthly - Tuesday"/>
    <s v="Monthly - Tuesday"/>
    <s v="Month+9 Expiry"/>
    <n v="53158"/>
    <n v="8947.1200000000008"/>
    <n v="254.43"/>
  </r>
  <r>
    <s v="04-Mar-2026"/>
    <x v="2"/>
    <s v="Week1-Mar-2026"/>
    <x v="6"/>
    <s v="29-Jun-2027"/>
    <s v="Tuesday"/>
    <s v="Monthly - Tuesday"/>
    <s v="Monthly - Tuesday"/>
    <s v="Month+15 Expiry"/>
    <n v="8"/>
    <n v="1.1000000000000001"/>
    <n v="0.01"/>
  </r>
  <r>
    <s v="04-Mar-2026"/>
    <x v="2"/>
    <s v="Week1-Mar-2026"/>
    <x v="6"/>
    <s v="28-Dec-2027"/>
    <s v="Tuesday"/>
    <s v="Monthly - Tuesday"/>
    <s v="Monthly - Tuesday"/>
    <s v="Month+21 Expiry"/>
    <n v="549"/>
    <n v="93.58"/>
    <n v="4.88"/>
  </r>
  <r>
    <s v="04-Mar-2026"/>
    <x v="2"/>
    <s v="Week1-Mar-2026"/>
    <x v="6"/>
    <s v="27-Jun-2028"/>
    <s v="Tuesday"/>
    <s v="Monthly - Tuesday"/>
    <s v="Monthly - Tuesday"/>
    <s v="Month+27 Expiry"/>
    <n v="1"/>
    <n v="0.15"/>
    <n v="0"/>
  </r>
  <r>
    <s v="04-Mar-2026"/>
    <x v="2"/>
    <s v="Week1-Mar-2026"/>
    <x v="6"/>
    <s v="26-Dec-2028"/>
    <s v="Tuesday"/>
    <s v="Monthly - Tuesday"/>
    <s v="Monthly - Tuesday"/>
    <s v="Month+33 Expiry"/>
    <n v="16"/>
    <n v="2.44"/>
    <n v="7.0000000000000007E-2"/>
  </r>
  <r>
    <s v="04-Mar-2026"/>
    <x v="2"/>
    <s v="Week1-Mar-2026"/>
    <x v="6"/>
    <s v="26-Jun-2029"/>
    <s v="Tuesday"/>
    <s v="Monthly - Tuesday"/>
    <s v="Monthly - Tuesday"/>
    <s v="Month+39 Expiry"/>
    <n v="0"/>
    <n v="0"/>
    <n v="0"/>
  </r>
  <r>
    <s v="04-Mar-2026"/>
    <x v="2"/>
    <s v="Week1-Mar-2026"/>
    <x v="6"/>
    <s v="24-Dec-2029"/>
    <s v="Monday"/>
    <s v="Weekly - Monday"/>
    <s v="Weekly - Monday"/>
    <s v="Month+45 Expiry"/>
    <n v="0"/>
    <n v="0"/>
    <n v="0"/>
  </r>
  <r>
    <s v="04-Mar-2026"/>
    <x v="2"/>
    <s v="Week1-Mar-2026"/>
    <x v="6"/>
    <s v="25-Jun-2030"/>
    <s v="Tuesday"/>
    <s v="Monthly - Tuesday"/>
    <s v="Monthly - Tuesday"/>
    <s v="Month+51 Expiry"/>
    <n v="0"/>
    <n v="0"/>
    <n v="0"/>
  </r>
  <r>
    <s v="04-Mar-2026"/>
    <x v="2"/>
    <s v="Week1-Mar-2026"/>
    <x v="6"/>
    <s v="31-Dec-2030"/>
    <s v="Tuesday"/>
    <s v="Monthly - Tuesday"/>
    <s v="Monthly - Tuesday"/>
    <s v="Month+57 Expiry"/>
    <n v="0"/>
    <n v="0"/>
    <n v="0"/>
  </r>
  <r>
    <s v="05-Mar-2026"/>
    <x v="3"/>
    <s v="Week1-Mar-2026"/>
    <x v="6"/>
    <s v="10-Mar-2026"/>
    <s v="Tuesday"/>
    <s v="Weekly - Tuesday"/>
    <s v="Weekly - Tuesday"/>
    <s v="Same Month Expiry"/>
    <n v="57172048"/>
    <n v="9225786.7400000002"/>
    <n v="47236.94"/>
  </r>
  <r>
    <s v="05-Mar-2026"/>
    <x v="3"/>
    <s v="Week1-Mar-2026"/>
    <x v="6"/>
    <s v="17-Mar-2026"/>
    <s v="Tuesday"/>
    <s v="Weekly - Tuesday"/>
    <s v="Weekly - Tuesday"/>
    <s v="Same Month Expiry"/>
    <n v="1491509"/>
    <n v="243088.75"/>
    <n v="1795.68"/>
  </r>
  <r>
    <s v="05-Mar-2026"/>
    <x v="3"/>
    <s v="Week1-Mar-2026"/>
    <x v="6"/>
    <s v="24-Mar-2026"/>
    <s v="Tuesday"/>
    <s v="Weekly - Tuesday"/>
    <s v="Weekly - Tuesday"/>
    <s v="Same Month Expiry"/>
    <n v="143804"/>
    <n v="23543.919999999998"/>
    <n v="193.33"/>
  </r>
  <r>
    <s v="05-Mar-2026"/>
    <x v="3"/>
    <s v="Week1-Mar-2026"/>
    <x v="6"/>
    <s v="30-Mar-2026"/>
    <s v="Monday"/>
    <s v="Monthly - Monday"/>
    <s v="Monthly - Monday"/>
    <s v="Same Month Expiry"/>
    <n v="1899189"/>
    <n v="307608.83"/>
    <n v="3152.43"/>
  </r>
  <r>
    <s v="05-Mar-2026"/>
    <x v="3"/>
    <s v="Week1-Mar-2026"/>
    <x v="6"/>
    <s v="07-Apr-2026"/>
    <s v="Tuesday"/>
    <s v="Weekly - Tuesday"/>
    <s v="Weekly - Tuesday"/>
    <s v="Month+1 Expiry"/>
    <n v="15209"/>
    <n v="2485.0700000000002"/>
    <n v="41.78"/>
  </r>
  <r>
    <s v="05-Mar-2026"/>
    <x v="3"/>
    <s v="Week1-Mar-2026"/>
    <x v="6"/>
    <s v="28-Apr-2026"/>
    <s v="Tuesday"/>
    <s v="Monthly - Tuesday"/>
    <s v="Monthly - Tuesday"/>
    <s v="Month+1 Expiry"/>
    <n v="189545"/>
    <n v="31479.61"/>
    <n v="415.92"/>
  </r>
  <r>
    <s v="05-Mar-2026"/>
    <x v="3"/>
    <s v="Week1-Mar-2026"/>
    <x v="6"/>
    <s v="26-May-2026"/>
    <s v="Tuesday"/>
    <s v="Monthly - Tuesday"/>
    <s v="Monthly - Tuesday"/>
    <s v="Month+2 Expiry"/>
    <n v="29547"/>
    <n v="4950.0600000000004"/>
    <n v="86.56"/>
  </r>
  <r>
    <s v="05-Mar-2026"/>
    <x v="3"/>
    <s v="Week1-Mar-2026"/>
    <x v="6"/>
    <s v="30-Jun-2026"/>
    <s v="Tuesday"/>
    <s v="Monthly - Tuesday"/>
    <s v="Monthly - Tuesday"/>
    <s v="Month+3 Expiry"/>
    <n v="77953"/>
    <n v="12812.67"/>
    <n v="250.23"/>
  </r>
  <r>
    <s v="05-Mar-2026"/>
    <x v="3"/>
    <s v="Week1-Mar-2026"/>
    <x v="6"/>
    <s v="29-Sep-2026"/>
    <s v="Tuesday"/>
    <s v="Monthly - Tuesday"/>
    <s v="Monthly - Tuesday"/>
    <s v="Month+6 Expiry"/>
    <n v="6802"/>
    <n v="1168.06"/>
    <n v="26.69"/>
  </r>
  <r>
    <s v="05-Mar-2026"/>
    <x v="3"/>
    <s v="Week1-Mar-2026"/>
    <x v="6"/>
    <s v="29-Dec-2026"/>
    <s v="Tuesday"/>
    <s v="Monthly - Tuesday"/>
    <s v="Monthly - Tuesday"/>
    <s v="Month+9 Expiry"/>
    <n v="30754"/>
    <n v="5106.54"/>
    <n v="145.5"/>
  </r>
  <r>
    <s v="05-Mar-2026"/>
    <x v="3"/>
    <s v="Week1-Mar-2026"/>
    <x v="6"/>
    <s v="29-Jun-2027"/>
    <s v="Tuesday"/>
    <s v="Monthly - Tuesday"/>
    <s v="Monthly - Tuesday"/>
    <s v="Month+15 Expiry"/>
    <n v="4"/>
    <n v="0.71"/>
    <n v="0.08"/>
  </r>
  <r>
    <s v="05-Mar-2026"/>
    <x v="3"/>
    <s v="Week1-Mar-2026"/>
    <x v="6"/>
    <s v="28-Dec-2027"/>
    <s v="Tuesday"/>
    <s v="Monthly - Tuesday"/>
    <s v="Monthly - Tuesday"/>
    <s v="Month+21 Expiry"/>
    <n v="164"/>
    <n v="27.27"/>
    <n v="1.25"/>
  </r>
  <r>
    <s v="05-Mar-2026"/>
    <x v="3"/>
    <s v="Week1-Mar-2026"/>
    <x v="6"/>
    <s v="27-Jun-2028"/>
    <s v="Tuesday"/>
    <s v="Monthly - Tuesday"/>
    <s v="Monthly - Tuesday"/>
    <s v="Month+27 Expiry"/>
    <n v="0"/>
    <n v="0"/>
    <n v="0"/>
  </r>
  <r>
    <s v="05-Mar-2026"/>
    <x v="3"/>
    <s v="Week1-Mar-2026"/>
    <x v="6"/>
    <s v="26-Dec-2028"/>
    <s v="Tuesday"/>
    <s v="Monthly - Tuesday"/>
    <s v="Monthly - Tuesday"/>
    <s v="Month+33 Expiry"/>
    <n v="3"/>
    <n v="0.5"/>
    <n v="0.02"/>
  </r>
  <r>
    <s v="05-Mar-2026"/>
    <x v="3"/>
    <s v="Week1-Mar-2026"/>
    <x v="6"/>
    <s v="26-Jun-2029"/>
    <s v="Tuesday"/>
    <s v="Monthly - Tuesday"/>
    <s v="Monthly - Tuesday"/>
    <s v="Month+39 Expiry"/>
    <n v="0"/>
    <n v="0"/>
    <n v="0"/>
  </r>
  <r>
    <s v="05-Mar-2026"/>
    <x v="3"/>
    <s v="Week1-Mar-2026"/>
    <x v="6"/>
    <s v="24-Dec-2029"/>
    <s v="Monday"/>
    <s v="Weekly - Monday"/>
    <s v="Weekly - Monday"/>
    <s v="Month+45 Expiry"/>
    <n v="0"/>
    <n v="0"/>
    <n v="0"/>
  </r>
  <r>
    <s v="05-Mar-2026"/>
    <x v="3"/>
    <s v="Week1-Mar-2026"/>
    <x v="6"/>
    <s v="25-Jun-2030"/>
    <s v="Tuesday"/>
    <s v="Monthly - Tuesday"/>
    <s v="Monthly - Tuesday"/>
    <s v="Month+51 Expiry"/>
    <n v="0"/>
    <n v="0"/>
    <n v="0"/>
  </r>
  <r>
    <s v="05-Mar-2026"/>
    <x v="3"/>
    <s v="Week1-Mar-2026"/>
    <x v="6"/>
    <s v="31-Dec-2030"/>
    <s v="Tuesday"/>
    <s v="Monthly - Tuesday"/>
    <s v="Monthly - Tuesday"/>
    <s v="Month+57 Expiry"/>
    <n v="0"/>
    <n v="0"/>
    <n v="0"/>
  </r>
  <r>
    <s v="06-Mar-2026"/>
    <x v="4"/>
    <s v="Week1-Mar-2026"/>
    <x v="6"/>
    <s v="10-Mar-2026"/>
    <s v="Tuesday"/>
    <s v="Weekly - Tuesday"/>
    <s v="Weekly - Tuesday"/>
    <s v="Same Month Expiry"/>
    <n v="84939570"/>
    <n v="13662064.050000001"/>
    <n v="65164.7"/>
  </r>
  <r>
    <s v="06-Mar-2026"/>
    <x v="4"/>
    <s v="Week1-Mar-2026"/>
    <x v="6"/>
    <s v="17-Mar-2026"/>
    <s v="Tuesday"/>
    <s v="Weekly - Tuesday"/>
    <s v="Weekly - Tuesday"/>
    <s v="Same Month Expiry"/>
    <n v="1873835"/>
    <n v="304157.62"/>
    <n v="2129.6799999999998"/>
  </r>
  <r>
    <s v="06-Mar-2026"/>
    <x v="4"/>
    <s v="Week1-Mar-2026"/>
    <x v="6"/>
    <s v="24-Mar-2026"/>
    <s v="Tuesday"/>
    <s v="Weekly - Tuesday"/>
    <s v="Weekly - Tuesday"/>
    <s v="Same Month Expiry"/>
    <n v="170147"/>
    <n v="27620.6"/>
    <n v="203.45"/>
  </r>
  <r>
    <s v="06-Mar-2026"/>
    <x v="4"/>
    <s v="Week1-Mar-2026"/>
    <x v="6"/>
    <s v="30-Mar-2026"/>
    <s v="Monday"/>
    <s v="Monthly - Monday"/>
    <s v="Monthly - Monday"/>
    <s v="Same Month Expiry"/>
    <n v="1451079"/>
    <n v="235043.62"/>
    <n v="2435.23"/>
  </r>
  <r>
    <s v="06-Mar-2026"/>
    <x v="4"/>
    <s v="Week1-Mar-2026"/>
    <x v="6"/>
    <s v="07-Apr-2026"/>
    <s v="Tuesday"/>
    <s v="Weekly - Tuesday"/>
    <s v="Weekly - Tuesday"/>
    <s v="Month+1 Expiry"/>
    <n v="50472"/>
    <n v="8271.34"/>
    <n v="152.96"/>
  </r>
  <r>
    <s v="06-Mar-2026"/>
    <x v="4"/>
    <s v="Week1-Mar-2026"/>
    <x v="6"/>
    <s v="28-Apr-2026"/>
    <s v="Tuesday"/>
    <s v="Monthly - Tuesday"/>
    <s v="Monthly - Tuesday"/>
    <s v="Month+1 Expiry"/>
    <n v="159674"/>
    <n v="26289.919999999998"/>
    <n v="377.51"/>
  </r>
  <r>
    <s v="06-Mar-2026"/>
    <x v="4"/>
    <s v="Week1-Mar-2026"/>
    <x v="6"/>
    <s v="26-May-2026"/>
    <s v="Tuesday"/>
    <s v="Monthly - Tuesday"/>
    <s v="Monthly - Tuesday"/>
    <s v="Month+2 Expiry"/>
    <n v="23381"/>
    <n v="3922.38"/>
    <n v="65.849999999999994"/>
  </r>
  <r>
    <s v="06-Mar-2026"/>
    <x v="4"/>
    <s v="Week1-Mar-2026"/>
    <x v="6"/>
    <s v="30-Jun-2026"/>
    <s v="Tuesday"/>
    <s v="Monthly - Tuesday"/>
    <s v="Monthly - Tuesday"/>
    <s v="Month+3 Expiry"/>
    <n v="61417"/>
    <n v="9819.32"/>
    <n v="165.69"/>
  </r>
  <r>
    <s v="06-Mar-2026"/>
    <x v="4"/>
    <s v="Week1-Mar-2026"/>
    <x v="6"/>
    <s v="29-Sep-2026"/>
    <s v="Tuesday"/>
    <s v="Monthly - Tuesday"/>
    <s v="Monthly - Tuesday"/>
    <s v="Month+6 Expiry"/>
    <n v="9689"/>
    <n v="1680.68"/>
    <n v="40.44"/>
  </r>
  <r>
    <s v="06-Mar-2026"/>
    <x v="4"/>
    <s v="Week1-Mar-2026"/>
    <x v="6"/>
    <s v="29-Dec-2026"/>
    <s v="Tuesday"/>
    <s v="Monthly - Tuesday"/>
    <s v="Monthly - Tuesday"/>
    <s v="Month+9 Expiry"/>
    <n v="22233"/>
    <n v="3694.49"/>
    <n v="109.77"/>
  </r>
  <r>
    <s v="06-Mar-2026"/>
    <x v="4"/>
    <s v="Week1-Mar-2026"/>
    <x v="6"/>
    <s v="29-Jun-2027"/>
    <s v="Tuesday"/>
    <s v="Monthly - Tuesday"/>
    <s v="Monthly - Tuesday"/>
    <s v="Month+15 Expiry"/>
    <n v="0"/>
    <n v="0"/>
    <n v="0"/>
  </r>
  <r>
    <s v="06-Mar-2026"/>
    <x v="4"/>
    <s v="Week1-Mar-2026"/>
    <x v="6"/>
    <s v="28-Dec-2027"/>
    <s v="Tuesday"/>
    <s v="Monthly - Tuesday"/>
    <s v="Monthly - Tuesday"/>
    <s v="Month+21 Expiry"/>
    <n v="79"/>
    <n v="14.31"/>
    <n v="0.84"/>
  </r>
  <r>
    <s v="06-Mar-2026"/>
    <x v="4"/>
    <s v="Week1-Mar-2026"/>
    <x v="6"/>
    <s v="27-Jun-2028"/>
    <s v="Tuesday"/>
    <s v="Monthly - Tuesday"/>
    <s v="Monthly - Tuesday"/>
    <s v="Month+27 Expiry"/>
    <n v="0"/>
    <n v="0"/>
    <n v="0"/>
  </r>
  <r>
    <s v="06-Mar-2026"/>
    <x v="4"/>
    <s v="Week1-Mar-2026"/>
    <x v="6"/>
    <s v="26-Dec-2028"/>
    <s v="Tuesday"/>
    <s v="Monthly - Tuesday"/>
    <s v="Monthly - Tuesday"/>
    <s v="Month+33 Expiry"/>
    <n v="3"/>
    <n v="0.56000000000000005"/>
    <n v="0.04"/>
  </r>
  <r>
    <s v="06-Mar-2026"/>
    <x v="4"/>
    <s v="Week1-Mar-2026"/>
    <x v="6"/>
    <s v="26-Jun-2029"/>
    <s v="Tuesday"/>
    <s v="Monthly - Tuesday"/>
    <s v="Monthly - Tuesday"/>
    <s v="Month+39 Expiry"/>
    <n v="0"/>
    <n v="0"/>
    <n v="0"/>
  </r>
  <r>
    <s v="06-Mar-2026"/>
    <x v="4"/>
    <s v="Week1-Mar-2026"/>
    <x v="6"/>
    <s v="24-Dec-2029"/>
    <s v="Monday"/>
    <s v="Weekly - Monday"/>
    <s v="Weekly - Monday"/>
    <s v="Month+45 Expiry"/>
    <n v="0"/>
    <n v="0"/>
    <n v="0"/>
  </r>
  <r>
    <s v="06-Mar-2026"/>
    <x v="4"/>
    <s v="Week1-Mar-2026"/>
    <x v="6"/>
    <s v="25-Jun-2030"/>
    <s v="Tuesday"/>
    <s v="Monthly - Tuesday"/>
    <s v="Monthly - Tuesday"/>
    <s v="Month+51 Expiry"/>
    <n v="0"/>
    <n v="0"/>
    <n v="0"/>
  </r>
  <r>
    <s v="06-Mar-2026"/>
    <x v="4"/>
    <s v="Week1-Mar-2026"/>
    <x v="6"/>
    <s v="31-Dec-2030"/>
    <s v="Tuesday"/>
    <s v="Monthly - Tuesday"/>
    <s v="Monthly - Tuesday"/>
    <s v="Month+57 Expiry"/>
    <n v="0"/>
    <n v="0"/>
    <n v="0"/>
  </r>
  <r>
    <s v="09-Mar-2026"/>
    <x v="0"/>
    <s v="Week2-Mar-2026"/>
    <x v="6"/>
    <s v="10-Mar-2026"/>
    <s v="Tuesday"/>
    <s v="Weekly - Tuesday"/>
    <s v="Weekly - Tuesday"/>
    <s v="Same Month Expiry"/>
    <n v="116014917"/>
    <n v="18208524.539999999"/>
    <n v="81136.960000000006"/>
  </r>
  <r>
    <s v="09-Mar-2026"/>
    <x v="0"/>
    <s v="Week2-Mar-2026"/>
    <x v="6"/>
    <s v="17-Mar-2026"/>
    <s v="Tuesday"/>
    <s v="Weekly - Tuesday"/>
    <s v="Weekly - Tuesday"/>
    <s v="Same Month Expiry"/>
    <n v="3753034"/>
    <n v="604737.48"/>
    <n v="5512.33"/>
  </r>
  <r>
    <s v="09-Mar-2026"/>
    <x v="0"/>
    <s v="Week2-Mar-2026"/>
    <x v="6"/>
    <s v="24-Mar-2026"/>
    <s v="Tuesday"/>
    <s v="Weekly - Tuesday"/>
    <s v="Weekly - Tuesday"/>
    <s v="Same Month Expiry"/>
    <n v="276625"/>
    <n v="44965.8"/>
    <n v="469.85"/>
  </r>
  <r>
    <s v="09-Mar-2026"/>
    <x v="0"/>
    <s v="Week2-Mar-2026"/>
    <x v="6"/>
    <s v="30-Mar-2026"/>
    <s v="Monday"/>
    <s v="Monthly - Monday"/>
    <s v="Monthly - Monday"/>
    <s v="Same Month Expiry"/>
    <n v="2637447"/>
    <n v="421676.44"/>
    <n v="6095"/>
  </r>
  <r>
    <s v="09-Mar-2026"/>
    <x v="0"/>
    <s v="Week2-Mar-2026"/>
    <x v="6"/>
    <s v="07-Apr-2026"/>
    <s v="Tuesday"/>
    <s v="Weekly - Tuesday"/>
    <s v="Weekly - Tuesday"/>
    <s v="Month+1 Expiry"/>
    <n v="14756"/>
    <n v="2422.4499999999998"/>
    <n v="41.53"/>
  </r>
  <r>
    <s v="09-Mar-2026"/>
    <x v="0"/>
    <s v="Week2-Mar-2026"/>
    <x v="6"/>
    <s v="28-Apr-2026"/>
    <s v="Tuesday"/>
    <s v="Monthly - Tuesday"/>
    <s v="Monthly - Tuesday"/>
    <s v="Month+1 Expiry"/>
    <n v="320185"/>
    <n v="52437.57"/>
    <n v="1032.71"/>
  </r>
  <r>
    <s v="09-Mar-2026"/>
    <x v="0"/>
    <s v="Week2-Mar-2026"/>
    <x v="6"/>
    <s v="26-May-2026"/>
    <s v="Tuesday"/>
    <s v="Monthly - Tuesday"/>
    <s v="Monthly - Tuesday"/>
    <s v="Month+2 Expiry"/>
    <n v="60203"/>
    <n v="10024.02"/>
    <n v="202.75"/>
  </r>
  <r>
    <s v="09-Mar-2026"/>
    <x v="0"/>
    <s v="Week2-Mar-2026"/>
    <x v="6"/>
    <s v="30-Jun-2026"/>
    <s v="Tuesday"/>
    <s v="Monthly - Tuesday"/>
    <s v="Monthly - Tuesday"/>
    <s v="Month+3 Expiry"/>
    <n v="156468"/>
    <n v="24905.54"/>
    <n v="544.13"/>
  </r>
  <r>
    <s v="09-Mar-2026"/>
    <x v="0"/>
    <s v="Week2-Mar-2026"/>
    <x v="6"/>
    <s v="29-Sep-2026"/>
    <s v="Tuesday"/>
    <s v="Monthly - Tuesday"/>
    <s v="Monthly - Tuesday"/>
    <s v="Month+6 Expiry"/>
    <n v="26174"/>
    <n v="4462.07"/>
    <n v="118.24"/>
  </r>
  <r>
    <s v="09-Mar-2026"/>
    <x v="0"/>
    <s v="Week2-Mar-2026"/>
    <x v="6"/>
    <s v="29-Dec-2026"/>
    <s v="Tuesday"/>
    <s v="Monthly - Tuesday"/>
    <s v="Monthly - Tuesday"/>
    <s v="Month+9 Expiry"/>
    <n v="54592"/>
    <n v="9252.75"/>
    <n v="291.18"/>
  </r>
  <r>
    <s v="09-Mar-2026"/>
    <x v="0"/>
    <s v="Week2-Mar-2026"/>
    <x v="6"/>
    <s v="29-Jun-2027"/>
    <s v="Tuesday"/>
    <s v="Monthly - Tuesday"/>
    <s v="Monthly - Tuesday"/>
    <s v="Month+15 Expiry"/>
    <n v="2"/>
    <n v="0.34"/>
    <n v="0.03"/>
  </r>
  <r>
    <s v="09-Mar-2026"/>
    <x v="0"/>
    <s v="Week2-Mar-2026"/>
    <x v="6"/>
    <s v="28-Dec-2027"/>
    <s v="Tuesday"/>
    <s v="Monthly - Tuesday"/>
    <s v="Monthly - Tuesday"/>
    <s v="Month+21 Expiry"/>
    <n v="333"/>
    <n v="57.52"/>
    <n v="3.46"/>
  </r>
  <r>
    <s v="09-Mar-2026"/>
    <x v="0"/>
    <s v="Week2-Mar-2026"/>
    <x v="6"/>
    <s v="27-Jun-2028"/>
    <s v="Tuesday"/>
    <s v="Monthly - Tuesday"/>
    <s v="Monthly - Tuesday"/>
    <s v="Month+27 Expiry"/>
    <n v="0"/>
    <n v="0"/>
    <n v="0"/>
  </r>
  <r>
    <s v="09-Mar-2026"/>
    <x v="0"/>
    <s v="Week2-Mar-2026"/>
    <x v="6"/>
    <s v="26-Dec-2028"/>
    <s v="Tuesday"/>
    <s v="Monthly - Tuesday"/>
    <s v="Monthly - Tuesday"/>
    <s v="Month+33 Expiry"/>
    <n v="18"/>
    <n v="3.06"/>
    <n v="0.17"/>
  </r>
  <r>
    <s v="09-Mar-2026"/>
    <x v="0"/>
    <s v="Week2-Mar-2026"/>
    <x v="6"/>
    <s v="26-Jun-2029"/>
    <s v="Tuesday"/>
    <s v="Monthly - Tuesday"/>
    <s v="Monthly - Tuesday"/>
    <s v="Month+39 Expiry"/>
    <n v="0"/>
    <n v="0"/>
    <n v="0"/>
  </r>
  <r>
    <s v="09-Mar-2026"/>
    <x v="0"/>
    <s v="Week2-Mar-2026"/>
    <x v="6"/>
    <s v="24-Dec-2029"/>
    <s v="Monday"/>
    <s v="Weekly - Monday"/>
    <s v="Weekly - Monday"/>
    <s v="Month+45 Expiry"/>
    <n v="0"/>
    <n v="0"/>
    <n v="0"/>
  </r>
  <r>
    <s v="09-Mar-2026"/>
    <x v="0"/>
    <s v="Week2-Mar-2026"/>
    <x v="6"/>
    <s v="25-Jun-2030"/>
    <s v="Tuesday"/>
    <s v="Monthly - Tuesday"/>
    <s v="Monthly - Tuesday"/>
    <s v="Month+51 Expiry"/>
    <n v="0"/>
    <n v="0"/>
    <n v="0"/>
  </r>
  <r>
    <s v="09-Mar-2026"/>
    <x v="0"/>
    <s v="Week2-Mar-2026"/>
    <x v="6"/>
    <s v="31-Dec-2030"/>
    <s v="Tuesday"/>
    <s v="Monthly - Tuesday"/>
    <s v="Monthly - Tuesday"/>
    <s v="Month+57 Expiry"/>
    <n v="0"/>
    <n v="0"/>
    <n v="0"/>
  </r>
  <r>
    <s v="10-Mar-2026"/>
    <x v="1"/>
    <s v="Week2-Mar-2026"/>
    <x v="6"/>
    <s v="10-Mar-2026"/>
    <s v="Tuesday"/>
    <s v="Weekly - Tuesday"/>
    <s v="Weekly - Tuesday"/>
    <s v="Same Month Expiry"/>
    <n v="425163211"/>
    <n v="66952439.200000003"/>
    <n v="78946.94"/>
  </r>
  <r>
    <s v="10-Mar-2026"/>
    <x v="1"/>
    <s v="Week2-Mar-2026"/>
    <x v="6"/>
    <s v="17-Mar-2026"/>
    <s v="Tuesday"/>
    <s v="Weekly - Tuesday"/>
    <s v="Weekly - Tuesday"/>
    <s v="Same Month Expiry"/>
    <n v="8549848"/>
    <n v="1359584.76"/>
    <n v="7803.85"/>
  </r>
  <r>
    <s v="10-Mar-2026"/>
    <x v="1"/>
    <s v="Week2-Mar-2026"/>
    <x v="6"/>
    <s v="24-Mar-2026"/>
    <s v="Tuesday"/>
    <s v="Weekly - Tuesday"/>
    <s v="Weekly - Tuesday"/>
    <s v="Same Month Expiry"/>
    <n v="367959"/>
    <n v="59332.85"/>
    <n v="420.61"/>
  </r>
  <r>
    <s v="10-Mar-2026"/>
    <x v="1"/>
    <s v="Week2-Mar-2026"/>
    <x v="6"/>
    <s v="30-Mar-2026"/>
    <s v="Monday"/>
    <s v="Monthly - Monday"/>
    <s v="Monthly - Monday"/>
    <s v="Same Month Expiry"/>
    <n v="1895498"/>
    <n v="302386.96999999997"/>
    <n v="3083.29"/>
  </r>
  <r>
    <s v="10-Mar-2026"/>
    <x v="1"/>
    <s v="Week2-Mar-2026"/>
    <x v="6"/>
    <s v="07-Apr-2026"/>
    <s v="Tuesday"/>
    <s v="Weekly - Tuesday"/>
    <s v="Weekly - Tuesday"/>
    <s v="Month+1 Expiry"/>
    <n v="37371"/>
    <n v="6028.97"/>
    <n v="106.66"/>
  </r>
  <r>
    <s v="10-Mar-2026"/>
    <x v="1"/>
    <s v="Week2-Mar-2026"/>
    <x v="6"/>
    <s v="28-Apr-2026"/>
    <s v="Tuesday"/>
    <s v="Monthly - Tuesday"/>
    <s v="Monthly - Tuesday"/>
    <s v="Month+1 Expiry"/>
    <n v="229431"/>
    <n v="37332.519999999997"/>
    <n v="557.72"/>
  </r>
  <r>
    <s v="10-Mar-2026"/>
    <x v="1"/>
    <s v="Week2-Mar-2026"/>
    <x v="6"/>
    <s v="26-May-2026"/>
    <s v="Tuesday"/>
    <s v="Monthly - Tuesday"/>
    <s v="Monthly - Tuesday"/>
    <s v="Month+2 Expiry"/>
    <n v="39323"/>
    <n v="6462.69"/>
    <n v="113.46"/>
  </r>
  <r>
    <s v="10-Mar-2026"/>
    <x v="1"/>
    <s v="Week2-Mar-2026"/>
    <x v="6"/>
    <s v="30-Jun-2026"/>
    <s v="Tuesday"/>
    <s v="Monthly - Tuesday"/>
    <s v="Monthly - Tuesday"/>
    <s v="Month+3 Expiry"/>
    <n v="89429"/>
    <n v="14201.56"/>
    <n v="250.94"/>
  </r>
  <r>
    <s v="10-Mar-2026"/>
    <x v="1"/>
    <s v="Week2-Mar-2026"/>
    <x v="6"/>
    <s v="29-Sep-2026"/>
    <s v="Tuesday"/>
    <s v="Monthly - Tuesday"/>
    <s v="Monthly - Tuesday"/>
    <s v="Month+6 Expiry"/>
    <n v="21544"/>
    <n v="3572.49"/>
    <n v="90"/>
  </r>
  <r>
    <s v="10-Mar-2026"/>
    <x v="1"/>
    <s v="Week2-Mar-2026"/>
    <x v="6"/>
    <s v="29-Dec-2026"/>
    <s v="Tuesday"/>
    <s v="Monthly - Tuesday"/>
    <s v="Monthly - Tuesday"/>
    <s v="Month+9 Expiry"/>
    <n v="38255"/>
    <n v="6365.18"/>
    <n v="192.14"/>
  </r>
  <r>
    <s v="10-Mar-2026"/>
    <x v="1"/>
    <s v="Week2-Mar-2026"/>
    <x v="6"/>
    <s v="29-Jun-2027"/>
    <s v="Tuesday"/>
    <s v="Monthly - Tuesday"/>
    <s v="Monthly - Tuesday"/>
    <s v="Month+15 Expiry"/>
    <n v="0"/>
    <n v="0"/>
    <n v="0"/>
  </r>
  <r>
    <s v="10-Mar-2026"/>
    <x v="1"/>
    <s v="Week2-Mar-2026"/>
    <x v="6"/>
    <s v="28-Dec-2027"/>
    <s v="Tuesday"/>
    <s v="Monthly - Tuesday"/>
    <s v="Monthly - Tuesday"/>
    <s v="Month+21 Expiry"/>
    <n v="113"/>
    <n v="19.05"/>
    <n v="1"/>
  </r>
  <r>
    <s v="10-Mar-2026"/>
    <x v="1"/>
    <s v="Week2-Mar-2026"/>
    <x v="6"/>
    <s v="27-Jun-2028"/>
    <s v="Tuesday"/>
    <s v="Monthly - Tuesday"/>
    <s v="Monthly - Tuesday"/>
    <s v="Month+27 Expiry"/>
    <n v="2"/>
    <n v="0.28999999999999998"/>
    <n v="0.01"/>
  </r>
  <r>
    <s v="10-Mar-2026"/>
    <x v="1"/>
    <s v="Week2-Mar-2026"/>
    <x v="6"/>
    <s v="26-Dec-2028"/>
    <s v="Tuesday"/>
    <s v="Monthly - Tuesday"/>
    <s v="Monthly - Tuesday"/>
    <s v="Month+33 Expiry"/>
    <n v="5"/>
    <n v="0.88"/>
    <n v="0.05"/>
  </r>
  <r>
    <s v="10-Mar-2026"/>
    <x v="1"/>
    <s v="Week2-Mar-2026"/>
    <x v="6"/>
    <s v="26-Jun-2029"/>
    <s v="Tuesday"/>
    <s v="Monthly - Tuesday"/>
    <s v="Monthly - Tuesday"/>
    <s v="Month+39 Expiry"/>
    <n v="0"/>
    <n v="0"/>
    <n v="0"/>
  </r>
  <r>
    <s v="10-Mar-2026"/>
    <x v="1"/>
    <s v="Week2-Mar-2026"/>
    <x v="6"/>
    <s v="24-Dec-2029"/>
    <s v="Monday"/>
    <s v="Weekly - Monday"/>
    <s v="Weekly - Monday"/>
    <s v="Month+45 Expiry"/>
    <n v="0"/>
    <n v="0"/>
    <n v="0"/>
  </r>
  <r>
    <s v="10-Mar-2026"/>
    <x v="1"/>
    <s v="Week2-Mar-2026"/>
    <x v="6"/>
    <s v="25-Jun-2030"/>
    <s v="Tuesday"/>
    <s v="Monthly - Tuesday"/>
    <s v="Monthly - Tuesday"/>
    <s v="Month+51 Expiry"/>
    <n v="0"/>
    <n v="0"/>
    <n v="0"/>
  </r>
  <r>
    <s v="10-Mar-2026"/>
    <x v="1"/>
    <s v="Week2-Mar-2026"/>
    <x v="6"/>
    <s v="31-Dec-2030"/>
    <s v="Tuesday"/>
    <s v="Monthly - Tuesday"/>
    <s v="Monthly - Tuesday"/>
    <s v="Month+57 Expiry"/>
    <n v="0"/>
    <n v="0"/>
    <n v="0"/>
  </r>
  <r>
    <s v="11-Mar-2026"/>
    <x v="2"/>
    <s v="Week2-Mar-2026"/>
    <x v="6"/>
    <s v="17-Mar-2026"/>
    <s v="Tuesday"/>
    <s v="Weekly - Tuesday"/>
    <s v="Weekly - Tuesday"/>
    <s v="Same Month Expiry"/>
    <n v="45503497"/>
    <n v="7167324.7699999996"/>
    <n v="44838.68"/>
  </r>
  <r>
    <s v="11-Mar-2026"/>
    <x v="2"/>
    <s v="Week2-Mar-2026"/>
    <x v="6"/>
    <s v="24-Mar-2026"/>
    <s v="Tuesday"/>
    <s v="Weekly - Tuesday"/>
    <s v="Weekly - Tuesday"/>
    <s v="Same Month Expiry"/>
    <n v="973670"/>
    <n v="155802.89000000001"/>
    <n v="1202.28"/>
  </r>
  <r>
    <s v="11-Mar-2026"/>
    <x v="2"/>
    <s v="Week2-Mar-2026"/>
    <x v="6"/>
    <s v="30-Mar-2026"/>
    <s v="Monday"/>
    <s v="Monthly - Monday"/>
    <s v="Monthly - Monday"/>
    <s v="Same Month Expiry"/>
    <n v="2172235"/>
    <n v="344649.92"/>
    <n v="3508.69"/>
  </r>
  <r>
    <s v="11-Mar-2026"/>
    <x v="2"/>
    <s v="Week2-Mar-2026"/>
    <x v="6"/>
    <s v="07-Apr-2026"/>
    <s v="Tuesday"/>
    <s v="Weekly - Tuesday"/>
    <s v="Weekly - Tuesday"/>
    <s v="Month+1 Expiry"/>
    <n v="55182"/>
    <n v="8877.1299999999992"/>
    <n v="154.09"/>
  </r>
  <r>
    <s v="11-Mar-2026"/>
    <x v="2"/>
    <s v="Week2-Mar-2026"/>
    <x v="6"/>
    <s v="13-Apr-2026"/>
    <s v="Monday"/>
    <s v="Weekly - Monday"/>
    <s v="Weekly - Monday"/>
    <s v="Month+1 Expiry"/>
    <n v="576"/>
    <n v="94.91"/>
    <n v="0.98"/>
  </r>
  <r>
    <s v="11-Mar-2026"/>
    <x v="2"/>
    <s v="Week2-Mar-2026"/>
    <x v="6"/>
    <s v="28-Apr-2026"/>
    <s v="Tuesday"/>
    <s v="Monthly - Tuesday"/>
    <s v="Monthly - Tuesday"/>
    <s v="Month+1 Expiry"/>
    <n v="245105"/>
    <n v="39813.31"/>
    <n v="568.15"/>
  </r>
  <r>
    <s v="11-Mar-2026"/>
    <x v="2"/>
    <s v="Week2-Mar-2026"/>
    <x v="6"/>
    <s v="26-May-2026"/>
    <s v="Tuesday"/>
    <s v="Monthly - Tuesday"/>
    <s v="Monthly - Tuesday"/>
    <s v="Month+2 Expiry"/>
    <n v="38810"/>
    <n v="6336.49"/>
    <n v="112.5"/>
  </r>
  <r>
    <s v="11-Mar-2026"/>
    <x v="2"/>
    <s v="Week2-Mar-2026"/>
    <x v="6"/>
    <s v="30-Jun-2026"/>
    <s v="Tuesday"/>
    <s v="Monthly - Tuesday"/>
    <s v="Monthly - Tuesday"/>
    <s v="Month+3 Expiry"/>
    <n v="89769"/>
    <n v="14137.89"/>
    <n v="251.14"/>
  </r>
  <r>
    <s v="11-Mar-2026"/>
    <x v="2"/>
    <s v="Week2-Mar-2026"/>
    <x v="6"/>
    <s v="29-Sep-2026"/>
    <s v="Tuesday"/>
    <s v="Monthly - Tuesday"/>
    <s v="Monthly - Tuesday"/>
    <s v="Month+6 Expiry"/>
    <n v="13907"/>
    <n v="2407.2199999999998"/>
    <n v="43.41"/>
  </r>
  <r>
    <s v="11-Mar-2026"/>
    <x v="2"/>
    <s v="Week2-Mar-2026"/>
    <x v="6"/>
    <s v="29-Dec-2026"/>
    <s v="Tuesday"/>
    <s v="Monthly - Tuesday"/>
    <s v="Monthly - Tuesday"/>
    <s v="Month+9 Expiry"/>
    <n v="44128"/>
    <n v="7277.86"/>
    <n v="214.01"/>
  </r>
  <r>
    <s v="11-Mar-2026"/>
    <x v="2"/>
    <s v="Week2-Mar-2026"/>
    <x v="6"/>
    <s v="29-Jun-2027"/>
    <s v="Tuesday"/>
    <s v="Monthly - Tuesday"/>
    <s v="Monthly - Tuesday"/>
    <s v="Month+15 Expiry"/>
    <n v="2"/>
    <n v="0.28000000000000003"/>
    <n v="0"/>
  </r>
  <r>
    <s v="11-Mar-2026"/>
    <x v="2"/>
    <s v="Week2-Mar-2026"/>
    <x v="6"/>
    <s v="28-Dec-2027"/>
    <s v="Tuesday"/>
    <s v="Monthly - Tuesday"/>
    <s v="Monthly - Tuesday"/>
    <s v="Month+21 Expiry"/>
    <n v="199"/>
    <n v="34.869999999999997"/>
    <n v="2.36"/>
  </r>
  <r>
    <s v="11-Mar-2026"/>
    <x v="2"/>
    <s v="Week2-Mar-2026"/>
    <x v="6"/>
    <s v="27-Jun-2028"/>
    <s v="Tuesday"/>
    <s v="Monthly - Tuesday"/>
    <s v="Monthly - Tuesday"/>
    <s v="Month+27 Expiry"/>
    <n v="2"/>
    <n v="0.28999999999999998"/>
    <n v="0.01"/>
  </r>
  <r>
    <s v="11-Mar-2026"/>
    <x v="2"/>
    <s v="Week2-Mar-2026"/>
    <x v="6"/>
    <s v="26-Dec-2028"/>
    <s v="Tuesday"/>
    <s v="Monthly - Tuesday"/>
    <s v="Monthly - Tuesday"/>
    <s v="Month+33 Expiry"/>
    <n v="6"/>
    <n v="1.1200000000000001"/>
    <n v="0.08"/>
  </r>
  <r>
    <s v="11-Mar-2026"/>
    <x v="2"/>
    <s v="Week2-Mar-2026"/>
    <x v="6"/>
    <s v="26-Jun-2029"/>
    <s v="Tuesday"/>
    <s v="Monthly - Tuesday"/>
    <s v="Monthly - Tuesday"/>
    <s v="Month+39 Expiry"/>
    <n v="0"/>
    <n v="0"/>
    <n v="0"/>
  </r>
  <r>
    <s v="11-Mar-2026"/>
    <x v="2"/>
    <s v="Week2-Mar-2026"/>
    <x v="6"/>
    <s v="24-Dec-2029"/>
    <s v="Monday"/>
    <s v="Weekly - Monday"/>
    <s v="Weekly - Monday"/>
    <s v="Month+45 Expiry"/>
    <n v="0"/>
    <n v="0"/>
    <n v="0"/>
  </r>
  <r>
    <s v="11-Mar-2026"/>
    <x v="2"/>
    <s v="Week2-Mar-2026"/>
    <x v="6"/>
    <s v="25-Jun-2030"/>
    <s v="Tuesday"/>
    <s v="Monthly - Tuesday"/>
    <s v="Monthly - Tuesday"/>
    <s v="Month+51 Expiry"/>
    <n v="0"/>
    <n v="0"/>
    <n v="0"/>
  </r>
  <r>
    <s v="11-Mar-2026"/>
    <x v="2"/>
    <s v="Week2-Mar-2026"/>
    <x v="6"/>
    <s v="31-Dec-2030"/>
    <s v="Tuesday"/>
    <s v="Monthly - Tuesday"/>
    <s v="Monthly - Tuesday"/>
    <s v="Month+57 Expiry"/>
    <n v="0"/>
    <n v="0"/>
    <n v="0"/>
  </r>
  <r>
    <s v="12-Mar-2026"/>
    <x v="3"/>
    <s v="Week2-Mar-2026"/>
    <x v="6"/>
    <s v="17-Mar-2026"/>
    <s v="Tuesday"/>
    <s v="Weekly - Tuesday"/>
    <s v="Weekly - Tuesday"/>
    <s v="Same Month Expiry"/>
    <n v="45091715"/>
    <n v="7035756.1600000001"/>
    <n v="39123.040000000001"/>
  </r>
  <r>
    <s v="12-Mar-2026"/>
    <x v="3"/>
    <s v="Week2-Mar-2026"/>
    <x v="6"/>
    <s v="24-Mar-2026"/>
    <s v="Tuesday"/>
    <s v="Weekly - Tuesday"/>
    <s v="Weekly - Tuesday"/>
    <s v="Same Month Expiry"/>
    <n v="1166287"/>
    <n v="184702.91"/>
    <n v="1459.39"/>
  </r>
  <r>
    <s v="12-Mar-2026"/>
    <x v="3"/>
    <s v="Week2-Mar-2026"/>
    <x v="6"/>
    <s v="30-Mar-2026"/>
    <s v="Monday"/>
    <s v="Monthly - Monday"/>
    <s v="Monthly - Monday"/>
    <s v="Same Month Expiry"/>
    <n v="2231977"/>
    <n v="351860"/>
    <n v="4085.87"/>
  </r>
  <r>
    <s v="12-Mar-2026"/>
    <x v="3"/>
    <s v="Week2-Mar-2026"/>
    <x v="6"/>
    <s v="07-Apr-2026"/>
    <s v="Tuesday"/>
    <s v="Weekly - Tuesday"/>
    <s v="Weekly - Tuesday"/>
    <s v="Month+1 Expiry"/>
    <n v="90675"/>
    <n v="14663.71"/>
    <n v="227.4"/>
  </r>
  <r>
    <s v="12-Mar-2026"/>
    <x v="3"/>
    <s v="Week2-Mar-2026"/>
    <x v="6"/>
    <s v="13-Apr-2026"/>
    <s v="Monday"/>
    <s v="Weekly - Monday"/>
    <s v="Weekly - Monday"/>
    <s v="Month+1 Expiry"/>
    <n v="1158"/>
    <n v="191.01"/>
    <n v="1.56"/>
  </r>
  <r>
    <s v="12-Mar-2026"/>
    <x v="3"/>
    <s v="Week2-Mar-2026"/>
    <x v="6"/>
    <s v="28-Apr-2026"/>
    <s v="Tuesday"/>
    <s v="Monthly - Tuesday"/>
    <s v="Monthly - Tuesday"/>
    <s v="Month+1 Expiry"/>
    <n v="289555"/>
    <n v="46889.64"/>
    <n v="751.97"/>
  </r>
  <r>
    <s v="12-Mar-2026"/>
    <x v="3"/>
    <s v="Week2-Mar-2026"/>
    <x v="6"/>
    <s v="26-May-2026"/>
    <s v="Tuesday"/>
    <s v="Monthly - Tuesday"/>
    <s v="Monthly - Tuesday"/>
    <s v="Month+2 Expiry"/>
    <n v="47360"/>
    <n v="7686.81"/>
    <n v="135.44"/>
  </r>
  <r>
    <s v="12-Mar-2026"/>
    <x v="3"/>
    <s v="Week2-Mar-2026"/>
    <x v="6"/>
    <s v="30-Jun-2026"/>
    <s v="Tuesday"/>
    <s v="Monthly - Tuesday"/>
    <s v="Monthly - Tuesday"/>
    <s v="Month+3 Expiry"/>
    <n v="128240"/>
    <n v="20107.25"/>
    <n v="381.2"/>
  </r>
  <r>
    <s v="12-Mar-2026"/>
    <x v="3"/>
    <s v="Week2-Mar-2026"/>
    <x v="6"/>
    <s v="29-Sep-2026"/>
    <s v="Tuesday"/>
    <s v="Monthly - Tuesday"/>
    <s v="Monthly - Tuesday"/>
    <s v="Month+6 Expiry"/>
    <n v="15869"/>
    <n v="2701.07"/>
    <n v="58.41"/>
  </r>
  <r>
    <s v="12-Mar-2026"/>
    <x v="3"/>
    <s v="Week2-Mar-2026"/>
    <x v="6"/>
    <s v="29-Dec-2026"/>
    <s v="Tuesday"/>
    <s v="Monthly - Tuesday"/>
    <s v="Monthly - Tuesday"/>
    <s v="Month+9 Expiry"/>
    <n v="39796"/>
    <n v="6575.76"/>
    <n v="198.31"/>
  </r>
  <r>
    <s v="12-Mar-2026"/>
    <x v="3"/>
    <s v="Week2-Mar-2026"/>
    <x v="6"/>
    <s v="29-Jun-2027"/>
    <s v="Tuesday"/>
    <s v="Monthly - Tuesday"/>
    <s v="Monthly - Tuesday"/>
    <s v="Month+15 Expiry"/>
    <n v="14"/>
    <n v="1.97"/>
    <n v="0.04"/>
  </r>
  <r>
    <s v="12-Mar-2026"/>
    <x v="3"/>
    <s v="Week2-Mar-2026"/>
    <x v="6"/>
    <s v="28-Dec-2027"/>
    <s v="Tuesday"/>
    <s v="Monthly - Tuesday"/>
    <s v="Monthly - Tuesday"/>
    <s v="Month+21 Expiry"/>
    <n v="154"/>
    <n v="26.67"/>
    <n v="1.6"/>
  </r>
  <r>
    <s v="12-Mar-2026"/>
    <x v="3"/>
    <s v="Week2-Mar-2026"/>
    <x v="6"/>
    <s v="27-Jun-2028"/>
    <s v="Tuesday"/>
    <s v="Monthly - Tuesday"/>
    <s v="Monthly - Tuesday"/>
    <s v="Month+27 Expiry"/>
    <n v="0"/>
    <n v="0"/>
    <n v="0"/>
  </r>
  <r>
    <s v="12-Mar-2026"/>
    <x v="3"/>
    <s v="Week2-Mar-2026"/>
    <x v="6"/>
    <s v="26-Dec-2028"/>
    <s v="Tuesday"/>
    <s v="Monthly - Tuesday"/>
    <s v="Monthly - Tuesday"/>
    <s v="Month+33 Expiry"/>
    <n v="32"/>
    <n v="5.63"/>
    <n v="0.35"/>
  </r>
  <r>
    <s v="12-Mar-2026"/>
    <x v="3"/>
    <s v="Week2-Mar-2026"/>
    <x v="6"/>
    <s v="26-Jun-2029"/>
    <s v="Tuesday"/>
    <s v="Monthly - Tuesday"/>
    <s v="Monthly - Tuesday"/>
    <s v="Month+39 Expiry"/>
    <n v="0"/>
    <n v="0"/>
    <n v="0"/>
  </r>
  <r>
    <s v="12-Mar-2026"/>
    <x v="3"/>
    <s v="Week2-Mar-2026"/>
    <x v="6"/>
    <s v="24-Dec-2029"/>
    <s v="Monday"/>
    <s v="Weekly - Monday"/>
    <s v="Weekly - Monday"/>
    <s v="Month+45 Expiry"/>
    <n v="0"/>
    <n v="0"/>
    <n v="0"/>
  </r>
  <r>
    <s v="12-Mar-2026"/>
    <x v="3"/>
    <s v="Week2-Mar-2026"/>
    <x v="6"/>
    <s v="25-Jun-2030"/>
    <s v="Tuesday"/>
    <s v="Monthly - Tuesday"/>
    <s v="Monthly - Tuesday"/>
    <s v="Month+51 Expiry"/>
    <n v="0"/>
    <n v="0"/>
    <n v="0"/>
  </r>
  <r>
    <s v="12-Mar-2026"/>
    <x v="3"/>
    <s v="Week2-Mar-2026"/>
    <x v="6"/>
    <s v="31-Dec-2030"/>
    <s v="Tuesday"/>
    <s v="Monthly - Tuesday"/>
    <s v="Monthly - Tuesday"/>
    <s v="Month+57 Expiry"/>
    <n v="0"/>
    <n v="0"/>
    <n v="0"/>
  </r>
  <r>
    <s v="13-Mar-2026"/>
    <x v="4"/>
    <s v="Week2-Mar-2026"/>
    <x v="6"/>
    <s v="17-Mar-2026"/>
    <s v="Tuesday"/>
    <s v="Weekly - Tuesday"/>
    <s v="Weekly - Tuesday"/>
    <s v="Same Month Expiry"/>
    <n v="86415855"/>
    <n v="13240560.24"/>
    <n v="73299.7"/>
  </r>
  <r>
    <s v="13-Mar-2026"/>
    <x v="4"/>
    <s v="Week2-Mar-2026"/>
    <x v="6"/>
    <s v="24-Mar-2026"/>
    <s v="Tuesday"/>
    <s v="Weekly - Tuesday"/>
    <s v="Weekly - Tuesday"/>
    <s v="Same Month Expiry"/>
    <n v="1929317"/>
    <n v="300783.78999999998"/>
    <n v="2609.4299999999998"/>
  </r>
  <r>
    <s v="13-Mar-2026"/>
    <x v="4"/>
    <s v="Week2-Mar-2026"/>
    <x v="6"/>
    <s v="30-Mar-2026"/>
    <s v="Monday"/>
    <s v="Monthly - Monday"/>
    <s v="Monthly - Monday"/>
    <s v="Same Month Expiry"/>
    <n v="3039475"/>
    <n v="471000.36"/>
    <n v="5847.79"/>
  </r>
  <r>
    <s v="13-Mar-2026"/>
    <x v="4"/>
    <s v="Week2-Mar-2026"/>
    <x v="6"/>
    <s v="07-Apr-2026"/>
    <s v="Tuesday"/>
    <s v="Weekly - Tuesday"/>
    <s v="Weekly - Tuesday"/>
    <s v="Month+1 Expiry"/>
    <n v="163559"/>
    <n v="26270.26"/>
    <n v="291.69"/>
  </r>
  <r>
    <s v="13-Mar-2026"/>
    <x v="4"/>
    <s v="Week2-Mar-2026"/>
    <x v="6"/>
    <s v="13-Apr-2026"/>
    <s v="Monday"/>
    <s v="Weekly - Monday"/>
    <s v="Weekly - Monday"/>
    <s v="Month+1 Expiry"/>
    <n v="2515"/>
    <n v="411.73"/>
    <n v="2.62"/>
  </r>
  <r>
    <s v="13-Mar-2026"/>
    <x v="4"/>
    <s v="Week2-Mar-2026"/>
    <x v="6"/>
    <s v="28-Apr-2026"/>
    <s v="Tuesday"/>
    <s v="Monthly - Tuesday"/>
    <s v="Monthly - Tuesday"/>
    <s v="Month+1 Expiry"/>
    <n v="504299"/>
    <n v="80826.34"/>
    <n v="1577.31"/>
  </r>
  <r>
    <s v="13-Mar-2026"/>
    <x v="4"/>
    <s v="Week2-Mar-2026"/>
    <x v="6"/>
    <s v="26-May-2026"/>
    <s v="Tuesday"/>
    <s v="Monthly - Tuesday"/>
    <s v="Monthly - Tuesday"/>
    <s v="Month+2 Expiry"/>
    <n v="88206"/>
    <n v="14239.52"/>
    <n v="302.38"/>
  </r>
  <r>
    <s v="13-Mar-2026"/>
    <x v="4"/>
    <s v="Week2-Mar-2026"/>
    <x v="6"/>
    <s v="30-Jun-2026"/>
    <s v="Tuesday"/>
    <s v="Monthly - Tuesday"/>
    <s v="Monthly - Tuesday"/>
    <s v="Month+3 Expiry"/>
    <n v="148500"/>
    <n v="23292.79"/>
    <n v="502.8"/>
  </r>
  <r>
    <s v="13-Mar-2026"/>
    <x v="4"/>
    <s v="Week2-Mar-2026"/>
    <x v="6"/>
    <s v="29-Sep-2026"/>
    <s v="Tuesday"/>
    <s v="Monthly - Tuesday"/>
    <s v="Monthly - Tuesday"/>
    <s v="Month+6 Expiry"/>
    <n v="27862"/>
    <n v="4617.13"/>
    <n v="123.06"/>
  </r>
  <r>
    <s v="13-Mar-2026"/>
    <x v="4"/>
    <s v="Week2-Mar-2026"/>
    <x v="6"/>
    <s v="29-Dec-2026"/>
    <s v="Tuesday"/>
    <s v="Monthly - Tuesday"/>
    <s v="Monthly - Tuesday"/>
    <s v="Month+9 Expiry"/>
    <n v="64860"/>
    <n v="10627.32"/>
    <n v="341.47"/>
  </r>
  <r>
    <s v="13-Mar-2026"/>
    <x v="4"/>
    <s v="Week2-Mar-2026"/>
    <x v="6"/>
    <s v="29-Jun-2027"/>
    <s v="Tuesday"/>
    <s v="Monthly - Tuesday"/>
    <s v="Monthly - Tuesday"/>
    <s v="Month+15 Expiry"/>
    <n v="3"/>
    <n v="0.45"/>
    <n v="0.02"/>
  </r>
  <r>
    <s v="13-Mar-2026"/>
    <x v="4"/>
    <s v="Week2-Mar-2026"/>
    <x v="6"/>
    <s v="28-Dec-2027"/>
    <s v="Tuesday"/>
    <s v="Monthly - Tuesday"/>
    <s v="Monthly - Tuesday"/>
    <s v="Month+21 Expiry"/>
    <n v="376"/>
    <n v="64.42"/>
    <n v="3.66"/>
  </r>
  <r>
    <s v="13-Mar-2026"/>
    <x v="4"/>
    <s v="Week2-Mar-2026"/>
    <x v="6"/>
    <s v="27-Jun-2028"/>
    <s v="Tuesday"/>
    <s v="Monthly - Tuesday"/>
    <s v="Monthly - Tuesday"/>
    <s v="Month+27 Expiry"/>
    <n v="3"/>
    <n v="0.44"/>
    <n v="0.01"/>
  </r>
  <r>
    <s v="13-Mar-2026"/>
    <x v="4"/>
    <s v="Week2-Mar-2026"/>
    <x v="6"/>
    <s v="26-Dec-2028"/>
    <s v="Tuesday"/>
    <s v="Monthly - Tuesday"/>
    <s v="Monthly - Tuesday"/>
    <s v="Month+33 Expiry"/>
    <n v="43"/>
    <n v="7.72"/>
    <n v="0.48"/>
  </r>
  <r>
    <s v="13-Mar-2026"/>
    <x v="4"/>
    <s v="Week2-Mar-2026"/>
    <x v="6"/>
    <s v="26-Jun-2029"/>
    <s v="Tuesday"/>
    <s v="Monthly - Tuesday"/>
    <s v="Monthly - Tuesday"/>
    <s v="Month+39 Expiry"/>
    <n v="2"/>
    <n v="0.32"/>
    <n v="0.01"/>
  </r>
  <r>
    <s v="13-Mar-2026"/>
    <x v="4"/>
    <s v="Week2-Mar-2026"/>
    <x v="6"/>
    <s v="24-Dec-2029"/>
    <s v="Monday"/>
    <s v="Weekly - Monday"/>
    <s v="Weekly - Monday"/>
    <s v="Month+45 Expiry"/>
    <n v="0"/>
    <n v="0"/>
    <n v="0"/>
  </r>
  <r>
    <s v="13-Mar-2026"/>
    <x v="4"/>
    <s v="Week2-Mar-2026"/>
    <x v="6"/>
    <s v="25-Jun-2030"/>
    <s v="Tuesday"/>
    <s v="Monthly - Tuesday"/>
    <s v="Monthly - Tuesday"/>
    <s v="Month+51 Expiry"/>
    <n v="0"/>
    <n v="0"/>
    <n v="0"/>
  </r>
  <r>
    <s v="13-Mar-2026"/>
    <x v="4"/>
    <s v="Week2-Mar-2026"/>
    <x v="6"/>
    <s v="31-Dec-2030"/>
    <s v="Tuesday"/>
    <s v="Monthly - Tuesday"/>
    <s v="Monthly - Tuesday"/>
    <s v="Month+57 Expiry"/>
    <n v="0"/>
    <n v="0"/>
    <n v="0"/>
  </r>
  <r>
    <s v="16-Mar-2026"/>
    <x v="0"/>
    <s v="Week3-Mar-2026"/>
    <x v="6"/>
    <s v="17-Mar-2026"/>
    <s v="Tuesday"/>
    <s v="Weekly - Tuesday"/>
    <s v="Weekly - Tuesday"/>
    <s v="Same Month Expiry"/>
    <n v="165495412"/>
    <n v="25126876.120000001"/>
    <n v="90205.31"/>
  </r>
  <r>
    <s v="16-Mar-2026"/>
    <x v="0"/>
    <s v="Week3-Mar-2026"/>
    <x v="6"/>
    <s v="24-Mar-2026"/>
    <s v="Tuesday"/>
    <s v="Weekly - Tuesday"/>
    <s v="Weekly - Tuesday"/>
    <s v="Same Month Expiry"/>
    <n v="4368452"/>
    <n v="673675.09"/>
    <n v="5071.05"/>
  </r>
  <r>
    <s v="16-Mar-2026"/>
    <x v="0"/>
    <s v="Week3-Mar-2026"/>
    <x v="6"/>
    <s v="30-Mar-2026"/>
    <s v="Monday"/>
    <s v="Monthly - Monday"/>
    <s v="Monthly - Monday"/>
    <s v="Same Month Expiry"/>
    <n v="2792637"/>
    <n v="429728.9"/>
    <n v="4840.72"/>
  </r>
  <r>
    <s v="16-Mar-2026"/>
    <x v="0"/>
    <s v="Week3-Mar-2026"/>
    <x v="6"/>
    <s v="07-Apr-2026"/>
    <s v="Tuesday"/>
    <s v="Weekly - Tuesday"/>
    <s v="Weekly - Tuesday"/>
    <s v="Month+1 Expiry"/>
    <n v="166792"/>
    <n v="26881.4"/>
    <n v="633.16999999999996"/>
  </r>
  <r>
    <s v="16-Mar-2026"/>
    <x v="0"/>
    <s v="Week3-Mar-2026"/>
    <x v="6"/>
    <s v="13-Apr-2026"/>
    <s v="Monday"/>
    <s v="Weekly - Monday"/>
    <s v="Weekly - Monday"/>
    <s v="Month+1 Expiry"/>
    <n v="3050"/>
    <n v="498.06"/>
    <n v="3.15"/>
  </r>
  <r>
    <s v="16-Mar-2026"/>
    <x v="0"/>
    <s v="Week3-Mar-2026"/>
    <x v="6"/>
    <s v="28-Apr-2026"/>
    <s v="Tuesday"/>
    <s v="Monthly - Tuesday"/>
    <s v="Monthly - Tuesday"/>
    <s v="Month+1 Expiry"/>
    <n v="344880"/>
    <n v="55240.46"/>
    <n v="1029.9000000000001"/>
  </r>
  <r>
    <s v="16-Mar-2026"/>
    <x v="0"/>
    <s v="Week3-Mar-2026"/>
    <x v="6"/>
    <s v="26-May-2026"/>
    <s v="Tuesday"/>
    <s v="Monthly - Tuesday"/>
    <s v="Monthly - Tuesday"/>
    <s v="Month+2 Expiry"/>
    <n v="69546"/>
    <n v="11190.13"/>
    <n v="250.41"/>
  </r>
  <r>
    <s v="16-Mar-2026"/>
    <x v="0"/>
    <s v="Week3-Mar-2026"/>
    <x v="6"/>
    <s v="30-Jun-2026"/>
    <s v="Tuesday"/>
    <s v="Monthly - Tuesday"/>
    <s v="Monthly - Tuesday"/>
    <s v="Month+3 Expiry"/>
    <n v="154428"/>
    <n v="24204.400000000001"/>
    <n v="541.59"/>
  </r>
  <r>
    <s v="16-Mar-2026"/>
    <x v="0"/>
    <s v="Week3-Mar-2026"/>
    <x v="6"/>
    <s v="29-Sep-2026"/>
    <s v="Tuesday"/>
    <s v="Monthly - Tuesday"/>
    <s v="Monthly - Tuesday"/>
    <s v="Month+6 Expiry"/>
    <n v="21750"/>
    <n v="3606.93"/>
    <n v="88.83"/>
  </r>
  <r>
    <s v="16-Mar-2026"/>
    <x v="0"/>
    <s v="Week3-Mar-2026"/>
    <x v="6"/>
    <s v="29-Dec-2026"/>
    <s v="Tuesday"/>
    <s v="Monthly - Tuesday"/>
    <s v="Monthly - Tuesday"/>
    <s v="Month+9 Expiry"/>
    <n v="57564"/>
    <n v="9368.7999999999993"/>
    <n v="324.10000000000002"/>
  </r>
  <r>
    <s v="16-Mar-2026"/>
    <x v="0"/>
    <s v="Week3-Mar-2026"/>
    <x v="6"/>
    <s v="29-Jun-2027"/>
    <s v="Tuesday"/>
    <s v="Monthly - Tuesday"/>
    <s v="Monthly - Tuesday"/>
    <s v="Month+15 Expiry"/>
    <n v="1"/>
    <n v="0.14000000000000001"/>
    <n v="0"/>
  </r>
  <r>
    <s v="16-Mar-2026"/>
    <x v="0"/>
    <s v="Week3-Mar-2026"/>
    <x v="6"/>
    <s v="28-Dec-2027"/>
    <s v="Tuesday"/>
    <s v="Monthly - Tuesday"/>
    <s v="Monthly - Tuesday"/>
    <s v="Month+21 Expiry"/>
    <n v="316"/>
    <n v="54.33"/>
    <n v="3.16"/>
  </r>
  <r>
    <s v="16-Mar-2026"/>
    <x v="0"/>
    <s v="Week3-Mar-2026"/>
    <x v="6"/>
    <s v="27-Jun-2028"/>
    <s v="Tuesday"/>
    <s v="Monthly - Tuesday"/>
    <s v="Monthly - Tuesday"/>
    <s v="Month+27 Expiry"/>
    <n v="0"/>
    <n v="0"/>
    <n v="0"/>
  </r>
  <r>
    <s v="16-Mar-2026"/>
    <x v="0"/>
    <s v="Week3-Mar-2026"/>
    <x v="6"/>
    <s v="26-Dec-2028"/>
    <s v="Tuesday"/>
    <s v="Monthly - Tuesday"/>
    <s v="Monthly - Tuesday"/>
    <s v="Month+33 Expiry"/>
    <n v="35"/>
    <n v="6.1"/>
    <n v="0.36"/>
  </r>
  <r>
    <s v="16-Mar-2026"/>
    <x v="0"/>
    <s v="Week3-Mar-2026"/>
    <x v="6"/>
    <s v="26-Jun-2029"/>
    <s v="Tuesday"/>
    <s v="Monthly - Tuesday"/>
    <s v="Monthly - Tuesday"/>
    <s v="Month+39 Expiry"/>
    <n v="0"/>
    <n v="0"/>
    <n v="0"/>
  </r>
  <r>
    <s v="16-Mar-2026"/>
    <x v="0"/>
    <s v="Week3-Mar-2026"/>
    <x v="6"/>
    <s v="24-Dec-2029"/>
    <s v="Monday"/>
    <s v="Weekly - Monday"/>
    <s v="Weekly - Monday"/>
    <s v="Month+45 Expiry"/>
    <n v="4"/>
    <n v="0.62"/>
    <n v="0.02"/>
  </r>
  <r>
    <s v="16-Mar-2026"/>
    <x v="0"/>
    <s v="Week3-Mar-2026"/>
    <x v="6"/>
    <s v="25-Jun-2030"/>
    <s v="Tuesday"/>
    <s v="Monthly - Tuesday"/>
    <s v="Monthly - Tuesday"/>
    <s v="Month+51 Expiry"/>
    <n v="1"/>
    <n v="0.14000000000000001"/>
    <n v="0"/>
  </r>
  <r>
    <s v="16-Mar-2026"/>
    <x v="0"/>
    <s v="Week3-Mar-2026"/>
    <x v="6"/>
    <s v="31-Dec-2030"/>
    <s v="Tuesday"/>
    <s v="Monthly - Tuesday"/>
    <s v="Monthly - Tuesday"/>
    <s v="Month+57 Expiry"/>
    <n v="0"/>
    <n v="0"/>
    <n v="0"/>
  </r>
  <r>
    <s v="17-Mar-2026"/>
    <x v="1"/>
    <s v="Week3-Mar-2026"/>
    <x v="6"/>
    <s v="17-Mar-2026"/>
    <s v="Tuesday"/>
    <s v="Weekly - Tuesday"/>
    <s v="Weekly - Tuesday"/>
    <s v="Same Month Expiry"/>
    <n v="487189787"/>
    <n v="74446189.200000003"/>
    <n v="90578.29"/>
  </r>
  <r>
    <s v="17-Mar-2026"/>
    <x v="1"/>
    <s v="Week3-Mar-2026"/>
    <x v="6"/>
    <s v="24-Mar-2026"/>
    <s v="Tuesday"/>
    <s v="Weekly - Tuesday"/>
    <s v="Weekly - Tuesday"/>
    <s v="Same Month Expiry"/>
    <n v="9877766"/>
    <n v="1518465.09"/>
    <n v="8612.9599999999991"/>
  </r>
  <r>
    <s v="17-Mar-2026"/>
    <x v="1"/>
    <s v="Week3-Mar-2026"/>
    <x v="6"/>
    <s v="30-Mar-2026"/>
    <s v="Monday"/>
    <s v="Monthly - Monday"/>
    <s v="Monthly - Monday"/>
    <s v="Same Month Expiry"/>
    <n v="2536605"/>
    <n v="393458.51"/>
    <n v="4136.8100000000004"/>
  </r>
  <r>
    <s v="17-Mar-2026"/>
    <x v="1"/>
    <s v="Week3-Mar-2026"/>
    <x v="6"/>
    <s v="07-Apr-2026"/>
    <s v="Tuesday"/>
    <s v="Weekly - Tuesday"/>
    <s v="Weekly - Tuesday"/>
    <s v="Month+1 Expiry"/>
    <n v="122963"/>
    <n v="19468.46"/>
    <n v="348.79"/>
  </r>
  <r>
    <s v="17-Mar-2026"/>
    <x v="1"/>
    <s v="Week3-Mar-2026"/>
    <x v="6"/>
    <s v="13-Apr-2026"/>
    <s v="Monday"/>
    <s v="Weekly - Monday"/>
    <s v="Weekly - Monday"/>
    <s v="Month+1 Expiry"/>
    <n v="3273"/>
    <n v="524.95000000000005"/>
    <n v="5.89"/>
  </r>
  <r>
    <s v="17-Mar-2026"/>
    <x v="1"/>
    <s v="Week3-Mar-2026"/>
    <x v="6"/>
    <s v="28-Apr-2026"/>
    <s v="Tuesday"/>
    <s v="Monthly - Tuesday"/>
    <s v="Monthly - Tuesday"/>
    <s v="Month+1 Expiry"/>
    <n v="316124"/>
    <n v="50404.89"/>
    <n v="857.47"/>
  </r>
  <r>
    <s v="17-Mar-2026"/>
    <x v="1"/>
    <s v="Week3-Mar-2026"/>
    <x v="6"/>
    <s v="26-May-2026"/>
    <s v="Tuesday"/>
    <s v="Monthly - Tuesday"/>
    <s v="Monthly - Tuesday"/>
    <s v="Month+2 Expiry"/>
    <n v="60962"/>
    <n v="9778.57"/>
    <n v="193.16"/>
  </r>
  <r>
    <s v="17-Mar-2026"/>
    <x v="1"/>
    <s v="Week3-Mar-2026"/>
    <x v="6"/>
    <s v="30-Jun-2026"/>
    <s v="Tuesday"/>
    <s v="Monthly - Tuesday"/>
    <s v="Monthly - Tuesday"/>
    <s v="Month+3 Expiry"/>
    <n v="96568"/>
    <n v="15206.42"/>
    <n v="286.20999999999998"/>
  </r>
  <r>
    <s v="17-Mar-2026"/>
    <x v="1"/>
    <s v="Week3-Mar-2026"/>
    <x v="6"/>
    <s v="29-Sep-2026"/>
    <s v="Tuesday"/>
    <s v="Monthly - Tuesday"/>
    <s v="Monthly - Tuesday"/>
    <s v="Month+6 Expiry"/>
    <n v="17881"/>
    <n v="2943.31"/>
    <n v="67.650000000000006"/>
  </r>
  <r>
    <s v="17-Mar-2026"/>
    <x v="1"/>
    <s v="Week3-Mar-2026"/>
    <x v="6"/>
    <s v="29-Dec-2026"/>
    <s v="Tuesday"/>
    <s v="Monthly - Tuesday"/>
    <s v="Monthly - Tuesday"/>
    <s v="Month+9 Expiry"/>
    <n v="25027"/>
    <n v="4068.91"/>
    <n v="128.76"/>
  </r>
  <r>
    <s v="17-Mar-2026"/>
    <x v="1"/>
    <s v="Week3-Mar-2026"/>
    <x v="6"/>
    <s v="29-Jun-2027"/>
    <s v="Tuesday"/>
    <s v="Monthly - Tuesday"/>
    <s v="Monthly - Tuesday"/>
    <s v="Month+15 Expiry"/>
    <n v="0"/>
    <n v="0"/>
    <n v="0"/>
  </r>
  <r>
    <s v="17-Mar-2026"/>
    <x v="1"/>
    <s v="Week3-Mar-2026"/>
    <x v="6"/>
    <s v="28-Dec-2027"/>
    <s v="Tuesday"/>
    <s v="Monthly - Tuesday"/>
    <s v="Monthly - Tuesday"/>
    <s v="Month+21 Expiry"/>
    <n v="236"/>
    <n v="40.74"/>
    <n v="2.48"/>
  </r>
  <r>
    <s v="17-Mar-2026"/>
    <x v="1"/>
    <s v="Week3-Mar-2026"/>
    <x v="6"/>
    <s v="27-Jun-2028"/>
    <s v="Tuesday"/>
    <s v="Monthly - Tuesday"/>
    <s v="Monthly - Tuesday"/>
    <s v="Month+27 Expiry"/>
    <n v="0"/>
    <n v="0"/>
    <n v="0"/>
  </r>
  <r>
    <s v="17-Mar-2026"/>
    <x v="1"/>
    <s v="Week3-Mar-2026"/>
    <x v="6"/>
    <s v="26-Dec-2028"/>
    <s v="Tuesday"/>
    <s v="Monthly - Tuesday"/>
    <s v="Monthly - Tuesday"/>
    <s v="Month+33 Expiry"/>
    <n v="7"/>
    <n v="1.22"/>
    <n v="7.0000000000000007E-2"/>
  </r>
  <r>
    <s v="17-Mar-2026"/>
    <x v="1"/>
    <s v="Week3-Mar-2026"/>
    <x v="6"/>
    <s v="26-Jun-2029"/>
    <s v="Tuesday"/>
    <s v="Monthly - Tuesday"/>
    <s v="Monthly - Tuesday"/>
    <s v="Month+39 Expiry"/>
    <n v="0"/>
    <n v="0"/>
    <n v="0"/>
  </r>
  <r>
    <s v="17-Mar-2026"/>
    <x v="1"/>
    <s v="Week3-Mar-2026"/>
    <x v="6"/>
    <s v="24-Dec-2029"/>
    <s v="Monday"/>
    <s v="Weekly - Monday"/>
    <s v="Weekly - Monday"/>
    <s v="Month+45 Expiry"/>
    <n v="2"/>
    <n v="0.31"/>
    <n v="0.01"/>
  </r>
  <r>
    <s v="17-Mar-2026"/>
    <x v="1"/>
    <s v="Week3-Mar-2026"/>
    <x v="6"/>
    <s v="25-Jun-2030"/>
    <s v="Tuesday"/>
    <s v="Monthly - Tuesday"/>
    <s v="Monthly - Tuesday"/>
    <s v="Month+51 Expiry"/>
    <n v="0"/>
    <n v="0"/>
    <n v="0"/>
  </r>
  <r>
    <s v="17-Mar-2026"/>
    <x v="1"/>
    <s v="Week3-Mar-2026"/>
    <x v="6"/>
    <s v="31-Dec-2030"/>
    <s v="Tuesday"/>
    <s v="Monthly - Tuesday"/>
    <s v="Monthly - Tuesday"/>
    <s v="Month+57 Expiry"/>
    <n v="0"/>
    <n v="0"/>
    <n v="0"/>
  </r>
  <r>
    <s v="18-Mar-2026"/>
    <x v="2"/>
    <s v="Week3-Mar-2026"/>
    <x v="6"/>
    <s v="24-Mar-2026"/>
    <s v="Tuesday"/>
    <s v="Weekly - Tuesday"/>
    <s v="Weekly - Tuesday"/>
    <s v="Same Month Expiry"/>
    <n v="48720056"/>
    <n v="7565522.9299999997"/>
    <n v="40630.550000000003"/>
  </r>
  <r>
    <s v="18-Mar-2026"/>
    <x v="2"/>
    <s v="Week3-Mar-2026"/>
    <x v="6"/>
    <s v="30-Mar-2026"/>
    <s v="Monday"/>
    <s v="Monthly - Monday"/>
    <s v="Monthly - Monday"/>
    <s v="Same Month Expiry"/>
    <n v="2908480"/>
    <n v="450556.52"/>
    <n v="3377.02"/>
  </r>
  <r>
    <s v="18-Mar-2026"/>
    <x v="2"/>
    <s v="Week3-Mar-2026"/>
    <x v="6"/>
    <s v="07-Apr-2026"/>
    <s v="Tuesday"/>
    <s v="Weekly - Tuesday"/>
    <s v="Weekly - Tuesday"/>
    <s v="Month+1 Expiry"/>
    <n v="197305"/>
    <n v="31094.59"/>
    <n v="334.48"/>
  </r>
  <r>
    <s v="18-Mar-2026"/>
    <x v="2"/>
    <s v="Week3-Mar-2026"/>
    <x v="6"/>
    <s v="13-Apr-2026"/>
    <s v="Monday"/>
    <s v="Weekly - Monday"/>
    <s v="Weekly - Monday"/>
    <s v="Month+1 Expiry"/>
    <n v="9089"/>
    <n v="1453.83"/>
    <n v="13.82"/>
  </r>
  <r>
    <s v="18-Mar-2026"/>
    <x v="2"/>
    <s v="Week3-Mar-2026"/>
    <x v="6"/>
    <s v="21-Apr-2026"/>
    <s v="Tuesday"/>
    <s v="Weekly - Tuesday"/>
    <s v="Weekly - Tuesday"/>
    <s v="Month+1 Expiry"/>
    <n v="632"/>
    <n v="99.72"/>
    <n v="2.0099999999999998"/>
  </r>
  <r>
    <s v="18-Mar-2026"/>
    <x v="2"/>
    <s v="Week3-Mar-2026"/>
    <x v="6"/>
    <s v="28-Apr-2026"/>
    <s v="Tuesday"/>
    <s v="Monthly - Tuesday"/>
    <s v="Monthly - Tuesday"/>
    <s v="Month+1 Expiry"/>
    <n v="341211"/>
    <n v="54272.46"/>
    <n v="859.87"/>
  </r>
  <r>
    <s v="18-Mar-2026"/>
    <x v="2"/>
    <s v="Week3-Mar-2026"/>
    <x v="6"/>
    <s v="26-May-2026"/>
    <s v="Tuesday"/>
    <s v="Monthly - Tuesday"/>
    <s v="Monthly - Tuesday"/>
    <s v="Month+2 Expiry"/>
    <n v="59695"/>
    <n v="9615.4599999999991"/>
    <n v="173.68"/>
  </r>
  <r>
    <s v="18-Mar-2026"/>
    <x v="2"/>
    <s v="Week3-Mar-2026"/>
    <x v="6"/>
    <s v="30-Jun-2026"/>
    <s v="Tuesday"/>
    <s v="Monthly - Tuesday"/>
    <s v="Monthly - Tuesday"/>
    <s v="Month+3 Expiry"/>
    <n v="102176"/>
    <n v="16236.56"/>
    <n v="372.82"/>
  </r>
  <r>
    <s v="18-Mar-2026"/>
    <x v="2"/>
    <s v="Week3-Mar-2026"/>
    <x v="6"/>
    <s v="29-Sep-2026"/>
    <s v="Tuesday"/>
    <s v="Monthly - Tuesday"/>
    <s v="Monthly - Tuesday"/>
    <s v="Month+6 Expiry"/>
    <n v="25458"/>
    <n v="4026.73"/>
    <n v="91.92"/>
  </r>
  <r>
    <s v="18-Mar-2026"/>
    <x v="2"/>
    <s v="Week3-Mar-2026"/>
    <x v="6"/>
    <s v="29-Dec-2026"/>
    <s v="Tuesday"/>
    <s v="Monthly - Tuesday"/>
    <s v="Monthly - Tuesday"/>
    <s v="Month+9 Expiry"/>
    <n v="34332"/>
    <n v="5472.09"/>
    <n v="157.18"/>
  </r>
  <r>
    <s v="18-Mar-2026"/>
    <x v="2"/>
    <s v="Week3-Mar-2026"/>
    <x v="6"/>
    <s v="29-Jun-2027"/>
    <s v="Tuesday"/>
    <s v="Monthly - Tuesday"/>
    <s v="Monthly - Tuesday"/>
    <s v="Month+15 Expiry"/>
    <n v="0"/>
    <n v="0"/>
    <n v="0"/>
  </r>
  <r>
    <s v="18-Mar-2026"/>
    <x v="2"/>
    <s v="Week3-Mar-2026"/>
    <x v="6"/>
    <s v="28-Dec-2027"/>
    <s v="Tuesday"/>
    <s v="Monthly - Tuesday"/>
    <s v="Monthly - Tuesday"/>
    <s v="Month+21 Expiry"/>
    <n v="199"/>
    <n v="35.56"/>
    <n v="2.15"/>
  </r>
  <r>
    <s v="18-Mar-2026"/>
    <x v="2"/>
    <s v="Week3-Mar-2026"/>
    <x v="6"/>
    <s v="27-Jun-2028"/>
    <s v="Tuesday"/>
    <s v="Monthly - Tuesday"/>
    <s v="Monthly - Tuesday"/>
    <s v="Month+27 Expiry"/>
    <n v="0"/>
    <n v="0"/>
    <n v="0"/>
  </r>
  <r>
    <s v="18-Mar-2026"/>
    <x v="2"/>
    <s v="Week3-Mar-2026"/>
    <x v="6"/>
    <s v="26-Dec-2028"/>
    <s v="Tuesday"/>
    <s v="Monthly - Tuesday"/>
    <s v="Monthly - Tuesday"/>
    <s v="Month+33 Expiry"/>
    <n v="19"/>
    <n v="3.47"/>
    <n v="0.22"/>
  </r>
  <r>
    <s v="18-Mar-2026"/>
    <x v="2"/>
    <s v="Week3-Mar-2026"/>
    <x v="6"/>
    <s v="26-Jun-2029"/>
    <s v="Tuesday"/>
    <s v="Monthly - Tuesday"/>
    <s v="Monthly - Tuesday"/>
    <s v="Month+39 Expiry"/>
    <n v="0"/>
    <n v="0"/>
    <n v="0"/>
  </r>
  <r>
    <s v="18-Mar-2026"/>
    <x v="2"/>
    <s v="Week3-Mar-2026"/>
    <x v="6"/>
    <s v="24-Dec-2029"/>
    <s v="Monday"/>
    <s v="Weekly - Monday"/>
    <s v="Weekly - Monday"/>
    <s v="Month+45 Expiry"/>
    <n v="1"/>
    <n v="0.17"/>
    <n v="0"/>
  </r>
  <r>
    <s v="18-Mar-2026"/>
    <x v="2"/>
    <s v="Week3-Mar-2026"/>
    <x v="6"/>
    <s v="25-Jun-2030"/>
    <s v="Tuesday"/>
    <s v="Monthly - Tuesday"/>
    <s v="Monthly - Tuesday"/>
    <s v="Month+51 Expiry"/>
    <n v="0"/>
    <n v="0"/>
    <n v="0"/>
  </r>
  <r>
    <s v="18-Mar-2026"/>
    <x v="2"/>
    <s v="Week3-Mar-2026"/>
    <x v="6"/>
    <s v="31-Dec-2030"/>
    <s v="Tuesday"/>
    <s v="Monthly - Tuesday"/>
    <s v="Monthly - Tuesday"/>
    <s v="Month+57 Expiry"/>
    <n v="0"/>
    <n v="0"/>
    <n v="0"/>
  </r>
  <r>
    <s v="19-Mar-2026"/>
    <x v="3"/>
    <s v="Week3-Mar-2026"/>
    <x v="6"/>
    <s v="24-Mar-2026"/>
    <s v="Tuesday"/>
    <s v="Weekly - Tuesday"/>
    <s v="Weekly - Tuesday"/>
    <s v="Same Month Expiry"/>
    <n v="48066366"/>
    <n v="7347578.5499999998"/>
    <n v="38811.35"/>
  </r>
  <r>
    <s v="19-Mar-2026"/>
    <x v="3"/>
    <s v="Week3-Mar-2026"/>
    <x v="6"/>
    <s v="30-Mar-2026"/>
    <s v="Monday"/>
    <s v="Monthly - Monday"/>
    <s v="Monthly - Monday"/>
    <s v="Same Month Expiry"/>
    <n v="4328422"/>
    <n v="662331.54"/>
    <n v="5823.84"/>
  </r>
  <r>
    <s v="19-Mar-2026"/>
    <x v="3"/>
    <s v="Week3-Mar-2026"/>
    <x v="6"/>
    <s v="07-Apr-2026"/>
    <s v="Tuesday"/>
    <s v="Weekly - Tuesday"/>
    <s v="Weekly - Tuesday"/>
    <s v="Month+1 Expiry"/>
    <n v="286098"/>
    <n v="44481.2"/>
    <n v="529.53"/>
  </r>
  <r>
    <s v="19-Mar-2026"/>
    <x v="3"/>
    <s v="Week3-Mar-2026"/>
    <x v="6"/>
    <s v="13-Apr-2026"/>
    <s v="Monday"/>
    <s v="Weekly - Monday"/>
    <s v="Weekly - Monday"/>
    <s v="Month+1 Expiry"/>
    <n v="19021"/>
    <n v="3005.5"/>
    <n v="35.47"/>
  </r>
  <r>
    <s v="19-Mar-2026"/>
    <x v="3"/>
    <s v="Week3-Mar-2026"/>
    <x v="6"/>
    <s v="21-Apr-2026"/>
    <s v="Tuesday"/>
    <s v="Weekly - Tuesday"/>
    <s v="Weekly - Tuesday"/>
    <s v="Month+1 Expiry"/>
    <n v="2661"/>
    <n v="417.82"/>
    <n v="7.98"/>
  </r>
  <r>
    <s v="19-Mar-2026"/>
    <x v="3"/>
    <s v="Week3-Mar-2026"/>
    <x v="6"/>
    <s v="28-Apr-2026"/>
    <s v="Tuesday"/>
    <s v="Monthly - Tuesday"/>
    <s v="Monthly - Tuesday"/>
    <s v="Month+1 Expiry"/>
    <n v="571952"/>
    <n v="90010.91"/>
    <n v="1529.82"/>
  </r>
  <r>
    <s v="19-Mar-2026"/>
    <x v="3"/>
    <s v="Week3-Mar-2026"/>
    <x v="6"/>
    <s v="26-May-2026"/>
    <s v="Tuesday"/>
    <s v="Monthly - Tuesday"/>
    <s v="Monthly - Tuesday"/>
    <s v="Month+2 Expiry"/>
    <n v="90000"/>
    <n v="14334.64"/>
    <n v="273.11"/>
  </r>
  <r>
    <s v="19-Mar-2026"/>
    <x v="3"/>
    <s v="Week3-Mar-2026"/>
    <x v="6"/>
    <s v="30-Jun-2026"/>
    <s v="Tuesday"/>
    <s v="Monthly - Tuesday"/>
    <s v="Monthly - Tuesday"/>
    <s v="Month+3 Expiry"/>
    <n v="131124"/>
    <n v="20571.78"/>
    <n v="455.42"/>
  </r>
  <r>
    <s v="19-Mar-2026"/>
    <x v="3"/>
    <s v="Week3-Mar-2026"/>
    <x v="6"/>
    <s v="29-Sep-2026"/>
    <s v="Tuesday"/>
    <s v="Monthly - Tuesday"/>
    <s v="Monthly - Tuesday"/>
    <s v="Month+6 Expiry"/>
    <n v="20456"/>
    <n v="3345.13"/>
    <n v="84.26"/>
  </r>
  <r>
    <s v="19-Mar-2026"/>
    <x v="3"/>
    <s v="Week3-Mar-2026"/>
    <x v="6"/>
    <s v="29-Dec-2026"/>
    <s v="Tuesday"/>
    <s v="Monthly - Tuesday"/>
    <s v="Monthly - Tuesday"/>
    <s v="Month+9 Expiry"/>
    <n v="38609"/>
    <n v="6302.58"/>
    <n v="228.07"/>
  </r>
  <r>
    <s v="19-Mar-2026"/>
    <x v="3"/>
    <s v="Week3-Mar-2026"/>
    <x v="6"/>
    <s v="29-Jun-2027"/>
    <s v="Tuesday"/>
    <s v="Monthly - Tuesday"/>
    <s v="Monthly - Tuesday"/>
    <s v="Month+15 Expiry"/>
    <n v="0"/>
    <n v="0"/>
    <n v="0"/>
  </r>
  <r>
    <s v="19-Mar-2026"/>
    <x v="3"/>
    <s v="Week3-Mar-2026"/>
    <x v="6"/>
    <s v="28-Dec-2027"/>
    <s v="Tuesday"/>
    <s v="Monthly - Tuesday"/>
    <s v="Monthly - Tuesday"/>
    <s v="Month+21 Expiry"/>
    <n v="286"/>
    <n v="49.14"/>
    <n v="3.06"/>
  </r>
  <r>
    <s v="19-Mar-2026"/>
    <x v="3"/>
    <s v="Week3-Mar-2026"/>
    <x v="6"/>
    <s v="27-Jun-2028"/>
    <s v="Tuesday"/>
    <s v="Monthly - Tuesday"/>
    <s v="Monthly - Tuesday"/>
    <s v="Month+27 Expiry"/>
    <n v="0"/>
    <n v="0"/>
    <n v="0"/>
  </r>
  <r>
    <s v="19-Mar-2026"/>
    <x v="3"/>
    <s v="Week3-Mar-2026"/>
    <x v="6"/>
    <s v="26-Dec-2028"/>
    <s v="Tuesday"/>
    <s v="Monthly - Tuesday"/>
    <s v="Monthly - Tuesday"/>
    <s v="Month+33 Expiry"/>
    <n v="24"/>
    <n v="4.18"/>
    <n v="0.25"/>
  </r>
  <r>
    <s v="19-Mar-2026"/>
    <x v="3"/>
    <s v="Week3-Mar-2026"/>
    <x v="6"/>
    <s v="26-Jun-2029"/>
    <s v="Tuesday"/>
    <s v="Monthly - Tuesday"/>
    <s v="Monthly - Tuesday"/>
    <s v="Month+39 Expiry"/>
    <n v="0"/>
    <n v="0"/>
    <n v="0"/>
  </r>
  <r>
    <s v="19-Mar-2026"/>
    <x v="3"/>
    <s v="Week3-Mar-2026"/>
    <x v="6"/>
    <s v="24-Dec-2029"/>
    <s v="Monday"/>
    <s v="Weekly - Monday"/>
    <s v="Weekly - Monday"/>
    <s v="Month+45 Expiry"/>
    <n v="8"/>
    <n v="1.24"/>
    <n v="0.05"/>
  </r>
  <r>
    <s v="19-Mar-2026"/>
    <x v="3"/>
    <s v="Week3-Mar-2026"/>
    <x v="6"/>
    <s v="25-Jun-2030"/>
    <s v="Tuesday"/>
    <s v="Monthly - Tuesday"/>
    <s v="Monthly - Tuesday"/>
    <s v="Month+51 Expiry"/>
    <n v="0"/>
    <n v="0"/>
    <n v="0"/>
  </r>
  <r>
    <s v="19-Mar-2026"/>
    <x v="3"/>
    <s v="Week3-Mar-2026"/>
    <x v="6"/>
    <s v="31-Dec-2030"/>
    <s v="Tuesday"/>
    <s v="Monthly - Tuesday"/>
    <s v="Monthly - Tuesday"/>
    <s v="Month+57 Expiry"/>
    <n v="0"/>
    <n v="0"/>
    <n v="0"/>
  </r>
  <r>
    <s v="20-Mar-2026"/>
    <x v="4"/>
    <s v="Week3-Mar-2026"/>
    <x v="6"/>
    <s v="24-Mar-2026"/>
    <s v="Tuesday"/>
    <s v="Weekly - Tuesday"/>
    <s v="Weekly - Tuesday"/>
    <s v="Same Month Expiry"/>
    <n v="87455313"/>
    <n v="13269429.43"/>
    <n v="76040.77"/>
  </r>
  <r>
    <s v="20-Mar-2026"/>
    <x v="4"/>
    <s v="Week3-Mar-2026"/>
    <x v="6"/>
    <s v="30-Mar-2026"/>
    <s v="Monday"/>
    <s v="Monthly - Monday"/>
    <s v="Monthly - Monday"/>
    <s v="Same Month Expiry"/>
    <n v="3849017"/>
    <n v="589188.27"/>
    <n v="5066.87"/>
  </r>
  <r>
    <s v="20-Mar-2026"/>
    <x v="4"/>
    <s v="Week3-Mar-2026"/>
    <x v="6"/>
    <s v="07-Apr-2026"/>
    <s v="Tuesday"/>
    <s v="Weekly - Tuesday"/>
    <s v="Weekly - Tuesday"/>
    <s v="Month+1 Expiry"/>
    <n v="284971"/>
    <n v="44333.5"/>
    <n v="618.30999999999995"/>
  </r>
  <r>
    <s v="20-Mar-2026"/>
    <x v="4"/>
    <s v="Week3-Mar-2026"/>
    <x v="6"/>
    <s v="13-Apr-2026"/>
    <s v="Monday"/>
    <s v="Weekly - Monday"/>
    <s v="Weekly - Monday"/>
    <s v="Month+1 Expiry"/>
    <n v="18476"/>
    <n v="2920.26"/>
    <n v="33.03"/>
  </r>
  <r>
    <s v="20-Mar-2026"/>
    <x v="4"/>
    <s v="Week3-Mar-2026"/>
    <x v="6"/>
    <s v="21-Apr-2026"/>
    <s v="Tuesday"/>
    <s v="Weekly - Tuesday"/>
    <s v="Weekly - Tuesday"/>
    <s v="Month+1 Expiry"/>
    <n v="2415"/>
    <n v="379.52"/>
    <n v="6.68"/>
  </r>
  <r>
    <s v="20-Mar-2026"/>
    <x v="4"/>
    <s v="Week3-Mar-2026"/>
    <x v="6"/>
    <s v="28-Apr-2026"/>
    <s v="Tuesday"/>
    <s v="Monthly - Tuesday"/>
    <s v="Monthly - Tuesday"/>
    <s v="Month+1 Expiry"/>
    <n v="443621"/>
    <n v="69785.429999999993"/>
    <n v="1171.8499999999999"/>
  </r>
  <r>
    <s v="20-Mar-2026"/>
    <x v="4"/>
    <s v="Week3-Mar-2026"/>
    <x v="6"/>
    <s v="26-May-2026"/>
    <s v="Tuesday"/>
    <s v="Monthly - Tuesday"/>
    <s v="Monthly - Tuesday"/>
    <s v="Month+2 Expiry"/>
    <n v="58373"/>
    <n v="9363.8700000000008"/>
    <n v="182.43"/>
  </r>
  <r>
    <s v="20-Mar-2026"/>
    <x v="4"/>
    <s v="Week3-Mar-2026"/>
    <x v="6"/>
    <s v="30-Jun-2026"/>
    <s v="Tuesday"/>
    <s v="Monthly - Tuesday"/>
    <s v="Monthly - Tuesday"/>
    <s v="Month+3 Expiry"/>
    <n v="89800"/>
    <n v="13913.35"/>
    <n v="314.76"/>
  </r>
  <r>
    <s v="20-Mar-2026"/>
    <x v="4"/>
    <s v="Week3-Mar-2026"/>
    <x v="6"/>
    <s v="29-Sep-2026"/>
    <s v="Tuesday"/>
    <s v="Monthly - Tuesday"/>
    <s v="Monthly - Tuesday"/>
    <s v="Month+6 Expiry"/>
    <n v="10712"/>
    <n v="1782.37"/>
    <n v="43.04"/>
  </r>
  <r>
    <s v="20-Mar-2026"/>
    <x v="4"/>
    <s v="Week3-Mar-2026"/>
    <x v="6"/>
    <s v="29-Dec-2026"/>
    <s v="Tuesday"/>
    <s v="Monthly - Tuesday"/>
    <s v="Monthly - Tuesday"/>
    <s v="Month+9 Expiry"/>
    <n v="31714"/>
    <n v="5198.08"/>
    <n v="179.77"/>
  </r>
  <r>
    <s v="20-Mar-2026"/>
    <x v="4"/>
    <s v="Week3-Mar-2026"/>
    <x v="6"/>
    <s v="29-Jun-2027"/>
    <s v="Tuesday"/>
    <s v="Monthly - Tuesday"/>
    <s v="Monthly - Tuesday"/>
    <s v="Month+15 Expiry"/>
    <n v="0"/>
    <n v="0"/>
    <n v="0"/>
  </r>
  <r>
    <s v="20-Mar-2026"/>
    <x v="4"/>
    <s v="Week3-Mar-2026"/>
    <x v="6"/>
    <s v="28-Dec-2027"/>
    <s v="Tuesday"/>
    <s v="Monthly - Tuesday"/>
    <s v="Monthly - Tuesday"/>
    <s v="Month+21 Expiry"/>
    <n v="183"/>
    <n v="31.41"/>
    <n v="1.99"/>
  </r>
  <r>
    <s v="20-Mar-2026"/>
    <x v="4"/>
    <s v="Week3-Mar-2026"/>
    <x v="6"/>
    <s v="27-Jun-2028"/>
    <s v="Tuesday"/>
    <s v="Monthly - Tuesday"/>
    <s v="Monthly - Tuesday"/>
    <s v="Month+27 Expiry"/>
    <n v="0"/>
    <n v="0"/>
    <n v="0"/>
  </r>
  <r>
    <s v="20-Mar-2026"/>
    <x v="4"/>
    <s v="Week3-Mar-2026"/>
    <x v="6"/>
    <s v="26-Dec-2028"/>
    <s v="Tuesday"/>
    <s v="Monthly - Tuesday"/>
    <s v="Monthly - Tuesday"/>
    <s v="Month+33 Expiry"/>
    <n v="6"/>
    <n v="0.98"/>
    <n v="0.05"/>
  </r>
  <r>
    <s v="20-Mar-2026"/>
    <x v="4"/>
    <s v="Week3-Mar-2026"/>
    <x v="6"/>
    <s v="26-Jun-2029"/>
    <s v="Tuesday"/>
    <s v="Monthly - Tuesday"/>
    <s v="Monthly - Tuesday"/>
    <s v="Month+39 Expiry"/>
    <n v="0"/>
    <n v="0"/>
    <n v="0"/>
  </r>
  <r>
    <s v="20-Mar-2026"/>
    <x v="4"/>
    <s v="Week3-Mar-2026"/>
    <x v="6"/>
    <s v="24-Dec-2029"/>
    <s v="Monday"/>
    <s v="Weekly - Monday"/>
    <s v="Weekly - Monday"/>
    <s v="Month+45 Expiry"/>
    <n v="1"/>
    <n v="0.16"/>
    <n v="0.01"/>
  </r>
  <r>
    <s v="20-Mar-2026"/>
    <x v="4"/>
    <s v="Week3-Mar-2026"/>
    <x v="6"/>
    <s v="25-Jun-2030"/>
    <s v="Tuesday"/>
    <s v="Monthly - Tuesday"/>
    <s v="Monthly - Tuesday"/>
    <s v="Month+51 Expiry"/>
    <n v="0"/>
    <n v="0"/>
    <n v="0"/>
  </r>
  <r>
    <s v="20-Mar-2026"/>
    <x v="4"/>
    <s v="Week3-Mar-2026"/>
    <x v="6"/>
    <s v="31-Dec-2030"/>
    <s v="Tuesday"/>
    <s v="Monthly - Tuesday"/>
    <s v="Monthly - Tuesday"/>
    <s v="Month+57 Expiry"/>
    <n v="0"/>
    <n v="0"/>
    <n v="0"/>
  </r>
  <r>
    <s v="23-Mar-2026"/>
    <x v="0"/>
    <s v="Week4-Mar-2026"/>
    <x v="6"/>
    <s v="24-Mar-2026"/>
    <s v="Tuesday"/>
    <s v="Weekly - Tuesday"/>
    <s v="Weekly - Tuesday"/>
    <s v="Same Month Expiry"/>
    <n v="108697023"/>
    <n v="16116920.029999999"/>
    <n v="79023.77"/>
  </r>
  <r>
    <s v="23-Mar-2026"/>
    <x v="0"/>
    <s v="Week4-Mar-2026"/>
    <x v="6"/>
    <s v="30-Mar-2026"/>
    <s v="Monday"/>
    <s v="Monthly - Monday"/>
    <s v="Monthly - Monday"/>
    <s v="Same Month Expiry"/>
    <n v="5896514"/>
    <n v="882964.29"/>
    <n v="8849.1299999999992"/>
  </r>
  <r>
    <s v="23-Mar-2026"/>
    <x v="0"/>
    <s v="Week4-Mar-2026"/>
    <x v="6"/>
    <s v="07-Apr-2026"/>
    <s v="Tuesday"/>
    <s v="Weekly - Tuesday"/>
    <s v="Weekly - Tuesday"/>
    <s v="Month+1 Expiry"/>
    <n v="529770"/>
    <n v="82042.740000000005"/>
    <n v="1539.6"/>
  </r>
  <r>
    <s v="23-Mar-2026"/>
    <x v="0"/>
    <s v="Week4-Mar-2026"/>
    <x v="6"/>
    <s v="13-Apr-2026"/>
    <s v="Monday"/>
    <s v="Weekly - Monday"/>
    <s v="Weekly - Monday"/>
    <s v="Month+1 Expiry"/>
    <n v="35027"/>
    <n v="5525.65"/>
    <n v="59.12"/>
  </r>
  <r>
    <s v="23-Mar-2026"/>
    <x v="0"/>
    <s v="Week4-Mar-2026"/>
    <x v="6"/>
    <s v="21-Apr-2026"/>
    <s v="Tuesday"/>
    <s v="Weekly - Tuesday"/>
    <s v="Weekly - Tuesday"/>
    <s v="Month+1 Expiry"/>
    <n v="2944"/>
    <n v="462.51"/>
    <n v="5.97"/>
  </r>
  <r>
    <s v="23-Mar-2026"/>
    <x v="0"/>
    <s v="Week4-Mar-2026"/>
    <x v="6"/>
    <s v="28-Apr-2026"/>
    <s v="Tuesday"/>
    <s v="Monthly - Tuesday"/>
    <s v="Monthly - Tuesday"/>
    <s v="Month+1 Expiry"/>
    <n v="797322"/>
    <n v="124229.74"/>
    <n v="2630.17"/>
  </r>
  <r>
    <s v="23-Mar-2026"/>
    <x v="0"/>
    <s v="Week4-Mar-2026"/>
    <x v="6"/>
    <s v="26-May-2026"/>
    <s v="Tuesday"/>
    <s v="Monthly - Tuesday"/>
    <s v="Monthly - Tuesday"/>
    <s v="Month+2 Expiry"/>
    <n v="118646"/>
    <n v="18599.02"/>
    <n v="444.78"/>
  </r>
  <r>
    <s v="23-Mar-2026"/>
    <x v="0"/>
    <s v="Week4-Mar-2026"/>
    <x v="6"/>
    <s v="30-Jun-2026"/>
    <s v="Tuesday"/>
    <s v="Monthly - Tuesday"/>
    <s v="Monthly - Tuesday"/>
    <s v="Month+3 Expiry"/>
    <n v="180629"/>
    <n v="27906.63"/>
    <n v="807.35"/>
  </r>
  <r>
    <s v="23-Mar-2026"/>
    <x v="0"/>
    <s v="Week4-Mar-2026"/>
    <x v="6"/>
    <s v="29-Sep-2026"/>
    <s v="Tuesday"/>
    <s v="Monthly - Tuesday"/>
    <s v="Monthly - Tuesday"/>
    <s v="Month+6 Expiry"/>
    <n v="28159"/>
    <n v="4604.32"/>
    <n v="132.75"/>
  </r>
  <r>
    <s v="23-Mar-2026"/>
    <x v="0"/>
    <s v="Week4-Mar-2026"/>
    <x v="6"/>
    <s v="29-Dec-2026"/>
    <s v="Tuesday"/>
    <s v="Monthly - Tuesday"/>
    <s v="Monthly - Tuesday"/>
    <s v="Month+9 Expiry"/>
    <n v="69595"/>
    <n v="11223.67"/>
    <n v="421.03"/>
  </r>
  <r>
    <s v="23-Mar-2026"/>
    <x v="0"/>
    <s v="Week4-Mar-2026"/>
    <x v="6"/>
    <s v="29-Jun-2027"/>
    <s v="Tuesday"/>
    <s v="Monthly - Tuesday"/>
    <s v="Monthly - Tuesday"/>
    <s v="Month+15 Expiry"/>
    <n v="0"/>
    <n v="0"/>
    <n v="0"/>
  </r>
  <r>
    <s v="23-Mar-2026"/>
    <x v="0"/>
    <s v="Week4-Mar-2026"/>
    <x v="6"/>
    <s v="28-Dec-2027"/>
    <s v="Tuesday"/>
    <s v="Monthly - Tuesday"/>
    <s v="Monthly - Tuesday"/>
    <s v="Month+21 Expiry"/>
    <n v="505"/>
    <n v="85.27"/>
    <n v="5.32"/>
  </r>
  <r>
    <s v="23-Mar-2026"/>
    <x v="0"/>
    <s v="Week4-Mar-2026"/>
    <x v="6"/>
    <s v="27-Jun-2028"/>
    <s v="Tuesday"/>
    <s v="Monthly - Tuesday"/>
    <s v="Monthly - Tuesday"/>
    <s v="Month+27 Expiry"/>
    <n v="7"/>
    <n v="1.04"/>
    <n v="0.04"/>
  </r>
  <r>
    <s v="23-Mar-2026"/>
    <x v="0"/>
    <s v="Week4-Mar-2026"/>
    <x v="6"/>
    <s v="26-Dec-2028"/>
    <s v="Tuesday"/>
    <s v="Monthly - Tuesday"/>
    <s v="Monthly - Tuesday"/>
    <s v="Month+33 Expiry"/>
    <n v="37"/>
    <n v="5.78"/>
    <n v="0.25"/>
  </r>
  <r>
    <s v="23-Mar-2026"/>
    <x v="0"/>
    <s v="Week4-Mar-2026"/>
    <x v="6"/>
    <s v="26-Jun-2029"/>
    <s v="Tuesday"/>
    <s v="Monthly - Tuesday"/>
    <s v="Monthly - Tuesday"/>
    <s v="Month+39 Expiry"/>
    <n v="0"/>
    <n v="0"/>
    <n v="0"/>
  </r>
  <r>
    <s v="23-Mar-2026"/>
    <x v="0"/>
    <s v="Week4-Mar-2026"/>
    <x v="6"/>
    <s v="24-Dec-2029"/>
    <s v="Monday"/>
    <s v="Weekly - Monday"/>
    <s v="Weekly - Monday"/>
    <s v="Month+45 Expiry"/>
    <n v="0"/>
    <n v="0"/>
    <n v="0"/>
  </r>
  <r>
    <s v="23-Mar-2026"/>
    <x v="0"/>
    <s v="Week4-Mar-2026"/>
    <x v="6"/>
    <s v="25-Jun-2030"/>
    <s v="Tuesday"/>
    <s v="Monthly - Tuesday"/>
    <s v="Monthly - Tuesday"/>
    <s v="Month+51 Expiry"/>
    <n v="0"/>
    <n v="0"/>
    <n v="0"/>
  </r>
  <r>
    <s v="23-Mar-2026"/>
    <x v="0"/>
    <s v="Week4-Mar-2026"/>
    <x v="6"/>
    <s v="31-Dec-2030"/>
    <s v="Tuesday"/>
    <s v="Monthly - Tuesday"/>
    <s v="Monthly - Tuesday"/>
    <s v="Month+57 Expiry"/>
    <n v="0"/>
    <n v="0"/>
    <n v="0"/>
  </r>
  <r>
    <s v="24-Mar-2026"/>
    <x v="1"/>
    <s v="Week4-Mar-2026"/>
    <x v="6"/>
    <s v="24-Mar-2026"/>
    <s v="Tuesday"/>
    <s v="Weekly - Tuesday"/>
    <s v="Weekly - Tuesday"/>
    <s v="Same Month Expiry"/>
    <n v="449887440"/>
    <n v="66970138.039999999"/>
    <n v="97871.19"/>
  </r>
  <r>
    <s v="24-Mar-2026"/>
    <x v="1"/>
    <s v="Week4-Mar-2026"/>
    <x v="6"/>
    <s v="30-Mar-2026"/>
    <s v="Monday"/>
    <s v="Monthly - Monday"/>
    <s v="MDAW - Monday"/>
    <s v="Same Month Expiry"/>
    <n v="12321123"/>
    <n v="1851460.35"/>
    <n v="13897.42"/>
  </r>
  <r>
    <s v="24-Mar-2026"/>
    <x v="1"/>
    <s v="Week4-Mar-2026"/>
    <x v="6"/>
    <s v="07-Apr-2026"/>
    <s v="Tuesday"/>
    <s v="Weekly - Tuesday"/>
    <s v="Weekly - Tuesday"/>
    <s v="Month+1 Expiry"/>
    <n v="693099"/>
    <n v="106295.86"/>
    <n v="1231.1600000000001"/>
  </r>
  <r>
    <s v="24-Mar-2026"/>
    <x v="1"/>
    <s v="Week4-Mar-2026"/>
    <x v="6"/>
    <s v="13-Apr-2026"/>
    <s v="Monday"/>
    <s v="Weekly - Monday"/>
    <s v="Weekly - Monday"/>
    <s v="Month+1 Expiry"/>
    <n v="45009"/>
    <n v="7091.96"/>
    <n v="85.46"/>
  </r>
  <r>
    <s v="24-Mar-2026"/>
    <x v="1"/>
    <s v="Week4-Mar-2026"/>
    <x v="6"/>
    <s v="21-Apr-2026"/>
    <s v="Tuesday"/>
    <s v="Weekly - Tuesday"/>
    <s v="Weekly - Tuesday"/>
    <s v="Month+1 Expiry"/>
    <n v="2939"/>
    <n v="461.32"/>
    <n v="6.65"/>
  </r>
  <r>
    <s v="24-Mar-2026"/>
    <x v="1"/>
    <s v="Week4-Mar-2026"/>
    <x v="6"/>
    <s v="28-Apr-2026"/>
    <s v="Tuesday"/>
    <s v="Monthly - Tuesday"/>
    <s v="Monthly - Tuesday"/>
    <s v="Month+1 Expiry"/>
    <n v="893752"/>
    <n v="139889.82999999999"/>
    <n v="2644.83"/>
  </r>
  <r>
    <s v="24-Mar-2026"/>
    <x v="1"/>
    <s v="Week4-Mar-2026"/>
    <x v="6"/>
    <s v="26-May-2026"/>
    <s v="Tuesday"/>
    <s v="Monthly - Tuesday"/>
    <s v="Monthly - Tuesday"/>
    <s v="Month+2 Expiry"/>
    <n v="85835"/>
    <n v="13555.48"/>
    <n v="269.98"/>
  </r>
  <r>
    <s v="24-Mar-2026"/>
    <x v="1"/>
    <s v="Week4-Mar-2026"/>
    <x v="6"/>
    <s v="30-Jun-2026"/>
    <s v="Tuesday"/>
    <s v="Monthly - Tuesday"/>
    <s v="Monthly - Tuesday"/>
    <s v="Month+3 Expiry"/>
    <n v="147734"/>
    <n v="23010.79"/>
    <n v="715.37"/>
  </r>
  <r>
    <s v="24-Mar-2026"/>
    <x v="1"/>
    <s v="Week4-Mar-2026"/>
    <x v="6"/>
    <s v="29-Sep-2026"/>
    <s v="Tuesday"/>
    <s v="Monthly - Tuesday"/>
    <s v="Monthly - Tuesday"/>
    <s v="Month+6 Expiry"/>
    <n v="14165"/>
    <n v="2314.85"/>
    <n v="63.44"/>
  </r>
  <r>
    <s v="24-Mar-2026"/>
    <x v="1"/>
    <s v="Week4-Mar-2026"/>
    <x v="6"/>
    <s v="29-Dec-2026"/>
    <s v="Tuesday"/>
    <s v="Monthly - Tuesday"/>
    <s v="Monthly - Tuesday"/>
    <s v="Month+9 Expiry"/>
    <n v="42691"/>
    <n v="6744.02"/>
    <n v="240.86"/>
  </r>
  <r>
    <s v="24-Mar-2026"/>
    <x v="1"/>
    <s v="Week4-Mar-2026"/>
    <x v="6"/>
    <s v="29-Jun-2027"/>
    <s v="Tuesday"/>
    <s v="Monthly - Tuesday"/>
    <s v="Monthly - Tuesday"/>
    <s v="Month+15 Expiry"/>
    <n v="0"/>
    <n v="0"/>
    <n v="0"/>
  </r>
  <r>
    <s v="24-Mar-2026"/>
    <x v="1"/>
    <s v="Week4-Mar-2026"/>
    <x v="6"/>
    <s v="28-Dec-2027"/>
    <s v="Tuesday"/>
    <s v="Monthly - Tuesday"/>
    <s v="Monthly - Tuesday"/>
    <s v="Month+21 Expiry"/>
    <n v="370"/>
    <n v="60.7"/>
    <n v="3.28"/>
  </r>
  <r>
    <s v="24-Mar-2026"/>
    <x v="1"/>
    <s v="Week4-Mar-2026"/>
    <x v="6"/>
    <s v="27-Jun-2028"/>
    <s v="Tuesday"/>
    <s v="Monthly - Tuesday"/>
    <s v="Monthly - Tuesday"/>
    <s v="Month+27 Expiry"/>
    <n v="1"/>
    <n v="0.15"/>
    <n v="0.01"/>
  </r>
  <r>
    <s v="24-Mar-2026"/>
    <x v="1"/>
    <s v="Week4-Mar-2026"/>
    <x v="6"/>
    <s v="26-Dec-2028"/>
    <s v="Tuesday"/>
    <s v="Monthly - Tuesday"/>
    <s v="Monthly - Tuesday"/>
    <s v="Month+33 Expiry"/>
    <n v="9"/>
    <n v="1.58"/>
    <n v="0.09"/>
  </r>
  <r>
    <s v="24-Mar-2026"/>
    <x v="1"/>
    <s v="Week4-Mar-2026"/>
    <x v="6"/>
    <s v="26-Jun-2029"/>
    <s v="Tuesday"/>
    <s v="Monthly - Tuesday"/>
    <s v="Monthly - Tuesday"/>
    <s v="Month+39 Expiry"/>
    <n v="0"/>
    <n v="0"/>
    <n v="0"/>
  </r>
  <r>
    <s v="24-Mar-2026"/>
    <x v="1"/>
    <s v="Week4-Mar-2026"/>
    <x v="6"/>
    <s v="24-Dec-2029"/>
    <s v="Monday"/>
    <s v="Weekly - Monday"/>
    <s v="Weekly - Monday"/>
    <s v="Month+45 Expiry"/>
    <n v="0"/>
    <n v="0"/>
    <n v="0"/>
  </r>
  <r>
    <s v="24-Mar-2026"/>
    <x v="1"/>
    <s v="Week4-Mar-2026"/>
    <x v="6"/>
    <s v="25-Jun-2030"/>
    <s v="Tuesday"/>
    <s v="Monthly - Tuesday"/>
    <s v="Monthly - Tuesday"/>
    <s v="Month+51 Expiry"/>
    <n v="0"/>
    <n v="0"/>
    <n v="0"/>
  </r>
  <r>
    <s v="24-Mar-2026"/>
    <x v="1"/>
    <s v="Week4-Mar-2026"/>
    <x v="6"/>
    <s v="31-Dec-2030"/>
    <s v="Tuesday"/>
    <s v="Monthly - Tuesday"/>
    <s v="Monthly - Tuesday"/>
    <s v="Month+57 Expiry"/>
    <n v="0"/>
    <n v="0"/>
    <n v="0"/>
  </r>
  <r>
    <s v="25-Mar-2026"/>
    <x v="2"/>
    <s v="Week4-Mar-2026"/>
    <x v="6"/>
    <s v="30-Mar-2026"/>
    <s v="Monday"/>
    <s v="Monthly - Monday"/>
    <s v="MDAW - Monday"/>
    <s v="Same Month Expiry"/>
    <n v="38576219"/>
    <n v="5882073.7699999996"/>
    <n v="38949.64"/>
  </r>
  <r>
    <s v="25-Mar-2026"/>
    <x v="2"/>
    <s v="Week4-Mar-2026"/>
    <x v="6"/>
    <s v="07-Apr-2026"/>
    <s v="Tuesday"/>
    <s v="Weekly - Tuesday"/>
    <s v="Weekly - Tuesday"/>
    <s v="Month+1 Expiry"/>
    <n v="1416084"/>
    <n v="218360.55"/>
    <n v="2292.4699999999998"/>
  </r>
  <r>
    <s v="25-Mar-2026"/>
    <x v="2"/>
    <s v="Week4-Mar-2026"/>
    <x v="6"/>
    <s v="13-Apr-2026"/>
    <s v="Monday"/>
    <s v="Weekly - Monday"/>
    <s v="Weekly - Monday"/>
    <s v="Month+1 Expiry"/>
    <n v="80591"/>
    <n v="12644.13"/>
    <n v="161.57"/>
  </r>
  <r>
    <s v="25-Mar-2026"/>
    <x v="2"/>
    <s v="Week4-Mar-2026"/>
    <x v="6"/>
    <s v="21-Apr-2026"/>
    <s v="Tuesday"/>
    <s v="Weekly - Tuesday"/>
    <s v="Weekly - Tuesday"/>
    <s v="Month+1 Expiry"/>
    <n v="10545"/>
    <n v="1645.31"/>
    <n v="31.81"/>
  </r>
  <r>
    <s v="25-Mar-2026"/>
    <x v="2"/>
    <s v="Week4-Mar-2026"/>
    <x v="6"/>
    <s v="28-Apr-2026"/>
    <s v="Tuesday"/>
    <s v="Monthly - Tuesday"/>
    <s v="Monthly - Tuesday"/>
    <s v="Month+1 Expiry"/>
    <n v="954300"/>
    <n v="150228.74"/>
    <n v="2619.04"/>
  </r>
  <r>
    <s v="25-Mar-2026"/>
    <x v="2"/>
    <s v="Week4-Mar-2026"/>
    <x v="6"/>
    <s v="05-May-2026"/>
    <s v="Tuesday"/>
    <s v="Weekly - Tuesday"/>
    <s v="Weekly - Tuesday"/>
    <s v="Month+2 Expiry"/>
    <n v="20"/>
    <n v="3.16"/>
    <n v="0.09"/>
  </r>
  <r>
    <s v="25-Mar-2026"/>
    <x v="2"/>
    <s v="Week4-Mar-2026"/>
    <x v="6"/>
    <s v="26-May-2026"/>
    <s v="Tuesday"/>
    <s v="Monthly - Tuesday"/>
    <s v="Monthly - Tuesday"/>
    <s v="Month+2 Expiry"/>
    <n v="108189"/>
    <n v="17282.64"/>
    <n v="363.79"/>
  </r>
  <r>
    <s v="25-Mar-2026"/>
    <x v="2"/>
    <s v="Week4-Mar-2026"/>
    <x v="6"/>
    <s v="30-Jun-2026"/>
    <s v="Tuesday"/>
    <s v="Monthly - Tuesday"/>
    <s v="Monthly - Tuesday"/>
    <s v="Month+3 Expiry"/>
    <n v="145380"/>
    <n v="23028.5"/>
    <n v="656.07"/>
  </r>
  <r>
    <s v="25-Mar-2026"/>
    <x v="2"/>
    <s v="Week4-Mar-2026"/>
    <x v="6"/>
    <s v="29-Sep-2026"/>
    <s v="Tuesday"/>
    <s v="Monthly - Tuesday"/>
    <s v="Monthly - Tuesday"/>
    <s v="Month+6 Expiry"/>
    <n v="13909"/>
    <n v="2312.8200000000002"/>
    <n v="61.6"/>
  </r>
  <r>
    <s v="25-Mar-2026"/>
    <x v="2"/>
    <s v="Week4-Mar-2026"/>
    <x v="6"/>
    <s v="29-Dec-2026"/>
    <s v="Tuesday"/>
    <s v="Monthly - Tuesday"/>
    <s v="Monthly - Tuesday"/>
    <s v="Month+9 Expiry"/>
    <n v="45436"/>
    <n v="7321.97"/>
    <n v="215.42"/>
  </r>
  <r>
    <s v="25-Mar-2026"/>
    <x v="2"/>
    <s v="Week4-Mar-2026"/>
    <x v="6"/>
    <s v="29-Jun-2027"/>
    <s v="Tuesday"/>
    <s v="Monthly - Tuesday"/>
    <s v="Monthly - Tuesday"/>
    <s v="Month+15 Expiry"/>
    <n v="0"/>
    <n v="0"/>
    <n v="0"/>
  </r>
  <r>
    <s v="25-Mar-2026"/>
    <x v="2"/>
    <s v="Week4-Mar-2026"/>
    <x v="6"/>
    <s v="28-Dec-2027"/>
    <s v="Tuesday"/>
    <s v="Monthly - Tuesday"/>
    <s v="Monthly - Tuesday"/>
    <s v="Month+21 Expiry"/>
    <n v="364"/>
    <n v="58.45"/>
    <n v="2.99"/>
  </r>
  <r>
    <s v="25-Mar-2026"/>
    <x v="2"/>
    <s v="Week4-Mar-2026"/>
    <x v="6"/>
    <s v="27-Jun-2028"/>
    <s v="Tuesday"/>
    <s v="Monthly - Tuesday"/>
    <s v="Monthly - Tuesday"/>
    <s v="Month+27 Expiry"/>
    <n v="3"/>
    <n v="0.44"/>
    <n v="0.01"/>
  </r>
  <r>
    <s v="25-Mar-2026"/>
    <x v="2"/>
    <s v="Week4-Mar-2026"/>
    <x v="6"/>
    <s v="26-Dec-2028"/>
    <s v="Tuesday"/>
    <s v="Monthly - Tuesday"/>
    <s v="Monthly - Tuesday"/>
    <s v="Month+33 Expiry"/>
    <n v="4"/>
    <n v="0.67"/>
    <n v="0.04"/>
  </r>
  <r>
    <s v="25-Mar-2026"/>
    <x v="2"/>
    <s v="Week4-Mar-2026"/>
    <x v="6"/>
    <s v="26-Jun-2029"/>
    <s v="Tuesday"/>
    <s v="Monthly - Tuesday"/>
    <s v="Monthly - Tuesday"/>
    <s v="Month+39 Expiry"/>
    <n v="0"/>
    <n v="0"/>
    <n v="0"/>
  </r>
  <r>
    <s v="25-Mar-2026"/>
    <x v="2"/>
    <s v="Week4-Mar-2026"/>
    <x v="6"/>
    <s v="24-Dec-2029"/>
    <s v="Monday"/>
    <s v="Weekly - Monday"/>
    <s v="Weekly - Monday"/>
    <s v="Month+45 Expiry"/>
    <n v="0"/>
    <n v="0"/>
    <n v="0"/>
  </r>
  <r>
    <s v="25-Mar-2026"/>
    <x v="2"/>
    <s v="Week4-Mar-2026"/>
    <x v="6"/>
    <s v="25-Jun-2030"/>
    <s v="Tuesday"/>
    <s v="Monthly - Tuesday"/>
    <s v="Monthly - Tuesday"/>
    <s v="Month+51 Expiry"/>
    <n v="0"/>
    <n v="0"/>
    <n v="0"/>
  </r>
  <r>
    <s v="25-Mar-2026"/>
    <x v="2"/>
    <s v="Week4-Mar-2026"/>
    <x v="6"/>
    <s v="31-Dec-2030"/>
    <s v="Tuesday"/>
    <s v="Monthly - Tuesday"/>
    <s v="Monthly - Tuesday"/>
    <s v="Month+57 Expiry"/>
    <n v="0"/>
    <n v="0"/>
    <n v="0"/>
  </r>
  <r>
    <s v="27-Mar-2026"/>
    <x v="4"/>
    <s v="Week4-Mar-2026"/>
    <x v="6"/>
    <s v="30-Mar-2026"/>
    <s v="Monday"/>
    <s v="Monthly - Monday"/>
    <s v="MDAW - Monday"/>
    <s v="Same Month Expiry"/>
    <n v="78247656"/>
    <n v="11734263.35"/>
    <n v="62392.61"/>
  </r>
  <r>
    <s v="27-Mar-2026"/>
    <x v="4"/>
    <s v="Week4-Mar-2026"/>
    <x v="6"/>
    <s v="07-Apr-2026"/>
    <s v="Tuesday"/>
    <s v="Weekly - Tuesday"/>
    <s v="Weekly - Tuesday"/>
    <s v="Month+1 Expiry"/>
    <n v="2511092"/>
    <n v="384381.82"/>
    <n v="4237.38"/>
  </r>
  <r>
    <s v="27-Mar-2026"/>
    <x v="4"/>
    <s v="Week4-Mar-2026"/>
    <x v="6"/>
    <s v="13-Apr-2026"/>
    <s v="Monday"/>
    <s v="Weekly - Monday"/>
    <s v="Weekly - Monday"/>
    <s v="Month+1 Expiry"/>
    <n v="115937"/>
    <n v="18087.07"/>
    <n v="270.45999999999998"/>
  </r>
  <r>
    <s v="27-Mar-2026"/>
    <x v="4"/>
    <s v="Week4-Mar-2026"/>
    <x v="6"/>
    <s v="21-Apr-2026"/>
    <s v="Tuesday"/>
    <s v="Weekly - Tuesday"/>
    <s v="Weekly - Tuesday"/>
    <s v="Month+1 Expiry"/>
    <n v="20765"/>
    <n v="3206.85"/>
    <n v="75.239999999999995"/>
  </r>
  <r>
    <s v="27-Mar-2026"/>
    <x v="4"/>
    <s v="Week4-Mar-2026"/>
    <x v="6"/>
    <s v="28-Apr-2026"/>
    <s v="Tuesday"/>
    <s v="Monthly - Tuesday"/>
    <s v="Monthly - Tuesday"/>
    <s v="Month+1 Expiry"/>
    <n v="1006775"/>
    <n v="158291.57999999999"/>
    <n v="3915.02"/>
  </r>
  <r>
    <s v="27-Mar-2026"/>
    <x v="4"/>
    <s v="Week4-Mar-2026"/>
    <x v="6"/>
    <s v="05-May-2026"/>
    <s v="Tuesday"/>
    <s v="Weekly - Tuesday"/>
    <s v="Weekly - Tuesday"/>
    <s v="Month+2 Expiry"/>
    <n v="26"/>
    <n v="4.0999999999999996"/>
    <n v="0.12"/>
  </r>
  <r>
    <s v="27-Mar-2026"/>
    <x v="4"/>
    <s v="Week4-Mar-2026"/>
    <x v="6"/>
    <s v="26-May-2026"/>
    <s v="Tuesday"/>
    <s v="Monthly - Tuesday"/>
    <s v="Monthly - Tuesday"/>
    <s v="Month+2 Expiry"/>
    <n v="90091"/>
    <n v="14294.37"/>
    <n v="281.02"/>
  </r>
  <r>
    <s v="27-Mar-2026"/>
    <x v="4"/>
    <s v="Week4-Mar-2026"/>
    <x v="6"/>
    <s v="30-Jun-2026"/>
    <s v="Tuesday"/>
    <s v="Monthly - Tuesday"/>
    <s v="Monthly - Tuesday"/>
    <s v="Month+3 Expiry"/>
    <n v="154867"/>
    <n v="24435.53"/>
    <n v="911.43"/>
  </r>
  <r>
    <s v="27-Mar-2026"/>
    <x v="4"/>
    <s v="Week4-Mar-2026"/>
    <x v="6"/>
    <s v="29-Sep-2026"/>
    <s v="Tuesday"/>
    <s v="Monthly - Tuesday"/>
    <s v="Monthly - Tuesday"/>
    <s v="Month+6 Expiry"/>
    <n v="17714"/>
    <n v="2914.07"/>
    <n v="66.260000000000005"/>
  </r>
  <r>
    <s v="27-Mar-2026"/>
    <x v="4"/>
    <s v="Week4-Mar-2026"/>
    <x v="6"/>
    <s v="29-Dec-2026"/>
    <s v="Tuesday"/>
    <s v="Monthly - Tuesday"/>
    <s v="Monthly - Tuesday"/>
    <s v="Month+9 Expiry"/>
    <n v="41602"/>
    <n v="6712.48"/>
    <n v="218.68"/>
  </r>
  <r>
    <s v="27-Mar-2026"/>
    <x v="4"/>
    <s v="Week4-Mar-2026"/>
    <x v="6"/>
    <s v="29-Jun-2027"/>
    <s v="Tuesday"/>
    <s v="Monthly - Tuesday"/>
    <s v="Monthly - Tuesday"/>
    <s v="Month+15 Expiry"/>
    <n v="2"/>
    <n v="0.28000000000000003"/>
    <n v="0.01"/>
  </r>
  <r>
    <s v="27-Mar-2026"/>
    <x v="4"/>
    <s v="Week4-Mar-2026"/>
    <x v="6"/>
    <s v="28-Dec-2027"/>
    <s v="Tuesday"/>
    <s v="Monthly - Tuesday"/>
    <s v="Monthly - Tuesday"/>
    <s v="Month+21 Expiry"/>
    <n v="319"/>
    <n v="51.56"/>
    <n v="2.89"/>
  </r>
  <r>
    <s v="27-Mar-2026"/>
    <x v="4"/>
    <s v="Week4-Mar-2026"/>
    <x v="6"/>
    <s v="27-Jun-2028"/>
    <s v="Tuesday"/>
    <s v="Monthly - Tuesday"/>
    <s v="Monthly - Tuesday"/>
    <s v="Month+27 Expiry"/>
    <n v="0"/>
    <n v="0"/>
    <n v="0"/>
  </r>
  <r>
    <s v="27-Mar-2026"/>
    <x v="4"/>
    <s v="Week4-Mar-2026"/>
    <x v="6"/>
    <s v="26-Dec-2028"/>
    <s v="Tuesday"/>
    <s v="Monthly - Tuesday"/>
    <s v="Monthly - Tuesday"/>
    <s v="Month+33 Expiry"/>
    <n v="13"/>
    <n v="2.08"/>
    <n v="0.11"/>
  </r>
  <r>
    <s v="27-Mar-2026"/>
    <x v="4"/>
    <s v="Week4-Mar-2026"/>
    <x v="6"/>
    <s v="26-Jun-2029"/>
    <s v="Tuesday"/>
    <s v="Monthly - Tuesday"/>
    <s v="Monthly - Tuesday"/>
    <s v="Month+39 Expiry"/>
    <n v="0"/>
    <n v="0"/>
    <n v="0"/>
  </r>
  <r>
    <s v="27-Mar-2026"/>
    <x v="4"/>
    <s v="Week4-Mar-2026"/>
    <x v="6"/>
    <s v="24-Dec-2029"/>
    <s v="Monday"/>
    <s v="Weekly - Monday"/>
    <s v="Weekly - Monday"/>
    <s v="Month+45 Expiry"/>
    <n v="0"/>
    <n v="0"/>
    <n v="0"/>
  </r>
  <r>
    <s v="27-Mar-2026"/>
    <x v="4"/>
    <s v="Week4-Mar-2026"/>
    <x v="6"/>
    <s v="25-Jun-2030"/>
    <s v="Tuesday"/>
    <s v="Monthly - Tuesday"/>
    <s v="Monthly - Tuesday"/>
    <s v="Month+51 Expiry"/>
    <n v="0"/>
    <n v="0"/>
    <n v="0"/>
  </r>
  <r>
    <s v="27-Mar-2026"/>
    <x v="4"/>
    <s v="Week4-Mar-2026"/>
    <x v="6"/>
    <s v="31-Dec-2030"/>
    <s v="Tuesday"/>
    <s v="Monthly - Tuesday"/>
    <s v="Monthly - Tuesday"/>
    <s v="Month+57 Expiry"/>
    <n v="0"/>
    <n v="0"/>
    <n v="0"/>
  </r>
  <r>
    <s v="30-Mar-2026"/>
    <x v="0"/>
    <s v="Week5-Mar-2026"/>
    <x v="6"/>
    <s v="30-Mar-2026"/>
    <s v="Monday"/>
    <s v="Monthly - Monday"/>
    <s v="MDAW - Monday"/>
    <s v="Same Month Expiry"/>
    <n v="354045992"/>
    <n v="51914723.909999996"/>
    <n v="79760.160000000003"/>
  </r>
  <r>
    <s v="30-Mar-2026"/>
    <x v="0"/>
    <s v="Week5-Mar-2026"/>
    <x v="6"/>
    <s v="07-Apr-2026"/>
    <s v="Tuesday"/>
    <s v="Weekly - Tuesday"/>
    <s v="Weekly - Tuesday"/>
    <s v="Month+1 Expiry"/>
    <n v="7484360"/>
    <n v="1127458.53"/>
    <n v="9263.7199999999993"/>
  </r>
  <r>
    <s v="30-Mar-2026"/>
    <x v="0"/>
    <s v="Week5-Mar-2026"/>
    <x v="6"/>
    <s v="13-Apr-2026"/>
    <s v="Monday"/>
    <s v="Weekly - Monday"/>
    <s v="Weekly - Monday"/>
    <s v="Month+1 Expiry"/>
    <n v="260141"/>
    <n v="40139.65"/>
    <n v="484.63"/>
  </r>
  <r>
    <s v="30-Mar-2026"/>
    <x v="0"/>
    <s v="Week5-Mar-2026"/>
    <x v="6"/>
    <s v="21-Apr-2026"/>
    <s v="Tuesday"/>
    <s v="Weekly - Tuesday"/>
    <s v="Weekly - Tuesday"/>
    <s v="Month+1 Expiry"/>
    <n v="16846"/>
    <n v="2590.98"/>
    <n v="48.42"/>
  </r>
  <r>
    <s v="30-Mar-2026"/>
    <x v="0"/>
    <s v="Week5-Mar-2026"/>
    <x v="6"/>
    <s v="28-Apr-2026"/>
    <s v="Tuesday"/>
    <s v="Monthly - Tuesday"/>
    <s v="Monthly - Tuesday"/>
    <s v="Month+1 Expiry"/>
    <n v="1390187"/>
    <n v="216970.35"/>
    <n v="5644.3"/>
  </r>
  <r>
    <s v="30-Mar-2026"/>
    <x v="0"/>
    <s v="Week5-Mar-2026"/>
    <x v="6"/>
    <s v="05-May-2026"/>
    <s v="Tuesday"/>
    <s v="Weekly - Tuesday"/>
    <s v="Weekly - Tuesday"/>
    <s v="Month+2 Expiry"/>
    <n v="202"/>
    <n v="32.39"/>
    <n v="0.2"/>
  </r>
  <r>
    <s v="30-Mar-2026"/>
    <x v="0"/>
    <s v="Week5-Mar-2026"/>
    <x v="6"/>
    <s v="26-May-2026"/>
    <s v="Tuesday"/>
    <s v="Monthly - Tuesday"/>
    <s v="Monthly - Tuesday"/>
    <s v="Month+2 Expiry"/>
    <n v="120238"/>
    <n v="18826.86"/>
    <n v="394.36"/>
  </r>
  <r>
    <s v="30-Mar-2026"/>
    <x v="0"/>
    <s v="Week5-Mar-2026"/>
    <x v="6"/>
    <s v="30-Jun-2026"/>
    <s v="Tuesday"/>
    <s v="Monthly - Tuesday"/>
    <s v="Monthly - Tuesday"/>
    <s v="Month+3 Expiry"/>
    <n v="174806"/>
    <n v="26813.52"/>
    <n v="840.91"/>
  </r>
  <r>
    <s v="30-Mar-2026"/>
    <x v="0"/>
    <s v="Week5-Mar-2026"/>
    <x v="6"/>
    <s v="29-Sep-2026"/>
    <s v="Tuesday"/>
    <s v="Monthly - Tuesday"/>
    <s v="Monthly - Tuesday"/>
    <s v="Month+6 Expiry"/>
    <n v="32547"/>
    <n v="5331.44"/>
    <n v="130.21"/>
  </r>
  <r>
    <s v="30-Mar-2026"/>
    <x v="0"/>
    <s v="Week5-Mar-2026"/>
    <x v="6"/>
    <s v="29-Dec-2026"/>
    <s v="Tuesday"/>
    <s v="Monthly - Tuesday"/>
    <s v="Monthly - Tuesday"/>
    <s v="Month+9 Expiry"/>
    <n v="81829"/>
    <n v="13434.49"/>
    <n v="544.86"/>
  </r>
  <r>
    <s v="30-Mar-2026"/>
    <x v="0"/>
    <s v="Week5-Mar-2026"/>
    <x v="6"/>
    <s v="29-Jun-2027"/>
    <s v="Tuesday"/>
    <s v="Monthly - Tuesday"/>
    <s v="Monthly - Tuesday"/>
    <s v="Month+15 Expiry"/>
    <n v="0"/>
    <n v="0"/>
    <n v="0"/>
  </r>
  <r>
    <s v="30-Mar-2026"/>
    <x v="0"/>
    <s v="Week5-Mar-2026"/>
    <x v="6"/>
    <s v="28-Dec-2027"/>
    <s v="Tuesday"/>
    <s v="Monthly - Tuesday"/>
    <s v="Monthly - Tuesday"/>
    <s v="Month+21 Expiry"/>
    <n v="445"/>
    <n v="71.47"/>
    <n v="4.1500000000000004"/>
  </r>
  <r>
    <s v="30-Mar-2026"/>
    <x v="0"/>
    <s v="Week5-Mar-2026"/>
    <x v="6"/>
    <s v="27-Jun-2028"/>
    <s v="Tuesday"/>
    <s v="Monthly - Tuesday"/>
    <s v="Monthly - Tuesday"/>
    <s v="Month+27 Expiry"/>
    <n v="2"/>
    <n v="0.3"/>
    <n v="0.01"/>
  </r>
  <r>
    <s v="30-Mar-2026"/>
    <x v="0"/>
    <s v="Week5-Mar-2026"/>
    <x v="6"/>
    <s v="26-Dec-2028"/>
    <s v="Tuesday"/>
    <s v="Monthly - Tuesday"/>
    <s v="Monthly - Tuesday"/>
    <s v="Month+33 Expiry"/>
    <n v="38"/>
    <n v="6.72"/>
    <n v="0.43"/>
  </r>
  <r>
    <s v="30-Mar-2026"/>
    <x v="0"/>
    <s v="Week5-Mar-2026"/>
    <x v="6"/>
    <s v="26-Jun-2029"/>
    <s v="Tuesday"/>
    <s v="Monthly - Tuesday"/>
    <s v="Monthly - Tuesday"/>
    <s v="Month+39 Expiry"/>
    <n v="0"/>
    <n v="0"/>
    <n v="0"/>
  </r>
  <r>
    <s v="30-Mar-2026"/>
    <x v="0"/>
    <s v="Week5-Mar-2026"/>
    <x v="6"/>
    <s v="24-Dec-2029"/>
    <s v="Monday"/>
    <s v="Weekly - Monday"/>
    <s v="Weekly - Monday"/>
    <s v="Month+45 Expiry"/>
    <n v="0"/>
    <n v="0"/>
    <n v="0"/>
  </r>
  <r>
    <s v="30-Mar-2026"/>
    <x v="0"/>
    <s v="Week5-Mar-2026"/>
    <x v="6"/>
    <s v="25-Jun-2030"/>
    <s v="Tuesday"/>
    <s v="Monthly - Tuesday"/>
    <s v="Monthly - Tuesday"/>
    <s v="Month+51 Expiry"/>
    <n v="0"/>
    <n v="0"/>
    <n v="0"/>
  </r>
  <r>
    <s v="30-Mar-2026"/>
    <x v="0"/>
    <s v="Week5-Mar-2026"/>
    <x v="6"/>
    <s v="31-Dec-2030"/>
    <s v="Tuesday"/>
    <s v="Monthly - Tuesday"/>
    <s v="Monthly - Tuesday"/>
    <s v="Month+57 Expiry"/>
    <n v="0"/>
    <n v="0"/>
    <n v="0"/>
  </r>
  <r>
    <s v="01-Apr-2026"/>
    <x v="2"/>
    <s v="Week1-Apr-2026"/>
    <x v="7"/>
    <s v="07-Apr-2026"/>
    <s v="Tuesday"/>
    <s v="Weekly - Tuesday"/>
    <s v="Weekly - Tuesday"/>
    <s v="Same Month Expiry"/>
    <n v="40596226"/>
    <n v="6076753.2599999998"/>
    <n v="42106.720000000001"/>
  </r>
  <r>
    <s v="01-Apr-2026"/>
    <x v="2"/>
    <s v="Week1-Apr-2026"/>
    <x v="7"/>
    <s v="13-Apr-2026"/>
    <s v="Monday"/>
    <s v="Weekly - Monday"/>
    <s v="Weekly - Monday"/>
    <s v="Same Month Expiry"/>
    <n v="797639"/>
    <n v="120592.63"/>
    <n v="1097.2"/>
  </r>
  <r>
    <s v="01-Apr-2026"/>
    <x v="2"/>
    <s v="Week1-Apr-2026"/>
    <x v="7"/>
    <s v="21-Apr-2026"/>
    <s v="Tuesday"/>
    <s v="Weekly - Tuesday"/>
    <s v="Weekly - Tuesday"/>
    <s v="Same Month Expiry"/>
    <n v="28109"/>
    <n v="4337.1899999999996"/>
    <n v="53.88"/>
  </r>
  <r>
    <s v="01-Apr-2026"/>
    <x v="2"/>
    <s v="Week1-Apr-2026"/>
    <x v="7"/>
    <s v="28-Apr-2026"/>
    <s v="Tuesday"/>
    <s v="Monthly - Tuesday"/>
    <s v="Monthly - Tuesday"/>
    <s v="Same Month Expiry"/>
    <n v="1248168"/>
    <n v="192768.62"/>
    <n v="3366.32"/>
  </r>
  <r>
    <s v="01-Apr-2026"/>
    <x v="2"/>
    <s v="Week1-Apr-2026"/>
    <x v="7"/>
    <s v="05-May-2026"/>
    <s v="Tuesday"/>
    <s v="Weekly - Tuesday"/>
    <s v="Weekly - Tuesday"/>
    <s v="Month+1 Expiry"/>
    <n v="628"/>
    <n v="100.64"/>
    <n v="0.8"/>
  </r>
  <r>
    <s v="01-Apr-2026"/>
    <x v="2"/>
    <s v="Week1-Apr-2026"/>
    <x v="7"/>
    <s v="26-May-2026"/>
    <s v="Tuesday"/>
    <s v="Monthly - Tuesday"/>
    <s v="Monthly - Tuesday"/>
    <s v="Month+1 Expiry"/>
    <n v="118114"/>
    <n v="18586.560000000001"/>
    <n v="312.54000000000002"/>
  </r>
  <r>
    <s v="01-Apr-2026"/>
    <x v="2"/>
    <s v="Week1-Apr-2026"/>
    <x v="7"/>
    <s v="30-Jun-2026"/>
    <s v="Tuesday"/>
    <s v="Monthly - Tuesday"/>
    <s v="Monthly - Tuesday"/>
    <s v="Month+2 Expiry"/>
    <n v="145283"/>
    <n v="22357.52"/>
    <n v="533.16999999999996"/>
  </r>
  <r>
    <s v="01-Apr-2026"/>
    <x v="2"/>
    <s v="Week1-Apr-2026"/>
    <x v="7"/>
    <s v="29-Sep-2026"/>
    <s v="Tuesday"/>
    <s v="Monthly - Tuesday"/>
    <s v="Monthly - Tuesday"/>
    <s v="Month+5 Expiry"/>
    <n v="25733"/>
    <n v="4311.46"/>
    <n v="70.98"/>
  </r>
  <r>
    <s v="01-Apr-2026"/>
    <x v="2"/>
    <s v="Week1-Apr-2026"/>
    <x v="7"/>
    <s v="29-Dec-2026"/>
    <s v="Tuesday"/>
    <s v="Monthly - Tuesday"/>
    <s v="Monthly - Tuesday"/>
    <s v="Month+8 Expiry"/>
    <n v="57205"/>
    <n v="9201.75"/>
    <n v="304.76"/>
  </r>
  <r>
    <s v="01-Apr-2026"/>
    <x v="2"/>
    <s v="Week1-Apr-2026"/>
    <x v="7"/>
    <s v="30-Mar-2027"/>
    <s v="Tuesday"/>
    <s v="Monthly - Tuesday"/>
    <s v="Monthly - Tuesday"/>
    <s v="Month+11 Expiry"/>
    <n v="0"/>
    <n v="0"/>
    <n v="0"/>
  </r>
  <r>
    <s v="01-Apr-2026"/>
    <x v="2"/>
    <s v="Week1-Apr-2026"/>
    <x v="7"/>
    <s v="29-Jun-2027"/>
    <s v="Tuesday"/>
    <s v="Monthly - Tuesday"/>
    <s v="Monthly - Tuesday"/>
    <s v="Month+14 Expiry"/>
    <n v="1"/>
    <n v="0.14000000000000001"/>
    <n v="0"/>
  </r>
  <r>
    <s v="01-Apr-2026"/>
    <x v="2"/>
    <s v="Week1-Apr-2026"/>
    <x v="7"/>
    <s v="28-Dec-2027"/>
    <s v="Tuesday"/>
    <s v="Monthly - Tuesday"/>
    <s v="Monthly - Tuesday"/>
    <s v="Month+20 Expiry"/>
    <n v="669"/>
    <n v="97.72"/>
    <n v="4.0999999999999996"/>
  </r>
  <r>
    <s v="01-Apr-2026"/>
    <x v="2"/>
    <s v="Week1-Apr-2026"/>
    <x v="7"/>
    <s v="27-Jun-2028"/>
    <s v="Tuesday"/>
    <s v="Monthly - Tuesday"/>
    <s v="Monthly - Tuesday"/>
    <s v="Month+26 Expiry"/>
    <n v="1"/>
    <n v="0.15"/>
    <n v="0.01"/>
  </r>
  <r>
    <s v="01-Apr-2026"/>
    <x v="2"/>
    <s v="Week1-Apr-2026"/>
    <x v="7"/>
    <s v="26-Dec-2028"/>
    <s v="Tuesday"/>
    <s v="Monthly - Tuesday"/>
    <s v="Monthly - Tuesday"/>
    <s v="Month+32 Expiry"/>
    <n v="22"/>
    <n v="4.04"/>
    <n v="0.26"/>
  </r>
  <r>
    <s v="01-Apr-2026"/>
    <x v="2"/>
    <s v="Week1-Apr-2026"/>
    <x v="7"/>
    <s v="26-Jun-2029"/>
    <s v="Tuesday"/>
    <s v="Monthly - Tuesday"/>
    <s v="Monthly - Tuesday"/>
    <s v="Month+38 Expiry"/>
    <n v="0"/>
    <n v="0"/>
    <n v="0"/>
  </r>
  <r>
    <s v="01-Apr-2026"/>
    <x v="2"/>
    <s v="Week1-Apr-2026"/>
    <x v="7"/>
    <s v="24-Dec-2029"/>
    <s v="Monday"/>
    <s v="Weekly - Monday"/>
    <s v="Weekly - Monday"/>
    <s v="Month+44 Expiry"/>
    <n v="11"/>
    <n v="1.72"/>
    <n v="0.08"/>
  </r>
  <r>
    <s v="01-Apr-2026"/>
    <x v="2"/>
    <s v="Week1-Apr-2026"/>
    <x v="7"/>
    <s v="25-Jun-2030"/>
    <s v="Tuesday"/>
    <s v="Monthly - Tuesday"/>
    <s v="Monthly - Tuesday"/>
    <s v="Month+50 Expiry"/>
    <n v="0"/>
    <n v="0"/>
    <n v="0"/>
  </r>
  <r>
    <s v="01-Apr-2026"/>
    <x v="2"/>
    <s v="Week1-Apr-2026"/>
    <x v="7"/>
    <s v="31-Dec-2030"/>
    <s v="Tuesday"/>
    <s v="Monthly - Tuesday"/>
    <s v="Monthly - Tuesday"/>
    <s v="Month+56 Expiry"/>
    <n v="0"/>
    <n v="0"/>
    <n v="0"/>
  </r>
  <r>
    <s v="02-Apr-2026"/>
    <x v="3"/>
    <s v="Week1-Apr-2026"/>
    <x v="7"/>
    <s v="07-Apr-2026"/>
    <s v="Tuesday"/>
    <s v="Weekly - Tuesday"/>
    <s v="Weekly - Tuesday"/>
    <s v="Same Month Expiry"/>
    <n v="43307408"/>
    <n v="6388787.25"/>
    <n v="40621.449999999997"/>
  </r>
  <r>
    <s v="02-Apr-2026"/>
    <x v="3"/>
    <s v="Week1-Apr-2026"/>
    <x v="7"/>
    <s v="13-Apr-2026"/>
    <s v="Monday"/>
    <s v="Weekly - Monday"/>
    <s v="Weekly - Monday"/>
    <s v="Same Month Expiry"/>
    <n v="1511189"/>
    <n v="226056.18"/>
    <n v="2110.64"/>
  </r>
  <r>
    <s v="02-Apr-2026"/>
    <x v="3"/>
    <s v="Week1-Apr-2026"/>
    <x v="7"/>
    <s v="21-Apr-2026"/>
    <s v="Tuesday"/>
    <s v="Weekly - Tuesday"/>
    <s v="Weekly - Tuesday"/>
    <s v="Same Month Expiry"/>
    <n v="43942"/>
    <n v="6715.34"/>
    <n v="82.81"/>
  </r>
  <r>
    <s v="02-Apr-2026"/>
    <x v="3"/>
    <s v="Week1-Apr-2026"/>
    <x v="7"/>
    <s v="28-Apr-2026"/>
    <s v="Tuesday"/>
    <s v="Monthly - Tuesday"/>
    <s v="Monthly - Tuesday"/>
    <s v="Same Month Expiry"/>
    <n v="1390796"/>
    <n v="213086.27"/>
    <n v="3451.35"/>
  </r>
  <r>
    <s v="02-Apr-2026"/>
    <x v="3"/>
    <s v="Week1-Apr-2026"/>
    <x v="7"/>
    <s v="05-May-2026"/>
    <s v="Tuesday"/>
    <s v="Weekly - Tuesday"/>
    <s v="Weekly - Tuesday"/>
    <s v="Month+1 Expiry"/>
    <n v="2235"/>
    <n v="357.16"/>
    <n v="2.2000000000000002"/>
  </r>
  <r>
    <s v="02-Apr-2026"/>
    <x v="3"/>
    <s v="Week1-Apr-2026"/>
    <x v="7"/>
    <s v="26-May-2026"/>
    <s v="Tuesday"/>
    <s v="Monthly - Tuesday"/>
    <s v="Monthly - Tuesday"/>
    <s v="Month+1 Expiry"/>
    <n v="157837"/>
    <n v="24786.3"/>
    <n v="379.73"/>
  </r>
  <r>
    <s v="02-Apr-2026"/>
    <x v="3"/>
    <s v="Week1-Apr-2026"/>
    <x v="7"/>
    <s v="30-Jun-2026"/>
    <s v="Tuesday"/>
    <s v="Monthly - Tuesday"/>
    <s v="Monthly - Tuesday"/>
    <s v="Month+2 Expiry"/>
    <n v="149218"/>
    <n v="22606.78"/>
    <n v="531.08000000000004"/>
  </r>
  <r>
    <s v="02-Apr-2026"/>
    <x v="3"/>
    <s v="Week1-Apr-2026"/>
    <x v="7"/>
    <s v="29-Sep-2026"/>
    <s v="Tuesday"/>
    <s v="Monthly - Tuesday"/>
    <s v="Monthly - Tuesday"/>
    <s v="Month+5 Expiry"/>
    <n v="18855"/>
    <n v="3041.15"/>
    <n v="86.61"/>
  </r>
  <r>
    <s v="02-Apr-2026"/>
    <x v="3"/>
    <s v="Week1-Apr-2026"/>
    <x v="7"/>
    <s v="29-Dec-2026"/>
    <s v="Tuesday"/>
    <s v="Monthly - Tuesday"/>
    <s v="Monthly - Tuesday"/>
    <s v="Month+8 Expiry"/>
    <n v="69231"/>
    <n v="11253.08"/>
    <n v="310.25"/>
  </r>
  <r>
    <s v="02-Apr-2026"/>
    <x v="3"/>
    <s v="Week1-Apr-2026"/>
    <x v="7"/>
    <s v="30-Mar-2027"/>
    <s v="Tuesday"/>
    <s v="Monthly - Tuesday"/>
    <s v="Monthly - Tuesday"/>
    <s v="Month+11 Expiry"/>
    <n v="0"/>
    <n v="0"/>
    <n v="0"/>
  </r>
  <r>
    <s v="02-Apr-2026"/>
    <x v="3"/>
    <s v="Week1-Apr-2026"/>
    <x v="7"/>
    <s v="29-Jun-2027"/>
    <s v="Tuesday"/>
    <s v="Monthly - Tuesday"/>
    <s v="Monthly - Tuesday"/>
    <s v="Month+14 Expiry"/>
    <n v="13"/>
    <n v="1.62"/>
    <n v="0.02"/>
  </r>
  <r>
    <s v="02-Apr-2026"/>
    <x v="3"/>
    <s v="Week1-Apr-2026"/>
    <x v="7"/>
    <s v="28-Dec-2027"/>
    <s v="Tuesday"/>
    <s v="Monthly - Tuesday"/>
    <s v="Monthly - Tuesday"/>
    <s v="Month+20 Expiry"/>
    <n v="514"/>
    <n v="86.26"/>
    <n v="4.8600000000000003"/>
  </r>
  <r>
    <s v="02-Apr-2026"/>
    <x v="3"/>
    <s v="Week1-Apr-2026"/>
    <x v="7"/>
    <s v="27-Jun-2028"/>
    <s v="Tuesday"/>
    <s v="Monthly - Tuesday"/>
    <s v="Monthly - Tuesday"/>
    <s v="Month+26 Expiry"/>
    <n v="0"/>
    <n v="0"/>
    <n v="0"/>
  </r>
  <r>
    <s v="02-Apr-2026"/>
    <x v="3"/>
    <s v="Week1-Apr-2026"/>
    <x v="7"/>
    <s v="26-Dec-2028"/>
    <s v="Tuesday"/>
    <s v="Monthly - Tuesday"/>
    <s v="Monthly - Tuesday"/>
    <s v="Month+32 Expiry"/>
    <n v="49"/>
    <n v="9.44"/>
    <n v="0.6"/>
  </r>
  <r>
    <s v="02-Apr-2026"/>
    <x v="3"/>
    <s v="Week1-Apr-2026"/>
    <x v="7"/>
    <s v="26-Jun-2029"/>
    <s v="Tuesday"/>
    <s v="Monthly - Tuesday"/>
    <s v="Monthly - Tuesday"/>
    <s v="Month+38 Expiry"/>
    <n v="0"/>
    <n v="0"/>
    <n v="0"/>
  </r>
  <r>
    <s v="02-Apr-2026"/>
    <x v="3"/>
    <s v="Week1-Apr-2026"/>
    <x v="7"/>
    <s v="24-Dec-2029"/>
    <s v="Monday"/>
    <s v="Weekly - Monday"/>
    <s v="Weekly - Monday"/>
    <s v="Month+44 Expiry"/>
    <n v="5"/>
    <n v="0.79"/>
    <n v="0.05"/>
  </r>
  <r>
    <s v="02-Apr-2026"/>
    <x v="3"/>
    <s v="Week1-Apr-2026"/>
    <x v="7"/>
    <s v="25-Jun-2030"/>
    <s v="Tuesday"/>
    <s v="Monthly - Tuesday"/>
    <s v="Monthly - Tuesday"/>
    <s v="Month+50 Expiry"/>
    <n v="0"/>
    <n v="0"/>
    <n v="0"/>
  </r>
  <r>
    <s v="02-Apr-2026"/>
    <x v="3"/>
    <s v="Week1-Apr-2026"/>
    <x v="7"/>
    <s v="31-Dec-2030"/>
    <s v="Tuesday"/>
    <s v="Monthly - Tuesday"/>
    <s v="Monthly - Tuesday"/>
    <s v="Month+56 Expiry"/>
    <n v="0"/>
    <n v="0"/>
    <n v="0"/>
  </r>
  <r>
    <s v="06-Apr-2026"/>
    <x v="0"/>
    <s v="Week1-Apr-2026"/>
    <x v="7"/>
    <s v="07-Apr-2026"/>
    <s v="Tuesday"/>
    <s v="Weekly - Tuesday"/>
    <s v="Weekly - Tuesday"/>
    <s v="Same Month Expiry"/>
    <n v="122440819"/>
    <n v="18179412.73"/>
    <n v="80778.2"/>
  </r>
  <r>
    <s v="06-Apr-2026"/>
    <x v="0"/>
    <s v="Week1-Apr-2026"/>
    <x v="7"/>
    <s v="13-Apr-2026"/>
    <s v="Monday"/>
    <s v="Weekly - Monday"/>
    <s v="Weekly - Monday"/>
    <s v="Same Month Expiry"/>
    <n v="4018798"/>
    <n v="601236.07999999996"/>
    <n v="4204.8100000000004"/>
  </r>
  <r>
    <s v="06-Apr-2026"/>
    <x v="0"/>
    <s v="Week1-Apr-2026"/>
    <x v="7"/>
    <s v="21-Apr-2026"/>
    <s v="Tuesday"/>
    <s v="Weekly - Tuesday"/>
    <s v="Weekly - Tuesday"/>
    <s v="Same Month Expiry"/>
    <n v="106465"/>
    <n v="16150.8"/>
    <n v="182.86"/>
  </r>
  <r>
    <s v="06-Apr-2026"/>
    <x v="0"/>
    <s v="Week1-Apr-2026"/>
    <x v="7"/>
    <s v="28-Apr-2026"/>
    <s v="Tuesday"/>
    <s v="Monthly - Tuesday"/>
    <s v="Monthly - Tuesday"/>
    <s v="Same Month Expiry"/>
    <n v="1276429"/>
    <n v="194928.43"/>
    <n v="2856.51"/>
  </r>
  <r>
    <s v="06-Apr-2026"/>
    <x v="0"/>
    <s v="Week1-Apr-2026"/>
    <x v="7"/>
    <s v="05-May-2026"/>
    <s v="Tuesday"/>
    <s v="Weekly - Tuesday"/>
    <s v="Weekly - Tuesday"/>
    <s v="Month+1 Expiry"/>
    <n v="3590"/>
    <n v="569.79"/>
    <n v="5.58"/>
  </r>
  <r>
    <s v="06-Apr-2026"/>
    <x v="0"/>
    <s v="Week1-Apr-2026"/>
    <x v="7"/>
    <s v="26-May-2026"/>
    <s v="Tuesday"/>
    <s v="Monthly - Tuesday"/>
    <s v="Monthly - Tuesday"/>
    <s v="Month+1 Expiry"/>
    <n v="126601"/>
    <n v="20037.79"/>
    <n v="307.39999999999998"/>
  </r>
  <r>
    <s v="06-Apr-2026"/>
    <x v="0"/>
    <s v="Week1-Apr-2026"/>
    <x v="7"/>
    <s v="30-Jun-2026"/>
    <s v="Tuesday"/>
    <s v="Monthly - Tuesday"/>
    <s v="Monthly - Tuesday"/>
    <s v="Month+2 Expiry"/>
    <n v="112765"/>
    <n v="17284.310000000001"/>
    <n v="386.58"/>
  </r>
  <r>
    <s v="06-Apr-2026"/>
    <x v="0"/>
    <s v="Week1-Apr-2026"/>
    <x v="7"/>
    <s v="29-Sep-2026"/>
    <s v="Tuesday"/>
    <s v="Monthly - Tuesday"/>
    <s v="Monthly - Tuesday"/>
    <s v="Month+5 Expiry"/>
    <n v="19133"/>
    <n v="3137.97"/>
    <n v="71.03"/>
  </r>
  <r>
    <s v="06-Apr-2026"/>
    <x v="0"/>
    <s v="Week1-Apr-2026"/>
    <x v="7"/>
    <s v="29-Dec-2026"/>
    <s v="Tuesday"/>
    <s v="Monthly - Tuesday"/>
    <s v="Monthly - Tuesday"/>
    <s v="Month+8 Expiry"/>
    <n v="45699"/>
    <n v="7253.78"/>
    <n v="196.1"/>
  </r>
  <r>
    <s v="06-Apr-2026"/>
    <x v="0"/>
    <s v="Week1-Apr-2026"/>
    <x v="7"/>
    <s v="30-Mar-2027"/>
    <s v="Tuesday"/>
    <s v="Monthly - Tuesday"/>
    <s v="Monthly - Tuesday"/>
    <s v="Month+11 Expiry"/>
    <n v="0"/>
    <n v="0"/>
    <n v="0"/>
  </r>
  <r>
    <s v="06-Apr-2026"/>
    <x v="0"/>
    <s v="Week1-Apr-2026"/>
    <x v="7"/>
    <s v="29-Jun-2027"/>
    <s v="Tuesday"/>
    <s v="Monthly - Tuesday"/>
    <s v="Monthly - Tuesday"/>
    <s v="Month+14 Expiry"/>
    <n v="3"/>
    <n v="0.37"/>
    <n v="0.01"/>
  </r>
  <r>
    <s v="06-Apr-2026"/>
    <x v="0"/>
    <s v="Week1-Apr-2026"/>
    <x v="7"/>
    <s v="28-Dec-2027"/>
    <s v="Tuesday"/>
    <s v="Monthly - Tuesday"/>
    <s v="Monthly - Tuesday"/>
    <s v="Month+20 Expiry"/>
    <n v="344"/>
    <n v="57.25"/>
    <n v="3.84"/>
  </r>
  <r>
    <s v="06-Apr-2026"/>
    <x v="0"/>
    <s v="Week1-Apr-2026"/>
    <x v="7"/>
    <s v="27-Jun-2028"/>
    <s v="Tuesday"/>
    <s v="Monthly - Tuesday"/>
    <s v="Monthly - Tuesday"/>
    <s v="Month+26 Expiry"/>
    <n v="0"/>
    <n v="0"/>
    <n v="0"/>
  </r>
  <r>
    <s v="06-Apr-2026"/>
    <x v="0"/>
    <s v="Week1-Apr-2026"/>
    <x v="7"/>
    <s v="26-Dec-2028"/>
    <s v="Tuesday"/>
    <s v="Monthly - Tuesday"/>
    <s v="Monthly - Tuesday"/>
    <s v="Month+32 Expiry"/>
    <n v="5"/>
    <n v="0.83"/>
    <n v="0.05"/>
  </r>
  <r>
    <s v="06-Apr-2026"/>
    <x v="0"/>
    <s v="Week1-Apr-2026"/>
    <x v="7"/>
    <s v="26-Jun-2029"/>
    <s v="Tuesday"/>
    <s v="Monthly - Tuesday"/>
    <s v="Monthly - Tuesday"/>
    <s v="Month+38 Expiry"/>
    <n v="0"/>
    <n v="0"/>
    <n v="0"/>
  </r>
  <r>
    <s v="06-Apr-2026"/>
    <x v="0"/>
    <s v="Week1-Apr-2026"/>
    <x v="7"/>
    <s v="24-Dec-2029"/>
    <s v="Monday"/>
    <s v="Weekly - Monday"/>
    <s v="Weekly - Monday"/>
    <s v="Month+44 Expiry"/>
    <n v="3"/>
    <n v="0.5"/>
    <n v="0.03"/>
  </r>
  <r>
    <s v="06-Apr-2026"/>
    <x v="0"/>
    <s v="Week1-Apr-2026"/>
    <x v="7"/>
    <s v="25-Jun-2030"/>
    <s v="Tuesday"/>
    <s v="Monthly - Tuesday"/>
    <s v="Monthly - Tuesday"/>
    <s v="Month+50 Expiry"/>
    <n v="0"/>
    <n v="0"/>
    <n v="0"/>
  </r>
  <r>
    <s v="06-Apr-2026"/>
    <x v="0"/>
    <s v="Week1-Apr-2026"/>
    <x v="7"/>
    <s v="31-Dec-2030"/>
    <s v="Tuesday"/>
    <s v="Monthly - Tuesday"/>
    <s v="Monthly - Tuesday"/>
    <s v="Month+56 Expiry"/>
    <n v="0"/>
    <n v="0"/>
    <n v="0"/>
  </r>
  <r>
    <s v="07-Apr-2026"/>
    <x v="1"/>
    <s v="Week1-Apr-2026"/>
    <x v="7"/>
    <s v="07-Apr-2026"/>
    <s v="Tuesday"/>
    <s v="Weekly - Tuesday"/>
    <s v="Weekly - Tuesday"/>
    <s v="Same Month Expiry"/>
    <n v="419392746"/>
    <n v="62643338.079999998"/>
    <n v="85095.9"/>
  </r>
  <r>
    <s v="07-Apr-2026"/>
    <x v="1"/>
    <s v="Week1-Apr-2026"/>
    <x v="7"/>
    <s v="13-Apr-2026"/>
    <s v="Monday"/>
    <s v="Weekly - Monday"/>
    <s v="Weekly - Monday"/>
    <s v="Same Month Expiry"/>
    <n v="8399372"/>
    <n v="1251003.83"/>
    <n v="8131.52"/>
  </r>
  <r>
    <s v="07-Apr-2026"/>
    <x v="1"/>
    <s v="Week1-Apr-2026"/>
    <x v="7"/>
    <s v="21-Apr-2026"/>
    <s v="Tuesday"/>
    <s v="Weekly - Tuesday"/>
    <s v="Weekly - Tuesday"/>
    <s v="Same Month Expiry"/>
    <n v="206645"/>
    <n v="30786.15"/>
    <n v="277.42"/>
  </r>
  <r>
    <s v="07-Apr-2026"/>
    <x v="1"/>
    <s v="Week1-Apr-2026"/>
    <x v="7"/>
    <s v="28-Apr-2026"/>
    <s v="Tuesday"/>
    <s v="Monthly - Tuesday"/>
    <s v="Monthly - Tuesday"/>
    <s v="Same Month Expiry"/>
    <n v="1204589"/>
    <n v="184568.95999999999"/>
    <n v="2725.32"/>
  </r>
  <r>
    <s v="07-Apr-2026"/>
    <x v="1"/>
    <s v="Week1-Apr-2026"/>
    <x v="7"/>
    <s v="05-May-2026"/>
    <s v="Tuesday"/>
    <s v="Weekly - Tuesday"/>
    <s v="Weekly - Tuesday"/>
    <s v="Month+1 Expiry"/>
    <n v="3181"/>
    <n v="499.67"/>
    <n v="5.23"/>
  </r>
  <r>
    <s v="07-Apr-2026"/>
    <x v="1"/>
    <s v="Week1-Apr-2026"/>
    <x v="7"/>
    <s v="26-May-2026"/>
    <s v="Tuesday"/>
    <s v="Monthly - Tuesday"/>
    <s v="Monthly - Tuesday"/>
    <s v="Month+1 Expiry"/>
    <n v="110781"/>
    <n v="17398.759999999998"/>
    <n v="251.72"/>
  </r>
  <r>
    <s v="07-Apr-2026"/>
    <x v="1"/>
    <s v="Week1-Apr-2026"/>
    <x v="7"/>
    <s v="30-Jun-2026"/>
    <s v="Tuesday"/>
    <s v="Monthly - Tuesday"/>
    <s v="Monthly - Tuesday"/>
    <s v="Month+2 Expiry"/>
    <n v="87000"/>
    <n v="13282.57"/>
    <n v="285.87"/>
  </r>
  <r>
    <s v="07-Apr-2026"/>
    <x v="1"/>
    <s v="Week1-Apr-2026"/>
    <x v="7"/>
    <s v="29-Sep-2026"/>
    <s v="Tuesday"/>
    <s v="Monthly - Tuesday"/>
    <s v="Monthly - Tuesday"/>
    <s v="Month+5 Expiry"/>
    <n v="7642"/>
    <n v="1223.1600000000001"/>
    <n v="25.4"/>
  </r>
  <r>
    <s v="07-Apr-2026"/>
    <x v="1"/>
    <s v="Week1-Apr-2026"/>
    <x v="7"/>
    <s v="29-Dec-2026"/>
    <s v="Tuesday"/>
    <s v="Monthly - Tuesday"/>
    <s v="Monthly - Tuesday"/>
    <s v="Month+8 Expiry"/>
    <n v="33954"/>
    <n v="5307.95"/>
    <n v="157.47"/>
  </r>
  <r>
    <s v="07-Apr-2026"/>
    <x v="1"/>
    <s v="Week1-Apr-2026"/>
    <x v="7"/>
    <s v="30-Mar-2027"/>
    <s v="Tuesday"/>
    <s v="Monthly - Tuesday"/>
    <s v="Monthly - Tuesday"/>
    <s v="Month+11 Expiry"/>
    <n v="0"/>
    <n v="0"/>
    <n v="0"/>
  </r>
  <r>
    <s v="07-Apr-2026"/>
    <x v="1"/>
    <s v="Week1-Apr-2026"/>
    <x v="7"/>
    <s v="29-Jun-2027"/>
    <s v="Tuesday"/>
    <s v="Monthly - Tuesday"/>
    <s v="Monthly - Tuesday"/>
    <s v="Month+14 Expiry"/>
    <n v="0"/>
    <n v="0"/>
    <n v="0"/>
  </r>
  <r>
    <s v="07-Apr-2026"/>
    <x v="1"/>
    <s v="Week1-Apr-2026"/>
    <x v="7"/>
    <s v="28-Dec-2027"/>
    <s v="Tuesday"/>
    <s v="Monthly - Tuesday"/>
    <s v="Monthly - Tuesday"/>
    <s v="Month+20 Expiry"/>
    <n v="179"/>
    <n v="31.47"/>
    <n v="1.93"/>
  </r>
  <r>
    <s v="07-Apr-2026"/>
    <x v="1"/>
    <s v="Week1-Apr-2026"/>
    <x v="7"/>
    <s v="27-Jun-2028"/>
    <s v="Tuesday"/>
    <s v="Monthly - Tuesday"/>
    <s v="Monthly - Tuesday"/>
    <s v="Month+26 Expiry"/>
    <n v="1"/>
    <n v="0.15"/>
    <n v="0.01"/>
  </r>
  <r>
    <s v="07-Apr-2026"/>
    <x v="1"/>
    <s v="Week1-Apr-2026"/>
    <x v="7"/>
    <s v="26-Dec-2028"/>
    <s v="Tuesday"/>
    <s v="Monthly - Tuesday"/>
    <s v="Monthly - Tuesday"/>
    <s v="Month+32 Expiry"/>
    <n v="14"/>
    <n v="2.27"/>
    <n v="0.12"/>
  </r>
  <r>
    <s v="07-Apr-2026"/>
    <x v="1"/>
    <s v="Week1-Apr-2026"/>
    <x v="7"/>
    <s v="26-Jun-2029"/>
    <s v="Tuesday"/>
    <s v="Monthly - Tuesday"/>
    <s v="Monthly - Tuesday"/>
    <s v="Month+38 Expiry"/>
    <n v="0"/>
    <n v="0"/>
    <n v="0"/>
  </r>
  <r>
    <s v="07-Apr-2026"/>
    <x v="1"/>
    <s v="Week1-Apr-2026"/>
    <x v="7"/>
    <s v="24-Dec-2029"/>
    <s v="Monday"/>
    <s v="Weekly - Monday"/>
    <s v="Weekly - Monday"/>
    <s v="Month+44 Expiry"/>
    <n v="2"/>
    <n v="0.37"/>
    <n v="0.03"/>
  </r>
  <r>
    <s v="07-Apr-2026"/>
    <x v="1"/>
    <s v="Week1-Apr-2026"/>
    <x v="7"/>
    <s v="25-Jun-2030"/>
    <s v="Tuesday"/>
    <s v="Monthly - Tuesday"/>
    <s v="Monthly - Tuesday"/>
    <s v="Month+50 Expiry"/>
    <n v="0"/>
    <n v="0"/>
    <n v="0"/>
  </r>
  <r>
    <s v="07-Apr-2026"/>
    <x v="1"/>
    <s v="Week1-Apr-2026"/>
    <x v="7"/>
    <s v="31-Dec-2030"/>
    <s v="Tuesday"/>
    <s v="Monthly - Tuesday"/>
    <s v="Monthly - Tuesday"/>
    <s v="Month+56 Expiry"/>
    <n v="0"/>
    <n v="0"/>
    <n v="0"/>
  </r>
  <r>
    <s v="08-Apr-2026"/>
    <x v="2"/>
    <s v="Week2-Apr-2026"/>
    <x v="7"/>
    <s v="13-Apr-2026"/>
    <s v="Monday"/>
    <s v="Weekly - Monday"/>
    <s v="Weekly - Monday"/>
    <s v="Same Month Expiry"/>
    <n v="43555413"/>
    <n v="6748542.8799999999"/>
    <n v="34746.589999999997"/>
  </r>
  <r>
    <s v="08-Apr-2026"/>
    <x v="2"/>
    <s v="Week2-Apr-2026"/>
    <x v="7"/>
    <s v="21-Apr-2026"/>
    <s v="Tuesday"/>
    <s v="Weekly - Tuesday"/>
    <s v="Weekly - Tuesday"/>
    <s v="Same Month Expiry"/>
    <n v="916245"/>
    <n v="141838.99"/>
    <n v="951.18"/>
  </r>
  <r>
    <s v="08-Apr-2026"/>
    <x v="2"/>
    <s v="Week2-Apr-2026"/>
    <x v="7"/>
    <s v="28-Apr-2026"/>
    <s v="Tuesday"/>
    <s v="Monthly - Tuesday"/>
    <s v="Monthly - Tuesday"/>
    <s v="Same Month Expiry"/>
    <n v="2506003"/>
    <n v="388553.6"/>
    <n v="4023.75"/>
  </r>
  <r>
    <s v="08-Apr-2026"/>
    <x v="2"/>
    <s v="Week2-Apr-2026"/>
    <x v="7"/>
    <s v="05-May-2026"/>
    <s v="Tuesday"/>
    <s v="Weekly - Tuesday"/>
    <s v="Weekly - Tuesday"/>
    <s v="Month+1 Expiry"/>
    <n v="21084"/>
    <n v="3311.01"/>
    <n v="44.75"/>
  </r>
  <r>
    <s v="08-Apr-2026"/>
    <x v="2"/>
    <s v="Week2-Apr-2026"/>
    <x v="7"/>
    <s v="12-May-2026"/>
    <s v="Tuesday"/>
    <s v="Weekly - Tuesday"/>
    <s v="Weekly - Tuesday"/>
    <s v="Month+1 Expiry"/>
    <n v="125"/>
    <n v="19.66"/>
    <n v="0.23"/>
  </r>
  <r>
    <s v="08-Apr-2026"/>
    <x v="2"/>
    <s v="Week2-Apr-2026"/>
    <x v="7"/>
    <s v="26-May-2026"/>
    <s v="Tuesday"/>
    <s v="Monthly - Tuesday"/>
    <s v="Monthly - Tuesday"/>
    <s v="Month+1 Expiry"/>
    <n v="308642"/>
    <n v="48388.87"/>
    <n v="664.88"/>
  </r>
  <r>
    <s v="08-Apr-2026"/>
    <x v="2"/>
    <s v="Week2-Apr-2026"/>
    <x v="7"/>
    <s v="30-Jun-2026"/>
    <s v="Tuesday"/>
    <s v="Monthly - Tuesday"/>
    <s v="Monthly - Tuesday"/>
    <s v="Month+2 Expiry"/>
    <n v="278690"/>
    <n v="42676.84"/>
    <n v="706.02"/>
  </r>
  <r>
    <s v="08-Apr-2026"/>
    <x v="2"/>
    <s v="Week2-Apr-2026"/>
    <x v="7"/>
    <s v="29-Sep-2026"/>
    <s v="Tuesday"/>
    <s v="Monthly - Tuesday"/>
    <s v="Monthly - Tuesday"/>
    <s v="Month+5 Expiry"/>
    <n v="38394"/>
    <n v="6085.35"/>
    <n v="114.62"/>
  </r>
  <r>
    <s v="08-Apr-2026"/>
    <x v="2"/>
    <s v="Week2-Apr-2026"/>
    <x v="7"/>
    <s v="29-Dec-2026"/>
    <s v="Tuesday"/>
    <s v="Monthly - Tuesday"/>
    <s v="Monthly - Tuesday"/>
    <s v="Month+8 Expiry"/>
    <n v="79381"/>
    <n v="12257.72"/>
    <n v="311.64999999999998"/>
  </r>
  <r>
    <s v="08-Apr-2026"/>
    <x v="2"/>
    <s v="Week2-Apr-2026"/>
    <x v="7"/>
    <s v="30-Mar-2027"/>
    <s v="Tuesday"/>
    <s v="Monthly - Tuesday"/>
    <s v="Monthly - Tuesday"/>
    <s v="Month+11 Expiry"/>
    <n v="0"/>
    <n v="0"/>
    <n v="0"/>
  </r>
  <r>
    <s v="08-Apr-2026"/>
    <x v="2"/>
    <s v="Week2-Apr-2026"/>
    <x v="7"/>
    <s v="29-Jun-2027"/>
    <s v="Tuesday"/>
    <s v="Monthly - Tuesday"/>
    <s v="Monthly - Tuesday"/>
    <s v="Month+14 Expiry"/>
    <n v="19"/>
    <n v="2.64"/>
    <n v="0.04"/>
  </r>
  <r>
    <s v="08-Apr-2026"/>
    <x v="2"/>
    <s v="Week2-Apr-2026"/>
    <x v="7"/>
    <s v="28-Dec-2027"/>
    <s v="Tuesday"/>
    <s v="Monthly - Tuesday"/>
    <s v="Monthly - Tuesday"/>
    <s v="Month+20 Expiry"/>
    <n v="483"/>
    <n v="84.21"/>
    <n v="5.39"/>
  </r>
  <r>
    <s v="08-Apr-2026"/>
    <x v="2"/>
    <s v="Week2-Apr-2026"/>
    <x v="7"/>
    <s v="27-Jun-2028"/>
    <s v="Tuesday"/>
    <s v="Monthly - Tuesday"/>
    <s v="Monthly - Tuesday"/>
    <s v="Month+26 Expiry"/>
    <n v="0"/>
    <n v="0"/>
    <n v="0"/>
  </r>
  <r>
    <s v="08-Apr-2026"/>
    <x v="2"/>
    <s v="Week2-Apr-2026"/>
    <x v="7"/>
    <s v="26-Dec-2028"/>
    <s v="Tuesday"/>
    <s v="Monthly - Tuesday"/>
    <s v="Monthly - Tuesday"/>
    <s v="Month+32 Expiry"/>
    <n v="20"/>
    <n v="3.36"/>
    <n v="0.15"/>
  </r>
  <r>
    <s v="08-Apr-2026"/>
    <x v="2"/>
    <s v="Week2-Apr-2026"/>
    <x v="7"/>
    <s v="26-Jun-2029"/>
    <s v="Tuesday"/>
    <s v="Monthly - Tuesday"/>
    <s v="Monthly - Tuesday"/>
    <s v="Month+38 Expiry"/>
    <n v="0"/>
    <n v="0"/>
    <n v="0"/>
  </r>
  <r>
    <s v="08-Apr-2026"/>
    <x v="2"/>
    <s v="Week2-Apr-2026"/>
    <x v="7"/>
    <s v="24-Dec-2029"/>
    <s v="Monday"/>
    <s v="Weekly - Monday"/>
    <s v="Weekly - Monday"/>
    <s v="Month+44 Expiry"/>
    <n v="15"/>
    <n v="2.88"/>
    <n v="0.19"/>
  </r>
  <r>
    <s v="08-Apr-2026"/>
    <x v="2"/>
    <s v="Week2-Apr-2026"/>
    <x v="7"/>
    <s v="25-Jun-2030"/>
    <s v="Tuesday"/>
    <s v="Monthly - Tuesday"/>
    <s v="Monthly - Tuesday"/>
    <s v="Month+50 Expiry"/>
    <n v="0"/>
    <n v="0"/>
    <n v="0"/>
  </r>
  <r>
    <s v="08-Apr-2026"/>
    <x v="2"/>
    <s v="Week2-Apr-2026"/>
    <x v="7"/>
    <s v="31-Dec-2030"/>
    <s v="Tuesday"/>
    <s v="Monthly - Tuesday"/>
    <s v="Monthly - Tuesday"/>
    <s v="Month+56 Expiry"/>
    <n v="0"/>
    <n v="0"/>
    <n v="0"/>
  </r>
  <r>
    <s v="09-Apr-2026"/>
    <x v="3"/>
    <s v="Week2-Apr-2026"/>
    <x v="7"/>
    <s v="13-Apr-2026"/>
    <s v="Monday"/>
    <s v="Weekly - Monday"/>
    <s v="Weekly - Monday"/>
    <s v="Same Month Expiry"/>
    <n v="45342603"/>
    <n v="7043060.8300000001"/>
    <n v="32633.39"/>
  </r>
  <r>
    <s v="09-Apr-2026"/>
    <x v="3"/>
    <s v="Week2-Apr-2026"/>
    <x v="7"/>
    <s v="21-Apr-2026"/>
    <s v="Tuesday"/>
    <s v="Weekly - Tuesday"/>
    <s v="Weekly - Tuesday"/>
    <s v="Same Month Expiry"/>
    <n v="1253304"/>
    <n v="195929.21"/>
    <n v="1270.3399999999999"/>
  </r>
  <r>
    <s v="09-Apr-2026"/>
    <x v="3"/>
    <s v="Week2-Apr-2026"/>
    <x v="7"/>
    <s v="28-Apr-2026"/>
    <s v="Tuesday"/>
    <s v="Monthly - Tuesday"/>
    <s v="Monthly - Tuesday"/>
    <s v="Same Month Expiry"/>
    <n v="1545901"/>
    <n v="242228.87"/>
    <n v="2609.23"/>
  </r>
  <r>
    <s v="09-Apr-2026"/>
    <x v="3"/>
    <s v="Week2-Apr-2026"/>
    <x v="7"/>
    <s v="05-May-2026"/>
    <s v="Tuesday"/>
    <s v="Weekly - Tuesday"/>
    <s v="Weekly - Tuesday"/>
    <s v="Month+1 Expiry"/>
    <n v="19426"/>
    <n v="3042.66"/>
    <n v="36.729999999999997"/>
  </r>
  <r>
    <s v="09-Apr-2026"/>
    <x v="3"/>
    <s v="Week2-Apr-2026"/>
    <x v="7"/>
    <s v="12-May-2026"/>
    <s v="Tuesday"/>
    <s v="Weekly - Tuesday"/>
    <s v="Weekly - Tuesday"/>
    <s v="Month+1 Expiry"/>
    <n v="400"/>
    <n v="64.69"/>
    <n v="0.57999999999999996"/>
  </r>
  <r>
    <s v="09-Apr-2026"/>
    <x v="3"/>
    <s v="Week2-Apr-2026"/>
    <x v="7"/>
    <s v="26-May-2026"/>
    <s v="Tuesday"/>
    <s v="Monthly - Tuesday"/>
    <s v="Monthly - Tuesday"/>
    <s v="Month+1 Expiry"/>
    <n v="154079"/>
    <n v="24578.85"/>
    <n v="335"/>
  </r>
  <r>
    <s v="09-Apr-2026"/>
    <x v="3"/>
    <s v="Week2-Apr-2026"/>
    <x v="7"/>
    <s v="30-Jun-2026"/>
    <s v="Tuesday"/>
    <s v="Monthly - Tuesday"/>
    <s v="Monthly - Tuesday"/>
    <s v="Month+2 Expiry"/>
    <n v="125314"/>
    <n v="19562.09"/>
    <n v="335.02"/>
  </r>
  <r>
    <s v="09-Apr-2026"/>
    <x v="3"/>
    <s v="Week2-Apr-2026"/>
    <x v="7"/>
    <s v="29-Sep-2026"/>
    <s v="Tuesday"/>
    <s v="Monthly - Tuesday"/>
    <s v="Monthly - Tuesday"/>
    <s v="Month+5 Expiry"/>
    <n v="28472"/>
    <n v="4691.79"/>
    <n v="88.51"/>
  </r>
  <r>
    <s v="09-Apr-2026"/>
    <x v="3"/>
    <s v="Week2-Apr-2026"/>
    <x v="7"/>
    <s v="29-Dec-2026"/>
    <s v="Tuesday"/>
    <s v="Monthly - Tuesday"/>
    <s v="Monthly - Tuesday"/>
    <s v="Month+8 Expiry"/>
    <n v="52595"/>
    <n v="8415.5"/>
    <n v="209"/>
  </r>
  <r>
    <s v="09-Apr-2026"/>
    <x v="3"/>
    <s v="Week2-Apr-2026"/>
    <x v="7"/>
    <s v="30-Mar-2027"/>
    <s v="Tuesday"/>
    <s v="Monthly - Tuesday"/>
    <s v="Monthly - Tuesday"/>
    <s v="Month+11 Expiry"/>
    <n v="0"/>
    <n v="0"/>
    <n v="0"/>
  </r>
  <r>
    <s v="09-Apr-2026"/>
    <x v="3"/>
    <s v="Week2-Apr-2026"/>
    <x v="7"/>
    <s v="29-Jun-2027"/>
    <s v="Tuesday"/>
    <s v="Monthly - Tuesday"/>
    <s v="Monthly - Tuesday"/>
    <s v="Month+14 Expiry"/>
    <n v="3"/>
    <n v="0.42"/>
    <n v="0.01"/>
  </r>
  <r>
    <s v="09-Apr-2026"/>
    <x v="3"/>
    <s v="Week2-Apr-2026"/>
    <x v="7"/>
    <s v="28-Dec-2027"/>
    <s v="Tuesday"/>
    <s v="Monthly - Tuesday"/>
    <s v="Monthly - Tuesday"/>
    <s v="Month+20 Expiry"/>
    <n v="213"/>
    <n v="35.33"/>
    <n v="1.76"/>
  </r>
  <r>
    <s v="09-Apr-2026"/>
    <x v="3"/>
    <s v="Week2-Apr-2026"/>
    <x v="7"/>
    <s v="27-Jun-2028"/>
    <s v="Tuesday"/>
    <s v="Monthly - Tuesday"/>
    <s v="Monthly - Tuesday"/>
    <s v="Month+26 Expiry"/>
    <n v="0"/>
    <n v="0"/>
    <n v="0"/>
  </r>
  <r>
    <s v="09-Apr-2026"/>
    <x v="3"/>
    <s v="Week2-Apr-2026"/>
    <x v="7"/>
    <s v="26-Dec-2028"/>
    <s v="Tuesday"/>
    <s v="Monthly - Tuesday"/>
    <s v="Monthly - Tuesday"/>
    <s v="Month+32 Expiry"/>
    <n v="3"/>
    <n v="0.47"/>
    <n v="0.02"/>
  </r>
  <r>
    <s v="09-Apr-2026"/>
    <x v="3"/>
    <s v="Week2-Apr-2026"/>
    <x v="7"/>
    <s v="26-Jun-2029"/>
    <s v="Tuesday"/>
    <s v="Monthly - Tuesday"/>
    <s v="Monthly - Tuesday"/>
    <s v="Month+38 Expiry"/>
    <n v="0"/>
    <n v="0"/>
    <n v="0"/>
  </r>
  <r>
    <s v="09-Apr-2026"/>
    <x v="3"/>
    <s v="Week2-Apr-2026"/>
    <x v="7"/>
    <s v="24-Dec-2029"/>
    <s v="Monday"/>
    <s v="Weekly - Monday"/>
    <s v="Weekly - Monday"/>
    <s v="Month+44 Expiry"/>
    <n v="13"/>
    <n v="2.75"/>
    <n v="0.26"/>
  </r>
  <r>
    <s v="09-Apr-2026"/>
    <x v="3"/>
    <s v="Week2-Apr-2026"/>
    <x v="7"/>
    <s v="25-Jun-2030"/>
    <s v="Tuesday"/>
    <s v="Monthly - Tuesday"/>
    <s v="Monthly - Tuesday"/>
    <s v="Month+50 Expiry"/>
    <n v="0"/>
    <n v="0"/>
    <n v="0"/>
  </r>
  <r>
    <s v="09-Apr-2026"/>
    <x v="3"/>
    <s v="Week2-Apr-2026"/>
    <x v="7"/>
    <s v="31-Dec-2030"/>
    <s v="Tuesday"/>
    <s v="Monthly - Tuesday"/>
    <s v="Monthly - Tuesday"/>
    <s v="Month+56 Expiry"/>
    <n v="0"/>
    <n v="0"/>
    <n v="0"/>
  </r>
  <r>
    <s v="10-Apr-2026"/>
    <x v="4"/>
    <s v="Week2-Apr-2026"/>
    <x v="7"/>
    <s v="13-Apr-2026"/>
    <s v="Monday"/>
    <s v="Weekly - Monday"/>
    <s v="Weekly - Monday"/>
    <s v="Same Month Expiry"/>
    <n v="88418566"/>
    <n v="13793150.130000001"/>
    <n v="50005.120000000003"/>
  </r>
  <r>
    <s v="10-Apr-2026"/>
    <x v="4"/>
    <s v="Week2-Apr-2026"/>
    <x v="7"/>
    <s v="21-Apr-2026"/>
    <s v="Tuesday"/>
    <s v="Weekly - Tuesday"/>
    <s v="Weekly - Tuesday"/>
    <s v="Same Month Expiry"/>
    <n v="2691037"/>
    <n v="419513.11"/>
    <n v="2080.27"/>
  </r>
  <r>
    <s v="10-Apr-2026"/>
    <x v="4"/>
    <s v="Week2-Apr-2026"/>
    <x v="7"/>
    <s v="28-Apr-2026"/>
    <s v="Tuesday"/>
    <s v="Monthly - Tuesday"/>
    <s v="Monthly - Tuesday"/>
    <s v="Same Month Expiry"/>
    <n v="1609710"/>
    <n v="251011.55"/>
    <n v="2377.19"/>
  </r>
  <r>
    <s v="10-Apr-2026"/>
    <x v="4"/>
    <s v="Week2-Apr-2026"/>
    <x v="7"/>
    <s v="05-May-2026"/>
    <s v="Tuesday"/>
    <s v="Weekly - Tuesday"/>
    <s v="Weekly - Tuesday"/>
    <s v="Month+1 Expiry"/>
    <n v="23779"/>
    <n v="3724.82"/>
    <n v="37.72"/>
  </r>
  <r>
    <s v="10-Apr-2026"/>
    <x v="4"/>
    <s v="Week2-Apr-2026"/>
    <x v="7"/>
    <s v="12-May-2026"/>
    <s v="Tuesday"/>
    <s v="Weekly - Tuesday"/>
    <s v="Weekly - Tuesday"/>
    <s v="Month+1 Expiry"/>
    <n v="611"/>
    <n v="98.3"/>
    <n v="0.98"/>
  </r>
  <r>
    <s v="10-Apr-2026"/>
    <x v="4"/>
    <s v="Week2-Apr-2026"/>
    <x v="7"/>
    <s v="26-May-2026"/>
    <s v="Tuesday"/>
    <s v="Monthly - Tuesday"/>
    <s v="Monthly - Tuesday"/>
    <s v="Month+1 Expiry"/>
    <n v="162303"/>
    <n v="25658.63"/>
    <n v="313.04000000000002"/>
  </r>
  <r>
    <s v="10-Apr-2026"/>
    <x v="4"/>
    <s v="Week2-Apr-2026"/>
    <x v="7"/>
    <s v="30-Jun-2026"/>
    <s v="Tuesday"/>
    <s v="Monthly - Tuesday"/>
    <s v="Monthly - Tuesday"/>
    <s v="Month+2 Expiry"/>
    <n v="105283"/>
    <n v="16519.14"/>
    <n v="284.54000000000002"/>
  </r>
  <r>
    <s v="10-Apr-2026"/>
    <x v="4"/>
    <s v="Week2-Apr-2026"/>
    <x v="7"/>
    <s v="29-Sep-2026"/>
    <s v="Tuesday"/>
    <s v="Monthly - Tuesday"/>
    <s v="Monthly - Tuesday"/>
    <s v="Month+5 Expiry"/>
    <n v="39661"/>
    <n v="6427.76"/>
    <n v="124.97"/>
  </r>
  <r>
    <s v="10-Apr-2026"/>
    <x v="4"/>
    <s v="Week2-Apr-2026"/>
    <x v="7"/>
    <s v="29-Dec-2026"/>
    <s v="Tuesday"/>
    <s v="Monthly - Tuesday"/>
    <s v="Monthly - Tuesday"/>
    <s v="Month+8 Expiry"/>
    <n v="53518"/>
    <n v="8731.3799999999992"/>
    <n v="269.7"/>
  </r>
  <r>
    <s v="10-Apr-2026"/>
    <x v="4"/>
    <s v="Week2-Apr-2026"/>
    <x v="7"/>
    <s v="30-Mar-2027"/>
    <s v="Tuesday"/>
    <s v="Monthly - Tuesday"/>
    <s v="Monthly - Tuesday"/>
    <s v="Month+11 Expiry"/>
    <n v="0"/>
    <n v="0"/>
    <n v="0"/>
  </r>
  <r>
    <s v="10-Apr-2026"/>
    <x v="4"/>
    <s v="Week2-Apr-2026"/>
    <x v="7"/>
    <s v="29-Jun-2027"/>
    <s v="Tuesday"/>
    <s v="Monthly - Tuesday"/>
    <s v="Monthly - Tuesday"/>
    <s v="Month+14 Expiry"/>
    <n v="5"/>
    <n v="0.69"/>
    <n v="0.01"/>
  </r>
  <r>
    <s v="10-Apr-2026"/>
    <x v="4"/>
    <s v="Week2-Apr-2026"/>
    <x v="7"/>
    <s v="28-Dec-2027"/>
    <s v="Tuesday"/>
    <s v="Monthly - Tuesday"/>
    <s v="Monthly - Tuesday"/>
    <s v="Month+20 Expiry"/>
    <n v="250"/>
    <n v="42.77"/>
    <n v="2.58"/>
  </r>
  <r>
    <s v="10-Apr-2026"/>
    <x v="4"/>
    <s v="Week2-Apr-2026"/>
    <x v="7"/>
    <s v="27-Jun-2028"/>
    <s v="Tuesday"/>
    <s v="Monthly - Tuesday"/>
    <s v="Monthly - Tuesday"/>
    <s v="Month+26 Expiry"/>
    <n v="1"/>
    <n v="0.15"/>
    <n v="0"/>
  </r>
  <r>
    <s v="10-Apr-2026"/>
    <x v="4"/>
    <s v="Week2-Apr-2026"/>
    <x v="7"/>
    <s v="26-Dec-2028"/>
    <s v="Tuesday"/>
    <s v="Monthly - Tuesday"/>
    <s v="Monthly - Tuesday"/>
    <s v="Month+32 Expiry"/>
    <n v="16"/>
    <n v="2.59"/>
    <n v="0.11"/>
  </r>
  <r>
    <s v="10-Apr-2026"/>
    <x v="4"/>
    <s v="Week2-Apr-2026"/>
    <x v="7"/>
    <s v="26-Jun-2029"/>
    <s v="Tuesday"/>
    <s v="Monthly - Tuesday"/>
    <s v="Monthly - Tuesday"/>
    <s v="Month+38 Expiry"/>
    <n v="0"/>
    <n v="0"/>
    <n v="0"/>
  </r>
  <r>
    <s v="10-Apr-2026"/>
    <x v="4"/>
    <s v="Week2-Apr-2026"/>
    <x v="7"/>
    <s v="24-Dec-2029"/>
    <s v="Monday"/>
    <s v="Weekly - Monday"/>
    <s v="Weekly - Monday"/>
    <s v="Month+44 Expiry"/>
    <n v="0"/>
    <n v="0"/>
    <n v="0"/>
  </r>
  <r>
    <s v="10-Apr-2026"/>
    <x v="4"/>
    <s v="Week2-Apr-2026"/>
    <x v="7"/>
    <s v="25-Jun-2030"/>
    <s v="Tuesday"/>
    <s v="Monthly - Tuesday"/>
    <s v="Monthly - Tuesday"/>
    <s v="Month+50 Expiry"/>
    <n v="0"/>
    <n v="0"/>
    <n v="0"/>
  </r>
  <r>
    <s v="10-Apr-2026"/>
    <x v="4"/>
    <s v="Week2-Apr-2026"/>
    <x v="7"/>
    <s v="31-Dec-2030"/>
    <s v="Tuesday"/>
    <s v="Monthly - Tuesday"/>
    <s v="Monthly - Tuesday"/>
    <s v="Month+56 Expiry"/>
    <n v="0"/>
    <n v="0"/>
    <n v="0"/>
  </r>
  <r>
    <s v="13-Apr-2026"/>
    <x v="0"/>
    <s v="Week2-Apr-2026"/>
    <x v="7"/>
    <s v="13-Apr-2026"/>
    <s v="Monday"/>
    <s v="Weekly - Monday"/>
    <s v="Weekly - Monday"/>
    <s v="Same Month Expiry"/>
    <n v="365854898"/>
    <n v="56577776.920000002"/>
    <n v="67918.2"/>
  </r>
  <r>
    <s v="13-Apr-2026"/>
    <x v="0"/>
    <s v="Week2-Apr-2026"/>
    <x v="7"/>
    <s v="21-Apr-2026"/>
    <s v="Tuesday"/>
    <s v="Weekly - Tuesday"/>
    <s v="Weekly - Tuesday"/>
    <s v="Same Month Expiry"/>
    <n v="7456540"/>
    <n v="1154807.69"/>
    <n v="6340.85"/>
  </r>
  <r>
    <s v="13-Apr-2026"/>
    <x v="0"/>
    <s v="Week2-Apr-2026"/>
    <x v="7"/>
    <s v="28-Apr-2026"/>
    <s v="Tuesday"/>
    <s v="Monthly - Tuesday"/>
    <s v="Monthly - Tuesday"/>
    <s v="Same Month Expiry"/>
    <n v="1898481"/>
    <n v="294741.93"/>
    <n v="2624.57"/>
  </r>
  <r>
    <s v="13-Apr-2026"/>
    <x v="0"/>
    <s v="Week2-Apr-2026"/>
    <x v="7"/>
    <s v="05-May-2026"/>
    <s v="Tuesday"/>
    <s v="Weekly - Tuesday"/>
    <s v="Weekly - Tuesday"/>
    <s v="Month+1 Expiry"/>
    <n v="38821"/>
    <n v="6096.11"/>
    <n v="61.77"/>
  </r>
  <r>
    <s v="13-Apr-2026"/>
    <x v="0"/>
    <s v="Week2-Apr-2026"/>
    <x v="7"/>
    <s v="12-May-2026"/>
    <s v="Tuesday"/>
    <s v="Weekly - Tuesday"/>
    <s v="Weekly - Tuesday"/>
    <s v="Month+1 Expiry"/>
    <n v="2074"/>
    <n v="335.8"/>
    <n v="3.01"/>
  </r>
  <r>
    <s v="13-Apr-2026"/>
    <x v="0"/>
    <s v="Week2-Apr-2026"/>
    <x v="7"/>
    <s v="26-May-2026"/>
    <s v="Tuesday"/>
    <s v="Monthly - Tuesday"/>
    <s v="Monthly - Tuesday"/>
    <s v="Month+1 Expiry"/>
    <n v="193478"/>
    <n v="30589.71"/>
    <n v="398.04"/>
  </r>
  <r>
    <s v="13-Apr-2026"/>
    <x v="0"/>
    <s v="Week2-Apr-2026"/>
    <x v="7"/>
    <s v="30-Jun-2026"/>
    <s v="Tuesday"/>
    <s v="Monthly - Tuesday"/>
    <s v="Monthly - Tuesday"/>
    <s v="Month+2 Expiry"/>
    <n v="124892"/>
    <n v="19670.96"/>
    <n v="373.25"/>
  </r>
  <r>
    <s v="13-Apr-2026"/>
    <x v="0"/>
    <s v="Week2-Apr-2026"/>
    <x v="7"/>
    <s v="29-Sep-2026"/>
    <s v="Tuesday"/>
    <s v="Monthly - Tuesday"/>
    <s v="Monthly - Tuesday"/>
    <s v="Month+5 Expiry"/>
    <n v="29921"/>
    <n v="4793.3500000000004"/>
    <n v="92.26"/>
  </r>
  <r>
    <s v="13-Apr-2026"/>
    <x v="0"/>
    <s v="Week2-Apr-2026"/>
    <x v="7"/>
    <s v="29-Dec-2026"/>
    <s v="Tuesday"/>
    <s v="Monthly - Tuesday"/>
    <s v="Monthly - Tuesday"/>
    <s v="Month+8 Expiry"/>
    <n v="44497"/>
    <n v="7135.91"/>
    <n v="188.9"/>
  </r>
  <r>
    <s v="13-Apr-2026"/>
    <x v="0"/>
    <s v="Week2-Apr-2026"/>
    <x v="7"/>
    <s v="30-Mar-2027"/>
    <s v="Tuesday"/>
    <s v="Monthly - Tuesday"/>
    <s v="Monthly - Tuesday"/>
    <s v="Month+11 Expiry"/>
    <n v="0"/>
    <n v="0"/>
    <n v="0"/>
  </r>
  <r>
    <s v="13-Apr-2026"/>
    <x v="0"/>
    <s v="Week2-Apr-2026"/>
    <x v="7"/>
    <s v="29-Jun-2027"/>
    <s v="Tuesday"/>
    <s v="Monthly - Tuesday"/>
    <s v="Monthly - Tuesday"/>
    <s v="Month+14 Expiry"/>
    <n v="9"/>
    <n v="1.25"/>
    <n v="0.03"/>
  </r>
  <r>
    <s v="13-Apr-2026"/>
    <x v="0"/>
    <s v="Week2-Apr-2026"/>
    <x v="7"/>
    <s v="28-Dec-2027"/>
    <s v="Tuesday"/>
    <s v="Monthly - Tuesday"/>
    <s v="Monthly - Tuesday"/>
    <s v="Month+20 Expiry"/>
    <n v="358"/>
    <n v="62.95"/>
    <n v="2.68"/>
  </r>
  <r>
    <s v="13-Apr-2026"/>
    <x v="0"/>
    <s v="Week2-Apr-2026"/>
    <x v="7"/>
    <s v="27-Jun-2028"/>
    <s v="Tuesday"/>
    <s v="Monthly - Tuesday"/>
    <s v="Monthly - Tuesday"/>
    <s v="Month+26 Expiry"/>
    <n v="0"/>
    <n v="0"/>
    <n v="0"/>
  </r>
  <r>
    <s v="13-Apr-2026"/>
    <x v="0"/>
    <s v="Week2-Apr-2026"/>
    <x v="7"/>
    <s v="26-Dec-2028"/>
    <s v="Tuesday"/>
    <s v="Monthly - Tuesday"/>
    <s v="Monthly - Tuesday"/>
    <s v="Month+32 Expiry"/>
    <n v="5"/>
    <n v="0.84"/>
    <n v="0.04"/>
  </r>
  <r>
    <s v="13-Apr-2026"/>
    <x v="0"/>
    <s v="Week2-Apr-2026"/>
    <x v="7"/>
    <s v="26-Jun-2029"/>
    <s v="Tuesday"/>
    <s v="Monthly - Tuesday"/>
    <s v="Monthly - Tuesday"/>
    <s v="Month+38 Expiry"/>
    <n v="0"/>
    <n v="0"/>
    <n v="0"/>
  </r>
  <r>
    <s v="13-Apr-2026"/>
    <x v="0"/>
    <s v="Week2-Apr-2026"/>
    <x v="7"/>
    <s v="24-Dec-2029"/>
    <s v="Monday"/>
    <s v="Weekly - Monday"/>
    <s v="Weekly - Monday"/>
    <s v="Month+44 Expiry"/>
    <n v="5"/>
    <n v="1.06"/>
    <n v="0.09"/>
  </r>
  <r>
    <s v="13-Apr-2026"/>
    <x v="0"/>
    <s v="Week2-Apr-2026"/>
    <x v="7"/>
    <s v="25-Jun-2030"/>
    <s v="Tuesday"/>
    <s v="Monthly - Tuesday"/>
    <s v="Monthly - Tuesday"/>
    <s v="Month+50 Expiry"/>
    <n v="0"/>
    <n v="0"/>
    <n v="0"/>
  </r>
  <r>
    <s v="13-Apr-2026"/>
    <x v="0"/>
    <s v="Week2-Apr-2026"/>
    <x v="7"/>
    <s v="31-Dec-2030"/>
    <s v="Tuesday"/>
    <s v="Monthly - Tuesday"/>
    <s v="Monthly - Tuesday"/>
    <s v="Month+56 Expiry"/>
    <n v="0"/>
    <n v="0"/>
    <n v="0"/>
  </r>
  <r>
    <s v="15-Apr-2026"/>
    <x v="2"/>
    <s v="Week3-Apr-2026"/>
    <x v="7"/>
    <s v="21-Apr-2026"/>
    <s v="Tuesday"/>
    <s v="Weekly - Tuesday"/>
    <s v="Weekly - Tuesday"/>
    <s v="Same Month Expiry"/>
    <n v="34514412"/>
    <n v="5422905.9199999999"/>
    <n v="28198.61"/>
  </r>
  <r>
    <s v="15-Apr-2026"/>
    <x v="2"/>
    <s v="Week3-Apr-2026"/>
    <x v="7"/>
    <s v="28-Apr-2026"/>
    <s v="Tuesday"/>
    <s v="Monthly - Tuesday"/>
    <s v="Monthly - Tuesday"/>
    <s v="Same Month Expiry"/>
    <n v="2327283"/>
    <n v="364171.45"/>
    <n v="2526.02"/>
  </r>
  <r>
    <s v="15-Apr-2026"/>
    <x v="2"/>
    <s v="Week3-Apr-2026"/>
    <x v="7"/>
    <s v="05-May-2026"/>
    <s v="Tuesday"/>
    <s v="Weekly - Tuesday"/>
    <s v="Weekly - Tuesday"/>
    <s v="Month+1 Expiry"/>
    <n v="81272"/>
    <n v="12824.22"/>
    <n v="107.41"/>
  </r>
  <r>
    <s v="15-Apr-2026"/>
    <x v="2"/>
    <s v="Week3-Apr-2026"/>
    <x v="7"/>
    <s v="12-May-2026"/>
    <s v="Tuesday"/>
    <s v="Weekly - Tuesday"/>
    <s v="Weekly - Tuesday"/>
    <s v="Month+1 Expiry"/>
    <n v="6004"/>
    <n v="970.31"/>
    <n v="9.02"/>
  </r>
  <r>
    <s v="15-Apr-2026"/>
    <x v="2"/>
    <s v="Week3-Apr-2026"/>
    <x v="7"/>
    <s v="19-May-2026"/>
    <s v="Tuesday"/>
    <s v="Weekly - Tuesday"/>
    <s v="Weekly - Tuesday"/>
    <s v="Month+1 Expiry"/>
    <n v="16"/>
    <n v="2.57"/>
    <n v="0.05"/>
  </r>
  <r>
    <s v="15-Apr-2026"/>
    <x v="2"/>
    <s v="Week3-Apr-2026"/>
    <x v="7"/>
    <s v="26-May-2026"/>
    <s v="Tuesday"/>
    <s v="Monthly - Tuesday"/>
    <s v="Monthly - Tuesday"/>
    <s v="Month+1 Expiry"/>
    <n v="251116"/>
    <n v="39724.67"/>
    <n v="471.15"/>
  </r>
  <r>
    <s v="15-Apr-2026"/>
    <x v="2"/>
    <s v="Week3-Apr-2026"/>
    <x v="7"/>
    <s v="30-Jun-2026"/>
    <s v="Tuesday"/>
    <s v="Monthly - Tuesday"/>
    <s v="Monthly - Tuesday"/>
    <s v="Month+2 Expiry"/>
    <n v="150626"/>
    <n v="23433.13"/>
    <n v="392.25"/>
  </r>
  <r>
    <s v="15-Apr-2026"/>
    <x v="2"/>
    <s v="Week3-Apr-2026"/>
    <x v="7"/>
    <s v="29-Sep-2026"/>
    <s v="Tuesday"/>
    <s v="Monthly - Tuesday"/>
    <s v="Monthly - Tuesday"/>
    <s v="Month+5 Expiry"/>
    <n v="31757"/>
    <n v="5159.46"/>
    <n v="97.45"/>
  </r>
  <r>
    <s v="15-Apr-2026"/>
    <x v="2"/>
    <s v="Week3-Apr-2026"/>
    <x v="7"/>
    <s v="29-Dec-2026"/>
    <s v="Tuesday"/>
    <s v="Monthly - Tuesday"/>
    <s v="Monthly - Tuesday"/>
    <s v="Month+8 Expiry"/>
    <n v="60419"/>
    <n v="9763.8799999999992"/>
    <n v="277.95999999999998"/>
  </r>
  <r>
    <s v="15-Apr-2026"/>
    <x v="2"/>
    <s v="Week3-Apr-2026"/>
    <x v="7"/>
    <s v="30-Mar-2027"/>
    <s v="Tuesday"/>
    <s v="Monthly - Tuesday"/>
    <s v="Monthly - Tuesday"/>
    <s v="Month+11 Expiry"/>
    <n v="0"/>
    <n v="0"/>
    <n v="0"/>
  </r>
  <r>
    <s v="15-Apr-2026"/>
    <x v="2"/>
    <s v="Week3-Apr-2026"/>
    <x v="7"/>
    <s v="29-Jun-2027"/>
    <s v="Tuesday"/>
    <s v="Monthly - Tuesday"/>
    <s v="Monthly - Tuesday"/>
    <s v="Month+14 Expiry"/>
    <n v="5"/>
    <n v="0.7"/>
    <n v="0.01"/>
  </r>
  <r>
    <s v="15-Apr-2026"/>
    <x v="2"/>
    <s v="Week3-Apr-2026"/>
    <x v="7"/>
    <s v="28-Dec-2027"/>
    <s v="Tuesday"/>
    <s v="Monthly - Tuesday"/>
    <s v="Monthly - Tuesday"/>
    <s v="Month+20 Expiry"/>
    <n v="202"/>
    <n v="35.29"/>
    <n v="1.81"/>
  </r>
  <r>
    <s v="15-Apr-2026"/>
    <x v="2"/>
    <s v="Week3-Apr-2026"/>
    <x v="7"/>
    <s v="27-Jun-2028"/>
    <s v="Tuesday"/>
    <s v="Monthly - Tuesday"/>
    <s v="Monthly - Tuesday"/>
    <s v="Month+26 Expiry"/>
    <n v="0"/>
    <n v="0"/>
    <n v="0"/>
  </r>
  <r>
    <s v="15-Apr-2026"/>
    <x v="2"/>
    <s v="Week3-Apr-2026"/>
    <x v="7"/>
    <s v="26-Dec-2028"/>
    <s v="Tuesday"/>
    <s v="Monthly - Tuesday"/>
    <s v="Monthly - Tuesday"/>
    <s v="Month+32 Expiry"/>
    <n v="12"/>
    <n v="2.1800000000000002"/>
    <n v="0.13"/>
  </r>
  <r>
    <s v="15-Apr-2026"/>
    <x v="2"/>
    <s v="Week3-Apr-2026"/>
    <x v="7"/>
    <s v="26-Jun-2029"/>
    <s v="Tuesday"/>
    <s v="Monthly - Tuesday"/>
    <s v="Monthly - Tuesday"/>
    <s v="Month+38 Expiry"/>
    <n v="0"/>
    <n v="0"/>
    <n v="0"/>
  </r>
  <r>
    <s v="15-Apr-2026"/>
    <x v="2"/>
    <s v="Week3-Apr-2026"/>
    <x v="7"/>
    <s v="24-Dec-2029"/>
    <s v="Monday"/>
    <s v="Weekly - Monday"/>
    <s v="Weekly - Monday"/>
    <s v="Month+44 Expiry"/>
    <n v="10"/>
    <n v="2.19"/>
    <n v="0.24"/>
  </r>
  <r>
    <s v="15-Apr-2026"/>
    <x v="2"/>
    <s v="Week3-Apr-2026"/>
    <x v="7"/>
    <s v="25-Jun-2030"/>
    <s v="Tuesday"/>
    <s v="Monthly - Tuesday"/>
    <s v="Monthly - Tuesday"/>
    <s v="Month+50 Expiry"/>
    <n v="0"/>
    <n v="0"/>
    <n v="0"/>
  </r>
  <r>
    <s v="15-Apr-2026"/>
    <x v="2"/>
    <s v="Week3-Apr-2026"/>
    <x v="7"/>
    <s v="31-Dec-2030"/>
    <s v="Tuesday"/>
    <s v="Monthly - Tuesday"/>
    <s v="Monthly - Tuesday"/>
    <s v="Month+56 Expiry"/>
    <n v="0"/>
    <n v="0"/>
    <n v="0"/>
  </r>
  <r>
    <s v="16-Apr-2026"/>
    <x v="3"/>
    <s v="Week3-Apr-2026"/>
    <x v="7"/>
    <s v="21-Apr-2026"/>
    <s v="Tuesday"/>
    <s v="Weekly - Tuesday"/>
    <s v="Weekly - Tuesday"/>
    <s v="Same Month Expiry"/>
    <n v="41376905"/>
    <n v="6526524.3300000001"/>
    <n v="28184.33"/>
  </r>
  <r>
    <s v="16-Apr-2026"/>
    <x v="3"/>
    <s v="Week3-Apr-2026"/>
    <x v="7"/>
    <s v="28-Apr-2026"/>
    <s v="Tuesday"/>
    <s v="Monthly - Tuesday"/>
    <s v="Monthly - Tuesday"/>
    <s v="Same Month Expiry"/>
    <n v="2659141"/>
    <n v="416043"/>
    <n v="2669.35"/>
  </r>
  <r>
    <s v="16-Apr-2026"/>
    <x v="3"/>
    <s v="Week3-Apr-2026"/>
    <x v="7"/>
    <s v="05-May-2026"/>
    <s v="Tuesday"/>
    <s v="Weekly - Tuesday"/>
    <s v="Weekly - Tuesday"/>
    <s v="Month+1 Expiry"/>
    <n v="119084"/>
    <n v="18732.97"/>
    <n v="146.97999999999999"/>
  </r>
  <r>
    <s v="16-Apr-2026"/>
    <x v="3"/>
    <s v="Week3-Apr-2026"/>
    <x v="7"/>
    <s v="12-May-2026"/>
    <s v="Tuesday"/>
    <s v="Weekly - Tuesday"/>
    <s v="Weekly - Tuesday"/>
    <s v="Month+1 Expiry"/>
    <n v="12214"/>
    <n v="1974.4"/>
    <n v="22.02"/>
  </r>
  <r>
    <s v="16-Apr-2026"/>
    <x v="3"/>
    <s v="Week3-Apr-2026"/>
    <x v="7"/>
    <s v="19-May-2026"/>
    <s v="Tuesday"/>
    <s v="Weekly - Tuesday"/>
    <s v="Weekly - Tuesday"/>
    <s v="Month+1 Expiry"/>
    <n v="1314"/>
    <n v="212.75"/>
    <n v="3.52"/>
  </r>
  <r>
    <s v="16-Apr-2026"/>
    <x v="3"/>
    <s v="Week3-Apr-2026"/>
    <x v="7"/>
    <s v="26-May-2026"/>
    <s v="Tuesday"/>
    <s v="Monthly - Tuesday"/>
    <s v="Monthly - Tuesday"/>
    <s v="Month+1 Expiry"/>
    <n v="261184"/>
    <n v="41505.39"/>
    <n v="532.79999999999995"/>
  </r>
  <r>
    <s v="16-Apr-2026"/>
    <x v="3"/>
    <s v="Week3-Apr-2026"/>
    <x v="7"/>
    <s v="30-Jun-2026"/>
    <s v="Tuesday"/>
    <s v="Monthly - Tuesday"/>
    <s v="Monthly - Tuesday"/>
    <s v="Month+2 Expiry"/>
    <n v="132679"/>
    <n v="20902.29"/>
    <n v="300.58999999999997"/>
  </r>
  <r>
    <s v="16-Apr-2026"/>
    <x v="3"/>
    <s v="Week3-Apr-2026"/>
    <x v="7"/>
    <s v="29-Sep-2026"/>
    <s v="Tuesday"/>
    <s v="Monthly - Tuesday"/>
    <s v="Monthly - Tuesday"/>
    <s v="Month+5 Expiry"/>
    <n v="19998"/>
    <n v="3198.04"/>
    <n v="53.51"/>
  </r>
  <r>
    <s v="16-Apr-2026"/>
    <x v="3"/>
    <s v="Week3-Apr-2026"/>
    <x v="7"/>
    <s v="29-Dec-2026"/>
    <s v="Tuesday"/>
    <s v="Monthly - Tuesday"/>
    <s v="Monthly - Tuesday"/>
    <s v="Month+8 Expiry"/>
    <n v="45463"/>
    <n v="7398.56"/>
    <n v="221.89"/>
  </r>
  <r>
    <s v="16-Apr-2026"/>
    <x v="3"/>
    <s v="Week3-Apr-2026"/>
    <x v="7"/>
    <s v="30-Mar-2027"/>
    <s v="Tuesday"/>
    <s v="Monthly - Tuesday"/>
    <s v="Monthly - Tuesday"/>
    <s v="Month+11 Expiry"/>
    <n v="0"/>
    <n v="0"/>
    <n v="0"/>
  </r>
  <r>
    <s v="16-Apr-2026"/>
    <x v="3"/>
    <s v="Week3-Apr-2026"/>
    <x v="7"/>
    <s v="29-Jun-2027"/>
    <s v="Tuesday"/>
    <s v="Monthly - Tuesday"/>
    <s v="Monthly - Tuesday"/>
    <s v="Month+14 Expiry"/>
    <n v="8"/>
    <n v="1.1100000000000001"/>
    <n v="0.02"/>
  </r>
  <r>
    <s v="16-Apr-2026"/>
    <x v="3"/>
    <s v="Week3-Apr-2026"/>
    <x v="7"/>
    <s v="28-Dec-2027"/>
    <s v="Tuesday"/>
    <s v="Monthly - Tuesday"/>
    <s v="Monthly - Tuesday"/>
    <s v="Month+20 Expiry"/>
    <n v="257"/>
    <n v="44.34"/>
    <n v="2.0699999999999998"/>
  </r>
  <r>
    <s v="16-Apr-2026"/>
    <x v="3"/>
    <s v="Week3-Apr-2026"/>
    <x v="7"/>
    <s v="27-Jun-2028"/>
    <s v="Tuesday"/>
    <s v="Monthly - Tuesday"/>
    <s v="Monthly - Tuesday"/>
    <s v="Month+26 Expiry"/>
    <n v="0"/>
    <n v="0"/>
    <n v="0"/>
  </r>
  <r>
    <s v="16-Apr-2026"/>
    <x v="3"/>
    <s v="Week3-Apr-2026"/>
    <x v="7"/>
    <s v="26-Dec-2028"/>
    <s v="Tuesday"/>
    <s v="Monthly - Tuesday"/>
    <s v="Monthly - Tuesday"/>
    <s v="Month+32 Expiry"/>
    <n v="23"/>
    <n v="4.17"/>
    <n v="0.28999999999999998"/>
  </r>
  <r>
    <s v="16-Apr-2026"/>
    <x v="3"/>
    <s v="Week3-Apr-2026"/>
    <x v="7"/>
    <s v="26-Jun-2029"/>
    <s v="Tuesday"/>
    <s v="Monthly - Tuesday"/>
    <s v="Monthly - Tuesday"/>
    <s v="Month+38 Expiry"/>
    <n v="0"/>
    <n v="0"/>
    <n v="0"/>
  </r>
  <r>
    <s v="16-Apr-2026"/>
    <x v="3"/>
    <s v="Week3-Apr-2026"/>
    <x v="7"/>
    <s v="24-Dec-2029"/>
    <s v="Monday"/>
    <s v="Weekly - Monday"/>
    <s v="Weekly - Monday"/>
    <s v="Month+44 Expiry"/>
    <n v="0"/>
    <n v="0"/>
    <n v="0"/>
  </r>
  <r>
    <s v="16-Apr-2026"/>
    <x v="3"/>
    <s v="Week3-Apr-2026"/>
    <x v="7"/>
    <s v="25-Jun-2030"/>
    <s v="Tuesday"/>
    <s v="Monthly - Tuesday"/>
    <s v="Monthly - Tuesday"/>
    <s v="Month+50 Expiry"/>
    <n v="0"/>
    <n v="0"/>
    <n v="0"/>
  </r>
  <r>
    <s v="16-Apr-2026"/>
    <x v="3"/>
    <s v="Week3-Apr-2026"/>
    <x v="7"/>
    <s v="31-Dec-2030"/>
    <s v="Tuesday"/>
    <s v="Monthly - Tuesday"/>
    <s v="Monthly - Tuesday"/>
    <s v="Month+56 Expiry"/>
    <n v="0"/>
    <n v="0"/>
    <n v="0"/>
  </r>
  <r>
    <s v="17-Apr-2026"/>
    <x v="4"/>
    <s v="Week3-Apr-2026"/>
    <x v="7"/>
    <s v="21-Apr-2026"/>
    <s v="Tuesday"/>
    <s v="Weekly - Tuesday"/>
    <s v="Weekly - Tuesday"/>
    <s v="Same Month Expiry"/>
    <n v="65822475"/>
    <n v="10405188.83"/>
    <n v="40592"/>
  </r>
  <r>
    <s v="17-Apr-2026"/>
    <x v="4"/>
    <s v="Week3-Apr-2026"/>
    <x v="7"/>
    <s v="28-Apr-2026"/>
    <s v="Tuesday"/>
    <s v="Monthly - Tuesday"/>
    <s v="Monthly - Tuesday"/>
    <s v="Same Month Expiry"/>
    <n v="3207883"/>
    <n v="502819.48"/>
    <n v="2630.71"/>
  </r>
  <r>
    <s v="17-Apr-2026"/>
    <x v="4"/>
    <s v="Week3-Apr-2026"/>
    <x v="7"/>
    <s v="05-May-2026"/>
    <s v="Tuesday"/>
    <s v="Weekly - Tuesday"/>
    <s v="Weekly - Tuesday"/>
    <s v="Month+1 Expiry"/>
    <n v="132454"/>
    <n v="20957.689999999999"/>
    <n v="129.38999999999999"/>
  </r>
  <r>
    <s v="17-Apr-2026"/>
    <x v="4"/>
    <s v="Week3-Apr-2026"/>
    <x v="7"/>
    <s v="12-May-2026"/>
    <s v="Tuesday"/>
    <s v="Weekly - Tuesday"/>
    <s v="Weekly - Tuesday"/>
    <s v="Month+1 Expiry"/>
    <n v="12985"/>
    <n v="2071.12"/>
    <n v="15.61"/>
  </r>
  <r>
    <s v="17-Apr-2026"/>
    <x v="4"/>
    <s v="Week3-Apr-2026"/>
    <x v="7"/>
    <s v="19-May-2026"/>
    <s v="Tuesday"/>
    <s v="Weekly - Tuesday"/>
    <s v="Weekly - Tuesday"/>
    <s v="Month+1 Expiry"/>
    <n v="1763"/>
    <n v="286.94"/>
    <n v="3.83"/>
  </r>
  <r>
    <s v="17-Apr-2026"/>
    <x v="4"/>
    <s v="Week3-Apr-2026"/>
    <x v="7"/>
    <s v="26-May-2026"/>
    <s v="Tuesday"/>
    <s v="Monthly - Tuesday"/>
    <s v="Monthly - Tuesday"/>
    <s v="Month+1 Expiry"/>
    <n v="308942"/>
    <n v="48864.82"/>
    <n v="600.97"/>
  </r>
  <r>
    <s v="17-Apr-2026"/>
    <x v="4"/>
    <s v="Week3-Apr-2026"/>
    <x v="7"/>
    <s v="30-Jun-2026"/>
    <s v="Tuesday"/>
    <s v="Monthly - Tuesday"/>
    <s v="Monthly - Tuesday"/>
    <s v="Month+2 Expiry"/>
    <n v="117144"/>
    <n v="18243.39"/>
    <n v="238.53"/>
  </r>
  <r>
    <s v="17-Apr-2026"/>
    <x v="4"/>
    <s v="Week3-Apr-2026"/>
    <x v="7"/>
    <s v="29-Sep-2026"/>
    <s v="Tuesday"/>
    <s v="Monthly - Tuesday"/>
    <s v="Monthly - Tuesday"/>
    <s v="Month+5 Expiry"/>
    <n v="11234"/>
    <n v="1841.56"/>
    <n v="29"/>
  </r>
  <r>
    <s v="17-Apr-2026"/>
    <x v="4"/>
    <s v="Week3-Apr-2026"/>
    <x v="7"/>
    <s v="29-Dec-2026"/>
    <s v="Tuesday"/>
    <s v="Monthly - Tuesday"/>
    <s v="Monthly - Tuesday"/>
    <s v="Month+8 Expiry"/>
    <n v="31659"/>
    <n v="5112.37"/>
    <n v="119"/>
  </r>
  <r>
    <s v="17-Apr-2026"/>
    <x v="4"/>
    <s v="Week3-Apr-2026"/>
    <x v="7"/>
    <s v="30-Mar-2027"/>
    <s v="Tuesday"/>
    <s v="Monthly - Tuesday"/>
    <s v="Monthly - Tuesday"/>
    <s v="Month+11 Expiry"/>
    <n v="0"/>
    <n v="0"/>
    <n v="0"/>
  </r>
  <r>
    <s v="17-Apr-2026"/>
    <x v="4"/>
    <s v="Week3-Apr-2026"/>
    <x v="7"/>
    <s v="29-Jun-2027"/>
    <s v="Tuesday"/>
    <s v="Monthly - Tuesday"/>
    <s v="Monthly - Tuesday"/>
    <s v="Month+14 Expiry"/>
    <n v="1"/>
    <n v="0.14000000000000001"/>
    <n v="0"/>
  </r>
  <r>
    <s v="17-Apr-2026"/>
    <x v="4"/>
    <s v="Week3-Apr-2026"/>
    <x v="7"/>
    <s v="28-Dec-2027"/>
    <s v="Tuesday"/>
    <s v="Monthly - Tuesday"/>
    <s v="Monthly - Tuesday"/>
    <s v="Month+20 Expiry"/>
    <n v="223"/>
    <n v="40"/>
    <n v="1.76"/>
  </r>
  <r>
    <s v="17-Apr-2026"/>
    <x v="4"/>
    <s v="Week3-Apr-2026"/>
    <x v="7"/>
    <s v="27-Jun-2028"/>
    <s v="Tuesday"/>
    <s v="Monthly - Tuesday"/>
    <s v="Monthly - Tuesday"/>
    <s v="Month+26 Expiry"/>
    <n v="0"/>
    <n v="0"/>
    <n v="0"/>
  </r>
  <r>
    <s v="17-Apr-2026"/>
    <x v="4"/>
    <s v="Week3-Apr-2026"/>
    <x v="7"/>
    <s v="26-Dec-2028"/>
    <s v="Tuesday"/>
    <s v="Monthly - Tuesday"/>
    <s v="Monthly - Tuesday"/>
    <s v="Month+32 Expiry"/>
    <n v="12"/>
    <n v="2.08"/>
    <n v="0.12"/>
  </r>
  <r>
    <s v="17-Apr-2026"/>
    <x v="4"/>
    <s v="Week3-Apr-2026"/>
    <x v="7"/>
    <s v="26-Jun-2029"/>
    <s v="Tuesday"/>
    <s v="Monthly - Tuesday"/>
    <s v="Monthly - Tuesday"/>
    <s v="Month+38 Expiry"/>
    <n v="0"/>
    <n v="0"/>
    <n v="0"/>
  </r>
  <r>
    <s v="17-Apr-2026"/>
    <x v="4"/>
    <s v="Week3-Apr-2026"/>
    <x v="7"/>
    <s v="24-Dec-2029"/>
    <s v="Monday"/>
    <s v="Weekly - Monday"/>
    <s v="Weekly - Monday"/>
    <s v="Month+44 Expiry"/>
    <n v="0"/>
    <n v="0"/>
    <n v="0"/>
  </r>
  <r>
    <s v="17-Apr-2026"/>
    <x v="4"/>
    <s v="Week3-Apr-2026"/>
    <x v="7"/>
    <s v="25-Jun-2030"/>
    <s v="Tuesday"/>
    <s v="Monthly - Tuesday"/>
    <s v="Monthly - Tuesday"/>
    <s v="Month+50 Expiry"/>
    <n v="0"/>
    <n v="0"/>
    <n v="0"/>
  </r>
  <r>
    <s v="17-Apr-2026"/>
    <x v="4"/>
    <s v="Week3-Apr-2026"/>
    <x v="7"/>
    <s v="31-Dec-2030"/>
    <s v="Tuesday"/>
    <s v="Monthly - Tuesday"/>
    <s v="Monthly - Tuesday"/>
    <s v="Month+56 Expiry"/>
    <n v="0"/>
    <n v="0"/>
    <n v="0"/>
  </r>
  <r>
    <s v="20-Apr-2026"/>
    <x v="0"/>
    <s v="Week3-Apr-2026"/>
    <x v="7"/>
    <s v="21-Apr-2026"/>
    <s v="Tuesday"/>
    <s v="Weekly - Tuesday"/>
    <s v="Weekly - Tuesday"/>
    <s v="Same Month Expiry"/>
    <n v="112383504"/>
    <n v="17854645.5"/>
    <n v="52074.61"/>
  </r>
  <r>
    <s v="20-Apr-2026"/>
    <x v="0"/>
    <s v="Week3-Apr-2026"/>
    <x v="7"/>
    <s v="28-Apr-2026"/>
    <s v="Tuesday"/>
    <s v="Monthly - Tuesday"/>
    <s v="Monthly - Tuesday"/>
    <s v="Same Month Expiry"/>
    <n v="5077769"/>
    <n v="805228.6"/>
    <n v="4398.6000000000004"/>
  </r>
  <r>
    <s v="20-Apr-2026"/>
    <x v="0"/>
    <s v="Week3-Apr-2026"/>
    <x v="7"/>
    <s v="05-May-2026"/>
    <s v="Tuesday"/>
    <s v="Weekly - Tuesday"/>
    <s v="Weekly - Tuesday"/>
    <s v="Month+1 Expiry"/>
    <n v="342956"/>
    <n v="55190.080000000002"/>
    <n v="315.47000000000003"/>
  </r>
  <r>
    <s v="20-Apr-2026"/>
    <x v="0"/>
    <s v="Week3-Apr-2026"/>
    <x v="7"/>
    <s v="12-May-2026"/>
    <s v="Tuesday"/>
    <s v="Weekly - Tuesday"/>
    <s v="Weekly - Tuesday"/>
    <s v="Month+1 Expiry"/>
    <n v="37734"/>
    <n v="6097.36"/>
    <n v="59.2"/>
  </r>
  <r>
    <s v="20-Apr-2026"/>
    <x v="0"/>
    <s v="Week3-Apr-2026"/>
    <x v="7"/>
    <s v="19-May-2026"/>
    <s v="Tuesday"/>
    <s v="Weekly - Tuesday"/>
    <s v="Weekly - Tuesday"/>
    <s v="Month+1 Expiry"/>
    <n v="5648"/>
    <n v="914.35"/>
    <n v="10.69"/>
  </r>
  <r>
    <s v="20-Apr-2026"/>
    <x v="0"/>
    <s v="Week3-Apr-2026"/>
    <x v="7"/>
    <s v="26-May-2026"/>
    <s v="Tuesday"/>
    <s v="Monthly - Tuesday"/>
    <s v="Monthly - Tuesday"/>
    <s v="Month+1 Expiry"/>
    <n v="441610"/>
    <n v="70242.039999999994"/>
    <n v="770.35"/>
  </r>
  <r>
    <s v="20-Apr-2026"/>
    <x v="0"/>
    <s v="Week3-Apr-2026"/>
    <x v="7"/>
    <s v="30-Jun-2026"/>
    <s v="Tuesday"/>
    <s v="Monthly - Tuesday"/>
    <s v="Monthly - Tuesday"/>
    <s v="Month+2 Expiry"/>
    <n v="149894"/>
    <n v="23380.25"/>
    <n v="324.45999999999998"/>
  </r>
  <r>
    <s v="20-Apr-2026"/>
    <x v="0"/>
    <s v="Week3-Apr-2026"/>
    <x v="7"/>
    <s v="29-Sep-2026"/>
    <s v="Tuesday"/>
    <s v="Monthly - Tuesday"/>
    <s v="Monthly - Tuesday"/>
    <s v="Month+5 Expiry"/>
    <n v="23377"/>
    <n v="3778.45"/>
    <n v="61.39"/>
  </r>
  <r>
    <s v="20-Apr-2026"/>
    <x v="0"/>
    <s v="Week3-Apr-2026"/>
    <x v="7"/>
    <s v="29-Dec-2026"/>
    <s v="Tuesday"/>
    <s v="Monthly - Tuesday"/>
    <s v="Monthly - Tuesday"/>
    <s v="Month+8 Expiry"/>
    <n v="45023"/>
    <n v="7526.03"/>
    <n v="201.93"/>
  </r>
  <r>
    <s v="20-Apr-2026"/>
    <x v="0"/>
    <s v="Week3-Apr-2026"/>
    <x v="7"/>
    <s v="30-Mar-2027"/>
    <s v="Tuesday"/>
    <s v="Monthly - Tuesday"/>
    <s v="Monthly - Tuesday"/>
    <s v="Month+11 Expiry"/>
    <n v="0"/>
    <n v="0"/>
    <n v="0"/>
  </r>
  <r>
    <s v="20-Apr-2026"/>
    <x v="0"/>
    <s v="Week3-Apr-2026"/>
    <x v="7"/>
    <s v="29-Jun-2027"/>
    <s v="Tuesday"/>
    <s v="Monthly - Tuesday"/>
    <s v="Monthly - Tuesday"/>
    <s v="Month+14 Expiry"/>
    <n v="0"/>
    <n v="0"/>
    <n v="0"/>
  </r>
  <r>
    <s v="20-Apr-2026"/>
    <x v="0"/>
    <s v="Week3-Apr-2026"/>
    <x v="7"/>
    <s v="28-Dec-2027"/>
    <s v="Tuesday"/>
    <s v="Monthly - Tuesday"/>
    <s v="Monthly - Tuesday"/>
    <s v="Month+20 Expiry"/>
    <n v="195"/>
    <n v="34.83"/>
    <n v="2.5499999999999998"/>
  </r>
  <r>
    <s v="20-Apr-2026"/>
    <x v="0"/>
    <s v="Week3-Apr-2026"/>
    <x v="7"/>
    <s v="27-Jun-2028"/>
    <s v="Tuesday"/>
    <s v="Monthly - Tuesday"/>
    <s v="Monthly - Tuesday"/>
    <s v="Month+26 Expiry"/>
    <n v="1"/>
    <n v="0.15"/>
    <n v="0.01"/>
  </r>
  <r>
    <s v="20-Apr-2026"/>
    <x v="0"/>
    <s v="Week3-Apr-2026"/>
    <x v="7"/>
    <s v="26-Dec-2028"/>
    <s v="Tuesday"/>
    <s v="Monthly - Tuesday"/>
    <s v="Monthly - Tuesday"/>
    <s v="Month+32 Expiry"/>
    <n v="34"/>
    <n v="6.1"/>
    <n v="0.38"/>
  </r>
  <r>
    <s v="20-Apr-2026"/>
    <x v="0"/>
    <s v="Week3-Apr-2026"/>
    <x v="7"/>
    <s v="26-Jun-2029"/>
    <s v="Tuesday"/>
    <s v="Monthly - Tuesday"/>
    <s v="Monthly - Tuesday"/>
    <s v="Month+38 Expiry"/>
    <n v="0"/>
    <n v="0"/>
    <n v="0"/>
  </r>
  <r>
    <s v="20-Apr-2026"/>
    <x v="0"/>
    <s v="Week3-Apr-2026"/>
    <x v="7"/>
    <s v="24-Dec-2029"/>
    <s v="Monday"/>
    <s v="Weekly - Monday"/>
    <s v="Weekly - Monday"/>
    <s v="Month+44 Expiry"/>
    <n v="1"/>
    <n v="0.22"/>
    <n v="0.02"/>
  </r>
  <r>
    <s v="20-Apr-2026"/>
    <x v="0"/>
    <s v="Week3-Apr-2026"/>
    <x v="7"/>
    <s v="25-Jun-2030"/>
    <s v="Tuesday"/>
    <s v="Monthly - Tuesday"/>
    <s v="Monthly - Tuesday"/>
    <s v="Month+50 Expiry"/>
    <n v="0"/>
    <n v="0"/>
    <n v="0"/>
  </r>
  <r>
    <s v="20-Apr-2026"/>
    <x v="0"/>
    <s v="Week3-Apr-2026"/>
    <x v="7"/>
    <s v="31-Dec-2030"/>
    <s v="Tuesday"/>
    <s v="Monthly - Tuesday"/>
    <s v="Monthly - Tuesday"/>
    <s v="Month+56 Expiry"/>
    <n v="0"/>
    <n v="0"/>
    <n v="0"/>
  </r>
  <r>
    <s v="21-Apr-2026"/>
    <x v="1"/>
    <s v="Week3-Apr-2026"/>
    <x v="7"/>
    <s v="21-Apr-2026"/>
    <s v="Tuesday"/>
    <s v="Weekly - Tuesday"/>
    <s v="Weekly - Tuesday"/>
    <s v="Same Month Expiry"/>
    <n v="334050087"/>
    <n v="53234649.240000002"/>
    <n v="53724.01"/>
  </r>
  <r>
    <s v="21-Apr-2026"/>
    <x v="1"/>
    <s v="Week3-Apr-2026"/>
    <x v="7"/>
    <s v="28-Apr-2026"/>
    <s v="Tuesday"/>
    <s v="Monthly - Tuesday"/>
    <s v="Monthly - Tuesday"/>
    <s v="Same Month Expiry"/>
    <n v="8044065"/>
    <n v="1276900.83"/>
    <n v="6082.24"/>
  </r>
  <r>
    <s v="21-Apr-2026"/>
    <x v="1"/>
    <s v="Week3-Apr-2026"/>
    <x v="7"/>
    <s v="05-May-2026"/>
    <s v="Tuesday"/>
    <s v="Weekly - Tuesday"/>
    <s v="Weekly - Tuesday"/>
    <s v="Month+1 Expiry"/>
    <n v="477278"/>
    <n v="76363.210000000006"/>
    <n v="404.21"/>
  </r>
  <r>
    <s v="21-Apr-2026"/>
    <x v="1"/>
    <s v="Week3-Apr-2026"/>
    <x v="7"/>
    <s v="12-May-2026"/>
    <s v="Tuesday"/>
    <s v="Weekly - Tuesday"/>
    <s v="Weekly - Tuesday"/>
    <s v="Month+1 Expiry"/>
    <n v="52870"/>
    <n v="8519.02"/>
    <n v="67.17"/>
  </r>
  <r>
    <s v="21-Apr-2026"/>
    <x v="1"/>
    <s v="Week3-Apr-2026"/>
    <x v="7"/>
    <s v="19-May-2026"/>
    <s v="Tuesday"/>
    <s v="Weekly - Tuesday"/>
    <s v="Weekly - Tuesday"/>
    <s v="Month+1 Expiry"/>
    <n v="5435"/>
    <n v="887.03"/>
    <n v="9.11"/>
  </r>
  <r>
    <s v="21-Apr-2026"/>
    <x v="1"/>
    <s v="Week3-Apr-2026"/>
    <x v="7"/>
    <s v="26-May-2026"/>
    <s v="Tuesday"/>
    <s v="Monthly - Tuesday"/>
    <s v="Monthly - Tuesday"/>
    <s v="Month+1 Expiry"/>
    <n v="362363"/>
    <n v="57916.83"/>
    <n v="708.29"/>
  </r>
  <r>
    <s v="21-Apr-2026"/>
    <x v="1"/>
    <s v="Week3-Apr-2026"/>
    <x v="7"/>
    <s v="30-Jun-2026"/>
    <s v="Tuesday"/>
    <s v="Monthly - Tuesday"/>
    <s v="Monthly - Tuesday"/>
    <s v="Month+2 Expiry"/>
    <n v="148718"/>
    <n v="23078.74"/>
    <n v="305.37"/>
  </r>
  <r>
    <s v="21-Apr-2026"/>
    <x v="1"/>
    <s v="Week3-Apr-2026"/>
    <x v="7"/>
    <s v="29-Sep-2026"/>
    <s v="Tuesday"/>
    <s v="Monthly - Tuesday"/>
    <s v="Monthly - Tuesday"/>
    <s v="Month+5 Expiry"/>
    <n v="24672"/>
    <n v="3997.93"/>
    <n v="74.319999999999993"/>
  </r>
  <r>
    <s v="21-Apr-2026"/>
    <x v="1"/>
    <s v="Week3-Apr-2026"/>
    <x v="7"/>
    <s v="29-Dec-2026"/>
    <s v="Tuesday"/>
    <s v="Monthly - Tuesday"/>
    <s v="Monthly - Tuesday"/>
    <s v="Month+8 Expiry"/>
    <n v="38590"/>
    <n v="6263.31"/>
    <n v="171.15"/>
  </r>
  <r>
    <s v="21-Apr-2026"/>
    <x v="1"/>
    <s v="Week3-Apr-2026"/>
    <x v="7"/>
    <s v="30-Mar-2027"/>
    <s v="Tuesday"/>
    <s v="Monthly - Tuesday"/>
    <s v="Monthly - Tuesday"/>
    <s v="Month+11 Expiry"/>
    <n v="0"/>
    <n v="0"/>
    <n v="0"/>
  </r>
  <r>
    <s v="21-Apr-2026"/>
    <x v="1"/>
    <s v="Week3-Apr-2026"/>
    <x v="7"/>
    <s v="29-Jun-2027"/>
    <s v="Tuesday"/>
    <s v="Monthly - Tuesday"/>
    <s v="Monthly - Tuesday"/>
    <s v="Month+14 Expiry"/>
    <n v="0"/>
    <n v="0"/>
    <n v="0"/>
  </r>
  <r>
    <s v="21-Apr-2026"/>
    <x v="1"/>
    <s v="Week3-Apr-2026"/>
    <x v="7"/>
    <s v="28-Dec-2027"/>
    <s v="Tuesday"/>
    <s v="Monthly - Tuesday"/>
    <s v="Monthly - Tuesday"/>
    <s v="Month+20 Expiry"/>
    <n v="322"/>
    <n v="54.93"/>
    <n v="2.42"/>
  </r>
  <r>
    <s v="21-Apr-2026"/>
    <x v="1"/>
    <s v="Week3-Apr-2026"/>
    <x v="7"/>
    <s v="27-Jun-2028"/>
    <s v="Tuesday"/>
    <s v="Monthly - Tuesday"/>
    <s v="Monthly - Tuesday"/>
    <s v="Month+26 Expiry"/>
    <n v="0"/>
    <n v="0"/>
    <n v="0"/>
  </r>
  <r>
    <s v="21-Apr-2026"/>
    <x v="1"/>
    <s v="Week3-Apr-2026"/>
    <x v="7"/>
    <s v="26-Dec-2028"/>
    <s v="Tuesday"/>
    <s v="Monthly - Tuesday"/>
    <s v="Monthly - Tuesday"/>
    <s v="Month+32 Expiry"/>
    <n v="4"/>
    <n v="0.72"/>
    <n v="0.03"/>
  </r>
  <r>
    <s v="21-Apr-2026"/>
    <x v="1"/>
    <s v="Week3-Apr-2026"/>
    <x v="7"/>
    <s v="26-Jun-2029"/>
    <s v="Tuesday"/>
    <s v="Monthly - Tuesday"/>
    <s v="Monthly - Tuesday"/>
    <s v="Month+38 Expiry"/>
    <n v="0"/>
    <n v="0"/>
    <n v="0"/>
  </r>
  <r>
    <s v="21-Apr-2026"/>
    <x v="1"/>
    <s v="Week3-Apr-2026"/>
    <x v="7"/>
    <s v="24-Dec-2029"/>
    <s v="Monday"/>
    <s v="Weekly - Monday"/>
    <s v="Weekly - Monday"/>
    <s v="Month+44 Expiry"/>
    <n v="0"/>
    <n v="0"/>
    <n v="0"/>
  </r>
  <r>
    <s v="21-Apr-2026"/>
    <x v="1"/>
    <s v="Week3-Apr-2026"/>
    <x v="7"/>
    <s v="25-Jun-2030"/>
    <s v="Tuesday"/>
    <s v="Monthly - Tuesday"/>
    <s v="Monthly - Tuesday"/>
    <s v="Month+50 Expiry"/>
    <n v="0"/>
    <n v="0"/>
    <n v="0"/>
  </r>
  <r>
    <s v="21-Apr-2026"/>
    <x v="1"/>
    <s v="Week3-Apr-2026"/>
    <x v="7"/>
    <s v="31-Dec-2030"/>
    <s v="Tuesday"/>
    <s v="Monthly - Tuesday"/>
    <s v="Monthly - Tuesday"/>
    <s v="Month+56 Expiry"/>
    <n v="0"/>
    <n v="0"/>
    <n v="0"/>
  </r>
  <r>
    <s v="22-Apr-2026"/>
    <x v="2"/>
    <s v="Week4-Apr-2026"/>
    <x v="7"/>
    <s v="28-Apr-2026"/>
    <s v="Tuesday"/>
    <s v="Monthly - Tuesday"/>
    <s v="MDAW - Tuesday"/>
    <s v="Same Month Expiry"/>
    <n v="32913411"/>
    <n v="5241500.2699999996"/>
    <n v="27838.68"/>
  </r>
  <r>
    <s v="22-Apr-2026"/>
    <x v="2"/>
    <s v="Week4-Apr-2026"/>
    <x v="7"/>
    <s v="05-May-2026"/>
    <s v="Tuesday"/>
    <s v="Weekly - Tuesday"/>
    <s v="Weekly - Tuesday"/>
    <s v="Month+1 Expiry"/>
    <n v="975717"/>
    <n v="155983.66"/>
    <n v="1027.58"/>
  </r>
  <r>
    <s v="22-Apr-2026"/>
    <x v="2"/>
    <s v="Week4-Apr-2026"/>
    <x v="7"/>
    <s v="12-May-2026"/>
    <s v="Tuesday"/>
    <s v="Weekly - Tuesday"/>
    <s v="Weekly - Tuesday"/>
    <s v="Month+1 Expiry"/>
    <n v="88849"/>
    <n v="14298.65"/>
    <n v="138.46"/>
  </r>
  <r>
    <s v="22-Apr-2026"/>
    <x v="2"/>
    <s v="Week4-Apr-2026"/>
    <x v="7"/>
    <s v="19-May-2026"/>
    <s v="Tuesday"/>
    <s v="Weekly - Tuesday"/>
    <s v="Weekly - Tuesday"/>
    <s v="Month+1 Expiry"/>
    <n v="12666"/>
    <n v="2058.9899999999998"/>
    <n v="26.71"/>
  </r>
  <r>
    <s v="22-Apr-2026"/>
    <x v="2"/>
    <s v="Week4-Apr-2026"/>
    <x v="7"/>
    <s v="26-May-2026"/>
    <s v="Tuesday"/>
    <s v="Monthly - Tuesday"/>
    <s v="Monthly - Tuesday"/>
    <s v="Month+1 Expiry"/>
    <n v="479169"/>
    <n v="76848.759999999995"/>
    <n v="957.17"/>
  </r>
  <r>
    <s v="22-Apr-2026"/>
    <x v="2"/>
    <s v="Week4-Apr-2026"/>
    <x v="7"/>
    <s v="02-Jun-2026"/>
    <s v="Tuesday"/>
    <s v="Weekly - Tuesday"/>
    <s v="Weekly - Tuesday"/>
    <s v="Month+2 Expiry"/>
    <n v="99"/>
    <n v="16.61"/>
    <n v="0.08"/>
  </r>
  <r>
    <s v="22-Apr-2026"/>
    <x v="2"/>
    <s v="Week4-Apr-2026"/>
    <x v="7"/>
    <s v="30-Jun-2026"/>
    <s v="Tuesday"/>
    <s v="Monthly - Tuesday"/>
    <s v="Monthly - Tuesday"/>
    <s v="Month+2 Expiry"/>
    <n v="147056"/>
    <n v="22838.52"/>
    <n v="309.70999999999998"/>
  </r>
  <r>
    <s v="22-Apr-2026"/>
    <x v="2"/>
    <s v="Week4-Apr-2026"/>
    <x v="7"/>
    <s v="29-Sep-2026"/>
    <s v="Tuesday"/>
    <s v="Monthly - Tuesday"/>
    <s v="Monthly - Tuesday"/>
    <s v="Month+5 Expiry"/>
    <n v="10744"/>
    <n v="1769.08"/>
    <n v="25.62"/>
  </r>
  <r>
    <s v="22-Apr-2026"/>
    <x v="2"/>
    <s v="Week4-Apr-2026"/>
    <x v="7"/>
    <s v="29-Dec-2026"/>
    <s v="Tuesday"/>
    <s v="Monthly - Tuesday"/>
    <s v="Monthly - Tuesday"/>
    <s v="Month+8 Expiry"/>
    <n v="20235"/>
    <n v="3356.79"/>
    <n v="99.82"/>
  </r>
  <r>
    <s v="22-Apr-2026"/>
    <x v="2"/>
    <s v="Week4-Apr-2026"/>
    <x v="7"/>
    <s v="30-Mar-2027"/>
    <s v="Tuesday"/>
    <s v="Monthly - Tuesday"/>
    <s v="Monthly - Tuesday"/>
    <s v="Month+11 Expiry"/>
    <n v="0"/>
    <n v="0"/>
    <n v="0"/>
  </r>
  <r>
    <s v="22-Apr-2026"/>
    <x v="2"/>
    <s v="Week4-Apr-2026"/>
    <x v="7"/>
    <s v="29-Jun-2027"/>
    <s v="Tuesday"/>
    <s v="Monthly - Tuesday"/>
    <s v="Monthly - Tuesday"/>
    <s v="Month+14 Expiry"/>
    <n v="2"/>
    <n v="0.28000000000000003"/>
    <n v="0"/>
  </r>
  <r>
    <s v="22-Apr-2026"/>
    <x v="2"/>
    <s v="Week4-Apr-2026"/>
    <x v="7"/>
    <s v="28-Dec-2027"/>
    <s v="Tuesday"/>
    <s v="Monthly - Tuesday"/>
    <s v="Monthly - Tuesday"/>
    <s v="Month+20 Expiry"/>
    <n v="221"/>
    <n v="38.74"/>
    <n v="2.0099999999999998"/>
  </r>
  <r>
    <s v="22-Apr-2026"/>
    <x v="2"/>
    <s v="Week4-Apr-2026"/>
    <x v="7"/>
    <s v="27-Jun-2028"/>
    <s v="Tuesday"/>
    <s v="Monthly - Tuesday"/>
    <s v="Monthly - Tuesday"/>
    <s v="Month+26 Expiry"/>
    <n v="0"/>
    <n v="0"/>
    <n v="0"/>
  </r>
  <r>
    <s v="22-Apr-2026"/>
    <x v="2"/>
    <s v="Week4-Apr-2026"/>
    <x v="7"/>
    <s v="26-Dec-2028"/>
    <s v="Tuesday"/>
    <s v="Monthly - Tuesday"/>
    <s v="Monthly - Tuesday"/>
    <s v="Month+32 Expiry"/>
    <n v="24"/>
    <n v="4.67"/>
    <n v="0.27"/>
  </r>
  <r>
    <s v="22-Apr-2026"/>
    <x v="2"/>
    <s v="Week4-Apr-2026"/>
    <x v="7"/>
    <s v="26-Jun-2029"/>
    <s v="Tuesday"/>
    <s v="Monthly - Tuesday"/>
    <s v="Monthly - Tuesday"/>
    <s v="Month+38 Expiry"/>
    <n v="0"/>
    <n v="0"/>
    <n v="0"/>
  </r>
  <r>
    <s v="22-Apr-2026"/>
    <x v="2"/>
    <s v="Week4-Apr-2026"/>
    <x v="7"/>
    <s v="24-Dec-2029"/>
    <s v="Monday"/>
    <s v="Weekly - Monday"/>
    <s v="Weekly - Monday"/>
    <s v="Month+44 Expiry"/>
    <n v="1"/>
    <n v="0.22"/>
    <n v="0.02"/>
  </r>
  <r>
    <s v="22-Apr-2026"/>
    <x v="2"/>
    <s v="Week4-Apr-2026"/>
    <x v="7"/>
    <s v="25-Jun-2030"/>
    <s v="Tuesday"/>
    <s v="Monthly - Tuesday"/>
    <s v="Monthly - Tuesday"/>
    <s v="Month+50 Expiry"/>
    <n v="0"/>
    <n v="0"/>
    <n v="0"/>
  </r>
  <r>
    <s v="22-Apr-2026"/>
    <x v="2"/>
    <s v="Week4-Apr-2026"/>
    <x v="7"/>
    <s v="31-Dec-2030"/>
    <s v="Tuesday"/>
    <s v="Monthly - Tuesday"/>
    <s v="Monthly - Tuesday"/>
    <s v="Month+56 Expiry"/>
    <n v="0"/>
    <n v="0"/>
    <n v="0"/>
  </r>
  <r>
    <s v="23-Apr-2026"/>
    <x v="3"/>
    <s v="Week4-Apr-2026"/>
    <x v="7"/>
    <s v="28-Apr-2026"/>
    <s v="Tuesday"/>
    <s v="Monthly - Tuesday"/>
    <s v="MDAW - Tuesday"/>
    <s v="Same Month Expiry"/>
    <n v="36016654"/>
    <n v="5703717.9699999997"/>
    <n v="24452.959999999999"/>
  </r>
  <r>
    <s v="23-Apr-2026"/>
    <x v="3"/>
    <s v="Week4-Apr-2026"/>
    <x v="7"/>
    <s v="05-May-2026"/>
    <s v="Tuesday"/>
    <s v="Weekly - Tuesday"/>
    <s v="Weekly - Tuesday"/>
    <s v="Month+1 Expiry"/>
    <n v="1180618"/>
    <n v="187585.36"/>
    <n v="1118.22"/>
  </r>
  <r>
    <s v="23-Apr-2026"/>
    <x v="3"/>
    <s v="Week4-Apr-2026"/>
    <x v="7"/>
    <s v="12-May-2026"/>
    <s v="Tuesday"/>
    <s v="Weekly - Tuesday"/>
    <s v="Weekly - Tuesday"/>
    <s v="Month+1 Expiry"/>
    <n v="105487"/>
    <n v="16943.14"/>
    <n v="142.80000000000001"/>
  </r>
  <r>
    <s v="23-Apr-2026"/>
    <x v="3"/>
    <s v="Week4-Apr-2026"/>
    <x v="7"/>
    <s v="19-May-2026"/>
    <s v="Tuesday"/>
    <s v="Weekly - Tuesday"/>
    <s v="Weekly - Tuesday"/>
    <s v="Month+1 Expiry"/>
    <n v="17997"/>
    <n v="2907.3"/>
    <n v="29.61"/>
  </r>
  <r>
    <s v="23-Apr-2026"/>
    <x v="3"/>
    <s v="Week4-Apr-2026"/>
    <x v="7"/>
    <s v="26-May-2026"/>
    <s v="Tuesday"/>
    <s v="Monthly - Tuesday"/>
    <s v="Monthly - Tuesday"/>
    <s v="Month+1 Expiry"/>
    <n v="545546"/>
    <n v="87344.9"/>
    <n v="1090.52"/>
  </r>
  <r>
    <s v="23-Apr-2026"/>
    <x v="3"/>
    <s v="Week4-Apr-2026"/>
    <x v="7"/>
    <s v="02-Jun-2026"/>
    <s v="Tuesday"/>
    <s v="Weekly - Tuesday"/>
    <s v="Weekly - Tuesday"/>
    <s v="Month+2 Expiry"/>
    <n v="296"/>
    <n v="49.65"/>
    <n v="0.23"/>
  </r>
  <r>
    <s v="23-Apr-2026"/>
    <x v="3"/>
    <s v="Week4-Apr-2026"/>
    <x v="7"/>
    <s v="30-Jun-2026"/>
    <s v="Tuesday"/>
    <s v="Monthly - Tuesday"/>
    <s v="Monthly - Tuesday"/>
    <s v="Month+2 Expiry"/>
    <n v="155804"/>
    <n v="24580.9"/>
    <n v="398.65"/>
  </r>
  <r>
    <s v="23-Apr-2026"/>
    <x v="3"/>
    <s v="Week4-Apr-2026"/>
    <x v="7"/>
    <s v="29-Sep-2026"/>
    <s v="Tuesday"/>
    <s v="Monthly - Tuesday"/>
    <s v="Monthly - Tuesday"/>
    <s v="Month+5 Expiry"/>
    <n v="12324"/>
    <n v="2038.68"/>
    <n v="34.57"/>
  </r>
  <r>
    <s v="23-Apr-2026"/>
    <x v="3"/>
    <s v="Week4-Apr-2026"/>
    <x v="7"/>
    <s v="29-Dec-2026"/>
    <s v="Tuesday"/>
    <s v="Monthly - Tuesday"/>
    <s v="Monthly - Tuesday"/>
    <s v="Month+8 Expiry"/>
    <n v="30215"/>
    <n v="4975.01"/>
    <n v="127.17"/>
  </r>
  <r>
    <s v="23-Apr-2026"/>
    <x v="3"/>
    <s v="Week4-Apr-2026"/>
    <x v="7"/>
    <s v="30-Mar-2027"/>
    <s v="Tuesday"/>
    <s v="Monthly - Tuesday"/>
    <s v="Monthly - Tuesday"/>
    <s v="Month+11 Expiry"/>
    <n v="0"/>
    <n v="0"/>
    <n v="0"/>
  </r>
  <r>
    <s v="23-Apr-2026"/>
    <x v="3"/>
    <s v="Week4-Apr-2026"/>
    <x v="7"/>
    <s v="29-Jun-2027"/>
    <s v="Tuesday"/>
    <s v="Monthly - Tuesday"/>
    <s v="Monthly - Tuesday"/>
    <s v="Month+14 Expiry"/>
    <n v="0"/>
    <n v="0"/>
    <n v="0"/>
  </r>
  <r>
    <s v="23-Apr-2026"/>
    <x v="3"/>
    <s v="Week4-Apr-2026"/>
    <x v="7"/>
    <s v="28-Dec-2027"/>
    <s v="Tuesday"/>
    <s v="Monthly - Tuesday"/>
    <s v="Monthly - Tuesday"/>
    <s v="Month+20 Expiry"/>
    <n v="292"/>
    <n v="50.79"/>
    <n v="2.82"/>
  </r>
  <r>
    <s v="23-Apr-2026"/>
    <x v="3"/>
    <s v="Week4-Apr-2026"/>
    <x v="7"/>
    <s v="27-Jun-2028"/>
    <s v="Tuesday"/>
    <s v="Monthly - Tuesday"/>
    <s v="Monthly - Tuesday"/>
    <s v="Month+26 Expiry"/>
    <n v="0"/>
    <n v="0"/>
    <n v="0"/>
  </r>
  <r>
    <s v="23-Apr-2026"/>
    <x v="3"/>
    <s v="Week4-Apr-2026"/>
    <x v="7"/>
    <s v="26-Dec-2028"/>
    <s v="Tuesday"/>
    <s v="Monthly - Tuesday"/>
    <s v="Monthly - Tuesday"/>
    <s v="Month+32 Expiry"/>
    <n v="3"/>
    <n v="0.55000000000000004"/>
    <n v="0.03"/>
  </r>
  <r>
    <s v="23-Apr-2026"/>
    <x v="3"/>
    <s v="Week4-Apr-2026"/>
    <x v="7"/>
    <s v="26-Jun-2029"/>
    <s v="Tuesday"/>
    <s v="Monthly - Tuesday"/>
    <s v="Monthly - Tuesday"/>
    <s v="Month+38 Expiry"/>
    <n v="0"/>
    <n v="0"/>
    <n v="0"/>
  </r>
  <r>
    <s v="23-Apr-2026"/>
    <x v="3"/>
    <s v="Week4-Apr-2026"/>
    <x v="7"/>
    <s v="24-Dec-2029"/>
    <s v="Monday"/>
    <s v="Weekly - Monday"/>
    <s v="Weekly - Monday"/>
    <s v="Month+44 Expiry"/>
    <n v="0"/>
    <n v="0"/>
    <n v="0"/>
  </r>
  <r>
    <s v="23-Apr-2026"/>
    <x v="3"/>
    <s v="Week4-Apr-2026"/>
    <x v="7"/>
    <s v="25-Jun-2030"/>
    <s v="Tuesday"/>
    <s v="Monthly - Tuesday"/>
    <s v="Monthly - Tuesday"/>
    <s v="Month+50 Expiry"/>
    <n v="0"/>
    <n v="0"/>
    <n v="0"/>
  </r>
  <r>
    <s v="23-Apr-2026"/>
    <x v="3"/>
    <s v="Week4-Apr-2026"/>
    <x v="7"/>
    <s v="31-Dec-2030"/>
    <s v="Tuesday"/>
    <s v="Monthly - Tuesday"/>
    <s v="Monthly - Tuesday"/>
    <s v="Month+56 Expiry"/>
    <n v="0"/>
    <n v="0"/>
    <n v="0"/>
  </r>
  <r>
    <s v="24-Apr-2026"/>
    <x v="4"/>
    <s v="Week4-Apr-2026"/>
    <x v="7"/>
    <s v="28-Apr-2026"/>
    <s v="Tuesday"/>
    <s v="Monthly - Tuesday"/>
    <s v="MDAW - Tuesday"/>
    <s v="Same Month Expiry"/>
    <n v="71881816"/>
    <n v="11271652.07"/>
    <n v="44910.76"/>
  </r>
  <r>
    <s v="24-Apr-2026"/>
    <x v="4"/>
    <s v="Week4-Apr-2026"/>
    <x v="7"/>
    <s v="05-May-2026"/>
    <s v="Tuesday"/>
    <s v="Weekly - Tuesday"/>
    <s v="Weekly - Tuesday"/>
    <s v="Month+1 Expiry"/>
    <n v="2167379"/>
    <n v="342585.8"/>
    <n v="1929.34"/>
  </r>
  <r>
    <s v="24-Apr-2026"/>
    <x v="4"/>
    <s v="Week4-Apr-2026"/>
    <x v="7"/>
    <s v="12-May-2026"/>
    <s v="Tuesday"/>
    <s v="Weekly - Tuesday"/>
    <s v="Weekly - Tuesday"/>
    <s v="Month+1 Expiry"/>
    <n v="158508"/>
    <n v="25258.71"/>
    <n v="198.35"/>
  </r>
  <r>
    <s v="24-Apr-2026"/>
    <x v="4"/>
    <s v="Week4-Apr-2026"/>
    <x v="7"/>
    <s v="19-May-2026"/>
    <s v="Tuesday"/>
    <s v="Weekly - Tuesday"/>
    <s v="Weekly - Tuesday"/>
    <s v="Month+1 Expiry"/>
    <n v="20667"/>
    <n v="3325.45"/>
    <n v="31.86"/>
  </r>
  <r>
    <s v="24-Apr-2026"/>
    <x v="4"/>
    <s v="Week4-Apr-2026"/>
    <x v="7"/>
    <s v="26-May-2026"/>
    <s v="Tuesday"/>
    <s v="Monthly - Tuesday"/>
    <s v="Monthly - Tuesday"/>
    <s v="Month+1 Expiry"/>
    <n v="712188"/>
    <n v="113610.37"/>
    <n v="1501.43"/>
  </r>
  <r>
    <s v="24-Apr-2026"/>
    <x v="4"/>
    <s v="Week4-Apr-2026"/>
    <x v="7"/>
    <s v="02-Jun-2026"/>
    <s v="Tuesday"/>
    <s v="Weekly - Tuesday"/>
    <s v="Weekly - Tuesday"/>
    <s v="Month+2 Expiry"/>
    <n v="1250"/>
    <n v="208.81"/>
    <n v="1.1399999999999999"/>
  </r>
  <r>
    <s v="24-Apr-2026"/>
    <x v="4"/>
    <s v="Week4-Apr-2026"/>
    <x v="7"/>
    <s v="30-Jun-2026"/>
    <s v="Tuesday"/>
    <s v="Monthly - Tuesday"/>
    <s v="Monthly - Tuesday"/>
    <s v="Month+2 Expiry"/>
    <n v="179781"/>
    <n v="28476.26"/>
    <n v="426.6"/>
  </r>
  <r>
    <s v="24-Apr-2026"/>
    <x v="4"/>
    <s v="Week4-Apr-2026"/>
    <x v="7"/>
    <s v="29-Sep-2026"/>
    <s v="Tuesday"/>
    <s v="Monthly - Tuesday"/>
    <s v="Monthly - Tuesday"/>
    <s v="Month+5 Expiry"/>
    <n v="30147"/>
    <n v="4854.84"/>
    <n v="94.52"/>
  </r>
  <r>
    <s v="24-Apr-2026"/>
    <x v="4"/>
    <s v="Week4-Apr-2026"/>
    <x v="7"/>
    <s v="29-Dec-2026"/>
    <s v="Tuesday"/>
    <s v="Monthly - Tuesday"/>
    <s v="Monthly - Tuesday"/>
    <s v="Month+8 Expiry"/>
    <n v="42203"/>
    <n v="6855.46"/>
    <n v="194.35"/>
  </r>
  <r>
    <s v="24-Apr-2026"/>
    <x v="4"/>
    <s v="Week4-Apr-2026"/>
    <x v="7"/>
    <s v="30-Mar-2027"/>
    <s v="Tuesday"/>
    <s v="Monthly - Tuesday"/>
    <s v="Monthly - Tuesday"/>
    <s v="Month+11 Expiry"/>
    <n v="0"/>
    <n v="0"/>
    <n v="0"/>
  </r>
  <r>
    <s v="24-Apr-2026"/>
    <x v="4"/>
    <s v="Week4-Apr-2026"/>
    <x v="7"/>
    <s v="29-Jun-2027"/>
    <s v="Tuesday"/>
    <s v="Monthly - Tuesday"/>
    <s v="Monthly - Tuesday"/>
    <s v="Month+14 Expiry"/>
    <n v="3"/>
    <n v="0.42"/>
    <n v="0.01"/>
  </r>
  <r>
    <s v="24-Apr-2026"/>
    <x v="4"/>
    <s v="Week4-Apr-2026"/>
    <x v="7"/>
    <s v="28-Dec-2027"/>
    <s v="Tuesday"/>
    <s v="Monthly - Tuesday"/>
    <s v="Monthly - Tuesday"/>
    <s v="Month+20 Expiry"/>
    <n v="335"/>
    <n v="58.82"/>
    <n v="3.13"/>
  </r>
  <r>
    <s v="24-Apr-2026"/>
    <x v="4"/>
    <s v="Week4-Apr-2026"/>
    <x v="7"/>
    <s v="27-Jun-2028"/>
    <s v="Tuesday"/>
    <s v="Monthly - Tuesday"/>
    <s v="Monthly - Tuesday"/>
    <s v="Month+26 Expiry"/>
    <n v="0"/>
    <n v="0"/>
    <n v="0"/>
  </r>
  <r>
    <s v="24-Apr-2026"/>
    <x v="4"/>
    <s v="Week4-Apr-2026"/>
    <x v="7"/>
    <s v="26-Dec-2028"/>
    <s v="Tuesday"/>
    <s v="Monthly - Tuesday"/>
    <s v="Monthly - Tuesday"/>
    <s v="Month+32 Expiry"/>
    <n v="5"/>
    <n v="0.9"/>
    <n v="0.04"/>
  </r>
  <r>
    <s v="24-Apr-2026"/>
    <x v="4"/>
    <s v="Week4-Apr-2026"/>
    <x v="7"/>
    <s v="26-Jun-2029"/>
    <s v="Tuesday"/>
    <s v="Monthly - Tuesday"/>
    <s v="Monthly - Tuesday"/>
    <s v="Month+38 Expiry"/>
    <n v="0"/>
    <n v="0"/>
    <n v="0"/>
  </r>
  <r>
    <s v="24-Apr-2026"/>
    <x v="4"/>
    <s v="Week4-Apr-2026"/>
    <x v="7"/>
    <s v="24-Dec-2029"/>
    <s v="Monday"/>
    <s v="Weekly - Monday"/>
    <s v="Weekly - Monday"/>
    <s v="Month+44 Expiry"/>
    <n v="0"/>
    <n v="0"/>
    <n v="0"/>
  </r>
  <r>
    <s v="24-Apr-2026"/>
    <x v="4"/>
    <s v="Week4-Apr-2026"/>
    <x v="7"/>
    <s v="25-Jun-2030"/>
    <s v="Tuesday"/>
    <s v="Monthly - Tuesday"/>
    <s v="Monthly - Tuesday"/>
    <s v="Month+50 Expiry"/>
    <n v="0"/>
    <n v="0"/>
    <n v="0"/>
  </r>
  <r>
    <s v="24-Apr-2026"/>
    <x v="4"/>
    <s v="Week4-Apr-2026"/>
    <x v="7"/>
    <s v="31-Dec-2030"/>
    <s v="Tuesday"/>
    <s v="Monthly - Tuesday"/>
    <s v="Monthly - Tuesday"/>
    <s v="Month+56 Expiry"/>
    <n v="0"/>
    <n v="0"/>
    <n v="0"/>
  </r>
  <r>
    <s v="27-Apr-2026"/>
    <x v="0"/>
    <s v="Week4-Apr-2026"/>
    <x v="7"/>
    <s v="28-Apr-2026"/>
    <s v="Tuesday"/>
    <s v="Monthly - Tuesday"/>
    <s v="MDAW - Tuesday"/>
    <s v="Same Month Expiry"/>
    <n v="117175427"/>
    <n v="18379672.539999999"/>
    <n v="46129.23"/>
  </r>
  <r>
    <s v="27-Apr-2026"/>
    <x v="0"/>
    <s v="Week4-Apr-2026"/>
    <x v="7"/>
    <s v="05-May-2026"/>
    <s v="Tuesday"/>
    <s v="Weekly - Tuesday"/>
    <s v="Weekly - Tuesday"/>
    <s v="Month+1 Expiry"/>
    <n v="3827238"/>
    <n v="604038.81000000006"/>
    <n v="2703.35"/>
  </r>
  <r>
    <s v="27-Apr-2026"/>
    <x v="0"/>
    <s v="Week4-Apr-2026"/>
    <x v="7"/>
    <s v="12-May-2026"/>
    <s v="Tuesday"/>
    <s v="Weekly - Tuesday"/>
    <s v="Weekly - Tuesday"/>
    <s v="Month+1 Expiry"/>
    <n v="255460"/>
    <n v="40445.46"/>
    <n v="270.06"/>
  </r>
  <r>
    <s v="27-Apr-2026"/>
    <x v="0"/>
    <s v="Week4-Apr-2026"/>
    <x v="7"/>
    <s v="19-May-2026"/>
    <s v="Tuesday"/>
    <s v="Weekly - Tuesday"/>
    <s v="Weekly - Tuesday"/>
    <s v="Month+1 Expiry"/>
    <n v="29441"/>
    <n v="4719.3"/>
    <n v="45.03"/>
  </r>
  <r>
    <s v="27-Apr-2026"/>
    <x v="0"/>
    <s v="Week4-Apr-2026"/>
    <x v="7"/>
    <s v="26-May-2026"/>
    <s v="Tuesday"/>
    <s v="Monthly - Tuesday"/>
    <s v="Monthly - Tuesday"/>
    <s v="Month+1 Expiry"/>
    <n v="803941"/>
    <n v="128510.6"/>
    <n v="1925.38"/>
  </r>
  <r>
    <s v="27-Apr-2026"/>
    <x v="0"/>
    <s v="Week4-Apr-2026"/>
    <x v="7"/>
    <s v="02-Jun-2026"/>
    <s v="Tuesday"/>
    <s v="Weekly - Tuesday"/>
    <s v="Weekly - Tuesday"/>
    <s v="Month+2 Expiry"/>
    <n v="1478"/>
    <n v="243.94"/>
    <n v="2.0699999999999998"/>
  </r>
  <r>
    <s v="27-Apr-2026"/>
    <x v="0"/>
    <s v="Week4-Apr-2026"/>
    <x v="7"/>
    <s v="30-Jun-2026"/>
    <s v="Tuesday"/>
    <s v="Monthly - Tuesday"/>
    <s v="Monthly - Tuesday"/>
    <s v="Month+2 Expiry"/>
    <n v="200640"/>
    <n v="31438.61"/>
    <n v="431.93"/>
  </r>
  <r>
    <s v="27-Apr-2026"/>
    <x v="0"/>
    <s v="Week4-Apr-2026"/>
    <x v="7"/>
    <s v="29-Sep-2026"/>
    <s v="Tuesday"/>
    <s v="Monthly - Tuesday"/>
    <s v="Monthly - Tuesday"/>
    <s v="Month+5 Expiry"/>
    <n v="28255"/>
    <n v="4711.7700000000004"/>
    <n v="92.84"/>
  </r>
  <r>
    <s v="27-Apr-2026"/>
    <x v="0"/>
    <s v="Week4-Apr-2026"/>
    <x v="7"/>
    <s v="29-Dec-2026"/>
    <s v="Tuesday"/>
    <s v="Monthly - Tuesday"/>
    <s v="Monthly - Tuesday"/>
    <s v="Month+8 Expiry"/>
    <n v="28653"/>
    <n v="4765.34"/>
    <n v="140.78"/>
  </r>
  <r>
    <s v="27-Apr-2026"/>
    <x v="0"/>
    <s v="Week4-Apr-2026"/>
    <x v="7"/>
    <s v="30-Mar-2027"/>
    <s v="Tuesday"/>
    <s v="Monthly - Tuesday"/>
    <s v="Monthly - Tuesday"/>
    <s v="Month+11 Expiry"/>
    <n v="0"/>
    <n v="0"/>
    <n v="0"/>
  </r>
  <r>
    <s v="27-Apr-2026"/>
    <x v="0"/>
    <s v="Week4-Apr-2026"/>
    <x v="7"/>
    <s v="29-Jun-2027"/>
    <s v="Tuesday"/>
    <s v="Monthly - Tuesday"/>
    <s v="Monthly - Tuesday"/>
    <s v="Month+14 Expiry"/>
    <n v="0"/>
    <n v="0"/>
    <n v="0"/>
  </r>
  <r>
    <s v="27-Apr-2026"/>
    <x v="0"/>
    <s v="Week4-Apr-2026"/>
    <x v="7"/>
    <s v="28-Dec-2027"/>
    <s v="Tuesday"/>
    <s v="Monthly - Tuesday"/>
    <s v="Monthly - Tuesday"/>
    <s v="Month+20 Expiry"/>
    <n v="216"/>
    <n v="37.159999999999997"/>
    <n v="1.61"/>
  </r>
  <r>
    <s v="27-Apr-2026"/>
    <x v="0"/>
    <s v="Week4-Apr-2026"/>
    <x v="7"/>
    <s v="27-Jun-2028"/>
    <s v="Tuesday"/>
    <s v="Monthly - Tuesday"/>
    <s v="Monthly - Tuesday"/>
    <s v="Month+26 Expiry"/>
    <n v="0"/>
    <n v="0"/>
    <n v="0"/>
  </r>
  <r>
    <s v="27-Apr-2026"/>
    <x v="0"/>
    <s v="Week4-Apr-2026"/>
    <x v="7"/>
    <s v="26-Dec-2028"/>
    <s v="Tuesday"/>
    <s v="Monthly - Tuesday"/>
    <s v="Monthly - Tuesday"/>
    <s v="Month+32 Expiry"/>
    <n v="5"/>
    <n v="0.87"/>
    <n v="0.06"/>
  </r>
  <r>
    <s v="27-Apr-2026"/>
    <x v="0"/>
    <s v="Week4-Apr-2026"/>
    <x v="7"/>
    <s v="26-Jun-2029"/>
    <s v="Tuesday"/>
    <s v="Monthly - Tuesday"/>
    <s v="Monthly - Tuesday"/>
    <s v="Month+38 Expiry"/>
    <n v="0"/>
    <n v="0"/>
    <n v="0"/>
  </r>
  <r>
    <s v="27-Apr-2026"/>
    <x v="0"/>
    <s v="Week4-Apr-2026"/>
    <x v="7"/>
    <s v="24-Dec-2029"/>
    <s v="Monday"/>
    <s v="Weekly - Monday"/>
    <s v="Weekly - Monday"/>
    <s v="Month+44 Expiry"/>
    <n v="0"/>
    <n v="0"/>
    <n v="0"/>
  </r>
  <r>
    <s v="27-Apr-2026"/>
    <x v="0"/>
    <s v="Week4-Apr-2026"/>
    <x v="7"/>
    <s v="25-Jun-2030"/>
    <s v="Tuesday"/>
    <s v="Monthly - Tuesday"/>
    <s v="Monthly - Tuesday"/>
    <s v="Month+50 Expiry"/>
    <n v="0"/>
    <n v="0"/>
    <n v="0"/>
  </r>
  <r>
    <s v="27-Apr-2026"/>
    <x v="0"/>
    <s v="Week4-Apr-2026"/>
    <x v="7"/>
    <s v="31-Dec-2030"/>
    <s v="Tuesday"/>
    <s v="Monthly - Tuesday"/>
    <s v="Monthly - Tuesday"/>
    <s v="Month+56 Expiry"/>
    <n v="0"/>
    <n v="0"/>
    <n v="0"/>
  </r>
  <r>
    <s v="28-Apr-2026"/>
    <x v="1"/>
    <s v="Week4-Apr-2026"/>
    <x v="7"/>
    <s v="28-Apr-2026"/>
    <s v="Tuesday"/>
    <s v="Monthly - Tuesday"/>
    <s v="MDAW - Tuesday"/>
    <s v="Same Month Expiry"/>
    <n v="339366050"/>
    <n v="53092836.210000001"/>
    <n v="54609.71"/>
  </r>
  <r>
    <s v="28-Apr-2026"/>
    <x v="1"/>
    <s v="Week4-Apr-2026"/>
    <x v="7"/>
    <s v="05-May-2026"/>
    <s v="Tuesday"/>
    <s v="Weekly - Tuesday"/>
    <s v="Weekly - Tuesday"/>
    <s v="Month+1 Expiry"/>
    <n v="8296714"/>
    <n v="1307910.44"/>
    <n v="5434.52"/>
  </r>
  <r>
    <s v="28-Apr-2026"/>
    <x v="1"/>
    <s v="Week4-Apr-2026"/>
    <x v="7"/>
    <s v="12-May-2026"/>
    <s v="Tuesday"/>
    <s v="Weekly - Tuesday"/>
    <s v="Weekly - Tuesday"/>
    <s v="Month+1 Expiry"/>
    <n v="388990"/>
    <n v="61444.73"/>
    <n v="332.52"/>
  </r>
  <r>
    <s v="28-Apr-2026"/>
    <x v="1"/>
    <s v="Week4-Apr-2026"/>
    <x v="7"/>
    <s v="19-May-2026"/>
    <s v="Tuesday"/>
    <s v="Weekly - Tuesday"/>
    <s v="Weekly - Tuesday"/>
    <s v="Month+1 Expiry"/>
    <n v="34583"/>
    <n v="5518.04"/>
    <n v="43.93"/>
  </r>
  <r>
    <s v="28-Apr-2026"/>
    <x v="1"/>
    <s v="Week4-Apr-2026"/>
    <x v="7"/>
    <s v="26-May-2026"/>
    <s v="Tuesday"/>
    <s v="Monthly - Tuesday"/>
    <s v="Monthly - Tuesday"/>
    <s v="Month+1 Expiry"/>
    <n v="1046701"/>
    <n v="166631.45000000001"/>
    <n v="2032.76"/>
  </r>
  <r>
    <s v="28-Apr-2026"/>
    <x v="1"/>
    <s v="Week4-Apr-2026"/>
    <x v="7"/>
    <s v="02-Jun-2026"/>
    <s v="Tuesday"/>
    <s v="Weekly - Tuesday"/>
    <s v="Weekly - Tuesday"/>
    <s v="Month+2 Expiry"/>
    <n v="2451"/>
    <n v="405.61"/>
    <n v="2.17"/>
  </r>
  <r>
    <s v="28-Apr-2026"/>
    <x v="1"/>
    <s v="Week4-Apr-2026"/>
    <x v="7"/>
    <s v="30-Jun-2026"/>
    <s v="Tuesday"/>
    <s v="Monthly - Tuesday"/>
    <s v="Monthly - Tuesday"/>
    <s v="Month+2 Expiry"/>
    <n v="167604"/>
    <n v="26612.04"/>
    <n v="358.74"/>
  </r>
  <r>
    <s v="28-Apr-2026"/>
    <x v="1"/>
    <s v="Week4-Apr-2026"/>
    <x v="7"/>
    <s v="29-Sep-2026"/>
    <s v="Tuesday"/>
    <s v="Monthly - Tuesday"/>
    <s v="Monthly - Tuesday"/>
    <s v="Month+5 Expiry"/>
    <n v="19253"/>
    <n v="3153.53"/>
    <n v="64.98"/>
  </r>
  <r>
    <s v="28-Apr-2026"/>
    <x v="1"/>
    <s v="Week4-Apr-2026"/>
    <x v="7"/>
    <s v="29-Dec-2026"/>
    <s v="Tuesday"/>
    <s v="Monthly - Tuesday"/>
    <s v="Monthly - Tuesday"/>
    <s v="Month+8 Expiry"/>
    <n v="22838"/>
    <n v="3792.84"/>
    <n v="99.78"/>
  </r>
  <r>
    <s v="28-Apr-2026"/>
    <x v="1"/>
    <s v="Week4-Apr-2026"/>
    <x v="7"/>
    <s v="30-Mar-2027"/>
    <s v="Tuesday"/>
    <s v="Monthly - Tuesday"/>
    <s v="Monthly - Tuesday"/>
    <s v="Month+11 Expiry"/>
    <n v="0"/>
    <n v="0"/>
    <n v="0"/>
  </r>
  <r>
    <s v="28-Apr-2026"/>
    <x v="1"/>
    <s v="Week4-Apr-2026"/>
    <x v="7"/>
    <s v="29-Jun-2027"/>
    <s v="Tuesday"/>
    <s v="Monthly - Tuesday"/>
    <s v="Monthly - Tuesday"/>
    <s v="Month+14 Expiry"/>
    <n v="0"/>
    <n v="0"/>
    <n v="0"/>
  </r>
  <r>
    <s v="28-Apr-2026"/>
    <x v="1"/>
    <s v="Week4-Apr-2026"/>
    <x v="7"/>
    <s v="28-Dec-2027"/>
    <s v="Tuesday"/>
    <s v="Monthly - Tuesday"/>
    <s v="Monthly - Tuesday"/>
    <s v="Month+20 Expiry"/>
    <n v="501"/>
    <n v="91.37"/>
    <n v="3.61"/>
  </r>
  <r>
    <s v="28-Apr-2026"/>
    <x v="1"/>
    <s v="Week4-Apr-2026"/>
    <x v="7"/>
    <s v="27-Jun-2028"/>
    <s v="Tuesday"/>
    <s v="Monthly - Tuesday"/>
    <s v="Monthly - Tuesday"/>
    <s v="Month+26 Expiry"/>
    <n v="0"/>
    <n v="0"/>
    <n v="0"/>
  </r>
  <r>
    <s v="28-Apr-2026"/>
    <x v="1"/>
    <s v="Week4-Apr-2026"/>
    <x v="7"/>
    <s v="26-Dec-2028"/>
    <s v="Tuesday"/>
    <s v="Monthly - Tuesday"/>
    <s v="Monthly - Tuesday"/>
    <s v="Month+32 Expiry"/>
    <n v="1"/>
    <n v="0.2"/>
    <n v="0.02"/>
  </r>
  <r>
    <s v="28-Apr-2026"/>
    <x v="1"/>
    <s v="Week4-Apr-2026"/>
    <x v="7"/>
    <s v="26-Jun-2029"/>
    <s v="Tuesday"/>
    <s v="Monthly - Tuesday"/>
    <s v="Monthly - Tuesday"/>
    <s v="Month+38 Expiry"/>
    <n v="0"/>
    <n v="0"/>
    <n v="0"/>
  </r>
  <r>
    <s v="28-Apr-2026"/>
    <x v="1"/>
    <s v="Week4-Apr-2026"/>
    <x v="7"/>
    <s v="24-Dec-2029"/>
    <s v="Monday"/>
    <s v="Weekly - Monday"/>
    <s v="Weekly - Monday"/>
    <s v="Month+44 Expiry"/>
    <n v="0"/>
    <n v="0"/>
    <n v="0"/>
  </r>
  <r>
    <s v="28-Apr-2026"/>
    <x v="1"/>
    <s v="Week4-Apr-2026"/>
    <x v="7"/>
    <s v="25-Jun-2030"/>
    <s v="Tuesday"/>
    <s v="Monthly - Tuesday"/>
    <s v="Monthly - Tuesday"/>
    <s v="Month+50 Expiry"/>
    <n v="0"/>
    <n v="0"/>
    <n v="0"/>
  </r>
  <r>
    <s v="28-Apr-2026"/>
    <x v="1"/>
    <s v="Week4-Apr-2026"/>
    <x v="7"/>
    <s v="31-Dec-2030"/>
    <s v="Tuesday"/>
    <s v="Monthly - Tuesday"/>
    <s v="Monthly - Tuesday"/>
    <s v="Month+56 Expiry"/>
    <n v="0"/>
    <n v="0"/>
    <n v="0"/>
  </r>
  <r>
    <s v="29-Apr-2026"/>
    <x v="2"/>
    <s v="Week5-Apr-2026"/>
    <x v="7"/>
    <s v="05-May-2026"/>
    <s v="Tuesday"/>
    <s v="Weekly - Tuesday"/>
    <s v="Weekly - Tuesday"/>
    <s v="Month+1 Expiry"/>
    <n v="43077932"/>
    <n v="6814651.9400000004"/>
    <n v="31296.400000000001"/>
  </r>
  <r>
    <s v="29-Apr-2026"/>
    <x v="2"/>
    <s v="Week5-Apr-2026"/>
    <x v="7"/>
    <s v="12-May-2026"/>
    <s v="Tuesday"/>
    <s v="Weekly - Tuesday"/>
    <s v="Weekly - Tuesday"/>
    <s v="Month+1 Expiry"/>
    <n v="1038977"/>
    <n v="164225.70000000001"/>
    <n v="910.47"/>
  </r>
  <r>
    <s v="29-Apr-2026"/>
    <x v="2"/>
    <s v="Week5-Apr-2026"/>
    <x v="7"/>
    <s v="19-May-2026"/>
    <s v="Tuesday"/>
    <s v="Weekly - Tuesday"/>
    <s v="Weekly - Tuesday"/>
    <s v="Month+1 Expiry"/>
    <n v="64952"/>
    <n v="10395.99"/>
    <n v="71.25"/>
  </r>
  <r>
    <s v="29-Apr-2026"/>
    <x v="2"/>
    <s v="Week5-Apr-2026"/>
    <x v="7"/>
    <s v="26-May-2026"/>
    <s v="Tuesday"/>
    <s v="Monthly - Tuesday"/>
    <s v="Monthly - Tuesday"/>
    <s v="Month+1 Expiry"/>
    <n v="1288420"/>
    <n v="204826.88"/>
    <n v="2069.6"/>
  </r>
  <r>
    <s v="29-Apr-2026"/>
    <x v="2"/>
    <s v="Week5-Apr-2026"/>
    <x v="7"/>
    <s v="02-Jun-2026"/>
    <s v="Tuesday"/>
    <s v="Weekly - Tuesday"/>
    <s v="Weekly - Tuesday"/>
    <s v="Month+2 Expiry"/>
    <n v="4042"/>
    <n v="654.39"/>
    <n v="5.62"/>
  </r>
  <r>
    <s v="29-Apr-2026"/>
    <x v="2"/>
    <s v="Week5-Apr-2026"/>
    <x v="7"/>
    <s v="30-Jun-2026"/>
    <s v="Tuesday"/>
    <s v="Monthly - Tuesday"/>
    <s v="Monthly - Tuesday"/>
    <s v="Month+2 Expiry"/>
    <n v="233283"/>
    <n v="37107.25"/>
    <n v="419.16"/>
  </r>
  <r>
    <s v="29-Apr-2026"/>
    <x v="2"/>
    <s v="Week5-Apr-2026"/>
    <x v="7"/>
    <s v="28-Jul-2026"/>
    <s v="Tuesday"/>
    <s v="Monthly - Tuesday"/>
    <s v="Monthly - Tuesday"/>
    <s v="Month+3 Expiry"/>
    <n v="17268"/>
    <n v="2672.21"/>
    <n v="40.57"/>
  </r>
  <r>
    <s v="29-Apr-2026"/>
    <x v="2"/>
    <s v="Week5-Apr-2026"/>
    <x v="7"/>
    <s v="29-Sep-2026"/>
    <s v="Tuesday"/>
    <s v="Monthly - Tuesday"/>
    <s v="Monthly - Tuesday"/>
    <s v="Month+5 Expiry"/>
    <n v="22037"/>
    <n v="3542.59"/>
    <n v="52.79"/>
  </r>
  <r>
    <s v="29-Apr-2026"/>
    <x v="2"/>
    <s v="Week5-Apr-2026"/>
    <x v="7"/>
    <s v="29-Dec-2026"/>
    <s v="Tuesday"/>
    <s v="Monthly - Tuesday"/>
    <s v="Monthly - Tuesday"/>
    <s v="Month+8 Expiry"/>
    <n v="34251"/>
    <n v="5588.59"/>
    <n v="144.13999999999999"/>
  </r>
  <r>
    <s v="29-Apr-2026"/>
    <x v="2"/>
    <s v="Week5-Apr-2026"/>
    <x v="7"/>
    <s v="30-Mar-2027"/>
    <s v="Tuesday"/>
    <s v="Monthly - Tuesday"/>
    <s v="Monthly - Tuesday"/>
    <s v="Month+11 Expiry"/>
    <n v="0"/>
    <n v="0"/>
    <n v="0"/>
  </r>
  <r>
    <s v="29-Apr-2026"/>
    <x v="2"/>
    <s v="Week5-Apr-2026"/>
    <x v="7"/>
    <s v="29-Jun-2027"/>
    <s v="Tuesday"/>
    <s v="Monthly - Tuesday"/>
    <s v="Monthly - Tuesday"/>
    <s v="Month+14 Expiry"/>
    <n v="1"/>
    <n v="0.14000000000000001"/>
    <n v="0"/>
  </r>
  <r>
    <s v="29-Apr-2026"/>
    <x v="2"/>
    <s v="Week5-Apr-2026"/>
    <x v="7"/>
    <s v="28-Dec-2027"/>
    <s v="Tuesday"/>
    <s v="Monthly - Tuesday"/>
    <s v="Monthly - Tuesday"/>
    <s v="Month+20 Expiry"/>
    <n v="290"/>
    <n v="50.54"/>
    <n v="2.23"/>
  </r>
  <r>
    <s v="29-Apr-2026"/>
    <x v="2"/>
    <s v="Week5-Apr-2026"/>
    <x v="7"/>
    <s v="27-Jun-2028"/>
    <s v="Tuesday"/>
    <s v="Monthly - Tuesday"/>
    <s v="Monthly - Tuesday"/>
    <s v="Month+26 Expiry"/>
    <n v="0"/>
    <n v="0"/>
    <n v="0"/>
  </r>
  <r>
    <s v="29-Apr-2026"/>
    <x v="2"/>
    <s v="Week5-Apr-2026"/>
    <x v="7"/>
    <s v="26-Dec-2028"/>
    <s v="Tuesday"/>
    <s v="Monthly - Tuesday"/>
    <s v="Monthly - Tuesday"/>
    <s v="Month+32 Expiry"/>
    <n v="10"/>
    <n v="1.92"/>
    <n v="0.13"/>
  </r>
  <r>
    <s v="29-Apr-2026"/>
    <x v="2"/>
    <s v="Week5-Apr-2026"/>
    <x v="7"/>
    <s v="26-Jun-2029"/>
    <s v="Tuesday"/>
    <s v="Monthly - Tuesday"/>
    <s v="Monthly - Tuesday"/>
    <s v="Month+38 Expiry"/>
    <n v="0"/>
    <n v="0"/>
    <n v="0"/>
  </r>
  <r>
    <s v="29-Apr-2026"/>
    <x v="2"/>
    <s v="Week5-Apr-2026"/>
    <x v="7"/>
    <s v="24-Dec-2029"/>
    <s v="Monday"/>
    <s v="Weekly - Monday"/>
    <s v="Weekly - Monday"/>
    <s v="Month+44 Expiry"/>
    <n v="0"/>
    <n v="0"/>
    <n v="0"/>
  </r>
  <r>
    <s v="29-Apr-2026"/>
    <x v="2"/>
    <s v="Week5-Apr-2026"/>
    <x v="7"/>
    <s v="25-Jun-2030"/>
    <s v="Tuesday"/>
    <s v="Monthly - Tuesday"/>
    <s v="Monthly - Tuesday"/>
    <s v="Month+50 Expiry"/>
    <n v="0"/>
    <n v="0"/>
    <n v="0"/>
  </r>
  <r>
    <s v="29-Apr-2026"/>
    <x v="2"/>
    <s v="Week5-Apr-2026"/>
    <x v="7"/>
    <s v="31-Dec-2030"/>
    <s v="Tuesday"/>
    <s v="Monthly - Tuesday"/>
    <s v="Monthly - Tuesday"/>
    <s v="Month+56 Expiry"/>
    <n v="0"/>
    <n v="0"/>
    <n v="0"/>
  </r>
  <r>
    <s v="30-Apr-2026"/>
    <x v="3"/>
    <s v="Week5-Apr-2026"/>
    <x v="7"/>
    <s v="05-May-2026"/>
    <s v="Tuesday"/>
    <s v="Weekly - Tuesday"/>
    <s v="Weekly - Tuesday"/>
    <s v="Month+1 Expiry"/>
    <n v="46682133"/>
    <n v="7306410.1500000004"/>
    <n v="29781.05"/>
  </r>
  <r>
    <s v="30-Apr-2026"/>
    <x v="3"/>
    <s v="Week5-Apr-2026"/>
    <x v="7"/>
    <s v="12-May-2026"/>
    <s v="Tuesday"/>
    <s v="Weekly - Tuesday"/>
    <s v="Weekly - Tuesday"/>
    <s v="Month+1 Expiry"/>
    <n v="1695933"/>
    <n v="266443.8"/>
    <n v="1563.24"/>
  </r>
  <r>
    <s v="30-Apr-2026"/>
    <x v="3"/>
    <s v="Week5-Apr-2026"/>
    <x v="7"/>
    <s v="19-May-2026"/>
    <s v="Tuesday"/>
    <s v="Weekly - Tuesday"/>
    <s v="Weekly - Tuesday"/>
    <s v="Month+1 Expiry"/>
    <n v="97814"/>
    <n v="15558.8"/>
    <n v="119.93"/>
  </r>
  <r>
    <s v="30-Apr-2026"/>
    <x v="3"/>
    <s v="Week5-Apr-2026"/>
    <x v="7"/>
    <s v="26-May-2026"/>
    <s v="Tuesday"/>
    <s v="Monthly - Tuesday"/>
    <s v="Monthly - Tuesday"/>
    <s v="Month+1 Expiry"/>
    <n v="1427113"/>
    <n v="225310.18"/>
    <n v="2332.5700000000002"/>
  </r>
  <r>
    <s v="30-Apr-2026"/>
    <x v="3"/>
    <s v="Week5-Apr-2026"/>
    <x v="7"/>
    <s v="02-Jun-2026"/>
    <s v="Tuesday"/>
    <s v="Weekly - Tuesday"/>
    <s v="Weekly - Tuesday"/>
    <s v="Month+2 Expiry"/>
    <n v="7632"/>
    <n v="1222.92"/>
    <n v="12.26"/>
  </r>
  <r>
    <s v="30-Apr-2026"/>
    <x v="3"/>
    <s v="Week5-Apr-2026"/>
    <x v="7"/>
    <s v="30-Jun-2026"/>
    <s v="Tuesday"/>
    <s v="Monthly - Tuesday"/>
    <s v="Monthly - Tuesday"/>
    <s v="Month+2 Expiry"/>
    <n v="239130"/>
    <n v="37586.57"/>
    <n v="465.33"/>
  </r>
  <r>
    <s v="30-Apr-2026"/>
    <x v="3"/>
    <s v="Week5-Apr-2026"/>
    <x v="7"/>
    <s v="28-Jul-2026"/>
    <s v="Tuesday"/>
    <s v="Monthly - Tuesday"/>
    <s v="Monthly - Tuesday"/>
    <s v="Month+3 Expiry"/>
    <n v="17596"/>
    <n v="2783.67"/>
    <n v="54.62"/>
  </r>
  <r>
    <s v="30-Apr-2026"/>
    <x v="3"/>
    <s v="Week5-Apr-2026"/>
    <x v="7"/>
    <s v="29-Sep-2026"/>
    <s v="Tuesday"/>
    <s v="Monthly - Tuesday"/>
    <s v="Monthly - Tuesday"/>
    <s v="Month+5 Expiry"/>
    <n v="37821"/>
    <n v="6293.84"/>
    <n v="92.72"/>
  </r>
  <r>
    <s v="30-Apr-2026"/>
    <x v="3"/>
    <s v="Week5-Apr-2026"/>
    <x v="7"/>
    <s v="29-Dec-2026"/>
    <s v="Tuesday"/>
    <s v="Monthly - Tuesday"/>
    <s v="Monthly - Tuesday"/>
    <s v="Month+8 Expiry"/>
    <n v="48381"/>
    <n v="7942.01"/>
    <n v="199.73"/>
  </r>
  <r>
    <s v="30-Apr-2026"/>
    <x v="3"/>
    <s v="Week5-Apr-2026"/>
    <x v="7"/>
    <s v="30-Mar-2027"/>
    <s v="Tuesday"/>
    <s v="Monthly - Tuesday"/>
    <s v="Monthly - Tuesday"/>
    <s v="Month+11 Expiry"/>
    <n v="0"/>
    <n v="0"/>
    <n v="0"/>
  </r>
  <r>
    <s v="30-Apr-2026"/>
    <x v="3"/>
    <s v="Week5-Apr-2026"/>
    <x v="7"/>
    <s v="29-Jun-2027"/>
    <s v="Tuesday"/>
    <s v="Monthly - Tuesday"/>
    <s v="Monthly - Tuesday"/>
    <s v="Month+14 Expiry"/>
    <n v="1"/>
    <n v="0.14000000000000001"/>
    <n v="0"/>
  </r>
  <r>
    <s v="30-Apr-2026"/>
    <x v="3"/>
    <s v="Week5-Apr-2026"/>
    <x v="7"/>
    <s v="28-Dec-2027"/>
    <s v="Tuesday"/>
    <s v="Monthly - Tuesday"/>
    <s v="Monthly - Tuesday"/>
    <s v="Month+20 Expiry"/>
    <n v="1166"/>
    <n v="200.13"/>
    <n v="10.88"/>
  </r>
  <r>
    <s v="30-Apr-2026"/>
    <x v="3"/>
    <s v="Week5-Apr-2026"/>
    <x v="7"/>
    <s v="27-Jun-2028"/>
    <s v="Tuesday"/>
    <s v="Monthly - Tuesday"/>
    <s v="Monthly - Tuesday"/>
    <s v="Month+26 Expiry"/>
    <n v="3"/>
    <n v="0.44"/>
    <n v="0.02"/>
  </r>
  <r>
    <s v="30-Apr-2026"/>
    <x v="3"/>
    <s v="Week5-Apr-2026"/>
    <x v="7"/>
    <s v="26-Dec-2028"/>
    <s v="Tuesday"/>
    <s v="Monthly - Tuesday"/>
    <s v="Monthly - Tuesday"/>
    <s v="Month+32 Expiry"/>
    <n v="12"/>
    <n v="2.25"/>
    <n v="0.13"/>
  </r>
  <r>
    <s v="30-Apr-2026"/>
    <x v="3"/>
    <s v="Week5-Apr-2026"/>
    <x v="7"/>
    <s v="26-Jun-2029"/>
    <s v="Tuesday"/>
    <s v="Monthly - Tuesday"/>
    <s v="Monthly - Tuesday"/>
    <s v="Month+38 Expiry"/>
    <n v="0"/>
    <n v="0"/>
    <n v="0"/>
  </r>
  <r>
    <s v="30-Apr-2026"/>
    <x v="3"/>
    <s v="Week5-Apr-2026"/>
    <x v="7"/>
    <s v="24-Dec-2029"/>
    <s v="Monday"/>
    <s v="Weekly - Monday"/>
    <s v="Weekly - Monday"/>
    <s v="Month+44 Expiry"/>
    <n v="0"/>
    <n v="0"/>
    <n v="0"/>
  </r>
  <r>
    <s v="30-Apr-2026"/>
    <x v="3"/>
    <s v="Week5-Apr-2026"/>
    <x v="7"/>
    <s v="25-Jun-2030"/>
    <s v="Tuesday"/>
    <s v="Monthly - Tuesday"/>
    <s v="Monthly - Tuesday"/>
    <s v="Month+50 Expiry"/>
    <n v="0"/>
    <n v="0"/>
    <n v="0"/>
  </r>
  <r>
    <s v="30-Apr-2026"/>
    <x v="3"/>
    <s v="Week5-Apr-2026"/>
    <x v="7"/>
    <s v="31-Dec-2030"/>
    <s v="Tuesday"/>
    <s v="Monthly - Tuesday"/>
    <s v="Monthly - Tuesday"/>
    <s v="Month+56 Expiry"/>
    <n v="0"/>
    <n v="0"/>
    <n v="0"/>
  </r>
  <r>
    <s v="04-May-2026"/>
    <x v="0"/>
    <s v="Week1-May-2026"/>
    <x v="8"/>
    <s v="05-May-2026"/>
    <s v="Tuesday"/>
    <s v="Weekly - Tuesday"/>
    <s v="Weekly - Tuesday"/>
    <s v="Same Month Expiry"/>
    <n v="167478961"/>
    <n v="26340317.809999999"/>
    <n v="69884.89"/>
  </r>
  <r>
    <s v="04-May-2026"/>
    <x v="0"/>
    <s v="Week1-May-2026"/>
    <x v="8"/>
    <s v="12-May-2026"/>
    <s v="Tuesday"/>
    <s v="Weekly - Tuesday"/>
    <s v="Weekly - Tuesday"/>
    <s v="Same Month Expiry"/>
    <n v="4575653"/>
    <n v="722377.03"/>
    <n v="3291.61"/>
  </r>
  <r>
    <s v="04-May-2026"/>
    <x v="0"/>
    <s v="Week1-May-2026"/>
    <x v="8"/>
    <s v="19-May-2026"/>
    <s v="Tuesday"/>
    <s v="Weekly - Tuesday"/>
    <s v="Weekly - Tuesday"/>
    <s v="Same Month Expiry"/>
    <n v="174465"/>
    <n v="27665.67"/>
    <n v="183.52"/>
  </r>
  <r>
    <s v="04-May-2026"/>
    <x v="0"/>
    <s v="Week1-May-2026"/>
    <x v="8"/>
    <s v="26-May-2026"/>
    <s v="Tuesday"/>
    <s v="Monthly - Tuesday"/>
    <s v="Monthly - Tuesday"/>
    <s v="Same Month Expiry"/>
    <n v="1339478"/>
    <n v="212021.78"/>
    <n v="1993.64"/>
  </r>
  <r>
    <s v="04-May-2026"/>
    <x v="0"/>
    <s v="Week1-May-2026"/>
    <x v="8"/>
    <s v="02-Jun-2026"/>
    <s v="Tuesday"/>
    <s v="Weekly - Tuesday"/>
    <s v="Weekly - Tuesday"/>
    <s v="Month+1 Expiry"/>
    <n v="9139"/>
    <n v="1454.53"/>
    <n v="13.04"/>
  </r>
  <r>
    <s v="04-May-2026"/>
    <x v="0"/>
    <s v="Week1-May-2026"/>
    <x v="8"/>
    <s v="30-Jun-2026"/>
    <s v="Tuesday"/>
    <s v="Monthly - Tuesday"/>
    <s v="Monthly - Tuesday"/>
    <s v="Month+1 Expiry"/>
    <n v="186394"/>
    <n v="29211.96"/>
    <n v="314.02"/>
  </r>
  <r>
    <s v="04-May-2026"/>
    <x v="0"/>
    <s v="Week1-May-2026"/>
    <x v="8"/>
    <s v="28-Jul-2026"/>
    <s v="Tuesday"/>
    <s v="Monthly - Tuesday"/>
    <s v="Monthly - Tuesday"/>
    <s v="Month+2 Expiry"/>
    <n v="16168"/>
    <n v="2524.63"/>
    <n v="42.13"/>
  </r>
  <r>
    <s v="04-May-2026"/>
    <x v="0"/>
    <s v="Week1-May-2026"/>
    <x v="8"/>
    <s v="29-Sep-2026"/>
    <s v="Tuesday"/>
    <s v="Monthly - Tuesday"/>
    <s v="Monthly - Tuesday"/>
    <s v="Month+4 Expiry"/>
    <n v="13619"/>
    <n v="2148.5"/>
    <n v="28.63"/>
  </r>
  <r>
    <s v="04-May-2026"/>
    <x v="0"/>
    <s v="Week1-May-2026"/>
    <x v="8"/>
    <s v="29-Dec-2026"/>
    <s v="Tuesday"/>
    <s v="Monthly - Tuesday"/>
    <s v="Monthly - Tuesday"/>
    <s v="Month+7 Expiry"/>
    <n v="24424"/>
    <n v="3961.79"/>
    <n v="99.45"/>
  </r>
  <r>
    <s v="04-May-2026"/>
    <x v="0"/>
    <s v="Week1-May-2026"/>
    <x v="8"/>
    <s v="30-Mar-2027"/>
    <s v="Tuesday"/>
    <s v="Monthly - Tuesday"/>
    <s v="Monthly - Tuesday"/>
    <s v="Month+10 Expiry"/>
    <n v="2"/>
    <n v="0.2"/>
    <n v="0"/>
  </r>
  <r>
    <s v="04-May-2026"/>
    <x v="0"/>
    <s v="Week1-May-2026"/>
    <x v="8"/>
    <s v="29-Jun-2027"/>
    <s v="Tuesday"/>
    <s v="Monthly - Tuesday"/>
    <s v="Monthly - Tuesday"/>
    <s v="Month+13 Expiry"/>
    <n v="2"/>
    <n v="0.28000000000000003"/>
    <n v="0"/>
  </r>
  <r>
    <s v="04-May-2026"/>
    <x v="0"/>
    <s v="Week1-May-2026"/>
    <x v="8"/>
    <s v="28-Dec-2027"/>
    <s v="Tuesday"/>
    <s v="Monthly - Tuesday"/>
    <s v="Monthly - Tuesday"/>
    <s v="Month+19 Expiry"/>
    <n v="382"/>
    <n v="67.92"/>
    <n v="3.42"/>
  </r>
  <r>
    <s v="04-May-2026"/>
    <x v="0"/>
    <s v="Week1-May-2026"/>
    <x v="8"/>
    <s v="27-Jun-2028"/>
    <s v="Tuesday"/>
    <s v="Monthly - Tuesday"/>
    <s v="Monthly - Tuesday"/>
    <s v="Month+25 Expiry"/>
    <n v="0"/>
    <n v="0"/>
    <n v="0"/>
  </r>
  <r>
    <s v="04-May-2026"/>
    <x v="0"/>
    <s v="Week1-May-2026"/>
    <x v="8"/>
    <s v="26-Dec-2028"/>
    <s v="Tuesday"/>
    <s v="Monthly - Tuesday"/>
    <s v="Monthly - Tuesday"/>
    <s v="Month+31 Expiry"/>
    <n v="9"/>
    <n v="1.63"/>
    <n v="0.1"/>
  </r>
  <r>
    <s v="04-May-2026"/>
    <x v="0"/>
    <s v="Week1-May-2026"/>
    <x v="8"/>
    <s v="26-Jun-2029"/>
    <s v="Tuesday"/>
    <s v="Monthly - Tuesday"/>
    <s v="Monthly - Tuesday"/>
    <s v="Month+37 Expiry"/>
    <n v="0"/>
    <n v="0"/>
    <n v="0"/>
  </r>
  <r>
    <s v="04-May-2026"/>
    <x v="0"/>
    <s v="Week1-May-2026"/>
    <x v="8"/>
    <s v="24-Dec-2029"/>
    <s v="Monday"/>
    <s v="Weekly - Monday"/>
    <s v="Weekly - Monday"/>
    <s v="Month+43 Expiry"/>
    <n v="0"/>
    <n v="0"/>
    <n v="0"/>
  </r>
  <r>
    <s v="04-May-2026"/>
    <x v="0"/>
    <s v="Week1-May-2026"/>
    <x v="8"/>
    <s v="25-Jun-2030"/>
    <s v="Tuesday"/>
    <s v="Monthly - Tuesday"/>
    <s v="Monthly - Tuesday"/>
    <s v="Month+49 Expiry"/>
    <n v="0"/>
    <n v="0"/>
    <n v="0"/>
  </r>
  <r>
    <s v="04-May-2026"/>
    <x v="0"/>
    <s v="Week1-May-2026"/>
    <x v="8"/>
    <s v="31-Dec-2030"/>
    <s v="Tuesday"/>
    <s v="Monthly - Tuesday"/>
    <s v="Monthly - Tuesday"/>
    <s v="Month+55 Expiry"/>
    <n v="0"/>
    <n v="0"/>
    <n v="0"/>
  </r>
  <r>
    <s v="05-May-2026"/>
    <x v="1"/>
    <s v="Week1-May-2026"/>
    <x v="8"/>
    <s v="05-May-2026"/>
    <s v="Tuesday"/>
    <s v="Weekly - Tuesday"/>
    <s v="Weekly - Tuesday"/>
    <s v="Same Month Expiry"/>
    <n v="431643349"/>
    <n v="67504475.730000004"/>
    <n v="72956.490000000005"/>
  </r>
  <r>
    <s v="05-May-2026"/>
    <x v="1"/>
    <s v="Week1-May-2026"/>
    <x v="8"/>
    <s v="12-May-2026"/>
    <s v="Tuesday"/>
    <s v="Weekly - Tuesday"/>
    <s v="Weekly - Tuesday"/>
    <s v="Same Month Expiry"/>
    <n v="9579753"/>
    <n v="1506165.63"/>
    <n v="6180.18"/>
  </r>
  <r>
    <s v="05-May-2026"/>
    <x v="1"/>
    <s v="Week1-May-2026"/>
    <x v="8"/>
    <s v="19-May-2026"/>
    <s v="Tuesday"/>
    <s v="Weekly - Tuesday"/>
    <s v="Weekly - Tuesday"/>
    <s v="Same Month Expiry"/>
    <n v="319797"/>
    <n v="50478.85"/>
    <n v="268.43"/>
  </r>
  <r>
    <s v="05-May-2026"/>
    <x v="1"/>
    <s v="Week1-May-2026"/>
    <x v="8"/>
    <s v="26-May-2026"/>
    <s v="Tuesday"/>
    <s v="Monthly - Tuesday"/>
    <s v="Monthly - Tuesday"/>
    <s v="Same Month Expiry"/>
    <n v="1144400"/>
    <n v="181024.88"/>
    <n v="1660.17"/>
  </r>
  <r>
    <s v="05-May-2026"/>
    <x v="1"/>
    <s v="Week1-May-2026"/>
    <x v="8"/>
    <s v="02-Jun-2026"/>
    <s v="Tuesday"/>
    <s v="Weekly - Tuesday"/>
    <s v="Weekly - Tuesday"/>
    <s v="Month+1 Expiry"/>
    <n v="11254"/>
    <n v="1779.25"/>
    <n v="13.61"/>
  </r>
  <r>
    <s v="05-May-2026"/>
    <x v="1"/>
    <s v="Week1-May-2026"/>
    <x v="8"/>
    <s v="30-Jun-2026"/>
    <s v="Tuesday"/>
    <s v="Monthly - Tuesday"/>
    <s v="Monthly - Tuesday"/>
    <s v="Month+1 Expiry"/>
    <n v="171921"/>
    <n v="27584.2"/>
    <n v="323.94"/>
  </r>
  <r>
    <s v="05-May-2026"/>
    <x v="1"/>
    <s v="Week1-May-2026"/>
    <x v="8"/>
    <s v="28-Jul-2026"/>
    <s v="Tuesday"/>
    <s v="Monthly - Tuesday"/>
    <s v="Monthly - Tuesday"/>
    <s v="Month+2 Expiry"/>
    <n v="13769"/>
    <n v="2213.2800000000002"/>
    <n v="41.94"/>
  </r>
  <r>
    <s v="05-May-2026"/>
    <x v="1"/>
    <s v="Week1-May-2026"/>
    <x v="8"/>
    <s v="29-Sep-2026"/>
    <s v="Tuesday"/>
    <s v="Monthly - Tuesday"/>
    <s v="Monthly - Tuesday"/>
    <s v="Month+4 Expiry"/>
    <n v="10113"/>
    <n v="1668.47"/>
    <n v="28.25"/>
  </r>
  <r>
    <s v="05-May-2026"/>
    <x v="1"/>
    <s v="Week1-May-2026"/>
    <x v="8"/>
    <s v="29-Dec-2026"/>
    <s v="Tuesday"/>
    <s v="Monthly - Tuesday"/>
    <s v="Monthly - Tuesday"/>
    <s v="Month+7 Expiry"/>
    <n v="20552"/>
    <n v="3427.1"/>
    <n v="99.33"/>
  </r>
  <r>
    <s v="05-May-2026"/>
    <x v="1"/>
    <s v="Week1-May-2026"/>
    <x v="8"/>
    <s v="30-Mar-2027"/>
    <s v="Tuesday"/>
    <s v="Monthly - Tuesday"/>
    <s v="Monthly - Tuesday"/>
    <s v="Month+10 Expiry"/>
    <n v="0"/>
    <n v="0"/>
    <n v="0"/>
  </r>
  <r>
    <s v="05-May-2026"/>
    <x v="1"/>
    <s v="Week1-May-2026"/>
    <x v="8"/>
    <s v="29-Jun-2027"/>
    <s v="Tuesday"/>
    <s v="Monthly - Tuesday"/>
    <s v="Monthly - Tuesday"/>
    <s v="Month+13 Expiry"/>
    <n v="4"/>
    <n v="0.56000000000000005"/>
    <n v="0.01"/>
  </r>
  <r>
    <s v="05-May-2026"/>
    <x v="1"/>
    <s v="Week1-May-2026"/>
    <x v="8"/>
    <s v="28-Dec-2027"/>
    <s v="Tuesday"/>
    <s v="Monthly - Tuesday"/>
    <s v="Monthly - Tuesday"/>
    <s v="Month+19 Expiry"/>
    <n v="346"/>
    <n v="58.53"/>
    <n v="3.05"/>
  </r>
  <r>
    <s v="05-May-2026"/>
    <x v="1"/>
    <s v="Week1-May-2026"/>
    <x v="8"/>
    <s v="27-Jun-2028"/>
    <s v="Tuesday"/>
    <s v="Monthly - Tuesday"/>
    <s v="Monthly - Tuesday"/>
    <s v="Month+25 Expiry"/>
    <n v="1"/>
    <n v="0.15"/>
    <n v="0"/>
  </r>
  <r>
    <s v="05-May-2026"/>
    <x v="1"/>
    <s v="Week1-May-2026"/>
    <x v="8"/>
    <s v="26-Dec-2028"/>
    <s v="Tuesday"/>
    <s v="Monthly - Tuesday"/>
    <s v="Monthly - Tuesday"/>
    <s v="Month+31 Expiry"/>
    <n v="7"/>
    <n v="1.32"/>
    <n v="0.09"/>
  </r>
  <r>
    <s v="05-May-2026"/>
    <x v="1"/>
    <s v="Week1-May-2026"/>
    <x v="8"/>
    <s v="26-Jun-2029"/>
    <s v="Tuesday"/>
    <s v="Monthly - Tuesday"/>
    <s v="Monthly - Tuesday"/>
    <s v="Month+37 Expiry"/>
    <n v="0"/>
    <n v="0"/>
    <n v="0"/>
  </r>
  <r>
    <s v="05-May-2026"/>
    <x v="1"/>
    <s v="Week1-May-2026"/>
    <x v="8"/>
    <s v="24-Dec-2029"/>
    <s v="Monday"/>
    <s v="Weekly - Monday"/>
    <s v="Weekly - Monday"/>
    <s v="Month+43 Expiry"/>
    <n v="0"/>
    <n v="0"/>
    <n v="0"/>
  </r>
  <r>
    <s v="05-May-2026"/>
    <x v="1"/>
    <s v="Week1-May-2026"/>
    <x v="8"/>
    <s v="25-Jun-2030"/>
    <s v="Tuesday"/>
    <s v="Monthly - Tuesday"/>
    <s v="Monthly - Tuesday"/>
    <s v="Month+49 Expiry"/>
    <n v="0"/>
    <n v="0"/>
    <n v="0"/>
  </r>
  <r>
    <s v="05-May-2026"/>
    <x v="1"/>
    <s v="Week1-May-2026"/>
    <x v="8"/>
    <s v="31-Dec-2030"/>
    <s v="Tuesday"/>
    <s v="Monthly - Tuesday"/>
    <s v="Monthly - Tuesday"/>
    <s v="Month+55 Expiry"/>
    <n v="0"/>
    <n v="0"/>
    <n v="0"/>
  </r>
  <r>
    <s v="06-May-2026"/>
    <x v="2"/>
    <s v="Week1-May-2026"/>
    <x v="8"/>
    <s v="12-May-2026"/>
    <s v="Tuesday"/>
    <s v="Weekly - Tuesday"/>
    <s v="Weekly - Tuesday"/>
    <s v="Same Month Expiry"/>
    <n v="57009929"/>
    <n v="8986797.0600000005"/>
    <n v="39716.68"/>
  </r>
  <r>
    <s v="06-May-2026"/>
    <x v="2"/>
    <s v="Week1-May-2026"/>
    <x v="8"/>
    <s v="19-May-2026"/>
    <s v="Tuesday"/>
    <s v="Weekly - Tuesday"/>
    <s v="Weekly - Tuesday"/>
    <s v="Same Month Expiry"/>
    <n v="1279622"/>
    <n v="202053.53"/>
    <n v="953.66"/>
  </r>
  <r>
    <s v="06-May-2026"/>
    <x v="2"/>
    <s v="Week1-May-2026"/>
    <x v="8"/>
    <s v="26-May-2026"/>
    <s v="Tuesday"/>
    <s v="Monthly - Tuesday"/>
    <s v="Monthly - Tuesday"/>
    <s v="Same Month Expiry"/>
    <n v="1825071"/>
    <n v="287499.13"/>
    <n v="2310.87"/>
  </r>
  <r>
    <s v="06-May-2026"/>
    <x v="2"/>
    <s v="Week1-May-2026"/>
    <x v="8"/>
    <s v="02-Jun-2026"/>
    <s v="Tuesday"/>
    <s v="Weekly - Tuesday"/>
    <s v="Weekly - Tuesday"/>
    <s v="Month+1 Expiry"/>
    <n v="23689"/>
    <n v="3729.01"/>
    <n v="29.97"/>
  </r>
  <r>
    <s v="06-May-2026"/>
    <x v="2"/>
    <s v="Week1-May-2026"/>
    <x v="8"/>
    <s v="09-Jun-2026"/>
    <s v="Tuesday"/>
    <s v="Weekly - Tuesday"/>
    <s v="Weekly - Tuesday"/>
    <s v="Month+1 Expiry"/>
    <n v="306"/>
    <n v="48.53"/>
    <n v="0.64"/>
  </r>
  <r>
    <s v="06-May-2026"/>
    <x v="2"/>
    <s v="Week1-May-2026"/>
    <x v="8"/>
    <s v="30-Jun-2026"/>
    <s v="Tuesday"/>
    <s v="Monthly - Tuesday"/>
    <s v="Monthly - Tuesday"/>
    <s v="Month+1 Expiry"/>
    <n v="288972"/>
    <n v="45352.91"/>
    <n v="442.17"/>
  </r>
  <r>
    <s v="06-May-2026"/>
    <x v="2"/>
    <s v="Week1-May-2026"/>
    <x v="8"/>
    <s v="28-Jul-2026"/>
    <s v="Tuesday"/>
    <s v="Monthly - Tuesday"/>
    <s v="Monthly - Tuesday"/>
    <s v="Month+2 Expiry"/>
    <n v="20936"/>
    <n v="3318.83"/>
    <n v="58.34"/>
  </r>
  <r>
    <s v="06-May-2026"/>
    <x v="2"/>
    <s v="Week1-May-2026"/>
    <x v="8"/>
    <s v="29-Sep-2026"/>
    <s v="Tuesday"/>
    <s v="Monthly - Tuesday"/>
    <s v="Monthly - Tuesday"/>
    <s v="Month+4 Expiry"/>
    <n v="25373"/>
    <n v="4162.76"/>
    <n v="59.42"/>
  </r>
  <r>
    <s v="06-May-2026"/>
    <x v="2"/>
    <s v="Week1-May-2026"/>
    <x v="8"/>
    <s v="29-Dec-2026"/>
    <s v="Tuesday"/>
    <s v="Monthly - Tuesday"/>
    <s v="Monthly - Tuesday"/>
    <s v="Month+7 Expiry"/>
    <n v="34802"/>
    <n v="5601.82"/>
    <n v="140.34"/>
  </r>
  <r>
    <s v="06-May-2026"/>
    <x v="2"/>
    <s v="Week1-May-2026"/>
    <x v="8"/>
    <s v="30-Mar-2027"/>
    <s v="Tuesday"/>
    <s v="Monthly - Tuesday"/>
    <s v="Monthly - Tuesday"/>
    <s v="Month+10 Expiry"/>
    <n v="0"/>
    <n v="0"/>
    <n v="0"/>
  </r>
  <r>
    <s v="06-May-2026"/>
    <x v="2"/>
    <s v="Week1-May-2026"/>
    <x v="8"/>
    <s v="29-Jun-2027"/>
    <s v="Tuesday"/>
    <s v="Monthly - Tuesday"/>
    <s v="Monthly - Tuesday"/>
    <s v="Month+13 Expiry"/>
    <n v="1"/>
    <n v="0.14000000000000001"/>
    <n v="0"/>
  </r>
  <r>
    <s v="06-May-2026"/>
    <x v="2"/>
    <s v="Week1-May-2026"/>
    <x v="8"/>
    <s v="28-Dec-2027"/>
    <s v="Tuesday"/>
    <s v="Monthly - Tuesday"/>
    <s v="Monthly - Tuesday"/>
    <s v="Month+19 Expiry"/>
    <n v="314"/>
    <n v="54.42"/>
    <n v="3.09"/>
  </r>
  <r>
    <s v="06-May-2026"/>
    <x v="2"/>
    <s v="Week1-May-2026"/>
    <x v="8"/>
    <s v="27-Jun-2028"/>
    <s v="Tuesday"/>
    <s v="Monthly - Tuesday"/>
    <s v="Monthly - Tuesday"/>
    <s v="Month+25 Expiry"/>
    <n v="1"/>
    <n v="0.15"/>
    <n v="0"/>
  </r>
  <r>
    <s v="06-May-2026"/>
    <x v="2"/>
    <s v="Week1-May-2026"/>
    <x v="8"/>
    <s v="26-Dec-2028"/>
    <s v="Tuesday"/>
    <s v="Monthly - Tuesday"/>
    <s v="Monthly - Tuesday"/>
    <s v="Month+31 Expiry"/>
    <n v="25"/>
    <n v="4.5999999999999996"/>
    <n v="0.28000000000000003"/>
  </r>
  <r>
    <s v="06-May-2026"/>
    <x v="2"/>
    <s v="Week1-May-2026"/>
    <x v="8"/>
    <s v="26-Jun-2029"/>
    <s v="Tuesday"/>
    <s v="Monthly - Tuesday"/>
    <s v="Monthly - Tuesday"/>
    <s v="Month+37 Expiry"/>
    <n v="0"/>
    <n v="0"/>
    <n v="0"/>
  </r>
  <r>
    <s v="06-May-2026"/>
    <x v="2"/>
    <s v="Week1-May-2026"/>
    <x v="8"/>
    <s v="24-Dec-2029"/>
    <s v="Monday"/>
    <s v="Weekly - Monday"/>
    <s v="Weekly - Monday"/>
    <s v="Month+43 Expiry"/>
    <n v="0"/>
    <n v="0"/>
    <n v="0"/>
  </r>
  <r>
    <s v="06-May-2026"/>
    <x v="2"/>
    <s v="Week1-May-2026"/>
    <x v="8"/>
    <s v="25-Jun-2030"/>
    <s v="Tuesday"/>
    <s v="Monthly - Tuesday"/>
    <s v="Monthly - Tuesday"/>
    <s v="Month+49 Expiry"/>
    <n v="0"/>
    <n v="0"/>
    <n v="0"/>
  </r>
  <r>
    <s v="06-May-2026"/>
    <x v="2"/>
    <s v="Week1-May-2026"/>
    <x v="8"/>
    <s v="31-Dec-2030"/>
    <s v="Tuesday"/>
    <s v="Monthly - Tuesday"/>
    <s v="Monthly - Tuesday"/>
    <s v="Month+55 Expiry"/>
    <n v="0"/>
    <n v="0"/>
    <n v="0"/>
  </r>
  <r>
    <s v="07-May-2026"/>
    <x v="3"/>
    <s v="Week1-May-2026"/>
    <x v="8"/>
    <s v="12-May-2026"/>
    <s v="Tuesday"/>
    <s v="Weekly - Tuesday"/>
    <s v="Weekly - Tuesday"/>
    <s v="Same Month Expiry"/>
    <n v="47633545"/>
    <n v="7570107.8600000003"/>
    <n v="31164.639999999999"/>
  </r>
  <r>
    <s v="07-May-2026"/>
    <x v="3"/>
    <s v="Week1-May-2026"/>
    <x v="8"/>
    <s v="19-May-2026"/>
    <s v="Tuesday"/>
    <s v="Weekly - Tuesday"/>
    <s v="Weekly - Tuesday"/>
    <s v="Same Month Expiry"/>
    <n v="1359417"/>
    <n v="215848.89"/>
    <n v="1030.8800000000001"/>
  </r>
  <r>
    <s v="07-May-2026"/>
    <x v="3"/>
    <s v="Week1-May-2026"/>
    <x v="8"/>
    <s v="26-May-2026"/>
    <s v="Tuesday"/>
    <s v="Monthly - Tuesday"/>
    <s v="Monthly - Tuesday"/>
    <s v="Same Month Expiry"/>
    <n v="1363804"/>
    <n v="216653.26"/>
    <n v="1636.95"/>
  </r>
  <r>
    <s v="07-May-2026"/>
    <x v="3"/>
    <s v="Week1-May-2026"/>
    <x v="8"/>
    <s v="02-Jun-2026"/>
    <s v="Tuesday"/>
    <s v="Weekly - Tuesday"/>
    <s v="Weekly - Tuesday"/>
    <s v="Month+1 Expiry"/>
    <n v="21201"/>
    <n v="3368.44"/>
    <n v="27.81"/>
  </r>
  <r>
    <s v="07-May-2026"/>
    <x v="3"/>
    <s v="Week1-May-2026"/>
    <x v="8"/>
    <s v="09-Jun-2026"/>
    <s v="Tuesday"/>
    <s v="Weekly - Tuesday"/>
    <s v="Weekly - Tuesday"/>
    <s v="Month+1 Expiry"/>
    <n v="2304"/>
    <n v="366.58"/>
    <n v="2.98"/>
  </r>
  <r>
    <s v="07-May-2026"/>
    <x v="3"/>
    <s v="Week1-May-2026"/>
    <x v="8"/>
    <s v="30-Jun-2026"/>
    <s v="Tuesday"/>
    <s v="Monthly - Tuesday"/>
    <s v="Monthly - Tuesday"/>
    <s v="Month+1 Expiry"/>
    <n v="219323"/>
    <n v="34427.56"/>
    <n v="339.6"/>
  </r>
  <r>
    <s v="07-May-2026"/>
    <x v="3"/>
    <s v="Week1-May-2026"/>
    <x v="8"/>
    <s v="28-Jul-2026"/>
    <s v="Tuesday"/>
    <s v="Monthly - Tuesday"/>
    <s v="Monthly - Tuesday"/>
    <s v="Month+2 Expiry"/>
    <n v="34225"/>
    <n v="5314.7"/>
    <n v="69.08"/>
  </r>
  <r>
    <s v="07-May-2026"/>
    <x v="3"/>
    <s v="Week1-May-2026"/>
    <x v="8"/>
    <s v="29-Sep-2026"/>
    <s v="Tuesday"/>
    <s v="Monthly - Tuesday"/>
    <s v="Monthly - Tuesday"/>
    <s v="Month+4 Expiry"/>
    <n v="24777"/>
    <n v="4084.14"/>
    <n v="58.9"/>
  </r>
  <r>
    <s v="07-May-2026"/>
    <x v="3"/>
    <s v="Week1-May-2026"/>
    <x v="8"/>
    <s v="29-Dec-2026"/>
    <s v="Tuesday"/>
    <s v="Monthly - Tuesday"/>
    <s v="Monthly - Tuesday"/>
    <s v="Month+7 Expiry"/>
    <n v="26995"/>
    <n v="4390.7700000000004"/>
    <n v="113.06"/>
  </r>
  <r>
    <s v="07-May-2026"/>
    <x v="3"/>
    <s v="Week1-May-2026"/>
    <x v="8"/>
    <s v="30-Mar-2027"/>
    <s v="Tuesday"/>
    <s v="Monthly - Tuesday"/>
    <s v="Monthly - Tuesday"/>
    <s v="Month+10 Expiry"/>
    <n v="0"/>
    <n v="0"/>
    <n v="0"/>
  </r>
  <r>
    <s v="07-May-2026"/>
    <x v="3"/>
    <s v="Week1-May-2026"/>
    <x v="8"/>
    <s v="29-Jun-2027"/>
    <s v="Tuesday"/>
    <s v="Monthly - Tuesday"/>
    <s v="Monthly - Tuesday"/>
    <s v="Month+13 Expiry"/>
    <n v="4"/>
    <n v="0.55000000000000004"/>
    <n v="0.01"/>
  </r>
  <r>
    <s v="07-May-2026"/>
    <x v="3"/>
    <s v="Week1-May-2026"/>
    <x v="8"/>
    <s v="28-Dec-2027"/>
    <s v="Tuesday"/>
    <s v="Monthly - Tuesday"/>
    <s v="Monthly - Tuesday"/>
    <s v="Month+19 Expiry"/>
    <n v="175"/>
    <n v="30.6"/>
    <n v="1.64"/>
  </r>
  <r>
    <s v="07-May-2026"/>
    <x v="3"/>
    <s v="Week1-May-2026"/>
    <x v="8"/>
    <s v="27-Jun-2028"/>
    <s v="Tuesday"/>
    <s v="Monthly - Tuesday"/>
    <s v="Monthly - Tuesday"/>
    <s v="Month+25 Expiry"/>
    <n v="0"/>
    <n v="0"/>
    <n v="0"/>
  </r>
  <r>
    <s v="07-May-2026"/>
    <x v="3"/>
    <s v="Week1-May-2026"/>
    <x v="8"/>
    <s v="26-Dec-2028"/>
    <s v="Tuesday"/>
    <s v="Monthly - Tuesday"/>
    <s v="Monthly - Tuesday"/>
    <s v="Month+31 Expiry"/>
    <n v="35"/>
    <n v="6.59"/>
    <n v="0.45"/>
  </r>
  <r>
    <s v="07-May-2026"/>
    <x v="3"/>
    <s v="Week1-May-2026"/>
    <x v="8"/>
    <s v="26-Jun-2029"/>
    <s v="Tuesday"/>
    <s v="Monthly - Tuesday"/>
    <s v="Monthly - Tuesday"/>
    <s v="Month+37 Expiry"/>
    <n v="0"/>
    <n v="0"/>
    <n v="0"/>
  </r>
  <r>
    <s v="07-May-2026"/>
    <x v="3"/>
    <s v="Week1-May-2026"/>
    <x v="8"/>
    <s v="24-Dec-2029"/>
    <s v="Monday"/>
    <s v="Weekly - Monday"/>
    <s v="Weekly - Monday"/>
    <s v="Month+43 Expiry"/>
    <n v="0"/>
    <n v="0"/>
    <n v="0"/>
  </r>
  <r>
    <s v="07-May-2026"/>
    <x v="3"/>
    <s v="Week1-May-2026"/>
    <x v="8"/>
    <s v="25-Jun-2030"/>
    <s v="Tuesday"/>
    <s v="Monthly - Tuesday"/>
    <s v="Monthly - Tuesday"/>
    <s v="Month+49 Expiry"/>
    <n v="0"/>
    <n v="0"/>
    <n v="0"/>
  </r>
  <r>
    <s v="07-May-2026"/>
    <x v="3"/>
    <s v="Week1-May-2026"/>
    <x v="8"/>
    <s v="31-Dec-2030"/>
    <s v="Tuesday"/>
    <s v="Monthly - Tuesday"/>
    <s v="Monthly - Tuesday"/>
    <s v="Month+55 Expiry"/>
    <n v="1"/>
    <n v="0.16"/>
    <n v="0.01"/>
  </r>
  <r>
    <s v="08-May-2026"/>
    <x v="4"/>
    <s v="Week2-May-2026"/>
    <x v="8"/>
    <s v="12-May-2026"/>
    <s v="Tuesday"/>
    <s v="Weekly - Tuesday"/>
    <s v="Weekly - Tuesday"/>
    <s v="Same Month Expiry"/>
    <n v="78667623"/>
    <n v="12437129.85"/>
    <n v="47853.94"/>
  </r>
  <r>
    <s v="08-May-2026"/>
    <x v="4"/>
    <s v="Week2-May-2026"/>
    <x v="8"/>
    <s v="19-May-2026"/>
    <s v="Tuesday"/>
    <s v="Weekly - Tuesday"/>
    <s v="Weekly - Tuesday"/>
    <s v="Same Month Expiry"/>
    <n v="1659789"/>
    <n v="262857.62"/>
    <n v="1223.45"/>
  </r>
  <r>
    <s v="08-May-2026"/>
    <x v="4"/>
    <s v="Week2-May-2026"/>
    <x v="8"/>
    <s v="26-May-2026"/>
    <s v="Tuesday"/>
    <s v="Monthly - Tuesday"/>
    <s v="Monthly - Tuesday"/>
    <s v="Same Month Expiry"/>
    <n v="1207433"/>
    <n v="191587.12"/>
    <n v="1397.08"/>
  </r>
  <r>
    <s v="08-May-2026"/>
    <x v="4"/>
    <s v="Week2-May-2026"/>
    <x v="8"/>
    <s v="02-Jun-2026"/>
    <s v="Tuesday"/>
    <s v="Weekly - Tuesday"/>
    <s v="Weekly - Tuesday"/>
    <s v="Month+1 Expiry"/>
    <n v="25008"/>
    <n v="3982.21"/>
    <n v="27.64"/>
  </r>
  <r>
    <s v="08-May-2026"/>
    <x v="4"/>
    <s v="Week2-May-2026"/>
    <x v="8"/>
    <s v="09-Jun-2026"/>
    <s v="Tuesday"/>
    <s v="Weekly - Tuesday"/>
    <s v="Weekly - Tuesday"/>
    <s v="Month+1 Expiry"/>
    <n v="4071"/>
    <n v="646.04999999999995"/>
    <n v="4.97"/>
  </r>
  <r>
    <s v="08-May-2026"/>
    <x v="4"/>
    <s v="Week2-May-2026"/>
    <x v="8"/>
    <s v="30-Jun-2026"/>
    <s v="Tuesday"/>
    <s v="Monthly - Tuesday"/>
    <s v="Monthly - Tuesday"/>
    <s v="Month+1 Expiry"/>
    <n v="177324"/>
    <n v="28008.95"/>
    <n v="288.62"/>
  </r>
  <r>
    <s v="08-May-2026"/>
    <x v="4"/>
    <s v="Week2-May-2026"/>
    <x v="8"/>
    <s v="28-Jul-2026"/>
    <s v="Tuesday"/>
    <s v="Monthly - Tuesday"/>
    <s v="Monthly - Tuesday"/>
    <s v="Month+2 Expiry"/>
    <n v="20870"/>
    <n v="3296.44"/>
    <n v="54.84"/>
  </r>
  <r>
    <s v="08-May-2026"/>
    <x v="4"/>
    <s v="Week2-May-2026"/>
    <x v="8"/>
    <s v="29-Sep-2026"/>
    <s v="Tuesday"/>
    <s v="Monthly - Tuesday"/>
    <s v="Monthly - Tuesday"/>
    <s v="Month+4 Expiry"/>
    <n v="16961"/>
    <n v="2763.07"/>
    <n v="38.299999999999997"/>
  </r>
  <r>
    <s v="08-May-2026"/>
    <x v="4"/>
    <s v="Week2-May-2026"/>
    <x v="8"/>
    <s v="29-Dec-2026"/>
    <s v="Tuesday"/>
    <s v="Monthly - Tuesday"/>
    <s v="Monthly - Tuesday"/>
    <s v="Month+7 Expiry"/>
    <n v="29574"/>
    <n v="4786.83"/>
    <n v="124.85"/>
  </r>
  <r>
    <s v="08-May-2026"/>
    <x v="4"/>
    <s v="Week2-May-2026"/>
    <x v="8"/>
    <s v="30-Mar-2027"/>
    <s v="Tuesday"/>
    <s v="Monthly - Tuesday"/>
    <s v="Monthly - Tuesday"/>
    <s v="Month+10 Expiry"/>
    <n v="0"/>
    <n v="0"/>
    <n v="0"/>
  </r>
  <r>
    <s v="08-May-2026"/>
    <x v="4"/>
    <s v="Week2-May-2026"/>
    <x v="8"/>
    <s v="29-Jun-2027"/>
    <s v="Tuesday"/>
    <s v="Monthly - Tuesday"/>
    <s v="Monthly - Tuesday"/>
    <s v="Month+13 Expiry"/>
    <n v="3"/>
    <n v="0.42"/>
    <n v="0.01"/>
  </r>
  <r>
    <s v="08-May-2026"/>
    <x v="4"/>
    <s v="Week2-May-2026"/>
    <x v="8"/>
    <s v="28-Dec-2027"/>
    <s v="Tuesday"/>
    <s v="Monthly - Tuesday"/>
    <s v="Monthly - Tuesday"/>
    <s v="Month+19 Expiry"/>
    <n v="141"/>
    <n v="24.01"/>
    <n v="1.55"/>
  </r>
  <r>
    <s v="08-May-2026"/>
    <x v="4"/>
    <s v="Week2-May-2026"/>
    <x v="8"/>
    <s v="27-Jun-2028"/>
    <s v="Tuesday"/>
    <s v="Monthly - Tuesday"/>
    <s v="Monthly - Tuesday"/>
    <s v="Month+25 Expiry"/>
    <n v="0"/>
    <n v="0"/>
    <n v="0"/>
  </r>
  <r>
    <s v="08-May-2026"/>
    <x v="4"/>
    <s v="Week2-May-2026"/>
    <x v="8"/>
    <s v="26-Dec-2028"/>
    <s v="Tuesday"/>
    <s v="Monthly - Tuesday"/>
    <s v="Monthly - Tuesday"/>
    <s v="Month+31 Expiry"/>
    <n v="11"/>
    <n v="2.0299999999999998"/>
    <n v="0.12"/>
  </r>
  <r>
    <s v="08-May-2026"/>
    <x v="4"/>
    <s v="Week2-May-2026"/>
    <x v="8"/>
    <s v="26-Jun-2029"/>
    <s v="Tuesday"/>
    <s v="Monthly - Tuesday"/>
    <s v="Monthly - Tuesday"/>
    <s v="Month+37 Expiry"/>
    <n v="0"/>
    <n v="0"/>
    <n v="0"/>
  </r>
  <r>
    <s v="08-May-2026"/>
    <x v="4"/>
    <s v="Week2-May-2026"/>
    <x v="8"/>
    <s v="24-Dec-2029"/>
    <s v="Monday"/>
    <s v="Weekly - Monday"/>
    <s v="Weekly - Monday"/>
    <s v="Month+43 Expiry"/>
    <n v="10"/>
    <n v="1.39"/>
    <n v="0.03"/>
  </r>
  <r>
    <s v="08-May-2026"/>
    <x v="4"/>
    <s v="Week2-May-2026"/>
    <x v="8"/>
    <s v="25-Jun-2030"/>
    <s v="Tuesday"/>
    <s v="Monthly - Tuesday"/>
    <s v="Monthly - Tuesday"/>
    <s v="Month+49 Expiry"/>
    <n v="0"/>
    <n v="0"/>
    <n v="0"/>
  </r>
  <r>
    <s v="08-May-2026"/>
    <x v="4"/>
    <s v="Week2-May-2026"/>
    <x v="8"/>
    <s v="31-Dec-2030"/>
    <s v="Tuesday"/>
    <s v="Monthly - Tuesday"/>
    <s v="Monthly - Tuesday"/>
    <s v="Month+55 Expiry"/>
    <n v="10"/>
    <n v="1.39"/>
    <n v="0.03"/>
  </r>
  <r>
    <s v="11-May-2026"/>
    <x v="0"/>
    <s v="Week2-May-2026"/>
    <x v="8"/>
    <s v="12-May-2026"/>
    <s v="Tuesday"/>
    <s v="Weekly - Tuesday"/>
    <s v="Weekly - Tuesday"/>
    <s v="Same Month Expiry"/>
    <n v="131702699"/>
    <n v="20587440.289999999"/>
    <n v="53611.8"/>
  </r>
  <r>
    <s v="11-May-2026"/>
    <x v="0"/>
    <s v="Week2-May-2026"/>
    <x v="8"/>
    <s v="19-May-2026"/>
    <s v="Tuesday"/>
    <s v="Weekly - Tuesday"/>
    <s v="Weekly - Tuesday"/>
    <s v="Same Month Expiry"/>
    <n v="3877783"/>
    <n v="609545.59"/>
    <n v="2816.97"/>
  </r>
  <r>
    <s v="11-May-2026"/>
    <x v="0"/>
    <s v="Week2-May-2026"/>
    <x v="8"/>
    <s v="26-May-2026"/>
    <s v="Tuesday"/>
    <s v="Monthly - Tuesday"/>
    <s v="Monthly - Tuesday"/>
    <s v="Same Month Expiry"/>
    <n v="1777310"/>
    <n v="280120.37"/>
    <n v="2169.1999999999998"/>
  </r>
  <r>
    <s v="11-May-2026"/>
    <x v="0"/>
    <s v="Week2-May-2026"/>
    <x v="8"/>
    <s v="02-Jun-2026"/>
    <s v="Tuesday"/>
    <s v="Weekly - Tuesday"/>
    <s v="Weekly - Tuesday"/>
    <s v="Month+1 Expiry"/>
    <n v="41939"/>
    <n v="6648.14"/>
    <n v="57.79"/>
  </r>
  <r>
    <s v="11-May-2026"/>
    <x v="0"/>
    <s v="Week2-May-2026"/>
    <x v="8"/>
    <s v="09-Jun-2026"/>
    <s v="Tuesday"/>
    <s v="Weekly - Tuesday"/>
    <s v="Weekly - Tuesday"/>
    <s v="Month+1 Expiry"/>
    <n v="7228"/>
    <n v="1150.49"/>
    <n v="10.33"/>
  </r>
  <r>
    <s v="11-May-2026"/>
    <x v="0"/>
    <s v="Week2-May-2026"/>
    <x v="8"/>
    <s v="30-Jun-2026"/>
    <s v="Tuesday"/>
    <s v="Monthly - Tuesday"/>
    <s v="Monthly - Tuesday"/>
    <s v="Month+1 Expiry"/>
    <n v="369754"/>
    <n v="59263.57"/>
    <n v="644.89"/>
  </r>
  <r>
    <s v="11-May-2026"/>
    <x v="0"/>
    <s v="Week2-May-2026"/>
    <x v="8"/>
    <s v="28-Jul-2026"/>
    <s v="Tuesday"/>
    <s v="Monthly - Tuesday"/>
    <s v="Monthly - Tuesday"/>
    <s v="Month+2 Expiry"/>
    <n v="36507"/>
    <n v="5770.11"/>
    <n v="98.33"/>
  </r>
  <r>
    <s v="11-May-2026"/>
    <x v="0"/>
    <s v="Week2-May-2026"/>
    <x v="8"/>
    <s v="29-Sep-2026"/>
    <s v="Tuesday"/>
    <s v="Monthly - Tuesday"/>
    <s v="Monthly - Tuesday"/>
    <s v="Month+4 Expiry"/>
    <n v="20449"/>
    <n v="3357.93"/>
    <n v="52.89"/>
  </r>
  <r>
    <s v="11-May-2026"/>
    <x v="0"/>
    <s v="Week2-May-2026"/>
    <x v="8"/>
    <s v="29-Dec-2026"/>
    <s v="Tuesday"/>
    <s v="Monthly - Tuesday"/>
    <s v="Monthly - Tuesday"/>
    <s v="Month+7 Expiry"/>
    <n v="29806"/>
    <n v="4957.67"/>
    <n v="129.53"/>
  </r>
  <r>
    <s v="11-May-2026"/>
    <x v="0"/>
    <s v="Week2-May-2026"/>
    <x v="8"/>
    <s v="30-Mar-2027"/>
    <s v="Tuesday"/>
    <s v="Monthly - Tuesday"/>
    <s v="Monthly - Tuesday"/>
    <s v="Month+10 Expiry"/>
    <n v="0"/>
    <n v="0"/>
    <n v="0"/>
  </r>
  <r>
    <s v="11-May-2026"/>
    <x v="0"/>
    <s v="Week2-May-2026"/>
    <x v="8"/>
    <s v="29-Jun-2027"/>
    <s v="Tuesday"/>
    <s v="Monthly - Tuesday"/>
    <s v="Monthly - Tuesday"/>
    <s v="Month+13 Expiry"/>
    <n v="1"/>
    <n v="0.12"/>
    <n v="0"/>
  </r>
  <r>
    <s v="11-May-2026"/>
    <x v="0"/>
    <s v="Week2-May-2026"/>
    <x v="8"/>
    <s v="28-Dec-2027"/>
    <s v="Tuesday"/>
    <s v="Monthly - Tuesday"/>
    <s v="Monthly - Tuesday"/>
    <s v="Month+19 Expiry"/>
    <n v="286"/>
    <n v="49.55"/>
    <n v="2.87"/>
  </r>
  <r>
    <s v="11-May-2026"/>
    <x v="0"/>
    <s v="Week2-May-2026"/>
    <x v="8"/>
    <s v="27-Jun-2028"/>
    <s v="Tuesday"/>
    <s v="Monthly - Tuesday"/>
    <s v="Monthly - Tuesday"/>
    <s v="Month+25 Expiry"/>
    <n v="1"/>
    <n v="0.15"/>
    <n v="0"/>
  </r>
  <r>
    <s v="11-May-2026"/>
    <x v="0"/>
    <s v="Week2-May-2026"/>
    <x v="8"/>
    <s v="26-Dec-2028"/>
    <s v="Tuesday"/>
    <s v="Monthly - Tuesday"/>
    <s v="Monthly - Tuesday"/>
    <s v="Month+31 Expiry"/>
    <n v="4"/>
    <n v="0.7"/>
    <n v="0.04"/>
  </r>
  <r>
    <s v="11-May-2026"/>
    <x v="0"/>
    <s v="Week2-May-2026"/>
    <x v="8"/>
    <s v="26-Jun-2029"/>
    <s v="Tuesday"/>
    <s v="Monthly - Tuesday"/>
    <s v="Monthly - Tuesday"/>
    <s v="Month+37 Expiry"/>
    <n v="4"/>
    <n v="0.7"/>
    <n v="0.05"/>
  </r>
  <r>
    <s v="11-May-2026"/>
    <x v="0"/>
    <s v="Week2-May-2026"/>
    <x v="8"/>
    <s v="24-Dec-2029"/>
    <s v="Monday"/>
    <s v="Weekly - Monday"/>
    <s v="Weekly - Monday"/>
    <s v="Month+43 Expiry"/>
    <n v="0"/>
    <n v="0"/>
    <n v="0"/>
  </r>
  <r>
    <s v="11-May-2026"/>
    <x v="0"/>
    <s v="Week2-May-2026"/>
    <x v="8"/>
    <s v="25-Jun-2030"/>
    <s v="Tuesday"/>
    <s v="Monthly - Tuesday"/>
    <s v="Monthly - Tuesday"/>
    <s v="Month+49 Expiry"/>
    <n v="0"/>
    <n v="0"/>
    <n v="0"/>
  </r>
  <r>
    <s v="11-May-2026"/>
    <x v="0"/>
    <s v="Week2-May-2026"/>
    <x v="8"/>
    <s v="31-Dec-2030"/>
    <s v="Tuesday"/>
    <s v="Monthly - Tuesday"/>
    <s v="Monthly - Tuesday"/>
    <s v="Month+55 Expiry"/>
    <n v="0"/>
    <n v="0"/>
    <n v="0"/>
  </r>
  <r>
    <s v="12-May-2026"/>
    <x v="1"/>
    <s v="Week2-May-2026"/>
    <x v="8"/>
    <s v="12-May-2026"/>
    <s v="Tuesday"/>
    <s v="Weekly - Tuesday"/>
    <s v="Weekly - Tuesday"/>
    <s v="Same Month Expiry"/>
    <n v="396066995"/>
    <n v="60856584.880000003"/>
    <n v="65989.259999999995"/>
  </r>
  <r>
    <s v="12-May-2026"/>
    <x v="1"/>
    <s v="Week2-May-2026"/>
    <x v="8"/>
    <s v="19-May-2026"/>
    <s v="Tuesday"/>
    <s v="Weekly - Tuesday"/>
    <s v="Weekly - Tuesday"/>
    <s v="Same Month Expiry"/>
    <n v="9159825"/>
    <n v="1424171.28"/>
    <n v="6556.24"/>
  </r>
  <r>
    <s v="12-May-2026"/>
    <x v="1"/>
    <s v="Week2-May-2026"/>
    <x v="8"/>
    <s v="26-May-2026"/>
    <s v="Tuesday"/>
    <s v="Monthly - Tuesday"/>
    <s v="Monthly - Tuesday"/>
    <s v="Same Month Expiry"/>
    <n v="2320271"/>
    <n v="362650.74"/>
    <n v="2745.52"/>
  </r>
  <r>
    <s v="12-May-2026"/>
    <x v="1"/>
    <s v="Week2-May-2026"/>
    <x v="8"/>
    <s v="02-Jun-2026"/>
    <s v="Tuesday"/>
    <s v="Weekly - Tuesday"/>
    <s v="Weekly - Tuesday"/>
    <s v="Month+1 Expiry"/>
    <n v="72470"/>
    <n v="11378.91"/>
    <n v="87.89"/>
  </r>
  <r>
    <s v="12-May-2026"/>
    <x v="1"/>
    <s v="Week2-May-2026"/>
    <x v="8"/>
    <s v="09-Jun-2026"/>
    <s v="Tuesday"/>
    <s v="Weekly - Tuesday"/>
    <s v="Weekly - Tuesday"/>
    <s v="Month+1 Expiry"/>
    <n v="10935"/>
    <n v="1731.49"/>
    <n v="13.09"/>
  </r>
  <r>
    <s v="12-May-2026"/>
    <x v="1"/>
    <s v="Week2-May-2026"/>
    <x v="8"/>
    <s v="30-Jun-2026"/>
    <s v="Tuesday"/>
    <s v="Monthly - Tuesday"/>
    <s v="Monthly - Tuesday"/>
    <s v="Month+1 Expiry"/>
    <n v="455554"/>
    <n v="71678.2"/>
    <n v="800.64"/>
  </r>
  <r>
    <s v="12-May-2026"/>
    <x v="1"/>
    <s v="Week2-May-2026"/>
    <x v="8"/>
    <s v="28-Jul-2026"/>
    <s v="Tuesday"/>
    <s v="Monthly - Tuesday"/>
    <s v="Monthly - Tuesday"/>
    <s v="Month+2 Expiry"/>
    <n v="53474"/>
    <n v="8450.82"/>
    <n v="149.34"/>
  </r>
  <r>
    <s v="12-May-2026"/>
    <x v="1"/>
    <s v="Week2-May-2026"/>
    <x v="8"/>
    <s v="29-Sep-2026"/>
    <s v="Tuesday"/>
    <s v="Monthly - Tuesday"/>
    <s v="Monthly - Tuesday"/>
    <s v="Month+4 Expiry"/>
    <n v="40313"/>
    <n v="6528.68"/>
    <n v="112.54"/>
  </r>
  <r>
    <s v="12-May-2026"/>
    <x v="1"/>
    <s v="Week2-May-2026"/>
    <x v="8"/>
    <s v="29-Dec-2026"/>
    <s v="Tuesday"/>
    <s v="Monthly - Tuesday"/>
    <s v="Monthly - Tuesday"/>
    <s v="Month+7 Expiry"/>
    <n v="55253"/>
    <n v="9015.1"/>
    <n v="236.9"/>
  </r>
  <r>
    <s v="12-May-2026"/>
    <x v="1"/>
    <s v="Week2-May-2026"/>
    <x v="8"/>
    <s v="30-Mar-2027"/>
    <s v="Tuesday"/>
    <s v="Monthly - Tuesday"/>
    <s v="Monthly - Tuesday"/>
    <s v="Month+10 Expiry"/>
    <n v="0"/>
    <n v="0"/>
    <n v="0"/>
  </r>
  <r>
    <s v="12-May-2026"/>
    <x v="1"/>
    <s v="Week2-May-2026"/>
    <x v="8"/>
    <s v="29-Jun-2027"/>
    <s v="Tuesday"/>
    <s v="Monthly - Tuesday"/>
    <s v="Monthly - Tuesday"/>
    <s v="Month+13 Expiry"/>
    <n v="10"/>
    <n v="1.38"/>
    <n v="0.03"/>
  </r>
  <r>
    <s v="12-May-2026"/>
    <x v="1"/>
    <s v="Week2-May-2026"/>
    <x v="8"/>
    <s v="28-Dec-2027"/>
    <s v="Tuesday"/>
    <s v="Monthly - Tuesday"/>
    <s v="Monthly - Tuesday"/>
    <s v="Month+19 Expiry"/>
    <n v="595"/>
    <n v="106.57"/>
    <n v="4.74"/>
  </r>
  <r>
    <s v="12-May-2026"/>
    <x v="1"/>
    <s v="Week2-May-2026"/>
    <x v="8"/>
    <s v="27-Jun-2028"/>
    <s v="Tuesday"/>
    <s v="Monthly - Tuesday"/>
    <s v="Monthly - Tuesday"/>
    <s v="Month+25 Expiry"/>
    <n v="0"/>
    <n v="0"/>
    <n v="0"/>
  </r>
  <r>
    <s v="12-May-2026"/>
    <x v="1"/>
    <s v="Week2-May-2026"/>
    <x v="8"/>
    <s v="26-Dec-2028"/>
    <s v="Tuesday"/>
    <s v="Monthly - Tuesday"/>
    <s v="Monthly - Tuesday"/>
    <s v="Month+31 Expiry"/>
    <n v="34"/>
    <n v="6.59"/>
    <n v="0.46"/>
  </r>
  <r>
    <s v="12-May-2026"/>
    <x v="1"/>
    <s v="Week2-May-2026"/>
    <x v="8"/>
    <s v="26-Jun-2029"/>
    <s v="Tuesday"/>
    <s v="Monthly - Tuesday"/>
    <s v="Monthly - Tuesday"/>
    <s v="Month+37 Expiry"/>
    <n v="0"/>
    <n v="0"/>
    <n v="0"/>
  </r>
  <r>
    <s v="12-May-2026"/>
    <x v="1"/>
    <s v="Week2-May-2026"/>
    <x v="8"/>
    <s v="24-Dec-2029"/>
    <s v="Monday"/>
    <s v="Weekly - Monday"/>
    <s v="Weekly - Monday"/>
    <s v="Month+43 Expiry"/>
    <n v="3"/>
    <n v="0.53"/>
    <n v="0.03"/>
  </r>
  <r>
    <s v="12-May-2026"/>
    <x v="1"/>
    <s v="Week2-May-2026"/>
    <x v="8"/>
    <s v="25-Jun-2030"/>
    <s v="Tuesday"/>
    <s v="Monthly - Tuesday"/>
    <s v="Monthly - Tuesday"/>
    <s v="Month+49 Expiry"/>
    <n v="0"/>
    <n v="0"/>
    <n v="0"/>
  </r>
  <r>
    <s v="12-May-2026"/>
    <x v="1"/>
    <s v="Week2-May-2026"/>
    <x v="8"/>
    <s v="31-Dec-2030"/>
    <s v="Tuesday"/>
    <s v="Monthly - Tuesday"/>
    <s v="Monthly - Tuesday"/>
    <s v="Month+55 Expiry"/>
    <n v="0"/>
    <n v="0"/>
    <n v="0"/>
  </r>
  <r>
    <s v="13-May-2026"/>
    <x v="2"/>
    <s v="Week2-May-2026"/>
    <x v="8"/>
    <s v="19-May-2026"/>
    <s v="Tuesday"/>
    <s v="Weekly - Tuesday"/>
    <s v="Weekly - Tuesday"/>
    <s v="Same Month Expiry"/>
    <n v="47897930"/>
    <n v="7349698.8300000001"/>
    <n v="40069.230000000003"/>
  </r>
  <r>
    <s v="13-May-2026"/>
    <x v="2"/>
    <s v="Week2-May-2026"/>
    <x v="8"/>
    <s v="26-May-2026"/>
    <s v="Tuesday"/>
    <s v="Monthly - Tuesday"/>
    <s v="Monthly - Tuesday"/>
    <s v="Same Month Expiry"/>
    <n v="2390815"/>
    <n v="370395.73"/>
    <n v="2671.59"/>
  </r>
  <r>
    <s v="13-May-2026"/>
    <x v="2"/>
    <s v="Week2-May-2026"/>
    <x v="8"/>
    <s v="02-Jun-2026"/>
    <s v="Tuesday"/>
    <s v="Weekly - Tuesday"/>
    <s v="Weekly - Tuesday"/>
    <s v="Month+1 Expiry"/>
    <n v="73652"/>
    <n v="11443.36"/>
    <n v="93.39"/>
  </r>
  <r>
    <s v="13-May-2026"/>
    <x v="2"/>
    <s v="Week2-May-2026"/>
    <x v="8"/>
    <s v="09-Jun-2026"/>
    <s v="Tuesday"/>
    <s v="Weekly - Tuesday"/>
    <s v="Weekly - Tuesday"/>
    <s v="Month+1 Expiry"/>
    <n v="15441"/>
    <n v="2436.0500000000002"/>
    <n v="22.21"/>
  </r>
  <r>
    <s v="13-May-2026"/>
    <x v="2"/>
    <s v="Week2-May-2026"/>
    <x v="8"/>
    <s v="16-Jun-2026"/>
    <s v="Tuesday"/>
    <s v="Weekly - Tuesday"/>
    <s v="Weekly - Tuesday"/>
    <s v="Month+1 Expiry"/>
    <n v="251"/>
    <n v="39.92"/>
    <n v="0.3"/>
  </r>
  <r>
    <s v="13-May-2026"/>
    <x v="2"/>
    <s v="Week2-May-2026"/>
    <x v="8"/>
    <s v="30-Jun-2026"/>
    <s v="Tuesday"/>
    <s v="Monthly - Tuesday"/>
    <s v="Monthly - Tuesday"/>
    <s v="Month+1 Expiry"/>
    <n v="320321"/>
    <n v="49990.03"/>
    <n v="608.29999999999995"/>
  </r>
  <r>
    <s v="13-May-2026"/>
    <x v="2"/>
    <s v="Week2-May-2026"/>
    <x v="8"/>
    <s v="28-Jul-2026"/>
    <s v="Tuesday"/>
    <s v="Monthly - Tuesday"/>
    <s v="Monthly - Tuesday"/>
    <s v="Month+2 Expiry"/>
    <n v="36034"/>
    <n v="5729.37"/>
    <n v="99.05"/>
  </r>
  <r>
    <s v="13-May-2026"/>
    <x v="2"/>
    <s v="Week2-May-2026"/>
    <x v="8"/>
    <s v="29-Sep-2026"/>
    <s v="Tuesday"/>
    <s v="Monthly - Tuesday"/>
    <s v="Monthly - Tuesday"/>
    <s v="Month+4 Expiry"/>
    <n v="23250"/>
    <n v="3851.71"/>
    <n v="54.44"/>
  </r>
  <r>
    <s v="13-May-2026"/>
    <x v="2"/>
    <s v="Week2-May-2026"/>
    <x v="8"/>
    <s v="29-Dec-2026"/>
    <s v="Tuesday"/>
    <s v="Monthly - Tuesday"/>
    <s v="Monthly - Tuesday"/>
    <s v="Month+7 Expiry"/>
    <n v="62334"/>
    <n v="10234.1"/>
    <n v="254.6"/>
  </r>
  <r>
    <s v="13-May-2026"/>
    <x v="2"/>
    <s v="Week2-May-2026"/>
    <x v="8"/>
    <s v="30-Mar-2027"/>
    <s v="Tuesday"/>
    <s v="Monthly - Tuesday"/>
    <s v="Monthly - Tuesday"/>
    <s v="Month+10 Expiry"/>
    <n v="0"/>
    <n v="0"/>
    <n v="0"/>
  </r>
  <r>
    <s v="13-May-2026"/>
    <x v="2"/>
    <s v="Week2-May-2026"/>
    <x v="8"/>
    <s v="29-Jun-2027"/>
    <s v="Tuesday"/>
    <s v="Monthly - Tuesday"/>
    <s v="Monthly - Tuesday"/>
    <s v="Month+13 Expiry"/>
    <n v="2"/>
    <n v="0.28000000000000003"/>
    <n v="0.01"/>
  </r>
  <r>
    <s v="13-May-2026"/>
    <x v="2"/>
    <s v="Week2-May-2026"/>
    <x v="8"/>
    <s v="28-Dec-2027"/>
    <s v="Tuesday"/>
    <s v="Monthly - Tuesday"/>
    <s v="Monthly - Tuesday"/>
    <s v="Month+19 Expiry"/>
    <n v="413"/>
    <n v="76.14"/>
    <n v="3.16"/>
  </r>
  <r>
    <s v="13-May-2026"/>
    <x v="2"/>
    <s v="Week2-May-2026"/>
    <x v="8"/>
    <s v="27-Jun-2028"/>
    <s v="Tuesday"/>
    <s v="Monthly - Tuesday"/>
    <s v="Monthly - Tuesday"/>
    <s v="Month+25 Expiry"/>
    <n v="0"/>
    <n v="0"/>
    <n v="0"/>
  </r>
  <r>
    <s v="13-May-2026"/>
    <x v="2"/>
    <s v="Week2-May-2026"/>
    <x v="8"/>
    <s v="26-Dec-2028"/>
    <s v="Tuesday"/>
    <s v="Monthly - Tuesday"/>
    <s v="Monthly - Tuesday"/>
    <s v="Month+31 Expiry"/>
    <n v="3"/>
    <n v="0.62"/>
    <n v="0.03"/>
  </r>
  <r>
    <s v="13-May-2026"/>
    <x v="2"/>
    <s v="Week2-May-2026"/>
    <x v="8"/>
    <s v="26-Jun-2029"/>
    <s v="Tuesday"/>
    <s v="Monthly - Tuesday"/>
    <s v="Monthly - Tuesday"/>
    <s v="Month+37 Expiry"/>
    <n v="2"/>
    <n v="0.35"/>
    <n v="0.02"/>
  </r>
  <r>
    <s v="13-May-2026"/>
    <x v="2"/>
    <s v="Week2-May-2026"/>
    <x v="8"/>
    <s v="24-Dec-2029"/>
    <s v="Monday"/>
    <s v="Weekly - Monday"/>
    <s v="Weekly - Monday"/>
    <s v="Month+43 Expiry"/>
    <n v="0"/>
    <n v="0"/>
    <n v="0"/>
  </r>
  <r>
    <s v="13-May-2026"/>
    <x v="2"/>
    <s v="Week2-May-2026"/>
    <x v="8"/>
    <s v="25-Jun-2030"/>
    <s v="Tuesday"/>
    <s v="Monthly - Tuesday"/>
    <s v="Monthly - Tuesday"/>
    <s v="Month+49 Expiry"/>
    <n v="0"/>
    <n v="0"/>
    <n v="0"/>
  </r>
  <r>
    <s v="13-May-2026"/>
    <x v="2"/>
    <s v="Week2-May-2026"/>
    <x v="8"/>
    <s v="31-Dec-2030"/>
    <s v="Tuesday"/>
    <s v="Monthly - Tuesday"/>
    <s v="Monthly - Tuesday"/>
    <s v="Month+55 Expiry"/>
    <n v="0"/>
    <n v="0"/>
    <n v="0"/>
  </r>
  <r>
    <s v="14-May-2026"/>
    <x v="3"/>
    <s v="Week2-May-2026"/>
    <x v="8"/>
    <s v="19-May-2026"/>
    <s v="Tuesday"/>
    <s v="Weekly - Tuesday"/>
    <s v="Weekly - Tuesday"/>
    <s v="Same Month Expiry"/>
    <n v="47174754"/>
    <n v="7268039.21"/>
    <n v="31427.09"/>
  </r>
  <r>
    <s v="14-May-2026"/>
    <x v="3"/>
    <s v="Week2-May-2026"/>
    <x v="8"/>
    <s v="26-May-2026"/>
    <s v="Tuesday"/>
    <s v="Monthly - Tuesday"/>
    <s v="Monthly - Tuesday"/>
    <s v="Same Month Expiry"/>
    <n v="2820453"/>
    <n v="439003.03"/>
    <n v="3026.48"/>
  </r>
  <r>
    <s v="14-May-2026"/>
    <x v="3"/>
    <s v="Week2-May-2026"/>
    <x v="8"/>
    <s v="02-Jun-2026"/>
    <s v="Tuesday"/>
    <s v="Weekly - Tuesday"/>
    <s v="Weekly - Tuesday"/>
    <s v="Month+1 Expiry"/>
    <n v="106272"/>
    <n v="16592.38"/>
    <n v="127.2"/>
  </r>
  <r>
    <s v="14-May-2026"/>
    <x v="3"/>
    <s v="Week2-May-2026"/>
    <x v="8"/>
    <s v="09-Jun-2026"/>
    <s v="Tuesday"/>
    <s v="Weekly - Tuesday"/>
    <s v="Weekly - Tuesday"/>
    <s v="Month+1 Expiry"/>
    <n v="20672"/>
    <n v="3257.48"/>
    <n v="28.01"/>
  </r>
  <r>
    <s v="14-May-2026"/>
    <x v="3"/>
    <s v="Week2-May-2026"/>
    <x v="8"/>
    <s v="16-Jun-2026"/>
    <s v="Tuesday"/>
    <s v="Weekly - Tuesday"/>
    <s v="Weekly - Tuesday"/>
    <s v="Month+1 Expiry"/>
    <n v="1946"/>
    <n v="306.42"/>
    <n v="3.27"/>
  </r>
  <r>
    <s v="14-May-2026"/>
    <x v="3"/>
    <s v="Week2-May-2026"/>
    <x v="8"/>
    <s v="30-Jun-2026"/>
    <s v="Tuesday"/>
    <s v="Monthly - Tuesday"/>
    <s v="Monthly - Tuesday"/>
    <s v="Month+1 Expiry"/>
    <n v="351204"/>
    <n v="54726.879999999997"/>
    <n v="685.29"/>
  </r>
  <r>
    <s v="14-May-2026"/>
    <x v="3"/>
    <s v="Week2-May-2026"/>
    <x v="8"/>
    <s v="28-Jul-2026"/>
    <s v="Tuesday"/>
    <s v="Monthly - Tuesday"/>
    <s v="Monthly - Tuesday"/>
    <s v="Month+2 Expiry"/>
    <n v="33139"/>
    <n v="5259.22"/>
    <n v="92.69"/>
  </r>
  <r>
    <s v="14-May-2026"/>
    <x v="3"/>
    <s v="Week2-May-2026"/>
    <x v="8"/>
    <s v="29-Sep-2026"/>
    <s v="Tuesday"/>
    <s v="Monthly - Tuesday"/>
    <s v="Monthly - Tuesday"/>
    <s v="Month+4 Expiry"/>
    <n v="21713"/>
    <n v="3503.33"/>
    <n v="55.41"/>
  </r>
  <r>
    <s v="14-May-2026"/>
    <x v="3"/>
    <s v="Week2-May-2026"/>
    <x v="8"/>
    <s v="29-Dec-2026"/>
    <s v="Tuesday"/>
    <s v="Monthly - Tuesday"/>
    <s v="Monthly - Tuesday"/>
    <s v="Month+7 Expiry"/>
    <n v="33021"/>
    <n v="5348.27"/>
    <n v="131.56"/>
  </r>
  <r>
    <s v="14-May-2026"/>
    <x v="3"/>
    <s v="Week2-May-2026"/>
    <x v="8"/>
    <s v="30-Mar-2027"/>
    <s v="Tuesday"/>
    <s v="Monthly - Tuesday"/>
    <s v="Monthly - Tuesday"/>
    <s v="Month+10 Expiry"/>
    <n v="0"/>
    <n v="0"/>
    <n v="0"/>
  </r>
  <r>
    <s v="14-May-2026"/>
    <x v="3"/>
    <s v="Week2-May-2026"/>
    <x v="8"/>
    <s v="29-Jun-2027"/>
    <s v="Tuesday"/>
    <s v="Monthly - Tuesday"/>
    <s v="Monthly - Tuesday"/>
    <s v="Month+13 Expiry"/>
    <n v="8"/>
    <n v="1.34"/>
    <n v="0.11"/>
  </r>
  <r>
    <s v="14-May-2026"/>
    <x v="3"/>
    <s v="Week2-May-2026"/>
    <x v="8"/>
    <s v="28-Dec-2027"/>
    <s v="Tuesday"/>
    <s v="Monthly - Tuesday"/>
    <s v="Monthly - Tuesday"/>
    <s v="Month+19 Expiry"/>
    <n v="251"/>
    <n v="44.22"/>
    <n v="2.2799999999999998"/>
  </r>
  <r>
    <s v="14-May-2026"/>
    <x v="3"/>
    <s v="Week2-May-2026"/>
    <x v="8"/>
    <s v="27-Jun-2028"/>
    <s v="Tuesday"/>
    <s v="Monthly - Tuesday"/>
    <s v="Monthly - Tuesday"/>
    <s v="Month+25 Expiry"/>
    <n v="0"/>
    <n v="0"/>
    <n v="0"/>
  </r>
  <r>
    <s v="14-May-2026"/>
    <x v="3"/>
    <s v="Week2-May-2026"/>
    <x v="8"/>
    <s v="26-Dec-2028"/>
    <s v="Tuesday"/>
    <s v="Monthly - Tuesday"/>
    <s v="Monthly - Tuesday"/>
    <s v="Month+31 Expiry"/>
    <n v="15"/>
    <n v="3"/>
    <n v="0.15"/>
  </r>
  <r>
    <s v="14-May-2026"/>
    <x v="3"/>
    <s v="Week2-May-2026"/>
    <x v="8"/>
    <s v="26-Jun-2029"/>
    <s v="Tuesday"/>
    <s v="Monthly - Tuesday"/>
    <s v="Monthly - Tuesday"/>
    <s v="Month+37 Expiry"/>
    <n v="4"/>
    <n v="0.68"/>
    <n v="0.03"/>
  </r>
  <r>
    <s v="14-May-2026"/>
    <x v="3"/>
    <s v="Week2-May-2026"/>
    <x v="8"/>
    <s v="24-Dec-2029"/>
    <s v="Monday"/>
    <s v="Weekly - Monday"/>
    <s v="Weekly - Monday"/>
    <s v="Month+43 Expiry"/>
    <n v="2"/>
    <n v="0.43"/>
    <n v="0.04"/>
  </r>
  <r>
    <s v="14-May-2026"/>
    <x v="3"/>
    <s v="Week2-May-2026"/>
    <x v="8"/>
    <s v="25-Jun-2030"/>
    <s v="Tuesday"/>
    <s v="Monthly - Tuesday"/>
    <s v="Monthly - Tuesday"/>
    <s v="Month+49 Expiry"/>
    <n v="0"/>
    <n v="0"/>
    <n v="0"/>
  </r>
  <r>
    <s v="14-May-2026"/>
    <x v="3"/>
    <s v="Week2-May-2026"/>
    <x v="8"/>
    <s v="31-Dec-2030"/>
    <s v="Tuesday"/>
    <s v="Monthly - Tuesday"/>
    <s v="Monthly - Tuesday"/>
    <s v="Month+55 Expiry"/>
    <n v="0"/>
    <n v="0"/>
    <n v="0"/>
  </r>
  <r>
    <s v="15-May-2026"/>
    <x v="4"/>
    <s v="Week3-May-2026"/>
    <x v="8"/>
    <s v="19-May-2026"/>
    <s v="Tuesday"/>
    <s v="Weekly - Tuesday"/>
    <s v="Weekly - Tuesday"/>
    <s v="Same Month Expiry"/>
    <n v="93307723"/>
    <n v="14425338.560000001"/>
    <n v="56976.36"/>
  </r>
  <r>
    <s v="15-May-2026"/>
    <x v="4"/>
    <s v="Week3-May-2026"/>
    <x v="8"/>
    <s v="26-May-2026"/>
    <s v="Tuesday"/>
    <s v="Monthly - Tuesday"/>
    <s v="Monthly - Tuesday"/>
    <s v="Same Month Expiry"/>
    <n v="3238043"/>
    <n v="502250.91"/>
    <n v="2962.35"/>
  </r>
  <r>
    <s v="15-May-2026"/>
    <x v="4"/>
    <s v="Week3-May-2026"/>
    <x v="8"/>
    <s v="02-Jun-2026"/>
    <s v="Tuesday"/>
    <s v="Weekly - Tuesday"/>
    <s v="Weekly - Tuesday"/>
    <s v="Month+1 Expiry"/>
    <n v="133934"/>
    <n v="20834.91"/>
    <n v="135.1"/>
  </r>
  <r>
    <s v="15-May-2026"/>
    <x v="4"/>
    <s v="Week3-May-2026"/>
    <x v="8"/>
    <s v="09-Jun-2026"/>
    <s v="Tuesday"/>
    <s v="Weekly - Tuesday"/>
    <s v="Weekly - Tuesday"/>
    <s v="Month+1 Expiry"/>
    <n v="22801"/>
    <n v="3579.1"/>
    <n v="36.19"/>
  </r>
  <r>
    <s v="15-May-2026"/>
    <x v="4"/>
    <s v="Week3-May-2026"/>
    <x v="8"/>
    <s v="16-Jun-2026"/>
    <s v="Tuesday"/>
    <s v="Weekly - Tuesday"/>
    <s v="Weekly - Tuesday"/>
    <s v="Month+1 Expiry"/>
    <n v="3963"/>
    <n v="616.96"/>
    <n v="6.02"/>
  </r>
  <r>
    <s v="15-May-2026"/>
    <x v="4"/>
    <s v="Week3-May-2026"/>
    <x v="8"/>
    <s v="30-Jun-2026"/>
    <s v="Tuesday"/>
    <s v="Monthly - Tuesday"/>
    <s v="Monthly - Tuesday"/>
    <s v="Month+1 Expiry"/>
    <n v="323782"/>
    <n v="50629.25"/>
    <n v="564.87"/>
  </r>
  <r>
    <s v="15-May-2026"/>
    <x v="4"/>
    <s v="Week3-May-2026"/>
    <x v="8"/>
    <s v="28-Jul-2026"/>
    <s v="Tuesday"/>
    <s v="Monthly - Tuesday"/>
    <s v="Monthly - Tuesday"/>
    <s v="Month+2 Expiry"/>
    <n v="34707"/>
    <n v="5394.27"/>
    <n v="90.61"/>
  </r>
  <r>
    <s v="15-May-2026"/>
    <x v="4"/>
    <s v="Week3-May-2026"/>
    <x v="8"/>
    <s v="29-Sep-2026"/>
    <s v="Tuesday"/>
    <s v="Monthly - Tuesday"/>
    <s v="Monthly - Tuesday"/>
    <s v="Month+4 Expiry"/>
    <n v="15380"/>
    <n v="2485.5300000000002"/>
    <n v="41.04"/>
  </r>
  <r>
    <s v="15-May-2026"/>
    <x v="4"/>
    <s v="Week3-May-2026"/>
    <x v="8"/>
    <s v="29-Dec-2026"/>
    <s v="Tuesday"/>
    <s v="Monthly - Tuesday"/>
    <s v="Monthly - Tuesday"/>
    <s v="Month+7 Expiry"/>
    <n v="27183"/>
    <n v="4383.07"/>
    <n v="134.25"/>
  </r>
  <r>
    <s v="15-May-2026"/>
    <x v="4"/>
    <s v="Week3-May-2026"/>
    <x v="8"/>
    <s v="30-Mar-2027"/>
    <s v="Tuesday"/>
    <s v="Monthly - Tuesday"/>
    <s v="Monthly - Tuesday"/>
    <s v="Month+10 Expiry"/>
    <n v="0"/>
    <n v="0"/>
    <n v="0"/>
  </r>
  <r>
    <s v="15-May-2026"/>
    <x v="4"/>
    <s v="Week3-May-2026"/>
    <x v="8"/>
    <s v="29-Jun-2027"/>
    <s v="Tuesday"/>
    <s v="Monthly - Tuesday"/>
    <s v="Monthly - Tuesday"/>
    <s v="Month+13 Expiry"/>
    <n v="0"/>
    <n v="0"/>
    <n v="0"/>
  </r>
  <r>
    <s v="15-May-2026"/>
    <x v="4"/>
    <s v="Week3-May-2026"/>
    <x v="8"/>
    <s v="28-Dec-2027"/>
    <s v="Tuesday"/>
    <s v="Monthly - Tuesday"/>
    <s v="Monthly - Tuesday"/>
    <s v="Month+19 Expiry"/>
    <n v="100"/>
    <n v="16.489999999999998"/>
    <n v="0.72"/>
  </r>
  <r>
    <s v="15-May-2026"/>
    <x v="4"/>
    <s v="Week3-May-2026"/>
    <x v="8"/>
    <s v="27-Jun-2028"/>
    <s v="Tuesday"/>
    <s v="Monthly - Tuesday"/>
    <s v="Monthly - Tuesday"/>
    <s v="Month+25 Expiry"/>
    <n v="0"/>
    <n v="0"/>
    <n v="0"/>
  </r>
  <r>
    <s v="15-May-2026"/>
    <x v="4"/>
    <s v="Week3-May-2026"/>
    <x v="8"/>
    <s v="26-Dec-2028"/>
    <s v="Tuesday"/>
    <s v="Monthly - Tuesday"/>
    <s v="Monthly - Tuesday"/>
    <s v="Month+31 Expiry"/>
    <n v="1"/>
    <n v="0.18"/>
    <n v="0.02"/>
  </r>
  <r>
    <s v="15-May-2026"/>
    <x v="4"/>
    <s v="Week3-May-2026"/>
    <x v="8"/>
    <s v="26-Jun-2029"/>
    <s v="Tuesday"/>
    <s v="Monthly - Tuesday"/>
    <s v="Monthly - Tuesday"/>
    <s v="Month+37 Expiry"/>
    <n v="2"/>
    <n v="0.32"/>
    <n v="0.01"/>
  </r>
  <r>
    <s v="15-May-2026"/>
    <x v="4"/>
    <s v="Week3-May-2026"/>
    <x v="8"/>
    <s v="24-Dec-2029"/>
    <s v="Monday"/>
    <s v="Weekly - Monday"/>
    <s v="Weekly - Monday"/>
    <s v="Month+43 Expiry"/>
    <n v="0"/>
    <n v="0"/>
    <n v="0"/>
  </r>
  <r>
    <s v="15-May-2026"/>
    <x v="4"/>
    <s v="Week3-May-2026"/>
    <x v="8"/>
    <s v="25-Jun-2030"/>
    <s v="Tuesday"/>
    <s v="Monthly - Tuesday"/>
    <s v="Monthly - Tuesday"/>
    <s v="Month+49 Expiry"/>
    <n v="0"/>
    <n v="0"/>
    <n v="0"/>
  </r>
  <r>
    <s v="15-May-2026"/>
    <x v="4"/>
    <s v="Week3-May-2026"/>
    <x v="8"/>
    <s v="31-Dec-2030"/>
    <s v="Tuesday"/>
    <s v="Monthly - Tuesday"/>
    <s v="Monthly - Tuesday"/>
    <s v="Month+55 Expiry"/>
    <n v="0"/>
    <n v="0"/>
    <n v="0"/>
  </r>
  <r>
    <s v="18-May-2026"/>
    <x v="0"/>
    <s v="Week3-May-2026"/>
    <x v="8"/>
    <s v="19-May-2026"/>
    <s v="Tuesday"/>
    <s v="Weekly - Tuesday"/>
    <s v="Weekly - Tuesday"/>
    <s v="Same Month Expiry"/>
    <n v="157173362"/>
    <n v="24123699.059999999"/>
    <n v="68139.740000000005"/>
  </r>
  <r>
    <s v="18-May-2026"/>
    <x v="0"/>
    <s v="Week3-May-2026"/>
    <x v="8"/>
    <s v="26-May-2026"/>
    <s v="Tuesday"/>
    <s v="Monthly - Tuesday"/>
    <s v="Monthly - Tuesday"/>
    <s v="Same Month Expiry"/>
    <n v="5888580"/>
    <n v="910183.97"/>
    <n v="5246.11"/>
  </r>
  <r>
    <s v="18-May-2026"/>
    <x v="0"/>
    <s v="Week3-May-2026"/>
    <x v="8"/>
    <s v="02-Jun-2026"/>
    <s v="Tuesday"/>
    <s v="Weekly - Tuesday"/>
    <s v="Weekly - Tuesday"/>
    <s v="Month+1 Expiry"/>
    <n v="317602"/>
    <n v="49568.07"/>
    <n v="308.95"/>
  </r>
  <r>
    <s v="18-May-2026"/>
    <x v="0"/>
    <s v="Week3-May-2026"/>
    <x v="8"/>
    <s v="09-Jun-2026"/>
    <s v="Tuesday"/>
    <s v="Weekly - Tuesday"/>
    <s v="Weekly - Tuesday"/>
    <s v="Month+1 Expiry"/>
    <n v="37348"/>
    <n v="5836.99"/>
    <n v="52.09"/>
  </r>
  <r>
    <s v="18-May-2026"/>
    <x v="0"/>
    <s v="Week3-May-2026"/>
    <x v="8"/>
    <s v="16-Jun-2026"/>
    <s v="Tuesday"/>
    <s v="Weekly - Tuesday"/>
    <s v="Weekly - Tuesday"/>
    <s v="Month+1 Expiry"/>
    <n v="4896"/>
    <n v="773.36"/>
    <n v="7.07"/>
  </r>
  <r>
    <s v="18-May-2026"/>
    <x v="0"/>
    <s v="Week3-May-2026"/>
    <x v="8"/>
    <s v="30-Jun-2026"/>
    <s v="Tuesday"/>
    <s v="Monthly - Tuesday"/>
    <s v="Monthly - Tuesday"/>
    <s v="Month+1 Expiry"/>
    <n v="543078"/>
    <n v="84934.54"/>
    <n v="940.14"/>
  </r>
  <r>
    <s v="18-May-2026"/>
    <x v="0"/>
    <s v="Week3-May-2026"/>
    <x v="8"/>
    <s v="28-Jul-2026"/>
    <s v="Tuesday"/>
    <s v="Monthly - Tuesday"/>
    <s v="Monthly - Tuesday"/>
    <s v="Month+2 Expiry"/>
    <n v="52249"/>
    <n v="8330.5499999999993"/>
    <n v="135.16999999999999"/>
  </r>
  <r>
    <s v="18-May-2026"/>
    <x v="0"/>
    <s v="Week3-May-2026"/>
    <x v="8"/>
    <s v="29-Sep-2026"/>
    <s v="Tuesday"/>
    <s v="Monthly - Tuesday"/>
    <s v="Monthly - Tuesday"/>
    <s v="Month+4 Expiry"/>
    <n v="17205"/>
    <n v="2768.34"/>
    <n v="54.95"/>
  </r>
  <r>
    <s v="18-May-2026"/>
    <x v="0"/>
    <s v="Week3-May-2026"/>
    <x v="8"/>
    <s v="29-Dec-2026"/>
    <s v="Tuesday"/>
    <s v="Monthly - Tuesday"/>
    <s v="Monthly - Tuesday"/>
    <s v="Month+7 Expiry"/>
    <n v="44266"/>
    <n v="7150.87"/>
    <n v="214.71"/>
  </r>
  <r>
    <s v="18-May-2026"/>
    <x v="0"/>
    <s v="Week3-May-2026"/>
    <x v="8"/>
    <s v="30-Mar-2027"/>
    <s v="Tuesday"/>
    <s v="Monthly - Tuesday"/>
    <s v="Monthly - Tuesday"/>
    <s v="Month+10 Expiry"/>
    <n v="4"/>
    <n v="0.55000000000000004"/>
    <n v="0.01"/>
  </r>
  <r>
    <s v="18-May-2026"/>
    <x v="0"/>
    <s v="Week3-May-2026"/>
    <x v="8"/>
    <s v="29-Jun-2027"/>
    <s v="Tuesday"/>
    <s v="Monthly - Tuesday"/>
    <s v="Monthly - Tuesday"/>
    <s v="Month+13 Expiry"/>
    <n v="6"/>
    <n v="0.83"/>
    <n v="0.02"/>
  </r>
  <r>
    <s v="18-May-2026"/>
    <x v="0"/>
    <s v="Week3-May-2026"/>
    <x v="8"/>
    <s v="28-Dec-2027"/>
    <s v="Tuesday"/>
    <s v="Monthly - Tuesday"/>
    <s v="Monthly - Tuesday"/>
    <s v="Month+19 Expiry"/>
    <n v="555"/>
    <n v="94.35"/>
    <n v="3.53"/>
  </r>
  <r>
    <s v="18-May-2026"/>
    <x v="0"/>
    <s v="Week3-May-2026"/>
    <x v="8"/>
    <s v="27-Jun-2028"/>
    <s v="Tuesday"/>
    <s v="Monthly - Tuesday"/>
    <s v="Monthly - Tuesday"/>
    <s v="Month+25 Expiry"/>
    <n v="0"/>
    <n v="0"/>
    <n v="0"/>
  </r>
  <r>
    <s v="18-May-2026"/>
    <x v="0"/>
    <s v="Week3-May-2026"/>
    <x v="8"/>
    <s v="26-Dec-2028"/>
    <s v="Tuesday"/>
    <s v="Monthly - Tuesday"/>
    <s v="Monthly - Tuesday"/>
    <s v="Month+31 Expiry"/>
    <n v="9"/>
    <n v="1.63"/>
    <n v="0.11"/>
  </r>
  <r>
    <s v="18-May-2026"/>
    <x v="0"/>
    <s v="Week3-May-2026"/>
    <x v="8"/>
    <s v="26-Jun-2029"/>
    <s v="Tuesday"/>
    <s v="Monthly - Tuesday"/>
    <s v="Monthly - Tuesday"/>
    <s v="Month+37 Expiry"/>
    <n v="0"/>
    <n v="0"/>
    <n v="0"/>
  </r>
  <r>
    <s v="18-May-2026"/>
    <x v="0"/>
    <s v="Week3-May-2026"/>
    <x v="8"/>
    <s v="24-Dec-2029"/>
    <s v="Monday"/>
    <s v="Weekly - Monday"/>
    <s v="Weekly - Monday"/>
    <s v="Month+43 Expiry"/>
    <n v="0"/>
    <n v="0"/>
    <n v="0"/>
  </r>
  <r>
    <s v="18-May-2026"/>
    <x v="0"/>
    <s v="Week3-May-2026"/>
    <x v="8"/>
    <s v="25-Jun-2030"/>
    <s v="Tuesday"/>
    <s v="Monthly - Tuesday"/>
    <s v="Monthly - Tuesday"/>
    <s v="Month+49 Expiry"/>
    <n v="0"/>
    <n v="0"/>
    <n v="0"/>
  </r>
  <r>
    <s v="18-May-2026"/>
    <x v="0"/>
    <s v="Week3-May-2026"/>
    <x v="8"/>
    <s v="31-Dec-2030"/>
    <s v="Tuesday"/>
    <s v="Monthly - Tuesday"/>
    <s v="Monthly - Tuesday"/>
    <s v="Month+55 Expiry"/>
    <n v="0"/>
    <n v="0"/>
    <n v="0"/>
  </r>
  <r>
    <s v="19-May-2026"/>
    <x v="1"/>
    <s v="Week3-May-2026"/>
    <x v="8"/>
    <s v="19-May-2026"/>
    <s v="Tuesday"/>
    <s v="Weekly - Tuesday"/>
    <s v="Weekly - Tuesday"/>
    <s v="Same Month Expiry"/>
    <n v="405798611"/>
    <n v="62507790.939999998"/>
    <n v="65401.19"/>
  </r>
  <r>
    <s v="19-May-2026"/>
    <x v="1"/>
    <s v="Week3-May-2026"/>
    <x v="8"/>
    <s v="26-May-2026"/>
    <s v="Tuesday"/>
    <s v="Monthly - Tuesday"/>
    <s v="Monthly - Tuesday"/>
    <s v="Same Month Expiry"/>
    <n v="10359223"/>
    <n v="1599042.84"/>
    <n v="6786.9"/>
  </r>
  <r>
    <s v="19-May-2026"/>
    <x v="1"/>
    <s v="Week3-May-2026"/>
    <x v="8"/>
    <s v="02-Jun-2026"/>
    <s v="Tuesday"/>
    <s v="Weekly - Tuesday"/>
    <s v="Weekly - Tuesday"/>
    <s v="Month+1 Expiry"/>
    <n v="377922"/>
    <n v="58629.06"/>
    <n v="341.76"/>
  </r>
  <r>
    <s v="19-May-2026"/>
    <x v="1"/>
    <s v="Week3-May-2026"/>
    <x v="8"/>
    <s v="09-Jun-2026"/>
    <s v="Tuesday"/>
    <s v="Weekly - Tuesday"/>
    <s v="Weekly - Tuesday"/>
    <s v="Month+1 Expiry"/>
    <n v="47256"/>
    <n v="7315.32"/>
    <n v="59.98"/>
  </r>
  <r>
    <s v="19-May-2026"/>
    <x v="1"/>
    <s v="Week3-May-2026"/>
    <x v="8"/>
    <s v="16-Jun-2026"/>
    <s v="Tuesday"/>
    <s v="Weekly - Tuesday"/>
    <s v="Weekly - Tuesday"/>
    <s v="Month+1 Expiry"/>
    <n v="6743"/>
    <n v="1056.3900000000001"/>
    <n v="8.0399999999999991"/>
  </r>
  <r>
    <s v="19-May-2026"/>
    <x v="1"/>
    <s v="Week3-May-2026"/>
    <x v="8"/>
    <s v="30-Jun-2026"/>
    <s v="Tuesday"/>
    <s v="Monthly - Tuesday"/>
    <s v="Monthly - Tuesday"/>
    <s v="Month+1 Expiry"/>
    <n v="366093"/>
    <n v="57300.38"/>
    <n v="686.84"/>
  </r>
  <r>
    <s v="19-May-2026"/>
    <x v="1"/>
    <s v="Week3-May-2026"/>
    <x v="8"/>
    <s v="28-Jul-2026"/>
    <s v="Tuesday"/>
    <s v="Monthly - Tuesday"/>
    <s v="Monthly - Tuesday"/>
    <s v="Month+2 Expiry"/>
    <n v="27688"/>
    <n v="4390.84"/>
    <n v="80.27"/>
  </r>
  <r>
    <s v="19-May-2026"/>
    <x v="1"/>
    <s v="Week3-May-2026"/>
    <x v="8"/>
    <s v="29-Sep-2026"/>
    <s v="Tuesday"/>
    <s v="Monthly - Tuesday"/>
    <s v="Monthly - Tuesday"/>
    <s v="Month+4 Expiry"/>
    <n v="13657"/>
    <n v="2244.5"/>
    <n v="47.57"/>
  </r>
  <r>
    <s v="19-May-2026"/>
    <x v="1"/>
    <s v="Week3-May-2026"/>
    <x v="8"/>
    <s v="29-Dec-2026"/>
    <s v="Tuesday"/>
    <s v="Monthly - Tuesday"/>
    <s v="Monthly - Tuesday"/>
    <s v="Month+7 Expiry"/>
    <n v="23880"/>
    <n v="3833.84"/>
    <n v="111.99"/>
  </r>
  <r>
    <s v="19-May-2026"/>
    <x v="1"/>
    <s v="Week3-May-2026"/>
    <x v="8"/>
    <s v="30-Mar-2027"/>
    <s v="Tuesday"/>
    <s v="Monthly - Tuesday"/>
    <s v="Monthly - Tuesday"/>
    <s v="Month+10 Expiry"/>
    <n v="0"/>
    <n v="0"/>
    <n v="0"/>
  </r>
  <r>
    <s v="19-May-2026"/>
    <x v="1"/>
    <s v="Week3-May-2026"/>
    <x v="8"/>
    <s v="29-Jun-2027"/>
    <s v="Tuesday"/>
    <s v="Monthly - Tuesday"/>
    <s v="Monthly - Tuesday"/>
    <s v="Month+13 Expiry"/>
    <n v="1"/>
    <n v="0.17"/>
    <n v="0.02"/>
  </r>
  <r>
    <s v="19-May-2026"/>
    <x v="1"/>
    <s v="Week3-May-2026"/>
    <x v="8"/>
    <s v="28-Dec-2027"/>
    <s v="Tuesday"/>
    <s v="Monthly - Tuesday"/>
    <s v="Monthly - Tuesday"/>
    <s v="Month+19 Expiry"/>
    <n v="250"/>
    <n v="46.66"/>
    <n v="1.43"/>
  </r>
  <r>
    <s v="19-May-2026"/>
    <x v="1"/>
    <s v="Week3-May-2026"/>
    <x v="8"/>
    <s v="27-Jun-2028"/>
    <s v="Tuesday"/>
    <s v="Monthly - Tuesday"/>
    <s v="Monthly - Tuesday"/>
    <s v="Month+25 Expiry"/>
    <n v="0"/>
    <n v="0"/>
    <n v="0"/>
  </r>
  <r>
    <s v="19-May-2026"/>
    <x v="1"/>
    <s v="Week3-May-2026"/>
    <x v="8"/>
    <s v="26-Dec-2028"/>
    <s v="Tuesday"/>
    <s v="Monthly - Tuesday"/>
    <s v="Monthly - Tuesday"/>
    <s v="Month+31 Expiry"/>
    <n v="2"/>
    <n v="0.34"/>
    <n v="0.01"/>
  </r>
  <r>
    <s v="19-May-2026"/>
    <x v="1"/>
    <s v="Week3-May-2026"/>
    <x v="8"/>
    <s v="26-Jun-2029"/>
    <s v="Tuesday"/>
    <s v="Monthly - Tuesday"/>
    <s v="Monthly - Tuesday"/>
    <s v="Month+37 Expiry"/>
    <n v="0"/>
    <n v="0"/>
    <n v="0"/>
  </r>
  <r>
    <s v="19-May-2026"/>
    <x v="1"/>
    <s v="Week3-May-2026"/>
    <x v="8"/>
    <s v="24-Dec-2029"/>
    <s v="Monday"/>
    <s v="Weekly - Monday"/>
    <s v="Weekly - Monday"/>
    <s v="Month+43 Expiry"/>
    <n v="1"/>
    <n v="0.18"/>
    <n v="0.01"/>
  </r>
  <r>
    <s v="19-May-2026"/>
    <x v="1"/>
    <s v="Week3-May-2026"/>
    <x v="8"/>
    <s v="25-Jun-2030"/>
    <s v="Tuesday"/>
    <s v="Monthly - Tuesday"/>
    <s v="Monthly - Tuesday"/>
    <s v="Month+49 Expiry"/>
    <n v="0"/>
    <n v="0"/>
    <n v="0"/>
  </r>
  <r>
    <s v="19-May-2026"/>
    <x v="1"/>
    <s v="Week3-May-2026"/>
    <x v="8"/>
    <s v="31-Dec-2030"/>
    <s v="Tuesday"/>
    <s v="Monthly - Tuesday"/>
    <s v="Monthly - Tuesday"/>
    <s v="Month+55 Expiry"/>
    <n v="0"/>
    <n v="0"/>
    <n v="0"/>
  </r>
  <r>
    <s v="20-May-2026"/>
    <x v="2"/>
    <s v="Week3-May-2026"/>
    <x v="8"/>
    <s v="26-May-2026"/>
    <s v="Tuesday"/>
    <s v="Monthly - Tuesday"/>
    <s v="MDAW - Tuesday"/>
    <s v="Same Month Expiry"/>
    <n v="42783477"/>
    <n v="6589713.79"/>
    <n v="34202.959999999999"/>
  </r>
  <r>
    <s v="20-May-2026"/>
    <x v="2"/>
    <s v="Week3-May-2026"/>
    <x v="8"/>
    <s v="02-Jun-2026"/>
    <s v="Tuesday"/>
    <s v="Weekly - Tuesday"/>
    <s v="Weekly - Tuesday"/>
    <s v="Month+1 Expiry"/>
    <n v="994982"/>
    <n v="154162.81"/>
    <n v="956.19"/>
  </r>
  <r>
    <s v="20-May-2026"/>
    <x v="2"/>
    <s v="Week3-May-2026"/>
    <x v="8"/>
    <s v="09-Jun-2026"/>
    <s v="Tuesday"/>
    <s v="Weekly - Tuesday"/>
    <s v="Weekly - Tuesday"/>
    <s v="Month+1 Expiry"/>
    <n v="76313"/>
    <n v="11817.32"/>
    <n v="90.6"/>
  </r>
  <r>
    <s v="20-May-2026"/>
    <x v="2"/>
    <s v="Week3-May-2026"/>
    <x v="8"/>
    <s v="16-Jun-2026"/>
    <s v="Tuesday"/>
    <s v="Weekly - Tuesday"/>
    <s v="Weekly - Tuesday"/>
    <s v="Month+1 Expiry"/>
    <n v="14259"/>
    <n v="2222.98"/>
    <n v="31.05"/>
  </r>
  <r>
    <s v="20-May-2026"/>
    <x v="2"/>
    <s v="Week3-May-2026"/>
    <x v="8"/>
    <s v="23-Jun-2026"/>
    <s v="Tuesday"/>
    <s v="Weekly - Tuesday"/>
    <s v="Weekly - Tuesday"/>
    <s v="Month+1 Expiry"/>
    <n v="5595"/>
    <n v="876.86"/>
    <n v="16.72"/>
  </r>
  <r>
    <s v="20-May-2026"/>
    <x v="2"/>
    <s v="Week3-May-2026"/>
    <x v="8"/>
    <s v="30-Jun-2026"/>
    <s v="Tuesday"/>
    <s v="Monthly - Tuesday"/>
    <s v="Monthly - Tuesday"/>
    <s v="Month+1 Expiry"/>
    <n v="522738"/>
    <n v="82101.11"/>
    <n v="1080.8699999999999"/>
  </r>
  <r>
    <s v="20-May-2026"/>
    <x v="2"/>
    <s v="Week3-May-2026"/>
    <x v="8"/>
    <s v="28-Jul-2026"/>
    <s v="Tuesday"/>
    <s v="Monthly - Tuesday"/>
    <s v="Monthly - Tuesday"/>
    <s v="Month+2 Expiry"/>
    <n v="34396"/>
    <n v="5429.27"/>
    <n v="80.75"/>
  </r>
  <r>
    <s v="20-May-2026"/>
    <x v="2"/>
    <s v="Week3-May-2026"/>
    <x v="8"/>
    <s v="29-Sep-2026"/>
    <s v="Tuesday"/>
    <s v="Monthly - Tuesday"/>
    <s v="Monthly - Tuesday"/>
    <s v="Month+4 Expiry"/>
    <n v="17433"/>
    <n v="2925.01"/>
    <n v="47.97"/>
  </r>
  <r>
    <s v="20-May-2026"/>
    <x v="2"/>
    <s v="Week3-May-2026"/>
    <x v="8"/>
    <s v="29-Dec-2026"/>
    <s v="Tuesday"/>
    <s v="Monthly - Tuesday"/>
    <s v="Monthly - Tuesday"/>
    <s v="Month+7 Expiry"/>
    <n v="25923"/>
    <n v="4283.28"/>
    <n v="106.12"/>
  </r>
  <r>
    <s v="20-May-2026"/>
    <x v="2"/>
    <s v="Week3-May-2026"/>
    <x v="8"/>
    <s v="30-Mar-2027"/>
    <s v="Tuesday"/>
    <s v="Monthly - Tuesday"/>
    <s v="Monthly - Tuesday"/>
    <s v="Month+10 Expiry"/>
    <n v="3"/>
    <n v="0.42"/>
    <n v="0.01"/>
  </r>
  <r>
    <s v="20-May-2026"/>
    <x v="2"/>
    <s v="Week3-May-2026"/>
    <x v="8"/>
    <s v="29-Jun-2027"/>
    <s v="Tuesday"/>
    <s v="Monthly - Tuesday"/>
    <s v="Monthly - Tuesday"/>
    <s v="Month+13 Expiry"/>
    <n v="0"/>
    <n v="0"/>
    <n v="0"/>
  </r>
  <r>
    <s v="20-May-2026"/>
    <x v="2"/>
    <s v="Week3-May-2026"/>
    <x v="8"/>
    <s v="28-Dec-2027"/>
    <s v="Tuesday"/>
    <s v="Monthly - Tuesday"/>
    <s v="Monthly - Tuesday"/>
    <s v="Month+19 Expiry"/>
    <n v="238"/>
    <n v="39.99"/>
    <n v="1.9"/>
  </r>
  <r>
    <s v="20-May-2026"/>
    <x v="2"/>
    <s v="Week3-May-2026"/>
    <x v="8"/>
    <s v="27-Jun-2028"/>
    <s v="Tuesday"/>
    <s v="Monthly - Tuesday"/>
    <s v="Monthly - Tuesday"/>
    <s v="Month+25 Expiry"/>
    <n v="0"/>
    <n v="0"/>
    <n v="0"/>
  </r>
  <r>
    <s v="20-May-2026"/>
    <x v="2"/>
    <s v="Week3-May-2026"/>
    <x v="8"/>
    <s v="26-Dec-2028"/>
    <s v="Tuesday"/>
    <s v="Monthly - Tuesday"/>
    <s v="Monthly - Tuesday"/>
    <s v="Month+31 Expiry"/>
    <n v="25"/>
    <n v="4.8899999999999997"/>
    <n v="0.34"/>
  </r>
  <r>
    <s v="20-May-2026"/>
    <x v="2"/>
    <s v="Week3-May-2026"/>
    <x v="8"/>
    <s v="26-Jun-2029"/>
    <s v="Tuesday"/>
    <s v="Monthly - Tuesday"/>
    <s v="Monthly - Tuesday"/>
    <s v="Month+37 Expiry"/>
    <n v="0"/>
    <n v="0"/>
    <n v="0"/>
  </r>
  <r>
    <s v="20-May-2026"/>
    <x v="2"/>
    <s v="Week3-May-2026"/>
    <x v="8"/>
    <s v="24-Dec-2029"/>
    <s v="Monday"/>
    <s v="Weekly - Monday"/>
    <s v="Weekly - Monday"/>
    <s v="Month+43 Expiry"/>
    <n v="0"/>
    <n v="0"/>
    <n v="0"/>
  </r>
  <r>
    <s v="20-May-2026"/>
    <x v="2"/>
    <s v="Week3-May-2026"/>
    <x v="8"/>
    <s v="25-Jun-2030"/>
    <s v="Tuesday"/>
    <s v="Monthly - Tuesday"/>
    <s v="Monthly - Tuesday"/>
    <s v="Month+49 Expiry"/>
    <n v="0"/>
    <n v="0"/>
    <n v="0"/>
  </r>
  <r>
    <s v="20-May-2026"/>
    <x v="2"/>
    <s v="Week3-May-2026"/>
    <x v="8"/>
    <s v="31-Dec-2030"/>
    <s v="Tuesday"/>
    <s v="Monthly - Tuesday"/>
    <s v="Monthly - Tuesday"/>
    <s v="Month+55 Expiry"/>
    <n v="0"/>
    <n v="0"/>
    <n v="0"/>
  </r>
  <r>
    <s v="21-May-2026"/>
    <x v="3"/>
    <s v="Week3-May-2026"/>
    <x v="8"/>
    <s v="26-May-2026"/>
    <s v="Tuesday"/>
    <s v="Monthly - Tuesday"/>
    <s v="MDAW - Tuesday"/>
    <s v="Same Month Expiry"/>
    <n v="46292778"/>
    <n v="7140966.1799999997"/>
    <n v="28765.98"/>
  </r>
  <r>
    <s v="21-May-2026"/>
    <x v="3"/>
    <s v="Week3-May-2026"/>
    <x v="8"/>
    <s v="02-Jun-2026"/>
    <s v="Tuesday"/>
    <s v="Weekly - Tuesday"/>
    <s v="Weekly - Tuesday"/>
    <s v="Month+1 Expiry"/>
    <n v="1535052"/>
    <n v="236879.16"/>
    <n v="1246.73"/>
  </r>
  <r>
    <s v="21-May-2026"/>
    <x v="3"/>
    <s v="Week3-May-2026"/>
    <x v="8"/>
    <s v="09-Jun-2026"/>
    <s v="Tuesday"/>
    <s v="Weekly - Tuesday"/>
    <s v="Weekly - Tuesday"/>
    <s v="Month+1 Expiry"/>
    <n v="111043"/>
    <n v="17156.25"/>
    <n v="115.86"/>
  </r>
  <r>
    <s v="21-May-2026"/>
    <x v="3"/>
    <s v="Week3-May-2026"/>
    <x v="8"/>
    <s v="16-Jun-2026"/>
    <s v="Tuesday"/>
    <s v="Weekly - Tuesday"/>
    <s v="Weekly - Tuesday"/>
    <s v="Month+1 Expiry"/>
    <n v="14458"/>
    <n v="2253.42"/>
    <n v="22.05"/>
  </r>
  <r>
    <s v="21-May-2026"/>
    <x v="3"/>
    <s v="Week3-May-2026"/>
    <x v="8"/>
    <s v="23-Jun-2026"/>
    <s v="Tuesday"/>
    <s v="Weekly - Tuesday"/>
    <s v="Weekly - Tuesday"/>
    <s v="Month+1 Expiry"/>
    <n v="2817"/>
    <n v="442.16"/>
    <n v="5.75"/>
  </r>
  <r>
    <s v="21-May-2026"/>
    <x v="3"/>
    <s v="Week3-May-2026"/>
    <x v="8"/>
    <s v="30-Jun-2026"/>
    <s v="Tuesday"/>
    <s v="Monthly - Tuesday"/>
    <s v="Monthly - Tuesday"/>
    <s v="Month+1 Expiry"/>
    <n v="524766"/>
    <n v="81790.75"/>
    <n v="1008.11"/>
  </r>
  <r>
    <s v="21-May-2026"/>
    <x v="3"/>
    <s v="Week3-May-2026"/>
    <x v="8"/>
    <s v="28-Jul-2026"/>
    <s v="Tuesday"/>
    <s v="Monthly - Tuesday"/>
    <s v="Monthly - Tuesday"/>
    <s v="Month+2 Expiry"/>
    <n v="34458"/>
    <n v="5440.64"/>
    <n v="90.91"/>
  </r>
  <r>
    <s v="21-May-2026"/>
    <x v="3"/>
    <s v="Week3-May-2026"/>
    <x v="8"/>
    <s v="29-Sep-2026"/>
    <s v="Tuesday"/>
    <s v="Monthly - Tuesday"/>
    <s v="Monthly - Tuesday"/>
    <s v="Month+4 Expiry"/>
    <n v="19228"/>
    <n v="3191.45"/>
    <n v="61.16"/>
  </r>
  <r>
    <s v="21-May-2026"/>
    <x v="3"/>
    <s v="Week3-May-2026"/>
    <x v="8"/>
    <s v="29-Dec-2026"/>
    <s v="Tuesday"/>
    <s v="Monthly - Tuesday"/>
    <s v="Monthly - Tuesday"/>
    <s v="Month+7 Expiry"/>
    <n v="23001"/>
    <n v="3769.14"/>
    <n v="90.74"/>
  </r>
  <r>
    <s v="21-May-2026"/>
    <x v="3"/>
    <s v="Week3-May-2026"/>
    <x v="8"/>
    <s v="30-Mar-2027"/>
    <s v="Tuesday"/>
    <s v="Monthly - Tuesday"/>
    <s v="Monthly - Tuesday"/>
    <s v="Month+10 Expiry"/>
    <n v="0"/>
    <n v="0"/>
    <n v="0"/>
  </r>
  <r>
    <s v="21-May-2026"/>
    <x v="3"/>
    <s v="Week3-May-2026"/>
    <x v="8"/>
    <s v="29-Jun-2027"/>
    <s v="Tuesday"/>
    <s v="Monthly - Tuesday"/>
    <s v="Monthly - Tuesday"/>
    <s v="Month+13 Expiry"/>
    <n v="3"/>
    <n v="0.51"/>
    <n v="0.05"/>
  </r>
  <r>
    <s v="21-May-2026"/>
    <x v="3"/>
    <s v="Week3-May-2026"/>
    <x v="8"/>
    <s v="28-Dec-2027"/>
    <s v="Tuesday"/>
    <s v="Monthly - Tuesday"/>
    <s v="Monthly - Tuesday"/>
    <s v="Month+19 Expiry"/>
    <n v="195"/>
    <n v="34.020000000000003"/>
    <n v="1.77"/>
  </r>
  <r>
    <s v="21-May-2026"/>
    <x v="3"/>
    <s v="Week3-May-2026"/>
    <x v="8"/>
    <s v="27-Jun-2028"/>
    <s v="Tuesday"/>
    <s v="Monthly - Tuesday"/>
    <s v="Monthly - Tuesday"/>
    <s v="Month+25 Expiry"/>
    <n v="0"/>
    <n v="0"/>
    <n v="0"/>
  </r>
  <r>
    <s v="21-May-2026"/>
    <x v="3"/>
    <s v="Week3-May-2026"/>
    <x v="8"/>
    <s v="26-Dec-2028"/>
    <s v="Tuesday"/>
    <s v="Monthly - Tuesday"/>
    <s v="Monthly - Tuesday"/>
    <s v="Month+31 Expiry"/>
    <n v="1"/>
    <n v="0.16"/>
    <n v="0.01"/>
  </r>
  <r>
    <s v="21-May-2026"/>
    <x v="3"/>
    <s v="Week3-May-2026"/>
    <x v="8"/>
    <s v="26-Jun-2029"/>
    <s v="Tuesday"/>
    <s v="Monthly - Tuesday"/>
    <s v="Monthly - Tuesday"/>
    <s v="Month+37 Expiry"/>
    <n v="0"/>
    <n v="0"/>
    <n v="0"/>
  </r>
  <r>
    <s v="21-May-2026"/>
    <x v="3"/>
    <s v="Week3-May-2026"/>
    <x v="8"/>
    <s v="24-Dec-2029"/>
    <s v="Monday"/>
    <s v="Weekly - Monday"/>
    <s v="Weekly - Monday"/>
    <s v="Month+43 Expiry"/>
    <n v="0"/>
    <n v="0"/>
    <n v="0"/>
  </r>
  <r>
    <s v="21-May-2026"/>
    <x v="3"/>
    <s v="Week3-May-2026"/>
    <x v="8"/>
    <s v="25-Jun-2030"/>
    <s v="Tuesday"/>
    <s v="Monthly - Tuesday"/>
    <s v="Monthly - Tuesday"/>
    <s v="Month+49 Expiry"/>
    <n v="0"/>
    <n v="0"/>
    <n v="0"/>
  </r>
  <r>
    <s v="21-May-2026"/>
    <x v="3"/>
    <s v="Week3-May-2026"/>
    <x v="8"/>
    <s v="31-Dec-2030"/>
    <s v="Tuesday"/>
    <s v="Monthly - Tuesday"/>
    <s v="Monthly - Tuesday"/>
    <s v="Month+55 Expiry"/>
    <n v="0"/>
    <n v="0"/>
    <n v="0"/>
  </r>
  <r>
    <s v="22-May-2026"/>
    <x v="4"/>
    <s v="Week4-May-2026"/>
    <x v="8"/>
    <s v="26-May-2026"/>
    <s v="Tuesday"/>
    <s v="Monthly - Tuesday"/>
    <s v="MDAW - Tuesday"/>
    <s v="Same Month Expiry"/>
    <n v="73259021"/>
    <n v="11340222.4"/>
    <n v="42502.67"/>
  </r>
  <r>
    <s v="22-May-2026"/>
    <x v="4"/>
    <s v="Week4-May-2026"/>
    <x v="8"/>
    <s v="02-Jun-2026"/>
    <s v="Tuesday"/>
    <s v="Weekly - Tuesday"/>
    <s v="Weekly - Tuesday"/>
    <s v="Month+1 Expiry"/>
    <n v="2219775"/>
    <n v="343428.78"/>
    <n v="1645.78"/>
  </r>
  <r>
    <s v="22-May-2026"/>
    <x v="4"/>
    <s v="Week4-May-2026"/>
    <x v="8"/>
    <s v="09-Jun-2026"/>
    <s v="Tuesday"/>
    <s v="Weekly - Tuesday"/>
    <s v="Weekly - Tuesday"/>
    <s v="Month+1 Expiry"/>
    <n v="153759"/>
    <n v="23844.45"/>
    <n v="146.18"/>
  </r>
  <r>
    <s v="22-May-2026"/>
    <x v="4"/>
    <s v="Week4-May-2026"/>
    <x v="8"/>
    <s v="16-Jun-2026"/>
    <s v="Tuesday"/>
    <s v="Weekly - Tuesday"/>
    <s v="Weekly - Tuesday"/>
    <s v="Month+1 Expiry"/>
    <n v="18628"/>
    <n v="2911.19"/>
    <n v="29.1"/>
  </r>
  <r>
    <s v="22-May-2026"/>
    <x v="4"/>
    <s v="Week4-May-2026"/>
    <x v="8"/>
    <s v="23-Jun-2026"/>
    <s v="Tuesday"/>
    <s v="Weekly - Tuesday"/>
    <s v="Weekly - Tuesday"/>
    <s v="Month+1 Expiry"/>
    <n v="3431"/>
    <n v="534.14"/>
    <n v="6.02"/>
  </r>
  <r>
    <s v="22-May-2026"/>
    <x v="4"/>
    <s v="Week4-May-2026"/>
    <x v="8"/>
    <s v="30-Jun-2026"/>
    <s v="Tuesday"/>
    <s v="Monthly - Tuesday"/>
    <s v="Monthly - Tuesday"/>
    <s v="Month+1 Expiry"/>
    <n v="660904"/>
    <n v="104026.94"/>
    <n v="1461.17"/>
  </r>
  <r>
    <s v="22-May-2026"/>
    <x v="4"/>
    <s v="Week4-May-2026"/>
    <x v="8"/>
    <s v="28-Jul-2026"/>
    <s v="Tuesday"/>
    <s v="Monthly - Tuesday"/>
    <s v="Monthly - Tuesday"/>
    <s v="Month+2 Expiry"/>
    <n v="51012"/>
    <n v="8089.23"/>
    <n v="127.48"/>
  </r>
  <r>
    <s v="22-May-2026"/>
    <x v="4"/>
    <s v="Week4-May-2026"/>
    <x v="8"/>
    <s v="29-Sep-2026"/>
    <s v="Tuesday"/>
    <s v="Monthly - Tuesday"/>
    <s v="Monthly - Tuesday"/>
    <s v="Month+4 Expiry"/>
    <n v="14349"/>
    <n v="2323.5700000000002"/>
    <n v="34.770000000000003"/>
  </r>
  <r>
    <s v="22-May-2026"/>
    <x v="4"/>
    <s v="Week4-May-2026"/>
    <x v="8"/>
    <s v="29-Dec-2026"/>
    <s v="Tuesday"/>
    <s v="Monthly - Tuesday"/>
    <s v="Monthly - Tuesday"/>
    <s v="Month+7 Expiry"/>
    <n v="27632"/>
    <n v="4409.74"/>
    <n v="110.12"/>
  </r>
  <r>
    <s v="22-May-2026"/>
    <x v="4"/>
    <s v="Week4-May-2026"/>
    <x v="8"/>
    <s v="30-Mar-2027"/>
    <s v="Tuesday"/>
    <s v="Monthly - Tuesday"/>
    <s v="Monthly - Tuesday"/>
    <s v="Month+10 Expiry"/>
    <n v="1"/>
    <n v="0.18"/>
    <n v="0"/>
  </r>
  <r>
    <s v="22-May-2026"/>
    <x v="4"/>
    <s v="Week4-May-2026"/>
    <x v="8"/>
    <s v="29-Jun-2027"/>
    <s v="Tuesday"/>
    <s v="Monthly - Tuesday"/>
    <s v="Monthly - Tuesday"/>
    <s v="Month+13 Expiry"/>
    <n v="0"/>
    <n v="0"/>
    <n v="0"/>
  </r>
  <r>
    <s v="22-May-2026"/>
    <x v="4"/>
    <s v="Week4-May-2026"/>
    <x v="8"/>
    <s v="28-Dec-2027"/>
    <s v="Tuesday"/>
    <s v="Monthly - Tuesday"/>
    <s v="Monthly - Tuesday"/>
    <s v="Month+19 Expiry"/>
    <n v="166"/>
    <n v="27.48"/>
    <n v="1.32"/>
  </r>
  <r>
    <s v="22-May-2026"/>
    <x v="4"/>
    <s v="Week4-May-2026"/>
    <x v="8"/>
    <s v="27-Jun-2028"/>
    <s v="Tuesday"/>
    <s v="Monthly - Tuesday"/>
    <s v="Monthly - Tuesday"/>
    <s v="Month+25 Expiry"/>
    <n v="0"/>
    <n v="0"/>
    <n v="0"/>
  </r>
  <r>
    <s v="22-May-2026"/>
    <x v="4"/>
    <s v="Week4-May-2026"/>
    <x v="8"/>
    <s v="26-Dec-2028"/>
    <s v="Tuesday"/>
    <s v="Monthly - Tuesday"/>
    <s v="Monthly - Tuesday"/>
    <s v="Month+31 Expiry"/>
    <n v="2"/>
    <n v="0.33"/>
    <n v="0.01"/>
  </r>
  <r>
    <s v="22-May-2026"/>
    <x v="4"/>
    <s v="Week4-May-2026"/>
    <x v="8"/>
    <s v="26-Jun-2029"/>
    <s v="Tuesday"/>
    <s v="Monthly - Tuesday"/>
    <s v="Monthly - Tuesday"/>
    <s v="Month+37 Expiry"/>
    <n v="0"/>
    <n v="0"/>
    <n v="0"/>
  </r>
  <r>
    <s v="22-May-2026"/>
    <x v="4"/>
    <s v="Week4-May-2026"/>
    <x v="8"/>
    <s v="24-Dec-2029"/>
    <s v="Monday"/>
    <s v="Weekly - Monday"/>
    <s v="Weekly - Monday"/>
    <s v="Month+43 Expiry"/>
    <n v="0"/>
    <n v="0"/>
    <n v="0"/>
  </r>
  <r>
    <s v="22-May-2026"/>
    <x v="4"/>
    <s v="Week4-May-2026"/>
    <x v="8"/>
    <s v="25-Jun-2030"/>
    <s v="Tuesday"/>
    <s v="Monthly - Tuesday"/>
    <s v="Monthly - Tuesday"/>
    <s v="Month+49 Expiry"/>
    <n v="0"/>
    <n v="0"/>
    <n v="0"/>
  </r>
  <r>
    <s v="22-May-2026"/>
    <x v="4"/>
    <s v="Week4-May-2026"/>
    <x v="8"/>
    <s v="31-Dec-2030"/>
    <s v="Tuesday"/>
    <s v="Monthly - Tuesday"/>
    <s v="Monthly - Tuesday"/>
    <s v="Month+55 Expiry"/>
    <n v="1"/>
    <n v="0.14000000000000001"/>
    <n v="0"/>
  </r>
  <r>
    <s v="25-May-2026"/>
    <x v="0"/>
    <s v="Week4-May-2026"/>
    <x v="8"/>
    <s v="26-May-2026"/>
    <s v="Tuesday"/>
    <s v="Monthly - Tuesday"/>
    <s v="MDAW - Tuesday"/>
    <s v="Same Month Expiry"/>
    <n v="99043320"/>
    <n v="15437529.199999999"/>
    <n v="36691.96"/>
  </r>
  <r>
    <s v="25-May-2026"/>
    <x v="0"/>
    <s v="Week4-May-2026"/>
    <x v="8"/>
    <s v="02-Jun-2026"/>
    <s v="Tuesday"/>
    <s v="Weekly - Tuesday"/>
    <s v="Weekly - Tuesday"/>
    <s v="Month+1 Expiry"/>
    <n v="4503505"/>
    <n v="700449.32"/>
    <n v="2824.38"/>
  </r>
  <r>
    <s v="25-May-2026"/>
    <x v="0"/>
    <s v="Week4-May-2026"/>
    <x v="8"/>
    <s v="09-Jun-2026"/>
    <s v="Tuesday"/>
    <s v="Weekly - Tuesday"/>
    <s v="Weekly - Tuesday"/>
    <s v="Month+1 Expiry"/>
    <n v="358422"/>
    <n v="55819.96"/>
    <n v="269.19"/>
  </r>
  <r>
    <s v="25-May-2026"/>
    <x v="0"/>
    <s v="Week4-May-2026"/>
    <x v="8"/>
    <s v="16-Jun-2026"/>
    <s v="Tuesday"/>
    <s v="Weekly - Tuesday"/>
    <s v="Weekly - Tuesday"/>
    <s v="Month+1 Expiry"/>
    <n v="48781"/>
    <n v="7633.83"/>
    <n v="57.78"/>
  </r>
  <r>
    <s v="25-May-2026"/>
    <x v="0"/>
    <s v="Week4-May-2026"/>
    <x v="8"/>
    <s v="23-Jun-2026"/>
    <s v="Tuesday"/>
    <s v="Weekly - Tuesday"/>
    <s v="Weekly - Tuesday"/>
    <s v="Month+1 Expiry"/>
    <n v="8912"/>
    <n v="1390.99"/>
    <n v="13.23"/>
  </r>
  <r>
    <s v="25-May-2026"/>
    <x v="0"/>
    <s v="Week4-May-2026"/>
    <x v="8"/>
    <s v="30-Jun-2026"/>
    <s v="Tuesday"/>
    <s v="Monthly - Tuesday"/>
    <s v="Monthly - Tuesday"/>
    <s v="Month+1 Expiry"/>
    <n v="1135088"/>
    <n v="177861.75"/>
    <n v="1929.49"/>
  </r>
  <r>
    <s v="25-May-2026"/>
    <x v="0"/>
    <s v="Week4-May-2026"/>
    <x v="8"/>
    <s v="28-Jul-2026"/>
    <s v="Tuesday"/>
    <s v="Monthly - Tuesday"/>
    <s v="Monthly - Tuesday"/>
    <s v="Month+2 Expiry"/>
    <n v="94104"/>
    <n v="14658.89"/>
    <n v="187.1"/>
  </r>
  <r>
    <s v="25-May-2026"/>
    <x v="0"/>
    <s v="Week4-May-2026"/>
    <x v="8"/>
    <s v="29-Sep-2026"/>
    <s v="Tuesday"/>
    <s v="Monthly - Tuesday"/>
    <s v="Monthly - Tuesday"/>
    <s v="Month+4 Expiry"/>
    <n v="27487"/>
    <n v="4395.72"/>
    <n v="53.96"/>
  </r>
  <r>
    <s v="25-May-2026"/>
    <x v="0"/>
    <s v="Week4-May-2026"/>
    <x v="8"/>
    <s v="29-Dec-2026"/>
    <s v="Tuesday"/>
    <s v="Monthly - Tuesday"/>
    <s v="Monthly - Tuesday"/>
    <s v="Month+7 Expiry"/>
    <n v="53419"/>
    <n v="8491.15"/>
    <n v="231.11"/>
  </r>
  <r>
    <s v="25-May-2026"/>
    <x v="0"/>
    <s v="Week4-May-2026"/>
    <x v="8"/>
    <s v="30-Mar-2027"/>
    <s v="Tuesday"/>
    <s v="Monthly - Tuesday"/>
    <s v="Monthly - Tuesday"/>
    <s v="Month+10 Expiry"/>
    <n v="0"/>
    <n v="0"/>
    <n v="0"/>
  </r>
  <r>
    <s v="25-May-2026"/>
    <x v="0"/>
    <s v="Week4-May-2026"/>
    <x v="8"/>
    <s v="29-Jun-2027"/>
    <s v="Tuesday"/>
    <s v="Monthly - Tuesday"/>
    <s v="Monthly - Tuesday"/>
    <s v="Month+13 Expiry"/>
    <n v="5"/>
    <n v="0.73"/>
    <n v="0.02"/>
  </r>
  <r>
    <s v="25-May-2026"/>
    <x v="0"/>
    <s v="Week4-May-2026"/>
    <x v="8"/>
    <s v="28-Dec-2027"/>
    <s v="Tuesday"/>
    <s v="Monthly - Tuesday"/>
    <s v="Monthly - Tuesday"/>
    <s v="Month+19 Expiry"/>
    <n v="413"/>
    <n v="72.900000000000006"/>
    <n v="2.99"/>
  </r>
  <r>
    <s v="25-May-2026"/>
    <x v="0"/>
    <s v="Week4-May-2026"/>
    <x v="8"/>
    <s v="27-Jun-2028"/>
    <s v="Tuesday"/>
    <s v="Monthly - Tuesday"/>
    <s v="Monthly - Tuesday"/>
    <s v="Month+25 Expiry"/>
    <n v="0"/>
    <n v="0"/>
    <n v="0"/>
  </r>
  <r>
    <s v="25-May-2026"/>
    <x v="0"/>
    <s v="Week4-May-2026"/>
    <x v="8"/>
    <s v="26-Dec-2028"/>
    <s v="Tuesday"/>
    <s v="Monthly - Tuesday"/>
    <s v="Monthly - Tuesday"/>
    <s v="Month+31 Expiry"/>
    <n v="17"/>
    <n v="2.29"/>
    <n v="0.05"/>
  </r>
  <r>
    <s v="25-May-2026"/>
    <x v="0"/>
    <s v="Week4-May-2026"/>
    <x v="8"/>
    <s v="26-Jun-2029"/>
    <s v="Tuesday"/>
    <s v="Monthly - Tuesday"/>
    <s v="Monthly - Tuesday"/>
    <s v="Month+37 Expiry"/>
    <n v="0"/>
    <n v="0"/>
    <n v="0"/>
  </r>
  <r>
    <s v="25-May-2026"/>
    <x v="0"/>
    <s v="Week4-May-2026"/>
    <x v="8"/>
    <s v="24-Dec-2029"/>
    <s v="Monday"/>
    <s v="Weekly - Monday"/>
    <s v="Weekly - Monday"/>
    <s v="Month+43 Expiry"/>
    <n v="0"/>
    <n v="0"/>
    <n v="0"/>
  </r>
  <r>
    <s v="25-May-2026"/>
    <x v="0"/>
    <s v="Week4-May-2026"/>
    <x v="8"/>
    <s v="25-Jun-2030"/>
    <s v="Tuesday"/>
    <s v="Monthly - Tuesday"/>
    <s v="Monthly - Tuesday"/>
    <s v="Month+49 Expiry"/>
    <n v="0"/>
    <n v="0"/>
    <n v="0"/>
  </r>
  <r>
    <s v="25-May-2026"/>
    <x v="0"/>
    <s v="Week4-May-2026"/>
    <x v="8"/>
    <s v="31-Dec-2030"/>
    <s v="Tuesday"/>
    <s v="Monthly - Tuesday"/>
    <s v="Monthly - Tuesday"/>
    <s v="Month+55 Expiry"/>
    <n v="0"/>
    <n v="0"/>
    <n v="0"/>
  </r>
  <r>
    <s v="26-May-2026"/>
    <x v="1"/>
    <s v="Week4-May-2026"/>
    <x v="8"/>
    <s v="26-May-2026"/>
    <s v="Tuesday"/>
    <s v="Monthly - Tuesday"/>
    <s v="MDAW - Tuesday"/>
    <s v="Same Month Expiry"/>
    <n v="303158568"/>
    <n v="47280500.030000001"/>
    <n v="48415.54"/>
  </r>
  <r>
    <s v="26-May-2026"/>
    <x v="1"/>
    <s v="Week4-May-2026"/>
    <x v="8"/>
    <s v="02-Jun-2026"/>
    <s v="Tuesday"/>
    <s v="Weekly - Tuesday"/>
    <s v="Weekly - Tuesday"/>
    <s v="Month+1 Expiry"/>
    <n v="9142772"/>
    <n v="1431022.48"/>
    <n v="5574.44"/>
  </r>
  <r>
    <s v="26-May-2026"/>
    <x v="1"/>
    <s v="Week4-May-2026"/>
    <x v="8"/>
    <s v="09-Jun-2026"/>
    <s v="Tuesday"/>
    <s v="Weekly - Tuesday"/>
    <s v="Weekly - Tuesday"/>
    <s v="Month+1 Expiry"/>
    <n v="494988"/>
    <n v="77507.240000000005"/>
    <n v="365.14"/>
  </r>
  <r>
    <s v="26-May-2026"/>
    <x v="1"/>
    <s v="Week4-May-2026"/>
    <x v="8"/>
    <s v="16-Jun-2026"/>
    <s v="Tuesday"/>
    <s v="Weekly - Tuesday"/>
    <s v="Weekly - Tuesday"/>
    <s v="Month+1 Expiry"/>
    <n v="54862"/>
    <n v="8635.4699999999993"/>
    <n v="51.26"/>
  </r>
  <r>
    <s v="26-May-2026"/>
    <x v="1"/>
    <s v="Week4-May-2026"/>
    <x v="8"/>
    <s v="23-Jun-2026"/>
    <s v="Tuesday"/>
    <s v="Weekly - Tuesday"/>
    <s v="Weekly - Tuesday"/>
    <s v="Month+1 Expiry"/>
    <n v="11576"/>
    <n v="1816.7"/>
    <n v="15.81"/>
  </r>
  <r>
    <s v="26-May-2026"/>
    <x v="1"/>
    <s v="Week4-May-2026"/>
    <x v="8"/>
    <s v="30-Jun-2026"/>
    <s v="Tuesday"/>
    <s v="Monthly - Tuesday"/>
    <s v="Monthly - Tuesday"/>
    <s v="Month+1 Expiry"/>
    <n v="1019697"/>
    <n v="160589.56"/>
    <n v="1792.77"/>
  </r>
  <r>
    <s v="26-May-2026"/>
    <x v="1"/>
    <s v="Week4-May-2026"/>
    <x v="8"/>
    <s v="28-Jul-2026"/>
    <s v="Tuesday"/>
    <s v="Monthly - Tuesday"/>
    <s v="Monthly - Tuesday"/>
    <s v="Month+2 Expiry"/>
    <n v="81584"/>
    <n v="12894.41"/>
    <n v="162.53"/>
  </r>
  <r>
    <s v="26-May-2026"/>
    <x v="1"/>
    <s v="Week4-May-2026"/>
    <x v="8"/>
    <s v="29-Sep-2026"/>
    <s v="Tuesday"/>
    <s v="Monthly - Tuesday"/>
    <s v="Monthly - Tuesday"/>
    <s v="Month+4 Expiry"/>
    <n v="27565"/>
    <n v="4401.09"/>
    <n v="86.44"/>
  </r>
  <r>
    <s v="26-May-2026"/>
    <x v="1"/>
    <s v="Week4-May-2026"/>
    <x v="8"/>
    <s v="29-Dec-2026"/>
    <s v="Tuesday"/>
    <s v="Monthly - Tuesday"/>
    <s v="Monthly - Tuesday"/>
    <s v="Month+7 Expiry"/>
    <n v="28457"/>
    <n v="4552.8999999999996"/>
    <n v="104.96"/>
  </r>
  <r>
    <s v="26-May-2026"/>
    <x v="1"/>
    <s v="Week4-May-2026"/>
    <x v="8"/>
    <s v="30-Mar-2027"/>
    <s v="Tuesday"/>
    <s v="Monthly - Tuesday"/>
    <s v="Monthly - Tuesday"/>
    <s v="Month+10 Expiry"/>
    <n v="6"/>
    <n v="1.0900000000000001"/>
    <n v="0.03"/>
  </r>
  <r>
    <s v="26-May-2026"/>
    <x v="1"/>
    <s v="Week4-May-2026"/>
    <x v="8"/>
    <s v="29-Jun-2027"/>
    <s v="Tuesday"/>
    <s v="Monthly - Tuesday"/>
    <s v="Monthly - Tuesday"/>
    <s v="Month+13 Expiry"/>
    <n v="1"/>
    <n v="0.17"/>
    <n v="0.02"/>
  </r>
  <r>
    <s v="26-May-2026"/>
    <x v="1"/>
    <s v="Week4-May-2026"/>
    <x v="8"/>
    <s v="28-Dec-2027"/>
    <s v="Tuesday"/>
    <s v="Monthly - Tuesday"/>
    <s v="Monthly - Tuesday"/>
    <s v="Month+19 Expiry"/>
    <n v="234"/>
    <n v="39.950000000000003"/>
    <n v="1.8"/>
  </r>
  <r>
    <s v="26-May-2026"/>
    <x v="1"/>
    <s v="Week4-May-2026"/>
    <x v="8"/>
    <s v="27-Jun-2028"/>
    <s v="Tuesday"/>
    <s v="Monthly - Tuesday"/>
    <s v="Monthly - Tuesday"/>
    <s v="Month+25 Expiry"/>
    <n v="0"/>
    <n v="0"/>
    <n v="0"/>
  </r>
  <r>
    <s v="26-May-2026"/>
    <x v="1"/>
    <s v="Week4-May-2026"/>
    <x v="8"/>
    <s v="26-Dec-2028"/>
    <s v="Tuesday"/>
    <s v="Monthly - Tuesday"/>
    <s v="Monthly - Tuesday"/>
    <s v="Month+31 Expiry"/>
    <n v="21"/>
    <n v="3.12"/>
    <n v="0.11"/>
  </r>
  <r>
    <s v="26-May-2026"/>
    <x v="1"/>
    <s v="Week4-May-2026"/>
    <x v="8"/>
    <s v="26-Jun-2029"/>
    <s v="Tuesday"/>
    <s v="Monthly - Tuesday"/>
    <s v="Monthly - Tuesday"/>
    <s v="Month+37 Expiry"/>
    <n v="0"/>
    <n v="0"/>
    <n v="0"/>
  </r>
  <r>
    <s v="26-May-2026"/>
    <x v="1"/>
    <s v="Week4-May-2026"/>
    <x v="8"/>
    <s v="24-Dec-2029"/>
    <s v="Monday"/>
    <s v="Weekly - Monday"/>
    <s v="Weekly - Monday"/>
    <s v="Month+43 Expiry"/>
    <n v="0"/>
    <n v="0"/>
    <n v="0"/>
  </r>
  <r>
    <s v="26-May-2026"/>
    <x v="1"/>
    <s v="Week4-May-2026"/>
    <x v="8"/>
    <s v="25-Jun-2030"/>
    <s v="Tuesday"/>
    <s v="Monthly - Tuesday"/>
    <s v="Monthly - Tuesday"/>
    <s v="Month+49 Expiry"/>
    <n v="0"/>
    <n v="0"/>
    <n v="0"/>
  </r>
  <r>
    <s v="26-May-2026"/>
    <x v="1"/>
    <s v="Week4-May-2026"/>
    <x v="8"/>
    <s v="31-Dec-2030"/>
    <s v="Tuesday"/>
    <s v="Monthly - Tuesday"/>
    <s v="Monthly - Tuesday"/>
    <s v="Month+55 Expiry"/>
    <n v="1"/>
    <n v="0.16"/>
    <n v="0.01"/>
  </r>
  <r>
    <s v="27-May-2026"/>
    <x v="2"/>
    <s v="Week4-May-2026"/>
    <x v="8"/>
    <s v="02-Jun-2026"/>
    <s v="Tuesday"/>
    <s v="Weekly - Tuesday"/>
    <s v="Weekly - Tuesday"/>
    <s v="Month+1 Expiry"/>
    <n v="37794306"/>
    <n v="5898864.3600000003"/>
    <n v="21457.54"/>
  </r>
  <r>
    <s v="27-May-2026"/>
    <x v="2"/>
    <s v="Week4-May-2026"/>
    <x v="8"/>
    <s v="09-Jun-2026"/>
    <s v="Tuesday"/>
    <s v="Weekly - Tuesday"/>
    <s v="Weekly - Tuesday"/>
    <s v="Month+1 Expiry"/>
    <n v="1097899"/>
    <n v="170484.47"/>
    <n v="686"/>
  </r>
  <r>
    <s v="27-May-2026"/>
    <x v="2"/>
    <s v="Week4-May-2026"/>
    <x v="8"/>
    <s v="16-Jun-2026"/>
    <s v="Tuesday"/>
    <s v="Weekly - Tuesday"/>
    <s v="Weekly - Tuesday"/>
    <s v="Month+1 Expiry"/>
    <n v="101579"/>
    <n v="15815.91"/>
    <n v="81.31"/>
  </r>
  <r>
    <s v="27-May-2026"/>
    <x v="2"/>
    <s v="Week4-May-2026"/>
    <x v="8"/>
    <s v="23-Jun-2026"/>
    <s v="Tuesday"/>
    <s v="Weekly - Tuesday"/>
    <s v="Weekly - Tuesday"/>
    <s v="Month+1 Expiry"/>
    <n v="21267"/>
    <n v="3331.79"/>
    <n v="30.69"/>
  </r>
  <r>
    <s v="27-May-2026"/>
    <x v="2"/>
    <s v="Week4-May-2026"/>
    <x v="8"/>
    <s v="30-Jun-2026"/>
    <s v="Tuesday"/>
    <s v="Monthly - Tuesday"/>
    <s v="Monthly - Tuesday"/>
    <s v="Month+1 Expiry"/>
    <n v="874295"/>
    <n v="136950.72"/>
    <n v="1149.04"/>
  </r>
  <r>
    <s v="27-May-2026"/>
    <x v="2"/>
    <s v="Week4-May-2026"/>
    <x v="8"/>
    <s v="28-Jul-2026"/>
    <s v="Tuesday"/>
    <s v="Monthly - Tuesday"/>
    <s v="Monthly - Tuesday"/>
    <s v="Month+2 Expiry"/>
    <n v="103347"/>
    <n v="16217.91"/>
    <n v="153.58000000000001"/>
  </r>
  <r>
    <s v="27-May-2026"/>
    <x v="2"/>
    <s v="Week4-May-2026"/>
    <x v="8"/>
    <s v="25-Aug-2026"/>
    <s v="Tuesday"/>
    <s v="Monthly - Tuesday"/>
    <s v="Monthly - Tuesday"/>
    <s v="Month+3 Expiry"/>
    <n v="24501"/>
    <n v="3872.3"/>
    <n v="65.709999999999994"/>
  </r>
  <r>
    <s v="27-May-2026"/>
    <x v="2"/>
    <s v="Week4-May-2026"/>
    <x v="8"/>
    <s v="29-Sep-2026"/>
    <s v="Tuesday"/>
    <s v="Monthly - Tuesday"/>
    <s v="Monthly - Tuesday"/>
    <s v="Month+4 Expiry"/>
    <n v="21110"/>
    <n v="3360.03"/>
    <n v="42.6"/>
  </r>
  <r>
    <s v="27-May-2026"/>
    <x v="2"/>
    <s v="Week4-May-2026"/>
    <x v="8"/>
    <s v="29-Dec-2026"/>
    <s v="Tuesday"/>
    <s v="Monthly - Tuesday"/>
    <s v="Monthly - Tuesday"/>
    <s v="Month+7 Expiry"/>
    <n v="31570"/>
    <n v="5061.2299999999996"/>
    <n v="108.04"/>
  </r>
  <r>
    <s v="27-May-2026"/>
    <x v="2"/>
    <s v="Week4-May-2026"/>
    <x v="8"/>
    <s v="30-Mar-2027"/>
    <s v="Tuesday"/>
    <s v="Monthly - Tuesday"/>
    <s v="Monthly - Tuesday"/>
    <s v="Month+10 Expiry"/>
    <n v="5"/>
    <n v="0.73"/>
    <n v="0.01"/>
  </r>
  <r>
    <s v="27-May-2026"/>
    <x v="2"/>
    <s v="Week4-May-2026"/>
    <x v="8"/>
    <s v="29-Jun-2027"/>
    <s v="Tuesday"/>
    <s v="Monthly - Tuesday"/>
    <s v="Monthly - Tuesday"/>
    <s v="Month+13 Expiry"/>
    <n v="1"/>
    <n v="0.17"/>
    <n v="0.02"/>
  </r>
  <r>
    <s v="27-May-2026"/>
    <x v="2"/>
    <s v="Week4-May-2026"/>
    <x v="8"/>
    <s v="28-Dec-2027"/>
    <s v="Tuesday"/>
    <s v="Monthly - Tuesday"/>
    <s v="Monthly - Tuesday"/>
    <s v="Month+19 Expiry"/>
    <n v="242"/>
    <n v="44.63"/>
    <n v="1.68"/>
  </r>
  <r>
    <s v="27-May-2026"/>
    <x v="2"/>
    <s v="Week4-May-2026"/>
    <x v="8"/>
    <s v="27-Jun-2028"/>
    <s v="Tuesday"/>
    <s v="Monthly - Tuesday"/>
    <s v="Monthly - Tuesday"/>
    <s v="Month+25 Expiry"/>
    <n v="0"/>
    <n v="0"/>
    <n v="0"/>
  </r>
  <r>
    <s v="27-May-2026"/>
    <x v="2"/>
    <s v="Week4-May-2026"/>
    <x v="8"/>
    <s v="26-Dec-2028"/>
    <s v="Tuesday"/>
    <s v="Monthly - Tuesday"/>
    <s v="Monthly - Tuesday"/>
    <s v="Month+31 Expiry"/>
    <n v="10"/>
    <n v="1.74"/>
    <n v="0.1"/>
  </r>
  <r>
    <s v="27-May-2026"/>
    <x v="2"/>
    <s v="Week4-May-2026"/>
    <x v="8"/>
    <s v="26-Jun-2029"/>
    <s v="Tuesday"/>
    <s v="Monthly - Tuesday"/>
    <s v="Monthly - Tuesday"/>
    <s v="Month+37 Expiry"/>
    <n v="0"/>
    <n v="0"/>
    <n v="0"/>
  </r>
  <r>
    <s v="27-May-2026"/>
    <x v="2"/>
    <s v="Week4-May-2026"/>
    <x v="8"/>
    <s v="24-Dec-2029"/>
    <s v="Monday"/>
    <s v="Weekly - Monday"/>
    <s v="Weekly - Monday"/>
    <s v="Month+43 Expiry"/>
    <n v="0"/>
    <n v="0"/>
    <n v="0"/>
  </r>
  <r>
    <s v="27-May-2026"/>
    <x v="2"/>
    <s v="Week4-May-2026"/>
    <x v="8"/>
    <s v="25-Jun-2030"/>
    <s v="Tuesday"/>
    <s v="Monthly - Tuesday"/>
    <s v="Monthly - Tuesday"/>
    <s v="Month+49 Expiry"/>
    <n v="0"/>
    <n v="0"/>
    <n v="0"/>
  </r>
  <r>
    <s v="27-May-2026"/>
    <x v="2"/>
    <s v="Week4-May-2026"/>
    <x v="8"/>
    <s v="31-Dec-2030"/>
    <s v="Tuesday"/>
    <s v="Monthly - Tuesday"/>
    <s v="Monthly - Tuesday"/>
    <s v="Month+55 Expiry"/>
    <n v="2"/>
    <n v="0.33"/>
    <n v="0.02"/>
  </r>
  <r>
    <s v="29-May-2026"/>
    <x v="4"/>
    <s v="Week5-May-2026"/>
    <x v="8"/>
    <s v="02-Jun-2026"/>
    <s v="Tuesday"/>
    <s v="Weekly - Tuesday"/>
    <s v="Weekly - Tuesday"/>
    <s v="Month+1 Expiry"/>
    <n v="97128071"/>
    <n v="15111116.16"/>
    <n v="49342.59"/>
  </r>
  <r>
    <s v="29-May-2026"/>
    <x v="4"/>
    <s v="Week5-May-2026"/>
    <x v="8"/>
    <s v="09-Jun-2026"/>
    <s v="Tuesday"/>
    <s v="Weekly - Tuesday"/>
    <s v="Weekly - Tuesday"/>
    <s v="Month+1 Expiry"/>
    <n v="2642846"/>
    <n v="410661.86"/>
    <n v="1885.81"/>
  </r>
  <r>
    <s v="29-May-2026"/>
    <x v="4"/>
    <s v="Week5-May-2026"/>
    <x v="8"/>
    <s v="16-Jun-2026"/>
    <s v="Tuesday"/>
    <s v="Weekly - Tuesday"/>
    <s v="Weekly - Tuesday"/>
    <s v="Month+1 Expiry"/>
    <n v="168372"/>
    <n v="26273.22"/>
    <n v="150.81"/>
  </r>
  <r>
    <s v="29-May-2026"/>
    <x v="4"/>
    <s v="Week5-May-2026"/>
    <x v="8"/>
    <s v="23-Jun-2026"/>
    <s v="Tuesday"/>
    <s v="Weekly - Tuesday"/>
    <s v="Weekly - Tuesday"/>
    <s v="Month+1 Expiry"/>
    <n v="33272"/>
    <n v="5206.84"/>
    <n v="39.42"/>
  </r>
  <r>
    <s v="29-May-2026"/>
    <x v="4"/>
    <s v="Week5-May-2026"/>
    <x v="8"/>
    <s v="30-Jun-2026"/>
    <s v="Tuesday"/>
    <s v="Monthly - Tuesday"/>
    <s v="Monthly - Tuesday"/>
    <s v="Month+1 Expiry"/>
    <n v="1472195"/>
    <n v="230080.01"/>
    <n v="2223.52"/>
  </r>
  <r>
    <s v="29-May-2026"/>
    <x v="4"/>
    <s v="Week5-May-2026"/>
    <x v="8"/>
    <s v="28-Jul-2026"/>
    <s v="Tuesday"/>
    <s v="Monthly - Tuesday"/>
    <s v="Monthly - Tuesday"/>
    <s v="Month+2 Expiry"/>
    <n v="131819"/>
    <n v="20685.05"/>
    <n v="191.2"/>
  </r>
  <r>
    <s v="29-May-2026"/>
    <x v="4"/>
    <s v="Week5-May-2026"/>
    <x v="8"/>
    <s v="25-Aug-2026"/>
    <s v="Tuesday"/>
    <s v="Monthly - Tuesday"/>
    <s v="Monthly - Tuesday"/>
    <s v="Month+3 Expiry"/>
    <n v="30095"/>
    <n v="4706.41"/>
    <n v="76.52"/>
  </r>
  <r>
    <s v="29-May-2026"/>
    <x v="4"/>
    <s v="Week5-May-2026"/>
    <x v="8"/>
    <s v="29-Sep-2026"/>
    <s v="Tuesday"/>
    <s v="Monthly - Tuesday"/>
    <s v="Monthly - Tuesday"/>
    <s v="Month+4 Expiry"/>
    <n v="29822"/>
    <n v="4716.7299999999996"/>
    <n v="64.28"/>
  </r>
  <r>
    <s v="29-May-2026"/>
    <x v="4"/>
    <s v="Week5-May-2026"/>
    <x v="8"/>
    <s v="29-Dec-2026"/>
    <s v="Tuesday"/>
    <s v="Monthly - Tuesday"/>
    <s v="Monthly - Tuesday"/>
    <s v="Month+7 Expiry"/>
    <n v="44423"/>
    <n v="7064.03"/>
    <n v="165.86"/>
  </r>
  <r>
    <s v="29-May-2026"/>
    <x v="4"/>
    <s v="Week5-May-2026"/>
    <x v="8"/>
    <s v="30-Mar-2027"/>
    <s v="Tuesday"/>
    <s v="Monthly - Tuesday"/>
    <s v="Monthly - Tuesday"/>
    <s v="Month+10 Expiry"/>
    <n v="1"/>
    <n v="0.14000000000000001"/>
    <n v="0"/>
  </r>
  <r>
    <s v="29-May-2026"/>
    <x v="4"/>
    <s v="Week5-May-2026"/>
    <x v="8"/>
    <s v="29-Jun-2027"/>
    <s v="Tuesday"/>
    <s v="Monthly - Tuesday"/>
    <s v="Monthly - Tuesday"/>
    <s v="Month+13 Expiry"/>
    <n v="1"/>
    <n v="0.17"/>
    <n v="0.02"/>
  </r>
  <r>
    <s v="29-May-2026"/>
    <x v="4"/>
    <s v="Week5-May-2026"/>
    <x v="8"/>
    <s v="28-Dec-2027"/>
    <s v="Tuesday"/>
    <s v="Monthly - Tuesday"/>
    <s v="Monthly - Tuesday"/>
    <s v="Month+19 Expiry"/>
    <n v="303"/>
    <n v="53.38"/>
    <n v="1.82"/>
  </r>
  <r>
    <s v="29-May-2026"/>
    <x v="4"/>
    <s v="Week5-May-2026"/>
    <x v="8"/>
    <s v="27-Jun-2028"/>
    <s v="Tuesday"/>
    <s v="Monthly - Tuesday"/>
    <s v="Monthly - Tuesday"/>
    <s v="Month+25 Expiry"/>
    <n v="0"/>
    <n v="0"/>
    <n v="0"/>
  </r>
  <r>
    <s v="29-May-2026"/>
    <x v="4"/>
    <s v="Week5-May-2026"/>
    <x v="8"/>
    <s v="26-Dec-2028"/>
    <s v="Tuesday"/>
    <s v="Monthly - Tuesday"/>
    <s v="Monthly - Tuesday"/>
    <s v="Month+31 Expiry"/>
    <n v="25"/>
    <n v="4.4400000000000004"/>
    <n v="0.26"/>
  </r>
  <r>
    <s v="29-May-2026"/>
    <x v="4"/>
    <s v="Week5-May-2026"/>
    <x v="8"/>
    <s v="26-Jun-2029"/>
    <s v="Tuesday"/>
    <s v="Monthly - Tuesday"/>
    <s v="Monthly - Tuesday"/>
    <s v="Month+37 Expiry"/>
    <n v="0"/>
    <n v="0"/>
    <n v="0"/>
  </r>
  <r>
    <s v="29-May-2026"/>
    <x v="4"/>
    <s v="Week5-May-2026"/>
    <x v="8"/>
    <s v="24-Dec-2029"/>
    <s v="Monday"/>
    <s v="Weekly - Monday"/>
    <s v="Weekly - Monday"/>
    <s v="Month+43 Expiry"/>
    <n v="16"/>
    <n v="2.48"/>
    <n v="0.09"/>
  </r>
  <r>
    <s v="29-May-2026"/>
    <x v="4"/>
    <s v="Week5-May-2026"/>
    <x v="8"/>
    <s v="25-Jun-2030"/>
    <s v="Tuesday"/>
    <s v="Monthly - Tuesday"/>
    <s v="Monthly - Tuesday"/>
    <s v="Month+49 Expiry"/>
    <n v="0"/>
    <n v="0"/>
    <n v="0"/>
  </r>
  <r>
    <s v="29-May-2026"/>
    <x v="4"/>
    <s v="Week5-May-2026"/>
    <x v="8"/>
    <s v="31-Dec-2030"/>
    <s v="Tuesday"/>
    <s v="Monthly - Tuesday"/>
    <s v="Monthly - Tuesday"/>
    <s v="Month+55 Expiry"/>
    <n v="1"/>
    <n v="0.16"/>
    <n v="0.01"/>
  </r>
  <r>
    <s v="01-Jun-2026"/>
    <x v="0"/>
    <s v="Week1-Jun-2026"/>
    <x v="9"/>
    <s v="02-Jun-2026"/>
    <s v="Tuesday"/>
    <s v="Weekly - Tuesday"/>
    <s v="Weekly - Tuesday"/>
    <s v="Same Month Expiry"/>
    <n v="149252931"/>
    <n v="22948605.579999998"/>
    <n v="55572.99"/>
  </r>
  <r>
    <s v="01-Jun-2026"/>
    <x v="0"/>
    <s v="Week1-Jun-2026"/>
    <x v="9"/>
    <s v="09-Jun-2026"/>
    <s v="Tuesday"/>
    <s v="Weekly - Tuesday"/>
    <s v="Weekly - Tuesday"/>
    <s v="Same Month Expiry"/>
    <n v="4993420"/>
    <n v="772519.58"/>
    <n v="3188.17"/>
  </r>
  <r>
    <s v="01-Jun-2026"/>
    <x v="0"/>
    <s v="Week1-Jun-2026"/>
    <x v="9"/>
    <s v="16-Jun-2026"/>
    <s v="Tuesday"/>
    <s v="Weekly - Tuesday"/>
    <s v="Weekly - Tuesday"/>
    <s v="Same Month Expiry"/>
    <n v="254256"/>
    <n v="39595.64"/>
    <n v="208.04"/>
  </r>
  <r>
    <s v="01-Jun-2026"/>
    <x v="0"/>
    <s v="Week1-Jun-2026"/>
    <x v="9"/>
    <s v="23-Jun-2026"/>
    <s v="Tuesday"/>
    <s v="Weekly - Tuesday"/>
    <s v="Weekly - Tuesday"/>
    <s v="Same Month Expiry"/>
    <n v="43745"/>
    <n v="6827.84"/>
    <n v="51.28"/>
  </r>
  <r>
    <s v="01-Jun-2026"/>
    <x v="0"/>
    <s v="Week1-Jun-2026"/>
    <x v="9"/>
    <s v="30-Jun-2026"/>
    <s v="Tuesday"/>
    <s v="Monthly - Tuesday"/>
    <s v="Monthly - Tuesday"/>
    <s v="Same Month Expiry"/>
    <n v="1368301"/>
    <n v="213800.15"/>
    <n v="2031.71"/>
  </r>
  <r>
    <s v="01-Jun-2026"/>
    <x v="0"/>
    <s v="Week1-Jun-2026"/>
    <x v="9"/>
    <s v="28-Jul-2026"/>
    <s v="Tuesday"/>
    <s v="Monthly - Tuesday"/>
    <s v="Monthly - Tuesday"/>
    <s v="Month+1 Expiry"/>
    <n v="173629"/>
    <n v="27401.72"/>
    <n v="269.20999999999998"/>
  </r>
  <r>
    <s v="01-Jun-2026"/>
    <x v="0"/>
    <s v="Week1-Jun-2026"/>
    <x v="9"/>
    <s v="25-Aug-2026"/>
    <s v="Tuesday"/>
    <s v="Monthly - Tuesday"/>
    <s v="Monthly - Tuesday"/>
    <s v="Month+2 Expiry"/>
    <n v="27566"/>
    <n v="4346.83"/>
    <n v="66.7"/>
  </r>
  <r>
    <s v="01-Jun-2026"/>
    <x v="0"/>
    <s v="Week1-Jun-2026"/>
    <x v="9"/>
    <s v="29-Sep-2026"/>
    <s v="Tuesday"/>
    <s v="Monthly - Tuesday"/>
    <s v="Monthly - Tuesday"/>
    <s v="Month+3 Expiry"/>
    <n v="38147"/>
    <n v="6213.65"/>
    <n v="82.68"/>
  </r>
  <r>
    <s v="01-Jun-2026"/>
    <x v="0"/>
    <s v="Week1-Jun-2026"/>
    <x v="9"/>
    <s v="29-Dec-2026"/>
    <s v="Tuesday"/>
    <s v="Monthly - Tuesday"/>
    <s v="Monthly - Tuesday"/>
    <s v="Month+6 Expiry"/>
    <n v="48962"/>
    <n v="7891.91"/>
    <n v="191.74"/>
  </r>
  <r>
    <s v="01-Jun-2026"/>
    <x v="0"/>
    <s v="Week1-Jun-2026"/>
    <x v="9"/>
    <s v="30-Mar-2027"/>
    <s v="Tuesday"/>
    <s v="Monthly - Tuesday"/>
    <s v="Monthly - Tuesday"/>
    <s v="Month+9 Expiry"/>
    <n v="4"/>
    <n v="0.67"/>
    <n v="0.01"/>
  </r>
  <r>
    <s v="01-Jun-2026"/>
    <x v="0"/>
    <s v="Week1-Jun-2026"/>
    <x v="9"/>
    <s v="29-Jun-2027"/>
    <s v="Tuesday"/>
    <s v="Monthly - Tuesday"/>
    <s v="Monthly - Tuesday"/>
    <s v="Month+12 Expiry"/>
    <n v="3"/>
    <n v="0.42"/>
    <n v="0.01"/>
  </r>
  <r>
    <s v="01-Jun-2026"/>
    <x v="0"/>
    <s v="Week1-Jun-2026"/>
    <x v="9"/>
    <s v="28-Dec-2027"/>
    <s v="Tuesday"/>
    <s v="Monthly - Tuesday"/>
    <s v="Monthly - Tuesday"/>
    <s v="Month+18 Expiry"/>
    <n v="299"/>
    <n v="50.82"/>
    <n v="2.4900000000000002"/>
  </r>
  <r>
    <s v="01-Jun-2026"/>
    <x v="0"/>
    <s v="Week1-Jun-2026"/>
    <x v="9"/>
    <s v="27-Jun-2028"/>
    <s v="Tuesday"/>
    <s v="Monthly - Tuesday"/>
    <s v="Monthly - Tuesday"/>
    <s v="Month+24 Expiry"/>
    <n v="0"/>
    <n v="0"/>
    <n v="0"/>
  </r>
  <r>
    <s v="01-Jun-2026"/>
    <x v="0"/>
    <s v="Week1-Jun-2026"/>
    <x v="9"/>
    <s v="26-Dec-2028"/>
    <s v="Tuesday"/>
    <s v="Monthly - Tuesday"/>
    <s v="Monthly - Tuesday"/>
    <s v="Month+30 Expiry"/>
    <n v="6"/>
    <n v="1.06"/>
    <n v="0.06"/>
  </r>
  <r>
    <s v="01-Jun-2026"/>
    <x v="0"/>
    <s v="Week1-Jun-2026"/>
    <x v="9"/>
    <s v="26-Jun-2029"/>
    <s v="Tuesday"/>
    <s v="Monthly - Tuesday"/>
    <s v="Monthly - Tuesday"/>
    <s v="Month+36 Expiry"/>
    <n v="0"/>
    <n v="0"/>
    <n v="0"/>
  </r>
  <r>
    <s v="01-Jun-2026"/>
    <x v="0"/>
    <s v="Week1-Jun-2026"/>
    <x v="9"/>
    <s v="24-Dec-2029"/>
    <s v="Monday"/>
    <s v="Weekly - Monday"/>
    <s v="Weekly - Monday"/>
    <s v="Month+42 Expiry"/>
    <n v="0"/>
    <n v="0"/>
    <n v="0"/>
  </r>
  <r>
    <s v="01-Jun-2026"/>
    <x v="0"/>
    <s v="Week1-Jun-2026"/>
    <x v="9"/>
    <s v="25-Jun-2030"/>
    <s v="Tuesday"/>
    <s v="Monthly - Tuesday"/>
    <s v="Monthly - Tuesday"/>
    <s v="Month+48 Expiry"/>
    <n v="0"/>
    <n v="0"/>
    <n v="0"/>
  </r>
  <r>
    <s v="01-Jun-2026"/>
    <x v="0"/>
    <s v="Week1-Jun-2026"/>
    <x v="9"/>
    <s v="31-Dec-2030"/>
    <s v="Tuesday"/>
    <s v="Monthly - Tuesday"/>
    <s v="Monthly - Tuesday"/>
    <s v="Month+54 Expiry"/>
    <n v="0"/>
    <n v="0"/>
    <n v="0"/>
  </r>
  <r>
    <s v="02-Jun-2026"/>
    <x v="1"/>
    <s v="Week1-Jun-2026"/>
    <x v="9"/>
    <s v="02-Jun-2026"/>
    <s v="Tuesday"/>
    <s v="Weekly - Tuesday"/>
    <s v="Weekly - Tuesday"/>
    <s v="Same Month Expiry"/>
    <n v="494349594"/>
    <n v="75327785.280000001"/>
    <n v="77859.179999999993"/>
  </r>
  <r>
    <s v="02-Jun-2026"/>
    <x v="1"/>
    <s v="Week1-Jun-2026"/>
    <x v="9"/>
    <s v="09-Jun-2026"/>
    <s v="Tuesday"/>
    <s v="Weekly - Tuesday"/>
    <s v="Weekly - Tuesday"/>
    <s v="Same Month Expiry"/>
    <n v="11527004"/>
    <n v="1769922.84"/>
    <n v="7296.41"/>
  </r>
  <r>
    <s v="02-Jun-2026"/>
    <x v="1"/>
    <s v="Week1-Jun-2026"/>
    <x v="9"/>
    <s v="16-Jun-2026"/>
    <s v="Tuesday"/>
    <s v="Weekly - Tuesday"/>
    <s v="Weekly - Tuesday"/>
    <s v="Same Month Expiry"/>
    <n v="426303"/>
    <n v="65818"/>
    <n v="344.74"/>
  </r>
  <r>
    <s v="02-Jun-2026"/>
    <x v="1"/>
    <s v="Week1-Jun-2026"/>
    <x v="9"/>
    <s v="23-Jun-2026"/>
    <s v="Tuesday"/>
    <s v="Weekly - Tuesday"/>
    <s v="Weekly - Tuesday"/>
    <s v="Same Month Expiry"/>
    <n v="58037"/>
    <n v="9041.48"/>
    <n v="62.25"/>
  </r>
  <r>
    <s v="02-Jun-2026"/>
    <x v="1"/>
    <s v="Week1-Jun-2026"/>
    <x v="9"/>
    <s v="30-Jun-2026"/>
    <s v="Tuesday"/>
    <s v="Monthly - Tuesday"/>
    <s v="Monthly - Tuesday"/>
    <s v="Same Month Expiry"/>
    <n v="1444192"/>
    <n v="223951.43"/>
    <n v="2022.26"/>
  </r>
  <r>
    <s v="02-Jun-2026"/>
    <x v="1"/>
    <s v="Week1-Jun-2026"/>
    <x v="9"/>
    <s v="28-Jul-2026"/>
    <s v="Tuesday"/>
    <s v="Monthly - Tuesday"/>
    <s v="Monthly - Tuesday"/>
    <s v="Month+1 Expiry"/>
    <n v="178484"/>
    <n v="27955.71"/>
    <n v="259.88"/>
  </r>
  <r>
    <s v="02-Jun-2026"/>
    <x v="1"/>
    <s v="Week1-Jun-2026"/>
    <x v="9"/>
    <s v="25-Aug-2026"/>
    <s v="Tuesday"/>
    <s v="Monthly - Tuesday"/>
    <s v="Monthly - Tuesday"/>
    <s v="Month+2 Expiry"/>
    <n v="51328"/>
    <n v="8084.78"/>
    <n v="130.28"/>
  </r>
  <r>
    <s v="02-Jun-2026"/>
    <x v="1"/>
    <s v="Week1-Jun-2026"/>
    <x v="9"/>
    <s v="29-Sep-2026"/>
    <s v="Tuesday"/>
    <s v="Monthly - Tuesday"/>
    <s v="Monthly - Tuesday"/>
    <s v="Month+3 Expiry"/>
    <n v="31845"/>
    <n v="5201.7"/>
    <n v="57.47"/>
  </r>
  <r>
    <s v="02-Jun-2026"/>
    <x v="1"/>
    <s v="Week1-Jun-2026"/>
    <x v="9"/>
    <s v="29-Dec-2026"/>
    <s v="Tuesday"/>
    <s v="Monthly - Tuesday"/>
    <s v="Monthly - Tuesday"/>
    <s v="Month+6 Expiry"/>
    <n v="44950"/>
    <n v="7289.58"/>
    <n v="205.92"/>
  </r>
  <r>
    <s v="02-Jun-2026"/>
    <x v="1"/>
    <s v="Week1-Jun-2026"/>
    <x v="9"/>
    <s v="30-Mar-2027"/>
    <s v="Tuesday"/>
    <s v="Monthly - Tuesday"/>
    <s v="Monthly - Tuesday"/>
    <s v="Month+9 Expiry"/>
    <n v="1"/>
    <n v="0.18"/>
    <n v="0"/>
  </r>
  <r>
    <s v="02-Jun-2026"/>
    <x v="1"/>
    <s v="Week1-Jun-2026"/>
    <x v="9"/>
    <s v="29-Jun-2027"/>
    <s v="Tuesday"/>
    <s v="Monthly - Tuesday"/>
    <s v="Monthly - Tuesday"/>
    <s v="Month+12 Expiry"/>
    <n v="1"/>
    <n v="0.17"/>
    <n v="0.01"/>
  </r>
  <r>
    <s v="02-Jun-2026"/>
    <x v="1"/>
    <s v="Week1-Jun-2026"/>
    <x v="9"/>
    <s v="28-Dec-2027"/>
    <s v="Tuesday"/>
    <s v="Monthly - Tuesday"/>
    <s v="Monthly - Tuesday"/>
    <s v="Month+18 Expiry"/>
    <n v="395"/>
    <n v="70.34"/>
    <n v="3.07"/>
  </r>
  <r>
    <s v="02-Jun-2026"/>
    <x v="1"/>
    <s v="Week1-Jun-2026"/>
    <x v="9"/>
    <s v="27-Jun-2028"/>
    <s v="Tuesday"/>
    <s v="Monthly - Tuesday"/>
    <s v="Monthly - Tuesday"/>
    <s v="Month+24 Expiry"/>
    <n v="0"/>
    <n v="0"/>
    <n v="0"/>
  </r>
  <r>
    <s v="02-Jun-2026"/>
    <x v="1"/>
    <s v="Week1-Jun-2026"/>
    <x v="9"/>
    <s v="26-Dec-2028"/>
    <s v="Tuesday"/>
    <s v="Monthly - Tuesday"/>
    <s v="Monthly - Tuesday"/>
    <s v="Month+30 Expiry"/>
    <n v="20"/>
    <n v="3.71"/>
    <n v="0.24"/>
  </r>
  <r>
    <s v="02-Jun-2026"/>
    <x v="1"/>
    <s v="Week1-Jun-2026"/>
    <x v="9"/>
    <s v="26-Jun-2029"/>
    <s v="Tuesday"/>
    <s v="Monthly - Tuesday"/>
    <s v="Monthly - Tuesday"/>
    <s v="Month+36 Expiry"/>
    <n v="0"/>
    <n v="0"/>
    <n v="0"/>
  </r>
  <r>
    <s v="02-Jun-2026"/>
    <x v="1"/>
    <s v="Week1-Jun-2026"/>
    <x v="9"/>
    <s v="24-Dec-2029"/>
    <s v="Monday"/>
    <s v="Weekly - Monday"/>
    <s v="Weekly - Monday"/>
    <s v="Month+42 Expiry"/>
    <n v="0"/>
    <n v="0"/>
    <n v="0"/>
  </r>
  <r>
    <s v="02-Jun-2026"/>
    <x v="1"/>
    <s v="Week1-Jun-2026"/>
    <x v="9"/>
    <s v="25-Jun-2030"/>
    <s v="Tuesday"/>
    <s v="Monthly - Tuesday"/>
    <s v="Monthly - Tuesday"/>
    <s v="Month+48 Expiry"/>
    <n v="0"/>
    <n v="0"/>
    <n v="0"/>
  </r>
  <r>
    <s v="02-Jun-2026"/>
    <x v="1"/>
    <s v="Week1-Jun-2026"/>
    <x v="9"/>
    <s v="31-Dec-2030"/>
    <s v="Tuesday"/>
    <s v="Monthly - Tuesday"/>
    <s v="Monthly - Tuesday"/>
    <s v="Month+54 Expiry"/>
    <n v="0"/>
    <n v="0"/>
    <n v="0"/>
  </r>
  <r>
    <s v="03-Jun-2026"/>
    <x v="2"/>
    <s v="Week1-Jun-2026"/>
    <x v="9"/>
    <s v="09-Jun-2026"/>
    <s v="Tuesday"/>
    <s v="Weekly - Tuesday"/>
    <s v="Weekly - Tuesday"/>
    <s v="Same Month Expiry"/>
    <n v="59943705"/>
    <n v="9165584.0700000003"/>
    <n v="42886.97"/>
  </r>
  <r>
    <s v="03-Jun-2026"/>
    <x v="2"/>
    <s v="Week1-Jun-2026"/>
    <x v="9"/>
    <s v="16-Jun-2026"/>
    <s v="Tuesday"/>
    <s v="Weekly - Tuesday"/>
    <s v="Weekly - Tuesday"/>
    <s v="Same Month Expiry"/>
    <n v="1278042"/>
    <n v="196531.23"/>
    <n v="1127.78"/>
  </r>
  <r>
    <s v="03-Jun-2026"/>
    <x v="2"/>
    <s v="Week1-Jun-2026"/>
    <x v="9"/>
    <s v="23-Jun-2026"/>
    <s v="Tuesday"/>
    <s v="Weekly - Tuesday"/>
    <s v="Weekly - Tuesday"/>
    <s v="Same Month Expiry"/>
    <n v="104575"/>
    <n v="16202.11"/>
    <n v="115.35"/>
  </r>
  <r>
    <s v="03-Jun-2026"/>
    <x v="2"/>
    <s v="Week1-Jun-2026"/>
    <x v="9"/>
    <s v="30-Jun-2026"/>
    <s v="Tuesday"/>
    <s v="Monthly - Tuesday"/>
    <s v="Monthly - Tuesday"/>
    <s v="Same Month Expiry"/>
    <n v="2008887"/>
    <n v="311035.75"/>
    <n v="2793.1"/>
  </r>
  <r>
    <s v="03-Jun-2026"/>
    <x v="2"/>
    <s v="Week1-Jun-2026"/>
    <x v="9"/>
    <s v="07-Jul-2026"/>
    <s v="Tuesday"/>
    <s v="Weekly - Tuesday"/>
    <s v="Weekly - Tuesday"/>
    <s v="Month+1 Expiry"/>
    <n v="228"/>
    <n v="35.42"/>
    <n v="0.39"/>
  </r>
  <r>
    <s v="03-Jun-2026"/>
    <x v="2"/>
    <s v="Week1-Jun-2026"/>
    <x v="9"/>
    <s v="28-Jul-2026"/>
    <s v="Tuesday"/>
    <s v="Monthly - Tuesday"/>
    <s v="Monthly - Tuesday"/>
    <s v="Month+1 Expiry"/>
    <n v="211761"/>
    <n v="33222.47"/>
    <n v="339.52"/>
  </r>
  <r>
    <s v="03-Jun-2026"/>
    <x v="2"/>
    <s v="Week1-Jun-2026"/>
    <x v="9"/>
    <s v="25-Aug-2026"/>
    <s v="Tuesday"/>
    <s v="Monthly - Tuesday"/>
    <s v="Monthly - Tuesday"/>
    <s v="Month+2 Expiry"/>
    <n v="38201"/>
    <n v="6042.68"/>
    <n v="99.24"/>
  </r>
  <r>
    <s v="03-Jun-2026"/>
    <x v="2"/>
    <s v="Week1-Jun-2026"/>
    <x v="9"/>
    <s v="29-Sep-2026"/>
    <s v="Tuesday"/>
    <s v="Monthly - Tuesday"/>
    <s v="Monthly - Tuesday"/>
    <s v="Month+3 Expiry"/>
    <n v="43269"/>
    <n v="6989.13"/>
    <n v="84.27"/>
  </r>
  <r>
    <s v="03-Jun-2026"/>
    <x v="2"/>
    <s v="Week1-Jun-2026"/>
    <x v="9"/>
    <s v="29-Dec-2026"/>
    <s v="Tuesday"/>
    <s v="Monthly - Tuesday"/>
    <s v="Monthly - Tuesday"/>
    <s v="Month+6 Expiry"/>
    <n v="54998"/>
    <n v="8977.4"/>
    <n v="216.68"/>
  </r>
  <r>
    <s v="03-Jun-2026"/>
    <x v="2"/>
    <s v="Week1-Jun-2026"/>
    <x v="9"/>
    <s v="30-Mar-2027"/>
    <s v="Tuesday"/>
    <s v="Monthly - Tuesday"/>
    <s v="Monthly - Tuesday"/>
    <s v="Month+9 Expiry"/>
    <n v="7"/>
    <n v="1.21"/>
    <n v="0.02"/>
  </r>
  <r>
    <s v="03-Jun-2026"/>
    <x v="2"/>
    <s v="Week1-Jun-2026"/>
    <x v="9"/>
    <s v="29-Jun-2027"/>
    <s v="Tuesday"/>
    <s v="Monthly - Tuesday"/>
    <s v="Monthly - Tuesday"/>
    <s v="Month+12 Expiry"/>
    <n v="0"/>
    <n v="0"/>
    <n v="0"/>
  </r>
  <r>
    <s v="03-Jun-2026"/>
    <x v="2"/>
    <s v="Week1-Jun-2026"/>
    <x v="9"/>
    <s v="28-Dec-2027"/>
    <s v="Tuesday"/>
    <s v="Monthly - Tuesday"/>
    <s v="Monthly - Tuesday"/>
    <s v="Month+18 Expiry"/>
    <n v="368"/>
    <n v="64.569999999999993"/>
    <n v="2.77"/>
  </r>
  <r>
    <s v="03-Jun-2026"/>
    <x v="2"/>
    <s v="Week1-Jun-2026"/>
    <x v="9"/>
    <s v="27-Jun-2028"/>
    <s v="Tuesday"/>
    <s v="Monthly - Tuesday"/>
    <s v="Monthly - Tuesday"/>
    <s v="Month+24 Expiry"/>
    <n v="0"/>
    <n v="0"/>
    <n v="0"/>
  </r>
  <r>
    <s v="03-Jun-2026"/>
    <x v="2"/>
    <s v="Week1-Jun-2026"/>
    <x v="9"/>
    <s v="26-Dec-2028"/>
    <s v="Tuesday"/>
    <s v="Monthly - Tuesday"/>
    <s v="Monthly - Tuesday"/>
    <s v="Month+30 Expiry"/>
    <n v="16"/>
    <n v="3.05"/>
    <n v="0.21"/>
  </r>
  <r>
    <s v="03-Jun-2026"/>
    <x v="2"/>
    <s v="Week1-Jun-2026"/>
    <x v="9"/>
    <s v="26-Jun-2029"/>
    <s v="Tuesday"/>
    <s v="Monthly - Tuesday"/>
    <s v="Monthly - Tuesday"/>
    <s v="Month+36 Expiry"/>
    <n v="0"/>
    <n v="0"/>
    <n v="0"/>
  </r>
  <r>
    <s v="03-Jun-2026"/>
    <x v="2"/>
    <s v="Week1-Jun-2026"/>
    <x v="9"/>
    <s v="24-Dec-2029"/>
    <s v="Monday"/>
    <s v="Weekly - Monday"/>
    <s v="Weekly - Monday"/>
    <s v="Month+42 Expiry"/>
    <n v="4"/>
    <n v="0.39"/>
    <n v="0"/>
  </r>
  <r>
    <s v="03-Jun-2026"/>
    <x v="2"/>
    <s v="Week1-Jun-2026"/>
    <x v="9"/>
    <s v="25-Jun-2030"/>
    <s v="Tuesday"/>
    <s v="Monthly - Tuesday"/>
    <s v="Monthly - Tuesday"/>
    <s v="Month+48 Expiry"/>
    <n v="0"/>
    <n v="0"/>
    <n v="0"/>
  </r>
  <r>
    <s v="03-Jun-2026"/>
    <x v="2"/>
    <s v="Week1-Jun-2026"/>
    <x v="9"/>
    <s v="31-Dec-2030"/>
    <s v="Tuesday"/>
    <s v="Monthly - Tuesday"/>
    <s v="Monthly - Tuesday"/>
    <s v="Month+54 Expiry"/>
    <n v="1"/>
    <n v="0.16"/>
    <n v="0.01"/>
  </r>
  <r>
    <s v="04-Jun-2026"/>
    <x v="3"/>
    <s v="Week1-Jun-2026"/>
    <x v="9"/>
    <s v="09-Jun-2026"/>
    <s v="Tuesday"/>
    <s v="Weekly - Tuesday"/>
    <s v="Weekly - Tuesday"/>
    <s v="Same Month Expiry"/>
    <n v="48938214"/>
    <n v="7483462.0199999996"/>
    <n v="30068.42"/>
  </r>
  <r>
    <s v="04-Jun-2026"/>
    <x v="3"/>
    <s v="Week1-Jun-2026"/>
    <x v="9"/>
    <s v="16-Jun-2026"/>
    <s v="Tuesday"/>
    <s v="Weekly - Tuesday"/>
    <s v="Weekly - Tuesday"/>
    <s v="Same Month Expiry"/>
    <n v="1208969"/>
    <n v="185367.94"/>
    <n v="939.84"/>
  </r>
  <r>
    <s v="04-Jun-2026"/>
    <x v="3"/>
    <s v="Week1-Jun-2026"/>
    <x v="9"/>
    <s v="23-Jun-2026"/>
    <s v="Tuesday"/>
    <s v="Weekly - Tuesday"/>
    <s v="Weekly - Tuesday"/>
    <s v="Same Month Expiry"/>
    <n v="92167"/>
    <n v="14287.62"/>
    <n v="92.58"/>
  </r>
  <r>
    <s v="04-Jun-2026"/>
    <x v="3"/>
    <s v="Week1-Jun-2026"/>
    <x v="9"/>
    <s v="30-Jun-2026"/>
    <s v="Tuesday"/>
    <s v="Monthly - Tuesday"/>
    <s v="Monthly - Tuesday"/>
    <s v="Same Month Expiry"/>
    <n v="1053029"/>
    <n v="163580.4"/>
    <n v="1437.88"/>
  </r>
  <r>
    <s v="04-Jun-2026"/>
    <x v="3"/>
    <s v="Week1-Jun-2026"/>
    <x v="9"/>
    <s v="07-Jul-2026"/>
    <s v="Tuesday"/>
    <s v="Weekly - Tuesday"/>
    <s v="Weekly - Tuesday"/>
    <s v="Month+1 Expiry"/>
    <n v="1311"/>
    <n v="207.73"/>
    <n v="1.1499999999999999"/>
  </r>
  <r>
    <s v="04-Jun-2026"/>
    <x v="3"/>
    <s v="Week1-Jun-2026"/>
    <x v="9"/>
    <s v="28-Jul-2026"/>
    <s v="Tuesday"/>
    <s v="Monthly - Tuesday"/>
    <s v="Monthly - Tuesday"/>
    <s v="Month+1 Expiry"/>
    <n v="92779"/>
    <n v="14483.66"/>
    <n v="161.41"/>
  </r>
  <r>
    <s v="04-Jun-2026"/>
    <x v="3"/>
    <s v="Week1-Jun-2026"/>
    <x v="9"/>
    <s v="25-Aug-2026"/>
    <s v="Tuesday"/>
    <s v="Monthly - Tuesday"/>
    <s v="Monthly - Tuesday"/>
    <s v="Month+2 Expiry"/>
    <n v="12826"/>
    <n v="2021.21"/>
    <n v="32.74"/>
  </r>
  <r>
    <s v="04-Jun-2026"/>
    <x v="3"/>
    <s v="Week1-Jun-2026"/>
    <x v="9"/>
    <s v="29-Sep-2026"/>
    <s v="Tuesday"/>
    <s v="Monthly - Tuesday"/>
    <s v="Monthly - Tuesday"/>
    <s v="Month+3 Expiry"/>
    <n v="15263"/>
    <n v="2403.14"/>
    <n v="32.270000000000003"/>
  </r>
  <r>
    <s v="04-Jun-2026"/>
    <x v="3"/>
    <s v="Week1-Jun-2026"/>
    <x v="9"/>
    <s v="29-Dec-2026"/>
    <s v="Tuesday"/>
    <s v="Monthly - Tuesday"/>
    <s v="Monthly - Tuesday"/>
    <s v="Month+6 Expiry"/>
    <n v="27226"/>
    <n v="4397.67"/>
    <n v="99.96"/>
  </r>
  <r>
    <s v="04-Jun-2026"/>
    <x v="3"/>
    <s v="Week1-Jun-2026"/>
    <x v="9"/>
    <s v="30-Mar-2027"/>
    <s v="Tuesday"/>
    <s v="Monthly - Tuesday"/>
    <s v="Monthly - Tuesday"/>
    <s v="Month+9 Expiry"/>
    <n v="55"/>
    <n v="10.06"/>
    <n v="0.1"/>
  </r>
  <r>
    <s v="04-Jun-2026"/>
    <x v="3"/>
    <s v="Week1-Jun-2026"/>
    <x v="9"/>
    <s v="29-Jun-2027"/>
    <s v="Tuesday"/>
    <s v="Monthly - Tuesday"/>
    <s v="Monthly - Tuesday"/>
    <s v="Month+12 Expiry"/>
    <n v="1"/>
    <n v="0.14000000000000001"/>
    <n v="0"/>
  </r>
  <r>
    <s v="04-Jun-2026"/>
    <x v="3"/>
    <s v="Week1-Jun-2026"/>
    <x v="9"/>
    <s v="28-Dec-2027"/>
    <s v="Tuesday"/>
    <s v="Monthly - Tuesday"/>
    <s v="Monthly - Tuesday"/>
    <s v="Month+18 Expiry"/>
    <n v="126"/>
    <n v="22.51"/>
    <n v="0.99"/>
  </r>
  <r>
    <s v="04-Jun-2026"/>
    <x v="3"/>
    <s v="Week1-Jun-2026"/>
    <x v="9"/>
    <s v="27-Jun-2028"/>
    <s v="Tuesday"/>
    <s v="Monthly - Tuesday"/>
    <s v="Monthly - Tuesday"/>
    <s v="Month+24 Expiry"/>
    <n v="0"/>
    <n v="0"/>
    <n v="0"/>
  </r>
  <r>
    <s v="04-Jun-2026"/>
    <x v="3"/>
    <s v="Week1-Jun-2026"/>
    <x v="9"/>
    <s v="26-Dec-2028"/>
    <s v="Tuesday"/>
    <s v="Monthly - Tuesday"/>
    <s v="Monthly - Tuesday"/>
    <s v="Month+30 Expiry"/>
    <n v="13"/>
    <n v="2.46"/>
    <n v="0.17"/>
  </r>
  <r>
    <s v="04-Jun-2026"/>
    <x v="3"/>
    <s v="Week1-Jun-2026"/>
    <x v="9"/>
    <s v="26-Jun-2029"/>
    <s v="Tuesday"/>
    <s v="Monthly - Tuesday"/>
    <s v="Monthly - Tuesday"/>
    <s v="Month+36 Expiry"/>
    <n v="0"/>
    <n v="0"/>
    <n v="0"/>
  </r>
  <r>
    <s v="04-Jun-2026"/>
    <x v="3"/>
    <s v="Week1-Jun-2026"/>
    <x v="9"/>
    <s v="24-Dec-2029"/>
    <s v="Monday"/>
    <s v="Weekly - Monday"/>
    <s v="Weekly - Monday"/>
    <s v="Month+42 Expiry"/>
    <n v="0"/>
    <n v="0"/>
    <n v="0"/>
  </r>
  <r>
    <s v="04-Jun-2026"/>
    <x v="3"/>
    <s v="Week1-Jun-2026"/>
    <x v="9"/>
    <s v="25-Jun-2030"/>
    <s v="Tuesday"/>
    <s v="Monthly - Tuesday"/>
    <s v="Monthly - Tuesday"/>
    <s v="Month+48 Expiry"/>
    <n v="0"/>
    <n v="0"/>
    <n v="0"/>
  </r>
  <r>
    <s v="04-Jun-2026"/>
    <x v="3"/>
    <s v="Week1-Jun-2026"/>
    <x v="9"/>
    <s v="31-Dec-2030"/>
    <s v="Tuesday"/>
    <s v="Monthly - Tuesday"/>
    <s v="Monthly - Tuesday"/>
    <s v="Month+54 Expiry"/>
    <n v="0"/>
    <n v="0"/>
    <n v="0"/>
  </r>
  <r>
    <s v="05-Jun-2026"/>
    <x v="4"/>
    <s v="Week1-Jun-2026"/>
    <x v="9"/>
    <s v="09-Jun-2026"/>
    <s v="Tuesday"/>
    <s v="Weekly - Tuesday"/>
    <s v="Weekly - Tuesday"/>
    <s v="Same Month Expiry"/>
    <n v="113810776"/>
    <n v="17409791.379999999"/>
    <n v="61886.04"/>
  </r>
  <r>
    <s v="05-Jun-2026"/>
    <x v="4"/>
    <s v="Week1-Jun-2026"/>
    <x v="9"/>
    <s v="16-Jun-2026"/>
    <s v="Tuesday"/>
    <s v="Weekly - Tuesday"/>
    <s v="Weekly - Tuesday"/>
    <s v="Same Month Expiry"/>
    <n v="2093522"/>
    <n v="320670.06"/>
    <n v="1551.15"/>
  </r>
  <r>
    <s v="05-Jun-2026"/>
    <x v="4"/>
    <s v="Week1-Jun-2026"/>
    <x v="9"/>
    <s v="23-Jun-2026"/>
    <s v="Tuesday"/>
    <s v="Weekly - Tuesday"/>
    <s v="Weekly - Tuesday"/>
    <s v="Same Month Expiry"/>
    <n v="132836"/>
    <n v="20570.79"/>
    <n v="124.28"/>
  </r>
  <r>
    <s v="05-Jun-2026"/>
    <x v="4"/>
    <s v="Week1-Jun-2026"/>
    <x v="9"/>
    <s v="30-Jun-2026"/>
    <s v="Tuesday"/>
    <s v="Monthly - Tuesday"/>
    <s v="Monthly - Tuesday"/>
    <s v="Same Month Expiry"/>
    <n v="1272888"/>
    <n v="197580.21"/>
    <n v="1638.4"/>
  </r>
  <r>
    <s v="05-Jun-2026"/>
    <x v="4"/>
    <s v="Week1-Jun-2026"/>
    <x v="9"/>
    <s v="07-Jul-2026"/>
    <s v="Tuesday"/>
    <s v="Weekly - Tuesday"/>
    <s v="Weekly - Tuesday"/>
    <s v="Month+1 Expiry"/>
    <n v="4837"/>
    <n v="759.13"/>
    <n v="4.7"/>
  </r>
  <r>
    <s v="05-Jun-2026"/>
    <x v="4"/>
    <s v="Week1-Jun-2026"/>
    <x v="9"/>
    <s v="28-Jul-2026"/>
    <s v="Tuesday"/>
    <s v="Monthly - Tuesday"/>
    <s v="Monthly - Tuesday"/>
    <s v="Month+1 Expiry"/>
    <n v="117689"/>
    <n v="18407.97"/>
    <n v="177.17"/>
  </r>
  <r>
    <s v="05-Jun-2026"/>
    <x v="4"/>
    <s v="Week1-Jun-2026"/>
    <x v="9"/>
    <s v="25-Aug-2026"/>
    <s v="Tuesday"/>
    <s v="Monthly - Tuesday"/>
    <s v="Monthly - Tuesday"/>
    <s v="Month+2 Expiry"/>
    <n v="23759"/>
    <n v="3736.05"/>
    <n v="50.76"/>
  </r>
  <r>
    <s v="05-Jun-2026"/>
    <x v="4"/>
    <s v="Week1-Jun-2026"/>
    <x v="9"/>
    <s v="29-Sep-2026"/>
    <s v="Tuesday"/>
    <s v="Monthly - Tuesday"/>
    <s v="Monthly - Tuesday"/>
    <s v="Month+3 Expiry"/>
    <n v="16856"/>
    <n v="2681.76"/>
    <n v="33.31"/>
  </r>
  <r>
    <s v="05-Jun-2026"/>
    <x v="4"/>
    <s v="Week1-Jun-2026"/>
    <x v="9"/>
    <s v="29-Dec-2026"/>
    <s v="Tuesday"/>
    <s v="Monthly - Tuesday"/>
    <s v="Monthly - Tuesday"/>
    <s v="Month+6 Expiry"/>
    <n v="30341"/>
    <n v="4945.17"/>
    <n v="124.4"/>
  </r>
  <r>
    <s v="05-Jun-2026"/>
    <x v="4"/>
    <s v="Week1-Jun-2026"/>
    <x v="9"/>
    <s v="30-Mar-2027"/>
    <s v="Tuesday"/>
    <s v="Monthly - Tuesday"/>
    <s v="Monthly - Tuesday"/>
    <s v="Month+9 Expiry"/>
    <n v="13"/>
    <n v="2.1"/>
    <n v="0.04"/>
  </r>
  <r>
    <s v="05-Jun-2026"/>
    <x v="4"/>
    <s v="Week1-Jun-2026"/>
    <x v="9"/>
    <s v="29-Jun-2027"/>
    <s v="Tuesday"/>
    <s v="Monthly - Tuesday"/>
    <s v="Monthly - Tuesday"/>
    <s v="Month+12 Expiry"/>
    <n v="3"/>
    <n v="0.45"/>
    <n v="0.01"/>
  </r>
  <r>
    <s v="05-Jun-2026"/>
    <x v="4"/>
    <s v="Week1-Jun-2026"/>
    <x v="9"/>
    <s v="28-Dec-2027"/>
    <s v="Tuesday"/>
    <s v="Monthly - Tuesday"/>
    <s v="Monthly - Tuesday"/>
    <s v="Month+18 Expiry"/>
    <n v="99"/>
    <n v="16.77"/>
    <n v="0.79"/>
  </r>
  <r>
    <s v="05-Jun-2026"/>
    <x v="4"/>
    <s v="Week1-Jun-2026"/>
    <x v="9"/>
    <s v="27-Jun-2028"/>
    <s v="Tuesday"/>
    <s v="Monthly - Tuesday"/>
    <s v="Monthly - Tuesday"/>
    <s v="Month+24 Expiry"/>
    <n v="0"/>
    <n v="0"/>
    <n v="0"/>
  </r>
  <r>
    <s v="05-Jun-2026"/>
    <x v="4"/>
    <s v="Week1-Jun-2026"/>
    <x v="9"/>
    <s v="26-Dec-2028"/>
    <s v="Tuesday"/>
    <s v="Monthly - Tuesday"/>
    <s v="Monthly - Tuesday"/>
    <s v="Month+30 Expiry"/>
    <n v="4"/>
    <n v="0.68"/>
    <n v="0.04"/>
  </r>
  <r>
    <s v="05-Jun-2026"/>
    <x v="4"/>
    <s v="Week1-Jun-2026"/>
    <x v="9"/>
    <s v="26-Jun-2029"/>
    <s v="Tuesday"/>
    <s v="Monthly - Tuesday"/>
    <s v="Monthly - Tuesday"/>
    <s v="Month+36 Expiry"/>
    <n v="0"/>
    <n v="0"/>
    <n v="0"/>
  </r>
  <r>
    <s v="05-Jun-2026"/>
    <x v="4"/>
    <s v="Week1-Jun-2026"/>
    <x v="9"/>
    <s v="24-Dec-2029"/>
    <s v="Monday"/>
    <s v="Weekly - Monday"/>
    <s v="Weekly - Monday"/>
    <s v="Month+42 Expiry"/>
    <n v="0"/>
    <n v="0"/>
    <n v="0"/>
  </r>
  <r>
    <s v="05-Jun-2026"/>
    <x v="4"/>
    <s v="Week1-Jun-2026"/>
    <x v="9"/>
    <s v="25-Jun-2030"/>
    <s v="Tuesday"/>
    <s v="Monthly - Tuesday"/>
    <s v="Monthly - Tuesday"/>
    <s v="Month+48 Expiry"/>
    <n v="0"/>
    <n v="0"/>
    <n v="0"/>
  </r>
  <r>
    <s v="05-Jun-2026"/>
    <x v="4"/>
    <s v="Week1-Jun-2026"/>
    <x v="9"/>
    <s v="31-Dec-2030"/>
    <s v="Tuesday"/>
    <s v="Monthly - Tuesday"/>
    <s v="Monthly - Tuesday"/>
    <s v="Month+54 Expiry"/>
    <n v="2"/>
    <n v="0.33"/>
    <n v="0.02"/>
  </r>
  <r>
    <s v="08-Jun-2026"/>
    <x v="0"/>
    <s v="Week2-Jun-2026"/>
    <x v="9"/>
    <s v="09-Jun-2026"/>
    <s v="Tuesday"/>
    <s v="Weekly - Tuesday"/>
    <s v="Weekly - Tuesday"/>
    <s v="Same Month Expiry"/>
    <n v="130564411"/>
    <n v="19791950.710000001"/>
    <n v="53980.55"/>
  </r>
  <r>
    <s v="08-Jun-2026"/>
    <x v="0"/>
    <s v="Week2-Jun-2026"/>
    <x v="9"/>
    <s v="16-Jun-2026"/>
    <s v="Tuesday"/>
    <s v="Weekly - Tuesday"/>
    <s v="Weekly - Tuesday"/>
    <s v="Same Month Expiry"/>
    <n v="4187000"/>
    <n v="637958.73"/>
    <n v="3032.15"/>
  </r>
  <r>
    <s v="08-Jun-2026"/>
    <x v="0"/>
    <s v="Week2-Jun-2026"/>
    <x v="9"/>
    <s v="23-Jun-2026"/>
    <s v="Tuesday"/>
    <s v="Weekly - Tuesday"/>
    <s v="Weekly - Tuesday"/>
    <s v="Same Month Expiry"/>
    <n v="214530"/>
    <n v="33059.18"/>
    <n v="186.27"/>
  </r>
  <r>
    <s v="08-Jun-2026"/>
    <x v="0"/>
    <s v="Week2-Jun-2026"/>
    <x v="9"/>
    <s v="30-Jun-2026"/>
    <s v="Tuesday"/>
    <s v="Monthly - Tuesday"/>
    <s v="Monthly - Tuesday"/>
    <s v="Same Month Expiry"/>
    <n v="1576878"/>
    <n v="243475.18"/>
    <n v="2129.3000000000002"/>
  </r>
  <r>
    <s v="08-Jun-2026"/>
    <x v="0"/>
    <s v="Week2-Jun-2026"/>
    <x v="9"/>
    <s v="07-Jul-2026"/>
    <s v="Tuesday"/>
    <s v="Weekly - Tuesday"/>
    <s v="Weekly - Tuesday"/>
    <s v="Month+1 Expiry"/>
    <n v="7276"/>
    <n v="1135.3399999999999"/>
    <n v="8.6199999999999992"/>
  </r>
  <r>
    <s v="08-Jun-2026"/>
    <x v="0"/>
    <s v="Week2-Jun-2026"/>
    <x v="9"/>
    <s v="28-Jul-2026"/>
    <s v="Tuesday"/>
    <s v="Monthly - Tuesday"/>
    <s v="Monthly - Tuesday"/>
    <s v="Month+1 Expiry"/>
    <n v="192181"/>
    <n v="29820.44"/>
    <n v="330.19"/>
  </r>
  <r>
    <s v="08-Jun-2026"/>
    <x v="0"/>
    <s v="Week2-Jun-2026"/>
    <x v="9"/>
    <s v="25-Aug-2026"/>
    <s v="Tuesday"/>
    <s v="Monthly - Tuesday"/>
    <s v="Monthly - Tuesday"/>
    <s v="Month+2 Expiry"/>
    <n v="32422"/>
    <n v="5078.46"/>
    <n v="75.81"/>
  </r>
  <r>
    <s v="08-Jun-2026"/>
    <x v="0"/>
    <s v="Week2-Jun-2026"/>
    <x v="9"/>
    <s v="29-Sep-2026"/>
    <s v="Tuesday"/>
    <s v="Monthly - Tuesday"/>
    <s v="Monthly - Tuesday"/>
    <s v="Month+3 Expiry"/>
    <n v="30301"/>
    <n v="4704.18"/>
    <n v="58.97"/>
  </r>
  <r>
    <s v="08-Jun-2026"/>
    <x v="0"/>
    <s v="Week2-Jun-2026"/>
    <x v="9"/>
    <s v="29-Dec-2026"/>
    <s v="Tuesday"/>
    <s v="Monthly - Tuesday"/>
    <s v="Monthly - Tuesday"/>
    <s v="Month+6 Expiry"/>
    <n v="84756"/>
    <n v="13875.89"/>
    <n v="359.86"/>
  </r>
  <r>
    <s v="08-Jun-2026"/>
    <x v="0"/>
    <s v="Week2-Jun-2026"/>
    <x v="9"/>
    <s v="30-Mar-2027"/>
    <s v="Tuesday"/>
    <s v="Monthly - Tuesday"/>
    <s v="Monthly - Tuesday"/>
    <s v="Month+9 Expiry"/>
    <n v="7"/>
    <n v="1.21"/>
    <n v="0.02"/>
  </r>
  <r>
    <s v="08-Jun-2026"/>
    <x v="0"/>
    <s v="Week2-Jun-2026"/>
    <x v="9"/>
    <s v="29-Jun-2027"/>
    <s v="Tuesday"/>
    <s v="Monthly - Tuesday"/>
    <s v="Monthly - Tuesday"/>
    <s v="Month+12 Expiry"/>
    <n v="3"/>
    <n v="0.43"/>
    <n v="0.01"/>
  </r>
  <r>
    <s v="08-Jun-2026"/>
    <x v="0"/>
    <s v="Week2-Jun-2026"/>
    <x v="9"/>
    <s v="28-Dec-2027"/>
    <s v="Tuesday"/>
    <s v="Monthly - Tuesday"/>
    <s v="Monthly - Tuesday"/>
    <s v="Month+18 Expiry"/>
    <n v="331"/>
    <n v="56.19"/>
    <n v="2.4900000000000002"/>
  </r>
  <r>
    <s v="08-Jun-2026"/>
    <x v="0"/>
    <s v="Week2-Jun-2026"/>
    <x v="9"/>
    <s v="27-Jun-2028"/>
    <s v="Tuesday"/>
    <s v="Monthly - Tuesday"/>
    <s v="Monthly - Tuesday"/>
    <s v="Month+24 Expiry"/>
    <n v="0"/>
    <n v="0"/>
    <n v="0"/>
  </r>
  <r>
    <s v="08-Jun-2026"/>
    <x v="0"/>
    <s v="Week2-Jun-2026"/>
    <x v="9"/>
    <s v="26-Dec-2028"/>
    <s v="Tuesday"/>
    <s v="Monthly - Tuesday"/>
    <s v="Monthly - Tuesday"/>
    <s v="Month+30 Expiry"/>
    <n v="19"/>
    <n v="3.53"/>
    <n v="0.25"/>
  </r>
  <r>
    <s v="08-Jun-2026"/>
    <x v="0"/>
    <s v="Week2-Jun-2026"/>
    <x v="9"/>
    <s v="26-Jun-2029"/>
    <s v="Tuesday"/>
    <s v="Monthly - Tuesday"/>
    <s v="Monthly - Tuesday"/>
    <s v="Month+36 Expiry"/>
    <n v="0"/>
    <n v="0"/>
    <n v="0"/>
  </r>
  <r>
    <s v="08-Jun-2026"/>
    <x v="0"/>
    <s v="Week2-Jun-2026"/>
    <x v="9"/>
    <s v="24-Dec-2029"/>
    <s v="Monday"/>
    <s v="Weekly - Monday"/>
    <s v="Weekly - Monday"/>
    <s v="Month+42 Expiry"/>
    <n v="2"/>
    <n v="0.4"/>
    <n v="0.03"/>
  </r>
  <r>
    <s v="08-Jun-2026"/>
    <x v="0"/>
    <s v="Week2-Jun-2026"/>
    <x v="9"/>
    <s v="25-Jun-2030"/>
    <s v="Tuesday"/>
    <s v="Monthly - Tuesday"/>
    <s v="Monthly - Tuesday"/>
    <s v="Month+48 Expiry"/>
    <n v="0"/>
    <n v="0"/>
    <n v="0"/>
  </r>
  <r>
    <s v="08-Jun-2026"/>
    <x v="0"/>
    <s v="Week2-Jun-2026"/>
    <x v="9"/>
    <s v="31-Dec-2030"/>
    <s v="Tuesday"/>
    <s v="Monthly - Tuesday"/>
    <s v="Monthly - Tuesday"/>
    <s v="Month+54 Expiry"/>
    <n v="0"/>
    <n v="0"/>
    <n v="0"/>
  </r>
  <r>
    <s v="09-Jun-2026"/>
    <x v="1"/>
    <s v="Week2-Jun-2026"/>
    <x v="9"/>
    <s v="09-Jun-2026"/>
    <s v="Tuesday"/>
    <s v="Weekly - Tuesday"/>
    <s v="Weekly - Tuesday"/>
    <s v="Same Month Expiry"/>
    <n v="399409155"/>
    <n v="60343234.009999998"/>
    <n v="61668.87"/>
  </r>
  <r>
    <s v="09-Jun-2026"/>
    <x v="1"/>
    <s v="Week2-Jun-2026"/>
    <x v="9"/>
    <s v="16-Jun-2026"/>
    <s v="Tuesday"/>
    <s v="Weekly - Tuesday"/>
    <s v="Weekly - Tuesday"/>
    <s v="Same Month Expiry"/>
    <n v="9814301"/>
    <n v="1489479.75"/>
    <n v="5788.92"/>
  </r>
  <r>
    <s v="09-Jun-2026"/>
    <x v="1"/>
    <s v="Week2-Jun-2026"/>
    <x v="9"/>
    <s v="23-Jun-2026"/>
    <s v="Tuesday"/>
    <s v="Weekly - Tuesday"/>
    <s v="Weekly - Tuesday"/>
    <s v="Same Month Expiry"/>
    <n v="300380"/>
    <n v="45861.49"/>
    <n v="217.21"/>
  </r>
  <r>
    <s v="09-Jun-2026"/>
    <x v="1"/>
    <s v="Week2-Jun-2026"/>
    <x v="9"/>
    <s v="30-Jun-2026"/>
    <s v="Tuesday"/>
    <s v="Monthly - Tuesday"/>
    <s v="Monthly - Tuesday"/>
    <s v="Same Month Expiry"/>
    <n v="1297666"/>
    <n v="199415.11"/>
    <n v="1659.11"/>
  </r>
  <r>
    <s v="09-Jun-2026"/>
    <x v="1"/>
    <s v="Week2-Jun-2026"/>
    <x v="9"/>
    <s v="07-Jul-2026"/>
    <s v="Tuesday"/>
    <s v="Weekly - Tuesday"/>
    <s v="Weekly - Tuesday"/>
    <s v="Month+1 Expiry"/>
    <n v="8850"/>
    <n v="1375.36"/>
    <n v="8.18"/>
  </r>
  <r>
    <s v="09-Jun-2026"/>
    <x v="1"/>
    <s v="Week2-Jun-2026"/>
    <x v="9"/>
    <s v="28-Jul-2026"/>
    <s v="Tuesday"/>
    <s v="Monthly - Tuesday"/>
    <s v="Monthly - Tuesday"/>
    <s v="Month+1 Expiry"/>
    <n v="127450"/>
    <n v="19881.330000000002"/>
    <n v="201.33"/>
  </r>
  <r>
    <s v="09-Jun-2026"/>
    <x v="1"/>
    <s v="Week2-Jun-2026"/>
    <x v="9"/>
    <s v="25-Aug-2026"/>
    <s v="Tuesday"/>
    <s v="Monthly - Tuesday"/>
    <s v="Monthly - Tuesday"/>
    <s v="Month+2 Expiry"/>
    <n v="20718"/>
    <n v="3221.67"/>
    <n v="44.28"/>
  </r>
  <r>
    <s v="09-Jun-2026"/>
    <x v="1"/>
    <s v="Week2-Jun-2026"/>
    <x v="9"/>
    <s v="29-Sep-2026"/>
    <s v="Tuesday"/>
    <s v="Monthly - Tuesday"/>
    <s v="Monthly - Tuesday"/>
    <s v="Month+3 Expiry"/>
    <n v="23497"/>
    <n v="3747.28"/>
    <n v="35.28"/>
  </r>
  <r>
    <s v="09-Jun-2026"/>
    <x v="1"/>
    <s v="Week2-Jun-2026"/>
    <x v="9"/>
    <s v="29-Dec-2026"/>
    <s v="Tuesday"/>
    <s v="Monthly - Tuesday"/>
    <s v="Monthly - Tuesday"/>
    <s v="Month+6 Expiry"/>
    <n v="55099"/>
    <n v="9134.85"/>
    <n v="218.38"/>
  </r>
  <r>
    <s v="09-Jun-2026"/>
    <x v="1"/>
    <s v="Week2-Jun-2026"/>
    <x v="9"/>
    <s v="30-Mar-2027"/>
    <s v="Tuesday"/>
    <s v="Monthly - Tuesday"/>
    <s v="Monthly - Tuesday"/>
    <s v="Month+9 Expiry"/>
    <n v="27"/>
    <n v="4.7300000000000004"/>
    <n v="0.05"/>
  </r>
  <r>
    <s v="09-Jun-2026"/>
    <x v="1"/>
    <s v="Week2-Jun-2026"/>
    <x v="9"/>
    <s v="29-Jun-2027"/>
    <s v="Tuesday"/>
    <s v="Monthly - Tuesday"/>
    <s v="Monthly - Tuesday"/>
    <s v="Month+12 Expiry"/>
    <n v="3"/>
    <n v="0.51"/>
    <n v="0.04"/>
  </r>
  <r>
    <s v="09-Jun-2026"/>
    <x v="1"/>
    <s v="Week2-Jun-2026"/>
    <x v="9"/>
    <s v="28-Dec-2027"/>
    <s v="Tuesday"/>
    <s v="Monthly - Tuesday"/>
    <s v="Monthly - Tuesday"/>
    <s v="Month+18 Expiry"/>
    <n v="319"/>
    <n v="56.72"/>
    <n v="2.76"/>
  </r>
  <r>
    <s v="09-Jun-2026"/>
    <x v="1"/>
    <s v="Week2-Jun-2026"/>
    <x v="9"/>
    <s v="27-Jun-2028"/>
    <s v="Tuesday"/>
    <s v="Monthly - Tuesday"/>
    <s v="Monthly - Tuesday"/>
    <s v="Month+24 Expiry"/>
    <n v="0"/>
    <n v="0"/>
    <n v="0"/>
  </r>
  <r>
    <s v="09-Jun-2026"/>
    <x v="1"/>
    <s v="Week2-Jun-2026"/>
    <x v="9"/>
    <s v="26-Dec-2028"/>
    <s v="Tuesday"/>
    <s v="Monthly - Tuesday"/>
    <s v="Monthly - Tuesday"/>
    <s v="Month+30 Expiry"/>
    <n v="0"/>
    <n v="0"/>
    <n v="0"/>
  </r>
  <r>
    <s v="09-Jun-2026"/>
    <x v="1"/>
    <s v="Week2-Jun-2026"/>
    <x v="9"/>
    <s v="26-Jun-2029"/>
    <s v="Tuesday"/>
    <s v="Monthly - Tuesday"/>
    <s v="Monthly - Tuesday"/>
    <s v="Month+36 Expiry"/>
    <n v="0"/>
    <n v="0"/>
    <n v="0"/>
  </r>
  <r>
    <s v="09-Jun-2026"/>
    <x v="1"/>
    <s v="Week2-Jun-2026"/>
    <x v="9"/>
    <s v="24-Dec-2029"/>
    <s v="Monday"/>
    <s v="Weekly - Monday"/>
    <s v="Weekly - Monday"/>
    <s v="Month+42 Expiry"/>
    <n v="0"/>
    <n v="0"/>
    <n v="0"/>
  </r>
  <r>
    <s v="09-Jun-2026"/>
    <x v="1"/>
    <s v="Week2-Jun-2026"/>
    <x v="9"/>
    <s v="25-Jun-2030"/>
    <s v="Tuesday"/>
    <s v="Monthly - Tuesday"/>
    <s v="Monthly - Tuesday"/>
    <s v="Month+48 Expiry"/>
    <n v="0"/>
    <n v="0"/>
    <n v="0"/>
  </r>
  <r>
    <s v="09-Jun-2026"/>
    <x v="1"/>
    <s v="Week2-Jun-2026"/>
    <x v="9"/>
    <s v="31-Dec-2030"/>
    <s v="Tuesday"/>
    <s v="Monthly - Tuesday"/>
    <s v="Monthly - Tuesday"/>
    <s v="Month+54 Expiry"/>
    <n v="0"/>
    <n v="0"/>
    <n v="0"/>
  </r>
  <r>
    <s v="10-Jun-2026"/>
    <x v="2"/>
    <s v="Week2-Jun-2026"/>
    <x v="9"/>
    <s v="16-Jun-2026"/>
    <s v="Tuesday"/>
    <s v="Weekly - Tuesday"/>
    <s v="Weekly - Tuesday"/>
    <s v="Same Month Expiry"/>
    <n v="45522631"/>
    <n v="6938756.4400000004"/>
    <n v="31346.74"/>
  </r>
  <r>
    <s v="10-Jun-2026"/>
    <x v="2"/>
    <s v="Week2-Jun-2026"/>
    <x v="9"/>
    <s v="23-Jun-2026"/>
    <s v="Tuesday"/>
    <s v="Weekly - Tuesday"/>
    <s v="Weekly - Tuesday"/>
    <s v="Same Month Expiry"/>
    <n v="881454"/>
    <n v="134481.53"/>
    <n v="703.63"/>
  </r>
  <r>
    <s v="10-Jun-2026"/>
    <x v="2"/>
    <s v="Week2-Jun-2026"/>
    <x v="9"/>
    <s v="30-Jun-2026"/>
    <s v="Tuesday"/>
    <s v="Monthly - Tuesday"/>
    <s v="Monthly - Tuesday"/>
    <s v="Same Month Expiry"/>
    <n v="1384603"/>
    <n v="212904.67"/>
    <n v="1682.47"/>
  </r>
  <r>
    <s v="10-Jun-2026"/>
    <x v="2"/>
    <s v="Week2-Jun-2026"/>
    <x v="9"/>
    <s v="07-Jul-2026"/>
    <s v="Tuesday"/>
    <s v="Weekly - Tuesday"/>
    <s v="Weekly - Tuesday"/>
    <s v="Month+1 Expiry"/>
    <n v="16063"/>
    <n v="2486.6999999999998"/>
    <n v="21"/>
  </r>
  <r>
    <s v="10-Jun-2026"/>
    <x v="2"/>
    <s v="Week2-Jun-2026"/>
    <x v="9"/>
    <s v="14-Jul-2026"/>
    <s v="Tuesday"/>
    <s v="Weekly - Tuesday"/>
    <s v="Weekly - Tuesday"/>
    <s v="Month+1 Expiry"/>
    <n v="676"/>
    <n v="105.21"/>
    <n v="1.26"/>
  </r>
  <r>
    <s v="10-Jun-2026"/>
    <x v="2"/>
    <s v="Week2-Jun-2026"/>
    <x v="9"/>
    <s v="28-Jul-2026"/>
    <s v="Tuesday"/>
    <s v="Monthly - Tuesday"/>
    <s v="Monthly - Tuesday"/>
    <s v="Month+1 Expiry"/>
    <n v="159729"/>
    <n v="24747.03"/>
    <n v="248.74"/>
  </r>
  <r>
    <s v="10-Jun-2026"/>
    <x v="2"/>
    <s v="Week2-Jun-2026"/>
    <x v="9"/>
    <s v="25-Aug-2026"/>
    <s v="Tuesday"/>
    <s v="Monthly - Tuesday"/>
    <s v="Monthly - Tuesday"/>
    <s v="Month+2 Expiry"/>
    <n v="33666"/>
    <n v="5333.4"/>
    <n v="51.11"/>
  </r>
  <r>
    <s v="10-Jun-2026"/>
    <x v="2"/>
    <s v="Week2-Jun-2026"/>
    <x v="9"/>
    <s v="29-Sep-2026"/>
    <s v="Tuesday"/>
    <s v="Monthly - Tuesday"/>
    <s v="Monthly - Tuesday"/>
    <s v="Month+3 Expiry"/>
    <n v="29568"/>
    <n v="4650.82"/>
    <n v="48.56"/>
  </r>
  <r>
    <s v="10-Jun-2026"/>
    <x v="2"/>
    <s v="Week2-Jun-2026"/>
    <x v="9"/>
    <s v="29-Dec-2026"/>
    <s v="Tuesday"/>
    <s v="Monthly - Tuesday"/>
    <s v="Monthly - Tuesday"/>
    <s v="Month+6 Expiry"/>
    <n v="36691"/>
    <n v="5883.38"/>
    <n v="169.91"/>
  </r>
  <r>
    <s v="10-Jun-2026"/>
    <x v="2"/>
    <s v="Week2-Jun-2026"/>
    <x v="9"/>
    <s v="30-Mar-2027"/>
    <s v="Tuesday"/>
    <s v="Monthly - Tuesday"/>
    <s v="Monthly - Tuesday"/>
    <s v="Month+9 Expiry"/>
    <n v="39"/>
    <n v="6.71"/>
    <n v="0.06"/>
  </r>
  <r>
    <s v="10-Jun-2026"/>
    <x v="2"/>
    <s v="Week2-Jun-2026"/>
    <x v="9"/>
    <s v="29-Jun-2027"/>
    <s v="Tuesday"/>
    <s v="Monthly - Tuesday"/>
    <s v="Monthly - Tuesday"/>
    <s v="Month+12 Expiry"/>
    <n v="0"/>
    <n v="0"/>
    <n v="0"/>
  </r>
  <r>
    <s v="10-Jun-2026"/>
    <x v="2"/>
    <s v="Week2-Jun-2026"/>
    <x v="9"/>
    <s v="28-Dec-2027"/>
    <s v="Tuesday"/>
    <s v="Monthly - Tuesday"/>
    <s v="Monthly - Tuesday"/>
    <s v="Month+18 Expiry"/>
    <n v="322"/>
    <n v="57.89"/>
    <n v="2.12"/>
  </r>
  <r>
    <s v="10-Jun-2026"/>
    <x v="2"/>
    <s v="Week2-Jun-2026"/>
    <x v="9"/>
    <s v="27-Jun-2028"/>
    <s v="Tuesday"/>
    <s v="Monthly - Tuesday"/>
    <s v="Monthly - Tuesday"/>
    <s v="Month+24 Expiry"/>
    <n v="0"/>
    <n v="0"/>
    <n v="0"/>
  </r>
  <r>
    <s v="10-Jun-2026"/>
    <x v="2"/>
    <s v="Week2-Jun-2026"/>
    <x v="9"/>
    <s v="26-Dec-2028"/>
    <s v="Tuesday"/>
    <s v="Monthly - Tuesday"/>
    <s v="Monthly - Tuesday"/>
    <s v="Month+30 Expiry"/>
    <n v="5"/>
    <n v="0.94"/>
    <n v="7.0000000000000007E-2"/>
  </r>
  <r>
    <s v="10-Jun-2026"/>
    <x v="2"/>
    <s v="Week2-Jun-2026"/>
    <x v="9"/>
    <s v="26-Jun-2029"/>
    <s v="Tuesday"/>
    <s v="Monthly - Tuesday"/>
    <s v="Monthly - Tuesday"/>
    <s v="Month+36 Expiry"/>
    <n v="0"/>
    <n v="0"/>
    <n v="0"/>
  </r>
  <r>
    <s v="10-Jun-2026"/>
    <x v="2"/>
    <s v="Week2-Jun-2026"/>
    <x v="9"/>
    <s v="24-Dec-2029"/>
    <s v="Monday"/>
    <s v="Weekly - Monday"/>
    <s v="Weekly - Monday"/>
    <s v="Month+42 Expiry"/>
    <n v="0"/>
    <n v="0"/>
    <n v="0"/>
  </r>
  <r>
    <s v="10-Jun-2026"/>
    <x v="2"/>
    <s v="Week2-Jun-2026"/>
    <x v="9"/>
    <s v="25-Jun-2030"/>
    <s v="Tuesday"/>
    <s v="Monthly - Tuesday"/>
    <s v="Monthly - Tuesday"/>
    <s v="Month+48 Expiry"/>
    <n v="0"/>
    <n v="0"/>
    <n v="0"/>
  </r>
  <r>
    <s v="10-Jun-2026"/>
    <x v="2"/>
    <s v="Week2-Jun-2026"/>
    <x v="9"/>
    <s v="31-Dec-2030"/>
    <s v="Tuesday"/>
    <s v="Monthly - Tuesday"/>
    <s v="Monthly - Tuesday"/>
    <s v="Month+54 Expiry"/>
    <n v="0"/>
    <n v="0"/>
    <n v="0"/>
  </r>
  <r>
    <s v="11-Jun-2026"/>
    <x v="3"/>
    <s v="Week2-Jun-2026"/>
    <x v="9"/>
    <s v="16-Jun-2026"/>
    <s v="Tuesday"/>
    <s v="Weekly - Tuesday"/>
    <s v="Weekly - Tuesday"/>
    <s v="Same Month Expiry"/>
    <n v="47325140"/>
    <n v="7176816.5899999999"/>
    <n v="27496.01"/>
  </r>
  <r>
    <s v="11-Jun-2026"/>
    <x v="3"/>
    <s v="Week2-Jun-2026"/>
    <x v="9"/>
    <s v="23-Jun-2026"/>
    <s v="Tuesday"/>
    <s v="Weekly - Tuesday"/>
    <s v="Weekly - Tuesday"/>
    <s v="Same Month Expiry"/>
    <n v="1133307"/>
    <n v="172439.27"/>
    <n v="881.87"/>
  </r>
  <r>
    <s v="11-Jun-2026"/>
    <x v="3"/>
    <s v="Week2-Jun-2026"/>
    <x v="9"/>
    <s v="30-Jun-2026"/>
    <s v="Tuesday"/>
    <s v="Monthly - Tuesday"/>
    <s v="Monthly - Tuesday"/>
    <s v="Same Month Expiry"/>
    <n v="1514876"/>
    <n v="232268.4"/>
    <n v="1770.88"/>
  </r>
  <r>
    <s v="11-Jun-2026"/>
    <x v="3"/>
    <s v="Week2-Jun-2026"/>
    <x v="9"/>
    <s v="07-Jul-2026"/>
    <s v="Tuesday"/>
    <s v="Weekly - Tuesday"/>
    <s v="Weekly - Tuesday"/>
    <s v="Month+1 Expiry"/>
    <n v="24058"/>
    <n v="3724.78"/>
    <n v="31.2"/>
  </r>
  <r>
    <s v="11-Jun-2026"/>
    <x v="3"/>
    <s v="Week2-Jun-2026"/>
    <x v="9"/>
    <s v="14-Jul-2026"/>
    <s v="Tuesday"/>
    <s v="Weekly - Tuesday"/>
    <s v="Weekly - Tuesday"/>
    <s v="Month+1 Expiry"/>
    <n v="2873"/>
    <n v="441.43"/>
    <n v="4.13"/>
  </r>
  <r>
    <s v="11-Jun-2026"/>
    <x v="3"/>
    <s v="Week2-Jun-2026"/>
    <x v="9"/>
    <s v="28-Jul-2026"/>
    <s v="Tuesday"/>
    <s v="Monthly - Tuesday"/>
    <s v="Monthly - Tuesday"/>
    <s v="Month+1 Expiry"/>
    <n v="179428"/>
    <n v="27628.91"/>
    <n v="271.93"/>
  </r>
  <r>
    <s v="11-Jun-2026"/>
    <x v="3"/>
    <s v="Week2-Jun-2026"/>
    <x v="9"/>
    <s v="25-Aug-2026"/>
    <s v="Tuesday"/>
    <s v="Monthly - Tuesday"/>
    <s v="Monthly - Tuesday"/>
    <s v="Month+2 Expiry"/>
    <n v="29933"/>
    <n v="4679.03"/>
    <n v="62.47"/>
  </r>
  <r>
    <s v="11-Jun-2026"/>
    <x v="3"/>
    <s v="Week2-Jun-2026"/>
    <x v="9"/>
    <s v="29-Sep-2026"/>
    <s v="Tuesday"/>
    <s v="Monthly - Tuesday"/>
    <s v="Monthly - Tuesday"/>
    <s v="Month+3 Expiry"/>
    <n v="32890"/>
    <n v="5175.1000000000004"/>
    <n v="71.84"/>
  </r>
  <r>
    <s v="11-Jun-2026"/>
    <x v="3"/>
    <s v="Week2-Jun-2026"/>
    <x v="9"/>
    <s v="29-Dec-2026"/>
    <s v="Tuesday"/>
    <s v="Monthly - Tuesday"/>
    <s v="Monthly - Tuesday"/>
    <s v="Month+6 Expiry"/>
    <n v="31808"/>
    <n v="5215.0200000000004"/>
    <n v="129.04"/>
  </r>
  <r>
    <s v="11-Jun-2026"/>
    <x v="3"/>
    <s v="Week2-Jun-2026"/>
    <x v="9"/>
    <s v="30-Mar-2027"/>
    <s v="Tuesday"/>
    <s v="Monthly - Tuesday"/>
    <s v="Monthly - Tuesday"/>
    <s v="Month+9 Expiry"/>
    <n v="67"/>
    <n v="11.13"/>
    <n v="0.21"/>
  </r>
  <r>
    <s v="11-Jun-2026"/>
    <x v="3"/>
    <s v="Week2-Jun-2026"/>
    <x v="9"/>
    <s v="29-Jun-2027"/>
    <s v="Tuesday"/>
    <s v="Monthly - Tuesday"/>
    <s v="Monthly - Tuesday"/>
    <s v="Month+12 Expiry"/>
    <n v="4"/>
    <n v="0.62"/>
    <n v="0.03"/>
  </r>
  <r>
    <s v="11-Jun-2026"/>
    <x v="3"/>
    <s v="Week2-Jun-2026"/>
    <x v="9"/>
    <s v="28-Dec-2027"/>
    <s v="Tuesday"/>
    <s v="Monthly - Tuesday"/>
    <s v="Monthly - Tuesday"/>
    <s v="Month+18 Expiry"/>
    <n v="261"/>
    <n v="45.96"/>
    <n v="2.1"/>
  </r>
  <r>
    <s v="11-Jun-2026"/>
    <x v="3"/>
    <s v="Week2-Jun-2026"/>
    <x v="9"/>
    <s v="27-Jun-2028"/>
    <s v="Tuesday"/>
    <s v="Monthly - Tuesday"/>
    <s v="Monthly - Tuesday"/>
    <s v="Month+24 Expiry"/>
    <n v="0"/>
    <n v="0"/>
    <n v="0"/>
  </r>
  <r>
    <s v="11-Jun-2026"/>
    <x v="3"/>
    <s v="Week2-Jun-2026"/>
    <x v="9"/>
    <s v="26-Dec-2028"/>
    <s v="Tuesday"/>
    <s v="Monthly - Tuesday"/>
    <s v="Monthly - Tuesday"/>
    <s v="Month+30 Expiry"/>
    <n v="20"/>
    <n v="4"/>
    <n v="0.2"/>
  </r>
  <r>
    <s v="11-Jun-2026"/>
    <x v="3"/>
    <s v="Week2-Jun-2026"/>
    <x v="9"/>
    <s v="26-Jun-2029"/>
    <s v="Tuesday"/>
    <s v="Monthly - Tuesday"/>
    <s v="Monthly - Tuesday"/>
    <s v="Month+36 Expiry"/>
    <n v="0"/>
    <n v="0"/>
    <n v="0"/>
  </r>
  <r>
    <s v="11-Jun-2026"/>
    <x v="3"/>
    <s v="Week2-Jun-2026"/>
    <x v="9"/>
    <s v="24-Dec-2029"/>
    <s v="Monday"/>
    <s v="Weekly - Monday"/>
    <s v="Weekly - Monday"/>
    <s v="Month+42 Expiry"/>
    <n v="1"/>
    <n v="0.14000000000000001"/>
    <n v="0"/>
  </r>
  <r>
    <s v="11-Jun-2026"/>
    <x v="3"/>
    <s v="Week2-Jun-2026"/>
    <x v="9"/>
    <s v="25-Jun-2030"/>
    <s v="Tuesday"/>
    <s v="Monthly - Tuesday"/>
    <s v="Monthly - Tuesday"/>
    <s v="Month+48 Expiry"/>
    <n v="0"/>
    <n v="0"/>
    <n v="0"/>
  </r>
  <r>
    <s v="11-Jun-2026"/>
    <x v="3"/>
    <s v="Week2-Jun-2026"/>
    <x v="9"/>
    <s v="31-Dec-2030"/>
    <s v="Tuesday"/>
    <s v="Monthly - Tuesday"/>
    <s v="Monthly - Tuesday"/>
    <s v="Month+54 Expiry"/>
    <n v="0"/>
    <n v="0"/>
    <n v="0"/>
  </r>
  <r>
    <s v="12-Jun-2026"/>
    <x v="4"/>
    <s v="Week2-Jun-2026"/>
    <x v="9"/>
    <s v="16-Jun-2026"/>
    <s v="Tuesday"/>
    <s v="Weekly - Tuesday"/>
    <s v="Weekly - Tuesday"/>
    <s v="Same Month Expiry"/>
    <n v="108186835"/>
    <n v="16527613.029999999"/>
    <n v="53558.6"/>
  </r>
  <r>
    <s v="12-Jun-2026"/>
    <x v="4"/>
    <s v="Week2-Jun-2026"/>
    <x v="9"/>
    <s v="23-Jun-2026"/>
    <s v="Tuesday"/>
    <s v="Weekly - Tuesday"/>
    <s v="Weekly - Tuesday"/>
    <s v="Same Month Expiry"/>
    <n v="3059152"/>
    <n v="469802.48"/>
    <n v="2001.65"/>
  </r>
  <r>
    <s v="12-Jun-2026"/>
    <x v="4"/>
    <s v="Week2-Jun-2026"/>
    <x v="9"/>
    <s v="30-Jun-2026"/>
    <s v="Tuesday"/>
    <s v="Monthly - Tuesday"/>
    <s v="Monthly - Tuesday"/>
    <s v="Same Month Expiry"/>
    <n v="2654478"/>
    <n v="407856.56"/>
    <n v="2751.45"/>
  </r>
  <r>
    <s v="12-Jun-2026"/>
    <x v="4"/>
    <s v="Week2-Jun-2026"/>
    <x v="9"/>
    <s v="07-Jul-2026"/>
    <s v="Tuesday"/>
    <s v="Weekly - Tuesday"/>
    <s v="Weekly - Tuesday"/>
    <s v="Month+1 Expiry"/>
    <n v="51240"/>
    <n v="7924.91"/>
    <n v="60.24"/>
  </r>
  <r>
    <s v="12-Jun-2026"/>
    <x v="4"/>
    <s v="Week2-Jun-2026"/>
    <x v="9"/>
    <s v="14-Jul-2026"/>
    <s v="Tuesday"/>
    <s v="Weekly - Tuesday"/>
    <s v="Weekly - Tuesday"/>
    <s v="Month+1 Expiry"/>
    <n v="7776"/>
    <n v="1197.94"/>
    <n v="8.49"/>
  </r>
  <r>
    <s v="12-Jun-2026"/>
    <x v="4"/>
    <s v="Week2-Jun-2026"/>
    <x v="9"/>
    <s v="28-Jul-2026"/>
    <s v="Tuesday"/>
    <s v="Monthly - Tuesday"/>
    <s v="Monthly - Tuesday"/>
    <s v="Month+1 Expiry"/>
    <n v="375030"/>
    <n v="57435.27"/>
    <n v="500.65"/>
  </r>
  <r>
    <s v="12-Jun-2026"/>
    <x v="4"/>
    <s v="Week2-Jun-2026"/>
    <x v="9"/>
    <s v="25-Aug-2026"/>
    <s v="Tuesday"/>
    <s v="Monthly - Tuesday"/>
    <s v="Monthly - Tuesday"/>
    <s v="Month+2 Expiry"/>
    <n v="72904"/>
    <n v="11448.91"/>
    <n v="150.43"/>
  </r>
  <r>
    <s v="12-Jun-2026"/>
    <x v="4"/>
    <s v="Week2-Jun-2026"/>
    <x v="9"/>
    <s v="29-Sep-2026"/>
    <s v="Tuesday"/>
    <s v="Monthly - Tuesday"/>
    <s v="Monthly - Tuesday"/>
    <s v="Month+3 Expiry"/>
    <n v="48624"/>
    <n v="7612.47"/>
    <n v="91.54"/>
  </r>
  <r>
    <s v="12-Jun-2026"/>
    <x v="4"/>
    <s v="Week2-Jun-2026"/>
    <x v="9"/>
    <s v="29-Dec-2026"/>
    <s v="Tuesday"/>
    <s v="Monthly - Tuesday"/>
    <s v="Monthly - Tuesday"/>
    <s v="Month+6 Expiry"/>
    <n v="90067"/>
    <n v="14373.55"/>
    <n v="374.12"/>
  </r>
  <r>
    <s v="12-Jun-2026"/>
    <x v="4"/>
    <s v="Week2-Jun-2026"/>
    <x v="9"/>
    <s v="30-Mar-2027"/>
    <s v="Tuesday"/>
    <s v="Monthly - Tuesday"/>
    <s v="Monthly - Tuesday"/>
    <s v="Month+9 Expiry"/>
    <n v="240"/>
    <n v="45.03"/>
    <n v="0.41"/>
  </r>
  <r>
    <s v="12-Jun-2026"/>
    <x v="4"/>
    <s v="Week2-Jun-2026"/>
    <x v="9"/>
    <s v="29-Jun-2027"/>
    <s v="Tuesday"/>
    <s v="Monthly - Tuesday"/>
    <s v="Monthly - Tuesday"/>
    <s v="Month+12 Expiry"/>
    <n v="0"/>
    <n v="0"/>
    <n v="0"/>
  </r>
  <r>
    <s v="12-Jun-2026"/>
    <x v="4"/>
    <s v="Week2-Jun-2026"/>
    <x v="9"/>
    <s v="28-Dec-2027"/>
    <s v="Tuesday"/>
    <s v="Monthly - Tuesday"/>
    <s v="Monthly - Tuesday"/>
    <s v="Month+18 Expiry"/>
    <n v="638"/>
    <n v="109.59"/>
    <n v="5.17"/>
  </r>
  <r>
    <s v="12-Jun-2026"/>
    <x v="4"/>
    <s v="Week2-Jun-2026"/>
    <x v="9"/>
    <s v="27-Jun-2028"/>
    <s v="Tuesday"/>
    <s v="Monthly - Tuesday"/>
    <s v="Monthly - Tuesday"/>
    <s v="Month+24 Expiry"/>
    <n v="0"/>
    <n v="0"/>
    <n v="0"/>
  </r>
  <r>
    <s v="12-Jun-2026"/>
    <x v="4"/>
    <s v="Week2-Jun-2026"/>
    <x v="9"/>
    <s v="26-Dec-2028"/>
    <s v="Tuesday"/>
    <s v="Monthly - Tuesday"/>
    <s v="Monthly - Tuesday"/>
    <s v="Month+30 Expiry"/>
    <n v="14"/>
    <n v="2.67"/>
    <n v="0.21"/>
  </r>
  <r>
    <s v="12-Jun-2026"/>
    <x v="4"/>
    <s v="Week2-Jun-2026"/>
    <x v="9"/>
    <s v="26-Jun-2029"/>
    <s v="Tuesday"/>
    <s v="Monthly - Tuesday"/>
    <s v="Monthly - Tuesday"/>
    <s v="Month+36 Expiry"/>
    <n v="0"/>
    <n v="0"/>
    <n v="0"/>
  </r>
  <r>
    <s v="12-Jun-2026"/>
    <x v="4"/>
    <s v="Week2-Jun-2026"/>
    <x v="9"/>
    <s v="24-Dec-2029"/>
    <s v="Monday"/>
    <s v="Weekly - Monday"/>
    <s v="Weekly - Monday"/>
    <s v="Month+42 Expiry"/>
    <n v="0"/>
    <n v="0"/>
    <n v="0"/>
  </r>
  <r>
    <s v="12-Jun-2026"/>
    <x v="4"/>
    <s v="Week2-Jun-2026"/>
    <x v="9"/>
    <s v="25-Jun-2030"/>
    <s v="Tuesday"/>
    <s v="Monthly - Tuesday"/>
    <s v="Monthly - Tuesday"/>
    <s v="Month+48 Expiry"/>
    <n v="0"/>
    <n v="0"/>
    <n v="0"/>
  </r>
  <r>
    <s v="12-Jun-2026"/>
    <x v="4"/>
    <s v="Week2-Jun-2026"/>
    <x v="9"/>
    <s v="31-Dec-2030"/>
    <s v="Tuesday"/>
    <s v="Monthly - Tuesday"/>
    <s v="Monthly - Tuesday"/>
    <s v="Month+54 Expiry"/>
    <n v="0"/>
    <n v="0"/>
    <n v="0"/>
  </r>
  <r>
    <s v="15-Jun-2026"/>
    <x v="0"/>
    <s v="Week3-Jun-2026"/>
    <x v="9"/>
    <s v="16-Jun-2026"/>
    <s v="Tuesday"/>
    <s v="Weekly - Tuesday"/>
    <s v="Weekly - Tuesday"/>
    <s v="Same Month Expiry"/>
    <n v="141223335"/>
    <n v="21959599.34"/>
    <n v="50859.44"/>
  </r>
  <r>
    <s v="15-Jun-2026"/>
    <x v="0"/>
    <s v="Week3-Jun-2026"/>
    <x v="9"/>
    <s v="23-Jun-2026"/>
    <s v="Tuesday"/>
    <s v="Weekly - Tuesday"/>
    <s v="Weekly - Tuesday"/>
    <s v="Same Month Expiry"/>
    <n v="5212383"/>
    <n v="811846.52"/>
    <n v="3167.33"/>
  </r>
  <r>
    <s v="15-Jun-2026"/>
    <x v="0"/>
    <s v="Week3-Jun-2026"/>
    <x v="9"/>
    <s v="30-Jun-2026"/>
    <s v="Tuesday"/>
    <s v="Monthly - Tuesday"/>
    <s v="Monthly - Tuesday"/>
    <s v="Same Month Expiry"/>
    <n v="2544467"/>
    <n v="394712.54"/>
    <n v="2323.1999999999998"/>
  </r>
  <r>
    <s v="15-Jun-2026"/>
    <x v="0"/>
    <s v="Week3-Jun-2026"/>
    <x v="9"/>
    <s v="07-Jul-2026"/>
    <s v="Tuesday"/>
    <s v="Weekly - Tuesday"/>
    <s v="Weekly - Tuesday"/>
    <s v="Month+1 Expiry"/>
    <n v="71323"/>
    <n v="11106.93"/>
    <n v="71.44"/>
  </r>
  <r>
    <s v="15-Jun-2026"/>
    <x v="0"/>
    <s v="Week3-Jun-2026"/>
    <x v="9"/>
    <s v="14-Jul-2026"/>
    <s v="Tuesday"/>
    <s v="Weekly - Tuesday"/>
    <s v="Weekly - Tuesday"/>
    <s v="Month+1 Expiry"/>
    <n v="13354"/>
    <n v="2083.3200000000002"/>
    <n v="14.09"/>
  </r>
  <r>
    <s v="15-Jun-2026"/>
    <x v="0"/>
    <s v="Week3-Jun-2026"/>
    <x v="9"/>
    <s v="28-Jul-2026"/>
    <s v="Tuesday"/>
    <s v="Monthly - Tuesday"/>
    <s v="Monthly - Tuesday"/>
    <s v="Month+1 Expiry"/>
    <n v="435306"/>
    <n v="67080.509999999995"/>
    <n v="615.04999999999995"/>
  </r>
  <r>
    <s v="15-Jun-2026"/>
    <x v="0"/>
    <s v="Week3-Jun-2026"/>
    <x v="9"/>
    <s v="25-Aug-2026"/>
    <s v="Tuesday"/>
    <s v="Monthly - Tuesday"/>
    <s v="Monthly - Tuesday"/>
    <s v="Month+2 Expiry"/>
    <n v="89861"/>
    <n v="13944.93"/>
    <n v="176.65"/>
  </r>
  <r>
    <s v="15-Jun-2026"/>
    <x v="0"/>
    <s v="Week3-Jun-2026"/>
    <x v="9"/>
    <s v="29-Sep-2026"/>
    <s v="Tuesday"/>
    <s v="Monthly - Tuesday"/>
    <s v="Monthly - Tuesday"/>
    <s v="Month+3 Expiry"/>
    <n v="53920"/>
    <n v="8603.65"/>
    <n v="104.82"/>
  </r>
  <r>
    <s v="15-Jun-2026"/>
    <x v="0"/>
    <s v="Week3-Jun-2026"/>
    <x v="9"/>
    <s v="29-Dec-2026"/>
    <s v="Tuesday"/>
    <s v="Monthly - Tuesday"/>
    <s v="Monthly - Tuesday"/>
    <s v="Month+6 Expiry"/>
    <n v="82810"/>
    <n v="12973.2"/>
    <n v="302.17"/>
  </r>
  <r>
    <s v="15-Jun-2026"/>
    <x v="0"/>
    <s v="Week3-Jun-2026"/>
    <x v="9"/>
    <s v="30-Mar-2027"/>
    <s v="Tuesday"/>
    <s v="Monthly - Tuesday"/>
    <s v="Monthly - Tuesday"/>
    <s v="Month+9 Expiry"/>
    <n v="204"/>
    <n v="36.07"/>
    <n v="0.34"/>
  </r>
  <r>
    <s v="15-Jun-2026"/>
    <x v="0"/>
    <s v="Week3-Jun-2026"/>
    <x v="9"/>
    <s v="29-Jun-2027"/>
    <s v="Tuesday"/>
    <s v="Monthly - Tuesday"/>
    <s v="Monthly - Tuesday"/>
    <s v="Month+12 Expiry"/>
    <n v="11"/>
    <n v="1.55"/>
    <n v="0.03"/>
  </r>
  <r>
    <s v="15-Jun-2026"/>
    <x v="0"/>
    <s v="Week3-Jun-2026"/>
    <x v="9"/>
    <s v="28-Dec-2027"/>
    <s v="Tuesday"/>
    <s v="Monthly - Tuesday"/>
    <s v="Monthly - Tuesday"/>
    <s v="Month+18 Expiry"/>
    <n v="524"/>
    <n v="88.86"/>
    <n v="4.18"/>
  </r>
  <r>
    <s v="15-Jun-2026"/>
    <x v="0"/>
    <s v="Week3-Jun-2026"/>
    <x v="9"/>
    <s v="27-Jun-2028"/>
    <s v="Tuesday"/>
    <s v="Monthly - Tuesday"/>
    <s v="Monthly - Tuesday"/>
    <s v="Month+24 Expiry"/>
    <n v="0"/>
    <n v="0"/>
    <n v="0"/>
  </r>
  <r>
    <s v="15-Jun-2026"/>
    <x v="0"/>
    <s v="Week3-Jun-2026"/>
    <x v="9"/>
    <s v="26-Dec-2028"/>
    <s v="Tuesday"/>
    <s v="Monthly - Tuesday"/>
    <s v="Monthly - Tuesday"/>
    <s v="Month+30 Expiry"/>
    <n v="18"/>
    <n v="3.46"/>
    <n v="0.24"/>
  </r>
  <r>
    <s v="15-Jun-2026"/>
    <x v="0"/>
    <s v="Week3-Jun-2026"/>
    <x v="9"/>
    <s v="26-Jun-2029"/>
    <s v="Tuesday"/>
    <s v="Monthly - Tuesday"/>
    <s v="Monthly - Tuesday"/>
    <s v="Month+36 Expiry"/>
    <n v="0"/>
    <n v="0"/>
    <n v="0"/>
  </r>
  <r>
    <s v="15-Jun-2026"/>
    <x v="0"/>
    <s v="Week3-Jun-2026"/>
    <x v="9"/>
    <s v="24-Dec-2029"/>
    <s v="Monday"/>
    <s v="Weekly - Monday"/>
    <s v="Weekly - Monday"/>
    <s v="Month+42 Expiry"/>
    <n v="0"/>
    <n v="0"/>
    <n v="0"/>
  </r>
  <r>
    <s v="15-Jun-2026"/>
    <x v="0"/>
    <s v="Week3-Jun-2026"/>
    <x v="9"/>
    <s v="25-Jun-2030"/>
    <s v="Tuesday"/>
    <s v="Monthly - Tuesday"/>
    <s v="Monthly - Tuesday"/>
    <s v="Month+48 Expiry"/>
    <n v="0"/>
    <n v="0"/>
    <n v="0"/>
  </r>
  <r>
    <s v="15-Jun-2026"/>
    <x v="0"/>
    <s v="Week3-Jun-2026"/>
    <x v="9"/>
    <s v="31-Dec-2030"/>
    <s v="Tuesday"/>
    <s v="Monthly - Tuesday"/>
    <s v="Monthly - Tuesday"/>
    <s v="Month+54 Expiry"/>
    <n v="0"/>
    <n v="0"/>
    <n v="0"/>
  </r>
  <r>
    <s v="16-Jun-2026"/>
    <x v="1"/>
    <s v="Week3-Jun-2026"/>
    <x v="9"/>
    <s v="16-Jun-2026"/>
    <s v="Tuesday"/>
    <s v="Weekly - Tuesday"/>
    <s v="Weekly - Tuesday"/>
    <s v="Same Month Expiry"/>
    <n v="338771863"/>
    <n v="52754549.109999999"/>
    <n v="51059.34"/>
  </r>
  <r>
    <s v="16-Jun-2026"/>
    <x v="1"/>
    <s v="Week3-Jun-2026"/>
    <x v="9"/>
    <s v="23-Jun-2026"/>
    <s v="Tuesday"/>
    <s v="Weekly - Tuesday"/>
    <s v="Weekly - Tuesday"/>
    <s v="Same Month Expiry"/>
    <n v="8195508"/>
    <n v="1276607.5"/>
    <n v="4472.6400000000003"/>
  </r>
  <r>
    <s v="16-Jun-2026"/>
    <x v="1"/>
    <s v="Week3-Jun-2026"/>
    <x v="9"/>
    <s v="30-Jun-2026"/>
    <s v="Tuesday"/>
    <s v="Monthly - Tuesday"/>
    <s v="Monthly - Tuesday"/>
    <s v="Same Month Expiry"/>
    <n v="1799364"/>
    <n v="280764"/>
    <n v="1450.85"/>
  </r>
  <r>
    <s v="16-Jun-2026"/>
    <x v="1"/>
    <s v="Week3-Jun-2026"/>
    <x v="9"/>
    <s v="07-Jul-2026"/>
    <s v="Tuesday"/>
    <s v="Weekly - Tuesday"/>
    <s v="Weekly - Tuesday"/>
    <s v="Month+1 Expiry"/>
    <n v="55111"/>
    <n v="8620.74"/>
    <n v="48.79"/>
  </r>
  <r>
    <s v="16-Jun-2026"/>
    <x v="1"/>
    <s v="Week3-Jun-2026"/>
    <x v="9"/>
    <s v="14-Jul-2026"/>
    <s v="Tuesday"/>
    <s v="Weekly - Tuesday"/>
    <s v="Weekly - Tuesday"/>
    <s v="Month+1 Expiry"/>
    <n v="6886"/>
    <n v="1075.98"/>
    <n v="6.47"/>
  </r>
  <r>
    <s v="16-Jun-2026"/>
    <x v="1"/>
    <s v="Week3-Jun-2026"/>
    <x v="9"/>
    <s v="28-Jul-2026"/>
    <s v="Tuesday"/>
    <s v="Monthly - Tuesday"/>
    <s v="Monthly - Tuesday"/>
    <s v="Month+1 Expiry"/>
    <n v="250441"/>
    <n v="38863.660000000003"/>
    <n v="319.32"/>
  </r>
  <r>
    <s v="16-Jun-2026"/>
    <x v="1"/>
    <s v="Week3-Jun-2026"/>
    <x v="9"/>
    <s v="25-Aug-2026"/>
    <s v="Tuesday"/>
    <s v="Monthly - Tuesday"/>
    <s v="Monthly - Tuesday"/>
    <s v="Month+2 Expiry"/>
    <n v="45411"/>
    <n v="7115.42"/>
    <n v="84.89"/>
  </r>
  <r>
    <s v="16-Jun-2026"/>
    <x v="1"/>
    <s v="Week3-Jun-2026"/>
    <x v="9"/>
    <s v="29-Sep-2026"/>
    <s v="Tuesday"/>
    <s v="Monthly - Tuesday"/>
    <s v="Monthly - Tuesday"/>
    <s v="Month+3 Expiry"/>
    <n v="34795"/>
    <n v="5245.12"/>
    <n v="61.5"/>
  </r>
  <r>
    <s v="16-Jun-2026"/>
    <x v="1"/>
    <s v="Week3-Jun-2026"/>
    <x v="9"/>
    <s v="29-Dec-2026"/>
    <s v="Tuesday"/>
    <s v="Monthly - Tuesday"/>
    <s v="Monthly - Tuesday"/>
    <s v="Month+6 Expiry"/>
    <n v="40326"/>
    <n v="6254.28"/>
    <n v="119.86"/>
  </r>
  <r>
    <s v="16-Jun-2026"/>
    <x v="1"/>
    <s v="Week3-Jun-2026"/>
    <x v="9"/>
    <s v="30-Mar-2027"/>
    <s v="Tuesday"/>
    <s v="Monthly - Tuesday"/>
    <s v="Monthly - Tuesday"/>
    <s v="Month+9 Expiry"/>
    <n v="164"/>
    <n v="28.92"/>
    <n v="0.24"/>
  </r>
  <r>
    <s v="16-Jun-2026"/>
    <x v="1"/>
    <s v="Week3-Jun-2026"/>
    <x v="9"/>
    <s v="29-Jun-2027"/>
    <s v="Tuesday"/>
    <s v="Monthly - Tuesday"/>
    <s v="Monthly - Tuesday"/>
    <s v="Month+12 Expiry"/>
    <n v="0"/>
    <n v="0"/>
    <n v="0"/>
  </r>
  <r>
    <s v="16-Jun-2026"/>
    <x v="1"/>
    <s v="Week3-Jun-2026"/>
    <x v="9"/>
    <s v="28-Dec-2027"/>
    <s v="Tuesday"/>
    <s v="Monthly - Tuesday"/>
    <s v="Monthly - Tuesday"/>
    <s v="Month+18 Expiry"/>
    <n v="234"/>
    <n v="41.19"/>
    <n v="1.95"/>
  </r>
  <r>
    <s v="16-Jun-2026"/>
    <x v="1"/>
    <s v="Week3-Jun-2026"/>
    <x v="9"/>
    <s v="27-Jun-2028"/>
    <s v="Tuesday"/>
    <s v="Monthly - Tuesday"/>
    <s v="Monthly - Tuesday"/>
    <s v="Month+24 Expiry"/>
    <n v="0"/>
    <n v="0"/>
    <n v="0"/>
  </r>
  <r>
    <s v="16-Jun-2026"/>
    <x v="1"/>
    <s v="Week3-Jun-2026"/>
    <x v="9"/>
    <s v="26-Dec-2028"/>
    <s v="Tuesday"/>
    <s v="Monthly - Tuesday"/>
    <s v="Monthly - Tuesday"/>
    <s v="Month+30 Expiry"/>
    <n v="22"/>
    <n v="3.87"/>
    <n v="0.23"/>
  </r>
  <r>
    <s v="16-Jun-2026"/>
    <x v="1"/>
    <s v="Week3-Jun-2026"/>
    <x v="9"/>
    <s v="26-Jun-2029"/>
    <s v="Tuesday"/>
    <s v="Monthly - Tuesday"/>
    <s v="Monthly - Tuesday"/>
    <s v="Month+36 Expiry"/>
    <n v="0"/>
    <n v="0"/>
    <n v="0"/>
  </r>
  <r>
    <s v="16-Jun-2026"/>
    <x v="1"/>
    <s v="Week3-Jun-2026"/>
    <x v="9"/>
    <s v="24-Dec-2029"/>
    <s v="Monday"/>
    <s v="Weekly - Monday"/>
    <s v="Weekly - Monday"/>
    <s v="Month+42 Expiry"/>
    <n v="0"/>
    <n v="0"/>
    <n v="0"/>
  </r>
  <r>
    <s v="16-Jun-2026"/>
    <x v="1"/>
    <s v="Week3-Jun-2026"/>
    <x v="9"/>
    <s v="25-Jun-2030"/>
    <s v="Tuesday"/>
    <s v="Monthly - Tuesday"/>
    <s v="Monthly - Tuesday"/>
    <s v="Month+48 Expiry"/>
    <n v="0"/>
    <n v="0"/>
    <n v="0"/>
  </r>
  <r>
    <s v="16-Jun-2026"/>
    <x v="1"/>
    <s v="Week3-Jun-2026"/>
    <x v="9"/>
    <s v="31-Dec-2030"/>
    <s v="Tuesday"/>
    <s v="Monthly - Tuesday"/>
    <s v="Monthly - Tuesday"/>
    <s v="Month+54 Expiry"/>
    <n v="0"/>
    <n v="0"/>
    <n v="0"/>
  </r>
  <r>
    <s v="17-Jun-2026"/>
    <x v="2"/>
    <s v="Week3-Jun-2026"/>
    <x v="9"/>
    <s v="23-Jun-2026"/>
    <s v="Tuesday"/>
    <s v="Weekly - Tuesday"/>
    <s v="Weekly - Tuesday"/>
    <s v="Same Month Expiry"/>
    <n v="35379131"/>
    <n v="5548067.04"/>
    <n v="22236.2"/>
  </r>
  <r>
    <s v="17-Jun-2026"/>
    <x v="2"/>
    <s v="Week3-Jun-2026"/>
    <x v="9"/>
    <s v="30-Jun-2026"/>
    <s v="Tuesday"/>
    <s v="Monthly - Tuesday"/>
    <s v="Monthly - Tuesday"/>
    <s v="Same Month Expiry"/>
    <n v="1913823"/>
    <n v="299660.73"/>
    <n v="1577.6"/>
  </r>
  <r>
    <s v="17-Jun-2026"/>
    <x v="2"/>
    <s v="Week3-Jun-2026"/>
    <x v="9"/>
    <s v="07-Jul-2026"/>
    <s v="Tuesday"/>
    <s v="Weekly - Tuesday"/>
    <s v="Weekly - Tuesday"/>
    <s v="Month+1 Expiry"/>
    <n v="82453"/>
    <n v="12927.8"/>
    <n v="73.790000000000006"/>
  </r>
  <r>
    <s v="17-Jun-2026"/>
    <x v="2"/>
    <s v="Week3-Jun-2026"/>
    <x v="9"/>
    <s v="14-Jul-2026"/>
    <s v="Tuesday"/>
    <s v="Weekly - Tuesday"/>
    <s v="Weekly - Tuesday"/>
    <s v="Month+1 Expiry"/>
    <n v="13227"/>
    <n v="2073.63"/>
    <n v="13.12"/>
  </r>
  <r>
    <s v="17-Jun-2026"/>
    <x v="2"/>
    <s v="Week3-Jun-2026"/>
    <x v="9"/>
    <s v="21-Jul-2026"/>
    <s v="Tuesday"/>
    <s v="Weekly - Tuesday"/>
    <s v="Weekly - Tuesday"/>
    <s v="Month+1 Expiry"/>
    <n v="609"/>
    <n v="95.91"/>
    <n v="0.67"/>
  </r>
  <r>
    <s v="17-Jun-2026"/>
    <x v="2"/>
    <s v="Week3-Jun-2026"/>
    <x v="9"/>
    <s v="28-Jul-2026"/>
    <s v="Tuesday"/>
    <s v="Monthly - Tuesday"/>
    <s v="Monthly - Tuesday"/>
    <s v="Month+1 Expiry"/>
    <n v="370685"/>
    <n v="57275.040000000001"/>
    <n v="437.87"/>
  </r>
  <r>
    <s v="17-Jun-2026"/>
    <x v="2"/>
    <s v="Week3-Jun-2026"/>
    <x v="9"/>
    <s v="25-Aug-2026"/>
    <s v="Tuesday"/>
    <s v="Monthly - Tuesday"/>
    <s v="Monthly - Tuesday"/>
    <s v="Month+2 Expiry"/>
    <n v="42596"/>
    <n v="6696.27"/>
    <n v="75.900000000000006"/>
  </r>
  <r>
    <s v="17-Jun-2026"/>
    <x v="2"/>
    <s v="Week3-Jun-2026"/>
    <x v="9"/>
    <s v="29-Sep-2026"/>
    <s v="Tuesday"/>
    <s v="Monthly - Tuesday"/>
    <s v="Monthly - Tuesday"/>
    <s v="Month+3 Expiry"/>
    <n v="30058"/>
    <n v="4746.97"/>
    <n v="76.84"/>
  </r>
  <r>
    <s v="17-Jun-2026"/>
    <x v="2"/>
    <s v="Week3-Jun-2026"/>
    <x v="9"/>
    <s v="29-Dec-2026"/>
    <s v="Tuesday"/>
    <s v="Monthly - Tuesday"/>
    <s v="Monthly - Tuesday"/>
    <s v="Month+6 Expiry"/>
    <n v="58962"/>
    <n v="9484.07"/>
    <n v="204.64"/>
  </r>
  <r>
    <s v="17-Jun-2026"/>
    <x v="2"/>
    <s v="Week3-Jun-2026"/>
    <x v="9"/>
    <s v="30-Mar-2027"/>
    <s v="Tuesday"/>
    <s v="Monthly - Tuesday"/>
    <s v="Monthly - Tuesday"/>
    <s v="Month+9 Expiry"/>
    <n v="250"/>
    <n v="44.96"/>
    <n v="0.36"/>
  </r>
  <r>
    <s v="17-Jun-2026"/>
    <x v="2"/>
    <s v="Week3-Jun-2026"/>
    <x v="9"/>
    <s v="29-Jun-2027"/>
    <s v="Tuesday"/>
    <s v="Monthly - Tuesday"/>
    <s v="Monthly - Tuesday"/>
    <s v="Month+12 Expiry"/>
    <n v="2"/>
    <n v="0.28000000000000003"/>
    <n v="0"/>
  </r>
  <r>
    <s v="17-Jun-2026"/>
    <x v="2"/>
    <s v="Week3-Jun-2026"/>
    <x v="9"/>
    <s v="28-Dec-2027"/>
    <s v="Tuesday"/>
    <s v="Monthly - Tuesday"/>
    <s v="Monthly - Tuesday"/>
    <s v="Month+18 Expiry"/>
    <n v="323"/>
    <n v="54.15"/>
    <n v="2.2400000000000002"/>
  </r>
  <r>
    <s v="17-Jun-2026"/>
    <x v="2"/>
    <s v="Week3-Jun-2026"/>
    <x v="9"/>
    <s v="27-Jun-2028"/>
    <s v="Tuesday"/>
    <s v="Monthly - Tuesday"/>
    <s v="Monthly - Tuesday"/>
    <s v="Month+24 Expiry"/>
    <n v="0"/>
    <n v="0"/>
    <n v="0"/>
  </r>
  <r>
    <s v="17-Jun-2026"/>
    <x v="2"/>
    <s v="Week3-Jun-2026"/>
    <x v="9"/>
    <s v="26-Dec-2028"/>
    <s v="Tuesday"/>
    <s v="Monthly - Tuesday"/>
    <s v="Monthly - Tuesday"/>
    <s v="Month+30 Expiry"/>
    <n v="8"/>
    <n v="1.38"/>
    <n v="0.09"/>
  </r>
  <r>
    <s v="17-Jun-2026"/>
    <x v="2"/>
    <s v="Week3-Jun-2026"/>
    <x v="9"/>
    <s v="26-Jun-2029"/>
    <s v="Tuesday"/>
    <s v="Monthly - Tuesday"/>
    <s v="Monthly - Tuesday"/>
    <s v="Month+36 Expiry"/>
    <n v="0"/>
    <n v="0"/>
    <n v="0"/>
  </r>
  <r>
    <s v="17-Jun-2026"/>
    <x v="2"/>
    <s v="Week3-Jun-2026"/>
    <x v="9"/>
    <s v="24-Dec-2029"/>
    <s v="Monday"/>
    <s v="Weekly - Monday"/>
    <s v="Weekly - Monday"/>
    <s v="Month+42 Expiry"/>
    <n v="0"/>
    <n v="0"/>
    <n v="0"/>
  </r>
  <r>
    <s v="17-Jun-2026"/>
    <x v="2"/>
    <s v="Week3-Jun-2026"/>
    <x v="9"/>
    <s v="25-Jun-2030"/>
    <s v="Tuesday"/>
    <s v="Monthly - Tuesday"/>
    <s v="Monthly - Tuesday"/>
    <s v="Month+48 Expiry"/>
    <n v="0"/>
    <n v="0"/>
    <n v="0"/>
  </r>
  <r>
    <s v="17-Jun-2026"/>
    <x v="2"/>
    <s v="Week3-Jun-2026"/>
    <x v="9"/>
    <s v="31-Dec-2030"/>
    <s v="Tuesday"/>
    <s v="Monthly - Tuesday"/>
    <s v="Monthly - Tuesday"/>
    <s v="Month+54 Expiry"/>
    <n v="0"/>
    <n v="0"/>
    <n v="0"/>
  </r>
  <r>
    <s v="18-Jun-2026"/>
    <x v="3"/>
    <s v="Week3-Jun-2026"/>
    <x v="9"/>
    <s v="23-Jun-2026"/>
    <s v="Tuesday"/>
    <s v="Weekly - Tuesday"/>
    <s v="Weekly - Tuesday"/>
    <s v="Same Month Expiry"/>
    <n v="42409489"/>
    <n v="6649358.29"/>
    <n v="19621.87"/>
  </r>
  <r>
    <s v="18-Jun-2026"/>
    <x v="3"/>
    <s v="Week3-Jun-2026"/>
    <x v="9"/>
    <s v="30-Jun-2026"/>
    <s v="Tuesday"/>
    <s v="Monthly - Tuesday"/>
    <s v="Monthly - Tuesday"/>
    <s v="Same Month Expiry"/>
    <n v="2982978"/>
    <n v="467077.67"/>
    <n v="2086.09"/>
  </r>
  <r>
    <s v="18-Jun-2026"/>
    <x v="3"/>
    <s v="Week3-Jun-2026"/>
    <x v="9"/>
    <s v="07-Jul-2026"/>
    <s v="Tuesday"/>
    <s v="Weekly - Tuesday"/>
    <s v="Weekly - Tuesday"/>
    <s v="Month+1 Expiry"/>
    <n v="150426"/>
    <n v="23626.51"/>
    <n v="126.56"/>
  </r>
  <r>
    <s v="18-Jun-2026"/>
    <x v="3"/>
    <s v="Week3-Jun-2026"/>
    <x v="9"/>
    <s v="14-Jul-2026"/>
    <s v="Tuesday"/>
    <s v="Weekly - Tuesday"/>
    <s v="Weekly - Tuesday"/>
    <s v="Month+1 Expiry"/>
    <n v="18268"/>
    <n v="2864.51"/>
    <n v="18.559999999999999"/>
  </r>
  <r>
    <s v="18-Jun-2026"/>
    <x v="3"/>
    <s v="Week3-Jun-2026"/>
    <x v="9"/>
    <s v="21-Jul-2026"/>
    <s v="Tuesday"/>
    <s v="Weekly - Tuesday"/>
    <s v="Weekly - Tuesday"/>
    <s v="Month+1 Expiry"/>
    <n v="1620"/>
    <n v="254.92"/>
    <n v="2.04"/>
  </r>
  <r>
    <s v="18-Jun-2026"/>
    <x v="3"/>
    <s v="Week3-Jun-2026"/>
    <x v="9"/>
    <s v="28-Jul-2026"/>
    <s v="Tuesday"/>
    <s v="Monthly - Tuesday"/>
    <s v="Monthly - Tuesday"/>
    <s v="Month+1 Expiry"/>
    <n v="450563"/>
    <n v="70598.679999999993"/>
    <n v="569.77"/>
  </r>
  <r>
    <s v="18-Jun-2026"/>
    <x v="3"/>
    <s v="Week3-Jun-2026"/>
    <x v="9"/>
    <s v="25-Aug-2026"/>
    <s v="Tuesday"/>
    <s v="Monthly - Tuesday"/>
    <s v="Monthly - Tuesday"/>
    <s v="Month+2 Expiry"/>
    <n v="66224"/>
    <n v="10251.17"/>
    <n v="107.27"/>
  </r>
  <r>
    <s v="18-Jun-2026"/>
    <x v="3"/>
    <s v="Week3-Jun-2026"/>
    <x v="9"/>
    <s v="29-Sep-2026"/>
    <s v="Tuesday"/>
    <s v="Monthly - Tuesday"/>
    <s v="Monthly - Tuesday"/>
    <s v="Month+3 Expiry"/>
    <n v="35203"/>
    <n v="5625.82"/>
    <n v="99.85"/>
  </r>
  <r>
    <s v="18-Jun-2026"/>
    <x v="3"/>
    <s v="Week3-Jun-2026"/>
    <x v="9"/>
    <s v="29-Dec-2026"/>
    <s v="Tuesday"/>
    <s v="Monthly - Tuesday"/>
    <s v="Monthly - Tuesday"/>
    <s v="Month+6 Expiry"/>
    <n v="59942"/>
    <n v="9277.68"/>
    <n v="181.93"/>
  </r>
  <r>
    <s v="18-Jun-2026"/>
    <x v="3"/>
    <s v="Week3-Jun-2026"/>
    <x v="9"/>
    <s v="30-Mar-2027"/>
    <s v="Tuesday"/>
    <s v="Monthly - Tuesday"/>
    <s v="Monthly - Tuesday"/>
    <s v="Month+9 Expiry"/>
    <n v="219"/>
    <n v="36.25"/>
    <n v="0.42"/>
  </r>
  <r>
    <s v="18-Jun-2026"/>
    <x v="3"/>
    <s v="Week3-Jun-2026"/>
    <x v="9"/>
    <s v="29-Jun-2027"/>
    <s v="Tuesday"/>
    <s v="Monthly - Tuesday"/>
    <s v="Monthly - Tuesday"/>
    <s v="Month+12 Expiry"/>
    <n v="45"/>
    <n v="6.21"/>
    <n v="7.0000000000000007E-2"/>
  </r>
  <r>
    <s v="18-Jun-2026"/>
    <x v="3"/>
    <s v="Week3-Jun-2026"/>
    <x v="9"/>
    <s v="28-Dec-2027"/>
    <s v="Tuesday"/>
    <s v="Monthly - Tuesday"/>
    <s v="Monthly - Tuesday"/>
    <s v="Month+18 Expiry"/>
    <n v="376"/>
    <n v="61.3"/>
    <n v="2.4"/>
  </r>
  <r>
    <s v="18-Jun-2026"/>
    <x v="3"/>
    <s v="Week3-Jun-2026"/>
    <x v="9"/>
    <s v="27-Jun-2028"/>
    <s v="Tuesday"/>
    <s v="Monthly - Tuesday"/>
    <s v="Monthly - Tuesday"/>
    <s v="Month+24 Expiry"/>
    <n v="0"/>
    <n v="0"/>
    <n v="0"/>
  </r>
  <r>
    <s v="18-Jun-2026"/>
    <x v="3"/>
    <s v="Week3-Jun-2026"/>
    <x v="9"/>
    <s v="26-Dec-2028"/>
    <s v="Tuesday"/>
    <s v="Monthly - Tuesday"/>
    <s v="Monthly - Tuesday"/>
    <s v="Month+30 Expiry"/>
    <n v="2"/>
    <n v="0.38"/>
    <n v="0.03"/>
  </r>
  <r>
    <s v="18-Jun-2026"/>
    <x v="3"/>
    <s v="Week3-Jun-2026"/>
    <x v="9"/>
    <s v="26-Jun-2029"/>
    <s v="Tuesday"/>
    <s v="Monthly - Tuesday"/>
    <s v="Monthly - Tuesday"/>
    <s v="Month+36 Expiry"/>
    <n v="0"/>
    <n v="0"/>
    <n v="0"/>
  </r>
  <r>
    <s v="18-Jun-2026"/>
    <x v="3"/>
    <s v="Week3-Jun-2026"/>
    <x v="9"/>
    <s v="24-Dec-2029"/>
    <s v="Monday"/>
    <s v="Weekly - Monday"/>
    <s v="Weekly - Monday"/>
    <s v="Month+42 Expiry"/>
    <n v="0"/>
    <n v="0"/>
    <n v="0"/>
  </r>
  <r>
    <s v="18-Jun-2026"/>
    <x v="3"/>
    <s v="Week3-Jun-2026"/>
    <x v="9"/>
    <s v="25-Jun-2030"/>
    <s v="Tuesday"/>
    <s v="Monthly - Tuesday"/>
    <s v="Monthly - Tuesday"/>
    <s v="Month+48 Expiry"/>
    <n v="0"/>
    <n v="0"/>
    <n v="0"/>
  </r>
  <r>
    <s v="18-Jun-2026"/>
    <x v="3"/>
    <s v="Week3-Jun-2026"/>
    <x v="9"/>
    <s v="31-Dec-2030"/>
    <s v="Tuesday"/>
    <s v="Monthly - Tuesday"/>
    <s v="Monthly - Tuesday"/>
    <s v="Month+54 Expiry"/>
    <n v="0"/>
    <n v="0"/>
    <n v="0"/>
  </r>
  <r>
    <s v="19-Jun-2026"/>
    <x v="4"/>
    <s v="Week3-Jun-2026"/>
    <x v="9"/>
    <s v="23-Jun-2026"/>
    <s v="Tuesday"/>
    <s v="Weekly - Tuesday"/>
    <s v="Weekly - Tuesday"/>
    <s v="Same Month Expiry"/>
    <n v="85482141"/>
    <n v="13380816.92"/>
    <n v="38638.639999999999"/>
  </r>
  <r>
    <s v="19-Jun-2026"/>
    <x v="4"/>
    <s v="Week3-Jun-2026"/>
    <x v="9"/>
    <s v="30-Jun-2026"/>
    <s v="Tuesday"/>
    <s v="Monthly - Tuesday"/>
    <s v="Monthly - Tuesday"/>
    <s v="Same Month Expiry"/>
    <n v="4206528"/>
    <n v="657773.38"/>
    <n v="3012.85"/>
  </r>
  <r>
    <s v="19-Jun-2026"/>
    <x v="4"/>
    <s v="Week3-Jun-2026"/>
    <x v="9"/>
    <s v="07-Jul-2026"/>
    <s v="Tuesday"/>
    <s v="Weekly - Tuesday"/>
    <s v="Weekly - Tuesday"/>
    <s v="Month+1 Expiry"/>
    <n v="233863"/>
    <n v="36721.949999999997"/>
    <n v="210.03"/>
  </r>
  <r>
    <s v="19-Jun-2026"/>
    <x v="4"/>
    <s v="Week3-Jun-2026"/>
    <x v="9"/>
    <s v="14-Jul-2026"/>
    <s v="Tuesday"/>
    <s v="Weekly - Tuesday"/>
    <s v="Weekly - Tuesday"/>
    <s v="Month+1 Expiry"/>
    <n v="28045"/>
    <n v="4416.2700000000004"/>
    <n v="28.71"/>
  </r>
  <r>
    <s v="19-Jun-2026"/>
    <x v="4"/>
    <s v="Week3-Jun-2026"/>
    <x v="9"/>
    <s v="21-Jul-2026"/>
    <s v="Tuesday"/>
    <s v="Weekly - Tuesday"/>
    <s v="Weekly - Tuesday"/>
    <s v="Month+1 Expiry"/>
    <n v="3163"/>
    <n v="500.27"/>
    <n v="3.76"/>
  </r>
  <r>
    <s v="19-Jun-2026"/>
    <x v="4"/>
    <s v="Week3-Jun-2026"/>
    <x v="9"/>
    <s v="28-Jul-2026"/>
    <s v="Tuesday"/>
    <s v="Monthly - Tuesday"/>
    <s v="Monthly - Tuesday"/>
    <s v="Month+1 Expiry"/>
    <n v="392374"/>
    <n v="61566.53"/>
    <n v="542.57000000000005"/>
  </r>
  <r>
    <s v="19-Jun-2026"/>
    <x v="4"/>
    <s v="Week3-Jun-2026"/>
    <x v="9"/>
    <s v="25-Aug-2026"/>
    <s v="Tuesday"/>
    <s v="Monthly - Tuesday"/>
    <s v="Monthly - Tuesday"/>
    <s v="Month+2 Expiry"/>
    <n v="55848"/>
    <n v="8773.27"/>
    <n v="106.63"/>
  </r>
  <r>
    <s v="19-Jun-2026"/>
    <x v="4"/>
    <s v="Week3-Jun-2026"/>
    <x v="9"/>
    <s v="29-Sep-2026"/>
    <s v="Tuesday"/>
    <s v="Monthly - Tuesday"/>
    <s v="Monthly - Tuesday"/>
    <s v="Month+3 Expiry"/>
    <n v="28982"/>
    <n v="4501.55"/>
    <n v="72.2"/>
  </r>
  <r>
    <s v="19-Jun-2026"/>
    <x v="4"/>
    <s v="Week3-Jun-2026"/>
    <x v="9"/>
    <s v="29-Dec-2026"/>
    <s v="Tuesday"/>
    <s v="Monthly - Tuesday"/>
    <s v="Monthly - Tuesday"/>
    <s v="Month+6 Expiry"/>
    <n v="40681"/>
    <n v="6520.6"/>
    <n v="147.72999999999999"/>
  </r>
  <r>
    <s v="19-Jun-2026"/>
    <x v="4"/>
    <s v="Week3-Jun-2026"/>
    <x v="9"/>
    <s v="30-Mar-2027"/>
    <s v="Tuesday"/>
    <s v="Monthly - Tuesday"/>
    <s v="Monthly - Tuesday"/>
    <s v="Month+9 Expiry"/>
    <n v="168"/>
    <n v="29.75"/>
    <n v="0.4"/>
  </r>
  <r>
    <s v="19-Jun-2026"/>
    <x v="4"/>
    <s v="Week3-Jun-2026"/>
    <x v="9"/>
    <s v="29-Jun-2027"/>
    <s v="Tuesday"/>
    <s v="Monthly - Tuesday"/>
    <s v="Monthly - Tuesday"/>
    <s v="Month+12 Expiry"/>
    <n v="0"/>
    <n v="0"/>
    <n v="0"/>
  </r>
  <r>
    <s v="19-Jun-2026"/>
    <x v="4"/>
    <s v="Week3-Jun-2026"/>
    <x v="9"/>
    <s v="28-Dec-2027"/>
    <s v="Tuesday"/>
    <s v="Monthly - Tuesday"/>
    <s v="Monthly - Tuesday"/>
    <s v="Month+18 Expiry"/>
    <n v="293"/>
    <n v="50.5"/>
    <n v="1.96"/>
  </r>
  <r>
    <s v="19-Jun-2026"/>
    <x v="4"/>
    <s v="Week3-Jun-2026"/>
    <x v="9"/>
    <s v="27-Jun-2028"/>
    <s v="Tuesday"/>
    <s v="Monthly - Tuesday"/>
    <s v="Monthly - Tuesday"/>
    <s v="Month+24 Expiry"/>
    <n v="0"/>
    <n v="0"/>
    <n v="0"/>
  </r>
  <r>
    <s v="19-Jun-2026"/>
    <x v="4"/>
    <s v="Week3-Jun-2026"/>
    <x v="9"/>
    <s v="26-Dec-2028"/>
    <s v="Tuesday"/>
    <s v="Monthly - Tuesday"/>
    <s v="Monthly - Tuesday"/>
    <s v="Month+30 Expiry"/>
    <n v="2"/>
    <n v="0.38"/>
    <n v="0.02"/>
  </r>
  <r>
    <s v="19-Jun-2026"/>
    <x v="4"/>
    <s v="Week3-Jun-2026"/>
    <x v="9"/>
    <s v="26-Jun-2029"/>
    <s v="Tuesday"/>
    <s v="Monthly - Tuesday"/>
    <s v="Monthly - Tuesday"/>
    <s v="Month+36 Expiry"/>
    <n v="0"/>
    <n v="0"/>
    <n v="0"/>
  </r>
  <r>
    <s v="19-Jun-2026"/>
    <x v="4"/>
    <s v="Week3-Jun-2026"/>
    <x v="9"/>
    <s v="24-Dec-2029"/>
    <s v="Monday"/>
    <s v="Weekly - Monday"/>
    <s v="Weekly - Monday"/>
    <s v="Month+42 Expiry"/>
    <n v="0"/>
    <n v="0"/>
    <n v="0"/>
  </r>
  <r>
    <s v="19-Jun-2026"/>
    <x v="4"/>
    <s v="Week3-Jun-2026"/>
    <x v="9"/>
    <s v="25-Jun-2030"/>
    <s v="Tuesday"/>
    <s v="Monthly - Tuesday"/>
    <s v="Monthly - Tuesday"/>
    <s v="Month+48 Expiry"/>
    <n v="0"/>
    <n v="0"/>
    <n v="0"/>
  </r>
  <r>
    <s v="19-Jun-2026"/>
    <x v="4"/>
    <s v="Week3-Jun-2026"/>
    <x v="9"/>
    <s v="31-Dec-2030"/>
    <s v="Tuesday"/>
    <s v="Monthly - Tuesday"/>
    <s v="Monthly - Tuesday"/>
    <s v="Month+54 Expiry"/>
    <n v="0"/>
    <n v="0"/>
    <n v="0"/>
  </r>
  <r>
    <s v="22-Jun-2026"/>
    <x v="0"/>
    <s v="Week4-Jun-2026"/>
    <x v="9"/>
    <s v="23-Jun-2026"/>
    <s v="Tuesday"/>
    <s v="Weekly - Tuesday"/>
    <s v="Weekly - Tuesday"/>
    <s v="Same Month Expiry"/>
    <n v="91802748"/>
    <n v="14411431.539999999"/>
    <n v="28371.07"/>
  </r>
  <r>
    <s v="22-Jun-2026"/>
    <x v="0"/>
    <s v="Week4-Jun-2026"/>
    <x v="9"/>
    <s v="30-Jun-2026"/>
    <s v="Tuesday"/>
    <s v="Monthly - Tuesday"/>
    <s v="Monthly - Tuesday"/>
    <s v="Same Month Expiry"/>
    <n v="5107393"/>
    <n v="802304.79"/>
    <n v="2646.56"/>
  </r>
  <r>
    <s v="22-Jun-2026"/>
    <x v="0"/>
    <s v="Week4-Jun-2026"/>
    <x v="9"/>
    <s v="07-Jul-2026"/>
    <s v="Tuesday"/>
    <s v="Weekly - Tuesday"/>
    <s v="Weekly - Tuesday"/>
    <s v="Month+1 Expiry"/>
    <n v="279405"/>
    <n v="43891.47"/>
    <n v="193.07"/>
  </r>
  <r>
    <s v="22-Jun-2026"/>
    <x v="0"/>
    <s v="Week4-Jun-2026"/>
    <x v="9"/>
    <s v="14-Jul-2026"/>
    <s v="Tuesday"/>
    <s v="Weekly - Tuesday"/>
    <s v="Weekly - Tuesday"/>
    <s v="Month+1 Expiry"/>
    <n v="24473"/>
    <n v="3852.97"/>
    <n v="21.07"/>
  </r>
  <r>
    <s v="22-Jun-2026"/>
    <x v="0"/>
    <s v="Week4-Jun-2026"/>
    <x v="9"/>
    <s v="21-Jul-2026"/>
    <s v="Tuesday"/>
    <s v="Weekly - Tuesday"/>
    <s v="Weekly - Tuesday"/>
    <s v="Month+1 Expiry"/>
    <n v="3345"/>
    <n v="525.08000000000004"/>
    <n v="3.94"/>
  </r>
  <r>
    <s v="22-Jun-2026"/>
    <x v="0"/>
    <s v="Week4-Jun-2026"/>
    <x v="9"/>
    <s v="28-Jul-2026"/>
    <s v="Tuesday"/>
    <s v="Monthly - Tuesday"/>
    <s v="Monthly - Tuesday"/>
    <s v="Month+1 Expiry"/>
    <n v="358106"/>
    <n v="56217"/>
    <n v="491.4"/>
  </r>
  <r>
    <s v="22-Jun-2026"/>
    <x v="0"/>
    <s v="Week4-Jun-2026"/>
    <x v="9"/>
    <s v="25-Aug-2026"/>
    <s v="Tuesday"/>
    <s v="Monthly - Tuesday"/>
    <s v="Monthly - Tuesday"/>
    <s v="Month+2 Expiry"/>
    <n v="50098"/>
    <n v="7807.88"/>
    <n v="75.790000000000006"/>
  </r>
  <r>
    <s v="22-Jun-2026"/>
    <x v="0"/>
    <s v="Week4-Jun-2026"/>
    <x v="9"/>
    <s v="29-Sep-2026"/>
    <s v="Tuesday"/>
    <s v="Monthly - Tuesday"/>
    <s v="Monthly - Tuesday"/>
    <s v="Month+3 Expiry"/>
    <n v="33278"/>
    <n v="5055.16"/>
    <n v="69.2"/>
  </r>
  <r>
    <s v="22-Jun-2026"/>
    <x v="0"/>
    <s v="Week4-Jun-2026"/>
    <x v="9"/>
    <s v="29-Dec-2026"/>
    <s v="Tuesday"/>
    <s v="Monthly - Tuesday"/>
    <s v="Monthly - Tuesday"/>
    <s v="Month+6 Expiry"/>
    <n v="46540"/>
    <n v="7152.17"/>
    <n v="136.54"/>
  </r>
  <r>
    <s v="22-Jun-2026"/>
    <x v="0"/>
    <s v="Week4-Jun-2026"/>
    <x v="9"/>
    <s v="30-Mar-2027"/>
    <s v="Tuesday"/>
    <s v="Monthly - Tuesday"/>
    <s v="Monthly - Tuesday"/>
    <s v="Month+9 Expiry"/>
    <n v="1182"/>
    <n v="172.06"/>
    <n v="1.22"/>
  </r>
  <r>
    <s v="22-Jun-2026"/>
    <x v="0"/>
    <s v="Week4-Jun-2026"/>
    <x v="9"/>
    <s v="29-Jun-2027"/>
    <s v="Tuesday"/>
    <s v="Monthly - Tuesday"/>
    <s v="Monthly - Tuesday"/>
    <s v="Month+12 Expiry"/>
    <n v="1"/>
    <n v="0.14000000000000001"/>
    <n v="0"/>
  </r>
  <r>
    <s v="22-Jun-2026"/>
    <x v="0"/>
    <s v="Week4-Jun-2026"/>
    <x v="9"/>
    <s v="28-Dec-2027"/>
    <s v="Tuesday"/>
    <s v="Monthly - Tuesday"/>
    <s v="Monthly - Tuesday"/>
    <s v="Month+18 Expiry"/>
    <n v="527"/>
    <n v="88.38"/>
    <n v="3.52"/>
  </r>
  <r>
    <s v="22-Jun-2026"/>
    <x v="0"/>
    <s v="Week4-Jun-2026"/>
    <x v="9"/>
    <s v="27-Jun-2028"/>
    <s v="Tuesday"/>
    <s v="Monthly - Tuesday"/>
    <s v="Monthly - Tuesday"/>
    <s v="Month+24 Expiry"/>
    <n v="0"/>
    <n v="0"/>
    <n v="0"/>
  </r>
  <r>
    <s v="22-Jun-2026"/>
    <x v="0"/>
    <s v="Week4-Jun-2026"/>
    <x v="9"/>
    <s v="26-Dec-2028"/>
    <s v="Tuesday"/>
    <s v="Monthly - Tuesday"/>
    <s v="Monthly - Tuesday"/>
    <s v="Month+30 Expiry"/>
    <n v="8"/>
    <n v="1.36"/>
    <n v="0.08"/>
  </r>
  <r>
    <s v="22-Jun-2026"/>
    <x v="0"/>
    <s v="Week4-Jun-2026"/>
    <x v="9"/>
    <s v="26-Jun-2029"/>
    <s v="Tuesday"/>
    <s v="Monthly - Tuesday"/>
    <s v="Monthly - Tuesday"/>
    <s v="Month+36 Expiry"/>
    <n v="0"/>
    <n v="0"/>
    <n v="0"/>
  </r>
  <r>
    <s v="22-Jun-2026"/>
    <x v="0"/>
    <s v="Week4-Jun-2026"/>
    <x v="9"/>
    <s v="24-Dec-2029"/>
    <s v="Monday"/>
    <s v="Weekly - Monday"/>
    <s v="Weekly - Monday"/>
    <s v="Month+42 Expiry"/>
    <n v="0"/>
    <n v="0"/>
    <n v="0"/>
  </r>
  <r>
    <s v="22-Jun-2026"/>
    <x v="0"/>
    <s v="Week4-Jun-2026"/>
    <x v="9"/>
    <s v="25-Jun-2030"/>
    <s v="Tuesday"/>
    <s v="Monthly - Tuesday"/>
    <s v="Monthly - Tuesday"/>
    <s v="Month+48 Expiry"/>
    <n v="0"/>
    <n v="0"/>
    <n v="0"/>
  </r>
  <r>
    <s v="22-Jun-2026"/>
    <x v="0"/>
    <s v="Week4-Jun-2026"/>
    <x v="9"/>
    <s v="31-Dec-2030"/>
    <s v="Tuesday"/>
    <s v="Monthly - Tuesday"/>
    <s v="Monthly - Tuesday"/>
    <s v="Month+54 Expiry"/>
    <n v="0"/>
    <n v="0"/>
    <n v="0"/>
  </r>
  <r>
    <s v="23-Jun-2026"/>
    <x v="1"/>
    <s v="Week4-Jun-2026"/>
    <x v="9"/>
    <s v="23-Jun-2026"/>
    <s v="Tuesday"/>
    <s v="Weekly - Tuesday"/>
    <s v="Weekly - Tuesday"/>
    <s v="Same Month Expiry"/>
    <n v="426015951"/>
    <n v="66498206.890000001"/>
    <n v="59110.18"/>
  </r>
  <r>
    <s v="23-Jun-2026"/>
    <x v="1"/>
    <s v="Week4-Jun-2026"/>
    <x v="9"/>
    <s v="30-Jun-2026"/>
    <s v="Tuesday"/>
    <s v="Monthly - Tuesday"/>
    <s v="Monthly - Tuesday"/>
    <s v="Same Month Expiry"/>
    <n v="15695200"/>
    <n v="2462037"/>
    <n v="7576.16"/>
  </r>
  <r>
    <s v="23-Jun-2026"/>
    <x v="1"/>
    <s v="Week4-Jun-2026"/>
    <x v="9"/>
    <s v="07-Jul-2026"/>
    <s v="Tuesday"/>
    <s v="Weekly - Tuesday"/>
    <s v="Weekly - Tuesday"/>
    <s v="Month+1 Expiry"/>
    <n v="779668"/>
    <n v="122187.6"/>
    <n v="547.33000000000004"/>
  </r>
  <r>
    <s v="23-Jun-2026"/>
    <x v="1"/>
    <s v="Week4-Jun-2026"/>
    <x v="9"/>
    <s v="14-Jul-2026"/>
    <s v="Tuesday"/>
    <s v="Weekly - Tuesday"/>
    <s v="Weekly - Tuesday"/>
    <s v="Month+1 Expiry"/>
    <n v="65691"/>
    <n v="10315.69"/>
    <n v="58.05"/>
  </r>
  <r>
    <s v="23-Jun-2026"/>
    <x v="1"/>
    <s v="Week4-Jun-2026"/>
    <x v="9"/>
    <s v="21-Jul-2026"/>
    <s v="Tuesday"/>
    <s v="Weekly - Tuesday"/>
    <s v="Weekly - Tuesday"/>
    <s v="Month+1 Expiry"/>
    <n v="7790"/>
    <n v="1219.58"/>
    <n v="9.73"/>
  </r>
  <r>
    <s v="23-Jun-2026"/>
    <x v="1"/>
    <s v="Week4-Jun-2026"/>
    <x v="9"/>
    <s v="28-Jul-2026"/>
    <s v="Tuesday"/>
    <s v="Monthly - Tuesday"/>
    <s v="Monthly - Tuesday"/>
    <s v="Month+1 Expiry"/>
    <n v="677299"/>
    <n v="106589.79"/>
    <n v="962.5"/>
  </r>
  <r>
    <s v="23-Jun-2026"/>
    <x v="1"/>
    <s v="Week4-Jun-2026"/>
    <x v="9"/>
    <s v="25-Aug-2026"/>
    <s v="Tuesday"/>
    <s v="Monthly - Tuesday"/>
    <s v="Monthly - Tuesday"/>
    <s v="Month+2 Expiry"/>
    <n v="87429"/>
    <n v="13656.01"/>
    <n v="137.88999999999999"/>
  </r>
  <r>
    <s v="23-Jun-2026"/>
    <x v="1"/>
    <s v="Week4-Jun-2026"/>
    <x v="9"/>
    <s v="29-Sep-2026"/>
    <s v="Tuesday"/>
    <s v="Monthly - Tuesday"/>
    <s v="Monthly - Tuesday"/>
    <s v="Month+3 Expiry"/>
    <n v="45729"/>
    <n v="7081.17"/>
    <n v="97.92"/>
  </r>
  <r>
    <s v="23-Jun-2026"/>
    <x v="1"/>
    <s v="Week4-Jun-2026"/>
    <x v="9"/>
    <s v="29-Dec-2026"/>
    <s v="Tuesday"/>
    <s v="Monthly - Tuesday"/>
    <s v="Monthly - Tuesday"/>
    <s v="Month+6 Expiry"/>
    <n v="58842"/>
    <n v="9420.0300000000007"/>
    <n v="212.57"/>
  </r>
  <r>
    <s v="23-Jun-2026"/>
    <x v="1"/>
    <s v="Week4-Jun-2026"/>
    <x v="9"/>
    <s v="30-Mar-2027"/>
    <s v="Tuesday"/>
    <s v="Monthly - Tuesday"/>
    <s v="Monthly - Tuesday"/>
    <s v="Month+9 Expiry"/>
    <n v="424"/>
    <n v="70.98"/>
    <n v="0.78"/>
  </r>
  <r>
    <s v="23-Jun-2026"/>
    <x v="1"/>
    <s v="Week4-Jun-2026"/>
    <x v="9"/>
    <s v="29-Jun-2027"/>
    <s v="Tuesday"/>
    <s v="Monthly - Tuesday"/>
    <s v="Monthly - Tuesday"/>
    <s v="Month+12 Expiry"/>
    <n v="6"/>
    <n v="0.83"/>
    <n v="0.01"/>
  </r>
  <r>
    <s v="23-Jun-2026"/>
    <x v="1"/>
    <s v="Week4-Jun-2026"/>
    <x v="9"/>
    <s v="28-Dec-2027"/>
    <s v="Tuesday"/>
    <s v="Monthly - Tuesday"/>
    <s v="Monthly - Tuesday"/>
    <s v="Month+18 Expiry"/>
    <n v="482"/>
    <n v="80.98"/>
    <n v="3.44"/>
  </r>
  <r>
    <s v="23-Jun-2026"/>
    <x v="1"/>
    <s v="Week4-Jun-2026"/>
    <x v="9"/>
    <s v="27-Jun-2028"/>
    <s v="Tuesday"/>
    <s v="Monthly - Tuesday"/>
    <s v="Monthly - Tuesday"/>
    <s v="Month+24 Expiry"/>
    <n v="0"/>
    <n v="0"/>
    <n v="0"/>
  </r>
  <r>
    <s v="23-Jun-2026"/>
    <x v="1"/>
    <s v="Week4-Jun-2026"/>
    <x v="9"/>
    <s v="26-Dec-2028"/>
    <s v="Tuesday"/>
    <s v="Monthly - Tuesday"/>
    <s v="Monthly - Tuesday"/>
    <s v="Month+30 Expiry"/>
    <n v="4"/>
    <n v="0.75"/>
    <n v="0.05"/>
  </r>
  <r>
    <s v="23-Jun-2026"/>
    <x v="1"/>
    <s v="Week4-Jun-2026"/>
    <x v="9"/>
    <s v="26-Jun-2029"/>
    <s v="Tuesday"/>
    <s v="Monthly - Tuesday"/>
    <s v="Monthly - Tuesday"/>
    <s v="Month+36 Expiry"/>
    <n v="0"/>
    <n v="0"/>
    <n v="0"/>
  </r>
  <r>
    <s v="23-Jun-2026"/>
    <x v="1"/>
    <s v="Week4-Jun-2026"/>
    <x v="9"/>
    <s v="24-Dec-2029"/>
    <s v="Monday"/>
    <s v="Weekly - Monday"/>
    <s v="Weekly - Monday"/>
    <s v="Month+42 Expiry"/>
    <n v="0"/>
    <n v="0"/>
    <n v="0"/>
  </r>
  <r>
    <s v="23-Jun-2026"/>
    <x v="1"/>
    <s v="Week4-Jun-2026"/>
    <x v="9"/>
    <s v="25-Jun-2030"/>
    <s v="Tuesday"/>
    <s v="Monthly - Tuesday"/>
    <s v="Monthly - Tuesday"/>
    <s v="Month+48 Expiry"/>
    <n v="0"/>
    <n v="0"/>
    <n v="0"/>
  </r>
  <r>
    <s v="23-Jun-2026"/>
    <x v="1"/>
    <s v="Week4-Jun-2026"/>
    <x v="9"/>
    <s v="31-Dec-2030"/>
    <s v="Tuesday"/>
    <s v="Monthly - Tuesday"/>
    <s v="Monthly - Tuesday"/>
    <s v="Month+54 Expiry"/>
    <n v="0"/>
    <n v="0"/>
    <n v="0"/>
  </r>
  <r>
    <s v="24-Jun-2026"/>
    <x v="2"/>
    <s v="Week4-Jun-2026"/>
    <x v="9"/>
    <s v="30-Jun-2026"/>
    <s v="Tuesday"/>
    <s v="Monthly - Tuesday"/>
    <s v="MDAW - Tuesday"/>
    <s v="Same Month Expiry"/>
    <n v="51446214"/>
    <n v="8040120.2199999997"/>
    <n v="29382.74"/>
  </r>
  <r>
    <s v="24-Jun-2026"/>
    <x v="2"/>
    <s v="Week4-Jun-2026"/>
    <x v="9"/>
    <s v="07-Jul-2026"/>
    <s v="Tuesday"/>
    <s v="Weekly - Tuesday"/>
    <s v="Weekly - Tuesday"/>
    <s v="Month+1 Expiry"/>
    <n v="1326501"/>
    <n v="208247.61"/>
    <n v="1093.69"/>
  </r>
  <r>
    <s v="24-Jun-2026"/>
    <x v="2"/>
    <s v="Week4-Jun-2026"/>
    <x v="9"/>
    <s v="14-Jul-2026"/>
    <s v="Tuesday"/>
    <s v="Weekly - Tuesday"/>
    <s v="Weekly - Tuesday"/>
    <s v="Month+1 Expiry"/>
    <n v="80970"/>
    <n v="12724.35"/>
    <n v="81.99"/>
  </r>
  <r>
    <s v="24-Jun-2026"/>
    <x v="2"/>
    <s v="Week4-Jun-2026"/>
    <x v="9"/>
    <s v="21-Jul-2026"/>
    <s v="Tuesday"/>
    <s v="Weekly - Tuesday"/>
    <s v="Weekly - Tuesday"/>
    <s v="Month+1 Expiry"/>
    <n v="12476"/>
    <n v="1962.86"/>
    <n v="18.670000000000002"/>
  </r>
  <r>
    <s v="24-Jun-2026"/>
    <x v="2"/>
    <s v="Week4-Jun-2026"/>
    <x v="9"/>
    <s v="28-Jul-2026"/>
    <s v="Tuesday"/>
    <s v="Monthly - Tuesday"/>
    <s v="Monthly - Tuesday"/>
    <s v="Month+1 Expiry"/>
    <n v="707415"/>
    <n v="112032.17"/>
    <n v="1187.4000000000001"/>
  </r>
  <r>
    <s v="24-Jun-2026"/>
    <x v="2"/>
    <s v="Week4-Jun-2026"/>
    <x v="9"/>
    <s v="04-Aug-2026"/>
    <s v="Tuesday"/>
    <s v="Weekly - Tuesday"/>
    <s v="Weekly - Tuesday"/>
    <s v="Month+2 Expiry"/>
    <n v="174"/>
    <n v="27.78"/>
    <n v="0.13"/>
  </r>
  <r>
    <s v="24-Jun-2026"/>
    <x v="2"/>
    <s v="Week4-Jun-2026"/>
    <x v="9"/>
    <s v="25-Aug-2026"/>
    <s v="Tuesday"/>
    <s v="Monthly - Tuesday"/>
    <s v="Monthly - Tuesday"/>
    <s v="Month+2 Expiry"/>
    <n v="66148"/>
    <n v="10557.29"/>
    <n v="137.24"/>
  </r>
  <r>
    <s v="24-Jun-2026"/>
    <x v="2"/>
    <s v="Week4-Jun-2026"/>
    <x v="9"/>
    <s v="29-Sep-2026"/>
    <s v="Tuesday"/>
    <s v="Monthly - Tuesday"/>
    <s v="Monthly - Tuesday"/>
    <s v="Month+3 Expiry"/>
    <n v="48913"/>
    <n v="7962.33"/>
    <n v="234.06"/>
  </r>
  <r>
    <s v="24-Jun-2026"/>
    <x v="2"/>
    <s v="Week4-Jun-2026"/>
    <x v="9"/>
    <s v="29-Dec-2026"/>
    <s v="Tuesday"/>
    <s v="Monthly - Tuesday"/>
    <s v="Monthly - Tuesday"/>
    <s v="Month+6 Expiry"/>
    <n v="47781"/>
    <n v="7722.2"/>
    <n v="218"/>
  </r>
  <r>
    <s v="24-Jun-2026"/>
    <x v="2"/>
    <s v="Week4-Jun-2026"/>
    <x v="9"/>
    <s v="30-Mar-2027"/>
    <s v="Tuesday"/>
    <s v="Monthly - Tuesday"/>
    <s v="Monthly - Tuesday"/>
    <s v="Month+9 Expiry"/>
    <n v="244"/>
    <n v="37.299999999999997"/>
    <n v="0.62"/>
  </r>
  <r>
    <s v="24-Jun-2026"/>
    <x v="2"/>
    <s v="Week4-Jun-2026"/>
    <x v="9"/>
    <s v="29-Jun-2027"/>
    <s v="Tuesday"/>
    <s v="Monthly - Tuesday"/>
    <s v="Monthly - Tuesday"/>
    <s v="Month+12 Expiry"/>
    <n v="0"/>
    <n v="0"/>
    <n v="0"/>
  </r>
  <r>
    <s v="24-Jun-2026"/>
    <x v="2"/>
    <s v="Week4-Jun-2026"/>
    <x v="9"/>
    <s v="28-Dec-2027"/>
    <s v="Tuesday"/>
    <s v="Monthly - Tuesday"/>
    <s v="Monthly - Tuesday"/>
    <s v="Month+18 Expiry"/>
    <n v="347"/>
    <n v="58.43"/>
    <n v="2.5"/>
  </r>
  <r>
    <s v="24-Jun-2026"/>
    <x v="2"/>
    <s v="Week4-Jun-2026"/>
    <x v="9"/>
    <s v="27-Jun-2028"/>
    <s v="Tuesday"/>
    <s v="Monthly - Tuesday"/>
    <s v="Monthly - Tuesday"/>
    <s v="Month+24 Expiry"/>
    <n v="0"/>
    <n v="0"/>
    <n v="0"/>
  </r>
  <r>
    <s v="24-Jun-2026"/>
    <x v="2"/>
    <s v="Week4-Jun-2026"/>
    <x v="9"/>
    <s v="26-Dec-2028"/>
    <s v="Tuesday"/>
    <s v="Monthly - Tuesday"/>
    <s v="Monthly - Tuesday"/>
    <s v="Month+30 Expiry"/>
    <n v="10"/>
    <n v="1.51"/>
    <n v="0.05"/>
  </r>
  <r>
    <s v="24-Jun-2026"/>
    <x v="2"/>
    <s v="Week4-Jun-2026"/>
    <x v="9"/>
    <s v="26-Jun-2029"/>
    <s v="Tuesday"/>
    <s v="Monthly - Tuesday"/>
    <s v="Monthly - Tuesday"/>
    <s v="Month+36 Expiry"/>
    <n v="0"/>
    <n v="0"/>
    <n v="0"/>
  </r>
  <r>
    <s v="24-Jun-2026"/>
    <x v="2"/>
    <s v="Week4-Jun-2026"/>
    <x v="9"/>
    <s v="24-Dec-2029"/>
    <s v="Monday"/>
    <s v="Weekly - Monday"/>
    <s v="Weekly - Monday"/>
    <s v="Month+42 Expiry"/>
    <n v="0"/>
    <n v="0"/>
    <n v="0"/>
  </r>
  <r>
    <s v="24-Jun-2026"/>
    <x v="2"/>
    <s v="Week4-Jun-2026"/>
    <x v="9"/>
    <s v="25-Jun-2030"/>
    <s v="Tuesday"/>
    <s v="Monthly - Tuesday"/>
    <s v="Monthly - Tuesday"/>
    <s v="Month+48 Expiry"/>
    <n v="0"/>
    <n v="0"/>
    <n v="0"/>
  </r>
  <r>
    <s v="24-Jun-2026"/>
    <x v="2"/>
    <s v="Week4-Jun-2026"/>
    <x v="9"/>
    <s v="31-Dec-2030"/>
    <s v="Tuesday"/>
    <s v="Monthly - Tuesday"/>
    <s v="Monthly - Tuesday"/>
    <s v="Month+54 Expiry"/>
    <n v="0"/>
    <n v="0"/>
    <n v="0"/>
  </r>
  <r>
    <s v="25-Jun-2026"/>
    <x v="3"/>
    <s v="Week4-Jun-2026"/>
    <x v="9"/>
    <s v="30-Jun-2026"/>
    <s v="Tuesday"/>
    <s v="Monthly - Tuesday"/>
    <s v="MDAW - Tuesday"/>
    <s v="Same Month Expiry"/>
    <n v="51988380"/>
    <n v="8161642.9100000001"/>
    <n v="22790.55"/>
  </r>
  <r>
    <s v="25-Jun-2026"/>
    <x v="3"/>
    <s v="Week4-Jun-2026"/>
    <x v="9"/>
    <s v="07-Jul-2026"/>
    <s v="Tuesday"/>
    <s v="Weekly - Tuesday"/>
    <s v="Weekly - Tuesday"/>
    <s v="Month+1 Expiry"/>
    <n v="2329691"/>
    <n v="367142.81"/>
    <n v="1582.84"/>
  </r>
  <r>
    <s v="25-Jun-2026"/>
    <x v="3"/>
    <s v="Week4-Jun-2026"/>
    <x v="9"/>
    <s v="14-Jul-2026"/>
    <s v="Tuesday"/>
    <s v="Weekly - Tuesday"/>
    <s v="Weekly - Tuesday"/>
    <s v="Month+1 Expiry"/>
    <n v="189329"/>
    <n v="29758.93"/>
    <n v="174.78"/>
  </r>
  <r>
    <s v="25-Jun-2026"/>
    <x v="3"/>
    <s v="Week4-Jun-2026"/>
    <x v="9"/>
    <s v="21-Jul-2026"/>
    <s v="Tuesday"/>
    <s v="Weekly - Tuesday"/>
    <s v="Weekly - Tuesday"/>
    <s v="Month+1 Expiry"/>
    <n v="13661"/>
    <n v="2149.5300000000002"/>
    <n v="18.059999999999999"/>
  </r>
  <r>
    <s v="25-Jun-2026"/>
    <x v="3"/>
    <s v="Week4-Jun-2026"/>
    <x v="9"/>
    <s v="28-Jul-2026"/>
    <s v="Tuesday"/>
    <s v="Monthly - Tuesday"/>
    <s v="Monthly - Tuesday"/>
    <s v="Month+1 Expiry"/>
    <n v="928229"/>
    <n v="147478.29999999999"/>
    <n v="1440.82"/>
  </r>
  <r>
    <s v="25-Jun-2026"/>
    <x v="3"/>
    <s v="Week4-Jun-2026"/>
    <x v="9"/>
    <s v="04-Aug-2026"/>
    <s v="Tuesday"/>
    <s v="Weekly - Tuesday"/>
    <s v="Weekly - Tuesday"/>
    <s v="Month+2 Expiry"/>
    <n v="684"/>
    <n v="107.94"/>
    <n v="0.63"/>
  </r>
  <r>
    <s v="25-Jun-2026"/>
    <x v="3"/>
    <s v="Week4-Jun-2026"/>
    <x v="9"/>
    <s v="25-Aug-2026"/>
    <s v="Tuesday"/>
    <s v="Monthly - Tuesday"/>
    <s v="Monthly - Tuesday"/>
    <s v="Month+2 Expiry"/>
    <n v="114860"/>
    <n v="18065.830000000002"/>
    <n v="193.92"/>
  </r>
  <r>
    <s v="25-Jun-2026"/>
    <x v="3"/>
    <s v="Week4-Jun-2026"/>
    <x v="9"/>
    <s v="29-Sep-2026"/>
    <s v="Tuesday"/>
    <s v="Monthly - Tuesday"/>
    <s v="Monthly - Tuesday"/>
    <s v="Month+3 Expiry"/>
    <n v="58325"/>
    <n v="9228.33"/>
    <n v="272.01"/>
  </r>
  <r>
    <s v="25-Jun-2026"/>
    <x v="3"/>
    <s v="Week4-Jun-2026"/>
    <x v="9"/>
    <s v="29-Dec-2026"/>
    <s v="Tuesday"/>
    <s v="Monthly - Tuesday"/>
    <s v="Monthly - Tuesday"/>
    <s v="Month+6 Expiry"/>
    <n v="59286"/>
    <n v="9584.7000000000007"/>
    <n v="271.81"/>
  </r>
  <r>
    <s v="25-Jun-2026"/>
    <x v="3"/>
    <s v="Week4-Jun-2026"/>
    <x v="9"/>
    <s v="30-Mar-2027"/>
    <s v="Tuesday"/>
    <s v="Monthly - Tuesday"/>
    <s v="Monthly - Tuesday"/>
    <s v="Month+9 Expiry"/>
    <n v="255"/>
    <n v="39.630000000000003"/>
    <n v="0.56000000000000005"/>
  </r>
  <r>
    <s v="25-Jun-2026"/>
    <x v="3"/>
    <s v="Week4-Jun-2026"/>
    <x v="9"/>
    <s v="29-Jun-2027"/>
    <s v="Tuesday"/>
    <s v="Monthly - Tuesday"/>
    <s v="Monthly - Tuesday"/>
    <s v="Month+12 Expiry"/>
    <n v="2"/>
    <n v="0.28000000000000003"/>
    <n v="0"/>
  </r>
  <r>
    <s v="25-Jun-2026"/>
    <x v="3"/>
    <s v="Week4-Jun-2026"/>
    <x v="9"/>
    <s v="28-Dec-2027"/>
    <s v="Tuesday"/>
    <s v="Monthly - Tuesday"/>
    <s v="Monthly - Tuesday"/>
    <s v="Month+18 Expiry"/>
    <n v="332"/>
    <n v="57.6"/>
    <n v="2.72"/>
  </r>
  <r>
    <s v="25-Jun-2026"/>
    <x v="3"/>
    <s v="Week4-Jun-2026"/>
    <x v="9"/>
    <s v="27-Jun-2028"/>
    <s v="Tuesday"/>
    <s v="Monthly - Tuesday"/>
    <s v="Monthly - Tuesday"/>
    <s v="Month+24 Expiry"/>
    <n v="2"/>
    <n v="0.28999999999999998"/>
    <n v="0.01"/>
  </r>
  <r>
    <s v="25-Jun-2026"/>
    <x v="3"/>
    <s v="Week4-Jun-2026"/>
    <x v="9"/>
    <s v="26-Dec-2028"/>
    <s v="Tuesday"/>
    <s v="Monthly - Tuesday"/>
    <s v="Monthly - Tuesday"/>
    <s v="Month+30 Expiry"/>
    <n v="10"/>
    <n v="1.87"/>
    <n v="0.1"/>
  </r>
  <r>
    <s v="25-Jun-2026"/>
    <x v="3"/>
    <s v="Week4-Jun-2026"/>
    <x v="9"/>
    <s v="26-Jun-2029"/>
    <s v="Tuesday"/>
    <s v="Monthly - Tuesday"/>
    <s v="Monthly - Tuesday"/>
    <s v="Month+36 Expiry"/>
    <n v="0"/>
    <n v="0"/>
    <n v="0"/>
  </r>
  <r>
    <s v="25-Jun-2026"/>
    <x v="3"/>
    <s v="Week4-Jun-2026"/>
    <x v="9"/>
    <s v="24-Dec-2029"/>
    <s v="Monday"/>
    <s v="Weekly - Monday"/>
    <s v="Weekly - Monday"/>
    <s v="Month+42 Expiry"/>
    <n v="0"/>
    <n v="0"/>
    <n v="0"/>
  </r>
  <r>
    <s v="25-Jun-2026"/>
    <x v="3"/>
    <s v="Week4-Jun-2026"/>
    <x v="9"/>
    <s v="25-Jun-2030"/>
    <s v="Tuesday"/>
    <s v="Monthly - Tuesday"/>
    <s v="Monthly - Tuesday"/>
    <s v="Month+48 Expiry"/>
    <n v="0"/>
    <n v="0"/>
    <n v="0"/>
  </r>
  <r>
    <s v="25-Jun-2026"/>
    <x v="3"/>
    <s v="Week4-Jun-2026"/>
    <x v="9"/>
    <s v="31-Dec-2030"/>
    <s v="Tuesday"/>
    <s v="Monthly - Tuesday"/>
    <s v="Monthly - Tuesday"/>
    <s v="Month+54 Expiry"/>
    <n v="0"/>
    <n v="0"/>
    <n v="0"/>
  </r>
  <r>
    <s v="29-Jun-2026"/>
    <x v="0"/>
    <s v="Week5-Jun-2026"/>
    <x v="9"/>
    <s v="30-Jun-2026"/>
    <s v="Tuesday"/>
    <s v="Monthly - Tuesday"/>
    <s v="MDAW - Tuesday"/>
    <s v="Same Month Expiry"/>
    <n v="137549561"/>
    <n v="21515640.780000001"/>
    <n v="48566.13"/>
  </r>
  <r>
    <s v="29-Jun-2026"/>
    <x v="0"/>
    <s v="Week5-Jun-2026"/>
    <x v="9"/>
    <s v="07-Jul-2026"/>
    <s v="Tuesday"/>
    <s v="Weekly - Tuesday"/>
    <s v="Weekly - Tuesday"/>
    <s v="Month+1 Expiry"/>
    <n v="4607196"/>
    <n v="723882.15"/>
    <n v="2859.83"/>
  </r>
  <r>
    <s v="29-Jun-2026"/>
    <x v="0"/>
    <s v="Week5-Jun-2026"/>
    <x v="9"/>
    <s v="14-Jul-2026"/>
    <s v="Tuesday"/>
    <s v="Weekly - Tuesday"/>
    <s v="Weekly - Tuesday"/>
    <s v="Month+1 Expiry"/>
    <n v="274015"/>
    <n v="43052.6"/>
    <n v="227.91"/>
  </r>
  <r>
    <s v="29-Jun-2026"/>
    <x v="0"/>
    <s v="Week5-Jun-2026"/>
    <x v="9"/>
    <s v="21-Jul-2026"/>
    <s v="Tuesday"/>
    <s v="Weekly - Tuesday"/>
    <s v="Weekly - Tuesday"/>
    <s v="Month+1 Expiry"/>
    <n v="18171"/>
    <n v="2853.43"/>
    <n v="20.09"/>
  </r>
  <r>
    <s v="29-Jun-2026"/>
    <x v="0"/>
    <s v="Week5-Jun-2026"/>
    <x v="9"/>
    <s v="28-Jul-2026"/>
    <s v="Tuesday"/>
    <s v="Monthly - Tuesday"/>
    <s v="Monthly - Tuesday"/>
    <s v="Month+1 Expiry"/>
    <n v="913573"/>
    <n v="145332.89000000001"/>
    <n v="1726.57"/>
  </r>
  <r>
    <s v="29-Jun-2026"/>
    <x v="0"/>
    <s v="Week5-Jun-2026"/>
    <x v="9"/>
    <s v="04-Aug-2026"/>
    <s v="Tuesday"/>
    <s v="Weekly - Tuesday"/>
    <s v="Weekly - Tuesday"/>
    <s v="Month+2 Expiry"/>
    <n v="893"/>
    <n v="140.79"/>
    <n v="0.87"/>
  </r>
  <r>
    <s v="29-Jun-2026"/>
    <x v="0"/>
    <s v="Week5-Jun-2026"/>
    <x v="9"/>
    <s v="25-Aug-2026"/>
    <s v="Tuesday"/>
    <s v="Monthly - Tuesday"/>
    <s v="Monthly - Tuesday"/>
    <s v="Month+2 Expiry"/>
    <n v="71463"/>
    <n v="11386.91"/>
    <n v="134.03"/>
  </r>
  <r>
    <s v="29-Jun-2026"/>
    <x v="0"/>
    <s v="Week5-Jun-2026"/>
    <x v="9"/>
    <s v="29-Sep-2026"/>
    <s v="Tuesday"/>
    <s v="Monthly - Tuesday"/>
    <s v="Monthly - Tuesday"/>
    <s v="Month+3 Expiry"/>
    <n v="59415"/>
    <n v="9784.32"/>
    <n v="344.31"/>
  </r>
  <r>
    <s v="29-Jun-2026"/>
    <x v="0"/>
    <s v="Week5-Jun-2026"/>
    <x v="9"/>
    <s v="29-Dec-2026"/>
    <s v="Tuesday"/>
    <s v="Monthly - Tuesday"/>
    <s v="Monthly - Tuesday"/>
    <s v="Month+6 Expiry"/>
    <n v="47928"/>
    <n v="7882.24"/>
    <n v="282.77999999999997"/>
  </r>
  <r>
    <s v="29-Jun-2026"/>
    <x v="0"/>
    <s v="Week5-Jun-2026"/>
    <x v="9"/>
    <s v="30-Mar-2027"/>
    <s v="Tuesday"/>
    <s v="Monthly - Tuesday"/>
    <s v="Monthly - Tuesday"/>
    <s v="Month+9 Expiry"/>
    <n v="261"/>
    <n v="42.49"/>
    <n v="0.66"/>
  </r>
  <r>
    <s v="29-Jun-2026"/>
    <x v="0"/>
    <s v="Week5-Jun-2026"/>
    <x v="9"/>
    <s v="29-Jun-2027"/>
    <s v="Tuesday"/>
    <s v="Monthly - Tuesday"/>
    <s v="Monthly - Tuesday"/>
    <s v="Month+12 Expiry"/>
    <n v="1"/>
    <n v="0.22"/>
    <n v="0.03"/>
  </r>
  <r>
    <s v="29-Jun-2026"/>
    <x v="0"/>
    <s v="Week5-Jun-2026"/>
    <x v="9"/>
    <s v="28-Dec-2027"/>
    <s v="Tuesday"/>
    <s v="Monthly - Tuesday"/>
    <s v="Monthly - Tuesday"/>
    <s v="Month+18 Expiry"/>
    <n v="311"/>
    <n v="52.86"/>
    <n v="2.2400000000000002"/>
  </r>
  <r>
    <s v="29-Jun-2026"/>
    <x v="0"/>
    <s v="Week5-Jun-2026"/>
    <x v="9"/>
    <s v="27-Jun-2028"/>
    <s v="Tuesday"/>
    <s v="Monthly - Tuesday"/>
    <s v="Monthly - Tuesday"/>
    <s v="Month+24 Expiry"/>
    <n v="0"/>
    <n v="0"/>
    <n v="0"/>
  </r>
  <r>
    <s v="29-Jun-2026"/>
    <x v="0"/>
    <s v="Week5-Jun-2026"/>
    <x v="9"/>
    <s v="26-Dec-2028"/>
    <s v="Tuesday"/>
    <s v="Monthly - Tuesday"/>
    <s v="Monthly - Tuesday"/>
    <s v="Month+30 Expiry"/>
    <n v="31"/>
    <n v="5.89"/>
    <n v="0.32"/>
  </r>
  <r>
    <s v="29-Jun-2026"/>
    <x v="0"/>
    <s v="Week5-Jun-2026"/>
    <x v="9"/>
    <s v="26-Jun-2029"/>
    <s v="Tuesday"/>
    <s v="Monthly - Tuesday"/>
    <s v="Monthly - Tuesday"/>
    <s v="Month+36 Expiry"/>
    <n v="0"/>
    <n v="0"/>
    <n v="0"/>
  </r>
  <r>
    <s v="29-Jun-2026"/>
    <x v="0"/>
    <s v="Week5-Jun-2026"/>
    <x v="9"/>
    <s v="24-Dec-2029"/>
    <s v="Monday"/>
    <s v="Weekly - Monday"/>
    <s v="Weekly - Monday"/>
    <s v="Month+42 Expiry"/>
    <n v="3"/>
    <n v="0.47"/>
    <n v="0.02"/>
  </r>
  <r>
    <s v="29-Jun-2026"/>
    <x v="0"/>
    <s v="Week5-Jun-2026"/>
    <x v="9"/>
    <s v="25-Jun-2030"/>
    <s v="Tuesday"/>
    <s v="Monthly - Tuesday"/>
    <s v="Monthly - Tuesday"/>
    <s v="Month+48 Expiry"/>
    <n v="0"/>
    <n v="0"/>
    <n v="0"/>
  </r>
  <r>
    <s v="29-Jun-2026"/>
    <x v="0"/>
    <s v="Week5-Jun-2026"/>
    <x v="9"/>
    <s v="31-Dec-2030"/>
    <s v="Tuesday"/>
    <s v="Monthly - Tuesday"/>
    <s v="Monthly - Tuesday"/>
    <s v="Month+54 Expiry"/>
    <n v="0"/>
    <n v="0"/>
    <n v="0"/>
  </r>
  <r>
    <s v="30-Jun-2026"/>
    <x v="1"/>
    <s v="Week5-Jun-2026"/>
    <x v="9"/>
    <s v="30-Jun-2026"/>
    <s v="Tuesday"/>
    <s v="Monthly - Tuesday"/>
    <s v="MDAW - Tuesday"/>
    <s v="Same Month Expiry"/>
    <n v="362123740"/>
    <n v="56405744.280000001"/>
    <n v="58047.66"/>
  </r>
  <r>
    <s v="30-Jun-2026"/>
    <x v="1"/>
    <s v="Week5-Jun-2026"/>
    <x v="9"/>
    <s v="07-Jul-2026"/>
    <s v="Tuesday"/>
    <s v="Weekly - Tuesday"/>
    <s v="Weekly - Tuesday"/>
    <s v="Month+1 Expiry"/>
    <n v="11309655"/>
    <n v="1771538.21"/>
    <n v="6031.24"/>
  </r>
  <r>
    <s v="30-Jun-2026"/>
    <x v="1"/>
    <s v="Week5-Jun-2026"/>
    <x v="9"/>
    <s v="14-Jul-2026"/>
    <s v="Tuesday"/>
    <s v="Weekly - Tuesday"/>
    <s v="Weekly - Tuesday"/>
    <s v="Month+1 Expiry"/>
    <n v="445861"/>
    <n v="69863.289999999994"/>
    <n v="333.66"/>
  </r>
  <r>
    <s v="30-Jun-2026"/>
    <x v="1"/>
    <s v="Week5-Jun-2026"/>
    <x v="9"/>
    <s v="21-Jul-2026"/>
    <s v="Tuesday"/>
    <s v="Weekly - Tuesday"/>
    <s v="Weekly - Tuesday"/>
    <s v="Month+1 Expiry"/>
    <n v="34331"/>
    <n v="5393.86"/>
    <n v="38.32"/>
  </r>
  <r>
    <s v="30-Jun-2026"/>
    <x v="1"/>
    <s v="Week5-Jun-2026"/>
    <x v="9"/>
    <s v="28-Jul-2026"/>
    <s v="Tuesday"/>
    <s v="Monthly - Tuesday"/>
    <s v="Monthly - Tuesday"/>
    <s v="Month+1 Expiry"/>
    <n v="1085489"/>
    <n v="171897.73"/>
    <n v="2023.98"/>
  </r>
  <r>
    <s v="30-Jun-2026"/>
    <x v="1"/>
    <s v="Week5-Jun-2026"/>
    <x v="9"/>
    <s v="04-Aug-2026"/>
    <s v="Tuesday"/>
    <s v="Weekly - Tuesday"/>
    <s v="Weekly - Tuesday"/>
    <s v="Month+2 Expiry"/>
    <n v="1140"/>
    <n v="178.88"/>
    <n v="0.96"/>
  </r>
  <r>
    <s v="30-Jun-2026"/>
    <x v="1"/>
    <s v="Week5-Jun-2026"/>
    <x v="9"/>
    <s v="25-Aug-2026"/>
    <s v="Tuesday"/>
    <s v="Monthly - Tuesday"/>
    <s v="Monthly - Tuesday"/>
    <s v="Month+2 Expiry"/>
    <n v="81035"/>
    <n v="12850.8"/>
    <n v="146.63"/>
  </r>
  <r>
    <s v="30-Jun-2026"/>
    <x v="1"/>
    <s v="Week5-Jun-2026"/>
    <x v="9"/>
    <s v="29-Sep-2026"/>
    <s v="Tuesday"/>
    <s v="Monthly - Tuesday"/>
    <s v="Monthly - Tuesday"/>
    <s v="Month+3 Expiry"/>
    <n v="60544"/>
    <n v="9962.68"/>
    <n v="296.72000000000003"/>
  </r>
  <r>
    <s v="30-Jun-2026"/>
    <x v="1"/>
    <s v="Week5-Jun-2026"/>
    <x v="9"/>
    <s v="29-Dec-2026"/>
    <s v="Tuesday"/>
    <s v="Monthly - Tuesday"/>
    <s v="Monthly - Tuesday"/>
    <s v="Month+6 Expiry"/>
    <n v="50969"/>
    <n v="8268.94"/>
    <n v="212.5"/>
  </r>
  <r>
    <s v="30-Jun-2026"/>
    <x v="1"/>
    <s v="Week5-Jun-2026"/>
    <x v="9"/>
    <s v="30-Mar-2027"/>
    <s v="Tuesday"/>
    <s v="Monthly - Tuesday"/>
    <s v="Monthly - Tuesday"/>
    <s v="Month+9 Expiry"/>
    <n v="561"/>
    <n v="83.46"/>
    <n v="0.95"/>
  </r>
  <r>
    <s v="30-Jun-2026"/>
    <x v="1"/>
    <s v="Week5-Jun-2026"/>
    <x v="9"/>
    <s v="29-Jun-2027"/>
    <s v="Tuesday"/>
    <s v="Monthly - Tuesday"/>
    <s v="Monthly - Tuesday"/>
    <s v="Month+12 Expiry"/>
    <n v="1"/>
    <n v="0.14000000000000001"/>
    <n v="0"/>
  </r>
  <r>
    <s v="30-Jun-2026"/>
    <x v="1"/>
    <s v="Week5-Jun-2026"/>
    <x v="9"/>
    <s v="28-Dec-2027"/>
    <s v="Tuesday"/>
    <s v="Monthly - Tuesday"/>
    <s v="Monthly - Tuesday"/>
    <s v="Month+18 Expiry"/>
    <n v="257"/>
    <n v="42.95"/>
    <n v="1.91"/>
  </r>
  <r>
    <s v="30-Jun-2026"/>
    <x v="1"/>
    <s v="Week5-Jun-2026"/>
    <x v="9"/>
    <s v="27-Jun-2028"/>
    <s v="Tuesday"/>
    <s v="Monthly - Tuesday"/>
    <s v="Monthly - Tuesday"/>
    <s v="Month+24 Expiry"/>
    <n v="0"/>
    <n v="0"/>
    <n v="0"/>
  </r>
  <r>
    <s v="30-Jun-2026"/>
    <x v="1"/>
    <s v="Week5-Jun-2026"/>
    <x v="9"/>
    <s v="26-Dec-2028"/>
    <s v="Tuesday"/>
    <s v="Monthly - Tuesday"/>
    <s v="Monthly - Tuesday"/>
    <s v="Month+30 Expiry"/>
    <n v="26"/>
    <n v="4.82"/>
    <n v="0.3"/>
  </r>
  <r>
    <s v="30-Jun-2026"/>
    <x v="1"/>
    <s v="Week5-Jun-2026"/>
    <x v="9"/>
    <s v="26-Jun-2029"/>
    <s v="Tuesday"/>
    <s v="Monthly - Tuesday"/>
    <s v="Monthly - Tuesday"/>
    <s v="Month+36 Expiry"/>
    <n v="0"/>
    <n v="0"/>
    <n v="0"/>
  </r>
  <r>
    <s v="30-Jun-2026"/>
    <x v="1"/>
    <s v="Week5-Jun-2026"/>
    <x v="9"/>
    <s v="24-Dec-2029"/>
    <s v="Monday"/>
    <s v="Weekly - Monday"/>
    <s v="Weekly - Monday"/>
    <s v="Month+42 Expiry"/>
    <n v="0"/>
    <n v="0"/>
    <n v="0"/>
  </r>
  <r>
    <s v="30-Jun-2026"/>
    <x v="1"/>
    <s v="Week5-Jun-2026"/>
    <x v="9"/>
    <s v="25-Jun-2030"/>
    <s v="Tuesday"/>
    <s v="Monthly - Tuesday"/>
    <s v="Monthly - Tuesday"/>
    <s v="Month+48 Expiry"/>
    <n v="0"/>
    <n v="0"/>
    <n v="0"/>
  </r>
  <r>
    <s v="30-Jun-2026"/>
    <x v="1"/>
    <s v="Week5-Jun-2026"/>
    <x v="9"/>
    <s v="31-Dec-2030"/>
    <s v="Tuesday"/>
    <s v="Monthly - Tuesday"/>
    <s v="Monthly - Tuesday"/>
    <s v="Month+54 Expiry"/>
    <n v="0"/>
    <n v="0"/>
    <n v="0"/>
  </r>
  <r>
    <s v="01-Jul-2026"/>
    <x v="2"/>
    <s v="Week1-Jul-2026"/>
    <x v="10"/>
    <s v="07-Jul-2026"/>
    <s v="Tuesday"/>
    <s v="Weekly - Tuesday"/>
    <s v="Weekly - Tuesday"/>
    <s v="Same Month Expiry"/>
    <n v="42836486"/>
    <n v="6710689.3300000001"/>
    <n v="26129.439999999999"/>
  </r>
  <r>
    <s v="01-Jul-2026"/>
    <x v="2"/>
    <s v="Week1-Jul-2026"/>
    <x v="10"/>
    <s v="14-Jul-2026"/>
    <s v="Tuesday"/>
    <s v="Weekly - Tuesday"/>
    <s v="Weekly - Tuesday"/>
    <s v="Same Month Expiry"/>
    <n v="894088"/>
    <n v="140070.07"/>
    <n v="590.95000000000005"/>
  </r>
  <r>
    <s v="01-Jul-2026"/>
    <x v="2"/>
    <s v="Week1-Jul-2026"/>
    <x v="10"/>
    <s v="21-Jul-2026"/>
    <s v="Tuesday"/>
    <s v="Weekly - Tuesday"/>
    <s v="Weekly - Tuesday"/>
    <s v="Same Month Expiry"/>
    <n v="42588"/>
    <n v="6686.57"/>
    <n v="38.89"/>
  </r>
  <r>
    <s v="01-Jul-2026"/>
    <x v="2"/>
    <s v="Week1-Jul-2026"/>
    <x v="10"/>
    <s v="28-Jul-2026"/>
    <s v="Tuesday"/>
    <s v="Monthly - Tuesday"/>
    <s v="Monthly - Tuesday"/>
    <s v="Same Month Expiry"/>
    <n v="1017356"/>
    <n v="159819.32999999999"/>
    <n v="1263.8599999999999"/>
  </r>
  <r>
    <s v="01-Jul-2026"/>
    <x v="2"/>
    <s v="Week1-Jul-2026"/>
    <x v="10"/>
    <s v="04-Aug-2026"/>
    <s v="Tuesday"/>
    <s v="Weekly - Tuesday"/>
    <s v="Weekly - Tuesday"/>
    <s v="Month+1 Expiry"/>
    <n v="2037"/>
    <n v="317.64999999999998"/>
    <n v="1.88"/>
  </r>
  <r>
    <s v="01-Jul-2026"/>
    <x v="2"/>
    <s v="Week1-Jul-2026"/>
    <x v="10"/>
    <s v="25-Aug-2026"/>
    <s v="Tuesday"/>
    <s v="Monthly - Tuesday"/>
    <s v="Monthly - Tuesday"/>
    <s v="Month+1 Expiry"/>
    <n v="84613"/>
    <n v="13289.98"/>
    <n v="124.43"/>
  </r>
  <r>
    <s v="01-Jul-2026"/>
    <x v="2"/>
    <s v="Week1-Jul-2026"/>
    <x v="10"/>
    <s v="29-Sep-2026"/>
    <s v="Tuesday"/>
    <s v="Monthly - Tuesday"/>
    <s v="Monthly - Tuesday"/>
    <s v="Month+2 Expiry"/>
    <n v="59349"/>
    <n v="9372.2000000000007"/>
    <n v="143.18"/>
  </r>
  <r>
    <s v="01-Jul-2026"/>
    <x v="2"/>
    <s v="Week1-Jul-2026"/>
    <x v="10"/>
    <s v="29-Dec-2026"/>
    <s v="Tuesday"/>
    <s v="Monthly - Tuesday"/>
    <s v="Monthly - Tuesday"/>
    <s v="Month+5 Expiry"/>
    <n v="36887"/>
    <n v="5945.64"/>
    <n v="129.59"/>
  </r>
  <r>
    <s v="01-Jul-2026"/>
    <x v="2"/>
    <s v="Week1-Jul-2026"/>
    <x v="10"/>
    <s v="30-Mar-2027"/>
    <s v="Tuesday"/>
    <s v="Monthly - Tuesday"/>
    <s v="Monthly - Tuesday"/>
    <s v="Month+8 Expiry"/>
    <n v="1499"/>
    <n v="217.63"/>
    <n v="2.2999999999999998"/>
  </r>
  <r>
    <s v="01-Jul-2026"/>
    <x v="2"/>
    <s v="Week1-Jul-2026"/>
    <x v="10"/>
    <s v="29-Jun-2027"/>
    <s v="Tuesday"/>
    <s v="Monthly - Tuesday"/>
    <s v="Monthly - Tuesday"/>
    <s v="Month+11 Expiry"/>
    <n v="65"/>
    <n v="8.98"/>
    <n v="0.09"/>
  </r>
  <r>
    <s v="01-Jul-2026"/>
    <x v="2"/>
    <s v="Week1-Jul-2026"/>
    <x v="10"/>
    <s v="28-Dec-2027"/>
    <s v="Tuesday"/>
    <s v="Monthly - Tuesday"/>
    <s v="Monthly - Tuesday"/>
    <s v="Month+17 Expiry"/>
    <n v="396"/>
    <n v="68.599999999999994"/>
    <n v="3.08"/>
  </r>
  <r>
    <s v="01-Jul-2026"/>
    <x v="2"/>
    <s v="Week1-Jul-2026"/>
    <x v="10"/>
    <s v="27-Jun-2028"/>
    <s v="Tuesday"/>
    <s v="Monthly - Tuesday"/>
    <s v="Monthly - Tuesday"/>
    <s v="Month+23 Expiry"/>
    <n v="0"/>
    <n v="0"/>
    <n v="0"/>
  </r>
  <r>
    <s v="01-Jul-2026"/>
    <x v="2"/>
    <s v="Week1-Jul-2026"/>
    <x v="10"/>
    <s v="26-Dec-2028"/>
    <s v="Tuesday"/>
    <s v="Monthly - Tuesday"/>
    <s v="Monthly - Tuesday"/>
    <s v="Month+29 Expiry"/>
    <n v="5"/>
    <n v="0.9"/>
    <n v="7.0000000000000007E-2"/>
  </r>
  <r>
    <s v="01-Jul-2026"/>
    <x v="2"/>
    <s v="Week1-Jul-2026"/>
    <x v="10"/>
    <s v="26-Jun-2029"/>
    <s v="Tuesday"/>
    <s v="Monthly - Tuesday"/>
    <s v="Monthly - Tuesday"/>
    <s v="Month+35 Expiry"/>
    <n v="0"/>
    <n v="0"/>
    <n v="0"/>
  </r>
  <r>
    <s v="01-Jul-2026"/>
    <x v="2"/>
    <s v="Week1-Jul-2026"/>
    <x v="10"/>
    <s v="24-Dec-2029"/>
    <s v="Monday"/>
    <s v="Weekly - Monday"/>
    <s v="Weekly - Monday"/>
    <s v="Month+41 Expiry"/>
    <n v="0"/>
    <n v="0"/>
    <n v="0"/>
  </r>
  <r>
    <s v="01-Jul-2026"/>
    <x v="2"/>
    <s v="Week1-Jul-2026"/>
    <x v="10"/>
    <s v="25-Jun-2030"/>
    <s v="Tuesday"/>
    <s v="Monthly - Tuesday"/>
    <s v="Monthly - Tuesday"/>
    <s v="Month+47 Expiry"/>
    <n v="0"/>
    <n v="0"/>
    <n v="0"/>
  </r>
  <r>
    <s v="01-Jul-2026"/>
    <x v="2"/>
    <s v="Week1-Jul-2026"/>
    <x v="10"/>
    <s v="31-Dec-2030"/>
    <s v="Tuesday"/>
    <s v="Monthly - Tuesday"/>
    <s v="Monthly - Tuesday"/>
    <s v="Month+53 Expiry"/>
    <n v="1"/>
    <n v="0.16"/>
    <n v="0.01"/>
  </r>
  <r>
    <s v="01-Jul-2026"/>
    <x v="2"/>
    <s v="Week1-Jul-2026"/>
    <x v="10"/>
    <s v="24-Jun-2031"/>
    <s v="Tuesday"/>
    <s v="Monthly - Tuesday"/>
    <s v="Monthly - Tuesday"/>
    <s v="Month+59 Expiry"/>
    <n v="0"/>
    <n v="0"/>
    <n v="0"/>
  </r>
  <r>
    <s v="02-Jul-2026"/>
    <x v="3"/>
    <s v="Week1-Jul-2026"/>
    <x v="10"/>
    <s v="07-Jul-2026"/>
    <s v="Tuesday"/>
    <s v="Weekly - Tuesday"/>
    <s v="Weekly - Tuesday"/>
    <s v="Same Month Expiry"/>
    <n v="45582572"/>
    <n v="7156664.8799999999"/>
    <n v="20523.25"/>
  </r>
  <r>
    <s v="02-Jul-2026"/>
    <x v="3"/>
    <s v="Week1-Jul-2026"/>
    <x v="10"/>
    <s v="14-Jul-2026"/>
    <s v="Tuesday"/>
    <s v="Weekly - Tuesday"/>
    <s v="Weekly - Tuesday"/>
    <s v="Same Month Expiry"/>
    <n v="1463551"/>
    <n v="229125.53"/>
    <n v="825.4"/>
  </r>
  <r>
    <s v="02-Jul-2026"/>
    <x v="3"/>
    <s v="Week1-Jul-2026"/>
    <x v="10"/>
    <s v="21-Jul-2026"/>
    <s v="Tuesday"/>
    <s v="Weekly - Tuesday"/>
    <s v="Weekly - Tuesday"/>
    <s v="Same Month Expiry"/>
    <n v="107536"/>
    <n v="16912.009999999998"/>
    <n v="84.21"/>
  </r>
  <r>
    <s v="02-Jul-2026"/>
    <x v="3"/>
    <s v="Week1-Jul-2026"/>
    <x v="10"/>
    <s v="28-Jul-2026"/>
    <s v="Tuesday"/>
    <s v="Monthly - Tuesday"/>
    <s v="Monthly - Tuesday"/>
    <s v="Same Month Expiry"/>
    <n v="1135616"/>
    <n v="178726.99"/>
    <n v="1379.97"/>
  </r>
  <r>
    <s v="02-Jul-2026"/>
    <x v="3"/>
    <s v="Week1-Jul-2026"/>
    <x v="10"/>
    <s v="04-Aug-2026"/>
    <s v="Tuesday"/>
    <s v="Weekly - Tuesday"/>
    <s v="Weekly - Tuesday"/>
    <s v="Month+1 Expiry"/>
    <n v="3339"/>
    <n v="521.41999999999996"/>
    <n v="3.41"/>
  </r>
  <r>
    <s v="02-Jul-2026"/>
    <x v="3"/>
    <s v="Week1-Jul-2026"/>
    <x v="10"/>
    <s v="25-Aug-2026"/>
    <s v="Tuesday"/>
    <s v="Monthly - Tuesday"/>
    <s v="Monthly - Tuesday"/>
    <s v="Month+1 Expiry"/>
    <n v="108526"/>
    <n v="16953.150000000001"/>
    <n v="144.88999999999999"/>
  </r>
  <r>
    <s v="02-Jul-2026"/>
    <x v="3"/>
    <s v="Week1-Jul-2026"/>
    <x v="10"/>
    <s v="29-Sep-2026"/>
    <s v="Tuesday"/>
    <s v="Monthly - Tuesday"/>
    <s v="Monthly - Tuesday"/>
    <s v="Month+2 Expiry"/>
    <n v="48735"/>
    <n v="7640.12"/>
    <n v="82.65"/>
  </r>
  <r>
    <s v="02-Jul-2026"/>
    <x v="3"/>
    <s v="Week1-Jul-2026"/>
    <x v="10"/>
    <s v="29-Dec-2026"/>
    <s v="Tuesday"/>
    <s v="Monthly - Tuesday"/>
    <s v="Monthly - Tuesday"/>
    <s v="Month+5 Expiry"/>
    <n v="47993"/>
    <n v="7612.64"/>
    <n v="157.15"/>
  </r>
  <r>
    <s v="02-Jul-2026"/>
    <x v="3"/>
    <s v="Week1-Jul-2026"/>
    <x v="10"/>
    <s v="30-Mar-2027"/>
    <s v="Tuesday"/>
    <s v="Monthly - Tuesday"/>
    <s v="Monthly - Tuesday"/>
    <s v="Month+8 Expiry"/>
    <n v="6616"/>
    <n v="980.5"/>
    <n v="10.63"/>
  </r>
  <r>
    <s v="02-Jul-2026"/>
    <x v="3"/>
    <s v="Week1-Jul-2026"/>
    <x v="10"/>
    <s v="29-Jun-2027"/>
    <s v="Tuesday"/>
    <s v="Monthly - Tuesday"/>
    <s v="Monthly - Tuesday"/>
    <s v="Month+11 Expiry"/>
    <n v="43"/>
    <n v="5.95"/>
    <n v="0.06"/>
  </r>
  <r>
    <s v="02-Jul-2026"/>
    <x v="3"/>
    <s v="Week1-Jul-2026"/>
    <x v="10"/>
    <s v="28-Dec-2027"/>
    <s v="Tuesday"/>
    <s v="Monthly - Tuesday"/>
    <s v="Monthly - Tuesday"/>
    <s v="Month+17 Expiry"/>
    <n v="471"/>
    <n v="82.54"/>
    <n v="2.73"/>
  </r>
  <r>
    <s v="02-Jul-2026"/>
    <x v="3"/>
    <s v="Week1-Jul-2026"/>
    <x v="10"/>
    <s v="27-Jun-2028"/>
    <s v="Tuesday"/>
    <s v="Monthly - Tuesday"/>
    <s v="Monthly - Tuesday"/>
    <s v="Month+23 Expiry"/>
    <n v="0"/>
    <n v="0"/>
    <n v="0"/>
  </r>
  <r>
    <s v="02-Jul-2026"/>
    <x v="3"/>
    <s v="Week1-Jul-2026"/>
    <x v="10"/>
    <s v="26-Dec-2028"/>
    <s v="Tuesday"/>
    <s v="Monthly - Tuesday"/>
    <s v="Monthly - Tuesday"/>
    <s v="Month+29 Expiry"/>
    <n v="30"/>
    <n v="4.47"/>
    <n v="0.14000000000000001"/>
  </r>
  <r>
    <s v="02-Jul-2026"/>
    <x v="3"/>
    <s v="Week1-Jul-2026"/>
    <x v="10"/>
    <s v="26-Jun-2029"/>
    <s v="Tuesday"/>
    <s v="Monthly - Tuesday"/>
    <s v="Monthly - Tuesday"/>
    <s v="Month+35 Expiry"/>
    <n v="0"/>
    <n v="0"/>
    <n v="0"/>
  </r>
  <r>
    <s v="02-Jul-2026"/>
    <x v="3"/>
    <s v="Week1-Jul-2026"/>
    <x v="10"/>
    <s v="24-Dec-2029"/>
    <s v="Monday"/>
    <s v="Weekly - Monday"/>
    <s v="Weekly - Monday"/>
    <s v="Month+41 Expiry"/>
    <n v="0"/>
    <n v="0"/>
    <n v="0"/>
  </r>
  <r>
    <s v="02-Jul-2026"/>
    <x v="3"/>
    <s v="Week1-Jul-2026"/>
    <x v="10"/>
    <s v="25-Jun-2030"/>
    <s v="Tuesday"/>
    <s v="Monthly - Tuesday"/>
    <s v="Monthly - Tuesday"/>
    <s v="Month+47 Expiry"/>
    <n v="0"/>
    <n v="0"/>
    <n v="0"/>
  </r>
  <r>
    <s v="02-Jul-2026"/>
    <x v="3"/>
    <s v="Week1-Jul-2026"/>
    <x v="10"/>
    <s v="31-Dec-2030"/>
    <s v="Tuesday"/>
    <s v="Monthly - Tuesday"/>
    <s v="Monthly - Tuesday"/>
    <s v="Month+53 Expiry"/>
    <n v="0"/>
    <n v="0"/>
    <n v="0"/>
  </r>
  <r>
    <s v="02-Jul-2026"/>
    <x v="3"/>
    <s v="Week1-Jul-2026"/>
    <x v="10"/>
    <s v="24-Jun-2031"/>
    <s v="Tuesday"/>
    <s v="Monthly - Tuesday"/>
    <s v="Monthly - Tuesday"/>
    <s v="Month+59 Expiry"/>
    <n v="0"/>
    <n v="0"/>
    <n v="0"/>
  </r>
  <r>
    <s v="03-Jul-2026"/>
    <x v="4"/>
    <s v="Week1-Jul-2026"/>
    <x v="10"/>
    <s v="07-Jul-2026"/>
    <s v="Tuesday"/>
    <s v="Weekly - Tuesday"/>
    <s v="Weekly - Tuesday"/>
    <s v="Same Month Expiry"/>
    <n v="84712130"/>
    <n v="13394332.57"/>
    <n v="33844.629999999997"/>
  </r>
  <r>
    <s v="03-Jul-2026"/>
    <x v="4"/>
    <s v="Week1-Jul-2026"/>
    <x v="10"/>
    <s v="14-Jul-2026"/>
    <s v="Tuesday"/>
    <s v="Weekly - Tuesday"/>
    <s v="Weekly - Tuesday"/>
    <s v="Same Month Expiry"/>
    <n v="2187650"/>
    <n v="345154.37"/>
    <n v="1190.3"/>
  </r>
  <r>
    <s v="03-Jul-2026"/>
    <x v="4"/>
    <s v="Week1-Jul-2026"/>
    <x v="10"/>
    <s v="21-Jul-2026"/>
    <s v="Tuesday"/>
    <s v="Weekly - Tuesday"/>
    <s v="Weekly - Tuesday"/>
    <s v="Same Month Expiry"/>
    <n v="142139"/>
    <n v="22492.15"/>
    <n v="112.17"/>
  </r>
  <r>
    <s v="03-Jul-2026"/>
    <x v="4"/>
    <s v="Week1-Jul-2026"/>
    <x v="10"/>
    <s v="28-Jul-2026"/>
    <s v="Tuesday"/>
    <s v="Monthly - Tuesday"/>
    <s v="Monthly - Tuesday"/>
    <s v="Same Month Expiry"/>
    <n v="1274475"/>
    <n v="201461.06"/>
    <n v="1406.02"/>
  </r>
  <r>
    <s v="03-Jul-2026"/>
    <x v="4"/>
    <s v="Week1-Jul-2026"/>
    <x v="10"/>
    <s v="04-Aug-2026"/>
    <s v="Tuesday"/>
    <s v="Weekly - Tuesday"/>
    <s v="Weekly - Tuesday"/>
    <s v="Month+1 Expiry"/>
    <n v="4958"/>
    <n v="779.21"/>
    <n v="5.99"/>
  </r>
  <r>
    <s v="03-Jul-2026"/>
    <x v="4"/>
    <s v="Week1-Jul-2026"/>
    <x v="10"/>
    <s v="25-Aug-2026"/>
    <s v="Tuesday"/>
    <s v="Monthly - Tuesday"/>
    <s v="Monthly - Tuesday"/>
    <s v="Month+1 Expiry"/>
    <n v="165497"/>
    <n v="26184.240000000002"/>
    <n v="240.45"/>
  </r>
  <r>
    <s v="03-Jul-2026"/>
    <x v="4"/>
    <s v="Week1-Jul-2026"/>
    <x v="10"/>
    <s v="29-Sep-2026"/>
    <s v="Tuesday"/>
    <s v="Monthly - Tuesday"/>
    <s v="Monthly - Tuesday"/>
    <s v="Month+2 Expiry"/>
    <n v="69784"/>
    <n v="11093.03"/>
    <n v="134.46"/>
  </r>
  <r>
    <s v="03-Jul-2026"/>
    <x v="4"/>
    <s v="Week1-Jul-2026"/>
    <x v="10"/>
    <s v="29-Dec-2026"/>
    <s v="Tuesday"/>
    <s v="Monthly - Tuesday"/>
    <s v="Monthly - Tuesday"/>
    <s v="Month+5 Expiry"/>
    <n v="62117"/>
    <n v="9744.77"/>
    <n v="173.61"/>
  </r>
  <r>
    <s v="03-Jul-2026"/>
    <x v="4"/>
    <s v="Week1-Jul-2026"/>
    <x v="10"/>
    <s v="30-Mar-2027"/>
    <s v="Tuesday"/>
    <s v="Monthly - Tuesday"/>
    <s v="Monthly - Tuesday"/>
    <s v="Month+8 Expiry"/>
    <n v="12465"/>
    <n v="2088.4499999999998"/>
    <n v="25.66"/>
  </r>
  <r>
    <s v="03-Jul-2026"/>
    <x v="4"/>
    <s v="Week1-Jul-2026"/>
    <x v="10"/>
    <s v="29-Jun-2027"/>
    <s v="Tuesday"/>
    <s v="Monthly - Tuesday"/>
    <s v="Monthly - Tuesday"/>
    <s v="Month+11 Expiry"/>
    <n v="3"/>
    <n v="0.41"/>
    <n v="0"/>
  </r>
  <r>
    <s v="03-Jul-2026"/>
    <x v="4"/>
    <s v="Week1-Jul-2026"/>
    <x v="10"/>
    <s v="28-Dec-2027"/>
    <s v="Tuesday"/>
    <s v="Monthly - Tuesday"/>
    <s v="Monthly - Tuesday"/>
    <s v="Month+17 Expiry"/>
    <n v="548"/>
    <n v="92.77"/>
    <n v="3.79"/>
  </r>
  <r>
    <s v="03-Jul-2026"/>
    <x v="4"/>
    <s v="Week1-Jul-2026"/>
    <x v="10"/>
    <s v="27-Jun-2028"/>
    <s v="Tuesday"/>
    <s v="Monthly - Tuesday"/>
    <s v="Monthly - Tuesday"/>
    <s v="Month+23 Expiry"/>
    <n v="0"/>
    <n v="0"/>
    <n v="0"/>
  </r>
  <r>
    <s v="03-Jul-2026"/>
    <x v="4"/>
    <s v="Week1-Jul-2026"/>
    <x v="10"/>
    <s v="26-Dec-2028"/>
    <s v="Tuesday"/>
    <s v="Monthly - Tuesday"/>
    <s v="Monthly - Tuesday"/>
    <s v="Month+29 Expiry"/>
    <n v="11"/>
    <n v="1.93"/>
    <n v="0.12"/>
  </r>
  <r>
    <s v="03-Jul-2026"/>
    <x v="4"/>
    <s v="Week1-Jul-2026"/>
    <x v="10"/>
    <s v="26-Jun-2029"/>
    <s v="Tuesday"/>
    <s v="Monthly - Tuesday"/>
    <s v="Monthly - Tuesday"/>
    <s v="Month+35 Expiry"/>
    <n v="0"/>
    <n v="0"/>
    <n v="0"/>
  </r>
  <r>
    <s v="03-Jul-2026"/>
    <x v="4"/>
    <s v="Week1-Jul-2026"/>
    <x v="10"/>
    <s v="24-Dec-2029"/>
    <s v="Monday"/>
    <s v="Weekly - Monday"/>
    <s v="Weekly - Monday"/>
    <s v="Month+41 Expiry"/>
    <n v="1"/>
    <n v="0.16"/>
    <n v="0.01"/>
  </r>
  <r>
    <s v="03-Jul-2026"/>
    <x v="4"/>
    <s v="Week1-Jul-2026"/>
    <x v="10"/>
    <s v="25-Jun-2030"/>
    <s v="Tuesday"/>
    <s v="Monthly - Tuesday"/>
    <s v="Monthly - Tuesday"/>
    <s v="Month+47 Expiry"/>
    <n v="0"/>
    <n v="0"/>
    <n v="0"/>
  </r>
  <r>
    <s v="03-Jul-2026"/>
    <x v="4"/>
    <s v="Week1-Jul-2026"/>
    <x v="10"/>
    <s v="31-Dec-2030"/>
    <s v="Tuesday"/>
    <s v="Monthly - Tuesday"/>
    <s v="Monthly - Tuesday"/>
    <s v="Month+53 Expiry"/>
    <n v="0"/>
    <n v="0"/>
    <n v="0"/>
  </r>
  <r>
    <s v="03-Jul-2026"/>
    <x v="4"/>
    <s v="Week1-Jul-2026"/>
    <x v="10"/>
    <s v="24-Jun-2031"/>
    <s v="Tuesday"/>
    <s v="Monthly - Tuesday"/>
    <s v="Monthly - Tuesday"/>
    <s v="Month+59 Expiry"/>
    <n v="0"/>
    <n v="0"/>
    <n v="0"/>
  </r>
  <r>
    <s v="06-Jul-2026"/>
    <x v="0"/>
    <s v="Week1-Jul-2026"/>
    <x v="10"/>
    <s v="07-Jul-2026"/>
    <s v="Tuesday"/>
    <s v="Weekly - Tuesday"/>
    <s v="Weekly - Tuesday"/>
    <s v="Same Month Expiry"/>
    <n v="119595595"/>
    <n v="18941753.050000001"/>
    <n v="32236.33"/>
  </r>
  <r>
    <s v="06-Jul-2026"/>
    <x v="0"/>
    <s v="Week1-Jul-2026"/>
    <x v="10"/>
    <s v="14-Jul-2026"/>
    <s v="Tuesday"/>
    <s v="Weekly - Tuesday"/>
    <s v="Weekly - Tuesday"/>
    <s v="Same Month Expiry"/>
    <n v="4195721"/>
    <n v="663880.24"/>
    <n v="2080.36"/>
  </r>
  <r>
    <s v="06-Jul-2026"/>
    <x v="0"/>
    <s v="Week1-Jul-2026"/>
    <x v="10"/>
    <s v="21-Jul-2026"/>
    <s v="Tuesday"/>
    <s v="Weekly - Tuesday"/>
    <s v="Weekly - Tuesday"/>
    <s v="Same Month Expiry"/>
    <n v="193767"/>
    <n v="30645.99"/>
    <n v="124.95"/>
  </r>
  <r>
    <s v="06-Jul-2026"/>
    <x v="0"/>
    <s v="Week1-Jul-2026"/>
    <x v="10"/>
    <s v="28-Jul-2026"/>
    <s v="Tuesday"/>
    <s v="Monthly - Tuesday"/>
    <s v="Monthly - Tuesday"/>
    <s v="Same Month Expiry"/>
    <n v="1224323"/>
    <n v="194148.49"/>
    <n v="1282.93"/>
  </r>
  <r>
    <s v="06-Jul-2026"/>
    <x v="0"/>
    <s v="Week1-Jul-2026"/>
    <x v="10"/>
    <s v="04-Aug-2026"/>
    <s v="Tuesday"/>
    <s v="Weekly - Tuesday"/>
    <s v="Weekly - Tuesday"/>
    <s v="Month+1 Expiry"/>
    <n v="5437"/>
    <n v="865.71"/>
    <n v="5.57"/>
  </r>
  <r>
    <s v="06-Jul-2026"/>
    <x v="0"/>
    <s v="Week1-Jul-2026"/>
    <x v="10"/>
    <s v="25-Aug-2026"/>
    <s v="Tuesday"/>
    <s v="Monthly - Tuesday"/>
    <s v="Monthly - Tuesday"/>
    <s v="Month+1 Expiry"/>
    <n v="161671"/>
    <n v="25440.23"/>
    <n v="222.43"/>
  </r>
  <r>
    <s v="06-Jul-2026"/>
    <x v="0"/>
    <s v="Week1-Jul-2026"/>
    <x v="10"/>
    <s v="29-Sep-2026"/>
    <s v="Tuesday"/>
    <s v="Monthly - Tuesday"/>
    <s v="Monthly - Tuesday"/>
    <s v="Month+2 Expiry"/>
    <n v="60234"/>
    <n v="9375.73"/>
    <n v="104.92"/>
  </r>
  <r>
    <s v="06-Jul-2026"/>
    <x v="0"/>
    <s v="Week1-Jul-2026"/>
    <x v="10"/>
    <s v="29-Dec-2026"/>
    <s v="Tuesday"/>
    <s v="Monthly - Tuesday"/>
    <s v="Monthly - Tuesday"/>
    <s v="Month+5 Expiry"/>
    <n v="45979"/>
    <n v="7355.93"/>
    <n v="142.62"/>
  </r>
  <r>
    <s v="06-Jul-2026"/>
    <x v="0"/>
    <s v="Week1-Jul-2026"/>
    <x v="10"/>
    <s v="30-Mar-2027"/>
    <s v="Tuesday"/>
    <s v="Monthly - Tuesday"/>
    <s v="Monthly - Tuesday"/>
    <s v="Month+8 Expiry"/>
    <n v="1684"/>
    <n v="265.02"/>
    <n v="2.96"/>
  </r>
  <r>
    <s v="06-Jul-2026"/>
    <x v="0"/>
    <s v="Week1-Jul-2026"/>
    <x v="10"/>
    <s v="29-Jun-2027"/>
    <s v="Tuesday"/>
    <s v="Monthly - Tuesday"/>
    <s v="Monthly - Tuesday"/>
    <s v="Month+11 Expiry"/>
    <n v="2"/>
    <n v="0.28000000000000003"/>
    <n v="0"/>
  </r>
  <r>
    <s v="06-Jul-2026"/>
    <x v="0"/>
    <s v="Week1-Jul-2026"/>
    <x v="10"/>
    <s v="28-Dec-2027"/>
    <s v="Tuesday"/>
    <s v="Monthly - Tuesday"/>
    <s v="Monthly - Tuesday"/>
    <s v="Month+17 Expiry"/>
    <n v="516"/>
    <n v="87.68"/>
    <n v="3.49"/>
  </r>
  <r>
    <s v="06-Jul-2026"/>
    <x v="0"/>
    <s v="Week1-Jul-2026"/>
    <x v="10"/>
    <s v="27-Jun-2028"/>
    <s v="Tuesday"/>
    <s v="Monthly - Tuesday"/>
    <s v="Monthly - Tuesday"/>
    <s v="Month+23 Expiry"/>
    <n v="0"/>
    <n v="0"/>
    <n v="0"/>
  </r>
  <r>
    <s v="06-Jul-2026"/>
    <x v="0"/>
    <s v="Week1-Jul-2026"/>
    <x v="10"/>
    <s v="26-Dec-2028"/>
    <s v="Tuesday"/>
    <s v="Monthly - Tuesday"/>
    <s v="Monthly - Tuesday"/>
    <s v="Month+29 Expiry"/>
    <n v="4"/>
    <n v="0.68"/>
    <n v="0.03"/>
  </r>
  <r>
    <s v="06-Jul-2026"/>
    <x v="0"/>
    <s v="Week1-Jul-2026"/>
    <x v="10"/>
    <s v="26-Jun-2029"/>
    <s v="Tuesday"/>
    <s v="Monthly - Tuesday"/>
    <s v="Monthly - Tuesday"/>
    <s v="Month+35 Expiry"/>
    <n v="0"/>
    <n v="0"/>
    <n v="0"/>
  </r>
  <r>
    <s v="06-Jul-2026"/>
    <x v="0"/>
    <s v="Week1-Jul-2026"/>
    <x v="10"/>
    <s v="24-Dec-2029"/>
    <s v="Monday"/>
    <s v="Weekly - Monday"/>
    <s v="Weekly - Monday"/>
    <s v="Month+41 Expiry"/>
    <n v="1"/>
    <n v="0.16"/>
    <n v="0.01"/>
  </r>
  <r>
    <s v="06-Jul-2026"/>
    <x v="0"/>
    <s v="Week1-Jul-2026"/>
    <x v="10"/>
    <s v="25-Jun-2030"/>
    <s v="Tuesday"/>
    <s v="Monthly - Tuesday"/>
    <s v="Monthly - Tuesday"/>
    <s v="Month+47 Expiry"/>
    <n v="0"/>
    <n v="0"/>
    <n v="0"/>
  </r>
  <r>
    <s v="06-Jul-2026"/>
    <x v="0"/>
    <s v="Week1-Jul-2026"/>
    <x v="10"/>
    <s v="31-Dec-2030"/>
    <s v="Tuesday"/>
    <s v="Monthly - Tuesday"/>
    <s v="Monthly - Tuesday"/>
    <s v="Month+53 Expiry"/>
    <n v="0"/>
    <n v="0"/>
    <n v="0"/>
  </r>
  <r>
    <s v="06-Jul-2026"/>
    <x v="0"/>
    <s v="Week1-Jul-2026"/>
    <x v="10"/>
    <s v="24-Jun-2031"/>
    <s v="Tuesday"/>
    <s v="Monthly - Tuesday"/>
    <s v="Monthly - Tuesday"/>
    <s v="Month+59 Expiry"/>
    <n v="0"/>
    <n v="0"/>
    <n v="0"/>
  </r>
  <r>
    <s v="07-Jul-2026"/>
    <x v="1"/>
    <s v="Week1-Jul-2026"/>
    <x v="10"/>
    <s v="07-Jul-2026"/>
    <s v="Tuesday"/>
    <s v="Weekly - Tuesday"/>
    <s v="Weekly - Tuesday"/>
    <s v="Same Month Expiry"/>
    <n v="375946856"/>
    <n v="59730496.399999999"/>
    <n v="51020.98"/>
  </r>
  <r>
    <s v="07-Jul-2026"/>
    <x v="1"/>
    <s v="Week1-Jul-2026"/>
    <x v="10"/>
    <s v="14-Jul-2026"/>
    <s v="Tuesday"/>
    <s v="Weekly - Tuesday"/>
    <s v="Weekly - Tuesday"/>
    <s v="Same Month Expiry"/>
    <n v="9370923"/>
    <n v="1490239.11"/>
    <n v="4615.37"/>
  </r>
  <r>
    <s v="07-Jul-2026"/>
    <x v="1"/>
    <s v="Week1-Jul-2026"/>
    <x v="10"/>
    <s v="21-Jul-2026"/>
    <s v="Tuesday"/>
    <s v="Weekly - Tuesday"/>
    <s v="Weekly - Tuesday"/>
    <s v="Same Month Expiry"/>
    <n v="329609"/>
    <n v="52292.34"/>
    <n v="200.14"/>
  </r>
  <r>
    <s v="07-Jul-2026"/>
    <x v="1"/>
    <s v="Week1-Jul-2026"/>
    <x v="10"/>
    <s v="28-Jul-2026"/>
    <s v="Tuesday"/>
    <s v="Monthly - Tuesday"/>
    <s v="Monthly - Tuesday"/>
    <s v="Same Month Expiry"/>
    <n v="1169110"/>
    <n v="185899.81"/>
    <n v="1240.06"/>
  </r>
  <r>
    <s v="07-Jul-2026"/>
    <x v="1"/>
    <s v="Week1-Jul-2026"/>
    <x v="10"/>
    <s v="04-Aug-2026"/>
    <s v="Tuesday"/>
    <s v="Weekly - Tuesday"/>
    <s v="Weekly - Tuesday"/>
    <s v="Month+1 Expiry"/>
    <n v="8166"/>
    <n v="1298.04"/>
    <n v="8.6999999999999993"/>
  </r>
  <r>
    <s v="07-Jul-2026"/>
    <x v="1"/>
    <s v="Week1-Jul-2026"/>
    <x v="10"/>
    <s v="25-Aug-2026"/>
    <s v="Tuesday"/>
    <s v="Monthly - Tuesday"/>
    <s v="Monthly - Tuesday"/>
    <s v="Month+1 Expiry"/>
    <n v="150392"/>
    <n v="23901.439999999999"/>
    <n v="214.66"/>
  </r>
  <r>
    <s v="07-Jul-2026"/>
    <x v="1"/>
    <s v="Week1-Jul-2026"/>
    <x v="10"/>
    <s v="29-Sep-2026"/>
    <s v="Tuesday"/>
    <s v="Monthly - Tuesday"/>
    <s v="Monthly - Tuesday"/>
    <s v="Month+2 Expiry"/>
    <n v="53315"/>
    <n v="8315.5499999999993"/>
    <n v="100.31"/>
  </r>
  <r>
    <s v="07-Jul-2026"/>
    <x v="1"/>
    <s v="Week1-Jul-2026"/>
    <x v="10"/>
    <s v="29-Dec-2026"/>
    <s v="Tuesday"/>
    <s v="Monthly - Tuesday"/>
    <s v="Monthly - Tuesday"/>
    <s v="Month+5 Expiry"/>
    <n v="46545"/>
    <n v="7343.52"/>
    <n v="132.4"/>
  </r>
  <r>
    <s v="07-Jul-2026"/>
    <x v="1"/>
    <s v="Week1-Jul-2026"/>
    <x v="10"/>
    <s v="30-Mar-2027"/>
    <s v="Tuesday"/>
    <s v="Monthly - Tuesday"/>
    <s v="Monthly - Tuesday"/>
    <s v="Month+8 Expiry"/>
    <n v="8898"/>
    <n v="1299.46"/>
    <n v="10.78"/>
  </r>
  <r>
    <s v="07-Jul-2026"/>
    <x v="1"/>
    <s v="Week1-Jul-2026"/>
    <x v="10"/>
    <s v="29-Jun-2027"/>
    <s v="Tuesday"/>
    <s v="Monthly - Tuesday"/>
    <s v="Monthly - Tuesday"/>
    <s v="Month+11 Expiry"/>
    <n v="3"/>
    <n v="0.41"/>
    <n v="0"/>
  </r>
  <r>
    <s v="07-Jul-2026"/>
    <x v="1"/>
    <s v="Week1-Jul-2026"/>
    <x v="10"/>
    <s v="28-Dec-2027"/>
    <s v="Tuesday"/>
    <s v="Monthly - Tuesday"/>
    <s v="Monthly - Tuesday"/>
    <s v="Month+17 Expiry"/>
    <n v="477"/>
    <n v="79.55"/>
    <n v="3.16"/>
  </r>
  <r>
    <s v="07-Jul-2026"/>
    <x v="1"/>
    <s v="Week1-Jul-2026"/>
    <x v="10"/>
    <s v="27-Jun-2028"/>
    <s v="Tuesday"/>
    <s v="Monthly - Tuesday"/>
    <s v="Monthly - Tuesday"/>
    <s v="Month+23 Expiry"/>
    <n v="0"/>
    <n v="0"/>
    <n v="0"/>
  </r>
  <r>
    <s v="07-Jul-2026"/>
    <x v="1"/>
    <s v="Week1-Jul-2026"/>
    <x v="10"/>
    <s v="26-Dec-2028"/>
    <s v="Tuesday"/>
    <s v="Monthly - Tuesday"/>
    <s v="Monthly - Tuesday"/>
    <s v="Month+29 Expiry"/>
    <n v="2"/>
    <n v="0.34"/>
    <n v="0.01"/>
  </r>
  <r>
    <s v="07-Jul-2026"/>
    <x v="1"/>
    <s v="Week1-Jul-2026"/>
    <x v="10"/>
    <s v="26-Jun-2029"/>
    <s v="Tuesday"/>
    <s v="Monthly - Tuesday"/>
    <s v="Monthly - Tuesday"/>
    <s v="Month+35 Expiry"/>
    <n v="0"/>
    <n v="0"/>
    <n v="0"/>
  </r>
  <r>
    <s v="07-Jul-2026"/>
    <x v="1"/>
    <s v="Week1-Jul-2026"/>
    <x v="10"/>
    <s v="24-Dec-2029"/>
    <s v="Monday"/>
    <s v="Weekly - Monday"/>
    <s v="Weekly - Monday"/>
    <s v="Month+41 Expiry"/>
    <n v="0"/>
    <n v="0"/>
    <n v="0"/>
  </r>
  <r>
    <s v="07-Jul-2026"/>
    <x v="1"/>
    <s v="Week1-Jul-2026"/>
    <x v="10"/>
    <s v="25-Jun-2030"/>
    <s v="Tuesday"/>
    <s v="Monthly - Tuesday"/>
    <s v="Monthly - Tuesday"/>
    <s v="Month+47 Expiry"/>
    <n v="0"/>
    <n v="0"/>
    <n v="0"/>
  </r>
  <r>
    <s v="07-Jul-2026"/>
    <x v="1"/>
    <s v="Week1-Jul-2026"/>
    <x v="10"/>
    <s v="31-Dec-2030"/>
    <s v="Tuesday"/>
    <s v="Monthly - Tuesday"/>
    <s v="Monthly - Tuesday"/>
    <s v="Month+53 Expiry"/>
    <n v="0"/>
    <n v="0"/>
    <n v="0"/>
  </r>
  <r>
    <s v="07-Jul-2026"/>
    <x v="1"/>
    <s v="Week1-Jul-2026"/>
    <x v="10"/>
    <s v="24-Jun-2031"/>
    <s v="Tuesday"/>
    <s v="Monthly - Tuesday"/>
    <s v="Monthly - Tuesday"/>
    <s v="Month+59 Expiry"/>
    <n v="0"/>
    <n v="0"/>
    <n v="0"/>
  </r>
  <r>
    <s v="08-Jul-2026"/>
    <x v="2"/>
    <s v="Week2-Jul-2026"/>
    <x v="10"/>
    <s v="14-Jul-2026"/>
    <s v="Tuesday"/>
    <s v="Weekly - Tuesday"/>
    <s v="Weekly - Tuesday"/>
    <s v="Same Month Expiry"/>
    <n v="62568650"/>
    <n v="9851035.0800000001"/>
    <n v="36307.4"/>
  </r>
  <r>
    <s v="08-Jul-2026"/>
    <x v="2"/>
    <s v="Week2-Jul-2026"/>
    <x v="10"/>
    <s v="21-Jul-2026"/>
    <s v="Tuesday"/>
    <s v="Weekly - Tuesday"/>
    <s v="Weekly - Tuesday"/>
    <s v="Same Month Expiry"/>
    <n v="1566643"/>
    <n v="246178.48"/>
    <n v="1194.07"/>
  </r>
  <r>
    <s v="08-Jul-2026"/>
    <x v="2"/>
    <s v="Week2-Jul-2026"/>
    <x v="10"/>
    <s v="28-Jul-2026"/>
    <s v="Tuesday"/>
    <s v="Monthly - Tuesday"/>
    <s v="Monthly - Tuesday"/>
    <s v="Same Month Expiry"/>
    <n v="2799928"/>
    <n v="441089.78"/>
    <n v="3159.17"/>
  </r>
  <r>
    <s v="08-Jul-2026"/>
    <x v="2"/>
    <s v="Week2-Jul-2026"/>
    <x v="10"/>
    <s v="04-Aug-2026"/>
    <s v="Tuesday"/>
    <s v="Weekly - Tuesday"/>
    <s v="Weekly - Tuesday"/>
    <s v="Month+1 Expiry"/>
    <n v="38139"/>
    <n v="6019.24"/>
    <n v="54.03"/>
  </r>
  <r>
    <s v="08-Jul-2026"/>
    <x v="2"/>
    <s v="Week2-Jul-2026"/>
    <x v="10"/>
    <s v="11-Aug-2026"/>
    <s v="Tuesday"/>
    <s v="Weekly - Tuesday"/>
    <s v="Weekly - Tuesday"/>
    <s v="Month+1 Expiry"/>
    <n v="878"/>
    <n v="139.38999999999999"/>
    <n v="1.64"/>
  </r>
  <r>
    <s v="08-Jul-2026"/>
    <x v="2"/>
    <s v="Week2-Jul-2026"/>
    <x v="10"/>
    <s v="25-Aug-2026"/>
    <s v="Tuesday"/>
    <s v="Monthly - Tuesday"/>
    <s v="Monthly - Tuesday"/>
    <s v="Month+1 Expiry"/>
    <n v="388623"/>
    <n v="61344.01"/>
    <n v="561.83000000000004"/>
  </r>
  <r>
    <s v="08-Jul-2026"/>
    <x v="2"/>
    <s v="Week2-Jul-2026"/>
    <x v="10"/>
    <s v="29-Sep-2026"/>
    <s v="Tuesday"/>
    <s v="Monthly - Tuesday"/>
    <s v="Monthly - Tuesday"/>
    <s v="Month+2 Expiry"/>
    <n v="148897"/>
    <n v="23126.52"/>
    <n v="241.69"/>
  </r>
  <r>
    <s v="08-Jul-2026"/>
    <x v="2"/>
    <s v="Week2-Jul-2026"/>
    <x v="10"/>
    <s v="29-Dec-2026"/>
    <s v="Tuesday"/>
    <s v="Monthly - Tuesday"/>
    <s v="Monthly - Tuesday"/>
    <s v="Month+5 Expiry"/>
    <n v="95898"/>
    <n v="15416.35"/>
    <n v="271.52"/>
  </r>
  <r>
    <s v="08-Jul-2026"/>
    <x v="2"/>
    <s v="Week2-Jul-2026"/>
    <x v="10"/>
    <s v="30-Mar-2027"/>
    <s v="Tuesday"/>
    <s v="Monthly - Tuesday"/>
    <s v="Monthly - Tuesday"/>
    <s v="Month+8 Expiry"/>
    <n v="4570"/>
    <n v="728.75"/>
    <n v="8.3699999999999992"/>
  </r>
  <r>
    <s v="08-Jul-2026"/>
    <x v="2"/>
    <s v="Week2-Jul-2026"/>
    <x v="10"/>
    <s v="29-Jun-2027"/>
    <s v="Tuesday"/>
    <s v="Monthly - Tuesday"/>
    <s v="Monthly - Tuesday"/>
    <s v="Month+11 Expiry"/>
    <n v="0"/>
    <n v="0"/>
    <n v="0"/>
  </r>
  <r>
    <s v="08-Jul-2026"/>
    <x v="2"/>
    <s v="Week2-Jul-2026"/>
    <x v="10"/>
    <s v="28-Dec-2027"/>
    <s v="Tuesday"/>
    <s v="Monthly - Tuesday"/>
    <s v="Monthly - Tuesday"/>
    <s v="Month+17 Expiry"/>
    <n v="1667"/>
    <n v="287.72000000000003"/>
    <n v="12.55"/>
  </r>
  <r>
    <s v="08-Jul-2026"/>
    <x v="2"/>
    <s v="Week2-Jul-2026"/>
    <x v="10"/>
    <s v="27-Jun-2028"/>
    <s v="Tuesday"/>
    <s v="Monthly - Tuesday"/>
    <s v="Monthly - Tuesday"/>
    <s v="Month+23 Expiry"/>
    <n v="3"/>
    <n v="0.44"/>
    <n v="0.01"/>
  </r>
  <r>
    <s v="08-Jul-2026"/>
    <x v="2"/>
    <s v="Week2-Jul-2026"/>
    <x v="10"/>
    <s v="26-Dec-2028"/>
    <s v="Tuesday"/>
    <s v="Monthly - Tuesday"/>
    <s v="Monthly - Tuesday"/>
    <s v="Month+29 Expiry"/>
    <n v="15"/>
    <n v="2.4500000000000002"/>
    <n v="0.11"/>
  </r>
  <r>
    <s v="08-Jul-2026"/>
    <x v="2"/>
    <s v="Week2-Jul-2026"/>
    <x v="10"/>
    <s v="26-Jun-2029"/>
    <s v="Tuesday"/>
    <s v="Monthly - Tuesday"/>
    <s v="Monthly - Tuesday"/>
    <s v="Month+35 Expiry"/>
    <n v="0"/>
    <n v="0"/>
    <n v="0"/>
  </r>
  <r>
    <s v="08-Jul-2026"/>
    <x v="2"/>
    <s v="Week2-Jul-2026"/>
    <x v="10"/>
    <s v="24-Dec-2029"/>
    <s v="Monday"/>
    <s v="Weekly - Monday"/>
    <s v="Weekly - Monday"/>
    <s v="Month+41 Expiry"/>
    <n v="2"/>
    <n v="0.2"/>
    <n v="0"/>
  </r>
  <r>
    <s v="08-Jul-2026"/>
    <x v="2"/>
    <s v="Week2-Jul-2026"/>
    <x v="10"/>
    <s v="25-Jun-2030"/>
    <s v="Tuesday"/>
    <s v="Monthly - Tuesday"/>
    <s v="Monthly - Tuesday"/>
    <s v="Month+47 Expiry"/>
    <n v="0"/>
    <n v="0"/>
    <n v="0"/>
  </r>
  <r>
    <s v="08-Jul-2026"/>
    <x v="2"/>
    <s v="Week2-Jul-2026"/>
    <x v="10"/>
    <s v="31-Dec-2030"/>
    <s v="Tuesday"/>
    <s v="Monthly - Tuesday"/>
    <s v="Monthly - Tuesday"/>
    <s v="Month+53 Expiry"/>
    <n v="0"/>
    <n v="0"/>
    <n v="0"/>
  </r>
  <r>
    <s v="08-Jul-2026"/>
    <x v="2"/>
    <s v="Week2-Jul-2026"/>
    <x v="10"/>
    <s v="24-Jun-2031"/>
    <s v="Tuesday"/>
    <s v="Monthly - Tuesday"/>
    <s v="Monthly - Tuesday"/>
    <s v="Month+59 Expiry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1000000}" name="PivotTable13" cacheId="55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H18:I24" firstHeaderRow="1" firstDataRow="1" firstDataCol="1" rowPageCount="1" colPageCount="1"/>
  <pivotFields count="12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Page" numFmtId="166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t="default"/>
      </items>
    </pivotField>
    <pivotField showAll="0"/>
    <pivotField showAll="0"/>
    <pivotField showAll="0"/>
    <pivotField showAll="0"/>
    <pivotField showAll="0"/>
    <pivotField numFmtId="3" showAll="0"/>
    <pivotField numFmtId="4" showAll="0"/>
    <pivotField dataField="1" numFmtId="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 hier="-1"/>
  </pageFields>
  <dataFields count="1">
    <dataField name="Sum of Premium Turnover (INR Crs)" fld="11" baseField="0" baseItem="0" numFmtId="164"/>
  </dataFields>
  <formats count="2">
    <format dxfId="5">
      <pivotArea outline="0" collapsedLevelsAreSubtotals="1" fieldPosition="0"/>
    </format>
    <format dxfId="4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12" cacheId="55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8:B24" firstHeaderRow="1" firstDataRow="1" firstDataCol="1" rowPageCount="1" colPageCount="1"/>
  <pivotFields count="12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Page" numFmtId="166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t="default"/>
      </items>
    </pivotField>
    <pivotField showAll="0"/>
    <pivotField showAll="0"/>
    <pivotField showAll="0"/>
    <pivotField showAll="0"/>
    <pivotField showAll="0"/>
    <pivotField numFmtId="3" showAll="0"/>
    <pivotField numFmtId="4" showAll="0"/>
    <pivotField dataField="1" numFmtId="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 hier="-1"/>
  </pageFields>
  <dataFields count="1">
    <dataField name="Sum of Premium Turnover (INR Crs)" fld="11" baseField="0" baseItem="0" numFmtId="164"/>
  </dataFields>
  <formats count="2">
    <format dxfId="7">
      <pivotArea outline="0" collapsedLevelsAreSubtotals="1" fieldPosition="0"/>
    </format>
    <format dxfId="6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3000000}" name="PivotTable15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5:K21" firstHeaderRow="1" firstDataRow="1" firstDataCol="1" rowPageCount="1" colPageCount="1"/>
  <pivotFields count="12">
    <pivotField showAll="0"/>
    <pivotField axis="axisRow" showAll="0">
      <items count="8">
        <item x="5"/>
        <item x="0"/>
        <item x="1"/>
        <item x="2"/>
        <item x="3"/>
        <item x="4"/>
        <item m="1" x="6"/>
        <item t="default"/>
      </items>
    </pivotField>
    <pivotField showAll="0"/>
    <pivotField axis="axisPage" numFmtId="166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3" hier="-1"/>
  </pageFields>
  <dataFields count="1">
    <dataField name="Sum of Premium Turnover (INR Crs)" fld="11" baseField="0" baseItem="0" numFmtId="164"/>
  </dataFields>
  <formats count="2">
    <format dxfId="1">
      <pivotArea outline="0" collapsedLevelsAreSubtotals="1" fieldPosition="0"/>
    </format>
    <format dxfId="0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2000000}" name="PivotTable14" cacheId="5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1" firstHeaderRow="1" firstDataRow="1" firstDataCol="1" rowPageCount="1" colPageCount="1"/>
  <pivotFields count="12">
    <pivotField showAll="0"/>
    <pivotField axis="axisRow" showAll="0">
      <items count="8">
        <item x="5"/>
        <item x="0"/>
        <item x="1"/>
        <item x="2"/>
        <item x="3"/>
        <item x="4"/>
        <item m="1" x="6"/>
        <item t="default"/>
      </items>
    </pivotField>
    <pivotField showAll="0"/>
    <pivotField axis="axisPage" numFmtId="166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3" hier="-1"/>
  </pageFields>
  <dataFields count="1">
    <dataField name="Sum of Premium Turnover (INR Crs)" fld="11" baseField="0" baseItem="0" numFmtId="164"/>
  </dataFields>
  <formats count="2">
    <format dxfId="3">
      <pivotArea outline="0" collapsedLevelsAreSubtotals="1" fieldPosition="0"/>
    </format>
    <format dxfId="2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selection activeCell="B12" sqref="B12"/>
    </sheetView>
  </sheetViews>
  <sheetFormatPr baseColWidth="10" defaultRowHeight="16"/>
  <cols>
    <col min="1" max="1" width="28.83203125" customWidth="1"/>
    <col min="2" max="7" width="26.83203125" customWidth="1"/>
  </cols>
  <sheetData>
    <row r="1" spans="1:7">
      <c r="A1" s="10" t="s">
        <v>151</v>
      </c>
    </row>
    <row r="3" spans="1:7">
      <c r="A3" s="10" t="s">
        <v>152</v>
      </c>
      <c r="B3" s="10" t="s">
        <v>153</v>
      </c>
      <c r="C3" s="10" t="s">
        <v>154</v>
      </c>
      <c r="D3" s="10" t="s">
        <v>155</v>
      </c>
      <c r="E3" s="10" t="s">
        <v>156</v>
      </c>
      <c r="F3" s="10" t="s">
        <v>157</v>
      </c>
    </row>
    <row r="4" spans="1:7">
      <c r="A4" t="s">
        <v>158</v>
      </c>
      <c r="B4" t="s">
        <v>159</v>
      </c>
      <c r="C4" t="str">
        <f>'NSE - NIFTY Index Options'!A2</f>
        <v>01-Sep-2025</v>
      </c>
      <c r="D4" t="str">
        <f>LOOKUP(2,1/('NSE - NIFTY Index Options'!$A$2:$A$100000&lt;&gt;""),'NSE - NIFTY Index Options'!$A$2:$A$100000)</f>
        <v>08-Jul-2026</v>
      </c>
      <c r="E4">
        <f>COUNTA('NSE - NIFTY Index Options'!A:A)-1</f>
        <v>3780</v>
      </c>
      <c r="F4">
        <f>SUM('NSE - NIFTY Index Options'!L:L)</f>
        <v>10395048.73999995</v>
      </c>
    </row>
    <row r="5" spans="1:7">
      <c r="A5" t="s">
        <v>158</v>
      </c>
      <c r="B5" t="s">
        <v>160</v>
      </c>
      <c r="C5" t="str">
        <f>'NSE - Other Index Options'!A2</f>
        <v>01-Sep-2025</v>
      </c>
      <c r="D5" t="str">
        <f>LOOKUP(2,1/('NSE - Other Index Options'!$A$2:$A$100000&lt;&gt;""),'NSE - Other Index Options'!$A$2:$A$100000)</f>
        <v>08-Jul-2026</v>
      </c>
      <c r="E5">
        <f>COUNTA('NSE - Other Index Options'!A:A)-1</f>
        <v>1260</v>
      </c>
      <c r="F5">
        <f>SUM('NSE - Other Index Options'!L:L)</f>
        <v>1130834.9600000009</v>
      </c>
    </row>
    <row r="6" spans="1:7">
      <c r="A6" t="s">
        <v>161</v>
      </c>
      <c r="B6" t="s">
        <v>162</v>
      </c>
      <c r="C6" t="str">
        <f>'BSE - SENSEX Index Options'!A2</f>
        <v>01-Sep-2025</v>
      </c>
      <c r="D6" t="str">
        <f>LOOKUP(2,1/('BSE - SENSEX Index Options'!$A$2:$A$100000&lt;&gt;""),'BSE - SENSEX Index Options'!$A$2:$A$100000)</f>
        <v>08-Jul-2026</v>
      </c>
      <c r="E6">
        <f>COUNTA('BSE - SENSEX Index Options'!A:A)-1</f>
        <v>1367</v>
      </c>
      <c r="F6">
        <f>SUM('BSE - SENSEX Index Options'!L:L)</f>
        <v>5219777.1699999934</v>
      </c>
    </row>
    <row r="7" spans="1:7">
      <c r="A7" t="s">
        <v>161</v>
      </c>
      <c r="B7" t="s">
        <v>163</v>
      </c>
      <c r="C7" t="str">
        <f>'BSE - Other Index Options'!A2</f>
        <v>01-Sep-2025</v>
      </c>
      <c r="D7" t="str">
        <f>LOOKUP(2,1/('BSE - Other Index Options'!$A$2:$A$100000&lt;&gt;""),'BSE - Other Index Options'!$A$2:$A$100000)</f>
        <v>08-Jul-2026</v>
      </c>
      <c r="E7">
        <f>COUNTA('BSE - Other Index Options'!A:A)-1</f>
        <v>389</v>
      </c>
      <c r="F7">
        <f>SUM('BSE - Other Index Options'!L:L)</f>
        <v>13306.000000000005</v>
      </c>
    </row>
    <row r="9" spans="1:7">
      <c r="A9" s="10" t="s">
        <v>164</v>
      </c>
      <c r="B9" t="str">
        <f>IF(D4=D5,D4,"MISMATCH between NSE sheets")</f>
        <v>08-Jul-2026</v>
      </c>
    </row>
    <row r="10" spans="1:7">
      <c r="A10" s="10" t="s">
        <v>165</v>
      </c>
      <c r="B10" t="str">
        <f>IF(D6=D7,D6,"MISMATCH between BSE sheets")</f>
        <v>08-Jul-2026</v>
      </c>
    </row>
    <row r="11" spans="1:7">
      <c r="A11" s="10" t="s">
        <v>166</v>
      </c>
      <c r="B11" t="str">
        <f>IF(B9=B10,"YES","NO — update the lagging exchange")</f>
        <v>YES</v>
      </c>
    </row>
    <row r="12" spans="1:7">
      <c r="A12" s="10" t="s">
        <v>167</v>
      </c>
      <c r="B12" s="11">
        <v>46210</v>
      </c>
    </row>
    <row r="13" spans="1:7">
      <c r="A13" s="10" t="s">
        <v>518</v>
      </c>
      <c r="B13" s="11">
        <v>46212</v>
      </c>
    </row>
    <row r="14" spans="1:7">
      <c r="A14" s="28" t="s">
        <v>168</v>
      </c>
    </row>
    <row r="15" spans="1:7">
      <c r="A15" s="28" t="s">
        <v>169</v>
      </c>
      <c r="B15" s="28" t="s">
        <v>170</v>
      </c>
      <c r="C15" s="28" t="s">
        <v>171</v>
      </c>
      <c r="D15" s="28" t="s">
        <v>172</v>
      </c>
      <c r="E15" s="28" t="s">
        <v>173</v>
      </c>
      <c r="F15" s="28" t="s">
        <v>174</v>
      </c>
      <c r="G15" s="28" t="s">
        <v>175</v>
      </c>
    </row>
    <row r="16" spans="1:7">
      <c r="A16" s="24">
        <v>45901</v>
      </c>
      <c r="B16" s="25">
        <f>IF(SUMIFS('NSE - NIFTY Index Options'!$J:$J,'NSE - NIFTY Index Options'!$D:$D,$A16)+SUMIFS('NSE - Other Index Options'!$J:$J,'NSE - Other Index Options'!$D:$D,$A16)=0,"",SUMIFS('NSE - NIFTY Index Options'!$J:$J,'NSE - NIFTY Index Options'!$D:$D,$A16)+SUMIFS('NSE - Other Index Options'!$J:$J,'NSE - Other Index Options'!$D:$D,$A16))</f>
        <v>3099992966</v>
      </c>
      <c r="C16" s="26">
        <f>IF(SUMIFS('NSE - NIFTY Index Options'!$K:$K,'NSE - NIFTY Index Options'!$D:$D,$A16)+SUMIFS('NSE - Other Index Options'!$K:$K,'NSE - Other Index Options'!$D:$D,$A16)=0,"",SUMIFS('NSE - NIFTY Index Options'!$K:$K,'NSE - NIFTY Index Options'!$D:$D,$A16)+SUMIFS('NSE - Other Index Options'!$K:$K,'NSE - Other Index Options'!$D:$D,$A16))</f>
        <v>580733447.13</v>
      </c>
      <c r="D16" s="26">
        <f>IF(SUMIFS('NSE - NIFTY Index Options'!$L:$L,'NSE - NIFTY Index Options'!$D:$D,$A16)+SUMIFS('NSE - Other Index Options'!$L:$L,'NSE - Other Index Options'!$D:$D,$A16)=0,"",SUMIFS('NSE - NIFTY Index Options'!$L:$L,'NSE - NIFTY Index Options'!$D:$D,$A16)+SUMIFS('NSE - Other Index Options'!$L:$L,'NSE - Other Index Options'!$D:$D,$A16))</f>
        <v>933317.57999999961</v>
      </c>
      <c r="E16" s="25">
        <f>IF(SUMIFS('BSE - SENSEX Index Options'!$J:$J,'BSE - SENSEX Index Options'!$D:$D,$A16)+SUMIFS('BSE - Other Index Options'!$J:$J,'BSE - Other Index Options'!$D:$D,$A16)=0,"",SUMIFS('BSE - SENSEX Index Options'!$J:$J,'BSE - SENSEX Index Options'!$D:$D,$A16)+SUMIFS('BSE - Other Index Options'!$J:$J,'BSE - Other Index Options'!$D:$D,$A16))</f>
        <v>2235360301</v>
      </c>
      <c r="F16" s="26">
        <f>IF(SUMIFS('BSE - SENSEX Index Options'!$K:$K,'BSE - SENSEX Index Options'!$D:$D,$A16)+SUMIFS('BSE - Other Index Options'!$K:$K,'BSE - Other Index Options'!$D:$D,$A16)=0,"",SUMIFS('BSE - SENSEX Index Options'!$K:$K,'BSE - SENSEX Index Options'!$D:$D,$A16)+SUMIFS('BSE - Other Index Options'!$K:$K,'BSE - Other Index Options'!$D:$D,$A16))</f>
        <v>365181552.68999982</v>
      </c>
      <c r="G16" s="26">
        <f>IF(SUMIFS('BSE - SENSEX Index Options'!$L:$L,'BSE - SENSEX Index Options'!$D:$D,$A16)+SUMIFS('BSE - Other Index Options'!$L:$L,'BSE - Other Index Options'!$D:$D,$A16)=0,"",SUMIFS('BSE - SENSEX Index Options'!$L:$L,'BSE - SENSEX Index Options'!$D:$D,$A16)+SUMIFS('BSE - Other Index Options'!$L:$L,'BSE - Other Index Options'!$D:$D,$A16))</f>
        <v>346224.72000000015</v>
      </c>
    </row>
    <row r="17" spans="1:7">
      <c r="A17" s="24">
        <v>45931</v>
      </c>
      <c r="B17" s="25">
        <f>IF(SUMIFS('NSE - NIFTY Index Options'!$J:$J,'NSE - NIFTY Index Options'!$D:$D,$A17)+SUMIFS('NSE - Other Index Options'!$J:$J,'NSE - Other Index Options'!$D:$D,$A17)=0,"",SUMIFS('NSE - NIFTY Index Options'!$J:$J,'NSE - NIFTY Index Options'!$D:$D,$A17)+SUMIFS('NSE - Other Index Options'!$J:$J,'NSE - Other Index Options'!$D:$D,$A17))</f>
        <v>3053547719</v>
      </c>
      <c r="C17" s="26">
        <f>IF(SUMIFS('NSE - NIFTY Index Options'!$K:$K,'NSE - NIFTY Index Options'!$D:$D,$A17)+SUMIFS('NSE - Other Index Options'!$K:$K,'NSE - Other Index Options'!$D:$D,$A17)=0,"",SUMIFS('NSE - NIFTY Index Options'!$K:$K,'NSE - NIFTY Index Options'!$D:$D,$A17)+SUMIFS('NSE - Other Index Options'!$K:$K,'NSE - Other Index Options'!$D:$D,$A17))</f>
        <v>585956101.85000014</v>
      </c>
      <c r="D17" s="26">
        <f>IF(SUMIFS('NSE - NIFTY Index Options'!$L:$L,'NSE - NIFTY Index Options'!$D:$D,$A17)+SUMIFS('NSE - Other Index Options'!$L:$L,'NSE - Other Index Options'!$D:$D,$A17)=0,"",SUMIFS('NSE - NIFTY Index Options'!$L:$L,'NSE - NIFTY Index Options'!$D:$D,$A17)+SUMIFS('NSE - Other Index Options'!$L:$L,'NSE - Other Index Options'!$D:$D,$A17))</f>
        <v>1041799.0300000006</v>
      </c>
      <c r="E17" s="25">
        <f>IF(SUMIFS('BSE - SENSEX Index Options'!$J:$J,'BSE - SENSEX Index Options'!$D:$D,$A17)+SUMIFS('BSE - Other Index Options'!$J:$J,'BSE - Other Index Options'!$D:$D,$A17)=0,"",SUMIFS('BSE - SENSEX Index Options'!$J:$J,'BSE - SENSEX Index Options'!$D:$D,$A17)+SUMIFS('BSE - Other Index Options'!$J:$J,'BSE - Other Index Options'!$D:$D,$A17))</f>
        <v>2790051623</v>
      </c>
      <c r="F17" s="26">
        <f>IF(SUMIFS('BSE - SENSEX Index Options'!$K:$K,'BSE - SENSEX Index Options'!$D:$D,$A17)+SUMIFS('BSE - Other Index Options'!$K:$K,'BSE - Other Index Options'!$D:$D,$A17)=0,"",SUMIFS('BSE - SENSEX Index Options'!$K:$K,'BSE - SENSEX Index Options'!$D:$D,$A17)+SUMIFS('BSE - Other Index Options'!$K:$K,'BSE - Other Index Options'!$D:$D,$A17))</f>
        <v>464125247.44000006</v>
      </c>
      <c r="G17" s="26">
        <f>IF(SUMIFS('BSE - SENSEX Index Options'!$L:$L,'BSE - SENSEX Index Options'!$D:$D,$A17)+SUMIFS('BSE - Other Index Options'!$L:$L,'BSE - Other Index Options'!$D:$D,$A17)=0,"",SUMIFS('BSE - SENSEX Index Options'!$L:$L,'BSE - SENSEX Index Options'!$D:$D,$A17)+SUMIFS('BSE - Other Index Options'!$L:$L,'BSE - Other Index Options'!$D:$D,$A17))</f>
        <v>430427.39000000007</v>
      </c>
    </row>
    <row r="18" spans="1:7">
      <c r="A18" s="24">
        <v>45962</v>
      </c>
      <c r="B18" s="25">
        <f>IF(SUMIFS('NSE - NIFTY Index Options'!$J:$J,'NSE - NIFTY Index Options'!$D:$D,$A18)+SUMIFS('NSE - Other Index Options'!$J:$J,'NSE - Other Index Options'!$D:$D,$A18)=0,"",SUMIFS('NSE - NIFTY Index Options'!$J:$J,'NSE - NIFTY Index Options'!$D:$D,$A18)+SUMIFS('NSE - Other Index Options'!$J:$J,'NSE - Other Index Options'!$D:$D,$A18))</f>
        <v>2587888973</v>
      </c>
      <c r="C18" s="26">
        <f>IF(SUMIFS('NSE - NIFTY Index Options'!$K:$K,'NSE - NIFTY Index Options'!$D:$D,$A18)+SUMIFS('NSE - Other Index Options'!$K:$K,'NSE - Other Index Options'!$D:$D,$A18)=0,"",SUMIFS('NSE - NIFTY Index Options'!$K:$K,'NSE - NIFTY Index Options'!$D:$D,$A18)+SUMIFS('NSE - Other Index Options'!$K:$K,'NSE - Other Index Options'!$D:$D,$A18))</f>
        <v>504058791.91999978</v>
      </c>
      <c r="D18" s="26">
        <f>IF(SUMIFS('NSE - NIFTY Index Options'!$L:$L,'NSE - NIFTY Index Options'!$D:$D,$A18)+SUMIFS('NSE - Other Index Options'!$L:$L,'NSE - Other Index Options'!$D:$D,$A18)=0,"",SUMIFS('NSE - NIFTY Index Options'!$L:$L,'NSE - NIFTY Index Options'!$D:$D,$A18)+SUMIFS('NSE - Other Index Options'!$L:$L,'NSE - Other Index Options'!$D:$D,$A18))</f>
        <v>913277.33000000054</v>
      </c>
      <c r="E18" s="25">
        <f>IF(SUMIFS('BSE - SENSEX Index Options'!$J:$J,'BSE - SENSEX Index Options'!$D:$D,$A18)+SUMIFS('BSE - Other Index Options'!$J:$J,'BSE - Other Index Options'!$D:$D,$A18)=0,"",SUMIFS('BSE - SENSEX Index Options'!$J:$J,'BSE - SENSEX Index Options'!$D:$D,$A18)+SUMIFS('BSE - Other Index Options'!$J:$J,'BSE - Other Index Options'!$D:$D,$A18))</f>
        <v>2335516230</v>
      </c>
      <c r="F18" s="26">
        <f>IF(SUMIFS('BSE - SENSEX Index Options'!$K:$K,'BSE - SENSEX Index Options'!$D:$D,$A18)+SUMIFS('BSE - Other Index Options'!$K:$K,'BSE - Other Index Options'!$D:$D,$A18)=0,"",SUMIFS('BSE - SENSEX Index Options'!$K:$K,'BSE - SENSEX Index Options'!$D:$D,$A18)+SUMIFS('BSE - Other Index Options'!$K:$K,'BSE - Other Index Options'!$D:$D,$A18))</f>
        <v>396389697.49000013</v>
      </c>
      <c r="G18" s="26">
        <f>IF(SUMIFS('BSE - SENSEX Index Options'!$L:$L,'BSE - SENSEX Index Options'!$D:$D,$A18)+SUMIFS('BSE - Other Index Options'!$L:$L,'BSE - Other Index Options'!$D:$D,$A18)=0,"",SUMIFS('BSE - SENSEX Index Options'!$L:$L,'BSE - SENSEX Index Options'!$D:$D,$A18)+SUMIFS('BSE - Other Index Options'!$L:$L,'BSE - Other Index Options'!$D:$D,$A18))</f>
        <v>363132.10999999987</v>
      </c>
    </row>
    <row r="19" spans="1:7">
      <c r="A19" s="24">
        <v>45992</v>
      </c>
      <c r="B19" s="25">
        <f>IF(SUMIFS('NSE - NIFTY Index Options'!$J:$J,'NSE - NIFTY Index Options'!$D:$D,$A19)+SUMIFS('NSE - Other Index Options'!$J:$J,'NSE - Other Index Options'!$D:$D,$A19)=0,"",SUMIFS('NSE - NIFTY Index Options'!$J:$J,'NSE - NIFTY Index Options'!$D:$D,$A19)+SUMIFS('NSE - Other Index Options'!$J:$J,'NSE - Other Index Options'!$D:$D,$A19))</f>
        <v>2990707367</v>
      </c>
      <c r="C19" s="26">
        <f>IF(SUMIFS('NSE - NIFTY Index Options'!$K:$K,'NSE - NIFTY Index Options'!$D:$D,$A19)+SUMIFS('NSE - Other Index Options'!$K:$K,'NSE - Other Index Options'!$D:$D,$A19)=0,"",SUMIFS('NSE - NIFTY Index Options'!$K:$K,'NSE - NIFTY Index Options'!$D:$D,$A19)+SUMIFS('NSE - Other Index Options'!$K:$K,'NSE - Other Index Options'!$D:$D,$A19))</f>
        <v>583446011.57000053</v>
      </c>
      <c r="D19" s="26">
        <f>IF(SUMIFS('NSE - NIFTY Index Options'!$L:$L,'NSE - NIFTY Index Options'!$D:$D,$A19)+SUMIFS('NSE - Other Index Options'!$L:$L,'NSE - Other Index Options'!$D:$D,$A19)=0,"",SUMIFS('NSE - NIFTY Index Options'!$L:$L,'NSE - NIFTY Index Options'!$D:$D,$A19)+SUMIFS('NSE - Other Index Options'!$L:$L,'NSE - Other Index Options'!$D:$D,$A19))</f>
        <v>946922.96000000008</v>
      </c>
      <c r="E19" s="25">
        <f>IF(SUMIFS('BSE - SENSEX Index Options'!$J:$J,'BSE - SENSEX Index Options'!$D:$D,$A19)+SUMIFS('BSE - Other Index Options'!$J:$J,'BSE - Other Index Options'!$D:$D,$A19)=0,"",SUMIFS('BSE - SENSEX Index Options'!$J:$J,'BSE - SENSEX Index Options'!$D:$D,$A19)+SUMIFS('BSE - Other Index Options'!$J:$J,'BSE - Other Index Options'!$D:$D,$A19))</f>
        <v>2594328292</v>
      </c>
      <c r="F19" s="26">
        <f>IF(SUMIFS('BSE - SENSEX Index Options'!$K:$K,'BSE - SENSEX Index Options'!$D:$D,$A19)+SUMIFS('BSE - Other Index Options'!$K:$K,'BSE - Other Index Options'!$D:$D,$A19)=0,"",SUMIFS('BSE - SENSEX Index Options'!$K:$K,'BSE - SENSEX Index Options'!$D:$D,$A19)+SUMIFS('BSE - Other Index Options'!$K:$K,'BSE - Other Index Options'!$D:$D,$A19))</f>
        <v>441444948.29999995</v>
      </c>
      <c r="G19" s="26">
        <f>IF(SUMIFS('BSE - SENSEX Index Options'!$L:$L,'BSE - SENSEX Index Options'!$D:$D,$A19)+SUMIFS('BSE - Other Index Options'!$L:$L,'BSE - Other Index Options'!$D:$D,$A19)=0,"",SUMIFS('BSE - SENSEX Index Options'!$L:$L,'BSE - SENSEX Index Options'!$D:$D,$A19)+SUMIFS('BSE - Other Index Options'!$L:$L,'BSE - Other Index Options'!$D:$D,$A19))</f>
        <v>412902.50000000006</v>
      </c>
    </row>
    <row r="20" spans="1:7">
      <c r="A20" s="24">
        <v>46023</v>
      </c>
      <c r="B20" s="25">
        <f>IF(SUMIFS('NSE - NIFTY Index Options'!$J:$J,'NSE - NIFTY Index Options'!$D:$D,$A20)+SUMIFS('NSE - Other Index Options'!$J:$J,'NSE - Other Index Options'!$D:$D,$A20)=0,"",SUMIFS('NSE - NIFTY Index Options'!$J:$J,'NSE - NIFTY Index Options'!$D:$D,$A20)+SUMIFS('NSE - Other Index Options'!$J:$J,'NSE - Other Index Options'!$D:$D,$A20))</f>
        <v>3556776860</v>
      </c>
      <c r="C20" s="26">
        <f>IF(SUMIFS('NSE - NIFTY Index Options'!$K:$K,'NSE - NIFTY Index Options'!$D:$D,$A20)+SUMIFS('NSE - Other Index Options'!$K:$K,'NSE - Other Index Options'!$D:$D,$A20)=0,"",SUMIFS('NSE - NIFTY Index Options'!$K:$K,'NSE - NIFTY Index Options'!$D:$D,$A20)+SUMIFS('NSE - Other Index Options'!$K:$K,'NSE - Other Index Options'!$D:$D,$A20))</f>
        <v>595979184.26000035</v>
      </c>
      <c r="D20" s="26">
        <f>IF(SUMIFS('NSE - NIFTY Index Options'!$L:$L,'NSE - NIFTY Index Options'!$D:$D,$A20)+SUMIFS('NSE - Other Index Options'!$L:$L,'NSE - Other Index Options'!$D:$D,$A20)=0,"",SUMIFS('NSE - NIFTY Index Options'!$L:$L,'NSE - NIFTY Index Options'!$D:$D,$A20)+SUMIFS('NSE - Other Index Options'!$L:$L,'NSE - Other Index Options'!$D:$D,$A20))</f>
        <v>1153153.9899999998</v>
      </c>
      <c r="E20" s="25">
        <f>IF(SUMIFS('BSE - SENSEX Index Options'!$J:$J,'BSE - SENSEX Index Options'!$D:$D,$A20)+SUMIFS('BSE - Other Index Options'!$J:$J,'BSE - Other Index Options'!$D:$D,$A20)=0,"",SUMIFS('BSE - SENSEX Index Options'!$J:$J,'BSE - SENSEX Index Options'!$D:$D,$A20)+SUMIFS('BSE - Other Index Options'!$J:$J,'BSE - Other Index Options'!$D:$D,$A20))</f>
        <v>3431358943</v>
      </c>
      <c r="F20" s="26">
        <f>IF(SUMIFS('BSE - SENSEX Index Options'!$K:$K,'BSE - SENSEX Index Options'!$D:$D,$A20)+SUMIFS('BSE - Other Index Options'!$K:$K,'BSE - Other Index Options'!$D:$D,$A20)=0,"",SUMIFS('BSE - SENSEX Index Options'!$K:$K,'BSE - SENSEX Index Options'!$D:$D,$A20)+SUMIFS('BSE - Other Index Options'!$K:$K,'BSE - Other Index Options'!$D:$D,$A20))</f>
        <v>573164048.00999999</v>
      </c>
      <c r="G20" s="26">
        <f>IF(SUMIFS('BSE - SENSEX Index Options'!$L:$L,'BSE - SENSEX Index Options'!$D:$D,$A20)+SUMIFS('BSE - Other Index Options'!$L:$L,'BSE - Other Index Options'!$D:$D,$A20)=0,"",SUMIFS('BSE - SENSEX Index Options'!$L:$L,'BSE - SENSEX Index Options'!$D:$D,$A20)+SUMIFS('BSE - Other Index Options'!$L:$L,'BSE - Other Index Options'!$D:$D,$A20))</f>
        <v>575377.84000000032</v>
      </c>
    </row>
    <row r="21" spans="1:7">
      <c r="A21" s="24">
        <v>46054</v>
      </c>
      <c r="B21" s="25">
        <f>IF(SUMIFS('NSE - NIFTY Index Options'!$J:$J,'NSE - NIFTY Index Options'!$D:$D,$A21)+SUMIFS('NSE - Other Index Options'!$J:$J,'NSE - Other Index Options'!$D:$D,$A21)=0,"",SUMIFS('NSE - NIFTY Index Options'!$J:$J,'NSE - NIFTY Index Options'!$D:$D,$A21)+SUMIFS('NSE - Other Index Options'!$J:$J,'NSE - Other Index Options'!$D:$D,$A21))</f>
        <v>3553974028</v>
      </c>
      <c r="C21" s="26">
        <f>IF(SUMIFS('NSE - NIFTY Index Options'!$K:$K,'NSE - NIFTY Index Options'!$D:$D,$A21)+SUMIFS('NSE - Other Index Options'!$K:$K,'NSE - Other Index Options'!$D:$D,$A21)=0,"",SUMIFS('NSE - NIFTY Index Options'!$K:$K,'NSE - NIFTY Index Options'!$D:$D,$A21)+SUMIFS('NSE - Other Index Options'!$K:$K,'NSE - Other Index Options'!$D:$D,$A21))</f>
        <v>594999788.66999996</v>
      </c>
      <c r="D21" s="26">
        <f>IF(SUMIFS('NSE - NIFTY Index Options'!$L:$L,'NSE - NIFTY Index Options'!$D:$D,$A21)+SUMIFS('NSE - Other Index Options'!$L:$L,'NSE - Other Index Options'!$D:$D,$A21)=0,"",SUMIFS('NSE - NIFTY Index Options'!$L:$L,'NSE - NIFTY Index Options'!$D:$D,$A21)+SUMIFS('NSE - Other Index Options'!$L:$L,'NSE - Other Index Options'!$D:$D,$A21))</f>
        <v>1283969.2800000005</v>
      </c>
      <c r="E21" s="25">
        <f>IF(SUMIFS('BSE - SENSEX Index Options'!$J:$J,'BSE - SENSEX Index Options'!$D:$D,$A21)+SUMIFS('BSE - Other Index Options'!$J:$J,'BSE - Other Index Options'!$D:$D,$A21)=0,"",SUMIFS('BSE - SENSEX Index Options'!$J:$J,'BSE - SENSEX Index Options'!$D:$D,$A21)+SUMIFS('BSE - Other Index Options'!$J:$J,'BSE - Other Index Options'!$D:$D,$A21))</f>
        <v>2818479299</v>
      </c>
      <c r="F21" s="26">
        <f>IF(SUMIFS('BSE - SENSEX Index Options'!$K:$K,'BSE - SENSEX Index Options'!$D:$D,$A21)+SUMIFS('BSE - Other Index Options'!$K:$K,'BSE - Other Index Options'!$D:$D,$A21)=0,"",SUMIFS('BSE - SENSEX Index Options'!$K:$K,'BSE - SENSEX Index Options'!$D:$D,$A21)+SUMIFS('BSE - Other Index Options'!$K:$K,'BSE - Other Index Options'!$D:$D,$A21))</f>
        <v>469340965.67000008</v>
      </c>
      <c r="G21" s="26">
        <f>IF(SUMIFS('BSE - SENSEX Index Options'!$L:$L,'BSE - SENSEX Index Options'!$D:$D,$A21)+SUMIFS('BSE - Other Index Options'!$L:$L,'BSE - Other Index Options'!$D:$D,$A21)=0,"",SUMIFS('BSE - SENSEX Index Options'!$L:$L,'BSE - SENSEX Index Options'!$D:$D,$A21)+SUMIFS('BSE - Other Index Options'!$L:$L,'BSE - Other Index Options'!$D:$D,$A21))</f>
        <v>532063.59000000008</v>
      </c>
    </row>
    <row r="22" spans="1:7">
      <c r="A22" s="24">
        <v>46082</v>
      </c>
      <c r="B22" s="25">
        <f>IF(SUMIFS('NSE - NIFTY Index Options'!$J:$J,'NSE - NIFTY Index Options'!$D:$D,$A22)+SUMIFS('NSE - Other Index Options'!$J:$J,'NSE - Other Index Options'!$D:$D,$A22)=0,"",SUMIFS('NSE - NIFTY Index Options'!$J:$J,'NSE - NIFTY Index Options'!$D:$D,$A22)+SUMIFS('NSE - Other Index Options'!$J:$J,'NSE - Other Index Options'!$D:$D,$A22))</f>
        <v>3507526776</v>
      </c>
      <c r="C22" s="26">
        <f>IF(SUMIFS('NSE - NIFTY Index Options'!$K:$K,'NSE - NIFTY Index Options'!$D:$D,$A22)+SUMIFS('NSE - Other Index Options'!$K:$K,'NSE - Other Index Options'!$D:$D,$A22)=0,"",SUMIFS('NSE - NIFTY Index Options'!$K:$K,'NSE - NIFTY Index Options'!$D:$D,$A22)+SUMIFS('NSE - Other Index Options'!$K:$K,'NSE - Other Index Options'!$D:$D,$A22))</f>
        <v>541043997.19999993</v>
      </c>
      <c r="D22" s="26">
        <f>IF(SUMIFS('NSE - NIFTY Index Options'!$L:$L,'NSE - NIFTY Index Options'!$D:$D,$A22)+SUMIFS('NSE - Other Index Options'!$L:$L,'NSE - Other Index Options'!$D:$D,$A22)=0,"",SUMIFS('NSE - NIFTY Index Options'!$L:$L,'NSE - NIFTY Index Options'!$D:$D,$A22)+SUMIFS('NSE - Other Index Options'!$L:$L,'NSE - Other Index Options'!$D:$D,$A22))</f>
        <v>1624667.9400000009</v>
      </c>
      <c r="E22" s="25">
        <f>IF(SUMIFS('BSE - SENSEX Index Options'!$J:$J,'BSE - SENSEX Index Options'!$D:$D,$A22)+SUMIFS('BSE - Other Index Options'!$J:$J,'BSE - Other Index Options'!$D:$D,$A22)=0,"",SUMIFS('BSE - SENSEX Index Options'!$J:$J,'BSE - SENSEX Index Options'!$D:$D,$A22)+SUMIFS('BSE - Other Index Options'!$J:$J,'BSE - Other Index Options'!$D:$D,$A22))</f>
        <v>2780655501</v>
      </c>
      <c r="F22" s="26">
        <f>IF(SUMIFS('BSE - SENSEX Index Options'!$K:$K,'BSE - SENSEX Index Options'!$D:$D,$A22)+SUMIFS('BSE - Other Index Options'!$K:$K,'BSE - Other Index Options'!$D:$D,$A22)=0,"",SUMIFS('BSE - SENSEX Index Options'!$K:$K,'BSE - SENSEX Index Options'!$D:$D,$A22)+SUMIFS('BSE - Other Index Options'!$K:$K,'BSE - Other Index Options'!$D:$D,$A22))</f>
        <v>427462906.37000012</v>
      </c>
      <c r="G22" s="26">
        <f>IF(SUMIFS('BSE - SENSEX Index Options'!$L:$L,'BSE - SENSEX Index Options'!$D:$D,$A22)+SUMIFS('BSE - Other Index Options'!$L:$L,'BSE - Other Index Options'!$D:$D,$A22)=0,"",SUMIFS('BSE - SENSEX Index Options'!$L:$L,'BSE - SENSEX Index Options'!$D:$D,$A22)+SUMIFS('BSE - Other Index Options'!$L:$L,'BSE - Other Index Options'!$D:$D,$A22))</f>
        <v>627803.99000000022</v>
      </c>
    </row>
    <row r="23" spans="1:7">
      <c r="A23" s="24">
        <v>46113</v>
      </c>
      <c r="B23" s="25">
        <f>IF(SUMIFS('NSE - NIFTY Index Options'!$J:$J,'NSE - NIFTY Index Options'!$D:$D,$A23)+SUMIFS('NSE - Other Index Options'!$J:$J,'NSE - Other Index Options'!$D:$D,$A23)=0,"",SUMIFS('NSE - NIFTY Index Options'!$J:$J,'NSE - NIFTY Index Options'!$D:$D,$A23)+SUMIFS('NSE - Other Index Options'!$J:$J,'NSE - Other Index Options'!$D:$D,$A23))</f>
        <v>2704917038</v>
      </c>
      <c r="C23" s="26">
        <f>IF(SUMIFS('NSE - NIFTY Index Options'!$K:$K,'NSE - NIFTY Index Options'!$D:$D,$A23)+SUMIFS('NSE - Other Index Options'!$K:$K,'NSE - Other Index Options'!$D:$D,$A23)=0,"",SUMIFS('NSE - NIFTY Index Options'!$K:$K,'NSE - NIFTY Index Options'!$D:$D,$A23)+SUMIFS('NSE - Other Index Options'!$K:$K,'NSE - Other Index Options'!$D:$D,$A23))</f>
        <v>421288093.81999964</v>
      </c>
      <c r="D23" s="26">
        <f>IF(SUMIFS('NSE - NIFTY Index Options'!$L:$L,'NSE - NIFTY Index Options'!$D:$D,$A23)+SUMIFS('NSE - Other Index Options'!$L:$L,'NSE - Other Index Options'!$D:$D,$A23)=0,"",SUMIFS('NSE - NIFTY Index Options'!$L:$L,'NSE - NIFTY Index Options'!$D:$D,$A23)+SUMIFS('NSE - Other Index Options'!$L:$L,'NSE - Other Index Options'!$D:$D,$A23))</f>
        <v>1124391.4600000002</v>
      </c>
      <c r="E23" s="25">
        <f>IF(SUMIFS('BSE - SENSEX Index Options'!$J:$J,'BSE - SENSEX Index Options'!$D:$D,$A23)+SUMIFS('BSE - Other Index Options'!$J:$J,'BSE - Other Index Options'!$D:$D,$A23)=0,"",SUMIFS('BSE - SENSEX Index Options'!$J:$J,'BSE - SENSEX Index Options'!$D:$D,$A23)+SUMIFS('BSE - Other Index Options'!$J:$J,'BSE - Other Index Options'!$D:$D,$A23))</f>
        <v>3511987765</v>
      </c>
      <c r="F23" s="26">
        <f>IF(SUMIFS('BSE - SENSEX Index Options'!$K:$K,'BSE - SENSEX Index Options'!$D:$D,$A23)+SUMIFS('BSE - Other Index Options'!$K:$K,'BSE - Other Index Options'!$D:$D,$A23)=0,"",SUMIFS('BSE - SENSEX Index Options'!$K:$K,'BSE - SENSEX Index Options'!$D:$D,$A23)+SUMIFS('BSE - Other Index Options'!$K:$K,'BSE - Other Index Options'!$D:$D,$A23))</f>
        <v>537764981.6400001</v>
      </c>
      <c r="G23" s="26">
        <f>IF(SUMIFS('BSE - SENSEX Index Options'!$L:$L,'BSE - SENSEX Index Options'!$D:$D,$A23)+SUMIFS('BSE - Other Index Options'!$L:$L,'BSE - Other Index Options'!$D:$D,$A23)=0,"",SUMIFS('BSE - SENSEX Index Options'!$L:$L,'BSE - SENSEX Index Options'!$D:$D,$A23)+SUMIFS('BSE - Other Index Options'!$L:$L,'BSE - Other Index Options'!$D:$D,$A23))</f>
        <v>662899.6100000001</v>
      </c>
    </row>
    <row r="24" spans="1:7">
      <c r="A24" s="24">
        <v>46143</v>
      </c>
      <c r="B24" s="25">
        <f>IF(SUMIFS('NSE - NIFTY Index Options'!$J:$J,'NSE - NIFTY Index Options'!$D:$D,$A24)+SUMIFS('NSE - Other Index Options'!$J:$J,'NSE - Other Index Options'!$D:$D,$A24)=0,"",SUMIFS('NSE - NIFTY Index Options'!$J:$J,'NSE - NIFTY Index Options'!$D:$D,$A24)+SUMIFS('NSE - Other Index Options'!$J:$J,'NSE - Other Index Options'!$D:$D,$A24))</f>
        <v>3038254197</v>
      </c>
      <c r="C24" s="26">
        <f>IF(SUMIFS('NSE - NIFTY Index Options'!$K:$K,'NSE - NIFTY Index Options'!$D:$D,$A24)+SUMIFS('NSE - Other Index Options'!$K:$K,'NSE - Other Index Options'!$D:$D,$A24)=0,"",SUMIFS('NSE - NIFTY Index Options'!$K:$K,'NSE - NIFTY Index Options'!$D:$D,$A24)+SUMIFS('NSE - Other Index Options'!$K:$K,'NSE - Other Index Options'!$D:$D,$A24))</f>
        <v>473745340.97000021</v>
      </c>
      <c r="D24" s="26">
        <f>IF(SUMIFS('NSE - NIFTY Index Options'!$L:$L,'NSE - NIFTY Index Options'!$D:$D,$A24)+SUMIFS('NSE - Other Index Options'!$L:$L,'NSE - Other Index Options'!$D:$D,$A24)=0,"",SUMIFS('NSE - NIFTY Index Options'!$L:$L,'NSE - NIFTY Index Options'!$D:$D,$A24)+SUMIFS('NSE - Other Index Options'!$L:$L,'NSE - Other Index Options'!$D:$D,$A24))</f>
        <v>1112871.6200000006</v>
      </c>
      <c r="E24" s="25">
        <f>IF(SUMIFS('BSE - SENSEX Index Options'!$J:$J,'BSE - SENSEX Index Options'!$D:$D,$A24)+SUMIFS('BSE - Other Index Options'!$J:$J,'BSE - Other Index Options'!$D:$D,$A24)=0,"",SUMIFS('BSE - SENSEX Index Options'!$J:$J,'BSE - SENSEX Index Options'!$D:$D,$A24)+SUMIFS('BSE - Other Index Options'!$J:$J,'BSE - Other Index Options'!$D:$D,$A24))</f>
        <v>2859237260</v>
      </c>
      <c r="F24" s="26">
        <f>IF(SUMIFS('BSE - SENSEX Index Options'!$K:$K,'BSE - SENSEX Index Options'!$D:$D,$A24)+SUMIFS('BSE - Other Index Options'!$K:$K,'BSE - Other Index Options'!$D:$D,$A24)=0,"",SUMIFS('BSE - SENSEX Index Options'!$K:$K,'BSE - SENSEX Index Options'!$D:$D,$A24)+SUMIFS('BSE - Other Index Options'!$K:$K,'BSE - Other Index Options'!$D:$D,$A24))</f>
        <v>436033986.75</v>
      </c>
      <c r="G24" s="26">
        <f>IF(SUMIFS('BSE - SENSEX Index Options'!$L:$L,'BSE - SENSEX Index Options'!$D:$D,$A24)+SUMIFS('BSE - Other Index Options'!$L:$L,'BSE - Other Index Options'!$D:$D,$A24)=0,"",SUMIFS('BSE - SENSEX Index Options'!$L:$L,'BSE - SENSEX Index Options'!$D:$D,$A24)+SUMIFS('BSE - Other Index Options'!$L:$L,'BSE - Other Index Options'!$D:$D,$A24))</f>
        <v>563688.26000000013</v>
      </c>
    </row>
    <row r="25" spans="1:7">
      <c r="A25" s="24">
        <v>46174</v>
      </c>
      <c r="B25" s="25">
        <f>IF(SUMIFS('NSE - NIFTY Index Options'!$J:$J,'NSE - NIFTY Index Options'!$D:$D,$A25)+SUMIFS('NSE - Other Index Options'!$J:$J,'NSE - Other Index Options'!$D:$D,$A25)=0,"",SUMIFS('NSE - NIFTY Index Options'!$J:$J,'NSE - NIFTY Index Options'!$D:$D,$A25)+SUMIFS('NSE - Other Index Options'!$J:$J,'NSE - Other Index Options'!$D:$D,$A25))</f>
        <v>3676370909</v>
      </c>
      <c r="C25" s="26">
        <f>IF(SUMIFS('NSE - NIFTY Index Options'!$K:$K,'NSE - NIFTY Index Options'!$D:$D,$A25)+SUMIFS('NSE - Other Index Options'!$K:$K,'NSE - Other Index Options'!$D:$D,$A25)=0,"",SUMIFS('NSE - NIFTY Index Options'!$K:$K,'NSE - NIFTY Index Options'!$D:$D,$A25)+SUMIFS('NSE - Other Index Options'!$K:$K,'NSE - Other Index Options'!$D:$D,$A25))</f>
        <v>570355932.1000005</v>
      </c>
      <c r="D25" s="26">
        <f>IF(SUMIFS('NSE - NIFTY Index Options'!$L:$L,'NSE - NIFTY Index Options'!$D:$D,$A25)+SUMIFS('NSE - Other Index Options'!$L:$L,'NSE - Other Index Options'!$D:$D,$A25)=0,"",SUMIFS('NSE - NIFTY Index Options'!$L:$L,'NSE - NIFTY Index Options'!$D:$D,$A25)+SUMIFS('NSE - Other Index Options'!$L:$L,'NSE - Other Index Options'!$D:$D,$A25))</f>
        <v>1148733.7200000002</v>
      </c>
      <c r="E25" s="25">
        <f>IF(SUMIFS('BSE - SENSEX Index Options'!$J:$J,'BSE - SENSEX Index Options'!$D:$D,$A25)+SUMIFS('BSE - Other Index Options'!$J:$J,'BSE - Other Index Options'!$D:$D,$A25)=0,"",SUMIFS('BSE - SENSEX Index Options'!$J:$J,'BSE - SENSEX Index Options'!$D:$D,$A25)+SUMIFS('BSE - Other Index Options'!$J:$J,'BSE - Other Index Options'!$D:$D,$A25))</f>
        <v>2968566958</v>
      </c>
      <c r="F25" s="26">
        <f>IF(SUMIFS('BSE - SENSEX Index Options'!$K:$K,'BSE - SENSEX Index Options'!$D:$D,$A25)+SUMIFS('BSE - Other Index Options'!$K:$K,'BSE - Other Index Options'!$D:$D,$A25)=0,"",SUMIFS('BSE - SENSEX Index Options'!$K:$K,'BSE - SENSEX Index Options'!$D:$D,$A25)+SUMIFS('BSE - Other Index Options'!$K:$K,'BSE - Other Index Options'!$D:$D,$A25))</f>
        <v>449716101.0800001</v>
      </c>
      <c r="G25" s="26">
        <f>IF(SUMIFS('BSE - SENSEX Index Options'!$L:$L,'BSE - SENSEX Index Options'!$D:$D,$A25)+SUMIFS('BSE - Other Index Options'!$L:$L,'BSE - Other Index Options'!$D:$D,$A25)=0,"",SUMIFS('BSE - SENSEX Index Options'!$L:$L,'BSE - SENSEX Index Options'!$D:$D,$A25)+SUMIFS('BSE - Other Index Options'!$L:$L,'BSE - Other Index Options'!$D:$D,$A25))</f>
        <v>550333.89</v>
      </c>
    </row>
    <row r="26" spans="1:7">
      <c r="A26" s="24">
        <v>46204</v>
      </c>
      <c r="B26" s="25">
        <f>IF(SUMIFS('NSE - NIFTY Index Options'!$J:$J,'NSE - NIFTY Index Options'!$D:$D,$A26)+SUMIFS('NSE - Other Index Options'!$J:$J,'NSE - Other Index Options'!$D:$D,$A26)=0,"",SUMIFS('NSE - NIFTY Index Options'!$J:$J,'NSE - NIFTY Index Options'!$D:$D,$A26)+SUMIFS('NSE - Other Index Options'!$J:$J,'NSE - Other Index Options'!$D:$D,$A26))</f>
        <v>773569308</v>
      </c>
      <c r="C26" s="26">
        <f>IF(SUMIFS('NSE - NIFTY Index Options'!$K:$K,'NSE - NIFTY Index Options'!$D:$D,$A26)+SUMIFS('NSE - Other Index Options'!$K:$K,'NSE - Other Index Options'!$D:$D,$A26)=0,"",SUMIFS('NSE - NIFTY Index Options'!$K:$K,'NSE - NIFTY Index Options'!$D:$D,$A26)+SUMIFS('NSE - Other Index Options'!$K:$K,'NSE - Other Index Options'!$D:$D,$A26))</f>
        <v>122675536.21999998</v>
      </c>
      <c r="D26" s="26">
        <f>IF(SUMIFS('NSE - NIFTY Index Options'!$L:$L,'NSE - NIFTY Index Options'!$D:$D,$A26)+SUMIFS('NSE - Other Index Options'!$L:$L,'NSE - Other Index Options'!$D:$D,$A26)=0,"",SUMIFS('NSE - NIFTY Index Options'!$L:$L,'NSE - NIFTY Index Options'!$D:$D,$A26)+SUMIFS('NSE - Other Index Options'!$L:$L,'NSE - Other Index Options'!$D:$D,$A26))</f>
        <v>242778.79000000004</v>
      </c>
      <c r="E26" s="25">
        <f>IF(SUMIFS('BSE - SENSEX Index Options'!$J:$J,'BSE - SENSEX Index Options'!$D:$D,$A26)+SUMIFS('BSE - Other Index Options'!$J:$J,'BSE - Other Index Options'!$D:$D,$A26)=0,"",SUMIFS('BSE - SENSEX Index Options'!$J:$J,'BSE - SENSEX Index Options'!$D:$D,$A26)+SUMIFS('BSE - Other Index Options'!$J:$J,'BSE - Other Index Options'!$D:$D,$A26))</f>
        <v>845622618</v>
      </c>
      <c r="F26" s="26">
        <f>IF(SUMIFS('BSE - SENSEX Index Options'!$K:$K,'BSE - SENSEX Index Options'!$D:$D,$A26)+SUMIFS('BSE - Other Index Options'!$K:$K,'BSE - Other Index Options'!$D:$D,$A26)=0,"",SUMIFS('BSE - SENSEX Index Options'!$K:$K,'BSE - SENSEX Index Options'!$D:$D,$A26)+SUMIFS('BSE - Other Index Options'!$K:$K,'BSE - Other Index Options'!$D:$D,$A26))</f>
        <v>130853164.54000001</v>
      </c>
      <c r="G26" s="26">
        <f>IF(SUMIFS('BSE - SENSEX Index Options'!$L:$L,'BSE - SENSEX Index Options'!$D:$D,$A26)+SUMIFS('BSE - Other Index Options'!$L:$L,'BSE - Other Index Options'!$D:$D,$A26)=0,"",SUMIFS('BSE - SENSEX Index Options'!$L:$L,'BSE - SENSEX Index Options'!$D:$D,$A26)+SUMIFS('BSE - Other Index Options'!$L:$L,'BSE - Other Index Options'!$D:$D,$A26))</f>
        <v>168229.26999999996</v>
      </c>
    </row>
    <row r="27" spans="1:7">
      <c r="A27" s="24">
        <v>46235</v>
      </c>
      <c r="B27" s="25" t="str">
        <f>IF(SUMIFS('NSE - NIFTY Index Options'!$J:$J,'NSE - NIFTY Index Options'!$D:$D,$A27)+SUMIFS('NSE - Other Index Options'!$J:$J,'NSE - Other Index Options'!$D:$D,$A27)=0,"",SUMIFS('NSE - NIFTY Index Options'!$J:$J,'NSE - NIFTY Index Options'!$D:$D,$A27)+SUMIFS('NSE - Other Index Options'!$J:$J,'NSE - Other Index Options'!$D:$D,$A27))</f>
        <v/>
      </c>
      <c r="C27" s="26" t="str">
        <f>IF(SUMIFS('NSE - NIFTY Index Options'!$K:$K,'NSE - NIFTY Index Options'!$D:$D,$A27)+SUMIFS('NSE - Other Index Options'!$K:$K,'NSE - Other Index Options'!$D:$D,$A27)=0,"",SUMIFS('NSE - NIFTY Index Options'!$K:$K,'NSE - NIFTY Index Options'!$D:$D,$A27)+SUMIFS('NSE - Other Index Options'!$K:$K,'NSE - Other Index Options'!$D:$D,$A27))</f>
        <v/>
      </c>
      <c r="D27" s="26" t="str">
        <f>IF(SUMIFS('NSE - NIFTY Index Options'!$L:$L,'NSE - NIFTY Index Options'!$D:$D,$A27)+SUMIFS('NSE - Other Index Options'!$L:$L,'NSE - Other Index Options'!$D:$D,$A27)=0,"",SUMIFS('NSE - NIFTY Index Options'!$L:$L,'NSE - NIFTY Index Options'!$D:$D,$A27)+SUMIFS('NSE - Other Index Options'!$L:$L,'NSE - Other Index Options'!$D:$D,$A27))</f>
        <v/>
      </c>
      <c r="E27" s="25" t="str">
        <f>IF(SUMIFS('BSE - SENSEX Index Options'!$J:$J,'BSE - SENSEX Index Options'!$D:$D,$A27)+SUMIFS('BSE - Other Index Options'!$J:$J,'BSE - Other Index Options'!$D:$D,$A27)=0,"",SUMIFS('BSE - SENSEX Index Options'!$J:$J,'BSE - SENSEX Index Options'!$D:$D,$A27)+SUMIFS('BSE - Other Index Options'!$J:$J,'BSE - Other Index Options'!$D:$D,$A27))</f>
        <v/>
      </c>
      <c r="F27" s="26" t="str">
        <f>IF(SUMIFS('BSE - SENSEX Index Options'!$K:$K,'BSE - SENSEX Index Options'!$D:$D,$A27)+SUMIFS('BSE - Other Index Options'!$K:$K,'BSE - Other Index Options'!$D:$D,$A27)=0,"",SUMIFS('BSE - SENSEX Index Options'!$K:$K,'BSE - SENSEX Index Options'!$D:$D,$A27)+SUMIFS('BSE - Other Index Options'!$K:$K,'BSE - Other Index Options'!$D:$D,$A27))</f>
        <v/>
      </c>
      <c r="G27" s="26" t="str">
        <f>IF(SUMIFS('BSE - SENSEX Index Options'!$L:$L,'BSE - SENSEX Index Options'!$D:$D,$A27)+SUMIFS('BSE - Other Index Options'!$L:$L,'BSE - Other Index Options'!$D:$D,$A27)=0,"",SUMIFS('BSE - SENSEX Index Options'!$L:$L,'BSE - SENSEX Index Options'!$D:$D,$A27)+SUMIFS('BSE - Other Index Options'!$L:$L,'BSE - Other Index Options'!$D:$D,$A27))</f>
        <v/>
      </c>
    </row>
    <row r="28" spans="1:7">
      <c r="A28" s="24">
        <v>46266</v>
      </c>
      <c r="B28" s="25" t="str">
        <f>IF(SUMIFS('NSE - NIFTY Index Options'!$J:$J,'NSE - NIFTY Index Options'!$D:$D,$A28)+SUMIFS('NSE - Other Index Options'!$J:$J,'NSE - Other Index Options'!$D:$D,$A28)=0,"",SUMIFS('NSE - NIFTY Index Options'!$J:$J,'NSE - NIFTY Index Options'!$D:$D,$A28)+SUMIFS('NSE - Other Index Options'!$J:$J,'NSE - Other Index Options'!$D:$D,$A28))</f>
        <v/>
      </c>
      <c r="C28" s="26" t="str">
        <f>IF(SUMIFS('NSE - NIFTY Index Options'!$K:$K,'NSE - NIFTY Index Options'!$D:$D,$A28)+SUMIFS('NSE - Other Index Options'!$K:$K,'NSE - Other Index Options'!$D:$D,$A28)=0,"",SUMIFS('NSE - NIFTY Index Options'!$K:$K,'NSE - NIFTY Index Options'!$D:$D,$A28)+SUMIFS('NSE - Other Index Options'!$K:$K,'NSE - Other Index Options'!$D:$D,$A28))</f>
        <v/>
      </c>
      <c r="D28" s="26" t="str">
        <f>IF(SUMIFS('NSE - NIFTY Index Options'!$L:$L,'NSE - NIFTY Index Options'!$D:$D,$A28)+SUMIFS('NSE - Other Index Options'!$L:$L,'NSE - Other Index Options'!$D:$D,$A28)=0,"",SUMIFS('NSE - NIFTY Index Options'!$L:$L,'NSE - NIFTY Index Options'!$D:$D,$A28)+SUMIFS('NSE - Other Index Options'!$L:$L,'NSE - Other Index Options'!$D:$D,$A28))</f>
        <v/>
      </c>
      <c r="E28" s="25" t="str">
        <f>IF(SUMIFS('BSE - SENSEX Index Options'!$J:$J,'BSE - SENSEX Index Options'!$D:$D,$A28)+SUMIFS('BSE - Other Index Options'!$J:$J,'BSE - Other Index Options'!$D:$D,$A28)=0,"",SUMIFS('BSE - SENSEX Index Options'!$J:$J,'BSE - SENSEX Index Options'!$D:$D,$A28)+SUMIFS('BSE - Other Index Options'!$J:$J,'BSE - Other Index Options'!$D:$D,$A28))</f>
        <v/>
      </c>
      <c r="F28" s="26" t="str">
        <f>IF(SUMIFS('BSE - SENSEX Index Options'!$K:$K,'BSE - SENSEX Index Options'!$D:$D,$A28)+SUMIFS('BSE - Other Index Options'!$K:$K,'BSE - Other Index Options'!$D:$D,$A28)=0,"",SUMIFS('BSE - SENSEX Index Options'!$K:$K,'BSE - SENSEX Index Options'!$D:$D,$A28)+SUMIFS('BSE - Other Index Options'!$K:$K,'BSE - Other Index Options'!$D:$D,$A28))</f>
        <v/>
      </c>
      <c r="G28" s="26" t="str">
        <f>IF(SUMIFS('BSE - SENSEX Index Options'!$L:$L,'BSE - SENSEX Index Options'!$D:$D,$A28)+SUMIFS('BSE - Other Index Options'!$L:$L,'BSE - Other Index Options'!$D:$D,$A28)=0,"",SUMIFS('BSE - SENSEX Index Options'!$L:$L,'BSE - SENSEX Index Options'!$D:$D,$A28)+SUMIFS('BSE - Other Index Options'!$L:$L,'BSE - Other Index Options'!$D:$D,$A28))</f>
        <v/>
      </c>
    </row>
    <row r="29" spans="1:7">
      <c r="A29" s="24">
        <v>46296</v>
      </c>
      <c r="B29" s="25" t="str">
        <f>IF(SUMIFS('NSE - NIFTY Index Options'!$J:$J,'NSE - NIFTY Index Options'!$D:$D,$A29)+SUMIFS('NSE - Other Index Options'!$J:$J,'NSE - Other Index Options'!$D:$D,$A29)=0,"",SUMIFS('NSE - NIFTY Index Options'!$J:$J,'NSE - NIFTY Index Options'!$D:$D,$A29)+SUMIFS('NSE - Other Index Options'!$J:$J,'NSE - Other Index Options'!$D:$D,$A29))</f>
        <v/>
      </c>
      <c r="C29" s="26" t="str">
        <f>IF(SUMIFS('NSE - NIFTY Index Options'!$K:$K,'NSE - NIFTY Index Options'!$D:$D,$A29)+SUMIFS('NSE - Other Index Options'!$K:$K,'NSE - Other Index Options'!$D:$D,$A29)=0,"",SUMIFS('NSE - NIFTY Index Options'!$K:$K,'NSE - NIFTY Index Options'!$D:$D,$A29)+SUMIFS('NSE - Other Index Options'!$K:$K,'NSE - Other Index Options'!$D:$D,$A29))</f>
        <v/>
      </c>
      <c r="D29" s="26" t="str">
        <f>IF(SUMIFS('NSE - NIFTY Index Options'!$L:$L,'NSE - NIFTY Index Options'!$D:$D,$A29)+SUMIFS('NSE - Other Index Options'!$L:$L,'NSE - Other Index Options'!$D:$D,$A29)=0,"",SUMIFS('NSE - NIFTY Index Options'!$L:$L,'NSE - NIFTY Index Options'!$D:$D,$A29)+SUMIFS('NSE - Other Index Options'!$L:$L,'NSE - Other Index Options'!$D:$D,$A29))</f>
        <v/>
      </c>
      <c r="E29" s="25" t="str">
        <f>IF(SUMIFS('BSE - SENSEX Index Options'!$J:$J,'BSE - SENSEX Index Options'!$D:$D,$A29)+SUMIFS('BSE - Other Index Options'!$J:$J,'BSE - Other Index Options'!$D:$D,$A29)=0,"",SUMIFS('BSE - SENSEX Index Options'!$J:$J,'BSE - SENSEX Index Options'!$D:$D,$A29)+SUMIFS('BSE - Other Index Options'!$J:$J,'BSE - Other Index Options'!$D:$D,$A29))</f>
        <v/>
      </c>
      <c r="F29" s="26" t="str">
        <f>IF(SUMIFS('BSE - SENSEX Index Options'!$K:$K,'BSE - SENSEX Index Options'!$D:$D,$A29)+SUMIFS('BSE - Other Index Options'!$K:$K,'BSE - Other Index Options'!$D:$D,$A29)=0,"",SUMIFS('BSE - SENSEX Index Options'!$K:$K,'BSE - SENSEX Index Options'!$D:$D,$A29)+SUMIFS('BSE - Other Index Options'!$K:$K,'BSE - Other Index Options'!$D:$D,$A29))</f>
        <v/>
      </c>
      <c r="G29" s="26" t="str">
        <f>IF(SUMIFS('BSE - SENSEX Index Options'!$L:$L,'BSE - SENSEX Index Options'!$D:$D,$A29)+SUMIFS('BSE - Other Index Options'!$L:$L,'BSE - Other Index Options'!$D:$D,$A29)=0,"",SUMIFS('BSE - SENSEX Index Options'!$L:$L,'BSE - SENSEX Index Options'!$D:$D,$A29)+SUMIFS('BSE - Other Index Options'!$L:$L,'BSE - Other Index Options'!$D:$D,$A29))</f>
        <v/>
      </c>
    </row>
    <row r="30" spans="1:7">
      <c r="A30" s="24">
        <v>46327</v>
      </c>
      <c r="B30" s="25" t="str">
        <f>IF(SUMIFS('NSE - NIFTY Index Options'!$J:$J,'NSE - NIFTY Index Options'!$D:$D,$A30)+SUMIFS('NSE - Other Index Options'!$J:$J,'NSE - Other Index Options'!$D:$D,$A30)=0,"",SUMIFS('NSE - NIFTY Index Options'!$J:$J,'NSE - NIFTY Index Options'!$D:$D,$A30)+SUMIFS('NSE - Other Index Options'!$J:$J,'NSE - Other Index Options'!$D:$D,$A30))</f>
        <v/>
      </c>
      <c r="C30" s="26" t="str">
        <f>IF(SUMIFS('NSE - NIFTY Index Options'!$K:$K,'NSE - NIFTY Index Options'!$D:$D,$A30)+SUMIFS('NSE - Other Index Options'!$K:$K,'NSE - Other Index Options'!$D:$D,$A30)=0,"",SUMIFS('NSE - NIFTY Index Options'!$K:$K,'NSE - NIFTY Index Options'!$D:$D,$A30)+SUMIFS('NSE - Other Index Options'!$K:$K,'NSE - Other Index Options'!$D:$D,$A30))</f>
        <v/>
      </c>
      <c r="D30" s="26" t="str">
        <f>IF(SUMIFS('NSE - NIFTY Index Options'!$L:$L,'NSE - NIFTY Index Options'!$D:$D,$A30)+SUMIFS('NSE - Other Index Options'!$L:$L,'NSE - Other Index Options'!$D:$D,$A30)=0,"",SUMIFS('NSE - NIFTY Index Options'!$L:$L,'NSE - NIFTY Index Options'!$D:$D,$A30)+SUMIFS('NSE - Other Index Options'!$L:$L,'NSE - Other Index Options'!$D:$D,$A30))</f>
        <v/>
      </c>
      <c r="E30" s="25" t="str">
        <f>IF(SUMIFS('BSE - SENSEX Index Options'!$J:$J,'BSE - SENSEX Index Options'!$D:$D,$A30)+SUMIFS('BSE - Other Index Options'!$J:$J,'BSE - Other Index Options'!$D:$D,$A30)=0,"",SUMIFS('BSE - SENSEX Index Options'!$J:$J,'BSE - SENSEX Index Options'!$D:$D,$A30)+SUMIFS('BSE - Other Index Options'!$J:$J,'BSE - Other Index Options'!$D:$D,$A30))</f>
        <v/>
      </c>
      <c r="F30" s="26" t="str">
        <f>IF(SUMIFS('BSE - SENSEX Index Options'!$K:$K,'BSE - SENSEX Index Options'!$D:$D,$A30)+SUMIFS('BSE - Other Index Options'!$K:$K,'BSE - Other Index Options'!$D:$D,$A30)=0,"",SUMIFS('BSE - SENSEX Index Options'!$K:$K,'BSE - SENSEX Index Options'!$D:$D,$A30)+SUMIFS('BSE - Other Index Options'!$K:$K,'BSE - Other Index Options'!$D:$D,$A30))</f>
        <v/>
      </c>
      <c r="G30" s="26" t="str">
        <f>IF(SUMIFS('BSE - SENSEX Index Options'!$L:$L,'BSE - SENSEX Index Options'!$D:$D,$A30)+SUMIFS('BSE - Other Index Options'!$L:$L,'BSE - Other Index Options'!$D:$D,$A30)=0,"",SUMIFS('BSE - SENSEX Index Options'!$L:$L,'BSE - SENSEX Index Options'!$D:$D,$A30)+SUMIFS('BSE - Other Index Options'!$L:$L,'BSE - Other Index Options'!$D:$D,$A30))</f>
        <v/>
      </c>
    </row>
    <row r="31" spans="1:7">
      <c r="A31" s="24">
        <v>46357</v>
      </c>
      <c r="B31" s="25" t="str">
        <f>IF(SUMIFS('NSE - NIFTY Index Options'!$J:$J,'NSE - NIFTY Index Options'!$D:$D,$A31)+SUMIFS('NSE - Other Index Options'!$J:$J,'NSE - Other Index Options'!$D:$D,$A31)=0,"",SUMIFS('NSE - NIFTY Index Options'!$J:$J,'NSE - NIFTY Index Options'!$D:$D,$A31)+SUMIFS('NSE - Other Index Options'!$J:$J,'NSE - Other Index Options'!$D:$D,$A31))</f>
        <v/>
      </c>
      <c r="C31" s="26" t="str">
        <f>IF(SUMIFS('NSE - NIFTY Index Options'!$K:$K,'NSE - NIFTY Index Options'!$D:$D,$A31)+SUMIFS('NSE - Other Index Options'!$K:$K,'NSE - Other Index Options'!$D:$D,$A31)=0,"",SUMIFS('NSE - NIFTY Index Options'!$K:$K,'NSE - NIFTY Index Options'!$D:$D,$A31)+SUMIFS('NSE - Other Index Options'!$K:$K,'NSE - Other Index Options'!$D:$D,$A31))</f>
        <v/>
      </c>
      <c r="D31" s="26" t="str">
        <f>IF(SUMIFS('NSE - NIFTY Index Options'!$L:$L,'NSE - NIFTY Index Options'!$D:$D,$A31)+SUMIFS('NSE - Other Index Options'!$L:$L,'NSE - Other Index Options'!$D:$D,$A31)=0,"",SUMIFS('NSE - NIFTY Index Options'!$L:$L,'NSE - NIFTY Index Options'!$D:$D,$A31)+SUMIFS('NSE - Other Index Options'!$L:$L,'NSE - Other Index Options'!$D:$D,$A31))</f>
        <v/>
      </c>
      <c r="E31" s="25" t="str">
        <f>IF(SUMIFS('BSE - SENSEX Index Options'!$J:$J,'BSE - SENSEX Index Options'!$D:$D,$A31)+SUMIFS('BSE - Other Index Options'!$J:$J,'BSE - Other Index Options'!$D:$D,$A31)=0,"",SUMIFS('BSE - SENSEX Index Options'!$J:$J,'BSE - SENSEX Index Options'!$D:$D,$A31)+SUMIFS('BSE - Other Index Options'!$J:$J,'BSE - Other Index Options'!$D:$D,$A31))</f>
        <v/>
      </c>
      <c r="F31" s="26" t="str">
        <f>IF(SUMIFS('BSE - SENSEX Index Options'!$K:$K,'BSE - SENSEX Index Options'!$D:$D,$A31)+SUMIFS('BSE - Other Index Options'!$K:$K,'BSE - Other Index Options'!$D:$D,$A31)=0,"",SUMIFS('BSE - SENSEX Index Options'!$K:$K,'BSE - SENSEX Index Options'!$D:$D,$A31)+SUMIFS('BSE - Other Index Options'!$K:$K,'BSE - Other Index Options'!$D:$D,$A31))</f>
        <v/>
      </c>
      <c r="G31" s="26" t="str">
        <f>IF(SUMIFS('BSE - SENSEX Index Options'!$L:$L,'BSE - SENSEX Index Options'!$D:$D,$A31)+SUMIFS('BSE - Other Index Options'!$L:$L,'BSE - Other Index Options'!$D:$D,$A31)=0,"",SUMIFS('BSE - SENSEX Index Options'!$L:$L,'BSE - SENSEX Index Options'!$D:$D,$A31)+SUMIFS('BSE - Other Index Options'!$L:$L,'BSE - Other Index Options'!$D:$D,$A31))</f>
        <v/>
      </c>
    </row>
    <row r="32" spans="1:7">
      <c r="A32" s="24">
        <v>46388</v>
      </c>
      <c r="B32" s="25" t="str">
        <f>IF(SUMIFS('NSE - NIFTY Index Options'!$J:$J,'NSE - NIFTY Index Options'!$D:$D,$A32)+SUMIFS('NSE - Other Index Options'!$J:$J,'NSE - Other Index Options'!$D:$D,$A32)=0,"",SUMIFS('NSE - NIFTY Index Options'!$J:$J,'NSE - NIFTY Index Options'!$D:$D,$A32)+SUMIFS('NSE - Other Index Options'!$J:$J,'NSE - Other Index Options'!$D:$D,$A32))</f>
        <v/>
      </c>
      <c r="C32" s="26" t="str">
        <f>IF(SUMIFS('NSE - NIFTY Index Options'!$K:$K,'NSE - NIFTY Index Options'!$D:$D,$A32)+SUMIFS('NSE - Other Index Options'!$K:$K,'NSE - Other Index Options'!$D:$D,$A32)=0,"",SUMIFS('NSE - NIFTY Index Options'!$K:$K,'NSE - NIFTY Index Options'!$D:$D,$A32)+SUMIFS('NSE - Other Index Options'!$K:$K,'NSE - Other Index Options'!$D:$D,$A32))</f>
        <v/>
      </c>
      <c r="D32" s="26" t="str">
        <f>IF(SUMIFS('NSE - NIFTY Index Options'!$L:$L,'NSE - NIFTY Index Options'!$D:$D,$A32)+SUMIFS('NSE - Other Index Options'!$L:$L,'NSE - Other Index Options'!$D:$D,$A32)=0,"",SUMIFS('NSE - NIFTY Index Options'!$L:$L,'NSE - NIFTY Index Options'!$D:$D,$A32)+SUMIFS('NSE - Other Index Options'!$L:$L,'NSE - Other Index Options'!$D:$D,$A32))</f>
        <v/>
      </c>
      <c r="E32" s="25" t="str">
        <f>IF(SUMIFS('BSE - SENSEX Index Options'!$J:$J,'BSE - SENSEX Index Options'!$D:$D,$A32)+SUMIFS('BSE - Other Index Options'!$J:$J,'BSE - Other Index Options'!$D:$D,$A32)=0,"",SUMIFS('BSE - SENSEX Index Options'!$J:$J,'BSE - SENSEX Index Options'!$D:$D,$A32)+SUMIFS('BSE - Other Index Options'!$J:$J,'BSE - Other Index Options'!$D:$D,$A32))</f>
        <v/>
      </c>
      <c r="F32" s="26" t="str">
        <f>IF(SUMIFS('BSE - SENSEX Index Options'!$K:$K,'BSE - SENSEX Index Options'!$D:$D,$A32)+SUMIFS('BSE - Other Index Options'!$K:$K,'BSE - Other Index Options'!$D:$D,$A32)=0,"",SUMIFS('BSE - SENSEX Index Options'!$K:$K,'BSE - SENSEX Index Options'!$D:$D,$A32)+SUMIFS('BSE - Other Index Options'!$K:$K,'BSE - Other Index Options'!$D:$D,$A32))</f>
        <v/>
      </c>
      <c r="G32" s="26" t="str">
        <f>IF(SUMIFS('BSE - SENSEX Index Options'!$L:$L,'BSE - SENSEX Index Options'!$D:$D,$A32)+SUMIFS('BSE - Other Index Options'!$L:$L,'BSE - Other Index Options'!$D:$D,$A32)=0,"",SUMIFS('BSE - SENSEX Index Options'!$L:$L,'BSE - SENSEX Index Options'!$D:$D,$A32)+SUMIFS('BSE - Other Index Options'!$L:$L,'BSE - Other Index Options'!$D:$D,$A32))</f>
        <v/>
      </c>
    </row>
    <row r="33" spans="1:7">
      <c r="A33" s="24">
        <v>46419</v>
      </c>
      <c r="B33" s="25" t="str">
        <f>IF(SUMIFS('NSE - NIFTY Index Options'!$J:$J,'NSE - NIFTY Index Options'!$D:$D,$A33)+SUMIFS('NSE - Other Index Options'!$J:$J,'NSE - Other Index Options'!$D:$D,$A33)=0,"",SUMIFS('NSE - NIFTY Index Options'!$J:$J,'NSE - NIFTY Index Options'!$D:$D,$A33)+SUMIFS('NSE - Other Index Options'!$J:$J,'NSE - Other Index Options'!$D:$D,$A33))</f>
        <v/>
      </c>
      <c r="C33" s="26" t="str">
        <f>IF(SUMIFS('NSE - NIFTY Index Options'!$K:$K,'NSE - NIFTY Index Options'!$D:$D,$A33)+SUMIFS('NSE - Other Index Options'!$K:$K,'NSE - Other Index Options'!$D:$D,$A33)=0,"",SUMIFS('NSE - NIFTY Index Options'!$K:$K,'NSE - NIFTY Index Options'!$D:$D,$A33)+SUMIFS('NSE - Other Index Options'!$K:$K,'NSE - Other Index Options'!$D:$D,$A33))</f>
        <v/>
      </c>
      <c r="D33" s="26" t="str">
        <f>IF(SUMIFS('NSE - NIFTY Index Options'!$L:$L,'NSE - NIFTY Index Options'!$D:$D,$A33)+SUMIFS('NSE - Other Index Options'!$L:$L,'NSE - Other Index Options'!$D:$D,$A33)=0,"",SUMIFS('NSE - NIFTY Index Options'!$L:$L,'NSE - NIFTY Index Options'!$D:$D,$A33)+SUMIFS('NSE - Other Index Options'!$L:$L,'NSE - Other Index Options'!$D:$D,$A33))</f>
        <v/>
      </c>
      <c r="E33" s="25" t="str">
        <f>IF(SUMIFS('BSE - SENSEX Index Options'!$J:$J,'BSE - SENSEX Index Options'!$D:$D,$A33)+SUMIFS('BSE - Other Index Options'!$J:$J,'BSE - Other Index Options'!$D:$D,$A33)=0,"",SUMIFS('BSE - SENSEX Index Options'!$J:$J,'BSE - SENSEX Index Options'!$D:$D,$A33)+SUMIFS('BSE - Other Index Options'!$J:$J,'BSE - Other Index Options'!$D:$D,$A33))</f>
        <v/>
      </c>
      <c r="F33" s="26" t="str">
        <f>IF(SUMIFS('BSE - SENSEX Index Options'!$K:$K,'BSE - SENSEX Index Options'!$D:$D,$A33)+SUMIFS('BSE - Other Index Options'!$K:$K,'BSE - Other Index Options'!$D:$D,$A33)=0,"",SUMIFS('BSE - SENSEX Index Options'!$K:$K,'BSE - SENSEX Index Options'!$D:$D,$A33)+SUMIFS('BSE - Other Index Options'!$K:$K,'BSE - Other Index Options'!$D:$D,$A33))</f>
        <v/>
      </c>
      <c r="G33" s="26" t="str">
        <f>IF(SUMIFS('BSE - SENSEX Index Options'!$L:$L,'BSE - SENSEX Index Options'!$D:$D,$A33)+SUMIFS('BSE - Other Index Options'!$L:$L,'BSE - Other Index Options'!$D:$D,$A33)=0,"",SUMIFS('BSE - SENSEX Index Options'!$L:$L,'BSE - SENSEX Index Options'!$D:$D,$A33)+SUMIFS('BSE - Other Index Options'!$L:$L,'BSE - Other Index Options'!$D:$D,$A33))</f>
        <v/>
      </c>
    </row>
    <row r="34" spans="1:7">
      <c r="A34" s="24">
        <v>46447</v>
      </c>
      <c r="B34" s="25" t="str">
        <f>IF(SUMIFS('NSE - NIFTY Index Options'!$J:$J,'NSE - NIFTY Index Options'!$D:$D,$A34)+SUMIFS('NSE - Other Index Options'!$J:$J,'NSE - Other Index Options'!$D:$D,$A34)=0,"",SUMIFS('NSE - NIFTY Index Options'!$J:$J,'NSE - NIFTY Index Options'!$D:$D,$A34)+SUMIFS('NSE - Other Index Options'!$J:$J,'NSE - Other Index Options'!$D:$D,$A34))</f>
        <v/>
      </c>
      <c r="C34" s="26" t="str">
        <f>IF(SUMIFS('NSE - NIFTY Index Options'!$K:$K,'NSE - NIFTY Index Options'!$D:$D,$A34)+SUMIFS('NSE - Other Index Options'!$K:$K,'NSE - Other Index Options'!$D:$D,$A34)=0,"",SUMIFS('NSE - NIFTY Index Options'!$K:$K,'NSE - NIFTY Index Options'!$D:$D,$A34)+SUMIFS('NSE - Other Index Options'!$K:$K,'NSE - Other Index Options'!$D:$D,$A34))</f>
        <v/>
      </c>
      <c r="D34" s="26" t="str">
        <f>IF(SUMIFS('NSE - NIFTY Index Options'!$L:$L,'NSE - NIFTY Index Options'!$D:$D,$A34)+SUMIFS('NSE - Other Index Options'!$L:$L,'NSE - Other Index Options'!$D:$D,$A34)=0,"",SUMIFS('NSE - NIFTY Index Options'!$L:$L,'NSE - NIFTY Index Options'!$D:$D,$A34)+SUMIFS('NSE - Other Index Options'!$L:$L,'NSE - Other Index Options'!$D:$D,$A34))</f>
        <v/>
      </c>
      <c r="E34" s="25" t="str">
        <f>IF(SUMIFS('BSE - SENSEX Index Options'!$J:$J,'BSE - SENSEX Index Options'!$D:$D,$A34)+SUMIFS('BSE - Other Index Options'!$J:$J,'BSE - Other Index Options'!$D:$D,$A34)=0,"",SUMIFS('BSE - SENSEX Index Options'!$J:$J,'BSE - SENSEX Index Options'!$D:$D,$A34)+SUMIFS('BSE - Other Index Options'!$J:$J,'BSE - Other Index Options'!$D:$D,$A34))</f>
        <v/>
      </c>
      <c r="F34" s="26" t="str">
        <f>IF(SUMIFS('BSE - SENSEX Index Options'!$K:$K,'BSE - SENSEX Index Options'!$D:$D,$A34)+SUMIFS('BSE - Other Index Options'!$K:$K,'BSE - Other Index Options'!$D:$D,$A34)=0,"",SUMIFS('BSE - SENSEX Index Options'!$K:$K,'BSE - SENSEX Index Options'!$D:$D,$A34)+SUMIFS('BSE - Other Index Options'!$K:$K,'BSE - Other Index Options'!$D:$D,$A34))</f>
        <v/>
      </c>
      <c r="G34" s="26" t="str">
        <f>IF(SUMIFS('BSE - SENSEX Index Options'!$L:$L,'BSE - SENSEX Index Options'!$D:$D,$A34)+SUMIFS('BSE - Other Index Options'!$L:$L,'BSE - Other Index Options'!$D:$D,$A34)=0,"",SUMIFS('BSE - SENSEX Index Options'!$L:$L,'BSE - SENSEX Index Options'!$D:$D,$A34)+SUMIFS('BSE - Other Index Options'!$L:$L,'BSE - Other Index Options'!$D:$D,$A34))</f>
        <v/>
      </c>
    </row>
    <row r="35" spans="1:7">
      <c r="A35" s="24">
        <v>46478</v>
      </c>
      <c r="B35" s="25" t="str">
        <f>IF(SUMIFS('NSE - NIFTY Index Options'!$J:$J,'NSE - NIFTY Index Options'!$D:$D,$A35)+SUMIFS('NSE - Other Index Options'!$J:$J,'NSE - Other Index Options'!$D:$D,$A35)=0,"",SUMIFS('NSE - NIFTY Index Options'!$J:$J,'NSE - NIFTY Index Options'!$D:$D,$A35)+SUMIFS('NSE - Other Index Options'!$J:$J,'NSE - Other Index Options'!$D:$D,$A35))</f>
        <v/>
      </c>
      <c r="C35" s="26" t="str">
        <f>IF(SUMIFS('NSE - NIFTY Index Options'!$K:$K,'NSE - NIFTY Index Options'!$D:$D,$A35)+SUMIFS('NSE - Other Index Options'!$K:$K,'NSE - Other Index Options'!$D:$D,$A35)=0,"",SUMIFS('NSE - NIFTY Index Options'!$K:$K,'NSE - NIFTY Index Options'!$D:$D,$A35)+SUMIFS('NSE - Other Index Options'!$K:$K,'NSE - Other Index Options'!$D:$D,$A35))</f>
        <v/>
      </c>
      <c r="D35" s="26" t="str">
        <f>IF(SUMIFS('NSE - NIFTY Index Options'!$L:$L,'NSE - NIFTY Index Options'!$D:$D,$A35)+SUMIFS('NSE - Other Index Options'!$L:$L,'NSE - Other Index Options'!$D:$D,$A35)=0,"",SUMIFS('NSE - NIFTY Index Options'!$L:$L,'NSE - NIFTY Index Options'!$D:$D,$A35)+SUMIFS('NSE - Other Index Options'!$L:$L,'NSE - Other Index Options'!$D:$D,$A35))</f>
        <v/>
      </c>
      <c r="E35" s="25" t="str">
        <f>IF(SUMIFS('BSE - SENSEX Index Options'!$J:$J,'BSE - SENSEX Index Options'!$D:$D,$A35)+SUMIFS('BSE - Other Index Options'!$J:$J,'BSE - Other Index Options'!$D:$D,$A35)=0,"",SUMIFS('BSE - SENSEX Index Options'!$J:$J,'BSE - SENSEX Index Options'!$D:$D,$A35)+SUMIFS('BSE - Other Index Options'!$J:$J,'BSE - Other Index Options'!$D:$D,$A35))</f>
        <v/>
      </c>
      <c r="F35" s="26" t="str">
        <f>IF(SUMIFS('BSE - SENSEX Index Options'!$K:$K,'BSE - SENSEX Index Options'!$D:$D,$A35)+SUMIFS('BSE - Other Index Options'!$K:$K,'BSE - Other Index Options'!$D:$D,$A35)=0,"",SUMIFS('BSE - SENSEX Index Options'!$K:$K,'BSE - SENSEX Index Options'!$D:$D,$A35)+SUMIFS('BSE - Other Index Options'!$K:$K,'BSE - Other Index Options'!$D:$D,$A35))</f>
        <v/>
      </c>
      <c r="G35" s="26" t="str">
        <f>IF(SUMIFS('BSE - SENSEX Index Options'!$L:$L,'BSE - SENSEX Index Options'!$D:$D,$A35)+SUMIFS('BSE - Other Index Options'!$L:$L,'BSE - Other Index Options'!$D:$D,$A35)=0,"",SUMIFS('BSE - SENSEX Index Options'!$L:$L,'BSE - SENSEX Index Options'!$D:$D,$A35)+SUMIFS('BSE - Other Index Options'!$L:$L,'BSE - Other Index Options'!$D:$D,$A35))</f>
        <v/>
      </c>
    </row>
    <row r="36" spans="1:7">
      <c r="A36" s="24">
        <v>46508</v>
      </c>
      <c r="B36" s="25" t="str">
        <f>IF(SUMIFS('NSE - NIFTY Index Options'!$J:$J,'NSE - NIFTY Index Options'!$D:$D,$A36)+SUMIFS('NSE - Other Index Options'!$J:$J,'NSE - Other Index Options'!$D:$D,$A36)=0,"",SUMIFS('NSE - NIFTY Index Options'!$J:$J,'NSE - NIFTY Index Options'!$D:$D,$A36)+SUMIFS('NSE - Other Index Options'!$J:$J,'NSE - Other Index Options'!$D:$D,$A36))</f>
        <v/>
      </c>
      <c r="C36" s="26" t="str">
        <f>IF(SUMIFS('NSE - NIFTY Index Options'!$K:$K,'NSE - NIFTY Index Options'!$D:$D,$A36)+SUMIFS('NSE - Other Index Options'!$K:$K,'NSE - Other Index Options'!$D:$D,$A36)=0,"",SUMIFS('NSE - NIFTY Index Options'!$K:$K,'NSE - NIFTY Index Options'!$D:$D,$A36)+SUMIFS('NSE - Other Index Options'!$K:$K,'NSE - Other Index Options'!$D:$D,$A36))</f>
        <v/>
      </c>
      <c r="D36" s="26" t="str">
        <f>IF(SUMIFS('NSE - NIFTY Index Options'!$L:$L,'NSE - NIFTY Index Options'!$D:$D,$A36)+SUMIFS('NSE - Other Index Options'!$L:$L,'NSE - Other Index Options'!$D:$D,$A36)=0,"",SUMIFS('NSE - NIFTY Index Options'!$L:$L,'NSE - NIFTY Index Options'!$D:$D,$A36)+SUMIFS('NSE - Other Index Options'!$L:$L,'NSE - Other Index Options'!$D:$D,$A36))</f>
        <v/>
      </c>
      <c r="E36" s="25" t="str">
        <f>IF(SUMIFS('BSE - SENSEX Index Options'!$J:$J,'BSE - SENSEX Index Options'!$D:$D,$A36)+SUMIFS('BSE - Other Index Options'!$J:$J,'BSE - Other Index Options'!$D:$D,$A36)=0,"",SUMIFS('BSE - SENSEX Index Options'!$J:$J,'BSE - SENSEX Index Options'!$D:$D,$A36)+SUMIFS('BSE - Other Index Options'!$J:$J,'BSE - Other Index Options'!$D:$D,$A36))</f>
        <v/>
      </c>
      <c r="F36" s="26" t="str">
        <f>IF(SUMIFS('BSE - SENSEX Index Options'!$K:$K,'BSE - SENSEX Index Options'!$D:$D,$A36)+SUMIFS('BSE - Other Index Options'!$K:$K,'BSE - Other Index Options'!$D:$D,$A36)=0,"",SUMIFS('BSE - SENSEX Index Options'!$K:$K,'BSE - SENSEX Index Options'!$D:$D,$A36)+SUMIFS('BSE - Other Index Options'!$K:$K,'BSE - Other Index Options'!$D:$D,$A36))</f>
        <v/>
      </c>
      <c r="G36" s="26" t="str">
        <f>IF(SUMIFS('BSE - SENSEX Index Options'!$L:$L,'BSE - SENSEX Index Options'!$D:$D,$A36)+SUMIFS('BSE - Other Index Options'!$L:$L,'BSE - Other Index Options'!$D:$D,$A36)=0,"",SUMIFS('BSE - SENSEX Index Options'!$L:$L,'BSE - SENSEX Index Options'!$D:$D,$A36)+SUMIFS('BSE - Other Index Options'!$L:$L,'BSE - Other Index Options'!$D:$D,$A36))</f>
        <v/>
      </c>
    </row>
    <row r="37" spans="1:7">
      <c r="A37" s="24">
        <v>46539</v>
      </c>
      <c r="B37" s="25" t="str">
        <f>IF(SUMIFS('NSE - NIFTY Index Options'!$J:$J,'NSE - NIFTY Index Options'!$D:$D,$A37)+SUMIFS('NSE - Other Index Options'!$J:$J,'NSE - Other Index Options'!$D:$D,$A37)=0,"",SUMIFS('NSE - NIFTY Index Options'!$J:$J,'NSE - NIFTY Index Options'!$D:$D,$A37)+SUMIFS('NSE - Other Index Options'!$J:$J,'NSE - Other Index Options'!$D:$D,$A37))</f>
        <v/>
      </c>
      <c r="C37" s="26" t="str">
        <f>IF(SUMIFS('NSE - NIFTY Index Options'!$K:$K,'NSE - NIFTY Index Options'!$D:$D,$A37)+SUMIFS('NSE - Other Index Options'!$K:$K,'NSE - Other Index Options'!$D:$D,$A37)=0,"",SUMIFS('NSE - NIFTY Index Options'!$K:$K,'NSE - NIFTY Index Options'!$D:$D,$A37)+SUMIFS('NSE - Other Index Options'!$K:$K,'NSE - Other Index Options'!$D:$D,$A37))</f>
        <v/>
      </c>
      <c r="D37" s="26" t="str">
        <f>IF(SUMIFS('NSE - NIFTY Index Options'!$L:$L,'NSE - NIFTY Index Options'!$D:$D,$A37)+SUMIFS('NSE - Other Index Options'!$L:$L,'NSE - Other Index Options'!$D:$D,$A37)=0,"",SUMIFS('NSE - NIFTY Index Options'!$L:$L,'NSE - NIFTY Index Options'!$D:$D,$A37)+SUMIFS('NSE - Other Index Options'!$L:$L,'NSE - Other Index Options'!$D:$D,$A37))</f>
        <v/>
      </c>
      <c r="E37" s="25" t="str">
        <f>IF(SUMIFS('BSE - SENSEX Index Options'!$J:$J,'BSE - SENSEX Index Options'!$D:$D,$A37)+SUMIFS('BSE - Other Index Options'!$J:$J,'BSE - Other Index Options'!$D:$D,$A37)=0,"",SUMIFS('BSE - SENSEX Index Options'!$J:$J,'BSE - SENSEX Index Options'!$D:$D,$A37)+SUMIFS('BSE - Other Index Options'!$J:$J,'BSE - Other Index Options'!$D:$D,$A37))</f>
        <v/>
      </c>
      <c r="F37" s="26" t="str">
        <f>IF(SUMIFS('BSE - SENSEX Index Options'!$K:$K,'BSE - SENSEX Index Options'!$D:$D,$A37)+SUMIFS('BSE - Other Index Options'!$K:$K,'BSE - Other Index Options'!$D:$D,$A37)=0,"",SUMIFS('BSE - SENSEX Index Options'!$K:$K,'BSE - SENSEX Index Options'!$D:$D,$A37)+SUMIFS('BSE - Other Index Options'!$K:$K,'BSE - Other Index Options'!$D:$D,$A37))</f>
        <v/>
      </c>
      <c r="G37" s="26" t="str">
        <f>IF(SUMIFS('BSE - SENSEX Index Options'!$L:$L,'BSE - SENSEX Index Options'!$D:$D,$A37)+SUMIFS('BSE - Other Index Options'!$L:$L,'BSE - Other Index Options'!$D:$D,$A37)=0,"",SUMIFS('BSE - SENSEX Index Options'!$L:$L,'BSE - SENSEX Index Options'!$D:$D,$A37)+SUMIFS('BSE - Other Index Options'!$L:$L,'BSE - Other Index Options'!$D:$D,$A37))</f>
        <v/>
      </c>
    </row>
    <row r="38" spans="1:7">
      <c r="A38" s="24">
        <v>46569</v>
      </c>
      <c r="B38" s="25" t="str">
        <f>IF(SUMIFS('NSE - NIFTY Index Options'!$J:$J,'NSE - NIFTY Index Options'!$D:$D,$A38)+SUMIFS('NSE - Other Index Options'!$J:$J,'NSE - Other Index Options'!$D:$D,$A38)=0,"",SUMIFS('NSE - NIFTY Index Options'!$J:$J,'NSE - NIFTY Index Options'!$D:$D,$A38)+SUMIFS('NSE - Other Index Options'!$J:$J,'NSE - Other Index Options'!$D:$D,$A38))</f>
        <v/>
      </c>
      <c r="C38" s="26" t="str">
        <f>IF(SUMIFS('NSE - NIFTY Index Options'!$K:$K,'NSE - NIFTY Index Options'!$D:$D,$A38)+SUMIFS('NSE - Other Index Options'!$K:$K,'NSE - Other Index Options'!$D:$D,$A38)=0,"",SUMIFS('NSE - NIFTY Index Options'!$K:$K,'NSE - NIFTY Index Options'!$D:$D,$A38)+SUMIFS('NSE - Other Index Options'!$K:$K,'NSE - Other Index Options'!$D:$D,$A38))</f>
        <v/>
      </c>
      <c r="D38" s="26" t="str">
        <f>IF(SUMIFS('NSE - NIFTY Index Options'!$L:$L,'NSE - NIFTY Index Options'!$D:$D,$A38)+SUMIFS('NSE - Other Index Options'!$L:$L,'NSE - Other Index Options'!$D:$D,$A38)=0,"",SUMIFS('NSE - NIFTY Index Options'!$L:$L,'NSE - NIFTY Index Options'!$D:$D,$A38)+SUMIFS('NSE - Other Index Options'!$L:$L,'NSE - Other Index Options'!$D:$D,$A38))</f>
        <v/>
      </c>
      <c r="E38" s="25" t="str">
        <f>IF(SUMIFS('BSE - SENSEX Index Options'!$J:$J,'BSE - SENSEX Index Options'!$D:$D,$A38)+SUMIFS('BSE - Other Index Options'!$J:$J,'BSE - Other Index Options'!$D:$D,$A38)=0,"",SUMIFS('BSE - SENSEX Index Options'!$J:$J,'BSE - SENSEX Index Options'!$D:$D,$A38)+SUMIFS('BSE - Other Index Options'!$J:$J,'BSE - Other Index Options'!$D:$D,$A38))</f>
        <v/>
      </c>
      <c r="F38" s="26" t="str">
        <f>IF(SUMIFS('BSE - SENSEX Index Options'!$K:$K,'BSE - SENSEX Index Options'!$D:$D,$A38)+SUMIFS('BSE - Other Index Options'!$K:$K,'BSE - Other Index Options'!$D:$D,$A38)=0,"",SUMIFS('BSE - SENSEX Index Options'!$K:$K,'BSE - SENSEX Index Options'!$D:$D,$A38)+SUMIFS('BSE - Other Index Options'!$K:$K,'BSE - Other Index Options'!$D:$D,$A38))</f>
        <v/>
      </c>
      <c r="G38" s="26" t="str">
        <f>IF(SUMIFS('BSE - SENSEX Index Options'!$L:$L,'BSE - SENSEX Index Options'!$D:$D,$A38)+SUMIFS('BSE - Other Index Options'!$L:$L,'BSE - Other Index Options'!$D:$D,$A38)=0,"",SUMIFS('BSE - SENSEX Index Options'!$L:$L,'BSE - SENSEX Index Options'!$D:$D,$A38)+SUMIFS('BSE - Other Index Options'!$L:$L,'BSE - Other Index Options'!$D:$D,$A38))</f>
        <v/>
      </c>
    </row>
    <row r="39" spans="1:7">
      <c r="A39" s="24">
        <v>46600</v>
      </c>
      <c r="B39" s="25" t="str">
        <f>IF(SUMIFS('NSE - NIFTY Index Options'!$J:$J,'NSE - NIFTY Index Options'!$D:$D,$A39)+SUMIFS('NSE - Other Index Options'!$J:$J,'NSE - Other Index Options'!$D:$D,$A39)=0,"",SUMIFS('NSE - NIFTY Index Options'!$J:$J,'NSE - NIFTY Index Options'!$D:$D,$A39)+SUMIFS('NSE - Other Index Options'!$J:$J,'NSE - Other Index Options'!$D:$D,$A39))</f>
        <v/>
      </c>
      <c r="C39" s="26" t="str">
        <f>IF(SUMIFS('NSE - NIFTY Index Options'!$K:$K,'NSE - NIFTY Index Options'!$D:$D,$A39)+SUMIFS('NSE - Other Index Options'!$K:$K,'NSE - Other Index Options'!$D:$D,$A39)=0,"",SUMIFS('NSE - NIFTY Index Options'!$K:$K,'NSE - NIFTY Index Options'!$D:$D,$A39)+SUMIFS('NSE - Other Index Options'!$K:$K,'NSE - Other Index Options'!$D:$D,$A39))</f>
        <v/>
      </c>
      <c r="D39" s="26" t="str">
        <f>IF(SUMIFS('NSE - NIFTY Index Options'!$L:$L,'NSE - NIFTY Index Options'!$D:$D,$A39)+SUMIFS('NSE - Other Index Options'!$L:$L,'NSE - Other Index Options'!$D:$D,$A39)=0,"",SUMIFS('NSE - NIFTY Index Options'!$L:$L,'NSE - NIFTY Index Options'!$D:$D,$A39)+SUMIFS('NSE - Other Index Options'!$L:$L,'NSE - Other Index Options'!$D:$D,$A39))</f>
        <v/>
      </c>
      <c r="E39" s="25" t="str">
        <f>IF(SUMIFS('BSE - SENSEX Index Options'!$J:$J,'BSE - SENSEX Index Options'!$D:$D,$A39)+SUMIFS('BSE - Other Index Options'!$J:$J,'BSE - Other Index Options'!$D:$D,$A39)=0,"",SUMIFS('BSE - SENSEX Index Options'!$J:$J,'BSE - SENSEX Index Options'!$D:$D,$A39)+SUMIFS('BSE - Other Index Options'!$J:$J,'BSE - Other Index Options'!$D:$D,$A39))</f>
        <v/>
      </c>
      <c r="F39" s="26" t="str">
        <f>IF(SUMIFS('BSE - SENSEX Index Options'!$K:$K,'BSE - SENSEX Index Options'!$D:$D,$A39)+SUMIFS('BSE - Other Index Options'!$K:$K,'BSE - Other Index Options'!$D:$D,$A39)=0,"",SUMIFS('BSE - SENSEX Index Options'!$K:$K,'BSE - SENSEX Index Options'!$D:$D,$A39)+SUMIFS('BSE - Other Index Options'!$K:$K,'BSE - Other Index Options'!$D:$D,$A39))</f>
        <v/>
      </c>
      <c r="G39" s="26" t="str">
        <f>IF(SUMIFS('BSE - SENSEX Index Options'!$L:$L,'BSE - SENSEX Index Options'!$D:$D,$A39)+SUMIFS('BSE - Other Index Options'!$L:$L,'BSE - Other Index Options'!$D:$D,$A39)=0,"",SUMIFS('BSE - SENSEX Index Options'!$L:$L,'BSE - SENSEX Index Options'!$D:$D,$A39)+SUMIFS('BSE - Other Index Options'!$L:$L,'BSE - Other Index Options'!$D:$D,$A39))</f>
        <v/>
      </c>
    </row>
    <row r="40" spans="1:7">
      <c r="A40" s="24">
        <v>46631</v>
      </c>
      <c r="B40" s="25" t="str">
        <f>IF(SUMIFS('NSE - NIFTY Index Options'!$J:$J,'NSE - NIFTY Index Options'!$D:$D,$A40)+SUMIFS('NSE - Other Index Options'!$J:$J,'NSE - Other Index Options'!$D:$D,$A40)=0,"",SUMIFS('NSE - NIFTY Index Options'!$J:$J,'NSE - NIFTY Index Options'!$D:$D,$A40)+SUMIFS('NSE - Other Index Options'!$J:$J,'NSE - Other Index Options'!$D:$D,$A40))</f>
        <v/>
      </c>
      <c r="C40" s="26" t="str">
        <f>IF(SUMIFS('NSE - NIFTY Index Options'!$K:$K,'NSE - NIFTY Index Options'!$D:$D,$A40)+SUMIFS('NSE - Other Index Options'!$K:$K,'NSE - Other Index Options'!$D:$D,$A40)=0,"",SUMIFS('NSE - NIFTY Index Options'!$K:$K,'NSE - NIFTY Index Options'!$D:$D,$A40)+SUMIFS('NSE - Other Index Options'!$K:$K,'NSE - Other Index Options'!$D:$D,$A40))</f>
        <v/>
      </c>
      <c r="D40" s="26" t="str">
        <f>IF(SUMIFS('NSE - NIFTY Index Options'!$L:$L,'NSE - NIFTY Index Options'!$D:$D,$A40)+SUMIFS('NSE - Other Index Options'!$L:$L,'NSE - Other Index Options'!$D:$D,$A40)=0,"",SUMIFS('NSE - NIFTY Index Options'!$L:$L,'NSE - NIFTY Index Options'!$D:$D,$A40)+SUMIFS('NSE - Other Index Options'!$L:$L,'NSE - Other Index Options'!$D:$D,$A40))</f>
        <v/>
      </c>
      <c r="E40" s="25" t="str">
        <f>IF(SUMIFS('BSE - SENSEX Index Options'!$J:$J,'BSE - SENSEX Index Options'!$D:$D,$A40)+SUMIFS('BSE - Other Index Options'!$J:$J,'BSE - Other Index Options'!$D:$D,$A40)=0,"",SUMIFS('BSE - SENSEX Index Options'!$J:$J,'BSE - SENSEX Index Options'!$D:$D,$A40)+SUMIFS('BSE - Other Index Options'!$J:$J,'BSE - Other Index Options'!$D:$D,$A40))</f>
        <v/>
      </c>
      <c r="F40" s="26" t="str">
        <f>IF(SUMIFS('BSE - SENSEX Index Options'!$K:$K,'BSE - SENSEX Index Options'!$D:$D,$A40)+SUMIFS('BSE - Other Index Options'!$K:$K,'BSE - Other Index Options'!$D:$D,$A40)=0,"",SUMIFS('BSE - SENSEX Index Options'!$K:$K,'BSE - SENSEX Index Options'!$D:$D,$A40)+SUMIFS('BSE - Other Index Options'!$K:$K,'BSE - Other Index Options'!$D:$D,$A40))</f>
        <v/>
      </c>
      <c r="G40" s="26" t="str">
        <f>IF(SUMIFS('BSE - SENSEX Index Options'!$L:$L,'BSE - SENSEX Index Options'!$D:$D,$A40)+SUMIFS('BSE - Other Index Options'!$L:$L,'BSE - Other Index Options'!$D:$D,$A40)=0,"",SUMIFS('BSE - SENSEX Index Options'!$L:$L,'BSE - SENSEX Index Options'!$D:$D,$A40)+SUMIFS('BSE - Other Index Options'!$L:$L,'BSE - Other Index Options'!$D:$D,$A40))</f>
        <v/>
      </c>
    </row>
    <row r="41" spans="1:7">
      <c r="A41" s="24">
        <v>46661</v>
      </c>
      <c r="B41" s="25" t="str">
        <f>IF(SUMIFS('NSE - NIFTY Index Options'!$J:$J,'NSE - NIFTY Index Options'!$D:$D,$A41)+SUMIFS('NSE - Other Index Options'!$J:$J,'NSE - Other Index Options'!$D:$D,$A41)=0,"",SUMIFS('NSE - NIFTY Index Options'!$J:$J,'NSE - NIFTY Index Options'!$D:$D,$A41)+SUMIFS('NSE - Other Index Options'!$J:$J,'NSE - Other Index Options'!$D:$D,$A41))</f>
        <v/>
      </c>
      <c r="C41" s="26" t="str">
        <f>IF(SUMIFS('NSE - NIFTY Index Options'!$K:$K,'NSE - NIFTY Index Options'!$D:$D,$A41)+SUMIFS('NSE - Other Index Options'!$K:$K,'NSE - Other Index Options'!$D:$D,$A41)=0,"",SUMIFS('NSE - NIFTY Index Options'!$K:$K,'NSE - NIFTY Index Options'!$D:$D,$A41)+SUMIFS('NSE - Other Index Options'!$K:$K,'NSE - Other Index Options'!$D:$D,$A41))</f>
        <v/>
      </c>
      <c r="D41" s="26" t="str">
        <f>IF(SUMIFS('NSE - NIFTY Index Options'!$L:$L,'NSE - NIFTY Index Options'!$D:$D,$A41)+SUMIFS('NSE - Other Index Options'!$L:$L,'NSE - Other Index Options'!$D:$D,$A41)=0,"",SUMIFS('NSE - NIFTY Index Options'!$L:$L,'NSE - NIFTY Index Options'!$D:$D,$A41)+SUMIFS('NSE - Other Index Options'!$L:$L,'NSE - Other Index Options'!$D:$D,$A41))</f>
        <v/>
      </c>
      <c r="E41" s="25" t="str">
        <f>IF(SUMIFS('BSE - SENSEX Index Options'!$J:$J,'BSE - SENSEX Index Options'!$D:$D,$A41)+SUMIFS('BSE - Other Index Options'!$J:$J,'BSE - Other Index Options'!$D:$D,$A41)=0,"",SUMIFS('BSE - SENSEX Index Options'!$J:$J,'BSE - SENSEX Index Options'!$D:$D,$A41)+SUMIFS('BSE - Other Index Options'!$J:$J,'BSE - Other Index Options'!$D:$D,$A41))</f>
        <v/>
      </c>
      <c r="F41" s="26" t="str">
        <f>IF(SUMIFS('BSE - SENSEX Index Options'!$K:$K,'BSE - SENSEX Index Options'!$D:$D,$A41)+SUMIFS('BSE - Other Index Options'!$K:$K,'BSE - Other Index Options'!$D:$D,$A41)=0,"",SUMIFS('BSE - SENSEX Index Options'!$K:$K,'BSE - SENSEX Index Options'!$D:$D,$A41)+SUMIFS('BSE - Other Index Options'!$K:$K,'BSE - Other Index Options'!$D:$D,$A41))</f>
        <v/>
      </c>
      <c r="G41" s="26" t="str">
        <f>IF(SUMIFS('BSE - SENSEX Index Options'!$L:$L,'BSE - SENSEX Index Options'!$D:$D,$A41)+SUMIFS('BSE - Other Index Options'!$L:$L,'BSE - Other Index Options'!$D:$D,$A41)=0,"",SUMIFS('BSE - SENSEX Index Options'!$L:$L,'BSE - SENSEX Index Options'!$D:$D,$A41)+SUMIFS('BSE - Other Index Options'!$L:$L,'BSE - Other Index Options'!$D:$D,$A41))</f>
        <v/>
      </c>
    </row>
    <row r="42" spans="1:7">
      <c r="A42" s="24">
        <v>46692</v>
      </c>
      <c r="B42" s="25" t="str">
        <f>IF(SUMIFS('NSE - NIFTY Index Options'!$J:$J,'NSE - NIFTY Index Options'!$D:$D,$A42)+SUMIFS('NSE - Other Index Options'!$J:$J,'NSE - Other Index Options'!$D:$D,$A42)=0,"",SUMIFS('NSE - NIFTY Index Options'!$J:$J,'NSE - NIFTY Index Options'!$D:$D,$A42)+SUMIFS('NSE - Other Index Options'!$J:$J,'NSE - Other Index Options'!$D:$D,$A42))</f>
        <v/>
      </c>
      <c r="C42" s="26" t="str">
        <f>IF(SUMIFS('NSE - NIFTY Index Options'!$K:$K,'NSE - NIFTY Index Options'!$D:$D,$A42)+SUMIFS('NSE - Other Index Options'!$K:$K,'NSE - Other Index Options'!$D:$D,$A42)=0,"",SUMIFS('NSE - NIFTY Index Options'!$K:$K,'NSE - NIFTY Index Options'!$D:$D,$A42)+SUMIFS('NSE - Other Index Options'!$K:$K,'NSE - Other Index Options'!$D:$D,$A42))</f>
        <v/>
      </c>
      <c r="D42" s="26" t="str">
        <f>IF(SUMIFS('NSE - NIFTY Index Options'!$L:$L,'NSE - NIFTY Index Options'!$D:$D,$A42)+SUMIFS('NSE - Other Index Options'!$L:$L,'NSE - Other Index Options'!$D:$D,$A42)=0,"",SUMIFS('NSE - NIFTY Index Options'!$L:$L,'NSE - NIFTY Index Options'!$D:$D,$A42)+SUMIFS('NSE - Other Index Options'!$L:$L,'NSE - Other Index Options'!$D:$D,$A42))</f>
        <v/>
      </c>
      <c r="E42" s="25" t="str">
        <f>IF(SUMIFS('BSE - SENSEX Index Options'!$J:$J,'BSE - SENSEX Index Options'!$D:$D,$A42)+SUMIFS('BSE - Other Index Options'!$J:$J,'BSE - Other Index Options'!$D:$D,$A42)=0,"",SUMIFS('BSE - SENSEX Index Options'!$J:$J,'BSE - SENSEX Index Options'!$D:$D,$A42)+SUMIFS('BSE - Other Index Options'!$J:$J,'BSE - Other Index Options'!$D:$D,$A42))</f>
        <v/>
      </c>
      <c r="F42" s="26" t="str">
        <f>IF(SUMIFS('BSE - SENSEX Index Options'!$K:$K,'BSE - SENSEX Index Options'!$D:$D,$A42)+SUMIFS('BSE - Other Index Options'!$K:$K,'BSE - Other Index Options'!$D:$D,$A42)=0,"",SUMIFS('BSE - SENSEX Index Options'!$K:$K,'BSE - SENSEX Index Options'!$D:$D,$A42)+SUMIFS('BSE - Other Index Options'!$K:$K,'BSE - Other Index Options'!$D:$D,$A42))</f>
        <v/>
      </c>
      <c r="G42" s="26" t="str">
        <f>IF(SUMIFS('BSE - SENSEX Index Options'!$L:$L,'BSE - SENSEX Index Options'!$D:$D,$A42)+SUMIFS('BSE - Other Index Options'!$L:$L,'BSE - Other Index Options'!$D:$D,$A42)=0,"",SUMIFS('BSE - SENSEX Index Options'!$L:$L,'BSE - SENSEX Index Options'!$D:$D,$A42)+SUMIFS('BSE - Other Index Options'!$L:$L,'BSE - Other Index Options'!$D:$D,$A42))</f>
        <v/>
      </c>
    </row>
    <row r="43" spans="1:7">
      <c r="A43" s="24">
        <v>46722</v>
      </c>
      <c r="B43" s="25" t="str">
        <f>IF(SUMIFS('NSE - NIFTY Index Options'!$J:$J,'NSE - NIFTY Index Options'!$D:$D,$A43)+SUMIFS('NSE - Other Index Options'!$J:$J,'NSE - Other Index Options'!$D:$D,$A43)=0,"",SUMIFS('NSE - NIFTY Index Options'!$J:$J,'NSE - NIFTY Index Options'!$D:$D,$A43)+SUMIFS('NSE - Other Index Options'!$J:$J,'NSE - Other Index Options'!$D:$D,$A43))</f>
        <v/>
      </c>
      <c r="C43" s="26" t="str">
        <f>IF(SUMIFS('NSE - NIFTY Index Options'!$K:$K,'NSE - NIFTY Index Options'!$D:$D,$A43)+SUMIFS('NSE - Other Index Options'!$K:$K,'NSE - Other Index Options'!$D:$D,$A43)=0,"",SUMIFS('NSE - NIFTY Index Options'!$K:$K,'NSE - NIFTY Index Options'!$D:$D,$A43)+SUMIFS('NSE - Other Index Options'!$K:$K,'NSE - Other Index Options'!$D:$D,$A43))</f>
        <v/>
      </c>
      <c r="D43" s="26" t="str">
        <f>IF(SUMIFS('NSE - NIFTY Index Options'!$L:$L,'NSE - NIFTY Index Options'!$D:$D,$A43)+SUMIFS('NSE - Other Index Options'!$L:$L,'NSE - Other Index Options'!$D:$D,$A43)=0,"",SUMIFS('NSE - NIFTY Index Options'!$L:$L,'NSE - NIFTY Index Options'!$D:$D,$A43)+SUMIFS('NSE - Other Index Options'!$L:$L,'NSE - Other Index Options'!$D:$D,$A43))</f>
        <v/>
      </c>
      <c r="E43" s="25" t="str">
        <f>IF(SUMIFS('BSE - SENSEX Index Options'!$J:$J,'BSE - SENSEX Index Options'!$D:$D,$A43)+SUMIFS('BSE - Other Index Options'!$J:$J,'BSE - Other Index Options'!$D:$D,$A43)=0,"",SUMIFS('BSE - SENSEX Index Options'!$J:$J,'BSE - SENSEX Index Options'!$D:$D,$A43)+SUMIFS('BSE - Other Index Options'!$J:$J,'BSE - Other Index Options'!$D:$D,$A43))</f>
        <v/>
      </c>
      <c r="F43" s="26" t="str">
        <f>IF(SUMIFS('BSE - SENSEX Index Options'!$K:$K,'BSE - SENSEX Index Options'!$D:$D,$A43)+SUMIFS('BSE - Other Index Options'!$K:$K,'BSE - Other Index Options'!$D:$D,$A43)=0,"",SUMIFS('BSE - SENSEX Index Options'!$K:$K,'BSE - SENSEX Index Options'!$D:$D,$A43)+SUMIFS('BSE - Other Index Options'!$K:$K,'BSE - Other Index Options'!$D:$D,$A43))</f>
        <v/>
      </c>
      <c r="G43" s="26" t="str">
        <f>IF(SUMIFS('BSE - SENSEX Index Options'!$L:$L,'BSE - SENSEX Index Options'!$D:$D,$A43)+SUMIFS('BSE - Other Index Options'!$L:$L,'BSE - Other Index Options'!$D:$D,$A43)=0,"",SUMIFS('BSE - SENSEX Index Options'!$L:$L,'BSE - SENSEX Index Options'!$D:$D,$A43)+SUMIFS('BSE - Other Index Options'!$L:$L,'BSE - Other Index Options'!$D:$D,$A43))</f>
        <v/>
      </c>
    </row>
    <row r="44" spans="1:7">
      <c r="A44" s="28" t="s">
        <v>9</v>
      </c>
      <c r="B44" s="29">
        <f t="shared" ref="B44:G44" si="0">IF(SUM(B16:B43)=0,"",SUM(B16:B43))</f>
        <v>32543526141</v>
      </c>
      <c r="C44" s="30">
        <f t="shared" si="0"/>
        <v>5574282225.710001</v>
      </c>
      <c r="D44" s="30">
        <f t="shared" si="0"/>
        <v>11525883.700000003</v>
      </c>
      <c r="E44" s="29">
        <f t="shared" si="0"/>
        <v>29171164790</v>
      </c>
      <c r="F44" s="30">
        <f t="shared" si="0"/>
        <v>4691477599.9800005</v>
      </c>
      <c r="G44" s="30">
        <f t="shared" si="0"/>
        <v>5233083.17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3"/>
  <sheetViews>
    <sheetView topLeftCell="A140" workbookViewId="0">
      <selection activeCell="C95" sqref="C95"/>
    </sheetView>
  </sheetViews>
  <sheetFormatPr baseColWidth="10" defaultColWidth="8.83203125" defaultRowHeight="16" outlineLevelRow="1"/>
  <cols>
    <col min="1" max="1" width="12" customWidth="1"/>
    <col min="2" max="3" width="30" customWidth="1"/>
    <col min="4" max="5" width="16" customWidth="1"/>
  </cols>
  <sheetData>
    <row r="1" spans="1:5">
      <c r="A1" s="28" t="s">
        <v>176</v>
      </c>
    </row>
    <row r="3" spans="1:5">
      <c r="A3" s="28" t="s">
        <v>177</v>
      </c>
    </row>
    <row r="4" spans="1:5">
      <c r="A4" s="28" t="s">
        <v>169</v>
      </c>
      <c r="B4" s="28" t="s">
        <v>1</v>
      </c>
      <c r="C4" s="28" t="s">
        <v>148</v>
      </c>
      <c r="D4" s="28" t="s">
        <v>149</v>
      </c>
      <c r="E4" s="28" t="s">
        <v>150</v>
      </c>
    </row>
    <row r="5" spans="1:5">
      <c r="A5" s="24">
        <v>45901</v>
      </c>
      <c r="B5" s="26">
        <f>IF(SUMIFS('NSE - NIFTY Index Options'!$L:$L,'NSE - NIFTY Index Options'!$D:$D,$A5,'NSE - NIFTY Index Options'!$B:$B,"Monday")+SUMIFS('NSE - Other Index Options'!$L:$L,'NSE - Other Index Options'!$D:$D,$A5,'NSE - Other Index Options'!$B:$B,"Monday")=0,"",SUMIFS('NSE - NIFTY Index Options'!$L:$L,'NSE - NIFTY Index Options'!$D:$D,$A5,'NSE - NIFTY Index Options'!$B:$B,"Monday")+SUMIFS('NSE - Other Index Options'!$L:$L,'NSE - Other Index Options'!$D:$D,$A5,'NSE - Other Index Options'!$B:$B,"Monday"))</f>
        <v>218242.88999999996</v>
      </c>
      <c r="C5" s="26">
        <f>IF(SUMIFS('BSE - SENSEX Index Options'!$L:$L,'BSE - SENSEX Index Options'!$D:$D,$A5,'BSE - SENSEX Index Options'!$B:$B,"Monday")+SUMIFS('BSE - Other Index Options'!$L:$L,'BSE - Other Index Options'!$D:$D,$A5,'BSE - Other Index Options'!$B:$B,"Monday")=0,"",SUMIFS('BSE - SENSEX Index Options'!$L:$L,'BSE - SENSEX Index Options'!$D:$D,$A5,'BSE - SENSEX Index Options'!$B:$B,"Monday")+SUMIFS('BSE - Other Index Options'!$L:$L,'BSE - Other Index Options'!$D:$D,$A5,'BSE - Other Index Options'!$B:$B,"Monday"))</f>
        <v>40591.17</v>
      </c>
      <c r="D5" s="27">
        <f t="shared" ref="D5:D33" si="0">IF(SUM(B5:C5)=0,"",SUM(B5)/SUM(B5:C5))</f>
        <v>0.84317686010875081</v>
      </c>
      <c r="E5" s="27">
        <f t="shared" ref="E5:E33" si="1">IF(SUM(B5:C5)=0,"",SUM(C5)/SUM(B5:C5))</f>
        <v>0.15682313989124927</v>
      </c>
    </row>
    <row r="6" spans="1:5">
      <c r="A6" s="24">
        <v>45931</v>
      </c>
      <c r="B6" s="26">
        <f>IF(SUMIFS('NSE - NIFTY Index Options'!$L:$L,'NSE - NIFTY Index Options'!$D:$D,$A6,'NSE - NIFTY Index Options'!$B:$B,"Monday")+SUMIFS('NSE - Other Index Options'!$L:$L,'NSE - Other Index Options'!$D:$D,$A6,'NSE - Other Index Options'!$B:$B,"Monday")=0,"",SUMIFS('NSE - NIFTY Index Options'!$L:$L,'NSE - NIFTY Index Options'!$D:$D,$A6,'NSE - NIFTY Index Options'!$B:$B,"Monday")+SUMIFS('NSE - Other Index Options'!$L:$L,'NSE - Other Index Options'!$D:$D,$A6,'NSE - Other Index Options'!$B:$B,"Monday"))</f>
        <v>224685.02000000008</v>
      </c>
      <c r="C6" s="26">
        <f>IF(SUMIFS('BSE - SENSEX Index Options'!$L:$L,'BSE - SENSEX Index Options'!$D:$D,$A6,'BSE - SENSEX Index Options'!$B:$B,"Monday")+SUMIFS('BSE - Other Index Options'!$L:$L,'BSE - Other Index Options'!$D:$D,$A6,'BSE - Other Index Options'!$B:$B,"Monday")=0,"",SUMIFS('BSE - SENSEX Index Options'!$L:$L,'BSE - SENSEX Index Options'!$D:$D,$A6,'BSE - SENSEX Index Options'!$B:$B,"Monday")+SUMIFS('BSE - Other Index Options'!$L:$L,'BSE - Other Index Options'!$D:$D,$A6,'BSE - Other Index Options'!$B:$B,"Monday"))</f>
        <v>39126.669999999991</v>
      </c>
      <c r="D6" s="27">
        <f t="shared" si="0"/>
        <v>0.85168712576762629</v>
      </c>
      <c r="E6" s="27">
        <f t="shared" si="1"/>
        <v>0.1483128742323738</v>
      </c>
    </row>
    <row r="7" spans="1:5">
      <c r="A7" s="24">
        <v>45962</v>
      </c>
      <c r="B7" s="26">
        <f>IF(SUMIFS('NSE - NIFTY Index Options'!$L:$L,'NSE - NIFTY Index Options'!$D:$D,$A7,'NSE - NIFTY Index Options'!$B:$B,"Monday")+SUMIFS('NSE - Other Index Options'!$L:$L,'NSE - Other Index Options'!$D:$D,$A7,'NSE - Other Index Options'!$B:$B,"Monday")=0,"",SUMIFS('NSE - NIFTY Index Options'!$L:$L,'NSE - NIFTY Index Options'!$D:$D,$A7,'NSE - NIFTY Index Options'!$B:$B,"Monday")+SUMIFS('NSE - Other Index Options'!$L:$L,'NSE - Other Index Options'!$D:$D,$A7,'NSE - Other Index Options'!$B:$B,"Monday"))</f>
        <v>196832.15000000008</v>
      </c>
      <c r="C7" s="26">
        <f>IF(SUMIFS('BSE - SENSEX Index Options'!$L:$L,'BSE - SENSEX Index Options'!$D:$D,$A7,'BSE - SENSEX Index Options'!$B:$B,"Monday")+SUMIFS('BSE - Other Index Options'!$L:$L,'BSE - Other Index Options'!$D:$D,$A7,'BSE - Other Index Options'!$B:$B,"Monday")=0,"",SUMIFS('BSE - SENSEX Index Options'!$L:$L,'BSE - SENSEX Index Options'!$D:$D,$A7,'BSE - SENSEX Index Options'!$B:$B,"Monday")+SUMIFS('BSE - Other Index Options'!$L:$L,'BSE - Other Index Options'!$D:$D,$A7,'BSE - Other Index Options'!$B:$B,"Monday"))</f>
        <v>34746.32</v>
      </c>
      <c r="D7" s="27">
        <f t="shared" si="0"/>
        <v>0.8499587634377237</v>
      </c>
      <c r="E7" s="27">
        <f t="shared" si="1"/>
        <v>0.15004123656227622</v>
      </c>
    </row>
    <row r="8" spans="1:5">
      <c r="A8" s="24">
        <v>45992</v>
      </c>
      <c r="B8" s="26">
        <f>IF(SUMIFS('NSE - NIFTY Index Options'!$L:$L,'NSE - NIFTY Index Options'!$D:$D,$A8,'NSE - NIFTY Index Options'!$B:$B,"Monday")+SUMIFS('NSE - Other Index Options'!$L:$L,'NSE - Other Index Options'!$D:$D,$A8,'NSE - Other Index Options'!$B:$B,"Monday")=0,"",SUMIFS('NSE - NIFTY Index Options'!$L:$L,'NSE - NIFTY Index Options'!$D:$D,$A8,'NSE - NIFTY Index Options'!$B:$B,"Monday")+SUMIFS('NSE - Other Index Options'!$L:$L,'NSE - Other Index Options'!$D:$D,$A8,'NSE - Other Index Options'!$B:$B,"Monday"))</f>
        <v>224662.09000000003</v>
      </c>
      <c r="C8" s="26">
        <f>IF(SUMIFS('BSE - SENSEX Index Options'!$L:$L,'BSE - SENSEX Index Options'!$D:$D,$A8,'BSE - SENSEX Index Options'!$B:$B,"Monday")+SUMIFS('BSE - Other Index Options'!$L:$L,'BSE - Other Index Options'!$D:$D,$A8,'BSE - Other Index Options'!$B:$B,"Monday")=0,"",SUMIFS('BSE - SENSEX Index Options'!$L:$L,'BSE - SENSEX Index Options'!$D:$D,$A8,'BSE - SENSEX Index Options'!$B:$B,"Monday")+SUMIFS('BSE - Other Index Options'!$L:$L,'BSE - Other Index Options'!$D:$D,$A8,'BSE - Other Index Options'!$B:$B,"Monday"))</f>
        <v>44420.45</v>
      </c>
      <c r="D8" s="27">
        <f t="shared" si="0"/>
        <v>0.83491886913212576</v>
      </c>
      <c r="E8" s="27">
        <f t="shared" si="1"/>
        <v>0.16508113086787418</v>
      </c>
    </row>
    <row r="9" spans="1:5">
      <c r="A9" s="24">
        <v>46023</v>
      </c>
      <c r="B9" s="26">
        <f>IF(SUMIFS('NSE - NIFTY Index Options'!$L:$L,'NSE - NIFTY Index Options'!$D:$D,$A9,'NSE - NIFTY Index Options'!$B:$B,"Monday")+SUMIFS('NSE - Other Index Options'!$L:$L,'NSE - Other Index Options'!$D:$D,$A9,'NSE - Other Index Options'!$B:$B,"Monday")=0,"",SUMIFS('NSE - NIFTY Index Options'!$L:$L,'NSE - NIFTY Index Options'!$D:$D,$A9,'NSE - NIFTY Index Options'!$B:$B,"Monday")+SUMIFS('NSE - Other Index Options'!$L:$L,'NSE - Other Index Options'!$D:$D,$A9,'NSE - Other Index Options'!$B:$B,"Monday"))</f>
        <v>188703.59</v>
      </c>
      <c r="C9" s="26">
        <f>IF(SUMIFS('BSE - SENSEX Index Options'!$L:$L,'BSE - SENSEX Index Options'!$D:$D,$A9,'BSE - SENSEX Index Options'!$B:$B,"Monday")+SUMIFS('BSE - Other Index Options'!$L:$L,'BSE - Other Index Options'!$D:$D,$A9,'BSE - Other Index Options'!$B:$B,"Monday")=0,"",SUMIFS('BSE - SENSEX Index Options'!$L:$L,'BSE - SENSEX Index Options'!$D:$D,$A9,'BSE - SENSEX Index Options'!$B:$B,"Monday")+SUMIFS('BSE - Other Index Options'!$L:$L,'BSE - Other Index Options'!$D:$D,$A9,'BSE - Other Index Options'!$B:$B,"Monday"))</f>
        <v>40606.099999999991</v>
      </c>
      <c r="D9" s="27">
        <f t="shared" si="0"/>
        <v>0.82292026124146778</v>
      </c>
      <c r="E9" s="27">
        <f t="shared" si="1"/>
        <v>0.17707973875853214</v>
      </c>
    </row>
    <row r="10" spans="1:5">
      <c r="A10" s="24">
        <v>46054</v>
      </c>
      <c r="B10" s="26">
        <f>IF(SUMIFS('NSE - NIFTY Index Options'!$L:$L,'NSE - NIFTY Index Options'!$D:$D,$A10,'NSE - NIFTY Index Options'!$B:$B,"Monday")+SUMIFS('NSE - Other Index Options'!$L:$L,'NSE - Other Index Options'!$D:$D,$A10,'NSE - Other Index Options'!$B:$B,"Monday")=0,"",SUMIFS('NSE - NIFTY Index Options'!$L:$L,'NSE - NIFTY Index Options'!$D:$D,$A10,'NSE - NIFTY Index Options'!$B:$B,"Monday")+SUMIFS('NSE - Other Index Options'!$L:$L,'NSE - Other Index Options'!$D:$D,$A10,'NSE - Other Index Options'!$B:$B,"Monday"))</f>
        <v>273585.39999999991</v>
      </c>
      <c r="C10" s="26">
        <f>IF(SUMIFS('BSE - SENSEX Index Options'!$L:$L,'BSE - SENSEX Index Options'!$D:$D,$A10,'BSE - SENSEX Index Options'!$B:$B,"Monday")+SUMIFS('BSE - Other Index Options'!$L:$L,'BSE - Other Index Options'!$D:$D,$A10,'BSE - Other Index Options'!$B:$B,"Monday")=0,"",SUMIFS('BSE - SENSEX Index Options'!$L:$L,'BSE - SENSEX Index Options'!$D:$D,$A10,'BSE - SENSEX Index Options'!$B:$B,"Monday")+SUMIFS('BSE - Other Index Options'!$L:$L,'BSE - Other Index Options'!$D:$D,$A10,'BSE - Other Index Options'!$B:$B,"Monday"))</f>
        <v>49539.820000000007</v>
      </c>
      <c r="D10" s="27">
        <f t="shared" si="0"/>
        <v>0.8466853809801661</v>
      </c>
      <c r="E10" s="27">
        <f t="shared" si="1"/>
        <v>0.15331461901983393</v>
      </c>
    </row>
    <row r="11" spans="1:5">
      <c r="A11" s="24">
        <v>46082</v>
      </c>
      <c r="B11" s="26">
        <f>IF(SUMIFS('NSE - NIFTY Index Options'!$L:$L,'NSE - NIFTY Index Options'!$D:$D,$A11,'NSE - NIFTY Index Options'!$B:$B,"Monday")+SUMIFS('NSE - Other Index Options'!$L:$L,'NSE - Other Index Options'!$D:$D,$A11,'NSE - Other Index Options'!$B:$B,"Monday")=0,"",SUMIFS('NSE - NIFTY Index Options'!$L:$L,'NSE - NIFTY Index Options'!$D:$D,$A11,'NSE - NIFTY Index Options'!$B:$B,"Monday")+SUMIFS('NSE - Other Index Options'!$L:$L,'NSE - Other Index Options'!$D:$D,$A11,'NSE - Other Index Options'!$B:$B,"Monday"))</f>
        <v>550323.85999999987</v>
      </c>
      <c r="C11" s="26">
        <f>IF(SUMIFS('BSE - SENSEX Index Options'!$L:$L,'BSE - SENSEX Index Options'!$D:$D,$A11,'BSE - SENSEX Index Options'!$B:$B,"Monday")+SUMIFS('BSE - Other Index Options'!$L:$L,'BSE - Other Index Options'!$D:$D,$A11,'BSE - Other Index Options'!$B:$B,"Monday")=0,"",SUMIFS('BSE - SENSEX Index Options'!$L:$L,'BSE - SENSEX Index Options'!$D:$D,$A11,'BSE - SENSEX Index Options'!$B:$B,"Monday")+SUMIFS('BSE - Other Index Options'!$L:$L,'BSE - Other Index Options'!$D:$D,$A11,'BSE - Other Index Options'!$B:$B,"Monday"))</f>
        <v>80746.14</v>
      </c>
      <c r="D11" s="27">
        <f t="shared" si="0"/>
        <v>0.87204883768837049</v>
      </c>
      <c r="E11" s="27">
        <f t="shared" si="1"/>
        <v>0.12795116231162948</v>
      </c>
    </row>
    <row r="12" spans="1:5">
      <c r="A12" s="24">
        <v>46113</v>
      </c>
      <c r="B12" s="26">
        <f>IF(SUMIFS('NSE - NIFTY Index Options'!$L:$L,'NSE - NIFTY Index Options'!$D:$D,$A12,'NSE - NIFTY Index Options'!$B:$B,"Monday")+SUMIFS('NSE - Other Index Options'!$L:$L,'NSE - Other Index Options'!$D:$D,$A12,'NSE - Other Index Options'!$B:$B,"Monday")=0,"",SUMIFS('NSE - NIFTY Index Options'!$L:$L,'NSE - NIFTY Index Options'!$D:$D,$A12,'NSE - NIFTY Index Options'!$B:$B,"Monday")+SUMIFS('NSE - Other Index Options'!$L:$L,'NSE - Other Index Options'!$D:$D,$A12,'NSE - Other Index Options'!$B:$B,"Monday"))</f>
        <v>300947.80000000005</v>
      </c>
      <c r="C12" s="26">
        <f>IF(SUMIFS('BSE - SENSEX Index Options'!$L:$L,'BSE - SENSEX Index Options'!$D:$D,$A12,'BSE - SENSEX Index Options'!$B:$B,"Monday")+SUMIFS('BSE - Other Index Options'!$L:$L,'BSE - Other Index Options'!$D:$D,$A12,'BSE - Other Index Options'!$B:$B,"Monday")=0,"",SUMIFS('BSE - SENSEX Index Options'!$L:$L,'BSE - SENSEX Index Options'!$D:$D,$A12,'BSE - SENSEX Index Options'!$B:$B,"Monday")+SUMIFS('BSE - Other Index Options'!$L:$L,'BSE - Other Index Options'!$D:$D,$A12,'BSE - Other Index Options'!$B:$B,"Monday"))</f>
        <v>49042.14</v>
      </c>
      <c r="D12" s="27">
        <f t="shared" si="0"/>
        <v>0.85987557242359591</v>
      </c>
      <c r="E12" s="27">
        <f t="shared" si="1"/>
        <v>0.14012442757640403</v>
      </c>
    </row>
    <row r="13" spans="1:5">
      <c r="A13" s="24">
        <v>46143</v>
      </c>
      <c r="B13" s="26">
        <f>IF(SUMIFS('NSE - NIFTY Index Options'!$L:$L,'NSE - NIFTY Index Options'!$D:$D,$A13,'NSE - NIFTY Index Options'!$B:$B,"Monday")+SUMIFS('NSE - Other Index Options'!$L:$L,'NSE - Other Index Options'!$D:$D,$A13,'NSE - Other Index Options'!$B:$B,"Monday")=0,"",SUMIFS('NSE - NIFTY Index Options'!$L:$L,'NSE - NIFTY Index Options'!$D:$D,$A13,'NSE - NIFTY Index Options'!$B:$B,"Monday")+SUMIFS('NSE - Other Index Options'!$L:$L,'NSE - Other Index Options'!$D:$D,$A13,'NSE - Other Index Options'!$B:$B,"Monday"))</f>
        <v>275956.82999999996</v>
      </c>
      <c r="C13" s="26">
        <f>IF(SUMIFS('BSE - SENSEX Index Options'!$L:$L,'BSE - SENSEX Index Options'!$D:$D,$A13,'BSE - SENSEX Index Options'!$B:$B,"Monday")+SUMIFS('BSE - Other Index Options'!$L:$L,'BSE - Other Index Options'!$D:$D,$A13,'BSE - Other Index Options'!$B:$B,"Monday")=0,"",SUMIFS('BSE - SENSEX Index Options'!$L:$L,'BSE - SENSEX Index Options'!$D:$D,$A13,'BSE - SENSEX Index Options'!$B:$B,"Monday")+SUMIFS('BSE - Other Index Options'!$L:$L,'BSE - Other Index Options'!$D:$D,$A13,'BSE - Other Index Options'!$B:$B,"Monday"))</f>
        <v>51821.239999999991</v>
      </c>
      <c r="D13" s="27">
        <f t="shared" si="0"/>
        <v>0.84190144264379863</v>
      </c>
      <c r="E13" s="27">
        <f t="shared" si="1"/>
        <v>0.1580985573562014</v>
      </c>
    </row>
    <row r="14" spans="1:5">
      <c r="A14" s="24">
        <v>46174</v>
      </c>
      <c r="B14" s="26">
        <f>IF(SUMIFS('NSE - NIFTY Index Options'!$L:$L,'NSE - NIFTY Index Options'!$D:$D,$A14,'NSE - NIFTY Index Options'!$B:$B,"Monday")+SUMIFS('NSE - Other Index Options'!$L:$L,'NSE - Other Index Options'!$D:$D,$A14,'NSE - Other Index Options'!$B:$B,"Monday")=0,"",SUMIFS('NSE - NIFTY Index Options'!$L:$L,'NSE - NIFTY Index Options'!$D:$D,$A14,'NSE - NIFTY Index Options'!$B:$B,"Monday")+SUMIFS('NSE - Other Index Options'!$L:$L,'NSE - Other Index Options'!$D:$D,$A14,'NSE - Other Index Options'!$B:$B,"Monday"))</f>
        <v>292181.60000000009</v>
      </c>
      <c r="C14" s="26">
        <f>IF(SUMIFS('BSE - SENSEX Index Options'!$L:$L,'BSE - SENSEX Index Options'!$D:$D,$A14,'BSE - SENSEX Index Options'!$B:$B,"Monday")+SUMIFS('BSE - Other Index Options'!$L:$L,'BSE - Other Index Options'!$D:$D,$A14,'BSE - Other Index Options'!$B:$B,"Monday")=0,"",SUMIFS('BSE - SENSEX Index Options'!$L:$L,'BSE - SENSEX Index Options'!$D:$D,$A14,'BSE - SENSEX Index Options'!$B:$B,"Monday")+SUMIFS('BSE - Other Index Options'!$L:$L,'BSE - Other Index Options'!$D:$D,$A14,'BSE - Other Index Options'!$B:$B,"Monday"))</f>
        <v>52472.049999999996</v>
      </c>
      <c r="D14" s="27">
        <f t="shared" si="0"/>
        <v>0.84775425996504039</v>
      </c>
      <c r="E14" s="27">
        <f t="shared" si="1"/>
        <v>0.15224574003495969</v>
      </c>
    </row>
    <row r="15" spans="1:5">
      <c r="A15" s="24">
        <v>46204</v>
      </c>
      <c r="B15" s="26">
        <f>IF(SUMIFS('NSE - NIFTY Index Options'!$L:$L,'NSE - NIFTY Index Options'!$D:$D,$A15,'NSE - NIFTY Index Options'!$B:$B,"Monday")+SUMIFS('NSE - Other Index Options'!$L:$L,'NSE - Other Index Options'!$D:$D,$A15,'NSE - Other Index Options'!$B:$B,"Monday")=0,"",SUMIFS('NSE - NIFTY Index Options'!$L:$L,'NSE - NIFTY Index Options'!$D:$D,$A15,'NSE - NIFTY Index Options'!$B:$B,"Monday")+SUMIFS('NSE - Other Index Options'!$L:$L,'NSE - Other Index Options'!$D:$D,$A15,'NSE - Other Index Options'!$B:$B,"Monday"))</f>
        <v>38844.049999999996</v>
      </c>
      <c r="C15" s="26">
        <f>IF(SUMIFS('BSE - SENSEX Index Options'!$L:$L,'BSE - SENSEX Index Options'!$D:$D,$A15,'BSE - SENSEX Index Options'!$B:$B,"Monday")+SUMIFS('BSE - Other Index Options'!$L:$L,'BSE - Other Index Options'!$D:$D,$A15,'BSE - Other Index Options'!$B:$B,"Monday")=0,"",SUMIFS('BSE - SENSEX Index Options'!$L:$L,'BSE - SENSEX Index Options'!$D:$D,$A15,'BSE - SENSEX Index Options'!$B:$B,"Monday")+SUMIFS('BSE - Other Index Options'!$L:$L,'BSE - Other Index Options'!$D:$D,$A15,'BSE - Other Index Options'!$B:$B,"Monday"))</f>
        <v>8708.01</v>
      </c>
      <c r="D15" s="27">
        <f t="shared" si="0"/>
        <v>0.81687417958338704</v>
      </c>
      <c r="E15" s="27">
        <f t="shared" si="1"/>
        <v>0.18312582041661288</v>
      </c>
    </row>
    <row r="16" spans="1:5" hidden="1" outlineLevel="1">
      <c r="A16" s="24">
        <v>46235</v>
      </c>
      <c r="B16" s="26" t="str">
        <f>IF(SUMIFS('NSE - NIFTY Index Options'!$L:$L,'NSE - NIFTY Index Options'!$D:$D,$A16,'NSE - NIFTY Index Options'!$B:$B,"Monday")+SUMIFS('NSE - Other Index Options'!$L:$L,'NSE - Other Index Options'!$D:$D,$A16,'NSE - Other Index Options'!$B:$B,"Monday")=0,"",SUMIFS('NSE - NIFTY Index Options'!$L:$L,'NSE - NIFTY Index Options'!$D:$D,$A16,'NSE - NIFTY Index Options'!$B:$B,"Monday")+SUMIFS('NSE - Other Index Options'!$L:$L,'NSE - Other Index Options'!$D:$D,$A16,'NSE - Other Index Options'!$B:$B,"Monday"))</f>
        <v/>
      </c>
      <c r="C16" s="26" t="str">
        <f>IF(SUMIFS('BSE - SENSEX Index Options'!$L:$L,'BSE - SENSEX Index Options'!$D:$D,$A16,'BSE - SENSEX Index Options'!$B:$B,"Monday")+SUMIFS('BSE - Other Index Options'!$L:$L,'BSE - Other Index Options'!$D:$D,$A16,'BSE - Other Index Options'!$B:$B,"Monday")=0,"",SUMIFS('BSE - SENSEX Index Options'!$L:$L,'BSE - SENSEX Index Options'!$D:$D,$A16,'BSE - SENSEX Index Options'!$B:$B,"Monday")+SUMIFS('BSE - Other Index Options'!$L:$L,'BSE - Other Index Options'!$D:$D,$A16,'BSE - Other Index Options'!$B:$B,"Monday"))</f>
        <v/>
      </c>
      <c r="D16" s="27" t="str">
        <f t="shared" si="0"/>
        <v/>
      </c>
      <c r="E16" s="27" t="str">
        <f t="shared" si="1"/>
        <v/>
      </c>
    </row>
    <row r="17" spans="1:5" hidden="1" outlineLevel="1">
      <c r="A17" s="24">
        <v>46266</v>
      </c>
      <c r="B17" s="26" t="str">
        <f>IF(SUMIFS('NSE - NIFTY Index Options'!$L:$L,'NSE - NIFTY Index Options'!$D:$D,$A17,'NSE - NIFTY Index Options'!$B:$B,"Monday")+SUMIFS('NSE - Other Index Options'!$L:$L,'NSE - Other Index Options'!$D:$D,$A17,'NSE - Other Index Options'!$B:$B,"Monday")=0,"",SUMIFS('NSE - NIFTY Index Options'!$L:$L,'NSE - NIFTY Index Options'!$D:$D,$A17,'NSE - NIFTY Index Options'!$B:$B,"Monday")+SUMIFS('NSE - Other Index Options'!$L:$L,'NSE - Other Index Options'!$D:$D,$A17,'NSE - Other Index Options'!$B:$B,"Monday"))</f>
        <v/>
      </c>
      <c r="C17" s="26" t="str">
        <f>IF(SUMIFS('BSE - SENSEX Index Options'!$L:$L,'BSE - SENSEX Index Options'!$D:$D,$A17,'BSE - SENSEX Index Options'!$B:$B,"Monday")+SUMIFS('BSE - Other Index Options'!$L:$L,'BSE - Other Index Options'!$D:$D,$A17,'BSE - Other Index Options'!$B:$B,"Monday")=0,"",SUMIFS('BSE - SENSEX Index Options'!$L:$L,'BSE - SENSEX Index Options'!$D:$D,$A17,'BSE - SENSEX Index Options'!$B:$B,"Monday")+SUMIFS('BSE - Other Index Options'!$L:$L,'BSE - Other Index Options'!$D:$D,$A17,'BSE - Other Index Options'!$B:$B,"Monday"))</f>
        <v/>
      </c>
      <c r="D17" s="27" t="str">
        <f t="shared" si="0"/>
        <v/>
      </c>
      <c r="E17" s="27" t="str">
        <f t="shared" si="1"/>
        <v/>
      </c>
    </row>
    <row r="18" spans="1:5" hidden="1" outlineLevel="1">
      <c r="A18" s="24">
        <v>46296</v>
      </c>
      <c r="B18" s="26" t="str">
        <f>IF(SUMIFS('NSE - NIFTY Index Options'!$L:$L,'NSE - NIFTY Index Options'!$D:$D,$A18,'NSE - NIFTY Index Options'!$B:$B,"Monday")+SUMIFS('NSE - Other Index Options'!$L:$L,'NSE - Other Index Options'!$D:$D,$A18,'NSE - Other Index Options'!$B:$B,"Monday")=0,"",SUMIFS('NSE - NIFTY Index Options'!$L:$L,'NSE - NIFTY Index Options'!$D:$D,$A18,'NSE - NIFTY Index Options'!$B:$B,"Monday")+SUMIFS('NSE - Other Index Options'!$L:$L,'NSE - Other Index Options'!$D:$D,$A18,'NSE - Other Index Options'!$B:$B,"Monday"))</f>
        <v/>
      </c>
      <c r="C18" s="26" t="str">
        <f>IF(SUMIFS('BSE - SENSEX Index Options'!$L:$L,'BSE - SENSEX Index Options'!$D:$D,$A18,'BSE - SENSEX Index Options'!$B:$B,"Monday")+SUMIFS('BSE - Other Index Options'!$L:$L,'BSE - Other Index Options'!$D:$D,$A18,'BSE - Other Index Options'!$B:$B,"Monday")=0,"",SUMIFS('BSE - SENSEX Index Options'!$L:$L,'BSE - SENSEX Index Options'!$D:$D,$A18,'BSE - SENSEX Index Options'!$B:$B,"Monday")+SUMIFS('BSE - Other Index Options'!$L:$L,'BSE - Other Index Options'!$D:$D,$A18,'BSE - Other Index Options'!$B:$B,"Monday"))</f>
        <v/>
      </c>
      <c r="D18" s="27" t="str">
        <f t="shared" si="0"/>
        <v/>
      </c>
      <c r="E18" s="27" t="str">
        <f t="shared" si="1"/>
        <v/>
      </c>
    </row>
    <row r="19" spans="1:5" hidden="1" outlineLevel="1">
      <c r="A19" s="24">
        <v>46327</v>
      </c>
      <c r="B19" s="26" t="str">
        <f>IF(SUMIFS('NSE - NIFTY Index Options'!$L:$L,'NSE - NIFTY Index Options'!$D:$D,$A19,'NSE - NIFTY Index Options'!$B:$B,"Monday")+SUMIFS('NSE - Other Index Options'!$L:$L,'NSE - Other Index Options'!$D:$D,$A19,'NSE - Other Index Options'!$B:$B,"Monday")=0,"",SUMIFS('NSE - NIFTY Index Options'!$L:$L,'NSE - NIFTY Index Options'!$D:$D,$A19,'NSE - NIFTY Index Options'!$B:$B,"Monday")+SUMIFS('NSE - Other Index Options'!$L:$L,'NSE - Other Index Options'!$D:$D,$A19,'NSE - Other Index Options'!$B:$B,"Monday"))</f>
        <v/>
      </c>
      <c r="C19" s="26" t="str">
        <f>IF(SUMIFS('BSE - SENSEX Index Options'!$L:$L,'BSE - SENSEX Index Options'!$D:$D,$A19,'BSE - SENSEX Index Options'!$B:$B,"Monday")+SUMIFS('BSE - Other Index Options'!$L:$L,'BSE - Other Index Options'!$D:$D,$A19,'BSE - Other Index Options'!$B:$B,"Monday")=0,"",SUMIFS('BSE - SENSEX Index Options'!$L:$L,'BSE - SENSEX Index Options'!$D:$D,$A19,'BSE - SENSEX Index Options'!$B:$B,"Monday")+SUMIFS('BSE - Other Index Options'!$L:$L,'BSE - Other Index Options'!$D:$D,$A19,'BSE - Other Index Options'!$B:$B,"Monday"))</f>
        <v/>
      </c>
      <c r="D19" s="27" t="str">
        <f t="shared" si="0"/>
        <v/>
      </c>
      <c r="E19" s="27" t="str">
        <f t="shared" si="1"/>
        <v/>
      </c>
    </row>
    <row r="20" spans="1:5" hidden="1" outlineLevel="1">
      <c r="A20" s="24">
        <v>46357</v>
      </c>
      <c r="B20" s="26" t="str">
        <f>IF(SUMIFS('NSE - NIFTY Index Options'!$L:$L,'NSE - NIFTY Index Options'!$D:$D,$A20,'NSE - NIFTY Index Options'!$B:$B,"Monday")+SUMIFS('NSE - Other Index Options'!$L:$L,'NSE - Other Index Options'!$D:$D,$A20,'NSE - Other Index Options'!$B:$B,"Monday")=0,"",SUMIFS('NSE - NIFTY Index Options'!$L:$L,'NSE - NIFTY Index Options'!$D:$D,$A20,'NSE - NIFTY Index Options'!$B:$B,"Monday")+SUMIFS('NSE - Other Index Options'!$L:$L,'NSE - Other Index Options'!$D:$D,$A20,'NSE - Other Index Options'!$B:$B,"Monday"))</f>
        <v/>
      </c>
      <c r="C20" s="26" t="str">
        <f>IF(SUMIFS('BSE - SENSEX Index Options'!$L:$L,'BSE - SENSEX Index Options'!$D:$D,$A20,'BSE - SENSEX Index Options'!$B:$B,"Monday")+SUMIFS('BSE - Other Index Options'!$L:$L,'BSE - Other Index Options'!$D:$D,$A20,'BSE - Other Index Options'!$B:$B,"Monday")=0,"",SUMIFS('BSE - SENSEX Index Options'!$L:$L,'BSE - SENSEX Index Options'!$D:$D,$A20,'BSE - SENSEX Index Options'!$B:$B,"Monday")+SUMIFS('BSE - Other Index Options'!$L:$L,'BSE - Other Index Options'!$D:$D,$A20,'BSE - Other Index Options'!$B:$B,"Monday"))</f>
        <v/>
      </c>
      <c r="D20" s="27" t="str">
        <f t="shared" si="0"/>
        <v/>
      </c>
      <c r="E20" s="27" t="str">
        <f t="shared" si="1"/>
        <v/>
      </c>
    </row>
    <row r="21" spans="1:5" hidden="1" outlineLevel="1">
      <c r="A21" s="24">
        <v>46388</v>
      </c>
      <c r="B21" s="26" t="str">
        <f>IF(SUMIFS('NSE - NIFTY Index Options'!$L:$L,'NSE - NIFTY Index Options'!$D:$D,$A21,'NSE - NIFTY Index Options'!$B:$B,"Monday")+SUMIFS('NSE - Other Index Options'!$L:$L,'NSE - Other Index Options'!$D:$D,$A21,'NSE - Other Index Options'!$B:$B,"Monday")=0,"",SUMIFS('NSE - NIFTY Index Options'!$L:$L,'NSE - NIFTY Index Options'!$D:$D,$A21,'NSE - NIFTY Index Options'!$B:$B,"Monday")+SUMIFS('NSE - Other Index Options'!$L:$L,'NSE - Other Index Options'!$D:$D,$A21,'NSE - Other Index Options'!$B:$B,"Monday"))</f>
        <v/>
      </c>
      <c r="C21" s="26" t="str">
        <f>IF(SUMIFS('BSE - SENSEX Index Options'!$L:$L,'BSE - SENSEX Index Options'!$D:$D,$A21,'BSE - SENSEX Index Options'!$B:$B,"Monday")+SUMIFS('BSE - Other Index Options'!$L:$L,'BSE - Other Index Options'!$D:$D,$A21,'BSE - Other Index Options'!$B:$B,"Monday")=0,"",SUMIFS('BSE - SENSEX Index Options'!$L:$L,'BSE - SENSEX Index Options'!$D:$D,$A21,'BSE - SENSEX Index Options'!$B:$B,"Monday")+SUMIFS('BSE - Other Index Options'!$L:$L,'BSE - Other Index Options'!$D:$D,$A21,'BSE - Other Index Options'!$B:$B,"Monday"))</f>
        <v/>
      </c>
      <c r="D21" s="27" t="str">
        <f t="shared" si="0"/>
        <v/>
      </c>
      <c r="E21" s="27" t="str">
        <f t="shared" si="1"/>
        <v/>
      </c>
    </row>
    <row r="22" spans="1:5" hidden="1" outlineLevel="1">
      <c r="A22" s="24">
        <v>46419</v>
      </c>
      <c r="B22" s="26" t="str">
        <f>IF(SUMIFS('NSE - NIFTY Index Options'!$L:$L,'NSE - NIFTY Index Options'!$D:$D,$A22,'NSE - NIFTY Index Options'!$B:$B,"Monday")+SUMIFS('NSE - Other Index Options'!$L:$L,'NSE - Other Index Options'!$D:$D,$A22,'NSE - Other Index Options'!$B:$B,"Monday")=0,"",SUMIFS('NSE - NIFTY Index Options'!$L:$L,'NSE - NIFTY Index Options'!$D:$D,$A22,'NSE - NIFTY Index Options'!$B:$B,"Monday")+SUMIFS('NSE - Other Index Options'!$L:$L,'NSE - Other Index Options'!$D:$D,$A22,'NSE - Other Index Options'!$B:$B,"Monday"))</f>
        <v/>
      </c>
      <c r="C22" s="26" t="str">
        <f>IF(SUMIFS('BSE - SENSEX Index Options'!$L:$L,'BSE - SENSEX Index Options'!$D:$D,$A22,'BSE - SENSEX Index Options'!$B:$B,"Monday")+SUMIFS('BSE - Other Index Options'!$L:$L,'BSE - Other Index Options'!$D:$D,$A22,'BSE - Other Index Options'!$B:$B,"Monday")=0,"",SUMIFS('BSE - SENSEX Index Options'!$L:$L,'BSE - SENSEX Index Options'!$D:$D,$A22,'BSE - SENSEX Index Options'!$B:$B,"Monday")+SUMIFS('BSE - Other Index Options'!$L:$L,'BSE - Other Index Options'!$D:$D,$A22,'BSE - Other Index Options'!$B:$B,"Monday"))</f>
        <v/>
      </c>
      <c r="D22" s="27" t="str">
        <f t="shared" si="0"/>
        <v/>
      </c>
      <c r="E22" s="27" t="str">
        <f t="shared" si="1"/>
        <v/>
      </c>
    </row>
    <row r="23" spans="1:5" hidden="1" outlineLevel="1">
      <c r="A23" s="24">
        <v>46447</v>
      </c>
      <c r="B23" s="26" t="str">
        <f>IF(SUMIFS('NSE - NIFTY Index Options'!$L:$L,'NSE - NIFTY Index Options'!$D:$D,$A23,'NSE - NIFTY Index Options'!$B:$B,"Monday")+SUMIFS('NSE - Other Index Options'!$L:$L,'NSE - Other Index Options'!$D:$D,$A23,'NSE - Other Index Options'!$B:$B,"Monday")=0,"",SUMIFS('NSE - NIFTY Index Options'!$L:$L,'NSE - NIFTY Index Options'!$D:$D,$A23,'NSE - NIFTY Index Options'!$B:$B,"Monday")+SUMIFS('NSE - Other Index Options'!$L:$L,'NSE - Other Index Options'!$D:$D,$A23,'NSE - Other Index Options'!$B:$B,"Monday"))</f>
        <v/>
      </c>
      <c r="C23" s="26" t="str">
        <f>IF(SUMIFS('BSE - SENSEX Index Options'!$L:$L,'BSE - SENSEX Index Options'!$D:$D,$A23,'BSE - SENSEX Index Options'!$B:$B,"Monday")+SUMIFS('BSE - Other Index Options'!$L:$L,'BSE - Other Index Options'!$D:$D,$A23,'BSE - Other Index Options'!$B:$B,"Monday")=0,"",SUMIFS('BSE - SENSEX Index Options'!$L:$L,'BSE - SENSEX Index Options'!$D:$D,$A23,'BSE - SENSEX Index Options'!$B:$B,"Monday")+SUMIFS('BSE - Other Index Options'!$L:$L,'BSE - Other Index Options'!$D:$D,$A23,'BSE - Other Index Options'!$B:$B,"Monday"))</f>
        <v/>
      </c>
      <c r="D23" s="27" t="str">
        <f t="shared" si="0"/>
        <v/>
      </c>
      <c r="E23" s="27" t="str">
        <f t="shared" si="1"/>
        <v/>
      </c>
    </row>
    <row r="24" spans="1:5" hidden="1" outlineLevel="1">
      <c r="A24" s="24">
        <v>46478</v>
      </c>
      <c r="B24" s="26" t="str">
        <f>IF(SUMIFS('NSE - NIFTY Index Options'!$L:$L,'NSE - NIFTY Index Options'!$D:$D,$A24,'NSE - NIFTY Index Options'!$B:$B,"Monday")+SUMIFS('NSE - Other Index Options'!$L:$L,'NSE - Other Index Options'!$D:$D,$A24,'NSE - Other Index Options'!$B:$B,"Monday")=0,"",SUMIFS('NSE - NIFTY Index Options'!$L:$L,'NSE - NIFTY Index Options'!$D:$D,$A24,'NSE - NIFTY Index Options'!$B:$B,"Monday")+SUMIFS('NSE - Other Index Options'!$L:$L,'NSE - Other Index Options'!$D:$D,$A24,'NSE - Other Index Options'!$B:$B,"Monday"))</f>
        <v/>
      </c>
      <c r="C24" s="26" t="str">
        <f>IF(SUMIFS('BSE - SENSEX Index Options'!$L:$L,'BSE - SENSEX Index Options'!$D:$D,$A24,'BSE - SENSEX Index Options'!$B:$B,"Monday")+SUMIFS('BSE - Other Index Options'!$L:$L,'BSE - Other Index Options'!$D:$D,$A24,'BSE - Other Index Options'!$B:$B,"Monday")=0,"",SUMIFS('BSE - SENSEX Index Options'!$L:$L,'BSE - SENSEX Index Options'!$D:$D,$A24,'BSE - SENSEX Index Options'!$B:$B,"Monday")+SUMIFS('BSE - Other Index Options'!$L:$L,'BSE - Other Index Options'!$D:$D,$A24,'BSE - Other Index Options'!$B:$B,"Monday"))</f>
        <v/>
      </c>
      <c r="D24" s="27" t="str">
        <f t="shared" si="0"/>
        <v/>
      </c>
      <c r="E24" s="27" t="str">
        <f t="shared" si="1"/>
        <v/>
      </c>
    </row>
    <row r="25" spans="1:5" hidden="1" outlineLevel="1">
      <c r="A25" s="24">
        <v>46508</v>
      </c>
      <c r="B25" s="26" t="str">
        <f>IF(SUMIFS('NSE - NIFTY Index Options'!$L:$L,'NSE - NIFTY Index Options'!$D:$D,$A25,'NSE - NIFTY Index Options'!$B:$B,"Monday")+SUMIFS('NSE - Other Index Options'!$L:$L,'NSE - Other Index Options'!$D:$D,$A25,'NSE - Other Index Options'!$B:$B,"Monday")=0,"",SUMIFS('NSE - NIFTY Index Options'!$L:$L,'NSE - NIFTY Index Options'!$D:$D,$A25,'NSE - NIFTY Index Options'!$B:$B,"Monday")+SUMIFS('NSE - Other Index Options'!$L:$L,'NSE - Other Index Options'!$D:$D,$A25,'NSE - Other Index Options'!$B:$B,"Monday"))</f>
        <v/>
      </c>
      <c r="C25" s="26" t="str">
        <f>IF(SUMIFS('BSE - SENSEX Index Options'!$L:$L,'BSE - SENSEX Index Options'!$D:$D,$A25,'BSE - SENSEX Index Options'!$B:$B,"Monday")+SUMIFS('BSE - Other Index Options'!$L:$L,'BSE - Other Index Options'!$D:$D,$A25,'BSE - Other Index Options'!$B:$B,"Monday")=0,"",SUMIFS('BSE - SENSEX Index Options'!$L:$L,'BSE - SENSEX Index Options'!$D:$D,$A25,'BSE - SENSEX Index Options'!$B:$B,"Monday")+SUMIFS('BSE - Other Index Options'!$L:$L,'BSE - Other Index Options'!$D:$D,$A25,'BSE - Other Index Options'!$B:$B,"Monday"))</f>
        <v/>
      </c>
      <c r="D25" s="27" t="str">
        <f t="shared" si="0"/>
        <v/>
      </c>
      <c r="E25" s="27" t="str">
        <f t="shared" si="1"/>
        <v/>
      </c>
    </row>
    <row r="26" spans="1:5" hidden="1" outlineLevel="1">
      <c r="A26" s="24">
        <v>46539</v>
      </c>
      <c r="B26" s="26" t="str">
        <f>IF(SUMIFS('NSE - NIFTY Index Options'!$L:$L,'NSE - NIFTY Index Options'!$D:$D,$A26,'NSE - NIFTY Index Options'!$B:$B,"Monday")+SUMIFS('NSE - Other Index Options'!$L:$L,'NSE - Other Index Options'!$D:$D,$A26,'NSE - Other Index Options'!$B:$B,"Monday")=0,"",SUMIFS('NSE - NIFTY Index Options'!$L:$L,'NSE - NIFTY Index Options'!$D:$D,$A26,'NSE - NIFTY Index Options'!$B:$B,"Monday")+SUMIFS('NSE - Other Index Options'!$L:$L,'NSE - Other Index Options'!$D:$D,$A26,'NSE - Other Index Options'!$B:$B,"Monday"))</f>
        <v/>
      </c>
      <c r="C26" s="26" t="str">
        <f>IF(SUMIFS('BSE - SENSEX Index Options'!$L:$L,'BSE - SENSEX Index Options'!$D:$D,$A26,'BSE - SENSEX Index Options'!$B:$B,"Monday")+SUMIFS('BSE - Other Index Options'!$L:$L,'BSE - Other Index Options'!$D:$D,$A26,'BSE - Other Index Options'!$B:$B,"Monday")=0,"",SUMIFS('BSE - SENSEX Index Options'!$L:$L,'BSE - SENSEX Index Options'!$D:$D,$A26,'BSE - SENSEX Index Options'!$B:$B,"Monday")+SUMIFS('BSE - Other Index Options'!$L:$L,'BSE - Other Index Options'!$D:$D,$A26,'BSE - Other Index Options'!$B:$B,"Monday"))</f>
        <v/>
      </c>
      <c r="D26" s="27" t="str">
        <f t="shared" si="0"/>
        <v/>
      </c>
      <c r="E26" s="27" t="str">
        <f t="shared" si="1"/>
        <v/>
      </c>
    </row>
    <row r="27" spans="1:5" hidden="1" outlineLevel="1">
      <c r="A27" s="24">
        <v>46569</v>
      </c>
      <c r="B27" s="26" t="str">
        <f>IF(SUMIFS('NSE - NIFTY Index Options'!$L:$L,'NSE - NIFTY Index Options'!$D:$D,$A27,'NSE - NIFTY Index Options'!$B:$B,"Monday")+SUMIFS('NSE - Other Index Options'!$L:$L,'NSE - Other Index Options'!$D:$D,$A27,'NSE - Other Index Options'!$B:$B,"Monday")=0,"",SUMIFS('NSE - NIFTY Index Options'!$L:$L,'NSE - NIFTY Index Options'!$D:$D,$A27,'NSE - NIFTY Index Options'!$B:$B,"Monday")+SUMIFS('NSE - Other Index Options'!$L:$L,'NSE - Other Index Options'!$D:$D,$A27,'NSE - Other Index Options'!$B:$B,"Monday"))</f>
        <v/>
      </c>
      <c r="C27" s="26" t="str">
        <f>IF(SUMIFS('BSE - SENSEX Index Options'!$L:$L,'BSE - SENSEX Index Options'!$D:$D,$A27,'BSE - SENSEX Index Options'!$B:$B,"Monday")+SUMIFS('BSE - Other Index Options'!$L:$L,'BSE - Other Index Options'!$D:$D,$A27,'BSE - Other Index Options'!$B:$B,"Monday")=0,"",SUMIFS('BSE - SENSEX Index Options'!$L:$L,'BSE - SENSEX Index Options'!$D:$D,$A27,'BSE - SENSEX Index Options'!$B:$B,"Monday")+SUMIFS('BSE - Other Index Options'!$L:$L,'BSE - Other Index Options'!$D:$D,$A27,'BSE - Other Index Options'!$B:$B,"Monday"))</f>
        <v/>
      </c>
      <c r="D27" s="27" t="str">
        <f t="shared" si="0"/>
        <v/>
      </c>
      <c r="E27" s="27" t="str">
        <f t="shared" si="1"/>
        <v/>
      </c>
    </row>
    <row r="28" spans="1:5" hidden="1" outlineLevel="1">
      <c r="A28" s="24">
        <v>46600</v>
      </c>
      <c r="B28" s="26" t="str">
        <f>IF(SUMIFS('NSE - NIFTY Index Options'!$L:$L,'NSE - NIFTY Index Options'!$D:$D,$A28,'NSE - NIFTY Index Options'!$B:$B,"Monday")+SUMIFS('NSE - Other Index Options'!$L:$L,'NSE - Other Index Options'!$D:$D,$A28,'NSE - Other Index Options'!$B:$B,"Monday")=0,"",SUMIFS('NSE - NIFTY Index Options'!$L:$L,'NSE - NIFTY Index Options'!$D:$D,$A28,'NSE - NIFTY Index Options'!$B:$B,"Monday")+SUMIFS('NSE - Other Index Options'!$L:$L,'NSE - Other Index Options'!$D:$D,$A28,'NSE - Other Index Options'!$B:$B,"Monday"))</f>
        <v/>
      </c>
      <c r="C28" s="26" t="str">
        <f>IF(SUMIFS('BSE - SENSEX Index Options'!$L:$L,'BSE - SENSEX Index Options'!$D:$D,$A28,'BSE - SENSEX Index Options'!$B:$B,"Monday")+SUMIFS('BSE - Other Index Options'!$L:$L,'BSE - Other Index Options'!$D:$D,$A28,'BSE - Other Index Options'!$B:$B,"Monday")=0,"",SUMIFS('BSE - SENSEX Index Options'!$L:$L,'BSE - SENSEX Index Options'!$D:$D,$A28,'BSE - SENSEX Index Options'!$B:$B,"Monday")+SUMIFS('BSE - Other Index Options'!$L:$L,'BSE - Other Index Options'!$D:$D,$A28,'BSE - Other Index Options'!$B:$B,"Monday"))</f>
        <v/>
      </c>
      <c r="D28" s="27" t="str">
        <f t="shared" si="0"/>
        <v/>
      </c>
      <c r="E28" s="27" t="str">
        <f t="shared" si="1"/>
        <v/>
      </c>
    </row>
    <row r="29" spans="1:5" hidden="1" outlineLevel="1">
      <c r="A29" s="24">
        <v>46631</v>
      </c>
      <c r="B29" s="26" t="str">
        <f>IF(SUMIFS('NSE - NIFTY Index Options'!$L:$L,'NSE - NIFTY Index Options'!$D:$D,$A29,'NSE - NIFTY Index Options'!$B:$B,"Monday")+SUMIFS('NSE - Other Index Options'!$L:$L,'NSE - Other Index Options'!$D:$D,$A29,'NSE - Other Index Options'!$B:$B,"Monday")=0,"",SUMIFS('NSE - NIFTY Index Options'!$L:$L,'NSE - NIFTY Index Options'!$D:$D,$A29,'NSE - NIFTY Index Options'!$B:$B,"Monday")+SUMIFS('NSE - Other Index Options'!$L:$L,'NSE - Other Index Options'!$D:$D,$A29,'NSE - Other Index Options'!$B:$B,"Monday"))</f>
        <v/>
      </c>
      <c r="C29" s="26" t="str">
        <f>IF(SUMIFS('BSE - SENSEX Index Options'!$L:$L,'BSE - SENSEX Index Options'!$D:$D,$A29,'BSE - SENSEX Index Options'!$B:$B,"Monday")+SUMIFS('BSE - Other Index Options'!$L:$L,'BSE - Other Index Options'!$D:$D,$A29,'BSE - Other Index Options'!$B:$B,"Monday")=0,"",SUMIFS('BSE - SENSEX Index Options'!$L:$L,'BSE - SENSEX Index Options'!$D:$D,$A29,'BSE - SENSEX Index Options'!$B:$B,"Monday")+SUMIFS('BSE - Other Index Options'!$L:$L,'BSE - Other Index Options'!$D:$D,$A29,'BSE - Other Index Options'!$B:$B,"Monday"))</f>
        <v/>
      </c>
      <c r="D29" s="27" t="str">
        <f t="shared" si="0"/>
        <v/>
      </c>
      <c r="E29" s="27" t="str">
        <f t="shared" si="1"/>
        <v/>
      </c>
    </row>
    <row r="30" spans="1:5" hidden="1" outlineLevel="1">
      <c r="A30" s="24">
        <v>46661</v>
      </c>
      <c r="B30" s="26" t="str">
        <f>IF(SUMIFS('NSE - NIFTY Index Options'!$L:$L,'NSE - NIFTY Index Options'!$D:$D,$A30,'NSE - NIFTY Index Options'!$B:$B,"Monday")+SUMIFS('NSE - Other Index Options'!$L:$L,'NSE - Other Index Options'!$D:$D,$A30,'NSE - Other Index Options'!$B:$B,"Monday")=0,"",SUMIFS('NSE - NIFTY Index Options'!$L:$L,'NSE - NIFTY Index Options'!$D:$D,$A30,'NSE - NIFTY Index Options'!$B:$B,"Monday")+SUMIFS('NSE - Other Index Options'!$L:$L,'NSE - Other Index Options'!$D:$D,$A30,'NSE - Other Index Options'!$B:$B,"Monday"))</f>
        <v/>
      </c>
      <c r="C30" s="26" t="str">
        <f>IF(SUMIFS('BSE - SENSEX Index Options'!$L:$L,'BSE - SENSEX Index Options'!$D:$D,$A30,'BSE - SENSEX Index Options'!$B:$B,"Monday")+SUMIFS('BSE - Other Index Options'!$L:$L,'BSE - Other Index Options'!$D:$D,$A30,'BSE - Other Index Options'!$B:$B,"Monday")=0,"",SUMIFS('BSE - SENSEX Index Options'!$L:$L,'BSE - SENSEX Index Options'!$D:$D,$A30,'BSE - SENSEX Index Options'!$B:$B,"Monday")+SUMIFS('BSE - Other Index Options'!$L:$L,'BSE - Other Index Options'!$D:$D,$A30,'BSE - Other Index Options'!$B:$B,"Monday"))</f>
        <v/>
      </c>
      <c r="D30" s="27" t="str">
        <f t="shared" si="0"/>
        <v/>
      </c>
      <c r="E30" s="27" t="str">
        <f t="shared" si="1"/>
        <v/>
      </c>
    </row>
    <row r="31" spans="1:5" hidden="1" outlineLevel="1">
      <c r="A31" s="24">
        <v>46692</v>
      </c>
      <c r="B31" s="26" t="str">
        <f>IF(SUMIFS('NSE - NIFTY Index Options'!$L:$L,'NSE - NIFTY Index Options'!$D:$D,$A31,'NSE - NIFTY Index Options'!$B:$B,"Monday")+SUMIFS('NSE - Other Index Options'!$L:$L,'NSE - Other Index Options'!$D:$D,$A31,'NSE - Other Index Options'!$B:$B,"Monday")=0,"",SUMIFS('NSE - NIFTY Index Options'!$L:$L,'NSE - NIFTY Index Options'!$D:$D,$A31,'NSE - NIFTY Index Options'!$B:$B,"Monday")+SUMIFS('NSE - Other Index Options'!$L:$L,'NSE - Other Index Options'!$D:$D,$A31,'NSE - Other Index Options'!$B:$B,"Monday"))</f>
        <v/>
      </c>
      <c r="C31" s="26" t="str">
        <f>IF(SUMIFS('BSE - SENSEX Index Options'!$L:$L,'BSE - SENSEX Index Options'!$D:$D,$A31,'BSE - SENSEX Index Options'!$B:$B,"Monday")+SUMIFS('BSE - Other Index Options'!$L:$L,'BSE - Other Index Options'!$D:$D,$A31,'BSE - Other Index Options'!$B:$B,"Monday")=0,"",SUMIFS('BSE - SENSEX Index Options'!$L:$L,'BSE - SENSEX Index Options'!$D:$D,$A31,'BSE - SENSEX Index Options'!$B:$B,"Monday")+SUMIFS('BSE - Other Index Options'!$L:$L,'BSE - Other Index Options'!$D:$D,$A31,'BSE - Other Index Options'!$B:$B,"Monday"))</f>
        <v/>
      </c>
      <c r="D31" s="27" t="str">
        <f t="shared" si="0"/>
        <v/>
      </c>
      <c r="E31" s="27" t="str">
        <f t="shared" si="1"/>
        <v/>
      </c>
    </row>
    <row r="32" spans="1:5" hidden="1" outlineLevel="1">
      <c r="A32" s="24">
        <v>46722</v>
      </c>
      <c r="B32" s="26" t="str">
        <f>IF(SUMIFS('NSE - NIFTY Index Options'!$L:$L,'NSE - NIFTY Index Options'!$D:$D,$A32,'NSE - NIFTY Index Options'!$B:$B,"Monday")+SUMIFS('NSE - Other Index Options'!$L:$L,'NSE - Other Index Options'!$D:$D,$A32,'NSE - Other Index Options'!$B:$B,"Monday")=0,"",SUMIFS('NSE - NIFTY Index Options'!$L:$L,'NSE - NIFTY Index Options'!$D:$D,$A32,'NSE - NIFTY Index Options'!$B:$B,"Monday")+SUMIFS('NSE - Other Index Options'!$L:$L,'NSE - Other Index Options'!$D:$D,$A32,'NSE - Other Index Options'!$B:$B,"Monday"))</f>
        <v/>
      </c>
      <c r="C32" s="26" t="str">
        <f>IF(SUMIFS('BSE - SENSEX Index Options'!$L:$L,'BSE - SENSEX Index Options'!$D:$D,$A32,'BSE - SENSEX Index Options'!$B:$B,"Monday")+SUMIFS('BSE - Other Index Options'!$L:$L,'BSE - Other Index Options'!$D:$D,$A32,'BSE - Other Index Options'!$B:$B,"Monday")=0,"",SUMIFS('BSE - SENSEX Index Options'!$L:$L,'BSE - SENSEX Index Options'!$D:$D,$A32,'BSE - SENSEX Index Options'!$B:$B,"Monday")+SUMIFS('BSE - Other Index Options'!$L:$L,'BSE - Other Index Options'!$D:$D,$A32,'BSE - Other Index Options'!$B:$B,"Monday"))</f>
        <v/>
      </c>
      <c r="D32" s="27" t="str">
        <f t="shared" si="0"/>
        <v/>
      </c>
      <c r="E32" s="27" t="str">
        <f t="shared" si="1"/>
        <v/>
      </c>
    </row>
    <row r="33" spans="1:5" collapsed="1">
      <c r="A33" s="28" t="s">
        <v>9</v>
      </c>
      <c r="B33" s="30">
        <f>IF(SUM(B5:B32)=0,"",SUM(B5:B32))</f>
        <v>2784965.28</v>
      </c>
      <c r="C33" s="30">
        <f>IF(SUM(C5:C32)=0,"",SUM(C5:C32))</f>
        <v>491820.11</v>
      </c>
      <c r="D33" s="31">
        <f t="shared" si="0"/>
        <v>0.84990774449223239</v>
      </c>
      <c r="E33" s="31">
        <f t="shared" si="1"/>
        <v>0.15009225550776764</v>
      </c>
    </row>
    <row r="35" spans="1:5">
      <c r="A35" s="28" t="s">
        <v>178</v>
      </c>
    </row>
    <row r="36" spans="1:5">
      <c r="A36" s="28" t="s">
        <v>169</v>
      </c>
      <c r="B36" s="28" t="s">
        <v>1</v>
      </c>
      <c r="C36" s="28" t="s">
        <v>148</v>
      </c>
      <c r="D36" s="28" t="s">
        <v>149</v>
      </c>
      <c r="E36" s="28" t="s">
        <v>150</v>
      </c>
    </row>
    <row r="37" spans="1:5">
      <c r="A37" s="24">
        <v>45901</v>
      </c>
      <c r="B37" s="26">
        <f>IF(SUMIFS('NSE - NIFTY Index Options'!$L:$L,'NSE - NIFTY Index Options'!$D:$D,$A37,'NSE - NIFTY Index Options'!$B:$B,"Tuesday")+SUMIFS('NSE - Other Index Options'!$L:$L,'NSE - Other Index Options'!$D:$D,$A37,'NSE - Other Index Options'!$B:$B,"Tuesday")=0,"",SUMIFS('NSE - NIFTY Index Options'!$L:$L,'NSE - NIFTY Index Options'!$D:$D,$A37,'NSE - NIFTY Index Options'!$B:$B,"Tuesday")+SUMIFS('NSE - Other Index Options'!$L:$L,'NSE - Other Index Options'!$D:$D,$A37,'NSE - Other Index Options'!$B:$B,"Tuesday"))</f>
        <v>295244.49000000005</v>
      </c>
      <c r="C37" s="26">
        <f>IF(SUMIFS('BSE - SENSEX Index Options'!$L:$L,'BSE - SENSEX Index Options'!$D:$D,$A37,'BSE - SENSEX Index Options'!$B:$B,"Tuesday")+SUMIFS('BSE - Other Index Options'!$L:$L,'BSE - Other Index Options'!$D:$D,$A37,'BSE - Other Index Options'!$B:$B,"Tuesday")=0,"",SUMIFS('BSE - SENSEX Index Options'!$L:$L,'BSE - SENSEX Index Options'!$D:$D,$A37,'BSE - SENSEX Index Options'!$B:$B,"Tuesday")+SUMIFS('BSE - Other Index Options'!$L:$L,'BSE - Other Index Options'!$D:$D,$A37,'BSE - Other Index Options'!$B:$B,"Tuesday"))</f>
        <v>41472.369999999995</v>
      </c>
      <c r="D37" s="27">
        <f t="shared" ref="D37:D65" si="2">IF(SUM(B37:C37)=0,"",SUM(B37)/SUM(B37:C37))</f>
        <v>0.87683310541681814</v>
      </c>
      <c r="E37" s="27">
        <f t="shared" ref="E37:E65" si="3">IF(SUM(B37:C37)=0,"",SUM(C37)/SUM(B37:C37))</f>
        <v>0.12316689458318182</v>
      </c>
    </row>
    <row r="38" spans="1:5">
      <c r="A38" s="24">
        <v>45931</v>
      </c>
      <c r="B38" s="26">
        <f>IF(SUMIFS('NSE - NIFTY Index Options'!$L:$L,'NSE - NIFTY Index Options'!$D:$D,$A38,'NSE - NIFTY Index Options'!$B:$B,"Tuesday")+SUMIFS('NSE - Other Index Options'!$L:$L,'NSE - Other Index Options'!$D:$D,$A38,'NSE - Other Index Options'!$B:$B,"Tuesday")=0,"",SUMIFS('NSE - NIFTY Index Options'!$L:$L,'NSE - NIFTY Index Options'!$D:$D,$A38,'NSE - NIFTY Index Options'!$B:$B,"Tuesday")+SUMIFS('NSE - Other Index Options'!$L:$L,'NSE - Other Index Options'!$D:$D,$A38,'NSE - Other Index Options'!$B:$B,"Tuesday"))</f>
        <v>235273.76</v>
      </c>
      <c r="C38" s="26">
        <f>IF(SUMIFS('BSE - SENSEX Index Options'!$L:$L,'BSE - SENSEX Index Options'!$D:$D,$A38,'BSE - SENSEX Index Options'!$B:$B,"Tuesday")+SUMIFS('BSE - Other Index Options'!$L:$L,'BSE - Other Index Options'!$D:$D,$A38,'BSE - Other Index Options'!$B:$B,"Tuesday")=0,"",SUMIFS('BSE - SENSEX Index Options'!$L:$L,'BSE - SENSEX Index Options'!$D:$D,$A38,'BSE - SENSEX Index Options'!$B:$B,"Tuesday")+SUMIFS('BSE - Other Index Options'!$L:$L,'BSE - Other Index Options'!$D:$D,$A38,'BSE - Other Index Options'!$B:$B,"Tuesday"))</f>
        <v>36671.18</v>
      </c>
      <c r="D38" s="27">
        <f t="shared" si="2"/>
        <v>0.86515218852757481</v>
      </c>
      <c r="E38" s="27">
        <f t="shared" si="3"/>
        <v>0.13484781147242528</v>
      </c>
    </row>
    <row r="39" spans="1:5">
      <c r="A39" s="24">
        <v>45962</v>
      </c>
      <c r="B39" s="26">
        <f>IF(SUMIFS('NSE - NIFTY Index Options'!$L:$L,'NSE - NIFTY Index Options'!$D:$D,$A39,'NSE - NIFTY Index Options'!$B:$B,"Tuesday")+SUMIFS('NSE - Other Index Options'!$L:$L,'NSE - Other Index Options'!$D:$D,$A39,'NSE - Other Index Options'!$B:$B,"Tuesday")=0,"",SUMIFS('NSE - NIFTY Index Options'!$L:$L,'NSE - NIFTY Index Options'!$D:$D,$A39,'NSE - NIFTY Index Options'!$B:$B,"Tuesday")+SUMIFS('NSE - Other Index Options'!$L:$L,'NSE - Other Index Options'!$D:$D,$A39,'NSE - Other Index Options'!$B:$B,"Tuesday"))</f>
        <v>258753.37</v>
      </c>
      <c r="C39" s="26">
        <f>IF(SUMIFS('BSE - SENSEX Index Options'!$L:$L,'BSE - SENSEX Index Options'!$D:$D,$A39,'BSE - SENSEX Index Options'!$B:$B,"Tuesday")+SUMIFS('BSE - Other Index Options'!$L:$L,'BSE - Other Index Options'!$D:$D,$A39,'BSE - Other Index Options'!$B:$B,"Tuesday")=0,"",SUMIFS('BSE - SENSEX Index Options'!$L:$L,'BSE - SENSEX Index Options'!$D:$D,$A39,'BSE - SENSEX Index Options'!$B:$B,"Tuesday")+SUMIFS('BSE - Other Index Options'!$L:$L,'BSE - Other Index Options'!$D:$D,$A39,'BSE - Other Index Options'!$B:$B,"Tuesday"))</f>
        <v>37451.269999999997</v>
      </c>
      <c r="D39" s="27">
        <f t="shared" si="2"/>
        <v>0.87356285168253944</v>
      </c>
      <c r="E39" s="27">
        <f t="shared" si="3"/>
        <v>0.1264371483174605</v>
      </c>
    </row>
    <row r="40" spans="1:5">
      <c r="A40" s="24">
        <v>45992</v>
      </c>
      <c r="B40" s="26">
        <f>IF(SUMIFS('NSE - NIFTY Index Options'!$L:$L,'NSE - NIFTY Index Options'!$D:$D,$A40,'NSE - NIFTY Index Options'!$B:$B,"Tuesday")+SUMIFS('NSE - Other Index Options'!$L:$L,'NSE - Other Index Options'!$D:$D,$A40,'NSE - Other Index Options'!$B:$B,"Tuesday")=0,"",SUMIFS('NSE - NIFTY Index Options'!$L:$L,'NSE - NIFTY Index Options'!$D:$D,$A40,'NSE - NIFTY Index Options'!$B:$B,"Tuesday")+SUMIFS('NSE - Other Index Options'!$L:$L,'NSE - Other Index Options'!$D:$D,$A40,'NSE - Other Index Options'!$B:$B,"Tuesday"))</f>
        <v>294368.68999999994</v>
      </c>
      <c r="C40" s="26">
        <f>IF(SUMIFS('BSE - SENSEX Index Options'!$L:$L,'BSE - SENSEX Index Options'!$D:$D,$A40,'BSE - SENSEX Index Options'!$B:$B,"Tuesday")+SUMIFS('BSE - Other Index Options'!$L:$L,'BSE - Other Index Options'!$D:$D,$A40,'BSE - Other Index Options'!$B:$B,"Tuesday")=0,"",SUMIFS('BSE - SENSEX Index Options'!$L:$L,'BSE - SENSEX Index Options'!$D:$D,$A40,'BSE - SENSEX Index Options'!$B:$B,"Tuesday")+SUMIFS('BSE - Other Index Options'!$L:$L,'BSE - Other Index Options'!$D:$D,$A40,'BSE - Other Index Options'!$B:$B,"Tuesday"))</f>
        <v>44711.590000000011</v>
      </c>
      <c r="D40" s="27">
        <f t="shared" si="2"/>
        <v>0.86813863076909092</v>
      </c>
      <c r="E40" s="27">
        <f t="shared" si="3"/>
        <v>0.13186136923090902</v>
      </c>
    </row>
    <row r="41" spans="1:5">
      <c r="A41" s="24">
        <v>46023</v>
      </c>
      <c r="B41" s="26">
        <f>IF(SUMIFS('NSE - NIFTY Index Options'!$L:$L,'NSE - NIFTY Index Options'!$D:$D,$A41,'NSE - NIFTY Index Options'!$B:$B,"Tuesday")+SUMIFS('NSE - Other Index Options'!$L:$L,'NSE - Other Index Options'!$D:$D,$A41,'NSE - Other Index Options'!$B:$B,"Tuesday")=0,"",SUMIFS('NSE - NIFTY Index Options'!$L:$L,'NSE - NIFTY Index Options'!$D:$D,$A41,'NSE - NIFTY Index Options'!$B:$B,"Tuesday")+SUMIFS('NSE - Other Index Options'!$L:$L,'NSE - Other Index Options'!$D:$D,$A41,'NSE - Other Index Options'!$B:$B,"Tuesday"))</f>
        <v>325809.66999999993</v>
      </c>
      <c r="C41" s="26">
        <f>IF(SUMIFS('BSE - SENSEX Index Options'!$L:$L,'BSE - SENSEX Index Options'!$D:$D,$A41,'BSE - SENSEX Index Options'!$B:$B,"Tuesday")+SUMIFS('BSE - Other Index Options'!$L:$L,'BSE - Other Index Options'!$D:$D,$A41,'BSE - Other Index Options'!$B:$B,"Tuesday")=0,"",SUMIFS('BSE - SENSEX Index Options'!$L:$L,'BSE - SENSEX Index Options'!$D:$D,$A41,'BSE - SENSEX Index Options'!$B:$B,"Tuesday")+SUMIFS('BSE - Other Index Options'!$L:$L,'BSE - Other Index Options'!$D:$D,$A41,'BSE - Other Index Options'!$B:$B,"Tuesday"))</f>
        <v>56750.32</v>
      </c>
      <c r="D41" s="27">
        <f t="shared" si="2"/>
        <v>0.85165641603033282</v>
      </c>
      <c r="E41" s="27">
        <f t="shared" si="3"/>
        <v>0.1483435839696671</v>
      </c>
    </row>
    <row r="42" spans="1:5">
      <c r="A42" s="24">
        <v>46054</v>
      </c>
      <c r="B42" s="26">
        <f>IF(SUMIFS('NSE - NIFTY Index Options'!$L:$L,'NSE - NIFTY Index Options'!$D:$D,$A42,'NSE - NIFTY Index Options'!$B:$B,"Tuesday")+SUMIFS('NSE - Other Index Options'!$L:$L,'NSE - Other Index Options'!$D:$D,$A42,'NSE - Other Index Options'!$B:$B,"Tuesday")=0,"",SUMIFS('NSE - NIFTY Index Options'!$L:$L,'NSE - NIFTY Index Options'!$D:$D,$A42,'NSE - NIFTY Index Options'!$B:$B,"Tuesday")+SUMIFS('NSE - Other Index Options'!$L:$L,'NSE - Other Index Options'!$D:$D,$A42,'NSE - Other Index Options'!$B:$B,"Tuesday"))</f>
        <v>344645.84</v>
      </c>
      <c r="C42" s="26">
        <f>IF(SUMIFS('BSE - SENSEX Index Options'!$L:$L,'BSE - SENSEX Index Options'!$D:$D,$A42,'BSE - SENSEX Index Options'!$B:$B,"Tuesday")+SUMIFS('BSE - Other Index Options'!$L:$L,'BSE - Other Index Options'!$D:$D,$A42,'BSE - Other Index Options'!$B:$B,"Tuesday")=0,"",SUMIFS('BSE - SENSEX Index Options'!$L:$L,'BSE - SENSEX Index Options'!$D:$D,$A42,'BSE - SENSEX Index Options'!$B:$B,"Tuesday")+SUMIFS('BSE - Other Index Options'!$L:$L,'BSE - Other Index Options'!$D:$D,$A42,'BSE - Other Index Options'!$B:$B,"Tuesday"))</f>
        <v>52376.409999999996</v>
      </c>
      <c r="D42" s="27">
        <f t="shared" si="2"/>
        <v>0.86807688989722875</v>
      </c>
      <c r="E42" s="27">
        <f t="shared" si="3"/>
        <v>0.1319231101027713</v>
      </c>
    </row>
    <row r="43" spans="1:5">
      <c r="A43" s="24">
        <v>46082</v>
      </c>
      <c r="B43" s="26">
        <f>IF(SUMIFS('NSE - NIFTY Index Options'!$L:$L,'NSE - NIFTY Index Options'!$D:$D,$A43,'NSE - NIFTY Index Options'!$B:$B,"Tuesday")+SUMIFS('NSE - Other Index Options'!$L:$L,'NSE - Other Index Options'!$D:$D,$A43,'NSE - Other Index Options'!$B:$B,"Tuesday")=0,"",SUMIFS('NSE - NIFTY Index Options'!$L:$L,'NSE - NIFTY Index Options'!$D:$D,$A43,'NSE - NIFTY Index Options'!$B:$B,"Tuesday")+SUMIFS('NSE - Other Index Options'!$L:$L,'NSE - Other Index Options'!$D:$D,$A43,'NSE - Other Index Options'!$B:$B,"Tuesday"))</f>
        <v>333055.2300000001</v>
      </c>
      <c r="C43" s="26">
        <f>IF(SUMIFS('BSE - SENSEX Index Options'!$L:$L,'BSE - SENSEX Index Options'!$D:$D,$A43,'BSE - SENSEX Index Options'!$B:$B,"Tuesday")+SUMIFS('BSE - Other Index Options'!$L:$L,'BSE - Other Index Options'!$D:$D,$A43,'BSE - Other Index Options'!$B:$B,"Tuesday")=0,"",SUMIFS('BSE - SENSEX Index Options'!$L:$L,'BSE - SENSEX Index Options'!$D:$D,$A43,'BSE - SENSEX Index Options'!$B:$B,"Tuesday")+SUMIFS('BSE - Other Index Options'!$L:$L,'BSE - Other Index Options'!$D:$D,$A43,'BSE - Other Index Options'!$B:$B,"Tuesday"))</f>
        <v>49767.100000000006</v>
      </c>
      <c r="D43" s="27">
        <f t="shared" si="2"/>
        <v>0.86999948513975145</v>
      </c>
      <c r="E43" s="27">
        <f t="shared" si="3"/>
        <v>0.13000051486024861</v>
      </c>
    </row>
    <row r="44" spans="1:5">
      <c r="A44" s="24">
        <v>46113</v>
      </c>
      <c r="B44" s="26">
        <f>IF(SUMIFS('NSE - NIFTY Index Options'!$L:$L,'NSE - NIFTY Index Options'!$D:$D,$A44,'NSE - NIFTY Index Options'!$B:$B,"Tuesday")+SUMIFS('NSE - Other Index Options'!$L:$L,'NSE - Other Index Options'!$D:$D,$A44,'NSE - Other Index Options'!$B:$B,"Tuesday")=0,"",SUMIFS('NSE - NIFTY Index Options'!$L:$L,'NSE - NIFTY Index Options'!$D:$D,$A44,'NSE - NIFTY Index Options'!$B:$B,"Tuesday")+SUMIFS('NSE - Other Index Options'!$L:$L,'NSE - Other Index Options'!$D:$D,$A44,'NSE - Other Index Options'!$B:$B,"Tuesday"))</f>
        <v>245311.46999999994</v>
      </c>
      <c r="C44" s="26">
        <f>IF(SUMIFS('BSE - SENSEX Index Options'!$L:$L,'BSE - SENSEX Index Options'!$D:$D,$A44,'BSE - SENSEX Index Options'!$B:$B,"Tuesday")+SUMIFS('BSE - Other Index Options'!$L:$L,'BSE - Other Index Options'!$D:$D,$A44,'BSE - Other Index Options'!$B:$B,"Tuesday")=0,"",SUMIFS('BSE - SENSEX Index Options'!$L:$L,'BSE - SENSEX Index Options'!$D:$D,$A44,'BSE - SENSEX Index Options'!$B:$B,"Tuesday")+SUMIFS('BSE - Other Index Options'!$L:$L,'BSE - Other Index Options'!$D:$D,$A44,'BSE - Other Index Options'!$B:$B,"Tuesday"))</f>
        <v>32501.9</v>
      </c>
      <c r="D44" s="27">
        <f t="shared" si="2"/>
        <v>0.88300815039967295</v>
      </c>
      <c r="E44" s="27">
        <f t="shared" si="3"/>
        <v>0.11699184960032705</v>
      </c>
    </row>
    <row r="45" spans="1:5">
      <c r="A45" s="24">
        <v>46143</v>
      </c>
      <c r="B45" s="26">
        <f>IF(SUMIFS('NSE - NIFTY Index Options'!$L:$L,'NSE - NIFTY Index Options'!$D:$D,$A45,'NSE - NIFTY Index Options'!$B:$B,"Tuesday")+SUMIFS('NSE - Other Index Options'!$L:$L,'NSE - Other Index Options'!$D:$D,$A45,'NSE - Other Index Options'!$B:$B,"Tuesday")=0,"",SUMIFS('NSE - NIFTY Index Options'!$L:$L,'NSE - NIFTY Index Options'!$D:$D,$A45,'NSE - NIFTY Index Options'!$B:$B,"Tuesday")+SUMIFS('NSE - Other Index Options'!$L:$L,'NSE - Other Index Options'!$D:$D,$A45,'NSE - Other Index Options'!$B:$B,"Tuesday"))</f>
        <v>319647.91000000009</v>
      </c>
      <c r="C45" s="26">
        <f>IF(SUMIFS('BSE - SENSEX Index Options'!$L:$L,'BSE - SENSEX Index Options'!$D:$D,$A45,'BSE - SENSEX Index Options'!$B:$B,"Tuesday")+SUMIFS('BSE - Other Index Options'!$L:$L,'BSE - Other Index Options'!$D:$D,$A45,'BSE - Other Index Options'!$B:$B,"Tuesday")=0,"",SUMIFS('BSE - SENSEX Index Options'!$L:$L,'BSE - SENSEX Index Options'!$D:$D,$A45,'BSE - SENSEX Index Options'!$B:$B,"Tuesday")+SUMIFS('BSE - Other Index Options'!$L:$L,'BSE - Other Index Options'!$D:$D,$A45,'BSE - Other Index Options'!$B:$B,"Tuesday"))</f>
        <v>46010.850000000006</v>
      </c>
      <c r="D45" s="27">
        <f t="shared" si="2"/>
        <v>0.87416997749486425</v>
      </c>
      <c r="E45" s="27">
        <f t="shared" si="3"/>
        <v>0.12583002250513564</v>
      </c>
    </row>
    <row r="46" spans="1:5">
      <c r="A46" s="24">
        <v>46174</v>
      </c>
      <c r="B46" s="26">
        <f>IF(SUMIFS('NSE - NIFTY Index Options'!$L:$L,'NSE - NIFTY Index Options'!$D:$D,$A46,'NSE - NIFTY Index Options'!$B:$B,"Tuesday")+SUMIFS('NSE - Other Index Options'!$L:$L,'NSE - Other Index Options'!$D:$D,$A46,'NSE - Other Index Options'!$B:$B,"Tuesday")=0,"",SUMIFS('NSE - NIFTY Index Options'!$L:$L,'NSE - NIFTY Index Options'!$D:$D,$A46,'NSE - NIFTY Index Options'!$B:$B,"Tuesday")+SUMIFS('NSE - Other Index Options'!$L:$L,'NSE - Other Index Options'!$D:$D,$A46,'NSE - Other Index Options'!$B:$B,"Tuesday"))</f>
        <v>385735.92000000004</v>
      </c>
      <c r="C46" s="26">
        <f>IF(SUMIFS('BSE - SENSEX Index Options'!$L:$L,'BSE - SENSEX Index Options'!$D:$D,$A46,'BSE - SENSEX Index Options'!$B:$B,"Tuesday")+SUMIFS('BSE - Other Index Options'!$L:$L,'BSE - Other Index Options'!$D:$D,$A46,'BSE - Other Index Options'!$B:$B,"Tuesday")=0,"",SUMIFS('BSE - SENSEX Index Options'!$L:$L,'BSE - SENSEX Index Options'!$D:$D,$A46,'BSE - SENSEX Index Options'!$B:$B,"Tuesday")+SUMIFS('BSE - Other Index Options'!$L:$L,'BSE - Other Index Options'!$D:$D,$A46,'BSE - Other Index Options'!$B:$B,"Tuesday"))</f>
        <v>56164.73</v>
      </c>
      <c r="D46" s="27">
        <f t="shared" si="2"/>
        <v>0.87290190679737634</v>
      </c>
      <c r="E46" s="27">
        <f t="shared" si="3"/>
        <v>0.12709809320262372</v>
      </c>
    </row>
    <row r="47" spans="1:5" hidden="1" outlineLevel="1">
      <c r="A47" s="24">
        <v>46204</v>
      </c>
      <c r="B47" s="26">
        <f>IF(SUMIFS('NSE - NIFTY Index Options'!$L:$L,'NSE - NIFTY Index Options'!$D:$D,$A47,'NSE - NIFTY Index Options'!$B:$B,"Tuesday")+SUMIFS('NSE - Other Index Options'!$L:$L,'NSE - Other Index Options'!$D:$D,$A47,'NSE - Other Index Options'!$B:$B,"Tuesday")=0,"",SUMIFS('NSE - NIFTY Index Options'!$L:$L,'NSE - NIFTY Index Options'!$D:$D,$A47,'NSE - NIFTY Index Options'!$B:$B,"Tuesday")+SUMIFS('NSE - Other Index Options'!$L:$L,'NSE - Other Index Options'!$D:$D,$A47,'NSE - Other Index Options'!$B:$B,"Tuesday"))</f>
        <v>59870.490000000005</v>
      </c>
      <c r="C47" s="26">
        <f>IF(SUMIFS('BSE - SENSEX Index Options'!$L:$L,'BSE - SENSEX Index Options'!$D:$D,$A47,'BSE - SENSEX Index Options'!$B:$B,"Tuesday")+SUMIFS('BSE - Other Index Options'!$L:$L,'BSE - Other Index Options'!$D:$D,$A47,'BSE - Other Index Options'!$B:$B,"Tuesday")=0,"",SUMIFS('BSE - SENSEX Index Options'!$L:$L,'BSE - SENSEX Index Options'!$D:$D,$A47,'BSE - SENSEX Index Options'!$B:$B,"Tuesday")+SUMIFS('BSE - Other Index Options'!$L:$L,'BSE - Other Index Options'!$D:$D,$A47,'BSE - Other Index Options'!$B:$B,"Tuesday"))</f>
        <v>10159.299999999999</v>
      </c>
      <c r="D47" s="27">
        <f t="shared" si="2"/>
        <v>0.85492888098050845</v>
      </c>
      <c r="E47" s="27">
        <f t="shared" si="3"/>
        <v>0.14507111901949155</v>
      </c>
    </row>
    <row r="48" spans="1:5" hidden="1" outlineLevel="1">
      <c r="A48" s="24">
        <v>46235</v>
      </c>
      <c r="B48" s="26" t="str">
        <f>IF(SUMIFS('NSE - NIFTY Index Options'!$L:$L,'NSE - NIFTY Index Options'!$D:$D,$A48,'NSE - NIFTY Index Options'!$B:$B,"Tuesday")+SUMIFS('NSE - Other Index Options'!$L:$L,'NSE - Other Index Options'!$D:$D,$A48,'NSE - Other Index Options'!$B:$B,"Tuesday")=0,"",SUMIFS('NSE - NIFTY Index Options'!$L:$L,'NSE - NIFTY Index Options'!$D:$D,$A48,'NSE - NIFTY Index Options'!$B:$B,"Tuesday")+SUMIFS('NSE - Other Index Options'!$L:$L,'NSE - Other Index Options'!$D:$D,$A48,'NSE - Other Index Options'!$B:$B,"Tuesday"))</f>
        <v/>
      </c>
      <c r="C48" s="26" t="str">
        <f>IF(SUMIFS('BSE - SENSEX Index Options'!$L:$L,'BSE - SENSEX Index Options'!$D:$D,$A48,'BSE - SENSEX Index Options'!$B:$B,"Tuesday")+SUMIFS('BSE - Other Index Options'!$L:$L,'BSE - Other Index Options'!$D:$D,$A48,'BSE - Other Index Options'!$B:$B,"Tuesday")=0,"",SUMIFS('BSE - SENSEX Index Options'!$L:$L,'BSE - SENSEX Index Options'!$D:$D,$A48,'BSE - SENSEX Index Options'!$B:$B,"Tuesday")+SUMIFS('BSE - Other Index Options'!$L:$L,'BSE - Other Index Options'!$D:$D,$A48,'BSE - Other Index Options'!$B:$B,"Tuesday"))</f>
        <v/>
      </c>
      <c r="D48" s="27" t="str">
        <f t="shared" si="2"/>
        <v/>
      </c>
      <c r="E48" s="27" t="str">
        <f t="shared" si="3"/>
        <v/>
      </c>
    </row>
    <row r="49" spans="1:5" hidden="1" outlineLevel="1">
      <c r="A49" s="24">
        <v>46266</v>
      </c>
      <c r="B49" s="26" t="str">
        <f>IF(SUMIFS('NSE - NIFTY Index Options'!$L:$L,'NSE - NIFTY Index Options'!$D:$D,$A49,'NSE - NIFTY Index Options'!$B:$B,"Tuesday")+SUMIFS('NSE - Other Index Options'!$L:$L,'NSE - Other Index Options'!$D:$D,$A49,'NSE - Other Index Options'!$B:$B,"Tuesday")=0,"",SUMIFS('NSE - NIFTY Index Options'!$L:$L,'NSE - NIFTY Index Options'!$D:$D,$A49,'NSE - NIFTY Index Options'!$B:$B,"Tuesday")+SUMIFS('NSE - Other Index Options'!$L:$L,'NSE - Other Index Options'!$D:$D,$A49,'NSE - Other Index Options'!$B:$B,"Tuesday"))</f>
        <v/>
      </c>
      <c r="C49" s="26" t="str">
        <f>IF(SUMIFS('BSE - SENSEX Index Options'!$L:$L,'BSE - SENSEX Index Options'!$D:$D,$A49,'BSE - SENSEX Index Options'!$B:$B,"Tuesday")+SUMIFS('BSE - Other Index Options'!$L:$L,'BSE - Other Index Options'!$D:$D,$A49,'BSE - Other Index Options'!$B:$B,"Tuesday")=0,"",SUMIFS('BSE - SENSEX Index Options'!$L:$L,'BSE - SENSEX Index Options'!$D:$D,$A49,'BSE - SENSEX Index Options'!$B:$B,"Tuesday")+SUMIFS('BSE - Other Index Options'!$L:$L,'BSE - Other Index Options'!$D:$D,$A49,'BSE - Other Index Options'!$B:$B,"Tuesday"))</f>
        <v/>
      </c>
      <c r="D49" s="27" t="str">
        <f t="shared" si="2"/>
        <v/>
      </c>
      <c r="E49" s="27" t="str">
        <f t="shared" si="3"/>
        <v/>
      </c>
    </row>
    <row r="50" spans="1:5" hidden="1" outlineLevel="1">
      <c r="A50" s="24">
        <v>46296</v>
      </c>
      <c r="B50" s="26" t="str">
        <f>IF(SUMIFS('NSE - NIFTY Index Options'!$L:$L,'NSE - NIFTY Index Options'!$D:$D,$A50,'NSE - NIFTY Index Options'!$B:$B,"Tuesday")+SUMIFS('NSE - Other Index Options'!$L:$L,'NSE - Other Index Options'!$D:$D,$A50,'NSE - Other Index Options'!$B:$B,"Tuesday")=0,"",SUMIFS('NSE - NIFTY Index Options'!$L:$L,'NSE - NIFTY Index Options'!$D:$D,$A50,'NSE - NIFTY Index Options'!$B:$B,"Tuesday")+SUMIFS('NSE - Other Index Options'!$L:$L,'NSE - Other Index Options'!$D:$D,$A50,'NSE - Other Index Options'!$B:$B,"Tuesday"))</f>
        <v/>
      </c>
      <c r="C50" s="26" t="str">
        <f>IF(SUMIFS('BSE - SENSEX Index Options'!$L:$L,'BSE - SENSEX Index Options'!$D:$D,$A50,'BSE - SENSEX Index Options'!$B:$B,"Tuesday")+SUMIFS('BSE - Other Index Options'!$L:$L,'BSE - Other Index Options'!$D:$D,$A50,'BSE - Other Index Options'!$B:$B,"Tuesday")=0,"",SUMIFS('BSE - SENSEX Index Options'!$L:$L,'BSE - SENSEX Index Options'!$D:$D,$A50,'BSE - SENSEX Index Options'!$B:$B,"Tuesday")+SUMIFS('BSE - Other Index Options'!$L:$L,'BSE - Other Index Options'!$D:$D,$A50,'BSE - Other Index Options'!$B:$B,"Tuesday"))</f>
        <v/>
      </c>
      <c r="D50" s="27" t="str">
        <f t="shared" si="2"/>
        <v/>
      </c>
      <c r="E50" s="27" t="str">
        <f t="shared" si="3"/>
        <v/>
      </c>
    </row>
    <row r="51" spans="1:5" hidden="1" outlineLevel="1">
      <c r="A51" s="24">
        <v>46327</v>
      </c>
      <c r="B51" s="26" t="str">
        <f>IF(SUMIFS('NSE - NIFTY Index Options'!$L:$L,'NSE - NIFTY Index Options'!$D:$D,$A51,'NSE - NIFTY Index Options'!$B:$B,"Tuesday")+SUMIFS('NSE - Other Index Options'!$L:$L,'NSE - Other Index Options'!$D:$D,$A51,'NSE - Other Index Options'!$B:$B,"Tuesday")=0,"",SUMIFS('NSE - NIFTY Index Options'!$L:$L,'NSE - NIFTY Index Options'!$D:$D,$A51,'NSE - NIFTY Index Options'!$B:$B,"Tuesday")+SUMIFS('NSE - Other Index Options'!$L:$L,'NSE - Other Index Options'!$D:$D,$A51,'NSE - Other Index Options'!$B:$B,"Tuesday"))</f>
        <v/>
      </c>
      <c r="C51" s="26" t="str">
        <f>IF(SUMIFS('BSE - SENSEX Index Options'!$L:$L,'BSE - SENSEX Index Options'!$D:$D,$A51,'BSE - SENSEX Index Options'!$B:$B,"Tuesday")+SUMIFS('BSE - Other Index Options'!$L:$L,'BSE - Other Index Options'!$D:$D,$A51,'BSE - Other Index Options'!$B:$B,"Tuesday")=0,"",SUMIFS('BSE - SENSEX Index Options'!$L:$L,'BSE - SENSEX Index Options'!$D:$D,$A51,'BSE - SENSEX Index Options'!$B:$B,"Tuesday")+SUMIFS('BSE - Other Index Options'!$L:$L,'BSE - Other Index Options'!$D:$D,$A51,'BSE - Other Index Options'!$B:$B,"Tuesday"))</f>
        <v/>
      </c>
      <c r="D51" s="27" t="str">
        <f t="shared" si="2"/>
        <v/>
      </c>
      <c r="E51" s="27" t="str">
        <f t="shared" si="3"/>
        <v/>
      </c>
    </row>
    <row r="52" spans="1:5" hidden="1" outlineLevel="1">
      <c r="A52" s="24">
        <v>46357</v>
      </c>
      <c r="B52" s="26" t="str">
        <f>IF(SUMIFS('NSE - NIFTY Index Options'!$L:$L,'NSE - NIFTY Index Options'!$D:$D,$A52,'NSE - NIFTY Index Options'!$B:$B,"Tuesday")+SUMIFS('NSE - Other Index Options'!$L:$L,'NSE - Other Index Options'!$D:$D,$A52,'NSE - Other Index Options'!$B:$B,"Tuesday")=0,"",SUMIFS('NSE - NIFTY Index Options'!$L:$L,'NSE - NIFTY Index Options'!$D:$D,$A52,'NSE - NIFTY Index Options'!$B:$B,"Tuesday")+SUMIFS('NSE - Other Index Options'!$L:$L,'NSE - Other Index Options'!$D:$D,$A52,'NSE - Other Index Options'!$B:$B,"Tuesday"))</f>
        <v/>
      </c>
      <c r="C52" s="26" t="str">
        <f>IF(SUMIFS('BSE - SENSEX Index Options'!$L:$L,'BSE - SENSEX Index Options'!$D:$D,$A52,'BSE - SENSEX Index Options'!$B:$B,"Tuesday")+SUMIFS('BSE - Other Index Options'!$L:$L,'BSE - Other Index Options'!$D:$D,$A52,'BSE - Other Index Options'!$B:$B,"Tuesday")=0,"",SUMIFS('BSE - SENSEX Index Options'!$L:$L,'BSE - SENSEX Index Options'!$D:$D,$A52,'BSE - SENSEX Index Options'!$B:$B,"Tuesday")+SUMIFS('BSE - Other Index Options'!$L:$L,'BSE - Other Index Options'!$D:$D,$A52,'BSE - Other Index Options'!$B:$B,"Tuesday"))</f>
        <v/>
      </c>
      <c r="D52" s="27" t="str">
        <f t="shared" si="2"/>
        <v/>
      </c>
      <c r="E52" s="27" t="str">
        <f t="shared" si="3"/>
        <v/>
      </c>
    </row>
    <row r="53" spans="1:5" hidden="1" outlineLevel="1">
      <c r="A53" s="24">
        <v>46388</v>
      </c>
      <c r="B53" s="26" t="str">
        <f>IF(SUMIFS('NSE - NIFTY Index Options'!$L:$L,'NSE - NIFTY Index Options'!$D:$D,$A53,'NSE - NIFTY Index Options'!$B:$B,"Tuesday")+SUMIFS('NSE - Other Index Options'!$L:$L,'NSE - Other Index Options'!$D:$D,$A53,'NSE - Other Index Options'!$B:$B,"Tuesday")=0,"",SUMIFS('NSE - NIFTY Index Options'!$L:$L,'NSE - NIFTY Index Options'!$D:$D,$A53,'NSE - NIFTY Index Options'!$B:$B,"Tuesday")+SUMIFS('NSE - Other Index Options'!$L:$L,'NSE - Other Index Options'!$D:$D,$A53,'NSE - Other Index Options'!$B:$B,"Tuesday"))</f>
        <v/>
      </c>
      <c r="C53" s="26" t="str">
        <f>IF(SUMIFS('BSE - SENSEX Index Options'!$L:$L,'BSE - SENSEX Index Options'!$D:$D,$A53,'BSE - SENSEX Index Options'!$B:$B,"Tuesday")+SUMIFS('BSE - Other Index Options'!$L:$L,'BSE - Other Index Options'!$D:$D,$A53,'BSE - Other Index Options'!$B:$B,"Tuesday")=0,"",SUMIFS('BSE - SENSEX Index Options'!$L:$L,'BSE - SENSEX Index Options'!$D:$D,$A53,'BSE - SENSEX Index Options'!$B:$B,"Tuesday")+SUMIFS('BSE - Other Index Options'!$L:$L,'BSE - Other Index Options'!$D:$D,$A53,'BSE - Other Index Options'!$B:$B,"Tuesday"))</f>
        <v/>
      </c>
      <c r="D53" s="27" t="str">
        <f t="shared" si="2"/>
        <v/>
      </c>
      <c r="E53" s="27" t="str">
        <f t="shared" si="3"/>
        <v/>
      </c>
    </row>
    <row r="54" spans="1:5" hidden="1" outlineLevel="1">
      <c r="A54" s="24">
        <v>46419</v>
      </c>
      <c r="B54" s="26" t="str">
        <f>IF(SUMIFS('NSE - NIFTY Index Options'!$L:$L,'NSE - NIFTY Index Options'!$D:$D,$A54,'NSE - NIFTY Index Options'!$B:$B,"Tuesday")+SUMIFS('NSE - Other Index Options'!$L:$L,'NSE - Other Index Options'!$D:$D,$A54,'NSE - Other Index Options'!$B:$B,"Tuesday")=0,"",SUMIFS('NSE - NIFTY Index Options'!$L:$L,'NSE - NIFTY Index Options'!$D:$D,$A54,'NSE - NIFTY Index Options'!$B:$B,"Tuesday")+SUMIFS('NSE - Other Index Options'!$L:$L,'NSE - Other Index Options'!$D:$D,$A54,'NSE - Other Index Options'!$B:$B,"Tuesday"))</f>
        <v/>
      </c>
      <c r="C54" s="26" t="str">
        <f>IF(SUMIFS('BSE - SENSEX Index Options'!$L:$L,'BSE - SENSEX Index Options'!$D:$D,$A54,'BSE - SENSEX Index Options'!$B:$B,"Tuesday")+SUMIFS('BSE - Other Index Options'!$L:$L,'BSE - Other Index Options'!$D:$D,$A54,'BSE - Other Index Options'!$B:$B,"Tuesday")=0,"",SUMIFS('BSE - SENSEX Index Options'!$L:$L,'BSE - SENSEX Index Options'!$D:$D,$A54,'BSE - SENSEX Index Options'!$B:$B,"Tuesday")+SUMIFS('BSE - Other Index Options'!$L:$L,'BSE - Other Index Options'!$D:$D,$A54,'BSE - Other Index Options'!$B:$B,"Tuesday"))</f>
        <v/>
      </c>
      <c r="D54" s="27" t="str">
        <f t="shared" si="2"/>
        <v/>
      </c>
      <c r="E54" s="27" t="str">
        <f t="shared" si="3"/>
        <v/>
      </c>
    </row>
    <row r="55" spans="1:5" hidden="1" outlineLevel="1">
      <c r="A55" s="24">
        <v>46447</v>
      </c>
      <c r="B55" s="26" t="str">
        <f>IF(SUMIFS('NSE - NIFTY Index Options'!$L:$L,'NSE - NIFTY Index Options'!$D:$D,$A55,'NSE - NIFTY Index Options'!$B:$B,"Tuesday")+SUMIFS('NSE - Other Index Options'!$L:$L,'NSE - Other Index Options'!$D:$D,$A55,'NSE - Other Index Options'!$B:$B,"Tuesday")=0,"",SUMIFS('NSE - NIFTY Index Options'!$L:$L,'NSE - NIFTY Index Options'!$D:$D,$A55,'NSE - NIFTY Index Options'!$B:$B,"Tuesday")+SUMIFS('NSE - Other Index Options'!$L:$L,'NSE - Other Index Options'!$D:$D,$A55,'NSE - Other Index Options'!$B:$B,"Tuesday"))</f>
        <v/>
      </c>
      <c r="C55" s="26" t="str">
        <f>IF(SUMIFS('BSE - SENSEX Index Options'!$L:$L,'BSE - SENSEX Index Options'!$D:$D,$A55,'BSE - SENSEX Index Options'!$B:$B,"Tuesday")+SUMIFS('BSE - Other Index Options'!$L:$L,'BSE - Other Index Options'!$D:$D,$A55,'BSE - Other Index Options'!$B:$B,"Tuesday")=0,"",SUMIFS('BSE - SENSEX Index Options'!$L:$L,'BSE - SENSEX Index Options'!$D:$D,$A55,'BSE - SENSEX Index Options'!$B:$B,"Tuesday")+SUMIFS('BSE - Other Index Options'!$L:$L,'BSE - Other Index Options'!$D:$D,$A55,'BSE - Other Index Options'!$B:$B,"Tuesday"))</f>
        <v/>
      </c>
      <c r="D55" s="27" t="str">
        <f t="shared" si="2"/>
        <v/>
      </c>
      <c r="E55" s="27" t="str">
        <f t="shared" si="3"/>
        <v/>
      </c>
    </row>
    <row r="56" spans="1:5" hidden="1" outlineLevel="1">
      <c r="A56" s="24">
        <v>46478</v>
      </c>
      <c r="B56" s="26" t="str">
        <f>IF(SUMIFS('NSE - NIFTY Index Options'!$L:$L,'NSE - NIFTY Index Options'!$D:$D,$A56,'NSE - NIFTY Index Options'!$B:$B,"Tuesday")+SUMIFS('NSE - Other Index Options'!$L:$L,'NSE - Other Index Options'!$D:$D,$A56,'NSE - Other Index Options'!$B:$B,"Tuesday")=0,"",SUMIFS('NSE - NIFTY Index Options'!$L:$L,'NSE - NIFTY Index Options'!$D:$D,$A56,'NSE - NIFTY Index Options'!$B:$B,"Tuesday")+SUMIFS('NSE - Other Index Options'!$L:$L,'NSE - Other Index Options'!$D:$D,$A56,'NSE - Other Index Options'!$B:$B,"Tuesday"))</f>
        <v/>
      </c>
      <c r="C56" s="26" t="str">
        <f>IF(SUMIFS('BSE - SENSEX Index Options'!$L:$L,'BSE - SENSEX Index Options'!$D:$D,$A56,'BSE - SENSEX Index Options'!$B:$B,"Tuesday")+SUMIFS('BSE - Other Index Options'!$L:$L,'BSE - Other Index Options'!$D:$D,$A56,'BSE - Other Index Options'!$B:$B,"Tuesday")=0,"",SUMIFS('BSE - SENSEX Index Options'!$L:$L,'BSE - SENSEX Index Options'!$D:$D,$A56,'BSE - SENSEX Index Options'!$B:$B,"Tuesday")+SUMIFS('BSE - Other Index Options'!$L:$L,'BSE - Other Index Options'!$D:$D,$A56,'BSE - Other Index Options'!$B:$B,"Tuesday"))</f>
        <v/>
      </c>
      <c r="D56" s="27" t="str">
        <f t="shared" si="2"/>
        <v/>
      </c>
      <c r="E56" s="27" t="str">
        <f t="shared" si="3"/>
        <v/>
      </c>
    </row>
    <row r="57" spans="1:5" hidden="1" outlineLevel="1">
      <c r="A57" s="24">
        <v>46508</v>
      </c>
      <c r="B57" s="26" t="str">
        <f>IF(SUMIFS('NSE - NIFTY Index Options'!$L:$L,'NSE - NIFTY Index Options'!$D:$D,$A57,'NSE - NIFTY Index Options'!$B:$B,"Tuesday")+SUMIFS('NSE - Other Index Options'!$L:$L,'NSE - Other Index Options'!$D:$D,$A57,'NSE - Other Index Options'!$B:$B,"Tuesday")=0,"",SUMIFS('NSE - NIFTY Index Options'!$L:$L,'NSE - NIFTY Index Options'!$D:$D,$A57,'NSE - NIFTY Index Options'!$B:$B,"Tuesday")+SUMIFS('NSE - Other Index Options'!$L:$L,'NSE - Other Index Options'!$D:$D,$A57,'NSE - Other Index Options'!$B:$B,"Tuesday"))</f>
        <v/>
      </c>
      <c r="C57" s="26" t="str">
        <f>IF(SUMIFS('BSE - SENSEX Index Options'!$L:$L,'BSE - SENSEX Index Options'!$D:$D,$A57,'BSE - SENSEX Index Options'!$B:$B,"Tuesday")+SUMIFS('BSE - Other Index Options'!$L:$L,'BSE - Other Index Options'!$D:$D,$A57,'BSE - Other Index Options'!$B:$B,"Tuesday")=0,"",SUMIFS('BSE - SENSEX Index Options'!$L:$L,'BSE - SENSEX Index Options'!$D:$D,$A57,'BSE - SENSEX Index Options'!$B:$B,"Tuesday")+SUMIFS('BSE - Other Index Options'!$L:$L,'BSE - Other Index Options'!$D:$D,$A57,'BSE - Other Index Options'!$B:$B,"Tuesday"))</f>
        <v/>
      </c>
      <c r="D57" s="27" t="str">
        <f t="shared" si="2"/>
        <v/>
      </c>
      <c r="E57" s="27" t="str">
        <f t="shared" si="3"/>
        <v/>
      </c>
    </row>
    <row r="58" spans="1:5" hidden="1" outlineLevel="1">
      <c r="A58" s="24">
        <v>46539</v>
      </c>
      <c r="B58" s="26" t="str">
        <f>IF(SUMIFS('NSE - NIFTY Index Options'!$L:$L,'NSE - NIFTY Index Options'!$D:$D,$A58,'NSE - NIFTY Index Options'!$B:$B,"Tuesday")+SUMIFS('NSE - Other Index Options'!$L:$L,'NSE - Other Index Options'!$D:$D,$A58,'NSE - Other Index Options'!$B:$B,"Tuesday")=0,"",SUMIFS('NSE - NIFTY Index Options'!$L:$L,'NSE - NIFTY Index Options'!$D:$D,$A58,'NSE - NIFTY Index Options'!$B:$B,"Tuesday")+SUMIFS('NSE - Other Index Options'!$L:$L,'NSE - Other Index Options'!$D:$D,$A58,'NSE - Other Index Options'!$B:$B,"Tuesday"))</f>
        <v/>
      </c>
      <c r="C58" s="26" t="str">
        <f>IF(SUMIFS('BSE - SENSEX Index Options'!$L:$L,'BSE - SENSEX Index Options'!$D:$D,$A58,'BSE - SENSEX Index Options'!$B:$B,"Tuesday")+SUMIFS('BSE - Other Index Options'!$L:$L,'BSE - Other Index Options'!$D:$D,$A58,'BSE - Other Index Options'!$B:$B,"Tuesday")=0,"",SUMIFS('BSE - SENSEX Index Options'!$L:$L,'BSE - SENSEX Index Options'!$D:$D,$A58,'BSE - SENSEX Index Options'!$B:$B,"Tuesday")+SUMIFS('BSE - Other Index Options'!$L:$L,'BSE - Other Index Options'!$D:$D,$A58,'BSE - Other Index Options'!$B:$B,"Tuesday"))</f>
        <v/>
      </c>
      <c r="D58" s="27" t="str">
        <f t="shared" si="2"/>
        <v/>
      </c>
      <c r="E58" s="27" t="str">
        <f t="shared" si="3"/>
        <v/>
      </c>
    </row>
    <row r="59" spans="1:5" hidden="1" outlineLevel="1">
      <c r="A59" s="24">
        <v>46569</v>
      </c>
      <c r="B59" s="26" t="str">
        <f>IF(SUMIFS('NSE - NIFTY Index Options'!$L:$L,'NSE - NIFTY Index Options'!$D:$D,$A59,'NSE - NIFTY Index Options'!$B:$B,"Tuesday")+SUMIFS('NSE - Other Index Options'!$L:$L,'NSE - Other Index Options'!$D:$D,$A59,'NSE - Other Index Options'!$B:$B,"Tuesday")=0,"",SUMIFS('NSE - NIFTY Index Options'!$L:$L,'NSE - NIFTY Index Options'!$D:$D,$A59,'NSE - NIFTY Index Options'!$B:$B,"Tuesday")+SUMIFS('NSE - Other Index Options'!$L:$L,'NSE - Other Index Options'!$D:$D,$A59,'NSE - Other Index Options'!$B:$B,"Tuesday"))</f>
        <v/>
      </c>
      <c r="C59" s="26" t="str">
        <f>IF(SUMIFS('BSE - SENSEX Index Options'!$L:$L,'BSE - SENSEX Index Options'!$D:$D,$A59,'BSE - SENSEX Index Options'!$B:$B,"Tuesday")+SUMIFS('BSE - Other Index Options'!$L:$L,'BSE - Other Index Options'!$D:$D,$A59,'BSE - Other Index Options'!$B:$B,"Tuesday")=0,"",SUMIFS('BSE - SENSEX Index Options'!$L:$L,'BSE - SENSEX Index Options'!$D:$D,$A59,'BSE - SENSEX Index Options'!$B:$B,"Tuesday")+SUMIFS('BSE - Other Index Options'!$L:$L,'BSE - Other Index Options'!$D:$D,$A59,'BSE - Other Index Options'!$B:$B,"Tuesday"))</f>
        <v/>
      </c>
      <c r="D59" s="27" t="str">
        <f t="shared" si="2"/>
        <v/>
      </c>
      <c r="E59" s="27" t="str">
        <f t="shared" si="3"/>
        <v/>
      </c>
    </row>
    <row r="60" spans="1:5" hidden="1" outlineLevel="1">
      <c r="A60" s="24">
        <v>46600</v>
      </c>
      <c r="B60" s="26" t="str">
        <f>IF(SUMIFS('NSE - NIFTY Index Options'!$L:$L,'NSE - NIFTY Index Options'!$D:$D,$A60,'NSE - NIFTY Index Options'!$B:$B,"Tuesday")+SUMIFS('NSE - Other Index Options'!$L:$L,'NSE - Other Index Options'!$D:$D,$A60,'NSE - Other Index Options'!$B:$B,"Tuesday")=0,"",SUMIFS('NSE - NIFTY Index Options'!$L:$L,'NSE - NIFTY Index Options'!$D:$D,$A60,'NSE - NIFTY Index Options'!$B:$B,"Tuesday")+SUMIFS('NSE - Other Index Options'!$L:$L,'NSE - Other Index Options'!$D:$D,$A60,'NSE - Other Index Options'!$B:$B,"Tuesday"))</f>
        <v/>
      </c>
      <c r="C60" s="26" t="str">
        <f>IF(SUMIFS('BSE - SENSEX Index Options'!$L:$L,'BSE - SENSEX Index Options'!$D:$D,$A60,'BSE - SENSEX Index Options'!$B:$B,"Tuesday")+SUMIFS('BSE - Other Index Options'!$L:$L,'BSE - Other Index Options'!$D:$D,$A60,'BSE - Other Index Options'!$B:$B,"Tuesday")=0,"",SUMIFS('BSE - SENSEX Index Options'!$L:$L,'BSE - SENSEX Index Options'!$D:$D,$A60,'BSE - SENSEX Index Options'!$B:$B,"Tuesday")+SUMIFS('BSE - Other Index Options'!$L:$L,'BSE - Other Index Options'!$D:$D,$A60,'BSE - Other Index Options'!$B:$B,"Tuesday"))</f>
        <v/>
      </c>
      <c r="D60" s="27" t="str">
        <f t="shared" si="2"/>
        <v/>
      </c>
      <c r="E60" s="27" t="str">
        <f t="shared" si="3"/>
        <v/>
      </c>
    </row>
    <row r="61" spans="1:5" hidden="1" outlineLevel="1">
      <c r="A61" s="24">
        <v>46631</v>
      </c>
      <c r="B61" s="26" t="str">
        <f>IF(SUMIFS('NSE - NIFTY Index Options'!$L:$L,'NSE - NIFTY Index Options'!$D:$D,$A61,'NSE - NIFTY Index Options'!$B:$B,"Tuesday")+SUMIFS('NSE - Other Index Options'!$L:$L,'NSE - Other Index Options'!$D:$D,$A61,'NSE - Other Index Options'!$B:$B,"Tuesday")=0,"",SUMIFS('NSE - NIFTY Index Options'!$L:$L,'NSE - NIFTY Index Options'!$D:$D,$A61,'NSE - NIFTY Index Options'!$B:$B,"Tuesday")+SUMIFS('NSE - Other Index Options'!$L:$L,'NSE - Other Index Options'!$D:$D,$A61,'NSE - Other Index Options'!$B:$B,"Tuesday"))</f>
        <v/>
      </c>
      <c r="C61" s="26" t="str">
        <f>IF(SUMIFS('BSE - SENSEX Index Options'!$L:$L,'BSE - SENSEX Index Options'!$D:$D,$A61,'BSE - SENSEX Index Options'!$B:$B,"Tuesday")+SUMIFS('BSE - Other Index Options'!$L:$L,'BSE - Other Index Options'!$D:$D,$A61,'BSE - Other Index Options'!$B:$B,"Tuesday")=0,"",SUMIFS('BSE - SENSEX Index Options'!$L:$L,'BSE - SENSEX Index Options'!$D:$D,$A61,'BSE - SENSEX Index Options'!$B:$B,"Tuesday")+SUMIFS('BSE - Other Index Options'!$L:$L,'BSE - Other Index Options'!$D:$D,$A61,'BSE - Other Index Options'!$B:$B,"Tuesday"))</f>
        <v/>
      </c>
      <c r="D61" s="27" t="str">
        <f t="shared" si="2"/>
        <v/>
      </c>
      <c r="E61" s="27" t="str">
        <f t="shared" si="3"/>
        <v/>
      </c>
    </row>
    <row r="62" spans="1:5" hidden="1" outlineLevel="1">
      <c r="A62" s="24">
        <v>46661</v>
      </c>
      <c r="B62" s="26" t="str">
        <f>IF(SUMIFS('NSE - NIFTY Index Options'!$L:$L,'NSE - NIFTY Index Options'!$D:$D,$A62,'NSE - NIFTY Index Options'!$B:$B,"Tuesday")+SUMIFS('NSE - Other Index Options'!$L:$L,'NSE - Other Index Options'!$D:$D,$A62,'NSE - Other Index Options'!$B:$B,"Tuesday")=0,"",SUMIFS('NSE - NIFTY Index Options'!$L:$L,'NSE - NIFTY Index Options'!$D:$D,$A62,'NSE - NIFTY Index Options'!$B:$B,"Tuesday")+SUMIFS('NSE - Other Index Options'!$L:$L,'NSE - Other Index Options'!$D:$D,$A62,'NSE - Other Index Options'!$B:$B,"Tuesday"))</f>
        <v/>
      </c>
      <c r="C62" s="26" t="str">
        <f>IF(SUMIFS('BSE - SENSEX Index Options'!$L:$L,'BSE - SENSEX Index Options'!$D:$D,$A62,'BSE - SENSEX Index Options'!$B:$B,"Tuesday")+SUMIFS('BSE - Other Index Options'!$L:$L,'BSE - Other Index Options'!$D:$D,$A62,'BSE - Other Index Options'!$B:$B,"Tuesday")=0,"",SUMIFS('BSE - SENSEX Index Options'!$L:$L,'BSE - SENSEX Index Options'!$D:$D,$A62,'BSE - SENSEX Index Options'!$B:$B,"Tuesday")+SUMIFS('BSE - Other Index Options'!$L:$L,'BSE - Other Index Options'!$D:$D,$A62,'BSE - Other Index Options'!$B:$B,"Tuesday"))</f>
        <v/>
      </c>
      <c r="D62" s="27" t="str">
        <f t="shared" si="2"/>
        <v/>
      </c>
      <c r="E62" s="27" t="str">
        <f t="shared" si="3"/>
        <v/>
      </c>
    </row>
    <row r="63" spans="1:5" hidden="1" outlineLevel="1">
      <c r="A63" s="24">
        <v>46692</v>
      </c>
      <c r="B63" s="26" t="str">
        <f>IF(SUMIFS('NSE - NIFTY Index Options'!$L:$L,'NSE - NIFTY Index Options'!$D:$D,$A63,'NSE - NIFTY Index Options'!$B:$B,"Tuesday")+SUMIFS('NSE - Other Index Options'!$L:$L,'NSE - Other Index Options'!$D:$D,$A63,'NSE - Other Index Options'!$B:$B,"Tuesday")=0,"",SUMIFS('NSE - NIFTY Index Options'!$L:$L,'NSE - NIFTY Index Options'!$D:$D,$A63,'NSE - NIFTY Index Options'!$B:$B,"Tuesday")+SUMIFS('NSE - Other Index Options'!$L:$L,'NSE - Other Index Options'!$D:$D,$A63,'NSE - Other Index Options'!$B:$B,"Tuesday"))</f>
        <v/>
      </c>
      <c r="C63" s="26" t="str">
        <f>IF(SUMIFS('BSE - SENSEX Index Options'!$L:$L,'BSE - SENSEX Index Options'!$D:$D,$A63,'BSE - SENSEX Index Options'!$B:$B,"Tuesday")+SUMIFS('BSE - Other Index Options'!$L:$L,'BSE - Other Index Options'!$D:$D,$A63,'BSE - Other Index Options'!$B:$B,"Tuesday")=0,"",SUMIFS('BSE - SENSEX Index Options'!$L:$L,'BSE - SENSEX Index Options'!$D:$D,$A63,'BSE - SENSEX Index Options'!$B:$B,"Tuesday")+SUMIFS('BSE - Other Index Options'!$L:$L,'BSE - Other Index Options'!$D:$D,$A63,'BSE - Other Index Options'!$B:$B,"Tuesday"))</f>
        <v/>
      </c>
      <c r="D63" s="27" t="str">
        <f t="shared" si="2"/>
        <v/>
      </c>
      <c r="E63" s="27" t="str">
        <f t="shared" si="3"/>
        <v/>
      </c>
    </row>
    <row r="64" spans="1:5" hidden="1" outlineLevel="1">
      <c r="A64" s="24">
        <v>46722</v>
      </c>
      <c r="B64" s="26" t="str">
        <f>IF(SUMIFS('NSE - NIFTY Index Options'!$L:$L,'NSE - NIFTY Index Options'!$D:$D,$A64,'NSE - NIFTY Index Options'!$B:$B,"Tuesday")+SUMIFS('NSE - Other Index Options'!$L:$L,'NSE - Other Index Options'!$D:$D,$A64,'NSE - Other Index Options'!$B:$B,"Tuesday")=0,"",SUMIFS('NSE - NIFTY Index Options'!$L:$L,'NSE - NIFTY Index Options'!$D:$D,$A64,'NSE - NIFTY Index Options'!$B:$B,"Tuesday")+SUMIFS('NSE - Other Index Options'!$L:$L,'NSE - Other Index Options'!$D:$D,$A64,'NSE - Other Index Options'!$B:$B,"Tuesday"))</f>
        <v/>
      </c>
      <c r="C64" s="26" t="str">
        <f>IF(SUMIFS('BSE - SENSEX Index Options'!$L:$L,'BSE - SENSEX Index Options'!$D:$D,$A64,'BSE - SENSEX Index Options'!$B:$B,"Tuesday")+SUMIFS('BSE - Other Index Options'!$L:$L,'BSE - Other Index Options'!$D:$D,$A64,'BSE - Other Index Options'!$B:$B,"Tuesday")=0,"",SUMIFS('BSE - SENSEX Index Options'!$L:$L,'BSE - SENSEX Index Options'!$D:$D,$A64,'BSE - SENSEX Index Options'!$B:$B,"Tuesday")+SUMIFS('BSE - Other Index Options'!$L:$L,'BSE - Other Index Options'!$D:$D,$A64,'BSE - Other Index Options'!$B:$B,"Tuesday"))</f>
        <v/>
      </c>
      <c r="D64" s="27" t="str">
        <f t="shared" si="2"/>
        <v/>
      </c>
      <c r="E64" s="27" t="str">
        <f t="shared" si="3"/>
        <v/>
      </c>
    </row>
    <row r="65" spans="1:5" collapsed="1">
      <c r="A65" s="28" t="s">
        <v>9</v>
      </c>
      <c r="B65" s="30">
        <f>IF(SUM(B37:B64)=0,"",SUM(B37:B64))</f>
        <v>3097716.8400000003</v>
      </c>
      <c r="C65" s="30">
        <f>IF(SUM(C37:C64)=0,"",SUM(C37:C64))</f>
        <v>464037.01999999996</v>
      </c>
      <c r="D65" s="31">
        <f t="shared" si="2"/>
        <v>0.86971670748747365</v>
      </c>
      <c r="E65" s="31">
        <f t="shared" si="3"/>
        <v>0.13028329251252638</v>
      </c>
    </row>
    <row r="67" spans="1:5">
      <c r="A67" s="28" t="s">
        <v>179</v>
      </c>
    </row>
    <row r="68" spans="1:5">
      <c r="A68" s="28" t="s">
        <v>169</v>
      </c>
      <c r="B68" s="28" t="s">
        <v>1</v>
      </c>
      <c r="C68" s="28" t="s">
        <v>148</v>
      </c>
      <c r="D68" s="28" t="s">
        <v>149</v>
      </c>
      <c r="E68" s="28" t="s">
        <v>150</v>
      </c>
    </row>
    <row r="69" spans="1:5">
      <c r="A69" s="24">
        <v>45901</v>
      </c>
      <c r="B69" s="26">
        <f>IF(SUMIFS('NSE - NIFTY Index Options'!$L:$L,'NSE - NIFTY Index Options'!$D:$D,$A69,'NSE - NIFTY Index Options'!$B:$B,"Wednesday")+SUMIFS('NSE - Other Index Options'!$L:$L,'NSE - Other Index Options'!$D:$D,$A69,'NSE - Other Index Options'!$B:$B,"Wednesday")=0,"",SUMIFS('NSE - NIFTY Index Options'!$L:$L,'NSE - NIFTY Index Options'!$D:$D,$A69,'NSE - NIFTY Index Options'!$B:$B,"Wednesday")+SUMIFS('NSE - Other Index Options'!$L:$L,'NSE - Other Index Options'!$D:$D,$A69,'NSE - Other Index Options'!$B:$B,"Wednesday"))</f>
        <v>129648.12000000001</v>
      </c>
      <c r="C69" s="26">
        <f>IF(SUMIFS('BSE - SENSEX Index Options'!$L:$L,'BSE - SENSEX Index Options'!$D:$D,$A69,'BSE - SENSEX Index Options'!$B:$B,"Wednesday")+SUMIFS('BSE - Other Index Options'!$L:$L,'BSE - Other Index Options'!$D:$D,$A69,'BSE - Other Index Options'!$B:$B,"Wednesday")=0,"",SUMIFS('BSE - SENSEX Index Options'!$L:$L,'BSE - SENSEX Index Options'!$D:$D,$A69,'BSE - SENSEX Index Options'!$B:$B,"Wednesday")+SUMIFS('BSE - Other Index Options'!$L:$L,'BSE - Other Index Options'!$D:$D,$A69,'BSE - Other Index Options'!$B:$B,"Wednesday"))</f>
        <v>88707.73000000001</v>
      </c>
      <c r="D69" s="27">
        <f t="shared" ref="D69:D97" si="4">IF(SUM(B69:C69)=0,"",SUM(B69)/SUM(B69:C69))</f>
        <v>0.59374695021910329</v>
      </c>
      <c r="E69" s="27">
        <f t="shared" ref="E69:E97" si="5">IF(SUM(B69:C69)=0,"",SUM(C69)/SUM(B69:C69))</f>
        <v>0.4062530497808966</v>
      </c>
    </row>
    <row r="70" spans="1:5">
      <c r="A70" s="24">
        <v>45931</v>
      </c>
      <c r="B70" s="26">
        <f>IF(SUMIFS('NSE - NIFTY Index Options'!$L:$L,'NSE - NIFTY Index Options'!$D:$D,$A70,'NSE - NIFTY Index Options'!$B:$B,"Wednesday")+SUMIFS('NSE - Other Index Options'!$L:$L,'NSE - Other Index Options'!$D:$D,$A70,'NSE - Other Index Options'!$B:$B,"Wednesday")=0,"",SUMIFS('NSE - NIFTY Index Options'!$L:$L,'NSE - NIFTY Index Options'!$D:$D,$A70,'NSE - NIFTY Index Options'!$B:$B,"Wednesday")+SUMIFS('NSE - Other Index Options'!$L:$L,'NSE - Other Index Options'!$D:$D,$A70,'NSE - Other Index Options'!$B:$B,"Wednesday"))</f>
        <v>154543.79999999999</v>
      </c>
      <c r="C70" s="26">
        <f>IF(SUMIFS('BSE - SENSEX Index Options'!$L:$L,'BSE - SENSEX Index Options'!$D:$D,$A70,'BSE - SENSEX Index Options'!$B:$B,"Wednesday")+SUMIFS('BSE - Other Index Options'!$L:$L,'BSE - Other Index Options'!$D:$D,$A70,'BSE - Other Index Options'!$B:$B,"Wednesday")=0,"",SUMIFS('BSE - SENSEX Index Options'!$L:$L,'BSE - SENSEX Index Options'!$D:$D,$A70,'BSE - SENSEX Index Options'!$B:$B,"Wednesday")+SUMIFS('BSE - Other Index Options'!$L:$L,'BSE - Other Index Options'!$D:$D,$A70,'BSE - Other Index Options'!$B:$B,"Wednesday"))</f>
        <v>125757.61999999997</v>
      </c>
      <c r="D70" s="27">
        <f t="shared" si="4"/>
        <v>0.55134861607194152</v>
      </c>
      <c r="E70" s="27">
        <f t="shared" si="5"/>
        <v>0.44865138392805859</v>
      </c>
    </row>
    <row r="71" spans="1:5">
      <c r="A71" s="24">
        <v>45962</v>
      </c>
      <c r="B71" s="26">
        <f>IF(SUMIFS('NSE - NIFTY Index Options'!$L:$L,'NSE - NIFTY Index Options'!$D:$D,$A71,'NSE - NIFTY Index Options'!$B:$B,"Wednesday")+SUMIFS('NSE - Other Index Options'!$L:$L,'NSE - Other Index Options'!$D:$D,$A71,'NSE - Other Index Options'!$B:$B,"Wednesday")=0,"",SUMIFS('NSE - NIFTY Index Options'!$L:$L,'NSE - NIFTY Index Options'!$D:$D,$A71,'NSE - NIFTY Index Options'!$B:$B,"Wednesday")+SUMIFS('NSE - Other Index Options'!$L:$L,'NSE - Other Index Options'!$D:$D,$A71,'NSE - Other Index Options'!$B:$B,"Wednesday"))</f>
        <v>104958.36999999998</v>
      </c>
      <c r="C71" s="26">
        <f>IF(SUMIFS('BSE - SENSEX Index Options'!$L:$L,'BSE - SENSEX Index Options'!$D:$D,$A71,'BSE - SENSEX Index Options'!$B:$B,"Wednesday")+SUMIFS('BSE - Other Index Options'!$L:$L,'BSE - Other Index Options'!$D:$D,$A71,'BSE - Other Index Options'!$B:$B,"Wednesday")=0,"",SUMIFS('BSE - SENSEX Index Options'!$L:$L,'BSE - SENSEX Index Options'!$D:$D,$A71,'BSE - SENSEX Index Options'!$B:$B,"Wednesday")+SUMIFS('BSE - Other Index Options'!$L:$L,'BSE - Other Index Options'!$D:$D,$A71,'BSE - Other Index Options'!$B:$B,"Wednesday"))</f>
        <v>70797.860000000015</v>
      </c>
      <c r="D71" s="27">
        <f t="shared" si="4"/>
        <v>0.59718150531562941</v>
      </c>
      <c r="E71" s="27">
        <f t="shared" si="5"/>
        <v>0.40281849468437064</v>
      </c>
    </row>
    <row r="72" spans="1:5">
      <c r="A72" s="24">
        <v>45992</v>
      </c>
      <c r="B72" s="26">
        <f>IF(SUMIFS('NSE - NIFTY Index Options'!$L:$L,'NSE - NIFTY Index Options'!$D:$D,$A72,'NSE - NIFTY Index Options'!$B:$B,"Wednesday")+SUMIFS('NSE - Other Index Options'!$L:$L,'NSE - Other Index Options'!$D:$D,$A72,'NSE - Other Index Options'!$B:$B,"Wednesday")=0,"",SUMIFS('NSE - NIFTY Index Options'!$L:$L,'NSE - NIFTY Index Options'!$D:$D,$A72,'NSE - NIFTY Index Options'!$B:$B,"Wednesday")+SUMIFS('NSE - Other Index Options'!$L:$L,'NSE - Other Index Options'!$D:$D,$A72,'NSE - Other Index Options'!$B:$B,"Wednesday"))</f>
        <v>159018.78000000003</v>
      </c>
      <c r="C72" s="26">
        <f>IF(SUMIFS('BSE - SENSEX Index Options'!$L:$L,'BSE - SENSEX Index Options'!$D:$D,$A72,'BSE - SENSEX Index Options'!$B:$B,"Wednesday")+SUMIFS('BSE - Other Index Options'!$L:$L,'BSE - Other Index Options'!$D:$D,$A72,'BSE - Other Index Options'!$B:$B,"Wednesday")=0,"",SUMIFS('BSE - SENSEX Index Options'!$L:$L,'BSE - SENSEX Index Options'!$D:$D,$A72,'BSE - SENSEX Index Options'!$B:$B,"Wednesday")+SUMIFS('BSE - Other Index Options'!$L:$L,'BSE - Other Index Options'!$D:$D,$A72,'BSE - Other Index Options'!$B:$B,"Wednesday"))</f>
        <v>143057.26</v>
      </c>
      <c r="D72" s="27">
        <f t="shared" si="4"/>
        <v>0.52641970544899885</v>
      </c>
      <c r="E72" s="27">
        <f t="shared" si="5"/>
        <v>0.47358029455100109</v>
      </c>
    </row>
    <row r="73" spans="1:5">
      <c r="A73" s="24">
        <v>46023</v>
      </c>
      <c r="B73" s="26">
        <f>IF(SUMIFS('NSE - NIFTY Index Options'!$L:$L,'NSE - NIFTY Index Options'!$D:$D,$A73,'NSE - NIFTY Index Options'!$B:$B,"Wednesday")+SUMIFS('NSE - Other Index Options'!$L:$L,'NSE - Other Index Options'!$D:$D,$A73,'NSE - Other Index Options'!$B:$B,"Wednesday")=0,"",SUMIFS('NSE - NIFTY Index Options'!$L:$L,'NSE - NIFTY Index Options'!$D:$D,$A73,'NSE - NIFTY Index Options'!$B:$B,"Wednesday")+SUMIFS('NSE - Other Index Options'!$L:$L,'NSE - Other Index Options'!$D:$D,$A73,'NSE - Other Index Options'!$B:$B,"Wednesday"))</f>
        <v>190796.04000000004</v>
      </c>
      <c r="C73" s="26">
        <f>IF(SUMIFS('BSE - SENSEX Index Options'!$L:$L,'BSE - SENSEX Index Options'!$D:$D,$A73,'BSE - SENSEX Index Options'!$B:$B,"Wednesday")+SUMIFS('BSE - Other Index Options'!$L:$L,'BSE - Other Index Options'!$D:$D,$A73,'BSE - Other Index Options'!$B:$B,"Wednesday")=0,"",SUMIFS('BSE - SENSEX Index Options'!$L:$L,'BSE - SENSEX Index Options'!$D:$D,$A73,'BSE - SENSEX Index Options'!$B:$B,"Wednesday")+SUMIFS('BSE - Other Index Options'!$L:$L,'BSE - Other Index Options'!$D:$D,$A73,'BSE - Other Index Options'!$B:$B,"Wednesday"))</f>
        <v>188658.84000000003</v>
      </c>
      <c r="D73" s="27">
        <f t="shared" si="4"/>
        <v>0.50281614509740924</v>
      </c>
      <c r="E73" s="27">
        <f t="shared" si="5"/>
        <v>0.49718385490259076</v>
      </c>
    </row>
    <row r="74" spans="1:5">
      <c r="A74" s="24">
        <v>46054</v>
      </c>
      <c r="B74" s="26">
        <f>IF(SUMIFS('NSE - NIFTY Index Options'!$L:$L,'NSE - NIFTY Index Options'!$D:$D,$A74,'NSE - NIFTY Index Options'!$B:$B,"Wednesday")+SUMIFS('NSE - Other Index Options'!$L:$L,'NSE - Other Index Options'!$D:$D,$A74,'NSE - Other Index Options'!$B:$B,"Wednesday")=0,"",SUMIFS('NSE - NIFTY Index Options'!$L:$L,'NSE - NIFTY Index Options'!$D:$D,$A74,'NSE - NIFTY Index Options'!$B:$B,"Wednesday")+SUMIFS('NSE - Other Index Options'!$L:$L,'NSE - Other Index Options'!$D:$D,$A74,'NSE - Other Index Options'!$B:$B,"Wednesday"))</f>
        <v>154592.01999999996</v>
      </c>
      <c r="C74" s="26">
        <f>IF(SUMIFS('BSE - SENSEX Index Options'!$L:$L,'BSE - SENSEX Index Options'!$D:$D,$A74,'BSE - SENSEX Index Options'!$B:$B,"Wednesday")+SUMIFS('BSE - Other Index Options'!$L:$L,'BSE - Other Index Options'!$D:$D,$A74,'BSE - Other Index Options'!$B:$B,"Wednesday")=0,"",SUMIFS('BSE - SENSEX Index Options'!$L:$L,'BSE - SENSEX Index Options'!$D:$D,$A74,'BSE - SENSEX Index Options'!$B:$B,"Wednesday")+SUMIFS('BSE - Other Index Options'!$L:$L,'BSE - Other Index Options'!$D:$D,$A74,'BSE - Other Index Options'!$B:$B,"Wednesday"))</f>
        <v>135794.78</v>
      </c>
      <c r="D74" s="27">
        <f t="shared" si="4"/>
        <v>0.53236586511508099</v>
      </c>
      <c r="E74" s="27">
        <f t="shared" si="5"/>
        <v>0.46763413488491912</v>
      </c>
    </row>
    <row r="75" spans="1:5">
      <c r="A75" s="24">
        <v>46082</v>
      </c>
      <c r="B75" s="26">
        <f>IF(SUMIFS('NSE - NIFTY Index Options'!$L:$L,'NSE - NIFTY Index Options'!$D:$D,$A75,'NSE - NIFTY Index Options'!$B:$B,"Wednesday")+SUMIFS('NSE - Other Index Options'!$L:$L,'NSE - Other Index Options'!$D:$D,$A75,'NSE - Other Index Options'!$B:$B,"Wednesday")=0,"",SUMIFS('NSE - NIFTY Index Options'!$L:$L,'NSE - NIFTY Index Options'!$D:$D,$A75,'NSE - NIFTY Index Options'!$B:$B,"Wednesday")+SUMIFS('NSE - Other Index Options'!$L:$L,'NSE - Other Index Options'!$D:$D,$A75,'NSE - Other Index Options'!$B:$B,"Wednesday"))</f>
        <v>231365.32</v>
      </c>
      <c r="C75" s="26">
        <f>IF(SUMIFS('BSE - SENSEX Index Options'!$L:$L,'BSE - SENSEX Index Options'!$D:$D,$A75,'BSE - SENSEX Index Options'!$B:$B,"Wednesday")+SUMIFS('BSE - Other Index Options'!$L:$L,'BSE - Other Index Options'!$D:$D,$A75,'BSE - Other Index Options'!$B:$B,"Wednesday")=0,"",SUMIFS('BSE - SENSEX Index Options'!$L:$L,'BSE - SENSEX Index Options'!$D:$D,$A75,'BSE - SENSEX Index Options'!$B:$B,"Wednesday")+SUMIFS('BSE - Other Index Options'!$L:$L,'BSE - Other Index Options'!$D:$D,$A75,'BSE - Other Index Options'!$B:$B,"Wednesday"))</f>
        <v>215427.73000000004</v>
      </c>
      <c r="D75" s="27">
        <f t="shared" si="4"/>
        <v>0.51783553929498227</v>
      </c>
      <c r="E75" s="27">
        <f t="shared" si="5"/>
        <v>0.48216446070501773</v>
      </c>
    </row>
    <row r="76" spans="1:5">
      <c r="A76" s="24">
        <v>46113</v>
      </c>
      <c r="B76" s="26">
        <f>IF(SUMIFS('NSE - NIFTY Index Options'!$L:$L,'NSE - NIFTY Index Options'!$D:$D,$A76,'NSE - NIFTY Index Options'!$B:$B,"Wednesday")+SUMIFS('NSE - Other Index Options'!$L:$L,'NSE - Other Index Options'!$D:$D,$A76,'NSE - Other Index Options'!$B:$B,"Wednesday")=0,"",SUMIFS('NSE - NIFTY Index Options'!$L:$L,'NSE - NIFTY Index Options'!$D:$D,$A76,'NSE - NIFTY Index Options'!$B:$B,"Wednesday")+SUMIFS('NSE - Other Index Options'!$L:$L,'NSE - Other Index Options'!$D:$D,$A76,'NSE - Other Index Options'!$B:$B,"Wednesday"))</f>
        <v>210850.66999999998</v>
      </c>
      <c r="C76" s="26">
        <f>IF(SUMIFS('BSE - SENSEX Index Options'!$L:$L,'BSE - SENSEX Index Options'!$D:$D,$A76,'BSE - SENSEX Index Options'!$B:$B,"Wednesday")+SUMIFS('BSE - Other Index Options'!$L:$L,'BSE - Other Index Options'!$D:$D,$A76,'BSE - Other Index Options'!$B:$B,"Wednesday")=0,"",SUMIFS('BSE - SENSEX Index Options'!$L:$L,'BSE - SENSEX Index Options'!$D:$D,$A76,'BSE - SENSEX Index Options'!$B:$B,"Wednesday")+SUMIFS('BSE - Other Index Options'!$L:$L,'BSE - Other Index Options'!$D:$D,$A76,'BSE - Other Index Options'!$B:$B,"Wednesday"))</f>
        <v>190366.64000000004</v>
      </c>
      <c r="D76" s="27">
        <f t="shared" si="4"/>
        <v>0.52552735075164114</v>
      </c>
      <c r="E76" s="27">
        <f t="shared" si="5"/>
        <v>0.47447264924835875</v>
      </c>
    </row>
    <row r="77" spans="1:5">
      <c r="A77" s="24">
        <v>46143</v>
      </c>
      <c r="B77" s="26">
        <f>IF(SUMIFS('NSE - NIFTY Index Options'!$L:$L,'NSE - NIFTY Index Options'!$D:$D,$A77,'NSE - NIFTY Index Options'!$B:$B,"Wednesday")+SUMIFS('NSE - Other Index Options'!$L:$L,'NSE - Other Index Options'!$D:$D,$A77,'NSE - Other Index Options'!$B:$B,"Wednesday")=0,"",SUMIFS('NSE - NIFTY Index Options'!$L:$L,'NSE - NIFTY Index Options'!$D:$D,$A77,'NSE - NIFTY Index Options'!$B:$B,"Wednesday")+SUMIFS('NSE - Other Index Options'!$L:$L,'NSE - Other Index Options'!$D:$D,$A77,'NSE - Other Index Options'!$B:$B,"Wednesday"))</f>
        <v>168047.30000000002</v>
      </c>
      <c r="C77" s="26">
        <f>IF(SUMIFS('BSE - SENSEX Index Options'!$L:$L,'BSE - SENSEX Index Options'!$D:$D,$A77,'BSE - SENSEX Index Options'!$B:$B,"Wednesday")+SUMIFS('BSE - Other Index Options'!$L:$L,'BSE - Other Index Options'!$D:$D,$A77,'BSE - Other Index Options'!$B:$B,"Wednesday")=0,"",SUMIFS('BSE - SENSEX Index Options'!$L:$L,'BSE - SENSEX Index Options'!$D:$D,$A77,'BSE - SENSEX Index Options'!$B:$B,"Wednesday")+SUMIFS('BSE - Other Index Options'!$L:$L,'BSE - Other Index Options'!$D:$D,$A77,'BSE - Other Index Options'!$B:$B,"Wednesday"))</f>
        <v>198376.36999999997</v>
      </c>
      <c r="D77" s="27">
        <f t="shared" si="4"/>
        <v>0.45861475051543482</v>
      </c>
      <c r="E77" s="27">
        <f t="shared" si="5"/>
        <v>0.54138524948456512</v>
      </c>
    </row>
    <row r="78" spans="1:5">
      <c r="A78" s="24">
        <v>46174</v>
      </c>
      <c r="B78" s="26">
        <f>IF(SUMIFS('NSE - NIFTY Index Options'!$L:$L,'NSE - NIFTY Index Options'!$D:$D,$A78,'NSE - NIFTY Index Options'!$B:$B,"Wednesday")+SUMIFS('NSE - Other Index Options'!$L:$L,'NSE - Other Index Options'!$D:$D,$A78,'NSE - Other Index Options'!$B:$B,"Wednesday")=0,"",SUMIFS('NSE - NIFTY Index Options'!$L:$L,'NSE - NIFTY Index Options'!$D:$D,$A78,'NSE - NIFTY Index Options'!$B:$B,"Wednesday")+SUMIFS('NSE - Other Index Options'!$L:$L,'NSE - Other Index Options'!$D:$D,$A78,'NSE - Other Index Options'!$B:$B,"Wednesday"))</f>
        <v>157956.98999999996</v>
      </c>
      <c r="C78" s="26">
        <f>IF(SUMIFS('BSE - SENSEX Index Options'!$L:$L,'BSE - SENSEX Index Options'!$D:$D,$A78,'BSE - SENSEX Index Options'!$B:$B,"Wednesday")+SUMIFS('BSE - Other Index Options'!$L:$L,'BSE - Other Index Options'!$D:$D,$A78,'BSE - Other Index Options'!$B:$B,"Wednesday")=0,"",SUMIFS('BSE - SENSEX Index Options'!$L:$L,'BSE - SENSEX Index Options'!$D:$D,$A78,'BSE - SENSEX Index Options'!$B:$B,"Wednesday")+SUMIFS('BSE - Other Index Options'!$L:$L,'BSE - Other Index Options'!$D:$D,$A78,'BSE - Other Index Options'!$B:$B,"Wednesday"))</f>
        <v>158898.91</v>
      </c>
      <c r="D78" s="27">
        <f t="shared" si="4"/>
        <v>0.49851364610853066</v>
      </c>
      <c r="E78" s="27">
        <f t="shared" si="5"/>
        <v>0.50148635389146934</v>
      </c>
    </row>
    <row r="79" spans="1:5">
      <c r="A79" s="24">
        <v>46204</v>
      </c>
      <c r="B79" s="26">
        <f>IF(SUMIFS('NSE - NIFTY Index Options'!$L:$L,'NSE - NIFTY Index Options'!$D:$D,$A79,'NSE - NIFTY Index Options'!$B:$B,"Wednesday")+SUMIFS('NSE - Other Index Options'!$L:$L,'NSE - Other Index Options'!$D:$D,$A79,'NSE - Other Index Options'!$B:$B,"Wednesday")=0,"",SUMIFS('NSE - NIFTY Index Options'!$L:$L,'NSE - NIFTY Index Options'!$D:$D,$A79,'NSE - NIFTY Index Options'!$B:$B,"Wednesday")+SUMIFS('NSE - Other Index Options'!$L:$L,'NSE - Other Index Options'!$D:$D,$A79,'NSE - Other Index Options'!$B:$B,"Wednesday"))</f>
        <v>78001.38</v>
      </c>
      <c r="C79" s="26">
        <f>IF(SUMIFS('BSE - SENSEX Index Options'!$L:$L,'BSE - SENSEX Index Options'!$D:$D,$A79,'BSE - SENSEX Index Options'!$B:$B,"Wednesday")+SUMIFS('BSE - Other Index Options'!$L:$L,'BSE - Other Index Options'!$D:$D,$A79,'BSE - Other Index Options'!$B:$B,"Wednesday")=0,"",SUMIFS('BSE - SENSEX Index Options'!$L:$L,'BSE - SENSEX Index Options'!$D:$D,$A79,'BSE - SENSEX Index Options'!$B:$B,"Wednesday")+SUMIFS('BSE - Other Index Options'!$L:$L,'BSE - Other Index Options'!$D:$D,$A79,'BSE - Other Index Options'!$B:$B,"Wednesday"))</f>
        <v>85448.290000000023</v>
      </c>
      <c r="D79" s="27">
        <f t="shared" si="4"/>
        <v>0.4772195624500189</v>
      </c>
      <c r="E79" s="27">
        <f t="shared" si="5"/>
        <v>0.52278043754998094</v>
      </c>
    </row>
    <row r="80" spans="1:5" hidden="1" outlineLevel="1">
      <c r="A80" s="24">
        <v>46235</v>
      </c>
      <c r="B80" s="26" t="str">
        <f>IF(SUMIFS('NSE - NIFTY Index Options'!$L:$L,'NSE - NIFTY Index Options'!$D:$D,$A80,'NSE - NIFTY Index Options'!$B:$B,"Wednesday")+SUMIFS('NSE - Other Index Options'!$L:$L,'NSE - Other Index Options'!$D:$D,$A80,'NSE - Other Index Options'!$B:$B,"Wednesday")=0,"",SUMIFS('NSE - NIFTY Index Options'!$L:$L,'NSE - NIFTY Index Options'!$D:$D,$A80,'NSE - NIFTY Index Options'!$B:$B,"Wednesday")+SUMIFS('NSE - Other Index Options'!$L:$L,'NSE - Other Index Options'!$D:$D,$A80,'NSE - Other Index Options'!$B:$B,"Wednesday"))</f>
        <v/>
      </c>
      <c r="C80" s="26" t="str">
        <f>IF(SUMIFS('BSE - SENSEX Index Options'!$L:$L,'BSE - SENSEX Index Options'!$D:$D,$A80,'BSE - SENSEX Index Options'!$B:$B,"Wednesday")+SUMIFS('BSE - Other Index Options'!$L:$L,'BSE - Other Index Options'!$D:$D,$A80,'BSE - Other Index Options'!$B:$B,"Wednesday")=0,"",SUMIFS('BSE - SENSEX Index Options'!$L:$L,'BSE - SENSEX Index Options'!$D:$D,$A80,'BSE - SENSEX Index Options'!$B:$B,"Wednesday")+SUMIFS('BSE - Other Index Options'!$L:$L,'BSE - Other Index Options'!$D:$D,$A80,'BSE - Other Index Options'!$B:$B,"Wednesday"))</f>
        <v/>
      </c>
      <c r="D80" s="27" t="str">
        <f t="shared" si="4"/>
        <v/>
      </c>
      <c r="E80" s="27" t="str">
        <f t="shared" si="5"/>
        <v/>
      </c>
    </row>
    <row r="81" spans="1:5" hidden="1" outlineLevel="1">
      <c r="A81" s="24">
        <v>46266</v>
      </c>
      <c r="B81" s="26" t="str">
        <f>IF(SUMIFS('NSE - NIFTY Index Options'!$L:$L,'NSE - NIFTY Index Options'!$D:$D,$A81,'NSE - NIFTY Index Options'!$B:$B,"Wednesday")+SUMIFS('NSE - Other Index Options'!$L:$L,'NSE - Other Index Options'!$D:$D,$A81,'NSE - Other Index Options'!$B:$B,"Wednesday")=0,"",SUMIFS('NSE - NIFTY Index Options'!$L:$L,'NSE - NIFTY Index Options'!$D:$D,$A81,'NSE - NIFTY Index Options'!$B:$B,"Wednesday")+SUMIFS('NSE - Other Index Options'!$L:$L,'NSE - Other Index Options'!$D:$D,$A81,'NSE - Other Index Options'!$B:$B,"Wednesday"))</f>
        <v/>
      </c>
      <c r="C81" s="26" t="str">
        <f>IF(SUMIFS('BSE - SENSEX Index Options'!$L:$L,'BSE - SENSEX Index Options'!$D:$D,$A81,'BSE - SENSEX Index Options'!$B:$B,"Wednesday")+SUMIFS('BSE - Other Index Options'!$L:$L,'BSE - Other Index Options'!$D:$D,$A81,'BSE - Other Index Options'!$B:$B,"Wednesday")=0,"",SUMIFS('BSE - SENSEX Index Options'!$L:$L,'BSE - SENSEX Index Options'!$D:$D,$A81,'BSE - SENSEX Index Options'!$B:$B,"Wednesday")+SUMIFS('BSE - Other Index Options'!$L:$L,'BSE - Other Index Options'!$D:$D,$A81,'BSE - Other Index Options'!$B:$B,"Wednesday"))</f>
        <v/>
      </c>
      <c r="D81" s="27" t="str">
        <f t="shared" si="4"/>
        <v/>
      </c>
      <c r="E81" s="27" t="str">
        <f t="shared" si="5"/>
        <v/>
      </c>
    </row>
    <row r="82" spans="1:5" hidden="1" outlineLevel="1">
      <c r="A82" s="24">
        <v>46296</v>
      </c>
      <c r="B82" s="26" t="str">
        <f>IF(SUMIFS('NSE - NIFTY Index Options'!$L:$L,'NSE - NIFTY Index Options'!$D:$D,$A82,'NSE - NIFTY Index Options'!$B:$B,"Wednesday")+SUMIFS('NSE - Other Index Options'!$L:$L,'NSE - Other Index Options'!$D:$D,$A82,'NSE - Other Index Options'!$B:$B,"Wednesday")=0,"",SUMIFS('NSE - NIFTY Index Options'!$L:$L,'NSE - NIFTY Index Options'!$D:$D,$A82,'NSE - NIFTY Index Options'!$B:$B,"Wednesday")+SUMIFS('NSE - Other Index Options'!$L:$L,'NSE - Other Index Options'!$D:$D,$A82,'NSE - Other Index Options'!$B:$B,"Wednesday"))</f>
        <v/>
      </c>
      <c r="C82" s="26" t="str">
        <f>IF(SUMIFS('BSE - SENSEX Index Options'!$L:$L,'BSE - SENSEX Index Options'!$D:$D,$A82,'BSE - SENSEX Index Options'!$B:$B,"Wednesday")+SUMIFS('BSE - Other Index Options'!$L:$L,'BSE - Other Index Options'!$D:$D,$A82,'BSE - Other Index Options'!$B:$B,"Wednesday")=0,"",SUMIFS('BSE - SENSEX Index Options'!$L:$L,'BSE - SENSEX Index Options'!$D:$D,$A82,'BSE - SENSEX Index Options'!$B:$B,"Wednesday")+SUMIFS('BSE - Other Index Options'!$L:$L,'BSE - Other Index Options'!$D:$D,$A82,'BSE - Other Index Options'!$B:$B,"Wednesday"))</f>
        <v/>
      </c>
      <c r="D82" s="27" t="str">
        <f t="shared" si="4"/>
        <v/>
      </c>
      <c r="E82" s="27" t="str">
        <f t="shared" si="5"/>
        <v/>
      </c>
    </row>
    <row r="83" spans="1:5" hidden="1" outlineLevel="1">
      <c r="A83" s="24">
        <v>46327</v>
      </c>
      <c r="B83" s="26" t="str">
        <f>IF(SUMIFS('NSE - NIFTY Index Options'!$L:$L,'NSE - NIFTY Index Options'!$D:$D,$A83,'NSE - NIFTY Index Options'!$B:$B,"Wednesday")+SUMIFS('NSE - Other Index Options'!$L:$L,'NSE - Other Index Options'!$D:$D,$A83,'NSE - Other Index Options'!$B:$B,"Wednesday")=0,"",SUMIFS('NSE - NIFTY Index Options'!$L:$L,'NSE - NIFTY Index Options'!$D:$D,$A83,'NSE - NIFTY Index Options'!$B:$B,"Wednesday")+SUMIFS('NSE - Other Index Options'!$L:$L,'NSE - Other Index Options'!$D:$D,$A83,'NSE - Other Index Options'!$B:$B,"Wednesday"))</f>
        <v/>
      </c>
      <c r="C83" s="26" t="str">
        <f>IF(SUMIFS('BSE - SENSEX Index Options'!$L:$L,'BSE - SENSEX Index Options'!$D:$D,$A83,'BSE - SENSEX Index Options'!$B:$B,"Wednesday")+SUMIFS('BSE - Other Index Options'!$L:$L,'BSE - Other Index Options'!$D:$D,$A83,'BSE - Other Index Options'!$B:$B,"Wednesday")=0,"",SUMIFS('BSE - SENSEX Index Options'!$L:$L,'BSE - SENSEX Index Options'!$D:$D,$A83,'BSE - SENSEX Index Options'!$B:$B,"Wednesday")+SUMIFS('BSE - Other Index Options'!$L:$L,'BSE - Other Index Options'!$D:$D,$A83,'BSE - Other Index Options'!$B:$B,"Wednesday"))</f>
        <v/>
      </c>
      <c r="D83" s="27" t="str">
        <f t="shared" si="4"/>
        <v/>
      </c>
      <c r="E83" s="27" t="str">
        <f t="shared" si="5"/>
        <v/>
      </c>
    </row>
    <row r="84" spans="1:5" hidden="1" outlineLevel="1">
      <c r="A84" s="24">
        <v>46357</v>
      </c>
      <c r="B84" s="26" t="str">
        <f>IF(SUMIFS('NSE - NIFTY Index Options'!$L:$L,'NSE - NIFTY Index Options'!$D:$D,$A84,'NSE - NIFTY Index Options'!$B:$B,"Wednesday")+SUMIFS('NSE - Other Index Options'!$L:$L,'NSE - Other Index Options'!$D:$D,$A84,'NSE - Other Index Options'!$B:$B,"Wednesday")=0,"",SUMIFS('NSE - NIFTY Index Options'!$L:$L,'NSE - NIFTY Index Options'!$D:$D,$A84,'NSE - NIFTY Index Options'!$B:$B,"Wednesday")+SUMIFS('NSE - Other Index Options'!$L:$L,'NSE - Other Index Options'!$D:$D,$A84,'NSE - Other Index Options'!$B:$B,"Wednesday"))</f>
        <v/>
      </c>
      <c r="C84" s="26" t="str">
        <f>IF(SUMIFS('BSE - SENSEX Index Options'!$L:$L,'BSE - SENSEX Index Options'!$D:$D,$A84,'BSE - SENSEX Index Options'!$B:$B,"Wednesday")+SUMIFS('BSE - Other Index Options'!$L:$L,'BSE - Other Index Options'!$D:$D,$A84,'BSE - Other Index Options'!$B:$B,"Wednesday")=0,"",SUMIFS('BSE - SENSEX Index Options'!$L:$L,'BSE - SENSEX Index Options'!$D:$D,$A84,'BSE - SENSEX Index Options'!$B:$B,"Wednesday")+SUMIFS('BSE - Other Index Options'!$L:$L,'BSE - Other Index Options'!$D:$D,$A84,'BSE - Other Index Options'!$B:$B,"Wednesday"))</f>
        <v/>
      </c>
      <c r="D84" s="27" t="str">
        <f t="shared" si="4"/>
        <v/>
      </c>
      <c r="E84" s="27" t="str">
        <f t="shared" si="5"/>
        <v/>
      </c>
    </row>
    <row r="85" spans="1:5" hidden="1" outlineLevel="1">
      <c r="A85" s="24">
        <v>46388</v>
      </c>
      <c r="B85" s="26" t="str">
        <f>IF(SUMIFS('NSE - NIFTY Index Options'!$L:$L,'NSE - NIFTY Index Options'!$D:$D,$A85,'NSE - NIFTY Index Options'!$B:$B,"Wednesday")+SUMIFS('NSE - Other Index Options'!$L:$L,'NSE - Other Index Options'!$D:$D,$A85,'NSE - Other Index Options'!$B:$B,"Wednesday")=0,"",SUMIFS('NSE - NIFTY Index Options'!$L:$L,'NSE - NIFTY Index Options'!$D:$D,$A85,'NSE - NIFTY Index Options'!$B:$B,"Wednesday")+SUMIFS('NSE - Other Index Options'!$L:$L,'NSE - Other Index Options'!$D:$D,$A85,'NSE - Other Index Options'!$B:$B,"Wednesday"))</f>
        <v/>
      </c>
      <c r="C85" s="26" t="str">
        <f>IF(SUMIFS('BSE - SENSEX Index Options'!$L:$L,'BSE - SENSEX Index Options'!$D:$D,$A85,'BSE - SENSEX Index Options'!$B:$B,"Wednesday")+SUMIFS('BSE - Other Index Options'!$L:$L,'BSE - Other Index Options'!$D:$D,$A85,'BSE - Other Index Options'!$B:$B,"Wednesday")=0,"",SUMIFS('BSE - SENSEX Index Options'!$L:$L,'BSE - SENSEX Index Options'!$D:$D,$A85,'BSE - SENSEX Index Options'!$B:$B,"Wednesday")+SUMIFS('BSE - Other Index Options'!$L:$L,'BSE - Other Index Options'!$D:$D,$A85,'BSE - Other Index Options'!$B:$B,"Wednesday"))</f>
        <v/>
      </c>
      <c r="D85" s="27" t="str">
        <f t="shared" si="4"/>
        <v/>
      </c>
      <c r="E85" s="27" t="str">
        <f t="shared" si="5"/>
        <v/>
      </c>
    </row>
    <row r="86" spans="1:5" hidden="1" outlineLevel="1">
      <c r="A86" s="24">
        <v>46419</v>
      </c>
      <c r="B86" s="26" t="str">
        <f>IF(SUMIFS('NSE - NIFTY Index Options'!$L:$L,'NSE - NIFTY Index Options'!$D:$D,$A86,'NSE - NIFTY Index Options'!$B:$B,"Wednesday")+SUMIFS('NSE - Other Index Options'!$L:$L,'NSE - Other Index Options'!$D:$D,$A86,'NSE - Other Index Options'!$B:$B,"Wednesday")=0,"",SUMIFS('NSE - NIFTY Index Options'!$L:$L,'NSE - NIFTY Index Options'!$D:$D,$A86,'NSE - NIFTY Index Options'!$B:$B,"Wednesday")+SUMIFS('NSE - Other Index Options'!$L:$L,'NSE - Other Index Options'!$D:$D,$A86,'NSE - Other Index Options'!$B:$B,"Wednesday"))</f>
        <v/>
      </c>
      <c r="C86" s="26" t="str">
        <f>IF(SUMIFS('BSE - SENSEX Index Options'!$L:$L,'BSE - SENSEX Index Options'!$D:$D,$A86,'BSE - SENSEX Index Options'!$B:$B,"Wednesday")+SUMIFS('BSE - Other Index Options'!$L:$L,'BSE - Other Index Options'!$D:$D,$A86,'BSE - Other Index Options'!$B:$B,"Wednesday")=0,"",SUMIFS('BSE - SENSEX Index Options'!$L:$L,'BSE - SENSEX Index Options'!$D:$D,$A86,'BSE - SENSEX Index Options'!$B:$B,"Wednesday")+SUMIFS('BSE - Other Index Options'!$L:$L,'BSE - Other Index Options'!$D:$D,$A86,'BSE - Other Index Options'!$B:$B,"Wednesday"))</f>
        <v/>
      </c>
      <c r="D86" s="27" t="str">
        <f t="shared" si="4"/>
        <v/>
      </c>
      <c r="E86" s="27" t="str">
        <f t="shared" si="5"/>
        <v/>
      </c>
    </row>
    <row r="87" spans="1:5" hidden="1" outlineLevel="1">
      <c r="A87" s="24">
        <v>46447</v>
      </c>
      <c r="B87" s="26" t="str">
        <f>IF(SUMIFS('NSE - NIFTY Index Options'!$L:$L,'NSE - NIFTY Index Options'!$D:$D,$A87,'NSE - NIFTY Index Options'!$B:$B,"Wednesday")+SUMIFS('NSE - Other Index Options'!$L:$L,'NSE - Other Index Options'!$D:$D,$A87,'NSE - Other Index Options'!$B:$B,"Wednesday")=0,"",SUMIFS('NSE - NIFTY Index Options'!$L:$L,'NSE - NIFTY Index Options'!$D:$D,$A87,'NSE - NIFTY Index Options'!$B:$B,"Wednesday")+SUMIFS('NSE - Other Index Options'!$L:$L,'NSE - Other Index Options'!$D:$D,$A87,'NSE - Other Index Options'!$B:$B,"Wednesday"))</f>
        <v/>
      </c>
      <c r="C87" s="26" t="str">
        <f>IF(SUMIFS('BSE - SENSEX Index Options'!$L:$L,'BSE - SENSEX Index Options'!$D:$D,$A87,'BSE - SENSEX Index Options'!$B:$B,"Wednesday")+SUMIFS('BSE - Other Index Options'!$L:$L,'BSE - Other Index Options'!$D:$D,$A87,'BSE - Other Index Options'!$B:$B,"Wednesday")=0,"",SUMIFS('BSE - SENSEX Index Options'!$L:$L,'BSE - SENSEX Index Options'!$D:$D,$A87,'BSE - SENSEX Index Options'!$B:$B,"Wednesday")+SUMIFS('BSE - Other Index Options'!$L:$L,'BSE - Other Index Options'!$D:$D,$A87,'BSE - Other Index Options'!$B:$B,"Wednesday"))</f>
        <v/>
      </c>
      <c r="D87" s="27" t="str">
        <f t="shared" si="4"/>
        <v/>
      </c>
      <c r="E87" s="27" t="str">
        <f t="shared" si="5"/>
        <v/>
      </c>
    </row>
    <row r="88" spans="1:5" hidden="1" outlineLevel="1">
      <c r="A88" s="24">
        <v>46478</v>
      </c>
      <c r="B88" s="26" t="str">
        <f>IF(SUMIFS('NSE - NIFTY Index Options'!$L:$L,'NSE - NIFTY Index Options'!$D:$D,$A88,'NSE - NIFTY Index Options'!$B:$B,"Wednesday")+SUMIFS('NSE - Other Index Options'!$L:$L,'NSE - Other Index Options'!$D:$D,$A88,'NSE - Other Index Options'!$B:$B,"Wednesday")=0,"",SUMIFS('NSE - NIFTY Index Options'!$L:$L,'NSE - NIFTY Index Options'!$D:$D,$A88,'NSE - NIFTY Index Options'!$B:$B,"Wednesday")+SUMIFS('NSE - Other Index Options'!$L:$L,'NSE - Other Index Options'!$D:$D,$A88,'NSE - Other Index Options'!$B:$B,"Wednesday"))</f>
        <v/>
      </c>
      <c r="C88" s="26" t="str">
        <f>IF(SUMIFS('BSE - SENSEX Index Options'!$L:$L,'BSE - SENSEX Index Options'!$D:$D,$A88,'BSE - SENSEX Index Options'!$B:$B,"Wednesday")+SUMIFS('BSE - Other Index Options'!$L:$L,'BSE - Other Index Options'!$D:$D,$A88,'BSE - Other Index Options'!$B:$B,"Wednesday")=0,"",SUMIFS('BSE - SENSEX Index Options'!$L:$L,'BSE - SENSEX Index Options'!$D:$D,$A88,'BSE - SENSEX Index Options'!$B:$B,"Wednesday")+SUMIFS('BSE - Other Index Options'!$L:$L,'BSE - Other Index Options'!$D:$D,$A88,'BSE - Other Index Options'!$B:$B,"Wednesday"))</f>
        <v/>
      </c>
      <c r="D88" s="27" t="str">
        <f t="shared" si="4"/>
        <v/>
      </c>
      <c r="E88" s="27" t="str">
        <f t="shared" si="5"/>
        <v/>
      </c>
    </row>
    <row r="89" spans="1:5" hidden="1" outlineLevel="1">
      <c r="A89" s="24">
        <v>46508</v>
      </c>
      <c r="B89" s="26" t="str">
        <f>IF(SUMIFS('NSE - NIFTY Index Options'!$L:$L,'NSE - NIFTY Index Options'!$D:$D,$A89,'NSE - NIFTY Index Options'!$B:$B,"Wednesday")+SUMIFS('NSE - Other Index Options'!$L:$L,'NSE - Other Index Options'!$D:$D,$A89,'NSE - Other Index Options'!$B:$B,"Wednesday")=0,"",SUMIFS('NSE - NIFTY Index Options'!$L:$L,'NSE - NIFTY Index Options'!$D:$D,$A89,'NSE - NIFTY Index Options'!$B:$B,"Wednesday")+SUMIFS('NSE - Other Index Options'!$L:$L,'NSE - Other Index Options'!$D:$D,$A89,'NSE - Other Index Options'!$B:$B,"Wednesday"))</f>
        <v/>
      </c>
      <c r="C89" s="26" t="str">
        <f>IF(SUMIFS('BSE - SENSEX Index Options'!$L:$L,'BSE - SENSEX Index Options'!$D:$D,$A89,'BSE - SENSEX Index Options'!$B:$B,"Wednesday")+SUMIFS('BSE - Other Index Options'!$L:$L,'BSE - Other Index Options'!$D:$D,$A89,'BSE - Other Index Options'!$B:$B,"Wednesday")=0,"",SUMIFS('BSE - SENSEX Index Options'!$L:$L,'BSE - SENSEX Index Options'!$D:$D,$A89,'BSE - SENSEX Index Options'!$B:$B,"Wednesday")+SUMIFS('BSE - Other Index Options'!$L:$L,'BSE - Other Index Options'!$D:$D,$A89,'BSE - Other Index Options'!$B:$B,"Wednesday"))</f>
        <v/>
      </c>
      <c r="D89" s="27" t="str">
        <f t="shared" si="4"/>
        <v/>
      </c>
      <c r="E89" s="27" t="str">
        <f t="shared" si="5"/>
        <v/>
      </c>
    </row>
    <row r="90" spans="1:5" hidden="1" outlineLevel="1">
      <c r="A90" s="24">
        <v>46539</v>
      </c>
      <c r="B90" s="26" t="str">
        <f>IF(SUMIFS('NSE - NIFTY Index Options'!$L:$L,'NSE - NIFTY Index Options'!$D:$D,$A90,'NSE - NIFTY Index Options'!$B:$B,"Wednesday")+SUMIFS('NSE - Other Index Options'!$L:$L,'NSE - Other Index Options'!$D:$D,$A90,'NSE - Other Index Options'!$B:$B,"Wednesday")=0,"",SUMIFS('NSE - NIFTY Index Options'!$L:$L,'NSE - NIFTY Index Options'!$D:$D,$A90,'NSE - NIFTY Index Options'!$B:$B,"Wednesday")+SUMIFS('NSE - Other Index Options'!$L:$L,'NSE - Other Index Options'!$D:$D,$A90,'NSE - Other Index Options'!$B:$B,"Wednesday"))</f>
        <v/>
      </c>
      <c r="C90" s="26" t="str">
        <f>IF(SUMIFS('BSE - SENSEX Index Options'!$L:$L,'BSE - SENSEX Index Options'!$D:$D,$A90,'BSE - SENSEX Index Options'!$B:$B,"Wednesday")+SUMIFS('BSE - Other Index Options'!$L:$L,'BSE - Other Index Options'!$D:$D,$A90,'BSE - Other Index Options'!$B:$B,"Wednesday")=0,"",SUMIFS('BSE - SENSEX Index Options'!$L:$L,'BSE - SENSEX Index Options'!$D:$D,$A90,'BSE - SENSEX Index Options'!$B:$B,"Wednesday")+SUMIFS('BSE - Other Index Options'!$L:$L,'BSE - Other Index Options'!$D:$D,$A90,'BSE - Other Index Options'!$B:$B,"Wednesday"))</f>
        <v/>
      </c>
      <c r="D90" s="27" t="str">
        <f t="shared" si="4"/>
        <v/>
      </c>
      <c r="E90" s="27" t="str">
        <f t="shared" si="5"/>
        <v/>
      </c>
    </row>
    <row r="91" spans="1:5" hidden="1" outlineLevel="1">
      <c r="A91" s="24">
        <v>46569</v>
      </c>
      <c r="B91" s="26" t="str">
        <f>IF(SUMIFS('NSE - NIFTY Index Options'!$L:$L,'NSE - NIFTY Index Options'!$D:$D,$A91,'NSE - NIFTY Index Options'!$B:$B,"Wednesday")+SUMIFS('NSE - Other Index Options'!$L:$L,'NSE - Other Index Options'!$D:$D,$A91,'NSE - Other Index Options'!$B:$B,"Wednesday")=0,"",SUMIFS('NSE - NIFTY Index Options'!$L:$L,'NSE - NIFTY Index Options'!$D:$D,$A91,'NSE - NIFTY Index Options'!$B:$B,"Wednesday")+SUMIFS('NSE - Other Index Options'!$L:$L,'NSE - Other Index Options'!$D:$D,$A91,'NSE - Other Index Options'!$B:$B,"Wednesday"))</f>
        <v/>
      </c>
      <c r="C91" s="26" t="str">
        <f>IF(SUMIFS('BSE - SENSEX Index Options'!$L:$L,'BSE - SENSEX Index Options'!$D:$D,$A91,'BSE - SENSEX Index Options'!$B:$B,"Wednesday")+SUMIFS('BSE - Other Index Options'!$L:$L,'BSE - Other Index Options'!$D:$D,$A91,'BSE - Other Index Options'!$B:$B,"Wednesday")=0,"",SUMIFS('BSE - SENSEX Index Options'!$L:$L,'BSE - SENSEX Index Options'!$D:$D,$A91,'BSE - SENSEX Index Options'!$B:$B,"Wednesday")+SUMIFS('BSE - Other Index Options'!$L:$L,'BSE - Other Index Options'!$D:$D,$A91,'BSE - Other Index Options'!$B:$B,"Wednesday"))</f>
        <v/>
      </c>
      <c r="D91" s="27" t="str">
        <f t="shared" si="4"/>
        <v/>
      </c>
      <c r="E91" s="27" t="str">
        <f t="shared" si="5"/>
        <v/>
      </c>
    </row>
    <row r="92" spans="1:5" hidden="1" outlineLevel="1">
      <c r="A92" s="24">
        <v>46600</v>
      </c>
      <c r="B92" s="26" t="str">
        <f>IF(SUMIFS('NSE - NIFTY Index Options'!$L:$L,'NSE - NIFTY Index Options'!$D:$D,$A92,'NSE - NIFTY Index Options'!$B:$B,"Wednesday")+SUMIFS('NSE - Other Index Options'!$L:$L,'NSE - Other Index Options'!$D:$D,$A92,'NSE - Other Index Options'!$B:$B,"Wednesday")=0,"",SUMIFS('NSE - NIFTY Index Options'!$L:$L,'NSE - NIFTY Index Options'!$D:$D,$A92,'NSE - NIFTY Index Options'!$B:$B,"Wednesday")+SUMIFS('NSE - Other Index Options'!$L:$L,'NSE - Other Index Options'!$D:$D,$A92,'NSE - Other Index Options'!$B:$B,"Wednesday"))</f>
        <v/>
      </c>
      <c r="C92" s="26" t="str">
        <f>IF(SUMIFS('BSE - SENSEX Index Options'!$L:$L,'BSE - SENSEX Index Options'!$D:$D,$A92,'BSE - SENSEX Index Options'!$B:$B,"Wednesday")+SUMIFS('BSE - Other Index Options'!$L:$L,'BSE - Other Index Options'!$D:$D,$A92,'BSE - Other Index Options'!$B:$B,"Wednesday")=0,"",SUMIFS('BSE - SENSEX Index Options'!$L:$L,'BSE - SENSEX Index Options'!$D:$D,$A92,'BSE - SENSEX Index Options'!$B:$B,"Wednesday")+SUMIFS('BSE - Other Index Options'!$L:$L,'BSE - Other Index Options'!$D:$D,$A92,'BSE - Other Index Options'!$B:$B,"Wednesday"))</f>
        <v/>
      </c>
      <c r="D92" s="27" t="str">
        <f t="shared" si="4"/>
        <v/>
      </c>
      <c r="E92" s="27" t="str">
        <f t="shared" si="5"/>
        <v/>
      </c>
    </row>
    <row r="93" spans="1:5" hidden="1" outlineLevel="1">
      <c r="A93" s="24">
        <v>46631</v>
      </c>
      <c r="B93" s="26" t="str">
        <f>IF(SUMIFS('NSE - NIFTY Index Options'!$L:$L,'NSE - NIFTY Index Options'!$D:$D,$A93,'NSE - NIFTY Index Options'!$B:$B,"Wednesday")+SUMIFS('NSE - Other Index Options'!$L:$L,'NSE - Other Index Options'!$D:$D,$A93,'NSE - Other Index Options'!$B:$B,"Wednesday")=0,"",SUMIFS('NSE - NIFTY Index Options'!$L:$L,'NSE - NIFTY Index Options'!$D:$D,$A93,'NSE - NIFTY Index Options'!$B:$B,"Wednesday")+SUMIFS('NSE - Other Index Options'!$L:$L,'NSE - Other Index Options'!$D:$D,$A93,'NSE - Other Index Options'!$B:$B,"Wednesday"))</f>
        <v/>
      </c>
      <c r="C93" s="26" t="str">
        <f>IF(SUMIFS('BSE - SENSEX Index Options'!$L:$L,'BSE - SENSEX Index Options'!$D:$D,$A93,'BSE - SENSEX Index Options'!$B:$B,"Wednesday")+SUMIFS('BSE - Other Index Options'!$L:$L,'BSE - Other Index Options'!$D:$D,$A93,'BSE - Other Index Options'!$B:$B,"Wednesday")=0,"",SUMIFS('BSE - SENSEX Index Options'!$L:$L,'BSE - SENSEX Index Options'!$D:$D,$A93,'BSE - SENSEX Index Options'!$B:$B,"Wednesday")+SUMIFS('BSE - Other Index Options'!$L:$L,'BSE - Other Index Options'!$D:$D,$A93,'BSE - Other Index Options'!$B:$B,"Wednesday"))</f>
        <v/>
      </c>
      <c r="D93" s="27" t="str">
        <f t="shared" si="4"/>
        <v/>
      </c>
      <c r="E93" s="27" t="str">
        <f t="shared" si="5"/>
        <v/>
      </c>
    </row>
    <row r="94" spans="1:5" hidden="1" outlineLevel="1">
      <c r="A94" s="24">
        <v>46661</v>
      </c>
      <c r="B94" s="26" t="str">
        <f>IF(SUMIFS('NSE - NIFTY Index Options'!$L:$L,'NSE - NIFTY Index Options'!$D:$D,$A94,'NSE - NIFTY Index Options'!$B:$B,"Wednesday")+SUMIFS('NSE - Other Index Options'!$L:$L,'NSE - Other Index Options'!$D:$D,$A94,'NSE - Other Index Options'!$B:$B,"Wednesday")=0,"",SUMIFS('NSE - NIFTY Index Options'!$L:$L,'NSE - NIFTY Index Options'!$D:$D,$A94,'NSE - NIFTY Index Options'!$B:$B,"Wednesday")+SUMIFS('NSE - Other Index Options'!$L:$L,'NSE - Other Index Options'!$D:$D,$A94,'NSE - Other Index Options'!$B:$B,"Wednesday"))</f>
        <v/>
      </c>
      <c r="C94" s="26" t="str">
        <f>IF(SUMIFS('BSE - SENSEX Index Options'!$L:$L,'BSE - SENSEX Index Options'!$D:$D,$A94,'BSE - SENSEX Index Options'!$B:$B,"Wednesday")+SUMIFS('BSE - Other Index Options'!$L:$L,'BSE - Other Index Options'!$D:$D,$A94,'BSE - Other Index Options'!$B:$B,"Wednesday")=0,"",SUMIFS('BSE - SENSEX Index Options'!$L:$L,'BSE - SENSEX Index Options'!$D:$D,$A94,'BSE - SENSEX Index Options'!$B:$B,"Wednesday")+SUMIFS('BSE - Other Index Options'!$L:$L,'BSE - Other Index Options'!$D:$D,$A94,'BSE - Other Index Options'!$B:$B,"Wednesday"))</f>
        <v/>
      </c>
      <c r="D94" s="27" t="str">
        <f t="shared" si="4"/>
        <v/>
      </c>
      <c r="E94" s="27" t="str">
        <f t="shared" si="5"/>
        <v/>
      </c>
    </row>
    <row r="95" spans="1:5" hidden="1" outlineLevel="1">
      <c r="A95" s="24">
        <v>46692</v>
      </c>
      <c r="B95" s="26" t="str">
        <f>IF(SUMIFS('NSE - NIFTY Index Options'!$L:$L,'NSE - NIFTY Index Options'!$D:$D,$A95,'NSE - NIFTY Index Options'!$B:$B,"Wednesday")+SUMIFS('NSE - Other Index Options'!$L:$L,'NSE - Other Index Options'!$D:$D,$A95,'NSE - Other Index Options'!$B:$B,"Wednesday")=0,"",SUMIFS('NSE - NIFTY Index Options'!$L:$L,'NSE - NIFTY Index Options'!$D:$D,$A95,'NSE - NIFTY Index Options'!$B:$B,"Wednesday")+SUMIFS('NSE - Other Index Options'!$L:$L,'NSE - Other Index Options'!$D:$D,$A95,'NSE - Other Index Options'!$B:$B,"Wednesday"))</f>
        <v/>
      </c>
      <c r="C95" s="26" t="str">
        <f>IF(SUMIFS('BSE - SENSEX Index Options'!$L:$L,'BSE - SENSEX Index Options'!$D:$D,$A95,'BSE - SENSEX Index Options'!$B:$B,"Wednesday")+SUMIFS('BSE - Other Index Options'!$L:$L,'BSE - Other Index Options'!$D:$D,$A95,'BSE - Other Index Options'!$B:$B,"Wednesday")=0,"",SUMIFS('BSE - SENSEX Index Options'!$L:$L,'BSE - SENSEX Index Options'!$D:$D,$A95,'BSE - SENSEX Index Options'!$B:$B,"Wednesday")+SUMIFS('BSE - Other Index Options'!$L:$L,'BSE - Other Index Options'!$D:$D,$A95,'BSE - Other Index Options'!$B:$B,"Wednesday"))</f>
        <v/>
      </c>
      <c r="D95" s="27" t="str">
        <f t="shared" si="4"/>
        <v/>
      </c>
      <c r="E95" s="27" t="str">
        <f t="shared" si="5"/>
        <v/>
      </c>
    </row>
    <row r="96" spans="1:5" hidden="1" outlineLevel="1">
      <c r="A96" s="24">
        <v>46722</v>
      </c>
      <c r="B96" s="26" t="str">
        <f>IF(SUMIFS('NSE - NIFTY Index Options'!$L:$L,'NSE - NIFTY Index Options'!$D:$D,$A96,'NSE - NIFTY Index Options'!$B:$B,"Wednesday")+SUMIFS('NSE - Other Index Options'!$L:$L,'NSE - Other Index Options'!$D:$D,$A96,'NSE - Other Index Options'!$B:$B,"Wednesday")=0,"",SUMIFS('NSE - NIFTY Index Options'!$L:$L,'NSE - NIFTY Index Options'!$D:$D,$A96,'NSE - NIFTY Index Options'!$B:$B,"Wednesday")+SUMIFS('NSE - Other Index Options'!$L:$L,'NSE - Other Index Options'!$D:$D,$A96,'NSE - Other Index Options'!$B:$B,"Wednesday"))</f>
        <v/>
      </c>
      <c r="C96" s="26" t="str">
        <f>IF(SUMIFS('BSE - SENSEX Index Options'!$L:$L,'BSE - SENSEX Index Options'!$D:$D,$A96,'BSE - SENSEX Index Options'!$B:$B,"Wednesday")+SUMIFS('BSE - Other Index Options'!$L:$L,'BSE - Other Index Options'!$D:$D,$A96,'BSE - Other Index Options'!$B:$B,"Wednesday")=0,"",SUMIFS('BSE - SENSEX Index Options'!$L:$L,'BSE - SENSEX Index Options'!$D:$D,$A96,'BSE - SENSEX Index Options'!$B:$B,"Wednesday")+SUMIFS('BSE - Other Index Options'!$L:$L,'BSE - Other Index Options'!$D:$D,$A96,'BSE - Other Index Options'!$B:$B,"Wednesday"))</f>
        <v/>
      </c>
      <c r="D96" s="27" t="str">
        <f t="shared" si="4"/>
        <v/>
      </c>
      <c r="E96" s="27" t="str">
        <f t="shared" si="5"/>
        <v/>
      </c>
    </row>
    <row r="97" spans="1:5" collapsed="1">
      <c r="A97" s="28" t="s">
        <v>9</v>
      </c>
      <c r="B97" s="30">
        <f>IF(SUM(B69:B96)=0,"",SUM(B69:B96))</f>
        <v>1739778.79</v>
      </c>
      <c r="C97" s="30">
        <f>IF(SUM(C69:C96)=0,"",SUM(C69:C96))</f>
        <v>1601292.03</v>
      </c>
      <c r="D97" s="31">
        <f t="shared" si="4"/>
        <v>0.52072490639393265</v>
      </c>
      <c r="E97" s="31">
        <f t="shared" si="5"/>
        <v>0.47927509360606724</v>
      </c>
    </row>
    <row r="99" spans="1:5">
      <c r="A99" s="28" t="s">
        <v>180</v>
      </c>
    </row>
    <row r="100" spans="1:5">
      <c r="A100" s="28" t="s">
        <v>169</v>
      </c>
      <c r="B100" s="28" t="s">
        <v>1</v>
      </c>
      <c r="C100" s="28" t="s">
        <v>148</v>
      </c>
      <c r="D100" s="28" t="s">
        <v>149</v>
      </c>
      <c r="E100" s="28" t="s">
        <v>150</v>
      </c>
    </row>
    <row r="101" spans="1:5">
      <c r="A101" s="24">
        <v>45901</v>
      </c>
      <c r="B101" s="26">
        <f>IF(SUMIFS('NSE - NIFTY Index Options'!$L:$L,'NSE - NIFTY Index Options'!$D:$D,$A101,'NSE - NIFTY Index Options'!$B:$B,"Thursday")+SUMIFS('NSE - Other Index Options'!$L:$L,'NSE - Other Index Options'!$D:$D,$A101,'NSE - Other Index Options'!$B:$B,"Thursday")=0,"",SUMIFS('NSE - NIFTY Index Options'!$L:$L,'NSE - NIFTY Index Options'!$D:$D,$A101,'NSE - NIFTY Index Options'!$B:$B,"Thursday")+SUMIFS('NSE - Other Index Options'!$L:$L,'NSE - Other Index Options'!$D:$D,$A101,'NSE - Other Index Options'!$B:$B,"Thursday"))</f>
        <v>117879.92000000001</v>
      </c>
      <c r="C101" s="26">
        <f>IF(SUMIFS('BSE - SENSEX Index Options'!$L:$L,'BSE - SENSEX Index Options'!$D:$D,$A101,'BSE - SENSEX Index Options'!$B:$B,"Thursday")+SUMIFS('BSE - Other Index Options'!$L:$L,'BSE - Other Index Options'!$D:$D,$A101,'BSE - Other Index Options'!$B:$B,"Thursday")=0,"",SUMIFS('BSE - SENSEX Index Options'!$L:$L,'BSE - SENSEX Index Options'!$D:$D,$A101,'BSE - SENSEX Index Options'!$B:$B,"Thursday")+SUMIFS('BSE - Other Index Options'!$L:$L,'BSE - Other Index Options'!$D:$D,$A101,'BSE - Other Index Options'!$B:$B,"Thursday"))</f>
        <v>144339.46999999997</v>
      </c>
      <c r="D101" s="27">
        <f t="shared" ref="D101:D129" si="6">IF(SUM(B101:C101)=0,"",SUM(B101)/SUM(B101:C101))</f>
        <v>0.44954692328435364</v>
      </c>
      <c r="E101" s="27">
        <f t="shared" ref="E101:E129" si="7">IF(SUM(B101:C101)=0,"",SUM(C101)/SUM(B101:C101))</f>
        <v>0.55045307671564625</v>
      </c>
    </row>
    <row r="102" spans="1:5">
      <c r="A102" s="24">
        <v>45931</v>
      </c>
      <c r="B102" s="26">
        <f>IF(SUMIFS('NSE - NIFTY Index Options'!$L:$L,'NSE - NIFTY Index Options'!$D:$D,$A102,'NSE - NIFTY Index Options'!$B:$B,"Thursday")+SUMIFS('NSE - Other Index Options'!$L:$L,'NSE - Other Index Options'!$D:$D,$A102,'NSE - Other Index Options'!$B:$B,"Thursday")=0,"",SUMIFS('NSE - NIFTY Index Options'!$L:$L,'NSE - NIFTY Index Options'!$D:$D,$A102,'NSE - NIFTY Index Options'!$B:$B,"Thursday")+SUMIFS('NSE - Other Index Options'!$L:$L,'NSE - Other Index Options'!$D:$D,$A102,'NSE - Other Index Options'!$B:$B,"Thursday"))</f>
        <v>148100.35999999999</v>
      </c>
      <c r="C102" s="26">
        <f>IF(SUMIFS('BSE - SENSEX Index Options'!$L:$L,'BSE - SENSEX Index Options'!$D:$D,$A102,'BSE - SENSEX Index Options'!$B:$B,"Thursday")+SUMIFS('BSE - Other Index Options'!$L:$L,'BSE - Other Index Options'!$D:$D,$A102,'BSE - Other Index Options'!$B:$B,"Thursday")=0,"",SUMIFS('BSE - SENSEX Index Options'!$L:$L,'BSE - SENSEX Index Options'!$D:$D,$A102,'BSE - SENSEX Index Options'!$B:$B,"Thursday")+SUMIFS('BSE - Other Index Options'!$L:$L,'BSE - Other Index Options'!$D:$D,$A102,'BSE - Other Index Options'!$B:$B,"Thursday"))</f>
        <v>176225.84000000003</v>
      </c>
      <c r="D102" s="27">
        <f t="shared" si="6"/>
        <v>0.45664013576454809</v>
      </c>
      <c r="E102" s="27">
        <f t="shared" si="7"/>
        <v>0.54335986423545191</v>
      </c>
    </row>
    <row r="103" spans="1:5">
      <c r="A103" s="24">
        <v>45962</v>
      </c>
      <c r="B103" s="26">
        <f>IF(SUMIFS('NSE - NIFTY Index Options'!$L:$L,'NSE - NIFTY Index Options'!$D:$D,$A103,'NSE - NIFTY Index Options'!$B:$B,"Thursday")+SUMIFS('NSE - Other Index Options'!$L:$L,'NSE - Other Index Options'!$D:$D,$A103,'NSE - Other Index Options'!$B:$B,"Thursday")=0,"",SUMIFS('NSE - NIFTY Index Options'!$L:$L,'NSE - NIFTY Index Options'!$D:$D,$A103,'NSE - NIFTY Index Options'!$B:$B,"Thursday")+SUMIFS('NSE - Other Index Options'!$L:$L,'NSE - Other Index Options'!$D:$D,$A103,'NSE - Other Index Options'!$B:$B,"Thursday"))</f>
        <v>136281.42000000001</v>
      </c>
      <c r="C103" s="26">
        <f>IF(SUMIFS('BSE - SENSEX Index Options'!$L:$L,'BSE - SENSEX Index Options'!$D:$D,$A103,'BSE - SENSEX Index Options'!$B:$B,"Thursday")+SUMIFS('BSE - Other Index Options'!$L:$L,'BSE - Other Index Options'!$D:$D,$A103,'BSE - Other Index Options'!$B:$B,"Thursday")=0,"",SUMIFS('BSE - SENSEX Index Options'!$L:$L,'BSE - SENSEX Index Options'!$D:$D,$A103,'BSE - SENSEX Index Options'!$B:$B,"Thursday")+SUMIFS('BSE - Other Index Options'!$L:$L,'BSE - Other Index Options'!$D:$D,$A103,'BSE - Other Index Options'!$B:$B,"Thursday"))</f>
        <v>181268.35999999996</v>
      </c>
      <c r="D103" s="27">
        <f t="shared" si="6"/>
        <v>0.4291655311491635</v>
      </c>
      <c r="E103" s="27">
        <f t="shared" si="7"/>
        <v>0.57083446885083644</v>
      </c>
    </row>
    <row r="104" spans="1:5">
      <c r="A104" s="24">
        <v>45992</v>
      </c>
      <c r="B104" s="26">
        <f>IF(SUMIFS('NSE - NIFTY Index Options'!$L:$L,'NSE - NIFTY Index Options'!$D:$D,$A104,'NSE - NIFTY Index Options'!$B:$B,"Thursday")+SUMIFS('NSE - Other Index Options'!$L:$L,'NSE - Other Index Options'!$D:$D,$A104,'NSE - Other Index Options'!$B:$B,"Thursday")=0,"",SUMIFS('NSE - NIFTY Index Options'!$L:$L,'NSE - NIFTY Index Options'!$D:$D,$A104,'NSE - NIFTY Index Options'!$B:$B,"Thursday")+SUMIFS('NSE - Other Index Options'!$L:$L,'NSE - Other Index Options'!$D:$D,$A104,'NSE - Other Index Options'!$B:$B,"Thursday"))</f>
        <v>102253.55999999998</v>
      </c>
      <c r="C104" s="26">
        <f>IF(SUMIFS('BSE - SENSEX Index Options'!$L:$L,'BSE - SENSEX Index Options'!$D:$D,$A104,'BSE - SENSEX Index Options'!$B:$B,"Thursday")+SUMIFS('BSE - Other Index Options'!$L:$L,'BSE - Other Index Options'!$D:$D,$A104,'BSE - Other Index Options'!$B:$B,"Thursday")=0,"",SUMIFS('BSE - SENSEX Index Options'!$L:$L,'BSE - SENSEX Index Options'!$D:$D,$A104,'BSE - SENSEX Index Options'!$B:$B,"Thursday")+SUMIFS('BSE - Other Index Options'!$L:$L,'BSE - Other Index Options'!$D:$D,$A104,'BSE - Other Index Options'!$B:$B,"Thursday"))</f>
        <v>145999.71000000002</v>
      </c>
      <c r="D104" s="27">
        <f t="shared" si="6"/>
        <v>0.41189209713128844</v>
      </c>
      <c r="E104" s="27">
        <f t="shared" si="7"/>
        <v>0.58810790286871151</v>
      </c>
    </row>
    <row r="105" spans="1:5">
      <c r="A105" s="24">
        <v>46023</v>
      </c>
      <c r="B105" s="26">
        <f>IF(SUMIFS('NSE - NIFTY Index Options'!$L:$L,'NSE - NIFTY Index Options'!$D:$D,$A105,'NSE - NIFTY Index Options'!$B:$B,"Thursday")+SUMIFS('NSE - Other Index Options'!$L:$L,'NSE - Other Index Options'!$D:$D,$A105,'NSE - Other Index Options'!$B:$B,"Thursday")=0,"",SUMIFS('NSE - NIFTY Index Options'!$L:$L,'NSE - NIFTY Index Options'!$D:$D,$A105,'NSE - NIFTY Index Options'!$B:$B,"Thursday")+SUMIFS('NSE - Other Index Options'!$L:$L,'NSE - Other Index Options'!$D:$D,$A105,'NSE - Other Index Options'!$B:$B,"Thursday"))</f>
        <v>148596.73000000004</v>
      </c>
      <c r="C105" s="26">
        <f>IF(SUMIFS('BSE - SENSEX Index Options'!$L:$L,'BSE - SENSEX Index Options'!$D:$D,$A105,'BSE - SENSEX Index Options'!$B:$B,"Thursday")+SUMIFS('BSE - Other Index Options'!$L:$L,'BSE - Other Index Options'!$D:$D,$A105,'BSE - Other Index Options'!$B:$B,"Thursday")=0,"",SUMIFS('BSE - SENSEX Index Options'!$L:$L,'BSE - SENSEX Index Options'!$D:$D,$A105,'BSE - SENSEX Index Options'!$B:$B,"Thursday")+SUMIFS('BSE - Other Index Options'!$L:$L,'BSE - Other Index Options'!$D:$D,$A105,'BSE - Other Index Options'!$B:$B,"Thursday"))</f>
        <v>226818.05000000005</v>
      </c>
      <c r="D105" s="27">
        <f t="shared" si="6"/>
        <v>0.39582013792850673</v>
      </c>
      <c r="E105" s="27">
        <f t="shared" si="7"/>
        <v>0.60417986207149332</v>
      </c>
    </row>
    <row r="106" spans="1:5">
      <c r="A106" s="24">
        <v>46054</v>
      </c>
      <c r="B106" s="26">
        <f>IF(SUMIFS('NSE - NIFTY Index Options'!$L:$L,'NSE - NIFTY Index Options'!$D:$D,$A106,'NSE - NIFTY Index Options'!$B:$B,"Thursday")+SUMIFS('NSE - Other Index Options'!$L:$L,'NSE - Other Index Options'!$D:$D,$A106,'NSE - Other Index Options'!$B:$B,"Thursday")=0,"",SUMIFS('NSE - NIFTY Index Options'!$L:$L,'NSE - NIFTY Index Options'!$D:$D,$A106,'NSE - NIFTY Index Options'!$B:$B,"Thursday")+SUMIFS('NSE - Other Index Options'!$L:$L,'NSE - Other Index Options'!$D:$D,$A106,'NSE - Other Index Options'!$B:$B,"Thursday"))</f>
        <v>143698.41000000003</v>
      </c>
      <c r="C106" s="26">
        <f>IF(SUMIFS('BSE - SENSEX Index Options'!$L:$L,'BSE - SENSEX Index Options'!$D:$D,$A106,'BSE - SENSEX Index Options'!$B:$B,"Thursday")+SUMIFS('BSE - Other Index Options'!$L:$L,'BSE - Other Index Options'!$D:$D,$A106,'BSE - Other Index Options'!$B:$B,"Thursday")=0,"",SUMIFS('BSE - SENSEX Index Options'!$L:$L,'BSE - SENSEX Index Options'!$D:$D,$A106,'BSE - SENSEX Index Options'!$B:$B,"Thursday")+SUMIFS('BSE - Other Index Options'!$L:$L,'BSE - Other Index Options'!$D:$D,$A106,'BSE - Other Index Options'!$B:$B,"Thursday"))</f>
        <v>219402.09</v>
      </c>
      <c r="D106" s="27">
        <f t="shared" si="6"/>
        <v>0.39575382022332667</v>
      </c>
      <c r="E106" s="27">
        <f t="shared" si="7"/>
        <v>0.60424617977667339</v>
      </c>
    </row>
    <row r="107" spans="1:5">
      <c r="A107" s="24">
        <v>46082</v>
      </c>
      <c r="B107" s="26">
        <f>IF(SUMIFS('NSE - NIFTY Index Options'!$L:$L,'NSE - NIFTY Index Options'!$D:$D,$A107,'NSE - NIFTY Index Options'!$B:$B,"Thursday")+SUMIFS('NSE - Other Index Options'!$L:$L,'NSE - Other Index Options'!$D:$D,$A107,'NSE - Other Index Options'!$B:$B,"Thursday")=0,"",SUMIFS('NSE - NIFTY Index Options'!$L:$L,'NSE - NIFTY Index Options'!$D:$D,$A107,'NSE - NIFTY Index Options'!$B:$B,"Thursday")+SUMIFS('NSE - Other Index Options'!$L:$L,'NSE - Other Index Options'!$D:$D,$A107,'NSE - Other Index Options'!$B:$B,"Thursday"))</f>
        <v>166336.94</v>
      </c>
      <c r="C107" s="26">
        <f>IF(SUMIFS('BSE - SENSEX Index Options'!$L:$L,'BSE - SENSEX Index Options'!$D:$D,$A107,'BSE - SENSEX Index Options'!$B:$B,"Thursday")+SUMIFS('BSE - Other Index Options'!$L:$L,'BSE - Other Index Options'!$D:$D,$A107,'BSE - Other Index Options'!$B:$B,"Thursday")=0,"",SUMIFS('BSE - SENSEX Index Options'!$L:$L,'BSE - SENSEX Index Options'!$D:$D,$A107,'BSE - SENSEX Index Options'!$B:$B,"Thursday")+SUMIFS('BSE - Other Index Options'!$L:$L,'BSE - Other Index Options'!$D:$D,$A107,'BSE - Other Index Options'!$B:$B,"Thursday"))</f>
        <v>230081.66999999998</v>
      </c>
      <c r="D107" s="27">
        <f t="shared" si="6"/>
        <v>0.41959922113646481</v>
      </c>
      <c r="E107" s="27">
        <f t="shared" si="7"/>
        <v>0.58040077886353514</v>
      </c>
    </row>
    <row r="108" spans="1:5">
      <c r="A108" s="24">
        <v>46113</v>
      </c>
      <c r="B108" s="26">
        <f>IF(SUMIFS('NSE - NIFTY Index Options'!$L:$L,'NSE - NIFTY Index Options'!$D:$D,$A108,'NSE - NIFTY Index Options'!$B:$B,"Thursday")+SUMIFS('NSE - Other Index Options'!$L:$L,'NSE - Other Index Options'!$D:$D,$A108,'NSE - Other Index Options'!$B:$B,"Thursday")=0,"",SUMIFS('NSE - NIFTY Index Options'!$L:$L,'NSE - NIFTY Index Options'!$D:$D,$A108,'NSE - NIFTY Index Options'!$B:$B,"Thursday")+SUMIFS('NSE - Other Index Options'!$L:$L,'NSE - Other Index Options'!$D:$D,$A108,'NSE - Other Index Options'!$B:$B,"Thursday"))</f>
        <v>202362.41999999995</v>
      </c>
      <c r="C108" s="26">
        <f>IF(SUMIFS('BSE - SENSEX Index Options'!$L:$L,'BSE - SENSEX Index Options'!$D:$D,$A108,'BSE - SENSEX Index Options'!$B:$B,"Thursday")+SUMIFS('BSE - Other Index Options'!$L:$L,'BSE - Other Index Options'!$D:$D,$A108,'BSE - Other Index Options'!$B:$B,"Thursday")=0,"",SUMIFS('BSE - SENSEX Index Options'!$L:$L,'BSE - SENSEX Index Options'!$D:$D,$A108,'BSE - SENSEX Index Options'!$B:$B,"Thursday")+SUMIFS('BSE - Other Index Options'!$L:$L,'BSE - Other Index Options'!$D:$D,$A108,'BSE - Other Index Options'!$B:$B,"Thursday"))</f>
        <v>362500.8600000001</v>
      </c>
      <c r="D108" s="27">
        <f t="shared" si="6"/>
        <v>0.35825026544476379</v>
      </c>
      <c r="E108" s="27">
        <f t="shared" si="7"/>
        <v>0.64174973455523621</v>
      </c>
    </row>
    <row r="109" spans="1:5">
      <c r="A109" s="24">
        <v>46143</v>
      </c>
      <c r="B109" s="26">
        <f>IF(SUMIFS('NSE - NIFTY Index Options'!$L:$L,'NSE - NIFTY Index Options'!$D:$D,$A109,'NSE - NIFTY Index Options'!$B:$B,"Thursday")+SUMIFS('NSE - Other Index Options'!$L:$L,'NSE - Other Index Options'!$D:$D,$A109,'NSE - Other Index Options'!$B:$B,"Thursday")=0,"",SUMIFS('NSE - NIFTY Index Options'!$L:$L,'NSE - NIFTY Index Options'!$D:$D,$A109,'NSE - NIFTY Index Options'!$B:$B,"Thursday")+SUMIFS('NSE - Other Index Options'!$L:$L,'NSE - Other Index Options'!$D:$D,$A109,'NSE - Other Index Options'!$B:$B,"Thursday"))</f>
        <v>115977.27999999998</v>
      </c>
      <c r="C109" s="26">
        <f>IF(SUMIFS('BSE - SENSEX Index Options'!$L:$L,'BSE - SENSEX Index Options'!$D:$D,$A109,'BSE - SENSEX Index Options'!$B:$B,"Thursday")+SUMIFS('BSE - Other Index Options'!$L:$L,'BSE - Other Index Options'!$D:$D,$A109,'BSE - Other Index Options'!$B:$B,"Thursday")=0,"",SUMIFS('BSE - SENSEX Index Options'!$L:$L,'BSE - SENSEX Index Options'!$D:$D,$A109,'BSE - SENSEX Index Options'!$B:$B,"Thursday")+SUMIFS('BSE - Other Index Options'!$L:$L,'BSE - Other Index Options'!$D:$D,$A109,'BSE - Other Index Options'!$B:$B,"Thursday"))</f>
        <v>221754.70999999996</v>
      </c>
      <c r="D109" s="27">
        <f t="shared" si="6"/>
        <v>0.34340033942298448</v>
      </c>
      <c r="E109" s="27">
        <f t="shared" si="7"/>
        <v>0.65659966057701558</v>
      </c>
    </row>
    <row r="110" spans="1:5">
      <c r="A110" s="24">
        <v>46174</v>
      </c>
      <c r="B110" s="26">
        <f>IF(SUMIFS('NSE - NIFTY Index Options'!$L:$L,'NSE - NIFTY Index Options'!$D:$D,$A110,'NSE - NIFTY Index Options'!$B:$B,"Thursday")+SUMIFS('NSE - Other Index Options'!$L:$L,'NSE - Other Index Options'!$D:$D,$A110,'NSE - Other Index Options'!$B:$B,"Thursday")=0,"",SUMIFS('NSE - NIFTY Index Options'!$L:$L,'NSE - NIFTY Index Options'!$D:$D,$A110,'NSE - NIFTY Index Options'!$B:$B,"Thursday")+SUMIFS('NSE - Other Index Options'!$L:$L,'NSE - Other Index Options'!$D:$D,$A110,'NSE - Other Index Options'!$B:$B,"Thursday"))</f>
        <v>129411.11999999998</v>
      </c>
      <c r="C110" s="26">
        <f>IF(SUMIFS('BSE - SENSEX Index Options'!$L:$L,'BSE - SENSEX Index Options'!$D:$D,$A110,'BSE - SENSEX Index Options'!$B:$B,"Thursday")+SUMIFS('BSE - Other Index Options'!$L:$L,'BSE - Other Index Options'!$D:$D,$A110,'BSE - Other Index Options'!$B:$B,"Thursday")=0,"",SUMIFS('BSE - SENSEX Index Options'!$L:$L,'BSE - SENSEX Index Options'!$D:$D,$A110,'BSE - SENSEX Index Options'!$B:$B,"Thursday")+SUMIFS('BSE - Other Index Options'!$L:$L,'BSE - Other Index Options'!$D:$D,$A110,'BSE - Other Index Options'!$B:$B,"Thursday"))</f>
        <v>246915.95999999993</v>
      </c>
      <c r="D110" s="27">
        <f t="shared" si="6"/>
        <v>0.3438793721674242</v>
      </c>
      <c r="E110" s="27">
        <f t="shared" si="7"/>
        <v>0.65612062783257585</v>
      </c>
    </row>
    <row r="111" spans="1:5">
      <c r="A111" s="24">
        <v>46204</v>
      </c>
      <c r="B111" s="26">
        <f>IF(SUMIFS('NSE - NIFTY Index Options'!$L:$L,'NSE - NIFTY Index Options'!$D:$D,$A111,'NSE - NIFTY Index Options'!$B:$B,"Thursday")+SUMIFS('NSE - Other Index Options'!$L:$L,'NSE - Other Index Options'!$D:$D,$A111,'NSE - Other Index Options'!$B:$B,"Thursday")=0,"",SUMIFS('NSE - NIFTY Index Options'!$L:$L,'NSE - NIFTY Index Options'!$D:$D,$A111,'NSE - NIFTY Index Options'!$B:$B,"Thursday")+SUMIFS('NSE - Other Index Options'!$L:$L,'NSE - Other Index Options'!$D:$D,$A111,'NSE - Other Index Options'!$B:$B,"Thursday"))</f>
        <v>25966.420000000006</v>
      </c>
      <c r="C111" s="26">
        <f>IF(SUMIFS('BSE - SENSEX Index Options'!$L:$L,'BSE - SENSEX Index Options'!$D:$D,$A111,'BSE - SENSEX Index Options'!$B:$B,"Thursday")+SUMIFS('BSE - Other Index Options'!$L:$L,'BSE - Other Index Options'!$D:$D,$A111,'BSE - Other Index Options'!$B:$B,"Thursday")=0,"",SUMIFS('BSE - SENSEX Index Options'!$L:$L,'BSE - SENSEX Index Options'!$D:$D,$A111,'BSE - SENSEX Index Options'!$B:$B,"Thursday")+SUMIFS('BSE - Other Index Options'!$L:$L,'BSE - Other Index Options'!$D:$D,$A111,'BSE - Other Index Options'!$B:$B,"Thursday"))</f>
        <v>54702.130000000012</v>
      </c>
      <c r="D111" s="27">
        <f t="shared" si="6"/>
        <v>0.32189025338871219</v>
      </c>
      <c r="E111" s="27">
        <f t="shared" si="7"/>
        <v>0.67810974661128776</v>
      </c>
    </row>
    <row r="112" spans="1:5" hidden="1" outlineLevel="1">
      <c r="A112" s="24">
        <v>46235</v>
      </c>
      <c r="B112" s="26" t="str">
        <f>IF(SUMIFS('NSE - NIFTY Index Options'!$L:$L,'NSE - NIFTY Index Options'!$D:$D,$A112,'NSE - NIFTY Index Options'!$B:$B,"Thursday")+SUMIFS('NSE - Other Index Options'!$L:$L,'NSE - Other Index Options'!$D:$D,$A112,'NSE - Other Index Options'!$B:$B,"Thursday")=0,"",SUMIFS('NSE - NIFTY Index Options'!$L:$L,'NSE - NIFTY Index Options'!$D:$D,$A112,'NSE - NIFTY Index Options'!$B:$B,"Thursday")+SUMIFS('NSE - Other Index Options'!$L:$L,'NSE - Other Index Options'!$D:$D,$A112,'NSE - Other Index Options'!$B:$B,"Thursday"))</f>
        <v/>
      </c>
      <c r="C112" s="26" t="str">
        <f>IF(SUMIFS('BSE - SENSEX Index Options'!$L:$L,'BSE - SENSEX Index Options'!$D:$D,$A112,'BSE - SENSEX Index Options'!$B:$B,"Thursday")+SUMIFS('BSE - Other Index Options'!$L:$L,'BSE - Other Index Options'!$D:$D,$A112,'BSE - Other Index Options'!$B:$B,"Thursday")=0,"",SUMIFS('BSE - SENSEX Index Options'!$L:$L,'BSE - SENSEX Index Options'!$D:$D,$A112,'BSE - SENSEX Index Options'!$B:$B,"Thursday")+SUMIFS('BSE - Other Index Options'!$L:$L,'BSE - Other Index Options'!$D:$D,$A112,'BSE - Other Index Options'!$B:$B,"Thursday"))</f>
        <v/>
      </c>
      <c r="D112" s="27" t="str">
        <f t="shared" si="6"/>
        <v/>
      </c>
      <c r="E112" s="27" t="str">
        <f t="shared" si="7"/>
        <v/>
      </c>
    </row>
    <row r="113" spans="1:5" hidden="1" outlineLevel="1">
      <c r="A113" s="24">
        <v>46266</v>
      </c>
      <c r="B113" s="26" t="str">
        <f>IF(SUMIFS('NSE - NIFTY Index Options'!$L:$L,'NSE - NIFTY Index Options'!$D:$D,$A113,'NSE - NIFTY Index Options'!$B:$B,"Thursday")+SUMIFS('NSE - Other Index Options'!$L:$L,'NSE - Other Index Options'!$D:$D,$A113,'NSE - Other Index Options'!$B:$B,"Thursday")=0,"",SUMIFS('NSE - NIFTY Index Options'!$L:$L,'NSE - NIFTY Index Options'!$D:$D,$A113,'NSE - NIFTY Index Options'!$B:$B,"Thursday")+SUMIFS('NSE - Other Index Options'!$L:$L,'NSE - Other Index Options'!$D:$D,$A113,'NSE - Other Index Options'!$B:$B,"Thursday"))</f>
        <v/>
      </c>
      <c r="C113" s="26" t="str">
        <f>IF(SUMIFS('BSE - SENSEX Index Options'!$L:$L,'BSE - SENSEX Index Options'!$D:$D,$A113,'BSE - SENSEX Index Options'!$B:$B,"Thursday")+SUMIFS('BSE - Other Index Options'!$L:$L,'BSE - Other Index Options'!$D:$D,$A113,'BSE - Other Index Options'!$B:$B,"Thursday")=0,"",SUMIFS('BSE - SENSEX Index Options'!$L:$L,'BSE - SENSEX Index Options'!$D:$D,$A113,'BSE - SENSEX Index Options'!$B:$B,"Thursday")+SUMIFS('BSE - Other Index Options'!$L:$L,'BSE - Other Index Options'!$D:$D,$A113,'BSE - Other Index Options'!$B:$B,"Thursday"))</f>
        <v/>
      </c>
      <c r="D113" s="27" t="str">
        <f t="shared" si="6"/>
        <v/>
      </c>
      <c r="E113" s="27" t="str">
        <f t="shared" si="7"/>
        <v/>
      </c>
    </row>
    <row r="114" spans="1:5" hidden="1" outlineLevel="1">
      <c r="A114" s="24">
        <v>46296</v>
      </c>
      <c r="B114" s="26" t="str">
        <f>IF(SUMIFS('NSE - NIFTY Index Options'!$L:$L,'NSE - NIFTY Index Options'!$D:$D,$A114,'NSE - NIFTY Index Options'!$B:$B,"Thursday")+SUMIFS('NSE - Other Index Options'!$L:$L,'NSE - Other Index Options'!$D:$D,$A114,'NSE - Other Index Options'!$B:$B,"Thursday")=0,"",SUMIFS('NSE - NIFTY Index Options'!$L:$L,'NSE - NIFTY Index Options'!$D:$D,$A114,'NSE - NIFTY Index Options'!$B:$B,"Thursday")+SUMIFS('NSE - Other Index Options'!$L:$L,'NSE - Other Index Options'!$D:$D,$A114,'NSE - Other Index Options'!$B:$B,"Thursday"))</f>
        <v/>
      </c>
      <c r="C114" s="26" t="str">
        <f>IF(SUMIFS('BSE - SENSEX Index Options'!$L:$L,'BSE - SENSEX Index Options'!$D:$D,$A114,'BSE - SENSEX Index Options'!$B:$B,"Thursday")+SUMIFS('BSE - Other Index Options'!$L:$L,'BSE - Other Index Options'!$D:$D,$A114,'BSE - Other Index Options'!$B:$B,"Thursday")=0,"",SUMIFS('BSE - SENSEX Index Options'!$L:$L,'BSE - SENSEX Index Options'!$D:$D,$A114,'BSE - SENSEX Index Options'!$B:$B,"Thursday")+SUMIFS('BSE - Other Index Options'!$L:$L,'BSE - Other Index Options'!$D:$D,$A114,'BSE - Other Index Options'!$B:$B,"Thursday"))</f>
        <v/>
      </c>
      <c r="D114" s="27" t="str">
        <f t="shared" si="6"/>
        <v/>
      </c>
      <c r="E114" s="27" t="str">
        <f t="shared" si="7"/>
        <v/>
      </c>
    </row>
    <row r="115" spans="1:5" hidden="1" outlineLevel="1">
      <c r="A115" s="24">
        <v>46327</v>
      </c>
      <c r="B115" s="26" t="str">
        <f>IF(SUMIFS('NSE - NIFTY Index Options'!$L:$L,'NSE - NIFTY Index Options'!$D:$D,$A115,'NSE - NIFTY Index Options'!$B:$B,"Thursday")+SUMIFS('NSE - Other Index Options'!$L:$L,'NSE - Other Index Options'!$D:$D,$A115,'NSE - Other Index Options'!$B:$B,"Thursday")=0,"",SUMIFS('NSE - NIFTY Index Options'!$L:$L,'NSE - NIFTY Index Options'!$D:$D,$A115,'NSE - NIFTY Index Options'!$B:$B,"Thursday")+SUMIFS('NSE - Other Index Options'!$L:$L,'NSE - Other Index Options'!$D:$D,$A115,'NSE - Other Index Options'!$B:$B,"Thursday"))</f>
        <v/>
      </c>
      <c r="C115" s="26" t="str">
        <f>IF(SUMIFS('BSE - SENSEX Index Options'!$L:$L,'BSE - SENSEX Index Options'!$D:$D,$A115,'BSE - SENSEX Index Options'!$B:$B,"Thursday")+SUMIFS('BSE - Other Index Options'!$L:$L,'BSE - Other Index Options'!$D:$D,$A115,'BSE - Other Index Options'!$B:$B,"Thursday")=0,"",SUMIFS('BSE - SENSEX Index Options'!$L:$L,'BSE - SENSEX Index Options'!$D:$D,$A115,'BSE - SENSEX Index Options'!$B:$B,"Thursday")+SUMIFS('BSE - Other Index Options'!$L:$L,'BSE - Other Index Options'!$D:$D,$A115,'BSE - Other Index Options'!$B:$B,"Thursday"))</f>
        <v/>
      </c>
      <c r="D115" s="27" t="str">
        <f t="shared" si="6"/>
        <v/>
      </c>
      <c r="E115" s="27" t="str">
        <f t="shared" si="7"/>
        <v/>
      </c>
    </row>
    <row r="116" spans="1:5" hidden="1" outlineLevel="1">
      <c r="A116" s="24">
        <v>46357</v>
      </c>
      <c r="B116" s="26" t="str">
        <f>IF(SUMIFS('NSE - NIFTY Index Options'!$L:$L,'NSE - NIFTY Index Options'!$D:$D,$A116,'NSE - NIFTY Index Options'!$B:$B,"Thursday")+SUMIFS('NSE - Other Index Options'!$L:$L,'NSE - Other Index Options'!$D:$D,$A116,'NSE - Other Index Options'!$B:$B,"Thursday")=0,"",SUMIFS('NSE - NIFTY Index Options'!$L:$L,'NSE - NIFTY Index Options'!$D:$D,$A116,'NSE - NIFTY Index Options'!$B:$B,"Thursday")+SUMIFS('NSE - Other Index Options'!$L:$L,'NSE - Other Index Options'!$D:$D,$A116,'NSE - Other Index Options'!$B:$B,"Thursday"))</f>
        <v/>
      </c>
      <c r="C116" s="26" t="str">
        <f>IF(SUMIFS('BSE - SENSEX Index Options'!$L:$L,'BSE - SENSEX Index Options'!$D:$D,$A116,'BSE - SENSEX Index Options'!$B:$B,"Thursday")+SUMIFS('BSE - Other Index Options'!$L:$L,'BSE - Other Index Options'!$D:$D,$A116,'BSE - Other Index Options'!$B:$B,"Thursday")=0,"",SUMIFS('BSE - SENSEX Index Options'!$L:$L,'BSE - SENSEX Index Options'!$D:$D,$A116,'BSE - SENSEX Index Options'!$B:$B,"Thursday")+SUMIFS('BSE - Other Index Options'!$L:$L,'BSE - Other Index Options'!$D:$D,$A116,'BSE - Other Index Options'!$B:$B,"Thursday"))</f>
        <v/>
      </c>
      <c r="D116" s="27" t="str">
        <f t="shared" si="6"/>
        <v/>
      </c>
      <c r="E116" s="27" t="str">
        <f t="shared" si="7"/>
        <v/>
      </c>
    </row>
    <row r="117" spans="1:5" hidden="1" outlineLevel="1">
      <c r="A117" s="24">
        <v>46388</v>
      </c>
      <c r="B117" s="26" t="str">
        <f>IF(SUMIFS('NSE - NIFTY Index Options'!$L:$L,'NSE - NIFTY Index Options'!$D:$D,$A117,'NSE - NIFTY Index Options'!$B:$B,"Thursday")+SUMIFS('NSE - Other Index Options'!$L:$L,'NSE - Other Index Options'!$D:$D,$A117,'NSE - Other Index Options'!$B:$B,"Thursday")=0,"",SUMIFS('NSE - NIFTY Index Options'!$L:$L,'NSE - NIFTY Index Options'!$D:$D,$A117,'NSE - NIFTY Index Options'!$B:$B,"Thursday")+SUMIFS('NSE - Other Index Options'!$L:$L,'NSE - Other Index Options'!$D:$D,$A117,'NSE - Other Index Options'!$B:$B,"Thursday"))</f>
        <v/>
      </c>
      <c r="C117" s="26" t="str">
        <f>IF(SUMIFS('BSE - SENSEX Index Options'!$L:$L,'BSE - SENSEX Index Options'!$D:$D,$A117,'BSE - SENSEX Index Options'!$B:$B,"Thursday")+SUMIFS('BSE - Other Index Options'!$L:$L,'BSE - Other Index Options'!$D:$D,$A117,'BSE - Other Index Options'!$B:$B,"Thursday")=0,"",SUMIFS('BSE - SENSEX Index Options'!$L:$L,'BSE - SENSEX Index Options'!$D:$D,$A117,'BSE - SENSEX Index Options'!$B:$B,"Thursday")+SUMIFS('BSE - Other Index Options'!$L:$L,'BSE - Other Index Options'!$D:$D,$A117,'BSE - Other Index Options'!$B:$B,"Thursday"))</f>
        <v/>
      </c>
      <c r="D117" s="27" t="str">
        <f t="shared" si="6"/>
        <v/>
      </c>
      <c r="E117" s="27" t="str">
        <f t="shared" si="7"/>
        <v/>
      </c>
    </row>
    <row r="118" spans="1:5" hidden="1" outlineLevel="1">
      <c r="A118" s="24">
        <v>46419</v>
      </c>
      <c r="B118" s="26" t="str">
        <f>IF(SUMIFS('NSE - NIFTY Index Options'!$L:$L,'NSE - NIFTY Index Options'!$D:$D,$A118,'NSE - NIFTY Index Options'!$B:$B,"Thursday")+SUMIFS('NSE - Other Index Options'!$L:$L,'NSE - Other Index Options'!$D:$D,$A118,'NSE - Other Index Options'!$B:$B,"Thursday")=0,"",SUMIFS('NSE - NIFTY Index Options'!$L:$L,'NSE - NIFTY Index Options'!$D:$D,$A118,'NSE - NIFTY Index Options'!$B:$B,"Thursday")+SUMIFS('NSE - Other Index Options'!$L:$L,'NSE - Other Index Options'!$D:$D,$A118,'NSE - Other Index Options'!$B:$B,"Thursday"))</f>
        <v/>
      </c>
      <c r="C118" s="26" t="str">
        <f>IF(SUMIFS('BSE - SENSEX Index Options'!$L:$L,'BSE - SENSEX Index Options'!$D:$D,$A118,'BSE - SENSEX Index Options'!$B:$B,"Thursday")+SUMIFS('BSE - Other Index Options'!$L:$L,'BSE - Other Index Options'!$D:$D,$A118,'BSE - Other Index Options'!$B:$B,"Thursday")=0,"",SUMIFS('BSE - SENSEX Index Options'!$L:$L,'BSE - SENSEX Index Options'!$D:$D,$A118,'BSE - SENSEX Index Options'!$B:$B,"Thursday")+SUMIFS('BSE - Other Index Options'!$L:$L,'BSE - Other Index Options'!$D:$D,$A118,'BSE - Other Index Options'!$B:$B,"Thursday"))</f>
        <v/>
      </c>
      <c r="D118" s="27" t="str">
        <f t="shared" si="6"/>
        <v/>
      </c>
      <c r="E118" s="27" t="str">
        <f t="shared" si="7"/>
        <v/>
      </c>
    </row>
    <row r="119" spans="1:5" hidden="1" outlineLevel="1">
      <c r="A119" s="24">
        <v>46447</v>
      </c>
      <c r="B119" s="26" t="str">
        <f>IF(SUMIFS('NSE - NIFTY Index Options'!$L:$L,'NSE - NIFTY Index Options'!$D:$D,$A119,'NSE - NIFTY Index Options'!$B:$B,"Thursday")+SUMIFS('NSE - Other Index Options'!$L:$L,'NSE - Other Index Options'!$D:$D,$A119,'NSE - Other Index Options'!$B:$B,"Thursday")=0,"",SUMIFS('NSE - NIFTY Index Options'!$L:$L,'NSE - NIFTY Index Options'!$D:$D,$A119,'NSE - NIFTY Index Options'!$B:$B,"Thursday")+SUMIFS('NSE - Other Index Options'!$L:$L,'NSE - Other Index Options'!$D:$D,$A119,'NSE - Other Index Options'!$B:$B,"Thursday"))</f>
        <v/>
      </c>
      <c r="C119" s="26" t="str">
        <f>IF(SUMIFS('BSE - SENSEX Index Options'!$L:$L,'BSE - SENSEX Index Options'!$D:$D,$A119,'BSE - SENSEX Index Options'!$B:$B,"Thursday")+SUMIFS('BSE - Other Index Options'!$L:$L,'BSE - Other Index Options'!$D:$D,$A119,'BSE - Other Index Options'!$B:$B,"Thursday")=0,"",SUMIFS('BSE - SENSEX Index Options'!$L:$L,'BSE - SENSEX Index Options'!$D:$D,$A119,'BSE - SENSEX Index Options'!$B:$B,"Thursday")+SUMIFS('BSE - Other Index Options'!$L:$L,'BSE - Other Index Options'!$D:$D,$A119,'BSE - Other Index Options'!$B:$B,"Thursday"))</f>
        <v/>
      </c>
      <c r="D119" s="27" t="str">
        <f t="shared" si="6"/>
        <v/>
      </c>
      <c r="E119" s="27" t="str">
        <f t="shared" si="7"/>
        <v/>
      </c>
    </row>
    <row r="120" spans="1:5" hidden="1" outlineLevel="1">
      <c r="A120" s="24">
        <v>46478</v>
      </c>
      <c r="B120" s="26" t="str">
        <f>IF(SUMIFS('NSE - NIFTY Index Options'!$L:$L,'NSE - NIFTY Index Options'!$D:$D,$A120,'NSE - NIFTY Index Options'!$B:$B,"Thursday")+SUMIFS('NSE - Other Index Options'!$L:$L,'NSE - Other Index Options'!$D:$D,$A120,'NSE - Other Index Options'!$B:$B,"Thursday")=0,"",SUMIFS('NSE - NIFTY Index Options'!$L:$L,'NSE - NIFTY Index Options'!$D:$D,$A120,'NSE - NIFTY Index Options'!$B:$B,"Thursday")+SUMIFS('NSE - Other Index Options'!$L:$L,'NSE - Other Index Options'!$D:$D,$A120,'NSE - Other Index Options'!$B:$B,"Thursday"))</f>
        <v/>
      </c>
      <c r="C120" s="26" t="str">
        <f>IF(SUMIFS('BSE - SENSEX Index Options'!$L:$L,'BSE - SENSEX Index Options'!$D:$D,$A120,'BSE - SENSEX Index Options'!$B:$B,"Thursday")+SUMIFS('BSE - Other Index Options'!$L:$L,'BSE - Other Index Options'!$D:$D,$A120,'BSE - Other Index Options'!$B:$B,"Thursday")=0,"",SUMIFS('BSE - SENSEX Index Options'!$L:$L,'BSE - SENSEX Index Options'!$D:$D,$A120,'BSE - SENSEX Index Options'!$B:$B,"Thursday")+SUMIFS('BSE - Other Index Options'!$L:$L,'BSE - Other Index Options'!$D:$D,$A120,'BSE - Other Index Options'!$B:$B,"Thursday"))</f>
        <v/>
      </c>
      <c r="D120" s="27" t="str">
        <f t="shared" si="6"/>
        <v/>
      </c>
      <c r="E120" s="27" t="str">
        <f t="shared" si="7"/>
        <v/>
      </c>
    </row>
    <row r="121" spans="1:5" hidden="1" outlineLevel="1">
      <c r="A121" s="24">
        <v>46508</v>
      </c>
      <c r="B121" s="26" t="str">
        <f>IF(SUMIFS('NSE - NIFTY Index Options'!$L:$L,'NSE - NIFTY Index Options'!$D:$D,$A121,'NSE - NIFTY Index Options'!$B:$B,"Thursday")+SUMIFS('NSE - Other Index Options'!$L:$L,'NSE - Other Index Options'!$D:$D,$A121,'NSE - Other Index Options'!$B:$B,"Thursday")=0,"",SUMIFS('NSE - NIFTY Index Options'!$L:$L,'NSE - NIFTY Index Options'!$D:$D,$A121,'NSE - NIFTY Index Options'!$B:$B,"Thursday")+SUMIFS('NSE - Other Index Options'!$L:$L,'NSE - Other Index Options'!$D:$D,$A121,'NSE - Other Index Options'!$B:$B,"Thursday"))</f>
        <v/>
      </c>
      <c r="C121" s="26" t="str">
        <f>IF(SUMIFS('BSE - SENSEX Index Options'!$L:$L,'BSE - SENSEX Index Options'!$D:$D,$A121,'BSE - SENSEX Index Options'!$B:$B,"Thursday")+SUMIFS('BSE - Other Index Options'!$L:$L,'BSE - Other Index Options'!$D:$D,$A121,'BSE - Other Index Options'!$B:$B,"Thursday")=0,"",SUMIFS('BSE - SENSEX Index Options'!$L:$L,'BSE - SENSEX Index Options'!$D:$D,$A121,'BSE - SENSEX Index Options'!$B:$B,"Thursday")+SUMIFS('BSE - Other Index Options'!$L:$L,'BSE - Other Index Options'!$D:$D,$A121,'BSE - Other Index Options'!$B:$B,"Thursday"))</f>
        <v/>
      </c>
      <c r="D121" s="27" t="str">
        <f t="shared" si="6"/>
        <v/>
      </c>
      <c r="E121" s="27" t="str">
        <f t="shared" si="7"/>
        <v/>
      </c>
    </row>
    <row r="122" spans="1:5" hidden="1" outlineLevel="1">
      <c r="A122" s="24">
        <v>46539</v>
      </c>
      <c r="B122" s="26" t="str">
        <f>IF(SUMIFS('NSE - NIFTY Index Options'!$L:$L,'NSE - NIFTY Index Options'!$D:$D,$A122,'NSE - NIFTY Index Options'!$B:$B,"Thursday")+SUMIFS('NSE - Other Index Options'!$L:$L,'NSE - Other Index Options'!$D:$D,$A122,'NSE - Other Index Options'!$B:$B,"Thursday")=0,"",SUMIFS('NSE - NIFTY Index Options'!$L:$L,'NSE - NIFTY Index Options'!$D:$D,$A122,'NSE - NIFTY Index Options'!$B:$B,"Thursday")+SUMIFS('NSE - Other Index Options'!$L:$L,'NSE - Other Index Options'!$D:$D,$A122,'NSE - Other Index Options'!$B:$B,"Thursday"))</f>
        <v/>
      </c>
      <c r="C122" s="26" t="str">
        <f>IF(SUMIFS('BSE - SENSEX Index Options'!$L:$L,'BSE - SENSEX Index Options'!$D:$D,$A122,'BSE - SENSEX Index Options'!$B:$B,"Thursday")+SUMIFS('BSE - Other Index Options'!$L:$L,'BSE - Other Index Options'!$D:$D,$A122,'BSE - Other Index Options'!$B:$B,"Thursday")=0,"",SUMIFS('BSE - SENSEX Index Options'!$L:$L,'BSE - SENSEX Index Options'!$D:$D,$A122,'BSE - SENSEX Index Options'!$B:$B,"Thursday")+SUMIFS('BSE - Other Index Options'!$L:$L,'BSE - Other Index Options'!$D:$D,$A122,'BSE - Other Index Options'!$B:$B,"Thursday"))</f>
        <v/>
      </c>
      <c r="D122" s="27" t="str">
        <f t="shared" si="6"/>
        <v/>
      </c>
      <c r="E122" s="27" t="str">
        <f t="shared" si="7"/>
        <v/>
      </c>
    </row>
    <row r="123" spans="1:5" hidden="1" outlineLevel="1">
      <c r="A123" s="24">
        <v>46569</v>
      </c>
      <c r="B123" s="26" t="str">
        <f>IF(SUMIFS('NSE - NIFTY Index Options'!$L:$L,'NSE - NIFTY Index Options'!$D:$D,$A123,'NSE - NIFTY Index Options'!$B:$B,"Thursday")+SUMIFS('NSE - Other Index Options'!$L:$L,'NSE - Other Index Options'!$D:$D,$A123,'NSE - Other Index Options'!$B:$B,"Thursday")=0,"",SUMIFS('NSE - NIFTY Index Options'!$L:$L,'NSE - NIFTY Index Options'!$D:$D,$A123,'NSE - NIFTY Index Options'!$B:$B,"Thursday")+SUMIFS('NSE - Other Index Options'!$L:$L,'NSE - Other Index Options'!$D:$D,$A123,'NSE - Other Index Options'!$B:$B,"Thursday"))</f>
        <v/>
      </c>
      <c r="C123" s="26" t="str">
        <f>IF(SUMIFS('BSE - SENSEX Index Options'!$L:$L,'BSE - SENSEX Index Options'!$D:$D,$A123,'BSE - SENSEX Index Options'!$B:$B,"Thursday")+SUMIFS('BSE - Other Index Options'!$L:$L,'BSE - Other Index Options'!$D:$D,$A123,'BSE - Other Index Options'!$B:$B,"Thursday")=0,"",SUMIFS('BSE - SENSEX Index Options'!$L:$L,'BSE - SENSEX Index Options'!$D:$D,$A123,'BSE - SENSEX Index Options'!$B:$B,"Thursday")+SUMIFS('BSE - Other Index Options'!$L:$L,'BSE - Other Index Options'!$D:$D,$A123,'BSE - Other Index Options'!$B:$B,"Thursday"))</f>
        <v/>
      </c>
      <c r="D123" s="27" t="str">
        <f t="shared" si="6"/>
        <v/>
      </c>
      <c r="E123" s="27" t="str">
        <f t="shared" si="7"/>
        <v/>
      </c>
    </row>
    <row r="124" spans="1:5" hidden="1" outlineLevel="1">
      <c r="A124" s="24">
        <v>46600</v>
      </c>
      <c r="B124" s="26" t="str">
        <f>IF(SUMIFS('NSE - NIFTY Index Options'!$L:$L,'NSE - NIFTY Index Options'!$D:$D,$A124,'NSE - NIFTY Index Options'!$B:$B,"Thursday")+SUMIFS('NSE - Other Index Options'!$L:$L,'NSE - Other Index Options'!$D:$D,$A124,'NSE - Other Index Options'!$B:$B,"Thursday")=0,"",SUMIFS('NSE - NIFTY Index Options'!$L:$L,'NSE - NIFTY Index Options'!$D:$D,$A124,'NSE - NIFTY Index Options'!$B:$B,"Thursday")+SUMIFS('NSE - Other Index Options'!$L:$L,'NSE - Other Index Options'!$D:$D,$A124,'NSE - Other Index Options'!$B:$B,"Thursday"))</f>
        <v/>
      </c>
      <c r="C124" s="26" t="str">
        <f>IF(SUMIFS('BSE - SENSEX Index Options'!$L:$L,'BSE - SENSEX Index Options'!$D:$D,$A124,'BSE - SENSEX Index Options'!$B:$B,"Thursday")+SUMIFS('BSE - Other Index Options'!$L:$L,'BSE - Other Index Options'!$D:$D,$A124,'BSE - Other Index Options'!$B:$B,"Thursday")=0,"",SUMIFS('BSE - SENSEX Index Options'!$L:$L,'BSE - SENSEX Index Options'!$D:$D,$A124,'BSE - SENSEX Index Options'!$B:$B,"Thursday")+SUMIFS('BSE - Other Index Options'!$L:$L,'BSE - Other Index Options'!$D:$D,$A124,'BSE - Other Index Options'!$B:$B,"Thursday"))</f>
        <v/>
      </c>
      <c r="D124" s="27" t="str">
        <f t="shared" si="6"/>
        <v/>
      </c>
      <c r="E124" s="27" t="str">
        <f t="shared" si="7"/>
        <v/>
      </c>
    </row>
    <row r="125" spans="1:5" hidden="1" outlineLevel="1">
      <c r="A125" s="24">
        <v>46631</v>
      </c>
      <c r="B125" s="26" t="str">
        <f>IF(SUMIFS('NSE - NIFTY Index Options'!$L:$L,'NSE - NIFTY Index Options'!$D:$D,$A125,'NSE - NIFTY Index Options'!$B:$B,"Thursday")+SUMIFS('NSE - Other Index Options'!$L:$L,'NSE - Other Index Options'!$D:$D,$A125,'NSE - Other Index Options'!$B:$B,"Thursday")=0,"",SUMIFS('NSE - NIFTY Index Options'!$L:$L,'NSE - NIFTY Index Options'!$D:$D,$A125,'NSE - NIFTY Index Options'!$B:$B,"Thursday")+SUMIFS('NSE - Other Index Options'!$L:$L,'NSE - Other Index Options'!$D:$D,$A125,'NSE - Other Index Options'!$B:$B,"Thursday"))</f>
        <v/>
      </c>
      <c r="C125" s="26" t="str">
        <f>IF(SUMIFS('BSE - SENSEX Index Options'!$L:$L,'BSE - SENSEX Index Options'!$D:$D,$A125,'BSE - SENSEX Index Options'!$B:$B,"Thursday")+SUMIFS('BSE - Other Index Options'!$L:$L,'BSE - Other Index Options'!$D:$D,$A125,'BSE - Other Index Options'!$B:$B,"Thursday")=0,"",SUMIFS('BSE - SENSEX Index Options'!$L:$L,'BSE - SENSEX Index Options'!$D:$D,$A125,'BSE - SENSEX Index Options'!$B:$B,"Thursday")+SUMIFS('BSE - Other Index Options'!$L:$L,'BSE - Other Index Options'!$D:$D,$A125,'BSE - Other Index Options'!$B:$B,"Thursday"))</f>
        <v/>
      </c>
      <c r="D125" s="27" t="str">
        <f t="shared" si="6"/>
        <v/>
      </c>
      <c r="E125" s="27" t="str">
        <f t="shared" si="7"/>
        <v/>
      </c>
    </row>
    <row r="126" spans="1:5" hidden="1" outlineLevel="1">
      <c r="A126" s="24">
        <v>46661</v>
      </c>
      <c r="B126" s="26" t="str">
        <f>IF(SUMIFS('NSE - NIFTY Index Options'!$L:$L,'NSE - NIFTY Index Options'!$D:$D,$A126,'NSE - NIFTY Index Options'!$B:$B,"Thursday")+SUMIFS('NSE - Other Index Options'!$L:$L,'NSE - Other Index Options'!$D:$D,$A126,'NSE - Other Index Options'!$B:$B,"Thursday")=0,"",SUMIFS('NSE - NIFTY Index Options'!$L:$L,'NSE - NIFTY Index Options'!$D:$D,$A126,'NSE - NIFTY Index Options'!$B:$B,"Thursday")+SUMIFS('NSE - Other Index Options'!$L:$L,'NSE - Other Index Options'!$D:$D,$A126,'NSE - Other Index Options'!$B:$B,"Thursday"))</f>
        <v/>
      </c>
      <c r="C126" s="26" t="str">
        <f>IF(SUMIFS('BSE - SENSEX Index Options'!$L:$L,'BSE - SENSEX Index Options'!$D:$D,$A126,'BSE - SENSEX Index Options'!$B:$B,"Thursday")+SUMIFS('BSE - Other Index Options'!$L:$L,'BSE - Other Index Options'!$D:$D,$A126,'BSE - Other Index Options'!$B:$B,"Thursday")=0,"",SUMIFS('BSE - SENSEX Index Options'!$L:$L,'BSE - SENSEX Index Options'!$D:$D,$A126,'BSE - SENSEX Index Options'!$B:$B,"Thursday")+SUMIFS('BSE - Other Index Options'!$L:$L,'BSE - Other Index Options'!$D:$D,$A126,'BSE - Other Index Options'!$B:$B,"Thursday"))</f>
        <v/>
      </c>
      <c r="D126" s="27" t="str">
        <f t="shared" si="6"/>
        <v/>
      </c>
      <c r="E126" s="27" t="str">
        <f t="shared" si="7"/>
        <v/>
      </c>
    </row>
    <row r="127" spans="1:5" hidden="1" outlineLevel="1">
      <c r="A127" s="24">
        <v>46692</v>
      </c>
      <c r="B127" s="26" t="str">
        <f>IF(SUMIFS('NSE - NIFTY Index Options'!$L:$L,'NSE - NIFTY Index Options'!$D:$D,$A127,'NSE - NIFTY Index Options'!$B:$B,"Thursday")+SUMIFS('NSE - Other Index Options'!$L:$L,'NSE - Other Index Options'!$D:$D,$A127,'NSE - Other Index Options'!$B:$B,"Thursday")=0,"",SUMIFS('NSE - NIFTY Index Options'!$L:$L,'NSE - NIFTY Index Options'!$D:$D,$A127,'NSE - NIFTY Index Options'!$B:$B,"Thursday")+SUMIFS('NSE - Other Index Options'!$L:$L,'NSE - Other Index Options'!$D:$D,$A127,'NSE - Other Index Options'!$B:$B,"Thursday"))</f>
        <v/>
      </c>
      <c r="C127" s="26" t="str">
        <f>IF(SUMIFS('BSE - SENSEX Index Options'!$L:$L,'BSE - SENSEX Index Options'!$D:$D,$A127,'BSE - SENSEX Index Options'!$B:$B,"Thursday")+SUMIFS('BSE - Other Index Options'!$L:$L,'BSE - Other Index Options'!$D:$D,$A127,'BSE - Other Index Options'!$B:$B,"Thursday")=0,"",SUMIFS('BSE - SENSEX Index Options'!$L:$L,'BSE - SENSEX Index Options'!$D:$D,$A127,'BSE - SENSEX Index Options'!$B:$B,"Thursday")+SUMIFS('BSE - Other Index Options'!$L:$L,'BSE - Other Index Options'!$D:$D,$A127,'BSE - Other Index Options'!$B:$B,"Thursday"))</f>
        <v/>
      </c>
      <c r="D127" s="27" t="str">
        <f t="shared" si="6"/>
        <v/>
      </c>
      <c r="E127" s="27" t="str">
        <f t="shared" si="7"/>
        <v/>
      </c>
    </row>
    <row r="128" spans="1:5" hidden="1" outlineLevel="1">
      <c r="A128" s="24">
        <v>46722</v>
      </c>
      <c r="B128" s="26" t="str">
        <f>IF(SUMIFS('NSE - NIFTY Index Options'!$L:$L,'NSE - NIFTY Index Options'!$D:$D,$A128,'NSE - NIFTY Index Options'!$B:$B,"Thursday")+SUMIFS('NSE - Other Index Options'!$L:$L,'NSE - Other Index Options'!$D:$D,$A128,'NSE - Other Index Options'!$B:$B,"Thursday")=0,"",SUMIFS('NSE - NIFTY Index Options'!$L:$L,'NSE - NIFTY Index Options'!$D:$D,$A128,'NSE - NIFTY Index Options'!$B:$B,"Thursday")+SUMIFS('NSE - Other Index Options'!$L:$L,'NSE - Other Index Options'!$D:$D,$A128,'NSE - Other Index Options'!$B:$B,"Thursday"))</f>
        <v/>
      </c>
      <c r="C128" s="26" t="str">
        <f>IF(SUMIFS('BSE - SENSEX Index Options'!$L:$L,'BSE - SENSEX Index Options'!$D:$D,$A128,'BSE - SENSEX Index Options'!$B:$B,"Thursday")+SUMIFS('BSE - Other Index Options'!$L:$L,'BSE - Other Index Options'!$D:$D,$A128,'BSE - Other Index Options'!$B:$B,"Thursday")=0,"",SUMIFS('BSE - SENSEX Index Options'!$L:$L,'BSE - SENSEX Index Options'!$D:$D,$A128,'BSE - SENSEX Index Options'!$B:$B,"Thursday")+SUMIFS('BSE - Other Index Options'!$L:$L,'BSE - Other Index Options'!$D:$D,$A128,'BSE - Other Index Options'!$B:$B,"Thursday"))</f>
        <v/>
      </c>
      <c r="D128" s="27" t="str">
        <f t="shared" si="6"/>
        <v/>
      </c>
      <c r="E128" s="27" t="str">
        <f t="shared" si="7"/>
        <v/>
      </c>
    </row>
    <row r="129" spans="1:5" collapsed="1">
      <c r="A129" s="28" t="s">
        <v>9</v>
      </c>
      <c r="B129" s="30">
        <f>IF(SUM(B101:B128)=0,"",SUM(B101:B128))</f>
        <v>1436864.5799999998</v>
      </c>
      <c r="C129" s="30">
        <f>IF(SUM(C101:C128)=0,"",SUM(C101:C128))</f>
        <v>2210008.8499999996</v>
      </c>
      <c r="D129" s="31">
        <f t="shared" si="6"/>
        <v>0.3939990261740452</v>
      </c>
      <c r="E129" s="31">
        <f t="shared" si="7"/>
        <v>0.60600097382595475</v>
      </c>
    </row>
    <row r="131" spans="1:5">
      <c r="A131" s="28" t="s">
        <v>181</v>
      </c>
    </row>
    <row r="132" spans="1:5">
      <c r="A132" s="28" t="s">
        <v>169</v>
      </c>
      <c r="B132" s="28" t="s">
        <v>1</v>
      </c>
      <c r="C132" s="28" t="s">
        <v>148</v>
      </c>
      <c r="D132" s="28" t="s">
        <v>149</v>
      </c>
      <c r="E132" s="28" t="s">
        <v>150</v>
      </c>
    </row>
    <row r="133" spans="1:5">
      <c r="A133" s="24">
        <v>45901</v>
      </c>
      <c r="B133" s="26">
        <f>IF(SUMIFS('NSE - NIFTY Index Options'!$L:$L,'NSE - NIFTY Index Options'!$D:$D,$A133,'NSE - NIFTY Index Options'!$B:$B,"Friday")+SUMIFS('NSE - Other Index Options'!$L:$L,'NSE - Other Index Options'!$D:$D,$A133,'NSE - Other Index Options'!$B:$B,"Friday")=0,"",SUMIFS('NSE - NIFTY Index Options'!$L:$L,'NSE - NIFTY Index Options'!$D:$D,$A133,'NSE - NIFTY Index Options'!$B:$B,"Friday")+SUMIFS('NSE - Other Index Options'!$L:$L,'NSE - Other Index Options'!$D:$D,$A133,'NSE - Other Index Options'!$B:$B,"Friday"))</f>
        <v>172302.16</v>
      </c>
      <c r="C133" s="26">
        <f>IF(SUMIFS('BSE - SENSEX Index Options'!$L:$L,'BSE - SENSEX Index Options'!$D:$D,$A133,'BSE - SENSEX Index Options'!$B:$B,"Friday")+SUMIFS('BSE - Other Index Options'!$L:$L,'BSE - Other Index Options'!$D:$D,$A133,'BSE - Other Index Options'!$B:$B,"Friday")=0,"",SUMIFS('BSE - SENSEX Index Options'!$L:$L,'BSE - SENSEX Index Options'!$D:$D,$A133,'BSE - SENSEX Index Options'!$B:$B,"Friday")+SUMIFS('BSE - Other Index Options'!$L:$L,'BSE - Other Index Options'!$D:$D,$A133,'BSE - Other Index Options'!$B:$B,"Friday"))</f>
        <v>31113.980000000003</v>
      </c>
      <c r="D133" s="27">
        <f t="shared" ref="D133:D161" si="8">IF(SUM(B133:C133)=0,"",SUM(B133)/SUM(B133:C133))</f>
        <v>0.84704271745595006</v>
      </c>
      <c r="E133" s="27">
        <f t="shared" ref="E133:E161" si="9">IF(SUM(B133:C133)=0,"",SUM(C133)/SUM(B133:C133))</f>
        <v>0.15295728254404986</v>
      </c>
    </row>
    <row r="134" spans="1:5">
      <c r="A134" s="24">
        <v>45931</v>
      </c>
      <c r="B134" s="26">
        <f>IF(SUMIFS('NSE - NIFTY Index Options'!$L:$L,'NSE - NIFTY Index Options'!$D:$D,$A134,'NSE - NIFTY Index Options'!$B:$B,"Friday")+SUMIFS('NSE - Other Index Options'!$L:$L,'NSE - Other Index Options'!$D:$D,$A134,'NSE - Other Index Options'!$B:$B,"Friday")=0,"",SUMIFS('NSE - NIFTY Index Options'!$L:$L,'NSE - NIFTY Index Options'!$D:$D,$A134,'NSE - NIFTY Index Options'!$B:$B,"Friday")+SUMIFS('NSE - Other Index Options'!$L:$L,'NSE - Other Index Options'!$D:$D,$A134,'NSE - Other Index Options'!$B:$B,"Friday"))</f>
        <v>279196.09000000003</v>
      </c>
      <c r="C134" s="26">
        <f>IF(SUMIFS('BSE - SENSEX Index Options'!$L:$L,'BSE - SENSEX Index Options'!$D:$D,$A134,'BSE - SENSEX Index Options'!$B:$B,"Friday")+SUMIFS('BSE - Other Index Options'!$L:$L,'BSE - Other Index Options'!$D:$D,$A134,'BSE - Other Index Options'!$B:$B,"Friday")=0,"",SUMIFS('BSE - SENSEX Index Options'!$L:$L,'BSE - SENSEX Index Options'!$D:$D,$A134,'BSE - SENSEX Index Options'!$B:$B,"Friday")+SUMIFS('BSE - Other Index Options'!$L:$L,'BSE - Other Index Options'!$D:$D,$A134,'BSE - Other Index Options'!$B:$B,"Friday"))</f>
        <v>52646.080000000009</v>
      </c>
      <c r="D134" s="27">
        <f t="shared" si="8"/>
        <v>0.84135204998207425</v>
      </c>
      <c r="E134" s="27">
        <f t="shared" si="9"/>
        <v>0.1586479500179257</v>
      </c>
    </row>
    <row r="135" spans="1:5">
      <c r="A135" s="24">
        <v>45962</v>
      </c>
      <c r="B135" s="26">
        <f>IF(SUMIFS('NSE - NIFTY Index Options'!$L:$L,'NSE - NIFTY Index Options'!$D:$D,$A135,'NSE - NIFTY Index Options'!$B:$B,"Friday")+SUMIFS('NSE - Other Index Options'!$L:$L,'NSE - Other Index Options'!$D:$D,$A135,'NSE - Other Index Options'!$B:$B,"Friday")=0,"",SUMIFS('NSE - NIFTY Index Options'!$L:$L,'NSE - NIFTY Index Options'!$D:$D,$A135,'NSE - NIFTY Index Options'!$B:$B,"Friday")+SUMIFS('NSE - Other Index Options'!$L:$L,'NSE - Other Index Options'!$D:$D,$A135,'NSE - Other Index Options'!$B:$B,"Friday"))</f>
        <v>216452.02000000002</v>
      </c>
      <c r="C135" s="26">
        <f>IF(SUMIFS('BSE - SENSEX Index Options'!$L:$L,'BSE - SENSEX Index Options'!$D:$D,$A135,'BSE - SENSEX Index Options'!$B:$B,"Friday")+SUMIFS('BSE - Other Index Options'!$L:$L,'BSE - Other Index Options'!$D:$D,$A135,'BSE - Other Index Options'!$B:$B,"Friday")=0,"",SUMIFS('BSE - SENSEX Index Options'!$L:$L,'BSE - SENSEX Index Options'!$D:$D,$A135,'BSE - SENSEX Index Options'!$B:$B,"Friday")+SUMIFS('BSE - Other Index Options'!$L:$L,'BSE - Other Index Options'!$D:$D,$A135,'BSE - Other Index Options'!$B:$B,"Friday"))</f>
        <v>38868.299999999996</v>
      </c>
      <c r="D135" s="27">
        <f t="shared" si="8"/>
        <v>0.84776652324421342</v>
      </c>
      <c r="E135" s="27">
        <f t="shared" si="9"/>
        <v>0.15223347675578658</v>
      </c>
    </row>
    <row r="136" spans="1:5">
      <c r="A136" s="24">
        <v>45992</v>
      </c>
      <c r="B136" s="26">
        <f>IF(SUMIFS('NSE - NIFTY Index Options'!$L:$L,'NSE - NIFTY Index Options'!$D:$D,$A136,'NSE - NIFTY Index Options'!$B:$B,"Friday")+SUMIFS('NSE - Other Index Options'!$L:$L,'NSE - Other Index Options'!$D:$D,$A136,'NSE - Other Index Options'!$B:$B,"Friday")=0,"",SUMIFS('NSE - NIFTY Index Options'!$L:$L,'NSE - NIFTY Index Options'!$D:$D,$A136,'NSE - NIFTY Index Options'!$B:$B,"Friday")+SUMIFS('NSE - Other Index Options'!$L:$L,'NSE - Other Index Options'!$D:$D,$A136,'NSE - Other Index Options'!$B:$B,"Friday"))</f>
        <v>166619.84000000003</v>
      </c>
      <c r="C136" s="26">
        <f>IF(SUMIFS('BSE - SENSEX Index Options'!$L:$L,'BSE - SENSEX Index Options'!$D:$D,$A136,'BSE - SENSEX Index Options'!$B:$B,"Friday")+SUMIFS('BSE - Other Index Options'!$L:$L,'BSE - Other Index Options'!$D:$D,$A136,'BSE - Other Index Options'!$B:$B,"Friday")=0,"",SUMIFS('BSE - SENSEX Index Options'!$L:$L,'BSE - SENSEX Index Options'!$D:$D,$A136,'BSE - SENSEX Index Options'!$B:$B,"Friday")+SUMIFS('BSE - Other Index Options'!$L:$L,'BSE - Other Index Options'!$D:$D,$A136,'BSE - Other Index Options'!$B:$B,"Friday"))</f>
        <v>34713.49</v>
      </c>
      <c r="D136" s="27">
        <f t="shared" si="8"/>
        <v>0.82758200045665564</v>
      </c>
      <c r="E136" s="27">
        <f t="shared" si="9"/>
        <v>0.17241799954334433</v>
      </c>
    </row>
    <row r="137" spans="1:5">
      <c r="A137" s="24">
        <v>46023</v>
      </c>
      <c r="B137" s="26">
        <f>IF(SUMIFS('NSE - NIFTY Index Options'!$L:$L,'NSE - NIFTY Index Options'!$D:$D,$A137,'NSE - NIFTY Index Options'!$B:$B,"Friday")+SUMIFS('NSE - Other Index Options'!$L:$L,'NSE - Other Index Options'!$D:$D,$A137,'NSE - Other Index Options'!$B:$B,"Friday")=0,"",SUMIFS('NSE - NIFTY Index Options'!$L:$L,'NSE - NIFTY Index Options'!$D:$D,$A137,'NSE - NIFTY Index Options'!$B:$B,"Friday")+SUMIFS('NSE - Other Index Options'!$L:$L,'NSE - Other Index Options'!$D:$D,$A137,'NSE - Other Index Options'!$B:$B,"Friday"))</f>
        <v>299247.9600000002</v>
      </c>
      <c r="C137" s="26">
        <f>IF(SUMIFS('BSE - SENSEX Index Options'!$L:$L,'BSE - SENSEX Index Options'!$D:$D,$A137,'BSE - SENSEX Index Options'!$B:$B,"Friday")+SUMIFS('BSE - Other Index Options'!$L:$L,'BSE - Other Index Options'!$D:$D,$A137,'BSE - Other Index Options'!$B:$B,"Friday")=0,"",SUMIFS('BSE - SENSEX Index Options'!$L:$L,'BSE - SENSEX Index Options'!$D:$D,$A137,'BSE - SENSEX Index Options'!$B:$B,"Friday")+SUMIFS('BSE - Other Index Options'!$L:$L,'BSE - Other Index Options'!$D:$D,$A137,'BSE - Other Index Options'!$B:$B,"Friday"))</f>
        <v>62544.530000000013</v>
      </c>
      <c r="D137" s="27">
        <f t="shared" si="8"/>
        <v>0.82712595830831093</v>
      </c>
      <c r="E137" s="27">
        <f t="shared" si="9"/>
        <v>0.17287404169168899</v>
      </c>
    </row>
    <row r="138" spans="1:5">
      <c r="A138" s="24">
        <v>46054</v>
      </c>
      <c r="B138" s="26">
        <f>IF(SUMIFS('NSE - NIFTY Index Options'!$L:$L,'NSE - NIFTY Index Options'!$D:$D,$A138,'NSE - NIFTY Index Options'!$B:$B,"Friday")+SUMIFS('NSE - Other Index Options'!$L:$L,'NSE - Other Index Options'!$D:$D,$A138,'NSE - Other Index Options'!$B:$B,"Friday")=0,"",SUMIFS('NSE - NIFTY Index Options'!$L:$L,'NSE - NIFTY Index Options'!$D:$D,$A138,'NSE - NIFTY Index Options'!$B:$B,"Friday")+SUMIFS('NSE - Other Index Options'!$L:$L,'NSE - Other Index Options'!$D:$D,$A138,'NSE - Other Index Options'!$B:$B,"Friday"))</f>
        <v>255514.62</v>
      </c>
      <c r="C138" s="26">
        <f>IF(SUMIFS('BSE - SENSEX Index Options'!$L:$L,'BSE - SENSEX Index Options'!$D:$D,$A138,'BSE - SENSEX Index Options'!$B:$B,"Friday")+SUMIFS('BSE - Other Index Options'!$L:$L,'BSE - Other Index Options'!$D:$D,$A138,'BSE - Other Index Options'!$B:$B,"Friday")=0,"",SUMIFS('BSE - SENSEX Index Options'!$L:$L,'BSE - SENSEX Index Options'!$D:$D,$A138,'BSE - SENSEX Index Options'!$B:$B,"Friday")+SUMIFS('BSE - Other Index Options'!$L:$L,'BSE - Other Index Options'!$D:$D,$A138,'BSE - Other Index Options'!$B:$B,"Friday"))</f>
        <v>50165.560000000005</v>
      </c>
      <c r="D138" s="27">
        <f t="shared" si="8"/>
        <v>0.83588873835392274</v>
      </c>
      <c r="E138" s="27">
        <f t="shared" si="9"/>
        <v>0.16411126164607731</v>
      </c>
    </row>
    <row r="139" spans="1:5">
      <c r="A139" s="24">
        <v>46082</v>
      </c>
      <c r="B139" s="26">
        <f>IF(SUMIFS('NSE - NIFTY Index Options'!$L:$L,'NSE - NIFTY Index Options'!$D:$D,$A139,'NSE - NIFTY Index Options'!$B:$B,"Friday")+SUMIFS('NSE - Other Index Options'!$L:$L,'NSE - Other Index Options'!$D:$D,$A139,'NSE - Other Index Options'!$B:$B,"Friday")=0,"",SUMIFS('NSE - NIFTY Index Options'!$L:$L,'NSE - NIFTY Index Options'!$D:$D,$A139,'NSE - NIFTY Index Options'!$B:$B,"Friday")+SUMIFS('NSE - Other Index Options'!$L:$L,'NSE - Other Index Options'!$D:$D,$A139,'NSE - Other Index Options'!$B:$B,"Friday"))</f>
        <v>343586.59</v>
      </c>
      <c r="C139" s="26">
        <f>IF(SUMIFS('BSE - SENSEX Index Options'!$L:$L,'BSE - SENSEX Index Options'!$D:$D,$A139,'BSE - SENSEX Index Options'!$B:$B,"Friday")+SUMIFS('BSE - Other Index Options'!$L:$L,'BSE - Other Index Options'!$D:$D,$A139,'BSE - Other Index Options'!$B:$B,"Friday")=0,"",SUMIFS('BSE - SENSEX Index Options'!$L:$L,'BSE - SENSEX Index Options'!$D:$D,$A139,'BSE - SENSEX Index Options'!$B:$B,"Friday")+SUMIFS('BSE - Other Index Options'!$L:$L,'BSE - Other Index Options'!$D:$D,$A139,'BSE - Other Index Options'!$B:$B,"Friday"))</f>
        <v>51781.350000000006</v>
      </c>
      <c r="D139" s="27">
        <f t="shared" si="8"/>
        <v>0.86902997243529656</v>
      </c>
      <c r="E139" s="27">
        <f t="shared" si="9"/>
        <v>0.13097002756470338</v>
      </c>
    </row>
    <row r="140" spans="1:5">
      <c r="A140" s="24">
        <v>46113</v>
      </c>
      <c r="B140" s="26">
        <f>IF(SUMIFS('NSE - NIFTY Index Options'!$L:$L,'NSE - NIFTY Index Options'!$D:$D,$A140,'NSE - NIFTY Index Options'!$B:$B,"Friday")+SUMIFS('NSE - Other Index Options'!$L:$L,'NSE - Other Index Options'!$D:$D,$A140,'NSE - Other Index Options'!$B:$B,"Friday")=0,"",SUMIFS('NSE - NIFTY Index Options'!$L:$L,'NSE - NIFTY Index Options'!$D:$D,$A140,'NSE - NIFTY Index Options'!$B:$B,"Friday")+SUMIFS('NSE - Other Index Options'!$L:$L,'NSE - Other Index Options'!$D:$D,$A140,'NSE - Other Index Options'!$B:$B,"Friday"))</f>
        <v>164919.10000000003</v>
      </c>
      <c r="C140" s="26">
        <f>IF(SUMIFS('BSE - SENSEX Index Options'!$L:$L,'BSE - SENSEX Index Options'!$D:$D,$A140,'BSE - SENSEX Index Options'!$B:$B,"Friday")+SUMIFS('BSE - Other Index Options'!$L:$L,'BSE - Other Index Options'!$D:$D,$A140,'BSE - Other Index Options'!$B:$B,"Friday")=0,"",SUMIFS('BSE - SENSEX Index Options'!$L:$L,'BSE - SENSEX Index Options'!$D:$D,$A140,'BSE - SENSEX Index Options'!$B:$B,"Friday")+SUMIFS('BSE - Other Index Options'!$L:$L,'BSE - Other Index Options'!$D:$D,$A140,'BSE - Other Index Options'!$B:$B,"Friday"))</f>
        <v>28488.070000000003</v>
      </c>
      <c r="D140" s="27">
        <f t="shared" si="8"/>
        <v>0.85270416810297156</v>
      </c>
      <c r="E140" s="27">
        <f t="shared" si="9"/>
        <v>0.14729583189702841</v>
      </c>
    </row>
    <row r="141" spans="1:5">
      <c r="A141" s="24">
        <v>46143</v>
      </c>
      <c r="B141" s="26">
        <f>IF(SUMIFS('NSE - NIFTY Index Options'!$L:$L,'NSE - NIFTY Index Options'!$D:$D,$A141,'NSE - NIFTY Index Options'!$B:$B,"Friday")+SUMIFS('NSE - Other Index Options'!$L:$L,'NSE - Other Index Options'!$D:$D,$A141,'NSE - Other Index Options'!$B:$B,"Friday")=0,"",SUMIFS('NSE - NIFTY Index Options'!$L:$L,'NSE - NIFTY Index Options'!$D:$D,$A141,'NSE - NIFTY Index Options'!$B:$B,"Friday")+SUMIFS('NSE - Other Index Options'!$L:$L,'NSE - Other Index Options'!$D:$D,$A141,'NSE - Other Index Options'!$B:$B,"Friday"))</f>
        <v>233242.30000000002</v>
      </c>
      <c r="C141" s="26">
        <f>IF(SUMIFS('BSE - SENSEX Index Options'!$L:$L,'BSE - SENSEX Index Options'!$D:$D,$A141,'BSE - SENSEX Index Options'!$B:$B,"Friday")+SUMIFS('BSE - Other Index Options'!$L:$L,'BSE - Other Index Options'!$D:$D,$A141,'BSE - Other Index Options'!$B:$B,"Friday")=0,"",SUMIFS('BSE - SENSEX Index Options'!$L:$L,'BSE - SENSEX Index Options'!$D:$D,$A141,'BSE - SENSEX Index Options'!$B:$B,"Friday")+SUMIFS('BSE - Other Index Options'!$L:$L,'BSE - Other Index Options'!$D:$D,$A141,'BSE - Other Index Options'!$B:$B,"Friday"))</f>
        <v>45725.09</v>
      </c>
      <c r="D141" s="27">
        <f t="shared" si="8"/>
        <v>0.83609163063826208</v>
      </c>
      <c r="E141" s="27">
        <f t="shared" si="9"/>
        <v>0.16390836936173792</v>
      </c>
    </row>
    <row r="142" spans="1:5">
      <c r="A142" s="24">
        <v>46174</v>
      </c>
      <c r="B142" s="26">
        <f>IF(SUMIFS('NSE - NIFTY Index Options'!$L:$L,'NSE - NIFTY Index Options'!$D:$D,$A142,'NSE - NIFTY Index Options'!$B:$B,"Friday")+SUMIFS('NSE - Other Index Options'!$L:$L,'NSE - Other Index Options'!$D:$D,$A142,'NSE - Other Index Options'!$B:$B,"Friday")=0,"",SUMIFS('NSE - NIFTY Index Options'!$L:$L,'NSE - NIFTY Index Options'!$D:$D,$A142,'NSE - NIFTY Index Options'!$B:$B,"Friday")+SUMIFS('NSE - Other Index Options'!$L:$L,'NSE - Other Index Options'!$D:$D,$A142,'NSE - Other Index Options'!$B:$B,"Friday"))</f>
        <v>183448.08999999997</v>
      </c>
      <c r="C142" s="26">
        <f>IF(SUMIFS('BSE - SENSEX Index Options'!$L:$L,'BSE - SENSEX Index Options'!$D:$D,$A142,'BSE - SENSEX Index Options'!$B:$B,"Friday")+SUMIFS('BSE - Other Index Options'!$L:$L,'BSE - Other Index Options'!$D:$D,$A142,'BSE - Other Index Options'!$B:$B,"Friday")=0,"",SUMIFS('BSE - SENSEX Index Options'!$L:$L,'BSE - SENSEX Index Options'!$D:$D,$A142,'BSE - SENSEX Index Options'!$B:$B,"Friday")+SUMIFS('BSE - Other Index Options'!$L:$L,'BSE - Other Index Options'!$D:$D,$A142,'BSE - Other Index Options'!$B:$B,"Friday"))</f>
        <v>35882.239999999998</v>
      </c>
      <c r="D142" s="27">
        <f t="shared" si="8"/>
        <v>0.83640092093054341</v>
      </c>
      <c r="E142" s="27">
        <f t="shared" si="9"/>
        <v>0.16359907906945659</v>
      </c>
    </row>
    <row r="143" spans="1:5">
      <c r="A143" s="24">
        <v>46204</v>
      </c>
      <c r="B143" s="26">
        <f>IF(SUMIFS('NSE - NIFTY Index Options'!$L:$L,'NSE - NIFTY Index Options'!$D:$D,$A143,'NSE - NIFTY Index Options'!$B:$B,"Friday")+SUMIFS('NSE - Other Index Options'!$L:$L,'NSE - Other Index Options'!$D:$D,$A143,'NSE - Other Index Options'!$B:$B,"Friday")=0,"",SUMIFS('NSE - NIFTY Index Options'!$L:$L,'NSE - NIFTY Index Options'!$D:$D,$A143,'NSE - NIFTY Index Options'!$B:$B,"Friday")+SUMIFS('NSE - Other Index Options'!$L:$L,'NSE - Other Index Options'!$D:$D,$A143,'NSE - Other Index Options'!$B:$B,"Friday"))</f>
        <v>40096.449999999997</v>
      </c>
      <c r="C143" s="26">
        <f>IF(SUMIFS('BSE - SENSEX Index Options'!$L:$L,'BSE - SENSEX Index Options'!$D:$D,$A143,'BSE - SENSEX Index Options'!$B:$B,"Friday")+SUMIFS('BSE - Other Index Options'!$L:$L,'BSE - Other Index Options'!$D:$D,$A143,'BSE - Other Index Options'!$B:$B,"Friday")=0,"",SUMIFS('BSE - SENSEX Index Options'!$L:$L,'BSE - SENSEX Index Options'!$D:$D,$A143,'BSE - SENSEX Index Options'!$B:$B,"Friday")+SUMIFS('BSE - Other Index Options'!$L:$L,'BSE - Other Index Options'!$D:$D,$A143,'BSE - Other Index Options'!$B:$B,"Friday"))</f>
        <v>9211.5400000000009</v>
      </c>
      <c r="D143" s="27">
        <f t="shared" si="8"/>
        <v>0.81318362399278488</v>
      </c>
      <c r="E143" s="27">
        <f t="shared" si="9"/>
        <v>0.1868163760072151</v>
      </c>
    </row>
    <row r="144" spans="1:5" hidden="1" outlineLevel="1">
      <c r="A144" s="24">
        <v>46235</v>
      </c>
      <c r="B144" s="26" t="str">
        <f>IF(SUMIFS('NSE - NIFTY Index Options'!$L:$L,'NSE - NIFTY Index Options'!$D:$D,$A144,'NSE - NIFTY Index Options'!$B:$B,"Friday")+SUMIFS('NSE - Other Index Options'!$L:$L,'NSE - Other Index Options'!$D:$D,$A144,'NSE - Other Index Options'!$B:$B,"Friday")=0,"",SUMIFS('NSE - NIFTY Index Options'!$L:$L,'NSE - NIFTY Index Options'!$D:$D,$A144,'NSE - NIFTY Index Options'!$B:$B,"Friday")+SUMIFS('NSE - Other Index Options'!$L:$L,'NSE - Other Index Options'!$D:$D,$A144,'NSE - Other Index Options'!$B:$B,"Friday"))</f>
        <v/>
      </c>
      <c r="C144" s="26" t="str">
        <f>IF(SUMIFS('BSE - SENSEX Index Options'!$L:$L,'BSE - SENSEX Index Options'!$D:$D,$A144,'BSE - SENSEX Index Options'!$B:$B,"Friday")+SUMIFS('BSE - Other Index Options'!$L:$L,'BSE - Other Index Options'!$D:$D,$A144,'BSE - Other Index Options'!$B:$B,"Friday")=0,"",SUMIFS('BSE - SENSEX Index Options'!$L:$L,'BSE - SENSEX Index Options'!$D:$D,$A144,'BSE - SENSEX Index Options'!$B:$B,"Friday")+SUMIFS('BSE - Other Index Options'!$L:$L,'BSE - Other Index Options'!$D:$D,$A144,'BSE - Other Index Options'!$B:$B,"Friday"))</f>
        <v/>
      </c>
      <c r="D144" s="27" t="str">
        <f t="shared" si="8"/>
        <v/>
      </c>
      <c r="E144" s="27" t="str">
        <f t="shared" si="9"/>
        <v/>
      </c>
    </row>
    <row r="145" spans="1:5" hidden="1" outlineLevel="1">
      <c r="A145" s="24">
        <v>46266</v>
      </c>
      <c r="B145" s="26" t="str">
        <f>IF(SUMIFS('NSE - NIFTY Index Options'!$L:$L,'NSE - NIFTY Index Options'!$D:$D,$A145,'NSE - NIFTY Index Options'!$B:$B,"Friday")+SUMIFS('NSE - Other Index Options'!$L:$L,'NSE - Other Index Options'!$D:$D,$A145,'NSE - Other Index Options'!$B:$B,"Friday")=0,"",SUMIFS('NSE - NIFTY Index Options'!$L:$L,'NSE - NIFTY Index Options'!$D:$D,$A145,'NSE - NIFTY Index Options'!$B:$B,"Friday")+SUMIFS('NSE - Other Index Options'!$L:$L,'NSE - Other Index Options'!$D:$D,$A145,'NSE - Other Index Options'!$B:$B,"Friday"))</f>
        <v/>
      </c>
      <c r="C145" s="26" t="str">
        <f>IF(SUMIFS('BSE - SENSEX Index Options'!$L:$L,'BSE - SENSEX Index Options'!$D:$D,$A145,'BSE - SENSEX Index Options'!$B:$B,"Friday")+SUMIFS('BSE - Other Index Options'!$L:$L,'BSE - Other Index Options'!$D:$D,$A145,'BSE - Other Index Options'!$B:$B,"Friday")=0,"",SUMIFS('BSE - SENSEX Index Options'!$L:$L,'BSE - SENSEX Index Options'!$D:$D,$A145,'BSE - SENSEX Index Options'!$B:$B,"Friday")+SUMIFS('BSE - Other Index Options'!$L:$L,'BSE - Other Index Options'!$D:$D,$A145,'BSE - Other Index Options'!$B:$B,"Friday"))</f>
        <v/>
      </c>
      <c r="D145" s="27" t="str">
        <f t="shared" si="8"/>
        <v/>
      </c>
      <c r="E145" s="27" t="str">
        <f t="shared" si="9"/>
        <v/>
      </c>
    </row>
    <row r="146" spans="1:5" hidden="1" outlineLevel="1">
      <c r="A146" s="24">
        <v>46296</v>
      </c>
      <c r="B146" s="26" t="str">
        <f>IF(SUMIFS('NSE - NIFTY Index Options'!$L:$L,'NSE - NIFTY Index Options'!$D:$D,$A146,'NSE - NIFTY Index Options'!$B:$B,"Friday")+SUMIFS('NSE - Other Index Options'!$L:$L,'NSE - Other Index Options'!$D:$D,$A146,'NSE - Other Index Options'!$B:$B,"Friday")=0,"",SUMIFS('NSE - NIFTY Index Options'!$L:$L,'NSE - NIFTY Index Options'!$D:$D,$A146,'NSE - NIFTY Index Options'!$B:$B,"Friday")+SUMIFS('NSE - Other Index Options'!$L:$L,'NSE - Other Index Options'!$D:$D,$A146,'NSE - Other Index Options'!$B:$B,"Friday"))</f>
        <v/>
      </c>
      <c r="C146" s="26" t="str">
        <f>IF(SUMIFS('BSE - SENSEX Index Options'!$L:$L,'BSE - SENSEX Index Options'!$D:$D,$A146,'BSE - SENSEX Index Options'!$B:$B,"Friday")+SUMIFS('BSE - Other Index Options'!$L:$L,'BSE - Other Index Options'!$D:$D,$A146,'BSE - Other Index Options'!$B:$B,"Friday")=0,"",SUMIFS('BSE - SENSEX Index Options'!$L:$L,'BSE - SENSEX Index Options'!$D:$D,$A146,'BSE - SENSEX Index Options'!$B:$B,"Friday")+SUMIFS('BSE - Other Index Options'!$L:$L,'BSE - Other Index Options'!$D:$D,$A146,'BSE - Other Index Options'!$B:$B,"Friday"))</f>
        <v/>
      </c>
      <c r="D146" s="27" t="str">
        <f t="shared" si="8"/>
        <v/>
      </c>
      <c r="E146" s="27" t="str">
        <f t="shared" si="9"/>
        <v/>
      </c>
    </row>
    <row r="147" spans="1:5" hidden="1" outlineLevel="1">
      <c r="A147" s="24">
        <v>46327</v>
      </c>
      <c r="B147" s="26" t="str">
        <f>IF(SUMIFS('NSE - NIFTY Index Options'!$L:$L,'NSE - NIFTY Index Options'!$D:$D,$A147,'NSE - NIFTY Index Options'!$B:$B,"Friday")+SUMIFS('NSE - Other Index Options'!$L:$L,'NSE - Other Index Options'!$D:$D,$A147,'NSE - Other Index Options'!$B:$B,"Friday")=0,"",SUMIFS('NSE - NIFTY Index Options'!$L:$L,'NSE - NIFTY Index Options'!$D:$D,$A147,'NSE - NIFTY Index Options'!$B:$B,"Friday")+SUMIFS('NSE - Other Index Options'!$L:$L,'NSE - Other Index Options'!$D:$D,$A147,'NSE - Other Index Options'!$B:$B,"Friday"))</f>
        <v/>
      </c>
      <c r="C147" s="26" t="str">
        <f>IF(SUMIFS('BSE - SENSEX Index Options'!$L:$L,'BSE - SENSEX Index Options'!$D:$D,$A147,'BSE - SENSEX Index Options'!$B:$B,"Friday")+SUMIFS('BSE - Other Index Options'!$L:$L,'BSE - Other Index Options'!$D:$D,$A147,'BSE - Other Index Options'!$B:$B,"Friday")=0,"",SUMIFS('BSE - SENSEX Index Options'!$L:$L,'BSE - SENSEX Index Options'!$D:$D,$A147,'BSE - SENSEX Index Options'!$B:$B,"Friday")+SUMIFS('BSE - Other Index Options'!$L:$L,'BSE - Other Index Options'!$D:$D,$A147,'BSE - Other Index Options'!$B:$B,"Friday"))</f>
        <v/>
      </c>
      <c r="D147" s="27" t="str">
        <f t="shared" si="8"/>
        <v/>
      </c>
      <c r="E147" s="27" t="str">
        <f t="shared" si="9"/>
        <v/>
      </c>
    </row>
    <row r="148" spans="1:5" hidden="1" outlineLevel="1">
      <c r="A148" s="24">
        <v>46357</v>
      </c>
      <c r="B148" s="26" t="str">
        <f>IF(SUMIFS('NSE - NIFTY Index Options'!$L:$L,'NSE - NIFTY Index Options'!$D:$D,$A148,'NSE - NIFTY Index Options'!$B:$B,"Friday")+SUMIFS('NSE - Other Index Options'!$L:$L,'NSE - Other Index Options'!$D:$D,$A148,'NSE - Other Index Options'!$B:$B,"Friday")=0,"",SUMIFS('NSE - NIFTY Index Options'!$L:$L,'NSE - NIFTY Index Options'!$D:$D,$A148,'NSE - NIFTY Index Options'!$B:$B,"Friday")+SUMIFS('NSE - Other Index Options'!$L:$L,'NSE - Other Index Options'!$D:$D,$A148,'NSE - Other Index Options'!$B:$B,"Friday"))</f>
        <v/>
      </c>
      <c r="C148" s="26" t="str">
        <f>IF(SUMIFS('BSE - SENSEX Index Options'!$L:$L,'BSE - SENSEX Index Options'!$D:$D,$A148,'BSE - SENSEX Index Options'!$B:$B,"Friday")+SUMIFS('BSE - Other Index Options'!$L:$L,'BSE - Other Index Options'!$D:$D,$A148,'BSE - Other Index Options'!$B:$B,"Friday")=0,"",SUMIFS('BSE - SENSEX Index Options'!$L:$L,'BSE - SENSEX Index Options'!$D:$D,$A148,'BSE - SENSEX Index Options'!$B:$B,"Friday")+SUMIFS('BSE - Other Index Options'!$L:$L,'BSE - Other Index Options'!$D:$D,$A148,'BSE - Other Index Options'!$B:$B,"Friday"))</f>
        <v/>
      </c>
      <c r="D148" s="27" t="str">
        <f t="shared" si="8"/>
        <v/>
      </c>
      <c r="E148" s="27" t="str">
        <f t="shared" si="9"/>
        <v/>
      </c>
    </row>
    <row r="149" spans="1:5" hidden="1" outlineLevel="1">
      <c r="A149" s="24">
        <v>46388</v>
      </c>
      <c r="B149" s="26" t="str">
        <f>IF(SUMIFS('NSE - NIFTY Index Options'!$L:$L,'NSE - NIFTY Index Options'!$D:$D,$A149,'NSE - NIFTY Index Options'!$B:$B,"Friday")+SUMIFS('NSE - Other Index Options'!$L:$L,'NSE - Other Index Options'!$D:$D,$A149,'NSE - Other Index Options'!$B:$B,"Friday")=0,"",SUMIFS('NSE - NIFTY Index Options'!$L:$L,'NSE - NIFTY Index Options'!$D:$D,$A149,'NSE - NIFTY Index Options'!$B:$B,"Friday")+SUMIFS('NSE - Other Index Options'!$L:$L,'NSE - Other Index Options'!$D:$D,$A149,'NSE - Other Index Options'!$B:$B,"Friday"))</f>
        <v/>
      </c>
      <c r="C149" s="26" t="str">
        <f>IF(SUMIFS('BSE - SENSEX Index Options'!$L:$L,'BSE - SENSEX Index Options'!$D:$D,$A149,'BSE - SENSEX Index Options'!$B:$B,"Friday")+SUMIFS('BSE - Other Index Options'!$L:$L,'BSE - Other Index Options'!$D:$D,$A149,'BSE - Other Index Options'!$B:$B,"Friday")=0,"",SUMIFS('BSE - SENSEX Index Options'!$L:$L,'BSE - SENSEX Index Options'!$D:$D,$A149,'BSE - SENSEX Index Options'!$B:$B,"Friday")+SUMIFS('BSE - Other Index Options'!$L:$L,'BSE - Other Index Options'!$D:$D,$A149,'BSE - Other Index Options'!$B:$B,"Friday"))</f>
        <v/>
      </c>
      <c r="D149" s="27" t="str">
        <f t="shared" si="8"/>
        <v/>
      </c>
      <c r="E149" s="27" t="str">
        <f t="shared" si="9"/>
        <v/>
      </c>
    </row>
    <row r="150" spans="1:5" hidden="1" outlineLevel="1">
      <c r="A150" s="24">
        <v>46419</v>
      </c>
      <c r="B150" s="26" t="str">
        <f>IF(SUMIFS('NSE - NIFTY Index Options'!$L:$L,'NSE - NIFTY Index Options'!$D:$D,$A150,'NSE - NIFTY Index Options'!$B:$B,"Friday")+SUMIFS('NSE - Other Index Options'!$L:$L,'NSE - Other Index Options'!$D:$D,$A150,'NSE - Other Index Options'!$B:$B,"Friday")=0,"",SUMIFS('NSE - NIFTY Index Options'!$L:$L,'NSE - NIFTY Index Options'!$D:$D,$A150,'NSE - NIFTY Index Options'!$B:$B,"Friday")+SUMIFS('NSE - Other Index Options'!$L:$L,'NSE - Other Index Options'!$D:$D,$A150,'NSE - Other Index Options'!$B:$B,"Friday"))</f>
        <v/>
      </c>
      <c r="C150" s="26" t="str">
        <f>IF(SUMIFS('BSE - SENSEX Index Options'!$L:$L,'BSE - SENSEX Index Options'!$D:$D,$A150,'BSE - SENSEX Index Options'!$B:$B,"Friday")+SUMIFS('BSE - Other Index Options'!$L:$L,'BSE - Other Index Options'!$D:$D,$A150,'BSE - Other Index Options'!$B:$B,"Friday")=0,"",SUMIFS('BSE - SENSEX Index Options'!$L:$L,'BSE - SENSEX Index Options'!$D:$D,$A150,'BSE - SENSEX Index Options'!$B:$B,"Friday")+SUMIFS('BSE - Other Index Options'!$L:$L,'BSE - Other Index Options'!$D:$D,$A150,'BSE - Other Index Options'!$B:$B,"Friday"))</f>
        <v/>
      </c>
      <c r="D150" s="27" t="str">
        <f t="shared" si="8"/>
        <v/>
      </c>
      <c r="E150" s="27" t="str">
        <f t="shared" si="9"/>
        <v/>
      </c>
    </row>
    <row r="151" spans="1:5" hidden="1" outlineLevel="1">
      <c r="A151" s="24">
        <v>46447</v>
      </c>
      <c r="B151" s="26" t="str">
        <f>IF(SUMIFS('NSE - NIFTY Index Options'!$L:$L,'NSE - NIFTY Index Options'!$D:$D,$A151,'NSE - NIFTY Index Options'!$B:$B,"Friday")+SUMIFS('NSE - Other Index Options'!$L:$L,'NSE - Other Index Options'!$D:$D,$A151,'NSE - Other Index Options'!$B:$B,"Friday")=0,"",SUMIFS('NSE - NIFTY Index Options'!$L:$L,'NSE - NIFTY Index Options'!$D:$D,$A151,'NSE - NIFTY Index Options'!$B:$B,"Friday")+SUMIFS('NSE - Other Index Options'!$L:$L,'NSE - Other Index Options'!$D:$D,$A151,'NSE - Other Index Options'!$B:$B,"Friday"))</f>
        <v/>
      </c>
      <c r="C151" s="26" t="str">
        <f>IF(SUMIFS('BSE - SENSEX Index Options'!$L:$L,'BSE - SENSEX Index Options'!$D:$D,$A151,'BSE - SENSEX Index Options'!$B:$B,"Friday")+SUMIFS('BSE - Other Index Options'!$L:$L,'BSE - Other Index Options'!$D:$D,$A151,'BSE - Other Index Options'!$B:$B,"Friday")=0,"",SUMIFS('BSE - SENSEX Index Options'!$L:$L,'BSE - SENSEX Index Options'!$D:$D,$A151,'BSE - SENSEX Index Options'!$B:$B,"Friday")+SUMIFS('BSE - Other Index Options'!$L:$L,'BSE - Other Index Options'!$D:$D,$A151,'BSE - Other Index Options'!$B:$B,"Friday"))</f>
        <v/>
      </c>
      <c r="D151" s="27" t="str">
        <f t="shared" si="8"/>
        <v/>
      </c>
      <c r="E151" s="27" t="str">
        <f t="shared" si="9"/>
        <v/>
      </c>
    </row>
    <row r="152" spans="1:5" hidden="1" outlineLevel="1">
      <c r="A152" s="24">
        <v>46478</v>
      </c>
      <c r="B152" s="26" t="str">
        <f>IF(SUMIFS('NSE - NIFTY Index Options'!$L:$L,'NSE - NIFTY Index Options'!$D:$D,$A152,'NSE - NIFTY Index Options'!$B:$B,"Friday")+SUMIFS('NSE - Other Index Options'!$L:$L,'NSE - Other Index Options'!$D:$D,$A152,'NSE - Other Index Options'!$B:$B,"Friday")=0,"",SUMIFS('NSE - NIFTY Index Options'!$L:$L,'NSE - NIFTY Index Options'!$D:$D,$A152,'NSE - NIFTY Index Options'!$B:$B,"Friday")+SUMIFS('NSE - Other Index Options'!$L:$L,'NSE - Other Index Options'!$D:$D,$A152,'NSE - Other Index Options'!$B:$B,"Friday"))</f>
        <v/>
      </c>
      <c r="C152" s="26" t="str">
        <f>IF(SUMIFS('BSE - SENSEX Index Options'!$L:$L,'BSE - SENSEX Index Options'!$D:$D,$A152,'BSE - SENSEX Index Options'!$B:$B,"Friday")+SUMIFS('BSE - Other Index Options'!$L:$L,'BSE - Other Index Options'!$D:$D,$A152,'BSE - Other Index Options'!$B:$B,"Friday")=0,"",SUMIFS('BSE - SENSEX Index Options'!$L:$L,'BSE - SENSEX Index Options'!$D:$D,$A152,'BSE - SENSEX Index Options'!$B:$B,"Friday")+SUMIFS('BSE - Other Index Options'!$L:$L,'BSE - Other Index Options'!$D:$D,$A152,'BSE - Other Index Options'!$B:$B,"Friday"))</f>
        <v/>
      </c>
      <c r="D152" s="27" t="str">
        <f t="shared" si="8"/>
        <v/>
      </c>
      <c r="E152" s="27" t="str">
        <f t="shared" si="9"/>
        <v/>
      </c>
    </row>
    <row r="153" spans="1:5" hidden="1" outlineLevel="1">
      <c r="A153" s="24">
        <v>46508</v>
      </c>
      <c r="B153" s="26" t="str">
        <f>IF(SUMIFS('NSE - NIFTY Index Options'!$L:$L,'NSE - NIFTY Index Options'!$D:$D,$A153,'NSE - NIFTY Index Options'!$B:$B,"Friday")+SUMIFS('NSE - Other Index Options'!$L:$L,'NSE - Other Index Options'!$D:$D,$A153,'NSE - Other Index Options'!$B:$B,"Friday")=0,"",SUMIFS('NSE - NIFTY Index Options'!$L:$L,'NSE - NIFTY Index Options'!$D:$D,$A153,'NSE - NIFTY Index Options'!$B:$B,"Friday")+SUMIFS('NSE - Other Index Options'!$L:$L,'NSE - Other Index Options'!$D:$D,$A153,'NSE - Other Index Options'!$B:$B,"Friday"))</f>
        <v/>
      </c>
      <c r="C153" s="26" t="str">
        <f>IF(SUMIFS('BSE - SENSEX Index Options'!$L:$L,'BSE - SENSEX Index Options'!$D:$D,$A153,'BSE - SENSEX Index Options'!$B:$B,"Friday")+SUMIFS('BSE - Other Index Options'!$L:$L,'BSE - Other Index Options'!$D:$D,$A153,'BSE - Other Index Options'!$B:$B,"Friday")=0,"",SUMIFS('BSE - SENSEX Index Options'!$L:$L,'BSE - SENSEX Index Options'!$D:$D,$A153,'BSE - SENSEX Index Options'!$B:$B,"Friday")+SUMIFS('BSE - Other Index Options'!$L:$L,'BSE - Other Index Options'!$D:$D,$A153,'BSE - Other Index Options'!$B:$B,"Friday"))</f>
        <v/>
      </c>
      <c r="D153" s="27" t="str">
        <f t="shared" si="8"/>
        <v/>
      </c>
      <c r="E153" s="27" t="str">
        <f t="shared" si="9"/>
        <v/>
      </c>
    </row>
    <row r="154" spans="1:5" hidden="1" outlineLevel="1">
      <c r="A154" s="24">
        <v>46539</v>
      </c>
      <c r="B154" s="26" t="str">
        <f>IF(SUMIFS('NSE - NIFTY Index Options'!$L:$L,'NSE - NIFTY Index Options'!$D:$D,$A154,'NSE - NIFTY Index Options'!$B:$B,"Friday")+SUMIFS('NSE - Other Index Options'!$L:$L,'NSE - Other Index Options'!$D:$D,$A154,'NSE - Other Index Options'!$B:$B,"Friday")=0,"",SUMIFS('NSE - NIFTY Index Options'!$L:$L,'NSE - NIFTY Index Options'!$D:$D,$A154,'NSE - NIFTY Index Options'!$B:$B,"Friday")+SUMIFS('NSE - Other Index Options'!$L:$L,'NSE - Other Index Options'!$D:$D,$A154,'NSE - Other Index Options'!$B:$B,"Friday"))</f>
        <v/>
      </c>
      <c r="C154" s="26" t="str">
        <f>IF(SUMIFS('BSE - SENSEX Index Options'!$L:$L,'BSE - SENSEX Index Options'!$D:$D,$A154,'BSE - SENSEX Index Options'!$B:$B,"Friday")+SUMIFS('BSE - Other Index Options'!$L:$L,'BSE - Other Index Options'!$D:$D,$A154,'BSE - Other Index Options'!$B:$B,"Friday")=0,"",SUMIFS('BSE - SENSEX Index Options'!$L:$L,'BSE - SENSEX Index Options'!$D:$D,$A154,'BSE - SENSEX Index Options'!$B:$B,"Friday")+SUMIFS('BSE - Other Index Options'!$L:$L,'BSE - Other Index Options'!$D:$D,$A154,'BSE - Other Index Options'!$B:$B,"Friday"))</f>
        <v/>
      </c>
      <c r="D154" s="27" t="str">
        <f t="shared" si="8"/>
        <v/>
      </c>
      <c r="E154" s="27" t="str">
        <f t="shared" si="9"/>
        <v/>
      </c>
    </row>
    <row r="155" spans="1:5" hidden="1" outlineLevel="1">
      <c r="A155" s="24">
        <v>46569</v>
      </c>
      <c r="B155" s="26" t="str">
        <f>IF(SUMIFS('NSE - NIFTY Index Options'!$L:$L,'NSE - NIFTY Index Options'!$D:$D,$A155,'NSE - NIFTY Index Options'!$B:$B,"Friday")+SUMIFS('NSE - Other Index Options'!$L:$L,'NSE - Other Index Options'!$D:$D,$A155,'NSE - Other Index Options'!$B:$B,"Friday")=0,"",SUMIFS('NSE - NIFTY Index Options'!$L:$L,'NSE - NIFTY Index Options'!$D:$D,$A155,'NSE - NIFTY Index Options'!$B:$B,"Friday")+SUMIFS('NSE - Other Index Options'!$L:$L,'NSE - Other Index Options'!$D:$D,$A155,'NSE - Other Index Options'!$B:$B,"Friday"))</f>
        <v/>
      </c>
      <c r="C155" s="26" t="str">
        <f>IF(SUMIFS('BSE - SENSEX Index Options'!$L:$L,'BSE - SENSEX Index Options'!$D:$D,$A155,'BSE - SENSEX Index Options'!$B:$B,"Friday")+SUMIFS('BSE - Other Index Options'!$L:$L,'BSE - Other Index Options'!$D:$D,$A155,'BSE - Other Index Options'!$B:$B,"Friday")=0,"",SUMIFS('BSE - SENSEX Index Options'!$L:$L,'BSE - SENSEX Index Options'!$D:$D,$A155,'BSE - SENSEX Index Options'!$B:$B,"Friday")+SUMIFS('BSE - Other Index Options'!$L:$L,'BSE - Other Index Options'!$D:$D,$A155,'BSE - Other Index Options'!$B:$B,"Friday"))</f>
        <v/>
      </c>
      <c r="D155" s="27" t="str">
        <f t="shared" si="8"/>
        <v/>
      </c>
      <c r="E155" s="27" t="str">
        <f t="shared" si="9"/>
        <v/>
      </c>
    </row>
    <row r="156" spans="1:5" hidden="1" outlineLevel="1">
      <c r="A156" s="24">
        <v>46600</v>
      </c>
      <c r="B156" s="26" t="str">
        <f>IF(SUMIFS('NSE - NIFTY Index Options'!$L:$L,'NSE - NIFTY Index Options'!$D:$D,$A156,'NSE - NIFTY Index Options'!$B:$B,"Friday")+SUMIFS('NSE - Other Index Options'!$L:$L,'NSE - Other Index Options'!$D:$D,$A156,'NSE - Other Index Options'!$B:$B,"Friday")=0,"",SUMIFS('NSE - NIFTY Index Options'!$L:$L,'NSE - NIFTY Index Options'!$D:$D,$A156,'NSE - NIFTY Index Options'!$B:$B,"Friday")+SUMIFS('NSE - Other Index Options'!$L:$L,'NSE - Other Index Options'!$D:$D,$A156,'NSE - Other Index Options'!$B:$B,"Friday"))</f>
        <v/>
      </c>
      <c r="C156" s="26" t="str">
        <f>IF(SUMIFS('BSE - SENSEX Index Options'!$L:$L,'BSE - SENSEX Index Options'!$D:$D,$A156,'BSE - SENSEX Index Options'!$B:$B,"Friday")+SUMIFS('BSE - Other Index Options'!$L:$L,'BSE - Other Index Options'!$D:$D,$A156,'BSE - Other Index Options'!$B:$B,"Friday")=0,"",SUMIFS('BSE - SENSEX Index Options'!$L:$L,'BSE - SENSEX Index Options'!$D:$D,$A156,'BSE - SENSEX Index Options'!$B:$B,"Friday")+SUMIFS('BSE - Other Index Options'!$L:$L,'BSE - Other Index Options'!$D:$D,$A156,'BSE - Other Index Options'!$B:$B,"Friday"))</f>
        <v/>
      </c>
      <c r="D156" s="27" t="str">
        <f t="shared" si="8"/>
        <v/>
      </c>
      <c r="E156" s="27" t="str">
        <f t="shared" si="9"/>
        <v/>
      </c>
    </row>
    <row r="157" spans="1:5" hidden="1" outlineLevel="1">
      <c r="A157" s="24">
        <v>46631</v>
      </c>
      <c r="B157" s="26" t="str">
        <f>IF(SUMIFS('NSE - NIFTY Index Options'!$L:$L,'NSE - NIFTY Index Options'!$D:$D,$A157,'NSE - NIFTY Index Options'!$B:$B,"Friday")+SUMIFS('NSE - Other Index Options'!$L:$L,'NSE - Other Index Options'!$D:$D,$A157,'NSE - Other Index Options'!$B:$B,"Friday")=0,"",SUMIFS('NSE - NIFTY Index Options'!$L:$L,'NSE - NIFTY Index Options'!$D:$D,$A157,'NSE - NIFTY Index Options'!$B:$B,"Friday")+SUMIFS('NSE - Other Index Options'!$L:$L,'NSE - Other Index Options'!$D:$D,$A157,'NSE - Other Index Options'!$B:$B,"Friday"))</f>
        <v/>
      </c>
      <c r="C157" s="26" t="str">
        <f>IF(SUMIFS('BSE - SENSEX Index Options'!$L:$L,'BSE - SENSEX Index Options'!$D:$D,$A157,'BSE - SENSEX Index Options'!$B:$B,"Friday")+SUMIFS('BSE - Other Index Options'!$L:$L,'BSE - Other Index Options'!$D:$D,$A157,'BSE - Other Index Options'!$B:$B,"Friday")=0,"",SUMIFS('BSE - SENSEX Index Options'!$L:$L,'BSE - SENSEX Index Options'!$D:$D,$A157,'BSE - SENSEX Index Options'!$B:$B,"Friday")+SUMIFS('BSE - Other Index Options'!$L:$L,'BSE - Other Index Options'!$D:$D,$A157,'BSE - Other Index Options'!$B:$B,"Friday"))</f>
        <v/>
      </c>
      <c r="D157" s="27" t="str">
        <f t="shared" si="8"/>
        <v/>
      </c>
      <c r="E157" s="27" t="str">
        <f t="shared" si="9"/>
        <v/>
      </c>
    </row>
    <row r="158" spans="1:5" hidden="1" outlineLevel="1">
      <c r="A158" s="24">
        <v>46661</v>
      </c>
      <c r="B158" s="26" t="str">
        <f>IF(SUMIFS('NSE - NIFTY Index Options'!$L:$L,'NSE - NIFTY Index Options'!$D:$D,$A158,'NSE - NIFTY Index Options'!$B:$B,"Friday")+SUMIFS('NSE - Other Index Options'!$L:$L,'NSE - Other Index Options'!$D:$D,$A158,'NSE - Other Index Options'!$B:$B,"Friday")=0,"",SUMIFS('NSE - NIFTY Index Options'!$L:$L,'NSE - NIFTY Index Options'!$D:$D,$A158,'NSE - NIFTY Index Options'!$B:$B,"Friday")+SUMIFS('NSE - Other Index Options'!$L:$L,'NSE - Other Index Options'!$D:$D,$A158,'NSE - Other Index Options'!$B:$B,"Friday"))</f>
        <v/>
      </c>
      <c r="C158" s="26" t="str">
        <f>IF(SUMIFS('BSE - SENSEX Index Options'!$L:$L,'BSE - SENSEX Index Options'!$D:$D,$A158,'BSE - SENSEX Index Options'!$B:$B,"Friday")+SUMIFS('BSE - Other Index Options'!$L:$L,'BSE - Other Index Options'!$D:$D,$A158,'BSE - Other Index Options'!$B:$B,"Friday")=0,"",SUMIFS('BSE - SENSEX Index Options'!$L:$L,'BSE - SENSEX Index Options'!$D:$D,$A158,'BSE - SENSEX Index Options'!$B:$B,"Friday")+SUMIFS('BSE - Other Index Options'!$L:$L,'BSE - Other Index Options'!$D:$D,$A158,'BSE - Other Index Options'!$B:$B,"Friday"))</f>
        <v/>
      </c>
      <c r="D158" s="27" t="str">
        <f t="shared" si="8"/>
        <v/>
      </c>
      <c r="E158" s="27" t="str">
        <f t="shared" si="9"/>
        <v/>
      </c>
    </row>
    <row r="159" spans="1:5" hidden="1" outlineLevel="1">
      <c r="A159" s="24">
        <v>46692</v>
      </c>
      <c r="B159" s="26" t="str">
        <f>IF(SUMIFS('NSE - NIFTY Index Options'!$L:$L,'NSE - NIFTY Index Options'!$D:$D,$A159,'NSE - NIFTY Index Options'!$B:$B,"Friday")+SUMIFS('NSE - Other Index Options'!$L:$L,'NSE - Other Index Options'!$D:$D,$A159,'NSE - Other Index Options'!$B:$B,"Friday")=0,"",SUMIFS('NSE - NIFTY Index Options'!$L:$L,'NSE - NIFTY Index Options'!$D:$D,$A159,'NSE - NIFTY Index Options'!$B:$B,"Friday")+SUMIFS('NSE - Other Index Options'!$L:$L,'NSE - Other Index Options'!$D:$D,$A159,'NSE - Other Index Options'!$B:$B,"Friday"))</f>
        <v/>
      </c>
      <c r="C159" s="26" t="str">
        <f>IF(SUMIFS('BSE - SENSEX Index Options'!$L:$L,'BSE - SENSEX Index Options'!$D:$D,$A159,'BSE - SENSEX Index Options'!$B:$B,"Friday")+SUMIFS('BSE - Other Index Options'!$L:$L,'BSE - Other Index Options'!$D:$D,$A159,'BSE - Other Index Options'!$B:$B,"Friday")=0,"",SUMIFS('BSE - SENSEX Index Options'!$L:$L,'BSE - SENSEX Index Options'!$D:$D,$A159,'BSE - SENSEX Index Options'!$B:$B,"Friday")+SUMIFS('BSE - Other Index Options'!$L:$L,'BSE - Other Index Options'!$D:$D,$A159,'BSE - Other Index Options'!$B:$B,"Friday"))</f>
        <v/>
      </c>
      <c r="D159" s="27" t="str">
        <f t="shared" si="8"/>
        <v/>
      </c>
      <c r="E159" s="27" t="str">
        <f t="shared" si="9"/>
        <v/>
      </c>
    </row>
    <row r="160" spans="1:5" hidden="1" outlineLevel="1">
      <c r="A160" s="24">
        <v>46722</v>
      </c>
      <c r="B160" s="26" t="str">
        <f>IF(SUMIFS('NSE - NIFTY Index Options'!$L:$L,'NSE - NIFTY Index Options'!$D:$D,$A160,'NSE - NIFTY Index Options'!$B:$B,"Friday")+SUMIFS('NSE - Other Index Options'!$L:$L,'NSE - Other Index Options'!$D:$D,$A160,'NSE - Other Index Options'!$B:$B,"Friday")=0,"",SUMIFS('NSE - NIFTY Index Options'!$L:$L,'NSE - NIFTY Index Options'!$D:$D,$A160,'NSE - NIFTY Index Options'!$B:$B,"Friday")+SUMIFS('NSE - Other Index Options'!$L:$L,'NSE - Other Index Options'!$D:$D,$A160,'NSE - Other Index Options'!$B:$B,"Friday"))</f>
        <v/>
      </c>
      <c r="C160" s="26" t="str">
        <f>IF(SUMIFS('BSE - SENSEX Index Options'!$L:$L,'BSE - SENSEX Index Options'!$D:$D,$A160,'BSE - SENSEX Index Options'!$B:$B,"Friday")+SUMIFS('BSE - Other Index Options'!$L:$L,'BSE - Other Index Options'!$D:$D,$A160,'BSE - Other Index Options'!$B:$B,"Friday")=0,"",SUMIFS('BSE - SENSEX Index Options'!$L:$L,'BSE - SENSEX Index Options'!$D:$D,$A160,'BSE - SENSEX Index Options'!$B:$B,"Friday")+SUMIFS('BSE - Other Index Options'!$L:$L,'BSE - Other Index Options'!$D:$D,$A160,'BSE - Other Index Options'!$B:$B,"Friday"))</f>
        <v/>
      </c>
      <c r="D160" s="27" t="str">
        <f t="shared" si="8"/>
        <v/>
      </c>
      <c r="E160" s="27" t="str">
        <f t="shared" si="9"/>
        <v/>
      </c>
    </row>
    <row r="161" spans="1:5" collapsed="1">
      <c r="A161" s="28" t="s">
        <v>9</v>
      </c>
      <c r="B161" s="30">
        <f>IF(SUM(B133:B160)=0,"",SUM(B133:B160))</f>
        <v>2354625.2200000007</v>
      </c>
      <c r="C161" s="30">
        <f>IF(SUM(C133:C160)=0,"",SUM(C133:C160))</f>
        <v>441140.23000000004</v>
      </c>
      <c r="D161" s="31">
        <f t="shared" si="8"/>
        <v>0.8422112877888237</v>
      </c>
      <c r="E161" s="31">
        <f t="shared" si="9"/>
        <v>0.15778871221117635</v>
      </c>
    </row>
    <row r="163" spans="1:5">
      <c r="A163" s="28" t="s">
        <v>182</v>
      </c>
    </row>
    <row r="164" spans="1:5">
      <c r="A164" s="28" t="s">
        <v>169</v>
      </c>
      <c r="B164" s="28" t="s">
        <v>1</v>
      </c>
      <c r="C164" s="28" t="s">
        <v>148</v>
      </c>
      <c r="D164" s="28" t="s">
        <v>149</v>
      </c>
      <c r="E164" s="28" t="s">
        <v>150</v>
      </c>
    </row>
    <row r="165" spans="1:5">
      <c r="A165" s="24">
        <v>45901</v>
      </c>
      <c r="B165" s="26" t="str">
        <f>IF(SUMIFS('NSE - NIFTY Index Options'!$L:$L,'NSE - NIFTY Index Options'!$D:$D,$A165,'NSE - NIFTY Index Options'!$B:$B,"Sunday")+SUMIFS('NSE - Other Index Options'!$L:$L,'NSE - Other Index Options'!$D:$D,$A165,'NSE - Other Index Options'!$B:$B,"Sunday")=0,"",SUMIFS('NSE - NIFTY Index Options'!$L:$L,'NSE - NIFTY Index Options'!$D:$D,$A165,'NSE - NIFTY Index Options'!$B:$B,"Sunday")+SUMIFS('NSE - Other Index Options'!$L:$L,'NSE - Other Index Options'!$D:$D,$A165,'NSE - Other Index Options'!$B:$B,"Sunday"))</f>
        <v/>
      </c>
      <c r="C165" s="26" t="str">
        <f>IF(SUMIFS('BSE - SENSEX Index Options'!$L:$L,'BSE - SENSEX Index Options'!$D:$D,$A165,'BSE - SENSEX Index Options'!$B:$B,"Sunday")+SUMIFS('BSE - Other Index Options'!$L:$L,'BSE - Other Index Options'!$D:$D,$A165,'BSE - Other Index Options'!$B:$B,"Sunday")=0,"",SUMIFS('BSE - SENSEX Index Options'!$L:$L,'BSE - SENSEX Index Options'!$D:$D,$A165,'BSE - SENSEX Index Options'!$B:$B,"Sunday")+SUMIFS('BSE - Other Index Options'!$L:$L,'BSE - Other Index Options'!$D:$D,$A165,'BSE - Other Index Options'!$B:$B,"Sunday"))</f>
        <v/>
      </c>
      <c r="D165" s="27" t="str">
        <f t="shared" ref="D165:D193" si="10">IF(SUM(B165:C165)=0,"",SUM(B165)/SUM(B165:C165))</f>
        <v/>
      </c>
      <c r="E165" s="27" t="str">
        <f t="shared" ref="E165:E193" si="11">IF(SUM(B165:C165)=0,"",SUM(C165)/SUM(B165:C165))</f>
        <v/>
      </c>
    </row>
    <row r="166" spans="1:5">
      <c r="A166" s="24">
        <v>45931</v>
      </c>
      <c r="B166" s="26" t="str">
        <f>IF(SUMIFS('NSE - NIFTY Index Options'!$L:$L,'NSE - NIFTY Index Options'!$D:$D,$A166,'NSE - NIFTY Index Options'!$B:$B,"Sunday")+SUMIFS('NSE - Other Index Options'!$L:$L,'NSE - Other Index Options'!$D:$D,$A166,'NSE - Other Index Options'!$B:$B,"Sunday")=0,"",SUMIFS('NSE - NIFTY Index Options'!$L:$L,'NSE - NIFTY Index Options'!$D:$D,$A166,'NSE - NIFTY Index Options'!$B:$B,"Sunday")+SUMIFS('NSE - Other Index Options'!$L:$L,'NSE - Other Index Options'!$D:$D,$A166,'NSE - Other Index Options'!$B:$B,"Sunday"))</f>
        <v/>
      </c>
      <c r="C166" s="26" t="str">
        <f>IF(SUMIFS('BSE - SENSEX Index Options'!$L:$L,'BSE - SENSEX Index Options'!$D:$D,$A166,'BSE - SENSEX Index Options'!$B:$B,"Sunday")+SUMIFS('BSE - Other Index Options'!$L:$L,'BSE - Other Index Options'!$D:$D,$A166,'BSE - Other Index Options'!$B:$B,"Sunday")=0,"",SUMIFS('BSE - SENSEX Index Options'!$L:$L,'BSE - SENSEX Index Options'!$D:$D,$A166,'BSE - SENSEX Index Options'!$B:$B,"Sunday")+SUMIFS('BSE - Other Index Options'!$L:$L,'BSE - Other Index Options'!$D:$D,$A166,'BSE - Other Index Options'!$B:$B,"Sunday"))</f>
        <v/>
      </c>
      <c r="D166" s="27" t="str">
        <f t="shared" si="10"/>
        <v/>
      </c>
      <c r="E166" s="27" t="str">
        <f t="shared" si="11"/>
        <v/>
      </c>
    </row>
    <row r="167" spans="1:5">
      <c r="A167" s="24">
        <v>45962</v>
      </c>
      <c r="B167" s="26" t="str">
        <f>IF(SUMIFS('NSE - NIFTY Index Options'!$L:$L,'NSE - NIFTY Index Options'!$D:$D,$A167,'NSE - NIFTY Index Options'!$B:$B,"Sunday")+SUMIFS('NSE - Other Index Options'!$L:$L,'NSE - Other Index Options'!$D:$D,$A167,'NSE - Other Index Options'!$B:$B,"Sunday")=0,"",SUMIFS('NSE - NIFTY Index Options'!$L:$L,'NSE - NIFTY Index Options'!$D:$D,$A167,'NSE - NIFTY Index Options'!$B:$B,"Sunday")+SUMIFS('NSE - Other Index Options'!$L:$L,'NSE - Other Index Options'!$D:$D,$A167,'NSE - Other Index Options'!$B:$B,"Sunday"))</f>
        <v/>
      </c>
      <c r="C167" s="26" t="str">
        <f>IF(SUMIFS('BSE - SENSEX Index Options'!$L:$L,'BSE - SENSEX Index Options'!$D:$D,$A167,'BSE - SENSEX Index Options'!$B:$B,"Sunday")+SUMIFS('BSE - Other Index Options'!$L:$L,'BSE - Other Index Options'!$D:$D,$A167,'BSE - Other Index Options'!$B:$B,"Sunday")=0,"",SUMIFS('BSE - SENSEX Index Options'!$L:$L,'BSE - SENSEX Index Options'!$D:$D,$A167,'BSE - SENSEX Index Options'!$B:$B,"Sunday")+SUMIFS('BSE - Other Index Options'!$L:$L,'BSE - Other Index Options'!$D:$D,$A167,'BSE - Other Index Options'!$B:$B,"Sunday"))</f>
        <v/>
      </c>
      <c r="D167" s="27" t="str">
        <f t="shared" si="10"/>
        <v/>
      </c>
      <c r="E167" s="27" t="str">
        <f t="shared" si="11"/>
        <v/>
      </c>
    </row>
    <row r="168" spans="1:5">
      <c r="A168" s="24">
        <v>45992</v>
      </c>
      <c r="B168" s="26" t="str">
        <f>IF(SUMIFS('NSE - NIFTY Index Options'!$L:$L,'NSE - NIFTY Index Options'!$D:$D,$A168,'NSE - NIFTY Index Options'!$B:$B,"Sunday")+SUMIFS('NSE - Other Index Options'!$L:$L,'NSE - Other Index Options'!$D:$D,$A168,'NSE - Other Index Options'!$B:$B,"Sunday")=0,"",SUMIFS('NSE - NIFTY Index Options'!$L:$L,'NSE - NIFTY Index Options'!$D:$D,$A168,'NSE - NIFTY Index Options'!$B:$B,"Sunday")+SUMIFS('NSE - Other Index Options'!$L:$L,'NSE - Other Index Options'!$D:$D,$A168,'NSE - Other Index Options'!$B:$B,"Sunday"))</f>
        <v/>
      </c>
      <c r="C168" s="26" t="str">
        <f>IF(SUMIFS('BSE - SENSEX Index Options'!$L:$L,'BSE - SENSEX Index Options'!$D:$D,$A168,'BSE - SENSEX Index Options'!$B:$B,"Sunday")+SUMIFS('BSE - Other Index Options'!$L:$L,'BSE - Other Index Options'!$D:$D,$A168,'BSE - Other Index Options'!$B:$B,"Sunday")=0,"",SUMIFS('BSE - SENSEX Index Options'!$L:$L,'BSE - SENSEX Index Options'!$D:$D,$A168,'BSE - SENSEX Index Options'!$B:$B,"Sunday")+SUMIFS('BSE - Other Index Options'!$L:$L,'BSE - Other Index Options'!$D:$D,$A168,'BSE - Other Index Options'!$B:$B,"Sunday"))</f>
        <v/>
      </c>
      <c r="D168" s="27" t="str">
        <f t="shared" si="10"/>
        <v/>
      </c>
      <c r="E168" s="27" t="str">
        <f t="shared" si="11"/>
        <v/>
      </c>
    </row>
    <row r="169" spans="1:5">
      <c r="A169" s="24">
        <v>46023</v>
      </c>
      <c r="B169" s="26" t="str">
        <f>IF(SUMIFS('NSE - NIFTY Index Options'!$L:$L,'NSE - NIFTY Index Options'!$D:$D,$A169,'NSE - NIFTY Index Options'!$B:$B,"Sunday")+SUMIFS('NSE - Other Index Options'!$L:$L,'NSE - Other Index Options'!$D:$D,$A169,'NSE - Other Index Options'!$B:$B,"Sunday")=0,"",SUMIFS('NSE - NIFTY Index Options'!$L:$L,'NSE - NIFTY Index Options'!$D:$D,$A169,'NSE - NIFTY Index Options'!$B:$B,"Sunday")+SUMIFS('NSE - Other Index Options'!$L:$L,'NSE - Other Index Options'!$D:$D,$A169,'NSE - Other Index Options'!$B:$B,"Sunday"))</f>
        <v/>
      </c>
      <c r="C169" s="26" t="str">
        <f>IF(SUMIFS('BSE - SENSEX Index Options'!$L:$L,'BSE - SENSEX Index Options'!$D:$D,$A169,'BSE - SENSEX Index Options'!$B:$B,"Sunday")+SUMIFS('BSE - Other Index Options'!$L:$L,'BSE - Other Index Options'!$D:$D,$A169,'BSE - Other Index Options'!$B:$B,"Sunday")=0,"",SUMIFS('BSE - SENSEX Index Options'!$L:$L,'BSE - SENSEX Index Options'!$D:$D,$A169,'BSE - SENSEX Index Options'!$B:$B,"Sunday")+SUMIFS('BSE - Other Index Options'!$L:$L,'BSE - Other Index Options'!$D:$D,$A169,'BSE - Other Index Options'!$B:$B,"Sunday"))</f>
        <v/>
      </c>
      <c r="D169" s="27" t="str">
        <f t="shared" si="10"/>
        <v/>
      </c>
      <c r="E169" s="27" t="str">
        <f t="shared" si="11"/>
        <v/>
      </c>
    </row>
    <row r="170" spans="1:5">
      <c r="A170" s="24">
        <v>46054</v>
      </c>
      <c r="B170" s="26">
        <f>IF(SUMIFS('NSE - NIFTY Index Options'!$L:$L,'NSE - NIFTY Index Options'!$D:$D,$A170,'NSE - NIFTY Index Options'!$B:$B,"Sunday")+SUMIFS('NSE - Other Index Options'!$L:$L,'NSE - Other Index Options'!$D:$D,$A170,'NSE - Other Index Options'!$B:$B,"Sunday")=0,"",SUMIFS('NSE - NIFTY Index Options'!$L:$L,'NSE - NIFTY Index Options'!$D:$D,$A170,'NSE - NIFTY Index Options'!$B:$B,"Sunday")+SUMIFS('NSE - Other Index Options'!$L:$L,'NSE - Other Index Options'!$D:$D,$A170,'NSE - Other Index Options'!$B:$B,"Sunday"))</f>
        <v>111932.98999999999</v>
      </c>
      <c r="C170" s="26">
        <f>IF(SUMIFS('BSE - SENSEX Index Options'!$L:$L,'BSE - SENSEX Index Options'!$D:$D,$A170,'BSE - SENSEX Index Options'!$B:$B,"Sunday")+SUMIFS('BSE - Other Index Options'!$L:$L,'BSE - Other Index Options'!$D:$D,$A170,'BSE - Other Index Options'!$B:$B,"Sunday")=0,"",SUMIFS('BSE - SENSEX Index Options'!$L:$L,'BSE - SENSEX Index Options'!$D:$D,$A170,'BSE - SENSEX Index Options'!$B:$B,"Sunday")+SUMIFS('BSE - Other Index Options'!$L:$L,'BSE - Other Index Options'!$D:$D,$A170,'BSE - Other Index Options'!$B:$B,"Sunday"))</f>
        <v>24784.93</v>
      </c>
      <c r="D170" s="27">
        <f t="shared" si="10"/>
        <v>0.81871484001512018</v>
      </c>
      <c r="E170" s="27">
        <f t="shared" si="11"/>
        <v>0.18128515998487985</v>
      </c>
    </row>
    <row r="171" spans="1:5">
      <c r="A171" s="24">
        <v>46082</v>
      </c>
      <c r="B171" s="26" t="str">
        <f>IF(SUMIFS('NSE - NIFTY Index Options'!$L:$L,'NSE - NIFTY Index Options'!$D:$D,$A171,'NSE - NIFTY Index Options'!$B:$B,"Sunday")+SUMIFS('NSE - Other Index Options'!$L:$L,'NSE - Other Index Options'!$D:$D,$A171,'NSE - Other Index Options'!$B:$B,"Sunday")=0,"",SUMIFS('NSE - NIFTY Index Options'!$L:$L,'NSE - NIFTY Index Options'!$D:$D,$A171,'NSE - NIFTY Index Options'!$B:$B,"Sunday")+SUMIFS('NSE - Other Index Options'!$L:$L,'NSE - Other Index Options'!$D:$D,$A171,'NSE - Other Index Options'!$B:$B,"Sunday"))</f>
        <v/>
      </c>
      <c r="C171" s="26" t="str">
        <f>IF(SUMIFS('BSE - SENSEX Index Options'!$L:$L,'BSE - SENSEX Index Options'!$D:$D,$A171,'BSE - SENSEX Index Options'!$B:$B,"Sunday")+SUMIFS('BSE - Other Index Options'!$L:$L,'BSE - Other Index Options'!$D:$D,$A171,'BSE - Other Index Options'!$B:$B,"Sunday")=0,"",SUMIFS('BSE - SENSEX Index Options'!$L:$L,'BSE - SENSEX Index Options'!$D:$D,$A171,'BSE - SENSEX Index Options'!$B:$B,"Sunday")+SUMIFS('BSE - Other Index Options'!$L:$L,'BSE - Other Index Options'!$D:$D,$A171,'BSE - Other Index Options'!$B:$B,"Sunday"))</f>
        <v/>
      </c>
      <c r="D171" s="27" t="str">
        <f t="shared" si="10"/>
        <v/>
      </c>
      <c r="E171" s="27" t="str">
        <f t="shared" si="11"/>
        <v/>
      </c>
    </row>
    <row r="172" spans="1:5">
      <c r="A172" s="24">
        <v>46113</v>
      </c>
      <c r="B172" s="26" t="str">
        <f>IF(SUMIFS('NSE - NIFTY Index Options'!$L:$L,'NSE - NIFTY Index Options'!$D:$D,$A172,'NSE - NIFTY Index Options'!$B:$B,"Sunday")+SUMIFS('NSE - Other Index Options'!$L:$L,'NSE - Other Index Options'!$D:$D,$A172,'NSE - Other Index Options'!$B:$B,"Sunday")=0,"",SUMIFS('NSE - NIFTY Index Options'!$L:$L,'NSE - NIFTY Index Options'!$D:$D,$A172,'NSE - NIFTY Index Options'!$B:$B,"Sunday")+SUMIFS('NSE - Other Index Options'!$L:$L,'NSE - Other Index Options'!$D:$D,$A172,'NSE - Other Index Options'!$B:$B,"Sunday"))</f>
        <v/>
      </c>
      <c r="C172" s="26" t="str">
        <f>IF(SUMIFS('BSE - SENSEX Index Options'!$L:$L,'BSE - SENSEX Index Options'!$D:$D,$A172,'BSE - SENSEX Index Options'!$B:$B,"Sunday")+SUMIFS('BSE - Other Index Options'!$L:$L,'BSE - Other Index Options'!$D:$D,$A172,'BSE - Other Index Options'!$B:$B,"Sunday")=0,"",SUMIFS('BSE - SENSEX Index Options'!$L:$L,'BSE - SENSEX Index Options'!$D:$D,$A172,'BSE - SENSEX Index Options'!$B:$B,"Sunday")+SUMIFS('BSE - Other Index Options'!$L:$L,'BSE - Other Index Options'!$D:$D,$A172,'BSE - Other Index Options'!$B:$B,"Sunday"))</f>
        <v/>
      </c>
      <c r="D172" s="27" t="str">
        <f t="shared" si="10"/>
        <v/>
      </c>
      <c r="E172" s="27" t="str">
        <f t="shared" si="11"/>
        <v/>
      </c>
    </row>
    <row r="173" spans="1:5">
      <c r="A173" s="24">
        <v>46143</v>
      </c>
      <c r="B173" s="26" t="str">
        <f>IF(SUMIFS('NSE - NIFTY Index Options'!$L:$L,'NSE - NIFTY Index Options'!$D:$D,$A173,'NSE - NIFTY Index Options'!$B:$B,"Sunday")+SUMIFS('NSE - Other Index Options'!$L:$L,'NSE - Other Index Options'!$D:$D,$A173,'NSE - Other Index Options'!$B:$B,"Sunday")=0,"",SUMIFS('NSE - NIFTY Index Options'!$L:$L,'NSE - NIFTY Index Options'!$D:$D,$A173,'NSE - NIFTY Index Options'!$B:$B,"Sunday")+SUMIFS('NSE - Other Index Options'!$L:$L,'NSE - Other Index Options'!$D:$D,$A173,'NSE - Other Index Options'!$B:$B,"Sunday"))</f>
        <v/>
      </c>
      <c r="C173" s="26" t="str">
        <f>IF(SUMIFS('BSE - SENSEX Index Options'!$L:$L,'BSE - SENSEX Index Options'!$D:$D,$A173,'BSE - SENSEX Index Options'!$B:$B,"Sunday")+SUMIFS('BSE - Other Index Options'!$L:$L,'BSE - Other Index Options'!$D:$D,$A173,'BSE - Other Index Options'!$B:$B,"Sunday")=0,"",SUMIFS('BSE - SENSEX Index Options'!$L:$L,'BSE - SENSEX Index Options'!$D:$D,$A173,'BSE - SENSEX Index Options'!$B:$B,"Sunday")+SUMIFS('BSE - Other Index Options'!$L:$L,'BSE - Other Index Options'!$D:$D,$A173,'BSE - Other Index Options'!$B:$B,"Sunday"))</f>
        <v/>
      </c>
      <c r="D173" s="27" t="str">
        <f t="shared" si="10"/>
        <v/>
      </c>
      <c r="E173" s="27" t="str">
        <f t="shared" si="11"/>
        <v/>
      </c>
    </row>
    <row r="174" spans="1:5">
      <c r="A174" s="24">
        <v>46174</v>
      </c>
      <c r="B174" s="26" t="str">
        <f>IF(SUMIFS('NSE - NIFTY Index Options'!$L:$L,'NSE - NIFTY Index Options'!$D:$D,$A174,'NSE - NIFTY Index Options'!$B:$B,"Sunday")+SUMIFS('NSE - Other Index Options'!$L:$L,'NSE - Other Index Options'!$D:$D,$A174,'NSE - Other Index Options'!$B:$B,"Sunday")=0,"",SUMIFS('NSE - NIFTY Index Options'!$L:$L,'NSE - NIFTY Index Options'!$D:$D,$A174,'NSE - NIFTY Index Options'!$B:$B,"Sunday")+SUMIFS('NSE - Other Index Options'!$L:$L,'NSE - Other Index Options'!$D:$D,$A174,'NSE - Other Index Options'!$B:$B,"Sunday"))</f>
        <v/>
      </c>
      <c r="C174" s="26" t="str">
        <f>IF(SUMIFS('BSE - SENSEX Index Options'!$L:$L,'BSE - SENSEX Index Options'!$D:$D,$A174,'BSE - SENSEX Index Options'!$B:$B,"Sunday")+SUMIFS('BSE - Other Index Options'!$L:$L,'BSE - Other Index Options'!$D:$D,$A174,'BSE - Other Index Options'!$B:$B,"Sunday")=0,"",SUMIFS('BSE - SENSEX Index Options'!$L:$L,'BSE - SENSEX Index Options'!$D:$D,$A174,'BSE - SENSEX Index Options'!$B:$B,"Sunday")+SUMIFS('BSE - Other Index Options'!$L:$L,'BSE - Other Index Options'!$D:$D,$A174,'BSE - Other Index Options'!$B:$B,"Sunday"))</f>
        <v/>
      </c>
      <c r="D174" s="27" t="str">
        <f t="shared" si="10"/>
        <v/>
      </c>
      <c r="E174" s="27" t="str">
        <f t="shared" si="11"/>
        <v/>
      </c>
    </row>
    <row r="175" spans="1:5">
      <c r="A175" s="24">
        <v>46204</v>
      </c>
      <c r="B175" s="26" t="str">
        <f>IF(SUMIFS('NSE - NIFTY Index Options'!$L:$L,'NSE - NIFTY Index Options'!$D:$D,$A175,'NSE - NIFTY Index Options'!$B:$B,"Sunday")+SUMIFS('NSE - Other Index Options'!$L:$L,'NSE - Other Index Options'!$D:$D,$A175,'NSE - Other Index Options'!$B:$B,"Sunday")=0,"",SUMIFS('NSE - NIFTY Index Options'!$L:$L,'NSE - NIFTY Index Options'!$D:$D,$A175,'NSE - NIFTY Index Options'!$B:$B,"Sunday")+SUMIFS('NSE - Other Index Options'!$L:$L,'NSE - Other Index Options'!$D:$D,$A175,'NSE - Other Index Options'!$B:$B,"Sunday"))</f>
        <v/>
      </c>
      <c r="C175" s="26" t="str">
        <f>IF(SUMIFS('BSE - SENSEX Index Options'!$L:$L,'BSE - SENSEX Index Options'!$D:$D,$A175,'BSE - SENSEX Index Options'!$B:$B,"Sunday")+SUMIFS('BSE - Other Index Options'!$L:$L,'BSE - Other Index Options'!$D:$D,$A175,'BSE - Other Index Options'!$B:$B,"Sunday")=0,"",SUMIFS('BSE - SENSEX Index Options'!$L:$L,'BSE - SENSEX Index Options'!$D:$D,$A175,'BSE - SENSEX Index Options'!$B:$B,"Sunday")+SUMIFS('BSE - Other Index Options'!$L:$L,'BSE - Other Index Options'!$D:$D,$A175,'BSE - Other Index Options'!$B:$B,"Sunday"))</f>
        <v/>
      </c>
      <c r="D175" s="27" t="str">
        <f t="shared" si="10"/>
        <v/>
      </c>
      <c r="E175" s="27" t="str">
        <f t="shared" si="11"/>
        <v/>
      </c>
    </row>
    <row r="176" spans="1:5" hidden="1" outlineLevel="1">
      <c r="A176" s="24">
        <v>46235</v>
      </c>
      <c r="B176" s="26" t="str">
        <f>IF(SUMIFS('NSE - NIFTY Index Options'!$L:$L,'NSE - NIFTY Index Options'!$D:$D,$A176,'NSE - NIFTY Index Options'!$B:$B,"Sunday")+SUMIFS('NSE - Other Index Options'!$L:$L,'NSE - Other Index Options'!$D:$D,$A176,'NSE - Other Index Options'!$B:$B,"Sunday")=0,"",SUMIFS('NSE - NIFTY Index Options'!$L:$L,'NSE - NIFTY Index Options'!$D:$D,$A176,'NSE - NIFTY Index Options'!$B:$B,"Sunday")+SUMIFS('NSE - Other Index Options'!$L:$L,'NSE - Other Index Options'!$D:$D,$A176,'NSE - Other Index Options'!$B:$B,"Sunday"))</f>
        <v/>
      </c>
      <c r="C176" s="26" t="str">
        <f>IF(SUMIFS('BSE - SENSEX Index Options'!$L:$L,'BSE - SENSEX Index Options'!$D:$D,$A176,'BSE - SENSEX Index Options'!$B:$B,"Sunday")+SUMIFS('BSE - Other Index Options'!$L:$L,'BSE - Other Index Options'!$D:$D,$A176,'BSE - Other Index Options'!$B:$B,"Sunday")=0,"",SUMIFS('BSE - SENSEX Index Options'!$L:$L,'BSE - SENSEX Index Options'!$D:$D,$A176,'BSE - SENSEX Index Options'!$B:$B,"Sunday")+SUMIFS('BSE - Other Index Options'!$L:$L,'BSE - Other Index Options'!$D:$D,$A176,'BSE - Other Index Options'!$B:$B,"Sunday"))</f>
        <v/>
      </c>
      <c r="D176" s="27" t="str">
        <f t="shared" si="10"/>
        <v/>
      </c>
      <c r="E176" s="27" t="str">
        <f t="shared" si="11"/>
        <v/>
      </c>
    </row>
    <row r="177" spans="1:5" hidden="1" outlineLevel="1">
      <c r="A177" s="24">
        <v>46266</v>
      </c>
      <c r="B177" s="26" t="str">
        <f>IF(SUMIFS('NSE - NIFTY Index Options'!$L:$L,'NSE - NIFTY Index Options'!$D:$D,$A177,'NSE - NIFTY Index Options'!$B:$B,"Sunday")+SUMIFS('NSE - Other Index Options'!$L:$L,'NSE - Other Index Options'!$D:$D,$A177,'NSE - Other Index Options'!$B:$B,"Sunday")=0,"",SUMIFS('NSE - NIFTY Index Options'!$L:$L,'NSE - NIFTY Index Options'!$D:$D,$A177,'NSE - NIFTY Index Options'!$B:$B,"Sunday")+SUMIFS('NSE - Other Index Options'!$L:$L,'NSE - Other Index Options'!$D:$D,$A177,'NSE - Other Index Options'!$B:$B,"Sunday"))</f>
        <v/>
      </c>
      <c r="C177" s="26" t="str">
        <f>IF(SUMIFS('BSE - SENSEX Index Options'!$L:$L,'BSE - SENSEX Index Options'!$D:$D,$A177,'BSE - SENSEX Index Options'!$B:$B,"Sunday")+SUMIFS('BSE - Other Index Options'!$L:$L,'BSE - Other Index Options'!$D:$D,$A177,'BSE - Other Index Options'!$B:$B,"Sunday")=0,"",SUMIFS('BSE - SENSEX Index Options'!$L:$L,'BSE - SENSEX Index Options'!$D:$D,$A177,'BSE - SENSEX Index Options'!$B:$B,"Sunday")+SUMIFS('BSE - Other Index Options'!$L:$L,'BSE - Other Index Options'!$D:$D,$A177,'BSE - Other Index Options'!$B:$B,"Sunday"))</f>
        <v/>
      </c>
      <c r="D177" s="27" t="str">
        <f t="shared" si="10"/>
        <v/>
      </c>
      <c r="E177" s="27" t="str">
        <f t="shared" si="11"/>
        <v/>
      </c>
    </row>
    <row r="178" spans="1:5" hidden="1" outlineLevel="1">
      <c r="A178" s="24">
        <v>46296</v>
      </c>
      <c r="B178" s="26" t="str">
        <f>IF(SUMIFS('NSE - NIFTY Index Options'!$L:$L,'NSE - NIFTY Index Options'!$D:$D,$A178,'NSE - NIFTY Index Options'!$B:$B,"Sunday")+SUMIFS('NSE - Other Index Options'!$L:$L,'NSE - Other Index Options'!$D:$D,$A178,'NSE - Other Index Options'!$B:$B,"Sunday")=0,"",SUMIFS('NSE - NIFTY Index Options'!$L:$L,'NSE - NIFTY Index Options'!$D:$D,$A178,'NSE - NIFTY Index Options'!$B:$B,"Sunday")+SUMIFS('NSE - Other Index Options'!$L:$L,'NSE - Other Index Options'!$D:$D,$A178,'NSE - Other Index Options'!$B:$B,"Sunday"))</f>
        <v/>
      </c>
      <c r="C178" s="26" t="str">
        <f>IF(SUMIFS('BSE - SENSEX Index Options'!$L:$L,'BSE - SENSEX Index Options'!$D:$D,$A178,'BSE - SENSEX Index Options'!$B:$B,"Sunday")+SUMIFS('BSE - Other Index Options'!$L:$L,'BSE - Other Index Options'!$D:$D,$A178,'BSE - Other Index Options'!$B:$B,"Sunday")=0,"",SUMIFS('BSE - SENSEX Index Options'!$L:$L,'BSE - SENSEX Index Options'!$D:$D,$A178,'BSE - SENSEX Index Options'!$B:$B,"Sunday")+SUMIFS('BSE - Other Index Options'!$L:$L,'BSE - Other Index Options'!$D:$D,$A178,'BSE - Other Index Options'!$B:$B,"Sunday"))</f>
        <v/>
      </c>
      <c r="D178" s="27" t="str">
        <f t="shared" si="10"/>
        <v/>
      </c>
      <c r="E178" s="27" t="str">
        <f t="shared" si="11"/>
        <v/>
      </c>
    </row>
    <row r="179" spans="1:5" hidden="1" outlineLevel="1">
      <c r="A179" s="24">
        <v>46327</v>
      </c>
      <c r="B179" s="26" t="str">
        <f>IF(SUMIFS('NSE - NIFTY Index Options'!$L:$L,'NSE - NIFTY Index Options'!$D:$D,$A179,'NSE - NIFTY Index Options'!$B:$B,"Sunday")+SUMIFS('NSE - Other Index Options'!$L:$L,'NSE - Other Index Options'!$D:$D,$A179,'NSE - Other Index Options'!$B:$B,"Sunday")=0,"",SUMIFS('NSE - NIFTY Index Options'!$L:$L,'NSE - NIFTY Index Options'!$D:$D,$A179,'NSE - NIFTY Index Options'!$B:$B,"Sunday")+SUMIFS('NSE - Other Index Options'!$L:$L,'NSE - Other Index Options'!$D:$D,$A179,'NSE - Other Index Options'!$B:$B,"Sunday"))</f>
        <v/>
      </c>
      <c r="C179" s="26" t="str">
        <f>IF(SUMIFS('BSE - SENSEX Index Options'!$L:$L,'BSE - SENSEX Index Options'!$D:$D,$A179,'BSE - SENSEX Index Options'!$B:$B,"Sunday")+SUMIFS('BSE - Other Index Options'!$L:$L,'BSE - Other Index Options'!$D:$D,$A179,'BSE - Other Index Options'!$B:$B,"Sunday")=0,"",SUMIFS('BSE - SENSEX Index Options'!$L:$L,'BSE - SENSEX Index Options'!$D:$D,$A179,'BSE - SENSEX Index Options'!$B:$B,"Sunday")+SUMIFS('BSE - Other Index Options'!$L:$L,'BSE - Other Index Options'!$D:$D,$A179,'BSE - Other Index Options'!$B:$B,"Sunday"))</f>
        <v/>
      </c>
      <c r="D179" s="27" t="str">
        <f t="shared" si="10"/>
        <v/>
      </c>
      <c r="E179" s="27" t="str">
        <f t="shared" si="11"/>
        <v/>
      </c>
    </row>
    <row r="180" spans="1:5" hidden="1" outlineLevel="1">
      <c r="A180" s="24">
        <v>46357</v>
      </c>
      <c r="B180" s="26" t="str">
        <f>IF(SUMIFS('NSE - NIFTY Index Options'!$L:$L,'NSE - NIFTY Index Options'!$D:$D,$A180,'NSE - NIFTY Index Options'!$B:$B,"Sunday")+SUMIFS('NSE - Other Index Options'!$L:$L,'NSE - Other Index Options'!$D:$D,$A180,'NSE - Other Index Options'!$B:$B,"Sunday")=0,"",SUMIFS('NSE - NIFTY Index Options'!$L:$L,'NSE - NIFTY Index Options'!$D:$D,$A180,'NSE - NIFTY Index Options'!$B:$B,"Sunday")+SUMIFS('NSE - Other Index Options'!$L:$L,'NSE - Other Index Options'!$D:$D,$A180,'NSE - Other Index Options'!$B:$B,"Sunday"))</f>
        <v/>
      </c>
      <c r="C180" s="26" t="str">
        <f>IF(SUMIFS('BSE - SENSEX Index Options'!$L:$L,'BSE - SENSEX Index Options'!$D:$D,$A180,'BSE - SENSEX Index Options'!$B:$B,"Sunday")+SUMIFS('BSE - Other Index Options'!$L:$L,'BSE - Other Index Options'!$D:$D,$A180,'BSE - Other Index Options'!$B:$B,"Sunday")=0,"",SUMIFS('BSE - SENSEX Index Options'!$L:$L,'BSE - SENSEX Index Options'!$D:$D,$A180,'BSE - SENSEX Index Options'!$B:$B,"Sunday")+SUMIFS('BSE - Other Index Options'!$L:$L,'BSE - Other Index Options'!$D:$D,$A180,'BSE - Other Index Options'!$B:$B,"Sunday"))</f>
        <v/>
      </c>
      <c r="D180" s="27" t="str">
        <f t="shared" si="10"/>
        <v/>
      </c>
      <c r="E180" s="27" t="str">
        <f t="shared" si="11"/>
        <v/>
      </c>
    </row>
    <row r="181" spans="1:5" hidden="1" outlineLevel="1">
      <c r="A181" s="24">
        <v>46388</v>
      </c>
      <c r="B181" s="26" t="str">
        <f>IF(SUMIFS('NSE - NIFTY Index Options'!$L:$L,'NSE - NIFTY Index Options'!$D:$D,$A181,'NSE - NIFTY Index Options'!$B:$B,"Sunday")+SUMIFS('NSE - Other Index Options'!$L:$L,'NSE - Other Index Options'!$D:$D,$A181,'NSE - Other Index Options'!$B:$B,"Sunday")=0,"",SUMIFS('NSE - NIFTY Index Options'!$L:$L,'NSE - NIFTY Index Options'!$D:$D,$A181,'NSE - NIFTY Index Options'!$B:$B,"Sunday")+SUMIFS('NSE - Other Index Options'!$L:$L,'NSE - Other Index Options'!$D:$D,$A181,'NSE - Other Index Options'!$B:$B,"Sunday"))</f>
        <v/>
      </c>
      <c r="C181" s="26" t="str">
        <f>IF(SUMIFS('BSE - SENSEX Index Options'!$L:$L,'BSE - SENSEX Index Options'!$D:$D,$A181,'BSE - SENSEX Index Options'!$B:$B,"Sunday")+SUMIFS('BSE - Other Index Options'!$L:$L,'BSE - Other Index Options'!$D:$D,$A181,'BSE - Other Index Options'!$B:$B,"Sunday")=0,"",SUMIFS('BSE - SENSEX Index Options'!$L:$L,'BSE - SENSEX Index Options'!$D:$D,$A181,'BSE - SENSEX Index Options'!$B:$B,"Sunday")+SUMIFS('BSE - Other Index Options'!$L:$L,'BSE - Other Index Options'!$D:$D,$A181,'BSE - Other Index Options'!$B:$B,"Sunday"))</f>
        <v/>
      </c>
      <c r="D181" s="27" t="str">
        <f t="shared" si="10"/>
        <v/>
      </c>
      <c r="E181" s="27" t="str">
        <f t="shared" si="11"/>
        <v/>
      </c>
    </row>
    <row r="182" spans="1:5" hidden="1" outlineLevel="1">
      <c r="A182" s="24">
        <v>46419</v>
      </c>
      <c r="B182" s="26" t="str">
        <f>IF(SUMIFS('NSE - NIFTY Index Options'!$L:$L,'NSE - NIFTY Index Options'!$D:$D,$A182,'NSE - NIFTY Index Options'!$B:$B,"Sunday")+SUMIFS('NSE - Other Index Options'!$L:$L,'NSE - Other Index Options'!$D:$D,$A182,'NSE - Other Index Options'!$B:$B,"Sunday")=0,"",SUMIFS('NSE - NIFTY Index Options'!$L:$L,'NSE - NIFTY Index Options'!$D:$D,$A182,'NSE - NIFTY Index Options'!$B:$B,"Sunday")+SUMIFS('NSE - Other Index Options'!$L:$L,'NSE - Other Index Options'!$D:$D,$A182,'NSE - Other Index Options'!$B:$B,"Sunday"))</f>
        <v/>
      </c>
      <c r="C182" s="26" t="str">
        <f>IF(SUMIFS('BSE - SENSEX Index Options'!$L:$L,'BSE - SENSEX Index Options'!$D:$D,$A182,'BSE - SENSEX Index Options'!$B:$B,"Sunday")+SUMIFS('BSE - Other Index Options'!$L:$L,'BSE - Other Index Options'!$D:$D,$A182,'BSE - Other Index Options'!$B:$B,"Sunday")=0,"",SUMIFS('BSE - SENSEX Index Options'!$L:$L,'BSE - SENSEX Index Options'!$D:$D,$A182,'BSE - SENSEX Index Options'!$B:$B,"Sunday")+SUMIFS('BSE - Other Index Options'!$L:$L,'BSE - Other Index Options'!$D:$D,$A182,'BSE - Other Index Options'!$B:$B,"Sunday"))</f>
        <v/>
      </c>
      <c r="D182" s="27" t="str">
        <f t="shared" si="10"/>
        <v/>
      </c>
      <c r="E182" s="27" t="str">
        <f t="shared" si="11"/>
        <v/>
      </c>
    </row>
    <row r="183" spans="1:5" hidden="1" outlineLevel="1">
      <c r="A183" s="24">
        <v>46447</v>
      </c>
      <c r="B183" s="26" t="str">
        <f>IF(SUMIFS('NSE - NIFTY Index Options'!$L:$L,'NSE - NIFTY Index Options'!$D:$D,$A183,'NSE - NIFTY Index Options'!$B:$B,"Sunday")+SUMIFS('NSE - Other Index Options'!$L:$L,'NSE - Other Index Options'!$D:$D,$A183,'NSE - Other Index Options'!$B:$B,"Sunday")=0,"",SUMIFS('NSE - NIFTY Index Options'!$L:$L,'NSE - NIFTY Index Options'!$D:$D,$A183,'NSE - NIFTY Index Options'!$B:$B,"Sunday")+SUMIFS('NSE - Other Index Options'!$L:$L,'NSE - Other Index Options'!$D:$D,$A183,'NSE - Other Index Options'!$B:$B,"Sunday"))</f>
        <v/>
      </c>
      <c r="C183" s="26" t="str">
        <f>IF(SUMIFS('BSE - SENSEX Index Options'!$L:$L,'BSE - SENSEX Index Options'!$D:$D,$A183,'BSE - SENSEX Index Options'!$B:$B,"Sunday")+SUMIFS('BSE - Other Index Options'!$L:$L,'BSE - Other Index Options'!$D:$D,$A183,'BSE - Other Index Options'!$B:$B,"Sunday")=0,"",SUMIFS('BSE - SENSEX Index Options'!$L:$L,'BSE - SENSEX Index Options'!$D:$D,$A183,'BSE - SENSEX Index Options'!$B:$B,"Sunday")+SUMIFS('BSE - Other Index Options'!$L:$L,'BSE - Other Index Options'!$D:$D,$A183,'BSE - Other Index Options'!$B:$B,"Sunday"))</f>
        <v/>
      </c>
      <c r="D183" s="27" t="str">
        <f t="shared" si="10"/>
        <v/>
      </c>
      <c r="E183" s="27" t="str">
        <f t="shared" si="11"/>
        <v/>
      </c>
    </row>
    <row r="184" spans="1:5" hidden="1" outlineLevel="1">
      <c r="A184" s="24">
        <v>46478</v>
      </c>
      <c r="B184" s="26" t="str">
        <f>IF(SUMIFS('NSE - NIFTY Index Options'!$L:$L,'NSE - NIFTY Index Options'!$D:$D,$A184,'NSE - NIFTY Index Options'!$B:$B,"Sunday")+SUMIFS('NSE - Other Index Options'!$L:$L,'NSE - Other Index Options'!$D:$D,$A184,'NSE - Other Index Options'!$B:$B,"Sunday")=0,"",SUMIFS('NSE - NIFTY Index Options'!$L:$L,'NSE - NIFTY Index Options'!$D:$D,$A184,'NSE - NIFTY Index Options'!$B:$B,"Sunday")+SUMIFS('NSE - Other Index Options'!$L:$L,'NSE - Other Index Options'!$D:$D,$A184,'NSE - Other Index Options'!$B:$B,"Sunday"))</f>
        <v/>
      </c>
      <c r="C184" s="26" t="str">
        <f>IF(SUMIFS('BSE - SENSEX Index Options'!$L:$L,'BSE - SENSEX Index Options'!$D:$D,$A184,'BSE - SENSEX Index Options'!$B:$B,"Sunday")+SUMIFS('BSE - Other Index Options'!$L:$L,'BSE - Other Index Options'!$D:$D,$A184,'BSE - Other Index Options'!$B:$B,"Sunday")=0,"",SUMIFS('BSE - SENSEX Index Options'!$L:$L,'BSE - SENSEX Index Options'!$D:$D,$A184,'BSE - SENSEX Index Options'!$B:$B,"Sunday")+SUMIFS('BSE - Other Index Options'!$L:$L,'BSE - Other Index Options'!$D:$D,$A184,'BSE - Other Index Options'!$B:$B,"Sunday"))</f>
        <v/>
      </c>
      <c r="D184" s="27" t="str">
        <f t="shared" si="10"/>
        <v/>
      </c>
      <c r="E184" s="27" t="str">
        <f t="shared" si="11"/>
        <v/>
      </c>
    </row>
    <row r="185" spans="1:5" hidden="1" outlineLevel="1">
      <c r="A185" s="24">
        <v>46508</v>
      </c>
      <c r="B185" s="26" t="str">
        <f>IF(SUMIFS('NSE - NIFTY Index Options'!$L:$L,'NSE - NIFTY Index Options'!$D:$D,$A185,'NSE - NIFTY Index Options'!$B:$B,"Sunday")+SUMIFS('NSE - Other Index Options'!$L:$L,'NSE - Other Index Options'!$D:$D,$A185,'NSE - Other Index Options'!$B:$B,"Sunday")=0,"",SUMIFS('NSE - NIFTY Index Options'!$L:$L,'NSE - NIFTY Index Options'!$D:$D,$A185,'NSE - NIFTY Index Options'!$B:$B,"Sunday")+SUMIFS('NSE - Other Index Options'!$L:$L,'NSE - Other Index Options'!$D:$D,$A185,'NSE - Other Index Options'!$B:$B,"Sunday"))</f>
        <v/>
      </c>
      <c r="C185" s="26" t="str">
        <f>IF(SUMIFS('BSE - SENSEX Index Options'!$L:$L,'BSE - SENSEX Index Options'!$D:$D,$A185,'BSE - SENSEX Index Options'!$B:$B,"Sunday")+SUMIFS('BSE - Other Index Options'!$L:$L,'BSE - Other Index Options'!$D:$D,$A185,'BSE - Other Index Options'!$B:$B,"Sunday")=0,"",SUMIFS('BSE - SENSEX Index Options'!$L:$L,'BSE - SENSEX Index Options'!$D:$D,$A185,'BSE - SENSEX Index Options'!$B:$B,"Sunday")+SUMIFS('BSE - Other Index Options'!$L:$L,'BSE - Other Index Options'!$D:$D,$A185,'BSE - Other Index Options'!$B:$B,"Sunday"))</f>
        <v/>
      </c>
      <c r="D185" s="27" t="str">
        <f t="shared" si="10"/>
        <v/>
      </c>
      <c r="E185" s="27" t="str">
        <f t="shared" si="11"/>
        <v/>
      </c>
    </row>
    <row r="186" spans="1:5" hidden="1" outlineLevel="1">
      <c r="A186" s="24">
        <v>46539</v>
      </c>
      <c r="B186" s="26" t="str">
        <f>IF(SUMIFS('NSE - NIFTY Index Options'!$L:$L,'NSE - NIFTY Index Options'!$D:$D,$A186,'NSE - NIFTY Index Options'!$B:$B,"Sunday")+SUMIFS('NSE - Other Index Options'!$L:$L,'NSE - Other Index Options'!$D:$D,$A186,'NSE - Other Index Options'!$B:$B,"Sunday")=0,"",SUMIFS('NSE - NIFTY Index Options'!$L:$L,'NSE - NIFTY Index Options'!$D:$D,$A186,'NSE - NIFTY Index Options'!$B:$B,"Sunday")+SUMIFS('NSE - Other Index Options'!$L:$L,'NSE - Other Index Options'!$D:$D,$A186,'NSE - Other Index Options'!$B:$B,"Sunday"))</f>
        <v/>
      </c>
      <c r="C186" s="26" t="str">
        <f>IF(SUMIFS('BSE - SENSEX Index Options'!$L:$L,'BSE - SENSEX Index Options'!$D:$D,$A186,'BSE - SENSEX Index Options'!$B:$B,"Sunday")+SUMIFS('BSE - Other Index Options'!$L:$L,'BSE - Other Index Options'!$D:$D,$A186,'BSE - Other Index Options'!$B:$B,"Sunday")=0,"",SUMIFS('BSE - SENSEX Index Options'!$L:$L,'BSE - SENSEX Index Options'!$D:$D,$A186,'BSE - SENSEX Index Options'!$B:$B,"Sunday")+SUMIFS('BSE - Other Index Options'!$L:$L,'BSE - Other Index Options'!$D:$D,$A186,'BSE - Other Index Options'!$B:$B,"Sunday"))</f>
        <v/>
      </c>
      <c r="D186" s="27" t="str">
        <f t="shared" si="10"/>
        <v/>
      </c>
      <c r="E186" s="27" t="str">
        <f t="shared" si="11"/>
        <v/>
      </c>
    </row>
    <row r="187" spans="1:5" hidden="1" outlineLevel="1">
      <c r="A187" s="24">
        <v>46569</v>
      </c>
      <c r="B187" s="26" t="str">
        <f>IF(SUMIFS('NSE - NIFTY Index Options'!$L:$L,'NSE - NIFTY Index Options'!$D:$D,$A187,'NSE - NIFTY Index Options'!$B:$B,"Sunday")+SUMIFS('NSE - Other Index Options'!$L:$L,'NSE - Other Index Options'!$D:$D,$A187,'NSE - Other Index Options'!$B:$B,"Sunday")=0,"",SUMIFS('NSE - NIFTY Index Options'!$L:$L,'NSE - NIFTY Index Options'!$D:$D,$A187,'NSE - NIFTY Index Options'!$B:$B,"Sunday")+SUMIFS('NSE - Other Index Options'!$L:$L,'NSE - Other Index Options'!$D:$D,$A187,'NSE - Other Index Options'!$B:$B,"Sunday"))</f>
        <v/>
      </c>
      <c r="C187" s="26" t="str">
        <f>IF(SUMIFS('BSE - SENSEX Index Options'!$L:$L,'BSE - SENSEX Index Options'!$D:$D,$A187,'BSE - SENSEX Index Options'!$B:$B,"Sunday")+SUMIFS('BSE - Other Index Options'!$L:$L,'BSE - Other Index Options'!$D:$D,$A187,'BSE - Other Index Options'!$B:$B,"Sunday")=0,"",SUMIFS('BSE - SENSEX Index Options'!$L:$L,'BSE - SENSEX Index Options'!$D:$D,$A187,'BSE - SENSEX Index Options'!$B:$B,"Sunday")+SUMIFS('BSE - Other Index Options'!$L:$L,'BSE - Other Index Options'!$D:$D,$A187,'BSE - Other Index Options'!$B:$B,"Sunday"))</f>
        <v/>
      </c>
      <c r="D187" s="27" t="str">
        <f t="shared" si="10"/>
        <v/>
      </c>
      <c r="E187" s="27" t="str">
        <f t="shared" si="11"/>
        <v/>
      </c>
    </row>
    <row r="188" spans="1:5" hidden="1" outlineLevel="1">
      <c r="A188" s="24">
        <v>46600</v>
      </c>
      <c r="B188" s="26" t="str">
        <f>IF(SUMIFS('NSE - NIFTY Index Options'!$L:$L,'NSE - NIFTY Index Options'!$D:$D,$A188,'NSE - NIFTY Index Options'!$B:$B,"Sunday")+SUMIFS('NSE - Other Index Options'!$L:$L,'NSE - Other Index Options'!$D:$D,$A188,'NSE - Other Index Options'!$B:$B,"Sunday")=0,"",SUMIFS('NSE - NIFTY Index Options'!$L:$L,'NSE - NIFTY Index Options'!$D:$D,$A188,'NSE - NIFTY Index Options'!$B:$B,"Sunday")+SUMIFS('NSE - Other Index Options'!$L:$L,'NSE - Other Index Options'!$D:$D,$A188,'NSE - Other Index Options'!$B:$B,"Sunday"))</f>
        <v/>
      </c>
      <c r="C188" s="26" t="str">
        <f>IF(SUMIFS('BSE - SENSEX Index Options'!$L:$L,'BSE - SENSEX Index Options'!$D:$D,$A188,'BSE - SENSEX Index Options'!$B:$B,"Sunday")+SUMIFS('BSE - Other Index Options'!$L:$L,'BSE - Other Index Options'!$D:$D,$A188,'BSE - Other Index Options'!$B:$B,"Sunday")=0,"",SUMIFS('BSE - SENSEX Index Options'!$L:$L,'BSE - SENSEX Index Options'!$D:$D,$A188,'BSE - SENSEX Index Options'!$B:$B,"Sunday")+SUMIFS('BSE - Other Index Options'!$L:$L,'BSE - Other Index Options'!$D:$D,$A188,'BSE - Other Index Options'!$B:$B,"Sunday"))</f>
        <v/>
      </c>
      <c r="D188" s="27" t="str">
        <f t="shared" si="10"/>
        <v/>
      </c>
      <c r="E188" s="27" t="str">
        <f t="shared" si="11"/>
        <v/>
      </c>
    </row>
    <row r="189" spans="1:5" hidden="1" outlineLevel="1">
      <c r="A189" s="24">
        <v>46631</v>
      </c>
      <c r="B189" s="26" t="str">
        <f>IF(SUMIFS('NSE - NIFTY Index Options'!$L:$L,'NSE - NIFTY Index Options'!$D:$D,$A189,'NSE - NIFTY Index Options'!$B:$B,"Sunday")+SUMIFS('NSE - Other Index Options'!$L:$L,'NSE - Other Index Options'!$D:$D,$A189,'NSE - Other Index Options'!$B:$B,"Sunday")=0,"",SUMIFS('NSE - NIFTY Index Options'!$L:$L,'NSE - NIFTY Index Options'!$D:$D,$A189,'NSE - NIFTY Index Options'!$B:$B,"Sunday")+SUMIFS('NSE - Other Index Options'!$L:$L,'NSE - Other Index Options'!$D:$D,$A189,'NSE - Other Index Options'!$B:$B,"Sunday"))</f>
        <v/>
      </c>
      <c r="C189" s="26" t="str">
        <f>IF(SUMIFS('BSE - SENSEX Index Options'!$L:$L,'BSE - SENSEX Index Options'!$D:$D,$A189,'BSE - SENSEX Index Options'!$B:$B,"Sunday")+SUMIFS('BSE - Other Index Options'!$L:$L,'BSE - Other Index Options'!$D:$D,$A189,'BSE - Other Index Options'!$B:$B,"Sunday")=0,"",SUMIFS('BSE - SENSEX Index Options'!$L:$L,'BSE - SENSEX Index Options'!$D:$D,$A189,'BSE - SENSEX Index Options'!$B:$B,"Sunday")+SUMIFS('BSE - Other Index Options'!$L:$L,'BSE - Other Index Options'!$D:$D,$A189,'BSE - Other Index Options'!$B:$B,"Sunday"))</f>
        <v/>
      </c>
      <c r="D189" s="27" t="str">
        <f t="shared" si="10"/>
        <v/>
      </c>
      <c r="E189" s="27" t="str">
        <f t="shared" si="11"/>
        <v/>
      </c>
    </row>
    <row r="190" spans="1:5" hidden="1" outlineLevel="1">
      <c r="A190" s="24">
        <v>46661</v>
      </c>
      <c r="B190" s="26" t="str">
        <f>IF(SUMIFS('NSE - NIFTY Index Options'!$L:$L,'NSE - NIFTY Index Options'!$D:$D,$A190,'NSE - NIFTY Index Options'!$B:$B,"Sunday")+SUMIFS('NSE - Other Index Options'!$L:$L,'NSE - Other Index Options'!$D:$D,$A190,'NSE - Other Index Options'!$B:$B,"Sunday")=0,"",SUMIFS('NSE - NIFTY Index Options'!$L:$L,'NSE - NIFTY Index Options'!$D:$D,$A190,'NSE - NIFTY Index Options'!$B:$B,"Sunday")+SUMIFS('NSE - Other Index Options'!$L:$L,'NSE - Other Index Options'!$D:$D,$A190,'NSE - Other Index Options'!$B:$B,"Sunday"))</f>
        <v/>
      </c>
      <c r="C190" s="26" t="str">
        <f>IF(SUMIFS('BSE - SENSEX Index Options'!$L:$L,'BSE - SENSEX Index Options'!$D:$D,$A190,'BSE - SENSEX Index Options'!$B:$B,"Sunday")+SUMIFS('BSE - Other Index Options'!$L:$L,'BSE - Other Index Options'!$D:$D,$A190,'BSE - Other Index Options'!$B:$B,"Sunday")=0,"",SUMIFS('BSE - SENSEX Index Options'!$L:$L,'BSE - SENSEX Index Options'!$D:$D,$A190,'BSE - SENSEX Index Options'!$B:$B,"Sunday")+SUMIFS('BSE - Other Index Options'!$L:$L,'BSE - Other Index Options'!$D:$D,$A190,'BSE - Other Index Options'!$B:$B,"Sunday"))</f>
        <v/>
      </c>
      <c r="D190" s="27" t="str">
        <f t="shared" si="10"/>
        <v/>
      </c>
      <c r="E190" s="27" t="str">
        <f t="shared" si="11"/>
        <v/>
      </c>
    </row>
    <row r="191" spans="1:5" hidden="1" outlineLevel="1">
      <c r="A191" s="24">
        <v>46692</v>
      </c>
      <c r="B191" s="26" t="str">
        <f>IF(SUMIFS('NSE - NIFTY Index Options'!$L:$L,'NSE - NIFTY Index Options'!$D:$D,$A191,'NSE - NIFTY Index Options'!$B:$B,"Sunday")+SUMIFS('NSE - Other Index Options'!$L:$L,'NSE - Other Index Options'!$D:$D,$A191,'NSE - Other Index Options'!$B:$B,"Sunday")=0,"",SUMIFS('NSE - NIFTY Index Options'!$L:$L,'NSE - NIFTY Index Options'!$D:$D,$A191,'NSE - NIFTY Index Options'!$B:$B,"Sunday")+SUMIFS('NSE - Other Index Options'!$L:$L,'NSE - Other Index Options'!$D:$D,$A191,'NSE - Other Index Options'!$B:$B,"Sunday"))</f>
        <v/>
      </c>
      <c r="C191" s="26" t="str">
        <f>IF(SUMIFS('BSE - SENSEX Index Options'!$L:$L,'BSE - SENSEX Index Options'!$D:$D,$A191,'BSE - SENSEX Index Options'!$B:$B,"Sunday")+SUMIFS('BSE - Other Index Options'!$L:$L,'BSE - Other Index Options'!$D:$D,$A191,'BSE - Other Index Options'!$B:$B,"Sunday")=0,"",SUMIFS('BSE - SENSEX Index Options'!$L:$L,'BSE - SENSEX Index Options'!$D:$D,$A191,'BSE - SENSEX Index Options'!$B:$B,"Sunday")+SUMIFS('BSE - Other Index Options'!$L:$L,'BSE - Other Index Options'!$D:$D,$A191,'BSE - Other Index Options'!$B:$B,"Sunday"))</f>
        <v/>
      </c>
      <c r="D191" s="27" t="str">
        <f t="shared" si="10"/>
        <v/>
      </c>
      <c r="E191" s="27" t="str">
        <f t="shared" si="11"/>
        <v/>
      </c>
    </row>
    <row r="192" spans="1:5" hidden="1" outlineLevel="1">
      <c r="A192" s="24">
        <v>46722</v>
      </c>
      <c r="B192" s="26" t="str">
        <f>IF(SUMIFS('NSE - NIFTY Index Options'!$L:$L,'NSE - NIFTY Index Options'!$D:$D,$A192,'NSE - NIFTY Index Options'!$B:$B,"Sunday")+SUMIFS('NSE - Other Index Options'!$L:$L,'NSE - Other Index Options'!$D:$D,$A192,'NSE - Other Index Options'!$B:$B,"Sunday")=0,"",SUMIFS('NSE - NIFTY Index Options'!$L:$L,'NSE - NIFTY Index Options'!$D:$D,$A192,'NSE - NIFTY Index Options'!$B:$B,"Sunday")+SUMIFS('NSE - Other Index Options'!$L:$L,'NSE - Other Index Options'!$D:$D,$A192,'NSE - Other Index Options'!$B:$B,"Sunday"))</f>
        <v/>
      </c>
      <c r="C192" s="26" t="str">
        <f>IF(SUMIFS('BSE - SENSEX Index Options'!$L:$L,'BSE - SENSEX Index Options'!$D:$D,$A192,'BSE - SENSEX Index Options'!$B:$B,"Sunday")+SUMIFS('BSE - Other Index Options'!$L:$L,'BSE - Other Index Options'!$D:$D,$A192,'BSE - Other Index Options'!$B:$B,"Sunday")=0,"",SUMIFS('BSE - SENSEX Index Options'!$L:$L,'BSE - SENSEX Index Options'!$D:$D,$A192,'BSE - SENSEX Index Options'!$B:$B,"Sunday")+SUMIFS('BSE - Other Index Options'!$L:$L,'BSE - Other Index Options'!$D:$D,$A192,'BSE - Other Index Options'!$B:$B,"Sunday"))</f>
        <v/>
      </c>
      <c r="D192" s="27" t="str">
        <f t="shared" si="10"/>
        <v/>
      </c>
      <c r="E192" s="27" t="str">
        <f t="shared" si="11"/>
        <v/>
      </c>
    </row>
    <row r="193" spans="1:5" collapsed="1">
      <c r="A193" s="28" t="s">
        <v>9</v>
      </c>
      <c r="B193" s="30">
        <f>IF(SUM(B165:B192)=0,"",SUM(B165:B192))</f>
        <v>111932.98999999999</v>
      </c>
      <c r="C193" s="30">
        <f>IF(SUM(C165:C192)=0,"",SUM(C165:C192))</f>
        <v>24784.93</v>
      </c>
      <c r="D193" s="31">
        <f t="shared" si="10"/>
        <v>0.81871484001512018</v>
      </c>
      <c r="E193" s="31">
        <f t="shared" si="11"/>
        <v>0.18128515998487985</v>
      </c>
    </row>
  </sheetData>
  <conditionalFormatting sqref="D5:D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D6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D9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1:D1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3:D16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5:D19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7:E6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9:E9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1:E1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3:E16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5:E19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3"/>
  <sheetViews>
    <sheetView topLeftCell="A141" workbookViewId="0"/>
  </sheetViews>
  <sheetFormatPr baseColWidth="10" defaultColWidth="8.83203125" defaultRowHeight="16" outlineLevelRow="1"/>
  <cols>
    <col min="1" max="1" width="12" customWidth="1"/>
    <col min="2" max="3" width="30" customWidth="1"/>
    <col min="4" max="5" width="16" customWidth="1"/>
  </cols>
  <sheetData>
    <row r="1" spans="1:5">
      <c r="A1" s="28" t="s">
        <v>183</v>
      </c>
    </row>
    <row r="3" spans="1:5">
      <c r="A3" s="28" t="s">
        <v>177</v>
      </c>
    </row>
    <row r="4" spans="1:5">
      <c r="A4" s="28" t="s">
        <v>169</v>
      </c>
      <c r="B4" s="28" t="s">
        <v>1</v>
      </c>
      <c r="C4" s="28" t="s">
        <v>148</v>
      </c>
      <c r="D4" s="28" t="s">
        <v>149</v>
      </c>
      <c r="E4" s="28" t="s">
        <v>150</v>
      </c>
    </row>
    <row r="5" spans="1:5">
      <c r="A5" s="24">
        <v>45901</v>
      </c>
      <c r="B5" s="26">
        <f>IF(SUMIFS('NSE - NIFTY Index Options'!$L:$L,'NSE - NIFTY Index Options'!$D:$D,$A5,'NSE - NIFTY Index Options'!$B:$B,"Monday",'NSE - NIFTY Index Options'!$G:$G,"Weekly*")+SUMIFS('NSE - Other Index Options'!$L:$L,'NSE - Other Index Options'!$D:$D,$A5,'NSE - Other Index Options'!$B:$B,"Monday",'NSE - Other Index Options'!$G:$G,"Weekly*")=0,"",SUMIFS('NSE - NIFTY Index Options'!$L:$L,'NSE - NIFTY Index Options'!$D:$D,$A5,'NSE - NIFTY Index Options'!$B:$B,"Monday",'NSE - NIFTY Index Options'!$G:$G,"Weekly*")+SUMIFS('NSE - Other Index Options'!$L:$L,'NSE - Other Index Options'!$D:$D,$A5,'NSE - Other Index Options'!$B:$B,"Monday",'NSE - Other Index Options'!$G:$G,"Weekly*"))</f>
        <v>137437.41</v>
      </c>
      <c r="C5" s="26">
        <f>IF(SUMIFS('BSE - SENSEX Index Options'!$L:$L,'BSE - SENSEX Index Options'!$D:$D,$A5,'BSE - SENSEX Index Options'!$B:$B,"Monday",'BSE - SENSEX Index Options'!$G:$G,"Weekly*")+SUMIFS('BSE - Other Index Options'!$L:$L,'BSE - Other Index Options'!$D:$D,$A5,'BSE - Other Index Options'!$B:$B,"Monday",'BSE - Other Index Options'!$G:$G,"Weekly*")=0,"",SUMIFS('BSE - SENSEX Index Options'!$L:$L,'BSE - SENSEX Index Options'!$D:$D,$A5,'BSE - SENSEX Index Options'!$B:$B,"Monday",'BSE - SENSEX Index Options'!$G:$G,"Weekly*")+SUMIFS('BSE - Other Index Options'!$L:$L,'BSE - Other Index Options'!$D:$D,$A5,'BSE - Other Index Options'!$B:$B,"Monday",'BSE - Other Index Options'!$G:$G,"Weekly*"))</f>
        <v>32207.13</v>
      </c>
      <c r="D5" s="27">
        <f t="shared" ref="D5:D33" si="0">IF(SUM(B5:C5)=0,"",SUM(B5)/SUM(B5:C5))</f>
        <v>0.81014932752919722</v>
      </c>
      <c r="E5" s="27">
        <f t="shared" ref="E5:E33" si="1">IF(SUM(B5:C5)=0,"",SUM(C5)/SUM(B5:C5))</f>
        <v>0.18985067247080278</v>
      </c>
    </row>
    <row r="6" spans="1:5">
      <c r="A6" s="24">
        <v>45931</v>
      </c>
      <c r="B6" s="26">
        <f>IF(SUMIFS('NSE - NIFTY Index Options'!$L:$L,'NSE - NIFTY Index Options'!$D:$D,$A6,'NSE - NIFTY Index Options'!$B:$B,"Monday",'NSE - NIFTY Index Options'!$G:$G,"Weekly*")+SUMIFS('NSE - Other Index Options'!$L:$L,'NSE - Other Index Options'!$D:$D,$A6,'NSE - Other Index Options'!$B:$B,"Monday",'NSE - Other Index Options'!$G:$G,"Weekly*")=0,"",SUMIFS('NSE - NIFTY Index Options'!$L:$L,'NSE - NIFTY Index Options'!$D:$D,$A6,'NSE - NIFTY Index Options'!$B:$B,"Monday",'NSE - NIFTY Index Options'!$G:$G,"Weekly*")+SUMIFS('NSE - Other Index Options'!$L:$L,'NSE - Other Index Options'!$D:$D,$A6,'NSE - Other Index Options'!$B:$B,"Monday",'NSE - Other Index Options'!$G:$G,"Weekly*"))</f>
        <v>140555.30000000002</v>
      </c>
      <c r="C6" s="26">
        <f>IF(SUMIFS('BSE - SENSEX Index Options'!$L:$L,'BSE - SENSEX Index Options'!$D:$D,$A6,'BSE - SENSEX Index Options'!$B:$B,"Monday",'BSE - SENSEX Index Options'!$G:$G,"Weekly*")+SUMIFS('BSE - Other Index Options'!$L:$L,'BSE - Other Index Options'!$D:$D,$A6,'BSE - Other Index Options'!$B:$B,"Monday",'BSE - Other Index Options'!$G:$G,"Weekly*")=0,"",SUMIFS('BSE - SENSEX Index Options'!$L:$L,'BSE - SENSEX Index Options'!$D:$D,$A6,'BSE - SENSEX Index Options'!$B:$B,"Monday",'BSE - SENSEX Index Options'!$G:$G,"Weekly*")+SUMIFS('BSE - Other Index Options'!$L:$L,'BSE - Other Index Options'!$D:$D,$A6,'BSE - Other Index Options'!$B:$B,"Monday",'BSE - Other Index Options'!$G:$G,"Weekly*"))</f>
        <v>29243.649999999998</v>
      </c>
      <c r="D6" s="27">
        <f t="shared" si="0"/>
        <v>0.82777484784210975</v>
      </c>
      <c r="E6" s="27">
        <f t="shared" si="1"/>
        <v>0.17222515215789022</v>
      </c>
    </row>
    <row r="7" spans="1:5">
      <c r="A7" s="24">
        <v>45962</v>
      </c>
      <c r="B7" s="26">
        <f>IF(SUMIFS('NSE - NIFTY Index Options'!$L:$L,'NSE - NIFTY Index Options'!$D:$D,$A7,'NSE - NIFTY Index Options'!$B:$B,"Monday",'NSE - NIFTY Index Options'!$G:$G,"Weekly*")+SUMIFS('NSE - Other Index Options'!$L:$L,'NSE - Other Index Options'!$D:$D,$A7,'NSE - Other Index Options'!$B:$B,"Monday",'NSE - Other Index Options'!$G:$G,"Weekly*")=0,"",SUMIFS('NSE - NIFTY Index Options'!$L:$L,'NSE - NIFTY Index Options'!$D:$D,$A7,'NSE - NIFTY Index Options'!$B:$B,"Monday",'NSE - NIFTY Index Options'!$G:$G,"Weekly*")+SUMIFS('NSE - Other Index Options'!$L:$L,'NSE - Other Index Options'!$D:$D,$A7,'NSE - Other Index Options'!$B:$B,"Monday",'NSE - Other Index Options'!$G:$G,"Weekly*"))</f>
        <v>127013.75000000001</v>
      </c>
      <c r="C7" s="26">
        <f>IF(SUMIFS('BSE - SENSEX Index Options'!$L:$L,'BSE - SENSEX Index Options'!$D:$D,$A7,'BSE - SENSEX Index Options'!$B:$B,"Monday",'BSE - SENSEX Index Options'!$G:$G,"Weekly*")+SUMIFS('BSE - Other Index Options'!$L:$L,'BSE - Other Index Options'!$D:$D,$A7,'BSE - Other Index Options'!$B:$B,"Monday",'BSE - Other Index Options'!$G:$G,"Weekly*")=0,"",SUMIFS('BSE - SENSEX Index Options'!$L:$L,'BSE - SENSEX Index Options'!$D:$D,$A7,'BSE - SENSEX Index Options'!$B:$B,"Monday",'BSE - SENSEX Index Options'!$G:$G,"Weekly*")+SUMIFS('BSE - Other Index Options'!$L:$L,'BSE - Other Index Options'!$D:$D,$A7,'BSE - Other Index Options'!$B:$B,"Monday",'BSE - Other Index Options'!$G:$G,"Weekly*"))</f>
        <v>26666.400000000001</v>
      </c>
      <c r="D7" s="27">
        <f t="shared" si="0"/>
        <v>0.82648116884321099</v>
      </c>
      <c r="E7" s="27">
        <f t="shared" si="1"/>
        <v>0.17351883115678893</v>
      </c>
    </row>
    <row r="8" spans="1:5">
      <c r="A8" s="24">
        <v>45992</v>
      </c>
      <c r="B8" s="26">
        <f>IF(SUMIFS('NSE - NIFTY Index Options'!$L:$L,'NSE - NIFTY Index Options'!$D:$D,$A8,'NSE - NIFTY Index Options'!$B:$B,"Monday",'NSE - NIFTY Index Options'!$G:$G,"Weekly*")+SUMIFS('NSE - Other Index Options'!$L:$L,'NSE - Other Index Options'!$D:$D,$A8,'NSE - Other Index Options'!$B:$B,"Monday",'NSE - Other Index Options'!$G:$G,"Weekly*")=0,"",SUMIFS('NSE - NIFTY Index Options'!$L:$L,'NSE - NIFTY Index Options'!$D:$D,$A8,'NSE - NIFTY Index Options'!$B:$B,"Monday",'NSE - NIFTY Index Options'!$G:$G,"Weekly*")+SUMIFS('NSE - Other Index Options'!$L:$L,'NSE - Other Index Options'!$D:$D,$A8,'NSE - Other Index Options'!$B:$B,"Monday",'NSE - Other Index Options'!$G:$G,"Weekly*"))</f>
        <v>164949.41000000003</v>
      </c>
      <c r="C8" s="26">
        <f>IF(SUMIFS('BSE - SENSEX Index Options'!$L:$L,'BSE - SENSEX Index Options'!$D:$D,$A8,'BSE - SENSEX Index Options'!$B:$B,"Monday",'BSE - SENSEX Index Options'!$G:$G,"Weekly*")+SUMIFS('BSE - Other Index Options'!$L:$L,'BSE - Other Index Options'!$D:$D,$A8,'BSE - Other Index Options'!$B:$B,"Monday",'BSE - Other Index Options'!$G:$G,"Weekly*")=0,"",SUMIFS('BSE - SENSEX Index Options'!$L:$L,'BSE - SENSEX Index Options'!$D:$D,$A8,'BSE - SENSEX Index Options'!$B:$B,"Monday",'BSE - SENSEX Index Options'!$G:$G,"Weekly*")+SUMIFS('BSE - Other Index Options'!$L:$L,'BSE - Other Index Options'!$D:$D,$A8,'BSE - Other Index Options'!$B:$B,"Monday",'BSE - Other Index Options'!$G:$G,"Weekly*"))</f>
        <v>44403.319999999985</v>
      </c>
      <c r="D8" s="27">
        <f t="shared" si="0"/>
        <v>0.78790188214885004</v>
      </c>
      <c r="E8" s="27">
        <f t="shared" si="1"/>
        <v>0.21209811785114999</v>
      </c>
    </row>
    <row r="9" spans="1:5">
      <c r="A9" s="24">
        <v>46023</v>
      </c>
      <c r="B9" s="26">
        <f>IF(SUMIFS('NSE - NIFTY Index Options'!$L:$L,'NSE - NIFTY Index Options'!$D:$D,$A9,'NSE - NIFTY Index Options'!$B:$B,"Monday",'NSE - NIFTY Index Options'!$G:$G,"Weekly*")+SUMIFS('NSE - Other Index Options'!$L:$L,'NSE - Other Index Options'!$D:$D,$A9,'NSE - Other Index Options'!$B:$B,"Monday",'NSE - Other Index Options'!$G:$G,"Weekly*")=0,"",SUMIFS('NSE - NIFTY Index Options'!$L:$L,'NSE - NIFTY Index Options'!$D:$D,$A9,'NSE - NIFTY Index Options'!$B:$B,"Monday",'NSE - NIFTY Index Options'!$G:$G,"Weekly*")+SUMIFS('NSE - Other Index Options'!$L:$L,'NSE - Other Index Options'!$D:$D,$A9,'NSE - Other Index Options'!$B:$B,"Monday",'NSE - Other Index Options'!$G:$G,"Weekly*"))</f>
        <v>165076.03000000003</v>
      </c>
      <c r="C9" s="26">
        <f>IF(SUMIFS('BSE - SENSEX Index Options'!$L:$L,'BSE - SENSEX Index Options'!$D:$D,$A9,'BSE - SENSEX Index Options'!$B:$B,"Monday",'BSE - SENSEX Index Options'!$G:$G,"Weekly*")+SUMIFS('BSE - Other Index Options'!$L:$L,'BSE - Other Index Options'!$D:$D,$A9,'BSE - Other Index Options'!$B:$B,"Monday",'BSE - Other Index Options'!$G:$G,"Weekly*")=0,"",SUMIFS('BSE - SENSEX Index Options'!$L:$L,'BSE - SENSEX Index Options'!$D:$D,$A9,'BSE - SENSEX Index Options'!$B:$B,"Monday",'BSE - SENSEX Index Options'!$G:$G,"Weekly*")+SUMIFS('BSE - Other Index Options'!$L:$L,'BSE - Other Index Options'!$D:$D,$A9,'BSE - Other Index Options'!$B:$B,"Monday",'BSE - Other Index Options'!$G:$G,"Weekly*"))</f>
        <v>40260.949999999997</v>
      </c>
      <c r="D9" s="27">
        <f t="shared" si="0"/>
        <v>0.80392742700316322</v>
      </c>
      <c r="E9" s="27">
        <f t="shared" si="1"/>
        <v>0.19607257299683667</v>
      </c>
    </row>
    <row r="10" spans="1:5">
      <c r="A10" s="24">
        <v>46054</v>
      </c>
      <c r="B10" s="26">
        <f>IF(SUMIFS('NSE - NIFTY Index Options'!$L:$L,'NSE - NIFTY Index Options'!$D:$D,$A10,'NSE - NIFTY Index Options'!$B:$B,"Monday",'NSE - NIFTY Index Options'!$G:$G,"Weekly*")+SUMIFS('NSE - Other Index Options'!$L:$L,'NSE - Other Index Options'!$D:$D,$A10,'NSE - Other Index Options'!$B:$B,"Monday",'NSE - Other Index Options'!$G:$G,"Weekly*")=0,"",SUMIFS('NSE - NIFTY Index Options'!$L:$L,'NSE - NIFTY Index Options'!$D:$D,$A10,'NSE - NIFTY Index Options'!$B:$B,"Monday",'NSE - NIFTY Index Options'!$G:$G,"Weekly*")+SUMIFS('NSE - Other Index Options'!$L:$L,'NSE - Other Index Options'!$D:$D,$A10,'NSE - Other Index Options'!$B:$B,"Monday",'NSE - Other Index Options'!$G:$G,"Weekly*"))</f>
        <v>178381.05999999997</v>
      </c>
      <c r="C10" s="26">
        <f>IF(SUMIFS('BSE - SENSEX Index Options'!$L:$L,'BSE - SENSEX Index Options'!$D:$D,$A10,'BSE - SENSEX Index Options'!$B:$B,"Monday",'BSE - SENSEX Index Options'!$G:$G,"Weekly*")+SUMIFS('BSE - Other Index Options'!$L:$L,'BSE - Other Index Options'!$D:$D,$A10,'BSE - Other Index Options'!$B:$B,"Monday",'BSE - Other Index Options'!$G:$G,"Weekly*")=0,"",SUMIFS('BSE - SENSEX Index Options'!$L:$L,'BSE - SENSEX Index Options'!$D:$D,$A10,'BSE - SENSEX Index Options'!$B:$B,"Monday",'BSE - SENSEX Index Options'!$G:$G,"Weekly*")+SUMIFS('BSE - Other Index Options'!$L:$L,'BSE - Other Index Options'!$D:$D,$A10,'BSE - Other Index Options'!$B:$B,"Monday",'BSE - Other Index Options'!$G:$G,"Weekly*"))</f>
        <v>37453.31</v>
      </c>
      <c r="D10" s="27">
        <f t="shared" si="0"/>
        <v>0.82647198404962097</v>
      </c>
      <c r="E10" s="27">
        <f t="shared" si="1"/>
        <v>0.17352801595037901</v>
      </c>
    </row>
    <row r="11" spans="1:5">
      <c r="A11" s="24">
        <v>46082</v>
      </c>
      <c r="B11" s="26">
        <f>IF(SUMIFS('NSE - NIFTY Index Options'!$L:$L,'NSE - NIFTY Index Options'!$D:$D,$A11,'NSE - NIFTY Index Options'!$B:$B,"Monday",'NSE - NIFTY Index Options'!$G:$G,"Weekly*")+SUMIFS('NSE - Other Index Options'!$L:$L,'NSE - Other Index Options'!$D:$D,$A11,'NSE - Other Index Options'!$B:$B,"Monday",'NSE - Other Index Options'!$G:$G,"Weekly*")=0,"",SUMIFS('NSE - NIFTY Index Options'!$L:$L,'NSE - NIFTY Index Options'!$D:$D,$A11,'NSE - NIFTY Index Options'!$B:$B,"Monday",'NSE - NIFTY Index Options'!$G:$G,"Weekly*")+SUMIFS('NSE - Other Index Options'!$L:$L,'NSE - Other Index Options'!$D:$D,$A11,'NSE - Other Index Options'!$B:$B,"Monday",'NSE - Other Index Options'!$G:$G,"Weekly*"))</f>
        <v>377633.93999999994</v>
      </c>
      <c r="C11" s="26">
        <f>IF(SUMIFS('BSE - SENSEX Index Options'!$L:$L,'BSE - SENSEX Index Options'!$D:$D,$A11,'BSE - SENSEX Index Options'!$B:$B,"Monday",'BSE - SENSEX Index Options'!$G:$G,"Weekly*")+SUMIFS('BSE - Other Index Options'!$L:$L,'BSE - Other Index Options'!$D:$D,$A11,'BSE - Other Index Options'!$B:$B,"Monday",'BSE - Other Index Options'!$G:$G,"Weekly*")=0,"",SUMIFS('BSE - SENSEX Index Options'!$L:$L,'BSE - SENSEX Index Options'!$D:$D,$A11,'BSE - SENSEX Index Options'!$B:$B,"Monday",'BSE - SENSEX Index Options'!$G:$G,"Weekly*")+SUMIFS('BSE - Other Index Options'!$L:$L,'BSE - Other Index Options'!$D:$D,$A11,'BSE - Other Index Options'!$B:$B,"Monday",'BSE - Other Index Options'!$G:$G,"Weekly*"))</f>
        <v>64796.939999999995</v>
      </c>
      <c r="D11" s="27">
        <f t="shared" si="0"/>
        <v>0.85354336026454569</v>
      </c>
      <c r="E11" s="27">
        <f t="shared" si="1"/>
        <v>0.14645663973545428</v>
      </c>
    </row>
    <row r="12" spans="1:5">
      <c r="A12" s="24">
        <v>46113</v>
      </c>
      <c r="B12" s="26">
        <f>IF(SUMIFS('NSE - NIFTY Index Options'!$L:$L,'NSE - NIFTY Index Options'!$D:$D,$A12,'NSE - NIFTY Index Options'!$B:$B,"Monday",'NSE - NIFTY Index Options'!$G:$G,"Weekly*")+SUMIFS('NSE - Other Index Options'!$L:$L,'NSE - Other Index Options'!$D:$D,$A12,'NSE - Other Index Options'!$B:$B,"Monday",'NSE - Other Index Options'!$G:$G,"Weekly*")=0,"",SUMIFS('NSE - NIFTY Index Options'!$L:$L,'NSE - NIFTY Index Options'!$D:$D,$A12,'NSE - NIFTY Index Options'!$B:$B,"Monday",'NSE - NIFTY Index Options'!$G:$G,"Weekly*")+SUMIFS('NSE - Other Index Options'!$L:$L,'NSE - Other Index Options'!$D:$D,$A12,'NSE - Other Index Options'!$B:$B,"Monday",'NSE - Other Index Options'!$G:$G,"Weekly*"))</f>
        <v>214975.90000000002</v>
      </c>
      <c r="C12" s="26">
        <f>IF(SUMIFS('BSE - SENSEX Index Options'!$L:$L,'BSE - SENSEX Index Options'!$D:$D,$A12,'BSE - SENSEX Index Options'!$B:$B,"Monday",'BSE - SENSEX Index Options'!$G:$G,"Weekly*")+SUMIFS('BSE - Other Index Options'!$L:$L,'BSE - Other Index Options'!$D:$D,$A12,'BSE - Other Index Options'!$B:$B,"Monday",'BSE - Other Index Options'!$G:$G,"Weekly*")=0,"",SUMIFS('BSE - SENSEX Index Options'!$L:$L,'BSE - SENSEX Index Options'!$D:$D,$A12,'BSE - SENSEX Index Options'!$B:$B,"Monday",'BSE - SENSEX Index Options'!$G:$G,"Weekly*")+SUMIFS('BSE - Other Index Options'!$L:$L,'BSE - Other Index Options'!$D:$D,$A12,'BSE - Other Index Options'!$B:$B,"Monday",'BSE - Other Index Options'!$G:$G,"Weekly*"))</f>
        <v>39960.06</v>
      </c>
      <c r="D12" s="27">
        <f t="shared" si="0"/>
        <v>0.8432545177228038</v>
      </c>
      <c r="E12" s="27">
        <f t="shared" si="1"/>
        <v>0.15674548227719617</v>
      </c>
    </row>
    <row r="13" spans="1:5">
      <c r="A13" s="24">
        <v>46143</v>
      </c>
      <c r="B13" s="26">
        <f>IF(SUMIFS('NSE - NIFTY Index Options'!$L:$L,'NSE - NIFTY Index Options'!$D:$D,$A13,'NSE - NIFTY Index Options'!$B:$B,"Monday",'NSE - NIFTY Index Options'!$G:$G,"Weekly*")+SUMIFS('NSE - Other Index Options'!$L:$L,'NSE - Other Index Options'!$D:$D,$A13,'NSE - Other Index Options'!$B:$B,"Monday",'NSE - Other Index Options'!$G:$G,"Weekly*")=0,"",SUMIFS('NSE - NIFTY Index Options'!$L:$L,'NSE - NIFTY Index Options'!$D:$D,$A13,'NSE - NIFTY Index Options'!$B:$B,"Monday",'NSE - NIFTY Index Options'!$G:$G,"Weekly*")+SUMIFS('NSE - Other Index Options'!$L:$L,'NSE - Other Index Options'!$D:$D,$A13,'NSE - Other Index Options'!$B:$B,"Monday",'NSE - Other Index Options'!$G:$G,"Weekly*"))</f>
        <v>201542.38000000003</v>
      </c>
      <c r="C13" s="26">
        <f>IF(SUMIFS('BSE - SENSEX Index Options'!$L:$L,'BSE - SENSEX Index Options'!$D:$D,$A13,'BSE - SENSEX Index Options'!$B:$B,"Monday",'BSE - SENSEX Index Options'!$G:$G,"Weekly*")+SUMIFS('BSE - Other Index Options'!$L:$L,'BSE - Other Index Options'!$D:$D,$A13,'BSE - Other Index Options'!$B:$B,"Monday",'BSE - Other Index Options'!$G:$G,"Weekly*")=0,"",SUMIFS('BSE - SENSEX Index Options'!$L:$L,'BSE - SENSEX Index Options'!$D:$D,$A13,'BSE - SENSEX Index Options'!$B:$B,"Monday",'BSE - SENSEX Index Options'!$G:$G,"Weekly*")+SUMIFS('BSE - Other Index Options'!$L:$L,'BSE - Other Index Options'!$D:$D,$A13,'BSE - Other Index Options'!$B:$B,"Monday",'BSE - Other Index Options'!$G:$G,"Weekly*"))</f>
        <v>42365.85</v>
      </c>
      <c r="D13" s="27">
        <f t="shared" si="0"/>
        <v>0.82630413906082634</v>
      </c>
      <c r="E13" s="27">
        <f t="shared" si="1"/>
        <v>0.17369586093917369</v>
      </c>
    </row>
    <row r="14" spans="1:5">
      <c r="A14" s="24">
        <v>46174</v>
      </c>
      <c r="B14" s="26">
        <f>IF(SUMIFS('NSE - NIFTY Index Options'!$L:$L,'NSE - NIFTY Index Options'!$D:$D,$A14,'NSE - NIFTY Index Options'!$B:$B,"Monday",'NSE - NIFTY Index Options'!$G:$G,"Weekly*")+SUMIFS('NSE - Other Index Options'!$L:$L,'NSE - Other Index Options'!$D:$D,$A14,'NSE - Other Index Options'!$B:$B,"Monday",'NSE - Other Index Options'!$G:$G,"Weekly*")=0,"",SUMIFS('NSE - NIFTY Index Options'!$L:$L,'NSE - NIFTY Index Options'!$D:$D,$A14,'NSE - NIFTY Index Options'!$B:$B,"Monday",'NSE - NIFTY Index Options'!$G:$G,"Weekly*")+SUMIFS('NSE - Other Index Options'!$L:$L,'NSE - Other Index Options'!$D:$D,$A14,'NSE - Other Index Options'!$B:$B,"Monday",'NSE - Other Index Options'!$G:$G,"Weekly*"))</f>
        <v>202038.26999999996</v>
      </c>
      <c r="C14" s="26">
        <f>IF(SUMIFS('BSE - SENSEX Index Options'!$L:$L,'BSE - SENSEX Index Options'!$D:$D,$A14,'BSE - SENSEX Index Options'!$B:$B,"Monday",'BSE - SENSEX Index Options'!$G:$G,"Weekly*")+SUMIFS('BSE - Other Index Options'!$L:$L,'BSE - Other Index Options'!$D:$D,$A14,'BSE - Other Index Options'!$B:$B,"Monday",'BSE - Other Index Options'!$G:$G,"Weekly*")=0,"",SUMIFS('BSE - SENSEX Index Options'!$L:$L,'BSE - SENSEX Index Options'!$D:$D,$A14,'BSE - SENSEX Index Options'!$B:$B,"Monday",'BSE - SENSEX Index Options'!$G:$G,"Weekly*")+SUMIFS('BSE - Other Index Options'!$L:$L,'BSE - Other Index Options'!$D:$D,$A14,'BSE - Other Index Options'!$B:$B,"Monday",'BSE - Other Index Options'!$G:$G,"Weekly*"))</f>
        <v>45462.119999999995</v>
      </c>
      <c r="D14" s="27">
        <f t="shared" si="0"/>
        <v>0.81631495610976612</v>
      </c>
      <c r="E14" s="27">
        <f t="shared" si="1"/>
        <v>0.18368504389023388</v>
      </c>
    </row>
    <row r="15" spans="1:5">
      <c r="A15" s="24">
        <v>46204</v>
      </c>
      <c r="B15" s="26">
        <f>IF(SUMIFS('NSE - NIFTY Index Options'!$L:$L,'NSE - NIFTY Index Options'!$D:$D,$A15,'NSE - NIFTY Index Options'!$B:$B,"Monday",'NSE - NIFTY Index Options'!$G:$G,"Weekly*")+SUMIFS('NSE - Other Index Options'!$L:$L,'NSE - Other Index Options'!$D:$D,$A15,'NSE - Other Index Options'!$B:$B,"Monday",'NSE - Other Index Options'!$G:$G,"Weekly*")=0,"",SUMIFS('NSE - NIFTY Index Options'!$L:$L,'NSE - NIFTY Index Options'!$D:$D,$A15,'NSE - NIFTY Index Options'!$B:$B,"Monday",'NSE - NIFTY Index Options'!$G:$G,"Weekly*")+SUMIFS('NSE - Other Index Options'!$L:$L,'NSE - Other Index Options'!$D:$D,$A15,'NSE - Other Index Options'!$B:$B,"Monday",'NSE - Other Index Options'!$G:$G,"Weekly*"))</f>
        <v>34447.22</v>
      </c>
      <c r="C15" s="26">
        <f>IF(SUMIFS('BSE - SENSEX Index Options'!$L:$L,'BSE - SENSEX Index Options'!$D:$D,$A15,'BSE - SENSEX Index Options'!$B:$B,"Monday",'BSE - SENSEX Index Options'!$G:$G,"Weekly*")+SUMIFS('BSE - Other Index Options'!$L:$L,'BSE - Other Index Options'!$D:$D,$A15,'BSE - Other Index Options'!$B:$B,"Monday",'BSE - Other Index Options'!$G:$G,"Weekly*")=0,"",SUMIFS('BSE - SENSEX Index Options'!$L:$L,'BSE - SENSEX Index Options'!$D:$D,$A15,'BSE - SENSEX Index Options'!$B:$B,"Monday",'BSE - SENSEX Index Options'!$G:$G,"Weekly*")+SUMIFS('BSE - Other Index Options'!$L:$L,'BSE - Other Index Options'!$D:$D,$A15,'BSE - Other Index Options'!$B:$B,"Monday",'BSE - Other Index Options'!$G:$G,"Weekly*"))</f>
        <v>8690.27</v>
      </c>
      <c r="D15" s="27">
        <f t="shared" si="0"/>
        <v>0.79854483883971916</v>
      </c>
      <c r="E15" s="27">
        <f t="shared" si="1"/>
        <v>0.20145516116028075</v>
      </c>
    </row>
    <row r="16" spans="1:5" hidden="1" outlineLevel="1">
      <c r="A16" s="24">
        <v>46235</v>
      </c>
      <c r="B16" s="26" t="str">
        <f>IF(SUMIFS('NSE - NIFTY Index Options'!$L:$L,'NSE - NIFTY Index Options'!$D:$D,$A16,'NSE - NIFTY Index Options'!$B:$B,"Monday",'NSE - NIFTY Index Options'!$G:$G,"Weekly*")+SUMIFS('NSE - Other Index Options'!$L:$L,'NSE - Other Index Options'!$D:$D,$A16,'NSE - Other Index Options'!$B:$B,"Monday",'NSE - Other Index Options'!$G:$G,"Weekly*")=0,"",SUMIFS('NSE - NIFTY Index Options'!$L:$L,'NSE - NIFTY Index Options'!$D:$D,$A16,'NSE - NIFTY Index Options'!$B:$B,"Monday",'NSE - NIFTY Index Options'!$G:$G,"Weekly*")+SUMIFS('NSE - Other Index Options'!$L:$L,'NSE - Other Index Options'!$D:$D,$A16,'NSE - Other Index Options'!$B:$B,"Monday",'NSE - Other Index Options'!$G:$G,"Weekly*"))</f>
        <v/>
      </c>
      <c r="C16" s="26" t="str">
        <f>IF(SUMIFS('BSE - SENSEX Index Options'!$L:$L,'BSE - SENSEX Index Options'!$D:$D,$A16,'BSE - SENSEX Index Options'!$B:$B,"Monday",'BSE - SENSEX Index Options'!$G:$G,"Weekly*")+SUMIFS('BSE - Other Index Options'!$L:$L,'BSE - Other Index Options'!$D:$D,$A16,'BSE - Other Index Options'!$B:$B,"Monday",'BSE - Other Index Options'!$G:$G,"Weekly*")=0,"",SUMIFS('BSE - SENSEX Index Options'!$L:$L,'BSE - SENSEX Index Options'!$D:$D,$A16,'BSE - SENSEX Index Options'!$B:$B,"Monday",'BSE - SENSEX Index Options'!$G:$G,"Weekly*")+SUMIFS('BSE - Other Index Options'!$L:$L,'BSE - Other Index Options'!$D:$D,$A16,'BSE - Other Index Options'!$B:$B,"Monday",'BSE - Other Index Options'!$G:$G,"Weekly*"))</f>
        <v/>
      </c>
      <c r="D16" s="27" t="str">
        <f t="shared" si="0"/>
        <v/>
      </c>
      <c r="E16" s="27" t="str">
        <f t="shared" si="1"/>
        <v/>
      </c>
    </row>
    <row r="17" spans="1:5" hidden="1" outlineLevel="1">
      <c r="A17" s="24">
        <v>46266</v>
      </c>
      <c r="B17" s="26" t="str">
        <f>IF(SUMIFS('NSE - NIFTY Index Options'!$L:$L,'NSE - NIFTY Index Options'!$D:$D,$A17,'NSE - NIFTY Index Options'!$B:$B,"Monday",'NSE - NIFTY Index Options'!$G:$G,"Weekly*")+SUMIFS('NSE - Other Index Options'!$L:$L,'NSE - Other Index Options'!$D:$D,$A17,'NSE - Other Index Options'!$B:$B,"Monday",'NSE - Other Index Options'!$G:$G,"Weekly*")=0,"",SUMIFS('NSE - NIFTY Index Options'!$L:$L,'NSE - NIFTY Index Options'!$D:$D,$A17,'NSE - NIFTY Index Options'!$B:$B,"Monday",'NSE - NIFTY Index Options'!$G:$G,"Weekly*")+SUMIFS('NSE - Other Index Options'!$L:$L,'NSE - Other Index Options'!$D:$D,$A17,'NSE - Other Index Options'!$B:$B,"Monday",'NSE - Other Index Options'!$G:$G,"Weekly*"))</f>
        <v/>
      </c>
      <c r="C17" s="26" t="str">
        <f>IF(SUMIFS('BSE - SENSEX Index Options'!$L:$L,'BSE - SENSEX Index Options'!$D:$D,$A17,'BSE - SENSEX Index Options'!$B:$B,"Monday",'BSE - SENSEX Index Options'!$G:$G,"Weekly*")+SUMIFS('BSE - Other Index Options'!$L:$L,'BSE - Other Index Options'!$D:$D,$A17,'BSE - Other Index Options'!$B:$B,"Monday",'BSE - Other Index Options'!$G:$G,"Weekly*")=0,"",SUMIFS('BSE - SENSEX Index Options'!$L:$L,'BSE - SENSEX Index Options'!$D:$D,$A17,'BSE - SENSEX Index Options'!$B:$B,"Monday",'BSE - SENSEX Index Options'!$G:$G,"Weekly*")+SUMIFS('BSE - Other Index Options'!$L:$L,'BSE - Other Index Options'!$D:$D,$A17,'BSE - Other Index Options'!$B:$B,"Monday",'BSE - Other Index Options'!$G:$G,"Weekly*"))</f>
        <v/>
      </c>
      <c r="D17" s="27" t="str">
        <f t="shared" si="0"/>
        <v/>
      </c>
      <c r="E17" s="27" t="str">
        <f t="shared" si="1"/>
        <v/>
      </c>
    </row>
    <row r="18" spans="1:5" hidden="1" outlineLevel="1">
      <c r="A18" s="24">
        <v>46296</v>
      </c>
      <c r="B18" s="26" t="str">
        <f>IF(SUMIFS('NSE - NIFTY Index Options'!$L:$L,'NSE - NIFTY Index Options'!$D:$D,$A18,'NSE - NIFTY Index Options'!$B:$B,"Monday",'NSE - NIFTY Index Options'!$G:$G,"Weekly*")+SUMIFS('NSE - Other Index Options'!$L:$L,'NSE - Other Index Options'!$D:$D,$A18,'NSE - Other Index Options'!$B:$B,"Monday",'NSE - Other Index Options'!$G:$G,"Weekly*")=0,"",SUMIFS('NSE - NIFTY Index Options'!$L:$L,'NSE - NIFTY Index Options'!$D:$D,$A18,'NSE - NIFTY Index Options'!$B:$B,"Monday",'NSE - NIFTY Index Options'!$G:$G,"Weekly*")+SUMIFS('NSE - Other Index Options'!$L:$L,'NSE - Other Index Options'!$D:$D,$A18,'NSE - Other Index Options'!$B:$B,"Monday",'NSE - Other Index Options'!$G:$G,"Weekly*"))</f>
        <v/>
      </c>
      <c r="C18" s="26" t="str">
        <f>IF(SUMIFS('BSE - SENSEX Index Options'!$L:$L,'BSE - SENSEX Index Options'!$D:$D,$A18,'BSE - SENSEX Index Options'!$B:$B,"Monday",'BSE - SENSEX Index Options'!$G:$G,"Weekly*")+SUMIFS('BSE - Other Index Options'!$L:$L,'BSE - Other Index Options'!$D:$D,$A18,'BSE - Other Index Options'!$B:$B,"Monday",'BSE - Other Index Options'!$G:$G,"Weekly*")=0,"",SUMIFS('BSE - SENSEX Index Options'!$L:$L,'BSE - SENSEX Index Options'!$D:$D,$A18,'BSE - SENSEX Index Options'!$B:$B,"Monday",'BSE - SENSEX Index Options'!$G:$G,"Weekly*")+SUMIFS('BSE - Other Index Options'!$L:$L,'BSE - Other Index Options'!$D:$D,$A18,'BSE - Other Index Options'!$B:$B,"Monday",'BSE - Other Index Options'!$G:$G,"Weekly*"))</f>
        <v/>
      </c>
      <c r="D18" s="27" t="str">
        <f t="shared" si="0"/>
        <v/>
      </c>
      <c r="E18" s="27" t="str">
        <f t="shared" si="1"/>
        <v/>
      </c>
    </row>
    <row r="19" spans="1:5" hidden="1" outlineLevel="1">
      <c r="A19" s="24">
        <v>46327</v>
      </c>
      <c r="B19" s="26" t="str">
        <f>IF(SUMIFS('NSE - NIFTY Index Options'!$L:$L,'NSE - NIFTY Index Options'!$D:$D,$A19,'NSE - NIFTY Index Options'!$B:$B,"Monday",'NSE - NIFTY Index Options'!$G:$G,"Weekly*")+SUMIFS('NSE - Other Index Options'!$L:$L,'NSE - Other Index Options'!$D:$D,$A19,'NSE - Other Index Options'!$B:$B,"Monday",'NSE - Other Index Options'!$G:$G,"Weekly*")=0,"",SUMIFS('NSE - NIFTY Index Options'!$L:$L,'NSE - NIFTY Index Options'!$D:$D,$A19,'NSE - NIFTY Index Options'!$B:$B,"Monday",'NSE - NIFTY Index Options'!$G:$G,"Weekly*")+SUMIFS('NSE - Other Index Options'!$L:$L,'NSE - Other Index Options'!$D:$D,$A19,'NSE - Other Index Options'!$B:$B,"Monday",'NSE - Other Index Options'!$G:$G,"Weekly*"))</f>
        <v/>
      </c>
      <c r="C19" s="26" t="str">
        <f>IF(SUMIFS('BSE - SENSEX Index Options'!$L:$L,'BSE - SENSEX Index Options'!$D:$D,$A19,'BSE - SENSEX Index Options'!$B:$B,"Monday",'BSE - SENSEX Index Options'!$G:$G,"Weekly*")+SUMIFS('BSE - Other Index Options'!$L:$L,'BSE - Other Index Options'!$D:$D,$A19,'BSE - Other Index Options'!$B:$B,"Monday",'BSE - Other Index Options'!$G:$G,"Weekly*")=0,"",SUMIFS('BSE - SENSEX Index Options'!$L:$L,'BSE - SENSEX Index Options'!$D:$D,$A19,'BSE - SENSEX Index Options'!$B:$B,"Monday",'BSE - SENSEX Index Options'!$G:$G,"Weekly*")+SUMIFS('BSE - Other Index Options'!$L:$L,'BSE - Other Index Options'!$D:$D,$A19,'BSE - Other Index Options'!$B:$B,"Monday",'BSE - Other Index Options'!$G:$G,"Weekly*"))</f>
        <v/>
      </c>
      <c r="D19" s="27" t="str">
        <f t="shared" si="0"/>
        <v/>
      </c>
      <c r="E19" s="27" t="str">
        <f t="shared" si="1"/>
        <v/>
      </c>
    </row>
    <row r="20" spans="1:5" hidden="1" outlineLevel="1">
      <c r="A20" s="24">
        <v>46357</v>
      </c>
      <c r="B20" s="26" t="str">
        <f>IF(SUMIFS('NSE - NIFTY Index Options'!$L:$L,'NSE - NIFTY Index Options'!$D:$D,$A20,'NSE - NIFTY Index Options'!$B:$B,"Monday",'NSE - NIFTY Index Options'!$G:$G,"Weekly*")+SUMIFS('NSE - Other Index Options'!$L:$L,'NSE - Other Index Options'!$D:$D,$A20,'NSE - Other Index Options'!$B:$B,"Monday",'NSE - Other Index Options'!$G:$G,"Weekly*")=0,"",SUMIFS('NSE - NIFTY Index Options'!$L:$L,'NSE - NIFTY Index Options'!$D:$D,$A20,'NSE - NIFTY Index Options'!$B:$B,"Monday",'NSE - NIFTY Index Options'!$G:$G,"Weekly*")+SUMIFS('NSE - Other Index Options'!$L:$L,'NSE - Other Index Options'!$D:$D,$A20,'NSE - Other Index Options'!$B:$B,"Monday",'NSE - Other Index Options'!$G:$G,"Weekly*"))</f>
        <v/>
      </c>
      <c r="C20" s="26" t="str">
        <f>IF(SUMIFS('BSE - SENSEX Index Options'!$L:$L,'BSE - SENSEX Index Options'!$D:$D,$A20,'BSE - SENSEX Index Options'!$B:$B,"Monday",'BSE - SENSEX Index Options'!$G:$G,"Weekly*")+SUMIFS('BSE - Other Index Options'!$L:$L,'BSE - Other Index Options'!$D:$D,$A20,'BSE - Other Index Options'!$B:$B,"Monday",'BSE - Other Index Options'!$G:$G,"Weekly*")=0,"",SUMIFS('BSE - SENSEX Index Options'!$L:$L,'BSE - SENSEX Index Options'!$D:$D,$A20,'BSE - SENSEX Index Options'!$B:$B,"Monday",'BSE - SENSEX Index Options'!$G:$G,"Weekly*")+SUMIFS('BSE - Other Index Options'!$L:$L,'BSE - Other Index Options'!$D:$D,$A20,'BSE - Other Index Options'!$B:$B,"Monday",'BSE - Other Index Options'!$G:$G,"Weekly*"))</f>
        <v/>
      </c>
      <c r="D20" s="27" t="str">
        <f t="shared" si="0"/>
        <v/>
      </c>
      <c r="E20" s="27" t="str">
        <f t="shared" si="1"/>
        <v/>
      </c>
    </row>
    <row r="21" spans="1:5" hidden="1" outlineLevel="1">
      <c r="A21" s="24">
        <v>46388</v>
      </c>
      <c r="B21" s="26" t="str">
        <f>IF(SUMIFS('NSE - NIFTY Index Options'!$L:$L,'NSE - NIFTY Index Options'!$D:$D,$A21,'NSE - NIFTY Index Options'!$B:$B,"Monday",'NSE - NIFTY Index Options'!$G:$G,"Weekly*")+SUMIFS('NSE - Other Index Options'!$L:$L,'NSE - Other Index Options'!$D:$D,$A21,'NSE - Other Index Options'!$B:$B,"Monday",'NSE - Other Index Options'!$G:$G,"Weekly*")=0,"",SUMIFS('NSE - NIFTY Index Options'!$L:$L,'NSE - NIFTY Index Options'!$D:$D,$A21,'NSE - NIFTY Index Options'!$B:$B,"Monday",'NSE - NIFTY Index Options'!$G:$G,"Weekly*")+SUMIFS('NSE - Other Index Options'!$L:$L,'NSE - Other Index Options'!$D:$D,$A21,'NSE - Other Index Options'!$B:$B,"Monday",'NSE - Other Index Options'!$G:$G,"Weekly*"))</f>
        <v/>
      </c>
      <c r="C21" s="26" t="str">
        <f>IF(SUMIFS('BSE - SENSEX Index Options'!$L:$L,'BSE - SENSEX Index Options'!$D:$D,$A21,'BSE - SENSEX Index Options'!$B:$B,"Monday",'BSE - SENSEX Index Options'!$G:$G,"Weekly*")+SUMIFS('BSE - Other Index Options'!$L:$L,'BSE - Other Index Options'!$D:$D,$A21,'BSE - Other Index Options'!$B:$B,"Monday",'BSE - Other Index Options'!$G:$G,"Weekly*")=0,"",SUMIFS('BSE - SENSEX Index Options'!$L:$L,'BSE - SENSEX Index Options'!$D:$D,$A21,'BSE - SENSEX Index Options'!$B:$B,"Monday",'BSE - SENSEX Index Options'!$G:$G,"Weekly*")+SUMIFS('BSE - Other Index Options'!$L:$L,'BSE - Other Index Options'!$D:$D,$A21,'BSE - Other Index Options'!$B:$B,"Monday",'BSE - Other Index Options'!$G:$G,"Weekly*"))</f>
        <v/>
      </c>
      <c r="D21" s="27" t="str">
        <f t="shared" si="0"/>
        <v/>
      </c>
      <c r="E21" s="27" t="str">
        <f t="shared" si="1"/>
        <v/>
      </c>
    </row>
    <row r="22" spans="1:5" hidden="1" outlineLevel="1">
      <c r="A22" s="24">
        <v>46419</v>
      </c>
      <c r="B22" s="26" t="str">
        <f>IF(SUMIFS('NSE - NIFTY Index Options'!$L:$L,'NSE - NIFTY Index Options'!$D:$D,$A22,'NSE - NIFTY Index Options'!$B:$B,"Monday",'NSE - NIFTY Index Options'!$G:$G,"Weekly*")+SUMIFS('NSE - Other Index Options'!$L:$L,'NSE - Other Index Options'!$D:$D,$A22,'NSE - Other Index Options'!$B:$B,"Monday",'NSE - Other Index Options'!$G:$G,"Weekly*")=0,"",SUMIFS('NSE - NIFTY Index Options'!$L:$L,'NSE - NIFTY Index Options'!$D:$D,$A22,'NSE - NIFTY Index Options'!$B:$B,"Monday",'NSE - NIFTY Index Options'!$G:$G,"Weekly*")+SUMIFS('NSE - Other Index Options'!$L:$L,'NSE - Other Index Options'!$D:$D,$A22,'NSE - Other Index Options'!$B:$B,"Monday",'NSE - Other Index Options'!$G:$G,"Weekly*"))</f>
        <v/>
      </c>
      <c r="C22" s="26" t="str">
        <f>IF(SUMIFS('BSE - SENSEX Index Options'!$L:$L,'BSE - SENSEX Index Options'!$D:$D,$A22,'BSE - SENSEX Index Options'!$B:$B,"Monday",'BSE - SENSEX Index Options'!$G:$G,"Weekly*")+SUMIFS('BSE - Other Index Options'!$L:$L,'BSE - Other Index Options'!$D:$D,$A22,'BSE - Other Index Options'!$B:$B,"Monday",'BSE - Other Index Options'!$G:$G,"Weekly*")=0,"",SUMIFS('BSE - SENSEX Index Options'!$L:$L,'BSE - SENSEX Index Options'!$D:$D,$A22,'BSE - SENSEX Index Options'!$B:$B,"Monday",'BSE - SENSEX Index Options'!$G:$G,"Weekly*")+SUMIFS('BSE - Other Index Options'!$L:$L,'BSE - Other Index Options'!$D:$D,$A22,'BSE - Other Index Options'!$B:$B,"Monday",'BSE - Other Index Options'!$G:$G,"Weekly*"))</f>
        <v/>
      </c>
      <c r="D22" s="27" t="str">
        <f t="shared" si="0"/>
        <v/>
      </c>
      <c r="E22" s="27" t="str">
        <f t="shared" si="1"/>
        <v/>
      </c>
    </row>
    <row r="23" spans="1:5" hidden="1" outlineLevel="1">
      <c r="A23" s="24">
        <v>46447</v>
      </c>
      <c r="B23" s="26" t="str">
        <f>IF(SUMIFS('NSE - NIFTY Index Options'!$L:$L,'NSE - NIFTY Index Options'!$D:$D,$A23,'NSE - NIFTY Index Options'!$B:$B,"Monday",'NSE - NIFTY Index Options'!$G:$G,"Weekly*")+SUMIFS('NSE - Other Index Options'!$L:$L,'NSE - Other Index Options'!$D:$D,$A23,'NSE - Other Index Options'!$B:$B,"Monday",'NSE - Other Index Options'!$G:$G,"Weekly*")=0,"",SUMIFS('NSE - NIFTY Index Options'!$L:$L,'NSE - NIFTY Index Options'!$D:$D,$A23,'NSE - NIFTY Index Options'!$B:$B,"Monday",'NSE - NIFTY Index Options'!$G:$G,"Weekly*")+SUMIFS('NSE - Other Index Options'!$L:$L,'NSE - Other Index Options'!$D:$D,$A23,'NSE - Other Index Options'!$B:$B,"Monday",'NSE - Other Index Options'!$G:$G,"Weekly*"))</f>
        <v/>
      </c>
      <c r="C23" s="26" t="str">
        <f>IF(SUMIFS('BSE - SENSEX Index Options'!$L:$L,'BSE - SENSEX Index Options'!$D:$D,$A23,'BSE - SENSEX Index Options'!$B:$B,"Monday",'BSE - SENSEX Index Options'!$G:$G,"Weekly*")+SUMIFS('BSE - Other Index Options'!$L:$L,'BSE - Other Index Options'!$D:$D,$A23,'BSE - Other Index Options'!$B:$B,"Monday",'BSE - Other Index Options'!$G:$G,"Weekly*")=0,"",SUMIFS('BSE - SENSEX Index Options'!$L:$L,'BSE - SENSEX Index Options'!$D:$D,$A23,'BSE - SENSEX Index Options'!$B:$B,"Monday",'BSE - SENSEX Index Options'!$G:$G,"Weekly*")+SUMIFS('BSE - Other Index Options'!$L:$L,'BSE - Other Index Options'!$D:$D,$A23,'BSE - Other Index Options'!$B:$B,"Monday",'BSE - Other Index Options'!$G:$G,"Weekly*"))</f>
        <v/>
      </c>
      <c r="D23" s="27" t="str">
        <f t="shared" si="0"/>
        <v/>
      </c>
      <c r="E23" s="27" t="str">
        <f t="shared" si="1"/>
        <v/>
      </c>
    </row>
    <row r="24" spans="1:5" hidden="1" outlineLevel="1">
      <c r="A24" s="24">
        <v>46478</v>
      </c>
      <c r="B24" s="26" t="str">
        <f>IF(SUMIFS('NSE - NIFTY Index Options'!$L:$L,'NSE - NIFTY Index Options'!$D:$D,$A24,'NSE - NIFTY Index Options'!$B:$B,"Monday",'NSE - NIFTY Index Options'!$G:$G,"Weekly*")+SUMIFS('NSE - Other Index Options'!$L:$L,'NSE - Other Index Options'!$D:$D,$A24,'NSE - Other Index Options'!$B:$B,"Monday",'NSE - Other Index Options'!$G:$G,"Weekly*")=0,"",SUMIFS('NSE - NIFTY Index Options'!$L:$L,'NSE - NIFTY Index Options'!$D:$D,$A24,'NSE - NIFTY Index Options'!$B:$B,"Monday",'NSE - NIFTY Index Options'!$G:$G,"Weekly*")+SUMIFS('NSE - Other Index Options'!$L:$L,'NSE - Other Index Options'!$D:$D,$A24,'NSE - Other Index Options'!$B:$B,"Monday",'NSE - Other Index Options'!$G:$G,"Weekly*"))</f>
        <v/>
      </c>
      <c r="C24" s="26" t="str">
        <f>IF(SUMIFS('BSE - SENSEX Index Options'!$L:$L,'BSE - SENSEX Index Options'!$D:$D,$A24,'BSE - SENSEX Index Options'!$B:$B,"Monday",'BSE - SENSEX Index Options'!$G:$G,"Weekly*")+SUMIFS('BSE - Other Index Options'!$L:$L,'BSE - Other Index Options'!$D:$D,$A24,'BSE - Other Index Options'!$B:$B,"Monday",'BSE - Other Index Options'!$G:$G,"Weekly*")=0,"",SUMIFS('BSE - SENSEX Index Options'!$L:$L,'BSE - SENSEX Index Options'!$D:$D,$A24,'BSE - SENSEX Index Options'!$B:$B,"Monday",'BSE - SENSEX Index Options'!$G:$G,"Weekly*")+SUMIFS('BSE - Other Index Options'!$L:$L,'BSE - Other Index Options'!$D:$D,$A24,'BSE - Other Index Options'!$B:$B,"Monday",'BSE - Other Index Options'!$G:$G,"Weekly*"))</f>
        <v/>
      </c>
      <c r="D24" s="27" t="str">
        <f t="shared" si="0"/>
        <v/>
      </c>
      <c r="E24" s="27" t="str">
        <f t="shared" si="1"/>
        <v/>
      </c>
    </row>
    <row r="25" spans="1:5" hidden="1" outlineLevel="1">
      <c r="A25" s="24">
        <v>46508</v>
      </c>
      <c r="B25" s="26" t="str">
        <f>IF(SUMIFS('NSE - NIFTY Index Options'!$L:$L,'NSE - NIFTY Index Options'!$D:$D,$A25,'NSE - NIFTY Index Options'!$B:$B,"Monday",'NSE - NIFTY Index Options'!$G:$G,"Weekly*")+SUMIFS('NSE - Other Index Options'!$L:$L,'NSE - Other Index Options'!$D:$D,$A25,'NSE - Other Index Options'!$B:$B,"Monday",'NSE - Other Index Options'!$G:$G,"Weekly*")=0,"",SUMIFS('NSE - NIFTY Index Options'!$L:$L,'NSE - NIFTY Index Options'!$D:$D,$A25,'NSE - NIFTY Index Options'!$B:$B,"Monday",'NSE - NIFTY Index Options'!$G:$G,"Weekly*")+SUMIFS('NSE - Other Index Options'!$L:$L,'NSE - Other Index Options'!$D:$D,$A25,'NSE - Other Index Options'!$B:$B,"Monday",'NSE - Other Index Options'!$G:$G,"Weekly*"))</f>
        <v/>
      </c>
      <c r="C25" s="26" t="str">
        <f>IF(SUMIFS('BSE - SENSEX Index Options'!$L:$L,'BSE - SENSEX Index Options'!$D:$D,$A25,'BSE - SENSEX Index Options'!$B:$B,"Monday",'BSE - SENSEX Index Options'!$G:$G,"Weekly*")+SUMIFS('BSE - Other Index Options'!$L:$L,'BSE - Other Index Options'!$D:$D,$A25,'BSE - Other Index Options'!$B:$B,"Monday",'BSE - Other Index Options'!$G:$G,"Weekly*")=0,"",SUMIFS('BSE - SENSEX Index Options'!$L:$L,'BSE - SENSEX Index Options'!$D:$D,$A25,'BSE - SENSEX Index Options'!$B:$B,"Monday",'BSE - SENSEX Index Options'!$G:$G,"Weekly*")+SUMIFS('BSE - Other Index Options'!$L:$L,'BSE - Other Index Options'!$D:$D,$A25,'BSE - Other Index Options'!$B:$B,"Monday",'BSE - Other Index Options'!$G:$G,"Weekly*"))</f>
        <v/>
      </c>
      <c r="D25" s="27" t="str">
        <f t="shared" si="0"/>
        <v/>
      </c>
      <c r="E25" s="27" t="str">
        <f t="shared" si="1"/>
        <v/>
      </c>
    </row>
    <row r="26" spans="1:5" hidden="1" outlineLevel="1">
      <c r="A26" s="24">
        <v>46539</v>
      </c>
      <c r="B26" s="26" t="str">
        <f>IF(SUMIFS('NSE - NIFTY Index Options'!$L:$L,'NSE - NIFTY Index Options'!$D:$D,$A26,'NSE - NIFTY Index Options'!$B:$B,"Monday",'NSE - NIFTY Index Options'!$G:$G,"Weekly*")+SUMIFS('NSE - Other Index Options'!$L:$L,'NSE - Other Index Options'!$D:$D,$A26,'NSE - Other Index Options'!$B:$B,"Monday",'NSE - Other Index Options'!$G:$G,"Weekly*")=0,"",SUMIFS('NSE - NIFTY Index Options'!$L:$L,'NSE - NIFTY Index Options'!$D:$D,$A26,'NSE - NIFTY Index Options'!$B:$B,"Monday",'NSE - NIFTY Index Options'!$G:$G,"Weekly*")+SUMIFS('NSE - Other Index Options'!$L:$L,'NSE - Other Index Options'!$D:$D,$A26,'NSE - Other Index Options'!$B:$B,"Monday",'NSE - Other Index Options'!$G:$G,"Weekly*"))</f>
        <v/>
      </c>
      <c r="C26" s="26" t="str">
        <f>IF(SUMIFS('BSE - SENSEX Index Options'!$L:$L,'BSE - SENSEX Index Options'!$D:$D,$A26,'BSE - SENSEX Index Options'!$B:$B,"Monday",'BSE - SENSEX Index Options'!$G:$G,"Weekly*")+SUMIFS('BSE - Other Index Options'!$L:$L,'BSE - Other Index Options'!$D:$D,$A26,'BSE - Other Index Options'!$B:$B,"Monday",'BSE - Other Index Options'!$G:$G,"Weekly*")=0,"",SUMIFS('BSE - SENSEX Index Options'!$L:$L,'BSE - SENSEX Index Options'!$D:$D,$A26,'BSE - SENSEX Index Options'!$B:$B,"Monday",'BSE - SENSEX Index Options'!$G:$G,"Weekly*")+SUMIFS('BSE - Other Index Options'!$L:$L,'BSE - Other Index Options'!$D:$D,$A26,'BSE - Other Index Options'!$B:$B,"Monday",'BSE - Other Index Options'!$G:$G,"Weekly*"))</f>
        <v/>
      </c>
      <c r="D26" s="27" t="str">
        <f t="shared" si="0"/>
        <v/>
      </c>
      <c r="E26" s="27" t="str">
        <f t="shared" si="1"/>
        <v/>
      </c>
    </row>
    <row r="27" spans="1:5" hidden="1" outlineLevel="1">
      <c r="A27" s="24">
        <v>46569</v>
      </c>
      <c r="B27" s="26" t="str">
        <f>IF(SUMIFS('NSE - NIFTY Index Options'!$L:$L,'NSE - NIFTY Index Options'!$D:$D,$A27,'NSE - NIFTY Index Options'!$B:$B,"Monday",'NSE - NIFTY Index Options'!$G:$G,"Weekly*")+SUMIFS('NSE - Other Index Options'!$L:$L,'NSE - Other Index Options'!$D:$D,$A27,'NSE - Other Index Options'!$B:$B,"Monday",'NSE - Other Index Options'!$G:$G,"Weekly*")=0,"",SUMIFS('NSE - NIFTY Index Options'!$L:$L,'NSE - NIFTY Index Options'!$D:$D,$A27,'NSE - NIFTY Index Options'!$B:$B,"Monday",'NSE - NIFTY Index Options'!$G:$G,"Weekly*")+SUMIFS('NSE - Other Index Options'!$L:$L,'NSE - Other Index Options'!$D:$D,$A27,'NSE - Other Index Options'!$B:$B,"Monday",'NSE - Other Index Options'!$G:$G,"Weekly*"))</f>
        <v/>
      </c>
      <c r="C27" s="26" t="str">
        <f>IF(SUMIFS('BSE - SENSEX Index Options'!$L:$L,'BSE - SENSEX Index Options'!$D:$D,$A27,'BSE - SENSEX Index Options'!$B:$B,"Monday",'BSE - SENSEX Index Options'!$G:$G,"Weekly*")+SUMIFS('BSE - Other Index Options'!$L:$L,'BSE - Other Index Options'!$D:$D,$A27,'BSE - Other Index Options'!$B:$B,"Monday",'BSE - Other Index Options'!$G:$G,"Weekly*")=0,"",SUMIFS('BSE - SENSEX Index Options'!$L:$L,'BSE - SENSEX Index Options'!$D:$D,$A27,'BSE - SENSEX Index Options'!$B:$B,"Monday",'BSE - SENSEX Index Options'!$G:$G,"Weekly*")+SUMIFS('BSE - Other Index Options'!$L:$L,'BSE - Other Index Options'!$D:$D,$A27,'BSE - Other Index Options'!$B:$B,"Monday",'BSE - Other Index Options'!$G:$G,"Weekly*"))</f>
        <v/>
      </c>
      <c r="D27" s="27" t="str">
        <f t="shared" si="0"/>
        <v/>
      </c>
      <c r="E27" s="27" t="str">
        <f t="shared" si="1"/>
        <v/>
      </c>
    </row>
    <row r="28" spans="1:5" hidden="1" outlineLevel="1">
      <c r="A28" s="24">
        <v>46600</v>
      </c>
      <c r="B28" s="26" t="str">
        <f>IF(SUMIFS('NSE - NIFTY Index Options'!$L:$L,'NSE - NIFTY Index Options'!$D:$D,$A28,'NSE - NIFTY Index Options'!$B:$B,"Monday",'NSE - NIFTY Index Options'!$G:$G,"Weekly*")+SUMIFS('NSE - Other Index Options'!$L:$L,'NSE - Other Index Options'!$D:$D,$A28,'NSE - Other Index Options'!$B:$B,"Monday",'NSE - Other Index Options'!$G:$G,"Weekly*")=0,"",SUMIFS('NSE - NIFTY Index Options'!$L:$L,'NSE - NIFTY Index Options'!$D:$D,$A28,'NSE - NIFTY Index Options'!$B:$B,"Monday",'NSE - NIFTY Index Options'!$G:$G,"Weekly*")+SUMIFS('NSE - Other Index Options'!$L:$L,'NSE - Other Index Options'!$D:$D,$A28,'NSE - Other Index Options'!$B:$B,"Monday",'NSE - Other Index Options'!$G:$G,"Weekly*"))</f>
        <v/>
      </c>
      <c r="C28" s="26" t="str">
        <f>IF(SUMIFS('BSE - SENSEX Index Options'!$L:$L,'BSE - SENSEX Index Options'!$D:$D,$A28,'BSE - SENSEX Index Options'!$B:$B,"Monday",'BSE - SENSEX Index Options'!$G:$G,"Weekly*")+SUMIFS('BSE - Other Index Options'!$L:$L,'BSE - Other Index Options'!$D:$D,$A28,'BSE - Other Index Options'!$B:$B,"Monday",'BSE - Other Index Options'!$G:$G,"Weekly*")=0,"",SUMIFS('BSE - SENSEX Index Options'!$L:$L,'BSE - SENSEX Index Options'!$D:$D,$A28,'BSE - SENSEX Index Options'!$B:$B,"Monday",'BSE - SENSEX Index Options'!$G:$G,"Weekly*")+SUMIFS('BSE - Other Index Options'!$L:$L,'BSE - Other Index Options'!$D:$D,$A28,'BSE - Other Index Options'!$B:$B,"Monday",'BSE - Other Index Options'!$G:$G,"Weekly*"))</f>
        <v/>
      </c>
      <c r="D28" s="27" t="str">
        <f t="shared" si="0"/>
        <v/>
      </c>
      <c r="E28" s="27" t="str">
        <f t="shared" si="1"/>
        <v/>
      </c>
    </row>
    <row r="29" spans="1:5" hidden="1" outlineLevel="1">
      <c r="A29" s="24">
        <v>46631</v>
      </c>
      <c r="B29" s="26" t="str">
        <f>IF(SUMIFS('NSE - NIFTY Index Options'!$L:$L,'NSE - NIFTY Index Options'!$D:$D,$A29,'NSE - NIFTY Index Options'!$B:$B,"Monday",'NSE - NIFTY Index Options'!$G:$G,"Weekly*")+SUMIFS('NSE - Other Index Options'!$L:$L,'NSE - Other Index Options'!$D:$D,$A29,'NSE - Other Index Options'!$B:$B,"Monday",'NSE - Other Index Options'!$G:$G,"Weekly*")=0,"",SUMIFS('NSE - NIFTY Index Options'!$L:$L,'NSE - NIFTY Index Options'!$D:$D,$A29,'NSE - NIFTY Index Options'!$B:$B,"Monday",'NSE - NIFTY Index Options'!$G:$G,"Weekly*")+SUMIFS('NSE - Other Index Options'!$L:$L,'NSE - Other Index Options'!$D:$D,$A29,'NSE - Other Index Options'!$B:$B,"Monday",'NSE - Other Index Options'!$G:$G,"Weekly*"))</f>
        <v/>
      </c>
      <c r="C29" s="26" t="str">
        <f>IF(SUMIFS('BSE - SENSEX Index Options'!$L:$L,'BSE - SENSEX Index Options'!$D:$D,$A29,'BSE - SENSEX Index Options'!$B:$B,"Monday",'BSE - SENSEX Index Options'!$G:$G,"Weekly*")+SUMIFS('BSE - Other Index Options'!$L:$L,'BSE - Other Index Options'!$D:$D,$A29,'BSE - Other Index Options'!$B:$B,"Monday",'BSE - Other Index Options'!$G:$G,"Weekly*")=0,"",SUMIFS('BSE - SENSEX Index Options'!$L:$L,'BSE - SENSEX Index Options'!$D:$D,$A29,'BSE - SENSEX Index Options'!$B:$B,"Monday",'BSE - SENSEX Index Options'!$G:$G,"Weekly*")+SUMIFS('BSE - Other Index Options'!$L:$L,'BSE - Other Index Options'!$D:$D,$A29,'BSE - Other Index Options'!$B:$B,"Monday",'BSE - Other Index Options'!$G:$G,"Weekly*"))</f>
        <v/>
      </c>
      <c r="D29" s="27" t="str">
        <f t="shared" si="0"/>
        <v/>
      </c>
      <c r="E29" s="27" t="str">
        <f t="shared" si="1"/>
        <v/>
      </c>
    </row>
    <row r="30" spans="1:5" hidden="1" outlineLevel="1">
      <c r="A30" s="24">
        <v>46661</v>
      </c>
      <c r="B30" s="26" t="str">
        <f>IF(SUMIFS('NSE - NIFTY Index Options'!$L:$L,'NSE - NIFTY Index Options'!$D:$D,$A30,'NSE - NIFTY Index Options'!$B:$B,"Monday",'NSE - NIFTY Index Options'!$G:$G,"Weekly*")+SUMIFS('NSE - Other Index Options'!$L:$L,'NSE - Other Index Options'!$D:$D,$A30,'NSE - Other Index Options'!$B:$B,"Monday",'NSE - Other Index Options'!$G:$G,"Weekly*")=0,"",SUMIFS('NSE - NIFTY Index Options'!$L:$L,'NSE - NIFTY Index Options'!$D:$D,$A30,'NSE - NIFTY Index Options'!$B:$B,"Monday",'NSE - NIFTY Index Options'!$G:$G,"Weekly*")+SUMIFS('NSE - Other Index Options'!$L:$L,'NSE - Other Index Options'!$D:$D,$A30,'NSE - Other Index Options'!$B:$B,"Monday",'NSE - Other Index Options'!$G:$G,"Weekly*"))</f>
        <v/>
      </c>
      <c r="C30" s="26" t="str">
        <f>IF(SUMIFS('BSE - SENSEX Index Options'!$L:$L,'BSE - SENSEX Index Options'!$D:$D,$A30,'BSE - SENSEX Index Options'!$B:$B,"Monday",'BSE - SENSEX Index Options'!$G:$G,"Weekly*")+SUMIFS('BSE - Other Index Options'!$L:$L,'BSE - Other Index Options'!$D:$D,$A30,'BSE - Other Index Options'!$B:$B,"Monday",'BSE - Other Index Options'!$G:$G,"Weekly*")=0,"",SUMIFS('BSE - SENSEX Index Options'!$L:$L,'BSE - SENSEX Index Options'!$D:$D,$A30,'BSE - SENSEX Index Options'!$B:$B,"Monday",'BSE - SENSEX Index Options'!$G:$G,"Weekly*")+SUMIFS('BSE - Other Index Options'!$L:$L,'BSE - Other Index Options'!$D:$D,$A30,'BSE - Other Index Options'!$B:$B,"Monday",'BSE - Other Index Options'!$G:$G,"Weekly*"))</f>
        <v/>
      </c>
      <c r="D30" s="27" t="str">
        <f t="shared" si="0"/>
        <v/>
      </c>
      <c r="E30" s="27" t="str">
        <f t="shared" si="1"/>
        <v/>
      </c>
    </row>
    <row r="31" spans="1:5" hidden="1" outlineLevel="1">
      <c r="A31" s="24">
        <v>46692</v>
      </c>
      <c r="B31" s="26" t="str">
        <f>IF(SUMIFS('NSE - NIFTY Index Options'!$L:$L,'NSE - NIFTY Index Options'!$D:$D,$A31,'NSE - NIFTY Index Options'!$B:$B,"Monday",'NSE - NIFTY Index Options'!$G:$G,"Weekly*")+SUMIFS('NSE - Other Index Options'!$L:$L,'NSE - Other Index Options'!$D:$D,$A31,'NSE - Other Index Options'!$B:$B,"Monday",'NSE - Other Index Options'!$G:$G,"Weekly*")=0,"",SUMIFS('NSE - NIFTY Index Options'!$L:$L,'NSE - NIFTY Index Options'!$D:$D,$A31,'NSE - NIFTY Index Options'!$B:$B,"Monday",'NSE - NIFTY Index Options'!$G:$G,"Weekly*")+SUMIFS('NSE - Other Index Options'!$L:$L,'NSE - Other Index Options'!$D:$D,$A31,'NSE - Other Index Options'!$B:$B,"Monday",'NSE - Other Index Options'!$G:$G,"Weekly*"))</f>
        <v/>
      </c>
      <c r="C31" s="26" t="str">
        <f>IF(SUMIFS('BSE - SENSEX Index Options'!$L:$L,'BSE - SENSEX Index Options'!$D:$D,$A31,'BSE - SENSEX Index Options'!$B:$B,"Monday",'BSE - SENSEX Index Options'!$G:$G,"Weekly*")+SUMIFS('BSE - Other Index Options'!$L:$L,'BSE - Other Index Options'!$D:$D,$A31,'BSE - Other Index Options'!$B:$B,"Monday",'BSE - Other Index Options'!$G:$G,"Weekly*")=0,"",SUMIFS('BSE - SENSEX Index Options'!$L:$L,'BSE - SENSEX Index Options'!$D:$D,$A31,'BSE - SENSEX Index Options'!$B:$B,"Monday",'BSE - SENSEX Index Options'!$G:$G,"Weekly*")+SUMIFS('BSE - Other Index Options'!$L:$L,'BSE - Other Index Options'!$D:$D,$A31,'BSE - Other Index Options'!$B:$B,"Monday",'BSE - Other Index Options'!$G:$G,"Weekly*"))</f>
        <v/>
      </c>
      <c r="D31" s="27" t="str">
        <f t="shared" si="0"/>
        <v/>
      </c>
      <c r="E31" s="27" t="str">
        <f t="shared" si="1"/>
        <v/>
      </c>
    </row>
    <row r="32" spans="1:5" hidden="1" outlineLevel="1">
      <c r="A32" s="24">
        <v>46722</v>
      </c>
      <c r="B32" s="26" t="str">
        <f>IF(SUMIFS('NSE - NIFTY Index Options'!$L:$L,'NSE - NIFTY Index Options'!$D:$D,$A32,'NSE - NIFTY Index Options'!$B:$B,"Monday",'NSE - NIFTY Index Options'!$G:$G,"Weekly*")+SUMIFS('NSE - Other Index Options'!$L:$L,'NSE - Other Index Options'!$D:$D,$A32,'NSE - Other Index Options'!$B:$B,"Monday",'NSE - Other Index Options'!$G:$G,"Weekly*")=0,"",SUMIFS('NSE - NIFTY Index Options'!$L:$L,'NSE - NIFTY Index Options'!$D:$D,$A32,'NSE - NIFTY Index Options'!$B:$B,"Monday",'NSE - NIFTY Index Options'!$G:$G,"Weekly*")+SUMIFS('NSE - Other Index Options'!$L:$L,'NSE - Other Index Options'!$D:$D,$A32,'NSE - Other Index Options'!$B:$B,"Monday",'NSE - Other Index Options'!$G:$G,"Weekly*"))</f>
        <v/>
      </c>
      <c r="C32" s="26" t="str">
        <f>IF(SUMIFS('BSE - SENSEX Index Options'!$L:$L,'BSE - SENSEX Index Options'!$D:$D,$A32,'BSE - SENSEX Index Options'!$B:$B,"Monday",'BSE - SENSEX Index Options'!$G:$G,"Weekly*")+SUMIFS('BSE - Other Index Options'!$L:$L,'BSE - Other Index Options'!$D:$D,$A32,'BSE - Other Index Options'!$B:$B,"Monday",'BSE - Other Index Options'!$G:$G,"Weekly*")=0,"",SUMIFS('BSE - SENSEX Index Options'!$L:$L,'BSE - SENSEX Index Options'!$D:$D,$A32,'BSE - SENSEX Index Options'!$B:$B,"Monday",'BSE - SENSEX Index Options'!$G:$G,"Weekly*")+SUMIFS('BSE - Other Index Options'!$L:$L,'BSE - Other Index Options'!$D:$D,$A32,'BSE - Other Index Options'!$B:$B,"Monday",'BSE - Other Index Options'!$G:$G,"Weekly*"))</f>
        <v/>
      </c>
      <c r="D32" s="27" t="str">
        <f t="shared" si="0"/>
        <v/>
      </c>
      <c r="E32" s="27" t="str">
        <f t="shared" si="1"/>
        <v/>
      </c>
    </row>
    <row r="33" spans="1:5" collapsed="1">
      <c r="A33" s="28" t="s">
        <v>9</v>
      </c>
      <c r="B33" s="30">
        <f>IF(SUM(B5:B32)=0,"",SUM(B5:B32))</f>
        <v>1944050.67</v>
      </c>
      <c r="C33" s="30">
        <f>IF(SUM(C5:C32)=0,"",SUM(C5:C32))</f>
        <v>411509.99999999994</v>
      </c>
      <c r="D33" s="31">
        <f t="shared" si="0"/>
        <v>0.82530273779787633</v>
      </c>
      <c r="E33" s="31">
        <f t="shared" si="1"/>
        <v>0.17469726220212362</v>
      </c>
    </row>
    <row r="35" spans="1:5">
      <c r="A35" s="28" t="s">
        <v>178</v>
      </c>
    </row>
    <row r="36" spans="1:5">
      <c r="A36" s="28" t="s">
        <v>169</v>
      </c>
      <c r="B36" s="28" t="s">
        <v>1</v>
      </c>
      <c r="C36" s="28" t="s">
        <v>148</v>
      </c>
      <c r="D36" s="28" t="s">
        <v>149</v>
      </c>
      <c r="E36" s="28" t="s">
        <v>150</v>
      </c>
    </row>
    <row r="37" spans="1:5">
      <c r="A37" s="24">
        <v>45901</v>
      </c>
      <c r="B37" s="26">
        <f>IF(SUMIFS('NSE - NIFTY Index Options'!$L:$L,'NSE - NIFTY Index Options'!$D:$D,$A37,'NSE - NIFTY Index Options'!$B:$B,"Tuesday",'NSE - NIFTY Index Options'!$G:$G,"Weekly*")+SUMIFS('NSE - Other Index Options'!$L:$L,'NSE - Other Index Options'!$D:$D,$A37,'NSE - Other Index Options'!$B:$B,"Tuesday",'NSE - Other Index Options'!$G:$G,"Weekly*")=0,"",SUMIFS('NSE - NIFTY Index Options'!$L:$L,'NSE - NIFTY Index Options'!$D:$D,$A37,'NSE - NIFTY Index Options'!$B:$B,"Tuesday",'NSE - NIFTY Index Options'!$G:$G,"Weekly*")+SUMIFS('NSE - Other Index Options'!$L:$L,'NSE - Other Index Options'!$D:$D,$A37,'NSE - Other Index Options'!$B:$B,"Tuesday",'NSE - Other Index Options'!$G:$G,"Weekly*"))</f>
        <v>205632.81999999995</v>
      </c>
      <c r="C37" s="26">
        <f>IF(SUMIFS('BSE - SENSEX Index Options'!$L:$L,'BSE - SENSEX Index Options'!$D:$D,$A37,'BSE - SENSEX Index Options'!$B:$B,"Tuesday",'BSE - SENSEX Index Options'!$G:$G,"Weekly*")+SUMIFS('BSE - Other Index Options'!$L:$L,'BSE - Other Index Options'!$D:$D,$A37,'BSE - Other Index Options'!$B:$B,"Tuesday",'BSE - Other Index Options'!$G:$G,"Weekly*")=0,"",SUMIFS('BSE - SENSEX Index Options'!$L:$L,'BSE - SENSEX Index Options'!$D:$D,$A37,'BSE - SENSEX Index Options'!$B:$B,"Tuesday",'BSE - SENSEX Index Options'!$G:$G,"Weekly*")+SUMIFS('BSE - Other Index Options'!$L:$L,'BSE - Other Index Options'!$D:$D,$A37,'BSE - Other Index Options'!$B:$B,"Tuesday",'BSE - Other Index Options'!$G:$G,"Weekly*"))</f>
        <v>32051.4</v>
      </c>
      <c r="D37" s="27">
        <f t="shared" ref="D37:D65" si="2">IF(SUM(B37:C37)=0,"",SUM(B37)/SUM(B37:C37))</f>
        <v>0.86515133398422495</v>
      </c>
      <c r="E37" s="27">
        <f t="shared" ref="E37:E65" si="3">IF(SUM(B37:C37)=0,"",SUM(C37)/SUM(B37:C37))</f>
        <v>0.13484866601577508</v>
      </c>
    </row>
    <row r="38" spans="1:5">
      <c r="A38" s="24">
        <v>45931</v>
      </c>
      <c r="B38" s="26">
        <f>IF(SUMIFS('NSE - NIFTY Index Options'!$L:$L,'NSE - NIFTY Index Options'!$D:$D,$A38,'NSE - NIFTY Index Options'!$B:$B,"Tuesday",'NSE - NIFTY Index Options'!$G:$G,"Weekly*")+SUMIFS('NSE - Other Index Options'!$L:$L,'NSE - Other Index Options'!$D:$D,$A38,'NSE - Other Index Options'!$B:$B,"Tuesday",'NSE - Other Index Options'!$G:$G,"Weekly*")=0,"",SUMIFS('NSE - NIFTY Index Options'!$L:$L,'NSE - NIFTY Index Options'!$D:$D,$A38,'NSE - NIFTY Index Options'!$B:$B,"Tuesday",'NSE - NIFTY Index Options'!$G:$G,"Weekly*")+SUMIFS('NSE - Other Index Options'!$L:$L,'NSE - Other Index Options'!$D:$D,$A38,'NSE - Other Index Options'!$B:$B,"Tuesday",'NSE - Other Index Options'!$G:$G,"Weekly*"))</f>
        <v>132842.97999999998</v>
      </c>
      <c r="C38" s="26">
        <f>IF(SUMIFS('BSE - SENSEX Index Options'!$L:$L,'BSE - SENSEX Index Options'!$D:$D,$A38,'BSE - SENSEX Index Options'!$B:$B,"Tuesday",'BSE - SENSEX Index Options'!$G:$G,"Weekly*")+SUMIFS('BSE - Other Index Options'!$L:$L,'BSE - Other Index Options'!$D:$D,$A38,'BSE - Other Index Options'!$B:$B,"Tuesday",'BSE - Other Index Options'!$G:$G,"Weekly*")=0,"",SUMIFS('BSE - SENSEX Index Options'!$L:$L,'BSE - SENSEX Index Options'!$D:$D,$A38,'BSE - SENSEX Index Options'!$B:$B,"Tuesday",'BSE - SENSEX Index Options'!$G:$G,"Weekly*")+SUMIFS('BSE - Other Index Options'!$L:$L,'BSE - Other Index Options'!$D:$D,$A38,'BSE - Other Index Options'!$B:$B,"Tuesday",'BSE - Other Index Options'!$G:$G,"Weekly*"))</f>
        <v>25954.120000000003</v>
      </c>
      <c r="D38" s="27">
        <f t="shared" si="2"/>
        <v>0.83655797240629715</v>
      </c>
      <c r="E38" s="27">
        <f t="shared" si="3"/>
        <v>0.16344202759370294</v>
      </c>
    </row>
    <row r="39" spans="1:5">
      <c r="A39" s="24">
        <v>45962</v>
      </c>
      <c r="B39" s="26">
        <f>IF(SUMIFS('NSE - NIFTY Index Options'!$L:$L,'NSE - NIFTY Index Options'!$D:$D,$A39,'NSE - NIFTY Index Options'!$B:$B,"Tuesday",'NSE - NIFTY Index Options'!$G:$G,"Weekly*")+SUMIFS('NSE - Other Index Options'!$L:$L,'NSE - Other Index Options'!$D:$D,$A39,'NSE - Other Index Options'!$B:$B,"Tuesday",'NSE - Other Index Options'!$G:$G,"Weekly*")=0,"",SUMIFS('NSE - NIFTY Index Options'!$L:$L,'NSE - NIFTY Index Options'!$D:$D,$A39,'NSE - NIFTY Index Options'!$B:$B,"Tuesday",'NSE - NIFTY Index Options'!$G:$G,"Weekly*")+SUMIFS('NSE - Other Index Options'!$L:$L,'NSE - Other Index Options'!$D:$D,$A39,'NSE - Other Index Options'!$B:$B,"Tuesday",'NSE - Other Index Options'!$G:$G,"Weekly*"))</f>
        <v>170555.78999999998</v>
      </c>
      <c r="C39" s="26">
        <f>IF(SUMIFS('BSE - SENSEX Index Options'!$L:$L,'BSE - SENSEX Index Options'!$D:$D,$A39,'BSE - SENSEX Index Options'!$B:$B,"Tuesday",'BSE - SENSEX Index Options'!$G:$G,"Weekly*")+SUMIFS('BSE - Other Index Options'!$L:$L,'BSE - Other Index Options'!$D:$D,$A39,'BSE - Other Index Options'!$B:$B,"Tuesday",'BSE - Other Index Options'!$G:$G,"Weekly*")=0,"",SUMIFS('BSE - SENSEX Index Options'!$L:$L,'BSE - SENSEX Index Options'!$D:$D,$A39,'BSE - SENSEX Index Options'!$B:$B,"Tuesday",'BSE - SENSEX Index Options'!$G:$G,"Weekly*")+SUMIFS('BSE - Other Index Options'!$L:$L,'BSE - Other Index Options'!$D:$D,$A39,'BSE - Other Index Options'!$B:$B,"Tuesday",'BSE - Other Index Options'!$G:$G,"Weekly*"))</f>
        <v>28817.540000000005</v>
      </c>
      <c r="D39" s="27">
        <f t="shared" si="2"/>
        <v>0.85545940372265428</v>
      </c>
      <c r="E39" s="27">
        <f t="shared" si="3"/>
        <v>0.14454059627734564</v>
      </c>
    </row>
    <row r="40" spans="1:5">
      <c r="A40" s="24">
        <v>45992</v>
      </c>
      <c r="B40" s="26">
        <f>IF(SUMIFS('NSE - NIFTY Index Options'!$L:$L,'NSE - NIFTY Index Options'!$D:$D,$A40,'NSE - NIFTY Index Options'!$B:$B,"Tuesday",'NSE - NIFTY Index Options'!$G:$G,"Weekly*")+SUMIFS('NSE - Other Index Options'!$L:$L,'NSE - Other Index Options'!$D:$D,$A40,'NSE - Other Index Options'!$B:$B,"Tuesday",'NSE - Other Index Options'!$G:$G,"Weekly*")=0,"",SUMIFS('NSE - NIFTY Index Options'!$L:$L,'NSE - NIFTY Index Options'!$D:$D,$A40,'NSE - NIFTY Index Options'!$B:$B,"Tuesday",'NSE - NIFTY Index Options'!$G:$G,"Weekly*")+SUMIFS('NSE - Other Index Options'!$L:$L,'NSE - Other Index Options'!$D:$D,$A40,'NSE - Other Index Options'!$B:$B,"Tuesday",'NSE - Other Index Options'!$G:$G,"Weekly*"))</f>
        <v>214243.95</v>
      </c>
      <c r="C40" s="26">
        <f>IF(SUMIFS('BSE - SENSEX Index Options'!$L:$L,'BSE - SENSEX Index Options'!$D:$D,$A40,'BSE - SENSEX Index Options'!$B:$B,"Tuesday",'BSE - SENSEX Index Options'!$G:$G,"Weekly*")+SUMIFS('BSE - Other Index Options'!$L:$L,'BSE - Other Index Options'!$D:$D,$A40,'BSE - Other Index Options'!$B:$B,"Tuesday",'BSE - Other Index Options'!$G:$G,"Weekly*")=0,"",SUMIFS('BSE - SENSEX Index Options'!$L:$L,'BSE - SENSEX Index Options'!$D:$D,$A40,'BSE - SENSEX Index Options'!$B:$B,"Tuesday",'BSE - SENSEX Index Options'!$G:$G,"Weekly*")+SUMIFS('BSE - Other Index Options'!$L:$L,'BSE - Other Index Options'!$D:$D,$A40,'BSE - Other Index Options'!$B:$B,"Tuesday",'BSE - Other Index Options'!$G:$G,"Weekly*"))</f>
        <v>44694.06</v>
      </c>
      <c r="D40" s="27">
        <f t="shared" si="2"/>
        <v>0.82739474980903727</v>
      </c>
      <c r="E40" s="27">
        <f t="shared" si="3"/>
        <v>0.17260525019096268</v>
      </c>
    </row>
    <row r="41" spans="1:5">
      <c r="A41" s="24">
        <v>46023</v>
      </c>
      <c r="B41" s="26">
        <f>IF(SUMIFS('NSE - NIFTY Index Options'!$L:$L,'NSE - NIFTY Index Options'!$D:$D,$A41,'NSE - NIFTY Index Options'!$B:$B,"Tuesday",'NSE - NIFTY Index Options'!$G:$G,"Weekly*")+SUMIFS('NSE - Other Index Options'!$L:$L,'NSE - Other Index Options'!$D:$D,$A41,'NSE - Other Index Options'!$B:$B,"Tuesday",'NSE - Other Index Options'!$G:$G,"Weekly*")=0,"",SUMIFS('NSE - NIFTY Index Options'!$L:$L,'NSE - NIFTY Index Options'!$D:$D,$A41,'NSE - NIFTY Index Options'!$B:$B,"Tuesday",'NSE - NIFTY Index Options'!$G:$G,"Weekly*")+SUMIFS('NSE - Other Index Options'!$L:$L,'NSE - Other Index Options'!$D:$D,$A41,'NSE - Other Index Options'!$B:$B,"Tuesday",'NSE - Other Index Options'!$G:$G,"Weekly*"))</f>
        <v>198350.98</v>
      </c>
      <c r="C41" s="26">
        <f>IF(SUMIFS('BSE - SENSEX Index Options'!$L:$L,'BSE - SENSEX Index Options'!$D:$D,$A41,'BSE - SENSEX Index Options'!$B:$B,"Tuesday",'BSE - SENSEX Index Options'!$G:$G,"Weekly*")+SUMIFS('BSE - Other Index Options'!$L:$L,'BSE - Other Index Options'!$D:$D,$A41,'BSE - Other Index Options'!$B:$B,"Tuesday",'BSE - Other Index Options'!$G:$G,"Weekly*")=0,"",SUMIFS('BSE - SENSEX Index Options'!$L:$L,'BSE - SENSEX Index Options'!$D:$D,$A41,'BSE - SENSEX Index Options'!$B:$B,"Tuesday",'BSE - SENSEX Index Options'!$G:$G,"Weekly*")+SUMIFS('BSE - Other Index Options'!$L:$L,'BSE - Other Index Options'!$D:$D,$A41,'BSE - Other Index Options'!$B:$B,"Tuesday",'BSE - Other Index Options'!$G:$G,"Weekly*"))</f>
        <v>40246.240000000005</v>
      </c>
      <c r="D41" s="27">
        <f t="shared" si="2"/>
        <v>0.83132142109618878</v>
      </c>
      <c r="E41" s="27">
        <f t="shared" si="3"/>
        <v>0.16867857890381119</v>
      </c>
    </row>
    <row r="42" spans="1:5">
      <c r="A42" s="24">
        <v>46054</v>
      </c>
      <c r="B42" s="26">
        <f>IF(SUMIFS('NSE - NIFTY Index Options'!$L:$L,'NSE - NIFTY Index Options'!$D:$D,$A42,'NSE - NIFTY Index Options'!$B:$B,"Tuesday",'NSE - NIFTY Index Options'!$G:$G,"Weekly*")+SUMIFS('NSE - Other Index Options'!$L:$L,'NSE - Other Index Options'!$D:$D,$A42,'NSE - Other Index Options'!$B:$B,"Tuesday",'NSE - Other Index Options'!$G:$G,"Weekly*")=0,"",SUMIFS('NSE - NIFTY Index Options'!$L:$L,'NSE - NIFTY Index Options'!$D:$D,$A42,'NSE - NIFTY Index Options'!$B:$B,"Tuesday",'NSE - NIFTY Index Options'!$G:$G,"Weekly*")+SUMIFS('NSE - Other Index Options'!$L:$L,'NSE - Other Index Options'!$D:$D,$A42,'NSE - Other Index Options'!$B:$B,"Tuesday",'NSE - Other Index Options'!$G:$G,"Weekly*"))</f>
        <v>228739.87</v>
      </c>
      <c r="C42" s="26">
        <f>IF(SUMIFS('BSE - SENSEX Index Options'!$L:$L,'BSE - SENSEX Index Options'!$D:$D,$A42,'BSE - SENSEX Index Options'!$B:$B,"Tuesday",'BSE - SENSEX Index Options'!$G:$G,"Weekly*")+SUMIFS('BSE - Other Index Options'!$L:$L,'BSE - Other Index Options'!$D:$D,$A42,'BSE - Other Index Options'!$B:$B,"Tuesday",'BSE - Other Index Options'!$G:$G,"Weekly*")=0,"",SUMIFS('BSE - SENSEX Index Options'!$L:$L,'BSE - SENSEX Index Options'!$D:$D,$A42,'BSE - SENSEX Index Options'!$B:$B,"Tuesday",'BSE - SENSEX Index Options'!$G:$G,"Weekly*")+SUMIFS('BSE - Other Index Options'!$L:$L,'BSE - Other Index Options'!$D:$D,$A42,'BSE - Other Index Options'!$B:$B,"Tuesday",'BSE - Other Index Options'!$G:$G,"Weekly*"))</f>
        <v>39704.839999999997</v>
      </c>
      <c r="D42" s="27">
        <f t="shared" si="2"/>
        <v>0.85209304366623584</v>
      </c>
      <c r="E42" s="27">
        <f t="shared" si="3"/>
        <v>0.14790695633376422</v>
      </c>
    </row>
    <row r="43" spans="1:5">
      <c r="A43" s="24">
        <v>46082</v>
      </c>
      <c r="B43" s="26">
        <f>IF(SUMIFS('NSE - NIFTY Index Options'!$L:$L,'NSE - NIFTY Index Options'!$D:$D,$A43,'NSE - NIFTY Index Options'!$B:$B,"Tuesday",'NSE - NIFTY Index Options'!$G:$G,"Weekly*")+SUMIFS('NSE - Other Index Options'!$L:$L,'NSE - Other Index Options'!$D:$D,$A43,'NSE - Other Index Options'!$B:$B,"Tuesday",'NSE - Other Index Options'!$G:$G,"Weekly*")=0,"",SUMIFS('NSE - NIFTY Index Options'!$L:$L,'NSE - NIFTY Index Options'!$D:$D,$A43,'NSE - NIFTY Index Options'!$B:$B,"Tuesday",'NSE - NIFTY Index Options'!$G:$G,"Weekly*")+SUMIFS('NSE - Other Index Options'!$L:$L,'NSE - Other Index Options'!$D:$D,$A43,'NSE - Other Index Options'!$B:$B,"Tuesday",'NSE - Other Index Options'!$G:$G,"Weekly*"))</f>
        <v>286018.46000000008</v>
      </c>
      <c r="C43" s="26">
        <f>IF(SUMIFS('BSE - SENSEX Index Options'!$L:$L,'BSE - SENSEX Index Options'!$D:$D,$A43,'BSE - SENSEX Index Options'!$B:$B,"Tuesday",'BSE - SENSEX Index Options'!$G:$G,"Weekly*")+SUMIFS('BSE - Other Index Options'!$L:$L,'BSE - Other Index Options'!$D:$D,$A43,'BSE - Other Index Options'!$B:$B,"Tuesday",'BSE - Other Index Options'!$G:$G,"Weekly*")=0,"",SUMIFS('BSE - SENSEX Index Options'!$L:$L,'BSE - SENSEX Index Options'!$D:$D,$A43,'BSE - SENSEX Index Options'!$B:$B,"Tuesday",'BSE - SENSEX Index Options'!$G:$G,"Weekly*")+SUMIFS('BSE - Other Index Options'!$L:$L,'BSE - Other Index Options'!$D:$D,$A43,'BSE - Other Index Options'!$B:$B,"Tuesday",'BSE - Other Index Options'!$G:$G,"Weekly*"))</f>
        <v>28320.76</v>
      </c>
      <c r="D43" s="27">
        <f t="shared" si="2"/>
        <v>0.90990382937261216</v>
      </c>
      <c r="E43" s="27">
        <f t="shared" si="3"/>
        <v>9.0096170627387798E-2</v>
      </c>
    </row>
    <row r="44" spans="1:5">
      <c r="A44" s="24">
        <v>46113</v>
      </c>
      <c r="B44" s="26">
        <f>IF(SUMIFS('NSE - NIFTY Index Options'!$L:$L,'NSE - NIFTY Index Options'!$D:$D,$A44,'NSE - NIFTY Index Options'!$B:$B,"Tuesday",'NSE - NIFTY Index Options'!$G:$G,"Weekly*")+SUMIFS('NSE - Other Index Options'!$L:$L,'NSE - Other Index Options'!$D:$D,$A44,'NSE - Other Index Options'!$B:$B,"Tuesday",'NSE - Other Index Options'!$G:$G,"Weekly*")=0,"",SUMIFS('NSE - NIFTY Index Options'!$L:$L,'NSE - NIFTY Index Options'!$D:$D,$A44,'NSE - NIFTY Index Options'!$B:$B,"Tuesday",'NSE - NIFTY Index Options'!$G:$G,"Weekly*")+SUMIFS('NSE - Other Index Options'!$L:$L,'NSE - Other Index Options'!$D:$D,$A44,'NSE - Other Index Options'!$B:$B,"Tuesday",'NSE - Other Index Options'!$G:$G,"Weekly*"))</f>
        <v>153527.73999999996</v>
      </c>
      <c r="C44" s="26">
        <f>IF(SUMIFS('BSE - SENSEX Index Options'!$L:$L,'BSE - SENSEX Index Options'!$D:$D,$A44,'BSE - SENSEX Index Options'!$B:$B,"Tuesday",'BSE - SENSEX Index Options'!$G:$G,"Weekly*")+SUMIFS('BSE - Other Index Options'!$L:$L,'BSE - Other Index Options'!$D:$D,$A44,'BSE - Other Index Options'!$B:$B,"Tuesday",'BSE - Other Index Options'!$G:$G,"Weekly*")=0,"",SUMIFS('BSE - SENSEX Index Options'!$L:$L,'BSE - SENSEX Index Options'!$D:$D,$A44,'BSE - SENSEX Index Options'!$B:$B,"Tuesday",'BSE - SENSEX Index Options'!$G:$G,"Weekly*")+SUMIFS('BSE - Other Index Options'!$L:$L,'BSE - Other Index Options'!$D:$D,$A44,'BSE - Other Index Options'!$B:$B,"Tuesday",'BSE - Other Index Options'!$G:$G,"Weekly*"))</f>
        <v>23131.02</v>
      </c>
      <c r="D44" s="27">
        <f t="shared" si="2"/>
        <v>0.86906383810233923</v>
      </c>
      <c r="E44" s="27">
        <f t="shared" si="3"/>
        <v>0.13093616189766083</v>
      </c>
    </row>
    <row r="45" spans="1:5">
      <c r="A45" s="24">
        <v>46143</v>
      </c>
      <c r="B45" s="26">
        <f>IF(SUMIFS('NSE - NIFTY Index Options'!$L:$L,'NSE - NIFTY Index Options'!$D:$D,$A45,'NSE - NIFTY Index Options'!$B:$B,"Tuesday",'NSE - NIFTY Index Options'!$G:$G,"Weekly*")+SUMIFS('NSE - Other Index Options'!$L:$L,'NSE - Other Index Options'!$D:$D,$A45,'NSE - Other Index Options'!$B:$B,"Tuesday",'NSE - Other Index Options'!$G:$G,"Weekly*")=0,"",SUMIFS('NSE - NIFTY Index Options'!$L:$L,'NSE - NIFTY Index Options'!$D:$D,$A45,'NSE - NIFTY Index Options'!$B:$B,"Tuesday",'NSE - NIFTY Index Options'!$G:$G,"Weekly*")+SUMIFS('NSE - Other Index Options'!$L:$L,'NSE - Other Index Options'!$D:$D,$A45,'NSE - Other Index Options'!$B:$B,"Tuesday",'NSE - Other Index Options'!$G:$G,"Weekly*"))</f>
        <v>223882.85000000006</v>
      </c>
      <c r="C45" s="26">
        <f>IF(SUMIFS('BSE - SENSEX Index Options'!$L:$L,'BSE - SENSEX Index Options'!$D:$D,$A45,'BSE - SENSEX Index Options'!$B:$B,"Tuesday",'BSE - SENSEX Index Options'!$G:$G,"Weekly*")+SUMIFS('BSE - Other Index Options'!$L:$L,'BSE - Other Index Options'!$D:$D,$A45,'BSE - Other Index Options'!$B:$B,"Tuesday",'BSE - Other Index Options'!$G:$G,"Weekly*")=0,"",SUMIFS('BSE - SENSEX Index Options'!$L:$L,'BSE - SENSEX Index Options'!$D:$D,$A45,'BSE - SENSEX Index Options'!$B:$B,"Tuesday",'BSE - SENSEX Index Options'!$G:$G,"Weekly*")+SUMIFS('BSE - Other Index Options'!$L:$L,'BSE - Other Index Options'!$D:$D,$A45,'BSE - Other Index Options'!$B:$B,"Tuesday",'BSE - Other Index Options'!$G:$G,"Weekly*"))</f>
        <v>35652.450000000004</v>
      </c>
      <c r="D45" s="27">
        <f t="shared" si="2"/>
        <v>0.86262966925886386</v>
      </c>
      <c r="E45" s="27">
        <f t="shared" si="3"/>
        <v>0.13737033074113617</v>
      </c>
    </row>
    <row r="46" spans="1:5">
      <c r="A46" s="24">
        <v>46174</v>
      </c>
      <c r="B46" s="26">
        <f>IF(SUMIFS('NSE - NIFTY Index Options'!$L:$L,'NSE - NIFTY Index Options'!$D:$D,$A46,'NSE - NIFTY Index Options'!$B:$B,"Tuesday",'NSE - NIFTY Index Options'!$G:$G,"Weekly*")+SUMIFS('NSE - Other Index Options'!$L:$L,'NSE - Other Index Options'!$D:$D,$A46,'NSE - Other Index Options'!$B:$B,"Tuesday",'NSE - Other Index Options'!$G:$G,"Weekly*")=0,"",SUMIFS('NSE - NIFTY Index Options'!$L:$L,'NSE - NIFTY Index Options'!$D:$D,$A46,'NSE - NIFTY Index Options'!$B:$B,"Tuesday",'NSE - NIFTY Index Options'!$G:$G,"Weekly*")+SUMIFS('NSE - Other Index Options'!$L:$L,'NSE - Other Index Options'!$D:$D,$A46,'NSE - Other Index Options'!$B:$B,"Tuesday",'NSE - Other Index Options'!$G:$G,"Weekly*"))</f>
        <v>274962.47000000003</v>
      </c>
      <c r="C46" s="26">
        <f>IF(SUMIFS('BSE - SENSEX Index Options'!$L:$L,'BSE - SENSEX Index Options'!$D:$D,$A46,'BSE - SENSEX Index Options'!$B:$B,"Tuesday",'BSE - SENSEX Index Options'!$G:$G,"Weekly*")+SUMIFS('BSE - Other Index Options'!$L:$L,'BSE - Other Index Options'!$D:$D,$A46,'BSE - Other Index Options'!$B:$B,"Tuesday",'BSE - Other Index Options'!$G:$G,"Weekly*")=0,"",SUMIFS('BSE - SENSEX Index Options'!$L:$L,'BSE - SENSEX Index Options'!$D:$D,$A46,'BSE - SENSEX Index Options'!$B:$B,"Tuesday",'BSE - SENSEX Index Options'!$G:$G,"Weekly*")+SUMIFS('BSE - Other Index Options'!$L:$L,'BSE - Other Index Options'!$D:$D,$A46,'BSE - Other Index Options'!$B:$B,"Tuesday",'BSE - Other Index Options'!$G:$G,"Weekly*"))</f>
        <v>44502.700000000004</v>
      </c>
      <c r="D46" s="27">
        <f t="shared" si="2"/>
        <v>0.86069623802807671</v>
      </c>
      <c r="E46" s="27">
        <f t="shared" si="3"/>
        <v>0.13930376197192326</v>
      </c>
    </row>
    <row r="47" spans="1:5">
      <c r="A47" s="24">
        <v>46204</v>
      </c>
      <c r="B47" s="26">
        <f>IF(SUMIFS('NSE - NIFTY Index Options'!$L:$L,'NSE - NIFTY Index Options'!$D:$D,$A47,'NSE - NIFTY Index Options'!$B:$B,"Tuesday",'NSE - NIFTY Index Options'!$G:$G,"Weekly*")+SUMIFS('NSE - Other Index Options'!$L:$L,'NSE - Other Index Options'!$D:$D,$A47,'NSE - Other Index Options'!$B:$B,"Tuesday",'NSE - Other Index Options'!$G:$G,"Weekly*")=0,"",SUMIFS('NSE - NIFTY Index Options'!$L:$L,'NSE - NIFTY Index Options'!$D:$D,$A47,'NSE - NIFTY Index Options'!$B:$B,"Tuesday",'NSE - NIFTY Index Options'!$G:$G,"Weekly*")+SUMIFS('NSE - Other Index Options'!$L:$L,'NSE - Other Index Options'!$D:$D,$A47,'NSE - Other Index Options'!$B:$B,"Tuesday",'NSE - Other Index Options'!$G:$G,"Weekly*"))</f>
        <v>55845.19</v>
      </c>
      <c r="C47" s="26">
        <f>IF(SUMIFS('BSE - SENSEX Index Options'!$L:$L,'BSE - SENSEX Index Options'!$D:$D,$A47,'BSE - SENSEX Index Options'!$B:$B,"Tuesday",'BSE - SENSEX Index Options'!$G:$G,"Weekly*")+SUMIFS('BSE - Other Index Options'!$L:$L,'BSE - Other Index Options'!$D:$D,$A47,'BSE - Other Index Options'!$B:$B,"Tuesday",'BSE - Other Index Options'!$G:$G,"Weekly*")=0,"",SUMIFS('BSE - SENSEX Index Options'!$L:$L,'BSE - SENSEX Index Options'!$D:$D,$A47,'BSE - SENSEX Index Options'!$B:$B,"Tuesday",'BSE - SENSEX Index Options'!$G:$G,"Weekly*")+SUMIFS('BSE - Other Index Options'!$L:$L,'BSE - Other Index Options'!$D:$D,$A47,'BSE - Other Index Options'!$B:$B,"Tuesday",'BSE - Other Index Options'!$G:$G,"Weekly*"))</f>
        <v>10136.66</v>
      </c>
      <c r="D47" s="27">
        <f t="shared" si="2"/>
        <v>0.84637199472279112</v>
      </c>
      <c r="E47" s="27">
        <f t="shared" si="3"/>
        <v>0.1536280052772088</v>
      </c>
    </row>
    <row r="48" spans="1:5" hidden="1" outlineLevel="1">
      <c r="A48" s="24">
        <v>46235</v>
      </c>
      <c r="B48" s="26" t="str">
        <f>IF(SUMIFS('NSE - NIFTY Index Options'!$L:$L,'NSE - NIFTY Index Options'!$D:$D,$A48,'NSE - NIFTY Index Options'!$B:$B,"Tuesday",'NSE - NIFTY Index Options'!$G:$G,"Weekly*")+SUMIFS('NSE - Other Index Options'!$L:$L,'NSE - Other Index Options'!$D:$D,$A48,'NSE - Other Index Options'!$B:$B,"Tuesday",'NSE - Other Index Options'!$G:$G,"Weekly*")=0,"",SUMIFS('NSE - NIFTY Index Options'!$L:$L,'NSE - NIFTY Index Options'!$D:$D,$A48,'NSE - NIFTY Index Options'!$B:$B,"Tuesday",'NSE - NIFTY Index Options'!$G:$G,"Weekly*")+SUMIFS('NSE - Other Index Options'!$L:$L,'NSE - Other Index Options'!$D:$D,$A48,'NSE - Other Index Options'!$B:$B,"Tuesday",'NSE - Other Index Options'!$G:$G,"Weekly*"))</f>
        <v/>
      </c>
      <c r="C48" s="26" t="str">
        <f>IF(SUMIFS('BSE - SENSEX Index Options'!$L:$L,'BSE - SENSEX Index Options'!$D:$D,$A48,'BSE - SENSEX Index Options'!$B:$B,"Tuesday",'BSE - SENSEX Index Options'!$G:$G,"Weekly*")+SUMIFS('BSE - Other Index Options'!$L:$L,'BSE - Other Index Options'!$D:$D,$A48,'BSE - Other Index Options'!$B:$B,"Tuesday",'BSE - Other Index Options'!$G:$G,"Weekly*")=0,"",SUMIFS('BSE - SENSEX Index Options'!$L:$L,'BSE - SENSEX Index Options'!$D:$D,$A48,'BSE - SENSEX Index Options'!$B:$B,"Tuesday",'BSE - SENSEX Index Options'!$G:$G,"Weekly*")+SUMIFS('BSE - Other Index Options'!$L:$L,'BSE - Other Index Options'!$D:$D,$A48,'BSE - Other Index Options'!$B:$B,"Tuesday",'BSE - Other Index Options'!$G:$G,"Weekly*"))</f>
        <v/>
      </c>
      <c r="D48" s="27" t="str">
        <f t="shared" si="2"/>
        <v/>
      </c>
      <c r="E48" s="27" t="str">
        <f t="shared" si="3"/>
        <v/>
      </c>
    </row>
    <row r="49" spans="1:5" hidden="1" outlineLevel="1">
      <c r="A49" s="24">
        <v>46266</v>
      </c>
      <c r="B49" s="26" t="str">
        <f>IF(SUMIFS('NSE - NIFTY Index Options'!$L:$L,'NSE - NIFTY Index Options'!$D:$D,$A49,'NSE - NIFTY Index Options'!$B:$B,"Tuesday",'NSE - NIFTY Index Options'!$G:$G,"Weekly*")+SUMIFS('NSE - Other Index Options'!$L:$L,'NSE - Other Index Options'!$D:$D,$A49,'NSE - Other Index Options'!$B:$B,"Tuesday",'NSE - Other Index Options'!$G:$G,"Weekly*")=0,"",SUMIFS('NSE - NIFTY Index Options'!$L:$L,'NSE - NIFTY Index Options'!$D:$D,$A49,'NSE - NIFTY Index Options'!$B:$B,"Tuesday",'NSE - NIFTY Index Options'!$G:$G,"Weekly*")+SUMIFS('NSE - Other Index Options'!$L:$L,'NSE - Other Index Options'!$D:$D,$A49,'NSE - Other Index Options'!$B:$B,"Tuesday",'NSE - Other Index Options'!$G:$G,"Weekly*"))</f>
        <v/>
      </c>
      <c r="C49" s="26" t="str">
        <f>IF(SUMIFS('BSE - SENSEX Index Options'!$L:$L,'BSE - SENSEX Index Options'!$D:$D,$A49,'BSE - SENSEX Index Options'!$B:$B,"Tuesday",'BSE - SENSEX Index Options'!$G:$G,"Weekly*")+SUMIFS('BSE - Other Index Options'!$L:$L,'BSE - Other Index Options'!$D:$D,$A49,'BSE - Other Index Options'!$B:$B,"Tuesday",'BSE - Other Index Options'!$G:$G,"Weekly*")=0,"",SUMIFS('BSE - SENSEX Index Options'!$L:$L,'BSE - SENSEX Index Options'!$D:$D,$A49,'BSE - SENSEX Index Options'!$B:$B,"Tuesday",'BSE - SENSEX Index Options'!$G:$G,"Weekly*")+SUMIFS('BSE - Other Index Options'!$L:$L,'BSE - Other Index Options'!$D:$D,$A49,'BSE - Other Index Options'!$B:$B,"Tuesday",'BSE - Other Index Options'!$G:$G,"Weekly*"))</f>
        <v/>
      </c>
      <c r="D49" s="27" t="str">
        <f t="shared" si="2"/>
        <v/>
      </c>
      <c r="E49" s="27" t="str">
        <f t="shared" si="3"/>
        <v/>
      </c>
    </row>
    <row r="50" spans="1:5" hidden="1" outlineLevel="1">
      <c r="A50" s="24">
        <v>46296</v>
      </c>
      <c r="B50" s="26" t="str">
        <f>IF(SUMIFS('NSE - NIFTY Index Options'!$L:$L,'NSE - NIFTY Index Options'!$D:$D,$A50,'NSE - NIFTY Index Options'!$B:$B,"Tuesday",'NSE - NIFTY Index Options'!$G:$G,"Weekly*")+SUMIFS('NSE - Other Index Options'!$L:$L,'NSE - Other Index Options'!$D:$D,$A50,'NSE - Other Index Options'!$B:$B,"Tuesday",'NSE - Other Index Options'!$G:$G,"Weekly*")=0,"",SUMIFS('NSE - NIFTY Index Options'!$L:$L,'NSE - NIFTY Index Options'!$D:$D,$A50,'NSE - NIFTY Index Options'!$B:$B,"Tuesday",'NSE - NIFTY Index Options'!$G:$G,"Weekly*")+SUMIFS('NSE - Other Index Options'!$L:$L,'NSE - Other Index Options'!$D:$D,$A50,'NSE - Other Index Options'!$B:$B,"Tuesday",'NSE - Other Index Options'!$G:$G,"Weekly*"))</f>
        <v/>
      </c>
      <c r="C50" s="26" t="str">
        <f>IF(SUMIFS('BSE - SENSEX Index Options'!$L:$L,'BSE - SENSEX Index Options'!$D:$D,$A50,'BSE - SENSEX Index Options'!$B:$B,"Tuesday",'BSE - SENSEX Index Options'!$G:$G,"Weekly*")+SUMIFS('BSE - Other Index Options'!$L:$L,'BSE - Other Index Options'!$D:$D,$A50,'BSE - Other Index Options'!$B:$B,"Tuesday",'BSE - Other Index Options'!$G:$G,"Weekly*")=0,"",SUMIFS('BSE - SENSEX Index Options'!$L:$L,'BSE - SENSEX Index Options'!$D:$D,$A50,'BSE - SENSEX Index Options'!$B:$B,"Tuesday",'BSE - SENSEX Index Options'!$G:$G,"Weekly*")+SUMIFS('BSE - Other Index Options'!$L:$L,'BSE - Other Index Options'!$D:$D,$A50,'BSE - Other Index Options'!$B:$B,"Tuesday",'BSE - Other Index Options'!$G:$G,"Weekly*"))</f>
        <v/>
      </c>
      <c r="D50" s="27" t="str">
        <f t="shared" si="2"/>
        <v/>
      </c>
      <c r="E50" s="27" t="str">
        <f t="shared" si="3"/>
        <v/>
      </c>
    </row>
    <row r="51" spans="1:5" hidden="1" outlineLevel="1">
      <c r="A51" s="24">
        <v>46327</v>
      </c>
      <c r="B51" s="26" t="str">
        <f>IF(SUMIFS('NSE - NIFTY Index Options'!$L:$L,'NSE - NIFTY Index Options'!$D:$D,$A51,'NSE - NIFTY Index Options'!$B:$B,"Tuesday",'NSE - NIFTY Index Options'!$G:$G,"Weekly*")+SUMIFS('NSE - Other Index Options'!$L:$L,'NSE - Other Index Options'!$D:$D,$A51,'NSE - Other Index Options'!$B:$B,"Tuesday",'NSE - Other Index Options'!$G:$G,"Weekly*")=0,"",SUMIFS('NSE - NIFTY Index Options'!$L:$L,'NSE - NIFTY Index Options'!$D:$D,$A51,'NSE - NIFTY Index Options'!$B:$B,"Tuesday",'NSE - NIFTY Index Options'!$G:$G,"Weekly*")+SUMIFS('NSE - Other Index Options'!$L:$L,'NSE - Other Index Options'!$D:$D,$A51,'NSE - Other Index Options'!$B:$B,"Tuesday",'NSE - Other Index Options'!$G:$G,"Weekly*"))</f>
        <v/>
      </c>
      <c r="C51" s="26" t="str">
        <f>IF(SUMIFS('BSE - SENSEX Index Options'!$L:$L,'BSE - SENSEX Index Options'!$D:$D,$A51,'BSE - SENSEX Index Options'!$B:$B,"Tuesday",'BSE - SENSEX Index Options'!$G:$G,"Weekly*")+SUMIFS('BSE - Other Index Options'!$L:$L,'BSE - Other Index Options'!$D:$D,$A51,'BSE - Other Index Options'!$B:$B,"Tuesday",'BSE - Other Index Options'!$G:$G,"Weekly*")=0,"",SUMIFS('BSE - SENSEX Index Options'!$L:$L,'BSE - SENSEX Index Options'!$D:$D,$A51,'BSE - SENSEX Index Options'!$B:$B,"Tuesday",'BSE - SENSEX Index Options'!$G:$G,"Weekly*")+SUMIFS('BSE - Other Index Options'!$L:$L,'BSE - Other Index Options'!$D:$D,$A51,'BSE - Other Index Options'!$B:$B,"Tuesday",'BSE - Other Index Options'!$G:$G,"Weekly*"))</f>
        <v/>
      </c>
      <c r="D51" s="27" t="str">
        <f t="shared" si="2"/>
        <v/>
      </c>
      <c r="E51" s="27" t="str">
        <f t="shared" si="3"/>
        <v/>
      </c>
    </row>
    <row r="52" spans="1:5" hidden="1" outlineLevel="1">
      <c r="A52" s="24">
        <v>46357</v>
      </c>
      <c r="B52" s="26" t="str">
        <f>IF(SUMIFS('NSE - NIFTY Index Options'!$L:$L,'NSE - NIFTY Index Options'!$D:$D,$A52,'NSE - NIFTY Index Options'!$B:$B,"Tuesday",'NSE - NIFTY Index Options'!$G:$G,"Weekly*")+SUMIFS('NSE - Other Index Options'!$L:$L,'NSE - Other Index Options'!$D:$D,$A52,'NSE - Other Index Options'!$B:$B,"Tuesday",'NSE - Other Index Options'!$G:$G,"Weekly*")=0,"",SUMIFS('NSE - NIFTY Index Options'!$L:$L,'NSE - NIFTY Index Options'!$D:$D,$A52,'NSE - NIFTY Index Options'!$B:$B,"Tuesday",'NSE - NIFTY Index Options'!$G:$G,"Weekly*")+SUMIFS('NSE - Other Index Options'!$L:$L,'NSE - Other Index Options'!$D:$D,$A52,'NSE - Other Index Options'!$B:$B,"Tuesday",'NSE - Other Index Options'!$G:$G,"Weekly*"))</f>
        <v/>
      </c>
      <c r="C52" s="26" t="str">
        <f>IF(SUMIFS('BSE - SENSEX Index Options'!$L:$L,'BSE - SENSEX Index Options'!$D:$D,$A52,'BSE - SENSEX Index Options'!$B:$B,"Tuesday",'BSE - SENSEX Index Options'!$G:$G,"Weekly*")+SUMIFS('BSE - Other Index Options'!$L:$L,'BSE - Other Index Options'!$D:$D,$A52,'BSE - Other Index Options'!$B:$B,"Tuesday",'BSE - Other Index Options'!$G:$G,"Weekly*")=0,"",SUMIFS('BSE - SENSEX Index Options'!$L:$L,'BSE - SENSEX Index Options'!$D:$D,$A52,'BSE - SENSEX Index Options'!$B:$B,"Tuesday",'BSE - SENSEX Index Options'!$G:$G,"Weekly*")+SUMIFS('BSE - Other Index Options'!$L:$L,'BSE - Other Index Options'!$D:$D,$A52,'BSE - Other Index Options'!$B:$B,"Tuesday",'BSE - Other Index Options'!$G:$G,"Weekly*"))</f>
        <v/>
      </c>
      <c r="D52" s="27" t="str">
        <f t="shared" si="2"/>
        <v/>
      </c>
      <c r="E52" s="27" t="str">
        <f t="shared" si="3"/>
        <v/>
      </c>
    </row>
    <row r="53" spans="1:5" hidden="1" outlineLevel="1">
      <c r="A53" s="24">
        <v>46388</v>
      </c>
      <c r="B53" s="26" t="str">
        <f>IF(SUMIFS('NSE - NIFTY Index Options'!$L:$L,'NSE - NIFTY Index Options'!$D:$D,$A53,'NSE - NIFTY Index Options'!$B:$B,"Tuesday",'NSE - NIFTY Index Options'!$G:$G,"Weekly*")+SUMIFS('NSE - Other Index Options'!$L:$L,'NSE - Other Index Options'!$D:$D,$A53,'NSE - Other Index Options'!$B:$B,"Tuesday",'NSE - Other Index Options'!$G:$G,"Weekly*")=0,"",SUMIFS('NSE - NIFTY Index Options'!$L:$L,'NSE - NIFTY Index Options'!$D:$D,$A53,'NSE - NIFTY Index Options'!$B:$B,"Tuesday",'NSE - NIFTY Index Options'!$G:$G,"Weekly*")+SUMIFS('NSE - Other Index Options'!$L:$L,'NSE - Other Index Options'!$D:$D,$A53,'NSE - Other Index Options'!$B:$B,"Tuesday",'NSE - Other Index Options'!$G:$G,"Weekly*"))</f>
        <v/>
      </c>
      <c r="C53" s="26" t="str">
        <f>IF(SUMIFS('BSE - SENSEX Index Options'!$L:$L,'BSE - SENSEX Index Options'!$D:$D,$A53,'BSE - SENSEX Index Options'!$B:$B,"Tuesday",'BSE - SENSEX Index Options'!$G:$G,"Weekly*")+SUMIFS('BSE - Other Index Options'!$L:$L,'BSE - Other Index Options'!$D:$D,$A53,'BSE - Other Index Options'!$B:$B,"Tuesday",'BSE - Other Index Options'!$G:$G,"Weekly*")=0,"",SUMIFS('BSE - SENSEX Index Options'!$L:$L,'BSE - SENSEX Index Options'!$D:$D,$A53,'BSE - SENSEX Index Options'!$B:$B,"Tuesday",'BSE - SENSEX Index Options'!$G:$G,"Weekly*")+SUMIFS('BSE - Other Index Options'!$L:$L,'BSE - Other Index Options'!$D:$D,$A53,'BSE - Other Index Options'!$B:$B,"Tuesday",'BSE - Other Index Options'!$G:$G,"Weekly*"))</f>
        <v/>
      </c>
      <c r="D53" s="27" t="str">
        <f t="shared" si="2"/>
        <v/>
      </c>
      <c r="E53" s="27" t="str">
        <f t="shared" si="3"/>
        <v/>
      </c>
    </row>
    <row r="54" spans="1:5" hidden="1" outlineLevel="1">
      <c r="A54" s="24">
        <v>46419</v>
      </c>
      <c r="B54" s="26" t="str">
        <f>IF(SUMIFS('NSE - NIFTY Index Options'!$L:$L,'NSE - NIFTY Index Options'!$D:$D,$A54,'NSE - NIFTY Index Options'!$B:$B,"Tuesday",'NSE - NIFTY Index Options'!$G:$G,"Weekly*")+SUMIFS('NSE - Other Index Options'!$L:$L,'NSE - Other Index Options'!$D:$D,$A54,'NSE - Other Index Options'!$B:$B,"Tuesday",'NSE - Other Index Options'!$G:$G,"Weekly*")=0,"",SUMIFS('NSE - NIFTY Index Options'!$L:$L,'NSE - NIFTY Index Options'!$D:$D,$A54,'NSE - NIFTY Index Options'!$B:$B,"Tuesday",'NSE - NIFTY Index Options'!$G:$G,"Weekly*")+SUMIFS('NSE - Other Index Options'!$L:$L,'NSE - Other Index Options'!$D:$D,$A54,'NSE - Other Index Options'!$B:$B,"Tuesday",'NSE - Other Index Options'!$G:$G,"Weekly*"))</f>
        <v/>
      </c>
      <c r="C54" s="26" t="str">
        <f>IF(SUMIFS('BSE - SENSEX Index Options'!$L:$L,'BSE - SENSEX Index Options'!$D:$D,$A54,'BSE - SENSEX Index Options'!$B:$B,"Tuesday",'BSE - SENSEX Index Options'!$G:$G,"Weekly*")+SUMIFS('BSE - Other Index Options'!$L:$L,'BSE - Other Index Options'!$D:$D,$A54,'BSE - Other Index Options'!$B:$B,"Tuesday",'BSE - Other Index Options'!$G:$G,"Weekly*")=0,"",SUMIFS('BSE - SENSEX Index Options'!$L:$L,'BSE - SENSEX Index Options'!$D:$D,$A54,'BSE - SENSEX Index Options'!$B:$B,"Tuesday",'BSE - SENSEX Index Options'!$G:$G,"Weekly*")+SUMIFS('BSE - Other Index Options'!$L:$L,'BSE - Other Index Options'!$D:$D,$A54,'BSE - Other Index Options'!$B:$B,"Tuesday",'BSE - Other Index Options'!$G:$G,"Weekly*"))</f>
        <v/>
      </c>
      <c r="D54" s="27" t="str">
        <f t="shared" si="2"/>
        <v/>
      </c>
      <c r="E54" s="27" t="str">
        <f t="shared" si="3"/>
        <v/>
      </c>
    </row>
    <row r="55" spans="1:5" hidden="1" outlineLevel="1">
      <c r="A55" s="24">
        <v>46447</v>
      </c>
      <c r="B55" s="26" t="str">
        <f>IF(SUMIFS('NSE - NIFTY Index Options'!$L:$L,'NSE - NIFTY Index Options'!$D:$D,$A55,'NSE - NIFTY Index Options'!$B:$B,"Tuesday",'NSE - NIFTY Index Options'!$G:$G,"Weekly*")+SUMIFS('NSE - Other Index Options'!$L:$L,'NSE - Other Index Options'!$D:$D,$A55,'NSE - Other Index Options'!$B:$B,"Tuesday",'NSE - Other Index Options'!$G:$G,"Weekly*")=0,"",SUMIFS('NSE - NIFTY Index Options'!$L:$L,'NSE - NIFTY Index Options'!$D:$D,$A55,'NSE - NIFTY Index Options'!$B:$B,"Tuesday",'NSE - NIFTY Index Options'!$G:$G,"Weekly*")+SUMIFS('NSE - Other Index Options'!$L:$L,'NSE - Other Index Options'!$D:$D,$A55,'NSE - Other Index Options'!$B:$B,"Tuesday",'NSE - Other Index Options'!$G:$G,"Weekly*"))</f>
        <v/>
      </c>
      <c r="C55" s="26" t="str">
        <f>IF(SUMIFS('BSE - SENSEX Index Options'!$L:$L,'BSE - SENSEX Index Options'!$D:$D,$A55,'BSE - SENSEX Index Options'!$B:$B,"Tuesday",'BSE - SENSEX Index Options'!$G:$G,"Weekly*")+SUMIFS('BSE - Other Index Options'!$L:$L,'BSE - Other Index Options'!$D:$D,$A55,'BSE - Other Index Options'!$B:$B,"Tuesday",'BSE - Other Index Options'!$G:$G,"Weekly*")=0,"",SUMIFS('BSE - SENSEX Index Options'!$L:$L,'BSE - SENSEX Index Options'!$D:$D,$A55,'BSE - SENSEX Index Options'!$B:$B,"Tuesday",'BSE - SENSEX Index Options'!$G:$G,"Weekly*")+SUMIFS('BSE - Other Index Options'!$L:$L,'BSE - Other Index Options'!$D:$D,$A55,'BSE - Other Index Options'!$B:$B,"Tuesday",'BSE - Other Index Options'!$G:$G,"Weekly*"))</f>
        <v/>
      </c>
      <c r="D55" s="27" t="str">
        <f t="shared" si="2"/>
        <v/>
      </c>
      <c r="E55" s="27" t="str">
        <f t="shared" si="3"/>
        <v/>
      </c>
    </row>
    <row r="56" spans="1:5" hidden="1" outlineLevel="1">
      <c r="A56" s="24">
        <v>46478</v>
      </c>
      <c r="B56" s="26" t="str">
        <f>IF(SUMIFS('NSE - NIFTY Index Options'!$L:$L,'NSE - NIFTY Index Options'!$D:$D,$A56,'NSE - NIFTY Index Options'!$B:$B,"Tuesday",'NSE - NIFTY Index Options'!$G:$G,"Weekly*")+SUMIFS('NSE - Other Index Options'!$L:$L,'NSE - Other Index Options'!$D:$D,$A56,'NSE - Other Index Options'!$B:$B,"Tuesday",'NSE - Other Index Options'!$G:$G,"Weekly*")=0,"",SUMIFS('NSE - NIFTY Index Options'!$L:$L,'NSE - NIFTY Index Options'!$D:$D,$A56,'NSE - NIFTY Index Options'!$B:$B,"Tuesday",'NSE - NIFTY Index Options'!$G:$G,"Weekly*")+SUMIFS('NSE - Other Index Options'!$L:$L,'NSE - Other Index Options'!$D:$D,$A56,'NSE - Other Index Options'!$B:$B,"Tuesday",'NSE - Other Index Options'!$G:$G,"Weekly*"))</f>
        <v/>
      </c>
      <c r="C56" s="26" t="str">
        <f>IF(SUMIFS('BSE - SENSEX Index Options'!$L:$L,'BSE - SENSEX Index Options'!$D:$D,$A56,'BSE - SENSEX Index Options'!$B:$B,"Tuesday",'BSE - SENSEX Index Options'!$G:$G,"Weekly*")+SUMIFS('BSE - Other Index Options'!$L:$L,'BSE - Other Index Options'!$D:$D,$A56,'BSE - Other Index Options'!$B:$B,"Tuesday",'BSE - Other Index Options'!$G:$G,"Weekly*")=0,"",SUMIFS('BSE - SENSEX Index Options'!$L:$L,'BSE - SENSEX Index Options'!$D:$D,$A56,'BSE - SENSEX Index Options'!$B:$B,"Tuesday",'BSE - SENSEX Index Options'!$G:$G,"Weekly*")+SUMIFS('BSE - Other Index Options'!$L:$L,'BSE - Other Index Options'!$D:$D,$A56,'BSE - Other Index Options'!$B:$B,"Tuesday",'BSE - Other Index Options'!$G:$G,"Weekly*"))</f>
        <v/>
      </c>
      <c r="D56" s="27" t="str">
        <f t="shared" si="2"/>
        <v/>
      </c>
      <c r="E56" s="27" t="str">
        <f t="shared" si="3"/>
        <v/>
      </c>
    </row>
    <row r="57" spans="1:5" hidden="1" outlineLevel="1">
      <c r="A57" s="24">
        <v>46508</v>
      </c>
      <c r="B57" s="26" t="str">
        <f>IF(SUMIFS('NSE - NIFTY Index Options'!$L:$L,'NSE - NIFTY Index Options'!$D:$D,$A57,'NSE - NIFTY Index Options'!$B:$B,"Tuesday",'NSE - NIFTY Index Options'!$G:$G,"Weekly*")+SUMIFS('NSE - Other Index Options'!$L:$L,'NSE - Other Index Options'!$D:$D,$A57,'NSE - Other Index Options'!$B:$B,"Tuesday",'NSE - Other Index Options'!$G:$G,"Weekly*")=0,"",SUMIFS('NSE - NIFTY Index Options'!$L:$L,'NSE - NIFTY Index Options'!$D:$D,$A57,'NSE - NIFTY Index Options'!$B:$B,"Tuesday",'NSE - NIFTY Index Options'!$G:$G,"Weekly*")+SUMIFS('NSE - Other Index Options'!$L:$L,'NSE - Other Index Options'!$D:$D,$A57,'NSE - Other Index Options'!$B:$B,"Tuesday",'NSE - Other Index Options'!$G:$G,"Weekly*"))</f>
        <v/>
      </c>
      <c r="C57" s="26" t="str">
        <f>IF(SUMIFS('BSE - SENSEX Index Options'!$L:$L,'BSE - SENSEX Index Options'!$D:$D,$A57,'BSE - SENSEX Index Options'!$B:$B,"Tuesday",'BSE - SENSEX Index Options'!$G:$G,"Weekly*")+SUMIFS('BSE - Other Index Options'!$L:$L,'BSE - Other Index Options'!$D:$D,$A57,'BSE - Other Index Options'!$B:$B,"Tuesday",'BSE - Other Index Options'!$G:$G,"Weekly*")=0,"",SUMIFS('BSE - SENSEX Index Options'!$L:$L,'BSE - SENSEX Index Options'!$D:$D,$A57,'BSE - SENSEX Index Options'!$B:$B,"Tuesday",'BSE - SENSEX Index Options'!$G:$G,"Weekly*")+SUMIFS('BSE - Other Index Options'!$L:$L,'BSE - Other Index Options'!$D:$D,$A57,'BSE - Other Index Options'!$B:$B,"Tuesday",'BSE - Other Index Options'!$G:$G,"Weekly*"))</f>
        <v/>
      </c>
      <c r="D57" s="27" t="str">
        <f t="shared" si="2"/>
        <v/>
      </c>
      <c r="E57" s="27" t="str">
        <f t="shared" si="3"/>
        <v/>
      </c>
    </row>
    <row r="58" spans="1:5" hidden="1" outlineLevel="1">
      <c r="A58" s="24">
        <v>46539</v>
      </c>
      <c r="B58" s="26" t="str">
        <f>IF(SUMIFS('NSE - NIFTY Index Options'!$L:$L,'NSE - NIFTY Index Options'!$D:$D,$A58,'NSE - NIFTY Index Options'!$B:$B,"Tuesday",'NSE - NIFTY Index Options'!$G:$G,"Weekly*")+SUMIFS('NSE - Other Index Options'!$L:$L,'NSE - Other Index Options'!$D:$D,$A58,'NSE - Other Index Options'!$B:$B,"Tuesday",'NSE - Other Index Options'!$G:$G,"Weekly*")=0,"",SUMIFS('NSE - NIFTY Index Options'!$L:$L,'NSE - NIFTY Index Options'!$D:$D,$A58,'NSE - NIFTY Index Options'!$B:$B,"Tuesday",'NSE - NIFTY Index Options'!$G:$G,"Weekly*")+SUMIFS('NSE - Other Index Options'!$L:$L,'NSE - Other Index Options'!$D:$D,$A58,'NSE - Other Index Options'!$B:$B,"Tuesday",'NSE - Other Index Options'!$G:$G,"Weekly*"))</f>
        <v/>
      </c>
      <c r="C58" s="26" t="str">
        <f>IF(SUMIFS('BSE - SENSEX Index Options'!$L:$L,'BSE - SENSEX Index Options'!$D:$D,$A58,'BSE - SENSEX Index Options'!$B:$B,"Tuesday",'BSE - SENSEX Index Options'!$G:$G,"Weekly*")+SUMIFS('BSE - Other Index Options'!$L:$L,'BSE - Other Index Options'!$D:$D,$A58,'BSE - Other Index Options'!$B:$B,"Tuesday",'BSE - Other Index Options'!$G:$G,"Weekly*")=0,"",SUMIFS('BSE - SENSEX Index Options'!$L:$L,'BSE - SENSEX Index Options'!$D:$D,$A58,'BSE - SENSEX Index Options'!$B:$B,"Tuesday",'BSE - SENSEX Index Options'!$G:$G,"Weekly*")+SUMIFS('BSE - Other Index Options'!$L:$L,'BSE - Other Index Options'!$D:$D,$A58,'BSE - Other Index Options'!$B:$B,"Tuesday",'BSE - Other Index Options'!$G:$G,"Weekly*"))</f>
        <v/>
      </c>
      <c r="D58" s="27" t="str">
        <f t="shared" si="2"/>
        <v/>
      </c>
      <c r="E58" s="27" t="str">
        <f t="shared" si="3"/>
        <v/>
      </c>
    </row>
    <row r="59" spans="1:5" hidden="1" outlineLevel="1">
      <c r="A59" s="24">
        <v>46569</v>
      </c>
      <c r="B59" s="26" t="str">
        <f>IF(SUMIFS('NSE - NIFTY Index Options'!$L:$L,'NSE - NIFTY Index Options'!$D:$D,$A59,'NSE - NIFTY Index Options'!$B:$B,"Tuesday",'NSE - NIFTY Index Options'!$G:$G,"Weekly*")+SUMIFS('NSE - Other Index Options'!$L:$L,'NSE - Other Index Options'!$D:$D,$A59,'NSE - Other Index Options'!$B:$B,"Tuesday",'NSE - Other Index Options'!$G:$G,"Weekly*")=0,"",SUMIFS('NSE - NIFTY Index Options'!$L:$L,'NSE - NIFTY Index Options'!$D:$D,$A59,'NSE - NIFTY Index Options'!$B:$B,"Tuesday",'NSE - NIFTY Index Options'!$G:$G,"Weekly*")+SUMIFS('NSE - Other Index Options'!$L:$L,'NSE - Other Index Options'!$D:$D,$A59,'NSE - Other Index Options'!$B:$B,"Tuesday",'NSE - Other Index Options'!$G:$G,"Weekly*"))</f>
        <v/>
      </c>
      <c r="C59" s="26" t="str">
        <f>IF(SUMIFS('BSE - SENSEX Index Options'!$L:$L,'BSE - SENSEX Index Options'!$D:$D,$A59,'BSE - SENSEX Index Options'!$B:$B,"Tuesday",'BSE - SENSEX Index Options'!$G:$G,"Weekly*")+SUMIFS('BSE - Other Index Options'!$L:$L,'BSE - Other Index Options'!$D:$D,$A59,'BSE - Other Index Options'!$B:$B,"Tuesday",'BSE - Other Index Options'!$G:$G,"Weekly*")=0,"",SUMIFS('BSE - SENSEX Index Options'!$L:$L,'BSE - SENSEX Index Options'!$D:$D,$A59,'BSE - SENSEX Index Options'!$B:$B,"Tuesday",'BSE - SENSEX Index Options'!$G:$G,"Weekly*")+SUMIFS('BSE - Other Index Options'!$L:$L,'BSE - Other Index Options'!$D:$D,$A59,'BSE - Other Index Options'!$B:$B,"Tuesday",'BSE - Other Index Options'!$G:$G,"Weekly*"))</f>
        <v/>
      </c>
      <c r="D59" s="27" t="str">
        <f t="shared" si="2"/>
        <v/>
      </c>
      <c r="E59" s="27" t="str">
        <f t="shared" si="3"/>
        <v/>
      </c>
    </row>
    <row r="60" spans="1:5" hidden="1" outlineLevel="1">
      <c r="A60" s="24">
        <v>46600</v>
      </c>
      <c r="B60" s="26" t="str">
        <f>IF(SUMIFS('NSE - NIFTY Index Options'!$L:$L,'NSE - NIFTY Index Options'!$D:$D,$A60,'NSE - NIFTY Index Options'!$B:$B,"Tuesday",'NSE - NIFTY Index Options'!$G:$G,"Weekly*")+SUMIFS('NSE - Other Index Options'!$L:$L,'NSE - Other Index Options'!$D:$D,$A60,'NSE - Other Index Options'!$B:$B,"Tuesday",'NSE - Other Index Options'!$G:$G,"Weekly*")=0,"",SUMIFS('NSE - NIFTY Index Options'!$L:$L,'NSE - NIFTY Index Options'!$D:$D,$A60,'NSE - NIFTY Index Options'!$B:$B,"Tuesday",'NSE - NIFTY Index Options'!$G:$G,"Weekly*")+SUMIFS('NSE - Other Index Options'!$L:$L,'NSE - Other Index Options'!$D:$D,$A60,'NSE - Other Index Options'!$B:$B,"Tuesday",'NSE - Other Index Options'!$G:$G,"Weekly*"))</f>
        <v/>
      </c>
      <c r="C60" s="26" t="str">
        <f>IF(SUMIFS('BSE - SENSEX Index Options'!$L:$L,'BSE - SENSEX Index Options'!$D:$D,$A60,'BSE - SENSEX Index Options'!$B:$B,"Tuesday",'BSE - SENSEX Index Options'!$G:$G,"Weekly*")+SUMIFS('BSE - Other Index Options'!$L:$L,'BSE - Other Index Options'!$D:$D,$A60,'BSE - Other Index Options'!$B:$B,"Tuesday",'BSE - Other Index Options'!$G:$G,"Weekly*")=0,"",SUMIFS('BSE - SENSEX Index Options'!$L:$L,'BSE - SENSEX Index Options'!$D:$D,$A60,'BSE - SENSEX Index Options'!$B:$B,"Tuesday",'BSE - SENSEX Index Options'!$G:$G,"Weekly*")+SUMIFS('BSE - Other Index Options'!$L:$L,'BSE - Other Index Options'!$D:$D,$A60,'BSE - Other Index Options'!$B:$B,"Tuesday",'BSE - Other Index Options'!$G:$G,"Weekly*"))</f>
        <v/>
      </c>
      <c r="D60" s="27" t="str">
        <f t="shared" si="2"/>
        <v/>
      </c>
      <c r="E60" s="27" t="str">
        <f t="shared" si="3"/>
        <v/>
      </c>
    </row>
    <row r="61" spans="1:5" hidden="1" outlineLevel="1">
      <c r="A61" s="24">
        <v>46631</v>
      </c>
      <c r="B61" s="26" t="str">
        <f>IF(SUMIFS('NSE - NIFTY Index Options'!$L:$L,'NSE - NIFTY Index Options'!$D:$D,$A61,'NSE - NIFTY Index Options'!$B:$B,"Tuesday",'NSE - NIFTY Index Options'!$G:$G,"Weekly*")+SUMIFS('NSE - Other Index Options'!$L:$L,'NSE - Other Index Options'!$D:$D,$A61,'NSE - Other Index Options'!$B:$B,"Tuesday",'NSE - Other Index Options'!$G:$G,"Weekly*")=0,"",SUMIFS('NSE - NIFTY Index Options'!$L:$L,'NSE - NIFTY Index Options'!$D:$D,$A61,'NSE - NIFTY Index Options'!$B:$B,"Tuesday",'NSE - NIFTY Index Options'!$G:$G,"Weekly*")+SUMIFS('NSE - Other Index Options'!$L:$L,'NSE - Other Index Options'!$D:$D,$A61,'NSE - Other Index Options'!$B:$B,"Tuesday",'NSE - Other Index Options'!$G:$G,"Weekly*"))</f>
        <v/>
      </c>
      <c r="C61" s="26" t="str">
        <f>IF(SUMIFS('BSE - SENSEX Index Options'!$L:$L,'BSE - SENSEX Index Options'!$D:$D,$A61,'BSE - SENSEX Index Options'!$B:$B,"Tuesday",'BSE - SENSEX Index Options'!$G:$G,"Weekly*")+SUMIFS('BSE - Other Index Options'!$L:$L,'BSE - Other Index Options'!$D:$D,$A61,'BSE - Other Index Options'!$B:$B,"Tuesday",'BSE - Other Index Options'!$G:$G,"Weekly*")=0,"",SUMIFS('BSE - SENSEX Index Options'!$L:$L,'BSE - SENSEX Index Options'!$D:$D,$A61,'BSE - SENSEX Index Options'!$B:$B,"Tuesday",'BSE - SENSEX Index Options'!$G:$G,"Weekly*")+SUMIFS('BSE - Other Index Options'!$L:$L,'BSE - Other Index Options'!$D:$D,$A61,'BSE - Other Index Options'!$B:$B,"Tuesday",'BSE - Other Index Options'!$G:$G,"Weekly*"))</f>
        <v/>
      </c>
      <c r="D61" s="27" t="str">
        <f t="shared" si="2"/>
        <v/>
      </c>
      <c r="E61" s="27" t="str">
        <f t="shared" si="3"/>
        <v/>
      </c>
    </row>
    <row r="62" spans="1:5" hidden="1" outlineLevel="1">
      <c r="A62" s="24">
        <v>46661</v>
      </c>
      <c r="B62" s="26" t="str">
        <f>IF(SUMIFS('NSE - NIFTY Index Options'!$L:$L,'NSE - NIFTY Index Options'!$D:$D,$A62,'NSE - NIFTY Index Options'!$B:$B,"Tuesday",'NSE - NIFTY Index Options'!$G:$G,"Weekly*")+SUMIFS('NSE - Other Index Options'!$L:$L,'NSE - Other Index Options'!$D:$D,$A62,'NSE - Other Index Options'!$B:$B,"Tuesday",'NSE - Other Index Options'!$G:$G,"Weekly*")=0,"",SUMIFS('NSE - NIFTY Index Options'!$L:$L,'NSE - NIFTY Index Options'!$D:$D,$A62,'NSE - NIFTY Index Options'!$B:$B,"Tuesday",'NSE - NIFTY Index Options'!$G:$G,"Weekly*")+SUMIFS('NSE - Other Index Options'!$L:$L,'NSE - Other Index Options'!$D:$D,$A62,'NSE - Other Index Options'!$B:$B,"Tuesday",'NSE - Other Index Options'!$G:$G,"Weekly*"))</f>
        <v/>
      </c>
      <c r="C62" s="26" t="str">
        <f>IF(SUMIFS('BSE - SENSEX Index Options'!$L:$L,'BSE - SENSEX Index Options'!$D:$D,$A62,'BSE - SENSEX Index Options'!$B:$B,"Tuesday",'BSE - SENSEX Index Options'!$G:$G,"Weekly*")+SUMIFS('BSE - Other Index Options'!$L:$L,'BSE - Other Index Options'!$D:$D,$A62,'BSE - Other Index Options'!$B:$B,"Tuesday",'BSE - Other Index Options'!$G:$G,"Weekly*")=0,"",SUMIFS('BSE - SENSEX Index Options'!$L:$L,'BSE - SENSEX Index Options'!$D:$D,$A62,'BSE - SENSEX Index Options'!$B:$B,"Tuesday",'BSE - SENSEX Index Options'!$G:$G,"Weekly*")+SUMIFS('BSE - Other Index Options'!$L:$L,'BSE - Other Index Options'!$D:$D,$A62,'BSE - Other Index Options'!$B:$B,"Tuesday",'BSE - Other Index Options'!$G:$G,"Weekly*"))</f>
        <v/>
      </c>
      <c r="D62" s="27" t="str">
        <f t="shared" si="2"/>
        <v/>
      </c>
      <c r="E62" s="27" t="str">
        <f t="shared" si="3"/>
        <v/>
      </c>
    </row>
    <row r="63" spans="1:5" hidden="1" outlineLevel="1">
      <c r="A63" s="24">
        <v>46692</v>
      </c>
      <c r="B63" s="26" t="str">
        <f>IF(SUMIFS('NSE - NIFTY Index Options'!$L:$L,'NSE - NIFTY Index Options'!$D:$D,$A63,'NSE - NIFTY Index Options'!$B:$B,"Tuesday",'NSE - NIFTY Index Options'!$G:$G,"Weekly*")+SUMIFS('NSE - Other Index Options'!$L:$L,'NSE - Other Index Options'!$D:$D,$A63,'NSE - Other Index Options'!$B:$B,"Tuesday",'NSE - Other Index Options'!$G:$G,"Weekly*")=0,"",SUMIFS('NSE - NIFTY Index Options'!$L:$L,'NSE - NIFTY Index Options'!$D:$D,$A63,'NSE - NIFTY Index Options'!$B:$B,"Tuesday",'NSE - NIFTY Index Options'!$G:$G,"Weekly*")+SUMIFS('NSE - Other Index Options'!$L:$L,'NSE - Other Index Options'!$D:$D,$A63,'NSE - Other Index Options'!$B:$B,"Tuesday",'NSE - Other Index Options'!$G:$G,"Weekly*"))</f>
        <v/>
      </c>
      <c r="C63" s="26" t="str">
        <f>IF(SUMIFS('BSE - SENSEX Index Options'!$L:$L,'BSE - SENSEX Index Options'!$D:$D,$A63,'BSE - SENSEX Index Options'!$B:$B,"Tuesday",'BSE - SENSEX Index Options'!$G:$G,"Weekly*")+SUMIFS('BSE - Other Index Options'!$L:$L,'BSE - Other Index Options'!$D:$D,$A63,'BSE - Other Index Options'!$B:$B,"Tuesday",'BSE - Other Index Options'!$G:$G,"Weekly*")=0,"",SUMIFS('BSE - SENSEX Index Options'!$L:$L,'BSE - SENSEX Index Options'!$D:$D,$A63,'BSE - SENSEX Index Options'!$B:$B,"Tuesday",'BSE - SENSEX Index Options'!$G:$G,"Weekly*")+SUMIFS('BSE - Other Index Options'!$L:$L,'BSE - Other Index Options'!$D:$D,$A63,'BSE - Other Index Options'!$B:$B,"Tuesday",'BSE - Other Index Options'!$G:$G,"Weekly*"))</f>
        <v/>
      </c>
      <c r="D63" s="27" t="str">
        <f t="shared" si="2"/>
        <v/>
      </c>
      <c r="E63" s="27" t="str">
        <f t="shared" si="3"/>
        <v/>
      </c>
    </row>
    <row r="64" spans="1:5" hidden="1" outlineLevel="1">
      <c r="A64" s="24">
        <v>46722</v>
      </c>
      <c r="B64" s="26" t="str">
        <f>IF(SUMIFS('NSE - NIFTY Index Options'!$L:$L,'NSE - NIFTY Index Options'!$D:$D,$A64,'NSE - NIFTY Index Options'!$B:$B,"Tuesday",'NSE - NIFTY Index Options'!$G:$G,"Weekly*")+SUMIFS('NSE - Other Index Options'!$L:$L,'NSE - Other Index Options'!$D:$D,$A64,'NSE - Other Index Options'!$B:$B,"Tuesday",'NSE - Other Index Options'!$G:$G,"Weekly*")=0,"",SUMIFS('NSE - NIFTY Index Options'!$L:$L,'NSE - NIFTY Index Options'!$D:$D,$A64,'NSE - NIFTY Index Options'!$B:$B,"Tuesday",'NSE - NIFTY Index Options'!$G:$G,"Weekly*")+SUMIFS('NSE - Other Index Options'!$L:$L,'NSE - Other Index Options'!$D:$D,$A64,'NSE - Other Index Options'!$B:$B,"Tuesday",'NSE - Other Index Options'!$G:$G,"Weekly*"))</f>
        <v/>
      </c>
      <c r="C64" s="26" t="str">
        <f>IF(SUMIFS('BSE - SENSEX Index Options'!$L:$L,'BSE - SENSEX Index Options'!$D:$D,$A64,'BSE - SENSEX Index Options'!$B:$B,"Tuesday",'BSE - SENSEX Index Options'!$G:$G,"Weekly*")+SUMIFS('BSE - Other Index Options'!$L:$L,'BSE - Other Index Options'!$D:$D,$A64,'BSE - Other Index Options'!$B:$B,"Tuesday",'BSE - Other Index Options'!$G:$G,"Weekly*")=0,"",SUMIFS('BSE - SENSEX Index Options'!$L:$L,'BSE - SENSEX Index Options'!$D:$D,$A64,'BSE - SENSEX Index Options'!$B:$B,"Tuesday",'BSE - SENSEX Index Options'!$G:$G,"Weekly*")+SUMIFS('BSE - Other Index Options'!$L:$L,'BSE - Other Index Options'!$D:$D,$A64,'BSE - Other Index Options'!$B:$B,"Tuesday",'BSE - Other Index Options'!$G:$G,"Weekly*"))</f>
        <v/>
      </c>
      <c r="D64" s="27" t="str">
        <f t="shared" si="2"/>
        <v/>
      </c>
      <c r="E64" s="27" t="str">
        <f t="shared" si="3"/>
        <v/>
      </c>
    </row>
    <row r="65" spans="1:5" collapsed="1">
      <c r="A65" s="28" t="s">
        <v>9</v>
      </c>
      <c r="B65" s="30">
        <f>IF(SUM(B37:B64)=0,"",SUM(B37:B64))</f>
        <v>2144603.1</v>
      </c>
      <c r="C65" s="30">
        <f>IF(SUM(C37:C64)=0,"",SUM(C37:C64))</f>
        <v>353211.79</v>
      </c>
      <c r="D65" s="31">
        <f t="shared" si="2"/>
        <v>0.85859168691239562</v>
      </c>
      <c r="E65" s="31">
        <f t="shared" si="3"/>
        <v>0.14140831308760432</v>
      </c>
    </row>
    <row r="67" spans="1:5">
      <c r="A67" s="28" t="s">
        <v>179</v>
      </c>
    </row>
    <row r="68" spans="1:5">
      <c r="A68" s="28" t="s">
        <v>169</v>
      </c>
      <c r="B68" s="28" t="s">
        <v>1</v>
      </c>
      <c r="C68" s="28" t="s">
        <v>148</v>
      </c>
      <c r="D68" s="28" t="s">
        <v>149</v>
      </c>
      <c r="E68" s="28" t="s">
        <v>150</v>
      </c>
    </row>
    <row r="69" spans="1:5">
      <c r="A69" s="24">
        <v>45901</v>
      </c>
      <c r="B69" s="26">
        <f>IF(SUMIFS('NSE - NIFTY Index Options'!$L:$L,'NSE - NIFTY Index Options'!$D:$D,$A69,'NSE - NIFTY Index Options'!$B:$B,"Wednesday",'NSE - NIFTY Index Options'!$G:$G,"Weekly*")+SUMIFS('NSE - Other Index Options'!$L:$L,'NSE - Other Index Options'!$D:$D,$A69,'NSE - Other Index Options'!$B:$B,"Wednesday",'NSE - Other Index Options'!$G:$G,"Weekly*")=0,"",SUMIFS('NSE - NIFTY Index Options'!$L:$L,'NSE - NIFTY Index Options'!$D:$D,$A69,'NSE - NIFTY Index Options'!$B:$B,"Wednesday",'NSE - NIFTY Index Options'!$G:$G,"Weekly*")+SUMIFS('NSE - Other Index Options'!$L:$L,'NSE - Other Index Options'!$D:$D,$A69,'NSE - Other Index Options'!$B:$B,"Wednesday",'NSE - Other Index Options'!$G:$G,"Weekly*"))</f>
        <v>78559.640000000014</v>
      </c>
      <c r="C69" s="26">
        <f>IF(SUMIFS('BSE - SENSEX Index Options'!$L:$L,'BSE - SENSEX Index Options'!$D:$D,$A69,'BSE - SENSEX Index Options'!$B:$B,"Wednesday",'BSE - SENSEX Index Options'!$G:$G,"Weekly*")+SUMIFS('BSE - Other Index Options'!$L:$L,'BSE - Other Index Options'!$D:$D,$A69,'BSE - Other Index Options'!$B:$B,"Wednesday",'BSE - Other Index Options'!$G:$G,"Weekly*")=0,"",SUMIFS('BSE - SENSEX Index Options'!$L:$L,'BSE - SENSEX Index Options'!$D:$D,$A69,'BSE - SENSEX Index Options'!$B:$B,"Wednesday",'BSE - SENSEX Index Options'!$G:$G,"Weekly*")+SUMIFS('BSE - Other Index Options'!$L:$L,'BSE - Other Index Options'!$D:$D,$A69,'BSE - Other Index Options'!$B:$B,"Wednesday",'BSE - Other Index Options'!$G:$G,"Weekly*"))</f>
        <v>65292.480000000003</v>
      </c>
      <c r="D69" s="27">
        <f t="shared" ref="D69:D97" si="4">IF(SUM(B69:C69)=0,"",SUM(B69)/SUM(B69:C69))</f>
        <v>0.546113884174943</v>
      </c>
      <c r="E69" s="27">
        <f t="shared" ref="E69:E97" si="5">IF(SUM(B69:C69)=0,"",SUM(C69)/SUM(B69:C69))</f>
        <v>0.45388611582505695</v>
      </c>
    </row>
    <row r="70" spans="1:5">
      <c r="A70" s="24">
        <v>45931</v>
      </c>
      <c r="B70" s="26">
        <f>IF(SUMIFS('NSE - NIFTY Index Options'!$L:$L,'NSE - NIFTY Index Options'!$D:$D,$A70,'NSE - NIFTY Index Options'!$B:$B,"Wednesday",'NSE - NIFTY Index Options'!$G:$G,"Weekly*")+SUMIFS('NSE - Other Index Options'!$L:$L,'NSE - Other Index Options'!$D:$D,$A70,'NSE - Other Index Options'!$B:$B,"Wednesday",'NSE - Other Index Options'!$G:$G,"Weekly*")=0,"",SUMIFS('NSE - NIFTY Index Options'!$L:$L,'NSE - NIFTY Index Options'!$D:$D,$A70,'NSE - NIFTY Index Options'!$B:$B,"Wednesday",'NSE - NIFTY Index Options'!$G:$G,"Weekly*")+SUMIFS('NSE - Other Index Options'!$L:$L,'NSE - Other Index Options'!$D:$D,$A70,'NSE - Other Index Options'!$B:$B,"Wednesday",'NSE - Other Index Options'!$G:$G,"Weekly*"))</f>
        <v>126539.93999999997</v>
      </c>
      <c r="C70" s="26">
        <f>IF(SUMIFS('BSE - SENSEX Index Options'!$L:$L,'BSE - SENSEX Index Options'!$D:$D,$A70,'BSE - SENSEX Index Options'!$B:$B,"Wednesday",'BSE - SENSEX Index Options'!$G:$G,"Weekly*")+SUMIFS('BSE - Other Index Options'!$L:$L,'BSE - Other Index Options'!$D:$D,$A70,'BSE - Other Index Options'!$B:$B,"Wednesday",'BSE - Other Index Options'!$G:$G,"Weekly*")=0,"",SUMIFS('BSE - SENSEX Index Options'!$L:$L,'BSE - SENSEX Index Options'!$D:$D,$A70,'BSE - SENSEX Index Options'!$B:$B,"Wednesday",'BSE - SENSEX Index Options'!$G:$G,"Weekly*")+SUMIFS('BSE - Other Index Options'!$L:$L,'BSE - Other Index Options'!$D:$D,$A70,'BSE - Other Index Options'!$B:$B,"Wednesday",'BSE - Other Index Options'!$G:$G,"Weekly*"))</f>
        <v>98873.109999999986</v>
      </c>
      <c r="D70" s="27">
        <f t="shared" si="4"/>
        <v>0.56136918425974003</v>
      </c>
      <c r="E70" s="27">
        <f t="shared" si="5"/>
        <v>0.43863081574025997</v>
      </c>
    </row>
    <row r="71" spans="1:5">
      <c r="A71" s="24">
        <v>45962</v>
      </c>
      <c r="B71" s="26">
        <f>IF(SUMIFS('NSE - NIFTY Index Options'!$L:$L,'NSE - NIFTY Index Options'!$D:$D,$A71,'NSE - NIFTY Index Options'!$B:$B,"Wednesday",'NSE - NIFTY Index Options'!$G:$G,"Weekly*")+SUMIFS('NSE - Other Index Options'!$L:$L,'NSE - Other Index Options'!$D:$D,$A71,'NSE - Other Index Options'!$B:$B,"Wednesday",'NSE - Other Index Options'!$G:$G,"Weekly*")=0,"",SUMIFS('NSE - NIFTY Index Options'!$L:$L,'NSE - NIFTY Index Options'!$D:$D,$A71,'NSE - NIFTY Index Options'!$B:$B,"Wednesday",'NSE - NIFTY Index Options'!$G:$G,"Weekly*")+SUMIFS('NSE - Other Index Options'!$L:$L,'NSE - Other Index Options'!$D:$D,$A71,'NSE - Other Index Options'!$B:$B,"Wednesday",'NSE - Other Index Options'!$G:$G,"Weekly*"))</f>
        <v>55315.54</v>
      </c>
      <c r="C71" s="26">
        <f>IF(SUMIFS('BSE - SENSEX Index Options'!$L:$L,'BSE - SENSEX Index Options'!$D:$D,$A71,'BSE - SENSEX Index Options'!$B:$B,"Wednesday",'BSE - SENSEX Index Options'!$G:$G,"Weekly*")+SUMIFS('BSE - Other Index Options'!$L:$L,'BSE - Other Index Options'!$D:$D,$A71,'BSE - Other Index Options'!$B:$B,"Wednesday",'BSE - Other Index Options'!$G:$G,"Weekly*")=0,"",SUMIFS('BSE - SENSEX Index Options'!$L:$L,'BSE - SENSEX Index Options'!$D:$D,$A71,'BSE - SENSEX Index Options'!$B:$B,"Wednesday",'BSE - SENSEX Index Options'!$G:$G,"Weekly*")+SUMIFS('BSE - Other Index Options'!$L:$L,'BSE - Other Index Options'!$D:$D,$A71,'BSE - Other Index Options'!$B:$B,"Wednesday",'BSE - Other Index Options'!$G:$G,"Weekly*"))</f>
        <v>46058.12000000001</v>
      </c>
      <c r="D71" s="27">
        <f t="shared" si="4"/>
        <v>0.54565988837731616</v>
      </c>
      <c r="E71" s="27">
        <f t="shared" si="5"/>
        <v>0.4543401116226839</v>
      </c>
    </row>
    <row r="72" spans="1:5">
      <c r="A72" s="24">
        <v>45992</v>
      </c>
      <c r="B72" s="26">
        <f>IF(SUMIFS('NSE - NIFTY Index Options'!$L:$L,'NSE - NIFTY Index Options'!$D:$D,$A72,'NSE - NIFTY Index Options'!$B:$B,"Wednesday",'NSE - NIFTY Index Options'!$G:$G,"Weekly*")+SUMIFS('NSE - Other Index Options'!$L:$L,'NSE - Other Index Options'!$D:$D,$A72,'NSE - Other Index Options'!$B:$B,"Wednesday",'NSE - Other Index Options'!$G:$G,"Weekly*")=0,"",SUMIFS('NSE - NIFTY Index Options'!$L:$L,'NSE - NIFTY Index Options'!$D:$D,$A72,'NSE - NIFTY Index Options'!$B:$B,"Wednesday",'NSE - NIFTY Index Options'!$G:$G,"Weekly*")+SUMIFS('NSE - Other Index Options'!$L:$L,'NSE - Other Index Options'!$D:$D,$A72,'NSE - Other Index Options'!$B:$B,"Wednesday",'NSE - Other Index Options'!$G:$G,"Weekly*"))</f>
        <v>113066.29</v>
      </c>
      <c r="C72" s="26">
        <f>IF(SUMIFS('BSE - SENSEX Index Options'!$L:$L,'BSE - SENSEX Index Options'!$D:$D,$A72,'BSE - SENSEX Index Options'!$B:$B,"Wednesday",'BSE - SENSEX Index Options'!$G:$G,"Weekly*")+SUMIFS('BSE - Other Index Options'!$L:$L,'BSE - Other Index Options'!$D:$D,$A72,'BSE - Other Index Options'!$B:$B,"Wednesday",'BSE - Other Index Options'!$G:$G,"Weekly*")=0,"",SUMIFS('BSE - SENSEX Index Options'!$L:$L,'BSE - SENSEX Index Options'!$D:$D,$A72,'BSE - SENSEX Index Options'!$B:$B,"Wednesday",'BSE - SENSEX Index Options'!$G:$G,"Weekly*")+SUMIFS('BSE - Other Index Options'!$L:$L,'BSE - Other Index Options'!$D:$D,$A72,'BSE - Other Index Options'!$B:$B,"Wednesday",'BSE - Other Index Options'!$G:$G,"Weekly*"))</f>
        <v>143026.21000000002</v>
      </c>
      <c r="D72" s="27">
        <f t="shared" si="4"/>
        <v>0.44150566689770293</v>
      </c>
      <c r="E72" s="27">
        <f t="shared" si="5"/>
        <v>0.55849433310229712</v>
      </c>
    </row>
    <row r="73" spans="1:5">
      <c r="A73" s="24">
        <v>46023</v>
      </c>
      <c r="B73" s="26">
        <f>IF(SUMIFS('NSE - NIFTY Index Options'!$L:$L,'NSE - NIFTY Index Options'!$D:$D,$A73,'NSE - NIFTY Index Options'!$B:$B,"Wednesday",'NSE - NIFTY Index Options'!$G:$G,"Weekly*")+SUMIFS('NSE - Other Index Options'!$L:$L,'NSE - Other Index Options'!$D:$D,$A73,'NSE - Other Index Options'!$B:$B,"Wednesday",'NSE - Other Index Options'!$G:$G,"Weekly*")=0,"",SUMIFS('NSE - NIFTY Index Options'!$L:$L,'NSE - NIFTY Index Options'!$D:$D,$A73,'NSE - NIFTY Index Options'!$B:$B,"Wednesday",'NSE - NIFTY Index Options'!$G:$G,"Weekly*")+SUMIFS('NSE - Other Index Options'!$L:$L,'NSE - Other Index Options'!$D:$D,$A73,'NSE - Other Index Options'!$B:$B,"Wednesday",'NSE - Other Index Options'!$G:$G,"Weekly*"))</f>
        <v>102468.31999999998</v>
      </c>
      <c r="C73" s="26">
        <f>IF(SUMIFS('BSE - SENSEX Index Options'!$L:$L,'BSE - SENSEX Index Options'!$D:$D,$A73,'BSE - SENSEX Index Options'!$B:$B,"Wednesday",'BSE - SENSEX Index Options'!$G:$G,"Weekly*")+SUMIFS('BSE - Other Index Options'!$L:$L,'BSE - Other Index Options'!$D:$D,$A73,'BSE - Other Index Options'!$B:$B,"Wednesday",'BSE - Other Index Options'!$G:$G,"Weekly*")=0,"",SUMIFS('BSE - SENSEX Index Options'!$L:$L,'BSE - SENSEX Index Options'!$D:$D,$A73,'BSE - SENSEX Index Options'!$B:$B,"Wednesday",'BSE - SENSEX Index Options'!$G:$G,"Weekly*")+SUMIFS('BSE - Other Index Options'!$L:$L,'BSE - Other Index Options'!$D:$D,$A73,'BSE - Other Index Options'!$B:$B,"Wednesday",'BSE - Other Index Options'!$G:$G,"Weekly*"))</f>
        <v>141364.31000000003</v>
      </c>
      <c r="D73" s="27">
        <f t="shared" si="4"/>
        <v>0.42024039194426099</v>
      </c>
      <c r="E73" s="27">
        <f t="shared" si="5"/>
        <v>0.57975960805573901</v>
      </c>
    </row>
    <row r="74" spans="1:5">
      <c r="A74" s="24">
        <v>46054</v>
      </c>
      <c r="B74" s="26">
        <f>IF(SUMIFS('NSE - NIFTY Index Options'!$L:$L,'NSE - NIFTY Index Options'!$D:$D,$A74,'NSE - NIFTY Index Options'!$B:$B,"Wednesday",'NSE - NIFTY Index Options'!$G:$G,"Weekly*")+SUMIFS('NSE - Other Index Options'!$L:$L,'NSE - Other Index Options'!$D:$D,$A74,'NSE - Other Index Options'!$B:$B,"Wednesday",'NSE - Other Index Options'!$G:$G,"Weekly*")=0,"",SUMIFS('NSE - NIFTY Index Options'!$L:$L,'NSE - NIFTY Index Options'!$D:$D,$A74,'NSE - NIFTY Index Options'!$B:$B,"Wednesday",'NSE - NIFTY Index Options'!$G:$G,"Weekly*")+SUMIFS('NSE - Other Index Options'!$L:$L,'NSE - Other Index Options'!$D:$D,$A74,'NSE - Other Index Options'!$B:$B,"Wednesday",'NSE - Other Index Options'!$G:$G,"Weekly*"))</f>
        <v>101371.80999999997</v>
      </c>
      <c r="C74" s="26">
        <f>IF(SUMIFS('BSE - SENSEX Index Options'!$L:$L,'BSE - SENSEX Index Options'!$D:$D,$A74,'BSE - SENSEX Index Options'!$B:$B,"Wednesday",'BSE - SENSEX Index Options'!$G:$G,"Weekly*")+SUMIFS('BSE - Other Index Options'!$L:$L,'BSE - Other Index Options'!$D:$D,$A74,'BSE - Other Index Options'!$B:$B,"Wednesday",'BSE - Other Index Options'!$G:$G,"Weekly*")=0,"",SUMIFS('BSE - SENSEX Index Options'!$L:$L,'BSE - SENSEX Index Options'!$D:$D,$A74,'BSE - SENSEX Index Options'!$B:$B,"Wednesday",'BSE - SENSEX Index Options'!$G:$G,"Weekly*")+SUMIFS('BSE - Other Index Options'!$L:$L,'BSE - Other Index Options'!$D:$D,$A74,'BSE - Other Index Options'!$B:$B,"Wednesday",'BSE - Other Index Options'!$G:$G,"Weekly*"))</f>
        <v>94818.369999999981</v>
      </c>
      <c r="D74" s="27">
        <f t="shared" si="4"/>
        <v>0.51670175337012281</v>
      </c>
      <c r="E74" s="27">
        <f t="shared" si="5"/>
        <v>0.48329824662987725</v>
      </c>
    </row>
    <row r="75" spans="1:5">
      <c r="A75" s="24">
        <v>46082</v>
      </c>
      <c r="B75" s="26">
        <f>IF(SUMIFS('NSE - NIFTY Index Options'!$L:$L,'NSE - NIFTY Index Options'!$D:$D,$A75,'NSE - NIFTY Index Options'!$B:$B,"Wednesday",'NSE - NIFTY Index Options'!$G:$G,"Weekly*")+SUMIFS('NSE - Other Index Options'!$L:$L,'NSE - Other Index Options'!$D:$D,$A75,'NSE - Other Index Options'!$B:$B,"Wednesday",'NSE - Other Index Options'!$G:$G,"Weekly*")=0,"",SUMIFS('NSE - NIFTY Index Options'!$L:$L,'NSE - NIFTY Index Options'!$D:$D,$A75,'NSE - NIFTY Index Options'!$B:$B,"Wednesday",'NSE - NIFTY Index Options'!$G:$G,"Weekly*")+SUMIFS('NSE - Other Index Options'!$L:$L,'NSE - Other Index Options'!$D:$D,$A75,'NSE - Other Index Options'!$B:$B,"Wednesday",'NSE - Other Index Options'!$G:$G,"Weekly*"))</f>
        <v>146941.30000000002</v>
      </c>
      <c r="C75" s="26">
        <f>IF(SUMIFS('BSE - SENSEX Index Options'!$L:$L,'BSE - SENSEX Index Options'!$D:$D,$A75,'BSE - SENSEX Index Options'!$B:$B,"Wednesday",'BSE - SENSEX Index Options'!$G:$G,"Weekly*")+SUMIFS('BSE - Other Index Options'!$L:$L,'BSE - Other Index Options'!$D:$D,$A75,'BSE - Other Index Options'!$B:$B,"Wednesday",'BSE - Other Index Options'!$G:$G,"Weekly*")=0,"",SUMIFS('BSE - SENSEX Index Options'!$L:$L,'BSE - SENSEX Index Options'!$D:$D,$A75,'BSE - SENSEX Index Options'!$B:$B,"Wednesday",'BSE - SENSEX Index Options'!$G:$G,"Weekly*")+SUMIFS('BSE - Other Index Options'!$L:$L,'BSE - Other Index Options'!$D:$D,$A75,'BSE - Other Index Options'!$B:$B,"Wednesday",'BSE - Other Index Options'!$G:$G,"Weekly*"))</f>
        <v>144008.06</v>
      </c>
      <c r="D75" s="27">
        <f t="shared" si="4"/>
        <v>0.50504080847608679</v>
      </c>
      <c r="E75" s="27">
        <f t="shared" si="5"/>
        <v>0.49495919152391332</v>
      </c>
    </row>
    <row r="76" spans="1:5">
      <c r="A76" s="24">
        <v>46113</v>
      </c>
      <c r="B76" s="26">
        <f>IF(SUMIFS('NSE - NIFTY Index Options'!$L:$L,'NSE - NIFTY Index Options'!$D:$D,$A76,'NSE - NIFTY Index Options'!$B:$B,"Wednesday",'NSE - NIFTY Index Options'!$G:$G,"Weekly*")+SUMIFS('NSE - Other Index Options'!$L:$L,'NSE - Other Index Options'!$D:$D,$A76,'NSE - Other Index Options'!$B:$B,"Wednesday",'NSE - Other Index Options'!$G:$G,"Weekly*")=0,"",SUMIFS('NSE - NIFTY Index Options'!$L:$L,'NSE - NIFTY Index Options'!$D:$D,$A76,'NSE - NIFTY Index Options'!$B:$B,"Wednesday",'NSE - NIFTY Index Options'!$G:$G,"Weekly*")+SUMIFS('NSE - Other Index Options'!$L:$L,'NSE - Other Index Options'!$D:$D,$A76,'NSE - Other Index Options'!$B:$B,"Wednesday",'NSE - Other Index Options'!$G:$G,"Weekly*"))</f>
        <v>140793.54</v>
      </c>
      <c r="C76" s="26">
        <f>IF(SUMIFS('BSE - SENSEX Index Options'!$L:$L,'BSE - SENSEX Index Options'!$D:$D,$A76,'BSE - SENSEX Index Options'!$B:$B,"Wednesday",'BSE - SENSEX Index Options'!$G:$G,"Weekly*")+SUMIFS('BSE - Other Index Options'!$L:$L,'BSE - Other Index Options'!$D:$D,$A76,'BSE - Other Index Options'!$B:$B,"Wednesday",'BSE - Other Index Options'!$G:$G,"Weekly*")=0,"",SUMIFS('BSE - SENSEX Index Options'!$L:$L,'BSE - SENSEX Index Options'!$D:$D,$A76,'BSE - SENSEX Index Options'!$B:$B,"Wednesday",'BSE - SENSEX Index Options'!$G:$G,"Weekly*")+SUMIFS('BSE - Other Index Options'!$L:$L,'BSE - Other Index Options'!$D:$D,$A76,'BSE - Other Index Options'!$B:$B,"Wednesday",'BSE - Other Index Options'!$G:$G,"Weekly*"))</f>
        <v>153153.92000000004</v>
      </c>
      <c r="D76" s="27">
        <f t="shared" si="4"/>
        <v>0.47897518828704955</v>
      </c>
      <c r="E76" s="27">
        <f t="shared" si="5"/>
        <v>0.52102481171295034</v>
      </c>
    </row>
    <row r="77" spans="1:5">
      <c r="A77" s="24">
        <v>46143</v>
      </c>
      <c r="B77" s="26">
        <f>IF(SUMIFS('NSE - NIFTY Index Options'!$L:$L,'NSE - NIFTY Index Options'!$D:$D,$A77,'NSE - NIFTY Index Options'!$B:$B,"Wednesday",'NSE - NIFTY Index Options'!$G:$G,"Weekly*")+SUMIFS('NSE - Other Index Options'!$L:$L,'NSE - Other Index Options'!$D:$D,$A77,'NSE - Other Index Options'!$B:$B,"Wednesday",'NSE - Other Index Options'!$G:$G,"Weekly*")=0,"",SUMIFS('NSE - NIFTY Index Options'!$L:$L,'NSE - NIFTY Index Options'!$D:$D,$A77,'NSE - NIFTY Index Options'!$B:$B,"Wednesday",'NSE - NIFTY Index Options'!$G:$G,"Weekly*")+SUMIFS('NSE - Other Index Options'!$L:$L,'NSE - Other Index Options'!$D:$D,$A77,'NSE - Other Index Options'!$B:$B,"Wednesday",'NSE - Other Index Options'!$G:$G,"Weekly*"))</f>
        <v>104236.18000000002</v>
      </c>
      <c r="C77" s="26">
        <f>IF(SUMIFS('BSE - SENSEX Index Options'!$L:$L,'BSE - SENSEX Index Options'!$D:$D,$A77,'BSE - SENSEX Index Options'!$B:$B,"Wednesday",'BSE - SENSEX Index Options'!$G:$G,"Weekly*")+SUMIFS('BSE - Other Index Options'!$L:$L,'BSE - Other Index Options'!$D:$D,$A77,'BSE - Other Index Options'!$B:$B,"Wednesday",'BSE - Other Index Options'!$G:$G,"Weekly*")=0,"",SUMIFS('BSE - SENSEX Index Options'!$L:$L,'BSE - SENSEX Index Options'!$D:$D,$A77,'BSE - SENSEX Index Options'!$B:$B,"Wednesday",'BSE - SENSEX Index Options'!$G:$G,"Weekly*")+SUMIFS('BSE - Other Index Options'!$L:$L,'BSE - Other Index Options'!$D:$D,$A77,'BSE - Other Index Options'!$B:$B,"Wednesday",'BSE - Other Index Options'!$G:$G,"Weekly*"))</f>
        <v>147348</v>
      </c>
      <c r="D77" s="27">
        <f t="shared" si="4"/>
        <v>0.41431929463927347</v>
      </c>
      <c r="E77" s="27">
        <f t="shared" si="5"/>
        <v>0.58568070536072647</v>
      </c>
    </row>
    <row r="78" spans="1:5">
      <c r="A78" s="24">
        <v>46174</v>
      </c>
      <c r="B78" s="26">
        <f>IF(SUMIFS('NSE - NIFTY Index Options'!$L:$L,'NSE - NIFTY Index Options'!$D:$D,$A78,'NSE - NIFTY Index Options'!$B:$B,"Wednesday",'NSE - NIFTY Index Options'!$G:$G,"Weekly*")+SUMIFS('NSE - Other Index Options'!$L:$L,'NSE - Other Index Options'!$D:$D,$A78,'NSE - Other Index Options'!$B:$B,"Wednesday",'NSE - Other Index Options'!$G:$G,"Weekly*")=0,"",SUMIFS('NSE - NIFTY Index Options'!$L:$L,'NSE - NIFTY Index Options'!$D:$D,$A78,'NSE - NIFTY Index Options'!$B:$B,"Wednesday",'NSE - NIFTY Index Options'!$G:$G,"Weekly*")+SUMIFS('NSE - Other Index Options'!$L:$L,'NSE - Other Index Options'!$D:$D,$A78,'NSE - Other Index Options'!$B:$B,"Wednesday",'NSE - Other Index Options'!$G:$G,"Weekly*"))</f>
        <v>99721.37999999999</v>
      </c>
      <c r="C78" s="26">
        <f>IF(SUMIFS('BSE - SENSEX Index Options'!$L:$L,'BSE - SENSEX Index Options'!$D:$D,$A78,'BSE - SENSEX Index Options'!$B:$B,"Wednesday",'BSE - SENSEX Index Options'!$G:$G,"Weekly*")+SUMIFS('BSE - Other Index Options'!$L:$L,'BSE - Other Index Options'!$D:$D,$A78,'BSE - Other Index Options'!$B:$B,"Wednesday",'BSE - Other Index Options'!$G:$G,"Weekly*")=0,"",SUMIFS('BSE - SENSEX Index Options'!$L:$L,'BSE - SENSEX Index Options'!$D:$D,$A78,'BSE - SENSEX Index Options'!$B:$B,"Wednesday",'BSE - SENSEX Index Options'!$G:$G,"Weekly*")+SUMIFS('BSE - Other Index Options'!$L:$L,'BSE - Other Index Options'!$D:$D,$A78,'BSE - Other Index Options'!$B:$B,"Wednesday",'BSE - Other Index Options'!$G:$G,"Weekly*"))</f>
        <v>120611.26999999996</v>
      </c>
      <c r="D78" s="27">
        <f t="shared" si="4"/>
        <v>0.45259465630717921</v>
      </c>
      <c r="E78" s="27">
        <f t="shared" si="5"/>
        <v>0.54740534369282079</v>
      </c>
    </row>
    <row r="79" spans="1:5">
      <c r="A79" s="24">
        <v>46204</v>
      </c>
      <c r="B79" s="26">
        <f>IF(SUMIFS('NSE - NIFTY Index Options'!$L:$L,'NSE - NIFTY Index Options'!$D:$D,$A79,'NSE - NIFTY Index Options'!$B:$B,"Wednesday",'NSE - NIFTY Index Options'!$G:$G,"Weekly*")+SUMIFS('NSE - Other Index Options'!$L:$L,'NSE - Other Index Options'!$D:$D,$A79,'NSE - Other Index Options'!$B:$B,"Wednesday",'NSE - Other Index Options'!$G:$G,"Weekly*")=0,"",SUMIFS('NSE - NIFTY Index Options'!$L:$L,'NSE - NIFTY Index Options'!$D:$D,$A79,'NSE - NIFTY Index Options'!$B:$B,"Wednesday",'NSE - NIFTY Index Options'!$G:$G,"Weekly*")+SUMIFS('NSE - Other Index Options'!$L:$L,'NSE - Other Index Options'!$D:$D,$A79,'NSE - Other Index Options'!$B:$B,"Wednesday",'NSE - Other Index Options'!$G:$G,"Weekly*"))</f>
        <v>64318.299999999996</v>
      </c>
      <c r="C79" s="26">
        <f>IF(SUMIFS('BSE - SENSEX Index Options'!$L:$L,'BSE - SENSEX Index Options'!$D:$D,$A79,'BSE - SENSEX Index Options'!$B:$B,"Wednesday",'BSE - SENSEX Index Options'!$G:$G,"Weekly*")+SUMIFS('BSE - Other Index Options'!$L:$L,'BSE - Other Index Options'!$D:$D,$A79,'BSE - Other Index Options'!$B:$B,"Wednesday",'BSE - Other Index Options'!$G:$G,"Weekly*")=0,"",SUMIFS('BSE - SENSEX Index Options'!$L:$L,'BSE - SENSEX Index Options'!$D:$D,$A79,'BSE - SENSEX Index Options'!$B:$B,"Wednesday",'BSE - SENSEX Index Options'!$G:$G,"Weekly*")+SUMIFS('BSE - Other Index Options'!$L:$L,'BSE - Other Index Options'!$D:$D,$A79,'BSE - Other Index Options'!$B:$B,"Wednesday",'BSE - Other Index Options'!$G:$G,"Weekly*"))</f>
        <v>85358.890000000014</v>
      </c>
      <c r="D79" s="27">
        <f t="shared" si="4"/>
        <v>0.42971343863416994</v>
      </c>
      <c r="E79" s="27">
        <f t="shared" si="5"/>
        <v>0.57028656136583011</v>
      </c>
    </row>
    <row r="80" spans="1:5" hidden="1" outlineLevel="1">
      <c r="A80" s="24">
        <v>46235</v>
      </c>
      <c r="B80" s="26" t="str">
        <f>IF(SUMIFS('NSE - NIFTY Index Options'!$L:$L,'NSE - NIFTY Index Options'!$D:$D,$A80,'NSE - NIFTY Index Options'!$B:$B,"Wednesday",'NSE - NIFTY Index Options'!$G:$G,"Weekly*")+SUMIFS('NSE - Other Index Options'!$L:$L,'NSE - Other Index Options'!$D:$D,$A80,'NSE - Other Index Options'!$B:$B,"Wednesday",'NSE - Other Index Options'!$G:$G,"Weekly*")=0,"",SUMIFS('NSE - NIFTY Index Options'!$L:$L,'NSE - NIFTY Index Options'!$D:$D,$A80,'NSE - NIFTY Index Options'!$B:$B,"Wednesday",'NSE - NIFTY Index Options'!$G:$G,"Weekly*")+SUMIFS('NSE - Other Index Options'!$L:$L,'NSE - Other Index Options'!$D:$D,$A80,'NSE - Other Index Options'!$B:$B,"Wednesday",'NSE - Other Index Options'!$G:$G,"Weekly*"))</f>
        <v/>
      </c>
      <c r="C80" s="26" t="str">
        <f>IF(SUMIFS('BSE - SENSEX Index Options'!$L:$L,'BSE - SENSEX Index Options'!$D:$D,$A80,'BSE - SENSEX Index Options'!$B:$B,"Wednesday",'BSE - SENSEX Index Options'!$G:$G,"Weekly*")+SUMIFS('BSE - Other Index Options'!$L:$L,'BSE - Other Index Options'!$D:$D,$A80,'BSE - Other Index Options'!$B:$B,"Wednesday",'BSE - Other Index Options'!$G:$G,"Weekly*")=0,"",SUMIFS('BSE - SENSEX Index Options'!$L:$L,'BSE - SENSEX Index Options'!$D:$D,$A80,'BSE - SENSEX Index Options'!$B:$B,"Wednesday",'BSE - SENSEX Index Options'!$G:$G,"Weekly*")+SUMIFS('BSE - Other Index Options'!$L:$L,'BSE - Other Index Options'!$D:$D,$A80,'BSE - Other Index Options'!$B:$B,"Wednesday",'BSE - Other Index Options'!$G:$G,"Weekly*"))</f>
        <v/>
      </c>
      <c r="D80" s="27" t="str">
        <f t="shared" si="4"/>
        <v/>
      </c>
      <c r="E80" s="27" t="str">
        <f t="shared" si="5"/>
        <v/>
      </c>
    </row>
    <row r="81" spans="1:5" hidden="1" outlineLevel="1">
      <c r="A81" s="24">
        <v>46266</v>
      </c>
      <c r="B81" s="26" t="str">
        <f>IF(SUMIFS('NSE - NIFTY Index Options'!$L:$L,'NSE - NIFTY Index Options'!$D:$D,$A81,'NSE - NIFTY Index Options'!$B:$B,"Wednesday",'NSE - NIFTY Index Options'!$G:$G,"Weekly*")+SUMIFS('NSE - Other Index Options'!$L:$L,'NSE - Other Index Options'!$D:$D,$A81,'NSE - Other Index Options'!$B:$B,"Wednesday",'NSE - Other Index Options'!$G:$G,"Weekly*")=0,"",SUMIFS('NSE - NIFTY Index Options'!$L:$L,'NSE - NIFTY Index Options'!$D:$D,$A81,'NSE - NIFTY Index Options'!$B:$B,"Wednesday",'NSE - NIFTY Index Options'!$G:$G,"Weekly*")+SUMIFS('NSE - Other Index Options'!$L:$L,'NSE - Other Index Options'!$D:$D,$A81,'NSE - Other Index Options'!$B:$B,"Wednesday",'NSE - Other Index Options'!$G:$G,"Weekly*"))</f>
        <v/>
      </c>
      <c r="C81" s="26" t="str">
        <f>IF(SUMIFS('BSE - SENSEX Index Options'!$L:$L,'BSE - SENSEX Index Options'!$D:$D,$A81,'BSE - SENSEX Index Options'!$B:$B,"Wednesday",'BSE - SENSEX Index Options'!$G:$G,"Weekly*")+SUMIFS('BSE - Other Index Options'!$L:$L,'BSE - Other Index Options'!$D:$D,$A81,'BSE - Other Index Options'!$B:$B,"Wednesday",'BSE - Other Index Options'!$G:$G,"Weekly*")=0,"",SUMIFS('BSE - SENSEX Index Options'!$L:$L,'BSE - SENSEX Index Options'!$D:$D,$A81,'BSE - SENSEX Index Options'!$B:$B,"Wednesday",'BSE - SENSEX Index Options'!$G:$G,"Weekly*")+SUMIFS('BSE - Other Index Options'!$L:$L,'BSE - Other Index Options'!$D:$D,$A81,'BSE - Other Index Options'!$B:$B,"Wednesday",'BSE - Other Index Options'!$G:$G,"Weekly*"))</f>
        <v/>
      </c>
      <c r="D81" s="27" t="str">
        <f t="shared" si="4"/>
        <v/>
      </c>
      <c r="E81" s="27" t="str">
        <f t="shared" si="5"/>
        <v/>
      </c>
    </row>
    <row r="82" spans="1:5" hidden="1" outlineLevel="1">
      <c r="A82" s="24">
        <v>46296</v>
      </c>
      <c r="B82" s="26" t="str">
        <f>IF(SUMIFS('NSE - NIFTY Index Options'!$L:$L,'NSE - NIFTY Index Options'!$D:$D,$A82,'NSE - NIFTY Index Options'!$B:$B,"Wednesday",'NSE - NIFTY Index Options'!$G:$G,"Weekly*")+SUMIFS('NSE - Other Index Options'!$L:$L,'NSE - Other Index Options'!$D:$D,$A82,'NSE - Other Index Options'!$B:$B,"Wednesday",'NSE - Other Index Options'!$G:$G,"Weekly*")=0,"",SUMIFS('NSE - NIFTY Index Options'!$L:$L,'NSE - NIFTY Index Options'!$D:$D,$A82,'NSE - NIFTY Index Options'!$B:$B,"Wednesday",'NSE - NIFTY Index Options'!$G:$G,"Weekly*")+SUMIFS('NSE - Other Index Options'!$L:$L,'NSE - Other Index Options'!$D:$D,$A82,'NSE - Other Index Options'!$B:$B,"Wednesday",'NSE - Other Index Options'!$G:$G,"Weekly*"))</f>
        <v/>
      </c>
      <c r="C82" s="26" t="str">
        <f>IF(SUMIFS('BSE - SENSEX Index Options'!$L:$L,'BSE - SENSEX Index Options'!$D:$D,$A82,'BSE - SENSEX Index Options'!$B:$B,"Wednesday",'BSE - SENSEX Index Options'!$G:$G,"Weekly*")+SUMIFS('BSE - Other Index Options'!$L:$L,'BSE - Other Index Options'!$D:$D,$A82,'BSE - Other Index Options'!$B:$B,"Wednesday",'BSE - Other Index Options'!$G:$G,"Weekly*")=0,"",SUMIFS('BSE - SENSEX Index Options'!$L:$L,'BSE - SENSEX Index Options'!$D:$D,$A82,'BSE - SENSEX Index Options'!$B:$B,"Wednesday",'BSE - SENSEX Index Options'!$G:$G,"Weekly*")+SUMIFS('BSE - Other Index Options'!$L:$L,'BSE - Other Index Options'!$D:$D,$A82,'BSE - Other Index Options'!$B:$B,"Wednesday",'BSE - Other Index Options'!$G:$G,"Weekly*"))</f>
        <v/>
      </c>
      <c r="D82" s="27" t="str">
        <f t="shared" si="4"/>
        <v/>
      </c>
      <c r="E82" s="27" t="str">
        <f t="shared" si="5"/>
        <v/>
      </c>
    </row>
    <row r="83" spans="1:5" hidden="1" outlineLevel="1">
      <c r="A83" s="24">
        <v>46327</v>
      </c>
      <c r="B83" s="26" t="str">
        <f>IF(SUMIFS('NSE - NIFTY Index Options'!$L:$L,'NSE - NIFTY Index Options'!$D:$D,$A83,'NSE - NIFTY Index Options'!$B:$B,"Wednesday",'NSE - NIFTY Index Options'!$G:$G,"Weekly*")+SUMIFS('NSE - Other Index Options'!$L:$L,'NSE - Other Index Options'!$D:$D,$A83,'NSE - Other Index Options'!$B:$B,"Wednesday",'NSE - Other Index Options'!$G:$G,"Weekly*")=0,"",SUMIFS('NSE - NIFTY Index Options'!$L:$L,'NSE - NIFTY Index Options'!$D:$D,$A83,'NSE - NIFTY Index Options'!$B:$B,"Wednesday",'NSE - NIFTY Index Options'!$G:$G,"Weekly*")+SUMIFS('NSE - Other Index Options'!$L:$L,'NSE - Other Index Options'!$D:$D,$A83,'NSE - Other Index Options'!$B:$B,"Wednesday",'NSE - Other Index Options'!$G:$G,"Weekly*"))</f>
        <v/>
      </c>
      <c r="C83" s="26" t="str">
        <f>IF(SUMIFS('BSE - SENSEX Index Options'!$L:$L,'BSE - SENSEX Index Options'!$D:$D,$A83,'BSE - SENSEX Index Options'!$B:$B,"Wednesday",'BSE - SENSEX Index Options'!$G:$G,"Weekly*")+SUMIFS('BSE - Other Index Options'!$L:$L,'BSE - Other Index Options'!$D:$D,$A83,'BSE - Other Index Options'!$B:$B,"Wednesday",'BSE - Other Index Options'!$G:$G,"Weekly*")=0,"",SUMIFS('BSE - SENSEX Index Options'!$L:$L,'BSE - SENSEX Index Options'!$D:$D,$A83,'BSE - SENSEX Index Options'!$B:$B,"Wednesday",'BSE - SENSEX Index Options'!$G:$G,"Weekly*")+SUMIFS('BSE - Other Index Options'!$L:$L,'BSE - Other Index Options'!$D:$D,$A83,'BSE - Other Index Options'!$B:$B,"Wednesday",'BSE - Other Index Options'!$G:$G,"Weekly*"))</f>
        <v/>
      </c>
      <c r="D83" s="27" t="str">
        <f t="shared" si="4"/>
        <v/>
      </c>
      <c r="E83" s="27" t="str">
        <f t="shared" si="5"/>
        <v/>
      </c>
    </row>
    <row r="84" spans="1:5" hidden="1" outlineLevel="1">
      <c r="A84" s="24">
        <v>46357</v>
      </c>
      <c r="B84" s="26" t="str">
        <f>IF(SUMIFS('NSE - NIFTY Index Options'!$L:$L,'NSE - NIFTY Index Options'!$D:$D,$A84,'NSE - NIFTY Index Options'!$B:$B,"Wednesday",'NSE - NIFTY Index Options'!$G:$G,"Weekly*")+SUMIFS('NSE - Other Index Options'!$L:$L,'NSE - Other Index Options'!$D:$D,$A84,'NSE - Other Index Options'!$B:$B,"Wednesday",'NSE - Other Index Options'!$G:$G,"Weekly*")=0,"",SUMIFS('NSE - NIFTY Index Options'!$L:$L,'NSE - NIFTY Index Options'!$D:$D,$A84,'NSE - NIFTY Index Options'!$B:$B,"Wednesday",'NSE - NIFTY Index Options'!$G:$G,"Weekly*")+SUMIFS('NSE - Other Index Options'!$L:$L,'NSE - Other Index Options'!$D:$D,$A84,'NSE - Other Index Options'!$B:$B,"Wednesday",'NSE - Other Index Options'!$G:$G,"Weekly*"))</f>
        <v/>
      </c>
      <c r="C84" s="26" t="str">
        <f>IF(SUMIFS('BSE - SENSEX Index Options'!$L:$L,'BSE - SENSEX Index Options'!$D:$D,$A84,'BSE - SENSEX Index Options'!$B:$B,"Wednesday",'BSE - SENSEX Index Options'!$G:$G,"Weekly*")+SUMIFS('BSE - Other Index Options'!$L:$L,'BSE - Other Index Options'!$D:$D,$A84,'BSE - Other Index Options'!$B:$B,"Wednesday",'BSE - Other Index Options'!$G:$G,"Weekly*")=0,"",SUMIFS('BSE - SENSEX Index Options'!$L:$L,'BSE - SENSEX Index Options'!$D:$D,$A84,'BSE - SENSEX Index Options'!$B:$B,"Wednesday",'BSE - SENSEX Index Options'!$G:$G,"Weekly*")+SUMIFS('BSE - Other Index Options'!$L:$L,'BSE - Other Index Options'!$D:$D,$A84,'BSE - Other Index Options'!$B:$B,"Wednesday",'BSE - Other Index Options'!$G:$G,"Weekly*"))</f>
        <v/>
      </c>
      <c r="D84" s="27" t="str">
        <f t="shared" si="4"/>
        <v/>
      </c>
      <c r="E84" s="27" t="str">
        <f t="shared" si="5"/>
        <v/>
      </c>
    </row>
    <row r="85" spans="1:5" hidden="1" outlineLevel="1">
      <c r="A85" s="24">
        <v>46388</v>
      </c>
      <c r="B85" s="26" t="str">
        <f>IF(SUMIFS('NSE - NIFTY Index Options'!$L:$L,'NSE - NIFTY Index Options'!$D:$D,$A85,'NSE - NIFTY Index Options'!$B:$B,"Wednesday",'NSE - NIFTY Index Options'!$G:$G,"Weekly*")+SUMIFS('NSE - Other Index Options'!$L:$L,'NSE - Other Index Options'!$D:$D,$A85,'NSE - Other Index Options'!$B:$B,"Wednesday",'NSE - Other Index Options'!$G:$G,"Weekly*")=0,"",SUMIFS('NSE - NIFTY Index Options'!$L:$L,'NSE - NIFTY Index Options'!$D:$D,$A85,'NSE - NIFTY Index Options'!$B:$B,"Wednesday",'NSE - NIFTY Index Options'!$G:$G,"Weekly*")+SUMIFS('NSE - Other Index Options'!$L:$L,'NSE - Other Index Options'!$D:$D,$A85,'NSE - Other Index Options'!$B:$B,"Wednesday",'NSE - Other Index Options'!$G:$G,"Weekly*"))</f>
        <v/>
      </c>
      <c r="C85" s="26" t="str">
        <f>IF(SUMIFS('BSE - SENSEX Index Options'!$L:$L,'BSE - SENSEX Index Options'!$D:$D,$A85,'BSE - SENSEX Index Options'!$B:$B,"Wednesday",'BSE - SENSEX Index Options'!$G:$G,"Weekly*")+SUMIFS('BSE - Other Index Options'!$L:$L,'BSE - Other Index Options'!$D:$D,$A85,'BSE - Other Index Options'!$B:$B,"Wednesday",'BSE - Other Index Options'!$G:$G,"Weekly*")=0,"",SUMIFS('BSE - SENSEX Index Options'!$L:$L,'BSE - SENSEX Index Options'!$D:$D,$A85,'BSE - SENSEX Index Options'!$B:$B,"Wednesday",'BSE - SENSEX Index Options'!$G:$G,"Weekly*")+SUMIFS('BSE - Other Index Options'!$L:$L,'BSE - Other Index Options'!$D:$D,$A85,'BSE - Other Index Options'!$B:$B,"Wednesday",'BSE - Other Index Options'!$G:$G,"Weekly*"))</f>
        <v/>
      </c>
      <c r="D85" s="27" t="str">
        <f t="shared" si="4"/>
        <v/>
      </c>
      <c r="E85" s="27" t="str">
        <f t="shared" si="5"/>
        <v/>
      </c>
    </row>
    <row r="86" spans="1:5" hidden="1" outlineLevel="1">
      <c r="A86" s="24">
        <v>46419</v>
      </c>
      <c r="B86" s="26" t="str">
        <f>IF(SUMIFS('NSE - NIFTY Index Options'!$L:$L,'NSE - NIFTY Index Options'!$D:$D,$A86,'NSE - NIFTY Index Options'!$B:$B,"Wednesday",'NSE - NIFTY Index Options'!$G:$G,"Weekly*")+SUMIFS('NSE - Other Index Options'!$L:$L,'NSE - Other Index Options'!$D:$D,$A86,'NSE - Other Index Options'!$B:$B,"Wednesday",'NSE - Other Index Options'!$G:$G,"Weekly*")=0,"",SUMIFS('NSE - NIFTY Index Options'!$L:$L,'NSE - NIFTY Index Options'!$D:$D,$A86,'NSE - NIFTY Index Options'!$B:$B,"Wednesday",'NSE - NIFTY Index Options'!$G:$G,"Weekly*")+SUMIFS('NSE - Other Index Options'!$L:$L,'NSE - Other Index Options'!$D:$D,$A86,'NSE - Other Index Options'!$B:$B,"Wednesday",'NSE - Other Index Options'!$G:$G,"Weekly*"))</f>
        <v/>
      </c>
      <c r="C86" s="26" t="str">
        <f>IF(SUMIFS('BSE - SENSEX Index Options'!$L:$L,'BSE - SENSEX Index Options'!$D:$D,$A86,'BSE - SENSEX Index Options'!$B:$B,"Wednesday",'BSE - SENSEX Index Options'!$G:$G,"Weekly*")+SUMIFS('BSE - Other Index Options'!$L:$L,'BSE - Other Index Options'!$D:$D,$A86,'BSE - Other Index Options'!$B:$B,"Wednesday",'BSE - Other Index Options'!$G:$G,"Weekly*")=0,"",SUMIFS('BSE - SENSEX Index Options'!$L:$L,'BSE - SENSEX Index Options'!$D:$D,$A86,'BSE - SENSEX Index Options'!$B:$B,"Wednesday",'BSE - SENSEX Index Options'!$G:$G,"Weekly*")+SUMIFS('BSE - Other Index Options'!$L:$L,'BSE - Other Index Options'!$D:$D,$A86,'BSE - Other Index Options'!$B:$B,"Wednesday",'BSE - Other Index Options'!$G:$G,"Weekly*"))</f>
        <v/>
      </c>
      <c r="D86" s="27" t="str">
        <f t="shared" si="4"/>
        <v/>
      </c>
      <c r="E86" s="27" t="str">
        <f t="shared" si="5"/>
        <v/>
      </c>
    </row>
    <row r="87" spans="1:5" hidden="1" outlineLevel="1">
      <c r="A87" s="24">
        <v>46447</v>
      </c>
      <c r="B87" s="26" t="str">
        <f>IF(SUMIFS('NSE - NIFTY Index Options'!$L:$L,'NSE - NIFTY Index Options'!$D:$D,$A87,'NSE - NIFTY Index Options'!$B:$B,"Wednesday",'NSE - NIFTY Index Options'!$G:$G,"Weekly*")+SUMIFS('NSE - Other Index Options'!$L:$L,'NSE - Other Index Options'!$D:$D,$A87,'NSE - Other Index Options'!$B:$B,"Wednesday",'NSE - Other Index Options'!$G:$G,"Weekly*")=0,"",SUMIFS('NSE - NIFTY Index Options'!$L:$L,'NSE - NIFTY Index Options'!$D:$D,$A87,'NSE - NIFTY Index Options'!$B:$B,"Wednesday",'NSE - NIFTY Index Options'!$G:$G,"Weekly*")+SUMIFS('NSE - Other Index Options'!$L:$L,'NSE - Other Index Options'!$D:$D,$A87,'NSE - Other Index Options'!$B:$B,"Wednesday",'NSE - Other Index Options'!$G:$G,"Weekly*"))</f>
        <v/>
      </c>
      <c r="C87" s="26" t="str">
        <f>IF(SUMIFS('BSE - SENSEX Index Options'!$L:$L,'BSE - SENSEX Index Options'!$D:$D,$A87,'BSE - SENSEX Index Options'!$B:$B,"Wednesday",'BSE - SENSEX Index Options'!$G:$G,"Weekly*")+SUMIFS('BSE - Other Index Options'!$L:$L,'BSE - Other Index Options'!$D:$D,$A87,'BSE - Other Index Options'!$B:$B,"Wednesday",'BSE - Other Index Options'!$G:$G,"Weekly*")=0,"",SUMIFS('BSE - SENSEX Index Options'!$L:$L,'BSE - SENSEX Index Options'!$D:$D,$A87,'BSE - SENSEX Index Options'!$B:$B,"Wednesday",'BSE - SENSEX Index Options'!$G:$G,"Weekly*")+SUMIFS('BSE - Other Index Options'!$L:$L,'BSE - Other Index Options'!$D:$D,$A87,'BSE - Other Index Options'!$B:$B,"Wednesday",'BSE - Other Index Options'!$G:$G,"Weekly*"))</f>
        <v/>
      </c>
      <c r="D87" s="27" t="str">
        <f t="shared" si="4"/>
        <v/>
      </c>
      <c r="E87" s="27" t="str">
        <f t="shared" si="5"/>
        <v/>
      </c>
    </row>
    <row r="88" spans="1:5" hidden="1" outlineLevel="1">
      <c r="A88" s="24">
        <v>46478</v>
      </c>
      <c r="B88" s="26" t="str">
        <f>IF(SUMIFS('NSE - NIFTY Index Options'!$L:$L,'NSE - NIFTY Index Options'!$D:$D,$A88,'NSE - NIFTY Index Options'!$B:$B,"Wednesday",'NSE - NIFTY Index Options'!$G:$G,"Weekly*")+SUMIFS('NSE - Other Index Options'!$L:$L,'NSE - Other Index Options'!$D:$D,$A88,'NSE - Other Index Options'!$B:$B,"Wednesday",'NSE - Other Index Options'!$G:$G,"Weekly*")=0,"",SUMIFS('NSE - NIFTY Index Options'!$L:$L,'NSE - NIFTY Index Options'!$D:$D,$A88,'NSE - NIFTY Index Options'!$B:$B,"Wednesday",'NSE - NIFTY Index Options'!$G:$G,"Weekly*")+SUMIFS('NSE - Other Index Options'!$L:$L,'NSE - Other Index Options'!$D:$D,$A88,'NSE - Other Index Options'!$B:$B,"Wednesday",'NSE - Other Index Options'!$G:$G,"Weekly*"))</f>
        <v/>
      </c>
      <c r="C88" s="26" t="str">
        <f>IF(SUMIFS('BSE - SENSEX Index Options'!$L:$L,'BSE - SENSEX Index Options'!$D:$D,$A88,'BSE - SENSEX Index Options'!$B:$B,"Wednesday",'BSE - SENSEX Index Options'!$G:$G,"Weekly*")+SUMIFS('BSE - Other Index Options'!$L:$L,'BSE - Other Index Options'!$D:$D,$A88,'BSE - Other Index Options'!$B:$B,"Wednesday",'BSE - Other Index Options'!$G:$G,"Weekly*")=0,"",SUMIFS('BSE - SENSEX Index Options'!$L:$L,'BSE - SENSEX Index Options'!$D:$D,$A88,'BSE - SENSEX Index Options'!$B:$B,"Wednesday",'BSE - SENSEX Index Options'!$G:$G,"Weekly*")+SUMIFS('BSE - Other Index Options'!$L:$L,'BSE - Other Index Options'!$D:$D,$A88,'BSE - Other Index Options'!$B:$B,"Wednesday",'BSE - Other Index Options'!$G:$G,"Weekly*"))</f>
        <v/>
      </c>
      <c r="D88" s="27" t="str">
        <f t="shared" si="4"/>
        <v/>
      </c>
      <c r="E88" s="27" t="str">
        <f t="shared" si="5"/>
        <v/>
      </c>
    </row>
    <row r="89" spans="1:5" hidden="1" outlineLevel="1">
      <c r="A89" s="24">
        <v>46508</v>
      </c>
      <c r="B89" s="26" t="str">
        <f>IF(SUMIFS('NSE - NIFTY Index Options'!$L:$L,'NSE - NIFTY Index Options'!$D:$D,$A89,'NSE - NIFTY Index Options'!$B:$B,"Wednesday",'NSE - NIFTY Index Options'!$G:$G,"Weekly*")+SUMIFS('NSE - Other Index Options'!$L:$L,'NSE - Other Index Options'!$D:$D,$A89,'NSE - Other Index Options'!$B:$B,"Wednesday",'NSE - Other Index Options'!$G:$G,"Weekly*")=0,"",SUMIFS('NSE - NIFTY Index Options'!$L:$L,'NSE - NIFTY Index Options'!$D:$D,$A89,'NSE - NIFTY Index Options'!$B:$B,"Wednesday",'NSE - NIFTY Index Options'!$G:$G,"Weekly*")+SUMIFS('NSE - Other Index Options'!$L:$L,'NSE - Other Index Options'!$D:$D,$A89,'NSE - Other Index Options'!$B:$B,"Wednesday",'NSE - Other Index Options'!$G:$G,"Weekly*"))</f>
        <v/>
      </c>
      <c r="C89" s="26" t="str">
        <f>IF(SUMIFS('BSE - SENSEX Index Options'!$L:$L,'BSE - SENSEX Index Options'!$D:$D,$A89,'BSE - SENSEX Index Options'!$B:$B,"Wednesday",'BSE - SENSEX Index Options'!$G:$G,"Weekly*")+SUMIFS('BSE - Other Index Options'!$L:$L,'BSE - Other Index Options'!$D:$D,$A89,'BSE - Other Index Options'!$B:$B,"Wednesday",'BSE - Other Index Options'!$G:$G,"Weekly*")=0,"",SUMIFS('BSE - SENSEX Index Options'!$L:$L,'BSE - SENSEX Index Options'!$D:$D,$A89,'BSE - SENSEX Index Options'!$B:$B,"Wednesday",'BSE - SENSEX Index Options'!$G:$G,"Weekly*")+SUMIFS('BSE - Other Index Options'!$L:$L,'BSE - Other Index Options'!$D:$D,$A89,'BSE - Other Index Options'!$B:$B,"Wednesday",'BSE - Other Index Options'!$G:$G,"Weekly*"))</f>
        <v/>
      </c>
      <c r="D89" s="27" t="str">
        <f t="shared" si="4"/>
        <v/>
      </c>
      <c r="E89" s="27" t="str">
        <f t="shared" si="5"/>
        <v/>
      </c>
    </row>
    <row r="90" spans="1:5" hidden="1" outlineLevel="1">
      <c r="A90" s="24">
        <v>46539</v>
      </c>
      <c r="B90" s="26" t="str">
        <f>IF(SUMIFS('NSE - NIFTY Index Options'!$L:$L,'NSE - NIFTY Index Options'!$D:$D,$A90,'NSE - NIFTY Index Options'!$B:$B,"Wednesday",'NSE - NIFTY Index Options'!$G:$G,"Weekly*")+SUMIFS('NSE - Other Index Options'!$L:$L,'NSE - Other Index Options'!$D:$D,$A90,'NSE - Other Index Options'!$B:$B,"Wednesday",'NSE - Other Index Options'!$G:$G,"Weekly*")=0,"",SUMIFS('NSE - NIFTY Index Options'!$L:$L,'NSE - NIFTY Index Options'!$D:$D,$A90,'NSE - NIFTY Index Options'!$B:$B,"Wednesday",'NSE - NIFTY Index Options'!$G:$G,"Weekly*")+SUMIFS('NSE - Other Index Options'!$L:$L,'NSE - Other Index Options'!$D:$D,$A90,'NSE - Other Index Options'!$B:$B,"Wednesday",'NSE - Other Index Options'!$G:$G,"Weekly*"))</f>
        <v/>
      </c>
      <c r="C90" s="26" t="str">
        <f>IF(SUMIFS('BSE - SENSEX Index Options'!$L:$L,'BSE - SENSEX Index Options'!$D:$D,$A90,'BSE - SENSEX Index Options'!$B:$B,"Wednesday",'BSE - SENSEX Index Options'!$G:$G,"Weekly*")+SUMIFS('BSE - Other Index Options'!$L:$L,'BSE - Other Index Options'!$D:$D,$A90,'BSE - Other Index Options'!$B:$B,"Wednesday",'BSE - Other Index Options'!$G:$G,"Weekly*")=0,"",SUMIFS('BSE - SENSEX Index Options'!$L:$L,'BSE - SENSEX Index Options'!$D:$D,$A90,'BSE - SENSEX Index Options'!$B:$B,"Wednesday",'BSE - SENSEX Index Options'!$G:$G,"Weekly*")+SUMIFS('BSE - Other Index Options'!$L:$L,'BSE - Other Index Options'!$D:$D,$A90,'BSE - Other Index Options'!$B:$B,"Wednesday",'BSE - Other Index Options'!$G:$G,"Weekly*"))</f>
        <v/>
      </c>
      <c r="D90" s="27" t="str">
        <f t="shared" si="4"/>
        <v/>
      </c>
      <c r="E90" s="27" t="str">
        <f t="shared" si="5"/>
        <v/>
      </c>
    </row>
    <row r="91" spans="1:5" hidden="1" outlineLevel="1">
      <c r="A91" s="24">
        <v>46569</v>
      </c>
      <c r="B91" s="26" t="str">
        <f>IF(SUMIFS('NSE - NIFTY Index Options'!$L:$L,'NSE - NIFTY Index Options'!$D:$D,$A91,'NSE - NIFTY Index Options'!$B:$B,"Wednesday",'NSE - NIFTY Index Options'!$G:$G,"Weekly*")+SUMIFS('NSE - Other Index Options'!$L:$L,'NSE - Other Index Options'!$D:$D,$A91,'NSE - Other Index Options'!$B:$B,"Wednesday",'NSE - Other Index Options'!$G:$G,"Weekly*")=0,"",SUMIFS('NSE - NIFTY Index Options'!$L:$L,'NSE - NIFTY Index Options'!$D:$D,$A91,'NSE - NIFTY Index Options'!$B:$B,"Wednesday",'NSE - NIFTY Index Options'!$G:$G,"Weekly*")+SUMIFS('NSE - Other Index Options'!$L:$L,'NSE - Other Index Options'!$D:$D,$A91,'NSE - Other Index Options'!$B:$B,"Wednesday",'NSE - Other Index Options'!$G:$G,"Weekly*"))</f>
        <v/>
      </c>
      <c r="C91" s="26" t="str">
        <f>IF(SUMIFS('BSE - SENSEX Index Options'!$L:$L,'BSE - SENSEX Index Options'!$D:$D,$A91,'BSE - SENSEX Index Options'!$B:$B,"Wednesday",'BSE - SENSEX Index Options'!$G:$G,"Weekly*")+SUMIFS('BSE - Other Index Options'!$L:$L,'BSE - Other Index Options'!$D:$D,$A91,'BSE - Other Index Options'!$B:$B,"Wednesday",'BSE - Other Index Options'!$G:$G,"Weekly*")=0,"",SUMIFS('BSE - SENSEX Index Options'!$L:$L,'BSE - SENSEX Index Options'!$D:$D,$A91,'BSE - SENSEX Index Options'!$B:$B,"Wednesday",'BSE - SENSEX Index Options'!$G:$G,"Weekly*")+SUMIFS('BSE - Other Index Options'!$L:$L,'BSE - Other Index Options'!$D:$D,$A91,'BSE - Other Index Options'!$B:$B,"Wednesday",'BSE - Other Index Options'!$G:$G,"Weekly*"))</f>
        <v/>
      </c>
      <c r="D91" s="27" t="str">
        <f t="shared" si="4"/>
        <v/>
      </c>
      <c r="E91" s="27" t="str">
        <f t="shared" si="5"/>
        <v/>
      </c>
    </row>
    <row r="92" spans="1:5" hidden="1" outlineLevel="1">
      <c r="A92" s="24">
        <v>46600</v>
      </c>
      <c r="B92" s="26" t="str">
        <f>IF(SUMIFS('NSE - NIFTY Index Options'!$L:$L,'NSE - NIFTY Index Options'!$D:$D,$A92,'NSE - NIFTY Index Options'!$B:$B,"Wednesday",'NSE - NIFTY Index Options'!$G:$G,"Weekly*")+SUMIFS('NSE - Other Index Options'!$L:$L,'NSE - Other Index Options'!$D:$D,$A92,'NSE - Other Index Options'!$B:$B,"Wednesday",'NSE - Other Index Options'!$G:$G,"Weekly*")=0,"",SUMIFS('NSE - NIFTY Index Options'!$L:$L,'NSE - NIFTY Index Options'!$D:$D,$A92,'NSE - NIFTY Index Options'!$B:$B,"Wednesday",'NSE - NIFTY Index Options'!$G:$G,"Weekly*")+SUMIFS('NSE - Other Index Options'!$L:$L,'NSE - Other Index Options'!$D:$D,$A92,'NSE - Other Index Options'!$B:$B,"Wednesday",'NSE - Other Index Options'!$G:$G,"Weekly*"))</f>
        <v/>
      </c>
      <c r="C92" s="26" t="str">
        <f>IF(SUMIFS('BSE - SENSEX Index Options'!$L:$L,'BSE - SENSEX Index Options'!$D:$D,$A92,'BSE - SENSEX Index Options'!$B:$B,"Wednesday",'BSE - SENSEX Index Options'!$G:$G,"Weekly*")+SUMIFS('BSE - Other Index Options'!$L:$L,'BSE - Other Index Options'!$D:$D,$A92,'BSE - Other Index Options'!$B:$B,"Wednesday",'BSE - Other Index Options'!$G:$G,"Weekly*")=0,"",SUMIFS('BSE - SENSEX Index Options'!$L:$L,'BSE - SENSEX Index Options'!$D:$D,$A92,'BSE - SENSEX Index Options'!$B:$B,"Wednesday",'BSE - SENSEX Index Options'!$G:$G,"Weekly*")+SUMIFS('BSE - Other Index Options'!$L:$L,'BSE - Other Index Options'!$D:$D,$A92,'BSE - Other Index Options'!$B:$B,"Wednesday",'BSE - Other Index Options'!$G:$G,"Weekly*"))</f>
        <v/>
      </c>
      <c r="D92" s="27" t="str">
        <f t="shared" si="4"/>
        <v/>
      </c>
      <c r="E92" s="27" t="str">
        <f t="shared" si="5"/>
        <v/>
      </c>
    </row>
    <row r="93" spans="1:5" hidden="1" outlineLevel="1">
      <c r="A93" s="24">
        <v>46631</v>
      </c>
      <c r="B93" s="26" t="str">
        <f>IF(SUMIFS('NSE - NIFTY Index Options'!$L:$L,'NSE - NIFTY Index Options'!$D:$D,$A93,'NSE - NIFTY Index Options'!$B:$B,"Wednesday",'NSE - NIFTY Index Options'!$G:$G,"Weekly*")+SUMIFS('NSE - Other Index Options'!$L:$L,'NSE - Other Index Options'!$D:$D,$A93,'NSE - Other Index Options'!$B:$B,"Wednesday",'NSE - Other Index Options'!$G:$G,"Weekly*")=0,"",SUMIFS('NSE - NIFTY Index Options'!$L:$L,'NSE - NIFTY Index Options'!$D:$D,$A93,'NSE - NIFTY Index Options'!$B:$B,"Wednesday",'NSE - NIFTY Index Options'!$G:$G,"Weekly*")+SUMIFS('NSE - Other Index Options'!$L:$L,'NSE - Other Index Options'!$D:$D,$A93,'NSE - Other Index Options'!$B:$B,"Wednesday",'NSE - Other Index Options'!$G:$G,"Weekly*"))</f>
        <v/>
      </c>
      <c r="C93" s="26" t="str">
        <f>IF(SUMIFS('BSE - SENSEX Index Options'!$L:$L,'BSE - SENSEX Index Options'!$D:$D,$A93,'BSE - SENSEX Index Options'!$B:$B,"Wednesday",'BSE - SENSEX Index Options'!$G:$G,"Weekly*")+SUMIFS('BSE - Other Index Options'!$L:$L,'BSE - Other Index Options'!$D:$D,$A93,'BSE - Other Index Options'!$B:$B,"Wednesday",'BSE - Other Index Options'!$G:$G,"Weekly*")=0,"",SUMIFS('BSE - SENSEX Index Options'!$L:$L,'BSE - SENSEX Index Options'!$D:$D,$A93,'BSE - SENSEX Index Options'!$B:$B,"Wednesday",'BSE - SENSEX Index Options'!$G:$G,"Weekly*")+SUMIFS('BSE - Other Index Options'!$L:$L,'BSE - Other Index Options'!$D:$D,$A93,'BSE - Other Index Options'!$B:$B,"Wednesday",'BSE - Other Index Options'!$G:$G,"Weekly*"))</f>
        <v/>
      </c>
      <c r="D93" s="27" t="str">
        <f t="shared" si="4"/>
        <v/>
      </c>
      <c r="E93" s="27" t="str">
        <f t="shared" si="5"/>
        <v/>
      </c>
    </row>
    <row r="94" spans="1:5" hidden="1" outlineLevel="1">
      <c r="A94" s="24">
        <v>46661</v>
      </c>
      <c r="B94" s="26" t="str">
        <f>IF(SUMIFS('NSE - NIFTY Index Options'!$L:$L,'NSE - NIFTY Index Options'!$D:$D,$A94,'NSE - NIFTY Index Options'!$B:$B,"Wednesday",'NSE - NIFTY Index Options'!$G:$G,"Weekly*")+SUMIFS('NSE - Other Index Options'!$L:$L,'NSE - Other Index Options'!$D:$D,$A94,'NSE - Other Index Options'!$B:$B,"Wednesday",'NSE - Other Index Options'!$G:$G,"Weekly*")=0,"",SUMIFS('NSE - NIFTY Index Options'!$L:$L,'NSE - NIFTY Index Options'!$D:$D,$A94,'NSE - NIFTY Index Options'!$B:$B,"Wednesday",'NSE - NIFTY Index Options'!$G:$G,"Weekly*")+SUMIFS('NSE - Other Index Options'!$L:$L,'NSE - Other Index Options'!$D:$D,$A94,'NSE - Other Index Options'!$B:$B,"Wednesday",'NSE - Other Index Options'!$G:$G,"Weekly*"))</f>
        <v/>
      </c>
      <c r="C94" s="26" t="str">
        <f>IF(SUMIFS('BSE - SENSEX Index Options'!$L:$L,'BSE - SENSEX Index Options'!$D:$D,$A94,'BSE - SENSEX Index Options'!$B:$B,"Wednesday",'BSE - SENSEX Index Options'!$G:$G,"Weekly*")+SUMIFS('BSE - Other Index Options'!$L:$L,'BSE - Other Index Options'!$D:$D,$A94,'BSE - Other Index Options'!$B:$B,"Wednesday",'BSE - Other Index Options'!$G:$G,"Weekly*")=0,"",SUMIFS('BSE - SENSEX Index Options'!$L:$L,'BSE - SENSEX Index Options'!$D:$D,$A94,'BSE - SENSEX Index Options'!$B:$B,"Wednesday",'BSE - SENSEX Index Options'!$G:$G,"Weekly*")+SUMIFS('BSE - Other Index Options'!$L:$L,'BSE - Other Index Options'!$D:$D,$A94,'BSE - Other Index Options'!$B:$B,"Wednesday",'BSE - Other Index Options'!$G:$G,"Weekly*"))</f>
        <v/>
      </c>
      <c r="D94" s="27" t="str">
        <f t="shared" si="4"/>
        <v/>
      </c>
      <c r="E94" s="27" t="str">
        <f t="shared" si="5"/>
        <v/>
      </c>
    </row>
    <row r="95" spans="1:5" hidden="1" outlineLevel="1">
      <c r="A95" s="24">
        <v>46692</v>
      </c>
      <c r="B95" s="26" t="str">
        <f>IF(SUMIFS('NSE - NIFTY Index Options'!$L:$L,'NSE - NIFTY Index Options'!$D:$D,$A95,'NSE - NIFTY Index Options'!$B:$B,"Wednesday",'NSE - NIFTY Index Options'!$G:$G,"Weekly*")+SUMIFS('NSE - Other Index Options'!$L:$L,'NSE - Other Index Options'!$D:$D,$A95,'NSE - Other Index Options'!$B:$B,"Wednesday",'NSE - Other Index Options'!$G:$G,"Weekly*")=0,"",SUMIFS('NSE - NIFTY Index Options'!$L:$L,'NSE - NIFTY Index Options'!$D:$D,$A95,'NSE - NIFTY Index Options'!$B:$B,"Wednesday",'NSE - NIFTY Index Options'!$G:$G,"Weekly*")+SUMIFS('NSE - Other Index Options'!$L:$L,'NSE - Other Index Options'!$D:$D,$A95,'NSE - Other Index Options'!$B:$B,"Wednesday",'NSE - Other Index Options'!$G:$G,"Weekly*"))</f>
        <v/>
      </c>
      <c r="C95" s="26" t="str">
        <f>IF(SUMIFS('BSE - SENSEX Index Options'!$L:$L,'BSE - SENSEX Index Options'!$D:$D,$A95,'BSE - SENSEX Index Options'!$B:$B,"Wednesday",'BSE - SENSEX Index Options'!$G:$G,"Weekly*")+SUMIFS('BSE - Other Index Options'!$L:$L,'BSE - Other Index Options'!$D:$D,$A95,'BSE - Other Index Options'!$B:$B,"Wednesday",'BSE - Other Index Options'!$G:$G,"Weekly*")=0,"",SUMIFS('BSE - SENSEX Index Options'!$L:$L,'BSE - SENSEX Index Options'!$D:$D,$A95,'BSE - SENSEX Index Options'!$B:$B,"Wednesday",'BSE - SENSEX Index Options'!$G:$G,"Weekly*")+SUMIFS('BSE - Other Index Options'!$L:$L,'BSE - Other Index Options'!$D:$D,$A95,'BSE - Other Index Options'!$B:$B,"Wednesday",'BSE - Other Index Options'!$G:$G,"Weekly*"))</f>
        <v/>
      </c>
      <c r="D95" s="27" t="str">
        <f t="shared" si="4"/>
        <v/>
      </c>
      <c r="E95" s="27" t="str">
        <f t="shared" si="5"/>
        <v/>
      </c>
    </row>
    <row r="96" spans="1:5" hidden="1" outlineLevel="1">
      <c r="A96" s="24">
        <v>46722</v>
      </c>
      <c r="B96" s="26" t="str">
        <f>IF(SUMIFS('NSE - NIFTY Index Options'!$L:$L,'NSE - NIFTY Index Options'!$D:$D,$A96,'NSE - NIFTY Index Options'!$B:$B,"Wednesday",'NSE - NIFTY Index Options'!$G:$G,"Weekly*")+SUMIFS('NSE - Other Index Options'!$L:$L,'NSE - Other Index Options'!$D:$D,$A96,'NSE - Other Index Options'!$B:$B,"Wednesday",'NSE - Other Index Options'!$G:$G,"Weekly*")=0,"",SUMIFS('NSE - NIFTY Index Options'!$L:$L,'NSE - NIFTY Index Options'!$D:$D,$A96,'NSE - NIFTY Index Options'!$B:$B,"Wednesday",'NSE - NIFTY Index Options'!$G:$G,"Weekly*")+SUMIFS('NSE - Other Index Options'!$L:$L,'NSE - Other Index Options'!$D:$D,$A96,'NSE - Other Index Options'!$B:$B,"Wednesday",'NSE - Other Index Options'!$G:$G,"Weekly*"))</f>
        <v/>
      </c>
      <c r="C96" s="26" t="str">
        <f>IF(SUMIFS('BSE - SENSEX Index Options'!$L:$L,'BSE - SENSEX Index Options'!$D:$D,$A96,'BSE - SENSEX Index Options'!$B:$B,"Wednesday",'BSE - SENSEX Index Options'!$G:$G,"Weekly*")+SUMIFS('BSE - Other Index Options'!$L:$L,'BSE - Other Index Options'!$D:$D,$A96,'BSE - Other Index Options'!$B:$B,"Wednesday",'BSE - Other Index Options'!$G:$G,"Weekly*")=0,"",SUMIFS('BSE - SENSEX Index Options'!$L:$L,'BSE - SENSEX Index Options'!$D:$D,$A96,'BSE - SENSEX Index Options'!$B:$B,"Wednesday",'BSE - SENSEX Index Options'!$G:$G,"Weekly*")+SUMIFS('BSE - Other Index Options'!$L:$L,'BSE - Other Index Options'!$D:$D,$A96,'BSE - Other Index Options'!$B:$B,"Wednesday",'BSE - Other Index Options'!$G:$G,"Weekly*"))</f>
        <v/>
      </c>
      <c r="D96" s="27" t="str">
        <f t="shared" si="4"/>
        <v/>
      </c>
      <c r="E96" s="27" t="str">
        <f t="shared" si="5"/>
        <v/>
      </c>
    </row>
    <row r="97" spans="1:5" collapsed="1">
      <c r="A97" s="28" t="s">
        <v>9</v>
      </c>
      <c r="B97" s="30">
        <f>IF(SUM(B69:B96)=0,"",SUM(B69:B96))</f>
        <v>1133332.24</v>
      </c>
      <c r="C97" s="30">
        <f>IF(SUM(C69:C96)=0,"",SUM(C69:C96))</f>
        <v>1239912.7400000002</v>
      </c>
      <c r="D97" s="31">
        <f t="shared" si="4"/>
        <v>0.47754540704853815</v>
      </c>
      <c r="E97" s="31">
        <f t="shared" si="5"/>
        <v>0.52245459295146179</v>
      </c>
    </row>
    <row r="99" spans="1:5">
      <c r="A99" s="28" t="s">
        <v>180</v>
      </c>
    </row>
    <row r="100" spans="1:5">
      <c r="A100" s="28" t="s">
        <v>169</v>
      </c>
      <c r="B100" s="28" t="s">
        <v>1</v>
      </c>
      <c r="C100" s="28" t="s">
        <v>148</v>
      </c>
      <c r="D100" s="28" t="s">
        <v>149</v>
      </c>
      <c r="E100" s="28" t="s">
        <v>150</v>
      </c>
    </row>
    <row r="101" spans="1:5">
      <c r="A101" s="24">
        <v>45901</v>
      </c>
      <c r="B101" s="26">
        <f>IF(SUMIFS('NSE - NIFTY Index Options'!$L:$L,'NSE - NIFTY Index Options'!$D:$D,$A101,'NSE - NIFTY Index Options'!$B:$B,"Thursday",'NSE - NIFTY Index Options'!$G:$G,"Weekly*")+SUMIFS('NSE - Other Index Options'!$L:$L,'NSE - Other Index Options'!$D:$D,$A101,'NSE - Other Index Options'!$B:$B,"Thursday",'NSE - Other Index Options'!$G:$G,"Weekly*")=0,"",SUMIFS('NSE - NIFTY Index Options'!$L:$L,'NSE - NIFTY Index Options'!$D:$D,$A101,'NSE - NIFTY Index Options'!$B:$B,"Thursday",'NSE - NIFTY Index Options'!$G:$G,"Weekly*")+SUMIFS('NSE - Other Index Options'!$L:$L,'NSE - Other Index Options'!$D:$D,$A101,'NSE - Other Index Options'!$B:$B,"Thursday",'NSE - Other Index Options'!$G:$G,"Weekly*"))</f>
        <v>70757.850000000006</v>
      </c>
      <c r="C101" s="26">
        <f>IF(SUMIFS('BSE - SENSEX Index Options'!$L:$L,'BSE - SENSEX Index Options'!$D:$D,$A101,'BSE - SENSEX Index Options'!$B:$B,"Thursday",'BSE - SENSEX Index Options'!$G:$G,"Weekly*")+SUMIFS('BSE - Other Index Options'!$L:$L,'BSE - Other Index Options'!$D:$D,$A101,'BSE - Other Index Options'!$B:$B,"Thursday",'BSE - Other Index Options'!$G:$G,"Weekly*")=0,"",SUMIFS('BSE - SENSEX Index Options'!$L:$L,'BSE - SENSEX Index Options'!$D:$D,$A101,'BSE - SENSEX Index Options'!$B:$B,"Thursday",'BSE - SENSEX Index Options'!$G:$G,"Weekly*")+SUMIFS('BSE - Other Index Options'!$L:$L,'BSE - Other Index Options'!$D:$D,$A101,'BSE - Other Index Options'!$B:$B,"Thursday",'BSE - Other Index Options'!$G:$G,"Weekly*"))</f>
        <v>107540.87999999999</v>
      </c>
      <c r="D101" s="27">
        <f t="shared" ref="D101:D129" si="6">IF(SUM(B101:C101)=0,"",SUM(B101)/SUM(B101:C101))</f>
        <v>0.39684999438863089</v>
      </c>
      <c r="E101" s="27">
        <f t="shared" ref="E101:E129" si="7">IF(SUM(B101:C101)=0,"",SUM(C101)/SUM(B101:C101))</f>
        <v>0.60315000561136922</v>
      </c>
    </row>
    <row r="102" spans="1:5">
      <c r="A102" s="24">
        <v>45931</v>
      </c>
      <c r="B102" s="26">
        <f>IF(SUMIFS('NSE - NIFTY Index Options'!$L:$L,'NSE - NIFTY Index Options'!$D:$D,$A102,'NSE - NIFTY Index Options'!$B:$B,"Thursday",'NSE - NIFTY Index Options'!$G:$G,"Weekly*")+SUMIFS('NSE - Other Index Options'!$L:$L,'NSE - Other Index Options'!$D:$D,$A102,'NSE - Other Index Options'!$B:$B,"Thursday",'NSE - Other Index Options'!$G:$G,"Weekly*")=0,"",SUMIFS('NSE - NIFTY Index Options'!$L:$L,'NSE - NIFTY Index Options'!$D:$D,$A102,'NSE - NIFTY Index Options'!$B:$B,"Thursday",'NSE - NIFTY Index Options'!$G:$G,"Weekly*")+SUMIFS('NSE - Other Index Options'!$L:$L,'NSE - Other Index Options'!$D:$D,$A102,'NSE - Other Index Options'!$B:$B,"Thursday",'NSE - Other Index Options'!$G:$G,"Weekly*"))</f>
        <v>86528.99</v>
      </c>
      <c r="C102" s="26">
        <f>IF(SUMIFS('BSE - SENSEX Index Options'!$L:$L,'BSE - SENSEX Index Options'!$D:$D,$A102,'BSE - SENSEX Index Options'!$B:$B,"Thursday",'BSE - SENSEX Index Options'!$G:$G,"Weekly*")+SUMIFS('BSE - Other Index Options'!$L:$L,'BSE - Other Index Options'!$D:$D,$A102,'BSE - Other Index Options'!$B:$B,"Thursday",'BSE - Other Index Options'!$G:$G,"Weekly*")=0,"",SUMIFS('BSE - SENSEX Index Options'!$L:$L,'BSE - SENSEX Index Options'!$D:$D,$A102,'BSE - SENSEX Index Options'!$B:$B,"Thursday",'BSE - SENSEX Index Options'!$G:$G,"Weekly*")+SUMIFS('BSE - Other Index Options'!$L:$L,'BSE - Other Index Options'!$D:$D,$A102,'BSE - Other Index Options'!$B:$B,"Thursday",'BSE - Other Index Options'!$G:$G,"Weekly*"))</f>
        <v>131787.46999999997</v>
      </c>
      <c r="D102" s="27">
        <f t="shared" si="6"/>
        <v>0.39634661536743504</v>
      </c>
      <c r="E102" s="27">
        <f t="shared" si="7"/>
        <v>0.60365338463256502</v>
      </c>
    </row>
    <row r="103" spans="1:5">
      <c r="A103" s="24">
        <v>45962</v>
      </c>
      <c r="B103" s="26">
        <f>IF(SUMIFS('NSE - NIFTY Index Options'!$L:$L,'NSE - NIFTY Index Options'!$D:$D,$A103,'NSE - NIFTY Index Options'!$B:$B,"Thursday",'NSE - NIFTY Index Options'!$G:$G,"Weekly*")+SUMIFS('NSE - Other Index Options'!$L:$L,'NSE - Other Index Options'!$D:$D,$A103,'NSE - Other Index Options'!$B:$B,"Thursday",'NSE - Other Index Options'!$G:$G,"Weekly*")=0,"",SUMIFS('NSE - NIFTY Index Options'!$L:$L,'NSE - NIFTY Index Options'!$D:$D,$A103,'NSE - NIFTY Index Options'!$B:$B,"Thursday",'NSE - NIFTY Index Options'!$G:$G,"Weekly*")+SUMIFS('NSE - Other Index Options'!$L:$L,'NSE - Other Index Options'!$D:$D,$A103,'NSE - Other Index Options'!$B:$B,"Thursday",'NSE - Other Index Options'!$G:$G,"Weekly*"))</f>
        <v>86922.880000000005</v>
      </c>
      <c r="C103" s="26">
        <f>IF(SUMIFS('BSE - SENSEX Index Options'!$L:$L,'BSE - SENSEX Index Options'!$D:$D,$A103,'BSE - SENSEX Index Options'!$B:$B,"Thursday",'BSE - SENSEX Index Options'!$G:$G,"Weekly*")+SUMIFS('BSE - Other Index Options'!$L:$L,'BSE - Other Index Options'!$D:$D,$A103,'BSE - Other Index Options'!$B:$B,"Thursday",'BSE - Other Index Options'!$G:$G,"Weekly*")=0,"",SUMIFS('BSE - SENSEX Index Options'!$L:$L,'BSE - SENSEX Index Options'!$D:$D,$A103,'BSE - SENSEX Index Options'!$B:$B,"Thursday",'BSE - SENSEX Index Options'!$G:$G,"Weekly*")+SUMIFS('BSE - Other Index Options'!$L:$L,'BSE - Other Index Options'!$D:$D,$A103,'BSE - Other Index Options'!$B:$B,"Thursday",'BSE - Other Index Options'!$G:$G,"Weekly*"))</f>
        <v>131688.78999999998</v>
      </c>
      <c r="D103" s="27">
        <f t="shared" si="6"/>
        <v>0.39761317408169478</v>
      </c>
      <c r="E103" s="27">
        <f t="shared" si="7"/>
        <v>0.60238682591830528</v>
      </c>
    </row>
    <row r="104" spans="1:5">
      <c r="A104" s="24">
        <v>45992</v>
      </c>
      <c r="B104" s="26">
        <f>IF(SUMIFS('NSE - NIFTY Index Options'!$L:$L,'NSE - NIFTY Index Options'!$D:$D,$A104,'NSE - NIFTY Index Options'!$B:$B,"Thursday",'NSE - NIFTY Index Options'!$G:$G,"Weekly*")+SUMIFS('NSE - Other Index Options'!$L:$L,'NSE - Other Index Options'!$D:$D,$A104,'NSE - Other Index Options'!$B:$B,"Thursday",'NSE - Other Index Options'!$G:$G,"Weekly*")=0,"",SUMIFS('NSE - NIFTY Index Options'!$L:$L,'NSE - NIFTY Index Options'!$D:$D,$A104,'NSE - NIFTY Index Options'!$B:$B,"Thursday",'NSE - NIFTY Index Options'!$G:$G,"Weekly*")+SUMIFS('NSE - Other Index Options'!$L:$L,'NSE - Other Index Options'!$D:$D,$A104,'NSE - Other Index Options'!$B:$B,"Thursday",'NSE - Other Index Options'!$G:$G,"Weekly*"))</f>
        <v>83604.710000000006</v>
      </c>
      <c r="C104" s="26">
        <f>IF(SUMIFS('BSE - SENSEX Index Options'!$L:$L,'BSE - SENSEX Index Options'!$D:$D,$A104,'BSE - SENSEX Index Options'!$B:$B,"Thursday",'BSE - SENSEX Index Options'!$G:$G,"Weekly*")+SUMIFS('BSE - Other Index Options'!$L:$L,'BSE - Other Index Options'!$D:$D,$A104,'BSE - Other Index Options'!$B:$B,"Thursday",'BSE - Other Index Options'!$G:$G,"Weekly*")=0,"",SUMIFS('BSE - SENSEX Index Options'!$L:$L,'BSE - SENSEX Index Options'!$D:$D,$A104,'BSE - SENSEX Index Options'!$B:$B,"Thursday",'BSE - SENSEX Index Options'!$G:$G,"Weekly*")+SUMIFS('BSE - Other Index Options'!$L:$L,'BSE - Other Index Options'!$D:$D,$A104,'BSE - Other Index Options'!$B:$B,"Thursday",'BSE - Other Index Options'!$G:$G,"Weekly*"))</f>
        <v>145994.81999999998</v>
      </c>
      <c r="D104" s="27">
        <f t="shared" si="6"/>
        <v>0.36413275758883312</v>
      </c>
      <c r="E104" s="27">
        <f t="shared" si="7"/>
        <v>0.63586724241116699</v>
      </c>
    </row>
    <row r="105" spans="1:5">
      <c r="A105" s="24">
        <v>46023</v>
      </c>
      <c r="B105" s="26">
        <f>IF(SUMIFS('NSE - NIFTY Index Options'!$L:$L,'NSE - NIFTY Index Options'!$D:$D,$A105,'NSE - NIFTY Index Options'!$B:$B,"Thursday",'NSE - NIFTY Index Options'!$G:$G,"Weekly*")+SUMIFS('NSE - Other Index Options'!$L:$L,'NSE - Other Index Options'!$D:$D,$A105,'NSE - Other Index Options'!$B:$B,"Thursday",'NSE - Other Index Options'!$G:$G,"Weekly*")=0,"",SUMIFS('NSE - NIFTY Index Options'!$L:$L,'NSE - NIFTY Index Options'!$D:$D,$A105,'NSE - NIFTY Index Options'!$B:$B,"Thursday",'NSE - NIFTY Index Options'!$G:$G,"Weekly*")+SUMIFS('NSE - Other Index Options'!$L:$L,'NSE - Other Index Options'!$D:$D,$A105,'NSE - Other Index Options'!$B:$B,"Thursday",'NSE - Other Index Options'!$G:$G,"Weekly*"))</f>
        <v>80420.399999999994</v>
      </c>
      <c r="C105" s="26">
        <f>IF(SUMIFS('BSE - SENSEX Index Options'!$L:$L,'BSE - SENSEX Index Options'!$D:$D,$A105,'BSE - SENSEX Index Options'!$B:$B,"Thursday",'BSE - SENSEX Index Options'!$G:$G,"Weekly*")+SUMIFS('BSE - Other Index Options'!$L:$L,'BSE - Other Index Options'!$D:$D,$A105,'BSE - Other Index Options'!$B:$B,"Thursday",'BSE - Other Index Options'!$G:$G,"Weekly*")=0,"",SUMIFS('BSE - SENSEX Index Options'!$L:$L,'BSE - SENSEX Index Options'!$D:$D,$A105,'BSE - SENSEX Index Options'!$B:$B,"Thursday",'BSE - SENSEX Index Options'!$G:$G,"Weekly*")+SUMIFS('BSE - Other Index Options'!$L:$L,'BSE - Other Index Options'!$D:$D,$A105,'BSE - Other Index Options'!$B:$B,"Thursday",'BSE - Other Index Options'!$G:$G,"Weekly*"))</f>
        <v>158016.41</v>
      </c>
      <c r="D105" s="27">
        <f t="shared" si="6"/>
        <v>0.33728181483387565</v>
      </c>
      <c r="E105" s="27">
        <f t="shared" si="7"/>
        <v>0.66271818516612435</v>
      </c>
    </row>
    <row r="106" spans="1:5">
      <c r="A106" s="24">
        <v>46054</v>
      </c>
      <c r="B106" s="26">
        <f>IF(SUMIFS('NSE - NIFTY Index Options'!$L:$L,'NSE - NIFTY Index Options'!$D:$D,$A106,'NSE - NIFTY Index Options'!$B:$B,"Thursday",'NSE - NIFTY Index Options'!$G:$G,"Weekly*")+SUMIFS('NSE - Other Index Options'!$L:$L,'NSE - Other Index Options'!$D:$D,$A106,'NSE - Other Index Options'!$B:$B,"Thursday",'NSE - Other Index Options'!$G:$G,"Weekly*")=0,"",SUMIFS('NSE - NIFTY Index Options'!$L:$L,'NSE - NIFTY Index Options'!$D:$D,$A106,'NSE - NIFTY Index Options'!$B:$B,"Thursday",'NSE - NIFTY Index Options'!$G:$G,"Weekly*")+SUMIFS('NSE - Other Index Options'!$L:$L,'NSE - Other Index Options'!$D:$D,$A106,'NSE - Other Index Options'!$B:$B,"Thursday",'NSE - Other Index Options'!$G:$G,"Weekly*"))</f>
        <v>87109.53</v>
      </c>
      <c r="C106" s="26">
        <f>IF(SUMIFS('BSE - SENSEX Index Options'!$L:$L,'BSE - SENSEX Index Options'!$D:$D,$A106,'BSE - SENSEX Index Options'!$B:$B,"Thursday",'BSE - SENSEX Index Options'!$G:$G,"Weekly*")+SUMIFS('BSE - Other Index Options'!$L:$L,'BSE - Other Index Options'!$D:$D,$A106,'BSE - Other Index Options'!$B:$B,"Thursday",'BSE - Other Index Options'!$G:$G,"Weekly*")=0,"",SUMIFS('BSE - SENSEX Index Options'!$L:$L,'BSE - SENSEX Index Options'!$D:$D,$A106,'BSE - SENSEX Index Options'!$B:$B,"Thursday",'BSE - SENSEX Index Options'!$G:$G,"Weekly*")+SUMIFS('BSE - Other Index Options'!$L:$L,'BSE - Other Index Options'!$D:$D,$A106,'BSE - Other Index Options'!$B:$B,"Thursday",'BSE - Other Index Options'!$G:$G,"Weekly*"))</f>
        <v>153251.91</v>
      </c>
      <c r="D106" s="27">
        <f t="shared" si="6"/>
        <v>0.36241058465950277</v>
      </c>
      <c r="E106" s="27">
        <f t="shared" si="7"/>
        <v>0.63758941534049718</v>
      </c>
    </row>
    <row r="107" spans="1:5">
      <c r="A107" s="24">
        <v>46082</v>
      </c>
      <c r="B107" s="26">
        <f>IF(SUMIFS('NSE - NIFTY Index Options'!$L:$L,'NSE - NIFTY Index Options'!$D:$D,$A107,'NSE - NIFTY Index Options'!$B:$B,"Thursday",'NSE - NIFTY Index Options'!$G:$G,"Weekly*")+SUMIFS('NSE - Other Index Options'!$L:$L,'NSE - Other Index Options'!$D:$D,$A107,'NSE - Other Index Options'!$B:$B,"Thursday",'NSE - Other Index Options'!$G:$G,"Weekly*")=0,"",SUMIFS('NSE - NIFTY Index Options'!$L:$L,'NSE - NIFTY Index Options'!$D:$D,$A107,'NSE - NIFTY Index Options'!$B:$B,"Thursday",'NSE - NIFTY Index Options'!$G:$G,"Weekly*")+SUMIFS('NSE - Other Index Options'!$L:$L,'NSE - Other Index Options'!$D:$D,$A107,'NSE - Other Index Options'!$B:$B,"Thursday",'NSE - Other Index Options'!$G:$G,"Weekly*"))</f>
        <v>129463.5</v>
      </c>
      <c r="C107" s="26">
        <f>IF(SUMIFS('BSE - SENSEX Index Options'!$L:$L,'BSE - SENSEX Index Options'!$D:$D,$A107,'BSE - SENSEX Index Options'!$B:$B,"Thursday",'BSE - SENSEX Index Options'!$G:$G,"Weekly*")+SUMIFS('BSE - Other Index Options'!$L:$L,'BSE - Other Index Options'!$D:$D,$A107,'BSE - Other Index Options'!$B:$B,"Thursday",'BSE - Other Index Options'!$G:$G,"Weekly*")=0,"",SUMIFS('BSE - SENSEX Index Options'!$L:$L,'BSE - SENSEX Index Options'!$D:$D,$A107,'BSE - SENSEX Index Options'!$B:$B,"Thursday",'BSE - SENSEX Index Options'!$G:$G,"Weekly*")+SUMIFS('BSE - Other Index Options'!$L:$L,'BSE - Other Index Options'!$D:$D,$A107,'BSE - Other Index Options'!$B:$B,"Thursday",'BSE - Other Index Options'!$G:$G,"Weekly*"))</f>
        <v>228012.44</v>
      </c>
      <c r="D107" s="27">
        <f t="shared" si="6"/>
        <v>0.36216003795947777</v>
      </c>
      <c r="E107" s="27">
        <f t="shared" si="7"/>
        <v>0.63783996204052218</v>
      </c>
    </row>
    <row r="108" spans="1:5">
      <c r="A108" s="24">
        <v>46113</v>
      </c>
      <c r="B108" s="26">
        <f>IF(SUMIFS('NSE - NIFTY Index Options'!$L:$L,'NSE - NIFTY Index Options'!$D:$D,$A108,'NSE - NIFTY Index Options'!$B:$B,"Thursday",'NSE - NIFTY Index Options'!$G:$G,"Weekly*")+SUMIFS('NSE - Other Index Options'!$L:$L,'NSE - Other Index Options'!$D:$D,$A108,'NSE - Other Index Options'!$B:$B,"Thursday",'NSE - Other Index Options'!$G:$G,"Weekly*")=0,"",SUMIFS('NSE - NIFTY Index Options'!$L:$L,'NSE - NIFTY Index Options'!$D:$D,$A108,'NSE - NIFTY Index Options'!$B:$B,"Thursday",'NSE - NIFTY Index Options'!$G:$G,"Weekly*")+SUMIFS('NSE - Other Index Options'!$L:$L,'NSE - Other Index Options'!$D:$D,$A108,'NSE - Other Index Options'!$B:$B,"Thursday",'NSE - Other Index Options'!$G:$G,"Weekly*"))</f>
        <v>137882.63999999998</v>
      </c>
      <c r="C108" s="26">
        <f>IF(SUMIFS('BSE - SENSEX Index Options'!$L:$L,'BSE - SENSEX Index Options'!$D:$D,$A108,'BSE - SENSEX Index Options'!$B:$B,"Thursday",'BSE - SENSEX Index Options'!$G:$G,"Weekly*")+SUMIFS('BSE - Other Index Options'!$L:$L,'BSE - Other Index Options'!$D:$D,$A108,'BSE - Other Index Options'!$B:$B,"Thursday",'BSE - Other Index Options'!$G:$G,"Weekly*")=0,"",SUMIFS('BSE - SENSEX Index Options'!$L:$L,'BSE - SENSEX Index Options'!$D:$D,$A108,'BSE - SENSEX Index Options'!$B:$B,"Thursday",'BSE - SENSEX Index Options'!$G:$G,"Weekly*")+SUMIFS('BSE - Other Index Options'!$L:$L,'BSE - Other Index Options'!$D:$D,$A108,'BSE - Other Index Options'!$B:$B,"Thursday",'BSE - Other Index Options'!$G:$G,"Weekly*"))</f>
        <v>289961.58000000007</v>
      </c>
      <c r="D108" s="27">
        <f t="shared" si="6"/>
        <v>0.32227299927062225</v>
      </c>
      <c r="E108" s="27">
        <f t="shared" si="7"/>
        <v>0.67772700072937764</v>
      </c>
    </row>
    <row r="109" spans="1:5">
      <c r="A109" s="24">
        <v>46143</v>
      </c>
      <c r="B109" s="26">
        <f>IF(SUMIFS('NSE - NIFTY Index Options'!$L:$L,'NSE - NIFTY Index Options'!$D:$D,$A109,'NSE - NIFTY Index Options'!$B:$B,"Thursday",'NSE - NIFTY Index Options'!$G:$G,"Weekly*")+SUMIFS('NSE - Other Index Options'!$L:$L,'NSE - Other Index Options'!$D:$D,$A109,'NSE - Other Index Options'!$B:$B,"Thursday",'NSE - Other Index Options'!$G:$G,"Weekly*")=0,"",SUMIFS('NSE - NIFTY Index Options'!$L:$L,'NSE - NIFTY Index Options'!$D:$D,$A109,'NSE - NIFTY Index Options'!$B:$B,"Thursday",'NSE - NIFTY Index Options'!$G:$G,"Weekly*")+SUMIFS('NSE - Other Index Options'!$L:$L,'NSE - Other Index Options'!$D:$D,$A109,'NSE - Other Index Options'!$B:$B,"Thursday",'NSE - Other Index Options'!$G:$G,"Weekly*"))</f>
        <v>65202.310000000005</v>
      </c>
      <c r="C109" s="26">
        <f>IF(SUMIFS('BSE - SENSEX Index Options'!$L:$L,'BSE - SENSEX Index Options'!$D:$D,$A109,'BSE - SENSEX Index Options'!$B:$B,"Thursday",'BSE - SENSEX Index Options'!$G:$G,"Weekly*")+SUMIFS('BSE - Other Index Options'!$L:$L,'BSE - Other Index Options'!$D:$D,$A109,'BSE - Other Index Options'!$B:$B,"Thursday",'BSE - Other Index Options'!$G:$G,"Weekly*")=0,"",SUMIFS('BSE - SENSEX Index Options'!$L:$L,'BSE - SENSEX Index Options'!$D:$D,$A109,'BSE - SENSEX Index Options'!$B:$B,"Thursday",'BSE - SENSEX Index Options'!$G:$G,"Weekly*")+SUMIFS('BSE - Other Index Options'!$L:$L,'BSE - Other Index Options'!$D:$D,$A109,'BSE - Other Index Options'!$B:$B,"Thursday",'BSE - Other Index Options'!$G:$G,"Weekly*"))</f>
        <v>220205.15999999997</v>
      </c>
      <c r="D109" s="27">
        <f t="shared" si="6"/>
        <v>0.22845341083749493</v>
      </c>
      <c r="E109" s="27">
        <f t="shared" si="7"/>
        <v>0.77154658916250507</v>
      </c>
    </row>
    <row r="110" spans="1:5">
      <c r="A110" s="24">
        <v>46174</v>
      </c>
      <c r="B110" s="26">
        <f>IF(SUMIFS('NSE - NIFTY Index Options'!$L:$L,'NSE - NIFTY Index Options'!$D:$D,$A110,'NSE - NIFTY Index Options'!$B:$B,"Thursday",'NSE - NIFTY Index Options'!$G:$G,"Weekly*")+SUMIFS('NSE - Other Index Options'!$L:$L,'NSE - Other Index Options'!$D:$D,$A110,'NSE - Other Index Options'!$B:$B,"Thursday",'NSE - Other Index Options'!$G:$G,"Weekly*")=0,"",SUMIFS('NSE - NIFTY Index Options'!$L:$L,'NSE - NIFTY Index Options'!$D:$D,$A110,'NSE - NIFTY Index Options'!$B:$B,"Thursday",'NSE - NIFTY Index Options'!$G:$G,"Weekly*")+SUMIFS('NSE - Other Index Options'!$L:$L,'NSE - Other Index Options'!$D:$D,$A110,'NSE - Other Index Options'!$B:$B,"Thursday",'NSE - Other Index Options'!$G:$G,"Weekly*"))</f>
        <v>81060.539999999979</v>
      </c>
      <c r="C110" s="26">
        <f>IF(SUMIFS('BSE - SENSEX Index Options'!$L:$L,'BSE - SENSEX Index Options'!$D:$D,$A110,'BSE - SENSEX Index Options'!$B:$B,"Thursday",'BSE - SENSEX Index Options'!$G:$G,"Weekly*")+SUMIFS('BSE - Other Index Options'!$L:$L,'BSE - Other Index Options'!$D:$D,$A110,'BSE - Other Index Options'!$B:$B,"Thursday",'BSE - Other Index Options'!$G:$G,"Weekly*")=0,"",SUMIFS('BSE - SENSEX Index Options'!$L:$L,'BSE - SENSEX Index Options'!$D:$D,$A110,'BSE - SENSEX Index Options'!$B:$B,"Thursday",'BSE - SENSEX Index Options'!$G:$G,"Weekly*")+SUMIFS('BSE - Other Index Options'!$L:$L,'BSE - Other Index Options'!$D:$D,$A110,'BSE - Other Index Options'!$B:$B,"Thursday",'BSE - Other Index Options'!$G:$G,"Weekly*"))</f>
        <v>186340.88999999996</v>
      </c>
      <c r="D110" s="27">
        <f t="shared" si="6"/>
        <v>0.30314175956351469</v>
      </c>
      <c r="E110" s="27">
        <f t="shared" si="7"/>
        <v>0.69685824043648537</v>
      </c>
    </row>
    <row r="111" spans="1:5">
      <c r="A111" s="24">
        <v>46204</v>
      </c>
      <c r="B111" s="26">
        <f>IF(SUMIFS('NSE - NIFTY Index Options'!$L:$L,'NSE - NIFTY Index Options'!$D:$D,$A111,'NSE - NIFTY Index Options'!$B:$B,"Thursday",'NSE - NIFTY Index Options'!$G:$G,"Weekly*")+SUMIFS('NSE - Other Index Options'!$L:$L,'NSE - Other Index Options'!$D:$D,$A111,'NSE - Other Index Options'!$B:$B,"Thursday",'NSE - Other Index Options'!$G:$G,"Weekly*")=0,"",SUMIFS('NSE - NIFTY Index Options'!$L:$L,'NSE - NIFTY Index Options'!$D:$D,$A111,'NSE - NIFTY Index Options'!$B:$B,"Thursday",'NSE - NIFTY Index Options'!$G:$G,"Weekly*")+SUMIFS('NSE - Other Index Options'!$L:$L,'NSE - Other Index Options'!$D:$D,$A111,'NSE - Other Index Options'!$B:$B,"Thursday",'NSE - Other Index Options'!$G:$G,"Weekly*"))</f>
        <v>21436.27</v>
      </c>
      <c r="C111" s="26">
        <f>IF(SUMIFS('BSE - SENSEX Index Options'!$L:$L,'BSE - SENSEX Index Options'!$D:$D,$A111,'BSE - SENSEX Index Options'!$B:$B,"Thursday",'BSE - SENSEX Index Options'!$G:$G,"Weekly*")+SUMIFS('BSE - Other Index Options'!$L:$L,'BSE - Other Index Options'!$D:$D,$A111,'BSE - Other Index Options'!$B:$B,"Thursday",'BSE - Other Index Options'!$G:$G,"Weekly*")=0,"",SUMIFS('BSE - SENSEX Index Options'!$L:$L,'BSE - SENSEX Index Options'!$D:$D,$A111,'BSE - SENSEX Index Options'!$B:$B,"Thursday",'BSE - SENSEX Index Options'!$G:$G,"Weekly*")+SUMIFS('BSE - Other Index Options'!$L:$L,'BSE - Other Index Options'!$D:$D,$A111,'BSE - Other Index Options'!$B:$B,"Thursday",'BSE - Other Index Options'!$G:$G,"Weekly*"))</f>
        <v>54668.400000000009</v>
      </c>
      <c r="D111" s="27">
        <f t="shared" si="6"/>
        <v>0.28166826030518227</v>
      </c>
      <c r="E111" s="27">
        <f t="shared" si="7"/>
        <v>0.71833173969481767</v>
      </c>
    </row>
    <row r="112" spans="1:5" hidden="1" outlineLevel="1">
      <c r="A112" s="24">
        <v>46235</v>
      </c>
      <c r="B112" s="26" t="str">
        <f>IF(SUMIFS('NSE - NIFTY Index Options'!$L:$L,'NSE - NIFTY Index Options'!$D:$D,$A112,'NSE - NIFTY Index Options'!$B:$B,"Thursday",'NSE - NIFTY Index Options'!$G:$G,"Weekly*")+SUMIFS('NSE - Other Index Options'!$L:$L,'NSE - Other Index Options'!$D:$D,$A112,'NSE - Other Index Options'!$B:$B,"Thursday",'NSE - Other Index Options'!$G:$G,"Weekly*")=0,"",SUMIFS('NSE - NIFTY Index Options'!$L:$L,'NSE - NIFTY Index Options'!$D:$D,$A112,'NSE - NIFTY Index Options'!$B:$B,"Thursday",'NSE - NIFTY Index Options'!$G:$G,"Weekly*")+SUMIFS('NSE - Other Index Options'!$L:$L,'NSE - Other Index Options'!$D:$D,$A112,'NSE - Other Index Options'!$B:$B,"Thursday",'NSE - Other Index Options'!$G:$G,"Weekly*"))</f>
        <v/>
      </c>
      <c r="C112" s="26" t="str">
        <f>IF(SUMIFS('BSE - SENSEX Index Options'!$L:$L,'BSE - SENSEX Index Options'!$D:$D,$A112,'BSE - SENSEX Index Options'!$B:$B,"Thursday",'BSE - SENSEX Index Options'!$G:$G,"Weekly*")+SUMIFS('BSE - Other Index Options'!$L:$L,'BSE - Other Index Options'!$D:$D,$A112,'BSE - Other Index Options'!$B:$B,"Thursday",'BSE - Other Index Options'!$G:$G,"Weekly*")=0,"",SUMIFS('BSE - SENSEX Index Options'!$L:$L,'BSE - SENSEX Index Options'!$D:$D,$A112,'BSE - SENSEX Index Options'!$B:$B,"Thursday",'BSE - SENSEX Index Options'!$G:$G,"Weekly*")+SUMIFS('BSE - Other Index Options'!$L:$L,'BSE - Other Index Options'!$D:$D,$A112,'BSE - Other Index Options'!$B:$B,"Thursday",'BSE - Other Index Options'!$G:$G,"Weekly*"))</f>
        <v/>
      </c>
      <c r="D112" s="27" t="str">
        <f t="shared" si="6"/>
        <v/>
      </c>
      <c r="E112" s="27" t="str">
        <f t="shared" si="7"/>
        <v/>
      </c>
    </row>
    <row r="113" spans="1:5" hidden="1" outlineLevel="1">
      <c r="A113" s="24">
        <v>46266</v>
      </c>
      <c r="B113" s="26" t="str">
        <f>IF(SUMIFS('NSE - NIFTY Index Options'!$L:$L,'NSE - NIFTY Index Options'!$D:$D,$A113,'NSE - NIFTY Index Options'!$B:$B,"Thursday",'NSE - NIFTY Index Options'!$G:$G,"Weekly*")+SUMIFS('NSE - Other Index Options'!$L:$L,'NSE - Other Index Options'!$D:$D,$A113,'NSE - Other Index Options'!$B:$B,"Thursday",'NSE - Other Index Options'!$G:$G,"Weekly*")=0,"",SUMIFS('NSE - NIFTY Index Options'!$L:$L,'NSE - NIFTY Index Options'!$D:$D,$A113,'NSE - NIFTY Index Options'!$B:$B,"Thursday",'NSE - NIFTY Index Options'!$G:$G,"Weekly*")+SUMIFS('NSE - Other Index Options'!$L:$L,'NSE - Other Index Options'!$D:$D,$A113,'NSE - Other Index Options'!$B:$B,"Thursday",'NSE - Other Index Options'!$G:$G,"Weekly*"))</f>
        <v/>
      </c>
      <c r="C113" s="26" t="str">
        <f>IF(SUMIFS('BSE - SENSEX Index Options'!$L:$L,'BSE - SENSEX Index Options'!$D:$D,$A113,'BSE - SENSEX Index Options'!$B:$B,"Thursday",'BSE - SENSEX Index Options'!$G:$G,"Weekly*")+SUMIFS('BSE - Other Index Options'!$L:$L,'BSE - Other Index Options'!$D:$D,$A113,'BSE - Other Index Options'!$B:$B,"Thursday",'BSE - Other Index Options'!$G:$G,"Weekly*")=0,"",SUMIFS('BSE - SENSEX Index Options'!$L:$L,'BSE - SENSEX Index Options'!$D:$D,$A113,'BSE - SENSEX Index Options'!$B:$B,"Thursday",'BSE - SENSEX Index Options'!$G:$G,"Weekly*")+SUMIFS('BSE - Other Index Options'!$L:$L,'BSE - Other Index Options'!$D:$D,$A113,'BSE - Other Index Options'!$B:$B,"Thursday",'BSE - Other Index Options'!$G:$G,"Weekly*"))</f>
        <v/>
      </c>
      <c r="D113" s="27" t="str">
        <f t="shared" si="6"/>
        <v/>
      </c>
      <c r="E113" s="27" t="str">
        <f t="shared" si="7"/>
        <v/>
      </c>
    </row>
    <row r="114" spans="1:5" hidden="1" outlineLevel="1">
      <c r="A114" s="24">
        <v>46296</v>
      </c>
      <c r="B114" s="26" t="str">
        <f>IF(SUMIFS('NSE - NIFTY Index Options'!$L:$L,'NSE - NIFTY Index Options'!$D:$D,$A114,'NSE - NIFTY Index Options'!$B:$B,"Thursday",'NSE - NIFTY Index Options'!$G:$G,"Weekly*")+SUMIFS('NSE - Other Index Options'!$L:$L,'NSE - Other Index Options'!$D:$D,$A114,'NSE - Other Index Options'!$B:$B,"Thursday",'NSE - Other Index Options'!$G:$G,"Weekly*")=0,"",SUMIFS('NSE - NIFTY Index Options'!$L:$L,'NSE - NIFTY Index Options'!$D:$D,$A114,'NSE - NIFTY Index Options'!$B:$B,"Thursday",'NSE - NIFTY Index Options'!$G:$G,"Weekly*")+SUMIFS('NSE - Other Index Options'!$L:$L,'NSE - Other Index Options'!$D:$D,$A114,'NSE - Other Index Options'!$B:$B,"Thursday",'NSE - Other Index Options'!$G:$G,"Weekly*"))</f>
        <v/>
      </c>
      <c r="C114" s="26" t="str">
        <f>IF(SUMIFS('BSE - SENSEX Index Options'!$L:$L,'BSE - SENSEX Index Options'!$D:$D,$A114,'BSE - SENSEX Index Options'!$B:$B,"Thursday",'BSE - SENSEX Index Options'!$G:$G,"Weekly*")+SUMIFS('BSE - Other Index Options'!$L:$L,'BSE - Other Index Options'!$D:$D,$A114,'BSE - Other Index Options'!$B:$B,"Thursday",'BSE - Other Index Options'!$G:$G,"Weekly*")=0,"",SUMIFS('BSE - SENSEX Index Options'!$L:$L,'BSE - SENSEX Index Options'!$D:$D,$A114,'BSE - SENSEX Index Options'!$B:$B,"Thursday",'BSE - SENSEX Index Options'!$G:$G,"Weekly*")+SUMIFS('BSE - Other Index Options'!$L:$L,'BSE - Other Index Options'!$D:$D,$A114,'BSE - Other Index Options'!$B:$B,"Thursday",'BSE - Other Index Options'!$G:$G,"Weekly*"))</f>
        <v/>
      </c>
      <c r="D114" s="27" t="str">
        <f t="shared" si="6"/>
        <v/>
      </c>
      <c r="E114" s="27" t="str">
        <f t="shared" si="7"/>
        <v/>
      </c>
    </row>
    <row r="115" spans="1:5" hidden="1" outlineLevel="1">
      <c r="A115" s="24">
        <v>46327</v>
      </c>
      <c r="B115" s="26" t="str">
        <f>IF(SUMIFS('NSE - NIFTY Index Options'!$L:$L,'NSE - NIFTY Index Options'!$D:$D,$A115,'NSE - NIFTY Index Options'!$B:$B,"Thursday",'NSE - NIFTY Index Options'!$G:$G,"Weekly*")+SUMIFS('NSE - Other Index Options'!$L:$L,'NSE - Other Index Options'!$D:$D,$A115,'NSE - Other Index Options'!$B:$B,"Thursday",'NSE - Other Index Options'!$G:$G,"Weekly*")=0,"",SUMIFS('NSE - NIFTY Index Options'!$L:$L,'NSE - NIFTY Index Options'!$D:$D,$A115,'NSE - NIFTY Index Options'!$B:$B,"Thursday",'NSE - NIFTY Index Options'!$G:$G,"Weekly*")+SUMIFS('NSE - Other Index Options'!$L:$L,'NSE - Other Index Options'!$D:$D,$A115,'NSE - Other Index Options'!$B:$B,"Thursday",'NSE - Other Index Options'!$G:$G,"Weekly*"))</f>
        <v/>
      </c>
      <c r="C115" s="26" t="str">
        <f>IF(SUMIFS('BSE - SENSEX Index Options'!$L:$L,'BSE - SENSEX Index Options'!$D:$D,$A115,'BSE - SENSEX Index Options'!$B:$B,"Thursday",'BSE - SENSEX Index Options'!$G:$G,"Weekly*")+SUMIFS('BSE - Other Index Options'!$L:$L,'BSE - Other Index Options'!$D:$D,$A115,'BSE - Other Index Options'!$B:$B,"Thursday",'BSE - Other Index Options'!$G:$G,"Weekly*")=0,"",SUMIFS('BSE - SENSEX Index Options'!$L:$L,'BSE - SENSEX Index Options'!$D:$D,$A115,'BSE - SENSEX Index Options'!$B:$B,"Thursday",'BSE - SENSEX Index Options'!$G:$G,"Weekly*")+SUMIFS('BSE - Other Index Options'!$L:$L,'BSE - Other Index Options'!$D:$D,$A115,'BSE - Other Index Options'!$B:$B,"Thursday",'BSE - Other Index Options'!$G:$G,"Weekly*"))</f>
        <v/>
      </c>
      <c r="D115" s="27" t="str">
        <f t="shared" si="6"/>
        <v/>
      </c>
      <c r="E115" s="27" t="str">
        <f t="shared" si="7"/>
        <v/>
      </c>
    </row>
    <row r="116" spans="1:5" hidden="1" outlineLevel="1">
      <c r="A116" s="24">
        <v>46357</v>
      </c>
      <c r="B116" s="26" t="str">
        <f>IF(SUMIFS('NSE - NIFTY Index Options'!$L:$L,'NSE - NIFTY Index Options'!$D:$D,$A116,'NSE - NIFTY Index Options'!$B:$B,"Thursday",'NSE - NIFTY Index Options'!$G:$G,"Weekly*")+SUMIFS('NSE - Other Index Options'!$L:$L,'NSE - Other Index Options'!$D:$D,$A116,'NSE - Other Index Options'!$B:$B,"Thursday",'NSE - Other Index Options'!$G:$G,"Weekly*")=0,"",SUMIFS('NSE - NIFTY Index Options'!$L:$L,'NSE - NIFTY Index Options'!$D:$D,$A116,'NSE - NIFTY Index Options'!$B:$B,"Thursday",'NSE - NIFTY Index Options'!$G:$G,"Weekly*")+SUMIFS('NSE - Other Index Options'!$L:$L,'NSE - Other Index Options'!$D:$D,$A116,'NSE - Other Index Options'!$B:$B,"Thursday",'NSE - Other Index Options'!$G:$G,"Weekly*"))</f>
        <v/>
      </c>
      <c r="C116" s="26" t="str">
        <f>IF(SUMIFS('BSE - SENSEX Index Options'!$L:$L,'BSE - SENSEX Index Options'!$D:$D,$A116,'BSE - SENSEX Index Options'!$B:$B,"Thursday",'BSE - SENSEX Index Options'!$G:$G,"Weekly*")+SUMIFS('BSE - Other Index Options'!$L:$L,'BSE - Other Index Options'!$D:$D,$A116,'BSE - Other Index Options'!$B:$B,"Thursday",'BSE - Other Index Options'!$G:$G,"Weekly*")=0,"",SUMIFS('BSE - SENSEX Index Options'!$L:$L,'BSE - SENSEX Index Options'!$D:$D,$A116,'BSE - SENSEX Index Options'!$B:$B,"Thursday",'BSE - SENSEX Index Options'!$G:$G,"Weekly*")+SUMIFS('BSE - Other Index Options'!$L:$L,'BSE - Other Index Options'!$D:$D,$A116,'BSE - Other Index Options'!$B:$B,"Thursday",'BSE - Other Index Options'!$G:$G,"Weekly*"))</f>
        <v/>
      </c>
      <c r="D116" s="27" t="str">
        <f t="shared" si="6"/>
        <v/>
      </c>
      <c r="E116" s="27" t="str">
        <f t="shared" si="7"/>
        <v/>
      </c>
    </row>
    <row r="117" spans="1:5" hidden="1" outlineLevel="1">
      <c r="A117" s="24">
        <v>46388</v>
      </c>
      <c r="B117" s="26" t="str">
        <f>IF(SUMIFS('NSE - NIFTY Index Options'!$L:$L,'NSE - NIFTY Index Options'!$D:$D,$A117,'NSE - NIFTY Index Options'!$B:$B,"Thursday",'NSE - NIFTY Index Options'!$G:$G,"Weekly*")+SUMIFS('NSE - Other Index Options'!$L:$L,'NSE - Other Index Options'!$D:$D,$A117,'NSE - Other Index Options'!$B:$B,"Thursday",'NSE - Other Index Options'!$G:$G,"Weekly*")=0,"",SUMIFS('NSE - NIFTY Index Options'!$L:$L,'NSE - NIFTY Index Options'!$D:$D,$A117,'NSE - NIFTY Index Options'!$B:$B,"Thursday",'NSE - NIFTY Index Options'!$G:$G,"Weekly*")+SUMIFS('NSE - Other Index Options'!$L:$L,'NSE - Other Index Options'!$D:$D,$A117,'NSE - Other Index Options'!$B:$B,"Thursday",'NSE - Other Index Options'!$G:$G,"Weekly*"))</f>
        <v/>
      </c>
      <c r="C117" s="26" t="str">
        <f>IF(SUMIFS('BSE - SENSEX Index Options'!$L:$L,'BSE - SENSEX Index Options'!$D:$D,$A117,'BSE - SENSEX Index Options'!$B:$B,"Thursday",'BSE - SENSEX Index Options'!$G:$G,"Weekly*")+SUMIFS('BSE - Other Index Options'!$L:$L,'BSE - Other Index Options'!$D:$D,$A117,'BSE - Other Index Options'!$B:$B,"Thursday",'BSE - Other Index Options'!$G:$G,"Weekly*")=0,"",SUMIFS('BSE - SENSEX Index Options'!$L:$L,'BSE - SENSEX Index Options'!$D:$D,$A117,'BSE - SENSEX Index Options'!$B:$B,"Thursday",'BSE - SENSEX Index Options'!$G:$G,"Weekly*")+SUMIFS('BSE - Other Index Options'!$L:$L,'BSE - Other Index Options'!$D:$D,$A117,'BSE - Other Index Options'!$B:$B,"Thursday",'BSE - Other Index Options'!$G:$G,"Weekly*"))</f>
        <v/>
      </c>
      <c r="D117" s="27" t="str">
        <f t="shared" si="6"/>
        <v/>
      </c>
      <c r="E117" s="27" t="str">
        <f t="shared" si="7"/>
        <v/>
      </c>
    </row>
    <row r="118" spans="1:5" hidden="1" outlineLevel="1">
      <c r="A118" s="24">
        <v>46419</v>
      </c>
      <c r="B118" s="26" t="str">
        <f>IF(SUMIFS('NSE - NIFTY Index Options'!$L:$L,'NSE - NIFTY Index Options'!$D:$D,$A118,'NSE - NIFTY Index Options'!$B:$B,"Thursday",'NSE - NIFTY Index Options'!$G:$G,"Weekly*")+SUMIFS('NSE - Other Index Options'!$L:$L,'NSE - Other Index Options'!$D:$D,$A118,'NSE - Other Index Options'!$B:$B,"Thursday",'NSE - Other Index Options'!$G:$G,"Weekly*")=0,"",SUMIFS('NSE - NIFTY Index Options'!$L:$L,'NSE - NIFTY Index Options'!$D:$D,$A118,'NSE - NIFTY Index Options'!$B:$B,"Thursday",'NSE - NIFTY Index Options'!$G:$G,"Weekly*")+SUMIFS('NSE - Other Index Options'!$L:$L,'NSE - Other Index Options'!$D:$D,$A118,'NSE - Other Index Options'!$B:$B,"Thursday",'NSE - Other Index Options'!$G:$G,"Weekly*"))</f>
        <v/>
      </c>
      <c r="C118" s="26" t="str">
        <f>IF(SUMIFS('BSE - SENSEX Index Options'!$L:$L,'BSE - SENSEX Index Options'!$D:$D,$A118,'BSE - SENSEX Index Options'!$B:$B,"Thursday",'BSE - SENSEX Index Options'!$G:$G,"Weekly*")+SUMIFS('BSE - Other Index Options'!$L:$L,'BSE - Other Index Options'!$D:$D,$A118,'BSE - Other Index Options'!$B:$B,"Thursday",'BSE - Other Index Options'!$G:$G,"Weekly*")=0,"",SUMIFS('BSE - SENSEX Index Options'!$L:$L,'BSE - SENSEX Index Options'!$D:$D,$A118,'BSE - SENSEX Index Options'!$B:$B,"Thursday",'BSE - SENSEX Index Options'!$G:$G,"Weekly*")+SUMIFS('BSE - Other Index Options'!$L:$L,'BSE - Other Index Options'!$D:$D,$A118,'BSE - Other Index Options'!$B:$B,"Thursday",'BSE - Other Index Options'!$G:$G,"Weekly*"))</f>
        <v/>
      </c>
      <c r="D118" s="27" t="str">
        <f t="shared" si="6"/>
        <v/>
      </c>
      <c r="E118" s="27" t="str">
        <f t="shared" si="7"/>
        <v/>
      </c>
    </row>
    <row r="119" spans="1:5" hidden="1" outlineLevel="1">
      <c r="A119" s="24">
        <v>46447</v>
      </c>
      <c r="B119" s="26" t="str">
        <f>IF(SUMIFS('NSE - NIFTY Index Options'!$L:$L,'NSE - NIFTY Index Options'!$D:$D,$A119,'NSE - NIFTY Index Options'!$B:$B,"Thursday",'NSE - NIFTY Index Options'!$G:$G,"Weekly*")+SUMIFS('NSE - Other Index Options'!$L:$L,'NSE - Other Index Options'!$D:$D,$A119,'NSE - Other Index Options'!$B:$B,"Thursday",'NSE - Other Index Options'!$G:$G,"Weekly*")=0,"",SUMIFS('NSE - NIFTY Index Options'!$L:$L,'NSE - NIFTY Index Options'!$D:$D,$A119,'NSE - NIFTY Index Options'!$B:$B,"Thursday",'NSE - NIFTY Index Options'!$G:$G,"Weekly*")+SUMIFS('NSE - Other Index Options'!$L:$L,'NSE - Other Index Options'!$D:$D,$A119,'NSE - Other Index Options'!$B:$B,"Thursday",'NSE - Other Index Options'!$G:$G,"Weekly*"))</f>
        <v/>
      </c>
      <c r="C119" s="26" t="str">
        <f>IF(SUMIFS('BSE - SENSEX Index Options'!$L:$L,'BSE - SENSEX Index Options'!$D:$D,$A119,'BSE - SENSEX Index Options'!$B:$B,"Thursday",'BSE - SENSEX Index Options'!$G:$G,"Weekly*")+SUMIFS('BSE - Other Index Options'!$L:$L,'BSE - Other Index Options'!$D:$D,$A119,'BSE - Other Index Options'!$B:$B,"Thursday",'BSE - Other Index Options'!$G:$G,"Weekly*")=0,"",SUMIFS('BSE - SENSEX Index Options'!$L:$L,'BSE - SENSEX Index Options'!$D:$D,$A119,'BSE - SENSEX Index Options'!$B:$B,"Thursday",'BSE - SENSEX Index Options'!$G:$G,"Weekly*")+SUMIFS('BSE - Other Index Options'!$L:$L,'BSE - Other Index Options'!$D:$D,$A119,'BSE - Other Index Options'!$B:$B,"Thursday",'BSE - Other Index Options'!$G:$G,"Weekly*"))</f>
        <v/>
      </c>
      <c r="D119" s="27" t="str">
        <f t="shared" si="6"/>
        <v/>
      </c>
      <c r="E119" s="27" t="str">
        <f t="shared" si="7"/>
        <v/>
      </c>
    </row>
    <row r="120" spans="1:5" hidden="1" outlineLevel="1">
      <c r="A120" s="24">
        <v>46478</v>
      </c>
      <c r="B120" s="26" t="str">
        <f>IF(SUMIFS('NSE - NIFTY Index Options'!$L:$L,'NSE - NIFTY Index Options'!$D:$D,$A120,'NSE - NIFTY Index Options'!$B:$B,"Thursday",'NSE - NIFTY Index Options'!$G:$G,"Weekly*")+SUMIFS('NSE - Other Index Options'!$L:$L,'NSE - Other Index Options'!$D:$D,$A120,'NSE - Other Index Options'!$B:$B,"Thursday",'NSE - Other Index Options'!$G:$G,"Weekly*")=0,"",SUMIFS('NSE - NIFTY Index Options'!$L:$L,'NSE - NIFTY Index Options'!$D:$D,$A120,'NSE - NIFTY Index Options'!$B:$B,"Thursday",'NSE - NIFTY Index Options'!$G:$G,"Weekly*")+SUMIFS('NSE - Other Index Options'!$L:$L,'NSE - Other Index Options'!$D:$D,$A120,'NSE - Other Index Options'!$B:$B,"Thursday",'NSE - Other Index Options'!$G:$G,"Weekly*"))</f>
        <v/>
      </c>
      <c r="C120" s="26" t="str">
        <f>IF(SUMIFS('BSE - SENSEX Index Options'!$L:$L,'BSE - SENSEX Index Options'!$D:$D,$A120,'BSE - SENSEX Index Options'!$B:$B,"Thursday",'BSE - SENSEX Index Options'!$G:$G,"Weekly*")+SUMIFS('BSE - Other Index Options'!$L:$L,'BSE - Other Index Options'!$D:$D,$A120,'BSE - Other Index Options'!$B:$B,"Thursday",'BSE - Other Index Options'!$G:$G,"Weekly*")=0,"",SUMIFS('BSE - SENSEX Index Options'!$L:$L,'BSE - SENSEX Index Options'!$D:$D,$A120,'BSE - SENSEX Index Options'!$B:$B,"Thursday",'BSE - SENSEX Index Options'!$G:$G,"Weekly*")+SUMIFS('BSE - Other Index Options'!$L:$L,'BSE - Other Index Options'!$D:$D,$A120,'BSE - Other Index Options'!$B:$B,"Thursday",'BSE - Other Index Options'!$G:$G,"Weekly*"))</f>
        <v/>
      </c>
      <c r="D120" s="27" t="str">
        <f t="shared" si="6"/>
        <v/>
      </c>
      <c r="E120" s="27" t="str">
        <f t="shared" si="7"/>
        <v/>
      </c>
    </row>
    <row r="121" spans="1:5" hidden="1" outlineLevel="1">
      <c r="A121" s="24">
        <v>46508</v>
      </c>
      <c r="B121" s="26" t="str">
        <f>IF(SUMIFS('NSE - NIFTY Index Options'!$L:$L,'NSE - NIFTY Index Options'!$D:$D,$A121,'NSE - NIFTY Index Options'!$B:$B,"Thursday",'NSE - NIFTY Index Options'!$G:$G,"Weekly*")+SUMIFS('NSE - Other Index Options'!$L:$L,'NSE - Other Index Options'!$D:$D,$A121,'NSE - Other Index Options'!$B:$B,"Thursday",'NSE - Other Index Options'!$G:$G,"Weekly*")=0,"",SUMIFS('NSE - NIFTY Index Options'!$L:$L,'NSE - NIFTY Index Options'!$D:$D,$A121,'NSE - NIFTY Index Options'!$B:$B,"Thursday",'NSE - NIFTY Index Options'!$G:$G,"Weekly*")+SUMIFS('NSE - Other Index Options'!$L:$L,'NSE - Other Index Options'!$D:$D,$A121,'NSE - Other Index Options'!$B:$B,"Thursday",'NSE - Other Index Options'!$G:$G,"Weekly*"))</f>
        <v/>
      </c>
      <c r="C121" s="26" t="str">
        <f>IF(SUMIFS('BSE - SENSEX Index Options'!$L:$L,'BSE - SENSEX Index Options'!$D:$D,$A121,'BSE - SENSEX Index Options'!$B:$B,"Thursday",'BSE - SENSEX Index Options'!$G:$G,"Weekly*")+SUMIFS('BSE - Other Index Options'!$L:$L,'BSE - Other Index Options'!$D:$D,$A121,'BSE - Other Index Options'!$B:$B,"Thursday",'BSE - Other Index Options'!$G:$G,"Weekly*")=0,"",SUMIFS('BSE - SENSEX Index Options'!$L:$L,'BSE - SENSEX Index Options'!$D:$D,$A121,'BSE - SENSEX Index Options'!$B:$B,"Thursday",'BSE - SENSEX Index Options'!$G:$G,"Weekly*")+SUMIFS('BSE - Other Index Options'!$L:$L,'BSE - Other Index Options'!$D:$D,$A121,'BSE - Other Index Options'!$B:$B,"Thursday",'BSE - Other Index Options'!$G:$G,"Weekly*"))</f>
        <v/>
      </c>
      <c r="D121" s="27" t="str">
        <f t="shared" si="6"/>
        <v/>
      </c>
      <c r="E121" s="27" t="str">
        <f t="shared" si="7"/>
        <v/>
      </c>
    </row>
    <row r="122" spans="1:5" hidden="1" outlineLevel="1">
      <c r="A122" s="24">
        <v>46539</v>
      </c>
      <c r="B122" s="26" t="str">
        <f>IF(SUMIFS('NSE - NIFTY Index Options'!$L:$L,'NSE - NIFTY Index Options'!$D:$D,$A122,'NSE - NIFTY Index Options'!$B:$B,"Thursday",'NSE - NIFTY Index Options'!$G:$G,"Weekly*")+SUMIFS('NSE - Other Index Options'!$L:$L,'NSE - Other Index Options'!$D:$D,$A122,'NSE - Other Index Options'!$B:$B,"Thursday",'NSE - Other Index Options'!$G:$G,"Weekly*")=0,"",SUMIFS('NSE - NIFTY Index Options'!$L:$L,'NSE - NIFTY Index Options'!$D:$D,$A122,'NSE - NIFTY Index Options'!$B:$B,"Thursday",'NSE - NIFTY Index Options'!$G:$G,"Weekly*")+SUMIFS('NSE - Other Index Options'!$L:$L,'NSE - Other Index Options'!$D:$D,$A122,'NSE - Other Index Options'!$B:$B,"Thursday",'NSE - Other Index Options'!$G:$G,"Weekly*"))</f>
        <v/>
      </c>
      <c r="C122" s="26" t="str">
        <f>IF(SUMIFS('BSE - SENSEX Index Options'!$L:$L,'BSE - SENSEX Index Options'!$D:$D,$A122,'BSE - SENSEX Index Options'!$B:$B,"Thursday",'BSE - SENSEX Index Options'!$G:$G,"Weekly*")+SUMIFS('BSE - Other Index Options'!$L:$L,'BSE - Other Index Options'!$D:$D,$A122,'BSE - Other Index Options'!$B:$B,"Thursday",'BSE - Other Index Options'!$G:$G,"Weekly*")=0,"",SUMIFS('BSE - SENSEX Index Options'!$L:$L,'BSE - SENSEX Index Options'!$D:$D,$A122,'BSE - SENSEX Index Options'!$B:$B,"Thursday",'BSE - SENSEX Index Options'!$G:$G,"Weekly*")+SUMIFS('BSE - Other Index Options'!$L:$L,'BSE - Other Index Options'!$D:$D,$A122,'BSE - Other Index Options'!$B:$B,"Thursday",'BSE - Other Index Options'!$G:$G,"Weekly*"))</f>
        <v/>
      </c>
      <c r="D122" s="27" t="str">
        <f t="shared" si="6"/>
        <v/>
      </c>
      <c r="E122" s="27" t="str">
        <f t="shared" si="7"/>
        <v/>
      </c>
    </row>
    <row r="123" spans="1:5" hidden="1" outlineLevel="1">
      <c r="A123" s="24">
        <v>46569</v>
      </c>
      <c r="B123" s="26" t="str">
        <f>IF(SUMIFS('NSE - NIFTY Index Options'!$L:$L,'NSE - NIFTY Index Options'!$D:$D,$A123,'NSE - NIFTY Index Options'!$B:$B,"Thursday",'NSE - NIFTY Index Options'!$G:$G,"Weekly*")+SUMIFS('NSE - Other Index Options'!$L:$L,'NSE - Other Index Options'!$D:$D,$A123,'NSE - Other Index Options'!$B:$B,"Thursday",'NSE - Other Index Options'!$G:$G,"Weekly*")=0,"",SUMIFS('NSE - NIFTY Index Options'!$L:$L,'NSE - NIFTY Index Options'!$D:$D,$A123,'NSE - NIFTY Index Options'!$B:$B,"Thursday",'NSE - NIFTY Index Options'!$G:$G,"Weekly*")+SUMIFS('NSE - Other Index Options'!$L:$L,'NSE - Other Index Options'!$D:$D,$A123,'NSE - Other Index Options'!$B:$B,"Thursday",'NSE - Other Index Options'!$G:$G,"Weekly*"))</f>
        <v/>
      </c>
      <c r="C123" s="26" t="str">
        <f>IF(SUMIFS('BSE - SENSEX Index Options'!$L:$L,'BSE - SENSEX Index Options'!$D:$D,$A123,'BSE - SENSEX Index Options'!$B:$B,"Thursday",'BSE - SENSEX Index Options'!$G:$G,"Weekly*")+SUMIFS('BSE - Other Index Options'!$L:$L,'BSE - Other Index Options'!$D:$D,$A123,'BSE - Other Index Options'!$B:$B,"Thursday",'BSE - Other Index Options'!$G:$G,"Weekly*")=0,"",SUMIFS('BSE - SENSEX Index Options'!$L:$L,'BSE - SENSEX Index Options'!$D:$D,$A123,'BSE - SENSEX Index Options'!$B:$B,"Thursday",'BSE - SENSEX Index Options'!$G:$G,"Weekly*")+SUMIFS('BSE - Other Index Options'!$L:$L,'BSE - Other Index Options'!$D:$D,$A123,'BSE - Other Index Options'!$B:$B,"Thursday",'BSE - Other Index Options'!$G:$G,"Weekly*"))</f>
        <v/>
      </c>
      <c r="D123" s="27" t="str">
        <f t="shared" si="6"/>
        <v/>
      </c>
      <c r="E123" s="27" t="str">
        <f t="shared" si="7"/>
        <v/>
      </c>
    </row>
    <row r="124" spans="1:5" hidden="1" outlineLevel="1">
      <c r="A124" s="24">
        <v>46600</v>
      </c>
      <c r="B124" s="26" t="str">
        <f>IF(SUMIFS('NSE - NIFTY Index Options'!$L:$L,'NSE - NIFTY Index Options'!$D:$D,$A124,'NSE - NIFTY Index Options'!$B:$B,"Thursday",'NSE - NIFTY Index Options'!$G:$G,"Weekly*")+SUMIFS('NSE - Other Index Options'!$L:$L,'NSE - Other Index Options'!$D:$D,$A124,'NSE - Other Index Options'!$B:$B,"Thursday",'NSE - Other Index Options'!$G:$G,"Weekly*")=0,"",SUMIFS('NSE - NIFTY Index Options'!$L:$L,'NSE - NIFTY Index Options'!$D:$D,$A124,'NSE - NIFTY Index Options'!$B:$B,"Thursday",'NSE - NIFTY Index Options'!$G:$G,"Weekly*")+SUMIFS('NSE - Other Index Options'!$L:$L,'NSE - Other Index Options'!$D:$D,$A124,'NSE - Other Index Options'!$B:$B,"Thursday",'NSE - Other Index Options'!$G:$G,"Weekly*"))</f>
        <v/>
      </c>
      <c r="C124" s="26" t="str">
        <f>IF(SUMIFS('BSE - SENSEX Index Options'!$L:$L,'BSE - SENSEX Index Options'!$D:$D,$A124,'BSE - SENSEX Index Options'!$B:$B,"Thursday",'BSE - SENSEX Index Options'!$G:$G,"Weekly*")+SUMIFS('BSE - Other Index Options'!$L:$L,'BSE - Other Index Options'!$D:$D,$A124,'BSE - Other Index Options'!$B:$B,"Thursday",'BSE - Other Index Options'!$G:$G,"Weekly*")=0,"",SUMIFS('BSE - SENSEX Index Options'!$L:$L,'BSE - SENSEX Index Options'!$D:$D,$A124,'BSE - SENSEX Index Options'!$B:$B,"Thursday",'BSE - SENSEX Index Options'!$G:$G,"Weekly*")+SUMIFS('BSE - Other Index Options'!$L:$L,'BSE - Other Index Options'!$D:$D,$A124,'BSE - Other Index Options'!$B:$B,"Thursday",'BSE - Other Index Options'!$G:$G,"Weekly*"))</f>
        <v/>
      </c>
      <c r="D124" s="27" t="str">
        <f t="shared" si="6"/>
        <v/>
      </c>
      <c r="E124" s="27" t="str">
        <f t="shared" si="7"/>
        <v/>
      </c>
    </row>
    <row r="125" spans="1:5" hidden="1" outlineLevel="1">
      <c r="A125" s="24">
        <v>46631</v>
      </c>
      <c r="B125" s="26" t="str">
        <f>IF(SUMIFS('NSE - NIFTY Index Options'!$L:$L,'NSE - NIFTY Index Options'!$D:$D,$A125,'NSE - NIFTY Index Options'!$B:$B,"Thursday",'NSE - NIFTY Index Options'!$G:$G,"Weekly*")+SUMIFS('NSE - Other Index Options'!$L:$L,'NSE - Other Index Options'!$D:$D,$A125,'NSE - Other Index Options'!$B:$B,"Thursday",'NSE - Other Index Options'!$G:$G,"Weekly*")=0,"",SUMIFS('NSE - NIFTY Index Options'!$L:$L,'NSE - NIFTY Index Options'!$D:$D,$A125,'NSE - NIFTY Index Options'!$B:$B,"Thursday",'NSE - NIFTY Index Options'!$G:$G,"Weekly*")+SUMIFS('NSE - Other Index Options'!$L:$L,'NSE - Other Index Options'!$D:$D,$A125,'NSE - Other Index Options'!$B:$B,"Thursday",'NSE - Other Index Options'!$G:$G,"Weekly*"))</f>
        <v/>
      </c>
      <c r="C125" s="26" t="str">
        <f>IF(SUMIFS('BSE - SENSEX Index Options'!$L:$L,'BSE - SENSEX Index Options'!$D:$D,$A125,'BSE - SENSEX Index Options'!$B:$B,"Thursday",'BSE - SENSEX Index Options'!$G:$G,"Weekly*")+SUMIFS('BSE - Other Index Options'!$L:$L,'BSE - Other Index Options'!$D:$D,$A125,'BSE - Other Index Options'!$B:$B,"Thursday",'BSE - Other Index Options'!$G:$G,"Weekly*")=0,"",SUMIFS('BSE - SENSEX Index Options'!$L:$L,'BSE - SENSEX Index Options'!$D:$D,$A125,'BSE - SENSEX Index Options'!$B:$B,"Thursday",'BSE - SENSEX Index Options'!$G:$G,"Weekly*")+SUMIFS('BSE - Other Index Options'!$L:$L,'BSE - Other Index Options'!$D:$D,$A125,'BSE - Other Index Options'!$B:$B,"Thursday",'BSE - Other Index Options'!$G:$G,"Weekly*"))</f>
        <v/>
      </c>
      <c r="D125" s="27" t="str">
        <f t="shared" si="6"/>
        <v/>
      </c>
      <c r="E125" s="27" t="str">
        <f t="shared" si="7"/>
        <v/>
      </c>
    </row>
    <row r="126" spans="1:5" hidden="1" outlineLevel="1">
      <c r="A126" s="24">
        <v>46661</v>
      </c>
      <c r="B126" s="26" t="str">
        <f>IF(SUMIFS('NSE - NIFTY Index Options'!$L:$L,'NSE - NIFTY Index Options'!$D:$D,$A126,'NSE - NIFTY Index Options'!$B:$B,"Thursday",'NSE - NIFTY Index Options'!$G:$G,"Weekly*")+SUMIFS('NSE - Other Index Options'!$L:$L,'NSE - Other Index Options'!$D:$D,$A126,'NSE - Other Index Options'!$B:$B,"Thursday",'NSE - Other Index Options'!$G:$G,"Weekly*")=0,"",SUMIFS('NSE - NIFTY Index Options'!$L:$L,'NSE - NIFTY Index Options'!$D:$D,$A126,'NSE - NIFTY Index Options'!$B:$B,"Thursday",'NSE - NIFTY Index Options'!$G:$G,"Weekly*")+SUMIFS('NSE - Other Index Options'!$L:$L,'NSE - Other Index Options'!$D:$D,$A126,'NSE - Other Index Options'!$B:$B,"Thursday",'NSE - Other Index Options'!$G:$G,"Weekly*"))</f>
        <v/>
      </c>
      <c r="C126" s="26" t="str">
        <f>IF(SUMIFS('BSE - SENSEX Index Options'!$L:$L,'BSE - SENSEX Index Options'!$D:$D,$A126,'BSE - SENSEX Index Options'!$B:$B,"Thursday",'BSE - SENSEX Index Options'!$G:$G,"Weekly*")+SUMIFS('BSE - Other Index Options'!$L:$L,'BSE - Other Index Options'!$D:$D,$A126,'BSE - Other Index Options'!$B:$B,"Thursday",'BSE - Other Index Options'!$G:$G,"Weekly*")=0,"",SUMIFS('BSE - SENSEX Index Options'!$L:$L,'BSE - SENSEX Index Options'!$D:$D,$A126,'BSE - SENSEX Index Options'!$B:$B,"Thursday",'BSE - SENSEX Index Options'!$G:$G,"Weekly*")+SUMIFS('BSE - Other Index Options'!$L:$L,'BSE - Other Index Options'!$D:$D,$A126,'BSE - Other Index Options'!$B:$B,"Thursday",'BSE - Other Index Options'!$G:$G,"Weekly*"))</f>
        <v/>
      </c>
      <c r="D126" s="27" t="str">
        <f t="shared" si="6"/>
        <v/>
      </c>
      <c r="E126" s="27" t="str">
        <f t="shared" si="7"/>
        <v/>
      </c>
    </row>
    <row r="127" spans="1:5" hidden="1" outlineLevel="1">
      <c r="A127" s="24">
        <v>46692</v>
      </c>
      <c r="B127" s="26" t="str">
        <f>IF(SUMIFS('NSE - NIFTY Index Options'!$L:$L,'NSE - NIFTY Index Options'!$D:$D,$A127,'NSE - NIFTY Index Options'!$B:$B,"Thursday",'NSE - NIFTY Index Options'!$G:$G,"Weekly*")+SUMIFS('NSE - Other Index Options'!$L:$L,'NSE - Other Index Options'!$D:$D,$A127,'NSE - Other Index Options'!$B:$B,"Thursday",'NSE - Other Index Options'!$G:$G,"Weekly*")=0,"",SUMIFS('NSE - NIFTY Index Options'!$L:$L,'NSE - NIFTY Index Options'!$D:$D,$A127,'NSE - NIFTY Index Options'!$B:$B,"Thursday",'NSE - NIFTY Index Options'!$G:$G,"Weekly*")+SUMIFS('NSE - Other Index Options'!$L:$L,'NSE - Other Index Options'!$D:$D,$A127,'NSE - Other Index Options'!$B:$B,"Thursday",'NSE - Other Index Options'!$G:$G,"Weekly*"))</f>
        <v/>
      </c>
      <c r="C127" s="26" t="str">
        <f>IF(SUMIFS('BSE - SENSEX Index Options'!$L:$L,'BSE - SENSEX Index Options'!$D:$D,$A127,'BSE - SENSEX Index Options'!$B:$B,"Thursday",'BSE - SENSEX Index Options'!$G:$G,"Weekly*")+SUMIFS('BSE - Other Index Options'!$L:$L,'BSE - Other Index Options'!$D:$D,$A127,'BSE - Other Index Options'!$B:$B,"Thursday",'BSE - Other Index Options'!$G:$G,"Weekly*")=0,"",SUMIFS('BSE - SENSEX Index Options'!$L:$L,'BSE - SENSEX Index Options'!$D:$D,$A127,'BSE - SENSEX Index Options'!$B:$B,"Thursday",'BSE - SENSEX Index Options'!$G:$G,"Weekly*")+SUMIFS('BSE - Other Index Options'!$L:$L,'BSE - Other Index Options'!$D:$D,$A127,'BSE - Other Index Options'!$B:$B,"Thursday",'BSE - Other Index Options'!$G:$G,"Weekly*"))</f>
        <v/>
      </c>
      <c r="D127" s="27" t="str">
        <f t="shared" si="6"/>
        <v/>
      </c>
      <c r="E127" s="27" t="str">
        <f t="shared" si="7"/>
        <v/>
      </c>
    </row>
    <row r="128" spans="1:5" hidden="1" outlineLevel="1">
      <c r="A128" s="24">
        <v>46722</v>
      </c>
      <c r="B128" s="26" t="str">
        <f>IF(SUMIFS('NSE - NIFTY Index Options'!$L:$L,'NSE - NIFTY Index Options'!$D:$D,$A128,'NSE - NIFTY Index Options'!$B:$B,"Thursday",'NSE - NIFTY Index Options'!$G:$G,"Weekly*")+SUMIFS('NSE - Other Index Options'!$L:$L,'NSE - Other Index Options'!$D:$D,$A128,'NSE - Other Index Options'!$B:$B,"Thursday",'NSE - Other Index Options'!$G:$G,"Weekly*")=0,"",SUMIFS('NSE - NIFTY Index Options'!$L:$L,'NSE - NIFTY Index Options'!$D:$D,$A128,'NSE - NIFTY Index Options'!$B:$B,"Thursday",'NSE - NIFTY Index Options'!$G:$G,"Weekly*")+SUMIFS('NSE - Other Index Options'!$L:$L,'NSE - Other Index Options'!$D:$D,$A128,'NSE - Other Index Options'!$B:$B,"Thursday",'NSE - Other Index Options'!$G:$G,"Weekly*"))</f>
        <v/>
      </c>
      <c r="C128" s="26" t="str">
        <f>IF(SUMIFS('BSE - SENSEX Index Options'!$L:$L,'BSE - SENSEX Index Options'!$D:$D,$A128,'BSE - SENSEX Index Options'!$B:$B,"Thursday",'BSE - SENSEX Index Options'!$G:$G,"Weekly*")+SUMIFS('BSE - Other Index Options'!$L:$L,'BSE - Other Index Options'!$D:$D,$A128,'BSE - Other Index Options'!$B:$B,"Thursday",'BSE - Other Index Options'!$G:$G,"Weekly*")=0,"",SUMIFS('BSE - SENSEX Index Options'!$L:$L,'BSE - SENSEX Index Options'!$D:$D,$A128,'BSE - SENSEX Index Options'!$B:$B,"Thursday",'BSE - SENSEX Index Options'!$G:$G,"Weekly*")+SUMIFS('BSE - Other Index Options'!$L:$L,'BSE - Other Index Options'!$D:$D,$A128,'BSE - Other Index Options'!$B:$B,"Thursday",'BSE - Other Index Options'!$G:$G,"Weekly*"))</f>
        <v/>
      </c>
      <c r="D128" s="27" t="str">
        <f t="shared" si="6"/>
        <v/>
      </c>
      <c r="E128" s="27" t="str">
        <f t="shared" si="7"/>
        <v/>
      </c>
    </row>
    <row r="129" spans="1:5" collapsed="1">
      <c r="A129" s="28" t="s">
        <v>9</v>
      </c>
      <c r="B129" s="30">
        <f>IF(SUM(B101:B128)=0,"",SUM(B101:B128))</f>
        <v>930389.62000000011</v>
      </c>
      <c r="C129" s="30">
        <f>IF(SUM(C101:C128)=0,"",SUM(C101:C128))</f>
        <v>1807468.7499999998</v>
      </c>
      <c r="D129" s="31">
        <f t="shared" si="6"/>
        <v>0.33982386751437405</v>
      </c>
      <c r="E129" s="31">
        <f t="shared" si="7"/>
        <v>0.6601761324856259</v>
      </c>
    </row>
    <row r="131" spans="1:5">
      <c r="A131" s="28" t="s">
        <v>181</v>
      </c>
    </row>
    <row r="132" spans="1:5">
      <c r="A132" s="28" t="s">
        <v>169</v>
      </c>
      <c r="B132" s="28" t="s">
        <v>1</v>
      </c>
      <c r="C132" s="28" t="s">
        <v>148</v>
      </c>
      <c r="D132" s="28" t="s">
        <v>149</v>
      </c>
      <c r="E132" s="28" t="s">
        <v>150</v>
      </c>
    </row>
    <row r="133" spans="1:5">
      <c r="A133" s="24">
        <v>45901</v>
      </c>
      <c r="B133" s="26">
        <f>IF(SUMIFS('NSE - NIFTY Index Options'!$L:$L,'NSE - NIFTY Index Options'!$D:$D,$A133,'NSE - NIFTY Index Options'!$B:$B,"Friday",'NSE - NIFTY Index Options'!$G:$G,"Weekly*")+SUMIFS('NSE - Other Index Options'!$L:$L,'NSE - Other Index Options'!$D:$D,$A133,'NSE - Other Index Options'!$B:$B,"Friday",'NSE - Other Index Options'!$G:$G,"Weekly*")=0,"",SUMIFS('NSE - NIFTY Index Options'!$L:$L,'NSE - NIFTY Index Options'!$D:$D,$A133,'NSE - NIFTY Index Options'!$B:$B,"Friday",'NSE - NIFTY Index Options'!$G:$G,"Weekly*")+SUMIFS('NSE - Other Index Options'!$L:$L,'NSE - Other Index Options'!$D:$D,$A133,'NSE - Other Index Options'!$B:$B,"Friday",'NSE - Other Index Options'!$G:$G,"Weekly*"))</f>
        <v>104129.54999999997</v>
      </c>
      <c r="C133" s="26">
        <f>IF(SUMIFS('BSE - SENSEX Index Options'!$L:$L,'BSE - SENSEX Index Options'!$D:$D,$A133,'BSE - SENSEX Index Options'!$B:$B,"Friday",'BSE - SENSEX Index Options'!$G:$G,"Weekly*")+SUMIFS('BSE - Other Index Options'!$L:$L,'BSE - Other Index Options'!$D:$D,$A133,'BSE - Other Index Options'!$B:$B,"Friday",'BSE - Other Index Options'!$G:$G,"Weekly*")=0,"",SUMIFS('BSE - SENSEX Index Options'!$L:$L,'BSE - SENSEX Index Options'!$D:$D,$A133,'BSE - SENSEX Index Options'!$B:$B,"Friday",'BSE - SENSEX Index Options'!$G:$G,"Weekly*")+SUMIFS('BSE - Other Index Options'!$L:$L,'BSE - Other Index Options'!$D:$D,$A133,'BSE - Other Index Options'!$B:$B,"Friday",'BSE - Other Index Options'!$G:$G,"Weekly*"))</f>
        <v>23984.27</v>
      </c>
      <c r="D133" s="27">
        <f t="shared" ref="D133:D161" si="8">IF(SUM(B133:C133)=0,"",SUM(B133)/SUM(B133:C133))</f>
        <v>0.812789361834656</v>
      </c>
      <c r="E133" s="27">
        <f t="shared" ref="E133:E161" si="9">IF(SUM(B133:C133)=0,"",SUM(C133)/SUM(B133:C133))</f>
        <v>0.18721063816534395</v>
      </c>
    </row>
    <row r="134" spans="1:5">
      <c r="A134" s="24">
        <v>45931</v>
      </c>
      <c r="B134" s="26">
        <f>IF(SUMIFS('NSE - NIFTY Index Options'!$L:$L,'NSE - NIFTY Index Options'!$D:$D,$A134,'NSE - NIFTY Index Options'!$B:$B,"Friday",'NSE - NIFTY Index Options'!$G:$G,"Weekly*")+SUMIFS('NSE - Other Index Options'!$L:$L,'NSE - Other Index Options'!$D:$D,$A134,'NSE - Other Index Options'!$B:$B,"Friday",'NSE - Other Index Options'!$G:$G,"Weekly*")=0,"",SUMIFS('NSE - NIFTY Index Options'!$L:$L,'NSE - NIFTY Index Options'!$D:$D,$A134,'NSE - NIFTY Index Options'!$B:$B,"Friday",'NSE - NIFTY Index Options'!$G:$G,"Weekly*")+SUMIFS('NSE - Other Index Options'!$L:$L,'NSE - Other Index Options'!$D:$D,$A134,'NSE - Other Index Options'!$B:$B,"Friday",'NSE - Other Index Options'!$G:$G,"Weekly*"))</f>
        <v>183426.72999999995</v>
      </c>
      <c r="C134" s="26">
        <f>IF(SUMIFS('BSE - SENSEX Index Options'!$L:$L,'BSE - SENSEX Index Options'!$D:$D,$A134,'BSE - SENSEX Index Options'!$B:$B,"Friday",'BSE - SENSEX Index Options'!$G:$G,"Weekly*")+SUMIFS('BSE - Other Index Options'!$L:$L,'BSE - Other Index Options'!$D:$D,$A134,'BSE - Other Index Options'!$B:$B,"Friday",'BSE - Other Index Options'!$G:$G,"Weekly*")=0,"",SUMIFS('BSE - SENSEX Index Options'!$L:$L,'BSE - SENSEX Index Options'!$D:$D,$A134,'BSE - SENSEX Index Options'!$B:$B,"Friday",'BSE - SENSEX Index Options'!$G:$G,"Weekly*")+SUMIFS('BSE - Other Index Options'!$L:$L,'BSE - Other Index Options'!$D:$D,$A134,'BSE - Other Index Options'!$B:$B,"Friday",'BSE - Other Index Options'!$G:$G,"Weekly*"))</f>
        <v>41872.400000000001</v>
      </c>
      <c r="D134" s="27">
        <f t="shared" si="8"/>
        <v>0.81414752910941113</v>
      </c>
      <c r="E134" s="27">
        <f t="shared" si="9"/>
        <v>0.18585247089058893</v>
      </c>
    </row>
    <row r="135" spans="1:5">
      <c r="A135" s="24">
        <v>45962</v>
      </c>
      <c r="B135" s="26">
        <f>IF(SUMIFS('NSE - NIFTY Index Options'!$L:$L,'NSE - NIFTY Index Options'!$D:$D,$A135,'NSE - NIFTY Index Options'!$B:$B,"Friday",'NSE - NIFTY Index Options'!$G:$G,"Weekly*")+SUMIFS('NSE - Other Index Options'!$L:$L,'NSE - Other Index Options'!$D:$D,$A135,'NSE - Other Index Options'!$B:$B,"Friday",'NSE - Other Index Options'!$G:$G,"Weekly*")=0,"",SUMIFS('NSE - NIFTY Index Options'!$L:$L,'NSE - NIFTY Index Options'!$D:$D,$A135,'NSE - NIFTY Index Options'!$B:$B,"Friday",'NSE - NIFTY Index Options'!$G:$G,"Weekly*")+SUMIFS('NSE - Other Index Options'!$L:$L,'NSE - Other Index Options'!$D:$D,$A135,'NSE - Other Index Options'!$B:$B,"Friday",'NSE - Other Index Options'!$G:$G,"Weekly*"))</f>
        <v>141592.84</v>
      </c>
      <c r="C135" s="26">
        <f>IF(SUMIFS('BSE - SENSEX Index Options'!$L:$L,'BSE - SENSEX Index Options'!$D:$D,$A135,'BSE - SENSEX Index Options'!$B:$B,"Friday",'BSE - SENSEX Index Options'!$G:$G,"Weekly*")+SUMIFS('BSE - Other Index Options'!$L:$L,'BSE - Other Index Options'!$D:$D,$A135,'BSE - Other Index Options'!$B:$B,"Friday",'BSE - Other Index Options'!$G:$G,"Weekly*")=0,"",SUMIFS('BSE - SENSEX Index Options'!$L:$L,'BSE - SENSEX Index Options'!$D:$D,$A135,'BSE - SENSEX Index Options'!$B:$B,"Friday",'BSE - SENSEX Index Options'!$G:$G,"Weekly*")+SUMIFS('BSE - Other Index Options'!$L:$L,'BSE - Other Index Options'!$D:$D,$A135,'BSE - Other Index Options'!$B:$B,"Friday",'BSE - Other Index Options'!$G:$G,"Weekly*"))</f>
        <v>29992.98</v>
      </c>
      <c r="D135" s="27">
        <f t="shared" si="8"/>
        <v>0.82520128994342301</v>
      </c>
      <c r="E135" s="27">
        <f t="shared" si="9"/>
        <v>0.17479871005657693</v>
      </c>
    </row>
    <row r="136" spans="1:5">
      <c r="A136" s="24">
        <v>45992</v>
      </c>
      <c r="B136" s="26">
        <f>IF(SUMIFS('NSE - NIFTY Index Options'!$L:$L,'NSE - NIFTY Index Options'!$D:$D,$A136,'NSE - NIFTY Index Options'!$B:$B,"Friday",'NSE - NIFTY Index Options'!$G:$G,"Weekly*")+SUMIFS('NSE - Other Index Options'!$L:$L,'NSE - Other Index Options'!$D:$D,$A136,'NSE - Other Index Options'!$B:$B,"Friday",'NSE - Other Index Options'!$G:$G,"Weekly*")=0,"",SUMIFS('NSE - NIFTY Index Options'!$L:$L,'NSE - NIFTY Index Options'!$D:$D,$A136,'NSE - NIFTY Index Options'!$B:$B,"Friday",'NSE - NIFTY Index Options'!$G:$G,"Weekly*")+SUMIFS('NSE - Other Index Options'!$L:$L,'NSE - Other Index Options'!$D:$D,$A136,'NSE - Other Index Options'!$B:$B,"Friday",'NSE - Other Index Options'!$G:$G,"Weekly*"))</f>
        <v>119791.79</v>
      </c>
      <c r="C136" s="26">
        <f>IF(SUMIFS('BSE - SENSEX Index Options'!$L:$L,'BSE - SENSEX Index Options'!$D:$D,$A136,'BSE - SENSEX Index Options'!$B:$B,"Friday",'BSE - SENSEX Index Options'!$G:$G,"Weekly*")+SUMIFS('BSE - Other Index Options'!$L:$L,'BSE - Other Index Options'!$D:$D,$A136,'BSE - Other Index Options'!$B:$B,"Friday",'BSE - Other Index Options'!$G:$G,"Weekly*")=0,"",SUMIFS('BSE - SENSEX Index Options'!$L:$L,'BSE - SENSEX Index Options'!$D:$D,$A136,'BSE - SENSEX Index Options'!$B:$B,"Friday",'BSE - SENSEX Index Options'!$G:$G,"Weekly*")+SUMIFS('BSE - Other Index Options'!$L:$L,'BSE - Other Index Options'!$D:$D,$A136,'BSE - Other Index Options'!$B:$B,"Friday",'BSE - Other Index Options'!$G:$G,"Weekly*"))</f>
        <v>34695.789999999994</v>
      </c>
      <c r="D136" s="27">
        <f t="shared" si="8"/>
        <v>0.77541372581536983</v>
      </c>
      <c r="E136" s="27">
        <f t="shared" si="9"/>
        <v>0.22458627418463023</v>
      </c>
    </row>
    <row r="137" spans="1:5">
      <c r="A137" s="24">
        <v>46023</v>
      </c>
      <c r="B137" s="26">
        <f>IF(SUMIFS('NSE - NIFTY Index Options'!$L:$L,'NSE - NIFTY Index Options'!$D:$D,$A137,'NSE - NIFTY Index Options'!$B:$B,"Friday",'NSE - NIFTY Index Options'!$G:$G,"Weekly*")+SUMIFS('NSE - Other Index Options'!$L:$L,'NSE - Other Index Options'!$D:$D,$A137,'NSE - Other Index Options'!$B:$B,"Friday",'NSE - Other Index Options'!$G:$G,"Weekly*")=0,"",SUMIFS('NSE - NIFTY Index Options'!$L:$L,'NSE - NIFTY Index Options'!$D:$D,$A137,'NSE - NIFTY Index Options'!$B:$B,"Friday",'NSE - NIFTY Index Options'!$G:$G,"Weekly*")+SUMIFS('NSE - Other Index Options'!$L:$L,'NSE - Other Index Options'!$D:$D,$A137,'NSE - Other Index Options'!$B:$B,"Friday",'NSE - Other Index Options'!$G:$G,"Weekly*"))</f>
        <v>195619.19000000003</v>
      </c>
      <c r="C137" s="26">
        <f>IF(SUMIFS('BSE - SENSEX Index Options'!$L:$L,'BSE - SENSEX Index Options'!$D:$D,$A137,'BSE - SENSEX Index Options'!$B:$B,"Friday",'BSE - SENSEX Index Options'!$G:$G,"Weekly*")+SUMIFS('BSE - Other Index Options'!$L:$L,'BSE - Other Index Options'!$D:$D,$A137,'BSE - Other Index Options'!$B:$B,"Friday",'BSE - Other Index Options'!$G:$G,"Weekly*")=0,"",SUMIFS('BSE - SENSEX Index Options'!$L:$L,'BSE - SENSEX Index Options'!$D:$D,$A137,'BSE - SENSEX Index Options'!$B:$B,"Friday",'BSE - SENSEX Index Options'!$G:$G,"Weekly*")+SUMIFS('BSE - Other Index Options'!$L:$L,'BSE - Other Index Options'!$D:$D,$A137,'BSE - Other Index Options'!$B:$B,"Friday",'BSE - Other Index Options'!$G:$G,"Weekly*"))</f>
        <v>47780.060000000005</v>
      </c>
      <c r="D137" s="27">
        <f t="shared" si="8"/>
        <v>0.80369676570490667</v>
      </c>
      <c r="E137" s="27">
        <f t="shared" si="9"/>
        <v>0.19630323429509336</v>
      </c>
    </row>
    <row r="138" spans="1:5">
      <c r="A138" s="24">
        <v>46054</v>
      </c>
      <c r="B138" s="26">
        <f>IF(SUMIFS('NSE - NIFTY Index Options'!$L:$L,'NSE - NIFTY Index Options'!$D:$D,$A138,'NSE - NIFTY Index Options'!$B:$B,"Friday",'NSE - NIFTY Index Options'!$G:$G,"Weekly*")+SUMIFS('NSE - Other Index Options'!$L:$L,'NSE - Other Index Options'!$D:$D,$A138,'NSE - Other Index Options'!$B:$B,"Friday",'NSE - Other Index Options'!$G:$G,"Weekly*")=0,"",SUMIFS('NSE - NIFTY Index Options'!$L:$L,'NSE - NIFTY Index Options'!$D:$D,$A138,'NSE - NIFTY Index Options'!$B:$B,"Friday",'NSE - NIFTY Index Options'!$G:$G,"Weekly*")+SUMIFS('NSE - Other Index Options'!$L:$L,'NSE - Other Index Options'!$D:$D,$A138,'NSE - Other Index Options'!$B:$B,"Friday",'NSE - Other Index Options'!$G:$G,"Weekly*"))</f>
        <v>158977.09</v>
      </c>
      <c r="C138" s="26">
        <f>IF(SUMIFS('BSE - SENSEX Index Options'!$L:$L,'BSE - SENSEX Index Options'!$D:$D,$A138,'BSE - SENSEX Index Options'!$B:$B,"Friday",'BSE - SENSEX Index Options'!$G:$G,"Weekly*")+SUMIFS('BSE - Other Index Options'!$L:$L,'BSE - Other Index Options'!$D:$D,$A138,'BSE - Other Index Options'!$B:$B,"Friday",'BSE - Other Index Options'!$G:$G,"Weekly*")=0,"",SUMIFS('BSE - SENSEX Index Options'!$L:$L,'BSE - SENSEX Index Options'!$D:$D,$A138,'BSE - SENSEX Index Options'!$B:$B,"Friday",'BSE - SENSEX Index Options'!$G:$G,"Weekly*")+SUMIFS('BSE - Other Index Options'!$L:$L,'BSE - Other Index Options'!$D:$D,$A138,'BSE - Other Index Options'!$B:$B,"Friday",'BSE - Other Index Options'!$G:$G,"Weekly*"))</f>
        <v>35272.699999999997</v>
      </c>
      <c r="D138" s="27">
        <f t="shared" si="8"/>
        <v>0.81841576250867509</v>
      </c>
      <c r="E138" s="27">
        <f t="shared" si="9"/>
        <v>0.18158423749132496</v>
      </c>
    </row>
    <row r="139" spans="1:5">
      <c r="A139" s="24">
        <v>46082</v>
      </c>
      <c r="B139" s="26">
        <f>IF(SUMIFS('NSE - NIFTY Index Options'!$L:$L,'NSE - NIFTY Index Options'!$D:$D,$A139,'NSE - NIFTY Index Options'!$B:$B,"Friday",'NSE - NIFTY Index Options'!$G:$G,"Weekly*")+SUMIFS('NSE - Other Index Options'!$L:$L,'NSE - Other Index Options'!$D:$D,$A139,'NSE - Other Index Options'!$B:$B,"Friday",'NSE - Other Index Options'!$G:$G,"Weekly*")=0,"",SUMIFS('NSE - NIFTY Index Options'!$L:$L,'NSE - NIFTY Index Options'!$D:$D,$A139,'NSE - NIFTY Index Options'!$B:$B,"Friday",'NSE - NIFTY Index Options'!$G:$G,"Weekly*")+SUMIFS('NSE - Other Index Options'!$L:$L,'NSE - Other Index Options'!$D:$D,$A139,'NSE - Other Index Options'!$B:$B,"Friday",'NSE - Other Index Options'!$G:$G,"Weekly*"))</f>
        <v>225136.22999999998</v>
      </c>
      <c r="C139" s="26">
        <f>IF(SUMIFS('BSE - SENSEX Index Options'!$L:$L,'BSE - SENSEX Index Options'!$D:$D,$A139,'BSE - SENSEX Index Options'!$B:$B,"Friday",'BSE - SENSEX Index Options'!$G:$G,"Weekly*")+SUMIFS('BSE - Other Index Options'!$L:$L,'BSE - Other Index Options'!$D:$D,$A139,'BSE - Other Index Options'!$B:$B,"Friday",'BSE - Other Index Options'!$G:$G,"Weekly*")=0,"",SUMIFS('BSE - SENSEX Index Options'!$L:$L,'BSE - SENSEX Index Options'!$D:$D,$A139,'BSE - SENSEX Index Options'!$B:$B,"Friday",'BSE - SENSEX Index Options'!$G:$G,"Weekly*")+SUMIFS('BSE - Other Index Options'!$L:$L,'BSE - Other Index Options'!$D:$D,$A139,'BSE - Other Index Options'!$B:$B,"Friday",'BSE - Other Index Options'!$G:$G,"Weekly*"))</f>
        <v>36498.979999999996</v>
      </c>
      <c r="D139" s="27">
        <f t="shared" si="8"/>
        <v>0.86049668162018411</v>
      </c>
      <c r="E139" s="27">
        <f t="shared" si="9"/>
        <v>0.13950331837981594</v>
      </c>
    </row>
    <row r="140" spans="1:5">
      <c r="A140" s="24">
        <v>46113</v>
      </c>
      <c r="B140" s="26">
        <f>IF(SUMIFS('NSE - NIFTY Index Options'!$L:$L,'NSE - NIFTY Index Options'!$D:$D,$A140,'NSE - NIFTY Index Options'!$B:$B,"Friday",'NSE - NIFTY Index Options'!$G:$G,"Weekly*")+SUMIFS('NSE - Other Index Options'!$L:$L,'NSE - Other Index Options'!$D:$D,$A140,'NSE - Other Index Options'!$B:$B,"Friday",'NSE - Other Index Options'!$G:$G,"Weekly*")=0,"",SUMIFS('NSE - NIFTY Index Options'!$L:$L,'NSE - NIFTY Index Options'!$D:$D,$A140,'NSE - NIFTY Index Options'!$B:$B,"Friday",'NSE - NIFTY Index Options'!$G:$G,"Weekly*")+SUMIFS('NSE - Other Index Options'!$L:$L,'NSE - Other Index Options'!$D:$D,$A140,'NSE - Other Index Options'!$B:$B,"Friday",'NSE - Other Index Options'!$G:$G,"Weekly*"))</f>
        <v>95025.61</v>
      </c>
      <c r="C140" s="26">
        <f>IF(SUMIFS('BSE - SENSEX Index Options'!$L:$L,'BSE - SENSEX Index Options'!$D:$D,$A140,'BSE - SENSEX Index Options'!$B:$B,"Friday",'BSE - SENSEX Index Options'!$G:$G,"Weekly*")+SUMIFS('BSE - Other Index Options'!$L:$L,'BSE - Other Index Options'!$D:$D,$A140,'BSE - Other Index Options'!$B:$B,"Friday",'BSE - Other Index Options'!$G:$G,"Weekly*")=0,"",SUMIFS('BSE - SENSEX Index Options'!$L:$L,'BSE - SENSEX Index Options'!$D:$D,$A140,'BSE - SENSEX Index Options'!$B:$B,"Friday",'BSE - SENSEX Index Options'!$G:$G,"Weekly*")+SUMIFS('BSE - Other Index Options'!$L:$L,'BSE - Other Index Options'!$D:$D,$A140,'BSE - Other Index Options'!$B:$B,"Friday",'BSE - Other Index Options'!$G:$G,"Weekly*"))</f>
        <v>19076.490000000002</v>
      </c>
      <c r="D140" s="27">
        <f t="shared" si="8"/>
        <v>0.83281210424698582</v>
      </c>
      <c r="E140" s="27">
        <f t="shared" si="9"/>
        <v>0.16718789575301418</v>
      </c>
    </row>
    <row r="141" spans="1:5">
      <c r="A141" s="24">
        <v>46143</v>
      </c>
      <c r="B141" s="26">
        <f>IF(SUMIFS('NSE - NIFTY Index Options'!$L:$L,'NSE - NIFTY Index Options'!$D:$D,$A141,'NSE - NIFTY Index Options'!$B:$B,"Friday",'NSE - NIFTY Index Options'!$G:$G,"Weekly*")+SUMIFS('NSE - Other Index Options'!$L:$L,'NSE - Other Index Options'!$D:$D,$A141,'NSE - Other Index Options'!$B:$B,"Friday",'NSE - Other Index Options'!$G:$G,"Weekly*")=0,"",SUMIFS('NSE - NIFTY Index Options'!$L:$L,'NSE - NIFTY Index Options'!$D:$D,$A141,'NSE - NIFTY Index Options'!$B:$B,"Friday",'NSE - NIFTY Index Options'!$G:$G,"Weekly*")+SUMIFS('NSE - Other Index Options'!$L:$L,'NSE - Other Index Options'!$D:$D,$A141,'NSE - Other Index Options'!$B:$B,"Friday",'NSE - Other Index Options'!$G:$G,"Weekly*"))</f>
        <v>159509.5</v>
      </c>
      <c r="C141" s="26">
        <f>IF(SUMIFS('BSE - SENSEX Index Options'!$L:$L,'BSE - SENSEX Index Options'!$D:$D,$A141,'BSE - SENSEX Index Options'!$B:$B,"Friday",'BSE - SENSEX Index Options'!$G:$G,"Weekly*")+SUMIFS('BSE - Other Index Options'!$L:$L,'BSE - Other Index Options'!$D:$D,$A141,'BSE - Other Index Options'!$B:$B,"Friday",'BSE - Other Index Options'!$G:$G,"Weekly*")=0,"",SUMIFS('BSE - SENSEX Index Options'!$L:$L,'BSE - SENSEX Index Options'!$D:$D,$A141,'BSE - SENSEX Index Options'!$B:$B,"Friday",'BSE - SENSEX Index Options'!$G:$G,"Weekly*")+SUMIFS('BSE - Other Index Options'!$L:$L,'BSE - Other Index Options'!$D:$D,$A141,'BSE - Other Index Options'!$B:$B,"Friday",'BSE - Other Index Options'!$G:$G,"Weekly*"))</f>
        <v>35911.869999999995</v>
      </c>
      <c r="D141" s="27">
        <f t="shared" si="8"/>
        <v>0.81623365960437189</v>
      </c>
      <c r="E141" s="27">
        <f t="shared" si="9"/>
        <v>0.18376634039562817</v>
      </c>
    </row>
    <row r="142" spans="1:5">
      <c r="A142" s="24">
        <v>46174</v>
      </c>
      <c r="B142" s="26">
        <f>IF(SUMIFS('NSE - NIFTY Index Options'!$L:$L,'NSE - NIFTY Index Options'!$D:$D,$A142,'NSE - NIFTY Index Options'!$B:$B,"Friday",'NSE - NIFTY Index Options'!$G:$G,"Weekly*")+SUMIFS('NSE - Other Index Options'!$L:$L,'NSE - Other Index Options'!$D:$D,$A142,'NSE - Other Index Options'!$B:$B,"Friday",'NSE - Other Index Options'!$G:$G,"Weekly*")=0,"",SUMIFS('NSE - NIFTY Index Options'!$L:$L,'NSE - NIFTY Index Options'!$D:$D,$A142,'NSE - NIFTY Index Options'!$B:$B,"Friday",'NSE - NIFTY Index Options'!$G:$G,"Weekly*")+SUMIFS('NSE - Other Index Options'!$L:$L,'NSE - Other Index Options'!$D:$D,$A142,'NSE - Other Index Options'!$B:$B,"Friday",'NSE - Other Index Options'!$G:$G,"Weekly*"))</f>
        <v>158076.28999999998</v>
      </c>
      <c r="C142" s="26">
        <f>IF(SUMIFS('BSE - SENSEX Index Options'!$L:$L,'BSE - SENSEX Index Options'!$D:$D,$A142,'BSE - SENSEX Index Options'!$B:$B,"Friday",'BSE - SENSEX Index Options'!$G:$G,"Weekly*")+SUMIFS('BSE - Other Index Options'!$L:$L,'BSE - Other Index Options'!$D:$D,$A142,'BSE - Other Index Options'!$B:$B,"Friday",'BSE - Other Index Options'!$G:$G,"Weekly*")=0,"",SUMIFS('BSE - SENSEX Index Options'!$L:$L,'BSE - SENSEX Index Options'!$D:$D,$A142,'BSE - SENSEX Index Options'!$B:$B,"Friday",'BSE - SENSEX Index Options'!$G:$G,"Weekly*")+SUMIFS('BSE - Other Index Options'!$L:$L,'BSE - Other Index Options'!$D:$D,$A142,'BSE - Other Index Options'!$B:$B,"Friday",'BSE - Other Index Options'!$G:$G,"Weekly*"))</f>
        <v>27027.08</v>
      </c>
      <c r="D142" s="27">
        <f t="shared" si="8"/>
        <v>0.85398926016311849</v>
      </c>
      <c r="E142" s="27">
        <f t="shared" si="9"/>
        <v>0.14601073983688143</v>
      </c>
    </row>
    <row r="143" spans="1:5">
      <c r="A143" s="24">
        <v>46204</v>
      </c>
      <c r="B143" s="26">
        <f>IF(SUMIFS('NSE - NIFTY Index Options'!$L:$L,'NSE - NIFTY Index Options'!$D:$D,$A143,'NSE - NIFTY Index Options'!$B:$B,"Friday",'NSE - NIFTY Index Options'!$G:$G,"Weekly*")+SUMIFS('NSE - Other Index Options'!$L:$L,'NSE - Other Index Options'!$D:$D,$A143,'NSE - Other Index Options'!$B:$B,"Friday",'NSE - Other Index Options'!$G:$G,"Weekly*")=0,"",SUMIFS('NSE - NIFTY Index Options'!$L:$L,'NSE - NIFTY Index Options'!$D:$D,$A143,'NSE - NIFTY Index Options'!$B:$B,"Friday",'NSE - NIFTY Index Options'!$G:$G,"Weekly*")+SUMIFS('NSE - Other Index Options'!$L:$L,'NSE - Other Index Options'!$D:$D,$A143,'NSE - Other Index Options'!$B:$B,"Friday",'NSE - Other Index Options'!$G:$G,"Weekly*"))</f>
        <v>35153.1</v>
      </c>
      <c r="C143" s="26">
        <f>IF(SUMIFS('BSE - SENSEX Index Options'!$L:$L,'BSE - SENSEX Index Options'!$D:$D,$A143,'BSE - SENSEX Index Options'!$B:$B,"Friday",'BSE - SENSEX Index Options'!$G:$G,"Weekly*")+SUMIFS('BSE - Other Index Options'!$L:$L,'BSE - Other Index Options'!$D:$D,$A143,'BSE - Other Index Options'!$B:$B,"Friday",'BSE - Other Index Options'!$G:$G,"Weekly*")=0,"",SUMIFS('BSE - SENSEX Index Options'!$L:$L,'BSE - SENSEX Index Options'!$D:$D,$A143,'BSE - SENSEX Index Options'!$B:$B,"Friday",'BSE - SENSEX Index Options'!$G:$G,"Weekly*")+SUMIFS('BSE - Other Index Options'!$L:$L,'BSE - Other Index Options'!$D:$D,$A143,'BSE - Other Index Options'!$B:$B,"Friday",'BSE - Other Index Options'!$G:$G,"Weekly*"))</f>
        <v>9183.75</v>
      </c>
      <c r="D143" s="27">
        <f t="shared" si="8"/>
        <v>0.79286417505979789</v>
      </c>
      <c r="E143" s="27">
        <f t="shared" si="9"/>
        <v>0.20713582494020211</v>
      </c>
    </row>
    <row r="144" spans="1:5" hidden="1" outlineLevel="1">
      <c r="A144" s="24">
        <v>46235</v>
      </c>
      <c r="B144" s="26" t="str">
        <f>IF(SUMIFS('NSE - NIFTY Index Options'!$L:$L,'NSE - NIFTY Index Options'!$D:$D,$A144,'NSE - NIFTY Index Options'!$B:$B,"Friday",'NSE - NIFTY Index Options'!$G:$G,"Weekly*")+SUMIFS('NSE - Other Index Options'!$L:$L,'NSE - Other Index Options'!$D:$D,$A144,'NSE - Other Index Options'!$B:$B,"Friday",'NSE - Other Index Options'!$G:$G,"Weekly*")=0,"",SUMIFS('NSE - NIFTY Index Options'!$L:$L,'NSE - NIFTY Index Options'!$D:$D,$A144,'NSE - NIFTY Index Options'!$B:$B,"Friday",'NSE - NIFTY Index Options'!$G:$G,"Weekly*")+SUMIFS('NSE - Other Index Options'!$L:$L,'NSE - Other Index Options'!$D:$D,$A144,'NSE - Other Index Options'!$B:$B,"Friday",'NSE - Other Index Options'!$G:$G,"Weekly*"))</f>
        <v/>
      </c>
      <c r="C144" s="26" t="str">
        <f>IF(SUMIFS('BSE - SENSEX Index Options'!$L:$L,'BSE - SENSEX Index Options'!$D:$D,$A144,'BSE - SENSEX Index Options'!$B:$B,"Friday",'BSE - SENSEX Index Options'!$G:$G,"Weekly*")+SUMIFS('BSE - Other Index Options'!$L:$L,'BSE - Other Index Options'!$D:$D,$A144,'BSE - Other Index Options'!$B:$B,"Friday",'BSE - Other Index Options'!$G:$G,"Weekly*")=0,"",SUMIFS('BSE - SENSEX Index Options'!$L:$L,'BSE - SENSEX Index Options'!$D:$D,$A144,'BSE - SENSEX Index Options'!$B:$B,"Friday",'BSE - SENSEX Index Options'!$G:$G,"Weekly*")+SUMIFS('BSE - Other Index Options'!$L:$L,'BSE - Other Index Options'!$D:$D,$A144,'BSE - Other Index Options'!$B:$B,"Friday",'BSE - Other Index Options'!$G:$G,"Weekly*"))</f>
        <v/>
      </c>
      <c r="D144" s="27" t="str">
        <f t="shared" si="8"/>
        <v/>
      </c>
      <c r="E144" s="27" t="str">
        <f t="shared" si="9"/>
        <v/>
      </c>
    </row>
    <row r="145" spans="1:5" hidden="1" outlineLevel="1">
      <c r="A145" s="24">
        <v>46266</v>
      </c>
      <c r="B145" s="26" t="str">
        <f>IF(SUMIFS('NSE - NIFTY Index Options'!$L:$L,'NSE - NIFTY Index Options'!$D:$D,$A145,'NSE - NIFTY Index Options'!$B:$B,"Friday",'NSE - NIFTY Index Options'!$G:$G,"Weekly*")+SUMIFS('NSE - Other Index Options'!$L:$L,'NSE - Other Index Options'!$D:$D,$A145,'NSE - Other Index Options'!$B:$B,"Friday",'NSE - Other Index Options'!$G:$G,"Weekly*")=0,"",SUMIFS('NSE - NIFTY Index Options'!$L:$L,'NSE - NIFTY Index Options'!$D:$D,$A145,'NSE - NIFTY Index Options'!$B:$B,"Friday",'NSE - NIFTY Index Options'!$G:$G,"Weekly*")+SUMIFS('NSE - Other Index Options'!$L:$L,'NSE - Other Index Options'!$D:$D,$A145,'NSE - Other Index Options'!$B:$B,"Friday",'NSE - Other Index Options'!$G:$G,"Weekly*"))</f>
        <v/>
      </c>
      <c r="C145" s="26" t="str">
        <f>IF(SUMIFS('BSE - SENSEX Index Options'!$L:$L,'BSE - SENSEX Index Options'!$D:$D,$A145,'BSE - SENSEX Index Options'!$B:$B,"Friday",'BSE - SENSEX Index Options'!$G:$G,"Weekly*")+SUMIFS('BSE - Other Index Options'!$L:$L,'BSE - Other Index Options'!$D:$D,$A145,'BSE - Other Index Options'!$B:$B,"Friday",'BSE - Other Index Options'!$G:$G,"Weekly*")=0,"",SUMIFS('BSE - SENSEX Index Options'!$L:$L,'BSE - SENSEX Index Options'!$D:$D,$A145,'BSE - SENSEX Index Options'!$B:$B,"Friday",'BSE - SENSEX Index Options'!$G:$G,"Weekly*")+SUMIFS('BSE - Other Index Options'!$L:$L,'BSE - Other Index Options'!$D:$D,$A145,'BSE - Other Index Options'!$B:$B,"Friday",'BSE - Other Index Options'!$G:$G,"Weekly*"))</f>
        <v/>
      </c>
      <c r="D145" s="27" t="str">
        <f t="shared" si="8"/>
        <v/>
      </c>
      <c r="E145" s="27" t="str">
        <f t="shared" si="9"/>
        <v/>
      </c>
    </row>
    <row r="146" spans="1:5" hidden="1" outlineLevel="1">
      <c r="A146" s="24">
        <v>46296</v>
      </c>
      <c r="B146" s="26" t="str">
        <f>IF(SUMIFS('NSE - NIFTY Index Options'!$L:$L,'NSE - NIFTY Index Options'!$D:$D,$A146,'NSE - NIFTY Index Options'!$B:$B,"Friday",'NSE - NIFTY Index Options'!$G:$G,"Weekly*")+SUMIFS('NSE - Other Index Options'!$L:$L,'NSE - Other Index Options'!$D:$D,$A146,'NSE - Other Index Options'!$B:$B,"Friday",'NSE - Other Index Options'!$G:$G,"Weekly*")=0,"",SUMIFS('NSE - NIFTY Index Options'!$L:$L,'NSE - NIFTY Index Options'!$D:$D,$A146,'NSE - NIFTY Index Options'!$B:$B,"Friday",'NSE - NIFTY Index Options'!$G:$G,"Weekly*")+SUMIFS('NSE - Other Index Options'!$L:$L,'NSE - Other Index Options'!$D:$D,$A146,'NSE - Other Index Options'!$B:$B,"Friday",'NSE - Other Index Options'!$G:$G,"Weekly*"))</f>
        <v/>
      </c>
      <c r="C146" s="26" t="str">
        <f>IF(SUMIFS('BSE - SENSEX Index Options'!$L:$L,'BSE - SENSEX Index Options'!$D:$D,$A146,'BSE - SENSEX Index Options'!$B:$B,"Friday",'BSE - SENSEX Index Options'!$G:$G,"Weekly*")+SUMIFS('BSE - Other Index Options'!$L:$L,'BSE - Other Index Options'!$D:$D,$A146,'BSE - Other Index Options'!$B:$B,"Friday",'BSE - Other Index Options'!$G:$G,"Weekly*")=0,"",SUMIFS('BSE - SENSEX Index Options'!$L:$L,'BSE - SENSEX Index Options'!$D:$D,$A146,'BSE - SENSEX Index Options'!$B:$B,"Friday",'BSE - SENSEX Index Options'!$G:$G,"Weekly*")+SUMIFS('BSE - Other Index Options'!$L:$L,'BSE - Other Index Options'!$D:$D,$A146,'BSE - Other Index Options'!$B:$B,"Friday",'BSE - Other Index Options'!$G:$G,"Weekly*"))</f>
        <v/>
      </c>
      <c r="D146" s="27" t="str">
        <f t="shared" si="8"/>
        <v/>
      </c>
      <c r="E146" s="27" t="str">
        <f t="shared" si="9"/>
        <v/>
      </c>
    </row>
    <row r="147" spans="1:5" hidden="1" outlineLevel="1">
      <c r="A147" s="24">
        <v>46327</v>
      </c>
      <c r="B147" s="26" t="str">
        <f>IF(SUMIFS('NSE - NIFTY Index Options'!$L:$L,'NSE - NIFTY Index Options'!$D:$D,$A147,'NSE - NIFTY Index Options'!$B:$B,"Friday",'NSE - NIFTY Index Options'!$G:$G,"Weekly*")+SUMIFS('NSE - Other Index Options'!$L:$L,'NSE - Other Index Options'!$D:$D,$A147,'NSE - Other Index Options'!$B:$B,"Friday",'NSE - Other Index Options'!$G:$G,"Weekly*")=0,"",SUMIFS('NSE - NIFTY Index Options'!$L:$L,'NSE - NIFTY Index Options'!$D:$D,$A147,'NSE - NIFTY Index Options'!$B:$B,"Friday",'NSE - NIFTY Index Options'!$G:$G,"Weekly*")+SUMIFS('NSE - Other Index Options'!$L:$L,'NSE - Other Index Options'!$D:$D,$A147,'NSE - Other Index Options'!$B:$B,"Friday",'NSE - Other Index Options'!$G:$G,"Weekly*"))</f>
        <v/>
      </c>
      <c r="C147" s="26" t="str">
        <f>IF(SUMIFS('BSE - SENSEX Index Options'!$L:$L,'BSE - SENSEX Index Options'!$D:$D,$A147,'BSE - SENSEX Index Options'!$B:$B,"Friday",'BSE - SENSEX Index Options'!$G:$G,"Weekly*")+SUMIFS('BSE - Other Index Options'!$L:$L,'BSE - Other Index Options'!$D:$D,$A147,'BSE - Other Index Options'!$B:$B,"Friday",'BSE - Other Index Options'!$G:$G,"Weekly*")=0,"",SUMIFS('BSE - SENSEX Index Options'!$L:$L,'BSE - SENSEX Index Options'!$D:$D,$A147,'BSE - SENSEX Index Options'!$B:$B,"Friday",'BSE - SENSEX Index Options'!$G:$G,"Weekly*")+SUMIFS('BSE - Other Index Options'!$L:$L,'BSE - Other Index Options'!$D:$D,$A147,'BSE - Other Index Options'!$B:$B,"Friday",'BSE - Other Index Options'!$G:$G,"Weekly*"))</f>
        <v/>
      </c>
      <c r="D147" s="27" t="str">
        <f t="shared" si="8"/>
        <v/>
      </c>
      <c r="E147" s="27" t="str">
        <f t="shared" si="9"/>
        <v/>
      </c>
    </row>
    <row r="148" spans="1:5" hidden="1" outlineLevel="1">
      <c r="A148" s="24">
        <v>46357</v>
      </c>
      <c r="B148" s="26" t="str">
        <f>IF(SUMIFS('NSE - NIFTY Index Options'!$L:$L,'NSE - NIFTY Index Options'!$D:$D,$A148,'NSE - NIFTY Index Options'!$B:$B,"Friday",'NSE - NIFTY Index Options'!$G:$G,"Weekly*")+SUMIFS('NSE - Other Index Options'!$L:$L,'NSE - Other Index Options'!$D:$D,$A148,'NSE - Other Index Options'!$B:$B,"Friday",'NSE - Other Index Options'!$G:$G,"Weekly*")=0,"",SUMIFS('NSE - NIFTY Index Options'!$L:$L,'NSE - NIFTY Index Options'!$D:$D,$A148,'NSE - NIFTY Index Options'!$B:$B,"Friday",'NSE - NIFTY Index Options'!$G:$G,"Weekly*")+SUMIFS('NSE - Other Index Options'!$L:$L,'NSE - Other Index Options'!$D:$D,$A148,'NSE - Other Index Options'!$B:$B,"Friday",'NSE - Other Index Options'!$G:$G,"Weekly*"))</f>
        <v/>
      </c>
      <c r="C148" s="26" t="str">
        <f>IF(SUMIFS('BSE - SENSEX Index Options'!$L:$L,'BSE - SENSEX Index Options'!$D:$D,$A148,'BSE - SENSEX Index Options'!$B:$B,"Friday",'BSE - SENSEX Index Options'!$G:$G,"Weekly*")+SUMIFS('BSE - Other Index Options'!$L:$L,'BSE - Other Index Options'!$D:$D,$A148,'BSE - Other Index Options'!$B:$B,"Friday",'BSE - Other Index Options'!$G:$G,"Weekly*")=0,"",SUMIFS('BSE - SENSEX Index Options'!$L:$L,'BSE - SENSEX Index Options'!$D:$D,$A148,'BSE - SENSEX Index Options'!$B:$B,"Friday",'BSE - SENSEX Index Options'!$G:$G,"Weekly*")+SUMIFS('BSE - Other Index Options'!$L:$L,'BSE - Other Index Options'!$D:$D,$A148,'BSE - Other Index Options'!$B:$B,"Friday",'BSE - Other Index Options'!$G:$G,"Weekly*"))</f>
        <v/>
      </c>
      <c r="D148" s="27" t="str">
        <f t="shared" si="8"/>
        <v/>
      </c>
      <c r="E148" s="27" t="str">
        <f t="shared" si="9"/>
        <v/>
      </c>
    </row>
    <row r="149" spans="1:5" hidden="1" outlineLevel="1">
      <c r="A149" s="24">
        <v>46388</v>
      </c>
      <c r="B149" s="26" t="str">
        <f>IF(SUMIFS('NSE - NIFTY Index Options'!$L:$L,'NSE - NIFTY Index Options'!$D:$D,$A149,'NSE - NIFTY Index Options'!$B:$B,"Friday",'NSE - NIFTY Index Options'!$G:$G,"Weekly*")+SUMIFS('NSE - Other Index Options'!$L:$L,'NSE - Other Index Options'!$D:$D,$A149,'NSE - Other Index Options'!$B:$B,"Friday",'NSE - Other Index Options'!$G:$G,"Weekly*")=0,"",SUMIFS('NSE - NIFTY Index Options'!$L:$L,'NSE - NIFTY Index Options'!$D:$D,$A149,'NSE - NIFTY Index Options'!$B:$B,"Friday",'NSE - NIFTY Index Options'!$G:$G,"Weekly*")+SUMIFS('NSE - Other Index Options'!$L:$L,'NSE - Other Index Options'!$D:$D,$A149,'NSE - Other Index Options'!$B:$B,"Friday",'NSE - Other Index Options'!$G:$G,"Weekly*"))</f>
        <v/>
      </c>
      <c r="C149" s="26" t="str">
        <f>IF(SUMIFS('BSE - SENSEX Index Options'!$L:$L,'BSE - SENSEX Index Options'!$D:$D,$A149,'BSE - SENSEX Index Options'!$B:$B,"Friday",'BSE - SENSEX Index Options'!$G:$G,"Weekly*")+SUMIFS('BSE - Other Index Options'!$L:$L,'BSE - Other Index Options'!$D:$D,$A149,'BSE - Other Index Options'!$B:$B,"Friday",'BSE - Other Index Options'!$G:$G,"Weekly*")=0,"",SUMIFS('BSE - SENSEX Index Options'!$L:$L,'BSE - SENSEX Index Options'!$D:$D,$A149,'BSE - SENSEX Index Options'!$B:$B,"Friday",'BSE - SENSEX Index Options'!$G:$G,"Weekly*")+SUMIFS('BSE - Other Index Options'!$L:$L,'BSE - Other Index Options'!$D:$D,$A149,'BSE - Other Index Options'!$B:$B,"Friday",'BSE - Other Index Options'!$G:$G,"Weekly*"))</f>
        <v/>
      </c>
      <c r="D149" s="27" t="str">
        <f t="shared" si="8"/>
        <v/>
      </c>
      <c r="E149" s="27" t="str">
        <f t="shared" si="9"/>
        <v/>
      </c>
    </row>
    <row r="150" spans="1:5" hidden="1" outlineLevel="1">
      <c r="A150" s="24">
        <v>46419</v>
      </c>
      <c r="B150" s="26" t="str">
        <f>IF(SUMIFS('NSE - NIFTY Index Options'!$L:$L,'NSE - NIFTY Index Options'!$D:$D,$A150,'NSE - NIFTY Index Options'!$B:$B,"Friday",'NSE - NIFTY Index Options'!$G:$G,"Weekly*")+SUMIFS('NSE - Other Index Options'!$L:$L,'NSE - Other Index Options'!$D:$D,$A150,'NSE - Other Index Options'!$B:$B,"Friday",'NSE - Other Index Options'!$G:$G,"Weekly*")=0,"",SUMIFS('NSE - NIFTY Index Options'!$L:$L,'NSE - NIFTY Index Options'!$D:$D,$A150,'NSE - NIFTY Index Options'!$B:$B,"Friday",'NSE - NIFTY Index Options'!$G:$G,"Weekly*")+SUMIFS('NSE - Other Index Options'!$L:$L,'NSE - Other Index Options'!$D:$D,$A150,'NSE - Other Index Options'!$B:$B,"Friday",'NSE - Other Index Options'!$G:$G,"Weekly*"))</f>
        <v/>
      </c>
      <c r="C150" s="26" t="str">
        <f>IF(SUMIFS('BSE - SENSEX Index Options'!$L:$L,'BSE - SENSEX Index Options'!$D:$D,$A150,'BSE - SENSEX Index Options'!$B:$B,"Friday",'BSE - SENSEX Index Options'!$G:$G,"Weekly*")+SUMIFS('BSE - Other Index Options'!$L:$L,'BSE - Other Index Options'!$D:$D,$A150,'BSE - Other Index Options'!$B:$B,"Friday",'BSE - Other Index Options'!$G:$G,"Weekly*")=0,"",SUMIFS('BSE - SENSEX Index Options'!$L:$L,'BSE - SENSEX Index Options'!$D:$D,$A150,'BSE - SENSEX Index Options'!$B:$B,"Friday",'BSE - SENSEX Index Options'!$G:$G,"Weekly*")+SUMIFS('BSE - Other Index Options'!$L:$L,'BSE - Other Index Options'!$D:$D,$A150,'BSE - Other Index Options'!$B:$B,"Friday",'BSE - Other Index Options'!$G:$G,"Weekly*"))</f>
        <v/>
      </c>
      <c r="D150" s="27" t="str">
        <f t="shared" si="8"/>
        <v/>
      </c>
      <c r="E150" s="27" t="str">
        <f t="shared" si="9"/>
        <v/>
      </c>
    </row>
    <row r="151" spans="1:5" hidden="1" outlineLevel="1">
      <c r="A151" s="24">
        <v>46447</v>
      </c>
      <c r="B151" s="26" t="str">
        <f>IF(SUMIFS('NSE - NIFTY Index Options'!$L:$L,'NSE - NIFTY Index Options'!$D:$D,$A151,'NSE - NIFTY Index Options'!$B:$B,"Friday",'NSE - NIFTY Index Options'!$G:$G,"Weekly*")+SUMIFS('NSE - Other Index Options'!$L:$L,'NSE - Other Index Options'!$D:$D,$A151,'NSE - Other Index Options'!$B:$B,"Friday",'NSE - Other Index Options'!$G:$G,"Weekly*")=0,"",SUMIFS('NSE - NIFTY Index Options'!$L:$L,'NSE - NIFTY Index Options'!$D:$D,$A151,'NSE - NIFTY Index Options'!$B:$B,"Friday",'NSE - NIFTY Index Options'!$G:$G,"Weekly*")+SUMIFS('NSE - Other Index Options'!$L:$L,'NSE - Other Index Options'!$D:$D,$A151,'NSE - Other Index Options'!$B:$B,"Friday",'NSE - Other Index Options'!$G:$G,"Weekly*"))</f>
        <v/>
      </c>
      <c r="C151" s="26" t="str">
        <f>IF(SUMIFS('BSE - SENSEX Index Options'!$L:$L,'BSE - SENSEX Index Options'!$D:$D,$A151,'BSE - SENSEX Index Options'!$B:$B,"Friday",'BSE - SENSEX Index Options'!$G:$G,"Weekly*")+SUMIFS('BSE - Other Index Options'!$L:$L,'BSE - Other Index Options'!$D:$D,$A151,'BSE - Other Index Options'!$B:$B,"Friday",'BSE - Other Index Options'!$G:$G,"Weekly*")=0,"",SUMIFS('BSE - SENSEX Index Options'!$L:$L,'BSE - SENSEX Index Options'!$D:$D,$A151,'BSE - SENSEX Index Options'!$B:$B,"Friday",'BSE - SENSEX Index Options'!$G:$G,"Weekly*")+SUMIFS('BSE - Other Index Options'!$L:$L,'BSE - Other Index Options'!$D:$D,$A151,'BSE - Other Index Options'!$B:$B,"Friday",'BSE - Other Index Options'!$G:$G,"Weekly*"))</f>
        <v/>
      </c>
      <c r="D151" s="27" t="str">
        <f t="shared" si="8"/>
        <v/>
      </c>
      <c r="E151" s="27" t="str">
        <f t="shared" si="9"/>
        <v/>
      </c>
    </row>
    <row r="152" spans="1:5" hidden="1" outlineLevel="1">
      <c r="A152" s="24">
        <v>46478</v>
      </c>
      <c r="B152" s="26" t="str">
        <f>IF(SUMIFS('NSE - NIFTY Index Options'!$L:$L,'NSE - NIFTY Index Options'!$D:$D,$A152,'NSE - NIFTY Index Options'!$B:$B,"Friday",'NSE - NIFTY Index Options'!$G:$G,"Weekly*")+SUMIFS('NSE - Other Index Options'!$L:$L,'NSE - Other Index Options'!$D:$D,$A152,'NSE - Other Index Options'!$B:$B,"Friday",'NSE - Other Index Options'!$G:$G,"Weekly*")=0,"",SUMIFS('NSE - NIFTY Index Options'!$L:$L,'NSE - NIFTY Index Options'!$D:$D,$A152,'NSE - NIFTY Index Options'!$B:$B,"Friday",'NSE - NIFTY Index Options'!$G:$G,"Weekly*")+SUMIFS('NSE - Other Index Options'!$L:$L,'NSE - Other Index Options'!$D:$D,$A152,'NSE - Other Index Options'!$B:$B,"Friday",'NSE - Other Index Options'!$G:$G,"Weekly*"))</f>
        <v/>
      </c>
      <c r="C152" s="26" t="str">
        <f>IF(SUMIFS('BSE - SENSEX Index Options'!$L:$L,'BSE - SENSEX Index Options'!$D:$D,$A152,'BSE - SENSEX Index Options'!$B:$B,"Friday",'BSE - SENSEX Index Options'!$G:$G,"Weekly*")+SUMIFS('BSE - Other Index Options'!$L:$L,'BSE - Other Index Options'!$D:$D,$A152,'BSE - Other Index Options'!$B:$B,"Friday",'BSE - Other Index Options'!$G:$G,"Weekly*")=0,"",SUMIFS('BSE - SENSEX Index Options'!$L:$L,'BSE - SENSEX Index Options'!$D:$D,$A152,'BSE - SENSEX Index Options'!$B:$B,"Friday",'BSE - SENSEX Index Options'!$G:$G,"Weekly*")+SUMIFS('BSE - Other Index Options'!$L:$L,'BSE - Other Index Options'!$D:$D,$A152,'BSE - Other Index Options'!$B:$B,"Friday",'BSE - Other Index Options'!$G:$G,"Weekly*"))</f>
        <v/>
      </c>
      <c r="D152" s="27" t="str">
        <f t="shared" si="8"/>
        <v/>
      </c>
      <c r="E152" s="27" t="str">
        <f t="shared" si="9"/>
        <v/>
      </c>
    </row>
    <row r="153" spans="1:5" hidden="1" outlineLevel="1">
      <c r="A153" s="24">
        <v>46508</v>
      </c>
      <c r="B153" s="26" t="str">
        <f>IF(SUMIFS('NSE - NIFTY Index Options'!$L:$L,'NSE - NIFTY Index Options'!$D:$D,$A153,'NSE - NIFTY Index Options'!$B:$B,"Friday",'NSE - NIFTY Index Options'!$G:$G,"Weekly*")+SUMIFS('NSE - Other Index Options'!$L:$L,'NSE - Other Index Options'!$D:$D,$A153,'NSE - Other Index Options'!$B:$B,"Friday",'NSE - Other Index Options'!$G:$G,"Weekly*")=0,"",SUMIFS('NSE - NIFTY Index Options'!$L:$L,'NSE - NIFTY Index Options'!$D:$D,$A153,'NSE - NIFTY Index Options'!$B:$B,"Friday",'NSE - NIFTY Index Options'!$G:$G,"Weekly*")+SUMIFS('NSE - Other Index Options'!$L:$L,'NSE - Other Index Options'!$D:$D,$A153,'NSE - Other Index Options'!$B:$B,"Friday",'NSE - Other Index Options'!$G:$G,"Weekly*"))</f>
        <v/>
      </c>
      <c r="C153" s="26" t="str">
        <f>IF(SUMIFS('BSE - SENSEX Index Options'!$L:$L,'BSE - SENSEX Index Options'!$D:$D,$A153,'BSE - SENSEX Index Options'!$B:$B,"Friday",'BSE - SENSEX Index Options'!$G:$G,"Weekly*")+SUMIFS('BSE - Other Index Options'!$L:$L,'BSE - Other Index Options'!$D:$D,$A153,'BSE - Other Index Options'!$B:$B,"Friday",'BSE - Other Index Options'!$G:$G,"Weekly*")=0,"",SUMIFS('BSE - SENSEX Index Options'!$L:$L,'BSE - SENSEX Index Options'!$D:$D,$A153,'BSE - SENSEX Index Options'!$B:$B,"Friday",'BSE - SENSEX Index Options'!$G:$G,"Weekly*")+SUMIFS('BSE - Other Index Options'!$L:$L,'BSE - Other Index Options'!$D:$D,$A153,'BSE - Other Index Options'!$B:$B,"Friday",'BSE - Other Index Options'!$G:$G,"Weekly*"))</f>
        <v/>
      </c>
      <c r="D153" s="27" t="str">
        <f t="shared" si="8"/>
        <v/>
      </c>
      <c r="E153" s="27" t="str">
        <f t="shared" si="9"/>
        <v/>
      </c>
    </row>
    <row r="154" spans="1:5" hidden="1" outlineLevel="1">
      <c r="A154" s="24">
        <v>46539</v>
      </c>
      <c r="B154" s="26" t="str">
        <f>IF(SUMIFS('NSE - NIFTY Index Options'!$L:$L,'NSE - NIFTY Index Options'!$D:$D,$A154,'NSE - NIFTY Index Options'!$B:$B,"Friday",'NSE - NIFTY Index Options'!$G:$G,"Weekly*")+SUMIFS('NSE - Other Index Options'!$L:$L,'NSE - Other Index Options'!$D:$D,$A154,'NSE - Other Index Options'!$B:$B,"Friday",'NSE - Other Index Options'!$G:$G,"Weekly*")=0,"",SUMIFS('NSE - NIFTY Index Options'!$L:$L,'NSE - NIFTY Index Options'!$D:$D,$A154,'NSE - NIFTY Index Options'!$B:$B,"Friday",'NSE - NIFTY Index Options'!$G:$G,"Weekly*")+SUMIFS('NSE - Other Index Options'!$L:$L,'NSE - Other Index Options'!$D:$D,$A154,'NSE - Other Index Options'!$B:$B,"Friday",'NSE - Other Index Options'!$G:$G,"Weekly*"))</f>
        <v/>
      </c>
      <c r="C154" s="26" t="str">
        <f>IF(SUMIFS('BSE - SENSEX Index Options'!$L:$L,'BSE - SENSEX Index Options'!$D:$D,$A154,'BSE - SENSEX Index Options'!$B:$B,"Friday",'BSE - SENSEX Index Options'!$G:$G,"Weekly*")+SUMIFS('BSE - Other Index Options'!$L:$L,'BSE - Other Index Options'!$D:$D,$A154,'BSE - Other Index Options'!$B:$B,"Friday",'BSE - Other Index Options'!$G:$G,"Weekly*")=0,"",SUMIFS('BSE - SENSEX Index Options'!$L:$L,'BSE - SENSEX Index Options'!$D:$D,$A154,'BSE - SENSEX Index Options'!$B:$B,"Friday",'BSE - SENSEX Index Options'!$G:$G,"Weekly*")+SUMIFS('BSE - Other Index Options'!$L:$L,'BSE - Other Index Options'!$D:$D,$A154,'BSE - Other Index Options'!$B:$B,"Friday",'BSE - Other Index Options'!$G:$G,"Weekly*"))</f>
        <v/>
      </c>
      <c r="D154" s="27" t="str">
        <f t="shared" si="8"/>
        <v/>
      </c>
      <c r="E154" s="27" t="str">
        <f t="shared" si="9"/>
        <v/>
      </c>
    </row>
    <row r="155" spans="1:5" hidden="1" outlineLevel="1">
      <c r="A155" s="24">
        <v>46569</v>
      </c>
      <c r="B155" s="26" t="str">
        <f>IF(SUMIFS('NSE - NIFTY Index Options'!$L:$L,'NSE - NIFTY Index Options'!$D:$D,$A155,'NSE - NIFTY Index Options'!$B:$B,"Friday",'NSE - NIFTY Index Options'!$G:$G,"Weekly*")+SUMIFS('NSE - Other Index Options'!$L:$L,'NSE - Other Index Options'!$D:$D,$A155,'NSE - Other Index Options'!$B:$B,"Friday",'NSE - Other Index Options'!$G:$G,"Weekly*")=0,"",SUMIFS('NSE - NIFTY Index Options'!$L:$L,'NSE - NIFTY Index Options'!$D:$D,$A155,'NSE - NIFTY Index Options'!$B:$B,"Friday",'NSE - NIFTY Index Options'!$G:$G,"Weekly*")+SUMIFS('NSE - Other Index Options'!$L:$L,'NSE - Other Index Options'!$D:$D,$A155,'NSE - Other Index Options'!$B:$B,"Friday",'NSE - Other Index Options'!$G:$G,"Weekly*"))</f>
        <v/>
      </c>
      <c r="C155" s="26" t="str">
        <f>IF(SUMIFS('BSE - SENSEX Index Options'!$L:$L,'BSE - SENSEX Index Options'!$D:$D,$A155,'BSE - SENSEX Index Options'!$B:$B,"Friday",'BSE - SENSEX Index Options'!$G:$G,"Weekly*")+SUMIFS('BSE - Other Index Options'!$L:$L,'BSE - Other Index Options'!$D:$D,$A155,'BSE - Other Index Options'!$B:$B,"Friday",'BSE - Other Index Options'!$G:$G,"Weekly*")=0,"",SUMIFS('BSE - SENSEX Index Options'!$L:$L,'BSE - SENSEX Index Options'!$D:$D,$A155,'BSE - SENSEX Index Options'!$B:$B,"Friday",'BSE - SENSEX Index Options'!$G:$G,"Weekly*")+SUMIFS('BSE - Other Index Options'!$L:$L,'BSE - Other Index Options'!$D:$D,$A155,'BSE - Other Index Options'!$B:$B,"Friday",'BSE - Other Index Options'!$G:$G,"Weekly*"))</f>
        <v/>
      </c>
      <c r="D155" s="27" t="str">
        <f t="shared" si="8"/>
        <v/>
      </c>
      <c r="E155" s="27" t="str">
        <f t="shared" si="9"/>
        <v/>
      </c>
    </row>
    <row r="156" spans="1:5" hidden="1" outlineLevel="1">
      <c r="A156" s="24">
        <v>46600</v>
      </c>
      <c r="B156" s="26" t="str">
        <f>IF(SUMIFS('NSE - NIFTY Index Options'!$L:$L,'NSE - NIFTY Index Options'!$D:$D,$A156,'NSE - NIFTY Index Options'!$B:$B,"Friday",'NSE - NIFTY Index Options'!$G:$G,"Weekly*")+SUMIFS('NSE - Other Index Options'!$L:$L,'NSE - Other Index Options'!$D:$D,$A156,'NSE - Other Index Options'!$B:$B,"Friday",'NSE - Other Index Options'!$G:$G,"Weekly*")=0,"",SUMIFS('NSE - NIFTY Index Options'!$L:$L,'NSE - NIFTY Index Options'!$D:$D,$A156,'NSE - NIFTY Index Options'!$B:$B,"Friday",'NSE - NIFTY Index Options'!$G:$G,"Weekly*")+SUMIFS('NSE - Other Index Options'!$L:$L,'NSE - Other Index Options'!$D:$D,$A156,'NSE - Other Index Options'!$B:$B,"Friday",'NSE - Other Index Options'!$G:$G,"Weekly*"))</f>
        <v/>
      </c>
      <c r="C156" s="26" t="str">
        <f>IF(SUMIFS('BSE - SENSEX Index Options'!$L:$L,'BSE - SENSEX Index Options'!$D:$D,$A156,'BSE - SENSEX Index Options'!$B:$B,"Friday",'BSE - SENSEX Index Options'!$G:$G,"Weekly*")+SUMIFS('BSE - Other Index Options'!$L:$L,'BSE - Other Index Options'!$D:$D,$A156,'BSE - Other Index Options'!$B:$B,"Friday",'BSE - Other Index Options'!$G:$G,"Weekly*")=0,"",SUMIFS('BSE - SENSEX Index Options'!$L:$L,'BSE - SENSEX Index Options'!$D:$D,$A156,'BSE - SENSEX Index Options'!$B:$B,"Friday",'BSE - SENSEX Index Options'!$G:$G,"Weekly*")+SUMIFS('BSE - Other Index Options'!$L:$L,'BSE - Other Index Options'!$D:$D,$A156,'BSE - Other Index Options'!$B:$B,"Friday",'BSE - Other Index Options'!$G:$G,"Weekly*"))</f>
        <v/>
      </c>
      <c r="D156" s="27" t="str">
        <f t="shared" si="8"/>
        <v/>
      </c>
      <c r="E156" s="27" t="str">
        <f t="shared" si="9"/>
        <v/>
      </c>
    </row>
    <row r="157" spans="1:5" hidden="1" outlineLevel="1">
      <c r="A157" s="24">
        <v>46631</v>
      </c>
      <c r="B157" s="26" t="str">
        <f>IF(SUMIFS('NSE - NIFTY Index Options'!$L:$L,'NSE - NIFTY Index Options'!$D:$D,$A157,'NSE - NIFTY Index Options'!$B:$B,"Friday",'NSE - NIFTY Index Options'!$G:$G,"Weekly*")+SUMIFS('NSE - Other Index Options'!$L:$L,'NSE - Other Index Options'!$D:$D,$A157,'NSE - Other Index Options'!$B:$B,"Friday",'NSE - Other Index Options'!$G:$G,"Weekly*")=0,"",SUMIFS('NSE - NIFTY Index Options'!$L:$L,'NSE - NIFTY Index Options'!$D:$D,$A157,'NSE - NIFTY Index Options'!$B:$B,"Friday",'NSE - NIFTY Index Options'!$G:$G,"Weekly*")+SUMIFS('NSE - Other Index Options'!$L:$L,'NSE - Other Index Options'!$D:$D,$A157,'NSE - Other Index Options'!$B:$B,"Friday",'NSE - Other Index Options'!$G:$G,"Weekly*"))</f>
        <v/>
      </c>
      <c r="C157" s="26" t="str">
        <f>IF(SUMIFS('BSE - SENSEX Index Options'!$L:$L,'BSE - SENSEX Index Options'!$D:$D,$A157,'BSE - SENSEX Index Options'!$B:$B,"Friday",'BSE - SENSEX Index Options'!$G:$G,"Weekly*")+SUMIFS('BSE - Other Index Options'!$L:$L,'BSE - Other Index Options'!$D:$D,$A157,'BSE - Other Index Options'!$B:$B,"Friday",'BSE - Other Index Options'!$G:$G,"Weekly*")=0,"",SUMIFS('BSE - SENSEX Index Options'!$L:$L,'BSE - SENSEX Index Options'!$D:$D,$A157,'BSE - SENSEX Index Options'!$B:$B,"Friday",'BSE - SENSEX Index Options'!$G:$G,"Weekly*")+SUMIFS('BSE - Other Index Options'!$L:$L,'BSE - Other Index Options'!$D:$D,$A157,'BSE - Other Index Options'!$B:$B,"Friday",'BSE - Other Index Options'!$G:$G,"Weekly*"))</f>
        <v/>
      </c>
      <c r="D157" s="27" t="str">
        <f t="shared" si="8"/>
        <v/>
      </c>
      <c r="E157" s="27" t="str">
        <f t="shared" si="9"/>
        <v/>
      </c>
    </row>
    <row r="158" spans="1:5" hidden="1" outlineLevel="1">
      <c r="A158" s="24">
        <v>46661</v>
      </c>
      <c r="B158" s="26" t="str">
        <f>IF(SUMIFS('NSE - NIFTY Index Options'!$L:$L,'NSE - NIFTY Index Options'!$D:$D,$A158,'NSE - NIFTY Index Options'!$B:$B,"Friday",'NSE - NIFTY Index Options'!$G:$G,"Weekly*")+SUMIFS('NSE - Other Index Options'!$L:$L,'NSE - Other Index Options'!$D:$D,$A158,'NSE - Other Index Options'!$B:$B,"Friday",'NSE - Other Index Options'!$G:$G,"Weekly*")=0,"",SUMIFS('NSE - NIFTY Index Options'!$L:$L,'NSE - NIFTY Index Options'!$D:$D,$A158,'NSE - NIFTY Index Options'!$B:$B,"Friday",'NSE - NIFTY Index Options'!$G:$G,"Weekly*")+SUMIFS('NSE - Other Index Options'!$L:$L,'NSE - Other Index Options'!$D:$D,$A158,'NSE - Other Index Options'!$B:$B,"Friday",'NSE - Other Index Options'!$G:$G,"Weekly*"))</f>
        <v/>
      </c>
      <c r="C158" s="26" t="str">
        <f>IF(SUMIFS('BSE - SENSEX Index Options'!$L:$L,'BSE - SENSEX Index Options'!$D:$D,$A158,'BSE - SENSEX Index Options'!$B:$B,"Friday",'BSE - SENSEX Index Options'!$G:$G,"Weekly*")+SUMIFS('BSE - Other Index Options'!$L:$L,'BSE - Other Index Options'!$D:$D,$A158,'BSE - Other Index Options'!$B:$B,"Friday",'BSE - Other Index Options'!$G:$G,"Weekly*")=0,"",SUMIFS('BSE - SENSEX Index Options'!$L:$L,'BSE - SENSEX Index Options'!$D:$D,$A158,'BSE - SENSEX Index Options'!$B:$B,"Friday",'BSE - SENSEX Index Options'!$G:$G,"Weekly*")+SUMIFS('BSE - Other Index Options'!$L:$L,'BSE - Other Index Options'!$D:$D,$A158,'BSE - Other Index Options'!$B:$B,"Friday",'BSE - Other Index Options'!$G:$G,"Weekly*"))</f>
        <v/>
      </c>
      <c r="D158" s="27" t="str">
        <f t="shared" si="8"/>
        <v/>
      </c>
      <c r="E158" s="27" t="str">
        <f t="shared" si="9"/>
        <v/>
      </c>
    </row>
    <row r="159" spans="1:5" hidden="1" outlineLevel="1">
      <c r="A159" s="24">
        <v>46692</v>
      </c>
      <c r="B159" s="26" t="str">
        <f>IF(SUMIFS('NSE - NIFTY Index Options'!$L:$L,'NSE - NIFTY Index Options'!$D:$D,$A159,'NSE - NIFTY Index Options'!$B:$B,"Friday",'NSE - NIFTY Index Options'!$G:$G,"Weekly*")+SUMIFS('NSE - Other Index Options'!$L:$L,'NSE - Other Index Options'!$D:$D,$A159,'NSE - Other Index Options'!$B:$B,"Friday",'NSE - Other Index Options'!$G:$G,"Weekly*")=0,"",SUMIFS('NSE - NIFTY Index Options'!$L:$L,'NSE - NIFTY Index Options'!$D:$D,$A159,'NSE - NIFTY Index Options'!$B:$B,"Friday",'NSE - NIFTY Index Options'!$G:$G,"Weekly*")+SUMIFS('NSE - Other Index Options'!$L:$L,'NSE - Other Index Options'!$D:$D,$A159,'NSE - Other Index Options'!$B:$B,"Friday",'NSE - Other Index Options'!$G:$G,"Weekly*"))</f>
        <v/>
      </c>
      <c r="C159" s="26" t="str">
        <f>IF(SUMIFS('BSE - SENSEX Index Options'!$L:$L,'BSE - SENSEX Index Options'!$D:$D,$A159,'BSE - SENSEX Index Options'!$B:$B,"Friday",'BSE - SENSEX Index Options'!$G:$G,"Weekly*")+SUMIFS('BSE - Other Index Options'!$L:$L,'BSE - Other Index Options'!$D:$D,$A159,'BSE - Other Index Options'!$B:$B,"Friday",'BSE - Other Index Options'!$G:$G,"Weekly*")=0,"",SUMIFS('BSE - SENSEX Index Options'!$L:$L,'BSE - SENSEX Index Options'!$D:$D,$A159,'BSE - SENSEX Index Options'!$B:$B,"Friday",'BSE - SENSEX Index Options'!$G:$G,"Weekly*")+SUMIFS('BSE - Other Index Options'!$L:$L,'BSE - Other Index Options'!$D:$D,$A159,'BSE - Other Index Options'!$B:$B,"Friday",'BSE - Other Index Options'!$G:$G,"Weekly*"))</f>
        <v/>
      </c>
      <c r="D159" s="27" t="str">
        <f t="shared" si="8"/>
        <v/>
      </c>
      <c r="E159" s="27" t="str">
        <f t="shared" si="9"/>
        <v/>
      </c>
    </row>
    <row r="160" spans="1:5" hidden="1" outlineLevel="1">
      <c r="A160" s="24">
        <v>46722</v>
      </c>
      <c r="B160" s="26" t="str">
        <f>IF(SUMIFS('NSE - NIFTY Index Options'!$L:$L,'NSE - NIFTY Index Options'!$D:$D,$A160,'NSE - NIFTY Index Options'!$B:$B,"Friday",'NSE - NIFTY Index Options'!$G:$G,"Weekly*")+SUMIFS('NSE - Other Index Options'!$L:$L,'NSE - Other Index Options'!$D:$D,$A160,'NSE - Other Index Options'!$B:$B,"Friday",'NSE - Other Index Options'!$G:$G,"Weekly*")=0,"",SUMIFS('NSE - NIFTY Index Options'!$L:$L,'NSE - NIFTY Index Options'!$D:$D,$A160,'NSE - NIFTY Index Options'!$B:$B,"Friday",'NSE - NIFTY Index Options'!$G:$G,"Weekly*")+SUMIFS('NSE - Other Index Options'!$L:$L,'NSE - Other Index Options'!$D:$D,$A160,'NSE - Other Index Options'!$B:$B,"Friday",'NSE - Other Index Options'!$G:$G,"Weekly*"))</f>
        <v/>
      </c>
      <c r="C160" s="26" t="str">
        <f>IF(SUMIFS('BSE - SENSEX Index Options'!$L:$L,'BSE - SENSEX Index Options'!$D:$D,$A160,'BSE - SENSEX Index Options'!$B:$B,"Friday",'BSE - SENSEX Index Options'!$G:$G,"Weekly*")+SUMIFS('BSE - Other Index Options'!$L:$L,'BSE - Other Index Options'!$D:$D,$A160,'BSE - Other Index Options'!$B:$B,"Friday",'BSE - Other Index Options'!$G:$G,"Weekly*")=0,"",SUMIFS('BSE - SENSEX Index Options'!$L:$L,'BSE - SENSEX Index Options'!$D:$D,$A160,'BSE - SENSEX Index Options'!$B:$B,"Friday",'BSE - SENSEX Index Options'!$G:$G,"Weekly*")+SUMIFS('BSE - Other Index Options'!$L:$L,'BSE - Other Index Options'!$D:$D,$A160,'BSE - Other Index Options'!$B:$B,"Friday",'BSE - Other Index Options'!$G:$G,"Weekly*"))</f>
        <v/>
      </c>
      <c r="D160" s="27" t="str">
        <f t="shared" si="8"/>
        <v/>
      </c>
      <c r="E160" s="27" t="str">
        <f t="shared" si="9"/>
        <v/>
      </c>
    </row>
    <row r="161" spans="1:5" collapsed="1">
      <c r="A161" s="28" t="s">
        <v>9</v>
      </c>
      <c r="B161" s="30">
        <f>IF(SUM(B133:B160)=0,"",SUM(B133:B160))</f>
        <v>1576437.9200000002</v>
      </c>
      <c r="C161" s="30">
        <f>IF(SUM(C133:C160)=0,"",SUM(C133:C160))</f>
        <v>341296.37</v>
      </c>
      <c r="D161" s="31">
        <f t="shared" si="8"/>
        <v>0.82203146088606471</v>
      </c>
      <c r="E161" s="31">
        <f t="shared" si="9"/>
        <v>0.17796853911393531</v>
      </c>
    </row>
    <row r="163" spans="1:5">
      <c r="A163" s="28" t="s">
        <v>182</v>
      </c>
    </row>
    <row r="164" spans="1:5">
      <c r="A164" s="28" t="s">
        <v>169</v>
      </c>
      <c r="B164" s="28" t="s">
        <v>1</v>
      </c>
      <c r="C164" s="28" t="s">
        <v>148</v>
      </c>
      <c r="D164" s="28" t="s">
        <v>149</v>
      </c>
      <c r="E164" s="28" t="s">
        <v>150</v>
      </c>
    </row>
    <row r="165" spans="1:5">
      <c r="A165" s="24">
        <v>45901</v>
      </c>
      <c r="B165" s="26" t="str">
        <f>IF(SUMIFS('NSE - NIFTY Index Options'!$L:$L,'NSE - NIFTY Index Options'!$D:$D,$A165,'NSE - NIFTY Index Options'!$B:$B,"Sunday",'NSE - NIFTY Index Options'!$G:$G,"Weekly*")+SUMIFS('NSE - Other Index Options'!$L:$L,'NSE - Other Index Options'!$D:$D,$A165,'NSE - Other Index Options'!$B:$B,"Sunday",'NSE - Other Index Options'!$G:$G,"Weekly*")=0,"",SUMIFS('NSE - NIFTY Index Options'!$L:$L,'NSE - NIFTY Index Options'!$D:$D,$A165,'NSE - NIFTY Index Options'!$B:$B,"Sunday",'NSE - NIFTY Index Options'!$G:$G,"Weekly*")+SUMIFS('NSE - Other Index Options'!$L:$L,'NSE - Other Index Options'!$D:$D,$A165,'NSE - Other Index Options'!$B:$B,"Sunday",'NSE - Other Index Options'!$G:$G,"Weekly*"))</f>
        <v/>
      </c>
      <c r="C165" s="26" t="str">
        <f>IF(SUMIFS('BSE - SENSEX Index Options'!$L:$L,'BSE - SENSEX Index Options'!$D:$D,$A165,'BSE - SENSEX Index Options'!$B:$B,"Sunday",'BSE - SENSEX Index Options'!$G:$G,"Weekly*")+SUMIFS('BSE - Other Index Options'!$L:$L,'BSE - Other Index Options'!$D:$D,$A165,'BSE - Other Index Options'!$B:$B,"Sunday",'BSE - Other Index Options'!$G:$G,"Weekly*")=0,"",SUMIFS('BSE - SENSEX Index Options'!$L:$L,'BSE - SENSEX Index Options'!$D:$D,$A165,'BSE - SENSEX Index Options'!$B:$B,"Sunday",'BSE - SENSEX Index Options'!$G:$G,"Weekly*")+SUMIFS('BSE - Other Index Options'!$L:$L,'BSE - Other Index Options'!$D:$D,$A165,'BSE - Other Index Options'!$B:$B,"Sunday",'BSE - Other Index Options'!$G:$G,"Weekly*"))</f>
        <v/>
      </c>
      <c r="D165" s="27" t="str">
        <f t="shared" ref="D165:D193" si="10">IF(SUM(B165:C165)=0,"",SUM(B165)/SUM(B165:C165))</f>
        <v/>
      </c>
      <c r="E165" s="27" t="str">
        <f t="shared" ref="E165:E193" si="11">IF(SUM(B165:C165)=0,"",SUM(C165)/SUM(B165:C165))</f>
        <v/>
      </c>
    </row>
    <row r="166" spans="1:5">
      <c r="A166" s="24">
        <v>45931</v>
      </c>
      <c r="B166" s="26" t="str">
        <f>IF(SUMIFS('NSE - NIFTY Index Options'!$L:$L,'NSE - NIFTY Index Options'!$D:$D,$A166,'NSE - NIFTY Index Options'!$B:$B,"Sunday",'NSE - NIFTY Index Options'!$G:$G,"Weekly*")+SUMIFS('NSE - Other Index Options'!$L:$L,'NSE - Other Index Options'!$D:$D,$A166,'NSE - Other Index Options'!$B:$B,"Sunday",'NSE - Other Index Options'!$G:$G,"Weekly*")=0,"",SUMIFS('NSE - NIFTY Index Options'!$L:$L,'NSE - NIFTY Index Options'!$D:$D,$A166,'NSE - NIFTY Index Options'!$B:$B,"Sunday",'NSE - NIFTY Index Options'!$G:$G,"Weekly*")+SUMIFS('NSE - Other Index Options'!$L:$L,'NSE - Other Index Options'!$D:$D,$A166,'NSE - Other Index Options'!$B:$B,"Sunday",'NSE - Other Index Options'!$G:$G,"Weekly*"))</f>
        <v/>
      </c>
      <c r="C166" s="26" t="str">
        <f>IF(SUMIFS('BSE - SENSEX Index Options'!$L:$L,'BSE - SENSEX Index Options'!$D:$D,$A166,'BSE - SENSEX Index Options'!$B:$B,"Sunday",'BSE - SENSEX Index Options'!$G:$G,"Weekly*")+SUMIFS('BSE - Other Index Options'!$L:$L,'BSE - Other Index Options'!$D:$D,$A166,'BSE - Other Index Options'!$B:$B,"Sunday",'BSE - Other Index Options'!$G:$G,"Weekly*")=0,"",SUMIFS('BSE - SENSEX Index Options'!$L:$L,'BSE - SENSEX Index Options'!$D:$D,$A166,'BSE - SENSEX Index Options'!$B:$B,"Sunday",'BSE - SENSEX Index Options'!$G:$G,"Weekly*")+SUMIFS('BSE - Other Index Options'!$L:$L,'BSE - Other Index Options'!$D:$D,$A166,'BSE - Other Index Options'!$B:$B,"Sunday",'BSE - Other Index Options'!$G:$G,"Weekly*"))</f>
        <v/>
      </c>
      <c r="D166" s="27" t="str">
        <f t="shared" si="10"/>
        <v/>
      </c>
      <c r="E166" s="27" t="str">
        <f t="shared" si="11"/>
        <v/>
      </c>
    </row>
    <row r="167" spans="1:5">
      <c r="A167" s="24">
        <v>45962</v>
      </c>
      <c r="B167" s="26" t="str">
        <f>IF(SUMIFS('NSE - NIFTY Index Options'!$L:$L,'NSE - NIFTY Index Options'!$D:$D,$A167,'NSE - NIFTY Index Options'!$B:$B,"Sunday",'NSE - NIFTY Index Options'!$G:$G,"Weekly*")+SUMIFS('NSE - Other Index Options'!$L:$L,'NSE - Other Index Options'!$D:$D,$A167,'NSE - Other Index Options'!$B:$B,"Sunday",'NSE - Other Index Options'!$G:$G,"Weekly*")=0,"",SUMIFS('NSE - NIFTY Index Options'!$L:$L,'NSE - NIFTY Index Options'!$D:$D,$A167,'NSE - NIFTY Index Options'!$B:$B,"Sunday",'NSE - NIFTY Index Options'!$G:$G,"Weekly*")+SUMIFS('NSE - Other Index Options'!$L:$L,'NSE - Other Index Options'!$D:$D,$A167,'NSE - Other Index Options'!$B:$B,"Sunday",'NSE - Other Index Options'!$G:$G,"Weekly*"))</f>
        <v/>
      </c>
      <c r="C167" s="26" t="str">
        <f>IF(SUMIFS('BSE - SENSEX Index Options'!$L:$L,'BSE - SENSEX Index Options'!$D:$D,$A167,'BSE - SENSEX Index Options'!$B:$B,"Sunday",'BSE - SENSEX Index Options'!$G:$G,"Weekly*")+SUMIFS('BSE - Other Index Options'!$L:$L,'BSE - Other Index Options'!$D:$D,$A167,'BSE - Other Index Options'!$B:$B,"Sunday",'BSE - Other Index Options'!$G:$G,"Weekly*")=0,"",SUMIFS('BSE - SENSEX Index Options'!$L:$L,'BSE - SENSEX Index Options'!$D:$D,$A167,'BSE - SENSEX Index Options'!$B:$B,"Sunday",'BSE - SENSEX Index Options'!$G:$G,"Weekly*")+SUMIFS('BSE - Other Index Options'!$L:$L,'BSE - Other Index Options'!$D:$D,$A167,'BSE - Other Index Options'!$B:$B,"Sunday",'BSE - Other Index Options'!$G:$G,"Weekly*"))</f>
        <v/>
      </c>
      <c r="D167" s="27" t="str">
        <f t="shared" si="10"/>
        <v/>
      </c>
      <c r="E167" s="27" t="str">
        <f t="shared" si="11"/>
        <v/>
      </c>
    </row>
    <row r="168" spans="1:5">
      <c r="A168" s="24">
        <v>45992</v>
      </c>
      <c r="B168" s="26" t="str">
        <f>IF(SUMIFS('NSE - NIFTY Index Options'!$L:$L,'NSE - NIFTY Index Options'!$D:$D,$A168,'NSE - NIFTY Index Options'!$B:$B,"Sunday",'NSE - NIFTY Index Options'!$G:$G,"Weekly*")+SUMIFS('NSE - Other Index Options'!$L:$L,'NSE - Other Index Options'!$D:$D,$A168,'NSE - Other Index Options'!$B:$B,"Sunday",'NSE - Other Index Options'!$G:$G,"Weekly*")=0,"",SUMIFS('NSE - NIFTY Index Options'!$L:$L,'NSE - NIFTY Index Options'!$D:$D,$A168,'NSE - NIFTY Index Options'!$B:$B,"Sunday",'NSE - NIFTY Index Options'!$G:$G,"Weekly*")+SUMIFS('NSE - Other Index Options'!$L:$L,'NSE - Other Index Options'!$D:$D,$A168,'NSE - Other Index Options'!$B:$B,"Sunday",'NSE - Other Index Options'!$G:$G,"Weekly*"))</f>
        <v/>
      </c>
      <c r="C168" s="26" t="str">
        <f>IF(SUMIFS('BSE - SENSEX Index Options'!$L:$L,'BSE - SENSEX Index Options'!$D:$D,$A168,'BSE - SENSEX Index Options'!$B:$B,"Sunday",'BSE - SENSEX Index Options'!$G:$G,"Weekly*")+SUMIFS('BSE - Other Index Options'!$L:$L,'BSE - Other Index Options'!$D:$D,$A168,'BSE - Other Index Options'!$B:$B,"Sunday",'BSE - Other Index Options'!$G:$G,"Weekly*")=0,"",SUMIFS('BSE - SENSEX Index Options'!$L:$L,'BSE - SENSEX Index Options'!$D:$D,$A168,'BSE - SENSEX Index Options'!$B:$B,"Sunday",'BSE - SENSEX Index Options'!$G:$G,"Weekly*")+SUMIFS('BSE - Other Index Options'!$L:$L,'BSE - Other Index Options'!$D:$D,$A168,'BSE - Other Index Options'!$B:$B,"Sunday",'BSE - Other Index Options'!$G:$G,"Weekly*"))</f>
        <v/>
      </c>
      <c r="D168" s="27" t="str">
        <f t="shared" si="10"/>
        <v/>
      </c>
      <c r="E168" s="27" t="str">
        <f t="shared" si="11"/>
        <v/>
      </c>
    </row>
    <row r="169" spans="1:5">
      <c r="A169" s="24">
        <v>46023</v>
      </c>
      <c r="B169" s="26" t="str">
        <f>IF(SUMIFS('NSE - NIFTY Index Options'!$L:$L,'NSE - NIFTY Index Options'!$D:$D,$A169,'NSE - NIFTY Index Options'!$B:$B,"Sunday",'NSE - NIFTY Index Options'!$G:$G,"Weekly*")+SUMIFS('NSE - Other Index Options'!$L:$L,'NSE - Other Index Options'!$D:$D,$A169,'NSE - Other Index Options'!$B:$B,"Sunday",'NSE - Other Index Options'!$G:$G,"Weekly*")=0,"",SUMIFS('NSE - NIFTY Index Options'!$L:$L,'NSE - NIFTY Index Options'!$D:$D,$A169,'NSE - NIFTY Index Options'!$B:$B,"Sunday",'NSE - NIFTY Index Options'!$G:$G,"Weekly*")+SUMIFS('NSE - Other Index Options'!$L:$L,'NSE - Other Index Options'!$D:$D,$A169,'NSE - Other Index Options'!$B:$B,"Sunday",'NSE - Other Index Options'!$G:$G,"Weekly*"))</f>
        <v/>
      </c>
      <c r="C169" s="26" t="str">
        <f>IF(SUMIFS('BSE - SENSEX Index Options'!$L:$L,'BSE - SENSEX Index Options'!$D:$D,$A169,'BSE - SENSEX Index Options'!$B:$B,"Sunday",'BSE - SENSEX Index Options'!$G:$G,"Weekly*")+SUMIFS('BSE - Other Index Options'!$L:$L,'BSE - Other Index Options'!$D:$D,$A169,'BSE - Other Index Options'!$B:$B,"Sunday",'BSE - Other Index Options'!$G:$G,"Weekly*")=0,"",SUMIFS('BSE - SENSEX Index Options'!$L:$L,'BSE - SENSEX Index Options'!$D:$D,$A169,'BSE - SENSEX Index Options'!$B:$B,"Sunday",'BSE - SENSEX Index Options'!$G:$G,"Weekly*")+SUMIFS('BSE - Other Index Options'!$L:$L,'BSE - Other Index Options'!$D:$D,$A169,'BSE - Other Index Options'!$B:$B,"Sunday",'BSE - Other Index Options'!$G:$G,"Weekly*"))</f>
        <v/>
      </c>
      <c r="D169" s="27" t="str">
        <f t="shared" si="10"/>
        <v/>
      </c>
      <c r="E169" s="27" t="str">
        <f t="shared" si="11"/>
        <v/>
      </c>
    </row>
    <row r="170" spans="1:5">
      <c r="A170" s="24">
        <v>46054</v>
      </c>
      <c r="B170" s="26">
        <f>IF(SUMIFS('NSE - NIFTY Index Options'!$L:$L,'NSE - NIFTY Index Options'!$D:$D,$A170,'NSE - NIFTY Index Options'!$B:$B,"Sunday",'NSE - NIFTY Index Options'!$G:$G,"Weekly*")+SUMIFS('NSE - Other Index Options'!$L:$L,'NSE - Other Index Options'!$D:$D,$A170,'NSE - Other Index Options'!$B:$B,"Sunday",'NSE - Other Index Options'!$G:$G,"Weekly*")=0,"",SUMIFS('NSE - NIFTY Index Options'!$L:$L,'NSE - NIFTY Index Options'!$D:$D,$A170,'NSE - NIFTY Index Options'!$B:$B,"Sunday",'NSE - NIFTY Index Options'!$G:$G,"Weekly*")+SUMIFS('NSE - Other Index Options'!$L:$L,'NSE - Other Index Options'!$D:$D,$A170,'NSE - Other Index Options'!$B:$B,"Sunday",'NSE - Other Index Options'!$G:$G,"Weekly*"))</f>
        <v>98996.99</v>
      </c>
      <c r="C170" s="26">
        <f>IF(SUMIFS('BSE - SENSEX Index Options'!$L:$L,'BSE - SENSEX Index Options'!$D:$D,$A170,'BSE - SENSEX Index Options'!$B:$B,"Sunday",'BSE - SENSEX Index Options'!$G:$G,"Weekly*")+SUMIFS('BSE - Other Index Options'!$L:$L,'BSE - Other Index Options'!$D:$D,$A170,'BSE - Other Index Options'!$B:$B,"Sunday",'BSE - Other Index Options'!$G:$G,"Weekly*")=0,"",SUMIFS('BSE - SENSEX Index Options'!$L:$L,'BSE - SENSEX Index Options'!$D:$D,$A170,'BSE - SENSEX Index Options'!$B:$B,"Sunday",'BSE - SENSEX Index Options'!$G:$G,"Weekly*")+SUMIFS('BSE - Other Index Options'!$L:$L,'BSE - Other Index Options'!$D:$D,$A170,'BSE - Other Index Options'!$B:$B,"Sunday",'BSE - Other Index Options'!$G:$G,"Weekly*"))</f>
        <v>24733.119999999999</v>
      </c>
      <c r="D170" s="27">
        <f t="shared" si="10"/>
        <v>0.80010427534575057</v>
      </c>
      <c r="E170" s="27">
        <f t="shared" si="11"/>
        <v>0.19989572465424946</v>
      </c>
    </row>
    <row r="171" spans="1:5">
      <c r="A171" s="24">
        <v>46082</v>
      </c>
      <c r="B171" s="26" t="str">
        <f>IF(SUMIFS('NSE - NIFTY Index Options'!$L:$L,'NSE - NIFTY Index Options'!$D:$D,$A171,'NSE - NIFTY Index Options'!$B:$B,"Sunday",'NSE - NIFTY Index Options'!$G:$G,"Weekly*")+SUMIFS('NSE - Other Index Options'!$L:$L,'NSE - Other Index Options'!$D:$D,$A171,'NSE - Other Index Options'!$B:$B,"Sunday",'NSE - Other Index Options'!$G:$G,"Weekly*")=0,"",SUMIFS('NSE - NIFTY Index Options'!$L:$L,'NSE - NIFTY Index Options'!$D:$D,$A171,'NSE - NIFTY Index Options'!$B:$B,"Sunday",'NSE - NIFTY Index Options'!$G:$G,"Weekly*")+SUMIFS('NSE - Other Index Options'!$L:$L,'NSE - Other Index Options'!$D:$D,$A171,'NSE - Other Index Options'!$B:$B,"Sunday",'NSE - Other Index Options'!$G:$G,"Weekly*"))</f>
        <v/>
      </c>
      <c r="C171" s="26" t="str">
        <f>IF(SUMIFS('BSE - SENSEX Index Options'!$L:$L,'BSE - SENSEX Index Options'!$D:$D,$A171,'BSE - SENSEX Index Options'!$B:$B,"Sunday",'BSE - SENSEX Index Options'!$G:$G,"Weekly*")+SUMIFS('BSE - Other Index Options'!$L:$L,'BSE - Other Index Options'!$D:$D,$A171,'BSE - Other Index Options'!$B:$B,"Sunday",'BSE - Other Index Options'!$G:$G,"Weekly*")=0,"",SUMIFS('BSE - SENSEX Index Options'!$L:$L,'BSE - SENSEX Index Options'!$D:$D,$A171,'BSE - SENSEX Index Options'!$B:$B,"Sunday",'BSE - SENSEX Index Options'!$G:$G,"Weekly*")+SUMIFS('BSE - Other Index Options'!$L:$L,'BSE - Other Index Options'!$D:$D,$A171,'BSE - Other Index Options'!$B:$B,"Sunday",'BSE - Other Index Options'!$G:$G,"Weekly*"))</f>
        <v/>
      </c>
      <c r="D171" s="27" t="str">
        <f t="shared" si="10"/>
        <v/>
      </c>
      <c r="E171" s="27" t="str">
        <f t="shared" si="11"/>
        <v/>
      </c>
    </row>
    <row r="172" spans="1:5">
      <c r="A172" s="24">
        <v>46113</v>
      </c>
      <c r="B172" s="26" t="str">
        <f>IF(SUMIFS('NSE - NIFTY Index Options'!$L:$L,'NSE - NIFTY Index Options'!$D:$D,$A172,'NSE - NIFTY Index Options'!$B:$B,"Sunday",'NSE - NIFTY Index Options'!$G:$G,"Weekly*")+SUMIFS('NSE - Other Index Options'!$L:$L,'NSE - Other Index Options'!$D:$D,$A172,'NSE - Other Index Options'!$B:$B,"Sunday",'NSE - Other Index Options'!$G:$G,"Weekly*")=0,"",SUMIFS('NSE - NIFTY Index Options'!$L:$L,'NSE - NIFTY Index Options'!$D:$D,$A172,'NSE - NIFTY Index Options'!$B:$B,"Sunday",'NSE - NIFTY Index Options'!$G:$G,"Weekly*")+SUMIFS('NSE - Other Index Options'!$L:$L,'NSE - Other Index Options'!$D:$D,$A172,'NSE - Other Index Options'!$B:$B,"Sunday",'NSE - Other Index Options'!$G:$G,"Weekly*"))</f>
        <v/>
      </c>
      <c r="C172" s="26" t="str">
        <f>IF(SUMIFS('BSE - SENSEX Index Options'!$L:$L,'BSE - SENSEX Index Options'!$D:$D,$A172,'BSE - SENSEX Index Options'!$B:$B,"Sunday",'BSE - SENSEX Index Options'!$G:$G,"Weekly*")+SUMIFS('BSE - Other Index Options'!$L:$L,'BSE - Other Index Options'!$D:$D,$A172,'BSE - Other Index Options'!$B:$B,"Sunday",'BSE - Other Index Options'!$G:$G,"Weekly*")=0,"",SUMIFS('BSE - SENSEX Index Options'!$L:$L,'BSE - SENSEX Index Options'!$D:$D,$A172,'BSE - SENSEX Index Options'!$B:$B,"Sunday",'BSE - SENSEX Index Options'!$G:$G,"Weekly*")+SUMIFS('BSE - Other Index Options'!$L:$L,'BSE - Other Index Options'!$D:$D,$A172,'BSE - Other Index Options'!$B:$B,"Sunday",'BSE - Other Index Options'!$G:$G,"Weekly*"))</f>
        <v/>
      </c>
      <c r="D172" s="27" t="str">
        <f t="shared" si="10"/>
        <v/>
      </c>
      <c r="E172" s="27" t="str">
        <f t="shared" si="11"/>
        <v/>
      </c>
    </row>
    <row r="173" spans="1:5">
      <c r="A173" s="24">
        <v>46143</v>
      </c>
      <c r="B173" s="26" t="str">
        <f>IF(SUMIFS('NSE - NIFTY Index Options'!$L:$L,'NSE - NIFTY Index Options'!$D:$D,$A173,'NSE - NIFTY Index Options'!$B:$B,"Sunday",'NSE - NIFTY Index Options'!$G:$G,"Weekly*")+SUMIFS('NSE - Other Index Options'!$L:$L,'NSE - Other Index Options'!$D:$D,$A173,'NSE - Other Index Options'!$B:$B,"Sunday",'NSE - Other Index Options'!$G:$G,"Weekly*")=0,"",SUMIFS('NSE - NIFTY Index Options'!$L:$L,'NSE - NIFTY Index Options'!$D:$D,$A173,'NSE - NIFTY Index Options'!$B:$B,"Sunday",'NSE - NIFTY Index Options'!$G:$G,"Weekly*")+SUMIFS('NSE - Other Index Options'!$L:$L,'NSE - Other Index Options'!$D:$D,$A173,'NSE - Other Index Options'!$B:$B,"Sunday",'NSE - Other Index Options'!$G:$G,"Weekly*"))</f>
        <v/>
      </c>
      <c r="C173" s="26" t="str">
        <f>IF(SUMIFS('BSE - SENSEX Index Options'!$L:$L,'BSE - SENSEX Index Options'!$D:$D,$A173,'BSE - SENSEX Index Options'!$B:$B,"Sunday",'BSE - SENSEX Index Options'!$G:$G,"Weekly*")+SUMIFS('BSE - Other Index Options'!$L:$L,'BSE - Other Index Options'!$D:$D,$A173,'BSE - Other Index Options'!$B:$B,"Sunday",'BSE - Other Index Options'!$G:$G,"Weekly*")=0,"",SUMIFS('BSE - SENSEX Index Options'!$L:$L,'BSE - SENSEX Index Options'!$D:$D,$A173,'BSE - SENSEX Index Options'!$B:$B,"Sunday",'BSE - SENSEX Index Options'!$G:$G,"Weekly*")+SUMIFS('BSE - Other Index Options'!$L:$L,'BSE - Other Index Options'!$D:$D,$A173,'BSE - Other Index Options'!$B:$B,"Sunday",'BSE - Other Index Options'!$G:$G,"Weekly*"))</f>
        <v/>
      </c>
      <c r="D173" s="27" t="str">
        <f t="shared" si="10"/>
        <v/>
      </c>
      <c r="E173" s="27" t="str">
        <f t="shared" si="11"/>
        <v/>
      </c>
    </row>
    <row r="174" spans="1:5">
      <c r="A174" s="24">
        <v>46174</v>
      </c>
      <c r="B174" s="26" t="str">
        <f>IF(SUMIFS('NSE - NIFTY Index Options'!$L:$L,'NSE - NIFTY Index Options'!$D:$D,$A174,'NSE - NIFTY Index Options'!$B:$B,"Sunday",'NSE - NIFTY Index Options'!$G:$G,"Weekly*")+SUMIFS('NSE - Other Index Options'!$L:$L,'NSE - Other Index Options'!$D:$D,$A174,'NSE - Other Index Options'!$B:$B,"Sunday",'NSE - Other Index Options'!$G:$G,"Weekly*")=0,"",SUMIFS('NSE - NIFTY Index Options'!$L:$L,'NSE - NIFTY Index Options'!$D:$D,$A174,'NSE - NIFTY Index Options'!$B:$B,"Sunday",'NSE - NIFTY Index Options'!$G:$G,"Weekly*")+SUMIFS('NSE - Other Index Options'!$L:$L,'NSE - Other Index Options'!$D:$D,$A174,'NSE - Other Index Options'!$B:$B,"Sunday",'NSE - Other Index Options'!$G:$G,"Weekly*"))</f>
        <v/>
      </c>
      <c r="C174" s="26" t="str">
        <f>IF(SUMIFS('BSE - SENSEX Index Options'!$L:$L,'BSE - SENSEX Index Options'!$D:$D,$A174,'BSE - SENSEX Index Options'!$B:$B,"Sunday",'BSE - SENSEX Index Options'!$G:$G,"Weekly*")+SUMIFS('BSE - Other Index Options'!$L:$L,'BSE - Other Index Options'!$D:$D,$A174,'BSE - Other Index Options'!$B:$B,"Sunday",'BSE - Other Index Options'!$G:$G,"Weekly*")=0,"",SUMIFS('BSE - SENSEX Index Options'!$L:$L,'BSE - SENSEX Index Options'!$D:$D,$A174,'BSE - SENSEX Index Options'!$B:$B,"Sunday",'BSE - SENSEX Index Options'!$G:$G,"Weekly*")+SUMIFS('BSE - Other Index Options'!$L:$L,'BSE - Other Index Options'!$D:$D,$A174,'BSE - Other Index Options'!$B:$B,"Sunday",'BSE - Other Index Options'!$G:$G,"Weekly*"))</f>
        <v/>
      </c>
      <c r="D174" s="27" t="str">
        <f t="shared" si="10"/>
        <v/>
      </c>
      <c r="E174" s="27" t="str">
        <f t="shared" si="11"/>
        <v/>
      </c>
    </row>
    <row r="175" spans="1:5">
      <c r="A175" s="24">
        <v>46204</v>
      </c>
      <c r="B175" s="26" t="str">
        <f>IF(SUMIFS('NSE - NIFTY Index Options'!$L:$L,'NSE - NIFTY Index Options'!$D:$D,$A175,'NSE - NIFTY Index Options'!$B:$B,"Sunday",'NSE - NIFTY Index Options'!$G:$G,"Weekly*")+SUMIFS('NSE - Other Index Options'!$L:$L,'NSE - Other Index Options'!$D:$D,$A175,'NSE - Other Index Options'!$B:$B,"Sunday",'NSE - Other Index Options'!$G:$G,"Weekly*")=0,"",SUMIFS('NSE - NIFTY Index Options'!$L:$L,'NSE - NIFTY Index Options'!$D:$D,$A175,'NSE - NIFTY Index Options'!$B:$B,"Sunday",'NSE - NIFTY Index Options'!$G:$G,"Weekly*")+SUMIFS('NSE - Other Index Options'!$L:$L,'NSE - Other Index Options'!$D:$D,$A175,'NSE - Other Index Options'!$B:$B,"Sunday",'NSE - Other Index Options'!$G:$G,"Weekly*"))</f>
        <v/>
      </c>
      <c r="C175" s="26" t="str">
        <f>IF(SUMIFS('BSE - SENSEX Index Options'!$L:$L,'BSE - SENSEX Index Options'!$D:$D,$A175,'BSE - SENSEX Index Options'!$B:$B,"Sunday",'BSE - SENSEX Index Options'!$G:$G,"Weekly*")+SUMIFS('BSE - Other Index Options'!$L:$L,'BSE - Other Index Options'!$D:$D,$A175,'BSE - Other Index Options'!$B:$B,"Sunday",'BSE - Other Index Options'!$G:$G,"Weekly*")=0,"",SUMIFS('BSE - SENSEX Index Options'!$L:$L,'BSE - SENSEX Index Options'!$D:$D,$A175,'BSE - SENSEX Index Options'!$B:$B,"Sunday",'BSE - SENSEX Index Options'!$G:$G,"Weekly*")+SUMIFS('BSE - Other Index Options'!$L:$L,'BSE - Other Index Options'!$D:$D,$A175,'BSE - Other Index Options'!$B:$B,"Sunday",'BSE - Other Index Options'!$G:$G,"Weekly*"))</f>
        <v/>
      </c>
      <c r="D175" s="27" t="str">
        <f t="shared" si="10"/>
        <v/>
      </c>
      <c r="E175" s="27" t="str">
        <f t="shared" si="11"/>
        <v/>
      </c>
    </row>
    <row r="176" spans="1:5" hidden="1" outlineLevel="1">
      <c r="A176" s="24">
        <v>46235</v>
      </c>
      <c r="B176" s="26" t="str">
        <f>IF(SUMIFS('NSE - NIFTY Index Options'!$L:$L,'NSE - NIFTY Index Options'!$D:$D,$A176,'NSE - NIFTY Index Options'!$B:$B,"Sunday",'NSE - NIFTY Index Options'!$G:$G,"Weekly*")+SUMIFS('NSE - Other Index Options'!$L:$L,'NSE - Other Index Options'!$D:$D,$A176,'NSE - Other Index Options'!$B:$B,"Sunday",'NSE - Other Index Options'!$G:$G,"Weekly*")=0,"",SUMIFS('NSE - NIFTY Index Options'!$L:$L,'NSE - NIFTY Index Options'!$D:$D,$A176,'NSE - NIFTY Index Options'!$B:$B,"Sunday",'NSE - NIFTY Index Options'!$G:$G,"Weekly*")+SUMIFS('NSE - Other Index Options'!$L:$L,'NSE - Other Index Options'!$D:$D,$A176,'NSE - Other Index Options'!$B:$B,"Sunday",'NSE - Other Index Options'!$G:$G,"Weekly*"))</f>
        <v/>
      </c>
      <c r="C176" s="26" t="str">
        <f>IF(SUMIFS('BSE - SENSEX Index Options'!$L:$L,'BSE - SENSEX Index Options'!$D:$D,$A176,'BSE - SENSEX Index Options'!$B:$B,"Sunday",'BSE - SENSEX Index Options'!$G:$G,"Weekly*")+SUMIFS('BSE - Other Index Options'!$L:$L,'BSE - Other Index Options'!$D:$D,$A176,'BSE - Other Index Options'!$B:$B,"Sunday",'BSE - Other Index Options'!$G:$G,"Weekly*")=0,"",SUMIFS('BSE - SENSEX Index Options'!$L:$L,'BSE - SENSEX Index Options'!$D:$D,$A176,'BSE - SENSEX Index Options'!$B:$B,"Sunday",'BSE - SENSEX Index Options'!$G:$G,"Weekly*")+SUMIFS('BSE - Other Index Options'!$L:$L,'BSE - Other Index Options'!$D:$D,$A176,'BSE - Other Index Options'!$B:$B,"Sunday",'BSE - Other Index Options'!$G:$G,"Weekly*"))</f>
        <v/>
      </c>
      <c r="D176" s="27" t="str">
        <f t="shared" si="10"/>
        <v/>
      </c>
      <c r="E176" s="27" t="str">
        <f t="shared" si="11"/>
        <v/>
      </c>
    </row>
    <row r="177" spans="1:5" hidden="1" outlineLevel="1">
      <c r="A177" s="24">
        <v>46266</v>
      </c>
      <c r="B177" s="26" t="str">
        <f>IF(SUMIFS('NSE - NIFTY Index Options'!$L:$L,'NSE - NIFTY Index Options'!$D:$D,$A177,'NSE - NIFTY Index Options'!$B:$B,"Sunday",'NSE - NIFTY Index Options'!$G:$G,"Weekly*")+SUMIFS('NSE - Other Index Options'!$L:$L,'NSE - Other Index Options'!$D:$D,$A177,'NSE - Other Index Options'!$B:$B,"Sunday",'NSE - Other Index Options'!$G:$G,"Weekly*")=0,"",SUMIFS('NSE - NIFTY Index Options'!$L:$L,'NSE - NIFTY Index Options'!$D:$D,$A177,'NSE - NIFTY Index Options'!$B:$B,"Sunday",'NSE - NIFTY Index Options'!$G:$G,"Weekly*")+SUMIFS('NSE - Other Index Options'!$L:$L,'NSE - Other Index Options'!$D:$D,$A177,'NSE - Other Index Options'!$B:$B,"Sunday",'NSE - Other Index Options'!$G:$G,"Weekly*"))</f>
        <v/>
      </c>
      <c r="C177" s="26" t="str">
        <f>IF(SUMIFS('BSE - SENSEX Index Options'!$L:$L,'BSE - SENSEX Index Options'!$D:$D,$A177,'BSE - SENSEX Index Options'!$B:$B,"Sunday",'BSE - SENSEX Index Options'!$G:$G,"Weekly*")+SUMIFS('BSE - Other Index Options'!$L:$L,'BSE - Other Index Options'!$D:$D,$A177,'BSE - Other Index Options'!$B:$B,"Sunday",'BSE - Other Index Options'!$G:$G,"Weekly*")=0,"",SUMIFS('BSE - SENSEX Index Options'!$L:$L,'BSE - SENSEX Index Options'!$D:$D,$A177,'BSE - SENSEX Index Options'!$B:$B,"Sunday",'BSE - SENSEX Index Options'!$G:$G,"Weekly*")+SUMIFS('BSE - Other Index Options'!$L:$L,'BSE - Other Index Options'!$D:$D,$A177,'BSE - Other Index Options'!$B:$B,"Sunday",'BSE - Other Index Options'!$G:$G,"Weekly*"))</f>
        <v/>
      </c>
      <c r="D177" s="27" t="str">
        <f t="shared" si="10"/>
        <v/>
      </c>
      <c r="E177" s="27" t="str">
        <f t="shared" si="11"/>
        <v/>
      </c>
    </row>
    <row r="178" spans="1:5" hidden="1" outlineLevel="1">
      <c r="A178" s="24">
        <v>46296</v>
      </c>
      <c r="B178" s="26" t="str">
        <f>IF(SUMIFS('NSE - NIFTY Index Options'!$L:$L,'NSE - NIFTY Index Options'!$D:$D,$A178,'NSE - NIFTY Index Options'!$B:$B,"Sunday",'NSE - NIFTY Index Options'!$G:$G,"Weekly*")+SUMIFS('NSE - Other Index Options'!$L:$L,'NSE - Other Index Options'!$D:$D,$A178,'NSE - Other Index Options'!$B:$B,"Sunday",'NSE - Other Index Options'!$G:$G,"Weekly*")=0,"",SUMIFS('NSE - NIFTY Index Options'!$L:$L,'NSE - NIFTY Index Options'!$D:$D,$A178,'NSE - NIFTY Index Options'!$B:$B,"Sunday",'NSE - NIFTY Index Options'!$G:$G,"Weekly*")+SUMIFS('NSE - Other Index Options'!$L:$L,'NSE - Other Index Options'!$D:$D,$A178,'NSE - Other Index Options'!$B:$B,"Sunday",'NSE - Other Index Options'!$G:$G,"Weekly*"))</f>
        <v/>
      </c>
      <c r="C178" s="26" t="str">
        <f>IF(SUMIFS('BSE - SENSEX Index Options'!$L:$L,'BSE - SENSEX Index Options'!$D:$D,$A178,'BSE - SENSEX Index Options'!$B:$B,"Sunday",'BSE - SENSEX Index Options'!$G:$G,"Weekly*")+SUMIFS('BSE - Other Index Options'!$L:$L,'BSE - Other Index Options'!$D:$D,$A178,'BSE - Other Index Options'!$B:$B,"Sunday",'BSE - Other Index Options'!$G:$G,"Weekly*")=0,"",SUMIFS('BSE - SENSEX Index Options'!$L:$L,'BSE - SENSEX Index Options'!$D:$D,$A178,'BSE - SENSEX Index Options'!$B:$B,"Sunday",'BSE - SENSEX Index Options'!$G:$G,"Weekly*")+SUMIFS('BSE - Other Index Options'!$L:$L,'BSE - Other Index Options'!$D:$D,$A178,'BSE - Other Index Options'!$B:$B,"Sunday",'BSE - Other Index Options'!$G:$G,"Weekly*"))</f>
        <v/>
      </c>
      <c r="D178" s="27" t="str">
        <f t="shared" si="10"/>
        <v/>
      </c>
      <c r="E178" s="27" t="str">
        <f t="shared" si="11"/>
        <v/>
      </c>
    </row>
    <row r="179" spans="1:5" hidden="1" outlineLevel="1">
      <c r="A179" s="24">
        <v>46327</v>
      </c>
      <c r="B179" s="26" t="str">
        <f>IF(SUMIFS('NSE - NIFTY Index Options'!$L:$L,'NSE - NIFTY Index Options'!$D:$D,$A179,'NSE - NIFTY Index Options'!$B:$B,"Sunday",'NSE - NIFTY Index Options'!$G:$G,"Weekly*")+SUMIFS('NSE - Other Index Options'!$L:$L,'NSE - Other Index Options'!$D:$D,$A179,'NSE - Other Index Options'!$B:$B,"Sunday",'NSE - Other Index Options'!$G:$G,"Weekly*")=0,"",SUMIFS('NSE - NIFTY Index Options'!$L:$L,'NSE - NIFTY Index Options'!$D:$D,$A179,'NSE - NIFTY Index Options'!$B:$B,"Sunday",'NSE - NIFTY Index Options'!$G:$G,"Weekly*")+SUMIFS('NSE - Other Index Options'!$L:$L,'NSE - Other Index Options'!$D:$D,$A179,'NSE - Other Index Options'!$B:$B,"Sunday",'NSE - Other Index Options'!$G:$G,"Weekly*"))</f>
        <v/>
      </c>
      <c r="C179" s="26" t="str">
        <f>IF(SUMIFS('BSE - SENSEX Index Options'!$L:$L,'BSE - SENSEX Index Options'!$D:$D,$A179,'BSE - SENSEX Index Options'!$B:$B,"Sunday",'BSE - SENSEX Index Options'!$G:$G,"Weekly*")+SUMIFS('BSE - Other Index Options'!$L:$L,'BSE - Other Index Options'!$D:$D,$A179,'BSE - Other Index Options'!$B:$B,"Sunday",'BSE - Other Index Options'!$G:$G,"Weekly*")=0,"",SUMIFS('BSE - SENSEX Index Options'!$L:$L,'BSE - SENSEX Index Options'!$D:$D,$A179,'BSE - SENSEX Index Options'!$B:$B,"Sunday",'BSE - SENSEX Index Options'!$G:$G,"Weekly*")+SUMIFS('BSE - Other Index Options'!$L:$L,'BSE - Other Index Options'!$D:$D,$A179,'BSE - Other Index Options'!$B:$B,"Sunday",'BSE - Other Index Options'!$G:$G,"Weekly*"))</f>
        <v/>
      </c>
      <c r="D179" s="27" t="str">
        <f t="shared" si="10"/>
        <v/>
      </c>
      <c r="E179" s="27" t="str">
        <f t="shared" si="11"/>
        <v/>
      </c>
    </row>
    <row r="180" spans="1:5" hidden="1" outlineLevel="1">
      <c r="A180" s="24">
        <v>46357</v>
      </c>
      <c r="B180" s="26" t="str">
        <f>IF(SUMIFS('NSE - NIFTY Index Options'!$L:$L,'NSE - NIFTY Index Options'!$D:$D,$A180,'NSE - NIFTY Index Options'!$B:$B,"Sunday",'NSE - NIFTY Index Options'!$G:$G,"Weekly*")+SUMIFS('NSE - Other Index Options'!$L:$L,'NSE - Other Index Options'!$D:$D,$A180,'NSE - Other Index Options'!$B:$B,"Sunday",'NSE - Other Index Options'!$G:$G,"Weekly*")=0,"",SUMIFS('NSE - NIFTY Index Options'!$L:$L,'NSE - NIFTY Index Options'!$D:$D,$A180,'NSE - NIFTY Index Options'!$B:$B,"Sunday",'NSE - NIFTY Index Options'!$G:$G,"Weekly*")+SUMIFS('NSE - Other Index Options'!$L:$L,'NSE - Other Index Options'!$D:$D,$A180,'NSE - Other Index Options'!$B:$B,"Sunday",'NSE - Other Index Options'!$G:$G,"Weekly*"))</f>
        <v/>
      </c>
      <c r="C180" s="26" t="str">
        <f>IF(SUMIFS('BSE - SENSEX Index Options'!$L:$L,'BSE - SENSEX Index Options'!$D:$D,$A180,'BSE - SENSEX Index Options'!$B:$B,"Sunday",'BSE - SENSEX Index Options'!$G:$G,"Weekly*")+SUMIFS('BSE - Other Index Options'!$L:$L,'BSE - Other Index Options'!$D:$D,$A180,'BSE - Other Index Options'!$B:$B,"Sunday",'BSE - Other Index Options'!$G:$G,"Weekly*")=0,"",SUMIFS('BSE - SENSEX Index Options'!$L:$L,'BSE - SENSEX Index Options'!$D:$D,$A180,'BSE - SENSEX Index Options'!$B:$B,"Sunday",'BSE - SENSEX Index Options'!$G:$G,"Weekly*")+SUMIFS('BSE - Other Index Options'!$L:$L,'BSE - Other Index Options'!$D:$D,$A180,'BSE - Other Index Options'!$B:$B,"Sunday",'BSE - Other Index Options'!$G:$G,"Weekly*"))</f>
        <v/>
      </c>
      <c r="D180" s="27" t="str">
        <f t="shared" si="10"/>
        <v/>
      </c>
      <c r="E180" s="27" t="str">
        <f t="shared" si="11"/>
        <v/>
      </c>
    </row>
    <row r="181" spans="1:5" hidden="1" outlineLevel="1">
      <c r="A181" s="24">
        <v>46388</v>
      </c>
      <c r="B181" s="26" t="str">
        <f>IF(SUMIFS('NSE - NIFTY Index Options'!$L:$L,'NSE - NIFTY Index Options'!$D:$D,$A181,'NSE - NIFTY Index Options'!$B:$B,"Sunday",'NSE - NIFTY Index Options'!$G:$G,"Weekly*")+SUMIFS('NSE - Other Index Options'!$L:$L,'NSE - Other Index Options'!$D:$D,$A181,'NSE - Other Index Options'!$B:$B,"Sunday",'NSE - Other Index Options'!$G:$G,"Weekly*")=0,"",SUMIFS('NSE - NIFTY Index Options'!$L:$L,'NSE - NIFTY Index Options'!$D:$D,$A181,'NSE - NIFTY Index Options'!$B:$B,"Sunday",'NSE - NIFTY Index Options'!$G:$G,"Weekly*")+SUMIFS('NSE - Other Index Options'!$L:$L,'NSE - Other Index Options'!$D:$D,$A181,'NSE - Other Index Options'!$B:$B,"Sunday",'NSE - Other Index Options'!$G:$G,"Weekly*"))</f>
        <v/>
      </c>
      <c r="C181" s="26" t="str">
        <f>IF(SUMIFS('BSE - SENSEX Index Options'!$L:$L,'BSE - SENSEX Index Options'!$D:$D,$A181,'BSE - SENSEX Index Options'!$B:$B,"Sunday",'BSE - SENSEX Index Options'!$G:$G,"Weekly*")+SUMIFS('BSE - Other Index Options'!$L:$L,'BSE - Other Index Options'!$D:$D,$A181,'BSE - Other Index Options'!$B:$B,"Sunday",'BSE - Other Index Options'!$G:$G,"Weekly*")=0,"",SUMIFS('BSE - SENSEX Index Options'!$L:$L,'BSE - SENSEX Index Options'!$D:$D,$A181,'BSE - SENSEX Index Options'!$B:$B,"Sunday",'BSE - SENSEX Index Options'!$G:$G,"Weekly*")+SUMIFS('BSE - Other Index Options'!$L:$L,'BSE - Other Index Options'!$D:$D,$A181,'BSE - Other Index Options'!$B:$B,"Sunday",'BSE - Other Index Options'!$G:$G,"Weekly*"))</f>
        <v/>
      </c>
      <c r="D181" s="27" t="str">
        <f t="shared" si="10"/>
        <v/>
      </c>
      <c r="E181" s="27" t="str">
        <f t="shared" si="11"/>
        <v/>
      </c>
    </row>
    <row r="182" spans="1:5" hidden="1" outlineLevel="1">
      <c r="A182" s="24">
        <v>46419</v>
      </c>
      <c r="B182" s="26" t="str">
        <f>IF(SUMIFS('NSE - NIFTY Index Options'!$L:$L,'NSE - NIFTY Index Options'!$D:$D,$A182,'NSE - NIFTY Index Options'!$B:$B,"Sunday",'NSE - NIFTY Index Options'!$G:$G,"Weekly*")+SUMIFS('NSE - Other Index Options'!$L:$L,'NSE - Other Index Options'!$D:$D,$A182,'NSE - Other Index Options'!$B:$B,"Sunday",'NSE - Other Index Options'!$G:$G,"Weekly*")=0,"",SUMIFS('NSE - NIFTY Index Options'!$L:$L,'NSE - NIFTY Index Options'!$D:$D,$A182,'NSE - NIFTY Index Options'!$B:$B,"Sunday",'NSE - NIFTY Index Options'!$G:$G,"Weekly*")+SUMIFS('NSE - Other Index Options'!$L:$L,'NSE - Other Index Options'!$D:$D,$A182,'NSE - Other Index Options'!$B:$B,"Sunday",'NSE - Other Index Options'!$G:$G,"Weekly*"))</f>
        <v/>
      </c>
      <c r="C182" s="26" t="str">
        <f>IF(SUMIFS('BSE - SENSEX Index Options'!$L:$L,'BSE - SENSEX Index Options'!$D:$D,$A182,'BSE - SENSEX Index Options'!$B:$B,"Sunday",'BSE - SENSEX Index Options'!$G:$G,"Weekly*")+SUMIFS('BSE - Other Index Options'!$L:$L,'BSE - Other Index Options'!$D:$D,$A182,'BSE - Other Index Options'!$B:$B,"Sunday",'BSE - Other Index Options'!$G:$G,"Weekly*")=0,"",SUMIFS('BSE - SENSEX Index Options'!$L:$L,'BSE - SENSEX Index Options'!$D:$D,$A182,'BSE - SENSEX Index Options'!$B:$B,"Sunday",'BSE - SENSEX Index Options'!$G:$G,"Weekly*")+SUMIFS('BSE - Other Index Options'!$L:$L,'BSE - Other Index Options'!$D:$D,$A182,'BSE - Other Index Options'!$B:$B,"Sunday",'BSE - Other Index Options'!$G:$G,"Weekly*"))</f>
        <v/>
      </c>
      <c r="D182" s="27" t="str">
        <f t="shared" si="10"/>
        <v/>
      </c>
      <c r="E182" s="27" t="str">
        <f t="shared" si="11"/>
        <v/>
      </c>
    </row>
    <row r="183" spans="1:5" hidden="1" outlineLevel="1">
      <c r="A183" s="24">
        <v>46447</v>
      </c>
      <c r="B183" s="26" t="str">
        <f>IF(SUMIFS('NSE - NIFTY Index Options'!$L:$L,'NSE - NIFTY Index Options'!$D:$D,$A183,'NSE - NIFTY Index Options'!$B:$B,"Sunday",'NSE - NIFTY Index Options'!$G:$G,"Weekly*")+SUMIFS('NSE - Other Index Options'!$L:$L,'NSE - Other Index Options'!$D:$D,$A183,'NSE - Other Index Options'!$B:$B,"Sunday",'NSE - Other Index Options'!$G:$G,"Weekly*")=0,"",SUMIFS('NSE - NIFTY Index Options'!$L:$L,'NSE - NIFTY Index Options'!$D:$D,$A183,'NSE - NIFTY Index Options'!$B:$B,"Sunday",'NSE - NIFTY Index Options'!$G:$G,"Weekly*")+SUMIFS('NSE - Other Index Options'!$L:$L,'NSE - Other Index Options'!$D:$D,$A183,'NSE - Other Index Options'!$B:$B,"Sunday",'NSE - Other Index Options'!$G:$G,"Weekly*"))</f>
        <v/>
      </c>
      <c r="C183" s="26" t="str">
        <f>IF(SUMIFS('BSE - SENSEX Index Options'!$L:$L,'BSE - SENSEX Index Options'!$D:$D,$A183,'BSE - SENSEX Index Options'!$B:$B,"Sunday",'BSE - SENSEX Index Options'!$G:$G,"Weekly*")+SUMIFS('BSE - Other Index Options'!$L:$L,'BSE - Other Index Options'!$D:$D,$A183,'BSE - Other Index Options'!$B:$B,"Sunday",'BSE - Other Index Options'!$G:$G,"Weekly*")=0,"",SUMIFS('BSE - SENSEX Index Options'!$L:$L,'BSE - SENSEX Index Options'!$D:$D,$A183,'BSE - SENSEX Index Options'!$B:$B,"Sunday",'BSE - SENSEX Index Options'!$G:$G,"Weekly*")+SUMIFS('BSE - Other Index Options'!$L:$L,'BSE - Other Index Options'!$D:$D,$A183,'BSE - Other Index Options'!$B:$B,"Sunday",'BSE - Other Index Options'!$G:$G,"Weekly*"))</f>
        <v/>
      </c>
      <c r="D183" s="27" t="str">
        <f t="shared" si="10"/>
        <v/>
      </c>
      <c r="E183" s="27" t="str">
        <f t="shared" si="11"/>
        <v/>
      </c>
    </row>
    <row r="184" spans="1:5" hidden="1" outlineLevel="1">
      <c r="A184" s="24">
        <v>46478</v>
      </c>
      <c r="B184" s="26" t="str">
        <f>IF(SUMIFS('NSE - NIFTY Index Options'!$L:$L,'NSE - NIFTY Index Options'!$D:$D,$A184,'NSE - NIFTY Index Options'!$B:$B,"Sunday",'NSE - NIFTY Index Options'!$G:$G,"Weekly*")+SUMIFS('NSE - Other Index Options'!$L:$L,'NSE - Other Index Options'!$D:$D,$A184,'NSE - Other Index Options'!$B:$B,"Sunday",'NSE - Other Index Options'!$G:$G,"Weekly*")=0,"",SUMIFS('NSE - NIFTY Index Options'!$L:$L,'NSE - NIFTY Index Options'!$D:$D,$A184,'NSE - NIFTY Index Options'!$B:$B,"Sunday",'NSE - NIFTY Index Options'!$G:$G,"Weekly*")+SUMIFS('NSE - Other Index Options'!$L:$L,'NSE - Other Index Options'!$D:$D,$A184,'NSE - Other Index Options'!$B:$B,"Sunday",'NSE - Other Index Options'!$G:$G,"Weekly*"))</f>
        <v/>
      </c>
      <c r="C184" s="26" t="str">
        <f>IF(SUMIFS('BSE - SENSEX Index Options'!$L:$L,'BSE - SENSEX Index Options'!$D:$D,$A184,'BSE - SENSEX Index Options'!$B:$B,"Sunday",'BSE - SENSEX Index Options'!$G:$G,"Weekly*")+SUMIFS('BSE - Other Index Options'!$L:$L,'BSE - Other Index Options'!$D:$D,$A184,'BSE - Other Index Options'!$B:$B,"Sunday",'BSE - Other Index Options'!$G:$G,"Weekly*")=0,"",SUMIFS('BSE - SENSEX Index Options'!$L:$L,'BSE - SENSEX Index Options'!$D:$D,$A184,'BSE - SENSEX Index Options'!$B:$B,"Sunday",'BSE - SENSEX Index Options'!$G:$G,"Weekly*")+SUMIFS('BSE - Other Index Options'!$L:$L,'BSE - Other Index Options'!$D:$D,$A184,'BSE - Other Index Options'!$B:$B,"Sunday",'BSE - Other Index Options'!$G:$G,"Weekly*"))</f>
        <v/>
      </c>
      <c r="D184" s="27" t="str">
        <f t="shared" si="10"/>
        <v/>
      </c>
      <c r="E184" s="27" t="str">
        <f t="shared" si="11"/>
        <v/>
      </c>
    </row>
    <row r="185" spans="1:5" hidden="1" outlineLevel="1">
      <c r="A185" s="24">
        <v>46508</v>
      </c>
      <c r="B185" s="26" t="str">
        <f>IF(SUMIFS('NSE - NIFTY Index Options'!$L:$L,'NSE - NIFTY Index Options'!$D:$D,$A185,'NSE - NIFTY Index Options'!$B:$B,"Sunday",'NSE - NIFTY Index Options'!$G:$G,"Weekly*")+SUMIFS('NSE - Other Index Options'!$L:$L,'NSE - Other Index Options'!$D:$D,$A185,'NSE - Other Index Options'!$B:$B,"Sunday",'NSE - Other Index Options'!$G:$G,"Weekly*")=0,"",SUMIFS('NSE - NIFTY Index Options'!$L:$L,'NSE - NIFTY Index Options'!$D:$D,$A185,'NSE - NIFTY Index Options'!$B:$B,"Sunday",'NSE - NIFTY Index Options'!$G:$G,"Weekly*")+SUMIFS('NSE - Other Index Options'!$L:$L,'NSE - Other Index Options'!$D:$D,$A185,'NSE - Other Index Options'!$B:$B,"Sunday",'NSE - Other Index Options'!$G:$G,"Weekly*"))</f>
        <v/>
      </c>
      <c r="C185" s="26" t="str">
        <f>IF(SUMIFS('BSE - SENSEX Index Options'!$L:$L,'BSE - SENSEX Index Options'!$D:$D,$A185,'BSE - SENSEX Index Options'!$B:$B,"Sunday",'BSE - SENSEX Index Options'!$G:$G,"Weekly*")+SUMIFS('BSE - Other Index Options'!$L:$L,'BSE - Other Index Options'!$D:$D,$A185,'BSE - Other Index Options'!$B:$B,"Sunday",'BSE - Other Index Options'!$G:$G,"Weekly*")=0,"",SUMIFS('BSE - SENSEX Index Options'!$L:$L,'BSE - SENSEX Index Options'!$D:$D,$A185,'BSE - SENSEX Index Options'!$B:$B,"Sunday",'BSE - SENSEX Index Options'!$G:$G,"Weekly*")+SUMIFS('BSE - Other Index Options'!$L:$L,'BSE - Other Index Options'!$D:$D,$A185,'BSE - Other Index Options'!$B:$B,"Sunday",'BSE - Other Index Options'!$G:$G,"Weekly*"))</f>
        <v/>
      </c>
      <c r="D185" s="27" t="str">
        <f t="shared" si="10"/>
        <v/>
      </c>
      <c r="E185" s="27" t="str">
        <f t="shared" si="11"/>
        <v/>
      </c>
    </row>
    <row r="186" spans="1:5" hidden="1" outlineLevel="1">
      <c r="A186" s="24">
        <v>46539</v>
      </c>
      <c r="B186" s="26" t="str">
        <f>IF(SUMIFS('NSE - NIFTY Index Options'!$L:$L,'NSE - NIFTY Index Options'!$D:$D,$A186,'NSE - NIFTY Index Options'!$B:$B,"Sunday",'NSE - NIFTY Index Options'!$G:$G,"Weekly*")+SUMIFS('NSE - Other Index Options'!$L:$L,'NSE - Other Index Options'!$D:$D,$A186,'NSE - Other Index Options'!$B:$B,"Sunday",'NSE - Other Index Options'!$G:$G,"Weekly*")=0,"",SUMIFS('NSE - NIFTY Index Options'!$L:$L,'NSE - NIFTY Index Options'!$D:$D,$A186,'NSE - NIFTY Index Options'!$B:$B,"Sunday",'NSE - NIFTY Index Options'!$G:$G,"Weekly*")+SUMIFS('NSE - Other Index Options'!$L:$L,'NSE - Other Index Options'!$D:$D,$A186,'NSE - Other Index Options'!$B:$B,"Sunday",'NSE - Other Index Options'!$G:$G,"Weekly*"))</f>
        <v/>
      </c>
      <c r="C186" s="26" t="str">
        <f>IF(SUMIFS('BSE - SENSEX Index Options'!$L:$L,'BSE - SENSEX Index Options'!$D:$D,$A186,'BSE - SENSEX Index Options'!$B:$B,"Sunday",'BSE - SENSEX Index Options'!$G:$G,"Weekly*")+SUMIFS('BSE - Other Index Options'!$L:$L,'BSE - Other Index Options'!$D:$D,$A186,'BSE - Other Index Options'!$B:$B,"Sunday",'BSE - Other Index Options'!$G:$G,"Weekly*")=0,"",SUMIFS('BSE - SENSEX Index Options'!$L:$L,'BSE - SENSEX Index Options'!$D:$D,$A186,'BSE - SENSEX Index Options'!$B:$B,"Sunday",'BSE - SENSEX Index Options'!$G:$G,"Weekly*")+SUMIFS('BSE - Other Index Options'!$L:$L,'BSE - Other Index Options'!$D:$D,$A186,'BSE - Other Index Options'!$B:$B,"Sunday",'BSE - Other Index Options'!$G:$G,"Weekly*"))</f>
        <v/>
      </c>
      <c r="D186" s="27" t="str">
        <f t="shared" si="10"/>
        <v/>
      </c>
      <c r="E186" s="27" t="str">
        <f t="shared" si="11"/>
        <v/>
      </c>
    </row>
    <row r="187" spans="1:5" hidden="1" outlineLevel="1">
      <c r="A187" s="24">
        <v>46569</v>
      </c>
      <c r="B187" s="26" t="str">
        <f>IF(SUMIFS('NSE - NIFTY Index Options'!$L:$L,'NSE - NIFTY Index Options'!$D:$D,$A187,'NSE - NIFTY Index Options'!$B:$B,"Sunday",'NSE - NIFTY Index Options'!$G:$G,"Weekly*")+SUMIFS('NSE - Other Index Options'!$L:$L,'NSE - Other Index Options'!$D:$D,$A187,'NSE - Other Index Options'!$B:$B,"Sunday",'NSE - Other Index Options'!$G:$G,"Weekly*")=0,"",SUMIFS('NSE - NIFTY Index Options'!$L:$L,'NSE - NIFTY Index Options'!$D:$D,$A187,'NSE - NIFTY Index Options'!$B:$B,"Sunday",'NSE - NIFTY Index Options'!$G:$G,"Weekly*")+SUMIFS('NSE - Other Index Options'!$L:$L,'NSE - Other Index Options'!$D:$D,$A187,'NSE - Other Index Options'!$B:$B,"Sunday",'NSE - Other Index Options'!$G:$G,"Weekly*"))</f>
        <v/>
      </c>
      <c r="C187" s="26" t="str">
        <f>IF(SUMIFS('BSE - SENSEX Index Options'!$L:$L,'BSE - SENSEX Index Options'!$D:$D,$A187,'BSE - SENSEX Index Options'!$B:$B,"Sunday",'BSE - SENSEX Index Options'!$G:$G,"Weekly*")+SUMIFS('BSE - Other Index Options'!$L:$L,'BSE - Other Index Options'!$D:$D,$A187,'BSE - Other Index Options'!$B:$B,"Sunday",'BSE - Other Index Options'!$G:$G,"Weekly*")=0,"",SUMIFS('BSE - SENSEX Index Options'!$L:$L,'BSE - SENSEX Index Options'!$D:$D,$A187,'BSE - SENSEX Index Options'!$B:$B,"Sunday",'BSE - SENSEX Index Options'!$G:$G,"Weekly*")+SUMIFS('BSE - Other Index Options'!$L:$L,'BSE - Other Index Options'!$D:$D,$A187,'BSE - Other Index Options'!$B:$B,"Sunday",'BSE - Other Index Options'!$G:$G,"Weekly*"))</f>
        <v/>
      </c>
      <c r="D187" s="27" t="str">
        <f t="shared" si="10"/>
        <v/>
      </c>
      <c r="E187" s="27" t="str">
        <f t="shared" si="11"/>
        <v/>
      </c>
    </row>
    <row r="188" spans="1:5" hidden="1" outlineLevel="1">
      <c r="A188" s="24">
        <v>46600</v>
      </c>
      <c r="B188" s="26" t="str">
        <f>IF(SUMIFS('NSE - NIFTY Index Options'!$L:$L,'NSE - NIFTY Index Options'!$D:$D,$A188,'NSE - NIFTY Index Options'!$B:$B,"Sunday",'NSE - NIFTY Index Options'!$G:$G,"Weekly*")+SUMIFS('NSE - Other Index Options'!$L:$L,'NSE - Other Index Options'!$D:$D,$A188,'NSE - Other Index Options'!$B:$B,"Sunday",'NSE - Other Index Options'!$G:$G,"Weekly*")=0,"",SUMIFS('NSE - NIFTY Index Options'!$L:$L,'NSE - NIFTY Index Options'!$D:$D,$A188,'NSE - NIFTY Index Options'!$B:$B,"Sunday",'NSE - NIFTY Index Options'!$G:$G,"Weekly*")+SUMIFS('NSE - Other Index Options'!$L:$L,'NSE - Other Index Options'!$D:$D,$A188,'NSE - Other Index Options'!$B:$B,"Sunday",'NSE - Other Index Options'!$G:$G,"Weekly*"))</f>
        <v/>
      </c>
      <c r="C188" s="26" t="str">
        <f>IF(SUMIFS('BSE - SENSEX Index Options'!$L:$L,'BSE - SENSEX Index Options'!$D:$D,$A188,'BSE - SENSEX Index Options'!$B:$B,"Sunday",'BSE - SENSEX Index Options'!$G:$G,"Weekly*")+SUMIFS('BSE - Other Index Options'!$L:$L,'BSE - Other Index Options'!$D:$D,$A188,'BSE - Other Index Options'!$B:$B,"Sunday",'BSE - Other Index Options'!$G:$G,"Weekly*")=0,"",SUMIFS('BSE - SENSEX Index Options'!$L:$L,'BSE - SENSEX Index Options'!$D:$D,$A188,'BSE - SENSEX Index Options'!$B:$B,"Sunday",'BSE - SENSEX Index Options'!$G:$G,"Weekly*")+SUMIFS('BSE - Other Index Options'!$L:$L,'BSE - Other Index Options'!$D:$D,$A188,'BSE - Other Index Options'!$B:$B,"Sunday",'BSE - Other Index Options'!$G:$G,"Weekly*"))</f>
        <v/>
      </c>
      <c r="D188" s="27" t="str">
        <f t="shared" si="10"/>
        <v/>
      </c>
      <c r="E188" s="27" t="str">
        <f t="shared" si="11"/>
        <v/>
      </c>
    </row>
    <row r="189" spans="1:5" hidden="1" outlineLevel="1">
      <c r="A189" s="24">
        <v>46631</v>
      </c>
      <c r="B189" s="26" t="str">
        <f>IF(SUMIFS('NSE - NIFTY Index Options'!$L:$L,'NSE - NIFTY Index Options'!$D:$D,$A189,'NSE - NIFTY Index Options'!$B:$B,"Sunday",'NSE - NIFTY Index Options'!$G:$G,"Weekly*")+SUMIFS('NSE - Other Index Options'!$L:$L,'NSE - Other Index Options'!$D:$D,$A189,'NSE - Other Index Options'!$B:$B,"Sunday",'NSE - Other Index Options'!$G:$G,"Weekly*")=0,"",SUMIFS('NSE - NIFTY Index Options'!$L:$L,'NSE - NIFTY Index Options'!$D:$D,$A189,'NSE - NIFTY Index Options'!$B:$B,"Sunday",'NSE - NIFTY Index Options'!$G:$G,"Weekly*")+SUMIFS('NSE - Other Index Options'!$L:$L,'NSE - Other Index Options'!$D:$D,$A189,'NSE - Other Index Options'!$B:$B,"Sunday",'NSE - Other Index Options'!$G:$G,"Weekly*"))</f>
        <v/>
      </c>
      <c r="C189" s="26" t="str">
        <f>IF(SUMIFS('BSE - SENSEX Index Options'!$L:$L,'BSE - SENSEX Index Options'!$D:$D,$A189,'BSE - SENSEX Index Options'!$B:$B,"Sunday",'BSE - SENSEX Index Options'!$G:$G,"Weekly*")+SUMIFS('BSE - Other Index Options'!$L:$L,'BSE - Other Index Options'!$D:$D,$A189,'BSE - Other Index Options'!$B:$B,"Sunday",'BSE - Other Index Options'!$G:$G,"Weekly*")=0,"",SUMIFS('BSE - SENSEX Index Options'!$L:$L,'BSE - SENSEX Index Options'!$D:$D,$A189,'BSE - SENSEX Index Options'!$B:$B,"Sunday",'BSE - SENSEX Index Options'!$G:$G,"Weekly*")+SUMIFS('BSE - Other Index Options'!$L:$L,'BSE - Other Index Options'!$D:$D,$A189,'BSE - Other Index Options'!$B:$B,"Sunday",'BSE - Other Index Options'!$G:$G,"Weekly*"))</f>
        <v/>
      </c>
      <c r="D189" s="27" t="str">
        <f t="shared" si="10"/>
        <v/>
      </c>
      <c r="E189" s="27" t="str">
        <f t="shared" si="11"/>
        <v/>
      </c>
    </row>
    <row r="190" spans="1:5" hidden="1" outlineLevel="1">
      <c r="A190" s="24">
        <v>46661</v>
      </c>
      <c r="B190" s="26" t="str">
        <f>IF(SUMIFS('NSE - NIFTY Index Options'!$L:$L,'NSE - NIFTY Index Options'!$D:$D,$A190,'NSE - NIFTY Index Options'!$B:$B,"Sunday",'NSE - NIFTY Index Options'!$G:$G,"Weekly*")+SUMIFS('NSE - Other Index Options'!$L:$L,'NSE - Other Index Options'!$D:$D,$A190,'NSE - Other Index Options'!$B:$B,"Sunday",'NSE - Other Index Options'!$G:$G,"Weekly*")=0,"",SUMIFS('NSE - NIFTY Index Options'!$L:$L,'NSE - NIFTY Index Options'!$D:$D,$A190,'NSE - NIFTY Index Options'!$B:$B,"Sunday",'NSE - NIFTY Index Options'!$G:$G,"Weekly*")+SUMIFS('NSE - Other Index Options'!$L:$L,'NSE - Other Index Options'!$D:$D,$A190,'NSE - Other Index Options'!$B:$B,"Sunday",'NSE - Other Index Options'!$G:$G,"Weekly*"))</f>
        <v/>
      </c>
      <c r="C190" s="26" t="str">
        <f>IF(SUMIFS('BSE - SENSEX Index Options'!$L:$L,'BSE - SENSEX Index Options'!$D:$D,$A190,'BSE - SENSEX Index Options'!$B:$B,"Sunday",'BSE - SENSEX Index Options'!$G:$G,"Weekly*")+SUMIFS('BSE - Other Index Options'!$L:$L,'BSE - Other Index Options'!$D:$D,$A190,'BSE - Other Index Options'!$B:$B,"Sunday",'BSE - Other Index Options'!$G:$G,"Weekly*")=0,"",SUMIFS('BSE - SENSEX Index Options'!$L:$L,'BSE - SENSEX Index Options'!$D:$D,$A190,'BSE - SENSEX Index Options'!$B:$B,"Sunday",'BSE - SENSEX Index Options'!$G:$G,"Weekly*")+SUMIFS('BSE - Other Index Options'!$L:$L,'BSE - Other Index Options'!$D:$D,$A190,'BSE - Other Index Options'!$B:$B,"Sunday",'BSE - Other Index Options'!$G:$G,"Weekly*"))</f>
        <v/>
      </c>
      <c r="D190" s="27" t="str">
        <f t="shared" si="10"/>
        <v/>
      </c>
      <c r="E190" s="27" t="str">
        <f t="shared" si="11"/>
        <v/>
      </c>
    </row>
    <row r="191" spans="1:5" hidden="1" outlineLevel="1">
      <c r="A191" s="24">
        <v>46692</v>
      </c>
      <c r="B191" s="26" t="str">
        <f>IF(SUMIFS('NSE - NIFTY Index Options'!$L:$L,'NSE - NIFTY Index Options'!$D:$D,$A191,'NSE - NIFTY Index Options'!$B:$B,"Sunday",'NSE - NIFTY Index Options'!$G:$G,"Weekly*")+SUMIFS('NSE - Other Index Options'!$L:$L,'NSE - Other Index Options'!$D:$D,$A191,'NSE - Other Index Options'!$B:$B,"Sunday",'NSE - Other Index Options'!$G:$G,"Weekly*")=0,"",SUMIFS('NSE - NIFTY Index Options'!$L:$L,'NSE - NIFTY Index Options'!$D:$D,$A191,'NSE - NIFTY Index Options'!$B:$B,"Sunday",'NSE - NIFTY Index Options'!$G:$G,"Weekly*")+SUMIFS('NSE - Other Index Options'!$L:$L,'NSE - Other Index Options'!$D:$D,$A191,'NSE - Other Index Options'!$B:$B,"Sunday",'NSE - Other Index Options'!$G:$G,"Weekly*"))</f>
        <v/>
      </c>
      <c r="C191" s="26" t="str">
        <f>IF(SUMIFS('BSE - SENSEX Index Options'!$L:$L,'BSE - SENSEX Index Options'!$D:$D,$A191,'BSE - SENSEX Index Options'!$B:$B,"Sunday",'BSE - SENSEX Index Options'!$G:$G,"Weekly*")+SUMIFS('BSE - Other Index Options'!$L:$L,'BSE - Other Index Options'!$D:$D,$A191,'BSE - Other Index Options'!$B:$B,"Sunday",'BSE - Other Index Options'!$G:$G,"Weekly*")=0,"",SUMIFS('BSE - SENSEX Index Options'!$L:$L,'BSE - SENSEX Index Options'!$D:$D,$A191,'BSE - SENSEX Index Options'!$B:$B,"Sunday",'BSE - SENSEX Index Options'!$G:$G,"Weekly*")+SUMIFS('BSE - Other Index Options'!$L:$L,'BSE - Other Index Options'!$D:$D,$A191,'BSE - Other Index Options'!$B:$B,"Sunday",'BSE - Other Index Options'!$G:$G,"Weekly*"))</f>
        <v/>
      </c>
      <c r="D191" s="27" t="str">
        <f t="shared" si="10"/>
        <v/>
      </c>
      <c r="E191" s="27" t="str">
        <f t="shared" si="11"/>
        <v/>
      </c>
    </row>
    <row r="192" spans="1:5" hidden="1" outlineLevel="1">
      <c r="A192" s="24">
        <v>46722</v>
      </c>
      <c r="B192" s="26" t="str">
        <f>IF(SUMIFS('NSE - NIFTY Index Options'!$L:$L,'NSE - NIFTY Index Options'!$D:$D,$A192,'NSE - NIFTY Index Options'!$B:$B,"Sunday",'NSE - NIFTY Index Options'!$G:$G,"Weekly*")+SUMIFS('NSE - Other Index Options'!$L:$L,'NSE - Other Index Options'!$D:$D,$A192,'NSE - Other Index Options'!$B:$B,"Sunday",'NSE - Other Index Options'!$G:$G,"Weekly*")=0,"",SUMIFS('NSE - NIFTY Index Options'!$L:$L,'NSE - NIFTY Index Options'!$D:$D,$A192,'NSE - NIFTY Index Options'!$B:$B,"Sunday",'NSE - NIFTY Index Options'!$G:$G,"Weekly*")+SUMIFS('NSE - Other Index Options'!$L:$L,'NSE - Other Index Options'!$D:$D,$A192,'NSE - Other Index Options'!$B:$B,"Sunday",'NSE - Other Index Options'!$G:$G,"Weekly*"))</f>
        <v/>
      </c>
      <c r="C192" s="26" t="str">
        <f>IF(SUMIFS('BSE - SENSEX Index Options'!$L:$L,'BSE - SENSEX Index Options'!$D:$D,$A192,'BSE - SENSEX Index Options'!$B:$B,"Sunday",'BSE - SENSEX Index Options'!$G:$G,"Weekly*")+SUMIFS('BSE - Other Index Options'!$L:$L,'BSE - Other Index Options'!$D:$D,$A192,'BSE - Other Index Options'!$B:$B,"Sunday",'BSE - Other Index Options'!$G:$G,"Weekly*")=0,"",SUMIFS('BSE - SENSEX Index Options'!$L:$L,'BSE - SENSEX Index Options'!$D:$D,$A192,'BSE - SENSEX Index Options'!$B:$B,"Sunday",'BSE - SENSEX Index Options'!$G:$G,"Weekly*")+SUMIFS('BSE - Other Index Options'!$L:$L,'BSE - Other Index Options'!$D:$D,$A192,'BSE - Other Index Options'!$B:$B,"Sunday",'BSE - Other Index Options'!$G:$G,"Weekly*"))</f>
        <v/>
      </c>
      <c r="D192" s="27" t="str">
        <f t="shared" si="10"/>
        <v/>
      </c>
      <c r="E192" s="27" t="str">
        <f t="shared" si="11"/>
        <v/>
      </c>
    </row>
    <row r="193" spans="1:5" collapsed="1">
      <c r="A193" s="28" t="s">
        <v>9</v>
      </c>
      <c r="B193" s="30">
        <f>IF(SUM(B165:B192)=0,"",SUM(B165:B192))</f>
        <v>98996.99</v>
      </c>
      <c r="C193" s="30">
        <f>IF(SUM(C165:C192)=0,"",SUM(C165:C192))</f>
        <v>24733.119999999999</v>
      </c>
      <c r="D193" s="31">
        <f t="shared" si="10"/>
        <v>0.80010427534575057</v>
      </c>
      <c r="E193" s="31">
        <f t="shared" si="11"/>
        <v>0.19989572465424946</v>
      </c>
    </row>
  </sheetData>
  <conditionalFormatting sqref="D5:D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D6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D9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1:D1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3:D16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5:D19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7:E6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9:E9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1:E1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3:E16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5:E19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2"/>
  <sheetViews>
    <sheetView topLeftCell="A334" workbookViewId="0"/>
  </sheetViews>
  <sheetFormatPr baseColWidth="10" defaultColWidth="8.83203125" defaultRowHeight="16" outlineLevelRow="1"/>
  <cols>
    <col min="1" max="1" width="20" customWidth="1"/>
    <col min="2" max="8" width="16" customWidth="1"/>
  </cols>
  <sheetData>
    <row r="1" spans="1:8">
      <c r="A1" s="28" t="s">
        <v>0</v>
      </c>
    </row>
    <row r="3" spans="1:8">
      <c r="A3" s="28" t="s">
        <v>1</v>
      </c>
    </row>
    <row r="4" spans="1:8">
      <c r="A4" s="28" t="s">
        <v>2</v>
      </c>
      <c r="B4" s="28" t="s">
        <v>3</v>
      </c>
      <c r="C4" s="28" t="s">
        <v>4</v>
      </c>
      <c r="D4" s="28" t="s">
        <v>5</v>
      </c>
      <c r="E4" s="28" t="s">
        <v>6</v>
      </c>
      <c r="F4" s="28" t="s">
        <v>7</v>
      </c>
      <c r="G4" s="28" t="s">
        <v>8</v>
      </c>
      <c r="H4" s="28" t="s">
        <v>9</v>
      </c>
    </row>
    <row r="5" spans="1:8">
      <c r="A5" t="s">
        <v>10</v>
      </c>
      <c r="B5" s="26">
        <f>IF(SUMIFS('NSE - NIFTY Index Options'!$L:$L,'NSE - NIFTY Index Options'!$C:$C,$A5,'NSE - NIFTY Index Options'!$B:$B,B$4)+SUMIFS('NSE - Other Index Options'!$L:$L,'NSE - Other Index Options'!$C:$C,$A5,'NSE - Other Index Options'!$B:$B,B$4)=0,"",SUMIFS('NSE - NIFTY Index Options'!$L:$L,'NSE - NIFTY Index Options'!$C:$C,$A5,'NSE - NIFTY Index Options'!$B:$B,B$4)+SUMIFS('NSE - Other Index Options'!$L:$L,'NSE - Other Index Options'!$C:$C,$A5,'NSE - Other Index Options'!$B:$B,B$4))</f>
        <v>39093.64999999998</v>
      </c>
      <c r="C5" s="26">
        <f>IF(SUMIFS('NSE - NIFTY Index Options'!$L:$L,'NSE - NIFTY Index Options'!$C:$C,$A5,'NSE - NIFTY Index Options'!$B:$B,C$4)+SUMIFS('NSE - Other Index Options'!$L:$L,'NSE - Other Index Options'!$C:$C,$A5,'NSE - Other Index Options'!$B:$B,C$4)=0,"",SUMIFS('NSE - NIFTY Index Options'!$L:$L,'NSE - NIFTY Index Options'!$C:$C,$A5,'NSE - NIFTY Index Options'!$B:$B,C$4)+SUMIFS('NSE - Other Index Options'!$L:$L,'NSE - Other Index Options'!$C:$C,$A5,'NSE - Other Index Options'!$B:$B,C$4))</f>
        <v>68710.959999999992</v>
      </c>
      <c r="D5" s="26">
        <f>IF(SUMIFS('NSE - NIFTY Index Options'!$L:$L,'NSE - NIFTY Index Options'!$C:$C,$A5,'NSE - NIFTY Index Options'!$B:$B,D$4)+SUMIFS('NSE - Other Index Options'!$L:$L,'NSE - Other Index Options'!$C:$C,$A5,'NSE - Other Index Options'!$B:$B,D$4)=0,"",SUMIFS('NSE - NIFTY Index Options'!$L:$L,'NSE - NIFTY Index Options'!$C:$C,$A5,'NSE - NIFTY Index Options'!$B:$B,D$4)+SUMIFS('NSE - Other Index Options'!$L:$L,'NSE - Other Index Options'!$C:$C,$A5,'NSE - Other Index Options'!$B:$B,D$4))</f>
        <v>37174.159999999996</v>
      </c>
      <c r="E5" s="26">
        <f>IF(SUMIFS('NSE - NIFTY Index Options'!$L:$L,'NSE - NIFTY Index Options'!$C:$C,$A5,'NSE - NIFTY Index Options'!$B:$B,E$4)+SUMIFS('NSE - Other Index Options'!$L:$L,'NSE - Other Index Options'!$C:$C,$A5,'NSE - Other Index Options'!$B:$B,E$4)=0,"",SUMIFS('NSE - NIFTY Index Options'!$L:$L,'NSE - NIFTY Index Options'!$C:$C,$A5,'NSE - NIFTY Index Options'!$B:$B,E$4)+SUMIFS('NSE - Other Index Options'!$L:$L,'NSE - Other Index Options'!$C:$C,$A5,'NSE - Other Index Options'!$B:$B,E$4))</f>
        <v>38808.509999999995</v>
      </c>
      <c r="F5" s="26">
        <f>IF(SUMIFS('NSE - NIFTY Index Options'!$L:$L,'NSE - NIFTY Index Options'!$C:$C,$A5,'NSE - NIFTY Index Options'!$B:$B,F$4)+SUMIFS('NSE - Other Index Options'!$L:$L,'NSE - Other Index Options'!$C:$C,$A5,'NSE - Other Index Options'!$B:$B,F$4)=0,"",SUMIFS('NSE - NIFTY Index Options'!$L:$L,'NSE - NIFTY Index Options'!$C:$C,$A5,'NSE - NIFTY Index Options'!$B:$B,F$4)+SUMIFS('NSE - Other Index Options'!$L:$L,'NSE - Other Index Options'!$C:$C,$A5,'NSE - Other Index Options'!$B:$B,F$4))</f>
        <v>53153.77</v>
      </c>
      <c r="G5" s="26" t="str">
        <f>IF(SUMIFS('NSE - NIFTY Index Options'!$L:$L,'NSE - NIFTY Index Options'!$C:$C,$A5,'NSE - NIFTY Index Options'!$B:$B,G$4)+SUMIFS('NSE - Other Index Options'!$L:$L,'NSE - Other Index Options'!$C:$C,$A5,'NSE - Other Index Options'!$B:$B,G$4)=0,"",SUMIFS('NSE - NIFTY Index Options'!$L:$L,'NSE - NIFTY Index Options'!$C:$C,$A5,'NSE - NIFTY Index Options'!$B:$B,G$4)+SUMIFS('NSE - Other Index Options'!$L:$L,'NSE - Other Index Options'!$C:$C,$A5,'NSE - Other Index Options'!$B:$B,G$4))</f>
        <v/>
      </c>
      <c r="H5" s="26">
        <f t="shared" ref="H5:H36" si="0">IF(SUM(B5:G5)=0,"",SUM(B5:G5))</f>
        <v>236941.04999999996</v>
      </c>
    </row>
    <row r="6" spans="1:8">
      <c r="A6" t="s">
        <v>11</v>
      </c>
      <c r="B6" s="26">
        <f>IF(SUMIFS('NSE - NIFTY Index Options'!$L:$L,'NSE - NIFTY Index Options'!$C:$C,$A6,'NSE - NIFTY Index Options'!$B:$B,B$4)+SUMIFS('NSE - Other Index Options'!$L:$L,'NSE - Other Index Options'!$C:$C,$A6,'NSE - Other Index Options'!$B:$B,B$4)=0,"",SUMIFS('NSE - NIFTY Index Options'!$L:$L,'NSE - NIFTY Index Options'!$C:$C,$A6,'NSE - NIFTY Index Options'!$B:$B,B$4)+SUMIFS('NSE - Other Index Options'!$L:$L,'NSE - Other Index Options'!$C:$C,$A6,'NSE - Other Index Options'!$B:$B,B$4))</f>
        <v>46890.080000000016</v>
      </c>
      <c r="C6" s="26">
        <f>IF(SUMIFS('NSE - NIFTY Index Options'!$L:$L,'NSE - NIFTY Index Options'!$C:$C,$A6,'NSE - NIFTY Index Options'!$B:$B,C$4)+SUMIFS('NSE - Other Index Options'!$L:$L,'NSE - Other Index Options'!$C:$C,$A6,'NSE - Other Index Options'!$B:$B,C$4)=0,"",SUMIFS('NSE - NIFTY Index Options'!$L:$L,'NSE - NIFTY Index Options'!$C:$C,$A6,'NSE - NIFTY Index Options'!$B:$B,C$4)+SUMIFS('NSE - Other Index Options'!$L:$L,'NSE - Other Index Options'!$C:$C,$A6,'NSE - Other Index Options'!$B:$B,C$4))</f>
        <v>51744.36</v>
      </c>
      <c r="D6" s="26">
        <f>IF(SUMIFS('NSE - NIFTY Index Options'!$L:$L,'NSE - NIFTY Index Options'!$C:$C,$A6,'NSE - NIFTY Index Options'!$B:$B,D$4)+SUMIFS('NSE - Other Index Options'!$L:$L,'NSE - Other Index Options'!$C:$C,$A6,'NSE - Other Index Options'!$B:$B,D$4)=0,"",SUMIFS('NSE - NIFTY Index Options'!$L:$L,'NSE - NIFTY Index Options'!$C:$C,$A6,'NSE - NIFTY Index Options'!$B:$B,D$4)+SUMIFS('NSE - Other Index Options'!$L:$L,'NSE - Other Index Options'!$C:$C,$A6,'NSE - Other Index Options'!$B:$B,D$4))</f>
        <v>32437.72</v>
      </c>
      <c r="E6" s="26">
        <f>IF(SUMIFS('NSE - NIFTY Index Options'!$L:$L,'NSE - NIFTY Index Options'!$C:$C,$A6,'NSE - NIFTY Index Options'!$B:$B,E$4)+SUMIFS('NSE - Other Index Options'!$L:$L,'NSE - Other Index Options'!$C:$C,$A6,'NSE - Other Index Options'!$B:$B,E$4)=0,"",SUMIFS('NSE - NIFTY Index Options'!$L:$L,'NSE - NIFTY Index Options'!$C:$C,$A6,'NSE - NIFTY Index Options'!$B:$B,E$4)+SUMIFS('NSE - Other Index Options'!$L:$L,'NSE - Other Index Options'!$C:$C,$A6,'NSE - Other Index Options'!$B:$B,E$4))</f>
        <v>21548.729999999996</v>
      </c>
      <c r="F6" s="26">
        <f>IF(SUMIFS('NSE - NIFTY Index Options'!$L:$L,'NSE - NIFTY Index Options'!$C:$C,$A6,'NSE - NIFTY Index Options'!$B:$B,F$4)+SUMIFS('NSE - Other Index Options'!$L:$L,'NSE - Other Index Options'!$C:$C,$A6,'NSE - Other Index Options'!$B:$B,F$4)=0,"",SUMIFS('NSE - NIFTY Index Options'!$L:$L,'NSE - NIFTY Index Options'!$C:$C,$A6,'NSE - NIFTY Index Options'!$B:$B,F$4)+SUMIFS('NSE - Other Index Options'!$L:$L,'NSE - Other Index Options'!$C:$C,$A6,'NSE - Other Index Options'!$B:$B,F$4))</f>
        <v>29013.7</v>
      </c>
      <c r="G6" s="26" t="str">
        <f>IF(SUMIFS('NSE - NIFTY Index Options'!$L:$L,'NSE - NIFTY Index Options'!$C:$C,$A6,'NSE - NIFTY Index Options'!$B:$B,G$4)+SUMIFS('NSE - Other Index Options'!$L:$L,'NSE - Other Index Options'!$C:$C,$A6,'NSE - Other Index Options'!$B:$B,G$4)=0,"",SUMIFS('NSE - NIFTY Index Options'!$L:$L,'NSE - NIFTY Index Options'!$C:$C,$A6,'NSE - NIFTY Index Options'!$B:$B,G$4)+SUMIFS('NSE - Other Index Options'!$L:$L,'NSE - Other Index Options'!$C:$C,$A6,'NSE - Other Index Options'!$B:$B,G$4))</f>
        <v/>
      </c>
      <c r="H6" s="26">
        <f t="shared" si="0"/>
        <v>181634.59000000003</v>
      </c>
    </row>
    <row r="7" spans="1:8">
      <c r="A7" t="s">
        <v>12</v>
      </c>
      <c r="B7" s="26">
        <f>IF(SUMIFS('NSE - NIFTY Index Options'!$L:$L,'NSE - NIFTY Index Options'!$C:$C,$A7,'NSE - NIFTY Index Options'!$B:$B,B$4)+SUMIFS('NSE - Other Index Options'!$L:$L,'NSE - Other Index Options'!$C:$C,$A7,'NSE - Other Index Options'!$B:$B,B$4)=0,"",SUMIFS('NSE - NIFTY Index Options'!$L:$L,'NSE - NIFTY Index Options'!$C:$C,$A7,'NSE - NIFTY Index Options'!$B:$B,B$4)+SUMIFS('NSE - Other Index Options'!$L:$L,'NSE - Other Index Options'!$C:$C,$A7,'NSE - Other Index Options'!$B:$B,B$4))</f>
        <v>29454.5</v>
      </c>
      <c r="C7" s="26">
        <f>IF(SUMIFS('NSE - NIFTY Index Options'!$L:$L,'NSE - NIFTY Index Options'!$C:$C,$A7,'NSE - NIFTY Index Options'!$B:$B,C$4)+SUMIFS('NSE - Other Index Options'!$L:$L,'NSE - Other Index Options'!$C:$C,$A7,'NSE - Other Index Options'!$B:$B,C$4)=0,"",SUMIFS('NSE - NIFTY Index Options'!$L:$L,'NSE - NIFTY Index Options'!$C:$C,$A7,'NSE - NIFTY Index Options'!$B:$B,C$4)+SUMIFS('NSE - Other Index Options'!$L:$L,'NSE - Other Index Options'!$C:$C,$A7,'NSE - Other Index Options'!$B:$B,C$4))</f>
        <v>44205.760000000002</v>
      </c>
      <c r="D7" s="26">
        <f>IF(SUMIFS('NSE - NIFTY Index Options'!$L:$L,'NSE - NIFTY Index Options'!$C:$C,$A7,'NSE - NIFTY Index Options'!$B:$B,D$4)+SUMIFS('NSE - Other Index Options'!$L:$L,'NSE - Other Index Options'!$C:$C,$A7,'NSE - Other Index Options'!$B:$B,D$4)=0,"",SUMIFS('NSE - NIFTY Index Options'!$L:$L,'NSE - NIFTY Index Options'!$C:$C,$A7,'NSE - NIFTY Index Options'!$B:$B,D$4)+SUMIFS('NSE - Other Index Options'!$L:$L,'NSE - Other Index Options'!$C:$C,$A7,'NSE - Other Index Options'!$B:$B,D$4))</f>
        <v>26040.21</v>
      </c>
      <c r="E7" s="26">
        <f>IF(SUMIFS('NSE - NIFTY Index Options'!$L:$L,'NSE - NIFTY Index Options'!$C:$C,$A7,'NSE - NIFTY Index Options'!$B:$B,E$4)+SUMIFS('NSE - Other Index Options'!$L:$L,'NSE - Other Index Options'!$C:$C,$A7,'NSE - Other Index Options'!$B:$B,E$4)=0,"",SUMIFS('NSE - NIFTY Index Options'!$L:$L,'NSE - NIFTY Index Options'!$C:$C,$A7,'NSE - NIFTY Index Options'!$B:$B,E$4)+SUMIFS('NSE - Other Index Options'!$L:$L,'NSE - Other Index Options'!$C:$C,$A7,'NSE - Other Index Options'!$B:$B,E$4))</f>
        <v>26029.530000000002</v>
      </c>
      <c r="F7" s="26">
        <f>IF(SUMIFS('NSE - NIFTY Index Options'!$L:$L,'NSE - NIFTY Index Options'!$C:$C,$A7,'NSE - NIFTY Index Options'!$B:$B,F$4)+SUMIFS('NSE - Other Index Options'!$L:$L,'NSE - Other Index Options'!$C:$C,$A7,'NSE - Other Index Options'!$B:$B,F$4)=0,"",SUMIFS('NSE - NIFTY Index Options'!$L:$L,'NSE - NIFTY Index Options'!$C:$C,$A7,'NSE - NIFTY Index Options'!$B:$B,F$4)+SUMIFS('NSE - Other Index Options'!$L:$L,'NSE - Other Index Options'!$C:$C,$A7,'NSE - Other Index Options'!$B:$B,F$4))</f>
        <v>37472</v>
      </c>
      <c r="G7" s="26" t="str">
        <f>IF(SUMIFS('NSE - NIFTY Index Options'!$L:$L,'NSE - NIFTY Index Options'!$C:$C,$A7,'NSE - NIFTY Index Options'!$B:$B,G$4)+SUMIFS('NSE - Other Index Options'!$L:$L,'NSE - Other Index Options'!$C:$C,$A7,'NSE - Other Index Options'!$B:$B,G$4)=0,"",SUMIFS('NSE - NIFTY Index Options'!$L:$L,'NSE - NIFTY Index Options'!$C:$C,$A7,'NSE - NIFTY Index Options'!$B:$B,G$4)+SUMIFS('NSE - Other Index Options'!$L:$L,'NSE - Other Index Options'!$C:$C,$A7,'NSE - Other Index Options'!$B:$B,G$4))</f>
        <v/>
      </c>
      <c r="H7" s="26">
        <f t="shared" si="0"/>
        <v>163202</v>
      </c>
    </row>
    <row r="8" spans="1:8">
      <c r="A8" t="s">
        <v>13</v>
      </c>
      <c r="B8" s="26">
        <f>IF(SUMIFS('NSE - NIFTY Index Options'!$L:$L,'NSE - NIFTY Index Options'!$C:$C,$A8,'NSE - NIFTY Index Options'!$B:$B,B$4)+SUMIFS('NSE - Other Index Options'!$L:$L,'NSE - Other Index Options'!$C:$C,$A8,'NSE - Other Index Options'!$B:$B,B$4)=0,"",SUMIFS('NSE - NIFTY Index Options'!$L:$L,'NSE - NIFTY Index Options'!$C:$C,$A8,'NSE - NIFTY Index Options'!$B:$B,B$4)+SUMIFS('NSE - Other Index Options'!$L:$L,'NSE - Other Index Options'!$C:$C,$A8,'NSE - Other Index Options'!$B:$B,B$4))</f>
        <v>40277.449999999997</v>
      </c>
      <c r="C8" s="26">
        <f>IF(SUMIFS('NSE - NIFTY Index Options'!$L:$L,'NSE - NIFTY Index Options'!$C:$C,$A8,'NSE - NIFTY Index Options'!$B:$B,C$4)+SUMIFS('NSE - Other Index Options'!$L:$L,'NSE - Other Index Options'!$C:$C,$A8,'NSE - Other Index Options'!$B:$B,C$4)=0,"",SUMIFS('NSE - NIFTY Index Options'!$L:$L,'NSE - NIFTY Index Options'!$C:$C,$A8,'NSE - NIFTY Index Options'!$B:$B,C$4)+SUMIFS('NSE - Other Index Options'!$L:$L,'NSE - Other Index Options'!$C:$C,$A8,'NSE - Other Index Options'!$B:$B,C$4))</f>
        <v>61870.96</v>
      </c>
      <c r="D8" s="26">
        <f>IF(SUMIFS('NSE - NIFTY Index Options'!$L:$L,'NSE - NIFTY Index Options'!$C:$C,$A8,'NSE - NIFTY Index Options'!$B:$B,D$4)+SUMIFS('NSE - Other Index Options'!$L:$L,'NSE - Other Index Options'!$C:$C,$A8,'NSE - Other Index Options'!$B:$B,D$4)=0,"",SUMIFS('NSE - NIFTY Index Options'!$L:$L,'NSE - NIFTY Index Options'!$C:$C,$A8,'NSE - NIFTY Index Options'!$B:$B,D$4)+SUMIFS('NSE - Other Index Options'!$L:$L,'NSE - Other Index Options'!$C:$C,$A8,'NSE - Other Index Options'!$B:$B,D$4))</f>
        <v>33996.029999999992</v>
      </c>
      <c r="E8" s="26">
        <f>IF(SUMIFS('NSE - NIFTY Index Options'!$L:$L,'NSE - NIFTY Index Options'!$C:$C,$A8,'NSE - NIFTY Index Options'!$B:$B,E$4)+SUMIFS('NSE - Other Index Options'!$L:$L,'NSE - Other Index Options'!$C:$C,$A8,'NSE - Other Index Options'!$B:$B,E$4)=0,"",SUMIFS('NSE - NIFTY Index Options'!$L:$L,'NSE - NIFTY Index Options'!$C:$C,$A8,'NSE - NIFTY Index Options'!$B:$B,E$4)+SUMIFS('NSE - Other Index Options'!$L:$L,'NSE - Other Index Options'!$C:$C,$A8,'NSE - Other Index Options'!$B:$B,E$4))</f>
        <v>31493.15</v>
      </c>
      <c r="F8" s="26">
        <f>IF(SUMIFS('NSE - NIFTY Index Options'!$L:$L,'NSE - NIFTY Index Options'!$C:$C,$A8,'NSE - NIFTY Index Options'!$B:$B,F$4)+SUMIFS('NSE - Other Index Options'!$L:$L,'NSE - Other Index Options'!$C:$C,$A8,'NSE - Other Index Options'!$B:$B,F$4)=0,"",SUMIFS('NSE - NIFTY Index Options'!$L:$L,'NSE - NIFTY Index Options'!$C:$C,$A8,'NSE - NIFTY Index Options'!$B:$B,F$4)+SUMIFS('NSE - Other Index Options'!$L:$L,'NSE - Other Index Options'!$C:$C,$A8,'NSE - Other Index Options'!$B:$B,F$4))</f>
        <v>52662.69</v>
      </c>
      <c r="G8" s="26" t="str">
        <f>IF(SUMIFS('NSE - NIFTY Index Options'!$L:$L,'NSE - NIFTY Index Options'!$C:$C,$A8,'NSE - NIFTY Index Options'!$B:$B,G$4)+SUMIFS('NSE - Other Index Options'!$L:$L,'NSE - Other Index Options'!$C:$C,$A8,'NSE - Other Index Options'!$B:$B,G$4)=0,"",SUMIFS('NSE - NIFTY Index Options'!$L:$L,'NSE - NIFTY Index Options'!$C:$C,$A8,'NSE - NIFTY Index Options'!$B:$B,G$4)+SUMIFS('NSE - Other Index Options'!$L:$L,'NSE - Other Index Options'!$C:$C,$A8,'NSE - Other Index Options'!$B:$B,G$4))</f>
        <v/>
      </c>
      <c r="H8" s="26">
        <f t="shared" si="0"/>
        <v>220300.28</v>
      </c>
    </row>
    <row r="9" spans="1:8">
      <c r="A9" t="s">
        <v>14</v>
      </c>
      <c r="B9" s="26">
        <f>IF(SUMIFS('NSE - NIFTY Index Options'!$L:$L,'NSE - NIFTY Index Options'!$C:$C,$A9,'NSE - NIFTY Index Options'!$B:$B,B$4)+SUMIFS('NSE - Other Index Options'!$L:$L,'NSE - Other Index Options'!$C:$C,$A9,'NSE - Other Index Options'!$B:$B,B$4)=0,"",SUMIFS('NSE - NIFTY Index Options'!$L:$L,'NSE - NIFTY Index Options'!$C:$C,$A9,'NSE - NIFTY Index Options'!$B:$B,B$4)+SUMIFS('NSE - Other Index Options'!$L:$L,'NSE - Other Index Options'!$C:$C,$A9,'NSE - Other Index Options'!$B:$B,B$4))</f>
        <v>62527.21</v>
      </c>
      <c r="C9" s="26">
        <f>IF(SUMIFS('NSE - NIFTY Index Options'!$L:$L,'NSE - NIFTY Index Options'!$C:$C,$A9,'NSE - NIFTY Index Options'!$B:$B,C$4)+SUMIFS('NSE - Other Index Options'!$L:$L,'NSE - Other Index Options'!$C:$C,$A9,'NSE - Other Index Options'!$B:$B,C$4)=0,"",SUMIFS('NSE - NIFTY Index Options'!$L:$L,'NSE - NIFTY Index Options'!$C:$C,$A9,'NSE - NIFTY Index Options'!$B:$B,C$4)+SUMIFS('NSE - Other Index Options'!$L:$L,'NSE - Other Index Options'!$C:$C,$A9,'NSE - Other Index Options'!$B:$B,C$4))</f>
        <v>68712.45</v>
      </c>
      <c r="D9" s="26" t="str">
        <f>IF(SUMIFS('NSE - NIFTY Index Options'!$L:$L,'NSE - NIFTY Index Options'!$C:$C,$A9,'NSE - NIFTY Index Options'!$B:$B,D$4)+SUMIFS('NSE - Other Index Options'!$L:$L,'NSE - Other Index Options'!$C:$C,$A9,'NSE - Other Index Options'!$B:$B,D$4)=0,"",SUMIFS('NSE - NIFTY Index Options'!$L:$L,'NSE - NIFTY Index Options'!$C:$C,$A9,'NSE - NIFTY Index Options'!$B:$B,D$4)+SUMIFS('NSE - Other Index Options'!$L:$L,'NSE - Other Index Options'!$C:$C,$A9,'NSE - Other Index Options'!$B:$B,D$4))</f>
        <v/>
      </c>
      <c r="E9" s="26" t="str">
        <f>IF(SUMIFS('NSE - NIFTY Index Options'!$L:$L,'NSE - NIFTY Index Options'!$C:$C,$A9,'NSE - NIFTY Index Options'!$B:$B,E$4)+SUMIFS('NSE - Other Index Options'!$L:$L,'NSE - Other Index Options'!$C:$C,$A9,'NSE - Other Index Options'!$B:$B,E$4)=0,"",SUMIFS('NSE - NIFTY Index Options'!$L:$L,'NSE - NIFTY Index Options'!$C:$C,$A9,'NSE - NIFTY Index Options'!$B:$B,E$4)+SUMIFS('NSE - Other Index Options'!$L:$L,'NSE - Other Index Options'!$C:$C,$A9,'NSE - Other Index Options'!$B:$B,E$4))</f>
        <v/>
      </c>
      <c r="F9" s="26" t="str">
        <f>IF(SUMIFS('NSE - NIFTY Index Options'!$L:$L,'NSE - NIFTY Index Options'!$C:$C,$A9,'NSE - NIFTY Index Options'!$B:$B,F$4)+SUMIFS('NSE - Other Index Options'!$L:$L,'NSE - Other Index Options'!$C:$C,$A9,'NSE - Other Index Options'!$B:$B,F$4)=0,"",SUMIFS('NSE - NIFTY Index Options'!$L:$L,'NSE - NIFTY Index Options'!$C:$C,$A9,'NSE - NIFTY Index Options'!$B:$B,F$4)+SUMIFS('NSE - Other Index Options'!$L:$L,'NSE - Other Index Options'!$C:$C,$A9,'NSE - Other Index Options'!$B:$B,F$4))</f>
        <v/>
      </c>
      <c r="G9" s="26" t="str">
        <f>IF(SUMIFS('NSE - NIFTY Index Options'!$L:$L,'NSE - NIFTY Index Options'!$C:$C,$A9,'NSE - NIFTY Index Options'!$B:$B,G$4)+SUMIFS('NSE - Other Index Options'!$L:$L,'NSE - Other Index Options'!$C:$C,$A9,'NSE - Other Index Options'!$B:$B,G$4)=0,"",SUMIFS('NSE - NIFTY Index Options'!$L:$L,'NSE - NIFTY Index Options'!$C:$C,$A9,'NSE - NIFTY Index Options'!$B:$B,G$4)+SUMIFS('NSE - Other Index Options'!$L:$L,'NSE - Other Index Options'!$C:$C,$A9,'NSE - Other Index Options'!$B:$B,G$4))</f>
        <v/>
      </c>
      <c r="H9" s="26">
        <f t="shared" si="0"/>
        <v>131239.66</v>
      </c>
    </row>
    <row r="10" spans="1:8">
      <c r="A10" t="s">
        <v>15</v>
      </c>
      <c r="B10" s="26">
        <f>IF(SUMIFS('NSE - NIFTY Index Options'!$L:$L,'NSE - NIFTY Index Options'!$C:$C,$A10,'NSE - NIFTY Index Options'!$B:$B,B$4)+SUMIFS('NSE - Other Index Options'!$L:$L,'NSE - Other Index Options'!$C:$C,$A10,'NSE - Other Index Options'!$B:$B,B$4)=0,"",SUMIFS('NSE - NIFTY Index Options'!$L:$L,'NSE - NIFTY Index Options'!$C:$C,$A10,'NSE - NIFTY Index Options'!$B:$B,B$4)+SUMIFS('NSE - Other Index Options'!$L:$L,'NSE - Other Index Options'!$C:$C,$A10,'NSE - Other Index Options'!$B:$B,B$4))</f>
        <v>45167.17</v>
      </c>
      <c r="C10" s="26">
        <f>IF(SUMIFS('NSE - NIFTY Index Options'!$L:$L,'NSE - NIFTY Index Options'!$C:$C,$A10,'NSE - NIFTY Index Options'!$B:$B,C$4)+SUMIFS('NSE - Other Index Options'!$L:$L,'NSE - Other Index Options'!$C:$C,$A10,'NSE - Other Index Options'!$B:$B,C$4)=0,"",SUMIFS('NSE - NIFTY Index Options'!$L:$L,'NSE - NIFTY Index Options'!$C:$C,$A10,'NSE - NIFTY Index Options'!$B:$B,C$4)+SUMIFS('NSE - Other Index Options'!$L:$L,'NSE - Other Index Options'!$C:$C,$A10,'NSE - Other Index Options'!$B:$B,C$4))</f>
        <v>64278.400000000009</v>
      </c>
      <c r="D10" s="26">
        <f>IF(SUMIFS('NSE - NIFTY Index Options'!$L:$L,'NSE - NIFTY Index Options'!$C:$C,$A10,'NSE - NIFTY Index Options'!$B:$B,D$4)+SUMIFS('NSE - Other Index Options'!$L:$L,'NSE - Other Index Options'!$C:$C,$A10,'NSE - Other Index Options'!$B:$B,D$4)=0,"",SUMIFS('NSE - NIFTY Index Options'!$L:$L,'NSE - NIFTY Index Options'!$C:$C,$A10,'NSE - NIFTY Index Options'!$B:$B,D$4)+SUMIFS('NSE - Other Index Options'!$L:$L,'NSE - Other Index Options'!$C:$C,$A10,'NSE - Other Index Options'!$B:$B,D$4))</f>
        <v>35689.729999999989</v>
      </c>
      <c r="E10" s="26" t="str">
        <f>IF(SUMIFS('NSE - NIFTY Index Options'!$L:$L,'NSE - NIFTY Index Options'!$C:$C,$A10,'NSE - NIFTY Index Options'!$B:$B,E$4)+SUMIFS('NSE - Other Index Options'!$L:$L,'NSE - Other Index Options'!$C:$C,$A10,'NSE - Other Index Options'!$B:$B,E$4)=0,"",SUMIFS('NSE - NIFTY Index Options'!$L:$L,'NSE - NIFTY Index Options'!$C:$C,$A10,'NSE - NIFTY Index Options'!$B:$B,E$4)+SUMIFS('NSE - Other Index Options'!$L:$L,'NSE - Other Index Options'!$C:$C,$A10,'NSE - Other Index Options'!$B:$B,E$4))</f>
        <v/>
      </c>
      <c r="F10" s="26">
        <f>IF(SUMIFS('NSE - NIFTY Index Options'!$L:$L,'NSE - NIFTY Index Options'!$C:$C,$A10,'NSE - NIFTY Index Options'!$B:$B,F$4)+SUMIFS('NSE - Other Index Options'!$L:$L,'NSE - Other Index Options'!$C:$C,$A10,'NSE - Other Index Options'!$B:$B,F$4)=0,"",SUMIFS('NSE - NIFTY Index Options'!$L:$L,'NSE - NIFTY Index Options'!$C:$C,$A10,'NSE - NIFTY Index Options'!$B:$B,F$4)+SUMIFS('NSE - Other Index Options'!$L:$L,'NSE - Other Index Options'!$C:$C,$A10,'NSE - Other Index Options'!$B:$B,F$4))</f>
        <v>42413.899999999994</v>
      </c>
      <c r="G10" s="26" t="str">
        <f>IF(SUMIFS('NSE - NIFTY Index Options'!$L:$L,'NSE - NIFTY Index Options'!$C:$C,$A10,'NSE - NIFTY Index Options'!$B:$B,G$4)+SUMIFS('NSE - Other Index Options'!$L:$L,'NSE - Other Index Options'!$C:$C,$A10,'NSE - Other Index Options'!$B:$B,G$4)=0,"",SUMIFS('NSE - NIFTY Index Options'!$L:$L,'NSE - NIFTY Index Options'!$C:$C,$A10,'NSE - NIFTY Index Options'!$B:$B,G$4)+SUMIFS('NSE - Other Index Options'!$L:$L,'NSE - Other Index Options'!$C:$C,$A10,'NSE - Other Index Options'!$B:$B,G$4))</f>
        <v/>
      </c>
      <c r="H10" s="26">
        <f t="shared" si="0"/>
        <v>187549.19999999998</v>
      </c>
    </row>
    <row r="11" spans="1:8">
      <c r="A11" t="s">
        <v>16</v>
      </c>
      <c r="B11" s="26">
        <f>IF(SUMIFS('NSE - NIFTY Index Options'!$L:$L,'NSE - NIFTY Index Options'!$C:$C,$A11,'NSE - NIFTY Index Options'!$B:$B,B$4)+SUMIFS('NSE - Other Index Options'!$L:$L,'NSE - Other Index Options'!$C:$C,$A11,'NSE - Other Index Options'!$B:$B,B$4)=0,"",SUMIFS('NSE - NIFTY Index Options'!$L:$L,'NSE - NIFTY Index Options'!$C:$C,$A11,'NSE - NIFTY Index Options'!$B:$B,B$4)+SUMIFS('NSE - Other Index Options'!$L:$L,'NSE - Other Index Options'!$C:$C,$A11,'NSE - Other Index Options'!$B:$B,B$4))</f>
        <v>49311.990000000005</v>
      </c>
      <c r="C11" s="26">
        <f>IF(SUMIFS('NSE - NIFTY Index Options'!$L:$L,'NSE - NIFTY Index Options'!$C:$C,$A11,'NSE - NIFTY Index Options'!$B:$B,C$4)+SUMIFS('NSE - Other Index Options'!$L:$L,'NSE - Other Index Options'!$C:$C,$A11,'NSE - Other Index Options'!$B:$B,C$4)=0,"",SUMIFS('NSE - NIFTY Index Options'!$L:$L,'NSE - NIFTY Index Options'!$C:$C,$A11,'NSE - NIFTY Index Options'!$B:$B,C$4)+SUMIFS('NSE - Other Index Options'!$L:$L,'NSE - Other Index Options'!$C:$C,$A11,'NSE - Other Index Options'!$B:$B,C$4))</f>
        <v>72498.24000000002</v>
      </c>
      <c r="D11" s="26">
        <f>IF(SUMIFS('NSE - NIFTY Index Options'!$L:$L,'NSE - NIFTY Index Options'!$C:$C,$A11,'NSE - NIFTY Index Options'!$B:$B,D$4)+SUMIFS('NSE - Other Index Options'!$L:$L,'NSE - Other Index Options'!$C:$C,$A11,'NSE - Other Index Options'!$B:$B,D$4)=0,"",SUMIFS('NSE - NIFTY Index Options'!$L:$L,'NSE - NIFTY Index Options'!$C:$C,$A11,'NSE - NIFTY Index Options'!$B:$B,D$4)+SUMIFS('NSE - Other Index Options'!$L:$L,'NSE - Other Index Options'!$C:$C,$A11,'NSE - Other Index Options'!$B:$B,D$4))</f>
        <v>42524.700000000004</v>
      </c>
      <c r="E11" s="26">
        <f>IF(SUMIFS('NSE - NIFTY Index Options'!$L:$L,'NSE - NIFTY Index Options'!$C:$C,$A11,'NSE - NIFTY Index Options'!$B:$B,E$4)+SUMIFS('NSE - Other Index Options'!$L:$L,'NSE - Other Index Options'!$C:$C,$A11,'NSE - Other Index Options'!$B:$B,E$4)=0,"",SUMIFS('NSE - NIFTY Index Options'!$L:$L,'NSE - NIFTY Index Options'!$C:$C,$A11,'NSE - NIFTY Index Options'!$B:$B,E$4)+SUMIFS('NSE - Other Index Options'!$L:$L,'NSE - Other Index Options'!$C:$C,$A11,'NSE - Other Index Options'!$B:$B,E$4))</f>
        <v>33710.449999999997</v>
      </c>
      <c r="F11" s="26">
        <f>IF(SUMIFS('NSE - NIFTY Index Options'!$L:$L,'NSE - NIFTY Index Options'!$C:$C,$A11,'NSE - NIFTY Index Options'!$B:$B,F$4)+SUMIFS('NSE - Other Index Options'!$L:$L,'NSE - Other Index Options'!$C:$C,$A11,'NSE - Other Index Options'!$B:$B,F$4)=0,"",SUMIFS('NSE - NIFTY Index Options'!$L:$L,'NSE - NIFTY Index Options'!$C:$C,$A11,'NSE - NIFTY Index Options'!$B:$B,F$4)+SUMIFS('NSE - Other Index Options'!$L:$L,'NSE - Other Index Options'!$C:$C,$A11,'NSE - Other Index Options'!$B:$B,F$4))</f>
        <v>44914.989999999976</v>
      </c>
      <c r="G11" s="26" t="str">
        <f>IF(SUMIFS('NSE - NIFTY Index Options'!$L:$L,'NSE - NIFTY Index Options'!$C:$C,$A11,'NSE - NIFTY Index Options'!$B:$B,G$4)+SUMIFS('NSE - Other Index Options'!$L:$L,'NSE - Other Index Options'!$C:$C,$A11,'NSE - Other Index Options'!$B:$B,G$4)=0,"",SUMIFS('NSE - NIFTY Index Options'!$L:$L,'NSE - NIFTY Index Options'!$C:$C,$A11,'NSE - NIFTY Index Options'!$B:$B,G$4)+SUMIFS('NSE - Other Index Options'!$L:$L,'NSE - Other Index Options'!$C:$C,$A11,'NSE - Other Index Options'!$B:$B,G$4))</f>
        <v/>
      </c>
      <c r="H11" s="26">
        <f t="shared" si="0"/>
        <v>242960.37</v>
      </c>
    </row>
    <row r="12" spans="1:8">
      <c r="A12" t="s">
        <v>17</v>
      </c>
      <c r="B12" s="26">
        <f>IF(SUMIFS('NSE - NIFTY Index Options'!$L:$L,'NSE - NIFTY Index Options'!$C:$C,$A12,'NSE - NIFTY Index Options'!$B:$B,B$4)+SUMIFS('NSE - Other Index Options'!$L:$L,'NSE - Other Index Options'!$C:$C,$A12,'NSE - Other Index Options'!$B:$B,B$4)=0,"",SUMIFS('NSE - NIFTY Index Options'!$L:$L,'NSE - NIFTY Index Options'!$C:$C,$A12,'NSE - NIFTY Index Options'!$B:$B,B$4)+SUMIFS('NSE - Other Index Options'!$L:$L,'NSE - Other Index Options'!$C:$C,$A12,'NSE - Other Index Options'!$B:$B,B$4))</f>
        <v>68496.52</v>
      </c>
      <c r="C12" s="26">
        <f>IF(SUMIFS('NSE - NIFTY Index Options'!$L:$L,'NSE - NIFTY Index Options'!$C:$C,$A12,'NSE - NIFTY Index Options'!$B:$B,C$4)+SUMIFS('NSE - Other Index Options'!$L:$L,'NSE - Other Index Options'!$C:$C,$A12,'NSE - Other Index Options'!$B:$B,C$4)=0,"",SUMIFS('NSE - NIFTY Index Options'!$L:$L,'NSE - NIFTY Index Options'!$C:$C,$A12,'NSE - NIFTY Index Options'!$B:$B,C$4)+SUMIFS('NSE - Other Index Options'!$L:$L,'NSE - Other Index Options'!$C:$C,$A12,'NSE - Other Index Options'!$B:$B,C$4))</f>
        <v>6842.41</v>
      </c>
      <c r="D12" s="26">
        <f>IF(SUMIFS('NSE - NIFTY Index Options'!$L:$L,'NSE - NIFTY Index Options'!$C:$C,$A12,'NSE - NIFTY Index Options'!$B:$B,D$4)+SUMIFS('NSE - Other Index Options'!$L:$L,'NSE - Other Index Options'!$C:$C,$A12,'NSE - Other Index Options'!$B:$B,D$4)=0,"",SUMIFS('NSE - NIFTY Index Options'!$L:$L,'NSE - NIFTY Index Options'!$C:$C,$A12,'NSE - NIFTY Index Options'!$B:$B,D$4)+SUMIFS('NSE - Other Index Options'!$L:$L,'NSE - Other Index Options'!$C:$C,$A12,'NSE - Other Index Options'!$B:$B,D$4))</f>
        <v>36291.440000000002</v>
      </c>
      <c r="E12" s="26">
        <f>IF(SUMIFS('NSE - NIFTY Index Options'!$L:$L,'NSE - NIFTY Index Options'!$C:$C,$A12,'NSE - NIFTY Index Options'!$B:$B,E$4)+SUMIFS('NSE - Other Index Options'!$L:$L,'NSE - Other Index Options'!$C:$C,$A12,'NSE - Other Index Options'!$B:$B,E$4)=0,"",SUMIFS('NSE - NIFTY Index Options'!$L:$L,'NSE - NIFTY Index Options'!$C:$C,$A12,'NSE - NIFTY Index Options'!$B:$B,E$4)+SUMIFS('NSE - Other Index Options'!$L:$L,'NSE - Other Index Options'!$C:$C,$A12,'NSE - Other Index Options'!$B:$B,E$4))</f>
        <v>35397.009999999995</v>
      </c>
      <c r="F12" s="26">
        <f>IF(SUMIFS('NSE - NIFTY Index Options'!$L:$L,'NSE - NIFTY Index Options'!$C:$C,$A12,'NSE - NIFTY Index Options'!$B:$B,F$4)+SUMIFS('NSE - Other Index Options'!$L:$L,'NSE - Other Index Options'!$C:$C,$A12,'NSE - Other Index Options'!$B:$B,F$4)=0,"",SUMIFS('NSE - NIFTY Index Options'!$L:$L,'NSE - NIFTY Index Options'!$C:$C,$A12,'NSE - NIFTY Index Options'!$B:$B,F$4)+SUMIFS('NSE - Other Index Options'!$L:$L,'NSE - Other Index Options'!$C:$C,$A12,'NSE - Other Index Options'!$B:$B,F$4))</f>
        <v>72813.740000000005</v>
      </c>
      <c r="G12" s="26" t="str">
        <f>IF(SUMIFS('NSE - NIFTY Index Options'!$L:$L,'NSE - NIFTY Index Options'!$C:$C,$A12,'NSE - NIFTY Index Options'!$B:$B,G$4)+SUMIFS('NSE - Other Index Options'!$L:$L,'NSE - Other Index Options'!$C:$C,$A12,'NSE - Other Index Options'!$B:$B,G$4)=0,"",SUMIFS('NSE - NIFTY Index Options'!$L:$L,'NSE - NIFTY Index Options'!$C:$C,$A12,'NSE - NIFTY Index Options'!$B:$B,G$4)+SUMIFS('NSE - Other Index Options'!$L:$L,'NSE - Other Index Options'!$C:$C,$A12,'NSE - Other Index Options'!$B:$B,G$4))</f>
        <v/>
      </c>
      <c r="H12" s="26">
        <f t="shared" si="0"/>
        <v>219841.12</v>
      </c>
    </row>
    <row r="13" spans="1:8">
      <c r="A13" t="s">
        <v>18</v>
      </c>
      <c r="B13" s="26">
        <f>IF(SUMIFS('NSE - NIFTY Index Options'!$L:$L,'NSE - NIFTY Index Options'!$C:$C,$A13,'NSE - NIFTY Index Options'!$B:$B,B$4)+SUMIFS('NSE - Other Index Options'!$L:$L,'NSE - Other Index Options'!$C:$C,$A13,'NSE - Other Index Options'!$B:$B,B$4)=0,"",SUMIFS('NSE - NIFTY Index Options'!$L:$L,'NSE - NIFTY Index Options'!$C:$C,$A13,'NSE - NIFTY Index Options'!$B:$B,B$4)+SUMIFS('NSE - Other Index Options'!$L:$L,'NSE - Other Index Options'!$C:$C,$A13,'NSE - Other Index Options'!$B:$B,B$4))</f>
        <v>61709.340000000004</v>
      </c>
      <c r="C13" s="26">
        <f>IF(SUMIFS('NSE - NIFTY Index Options'!$L:$L,'NSE - NIFTY Index Options'!$C:$C,$A13,'NSE - NIFTY Index Options'!$B:$B,C$4)+SUMIFS('NSE - Other Index Options'!$L:$L,'NSE - Other Index Options'!$C:$C,$A13,'NSE - Other Index Options'!$B:$B,C$4)=0,"",SUMIFS('NSE - NIFTY Index Options'!$L:$L,'NSE - NIFTY Index Options'!$C:$C,$A13,'NSE - NIFTY Index Options'!$B:$B,C$4)+SUMIFS('NSE - Other Index Options'!$L:$L,'NSE - Other Index Options'!$C:$C,$A13,'NSE - Other Index Options'!$B:$B,C$4))</f>
        <v>91654.710000000021</v>
      </c>
      <c r="D13" s="26" t="str">
        <f>IF(SUMIFS('NSE - NIFTY Index Options'!$L:$L,'NSE - NIFTY Index Options'!$C:$C,$A13,'NSE - NIFTY Index Options'!$B:$B,D$4)+SUMIFS('NSE - Other Index Options'!$L:$L,'NSE - Other Index Options'!$C:$C,$A13,'NSE - Other Index Options'!$B:$B,D$4)=0,"",SUMIFS('NSE - NIFTY Index Options'!$L:$L,'NSE - NIFTY Index Options'!$C:$C,$A13,'NSE - NIFTY Index Options'!$B:$B,D$4)+SUMIFS('NSE - Other Index Options'!$L:$L,'NSE - Other Index Options'!$C:$C,$A13,'NSE - Other Index Options'!$B:$B,D$4))</f>
        <v/>
      </c>
      <c r="E13" s="26">
        <f>IF(SUMIFS('NSE - NIFTY Index Options'!$L:$L,'NSE - NIFTY Index Options'!$C:$C,$A13,'NSE - NIFTY Index Options'!$B:$B,E$4)+SUMIFS('NSE - Other Index Options'!$L:$L,'NSE - Other Index Options'!$C:$C,$A13,'NSE - Other Index Options'!$B:$B,E$4)=0,"",SUMIFS('NSE - NIFTY Index Options'!$L:$L,'NSE - NIFTY Index Options'!$C:$C,$A13,'NSE - NIFTY Index Options'!$B:$B,E$4)+SUMIFS('NSE - Other Index Options'!$L:$L,'NSE - Other Index Options'!$C:$C,$A13,'NSE - Other Index Options'!$B:$B,E$4))</f>
        <v>43229.69</v>
      </c>
      <c r="F13" s="26">
        <f>IF(SUMIFS('NSE - NIFTY Index Options'!$L:$L,'NSE - NIFTY Index Options'!$C:$C,$A13,'NSE - NIFTY Index Options'!$B:$B,F$4)+SUMIFS('NSE - Other Index Options'!$L:$L,'NSE - Other Index Options'!$C:$C,$A13,'NSE - Other Index Options'!$B:$B,F$4)=0,"",SUMIFS('NSE - NIFTY Index Options'!$L:$L,'NSE - NIFTY Index Options'!$C:$C,$A13,'NSE - NIFTY Index Options'!$B:$B,F$4)+SUMIFS('NSE - Other Index Options'!$L:$L,'NSE - Other Index Options'!$C:$C,$A13,'NSE - Other Index Options'!$B:$B,F$4))</f>
        <v>65545.609999999986</v>
      </c>
      <c r="G13" s="26" t="str">
        <f>IF(SUMIFS('NSE - NIFTY Index Options'!$L:$L,'NSE - NIFTY Index Options'!$C:$C,$A13,'NSE - NIFTY Index Options'!$B:$B,G$4)+SUMIFS('NSE - Other Index Options'!$L:$L,'NSE - Other Index Options'!$C:$C,$A13,'NSE - Other Index Options'!$B:$B,G$4)=0,"",SUMIFS('NSE - NIFTY Index Options'!$L:$L,'NSE - NIFTY Index Options'!$C:$C,$A13,'NSE - NIFTY Index Options'!$B:$B,G$4)+SUMIFS('NSE - Other Index Options'!$L:$L,'NSE - Other Index Options'!$C:$C,$A13,'NSE - Other Index Options'!$B:$B,G$4))</f>
        <v/>
      </c>
      <c r="H13" s="26">
        <f t="shared" si="0"/>
        <v>262139.35</v>
      </c>
    </row>
    <row r="14" spans="1:8">
      <c r="A14" t="s">
        <v>19</v>
      </c>
      <c r="B14" s="26" t="str">
        <f>IF(SUMIFS('NSE - NIFTY Index Options'!$L:$L,'NSE - NIFTY Index Options'!$C:$C,$A14,'NSE - NIFTY Index Options'!$B:$B,B$4)+SUMIFS('NSE - Other Index Options'!$L:$L,'NSE - Other Index Options'!$C:$C,$A14,'NSE - Other Index Options'!$B:$B,B$4)=0,"",SUMIFS('NSE - NIFTY Index Options'!$L:$L,'NSE - NIFTY Index Options'!$C:$C,$A14,'NSE - NIFTY Index Options'!$B:$B,B$4)+SUMIFS('NSE - Other Index Options'!$L:$L,'NSE - Other Index Options'!$C:$C,$A14,'NSE - Other Index Options'!$B:$B,B$4))</f>
        <v/>
      </c>
      <c r="C14" s="26" t="str">
        <f>IF(SUMIFS('NSE - NIFTY Index Options'!$L:$L,'NSE - NIFTY Index Options'!$C:$C,$A14,'NSE - NIFTY Index Options'!$B:$B,C$4)+SUMIFS('NSE - Other Index Options'!$L:$L,'NSE - Other Index Options'!$C:$C,$A14,'NSE - Other Index Options'!$B:$B,C$4)=0,"",SUMIFS('NSE - NIFTY Index Options'!$L:$L,'NSE - NIFTY Index Options'!$C:$C,$A14,'NSE - NIFTY Index Options'!$B:$B,C$4)+SUMIFS('NSE - Other Index Options'!$L:$L,'NSE - Other Index Options'!$C:$C,$A14,'NSE - Other Index Options'!$B:$B,C$4))</f>
        <v/>
      </c>
      <c r="D14" s="26">
        <f>IF(SUMIFS('NSE - NIFTY Index Options'!$L:$L,'NSE - NIFTY Index Options'!$C:$C,$A14,'NSE - NIFTY Index Options'!$B:$B,D$4)+SUMIFS('NSE - Other Index Options'!$L:$L,'NSE - Other Index Options'!$C:$C,$A14,'NSE - Other Index Options'!$B:$B,D$4)=0,"",SUMIFS('NSE - NIFTY Index Options'!$L:$L,'NSE - NIFTY Index Options'!$C:$C,$A14,'NSE - NIFTY Index Options'!$B:$B,D$4)+SUMIFS('NSE - Other Index Options'!$L:$L,'NSE - Other Index Options'!$C:$C,$A14,'NSE - Other Index Options'!$B:$B,D$4))</f>
        <v>40037.929999999993</v>
      </c>
      <c r="E14" s="26">
        <f>IF(SUMIFS('NSE - NIFTY Index Options'!$L:$L,'NSE - NIFTY Index Options'!$C:$C,$A14,'NSE - NIFTY Index Options'!$B:$B,E$4)+SUMIFS('NSE - Other Index Options'!$L:$L,'NSE - Other Index Options'!$C:$C,$A14,'NSE - Other Index Options'!$B:$B,E$4)=0,"",SUMIFS('NSE - NIFTY Index Options'!$L:$L,'NSE - NIFTY Index Options'!$C:$C,$A14,'NSE - NIFTY Index Options'!$B:$B,E$4)+SUMIFS('NSE - Other Index Options'!$L:$L,'NSE - Other Index Options'!$C:$C,$A14,'NSE - Other Index Options'!$B:$B,E$4))</f>
        <v>35763.21</v>
      </c>
      <c r="F14" s="26">
        <f>IF(SUMIFS('NSE - NIFTY Index Options'!$L:$L,'NSE - NIFTY Index Options'!$C:$C,$A14,'NSE - NIFTY Index Options'!$B:$B,F$4)+SUMIFS('NSE - Other Index Options'!$L:$L,'NSE - Other Index Options'!$C:$C,$A14,'NSE - Other Index Options'!$B:$B,F$4)=0,"",SUMIFS('NSE - NIFTY Index Options'!$L:$L,'NSE - NIFTY Index Options'!$C:$C,$A14,'NSE - NIFTY Index Options'!$B:$B,F$4)+SUMIFS('NSE - Other Index Options'!$L:$L,'NSE - Other Index Options'!$C:$C,$A14,'NSE - Other Index Options'!$B:$B,F$4))</f>
        <v>53507.849999999991</v>
      </c>
      <c r="G14" s="26" t="str">
        <f>IF(SUMIFS('NSE - NIFTY Index Options'!$L:$L,'NSE - NIFTY Index Options'!$C:$C,$A14,'NSE - NIFTY Index Options'!$B:$B,G$4)+SUMIFS('NSE - Other Index Options'!$L:$L,'NSE - Other Index Options'!$C:$C,$A14,'NSE - Other Index Options'!$B:$B,G$4)=0,"",SUMIFS('NSE - NIFTY Index Options'!$L:$L,'NSE - NIFTY Index Options'!$C:$C,$A14,'NSE - NIFTY Index Options'!$B:$B,G$4)+SUMIFS('NSE - Other Index Options'!$L:$L,'NSE - Other Index Options'!$C:$C,$A14,'NSE - Other Index Options'!$B:$B,G$4))</f>
        <v/>
      </c>
      <c r="H14" s="26">
        <f t="shared" si="0"/>
        <v>129308.98999999998</v>
      </c>
    </row>
    <row r="15" spans="1:8">
      <c r="A15" t="s">
        <v>20</v>
      </c>
      <c r="B15" s="26">
        <f>IF(SUMIFS('NSE - NIFTY Index Options'!$L:$L,'NSE - NIFTY Index Options'!$C:$C,$A15,'NSE - NIFTY Index Options'!$B:$B,B$4)+SUMIFS('NSE - Other Index Options'!$L:$L,'NSE - Other Index Options'!$C:$C,$A15,'NSE - Other Index Options'!$B:$B,B$4)=0,"",SUMIFS('NSE - NIFTY Index Options'!$L:$L,'NSE - NIFTY Index Options'!$C:$C,$A15,'NSE - NIFTY Index Options'!$B:$B,B$4)+SUMIFS('NSE - Other Index Options'!$L:$L,'NSE - Other Index Options'!$C:$C,$A15,'NSE - Other Index Options'!$B:$B,B$4))</f>
        <v>51382.070000000007</v>
      </c>
      <c r="C15" s="26">
        <f>IF(SUMIFS('NSE - NIFTY Index Options'!$L:$L,'NSE - NIFTY Index Options'!$C:$C,$A15,'NSE - NIFTY Index Options'!$B:$B,C$4)+SUMIFS('NSE - Other Index Options'!$L:$L,'NSE - Other Index Options'!$C:$C,$A15,'NSE - Other Index Options'!$B:$B,C$4)=0,"",SUMIFS('NSE - NIFTY Index Options'!$L:$L,'NSE - NIFTY Index Options'!$C:$C,$A15,'NSE - NIFTY Index Options'!$B:$B,C$4)+SUMIFS('NSE - Other Index Options'!$L:$L,'NSE - Other Index Options'!$C:$C,$A15,'NSE - Other Index Options'!$B:$B,C$4))</f>
        <v>56381.45</v>
      </c>
      <c r="D15" s="26" t="str">
        <f>IF(SUMIFS('NSE - NIFTY Index Options'!$L:$L,'NSE - NIFTY Index Options'!$C:$C,$A15,'NSE - NIFTY Index Options'!$B:$B,D$4)+SUMIFS('NSE - Other Index Options'!$L:$L,'NSE - Other Index Options'!$C:$C,$A15,'NSE - Other Index Options'!$B:$B,D$4)=0,"",SUMIFS('NSE - NIFTY Index Options'!$L:$L,'NSE - NIFTY Index Options'!$C:$C,$A15,'NSE - NIFTY Index Options'!$B:$B,D$4)+SUMIFS('NSE - Other Index Options'!$L:$L,'NSE - Other Index Options'!$C:$C,$A15,'NSE - Other Index Options'!$B:$B,D$4))</f>
        <v/>
      </c>
      <c r="E15" s="26">
        <f>IF(SUMIFS('NSE - NIFTY Index Options'!$L:$L,'NSE - NIFTY Index Options'!$C:$C,$A15,'NSE - NIFTY Index Options'!$B:$B,E$4)+SUMIFS('NSE - Other Index Options'!$L:$L,'NSE - Other Index Options'!$C:$C,$A15,'NSE - Other Index Options'!$B:$B,E$4)=0,"",SUMIFS('NSE - NIFTY Index Options'!$L:$L,'NSE - NIFTY Index Options'!$C:$C,$A15,'NSE - NIFTY Index Options'!$B:$B,E$4)+SUMIFS('NSE - Other Index Options'!$L:$L,'NSE - Other Index Options'!$C:$C,$A15,'NSE - Other Index Options'!$B:$B,E$4))</f>
        <v>33033.870000000003</v>
      </c>
      <c r="F15" s="26">
        <f>IF(SUMIFS('NSE - NIFTY Index Options'!$L:$L,'NSE - NIFTY Index Options'!$C:$C,$A15,'NSE - NIFTY Index Options'!$B:$B,F$4)+SUMIFS('NSE - Other Index Options'!$L:$L,'NSE - Other Index Options'!$C:$C,$A15,'NSE - Other Index Options'!$B:$B,F$4)=0,"",SUMIFS('NSE - NIFTY Index Options'!$L:$L,'NSE - NIFTY Index Options'!$C:$C,$A15,'NSE - NIFTY Index Options'!$B:$B,F$4)+SUMIFS('NSE - Other Index Options'!$L:$L,'NSE - Other Index Options'!$C:$C,$A15,'NSE - Other Index Options'!$B:$B,F$4))</f>
        <v>55450.69</v>
      </c>
      <c r="G15" s="26" t="str">
        <f>IF(SUMIFS('NSE - NIFTY Index Options'!$L:$L,'NSE - NIFTY Index Options'!$C:$C,$A15,'NSE - NIFTY Index Options'!$B:$B,G$4)+SUMIFS('NSE - Other Index Options'!$L:$L,'NSE - Other Index Options'!$C:$C,$A15,'NSE - Other Index Options'!$B:$B,G$4)=0,"",SUMIFS('NSE - NIFTY Index Options'!$L:$L,'NSE - NIFTY Index Options'!$C:$C,$A15,'NSE - NIFTY Index Options'!$B:$B,G$4)+SUMIFS('NSE - Other Index Options'!$L:$L,'NSE - Other Index Options'!$C:$C,$A15,'NSE - Other Index Options'!$B:$B,G$4))</f>
        <v/>
      </c>
      <c r="H15" s="26">
        <f t="shared" si="0"/>
        <v>196248.08000000002</v>
      </c>
    </row>
    <row r="16" spans="1:8">
      <c r="A16" t="s">
        <v>21</v>
      </c>
      <c r="B16" s="26">
        <f>IF(SUMIFS('NSE - NIFTY Index Options'!$L:$L,'NSE - NIFTY Index Options'!$C:$C,$A16,'NSE - NIFTY Index Options'!$B:$B,B$4)+SUMIFS('NSE - Other Index Options'!$L:$L,'NSE - Other Index Options'!$C:$C,$A16,'NSE - Other Index Options'!$B:$B,B$4)=0,"",SUMIFS('NSE - NIFTY Index Options'!$L:$L,'NSE - NIFTY Index Options'!$C:$C,$A16,'NSE - NIFTY Index Options'!$B:$B,B$4)+SUMIFS('NSE - Other Index Options'!$L:$L,'NSE - Other Index Options'!$C:$C,$A16,'NSE - Other Index Options'!$B:$B,B$4))</f>
        <v>44912.75</v>
      </c>
      <c r="C16" s="26">
        <f>IF(SUMIFS('NSE - NIFTY Index Options'!$L:$L,'NSE - NIFTY Index Options'!$C:$C,$A16,'NSE - NIFTY Index Options'!$B:$B,C$4)+SUMIFS('NSE - Other Index Options'!$L:$L,'NSE - Other Index Options'!$C:$C,$A16,'NSE - Other Index Options'!$B:$B,C$4)=0,"",SUMIFS('NSE - NIFTY Index Options'!$L:$L,'NSE - NIFTY Index Options'!$C:$C,$A16,'NSE - NIFTY Index Options'!$B:$B,C$4)+SUMIFS('NSE - Other Index Options'!$L:$L,'NSE - Other Index Options'!$C:$C,$A16,'NSE - Other Index Options'!$B:$B,C$4))</f>
        <v>70621.5</v>
      </c>
      <c r="D16" s="26">
        <f>IF(SUMIFS('NSE - NIFTY Index Options'!$L:$L,'NSE - NIFTY Index Options'!$C:$C,$A16,'NSE - NIFTY Index Options'!$B:$B,D$4)+SUMIFS('NSE - Other Index Options'!$L:$L,'NSE - Other Index Options'!$C:$C,$A16,'NSE - Other Index Options'!$B:$B,D$4)=0,"",SUMIFS('NSE - NIFTY Index Options'!$L:$L,'NSE - NIFTY Index Options'!$C:$C,$A16,'NSE - NIFTY Index Options'!$B:$B,D$4)+SUMIFS('NSE - Other Index Options'!$L:$L,'NSE - Other Index Options'!$C:$C,$A16,'NSE - Other Index Options'!$B:$B,D$4))</f>
        <v>32149.260000000002</v>
      </c>
      <c r="E16" s="26">
        <f>IF(SUMIFS('NSE - NIFTY Index Options'!$L:$L,'NSE - NIFTY Index Options'!$C:$C,$A16,'NSE - NIFTY Index Options'!$B:$B,E$4)+SUMIFS('NSE - Other Index Options'!$L:$L,'NSE - Other Index Options'!$C:$C,$A16,'NSE - Other Index Options'!$B:$B,E$4)=0,"",SUMIFS('NSE - NIFTY Index Options'!$L:$L,'NSE - NIFTY Index Options'!$C:$C,$A16,'NSE - NIFTY Index Options'!$B:$B,E$4)+SUMIFS('NSE - Other Index Options'!$L:$L,'NSE - Other Index Options'!$C:$C,$A16,'NSE - Other Index Options'!$B:$B,E$4))</f>
        <v>35847.529999999992</v>
      </c>
      <c r="F16" s="26">
        <f>IF(SUMIFS('NSE - NIFTY Index Options'!$L:$L,'NSE - NIFTY Index Options'!$C:$C,$A16,'NSE - NIFTY Index Options'!$B:$B,F$4)+SUMIFS('NSE - Other Index Options'!$L:$L,'NSE - Other Index Options'!$C:$C,$A16,'NSE - Other Index Options'!$B:$B,F$4)=0,"",SUMIFS('NSE - NIFTY Index Options'!$L:$L,'NSE - NIFTY Index Options'!$C:$C,$A16,'NSE - NIFTY Index Options'!$B:$B,F$4)+SUMIFS('NSE - Other Index Options'!$L:$L,'NSE - Other Index Options'!$C:$C,$A16,'NSE - Other Index Options'!$B:$B,F$4))</f>
        <v>65530.539999999994</v>
      </c>
      <c r="G16" s="26" t="str">
        <f>IF(SUMIFS('NSE - NIFTY Index Options'!$L:$L,'NSE - NIFTY Index Options'!$C:$C,$A16,'NSE - NIFTY Index Options'!$B:$B,G$4)+SUMIFS('NSE - Other Index Options'!$L:$L,'NSE - Other Index Options'!$C:$C,$A16,'NSE - Other Index Options'!$B:$B,G$4)=0,"",SUMIFS('NSE - NIFTY Index Options'!$L:$L,'NSE - NIFTY Index Options'!$C:$C,$A16,'NSE - NIFTY Index Options'!$B:$B,G$4)+SUMIFS('NSE - Other Index Options'!$L:$L,'NSE - Other Index Options'!$C:$C,$A16,'NSE - Other Index Options'!$B:$B,G$4))</f>
        <v/>
      </c>
      <c r="H16" s="26">
        <f t="shared" si="0"/>
        <v>249061.58000000002</v>
      </c>
    </row>
    <row r="17" spans="1:8">
      <c r="A17" t="s">
        <v>22</v>
      </c>
      <c r="B17" s="26">
        <f>IF(SUMIFS('NSE - NIFTY Index Options'!$L:$L,'NSE - NIFTY Index Options'!$C:$C,$A17,'NSE - NIFTY Index Options'!$B:$B,B$4)+SUMIFS('NSE - Other Index Options'!$L:$L,'NSE - Other Index Options'!$C:$C,$A17,'NSE - Other Index Options'!$B:$B,B$4)=0,"",SUMIFS('NSE - NIFTY Index Options'!$L:$L,'NSE - NIFTY Index Options'!$C:$C,$A17,'NSE - NIFTY Index Options'!$B:$B,B$4)+SUMIFS('NSE - Other Index Options'!$L:$L,'NSE - Other Index Options'!$C:$C,$A17,'NSE - Other Index Options'!$B:$B,B$4))</f>
        <v>46284.890000000014</v>
      </c>
      <c r="C17" s="26">
        <f>IF(SUMIFS('NSE - NIFTY Index Options'!$L:$L,'NSE - NIFTY Index Options'!$C:$C,$A17,'NSE - NIFTY Index Options'!$B:$B,C$4)+SUMIFS('NSE - Other Index Options'!$L:$L,'NSE - Other Index Options'!$C:$C,$A17,'NSE - Other Index Options'!$B:$B,C$4)=0,"",SUMIFS('NSE - NIFTY Index Options'!$L:$L,'NSE - NIFTY Index Options'!$C:$C,$A17,'NSE - NIFTY Index Options'!$B:$B,C$4)+SUMIFS('NSE - Other Index Options'!$L:$L,'NSE - Other Index Options'!$C:$C,$A17,'NSE - Other Index Options'!$B:$B,C$4))</f>
        <v>61404.959999999985</v>
      </c>
      <c r="D17" s="26">
        <f>IF(SUMIFS('NSE - NIFTY Index Options'!$L:$L,'NSE - NIFTY Index Options'!$C:$C,$A17,'NSE - NIFTY Index Options'!$B:$B,D$4)+SUMIFS('NSE - Other Index Options'!$L:$L,'NSE - Other Index Options'!$C:$C,$A17,'NSE - Other Index Options'!$B:$B,D$4)=0,"",SUMIFS('NSE - NIFTY Index Options'!$L:$L,'NSE - NIFTY Index Options'!$C:$C,$A17,'NSE - NIFTY Index Options'!$B:$B,D$4)+SUMIFS('NSE - Other Index Options'!$L:$L,'NSE - Other Index Options'!$C:$C,$A17,'NSE - Other Index Options'!$B:$B,D$4))</f>
        <v>37299.409999999996</v>
      </c>
      <c r="E17" s="26">
        <f>IF(SUMIFS('NSE - NIFTY Index Options'!$L:$L,'NSE - NIFTY Index Options'!$C:$C,$A17,'NSE - NIFTY Index Options'!$B:$B,E$4)+SUMIFS('NSE - Other Index Options'!$L:$L,'NSE - Other Index Options'!$C:$C,$A17,'NSE - Other Index Options'!$B:$B,E$4)=0,"",SUMIFS('NSE - NIFTY Index Options'!$L:$L,'NSE - NIFTY Index Options'!$C:$C,$A17,'NSE - NIFTY Index Options'!$B:$B,E$4)+SUMIFS('NSE - Other Index Options'!$L:$L,'NSE - Other Index Options'!$C:$C,$A17,'NSE - Other Index Options'!$B:$B,E$4))</f>
        <v>31427.059999999998</v>
      </c>
      <c r="F17" s="26">
        <f>IF(SUMIFS('NSE - NIFTY Index Options'!$L:$L,'NSE - NIFTY Index Options'!$C:$C,$A17,'NSE - NIFTY Index Options'!$B:$B,F$4)+SUMIFS('NSE - Other Index Options'!$L:$L,'NSE - Other Index Options'!$C:$C,$A17,'NSE - Other Index Options'!$B:$B,F$4)=0,"",SUMIFS('NSE - NIFTY Index Options'!$L:$L,'NSE - NIFTY Index Options'!$C:$C,$A17,'NSE - NIFTY Index Options'!$B:$B,F$4)+SUMIFS('NSE - Other Index Options'!$L:$L,'NSE - Other Index Options'!$C:$C,$A17,'NSE - Other Index Options'!$B:$B,F$4))</f>
        <v>54557.4</v>
      </c>
      <c r="G17" s="26" t="str">
        <f>IF(SUMIFS('NSE - NIFTY Index Options'!$L:$L,'NSE - NIFTY Index Options'!$C:$C,$A17,'NSE - NIFTY Index Options'!$B:$B,G$4)+SUMIFS('NSE - Other Index Options'!$L:$L,'NSE - Other Index Options'!$C:$C,$A17,'NSE - Other Index Options'!$B:$B,G$4)=0,"",SUMIFS('NSE - NIFTY Index Options'!$L:$L,'NSE - NIFTY Index Options'!$C:$C,$A17,'NSE - NIFTY Index Options'!$B:$B,G$4)+SUMIFS('NSE - Other Index Options'!$L:$L,'NSE - Other Index Options'!$C:$C,$A17,'NSE - Other Index Options'!$B:$B,G$4))</f>
        <v/>
      </c>
      <c r="H17" s="26">
        <f t="shared" si="0"/>
        <v>230973.72</v>
      </c>
    </row>
    <row r="18" spans="1:8">
      <c r="A18" t="s">
        <v>23</v>
      </c>
      <c r="B18" s="26">
        <f>IF(SUMIFS('NSE - NIFTY Index Options'!$L:$L,'NSE - NIFTY Index Options'!$C:$C,$A18,'NSE - NIFTY Index Options'!$B:$B,B$4)+SUMIFS('NSE - Other Index Options'!$L:$L,'NSE - Other Index Options'!$C:$C,$A18,'NSE - Other Index Options'!$B:$B,B$4)=0,"",SUMIFS('NSE - NIFTY Index Options'!$L:$L,'NSE - NIFTY Index Options'!$C:$C,$A18,'NSE - NIFTY Index Options'!$B:$B,B$4)+SUMIFS('NSE - Other Index Options'!$L:$L,'NSE - Other Index Options'!$C:$C,$A18,'NSE - Other Index Options'!$B:$B,B$4))</f>
        <v>54252.44000000001</v>
      </c>
      <c r="C18" s="26">
        <f>IF(SUMIFS('NSE - NIFTY Index Options'!$L:$L,'NSE - NIFTY Index Options'!$C:$C,$A18,'NSE - NIFTY Index Options'!$B:$B,C$4)+SUMIFS('NSE - Other Index Options'!$L:$L,'NSE - Other Index Options'!$C:$C,$A18,'NSE - Other Index Options'!$B:$B,C$4)=0,"",SUMIFS('NSE - NIFTY Index Options'!$L:$L,'NSE - NIFTY Index Options'!$C:$C,$A18,'NSE - NIFTY Index Options'!$B:$B,C$4)+SUMIFS('NSE - Other Index Options'!$L:$L,'NSE - Other Index Options'!$C:$C,$A18,'NSE - Other Index Options'!$B:$B,C$4))</f>
        <v>70345.459999999992</v>
      </c>
      <c r="D18" s="26">
        <f>IF(SUMIFS('NSE - NIFTY Index Options'!$L:$L,'NSE - NIFTY Index Options'!$C:$C,$A18,'NSE - NIFTY Index Options'!$B:$B,D$4)+SUMIFS('NSE - Other Index Options'!$L:$L,'NSE - Other Index Options'!$C:$C,$A18,'NSE - Other Index Options'!$B:$B,D$4)=0,"",SUMIFS('NSE - NIFTY Index Options'!$L:$L,'NSE - NIFTY Index Options'!$C:$C,$A18,'NSE - NIFTY Index Options'!$B:$B,D$4)+SUMIFS('NSE - Other Index Options'!$L:$L,'NSE - Other Index Options'!$C:$C,$A18,'NSE - Other Index Options'!$B:$B,D$4))</f>
        <v>35509.700000000012</v>
      </c>
      <c r="E18" s="26">
        <f>IF(SUMIFS('NSE - NIFTY Index Options'!$L:$L,'NSE - NIFTY Index Options'!$C:$C,$A18,'NSE - NIFTY Index Options'!$B:$B,E$4)+SUMIFS('NSE - Other Index Options'!$L:$L,'NSE - Other Index Options'!$C:$C,$A18,'NSE - Other Index Options'!$B:$B,E$4)=0,"",SUMIFS('NSE - NIFTY Index Options'!$L:$L,'NSE - NIFTY Index Options'!$C:$C,$A18,'NSE - NIFTY Index Options'!$B:$B,E$4)+SUMIFS('NSE - Other Index Options'!$L:$L,'NSE - Other Index Options'!$C:$C,$A18,'NSE - Other Index Options'!$B:$B,E$4))</f>
        <v>35972.960000000006</v>
      </c>
      <c r="F18" s="26">
        <f>IF(SUMIFS('NSE - NIFTY Index Options'!$L:$L,'NSE - NIFTY Index Options'!$C:$C,$A18,'NSE - NIFTY Index Options'!$B:$B,F$4)+SUMIFS('NSE - Other Index Options'!$L:$L,'NSE - Other Index Options'!$C:$C,$A18,'NSE - Other Index Options'!$B:$B,F$4)=0,"",SUMIFS('NSE - NIFTY Index Options'!$L:$L,'NSE - NIFTY Index Options'!$C:$C,$A18,'NSE - NIFTY Index Options'!$B:$B,F$4)+SUMIFS('NSE - Other Index Options'!$L:$L,'NSE - Other Index Options'!$C:$C,$A18,'NSE - Other Index Options'!$B:$B,F$4))</f>
        <v>40913.39</v>
      </c>
      <c r="G18" s="26" t="str">
        <f>IF(SUMIFS('NSE - NIFTY Index Options'!$L:$L,'NSE - NIFTY Index Options'!$C:$C,$A18,'NSE - NIFTY Index Options'!$B:$B,G$4)+SUMIFS('NSE - Other Index Options'!$L:$L,'NSE - Other Index Options'!$C:$C,$A18,'NSE - Other Index Options'!$B:$B,G$4)=0,"",SUMIFS('NSE - NIFTY Index Options'!$L:$L,'NSE - NIFTY Index Options'!$C:$C,$A18,'NSE - NIFTY Index Options'!$B:$B,G$4)+SUMIFS('NSE - Other Index Options'!$L:$L,'NSE - Other Index Options'!$C:$C,$A18,'NSE - Other Index Options'!$B:$B,G$4))</f>
        <v/>
      </c>
      <c r="H18" s="26">
        <f t="shared" si="0"/>
        <v>236993.95</v>
      </c>
    </row>
    <row r="19" spans="1:8">
      <c r="A19" t="s">
        <v>24</v>
      </c>
      <c r="B19" s="26" t="str">
        <f>IF(SUMIFS('NSE - NIFTY Index Options'!$L:$L,'NSE - NIFTY Index Options'!$C:$C,$A19,'NSE - NIFTY Index Options'!$B:$B,B$4)+SUMIFS('NSE - Other Index Options'!$L:$L,'NSE - Other Index Options'!$C:$C,$A19,'NSE - Other Index Options'!$B:$B,B$4)=0,"",SUMIFS('NSE - NIFTY Index Options'!$L:$L,'NSE - NIFTY Index Options'!$C:$C,$A19,'NSE - NIFTY Index Options'!$B:$B,B$4)+SUMIFS('NSE - Other Index Options'!$L:$L,'NSE - Other Index Options'!$C:$C,$A19,'NSE - Other Index Options'!$B:$B,B$4))</f>
        <v/>
      </c>
      <c r="C19" s="26" t="str">
        <f>IF(SUMIFS('NSE - NIFTY Index Options'!$L:$L,'NSE - NIFTY Index Options'!$C:$C,$A19,'NSE - NIFTY Index Options'!$B:$B,C$4)+SUMIFS('NSE - Other Index Options'!$L:$L,'NSE - Other Index Options'!$C:$C,$A19,'NSE - Other Index Options'!$B:$B,C$4)=0,"",SUMIFS('NSE - NIFTY Index Options'!$L:$L,'NSE - NIFTY Index Options'!$C:$C,$A19,'NSE - NIFTY Index Options'!$B:$B,C$4)+SUMIFS('NSE - Other Index Options'!$L:$L,'NSE - Other Index Options'!$C:$C,$A19,'NSE - Other Index Options'!$B:$B,C$4))</f>
        <v/>
      </c>
      <c r="D19" s="26" t="str">
        <f>IF(SUMIFS('NSE - NIFTY Index Options'!$L:$L,'NSE - NIFTY Index Options'!$C:$C,$A19,'NSE - NIFTY Index Options'!$B:$B,D$4)+SUMIFS('NSE - Other Index Options'!$L:$L,'NSE - Other Index Options'!$C:$C,$A19,'NSE - Other Index Options'!$B:$B,D$4)=0,"",SUMIFS('NSE - NIFTY Index Options'!$L:$L,'NSE - NIFTY Index Options'!$C:$C,$A19,'NSE - NIFTY Index Options'!$B:$B,D$4)+SUMIFS('NSE - Other Index Options'!$L:$L,'NSE - Other Index Options'!$C:$C,$A19,'NSE - Other Index Options'!$B:$B,D$4))</f>
        <v/>
      </c>
      <c r="E19" s="26" t="str">
        <f>IF(SUMIFS('NSE - NIFTY Index Options'!$L:$L,'NSE - NIFTY Index Options'!$C:$C,$A19,'NSE - NIFTY Index Options'!$B:$B,E$4)+SUMIFS('NSE - Other Index Options'!$L:$L,'NSE - Other Index Options'!$C:$C,$A19,'NSE - Other Index Options'!$B:$B,E$4)=0,"",SUMIFS('NSE - NIFTY Index Options'!$L:$L,'NSE - NIFTY Index Options'!$C:$C,$A19,'NSE - NIFTY Index Options'!$B:$B,E$4)+SUMIFS('NSE - Other Index Options'!$L:$L,'NSE - Other Index Options'!$C:$C,$A19,'NSE - Other Index Options'!$B:$B,E$4))</f>
        <v/>
      </c>
      <c r="F19" s="26" t="str">
        <f>IF(SUMIFS('NSE - NIFTY Index Options'!$L:$L,'NSE - NIFTY Index Options'!$C:$C,$A19,'NSE - NIFTY Index Options'!$B:$B,F$4)+SUMIFS('NSE - Other Index Options'!$L:$L,'NSE - Other Index Options'!$C:$C,$A19,'NSE - Other Index Options'!$B:$B,F$4)=0,"",SUMIFS('NSE - NIFTY Index Options'!$L:$L,'NSE - NIFTY Index Options'!$C:$C,$A19,'NSE - NIFTY Index Options'!$B:$B,F$4)+SUMIFS('NSE - Other Index Options'!$L:$L,'NSE - Other Index Options'!$C:$C,$A19,'NSE - Other Index Options'!$B:$B,F$4))</f>
        <v/>
      </c>
      <c r="G19" s="26" t="str">
        <f>IF(SUMIFS('NSE - NIFTY Index Options'!$L:$L,'NSE - NIFTY Index Options'!$C:$C,$A19,'NSE - NIFTY Index Options'!$B:$B,G$4)+SUMIFS('NSE - Other Index Options'!$L:$L,'NSE - Other Index Options'!$C:$C,$A19,'NSE - Other Index Options'!$B:$B,G$4)=0,"",SUMIFS('NSE - NIFTY Index Options'!$L:$L,'NSE - NIFTY Index Options'!$C:$C,$A19,'NSE - NIFTY Index Options'!$B:$B,G$4)+SUMIFS('NSE - Other Index Options'!$L:$L,'NSE - Other Index Options'!$C:$C,$A19,'NSE - Other Index Options'!$B:$B,G$4))</f>
        <v/>
      </c>
      <c r="H19" s="26" t="str">
        <f t="shared" si="0"/>
        <v/>
      </c>
    </row>
    <row r="20" spans="1:8">
      <c r="A20" t="s">
        <v>25</v>
      </c>
      <c r="B20" s="26">
        <f>IF(SUMIFS('NSE - NIFTY Index Options'!$L:$L,'NSE - NIFTY Index Options'!$C:$C,$A20,'NSE - NIFTY Index Options'!$B:$B,B$4)+SUMIFS('NSE - Other Index Options'!$L:$L,'NSE - Other Index Options'!$C:$C,$A20,'NSE - Other Index Options'!$B:$B,B$4)=0,"",SUMIFS('NSE - NIFTY Index Options'!$L:$L,'NSE - NIFTY Index Options'!$C:$C,$A20,'NSE - NIFTY Index Options'!$B:$B,B$4)+SUMIFS('NSE - Other Index Options'!$L:$L,'NSE - Other Index Options'!$C:$C,$A20,'NSE - Other Index Options'!$B:$B,B$4))</f>
        <v>52638.009999999995</v>
      </c>
      <c r="C20" s="26">
        <f>IF(SUMIFS('NSE - NIFTY Index Options'!$L:$L,'NSE - NIFTY Index Options'!$C:$C,$A20,'NSE - NIFTY Index Options'!$B:$B,C$4)+SUMIFS('NSE - Other Index Options'!$L:$L,'NSE - Other Index Options'!$C:$C,$A20,'NSE - Other Index Options'!$B:$B,C$4)=0,"",SUMIFS('NSE - NIFTY Index Options'!$L:$L,'NSE - NIFTY Index Options'!$C:$C,$A20,'NSE - NIFTY Index Options'!$B:$B,C$4)+SUMIFS('NSE - Other Index Options'!$L:$L,'NSE - Other Index Options'!$C:$C,$A20,'NSE - Other Index Options'!$B:$B,C$4))</f>
        <v>59179.47</v>
      </c>
      <c r="D20" s="26">
        <f>IF(SUMIFS('NSE - NIFTY Index Options'!$L:$L,'NSE - NIFTY Index Options'!$C:$C,$A20,'NSE - NIFTY Index Options'!$B:$B,D$4)+SUMIFS('NSE - Other Index Options'!$L:$L,'NSE - Other Index Options'!$C:$C,$A20,'NSE - Other Index Options'!$B:$B,D$4)=0,"",SUMIFS('NSE - NIFTY Index Options'!$L:$L,'NSE - NIFTY Index Options'!$C:$C,$A20,'NSE - NIFTY Index Options'!$B:$B,D$4)+SUMIFS('NSE - Other Index Options'!$L:$L,'NSE - Other Index Options'!$C:$C,$A20,'NSE - Other Index Options'!$B:$B,D$4))</f>
        <v>33573.520000000004</v>
      </c>
      <c r="E20" s="26">
        <f>IF(SUMIFS('NSE - NIFTY Index Options'!$L:$L,'NSE - NIFTY Index Options'!$C:$C,$A20,'NSE - NIFTY Index Options'!$B:$B,E$4)+SUMIFS('NSE - Other Index Options'!$L:$L,'NSE - Other Index Options'!$C:$C,$A20,'NSE - Other Index Options'!$B:$B,E$4)=0,"",SUMIFS('NSE - NIFTY Index Options'!$L:$L,'NSE - NIFTY Index Options'!$C:$C,$A20,'NSE - NIFTY Index Options'!$B:$B,E$4)+SUMIFS('NSE - Other Index Options'!$L:$L,'NSE - Other Index Options'!$C:$C,$A20,'NSE - Other Index Options'!$B:$B,E$4))</f>
        <v>31035.329999999998</v>
      </c>
      <c r="F20" s="26">
        <f>IF(SUMIFS('NSE - NIFTY Index Options'!$L:$L,'NSE - NIFTY Index Options'!$C:$C,$A20,'NSE - NIFTY Index Options'!$B:$B,F$4)+SUMIFS('NSE - Other Index Options'!$L:$L,'NSE - Other Index Options'!$C:$C,$A20,'NSE - Other Index Options'!$B:$B,F$4)=0,"",SUMIFS('NSE - NIFTY Index Options'!$L:$L,'NSE - NIFTY Index Options'!$C:$C,$A20,'NSE - NIFTY Index Options'!$B:$B,F$4)+SUMIFS('NSE - Other Index Options'!$L:$L,'NSE - Other Index Options'!$C:$C,$A20,'NSE - Other Index Options'!$B:$B,F$4))</f>
        <v>50753.94000000001</v>
      </c>
      <c r="G20" s="26" t="str">
        <f>IF(SUMIFS('NSE - NIFTY Index Options'!$L:$L,'NSE - NIFTY Index Options'!$C:$C,$A20,'NSE - NIFTY Index Options'!$B:$B,G$4)+SUMIFS('NSE - Other Index Options'!$L:$L,'NSE - Other Index Options'!$C:$C,$A20,'NSE - Other Index Options'!$B:$B,G$4)=0,"",SUMIFS('NSE - NIFTY Index Options'!$L:$L,'NSE - NIFTY Index Options'!$C:$C,$A20,'NSE - NIFTY Index Options'!$B:$B,G$4)+SUMIFS('NSE - Other Index Options'!$L:$L,'NSE - Other Index Options'!$C:$C,$A20,'NSE - Other Index Options'!$B:$B,G$4))</f>
        <v/>
      </c>
      <c r="H20" s="26">
        <f t="shared" si="0"/>
        <v>227180.27</v>
      </c>
    </row>
    <row r="21" spans="1:8">
      <c r="A21" t="s">
        <v>26</v>
      </c>
      <c r="B21" s="26">
        <f>IF(SUMIFS('NSE - NIFTY Index Options'!$L:$L,'NSE - NIFTY Index Options'!$C:$C,$A21,'NSE - NIFTY Index Options'!$B:$B,B$4)+SUMIFS('NSE - Other Index Options'!$L:$L,'NSE - Other Index Options'!$C:$C,$A21,'NSE - Other Index Options'!$B:$B,B$4)=0,"",SUMIFS('NSE - NIFTY Index Options'!$L:$L,'NSE - NIFTY Index Options'!$C:$C,$A21,'NSE - NIFTY Index Options'!$B:$B,B$4)+SUMIFS('NSE - Other Index Options'!$L:$L,'NSE - Other Index Options'!$C:$C,$A21,'NSE - Other Index Options'!$B:$B,B$4))</f>
        <v>56102.41</v>
      </c>
      <c r="C21" s="26">
        <f>IF(SUMIFS('NSE - NIFTY Index Options'!$L:$L,'NSE - NIFTY Index Options'!$C:$C,$A21,'NSE - NIFTY Index Options'!$B:$B,C$4)+SUMIFS('NSE - Other Index Options'!$L:$L,'NSE - Other Index Options'!$C:$C,$A21,'NSE - Other Index Options'!$B:$B,C$4)=0,"",SUMIFS('NSE - NIFTY Index Options'!$L:$L,'NSE - NIFTY Index Options'!$C:$C,$A21,'NSE - NIFTY Index Options'!$B:$B,C$4)+SUMIFS('NSE - Other Index Options'!$L:$L,'NSE - Other Index Options'!$C:$C,$A21,'NSE - Other Index Options'!$B:$B,C$4))</f>
        <v>77379.24000000002</v>
      </c>
      <c r="D21" s="26">
        <f>IF(SUMIFS('NSE - NIFTY Index Options'!$L:$L,'NSE - NIFTY Index Options'!$C:$C,$A21,'NSE - NIFTY Index Options'!$B:$B,D$4)+SUMIFS('NSE - Other Index Options'!$L:$L,'NSE - Other Index Options'!$C:$C,$A21,'NSE - Other Index Options'!$B:$B,D$4)=0,"",SUMIFS('NSE - NIFTY Index Options'!$L:$L,'NSE - NIFTY Index Options'!$C:$C,$A21,'NSE - NIFTY Index Options'!$B:$B,D$4)+SUMIFS('NSE - Other Index Options'!$L:$L,'NSE - Other Index Options'!$C:$C,$A21,'NSE - Other Index Options'!$B:$B,D$4))</f>
        <v>42114.559999999983</v>
      </c>
      <c r="E21" s="26">
        <f>IF(SUMIFS('NSE - NIFTY Index Options'!$L:$L,'NSE - NIFTY Index Options'!$C:$C,$A21,'NSE - NIFTY Index Options'!$B:$B,E$4)+SUMIFS('NSE - Other Index Options'!$L:$L,'NSE - Other Index Options'!$C:$C,$A21,'NSE - Other Index Options'!$B:$B,E$4)=0,"",SUMIFS('NSE - NIFTY Index Options'!$L:$L,'NSE - NIFTY Index Options'!$C:$C,$A21,'NSE - NIFTY Index Options'!$B:$B,E$4)+SUMIFS('NSE - Other Index Options'!$L:$L,'NSE - Other Index Options'!$C:$C,$A21,'NSE - Other Index Options'!$B:$B,E$4))</f>
        <v>39342.619999999995</v>
      </c>
      <c r="F21" s="26">
        <f>IF(SUMIFS('NSE - NIFTY Index Options'!$L:$L,'NSE - NIFTY Index Options'!$C:$C,$A21,'NSE - NIFTY Index Options'!$B:$B,F$4)+SUMIFS('NSE - Other Index Options'!$L:$L,'NSE - Other Index Options'!$C:$C,$A21,'NSE - Other Index Options'!$B:$B,F$4)=0,"",SUMIFS('NSE - NIFTY Index Options'!$L:$L,'NSE - NIFTY Index Options'!$C:$C,$A21,'NSE - NIFTY Index Options'!$B:$B,F$4)+SUMIFS('NSE - Other Index Options'!$L:$L,'NSE - Other Index Options'!$C:$C,$A21,'NSE - Other Index Options'!$B:$B,F$4))</f>
        <v>47867.57</v>
      </c>
      <c r="G21" s="26" t="str">
        <f>IF(SUMIFS('NSE - NIFTY Index Options'!$L:$L,'NSE - NIFTY Index Options'!$C:$C,$A21,'NSE - NIFTY Index Options'!$B:$B,G$4)+SUMIFS('NSE - Other Index Options'!$L:$L,'NSE - Other Index Options'!$C:$C,$A21,'NSE - Other Index Options'!$B:$B,G$4)=0,"",SUMIFS('NSE - NIFTY Index Options'!$L:$L,'NSE - NIFTY Index Options'!$C:$C,$A21,'NSE - NIFTY Index Options'!$B:$B,G$4)+SUMIFS('NSE - Other Index Options'!$L:$L,'NSE - Other Index Options'!$C:$C,$A21,'NSE - Other Index Options'!$B:$B,G$4))</f>
        <v/>
      </c>
      <c r="H21" s="26">
        <f t="shared" si="0"/>
        <v>262806.40000000002</v>
      </c>
    </row>
    <row r="22" spans="1:8">
      <c r="A22" t="s">
        <v>27</v>
      </c>
      <c r="B22" s="26">
        <f>IF(SUMIFS('NSE - NIFTY Index Options'!$L:$L,'NSE - NIFTY Index Options'!$C:$C,$A22,'NSE - NIFTY Index Options'!$B:$B,B$4)+SUMIFS('NSE - Other Index Options'!$L:$L,'NSE - Other Index Options'!$C:$C,$A22,'NSE - Other Index Options'!$B:$B,B$4)=0,"",SUMIFS('NSE - NIFTY Index Options'!$L:$L,'NSE - NIFTY Index Options'!$C:$C,$A22,'NSE - NIFTY Index Options'!$B:$B,B$4)+SUMIFS('NSE - Other Index Options'!$L:$L,'NSE - Other Index Options'!$C:$C,$A22,'NSE - Other Index Options'!$B:$B,B$4))</f>
        <v>48390.25</v>
      </c>
      <c r="C22" s="26">
        <f>IF(SUMIFS('NSE - NIFTY Index Options'!$L:$L,'NSE - NIFTY Index Options'!$C:$C,$A22,'NSE - NIFTY Index Options'!$B:$B,C$4)+SUMIFS('NSE - Other Index Options'!$L:$L,'NSE - Other Index Options'!$C:$C,$A22,'NSE - Other Index Options'!$B:$B,C$4)=0,"",SUMIFS('NSE - NIFTY Index Options'!$L:$L,'NSE - NIFTY Index Options'!$C:$C,$A22,'NSE - NIFTY Index Options'!$B:$B,C$4)+SUMIFS('NSE - Other Index Options'!$L:$L,'NSE - Other Index Options'!$C:$C,$A22,'NSE - Other Index Options'!$B:$B,C$4))</f>
        <v>53632.17</v>
      </c>
      <c r="D22" s="26">
        <f>IF(SUMIFS('NSE - NIFTY Index Options'!$L:$L,'NSE - NIFTY Index Options'!$C:$C,$A22,'NSE - NIFTY Index Options'!$B:$B,D$4)+SUMIFS('NSE - Other Index Options'!$L:$L,'NSE - Other Index Options'!$C:$C,$A22,'NSE - Other Index Options'!$B:$B,D$4)=0,"",SUMIFS('NSE - NIFTY Index Options'!$L:$L,'NSE - NIFTY Index Options'!$C:$C,$A22,'NSE - NIFTY Index Options'!$B:$B,D$4)+SUMIFS('NSE - Other Index Options'!$L:$L,'NSE - Other Index Options'!$C:$C,$A22,'NSE - Other Index Options'!$B:$B,D$4))</f>
        <v>31167.830000000005</v>
      </c>
      <c r="E22" s="26">
        <f>IF(SUMIFS('NSE - NIFTY Index Options'!$L:$L,'NSE - NIFTY Index Options'!$C:$C,$A22,'NSE - NIFTY Index Options'!$B:$B,E$4)+SUMIFS('NSE - Other Index Options'!$L:$L,'NSE - Other Index Options'!$C:$C,$A22,'NSE - Other Index Options'!$B:$B,E$4)=0,"",SUMIFS('NSE - NIFTY Index Options'!$L:$L,'NSE - NIFTY Index Options'!$C:$C,$A22,'NSE - NIFTY Index Options'!$B:$B,E$4)+SUMIFS('NSE - Other Index Options'!$L:$L,'NSE - Other Index Options'!$C:$C,$A22,'NSE - Other Index Options'!$B:$B,E$4))</f>
        <v>31875.61</v>
      </c>
      <c r="F22" s="26">
        <f>IF(SUMIFS('NSE - NIFTY Index Options'!$L:$L,'NSE - NIFTY Index Options'!$C:$C,$A22,'NSE - NIFTY Index Options'!$B:$B,F$4)+SUMIFS('NSE - Other Index Options'!$L:$L,'NSE - Other Index Options'!$C:$C,$A22,'NSE - Other Index Options'!$B:$B,F$4)=0,"",SUMIFS('NSE - NIFTY Index Options'!$L:$L,'NSE - NIFTY Index Options'!$C:$C,$A22,'NSE - NIFTY Index Options'!$B:$B,F$4)+SUMIFS('NSE - Other Index Options'!$L:$L,'NSE - Other Index Options'!$C:$C,$A22,'NSE - Other Index Options'!$B:$B,F$4))</f>
        <v>39735.390000000007</v>
      </c>
      <c r="G22" s="26" t="str">
        <f>IF(SUMIFS('NSE - NIFTY Index Options'!$L:$L,'NSE - NIFTY Index Options'!$C:$C,$A22,'NSE - NIFTY Index Options'!$B:$B,G$4)+SUMIFS('NSE - Other Index Options'!$L:$L,'NSE - Other Index Options'!$C:$C,$A22,'NSE - Other Index Options'!$B:$B,G$4)=0,"",SUMIFS('NSE - NIFTY Index Options'!$L:$L,'NSE - NIFTY Index Options'!$C:$C,$A22,'NSE - NIFTY Index Options'!$B:$B,G$4)+SUMIFS('NSE - Other Index Options'!$L:$L,'NSE - Other Index Options'!$C:$C,$A22,'NSE - Other Index Options'!$B:$B,G$4))</f>
        <v/>
      </c>
      <c r="H22" s="26">
        <f t="shared" si="0"/>
        <v>204801.25</v>
      </c>
    </row>
    <row r="23" spans="1:8">
      <c r="A23" t="s">
        <v>28</v>
      </c>
      <c r="B23" s="26">
        <f>IF(SUMIFS('NSE - NIFTY Index Options'!$L:$L,'NSE - NIFTY Index Options'!$C:$C,$A23,'NSE - NIFTY Index Options'!$B:$B,B$4)+SUMIFS('NSE - Other Index Options'!$L:$L,'NSE - Other Index Options'!$C:$C,$A23,'NSE - Other Index Options'!$B:$B,B$4)=0,"",SUMIFS('NSE - NIFTY Index Options'!$L:$L,'NSE - NIFTY Index Options'!$C:$C,$A23,'NSE - NIFTY Index Options'!$B:$B,B$4)+SUMIFS('NSE - Other Index Options'!$L:$L,'NSE - Other Index Options'!$C:$C,$A23,'NSE - Other Index Options'!$B:$B,B$4))</f>
        <v>29849.960000000003</v>
      </c>
      <c r="C23" s="26">
        <f>IF(SUMIFS('NSE - NIFTY Index Options'!$L:$L,'NSE - NIFTY Index Options'!$C:$C,$A23,'NSE - NIFTY Index Options'!$B:$B,C$4)+SUMIFS('NSE - Other Index Options'!$L:$L,'NSE - Other Index Options'!$C:$C,$A23,'NSE - Other Index Options'!$B:$B,C$4)=0,"",SUMIFS('NSE - NIFTY Index Options'!$L:$L,'NSE - NIFTY Index Options'!$C:$C,$A23,'NSE - NIFTY Index Options'!$B:$B,C$4)+SUMIFS('NSE - Other Index Options'!$L:$L,'NSE - Other Index Options'!$C:$C,$A23,'NSE - Other Index Options'!$B:$B,C$4))</f>
        <v>45868.990000000005</v>
      </c>
      <c r="D23" s="26">
        <f>IF(SUMIFS('NSE - NIFTY Index Options'!$L:$L,'NSE - NIFTY Index Options'!$C:$C,$A23,'NSE - NIFTY Index Options'!$B:$B,D$4)+SUMIFS('NSE - Other Index Options'!$L:$L,'NSE - Other Index Options'!$C:$C,$A23,'NSE - Other Index Options'!$B:$B,D$4)=0,"",SUMIFS('NSE - NIFTY Index Options'!$L:$L,'NSE - NIFTY Index Options'!$C:$C,$A23,'NSE - NIFTY Index Options'!$B:$B,D$4)+SUMIFS('NSE - Other Index Options'!$L:$L,'NSE - Other Index Options'!$C:$C,$A23,'NSE - Other Index Options'!$B:$B,D$4))</f>
        <v>23258.280000000002</v>
      </c>
      <c r="E23" s="26" t="str">
        <f>IF(SUMIFS('NSE - NIFTY Index Options'!$L:$L,'NSE - NIFTY Index Options'!$C:$C,$A23,'NSE - NIFTY Index Options'!$B:$B,E$4)+SUMIFS('NSE - Other Index Options'!$L:$L,'NSE - Other Index Options'!$C:$C,$A23,'NSE - Other Index Options'!$B:$B,E$4)=0,"",SUMIFS('NSE - NIFTY Index Options'!$L:$L,'NSE - NIFTY Index Options'!$C:$C,$A23,'NSE - NIFTY Index Options'!$B:$B,E$4)+SUMIFS('NSE - Other Index Options'!$L:$L,'NSE - Other Index Options'!$C:$C,$A23,'NSE - Other Index Options'!$B:$B,E$4))</f>
        <v/>
      </c>
      <c r="F23" s="26">
        <f>IF(SUMIFS('NSE - NIFTY Index Options'!$L:$L,'NSE - NIFTY Index Options'!$C:$C,$A23,'NSE - NIFTY Index Options'!$B:$B,F$4)+SUMIFS('NSE - Other Index Options'!$L:$L,'NSE - Other Index Options'!$C:$C,$A23,'NSE - Other Index Options'!$B:$B,F$4)=0,"",SUMIFS('NSE - NIFTY Index Options'!$L:$L,'NSE - NIFTY Index Options'!$C:$C,$A23,'NSE - NIFTY Index Options'!$B:$B,F$4)+SUMIFS('NSE - Other Index Options'!$L:$L,'NSE - Other Index Options'!$C:$C,$A23,'NSE - Other Index Options'!$B:$B,F$4))</f>
        <v>28262.939999999995</v>
      </c>
      <c r="G23" s="26" t="str">
        <f>IF(SUMIFS('NSE - NIFTY Index Options'!$L:$L,'NSE - NIFTY Index Options'!$C:$C,$A23,'NSE - NIFTY Index Options'!$B:$B,G$4)+SUMIFS('NSE - Other Index Options'!$L:$L,'NSE - Other Index Options'!$C:$C,$A23,'NSE - Other Index Options'!$B:$B,G$4)=0,"",SUMIFS('NSE - NIFTY Index Options'!$L:$L,'NSE - NIFTY Index Options'!$C:$C,$A23,'NSE - NIFTY Index Options'!$B:$B,G$4)+SUMIFS('NSE - Other Index Options'!$L:$L,'NSE - Other Index Options'!$C:$C,$A23,'NSE - Other Index Options'!$B:$B,G$4))</f>
        <v/>
      </c>
      <c r="H23" s="26">
        <f t="shared" si="0"/>
        <v>127240.17000000001</v>
      </c>
    </row>
    <row r="24" spans="1:8">
      <c r="A24" t="s">
        <v>29</v>
      </c>
      <c r="B24" s="26">
        <f>IF(SUMIFS('NSE - NIFTY Index Options'!$L:$L,'NSE - NIFTY Index Options'!$C:$C,$A24,'NSE - NIFTY Index Options'!$B:$B,B$4)+SUMIFS('NSE - Other Index Options'!$L:$L,'NSE - Other Index Options'!$C:$C,$A24,'NSE - Other Index Options'!$B:$B,B$4)=0,"",SUMIFS('NSE - NIFTY Index Options'!$L:$L,'NSE - NIFTY Index Options'!$C:$C,$A24,'NSE - NIFTY Index Options'!$B:$B,B$4)+SUMIFS('NSE - Other Index Options'!$L:$L,'NSE - Other Index Options'!$C:$C,$A24,'NSE - Other Index Options'!$B:$B,B$4))</f>
        <v>37681.46</v>
      </c>
      <c r="C24" s="26">
        <f>IF(SUMIFS('NSE - NIFTY Index Options'!$L:$L,'NSE - NIFTY Index Options'!$C:$C,$A24,'NSE - NIFTY Index Options'!$B:$B,C$4)+SUMIFS('NSE - Other Index Options'!$L:$L,'NSE - Other Index Options'!$C:$C,$A24,'NSE - Other Index Options'!$B:$B,C$4)=0,"",SUMIFS('NSE - NIFTY Index Options'!$L:$L,'NSE - NIFTY Index Options'!$C:$C,$A24,'NSE - NIFTY Index Options'!$B:$B,C$4)+SUMIFS('NSE - Other Index Options'!$L:$L,'NSE - Other Index Options'!$C:$C,$A24,'NSE - Other Index Options'!$B:$B,C$4))</f>
        <v>58308.82</v>
      </c>
      <c r="D24" s="26">
        <f>IF(SUMIFS('NSE - NIFTY Index Options'!$L:$L,'NSE - NIFTY Index Options'!$C:$C,$A24,'NSE - NIFTY Index Options'!$B:$B,D$4)+SUMIFS('NSE - Other Index Options'!$L:$L,'NSE - Other Index Options'!$C:$C,$A24,'NSE - Other Index Options'!$B:$B,D$4)=0,"",SUMIFS('NSE - NIFTY Index Options'!$L:$L,'NSE - NIFTY Index Options'!$C:$C,$A24,'NSE - NIFTY Index Options'!$B:$B,D$4)+SUMIFS('NSE - Other Index Options'!$L:$L,'NSE - Other Index Options'!$C:$C,$A24,'NSE - Other Index Options'!$B:$B,D$4))</f>
        <v>28904.589999999997</v>
      </c>
      <c r="E24" s="26" t="str">
        <f>IF(SUMIFS('NSE - NIFTY Index Options'!$L:$L,'NSE - NIFTY Index Options'!$C:$C,$A24,'NSE - NIFTY Index Options'!$B:$B,E$4)+SUMIFS('NSE - Other Index Options'!$L:$L,'NSE - Other Index Options'!$C:$C,$A24,'NSE - Other Index Options'!$B:$B,E$4)=0,"",SUMIFS('NSE - NIFTY Index Options'!$L:$L,'NSE - NIFTY Index Options'!$C:$C,$A24,'NSE - NIFTY Index Options'!$B:$B,E$4)+SUMIFS('NSE - Other Index Options'!$L:$L,'NSE - Other Index Options'!$C:$C,$A24,'NSE - Other Index Options'!$B:$B,E$4))</f>
        <v/>
      </c>
      <c r="F24" s="26" t="str">
        <f>IF(SUMIFS('NSE - NIFTY Index Options'!$L:$L,'NSE - NIFTY Index Options'!$C:$C,$A24,'NSE - NIFTY Index Options'!$B:$B,F$4)+SUMIFS('NSE - Other Index Options'!$L:$L,'NSE - Other Index Options'!$C:$C,$A24,'NSE - Other Index Options'!$B:$B,F$4)=0,"",SUMIFS('NSE - NIFTY Index Options'!$L:$L,'NSE - NIFTY Index Options'!$C:$C,$A24,'NSE - NIFTY Index Options'!$B:$B,F$4)+SUMIFS('NSE - Other Index Options'!$L:$L,'NSE - Other Index Options'!$C:$C,$A24,'NSE - Other Index Options'!$B:$B,F$4))</f>
        <v/>
      </c>
      <c r="G24" s="26" t="str">
        <f>IF(SUMIFS('NSE - NIFTY Index Options'!$L:$L,'NSE - NIFTY Index Options'!$C:$C,$A24,'NSE - NIFTY Index Options'!$B:$B,G$4)+SUMIFS('NSE - Other Index Options'!$L:$L,'NSE - Other Index Options'!$C:$C,$A24,'NSE - Other Index Options'!$B:$B,G$4)=0,"",SUMIFS('NSE - NIFTY Index Options'!$L:$L,'NSE - NIFTY Index Options'!$C:$C,$A24,'NSE - NIFTY Index Options'!$B:$B,G$4)+SUMIFS('NSE - Other Index Options'!$L:$L,'NSE - Other Index Options'!$C:$C,$A24,'NSE - Other Index Options'!$B:$B,G$4))</f>
        <v/>
      </c>
      <c r="H24" s="26">
        <f t="shared" si="0"/>
        <v>124894.87</v>
      </c>
    </row>
    <row r="25" spans="1:8">
      <c r="A25" t="s">
        <v>30</v>
      </c>
      <c r="B25" s="26">
        <f>IF(SUMIFS('NSE - NIFTY Index Options'!$L:$L,'NSE - NIFTY Index Options'!$C:$C,$A25,'NSE - NIFTY Index Options'!$B:$B,B$4)+SUMIFS('NSE - Other Index Options'!$L:$L,'NSE - Other Index Options'!$C:$C,$A25,'NSE - Other Index Options'!$B:$B,B$4)=0,"",SUMIFS('NSE - NIFTY Index Options'!$L:$L,'NSE - NIFTY Index Options'!$C:$C,$A25,'NSE - NIFTY Index Options'!$B:$B,B$4)+SUMIFS('NSE - Other Index Options'!$L:$L,'NSE - Other Index Options'!$C:$C,$A25,'NSE - Other Index Options'!$B:$B,B$4))</f>
        <v>48890.400000000001</v>
      </c>
      <c r="C25" s="26">
        <f>IF(SUMIFS('NSE - NIFTY Index Options'!$L:$L,'NSE - NIFTY Index Options'!$C:$C,$A25,'NSE - NIFTY Index Options'!$B:$B,C$4)+SUMIFS('NSE - Other Index Options'!$L:$L,'NSE - Other Index Options'!$C:$C,$A25,'NSE - Other Index Options'!$B:$B,C$4)=0,"",SUMIFS('NSE - NIFTY Index Options'!$L:$L,'NSE - NIFTY Index Options'!$C:$C,$A25,'NSE - NIFTY Index Options'!$B:$B,C$4)+SUMIFS('NSE - Other Index Options'!$L:$L,'NSE - Other Index Options'!$C:$C,$A25,'NSE - Other Index Options'!$B:$B,C$4))</f>
        <v>54904.369999999988</v>
      </c>
      <c r="D25" s="26">
        <f>IF(SUMIFS('NSE - NIFTY Index Options'!$L:$L,'NSE - NIFTY Index Options'!$C:$C,$A25,'NSE - NIFTY Index Options'!$B:$B,D$4)+SUMIFS('NSE - Other Index Options'!$L:$L,'NSE - Other Index Options'!$C:$C,$A25,'NSE - Other Index Options'!$B:$B,D$4)=0,"",SUMIFS('NSE - NIFTY Index Options'!$L:$L,'NSE - NIFTY Index Options'!$C:$C,$A25,'NSE - NIFTY Index Options'!$B:$B,D$4)+SUMIFS('NSE - Other Index Options'!$L:$L,'NSE - Other Index Options'!$C:$C,$A25,'NSE - Other Index Options'!$B:$B,D$4))</f>
        <v>32128.45</v>
      </c>
      <c r="E25" s="26">
        <f>IF(SUMIFS('NSE - NIFTY Index Options'!$L:$L,'NSE - NIFTY Index Options'!$C:$C,$A25,'NSE - NIFTY Index Options'!$B:$B,E$4)+SUMIFS('NSE - Other Index Options'!$L:$L,'NSE - Other Index Options'!$C:$C,$A25,'NSE - Other Index Options'!$B:$B,E$4)=0,"",SUMIFS('NSE - NIFTY Index Options'!$L:$L,'NSE - NIFTY Index Options'!$C:$C,$A25,'NSE - NIFTY Index Options'!$B:$B,E$4)+SUMIFS('NSE - Other Index Options'!$L:$L,'NSE - Other Index Options'!$C:$C,$A25,'NSE - Other Index Options'!$B:$B,E$4))</f>
        <v>19746.32</v>
      </c>
      <c r="F25" s="26">
        <f>IF(SUMIFS('NSE - NIFTY Index Options'!$L:$L,'NSE - NIFTY Index Options'!$C:$C,$A25,'NSE - NIFTY Index Options'!$B:$B,F$4)+SUMIFS('NSE - Other Index Options'!$L:$L,'NSE - Other Index Options'!$C:$C,$A25,'NSE - Other Index Options'!$B:$B,F$4)=0,"",SUMIFS('NSE - NIFTY Index Options'!$L:$L,'NSE - NIFTY Index Options'!$C:$C,$A25,'NSE - NIFTY Index Options'!$B:$B,F$4)+SUMIFS('NSE - Other Index Options'!$L:$L,'NSE - Other Index Options'!$C:$C,$A25,'NSE - Other Index Options'!$B:$B,F$4))</f>
        <v>31785.999999999993</v>
      </c>
      <c r="G25" s="26" t="str">
        <f>IF(SUMIFS('NSE - NIFTY Index Options'!$L:$L,'NSE - NIFTY Index Options'!$C:$C,$A25,'NSE - NIFTY Index Options'!$B:$B,G$4)+SUMIFS('NSE - Other Index Options'!$L:$L,'NSE - Other Index Options'!$C:$C,$A25,'NSE - Other Index Options'!$B:$B,G$4)=0,"",SUMIFS('NSE - NIFTY Index Options'!$L:$L,'NSE - NIFTY Index Options'!$C:$C,$A25,'NSE - NIFTY Index Options'!$B:$B,G$4)+SUMIFS('NSE - Other Index Options'!$L:$L,'NSE - Other Index Options'!$C:$C,$A25,'NSE - Other Index Options'!$B:$B,G$4))</f>
        <v/>
      </c>
      <c r="H25" s="26">
        <f t="shared" si="0"/>
        <v>187455.54</v>
      </c>
    </row>
    <row r="26" spans="1:8">
      <c r="A26" t="s">
        <v>31</v>
      </c>
      <c r="B26" s="26">
        <f>IF(SUMIFS('NSE - NIFTY Index Options'!$L:$L,'NSE - NIFTY Index Options'!$C:$C,$A26,'NSE - NIFTY Index Options'!$B:$B,B$4)+SUMIFS('NSE - Other Index Options'!$L:$L,'NSE - Other Index Options'!$C:$C,$A26,'NSE - Other Index Options'!$B:$B,B$4)=0,"",SUMIFS('NSE - NIFTY Index Options'!$L:$L,'NSE - NIFTY Index Options'!$C:$C,$A26,'NSE - NIFTY Index Options'!$B:$B,B$4)+SUMIFS('NSE - Other Index Options'!$L:$L,'NSE - Other Index Options'!$C:$C,$A26,'NSE - Other Index Options'!$B:$B,B$4))</f>
        <v>77350.010000000009</v>
      </c>
      <c r="C26" s="26">
        <f>IF(SUMIFS('NSE - NIFTY Index Options'!$L:$L,'NSE - NIFTY Index Options'!$C:$C,$A26,'NSE - NIFTY Index Options'!$B:$B,C$4)+SUMIFS('NSE - Other Index Options'!$L:$L,'NSE - Other Index Options'!$C:$C,$A26,'NSE - Other Index Options'!$B:$B,C$4)=0,"",SUMIFS('NSE - NIFTY Index Options'!$L:$L,'NSE - NIFTY Index Options'!$C:$C,$A26,'NSE - NIFTY Index Options'!$B:$B,C$4)+SUMIFS('NSE - Other Index Options'!$L:$L,'NSE - Other Index Options'!$C:$C,$A26,'NSE - Other Index Options'!$B:$B,C$4))</f>
        <v>85854.060000000012</v>
      </c>
      <c r="D26" s="26">
        <f>IF(SUMIFS('NSE - NIFTY Index Options'!$L:$L,'NSE - NIFTY Index Options'!$C:$C,$A26,'NSE - NIFTY Index Options'!$B:$B,D$4)+SUMIFS('NSE - Other Index Options'!$L:$L,'NSE - Other Index Options'!$C:$C,$A26,'NSE - Other Index Options'!$B:$B,D$4)=0,"",SUMIFS('NSE - NIFTY Index Options'!$L:$L,'NSE - NIFTY Index Options'!$C:$C,$A26,'NSE - NIFTY Index Options'!$B:$B,D$4)+SUMIFS('NSE - Other Index Options'!$L:$L,'NSE - Other Index Options'!$C:$C,$A26,'NSE - Other Index Options'!$B:$B,D$4))</f>
        <v>38604.160000000011</v>
      </c>
      <c r="E26" s="26">
        <f>IF(SUMIFS('NSE - NIFTY Index Options'!$L:$L,'NSE - NIFTY Index Options'!$C:$C,$A26,'NSE - NIFTY Index Options'!$B:$B,E$4)+SUMIFS('NSE - Other Index Options'!$L:$L,'NSE - Other Index Options'!$C:$C,$A26,'NSE - Other Index Options'!$B:$B,E$4)=0,"",SUMIFS('NSE - NIFTY Index Options'!$L:$L,'NSE - NIFTY Index Options'!$C:$C,$A26,'NSE - NIFTY Index Options'!$B:$B,E$4)+SUMIFS('NSE - Other Index Options'!$L:$L,'NSE - Other Index Options'!$C:$C,$A26,'NSE - Other Index Options'!$B:$B,E$4))</f>
        <v>33760.080000000002</v>
      </c>
      <c r="F26" s="26">
        <f>IF(SUMIFS('NSE - NIFTY Index Options'!$L:$L,'NSE - NIFTY Index Options'!$C:$C,$A26,'NSE - NIFTY Index Options'!$B:$B,F$4)+SUMIFS('NSE - Other Index Options'!$L:$L,'NSE - Other Index Options'!$C:$C,$A26,'NSE - Other Index Options'!$B:$B,F$4)=0,"",SUMIFS('NSE - NIFTY Index Options'!$L:$L,'NSE - NIFTY Index Options'!$C:$C,$A26,'NSE - NIFTY Index Options'!$B:$B,F$4)+SUMIFS('NSE - Other Index Options'!$L:$L,'NSE - Other Index Options'!$C:$C,$A26,'NSE - Other Index Options'!$B:$B,F$4))</f>
        <v>58341.069999999992</v>
      </c>
      <c r="G26" s="26" t="str">
        <f>IF(SUMIFS('NSE - NIFTY Index Options'!$L:$L,'NSE - NIFTY Index Options'!$C:$C,$A26,'NSE - NIFTY Index Options'!$B:$B,G$4)+SUMIFS('NSE - Other Index Options'!$L:$L,'NSE - Other Index Options'!$C:$C,$A26,'NSE - Other Index Options'!$B:$B,G$4)=0,"",SUMIFS('NSE - NIFTY Index Options'!$L:$L,'NSE - NIFTY Index Options'!$C:$C,$A26,'NSE - NIFTY Index Options'!$B:$B,G$4)+SUMIFS('NSE - Other Index Options'!$L:$L,'NSE - Other Index Options'!$C:$C,$A26,'NSE - Other Index Options'!$B:$B,G$4))</f>
        <v/>
      </c>
      <c r="H26" s="26">
        <f t="shared" si="0"/>
        <v>293909.38</v>
      </c>
    </row>
    <row r="27" spans="1:8">
      <c r="A27" t="s">
        <v>32</v>
      </c>
      <c r="B27" s="26">
        <f>IF(SUMIFS('NSE - NIFTY Index Options'!$L:$L,'NSE - NIFTY Index Options'!$C:$C,$A27,'NSE - NIFTY Index Options'!$B:$B,B$4)+SUMIFS('NSE - Other Index Options'!$L:$L,'NSE - Other Index Options'!$C:$C,$A27,'NSE - Other Index Options'!$B:$B,B$4)=0,"",SUMIFS('NSE - NIFTY Index Options'!$L:$L,'NSE - NIFTY Index Options'!$C:$C,$A27,'NSE - NIFTY Index Options'!$B:$B,B$4)+SUMIFS('NSE - Other Index Options'!$L:$L,'NSE - Other Index Options'!$C:$C,$A27,'NSE - Other Index Options'!$B:$B,B$4))</f>
        <v>62463.18</v>
      </c>
      <c r="C27" s="26">
        <f>IF(SUMIFS('NSE - NIFTY Index Options'!$L:$L,'NSE - NIFTY Index Options'!$C:$C,$A27,'NSE - NIFTY Index Options'!$B:$B,C$4)+SUMIFS('NSE - Other Index Options'!$L:$L,'NSE - Other Index Options'!$C:$C,$A27,'NSE - Other Index Options'!$B:$B,C$4)=0,"",SUMIFS('NSE - NIFTY Index Options'!$L:$L,'NSE - NIFTY Index Options'!$C:$C,$A27,'NSE - NIFTY Index Options'!$B:$B,C$4)+SUMIFS('NSE - Other Index Options'!$L:$L,'NSE - Other Index Options'!$C:$C,$A27,'NSE - Other Index Options'!$B:$B,C$4))</f>
        <v>74390.62</v>
      </c>
      <c r="D27" s="26">
        <f>IF(SUMIFS('NSE - NIFTY Index Options'!$L:$L,'NSE - NIFTY Index Options'!$C:$C,$A27,'NSE - NIFTY Index Options'!$B:$B,D$4)+SUMIFS('NSE - Other Index Options'!$L:$L,'NSE - Other Index Options'!$C:$C,$A27,'NSE - Other Index Options'!$B:$B,D$4)=0,"",SUMIFS('NSE - NIFTY Index Options'!$L:$L,'NSE - NIFTY Index Options'!$C:$C,$A27,'NSE - NIFTY Index Options'!$B:$B,D$4)+SUMIFS('NSE - Other Index Options'!$L:$L,'NSE - Other Index Options'!$C:$C,$A27,'NSE - Other Index Options'!$B:$B,D$4))</f>
        <v>73459.819999999978</v>
      </c>
      <c r="E27" s="26" t="str">
        <f>IF(SUMIFS('NSE - NIFTY Index Options'!$L:$L,'NSE - NIFTY Index Options'!$C:$C,$A27,'NSE - NIFTY Index Options'!$B:$B,E$4)+SUMIFS('NSE - Other Index Options'!$L:$L,'NSE - Other Index Options'!$C:$C,$A27,'NSE - Other Index Options'!$B:$B,E$4)=0,"",SUMIFS('NSE - NIFTY Index Options'!$L:$L,'NSE - NIFTY Index Options'!$C:$C,$A27,'NSE - NIFTY Index Options'!$B:$B,E$4)+SUMIFS('NSE - Other Index Options'!$L:$L,'NSE - Other Index Options'!$C:$C,$A27,'NSE - Other Index Options'!$B:$B,E$4))</f>
        <v/>
      </c>
      <c r="F27" s="26">
        <f>IF(SUMIFS('NSE - NIFTY Index Options'!$L:$L,'NSE - NIFTY Index Options'!$C:$C,$A27,'NSE - NIFTY Index Options'!$B:$B,F$4)+SUMIFS('NSE - Other Index Options'!$L:$L,'NSE - Other Index Options'!$C:$C,$A27,'NSE - Other Index Options'!$B:$B,F$4)=0,"",SUMIFS('NSE - NIFTY Index Options'!$L:$L,'NSE - NIFTY Index Options'!$C:$C,$A27,'NSE - NIFTY Index Options'!$B:$B,F$4)+SUMIFS('NSE - Other Index Options'!$L:$L,'NSE - Other Index Options'!$C:$C,$A27,'NSE - Other Index Options'!$B:$B,F$4))</f>
        <v>65305.74</v>
      </c>
      <c r="G27" s="26" t="str">
        <f>IF(SUMIFS('NSE - NIFTY Index Options'!$L:$L,'NSE - NIFTY Index Options'!$C:$C,$A27,'NSE - NIFTY Index Options'!$B:$B,G$4)+SUMIFS('NSE - Other Index Options'!$L:$L,'NSE - Other Index Options'!$C:$C,$A27,'NSE - Other Index Options'!$B:$B,G$4)=0,"",SUMIFS('NSE - NIFTY Index Options'!$L:$L,'NSE - NIFTY Index Options'!$C:$C,$A27,'NSE - NIFTY Index Options'!$B:$B,G$4)+SUMIFS('NSE - Other Index Options'!$L:$L,'NSE - Other Index Options'!$C:$C,$A27,'NSE - Other Index Options'!$B:$B,G$4))</f>
        <v/>
      </c>
      <c r="H27" s="26">
        <f t="shared" si="0"/>
        <v>275619.36</v>
      </c>
    </row>
    <row r="28" spans="1:8">
      <c r="A28" t="s">
        <v>33</v>
      </c>
      <c r="B28" s="26" t="str">
        <f>IF(SUMIFS('NSE - NIFTY Index Options'!$L:$L,'NSE - NIFTY Index Options'!$C:$C,$A28,'NSE - NIFTY Index Options'!$B:$B,B$4)+SUMIFS('NSE - Other Index Options'!$L:$L,'NSE - Other Index Options'!$C:$C,$A28,'NSE - Other Index Options'!$B:$B,B$4)=0,"",SUMIFS('NSE - NIFTY Index Options'!$L:$L,'NSE - NIFTY Index Options'!$C:$C,$A28,'NSE - NIFTY Index Options'!$B:$B,B$4)+SUMIFS('NSE - Other Index Options'!$L:$L,'NSE - Other Index Options'!$C:$C,$A28,'NSE - Other Index Options'!$B:$B,B$4))</f>
        <v/>
      </c>
      <c r="C28" s="26">
        <f>IF(SUMIFS('NSE - NIFTY Index Options'!$L:$L,'NSE - NIFTY Index Options'!$C:$C,$A28,'NSE - NIFTY Index Options'!$B:$B,C$4)+SUMIFS('NSE - Other Index Options'!$L:$L,'NSE - Other Index Options'!$C:$C,$A28,'NSE - Other Index Options'!$B:$B,C$4)=0,"",SUMIFS('NSE - NIFTY Index Options'!$L:$L,'NSE - NIFTY Index Options'!$C:$C,$A28,'NSE - NIFTY Index Options'!$B:$B,C$4)+SUMIFS('NSE - Other Index Options'!$L:$L,'NSE - Other Index Options'!$C:$C,$A28,'NSE - Other Index Options'!$B:$B,C$4))</f>
        <v>110660.62000000001</v>
      </c>
      <c r="D28" s="26">
        <f>IF(SUMIFS('NSE - NIFTY Index Options'!$L:$L,'NSE - NIFTY Index Options'!$C:$C,$A28,'NSE - NIFTY Index Options'!$B:$B,D$4)+SUMIFS('NSE - Other Index Options'!$L:$L,'NSE - Other Index Options'!$C:$C,$A28,'NSE - Other Index Options'!$B:$B,D$4)=0,"",SUMIFS('NSE - NIFTY Index Options'!$L:$L,'NSE - NIFTY Index Options'!$C:$C,$A28,'NSE - NIFTY Index Options'!$B:$B,D$4)+SUMIFS('NSE - Other Index Options'!$L:$L,'NSE - Other Index Options'!$C:$C,$A28,'NSE - Other Index Options'!$B:$B,D$4))</f>
        <v>46603.609999999986</v>
      </c>
      <c r="E28" s="26">
        <f>IF(SUMIFS('NSE - NIFTY Index Options'!$L:$L,'NSE - NIFTY Index Options'!$C:$C,$A28,'NSE - NIFTY Index Options'!$B:$B,E$4)+SUMIFS('NSE - Other Index Options'!$L:$L,'NSE - Other Index Options'!$C:$C,$A28,'NSE - Other Index Options'!$B:$B,E$4)=0,"",SUMIFS('NSE - NIFTY Index Options'!$L:$L,'NSE - NIFTY Index Options'!$C:$C,$A28,'NSE - NIFTY Index Options'!$B:$B,E$4)+SUMIFS('NSE - Other Index Options'!$L:$L,'NSE - Other Index Options'!$C:$C,$A28,'NSE - Other Index Options'!$B:$B,E$4))</f>
        <v>55061.89</v>
      </c>
      <c r="F28" s="26">
        <f>IF(SUMIFS('NSE - NIFTY Index Options'!$L:$L,'NSE - NIFTY Index Options'!$C:$C,$A28,'NSE - NIFTY Index Options'!$B:$B,F$4)+SUMIFS('NSE - Other Index Options'!$L:$L,'NSE - Other Index Options'!$C:$C,$A28,'NSE - Other Index Options'!$B:$B,F$4)=0,"",SUMIFS('NSE - NIFTY Index Options'!$L:$L,'NSE - NIFTY Index Options'!$C:$C,$A28,'NSE - NIFTY Index Options'!$B:$B,F$4)+SUMIFS('NSE - Other Index Options'!$L:$L,'NSE - Other Index Options'!$C:$C,$A28,'NSE - Other Index Options'!$B:$B,F$4))</f>
        <v>78736.3</v>
      </c>
      <c r="G28" s="26" t="str">
        <f>IF(SUMIFS('NSE - NIFTY Index Options'!$L:$L,'NSE - NIFTY Index Options'!$C:$C,$A28,'NSE - NIFTY Index Options'!$B:$B,G$4)+SUMIFS('NSE - Other Index Options'!$L:$L,'NSE - Other Index Options'!$C:$C,$A28,'NSE - Other Index Options'!$B:$B,G$4)=0,"",SUMIFS('NSE - NIFTY Index Options'!$L:$L,'NSE - NIFTY Index Options'!$C:$C,$A28,'NSE - NIFTY Index Options'!$B:$B,G$4)+SUMIFS('NSE - Other Index Options'!$L:$L,'NSE - Other Index Options'!$C:$C,$A28,'NSE - Other Index Options'!$B:$B,G$4))</f>
        <v/>
      </c>
      <c r="H28" s="26">
        <f t="shared" si="0"/>
        <v>291062.42</v>
      </c>
    </row>
    <row r="29" spans="1:8">
      <c r="A29" t="s">
        <v>34</v>
      </c>
      <c r="B29" s="26" t="str">
        <f>IF(SUMIFS('NSE - NIFTY Index Options'!$L:$L,'NSE - NIFTY Index Options'!$C:$C,$A29,'NSE - NIFTY Index Options'!$B:$B,B$4)+SUMIFS('NSE - Other Index Options'!$L:$L,'NSE - Other Index Options'!$C:$C,$A29,'NSE - Other Index Options'!$B:$B,B$4)=0,"",SUMIFS('NSE - NIFTY Index Options'!$L:$L,'NSE - NIFTY Index Options'!$C:$C,$A29,'NSE - NIFTY Index Options'!$B:$B,B$4)+SUMIFS('NSE - Other Index Options'!$L:$L,'NSE - Other Index Options'!$C:$C,$A29,'NSE - Other Index Options'!$B:$B,B$4))</f>
        <v/>
      </c>
      <c r="C29" s="26" t="str">
        <f>IF(SUMIFS('NSE - NIFTY Index Options'!$L:$L,'NSE - NIFTY Index Options'!$C:$C,$A29,'NSE - NIFTY Index Options'!$B:$B,C$4)+SUMIFS('NSE - Other Index Options'!$L:$L,'NSE - Other Index Options'!$C:$C,$A29,'NSE - Other Index Options'!$B:$B,C$4)=0,"",SUMIFS('NSE - NIFTY Index Options'!$L:$L,'NSE - NIFTY Index Options'!$C:$C,$A29,'NSE - NIFTY Index Options'!$B:$B,C$4)+SUMIFS('NSE - Other Index Options'!$L:$L,'NSE - Other Index Options'!$C:$C,$A29,'NSE - Other Index Options'!$B:$B,C$4))</f>
        <v/>
      </c>
      <c r="D29" s="26" t="str">
        <f>IF(SUMIFS('NSE - NIFTY Index Options'!$L:$L,'NSE - NIFTY Index Options'!$C:$C,$A29,'NSE - NIFTY Index Options'!$B:$B,D$4)+SUMIFS('NSE - Other Index Options'!$L:$L,'NSE - Other Index Options'!$C:$C,$A29,'NSE - Other Index Options'!$B:$B,D$4)=0,"",SUMIFS('NSE - NIFTY Index Options'!$L:$L,'NSE - NIFTY Index Options'!$C:$C,$A29,'NSE - NIFTY Index Options'!$B:$B,D$4)+SUMIFS('NSE - Other Index Options'!$L:$L,'NSE - Other Index Options'!$C:$C,$A29,'NSE - Other Index Options'!$B:$B,D$4))</f>
        <v/>
      </c>
      <c r="E29" s="26">
        <f>IF(SUMIFS('NSE - NIFTY Index Options'!$L:$L,'NSE - NIFTY Index Options'!$C:$C,$A29,'NSE - NIFTY Index Options'!$B:$B,E$4)+SUMIFS('NSE - Other Index Options'!$L:$L,'NSE - Other Index Options'!$C:$C,$A29,'NSE - Other Index Options'!$B:$B,E$4)=0,"",SUMIFS('NSE - NIFTY Index Options'!$L:$L,'NSE - NIFTY Index Options'!$C:$C,$A29,'NSE - NIFTY Index Options'!$B:$B,E$4)+SUMIFS('NSE - Other Index Options'!$L:$L,'NSE - Other Index Options'!$C:$C,$A29,'NSE - Other Index Options'!$B:$B,E$4))</f>
        <v>40028.439999999995</v>
      </c>
      <c r="F29" s="26">
        <f>IF(SUMIFS('NSE - NIFTY Index Options'!$L:$L,'NSE - NIFTY Index Options'!$C:$C,$A29,'NSE - NIFTY Index Options'!$B:$B,F$4)+SUMIFS('NSE - Other Index Options'!$L:$L,'NSE - Other Index Options'!$C:$C,$A29,'NSE - Other Index Options'!$B:$B,F$4)=0,"",SUMIFS('NSE - NIFTY Index Options'!$L:$L,'NSE - NIFTY Index Options'!$C:$C,$A29,'NSE - NIFTY Index Options'!$B:$B,F$4)+SUMIFS('NSE - Other Index Options'!$L:$L,'NSE - Other Index Options'!$C:$C,$A29,'NSE - Other Index Options'!$B:$B,F$4))</f>
        <v>65078.849999999991</v>
      </c>
      <c r="G29" s="26" t="str">
        <f>IF(SUMIFS('NSE - NIFTY Index Options'!$L:$L,'NSE - NIFTY Index Options'!$C:$C,$A29,'NSE - NIFTY Index Options'!$B:$B,G$4)+SUMIFS('NSE - Other Index Options'!$L:$L,'NSE - Other Index Options'!$C:$C,$A29,'NSE - Other Index Options'!$B:$B,G$4)=0,"",SUMIFS('NSE - NIFTY Index Options'!$L:$L,'NSE - NIFTY Index Options'!$C:$C,$A29,'NSE - NIFTY Index Options'!$B:$B,G$4)+SUMIFS('NSE - Other Index Options'!$L:$L,'NSE - Other Index Options'!$C:$C,$A29,'NSE - Other Index Options'!$B:$B,G$4))</f>
        <v/>
      </c>
      <c r="H29" s="26">
        <f t="shared" si="0"/>
        <v>105107.28999999998</v>
      </c>
    </row>
    <row r="30" spans="1:8">
      <c r="A30" t="s">
        <v>35</v>
      </c>
      <c r="B30" s="26">
        <f>IF(SUMIFS('NSE - NIFTY Index Options'!$L:$L,'NSE - NIFTY Index Options'!$C:$C,$A30,'NSE - NIFTY Index Options'!$B:$B,B$4)+SUMIFS('NSE - Other Index Options'!$L:$L,'NSE - Other Index Options'!$C:$C,$A30,'NSE - Other Index Options'!$B:$B,B$4)=0,"",SUMIFS('NSE - NIFTY Index Options'!$L:$L,'NSE - NIFTY Index Options'!$C:$C,$A30,'NSE - NIFTY Index Options'!$B:$B,B$4)+SUMIFS('NSE - Other Index Options'!$L:$L,'NSE - Other Index Options'!$C:$C,$A30,'NSE - Other Index Options'!$B:$B,B$4))</f>
        <v>93742.859999999986</v>
      </c>
      <c r="C30" s="26">
        <f>IF(SUMIFS('NSE - NIFTY Index Options'!$L:$L,'NSE - NIFTY Index Options'!$C:$C,$A30,'NSE - NIFTY Index Options'!$B:$B,C$4)+SUMIFS('NSE - Other Index Options'!$L:$L,'NSE - Other Index Options'!$C:$C,$A30,'NSE - Other Index Options'!$B:$B,C$4)=0,"",SUMIFS('NSE - NIFTY Index Options'!$L:$L,'NSE - NIFTY Index Options'!$C:$C,$A30,'NSE - NIFTY Index Options'!$B:$B,C$4)+SUMIFS('NSE - Other Index Options'!$L:$L,'NSE - Other Index Options'!$C:$C,$A30,'NSE - Other Index Options'!$B:$B,C$4))</f>
        <v>118826.57999999997</v>
      </c>
      <c r="D30" s="26">
        <f>IF(SUMIFS('NSE - NIFTY Index Options'!$L:$L,'NSE - NIFTY Index Options'!$C:$C,$A30,'NSE - NIFTY Index Options'!$B:$B,D$4)+SUMIFS('NSE - Other Index Options'!$L:$L,'NSE - Other Index Options'!$C:$C,$A30,'NSE - Other Index Options'!$B:$B,D$4)=0,"",SUMIFS('NSE - NIFTY Index Options'!$L:$L,'NSE - NIFTY Index Options'!$C:$C,$A30,'NSE - NIFTY Index Options'!$B:$B,D$4)+SUMIFS('NSE - Other Index Options'!$L:$L,'NSE - Other Index Options'!$C:$C,$A30,'NSE - Other Index Options'!$B:$B,D$4))</f>
        <v>40191.14</v>
      </c>
      <c r="E30" s="26">
        <f>IF(SUMIFS('NSE - NIFTY Index Options'!$L:$L,'NSE - NIFTY Index Options'!$C:$C,$A30,'NSE - NIFTY Index Options'!$B:$B,E$4)+SUMIFS('NSE - Other Index Options'!$L:$L,'NSE - Other Index Options'!$C:$C,$A30,'NSE - Other Index Options'!$B:$B,E$4)=0,"",SUMIFS('NSE - NIFTY Index Options'!$L:$L,'NSE - NIFTY Index Options'!$C:$C,$A30,'NSE - NIFTY Index Options'!$B:$B,E$4)+SUMIFS('NSE - Other Index Options'!$L:$L,'NSE - Other Index Options'!$C:$C,$A30,'NSE - Other Index Options'!$B:$B,E$4))</f>
        <v>32154.340000000004</v>
      </c>
      <c r="F30" s="26">
        <f>IF(SUMIFS('NSE - NIFTY Index Options'!$L:$L,'NSE - NIFTY Index Options'!$C:$C,$A30,'NSE - NIFTY Index Options'!$B:$B,F$4)+SUMIFS('NSE - Other Index Options'!$L:$L,'NSE - Other Index Options'!$C:$C,$A30,'NSE - Other Index Options'!$B:$B,F$4)=0,"",SUMIFS('NSE - NIFTY Index Options'!$L:$L,'NSE - NIFTY Index Options'!$C:$C,$A30,'NSE - NIFTY Index Options'!$B:$B,F$4)+SUMIFS('NSE - Other Index Options'!$L:$L,'NSE - Other Index Options'!$C:$C,$A30,'NSE - Other Index Options'!$B:$B,F$4))</f>
        <v>60865.520000000004</v>
      </c>
      <c r="G30" s="26">
        <f>IF(SUMIFS('NSE - NIFTY Index Options'!$L:$L,'NSE - NIFTY Index Options'!$C:$C,$A30,'NSE - NIFTY Index Options'!$B:$B,G$4)+SUMIFS('NSE - Other Index Options'!$L:$L,'NSE - Other Index Options'!$C:$C,$A30,'NSE - Other Index Options'!$B:$B,G$4)=0,"",SUMIFS('NSE - NIFTY Index Options'!$L:$L,'NSE - NIFTY Index Options'!$C:$C,$A30,'NSE - NIFTY Index Options'!$B:$B,G$4)+SUMIFS('NSE - Other Index Options'!$L:$L,'NSE - Other Index Options'!$C:$C,$A30,'NSE - Other Index Options'!$B:$B,G$4))</f>
        <v>111932.98999999999</v>
      </c>
      <c r="H30" s="26">
        <f t="shared" si="0"/>
        <v>457713.43</v>
      </c>
    </row>
    <row r="31" spans="1:8">
      <c r="A31" t="s">
        <v>36</v>
      </c>
      <c r="B31" s="26">
        <f>IF(SUMIFS('NSE - NIFTY Index Options'!$L:$L,'NSE - NIFTY Index Options'!$C:$C,$A31,'NSE - NIFTY Index Options'!$B:$B,B$4)+SUMIFS('NSE - Other Index Options'!$L:$L,'NSE - Other Index Options'!$C:$C,$A31,'NSE - Other Index Options'!$B:$B,B$4)=0,"",SUMIFS('NSE - NIFTY Index Options'!$L:$L,'NSE - NIFTY Index Options'!$C:$C,$A31,'NSE - NIFTY Index Options'!$B:$B,B$4)+SUMIFS('NSE - Other Index Options'!$L:$L,'NSE - Other Index Options'!$C:$C,$A31,'NSE - Other Index Options'!$B:$B,B$4))</f>
        <v>45572.009999999987</v>
      </c>
      <c r="C31" s="26">
        <f>IF(SUMIFS('NSE - NIFTY Index Options'!$L:$L,'NSE - NIFTY Index Options'!$C:$C,$A31,'NSE - NIFTY Index Options'!$B:$B,C$4)+SUMIFS('NSE - Other Index Options'!$L:$L,'NSE - Other Index Options'!$C:$C,$A31,'NSE - Other Index Options'!$B:$B,C$4)=0,"",SUMIFS('NSE - NIFTY Index Options'!$L:$L,'NSE - NIFTY Index Options'!$C:$C,$A31,'NSE - NIFTY Index Options'!$B:$B,C$4)+SUMIFS('NSE - Other Index Options'!$L:$L,'NSE - Other Index Options'!$C:$C,$A31,'NSE - Other Index Options'!$B:$B,C$4))</f>
        <v>56655.159999999996</v>
      </c>
      <c r="D31" s="26">
        <f>IF(SUMIFS('NSE - NIFTY Index Options'!$L:$L,'NSE - NIFTY Index Options'!$C:$C,$A31,'NSE - NIFTY Index Options'!$B:$B,D$4)+SUMIFS('NSE - Other Index Options'!$L:$L,'NSE - Other Index Options'!$C:$C,$A31,'NSE - Other Index Options'!$B:$B,D$4)=0,"",SUMIFS('NSE - NIFTY Index Options'!$L:$L,'NSE - NIFTY Index Options'!$C:$C,$A31,'NSE - NIFTY Index Options'!$B:$B,D$4)+SUMIFS('NSE - Other Index Options'!$L:$L,'NSE - Other Index Options'!$C:$C,$A31,'NSE - Other Index Options'!$B:$B,D$4))</f>
        <v>29929.47</v>
      </c>
      <c r="E31" s="26">
        <f>IF(SUMIFS('NSE - NIFTY Index Options'!$L:$L,'NSE - NIFTY Index Options'!$C:$C,$A31,'NSE - NIFTY Index Options'!$B:$B,E$4)+SUMIFS('NSE - Other Index Options'!$L:$L,'NSE - Other Index Options'!$C:$C,$A31,'NSE - Other Index Options'!$B:$B,E$4)=0,"",SUMIFS('NSE - NIFTY Index Options'!$L:$L,'NSE - NIFTY Index Options'!$C:$C,$A31,'NSE - NIFTY Index Options'!$B:$B,E$4)+SUMIFS('NSE - Other Index Options'!$L:$L,'NSE - Other Index Options'!$C:$C,$A31,'NSE - Other Index Options'!$B:$B,E$4))</f>
        <v>26991.570000000007</v>
      </c>
      <c r="F31" s="26">
        <f>IF(SUMIFS('NSE - NIFTY Index Options'!$L:$L,'NSE - NIFTY Index Options'!$C:$C,$A31,'NSE - NIFTY Index Options'!$B:$B,F$4)+SUMIFS('NSE - Other Index Options'!$L:$L,'NSE - Other Index Options'!$C:$C,$A31,'NSE - Other Index Options'!$B:$B,F$4)=0,"",SUMIFS('NSE - NIFTY Index Options'!$L:$L,'NSE - NIFTY Index Options'!$C:$C,$A31,'NSE - NIFTY Index Options'!$B:$B,F$4)+SUMIFS('NSE - Other Index Options'!$L:$L,'NSE - Other Index Options'!$C:$C,$A31,'NSE - Other Index Options'!$B:$B,F$4))</f>
        <v>49593.780000000006</v>
      </c>
      <c r="G31" s="26" t="str">
        <f>IF(SUMIFS('NSE - NIFTY Index Options'!$L:$L,'NSE - NIFTY Index Options'!$C:$C,$A31,'NSE - NIFTY Index Options'!$B:$B,G$4)+SUMIFS('NSE - Other Index Options'!$L:$L,'NSE - Other Index Options'!$C:$C,$A31,'NSE - Other Index Options'!$B:$B,G$4)=0,"",SUMIFS('NSE - NIFTY Index Options'!$L:$L,'NSE - NIFTY Index Options'!$C:$C,$A31,'NSE - NIFTY Index Options'!$B:$B,G$4)+SUMIFS('NSE - Other Index Options'!$L:$L,'NSE - Other Index Options'!$C:$C,$A31,'NSE - Other Index Options'!$B:$B,G$4))</f>
        <v/>
      </c>
      <c r="H31" s="26">
        <f t="shared" si="0"/>
        <v>208741.99</v>
      </c>
    </row>
    <row r="32" spans="1:8">
      <c r="A32" t="s">
        <v>37</v>
      </c>
      <c r="B32" s="26">
        <f>IF(SUMIFS('NSE - NIFTY Index Options'!$L:$L,'NSE - NIFTY Index Options'!$C:$C,$A32,'NSE - NIFTY Index Options'!$B:$B,B$4)+SUMIFS('NSE - Other Index Options'!$L:$L,'NSE - Other Index Options'!$C:$C,$A32,'NSE - Other Index Options'!$B:$B,B$4)=0,"",SUMIFS('NSE - NIFTY Index Options'!$L:$L,'NSE - NIFTY Index Options'!$C:$C,$A32,'NSE - NIFTY Index Options'!$B:$B,B$4)+SUMIFS('NSE - Other Index Options'!$L:$L,'NSE - Other Index Options'!$C:$C,$A32,'NSE - Other Index Options'!$B:$B,B$4))</f>
        <v>58720.67</v>
      </c>
      <c r="C32" s="26">
        <f>IF(SUMIFS('NSE - NIFTY Index Options'!$L:$L,'NSE - NIFTY Index Options'!$C:$C,$A32,'NSE - NIFTY Index Options'!$B:$B,C$4)+SUMIFS('NSE - Other Index Options'!$L:$L,'NSE - Other Index Options'!$C:$C,$A32,'NSE - Other Index Options'!$B:$B,C$4)=0,"",SUMIFS('NSE - NIFTY Index Options'!$L:$L,'NSE - NIFTY Index Options'!$C:$C,$A32,'NSE - NIFTY Index Options'!$B:$B,C$4)+SUMIFS('NSE - Other Index Options'!$L:$L,'NSE - Other Index Options'!$C:$C,$A32,'NSE - Other Index Options'!$B:$B,C$4))</f>
        <v>74624.530000000013</v>
      </c>
      <c r="D32" s="26">
        <f>IF(SUMIFS('NSE - NIFTY Index Options'!$L:$L,'NSE - NIFTY Index Options'!$C:$C,$A32,'NSE - NIFTY Index Options'!$B:$B,D$4)+SUMIFS('NSE - Other Index Options'!$L:$L,'NSE - Other Index Options'!$C:$C,$A32,'NSE - Other Index Options'!$B:$B,D$4)=0,"",SUMIFS('NSE - NIFTY Index Options'!$L:$L,'NSE - NIFTY Index Options'!$C:$C,$A32,'NSE - NIFTY Index Options'!$B:$B,D$4)+SUMIFS('NSE - Other Index Options'!$L:$L,'NSE - Other Index Options'!$C:$C,$A32,'NSE - Other Index Options'!$B:$B,D$4))</f>
        <v>37895.94</v>
      </c>
      <c r="E32" s="26">
        <f>IF(SUMIFS('NSE - NIFTY Index Options'!$L:$L,'NSE - NIFTY Index Options'!$C:$C,$A32,'NSE - NIFTY Index Options'!$B:$B,E$4)+SUMIFS('NSE - Other Index Options'!$L:$L,'NSE - Other Index Options'!$C:$C,$A32,'NSE - Other Index Options'!$B:$B,E$4)=0,"",SUMIFS('NSE - NIFTY Index Options'!$L:$L,'NSE - NIFTY Index Options'!$C:$C,$A32,'NSE - NIFTY Index Options'!$B:$B,E$4)+SUMIFS('NSE - Other Index Options'!$L:$L,'NSE - Other Index Options'!$C:$C,$A32,'NSE - Other Index Options'!$B:$B,E$4))</f>
        <v>44057.41</v>
      </c>
      <c r="F32" s="26">
        <f>IF(SUMIFS('NSE - NIFTY Index Options'!$L:$L,'NSE - NIFTY Index Options'!$C:$C,$A32,'NSE - NIFTY Index Options'!$B:$B,F$4)+SUMIFS('NSE - Other Index Options'!$L:$L,'NSE - Other Index Options'!$C:$C,$A32,'NSE - Other Index Options'!$B:$B,F$4)=0,"",SUMIFS('NSE - NIFTY Index Options'!$L:$L,'NSE - NIFTY Index Options'!$C:$C,$A32,'NSE - NIFTY Index Options'!$B:$B,F$4)+SUMIFS('NSE - Other Index Options'!$L:$L,'NSE - Other Index Options'!$C:$C,$A32,'NSE - Other Index Options'!$B:$B,F$4))</f>
        <v>78240.910000000018</v>
      </c>
      <c r="G32" s="26" t="str">
        <f>IF(SUMIFS('NSE - NIFTY Index Options'!$L:$L,'NSE - NIFTY Index Options'!$C:$C,$A32,'NSE - NIFTY Index Options'!$B:$B,G$4)+SUMIFS('NSE - Other Index Options'!$L:$L,'NSE - Other Index Options'!$C:$C,$A32,'NSE - Other Index Options'!$B:$B,G$4)=0,"",SUMIFS('NSE - NIFTY Index Options'!$L:$L,'NSE - NIFTY Index Options'!$C:$C,$A32,'NSE - NIFTY Index Options'!$B:$B,G$4)+SUMIFS('NSE - Other Index Options'!$L:$L,'NSE - Other Index Options'!$C:$C,$A32,'NSE - Other Index Options'!$B:$B,G$4))</f>
        <v/>
      </c>
      <c r="H32" s="26">
        <f t="shared" si="0"/>
        <v>293539.46000000002</v>
      </c>
    </row>
    <row r="33" spans="1:8">
      <c r="A33" t="s">
        <v>38</v>
      </c>
      <c r="B33" s="26">
        <f>IF(SUMIFS('NSE - NIFTY Index Options'!$L:$L,'NSE - NIFTY Index Options'!$C:$C,$A33,'NSE - NIFTY Index Options'!$B:$B,B$4)+SUMIFS('NSE - Other Index Options'!$L:$L,'NSE - Other Index Options'!$C:$C,$A33,'NSE - Other Index Options'!$B:$B,B$4)=0,"",SUMIFS('NSE - NIFTY Index Options'!$L:$L,'NSE - NIFTY Index Options'!$C:$C,$A33,'NSE - NIFTY Index Options'!$B:$B,B$4)+SUMIFS('NSE - Other Index Options'!$L:$L,'NSE - Other Index Options'!$C:$C,$A33,'NSE - Other Index Options'!$B:$B,B$4))</f>
        <v>75549.86</v>
      </c>
      <c r="C33" s="26">
        <f>IF(SUMIFS('NSE - NIFTY Index Options'!$L:$L,'NSE - NIFTY Index Options'!$C:$C,$A33,'NSE - NIFTY Index Options'!$B:$B,C$4)+SUMIFS('NSE - Other Index Options'!$L:$L,'NSE - Other Index Options'!$C:$C,$A33,'NSE - Other Index Options'!$B:$B,C$4)=0,"",SUMIFS('NSE - NIFTY Index Options'!$L:$L,'NSE - NIFTY Index Options'!$C:$C,$A33,'NSE - NIFTY Index Options'!$B:$B,C$4)+SUMIFS('NSE - Other Index Options'!$L:$L,'NSE - Other Index Options'!$C:$C,$A33,'NSE - Other Index Options'!$B:$B,C$4))</f>
        <v>94539.569999999992</v>
      </c>
      <c r="D33" s="26">
        <f>IF(SUMIFS('NSE - NIFTY Index Options'!$L:$L,'NSE - NIFTY Index Options'!$C:$C,$A33,'NSE - NIFTY Index Options'!$B:$B,D$4)+SUMIFS('NSE - Other Index Options'!$L:$L,'NSE - Other Index Options'!$C:$C,$A33,'NSE - Other Index Options'!$B:$B,D$4)=0,"",SUMIFS('NSE - NIFTY Index Options'!$L:$L,'NSE - NIFTY Index Options'!$C:$C,$A33,'NSE - NIFTY Index Options'!$B:$B,D$4)+SUMIFS('NSE - Other Index Options'!$L:$L,'NSE - Other Index Options'!$C:$C,$A33,'NSE - Other Index Options'!$B:$B,D$4))</f>
        <v>46575.470000000008</v>
      </c>
      <c r="E33" s="26">
        <f>IF(SUMIFS('NSE - NIFTY Index Options'!$L:$L,'NSE - NIFTY Index Options'!$C:$C,$A33,'NSE - NIFTY Index Options'!$B:$B,E$4)+SUMIFS('NSE - Other Index Options'!$L:$L,'NSE - Other Index Options'!$C:$C,$A33,'NSE - Other Index Options'!$B:$B,E$4)=0,"",SUMIFS('NSE - NIFTY Index Options'!$L:$L,'NSE - NIFTY Index Options'!$C:$C,$A33,'NSE - NIFTY Index Options'!$B:$B,E$4)+SUMIFS('NSE - Other Index Options'!$L:$L,'NSE - Other Index Options'!$C:$C,$A33,'NSE - Other Index Options'!$B:$B,E$4))</f>
        <v>40495.090000000011</v>
      </c>
      <c r="F33" s="26">
        <f>IF(SUMIFS('NSE - NIFTY Index Options'!$L:$L,'NSE - NIFTY Index Options'!$C:$C,$A33,'NSE - NIFTY Index Options'!$B:$B,F$4)+SUMIFS('NSE - Other Index Options'!$L:$L,'NSE - Other Index Options'!$C:$C,$A33,'NSE - Other Index Options'!$B:$B,F$4)=0,"",SUMIFS('NSE - NIFTY Index Options'!$L:$L,'NSE - NIFTY Index Options'!$C:$C,$A33,'NSE - NIFTY Index Options'!$B:$B,F$4)+SUMIFS('NSE - Other Index Options'!$L:$L,'NSE - Other Index Options'!$C:$C,$A33,'NSE - Other Index Options'!$B:$B,F$4))</f>
        <v>66814.41</v>
      </c>
      <c r="G33" s="26" t="str">
        <f>IF(SUMIFS('NSE - NIFTY Index Options'!$L:$L,'NSE - NIFTY Index Options'!$C:$C,$A33,'NSE - NIFTY Index Options'!$B:$B,G$4)+SUMIFS('NSE - Other Index Options'!$L:$L,'NSE - Other Index Options'!$C:$C,$A33,'NSE - Other Index Options'!$B:$B,G$4)=0,"",SUMIFS('NSE - NIFTY Index Options'!$L:$L,'NSE - NIFTY Index Options'!$C:$C,$A33,'NSE - NIFTY Index Options'!$B:$B,G$4)+SUMIFS('NSE - Other Index Options'!$L:$L,'NSE - Other Index Options'!$C:$C,$A33,'NSE - Other Index Options'!$B:$B,G$4))</f>
        <v/>
      </c>
      <c r="H33" s="26">
        <f t="shared" si="0"/>
        <v>323974.40000000002</v>
      </c>
    </row>
    <row r="34" spans="1:8">
      <c r="A34" t="s">
        <v>39</v>
      </c>
      <c r="B34" s="26">
        <f>IF(SUMIFS('NSE - NIFTY Index Options'!$L:$L,'NSE - NIFTY Index Options'!$C:$C,$A34,'NSE - NIFTY Index Options'!$B:$B,B$4)+SUMIFS('NSE - Other Index Options'!$L:$L,'NSE - Other Index Options'!$C:$C,$A34,'NSE - Other Index Options'!$B:$B,B$4)=0,"",SUMIFS('NSE - NIFTY Index Options'!$L:$L,'NSE - NIFTY Index Options'!$C:$C,$A34,'NSE - NIFTY Index Options'!$B:$B,B$4)+SUMIFS('NSE - Other Index Options'!$L:$L,'NSE - Other Index Options'!$C:$C,$A34,'NSE - Other Index Options'!$B:$B,B$4))</f>
        <v>116117.43000000001</v>
      </c>
      <c r="C34" s="26" t="str">
        <f>IF(SUMIFS('NSE - NIFTY Index Options'!$L:$L,'NSE - NIFTY Index Options'!$C:$C,$A34,'NSE - NIFTY Index Options'!$B:$B,C$4)+SUMIFS('NSE - Other Index Options'!$L:$L,'NSE - Other Index Options'!$C:$C,$A34,'NSE - Other Index Options'!$B:$B,C$4)=0,"",SUMIFS('NSE - NIFTY Index Options'!$L:$L,'NSE - NIFTY Index Options'!$C:$C,$A34,'NSE - NIFTY Index Options'!$B:$B,C$4)+SUMIFS('NSE - Other Index Options'!$L:$L,'NSE - Other Index Options'!$C:$C,$A34,'NSE - Other Index Options'!$B:$B,C$4))</f>
        <v/>
      </c>
      <c r="D34" s="26">
        <f>IF(SUMIFS('NSE - NIFTY Index Options'!$L:$L,'NSE - NIFTY Index Options'!$C:$C,$A34,'NSE - NIFTY Index Options'!$B:$B,D$4)+SUMIFS('NSE - Other Index Options'!$L:$L,'NSE - Other Index Options'!$C:$C,$A34,'NSE - Other Index Options'!$B:$B,D$4)=0,"",SUMIFS('NSE - NIFTY Index Options'!$L:$L,'NSE - NIFTY Index Options'!$C:$C,$A34,'NSE - NIFTY Index Options'!$B:$B,D$4)+SUMIFS('NSE - Other Index Options'!$L:$L,'NSE - Other Index Options'!$C:$C,$A34,'NSE - Other Index Options'!$B:$B,D$4))</f>
        <v>70519.919999999984</v>
      </c>
      <c r="E34" s="26">
        <f>IF(SUMIFS('NSE - NIFTY Index Options'!$L:$L,'NSE - NIFTY Index Options'!$C:$C,$A34,'NSE - NIFTY Index Options'!$B:$B,E$4)+SUMIFS('NSE - Other Index Options'!$L:$L,'NSE - Other Index Options'!$C:$C,$A34,'NSE - Other Index Options'!$B:$B,E$4)=0,"",SUMIFS('NSE - NIFTY Index Options'!$L:$L,'NSE - NIFTY Index Options'!$C:$C,$A34,'NSE - NIFTY Index Options'!$B:$B,E$4)+SUMIFS('NSE - Other Index Options'!$L:$L,'NSE - Other Index Options'!$C:$C,$A34,'NSE - Other Index Options'!$B:$B,E$4))</f>
        <v>59010.83</v>
      </c>
      <c r="F34" s="26">
        <f>IF(SUMIFS('NSE - NIFTY Index Options'!$L:$L,'NSE - NIFTY Index Options'!$C:$C,$A34,'NSE - NIFTY Index Options'!$B:$B,F$4)+SUMIFS('NSE - Other Index Options'!$L:$L,'NSE - Other Index Options'!$C:$C,$A34,'NSE - Other Index Options'!$B:$B,F$4)=0,"",SUMIFS('NSE - NIFTY Index Options'!$L:$L,'NSE - NIFTY Index Options'!$C:$C,$A34,'NSE - NIFTY Index Options'!$B:$B,F$4)+SUMIFS('NSE - Other Index Options'!$L:$L,'NSE - Other Index Options'!$C:$C,$A34,'NSE - Other Index Options'!$B:$B,F$4))</f>
        <v>76982.699999999983</v>
      </c>
      <c r="G34" s="26" t="str">
        <f>IF(SUMIFS('NSE - NIFTY Index Options'!$L:$L,'NSE - NIFTY Index Options'!$C:$C,$A34,'NSE - NIFTY Index Options'!$B:$B,G$4)+SUMIFS('NSE - Other Index Options'!$L:$L,'NSE - Other Index Options'!$C:$C,$A34,'NSE - Other Index Options'!$B:$B,G$4)=0,"",SUMIFS('NSE - NIFTY Index Options'!$L:$L,'NSE - NIFTY Index Options'!$C:$C,$A34,'NSE - NIFTY Index Options'!$B:$B,G$4)+SUMIFS('NSE - Other Index Options'!$L:$L,'NSE - Other Index Options'!$C:$C,$A34,'NSE - Other Index Options'!$B:$B,G$4))</f>
        <v/>
      </c>
      <c r="H34" s="26">
        <f t="shared" si="0"/>
        <v>322630.88</v>
      </c>
    </row>
    <row r="35" spans="1:8">
      <c r="A35" t="s">
        <v>40</v>
      </c>
      <c r="B35" s="26">
        <f>IF(SUMIFS('NSE - NIFTY Index Options'!$L:$L,'NSE - NIFTY Index Options'!$C:$C,$A35,'NSE - NIFTY Index Options'!$B:$B,B$4)+SUMIFS('NSE - Other Index Options'!$L:$L,'NSE - Other Index Options'!$C:$C,$A35,'NSE - Other Index Options'!$B:$B,B$4)=0,"",SUMIFS('NSE - NIFTY Index Options'!$L:$L,'NSE - NIFTY Index Options'!$C:$C,$A35,'NSE - NIFTY Index Options'!$B:$B,B$4)+SUMIFS('NSE - Other Index Options'!$L:$L,'NSE - Other Index Options'!$C:$C,$A35,'NSE - Other Index Options'!$B:$B,B$4))</f>
        <v>103140.25000000003</v>
      </c>
      <c r="C35" s="26">
        <f>IF(SUMIFS('NSE - NIFTY Index Options'!$L:$L,'NSE - NIFTY Index Options'!$C:$C,$A35,'NSE - NIFTY Index Options'!$B:$B,C$4)+SUMIFS('NSE - Other Index Options'!$L:$L,'NSE - Other Index Options'!$C:$C,$A35,'NSE - Other Index Options'!$B:$B,C$4)=0,"",SUMIFS('NSE - NIFTY Index Options'!$L:$L,'NSE - NIFTY Index Options'!$C:$C,$A35,'NSE - NIFTY Index Options'!$B:$B,C$4)+SUMIFS('NSE - Other Index Options'!$L:$L,'NSE - Other Index Options'!$C:$C,$A35,'NSE - Other Index Options'!$B:$B,C$4))</f>
        <v>96897.410000000018</v>
      </c>
      <c r="D35" s="26">
        <f>IF(SUMIFS('NSE - NIFTY Index Options'!$L:$L,'NSE - NIFTY Index Options'!$C:$C,$A35,'NSE - NIFTY Index Options'!$B:$B,D$4)+SUMIFS('NSE - Other Index Options'!$L:$L,'NSE - Other Index Options'!$C:$C,$A35,'NSE - Other Index Options'!$B:$B,D$4)=0,"",SUMIFS('NSE - NIFTY Index Options'!$L:$L,'NSE - NIFTY Index Options'!$C:$C,$A35,'NSE - NIFTY Index Options'!$B:$B,D$4)+SUMIFS('NSE - Other Index Options'!$L:$L,'NSE - Other Index Options'!$C:$C,$A35,'NSE - Other Index Options'!$B:$B,D$4))</f>
        <v>56501.040000000015</v>
      </c>
      <c r="E35" s="26">
        <f>IF(SUMIFS('NSE - NIFTY Index Options'!$L:$L,'NSE - NIFTY Index Options'!$C:$C,$A35,'NSE - NIFTY Index Options'!$B:$B,E$4)+SUMIFS('NSE - Other Index Options'!$L:$L,'NSE - Other Index Options'!$C:$C,$A35,'NSE - Other Index Options'!$B:$B,E$4)=0,"",SUMIFS('NSE - NIFTY Index Options'!$L:$L,'NSE - NIFTY Index Options'!$C:$C,$A35,'NSE - NIFTY Index Options'!$B:$B,E$4)+SUMIFS('NSE - Other Index Options'!$L:$L,'NSE - Other Index Options'!$C:$C,$A35,'NSE - Other Index Options'!$B:$B,E$4))</f>
        <v>52202.92</v>
      </c>
      <c r="F35" s="26">
        <f>IF(SUMIFS('NSE - NIFTY Index Options'!$L:$L,'NSE - NIFTY Index Options'!$C:$C,$A35,'NSE - NIFTY Index Options'!$B:$B,F$4)+SUMIFS('NSE - Other Index Options'!$L:$L,'NSE - Other Index Options'!$C:$C,$A35,'NSE - Other Index Options'!$B:$B,F$4)=0,"",SUMIFS('NSE - NIFTY Index Options'!$L:$L,'NSE - NIFTY Index Options'!$C:$C,$A35,'NSE - NIFTY Index Options'!$B:$B,F$4)+SUMIFS('NSE - Other Index Options'!$L:$L,'NSE - Other Index Options'!$C:$C,$A35,'NSE - Other Index Options'!$B:$B,F$4))</f>
        <v>92552.449999999983</v>
      </c>
      <c r="G35" s="26" t="str">
        <f>IF(SUMIFS('NSE - NIFTY Index Options'!$L:$L,'NSE - NIFTY Index Options'!$C:$C,$A35,'NSE - NIFTY Index Options'!$B:$B,G$4)+SUMIFS('NSE - Other Index Options'!$L:$L,'NSE - Other Index Options'!$C:$C,$A35,'NSE - Other Index Options'!$B:$B,G$4)=0,"",SUMIFS('NSE - NIFTY Index Options'!$L:$L,'NSE - NIFTY Index Options'!$C:$C,$A35,'NSE - NIFTY Index Options'!$B:$B,G$4)+SUMIFS('NSE - Other Index Options'!$L:$L,'NSE - Other Index Options'!$C:$C,$A35,'NSE - Other Index Options'!$B:$B,G$4))</f>
        <v/>
      </c>
      <c r="H35" s="26">
        <f t="shared" si="0"/>
        <v>401294.07000000007</v>
      </c>
    </row>
    <row r="36" spans="1:8">
      <c r="A36" t="s">
        <v>41</v>
      </c>
      <c r="B36" s="26">
        <f>IF(SUMIFS('NSE - NIFTY Index Options'!$L:$L,'NSE - NIFTY Index Options'!$C:$C,$A36,'NSE - NIFTY Index Options'!$B:$B,B$4)+SUMIFS('NSE - Other Index Options'!$L:$L,'NSE - Other Index Options'!$C:$C,$A36,'NSE - Other Index Options'!$B:$B,B$4)=0,"",SUMIFS('NSE - NIFTY Index Options'!$L:$L,'NSE - NIFTY Index Options'!$C:$C,$A36,'NSE - NIFTY Index Options'!$B:$B,B$4)+SUMIFS('NSE - Other Index Options'!$L:$L,'NSE - Other Index Options'!$C:$C,$A36,'NSE - Other Index Options'!$B:$B,B$4))</f>
        <v>110013.58</v>
      </c>
      <c r="C36" s="26">
        <f>IF(SUMIFS('NSE - NIFTY Index Options'!$L:$L,'NSE - NIFTY Index Options'!$C:$C,$A36,'NSE - NIFTY Index Options'!$B:$B,C$4)+SUMIFS('NSE - Other Index Options'!$L:$L,'NSE - Other Index Options'!$C:$C,$A36,'NSE - Other Index Options'!$B:$B,C$4)=0,"",SUMIFS('NSE - NIFTY Index Options'!$L:$L,'NSE - NIFTY Index Options'!$C:$C,$A36,'NSE - NIFTY Index Options'!$B:$B,C$4)+SUMIFS('NSE - Other Index Options'!$L:$L,'NSE - Other Index Options'!$C:$C,$A36,'NSE - Other Index Options'!$B:$B,C$4))</f>
        <v>110707.15999999999</v>
      </c>
      <c r="D36" s="26">
        <f>IF(SUMIFS('NSE - NIFTY Index Options'!$L:$L,'NSE - NIFTY Index Options'!$C:$C,$A36,'NSE - NIFTY Index Options'!$B:$B,D$4)+SUMIFS('NSE - Other Index Options'!$L:$L,'NSE - Other Index Options'!$C:$C,$A36,'NSE - Other Index Options'!$B:$B,D$4)=0,"",SUMIFS('NSE - NIFTY Index Options'!$L:$L,'NSE - NIFTY Index Options'!$C:$C,$A36,'NSE - NIFTY Index Options'!$B:$B,D$4)+SUMIFS('NSE - Other Index Options'!$L:$L,'NSE - Other Index Options'!$C:$C,$A36,'NSE - Other Index Options'!$B:$B,D$4))</f>
        <v>51713.450000000012</v>
      </c>
      <c r="E36" s="26">
        <f>IF(SUMIFS('NSE - NIFTY Index Options'!$L:$L,'NSE - NIFTY Index Options'!$C:$C,$A36,'NSE - NIFTY Index Options'!$B:$B,E$4)+SUMIFS('NSE - Other Index Options'!$L:$L,'NSE - Other Index Options'!$C:$C,$A36,'NSE - Other Index Options'!$B:$B,E$4)=0,"",SUMIFS('NSE - NIFTY Index Options'!$L:$L,'NSE - NIFTY Index Options'!$C:$C,$A36,'NSE - NIFTY Index Options'!$B:$B,E$4)+SUMIFS('NSE - Other Index Options'!$L:$L,'NSE - Other Index Options'!$C:$C,$A36,'NSE - Other Index Options'!$B:$B,E$4))</f>
        <v>55123.19</v>
      </c>
      <c r="F36" s="26">
        <f>IF(SUMIFS('NSE - NIFTY Index Options'!$L:$L,'NSE - NIFTY Index Options'!$C:$C,$A36,'NSE - NIFTY Index Options'!$B:$B,F$4)+SUMIFS('NSE - Other Index Options'!$L:$L,'NSE - Other Index Options'!$C:$C,$A36,'NSE - Other Index Options'!$B:$B,F$4)=0,"",SUMIFS('NSE - NIFTY Index Options'!$L:$L,'NSE - NIFTY Index Options'!$C:$C,$A36,'NSE - NIFTY Index Options'!$B:$B,F$4)+SUMIFS('NSE - Other Index Options'!$L:$L,'NSE - Other Index Options'!$C:$C,$A36,'NSE - Other Index Options'!$B:$B,F$4))</f>
        <v>91152.429999999978</v>
      </c>
      <c r="G36" s="26" t="str">
        <f>IF(SUMIFS('NSE - NIFTY Index Options'!$L:$L,'NSE - NIFTY Index Options'!$C:$C,$A36,'NSE - NIFTY Index Options'!$B:$B,G$4)+SUMIFS('NSE - Other Index Options'!$L:$L,'NSE - Other Index Options'!$C:$C,$A36,'NSE - Other Index Options'!$B:$B,G$4)=0,"",SUMIFS('NSE - NIFTY Index Options'!$L:$L,'NSE - NIFTY Index Options'!$C:$C,$A36,'NSE - NIFTY Index Options'!$B:$B,G$4)+SUMIFS('NSE - Other Index Options'!$L:$L,'NSE - Other Index Options'!$C:$C,$A36,'NSE - Other Index Options'!$B:$B,G$4))</f>
        <v/>
      </c>
      <c r="H36" s="26">
        <f t="shared" si="0"/>
        <v>418709.81</v>
      </c>
    </row>
    <row r="37" spans="1:8">
      <c r="A37" t="s">
        <v>42</v>
      </c>
      <c r="B37" s="26">
        <f>IF(SUMIFS('NSE - NIFTY Index Options'!$L:$L,'NSE - NIFTY Index Options'!$C:$C,$A37,'NSE - NIFTY Index Options'!$B:$B,B$4)+SUMIFS('NSE - Other Index Options'!$L:$L,'NSE - Other Index Options'!$C:$C,$A37,'NSE - Other Index Options'!$B:$B,B$4)=0,"",SUMIFS('NSE - NIFTY Index Options'!$L:$L,'NSE - NIFTY Index Options'!$C:$C,$A37,'NSE - NIFTY Index Options'!$B:$B,B$4)+SUMIFS('NSE - Other Index Options'!$L:$L,'NSE - Other Index Options'!$C:$C,$A37,'NSE - Other Index Options'!$B:$B,B$4))</f>
        <v>103216.85</v>
      </c>
      <c r="C37" s="26">
        <f>IF(SUMIFS('NSE - NIFTY Index Options'!$L:$L,'NSE - NIFTY Index Options'!$C:$C,$A37,'NSE - NIFTY Index Options'!$B:$B,C$4)+SUMIFS('NSE - Other Index Options'!$L:$L,'NSE - Other Index Options'!$C:$C,$A37,'NSE - Other Index Options'!$B:$B,C$4)=0,"",SUMIFS('NSE - NIFTY Index Options'!$L:$L,'NSE - NIFTY Index Options'!$C:$C,$A37,'NSE - NIFTY Index Options'!$B:$B,C$4)+SUMIFS('NSE - Other Index Options'!$L:$L,'NSE - Other Index Options'!$C:$C,$A37,'NSE - Other Index Options'!$B:$B,C$4))</f>
        <v>125450.65999999999</v>
      </c>
      <c r="D37" s="26">
        <f>IF(SUMIFS('NSE - NIFTY Index Options'!$L:$L,'NSE - NIFTY Index Options'!$C:$C,$A37,'NSE - NIFTY Index Options'!$B:$B,D$4)+SUMIFS('NSE - Other Index Options'!$L:$L,'NSE - Other Index Options'!$C:$C,$A37,'NSE - Other Index Options'!$B:$B,D$4)=0,"",SUMIFS('NSE - NIFTY Index Options'!$L:$L,'NSE - NIFTY Index Options'!$C:$C,$A37,'NSE - NIFTY Index Options'!$B:$B,D$4)+SUMIFS('NSE - Other Index Options'!$L:$L,'NSE - Other Index Options'!$C:$C,$A37,'NSE - Other Index Options'!$B:$B,D$4))</f>
        <v>52630.909999999996</v>
      </c>
      <c r="E37" s="26" t="str">
        <f>IF(SUMIFS('NSE - NIFTY Index Options'!$L:$L,'NSE - NIFTY Index Options'!$C:$C,$A37,'NSE - NIFTY Index Options'!$B:$B,E$4)+SUMIFS('NSE - Other Index Options'!$L:$L,'NSE - Other Index Options'!$C:$C,$A37,'NSE - Other Index Options'!$B:$B,E$4)=0,"",SUMIFS('NSE - NIFTY Index Options'!$L:$L,'NSE - NIFTY Index Options'!$C:$C,$A37,'NSE - NIFTY Index Options'!$B:$B,E$4)+SUMIFS('NSE - Other Index Options'!$L:$L,'NSE - Other Index Options'!$C:$C,$A37,'NSE - Other Index Options'!$B:$B,E$4))</f>
        <v/>
      </c>
      <c r="F37" s="26">
        <f>IF(SUMIFS('NSE - NIFTY Index Options'!$L:$L,'NSE - NIFTY Index Options'!$C:$C,$A37,'NSE - NIFTY Index Options'!$B:$B,F$4)+SUMIFS('NSE - Other Index Options'!$L:$L,'NSE - Other Index Options'!$C:$C,$A37,'NSE - Other Index Options'!$B:$B,F$4)=0,"",SUMIFS('NSE - NIFTY Index Options'!$L:$L,'NSE - NIFTY Index Options'!$C:$C,$A37,'NSE - NIFTY Index Options'!$B:$B,F$4)+SUMIFS('NSE - Other Index Options'!$L:$L,'NSE - Other Index Options'!$C:$C,$A37,'NSE - Other Index Options'!$B:$B,F$4))</f>
        <v>82899.009999999995</v>
      </c>
      <c r="G37" s="26" t="str">
        <f>IF(SUMIFS('NSE - NIFTY Index Options'!$L:$L,'NSE - NIFTY Index Options'!$C:$C,$A37,'NSE - NIFTY Index Options'!$B:$B,G$4)+SUMIFS('NSE - Other Index Options'!$L:$L,'NSE - Other Index Options'!$C:$C,$A37,'NSE - Other Index Options'!$B:$B,G$4)=0,"",SUMIFS('NSE - NIFTY Index Options'!$L:$L,'NSE - NIFTY Index Options'!$C:$C,$A37,'NSE - NIFTY Index Options'!$B:$B,G$4)+SUMIFS('NSE - Other Index Options'!$L:$L,'NSE - Other Index Options'!$C:$C,$A37,'NSE - Other Index Options'!$B:$B,G$4))</f>
        <v/>
      </c>
      <c r="H37" s="26">
        <f t="shared" ref="H37:H68" si="1">IF(SUM(B37:G37)=0,"",SUM(B37:G37))</f>
        <v>364197.43</v>
      </c>
    </row>
    <row r="38" spans="1:8">
      <c r="A38" t="s">
        <v>43</v>
      </c>
      <c r="B38" s="26">
        <f>IF(SUMIFS('NSE - NIFTY Index Options'!$L:$L,'NSE - NIFTY Index Options'!$C:$C,$A38,'NSE - NIFTY Index Options'!$B:$B,B$4)+SUMIFS('NSE - Other Index Options'!$L:$L,'NSE - Other Index Options'!$C:$C,$A38,'NSE - Other Index Options'!$B:$B,B$4)=0,"",SUMIFS('NSE - NIFTY Index Options'!$L:$L,'NSE - NIFTY Index Options'!$C:$C,$A38,'NSE - NIFTY Index Options'!$B:$B,B$4)+SUMIFS('NSE - Other Index Options'!$L:$L,'NSE - Other Index Options'!$C:$C,$A38,'NSE - Other Index Options'!$B:$B,B$4))</f>
        <v>117835.75</v>
      </c>
      <c r="C38" s="26" t="str">
        <f>IF(SUMIFS('NSE - NIFTY Index Options'!$L:$L,'NSE - NIFTY Index Options'!$C:$C,$A38,'NSE - NIFTY Index Options'!$B:$B,C$4)+SUMIFS('NSE - Other Index Options'!$L:$L,'NSE - Other Index Options'!$C:$C,$A38,'NSE - Other Index Options'!$B:$B,C$4)=0,"",SUMIFS('NSE - NIFTY Index Options'!$L:$L,'NSE - NIFTY Index Options'!$C:$C,$A38,'NSE - NIFTY Index Options'!$B:$B,C$4)+SUMIFS('NSE - Other Index Options'!$L:$L,'NSE - Other Index Options'!$C:$C,$A38,'NSE - Other Index Options'!$B:$B,C$4))</f>
        <v/>
      </c>
      <c r="D38" s="26" t="str">
        <f>IF(SUMIFS('NSE - NIFTY Index Options'!$L:$L,'NSE - NIFTY Index Options'!$C:$C,$A38,'NSE - NIFTY Index Options'!$B:$B,D$4)+SUMIFS('NSE - Other Index Options'!$L:$L,'NSE - Other Index Options'!$C:$C,$A38,'NSE - Other Index Options'!$B:$B,D$4)=0,"",SUMIFS('NSE - NIFTY Index Options'!$L:$L,'NSE - NIFTY Index Options'!$C:$C,$A38,'NSE - NIFTY Index Options'!$B:$B,D$4)+SUMIFS('NSE - Other Index Options'!$L:$L,'NSE - Other Index Options'!$C:$C,$A38,'NSE - Other Index Options'!$B:$B,D$4))</f>
        <v/>
      </c>
      <c r="E38" s="26" t="str">
        <f>IF(SUMIFS('NSE - NIFTY Index Options'!$L:$L,'NSE - NIFTY Index Options'!$C:$C,$A38,'NSE - NIFTY Index Options'!$B:$B,E$4)+SUMIFS('NSE - Other Index Options'!$L:$L,'NSE - Other Index Options'!$C:$C,$A38,'NSE - Other Index Options'!$B:$B,E$4)=0,"",SUMIFS('NSE - NIFTY Index Options'!$L:$L,'NSE - NIFTY Index Options'!$C:$C,$A38,'NSE - NIFTY Index Options'!$B:$B,E$4)+SUMIFS('NSE - Other Index Options'!$L:$L,'NSE - Other Index Options'!$C:$C,$A38,'NSE - Other Index Options'!$B:$B,E$4))</f>
        <v/>
      </c>
      <c r="F38" s="26" t="str">
        <f>IF(SUMIFS('NSE - NIFTY Index Options'!$L:$L,'NSE - NIFTY Index Options'!$C:$C,$A38,'NSE - NIFTY Index Options'!$B:$B,F$4)+SUMIFS('NSE - Other Index Options'!$L:$L,'NSE - Other Index Options'!$C:$C,$A38,'NSE - Other Index Options'!$B:$B,F$4)=0,"",SUMIFS('NSE - NIFTY Index Options'!$L:$L,'NSE - NIFTY Index Options'!$C:$C,$A38,'NSE - NIFTY Index Options'!$B:$B,F$4)+SUMIFS('NSE - Other Index Options'!$L:$L,'NSE - Other Index Options'!$C:$C,$A38,'NSE - Other Index Options'!$B:$B,F$4))</f>
        <v/>
      </c>
      <c r="G38" s="26" t="str">
        <f>IF(SUMIFS('NSE - NIFTY Index Options'!$L:$L,'NSE - NIFTY Index Options'!$C:$C,$A38,'NSE - NIFTY Index Options'!$B:$B,G$4)+SUMIFS('NSE - Other Index Options'!$L:$L,'NSE - Other Index Options'!$C:$C,$A38,'NSE - Other Index Options'!$B:$B,G$4)=0,"",SUMIFS('NSE - NIFTY Index Options'!$L:$L,'NSE - NIFTY Index Options'!$C:$C,$A38,'NSE - NIFTY Index Options'!$B:$B,G$4)+SUMIFS('NSE - Other Index Options'!$L:$L,'NSE - Other Index Options'!$C:$C,$A38,'NSE - Other Index Options'!$B:$B,G$4))</f>
        <v/>
      </c>
      <c r="H38" s="26">
        <f t="shared" si="1"/>
        <v>117835.75</v>
      </c>
    </row>
    <row r="39" spans="1:8">
      <c r="A39" t="s">
        <v>44</v>
      </c>
      <c r="B39" s="26">
        <f>IF(SUMIFS('NSE - NIFTY Index Options'!$L:$L,'NSE - NIFTY Index Options'!$C:$C,$A39,'NSE - NIFTY Index Options'!$B:$B,B$4)+SUMIFS('NSE - Other Index Options'!$L:$L,'NSE - Other Index Options'!$C:$C,$A39,'NSE - Other Index Options'!$B:$B,B$4)=0,"",SUMIFS('NSE - NIFTY Index Options'!$L:$L,'NSE - NIFTY Index Options'!$C:$C,$A39,'NSE - NIFTY Index Options'!$B:$B,B$4)+SUMIFS('NSE - Other Index Options'!$L:$L,'NSE - Other Index Options'!$C:$C,$A39,'NSE - Other Index Options'!$B:$B,B$4))</f>
        <v>94250.26999999999</v>
      </c>
      <c r="C39" s="26">
        <f>IF(SUMIFS('NSE - NIFTY Index Options'!$L:$L,'NSE - NIFTY Index Options'!$C:$C,$A39,'NSE - NIFTY Index Options'!$B:$B,C$4)+SUMIFS('NSE - Other Index Options'!$L:$L,'NSE - Other Index Options'!$C:$C,$A39,'NSE - Other Index Options'!$B:$B,C$4)=0,"",SUMIFS('NSE - NIFTY Index Options'!$L:$L,'NSE - NIFTY Index Options'!$C:$C,$A39,'NSE - NIFTY Index Options'!$B:$B,C$4)+SUMIFS('NSE - Other Index Options'!$L:$L,'NSE - Other Index Options'!$C:$C,$A39,'NSE - Other Index Options'!$B:$B,C$4))</f>
        <v>100727.61999999997</v>
      </c>
      <c r="D39" s="26">
        <f>IF(SUMIFS('NSE - NIFTY Index Options'!$L:$L,'NSE - NIFTY Index Options'!$C:$C,$A39,'NSE - NIFTY Index Options'!$B:$B,D$4)+SUMIFS('NSE - Other Index Options'!$L:$L,'NSE - Other Index Options'!$C:$C,$A39,'NSE - Other Index Options'!$B:$B,D$4)=0,"",SUMIFS('NSE - NIFTY Index Options'!$L:$L,'NSE - NIFTY Index Options'!$C:$C,$A39,'NSE - NIFTY Index Options'!$B:$B,D$4)+SUMIFS('NSE - Other Index Options'!$L:$L,'NSE - Other Index Options'!$C:$C,$A39,'NSE - Other Index Options'!$B:$B,D$4))</f>
        <v>52771.19000000001</v>
      </c>
      <c r="E39" s="26">
        <f>IF(SUMIFS('NSE - NIFTY Index Options'!$L:$L,'NSE - NIFTY Index Options'!$C:$C,$A39,'NSE - NIFTY Index Options'!$B:$B,E$4)+SUMIFS('NSE - Other Index Options'!$L:$L,'NSE - Other Index Options'!$C:$C,$A39,'NSE - Other Index Options'!$B:$B,E$4)=0,"",SUMIFS('NSE - NIFTY Index Options'!$L:$L,'NSE - NIFTY Index Options'!$C:$C,$A39,'NSE - NIFTY Index Options'!$B:$B,E$4)+SUMIFS('NSE - Other Index Options'!$L:$L,'NSE - Other Index Options'!$C:$C,$A39,'NSE - Other Index Options'!$B:$B,E$4))</f>
        <v>52904.929999999993</v>
      </c>
      <c r="F39" s="26" t="str">
        <f>IF(SUMIFS('NSE - NIFTY Index Options'!$L:$L,'NSE - NIFTY Index Options'!$C:$C,$A39,'NSE - NIFTY Index Options'!$B:$B,F$4)+SUMIFS('NSE - Other Index Options'!$L:$L,'NSE - Other Index Options'!$C:$C,$A39,'NSE - Other Index Options'!$B:$B,F$4)=0,"",SUMIFS('NSE - NIFTY Index Options'!$L:$L,'NSE - NIFTY Index Options'!$C:$C,$A39,'NSE - NIFTY Index Options'!$B:$B,F$4)+SUMIFS('NSE - Other Index Options'!$L:$L,'NSE - Other Index Options'!$C:$C,$A39,'NSE - Other Index Options'!$B:$B,F$4))</f>
        <v/>
      </c>
      <c r="G39" s="26" t="str">
        <f>IF(SUMIFS('NSE - NIFTY Index Options'!$L:$L,'NSE - NIFTY Index Options'!$C:$C,$A39,'NSE - NIFTY Index Options'!$B:$B,G$4)+SUMIFS('NSE - Other Index Options'!$L:$L,'NSE - Other Index Options'!$C:$C,$A39,'NSE - Other Index Options'!$B:$B,G$4)=0,"",SUMIFS('NSE - NIFTY Index Options'!$L:$L,'NSE - NIFTY Index Options'!$C:$C,$A39,'NSE - NIFTY Index Options'!$B:$B,G$4)+SUMIFS('NSE - Other Index Options'!$L:$L,'NSE - Other Index Options'!$C:$C,$A39,'NSE - Other Index Options'!$B:$B,G$4))</f>
        <v/>
      </c>
      <c r="H39" s="26">
        <f t="shared" si="1"/>
        <v>300654.00999999995</v>
      </c>
    </row>
    <row r="40" spans="1:8">
      <c r="A40" t="s">
        <v>45</v>
      </c>
      <c r="B40" s="26">
        <f>IF(SUMIFS('NSE - NIFTY Index Options'!$L:$L,'NSE - NIFTY Index Options'!$C:$C,$A40,'NSE - NIFTY Index Options'!$B:$B,B$4)+SUMIFS('NSE - Other Index Options'!$L:$L,'NSE - Other Index Options'!$C:$C,$A40,'NSE - Other Index Options'!$B:$B,B$4)=0,"",SUMIFS('NSE - NIFTY Index Options'!$L:$L,'NSE - NIFTY Index Options'!$C:$C,$A40,'NSE - NIFTY Index Options'!$B:$B,B$4)+SUMIFS('NSE - Other Index Options'!$L:$L,'NSE - Other Index Options'!$C:$C,$A40,'NSE - Other Index Options'!$B:$B,B$4))</f>
        <v>82656.579999999973</v>
      </c>
      <c r="C40" s="26" t="str">
        <f>IF(SUMIFS('NSE - NIFTY Index Options'!$L:$L,'NSE - NIFTY Index Options'!$C:$C,$A40,'NSE - NIFTY Index Options'!$B:$B,C$4)+SUMIFS('NSE - Other Index Options'!$L:$L,'NSE - Other Index Options'!$C:$C,$A40,'NSE - Other Index Options'!$B:$B,C$4)=0,"",SUMIFS('NSE - NIFTY Index Options'!$L:$L,'NSE - NIFTY Index Options'!$C:$C,$A40,'NSE - NIFTY Index Options'!$B:$B,C$4)+SUMIFS('NSE - Other Index Options'!$L:$L,'NSE - Other Index Options'!$C:$C,$A40,'NSE - Other Index Options'!$B:$B,C$4))</f>
        <v/>
      </c>
      <c r="D40" s="26">
        <f>IF(SUMIFS('NSE - NIFTY Index Options'!$L:$L,'NSE - NIFTY Index Options'!$C:$C,$A40,'NSE - NIFTY Index Options'!$B:$B,D$4)+SUMIFS('NSE - Other Index Options'!$L:$L,'NSE - Other Index Options'!$C:$C,$A40,'NSE - Other Index Options'!$B:$B,D$4)=0,"",SUMIFS('NSE - NIFTY Index Options'!$L:$L,'NSE - NIFTY Index Options'!$C:$C,$A40,'NSE - NIFTY Index Options'!$B:$B,D$4)+SUMIFS('NSE - Other Index Options'!$L:$L,'NSE - Other Index Options'!$C:$C,$A40,'NSE - Other Index Options'!$B:$B,D$4))</f>
        <v>47204.61</v>
      </c>
      <c r="E40" s="26">
        <f>IF(SUMIFS('NSE - NIFTY Index Options'!$L:$L,'NSE - NIFTY Index Options'!$C:$C,$A40,'NSE - NIFTY Index Options'!$B:$B,E$4)+SUMIFS('NSE - Other Index Options'!$L:$L,'NSE - Other Index Options'!$C:$C,$A40,'NSE - Other Index Options'!$B:$B,E$4)=0,"",SUMIFS('NSE - NIFTY Index Options'!$L:$L,'NSE - NIFTY Index Options'!$C:$C,$A40,'NSE - NIFTY Index Options'!$B:$B,E$4)+SUMIFS('NSE - Other Index Options'!$L:$L,'NSE - Other Index Options'!$C:$C,$A40,'NSE - Other Index Options'!$B:$B,E$4))</f>
        <v>42532.950000000004</v>
      </c>
      <c r="F40" s="26">
        <f>IF(SUMIFS('NSE - NIFTY Index Options'!$L:$L,'NSE - NIFTY Index Options'!$C:$C,$A40,'NSE - NIFTY Index Options'!$B:$B,F$4)+SUMIFS('NSE - Other Index Options'!$L:$L,'NSE - Other Index Options'!$C:$C,$A40,'NSE - Other Index Options'!$B:$B,F$4)=0,"",SUMIFS('NSE - NIFTY Index Options'!$L:$L,'NSE - NIFTY Index Options'!$C:$C,$A40,'NSE - NIFTY Index Options'!$B:$B,F$4)+SUMIFS('NSE - Other Index Options'!$L:$L,'NSE - Other Index Options'!$C:$C,$A40,'NSE - Other Index Options'!$B:$B,F$4))</f>
        <v>59968.930000000008</v>
      </c>
      <c r="G40" s="26" t="str">
        <f>IF(SUMIFS('NSE - NIFTY Index Options'!$L:$L,'NSE - NIFTY Index Options'!$C:$C,$A40,'NSE - NIFTY Index Options'!$B:$B,G$4)+SUMIFS('NSE - Other Index Options'!$L:$L,'NSE - Other Index Options'!$C:$C,$A40,'NSE - Other Index Options'!$B:$B,G$4)=0,"",SUMIFS('NSE - NIFTY Index Options'!$L:$L,'NSE - NIFTY Index Options'!$C:$C,$A40,'NSE - NIFTY Index Options'!$B:$B,G$4)+SUMIFS('NSE - Other Index Options'!$L:$L,'NSE - Other Index Options'!$C:$C,$A40,'NSE - Other Index Options'!$B:$B,G$4))</f>
        <v/>
      </c>
      <c r="H40" s="26">
        <f t="shared" si="1"/>
        <v>232363.07</v>
      </c>
    </row>
    <row r="41" spans="1:8">
      <c r="A41" t="s">
        <v>46</v>
      </c>
      <c r="B41" s="26">
        <f>IF(SUMIFS('NSE - NIFTY Index Options'!$L:$L,'NSE - NIFTY Index Options'!$C:$C,$A41,'NSE - NIFTY Index Options'!$B:$B,B$4)+SUMIFS('NSE - Other Index Options'!$L:$L,'NSE - Other Index Options'!$C:$C,$A41,'NSE - Other Index Options'!$B:$B,B$4)=0,"",SUMIFS('NSE - NIFTY Index Options'!$L:$L,'NSE - NIFTY Index Options'!$C:$C,$A41,'NSE - NIFTY Index Options'!$B:$B,B$4)+SUMIFS('NSE - Other Index Options'!$L:$L,'NSE - Other Index Options'!$C:$C,$A41,'NSE - Other Index Options'!$B:$B,B$4))</f>
        <v>63091.569999999992</v>
      </c>
      <c r="C41" s="26">
        <f>IF(SUMIFS('NSE - NIFTY Index Options'!$L:$L,'NSE - NIFTY Index Options'!$C:$C,$A41,'NSE - NIFTY Index Options'!$B:$B,C$4)+SUMIFS('NSE - Other Index Options'!$L:$L,'NSE - Other Index Options'!$C:$C,$A41,'NSE - Other Index Options'!$B:$B,C$4)=0,"",SUMIFS('NSE - NIFTY Index Options'!$L:$L,'NSE - NIFTY Index Options'!$C:$C,$A41,'NSE - NIFTY Index Options'!$B:$B,C$4)+SUMIFS('NSE - Other Index Options'!$L:$L,'NSE - Other Index Options'!$C:$C,$A41,'NSE - Other Index Options'!$B:$B,C$4))</f>
        <v>65392.39</v>
      </c>
      <c r="D41" s="26">
        <f>IF(SUMIFS('NSE - NIFTY Index Options'!$L:$L,'NSE - NIFTY Index Options'!$C:$C,$A41,'NSE - NIFTY Index Options'!$B:$B,D$4)+SUMIFS('NSE - Other Index Options'!$L:$L,'NSE - Other Index Options'!$C:$C,$A41,'NSE - Other Index Options'!$B:$B,D$4)=0,"",SUMIFS('NSE - NIFTY Index Options'!$L:$L,'NSE - NIFTY Index Options'!$C:$C,$A41,'NSE - NIFTY Index Options'!$B:$B,D$4)+SUMIFS('NSE - Other Index Options'!$L:$L,'NSE - Other Index Options'!$C:$C,$A41,'NSE - Other Index Options'!$B:$B,D$4))</f>
        <v>36788.080000000002</v>
      </c>
      <c r="E41" s="26">
        <f>IF(SUMIFS('NSE - NIFTY Index Options'!$L:$L,'NSE - NIFTY Index Options'!$C:$C,$A41,'NSE - NIFTY Index Options'!$B:$B,E$4)+SUMIFS('NSE - Other Index Options'!$L:$L,'NSE - Other Index Options'!$C:$C,$A41,'NSE - Other Index Options'!$B:$B,E$4)=0,"",SUMIFS('NSE - NIFTY Index Options'!$L:$L,'NSE - NIFTY Index Options'!$C:$C,$A41,'NSE - NIFTY Index Options'!$B:$B,E$4)+SUMIFS('NSE - Other Index Options'!$L:$L,'NSE - Other Index Options'!$C:$C,$A41,'NSE - Other Index Options'!$B:$B,E$4))</f>
        <v>36629.99</v>
      </c>
      <c r="F41" s="26">
        <f>IF(SUMIFS('NSE - NIFTY Index Options'!$L:$L,'NSE - NIFTY Index Options'!$C:$C,$A41,'NSE - NIFTY Index Options'!$B:$B,F$4)+SUMIFS('NSE - Other Index Options'!$L:$L,'NSE - Other Index Options'!$C:$C,$A41,'NSE - Other Index Options'!$B:$B,F$4)=0,"",SUMIFS('NSE - NIFTY Index Options'!$L:$L,'NSE - NIFTY Index Options'!$C:$C,$A41,'NSE - NIFTY Index Options'!$B:$B,F$4)+SUMIFS('NSE - Other Index Options'!$L:$L,'NSE - Other Index Options'!$C:$C,$A41,'NSE - Other Index Options'!$B:$B,F$4))</f>
        <v>48281.900000000009</v>
      </c>
      <c r="G41" s="26" t="str">
        <f>IF(SUMIFS('NSE - NIFTY Index Options'!$L:$L,'NSE - NIFTY Index Options'!$C:$C,$A41,'NSE - NIFTY Index Options'!$B:$B,G$4)+SUMIFS('NSE - Other Index Options'!$L:$L,'NSE - Other Index Options'!$C:$C,$A41,'NSE - Other Index Options'!$B:$B,G$4)=0,"",SUMIFS('NSE - NIFTY Index Options'!$L:$L,'NSE - NIFTY Index Options'!$C:$C,$A41,'NSE - NIFTY Index Options'!$B:$B,G$4)+SUMIFS('NSE - Other Index Options'!$L:$L,'NSE - Other Index Options'!$C:$C,$A41,'NSE - Other Index Options'!$B:$B,G$4))</f>
        <v/>
      </c>
      <c r="H41" s="26">
        <f t="shared" si="1"/>
        <v>250183.93</v>
      </c>
    </row>
    <row r="42" spans="1:8">
      <c r="A42" t="s">
        <v>47</v>
      </c>
      <c r="B42" s="26">
        <f>IF(SUMIFS('NSE - NIFTY Index Options'!$L:$L,'NSE - NIFTY Index Options'!$C:$C,$A42,'NSE - NIFTY Index Options'!$B:$B,B$4)+SUMIFS('NSE - Other Index Options'!$L:$L,'NSE - Other Index Options'!$C:$C,$A42,'NSE - Other Index Options'!$B:$B,B$4)=0,"",SUMIFS('NSE - NIFTY Index Options'!$L:$L,'NSE - NIFTY Index Options'!$C:$C,$A42,'NSE - NIFTY Index Options'!$B:$B,B$4)+SUMIFS('NSE - Other Index Options'!$L:$L,'NSE - Other Index Options'!$C:$C,$A42,'NSE - Other Index Options'!$B:$B,B$4))</f>
        <v>60949.37999999999</v>
      </c>
      <c r="C42" s="26">
        <f>IF(SUMIFS('NSE - NIFTY Index Options'!$L:$L,'NSE - NIFTY Index Options'!$C:$C,$A42,'NSE - NIFTY Index Options'!$B:$B,C$4)+SUMIFS('NSE - Other Index Options'!$L:$L,'NSE - Other Index Options'!$C:$C,$A42,'NSE - Other Index Options'!$B:$B,C$4)=0,"",SUMIFS('NSE - NIFTY Index Options'!$L:$L,'NSE - NIFTY Index Options'!$C:$C,$A42,'NSE - NIFTY Index Options'!$B:$B,C$4)+SUMIFS('NSE - Other Index Options'!$L:$L,'NSE - Other Index Options'!$C:$C,$A42,'NSE - Other Index Options'!$B:$B,C$4))</f>
        <v>79191.459999999992</v>
      </c>
      <c r="D42" s="26">
        <f>IF(SUMIFS('NSE - NIFTY Index Options'!$L:$L,'NSE - NIFTY Index Options'!$C:$C,$A42,'NSE - NIFTY Index Options'!$B:$B,D$4)+SUMIFS('NSE - Other Index Options'!$L:$L,'NSE - Other Index Options'!$C:$C,$A42,'NSE - Other Index Options'!$B:$B,D$4)=0,"",SUMIFS('NSE - NIFTY Index Options'!$L:$L,'NSE - NIFTY Index Options'!$C:$C,$A42,'NSE - NIFTY Index Options'!$B:$B,D$4)+SUMIFS('NSE - Other Index Options'!$L:$L,'NSE - Other Index Options'!$C:$C,$A42,'NSE - Other Index Options'!$B:$B,D$4))</f>
        <v>35018.229999999996</v>
      </c>
      <c r="E42" s="26">
        <f>IF(SUMIFS('NSE - NIFTY Index Options'!$L:$L,'NSE - NIFTY Index Options'!$C:$C,$A42,'NSE - NIFTY Index Options'!$B:$B,E$4)+SUMIFS('NSE - Other Index Options'!$L:$L,'NSE - Other Index Options'!$C:$C,$A42,'NSE - Other Index Options'!$B:$B,E$4)=0,"",SUMIFS('NSE - NIFTY Index Options'!$L:$L,'NSE - NIFTY Index Options'!$C:$C,$A42,'NSE - NIFTY Index Options'!$B:$B,E$4)+SUMIFS('NSE - Other Index Options'!$L:$L,'NSE - Other Index Options'!$C:$C,$A42,'NSE - Other Index Options'!$B:$B,E$4))</f>
        <v>31802.94</v>
      </c>
      <c r="F42" s="26">
        <f>IF(SUMIFS('NSE - NIFTY Index Options'!$L:$L,'NSE - NIFTY Index Options'!$C:$C,$A42,'NSE - NIFTY Index Options'!$B:$B,F$4)+SUMIFS('NSE - Other Index Options'!$L:$L,'NSE - Other Index Options'!$C:$C,$A42,'NSE - Other Index Options'!$B:$B,F$4)=0,"",SUMIFS('NSE - NIFTY Index Options'!$L:$L,'NSE - NIFTY Index Options'!$C:$C,$A42,'NSE - NIFTY Index Options'!$B:$B,F$4)+SUMIFS('NSE - Other Index Options'!$L:$L,'NSE - Other Index Options'!$C:$C,$A42,'NSE - Other Index Options'!$B:$B,F$4))</f>
        <v>56668.26999999999</v>
      </c>
      <c r="G42" s="26" t="str">
        <f>IF(SUMIFS('NSE - NIFTY Index Options'!$L:$L,'NSE - NIFTY Index Options'!$C:$C,$A42,'NSE - NIFTY Index Options'!$B:$B,G$4)+SUMIFS('NSE - Other Index Options'!$L:$L,'NSE - Other Index Options'!$C:$C,$A42,'NSE - Other Index Options'!$B:$B,G$4)=0,"",SUMIFS('NSE - NIFTY Index Options'!$L:$L,'NSE - NIFTY Index Options'!$C:$C,$A42,'NSE - NIFTY Index Options'!$B:$B,G$4)+SUMIFS('NSE - Other Index Options'!$L:$L,'NSE - Other Index Options'!$C:$C,$A42,'NSE - Other Index Options'!$B:$B,G$4))</f>
        <v/>
      </c>
      <c r="H42" s="26">
        <f t="shared" si="1"/>
        <v>263630.27999999991</v>
      </c>
    </row>
    <row r="43" spans="1:8">
      <c r="A43" t="s">
        <v>48</v>
      </c>
      <c r="B43" s="26" t="str">
        <f>IF(SUMIFS('NSE - NIFTY Index Options'!$L:$L,'NSE - NIFTY Index Options'!$C:$C,$A43,'NSE - NIFTY Index Options'!$B:$B,B$4)+SUMIFS('NSE - Other Index Options'!$L:$L,'NSE - Other Index Options'!$C:$C,$A43,'NSE - Other Index Options'!$B:$B,B$4)=0,"",SUMIFS('NSE - NIFTY Index Options'!$L:$L,'NSE - NIFTY Index Options'!$C:$C,$A43,'NSE - NIFTY Index Options'!$B:$B,B$4)+SUMIFS('NSE - Other Index Options'!$L:$L,'NSE - Other Index Options'!$C:$C,$A43,'NSE - Other Index Options'!$B:$B,B$4))</f>
        <v/>
      </c>
      <c r="C43" s="26" t="str">
        <f>IF(SUMIFS('NSE - NIFTY Index Options'!$L:$L,'NSE - NIFTY Index Options'!$C:$C,$A43,'NSE - NIFTY Index Options'!$B:$B,C$4)+SUMIFS('NSE - Other Index Options'!$L:$L,'NSE - Other Index Options'!$C:$C,$A43,'NSE - Other Index Options'!$B:$B,C$4)=0,"",SUMIFS('NSE - NIFTY Index Options'!$L:$L,'NSE - NIFTY Index Options'!$C:$C,$A43,'NSE - NIFTY Index Options'!$B:$B,C$4)+SUMIFS('NSE - Other Index Options'!$L:$L,'NSE - Other Index Options'!$C:$C,$A43,'NSE - Other Index Options'!$B:$B,C$4))</f>
        <v/>
      </c>
      <c r="D43" s="26">
        <f>IF(SUMIFS('NSE - NIFTY Index Options'!$L:$L,'NSE - NIFTY Index Options'!$C:$C,$A43,'NSE - NIFTY Index Options'!$B:$B,D$4)+SUMIFS('NSE - Other Index Options'!$L:$L,'NSE - Other Index Options'!$C:$C,$A43,'NSE - Other Index Options'!$B:$B,D$4)=0,"",SUMIFS('NSE - NIFTY Index Options'!$L:$L,'NSE - NIFTY Index Options'!$C:$C,$A43,'NSE - NIFTY Index Options'!$B:$B,D$4)+SUMIFS('NSE - Other Index Options'!$L:$L,'NSE - Other Index Options'!$C:$C,$A43,'NSE - Other Index Options'!$B:$B,D$4))</f>
        <v>39068.560000000005</v>
      </c>
      <c r="E43" s="26">
        <f>IF(SUMIFS('NSE - NIFTY Index Options'!$L:$L,'NSE - NIFTY Index Options'!$C:$C,$A43,'NSE - NIFTY Index Options'!$B:$B,E$4)+SUMIFS('NSE - Other Index Options'!$L:$L,'NSE - Other Index Options'!$C:$C,$A43,'NSE - Other Index Options'!$B:$B,E$4)=0,"",SUMIFS('NSE - NIFTY Index Options'!$L:$L,'NSE - NIFTY Index Options'!$C:$C,$A43,'NSE - NIFTY Index Options'!$B:$B,E$4)+SUMIFS('NSE - Other Index Options'!$L:$L,'NSE - Other Index Options'!$C:$C,$A43,'NSE - Other Index Options'!$B:$B,E$4))</f>
        <v>38491.61</v>
      </c>
      <c r="F43" s="26" t="str">
        <f>IF(SUMIFS('NSE - NIFTY Index Options'!$L:$L,'NSE - NIFTY Index Options'!$C:$C,$A43,'NSE - NIFTY Index Options'!$B:$B,F$4)+SUMIFS('NSE - Other Index Options'!$L:$L,'NSE - Other Index Options'!$C:$C,$A43,'NSE - Other Index Options'!$B:$B,F$4)=0,"",SUMIFS('NSE - NIFTY Index Options'!$L:$L,'NSE - NIFTY Index Options'!$C:$C,$A43,'NSE - NIFTY Index Options'!$B:$B,F$4)+SUMIFS('NSE - Other Index Options'!$L:$L,'NSE - Other Index Options'!$C:$C,$A43,'NSE - Other Index Options'!$B:$B,F$4))</f>
        <v/>
      </c>
      <c r="G43" s="26" t="str">
        <f>IF(SUMIFS('NSE - NIFTY Index Options'!$L:$L,'NSE - NIFTY Index Options'!$C:$C,$A43,'NSE - NIFTY Index Options'!$B:$B,G$4)+SUMIFS('NSE - Other Index Options'!$L:$L,'NSE - Other Index Options'!$C:$C,$A43,'NSE - Other Index Options'!$B:$B,G$4)=0,"",SUMIFS('NSE - NIFTY Index Options'!$L:$L,'NSE - NIFTY Index Options'!$C:$C,$A43,'NSE - NIFTY Index Options'!$B:$B,G$4)+SUMIFS('NSE - Other Index Options'!$L:$L,'NSE - Other Index Options'!$C:$C,$A43,'NSE - Other Index Options'!$B:$B,G$4))</f>
        <v/>
      </c>
      <c r="H43" s="26">
        <f t="shared" si="1"/>
        <v>77560.170000000013</v>
      </c>
    </row>
    <row r="44" spans="1:8">
      <c r="A44" t="s">
        <v>49</v>
      </c>
      <c r="B44" s="26">
        <f>IF(SUMIFS('NSE - NIFTY Index Options'!$L:$L,'NSE - NIFTY Index Options'!$C:$C,$A44,'NSE - NIFTY Index Options'!$B:$B,B$4)+SUMIFS('NSE - Other Index Options'!$L:$L,'NSE - Other Index Options'!$C:$C,$A44,'NSE - Other Index Options'!$B:$B,B$4)=0,"",SUMIFS('NSE - NIFTY Index Options'!$L:$L,'NSE - NIFTY Index Options'!$C:$C,$A44,'NSE - NIFTY Index Options'!$B:$B,B$4)+SUMIFS('NSE - Other Index Options'!$L:$L,'NSE - Other Index Options'!$C:$C,$A44,'NSE - Other Index Options'!$B:$B,B$4))</f>
        <v>79431.000000000015</v>
      </c>
      <c r="C44" s="26">
        <f>IF(SUMIFS('NSE - NIFTY Index Options'!$L:$L,'NSE - NIFTY Index Options'!$C:$C,$A44,'NSE - NIFTY Index Options'!$B:$B,C$4)+SUMIFS('NSE - Other Index Options'!$L:$L,'NSE - Other Index Options'!$C:$C,$A44,'NSE - Other Index Options'!$B:$B,C$4)=0,"",SUMIFS('NSE - NIFTY Index Options'!$L:$L,'NSE - NIFTY Index Options'!$C:$C,$A44,'NSE - NIFTY Index Options'!$B:$B,C$4)+SUMIFS('NSE - Other Index Options'!$L:$L,'NSE - Other Index Options'!$C:$C,$A44,'NSE - Other Index Options'!$B:$B,C$4))</f>
        <v>85183.48000000001</v>
      </c>
      <c r="D44" s="26">
        <f>IF(SUMIFS('NSE - NIFTY Index Options'!$L:$L,'NSE - NIFTY Index Options'!$C:$C,$A44,'NSE - NIFTY Index Options'!$B:$B,D$4)+SUMIFS('NSE - Other Index Options'!$L:$L,'NSE - Other Index Options'!$C:$C,$A44,'NSE - Other Index Options'!$B:$B,D$4)=0,"",SUMIFS('NSE - NIFTY Index Options'!$L:$L,'NSE - NIFTY Index Options'!$C:$C,$A44,'NSE - NIFTY Index Options'!$B:$B,D$4)+SUMIFS('NSE - Other Index Options'!$L:$L,'NSE - Other Index Options'!$C:$C,$A44,'NSE - Other Index Options'!$B:$B,D$4))</f>
        <v>49308.999999999993</v>
      </c>
      <c r="E44" s="26">
        <f>IF(SUMIFS('NSE - NIFTY Index Options'!$L:$L,'NSE - NIFTY Index Options'!$C:$C,$A44,'NSE - NIFTY Index Options'!$B:$B,E$4)+SUMIFS('NSE - Other Index Options'!$L:$L,'NSE - Other Index Options'!$C:$C,$A44,'NSE - Other Index Options'!$B:$B,E$4)=0,"",SUMIFS('NSE - NIFTY Index Options'!$L:$L,'NSE - NIFTY Index Options'!$C:$C,$A44,'NSE - NIFTY Index Options'!$B:$B,E$4)+SUMIFS('NSE - Other Index Options'!$L:$L,'NSE - Other Index Options'!$C:$C,$A44,'NSE - Other Index Options'!$B:$B,E$4))</f>
        <v>38371.410000000003</v>
      </c>
      <c r="F44" s="26" t="str">
        <f>IF(SUMIFS('NSE - NIFTY Index Options'!$L:$L,'NSE - NIFTY Index Options'!$C:$C,$A44,'NSE - NIFTY Index Options'!$B:$B,F$4)+SUMIFS('NSE - Other Index Options'!$L:$L,'NSE - Other Index Options'!$C:$C,$A44,'NSE - Other Index Options'!$B:$B,F$4)=0,"",SUMIFS('NSE - NIFTY Index Options'!$L:$L,'NSE - NIFTY Index Options'!$C:$C,$A44,'NSE - NIFTY Index Options'!$B:$B,F$4)+SUMIFS('NSE - Other Index Options'!$L:$L,'NSE - Other Index Options'!$C:$C,$A44,'NSE - Other Index Options'!$B:$B,F$4))</f>
        <v/>
      </c>
      <c r="G44" s="26" t="str">
        <f>IF(SUMIFS('NSE - NIFTY Index Options'!$L:$L,'NSE - NIFTY Index Options'!$C:$C,$A44,'NSE - NIFTY Index Options'!$B:$B,G$4)+SUMIFS('NSE - Other Index Options'!$L:$L,'NSE - Other Index Options'!$C:$C,$A44,'NSE - Other Index Options'!$B:$B,G$4)=0,"",SUMIFS('NSE - NIFTY Index Options'!$L:$L,'NSE - NIFTY Index Options'!$C:$C,$A44,'NSE - NIFTY Index Options'!$B:$B,G$4)+SUMIFS('NSE - Other Index Options'!$L:$L,'NSE - Other Index Options'!$C:$C,$A44,'NSE - Other Index Options'!$B:$B,G$4))</f>
        <v/>
      </c>
      <c r="H44" s="26">
        <f t="shared" si="1"/>
        <v>252294.89000000004</v>
      </c>
    </row>
    <row r="45" spans="1:8">
      <c r="A45" t="s">
        <v>50</v>
      </c>
      <c r="B45" s="26">
        <f>IF(SUMIFS('NSE - NIFTY Index Options'!$L:$L,'NSE - NIFTY Index Options'!$C:$C,$A45,'NSE - NIFTY Index Options'!$B:$B,B$4)+SUMIFS('NSE - Other Index Options'!$L:$L,'NSE - Other Index Options'!$C:$C,$A45,'NSE - Other Index Options'!$B:$B,B$4)=0,"",SUMIFS('NSE - NIFTY Index Options'!$L:$L,'NSE - NIFTY Index Options'!$C:$C,$A45,'NSE - NIFTY Index Options'!$B:$B,B$4)+SUMIFS('NSE - Other Index Options'!$L:$L,'NSE - Other Index Options'!$C:$C,$A45,'NSE - Other Index Options'!$B:$B,B$4))</f>
        <v>64087.640000000007</v>
      </c>
      <c r="C45" s="26">
        <f>IF(SUMIFS('NSE - NIFTY Index Options'!$L:$L,'NSE - NIFTY Index Options'!$C:$C,$A45,'NSE - NIFTY Index Options'!$B:$B,C$4)+SUMIFS('NSE - Other Index Options'!$L:$L,'NSE - Other Index Options'!$C:$C,$A45,'NSE - Other Index Options'!$B:$B,C$4)=0,"",SUMIFS('NSE - NIFTY Index Options'!$L:$L,'NSE - NIFTY Index Options'!$C:$C,$A45,'NSE - NIFTY Index Options'!$B:$B,C$4)+SUMIFS('NSE - Other Index Options'!$L:$L,'NSE - Other Index Options'!$C:$C,$A45,'NSE - Other Index Options'!$B:$B,C$4))</f>
        <v>81012.009999999995</v>
      </c>
      <c r="D45" s="26">
        <f>IF(SUMIFS('NSE - NIFTY Index Options'!$L:$L,'NSE - NIFTY Index Options'!$C:$C,$A45,'NSE - NIFTY Index Options'!$B:$B,D$4)+SUMIFS('NSE - Other Index Options'!$L:$L,'NSE - Other Index Options'!$C:$C,$A45,'NSE - Other Index Options'!$B:$B,D$4)=0,"",SUMIFS('NSE - NIFTY Index Options'!$L:$L,'NSE - NIFTY Index Options'!$C:$C,$A45,'NSE - NIFTY Index Options'!$B:$B,D$4)+SUMIFS('NSE - Other Index Options'!$L:$L,'NSE - Other Index Options'!$C:$C,$A45,'NSE - Other Index Options'!$B:$B,D$4))</f>
        <v>49054.030000000013</v>
      </c>
      <c r="E45" s="26">
        <f>IF(SUMIFS('NSE - NIFTY Index Options'!$L:$L,'NSE - NIFTY Index Options'!$C:$C,$A45,'NSE - NIFTY Index Options'!$B:$B,E$4)+SUMIFS('NSE - Other Index Options'!$L:$L,'NSE - Other Index Options'!$C:$C,$A45,'NSE - Other Index Options'!$B:$B,E$4)=0,"",SUMIFS('NSE - NIFTY Index Options'!$L:$L,'NSE - NIFTY Index Options'!$C:$C,$A45,'NSE - NIFTY Index Options'!$B:$B,E$4)+SUMIFS('NSE - Other Index Options'!$L:$L,'NSE - Other Index Options'!$C:$C,$A45,'NSE - Other Index Options'!$B:$B,E$4))</f>
        <v>40668.639999999999</v>
      </c>
      <c r="F45" s="26">
        <f>IF(SUMIFS('NSE - NIFTY Index Options'!$L:$L,'NSE - NIFTY Index Options'!$C:$C,$A45,'NSE - NIFTY Index Options'!$B:$B,F$4)+SUMIFS('NSE - Other Index Options'!$L:$L,'NSE - Other Index Options'!$C:$C,$A45,'NSE - Other Index Options'!$B:$B,F$4)=0,"",SUMIFS('NSE - NIFTY Index Options'!$L:$L,'NSE - NIFTY Index Options'!$C:$C,$A45,'NSE - NIFTY Index Options'!$B:$B,F$4)+SUMIFS('NSE - Other Index Options'!$L:$L,'NSE - Other Index Options'!$C:$C,$A45,'NSE - Other Index Options'!$B:$B,F$4))</f>
        <v>54997.280000000006</v>
      </c>
      <c r="G45" s="26" t="str">
        <f>IF(SUMIFS('NSE - NIFTY Index Options'!$L:$L,'NSE - NIFTY Index Options'!$C:$C,$A45,'NSE - NIFTY Index Options'!$B:$B,G$4)+SUMIFS('NSE - Other Index Options'!$L:$L,'NSE - Other Index Options'!$C:$C,$A45,'NSE - Other Index Options'!$B:$B,G$4)=0,"",SUMIFS('NSE - NIFTY Index Options'!$L:$L,'NSE - NIFTY Index Options'!$C:$C,$A45,'NSE - NIFTY Index Options'!$B:$B,G$4)+SUMIFS('NSE - Other Index Options'!$L:$L,'NSE - Other Index Options'!$C:$C,$A45,'NSE - Other Index Options'!$B:$B,G$4))</f>
        <v/>
      </c>
      <c r="H45" s="26">
        <f t="shared" si="1"/>
        <v>289819.60000000003</v>
      </c>
    </row>
    <row r="46" spans="1:8">
      <c r="A46" t="s">
        <v>51</v>
      </c>
      <c r="B46" s="26">
        <f>IF(SUMIFS('NSE - NIFTY Index Options'!$L:$L,'NSE - NIFTY Index Options'!$C:$C,$A46,'NSE - NIFTY Index Options'!$B:$B,B$4)+SUMIFS('NSE - Other Index Options'!$L:$L,'NSE - Other Index Options'!$C:$C,$A46,'NSE - Other Index Options'!$B:$B,B$4)=0,"",SUMIFS('NSE - NIFTY Index Options'!$L:$L,'NSE - NIFTY Index Options'!$C:$C,$A46,'NSE - NIFTY Index Options'!$B:$B,B$4)+SUMIFS('NSE - Other Index Options'!$L:$L,'NSE - Other Index Options'!$C:$C,$A46,'NSE - Other Index Options'!$B:$B,B$4))</f>
        <v>80782.820000000007</v>
      </c>
      <c r="C46" s="26">
        <f>IF(SUMIFS('NSE - NIFTY Index Options'!$L:$L,'NSE - NIFTY Index Options'!$C:$C,$A46,'NSE - NIFTY Index Options'!$B:$B,C$4)+SUMIFS('NSE - Other Index Options'!$L:$L,'NSE - Other Index Options'!$C:$C,$A46,'NSE - Other Index Options'!$B:$B,C$4)=0,"",SUMIFS('NSE - NIFTY Index Options'!$L:$L,'NSE - NIFTY Index Options'!$C:$C,$A46,'NSE - NIFTY Index Options'!$B:$B,C$4)+SUMIFS('NSE - Other Index Options'!$L:$L,'NSE - Other Index Options'!$C:$C,$A46,'NSE - Other Index Options'!$B:$B,C$4))</f>
        <v>77539.489999999976</v>
      </c>
      <c r="D46" s="26">
        <f>IF(SUMIFS('NSE - NIFTY Index Options'!$L:$L,'NSE - NIFTY Index Options'!$C:$C,$A46,'NSE - NIFTY Index Options'!$B:$B,D$4)+SUMIFS('NSE - Other Index Options'!$L:$L,'NSE - Other Index Options'!$C:$C,$A46,'NSE - Other Index Options'!$B:$B,D$4)=0,"",SUMIFS('NSE - NIFTY Index Options'!$L:$L,'NSE - NIFTY Index Options'!$C:$C,$A46,'NSE - NIFTY Index Options'!$B:$B,D$4)+SUMIFS('NSE - Other Index Options'!$L:$L,'NSE - Other Index Options'!$C:$C,$A46,'NSE - Other Index Options'!$B:$B,D$4))</f>
        <v>42552.80000000001</v>
      </c>
      <c r="E46" s="26">
        <f>IF(SUMIFS('NSE - NIFTY Index Options'!$L:$L,'NSE - NIFTY Index Options'!$C:$C,$A46,'NSE - NIFTY Index Options'!$B:$B,E$4)+SUMIFS('NSE - Other Index Options'!$L:$L,'NSE - Other Index Options'!$C:$C,$A46,'NSE - Other Index Options'!$B:$B,E$4)=0,"",SUMIFS('NSE - NIFTY Index Options'!$L:$L,'NSE - NIFTY Index Options'!$C:$C,$A46,'NSE - NIFTY Index Options'!$B:$B,E$4)+SUMIFS('NSE - Other Index Options'!$L:$L,'NSE - Other Index Options'!$C:$C,$A46,'NSE - Other Index Options'!$B:$B,E$4))</f>
        <v>36937.229999999996</v>
      </c>
      <c r="F46" s="26">
        <f>IF(SUMIFS('NSE - NIFTY Index Options'!$L:$L,'NSE - NIFTY Index Options'!$C:$C,$A46,'NSE - NIFTY Index Options'!$B:$B,F$4)+SUMIFS('NSE - Other Index Options'!$L:$L,'NSE - Other Index Options'!$C:$C,$A46,'NSE - Other Index Options'!$B:$B,F$4)=0,"",SUMIFS('NSE - NIFTY Index Options'!$L:$L,'NSE - NIFTY Index Options'!$C:$C,$A46,'NSE - NIFTY Index Options'!$B:$B,F$4)+SUMIFS('NSE - Other Index Options'!$L:$L,'NSE - Other Index Options'!$C:$C,$A46,'NSE - Other Index Options'!$B:$B,F$4))</f>
        <v>65859.010000000009</v>
      </c>
      <c r="G46" s="26" t="str">
        <f>IF(SUMIFS('NSE - NIFTY Index Options'!$L:$L,'NSE - NIFTY Index Options'!$C:$C,$A46,'NSE - NIFTY Index Options'!$B:$B,G$4)+SUMIFS('NSE - Other Index Options'!$L:$L,'NSE - Other Index Options'!$C:$C,$A46,'NSE - Other Index Options'!$B:$B,G$4)=0,"",SUMIFS('NSE - NIFTY Index Options'!$L:$L,'NSE - NIFTY Index Options'!$C:$C,$A46,'NSE - NIFTY Index Options'!$B:$B,G$4)+SUMIFS('NSE - Other Index Options'!$L:$L,'NSE - Other Index Options'!$C:$C,$A46,'NSE - Other Index Options'!$B:$B,G$4))</f>
        <v/>
      </c>
      <c r="H46" s="26">
        <f t="shared" si="1"/>
        <v>303671.35000000003</v>
      </c>
    </row>
    <row r="47" spans="1:8">
      <c r="A47" t="s">
        <v>52</v>
      </c>
      <c r="B47" s="26">
        <f>IF(SUMIFS('NSE - NIFTY Index Options'!$L:$L,'NSE - NIFTY Index Options'!$C:$C,$A47,'NSE - NIFTY Index Options'!$B:$B,B$4)+SUMIFS('NSE - Other Index Options'!$L:$L,'NSE - Other Index Options'!$C:$C,$A47,'NSE - Other Index Options'!$B:$B,B$4)=0,"",SUMIFS('NSE - NIFTY Index Options'!$L:$L,'NSE - NIFTY Index Options'!$C:$C,$A47,'NSE - NIFTY Index Options'!$B:$B,B$4)+SUMIFS('NSE - Other Index Options'!$L:$L,'NSE - Other Index Options'!$C:$C,$A47,'NSE - Other Index Options'!$B:$B,B$4))</f>
        <v>51655.369999999995</v>
      </c>
      <c r="C47" s="26">
        <f>IF(SUMIFS('NSE - NIFTY Index Options'!$L:$L,'NSE - NIFTY Index Options'!$C:$C,$A47,'NSE - NIFTY Index Options'!$B:$B,C$4)+SUMIFS('NSE - Other Index Options'!$L:$L,'NSE - Other Index Options'!$C:$C,$A47,'NSE - Other Index Options'!$B:$B,C$4)=0,"",SUMIFS('NSE - NIFTY Index Options'!$L:$L,'NSE - NIFTY Index Options'!$C:$C,$A47,'NSE - NIFTY Index Options'!$B:$B,C$4)+SUMIFS('NSE - Other Index Options'!$L:$L,'NSE - Other Index Options'!$C:$C,$A47,'NSE - Other Index Options'!$B:$B,C$4))</f>
        <v>75912.929999999993</v>
      </c>
      <c r="D47" s="26">
        <f>IF(SUMIFS('NSE - NIFTY Index Options'!$L:$L,'NSE - NIFTY Index Options'!$C:$C,$A47,'NSE - NIFTY Index Options'!$B:$B,D$4)+SUMIFS('NSE - Other Index Options'!$L:$L,'NSE - Other Index Options'!$C:$C,$A47,'NSE - Other Index Options'!$B:$B,D$4)=0,"",SUMIFS('NSE - NIFTY Index Options'!$L:$L,'NSE - NIFTY Index Options'!$C:$C,$A47,'NSE - NIFTY Index Options'!$B:$B,D$4)+SUMIFS('NSE - Other Index Options'!$L:$L,'NSE - Other Index Options'!$C:$C,$A47,'NSE - Other Index Options'!$B:$B,D$4))</f>
        <v>27131.47</v>
      </c>
      <c r="E47" s="26" t="str">
        <f>IF(SUMIFS('NSE - NIFTY Index Options'!$L:$L,'NSE - NIFTY Index Options'!$C:$C,$A47,'NSE - NIFTY Index Options'!$B:$B,E$4)+SUMIFS('NSE - Other Index Options'!$L:$L,'NSE - Other Index Options'!$C:$C,$A47,'NSE - Other Index Options'!$B:$B,E$4)=0,"",SUMIFS('NSE - NIFTY Index Options'!$L:$L,'NSE - NIFTY Index Options'!$C:$C,$A47,'NSE - NIFTY Index Options'!$B:$B,E$4)+SUMIFS('NSE - Other Index Options'!$L:$L,'NSE - Other Index Options'!$C:$C,$A47,'NSE - Other Index Options'!$B:$B,E$4))</f>
        <v/>
      </c>
      <c r="F47" s="26">
        <f>IF(SUMIFS('NSE - NIFTY Index Options'!$L:$L,'NSE - NIFTY Index Options'!$C:$C,$A47,'NSE - NIFTY Index Options'!$B:$B,F$4)+SUMIFS('NSE - Other Index Options'!$L:$L,'NSE - Other Index Options'!$C:$C,$A47,'NSE - Other Index Options'!$B:$B,F$4)=0,"",SUMIFS('NSE - NIFTY Index Options'!$L:$L,'NSE - NIFTY Index Options'!$C:$C,$A47,'NSE - NIFTY Index Options'!$B:$B,F$4)+SUMIFS('NSE - Other Index Options'!$L:$L,'NSE - Other Index Options'!$C:$C,$A47,'NSE - Other Index Options'!$B:$B,F$4))</f>
        <v>53802.789999999994</v>
      </c>
      <c r="G47" s="26" t="str">
        <f>IF(SUMIFS('NSE - NIFTY Index Options'!$L:$L,'NSE - NIFTY Index Options'!$C:$C,$A47,'NSE - NIFTY Index Options'!$B:$B,G$4)+SUMIFS('NSE - Other Index Options'!$L:$L,'NSE - Other Index Options'!$C:$C,$A47,'NSE - Other Index Options'!$B:$B,G$4)=0,"",SUMIFS('NSE - NIFTY Index Options'!$L:$L,'NSE - NIFTY Index Options'!$C:$C,$A47,'NSE - NIFTY Index Options'!$B:$B,G$4)+SUMIFS('NSE - Other Index Options'!$L:$L,'NSE - Other Index Options'!$C:$C,$A47,'NSE - Other Index Options'!$B:$B,G$4))</f>
        <v/>
      </c>
      <c r="H47" s="26">
        <f t="shared" si="1"/>
        <v>208502.56</v>
      </c>
    </row>
    <row r="48" spans="1:8">
      <c r="A48" t="s">
        <v>53</v>
      </c>
      <c r="B48" s="26" t="str">
        <f>IF(SUMIFS('NSE - NIFTY Index Options'!$L:$L,'NSE - NIFTY Index Options'!$C:$C,$A48,'NSE - NIFTY Index Options'!$B:$B,B$4)+SUMIFS('NSE - Other Index Options'!$L:$L,'NSE - Other Index Options'!$C:$C,$A48,'NSE - Other Index Options'!$B:$B,B$4)=0,"",SUMIFS('NSE - NIFTY Index Options'!$L:$L,'NSE - NIFTY Index Options'!$C:$C,$A48,'NSE - NIFTY Index Options'!$B:$B,B$4)+SUMIFS('NSE - Other Index Options'!$L:$L,'NSE - Other Index Options'!$C:$C,$A48,'NSE - Other Index Options'!$B:$B,B$4))</f>
        <v/>
      </c>
      <c r="C48" s="26" t="str">
        <f>IF(SUMIFS('NSE - NIFTY Index Options'!$L:$L,'NSE - NIFTY Index Options'!$C:$C,$A48,'NSE - NIFTY Index Options'!$B:$B,C$4)+SUMIFS('NSE - Other Index Options'!$L:$L,'NSE - Other Index Options'!$C:$C,$A48,'NSE - Other Index Options'!$B:$B,C$4)=0,"",SUMIFS('NSE - NIFTY Index Options'!$L:$L,'NSE - NIFTY Index Options'!$C:$C,$A48,'NSE - NIFTY Index Options'!$B:$B,C$4)+SUMIFS('NSE - Other Index Options'!$L:$L,'NSE - Other Index Options'!$C:$C,$A48,'NSE - Other Index Options'!$B:$B,C$4))</f>
        <v/>
      </c>
      <c r="D48" s="26" t="str">
        <f>IF(SUMIFS('NSE - NIFTY Index Options'!$L:$L,'NSE - NIFTY Index Options'!$C:$C,$A48,'NSE - NIFTY Index Options'!$B:$B,D$4)+SUMIFS('NSE - Other Index Options'!$L:$L,'NSE - Other Index Options'!$C:$C,$A48,'NSE - Other Index Options'!$B:$B,D$4)=0,"",SUMIFS('NSE - NIFTY Index Options'!$L:$L,'NSE - NIFTY Index Options'!$C:$C,$A48,'NSE - NIFTY Index Options'!$B:$B,D$4)+SUMIFS('NSE - Other Index Options'!$L:$L,'NSE - Other Index Options'!$C:$C,$A48,'NSE - Other Index Options'!$B:$B,D$4))</f>
        <v/>
      </c>
      <c r="E48" s="26" t="str">
        <f>IF(SUMIFS('NSE - NIFTY Index Options'!$L:$L,'NSE - NIFTY Index Options'!$C:$C,$A48,'NSE - NIFTY Index Options'!$B:$B,E$4)+SUMIFS('NSE - Other Index Options'!$L:$L,'NSE - Other Index Options'!$C:$C,$A48,'NSE - Other Index Options'!$B:$B,E$4)=0,"",SUMIFS('NSE - NIFTY Index Options'!$L:$L,'NSE - NIFTY Index Options'!$C:$C,$A48,'NSE - NIFTY Index Options'!$B:$B,E$4)+SUMIFS('NSE - Other Index Options'!$L:$L,'NSE - Other Index Options'!$C:$C,$A48,'NSE - Other Index Options'!$B:$B,E$4))</f>
        <v/>
      </c>
      <c r="F48" s="26">
        <f>IF(SUMIFS('NSE - NIFTY Index Options'!$L:$L,'NSE - NIFTY Index Options'!$C:$C,$A48,'NSE - NIFTY Index Options'!$B:$B,F$4)+SUMIFS('NSE - Other Index Options'!$L:$L,'NSE - Other Index Options'!$C:$C,$A48,'NSE - Other Index Options'!$B:$B,F$4)=0,"",SUMIFS('NSE - NIFTY Index Options'!$L:$L,'NSE - NIFTY Index Options'!$C:$C,$A48,'NSE - NIFTY Index Options'!$B:$B,F$4)+SUMIFS('NSE - Other Index Options'!$L:$L,'NSE - Other Index Options'!$C:$C,$A48,'NSE - Other Index Options'!$B:$B,F$4))</f>
        <v>58583.219999999979</v>
      </c>
      <c r="G48" s="26" t="str">
        <f>IF(SUMIFS('NSE - NIFTY Index Options'!$L:$L,'NSE - NIFTY Index Options'!$C:$C,$A48,'NSE - NIFTY Index Options'!$B:$B,G$4)+SUMIFS('NSE - Other Index Options'!$L:$L,'NSE - Other Index Options'!$C:$C,$A48,'NSE - Other Index Options'!$B:$B,G$4)=0,"",SUMIFS('NSE - NIFTY Index Options'!$L:$L,'NSE - NIFTY Index Options'!$C:$C,$A48,'NSE - NIFTY Index Options'!$B:$B,G$4)+SUMIFS('NSE - Other Index Options'!$L:$L,'NSE - Other Index Options'!$C:$C,$A48,'NSE - Other Index Options'!$B:$B,G$4))</f>
        <v/>
      </c>
      <c r="H48" s="26">
        <f t="shared" si="1"/>
        <v>58583.219999999979</v>
      </c>
    </row>
    <row r="49" spans="1:8">
      <c r="A49" t="s">
        <v>54</v>
      </c>
      <c r="B49" s="26">
        <f>IF(SUMIFS('NSE - NIFTY Index Options'!$L:$L,'NSE - NIFTY Index Options'!$C:$C,$A49,'NSE - NIFTY Index Options'!$B:$B,B$4)+SUMIFS('NSE - Other Index Options'!$L:$L,'NSE - Other Index Options'!$C:$C,$A49,'NSE - Other Index Options'!$B:$B,B$4)=0,"",SUMIFS('NSE - NIFTY Index Options'!$L:$L,'NSE - NIFTY Index Options'!$C:$C,$A49,'NSE - NIFTY Index Options'!$B:$B,B$4)+SUMIFS('NSE - Other Index Options'!$L:$L,'NSE - Other Index Options'!$C:$C,$A49,'NSE - Other Index Options'!$B:$B,B$4))</f>
        <v>65921.219999999987</v>
      </c>
      <c r="C49" s="26">
        <f>IF(SUMIFS('NSE - NIFTY Index Options'!$L:$L,'NSE - NIFTY Index Options'!$C:$C,$A49,'NSE - NIFTY Index Options'!$B:$B,C$4)+SUMIFS('NSE - Other Index Options'!$L:$L,'NSE - Other Index Options'!$C:$C,$A49,'NSE - Other Index Options'!$B:$B,C$4)=0,"",SUMIFS('NSE - NIFTY Index Options'!$L:$L,'NSE - NIFTY Index Options'!$C:$C,$A49,'NSE - NIFTY Index Options'!$B:$B,C$4)+SUMIFS('NSE - Other Index Options'!$L:$L,'NSE - Other Index Options'!$C:$C,$A49,'NSE - Other Index Options'!$B:$B,C$4))</f>
        <v>92357.180000000008</v>
      </c>
      <c r="D49" s="26">
        <f>IF(SUMIFS('NSE - NIFTY Index Options'!$L:$L,'NSE - NIFTY Index Options'!$C:$C,$A49,'NSE - NIFTY Index Options'!$B:$B,D$4)+SUMIFS('NSE - Other Index Options'!$L:$L,'NSE - Other Index Options'!$C:$C,$A49,'NSE - Other Index Options'!$B:$B,D$4)=0,"",SUMIFS('NSE - NIFTY Index Options'!$L:$L,'NSE - NIFTY Index Options'!$C:$C,$A49,'NSE - NIFTY Index Options'!$B:$B,D$4)+SUMIFS('NSE - Other Index Options'!$L:$L,'NSE - Other Index Options'!$C:$C,$A49,'NSE - Other Index Options'!$B:$B,D$4))</f>
        <v>53079.049999999981</v>
      </c>
      <c r="E49" s="26">
        <f>IF(SUMIFS('NSE - NIFTY Index Options'!$L:$L,'NSE - NIFTY Index Options'!$C:$C,$A49,'NSE - NIFTY Index Options'!$B:$B,E$4)+SUMIFS('NSE - Other Index Options'!$L:$L,'NSE - Other Index Options'!$C:$C,$A49,'NSE - Other Index Options'!$B:$B,E$4)=0,"",SUMIFS('NSE - NIFTY Index Options'!$L:$L,'NSE - NIFTY Index Options'!$C:$C,$A49,'NSE - NIFTY Index Options'!$B:$B,E$4)+SUMIFS('NSE - Other Index Options'!$L:$L,'NSE - Other Index Options'!$C:$C,$A49,'NSE - Other Index Options'!$B:$B,E$4))</f>
        <v>36712.350000000006</v>
      </c>
      <c r="F49" s="26">
        <f>IF(SUMIFS('NSE - NIFTY Index Options'!$L:$L,'NSE - NIFTY Index Options'!$C:$C,$A49,'NSE - NIFTY Index Options'!$B:$B,F$4)+SUMIFS('NSE - Other Index Options'!$L:$L,'NSE - Other Index Options'!$C:$C,$A49,'NSE - Other Index Options'!$B:$B,F$4)=0,"",SUMIFS('NSE - NIFTY Index Options'!$L:$L,'NSE - NIFTY Index Options'!$C:$C,$A49,'NSE - NIFTY Index Options'!$B:$B,F$4)+SUMIFS('NSE - Other Index Options'!$L:$L,'NSE - Other Index Options'!$C:$C,$A49,'NSE - Other Index Options'!$B:$B,F$4))</f>
        <v>71636.939999999973</v>
      </c>
      <c r="G49" s="26" t="str">
        <f>IF(SUMIFS('NSE - NIFTY Index Options'!$L:$L,'NSE - NIFTY Index Options'!$C:$C,$A49,'NSE - NIFTY Index Options'!$B:$B,G$4)+SUMIFS('NSE - Other Index Options'!$L:$L,'NSE - Other Index Options'!$C:$C,$A49,'NSE - Other Index Options'!$B:$B,G$4)=0,"",SUMIFS('NSE - NIFTY Index Options'!$L:$L,'NSE - NIFTY Index Options'!$C:$C,$A49,'NSE - NIFTY Index Options'!$B:$B,G$4)+SUMIFS('NSE - Other Index Options'!$L:$L,'NSE - Other Index Options'!$C:$C,$A49,'NSE - Other Index Options'!$B:$B,G$4))</f>
        <v/>
      </c>
      <c r="H49" s="26">
        <f t="shared" si="1"/>
        <v>319706.74</v>
      </c>
    </row>
    <row r="50" spans="1:8">
      <c r="A50" t="s">
        <v>55</v>
      </c>
      <c r="B50" s="26">
        <f>IF(SUMIFS('NSE - NIFTY Index Options'!$L:$L,'NSE - NIFTY Index Options'!$C:$C,$A50,'NSE - NIFTY Index Options'!$B:$B,B$4)+SUMIFS('NSE - Other Index Options'!$L:$L,'NSE - Other Index Options'!$C:$C,$A50,'NSE - Other Index Options'!$B:$B,B$4)=0,"",SUMIFS('NSE - NIFTY Index Options'!$L:$L,'NSE - NIFTY Index Options'!$C:$C,$A50,'NSE - NIFTY Index Options'!$B:$B,B$4)+SUMIFS('NSE - Other Index Options'!$L:$L,'NSE - Other Index Options'!$C:$C,$A50,'NSE - Other Index Options'!$B:$B,B$4))</f>
        <v>64505.320000000007</v>
      </c>
      <c r="C50" s="26">
        <f>IF(SUMIFS('NSE - NIFTY Index Options'!$L:$L,'NSE - NIFTY Index Options'!$C:$C,$A50,'NSE - NIFTY Index Options'!$B:$B,C$4)+SUMIFS('NSE - Other Index Options'!$L:$L,'NSE - Other Index Options'!$C:$C,$A50,'NSE - Other Index Options'!$B:$B,C$4)=0,"",SUMIFS('NSE - NIFTY Index Options'!$L:$L,'NSE - NIFTY Index Options'!$C:$C,$A50,'NSE - NIFTY Index Options'!$B:$B,C$4)+SUMIFS('NSE - Other Index Options'!$L:$L,'NSE - Other Index Options'!$C:$C,$A50,'NSE - Other Index Options'!$B:$B,C$4))</f>
        <v>74670.540000000008</v>
      </c>
      <c r="D50" s="26">
        <f>IF(SUMIFS('NSE - NIFTY Index Options'!$L:$L,'NSE - NIFTY Index Options'!$C:$C,$A50,'NSE - NIFTY Index Options'!$B:$B,D$4)+SUMIFS('NSE - Other Index Options'!$L:$L,'NSE - Other Index Options'!$C:$C,$A50,'NSE - Other Index Options'!$B:$B,D$4)=0,"",SUMIFS('NSE - NIFTY Index Options'!$L:$L,'NSE - NIFTY Index Options'!$C:$C,$A50,'NSE - NIFTY Index Options'!$B:$B,D$4)+SUMIFS('NSE - Other Index Options'!$L:$L,'NSE - Other Index Options'!$C:$C,$A50,'NSE - Other Index Options'!$B:$B,D$4))</f>
        <v>38624.080000000002</v>
      </c>
      <c r="E50" s="26">
        <f>IF(SUMIFS('NSE - NIFTY Index Options'!$L:$L,'NSE - NIFTY Index Options'!$C:$C,$A50,'NSE - NIFTY Index Options'!$B:$B,E$4)+SUMIFS('NSE - Other Index Options'!$L:$L,'NSE - Other Index Options'!$C:$C,$A50,'NSE - Other Index Options'!$B:$B,E$4)=0,"",SUMIFS('NSE - NIFTY Index Options'!$L:$L,'NSE - NIFTY Index Options'!$C:$C,$A50,'NSE - NIFTY Index Options'!$B:$B,E$4)+SUMIFS('NSE - Other Index Options'!$L:$L,'NSE - Other Index Options'!$C:$C,$A50,'NSE - Other Index Options'!$B:$B,E$4))</f>
        <v>34962.42</v>
      </c>
      <c r="F50" s="26">
        <f>IF(SUMIFS('NSE - NIFTY Index Options'!$L:$L,'NSE - NIFTY Index Options'!$C:$C,$A50,'NSE - NIFTY Index Options'!$B:$B,F$4)+SUMIFS('NSE - Other Index Options'!$L:$L,'NSE - Other Index Options'!$C:$C,$A50,'NSE - Other Index Options'!$B:$B,F$4)=0,"",SUMIFS('NSE - NIFTY Index Options'!$L:$L,'NSE - NIFTY Index Options'!$C:$C,$A50,'NSE - NIFTY Index Options'!$B:$B,F$4)+SUMIFS('NSE - Other Index Options'!$L:$L,'NSE - Other Index Options'!$C:$C,$A50,'NSE - Other Index Options'!$B:$B,F$4))</f>
        <v>65396.04</v>
      </c>
      <c r="G50" s="26" t="str">
        <f>IF(SUMIFS('NSE - NIFTY Index Options'!$L:$L,'NSE - NIFTY Index Options'!$C:$C,$A50,'NSE - NIFTY Index Options'!$B:$B,G$4)+SUMIFS('NSE - Other Index Options'!$L:$L,'NSE - Other Index Options'!$C:$C,$A50,'NSE - Other Index Options'!$B:$B,G$4)=0,"",SUMIFS('NSE - NIFTY Index Options'!$L:$L,'NSE - NIFTY Index Options'!$C:$C,$A50,'NSE - NIFTY Index Options'!$B:$B,G$4)+SUMIFS('NSE - Other Index Options'!$L:$L,'NSE - Other Index Options'!$C:$C,$A50,'NSE - Other Index Options'!$B:$B,G$4))</f>
        <v/>
      </c>
      <c r="H50" s="26">
        <f t="shared" si="1"/>
        <v>278158.39999999997</v>
      </c>
    </row>
    <row r="51" spans="1:8">
      <c r="A51" t="s">
        <v>56</v>
      </c>
      <c r="B51" s="26">
        <f>IF(SUMIFS('NSE - NIFTY Index Options'!$L:$L,'NSE - NIFTY Index Options'!$C:$C,$A51,'NSE - NIFTY Index Options'!$B:$B,B$4)+SUMIFS('NSE - Other Index Options'!$L:$L,'NSE - Other Index Options'!$C:$C,$A51,'NSE - Other Index Options'!$B:$B,B$4)=0,"",SUMIFS('NSE - NIFTY Index Options'!$L:$L,'NSE - NIFTY Index Options'!$C:$C,$A51,'NSE - NIFTY Index Options'!$B:$B,B$4)+SUMIFS('NSE - Other Index Options'!$L:$L,'NSE - Other Index Options'!$C:$C,$A51,'NSE - Other Index Options'!$B:$B,B$4))</f>
        <v>61849.71</v>
      </c>
      <c r="C51" s="26">
        <f>IF(SUMIFS('NSE - NIFTY Index Options'!$L:$L,'NSE - NIFTY Index Options'!$C:$C,$A51,'NSE - NIFTY Index Options'!$B:$B,C$4)+SUMIFS('NSE - Other Index Options'!$L:$L,'NSE - Other Index Options'!$C:$C,$A51,'NSE - Other Index Options'!$B:$B,C$4)=0,"",SUMIFS('NSE - NIFTY Index Options'!$L:$L,'NSE - NIFTY Index Options'!$C:$C,$A51,'NSE - NIFTY Index Options'!$B:$B,C$4)+SUMIFS('NSE - Other Index Options'!$L:$L,'NSE - Other Index Options'!$C:$C,$A51,'NSE - Other Index Options'!$B:$B,C$4))</f>
        <v>60543.409999999996</v>
      </c>
      <c r="D51" s="26">
        <f>IF(SUMIFS('NSE - NIFTY Index Options'!$L:$L,'NSE - NIFTY Index Options'!$C:$C,$A51,'NSE - NIFTY Index Options'!$B:$B,D$4)+SUMIFS('NSE - Other Index Options'!$L:$L,'NSE - Other Index Options'!$C:$C,$A51,'NSE - Other Index Options'!$B:$B,D$4)=0,"",SUMIFS('NSE - NIFTY Index Options'!$L:$L,'NSE - NIFTY Index Options'!$C:$C,$A51,'NSE - NIFTY Index Options'!$B:$B,D$4)+SUMIFS('NSE - Other Index Options'!$L:$L,'NSE - Other Index Options'!$C:$C,$A51,'NSE - Other Index Options'!$B:$B,D$4))</f>
        <v>27850.99</v>
      </c>
      <c r="E51" s="26">
        <f>IF(SUMIFS('NSE - NIFTY Index Options'!$L:$L,'NSE - NIFTY Index Options'!$C:$C,$A51,'NSE - NIFTY Index Options'!$B:$B,E$4)+SUMIFS('NSE - Other Index Options'!$L:$L,'NSE - Other Index Options'!$C:$C,$A51,'NSE - Other Index Options'!$B:$B,E$4)=0,"",SUMIFS('NSE - NIFTY Index Options'!$L:$L,'NSE - NIFTY Index Options'!$C:$C,$A51,'NSE - NIFTY Index Options'!$B:$B,E$4)+SUMIFS('NSE - Other Index Options'!$L:$L,'NSE - Other Index Options'!$C:$C,$A51,'NSE - Other Index Options'!$B:$B,E$4))</f>
        <v>26169.599999999999</v>
      </c>
      <c r="F51" s="26">
        <f>IF(SUMIFS('NSE - NIFTY Index Options'!$L:$L,'NSE - NIFTY Index Options'!$C:$C,$A51,'NSE - NIFTY Index Options'!$B:$B,F$4)+SUMIFS('NSE - Other Index Options'!$L:$L,'NSE - Other Index Options'!$C:$C,$A51,'NSE - Other Index Options'!$B:$B,F$4)=0,"",SUMIFS('NSE - NIFTY Index Options'!$L:$L,'NSE - NIFTY Index Options'!$C:$C,$A51,'NSE - NIFTY Index Options'!$B:$B,F$4)+SUMIFS('NSE - Other Index Options'!$L:$L,'NSE - Other Index Options'!$C:$C,$A51,'NSE - Other Index Options'!$B:$B,F$4))</f>
        <v>46415.109999999993</v>
      </c>
      <c r="G51" s="26" t="str">
        <f>IF(SUMIFS('NSE - NIFTY Index Options'!$L:$L,'NSE - NIFTY Index Options'!$C:$C,$A51,'NSE - NIFTY Index Options'!$B:$B,G$4)+SUMIFS('NSE - Other Index Options'!$L:$L,'NSE - Other Index Options'!$C:$C,$A51,'NSE - Other Index Options'!$B:$B,G$4)=0,"",SUMIFS('NSE - NIFTY Index Options'!$L:$L,'NSE - NIFTY Index Options'!$C:$C,$A51,'NSE - NIFTY Index Options'!$B:$B,G$4)+SUMIFS('NSE - Other Index Options'!$L:$L,'NSE - Other Index Options'!$C:$C,$A51,'NSE - Other Index Options'!$B:$B,G$4))</f>
        <v/>
      </c>
      <c r="H51" s="26">
        <f t="shared" si="1"/>
        <v>222828.81999999998</v>
      </c>
    </row>
    <row r="52" spans="1:8">
      <c r="A52" t="s">
        <v>57</v>
      </c>
      <c r="B52" s="26">
        <f>IF(SUMIFS('NSE - NIFTY Index Options'!$L:$L,'NSE - NIFTY Index Options'!$C:$C,$A52,'NSE - NIFTY Index Options'!$B:$B,B$4)+SUMIFS('NSE - Other Index Options'!$L:$L,'NSE - Other Index Options'!$C:$C,$A52,'NSE - Other Index Options'!$B:$B,B$4)=0,"",SUMIFS('NSE - NIFTY Index Options'!$L:$L,'NSE - NIFTY Index Options'!$C:$C,$A52,'NSE - NIFTY Index Options'!$B:$B,B$4)+SUMIFS('NSE - Other Index Options'!$L:$L,'NSE - Other Index Options'!$C:$C,$A52,'NSE - Other Index Options'!$B:$B,B$4))</f>
        <v>34667.510000000009</v>
      </c>
      <c r="C52" s="26">
        <f>IF(SUMIFS('NSE - NIFTY Index Options'!$L:$L,'NSE - NIFTY Index Options'!$C:$C,$A52,'NSE - NIFTY Index Options'!$B:$B,C$4)+SUMIFS('NSE - Other Index Options'!$L:$L,'NSE - Other Index Options'!$C:$C,$A52,'NSE - Other Index Options'!$B:$B,C$4)=0,"",SUMIFS('NSE - NIFTY Index Options'!$L:$L,'NSE - NIFTY Index Options'!$C:$C,$A52,'NSE - NIFTY Index Options'!$B:$B,C$4)+SUMIFS('NSE - Other Index Options'!$L:$L,'NSE - Other Index Options'!$C:$C,$A52,'NSE - Other Index Options'!$B:$B,C$4))</f>
        <v>72976.34</v>
      </c>
      <c r="D52" s="26">
        <f>IF(SUMIFS('NSE - NIFTY Index Options'!$L:$L,'NSE - NIFTY Index Options'!$C:$C,$A52,'NSE - NIFTY Index Options'!$B:$B,D$4)+SUMIFS('NSE - Other Index Options'!$L:$L,'NSE - Other Index Options'!$C:$C,$A52,'NSE - Other Index Options'!$B:$B,D$4)=0,"",SUMIFS('NSE - NIFTY Index Options'!$L:$L,'NSE - NIFTY Index Options'!$C:$C,$A52,'NSE - NIFTY Index Options'!$B:$B,D$4)+SUMIFS('NSE - Other Index Options'!$L:$L,'NSE - Other Index Options'!$C:$C,$A52,'NSE - Other Index Options'!$B:$B,D$4))</f>
        <v>38402.870000000003</v>
      </c>
      <c r="E52" s="26">
        <f>IF(SUMIFS('NSE - NIFTY Index Options'!$L:$L,'NSE - NIFTY Index Options'!$C:$C,$A52,'NSE - NIFTY Index Options'!$B:$B,E$4)+SUMIFS('NSE - Other Index Options'!$L:$L,'NSE - Other Index Options'!$C:$C,$A52,'NSE - Other Index Options'!$B:$B,E$4)=0,"",SUMIFS('NSE - NIFTY Index Options'!$L:$L,'NSE - NIFTY Index Options'!$C:$C,$A52,'NSE - NIFTY Index Options'!$B:$B,E$4)+SUMIFS('NSE - Other Index Options'!$L:$L,'NSE - Other Index Options'!$C:$C,$A52,'NSE - Other Index Options'!$B:$B,E$4))</f>
        <v>31566.75</v>
      </c>
      <c r="F52" s="26" t="str">
        <f>IF(SUMIFS('NSE - NIFTY Index Options'!$L:$L,'NSE - NIFTY Index Options'!$C:$C,$A52,'NSE - NIFTY Index Options'!$B:$B,F$4)+SUMIFS('NSE - Other Index Options'!$L:$L,'NSE - Other Index Options'!$C:$C,$A52,'NSE - Other Index Options'!$B:$B,F$4)=0,"",SUMIFS('NSE - NIFTY Index Options'!$L:$L,'NSE - NIFTY Index Options'!$C:$C,$A52,'NSE - NIFTY Index Options'!$B:$B,F$4)+SUMIFS('NSE - Other Index Options'!$L:$L,'NSE - Other Index Options'!$C:$C,$A52,'NSE - Other Index Options'!$B:$B,F$4))</f>
        <v/>
      </c>
      <c r="G52" s="26" t="str">
        <f>IF(SUMIFS('NSE - NIFTY Index Options'!$L:$L,'NSE - NIFTY Index Options'!$C:$C,$A52,'NSE - NIFTY Index Options'!$B:$B,G$4)+SUMIFS('NSE - Other Index Options'!$L:$L,'NSE - Other Index Options'!$C:$C,$A52,'NSE - Other Index Options'!$B:$B,G$4)=0,"",SUMIFS('NSE - NIFTY Index Options'!$L:$L,'NSE - NIFTY Index Options'!$C:$C,$A52,'NSE - NIFTY Index Options'!$B:$B,G$4)+SUMIFS('NSE - Other Index Options'!$L:$L,'NSE - Other Index Options'!$C:$C,$A52,'NSE - Other Index Options'!$B:$B,G$4))</f>
        <v/>
      </c>
      <c r="H52" s="26">
        <f t="shared" si="1"/>
        <v>177613.47</v>
      </c>
    </row>
    <row r="53" spans="1:8">
      <c r="A53" t="s">
        <v>58</v>
      </c>
      <c r="B53" s="26">
        <f>IF(SUMIFS('NSE - NIFTY Index Options'!$L:$L,'NSE - NIFTY Index Options'!$C:$C,$A53,'NSE - NIFTY Index Options'!$B:$B,B$4)+SUMIFS('NSE - Other Index Options'!$L:$L,'NSE - Other Index Options'!$C:$C,$A53,'NSE - Other Index Options'!$B:$B,B$4)=0,"",SUMIFS('NSE - NIFTY Index Options'!$L:$L,'NSE - NIFTY Index Options'!$C:$C,$A53,'NSE - NIFTY Index Options'!$B:$B,B$4)+SUMIFS('NSE - Other Index Options'!$L:$L,'NSE - Other Index Options'!$C:$C,$A53,'NSE - Other Index Options'!$B:$B,B$4))</f>
        <v>65237.84</v>
      </c>
      <c r="C53" s="26">
        <f>IF(SUMIFS('NSE - NIFTY Index Options'!$L:$L,'NSE - NIFTY Index Options'!$C:$C,$A53,'NSE - NIFTY Index Options'!$B:$B,C$4)+SUMIFS('NSE - Other Index Options'!$L:$L,'NSE - Other Index Options'!$C:$C,$A53,'NSE - Other Index Options'!$B:$B,C$4)=0,"",SUMIFS('NSE - NIFTY Index Options'!$L:$L,'NSE - NIFTY Index Options'!$C:$C,$A53,'NSE - NIFTY Index Options'!$B:$B,C$4)+SUMIFS('NSE - Other Index Options'!$L:$L,'NSE - Other Index Options'!$C:$C,$A53,'NSE - Other Index Options'!$B:$B,C$4))</f>
        <v>85188.450000000012</v>
      </c>
      <c r="D53" s="26" t="str">
        <f>IF(SUMIFS('NSE - NIFTY Index Options'!$L:$L,'NSE - NIFTY Index Options'!$C:$C,$A53,'NSE - NIFTY Index Options'!$B:$B,D$4)+SUMIFS('NSE - Other Index Options'!$L:$L,'NSE - Other Index Options'!$C:$C,$A53,'NSE - Other Index Options'!$B:$B,D$4)=0,"",SUMIFS('NSE - NIFTY Index Options'!$L:$L,'NSE - NIFTY Index Options'!$C:$C,$A53,'NSE - NIFTY Index Options'!$B:$B,D$4)+SUMIFS('NSE - Other Index Options'!$L:$L,'NSE - Other Index Options'!$C:$C,$A53,'NSE - Other Index Options'!$B:$B,D$4))</f>
        <v/>
      </c>
      <c r="E53" s="26" t="str">
        <f>IF(SUMIFS('NSE - NIFTY Index Options'!$L:$L,'NSE - NIFTY Index Options'!$C:$C,$A53,'NSE - NIFTY Index Options'!$B:$B,E$4)+SUMIFS('NSE - Other Index Options'!$L:$L,'NSE - Other Index Options'!$C:$C,$A53,'NSE - Other Index Options'!$B:$B,E$4)=0,"",SUMIFS('NSE - NIFTY Index Options'!$L:$L,'NSE - NIFTY Index Options'!$C:$C,$A53,'NSE - NIFTY Index Options'!$B:$B,E$4)+SUMIFS('NSE - Other Index Options'!$L:$L,'NSE - Other Index Options'!$C:$C,$A53,'NSE - Other Index Options'!$B:$B,E$4))</f>
        <v/>
      </c>
      <c r="F53" s="26" t="str">
        <f>IF(SUMIFS('NSE - NIFTY Index Options'!$L:$L,'NSE - NIFTY Index Options'!$C:$C,$A53,'NSE - NIFTY Index Options'!$B:$B,F$4)+SUMIFS('NSE - Other Index Options'!$L:$L,'NSE - Other Index Options'!$C:$C,$A53,'NSE - Other Index Options'!$B:$B,F$4)=0,"",SUMIFS('NSE - NIFTY Index Options'!$L:$L,'NSE - NIFTY Index Options'!$C:$C,$A53,'NSE - NIFTY Index Options'!$B:$B,F$4)+SUMIFS('NSE - Other Index Options'!$L:$L,'NSE - Other Index Options'!$C:$C,$A53,'NSE - Other Index Options'!$B:$B,F$4))</f>
        <v/>
      </c>
      <c r="G53" s="26" t="str">
        <f>IF(SUMIFS('NSE - NIFTY Index Options'!$L:$L,'NSE - NIFTY Index Options'!$C:$C,$A53,'NSE - NIFTY Index Options'!$B:$B,G$4)+SUMIFS('NSE - Other Index Options'!$L:$L,'NSE - Other Index Options'!$C:$C,$A53,'NSE - Other Index Options'!$B:$B,G$4)=0,"",SUMIFS('NSE - NIFTY Index Options'!$L:$L,'NSE - NIFTY Index Options'!$C:$C,$A53,'NSE - NIFTY Index Options'!$B:$B,G$4)+SUMIFS('NSE - Other Index Options'!$L:$L,'NSE - Other Index Options'!$C:$C,$A53,'NSE - Other Index Options'!$B:$B,G$4))</f>
        <v/>
      </c>
      <c r="H53" s="26">
        <f t="shared" si="1"/>
        <v>150426.29</v>
      </c>
    </row>
    <row r="54" spans="1:8">
      <c r="A54" t="s">
        <v>59</v>
      </c>
      <c r="B54" s="26">
        <f>IF(SUMIFS('NSE - NIFTY Index Options'!$L:$L,'NSE - NIFTY Index Options'!$C:$C,$A54,'NSE - NIFTY Index Options'!$B:$B,B$4)+SUMIFS('NSE - Other Index Options'!$L:$L,'NSE - Other Index Options'!$C:$C,$A54,'NSE - Other Index Options'!$B:$B,B$4)=0,"",SUMIFS('NSE - NIFTY Index Options'!$L:$L,'NSE - NIFTY Index Options'!$C:$C,$A54,'NSE - NIFTY Index Options'!$B:$B,B$4)+SUMIFS('NSE - Other Index Options'!$L:$L,'NSE - Other Index Options'!$C:$C,$A54,'NSE - Other Index Options'!$B:$B,B$4))</f>
        <v>38844.049999999996</v>
      </c>
      <c r="C54" s="26">
        <f>IF(SUMIFS('NSE - NIFTY Index Options'!$L:$L,'NSE - NIFTY Index Options'!$C:$C,$A54,'NSE - NIFTY Index Options'!$B:$B,C$4)+SUMIFS('NSE - Other Index Options'!$L:$L,'NSE - Other Index Options'!$C:$C,$A54,'NSE - Other Index Options'!$B:$B,C$4)=0,"",SUMIFS('NSE - NIFTY Index Options'!$L:$L,'NSE - NIFTY Index Options'!$C:$C,$A54,'NSE - NIFTY Index Options'!$B:$B,C$4)+SUMIFS('NSE - Other Index Options'!$L:$L,'NSE - Other Index Options'!$C:$C,$A54,'NSE - Other Index Options'!$B:$B,C$4))</f>
        <v>59870.490000000005</v>
      </c>
      <c r="D54" s="26">
        <f>IF(SUMIFS('NSE - NIFTY Index Options'!$L:$L,'NSE - NIFTY Index Options'!$C:$C,$A54,'NSE - NIFTY Index Options'!$B:$B,D$4)+SUMIFS('NSE - Other Index Options'!$L:$L,'NSE - Other Index Options'!$C:$C,$A54,'NSE - Other Index Options'!$B:$B,D$4)=0,"",SUMIFS('NSE - NIFTY Index Options'!$L:$L,'NSE - NIFTY Index Options'!$C:$C,$A54,'NSE - NIFTY Index Options'!$B:$B,D$4)+SUMIFS('NSE - Other Index Options'!$L:$L,'NSE - Other Index Options'!$C:$C,$A54,'NSE - Other Index Options'!$B:$B,D$4))</f>
        <v>31245.920000000002</v>
      </c>
      <c r="E54" s="26">
        <f>IF(SUMIFS('NSE - NIFTY Index Options'!$L:$L,'NSE - NIFTY Index Options'!$C:$C,$A54,'NSE - NIFTY Index Options'!$B:$B,E$4)+SUMIFS('NSE - Other Index Options'!$L:$L,'NSE - Other Index Options'!$C:$C,$A54,'NSE - Other Index Options'!$B:$B,E$4)=0,"",SUMIFS('NSE - NIFTY Index Options'!$L:$L,'NSE - NIFTY Index Options'!$C:$C,$A54,'NSE - NIFTY Index Options'!$B:$B,E$4)+SUMIFS('NSE - Other Index Options'!$L:$L,'NSE - Other Index Options'!$C:$C,$A54,'NSE - Other Index Options'!$B:$B,E$4))</f>
        <v>25966.420000000006</v>
      </c>
      <c r="F54" s="26">
        <f>IF(SUMIFS('NSE - NIFTY Index Options'!$L:$L,'NSE - NIFTY Index Options'!$C:$C,$A54,'NSE - NIFTY Index Options'!$B:$B,F$4)+SUMIFS('NSE - Other Index Options'!$L:$L,'NSE - Other Index Options'!$C:$C,$A54,'NSE - Other Index Options'!$B:$B,F$4)=0,"",SUMIFS('NSE - NIFTY Index Options'!$L:$L,'NSE - NIFTY Index Options'!$C:$C,$A54,'NSE - NIFTY Index Options'!$B:$B,F$4)+SUMIFS('NSE - Other Index Options'!$L:$L,'NSE - Other Index Options'!$C:$C,$A54,'NSE - Other Index Options'!$B:$B,F$4))</f>
        <v>40096.449999999997</v>
      </c>
      <c r="G54" s="26" t="str">
        <f>IF(SUMIFS('NSE - NIFTY Index Options'!$L:$L,'NSE - NIFTY Index Options'!$C:$C,$A54,'NSE - NIFTY Index Options'!$B:$B,G$4)+SUMIFS('NSE - Other Index Options'!$L:$L,'NSE - Other Index Options'!$C:$C,$A54,'NSE - Other Index Options'!$B:$B,G$4)=0,"",SUMIFS('NSE - NIFTY Index Options'!$L:$L,'NSE - NIFTY Index Options'!$C:$C,$A54,'NSE - NIFTY Index Options'!$B:$B,G$4)+SUMIFS('NSE - Other Index Options'!$L:$L,'NSE - Other Index Options'!$C:$C,$A54,'NSE - Other Index Options'!$B:$B,G$4))</f>
        <v/>
      </c>
      <c r="H54" s="26">
        <f t="shared" si="1"/>
        <v>196023.33000000002</v>
      </c>
    </row>
    <row r="55" spans="1:8">
      <c r="A55" t="s">
        <v>60</v>
      </c>
      <c r="B55" s="26" t="str">
        <f>IF(SUMIFS('NSE - NIFTY Index Options'!$L:$L,'NSE - NIFTY Index Options'!$C:$C,$A55,'NSE - NIFTY Index Options'!$B:$B,B$4)+SUMIFS('NSE - Other Index Options'!$L:$L,'NSE - Other Index Options'!$C:$C,$A55,'NSE - Other Index Options'!$B:$B,B$4)=0,"",SUMIFS('NSE - NIFTY Index Options'!$L:$L,'NSE - NIFTY Index Options'!$C:$C,$A55,'NSE - NIFTY Index Options'!$B:$B,B$4)+SUMIFS('NSE - Other Index Options'!$L:$L,'NSE - Other Index Options'!$C:$C,$A55,'NSE - Other Index Options'!$B:$B,B$4))</f>
        <v/>
      </c>
      <c r="C55" s="26" t="str">
        <f>IF(SUMIFS('NSE - NIFTY Index Options'!$L:$L,'NSE - NIFTY Index Options'!$C:$C,$A55,'NSE - NIFTY Index Options'!$B:$B,C$4)+SUMIFS('NSE - Other Index Options'!$L:$L,'NSE - Other Index Options'!$C:$C,$A55,'NSE - Other Index Options'!$B:$B,C$4)=0,"",SUMIFS('NSE - NIFTY Index Options'!$L:$L,'NSE - NIFTY Index Options'!$C:$C,$A55,'NSE - NIFTY Index Options'!$B:$B,C$4)+SUMIFS('NSE - Other Index Options'!$L:$L,'NSE - Other Index Options'!$C:$C,$A55,'NSE - Other Index Options'!$B:$B,C$4))</f>
        <v/>
      </c>
      <c r="D55" s="26">
        <f>IF(SUMIFS('NSE - NIFTY Index Options'!$L:$L,'NSE - NIFTY Index Options'!$C:$C,$A55,'NSE - NIFTY Index Options'!$B:$B,D$4)+SUMIFS('NSE - Other Index Options'!$L:$L,'NSE - Other Index Options'!$C:$C,$A55,'NSE - Other Index Options'!$B:$B,D$4)=0,"",SUMIFS('NSE - NIFTY Index Options'!$L:$L,'NSE - NIFTY Index Options'!$C:$C,$A55,'NSE - NIFTY Index Options'!$B:$B,D$4)+SUMIFS('NSE - Other Index Options'!$L:$L,'NSE - Other Index Options'!$C:$C,$A55,'NSE - Other Index Options'!$B:$B,D$4))</f>
        <v>46755.460000000006</v>
      </c>
      <c r="E55" s="26" t="str">
        <f>IF(SUMIFS('NSE - NIFTY Index Options'!$L:$L,'NSE - NIFTY Index Options'!$C:$C,$A55,'NSE - NIFTY Index Options'!$B:$B,E$4)+SUMIFS('NSE - Other Index Options'!$L:$L,'NSE - Other Index Options'!$C:$C,$A55,'NSE - Other Index Options'!$B:$B,E$4)=0,"",SUMIFS('NSE - NIFTY Index Options'!$L:$L,'NSE - NIFTY Index Options'!$C:$C,$A55,'NSE - NIFTY Index Options'!$B:$B,E$4)+SUMIFS('NSE - Other Index Options'!$L:$L,'NSE - Other Index Options'!$C:$C,$A55,'NSE - Other Index Options'!$B:$B,E$4))</f>
        <v/>
      </c>
      <c r="F55" s="26" t="str">
        <f>IF(SUMIFS('NSE - NIFTY Index Options'!$L:$L,'NSE - NIFTY Index Options'!$C:$C,$A55,'NSE - NIFTY Index Options'!$B:$B,F$4)+SUMIFS('NSE - Other Index Options'!$L:$L,'NSE - Other Index Options'!$C:$C,$A55,'NSE - Other Index Options'!$B:$B,F$4)=0,"",SUMIFS('NSE - NIFTY Index Options'!$L:$L,'NSE - NIFTY Index Options'!$C:$C,$A55,'NSE - NIFTY Index Options'!$B:$B,F$4)+SUMIFS('NSE - Other Index Options'!$L:$L,'NSE - Other Index Options'!$C:$C,$A55,'NSE - Other Index Options'!$B:$B,F$4))</f>
        <v/>
      </c>
      <c r="G55" s="26" t="str">
        <f>IF(SUMIFS('NSE - NIFTY Index Options'!$L:$L,'NSE - NIFTY Index Options'!$C:$C,$A55,'NSE - NIFTY Index Options'!$B:$B,G$4)+SUMIFS('NSE - Other Index Options'!$L:$L,'NSE - Other Index Options'!$C:$C,$A55,'NSE - Other Index Options'!$B:$B,G$4)=0,"",SUMIFS('NSE - NIFTY Index Options'!$L:$L,'NSE - NIFTY Index Options'!$C:$C,$A55,'NSE - NIFTY Index Options'!$B:$B,G$4)+SUMIFS('NSE - Other Index Options'!$L:$L,'NSE - Other Index Options'!$C:$C,$A55,'NSE - Other Index Options'!$B:$B,G$4))</f>
        <v/>
      </c>
      <c r="H55" s="26">
        <f t="shared" si="1"/>
        <v>46755.460000000006</v>
      </c>
    </row>
    <row r="56" spans="1:8">
      <c r="A56" t="s">
        <v>61</v>
      </c>
      <c r="B56" s="26" t="str">
        <f>IF(SUMIFS('NSE - NIFTY Index Options'!$L:$L,'NSE - NIFTY Index Options'!$C:$C,$A56,'NSE - NIFTY Index Options'!$B:$B,B$4)+SUMIFS('NSE - Other Index Options'!$L:$L,'NSE - Other Index Options'!$C:$C,$A56,'NSE - Other Index Options'!$B:$B,B$4)=0,"",SUMIFS('NSE - NIFTY Index Options'!$L:$L,'NSE - NIFTY Index Options'!$C:$C,$A56,'NSE - NIFTY Index Options'!$B:$B,B$4)+SUMIFS('NSE - Other Index Options'!$L:$L,'NSE - Other Index Options'!$C:$C,$A56,'NSE - Other Index Options'!$B:$B,B$4))</f>
        <v/>
      </c>
      <c r="C56" s="26" t="str">
        <f>IF(SUMIFS('NSE - NIFTY Index Options'!$L:$L,'NSE - NIFTY Index Options'!$C:$C,$A56,'NSE - NIFTY Index Options'!$B:$B,C$4)+SUMIFS('NSE - Other Index Options'!$L:$L,'NSE - Other Index Options'!$C:$C,$A56,'NSE - Other Index Options'!$B:$B,C$4)=0,"",SUMIFS('NSE - NIFTY Index Options'!$L:$L,'NSE - NIFTY Index Options'!$C:$C,$A56,'NSE - NIFTY Index Options'!$B:$B,C$4)+SUMIFS('NSE - Other Index Options'!$L:$L,'NSE - Other Index Options'!$C:$C,$A56,'NSE - Other Index Options'!$B:$B,C$4))</f>
        <v/>
      </c>
      <c r="D56" s="26" t="str">
        <f>IF(SUMIFS('NSE - NIFTY Index Options'!$L:$L,'NSE - NIFTY Index Options'!$C:$C,$A56,'NSE - NIFTY Index Options'!$B:$B,D$4)+SUMIFS('NSE - Other Index Options'!$L:$L,'NSE - Other Index Options'!$C:$C,$A56,'NSE - Other Index Options'!$B:$B,D$4)=0,"",SUMIFS('NSE - NIFTY Index Options'!$L:$L,'NSE - NIFTY Index Options'!$C:$C,$A56,'NSE - NIFTY Index Options'!$B:$B,D$4)+SUMIFS('NSE - Other Index Options'!$L:$L,'NSE - Other Index Options'!$C:$C,$A56,'NSE - Other Index Options'!$B:$B,D$4))</f>
        <v/>
      </c>
      <c r="E56" s="26" t="str">
        <f>IF(SUMIFS('NSE - NIFTY Index Options'!$L:$L,'NSE - NIFTY Index Options'!$C:$C,$A56,'NSE - NIFTY Index Options'!$B:$B,E$4)+SUMIFS('NSE - Other Index Options'!$L:$L,'NSE - Other Index Options'!$C:$C,$A56,'NSE - Other Index Options'!$B:$B,E$4)=0,"",SUMIFS('NSE - NIFTY Index Options'!$L:$L,'NSE - NIFTY Index Options'!$C:$C,$A56,'NSE - NIFTY Index Options'!$B:$B,E$4)+SUMIFS('NSE - Other Index Options'!$L:$L,'NSE - Other Index Options'!$C:$C,$A56,'NSE - Other Index Options'!$B:$B,E$4))</f>
        <v/>
      </c>
      <c r="F56" s="26" t="str">
        <f>IF(SUMIFS('NSE - NIFTY Index Options'!$L:$L,'NSE - NIFTY Index Options'!$C:$C,$A56,'NSE - NIFTY Index Options'!$B:$B,F$4)+SUMIFS('NSE - Other Index Options'!$L:$L,'NSE - Other Index Options'!$C:$C,$A56,'NSE - Other Index Options'!$B:$B,F$4)=0,"",SUMIFS('NSE - NIFTY Index Options'!$L:$L,'NSE - NIFTY Index Options'!$C:$C,$A56,'NSE - NIFTY Index Options'!$B:$B,F$4)+SUMIFS('NSE - Other Index Options'!$L:$L,'NSE - Other Index Options'!$C:$C,$A56,'NSE - Other Index Options'!$B:$B,F$4))</f>
        <v/>
      </c>
      <c r="G56" s="26" t="str">
        <f>IF(SUMIFS('NSE - NIFTY Index Options'!$L:$L,'NSE - NIFTY Index Options'!$C:$C,$A56,'NSE - NIFTY Index Options'!$B:$B,G$4)+SUMIFS('NSE - Other Index Options'!$L:$L,'NSE - Other Index Options'!$C:$C,$A56,'NSE - Other Index Options'!$B:$B,G$4)=0,"",SUMIFS('NSE - NIFTY Index Options'!$L:$L,'NSE - NIFTY Index Options'!$C:$C,$A56,'NSE - NIFTY Index Options'!$B:$B,G$4)+SUMIFS('NSE - Other Index Options'!$L:$L,'NSE - Other Index Options'!$C:$C,$A56,'NSE - Other Index Options'!$B:$B,G$4))</f>
        <v/>
      </c>
      <c r="H56" s="26" t="str">
        <f t="shared" si="1"/>
        <v/>
      </c>
    </row>
    <row r="57" spans="1:8">
      <c r="A57" t="s">
        <v>62</v>
      </c>
      <c r="B57" s="26" t="str">
        <f>IF(SUMIFS('NSE - NIFTY Index Options'!$L:$L,'NSE - NIFTY Index Options'!$C:$C,$A57,'NSE - NIFTY Index Options'!$B:$B,B$4)+SUMIFS('NSE - Other Index Options'!$L:$L,'NSE - Other Index Options'!$C:$C,$A57,'NSE - Other Index Options'!$B:$B,B$4)=0,"",SUMIFS('NSE - NIFTY Index Options'!$L:$L,'NSE - NIFTY Index Options'!$C:$C,$A57,'NSE - NIFTY Index Options'!$B:$B,B$4)+SUMIFS('NSE - Other Index Options'!$L:$L,'NSE - Other Index Options'!$C:$C,$A57,'NSE - Other Index Options'!$B:$B,B$4))</f>
        <v/>
      </c>
      <c r="C57" s="26" t="str">
        <f>IF(SUMIFS('NSE - NIFTY Index Options'!$L:$L,'NSE - NIFTY Index Options'!$C:$C,$A57,'NSE - NIFTY Index Options'!$B:$B,C$4)+SUMIFS('NSE - Other Index Options'!$L:$L,'NSE - Other Index Options'!$C:$C,$A57,'NSE - Other Index Options'!$B:$B,C$4)=0,"",SUMIFS('NSE - NIFTY Index Options'!$L:$L,'NSE - NIFTY Index Options'!$C:$C,$A57,'NSE - NIFTY Index Options'!$B:$B,C$4)+SUMIFS('NSE - Other Index Options'!$L:$L,'NSE - Other Index Options'!$C:$C,$A57,'NSE - Other Index Options'!$B:$B,C$4))</f>
        <v/>
      </c>
      <c r="D57" s="26" t="str">
        <f>IF(SUMIFS('NSE - NIFTY Index Options'!$L:$L,'NSE - NIFTY Index Options'!$C:$C,$A57,'NSE - NIFTY Index Options'!$B:$B,D$4)+SUMIFS('NSE - Other Index Options'!$L:$L,'NSE - Other Index Options'!$C:$C,$A57,'NSE - Other Index Options'!$B:$B,D$4)=0,"",SUMIFS('NSE - NIFTY Index Options'!$L:$L,'NSE - NIFTY Index Options'!$C:$C,$A57,'NSE - NIFTY Index Options'!$B:$B,D$4)+SUMIFS('NSE - Other Index Options'!$L:$L,'NSE - Other Index Options'!$C:$C,$A57,'NSE - Other Index Options'!$B:$B,D$4))</f>
        <v/>
      </c>
      <c r="E57" s="26" t="str">
        <f>IF(SUMIFS('NSE - NIFTY Index Options'!$L:$L,'NSE - NIFTY Index Options'!$C:$C,$A57,'NSE - NIFTY Index Options'!$B:$B,E$4)+SUMIFS('NSE - Other Index Options'!$L:$L,'NSE - Other Index Options'!$C:$C,$A57,'NSE - Other Index Options'!$B:$B,E$4)=0,"",SUMIFS('NSE - NIFTY Index Options'!$L:$L,'NSE - NIFTY Index Options'!$C:$C,$A57,'NSE - NIFTY Index Options'!$B:$B,E$4)+SUMIFS('NSE - Other Index Options'!$L:$L,'NSE - Other Index Options'!$C:$C,$A57,'NSE - Other Index Options'!$B:$B,E$4))</f>
        <v/>
      </c>
      <c r="F57" s="26" t="str">
        <f>IF(SUMIFS('NSE - NIFTY Index Options'!$L:$L,'NSE - NIFTY Index Options'!$C:$C,$A57,'NSE - NIFTY Index Options'!$B:$B,F$4)+SUMIFS('NSE - Other Index Options'!$L:$L,'NSE - Other Index Options'!$C:$C,$A57,'NSE - Other Index Options'!$B:$B,F$4)=0,"",SUMIFS('NSE - NIFTY Index Options'!$L:$L,'NSE - NIFTY Index Options'!$C:$C,$A57,'NSE - NIFTY Index Options'!$B:$B,F$4)+SUMIFS('NSE - Other Index Options'!$L:$L,'NSE - Other Index Options'!$C:$C,$A57,'NSE - Other Index Options'!$B:$B,F$4))</f>
        <v/>
      </c>
      <c r="G57" s="26" t="str">
        <f>IF(SUMIFS('NSE - NIFTY Index Options'!$L:$L,'NSE - NIFTY Index Options'!$C:$C,$A57,'NSE - NIFTY Index Options'!$B:$B,G$4)+SUMIFS('NSE - Other Index Options'!$L:$L,'NSE - Other Index Options'!$C:$C,$A57,'NSE - Other Index Options'!$B:$B,G$4)=0,"",SUMIFS('NSE - NIFTY Index Options'!$L:$L,'NSE - NIFTY Index Options'!$C:$C,$A57,'NSE - NIFTY Index Options'!$B:$B,G$4)+SUMIFS('NSE - Other Index Options'!$L:$L,'NSE - Other Index Options'!$C:$C,$A57,'NSE - Other Index Options'!$B:$B,G$4))</f>
        <v/>
      </c>
      <c r="H57" s="26" t="str">
        <f t="shared" si="1"/>
        <v/>
      </c>
    </row>
    <row r="58" spans="1:8">
      <c r="A58" t="s">
        <v>63</v>
      </c>
      <c r="B58" s="26" t="str">
        <f>IF(SUMIFS('NSE - NIFTY Index Options'!$L:$L,'NSE - NIFTY Index Options'!$C:$C,$A58,'NSE - NIFTY Index Options'!$B:$B,B$4)+SUMIFS('NSE - Other Index Options'!$L:$L,'NSE - Other Index Options'!$C:$C,$A58,'NSE - Other Index Options'!$B:$B,B$4)=0,"",SUMIFS('NSE - NIFTY Index Options'!$L:$L,'NSE - NIFTY Index Options'!$C:$C,$A58,'NSE - NIFTY Index Options'!$B:$B,B$4)+SUMIFS('NSE - Other Index Options'!$L:$L,'NSE - Other Index Options'!$C:$C,$A58,'NSE - Other Index Options'!$B:$B,B$4))</f>
        <v/>
      </c>
      <c r="C58" s="26" t="str">
        <f>IF(SUMIFS('NSE - NIFTY Index Options'!$L:$L,'NSE - NIFTY Index Options'!$C:$C,$A58,'NSE - NIFTY Index Options'!$B:$B,C$4)+SUMIFS('NSE - Other Index Options'!$L:$L,'NSE - Other Index Options'!$C:$C,$A58,'NSE - Other Index Options'!$B:$B,C$4)=0,"",SUMIFS('NSE - NIFTY Index Options'!$L:$L,'NSE - NIFTY Index Options'!$C:$C,$A58,'NSE - NIFTY Index Options'!$B:$B,C$4)+SUMIFS('NSE - Other Index Options'!$L:$L,'NSE - Other Index Options'!$C:$C,$A58,'NSE - Other Index Options'!$B:$B,C$4))</f>
        <v/>
      </c>
      <c r="D58" s="26" t="str">
        <f>IF(SUMIFS('NSE - NIFTY Index Options'!$L:$L,'NSE - NIFTY Index Options'!$C:$C,$A58,'NSE - NIFTY Index Options'!$B:$B,D$4)+SUMIFS('NSE - Other Index Options'!$L:$L,'NSE - Other Index Options'!$C:$C,$A58,'NSE - Other Index Options'!$B:$B,D$4)=0,"",SUMIFS('NSE - NIFTY Index Options'!$L:$L,'NSE - NIFTY Index Options'!$C:$C,$A58,'NSE - NIFTY Index Options'!$B:$B,D$4)+SUMIFS('NSE - Other Index Options'!$L:$L,'NSE - Other Index Options'!$C:$C,$A58,'NSE - Other Index Options'!$B:$B,D$4))</f>
        <v/>
      </c>
      <c r="E58" s="26" t="str">
        <f>IF(SUMIFS('NSE - NIFTY Index Options'!$L:$L,'NSE - NIFTY Index Options'!$C:$C,$A58,'NSE - NIFTY Index Options'!$B:$B,E$4)+SUMIFS('NSE - Other Index Options'!$L:$L,'NSE - Other Index Options'!$C:$C,$A58,'NSE - Other Index Options'!$B:$B,E$4)=0,"",SUMIFS('NSE - NIFTY Index Options'!$L:$L,'NSE - NIFTY Index Options'!$C:$C,$A58,'NSE - NIFTY Index Options'!$B:$B,E$4)+SUMIFS('NSE - Other Index Options'!$L:$L,'NSE - Other Index Options'!$C:$C,$A58,'NSE - Other Index Options'!$B:$B,E$4))</f>
        <v/>
      </c>
      <c r="F58" s="26" t="str">
        <f>IF(SUMIFS('NSE - NIFTY Index Options'!$L:$L,'NSE - NIFTY Index Options'!$C:$C,$A58,'NSE - NIFTY Index Options'!$B:$B,F$4)+SUMIFS('NSE - Other Index Options'!$L:$L,'NSE - Other Index Options'!$C:$C,$A58,'NSE - Other Index Options'!$B:$B,F$4)=0,"",SUMIFS('NSE - NIFTY Index Options'!$L:$L,'NSE - NIFTY Index Options'!$C:$C,$A58,'NSE - NIFTY Index Options'!$B:$B,F$4)+SUMIFS('NSE - Other Index Options'!$L:$L,'NSE - Other Index Options'!$C:$C,$A58,'NSE - Other Index Options'!$B:$B,F$4))</f>
        <v/>
      </c>
      <c r="G58" s="26" t="str">
        <f>IF(SUMIFS('NSE - NIFTY Index Options'!$L:$L,'NSE - NIFTY Index Options'!$C:$C,$A58,'NSE - NIFTY Index Options'!$B:$B,G$4)+SUMIFS('NSE - Other Index Options'!$L:$L,'NSE - Other Index Options'!$C:$C,$A58,'NSE - Other Index Options'!$B:$B,G$4)=0,"",SUMIFS('NSE - NIFTY Index Options'!$L:$L,'NSE - NIFTY Index Options'!$C:$C,$A58,'NSE - NIFTY Index Options'!$B:$B,G$4)+SUMIFS('NSE - Other Index Options'!$L:$L,'NSE - Other Index Options'!$C:$C,$A58,'NSE - Other Index Options'!$B:$B,G$4))</f>
        <v/>
      </c>
      <c r="H58" s="26" t="str">
        <f t="shared" si="1"/>
        <v/>
      </c>
    </row>
    <row r="59" spans="1:8" hidden="1" outlineLevel="1">
      <c r="A59" t="s">
        <v>64</v>
      </c>
      <c r="B59" s="26" t="str">
        <f>IF(SUMIFS('NSE - NIFTY Index Options'!$L:$L,'NSE - NIFTY Index Options'!$C:$C,$A59,'NSE - NIFTY Index Options'!$B:$B,B$4)+SUMIFS('NSE - Other Index Options'!$L:$L,'NSE - Other Index Options'!$C:$C,$A59,'NSE - Other Index Options'!$B:$B,B$4)=0,"",SUMIFS('NSE - NIFTY Index Options'!$L:$L,'NSE - NIFTY Index Options'!$C:$C,$A59,'NSE - NIFTY Index Options'!$B:$B,B$4)+SUMIFS('NSE - Other Index Options'!$L:$L,'NSE - Other Index Options'!$C:$C,$A59,'NSE - Other Index Options'!$B:$B,B$4))</f>
        <v/>
      </c>
      <c r="C59" s="26" t="str">
        <f>IF(SUMIFS('NSE - NIFTY Index Options'!$L:$L,'NSE - NIFTY Index Options'!$C:$C,$A59,'NSE - NIFTY Index Options'!$B:$B,C$4)+SUMIFS('NSE - Other Index Options'!$L:$L,'NSE - Other Index Options'!$C:$C,$A59,'NSE - Other Index Options'!$B:$B,C$4)=0,"",SUMIFS('NSE - NIFTY Index Options'!$L:$L,'NSE - NIFTY Index Options'!$C:$C,$A59,'NSE - NIFTY Index Options'!$B:$B,C$4)+SUMIFS('NSE - Other Index Options'!$L:$L,'NSE - Other Index Options'!$C:$C,$A59,'NSE - Other Index Options'!$B:$B,C$4))</f>
        <v/>
      </c>
      <c r="D59" s="26" t="str">
        <f>IF(SUMIFS('NSE - NIFTY Index Options'!$L:$L,'NSE - NIFTY Index Options'!$C:$C,$A59,'NSE - NIFTY Index Options'!$B:$B,D$4)+SUMIFS('NSE - Other Index Options'!$L:$L,'NSE - Other Index Options'!$C:$C,$A59,'NSE - Other Index Options'!$B:$B,D$4)=0,"",SUMIFS('NSE - NIFTY Index Options'!$L:$L,'NSE - NIFTY Index Options'!$C:$C,$A59,'NSE - NIFTY Index Options'!$B:$B,D$4)+SUMIFS('NSE - Other Index Options'!$L:$L,'NSE - Other Index Options'!$C:$C,$A59,'NSE - Other Index Options'!$B:$B,D$4))</f>
        <v/>
      </c>
      <c r="E59" s="26" t="str">
        <f>IF(SUMIFS('NSE - NIFTY Index Options'!$L:$L,'NSE - NIFTY Index Options'!$C:$C,$A59,'NSE - NIFTY Index Options'!$B:$B,E$4)+SUMIFS('NSE - Other Index Options'!$L:$L,'NSE - Other Index Options'!$C:$C,$A59,'NSE - Other Index Options'!$B:$B,E$4)=0,"",SUMIFS('NSE - NIFTY Index Options'!$L:$L,'NSE - NIFTY Index Options'!$C:$C,$A59,'NSE - NIFTY Index Options'!$B:$B,E$4)+SUMIFS('NSE - Other Index Options'!$L:$L,'NSE - Other Index Options'!$C:$C,$A59,'NSE - Other Index Options'!$B:$B,E$4))</f>
        <v/>
      </c>
      <c r="F59" s="26" t="str">
        <f>IF(SUMIFS('NSE - NIFTY Index Options'!$L:$L,'NSE - NIFTY Index Options'!$C:$C,$A59,'NSE - NIFTY Index Options'!$B:$B,F$4)+SUMIFS('NSE - Other Index Options'!$L:$L,'NSE - Other Index Options'!$C:$C,$A59,'NSE - Other Index Options'!$B:$B,F$4)=0,"",SUMIFS('NSE - NIFTY Index Options'!$L:$L,'NSE - NIFTY Index Options'!$C:$C,$A59,'NSE - NIFTY Index Options'!$B:$B,F$4)+SUMIFS('NSE - Other Index Options'!$L:$L,'NSE - Other Index Options'!$C:$C,$A59,'NSE - Other Index Options'!$B:$B,F$4))</f>
        <v/>
      </c>
      <c r="G59" s="26" t="str">
        <f>IF(SUMIFS('NSE - NIFTY Index Options'!$L:$L,'NSE - NIFTY Index Options'!$C:$C,$A59,'NSE - NIFTY Index Options'!$B:$B,G$4)+SUMIFS('NSE - Other Index Options'!$L:$L,'NSE - Other Index Options'!$C:$C,$A59,'NSE - Other Index Options'!$B:$B,G$4)=0,"",SUMIFS('NSE - NIFTY Index Options'!$L:$L,'NSE - NIFTY Index Options'!$C:$C,$A59,'NSE - NIFTY Index Options'!$B:$B,G$4)+SUMIFS('NSE - Other Index Options'!$L:$L,'NSE - Other Index Options'!$C:$C,$A59,'NSE - Other Index Options'!$B:$B,G$4))</f>
        <v/>
      </c>
      <c r="H59" s="26" t="str">
        <f t="shared" si="1"/>
        <v/>
      </c>
    </row>
    <row r="60" spans="1:8" hidden="1" outlineLevel="1">
      <c r="A60" t="s">
        <v>65</v>
      </c>
      <c r="B60" s="26" t="str">
        <f>IF(SUMIFS('NSE - NIFTY Index Options'!$L:$L,'NSE - NIFTY Index Options'!$C:$C,$A60,'NSE - NIFTY Index Options'!$B:$B,B$4)+SUMIFS('NSE - Other Index Options'!$L:$L,'NSE - Other Index Options'!$C:$C,$A60,'NSE - Other Index Options'!$B:$B,B$4)=0,"",SUMIFS('NSE - NIFTY Index Options'!$L:$L,'NSE - NIFTY Index Options'!$C:$C,$A60,'NSE - NIFTY Index Options'!$B:$B,B$4)+SUMIFS('NSE - Other Index Options'!$L:$L,'NSE - Other Index Options'!$C:$C,$A60,'NSE - Other Index Options'!$B:$B,B$4))</f>
        <v/>
      </c>
      <c r="C60" s="26" t="str">
        <f>IF(SUMIFS('NSE - NIFTY Index Options'!$L:$L,'NSE - NIFTY Index Options'!$C:$C,$A60,'NSE - NIFTY Index Options'!$B:$B,C$4)+SUMIFS('NSE - Other Index Options'!$L:$L,'NSE - Other Index Options'!$C:$C,$A60,'NSE - Other Index Options'!$B:$B,C$4)=0,"",SUMIFS('NSE - NIFTY Index Options'!$L:$L,'NSE - NIFTY Index Options'!$C:$C,$A60,'NSE - NIFTY Index Options'!$B:$B,C$4)+SUMIFS('NSE - Other Index Options'!$L:$L,'NSE - Other Index Options'!$C:$C,$A60,'NSE - Other Index Options'!$B:$B,C$4))</f>
        <v/>
      </c>
      <c r="D60" s="26" t="str">
        <f>IF(SUMIFS('NSE - NIFTY Index Options'!$L:$L,'NSE - NIFTY Index Options'!$C:$C,$A60,'NSE - NIFTY Index Options'!$B:$B,D$4)+SUMIFS('NSE - Other Index Options'!$L:$L,'NSE - Other Index Options'!$C:$C,$A60,'NSE - Other Index Options'!$B:$B,D$4)=0,"",SUMIFS('NSE - NIFTY Index Options'!$L:$L,'NSE - NIFTY Index Options'!$C:$C,$A60,'NSE - NIFTY Index Options'!$B:$B,D$4)+SUMIFS('NSE - Other Index Options'!$L:$L,'NSE - Other Index Options'!$C:$C,$A60,'NSE - Other Index Options'!$B:$B,D$4))</f>
        <v/>
      </c>
      <c r="E60" s="26" t="str">
        <f>IF(SUMIFS('NSE - NIFTY Index Options'!$L:$L,'NSE - NIFTY Index Options'!$C:$C,$A60,'NSE - NIFTY Index Options'!$B:$B,E$4)+SUMIFS('NSE - Other Index Options'!$L:$L,'NSE - Other Index Options'!$C:$C,$A60,'NSE - Other Index Options'!$B:$B,E$4)=0,"",SUMIFS('NSE - NIFTY Index Options'!$L:$L,'NSE - NIFTY Index Options'!$C:$C,$A60,'NSE - NIFTY Index Options'!$B:$B,E$4)+SUMIFS('NSE - Other Index Options'!$L:$L,'NSE - Other Index Options'!$C:$C,$A60,'NSE - Other Index Options'!$B:$B,E$4))</f>
        <v/>
      </c>
      <c r="F60" s="26" t="str">
        <f>IF(SUMIFS('NSE - NIFTY Index Options'!$L:$L,'NSE - NIFTY Index Options'!$C:$C,$A60,'NSE - NIFTY Index Options'!$B:$B,F$4)+SUMIFS('NSE - Other Index Options'!$L:$L,'NSE - Other Index Options'!$C:$C,$A60,'NSE - Other Index Options'!$B:$B,F$4)=0,"",SUMIFS('NSE - NIFTY Index Options'!$L:$L,'NSE - NIFTY Index Options'!$C:$C,$A60,'NSE - NIFTY Index Options'!$B:$B,F$4)+SUMIFS('NSE - Other Index Options'!$L:$L,'NSE - Other Index Options'!$C:$C,$A60,'NSE - Other Index Options'!$B:$B,F$4))</f>
        <v/>
      </c>
      <c r="G60" s="26" t="str">
        <f>IF(SUMIFS('NSE - NIFTY Index Options'!$L:$L,'NSE - NIFTY Index Options'!$C:$C,$A60,'NSE - NIFTY Index Options'!$B:$B,G$4)+SUMIFS('NSE - Other Index Options'!$L:$L,'NSE - Other Index Options'!$C:$C,$A60,'NSE - Other Index Options'!$B:$B,G$4)=0,"",SUMIFS('NSE - NIFTY Index Options'!$L:$L,'NSE - NIFTY Index Options'!$C:$C,$A60,'NSE - NIFTY Index Options'!$B:$B,G$4)+SUMIFS('NSE - Other Index Options'!$L:$L,'NSE - Other Index Options'!$C:$C,$A60,'NSE - Other Index Options'!$B:$B,G$4))</f>
        <v/>
      </c>
      <c r="H60" s="26" t="str">
        <f t="shared" si="1"/>
        <v/>
      </c>
    </row>
    <row r="61" spans="1:8" hidden="1" outlineLevel="1">
      <c r="A61" t="s">
        <v>66</v>
      </c>
      <c r="B61" s="26" t="str">
        <f>IF(SUMIFS('NSE - NIFTY Index Options'!$L:$L,'NSE - NIFTY Index Options'!$C:$C,$A61,'NSE - NIFTY Index Options'!$B:$B,B$4)+SUMIFS('NSE - Other Index Options'!$L:$L,'NSE - Other Index Options'!$C:$C,$A61,'NSE - Other Index Options'!$B:$B,B$4)=0,"",SUMIFS('NSE - NIFTY Index Options'!$L:$L,'NSE - NIFTY Index Options'!$C:$C,$A61,'NSE - NIFTY Index Options'!$B:$B,B$4)+SUMIFS('NSE - Other Index Options'!$L:$L,'NSE - Other Index Options'!$C:$C,$A61,'NSE - Other Index Options'!$B:$B,B$4))</f>
        <v/>
      </c>
      <c r="C61" s="26" t="str">
        <f>IF(SUMIFS('NSE - NIFTY Index Options'!$L:$L,'NSE - NIFTY Index Options'!$C:$C,$A61,'NSE - NIFTY Index Options'!$B:$B,C$4)+SUMIFS('NSE - Other Index Options'!$L:$L,'NSE - Other Index Options'!$C:$C,$A61,'NSE - Other Index Options'!$B:$B,C$4)=0,"",SUMIFS('NSE - NIFTY Index Options'!$L:$L,'NSE - NIFTY Index Options'!$C:$C,$A61,'NSE - NIFTY Index Options'!$B:$B,C$4)+SUMIFS('NSE - Other Index Options'!$L:$L,'NSE - Other Index Options'!$C:$C,$A61,'NSE - Other Index Options'!$B:$B,C$4))</f>
        <v/>
      </c>
      <c r="D61" s="26" t="str">
        <f>IF(SUMIFS('NSE - NIFTY Index Options'!$L:$L,'NSE - NIFTY Index Options'!$C:$C,$A61,'NSE - NIFTY Index Options'!$B:$B,D$4)+SUMIFS('NSE - Other Index Options'!$L:$L,'NSE - Other Index Options'!$C:$C,$A61,'NSE - Other Index Options'!$B:$B,D$4)=0,"",SUMIFS('NSE - NIFTY Index Options'!$L:$L,'NSE - NIFTY Index Options'!$C:$C,$A61,'NSE - NIFTY Index Options'!$B:$B,D$4)+SUMIFS('NSE - Other Index Options'!$L:$L,'NSE - Other Index Options'!$C:$C,$A61,'NSE - Other Index Options'!$B:$B,D$4))</f>
        <v/>
      </c>
      <c r="E61" s="26" t="str">
        <f>IF(SUMIFS('NSE - NIFTY Index Options'!$L:$L,'NSE - NIFTY Index Options'!$C:$C,$A61,'NSE - NIFTY Index Options'!$B:$B,E$4)+SUMIFS('NSE - Other Index Options'!$L:$L,'NSE - Other Index Options'!$C:$C,$A61,'NSE - Other Index Options'!$B:$B,E$4)=0,"",SUMIFS('NSE - NIFTY Index Options'!$L:$L,'NSE - NIFTY Index Options'!$C:$C,$A61,'NSE - NIFTY Index Options'!$B:$B,E$4)+SUMIFS('NSE - Other Index Options'!$L:$L,'NSE - Other Index Options'!$C:$C,$A61,'NSE - Other Index Options'!$B:$B,E$4))</f>
        <v/>
      </c>
      <c r="F61" s="26" t="str">
        <f>IF(SUMIFS('NSE - NIFTY Index Options'!$L:$L,'NSE - NIFTY Index Options'!$C:$C,$A61,'NSE - NIFTY Index Options'!$B:$B,F$4)+SUMIFS('NSE - Other Index Options'!$L:$L,'NSE - Other Index Options'!$C:$C,$A61,'NSE - Other Index Options'!$B:$B,F$4)=0,"",SUMIFS('NSE - NIFTY Index Options'!$L:$L,'NSE - NIFTY Index Options'!$C:$C,$A61,'NSE - NIFTY Index Options'!$B:$B,F$4)+SUMIFS('NSE - Other Index Options'!$L:$L,'NSE - Other Index Options'!$C:$C,$A61,'NSE - Other Index Options'!$B:$B,F$4))</f>
        <v/>
      </c>
      <c r="G61" s="26" t="str">
        <f>IF(SUMIFS('NSE - NIFTY Index Options'!$L:$L,'NSE - NIFTY Index Options'!$C:$C,$A61,'NSE - NIFTY Index Options'!$B:$B,G$4)+SUMIFS('NSE - Other Index Options'!$L:$L,'NSE - Other Index Options'!$C:$C,$A61,'NSE - Other Index Options'!$B:$B,G$4)=0,"",SUMIFS('NSE - NIFTY Index Options'!$L:$L,'NSE - NIFTY Index Options'!$C:$C,$A61,'NSE - NIFTY Index Options'!$B:$B,G$4)+SUMIFS('NSE - Other Index Options'!$L:$L,'NSE - Other Index Options'!$C:$C,$A61,'NSE - Other Index Options'!$B:$B,G$4))</f>
        <v/>
      </c>
      <c r="H61" s="26" t="str">
        <f t="shared" si="1"/>
        <v/>
      </c>
    </row>
    <row r="62" spans="1:8" hidden="1" outlineLevel="1">
      <c r="A62" t="s">
        <v>67</v>
      </c>
      <c r="B62" s="26" t="str">
        <f>IF(SUMIFS('NSE - NIFTY Index Options'!$L:$L,'NSE - NIFTY Index Options'!$C:$C,$A62,'NSE - NIFTY Index Options'!$B:$B,B$4)+SUMIFS('NSE - Other Index Options'!$L:$L,'NSE - Other Index Options'!$C:$C,$A62,'NSE - Other Index Options'!$B:$B,B$4)=0,"",SUMIFS('NSE - NIFTY Index Options'!$L:$L,'NSE - NIFTY Index Options'!$C:$C,$A62,'NSE - NIFTY Index Options'!$B:$B,B$4)+SUMIFS('NSE - Other Index Options'!$L:$L,'NSE - Other Index Options'!$C:$C,$A62,'NSE - Other Index Options'!$B:$B,B$4))</f>
        <v/>
      </c>
      <c r="C62" s="26" t="str">
        <f>IF(SUMIFS('NSE - NIFTY Index Options'!$L:$L,'NSE - NIFTY Index Options'!$C:$C,$A62,'NSE - NIFTY Index Options'!$B:$B,C$4)+SUMIFS('NSE - Other Index Options'!$L:$L,'NSE - Other Index Options'!$C:$C,$A62,'NSE - Other Index Options'!$B:$B,C$4)=0,"",SUMIFS('NSE - NIFTY Index Options'!$L:$L,'NSE - NIFTY Index Options'!$C:$C,$A62,'NSE - NIFTY Index Options'!$B:$B,C$4)+SUMIFS('NSE - Other Index Options'!$L:$L,'NSE - Other Index Options'!$C:$C,$A62,'NSE - Other Index Options'!$B:$B,C$4))</f>
        <v/>
      </c>
      <c r="D62" s="26" t="str">
        <f>IF(SUMIFS('NSE - NIFTY Index Options'!$L:$L,'NSE - NIFTY Index Options'!$C:$C,$A62,'NSE - NIFTY Index Options'!$B:$B,D$4)+SUMIFS('NSE - Other Index Options'!$L:$L,'NSE - Other Index Options'!$C:$C,$A62,'NSE - Other Index Options'!$B:$B,D$4)=0,"",SUMIFS('NSE - NIFTY Index Options'!$L:$L,'NSE - NIFTY Index Options'!$C:$C,$A62,'NSE - NIFTY Index Options'!$B:$B,D$4)+SUMIFS('NSE - Other Index Options'!$L:$L,'NSE - Other Index Options'!$C:$C,$A62,'NSE - Other Index Options'!$B:$B,D$4))</f>
        <v/>
      </c>
      <c r="E62" s="26" t="str">
        <f>IF(SUMIFS('NSE - NIFTY Index Options'!$L:$L,'NSE - NIFTY Index Options'!$C:$C,$A62,'NSE - NIFTY Index Options'!$B:$B,E$4)+SUMIFS('NSE - Other Index Options'!$L:$L,'NSE - Other Index Options'!$C:$C,$A62,'NSE - Other Index Options'!$B:$B,E$4)=0,"",SUMIFS('NSE - NIFTY Index Options'!$L:$L,'NSE - NIFTY Index Options'!$C:$C,$A62,'NSE - NIFTY Index Options'!$B:$B,E$4)+SUMIFS('NSE - Other Index Options'!$L:$L,'NSE - Other Index Options'!$C:$C,$A62,'NSE - Other Index Options'!$B:$B,E$4))</f>
        <v/>
      </c>
      <c r="F62" s="26" t="str">
        <f>IF(SUMIFS('NSE - NIFTY Index Options'!$L:$L,'NSE - NIFTY Index Options'!$C:$C,$A62,'NSE - NIFTY Index Options'!$B:$B,F$4)+SUMIFS('NSE - Other Index Options'!$L:$L,'NSE - Other Index Options'!$C:$C,$A62,'NSE - Other Index Options'!$B:$B,F$4)=0,"",SUMIFS('NSE - NIFTY Index Options'!$L:$L,'NSE - NIFTY Index Options'!$C:$C,$A62,'NSE - NIFTY Index Options'!$B:$B,F$4)+SUMIFS('NSE - Other Index Options'!$L:$L,'NSE - Other Index Options'!$C:$C,$A62,'NSE - Other Index Options'!$B:$B,F$4))</f>
        <v/>
      </c>
      <c r="G62" s="26" t="str">
        <f>IF(SUMIFS('NSE - NIFTY Index Options'!$L:$L,'NSE - NIFTY Index Options'!$C:$C,$A62,'NSE - NIFTY Index Options'!$B:$B,G$4)+SUMIFS('NSE - Other Index Options'!$L:$L,'NSE - Other Index Options'!$C:$C,$A62,'NSE - Other Index Options'!$B:$B,G$4)=0,"",SUMIFS('NSE - NIFTY Index Options'!$L:$L,'NSE - NIFTY Index Options'!$C:$C,$A62,'NSE - NIFTY Index Options'!$B:$B,G$4)+SUMIFS('NSE - Other Index Options'!$L:$L,'NSE - Other Index Options'!$C:$C,$A62,'NSE - Other Index Options'!$B:$B,G$4))</f>
        <v/>
      </c>
      <c r="H62" s="26" t="str">
        <f t="shared" si="1"/>
        <v/>
      </c>
    </row>
    <row r="63" spans="1:8" hidden="1" outlineLevel="1">
      <c r="A63" t="s">
        <v>68</v>
      </c>
      <c r="B63" s="26" t="str">
        <f>IF(SUMIFS('NSE - NIFTY Index Options'!$L:$L,'NSE - NIFTY Index Options'!$C:$C,$A63,'NSE - NIFTY Index Options'!$B:$B,B$4)+SUMIFS('NSE - Other Index Options'!$L:$L,'NSE - Other Index Options'!$C:$C,$A63,'NSE - Other Index Options'!$B:$B,B$4)=0,"",SUMIFS('NSE - NIFTY Index Options'!$L:$L,'NSE - NIFTY Index Options'!$C:$C,$A63,'NSE - NIFTY Index Options'!$B:$B,B$4)+SUMIFS('NSE - Other Index Options'!$L:$L,'NSE - Other Index Options'!$C:$C,$A63,'NSE - Other Index Options'!$B:$B,B$4))</f>
        <v/>
      </c>
      <c r="C63" s="26" t="str">
        <f>IF(SUMIFS('NSE - NIFTY Index Options'!$L:$L,'NSE - NIFTY Index Options'!$C:$C,$A63,'NSE - NIFTY Index Options'!$B:$B,C$4)+SUMIFS('NSE - Other Index Options'!$L:$L,'NSE - Other Index Options'!$C:$C,$A63,'NSE - Other Index Options'!$B:$B,C$4)=0,"",SUMIFS('NSE - NIFTY Index Options'!$L:$L,'NSE - NIFTY Index Options'!$C:$C,$A63,'NSE - NIFTY Index Options'!$B:$B,C$4)+SUMIFS('NSE - Other Index Options'!$L:$L,'NSE - Other Index Options'!$C:$C,$A63,'NSE - Other Index Options'!$B:$B,C$4))</f>
        <v/>
      </c>
      <c r="D63" s="26" t="str">
        <f>IF(SUMIFS('NSE - NIFTY Index Options'!$L:$L,'NSE - NIFTY Index Options'!$C:$C,$A63,'NSE - NIFTY Index Options'!$B:$B,D$4)+SUMIFS('NSE - Other Index Options'!$L:$L,'NSE - Other Index Options'!$C:$C,$A63,'NSE - Other Index Options'!$B:$B,D$4)=0,"",SUMIFS('NSE - NIFTY Index Options'!$L:$L,'NSE - NIFTY Index Options'!$C:$C,$A63,'NSE - NIFTY Index Options'!$B:$B,D$4)+SUMIFS('NSE - Other Index Options'!$L:$L,'NSE - Other Index Options'!$C:$C,$A63,'NSE - Other Index Options'!$B:$B,D$4))</f>
        <v/>
      </c>
      <c r="E63" s="26" t="str">
        <f>IF(SUMIFS('NSE - NIFTY Index Options'!$L:$L,'NSE - NIFTY Index Options'!$C:$C,$A63,'NSE - NIFTY Index Options'!$B:$B,E$4)+SUMIFS('NSE - Other Index Options'!$L:$L,'NSE - Other Index Options'!$C:$C,$A63,'NSE - Other Index Options'!$B:$B,E$4)=0,"",SUMIFS('NSE - NIFTY Index Options'!$L:$L,'NSE - NIFTY Index Options'!$C:$C,$A63,'NSE - NIFTY Index Options'!$B:$B,E$4)+SUMIFS('NSE - Other Index Options'!$L:$L,'NSE - Other Index Options'!$C:$C,$A63,'NSE - Other Index Options'!$B:$B,E$4))</f>
        <v/>
      </c>
      <c r="F63" s="26" t="str">
        <f>IF(SUMIFS('NSE - NIFTY Index Options'!$L:$L,'NSE - NIFTY Index Options'!$C:$C,$A63,'NSE - NIFTY Index Options'!$B:$B,F$4)+SUMIFS('NSE - Other Index Options'!$L:$L,'NSE - Other Index Options'!$C:$C,$A63,'NSE - Other Index Options'!$B:$B,F$4)=0,"",SUMIFS('NSE - NIFTY Index Options'!$L:$L,'NSE - NIFTY Index Options'!$C:$C,$A63,'NSE - NIFTY Index Options'!$B:$B,F$4)+SUMIFS('NSE - Other Index Options'!$L:$L,'NSE - Other Index Options'!$C:$C,$A63,'NSE - Other Index Options'!$B:$B,F$4))</f>
        <v/>
      </c>
      <c r="G63" s="26" t="str">
        <f>IF(SUMIFS('NSE - NIFTY Index Options'!$L:$L,'NSE - NIFTY Index Options'!$C:$C,$A63,'NSE - NIFTY Index Options'!$B:$B,G$4)+SUMIFS('NSE - Other Index Options'!$L:$L,'NSE - Other Index Options'!$C:$C,$A63,'NSE - Other Index Options'!$B:$B,G$4)=0,"",SUMIFS('NSE - NIFTY Index Options'!$L:$L,'NSE - NIFTY Index Options'!$C:$C,$A63,'NSE - NIFTY Index Options'!$B:$B,G$4)+SUMIFS('NSE - Other Index Options'!$L:$L,'NSE - Other Index Options'!$C:$C,$A63,'NSE - Other Index Options'!$B:$B,G$4))</f>
        <v/>
      </c>
      <c r="H63" s="26" t="str">
        <f t="shared" si="1"/>
        <v/>
      </c>
    </row>
    <row r="64" spans="1:8" hidden="1" outlineLevel="1">
      <c r="A64" t="s">
        <v>69</v>
      </c>
      <c r="B64" s="26" t="str">
        <f>IF(SUMIFS('NSE - NIFTY Index Options'!$L:$L,'NSE - NIFTY Index Options'!$C:$C,$A64,'NSE - NIFTY Index Options'!$B:$B,B$4)+SUMIFS('NSE - Other Index Options'!$L:$L,'NSE - Other Index Options'!$C:$C,$A64,'NSE - Other Index Options'!$B:$B,B$4)=0,"",SUMIFS('NSE - NIFTY Index Options'!$L:$L,'NSE - NIFTY Index Options'!$C:$C,$A64,'NSE - NIFTY Index Options'!$B:$B,B$4)+SUMIFS('NSE - Other Index Options'!$L:$L,'NSE - Other Index Options'!$C:$C,$A64,'NSE - Other Index Options'!$B:$B,B$4))</f>
        <v/>
      </c>
      <c r="C64" s="26" t="str">
        <f>IF(SUMIFS('NSE - NIFTY Index Options'!$L:$L,'NSE - NIFTY Index Options'!$C:$C,$A64,'NSE - NIFTY Index Options'!$B:$B,C$4)+SUMIFS('NSE - Other Index Options'!$L:$L,'NSE - Other Index Options'!$C:$C,$A64,'NSE - Other Index Options'!$B:$B,C$4)=0,"",SUMIFS('NSE - NIFTY Index Options'!$L:$L,'NSE - NIFTY Index Options'!$C:$C,$A64,'NSE - NIFTY Index Options'!$B:$B,C$4)+SUMIFS('NSE - Other Index Options'!$L:$L,'NSE - Other Index Options'!$C:$C,$A64,'NSE - Other Index Options'!$B:$B,C$4))</f>
        <v/>
      </c>
      <c r="D64" s="26" t="str">
        <f>IF(SUMIFS('NSE - NIFTY Index Options'!$L:$L,'NSE - NIFTY Index Options'!$C:$C,$A64,'NSE - NIFTY Index Options'!$B:$B,D$4)+SUMIFS('NSE - Other Index Options'!$L:$L,'NSE - Other Index Options'!$C:$C,$A64,'NSE - Other Index Options'!$B:$B,D$4)=0,"",SUMIFS('NSE - NIFTY Index Options'!$L:$L,'NSE - NIFTY Index Options'!$C:$C,$A64,'NSE - NIFTY Index Options'!$B:$B,D$4)+SUMIFS('NSE - Other Index Options'!$L:$L,'NSE - Other Index Options'!$C:$C,$A64,'NSE - Other Index Options'!$B:$B,D$4))</f>
        <v/>
      </c>
      <c r="E64" s="26" t="str">
        <f>IF(SUMIFS('NSE - NIFTY Index Options'!$L:$L,'NSE - NIFTY Index Options'!$C:$C,$A64,'NSE - NIFTY Index Options'!$B:$B,E$4)+SUMIFS('NSE - Other Index Options'!$L:$L,'NSE - Other Index Options'!$C:$C,$A64,'NSE - Other Index Options'!$B:$B,E$4)=0,"",SUMIFS('NSE - NIFTY Index Options'!$L:$L,'NSE - NIFTY Index Options'!$C:$C,$A64,'NSE - NIFTY Index Options'!$B:$B,E$4)+SUMIFS('NSE - Other Index Options'!$L:$L,'NSE - Other Index Options'!$C:$C,$A64,'NSE - Other Index Options'!$B:$B,E$4))</f>
        <v/>
      </c>
      <c r="F64" s="26" t="str">
        <f>IF(SUMIFS('NSE - NIFTY Index Options'!$L:$L,'NSE - NIFTY Index Options'!$C:$C,$A64,'NSE - NIFTY Index Options'!$B:$B,F$4)+SUMIFS('NSE - Other Index Options'!$L:$L,'NSE - Other Index Options'!$C:$C,$A64,'NSE - Other Index Options'!$B:$B,F$4)=0,"",SUMIFS('NSE - NIFTY Index Options'!$L:$L,'NSE - NIFTY Index Options'!$C:$C,$A64,'NSE - NIFTY Index Options'!$B:$B,F$4)+SUMIFS('NSE - Other Index Options'!$L:$L,'NSE - Other Index Options'!$C:$C,$A64,'NSE - Other Index Options'!$B:$B,F$4))</f>
        <v/>
      </c>
      <c r="G64" s="26" t="str">
        <f>IF(SUMIFS('NSE - NIFTY Index Options'!$L:$L,'NSE - NIFTY Index Options'!$C:$C,$A64,'NSE - NIFTY Index Options'!$B:$B,G$4)+SUMIFS('NSE - Other Index Options'!$L:$L,'NSE - Other Index Options'!$C:$C,$A64,'NSE - Other Index Options'!$B:$B,G$4)=0,"",SUMIFS('NSE - NIFTY Index Options'!$L:$L,'NSE - NIFTY Index Options'!$C:$C,$A64,'NSE - NIFTY Index Options'!$B:$B,G$4)+SUMIFS('NSE - Other Index Options'!$L:$L,'NSE - Other Index Options'!$C:$C,$A64,'NSE - Other Index Options'!$B:$B,G$4))</f>
        <v/>
      </c>
      <c r="H64" s="26" t="str">
        <f t="shared" si="1"/>
        <v/>
      </c>
    </row>
    <row r="65" spans="1:8" hidden="1" outlineLevel="1">
      <c r="A65" t="s">
        <v>70</v>
      </c>
      <c r="B65" s="26" t="str">
        <f>IF(SUMIFS('NSE - NIFTY Index Options'!$L:$L,'NSE - NIFTY Index Options'!$C:$C,$A65,'NSE - NIFTY Index Options'!$B:$B,B$4)+SUMIFS('NSE - Other Index Options'!$L:$L,'NSE - Other Index Options'!$C:$C,$A65,'NSE - Other Index Options'!$B:$B,B$4)=0,"",SUMIFS('NSE - NIFTY Index Options'!$L:$L,'NSE - NIFTY Index Options'!$C:$C,$A65,'NSE - NIFTY Index Options'!$B:$B,B$4)+SUMIFS('NSE - Other Index Options'!$L:$L,'NSE - Other Index Options'!$C:$C,$A65,'NSE - Other Index Options'!$B:$B,B$4))</f>
        <v/>
      </c>
      <c r="C65" s="26" t="str">
        <f>IF(SUMIFS('NSE - NIFTY Index Options'!$L:$L,'NSE - NIFTY Index Options'!$C:$C,$A65,'NSE - NIFTY Index Options'!$B:$B,C$4)+SUMIFS('NSE - Other Index Options'!$L:$L,'NSE - Other Index Options'!$C:$C,$A65,'NSE - Other Index Options'!$B:$B,C$4)=0,"",SUMIFS('NSE - NIFTY Index Options'!$L:$L,'NSE - NIFTY Index Options'!$C:$C,$A65,'NSE - NIFTY Index Options'!$B:$B,C$4)+SUMIFS('NSE - Other Index Options'!$L:$L,'NSE - Other Index Options'!$C:$C,$A65,'NSE - Other Index Options'!$B:$B,C$4))</f>
        <v/>
      </c>
      <c r="D65" s="26" t="str">
        <f>IF(SUMIFS('NSE - NIFTY Index Options'!$L:$L,'NSE - NIFTY Index Options'!$C:$C,$A65,'NSE - NIFTY Index Options'!$B:$B,D$4)+SUMIFS('NSE - Other Index Options'!$L:$L,'NSE - Other Index Options'!$C:$C,$A65,'NSE - Other Index Options'!$B:$B,D$4)=0,"",SUMIFS('NSE - NIFTY Index Options'!$L:$L,'NSE - NIFTY Index Options'!$C:$C,$A65,'NSE - NIFTY Index Options'!$B:$B,D$4)+SUMIFS('NSE - Other Index Options'!$L:$L,'NSE - Other Index Options'!$C:$C,$A65,'NSE - Other Index Options'!$B:$B,D$4))</f>
        <v/>
      </c>
      <c r="E65" s="26" t="str">
        <f>IF(SUMIFS('NSE - NIFTY Index Options'!$L:$L,'NSE - NIFTY Index Options'!$C:$C,$A65,'NSE - NIFTY Index Options'!$B:$B,E$4)+SUMIFS('NSE - Other Index Options'!$L:$L,'NSE - Other Index Options'!$C:$C,$A65,'NSE - Other Index Options'!$B:$B,E$4)=0,"",SUMIFS('NSE - NIFTY Index Options'!$L:$L,'NSE - NIFTY Index Options'!$C:$C,$A65,'NSE - NIFTY Index Options'!$B:$B,E$4)+SUMIFS('NSE - Other Index Options'!$L:$L,'NSE - Other Index Options'!$C:$C,$A65,'NSE - Other Index Options'!$B:$B,E$4))</f>
        <v/>
      </c>
      <c r="F65" s="26" t="str">
        <f>IF(SUMIFS('NSE - NIFTY Index Options'!$L:$L,'NSE - NIFTY Index Options'!$C:$C,$A65,'NSE - NIFTY Index Options'!$B:$B,F$4)+SUMIFS('NSE - Other Index Options'!$L:$L,'NSE - Other Index Options'!$C:$C,$A65,'NSE - Other Index Options'!$B:$B,F$4)=0,"",SUMIFS('NSE - NIFTY Index Options'!$L:$L,'NSE - NIFTY Index Options'!$C:$C,$A65,'NSE - NIFTY Index Options'!$B:$B,F$4)+SUMIFS('NSE - Other Index Options'!$L:$L,'NSE - Other Index Options'!$C:$C,$A65,'NSE - Other Index Options'!$B:$B,F$4))</f>
        <v/>
      </c>
      <c r="G65" s="26" t="str">
        <f>IF(SUMIFS('NSE - NIFTY Index Options'!$L:$L,'NSE - NIFTY Index Options'!$C:$C,$A65,'NSE - NIFTY Index Options'!$B:$B,G$4)+SUMIFS('NSE - Other Index Options'!$L:$L,'NSE - Other Index Options'!$C:$C,$A65,'NSE - Other Index Options'!$B:$B,G$4)=0,"",SUMIFS('NSE - NIFTY Index Options'!$L:$L,'NSE - NIFTY Index Options'!$C:$C,$A65,'NSE - NIFTY Index Options'!$B:$B,G$4)+SUMIFS('NSE - Other Index Options'!$L:$L,'NSE - Other Index Options'!$C:$C,$A65,'NSE - Other Index Options'!$B:$B,G$4))</f>
        <v/>
      </c>
      <c r="H65" s="26" t="str">
        <f t="shared" si="1"/>
        <v/>
      </c>
    </row>
    <row r="66" spans="1:8" hidden="1" outlineLevel="1">
      <c r="A66" t="s">
        <v>71</v>
      </c>
      <c r="B66" s="26" t="str">
        <f>IF(SUMIFS('NSE - NIFTY Index Options'!$L:$L,'NSE - NIFTY Index Options'!$C:$C,$A66,'NSE - NIFTY Index Options'!$B:$B,B$4)+SUMIFS('NSE - Other Index Options'!$L:$L,'NSE - Other Index Options'!$C:$C,$A66,'NSE - Other Index Options'!$B:$B,B$4)=0,"",SUMIFS('NSE - NIFTY Index Options'!$L:$L,'NSE - NIFTY Index Options'!$C:$C,$A66,'NSE - NIFTY Index Options'!$B:$B,B$4)+SUMIFS('NSE - Other Index Options'!$L:$L,'NSE - Other Index Options'!$C:$C,$A66,'NSE - Other Index Options'!$B:$B,B$4))</f>
        <v/>
      </c>
      <c r="C66" s="26" t="str">
        <f>IF(SUMIFS('NSE - NIFTY Index Options'!$L:$L,'NSE - NIFTY Index Options'!$C:$C,$A66,'NSE - NIFTY Index Options'!$B:$B,C$4)+SUMIFS('NSE - Other Index Options'!$L:$L,'NSE - Other Index Options'!$C:$C,$A66,'NSE - Other Index Options'!$B:$B,C$4)=0,"",SUMIFS('NSE - NIFTY Index Options'!$L:$L,'NSE - NIFTY Index Options'!$C:$C,$A66,'NSE - NIFTY Index Options'!$B:$B,C$4)+SUMIFS('NSE - Other Index Options'!$L:$L,'NSE - Other Index Options'!$C:$C,$A66,'NSE - Other Index Options'!$B:$B,C$4))</f>
        <v/>
      </c>
      <c r="D66" s="26" t="str">
        <f>IF(SUMIFS('NSE - NIFTY Index Options'!$L:$L,'NSE - NIFTY Index Options'!$C:$C,$A66,'NSE - NIFTY Index Options'!$B:$B,D$4)+SUMIFS('NSE - Other Index Options'!$L:$L,'NSE - Other Index Options'!$C:$C,$A66,'NSE - Other Index Options'!$B:$B,D$4)=0,"",SUMIFS('NSE - NIFTY Index Options'!$L:$L,'NSE - NIFTY Index Options'!$C:$C,$A66,'NSE - NIFTY Index Options'!$B:$B,D$4)+SUMIFS('NSE - Other Index Options'!$L:$L,'NSE - Other Index Options'!$C:$C,$A66,'NSE - Other Index Options'!$B:$B,D$4))</f>
        <v/>
      </c>
      <c r="E66" s="26" t="str">
        <f>IF(SUMIFS('NSE - NIFTY Index Options'!$L:$L,'NSE - NIFTY Index Options'!$C:$C,$A66,'NSE - NIFTY Index Options'!$B:$B,E$4)+SUMIFS('NSE - Other Index Options'!$L:$L,'NSE - Other Index Options'!$C:$C,$A66,'NSE - Other Index Options'!$B:$B,E$4)=0,"",SUMIFS('NSE - NIFTY Index Options'!$L:$L,'NSE - NIFTY Index Options'!$C:$C,$A66,'NSE - NIFTY Index Options'!$B:$B,E$4)+SUMIFS('NSE - Other Index Options'!$L:$L,'NSE - Other Index Options'!$C:$C,$A66,'NSE - Other Index Options'!$B:$B,E$4))</f>
        <v/>
      </c>
      <c r="F66" s="26" t="str">
        <f>IF(SUMIFS('NSE - NIFTY Index Options'!$L:$L,'NSE - NIFTY Index Options'!$C:$C,$A66,'NSE - NIFTY Index Options'!$B:$B,F$4)+SUMIFS('NSE - Other Index Options'!$L:$L,'NSE - Other Index Options'!$C:$C,$A66,'NSE - Other Index Options'!$B:$B,F$4)=0,"",SUMIFS('NSE - NIFTY Index Options'!$L:$L,'NSE - NIFTY Index Options'!$C:$C,$A66,'NSE - NIFTY Index Options'!$B:$B,F$4)+SUMIFS('NSE - Other Index Options'!$L:$L,'NSE - Other Index Options'!$C:$C,$A66,'NSE - Other Index Options'!$B:$B,F$4))</f>
        <v/>
      </c>
      <c r="G66" s="26" t="str">
        <f>IF(SUMIFS('NSE - NIFTY Index Options'!$L:$L,'NSE - NIFTY Index Options'!$C:$C,$A66,'NSE - NIFTY Index Options'!$B:$B,G$4)+SUMIFS('NSE - Other Index Options'!$L:$L,'NSE - Other Index Options'!$C:$C,$A66,'NSE - Other Index Options'!$B:$B,G$4)=0,"",SUMIFS('NSE - NIFTY Index Options'!$L:$L,'NSE - NIFTY Index Options'!$C:$C,$A66,'NSE - NIFTY Index Options'!$B:$B,G$4)+SUMIFS('NSE - Other Index Options'!$L:$L,'NSE - Other Index Options'!$C:$C,$A66,'NSE - Other Index Options'!$B:$B,G$4))</f>
        <v/>
      </c>
      <c r="H66" s="26" t="str">
        <f t="shared" si="1"/>
        <v/>
      </c>
    </row>
    <row r="67" spans="1:8" hidden="1" outlineLevel="1">
      <c r="A67" t="s">
        <v>72</v>
      </c>
      <c r="B67" s="26" t="str">
        <f>IF(SUMIFS('NSE - NIFTY Index Options'!$L:$L,'NSE - NIFTY Index Options'!$C:$C,$A67,'NSE - NIFTY Index Options'!$B:$B,B$4)+SUMIFS('NSE - Other Index Options'!$L:$L,'NSE - Other Index Options'!$C:$C,$A67,'NSE - Other Index Options'!$B:$B,B$4)=0,"",SUMIFS('NSE - NIFTY Index Options'!$L:$L,'NSE - NIFTY Index Options'!$C:$C,$A67,'NSE - NIFTY Index Options'!$B:$B,B$4)+SUMIFS('NSE - Other Index Options'!$L:$L,'NSE - Other Index Options'!$C:$C,$A67,'NSE - Other Index Options'!$B:$B,B$4))</f>
        <v/>
      </c>
      <c r="C67" s="26" t="str">
        <f>IF(SUMIFS('NSE - NIFTY Index Options'!$L:$L,'NSE - NIFTY Index Options'!$C:$C,$A67,'NSE - NIFTY Index Options'!$B:$B,C$4)+SUMIFS('NSE - Other Index Options'!$L:$L,'NSE - Other Index Options'!$C:$C,$A67,'NSE - Other Index Options'!$B:$B,C$4)=0,"",SUMIFS('NSE - NIFTY Index Options'!$L:$L,'NSE - NIFTY Index Options'!$C:$C,$A67,'NSE - NIFTY Index Options'!$B:$B,C$4)+SUMIFS('NSE - Other Index Options'!$L:$L,'NSE - Other Index Options'!$C:$C,$A67,'NSE - Other Index Options'!$B:$B,C$4))</f>
        <v/>
      </c>
      <c r="D67" s="26" t="str">
        <f>IF(SUMIFS('NSE - NIFTY Index Options'!$L:$L,'NSE - NIFTY Index Options'!$C:$C,$A67,'NSE - NIFTY Index Options'!$B:$B,D$4)+SUMIFS('NSE - Other Index Options'!$L:$L,'NSE - Other Index Options'!$C:$C,$A67,'NSE - Other Index Options'!$B:$B,D$4)=0,"",SUMIFS('NSE - NIFTY Index Options'!$L:$L,'NSE - NIFTY Index Options'!$C:$C,$A67,'NSE - NIFTY Index Options'!$B:$B,D$4)+SUMIFS('NSE - Other Index Options'!$L:$L,'NSE - Other Index Options'!$C:$C,$A67,'NSE - Other Index Options'!$B:$B,D$4))</f>
        <v/>
      </c>
      <c r="E67" s="26" t="str">
        <f>IF(SUMIFS('NSE - NIFTY Index Options'!$L:$L,'NSE - NIFTY Index Options'!$C:$C,$A67,'NSE - NIFTY Index Options'!$B:$B,E$4)+SUMIFS('NSE - Other Index Options'!$L:$L,'NSE - Other Index Options'!$C:$C,$A67,'NSE - Other Index Options'!$B:$B,E$4)=0,"",SUMIFS('NSE - NIFTY Index Options'!$L:$L,'NSE - NIFTY Index Options'!$C:$C,$A67,'NSE - NIFTY Index Options'!$B:$B,E$4)+SUMIFS('NSE - Other Index Options'!$L:$L,'NSE - Other Index Options'!$C:$C,$A67,'NSE - Other Index Options'!$B:$B,E$4))</f>
        <v/>
      </c>
      <c r="F67" s="26" t="str">
        <f>IF(SUMIFS('NSE - NIFTY Index Options'!$L:$L,'NSE - NIFTY Index Options'!$C:$C,$A67,'NSE - NIFTY Index Options'!$B:$B,F$4)+SUMIFS('NSE - Other Index Options'!$L:$L,'NSE - Other Index Options'!$C:$C,$A67,'NSE - Other Index Options'!$B:$B,F$4)=0,"",SUMIFS('NSE - NIFTY Index Options'!$L:$L,'NSE - NIFTY Index Options'!$C:$C,$A67,'NSE - NIFTY Index Options'!$B:$B,F$4)+SUMIFS('NSE - Other Index Options'!$L:$L,'NSE - Other Index Options'!$C:$C,$A67,'NSE - Other Index Options'!$B:$B,F$4))</f>
        <v/>
      </c>
      <c r="G67" s="26" t="str">
        <f>IF(SUMIFS('NSE - NIFTY Index Options'!$L:$L,'NSE - NIFTY Index Options'!$C:$C,$A67,'NSE - NIFTY Index Options'!$B:$B,G$4)+SUMIFS('NSE - Other Index Options'!$L:$L,'NSE - Other Index Options'!$C:$C,$A67,'NSE - Other Index Options'!$B:$B,G$4)=0,"",SUMIFS('NSE - NIFTY Index Options'!$L:$L,'NSE - NIFTY Index Options'!$C:$C,$A67,'NSE - NIFTY Index Options'!$B:$B,G$4)+SUMIFS('NSE - Other Index Options'!$L:$L,'NSE - Other Index Options'!$C:$C,$A67,'NSE - Other Index Options'!$B:$B,G$4))</f>
        <v/>
      </c>
      <c r="H67" s="26" t="str">
        <f t="shared" si="1"/>
        <v/>
      </c>
    </row>
    <row r="68" spans="1:8" hidden="1" outlineLevel="1">
      <c r="A68" t="s">
        <v>73</v>
      </c>
      <c r="B68" s="26" t="str">
        <f>IF(SUMIFS('NSE - NIFTY Index Options'!$L:$L,'NSE - NIFTY Index Options'!$C:$C,$A68,'NSE - NIFTY Index Options'!$B:$B,B$4)+SUMIFS('NSE - Other Index Options'!$L:$L,'NSE - Other Index Options'!$C:$C,$A68,'NSE - Other Index Options'!$B:$B,B$4)=0,"",SUMIFS('NSE - NIFTY Index Options'!$L:$L,'NSE - NIFTY Index Options'!$C:$C,$A68,'NSE - NIFTY Index Options'!$B:$B,B$4)+SUMIFS('NSE - Other Index Options'!$L:$L,'NSE - Other Index Options'!$C:$C,$A68,'NSE - Other Index Options'!$B:$B,B$4))</f>
        <v/>
      </c>
      <c r="C68" s="26" t="str">
        <f>IF(SUMIFS('NSE - NIFTY Index Options'!$L:$L,'NSE - NIFTY Index Options'!$C:$C,$A68,'NSE - NIFTY Index Options'!$B:$B,C$4)+SUMIFS('NSE - Other Index Options'!$L:$L,'NSE - Other Index Options'!$C:$C,$A68,'NSE - Other Index Options'!$B:$B,C$4)=0,"",SUMIFS('NSE - NIFTY Index Options'!$L:$L,'NSE - NIFTY Index Options'!$C:$C,$A68,'NSE - NIFTY Index Options'!$B:$B,C$4)+SUMIFS('NSE - Other Index Options'!$L:$L,'NSE - Other Index Options'!$C:$C,$A68,'NSE - Other Index Options'!$B:$B,C$4))</f>
        <v/>
      </c>
      <c r="D68" s="26" t="str">
        <f>IF(SUMIFS('NSE - NIFTY Index Options'!$L:$L,'NSE - NIFTY Index Options'!$C:$C,$A68,'NSE - NIFTY Index Options'!$B:$B,D$4)+SUMIFS('NSE - Other Index Options'!$L:$L,'NSE - Other Index Options'!$C:$C,$A68,'NSE - Other Index Options'!$B:$B,D$4)=0,"",SUMIFS('NSE - NIFTY Index Options'!$L:$L,'NSE - NIFTY Index Options'!$C:$C,$A68,'NSE - NIFTY Index Options'!$B:$B,D$4)+SUMIFS('NSE - Other Index Options'!$L:$L,'NSE - Other Index Options'!$C:$C,$A68,'NSE - Other Index Options'!$B:$B,D$4))</f>
        <v/>
      </c>
      <c r="E68" s="26" t="str">
        <f>IF(SUMIFS('NSE - NIFTY Index Options'!$L:$L,'NSE - NIFTY Index Options'!$C:$C,$A68,'NSE - NIFTY Index Options'!$B:$B,E$4)+SUMIFS('NSE - Other Index Options'!$L:$L,'NSE - Other Index Options'!$C:$C,$A68,'NSE - Other Index Options'!$B:$B,E$4)=0,"",SUMIFS('NSE - NIFTY Index Options'!$L:$L,'NSE - NIFTY Index Options'!$C:$C,$A68,'NSE - NIFTY Index Options'!$B:$B,E$4)+SUMIFS('NSE - Other Index Options'!$L:$L,'NSE - Other Index Options'!$C:$C,$A68,'NSE - Other Index Options'!$B:$B,E$4))</f>
        <v/>
      </c>
      <c r="F68" s="26" t="str">
        <f>IF(SUMIFS('NSE - NIFTY Index Options'!$L:$L,'NSE - NIFTY Index Options'!$C:$C,$A68,'NSE - NIFTY Index Options'!$B:$B,F$4)+SUMIFS('NSE - Other Index Options'!$L:$L,'NSE - Other Index Options'!$C:$C,$A68,'NSE - Other Index Options'!$B:$B,F$4)=0,"",SUMIFS('NSE - NIFTY Index Options'!$L:$L,'NSE - NIFTY Index Options'!$C:$C,$A68,'NSE - NIFTY Index Options'!$B:$B,F$4)+SUMIFS('NSE - Other Index Options'!$L:$L,'NSE - Other Index Options'!$C:$C,$A68,'NSE - Other Index Options'!$B:$B,F$4))</f>
        <v/>
      </c>
      <c r="G68" s="26" t="str">
        <f>IF(SUMIFS('NSE - NIFTY Index Options'!$L:$L,'NSE - NIFTY Index Options'!$C:$C,$A68,'NSE - NIFTY Index Options'!$B:$B,G$4)+SUMIFS('NSE - Other Index Options'!$L:$L,'NSE - Other Index Options'!$C:$C,$A68,'NSE - Other Index Options'!$B:$B,G$4)=0,"",SUMIFS('NSE - NIFTY Index Options'!$L:$L,'NSE - NIFTY Index Options'!$C:$C,$A68,'NSE - NIFTY Index Options'!$B:$B,G$4)+SUMIFS('NSE - Other Index Options'!$L:$L,'NSE - Other Index Options'!$C:$C,$A68,'NSE - Other Index Options'!$B:$B,G$4))</f>
        <v/>
      </c>
      <c r="H68" s="26" t="str">
        <f t="shared" si="1"/>
        <v/>
      </c>
    </row>
    <row r="69" spans="1:8" hidden="1" outlineLevel="1">
      <c r="A69" t="s">
        <v>74</v>
      </c>
      <c r="B69" s="26" t="str">
        <f>IF(SUMIFS('NSE - NIFTY Index Options'!$L:$L,'NSE - NIFTY Index Options'!$C:$C,$A69,'NSE - NIFTY Index Options'!$B:$B,B$4)+SUMIFS('NSE - Other Index Options'!$L:$L,'NSE - Other Index Options'!$C:$C,$A69,'NSE - Other Index Options'!$B:$B,B$4)=0,"",SUMIFS('NSE - NIFTY Index Options'!$L:$L,'NSE - NIFTY Index Options'!$C:$C,$A69,'NSE - NIFTY Index Options'!$B:$B,B$4)+SUMIFS('NSE - Other Index Options'!$L:$L,'NSE - Other Index Options'!$C:$C,$A69,'NSE - Other Index Options'!$B:$B,B$4))</f>
        <v/>
      </c>
      <c r="C69" s="26" t="str">
        <f>IF(SUMIFS('NSE - NIFTY Index Options'!$L:$L,'NSE - NIFTY Index Options'!$C:$C,$A69,'NSE - NIFTY Index Options'!$B:$B,C$4)+SUMIFS('NSE - Other Index Options'!$L:$L,'NSE - Other Index Options'!$C:$C,$A69,'NSE - Other Index Options'!$B:$B,C$4)=0,"",SUMIFS('NSE - NIFTY Index Options'!$L:$L,'NSE - NIFTY Index Options'!$C:$C,$A69,'NSE - NIFTY Index Options'!$B:$B,C$4)+SUMIFS('NSE - Other Index Options'!$L:$L,'NSE - Other Index Options'!$C:$C,$A69,'NSE - Other Index Options'!$B:$B,C$4))</f>
        <v/>
      </c>
      <c r="D69" s="26" t="str">
        <f>IF(SUMIFS('NSE - NIFTY Index Options'!$L:$L,'NSE - NIFTY Index Options'!$C:$C,$A69,'NSE - NIFTY Index Options'!$B:$B,D$4)+SUMIFS('NSE - Other Index Options'!$L:$L,'NSE - Other Index Options'!$C:$C,$A69,'NSE - Other Index Options'!$B:$B,D$4)=0,"",SUMIFS('NSE - NIFTY Index Options'!$L:$L,'NSE - NIFTY Index Options'!$C:$C,$A69,'NSE - NIFTY Index Options'!$B:$B,D$4)+SUMIFS('NSE - Other Index Options'!$L:$L,'NSE - Other Index Options'!$C:$C,$A69,'NSE - Other Index Options'!$B:$B,D$4))</f>
        <v/>
      </c>
      <c r="E69" s="26" t="str">
        <f>IF(SUMIFS('NSE - NIFTY Index Options'!$L:$L,'NSE - NIFTY Index Options'!$C:$C,$A69,'NSE - NIFTY Index Options'!$B:$B,E$4)+SUMIFS('NSE - Other Index Options'!$L:$L,'NSE - Other Index Options'!$C:$C,$A69,'NSE - Other Index Options'!$B:$B,E$4)=0,"",SUMIFS('NSE - NIFTY Index Options'!$L:$L,'NSE - NIFTY Index Options'!$C:$C,$A69,'NSE - NIFTY Index Options'!$B:$B,E$4)+SUMIFS('NSE - Other Index Options'!$L:$L,'NSE - Other Index Options'!$C:$C,$A69,'NSE - Other Index Options'!$B:$B,E$4))</f>
        <v/>
      </c>
      <c r="F69" s="26" t="str">
        <f>IF(SUMIFS('NSE - NIFTY Index Options'!$L:$L,'NSE - NIFTY Index Options'!$C:$C,$A69,'NSE - NIFTY Index Options'!$B:$B,F$4)+SUMIFS('NSE - Other Index Options'!$L:$L,'NSE - Other Index Options'!$C:$C,$A69,'NSE - Other Index Options'!$B:$B,F$4)=0,"",SUMIFS('NSE - NIFTY Index Options'!$L:$L,'NSE - NIFTY Index Options'!$C:$C,$A69,'NSE - NIFTY Index Options'!$B:$B,F$4)+SUMIFS('NSE - Other Index Options'!$L:$L,'NSE - Other Index Options'!$C:$C,$A69,'NSE - Other Index Options'!$B:$B,F$4))</f>
        <v/>
      </c>
      <c r="G69" s="26" t="str">
        <f>IF(SUMIFS('NSE - NIFTY Index Options'!$L:$L,'NSE - NIFTY Index Options'!$C:$C,$A69,'NSE - NIFTY Index Options'!$B:$B,G$4)+SUMIFS('NSE - Other Index Options'!$L:$L,'NSE - Other Index Options'!$C:$C,$A69,'NSE - Other Index Options'!$B:$B,G$4)=0,"",SUMIFS('NSE - NIFTY Index Options'!$L:$L,'NSE - NIFTY Index Options'!$C:$C,$A69,'NSE - NIFTY Index Options'!$B:$B,G$4)+SUMIFS('NSE - Other Index Options'!$L:$L,'NSE - Other Index Options'!$C:$C,$A69,'NSE - Other Index Options'!$B:$B,G$4))</f>
        <v/>
      </c>
      <c r="H69" s="26" t="str">
        <f t="shared" ref="H69:H100" si="2">IF(SUM(B69:G69)=0,"",SUM(B69:G69))</f>
        <v/>
      </c>
    </row>
    <row r="70" spans="1:8" hidden="1" outlineLevel="1">
      <c r="A70" t="s">
        <v>75</v>
      </c>
      <c r="B70" s="26" t="str">
        <f>IF(SUMIFS('NSE - NIFTY Index Options'!$L:$L,'NSE - NIFTY Index Options'!$C:$C,$A70,'NSE - NIFTY Index Options'!$B:$B,B$4)+SUMIFS('NSE - Other Index Options'!$L:$L,'NSE - Other Index Options'!$C:$C,$A70,'NSE - Other Index Options'!$B:$B,B$4)=0,"",SUMIFS('NSE - NIFTY Index Options'!$L:$L,'NSE - NIFTY Index Options'!$C:$C,$A70,'NSE - NIFTY Index Options'!$B:$B,B$4)+SUMIFS('NSE - Other Index Options'!$L:$L,'NSE - Other Index Options'!$C:$C,$A70,'NSE - Other Index Options'!$B:$B,B$4))</f>
        <v/>
      </c>
      <c r="C70" s="26" t="str">
        <f>IF(SUMIFS('NSE - NIFTY Index Options'!$L:$L,'NSE - NIFTY Index Options'!$C:$C,$A70,'NSE - NIFTY Index Options'!$B:$B,C$4)+SUMIFS('NSE - Other Index Options'!$L:$L,'NSE - Other Index Options'!$C:$C,$A70,'NSE - Other Index Options'!$B:$B,C$4)=0,"",SUMIFS('NSE - NIFTY Index Options'!$L:$L,'NSE - NIFTY Index Options'!$C:$C,$A70,'NSE - NIFTY Index Options'!$B:$B,C$4)+SUMIFS('NSE - Other Index Options'!$L:$L,'NSE - Other Index Options'!$C:$C,$A70,'NSE - Other Index Options'!$B:$B,C$4))</f>
        <v/>
      </c>
      <c r="D70" s="26" t="str">
        <f>IF(SUMIFS('NSE - NIFTY Index Options'!$L:$L,'NSE - NIFTY Index Options'!$C:$C,$A70,'NSE - NIFTY Index Options'!$B:$B,D$4)+SUMIFS('NSE - Other Index Options'!$L:$L,'NSE - Other Index Options'!$C:$C,$A70,'NSE - Other Index Options'!$B:$B,D$4)=0,"",SUMIFS('NSE - NIFTY Index Options'!$L:$L,'NSE - NIFTY Index Options'!$C:$C,$A70,'NSE - NIFTY Index Options'!$B:$B,D$4)+SUMIFS('NSE - Other Index Options'!$L:$L,'NSE - Other Index Options'!$C:$C,$A70,'NSE - Other Index Options'!$B:$B,D$4))</f>
        <v/>
      </c>
      <c r="E70" s="26" t="str">
        <f>IF(SUMIFS('NSE - NIFTY Index Options'!$L:$L,'NSE - NIFTY Index Options'!$C:$C,$A70,'NSE - NIFTY Index Options'!$B:$B,E$4)+SUMIFS('NSE - Other Index Options'!$L:$L,'NSE - Other Index Options'!$C:$C,$A70,'NSE - Other Index Options'!$B:$B,E$4)=0,"",SUMIFS('NSE - NIFTY Index Options'!$L:$L,'NSE - NIFTY Index Options'!$C:$C,$A70,'NSE - NIFTY Index Options'!$B:$B,E$4)+SUMIFS('NSE - Other Index Options'!$L:$L,'NSE - Other Index Options'!$C:$C,$A70,'NSE - Other Index Options'!$B:$B,E$4))</f>
        <v/>
      </c>
      <c r="F70" s="26" t="str">
        <f>IF(SUMIFS('NSE - NIFTY Index Options'!$L:$L,'NSE - NIFTY Index Options'!$C:$C,$A70,'NSE - NIFTY Index Options'!$B:$B,F$4)+SUMIFS('NSE - Other Index Options'!$L:$L,'NSE - Other Index Options'!$C:$C,$A70,'NSE - Other Index Options'!$B:$B,F$4)=0,"",SUMIFS('NSE - NIFTY Index Options'!$L:$L,'NSE - NIFTY Index Options'!$C:$C,$A70,'NSE - NIFTY Index Options'!$B:$B,F$4)+SUMIFS('NSE - Other Index Options'!$L:$L,'NSE - Other Index Options'!$C:$C,$A70,'NSE - Other Index Options'!$B:$B,F$4))</f>
        <v/>
      </c>
      <c r="G70" s="26" t="str">
        <f>IF(SUMIFS('NSE - NIFTY Index Options'!$L:$L,'NSE - NIFTY Index Options'!$C:$C,$A70,'NSE - NIFTY Index Options'!$B:$B,G$4)+SUMIFS('NSE - Other Index Options'!$L:$L,'NSE - Other Index Options'!$C:$C,$A70,'NSE - Other Index Options'!$B:$B,G$4)=0,"",SUMIFS('NSE - NIFTY Index Options'!$L:$L,'NSE - NIFTY Index Options'!$C:$C,$A70,'NSE - NIFTY Index Options'!$B:$B,G$4)+SUMIFS('NSE - Other Index Options'!$L:$L,'NSE - Other Index Options'!$C:$C,$A70,'NSE - Other Index Options'!$B:$B,G$4))</f>
        <v/>
      </c>
      <c r="H70" s="26" t="str">
        <f t="shared" si="2"/>
        <v/>
      </c>
    </row>
    <row r="71" spans="1:8" hidden="1" outlineLevel="1">
      <c r="A71" t="s">
        <v>76</v>
      </c>
      <c r="B71" s="26" t="str">
        <f>IF(SUMIFS('NSE - NIFTY Index Options'!$L:$L,'NSE - NIFTY Index Options'!$C:$C,$A71,'NSE - NIFTY Index Options'!$B:$B,B$4)+SUMIFS('NSE - Other Index Options'!$L:$L,'NSE - Other Index Options'!$C:$C,$A71,'NSE - Other Index Options'!$B:$B,B$4)=0,"",SUMIFS('NSE - NIFTY Index Options'!$L:$L,'NSE - NIFTY Index Options'!$C:$C,$A71,'NSE - NIFTY Index Options'!$B:$B,B$4)+SUMIFS('NSE - Other Index Options'!$L:$L,'NSE - Other Index Options'!$C:$C,$A71,'NSE - Other Index Options'!$B:$B,B$4))</f>
        <v/>
      </c>
      <c r="C71" s="26" t="str">
        <f>IF(SUMIFS('NSE - NIFTY Index Options'!$L:$L,'NSE - NIFTY Index Options'!$C:$C,$A71,'NSE - NIFTY Index Options'!$B:$B,C$4)+SUMIFS('NSE - Other Index Options'!$L:$L,'NSE - Other Index Options'!$C:$C,$A71,'NSE - Other Index Options'!$B:$B,C$4)=0,"",SUMIFS('NSE - NIFTY Index Options'!$L:$L,'NSE - NIFTY Index Options'!$C:$C,$A71,'NSE - NIFTY Index Options'!$B:$B,C$4)+SUMIFS('NSE - Other Index Options'!$L:$L,'NSE - Other Index Options'!$C:$C,$A71,'NSE - Other Index Options'!$B:$B,C$4))</f>
        <v/>
      </c>
      <c r="D71" s="26" t="str">
        <f>IF(SUMIFS('NSE - NIFTY Index Options'!$L:$L,'NSE - NIFTY Index Options'!$C:$C,$A71,'NSE - NIFTY Index Options'!$B:$B,D$4)+SUMIFS('NSE - Other Index Options'!$L:$L,'NSE - Other Index Options'!$C:$C,$A71,'NSE - Other Index Options'!$B:$B,D$4)=0,"",SUMIFS('NSE - NIFTY Index Options'!$L:$L,'NSE - NIFTY Index Options'!$C:$C,$A71,'NSE - NIFTY Index Options'!$B:$B,D$4)+SUMIFS('NSE - Other Index Options'!$L:$L,'NSE - Other Index Options'!$C:$C,$A71,'NSE - Other Index Options'!$B:$B,D$4))</f>
        <v/>
      </c>
      <c r="E71" s="26" t="str">
        <f>IF(SUMIFS('NSE - NIFTY Index Options'!$L:$L,'NSE - NIFTY Index Options'!$C:$C,$A71,'NSE - NIFTY Index Options'!$B:$B,E$4)+SUMIFS('NSE - Other Index Options'!$L:$L,'NSE - Other Index Options'!$C:$C,$A71,'NSE - Other Index Options'!$B:$B,E$4)=0,"",SUMIFS('NSE - NIFTY Index Options'!$L:$L,'NSE - NIFTY Index Options'!$C:$C,$A71,'NSE - NIFTY Index Options'!$B:$B,E$4)+SUMIFS('NSE - Other Index Options'!$L:$L,'NSE - Other Index Options'!$C:$C,$A71,'NSE - Other Index Options'!$B:$B,E$4))</f>
        <v/>
      </c>
      <c r="F71" s="26" t="str">
        <f>IF(SUMIFS('NSE - NIFTY Index Options'!$L:$L,'NSE - NIFTY Index Options'!$C:$C,$A71,'NSE - NIFTY Index Options'!$B:$B,F$4)+SUMIFS('NSE - Other Index Options'!$L:$L,'NSE - Other Index Options'!$C:$C,$A71,'NSE - Other Index Options'!$B:$B,F$4)=0,"",SUMIFS('NSE - NIFTY Index Options'!$L:$L,'NSE - NIFTY Index Options'!$C:$C,$A71,'NSE - NIFTY Index Options'!$B:$B,F$4)+SUMIFS('NSE - Other Index Options'!$L:$L,'NSE - Other Index Options'!$C:$C,$A71,'NSE - Other Index Options'!$B:$B,F$4))</f>
        <v/>
      </c>
      <c r="G71" s="26" t="str">
        <f>IF(SUMIFS('NSE - NIFTY Index Options'!$L:$L,'NSE - NIFTY Index Options'!$C:$C,$A71,'NSE - NIFTY Index Options'!$B:$B,G$4)+SUMIFS('NSE - Other Index Options'!$L:$L,'NSE - Other Index Options'!$C:$C,$A71,'NSE - Other Index Options'!$B:$B,G$4)=0,"",SUMIFS('NSE - NIFTY Index Options'!$L:$L,'NSE - NIFTY Index Options'!$C:$C,$A71,'NSE - NIFTY Index Options'!$B:$B,G$4)+SUMIFS('NSE - Other Index Options'!$L:$L,'NSE - Other Index Options'!$C:$C,$A71,'NSE - Other Index Options'!$B:$B,G$4))</f>
        <v/>
      </c>
      <c r="H71" s="26" t="str">
        <f t="shared" si="2"/>
        <v/>
      </c>
    </row>
    <row r="72" spans="1:8" hidden="1" outlineLevel="1">
      <c r="A72" t="s">
        <v>77</v>
      </c>
      <c r="B72" s="26" t="str">
        <f>IF(SUMIFS('NSE - NIFTY Index Options'!$L:$L,'NSE - NIFTY Index Options'!$C:$C,$A72,'NSE - NIFTY Index Options'!$B:$B,B$4)+SUMIFS('NSE - Other Index Options'!$L:$L,'NSE - Other Index Options'!$C:$C,$A72,'NSE - Other Index Options'!$B:$B,B$4)=0,"",SUMIFS('NSE - NIFTY Index Options'!$L:$L,'NSE - NIFTY Index Options'!$C:$C,$A72,'NSE - NIFTY Index Options'!$B:$B,B$4)+SUMIFS('NSE - Other Index Options'!$L:$L,'NSE - Other Index Options'!$C:$C,$A72,'NSE - Other Index Options'!$B:$B,B$4))</f>
        <v/>
      </c>
      <c r="C72" s="26" t="str">
        <f>IF(SUMIFS('NSE - NIFTY Index Options'!$L:$L,'NSE - NIFTY Index Options'!$C:$C,$A72,'NSE - NIFTY Index Options'!$B:$B,C$4)+SUMIFS('NSE - Other Index Options'!$L:$L,'NSE - Other Index Options'!$C:$C,$A72,'NSE - Other Index Options'!$B:$B,C$4)=0,"",SUMIFS('NSE - NIFTY Index Options'!$L:$L,'NSE - NIFTY Index Options'!$C:$C,$A72,'NSE - NIFTY Index Options'!$B:$B,C$4)+SUMIFS('NSE - Other Index Options'!$L:$L,'NSE - Other Index Options'!$C:$C,$A72,'NSE - Other Index Options'!$B:$B,C$4))</f>
        <v/>
      </c>
      <c r="D72" s="26" t="str">
        <f>IF(SUMIFS('NSE - NIFTY Index Options'!$L:$L,'NSE - NIFTY Index Options'!$C:$C,$A72,'NSE - NIFTY Index Options'!$B:$B,D$4)+SUMIFS('NSE - Other Index Options'!$L:$L,'NSE - Other Index Options'!$C:$C,$A72,'NSE - Other Index Options'!$B:$B,D$4)=0,"",SUMIFS('NSE - NIFTY Index Options'!$L:$L,'NSE - NIFTY Index Options'!$C:$C,$A72,'NSE - NIFTY Index Options'!$B:$B,D$4)+SUMIFS('NSE - Other Index Options'!$L:$L,'NSE - Other Index Options'!$C:$C,$A72,'NSE - Other Index Options'!$B:$B,D$4))</f>
        <v/>
      </c>
      <c r="E72" s="26" t="str">
        <f>IF(SUMIFS('NSE - NIFTY Index Options'!$L:$L,'NSE - NIFTY Index Options'!$C:$C,$A72,'NSE - NIFTY Index Options'!$B:$B,E$4)+SUMIFS('NSE - Other Index Options'!$L:$L,'NSE - Other Index Options'!$C:$C,$A72,'NSE - Other Index Options'!$B:$B,E$4)=0,"",SUMIFS('NSE - NIFTY Index Options'!$L:$L,'NSE - NIFTY Index Options'!$C:$C,$A72,'NSE - NIFTY Index Options'!$B:$B,E$4)+SUMIFS('NSE - Other Index Options'!$L:$L,'NSE - Other Index Options'!$C:$C,$A72,'NSE - Other Index Options'!$B:$B,E$4))</f>
        <v/>
      </c>
      <c r="F72" s="26" t="str">
        <f>IF(SUMIFS('NSE - NIFTY Index Options'!$L:$L,'NSE - NIFTY Index Options'!$C:$C,$A72,'NSE - NIFTY Index Options'!$B:$B,F$4)+SUMIFS('NSE - Other Index Options'!$L:$L,'NSE - Other Index Options'!$C:$C,$A72,'NSE - Other Index Options'!$B:$B,F$4)=0,"",SUMIFS('NSE - NIFTY Index Options'!$L:$L,'NSE - NIFTY Index Options'!$C:$C,$A72,'NSE - NIFTY Index Options'!$B:$B,F$4)+SUMIFS('NSE - Other Index Options'!$L:$L,'NSE - Other Index Options'!$C:$C,$A72,'NSE - Other Index Options'!$B:$B,F$4))</f>
        <v/>
      </c>
      <c r="G72" s="26" t="str">
        <f>IF(SUMIFS('NSE - NIFTY Index Options'!$L:$L,'NSE - NIFTY Index Options'!$C:$C,$A72,'NSE - NIFTY Index Options'!$B:$B,G$4)+SUMIFS('NSE - Other Index Options'!$L:$L,'NSE - Other Index Options'!$C:$C,$A72,'NSE - Other Index Options'!$B:$B,G$4)=0,"",SUMIFS('NSE - NIFTY Index Options'!$L:$L,'NSE - NIFTY Index Options'!$C:$C,$A72,'NSE - NIFTY Index Options'!$B:$B,G$4)+SUMIFS('NSE - Other Index Options'!$L:$L,'NSE - Other Index Options'!$C:$C,$A72,'NSE - Other Index Options'!$B:$B,G$4))</f>
        <v/>
      </c>
      <c r="H72" s="26" t="str">
        <f t="shared" si="2"/>
        <v/>
      </c>
    </row>
    <row r="73" spans="1:8" hidden="1" outlineLevel="1">
      <c r="A73" t="s">
        <v>78</v>
      </c>
      <c r="B73" s="26" t="str">
        <f>IF(SUMIFS('NSE - NIFTY Index Options'!$L:$L,'NSE - NIFTY Index Options'!$C:$C,$A73,'NSE - NIFTY Index Options'!$B:$B,B$4)+SUMIFS('NSE - Other Index Options'!$L:$L,'NSE - Other Index Options'!$C:$C,$A73,'NSE - Other Index Options'!$B:$B,B$4)=0,"",SUMIFS('NSE - NIFTY Index Options'!$L:$L,'NSE - NIFTY Index Options'!$C:$C,$A73,'NSE - NIFTY Index Options'!$B:$B,B$4)+SUMIFS('NSE - Other Index Options'!$L:$L,'NSE - Other Index Options'!$C:$C,$A73,'NSE - Other Index Options'!$B:$B,B$4))</f>
        <v/>
      </c>
      <c r="C73" s="26" t="str">
        <f>IF(SUMIFS('NSE - NIFTY Index Options'!$L:$L,'NSE - NIFTY Index Options'!$C:$C,$A73,'NSE - NIFTY Index Options'!$B:$B,C$4)+SUMIFS('NSE - Other Index Options'!$L:$L,'NSE - Other Index Options'!$C:$C,$A73,'NSE - Other Index Options'!$B:$B,C$4)=0,"",SUMIFS('NSE - NIFTY Index Options'!$L:$L,'NSE - NIFTY Index Options'!$C:$C,$A73,'NSE - NIFTY Index Options'!$B:$B,C$4)+SUMIFS('NSE - Other Index Options'!$L:$L,'NSE - Other Index Options'!$C:$C,$A73,'NSE - Other Index Options'!$B:$B,C$4))</f>
        <v/>
      </c>
      <c r="D73" s="26" t="str">
        <f>IF(SUMIFS('NSE - NIFTY Index Options'!$L:$L,'NSE - NIFTY Index Options'!$C:$C,$A73,'NSE - NIFTY Index Options'!$B:$B,D$4)+SUMIFS('NSE - Other Index Options'!$L:$L,'NSE - Other Index Options'!$C:$C,$A73,'NSE - Other Index Options'!$B:$B,D$4)=0,"",SUMIFS('NSE - NIFTY Index Options'!$L:$L,'NSE - NIFTY Index Options'!$C:$C,$A73,'NSE - NIFTY Index Options'!$B:$B,D$4)+SUMIFS('NSE - Other Index Options'!$L:$L,'NSE - Other Index Options'!$C:$C,$A73,'NSE - Other Index Options'!$B:$B,D$4))</f>
        <v/>
      </c>
      <c r="E73" s="26" t="str">
        <f>IF(SUMIFS('NSE - NIFTY Index Options'!$L:$L,'NSE - NIFTY Index Options'!$C:$C,$A73,'NSE - NIFTY Index Options'!$B:$B,E$4)+SUMIFS('NSE - Other Index Options'!$L:$L,'NSE - Other Index Options'!$C:$C,$A73,'NSE - Other Index Options'!$B:$B,E$4)=0,"",SUMIFS('NSE - NIFTY Index Options'!$L:$L,'NSE - NIFTY Index Options'!$C:$C,$A73,'NSE - NIFTY Index Options'!$B:$B,E$4)+SUMIFS('NSE - Other Index Options'!$L:$L,'NSE - Other Index Options'!$C:$C,$A73,'NSE - Other Index Options'!$B:$B,E$4))</f>
        <v/>
      </c>
      <c r="F73" s="26" t="str">
        <f>IF(SUMIFS('NSE - NIFTY Index Options'!$L:$L,'NSE - NIFTY Index Options'!$C:$C,$A73,'NSE - NIFTY Index Options'!$B:$B,F$4)+SUMIFS('NSE - Other Index Options'!$L:$L,'NSE - Other Index Options'!$C:$C,$A73,'NSE - Other Index Options'!$B:$B,F$4)=0,"",SUMIFS('NSE - NIFTY Index Options'!$L:$L,'NSE - NIFTY Index Options'!$C:$C,$A73,'NSE - NIFTY Index Options'!$B:$B,F$4)+SUMIFS('NSE - Other Index Options'!$L:$L,'NSE - Other Index Options'!$C:$C,$A73,'NSE - Other Index Options'!$B:$B,F$4))</f>
        <v/>
      </c>
      <c r="G73" s="26" t="str">
        <f>IF(SUMIFS('NSE - NIFTY Index Options'!$L:$L,'NSE - NIFTY Index Options'!$C:$C,$A73,'NSE - NIFTY Index Options'!$B:$B,G$4)+SUMIFS('NSE - Other Index Options'!$L:$L,'NSE - Other Index Options'!$C:$C,$A73,'NSE - Other Index Options'!$B:$B,G$4)=0,"",SUMIFS('NSE - NIFTY Index Options'!$L:$L,'NSE - NIFTY Index Options'!$C:$C,$A73,'NSE - NIFTY Index Options'!$B:$B,G$4)+SUMIFS('NSE - Other Index Options'!$L:$L,'NSE - Other Index Options'!$C:$C,$A73,'NSE - Other Index Options'!$B:$B,G$4))</f>
        <v/>
      </c>
      <c r="H73" s="26" t="str">
        <f t="shared" si="2"/>
        <v/>
      </c>
    </row>
    <row r="74" spans="1:8" hidden="1" outlineLevel="1">
      <c r="A74" t="s">
        <v>79</v>
      </c>
      <c r="B74" s="26" t="str">
        <f>IF(SUMIFS('NSE - NIFTY Index Options'!$L:$L,'NSE - NIFTY Index Options'!$C:$C,$A74,'NSE - NIFTY Index Options'!$B:$B,B$4)+SUMIFS('NSE - Other Index Options'!$L:$L,'NSE - Other Index Options'!$C:$C,$A74,'NSE - Other Index Options'!$B:$B,B$4)=0,"",SUMIFS('NSE - NIFTY Index Options'!$L:$L,'NSE - NIFTY Index Options'!$C:$C,$A74,'NSE - NIFTY Index Options'!$B:$B,B$4)+SUMIFS('NSE - Other Index Options'!$L:$L,'NSE - Other Index Options'!$C:$C,$A74,'NSE - Other Index Options'!$B:$B,B$4))</f>
        <v/>
      </c>
      <c r="C74" s="26" t="str">
        <f>IF(SUMIFS('NSE - NIFTY Index Options'!$L:$L,'NSE - NIFTY Index Options'!$C:$C,$A74,'NSE - NIFTY Index Options'!$B:$B,C$4)+SUMIFS('NSE - Other Index Options'!$L:$L,'NSE - Other Index Options'!$C:$C,$A74,'NSE - Other Index Options'!$B:$B,C$4)=0,"",SUMIFS('NSE - NIFTY Index Options'!$L:$L,'NSE - NIFTY Index Options'!$C:$C,$A74,'NSE - NIFTY Index Options'!$B:$B,C$4)+SUMIFS('NSE - Other Index Options'!$L:$L,'NSE - Other Index Options'!$C:$C,$A74,'NSE - Other Index Options'!$B:$B,C$4))</f>
        <v/>
      </c>
      <c r="D74" s="26" t="str">
        <f>IF(SUMIFS('NSE - NIFTY Index Options'!$L:$L,'NSE - NIFTY Index Options'!$C:$C,$A74,'NSE - NIFTY Index Options'!$B:$B,D$4)+SUMIFS('NSE - Other Index Options'!$L:$L,'NSE - Other Index Options'!$C:$C,$A74,'NSE - Other Index Options'!$B:$B,D$4)=0,"",SUMIFS('NSE - NIFTY Index Options'!$L:$L,'NSE - NIFTY Index Options'!$C:$C,$A74,'NSE - NIFTY Index Options'!$B:$B,D$4)+SUMIFS('NSE - Other Index Options'!$L:$L,'NSE - Other Index Options'!$C:$C,$A74,'NSE - Other Index Options'!$B:$B,D$4))</f>
        <v/>
      </c>
      <c r="E74" s="26" t="str">
        <f>IF(SUMIFS('NSE - NIFTY Index Options'!$L:$L,'NSE - NIFTY Index Options'!$C:$C,$A74,'NSE - NIFTY Index Options'!$B:$B,E$4)+SUMIFS('NSE - Other Index Options'!$L:$L,'NSE - Other Index Options'!$C:$C,$A74,'NSE - Other Index Options'!$B:$B,E$4)=0,"",SUMIFS('NSE - NIFTY Index Options'!$L:$L,'NSE - NIFTY Index Options'!$C:$C,$A74,'NSE - NIFTY Index Options'!$B:$B,E$4)+SUMIFS('NSE - Other Index Options'!$L:$L,'NSE - Other Index Options'!$C:$C,$A74,'NSE - Other Index Options'!$B:$B,E$4))</f>
        <v/>
      </c>
      <c r="F74" s="26" t="str">
        <f>IF(SUMIFS('NSE - NIFTY Index Options'!$L:$L,'NSE - NIFTY Index Options'!$C:$C,$A74,'NSE - NIFTY Index Options'!$B:$B,F$4)+SUMIFS('NSE - Other Index Options'!$L:$L,'NSE - Other Index Options'!$C:$C,$A74,'NSE - Other Index Options'!$B:$B,F$4)=0,"",SUMIFS('NSE - NIFTY Index Options'!$L:$L,'NSE - NIFTY Index Options'!$C:$C,$A74,'NSE - NIFTY Index Options'!$B:$B,F$4)+SUMIFS('NSE - Other Index Options'!$L:$L,'NSE - Other Index Options'!$C:$C,$A74,'NSE - Other Index Options'!$B:$B,F$4))</f>
        <v/>
      </c>
      <c r="G74" s="26" t="str">
        <f>IF(SUMIFS('NSE - NIFTY Index Options'!$L:$L,'NSE - NIFTY Index Options'!$C:$C,$A74,'NSE - NIFTY Index Options'!$B:$B,G$4)+SUMIFS('NSE - Other Index Options'!$L:$L,'NSE - Other Index Options'!$C:$C,$A74,'NSE - Other Index Options'!$B:$B,G$4)=0,"",SUMIFS('NSE - NIFTY Index Options'!$L:$L,'NSE - NIFTY Index Options'!$C:$C,$A74,'NSE - NIFTY Index Options'!$B:$B,G$4)+SUMIFS('NSE - Other Index Options'!$L:$L,'NSE - Other Index Options'!$C:$C,$A74,'NSE - Other Index Options'!$B:$B,G$4))</f>
        <v/>
      </c>
      <c r="H74" s="26" t="str">
        <f t="shared" si="2"/>
        <v/>
      </c>
    </row>
    <row r="75" spans="1:8" hidden="1" outlineLevel="1">
      <c r="A75" t="s">
        <v>80</v>
      </c>
      <c r="B75" s="26" t="str">
        <f>IF(SUMIFS('NSE - NIFTY Index Options'!$L:$L,'NSE - NIFTY Index Options'!$C:$C,$A75,'NSE - NIFTY Index Options'!$B:$B,B$4)+SUMIFS('NSE - Other Index Options'!$L:$L,'NSE - Other Index Options'!$C:$C,$A75,'NSE - Other Index Options'!$B:$B,B$4)=0,"",SUMIFS('NSE - NIFTY Index Options'!$L:$L,'NSE - NIFTY Index Options'!$C:$C,$A75,'NSE - NIFTY Index Options'!$B:$B,B$4)+SUMIFS('NSE - Other Index Options'!$L:$L,'NSE - Other Index Options'!$C:$C,$A75,'NSE - Other Index Options'!$B:$B,B$4))</f>
        <v/>
      </c>
      <c r="C75" s="26" t="str">
        <f>IF(SUMIFS('NSE - NIFTY Index Options'!$L:$L,'NSE - NIFTY Index Options'!$C:$C,$A75,'NSE - NIFTY Index Options'!$B:$B,C$4)+SUMIFS('NSE - Other Index Options'!$L:$L,'NSE - Other Index Options'!$C:$C,$A75,'NSE - Other Index Options'!$B:$B,C$4)=0,"",SUMIFS('NSE - NIFTY Index Options'!$L:$L,'NSE - NIFTY Index Options'!$C:$C,$A75,'NSE - NIFTY Index Options'!$B:$B,C$4)+SUMIFS('NSE - Other Index Options'!$L:$L,'NSE - Other Index Options'!$C:$C,$A75,'NSE - Other Index Options'!$B:$B,C$4))</f>
        <v/>
      </c>
      <c r="D75" s="26" t="str">
        <f>IF(SUMIFS('NSE - NIFTY Index Options'!$L:$L,'NSE - NIFTY Index Options'!$C:$C,$A75,'NSE - NIFTY Index Options'!$B:$B,D$4)+SUMIFS('NSE - Other Index Options'!$L:$L,'NSE - Other Index Options'!$C:$C,$A75,'NSE - Other Index Options'!$B:$B,D$4)=0,"",SUMIFS('NSE - NIFTY Index Options'!$L:$L,'NSE - NIFTY Index Options'!$C:$C,$A75,'NSE - NIFTY Index Options'!$B:$B,D$4)+SUMIFS('NSE - Other Index Options'!$L:$L,'NSE - Other Index Options'!$C:$C,$A75,'NSE - Other Index Options'!$B:$B,D$4))</f>
        <v/>
      </c>
      <c r="E75" s="26" t="str">
        <f>IF(SUMIFS('NSE - NIFTY Index Options'!$L:$L,'NSE - NIFTY Index Options'!$C:$C,$A75,'NSE - NIFTY Index Options'!$B:$B,E$4)+SUMIFS('NSE - Other Index Options'!$L:$L,'NSE - Other Index Options'!$C:$C,$A75,'NSE - Other Index Options'!$B:$B,E$4)=0,"",SUMIFS('NSE - NIFTY Index Options'!$L:$L,'NSE - NIFTY Index Options'!$C:$C,$A75,'NSE - NIFTY Index Options'!$B:$B,E$4)+SUMIFS('NSE - Other Index Options'!$L:$L,'NSE - Other Index Options'!$C:$C,$A75,'NSE - Other Index Options'!$B:$B,E$4))</f>
        <v/>
      </c>
      <c r="F75" s="26" t="str">
        <f>IF(SUMIFS('NSE - NIFTY Index Options'!$L:$L,'NSE - NIFTY Index Options'!$C:$C,$A75,'NSE - NIFTY Index Options'!$B:$B,F$4)+SUMIFS('NSE - Other Index Options'!$L:$L,'NSE - Other Index Options'!$C:$C,$A75,'NSE - Other Index Options'!$B:$B,F$4)=0,"",SUMIFS('NSE - NIFTY Index Options'!$L:$L,'NSE - NIFTY Index Options'!$C:$C,$A75,'NSE - NIFTY Index Options'!$B:$B,F$4)+SUMIFS('NSE - Other Index Options'!$L:$L,'NSE - Other Index Options'!$C:$C,$A75,'NSE - Other Index Options'!$B:$B,F$4))</f>
        <v/>
      </c>
      <c r="G75" s="26" t="str">
        <f>IF(SUMIFS('NSE - NIFTY Index Options'!$L:$L,'NSE - NIFTY Index Options'!$C:$C,$A75,'NSE - NIFTY Index Options'!$B:$B,G$4)+SUMIFS('NSE - Other Index Options'!$L:$L,'NSE - Other Index Options'!$C:$C,$A75,'NSE - Other Index Options'!$B:$B,G$4)=0,"",SUMIFS('NSE - NIFTY Index Options'!$L:$L,'NSE - NIFTY Index Options'!$C:$C,$A75,'NSE - NIFTY Index Options'!$B:$B,G$4)+SUMIFS('NSE - Other Index Options'!$L:$L,'NSE - Other Index Options'!$C:$C,$A75,'NSE - Other Index Options'!$B:$B,G$4))</f>
        <v/>
      </c>
      <c r="H75" s="26" t="str">
        <f t="shared" si="2"/>
        <v/>
      </c>
    </row>
    <row r="76" spans="1:8" hidden="1" outlineLevel="1">
      <c r="A76" t="s">
        <v>81</v>
      </c>
      <c r="B76" s="26" t="str">
        <f>IF(SUMIFS('NSE - NIFTY Index Options'!$L:$L,'NSE - NIFTY Index Options'!$C:$C,$A76,'NSE - NIFTY Index Options'!$B:$B,B$4)+SUMIFS('NSE - Other Index Options'!$L:$L,'NSE - Other Index Options'!$C:$C,$A76,'NSE - Other Index Options'!$B:$B,B$4)=0,"",SUMIFS('NSE - NIFTY Index Options'!$L:$L,'NSE - NIFTY Index Options'!$C:$C,$A76,'NSE - NIFTY Index Options'!$B:$B,B$4)+SUMIFS('NSE - Other Index Options'!$L:$L,'NSE - Other Index Options'!$C:$C,$A76,'NSE - Other Index Options'!$B:$B,B$4))</f>
        <v/>
      </c>
      <c r="C76" s="26" t="str">
        <f>IF(SUMIFS('NSE - NIFTY Index Options'!$L:$L,'NSE - NIFTY Index Options'!$C:$C,$A76,'NSE - NIFTY Index Options'!$B:$B,C$4)+SUMIFS('NSE - Other Index Options'!$L:$L,'NSE - Other Index Options'!$C:$C,$A76,'NSE - Other Index Options'!$B:$B,C$4)=0,"",SUMIFS('NSE - NIFTY Index Options'!$L:$L,'NSE - NIFTY Index Options'!$C:$C,$A76,'NSE - NIFTY Index Options'!$B:$B,C$4)+SUMIFS('NSE - Other Index Options'!$L:$L,'NSE - Other Index Options'!$C:$C,$A76,'NSE - Other Index Options'!$B:$B,C$4))</f>
        <v/>
      </c>
      <c r="D76" s="26" t="str">
        <f>IF(SUMIFS('NSE - NIFTY Index Options'!$L:$L,'NSE - NIFTY Index Options'!$C:$C,$A76,'NSE - NIFTY Index Options'!$B:$B,D$4)+SUMIFS('NSE - Other Index Options'!$L:$L,'NSE - Other Index Options'!$C:$C,$A76,'NSE - Other Index Options'!$B:$B,D$4)=0,"",SUMIFS('NSE - NIFTY Index Options'!$L:$L,'NSE - NIFTY Index Options'!$C:$C,$A76,'NSE - NIFTY Index Options'!$B:$B,D$4)+SUMIFS('NSE - Other Index Options'!$L:$L,'NSE - Other Index Options'!$C:$C,$A76,'NSE - Other Index Options'!$B:$B,D$4))</f>
        <v/>
      </c>
      <c r="E76" s="26" t="str">
        <f>IF(SUMIFS('NSE - NIFTY Index Options'!$L:$L,'NSE - NIFTY Index Options'!$C:$C,$A76,'NSE - NIFTY Index Options'!$B:$B,E$4)+SUMIFS('NSE - Other Index Options'!$L:$L,'NSE - Other Index Options'!$C:$C,$A76,'NSE - Other Index Options'!$B:$B,E$4)=0,"",SUMIFS('NSE - NIFTY Index Options'!$L:$L,'NSE - NIFTY Index Options'!$C:$C,$A76,'NSE - NIFTY Index Options'!$B:$B,E$4)+SUMIFS('NSE - Other Index Options'!$L:$L,'NSE - Other Index Options'!$C:$C,$A76,'NSE - Other Index Options'!$B:$B,E$4))</f>
        <v/>
      </c>
      <c r="F76" s="26" t="str">
        <f>IF(SUMIFS('NSE - NIFTY Index Options'!$L:$L,'NSE - NIFTY Index Options'!$C:$C,$A76,'NSE - NIFTY Index Options'!$B:$B,F$4)+SUMIFS('NSE - Other Index Options'!$L:$L,'NSE - Other Index Options'!$C:$C,$A76,'NSE - Other Index Options'!$B:$B,F$4)=0,"",SUMIFS('NSE - NIFTY Index Options'!$L:$L,'NSE - NIFTY Index Options'!$C:$C,$A76,'NSE - NIFTY Index Options'!$B:$B,F$4)+SUMIFS('NSE - Other Index Options'!$L:$L,'NSE - Other Index Options'!$C:$C,$A76,'NSE - Other Index Options'!$B:$B,F$4))</f>
        <v/>
      </c>
      <c r="G76" s="26" t="str">
        <f>IF(SUMIFS('NSE - NIFTY Index Options'!$L:$L,'NSE - NIFTY Index Options'!$C:$C,$A76,'NSE - NIFTY Index Options'!$B:$B,G$4)+SUMIFS('NSE - Other Index Options'!$L:$L,'NSE - Other Index Options'!$C:$C,$A76,'NSE - Other Index Options'!$B:$B,G$4)=0,"",SUMIFS('NSE - NIFTY Index Options'!$L:$L,'NSE - NIFTY Index Options'!$C:$C,$A76,'NSE - NIFTY Index Options'!$B:$B,G$4)+SUMIFS('NSE - Other Index Options'!$L:$L,'NSE - Other Index Options'!$C:$C,$A76,'NSE - Other Index Options'!$B:$B,G$4))</f>
        <v/>
      </c>
      <c r="H76" s="26" t="str">
        <f t="shared" si="2"/>
        <v/>
      </c>
    </row>
    <row r="77" spans="1:8" hidden="1" outlineLevel="1">
      <c r="A77" t="s">
        <v>82</v>
      </c>
      <c r="B77" s="26" t="str">
        <f>IF(SUMIFS('NSE - NIFTY Index Options'!$L:$L,'NSE - NIFTY Index Options'!$C:$C,$A77,'NSE - NIFTY Index Options'!$B:$B,B$4)+SUMIFS('NSE - Other Index Options'!$L:$L,'NSE - Other Index Options'!$C:$C,$A77,'NSE - Other Index Options'!$B:$B,B$4)=0,"",SUMIFS('NSE - NIFTY Index Options'!$L:$L,'NSE - NIFTY Index Options'!$C:$C,$A77,'NSE - NIFTY Index Options'!$B:$B,B$4)+SUMIFS('NSE - Other Index Options'!$L:$L,'NSE - Other Index Options'!$C:$C,$A77,'NSE - Other Index Options'!$B:$B,B$4))</f>
        <v/>
      </c>
      <c r="C77" s="26" t="str">
        <f>IF(SUMIFS('NSE - NIFTY Index Options'!$L:$L,'NSE - NIFTY Index Options'!$C:$C,$A77,'NSE - NIFTY Index Options'!$B:$B,C$4)+SUMIFS('NSE - Other Index Options'!$L:$L,'NSE - Other Index Options'!$C:$C,$A77,'NSE - Other Index Options'!$B:$B,C$4)=0,"",SUMIFS('NSE - NIFTY Index Options'!$L:$L,'NSE - NIFTY Index Options'!$C:$C,$A77,'NSE - NIFTY Index Options'!$B:$B,C$4)+SUMIFS('NSE - Other Index Options'!$L:$L,'NSE - Other Index Options'!$C:$C,$A77,'NSE - Other Index Options'!$B:$B,C$4))</f>
        <v/>
      </c>
      <c r="D77" s="26" t="str">
        <f>IF(SUMIFS('NSE - NIFTY Index Options'!$L:$L,'NSE - NIFTY Index Options'!$C:$C,$A77,'NSE - NIFTY Index Options'!$B:$B,D$4)+SUMIFS('NSE - Other Index Options'!$L:$L,'NSE - Other Index Options'!$C:$C,$A77,'NSE - Other Index Options'!$B:$B,D$4)=0,"",SUMIFS('NSE - NIFTY Index Options'!$L:$L,'NSE - NIFTY Index Options'!$C:$C,$A77,'NSE - NIFTY Index Options'!$B:$B,D$4)+SUMIFS('NSE - Other Index Options'!$L:$L,'NSE - Other Index Options'!$C:$C,$A77,'NSE - Other Index Options'!$B:$B,D$4))</f>
        <v/>
      </c>
      <c r="E77" s="26" t="str">
        <f>IF(SUMIFS('NSE - NIFTY Index Options'!$L:$L,'NSE - NIFTY Index Options'!$C:$C,$A77,'NSE - NIFTY Index Options'!$B:$B,E$4)+SUMIFS('NSE - Other Index Options'!$L:$L,'NSE - Other Index Options'!$C:$C,$A77,'NSE - Other Index Options'!$B:$B,E$4)=0,"",SUMIFS('NSE - NIFTY Index Options'!$L:$L,'NSE - NIFTY Index Options'!$C:$C,$A77,'NSE - NIFTY Index Options'!$B:$B,E$4)+SUMIFS('NSE - Other Index Options'!$L:$L,'NSE - Other Index Options'!$C:$C,$A77,'NSE - Other Index Options'!$B:$B,E$4))</f>
        <v/>
      </c>
      <c r="F77" s="26" t="str">
        <f>IF(SUMIFS('NSE - NIFTY Index Options'!$L:$L,'NSE - NIFTY Index Options'!$C:$C,$A77,'NSE - NIFTY Index Options'!$B:$B,F$4)+SUMIFS('NSE - Other Index Options'!$L:$L,'NSE - Other Index Options'!$C:$C,$A77,'NSE - Other Index Options'!$B:$B,F$4)=0,"",SUMIFS('NSE - NIFTY Index Options'!$L:$L,'NSE - NIFTY Index Options'!$C:$C,$A77,'NSE - NIFTY Index Options'!$B:$B,F$4)+SUMIFS('NSE - Other Index Options'!$L:$L,'NSE - Other Index Options'!$C:$C,$A77,'NSE - Other Index Options'!$B:$B,F$4))</f>
        <v/>
      </c>
      <c r="G77" s="26" t="str">
        <f>IF(SUMIFS('NSE - NIFTY Index Options'!$L:$L,'NSE - NIFTY Index Options'!$C:$C,$A77,'NSE - NIFTY Index Options'!$B:$B,G$4)+SUMIFS('NSE - Other Index Options'!$L:$L,'NSE - Other Index Options'!$C:$C,$A77,'NSE - Other Index Options'!$B:$B,G$4)=0,"",SUMIFS('NSE - NIFTY Index Options'!$L:$L,'NSE - NIFTY Index Options'!$C:$C,$A77,'NSE - NIFTY Index Options'!$B:$B,G$4)+SUMIFS('NSE - Other Index Options'!$L:$L,'NSE - Other Index Options'!$C:$C,$A77,'NSE - Other Index Options'!$B:$B,G$4))</f>
        <v/>
      </c>
      <c r="H77" s="26" t="str">
        <f t="shared" si="2"/>
        <v/>
      </c>
    </row>
    <row r="78" spans="1:8" hidden="1" outlineLevel="1">
      <c r="A78" t="s">
        <v>83</v>
      </c>
      <c r="B78" s="26" t="str">
        <f>IF(SUMIFS('NSE - NIFTY Index Options'!$L:$L,'NSE - NIFTY Index Options'!$C:$C,$A78,'NSE - NIFTY Index Options'!$B:$B,B$4)+SUMIFS('NSE - Other Index Options'!$L:$L,'NSE - Other Index Options'!$C:$C,$A78,'NSE - Other Index Options'!$B:$B,B$4)=0,"",SUMIFS('NSE - NIFTY Index Options'!$L:$L,'NSE - NIFTY Index Options'!$C:$C,$A78,'NSE - NIFTY Index Options'!$B:$B,B$4)+SUMIFS('NSE - Other Index Options'!$L:$L,'NSE - Other Index Options'!$C:$C,$A78,'NSE - Other Index Options'!$B:$B,B$4))</f>
        <v/>
      </c>
      <c r="C78" s="26" t="str">
        <f>IF(SUMIFS('NSE - NIFTY Index Options'!$L:$L,'NSE - NIFTY Index Options'!$C:$C,$A78,'NSE - NIFTY Index Options'!$B:$B,C$4)+SUMIFS('NSE - Other Index Options'!$L:$L,'NSE - Other Index Options'!$C:$C,$A78,'NSE - Other Index Options'!$B:$B,C$4)=0,"",SUMIFS('NSE - NIFTY Index Options'!$L:$L,'NSE - NIFTY Index Options'!$C:$C,$A78,'NSE - NIFTY Index Options'!$B:$B,C$4)+SUMIFS('NSE - Other Index Options'!$L:$L,'NSE - Other Index Options'!$C:$C,$A78,'NSE - Other Index Options'!$B:$B,C$4))</f>
        <v/>
      </c>
      <c r="D78" s="26" t="str">
        <f>IF(SUMIFS('NSE - NIFTY Index Options'!$L:$L,'NSE - NIFTY Index Options'!$C:$C,$A78,'NSE - NIFTY Index Options'!$B:$B,D$4)+SUMIFS('NSE - Other Index Options'!$L:$L,'NSE - Other Index Options'!$C:$C,$A78,'NSE - Other Index Options'!$B:$B,D$4)=0,"",SUMIFS('NSE - NIFTY Index Options'!$L:$L,'NSE - NIFTY Index Options'!$C:$C,$A78,'NSE - NIFTY Index Options'!$B:$B,D$4)+SUMIFS('NSE - Other Index Options'!$L:$L,'NSE - Other Index Options'!$C:$C,$A78,'NSE - Other Index Options'!$B:$B,D$4))</f>
        <v/>
      </c>
      <c r="E78" s="26" t="str">
        <f>IF(SUMIFS('NSE - NIFTY Index Options'!$L:$L,'NSE - NIFTY Index Options'!$C:$C,$A78,'NSE - NIFTY Index Options'!$B:$B,E$4)+SUMIFS('NSE - Other Index Options'!$L:$L,'NSE - Other Index Options'!$C:$C,$A78,'NSE - Other Index Options'!$B:$B,E$4)=0,"",SUMIFS('NSE - NIFTY Index Options'!$L:$L,'NSE - NIFTY Index Options'!$C:$C,$A78,'NSE - NIFTY Index Options'!$B:$B,E$4)+SUMIFS('NSE - Other Index Options'!$L:$L,'NSE - Other Index Options'!$C:$C,$A78,'NSE - Other Index Options'!$B:$B,E$4))</f>
        <v/>
      </c>
      <c r="F78" s="26" t="str">
        <f>IF(SUMIFS('NSE - NIFTY Index Options'!$L:$L,'NSE - NIFTY Index Options'!$C:$C,$A78,'NSE - NIFTY Index Options'!$B:$B,F$4)+SUMIFS('NSE - Other Index Options'!$L:$L,'NSE - Other Index Options'!$C:$C,$A78,'NSE - Other Index Options'!$B:$B,F$4)=0,"",SUMIFS('NSE - NIFTY Index Options'!$L:$L,'NSE - NIFTY Index Options'!$C:$C,$A78,'NSE - NIFTY Index Options'!$B:$B,F$4)+SUMIFS('NSE - Other Index Options'!$L:$L,'NSE - Other Index Options'!$C:$C,$A78,'NSE - Other Index Options'!$B:$B,F$4))</f>
        <v/>
      </c>
      <c r="G78" s="26" t="str">
        <f>IF(SUMIFS('NSE - NIFTY Index Options'!$L:$L,'NSE - NIFTY Index Options'!$C:$C,$A78,'NSE - NIFTY Index Options'!$B:$B,G$4)+SUMIFS('NSE - Other Index Options'!$L:$L,'NSE - Other Index Options'!$C:$C,$A78,'NSE - Other Index Options'!$B:$B,G$4)=0,"",SUMIFS('NSE - NIFTY Index Options'!$L:$L,'NSE - NIFTY Index Options'!$C:$C,$A78,'NSE - NIFTY Index Options'!$B:$B,G$4)+SUMIFS('NSE - Other Index Options'!$L:$L,'NSE - Other Index Options'!$C:$C,$A78,'NSE - Other Index Options'!$B:$B,G$4))</f>
        <v/>
      </c>
      <c r="H78" s="26" t="str">
        <f t="shared" si="2"/>
        <v/>
      </c>
    </row>
    <row r="79" spans="1:8" hidden="1" outlineLevel="1">
      <c r="A79" t="s">
        <v>84</v>
      </c>
      <c r="B79" s="26" t="str">
        <f>IF(SUMIFS('NSE - NIFTY Index Options'!$L:$L,'NSE - NIFTY Index Options'!$C:$C,$A79,'NSE - NIFTY Index Options'!$B:$B,B$4)+SUMIFS('NSE - Other Index Options'!$L:$L,'NSE - Other Index Options'!$C:$C,$A79,'NSE - Other Index Options'!$B:$B,B$4)=0,"",SUMIFS('NSE - NIFTY Index Options'!$L:$L,'NSE - NIFTY Index Options'!$C:$C,$A79,'NSE - NIFTY Index Options'!$B:$B,B$4)+SUMIFS('NSE - Other Index Options'!$L:$L,'NSE - Other Index Options'!$C:$C,$A79,'NSE - Other Index Options'!$B:$B,B$4))</f>
        <v/>
      </c>
      <c r="C79" s="26" t="str">
        <f>IF(SUMIFS('NSE - NIFTY Index Options'!$L:$L,'NSE - NIFTY Index Options'!$C:$C,$A79,'NSE - NIFTY Index Options'!$B:$B,C$4)+SUMIFS('NSE - Other Index Options'!$L:$L,'NSE - Other Index Options'!$C:$C,$A79,'NSE - Other Index Options'!$B:$B,C$4)=0,"",SUMIFS('NSE - NIFTY Index Options'!$L:$L,'NSE - NIFTY Index Options'!$C:$C,$A79,'NSE - NIFTY Index Options'!$B:$B,C$4)+SUMIFS('NSE - Other Index Options'!$L:$L,'NSE - Other Index Options'!$C:$C,$A79,'NSE - Other Index Options'!$B:$B,C$4))</f>
        <v/>
      </c>
      <c r="D79" s="26" t="str">
        <f>IF(SUMIFS('NSE - NIFTY Index Options'!$L:$L,'NSE - NIFTY Index Options'!$C:$C,$A79,'NSE - NIFTY Index Options'!$B:$B,D$4)+SUMIFS('NSE - Other Index Options'!$L:$L,'NSE - Other Index Options'!$C:$C,$A79,'NSE - Other Index Options'!$B:$B,D$4)=0,"",SUMIFS('NSE - NIFTY Index Options'!$L:$L,'NSE - NIFTY Index Options'!$C:$C,$A79,'NSE - NIFTY Index Options'!$B:$B,D$4)+SUMIFS('NSE - Other Index Options'!$L:$L,'NSE - Other Index Options'!$C:$C,$A79,'NSE - Other Index Options'!$B:$B,D$4))</f>
        <v/>
      </c>
      <c r="E79" s="26" t="str">
        <f>IF(SUMIFS('NSE - NIFTY Index Options'!$L:$L,'NSE - NIFTY Index Options'!$C:$C,$A79,'NSE - NIFTY Index Options'!$B:$B,E$4)+SUMIFS('NSE - Other Index Options'!$L:$L,'NSE - Other Index Options'!$C:$C,$A79,'NSE - Other Index Options'!$B:$B,E$4)=0,"",SUMIFS('NSE - NIFTY Index Options'!$L:$L,'NSE - NIFTY Index Options'!$C:$C,$A79,'NSE - NIFTY Index Options'!$B:$B,E$4)+SUMIFS('NSE - Other Index Options'!$L:$L,'NSE - Other Index Options'!$C:$C,$A79,'NSE - Other Index Options'!$B:$B,E$4))</f>
        <v/>
      </c>
      <c r="F79" s="26" t="str">
        <f>IF(SUMIFS('NSE - NIFTY Index Options'!$L:$L,'NSE - NIFTY Index Options'!$C:$C,$A79,'NSE - NIFTY Index Options'!$B:$B,F$4)+SUMIFS('NSE - Other Index Options'!$L:$L,'NSE - Other Index Options'!$C:$C,$A79,'NSE - Other Index Options'!$B:$B,F$4)=0,"",SUMIFS('NSE - NIFTY Index Options'!$L:$L,'NSE - NIFTY Index Options'!$C:$C,$A79,'NSE - NIFTY Index Options'!$B:$B,F$4)+SUMIFS('NSE - Other Index Options'!$L:$L,'NSE - Other Index Options'!$C:$C,$A79,'NSE - Other Index Options'!$B:$B,F$4))</f>
        <v/>
      </c>
      <c r="G79" s="26" t="str">
        <f>IF(SUMIFS('NSE - NIFTY Index Options'!$L:$L,'NSE - NIFTY Index Options'!$C:$C,$A79,'NSE - NIFTY Index Options'!$B:$B,G$4)+SUMIFS('NSE - Other Index Options'!$L:$L,'NSE - Other Index Options'!$C:$C,$A79,'NSE - Other Index Options'!$B:$B,G$4)=0,"",SUMIFS('NSE - NIFTY Index Options'!$L:$L,'NSE - NIFTY Index Options'!$C:$C,$A79,'NSE - NIFTY Index Options'!$B:$B,G$4)+SUMIFS('NSE - Other Index Options'!$L:$L,'NSE - Other Index Options'!$C:$C,$A79,'NSE - Other Index Options'!$B:$B,G$4))</f>
        <v/>
      </c>
      <c r="H79" s="26" t="str">
        <f t="shared" si="2"/>
        <v/>
      </c>
    </row>
    <row r="80" spans="1:8" hidden="1" outlineLevel="1">
      <c r="A80" t="s">
        <v>85</v>
      </c>
      <c r="B80" s="26" t="str">
        <f>IF(SUMIFS('NSE - NIFTY Index Options'!$L:$L,'NSE - NIFTY Index Options'!$C:$C,$A80,'NSE - NIFTY Index Options'!$B:$B,B$4)+SUMIFS('NSE - Other Index Options'!$L:$L,'NSE - Other Index Options'!$C:$C,$A80,'NSE - Other Index Options'!$B:$B,B$4)=0,"",SUMIFS('NSE - NIFTY Index Options'!$L:$L,'NSE - NIFTY Index Options'!$C:$C,$A80,'NSE - NIFTY Index Options'!$B:$B,B$4)+SUMIFS('NSE - Other Index Options'!$L:$L,'NSE - Other Index Options'!$C:$C,$A80,'NSE - Other Index Options'!$B:$B,B$4))</f>
        <v/>
      </c>
      <c r="C80" s="26" t="str">
        <f>IF(SUMIFS('NSE - NIFTY Index Options'!$L:$L,'NSE - NIFTY Index Options'!$C:$C,$A80,'NSE - NIFTY Index Options'!$B:$B,C$4)+SUMIFS('NSE - Other Index Options'!$L:$L,'NSE - Other Index Options'!$C:$C,$A80,'NSE - Other Index Options'!$B:$B,C$4)=0,"",SUMIFS('NSE - NIFTY Index Options'!$L:$L,'NSE - NIFTY Index Options'!$C:$C,$A80,'NSE - NIFTY Index Options'!$B:$B,C$4)+SUMIFS('NSE - Other Index Options'!$L:$L,'NSE - Other Index Options'!$C:$C,$A80,'NSE - Other Index Options'!$B:$B,C$4))</f>
        <v/>
      </c>
      <c r="D80" s="26" t="str">
        <f>IF(SUMIFS('NSE - NIFTY Index Options'!$L:$L,'NSE - NIFTY Index Options'!$C:$C,$A80,'NSE - NIFTY Index Options'!$B:$B,D$4)+SUMIFS('NSE - Other Index Options'!$L:$L,'NSE - Other Index Options'!$C:$C,$A80,'NSE - Other Index Options'!$B:$B,D$4)=0,"",SUMIFS('NSE - NIFTY Index Options'!$L:$L,'NSE - NIFTY Index Options'!$C:$C,$A80,'NSE - NIFTY Index Options'!$B:$B,D$4)+SUMIFS('NSE - Other Index Options'!$L:$L,'NSE - Other Index Options'!$C:$C,$A80,'NSE - Other Index Options'!$B:$B,D$4))</f>
        <v/>
      </c>
      <c r="E80" s="26" t="str">
        <f>IF(SUMIFS('NSE - NIFTY Index Options'!$L:$L,'NSE - NIFTY Index Options'!$C:$C,$A80,'NSE - NIFTY Index Options'!$B:$B,E$4)+SUMIFS('NSE - Other Index Options'!$L:$L,'NSE - Other Index Options'!$C:$C,$A80,'NSE - Other Index Options'!$B:$B,E$4)=0,"",SUMIFS('NSE - NIFTY Index Options'!$L:$L,'NSE - NIFTY Index Options'!$C:$C,$A80,'NSE - NIFTY Index Options'!$B:$B,E$4)+SUMIFS('NSE - Other Index Options'!$L:$L,'NSE - Other Index Options'!$C:$C,$A80,'NSE - Other Index Options'!$B:$B,E$4))</f>
        <v/>
      </c>
      <c r="F80" s="26" t="str">
        <f>IF(SUMIFS('NSE - NIFTY Index Options'!$L:$L,'NSE - NIFTY Index Options'!$C:$C,$A80,'NSE - NIFTY Index Options'!$B:$B,F$4)+SUMIFS('NSE - Other Index Options'!$L:$L,'NSE - Other Index Options'!$C:$C,$A80,'NSE - Other Index Options'!$B:$B,F$4)=0,"",SUMIFS('NSE - NIFTY Index Options'!$L:$L,'NSE - NIFTY Index Options'!$C:$C,$A80,'NSE - NIFTY Index Options'!$B:$B,F$4)+SUMIFS('NSE - Other Index Options'!$L:$L,'NSE - Other Index Options'!$C:$C,$A80,'NSE - Other Index Options'!$B:$B,F$4))</f>
        <v/>
      </c>
      <c r="G80" s="26" t="str">
        <f>IF(SUMIFS('NSE - NIFTY Index Options'!$L:$L,'NSE - NIFTY Index Options'!$C:$C,$A80,'NSE - NIFTY Index Options'!$B:$B,G$4)+SUMIFS('NSE - Other Index Options'!$L:$L,'NSE - Other Index Options'!$C:$C,$A80,'NSE - Other Index Options'!$B:$B,G$4)=0,"",SUMIFS('NSE - NIFTY Index Options'!$L:$L,'NSE - NIFTY Index Options'!$C:$C,$A80,'NSE - NIFTY Index Options'!$B:$B,G$4)+SUMIFS('NSE - Other Index Options'!$L:$L,'NSE - Other Index Options'!$C:$C,$A80,'NSE - Other Index Options'!$B:$B,G$4))</f>
        <v/>
      </c>
      <c r="H80" s="26" t="str">
        <f t="shared" si="2"/>
        <v/>
      </c>
    </row>
    <row r="81" spans="1:8" hidden="1" outlineLevel="1">
      <c r="A81" t="s">
        <v>86</v>
      </c>
      <c r="B81" s="26" t="str">
        <f>IF(SUMIFS('NSE - NIFTY Index Options'!$L:$L,'NSE - NIFTY Index Options'!$C:$C,$A81,'NSE - NIFTY Index Options'!$B:$B,B$4)+SUMIFS('NSE - Other Index Options'!$L:$L,'NSE - Other Index Options'!$C:$C,$A81,'NSE - Other Index Options'!$B:$B,B$4)=0,"",SUMIFS('NSE - NIFTY Index Options'!$L:$L,'NSE - NIFTY Index Options'!$C:$C,$A81,'NSE - NIFTY Index Options'!$B:$B,B$4)+SUMIFS('NSE - Other Index Options'!$L:$L,'NSE - Other Index Options'!$C:$C,$A81,'NSE - Other Index Options'!$B:$B,B$4))</f>
        <v/>
      </c>
      <c r="C81" s="26" t="str">
        <f>IF(SUMIFS('NSE - NIFTY Index Options'!$L:$L,'NSE - NIFTY Index Options'!$C:$C,$A81,'NSE - NIFTY Index Options'!$B:$B,C$4)+SUMIFS('NSE - Other Index Options'!$L:$L,'NSE - Other Index Options'!$C:$C,$A81,'NSE - Other Index Options'!$B:$B,C$4)=0,"",SUMIFS('NSE - NIFTY Index Options'!$L:$L,'NSE - NIFTY Index Options'!$C:$C,$A81,'NSE - NIFTY Index Options'!$B:$B,C$4)+SUMIFS('NSE - Other Index Options'!$L:$L,'NSE - Other Index Options'!$C:$C,$A81,'NSE - Other Index Options'!$B:$B,C$4))</f>
        <v/>
      </c>
      <c r="D81" s="26" t="str">
        <f>IF(SUMIFS('NSE - NIFTY Index Options'!$L:$L,'NSE - NIFTY Index Options'!$C:$C,$A81,'NSE - NIFTY Index Options'!$B:$B,D$4)+SUMIFS('NSE - Other Index Options'!$L:$L,'NSE - Other Index Options'!$C:$C,$A81,'NSE - Other Index Options'!$B:$B,D$4)=0,"",SUMIFS('NSE - NIFTY Index Options'!$L:$L,'NSE - NIFTY Index Options'!$C:$C,$A81,'NSE - NIFTY Index Options'!$B:$B,D$4)+SUMIFS('NSE - Other Index Options'!$L:$L,'NSE - Other Index Options'!$C:$C,$A81,'NSE - Other Index Options'!$B:$B,D$4))</f>
        <v/>
      </c>
      <c r="E81" s="26" t="str">
        <f>IF(SUMIFS('NSE - NIFTY Index Options'!$L:$L,'NSE - NIFTY Index Options'!$C:$C,$A81,'NSE - NIFTY Index Options'!$B:$B,E$4)+SUMIFS('NSE - Other Index Options'!$L:$L,'NSE - Other Index Options'!$C:$C,$A81,'NSE - Other Index Options'!$B:$B,E$4)=0,"",SUMIFS('NSE - NIFTY Index Options'!$L:$L,'NSE - NIFTY Index Options'!$C:$C,$A81,'NSE - NIFTY Index Options'!$B:$B,E$4)+SUMIFS('NSE - Other Index Options'!$L:$L,'NSE - Other Index Options'!$C:$C,$A81,'NSE - Other Index Options'!$B:$B,E$4))</f>
        <v/>
      </c>
      <c r="F81" s="26" t="str">
        <f>IF(SUMIFS('NSE - NIFTY Index Options'!$L:$L,'NSE - NIFTY Index Options'!$C:$C,$A81,'NSE - NIFTY Index Options'!$B:$B,F$4)+SUMIFS('NSE - Other Index Options'!$L:$L,'NSE - Other Index Options'!$C:$C,$A81,'NSE - Other Index Options'!$B:$B,F$4)=0,"",SUMIFS('NSE - NIFTY Index Options'!$L:$L,'NSE - NIFTY Index Options'!$C:$C,$A81,'NSE - NIFTY Index Options'!$B:$B,F$4)+SUMIFS('NSE - Other Index Options'!$L:$L,'NSE - Other Index Options'!$C:$C,$A81,'NSE - Other Index Options'!$B:$B,F$4))</f>
        <v/>
      </c>
      <c r="G81" s="26" t="str">
        <f>IF(SUMIFS('NSE - NIFTY Index Options'!$L:$L,'NSE - NIFTY Index Options'!$C:$C,$A81,'NSE - NIFTY Index Options'!$B:$B,G$4)+SUMIFS('NSE - Other Index Options'!$L:$L,'NSE - Other Index Options'!$C:$C,$A81,'NSE - Other Index Options'!$B:$B,G$4)=0,"",SUMIFS('NSE - NIFTY Index Options'!$L:$L,'NSE - NIFTY Index Options'!$C:$C,$A81,'NSE - NIFTY Index Options'!$B:$B,G$4)+SUMIFS('NSE - Other Index Options'!$L:$L,'NSE - Other Index Options'!$C:$C,$A81,'NSE - Other Index Options'!$B:$B,G$4))</f>
        <v/>
      </c>
      <c r="H81" s="26" t="str">
        <f t="shared" si="2"/>
        <v/>
      </c>
    </row>
    <row r="82" spans="1:8" hidden="1" outlineLevel="1">
      <c r="A82" t="s">
        <v>87</v>
      </c>
      <c r="B82" s="26" t="str">
        <f>IF(SUMIFS('NSE - NIFTY Index Options'!$L:$L,'NSE - NIFTY Index Options'!$C:$C,$A82,'NSE - NIFTY Index Options'!$B:$B,B$4)+SUMIFS('NSE - Other Index Options'!$L:$L,'NSE - Other Index Options'!$C:$C,$A82,'NSE - Other Index Options'!$B:$B,B$4)=0,"",SUMIFS('NSE - NIFTY Index Options'!$L:$L,'NSE - NIFTY Index Options'!$C:$C,$A82,'NSE - NIFTY Index Options'!$B:$B,B$4)+SUMIFS('NSE - Other Index Options'!$L:$L,'NSE - Other Index Options'!$C:$C,$A82,'NSE - Other Index Options'!$B:$B,B$4))</f>
        <v/>
      </c>
      <c r="C82" s="26" t="str">
        <f>IF(SUMIFS('NSE - NIFTY Index Options'!$L:$L,'NSE - NIFTY Index Options'!$C:$C,$A82,'NSE - NIFTY Index Options'!$B:$B,C$4)+SUMIFS('NSE - Other Index Options'!$L:$L,'NSE - Other Index Options'!$C:$C,$A82,'NSE - Other Index Options'!$B:$B,C$4)=0,"",SUMIFS('NSE - NIFTY Index Options'!$L:$L,'NSE - NIFTY Index Options'!$C:$C,$A82,'NSE - NIFTY Index Options'!$B:$B,C$4)+SUMIFS('NSE - Other Index Options'!$L:$L,'NSE - Other Index Options'!$C:$C,$A82,'NSE - Other Index Options'!$B:$B,C$4))</f>
        <v/>
      </c>
      <c r="D82" s="26" t="str">
        <f>IF(SUMIFS('NSE - NIFTY Index Options'!$L:$L,'NSE - NIFTY Index Options'!$C:$C,$A82,'NSE - NIFTY Index Options'!$B:$B,D$4)+SUMIFS('NSE - Other Index Options'!$L:$L,'NSE - Other Index Options'!$C:$C,$A82,'NSE - Other Index Options'!$B:$B,D$4)=0,"",SUMIFS('NSE - NIFTY Index Options'!$L:$L,'NSE - NIFTY Index Options'!$C:$C,$A82,'NSE - NIFTY Index Options'!$B:$B,D$4)+SUMIFS('NSE - Other Index Options'!$L:$L,'NSE - Other Index Options'!$C:$C,$A82,'NSE - Other Index Options'!$B:$B,D$4))</f>
        <v/>
      </c>
      <c r="E82" s="26" t="str">
        <f>IF(SUMIFS('NSE - NIFTY Index Options'!$L:$L,'NSE - NIFTY Index Options'!$C:$C,$A82,'NSE - NIFTY Index Options'!$B:$B,E$4)+SUMIFS('NSE - Other Index Options'!$L:$L,'NSE - Other Index Options'!$C:$C,$A82,'NSE - Other Index Options'!$B:$B,E$4)=0,"",SUMIFS('NSE - NIFTY Index Options'!$L:$L,'NSE - NIFTY Index Options'!$C:$C,$A82,'NSE - NIFTY Index Options'!$B:$B,E$4)+SUMIFS('NSE - Other Index Options'!$L:$L,'NSE - Other Index Options'!$C:$C,$A82,'NSE - Other Index Options'!$B:$B,E$4))</f>
        <v/>
      </c>
      <c r="F82" s="26" t="str">
        <f>IF(SUMIFS('NSE - NIFTY Index Options'!$L:$L,'NSE - NIFTY Index Options'!$C:$C,$A82,'NSE - NIFTY Index Options'!$B:$B,F$4)+SUMIFS('NSE - Other Index Options'!$L:$L,'NSE - Other Index Options'!$C:$C,$A82,'NSE - Other Index Options'!$B:$B,F$4)=0,"",SUMIFS('NSE - NIFTY Index Options'!$L:$L,'NSE - NIFTY Index Options'!$C:$C,$A82,'NSE - NIFTY Index Options'!$B:$B,F$4)+SUMIFS('NSE - Other Index Options'!$L:$L,'NSE - Other Index Options'!$C:$C,$A82,'NSE - Other Index Options'!$B:$B,F$4))</f>
        <v/>
      </c>
      <c r="G82" s="26" t="str">
        <f>IF(SUMIFS('NSE - NIFTY Index Options'!$L:$L,'NSE - NIFTY Index Options'!$C:$C,$A82,'NSE - NIFTY Index Options'!$B:$B,G$4)+SUMIFS('NSE - Other Index Options'!$L:$L,'NSE - Other Index Options'!$C:$C,$A82,'NSE - Other Index Options'!$B:$B,G$4)=0,"",SUMIFS('NSE - NIFTY Index Options'!$L:$L,'NSE - NIFTY Index Options'!$C:$C,$A82,'NSE - NIFTY Index Options'!$B:$B,G$4)+SUMIFS('NSE - Other Index Options'!$L:$L,'NSE - Other Index Options'!$C:$C,$A82,'NSE - Other Index Options'!$B:$B,G$4))</f>
        <v/>
      </c>
      <c r="H82" s="26" t="str">
        <f t="shared" si="2"/>
        <v/>
      </c>
    </row>
    <row r="83" spans="1:8" hidden="1" outlineLevel="1">
      <c r="A83" t="s">
        <v>88</v>
      </c>
      <c r="B83" s="26" t="str">
        <f>IF(SUMIFS('NSE - NIFTY Index Options'!$L:$L,'NSE - NIFTY Index Options'!$C:$C,$A83,'NSE - NIFTY Index Options'!$B:$B,B$4)+SUMIFS('NSE - Other Index Options'!$L:$L,'NSE - Other Index Options'!$C:$C,$A83,'NSE - Other Index Options'!$B:$B,B$4)=0,"",SUMIFS('NSE - NIFTY Index Options'!$L:$L,'NSE - NIFTY Index Options'!$C:$C,$A83,'NSE - NIFTY Index Options'!$B:$B,B$4)+SUMIFS('NSE - Other Index Options'!$L:$L,'NSE - Other Index Options'!$C:$C,$A83,'NSE - Other Index Options'!$B:$B,B$4))</f>
        <v/>
      </c>
      <c r="C83" s="26" t="str">
        <f>IF(SUMIFS('NSE - NIFTY Index Options'!$L:$L,'NSE - NIFTY Index Options'!$C:$C,$A83,'NSE - NIFTY Index Options'!$B:$B,C$4)+SUMIFS('NSE - Other Index Options'!$L:$L,'NSE - Other Index Options'!$C:$C,$A83,'NSE - Other Index Options'!$B:$B,C$4)=0,"",SUMIFS('NSE - NIFTY Index Options'!$L:$L,'NSE - NIFTY Index Options'!$C:$C,$A83,'NSE - NIFTY Index Options'!$B:$B,C$4)+SUMIFS('NSE - Other Index Options'!$L:$L,'NSE - Other Index Options'!$C:$C,$A83,'NSE - Other Index Options'!$B:$B,C$4))</f>
        <v/>
      </c>
      <c r="D83" s="26" t="str">
        <f>IF(SUMIFS('NSE - NIFTY Index Options'!$L:$L,'NSE - NIFTY Index Options'!$C:$C,$A83,'NSE - NIFTY Index Options'!$B:$B,D$4)+SUMIFS('NSE - Other Index Options'!$L:$L,'NSE - Other Index Options'!$C:$C,$A83,'NSE - Other Index Options'!$B:$B,D$4)=0,"",SUMIFS('NSE - NIFTY Index Options'!$L:$L,'NSE - NIFTY Index Options'!$C:$C,$A83,'NSE - NIFTY Index Options'!$B:$B,D$4)+SUMIFS('NSE - Other Index Options'!$L:$L,'NSE - Other Index Options'!$C:$C,$A83,'NSE - Other Index Options'!$B:$B,D$4))</f>
        <v/>
      </c>
      <c r="E83" s="26" t="str">
        <f>IF(SUMIFS('NSE - NIFTY Index Options'!$L:$L,'NSE - NIFTY Index Options'!$C:$C,$A83,'NSE - NIFTY Index Options'!$B:$B,E$4)+SUMIFS('NSE - Other Index Options'!$L:$L,'NSE - Other Index Options'!$C:$C,$A83,'NSE - Other Index Options'!$B:$B,E$4)=0,"",SUMIFS('NSE - NIFTY Index Options'!$L:$L,'NSE - NIFTY Index Options'!$C:$C,$A83,'NSE - NIFTY Index Options'!$B:$B,E$4)+SUMIFS('NSE - Other Index Options'!$L:$L,'NSE - Other Index Options'!$C:$C,$A83,'NSE - Other Index Options'!$B:$B,E$4))</f>
        <v/>
      </c>
      <c r="F83" s="26" t="str">
        <f>IF(SUMIFS('NSE - NIFTY Index Options'!$L:$L,'NSE - NIFTY Index Options'!$C:$C,$A83,'NSE - NIFTY Index Options'!$B:$B,F$4)+SUMIFS('NSE - Other Index Options'!$L:$L,'NSE - Other Index Options'!$C:$C,$A83,'NSE - Other Index Options'!$B:$B,F$4)=0,"",SUMIFS('NSE - NIFTY Index Options'!$L:$L,'NSE - NIFTY Index Options'!$C:$C,$A83,'NSE - NIFTY Index Options'!$B:$B,F$4)+SUMIFS('NSE - Other Index Options'!$L:$L,'NSE - Other Index Options'!$C:$C,$A83,'NSE - Other Index Options'!$B:$B,F$4))</f>
        <v/>
      </c>
      <c r="G83" s="26" t="str">
        <f>IF(SUMIFS('NSE - NIFTY Index Options'!$L:$L,'NSE - NIFTY Index Options'!$C:$C,$A83,'NSE - NIFTY Index Options'!$B:$B,G$4)+SUMIFS('NSE - Other Index Options'!$L:$L,'NSE - Other Index Options'!$C:$C,$A83,'NSE - Other Index Options'!$B:$B,G$4)=0,"",SUMIFS('NSE - NIFTY Index Options'!$L:$L,'NSE - NIFTY Index Options'!$C:$C,$A83,'NSE - NIFTY Index Options'!$B:$B,G$4)+SUMIFS('NSE - Other Index Options'!$L:$L,'NSE - Other Index Options'!$C:$C,$A83,'NSE - Other Index Options'!$B:$B,G$4))</f>
        <v/>
      </c>
      <c r="H83" s="26" t="str">
        <f t="shared" si="2"/>
        <v/>
      </c>
    </row>
    <row r="84" spans="1:8" hidden="1" outlineLevel="1">
      <c r="A84" t="s">
        <v>89</v>
      </c>
      <c r="B84" s="26" t="str">
        <f>IF(SUMIFS('NSE - NIFTY Index Options'!$L:$L,'NSE - NIFTY Index Options'!$C:$C,$A84,'NSE - NIFTY Index Options'!$B:$B,B$4)+SUMIFS('NSE - Other Index Options'!$L:$L,'NSE - Other Index Options'!$C:$C,$A84,'NSE - Other Index Options'!$B:$B,B$4)=0,"",SUMIFS('NSE - NIFTY Index Options'!$L:$L,'NSE - NIFTY Index Options'!$C:$C,$A84,'NSE - NIFTY Index Options'!$B:$B,B$4)+SUMIFS('NSE - Other Index Options'!$L:$L,'NSE - Other Index Options'!$C:$C,$A84,'NSE - Other Index Options'!$B:$B,B$4))</f>
        <v/>
      </c>
      <c r="C84" s="26" t="str">
        <f>IF(SUMIFS('NSE - NIFTY Index Options'!$L:$L,'NSE - NIFTY Index Options'!$C:$C,$A84,'NSE - NIFTY Index Options'!$B:$B,C$4)+SUMIFS('NSE - Other Index Options'!$L:$L,'NSE - Other Index Options'!$C:$C,$A84,'NSE - Other Index Options'!$B:$B,C$4)=0,"",SUMIFS('NSE - NIFTY Index Options'!$L:$L,'NSE - NIFTY Index Options'!$C:$C,$A84,'NSE - NIFTY Index Options'!$B:$B,C$4)+SUMIFS('NSE - Other Index Options'!$L:$L,'NSE - Other Index Options'!$C:$C,$A84,'NSE - Other Index Options'!$B:$B,C$4))</f>
        <v/>
      </c>
      <c r="D84" s="26" t="str">
        <f>IF(SUMIFS('NSE - NIFTY Index Options'!$L:$L,'NSE - NIFTY Index Options'!$C:$C,$A84,'NSE - NIFTY Index Options'!$B:$B,D$4)+SUMIFS('NSE - Other Index Options'!$L:$L,'NSE - Other Index Options'!$C:$C,$A84,'NSE - Other Index Options'!$B:$B,D$4)=0,"",SUMIFS('NSE - NIFTY Index Options'!$L:$L,'NSE - NIFTY Index Options'!$C:$C,$A84,'NSE - NIFTY Index Options'!$B:$B,D$4)+SUMIFS('NSE - Other Index Options'!$L:$L,'NSE - Other Index Options'!$C:$C,$A84,'NSE - Other Index Options'!$B:$B,D$4))</f>
        <v/>
      </c>
      <c r="E84" s="26" t="str">
        <f>IF(SUMIFS('NSE - NIFTY Index Options'!$L:$L,'NSE - NIFTY Index Options'!$C:$C,$A84,'NSE - NIFTY Index Options'!$B:$B,E$4)+SUMIFS('NSE - Other Index Options'!$L:$L,'NSE - Other Index Options'!$C:$C,$A84,'NSE - Other Index Options'!$B:$B,E$4)=0,"",SUMIFS('NSE - NIFTY Index Options'!$L:$L,'NSE - NIFTY Index Options'!$C:$C,$A84,'NSE - NIFTY Index Options'!$B:$B,E$4)+SUMIFS('NSE - Other Index Options'!$L:$L,'NSE - Other Index Options'!$C:$C,$A84,'NSE - Other Index Options'!$B:$B,E$4))</f>
        <v/>
      </c>
      <c r="F84" s="26" t="str">
        <f>IF(SUMIFS('NSE - NIFTY Index Options'!$L:$L,'NSE - NIFTY Index Options'!$C:$C,$A84,'NSE - NIFTY Index Options'!$B:$B,F$4)+SUMIFS('NSE - Other Index Options'!$L:$L,'NSE - Other Index Options'!$C:$C,$A84,'NSE - Other Index Options'!$B:$B,F$4)=0,"",SUMIFS('NSE - NIFTY Index Options'!$L:$L,'NSE - NIFTY Index Options'!$C:$C,$A84,'NSE - NIFTY Index Options'!$B:$B,F$4)+SUMIFS('NSE - Other Index Options'!$L:$L,'NSE - Other Index Options'!$C:$C,$A84,'NSE - Other Index Options'!$B:$B,F$4))</f>
        <v/>
      </c>
      <c r="G84" s="26" t="str">
        <f>IF(SUMIFS('NSE - NIFTY Index Options'!$L:$L,'NSE - NIFTY Index Options'!$C:$C,$A84,'NSE - NIFTY Index Options'!$B:$B,G$4)+SUMIFS('NSE - Other Index Options'!$L:$L,'NSE - Other Index Options'!$C:$C,$A84,'NSE - Other Index Options'!$B:$B,G$4)=0,"",SUMIFS('NSE - NIFTY Index Options'!$L:$L,'NSE - NIFTY Index Options'!$C:$C,$A84,'NSE - NIFTY Index Options'!$B:$B,G$4)+SUMIFS('NSE - Other Index Options'!$L:$L,'NSE - Other Index Options'!$C:$C,$A84,'NSE - Other Index Options'!$B:$B,G$4))</f>
        <v/>
      </c>
      <c r="H84" s="26" t="str">
        <f t="shared" si="2"/>
        <v/>
      </c>
    </row>
    <row r="85" spans="1:8" hidden="1" outlineLevel="1">
      <c r="A85" t="s">
        <v>90</v>
      </c>
      <c r="B85" s="26" t="str">
        <f>IF(SUMIFS('NSE - NIFTY Index Options'!$L:$L,'NSE - NIFTY Index Options'!$C:$C,$A85,'NSE - NIFTY Index Options'!$B:$B,B$4)+SUMIFS('NSE - Other Index Options'!$L:$L,'NSE - Other Index Options'!$C:$C,$A85,'NSE - Other Index Options'!$B:$B,B$4)=0,"",SUMIFS('NSE - NIFTY Index Options'!$L:$L,'NSE - NIFTY Index Options'!$C:$C,$A85,'NSE - NIFTY Index Options'!$B:$B,B$4)+SUMIFS('NSE - Other Index Options'!$L:$L,'NSE - Other Index Options'!$C:$C,$A85,'NSE - Other Index Options'!$B:$B,B$4))</f>
        <v/>
      </c>
      <c r="C85" s="26" t="str">
        <f>IF(SUMIFS('NSE - NIFTY Index Options'!$L:$L,'NSE - NIFTY Index Options'!$C:$C,$A85,'NSE - NIFTY Index Options'!$B:$B,C$4)+SUMIFS('NSE - Other Index Options'!$L:$L,'NSE - Other Index Options'!$C:$C,$A85,'NSE - Other Index Options'!$B:$B,C$4)=0,"",SUMIFS('NSE - NIFTY Index Options'!$L:$L,'NSE - NIFTY Index Options'!$C:$C,$A85,'NSE - NIFTY Index Options'!$B:$B,C$4)+SUMIFS('NSE - Other Index Options'!$L:$L,'NSE - Other Index Options'!$C:$C,$A85,'NSE - Other Index Options'!$B:$B,C$4))</f>
        <v/>
      </c>
      <c r="D85" s="26" t="str">
        <f>IF(SUMIFS('NSE - NIFTY Index Options'!$L:$L,'NSE - NIFTY Index Options'!$C:$C,$A85,'NSE - NIFTY Index Options'!$B:$B,D$4)+SUMIFS('NSE - Other Index Options'!$L:$L,'NSE - Other Index Options'!$C:$C,$A85,'NSE - Other Index Options'!$B:$B,D$4)=0,"",SUMIFS('NSE - NIFTY Index Options'!$L:$L,'NSE - NIFTY Index Options'!$C:$C,$A85,'NSE - NIFTY Index Options'!$B:$B,D$4)+SUMIFS('NSE - Other Index Options'!$L:$L,'NSE - Other Index Options'!$C:$C,$A85,'NSE - Other Index Options'!$B:$B,D$4))</f>
        <v/>
      </c>
      <c r="E85" s="26" t="str">
        <f>IF(SUMIFS('NSE - NIFTY Index Options'!$L:$L,'NSE - NIFTY Index Options'!$C:$C,$A85,'NSE - NIFTY Index Options'!$B:$B,E$4)+SUMIFS('NSE - Other Index Options'!$L:$L,'NSE - Other Index Options'!$C:$C,$A85,'NSE - Other Index Options'!$B:$B,E$4)=0,"",SUMIFS('NSE - NIFTY Index Options'!$L:$L,'NSE - NIFTY Index Options'!$C:$C,$A85,'NSE - NIFTY Index Options'!$B:$B,E$4)+SUMIFS('NSE - Other Index Options'!$L:$L,'NSE - Other Index Options'!$C:$C,$A85,'NSE - Other Index Options'!$B:$B,E$4))</f>
        <v/>
      </c>
      <c r="F85" s="26" t="str">
        <f>IF(SUMIFS('NSE - NIFTY Index Options'!$L:$L,'NSE - NIFTY Index Options'!$C:$C,$A85,'NSE - NIFTY Index Options'!$B:$B,F$4)+SUMIFS('NSE - Other Index Options'!$L:$L,'NSE - Other Index Options'!$C:$C,$A85,'NSE - Other Index Options'!$B:$B,F$4)=0,"",SUMIFS('NSE - NIFTY Index Options'!$L:$L,'NSE - NIFTY Index Options'!$C:$C,$A85,'NSE - NIFTY Index Options'!$B:$B,F$4)+SUMIFS('NSE - Other Index Options'!$L:$L,'NSE - Other Index Options'!$C:$C,$A85,'NSE - Other Index Options'!$B:$B,F$4))</f>
        <v/>
      </c>
      <c r="G85" s="26" t="str">
        <f>IF(SUMIFS('NSE - NIFTY Index Options'!$L:$L,'NSE - NIFTY Index Options'!$C:$C,$A85,'NSE - NIFTY Index Options'!$B:$B,G$4)+SUMIFS('NSE - Other Index Options'!$L:$L,'NSE - Other Index Options'!$C:$C,$A85,'NSE - Other Index Options'!$B:$B,G$4)=0,"",SUMIFS('NSE - NIFTY Index Options'!$L:$L,'NSE - NIFTY Index Options'!$C:$C,$A85,'NSE - NIFTY Index Options'!$B:$B,G$4)+SUMIFS('NSE - Other Index Options'!$L:$L,'NSE - Other Index Options'!$C:$C,$A85,'NSE - Other Index Options'!$B:$B,G$4))</f>
        <v/>
      </c>
      <c r="H85" s="26" t="str">
        <f t="shared" si="2"/>
        <v/>
      </c>
    </row>
    <row r="86" spans="1:8" hidden="1" outlineLevel="1">
      <c r="A86" t="s">
        <v>91</v>
      </c>
      <c r="B86" s="26" t="str">
        <f>IF(SUMIFS('NSE - NIFTY Index Options'!$L:$L,'NSE - NIFTY Index Options'!$C:$C,$A86,'NSE - NIFTY Index Options'!$B:$B,B$4)+SUMIFS('NSE - Other Index Options'!$L:$L,'NSE - Other Index Options'!$C:$C,$A86,'NSE - Other Index Options'!$B:$B,B$4)=0,"",SUMIFS('NSE - NIFTY Index Options'!$L:$L,'NSE - NIFTY Index Options'!$C:$C,$A86,'NSE - NIFTY Index Options'!$B:$B,B$4)+SUMIFS('NSE - Other Index Options'!$L:$L,'NSE - Other Index Options'!$C:$C,$A86,'NSE - Other Index Options'!$B:$B,B$4))</f>
        <v/>
      </c>
      <c r="C86" s="26" t="str">
        <f>IF(SUMIFS('NSE - NIFTY Index Options'!$L:$L,'NSE - NIFTY Index Options'!$C:$C,$A86,'NSE - NIFTY Index Options'!$B:$B,C$4)+SUMIFS('NSE - Other Index Options'!$L:$L,'NSE - Other Index Options'!$C:$C,$A86,'NSE - Other Index Options'!$B:$B,C$4)=0,"",SUMIFS('NSE - NIFTY Index Options'!$L:$L,'NSE - NIFTY Index Options'!$C:$C,$A86,'NSE - NIFTY Index Options'!$B:$B,C$4)+SUMIFS('NSE - Other Index Options'!$L:$L,'NSE - Other Index Options'!$C:$C,$A86,'NSE - Other Index Options'!$B:$B,C$4))</f>
        <v/>
      </c>
      <c r="D86" s="26" t="str">
        <f>IF(SUMIFS('NSE - NIFTY Index Options'!$L:$L,'NSE - NIFTY Index Options'!$C:$C,$A86,'NSE - NIFTY Index Options'!$B:$B,D$4)+SUMIFS('NSE - Other Index Options'!$L:$L,'NSE - Other Index Options'!$C:$C,$A86,'NSE - Other Index Options'!$B:$B,D$4)=0,"",SUMIFS('NSE - NIFTY Index Options'!$L:$L,'NSE - NIFTY Index Options'!$C:$C,$A86,'NSE - NIFTY Index Options'!$B:$B,D$4)+SUMIFS('NSE - Other Index Options'!$L:$L,'NSE - Other Index Options'!$C:$C,$A86,'NSE - Other Index Options'!$B:$B,D$4))</f>
        <v/>
      </c>
      <c r="E86" s="26" t="str">
        <f>IF(SUMIFS('NSE - NIFTY Index Options'!$L:$L,'NSE - NIFTY Index Options'!$C:$C,$A86,'NSE - NIFTY Index Options'!$B:$B,E$4)+SUMIFS('NSE - Other Index Options'!$L:$L,'NSE - Other Index Options'!$C:$C,$A86,'NSE - Other Index Options'!$B:$B,E$4)=0,"",SUMIFS('NSE - NIFTY Index Options'!$L:$L,'NSE - NIFTY Index Options'!$C:$C,$A86,'NSE - NIFTY Index Options'!$B:$B,E$4)+SUMIFS('NSE - Other Index Options'!$L:$L,'NSE - Other Index Options'!$C:$C,$A86,'NSE - Other Index Options'!$B:$B,E$4))</f>
        <v/>
      </c>
      <c r="F86" s="26" t="str">
        <f>IF(SUMIFS('NSE - NIFTY Index Options'!$L:$L,'NSE - NIFTY Index Options'!$C:$C,$A86,'NSE - NIFTY Index Options'!$B:$B,F$4)+SUMIFS('NSE - Other Index Options'!$L:$L,'NSE - Other Index Options'!$C:$C,$A86,'NSE - Other Index Options'!$B:$B,F$4)=0,"",SUMIFS('NSE - NIFTY Index Options'!$L:$L,'NSE - NIFTY Index Options'!$C:$C,$A86,'NSE - NIFTY Index Options'!$B:$B,F$4)+SUMIFS('NSE - Other Index Options'!$L:$L,'NSE - Other Index Options'!$C:$C,$A86,'NSE - Other Index Options'!$B:$B,F$4))</f>
        <v/>
      </c>
      <c r="G86" s="26" t="str">
        <f>IF(SUMIFS('NSE - NIFTY Index Options'!$L:$L,'NSE - NIFTY Index Options'!$C:$C,$A86,'NSE - NIFTY Index Options'!$B:$B,G$4)+SUMIFS('NSE - Other Index Options'!$L:$L,'NSE - Other Index Options'!$C:$C,$A86,'NSE - Other Index Options'!$B:$B,G$4)=0,"",SUMIFS('NSE - NIFTY Index Options'!$L:$L,'NSE - NIFTY Index Options'!$C:$C,$A86,'NSE - NIFTY Index Options'!$B:$B,G$4)+SUMIFS('NSE - Other Index Options'!$L:$L,'NSE - Other Index Options'!$C:$C,$A86,'NSE - Other Index Options'!$B:$B,G$4))</f>
        <v/>
      </c>
      <c r="H86" s="26" t="str">
        <f t="shared" si="2"/>
        <v/>
      </c>
    </row>
    <row r="87" spans="1:8" hidden="1" outlineLevel="1">
      <c r="A87" t="s">
        <v>92</v>
      </c>
      <c r="B87" s="26" t="str">
        <f>IF(SUMIFS('NSE - NIFTY Index Options'!$L:$L,'NSE - NIFTY Index Options'!$C:$C,$A87,'NSE - NIFTY Index Options'!$B:$B,B$4)+SUMIFS('NSE - Other Index Options'!$L:$L,'NSE - Other Index Options'!$C:$C,$A87,'NSE - Other Index Options'!$B:$B,B$4)=0,"",SUMIFS('NSE - NIFTY Index Options'!$L:$L,'NSE - NIFTY Index Options'!$C:$C,$A87,'NSE - NIFTY Index Options'!$B:$B,B$4)+SUMIFS('NSE - Other Index Options'!$L:$L,'NSE - Other Index Options'!$C:$C,$A87,'NSE - Other Index Options'!$B:$B,B$4))</f>
        <v/>
      </c>
      <c r="C87" s="26" t="str">
        <f>IF(SUMIFS('NSE - NIFTY Index Options'!$L:$L,'NSE - NIFTY Index Options'!$C:$C,$A87,'NSE - NIFTY Index Options'!$B:$B,C$4)+SUMIFS('NSE - Other Index Options'!$L:$L,'NSE - Other Index Options'!$C:$C,$A87,'NSE - Other Index Options'!$B:$B,C$4)=0,"",SUMIFS('NSE - NIFTY Index Options'!$L:$L,'NSE - NIFTY Index Options'!$C:$C,$A87,'NSE - NIFTY Index Options'!$B:$B,C$4)+SUMIFS('NSE - Other Index Options'!$L:$L,'NSE - Other Index Options'!$C:$C,$A87,'NSE - Other Index Options'!$B:$B,C$4))</f>
        <v/>
      </c>
      <c r="D87" s="26" t="str">
        <f>IF(SUMIFS('NSE - NIFTY Index Options'!$L:$L,'NSE - NIFTY Index Options'!$C:$C,$A87,'NSE - NIFTY Index Options'!$B:$B,D$4)+SUMIFS('NSE - Other Index Options'!$L:$L,'NSE - Other Index Options'!$C:$C,$A87,'NSE - Other Index Options'!$B:$B,D$4)=0,"",SUMIFS('NSE - NIFTY Index Options'!$L:$L,'NSE - NIFTY Index Options'!$C:$C,$A87,'NSE - NIFTY Index Options'!$B:$B,D$4)+SUMIFS('NSE - Other Index Options'!$L:$L,'NSE - Other Index Options'!$C:$C,$A87,'NSE - Other Index Options'!$B:$B,D$4))</f>
        <v/>
      </c>
      <c r="E87" s="26" t="str">
        <f>IF(SUMIFS('NSE - NIFTY Index Options'!$L:$L,'NSE - NIFTY Index Options'!$C:$C,$A87,'NSE - NIFTY Index Options'!$B:$B,E$4)+SUMIFS('NSE - Other Index Options'!$L:$L,'NSE - Other Index Options'!$C:$C,$A87,'NSE - Other Index Options'!$B:$B,E$4)=0,"",SUMIFS('NSE - NIFTY Index Options'!$L:$L,'NSE - NIFTY Index Options'!$C:$C,$A87,'NSE - NIFTY Index Options'!$B:$B,E$4)+SUMIFS('NSE - Other Index Options'!$L:$L,'NSE - Other Index Options'!$C:$C,$A87,'NSE - Other Index Options'!$B:$B,E$4))</f>
        <v/>
      </c>
      <c r="F87" s="26" t="str">
        <f>IF(SUMIFS('NSE - NIFTY Index Options'!$L:$L,'NSE - NIFTY Index Options'!$C:$C,$A87,'NSE - NIFTY Index Options'!$B:$B,F$4)+SUMIFS('NSE - Other Index Options'!$L:$L,'NSE - Other Index Options'!$C:$C,$A87,'NSE - Other Index Options'!$B:$B,F$4)=0,"",SUMIFS('NSE - NIFTY Index Options'!$L:$L,'NSE - NIFTY Index Options'!$C:$C,$A87,'NSE - NIFTY Index Options'!$B:$B,F$4)+SUMIFS('NSE - Other Index Options'!$L:$L,'NSE - Other Index Options'!$C:$C,$A87,'NSE - Other Index Options'!$B:$B,F$4))</f>
        <v/>
      </c>
      <c r="G87" s="26" t="str">
        <f>IF(SUMIFS('NSE - NIFTY Index Options'!$L:$L,'NSE - NIFTY Index Options'!$C:$C,$A87,'NSE - NIFTY Index Options'!$B:$B,G$4)+SUMIFS('NSE - Other Index Options'!$L:$L,'NSE - Other Index Options'!$C:$C,$A87,'NSE - Other Index Options'!$B:$B,G$4)=0,"",SUMIFS('NSE - NIFTY Index Options'!$L:$L,'NSE - NIFTY Index Options'!$C:$C,$A87,'NSE - NIFTY Index Options'!$B:$B,G$4)+SUMIFS('NSE - Other Index Options'!$L:$L,'NSE - Other Index Options'!$C:$C,$A87,'NSE - Other Index Options'!$B:$B,G$4))</f>
        <v/>
      </c>
      <c r="H87" s="26" t="str">
        <f t="shared" si="2"/>
        <v/>
      </c>
    </row>
    <row r="88" spans="1:8" hidden="1" outlineLevel="1">
      <c r="A88" t="s">
        <v>93</v>
      </c>
      <c r="B88" s="26" t="str">
        <f>IF(SUMIFS('NSE - NIFTY Index Options'!$L:$L,'NSE - NIFTY Index Options'!$C:$C,$A88,'NSE - NIFTY Index Options'!$B:$B,B$4)+SUMIFS('NSE - Other Index Options'!$L:$L,'NSE - Other Index Options'!$C:$C,$A88,'NSE - Other Index Options'!$B:$B,B$4)=0,"",SUMIFS('NSE - NIFTY Index Options'!$L:$L,'NSE - NIFTY Index Options'!$C:$C,$A88,'NSE - NIFTY Index Options'!$B:$B,B$4)+SUMIFS('NSE - Other Index Options'!$L:$L,'NSE - Other Index Options'!$C:$C,$A88,'NSE - Other Index Options'!$B:$B,B$4))</f>
        <v/>
      </c>
      <c r="C88" s="26" t="str">
        <f>IF(SUMIFS('NSE - NIFTY Index Options'!$L:$L,'NSE - NIFTY Index Options'!$C:$C,$A88,'NSE - NIFTY Index Options'!$B:$B,C$4)+SUMIFS('NSE - Other Index Options'!$L:$L,'NSE - Other Index Options'!$C:$C,$A88,'NSE - Other Index Options'!$B:$B,C$4)=0,"",SUMIFS('NSE - NIFTY Index Options'!$L:$L,'NSE - NIFTY Index Options'!$C:$C,$A88,'NSE - NIFTY Index Options'!$B:$B,C$4)+SUMIFS('NSE - Other Index Options'!$L:$L,'NSE - Other Index Options'!$C:$C,$A88,'NSE - Other Index Options'!$B:$B,C$4))</f>
        <v/>
      </c>
      <c r="D88" s="26" t="str">
        <f>IF(SUMIFS('NSE - NIFTY Index Options'!$L:$L,'NSE - NIFTY Index Options'!$C:$C,$A88,'NSE - NIFTY Index Options'!$B:$B,D$4)+SUMIFS('NSE - Other Index Options'!$L:$L,'NSE - Other Index Options'!$C:$C,$A88,'NSE - Other Index Options'!$B:$B,D$4)=0,"",SUMIFS('NSE - NIFTY Index Options'!$L:$L,'NSE - NIFTY Index Options'!$C:$C,$A88,'NSE - NIFTY Index Options'!$B:$B,D$4)+SUMIFS('NSE - Other Index Options'!$L:$L,'NSE - Other Index Options'!$C:$C,$A88,'NSE - Other Index Options'!$B:$B,D$4))</f>
        <v/>
      </c>
      <c r="E88" s="26" t="str">
        <f>IF(SUMIFS('NSE - NIFTY Index Options'!$L:$L,'NSE - NIFTY Index Options'!$C:$C,$A88,'NSE - NIFTY Index Options'!$B:$B,E$4)+SUMIFS('NSE - Other Index Options'!$L:$L,'NSE - Other Index Options'!$C:$C,$A88,'NSE - Other Index Options'!$B:$B,E$4)=0,"",SUMIFS('NSE - NIFTY Index Options'!$L:$L,'NSE - NIFTY Index Options'!$C:$C,$A88,'NSE - NIFTY Index Options'!$B:$B,E$4)+SUMIFS('NSE - Other Index Options'!$L:$L,'NSE - Other Index Options'!$C:$C,$A88,'NSE - Other Index Options'!$B:$B,E$4))</f>
        <v/>
      </c>
      <c r="F88" s="26" t="str">
        <f>IF(SUMIFS('NSE - NIFTY Index Options'!$L:$L,'NSE - NIFTY Index Options'!$C:$C,$A88,'NSE - NIFTY Index Options'!$B:$B,F$4)+SUMIFS('NSE - Other Index Options'!$L:$L,'NSE - Other Index Options'!$C:$C,$A88,'NSE - Other Index Options'!$B:$B,F$4)=0,"",SUMIFS('NSE - NIFTY Index Options'!$L:$L,'NSE - NIFTY Index Options'!$C:$C,$A88,'NSE - NIFTY Index Options'!$B:$B,F$4)+SUMIFS('NSE - Other Index Options'!$L:$L,'NSE - Other Index Options'!$C:$C,$A88,'NSE - Other Index Options'!$B:$B,F$4))</f>
        <v/>
      </c>
      <c r="G88" s="26" t="str">
        <f>IF(SUMIFS('NSE - NIFTY Index Options'!$L:$L,'NSE - NIFTY Index Options'!$C:$C,$A88,'NSE - NIFTY Index Options'!$B:$B,G$4)+SUMIFS('NSE - Other Index Options'!$L:$L,'NSE - Other Index Options'!$C:$C,$A88,'NSE - Other Index Options'!$B:$B,G$4)=0,"",SUMIFS('NSE - NIFTY Index Options'!$L:$L,'NSE - NIFTY Index Options'!$C:$C,$A88,'NSE - NIFTY Index Options'!$B:$B,G$4)+SUMIFS('NSE - Other Index Options'!$L:$L,'NSE - Other Index Options'!$C:$C,$A88,'NSE - Other Index Options'!$B:$B,G$4))</f>
        <v/>
      </c>
      <c r="H88" s="26" t="str">
        <f t="shared" si="2"/>
        <v/>
      </c>
    </row>
    <row r="89" spans="1:8" hidden="1" outlineLevel="1">
      <c r="A89" t="s">
        <v>94</v>
      </c>
      <c r="B89" s="26" t="str">
        <f>IF(SUMIFS('NSE - NIFTY Index Options'!$L:$L,'NSE - NIFTY Index Options'!$C:$C,$A89,'NSE - NIFTY Index Options'!$B:$B,B$4)+SUMIFS('NSE - Other Index Options'!$L:$L,'NSE - Other Index Options'!$C:$C,$A89,'NSE - Other Index Options'!$B:$B,B$4)=0,"",SUMIFS('NSE - NIFTY Index Options'!$L:$L,'NSE - NIFTY Index Options'!$C:$C,$A89,'NSE - NIFTY Index Options'!$B:$B,B$4)+SUMIFS('NSE - Other Index Options'!$L:$L,'NSE - Other Index Options'!$C:$C,$A89,'NSE - Other Index Options'!$B:$B,B$4))</f>
        <v/>
      </c>
      <c r="C89" s="26" t="str">
        <f>IF(SUMIFS('NSE - NIFTY Index Options'!$L:$L,'NSE - NIFTY Index Options'!$C:$C,$A89,'NSE - NIFTY Index Options'!$B:$B,C$4)+SUMIFS('NSE - Other Index Options'!$L:$L,'NSE - Other Index Options'!$C:$C,$A89,'NSE - Other Index Options'!$B:$B,C$4)=0,"",SUMIFS('NSE - NIFTY Index Options'!$L:$L,'NSE - NIFTY Index Options'!$C:$C,$A89,'NSE - NIFTY Index Options'!$B:$B,C$4)+SUMIFS('NSE - Other Index Options'!$L:$L,'NSE - Other Index Options'!$C:$C,$A89,'NSE - Other Index Options'!$B:$B,C$4))</f>
        <v/>
      </c>
      <c r="D89" s="26" t="str">
        <f>IF(SUMIFS('NSE - NIFTY Index Options'!$L:$L,'NSE - NIFTY Index Options'!$C:$C,$A89,'NSE - NIFTY Index Options'!$B:$B,D$4)+SUMIFS('NSE - Other Index Options'!$L:$L,'NSE - Other Index Options'!$C:$C,$A89,'NSE - Other Index Options'!$B:$B,D$4)=0,"",SUMIFS('NSE - NIFTY Index Options'!$L:$L,'NSE - NIFTY Index Options'!$C:$C,$A89,'NSE - NIFTY Index Options'!$B:$B,D$4)+SUMIFS('NSE - Other Index Options'!$L:$L,'NSE - Other Index Options'!$C:$C,$A89,'NSE - Other Index Options'!$B:$B,D$4))</f>
        <v/>
      </c>
      <c r="E89" s="26" t="str">
        <f>IF(SUMIFS('NSE - NIFTY Index Options'!$L:$L,'NSE - NIFTY Index Options'!$C:$C,$A89,'NSE - NIFTY Index Options'!$B:$B,E$4)+SUMIFS('NSE - Other Index Options'!$L:$L,'NSE - Other Index Options'!$C:$C,$A89,'NSE - Other Index Options'!$B:$B,E$4)=0,"",SUMIFS('NSE - NIFTY Index Options'!$L:$L,'NSE - NIFTY Index Options'!$C:$C,$A89,'NSE - NIFTY Index Options'!$B:$B,E$4)+SUMIFS('NSE - Other Index Options'!$L:$L,'NSE - Other Index Options'!$C:$C,$A89,'NSE - Other Index Options'!$B:$B,E$4))</f>
        <v/>
      </c>
      <c r="F89" s="26" t="str">
        <f>IF(SUMIFS('NSE - NIFTY Index Options'!$L:$L,'NSE - NIFTY Index Options'!$C:$C,$A89,'NSE - NIFTY Index Options'!$B:$B,F$4)+SUMIFS('NSE - Other Index Options'!$L:$L,'NSE - Other Index Options'!$C:$C,$A89,'NSE - Other Index Options'!$B:$B,F$4)=0,"",SUMIFS('NSE - NIFTY Index Options'!$L:$L,'NSE - NIFTY Index Options'!$C:$C,$A89,'NSE - NIFTY Index Options'!$B:$B,F$4)+SUMIFS('NSE - Other Index Options'!$L:$L,'NSE - Other Index Options'!$C:$C,$A89,'NSE - Other Index Options'!$B:$B,F$4))</f>
        <v/>
      </c>
      <c r="G89" s="26" t="str">
        <f>IF(SUMIFS('NSE - NIFTY Index Options'!$L:$L,'NSE - NIFTY Index Options'!$C:$C,$A89,'NSE - NIFTY Index Options'!$B:$B,G$4)+SUMIFS('NSE - Other Index Options'!$L:$L,'NSE - Other Index Options'!$C:$C,$A89,'NSE - Other Index Options'!$B:$B,G$4)=0,"",SUMIFS('NSE - NIFTY Index Options'!$L:$L,'NSE - NIFTY Index Options'!$C:$C,$A89,'NSE - NIFTY Index Options'!$B:$B,G$4)+SUMIFS('NSE - Other Index Options'!$L:$L,'NSE - Other Index Options'!$C:$C,$A89,'NSE - Other Index Options'!$B:$B,G$4))</f>
        <v/>
      </c>
      <c r="H89" s="26" t="str">
        <f t="shared" si="2"/>
        <v/>
      </c>
    </row>
    <row r="90" spans="1:8" hidden="1" outlineLevel="1">
      <c r="A90" t="s">
        <v>95</v>
      </c>
      <c r="B90" s="26" t="str">
        <f>IF(SUMIFS('NSE - NIFTY Index Options'!$L:$L,'NSE - NIFTY Index Options'!$C:$C,$A90,'NSE - NIFTY Index Options'!$B:$B,B$4)+SUMIFS('NSE - Other Index Options'!$L:$L,'NSE - Other Index Options'!$C:$C,$A90,'NSE - Other Index Options'!$B:$B,B$4)=0,"",SUMIFS('NSE - NIFTY Index Options'!$L:$L,'NSE - NIFTY Index Options'!$C:$C,$A90,'NSE - NIFTY Index Options'!$B:$B,B$4)+SUMIFS('NSE - Other Index Options'!$L:$L,'NSE - Other Index Options'!$C:$C,$A90,'NSE - Other Index Options'!$B:$B,B$4))</f>
        <v/>
      </c>
      <c r="C90" s="26" t="str">
        <f>IF(SUMIFS('NSE - NIFTY Index Options'!$L:$L,'NSE - NIFTY Index Options'!$C:$C,$A90,'NSE - NIFTY Index Options'!$B:$B,C$4)+SUMIFS('NSE - Other Index Options'!$L:$L,'NSE - Other Index Options'!$C:$C,$A90,'NSE - Other Index Options'!$B:$B,C$4)=0,"",SUMIFS('NSE - NIFTY Index Options'!$L:$L,'NSE - NIFTY Index Options'!$C:$C,$A90,'NSE - NIFTY Index Options'!$B:$B,C$4)+SUMIFS('NSE - Other Index Options'!$L:$L,'NSE - Other Index Options'!$C:$C,$A90,'NSE - Other Index Options'!$B:$B,C$4))</f>
        <v/>
      </c>
      <c r="D90" s="26" t="str">
        <f>IF(SUMIFS('NSE - NIFTY Index Options'!$L:$L,'NSE - NIFTY Index Options'!$C:$C,$A90,'NSE - NIFTY Index Options'!$B:$B,D$4)+SUMIFS('NSE - Other Index Options'!$L:$L,'NSE - Other Index Options'!$C:$C,$A90,'NSE - Other Index Options'!$B:$B,D$4)=0,"",SUMIFS('NSE - NIFTY Index Options'!$L:$L,'NSE - NIFTY Index Options'!$C:$C,$A90,'NSE - NIFTY Index Options'!$B:$B,D$4)+SUMIFS('NSE - Other Index Options'!$L:$L,'NSE - Other Index Options'!$C:$C,$A90,'NSE - Other Index Options'!$B:$B,D$4))</f>
        <v/>
      </c>
      <c r="E90" s="26" t="str">
        <f>IF(SUMIFS('NSE - NIFTY Index Options'!$L:$L,'NSE - NIFTY Index Options'!$C:$C,$A90,'NSE - NIFTY Index Options'!$B:$B,E$4)+SUMIFS('NSE - Other Index Options'!$L:$L,'NSE - Other Index Options'!$C:$C,$A90,'NSE - Other Index Options'!$B:$B,E$4)=0,"",SUMIFS('NSE - NIFTY Index Options'!$L:$L,'NSE - NIFTY Index Options'!$C:$C,$A90,'NSE - NIFTY Index Options'!$B:$B,E$4)+SUMIFS('NSE - Other Index Options'!$L:$L,'NSE - Other Index Options'!$C:$C,$A90,'NSE - Other Index Options'!$B:$B,E$4))</f>
        <v/>
      </c>
      <c r="F90" s="26" t="str">
        <f>IF(SUMIFS('NSE - NIFTY Index Options'!$L:$L,'NSE - NIFTY Index Options'!$C:$C,$A90,'NSE - NIFTY Index Options'!$B:$B,F$4)+SUMIFS('NSE - Other Index Options'!$L:$L,'NSE - Other Index Options'!$C:$C,$A90,'NSE - Other Index Options'!$B:$B,F$4)=0,"",SUMIFS('NSE - NIFTY Index Options'!$L:$L,'NSE - NIFTY Index Options'!$C:$C,$A90,'NSE - NIFTY Index Options'!$B:$B,F$4)+SUMIFS('NSE - Other Index Options'!$L:$L,'NSE - Other Index Options'!$C:$C,$A90,'NSE - Other Index Options'!$B:$B,F$4))</f>
        <v/>
      </c>
      <c r="G90" s="26" t="str">
        <f>IF(SUMIFS('NSE - NIFTY Index Options'!$L:$L,'NSE - NIFTY Index Options'!$C:$C,$A90,'NSE - NIFTY Index Options'!$B:$B,G$4)+SUMIFS('NSE - Other Index Options'!$L:$L,'NSE - Other Index Options'!$C:$C,$A90,'NSE - Other Index Options'!$B:$B,G$4)=0,"",SUMIFS('NSE - NIFTY Index Options'!$L:$L,'NSE - NIFTY Index Options'!$C:$C,$A90,'NSE - NIFTY Index Options'!$B:$B,G$4)+SUMIFS('NSE - Other Index Options'!$L:$L,'NSE - Other Index Options'!$C:$C,$A90,'NSE - Other Index Options'!$B:$B,G$4))</f>
        <v/>
      </c>
      <c r="H90" s="26" t="str">
        <f t="shared" si="2"/>
        <v/>
      </c>
    </row>
    <row r="91" spans="1:8" hidden="1" outlineLevel="1">
      <c r="A91" t="s">
        <v>96</v>
      </c>
      <c r="B91" s="26" t="str">
        <f>IF(SUMIFS('NSE - NIFTY Index Options'!$L:$L,'NSE - NIFTY Index Options'!$C:$C,$A91,'NSE - NIFTY Index Options'!$B:$B,B$4)+SUMIFS('NSE - Other Index Options'!$L:$L,'NSE - Other Index Options'!$C:$C,$A91,'NSE - Other Index Options'!$B:$B,B$4)=0,"",SUMIFS('NSE - NIFTY Index Options'!$L:$L,'NSE - NIFTY Index Options'!$C:$C,$A91,'NSE - NIFTY Index Options'!$B:$B,B$4)+SUMIFS('NSE - Other Index Options'!$L:$L,'NSE - Other Index Options'!$C:$C,$A91,'NSE - Other Index Options'!$B:$B,B$4))</f>
        <v/>
      </c>
      <c r="C91" s="26" t="str">
        <f>IF(SUMIFS('NSE - NIFTY Index Options'!$L:$L,'NSE - NIFTY Index Options'!$C:$C,$A91,'NSE - NIFTY Index Options'!$B:$B,C$4)+SUMIFS('NSE - Other Index Options'!$L:$L,'NSE - Other Index Options'!$C:$C,$A91,'NSE - Other Index Options'!$B:$B,C$4)=0,"",SUMIFS('NSE - NIFTY Index Options'!$L:$L,'NSE - NIFTY Index Options'!$C:$C,$A91,'NSE - NIFTY Index Options'!$B:$B,C$4)+SUMIFS('NSE - Other Index Options'!$L:$L,'NSE - Other Index Options'!$C:$C,$A91,'NSE - Other Index Options'!$B:$B,C$4))</f>
        <v/>
      </c>
      <c r="D91" s="26" t="str">
        <f>IF(SUMIFS('NSE - NIFTY Index Options'!$L:$L,'NSE - NIFTY Index Options'!$C:$C,$A91,'NSE - NIFTY Index Options'!$B:$B,D$4)+SUMIFS('NSE - Other Index Options'!$L:$L,'NSE - Other Index Options'!$C:$C,$A91,'NSE - Other Index Options'!$B:$B,D$4)=0,"",SUMIFS('NSE - NIFTY Index Options'!$L:$L,'NSE - NIFTY Index Options'!$C:$C,$A91,'NSE - NIFTY Index Options'!$B:$B,D$4)+SUMIFS('NSE - Other Index Options'!$L:$L,'NSE - Other Index Options'!$C:$C,$A91,'NSE - Other Index Options'!$B:$B,D$4))</f>
        <v/>
      </c>
      <c r="E91" s="26" t="str">
        <f>IF(SUMIFS('NSE - NIFTY Index Options'!$L:$L,'NSE - NIFTY Index Options'!$C:$C,$A91,'NSE - NIFTY Index Options'!$B:$B,E$4)+SUMIFS('NSE - Other Index Options'!$L:$L,'NSE - Other Index Options'!$C:$C,$A91,'NSE - Other Index Options'!$B:$B,E$4)=0,"",SUMIFS('NSE - NIFTY Index Options'!$L:$L,'NSE - NIFTY Index Options'!$C:$C,$A91,'NSE - NIFTY Index Options'!$B:$B,E$4)+SUMIFS('NSE - Other Index Options'!$L:$L,'NSE - Other Index Options'!$C:$C,$A91,'NSE - Other Index Options'!$B:$B,E$4))</f>
        <v/>
      </c>
      <c r="F91" s="26" t="str">
        <f>IF(SUMIFS('NSE - NIFTY Index Options'!$L:$L,'NSE - NIFTY Index Options'!$C:$C,$A91,'NSE - NIFTY Index Options'!$B:$B,F$4)+SUMIFS('NSE - Other Index Options'!$L:$L,'NSE - Other Index Options'!$C:$C,$A91,'NSE - Other Index Options'!$B:$B,F$4)=0,"",SUMIFS('NSE - NIFTY Index Options'!$L:$L,'NSE - NIFTY Index Options'!$C:$C,$A91,'NSE - NIFTY Index Options'!$B:$B,F$4)+SUMIFS('NSE - Other Index Options'!$L:$L,'NSE - Other Index Options'!$C:$C,$A91,'NSE - Other Index Options'!$B:$B,F$4))</f>
        <v/>
      </c>
      <c r="G91" s="26" t="str">
        <f>IF(SUMIFS('NSE - NIFTY Index Options'!$L:$L,'NSE - NIFTY Index Options'!$C:$C,$A91,'NSE - NIFTY Index Options'!$B:$B,G$4)+SUMIFS('NSE - Other Index Options'!$L:$L,'NSE - Other Index Options'!$C:$C,$A91,'NSE - Other Index Options'!$B:$B,G$4)=0,"",SUMIFS('NSE - NIFTY Index Options'!$L:$L,'NSE - NIFTY Index Options'!$C:$C,$A91,'NSE - NIFTY Index Options'!$B:$B,G$4)+SUMIFS('NSE - Other Index Options'!$L:$L,'NSE - Other Index Options'!$C:$C,$A91,'NSE - Other Index Options'!$B:$B,G$4))</f>
        <v/>
      </c>
      <c r="H91" s="26" t="str">
        <f t="shared" si="2"/>
        <v/>
      </c>
    </row>
    <row r="92" spans="1:8" hidden="1" outlineLevel="1">
      <c r="A92" t="s">
        <v>97</v>
      </c>
      <c r="B92" s="26" t="str">
        <f>IF(SUMIFS('NSE - NIFTY Index Options'!$L:$L,'NSE - NIFTY Index Options'!$C:$C,$A92,'NSE - NIFTY Index Options'!$B:$B,B$4)+SUMIFS('NSE - Other Index Options'!$L:$L,'NSE - Other Index Options'!$C:$C,$A92,'NSE - Other Index Options'!$B:$B,B$4)=0,"",SUMIFS('NSE - NIFTY Index Options'!$L:$L,'NSE - NIFTY Index Options'!$C:$C,$A92,'NSE - NIFTY Index Options'!$B:$B,B$4)+SUMIFS('NSE - Other Index Options'!$L:$L,'NSE - Other Index Options'!$C:$C,$A92,'NSE - Other Index Options'!$B:$B,B$4))</f>
        <v/>
      </c>
      <c r="C92" s="26" t="str">
        <f>IF(SUMIFS('NSE - NIFTY Index Options'!$L:$L,'NSE - NIFTY Index Options'!$C:$C,$A92,'NSE - NIFTY Index Options'!$B:$B,C$4)+SUMIFS('NSE - Other Index Options'!$L:$L,'NSE - Other Index Options'!$C:$C,$A92,'NSE - Other Index Options'!$B:$B,C$4)=0,"",SUMIFS('NSE - NIFTY Index Options'!$L:$L,'NSE - NIFTY Index Options'!$C:$C,$A92,'NSE - NIFTY Index Options'!$B:$B,C$4)+SUMIFS('NSE - Other Index Options'!$L:$L,'NSE - Other Index Options'!$C:$C,$A92,'NSE - Other Index Options'!$B:$B,C$4))</f>
        <v/>
      </c>
      <c r="D92" s="26" t="str">
        <f>IF(SUMIFS('NSE - NIFTY Index Options'!$L:$L,'NSE - NIFTY Index Options'!$C:$C,$A92,'NSE - NIFTY Index Options'!$B:$B,D$4)+SUMIFS('NSE - Other Index Options'!$L:$L,'NSE - Other Index Options'!$C:$C,$A92,'NSE - Other Index Options'!$B:$B,D$4)=0,"",SUMIFS('NSE - NIFTY Index Options'!$L:$L,'NSE - NIFTY Index Options'!$C:$C,$A92,'NSE - NIFTY Index Options'!$B:$B,D$4)+SUMIFS('NSE - Other Index Options'!$L:$L,'NSE - Other Index Options'!$C:$C,$A92,'NSE - Other Index Options'!$B:$B,D$4))</f>
        <v/>
      </c>
      <c r="E92" s="26" t="str">
        <f>IF(SUMIFS('NSE - NIFTY Index Options'!$L:$L,'NSE - NIFTY Index Options'!$C:$C,$A92,'NSE - NIFTY Index Options'!$B:$B,E$4)+SUMIFS('NSE - Other Index Options'!$L:$L,'NSE - Other Index Options'!$C:$C,$A92,'NSE - Other Index Options'!$B:$B,E$4)=0,"",SUMIFS('NSE - NIFTY Index Options'!$L:$L,'NSE - NIFTY Index Options'!$C:$C,$A92,'NSE - NIFTY Index Options'!$B:$B,E$4)+SUMIFS('NSE - Other Index Options'!$L:$L,'NSE - Other Index Options'!$C:$C,$A92,'NSE - Other Index Options'!$B:$B,E$4))</f>
        <v/>
      </c>
      <c r="F92" s="26" t="str">
        <f>IF(SUMIFS('NSE - NIFTY Index Options'!$L:$L,'NSE - NIFTY Index Options'!$C:$C,$A92,'NSE - NIFTY Index Options'!$B:$B,F$4)+SUMIFS('NSE - Other Index Options'!$L:$L,'NSE - Other Index Options'!$C:$C,$A92,'NSE - Other Index Options'!$B:$B,F$4)=0,"",SUMIFS('NSE - NIFTY Index Options'!$L:$L,'NSE - NIFTY Index Options'!$C:$C,$A92,'NSE - NIFTY Index Options'!$B:$B,F$4)+SUMIFS('NSE - Other Index Options'!$L:$L,'NSE - Other Index Options'!$C:$C,$A92,'NSE - Other Index Options'!$B:$B,F$4))</f>
        <v/>
      </c>
      <c r="G92" s="26" t="str">
        <f>IF(SUMIFS('NSE - NIFTY Index Options'!$L:$L,'NSE - NIFTY Index Options'!$C:$C,$A92,'NSE - NIFTY Index Options'!$B:$B,G$4)+SUMIFS('NSE - Other Index Options'!$L:$L,'NSE - Other Index Options'!$C:$C,$A92,'NSE - Other Index Options'!$B:$B,G$4)=0,"",SUMIFS('NSE - NIFTY Index Options'!$L:$L,'NSE - NIFTY Index Options'!$C:$C,$A92,'NSE - NIFTY Index Options'!$B:$B,G$4)+SUMIFS('NSE - Other Index Options'!$L:$L,'NSE - Other Index Options'!$C:$C,$A92,'NSE - Other Index Options'!$B:$B,G$4))</f>
        <v/>
      </c>
      <c r="H92" s="26" t="str">
        <f t="shared" si="2"/>
        <v/>
      </c>
    </row>
    <row r="93" spans="1:8" hidden="1" outlineLevel="1">
      <c r="A93" t="s">
        <v>98</v>
      </c>
      <c r="B93" s="26" t="str">
        <f>IF(SUMIFS('NSE - NIFTY Index Options'!$L:$L,'NSE - NIFTY Index Options'!$C:$C,$A93,'NSE - NIFTY Index Options'!$B:$B,B$4)+SUMIFS('NSE - Other Index Options'!$L:$L,'NSE - Other Index Options'!$C:$C,$A93,'NSE - Other Index Options'!$B:$B,B$4)=0,"",SUMIFS('NSE - NIFTY Index Options'!$L:$L,'NSE - NIFTY Index Options'!$C:$C,$A93,'NSE - NIFTY Index Options'!$B:$B,B$4)+SUMIFS('NSE - Other Index Options'!$L:$L,'NSE - Other Index Options'!$C:$C,$A93,'NSE - Other Index Options'!$B:$B,B$4))</f>
        <v/>
      </c>
      <c r="C93" s="26" t="str">
        <f>IF(SUMIFS('NSE - NIFTY Index Options'!$L:$L,'NSE - NIFTY Index Options'!$C:$C,$A93,'NSE - NIFTY Index Options'!$B:$B,C$4)+SUMIFS('NSE - Other Index Options'!$L:$L,'NSE - Other Index Options'!$C:$C,$A93,'NSE - Other Index Options'!$B:$B,C$4)=0,"",SUMIFS('NSE - NIFTY Index Options'!$L:$L,'NSE - NIFTY Index Options'!$C:$C,$A93,'NSE - NIFTY Index Options'!$B:$B,C$4)+SUMIFS('NSE - Other Index Options'!$L:$L,'NSE - Other Index Options'!$C:$C,$A93,'NSE - Other Index Options'!$B:$B,C$4))</f>
        <v/>
      </c>
      <c r="D93" s="26" t="str">
        <f>IF(SUMIFS('NSE - NIFTY Index Options'!$L:$L,'NSE - NIFTY Index Options'!$C:$C,$A93,'NSE - NIFTY Index Options'!$B:$B,D$4)+SUMIFS('NSE - Other Index Options'!$L:$L,'NSE - Other Index Options'!$C:$C,$A93,'NSE - Other Index Options'!$B:$B,D$4)=0,"",SUMIFS('NSE - NIFTY Index Options'!$L:$L,'NSE - NIFTY Index Options'!$C:$C,$A93,'NSE - NIFTY Index Options'!$B:$B,D$4)+SUMIFS('NSE - Other Index Options'!$L:$L,'NSE - Other Index Options'!$C:$C,$A93,'NSE - Other Index Options'!$B:$B,D$4))</f>
        <v/>
      </c>
      <c r="E93" s="26" t="str">
        <f>IF(SUMIFS('NSE - NIFTY Index Options'!$L:$L,'NSE - NIFTY Index Options'!$C:$C,$A93,'NSE - NIFTY Index Options'!$B:$B,E$4)+SUMIFS('NSE - Other Index Options'!$L:$L,'NSE - Other Index Options'!$C:$C,$A93,'NSE - Other Index Options'!$B:$B,E$4)=0,"",SUMIFS('NSE - NIFTY Index Options'!$L:$L,'NSE - NIFTY Index Options'!$C:$C,$A93,'NSE - NIFTY Index Options'!$B:$B,E$4)+SUMIFS('NSE - Other Index Options'!$L:$L,'NSE - Other Index Options'!$C:$C,$A93,'NSE - Other Index Options'!$B:$B,E$4))</f>
        <v/>
      </c>
      <c r="F93" s="26" t="str">
        <f>IF(SUMIFS('NSE - NIFTY Index Options'!$L:$L,'NSE - NIFTY Index Options'!$C:$C,$A93,'NSE - NIFTY Index Options'!$B:$B,F$4)+SUMIFS('NSE - Other Index Options'!$L:$L,'NSE - Other Index Options'!$C:$C,$A93,'NSE - Other Index Options'!$B:$B,F$4)=0,"",SUMIFS('NSE - NIFTY Index Options'!$L:$L,'NSE - NIFTY Index Options'!$C:$C,$A93,'NSE - NIFTY Index Options'!$B:$B,F$4)+SUMIFS('NSE - Other Index Options'!$L:$L,'NSE - Other Index Options'!$C:$C,$A93,'NSE - Other Index Options'!$B:$B,F$4))</f>
        <v/>
      </c>
      <c r="G93" s="26" t="str">
        <f>IF(SUMIFS('NSE - NIFTY Index Options'!$L:$L,'NSE - NIFTY Index Options'!$C:$C,$A93,'NSE - NIFTY Index Options'!$B:$B,G$4)+SUMIFS('NSE - Other Index Options'!$L:$L,'NSE - Other Index Options'!$C:$C,$A93,'NSE - Other Index Options'!$B:$B,G$4)=0,"",SUMIFS('NSE - NIFTY Index Options'!$L:$L,'NSE - NIFTY Index Options'!$C:$C,$A93,'NSE - NIFTY Index Options'!$B:$B,G$4)+SUMIFS('NSE - Other Index Options'!$L:$L,'NSE - Other Index Options'!$C:$C,$A93,'NSE - Other Index Options'!$B:$B,G$4))</f>
        <v/>
      </c>
      <c r="H93" s="26" t="str">
        <f t="shared" si="2"/>
        <v/>
      </c>
    </row>
    <row r="94" spans="1:8" hidden="1" outlineLevel="1">
      <c r="A94" t="s">
        <v>99</v>
      </c>
      <c r="B94" s="26" t="str">
        <f>IF(SUMIFS('NSE - NIFTY Index Options'!$L:$L,'NSE - NIFTY Index Options'!$C:$C,$A94,'NSE - NIFTY Index Options'!$B:$B,B$4)+SUMIFS('NSE - Other Index Options'!$L:$L,'NSE - Other Index Options'!$C:$C,$A94,'NSE - Other Index Options'!$B:$B,B$4)=0,"",SUMIFS('NSE - NIFTY Index Options'!$L:$L,'NSE - NIFTY Index Options'!$C:$C,$A94,'NSE - NIFTY Index Options'!$B:$B,B$4)+SUMIFS('NSE - Other Index Options'!$L:$L,'NSE - Other Index Options'!$C:$C,$A94,'NSE - Other Index Options'!$B:$B,B$4))</f>
        <v/>
      </c>
      <c r="C94" s="26" t="str">
        <f>IF(SUMIFS('NSE - NIFTY Index Options'!$L:$L,'NSE - NIFTY Index Options'!$C:$C,$A94,'NSE - NIFTY Index Options'!$B:$B,C$4)+SUMIFS('NSE - Other Index Options'!$L:$L,'NSE - Other Index Options'!$C:$C,$A94,'NSE - Other Index Options'!$B:$B,C$4)=0,"",SUMIFS('NSE - NIFTY Index Options'!$L:$L,'NSE - NIFTY Index Options'!$C:$C,$A94,'NSE - NIFTY Index Options'!$B:$B,C$4)+SUMIFS('NSE - Other Index Options'!$L:$L,'NSE - Other Index Options'!$C:$C,$A94,'NSE - Other Index Options'!$B:$B,C$4))</f>
        <v/>
      </c>
      <c r="D94" s="26" t="str">
        <f>IF(SUMIFS('NSE - NIFTY Index Options'!$L:$L,'NSE - NIFTY Index Options'!$C:$C,$A94,'NSE - NIFTY Index Options'!$B:$B,D$4)+SUMIFS('NSE - Other Index Options'!$L:$L,'NSE - Other Index Options'!$C:$C,$A94,'NSE - Other Index Options'!$B:$B,D$4)=0,"",SUMIFS('NSE - NIFTY Index Options'!$L:$L,'NSE - NIFTY Index Options'!$C:$C,$A94,'NSE - NIFTY Index Options'!$B:$B,D$4)+SUMIFS('NSE - Other Index Options'!$L:$L,'NSE - Other Index Options'!$C:$C,$A94,'NSE - Other Index Options'!$B:$B,D$4))</f>
        <v/>
      </c>
      <c r="E94" s="26" t="str">
        <f>IF(SUMIFS('NSE - NIFTY Index Options'!$L:$L,'NSE - NIFTY Index Options'!$C:$C,$A94,'NSE - NIFTY Index Options'!$B:$B,E$4)+SUMIFS('NSE - Other Index Options'!$L:$L,'NSE - Other Index Options'!$C:$C,$A94,'NSE - Other Index Options'!$B:$B,E$4)=0,"",SUMIFS('NSE - NIFTY Index Options'!$L:$L,'NSE - NIFTY Index Options'!$C:$C,$A94,'NSE - NIFTY Index Options'!$B:$B,E$4)+SUMIFS('NSE - Other Index Options'!$L:$L,'NSE - Other Index Options'!$C:$C,$A94,'NSE - Other Index Options'!$B:$B,E$4))</f>
        <v/>
      </c>
      <c r="F94" s="26" t="str">
        <f>IF(SUMIFS('NSE - NIFTY Index Options'!$L:$L,'NSE - NIFTY Index Options'!$C:$C,$A94,'NSE - NIFTY Index Options'!$B:$B,F$4)+SUMIFS('NSE - Other Index Options'!$L:$L,'NSE - Other Index Options'!$C:$C,$A94,'NSE - Other Index Options'!$B:$B,F$4)=0,"",SUMIFS('NSE - NIFTY Index Options'!$L:$L,'NSE - NIFTY Index Options'!$C:$C,$A94,'NSE - NIFTY Index Options'!$B:$B,F$4)+SUMIFS('NSE - Other Index Options'!$L:$L,'NSE - Other Index Options'!$C:$C,$A94,'NSE - Other Index Options'!$B:$B,F$4))</f>
        <v/>
      </c>
      <c r="G94" s="26" t="str">
        <f>IF(SUMIFS('NSE - NIFTY Index Options'!$L:$L,'NSE - NIFTY Index Options'!$C:$C,$A94,'NSE - NIFTY Index Options'!$B:$B,G$4)+SUMIFS('NSE - Other Index Options'!$L:$L,'NSE - Other Index Options'!$C:$C,$A94,'NSE - Other Index Options'!$B:$B,G$4)=0,"",SUMIFS('NSE - NIFTY Index Options'!$L:$L,'NSE - NIFTY Index Options'!$C:$C,$A94,'NSE - NIFTY Index Options'!$B:$B,G$4)+SUMIFS('NSE - Other Index Options'!$L:$L,'NSE - Other Index Options'!$C:$C,$A94,'NSE - Other Index Options'!$B:$B,G$4))</f>
        <v/>
      </c>
      <c r="H94" s="26" t="str">
        <f t="shared" si="2"/>
        <v/>
      </c>
    </row>
    <row r="95" spans="1:8" hidden="1" outlineLevel="1">
      <c r="A95" t="s">
        <v>100</v>
      </c>
      <c r="B95" s="26" t="str">
        <f>IF(SUMIFS('NSE - NIFTY Index Options'!$L:$L,'NSE - NIFTY Index Options'!$C:$C,$A95,'NSE - NIFTY Index Options'!$B:$B,B$4)+SUMIFS('NSE - Other Index Options'!$L:$L,'NSE - Other Index Options'!$C:$C,$A95,'NSE - Other Index Options'!$B:$B,B$4)=0,"",SUMIFS('NSE - NIFTY Index Options'!$L:$L,'NSE - NIFTY Index Options'!$C:$C,$A95,'NSE - NIFTY Index Options'!$B:$B,B$4)+SUMIFS('NSE - Other Index Options'!$L:$L,'NSE - Other Index Options'!$C:$C,$A95,'NSE - Other Index Options'!$B:$B,B$4))</f>
        <v/>
      </c>
      <c r="C95" s="26" t="str">
        <f>IF(SUMIFS('NSE - NIFTY Index Options'!$L:$L,'NSE - NIFTY Index Options'!$C:$C,$A95,'NSE - NIFTY Index Options'!$B:$B,C$4)+SUMIFS('NSE - Other Index Options'!$L:$L,'NSE - Other Index Options'!$C:$C,$A95,'NSE - Other Index Options'!$B:$B,C$4)=0,"",SUMIFS('NSE - NIFTY Index Options'!$L:$L,'NSE - NIFTY Index Options'!$C:$C,$A95,'NSE - NIFTY Index Options'!$B:$B,C$4)+SUMIFS('NSE - Other Index Options'!$L:$L,'NSE - Other Index Options'!$C:$C,$A95,'NSE - Other Index Options'!$B:$B,C$4))</f>
        <v/>
      </c>
      <c r="D95" s="26" t="str">
        <f>IF(SUMIFS('NSE - NIFTY Index Options'!$L:$L,'NSE - NIFTY Index Options'!$C:$C,$A95,'NSE - NIFTY Index Options'!$B:$B,D$4)+SUMIFS('NSE - Other Index Options'!$L:$L,'NSE - Other Index Options'!$C:$C,$A95,'NSE - Other Index Options'!$B:$B,D$4)=0,"",SUMIFS('NSE - NIFTY Index Options'!$L:$L,'NSE - NIFTY Index Options'!$C:$C,$A95,'NSE - NIFTY Index Options'!$B:$B,D$4)+SUMIFS('NSE - Other Index Options'!$L:$L,'NSE - Other Index Options'!$C:$C,$A95,'NSE - Other Index Options'!$B:$B,D$4))</f>
        <v/>
      </c>
      <c r="E95" s="26" t="str">
        <f>IF(SUMIFS('NSE - NIFTY Index Options'!$L:$L,'NSE - NIFTY Index Options'!$C:$C,$A95,'NSE - NIFTY Index Options'!$B:$B,E$4)+SUMIFS('NSE - Other Index Options'!$L:$L,'NSE - Other Index Options'!$C:$C,$A95,'NSE - Other Index Options'!$B:$B,E$4)=0,"",SUMIFS('NSE - NIFTY Index Options'!$L:$L,'NSE - NIFTY Index Options'!$C:$C,$A95,'NSE - NIFTY Index Options'!$B:$B,E$4)+SUMIFS('NSE - Other Index Options'!$L:$L,'NSE - Other Index Options'!$C:$C,$A95,'NSE - Other Index Options'!$B:$B,E$4))</f>
        <v/>
      </c>
      <c r="F95" s="26" t="str">
        <f>IF(SUMIFS('NSE - NIFTY Index Options'!$L:$L,'NSE - NIFTY Index Options'!$C:$C,$A95,'NSE - NIFTY Index Options'!$B:$B,F$4)+SUMIFS('NSE - Other Index Options'!$L:$L,'NSE - Other Index Options'!$C:$C,$A95,'NSE - Other Index Options'!$B:$B,F$4)=0,"",SUMIFS('NSE - NIFTY Index Options'!$L:$L,'NSE - NIFTY Index Options'!$C:$C,$A95,'NSE - NIFTY Index Options'!$B:$B,F$4)+SUMIFS('NSE - Other Index Options'!$L:$L,'NSE - Other Index Options'!$C:$C,$A95,'NSE - Other Index Options'!$B:$B,F$4))</f>
        <v/>
      </c>
      <c r="G95" s="26" t="str">
        <f>IF(SUMIFS('NSE - NIFTY Index Options'!$L:$L,'NSE - NIFTY Index Options'!$C:$C,$A95,'NSE - NIFTY Index Options'!$B:$B,G$4)+SUMIFS('NSE - Other Index Options'!$L:$L,'NSE - Other Index Options'!$C:$C,$A95,'NSE - Other Index Options'!$B:$B,G$4)=0,"",SUMIFS('NSE - NIFTY Index Options'!$L:$L,'NSE - NIFTY Index Options'!$C:$C,$A95,'NSE - NIFTY Index Options'!$B:$B,G$4)+SUMIFS('NSE - Other Index Options'!$L:$L,'NSE - Other Index Options'!$C:$C,$A95,'NSE - Other Index Options'!$B:$B,G$4))</f>
        <v/>
      </c>
      <c r="H95" s="26" t="str">
        <f t="shared" si="2"/>
        <v/>
      </c>
    </row>
    <row r="96" spans="1:8" hidden="1" outlineLevel="1">
      <c r="A96" t="s">
        <v>101</v>
      </c>
      <c r="B96" s="26" t="str">
        <f>IF(SUMIFS('NSE - NIFTY Index Options'!$L:$L,'NSE - NIFTY Index Options'!$C:$C,$A96,'NSE - NIFTY Index Options'!$B:$B,B$4)+SUMIFS('NSE - Other Index Options'!$L:$L,'NSE - Other Index Options'!$C:$C,$A96,'NSE - Other Index Options'!$B:$B,B$4)=0,"",SUMIFS('NSE - NIFTY Index Options'!$L:$L,'NSE - NIFTY Index Options'!$C:$C,$A96,'NSE - NIFTY Index Options'!$B:$B,B$4)+SUMIFS('NSE - Other Index Options'!$L:$L,'NSE - Other Index Options'!$C:$C,$A96,'NSE - Other Index Options'!$B:$B,B$4))</f>
        <v/>
      </c>
      <c r="C96" s="26" t="str">
        <f>IF(SUMIFS('NSE - NIFTY Index Options'!$L:$L,'NSE - NIFTY Index Options'!$C:$C,$A96,'NSE - NIFTY Index Options'!$B:$B,C$4)+SUMIFS('NSE - Other Index Options'!$L:$L,'NSE - Other Index Options'!$C:$C,$A96,'NSE - Other Index Options'!$B:$B,C$4)=0,"",SUMIFS('NSE - NIFTY Index Options'!$L:$L,'NSE - NIFTY Index Options'!$C:$C,$A96,'NSE - NIFTY Index Options'!$B:$B,C$4)+SUMIFS('NSE - Other Index Options'!$L:$L,'NSE - Other Index Options'!$C:$C,$A96,'NSE - Other Index Options'!$B:$B,C$4))</f>
        <v/>
      </c>
      <c r="D96" s="26" t="str">
        <f>IF(SUMIFS('NSE - NIFTY Index Options'!$L:$L,'NSE - NIFTY Index Options'!$C:$C,$A96,'NSE - NIFTY Index Options'!$B:$B,D$4)+SUMIFS('NSE - Other Index Options'!$L:$L,'NSE - Other Index Options'!$C:$C,$A96,'NSE - Other Index Options'!$B:$B,D$4)=0,"",SUMIFS('NSE - NIFTY Index Options'!$L:$L,'NSE - NIFTY Index Options'!$C:$C,$A96,'NSE - NIFTY Index Options'!$B:$B,D$4)+SUMIFS('NSE - Other Index Options'!$L:$L,'NSE - Other Index Options'!$C:$C,$A96,'NSE - Other Index Options'!$B:$B,D$4))</f>
        <v/>
      </c>
      <c r="E96" s="26" t="str">
        <f>IF(SUMIFS('NSE - NIFTY Index Options'!$L:$L,'NSE - NIFTY Index Options'!$C:$C,$A96,'NSE - NIFTY Index Options'!$B:$B,E$4)+SUMIFS('NSE - Other Index Options'!$L:$L,'NSE - Other Index Options'!$C:$C,$A96,'NSE - Other Index Options'!$B:$B,E$4)=0,"",SUMIFS('NSE - NIFTY Index Options'!$L:$L,'NSE - NIFTY Index Options'!$C:$C,$A96,'NSE - NIFTY Index Options'!$B:$B,E$4)+SUMIFS('NSE - Other Index Options'!$L:$L,'NSE - Other Index Options'!$C:$C,$A96,'NSE - Other Index Options'!$B:$B,E$4))</f>
        <v/>
      </c>
      <c r="F96" s="26" t="str">
        <f>IF(SUMIFS('NSE - NIFTY Index Options'!$L:$L,'NSE - NIFTY Index Options'!$C:$C,$A96,'NSE - NIFTY Index Options'!$B:$B,F$4)+SUMIFS('NSE - Other Index Options'!$L:$L,'NSE - Other Index Options'!$C:$C,$A96,'NSE - Other Index Options'!$B:$B,F$4)=0,"",SUMIFS('NSE - NIFTY Index Options'!$L:$L,'NSE - NIFTY Index Options'!$C:$C,$A96,'NSE - NIFTY Index Options'!$B:$B,F$4)+SUMIFS('NSE - Other Index Options'!$L:$L,'NSE - Other Index Options'!$C:$C,$A96,'NSE - Other Index Options'!$B:$B,F$4))</f>
        <v/>
      </c>
      <c r="G96" s="26" t="str">
        <f>IF(SUMIFS('NSE - NIFTY Index Options'!$L:$L,'NSE - NIFTY Index Options'!$C:$C,$A96,'NSE - NIFTY Index Options'!$B:$B,G$4)+SUMIFS('NSE - Other Index Options'!$L:$L,'NSE - Other Index Options'!$C:$C,$A96,'NSE - Other Index Options'!$B:$B,G$4)=0,"",SUMIFS('NSE - NIFTY Index Options'!$L:$L,'NSE - NIFTY Index Options'!$C:$C,$A96,'NSE - NIFTY Index Options'!$B:$B,G$4)+SUMIFS('NSE - Other Index Options'!$L:$L,'NSE - Other Index Options'!$C:$C,$A96,'NSE - Other Index Options'!$B:$B,G$4))</f>
        <v/>
      </c>
      <c r="H96" s="26" t="str">
        <f t="shared" si="2"/>
        <v/>
      </c>
    </row>
    <row r="97" spans="1:8" hidden="1" outlineLevel="1">
      <c r="A97" t="s">
        <v>102</v>
      </c>
      <c r="B97" s="26" t="str">
        <f>IF(SUMIFS('NSE - NIFTY Index Options'!$L:$L,'NSE - NIFTY Index Options'!$C:$C,$A97,'NSE - NIFTY Index Options'!$B:$B,B$4)+SUMIFS('NSE - Other Index Options'!$L:$L,'NSE - Other Index Options'!$C:$C,$A97,'NSE - Other Index Options'!$B:$B,B$4)=0,"",SUMIFS('NSE - NIFTY Index Options'!$L:$L,'NSE - NIFTY Index Options'!$C:$C,$A97,'NSE - NIFTY Index Options'!$B:$B,B$4)+SUMIFS('NSE - Other Index Options'!$L:$L,'NSE - Other Index Options'!$C:$C,$A97,'NSE - Other Index Options'!$B:$B,B$4))</f>
        <v/>
      </c>
      <c r="C97" s="26" t="str">
        <f>IF(SUMIFS('NSE - NIFTY Index Options'!$L:$L,'NSE - NIFTY Index Options'!$C:$C,$A97,'NSE - NIFTY Index Options'!$B:$B,C$4)+SUMIFS('NSE - Other Index Options'!$L:$L,'NSE - Other Index Options'!$C:$C,$A97,'NSE - Other Index Options'!$B:$B,C$4)=0,"",SUMIFS('NSE - NIFTY Index Options'!$L:$L,'NSE - NIFTY Index Options'!$C:$C,$A97,'NSE - NIFTY Index Options'!$B:$B,C$4)+SUMIFS('NSE - Other Index Options'!$L:$L,'NSE - Other Index Options'!$C:$C,$A97,'NSE - Other Index Options'!$B:$B,C$4))</f>
        <v/>
      </c>
      <c r="D97" s="26" t="str">
        <f>IF(SUMIFS('NSE - NIFTY Index Options'!$L:$L,'NSE - NIFTY Index Options'!$C:$C,$A97,'NSE - NIFTY Index Options'!$B:$B,D$4)+SUMIFS('NSE - Other Index Options'!$L:$L,'NSE - Other Index Options'!$C:$C,$A97,'NSE - Other Index Options'!$B:$B,D$4)=0,"",SUMIFS('NSE - NIFTY Index Options'!$L:$L,'NSE - NIFTY Index Options'!$C:$C,$A97,'NSE - NIFTY Index Options'!$B:$B,D$4)+SUMIFS('NSE - Other Index Options'!$L:$L,'NSE - Other Index Options'!$C:$C,$A97,'NSE - Other Index Options'!$B:$B,D$4))</f>
        <v/>
      </c>
      <c r="E97" s="26" t="str">
        <f>IF(SUMIFS('NSE - NIFTY Index Options'!$L:$L,'NSE - NIFTY Index Options'!$C:$C,$A97,'NSE - NIFTY Index Options'!$B:$B,E$4)+SUMIFS('NSE - Other Index Options'!$L:$L,'NSE - Other Index Options'!$C:$C,$A97,'NSE - Other Index Options'!$B:$B,E$4)=0,"",SUMIFS('NSE - NIFTY Index Options'!$L:$L,'NSE - NIFTY Index Options'!$C:$C,$A97,'NSE - NIFTY Index Options'!$B:$B,E$4)+SUMIFS('NSE - Other Index Options'!$L:$L,'NSE - Other Index Options'!$C:$C,$A97,'NSE - Other Index Options'!$B:$B,E$4))</f>
        <v/>
      </c>
      <c r="F97" s="26" t="str">
        <f>IF(SUMIFS('NSE - NIFTY Index Options'!$L:$L,'NSE - NIFTY Index Options'!$C:$C,$A97,'NSE - NIFTY Index Options'!$B:$B,F$4)+SUMIFS('NSE - Other Index Options'!$L:$L,'NSE - Other Index Options'!$C:$C,$A97,'NSE - Other Index Options'!$B:$B,F$4)=0,"",SUMIFS('NSE - NIFTY Index Options'!$L:$L,'NSE - NIFTY Index Options'!$C:$C,$A97,'NSE - NIFTY Index Options'!$B:$B,F$4)+SUMIFS('NSE - Other Index Options'!$L:$L,'NSE - Other Index Options'!$C:$C,$A97,'NSE - Other Index Options'!$B:$B,F$4))</f>
        <v/>
      </c>
      <c r="G97" s="26" t="str">
        <f>IF(SUMIFS('NSE - NIFTY Index Options'!$L:$L,'NSE - NIFTY Index Options'!$C:$C,$A97,'NSE - NIFTY Index Options'!$B:$B,G$4)+SUMIFS('NSE - Other Index Options'!$L:$L,'NSE - Other Index Options'!$C:$C,$A97,'NSE - Other Index Options'!$B:$B,G$4)=0,"",SUMIFS('NSE - NIFTY Index Options'!$L:$L,'NSE - NIFTY Index Options'!$C:$C,$A97,'NSE - NIFTY Index Options'!$B:$B,G$4)+SUMIFS('NSE - Other Index Options'!$L:$L,'NSE - Other Index Options'!$C:$C,$A97,'NSE - Other Index Options'!$B:$B,G$4))</f>
        <v/>
      </c>
      <c r="H97" s="26" t="str">
        <f t="shared" si="2"/>
        <v/>
      </c>
    </row>
    <row r="98" spans="1:8" hidden="1" outlineLevel="1">
      <c r="A98" t="s">
        <v>103</v>
      </c>
      <c r="B98" s="26" t="str">
        <f>IF(SUMIFS('NSE - NIFTY Index Options'!$L:$L,'NSE - NIFTY Index Options'!$C:$C,$A98,'NSE - NIFTY Index Options'!$B:$B,B$4)+SUMIFS('NSE - Other Index Options'!$L:$L,'NSE - Other Index Options'!$C:$C,$A98,'NSE - Other Index Options'!$B:$B,B$4)=0,"",SUMIFS('NSE - NIFTY Index Options'!$L:$L,'NSE - NIFTY Index Options'!$C:$C,$A98,'NSE - NIFTY Index Options'!$B:$B,B$4)+SUMIFS('NSE - Other Index Options'!$L:$L,'NSE - Other Index Options'!$C:$C,$A98,'NSE - Other Index Options'!$B:$B,B$4))</f>
        <v/>
      </c>
      <c r="C98" s="26" t="str">
        <f>IF(SUMIFS('NSE - NIFTY Index Options'!$L:$L,'NSE - NIFTY Index Options'!$C:$C,$A98,'NSE - NIFTY Index Options'!$B:$B,C$4)+SUMIFS('NSE - Other Index Options'!$L:$L,'NSE - Other Index Options'!$C:$C,$A98,'NSE - Other Index Options'!$B:$B,C$4)=0,"",SUMIFS('NSE - NIFTY Index Options'!$L:$L,'NSE - NIFTY Index Options'!$C:$C,$A98,'NSE - NIFTY Index Options'!$B:$B,C$4)+SUMIFS('NSE - Other Index Options'!$L:$L,'NSE - Other Index Options'!$C:$C,$A98,'NSE - Other Index Options'!$B:$B,C$4))</f>
        <v/>
      </c>
      <c r="D98" s="26" t="str">
        <f>IF(SUMIFS('NSE - NIFTY Index Options'!$L:$L,'NSE - NIFTY Index Options'!$C:$C,$A98,'NSE - NIFTY Index Options'!$B:$B,D$4)+SUMIFS('NSE - Other Index Options'!$L:$L,'NSE - Other Index Options'!$C:$C,$A98,'NSE - Other Index Options'!$B:$B,D$4)=0,"",SUMIFS('NSE - NIFTY Index Options'!$L:$L,'NSE - NIFTY Index Options'!$C:$C,$A98,'NSE - NIFTY Index Options'!$B:$B,D$4)+SUMIFS('NSE - Other Index Options'!$L:$L,'NSE - Other Index Options'!$C:$C,$A98,'NSE - Other Index Options'!$B:$B,D$4))</f>
        <v/>
      </c>
      <c r="E98" s="26" t="str">
        <f>IF(SUMIFS('NSE - NIFTY Index Options'!$L:$L,'NSE - NIFTY Index Options'!$C:$C,$A98,'NSE - NIFTY Index Options'!$B:$B,E$4)+SUMIFS('NSE - Other Index Options'!$L:$L,'NSE - Other Index Options'!$C:$C,$A98,'NSE - Other Index Options'!$B:$B,E$4)=0,"",SUMIFS('NSE - NIFTY Index Options'!$L:$L,'NSE - NIFTY Index Options'!$C:$C,$A98,'NSE - NIFTY Index Options'!$B:$B,E$4)+SUMIFS('NSE - Other Index Options'!$L:$L,'NSE - Other Index Options'!$C:$C,$A98,'NSE - Other Index Options'!$B:$B,E$4))</f>
        <v/>
      </c>
      <c r="F98" s="26" t="str">
        <f>IF(SUMIFS('NSE - NIFTY Index Options'!$L:$L,'NSE - NIFTY Index Options'!$C:$C,$A98,'NSE - NIFTY Index Options'!$B:$B,F$4)+SUMIFS('NSE - Other Index Options'!$L:$L,'NSE - Other Index Options'!$C:$C,$A98,'NSE - Other Index Options'!$B:$B,F$4)=0,"",SUMIFS('NSE - NIFTY Index Options'!$L:$L,'NSE - NIFTY Index Options'!$C:$C,$A98,'NSE - NIFTY Index Options'!$B:$B,F$4)+SUMIFS('NSE - Other Index Options'!$L:$L,'NSE - Other Index Options'!$C:$C,$A98,'NSE - Other Index Options'!$B:$B,F$4))</f>
        <v/>
      </c>
      <c r="G98" s="26" t="str">
        <f>IF(SUMIFS('NSE - NIFTY Index Options'!$L:$L,'NSE - NIFTY Index Options'!$C:$C,$A98,'NSE - NIFTY Index Options'!$B:$B,G$4)+SUMIFS('NSE - Other Index Options'!$L:$L,'NSE - Other Index Options'!$C:$C,$A98,'NSE - Other Index Options'!$B:$B,G$4)=0,"",SUMIFS('NSE - NIFTY Index Options'!$L:$L,'NSE - NIFTY Index Options'!$C:$C,$A98,'NSE - NIFTY Index Options'!$B:$B,G$4)+SUMIFS('NSE - Other Index Options'!$L:$L,'NSE - Other Index Options'!$C:$C,$A98,'NSE - Other Index Options'!$B:$B,G$4))</f>
        <v/>
      </c>
      <c r="H98" s="26" t="str">
        <f t="shared" si="2"/>
        <v/>
      </c>
    </row>
    <row r="99" spans="1:8" hidden="1" outlineLevel="1">
      <c r="A99" t="s">
        <v>104</v>
      </c>
      <c r="B99" s="26" t="str">
        <f>IF(SUMIFS('NSE - NIFTY Index Options'!$L:$L,'NSE - NIFTY Index Options'!$C:$C,$A99,'NSE - NIFTY Index Options'!$B:$B,B$4)+SUMIFS('NSE - Other Index Options'!$L:$L,'NSE - Other Index Options'!$C:$C,$A99,'NSE - Other Index Options'!$B:$B,B$4)=0,"",SUMIFS('NSE - NIFTY Index Options'!$L:$L,'NSE - NIFTY Index Options'!$C:$C,$A99,'NSE - NIFTY Index Options'!$B:$B,B$4)+SUMIFS('NSE - Other Index Options'!$L:$L,'NSE - Other Index Options'!$C:$C,$A99,'NSE - Other Index Options'!$B:$B,B$4))</f>
        <v/>
      </c>
      <c r="C99" s="26" t="str">
        <f>IF(SUMIFS('NSE - NIFTY Index Options'!$L:$L,'NSE - NIFTY Index Options'!$C:$C,$A99,'NSE - NIFTY Index Options'!$B:$B,C$4)+SUMIFS('NSE - Other Index Options'!$L:$L,'NSE - Other Index Options'!$C:$C,$A99,'NSE - Other Index Options'!$B:$B,C$4)=0,"",SUMIFS('NSE - NIFTY Index Options'!$L:$L,'NSE - NIFTY Index Options'!$C:$C,$A99,'NSE - NIFTY Index Options'!$B:$B,C$4)+SUMIFS('NSE - Other Index Options'!$L:$L,'NSE - Other Index Options'!$C:$C,$A99,'NSE - Other Index Options'!$B:$B,C$4))</f>
        <v/>
      </c>
      <c r="D99" s="26" t="str">
        <f>IF(SUMIFS('NSE - NIFTY Index Options'!$L:$L,'NSE - NIFTY Index Options'!$C:$C,$A99,'NSE - NIFTY Index Options'!$B:$B,D$4)+SUMIFS('NSE - Other Index Options'!$L:$L,'NSE - Other Index Options'!$C:$C,$A99,'NSE - Other Index Options'!$B:$B,D$4)=0,"",SUMIFS('NSE - NIFTY Index Options'!$L:$L,'NSE - NIFTY Index Options'!$C:$C,$A99,'NSE - NIFTY Index Options'!$B:$B,D$4)+SUMIFS('NSE - Other Index Options'!$L:$L,'NSE - Other Index Options'!$C:$C,$A99,'NSE - Other Index Options'!$B:$B,D$4))</f>
        <v/>
      </c>
      <c r="E99" s="26" t="str">
        <f>IF(SUMIFS('NSE - NIFTY Index Options'!$L:$L,'NSE - NIFTY Index Options'!$C:$C,$A99,'NSE - NIFTY Index Options'!$B:$B,E$4)+SUMIFS('NSE - Other Index Options'!$L:$L,'NSE - Other Index Options'!$C:$C,$A99,'NSE - Other Index Options'!$B:$B,E$4)=0,"",SUMIFS('NSE - NIFTY Index Options'!$L:$L,'NSE - NIFTY Index Options'!$C:$C,$A99,'NSE - NIFTY Index Options'!$B:$B,E$4)+SUMIFS('NSE - Other Index Options'!$L:$L,'NSE - Other Index Options'!$C:$C,$A99,'NSE - Other Index Options'!$B:$B,E$4))</f>
        <v/>
      </c>
      <c r="F99" s="26" t="str">
        <f>IF(SUMIFS('NSE - NIFTY Index Options'!$L:$L,'NSE - NIFTY Index Options'!$C:$C,$A99,'NSE - NIFTY Index Options'!$B:$B,F$4)+SUMIFS('NSE - Other Index Options'!$L:$L,'NSE - Other Index Options'!$C:$C,$A99,'NSE - Other Index Options'!$B:$B,F$4)=0,"",SUMIFS('NSE - NIFTY Index Options'!$L:$L,'NSE - NIFTY Index Options'!$C:$C,$A99,'NSE - NIFTY Index Options'!$B:$B,F$4)+SUMIFS('NSE - Other Index Options'!$L:$L,'NSE - Other Index Options'!$C:$C,$A99,'NSE - Other Index Options'!$B:$B,F$4))</f>
        <v/>
      </c>
      <c r="G99" s="26" t="str">
        <f>IF(SUMIFS('NSE - NIFTY Index Options'!$L:$L,'NSE - NIFTY Index Options'!$C:$C,$A99,'NSE - NIFTY Index Options'!$B:$B,G$4)+SUMIFS('NSE - Other Index Options'!$L:$L,'NSE - Other Index Options'!$C:$C,$A99,'NSE - Other Index Options'!$B:$B,G$4)=0,"",SUMIFS('NSE - NIFTY Index Options'!$L:$L,'NSE - NIFTY Index Options'!$C:$C,$A99,'NSE - NIFTY Index Options'!$B:$B,G$4)+SUMIFS('NSE - Other Index Options'!$L:$L,'NSE - Other Index Options'!$C:$C,$A99,'NSE - Other Index Options'!$B:$B,G$4))</f>
        <v/>
      </c>
      <c r="H99" s="26" t="str">
        <f t="shared" si="2"/>
        <v/>
      </c>
    </row>
    <row r="100" spans="1:8" hidden="1" outlineLevel="1">
      <c r="A100" t="s">
        <v>105</v>
      </c>
      <c r="B100" s="26" t="str">
        <f>IF(SUMIFS('NSE - NIFTY Index Options'!$L:$L,'NSE - NIFTY Index Options'!$C:$C,$A100,'NSE - NIFTY Index Options'!$B:$B,B$4)+SUMIFS('NSE - Other Index Options'!$L:$L,'NSE - Other Index Options'!$C:$C,$A100,'NSE - Other Index Options'!$B:$B,B$4)=0,"",SUMIFS('NSE - NIFTY Index Options'!$L:$L,'NSE - NIFTY Index Options'!$C:$C,$A100,'NSE - NIFTY Index Options'!$B:$B,B$4)+SUMIFS('NSE - Other Index Options'!$L:$L,'NSE - Other Index Options'!$C:$C,$A100,'NSE - Other Index Options'!$B:$B,B$4))</f>
        <v/>
      </c>
      <c r="C100" s="26" t="str">
        <f>IF(SUMIFS('NSE - NIFTY Index Options'!$L:$L,'NSE - NIFTY Index Options'!$C:$C,$A100,'NSE - NIFTY Index Options'!$B:$B,C$4)+SUMIFS('NSE - Other Index Options'!$L:$L,'NSE - Other Index Options'!$C:$C,$A100,'NSE - Other Index Options'!$B:$B,C$4)=0,"",SUMIFS('NSE - NIFTY Index Options'!$L:$L,'NSE - NIFTY Index Options'!$C:$C,$A100,'NSE - NIFTY Index Options'!$B:$B,C$4)+SUMIFS('NSE - Other Index Options'!$L:$L,'NSE - Other Index Options'!$C:$C,$A100,'NSE - Other Index Options'!$B:$B,C$4))</f>
        <v/>
      </c>
      <c r="D100" s="26" t="str">
        <f>IF(SUMIFS('NSE - NIFTY Index Options'!$L:$L,'NSE - NIFTY Index Options'!$C:$C,$A100,'NSE - NIFTY Index Options'!$B:$B,D$4)+SUMIFS('NSE - Other Index Options'!$L:$L,'NSE - Other Index Options'!$C:$C,$A100,'NSE - Other Index Options'!$B:$B,D$4)=0,"",SUMIFS('NSE - NIFTY Index Options'!$L:$L,'NSE - NIFTY Index Options'!$C:$C,$A100,'NSE - NIFTY Index Options'!$B:$B,D$4)+SUMIFS('NSE - Other Index Options'!$L:$L,'NSE - Other Index Options'!$C:$C,$A100,'NSE - Other Index Options'!$B:$B,D$4))</f>
        <v/>
      </c>
      <c r="E100" s="26" t="str">
        <f>IF(SUMIFS('NSE - NIFTY Index Options'!$L:$L,'NSE - NIFTY Index Options'!$C:$C,$A100,'NSE - NIFTY Index Options'!$B:$B,E$4)+SUMIFS('NSE - Other Index Options'!$L:$L,'NSE - Other Index Options'!$C:$C,$A100,'NSE - Other Index Options'!$B:$B,E$4)=0,"",SUMIFS('NSE - NIFTY Index Options'!$L:$L,'NSE - NIFTY Index Options'!$C:$C,$A100,'NSE - NIFTY Index Options'!$B:$B,E$4)+SUMIFS('NSE - Other Index Options'!$L:$L,'NSE - Other Index Options'!$C:$C,$A100,'NSE - Other Index Options'!$B:$B,E$4))</f>
        <v/>
      </c>
      <c r="F100" s="26" t="str">
        <f>IF(SUMIFS('NSE - NIFTY Index Options'!$L:$L,'NSE - NIFTY Index Options'!$C:$C,$A100,'NSE - NIFTY Index Options'!$B:$B,F$4)+SUMIFS('NSE - Other Index Options'!$L:$L,'NSE - Other Index Options'!$C:$C,$A100,'NSE - Other Index Options'!$B:$B,F$4)=0,"",SUMIFS('NSE - NIFTY Index Options'!$L:$L,'NSE - NIFTY Index Options'!$C:$C,$A100,'NSE - NIFTY Index Options'!$B:$B,F$4)+SUMIFS('NSE - Other Index Options'!$L:$L,'NSE - Other Index Options'!$C:$C,$A100,'NSE - Other Index Options'!$B:$B,F$4))</f>
        <v/>
      </c>
      <c r="G100" s="26" t="str">
        <f>IF(SUMIFS('NSE - NIFTY Index Options'!$L:$L,'NSE - NIFTY Index Options'!$C:$C,$A100,'NSE - NIFTY Index Options'!$B:$B,G$4)+SUMIFS('NSE - Other Index Options'!$L:$L,'NSE - Other Index Options'!$C:$C,$A100,'NSE - Other Index Options'!$B:$B,G$4)=0,"",SUMIFS('NSE - NIFTY Index Options'!$L:$L,'NSE - NIFTY Index Options'!$C:$C,$A100,'NSE - NIFTY Index Options'!$B:$B,G$4)+SUMIFS('NSE - Other Index Options'!$L:$L,'NSE - Other Index Options'!$C:$C,$A100,'NSE - Other Index Options'!$B:$B,G$4))</f>
        <v/>
      </c>
      <c r="H100" s="26" t="str">
        <f t="shared" si="2"/>
        <v/>
      </c>
    </row>
    <row r="101" spans="1:8" hidden="1" outlineLevel="1">
      <c r="A101" t="s">
        <v>106</v>
      </c>
      <c r="B101" s="26" t="str">
        <f>IF(SUMIFS('NSE - NIFTY Index Options'!$L:$L,'NSE - NIFTY Index Options'!$C:$C,$A101,'NSE - NIFTY Index Options'!$B:$B,B$4)+SUMIFS('NSE - Other Index Options'!$L:$L,'NSE - Other Index Options'!$C:$C,$A101,'NSE - Other Index Options'!$B:$B,B$4)=0,"",SUMIFS('NSE - NIFTY Index Options'!$L:$L,'NSE - NIFTY Index Options'!$C:$C,$A101,'NSE - NIFTY Index Options'!$B:$B,B$4)+SUMIFS('NSE - Other Index Options'!$L:$L,'NSE - Other Index Options'!$C:$C,$A101,'NSE - Other Index Options'!$B:$B,B$4))</f>
        <v/>
      </c>
      <c r="C101" s="26" t="str">
        <f>IF(SUMIFS('NSE - NIFTY Index Options'!$L:$L,'NSE - NIFTY Index Options'!$C:$C,$A101,'NSE - NIFTY Index Options'!$B:$B,C$4)+SUMIFS('NSE - Other Index Options'!$L:$L,'NSE - Other Index Options'!$C:$C,$A101,'NSE - Other Index Options'!$B:$B,C$4)=0,"",SUMIFS('NSE - NIFTY Index Options'!$L:$L,'NSE - NIFTY Index Options'!$C:$C,$A101,'NSE - NIFTY Index Options'!$B:$B,C$4)+SUMIFS('NSE - Other Index Options'!$L:$L,'NSE - Other Index Options'!$C:$C,$A101,'NSE - Other Index Options'!$B:$B,C$4))</f>
        <v/>
      </c>
      <c r="D101" s="26" t="str">
        <f>IF(SUMIFS('NSE - NIFTY Index Options'!$L:$L,'NSE - NIFTY Index Options'!$C:$C,$A101,'NSE - NIFTY Index Options'!$B:$B,D$4)+SUMIFS('NSE - Other Index Options'!$L:$L,'NSE - Other Index Options'!$C:$C,$A101,'NSE - Other Index Options'!$B:$B,D$4)=0,"",SUMIFS('NSE - NIFTY Index Options'!$L:$L,'NSE - NIFTY Index Options'!$C:$C,$A101,'NSE - NIFTY Index Options'!$B:$B,D$4)+SUMIFS('NSE - Other Index Options'!$L:$L,'NSE - Other Index Options'!$C:$C,$A101,'NSE - Other Index Options'!$B:$B,D$4))</f>
        <v/>
      </c>
      <c r="E101" s="26" t="str">
        <f>IF(SUMIFS('NSE - NIFTY Index Options'!$L:$L,'NSE - NIFTY Index Options'!$C:$C,$A101,'NSE - NIFTY Index Options'!$B:$B,E$4)+SUMIFS('NSE - Other Index Options'!$L:$L,'NSE - Other Index Options'!$C:$C,$A101,'NSE - Other Index Options'!$B:$B,E$4)=0,"",SUMIFS('NSE - NIFTY Index Options'!$L:$L,'NSE - NIFTY Index Options'!$C:$C,$A101,'NSE - NIFTY Index Options'!$B:$B,E$4)+SUMIFS('NSE - Other Index Options'!$L:$L,'NSE - Other Index Options'!$C:$C,$A101,'NSE - Other Index Options'!$B:$B,E$4))</f>
        <v/>
      </c>
      <c r="F101" s="26" t="str">
        <f>IF(SUMIFS('NSE - NIFTY Index Options'!$L:$L,'NSE - NIFTY Index Options'!$C:$C,$A101,'NSE - NIFTY Index Options'!$B:$B,F$4)+SUMIFS('NSE - Other Index Options'!$L:$L,'NSE - Other Index Options'!$C:$C,$A101,'NSE - Other Index Options'!$B:$B,F$4)=0,"",SUMIFS('NSE - NIFTY Index Options'!$L:$L,'NSE - NIFTY Index Options'!$C:$C,$A101,'NSE - NIFTY Index Options'!$B:$B,F$4)+SUMIFS('NSE - Other Index Options'!$L:$L,'NSE - Other Index Options'!$C:$C,$A101,'NSE - Other Index Options'!$B:$B,F$4))</f>
        <v/>
      </c>
      <c r="G101" s="26" t="str">
        <f>IF(SUMIFS('NSE - NIFTY Index Options'!$L:$L,'NSE - NIFTY Index Options'!$C:$C,$A101,'NSE - NIFTY Index Options'!$B:$B,G$4)+SUMIFS('NSE - Other Index Options'!$L:$L,'NSE - Other Index Options'!$C:$C,$A101,'NSE - Other Index Options'!$B:$B,G$4)=0,"",SUMIFS('NSE - NIFTY Index Options'!$L:$L,'NSE - NIFTY Index Options'!$C:$C,$A101,'NSE - NIFTY Index Options'!$B:$B,G$4)+SUMIFS('NSE - Other Index Options'!$L:$L,'NSE - Other Index Options'!$C:$C,$A101,'NSE - Other Index Options'!$B:$B,G$4))</f>
        <v/>
      </c>
      <c r="H101" s="26" t="str">
        <f t="shared" ref="H101:H132" si="3">IF(SUM(B101:G101)=0,"",SUM(B101:G101))</f>
        <v/>
      </c>
    </row>
    <row r="102" spans="1:8" hidden="1" outlineLevel="1">
      <c r="A102" t="s">
        <v>107</v>
      </c>
      <c r="B102" s="26" t="str">
        <f>IF(SUMIFS('NSE - NIFTY Index Options'!$L:$L,'NSE - NIFTY Index Options'!$C:$C,$A102,'NSE - NIFTY Index Options'!$B:$B,B$4)+SUMIFS('NSE - Other Index Options'!$L:$L,'NSE - Other Index Options'!$C:$C,$A102,'NSE - Other Index Options'!$B:$B,B$4)=0,"",SUMIFS('NSE - NIFTY Index Options'!$L:$L,'NSE - NIFTY Index Options'!$C:$C,$A102,'NSE - NIFTY Index Options'!$B:$B,B$4)+SUMIFS('NSE - Other Index Options'!$L:$L,'NSE - Other Index Options'!$C:$C,$A102,'NSE - Other Index Options'!$B:$B,B$4))</f>
        <v/>
      </c>
      <c r="C102" s="26" t="str">
        <f>IF(SUMIFS('NSE - NIFTY Index Options'!$L:$L,'NSE - NIFTY Index Options'!$C:$C,$A102,'NSE - NIFTY Index Options'!$B:$B,C$4)+SUMIFS('NSE - Other Index Options'!$L:$L,'NSE - Other Index Options'!$C:$C,$A102,'NSE - Other Index Options'!$B:$B,C$4)=0,"",SUMIFS('NSE - NIFTY Index Options'!$L:$L,'NSE - NIFTY Index Options'!$C:$C,$A102,'NSE - NIFTY Index Options'!$B:$B,C$4)+SUMIFS('NSE - Other Index Options'!$L:$L,'NSE - Other Index Options'!$C:$C,$A102,'NSE - Other Index Options'!$B:$B,C$4))</f>
        <v/>
      </c>
      <c r="D102" s="26" t="str">
        <f>IF(SUMIFS('NSE - NIFTY Index Options'!$L:$L,'NSE - NIFTY Index Options'!$C:$C,$A102,'NSE - NIFTY Index Options'!$B:$B,D$4)+SUMIFS('NSE - Other Index Options'!$L:$L,'NSE - Other Index Options'!$C:$C,$A102,'NSE - Other Index Options'!$B:$B,D$4)=0,"",SUMIFS('NSE - NIFTY Index Options'!$L:$L,'NSE - NIFTY Index Options'!$C:$C,$A102,'NSE - NIFTY Index Options'!$B:$B,D$4)+SUMIFS('NSE - Other Index Options'!$L:$L,'NSE - Other Index Options'!$C:$C,$A102,'NSE - Other Index Options'!$B:$B,D$4))</f>
        <v/>
      </c>
      <c r="E102" s="26" t="str">
        <f>IF(SUMIFS('NSE - NIFTY Index Options'!$L:$L,'NSE - NIFTY Index Options'!$C:$C,$A102,'NSE - NIFTY Index Options'!$B:$B,E$4)+SUMIFS('NSE - Other Index Options'!$L:$L,'NSE - Other Index Options'!$C:$C,$A102,'NSE - Other Index Options'!$B:$B,E$4)=0,"",SUMIFS('NSE - NIFTY Index Options'!$L:$L,'NSE - NIFTY Index Options'!$C:$C,$A102,'NSE - NIFTY Index Options'!$B:$B,E$4)+SUMIFS('NSE - Other Index Options'!$L:$L,'NSE - Other Index Options'!$C:$C,$A102,'NSE - Other Index Options'!$B:$B,E$4))</f>
        <v/>
      </c>
      <c r="F102" s="26" t="str">
        <f>IF(SUMIFS('NSE - NIFTY Index Options'!$L:$L,'NSE - NIFTY Index Options'!$C:$C,$A102,'NSE - NIFTY Index Options'!$B:$B,F$4)+SUMIFS('NSE - Other Index Options'!$L:$L,'NSE - Other Index Options'!$C:$C,$A102,'NSE - Other Index Options'!$B:$B,F$4)=0,"",SUMIFS('NSE - NIFTY Index Options'!$L:$L,'NSE - NIFTY Index Options'!$C:$C,$A102,'NSE - NIFTY Index Options'!$B:$B,F$4)+SUMIFS('NSE - Other Index Options'!$L:$L,'NSE - Other Index Options'!$C:$C,$A102,'NSE - Other Index Options'!$B:$B,F$4))</f>
        <v/>
      </c>
      <c r="G102" s="26" t="str">
        <f>IF(SUMIFS('NSE - NIFTY Index Options'!$L:$L,'NSE - NIFTY Index Options'!$C:$C,$A102,'NSE - NIFTY Index Options'!$B:$B,G$4)+SUMIFS('NSE - Other Index Options'!$L:$L,'NSE - Other Index Options'!$C:$C,$A102,'NSE - Other Index Options'!$B:$B,G$4)=0,"",SUMIFS('NSE - NIFTY Index Options'!$L:$L,'NSE - NIFTY Index Options'!$C:$C,$A102,'NSE - NIFTY Index Options'!$B:$B,G$4)+SUMIFS('NSE - Other Index Options'!$L:$L,'NSE - Other Index Options'!$C:$C,$A102,'NSE - Other Index Options'!$B:$B,G$4))</f>
        <v/>
      </c>
      <c r="H102" s="26" t="str">
        <f t="shared" si="3"/>
        <v/>
      </c>
    </row>
    <row r="103" spans="1:8" hidden="1" outlineLevel="1">
      <c r="A103" t="s">
        <v>108</v>
      </c>
      <c r="B103" s="26" t="str">
        <f>IF(SUMIFS('NSE - NIFTY Index Options'!$L:$L,'NSE - NIFTY Index Options'!$C:$C,$A103,'NSE - NIFTY Index Options'!$B:$B,B$4)+SUMIFS('NSE - Other Index Options'!$L:$L,'NSE - Other Index Options'!$C:$C,$A103,'NSE - Other Index Options'!$B:$B,B$4)=0,"",SUMIFS('NSE - NIFTY Index Options'!$L:$L,'NSE - NIFTY Index Options'!$C:$C,$A103,'NSE - NIFTY Index Options'!$B:$B,B$4)+SUMIFS('NSE - Other Index Options'!$L:$L,'NSE - Other Index Options'!$C:$C,$A103,'NSE - Other Index Options'!$B:$B,B$4))</f>
        <v/>
      </c>
      <c r="C103" s="26" t="str">
        <f>IF(SUMIFS('NSE - NIFTY Index Options'!$L:$L,'NSE - NIFTY Index Options'!$C:$C,$A103,'NSE - NIFTY Index Options'!$B:$B,C$4)+SUMIFS('NSE - Other Index Options'!$L:$L,'NSE - Other Index Options'!$C:$C,$A103,'NSE - Other Index Options'!$B:$B,C$4)=0,"",SUMIFS('NSE - NIFTY Index Options'!$L:$L,'NSE - NIFTY Index Options'!$C:$C,$A103,'NSE - NIFTY Index Options'!$B:$B,C$4)+SUMIFS('NSE - Other Index Options'!$L:$L,'NSE - Other Index Options'!$C:$C,$A103,'NSE - Other Index Options'!$B:$B,C$4))</f>
        <v/>
      </c>
      <c r="D103" s="26" t="str">
        <f>IF(SUMIFS('NSE - NIFTY Index Options'!$L:$L,'NSE - NIFTY Index Options'!$C:$C,$A103,'NSE - NIFTY Index Options'!$B:$B,D$4)+SUMIFS('NSE - Other Index Options'!$L:$L,'NSE - Other Index Options'!$C:$C,$A103,'NSE - Other Index Options'!$B:$B,D$4)=0,"",SUMIFS('NSE - NIFTY Index Options'!$L:$L,'NSE - NIFTY Index Options'!$C:$C,$A103,'NSE - NIFTY Index Options'!$B:$B,D$4)+SUMIFS('NSE - Other Index Options'!$L:$L,'NSE - Other Index Options'!$C:$C,$A103,'NSE - Other Index Options'!$B:$B,D$4))</f>
        <v/>
      </c>
      <c r="E103" s="26" t="str">
        <f>IF(SUMIFS('NSE - NIFTY Index Options'!$L:$L,'NSE - NIFTY Index Options'!$C:$C,$A103,'NSE - NIFTY Index Options'!$B:$B,E$4)+SUMIFS('NSE - Other Index Options'!$L:$L,'NSE - Other Index Options'!$C:$C,$A103,'NSE - Other Index Options'!$B:$B,E$4)=0,"",SUMIFS('NSE - NIFTY Index Options'!$L:$L,'NSE - NIFTY Index Options'!$C:$C,$A103,'NSE - NIFTY Index Options'!$B:$B,E$4)+SUMIFS('NSE - Other Index Options'!$L:$L,'NSE - Other Index Options'!$C:$C,$A103,'NSE - Other Index Options'!$B:$B,E$4))</f>
        <v/>
      </c>
      <c r="F103" s="26" t="str">
        <f>IF(SUMIFS('NSE - NIFTY Index Options'!$L:$L,'NSE - NIFTY Index Options'!$C:$C,$A103,'NSE - NIFTY Index Options'!$B:$B,F$4)+SUMIFS('NSE - Other Index Options'!$L:$L,'NSE - Other Index Options'!$C:$C,$A103,'NSE - Other Index Options'!$B:$B,F$4)=0,"",SUMIFS('NSE - NIFTY Index Options'!$L:$L,'NSE - NIFTY Index Options'!$C:$C,$A103,'NSE - NIFTY Index Options'!$B:$B,F$4)+SUMIFS('NSE - Other Index Options'!$L:$L,'NSE - Other Index Options'!$C:$C,$A103,'NSE - Other Index Options'!$B:$B,F$4))</f>
        <v/>
      </c>
      <c r="G103" s="26" t="str">
        <f>IF(SUMIFS('NSE - NIFTY Index Options'!$L:$L,'NSE - NIFTY Index Options'!$C:$C,$A103,'NSE - NIFTY Index Options'!$B:$B,G$4)+SUMIFS('NSE - Other Index Options'!$L:$L,'NSE - Other Index Options'!$C:$C,$A103,'NSE - Other Index Options'!$B:$B,G$4)=0,"",SUMIFS('NSE - NIFTY Index Options'!$L:$L,'NSE - NIFTY Index Options'!$C:$C,$A103,'NSE - NIFTY Index Options'!$B:$B,G$4)+SUMIFS('NSE - Other Index Options'!$L:$L,'NSE - Other Index Options'!$C:$C,$A103,'NSE - Other Index Options'!$B:$B,G$4))</f>
        <v/>
      </c>
      <c r="H103" s="26" t="str">
        <f t="shared" si="3"/>
        <v/>
      </c>
    </row>
    <row r="104" spans="1:8" hidden="1" outlineLevel="1">
      <c r="A104" t="s">
        <v>109</v>
      </c>
      <c r="B104" s="26" t="str">
        <f>IF(SUMIFS('NSE - NIFTY Index Options'!$L:$L,'NSE - NIFTY Index Options'!$C:$C,$A104,'NSE - NIFTY Index Options'!$B:$B,B$4)+SUMIFS('NSE - Other Index Options'!$L:$L,'NSE - Other Index Options'!$C:$C,$A104,'NSE - Other Index Options'!$B:$B,B$4)=0,"",SUMIFS('NSE - NIFTY Index Options'!$L:$L,'NSE - NIFTY Index Options'!$C:$C,$A104,'NSE - NIFTY Index Options'!$B:$B,B$4)+SUMIFS('NSE - Other Index Options'!$L:$L,'NSE - Other Index Options'!$C:$C,$A104,'NSE - Other Index Options'!$B:$B,B$4))</f>
        <v/>
      </c>
      <c r="C104" s="26" t="str">
        <f>IF(SUMIFS('NSE - NIFTY Index Options'!$L:$L,'NSE - NIFTY Index Options'!$C:$C,$A104,'NSE - NIFTY Index Options'!$B:$B,C$4)+SUMIFS('NSE - Other Index Options'!$L:$L,'NSE - Other Index Options'!$C:$C,$A104,'NSE - Other Index Options'!$B:$B,C$4)=0,"",SUMIFS('NSE - NIFTY Index Options'!$L:$L,'NSE - NIFTY Index Options'!$C:$C,$A104,'NSE - NIFTY Index Options'!$B:$B,C$4)+SUMIFS('NSE - Other Index Options'!$L:$L,'NSE - Other Index Options'!$C:$C,$A104,'NSE - Other Index Options'!$B:$B,C$4))</f>
        <v/>
      </c>
      <c r="D104" s="26" t="str">
        <f>IF(SUMIFS('NSE - NIFTY Index Options'!$L:$L,'NSE - NIFTY Index Options'!$C:$C,$A104,'NSE - NIFTY Index Options'!$B:$B,D$4)+SUMIFS('NSE - Other Index Options'!$L:$L,'NSE - Other Index Options'!$C:$C,$A104,'NSE - Other Index Options'!$B:$B,D$4)=0,"",SUMIFS('NSE - NIFTY Index Options'!$L:$L,'NSE - NIFTY Index Options'!$C:$C,$A104,'NSE - NIFTY Index Options'!$B:$B,D$4)+SUMIFS('NSE - Other Index Options'!$L:$L,'NSE - Other Index Options'!$C:$C,$A104,'NSE - Other Index Options'!$B:$B,D$4))</f>
        <v/>
      </c>
      <c r="E104" s="26" t="str">
        <f>IF(SUMIFS('NSE - NIFTY Index Options'!$L:$L,'NSE - NIFTY Index Options'!$C:$C,$A104,'NSE - NIFTY Index Options'!$B:$B,E$4)+SUMIFS('NSE - Other Index Options'!$L:$L,'NSE - Other Index Options'!$C:$C,$A104,'NSE - Other Index Options'!$B:$B,E$4)=0,"",SUMIFS('NSE - NIFTY Index Options'!$L:$L,'NSE - NIFTY Index Options'!$C:$C,$A104,'NSE - NIFTY Index Options'!$B:$B,E$4)+SUMIFS('NSE - Other Index Options'!$L:$L,'NSE - Other Index Options'!$C:$C,$A104,'NSE - Other Index Options'!$B:$B,E$4))</f>
        <v/>
      </c>
      <c r="F104" s="26" t="str">
        <f>IF(SUMIFS('NSE - NIFTY Index Options'!$L:$L,'NSE - NIFTY Index Options'!$C:$C,$A104,'NSE - NIFTY Index Options'!$B:$B,F$4)+SUMIFS('NSE - Other Index Options'!$L:$L,'NSE - Other Index Options'!$C:$C,$A104,'NSE - Other Index Options'!$B:$B,F$4)=0,"",SUMIFS('NSE - NIFTY Index Options'!$L:$L,'NSE - NIFTY Index Options'!$C:$C,$A104,'NSE - NIFTY Index Options'!$B:$B,F$4)+SUMIFS('NSE - Other Index Options'!$L:$L,'NSE - Other Index Options'!$C:$C,$A104,'NSE - Other Index Options'!$B:$B,F$4))</f>
        <v/>
      </c>
      <c r="G104" s="26" t="str">
        <f>IF(SUMIFS('NSE - NIFTY Index Options'!$L:$L,'NSE - NIFTY Index Options'!$C:$C,$A104,'NSE - NIFTY Index Options'!$B:$B,G$4)+SUMIFS('NSE - Other Index Options'!$L:$L,'NSE - Other Index Options'!$C:$C,$A104,'NSE - Other Index Options'!$B:$B,G$4)=0,"",SUMIFS('NSE - NIFTY Index Options'!$L:$L,'NSE - NIFTY Index Options'!$C:$C,$A104,'NSE - NIFTY Index Options'!$B:$B,G$4)+SUMIFS('NSE - Other Index Options'!$L:$L,'NSE - Other Index Options'!$C:$C,$A104,'NSE - Other Index Options'!$B:$B,G$4))</f>
        <v/>
      </c>
      <c r="H104" s="26" t="str">
        <f t="shared" si="3"/>
        <v/>
      </c>
    </row>
    <row r="105" spans="1:8" hidden="1" outlineLevel="1">
      <c r="A105" t="s">
        <v>110</v>
      </c>
      <c r="B105" s="26" t="str">
        <f>IF(SUMIFS('NSE - NIFTY Index Options'!$L:$L,'NSE - NIFTY Index Options'!$C:$C,$A105,'NSE - NIFTY Index Options'!$B:$B,B$4)+SUMIFS('NSE - Other Index Options'!$L:$L,'NSE - Other Index Options'!$C:$C,$A105,'NSE - Other Index Options'!$B:$B,B$4)=0,"",SUMIFS('NSE - NIFTY Index Options'!$L:$L,'NSE - NIFTY Index Options'!$C:$C,$A105,'NSE - NIFTY Index Options'!$B:$B,B$4)+SUMIFS('NSE - Other Index Options'!$L:$L,'NSE - Other Index Options'!$C:$C,$A105,'NSE - Other Index Options'!$B:$B,B$4))</f>
        <v/>
      </c>
      <c r="C105" s="26" t="str">
        <f>IF(SUMIFS('NSE - NIFTY Index Options'!$L:$L,'NSE - NIFTY Index Options'!$C:$C,$A105,'NSE - NIFTY Index Options'!$B:$B,C$4)+SUMIFS('NSE - Other Index Options'!$L:$L,'NSE - Other Index Options'!$C:$C,$A105,'NSE - Other Index Options'!$B:$B,C$4)=0,"",SUMIFS('NSE - NIFTY Index Options'!$L:$L,'NSE - NIFTY Index Options'!$C:$C,$A105,'NSE - NIFTY Index Options'!$B:$B,C$4)+SUMIFS('NSE - Other Index Options'!$L:$L,'NSE - Other Index Options'!$C:$C,$A105,'NSE - Other Index Options'!$B:$B,C$4))</f>
        <v/>
      </c>
      <c r="D105" s="26" t="str">
        <f>IF(SUMIFS('NSE - NIFTY Index Options'!$L:$L,'NSE - NIFTY Index Options'!$C:$C,$A105,'NSE - NIFTY Index Options'!$B:$B,D$4)+SUMIFS('NSE - Other Index Options'!$L:$L,'NSE - Other Index Options'!$C:$C,$A105,'NSE - Other Index Options'!$B:$B,D$4)=0,"",SUMIFS('NSE - NIFTY Index Options'!$L:$L,'NSE - NIFTY Index Options'!$C:$C,$A105,'NSE - NIFTY Index Options'!$B:$B,D$4)+SUMIFS('NSE - Other Index Options'!$L:$L,'NSE - Other Index Options'!$C:$C,$A105,'NSE - Other Index Options'!$B:$B,D$4))</f>
        <v/>
      </c>
      <c r="E105" s="26" t="str">
        <f>IF(SUMIFS('NSE - NIFTY Index Options'!$L:$L,'NSE - NIFTY Index Options'!$C:$C,$A105,'NSE - NIFTY Index Options'!$B:$B,E$4)+SUMIFS('NSE - Other Index Options'!$L:$L,'NSE - Other Index Options'!$C:$C,$A105,'NSE - Other Index Options'!$B:$B,E$4)=0,"",SUMIFS('NSE - NIFTY Index Options'!$L:$L,'NSE - NIFTY Index Options'!$C:$C,$A105,'NSE - NIFTY Index Options'!$B:$B,E$4)+SUMIFS('NSE - Other Index Options'!$L:$L,'NSE - Other Index Options'!$C:$C,$A105,'NSE - Other Index Options'!$B:$B,E$4))</f>
        <v/>
      </c>
      <c r="F105" s="26" t="str">
        <f>IF(SUMIFS('NSE - NIFTY Index Options'!$L:$L,'NSE - NIFTY Index Options'!$C:$C,$A105,'NSE - NIFTY Index Options'!$B:$B,F$4)+SUMIFS('NSE - Other Index Options'!$L:$L,'NSE - Other Index Options'!$C:$C,$A105,'NSE - Other Index Options'!$B:$B,F$4)=0,"",SUMIFS('NSE - NIFTY Index Options'!$L:$L,'NSE - NIFTY Index Options'!$C:$C,$A105,'NSE - NIFTY Index Options'!$B:$B,F$4)+SUMIFS('NSE - Other Index Options'!$L:$L,'NSE - Other Index Options'!$C:$C,$A105,'NSE - Other Index Options'!$B:$B,F$4))</f>
        <v/>
      </c>
      <c r="G105" s="26" t="str">
        <f>IF(SUMIFS('NSE - NIFTY Index Options'!$L:$L,'NSE - NIFTY Index Options'!$C:$C,$A105,'NSE - NIFTY Index Options'!$B:$B,G$4)+SUMIFS('NSE - Other Index Options'!$L:$L,'NSE - Other Index Options'!$C:$C,$A105,'NSE - Other Index Options'!$B:$B,G$4)=0,"",SUMIFS('NSE - NIFTY Index Options'!$L:$L,'NSE - NIFTY Index Options'!$C:$C,$A105,'NSE - NIFTY Index Options'!$B:$B,G$4)+SUMIFS('NSE - Other Index Options'!$L:$L,'NSE - Other Index Options'!$C:$C,$A105,'NSE - Other Index Options'!$B:$B,G$4))</f>
        <v/>
      </c>
      <c r="H105" s="26" t="str">
        <f t="shared" si="3"/>
        <v/>
      </c>
    </row>
    <row r="106" spans="1:8" hidden="1" outlineLevel="1">
      <c r="A106" t="s">
        <v>111</v>
      </c>
      <c r="B106" s="26" t="str">
        <f>IF(SUMIFS('NSE - NIFTY Index Options'!$L:$L,'NSE - NIFTY Index Options'!$C:$C,$A106,'NSE - NIFTY Index Options'!$B:$B,B$4)+SUMIFS('NSE - Other Index Options'!$L:$L,'NSE - Other Index Options'!$C:$C,$A106,'NSE - Other Index Options'!$B:$B,B$4)=0,"",SUMIFS('NSE - NIFTY Index Options'!$L:$L,'NSE - NIFTY Index Options'!$C:$C,$A106,'NSE - NIFTY Index Options'!$B:$B,B$4)+SUMIFS('NSE - Other Index Options'!$L:$L,'NSE - Other Index Options'!$C:$C,$A106,'NSE - Other Index Options'!$B:$B,B$4))</f>
        <v/>
      </c>
      <c r="C106" s="26" t="str">
        <f>IF(SUMIFS('NSE - NIFTY Index Options'!$L:$L,'NSE - NIFTY Index Options'!$C:$C,$A106,'NSE - NIFTY Index Options'!$B:$B,C$4)+SUMIFS('NSE - Other Index Options'!$L:$L,'NSE - Other Index Options'!$C:$C,$A106,'NSE - Other Index Options'!$B:$B,C$4)=0,"",SUMIFS('NSE - NIFTY Index Options'!$L:$L,'NSE - NIFTY Index Options'!$C:$C,$A106,'NSE - NIFTY Index Options'!$B:$B,C$4)+SUMIFS('NSE - Other Index Options'!$L:$L,'NSE - Other Index Options'!$C:$C,$A106,'NSE - Other Index Options'!$B:$B,C$4))</f>
        <v/>
      </c>
      <c r="D106" s="26" t="str">
        <f>IF(SUMIFS('NSE - NIFTY Index Options'!$L:$L,'NSE - NIFTY Index Options'!$C:$C,$A106,'NSE - NIFTY Index Options'!$B:$B,D$4)+SUMIFS('NSE - Other Index Options'!$L:$L,'NSE - Other Index Options'!$C:$C,$A106,'NSE - Other Index Options'!$B:$B,D$4)=0,"",SUMIFS('NSE - NIFTY Index Options'!$L:$L,'NSE - NIFTY Index Options'!$C:$C,$A106,'NSE - NIFTY Index Options'!$B:$B,D$4)+SUMIFS('NSE - Other Index Options'!$L:$L,'NSE - Other Index Options'!$C:$C,$A106,'NSE - Other Index Options'!$B:$B,D$4))</f>
        <v/>
      </c>
      <c r="E106" s="26" t="str">
        <f>IF(SUMIFS('NSE - NIFTY Index Options'!$L:$L,'NSE - NIFTY Index Options'!$C:$C,$A106,'NSE - NIFTY Index Options'!$B:$B,E$4)+SUMIFS('NSE - Other Index Options'!$L:$L,'NSE - Other Index Options'!$C:$C,$A106,'NSE - Other Index Options'!$B:$B,E$4)=0,"",SUMIFS('NSE - NIFTY Index Options'!$L:$L,'NSE - NIFTY Index Options'!$C:$C,$A106,'NSE - NIFTY Index Options'!$B:$B,E$4)+SUMIFS('NSE - Other Index Options'!$L:$L,'NSE - Other Index Options'!$C:$C,$A106,'NSE - Other Index Options'!$B:$B,E$4))</f>
        <v/>
      </c>
      <c r="F106" s="26" t="str">
        <f>IF(SUMIFS('NSE - NIFTY Index Options'!$L:$L,'NSE - NIFTY Index Options'!$C:$C,$A106,'NSE - NIFTY Index Options'!$B:$B,F$4)+SUMIFS('NSE - Other Index Options'!$L:$L,'NSE - Other Index Options'!$C:$C,$A106,'NSE - Other Index Options'!$B:$B,F$4)=0,"",SUMIFS('NSE - NIFTY Index Options'!$L:$L,'NSE - NIFTY Index Options'!$C:$C,$A106,'NSE - NIFTY Index Options'!$B:$B,F$4)+SUMIFS('NSE - Other Index Options'!$L:$L,'NSE - Other Index Options'!$C:$C,$A106,'NSE - Other Index Options'!$B:$B,F$4))</f>
        <v/>
      </c>
      <c r="G106" s="26" t="str">
        <f>IF(SUMIFS('NSE - NIFTY Index Options'!$L:$L,'NSE - NIFTY Index Options'!$C:$C,$A106,'NSE - NIFTY Index Options'!$B:$B,G$4)+SUMIFS('NSE - Other Index Options'!$L:$L,'NSE - Other Index Options'!$C:$C,$A106,'NSE - Other Index Options'!$B:$B,G$4)=0,"",SUMIFS('NSE - NIFTY Index Options'!$L:$L,'NSE - NIFTY Index Options'!$C:$C,$A106,'NSE - NIFTY Index Options'!$B:$B,G$4)+SUMIFS('NSE - Other Index Options'!$L:$L,'NSE - Other Index Options'!$C:$C,$A106,'NSE - Other Index Options'!$B:$B,G$4))</f>
        <v/>
      </c>
      <c r="H106" s="26" t="str">
        <f t="shared" si="3"/>
        <v/>
      </c>
    </row>
    <row r="107" spans="1:8" hidden="1" outlineLevel="1">
      <c r="A107" t="s">
        <v>112</v>
      </c>
      <c r="B107" s="26" t="str">
        <f>IF(SUMIFS('NSE - NIFTY Index Options'!$L:$L,'NSE - NIFTY Index Options'!$C:$C,$A107,'NSE - NIFTY Index Options'!$B:$B,B$4)+SUMIFS('NSE - Other Index Options'!$L:$L,'NSE - Other Index Options'!$C:$C,$A107,'NSE - Other Index Options'!$B:$B,B$4)=0,"",SUMIFS('NSE - NIFTY Index Options'!$L:$L,'NSE - NIFTY Index Options'!$C:$C,$A107,'NSE - NIFTY Index Options'!$B:$B,B$4)+SUMIFS('NSE - Other Index Options'!$L:$L,'NSE - Other Index Options'!$C:$C,$A107,'NSE - Other Index Options'!$B:$B,B$4))</f>
        <v/>
      </c>
      <c r="C107" s="26" t="str">
        <f>IF(SUMIFS('NSE - NIFTY Index Options'!$L:$L,'NSE - NIFTY Index Options'!$C:$C,$A107,'NSE - NIFTY Index Options'!$B:$B,C$4)+SUMIFS('NSE - Other Index Options'!$L:$L,'NSE - Other Index Options'!$C:$C,$A107,'NSE - Other Index Options'!$B:$B,C$4)=0,"",SUMIFS('NSE - NIFTY Index Options'!$L:$L,'NSE - NIFTY Index Options'!$C:$C,$A107,'NSE - NIFTY Index Options'!$B:$B,C$4)+SUMIFS('NSE - Other Index Options'!$L:$L,'NSE - Other Index Options'!$C:$C,$A107,'NSE - Other Index Options'!$B:$B,C$4))</f>
        <v/>
      </c>
      <c r="D107" s="26" t="str">
        <f>IF(SUMIFS('NSE - NIFTY Index Options'!$L:$L,'NSE - NIFTY Index Options'!$C:$C,$A107,'NSE - NIFTY Index Options'!$B:$B,D$4)+SUMIFS('NSE - Other Index Options'!$L:$L,'NSE - Other Index Options'!$C:$C,$A107,'NSE - Other Index Options'!$B:$B,D$4)=0,"",SUMIFS('NSE - NIFTY Index Options'!$L:$L,'NSE - NIFTY Index Options'!$C:$C,$A107,'NSE - NIFTY Index Options'!$B:$B,D$4)+SUMIFS('NSE - Other Index Options'!$L:$L,'NSE - Other Index Options'!$C:$C,$A107,'NSE - Other Index Options'!$B:$B,D$4))</f>
        <v/>
      </c>
      <c r="E107" s="26" t="str">
        <f>IF(SUMIFS('NSE - NIFTY Index Options'!$L:$L,'NSE - NIFTY Index Options'!$C:$C,$A107,'NSE - NIFTY Index Options'!$B:$B,E$4)+SUMIFS('NSE - Other Index Options'!$L:$L,'NSE - Other Index Options'!$C:$C,$A107,'NSE - Other Index Options'!$B:$B,E$4)=0,"",SUMIFS('NSE - NIFTY Index Options'!$L:$L,'NSE - NIFTY Index Options'!$C:$C,$A107,'NSE - NIFTY Index Options'!$B:$B,E$4)+SUMIFS('NSE - Other Index Options'!$L:$L,'NSE - Other Index Options'!$C:$C,$A107,'NSE - Other Index Options'!$B:$B,E$4))</f>
        <v/>
      </c>
      <c r="F107" s="26" t="str">
        <f>IF(SUMIFS('NSE - NIFTY Index Options'!$L:$L,'NSE - NIFTY Index Options'!$C:$C,$A107,'NSE - NIFTY Index Options'!$B:$B,F$4)+SUMIFS('NSE - Other Index Options'!$L:$L,'NSE - Other Index Options'!$C:$C,$A107,'NSE - Other Index Options'!$B:$B,F$4)=0,"",SUMIFS('NSE - NIFTY Index Options'!$L:$L,'NSE - NIFTY Index Options'!$C:$C,$A107,'NSE - NIFTY Index Options'!$B:$B,F$4)+SUMIFS('NSE - Other Index Options'!$L:$L,'NSE - Other Index Options'!$C:$C,$A107,'NSE - Other Index Options'!$B:$B,F$4))</f>
        <v/>
      </c>
      <c r="G107" s="26" t="str">
        <f>IF(SUMIFS('NSE - NIFTY Index Options'!$L:$L,'NSE - NIFTY Index Options'!$C:$C,$A107,'NSE - NIFTY Index Options'!$B:$B,G$4)+SUMIFS('NSE - Other Index Options'!$L:$L,'NSE - Other Index Options'!$C:$C,$A107,'NSE - Other Index Options'!$B:$B,G$4)=0,"",SUMIFS('NSE - NIFTY Index Options'!$L:$L,'NSE - NIFTY Index Options'!$C:$C,$A107,'NSE - NIFTY Index Options'!$B:$B,G$4)+SUMIFS('NSE - Other Index Options'!$L:$L,'NSE - Other Index Options'!$C:$C,$A107,'NSE - Other Index Options'!$B:$B,G$4))</f>
        <v/>
      </c>
      <c r="H107" s="26" t="str">
        <f t="shared" si="3"/>
        <v/>
      </c>
    </row>
    <row r="108" spans="1:8" hidden="1" outlineLevel="1">
      <c r="A108" t="s">
        <v>113</v>
      </c>
      <c r="B108" s="26" t="str">
        <f>IF(SUMIFS('NSE - NIFTY Index Options'!$L:$L,'NSE - NIFTY Index Options'!$C:$C,$A108,'NSE - NIFTY Index Options'!$B:$B,B$4)+SUMIFS('NSE - Other Index Options'!$L:$L,'NSE - Other Index Options'!$C:$C,$A108,'NSE - Other Index Options'!$B:$B,B$4)=0,"",SUMIFS('NSE - NIFTY Index Options'!$L:$L,'NSE - NIFTY Index Options'!$C:$C,$A108,'NSE - NIFTY Index Options'!$B:$B,B$4)+SUMIFS('NSE - Other Index Options'!$L:$L,'NSE - Other Index Options'!$C:$C,$A108,'NSE - Other Index Options'!$B:$B,B$4))</f>
        <v/>
      </c>
      <c r="C108" s="26" t="str">
        <f>IF(SUMIFS('NSE - NIFTY Index Options'!$L:$L,'NSE - NIFTY Index Options'!$C:$C,$A108,'NSE - NIFTY Index Options'!$B:$B,C$4)+SUMIFS('NSE - Other Index Options'!$L:$L,'NSE - Other Index Options'!$C:$C,$A108,'NSE - Other Index Options'!$B:$B,C$4)=0,"",SUMIFS('NSE - NIFTY Index Options'!$L:$L,'NSE - NIFTY Index Options'!$C:$C,$A108,'NSE - NIFTY Index Options'!$B:$B,C$4)+SUMIFS('NSE - Other Index Options'!$L:$L,'NSE - Other Index Options'!$C:$C,$A108,'NSE - Other Index Options'!$B:$B,C$4))</f>
        <v/>
      </c>
      <c r="D108" s="26" t="str">
        <f>IF(SUMIFS('NSE - NIFTY Index Options'!$L:$L,'NSE - NIFTY Index Options'!$C:$C,$A108,'NSE - NIFTY Index Options'!$B:$B,D$4)+SUMIFS('NSE - Other Index Options'!$L:$L,'NSE - Other Index Options'!$C:$C,$A108,'NSE - Other Index Options'!$B:$B,D$4)=0,"",SUMIFS('NSE - NIFTY Index Options'!$L:$L,'NSE - NIFTY Index Options'!$C:$C,$A108,'NSE - NIFTY Index Options'!$B:$B,D$4)+SUMIFS('NSE - Other Index Options'!$L:$L,'NSE - Other Index Options'!$C:$C,$A108,'NSE - Other Index Options'!$B:$B,D$4))</f>
        <v/>
      </c>
      <c r="E108" s="26" t="str">
        <f>IF(SUMIFS('NSE - NIFTY Index Options'!$L:$L,'NSE - NIFTY Index Options'!$C:$C,$A108,'NSE - NIFTY Index Options'!$B:$B,E$4)+SUMIFS('NSE - Other Index Options'!$L:$L,'NSE - Other Index Options'!$C:$C,$A108,'NSE - Other Index Options'!$B:$B,E$4)=0,"",SUMIFS('NSE - NIFTY Index Options'!$L:$L,'NSE - NIFTY Index Options'!$C:$C,$A108,'NSE - NIFTY Index Options'!$B:$B,E$4)+SUMIFS('NSE - Other Index Options'!$L:$L,'NSE - Other Index Options'!$C:$C,$A108,'NSE - Other Index Options'!$B:$B,E$4))</f>
        <v/>
      </c>
      <c r="F108" s="26" t="str">
        <f>IF(SUMIFS('NSE - NIFTY Index Options'!$L:$L,'NSE - NIFTY Index Options'!$C:$C,$A108,'NSE - NIFTY Index Options'!$B:$B,F$4)+SUMIFS('NSE - Other Index Options'!$L:$L,'NSE - Other Index Options'!$C:$C,$A108,'NSE - Other Index Options'!$B:$B,F$4)=0,"",SUMIFS('NSE - NIFTY Index Options'!$L:$L,'NSE - NIFTY Index Options'!$C:$C,$A108,'NSE - NIFTY Index Options'!$B:$B,F$4)+SUMIFS('NSE - Other Index Options'!$L:$L,'NSE - Other Index Options'!$C:$C,$A108,'NSE - Other Index Options'!$B:$B,F$4))</f>
        <v/>
      </c>
      <c r="G108" s="26" t="str">
        <f>IF(SUMIFS('NSE - NIFTY Index Options'!$L:$L,'NSE - NIFTY Index Options'!$C:$C,$A108,'NSE - NIFTY Index Options'!$B:$B,G$4)+SUMIFS('NSE - Other Index Options'!$L:$L,'NSE - Other Index Options'!$C:$C,$A108,'NSE - Other Index Options'!$B:$B,G$4)=0,"",SUMIFS('NSE - NIFTY Index Options'!$L:$L,'NSE - NIFTY Index Options'!$C:$C,$A108,'NSE - NIFTY Index Options'!$B:$B,G$4)+SUMIFS('NSE - Other Index Options'!$L:$L,'NSE - Other Index Options'!$C:$C,$A108,'NSE - Other Index Options'!$B:$B,G$4))</f>
        <v/>
      </c>
      <c r="H108" s="26" t="str">
        <f t="shared" si="3"/>
        <v/>
      </c>
    </row>
    <row r="109" spans="1:8" hidden="1" outlineLevel="1">
      <c r="A109" t="s">
        <v>114</v>
      </c>
      <c r="B109" s="26" t="str">
        <f>IF(SUMIFS('NSE - NIFTY Index Options'!$L:$L,'NSE - NIFTY Index Options'!$C:$C,$A109,'NSE - NIFTY Index Options'!$B:$B,B$4)+SUMIFS('NSE - Other Index Options'!$L:$L,'NSE - Other Index Options'!$C:$C,$A109,'NSE - Other Index Options'!$B:$B,B$4)=0,"",SUMIFS('NSE - NIFTY Index Options'!$L:$L,'NSE - NIFTY Index Options'!$C:$C,$A109,'NSE - NIFTY Index Options'!$B:$B,B$4)+SUMIFS('NSE - Other Index Options'!$L:$L,'NSE - Other Index Options'!$C:$C,$A109,'NSE - Other Index Options'!$B:$B,B$4))</f>
        <v/>
      </c>
      <c r="C109" s="26" t="str">
        <f>IF(SUMIFS('NSE - NIFTY Index Options'!$L:$L,'NSE - NIFTY Index Options'!$C:$C,$A109,'NSE - NIFTY Index Options'!$B:$B,C$4)+SUMIFS('NSE - Other Index Options'!$L:$L,'NSE - Other Index Options'!$C:$C,$A109,'NSE - Other Index Options'!$B:$B,C$4)=0,"",SUMIFS('NSE - NIFTY Index Options'!$L:$L,'NSE - NIFTY Index Options'!$C:$C,$A109,'NSE - NIFTY Index Options'!$B:$B,C$4)+SUMIFS('NSE - Other Index Options'!$L:$L,'NSE - Other Index Options'!$C:$C,$A109,'NSE - Other Index Options'!$B:$B,C$4))</f>
        <v/>
      </c>
      <c r="D109" s="26" t="str">
        <f>IF(SUMIFS('NSE - NIFTY Index Options'!$L:$L,'NSE - NIFTY Index Options'!$C:$C,$A109,'NSE - NIFTY Index Options'!$B:$B,D$4)+SUMIFS('NSE - Other Index Options'!$L:$L,'NSE - Other Index Options'!$C:$C,$A109,'NSE - Other Index Options'!$B:$B,D$4)=0,"",SUMIFS('NSE - NIFTY Index Options'!$L:$L,'NSE - NIFTY Index Options'!$C:$C,$A109,'NSE - NIFTY Index Options'!$B:$B,D$4)+SUMIFS('NSE - Other Index Options'!$L:$L,'NSE - Other Index Options'!$C:$C,$A109,'NSE - Other Index Options'!$B:$B,D$4))</f>
        <v/>
      </c>
      <c r="E109" s="26" t="str">
        <f>IF(SUMIFS('NSE - NIFTY Index Options'!$L:$L,'NSE - NIFTY Index Options'!$C:$C,$A109,'NSE - NIFTY Index Options'!$B:$B,E$4)+SUMIFS('NSE - Other Index Options'!$L:$L,'NSE - Other Index Options'!$C:$C,$A109,'NSE - Other Index Options'!$B:$B,E$4)=0,"",SUMIFS('NSE - NIFTY Index Options'!$L:$L,'NSE - NIFTY Index Options'!$C:$C,$A109,'NSE - NIFTY Index Options'!$B:$B,E$4)+SUMIFS('NSE - Other Index Options'!$L:$L,'NSE - Other Index Options'!$C:$C,$A109,'NSE - Other Index Options'!$B:$B,E$4))</f>
        <v/>
      </c>
      <c r="F109" s="26" t="str">
        <f>IF(SUMIFS('NSE - NIFTY Index Options'!$L:$L,'NSE - NIFTY Index Options'!$C:$C,$A109,'NSE - NIFTY Index Options'!$B:$B,F$4)+SUMIFS('NSE - Other Index Options'!$L:$L,'NSE - Other Index Options'!$C:$C,$A109,'NSE - Other Index Options'!$B:$B,F$4)=0,"",SUMIFS('NSE - NIFTY Index Options'!$L:$L,'NSE - NIFTY Index Options'!$C:$C,$A109,'NSE - NIFTY Index Options'!$B:$B,F$4)+SUMIFS('NSE - Other Index Options'!$L:$L,'NSE - Other Index Options'!$C:$C,$A109,'NSE - Other Index Options'!$B:$B,F$4))</f>
        <v/>
      </c>
      <c r="G109" s="26" t="str">
        <f>IF(SUMIFS('NSE - NIFTY Index Options'!$L:$L,'NSE - NIFTY Index Options'!$C:$C,$A109,'NSE - NIFTY Index Options'!$B:$B,G$4)+SUMIFS('NSE - Other Index Options'!$L:$L,'NSE - Other Index Options'!$C:$C,$A109,'NSE - Other Index Options'!$B:$B,G$4)=0,"",SUMIFS('NSE - NIFTY Index Options'!$L:$L,'NSE - NIFTY Index Options'!$C:$C,$A109,'NSE - NIFTY Index Options'!$B:$B,G$4)+SUMIFS('NSE - Other Index Options'!$L:$L,'NSE - Other Index Options'!$C:$C,$A109,'NSE - Other Index Options'!$B:$B,G$4))</f>
        <v/>
      </c>
      <c r="H109" s="26" t="str">
        <f t="shared" si="3"/>
        <v/>
      </c>
    </row>
    <row r="110" spans="1:8" hidden="1" outlineLevel="1">
      <c r="A110" t="s">
        <v>115</v>
      </c>
      <c r="B110" s="26" t="str">
        <f>IF(SUMIFS('NSE - NIFTY Index Options'!$L:$L,'NSE - NIFTY Index Options'!$C:$C,$A110,'NSE - NIFTY Index Options'!$B:$B,B$4)+SUMIFS('NSE - Other Index Options'!$L:$L,'NSE - Other Index Options'!$C:$C,$A110,'NSE - Other Index Options'!$B:$B,B$4)=0,"",SUMIFS('NSE - NIFTY Index Options'!$L:$L,'NSE - NIFTY Index Options'!$C:$C,$A110,'NSE - NIFTY Index Options'!$B:$B,B$4)+SUMIFS('NSE - Other Index Options'!$L:$L,'NSE - Other Index Options'!$C:$C,$A110,'NSE - Other Index Options'!$B:$B,B$4))</f>
        <v/>
      </c>
      <c r="C110" s="26" t="str">
        <f>IF(SUMIFS('NSE - NIFTY Index Options'!$L:$L,'NSE - NIFTY Index Options'!$C:$C,$A110,'NSE - NIFTY Index Options'!$B:$B,C$4)+SUMIFS('NSE - Other Index Options'!$L:$L,'NSE - Other Index Options'!$C:$C,$A110,'NSE - Other Index Options'!$B:$B,C$4)=0,"",SUMIFS('NSE - NIFTY Index Options'!$L:$L,'NSE - NIFTY Index Options'!$C:$C,$A110,'NSE - NIFTY Index Options'!$B:$B,C$4)+SUMIFS('NSE - Other Index Options'!$L:$L,'NSE - Other Index Options'!$C:$C,$A110,'NSE - Other Index Options'!$B:$B,C$4))</f>
        <v/>
      </c>
      <c r="D110" s="26" t="str">
        <f>IF(SUMIFS('NSE - NIFTY Index Options'!$L:$L,'NSE - NIFTY Index Options'!$C:$C,$A110,'NSE - NIFTY Index Options'!$B:$B,D$4)+SUMIFS('NSE - Other Index Options'!$L:$L,'NSE - Other Index Options'!$C:$C,$A110,'NSE - Other Index Options'!$B:$B,D$4)=0,"",SUMIFS('NSE - NIFTY Index Options'!$L:$L,'NSE - NIFTY Index Options'!$C:$C,$A110,'NSE - NIFTY Index Options'!$B:$B,D$4)+SUMIFS('NSE - Other Index Options'!$L:$L,'NSE - Other Index Options'!$C:$C,$A110,'NSE - Other Index Options'!$B:$B,D$4))</f>
        <v/>
      </c>
      <c r="E110" s="26" t="str">
        <f>IF(SUMIFS('NSE - NIFTY Index Options'!$L:$L,'NSE - NIFTY Index Options'!$C:$C,$A110,'NSE - NIFTY Index Options'!$B:$B,E$4)+SUMIFS('NSE - Other Index Options'!$L:$L,'NSE - Other Index Options'!$C:$C,$A110,'NSE - Other Index Options'!$B:$B,E$4)=0,"",SUMIFS('NSE - NIFTY Index Options'!$L:$L,'NSE - NIFTY Index Options'!$C:$C,$A110,'NSE - NIFTY Index Options'!$B:$B,E$4)+SUMIFS('NSE - Other Index Options'!$L:$L,'NSE - Other Index Options'!$C:$C,$A110,'NSE - Other Index Options'!$B:$B,E$4))</f>
        <v/>
      </c>
      <c r="F110" s="26" t="str">
        <f>IF(SUMIFS('NSE - NIFTY Index Options'!$L:$L,'NSE - NIFTY Index Options'!$C:$C,$A110,'NSE - NIFTY Index Options'!$B:$B,F$4)+SUMIFS('NSE - Other Index Options'!$L:$L,'NSE - Other Index Options'!$C:$C,$A110,'NSE - Other Index Options'!$B:$B,F$4)=0,"",SUMIFS('NSE - NIFTY Index Options'!$L:$L,'NSE - NIFTY Index Options'!$C:$C,$A110,'NSE - NIFTY Index Options'!$B:$B,F$4)+SUMIFS('NSE - Other Index Options'!$L:$L,'NSE - Other Index Options'!$C:$C,$A110,'NSE - Other Index Options'!$B:$B,F$4))</f>
        <v/>
      </c>
      <c r="G110" s="26" t="str">
        <f>IF(SUMIFS('NSE - NIFTY Index Options'!$L:$L,'NSE - NIFTY Index Options'!$C:$C,$A110,'NSE - NIFTY Index Options'!$B:$B,G$4)+SUMIFS('NSE - Other Index Options'!$L:$L,'NSE - Other Index Options'!$C:$C,$A110,'NSE - Other Index Options'!$B:$B,G$4)=0,"",SUMIFS('NSE - NIFTY Index Options'!$L:$L,'NSE - NIFTY Index Options'!$C:$C,$A110,'NSE - NIFTY Index Options'!$B:$B,G$4)+SUMIFS('NSE - Other Index Options'!$L:$L,'NSE - Other Index Options'!$C:$C,$A110,'NSE - Other Index Options'!$B:$B,G$4))</f>
        <v/>
      </c>
      <c r="H110" s="26" t="str">
        <f t="shared" si="3"/>
        <v/>
      </c>
    </row>
    <row r="111" spans="1:8" hidden="1" outlineLevel="1">
      <c r="A111" t="s">
        <v>116</v>
      </c>
      <c r="B111" s="26" t="str">
        <f>IF(SUMIFS('NSE - NIFTY Index Options'!$L:$L,'NSE - NIFTY Index Options'!$C:$C,$A111,'NSE - NIFTY Index Options'!$B:$B,B$4)+SUMIFS('NSE - Other Index Options'!$L:$L,'NSE - Other Index Options'!$C:$C,$A111,'NSE - Other Index Options'!$B:$B,B$4)=0,"",SUMIFS('NSE - NIFTY Index Options'!$L:$L,'NSE - NIFTY Index Options'!$C:$C,$A111,'NSE - NIFTY Index Options'!$B:$B,B$4)+SUMIFS('NSE - Other Index Options'!$L:$L,'NSE - Other Index Options'!$C:$C,$A111,'NSE - Other Index Options'!$B:$B,B$4))</f>
        <v/>
      </c>
      <c r="C111" s="26" t="str">
        <f>IF(SUMIFS('NSE - NIFTY Index Options'!$L:$L,'NSE - NIFTY Index Options'!$C:$C,$A111,'NSE - NIFTY Index Options'!$B:$B,C$4)+SUMIFS('NSE - Other Index Options'!$L:$L,'NSE - Other Index Options'!$C:$C,$A111,'NSE - Other Index Options'!$B:$B,C$4)=0,"",SUMIFS('NSE - NIFTY Index Options'!$L:$L,'NSE - NIFTY Index Options'!$C:$C,$A111,'NSE - NIFTY Index Options'!$B:$B,C$4)+SUMIFS('NSE - Other Index Options'!$L:$L,'NSE - Other Index Options'!$C:$C,$A111,'NSE - Other Index Options'!$B:$B,C$4))</f>
        <v/>
      </c>
      <c r="D111" s="26" t="str">
        <f>IF(SUMIFS('NSE - NIFTY Index Options'!$L:$L,'NSE - NIFTY Index Options'!$C:$C,$A111,'NSE - NIFTY Index Options'!$B:$B,D$4)+SUMIFS('NSE - Other Index Options'!$L:$L,'NSE - Other Index Options'!$C:$C,$A111,'NSE - Other Index Options'!$B:$B,D$4)=0,"",SUMIFS('NSE - NIFTY Index Options'!$L:$L,'NSE - NIFTY Index Options'!$C:$C,$A111,'NSE - NIFTY Index Options'!$B:$B,D$4)+SUMIFS('NSE - Other Index Options'!$L:$L,'NSE - Other Index Options'!$C:$C,$A111,'NSE - Other Index Options'!$B:$B,D$4))</f>
        <v/>
      </c>
      <c r="E111" s="26" t="str">
        <f>IF(SUMIFS('NSE - NIFTY Index Options'!$L:$L,'NSE - NIFTY Index Options'!$C:$C,$A111,'NSE - NIFTY Index Options'!$B:$B,E$4)+SUMIFS('NSE - Other Index Options'!$L:$L,'NSE - Other Index Options'!$C:$C,$A111,'NSE - Other Index Options'!$B:$B,E$4)=0,"",SUMIFS('NSE - NIFTY Index Options'!$L:$L,'NSE - NIFTY Index Options'!$C:$C,$A111,'NSE - NIFTY Index Options'!$B:$B,E$4)+SUMIFS('NSE - Other Index Options'!$L:$L,'NSE - Other Index Options'!$C:$C,$A111,'NSE - Other Index Options'!$B:$B,E$4))</f>
        <v/>
      </c>
      <c r="F111" s="26" t="str">
        <f>IF(SUMIFS('NSE - NIFTY Index Options'!$L:$L,'NSE - NIFTY Index Options'!$C:$C,$A111,'NSE - NIFTY Index Options'!$B:$B,F$4)+SUMIFS('NSE - Other Index Options'!$L:$L,'NSE - Other Index Options'!$C:$C,$A111,'NSE - Other Index Options'!$B:$B,F$4)=0,"",SUMIFS('NSE - NIFTY Index Options'!$L:$L,'NSE - NIFTY Index Options'!$C:$C,$A111,'NSE - NIFTY Index Options'!$B:$B,F$4)+SUMIFS('NSE - Other Index Options'!$L:$L,'NSE - Other Index Options'!$C:$C,$A111,'NSE - Other Index Options'!$B:$B,F$4))</f>
        <v/>
      </c>
      <c r="G111" s="26" t="str">
        <f>IF(SUMIFS('NSE - NIFTY Index Options'!$L:$L,'NSE - NIFTY Index Options'!$C:$C,$A111,'NSE - NIFTY Index Options'!$B:$B,G$4)+SUMIFS('NSE - Other Index Options'!$L:$L,'NSE - Other Index Options'!$C:$C,$A111,'NSE - Other Index Options'!$B:$B,G$4)=0,"",SUMIFS('NSE - NIFTY Index Options'!$L:$L,'NSE - NIFTY Index Options'!$C:$C,$A111,'NSE - NIFTY Index Options'!$B:$B,G$4)+SUMIFS('NSE - Other Index Options'!$L:$L,'NSE - Other Index Options'!$C:$C,$A111,'NSE - Other Index Options'!$B:$B,G$4))</f>
        <v/>
      </c>
      <c r="H111" s="26" t="str">
        <f t="shared" si="3"/>
        <v/>
      </c>
    </row>
    <row r="112" spans="1:8" hidden="1" outlineLevel="1">
      <c r="A112" t="s">
        <v>117</v>
      </c>
      <c r="B112" s="26" t="str">
        <f>IF(SUMIFS('NSE - NIFTY Index Options'!$L:$L,'NSE - NIFTY Index Options'!$C:$C,$A112,'NSE - NIFTY Index Options'!$B:$B,B$4)+SUMIFS('NSE - Other Index Options'!$L:$L,'NSE - Other Index Options'!$C:$C,$A112,'NSE - Other Index Options'!$B:$B,B$4)=0,"",SUMIFS('NSE - NIFTY Index Options'!$L:$L,'NSE - NIFTY Index Options'!$C:$C,$A112,'NSE - NIFTY Index Options'!$B:$B,B$4)+SUMIFS('NSE - Other Index Options'!$L:$L,'NSE - Other Index Options'!$C:$C,$A112,'NSE - Other Index Options'!$B:$B,B$4))</f>
        <v/>
      </c>
      <c r="C112" s="26" t="str">
        <f>IF(SUMIFS('NSE - NIFTY Index Options'!$L:$L,'NSE - NIFTY Index Options'!$C:$C,$A112,'NSE - NIFTY Index Options'!$B:$B,C$4)+SUMIFS('NSE - Other Index Options'!$L:$L,'NSE - Other Index Options'!$C:$C,$A112,'NSE - Other Index Options'!$B:$B,C$4)=0,"",SUMIFS('NSE - NIFTY Index Options'!$L:$L,'NSE - NIFTY Index Options'!$C:$C,$A112,'NSE - NIFTY Index Options'!$B:$B,C$4)+SUMIFS('NSE - Other Index Options'!$L:$L,'NSE - Other Index Options'!$C:$C,$A112,'NSE - Other Index Options'!$B:$B,C$4))</f>
        <v/>
      </c>
      <c r="D112" s="26" t="str">
        <f>IF(SUMIFS('NSE - NIFTY Index Options'!$L:$L,'NSE - NIFTY Index Options'!$C:$C,$A112,'NSE - NIFTY Index Options'!$B:$B,D$4)+SUMIFS('NSE - Other Index Options'!$L:$L,'NSE - Other Index Options'!$C:$C,$A112,'NSE - Other Index Options'!$B:$B,D$4)=0,"",SUMIFS('NSE - NIFTY Index Options'!$L:$L,'NSE - NIFTY Index Options'!$C:$C,$A112,'NSE - NIFTY Index Options'!$B:$B,D$4)+SUMIFS('NSE - Other Index Options'!$L:$L,'NSE - Other Index Options'!$C:$C,$A112,'NSE - Other Index Options'!$B:$B,D$4))</f>
        <v/>
      </c>
      <c r="E112" s="26" t="str">
        <f>IF(SUMIFS('NSE - NIFTY Index Options'!$L:$L,'NSE - NIFTY Index Options'!$C:$C,$A112,'NSE - NIFTY Index Options'!$B:$B,E$4)+SUMIFS('NSE - Other Index Options'!$L:$L,'NSE - Other Index Options'!$C:$C,$A112,'NSE - Other Index Options'!$B:$B,E$4)=0,"",SUMIFS('NSE - NIFTY Index Options'!$L:$L,'NSE - NIFTY Index Options'!$C:$C,$A112,'NSE - NIFTY Index Options'!$B:$B,E$4)+SUMIFS('NSE - Other Index Options'!$L:$L,'NSE - Other Index Options'!$C:$C,$A112,'NSE - Other Index Options'!$B:$B,E$4))</f>
        <v/>
      </c>
      <c r="F112" s="26" t="str">
        <f>IF(SUMIFS('NSE - NIFTY Index Options'!$L:$L,'NSE - NIFTY Index Options'!$C:$C,$A112,'NSE - NIFTY Index Options'!$B:$B,F$4)+SUMIFS('NSE - Other Index Options'!$L:$L,'NSE - Other Index Options'!$C:$C,$A112,'NSE - Other Index Options'!$B:$B,F$4)=0,"",SUMIFS('NSE - NIFTY Index Options'!$L:$L,'NSE - NIFTY Index Options'!$C:$C,$A112,'NSE - NIFTY Index Options'!$B:$B,F$4)+SUMIFS('NSE - Other Index Options'!$L:$L,'NSE - Other Index Options'!$C:$C,$A112,'NSE - Other Index Options'!$B:$B,F$4))</f>
        <v/>
      </c>
      <c r="G112" s="26" t="str">
        <f>IF(SUMIFS('NSE - NIFTY Index Options'!$L:$L,'NSE - NIFTY Index Options'!$C:$C,$A112,'NSE - NIFTY Index Options'!$B:$B,G$4)+SUMIFS('NSE - Other Index Options'!$L:$L,'NSE - Other Index Options'!$C:$C,$A112,'NSE - Other Index Options'!$B:$B,G$4)=0,"",SUMIFS('NSE - NIFTY Index Options'!$L:$L,'NSE - NIFTY Index Options'!$C:$C,$A112,'NSE - NIFTY Index Options'!$B:$B,G$4)+SUMIFS('NSE - Other Index Options'!$L:$L,'NSE - Other Index Options'!$C:$C,$A112,'NSE - Other Index Options'!$B:$B,G$4))</f>
        <v/>
      </c>
      <c r="H112" s="26" t="str">
        <f t="shared" si="3"/>
        <v/>
      </c>
    </row>
    <row r="113" spans="1:8" hidden="1" outlineLevel="1">
      <c r="A113" t="s">
        <v>118</v>
      </c>
      <c r="B113" s="26" t="str">
        <f>IF(SUMIFS('NSE - NIFTY Index Options'!$L:$L,'NSE - NIFTY Index Options'!$C:$C,$A113,'NSE - NIFTY Index Options'!$B:$B,B$4)+SUMIFS('NSE - Other Index Options'!$L:$L,'NSE - Other Index Options'!$C:$C,$A113,'NSE - Other Index Options'!$B:$B,B$4)=0,"",SUMIFS('NSE - NIFTY Index Options'!$L:$L,'NSE - NIFTY Index Options'!$C:$C,$A113,'NSE - NIFTY Index Options'!$B:$B,B$4)+SUMIFS('NSE - Other Index Options'!$L:$L,'NSE - Other Index Options'!$C:$C,$A113,'NSE - Other Index Options'!$B:$B,B$4))</f>
        <v/>
      </c>
      <c r="C113" s="26" t="str">
        <f>IF(SUMIFS('NSE - NIFTY Index Options'!$L:$L,'NSE - NIFTY Index Options'!$C:$C,$A113,'NSE - NIFTY Index Options'!$B:$B,C$4)+SUMIFS('NSE - Other Index Options'!$L:$L,'NSE - Other Index Options'!$C:$C,$A113,'NSE - Other Index Options'!$B:$B,C$4)=0,"",SUMIFS('NSE - NIFTY Index Options'!$L:$L,'NSE - NIFTY Index Options'!$C:$C,$A113,'NSE - NIFTY Index Options'!$B:$B,C$4)+SUMIFS('NSE - Other Index Options'!$L:$L,'NSE - Other Index Options'!$C:$C,$A113,'NSE - Other Index Options'!$B:$B,C$4))</f>
        <v/>
      </c>
      <c r="D113" s="26" t="str">
        <f>IF(SUMIFS('NSE - NIFTY Index Options'!$L:$L,'NSE - NIFTY Index Options'!$C:$C,$A113,'NSE - NIFTY Index Options'!$B:$B,D$4)+SUMIFS('NSE - Other Index Options'!$L:$L,'NSE - Other Index Options'!$C:$C,$A113,'NSE - Other Index Options'!$B:$B,D$4)=0,"",SUMIFS('NSE - NIFTY Index Options'!$L:$L,'NSE - NIFTY Index Options'!$C:$C,$A113,'NSE - NIFTY Index Options'!$B:$B,D$4)+SUMIFS('NSE - Other Index Options'!$L:$L,'NSE - Other Index Options'!$C:$C,$A113,'NSE - Other Index Options'!$B:$B,D$4))</f>
        <v/>
      </c>
      <c r="E113" s="26" t="str">
        <f>IF(SUMIFS('NSE - NIFTY Index Options'!$L:$L,'NSE - NIFTY Index Options'!$C:$C,$A113,'NSE - NIFTY Index Options'!$B:$B,E$4)+SUMIFS('NSE - Other Index Options'!$L:$L,'NSE - Other Index Options'!$C:$C,$A113,'NSE - Other Index Options'!$B:$B,E$4)=0,"",SUMIFS('NSE - NIFTY Index Options'!$L:$L,'NSE - NIFTY Index Options'!$C:$C,$A113,'NSE - NIFTY Index Options'!$B:$B,E$4)+SUMIFS('NSE - Other Index Options'!$L:$L,'NSE - Other Index Options'!$C:$C,$A113,'NSE - Other Index Options'!$B:$B,E$4))</f>
        <v/>
      </c>
      <c r="F113" s="26" t="str">
        <f>IF(SUMIFS('NSE - NIFTY Index Options'!$L:$L,'NSE - NIFTY Index Options'!$C:$C,$A113,'NSE - NIFTY Index Options'!$B:$B,F$4)+SUMIFS('NSE - Other Index Options'!$L:$L,'NSE - Other Index Options'!$C:$C,$A113,'NSE - Other Index Options'!$B:$B,F$4)=0,"",SUMIFS('NSE - NIFTY Index Options'!$L:$L,'NSE - NIFTY Index Options'!$C:$C,$A113,'NSE - NIFTY Index Options'!$B:$B,F$4)+SUMIFS('NSE - Other Index Options'!$L:$L,'NSE - Other Index Options'!$C:$C,$A113,'NSE - Other Index Options'!$B:$B,F$4))</f>
        <v/>
      </c>
      <c r="G113" s="26" t="str">
        <f>IF(SUMIFS('NSE - NIFTY Index Options'!$L:$L,'NSE - NIFTY Index Options'!$C:$C,$A113,'NSE - NIFTY Index Options'!$B:$B,G$4)+SUMIFS('NSE - Other Index Options'!$L:$L,'NSE - Other Index Options'!$C:$C,$A113,'NSE - Other Index Options'!$B:$B,G$4)=0,"",SUMIFS('NSE - NIFTY Index Options'!$L:$L,'NSE - NIFTY Index Options'!$C:$C,$A113,'NSE - NIFTY Index Options'!$B:$B,G$4)+SUMIFS('NSE - Other Index Options'!$L:$L,'NSE - Other Index Options'!$C:$C,$A113,'NSE - Other Index Options'!$B:$B,G$4))</f>
        <v/>
      </c>
      <c r="H113" s="26" t="str">
        <f t="shared" si="3"/>
        <v/>
      </c>
    </row>
    <row r="114" spans="1:8" hidden="1" outlineLevel="1">
      <c r="A114" t="s">
        <v>119</v>
      </c>
      <c r="B114" s="26" t="str">
        <f>IF(SUMIFS('NSE - NIFTY Index Options'!$L:$L,'NSE - NIFTY Index Options'!$C:$C,$A114,'NSE - NIFTY Index Options'!$B:$B,B$4)+SUMIFS('NSE - Other Index Options'!$L:$L,'NSE - Other Index Options'!$C:$C,$A114,'NSE - Other Index Options'!$B:$B,B$4)=0,"",SUMIFS('NSE - NIFTY Index Options'!$L:$L,'NSE - NIFTY Index Options'!$C:$C,$A114,'NSE - NIFTY Index Options'!$B:$B,B$4)+SUMIFS('NSE - Other Index Options'!$L:$L,'NSE - Other Index Options'!$C:$C,$A114,'NSE - Other Index Options'!$B:$B,B$4))</f>
        <v/>
      </c>
      <c r="C114" s="26" t="str">
        <f>IF(SUMIFS('NSE - NIFTY Index Options'!$L:$L,'NSE - NIFTY Index Options'!$C:$C,$A114,'NSE - NIFTY Index Options'!$B:$B,C$4)+SUMIFS('NSE - Other Index Options'!$L:$L,'NSE - Other Index Options'!$C:$C,$A114,'NSE - Other Index Options'!$B:$B,C$4)=0,"",SUMIFS('NSE - NIFTY Index Options'!$L:$L,'NSE - NIFTY Index Options'!$C:$C,$A114,'NSE - NIFTY Index Options'!$B:$B,C$4)+SUMIFS('NSE - Other Index Options'!$L:$L,'NSE - Other Index Options'!$C:$C,$A114,'NSE - Other Index Options'!$B:$B,C$4))</f>
        <v/>
      </c>
      <c r="D114" s="26" t="str">
        <f>IF(SUMIFS('NSE - NIFTY Index Options'!$L:$L,'NSE - NIFTY Index Options'!$C:$C,$A114,'NSE - NIFTY Index Options'!$B:$B,D$4)+SUMIFS('NSE - Other Index Options'!$L:$L,'NSE - Other Index Options'!$C:$C,$A114,'NSE - Other Index Options'!$B:$B,D$4)=0,"",SUMIFS('NSE - NIFTY Index Options'!$L:$L,'NSE - NIFTY Index Options'!$C:$C,$A114,'NSE - NIFTY Index Options'!$B:$B,D$4)+SUMIFS('NSE - Other Index Options'!$L:$L,'NSE - Other Index Options'!$C:$C,$A114,'NSE - Other Index Options'!$B:$B,D$4))</f>
        <v/>
      </c>
      <c r="E114" s="26" t="str">
        <f>IF(SUMIFS('NSE - NIFTY Index Options'!$L:$L,'NSE - NIFTY Index Options'!$C:$C,$A114,'NSE - NIFTY Index Options'!$B:$B,E$4)+SUMIFS('NSE - Other Index Options'!$L:$L,'NSE - Other Index Options'!$C:$C,$A114,'NSE - Other Index Options'!$B:$B,E$4)=0,"",SUMIFS('NSE - NIFTY Index Options'!$L:$L,'NSE - NIFTY Index Options'!$C:$C,$A114,'NSE - NIFTY Index Options'!$B:$B,E$4)+SUMIFS('NSE - Other Index Options'!$L:$L,'NSE - Other Index Options'!$C:$C,$A114,'NSE - Other Index Options'!$B:$B,E$4))</f>
        <v/>
      </c>
      <c r="F114" s="26" t="str">
        <f>IF(SUMIFS('NSE - NIFTY Index Options'!$L:$L,'NSE - NIFTY Index Options'!$C:$C,$A114,'NSE - NIFTY Index Options'!$B:$B,F$4)+SUMIFS('NSE - Other Index Options'!$L:$L,'NSE - Other Index Options'!$C:$C,$A114,'NSE - Other Index Options'!$B:$B,F$4)=0,"",SUMIFS('NSE - NIFTY Index Options'!$L:$L,'NSE - NIFTY Index Options'!$C:$C,$A114,'NSE - NIFTY Index Options'!$B:$B,F$4)+SUMIFS('NSE - Other Index Options'!$L:$L,'NSE - Other Index Options'!$C:$C,$A114,'NSE - Other Index Options'!$B:$B,F$4))</f>
        <v/>
      </c>
      <c r="G114" s="26" t="str">
        <f>IF(SUMIFS('NSE - NIFTY Index Options'!$L:$L,'NSE - NIFTY Index Options'!$C:$C,$A114,'NSE - NIFTY Index Options'!$B:$B,G$4)+SUMIFS('NSE - Other Index Options'!$L:$L,'NSE - Other Index Options'!$C:$C,$A114,'NSE - Other Index Options'!$B:$B,G$4)=0,"",SUMIFS('NSE - NIFTY Index Options'!$L:$L,'NSE - NIFTY Index Options'!$C:$C,$A114,'NSE - NIFTY Index Options'!$B:$B,G$4)+SUMIFS('NSE - Other Index Options'!$L:$L,'NSE - Other Index Options'!$C:$C,$A114,'NSE - Other Index Options'!$B:$B,G$4))</f>
        <v/>
      </c>
      <c r="H114" s="26" t="str">
        <f t="shared" si="3"/>
        <v/>
      </c>
    </row>
    <row r="115" spans="1:8" hidden="1" outlineLevel="1">
      <c r="A115" t="s">
        <v>120</v>
      </c>
      <c r="B115" s="26" t="str">
        <f>IF(SUMIFS('NSE - NIFTY Index Options'!$L:$L,'NSE - NIFTY Index Options'!$C:$C,$A115,'NSE - NIFTY Index Options'!$B:$B,B$4)+SUMIFS('NSE - Other Index Options'!$L:$L,'NSE - Other Index Options'!$C:$C,$A115,'NSE - Other Index Options'!$B:$B,B$4)=0,"",SUMIFS('NSE - NIFTY Index Options'!$L:$L,'NSE - NIFTY Index Options'!$C:$C,$A115,'NSE - NIFTY Index Options'!$B:$B,B$4)+SUMIFS('NSE - Other Index Options'!$L:$L,'NSE - Other Index Options'!$C:$C,$A115,'NSE - Other Index Options'!$B:$B,B$4))</f>
        <v/>
      </c>
      <c r="C115" s="26" t="str">
        <f>IF(SUMIFS('NSE - NIFTY Index Options'!$L:$L,'NSE - NIFTY Index Options'!$C:$C,$A115,'NSE - NIFTY Index Options'!$B:$B,C$4)+SUMIFS('NSE - Other Index Options'!$L:$L,'NSE - Other Index Options'!$C:$C,$A115,'NSE - Other Index Options'!$B:$B,C$4)=0,"",SUMIFS('NSE - NIFTY Index Options'!$L:$L,'NSE - NIFTY Index Options'!$C:$C,$A115,'NSE - NIFTY Index Options'!$B:$B,C$4)+SUMIFS('NSE - Other Index Options'!$L:$L,'NSE - Other Index Options'!$C:$C,$A115,'NSE - Other Index Options'!$B:$B,C$4))</f>
        <v/>
      </c>
      <c r="D115" s="26" t="str">
        <f>IF(SUMIFS('NSE - NIFTY Index Options'!$L:$L,'NSE - NIFTY Index Options'!$C:$C,$A115,'NSE - NIFTY Index Options'!$B:$B,D$4)+SUMIFS('NSE - Other Index Options'!$L:$L,'NSE - Other Index Options'!$C:$C,$A115,'NSE - Other Index Options'!$B:$B,D$4)=0,"",SUMIFS('NSE - NIFTY Index Options'!$L:$L,'NSE - NIFTY Index Options'!$C:$C,$A115,'NSE - NIFTY Index Options'!$B:$B,D$4)+SUMIFS('NSE - Other Index Options'!$L:$L,'NSE - Other Index Options'!$C:$C,$A115,'NSE - Other Index Options'!$B:$B,D$4))</f>
        <v/>
      </c>
      <c r="E115" s="26" t="str">
        <f>IF(SUMIFS('NSE - NIFTY Index Options'!$L:$L,'NSE - NIFTY Index Options'!$C:$C,$A115,'NSE - NIFTY Index Options'!$B:$B,E$4)+SUMIFS('NSE - Other Index Options'!$L:$L,'NSE - Other Index Options'!$C:$C,$A115,'NSE - Other Index Options'!$B:$B,E$4)=0,"",SUMIFS('NSE - NIFTY Index Options'!$L:$L,'NSE - NIFTY Index Options'!$C:$C,$A115,'NSE - NIFTY Index Options'!$B:$B,E$4)+SUMIFS('NSE - Other Index Options'!$L:$L,'NSE - Other Index Options'!$C:$C,$A115,'NSE - Other Index Options'!$B:$B,E$4))</f>
        <v/>
      </c>
      <c r="F115" s="26" t="str">
        <f>IF(SUMIFS('NSE - NIFTY Index Options'!$L:$L,'NSE - NIFTY Index Options'!$C:$C,$A115,'NSE - NIFTY Index Options'!$B:$B,F$4)+SUMIFS('NSE - Other Index Options'!$L:$L,'NSE - Other Index Options'!$C:$C,$A115,'NSE - Other Index Options'!$B:$B,F$4)=0,"",SUMIFS('NSE - NIFTY Index Options'!$L:$L,'NSE - NIFTY Index Options'!$C:$C,$A115,'NSE - NIFTY Index Options'!$B:$B,F$4)+SUMIFS('NSE - Other Index Options'!$L:$L,'NSE - Other Index Options'!$C:$C,$A115,'NSE - Other Index Options'!$B:$B,F$4))</f>
        <v/>
      </c>
      <c r="G115" s="26" t="str">
        <f>IF(SUMIFS('NSE - NIFTY Index Options'!$L:$L,'NSE - NIFTY Index Options'!$C:$C,$A115,'NSE - NIFTY Index Options'!$B:$B,G$4)+SUMIFS('NSE - Other Index Options'!$L:$L,'NSE - Other Index Options'!$C:$C,$A115,'NSE - Other Index Options'!$B:$B,G$4)=0,"",SUMIFS('NSE - NIFTY Index Options'!$L:$L,'NSE - NIFTY Index Options'!$C:$C,$A115,'NSE - NIFTY Index Options'!$B:$B,G$4)+SUMIFS('NSE - Other Index Options'!$L:$L,'NSE - Other Index Options'!$C:$C,$A115,'NSE - Other Index Options'!$B:$B,G$4))</f>
        <v/>
      </c>
      <c r="H115" s="26" t="str">
        <f t="shared" si="3"/>
        <v/>
      </c>
    </row>
    <row r="116" spans="1:8" hidden="1" outlineLevel="1">
      <c r="A116" t="s">
        <v>121</v>
      </c>
      <c r="B116" s="26" t="str">
        <f>IF(SUMIFS('NSE - NIFTY Index Options'!$L:$L,'NSE - NIFTY Index Options'!$C:$C,$A116,'NSE - NIFTY Index Options'!$B:$B,B$4)+SUMIFS('NSE - Other Index Options'!$L:$L,'NSE - Other Index Options'!$C:$C,$A116,'NSE - Other Index Options'!$B:$B,B$4)=0,"",SUMIFS('NSE - NIFTY Index Options'!$L:$L,'NSE - NIFTY Index Options'!$C:$C,$A116,'NSE - NIFTY Index Options'!$B:$B,B$4)+SUMIFS('NSE - Other Index Options'!$L:$L,'NSE - Other Index Options'!$C:$C,$A116,'NSE - Other Index Options'!$B:$B,B$4))</f>
        <v/>
      </c>
      <c r="C116" s="26" t="str">
        <f>IF(SUMIFS('NSE - NIFTY Index Options'!$L:$L,'NSE - NIFTY Index Options'!$C:$C,$A116,'NSE - NIFTY Index Options'!$B:$B,C$4)+SUMIFS('NSE - Other Index Options'!$L:$L,'NSE - Other Index Options'!$C:$C,$A116,'NSE - Other Index Options'!$B:$B,C$4)=0,"",SUMIFS('NSE - NIFTY Index Options'!$L:$L,'NSE - NIFTY Index Options'!$C:$C,$A116,'NSE - NIFTY Index Options'!$B:$B,C$4)+SUMIFS('NSE - Other Index Options'!$L:$L,'NSE - Other Index Options'!$C:$C,$A116,'NSE - Other Index Options'!$B:$B,C$4))</f>
        <v/>
      </c>
      <c r="D116" s="26" t="str">
        <f>IF(SUMIFS('NSE - NIFTY Index Options'!$L:$L,'NSE - NIFTY Index Options'!$C:$C,$A116,'NSE - NIFTY Index Options'!$B:$B,D$4)+SUMIFS('NSE - Other Index Options'!$L:$L,'NSE - Other Index Options'!$C:$C,$A116,'NSE - Other Index Options'!$B:$B,D$4)=0,"",SUMIFS('NSE - NIFTY Index Options'!$L:$L,'NSE - NIFTY Index Options'!$C:$C,$A116,'NSE - NIFTY Index Options'!$B:$B,D$4)+SUMIFS('NSE - Other Index Options'!$L:$L,'NSE - Other Index Options'!$C:$C,$A116,'NSE - Other Index Options'!$B:$B,D$4))</f>
        <v/>
      </c>
      <c r="E116" s="26" t="str">
        <f>IF(SUMIFS('NSE - NIFTY Index Options'!$L:$L,'NSE - NIFTY Index Options'!$C:$C,$A116,'NSE - NIFTY Index Options'!$B:$B,E$4)+SUMIFS('NSE - Other Index Options'!$L:$L,'NSE - Other Index Options'!$C:$C,$A116,'NSE - Other Index Options'!$B:$B,E$4)=0,"",SUMIFS('NSE - NIFTY Index Options'!$L:$L,'NSE - NIFTY Index Options'!$C:$C,$A116,'NSE - NIFTY Index Options'!$B:$B,E$4)+SUMIFS('NSE - Other Index Options'!$L:$L,'NSE - Other Index Options'!$C:$C,$A116,'NSE - Other Index Options'!$B:$B,E$4))</f>
        <v/>
      </c>
      <c r="F116" s="26" t="str">
        <f>IF(SUMIFS('NSE - NIFTY Index Options'!$L:$L,'NSE - NIFTY Index Options'!$C:$C,$A116,'NSE - NIFTY Index Options'!$B:$B,F$4)+SUMIFS('NSE - Other Index Options'!$L:$L,'NSE - Other Index Options'!$C:$C,$A116,'NSE - Other Index Options'!$B:$B,F$4)=0,"",SUMIFS('NSE - NIFTY Index Options'!$L:$L,'NSE - NIFTY Index Options'!$C:$C,$A116,'NSE - NIFTY Index Options'!$B:$B,F$4)+SUMIFS('NSE - Other Index Options'!$L:$L,'NSE - Other Index Options'!$C:$C,$A116,'NSE - Other Index Options'!$B:$B,F$4))</f>
        <v/>
      </c>
      <c r="G116" s="26" t="str">
        <f>IF(SUMIFS('NSE - NIFTY Index Options'!$L:$L,'NSE - NIFTY Index Options'!$C:$C,$A116,'NSE - NIFTY Index Options'!$B:$B,G$4)+SUMIFS('NSE - Other Index Options'!$L:$L,'NSE - Other Index Options'!$C:$C,$A116,'NSE - Other Index Options'!$B:$B,G$4)=0,"",SUMIFS('NSE - NIFTY Index Options'!$L:$L,'NSE - NIFTY Index Options'!$C:$C,$A116,'NSE - NIFTY Index Options'!$B:$B,G$4)+SUMIFS('NSE - Other Index Options'!$L:$L,'NSE - Other Index Options'!$C:$C,$A116,'NSE - Other Index Options'!$B:$B,G$4))</f>
        <v/>
      </c>
      <c r="H116" s="26" t="str">
        <f t="shared" si="3"/>
        <v/>
      </c>
    </row>
    <row r="117" spans="1:8" hidden="1" outlineLevel="1">
      <c r="A117" t="s">
        <v>122</v>
      </c>
      <c r="B117" s="26" t="str">
        <f>IF(SUMIFS('NSE - NIFTY Index Options'!$L:$L,'NSE - NIFTY Index Options'!$C:$C,$A117,'NSE - NIFTY Index Options'!$B:$B,B$4)+SUMIFS('NSE - Other Index Options'!$L:$L,'NSE - Other Index Options'!$C:$C,$A117,'NSE - Other Index Options'!$B:$B,B$4)=0,"",SUMIFS('NSE - NIFTY Index Options'!$L:$L,'NSE - NIFTY Index Options'!$C:$C,$A117,'NSE - NIFTY Index Options'!$B:$B,B$4)+SUMIFS('NSE - Other Index Options'!$L:$L,'NSE - Other Index Options'!$C:$C,$A117,'NSE - Other Index Options'!$B:$B,B$4))</f>
        <v/>
      </c>
      <c r="C117" s="26" t="str">
        <f>IF(SUMIFS('NSE - NIFTY Index Options'!$L:$L,'NSE - NIFTY Index Options'!$C:$C,$A117,'NSE - NIFTY Index Options'!$B:$B,C$4)+SUMIFS('NSE - Other Index Options'!$L:$L,'NSE - Other Index Options'!$C:$C,$A117,'NSE - Other Index Options'!$B:$B,C$4)=0,"",SUMIFS('NSE - NIFTY Index Options'!$L:$L,'NSE - NIFTY Index Options'!$C:$C,$A117,'NSE - NIFTY Index Options'!$B:$B,C$4)+SUMIFS('NSE - Other Index Options'!$L:$L,'NSE - Other Index Options'!$C:$C,$A117,'NSE - Other Index Options'!$B:$B,C$4))</f>
        <v/>
      </c>
      <c r="D117" s="26" t="str">
        <f>IF(SUMIFS('NSE - NIFTY Index Options'!$L:$L,'NSE - NIFTY Index Options'!$C:$C,$A117,'NSE - NIFTY Index Options'!$B:$B,D$4)+SUMIFS('NSE - Other Index Options'!$L:$L,'NSE - Other Index Options'!$C:$C,$A117,'NSE - Other Index Options'!$B:$B,D$4)=0,"",SUMIFS('NSE - NIFTY Index Options'!$L:$L,'NSE - NIFTY Index Options'!$C:$C,$A117,'NSE - NIFTY Index Options'!$B:$B,D$4)+SUMIFS('NSE - Other Index Options'!$L:$L,'NSE - Other Index Options'!$C:$C,$A117,'NSE - Other Index Options'!$B:$B,D$4))</f>
        <v/>
      </c>
      <c r="E117" s="26" t="str">
        <f>IF(SUMIFS('NSE - NIFTY Index Options'!$L:$L,'NSE - NIFTY Index Options'!$C:$C,$A117,'NSE - NIFTY Index Options'!$B:$B,E$4)+SUMIFS('NSE - Other Index Options'!$L:$L,'NSE - Other Index Options'!$C:$C,$A117,'NSE - Other Index Options'!$B:$B,E$4)=0,"",SUMIFS('NSE - NIFTY Index Options'!$L:$L,'NSE - NIFTY Index Options'!$C:$C,$A117,'NSE - NIFTY Index Options'!$B:$B,E$4)+SUMIFS('NSE - Other Index Options'!$L:$L,'NSE - Other Index Options'!$C:$C,$A117,'NSE - Other Index Options'!$B:$B,E$4))</f>
        <v/>
      </c>
      <c r="F117" s="26" t="str">
        <f>IF(SUMIFS('NSE - NIFTY Index Options'!$L:$L,'NSE - NIFTY Index Options'!$C:$C,$A117,'NSE - NIFTY Index Options'!$B:$B,F$4)+SUMIFS('NSE - Other Index Options'!$L:$L,'NSE - Other Index Options'!$C:$C,$A117,'NSE - Other Index Options'!$B:$B,F$4)=0,"",SUMIFS('NSE - NIFTY Index Options'!$L:$L,'NSE - NIFTY Index Options'!$C:$C,$A117,'NSE - NIFTY Index Options'!$B:$B,F$4)+SUMIFS('NSE - Other Index Options'!$L:$L,'NSE - Other Index Options'!$C:$C,$A117,'NSE - Other Index Options'!$B:$B,F$4))</f>
        <v/>
      </c>
      <c r="G117" s="26" t="str">
        <f>IF(SUMIFS('NSE - NIFTY Index Options'!$L:$L,'NSE - NIFTY Index Options'!$C:$C,$A117,'NSE - NIFTY Index Options'!$B:$B,G$4)+SUMIFS('NSE - Other Index Options'!$L:$L,'NSE - Other Index Options'!$C:$C,$A117,'NSE - Other Index Options'!$B:$B,G$4)=0,"",SUMIFS('NSE - NIFTY Index Options'!$L:$L,'NSE - NIFTY Index Options'!$C:$C,$A117,'NSE - NIFTY Index Options'!$B:$B,G$4)+SUMIFS('NSE - Other Index Options'!$L:$L,'NSE - Other Index Options'!$C:$C,$A117,'NSE - Other Index Options'!$B:$B,G$4))</f>
        <v/>
      </c>
      <c r="H117" s="26" t="str">
        <f t="shared" si="3"/>
        <v/>
      </c>
    </row>
    <row r="118" spans="1:8" hidden="1" outlineLevel="1">
      <c r="A118" t="s">
        <v>123</v>
      </c>
      <c r="B118" s="26" t="str">
        <f>IF(SUMIFS('NSE - NIFTY Index Options'!$L:$L,'NSE - NIFTY Index Options'!$C:$C,$A118,'NSE - NIFTY Index Options'!$B:$B,B$4)+SUMIFS('NSE - Other Index Options'!$L:$L,'NSE - Other Index Options'!$C:$C,$A118,'NSE - Other Index Options'!$B:$B,B$4)=0,"",SUMIFS('NSE - NIFTY Index Options'!$L:$L,'NSE - NIFTY Index Options'!$C:$C,$A118,'NSE - NIFTY Index Options'!$B:$B,B$4)+SUMIFS('NSE - Other Index Options'!$L:$L,'NSE - Other Index Options'!$C:$C,$A118,'NSE - Other Index Options'!$B:$B,B$4))</f>
        <v/>
      </c>
      <c r="C118" s="26" t="str">
        <f>IF(SUMIFS('NSE - NIFTY Index Options'!$L:$L,'NSE - NIFTY Index Options'!$C:$C,$A118,'NSE - NIFTY Index Options'!$B:$B,C$4)+SUMIFS('NSE - Other Index Options'!$L:$L,'NSE - Other Index Options'!$C:$C,$A118,'NSE - Other Index Options'!$B:$B,C$4)=0,"",SUMIFS('NSE - NIFTY Index Options'!$L:$L,'NSE - NIFTY Index Options'!$C:$C,$A118,'NSE - NIFTY Index Options'!$B:$B,C$4)+SUMIFS('NSE - Other Index Options'!$L:$L,'NSE - Other Index Options'!$C:$C,$A118,'NSE - Other Index Options'!$B:$B,C$4))</f>
        <v/>
      </c>
      <c r="D118" s="26" t="str">
        <f>IF(SUMIFS('NSE - NIFTY Index Options'!$L:$L,'NSE - NIFTY Index Options'!$C:$C,$A118,'NSE - NIFTY Index Options'!$B:$B,D$4)+SUMIFS('NSE - Other Index Options'!$L:$L,'NSE - Other Index Options'!$C:$C,$A118,'NSE - Other Index Options'!$B:$B,D$4)=0,"",SUMIFS('NSE - NIFTY Index Options'!$L:$L,'NSE - NIFTY Index Options'!$C:$C,$A118,'NSE - NIFTY Index Options'!$B:$B,D$4)+SUMIFS('NSE - Other Index Options'!$L:$L,'NSE - Other Index Options'!$C:$C,$A118,'NSE - Other Index Options'!$B:$B,D$4))</f>
        <v/>
      </c>
      <c r="E118" s="26" t="str">
        <f>IF(SUMIFS('NSE - NIFTY Index Options'!$L:$L,'NSE - NIFTY Index Options'!$C:$C,$A118,'NSE - NIFTY Index Options'!$B:$B,E$4)+SUMIFS('NSE - Other Index Options'!$L:$L,'NSE - Other Index Options'!$C:$C,$A118,'NSE - Other Index Options'!$B:$B,E$4)=0,"",SUMIFS('NSE - NIFTY Index Options'!$L:$L,'NSE - NIFTY Index Options'!$C:$C,$A118,'NSE - NIFTY Index Options'!$B:$B,E$4)+SUMIFS('NSE - Other Index Options'!$L:$L,'NSE - Other Index Options'!$C:$C,$A118,'NSE - Other Index Options'!$B:$B,E$4))</f>
        <v/>
      </c>
      <c r="F118" s="26" t="str">
        <f>IF(SUMIFS('NSE - NIFTY Index Options'!$L:$L,'NSE - NIFTY Index Options'!$C:$C,$A118,'NSE - NIFTY Index Options'!$B:$B,F$4)+SUMIFS('NSE - Other Index Options'!$L:$L,'NSE - Other Index Options'!$C:$C,$A118,'NSE - Other Index Options'!$B:$B,F$4)=0,"",SUMIFS('NSE - NIFTY Index Options'!$L:$L,'NSE - NIFTY Index Options'!$C:$C,$A118,'NSE - NIFTY Index Options'!$B:$B,F$4)+SUMIFS('NSE - Other Index Options'!$L:$L,'NSE - Other Index Options'!$C:$C,$A118,'NSE - Other Index Options'!$B:$B,F$4))</f>
        <v/>
      </c>
      <c r="G118" s="26" t="str">
        <f>IF(SUMIFS('NSE - NIFTY Index Options'!$L:$L,'NSE - NIFTY Index Options'!$C:$C,$A118,'NSE - NIFTY Index Options'!$B:$B,G$4)+SUMIFS('NSE - Other Index Options'!$L:$L,'NSE - Other Index Options'!$C:$C,$A118,'NSE - Other Index Options'!$B:$B,G$4)=0,"",SUMIFS('NSE - NIFTY Index Options'!$L:$L,'NSE - NIFTY Index Options'!$C:$C,$A118,'NSE - NIFTY Index Options'!$B:$B,G$4)+SUMIFS('NSE - Other Index Options'!$L:$L,'NSE - Other Index Options'!$C:$C,$A118,'NSE - Other Index Options'!$B:$B,G$4))</f>
        <v/>
      </c>
      <c r="H118" s="26" t="str">
        <f t="shared" si="3"/>
        <v/>
      </c>
    </row>
    <row r="119" spans="1:8" hidden="1" outlineLevel="1">
      <c r="A119" t="s">
        <v>124</v>
      </c>
      <c r="B119" s="26" t="str">
        <f>IF(SUMIFS('NSE - NIFTY Index Options'!$L:$L,'NSE - NIFTY Index Options'!$C:$C,$A119,'NSE - NIFTY Index Options'!$B:$B,B$4)+SUMIFS('NSE - Other Index Options'!$L:$L,'NSE - Other Index Options'!$C:$C,$A119,'NSE - Other Index Options'!$B:$B,B$4)=0,"",SUMIFS('NSE - NIFTY Index Options'!$L:$L,'NSE - NIFTY Index Options'!$C:$C,$A119,'NSE - NIFTY Index Options'!$B:$B,B$4)+SUMIFS('NSE - Other Index Options'!$L:$L,'NSE - Other Index Options'!$C:$C,$A119,'NSE - Other Index Options'!$B:$B,B$4))</f>
        <v/>
      </c>
      <c r="C119" s="26" t="str">
        <f>IF(SUMIFS('NSE - NIFTY Index Options'!$L:$L,'NSE - NIFTY Index Options'!$C:$C,$A119,'NSE - NIFTY Index Options'!$B:$B,C$4)+SUMIFS('NSE - Other Index Options'!$L:$L,'NSE - Other Index Options'!$C:$C,$A119,'NSE - Other Index Options'!$B:$B,C$4)=0,"",SUMIFS('NSE - NIFTY Index Options'!$L:$L,'NSE - NIFTY Index Options'!$C:$C,$A119,'NSE - NIFTY Index Options'!$B:$B,C$4)+SUMIFS('NSE - Other Index Options'!$L:$L,'NSE - Other Index Options'!$C:$C,$A119,'NSE - Other Index Options'!$B:$B,C$4))</f>
        <v/>
      </c>
      <c r="D119" s="26" t="str">
        <f>IF(SUMIFS('NSE - NIFTY Index Options'!$L:$L,'NSE - NIFTY Index Options'!$C:$C,$A119,'NSE - NIFTY Index Options'!$B:$B,D$4)+SUMIFS('NSE - Other Index Options'!$L:$L,'NSE - Other Index Options'!$C:$C,$A119,'NSE - Other Index Options'!$B:$B,D$4)=0,"",SUMIFS('NSE - NIFTY Index Options'!$L:$L,'NSE - NIFTY Index Options'!$C:$C,$A119,'NSE - NIFTY Index Options'!$B:$B,D$4)+SUMIFS('NSE - Other Index Options'!$L:$L,'NSE - Other Index Options'!$C:$C,$A119,'NSE - Other Index Options'!$B:$B,D$4))</f>
        <v/>
      </c>
      <c r="E119" s="26" t="str">
        <f>IF(SUMIFS('NSE - NIFTY Index Options'!$L:$L,'NSE - NIFTY Index Options'!$C:$C,$A119,'NSE - NIFTY Index Options'!$B:$B,E$4)+SUMIFS('NSE - Other Index Options'!$L:$L,'NSE - Other Index Options'!$C:$C,$A119,'NSE - Other Index Options'!$B:$B,E$4)=0,"",SUMIFS('NSE - NIFTY Index Options'!$L:$L,'NSE - NIFTY Index Options'!$C:$C,$A119,'NSE - NIFTY Index Options'!$B:$B,E$4)+SUMIFS('NSE - Other Index Options'!$L:$L,'NSE - Other Index Options'!$C:$C,$A119,'NSE - Other Index Options'!$B:$B,E$4))</f>
        <v/>
      </c>
      <c r="F119" s="26" t="str">
        <f>IF(SUMIFS('NSE - NIFTY Index Options'!$L:$L,'NSE - NIFTY Index Options'!$C:$C,$A119,'NSE - NIFTY Index Options'!$B:$B,F$4)+SUMIFS('NSE - Other Index Options'!$L:$L,'NSE - Other Index Options'!$C:$C,$A119,'NSE - Other Index Options'!$B:$B,F$4)=0,"",SUMIFS('NSE - NIFTY Index Options'!$L:$L,'NSE - NIFTY Index Options'!$C:$C,$A119,'NSE - NIFTY Index Options'!$B:$B,F$4)+SUMIFS('NSE - Other Index Options'!$L:$L,'NSE - Other Index Options'!$C:$C,$A119,'NSE - Other Index Options'!$B:$B,F$4))</f>
        <v/>
      </c>
      <c r="G119" s="26" t="str">
        <f>IF(SUMIFS('NSE - NIFTY Index Options'!$L:$L,'NSE - NIFTY Index Options'!$C:$C,$A119,'NSE - NIFTY Index Options'!$B:$B,G$4)+SUMIFS('NSE - Other Index Options'!$L:$L,'NSE - Other Index Options'!$C:$C,$A119,'NSE - Other Index Options'!$B:$B,G$4)=0,"",SUMIFS('NSE - NIFTY Index Options'!$L:$L,'NSE - NIFTY Index Options'!$C:$C,$A119,'NSE - NIFTY Index Options'!$B:$B,G$4)+SUMIFS('NSE - Other Index Options'!$L:$L,'NSE - Other Index Options'!$C:$C,$A119,'NSE - Other Index Options'!$B:$B,G$4))</f>
        <v/>
      </c>
      <c r="H119" s="26" t="str">
        <f t="shared" si="3"/>
        <v/>
      </c>
    </row>
    <row r="120" spans="1:8" hidden="1" outlineLevel="1">
      <c r="A120" t="s">
        <v>125</v>
      </c>
      <c r="B120" s="26" t="str">
        <f>IF(SUMIFS('NSE - NIFTY Index Options'!$L:$L,'NSE - NIFTY Index Options'!$C:$C,$A120,'NSE - NIFTY Index Options'!$B:$B,B$4)+SUMIFS('NSE - Other Index Options'!$L:$L,'NSE - Other Index Options'!$C:$C,$A120,'NSE - Other Index Options'!$B:$B,B$4)=0,"",SUMIFS('NSE - NIFTY Index Options'!$L:$L,'NSE - NIFTY Index Options'!$C:$C,$A120,'NSE - NIFTY Index Options'!$B:$B,B$4)+SUMIFS('NSE - Other Index Options'!$L:$L,'NSE - Other Index Options'!$C:$C,$A120,'NSE - Other Index Options'!$B:$B,B$4))</f>
        <v/>
      </c>
      <c r="C120" s="26" t="str">
        <f>IF(SUMIFS('NSE - NIFTY Index Options'!$L:$L,'NSE - NIFTY Index Options'!$C:$C,$A120,'NSE - NIFTY Index Options'!$B:$B,C$4)+SUMIFS('NSE - Other Index Options'!$L:$L,'NSE - Other Index Options'!$C:$C,$A120,'NSE - Other Index Options'!$B:$B,C$4)=0,"",SUMIFS('NSE - NIFTY Index Options'!$L:$L,'NSE - NIFTY Index Options'!$C:$C,$A120,'NSE - NIFTY Index Options'!$B:$B,C$4)+SUMIFS('NSE - Other Index Options'!$L:$L,'NSE - Other Index Options'!$C:$C,$A120,'NSE - Other Index Options'!$B:$B,C$4))</f>
        <v/>
      </c>
      <c r="D120" s="26" t="str">
        <f>IF(SUMIFS('NSE - NIFTY Index Options'!$L:$L,'NSE - NIFTY Index Options'!$C:$C,$A120,'NSE - NIFTY Index Options'!$B:$B,D$4)+SUMIFS('NSE - Other Index Options'!$L:$L,'NSE - Other Index Options'!$C:$C,$A120,'NSE - Other Index Options'!$B:$B,D$4)=0,"",SUMIFS('NSE - NIFTY Index Options'!$L:$L,'NSE - NIFTY Index Options'!$C:$C,$A120,'NSE - NIFTY Index Options'!$B:$B,D$4)+SUMIFS('NSE - Other Index Options'!$L:$L,'NSE - Other Index Options'!$C:$C,$A120,'NSE - Other Index Options'!$B:$B,D$4))</f>
        <v/>
      </c>
      <c r="E120" s="26" t="str">
        <f>IF(SUMIFS('NSE - NIFTY Index Options'!$L:$L,'NSE - NIFTY Index Options'!$C:$C,$A120,'NSE - NIFTY Index Options'!$B:$B,E$4)+SUMIFS('NSE - Other Index Options'!$L:$L,'NSE - Other Index Options'!$C:$C,$A120,'NSE - Other Index Options'!$B:$B,E$4)=0,"",SUMIFS('NSE - NIFTY Index Options'!$L:$L,'NSE - NIFTY Index Options'!$C:$C,$A120,'NSE - NIFTY Index Options'!$B:$B,E$4)+SUMIFS('NSE - Other Index Options'!$L:$L,'NSE - Other Index Options'!$C:$C,$A120,'NSE - Other Index Options'!$B:$B,E$4))</f>
        <v/>
      </c>
      <c r="F120" s="26" t="str">
        <f>IF(SUMIFS('NSE - NIFTY Index Options'!$L:$L,'NSE - NIFTY Index Options'!$C:$C,$A120,'NSE - NIFTY Index Options'!$B:$B,F$4)+SUMIFS('NSE - Other Index Options'!$L:$L,'NSE - Other Index Options'!$C:$C,$A120,'NSE - Other Index Options'!$B:$B,F$4)=0,"",SUMIFS('NSE - NIFTY Index Options'!$L:$L,'NSE - NIFTY Index Options'!$C:$C,$A120,'NSE - NIFTY Index Options'!$B:$B,F$4)+SUMIFS('NSE - Other Index Options'!$L:$L,'NSE - Other Index Options'!$C:$C,$A120,'NSE - Other Index Options'!$B:$B,F$4))</f>
        <v/>
      </c>
      <c r="G120" s="26" t="str">
        <f>IF(SUMIFS('NSE - NIFTY Index Options'!$L:$L,'NSE - NIFTY Index Options'!$C:$C,$A120,'NSE - NIFTY Index Options'!$B:$B,G$4)+SUMIFS('NSE - Other Index Options'!$L:$L,'NSE - Other Index Options'!$C:$C,$A120,'NSE - Other Index Options'!$B:$B,G$4)=0,"",SUMIFS('NSE - NIFTY Index Options'!$L:$L,'NSE - NIFTY Index Options'!$C:$C,$A120,'NSE - NIFTY Index Options'!$B:$B,G$4)+SUMIFS('NSE - Other Index Options'!$L:$L,'NSE - Other Index Options'!$C:$C,$A120,'NSE - Other Index Options'!$B:$B,G$4))</f>
        <v/>
      </c>
      <c r="H120" s="26" t="str">
        <f t="shared" si="3"/>
        <v/>
      </c>
    </row>
    <row r="121" spans="1:8" hidden="1" outlineLevel="1">
      <c r="A121" t="s">
        <v>126</v>
      </c>
      <c r="B121" s="26" t="str">
        <f>IF(SUMIFS('NSE - NIFTY Index Options'!$L:$L,'NSE - NIFTY Index Options'!$C:$C,$A121,'NSE - NIFTY Index Options'!$B:$B,B$4)+SUMIFS('NSE - Other Index Options'!$L:$L,'NSE - Other Index Options'!$C:$C,$A121,'NSE - Other Index Options'!$B:$B,B$4)=0,"",SUMIFS('NSE - NIFTY Index Options'!$L:$L,'NSE - NIFTY Index Options'!$C:$C,$A121,'NSE - NIFTY Index Options'!$B:$B,B$4)+SUMIFS('NSE - Other Index Options'!$L:$L,'NSE - Other Index Options'!$C:$C,$A121,'NSE - Other Index Options'!$B:$B,B$4))</f>
        <v/>
      </c>
      <c r="C121" s="26" t="str">
        <f>IF(SUMIFS('NSE - NIFTY Index Options'!$L:$L,'NSE - NIFTY Index Options'!$C:$C,$A121,'NSE - NIFTY Index Options'!$B:$B,C$4)+SUMIFS('NSE - Other Index Options'!$L:$L,'NSE - Other Index Options'!$C:$C,$A121,'NSE - Other Index Options'!$B:$B,C$4)=0,"",SUMIFS('NSE - NIFTY Index Options'!$L:$L,'NSE - NIFTY Index Options'!$C:$C,$A121,'NSE - NIFTY Index Options'!$B:$B,C$4)+SUMIFS('NSE - Other Index Options'!$L:$L,'NSE - Other Index Options'!$C:$C,$A121,'NSE - Other Index Options'!$B:$B,C$4))</f>
        <v/>
      </c>
      <c r="D121" s="26" t="str">
        <f>IF(SUMIFS('NSE - NIFTY Index Options'!$L:$L,'NSE - NIFTY Index Options'!$C:$C,$A121,'NSE - NIFTY Index Options'!$B:$B,D$4)+SUMIFS('NSE - Other Index Options'!$L:$L,'NSE - Other Index Options'!$C:$C,$A121,'NSE - Other Index Options'!$B:$B,D$4)=0,"",SUMIFS('NSE - NIFTY Index Options'!$L:$L,'NSE - NIFTY Index Options'!$C:$C,$A121,'NSE - NIFTY Index Options'!$B:$B,D$4)+SUMIFS('NSE - Other Index Options'!$L:$L,'NSE - Other Index Options'!$C:$C,$A121,'NSE - Other Index Options'!$B:$B,D$4))</f>
        <v/>
      </c>
      <c r="E121" s="26" t="str">
        <f>IF(SUMIFS('NSE - NIFTY Index Options'!$L:$L,'NSE - NIFTY Index Options'!$C:$C,$A121,'NSE - NIFTY Index Options'!$B:$B,E$4)+SUMIFS('NSE - Other Index Options'!$L:$L,'NSE - Other Index Options'!$C:$C,$A121,'NSE - Other Index Options'!$B:$B,E$4)=0,"",SUMIFS('NSE - NIFTY Index Options'!$L:$L,'NSE - NIFTY Index Options'!$C:$C,$A121,'NSE - NIFTY Index Options'!$B:$B,E$4)+SUMIFS('NSE - Other Index Options'!$L:$L,'NSE - Other Index Options'!$C:$C,$A121,'NSE - Other Index Options'!$B:$B,E$4))</f>
        <v/>
      </c>
      <c r="F121" s="26" t="str">
        <f>IF(SUMIFS('NSE - NIFTY Index Options'!$L:$L,'NSE - NIFTY Index Options'!$C:$C,$A121,'NSE - NIFTY Index Options'!$B:$B,F$4)+SUMIFS('NSE - Other Index Options'!$L:$L,'NSE - Other Index Options'!$C:$C,$A121,'NSE - Other Index Options'!$B:$B,F$4)=0,"",SUMIFS('NSE - NIFTY Index Options'!$L:$L,'NSE - NIFTY Index Options'!$C:$C,$A121,'NSE - NIFTY Index Options'!$B:$B,F$4)+SUMIFS('NSE - Other Index Options'!$L:$L,'NSE - Other Index Options'!$C:$C,$A121,'NSE - Other Index Options'!$B:$B,F$4))</f>
        <v/>
      </c>
      <c r="G121" s="26" t="str">
        <f>IF(SUMIFS('NSE - NIFTY Index Options'!$L:$L,'NSE - NIFTY Index Options'!$C:$C,$A121,'NSE - NIFTY Index Options'!$B:$B,G$4)+SUMIFS('NSE - Other Index Options'!$L:$L,'NSE - Other Index Options'!$C:$C,$A121,'NSE - Other Index Options'!$B:$B,G$4)=0,"",SUMIFS('NSE - NIFTY Index Options'!$L:$L,'NSE - NIFTY Index Options'!$C:$C,$A121,'NSE - NIFTY Index Options'!$B:$B,G$4)+SUMIFS('NSE - Other Index Options'!$L:$L,'NSE - Other Index Options'!$C:$C,$A121,'NSE - Other Index Options'!$B:$B,G$4))</f>
        <v/>
      </c>
      <c r="H121" s="26" t="str">
        <f t="shared" si="3"/>
        <v/>
      </c>
    </row>
    <row r="122" spans="1:8" hidden="1" outlineLevel="1">
      <c r="A122" t="s">
        <v>127</v>
      </c>
      <c r="B122" s="26" t="str">
        <f>IF(SUMIFS('NSE - NIFTY Index Options'!$L:$L,'NSE - NIFTY Index Options'!$C:$C,$A122,'NSE - NIFTY Index Options'!$B:$B,B$4)+SUMIFS('NSE - Other Index Options'!$L:$L,'NSE - Other Index Options'!$C:$C,$A122,'NSE - Other Index Options'!$B:$B,B$4)=0,"",SUMIFS('NSE - NIFTY Index Options'!$L:$L,'NSE - NIFTY Index Options'!$C:$C,$A122,'NSE - NIFTY Index Options'!$B:$B,B$4)+SUMIFS('NSE - Other Index Options'!$L:$L,'NSE - Other Index Options'!$C:$C,$A122,'NSE - Other Index Options'!$B:$B,B$4))</f>
        <v/>
      </c>
      <c r="C122" s="26" t="str">
        <f>IF(SUMIFS('NSE - NIFTY Index Options'!$L:$L,'NSE - NIFTY Index Options'!$C:$C,$A122,'NSE - NIFTY Index Options'!$B:$B,C$4)+SUMIFS('NSE - Other Index Options'!$L:$L,'NSE - Other Index Options'!$C:$C,$A122,'NSE - Other Index Options'!$B:$B,C$4)=0,"",SUMIFS('NSE - NIFTY Index Options'!$L:$L,'NSE - NIFTY Index Options'!$C:$C,$A122,'NSE - NIFTY Index Options'!$B:$B,C$4)+SUMIFS('NSE - Other Index Options'!$L:$L,'NSE - Other Index Options'!$C:$C,$A122,'NSE - Other Index Options'!$B:$B,C$4))</f>
        <v/>
      </c>
      <c r="D122" s="26" t="str">
        <f>IF(SUMIFS('NSE - NIFTY Index Options'!$L:$L,'NSE - NIFTY Index Options'!$C:$C,$A122,'NSE - NIFTY Index Options'!$B:$B,D$4)+SUMIFS('NSE - Other Index Options'!$L:$L,'NSE - Other Index Options'!$C:$C,$A122,'NSE - Other Index Options'!$B:$B,D$4)=0,"",SUMIFS('NSE - NIFTY Index Options'!$L:$L,'NSE - NIFTY Index Options'!$C:$C,$A122,'NSE - NIFTY Index Options'!$B:$B,D$4)+SUMIFS('NSE - Other Index Options'!$L:$L,'NSE - Other Index Options'!$C:$C,$A122,'NSE - Other Index Options'!$B:$B,D$4))</f>
        <v/>
      </c>
      <c r="E122" s="26" t="str">
        <f>IF(SUMIFS('NSE - NIFTY Index Options'!$L:$L,'NSE - NIFTY Index Options'!$C:$C,$A122,'NSE - NIFTY Index Options'!$B:$B,E$4)+SUMIFS('NSE - Other Index Options'!$L:$L,'NSE - Other Index Options'!$C:$C,$A122,'NSE - Other Index Options'!$B:$B,E$4)=0,"",SUMIFS('NSE - NIFTY Index Options'!$L:$L,'NSE - NIFTY Index Options'!$C:$C,$A122,'NSE - NIFTY Index Options'!$B:$B,E$4)+SUMIFS('NSE - Other Index Options'!$L:$L,'NSE - Other Index Options'!$C:$C,$A122,'NSE - Other Index Options'!$B:$B,E$4))</f>
        <v/>
      </c>
      <c r="F122" s="26" t="str">
        <f>IF(SUMIFS('NSE - NIFTY Index Options'!$L:$L,'NSE - NIFTY Index Options'!$C:$C,$A122,'NSE - NIFTY Index Options'!$B:$B,F$4)+SUMIFS('NSE - Other Index Options'!$L:$L,'NSE - Other Index Options'!$C:$C,$A122,'NSE - Other Index Options'!$B:$B,F$4)=0,"",SUMIFS('NSE - NIFTY Index Options'!$L:$L,'NSE - NIFTY Index Options'!$C:$C,$A122,'NSE - NIFTY Index Options'!$B:$B,F$4)+SUMIFS('NSE - Other Index Options'!$L:$L,'NSE - Other Index Options'!$C:$C,$A122,'NSE - Other Index Options'!$B:$B,F$4))</f>
        <v/>
      </c>
      <c r="G122" s="26" t="str">
        <f>IF(SUMIFS('NSE - NIFTY Index Options'!$L:$L,'NSE - NIFTY Index Options'!$C:$C,$A122,'NSE - NIFTY Index Options'!$B:$B,G$4)+SUMIFS('NSE - Other Index Options'!$L:$L,'NSE - Other Index Options'!$C:$C,$A122,'NSE - Other Index Options'!$B:$B,G$4)=0,"",SUMIFS('NSE - NIFTY Index Options'!$L:$L,'NSE - NIFTY Index Options'!$C:$C,$A122,'NSE - NIFTY Index Options'!$B:$B,G$4)+SUMIFS('NSE - Other Index Options'!$L:$L,'NSE - Other Index Options'!$C:$C,$A122,'NSE - Other Index Options'!$B:$B,G$4))</f>
        <v/>
      </c>
      <c r="H122" s="26" t="str">
        <f t="shared" si="3"/>
        <v/>
      </c>
    </row>
    <row r="123" spans="1:8" hidden="1" outlineLevel="1">
      <c r="A123" t="s">
        <v>128</v>
      </c>
      <c r="B123" s="26" t="str">
        <f>IF(SUMIFS('NSE - NIFTY Index Options'!$L:$L,'NSE - NIFTY Index Options'!$C:$C,$A123,'NSE - NIFTY Index Options'!$B:$B,B$4)+SUMIFS('NSE - Other Index Options'!$L:$L,'NSE - Other Index Options'!$C:$C,$A123,'NSE - Other Index Options'!$B:$B,B$4)=0,"",SUMIFS('NSE - NIFTY Index Options'!$L:$L,'NSE - NIFTY Index Options'!$C:$C,$A123,'NSE - NIFTY Index Options'!$B:$B,B$4)+SUMIFS('NSE - Other Index Options'!$L:$L,'NSE - Other Index Options'!$C:$C,$A123,'NSE - Other Index Options'!$B:$B,B$4))</f>
        <v/>
      </c>
      <c r="C123" s="26" t="str">
        <f>IF(SUMIFS('NSE - NIFTY Index Options'!$L:$L,'NSE - NIFTY Index Options'!$C:$C,$A123,'NSE - NIFTY Index Options'!$B:$B,C$4)+SUMIFS('NSE - Other Index Options'!$L:$L,'NSE - Other Index Options'!$C:$C,$A123,'NSE - Other Index Options'!$B:$B,C$4)=0,"",SUMIFS('NSE - NIFTY Index Options'!$L:$L,'NSE - NIFTY Index Options'!$C:$C,$A123,'NSE - NIFTY Index Options'!$B:$B,C$4)+SUMIFS('NSE - Other Index Options'!$L:$L,'NSE - Other Index Options'!$C:$C,$A123,'NSE - Other Index Options'!$B:$B,C$4))</f>
        <v/>
      </c>
      <c r="D123" s="26" t="str">
        <f>IF(SUMIFS('NSE - NIFTY Index Options'!$L:$L,'NSE - NIFTY Index Options'!$C:$C,$A123,'NSE - NIFTY Index Options'!$B:$B,D$4)+SUMIFS('NSE - Other Index Options'!$L:$L,'NSE - Other Index Options'!$C:$C,$A123,'NSE - Other Index Options'!$B:$B,D$4)=0,"",SUMIFS('NSE - NIFTY Index Options'!$L:$L,'NSE - NIFTY Index Options'!$C:$C,$A123,'NSE - NIFTY Index Options'!$B:$B,D$4)+SUMIFS('NSE - Other Index Options'!$L:$L,'NSE - Other Index Options'!$C:$C,$A123,'NSE - Other Index Options'!$B:$B,D$4))</f>
        <v/>
      </c>
      <c r="E123" s="26" t="str">
        <f>IF(SUMIFS('NSE - NIFTY Index Options'!$L:$L,'NSE - NIFTY Index Options'!$C:$C,$A123,'NSE - NIFTY Index Options'!$B:$B,E$4)+SUMIFS('NSE - Other Index Options'!$L:$L,'NSE - Other Index Options'!$C:$C,$A123,'NSE - Other Index Options'!$B:$B,E$4)=0,"",SUMIFS('NSE - NIFTY Index Options'!$L:$L,'NSE - NIFTY Index Options'!$C:$C,$A123,'NSE - NIFTY Index Options'!$B:$B,E$4)+SUMIFS('NSE - Other Index Options'!$L:$L,'NSE - Other Index Options'!$C:$C,$A123,'NSE - Other Index Options'!$B:$B,E$4))</f>
        <v/>
      </c>
      <c r="F123" s="26" t="str">
        <f>IF(SUMIFS('NSE - NIFTY Index Options'!$L:$L,'NSE - NIFTY Index Options'!$C:$C,$A123,'NSE - NIFTY Index Options'!$B:$B,F$4)+SUMIFS('NSE - Other Index Options'!$L:$L,'NSE - Other Index Options'!$C:$C,$A123,'NSE - Other Index Options'!$B:$B,F$4)=0,"",SUMIFS('NSE - NIFTY Index Options'!$L:$L,'NSE - NIFTY Index Options'!$C:$C,$A123,'NSE - NIFTY Index Options'!$B:$B,F$4)+SUMIFS('NSE - Other Index Options'!$L:$L,'NSE - Other Index Options'!$C:$C,$A123,'NSE - Other Index Options'!$B:$B,F$4))</f>
        <v/>
      </c>
      <c r="G123" s="26" t="str">
        <f>IF(SUMIFS('NSE - NIFTY Index Options'!$L:$L,'NSE - NIFTY Index Options'!$C:$C,$A123,'NSE - NIFTY Index Options'!$B:$B,G$4)+SUMIFS('NSE - Other Index Options'!$L:$L,'NSE - Other Index Options'!$C:$C,$A123,'NSE - Other Index Options'!$B:$B,G$4)=0,"",SUMIFS('NSE - NIFTY Index Options'!$L:$L,'NSE - NIFTY Index Options'!$C:$C,$A123,'NSE - NIFTY Index Options'!$B:$B,G$4)+SUMIFS('NSE - Other Index Options'!$L:$L,'NSE - Other Index Options'!$C:$C,$A123,'NSE - Other Index Options'!$B:$B,G$4))</f>
        <v/>
      </c>
      <c r="H123" s="26" t="str">
        <f t="shared" si="3"/>
        <v/>
      </c>
    </row>
    <row r="124" spans="1:8" hidden="1" outlineLevel="1">
      <c r="A124" t="s">
        <v>129</v>
      </c>
      <c r="B124" s="26" t="str">
        <f>IF(SUMIFS('NSE - NIFTY Index Options'!$L:$L,'NSE - NIFTY Index Options'!$C:$C,$A124,'NSE - NIFTY Index Options'!$B:$B,B$4)+SUMIFS('NSE - Other Index Options'!$L:$L,'NSE - Other Index Options'!$C:$C,$A124,'NSE - Other Index Options'!$B:$B,B$4)=0,"",SUMIFS('NSE - NIFTY Index Options'!$L:$L,'NSE - NIFTY Index Options'!$C:$C,$A124,'NSE - NIFTY Index Options'!$B:$B,B$4)+SUMIFS('NSE - Other Index Options'!$L:$L,'NSE - Other Index Options'!$C:$C,$A124,'NSE - Other Index Options'!$B:$B,B$4))</f>
        <v/>
      </c>
      <c r="C124" s="26" t="str">
        <f>IF(SUMIFS('NSE - NIFTY Index Options'!$L:$L,'NSE - NIFTY Index Options'!$C:$C,$A124,'NSE - NIFTY Index Options'!$B:$B,C$4)+SUMIFS('NSE - Other Index Options'!$L:$L,'NSE - Other Index Options'!$C:$C,$A124,'NSE - Other Index Options'!$B:$B,C$4)=0,"",SUMIFS('NSE - NIFTY Index Options'!$L:$L,'NSE - NIFTY Index Options'!$C:$C,$A124,'NSE - NIFTY Index Options'!$B:$B,C$4)+SUMIFS('NSE - Other Index Options'!$L:$L,'NSE - Other Index Options'!$C:$C,$A124,'NSE - Other Index Options'!$B:$B,C$4))</f>
        <v/>
      </c>
      <c r="D124" s="26" t="str">
        <f>IF(SUMIFS('NSE - NIFTY Index Options'!$L:$L,'NSE - NIFTY Index Options'!$C:$C,$A124,'NSE - NIFTY Index Options'!$B:$B,D$4)+SUMIFS('NSE - Other Index Options'!$L:$L,'NSE - Other Index Options'!$C:$C,$A124,'NSE - Other Index Options'!$B:$B,D$4)=0,"",SUMIFS('NSE - NIFTY Index Options'!$L:$L,'NSE - NIFTY Index Options'!$C:$C,$A124,'NSE - NIFTY Index Options'!$B:$B,D$4)+SUMIFS('NSE - Other Index Options'!$L:$L,'NSE - Other Index Options'!$C:$C,$A124,'NSE - Other Index Options'!$B:$B,D$4))</f>
        <v/>
      </c>
      <c r="E124" s="26" t="str">
        <f>IF(SUMIFS('NSE - NIFTY Index Options'!$L:$L,'NSE - NIFTY Index Options'!$C:$C,$A124,'NSE - NIFTY Index Options'!$B:$B,E$4)+SUMIFS('NSE - Other Index Options'!$L:$L,'NSE - Other Index Options'!$C:$C,$A124,'NSE - Other Index Options'!$B:$B,E$4)=0,"",SUMIFS('NSE - NIFTY Index Options'!$L:$L,'NSE - NIFTY Index Options'!$C:$C,$A124,'NSE - NIFTY Index Options'!$B:$B,E$4)+SUMIFS('NSE - Other Index Options'!$L:$L,'NSE - Other Index Options'!$C:$C,$A124,'NSE - Other Index Options'!$B:$B,E$4))</f>
        <v/>
      </c>
      <c r="F124" s="26" t="str">
        <f>IF(SUMIFS('NSE - NIFTY Index Options'!$L:$L,'NSE - NIFTY Index Options'!$C:$C,$A124,'NSE - NIFTY Index Options'!$B:$B,F$4)+SUMIFS('NSE - Other Index Options'!$L:$L,'NSE - Other Index Options'!$C:$C,$A124,'NSE - Other Index Options'!$B:$B,F$4)=0,"",SUMIFS('NSE - NIFTY Index Options'!$L:$L,'NSE - NIFTY Index Options'!$C:$C,$A124,'NSE - NIFTY Index Options'!$B:$B,F$4)+SUMIFS('NSE - Other Index Options'!$L:$L,'NSE - Other Index Options'!$C:$C,$A124,'NSE - Other Index Options'!$B:$B,F$4))</f>
        <v/>
      </c>
      <c r="G124" s="26" t="str">
        <f>IF(SUMIFS('NSE - NIFTY Index Options'!$L:$L,'NSE - NIFTY Index Options'!$C:$C,$A124,'NSE - NIFTY Index Options'!$B:$B,G$4)+SUMIFS('NSE - Other Index Options'!$L:$L,'NSE - Other Index Options'!$C:$C,$A124,'NSE - Other Index Options'!$B:$B,G$4)=0,"",SUMIFS('NSE - NIFTY Index Options'!$L:$L,'NSE - NIFTY Index Options'!$C:$C,$A124,'NSE - NIFTY Index Options'!$B:$B,G$4)+SUMIFS('NSE - Other Index Options'!$L:$L,'NSE - Other Index Options'!$C:$C,$A124,'NSE - Other Index Options'!$B:$B,G$4))</f>
        <v/>
      </c>
      <c r="H124" s="26" t="str">
        <f t="shared" si="3"/>
        <v/>
      </c>
    </row>
    <row r="125" spans="1:8" hidden="1" outlineLevel="1">
      <c r="A125" t="s">
        <v>130</v>
      </c>
      <c r="B125" s="26" t="str">
        <f>IF(SUMIFS('NSE - NIFTY Index Options'!$L:$L,'NSE - NIFTY Index Options'!$C:$C,$A125,'NSE - NIFTY Index Options'!$B:$B,B$4)+SUMIFS('NSE - Other Index Options'!$L:$L,'NSE - Other Index Options'!$C:$C,$A125,'NSE - Other Index Options'!$B:$B,B$4)=0,"",SUMIFS('NSE - NIFTY Index Options'!$L:$L,'NSE - NIFTY Index Options'!$C:$C,$A125,'NSE - NIFTY Index Options'!$B:$B,B$4)+SUMIFS('NSE - Other Index Options'!$L:$L,'NSE - Other Index Options'!$C:$C,$A125,'NSE - Other Index Options'!$B:$B,B$4))</f>
        <v/>
      </c>
      <c r="C125" s="26" t="str">
        <f>IF(SUMIFS('NSE - NIFTY Index Options'!$L:$L,'NSE - NIFTY Index Options'!$C:$C,$A125,'NSE - NIFTY Index Options'!$B:$B,C$4)+SUMIFS('NSE - Other Index Options'!$L:$L,'NSE - Other Index Options'!$C:$C,$A125,'NSE - Other Index Options'!$B:$B,C$4)=0,"",SUMIFS('NSE - NIFTY Index Options'!$L:$L,'NSE - NIFTY Index Options'!$C:$C,$A125,'NSE - NIFTY Index Options'!$B:$B,C$4)+SUMIFS('NSE - Other Index Options'!$L:$L,'NSE - Other Index Options'!$C:$C,$A125,'NSE - Other Index Options'!$B:$B,C$4))</f>
        <v/>
      </c>
      <c r="D125" s="26" t="str">
        <f>IF(SUMIFS('NSE - NIFTY Index Options'!$L:$L,'NSE - NIFTY Index Options'!$C:$C,$A125,'NSE - NIFTY Index Options'!$B:$B,D$4)+SUMIFS('NSE - Other Index Options'!$L:$L,'NSE - Other Index Options'!$C:$C,$A125,'NSE - Other Index Options'!$B:$B,D$4)=0,"",SUMIFS('NSE - NIFTY Index Options'!$L:$L,'NSE - NIFTY Index Options'!$C:$C,$A125,'NSE - NIFTY Index Options'!$B:$B,D$4)+SUMIFS('NSE - Other Index Options'!$L:$L,'NSE - Other Index Options'!$C:$C,$A125,'NSE - Other Index Options'!$B:$B,D$4))</f>
        <v/>
      </c>
      <c r="E125" s="26" t="str">
        <f>IF(SUMIFS('NSE - NIFTY Index Options'!$L:$L,'NSE - NIFTY Index Options'!$C:$C,$A125,'NSE - NIFTY Index Options'!$B:$B,E$4)+SUMIFS('NSE - Other Index Options'!$L:$L,'NSE - Other Index Options'!$C:$C,$A125,'NSE - Other Index Options'!$B:$B,E$4)=0,"",SUMIFS('NSE - NIFTY Index Options'!$L:$L,'NSE - NIFTY Index Options'!$C:$C,$A125,'NSE - NIFTY Index Options'!$B:$B,E$4)+SUMIFS('NSE - Other Index Options'!$L:$L,'NSE - Other Index Options'!$C:$C,$A125,'NSE - Other Index Options'!$B:$B,E$4))</f>
        <v/>
      </c>
      <c r="F125" s="26" t="str">
        <f>IF(SUMIFS('NSE - NIFTY Index Options'!$L:$L,'NSE - NIFTY Index Options'!$C:$C,$A125,'NSE - NIFTY Index Options'!$B:$B,F$4)+SUMIFS('NSE - Other Index Options'!$L:$L,'NSE - Other Index Options'!$C:$C,$A125,'NSE - Other Index Options'!$B:$B,F$4)=0,"",SUMIFS('NSE - NIFTY Index Options'!$L:$L,'NSE - NIFTY Index Options'!$C:$C,$A125,'NSE - NIFTY Index Options'!$B:$B,F$4)+SUMIFS('NSE - Other Index Options'!$L:$L,'NSE - Other Index Options'!$C:$C,$A125,'NSE - Other Index Options'!$B:$B,F$4))</f>
        <v/>
      </c>
      <c r="G125" s="26" t="str">
        <f>IF(SUMIFS('NSE - NIFTY Index Options'!$L:$L,'NSE - NIFTY Index Options'!$C:$C,$A125,'NSE - NIFTY Index Options'!$B:$B,G$4)+SUMIFS('NSE - Other Index Options'!$L:$L,'NSE - Other Index Options'!$C:$C,$A125,'NSE - Other Index Options'!$B:$B,G$4)=0,"",SUMIFS('NSE - NIFTY Index Options'!$L:$L,'NSE - NIFTY Index Options'!$C:$C,$A125,'NSE - NIFTY Index Options'!$B:$B,G$4)+SUMIFS('NSE - Other Index Options'!$L:$L,'NSE - Other Index Options'!$C:$C,$A125,'NSE - Other Index Options'!$B:$B,G$4))</f>
        <v/>
      </c>
      <c r="H125" s="26" t="str">
        <f t="shared" si="3"/>
        <v/>
      </c>
    </row>
    <row r="126" spans="1:8" hidden="1" outlineLevel="1">
      <c r="A126" t="s">
        <v>131</v>
      </c>
      <c r="B126" s="26" t="str">
        <f>IF(SUMIFS('NSE - NIFTY Index Options'!$L:$L,'NSE - NIFTY Index Options'!$C:$C,$A126,'NSE - NIFTY Index Options'!$B:$B,B$4)+SUMIFS('NSE - Other Index Options'!$L:$L,'NSE - Other Index Options'!$C:$C,$A126,'NSE - Other Index Options'!$B:$B,B$4)=0,"",SUMIFS('NSE - NIFTY Index Options'!$L:$L,'NSE - NIFTY Index Options'!$C:$C,$A126,'NSE - NIFTY Index Options'!$B:$B,B$4)+SUMIFS('NSE - Other Index Options'!$L:$L,'NSE - Other Index Options'!$C:$C,$A126,'NSE - Other Index Options'!$B:$B,B$4))</f>
        <v/>
      </c>
      <c r="C126" s="26" t="str">
        <f>IF(SUMIFS('NSE - NIFTY Index Options'!$L:$L,'NSE - NIFTY Index Options'!$C:$C,$A126,'NSE - NIFTY Index Options'!$B:$B,C$4)+SUMIFS('NSE - Other Index Options'!$L:$L,'NSE - Other Index Options'!$C:$C,$A126,'NSE - Other Index Options'!$B:$B,C$4)=0,"",SUMIFS('NSE - NIFTY Index Options'!$L:$L,'NSE - NIFTY Index Options'!$C:$C,$A126,'NSE - NIFTY Index Options'!$B:$B,C$4)+SUMIFS('NSE - Other Index Options'!$L:$L,'NSE - Other Index Options'!$C:$C,$A126,'NSE - Other Index Options'!$B:$B,C$4))</f>
        <v/>
      </c>
      <c r="D126" s="26" t="str">
        <f>IF(SUMIFS('NSE - NIFTY Index Options'!$L:$L,'NSE - NIFTY Index Options'!$C:$C,$A126,'NSE - NIFTY Index Options'!$B:$B,D$4)+SUMIFS('NSE - Other Index Options'!$L:$L,'NSE - Other Index Options'!$C:$C,$A126,'NSE - Other Index Options'!$B:$B,D$4)=0,"",SUMIFS('NSE - NIFTY Index Options'!$L:$L,'NSE - NIFTY Index Options'!$C:$C,$A126,'NSE - NIFTY Index Options'!$B:$B,D$4)+SUMIFS('NSE - Other Index Options'!$L:$L,'NSE - Other Index Options'!$C:$C,$A126,'NSE - Other Index Options'!$B:$B,D$4))</f>
        <v/>
      </c>
      <c r="E126" s="26" t="str">
        <f>IF(SUMIFS('NSE - NIFTY Index Options'!$L:$L,'NSE - NIFTY Index Options'!$C:$C,$A126,'NSE - NIFTY Index Options'!$B:$B,E$4)+SUMIFS('NSE - Other Index Options'!$L:$L,'NSE - Other Index Options'!$C:$C,$A126,'NSE - Other Index Options'!$B:$B,E$4)=0,"",SUMIFS('NSE - NIFTY Index Options'!$L:$L,'NSE - NIFTY Index Options'!$C:$C,$A126,'NSE - NIFTY Index Options'!$B:$B,E$4)+SUMIFS('NSE - Other Index Options'!$L:$L,'NSE - Other Index Options'!$C:$C,$A126,'NSE - Other Index Options'!$B:$B,E$4))</f>
        <v/>
      </c>
      <c r="F126" s="26" t="str">
        <f>IF(SUMIFS('NSE - NIFTY Index Options'!$L:$L,'NSE - NIFTY Index Options'!$C:$C,$A126,'NSE - NIFTY Index Options'!$B:$B,F$4)+SUMIFS('NSE - Other Index Options'!$L:$L,'NSE - Other Index Options'!$C:$C,$A126,'NSE - Other Index Options'!$B:$B,F$4)=0,"",SUMIFS('NSE - NIFTY Index Options'!$L:$L,'NSE - NIFTY Index Options'!$C:$C,$A126,'NSE - NIFTY Index Options'!$B:$B,F$4)+SUMIFS('NSE - Other Index Options'!$L:$L,'NSE - Other Index Options'!$C:$C,$A126,'NSE - Other Index Options'!$B:$B,F$4))</f>
        <v/>
      </c>
      <c r="G126" s="26" t="str">
        <f>IF(SUMIFS('NSE - NIFTY Index Options'!$L:$L,'NSE - NIFTY Index Options'!$C:$C,$A126,'NSE - NIFTY Index Options'!$B:$B,G$4)+SUMIFS('NSE - Other Index Options'!$L:$L,'NSE - Other Index Options'!$C:$C,$A126,'NSE - Other Index Options'!$B:$B,G$4)=0,"",SUMIFS('NSE - NIFTY Index Options'!$L:$L,'NSE - NIFTY Index Options'!$C:$C,$A126,'NSE - NIFTY Index Options'!$B:$B,G$4)+SUMIFS('NSE - Other Index Options'!$L:$L,'NSE - Other Index Options'!$C:$C,$A126,'NSE - Other Index Options'!$B:$B,G$4))</f>
        <v/>
      </c>
      <c r="H126" s="26" t="str">
        <f t="shared" si="3"/>
        <v/>
      </c>
    </row>
    <row r="127" spans="1:8" hidden="1" outlineLevel="1">
      <c r="A127" t="s">
        <v>132</v>
      </c>
      <c r="B127" s="26" t="str">
        <f>IF(SUMIFS('NSE - NIFTY Index Options'!$L:$L,'NSE - NIFTY Index Options'!$C:$C,$A127,'NSE - NIFTY Index Options'!$B:$B,B$4)+SUMIFS('NSE - Other Index Options'!$L:$L,'NSE - Other Index Options'!$C:$C,$A127,'NSE - Other Index Options'!$B:$B,B$4)=0,"",SUMIFS('NSE - NIFTY Index Options'!$L:$L,'NSE - NIFTY Index Options'!$C:$C,$A127,'NSE - NIFTY Index Options'!$B:$B,B$4)+SUMIFS('NSE - Other Index Options'!$L:$L,'NSE - Other Index Options'!$C:$C,$A127,'NSE - Other Index Options'!$B:$B,B$4))</f>
        <v/>
      </c>
      <c r="C127" s="26" t="str">
        <f>IF(SUMIFS('NSE - NIFTY Index Options'!$L:$L,'NSE - NIFTY Index Options'!$C:$C,$A127,'NSE - NIFTY Index Options'!$B:$B,C$4)+SUMIFS('NSE - Other Index Options'!$L:$L,'NSE - Other Index Options'!$C:$C,$A127,'NSE - Other Index Options'!$B:$B,C$4)=0,"",SUMIFS('NSE - NIFTY Index Options'!$L:$L,'NSE - NIFTY Index Options'!$C:$C,$A127,'NSE - NIFTY Index Options'!$B:$B,C$4)+SUMIFS('NSE - Other Index Options'!$L:$L,'NSE - Other Index Options'!$C:$C,$A127,'NSE - Other Index Options'!$B:$B,C$4))</f>
        <v/>
      </c>
      <c r="D127" s="26" t="str">
        <f>IF(SUMIFS('NSE - NIFTY Index Options'!$L:$L,'NSE - NIFTY Index Options'!$C:$C,$A127,'NSE - NIFTY Index Options'!$B:$B,D$4)+SUMIFS('NSE - Other Index Options'!$L:$L,'NSE - Other Index Options'!$C:$C,$A127,'NSE - Other Index Options'!$B:$B,D$4)=0,"",SUMIFS('NSE - NIFTY Index Options'!$L:$L,'NSE - NIFTY Index Options'!$C:$C,$A127,'NSE - NIFTY Index Options'!$B:$B,D$4)+SUMIFS('NSE - Other Index Options'!$L:$L,'NSE - Other Index Options'!$C:$C,$A127,'NSE - Other Index Options'!$B:$B,D$4))</f>
        <v/>
      </c>
      <c r="E127" s="26" t="str">
        <f>IF(SUMIFS('NSE - NIFTY Index Options'!$L:$L,'NSE - NIFTY Index Options'!$C:$C,$A127,'NSE - NIFTY Index Options'!$B:$B,E$4)+SUMIFS('NSE - Other Index Options'!$L:$L,'NSE - Other Index Options'!$C:$C,$A127,'NSE - Other Index Options'!$B:$B,E$4)=0,"",SUMIFS('NSE - NIFTY Index Options'!$L:$L,'NSE - NIFTY Index Options'!$C:$C,$A127,'NSE - NIFTY Index Options'!$B:$B,E$4)+SUMIFS('NSE - Other Index Options'!$L:$L,'NSE - Other Index Options'!$C:$C,$A127,'NSE - Other Index Options'!$B:$B,E$4))</f>
        <v/>
      </c>
      <c r="F127" s="26" t="str">
        <f>IF(SUMIFS('NSE - NIFTY Index Options'!$L:$L,'NSE - NIFTY Index Options'!$C:$C,$A127,'NSE - NIFTY Index Options'!$B:$B,F$4)+SUMIFS('NSE - Other Index Options'!$L:$L,'NSE - Other Index Options'!$C:$C,$A127,'NSE - Other Index Options'!$B:$B,F$4)=0,"",SUMIFS('NSE - NIFTY Index Options'!$L:$L,'NSE - NIFTY Index Options'!$C:$C,$A127,'NSE - NIFTY Index Options'!$B:$B,F$4)+SUMIFS('NSE - Other Index Options'!$L:$L,'NSE - Other Index Options'!$C:$C,$A127,'NSE - Other Index Options'!$B:$B,F$4))</f>
        <v/>
      </c>
      <c r="G127" s="26" t="str">
        <f>IF(SUMIFS('NSE - NIFTY Index Options'!$L:$L,'NSE - NIFTY Index Options'!$C:$C,$A127,'NSE - NIFTY Index Options'!$B:$B,G$4)+SUMIFS('NSE - Other Index Options'!$L:$L,'NSE - Other Index Options'!$C:$C,$A127,'NSE - Other Index Options'!$B:$B,G$4)=0,"",SUMIFS('NSE - NIFTY Index Options'!$L:$L,'NSE - NIFTY Index Options'!$C:$C,$A127,'NSE - NIFTY Index Options'!$B:$B,G$4)+SUMIFS('NSE - Other Index Options'!$L:$L,'NSE - Other Index Options'!$C:$C,$A127,'NSE - Other Index Options'!$B:$B,G$4))</f>
        <v/>
      </c>
      <c r="H127" s="26" t="str">
        <f t="shared" si="3"/>
        <v/>
      </c>
    </row>
    <row r="128" spans="1:8" hidden="1" outlineLevel="1">
      <c r="A128" t="s">
        <v>133</v>
      </c>
      <c r="B128" s="26" t="str">
        <f>IF(SUMIFS('NSE - NIFTY Index Options'!$L:$L,'NSE - NIFTY Index Options'!$C:$C,$A128,'NSE - NIFTY Index Options'!$B:$B,B$4)+SUMIFS('NSE - Other Index Options'!$L:$L,'NSE - Other Index Options'!$C:$C,$A128,'NSE - Other Index Options'!$B:$B,B$4)=0,"",SUMIFS('NSE - NIFTY Index Options'!$L:$L,'NSE - NIFTY Index Options'!$C:$C,$A128,'NSE - NIFTY Index Options'!$B:$B,B$4)+SUMIFS('NSE - Other Index Options'!$L:$L,'NSE - Other Index Options'!$C:$C,$A128,'NSE - Other Index Options'!$B:$B,B$4))</f>
        <v/>
      </c>
      <c r="C128" s="26" t="str">
        <f>IF(SUMIFS('NSE - NIFTY Index Options'!$L:$L,'NSE - NIFTY Index Options'!$C:$C,$A128,'NSE - NIFTY Index Options'!$B:$B,C$4)+SUMIFS('NSE - Other Index Options'!$L:$L,'NSE - Other Index Options'!$C:$C,$A128,'NSE - Other Index Options'!$B:$B,C$4)=0,"",SUMIFS('NSE - NIFTY Index Options'!$L:$L,'NSE - NIFTY Index Options'!$C:$C,$A128,'NSE - NIFTY Index Options'!$B:$B,C$4)+SUMIFS('NSE - Other Index Options'!$L:$L,'NSE - Other Index Options'!$C:$C,$A128,'NSE - Other Index Options'!$B:$B,C$4))</f>
        <v/>
      </c>
      <c r="D128" s="26" t="str">
        <f>IF(SUMIFS('NSE - NIFTY Index Options'!$L:$L,'NSE - NIFTY Index Options'!$C:$C,$A128,'NSE - NIFTY Index Options'!$B:$B,D$4)+SUMIFS('NSE - Other Index Options'!$L:$L,'NSE - Other Index Options'!$C:$C,$A128,'NSE - Other Index Options'!$B:$B,D$4)=0,"",SUMIFS('NSE - NIFTY Index Options'!$L:$L,'NSE - NIFTY Index Options'!$C:$C,$A128,'NSE - NIFTY Index Options'!$B:$B,D$4)+SUMIFS('NSE - Other Index Options'!$L:$L,'NSE - Other Index Options'!$C:$C,$A128,'NSE - Other Index Options'!$B:$B,D$4))</f>
        <v/>
      </c>
      <c r="E128" s="26" t="str">
        <f>IF(SUMIFS('NSE - NIFTY Index Options'!$L:$L,'NSE - NIFTY Index Options'!$C:$C,$A128,'NSE - NIFTY Index Options'!$B:$B,E$4)+SUMIFS('NSE - Other Index Options'!$L:$L,'NSE - Other Index Options'!$C:$C,$A128,'NSE - Other Index Options'!$B:$B,E$4)=0,"",SUMIFS('NSE - NIFTY Index Options'!$L:$L,'NSE - NIFTY Index Options'!$C:$C,$A128,'NSE - NIFTY Index Options'!$B:$B,E$4)+SUMIFS('NSE - Other Index Options'!$L:$L,'NSE - Other Index Options'!$C:$C,$A128,'NSE - Other Index Options'!$B:$B,E$4))</f>
        <v/>
      </c>
      <c r="F128" s="26" t="str">
        <f>IF(SUMIFS('NSE - NIFTY Index Options'!$L:$L,'NSE - NIFTY Index Options'!$C:$C,$A128,'NSE - NIFTY Index Options'!$B:$B,F$4)+SUMIFS('NSE - Other Index Options'!$L:$L,'NSE - Other Index Options'!$C:$C,$A128,'NSE - Other Index Options'!$B:$B,F$4)=0,"",SUMIFS('NSE - NIFTY Index Options'!$L:$L,'NSE - NIFTY Index Options'!$C:$C,$A128,'NSE - NIFTY Index Options'!$B:$B,F$4)+SUMIFS('NSE - Other Index Options'!$L:$L,'NSE - Other Index Options'!$C:$C,$A128,'NSE - Other Index Options'!$B:$B,F$4))</f>
        <v/>
      </c>
      <c r="G128" s="26" t="str">
        <f>IF(SUMIFS('NSE - NIFTY Index Options'!$L:$L,'NSE - NIFTY Index Options'!$C:$C,$A128,'NSE - NIFTY Index Options'!$B:$B,G$4)+SUMIFS('NSE - Other Index Options'!$L:$L,'NSE - Other Index Options'!$C:$C,$A128,'NSE - Other Index Options'!$B:$B,G$4)=0,"",SUMIFS('NSE - NIFTY Index Options'!$L:$L,'NSE - NIFTY Index Options'!$C:$C,$A128,'NSE - NIFTY Index Options'!$B:$B,G$4)+SUMIFS('NSE - Other Index Options'!$L:$L,'NSE - Other Index Options'!$C:$C,$A128,'NSE - Other Index Options'!$B:$B,G$4))</f>
        <v/>
      </c>
      <c r="H128" s="26" t="str">
        <f t="shared" si="3"/>
        <v/>
      </c>
    </row>
    <row r="129" spans="1:8" hidden="1" outlineLevel="1">
      <c r="A129" t="s">
        <v>134</v>
      </c>
      <c r="B129" s="26" t="str">
        <f>IF(SUMIFS('NSE - NIFTY Index Options'!$L:$L,'NSE - NIFTY Index Options'!$C:$C,$A129,'NSE - NIFTY Index Options'!$B:$B,B$4)+SUMIFS('NSE - Other Index Options'!$L:$L,'NSE - Other Index Options'!$C:$C,$A129,'NSE - Other Index Options'!$B:$B,B$4)=0,"",SUMIFS('NSE - NIFTY Index Options'!$L:$L,'NSE - NIFTY Index Options'!$C:$C,$A129,'NSE - NIFTY Index Options'!$B:$B,B$4)+SUMIFS('NSE - Other Index Options'!$L:$L,'NSE - Other Index Options'!$C:$C,$A129,'NSE - Other Index Options'!$B:$B,B$4))</f>
        <v/>
      </c>
      <c r="C129" s="26" t="str">
        <f>IF(SUMIFS('NSE - NIFTY Index Options'!$L:$L,'NSE - NIFTY Index Options'!$C:$C,$A129,'NSE - NIFTY Index Options'!$B:$B,C$4)+SUMIFS('NSE - Other Index Options'!$L:$L,'NSE - Other Index Options'!$C:$C,$A129,'NSE - Other Index Options'!$B:$B,C$4)=0,"",SUMIFS('NSE - NIFTY Index Options'!$L:$L,'NSE - NIFTY Index Options'!$C:$C,$A129,'NSE - NIFTY Index Options'!$B:$B,C$4)+SUMIFS('NSE - Other Index Options'!$L:$L,'NSE - Other Index Options'!$C:$C,$A129,'NSE - Other Index Options'!$B:$B,C$4))</f>
        <v/>
      </c>
      <c r="D129" s="26" t="str">
        <f>IF(SUMIFS('NSE - NIFTY Index Options'!$L:$L,'NSE - NIFTY Index Options'!$C:$C,$A129,'NSE - NIFTY Index Options'!$B:$B,D$4)+SUMIFS('NSE - Other Index Options'!$L:$L,'NSE - Other Index Options'!$C:$C,$A129,'NSE - Other Index Options'!$B:$B,D$4)=0,"",SUMIFS('NSE - NIFTY Index Options'!$L:$L,'NSE - NIFTY Index Options'!$C:$C,$A129,'NSE - NIFTY Index Options'!$B:$B,D$4)+SUMIFS('NSE - Other Index Options'!$L:$L,'NSE - Other Index Options'!$C:$C,$A129,'NSE - Other Index Options'!$B:$B,D$4))</f>
        <v/>
      </c>
      <c r="E129" s="26" t="str">
        <f>IF(SUMIFS('NSE - NIFTY Index Options'!$L:$L,'NSE - NIFTY Index Options'!$C:$C,$A129,'NSE - NIFTY Index Options'!$B:$B,E$4)+SUMIFS('NSE - Other Index Options'!$L:$L,'NSE - Other Index Options'!$C:$C,$A129,'NSE - Other Index Options'!$B:$B,E$4)=0,"",SUMIFS('NSE - NIFTY Index Options'!$L:$L,'NSE - NIFTY Index Options'!$C:$C,$A129,'NSE - NIFTY Index Options'!$B:$B,E$4)+SUMIFS('NSE - Other Index Options'!$L:$L,'NSE - Other Index Options'!$C:$C,$A129,'NSE - Other Index Options'!$B:$B,E$4))</f>
        <v/>
      </c>
      <c r="F129" s="26" t="str">
        <f>IF(SUMIFS('NSE - NIFTY Index Options'!$L:$L,'NSE - NIFTY Index Options'!$C:$C,$A129,'NSE - NIFTY Index Options'!$B:$B,F$4)+SUMIFS('NSE - Other Index Options'!$L:$L,'NSE - Other Index Options'!$C:$C,$A129,'NSE - Other Index Options'!$B:$B,F$4)=0,"",SUMIFS('NSE - NIFTY Index Options'!$L:$L,'NSE - NIFTY Index Options'!$C:$C,$A129,'NSE - NIFTY Index Options'!$B:$B,F$4)+SUMIFS('NSE - Other Index Options'!$L:$L,'NSE - Other Index Options'!$C:$C,$A129,'NSE - Other Index Options'!$B:$B,F$4))</f>
        <v/>
      </c>
      <c r="G129" s="26" t="str">
        <f>IF(SUMIFS('NSE - NIFTY Index Options'!$L:$L,'NSE - NIFTY Index Options'!$C:$C,$A129,'NSE - NIFTY Index Options'!$B:$B,G$4)+SUMIFS('NSE - Other Index Options'!$L:$L,'NSE - Other Index Options'!$C:$C,$A129,'NSE - Other Index Options'!$B:$B,G$4)=0,"",SUMIFS('NSE - NIFTY Index Options'!$L:$L,'NSE - NIFTY Index Options'!$C:$C,$A129,'NSE - NIFTY Index Options'!$B:$B,G$4)+SUMIFS('NSE - Other Index Options'!$L:$L,'NSE - Other Index Options'!$C:$C,$A129,'NSE - Other Index Options'!$B:$B,G$4))</f>
        <v/>
      </c>
      <c r="H129" s="26" t="str">
        <f t="shared" si="3"/>
        <v/>
      </c>
    </row>
    <row r="130" spans="1:8" hidden="1" outlineLevel="1">
      <c r="A130" t="s">
        <v>135</v>
      </c>
      <c r="B130" s="26" t="str">
        <f>IF(SUMIFS('NSE - NIFTY Index Options'!$L:$L,'NSE - NIFTY Index Options'!$C:$C,$A130,'NSE - NIFTY Index Options'!$B:$B,B$4)+SUMIFS('NSE - Other Index Options'!$L:$L,'NSE - Other Index Options'!$C:$C,$A130,'NSE - Other Index Options'!$B:$B,B$4)=0,"",SUMIFS('NSE - NIFTY Index Options'!$L:$L,'NSE - NIFTY Index Options'!$C:$C,$A130,'NSE - NIFTY Index Options'!$B:$B,B$4)+SUMIFS('NSE - Other Index Options'!$L:$L,'NSE - Other Index Options'!$C:$C,$A130,'NSE - Other Index Options'!$B:$B,B$4))</f>
        <v/>
      </c>
      <c r="C130" s="26" t="str">
        <f>IF(SUMIFS('NSE - NIFTY Index Options'!$L:$L,'NSE - NIFTY Index Options'!$C:$C,$A130,'NSE - NIFTY Index Options'!$B:$B,C$4)+SUMIFS('NSE - Other Index Options'!$L:$L,'NSE - Other Index Options'!$C:$C,$A130,'NSE - Other Index Options'!$B:$B,C$4)=0,"",SUMIFS('NSE - NIFTY Index Options'!$L:$L,'NSE - NIFTY Index Options'!$C:$C,$A130,'NSE - NIFTY Index Options'!$B:$B,C$4)+SUMIFS('NSE - Other Index Options'!$L:$L,'NSE - Other Index Options'!$C:$C,$A130,'NSE - Other Index Options'!$B:$B,C$4))</f>
        <v/>
      </c>
      <c r="D130" s="26" t="str">
        <f>IF(SUMIFS('NSE - NIFTY Index Options'!$L:$L,'NSE - NIFTY Index Options'!$C:$C,$A130,'NSE - NIFTY Index Options'!$B:$B,D$4)+SUMIFS('NSE - Other Index Options'!$L:$L,'NSE - Other Index Options'!$C:$C,$A130,'NSE - Other Index Options'!$B:$B,D$4)=0,"",SUMIFS('NSE - NIFTY Index Options'!$L:$L,'NSE - NIFTY Index Options'!$C:$C,$A130,'NSE - NIFTY Index Options'!$B:$B,D$4)+SUMIFS('NSE - Other Index Options'!$L:$L,'NSE - Other Index Options'!$C:$C,$A130,'NSE - Other Index Options'!$B:$B,D$4))</f>
        <v/>
      </c>
      <c r="E130" s="26" t="str">
        <f>IF(SUMIFS('NSE - NIFTY Index Options'!$L:$L,'NSE - NIFTY Index Options'!$C:$C,$A130,'NSE - NIFTY Index Options'!$B:$B,E$4)+SUMIFS('NSE - Other Index Options'!$L:$L,'NSE - Other Index Options'!$C:$C,$A130,'NSE - Other Index Options'!$B:$B,E$4)=0,"",SUMIFS('NSE - NIFTY Index Options'!$L:$L,'NSE - NIFTY Index Options'!$C:$C,$A130,'NSE - NIFTY Index Options'!$B:$B,E$4)+SUMIFS('NSE - Other Index Options'!$L:$L,'NSE - Other Index Options'!$C:$C,$A130,'NSE - Other Index Options'!$B:$B,E$4))</f>
        <v/>
      </c>
      <c r="F130" s="26" t="str">
        <f>IF(SUMIFS('NSE - NIFTY Index Options'!$L:$L,'NSE - NIFTY Index Options'!$C:$C,$A130,'NSE - NIFTY Index Options'!$B:$B,F$4)+SUMIFS('NSE - Other Index Options'!$L:$L,'NSE - Other Index Options'!$C:$C,$A130,'NSE - Other Index Options'!$B:$B,F$4)=0,"",SUMIFS('NSE - NIFTY Index Options'!$L:$L,'NSE - NIFTY Index Options'!$C:$C,$A130,'NSE - NIFTY Index Options'!$B:$B,F$4)+SUMIFS('NSE - Other Index Options'!$L:$L,'NSE - Other Index Options'!$C:$C,$A130,'NSE - Other Index Options'!$B:$B,F$4))</f>
        <v/>
      </c>
      <c r="G130" s="26" t="str">
        <f>IF(SUMIFS('NSE - NIFTY Index Options'!$L:$L,'NSE - NIFTY Index Options'!$C:$C,$A130,'NSE - NIFTY Index Options'!$B:$B,G$4)+SUMIFS('NSE - Other Index Options'!$L:$L,'NSE - Other Index Options'!$C:$C,$A130,'NSE - Other Index Options'!$B:$B,G$4)=0,"",SUMIFS('NSE - NIFTY Index Options'!$L:$L,'NSE - NIFTY Index Options'!$C:$C,$A130,'NSE - NIFTY Index Options'!$B:$B,G$4)+SUMIFS('NSE - Other Index Options'!$L:$L,'NSE - Other Index Options'!$C:$C,$A130,'NSE - Other Index Options'!$B:$B,G$4))</f>
        <v/>
      </c>
      <c r="H130" s="26" t="str">
        <f t="shared" si="3"/>
        <v/>
      </c>
    </row>
    <row r="131" spans="1:8" hidden="1" outlineLevel="1">
      <c r="A131" t="s">
        <v>136</v>
      </c>
      <c r="B131" s="26" t="str">
        <f>IF(SUMIFS('NSE - NIFTY Index Options'!$L:$L,'NSE - NIFTY Index Options'!$C:$C,$A131,'NSE - NIFTY Index Options'!$B:$B,B$4)+SUMIFS('NSE - Other Index Options'!$L:$L,'NSE - Other Index Options'!$C:$C,$A131,'NSE - Other Index Options'!$B:$B,B$4)=0,"",SUMIFS('NSE - NIFTY Index Options'!$L:$L,'NSE - NIFTY Index Options'!$C:$C,$A131,'NSE - NIFTY Index Options'!$B:$B,B$4)+SUMIFS('NSE - Other Index Options'!$L:$L,'NSE - Other Index Options'!$C:$C,$A131,'NSE - Other Index Options'!$B:$B,B$4))</f>
        <v/>
      </c>
      <c r="C131" s="26" t="str">
        <f>IF(SUMIFS('NSE - NIFTY Index Options'!$L:$L,'NSE - NIFTY Index Options'!$C:$C,$A131,'NSE - NIFTY Index Options'!$B:$B,C$4)+SUMIFS('NSE - Other Index Options'!$L:$L,'NSE - Other Index Options'!$C:$C,$A131,'NSE - Other Index Options'!$B:$B,C$4)=0,"",SUMIFS('NSE - NIFTY Index Options'!$L:$L,'NSE - NIFTY Index Options'!$C:$C,$A131,'NSE - NIFTY Index Options'!$B:$B,C$4)+SUMIFS('NSE - Other Index Options'!$L:$L,'NSE - Other Index Options'!$C:$C,$A131,'NSE - Other Index Options'!$B:$B,C$4))</f>
        <v/>
      </c>
      <c r="D131" s="26" t="str">
        <f>IF(SUMIFS('NSE - NIFTY Index Options'!$L:$L,'NSE - NIFTY Index Options'!$C:$C,$A131,'NSE - NIFTY Index Options'!$B:$B,D$4)+SUMIFS('NSE - Other Index Options'!$L:$L,'NSE - Other Index Options'!$C:$C,$A131,'NSE - Other Index Options'!$B:$B,D$4)=0,"",SUMIFS('NSE - NIFTY Index Options'!$L:$L,'NSE - NIFTY Index Options'!$C:$C,$A131,'NSE - NIFTY Index Options'!$B:$B,D$4)+SUMIFS('NSE - Other Index Options'!$L:$L,'NSE - Other Index Options'!$C:$C,$A131,'NSE - Other Index Options'!$B:$B,D$4))</f>
        <v/>
      </c>
      <c r="E131" s="26" t="str">
        <f>IF(SUMIFS('NSE - NIFTY Index Options'!$L:$L,'NSE - NIFTY Index Options'!$C:$C,$A131,'NSE - NIFTY Index Options'!$B:$B,E$4)+SUMIFS('NSE - Other Index Options'!$L:$L,'NSE - Other Index Options'!$C:$C,$A131,'NSE - Other Index Options'!$B:$B,E$4)=0,"",SUMIFS('NSE - NIFTY Index Options'!$L:$L,'NSE - NIFTY Index Options'!$C:$C,$A131,'NSE - NIFTY Index Options'!$B:$B,E$4)+SUMIFS('NSE - Other Index Options'!$L:$L,'NSE - Other Index Options'!$C:$C,$A131,'NSE - Other Index Options'!$B:$B,E$4))</f>
        <v/>
      </c>
      <c r="F131" s="26" t="str">
        <f>IF(SUMIFS('NSE - NIFTY Index Options'!$L:$L,'NSE - NIFTY Index Options'!$C:$C,$A131,'NSE - NIFTY Index Options'!$B:$B,F$4)+SUMIFS('NSE - Other Index Options'!$L:$L,'NSE - Other Index Options'!$C:$C,$A131,'NSE - Other Index Options'!$B:$B,F$4)=0,"",SUMIFS('NSE - NIFTY Index Options'!$L:$L,'NSE - NIFTY Index Options'!$C:$C,$A131,'NSE - NIFTY Index Options'!$B:$B,F$4)+SUMIFS('NSE - Other Index Options'!$L:$L,'NSE - Other Index Options'!$C:$C,$A131,'NSE - Other Index Options'!$B:$B,F$4))</f>
        <v/>
      </c>
      <c r="G131" s="26" t="str">
        <f>IF(SUMIFS('NSE - NIFTY Index Options'!$L:$L,'NSE - NIFTY Index Options'!$C:$C,$A131,'NSE - NIFTY Index Options'!$B:$B,G$4)+SUMIFS('NSE - Other Index Options'!$L:$L,'NSE - Other Index Options'!$C:$C,$A131,'NSE - Other Index Options'!$B:$B,G$4)=0,"",SUMIFS('NSE - NIFTY Index Options'!$L:$L,'NSE - NIFTY Index Options'!$C:$C,$A131,'NSE - NIFTY Index Options'!$B:$B,G$4)+SUMIFS('NSE - Other Index Options'!$L:$L,'NSE - Other Index Options'!$C:$C,$A131,'NSE - Other Index Options'!$B:$B,G$4))</f>
        <v/>
      </c>
      <c r="H131" s="26" t="str">
        <f t="shared" si="3"/>
        <v/>
      </c>
    </row>
    <row r="132" spans="1:8" hidden="1" outlineLevel="1">
      <c r="A132" t="s">
        <v>137</v>
      </c>
      <c r="B132" s="26" t="str">
        <f>IF(SUMIFS('NSE - NIFTY Index Options'!$L:$L,'NSE - NIFTY Index Options'!$C:$C,$A132,'NSE - NIFTY Index Options'!$B:$B,B$4)+SUMIFS('NSE - Other Index Options'!$L:$L,'NSE - Other Index Options'!$C:$C,$A132,'NSE - Other Index Options'!$B:$B,B$4)=0,"",SUMIFS('NSE - NIFTY Index Options'!$L:$L,'NSE - NIFTY Index Options'!$C:$C,$A132,'NSE - NIFTY Index Options'!$B:$B,B$4)+SUMIFS('NSE - Other Index Options'!$L:$L,'NSE - Other Index Options'!$C:$C,$A132,'NSE - Other Index Options'!$B:$B,B$4))</f>
        <v/>
      </c>
      <c r="C132" s="26" t="str">
        <f>IF(SUMIFS('NSE - NIFTY Index Options'!$L:$L,'NSE - NIFTY Index Options'!$C:$C,$A132,'NSE - NIFTY Index Options'!$B:$B,C$4)+SUMIFS('NSE - Other Index Options'!$L:$L,'NSE - Other Index Options'!$C:$C,$A132,'NSE - Other Index Options'!$B:$B,C$4)=0,"",SUMIFS('NSE - NIFTY Index Options'!$L:$L,'NSE - NIFTY Index Options'!$C:$C,$A132,'NSE - NIFTY Index Options'!$B:$B,C$4)+SUMIFS('NSE - Other Index Options'!$L:$L,'NSE - Other Index Options'!$C:$C,$A132,'NSE - Other Index Options'!$B:$B,C$4))</f>
        <v/>
      </c>
      <c r="D132" s="26" t="str">
        <f>IF(SUMIFS('NSE - NIFTY Index Options'!$L:$L,'NSE - NIFTY Index Options'!$C:$C,$A132,'NSE - NIFTY Index Options'!$B:$B,D$4)+SUMIFS('NSE - Other Index Options'!$L:$L,'NSE - Other Index Options'!$C:$C,$A132,'NSE - Other Index Options'!$B:$B,D$4)=0,"",SUMIFS('NSE - NIFTY Index Options'!$L:$L,'NSE - NIFTY Index Options'!$C:$C,$A132,'NSE - NIFTY Index Options'!$B:$B,D$4)+SUMIFS('NSE - Other Index Options'!$L:$L,'NSE - Other Index Options'!$C:$C,$A132,'NSE - Other Index Options'!$B:$B,D$4))</f>
        <v/>
      </c>
      <c r="E132" s="26" t="str">
        <f>IF(SUMIFS('NSE - NIFTY Index Options'!$L:$L,'NSE - NIFTY Index Options'!$C:$C,$A132,'NSE - NIFTY Index Options'!$B:$B,E$4)+SUMIFS('NSE - Other Index Options'!$L:$L,'NSE - Other Index Options'!$C:$C,$A132,'NSE - Other Index Options'!$B:$B,E$4)=0,"",SUMIFS('NSE - NIFTY Index Options'!$L:$L,'NSE - NIFTY Index Options'!$C:$C,$A132,'NSE - NIFTY Index Options'!$B:$B,E$4)+SUMIFS('NSE - Other Index Options'!$L:$L,'NSE - Other Index Options'!$C:$C,$A132,'NSE - Other Index Options'!$B:$B,E$4))</f>
        <v/>
      </c>
      <c r="F132" s="26" t="str">
        <f>IF(SUMIFS('NSE - NIFTY Index Options'!$L:$L,'NSE - NIFTY Index Options'!$C:$C,$A132,'NSE - NIFTY Index Options'!$B:$B,F$4)+SUMIFS('NSE - Other Index Options'!$L:$L,'NSE - Other Index Options'!$C:$C,$A132,'NSE - Other Index Options'!$B:$B,F$4)=0,"",SUMIFS('NSE - NIFTY Index Options'!$L:$L,'NSE - NIFTY Index Options'!$C:$C,$A132,'NSE - NIFTY Index Options'!$B:$B,F$4)+SUMIFS('NSE - Other Index Options'!$L:$L,'NSE - Other Index Options'!$C:$C,$A132,'NSE - Other Index Options'!$B:$B,F$4))</f>
        <v/>
      </c>
      <c r="G132" s="26" t="str">
        <f>IF(SUMIFS('NSE - NIFTY Index Options'!$L:$L,'NSE - NIFTY Index Options'!$C:$C,$A132,'NSE - NIFTY Index Options'!$B:$B,G$4)+SUMIFS('NSE - Other Index Options'!$L:$L,'NSE - Other Index Options'!$C:$C,$A132,'NSE - Other Index Options'!$B:$B,G$4)=0,"",SUMIFS('NSE - NIFTY Index Options'!$L:$L,'NSE - NIFTY Index Options'!$C:$C,$A132,'NSE - NIFTY Index Options'!$B:$B,G$4)+SUMIFS('NSE - Other Index Options'!$L:$L,'NSE - Other Index Options'!$C:$C,$A132,'NSE - Other Index Options'!$B:$B,G$4))</f>
        <v/>
      </c>
      <c r="H132" s="26" t="str">
        <f t="shared" si="3"/>
        <v/>
      </c>
    </row>
    <row r="133" spans="1:8" hidden="1" outlineLevel="1">
      <c r="A133" t="s">
        <v>138</v>
      </c>
      <c r="B133" s="26" t="str">
        <f>IF(SUMIFS('NSE - NIFTY Index Options'!$L:$L,'NSE - NIFTY Index Options'!$C:$C,$A133,'NSE - NIFTY Index Options'!$B:$B,B$4)+SUMIFS('NSE - Other Index Options'!$L:$L,'NSE - Other Index Options'!$C:$C,$A133,'NSE - Other Index Options'!$B:$B,B$4)=0,"",SUMIFS('NSE - NIFTY Index Options'!$L:$L,'NSE - NIFTY Index Options'!$C:$C,$A133,'NSE - NIFTY Index Options'!$B:$B,B$4)+SUMIFS('NSE - Other Index Options'!$L:$L,'NSE - Other Index Options'!$C:$C,$A133,'NSE - Other Index Options'!$B:$B,B$4))</f>
        <v/>
      </c>
      <c r="C133" s="26" t="str">
        <f>IF(SUMIFS('NSE - NIFTY Index Options'!$L:$L,'NSE - NIFTY Index Options'!$C:$C,$A133,'NSE - NIFTY Index Options'!$B:$B,C$4)+SUMIFS('NSE - Other Index Options'!$L:$L,'NSE - Other Index Options'!$C:$C,$A133,'NSE - Other Index Options'!$B:$B,C$4)=0,"",SUMIFS('NSE - NIFTY Index Options'!$L:$L,'NSE - NIFTY Index Options'!$C:$C,$A133,'NSE - NIFTY Index Options'!$B:$B,C$4)+SUMIFS('NSE - Other Index Options'!$L:$L,'NSE - Other Index Options'!$C:$C,$A133,'NSE - Other Index Options'!$B:$B,C$4))</f>
        <v/>
      </c>
      <c r="D133" s="26" t="str">
        <f>IF(SUMIFS('NSE - NIFTY Index Options'!$L:$L,'NSE - NIFTY Index Options'!$C:$C,$A133,'NSE - NIFTY Index Options'!$B:$B,D$4)+SUMIFS('NSE - Other Index Options'!$L:$L,'NSE - Other Index Options'!$C:$C,$A133,'NSE - Other Index Options'!$B:$B,D$4)=0,"",SUMIFS('NSE - NIFTY Index Options'!$L:$L,'NSE - NIFTY Index Options'!$C:$C,$A133,'NSE - NIFTY Index Options'!$B:$B,D$4)+SUMIFS('NSE - Other Index Options'!$L:$L,'NSE - Other Index Options'!$C:$C,$A133,'NSE - Other Index Options'!$B:$B,D$4))</f>
        <v/>
      </c>
      <c r="E133" s="26" t="str">
        <f>IF(SUMIFS('NSE - NIFTY Index Options'!$L:$L,'NSE - NIFTY Index Options'!$C:$C,$A133,'NSE - NIFTY Index Options'!$B:$B,E$4)+SUMIFS('NSE - Other Index Options'!$L:$L,'NSE - Other Index Options'!$C:$C,$A133,'NSE - Other Index Options'!$B:$B,E$4)=0,"",SUMIFS('NSE - NIFTY Index Options'!$L:$L,'NSE - NIFTY Index Options'!$C:$C,$A133,'NSE - NIFTY Index Options'!$B:$B,E$4)+SUMIFS('NSE - Other Index Options'!$L:$L,'NSE - Other Index Options'!$C:$C,$A133,'NSE - Other Index Options'!$B:$B,E$4))</f>
        <v/>
      </c>
      <c r="F133" s="26" t="str">
        <f>IF(SUMIFS('NSE - NIFTY Index Options'!$L:$L,'NSE - NIFTY Index Options'!$C:$C,$A133,'NSE - NIFTY Index Options'!$B:$B,F$4)+SUMIFS('NSE - Other Index Options'!$L:$L,'NSE - Other Index Options'!$C:$C,$A133,'NSE - Other Index Options'!$B:$B,F$4)=0,"",SUMIFS('NSE - NIFTY Index Options'!$L:$L,'NSE - NIFTY Index Options'!$C:$C,$A133,'NSE - NIFTY Index Options'!$B:$B,F$4)+SUMIFS('NSE - Other Index Options'!$L:$L,'NSE - Other Index Options'!$C:$C,$A133,'NSE - Other Index Options'!$B:$B,F$4))</f>
        <v/>
      </c>
      <c r="G133" s="26" t="str">
        <f>IF(SUMIFS('NSE - NIFTY Index Options'!$L:$L,'NSE - NIFTY Index Options'!$C:$C,$A133,'NSE - NIFTY Index Options'!$B:$B,G$4)+SUMIFS('NSE - Other Index Options'!$L:$L,'NSE - Other Index Options'!$C:$C,$A133,'NSE - Other Index Options'!$B:$B,G$4)=0,"",SUMIFS('NSE - NIFTY Index Options'!$L:$L,'NSE - NIFTY Index Options'!$C:$C,$A133,'NSE - NIFTY Index Options'!$B:$B,G$4)+SUMIFS('NSE - Other Index Options'!$L:$L,'NSE - Other Index Options'!$C:$C,$A133,'NSE - Other Index Options'!$B:$B,G$4))</f>
        <v/>
      </c>
      <c r="H133" s="26" t="str">
        <f t="shared" ref="H133:H164" si="4">IF(SUM(B133:G133)=0,"",SUM(B133:G133))</f>
        <v/>
      </c>
    </row>
    <row r="134" spans="1:8" hidden="1" outlineLevel="1">
      <c r="A134" t="s">
        <v>139</v>
      </c>
      <c r="B134" s="26" t="str">
        <f>IF(SUMIFS('NSE - NIFTY Index Options'!$L:$L,'NSE - NIFTY Index Options'!$C:$C,$A134,'NSE - NIFTY Index Options'!$B:$B,B$4)+SUMIFS('NSE - Other Index Options'!$L:$L,'NSE - Other Index Options'!$C:$C,$A134,'NSE - Other Index Options'!$B:$B,B$4)=0,"",SUMIFS('NSE - NIFTY Index Options'!$L:$L,'NSE - NIFTY Index Options'!$C:$C,$A134,'NSE - NIFTY Index Options'!$B:$B,B$4)+SUMIFS('NSE - Other Index Options'!$L:$L,'NSE - Other Index Options'!$C:$C,$A134,'NSE - Other Index Options'!$B:$B,B$4))</f>
        <v/>
      </c>
      <c r="C134" s="26" t="str">
        <f>IF(SUMIFS('NSE - NIFTY Index Options'!$L:$L,'NSE - NIFTY Index Options'!$C:$C,$A134,'NSE - NIFTY Index Options'!$B:$B,C$4)+SUMIFS('NSE - Other Index Options'!$L:$L,'NSE - Other Index Options'!$C:$C,$A134,'NSE - Other Index Options'!$B:$B,C$4)=0,"",SUMIFS('NSE - NIFTY Index Options'!$L:$L,'NSE - NIFTY Index Options'!$C:$C,$A134,'NSE - NIFTY Index Options'!$B:$B,C$4)+SUMIFS('NSE - Other Index Options'!$L:$L,'NSE - Other Index Options'!$C:$C,$A134,'NSE - Other Index Options'!$B:$B,C$4))</f>
        <v/>
      </c>
      <c r="D134" s="26" t="str">
        <f>IF(SUMIFS('NSE - NIFTY Index Options'!$L:$L,'NSE - NIFTY Index Options'!$C:$C,$A134,'NSE - NIFTY Index Options'!$B:$B,D$4)+SUMIFS('NSE - Other Index Options'!$L:$L,'NSE - Other Index Options'!$C:$C,$A134,'NSE - Other Index Options'!$B:$B,D$4)=0,"",SUMIFS('NSE - NIFTY Index Options'!$L:$L,'NSE - NIFTY Index Options'!$C:$C,$A134,'NSE - NIFTY Index Options'!$B:$B,D$4)+SUMIFS('NSE - Other Index Options'!$L:$L,'NSE - Other Index Options'!$C:$C,$A134,'NSE - Other Index Options'!$B:$B,D$4))</f>
        <v/>
      </c>
      <c r="E134" s="26" t="str">
        <f>IF(SUMIFS('NSE - NIFTY Index Options'!$L:$L,'NSE - NIFTY Index Options'!$C:$C,$A134,'NSE - NIFTY Index Options'!$B:$B,E$4)+SUMIFS('NSE - Other Index Options'!$L:$L,'NSE - Other Index Options'!$C:$C,$A134,'NSE - Other Index Options'!$B:$B,E$4)=0,"",SUMIFS('NSE - NIFTY Index Options'!$L:$L,'NSE - NIFTY Index Options'!$C:$C,$A134,'NSE - NIFTY Index Options'!$B:$B,E$4)+SUMIFS('NSE - Other Index Options'!$L:$L,'NSE - Other Index Options'!$C:$C,$A134,'NSE - Other Index Options'!$B:$B,E$4))</f>
        <v/>
      </c>
      <c r="F134" s="26" t="str">
        <f>IF(SUMIFS('NSE - NIFTY Index Options'!$L:$L,'NSE - NIFTY Index Options'!$C:$C,$A134,'NSE - NIFTY Index Options'!$B:$B,F$4)+SUMIFS('NSE - Other Index Options'!$L:$L,'NSE - Other Index Options'!$C:$C,$A134,'NSE - Other Index Options'!$B:$B,F$4)=0,"",SUMIFS('NSE - NIFTY Index Options'!$L:$L,'NSE - NIFTY Index Options'!$C:$C,$A134,'NSE - NIFTY Index Options'!$B:$B,F$4)+SUMIFS('NSE - Other Index Options'!$L:$L,'NSE - Other Index Options'!$C:$C,$A134,'NSE - Other Index Options'!$B:$B,F$4))</f>
        <v/>
      </c>
      <c r="G134" s="26" t="str">
        <f>IF(SUMIFS('NSE - NIFTY Index Options'!$L:$L,'NSE - NIFTY Index Options'!$C:$C,$A134,'NSE - NIFTY Index Options'!$B:$B,G$4)+SUMIFS('NSE - Other Index Options'!$L:$L,'NSE - Other Index Options'!$C:$C,$A134,'NSE - Other Index Options'!$B:$B,G$4)=0,"",SUMIFS('NSE - NIFTY Index Options'!$L:$L,'NSE - NIFTY Index Options'!$C:$C,$A134,'NSE - NIFTY Index Options'!$B:$B,G$4)+SUMIFS('NSE - Other Index Options'!$L:$L,'NSE - Other Index Options'!$C:$C,$A134,'NSE - Other Index Options'!$B:$B,G$4))</f>
        <v/>
      </c>
      <c r="H134" s="26" t="str">
        <f t="shared" si="4"/>
        <v/>
      </c>
    </row>
    <row r="135" spans="1:8" hidden="1" outlineLevel="1">
      <c r="A135" t="s">
        <v>140</v>
      </c>
      <c r="B135" s="26" t="str">
        <f>IF(SUMIFS('NSE - NIFTY Index Options'!$L:$L,'NSE - NIFTY Index Options'!$C:$C,$A135,'NSE - NIFTY Index Options'!$B:$B,B$4)+SUMIFS('NSE - Other Index Options'!$L:$L,'NSE - Other Index Options'!$C:$C,$A135,'NSE - Other Index Options'!$B:$B,B$4)=0,"",SUMIFS('NSE - NIFTY Index Options'!$L:$L,'NSE - NIFTY Index Options'!$C:$C,$A135,'NSE - NIFTY Index Options'!$B:$B,B$4)+SUMIFS('NSE - Other Index Options'!$L:$L,'NSE - Other Index Options'!$C:$C,$A135,'NSE - Other Index Options'!$B:$B,B$4))</f>
        <v/>
      </c>
      <c r="C135" s="26" t="str">
        <f>IF(SUMIFS('NSE - NIFTY Index Options'!$L:$L,'NSE - NIFTY Index Options'!$C:$C,$A135,'NSE - NIFTY Index Options'!$B:$B,C$4)+SUMIFS('NSE - Other Index Options'!$L:$L,'NSE - Other Index Options'!$C:$C,$A135,'NSE - Other Index Options'!$B:$B,C$4)=0,"",SUMIFS('NSE - NIFTY Index Options'!$L:$L,'NSE - NIFTY Index Options'!$C:$C,$A135,'NSE - NIFTY Index Options'!$B:$B,C$4)+SUMIFS('NSE - Other Index Options'!$L:$L,'NSE - Other Index Options'!$C:$C,$A135,'NSE - Other Index Options'!$B:$B,C$4))</f>
        <v/>
      </c>
      <c r="D135" s="26" t="str">
        <f>IF(SUMIFS('NSE - NIFTY Index Options'!$L:$L,'NSE - NIFTY Index Options'!$C:$C,$A135,'NSE - NIFTY Index Options'!$B:$B,D$4)+SUMIFS('NSE - Other Index Options'!$L:$L,'NSE - Other Index Options'!$C:$C,$A135,'NSE - Other Index Options'!$B:$B,D$4)=0,"",SUMIFS('NSE - NIFTY Index Options'!$L:$L,'NSE - NIFTY Index Options'!$C:$C,$A135,'NSE - NIFTY Index Options'!$B:$B,D$4)+SUMIFS('NSE - Other Index Options'!$L:$L,'NSE - Other Index Options'!$C:$C,$A135,'NSE - Other Index Options'!$B:$B,D$4))</f>
        <v/>
      </c>
      <c r="E135" s="26" t="str">
        <f>IF(SUMIFS('NSE - NIFTY Index Options'!$L:$L,'NSE - NIFTY Index Options'!$C:$C,$A135,'NSE - NIFTY Index Options'!$B:$B,E$4)+SUMIFS('NSE - Other Index Options'!$L:$L,'NSE - Other Index Options'!$C:$C,$A135,'NSE - Other Index Options'!$B:$B,E$4)=0,"",SUMIFS('NSE - NIFTY Index Options'!$L:$L,'NSE - NIFTY Index Options'!$C:$C,$A135,'NSE - NIFTY Index Options'!$B:$B,E$4)+SUMIFS('NSE - Other Index Options'!$L:$L,'NSE - Other Index Options'!$C:$C,$A135,'NSE - Other Index Options'!$B:$B,E$4))</f>
        <v/>
      </c>
      <c r="F135" s="26" t="str">
        <f>IF(SUMIFS('NSE - NIFTY Index Options'!$L:$L,'NSE - NIFTY Index Options'!$C:$C,$A135,'NSE - NIFTY Index Options'!$B:$B,F$4)+SUMIFS('NSE - Other Index Options'!$L:$L,'NSE - Other Index Options'!$C:$C,$A135,'NSE - Other Index Options'!$B:$B,F$4)=0,"",SUMIFS('NSE - NIFTY Index Options'!$L:$L,'NSE - NIFTY Index Options'!$C:$C,$A135,'NSE - NIFTY Index Options'!$B:$B,F$4)+SUMIFS('NSE - Other Index Options'!$L:$L,'NSE - Other Index Options'!$C:$C,$A135,'NSE - Other Index Options'!$B:$B,F$4))</f>
        <v/>
      </c>
      <c r="G135" s="26" t="str">
        <f>IF(SUMIFS('NSE - NIFTY Index Options'!$L:$L,'NSE - NIFTY Index Options'!$C:$C,$A135,'NSE - NIFTY Index Options'!$B:$B,G$4)+SUMIFS('NSE - Other Index Options'!$L:$L,'NSE - Other Index Options'!$C:$C,$A135,'NSE - Other Index Options'!$B:$B,G$4)=0,"",SUMIFS('NSE - NIFTY Index Options'!$L:$L,'NSE - NIFTY Index Options'!$C:$C,$A135,'NSE - NIFTY Index Options'!$B:$B,G$4)+SUMIFS('NSE - Other Index Options'!$L:$L,'NSE - Other Index Options'!$C:$C,$A135,'NSE - Other Index Options'!$B:$B,G$4))</f>
        <v/>
      </c>
      <c r="H135" s="26" t="str">
        <f t="shared" si="4"/>
        <v/>
      </c>
    </row>
    <row r="136" spans="1:8" hidden="1" outlineLevel="1">
      <c r="A136" t="s">
        <v>141</v>
      </c>
      <c r="B136" s="26" t="str">
        <f>IF(SUMIFS('NSE - NIFTY Index Options'!$L:$L,'NSE - NIFTY Index Options'!$C:$C,$A136,'NSE - NIFTY Index Options'!$B:$B,B$4)+SUMIFS('NSE - Other Index Options'!$L:$L,'NSE - Other Index Options'!$C:$C,$A136,'NSE - Other Index Options'!$B:$B,B$4)=0,"",SUMIFS('NSE - NIFTY Index Options'!$L:$L,'NSE - NIFTY Index Options'!$C:$C,$A136,'NSE - NIFTY Index Options'!$B:$B,B$4)+SUMIFS('NSE - Other Index Options'!$L:$L,'NSE - Other Index Options'!$C:$C,$A136,'NSE - Other Index Options'!$B:$B,B$4))</f>
        <v/>
      </c>
      <c r="C136" s="26" t="str">
        <f>IF(SUMIFS('NSE - NIFTY Index Options'!$L:$L,'NSE - NIFTY Index Options'!$C:$C,$A136,'NSE - NIFTY Index Options'!$B:$B,C$4)+SUMIFS('NSE - Other Index Options'!$L:$L,'NSE - Other Index Options'!$C:$C,$A136,'NSE - Other Index Options'!$B:$B,C$4)=0,"",SUMIFS('NSE - NIFTY Index Options'!$L:$L,'NSE - NIFTY Index Options'!$C:$C,$A136,'NSE - NIFTY Index Options'!$B:$B,C$4)+SUMIFS('NSE - Other Index Options'!$L:$L,'NSE - Other Index Options'!$C:$C,$A136,'NSE - Other Index Options'!$B:$B,C$4))</f>
        <v/>
      </c>
      <c r="D136" s="26" t="str">
        <f>IF(SUMIFS('NSE - NIFTY Index Options'!$L:$L,'NSE - NIFTY Index Options'!$C:$C,$A136,'NSE - NIFTY Index Options'!$B:$B,D$4)+SUMIFS('NSE - Other Index Options'!$L:$L,'NSE - Other Index Options'!$C:$C,$A136,'NSE - Other Index Options'!$B:$B,D$4)=0,"",SUMIFS('NSE - NIFTY Index Options'!$L:$L,'NSE - NIFTY Index Options'!$C:$C,$A136,'NSE - NIFTY Index Options'!$B:$B,D$4)+SUMIFS('NSE - Other Index Options'!$L:$L,'NSE - Other Index Options'!$C:$C,$A136,'NSE - Other Index Options'!$B:$B,D$4))</f>
        <v/>
      </c>
      <c r="E136" s="26" t="str">
        <f>IF(SUMIFS('NSE - NIFTY Index Options'!$L:$L,'NSE - NIFTY Index Options'!$C:$C,$A136,'NSE - NIFTY Index Options'!$B:$B,E$4)+SUMIFS('NSE - Other Index Options'!$L:$L,'NSE - Other Index Options'!$C:$C,$A136,'NSE - Other Index Options'!$B:$B,E$4)=0,"",SUMIFS('NSE - NIFTY Index Options'!$L:$L,'NSE - NIFTY Index Options'!$C:$C,$A136,'NSE - NIFTY Index Options'!$B:$B,E$4)+SUMIFS('NSE - Other Index Options'!$L:$L,'NSE - Other Index Options'!$C:$C,$A136,'NSE - Other Index Options'!$B:$B,E$4))</f>
        <v/>
      </c>
      <c r="F136" s="26" t="str">
        <f>IF(SUMIFS('NSE - NIFTY Index Options'!$L:$L,'NSE - NIFTY Index Options'!$C:$C,$A136,'NSE - NIFTY Index Options'!$B:$B,F$4)+SUMIFS('NSE - Other Index Options'!$L:$L,'NSE - Other Index Options'!$C:$C,$A136,'NSE - Other Index Options'!$B:$B,F$4)=0,"",SUMIFS('NSE - NIFTY Index Options'!$L:$L,'NSE - NIFTY Index Options'!$C:$C,$A136,'NSE - NIFTY Index Options'!$B:$B,F$4)+SUMIFS('NSE - Other Index Options'!$L:$L,'NSE - Other Index Options'!$C:$C,$A136,'NSE - Other Index Options'!$B:$B,F$4))</f>
        <v/>
      </c>
      <c r="G136" s="26" t="str">
        <f>IF(SUMIFS('NSE - NIFTY Index Options'!$L:$L,'NSE - NIFTY Index Options'!$C:$C,$A136,'NSE - NIFTY Index Options'!$B:$B,G$4)+SUMIFS('NSE - Other Index Options'!$L:$L,'NSE - Other Index Options'!$C:$C,$A136,'NSE - Other Index Options'!$B:$B,G$4)=0,"",SUMIFS('NSE - NIFTY Index Options'!$L:$L,'NSE - NIFTY Index Options'!$C:$C,$A136,'NSE - NIFTY Index Options'!$B:$B,G$4)+SUMIFS('NSE - Other Index Options'!$L:$L,'NSE - Other Index Options'!$C:$C,$A136,'NSE - Other Index Options'!$B:$B,G$4))</f>
        <v/>
      </c>
      <c r="H136" s="26" t="str">
        <f t="shared" si="4"/>
        <v/>
      </c>
    </row>
    <row r="137" spans="1:8" hidden="1" outlineLevel="1">
      <c r="A137" t="s">
        <v>142</v>
      </c>
      <c r="B137" s="26" t="str">
        <f>IF(SUMIFS('NSE - NIFTY Index Options'!$L:$L,'NSE - NIFTY Index Options'!$C:$C,$A137,'NSE - NIFTY Index Options'!$B:$B,B$4)+SUMIFS('NSE - Other Index Options'!$L:$L,'NSE - Other Index Options'!$C:$C,$A137,'NSE - Other Index Options'!$B:$B,B$4)=0,"",SUMIFS('NSE - NIFTY Index Options'!$L:$L,'NSE - NIFTY Index Options'!$C:$C,$A137,'NSE - NIFTY Index Options'!$B:$B,B$4)+SUMIFS('NSE - Other Index Options'!$L:$L,'NSE - Other Index Options'!$C:$C,$A137,'NSE - Other Index Options'!$B:$B,B$4))</f>
        <v/>
      </c>
      <c r="C137" s="26" t="str">
        <f>IF(SUMIFS('NSE - NIFTY Index Options'!$L:$L,'NSE - NIFTY Index Options'!$C:$C,$A137,'NSE - NIFTY Index Options'!$B:$B,C$4)+SUMIFS('NSE - Other Index Options'!$L:$L,'NSE - Other Index Options'!$C:$C,$A137,'NSE - Other Index Options'!$B:$B,C$4)=0,"",SUMIFS('NSE - NIFTY Index Options'!$L:$L,'NSE - NIFTY Index Options'!$C:$C,$A137,'NSE - NIFTY Index Options'!$B:$B,C$4)+SUMIFS('NSE - Other Index Options'!$L:$L,'NSE - Other Index Options'!$C:$C,$A137,'NSE - Other Index Options'!$B:$B,C$4))</f>
        <v/>
      </c>
      <c r="D137" s="26" t="str">
        <f>IF(SUMIFS('NSE - NIFTY Index Options'!$L:$L,'NSE - NIFTY Index Options'!$C:$C,$A137,'NSE - NIFTY Index Options'!$B:$B,D$4)+SUMIFS('NSE - Other Index Options'!$L:$L,'NSE - Other Index Options'!$C:$C,$A137,'NSE - Other Index Options'!$B:$B,D$4)=0,"",SUMIFS('NSE - NIFTY Index Options'!$L:$L,'NSE - NIFTY Index Options'!$C:$C,$A137,'NSE - NIFTY Index Options'!$B:$B,D$4)+SUMIFS('NSE - Other Index Options'!$L:$L,'NSE - Other Index Options'!$C:$C,$A137,'NSE - Other Index Options'!$B:$B,D$4))</f>
        <v/>
      </c>
      <c r="E137" s="26" t="str">
        <f>IF(SUMIFS('NSE - NIFTY Index Options'!$L:$L,'NSE - NIFTY Index Options'!$C:$C,$A137,'NSE - NIFTY Index Options'!$B:$B,E$4)+SUMIFS('NSE - Other Index Options'!$L:$L,'NSE - Other Index Options'!$C:$C,$A137,'NSE - Other Index Options'!$B:$B,E$4)=0,"",SUMIFS('NSE - NIFTY Index Options'!$L:$L,'NSE - NIFTY Index Options'!$C:$C,$A137,'NSE - NIFTY Index Options'!$B:$B,E$4)+SUMIFS('NSE - Other Index Options'!$L:$L,'NSE - Other Index Options'!$C:$C,$A137,'NSE - Other Index Options'!$B:$B,E$4))</f>
        <v/>
      </c>
      <c r="F137" s="26" t="str">
        <f>IF(SUMIFS('NSE - NIFTY Index Options'!$L:$L,'NSE - NIFTY Index Options'!$C:$C,$A137,'NSE - NIFTY Index Options'!$B:$B,F$4)+SUMIFS('NSE - Other Index Options'!$L:$L,'NSE - Other Index Options'!$C:$C,$A137,'NSE - Other Index Options'!$B:$B,F$4)=0,"",SUMIFS('NSE - NIFTY Index Options'!$L:$L,'NSE - NIFTY Index Options'!$C:$C,$A137,'NSE - NIFTY Index Options'!$B:$B,F$4)+SUMIFS('NSE - Other Index Options'!$L:$L,'NSE - Other Index Options'!$C:$C,$A137,'NSE - Other Index Options'!$B:$B,F$4))</f>
        <v/>
      </c>
      <c r="G137" s="26" t="str">
        <f>IF(SUMIFS('NSE - NIFTY Index Options'!$L:$L,'NSE - NIFTY Index Options'!$C:$C,$A137,'NSE - NIFTY Index Options'!$B:$B,G$4)+SUMIFS('NSE - Other Index Options'!$L:$L,'NSE - Other Index Options'!$C:$C,$A137,'NSE - Other Index Options'!$B:$B,G$4)=0,"",SUMIFS('NSE - NIFTY Index Options'!$L:$L,'NSE - NIFTY Index Options'!$C:$C,$A137,'NSE - NIFTY Index Options'!$B:$B,G$4)+SUMIFS('NSE - Other Index Options'!$L:$L,'NSE - Other Index Options'!$C:$C,$A137,'NSE - Other Index Options'!$B:$B,G$4))</f>
        <v/>
      </c>
      <c r="H137" s="26" t="str">
        <f t="shared" si="4"/>
        <v/>
      </c>
    </row>
    <row r="138" spans="1:8" hidden="1" outlineLevel="1">
      <c r="A138" t="s">
        <v>143</v>
      </c>
      <c r="B138" s="26" t="str">
        <f>IF(SUMIFS('NSE - NIFTY Index Options'!$L:$L,'NSE - NIFTY Index Options'!$C:$C,$A138,'NSE - NIFTY Index Options'!$B:$B,B$4)+SUMIFS('NSE - Other Index Options'!$L:$L,'NSE - Other Index Options'!$C:$C,$A138,'NSE - Other Index Options'!$B:$B,B$4)=0,"",SUMIFS('NSE - NIFTY Index Options'!$L:$L,'NSE - NIFTY Index Options'!$C:$C,$A138,'NSE - NIFTY Index Options'!$B:$B,B$4)+SUMIFS('NSE - Other Index Options'!$L:$L,'NSE - Other Index Options'!$C:$C,$A138,'NSE - Other Index Options'!$B:$B,B$4))</f>
        <v/>
      </c>
      <c r="C138" s="26" t="str">
        <f>IF(SUMIFS('NSE - NIFTY Index Options'!$L:$L,'NSE - NIFTY Index Options'!$C:$C,$A138,'NSE - NIFTY Index Options'!$B:$B,C$4)+SUMIFS('NSE - Other Index Options'!$L:$L,'NSE - Other Index Options'!$C:$C,$A138,'NSE - Other Index Options'!$B:$B,C$4)=0,"",SUMIFS('NSE - NIFTY Index Options'!$L:$L,'NSE - NIFTY Index Options'!$C:$C,$A138,'NSE - NIFTY Index Options'!$B:$B,C$4)+SUMIFS('NSE - Other Index Options'!$L:$L,'NSE - Other Index Options'!$C:$C,$A138,'NSE - Other Index Options'!$B:$B,C$4))</f>
        <v/>
      </c>
      <c r="D138" s="26" t="str">
        <f>IF(SUMIFS('NSE - NIFTY Index Options'!$L:$L,'NSE - NIFTY Index Options'!$C:$C,$A138,'NSE - NIFTY Index Options'!$B:$B,D$4)+SUMIFS('NSE - Other Index Options'!$L:$L,'NSE - Other Index Options'!$C:$C,$A138,'NSE - Other Index Options'!$B:$B,D$4)=0,"",SUMIFS('NSE - NIFTY Index Options'!$L:$L,'NSE - NIFTY Index Options'!$C:$C,$A138,'NSE - NIFTY Index Options'!$B:$B,D$4)+SUMIFS('NSE - Other Index Options'!$L:$L,'NSE - Other Index Options'!$C:$C,$A138,'NSE - Other Index Options'!$B:$B,D$4))</f>
        <v/>
      </c>
      <c r="E138" s="26" t="str">
        <f>IF(SUMIFS('NSE - NIFTY Index Options'!$L:$L,'NSE - NIFTY Index Options'!$C:$C,$A138,'NSE - NIFTY Index Options'!$B:$B,E$4)+SUMIFS('NSE - Other Index Options'!$L:$L,'NSE - Other Index Options'!$C:$C,$A138,'NSE - Other Index Options'!$B:$B,E$4)=0,"",SUMIFS('NSE - NIFTY Index Options'!$L:$L,'NSE - NIFTY Index Options'!$C:$C,$A138,'NSE - NIFTY Index Options'!$B:$B,E$4)+SUMIFS('NSE - Other Index Options'!$L:$L,'NSE - Other Index Options'!$C:$C,$A138,'NSE - Other Index Options'!$B:$B,E$4))</f>
        <v/>
      </c>
      <c r="F138" s="26" t="str">
        <f>IF(SUMIFS('NSE - NIFTY Index Options'!$L:$L,'NSE - NIFTY Index Options'!$C:$C,$A138,'NSE - NIFTY Index Options'!$B:$B,F$4)+SUMIFS('NSE - Other Index Options'!$L:$L,'NSE - Other Index Options'!$C:$C,$A138,'NSE - Other Index Options'!$B:$B,F$4)=0,"",SUMIFS('NSE - NIFTY Index Options'!$L:$L,'NSE - NIFTY Index Options'!$C:$C,$A138,'NSE - NIFTY Index Options'!$B:$B,F$4)+SUMIFS('NSE - Other Index Options'!$L:$L,'NSE - Other Index Options'!$C:$C,$A138,'NSE - Other Index Options'!$B:$B,F$4))</f>
        <v/>
      </c>
      <c r="G138" s="26" t="str">
        <f>IF(SUMIFS('NSE - NIFTY Index Options'!$L:$L,'NSE - NIFTY Index Options'!$C:$C,$A138,'NSE - NIFTY Index Options'!$B:$B,G$4)+SUMIFS('NSE - Other Index Options'!$L:$L,'NSE - Other Index Options'!$C:$C,$A138,'NSE - Other Index Options'!$B:$B,G$4)=0,"",SUMIFS('NSE - NIFTY Index Options'!$L:$L,'NSE - NIFTY Index Options'!$C:$C,$A138,'NSE - NIFTY Index Options'!$B:$B,G$4)+SUMIFS('NSE - Other Index Options'!$L:$L,'NSE - Other Index Options'!$C:$C,$A138,'NSE - Other Index Options'!$B:$B,G$4))</f>
        <v/>
      </c>
      <c r="H138" s="26" t="str">
        <f t="shared" si="4"/>
        <v/>
      </c>
    </row>
    <row r="139" spans="1:8" hidden="1" outlineLevel="1">
      <c r="A139" t="s">
        <v>144</v>
      </c>
      <c r="B139" s="26" t="str">
        <f>IF(SUMIFS('NSE - NIFTY Index Options'!$L:$L,'NSE - NIFTY Index Options'!$C:$C,$A139,'NSE - NIFTY Index Options'!$B:$B,B$4)+SUMIFS('NSE - Other Index Options'!$L:$L,'NSE - Other Index Options'!$C:$C,$A139,'NSE - Other Index Options'!$B:$B,B$4)=0,"",SUMIFS('NSE - NIFTY Index Options'!$L:$L,'NSE - NIFTY Index Options'!$C:$C,$A139,'NSE - NIFTY Index Options'!$B:$B,B$4)+SUMIFS('NSE - Other Index Options'!$L:$L,'NSE - Other Index Options'!$C:$C,$A139,'NSE - Other Index Options'!$B:$B,B$4))</f>
        <v/>
      </c>
      <c r="C139" s="26" t="str">
        <f>IF(SUMIFS('NSE - NIFTY Index Options'!$L:$L,'NSE - NIFTY Index Options'!$C:$C,$A139,'NSE - NIFTY Index Options'!$B:$B,C$4)+SUMIFS('NSE - Other Index Options'!$L:$L,'NSE - Other Index Options'!$C:$C,$A139,'NSE - Other Index Options'!$B:$B,C$4)=0,"",SUMIFS('NSE - NIFTY Index Options'!$L:$L,'NSE - NIFTY Index Options'!$C:$C,$A139,'NSE - NIFTY Index Options'!$B:$B,C$4)+SUMIFS('NSE - Other Index Options'!$L:$L,'NSE - Other Index Options'!$C:$C,$A139,'NSE - Other Index Options'!$B:$B,C$4))</f>
        <v/>
      </c>
      <c r="D139" s="26" t="str">
        <f>IF(SUMIFS('NSE - NIFTY Index Options'!$L:$L,'NSE - NIFTY Index Options'!$C:$C,$A139,'NSE - NIFTY Index Options'!$B:$B,D$4)+SUMIFS('NSE - Other Index Options'!$L:$L,'NSE - Other Index Options'!$C:$C,$A139,'NSE - Other Index Options'!$B:$B,D$4)=0,"",SUMIFS('NSE - NIFTY Index Options'!$L:$L,'NSE - NIFTY Index Options'!$C:$C,$A139,'NSE - NIFTY Index Options'!$B:$B,D$4)+SUMIFS('NSE - Other Index Options'!$L:$L,'NSE - Other Index Options'!$C:$C,$A139,'NSE - Other Index Options'!$B:$B,D$4))</f>
        <v/>
      </c>
      <c r="E139" s="26" t="str">
        <f>IF(SUMIFS('NSE - NIFTY Index Options'!$L:$L,'NSE - NIFTY Index Options'!$C:$C,$A139,'NSE - NIFTY Index Options'!$B:$B,E$4)+SUMIFS('NSE - Other Index Options'!$L:$L,'NSE - Other Index Options'!$C:$C,$A139,'NSE - Other Index Options'!$B:$B,E$4)=0,"",SUMIFS('NSE - NIFTY Index Options'!$L:$L,'NSE - NIFTY Index Options'!$C:$C,$A139,'NSE - NIFTY Index Options'!$B:$B,E$4)+SUMIFS('NSE - Other Index Options'!$L:$L,'NSE - Other Index Options'!$C:$C,$A139,'NSE - Other Index Options'!$B:$B,E$4))</f>
        <v/>
      </c>
      <c r="F139" s="26" t="str">
        <f>IF(SUMIFS('NSE - NIFTY Index Options'!$L:$L,'NSE - NIFTY Index Options'!$C:$C,$A139,'NSE - NIFTY Index Options'!$B:$B,F$4)+SUMIFS('NSE - Other Index Options'!$L:$L,'NSE - Other Index Options'!$C:$C,$A139,'NSE - Other Index Options'!$B:$B,F$4)=0,"",SUMIFS('NSE - NIFTY Index Options'!$L:$L,'NSE - NIFTY Index Options'!$C:$C,$A139,'NSE - NIFTY Index Options'!$B:$B,F$4)+SUMIFS('NSE - Other Index Options'!$L:$L,'NSE - Other Index Options'!$C:$C,$A139,'NSE - Other Index Options'!$B:$B,F$4))</f>
        <v/>
      </c>
      <c r="G139" s="26" t="str">
        <f>IF(SUMIFS('NSE - NIFTY Index Options'!$L:$L,'NSE - NIFTY Index Options'!$C:$C,$A139,'NSE - NIFTY Index Options'!$B:$B,G$4)+SUMIFS('NSE - Other Index Options'!$L:$L,'NSE - Other Index Options'!$C:$C,$A139,'NSE - Other Index Options'!$B:$B,G$4)=0,"",SUMIFS('NSE - NIFTY Index Options'!$L:$L,'NSE - NIFTY Index Options'!$C:$C,$A139,'NSE - NIFTY Index Options'!$B:$B,G$4)+SUMIFS('NSE - Other Index Options'!$L:$L,'NSE - Other Index Options'!$C:$C,$A139,'NSE - Other Index Options'!$B:$B,G$4))</f>
        <v/>
      </c>
      <c r="H139" s="26" t="str">
        <f t="shared" si="4"/>
        <v/>
      </c>
    </row>
    <row r="140" spans="1:8" hidden="1" outlineLevel="1">
      <c r="A140" t="s">
        <v>145</v>
      </c>
      <c r="B140" s="26" t="str">
        <f>IF(SUMIFS('NSE - NIFTY Index Options'!$L:$L,'NSE - NIFTY Index Options'!$C:$C,$A140,'NSE - NIFTY Index Options'!$B:$B,B$4)+SUMIFS('NSE - Other Index Options'!$L:$L,'NSE - Other Index Options'!$C:$C,$A140,'NSE - Other Index Options'!$B:$B,B$4)=0,"",SUMIFS('NSE - NIFTY Index Options'!$L:$L,'NSE - NIFTY Index Options'!$C:$C,$A140,'NSE - NIFTY Index Options'!$B:$B,B$4)+SUMIFS('NSE - Other Index Options'!$L:$L,'NSE - Other Index Options'!$C:$C,$A140,'NSE - Other Index Options'!$B:$B,B$4))</f>
        <v/>
      </c>
      <c r="C140" s="26" t="str">
        <f>IF(SUMIFS('NSE - NIFTY Index Options'!$L:$L,'NSE - NIFTY Index Options'!$C:$C,$A140,'NSE - NIFTY Index Options'!$B:$B,C$4)+SUMIFS('NSE - Other Index Options'!$L:$L,'NSE - Other Index Options'!$C:$C,$A140,'NSE - Other Index Options'!$B:$B,C$4)=0,"",SUMIFS('NSE - NIFTY Index Options'!$L:$L,'NSE - NIFTY Index Options'!$C:$C,$A140,'NSE - NIFTY Index Options'!$B:$B,C$4)+SUMIFS('NSE - Other Index Options'!$L:$L,'NSE - Other Index Options'!$C:$C,$A140,'NSE - Other Index Options'!$B:$B,C$4))</f>
        <v/>
      </c>
      <c r="D140" s="26" t="str">
        <f>IF(SUMIFS('NSE - NIFTY Index Options'!$L:$L,'NSE - NIFTY Index Options'!$C:$C,$A140,'NSE - NIFTY Index Options'!$B:$B,D$4)+SUMIFS('NSE - Other Index Options'!$L:$L,'NSE - Other Index Options'!$C:$C,$A140,'NSE - Other Index Options'!$B:$B,D$4)=0,"",SUMIFS('NSE - NIFTY Index Options'!$L:$L,'NSE - NIFTY Index Options'!$C:$C,$A140,'NSE - NIFTY Index Options'!$B:$B,D$4)+SUMIFS('NSE - Other Index Options'!$L:$L,'NSE - Other Index Options'!$C:$C,$A140,'NSE - Other Index Options'!$B:$B,D$4))</f>
        <v/>
      </c>
      <c r="E140" s="26" t="str">
        <f>IF(SUMIFS('NSE - NIFTY Index Options'!$L:$L,'NSE - NIFTY Index Options'!$C:$C,$A140,'NSE - NIFTY Index Options'!$B:$B,E$4)+SUMIFS('NSE - Other Index Options'!$L:$L,'NSE - Other Index Options'!$C:$C,$A140,'NSE - Other Index Options'!$B:$B,E$4)=0,"",SUMIFS('NSE - NIFTY Index Options'!$L:$L,'NSE - NIFTY Index Options'!$C:$C,$A140,'NSE - NIFTY Index Options'!$B:$B,E$4)+SUMIFS('NSE - Other Index Options'!$L:$L,'NSE - Other Index Options'!$C:$C,$A140,'NSE - Other Index Options'!$B:$B,E$4))</f>
        <v/>
      </c>
      <c r="F140" s="26" t="str">
        <f>IF(SUMIFS('NSE - NIFTY Index Options'!$L:$L,'NSE - NIFTY Index Options'!$C:$C,$A140,'NSE - NIFTY Index Options'!$B:$B,F$4)+SUMIFS('NSE - Other Index Options'!$L:$L,'NSE - Other Index Options'!$C:$C,$A140,'NSE - Other Index Options'!$B:$B,F$4)=0,"",SUMIFS('NSE - NIFTY Index Options'!$L:$L,'NSE - NIFTY Index Options'!$C:$C,$A140,'NSE - NIFTY Index Options'!$B:$B,F$4)+SUMIFS('NSE - Other Index Options'!$L:$L,'NSE - Other Index Options'!$C:$C,$A140,'NSE - Other Index Options'!$B:$B,F$4))</f>
        <v/>
      </c>
      <c r="G140" s="26" t="str">
        <f>IF(SUMIFS('NSE - NIFTY Index Options'!$L:$L,'NSE - NIFTY Index Options'!$C:$C,$A140,'NSE - NIFTY Index Options'!$B:$B,G$4)+SUMIFS('NSE - Other Index Options'!$L:$L,'NSE - Other Index Options'!$C:$C,$A140,'NSE - Other Index Options'!$B:$B,G$4)=0,"",SUMIFS('NSE - NIFTY Index Options'!$L:$L,'NSE - NIFTY Index Options'!$C:$C,$A140,'NSE - NIFTY Index Options'!$B:$B,G$4)+SUMIFS('NSE - Other Index Options'!$L:$L,'NSE - Other Index Options'!$C:$C,$A140,'NSE - Other Index Options'!$B:$B,G$4))</f>
        <v/>
      </c>
      <c r="H140" s="26" t="str">
        <f t="shared" si="4"/>
        <v/>
      </c>
    </row>
    <row r="141" spans="1:8" hidden="1" outlineLevel="1">
      <c r="A141" t="s">
        <v>146</v>
      </c>
      <c r="B141" s="26" t="str">
        <f>IF(SUMIFS('NSE - NIFTY Index Options'!$L:$L,'NSE - NIFTY Index Options'!$C:$C,$A141,'NSE - NIFTY Index Options'!$B:$B,B$4)+SUMIFS('NSE - Other Index Options'!$L:$L,'NSE - Other Index Options'!$C:$C,$A141,'NSE - Other Index Options'!$B:$B,B$4)=0,"",SUMIFS('NSE - NIFTY Index Options'!$L:$L,'NSE - NIFTY Index Options'!$C:$C,$A141,'NSE - NIFTY Index Options'!$B:$B,B$4)+SUMIFS('NSE - Other Index Options'!$L:$L,'NSE - Other Index Options'!$C:$C,$A141,'NSE - Other Index Options'!$B:$B,B$4))</f>
        <v/>
      </c>
      <c r="C141" s="26" t="str">
        <f>IF(SUMIFS('NSE - NIFTY Index Options'!$L:$L,'NSE - NIFTY Index Options'!$C:$C,$A141,'NSE - NIFTY Index Options'!$B:$B,C$4)+SUMIFS('NSE - Other Index Options'!$L:$L,'NSE - Other Index Options'!$C:$C,$A141,'NSE - Other Index Options'!$B:$B,C$4)=0,"",SUMIFS('NSE - NIFTY Index Options'!$L:$L,'NSE - NIFTY Index Options'!$C:$C,$A141,'NSE - NIFTY Index Options'!$B:$B,C$4)+SUMIFS('NSE - Other Index Options'!$L:$L,'NSE - Other Index Options'!$C:$C,$A141,'NSE - Other Index Options'!$B:$B,C$4))</f>
        <v/>
      </c>
      <c r="D141" s="26" t="str">
        <f>IF(SUMIFS('NSE - NIFTY Index Options'!$L:$L,'NSE - NIFTY Index Options'!$C:$C,$A141,'NSE - NIFTY Index Options'!$B:$B,D$4)+SUMIFS('NSE - Other Index Options'!$L:$L,'NSE - Other Index Options'!$C:$C,$A141,'NSE - Other Index Options'!$B:$B,D$4)=0,"",SUMIFS('NSE - NIFTY Index Options'!$L:$L,'NSE - NIFTY Index Options'!$C:$C,$A141,'NSE - NIFTY Index Options'!$B:$B,D$4)+SUMIFS('NSE - Other Index Options'!$L:$L,'NSE - Other Index Options'!$C:$C,$A141,'NSE - Other Index Options'!$B:$B,D$4))</f>
        <v/>
      </c>
      <c r="E141" s="26" t="str">
        <f>IF(SUMIFS('NSE - NIFTY Index Options'!$L:$L,'NSE - NIFTY Index Options'!$C:$C,$A141,'NSE - NIFTY Index Options'!$B:$B,E$4)+SUMIFS('NSE - Other Index Options'!$L:$L,'NSE - Other Index Options'!$C:$C,$A141,'NSE - Other Index Options'!$B:$B,E$4)=0,"",SUMIFS('NSE - NIFTY Index Options'!$L:$L,'NSE - NIFTY Index Options'!$C:$C,$A141,'NSE - NIFTY Index Options'!$B:$B,E$4)+SUMIFS('NSE - Other Index Options'!$L:$L,'NSE - Other Index Options'!$C:$C,$A141,'NSE - Other Index Options'!$B:$B,E$4))</f>
        <v/>
      </c>
      <c r="F141" s="26" t="str">
        <f>IF(SUMIFS('NSE - NIFTY Index Options'!$L:$L,'NSE - NIFTY Index Options'!$C:$C,$A141,'NSE - NIFTY Index Options'!$B:$B,F$4)+SUMIFS('NSE - Other Index Options'!$L:$L,'NSE - Other Index Options'!$C:$C,$A141,'NSE - Other Index Options'!$B:$B,F$4)=0,"",SUMIFS('NSE - NIFTY Index Options'!$L:$L,'NSE - NIFTY Index Options'!$C:$C,$A141,'NSE - NIFTY Index Options'!$B:$B,F$4)+SUMIFS('NSE - Other Index Options'!$L:$L,'NSE - Other Index Options'!$C:$C,$A141,'NSE - Other Index Options'!$B:$B,F$4))</f>
        <v/>
      </c>
      <c r="G141" s="26" t="str">
        <f>IF(SUMIFS('NSE - NIFTY Index Options'!$L:$L,'NSE - NIFTY Index Options'!$C:$C,$A141,'NSE - NIFTY Index Options'!$B:$B,G$4)+SUMIFS('NSE - Other Index Options'!$L:$L,'NSE - Other Index Options'!$C:$C,$A141,'NSE - Other Index Options'!$B:$B,G$4)=0,"",SUMIFS('NSE - NIFTY Index Options'!$L:$L,'NSE - NIFTY Index Options'!$C:$C,$A141,'NSE - NIFTY Index Options'!$B:$B,G$4)+SUMIFS('NSE - Other Index Options'!$L:$L,'NSE - Other Index Options'!$C:$C,$A141,'NSE - Other Index Options'!$B:$B,G$4))</f>
        <v/>
      </c>
      <c r="H141" s="26" t="str">
        <f t="shared" si="4"/>
        <v/>
      </c>
    </row>
    <row r="142" spans="1:8" hidden="1" outlineLevel="1">
      <c r="A142" t="s">
        <v>147</v>
      </c>
      <c r="B142" s="26" t="str">
        <f>IF(SUMIFS('NSE - NIFTY Index Options'!$L:$L,'NSE - NIFTY Index Options'!$C:$C,$A142,'NSE - NIFTY Index Options'!$B:$B,B$4)+SUMIFS('NSE - Other Index Options'!$L:$L,'NSE - Other Index Options'!$C:$C,$A142,'NSE - Other Index Options'!$B:$B,B$4)=0,"",SUMIFS('NSE - NIFTY Index Options'!$L:$L,'NSE - NIFTY Index Options'!$C:$C,$A142,'NSE - NIFTY Index Options'!$B:$B,B$4)+SUMIFS('NSE - Other Index Options'!$L:$L,'NSE - Other Index Options'!$C:$C,$A142,'NSE - Other Index Options'!$B:$B,B$4))</f>
        <v/>
      </c>
      <c r="C142" s="26" t="str">
        <f>IF(SUMIFS('NSE - NIFTY Index Options'!$L:$L,'NSE - NIFTY Index Options'!$C:$C,$A142,'NSE - NIFTY Index Options'!$B:$B,C$4)+SUMIFS('NSE - Other Index Options'!$L:$L,'NSE - Other Index Options'!$C:$C,$A142,'NSE - Other Index Options'!$B:$B,C$4)=0,"",SUMIFS('NSE - NIFTY Index Options'!$L:$L,'NSE - NIFTY Index Options'!$C:$C,$A142,'NSE - NIFTY Index Options'!$B:$B,C$4)+SUMIFS('NSE - Other Index Options'!$L:$L,'NSE - Other Index Options'!$C:$C,$A142,'NSE - Other Index Options'!$B:$B,C$4))</f>
        <v/>
      </c>
      <c r="D142" s="26" t="str">
        <f>IF(SUMIFS('NSE - NIFTY Index Options'!$L:$L,'NSE - NIFTY Index Options'!$C:$C,$A142,'NSE - NIFTY Index Options'!$B:$B,D$4)+SUMIFS('NSE - Other Index Options'!$L:$L,'NSE - Other Index Options'!$C:$C,$A142,'NSE - Other Index Options'!$B:$B,D$4)=0,"",SUMIFS('NSE - NIFTY Index Options'!$L:$L,'NSE - NIFTY Index Options'!$C:$C,$A142,'NSE - NIFTY Index Options'!$B:$B,D$4)+SUMIFS('NSE - Other Index Options'!$L:$L,'NSE - Other Index Options'!$C:$C,$A142,'NSE - Other Index Options'!$B:$B,D$4))</f>
        <v/>
      </c>
      <c r="E142" s="26" t="str">
        <f>IF(SUMIFS('NSE - NIFTY Index Options'!$L:$L,'NSE - NIFTY Index Options'!$C:$C,$A142,'NSE - NIFTY Index Options'!$B:$B,E$4)+SUMIFS('NSE - Other Index Options'!$L:$L,'NSE - Other Index Options'!$C:$C,$A142,'NSE - Other Index Options'!$B:$B,E$4)=0,"",SUMIFS('NSE - NIFTY Index Options'!$L:$L,'NSE - NIFTY Index Options'!$C:$C,$A142,'NSE - NIFTY Index Options'!$B:$B,E$4)+SUMIFS('NSE - Other Index Options'!$L:$L,'NSE - Other Index Options'!$C:$C,$A142,'NSE - Other Index Options'!$B:$B,E$4))</f>
        <v/>
      </c>
      <c r="F142" s="26" t="str">
        <f>IF(SUMIFS('NSE - NIFTY Index Options'!$L:$L,'NSE - NIFTY Index Options'!$C:$C,$A142,'NSE - NIFTY Index Options'!$B:$B,F$4)+SUMIFS('NSE - Other Index Options'!$L:$L,'NSE - Other Index Options'!$C:$C,$A142,'NSE - Other Index Options'!$B:$B,F$4)=0,"",SUMIFS('NSE - NIFTY Index Options'!$L:$L,'NSE - NIFTY Index Options'!$C:$C,$A142,'NSE - NIFTY Index Options'!$B:$B,F$4)+SUMIFS('NSE - Other Index Options'!$L:$L,'NSE - Other Index Options'!$C:$C,$A142,'NSE - Other Index Options'!$B:$B,F$4))</f>
        <v/>
      </c>
      <c r="G142" s="26" t="str">
        <f>IF(SUMIFS('NSE - NIFTY Index Options'!$L:$L,'NSE - NIFTY Index Options'!$C:$C,$A142,'NSE - NIFTY Index Options'!$B:$B,G$4)+SUMIFS('NSE - Other Index Options'!$L:$L,'NSE - Other Index Options'!$C:$C,$A142,'NSE - Other Index Options'!$B:$B,G$4)=0,"",SUMIFS('NSE - NIFTY Index Options'!$L:$L,'NSE - NIFTY Index Options'!$C:$C,$A142,'NSE - NIFTY Index Options'!$B:$B,G$4)+SUMIFS('NSE - Other Index Options'!$L:$L,'NSE - Other Index Options'!$C:$C,$A142,'NSE - Other Index Options'!$B:$B,G$4))</f>
        <v/>
      </c>
      <c r="H142" s="26" t="str">
        <f t="shared" si="4"/>
        <v/>
      </c>
    </row>
    <row r="143" spans="1:8" collapsed="1">
      <c r="A143" s="28" t="s">
        <v>9</v>
      </c>
      <c r="B143" s="30">
        <f t="shared" ref="B143:H143" si="5">IF(SUM(B5:B142)=0,"",SUM(B5:B142))</f>
        <v>2784965.2800000003</v>
      </c>
      <c r="C143" s="30">
        <f t="shared" si="5"/>
        <v>3097716.8400000003</v>
      </c>
      <c r="D143" s="30">
        <f t="shared" si="5"/>
        <v>1739778.79</v>
      </c>
      <c r="E143" s="30">
        <f t="shared" si="5"/>
        <v>1436864.5799999996</v>
      </c>
      <c r="F143" s="30">
        <f t="shared" si="5"/>
        <v>2354625.2199999997</v>
      </c>
      <c r="G143" s="30">
        <f t="shared" si="5"/>
        <v>111932.98999999999</v>
      </c>
      <c r="H143" s="30">
        <f t="shared" si="5"/>
        <v>11525883.700000001</v>
      </c>
    </row>
    <row r="146" spans="1:8">
      <c r="A146" s="28" t="s">
        <v>148</v>
      </c>
    </row>
    <row r="147" spans="1:8">
      <c r="A147" s="28" t="s">
        <v>2</v>
      </c>
      <c r="B147" s="28" t="s">
        <v>3</v>
      </c>
      <c r="C147" s="28" t="s">
        <v>4</v>
      </c>
      <c r="D147" s="28" t="s">
        <v>5</v>
      </c>
      <c r="E147" s="28" t="s">
        <v>6</v>
      </c>
      <c r="F147" s="28" t="s">
        <v>7</v>
      </c>
      <c r="G147" s="28" t="s">
        <v>8</v>
      </c>
      <c r="H147" s="28" t="s">
        <v>9</v>
      </c>
    </row>
    <row r="148" spans="1:8">
      <c r="A148" t="s">
        <v>10</v>
      </c>
      <c r="B148" s="26">
        <f>IF(SUMIFS('BSE - SENSEX Index Options'!$L:$L,'BSE - SENSEX Index Options'!$C:$C,$A148,'BSE - SENSEX Index Options'!$B:$B,B$147)+SUMIFS('BSE - Other Index Options'!$L:$L,'BSE - Other Index Options'!$C:$C,$A148,'BSE - Other Index Options'!$B:$B,B$147)=0,"",SUMIFS('BSE - SENSEX Index Options'!$L:$L,'BSE - SENSEX Index Options'!$C:$C,$A148,'BSE - SENSEX Index Options'!$B:$B,B$147)+SUMIFS('BSE - Other Index Options'!$L:$L,'BSE - Other Index Options'!$C:$C,$A148,'BSE - Other Index Options'!$B:$B,B$147))</f>
        <v>7734.1799999999994</v>
      </c>
      <c r="C148" s="26">
        <f>IF(SUMIFS('BSE - SENSEX Index Options'!$L:$L,'BSE - SENSEX Index Options'!$C:$C,$A148,'BSE - SENSEX Index Options'!$B:$B,C$147)+SUMIFS('BSE - Other Index Options'!$L:$L,'BSE - Other Index Options'!$C:$C,$A148,'BSE - Other Index Options'!$B:$B,C$147)=0,"",SUMIFS('BSE - SENSEX Index Options'!$L:$L,'BSE - SENSEX Index Options'!$C:$C,$A148,'BSE - SENSEX Index Options'!$B:$B,C$147)+SUMIFS('BSE - Other Index Options'!$L:$L,'BSE - Other Index Options'!$C:$C,$A148,'BSE - Other Index Options'!$B:$B,C$147))</f>
        <v>9401.4499999999989</v>
      </c>
      <c r="D148" s="26">
        <f>IF(SUMIFS('BSE - SENSEX Index Options'!$L:$L,'BSE - SENSEX Index Options'!$C:$C,$A148,'BSE - SENSEX Index Options'!$B:$B,D$147)+SUMIFS('BSE - Other Index Options'!$L:$L,'BSE - Other Index Options'!$C:$C,$A148,'BSE - Other Index Options'!$B:$B,D$147)=0,"",SUMIFS('BSE - SENSEX Index Options'!$L:$L,'BSE - SENSEX Index Options'!$C:$C,$A148,'BSE - SENSEX Index Options'!$B:$B,D$147)+SUMIFS('BSE - Other Index Options'!$L:$L,'BSE - Other Index Options'!$C:$C,$A148,'BSE - Other Index Options'!$B:$B,D$147))</f>
        <v>27554.57</v>
      </c>
      <c r="E148" s="26">
        <f>IF(SUMIFS('BSE - SENSEX Index Options'!$L:$L,'BSE - SENSEX Index Options'!$C:$C,$A148,'BSE - SENSEX Index Options'!$B:$B,E$147)+SUMIFS('BSE - Other Index Options'!$L:$L,'BSE - Other Index Options'!$C:$C,$A148,'BSE - Other Index Options'!$B:$B,E$147)=0,"",SUMIFS('BSE - SENSEX Index Options'!$L:$L,'BSE - SENSEX Index Options'!$C:$C,$A148,'BSE - SENSEX Index Options'!$B:$B,E$147)+SUMIFS('BSE - Other Index Options'!$L:$L,'BSE - Other Index Options'!$C:$C,$A148,'BSE - Other Index Options'!$B:$B,E$147))</f>
        <v>49265.590000000004</v>
      </c>
      <c r="F148" s="26">
        <f>IF(SUMIFS('BSE - SENSEX Index Options'!$L:$L,'BSE - SENSEX Index Options'!$C:$C,$A148,'BSE - SENSEX Index Options'!$B:$B,F$147)+SUMIFS('BSE - Other Index Options'!$L:$L,'BSE - Other Index Options'!$C:$C,$A148,'BSE - Other Index Options'!$B:$B,F$147)=0,"",SUMIFS('BSE - SENSEX Index Options'!$L:$L,'BSE - SENSEX Index Options'!$C:$C,$A148,'BSE - SENSEX Index Options'!$B:$B,F$147)+SUMIFS('BSE - Other Index Options'!$L:$L,'BSE - Other Index Options'!$C:$C,$A148,'BSE - Other Index Options'!$B:$B,F$147))</f>
        <v>10108.499999999998</v>
      </c>
      <c r="G148" s="26" t="str">
        <f>IF(SUMIFS('BSE - SENSEX Index Options'!$L:$L,'BSE - SENSEX Index Options'!$C:$C,$A148,'BSE - SENSEX Index Options'!$B:$B,G$147)+SUMIFS('BSE - Other Index Options'!$L:$L,'BSE - Other Index Options'!$C:$C,$A148,'BSE - Other Index Options'!$B:$B,G$147)=0,"",SUMIFS('BSE - SENSEX Index Options'!$L:$L,'BSE - SENSEX Index Options'!$C:$C,$A148,'BSE - SENSEX Index Options'!$B:$B,G$147)+SUMIFS('BSE - Other Index Options'!$L:$L,'BSE - Other Index Options'!$C:$C,$A148,'BSE - Other Index Options'!$B:$B,G$147))</f>
        <v/>
      </c>
      <c r="H148" s="26">
        <f t="shared" ref="H148:H179" si="6">IF(SUM(B148:G148)=0,"",SUM(B148:G148))</f>
        <v>104064.29000000001</v>
      </c>
    </row>
    <row r="149" spans="1:8">
      <c r="A149" t="s">
        <v>11</v>
      </c>
      <c r="B149" s="26">
        <f>IF(SUMIFS('BSE - SENSEX Index Options'!$L:$L,'BSE - SENSEX Index Options'!$C:$C,$A149,'BSE - SENSEX Index Options'!$B:$B,B$147)+SUMIFS('BSE - Other Index Options'!$L:$L,'BSE - Other Index Options'!$C:$C,$A149,'BSE - Other Index Options'!$B:$B,B$147)=0,"",SUMIFS('BSE - SENSEX Index Options'!$L:$L,'BSE - SENSEX Index Options'!$C:$C,$A149,'BSE - SENSEX Index Options'!$B:$B,B$147)+SUMIFS('BSE - Other Index Options'!$L:$L,'BSE - Other Index Options'!$C:$C,$A149,'BSE - Other Index Options'!$B:$B,B$147))</f>
        <v>8745.130000000001</v>
      </c>
      <c r="C149" s="26">
        <f>IF(SUMIFS('BSE - SENSEX Index Options'!$L:$L,'BSE - SENSEX Index Options'!$C:$C,$A149,'BSE - SENSEX Index Options'!$B:$B,C$147)+SUMIFS('BSE - Other Index Options'!$L:$L,'BSE - Other Index Options'!$C:$C,$A149,'BSE - Other Index Options'!$B:$B,C$147)=0,"",SUMIFS('BSE - SENSEX Index Options'!$L:$L,'BSE - SENSEX Index Options'!$C:$C,$A149,'BSE - SENSEX Index Options'!$B:$B,C$147)+SUMIFS('BSE - Other Index Options'!$L:$L,'BSE - Other Index Options'!$C:$C,$A149,'BSE - Other Index Options'!$B:$B,C$147))</f>
        <v>7264.26</v>
      </c>
      <c r="D149" s="26">
        <f>IF(SUMIFS('BSE - SENSEX Index Options'!$L:$L,'BSE - SENSEX Index Options'!$C:$C,$A149,'BSE - SENSEX Index Options'!$B:$B,D$147)+SUMIFS('BSE - Other Index Options'!$L:$L,'BSE - Other Index Options'!$C:$C,$A149,'BSE - Other Index Options'!$B:$B,D$147)=0,"",SUMIFS('BSE - SENSEX Index Options'!$L:$L,'BSE - SENSEX Index Options'!$C:$C,$A149,'BSE - SENSEX Index Options'!$B:$B,D$147)+SUMIFS('BSE - Other Index Options'!$L:$L,'BSE - Other Index Options'!$C:$C,$A149,'BSE - Other Index Options'!$B:$B,D$147))</f>
        <v>21115.78</v>
      </c>
      <c r="E149" s="26">
        <f>IF(SUMIFS('BSE - SENSEX Index Options'!$L:$L,'BSE - SENSEX Index Options'!$C:$C,$A149,'BSE - SENSEX Index Options'!$B:$B,E$147)+SUMIFS('BSE - Other Index Options'!$L:$L,'BSE - Other Index Options'!$C:$C,$A149,'BSE - Other Index Options'!$B:$B,E$147)=0,"",SUMIFS('BSE - SENSEX Index Options'!$L:$L,'BSE - SENSEX Index Options'!$C:$C,$A149,'BSE - SENSEX Index Options'!$B:$B,E$147)+SUMIFS('BSE - Other Index Options'!$L:$L,'BSE - Other Index Options'!$C:$C,$A149,'BSE - Other Index Options'!$B:$B,E$147))</f>
        <v>28115.64</v>
      </c>
      <c r="F149" s="26">
        <f>IF(SUMIFS('BSE - SENSEX Index Options'!$L:$L,'BSE - SENSEX Index Options'!$C:$C,$A149,'BSE - SENSEX Index Options'!$B:$B,F$147)+SUMIFS('BSE - Other Index Options'!$L:$L,'BSE - Other Index Options'!$C:$C,$A149,'BSE - Other Index Options'!$B:$B,F$147)=0,"",SUMIFS('BSE - SENSEX Index Options'!$L:$L,'BSE - SENSEX Index Options'!$C:$C,$A149,'BSE - SENSEX Index Options'!$B:$B,F$147)+SUMIFS('BSE - Other Index Options'!$L:$L,'BSE - Other Index Options'!$C:$C,$A149,'BSE - Other Index Options'!$B:$B,F$147))</f>
        <v>5413.79</v>
      </c>
      <c r="G149" s="26" t="str">
        <f>IF(SUMIFS('BSE - SENSEX Index Options'!$L:$L,'BSE - SENSEX Index Options'!$C:$C,$A149,'BSE - SENSEX Index Options'!$B:$B,G$147)+SUMIFS('BSE - Other Index Options'!$L:$L,'BSE - Other Index Options'!$C:$C,$A149,'BSE - Other Index Options'!$B:$B,G$147)=0,"",SUMIFS('BSE - SENSEX Index Options'!$L:$L,'BSE - SENSEX Index Options'!$C:$C,$A149,'BSE - SENSEX Index Options'!$B:$B,G$147)+SUMIFS('BSE - Other Index Options'!$L:$L,'BSE - Other Index Options'!$C:$C,$A149,'BSE - Other Index Options'!$B:$B,G$147))</f>
        <v/>
      </c>
      <c r="H149" s="26">
        <f t="shared" si="6"/>
        <v>70654.599999999991</v>
      </c>
    </row>
    <row r="150" spans="1:8">
      <c r="A150" t="s">
        <v>12</v>
      </c>
      <c r="B150" s="26">
        <f>IF(SUMIFS('BSE - SENSEX Index Options'!$L:$L,'BSE - SENSEX Index Options'!$C:$C,$A150,'BSE - SENSEX Index Options'!$B:$B,B$147)+SUMIFS('BSE - Other Index Options'!$L:$L,'BSE - Other Index Options'!$C:$C,$A150,'BSE - Other Index Options'!$B:$B,B$147)=0,"",SUMIFS('BSE - SENSEX Index Options'!$L:$L,'BSE - SENSEX Index Options'!$C:$C,$A150,'BSE - SENSEX Index Options'!$B:$B,B$147)+SUMIFS('BSE - Other Index Options'!$L:$L,'BSE - Other Index Options'!$C:$C,$A150,'BSE - Other Index Options'!$B:$B,B$147))</f>
        <v>5769.6900000000005</v>
      </c>
      <c r="C150" s="26">
        <f>IF(SUMIFS('BSE - SENSEX Index Options'!$L:$L,'BSE - SENSEX Index Options'!$C:$C,$A150,'BSE - SENSEX Index Options'!$B:$B,C$147)+SUMIFS('BSE - Other Index Options'!$L:$L,'BSE - Other Index Options'!$C:$C,$A150,'BSE - Other Index Options'!$B:$B,C$147)=0,"",SUMIFS('BSE - SENSEX Index Options'!$L:$L,'BSE - SENSEX Index Options'!$C:$C,$A150,'BSE - SENSEX Index Options'!$B:$B,C$147)+SUMIFS('BSE - Other Index Options'!$L:$L,'BSE - Other Index Options'!$C:$C,$A150,'BSE - Other Index Options'!$B:$B,C$147))</f>
        <v>6823.39</v>
      </c>
      <c r="D150" s="26">
        <f>IF(SUMIFS('BSE - SENSEX Index Options'!$L:$L,'BSE - SENSEX Index Options'!$C:$C,$A150,'BSE - SENSEX Index Options'!$B:$B,D$147)+SUMIFS('BSE - Other Index Options'!$L:$L,'BSE - Other Index Options'!$C:$C,$A150,'BSE - Other Index Options'!$B:$B,D$147)=0,"",SUMIFS('BSE - SENSEX Index Options'!$L:$L,'BSE - SENSEX Index Options'!$C:$C,$A150,'BSE - SENSEX Index Options'!$B:$B,D$147)+SUMIFS('BSE - Other Index Options'!$L:$L,'BSE - Other Index Options'!$C:$C,$A150,'BSE - Other Index Options'!$B:$B,D$147))</f>
        <v>16625.62</v>
      </c>
      <c r="E150" s="26">
        <f>IF(SUMIFS('BSE - SENSEX Index Options'!$L:$L,'BSE - SENSEX Index Options'!$C:$C,$A150,'BSE - SENSEX Index Options'!$B:$B,E$147)+SUMIFS('BSE - Other Index Options'!$L:$L,'BSE - Other Index Options'!$C:$C,$A150,'BSE - Other Index Options'!$B:$B,E$147)=0,"",SUMIFS('BSE - SENSEX Index Options'!$L:$L,'BSE - SENSEX Index Options'!$C:$C,$A150,'BSE - SENSEX Index Options'!$B:$B,E$147)+SUMIFS('BSE - Other Index Options'!$L:$L,'BSE - Other Index Options'!$C:$C,$A150,'BSE - Other Index Options'!$B:$B,E$147))</f>
        <v>30203.19</v>
      </c>
      <c r="F150" s="26">
        <f>IF(SUMIFS('BSE - SENSEX Index Options'!$L:$L,'BSE - SENSEX Index Options'!$C:$C,$A150,'BSE - SENSEX Index Options'!$B:$B,F$147)+SUMIFS('BSE - Other Index Options'!$L:$L,'BSE - Other Index Options'!$C:$C,$A150,'BSE - Other Index Options'!$B:$B,F$147)=0,"",SUMIFS('BSE - SENSEX Index Options'!$L:$L,'BSE - SENSEX Index Options'!$C:$C,$A150,'BSE - SENSEX Index Options'!$B:$B,F$147)+SUMIFS('BSE - Other Index Options'!$L:$L,'BSE - Other Index Options'!$C:$C,$A150,'BSE - Other Index Options'!$B:$B,F$147))</f>
        <v>7068.1799999999994</v>
      </c>
      <c r="G150" s="26" t="str">
        <f>IF(SUMIFS('BSE - SENSEX Index Options'!$L:$L,'BSE - SENSEX Index Options'!$C:$C,$A150,'BSE - SENSEX Index Options'!$B:$B,G$147)+SUMIFS('BSE - Other Index Options'!$L:$L,'BSE - Other Index Options'!$C:$C,$A150,'BSE - Other Index Options'!$B:$B,G$147)=0,"",SUMIFS('BSE - SENSEX Index Options'!$L:$L,'BSE - SENSEX Index Options'!$C:$C,$A150,'BSE - SENSEX Index Options'!$B:$B,G$147)+SUMIFS('BSE - Other Index Options'!$L:$L,'BSE - Other Index Options'!$C:$C,$A150,'BSE - Other Index Options'!$B:$B,G$147))</f>
        <v/>
      </c>
      <c r="H150" s="26">
        <f t="shared" si="6"/>
        <v>66490.069999999992</v>
      </c>
    </row>
    <row r="151" spans="1:8">
      <c r="A151" t="s">
        <v>13</v>
      </c>
      <c r="B151" s="26">
        <f>IF(SUMIFS('BSE - SENSEX Index Options'!$L:$L,'BSE - SENSEX Index Options'!$C:$C,$A151,'BSE - SENSEX Index Options'!$B:$B,B$147)+SUMIFS('BSE - Other Index Options'!$L:$L,'BSE - Other Index Options'!$C:$C,$A151,'BSE - Other Index Options'!$B:$B,B$147)=0,"",SUMIFS('BSE - SENSEX Index Options'!$L:$L,'BSE - SENSEX Index Options'!$C:$C,$A151,'BSE - SENSEX Index Options'!$B:$B,B$147)+SUMIFS('BSE - Other Index Options'!$L:$L,'BSE - Other Index Options'!$C:$C,$A151,'BSE - Other Index Options'!$B:$B,B$147))</f>
        <v>8351.2999999999975</v>
      </c>
      <c r="C151" s="26">
        <f>IF(SUMIFS('BSE - SENSEX Index Options'!$L:$L,'BSE - SENSEX Index Options'!$C:$C,$A151,'BSE - SENSEX Index Options'!$B:$B,C$147)+SUMIFS('BSE - Other Index Options'!$L:$L,'BSE - Other Index Options'!$C:$C,$A151,'BSE - Other Index Options'!$B:$B,C$147)=0,"",SUMIFS('BSE - SENSEX Index Options'!$L:$L,'BSE - SENSEX Index Options'!$C:$C,$A151,'BSE - SENSEX Index Options'!$B:$B,C$147)+SUMIFS('BSE - Other Index Options'!$L:$L,'BSE - Other Index Options'!$C:$C,$A151,'BSE - Other Index Options'!$B:$B,C$147))</f>
        <v>9405.93</v>
      </c>
      <c r="D151" s="26">
        <f>IF(SUMIFS('BSE - SENSEX Index Options'!$L:$L,'BSE - SENSEX Index Options'!$C:$C,$A151,'BSE - SENSEX Index Options'!$B:$B,D$147)+SUMIFS('BSE - Other Index Options'!$L:$L,'BSE - Other Index Options'!$C:$C,$A151,'BSE - Other Index Options'!$B:$B,D$147)=0,"",SUMIFS('BSE - SENSEX Index Options'!$L:$L,'BSE - SENSEX Index Options'!$C:$C,$A151,'BSE - SENSEX Index Options'!$B:$B,D$147)+SUMIFS('BSE - Other Index Options'!$L:$L,'BSE - Other Index Options'!$C:$C,$A151,'BSE - Other Index Options'!$B:$B,D$147))</f>
        <v>23411.759999999998</v>
      </c>
      <c r="E151" s="26">
        <f>IF(SUMIFS('BSE - SENSEX Index Options'!$L:$L,'BSE - SENSEX Index Options'!$C:$C,$A151,'BSE - SENSEX Index Options'!$B:$B,E$147)+SUMIFS('BSE - Other Index Options'!$L:$L,'BSE - Other Index Options'!$C:$C,$A151,'BSE - Other Index Options'!$B:$B,E$147)=0,"",SUMIFS('BSE - SENSEX Index Options'!$L:$L,'BSE - SENSEX Index Options'!$C:$C,$A151,'BSE - SENSEX Index Options'!$B:$B,E$147)+SUMIFS('BSE - Other Index Options'!$L:$L,'BSE - Other Index Options'!$C:$C,$A151,'BSE - Other Index Options'!$B:$B,E$147))</f>
        <v>36755.049999999996</v>
      </c>
      <c r="F151" s="26">
        <f>IF(SUMIFS('BSE - SENSEX Index Options'!$L:$L,'BSE - SENSEX Index Options'!$C:$C,$A151,'BSE - SENSEX Index Options'!$B:$B,F$147)+SUMIFS('BSE - Other Index Options'!$L:$L,'BSE - Other Index Options'!$C:$C,$A151,'BSE - Other Index Options'!$B:$B,F$147)=0,"",SUMIFS('BSE - SENSEX Index Options'!$L:$L,'BSE - SENSEX Index Options'!$C:$C,$A151,'BSE - SENSEX Index Options'!$B:$B,F$147)+SUMIFS('BSE - Other Index Options'!$L:$L,'BSE - Other Index Options'!$C:$C,$A151,'BSE - Other Index Options'!$B:$B,F$147))</f>
        <v>8523.5099999999984</v>
      </c>
      <c r="G151" s="26" t="str">
        <f>IF(SUMIFS('BSE - SENSEX Index Options'!$L:$L,'BSE - SENSEX Index Options'!$C:$C,$A151,'BSE - SENSEX Index Options'!$B:$B,G$147)+SUMIFS('BSE - Other Index Options'!$L:$L,'BSE - Other Index Options'!$C:$C,$A151,'BSE - Other Index Options'!$B:$B,G$147)=0,"",SUMIFS('BSE - SENSEX Index Options'!$L:$L,'BSE - SENSEX Index Options'!$C:$C,$A151,'BSE - SENSEX Index Options'!$B:$B,G$147)+SUMIFS('BSE - Other Index Options'!$L:$L,'BSE - Other Index Options'!$C:$C,$A151,'BSE - Other Index Options'!$B:$B,G$147))</f>
        <v/>
      </c>
      <c r="H151" s="26">
        <f t="shared" si="6"/>
        <v>86447.549999999974</v>
      </c>
    </row>
    <row r="152" spans="1:8">
      <c r="A152" t="s">
        <v>14</v>
      </c>
      <c r="B152" s="26">
        <f>IF(SUMIFS('BSE - SENSEX Index Options'!$L:$L,'BSE - SENSEX Index Options'!$C:$C,$A152,'BSE - SENSEX Index Options'!$B:$B,B$147)+SUMIFS('BSE - Other Index Options'!$L:$L,'BSE - Other Index Options'!$C:$C,$A152,'BSE - Other Index Options'!$B:$B,B$147)=0,"",SUMIFS('BSE - SENSEX Index Options'!$L:$L,'BSE - SENSEX Index Options'!$C:$C,$A152,'BSE - SENSEX Index Options'!$B:$B,B$147)+SUMIFS('BSE - Other Index Options'!$L:$L,'BSE - Other Index Options'!$C:$C,$A152,'BSE - Other Index Options'!$B:$B,B$147))</f>
        <v>9990.869999999999</v>
      </c>
      <c r="C152" s="26">
        <f>IF(SUMIFS('BSE - SENSEX Index Options'!$L:$L,'BSE - SENSEX Index Options'!$C:$C,$A152,'BSE - SENSEX Index Options'!$B:$B,C$147)+SUMIFS('BSE - Other Index Options'!$L:$L,'BSE - Other Index Options'!$C:$C,$A152,'BSE - Other Index Options'!$B:$B,C$147)=0,"",SUMIFS('BSE - SENSEX Index Options'!$L:$L,'BSE - SENSEX Index Options'!$C:$C,$A152,'BSE - SENSEX Index Options'!$B:$B,C$147)+SUMIFS('BSE - Other Index Options'!$L:$L,'BSE - Other Index Options'!$C:$C,$A152,'BSE - Other Index Options'!$B:$B,C$147))</f>
        <v>8577.34</v>
      </c>
      <c r="D152" s="26" t="str">
        <f>IF(SUMIFS('BSE - SENSEX Index Options'!$L:$L,'BSE - SENSEX Index Options'!$C:$C,$A152,'BSE - SENSEX Index Options'!$B:$B,D$147)+SUMIFS('BSE - Other Index Options'!$L:$L,'BSE - Other Index Options'!$C:$C,$A152,'BSE - Other Index Options'!$B:$B,D$147)=0,"",SUMIFS('BSE - SENSEX Index Options'!$L:$L,'BSE - SENSEX Index Options'!$C:$C,$A152,'BSE - SENSEX Index Options'!$B:$B,D$147)+SUMIFS('BSE - Other Index Options'!$L:$L,'BSE - Other Index Options'!$C:$C,$A152,'BSE - Other Index Options'!$B:$B,D$147))</f>
        <v/>
      </c>
      <c r="E152" s="26" t="str">
        <f>IF(SUMIFS('BSE - SENSEX Index Options'!$L:$L,'BSE - SENSEX Index Options'!$C:$C,$A152,'BSE - SENSEX Index Options'!$B:$B,E$147)+SUMIFS('BSE - Other Index Options'!$L:$L,'BSE - Other Index Options'!$C:$C,$A152,'BSE - Other Index Options'!$B:$B,E$147)=0,"",SUMIFS('BSE - SENSEX Index Options'!$L:$L,'BSE - SENSEX Index Options'!$C:$C,$A152,'BSE - SENSEX Index Options'!$B:$B,E$147)+SUMIFS('BSE - Other Index Options'!$L:$L,'BSE - Other Index Options'!$C:$C,$A152,'BSE - Other Index Options'!$B:$B,E$147))</f>
        <v/>
      </c>
      <c r="F152" s="26" t="str">
        <f>IF(SUMIFS('BSE - SENSEX Index Options'!$L:$L,'BSE - SENSEX Index Options'!$C:$C,$A152,'BSE - SENSEX Index Options'!$B:$B,F$147)+SUMIFS('BSE - Other Index Options'!$L:$L,'BSE - Other Index Options'!$C:$C,$A152,'BSE - Other Index Options'!$B:$B,F$147)=0,"",SUMIFS('BSE - SENSEX Index Options'!$L:$L,'BSE - SENSEX Index Options'!$C:$C,$A152,'BSE - SENSEX Index Options'!$B:$B,F$147)+SUMIFS('BSE - Other Index Options'!$L:$L,'BSE - Other Index Options'!$C:$C,$A152,'BSE - Other Index Options'!$B:$B,F$147))</f>
        <v/>
      </c>
      <c r="G152" s="26" t="str">
        <f>IF(SUMIFS('BSE - SENSEX Index Options'!$L:$L,'BSE - SENSEX Index Options'!$C:$C,$A152,'BSE - SENSEX Index Options'!$B:$B,G$147)+SUMIFS('BSE - Other Index Options'!$L:$L,'BSE - Other Index Options'!$C:$C,$A152,'BSE - Other Index Options'!$B:$B,G$147)=0,"",SUMIFS('BSE - SENSEX Index Options'!$L:$L,'BSE - SENSEX Index Options'!$C:$C,$A152,'BSE - SENSEX Index Options'!$B:$B,G$147)+SUMIFS('BSE - Other Index Options'!$L:$L,'BSE - Other Index Options'!$C:$C,$A152,'BSE - Other Index Options'!$B:$B,G$147))</f>
        <v/>
      </c>
      <c r="H152" s="26">
        <f t="shared" si="6"/>
        <v>18568.21</v>
      </c>
    </row>
    <row r="153" spans="1:8">
      <c r="A153" t="s">
        <v>15</v>
      </c>
      <c r="B153" s="26">
        <f>IF(SUMIFS('BSE - SENSEX Index Options'!$L:$L,'BSE - SENSEX Index Options'!$C:$C,$A153,'BSE - SENSEX Index Options'!$B:$B,B$147)+SUMIFS('BSE - Other Index Options'!$L:$L,'BSE - Other Index Options'!$C:$C,$A153,'BSE - Other Index Options'!$B:$B,B$147)=0,"",SUMIFS('BSE - SENSEX Index Options'!$L:$L,'BSE - SENSEX Index Options'!$C:$C,$A153,'BSE - SENSEX Index Options'!$B:$B,B$147)+SUMIFS('BSE - Other Index Options'!$L:$L,'BSE - Other Index Options'!$C:$C,$A153,'BSE - Other Index Options'!$B:$B,B$147))</f>
        <v>8772.9399999999987</v>
      </c>
      <c r="C153" s="26">
        <f>IF(SUMIFS('BSE - SENSEX Index Options'!$L:$L,'BSE - SENSEX Index Options'!$C:$C,$A153,'BSE - SENSEX Index Options'!$B:$B,C$147)+SUMIFS('BSE - Other Index Options'!$L:$L,'BSE - Other Index Options'!$C:$C,$A153,'BSE - Other Index Options'!$B:$B,C$147)=0,"",SUMIFS('BSE - SENSEX Index Options'!$L:$L,'BSE - SENSEX Index Options'!$C:$C,$A153,'BSE - SENSEX Index Options'!$B:$B,C$147)+SUMIFS('BSE - Other Index Options'!$L:$L,'BSE - Other Index Options'!$C:$C,$A153,'BSE - Other Index Options'!$B:$B,C$147))</f>
        <v>10621.769999999997</v>
      </c>
      <c r="D153" s="26">
        <f>IF(SUMIFS('BSE - SENSEX Index Options'!$L:$L,'BSE - SENSEX Index Options'!$C:$C,$A153,'BSE - SENSEX Index Options'!$B:$B,D$147)+SUMIFS('BSE - Other Index Options'!$L:$L,'BSE - Other Index Options'!$C:$C,$A153,'BSE - Other Index Options'!$B:$B,D$147)=0,"",SUMIFS('BSE - SENSEX Index Options'!$L:$L,'BSE - SENSEX Index Options'!$C:$C,$A153,'BSE - SENSEX Index Options'!$B:$B,D$147)+SUMIFS('BSE - Other Index Options'!$L:$L,'BSE - Other Index Options'!$C:$C,$A153,'BSE - Other Index Options'!$B:$B,D$147))</f>
        <v>41957.939999999995</v>
      </c>
      <c r="E153" s="26" t="str">
        <f>IF(SUMIFS('BSE - SENSEX Index Options'!$L:$L,'BSE - SENSEX Index Options'!$C:$C,$A153,'BSE - SENSEX Index Options'!$B:$B,E$147)+SUMIFS('BSE - Other Index Options'!$L:$L,'BSE - Other Index Options'!$C:$C,$A153,'BSE - Other Index Options'!$B:$B,E$147)=0,"",SUMIFS('BSE - SENSEX Index Options'!$L:$L,'BSE - SENSEX Index Options'!$C:$C,$A153,'BSE - SENSEX Index Options'!$B:$B,E$147)+SUMIFS('BSE - Other Index Options'!$L:$L,'BSE - Other Index Options'!$C:$C,$A153,'BSE - Other Index Options'!$B:$B,E$147))</f>
        <v/>
      </c>
      <c r="F153" s="26">
        <f>IF(SUMIFS('BSE - SENSEX Index Options'!$L:$L,'BSE - SENSEX Index Options'!$C:$C,$A153,'BSE - SENSEX Index Options'!$B:$B,F$147)+SUMIFS('BSE - Other Index Options'!$L:$L,'BSE - Other Index Options'!$C:$C,$A153,'BSE - Other Index Options'!$B:$B,F$147)=0,"",SUMIFS('BSE - SENSEX Index Options'!$L:$L,'BSE - SENSEX Index Options'!$C:$C,$A153,'BSE - SENSEX Index Options'!$B:$B,F$147)+SUMIFS('BSE - Other Index Options'!$L:$L,'BSE - Other Index Options'!$C:$C,$A153,'BSE - Other Index Options'!$B:$B,F$147))</f>
        <v>8551.3200000000015</v>
      </c>
      <c r="G153" s="26" t="str">
        <f>IF(SUMIFS('BSE - SENSEX Index Options'!$L:$L,'BSE - SENSEX Index Options'!$C:$C,$A153,'BSE - SENSEX Index Options'!$B:$B,G$147)+SUMIFS('BSE - Other Index Options'!$L:$L,'BSE - Other Index Options'!$C:$C,$A153,'BSE - Other Index Options'!$B:$B,G$147)=0,"",SUMIFS('BSE - SENSEX Index Options'!$L:$L,'BSE - SENSEX Index Options'!$C:$C,$A153,'BSE - SENSEX Index Options'!$B:$B,G$147)+SUMIFS('BSE - Other Index Options'!$L:$L,'BSE - Other Index Options'!$C:$C,$A153,'BSE - Other Index Options'!$B:$B,G$147))</f>
        <v/>
      </c>
      <c r="H153" s="26">
        <f t="shared" si="6"/>
        <v>69903.97</v>
      </c>
    </row>
    <row r="154" spans="1:8">
      <c r="A154" t="s">
        <v>16</v>
      </c>
      <c r="B154" s="26">
        <f>IF(SUMIFS('BSE - SENSEX Index Options'!$L:$L,'BSE - SENSEX Index Options'!$C:$C,$A154,'BSE - SENSEX Index Options'!$B:$B,B$147)+SUMIFS('BSE - Other Index Options'!$L:$L,'BSE - Other Index Options'!$C:$C,$A154,'BSE - Other Index Options'!$B:$B,B$147)=0,"",SUMIFS('BSE - SENSEX Index Options'!$L:$L,'BSE - SENSEX Index Options'!$C:$C,$A154,'BSE - SENSEX Index Options'!$B:$B,B$147)+SUMIFS('BSE - Other Index Options'!$L:$L,'BSE - Other Index Options'!$C:$C,$A154,'BSE - Other Index Options'!$B:$B,B$147))</f>
        <v>10314.760000000002</v>
      </c>
      <c r="C154" s="26">
        <f>IF(SUMIFS('BSE - SENSEX Index Options'!$L:$L,'BSE - SENSEX Index Options'!$C:$C,$A154,'BSE - SENSEX Index Options'!$B:$B,C$147)+SUMIFS('BSE - Other Index Options'!$L:$L,'BSE - Other Index Options'!$C:$C,$A154,'BSE - Other Index Options'!$B:$B,C$147)=0,"",SUMIFS('BSE - SENSEX Index Options'!$L:$L,'BSE - SENSEX Index Options'!$C:$C,$A154,'BSE - SENSEX Index Options'!$B:$B,C$147)+SUMIFS('BSE - Other Index Options'!$L:$L,'BSE - Other Index Options'!$C:$C,$A154,'BSE - Other Index Options'!$B:$B,C$147))</f>
        <v>11921.800000000001</v>
      </c>
      <c r="D154" s="26">
        <f>IF(SUMIFS('BSE - SENSEX Index Options'!$L:$L,'BSE - SENSEX Index Options'!$C:$C,$A154,'BSE - SENSEX Index Options'!$B:$B,D$147)+SUMIFS('BSE - Other Index Options'!$L:$L,'BSE - Other Index Options'!$C:$C,$A154,'BSE - Other Index Options'!$B:$B,D$147)=0,"",SUMIFS('BSE - SENSEX Index Options'!$L:$L,'BSE - SENSEX Index Options'!$C:$C,$A154,'BSE - SENSEX Index Options'!$B:$B,D$147)+SUMIFS('BSE - Other Index Options'!$L:$L,'BSE - Other Index Options'!$C:$C,$A154,'BSE - Other Index Options'!$B:$B,D$147))</f>
        <v>32002.36</v>
      </c>
      <c r="E154" s="26">
        <f>IF(SUMIFS('BSE - SENSEX Index Options'!$L:$L,'BSE - SENSEX Index Options'!$C:$C,$A154,'BSE - SENSEX Index Options'!$B:$B,E$147)+SUMIFS('BSE - Other Index Options'!$L:$L,'BSE - Other Index Options'!$C:$C,$A154,'BSE - Other Index Options'!$B:$B,E$147)=0,"",SUMIFS('BSE - SENSEX Index Options'!$L:$L,'BSE - SENSEX Index Options'!$C:$C,$A154,'BSE - SENSEX Index Options'!$B:$B,E$147)+SUMIFS('BSE - Other Index Options'!$L:$L,'BSE - Other Index Options'!$C:$C,$A154,'BSE - Other Index Options'!$B:$B,E$147))</f>
        <v>44869.07</v>
      </c>
      <c r="F154" s="26">
        <f>IF(SUMIFS('BSE - SENSEX Index Options'!$L:$L,'BSE - SENSEX Index Options'!$C:$C,$A154,'BSE - SENSEX Index Options'!$B:$B,F$147)+SUMIFS('BSE - Other Index Options'!$L:$L,'BSE - Other Index Options'!$C:$C,$A154,'BSE - Other Index Options'!$B:$B,F$147)=0,"",SUMIFS('BSE - SENSEX Index Options'!$L:$L,'BSE - SENSEX Index Options'!$C:$C,$A154,'BSE - SENSEX Index Options'!$B:$B,F$147)+SUMIFS('BSE - Other Index Options'!$L:$L,'BSE - Other Index Options'!$C:$C,$A154,'BSE - Other Index Options'!$B:$B,F$147))</f>
        <v>9130.68</v>
      </c>
      <c r="G154" s="26" t="str">
        <f>IF(SUMIFS('BSE - SENSEX Index Options'!$L:$L,'BSE - SENSEX Index Options'!$C:$C,$A154,'BSE - SENSEX Index Options'!$B:$B,G$147)+SUMIFS('BSE - Other Index Options'!$L:$L,'BSE - Other Index Options'!$C:$C,$A154,'BSE - Other Index Options'!$B:$B,G$147)=0,"",SUMIFS('BSE - SENSEX Index Options'!$L:$L,'BSE - SENSEX Index Options'!$C:$C,$A154,'BSE - SENSEX Index Options'!$B:$B,G$147)+SUMIFS('BSE - Other Index Options'!$L:$L,'BSE - Other Index Options'!$C:$C,$A154,'BSE - Other Index Options'!$B:$B,G$147))</f>
        <v/>
      </c>
      <c r="H154" s="26">
        <f t="shared" si="6"/>
        <v>108238.67000000001</v>
      </c>
    </row>
    <row r="155" spans="1:8">
      <c r="A155" t="s">
        <v>17</v>
      </c>
      <c r="B155" s="26">
        <f>IF(SUMIFS('BSE - SENSEX Index Options'!$L:$L,'BSE - SENSEX Index Options'!$C:$C,$A155,'BSE - SENSEX Index Options'!$B:$B,B$147)+SUMIFS('BSE - Other Index Options'!$L:$L,'BSE - Other Index Options'!$C:$C,$A155,'BSE - Other Index Options'!$B:$B,B$147)=0,"",SUMIFS('BSE - SENSEX Index Options'!$L:$L,'BSE - SENSEX Index Options'!$C:$C,$A155,'BSE - SENSEX Index Options'!$B:$B,B$147)+SUMIFS('BSE - Other Index Options'!$L:$L,'BSE - Other Index Options'!$C:$C,$A155,'BSE - Other Index Options'!$B:$B,B$147))</f>
        <v>10326.469999999998</v>
      </c>
      <c r="C155" s="26">
        <f>IF(SUMIFS('BSE - SENSEX Index Options'!$L:$L,'BSE - SENSEX Index Options'!$C:$C,$A155,'BSE - SENSEX Index Options'!$B:$B,C$147)+SUMIFS('BSE - Other Index Options'!$L:$L,'BSE - Other Index Options'!$C:$C,$A155,'BSE - Other Index Options'!$B:$B,C$147)=0,"",SUMIFS('BSE - SENSEX Index Options'!$L:$L,'BSE - SENSEX Index Options'!$C:$C,$A155,'BSE - SENSEX Index Options'!$B:$B,C$147)+SUMIFS('BSE - Other Index Options'!$L:$L,'BSE - Other Index Options'!$C:$C,$A155,'BSE - Other Index Options'!$B:$B,C$147))</f>
        <v>3294.3700000000003</v>
      </c>
      <c r="D155" s="26">
        <f>IF(SUMIFS('BSE - SENSEX Index Options'!$L:$L,'BSE - SENSEX Index Options'!$C:$C,$A155,'BSE - SENSEX Index Options'!$B:$B,D$147)+SUMIFS('BSE - Other Index Options'!$L:$L,'BSE - Other Index Options'!$C:$C,$A155,'BSE - Other Index Options'!$B:$B,D$147)=0,"",SUMIFS('BSE - SENSEX Index Options'!$L:$L,'BSE - SENSEX Index Options'!$C:$C,$A155,'BSE - SENSEX Index Options'!$B:$B,D$147)+SUMIFS('BSE - Other Index Options'!$L:$L,'BSE - Other Index Options'!$C:$C,$A155,'BSE - Other Index Options'!$B:$B,D$147))</f>
        <v>24604.13</v>
      </c>
      <c r="E155" s="26">
        <f>IF(SUMIFS('BSE - SENSEX Index Options'!$L:$L,'BSE - SENSEX Index Options'!$C:$C,$A155,'BSE - SENSEX Index Options'!$B:$B,E$147)+SUMIFS('BSE - Other Index Options'!$L:$L,'BSE - Other Index Options'!$C:$C,$A155,'BSE - Other Index Options'!$B:$B,E$147)=0,"",SUMIFS('BSE - SENSEX Index Options'!$L:$L,'BSE - SENSEX Index Options'!$C:$C,$A155,'BSE - SENSEX Index Options'!$B:$B,E$147)+SUMIFS('BSE - Other Index Options'!$L:$L,'BSE - Other Index Options'!$C:$C,$A155,'BSE - Other Index Options'!$B:$B,E$147))</f>
        <v>39773.72</v>
      </c>
      <c r="F155" s="26">
        <f>IF(SUMIFS('BSE - SENSEX Index Options'!$L:$L,'BSE - SENSEX Index Options'!$C:$C,$A155,'BSE - SENSEX Index Options'!$B:$B,F$147)+SUMIFS('BSE - Other Index Options'!$L:$L,'BSE - Other Index Options'!$C:$C,$A155,'BSE - Other Index Options'!$B:$B,F$147)=0,"",SUMIFS('BSE - SENSEX Index Options'!$L:$L,'BSE - SENSEX Index Options'!$C:$C,$A155,'BSE - SENSEX Index Options'!$B:$B,F$147)+SUMIFS('BSE - Other Index Options'!$L:$L,'BSE - Other Index Options'!$C:$C,$A155,'BSE - Other Index Options'!$B:$B,F$147))</f>
        <v>14336.849999999999</v>
      </c>
      <c r="G155" s="26" t="str">
        <f>IF(SUMIFS('BSE - SENSEX Index Options'!$L:$L,'BSE - SENSEX Index Options'!$C:$C,$A155,'BSE - SENSEX Index Options'!$B:$B,G$147)+SUMIFS('BSE - Other Index Options'!$L:$L,'BSE - Other Index Options'!$C:$C,$A155,'BSE - Other Index Options'!$B:$B,G$147)=0,"",SUMIFS('BSE - SENSEX Index Options'!$L:$L,'BSE - SENSEX Index Options'!$C:$C,$A155,'BSE - SENSEX Index Options'!$B:$B,G$147)+SUMIFS('BSE - Other Index Options'!$L:$L,'BSE - Other Index Options'!$C:$C,$A155,'BSE - Other Index Options'!$B:$B,G$147))</f>
        <v/>
      </c>
      <c r="H155" s="26">
        <f t="shared" si="6"/>
        <v>92335.540000000008</v>
      </c>
    </row>
    <row r="156" spans="1:8">
      <c r="A156" t="s">
        <v>18</v>
      </c>
      <c r="B156" s="26">
        <f>IF(SUMIFS('BSE - SENSEX Index Options'!$L:$L,'BSE - SENSEX Index Options'!$C:$C,$A156,'BSE - SENSEX Index Options'!$B:$B,B$147)+SUMIFS('BSE - Other Index Options'!$L:$L,'BSE - Other Index Options'!$C:$C,$A156,'BSE - Other Index Options'!$B:$B,B$147)=0,"",SUMIFS('BSE - SENSEX Index Options'!$L:$L,'BSE - SENSEX Index Options'!$C:$C,$A156,'BSE - SENSEX Index Options'!$B:$B,B$147)+SUMIFS('BSE - Other Index Options'!$L:$L,'BSE - Other Index Options'!$C:$C,$A156,'BSE - Other Index Options'!$B:$B,B$147))</f>
        <v>9712.5</v>
      </c>
      <c r="C156" s="26">
        <f>IF(SUMIFS('BSE - SENSEX Index Options'!$L:$L,'BSE - SENSEX Index Options'!$C:$C,$A156,'BSE - SENSEX Index Options'!$B:$B,C$147)+SUMIFS('BSE - Other Index Options'!$L:$L,'BSE - Other Index Options'!$C:$C,$A156,'BSE - Other Index Options'!$B:$B,C$147)=0,"",SUMIFS('BSE - SENSEX Index Options'!$L:$L,'BSE - SENSEX Index Options'!$C:$C,$A156,'BSE - SENSEX Index Options'!$B:$B,C$147)+SUMIFS('BSE - Other Index Options'!$L:$L,'BSE - Other Index Options'!$C:$C,$A156,'BSE - Other Index Options'!$B:$B,C$147))</f>
        <v>10833.24</v>
      </c>
      <c r="D156" s="26" t="str">
        <f>IF(SUMIFS('BSE - SENSEX Index Options'!$L:$L,'BSE - SENSEX Index Options'!$C:$C,$A156,'BSE - SENSEX Index Options'!$B:$B,D$147)+SUMIFS('BSE - Other Index Options'!$L:$L,'BSE - Other Index Options'!$C:$C,$A156,'BSE - Other Index Options'!$B:$B,D$147)=0,"",SUMIFS('BSE - SENSEX Index Options'!$L:$L,'BSE - SENSEX Index Options'!$C:$C,$A156,'BSE - SENSEX Index Options'!$B:$B,D$147)+SUMIFS('BSE - Other Index Options'!$L:$L,'BSE - Other Index Options'!$C:$C,$A156,'BSE - Other Index Options'!$B:$B,D$147))</f>
        <v/>
      </c>
      <c r="E156" s="26">
        <f>IF(SUMIFS('BSE - SENSEX Index Options'!$L:$L,'BSE - SENSEX Index Options'!$C:$C,$A156,'BSE - SENSEX Index Options'!$B:$B,E$147)+SUMIFS('BSE - Other Index Options'!$L:$L,'BSE - Other Index Options'!$C:$C,$A156,'BSE - Other Index Options'!$B:$B,E$147)=0,"",SUMIFS('BSE - SENSEX Index Options'!$L:$L,'BSE - SENSEX Index Options'!$C:$C,$A156,'BSE - SENSEX Index Options'!$B:$B,E$147)+SUMIFS('BSE - Other Index Options'!$L:$L,'BSE - Other Index Options'!$C:$C,$A156,'BSE - Other Index Options'!$B:$B,E$147))</f>
        <v>47482.210000000006</v>
      </c>
      <c r="F156" s="26">
        <f>IF(SUMIFS('BSE - SENSEX Index Options'!$L:$L,'BSE - SENSEX Index Options'!$C:$C,$A156,'BSE - SENSEX Index Options'!$B:$B,F$147)+SUMIFS('BSE - Other Index Options'!$L:$L,'BSE - Other Index Options'!$C:$C,$A156,'BSE - Other Index Options'!$B:$B,F$147)=0,"",SUMIFS('BSE - SENSEX Index Options'!$L:$L,'BSE - SENSEX Index Options'!$C:$C,$A156,'BSE - SENSEX Index Options'!$B:$B,F$147)+SUMIFS('BSE - Other Index Options'!$L:$L,'BSE - Other Index Options'!$C:$C,$A156,'BSE - Other Index Options'!$B:$B,F$147))</f>
        <v>10588.85</v>
      </c>
      <c r="G156" s="26" t="str">
        <f>IF(SUMIFS('BSE - SENSEX Index Options'!$L:$L,'BSE - SENSEX Index Options'!$C:$C,$A156,'BSE - SENSEX Index Options'!$B:$B,G$147)+SUMIFS('BSE - Other Index Options'!$L:$L,'BSE - Other Index Options'!$C:$C,$A156,'BSE - Other Index Options'!$B:$B,G$147)=0,"",SUMIFS('BSE - SENSEX Index Options'!$L:$L,'BSE - SENSEX Index Options'!$C:$C,$A156,'BSE - SENSEX Index Options'!$B:$B,G$147)+SUMIFS('BSE - Other Index Options'!$L:$L,'BSE - Other Index Options'!$C:$C,$A156,'BSE - Other Index Options'!$B:$B,G$147))</f>
        <v/>
      </c>
      <c r="H156" s="26">
        <f t="shared" si="6"/>
        <v>78616.800000000017</v>
      </c>
    </row>
    <row r="157" spans="1:8">
      <c r="A157" t="s">
        <v>19</v>
      </c>
      <c r="B157" s="26" t="str">
        <f>IF(SUMIFS('BSE - SENSEX Index Options'!$L:$L,'BSE - SENSEX Index Options'!$C:$C,$A157,'BSE - SENSEX Index Options'!$B:$B,B$147)+SUMIFS('BSE - Other Index Options'!$L:$L,'BSE - Other Index Options'!$C:$C,$A157,'BSE - Other Index Options'!$B:$B,B$147)=0,"",SUMIFS('BSE - SENSEX Index Options'!$L:$L,'BSE - SENSEX Index Options'!$C:$C,$A157,'BSE - SENSEX Index Options'!$B:$B,B$147)+SUMIFS('BSE - Other Index Options'!$L:$L,'BSE - Other Index Options'!$C:$C,$A157,'BSE - Other Index Options'!$B:$B,B$147))</f>
        <v/>
      </c>
      <c r="C157" s="26" t="str">
        <f>IF(SUMIFS('BSE - SENSEX Index Options'!$L:$L,'BSE - SENSEX Index Options'!$C:$C,$A157,'BSE - SENSEX Index Options'!$B:$B,C$147)+SUMIFS('BSE - Other Index Options'!$L:$L,'BSE - Other Index Options'!$C:$C,$A157,'BSE - Other Index Options'!$B:$B,C$147)=0,"",SUMIFS('BSE - SENSEX Index Options'!$L:$L,'BSE - SENSEX Index Options'!$C:$C,$A157,'BSE - SENSEX Index Options'!$B:$B,C$147)+SUMIFS('BSE - Other Index Options'!$L:$L,'BSE - Other Index Options'!$C:$C,$A157,'BSE - Other Index Options'!$B:$B,C$147))</f>
        <v/>
      </c>
      <c r="D157" s="26">
        <f>IF(SUMIFS('BSE - SENSEX Index Options'!$L:$L,'BSE - SENSEX Index Options'!$C:$C,$A157,'BSE - SENSEX Index Options'!$B:$B,D$147)+SUMIFS('BSE - Other Index Options'!$L:$L,'BSE - Other Index Options'!$C:$C,$A157,'BSE - Other Index Options'!$B:$B,D$147)=0,"",SUMIFS('BSE - SENSEX Index Options'!$L:$L,'BSE - SENSEX Index Options'!$C:$C,$A157,'BSE - SENSEX Index Options'!$B:$B,D$147)+SUMIFS('BSE - Other Index Options'!$L:$L,'BSE - Other Index Options'!$C:$C,$A157,'BSE - Other Index Options'!$B:$B,D$147))</f>
        <v>27193.19</v>
      </c>
      <c r="E157" s="26">
        <f>IF(SUMIFS('BSE - SENSEX Index Options'!$L:$L,'BSE - SENSEX Index Options'!$C:$C,$A157,'BSE - SENSEX Index Options'!$B:$B,E$147)+SUMIFS('BSE - Other Index Options'!$L:$L,'BSE - Other Index Options'!$C:$C,$A157,'BSE - Other Index Options'!$B:$B,E$147)=0,"",SUMIFS('BSE - SENSEX Index Options'!$L:$L,'BSE - SENSEX Index Options'!$C:$C,$A157,'BSE - SENSEX Index Options'!$B:$B,E$147)+SUMIFS('BSE - Other Index Options'!$L:$L,'BSE - Other Index Options'!$C:$C,$A157,'BSE - Other Index Options'!$B:$B,E$147))</f>
        <v>44100.84</v>
      </c>
      <c r="F157" s="26">
        <f>IF(SUMIFS('BSE - SENSEX Index Options'!$L:$L,'BSE - SENSEX Index Options'!$C:$C,$A157,'BSE - SENSEX Index Options'!$B:$B,F$147)+SUMIFS('BSE - Other Index Options'!$L:$L,'BSE - Other Index Options'!$C:$C,$A157,'BSE - Other Index Options'!$B:$B,F$147)=0,"",SUMIFS('BSE - SENSEX Index Options'!$L:$L,'BSE - SENSEX Index Options'!$C:$C,$A157,'BSE - SENSEX Index Options'!$B:$B,F$147)+SUMIFS('BSE - Other Index Options'!$L:$L,'BSE - Other Index Options'!$C:$C,$A157,'BSE - Other Index Options'!$B:$B,F$147))</f>
        <v>10038.379999999997</v>
      </c>
      <c r="G157" s="26" t="str">
        <f>IF(SUMIFS('BSE - SENSEX Index Options'!$L:$L,'BSE - SENSEX Index Options'!$C:$C,$A157,'BSE - SENSEX Index Options'!$B:$B,G$147)+SUMIFS('BSE - Other Index Options'!$L:$L,'BSE - Other Index Options'!$C:$C,$A157,'BSE - Other Index Options'!$B:$B,G$147)=0,"",SUMIFS('BSE - SENSEX Index Options'!$L:$L,'BSE - SENSEX Index Options'!$C:$C,$A157,'BSE - SENSEX Index Options'!$B:$B,G$147)+SUMIFS('BSE - Other Index Options'!$L:$L,'BSE - Other Index Options'!$C:$C,$A157,'BSE - Other Index Options'!$B:$B,G$147))</f>
        <v/>
      </c>
      <c r="H157" s="26">
        <f t="shared" si="6"/>
        <v>81332.41</v>
      </c>
    </row>
    <row r="158" spans="1:8">
      <c r="A158" t="s">
        <v>20</v>
      </c>
      <c r="B158" s="26">
        <f>IF(SUMIFS('BSE - SENSEX Index Options'!$L:$L,'BSE - SENSEX Index Options'!$C:$C,$A158,'BSE - SENSEX Index Options'!$B:$B,B$147)+SUMIFS('BSE - Other Index Options'!$L:$L,'BSE - Other Index Options'!$C:$C,$A158,'BSE - Other Index Options'!$B:$B,B$147)=0,"",SUMIFS('BSE - SENSEX Index Options'!$L:$L,'BSE - SENSEX Index Options'!$C:$C,$A158,'BSE - SENSEX Index Options'!$B:$B,B$147)+SUMIFS('BSE - Other Index Options'!$L:$L,'BSE - Other Index Options'!$C:$C,$A158,'BSE - Other Index Options'!$B:$B,B$147))</f>
        <v>10175.52</v>
      </c>
      <c r="C158" s="26">
        <f>IF(SUMIFS('BSE - SENSEX Index Options'!$L:$L,'BSE - SENSEX Index Options'!$C:$C,$A158,'BSE - SENSEX Index Options'!$B:$B,C$147)+SUMIFS('BSE - Other Index Options'!$L:$L,'BSE - Other Index Options'!$C:$C,$A158,'BSE - Other Index Options'!$B:$B,C$147)=0,"",SUMIFS('BSE - SENSEX Index Options'!$L:$L,'BSE - SENSEX Index Options'!$C:$C,$A158,'BSE - SENSEX Index Options'!$B:$B,C$147)+SUMIFS('BSE - Other Index Options'!$L:$L,'BSE - Other Index Options'!$C:$C,$A158,'BSE - Other Index Options'!$B:$B,C$147))</f>
        <v>9252.1900000000023</v>
      </c>
      <c r="D158" s="26" t="str">
        <f>IF(SUMIFS('BSE - SENSEX Index Options'!$L:$L,'BSE - SENSEX Index Options'!$C:$C,$A158,'BSE - SENSEX Index Options'!$B:$B,D$147)+SUMIFS('BSE - Other Index Options'!$L:$L,'BSE - Other Index Options'!$C:$C,$A158,'BSE - Other Index Options'!$B:$B,D$147)=0,"",SUMIFS('BSE - SENSEX Index Options'!$L:$L,'BSE - SENSEX Index Options'!$C:$C,$A158,'BSE - SENSEX Index Options'!$B:$B,D$147)+SUMIFS('BSE - Other Index Options'!$L:$L,'BSE - Other Index Options'!$C:$C,$A158,'BSE - Other Index Options'!$B:$B,D$147))</f>
        <v/>
      </c>
      <c r="E158" s="26">
        <f>IF(SUMIFS('BSE - SENSEX Index Options'!$L:$L,'BSE - SENSEX Index Options'!$C:$C,$A158,'BSE - SENSEX Index Options'!$B:$B,E$147)+SUMIFS('BSE - Other Index Options'!$L:$L,'BSE - Other Index Options'!$C:$C,$A158,'BSE - Other Index Options'!$B:$B,E$147)=0,"",SUMIFS('BSE - SENSEX Index Options'!$L:$L,'BSE - SENSEX Index Options'!$C:$C,$A158,'BSE - SENSEX Index Options'!$B:$B,E$147)+SUMIFS('BSE - Other Index Options'!$L:$L,'BSE - Other Index Options'!$C:$C,$A158,'BSE - Other Index Options'!$B:$B,E$147))</f>
        <v>43094.15</v>
      </c>
      <c r="F158" s="26">
        <f>IF(SUMIFS('BSE - SENSEX Index Options'!$L:$L,'BSE - SENSEX Index Options'!$C:$C,$A158,'BSE - SENSEX Index Options'!$B:$B,F$147)+SUMIFS('BSE - Other Index Options'!$L:$L,'BSE - Other Index Options'!$C:$C,$A158,'BSE - Other Index Options'!$B:$B,F$147)=0,"",SUMIFS('BSE - SENSEX Index Options'!$L:$L,'BSE - SENSEX Index Options'!$C:$C,$A158,'BSE - SENSEX Index Options'!$B:$B,F$147)+SUMIFS('BSE - Other Index Options'!$L:$L,'BSE - Other Index Options'!$C:$C,$A158,'BSE - Other Index Options'!$B:$B,F$147))</f>
        <v>10540.480000000001</v>
      </c>
      <c r="G158" s="26" t="str">
        <f>IF(SUMIFS('BSE - SENSEX Index Options'!$L:$L,'BSE - SENSEX Index Options'!$C:$C,$A158,'BSE - SENSEX Index Options'!$B:$B,G$147)+SUMIFS('BSE - Other Index Options'!$L:$L,'BSE - Other Index Options'!$C:$C,$A158,'BSE - Other Index Options'!$B:$B,G$147)=0,"",SUMIFS('BSE - SENSEX Index Options'!$L:$L,'BSE - SENSEX Index Options'!$C:$C,$A158,'BSE - SENSEX Index Options'!$B:$B,G$147)+SUMIFS('BSE - Other Index Options'!$L:$L,'BSE - Other Index Options'!$C:$C,$A158,'BSE - Other Index Options'!$B:$B,G$147))</f>
        <v/>
      </c>
      <c r="H158" s="26">
        <f t="shared" si="6"/>
        <v>73062.34</v>
      </c>
    </row>
    <row r="159" spans="1:8">
      <c r="A159" t="s">
        <v>21</v>
      </c>
      <c r="B159" s="26">
        <f>IF(SUMIFS('BSE - SENSEX Index Options'!$L:$L,'BSE - SENSEX Index Options'!$C:$C,$A159,'BSE - SENSEX Index Options'!$B:$B,B$147)+SUMIFS('BSE - Other Index Options'!$L:$L,'BSE - Other Index Options'!$C:$C,$A159,'BSE - Other Index Options'!$B:$B,B$147)=0,"",SUMIFS('BSE - SENSEX Index Options'!$L:$L,'BSE - SENSEX Index Options'!$C:$C,$A159,'BSE - SENSEX Index Options'!$B:$B,B$147)+SUMIFS('BSE - Other Index Options'!$L:$L,'BSE - Other Index Options'!$C:$C,$A159,'BSE - Other Index Options'!$B:$B,B$147))</f>
        <v>8420.91</v>
      </c>
      <c r="C159" s="26">
        <f>IF(SUMIFS('BSE - SENSEX Index Options'!$L:$L,'BSE - SENSEX Index Options'!$C:$C,$A159,'BSE - SENSEX Index Options'!$B:$B,C$147)+SUMIFS('BSE - Other Index Options'!$L:$L,'BSE - Other Index Options'!$C:$C,$A159,'BSE - Other Index Options'!$B:$B,C$147)=0,"",SUMIFS('BSE - SENSEX Index Options'!$L:$L,'BSE - SENSEX Index Options'!$C:$C,$A159,'BSE - SENSEX Index Options'!$B:$B,C$147)+SUMIFS('BSE - Other Index Options'!$L:$L,'BSE - Other Index Options'!$C:$C,$A159,'BSE - Other Index Options'!$B:$B,C$147))</f>
        <v>10581.43</v>
      </c>
      <c r="D159" s="26">
        <f>IF(SUMIFS('BSE - SENSEX Index Options'!$L:$L,'BSE - SENSEX Index Options'!$C:$C,$A159,'BSE - SENSEX Index Options'!$B:$B,D$147)+SUMIFS('BSE - Other Index Options'!$L:$L,'BSE - Other Index Options'!$C:$C,$A159,'BSE - Other Index Options'!$B:$B,D$147)=0,"",SUMIFS('BSE - SENSEX Index Options'!$L:$L,'BSE - SENSEX Index Options'!$C:$C,$A159,'BSE - SENSEX Index Options'!$B:$B,D$147)+SUMIFS('BSE - Other Index Options'!$L:$L,'BSE - Other Index Options'!$C:$C,$A159,'BSE - Other Index Options'!$B:$B,D$147))</f>
        <v>22687.08</v>
      </c>
      <c r="E159" s="26">
        <f>IF(SUMIFS('BSE - SENSEX Index Options'!$L:$L,'BSE - SENSEX Index Options'!$C:$C,$A159,'BSE - SENSEX Index Options'!$B:$B,E$147)+SUMIFS('BSE - Other Index Options'!$L:$L,'BSE - Other Index Options'!$C:$C,$A159,'BSE - Other Index Options'!$B:$B,E$147)=0,"",SUMIFS('BSE - SENSEX Index Options'!$L:$L,'BSE - SENSEX Index Options'!$C:$C,$A159,'BSE - SENSEX Index Options'!$B:$B,E$147)+SUMIFS('BSE - Other Index Options'!$L:$L,'BSE - Other Index Options'!$C:$C,$A159,'BSE - Other Index Options'!$B:$B,E$147))</f>
        <v>48800.950000000004</v>
      </c>
      <c r="F159" s="26">
        <f>IF(SUMIFS('BSE - SENSEX Index Options'!$L:$L,'BSE - SENSEX Index Options'!$C:$C,$A159,'BSE - SENSEX Index Options'!$B:$B,F$147)+SUMIFS('BSE - Other Index Options'!$L:$L,'BSE - Other Index Options'!$C:$C,$A159,'BSE - Other Index Options'!$B:$B,F$147)=0,"",SUMIFS('BSE - SENSEX Index Options'!$L:$L,'BSE - SENSEX Index Options'!$C:$C,$A159,'BSE - SENSEX Index Options'!$B:$B,F$147)+SUMIFS('BSE - Other Index Options'!$L:$L,'BSE - Other Index Options'!$C:$C,$A159,'BSE - Other Index Options'!$B:$B,F$147))</f>
        <v>11277.32</v>
      </c>
      <c r="G159" s="26" t="str">
        <f>IF(SUMIFS('BSE - SENSEX Index Options'!$L:$L,'BSE - SENSEX Index Options'!$C:$C,$A159,'BSE - SENSEX Index Options'!$B:$B,G$147)+SUMIFS('BSE - Other Index Options'!$L:$L,'BSE - Other Index Options'!$C:$C,$A159,'BSE - Other Index Options'!$B:$B,G$147)=0,"",SUMIFS('BSE - SENSEX Index Options'!$L:$L,'BSE - SENSEX Index Options'!$C:$C,$A159,'BSE - SENSEX Index Options'!$B:$B,G$147)+SUMIFS('BSE - Other Index Options'!$L:$L,'BSE - Other Index Options'!$C:$C,$A159,'BSE - Other Index Options'!$B:$B,G$147))</f>
        <v/>
      </c>
      <c r="H159" s="26">
        <f t="shared" si="6"/>
        <v>101767.69</v>
      </c>
    </row>
    <row r="160" spans="1:8">
      <c r="A160" t="s">
        <v>22</v>
      </c>
      <c r="B160" s="26">
        <f>IF(SUMIFS('BSE - SENSEX Index Options'!$L:$L,'BSE - SENSEX Index Options'!$C:$C,$A160,'BSE - SENSEX Index Options'!$B:$B,B$147)+SUMIFS('BSE - Other Index Options'!$L:$L,'BSE - Other Index Options'!$C:$C,$A160,'BSE - Other Index Options'!$B:$B,B$147)=0,"",SUMIFS('BSE - SENSEX Index Options'!$L:$L,'BSE - SENSEX Index Options'!$C:$C,$A160,'BSE - SENSEX Index Options'!$B:$B,B$147)+SUMIFS('BSE - Other Index Options'!$L:$L,'BSE - Other Index Options'!$C:$C,$A160,'BSE - Other Index Options'!$B:$B,B$147))</f>
        <v>8082.5599999999995</v>
      </c>
      <c r="C160" s="26">
        <f>IF(SUMIFS('BSE - SENSEX Index Options'!$L:$L,'BSE - SENSEX Index Options'!$C:$C,$A160,'BSE - SENSEX Index Options'!$B:$B,C$147)+SUMIFS('BSE - Other Index Options'!$L:$L,'BSE - Other Index Options'!$C:$C,$A160,'BSE - Other Index Options'!$B:$B,C$147)=0,"",SUMIFS('BSE - SENSEX Index Options'!$L:$L,'BSE - SENSEX Index Options'!$C:$C,$A160,'BSE - SENSEX Index Options'!$B:$B,C$147)+SUMIFS('BSE - Other Index Options'!$L:$L,'BSE - Other Index Options'!$C:$C,$A160,'BSE - Other Index Options'!$B:$B,C$147))</f>
        <v>8886.7099999999991</v>
      </c>
      <c r="D160" s="26">
        <f>IF(SUMIFS('BSE - SENSEX Index Options'!$L:$L,'BSE - SENSEX Index Options'!$C:$C,$A160,'BSE - SENSEX Index Options'!$B:$B,D$147)+SUMIFS('BSE - Other Index Options'!$L:$L,'BSE - Other Index Options'!$C:$C,$A160,'BSE - Other Index Options'!$B:$B,D$147)=0,"",SUMIFS('BSE - SENSEX Index Options'!$L:$L,'BSE - SENSEX Index Options'!$C:$C,$A160,'BSE - SENSEX Index Options'!$B:$B,D$147)+SUMIFS('BSE - Other Index Options'!$L:$L,'BSE - Other Index Options'!$C:$C,$A160,'BSE - Other Index Options'!$B:$B,D$147))</f>
        <v>23349.8</v>
      </c>
      <c r="E160" s="26">
        <f>IF(SUMIFS('BSE - SENSEX Index Options'!$L:$L,'BSE - SENSEX Index Options'!$C:$C,$A160,'BSE - SENSEX Index Options'!$B:$B,E$147)+SUMIFS('BSE - Other Index Options'!$L:$L,'BSE - Other Index Options'!$C:$C,$A160,'BSE - Other Index Options'!$B:$B,E$147)=0,"",SUMIFS('BSE - SENSEX Index Options'!$L:$L,'BSE - SENSEX Index Options'!$C:$C,$A160,'BSE - SENSEX Index Options'!$B:$B,E$147)+SUMIFS('BSE - Other Index Options'!$L:$L,'BSE - Other Index Options'!$C:$C,$A160,'BSE - Other Index Options'!$B:$B,E$147))</f>
        <v>39691.83</v>
      </c>
      <c r="F160" s="26">
        <f>IF(SUMIFS('BSE - SENSEX Index Options'!$L:$L,'BSE - SENSEX Index Options'!$C:$C,$A160,'BSE - SENSEX Index Options'!$B:$B,F$147)+SUMIFS('BSE - Other Index Options'!$L:$L,'BSE - Other Index Options'!$C:$C,$A160,'BSE - Other Index Options'!$B:$B,F$147)=0,"",SUMIFS('BSE - SENSEX Index Options'!$L:$L,'BSE - SENSEX Index Options'!$C:$C,$A160,'BSE - SENSEX Index Options'!$B:$B,F$147)+SUMIFS('BSE - Other Index Options'!$L:$L,'BSE - Other Index Options'!$C:$C,$A160,'BSE - Other Index Options'!$B:$B,F$147))</f>
        <v>8798.92</v>
      </c>
      <c r="G160" s="26" t="str">
        <f>IF(SUMIFS('BSE - SENSEX Index Options'!$L:$L,'BSE - SENSEX Index Options'!$C:$C,$A160,'BSE - SENSEX Index Options'!$B:$B,G$147)+SUMIFS('BSE - Other Index Options'!$L:$L,'BSE - Other Index Options'!$C:$C,$A160,'BSE - Other Index Options'!$B:$B,G$147)=0,"",SUMIFS('BSE - SENSEX Index Options'!$L:$L,'BSE - SENSEX Index Options'!$C:$C,$A160,'BSE - SENSEX Index Options'!$B:$B,G$147)+SUMIFS('BSE - Other Index Options'!$L:$L,'BSE - Other Index Options'!$C:$C,$A160,'BSE - Other Index Options'!$B:$B,G$147))</f>
        <v/>
      </c>
      <c r="H160" s="26">
        <f t="shared" si="6"/>
        <v>88809.819999999992</v>
      </c>
    </row>
    <row r="161" spans="1:8">
      <c r="A161" t="s">
        <v>23</v>
      </c>
      <c r="B161" s="26">
        <f>IF(SUMIFS('BSE - SENSEX Index Options'!$L:$L,'BSE - SENSEX Index Options'!$C:$C,$A161,'BSE - SENSEX Index Options'!$B:$B,B$147)+SUMIFS('BSE - Other Index Options'!$L:$L,'BSE - Other Index Options'!$C:$C,$A161,'BSE - Other Index Options'!$B:$B,B$147)=0,"",SUMIFS('BSE - SENSEX Index Options'!$L:$L,'BSE - SENSEX Index Options'!$C:$C,$A161,'BSE - SENSEX Index Options'!$B:$B,B$147)+SUMIFS('BSE - Other Index Options'!$L:$L,'BSE - Other Index Options'!$C:$C,$A161,'BSE - Other Index Options'!$B:$B,B$147))</f>
        <v>8067.33</v>
      </c>
      <c r="C161" s="26">
        <f>IF(SUMIFS('BSE - SENSEX Index Options'!$L:$L,'BSE - SENSEX Index Options'!$C:$C,$A161,'BSE - SENSEX Index Options'!$B:$B,C$147)+SUMIFS('BSE - Other Index Options'!$L:$L,'BSE - Other Index Options'!$C:$C,$A161,'BSE - Other Index Options'!$B:$B,C$147)=0,"",SUMIFS('BSE - SENSEX Index Options'!$L:$L,'BSE - SENSEX Index Options'!$C:$C,$A161,'BSE - SENSEX Index Options'!$B:$B,C$147)+SUMIFS('BSE - Other Index Options'!$L:$L,'BSE - Other Index Options'!$C:$C,$A161,'BSE - Other Index Options'!$B:$B,C$147))</f>
        <v>8730.9399999999987</v>
      </c>
      <c r="D161" s="26">
        <f>IF(SUMIFS('BSE - SENSEX Index Options'!$L:$L,'BSE - SENSEX Index Options'!$C:$C,$A161,'BSE - SENSEX Index Options'!$B:$B,D$147)+SUMIFS('BSE - Other Index Options'!$L:$L,'BSE - Other Index Options'!$C:$C,$A161,'BSE - Other Index Options'!$B:$B,D$147)=0,"",SUMIFS('BSE - SENSEX Index Options'!$L:$L,'BSE - SENSEX Index Options'!$C:$C,$A161,'BSE - SENSEX Index Options'!$B:$B,D$147)+SUMIFS('BSE - Other Index Options'!$L:$L,'BSE - Other Index Options'!$C:$C,$A161,'BSE - Other Index Options'!$B:$B,D$147))</f>
        <v>24760.98</v>
      </c>
      <c r="E161" s="26">
        <f>IF(SUMIFS('BSE - SENSEX Index Options'!$L:$L,'BSE - SENSEX Index Options'!$C:$C,$A161,'BSE - SENSEX Index Options'!$B:$B,E$147)+SUMIFS('BSE - Other Index Options'!$L:$L,'BSE - Other Index Options'!$C:$C,$A161,'BSE - Other Index Options'!$B:$B,E$147)=0,"",SUMIFS('BSE - SENSEX Index Options'!$L:$L,'BSE - SENSEX Index Options'!$C:$C,$A161,'BSE - SENSEX Index Options'!$B:$B,E$147)+SUMIFS('BSE - Other Index Options'!$L:$L,'BSE - Other Index Options'!$C:$C,$A161,'BSE - Other Index Options'!$B:$B,E$147))</f>
        <v>49681.43</v>
      </c>
      <c r="F161" s="26">
        <f>IF(SUMIFS('BSE - SENSEX Index Options'!$L:$L,'BSE - SENSEX Index Options'!$C:$C,$A161,'BSE - SENSEX Index Options'!$B:$B,F$147)+SUMIFS('BSE - Other Index Options'!$L:$L,'BSE - Other Index Options'!$C:$C,$A161,'BSE - Other Index Options'!$B:$B,F$147)=0,"",SUMIFS('BSE - SENSEX Index Options'!$L:$L,'BSE - SENSEX Index Options'!$C:$C,$A161,'BSE - SENSEX Index Options'!$B:$B,F$147)+SUMIFS('BSE - Other Index Options'!$L:$L,'BSE - Other Index Options'!$C:$C,$A161,'BSE - Other Index Options'!$B:$B,F$147))</f>
        <v>8251.5800000000017</v>
      </c>
      <c r="G161" s="26" t="str">
        <f>IF(SUMIFS('BSE - SENSEX Index Options'!$L:$L,'BSE - SENSEX Index Options'!$C:$C,$A161,'BSE - SENSEX Index Options'!$B:$B,G$147)+SUMIFS('BSE - Other Index Options'!$L:$L,'BSE - Other Index Options'!$C:$C,$A161,'BSE - Other Index Options'!$B:$B,G$147)=0,"",SUMIFS('BSE - SENSEX Index Options'!$L:$L,'BSE - SENSEX Index Options'!$C:$C,$A161,'BSE - SENSEX Index Options'!$B:$B,G$147)+SUMIFS('BSE - Other Index Options'!$L:$L,'BSE - Other Index Options'!$C:$C,$A161,'BSE - Other Index Options'!$B:$B,G$147))</f>
        <v/>
      </c>
      <c r="H161" s="26">
        <f t="shared" si="6"/>
        <v>99492.26</v>
      </c>
    </row>
    <row r="162" spans="1:8">
      <c r="A162" t="s">
        <v>24</v>
      </c>
      <c r="B162" s="26" t="str">
        <f>IF(SUMIFS('BSE - SENSEX Index Options'!$L:$L,'BSE - SENSEX Index Options'!$C:$C,$A162,'BSE - SENSEX Index Options'!$B:$B,B$147)+SUMIFS('BSE - Other Index Options'!$L:$L,'BSE - Other Index Options'!$C:$C,$A162,'BSE - Other Index Options'!$B:$B,B$147)=0,"",SUMIFS('BSE - SENSEX Index Options'!$L:$L,'BSE - SENSEX Index Options'!$C:$C,$A162,'BSE - SENSEX Index Options'!$B:$B,B$147)+SUMIFS('BSE - Other Index Options'!$L:$L,'BSE - Other Index Options'!$C:$C,$A162,'BSE - Other Index Options'!$B:$B,B$147))</f>
        <v/>
      </c>
      <c r="C162" s="26" t="str">
        <f>IF(SUMIFS('BSE - SENSEX Index Options'!$L:$L,'BSE - SENSEX Index Options'!$C:$C,$A162,'BSE - SENSEX Index Options'!$B:$B,C$147)+SUMIFS('BSE - Other Index Options'!$L:$L,'BSE - Other Index Options'!$C:$C,$A162,'BSE - Other Index Options'!$B:$B,C$147)=0,"",SUMIFS('BSE - SENSEX Index Options'!$L:$L,'BSE - SENSEX Index Options'!$C:$C,$A162,'BSE - SENSEX Index Options'!$B:$B,C$147)+SUMIFS('BSE - Other Index Options'!$L:$L,'BSE - Other Index Options'!$C:$C,$A162,'BSE - Other Index Options'!$B:$B,C$147))</f>
        <v/>
      </c>
      <c r="D162" s="26" t="str">
        <f>IF(SUMIFS('BSE - SENSEX Index Options'!$L:$L,'BSE - SENSEX Index Options'!$C:$C,$A162,'BSE - SENSEX Index Options'!$B:$B,D$147)+SUMIFS('BSE - Other Index Options'!$L:$L,'BSE - Other Index Options'!$C:$C,$A162,'BSE - Other Index Options'!$B:$B,D$147)=0,"",SUMIFS('BSE - SENSEX Index Options'!$L:$L,'BSE - SENSEX Index Options'!$C:$C,$A162,'BSE - SENSEX Index Options'!$B:$B,D$147)+SUMIFS('BSE - Other Index Options'!$L:$L,'BSE - Other Index Options'!$C:$C,$A162,'BSE - Other Index Options'!$B:$B,D$147))</f>
        <v/>
      </c>
      <c r="E162" s="26" t="str">
        <f>IF(SUMIFS('BSE - SENSEX Index Options'!$L:$L,'BSE - SENSEX Index Options'!$C:$C,$A162,'BSE - SENSEX Index Options'!$B:$B,E$147)+SUMIFS('BSE - Other Index Options'!$L:$L,'BSE - Other Index Options'!$C:$C,$A162,'BSE - Other Index Options'!$B:$B,E$147)=0,"",SUMIFS('BSE - SENSEX Index Options'!$L:$L,'BSE - SENSEX Index Options'!$C:$C,$A162,'BSE - SENSEX Index Options'!$B:$B,E$147)+SUMIFS('BSE - Other Index Options'!$L:$L,'BSE - Other Index Options'!$C:$C,$A162,'BSE - Other Index Options'!$B:$B,E$147))</f>
        <v/>
      </c>
      <c r="F162" s="26" t="str">
        <f>IF(SUMIFS('BSE - SENSEX Index Options'!$L:$L,'BSE - SENSEX Index Options'!$C:$C,$A162,'BSE - SENSEX Index Options'!$B:$B,F$147)+SUMIFS('BSE - Other Index Options'!$L:$L,'BSE - Other Index Options'!$C:$C,$A162,'BSE - Other Index Options'!$B:$B,F$147)=0,"",SUMIFS('BSE - SENSEX Index Options'!$L:$L,'BSE - SENSEX Index Options'!$C:$C,$A162,'BSE - SENSEX Index Options'!$B:$B,F$147)+SUMIFS('BSE - Other Index Options'!$L:$L,'BSE - Other Index Options'!$C:$C,$A162,'BSE - Other Index Options'!$B:$B,F$147))</f>
        <v/>
      </c>
      <c r="G162" s="26" t="str">
        <f>IF(SUMIFS('BSE - SENSEX Index Options'!$L:$L,'BSE - SENSEX Index Options'!$C:$C,$A162,'BSE - SENSEX Index Options'!$B:$B,G$147)+SUMIFS('BSE - Other Index Options'!$L:$L,'BSE - Other Index Options'!$C:$C,$A162,'BSE - Other Index Options'!$B:$B,G$147)=0,"",SUMIFS('BSE - SENSEX Index Options'!$L:$L,'BSE - SENSEX Index Options'!$C:$C,$A162,'BSE - SENSEX Index Options'!$B:$B,G$147)+SUMIFS('BSE - Other Index Options'!$L:$L,'BSE - Other Index Options'!$C:$C,$A162,'BSE - Other Index Options'!$B:$B,G$147))</f>
        <v/>
      </c>
      <c r="H162" s="26" t="str">
        <f t="shared" si="6"/>
        <v/>
      </c>
    </row>
    <row r="163" spans="1:8">
      <c r="A163" t="s">
        <v>25</v>
      </c>
      <c r="B163" s="26">
        <f>IF(SUMIFS('BSE - SENSEX Index Options'!$L:$L,'BSE - SENSEX Index Options'!$C:$C,$A163,'BSE - SENSEX Index Options'!$B:$B,B$147)+SUMIFS('BSE - Other Index Options'!$L:$L,'BSE - Other Index Options'!$C:$C,$A163,'BSE - Other Index Options'!$B:$B,B$147)=0,"",SUMIFS('BSE - SENSEX Index Options'!$L:$L,'BSE - SENSEX Index Options'!$C:$C,$A163,'BSE - SENSEX Index Options'!$B:$B,B$147)+SUMIFS('BSE - Other Index Options'!$L:$L,'BSE - Other Index Options'!$C:$C,$A163,'BSE - Other Index Options'!$B:$B,B$147))</f>
        <v>10227.84</v>
      </c>
      <c r="C163" s="26">
        <f>IF(SUMIFS('BSE - SENSEX Index Options'!$L:$L,'BSE - SENSEX Index Options'!$C:$C,$A163,'BSE - SENSEX Index Options'!$B:$B,C$147)+SUMIFS('BSE - Other Index Options'!$L:$L,'BSE - Other Index Options'!$C:$C,$A163,'BSE - Other Index Options'!$B:$B,C$147)=0,"",SUMIFS('BSE - SENSEX Index Options'!$L:$L,'BSE - SENSEX Index Options'!$C:$C,$A163,'BSE - SENSEX Index Options'!$B:$B,C$147)+SUMIFS('BSE - Other Index Options'!$L:$L,'BSE - Other Index Options'!$C:$C,$A163,'BSE - Other Index Options'!$B:$B,C$147))</f>
        <v>8382.58</v>
      </c>
      <c r="D163" s="26">
        <f>IF(SUMIFS('BSE - SENSEX Index Options'!$L:$L,'BSE - SENSEX Index Options'!$C:$C,$A163,'BSE - SENSEX Index Options'!$B:$B,D$147)+SUMIFS('BSE - Other Index Options'!$L:$L,'BSE - Other Index Options'!$C:$C,$A163,'BSE - Other Index Options'!$B:$B,D$147)=0,"",SUMIFS('BSE - SENSEX Index Options'!$L:$L,'BSE - SENSEX Index Options'!$C:$C,$A163,'BSE - SENSEX Index Options'!$B:$B,D$147)+SUMIFS('BSE - Other Index Options'!$L:$L,'BSE - Other Index Options'!$C:$C,$A163,'BSE - Other Index Options'!$B:$B,D$147))</f>
        <v>26225.78</v>
      </c>
      <c r="E163" s="26">
        <f>IF(SUMIFS('BSE - SENSEX Index Options'!$L:$L,'BSE - SENSEX Index Options'!$C:$C,$A163,'BSE - SENSEX Index Options'!$B:$B,E$147)+SUMIFS('BSE - Other Index Options'!$L:$L,'BSE - Other Index Options'!$C:$C,$A163,'BSE - Other Index Options'!$B:$B,E$147)=0,"",SUMIFS('BSE - SENSEX Index Options'!$L:$L,'BSE - SENSEX Index Options'!$C:$C,$A163,'BSE - SENSEX Index Options'!$B:$B,E$147)+SUMIFS('BSE - Other Index Options'!$L:$L,'BSE - Other Index Options'!$C:$C,$A163,'BSE - Other Index Options'!$B:$B,E$147))</f>
        <v>47505.51</v>
      </c>
      <c r="F163" s="26">
        <f>IF(SUMIFS('BSE - SENSEX Index Options'!$L:$L,'BSE - SENSEX Index Options'!$C:$C,$A163,'BSE - SENSEX Index Options'!$B:$B,F$147)+SUMIFS('BSE - Other Index Options'!$L:$L,'BSE - Other Index Options'!$C:$C,$A163,'BSE - Other Index Options'!$B:$B,F$147)=0,"",SUMIFS('BSE - SENSEX Index Options'!$L:$L,'BSE - SENSEX Index Options'!$C:$C,$A163,'BSE - SENSEX Index Options'!$B:$B,F$147)+SUMIFS('BSE - Other Index Options'!$L:$L,'BSE - Other Index Options'!$C:$C,$A163,'BSE - Other Index Options'!$B:$B,F$147))</f>
        <v>10381.74</v>
      </c>
      <c r="G163" s="26" t="str">
        <f>IF(SUMIFS('BSE - SENSEX Index Options'!$L:$L,'BSE - SENSEX Index Options'!$C:$C,$A163,'BSE - SENSEX Index Options'!$B:$B,G$147)+SUMIFS('BSE - Other Index Options'!$L:$L,'BSE - Other Index Options'!$C:$C,$A163,'BSE - Other Index Options'!$B:$B,G$147)=0,"",SUMIFS('BSE - SENSEX Index Options'!$L:$L,'BSE - SENSEX Index Options'!$C:$C,$A163,'BSE - SENSEX Index Options'!$B:$B,G$147)+SUMIFS('BSE - Other Index Options'!$L:$L,'BSE - Other Index Options'!$C:$C,$A163,'BSE - Other Index Options'!$B:$B,G$147))</f>
        <v/>
      </c>
      <c r="H163" s="26">
        <f t="shared" si="6"/>
        <v>102723.45</v>
      </c>
    </row>
    <row r="164" spans="1:8">
      <c r="A164" t="s">
        <v>26</v>
      </c>
      <c r="B164" s="26">
        <f>IF(SUMIFS('BSE - SENSEX Index Options'!$L:$L,'BSE - SENSEX Index Options'!$C:$C,$A164,'BSE - SENSEX Index Options'!$B:$B,B$147)+SUMIFS('BSE - Other Index Options'!$L:$L,'BSE - Other Index Options'!$C:$C,$A164,'BSE - Other Index Options'!$B:$B,B$147)=0,"",SUMIFS('BSE - SENSEX Index Options'!$L:$L,'BSE - SENSEX Index Options'!$C:$C,$A164,'BSE - SENSEX Index Options'!$B:$B,B$147)+SUMIFS('BSE - Other Index Options'!$L:$L,'BSE - Other Index Options'!$C:$C,$A164,'BSE - Other Index Options'!$B:$B,B$147))</f>
        <v>10684.93</v>
      </c>
      <c r="C164" s="26">
        <f>IF(SUMIFS('BSE - SENSEX Index Options'!$L:$L,'BSE - SENSEX Index Options'!$C:$C,$A164,'BSE - SENSEX Index Options'!$B:$B,C$147)+SUMIFS('BSE - Other Index Options'!$L:$L,'BSE - Other Index Options'!$C:$C,$A164,'BSE - Other Index Options'!$B:$B,C$147)=0,"",SUMIFS('BSE - SENSEX Index Options'!$L:$L,'BSE - SENSEX Index Options'!$C:$C,$A164,'BSE - SENSEX Index Options'!$B:$B,C$147)+SUMIFS('BSE - Other Index Options'!$L:$L,'BSE - Other Index Options'!$C:$C,$A164,'BSE - Other Index Options'!$B:$B,C$147))</f>
        <v>11493.900000000001</v>
      </c>
      <c r="D164" s="26">
        <f>IF(SUMIFS('BSE - SENSEX Index Options'!$L:$L,'BSE - SENSEX Index Options'!$C:$C,$A164,'BSE - SENSEX Index Options'!$B:$B,D$147)+SUMIFS('BSE - Other Index Options'!$L:$L,'BSE - Other Index Options'!$C:$C,$A164,'BSE - Other Index Options'!$B:$B,D$147)=0,"",SUMIFS('BSE - SENSEX Index Options'!$L:$L,'BSE - SENSEX Index Options'!$C:$C,$A164,'BSE - SENSEX Index Options'!$B:$B,D$147)+SUMIFS('BSE - Other Index Options'!$L:$L,'BSE - Other Index Options'!$C:$C,$A164,'BSE - Other Index Options'!$B:$B,D$147))</f>
        <v>33805.420000000006</v>
      </c>
      <c r="E164" s="26">
        <f>IF(SUMIFS('BSE - SENSEX Index Options'!$L:$L,'BSE - SENSEX Index Options'!$C:$C,$A164,'BSE - SENSEX Index Options'!$B:$B,E$147)+SUMIFS('BSE - Other Index Options'!$L:$L,'BSE - Other Index Options'!$C:$C,$A164,'BSE - Other Index Options'!$B:$B,E$147)=0,"",SUMIFS('BSE - SENSEX Index Options'!$L:$L,'BSE - SENSEX Index Options'!$C:$C,$A164,'BSE - SENSEX Index Options'!$B:$B,E$147)+SUMIFS('BSE - Other Index Options'!$L:$L,'BSE - Other Index Options'!$C:$C,$A164,'BSE - Other Index Options'!$B:$B,E$147))</f>
        <v>53834.159999999996</v>
      </c>
      <c r="F164" s="26">
        <f>IF(SUMIFS('BSE - SENSEX Index Options'!$L:$L,'BSE - SENSEX Index Options'!$C:$C,$A164,'BSE - SENSEX Index Options'!$B:$B,F$147)+SUMIFS('BSE - Other Index Options'!$L:$L,'BSE - Other Index Options'!$C:$C,$A164,'BSE - Other Index Options'!$B:$B,F$147)=0,"",SUMIFS('BSE - SENSEX Index Options'!$L:$L,'BSE - SENSEX Index Options'!$C:$C,$A164,'BSE - SENSEX Index Options'!$B:$B,F$147)+SUMIFS('BSE - Other Index Options'!$L:$L,'BSE - Other Index Options'!$C:$C,$A164,'BSE - Other Index Options'!$B:$B,F$147))</f>
        <v>9902.08</v>
      </c>
      <c r="G164" s="26" t="str">
        <f>IF(SUMIFS('BSE - SENSEX Index Options'!$L:$L,'BSE - SENSEX Index Options'!$C:$C,$A164,'BSE - SENSEX Index Options'!$B:$B,G$147)+SUMIFS('BSE - Other Index Options'!$L:$L,'BSE - Other Index Options'!$C:$C,$A164,'BSE - Other Index Options'!$B:$B,G$147)=0,"",SUMIFS('BSE - SENSEX Index Options'!$L:$L,'BSE - SENSEX Index Options'!$C:$C,$A164,'BSE - SENSEX Index Options'!$B:$B,G$147)+SUMIFS('BSE - Other Index Options'!$L:$L,'BSE - Other Index Options'!$C:$C,$A164,'BSE - Other Index Options'!$B:$B,G$147))</f>
        <v/>
      </c>
      <c r="H164" s="26">
        <f t="shared" si="6"/>
        <v>119720.49</v>
      </c>
    </row>
    <row r="165" spans="1:8">
      <c r="A165" t="s">
        <v>27</v>
      </c>
      <c r="B165" s="26">
        <f>IF(SUMIFS('BSE - SENSEX Index Options'!$L:$L,'BSE - SENSEX Index Options'!$C:$C,$A165,'BSE - SENSEX Index Options'!$B:$B,B$147)+SUMIFS('BSE - Other Index Options'!$L:$L,'BSE - Other Index Options'!$C:$C,$A165,'BSE - Other Index Options'!$B:$B,B$147)=0,"",SUMIFS('BSE - SENSEX Index Options'!$L:$L,'BSE - SENSEX Index Options'!$C:$C,$A165,'BSE - SENSEX Index Options'!$B:$B,B$147)+SUMIFS('BSE - Other Index Options'!$L:$L,'BSE - Other Index Options'!$C:$C,$A165,'BSE - Other Index Options'!$B:$B,B$147))</f>
        <v>9599.7800000000007</v>
      </c>
      <c r="C165" s="26">
        <f>IF(SUMIFS('BSE - SENSEX Index Options'!$L:$L,'BSE - SENSEX Index Options'!$C:$C,$A165,'BSE - SENSEX Index Options'!$B:$B,C$147)+SUMIFS('BSE - Other Index Options'!$L:$L,'BSE - Other Index Options'!$C:$C,$A165,'BSE - Other Index Options'!$B:$B,C$147)=0,"",SUMIFS('BSE - SENSEX Index Options'!$L:$L,'BSE - SENSEX Index Options'!$C:$C,$A165,'BSE - SENSEX Index Options'!$B:$B,C$147)+SUMIFS('BSE - Other Index Options'!$L:$L,'BSE - Other Index Options'!$C:$C,$A165,'BSE - Other Index Options'!$B:$B,C$147))</f>
        <v>8609.3299999999981</v>
      </c>
      <c r="D165" s="26">
        <f>IF(SUMIFS('BSE - SENSEX Index Options'!$L:$L,'BSE - SENSEX Index Options'!$C:$C,$A165,'BSE - SENSEX Index Options'!$B:$B,D$147)+SUMIFS('BSE - Other Index Options'!$L:$L,'BSE - Other Index Options'!$C:$C,$A165,'BSE - Other Index Options'!$B:$B,D$147)=0,"",SUMIFS('BSE - SENSEX Index Options'!$L:$L,'BSE - SENSEX Index Options'!$C:$C,$A165,'BSE - SENSEX Index Options'!$B:$B,D$147)+SUMIFS('BSE - Other Index Options'!$L:$L,'BSE - Other Index Options'!$C:$C,$A165,'BSE - Other Index Options'!$B:$B,D$147))</f>
        <v>25742.219999999998</v>
      </c>
      <c r="E165" s="26">
        <f>IF(SUMIFS('BSE - SENSEX Index Options'!$L:$L,'BSE - SENSEX Index Options'!$C:$C,$A165,'BSE - SENSEX Index Options'!$B:$B,E$147)+SUMIFS('BSE - Other Index Options'!$L:$L,'BSE - Other Index Options'!$C:$C,$A165,'BSE - Other Index Options'!$B:$B,E$147)=0,"",SUMIFS('BSE - SENSEX Index Options'!$L:$L,'BSE - SENSEX Index Options'!$C:$C,$A165,'BSE - SENSEX Index Options'!$B:$B,E$147)+SUMIFS('BSE - Other Index Options'!$L:$L,'BSE - Other Index Options'!$C:$C,$A165,'BSE - Other Index Options'!$B:$B,E$147))</f>
        <v>44660.039999999994</v>
      </c>
      <c r="F165" s="26">
        <f>IF(SUMIFS('BSE - SENSEX Index Options'!$L:$L,'BSE - SENSEX Index Options'!$C:$C,$A165,'BSE - SENSEX Index Options'!$B:$B,F$147)+SUMIFS('BSE - Other Index Options'!$L:$L,'BSE - Other Index Options'!$C:$C,$A165,'BSE - Other Index Options'!$B:$B,F$147)=0,"",SUMIFS('BSE - SENSEX Index Options'!$L:$L,'BSE - SENSEX Index Options'!$C:$C,$A165,'BSE - SENSEX Index Options'!$B:$B,F$147)+SUMIFS('BSE - Other Index Options'!$L:$L,'BSE - Other Index Options'!$C:$C,$A165,'BSE - Other Index Options'!$B:$B,F$147))</f>
        <v>8709.5399999999991</v>
      </c>
      <c r="G165" s="26" t="str">
        <f>IF(SUMIFS('BSE - SENSEX Index Options'!$L:$L,'BSE - SENSEX Index Options'!$C:$C,$A165,'BSE - SENSEX Index Options'!$B:$B,G$147)+SUMIFS('BSE - Other Index Options'!$L:$L,'BSE - Other Index Options'!$C:$C,$A165,'BSE - Other Index Options'!$B:$B,G$147)=0,"",SUMIFS('BSE - SENSEX Index Options'!$L:$L,'BSE - SENSEX Index Options'!$C:$C,$A165,'BSE - SENSEX Index Options'!$B:$B,G$147)+SUMIFS('BSE - Other Index Options'!$L:$L,'BSE - Other Index Options'!$C:$C,$A165,'BSE - Other Index Options'!$B:$B,G$147))</f>
        <v/>
      </c>
      <c r="H165" s="26">
        <f t="shared" si="6"/>
        <v>97320.909999999989</v>
      </c>
    </row>
    <row r="166" spans="1:8">
      <c r="A166" t="s">
        <v>28</v>
      </c>
      <c r="B166" s="26">
        <f>IF(SUMIFS('BSE - SENSEX Index Options'!$L:$L,'BSE - SENSEX Index Options'!$C:$C,$A166,'BSE - SENSEX Index Options'!$B:$B,B$147)+SUMIFS('BSE - Other Index Options'!$L:$L,'BSE - Other Index Options'!$C:$C,$A166,'BSE - Other Index Options'!$B:$B,B$147)=0,"",SUMIFS('BSE - SENSEX Index Options'!$L:$L,'BSE - SENSEX Index Options'!$C:$C,$A166,'BSE - SENSEX Index Options'!$B:$B,B$147)+SUMIFS('BSE - Other Index Options'!$L:$L,'BSE - Other Index Options'!$C:$C,$A166,'BSE - Other Index Options'!$B:$B,B$147))</f>
        <v>6906.3</v>
      </c>
      <c r="C166" s="26">
        <f>IF(SUMIFS('BSE - SENSEX Index Options'!$L:$L,'BSE - SENSEX Index Options'!$C:$C,$A166,'BSE - SENSEX Index Options'!$B:$B,C$147)+SUMIFS('BSE - Other Index Options'!$L:$L,'BSE - Other Index Options'!$C:$C,$A166,'BSE - Other Index Options'!$B:$B,C$147)=0,"",SUMIFS('BSE - SENSEX Index Options'!$L:$L,'BSE - SENSEX Index Options'!$C:$C,$A166,'BSE - SENSEX Index Options'!$B:$B,C$147)+SUMIFS('BSE - Other Index Options'!$L:$L,'BSE - Other Index Options'!$C:$C,$A166,'BSE - Other Index Options'!$B:$B,C$147))</f>
        <v>8173.4500000000007</v>
      </c>
      <c r="D166" s="26">
        <f>IF(SUMIFS('BSE - SENSEX Index Options'!$L:$L,'BSE - SENSEX Index Options'!$C:$C,$A166,'BSE - SENSEX Index Options'!$B:$B,D$147)+SUMIFS('BSE - Other Index Options'!$L:$L,'BSE - Other Index Options'!$C:$C,$A166,'BSE - Other Index Options'!$B:$B,D$147)=0,"",SUMIFS('BSE - SENSEX Index Options'!$L:$L,'BSE - SENSEX Index Options'!$C:$C,$A166,'BSE - SENSEX Index Options'!$B:$B,D$147)+SUMIFS('BSE - Other Index Options'!$L:$L,'BSE - Other Index Options'!$C:$C,$A166,'BSE - Other Index Options'!$B:$B,D$147))</f>
        <v>32525.359999999997</v>
      </c>
      <c r="E166" s="26" t="str">
        <f>IF(SUMIFS('BSE - SENSEX Index Options'!$L:$L,'BSE - SENSEX Index Options'!$C:$C,$A166,'BSE - SENSEX Index Options'!$B:$B,E$147)+SUMIFS('BSE - Other Index Options'!$L:$L,'BSE - Other Index Options'!$C:$C,$A166,'BSE - Other Index Options'!$B:$B,E$147)=0,"",SUMIFS('BSE - SENSEX Index Options'!$L:$L,'BSE - SENSEX Index Options'!$C:$C,$A166,'BSE - SENSEX Index Options'!$B:$B,E$147)+SUMIFS('BSE - Other Index Options'!$L:$L,'BSE - Other Index Options'!$C:$C,$A166,'BSE - Other Index Options'!$B:$B,E$147))</f>
        <v/>
      </c>
      <c r="F166" s="26">
        <f>IF(SUMIFS('BSE - SENSEX Index Options'!$L:$L,'BSE - SENSEX Index Options'!$C:$C,$A166,'BSE - SENSEX Index Options'!$B:$B,F$147)+SUMIFS('BSE - Other Index Options'!$L:$L,'BSE - Other Index Options'!$C:$C,$A166,'BSE - Other Index Options'!$B:$B,F$147)=0,"",SUMIFS('BSE - SENSEX Index Options'!$L:$L,'BSE - SENSEX Index Options'!$C:$C,$A166,'BSE - SENSEX Index Options'!$B:$B,F$147)+SUMIFS('BSE - Other Index Options'!$L:$L,'BSE - Other Index Options'!$C:$C,$A166,'BSE - Other Index Options'!$B:$B,F$147))</f>
        <v>5720.130000000001</v>
      </c>
      <c r="G166" s="26" t="str">
        <f>IF(SUMIFS('BSE - SENSEX Index Options'!$L:$L,'BSE - SENSEX Index Options'!$C:$C,$A166,'BSE - SENSEX Index Options'!$B:$B,G$147)+SUMIFS('BSE - Other Index Options'!$L:$L,'BSE - Other Index Options'!$C:$C,$A166,'BSE - Other Index Options'!$B:$B,G$147)=0,"",SUMIFS('BSE - SENSEX Index Options'!$L:$L,'BSE - SENSEX Index Options'!$C:$C,$A166,'BSE - SENSEX Index Options'!$B:$B,G$147)+SUMIFS('BSE - Other Index Options'!$L:$L,'BSE - Other Index Options'!$C:$C,$A166,'BSE - Other Index Options'!$B:$B,G$147))</f>
        <v/>
      </c>
      <c r="H166" s="26">
        <f t="shared" si="6"/>
        <v>53325.240000000005</v>
      </c>
    </row>
    <row r="167" spans="1:8">
      <c r="A167" t="s">
        <v>29</v>
      </c>
      <c r="B167" s="26">
        <f>IF(SUMIFS('BSE - SENSEX Index Options'!$L:$L,'BSE - SENSEX Index Options'!$C:$C,$A167,'BSE - SENSEX Index Options'!$B:$B,B$147)+SUMIFS('BSE - Other Index Options'!$L:$L,'BSE - Other Index Options'!$C:$C,$A167,'BSE - Other Index Options'!$B:$B,B$147)=0,"",SUMIFS('BSE - SENSEX Index Options'!$L:$L,'BSE - SENSEX Index Options'!$C:$C,$A167,'BSE - SENSEX Index Options'!$B:$B,B$147)+SUMIFS('BSE - Other Index Options'!$L:$L,'BSE - Other Index Options'!$C:$C,$A167,'BSE - Other Index Options'!$B:$B,B$147))</f>
        <v>7001.5999999999995</v>
      </c>
      <c r="C167" s="26">
        <f>IF(SUMIFS('BSE - SENSEX Index Options'!$L:$L,'BSE - SENSEX Index Options'!$C:$C,$A167,'BSE - SENSEX Index Options'!$B:$B,C$147)+SUMIFS('BSE - Other Index Options'!$L:$L,'BSE - Other Index Options'!$C:$C,$A167,'BSE - Other Index Options'!$B:$B,C$147)=0,"",SUMIFS('BSE - SENSEX Index Options'!$L:$L,'BSE - SENSEX Index Options'!$C:$C,$A167,'BSE - SENSEX Index Options'!$B:$B,C$147)+SUMIFS('BSE - Other Index Options'!$L:$L,'BSE - Other Index Options'!$C:$C,$A167,'BSE - Other Index Options'!$B:$B,C$147))</f>
        <v>8052.3300000000008</v>
      </c>
      <c r="D167" s="26">
        <f>IF(SUMIFS('BSE - SENSEX Index Options'!$L:$L,'BSE - SENSEX Index Options'!$C:$C,$A167,'BSE - SENSEX Index Options'!$B:$B,D$147)+SUMIFS('BSE - Other Index Options'!$L:$L,'BSE - Other Index Options'!$C:$C,$A167,'BSE - Other Index Options'!$B:$B,D$147)=0,"",SUMIFS('BSE - SENSEX Index Options'!$L:$L,'BSE - SENSEX Index Options'!$C:$C,$A167,'BSE - SENSEX Index Options'!$B:$B,D$147)+SUMIFS('BSE - Other Index Options'!$L:$L,'BSE - Other Index Options'!$C:$C,$A167,'BSE - Other Index Options'!$B:$B,D$147))</f>
        <v>24758.480000000003</v>
      </c>
      <c r="E167" s="26" t="str">
        <f>IF(SUMIFS('BSE - SENSEX Index Options'!$L:$L,'BSE - SENSEX Index Options'!$C:$C,$A167,'BSE - SENSEX Index Options'!$B:$B,E$147)+SUMIFS('BSE - Other Index Options'!$L:$L,'BSE - Other Index Options'!$C:$C,$A167,'BSE - Other Index Options'!$B:$B,E$147)=0,"",SUMIFS('BSE - SENSEX Index Options'!$L:$L,'BSE - SENSEX Index Options'!$C:$C,$A167,'BSE - SENSEX Index Options'!$B:$B,E$147)+SUMIFS('BSE - Other Index Options'!$L:$L,'BSE - Other Index Options'!$C:$C,$A167,'BSE - Other Index Options'!$B:$B,E$147))</f>
        <v/>
      </c>
      <c r="F167" s="26" t="str">
        <f>IF(SUMIFS('BSE - SENSEX Index Options'!$L:$L,'BSE - SENSEX Index Options'!$C:$C,$A167,'BSE - SENSEX Index Options'!$B:$B,F$147)+SUMIFS('BSE - Other Index Options'!$L:$L,'BSE - Other Index Options'!$C:$C,$A167,'BSE - Other Index Options'!$B:$B,F$147)=0,"",SUMIFS('BSE - SENSEX Index Options'!$L:$L,'BSE - SENSEX Index Options'!$C:$C,$A167,'BSE - SENSEX Index Options'!$B:$B,F$147)+SUMIFS('BSE - Other Index Options'!$L:$L,'BSE - Other Index Options'!$C:$C,$A167,'BSE - Other Index Options'!$B:$B,F$147))</f>
        <v/>
      </c>
      <c r="G167" s="26" t="str">
        <f>IF(SUMIFS('BSE - SENSEX Index Options'!$L:$L,'BSE - SENSEX Index Options'!$C:$C,$A167,'BSE - SENSEX Index Options'!$B:$B,G$147)+SUMIFS('BSE - Other Index Options'!$L:$L,'BSE - Other Index Options'!$C:$C,$A167,'BSE - Other Index Options'!$B:$B,G$147)=0,"",SUMIFS('BSE - SENSEX Index Options'!$L:$L,'BSE - SENSEX Index Options'!$C:$C,$A167,'BSE - SENSEX Index Options'!$B:$B,G$147)+SUMIFS('BSE - Other Index Options'!$L:$L,'BSE - Other Index Options'!$C:$C,$A167,'BSE - Other Index Options'!$B:$B,G$147))</f>
        <v/>
      </c>
      <c r="H167" s="26">
        <f t="shared" si="6"/>
        <v>39812.410000000003</v>
      </c>
    </row>
    <row r="168" spans="1:8">
      <c r="A168" t="s">
        <v>30</v>
      </c>
      <c r="B168" s="26">
        <f>IF(SUMIFS('BSE - SENSEX Index Options'!$L:$L,'BSE - SENSEX Index Options'!$C:$C,$A168,'BSE - SENSEX Index Options'!$B:$B,B$147)+SUMIFS('BSE - Other Index Options'!$L:$L,'BSE - Other Index Options'!$C:$C,$A168,'BSE - Other Index Options'!$B:$B,B$147)=0,"",SUMIFS('BSE - SENSEX Index Options'!$L:$L,'BSE - SENSEX Index Options'!$C:$C,$A168,'BSE - SENSEX Index Options'!$B:$B,B$147)+SUMIFS('BSE - Other Index Options'!$L:$L,'BSE - Other Index Options'!$C:$C,$A168,'BSE - Other Index Options'!$B:$B,B$147))</f>
        <v>11590.649999999998</v>
      </c>
      <c r="C168" s="26">
        <f>IF(SUMIFS('BSE - SENSEX Index Options'!$L:$L,'BSE - SENSEX Index Options'!$C:$C,$A168,'BSE - SENSEX Index Options'!$B:$B,C$147)+SUMIFS('BSE - Other Index Options'!$L:$L,'BSE - Other Index Options'!$C:$C,$A168,'BSE - Other Index Options'!$B:$B,C$147)=0,"",SUMIFS('BSE - SENSEX Index Options'!$L:$L,'BSE - SENSEX Index Options'!$C:$C,$A168,'BSE - SENSEX Index Options'!$B:$B,C$147)+SUMIFS('BSE - Other Index Options'!$L:$L,'BSE - Other Index Options'!$C:$C,$A168,'BSE - Other Index Options'!$B:$B,C$147))</f>
        <v>10460.42</v>
      </c>
      <c r="D168" s="26">
        <f>IF(SUMIFS('BSE - SENSEX Index Options'!$L:$L,'BSE - SENSEX Index Options'!$C:$C,$A168,'BSE - SENSEX Index Options'!$B:$B,D$147)+SUMIFS('BSE - Other Index Options'!$L:$L,'BSE - Other Index Options'!$C:$C,$A168,'BSE - Other Index Options'!$B:$B,D$147)=0,"",SUMIFS('BSE - SENSEX Index Options'!$L:$L,'BSE - SENSEX Index Options'!$C:$C,$A168,'BSE - SENSEX Index Options'!$B:$B,D$147)+SUMIFS('BSE - Other Index Options'!$L:$L,'BSE - Other Index Options'!$C:$C,$A168,'BSE - Other Index Options'!$B:$B,D$147))</f>
        <v>27755.86</v>
      </c>
      <c r="E168" s="26">
        <f>IF(SUMIFS('BSE - SENSEX Index Options'!$L:$L,'BSE - SENSEX Index Options'!$C:$C,$A168,'BSE - SENSEX Index Options'!$B:$B,E$147)+SUMIFS('BSE - Other Index Options'!$L:$L,'BSE - Other Index Options'!$C:$C,$A168,'BSE - Other Index Options'!$B:$B,E$147)=0,"",SUMIFS('BSE - SENSEX Index Options'!$L:$L,'BSE - SENSEX Index Options'!$C:$C,$A168,'BSE - SENSEX Index Options'!$B:$B,E$147)+SUMIFS('BSE - Other Index Options'!$L:$L,'BSE - Other Index Options'!$C:$C,$A168,'BSE - Other Index Options'!$B:$B,E$147))</f>
        <v>36788.570000000007</v>
      </c>
      <c r="F168" s="26">
        <f>IF(SUMIFS('BSE - SENSEX Index Options'!$L:$L,'BSE - SENSEX Index Options'!$C:$C,$A168,'BSE - SENSEX Index Options'!$B:$B,F$147)+SUMIFS('BSE - Other Index Options'!$L:$L,'BSE - Other Index Options'!$C:$C,$A168,'BSE - Other Index Options'!$B:$B,F$147)=0,"",SUMIFS('BSE - SENSEX Index Options'!$L:$L,'BSE - SENSEX Index Options'!$C:$C,$A168,'BSE - SENSEX Index Options'!$B:$B,F$147)+SUMIFS('BSE - Other Index Options'!$L:$L,'BSE - Other Index Options'!$C:$C,$A168,'BSE - Other Index Options'!$B:$B,F$147))</f>
        <v>7114.52</v>
      </c>
      <c r="G168" s="26" t="str">
        <f>IF(SUMIFS('BSE - SENSEX Index Options'!$L:$L,'BSE - SENSEX Index Options'!$C:$C,$A168,'BSE - SENSEX Index Options'!$B:$B,G$147)+SUMIFS('BSE - Other Index Options'!$L:$L,'BSE - Other Index Options'!$C:$C,$A168,'BSE - Other Index Options'!$B:$B,G$147)=0,"",SUMIFS('BSE - SENSEX Index Options'!$L:$L,'BSE - SENSEX Index Options'!$C:$C,$A168,'BSE - SENSEX Index Options'!$B:$B,G$147)+SUMIFS('BSE - Other Index Options'!$L:$L,'BSE - Other Index Options'!$C:$C,$A168,'BSE - Other Index Options'!$B:$B,G$147))</f>
        <v/>
      </c>
      <c r="H168" s="26">
        <f t="shared" si="6"/>
        <v>93710.02</v>
      </c>
    </row>
    <row r="169" spans="1:8">
      <c r="A169" t="s">
        <v>31</v>
      </c>
      <c r="B169" s="26">
        <f>IF(SUMIFS('BSE - SENSEX Index Options'!$L:$L,'BSE - SENSEX Index Options'!$C:$C,$A169,'BSE - SENSEX Index Options'!$B:$B,B$147)+SUMIFS('BSE - Other Index Options'!$L:$L,'BSE - Other Index Options'!$C:$C,$A169,'BSE - Other Index Options'!$B:$B,B$147)=0,"",SUMIFS('BSE - SENSEX Index Options'!$L:$L,'BSE - SENSEX Index Options'!$C:$C,$A169,'BSE - SENSEX Index Options'!$B:$B,B$147)+SUMIFS('BSE - Other Index Options'!$L:$L,'BSE - Other Index Options'!$C:$C,$A169,'BSE - Other Index Options'!$B:$B,B$147))</f>
        <v>15961.83</v>
      </c>
      <c r="C169" s="26">
        <f>IF(SUMIFS('BSE - SENSEX Index Options'!$L:$L,'BSE - SENSEX Index Options'!$C:$C,$A169,'BSE - SENSEX Index Options'!$B:$B,C$147)+SUMIFS('BSE - Other Index Options'!$L:$L,'BSE - Other Index Options'!$C:$C,$A169,'BSE - Other Index Options'!$B:$B,C$147)=0,"",SUMIFS('BSE - SENSEX Index Options'!$L:$L,'BSE - SENSEX Index Options'!$C:$C,$A169,'BSE - SENSEX Index Options'!$B:$B,C$147)+SUMIFS('BSE - Other Index Options'!$L:$L,'BSE - Other Index Options'!$C:$C,$A169,'BSE - Other Index Options'!$B:$B,C$147))</f>
        <v>17444.25</v>
      </c>
      <c r="D169" s="26">
        <f>IF(SUMIFS('BSE - SENSEX Index Options'!$L:$L,'BSE - SENSEX Index Options'!$C:$C,$A169,'BSE - SENSEX Index Options'!$B:$B,D$147)+SUMIFS('BSE - Other Index Options'!$L:$L,'BSE - Other Index Options'!$C:$C,$A169,'BSE - Other Index Options'!$B:$B,D$147)=0,"",SUMIFS('BSE - SENSEX Index Options'!$L:$L,'BSE - SENSEX Index Options'!$C:$C,$A169,'BSE - SENSEX Index Options'!$B:$B,D$147)+SUMIFS('BSE - Other Index Options'!$L:$L,'BSE - Other Index Options'!$C:$C,$A169,'BSE - Other Index Options'!$B:$B,D$147))</f>
        <v>58291.35</v>
      </c>
      <c r="E169" s="26">
        <f>IF(SUMIFS('BSE - SENSEX Index Options'!$L:$L,'BSE - SENSEX Index Options'!$C:$C,$A169,'BSE - SENSEX Index Options'!$B:$B,E$147)+SUMIFS('BSE - Other Index Options'!$L:$L,'BSE - Other Index Options'!$C:$C,$A169,'BSE - Other Index Options'!$B:$B,E$147)=0,"",SUMIFS('BSE - SENSEX Index Options'!$L:$L,'BSE - SENSEX Index Options'!$C:$C,$A169,'BSE - SENSEX Index Options'!$B:$B,E$147)+SUMIFS('BSE - Other Index Options'!$L:$L,'BSE - Other Index Options'!$C:$C,$A169,'BSE - Other Index Options'!$B:$B,E$147))</f>
        <v>45837.79</v>
      </c>
      <c r="F169" s="26">
        <f>IF(SUMIFS('BSE - SENSEX Index Options'!$L:$L,'BSE - SENSEX Index Options'!$C:$C,$A169,'BSE - SENSEX Index Options'!$B:$B,F$147)+SUMIFS('BSE - Other Index Options'!$L:$L,'BSE - Other Index Options'!$C:$C,$A169,'BSE - Other Index Options'!$B:$B,F$147)=0,"",SUMIFS('BSE - SENSEX Index Options'!$L:$L,'BSE - SENSEX Index Options'!$C:$C,$A169,'BSE - SENSEX Index Options'!$B:$B,F$147)+SUMIFS('BSE - Other Index Options'!$L:$L,'BSE - Other Index Options'!$C:$C,$A169,'BSE - Other Index Options'!$B:$B,F$147))</f>
        <v>13034.27</v>
      </c>
      <c r="G169" s="26" t="str">
        <f>IF(SUMIFS('BSE - SENSEX Index Options'!$L:$L,'BSE - SENSEX Index Options'!$C:$C,$A169,'BSE - SENSEX Index Options'!$B:$B,G$147)+SUMIFS('BSE - Other Index Options'!$L:$L,'BSE - Other Index Options'!$C:$C,$A169,'BSE - Other Index Options'!$B:$B,G$147)=0,"",SUMIFS('BSE - SENSEX Index Options'!$L:$L,'BSE - SENSEX Index Options'!$C:$C,$A169,'BSE - SENSEX Index Options'!$B:$B,G$147)+SUMIFS('BSE - Other Index Options'!$L:$L,'BSE - Other Index Options'!$C:$C,$A169,'BSE - Other Index Options'!$B:$B,G$147))</f>
        <v/>
      </c>
      <c r="H169" s="26">
        <f t="shared" si="6"/>
        <v>150569.49</v>
      </c>
    </row>
    <row r="170" spans="1:8">
      <c r="A170" t="s">
        <v>32</v>
      </c>
      <c r="B170" s="26">
        <f>IF(SUMIFS('BSE - SENSEX Index Options'!$L:$L,'BSE - SENSEX Index Options'!$C:$C,$A170,'BSE - SENSEX Index Options'!$B:$B,B$147)+SUMIFS('BSE - Other Index Options'!$L:$L,'BSE - Other Index Options'!$C:$C,$A170,'BSE - Other Index Options'!$B:$B,B$147)=0,"",SUMIFS('BSE - SENSEX Index Options'!$L:$L,'BSE - SENSEX Index Options'!$C:$C,$A170,'BSE - SENSEX Index Options'!$B:$B,B$147)+SUMIFS('BSE - Other Index Options'!$L:$L,'BSE - Other Index Options'!$C:$C,$A170,'BSE - Other Index Options'!$B:$B,B$147))</f>
        <v>13053.619999999997</v>
      </c>
      <c r="C170" s="26">
        <f>IF(SUMIFS('BSE - SENSEX Index Options'!$L:$L,'BSE - SENSEX Index Options'!$C:$C,$A170,'BSE - SENSEX Index Options'!$B:$B,C$147)+SUMIFS('BSE - Other Index Options'!$L:$L,'BSE - Other Index Options'!$C:$C,$A170,'BSE - Other Index Options'!$B:$B,C$147)=0,"",SUMIFS('BSE - SENSEX Index Options'!$L:$L,'BSE - SENSEX Index Options'!$C:$C,$A170,'BSE - SENSEX Index Options'!$B:$B,C$147)+SUMIFS('BSE - Other Index Options'!$L:$L,'BSE - Other Index Options'!$C:$C,$A170,'BSE - Other Index Options'!$B:$B,C$147))</f>
        <v>12505.970000000001</v>
      </c>
      <c r="D170" s="26">
        <f>IF(SUMIFS('BSE - SENSEX Index Options'!$L:$L,'BSE - SENSEX Index Options'!$C:$C,$A170,'BSE - SENSEX Index Options'!$B:$B,D$147)+SUMIFS('BSE - Other Index Options'!$L:$L,'BSE - Other Index Options'!$C:$C,$A170,'BSE - Other Index Options'!$B:$B,D$147)=0,"",SUMIFS('BSE - SENSEX Index Options'!$L:$L,'BSE - SENSEX Index Options'!$C:$C,$A170,'BSE - SENSEX Index Options'!$B:$B,D$147)+SUMIFS('BSE - Other Index Options'!$L:$L,'BSE - Other Index Options'!$C:$C,$A170,'BSE - Other Index Options'!$B:$B,D$147))</f>
        <v>55813.75</v>
      </c>
      <c r="E170" s="26" t="str">
        <f>IF(SUMIFS('BSE - SENSEX Index Options'!$L:$L,'BSE - SENSEX Index Options'!$C:$C,$A170,'BSE - SENSEX Index Options'!$B:$B,E$147)+SUMIFS('BSE - Other Index Options'!$L:$L,'BSE - Other Index Options'!$C:$C,$A170,'BSE - Other Index Options'!$B:$B,E$147)=0,"",SUMIFS('BSE - SENSEX Index Options'!$L:$L,'BSE - SENSEX Index Options'!$C:$C,$A170,'BSE - SENSEX Index Options'!$B:$B,E$147)+SUMIFS('BSE - Other Index Options'!$L:$L,'BSE - Other Index Options'!$C:$C,$A170,'BSE - Other Index Options'!$B:$B,E$147))</f>
        <v/>
      </c>
      <c r="F170" s="26">
        <f>IF(SUMIFS('BSE - SENSEX Index Options'!$L:$L,'BSE - SENSEX Index Options'!$C:$C,$A170,'BSE - SENSEX Index Options'!$B:$B,F$147)+SUMIFS('BSE - Other Index Options'!$L:$L,'BSE - Other Index Options'!$C:$C,$A170,'BSE - Other Index Options'!$B:$B,F$147)=0,"",SUMIFS('BSE - SENSEX Index Options'!$L:$L,'BSE - SENSEX Index Options'!$C:$C,$A170,'BSE - SENSEX Index Options'!$B:$B,F$147)+SUMIFS('BSE - Other Index Options'!$L:$L,'BSE - Other Index Options'!$C:$C,$A170,'BSE - Other Index Options'!$B:$B,F$147))</f>
        <v>14006.5</v>
      </c>
      <c r="G170" s="26" t="str">
        <f>IF(SUMIFS('BSE - SENSEX Index Options'!$L:$L,'BSE - SENSEX Index Options'!$C:$C,$A170,'BSE - SENSEX Index Options'!$B:$B,G$147)+SUMIFS('BSE - Other Index Options'!$L:$L,'BSE - Other Index Options'!$C:$C,$A170,'BSE - Other Index Options'!$B:$B,G$147)=0,"",SUMIFS('BSE - SENSEX Index Options'!$L:$L,'BSE - SENSEX Index Options'!$C:$C,$A170,'BSE - SENSEX Index Options'!$B:$B,G$147)+SUMIFS('BSE - Other Index Options'!$L:$L,'BSE - Other Index Options'!$C:$C,$A170,'BSE - Other Index Options'!$B:$B,G$147))</f>
        <v/>
      </c>
      <c r="H170" s="26">
        <f t="shared" si="6"/>
        <v>95379.839999999997</v>
      </c>
    </row>
    <row r="171" spans="1:8">
      <c r="A171" t="s">
        <v>33</v>
      </c>
      <c r="B171" s="26" t="str">
        <f>IF(SUMIFS('BSE - SENSEX Index Options'!$L:$L,'BSE - SENSEX Index Options'!$C:$C,$A171,'BSE - SENSEX Index Options'!$B:$B,B$147)+SUMIFS('BSE - Other Index Options'!$L:$L,'BSE - Other Index Options'!$C:$C,$A171,'BSE - Other Index Options'!$B:$B,B$147)=0,"",SUMIFS('BSE - SENSEX Index Options'!$L:$L,'BSE - SENSEX Index Options'!$C:$C,$A171,'BSE - SENSEX Index Options'!$B:$B,B$147)+SUMIFS('BSE - Other Index Options'!$L:$L,'BSE - Other Index Options'!$C:$C,$A171,'BSE - Other Index Options'!$B:$B,B$147))</f>
        <v/>
      </c>
      <c r="C171" s="26">
        <f>IF(SUMIFS('BSE - SENSEX Index Options'!$L:$L,'BSE - SENSEX Index Options'!$C:$C,$A171,'BSE - SENSEX Index Options'!$B:$B,C$147)+SUMIFS('BSE - Other Index Options'!$L:$L,'BSE - Other Index Options'!$C:$C,$A171,'BSE - Other Index Options'!$B:$B,C$147)=0,"",SUMIFS('BSE - SENSEX Index Options'!$L:$L,'BSE - SENSEX Index Options'!$C:$C,$A171,'BSE - SENSEX Index Options'!$B:$B,C$147)+SUMIFS('BSE - Other Index Options'!$L:$L,'BSE - Other Index Options'!$C:$C,$A171,'BSE - Other Index Options'!$B:$B,C$147))</f>
        <v>16339.68</v>
      </c>
      <c r="D171" s="26">
        <f>IF(SUMIFS('BSE - SENSEX Index Options'!$L:$L,'BSE - SENSEX Index Options'!$C:$C,$A171,'BSE - SENSEX Index Options'!$B:$B,D$147)+SUMIFS('BSE - Other Index Options'!$L:$L,'BSE - Other Index Options'!$C:$C,$A171,'BSE - Other Index Options'!$B:$B,D$147)=0,"",SUMIFS('BSE - SENSEX Index Options'!$L:$L,'BSE - SENSEX Index Options'!$C:$C,$A171,'BSE - SENSEX Index Options'!$B:$B,D$147)+SUMIFS('BSE - Other Index Options'!$L:$L,'BSE - Other Index Options'!$C:$C,$A171,'BSE - Other Index Options'!$B:$B,D$147))</f>
        <v>46797.88</v>
      </c>
      <c r="E171" s="26">
        <f>IF(SUMIFS('BSE - SENSEX Index Options'!$L:$L,'BSE - SENSEX Index Options'!$C:$C,$A171,'BSE - SENSEX Index Options'!$B:$B,E$147)+SUMIFS('BSE - Other Index Options'!$L:$L,'BSE - Other Index Options'!$C:$C,$A171,'BSE - Other Index Options'!$B:$B,E$147)=0,"",SUMIFS('BSE - SENSEX Index Options'!$L:$L,'BSE - SENSEX Index Options'!$C:$C,$A171,'BSE - SENSEX Index Options'!$B:$B,E$147)+SUMIFS('BSE - Other Index Options'!$L:$L,'BSE - Other Index Options'!$C:$C,$A171,'BSE - Other Index Options'!$B:$B,E$147))</f>
        <v>75913.420000000013</v>
      </c>
      <c r="F171" s="26">
        <f>IF(SUMIFS('BSE - SENSEX Index Options'!$L:$L,'BSE - SENSEX Index Options'!$C:$C,$A171,'BSE - SENSEX Index Options'!$B:$B,F$147)+SUMIFS('BSE - Other Index Options'!$L:$L,'BSE - Other Index Options'!$C:$C,$A171,'BSE - Other Index Options'!$B:$B,F$147)=0,"",SUMIFS('BSE - SENSEX Index Options'!$L:$L,'BSE - SENSEX Index Options'!$C:$C,$A171,'BSE - SENSEX Index Options'!$B:$B,F$147)+SUMIFS('BSE - Other Index Options'!$L:$L,'BSE - Other Index Options'!$C:$C,$A171,'BSE - Other Index Options'!$B:$B,F$147))</f>
        <v>14587.390000000001</v>
      </c>
      <c r="G171" s="26" t="str">
        <f>IF(SUMIFS('BSE - SENSEX Index Options'!$L:$L,'BSE - SENSEX Index Options'!$C:$C,$A171,'BSE - SENSEX Index Options'!$B:$B,G$147)+SUMIFS('BSE - Other Index Options'!$L:$L,'BSE - Other Index Options'!$C:$C,$A171,'BSE - Other Index Options'!$B:$B,G$147)=0,"",SUMIFS('BSE - SENSEX Index Options'!$L:$L,'BSE - SENSEX Index Options'!$C:$C,$A171,'BSE - SENSEX Index Options'!$B:$B,G$147)+SUMIFS('BSE - Other Index Options'!$L:$L,'BSE - Other Index Options'!$C:$C,$A171,'BSE - Other Index Options'!$B:$B,G$147))</f>
        <v/>
      </c>
      <c r="H171" s="26">
        <f t="shared" si="6"/>
        <v>153638.37000000002</v>
      </c>
    </row>
    <row r="172" spans="1:8">
      <c r="A172" t="s">
        <v>34</v>
      </c>
      <c r="B172" s="26" t="str">
        <f>IF(SUMIFS('BSE - SENSEX Index Options'!$L:$L,'BSE - SENSEX Index Options'!$C:$C,$A172,'BSE - SENSEX Index Options'!$B:$B,B$147)+SUMIFS('BSE - Other Index Options'!$L:$L,'BSE - Other Index Options'!$C:$C,$A172,'BSE - Other Index Options'!$B:$B,B$147)=0,"",SUMIFS('BSE - SENSEX Index Options'!$L:$L,'BSE - SENSEX Index Options'!$C:$C,$A172,'BSE - SENSEX Index Options'!$B:$B,B$147)+SUMIFS('BSE - Other Index Options'!$L:$L,'BSE - Other Index Options'!$C:$C,$A172,'BSE - Other Index Options'!$B:$B,B$147))</f>
        <v/>
      </c>
      <c r="C172" s="26" t="str">
        <f>IF(SUMIFS('BSE - SENSEX Index Options'!$L:$L,'BSE - SENSEX Index Options'!$C:$C,$A172,'BSE - SENSEX Index Options'!$B:$B,C$147)+SUMIFS('BSE - Other Index Options'!$L:$L,'BSE - Other Index Options'!$C:$C,$A172,'BSE - Other Index Options'!$B:$B,C$147)=0,"",SUMIFS('BSE - SENSEX Index Options'!$L:$L,'BSE - SENSEX Index Options'!$C:$C,$A172,'BSE - SENSEX Index Options'!$B:$B,C$147)+SUMIFS('BSE - Other Index Options'!$L:$L,'BSE - Other Index Options'!$C:$C,$A172,'BSE - Other Index Options'!$B:$B,C$147))</f>
        <v/>
      </c>
      <c r="D172" s="26" t="str">
        <f>IF(SUMIFS('BSE - SENSEX Index Options'!$L:$L,'BSE - SENSEX Index Options'!$C:$C,$A172,'BSE - SENSEX Index Options'!$B:$B,D$147)+SUMIFS('BSE - Other Index Options'!$L:$L,'BSE - Other Index Options'!$C:$C,$A172,'BSE - Other Index Options'!$B:$B,D$147)=0,"",SUMIFS('BSE - SENSEX Index Options'!$L:$L,'BSE - SENSEX Index Options'!$C:$C,$A172,'BSE - SENSEX Index Options'!$B:$B,D$147)+SUMIFS('BSE - Other Index Options'!$L:$L,'BSE - Other Index Options'!$C:$C,$A172,'BSE - Other Index Options'!$B:$B,D$147))</f>
        <v/>
      </c>
      <c r="E172" s="26">
        <f>IF(SUMIFS('BSE - SENSEX Index Options'!$L:$L,'BSE - SENSEX Index Options'!$C:$C,$A172,'BSE - SENSEX Index Options'!$B:$B,E$147)+SUMIFS('BSE - Other Index Options'!$L:$L,'BSE - Other Index Options'!$C:$C,$A172,'BSE - Other Index Options'!$B:$B,E$147)=0,"",SUMIFS('BSE - SENSEX Index Options'!$L:$L,'BSE - SENSEX Index Options'!$C:$C,$A172,'BSE - SENSEX Index Options'!$B:$B,E$147)+SUMIFS('BSE - Other Index Options'!$L:$L,'BSE - Other Index Options'!$C:$C,$A172,'BSE - Other Index Options'!$B:$B,E$147))</f>
        <v>68278.270000000019</v>
      </c>
      <c r="F172" s="26">
        <f>IF(SUMIFS('BSE - SENSEX Index Options'!$L:$L,'BSE - SENSEX Index Options'!$C:$C,$A172,'BSE - SENSEX Index Options'!$B:$B,F$147)+SUMIFS('BSE - Other Index Options'!$L:$L,'BSE - Other Index Options'!$C:$C,$A172,'BSE - Other Index Options'!$B:$B,F$147)=0,"",SUMIFS('BSE - SENSEX Index Options'!$L:$L,'BSE - SENSEX Index Options'!$C:$C,$A172,'BSE - SENSEX Index Options'!$B:$B,F$147)+SUMIFS('BSE - Other Index Options'!$L:$L,'BSE - Other Index Options'!$C:$C,$A172,'BSE - Other Index Options'!$B:$B,F$147))</f>
        <v>13801.849999999999</v>
      </c>
      <c r="G172" s="26" t="str">
        <f>IF(SUMIFS('BSE - SENSEX Index Options'!$L:$L,'BSE - SENSEX Index Options'!$C:$C,$A172,'BSE - SENSEX Index Options'!$B:$B,G$147)+SUMIFS('BSE - Other Index Options'!$L:$L,'BSE - Other Index Options'!$C:$C,$A172,'BSE - Other Index Options'!$B:$B,G$147)=0,"",SUMIFS('BSE - SENSEX Index Options'!$L:$L,'BSE - SENSEX Index Options'!$C:$C,$A172,'BSE - SENSEX Index Options'!$B:$B,G$147)+SUMIFS('BSE - Other Index Options'!$L:$L,'BSE - Other Index Options'!$C:$C,$A172,'BSE - Other Index Options'!$B:$B,G$147))</f>
        <v/>
      </c>
      <c r="H172" s="26">
        <f t="shared" si="6"/>
        <v>82080.120000000024</v>
      </c>
    </row>
    <row r="173" spans="1:8">
      <c r="A173" t="s">
        <v>35</v>
      </c>
      <c r="B173" s="26">
        <f>IF(SUMIFS('BSE - SENSEX Index Options'!$L:$L,'BSE - SENSEX Index Options'!$C:$C,$A173,'BSE - SENSEX Index Options'!$B:$B,B$147)+SUMIFS('BSE - Other Index Options'!$L:$L,'BSE - Other Index Options'!$C:$C,$A173,'BSE - Other Index Options'!$B:$B,B$147)=0,"",SUMIFS('BSE - SENSEX Index Options'!$L:$L,'BSE - SENSEX Index Options'!$C:$C,$A173,'BSE - SENSEX Index Options'!$B:$B,B$147)+SUMIFS('BSE - Other Index Options'!$L:$L,'BSE - Other Index Options'!$C:$C,$A173,'BSE - Other Index Options'!$B:$B,B$147))</f>
        <v>17543.780000000002</v>
      </c>
      <c r="C173" s="26">
        <f>IF(SUMIFS('BSE - SENSEX Index Options'!$L:$L,'BSE - SENSEX Index Options'!$C:$C,$A173,'BSE - SENSEX Index Options'!$B:$B,C$147)+SUMIFS('BSE - Other Index Options'!$L:$L,'BSE - Other Index Options'!$C:$C,$A173,'BSE - Other Index Options'!$B:$B,C$147)=0,"",SUMIFS('BSE - SENSEX Index Options'!$L:$L,'BSE - SENSEX Index Options'!$C:$C,$A173,'BSE - SENSEX Index Options'!$B:$B,C$147)+SUMIFS('BSE - Other Index Options'!$L:$L,'BSE - Other Index Options'!$C:$C,$A173,'BSE - Other Index Options'!$B:$B,C$147))</f>
        <v>19711.599999999999</v>
      </c>
      <c r="D173" s="26">
        <f>IF(SUMIFS('BSE - SENSEX Index Options'!$L:$L,'BSE - SENSEX Index Options'!$C:$C,$A173,'BSE - SENSEX Index Options'!$B:$B,D$147)+SUMIFS('BSE - Other Index Options'!$L:$L,'BSE - Other Index Options'!$C:$C,$A173,'BSE - Other Index Options'!$B:$B,D$147)=0,"",SUMIFS('BSE - SENSEX Index Options'!$L:$L,'BSE - SENSEX Index Options'!$C:$C,$A173,'BSE - SENSEX Index Options'!$B:$B,D$147)+SUMIFS('BSE - Other Index Options'!$L:$L,'BSE - Other Index Options'!$C:$C,$A173,'BSE - Other Index Options'!$B:$B,D$147))</f>
        <v>37394.39</v>
      </c>
      <c r="E173" s="26">
        <f>IF(SUMIFS('BSE - SENSEX Index Options'!$L:$L,'BSE - SENSEX Index Options'!$C:$C,$A173,'BSE - SENSEX Index Options'!$B:$B,E$147)+SUMIFS('BSE - Other Index Options'!$L:$L,'BSE - Other Index Options'!$C:$C,$A173,'BSE - Other Index Options'!$B:$B,E$147)=0,"",SUMIFS('BSE - SENSEX Index Options'!$L:$L,'BSE - SENSEX Index Options'!$C:$C,$A173,'BSE - SENSEX Index Options'!$B:$B,E$147)+SUMIFS('BSE - Other Index Options'!$L:$L,'BSE - Other Index Options'!$C:$C,$A173,'BSE - Other Index Options'!$B:$B,E$147))</f>
        <v>51557.959999999992</v>
      </c>
      <c r="F173" s="26">
        <f>IF(SUMIFS('BSE - SENSEX Index Options'!$L:$L,'BSE - SENSEX Index Options'!$C:$C,$A173,'BSE - SENSEX Index Options'!$B:$B,F$147)+SUMIFS('BSE - Other Index Options'!$L:$L,'BSE - Other Index Options'!$C:$C,$A173,'BSE - Other Index Options'!$B:$B,F$147)=0,"",SUMIFS('BSE - SENSEX Index Options'!$L:$L,'BSE - SENSEX Index Options'!$C:$C,$A173,'BSE - SENSEX Index Options'!$B:$B,F$147)+SUMIFS('BSE - Other Index Options'!$L:$L,'BSE - Other Index Options'!$C:$C,$A173,'BSE - Other Index Options'!$B:$B,F$147))</f>
        <v>12706.36</v>
      </c>
      <c r="G173" s="26">
        <f>IF(SUMIFS('BSE - SENSEX Index Options'!$L:$L,'BSE - SENSEX Index Options'!$C:$C,$A173,'BSE - SENSEX Index Options'!$B:$B,G$147)+SUMIFS('BSE - Other Index Options'!$L:$L,'BSE - Other Index Options'!$C:$C,$A173,'BSE - Other Index Options'!$B:$B,G$147)=0,"",SUMIFS('BSE - SENSEX Index Options'!$L:$L,'BSE - SENSEX Index Options'!$C:$C,$A173,'BSE - SENSEX Index Options'!$B:$B,G$147)+SUMIFS('BSE - Other Index Options'!$L:$L,'BSE - Other Index Options'!$C:$C,$A173,'BSE - Other Index Options'!$B:$B,G$147))</f>
        <v>24784.93</v>
      </c>
      <c r="H173" s="26">
        <f t="shared" si="6"/>
        <v>163699.01999999999</v>
      </c>
    </row>
    <row r="174" spans="1:8">
      <c r="A174" t="s">
        <v>36</v>
      </c>
      <c r="B174" s="26">
        <f>IF(SUMIFS('BSE - SENSEX Index Options'!$L:$L,'BSE - SENSEX Index Options'!$C:$C,$A174,'BSE - SENSEX Index Options'!$B:$B,B$147)+SUMIFS('BSE - Other Index Options'!$L:$L,'BSE - Other Index Options'!$C:$C,$A174,'BSE - Other Index Options'!$B:$B,B$147)=0,"",SUMIFS('BSE - SENSEX Index Options'!$L:$L,'BSE - SENSEX Index Options'!$C:$C,$A174,'BSE - SENSEX Index Options'!$B:$B,B$147)+SUMIFS('BSE - Other Index Options'!$L:$L,'BSE - Other Index Options'!$C:$C,$A174,'BSE - Other Index Options'!$B:$B,B$147))</f>
        <v>8638.2699999999986</v>
      </c>
      <c r="C174" s="26">
        <f>IF(SUMIFS('BSE - SENSEX Index Options'!$L:$L,'BSE - SENSEX Index Options'!$C:$C,$A174,'BSE - SENSEX Index Options'!$B:$B,C$147)+SUMIFS('BSE - Other Index Options'!$L:$L,'BSE - Other Index Options'!$C:$C,$A174,'BSE - Other Index Options'!$B:$B,C$147)=0,"",SUMIFS('BSE - SENSEX Index Options'!$L:$L,'BSE - SENSEX Index Options'!$C:$C,$A174,'BSE - SENSEX Index Options'!$B:$B,C$147)+SUMIFS('BSE - Other Index Options'!$L:$L,'BSE - Other Index Options'!$C:$C,$A174,'BSE - Other Index Options'!$B:$B,C$147))</f>
        <v>8797.739999999998</v>
      </c>
      <c r="D174" s="26">
        <f>IF(SUMIFS('BSE - SENSEX Index Options'!$L:$L,'BSE - SENSEX Index Options'!$C:$C,$A174,'BSE - SENSEX Index Options'!$B:$B,D$147)+SUMIFS('BSE - Other Index Options'!$L:$L,'BSE - Other Index Options'!$C:$C,$A174,'BSE - Other Index Options'!$B:$B,D$147)=0,"",SUMIFS('BSE - SENSEX Index Options'!$L:$L,'BSE - SENSEX Index Options'!$C:$C,$A174,'BSE - SENSEX Index Options'!$B:$B,D$147)+SUMIFS('BSE - Other Index Options'!$L:$L,'BSE - Other Index Options'!$C:$C,$A174,'BSE - Other Index Options'!$B:$B,D$147))</f>
        <v>25990.790000000005</v>
      </c>
      <c r="E174" s="26">
        <f>IF(SUMIFS('BSE - SENSEX Index Options'!$L:$L,'BSE - SENSEX Index Options'!$C:$C,$A174,'BSE - SENSEX Index Options'!$B:$B,E$147)+SUMIFS('BSE - Other Index Options'!$L:$L,'BSE - Other Index Options'!$C:$C,$A174,'BSE - Other Index Options'!$B:$B,E$147)=0,"",SUMIFS('BSE - SENSEX Index Options'!$L:$L,'BSE - SENSEX Index Options'!$C:$C,$A174,'BSE - SENSEX Index Options'!$B:$B,E$147)+SUMIFS('BSE - Other Index Options'!$L:$L,'BSE - Other Index Options'!$C:$C,$A174,'BSE - Other Index Options'!$B:$B,E$147))</f>
        <v>42813.060000000005</v>
      </c>
      <c r="F174" s="26">
        <f>IF(SUMIFS('BSE - SENSEX Index Options'!$L:$L,'BSE - SENSEX Index Options'!$C:$C,$A174,'BSE - SENSEX Index Options'!$B:$B,F$147)+SUMIFS('BSE - Other Index Options'!$L:$L,'BSE - Other Index Options'!$C:$C,$A174,'BSE - Other Index Options'!$B:$B,F$147)=0,"",SUMIFS('BSE - SENSEX Index Options'!$L:$L,'BSE - SENSEX Index Options'!$C:$C,$A174,'BSE - SENSEX Index Options'!$B:$B,F$147)+SUMIFS('BSE - Other Index Options'!$L:$L,'BSE - Other Index Options'!$C:$C,$A174,'BSE - Other Index Options'!$B:$B,F$147))</f>
        <v>10429.629999999999</v>
      </c>
      <c r="G174" s="26" t="str">
        <f>IF(SUMIFS('BSE - SENSEX Index Options'!$L:$L,'BSE - SENSEX Index Options'!$C:$C,$A174,'BSE - SENSEX Index Options'!$B:$B,G$147)+SUMIFS('BSE - Other Index Options'!$L:$L,'BSE - Other Index Options'!$C:$C,$A174,'BSE - Other Index Options'!$B:$B,G$147)=0,"",SUMIFS('BSE - SENSEX Index Options'!$L:$L,'BSE - SENSEX Index Options'!$C:$C,$A174,'BSE - SENSEX Index Options'!$B:$B,G$147)+SUMIFS('BSE - Other Index Options'!$L:$L,'BSE - Other Index Options'!$C:$C,$A174,'BSE - Other Index Options'!$B:$B,G$147))</f>
        <v/>
      </c>
      <c r="H174" s="26">
        <f t="shared" si="6"/>
        <v>96669.49000000002</v>
      </c>
    </row>
    <row r="175" spans="1:8">
      <c r="A175" t="s">
        <v>37</v>
      </c>
      <c r="B175" s="26">
        <f>IF(SUMIFS('BSE - SENSEX Index Options'!$L:$L,'BSE - SENSEX Index Options'!$C:$C,$A175,'BSE - SENSEX Index Options'!$B:$B,B$147)+SUMIFS('BSE - Other Index Options'!$L:$L,'BSE - Other Index Options'!$C:$C,$A175,'BSE - Other Index Options'!$B:$B,B$147)=0,"",SUMIFS('BSE - SENSEX Index Options'!$L:$L,'BSE - SENSEX Index Options'!$C:$C,$A175,'BSE - SENSEX Index Options'!$B:$B,B$147)+SUMIFS('BSE - Other Index Options'!$L:$L,'BSE - Other Index Options'!$C:$C,$A175,'BSE - Other Index Options'!$B:$B,B$147))</f>
        <v>11391.639999999998</v>
      </c>
      <c r="C175" s="26">
        <f>IF(SUMIFS('BSE - SENSEX Index Options'!$L:$L,'BSE - SENSEX Index Options'!$C:$C,$A175,'BSE - SENSEX Index Options'!$B:$B,C$147)+SUMIFS('BSE - Other Index Options'!$L:$L,'BSE - Other Index Options'!$C:$C,$A175,'BSE - Other Index Options'!$B:$B,C$147)=0,"",SUMIFS('BSE - SENSEX Index Options'!$L:$L,'BSE - SENSEX Index Options'!$C:$C,$A175,'BSE - SENSEX Index Options'!$B:$B,C$147)+SUMIFS('BSE - Other Index Options'!$L:$L,'BSE - Other Index Options'!$C:$C,$A175,'BSE - Other Index Options'!$B:$B,C$147))</f>
        <v>11226.87</v>
      </c>
      <c r="D175" s="26">
        <f>IF(SUMIFS('BSE - SENSEX Index Options'!$L:$L,'BSE - SENSEX Index Options'!$C:$C,$A175,'BSE - SENSEX Index Options'!$B:$B,D$147)+SUMIFS('BSE - Other Index Options'!$L:$L,'BSE - Other Index Options'!$C:$C,$A175,'BSE - Other Index Options'!$B:$B,D$147)=0,"",SUMIFS('BSE - SENSEX Index Options'!$L:$L,'BSE - SENSEX Index Options'!$C:$C,$A175,'BSE - SENSEX Index Options'!$B:$B,D$147)+SUMIFS('BSE - Other Index Options'!$L:$L,'BSE - Other Index Options'!$C:$C,$A175,'BSE - Other Index Options'!$B:$B,D$147))</f>
        <v>31391.930000000004</v>
      </c>
      <c r="E175" s="26">
        <f>IF(SUMIFS('BSE - SENSEX Index Options'!$L:$L,'BSE - SENSEX Index Options'!$C:$C,$A175,'BSE - SENSEX Index Options'!$B:$B,E$147)+SUMIFS('BSE - Other Index Options'!$L:$L,'BSE - Other Index Options'!$C:$C,$A175,'BSE - Other Index Options'!$B:$B,E$147)=0,"",SUMIFS('BSE - SENSEX Index Options'!$L:$L,'BSE - SENSEX Index Options'!$C:$C,$A175,'BSE - SENSEX Index Options'!$B:$B,E$147)+SUMIFS('BSE - Other Index Options'!$L:$L,'BSE - Other Index Options'!$C:$C,$A175,'BSE - Other Index Options'!$B:$B,E$147))</f>
        <v>59310.350000000006</v>
      </c>
      <c r="F175" s="26">
        <f>IF(SUMIFS('BSE - SENSEX Index Options'!$L:$L,'BSE - SENSEX Index Options'!$C:$C,$A175,'BSE - SENSEX Index Options'!$B:$B,F$147)+SUMIFS('BSE - Other Index Options'!$L:$L,'BSE - Other Index Options'!$C:$C,$A175,'BSE - Other Index Options'!$B:$B,F$147)=0,"",SUMIFS('BSE - SENSEX Index Options'!$L:$L,'BSE - SENSEX Index Options'!$C:$C,$A175,'BSE - SENSEX Index Options'!$B:$B,F$147)+SUMIFS('BSE - Other Index Options'!$L:$L,'BSE - Other Index Options'!$C:$C,$A175,'BSE - Other Index Options'!$B:$B,F$147))</f>
        <v>14746.150000000001</v>
      </c>
      <c r="G175" s="26" t="str">
        <f>IF(SUMIFS('BSE - SENSEX Index Options'!$L:$L,'BSE - SENSEX Index Options'!$C:$C,$A175,'BSE - SENSEX Index Options'!$B:$B,G$147)+SUMIFS('BSE - Other Index Options'!$L:$L,'BSE - Other Index Options'!$C:$C,$A175,'BSE - Other Index Options'!$B:$B,G$147)=0,"",SUMIFS('BSE - SENSEX Index Options'!$L:$L,'BSE - SENSEX Index Options'!$C:$C,$A175,'BSE - SENSEX Index Options'!$B:$B,G$147)+SUMIFS('BSE - Other Index Options'!$L:$L,'BSE - Other Index Options'!$C:$C,$A175,'BSE - Other Index Options'!$B:$B,G$147))</f>
        <v/>
      </c>
      <c r="H175" s="26">
        <f t="shared" si="6"/>
        <v>128066.94</v>
      </c>
    </row>
    <row r="176" spans="1:8">
      <c r="A176" t="s">
        <v>38</v>
      </c>
      <c r="B176" s="26">
        <f>IF(SUMIFS('BSE - SENSEX Index Options'!$L:$L,'BSE - SENSEX Index Options'!$C:$C,$A176,'BSE - SENSEX Index Options'!$B:$B,B$147)+SUMIFS('BSE - Other Index Options'!$L:$L,'BSE - Other Index Options'!$C:$C,$A176,'BSE - Other Index Options'!$B:$B,B$147)=0,"",SUMIFS('BSE - SENSEX Index Options'!$L:$L,'BSE - SENSEX Index Options'!$C:$C,$A176,'BSE - SENSEX Index Options'!$B:$B,B$147)+SUMIFS('BSE - Other Index Options'!$L:$L,'BSE - Other Index Options'!$C:$C,$A176,'BSE - Other Index Options'!$B:$B,B$147))</f>
        <v>11966.13</v>
      </c>
      <c r="C176" s="26">
        <f>IF(SUMIFS('BSE - SENSEX Index Options'!$L:$L,'BSE - SENSEX Index Options'!$C:$C,$A176,'BSE - SENSEX Index Options'!$B:$B,C$147)+SUMIFS('BSE - Other Index Options'!$L:$L,'BSE - Other Index Options'!$C:$C,$A176,'BSE - Other Index Options'!$B:$B,C$147)=0,"",SUMIFS('BSE - SENSEX Index Options'!$L:$L,'BSE - SENSEX Index Options'!$C:$C,$A176,'BSE - SENSEX Index Options'!$B:$B,C$147)+SUMIFS('BSE - Other Index Options'!$L:$L,'BSE - Other Index Options'!$C:$C,$A176,'BSE - Other Index Options'!$B:$B,C$147))</f>
        <v>12640.199999999999</v>
      </c>
      <c r="D176" s="26">
        <f>IF(SUMIFS('BSE - SENSEX Index Options'!$L:$L,'BSE - SENSEX Index Options'!$C:$C,$A176,'BSE - SENSEX Index Options'!$B:$B,D$147)+SUMIFS('BSE - Other Index Options'!$L:$L,'BSE - Other Index Options'!$C:$C,$A176,'BSE - Other Index Options'!$B:$B,D$147)=0,"",SUMIFS('BSE - SENSEX Index Options'!$L:$L,'BSE - SENSEX Index Options'!$C:$C,$A176,'BSE - SENSEX Index Options'!$B:$B,D$147)+SUMIFS('BSE - Other Index Options'!$L:$L,'BSE - Other Index Options'!$C:$C,$A176,'BSE - Other Index Options'!$B:$B,D$147))</f>
        <v>41017.670000000006</v>
      </c>
      <c r="E176" s="26">
        <f>IF(SUMIFS('BSE - SENSEX Index Options'!$L:$L,'BSE - SENSEX Index Options'!$C:$C,$A176,'BSE - SENSEX Index Options'!$B:$B,E$147)+SUMIFS('BSE - Other Index Options'!$L:$L,'BSE - Other Index Options'!$C:$C,$A176,'BSE - Other Index Options'!$B:$B,E$147)=0,"",SUMIFS('BSE - SENSEX Index Options'!$L:$L,'BSE - SENSEX Index Options'!$C:$C,$A176,'BSE - SENSEX Index Options'!$B:$B,E$147)+SUMIFS('BSE - Other Index Options'!$L:$L,'BSE - Other Index Options'!$C:$C,$A176,'BSE - Other Index Options'!$B:$B,E$147))</f>
        <v>65720.719999999987</v>
      </c>
      <c r="F176" s="26">
        <f>IF(SUMIFS('BSE - SENSEX Index Options'!$L:$L,'BSE - SENSEX Index Options'!$C:$C,$A176,'BSE - SENSEX Index Options'!$B:$B,F$147)+SUMIFS('BSE - Other Index Options'!$L:$L,'BSE - Other Index Options'!$C:$C,$A176,'BSE - Other Index Options'!$B:$B,F$147)=0,"",SUMIFS('BSE - SENSEX Index Options'!$L:$L,'BSE - SENSEX Index Options'!$C:$C,$A176,'BSE - SENSEX Index Options'!$B:$B,F$147)+SUMIFS('BSE - Other Index Options'!$L:$L,'BSE - Other Index Options'!$C:$C,$A176,'BSE - Other Index Options'!$B:$B,F$147))</f>
        <v>12283.420000000002</v>
      </c>
      <c r="G176" s="26" t="str">
        <f>IF(SUMIFS('BSE - SENSEX Index Options'!$L:$L,'BSE - SENSEX Index Options'!$C:$C,$A176,'BSE - SENSEX Index Options'!$B:$B,G$147)+SUMIFS('BSE - Other Index Options'!$L:$L,'BSE - Other Index Options'!$C:$C,$A176,'BSE - Other Index Options'!$B:$B,G$147)=0,"",SUMIFS('BSE - SENSEX Index Options'!$L:$L,'BSE - SENSEX Index Options'!$C:$C,$A176,'BSE - SENSEX Index Options'!$B:$B,G$147)+SUMIFS('BSE - Other Index Options'!$L:$L,'BSE - Other Index Options'!$C:$C,$A176,'BSE - Other Index Options'!$B:$B,G$147))</f>
        <v/>
      </c>
      <c r="H176" s="26">
        <f t="shared" si="6"/>
        <v>143628.13999999998</v>
      </c>
    </row>
    <row r="177" spans="1:8">
      <c r="A177" t="s">
        <v>39</v>
      </c>
      <c r="B177" s="26">
        <f>IF(SUMIFS('BSE - SENSEX Index Options'!$L:$L,'BSE - SENSEX Index Options'!$C:$C,$A177,'BSE - SENSEX Index Options'!$B:$B,B$147)+SUMIFS('BSE - Other Index Options'!$L:$L,'BSE - Other Index Options'!$C:$C,$A177,'BSE - Other Index Options'!$B:$B,B$147)=0,"",SUMIFS('BSE - SENSEX Index Options'!$L:$L,'BSE - SENSEX Index Options'!$C:$C,$A177,'BSE - SENSEX Index Options'!$B:$B,B$147)+SUMIFS('BSE - Other Index Options'!$L:$L,'BSE - Other Index Options'!$C:$C,$A177,'BSE - Other Index Options'!$B:$B,B$147))</f>
        <v>17949.09</v>
      </c>
      <c r="C177" s="26" t="str">
        <f>IF(SUMIFS('BSE - SENSEX Index Options'!$L:$L,'BSE - SENSEX Index Options'!$C:$C,$A177,'BSE - SENSEX Index Options'!$B:$B,C$147)+SUMIFS('BSE - Other Index Options'!$L:$L,'BSE - Other Index Options'!$C:$C,$A177,'BSE - Other Index Options'!$B:$B,C$147)=0,"",SUMIFS('BSE - SENSEX Index Options'!$L:$L,'BSE - SENSEX Index Options'!$C:$C,$A177,'BSE - SENSEX Index Options'!$B:$B,C$147)+SUMIFS('BSE - Other Index Options'!$L:$L,'BSE - Other Index Options'!$C:$C,$A177,'BSE - Other Index Options'!$B:$B,C$147))</f>
        <v/>
      </c>
      <c r="D177" s="26">
        <f>IF(SUMIFS('BSE - SENSEX Index Options'!$L:$L,'BSE - SENSEX Index Options'!$C:$C,$A177,'BSE - SENSEX Index Options'!$B:$B,D$147)+SUMIFS('BSE - Other Index Options'!$L:$L,'BSE - Other Index Options'!$C:$C,$A177,'BSE - Other Index Options'!$B:$B,D$147)=0,"",SUMIFS('BSE - SENSEX Index Options'!$L:$L,'BSE - SENSEX Index Options'!$C:$C,$A177,'BSE - SENSEX Index Options'!$B:$B,D$147)+SUMIFS('BSE - Other Index Options'!$L:$L,'BSE - Other Index Options'!$C:$C,$A177,'BSE - Other Index Options'!$B:$B,D$147))</f>
        <v>52828.22</v>
      </c>
      <c r="E177" s="26">
        <f>IF(SUMIFS('BSE - SENSEX Index Options'!$L:$L,'BSE - SENSEX Index Options'!$C:$C,$A177,'BSE - SENSEX Index Options'!$B:$B,E$147)+SUMIFS('BSE - Other Index Options'!$L:$L,'BSE - Other Index Options'!$C:$C,$A177,'BSE - Other Index Options'!$B:$B,E$147)=0,"",SUMIFS('BSE - SENSEX Index Options'!$L:$L,'BSE - SENSEX Index Options'!$C:$C,$A177,'BSE - SENSEX Index Options'!$B:$B,E$147)+SUMIFS('BSE - Other Index Options'!$L:$L,'BSE - Other Index Options'!$C:$C,$A177,'BSE - Other Index Options'!$B:$B,E$147))</f>
        <v>82816.930000000008</v>
      </c>
      <c r="F177" s="26">
        <f>IF(SUMIFS('BSE - SENSEX Index Options'!$L:$L,'BSE - SENSEX Index Options'!$C:$C,$A177,'BSE - SENSEX Index Options'!$B:$B,F$147)+SUMIFS('BSE - Other Index Options'!$L:$L,'BSE - Other Index Options'!$C:$C,$A177,'BSE - Other Index Options'!$B:$B,F$147)=0,"",SUMIFS('BSE - SENSEX Index Options'!$L:$L,'BSE - SENSEX Index Options'!$C:$C,$A177,'BSE - SENSEX Index Options'!$B:$B,F$147)+SUMIFS('BSE - Other Index Options'!$L:$L,'BSE - Other Index Options'!$C:$C,$A177,'BSE - Other Index Options'!$B:$B,F$147))</f>
        <v>13521.99</v>
      </c>
      <c r="G177" s="26" t="str">
        <f>IF(SUMIFS('BSE - SENSEX Index Options'!$L:$L,'BSE - SENSEX Index Options'!$C:$C,$A177,'BSE - SENSEX Index Options'!$B:$B,G$147)+SUMIFS('BSE - Other Index Options'!$L:$L,'BSE - Other Index Options'!$C:$C,$A177,'BSE - Other Index Options'!$B:$B,G$147)=0,"",SUMIFS('BSE - SENSEX Index Options'!$L:$L,'BSE - SENSEX Index Options'!$C:$C,$A177,'BSE - SENSEX Index Options'!$B:$B,G$147)+SUMIFS('BSE - Other Index Options'!$L:$L,'BSE - Other Index Options'!$C:$C,$A177,'BSE - Other Index Options'!$B:$B,G$147))</f>
        <v/>
      </c>
      <c r="H177" s="26">
        <f t="shared" si="6"/>
        <v>167116.22999999998</v>
      </c>
    </row>
    <row r="178" spans="1:8">
      <c r="A178" t="s">
        <v>40</v>
      </c>
      <c r="B178" s="26">
        <f>IF(SUMIFS('BSE - SENSEX Index Options'!$L:$L,'BSE - SENSEX Index Options'!$C:$C,$A178,'BSE - SENSEX Index Options'!$B:$B,B$147)+SUMIFS('BSE - Other Index Options'!$L:$L,'BSE - Other Index Options'!$C:$C,$A178,'BSE - Other Index Options'!$B:$B,B$147)=0,"",SUMIFS('BSE - SENSEX Index Options'!$L:$L,'BSE - SENSEX Index Options'!$C:$C,$A178,'BSE - SENSEX Index Options'!$B:$B,B$147)+SUMIFS('BSE - Other Index Options'!$L:$L,'BSE - Other Index Options'!$C:$C,$A178,'BSE - Other Index Options'!$B:$B,B$147))</f>
        <v>16419.7</v>
      </c>
      <c r="C178" s="26">
        <f>IF(SUMIFS('BSE - SENSEX Index Options'!$L:$L,'BSE - SENSEX Index Options'!$C:$C,$A178,'BSE - SENSEX Index Options'!$B:$B,C$147)+SUMIFS('BSE - Other Index Options'!$L:$L,'BSE - Other Index Options'!$C:$C,$A178,'BSE - Other Index Options'!$B:$B,C$147)=0,"",SUMIFS('BSE - SENSEX Index Options'!$L:$L,'BSE - SENSEX Index Options'!$C:$C,$A178,'BSE - SENSEX Index Options'!$B:$B,C$147)+SUMIFS('BSE - Other Index Options'!$L:$L,'BSE - Other Index Options'!$C:$C,$A178,'BSE - Other Index Options'!$B:$B,C$147))</f>
        <v>12706.2</v>
      </c>
      <c r="D178" s="26">
        <f>IF(SUMIFS('BSE - SENSEX Index Options'!$L:$L,'BSE - SENSEX Index Options'!$C:$C,$A178,'BSE - SENSEX Index Options'!$B:$B,D$147)+SUMIFS('BSE - Other Index Options'!$L:$L,'BSE - Other Index Options'!$C:$C,$A178,'BSE - Other Index Options'!$B:$B,D$147)=0,"",SUMIFS('BSE - SENSEX Index Options'!$L:$L,'BSE - SENSEX Index Options'!$C:$C,$A178,'BSE - SENSEX Index Options'!$B:$B,D$147)+SUMIFS('BSE - Other Index Options'!$L:$L,'BSE - Other Index Options'!$C:$C,$A178,'BSE - Other Index Options'!$B:$B,D$147))</f>
        <v>48035.880000000012</v>
      </c>
      <c r="E178" s="26">
        <f>IF(SUMIFS('BSE - SENSEX Index Options'!$L:$L,'BSE - SENSEX Index Options'!$C:$C,$A178,'BSE - SENSEX Index Options'!$B:$B,E$147)+SUMIFS('BSE - Other Index Options'!$L:$L,'BSE - Other Index Options'!$C:$C,$A178,'BSE - Other Index Options'!$B:$B,E$147)=0,"",SUMIFS('BSE - SENSEX Index Options'!$L:$L,'BSE - SENSEX Index Options'!$C:$C,$A178,'BSE - SENSEX Index Options'!$B:$B,E$147)+SUMIFS('BSE - Other Index Options'!$L:$L,'BSE - Other Index Options'!$C:$C,$A178,'BSE - Other Index Options'!$B:$B,E$147))</f>
        <v>77891.25</v>
      </c>
      <c r="F178" s="26">
        <f>IF(SUMIFS('BSE - SENSEX Index Options'!$L:$L,'BSE - SENSEX Index Options'!$C:$C,$A178,'BSE - SENSEX Index Options'!$B:$B,F$147)+SUMIFS('BSE - Other Index Options'!$L:$L,'BSE - Other Index Options'!$C:$C,$A178,'BSE - Other Index Options'!$B:$B,F$147)=0,"",SUMIFS('BSE - SENSEX Index Options'!$L:$L,'BSE - SENSEX Index Options'!$C:$C,$A178,'BSE - SENSEX Index Options'!$B:$B,F$147)+SUMIFS('BSE - Other Index Options'!$L:$L,'BSE - Other Index Options'!$C:$C,$A178,'BSE - Other Index Options'!$B:$B,F$147))</f>
        <v>13204.830000000002</v>
      </c>
      <c r="G178" s="26" t="str">
        <f>IF(SUMIFS('BSE - SENSEX Index Options'!$L:$L,'BSE - SENSEX Index Options'!$C:$C,$A178,'BSE - SENSEX Index Options'!$B:$B,G$147)+SUMIFS('BSE - Other Index Options'!$L:$L,'BSE - Other Index Options'!$C:$C,$A178,'BSE - Other Index Options'!$B:$B,G$147)=0,"",SUMIFS('BSE - SENSEX Index Options'!$L:$L,'BSE - SENSEX Index Options'!$C:$C,$A178,'BSE - SENSEX Index Options'!$B:$B,G$147)+SUMIFS('BSE - Other Index Options'!$L:$L,'BSE - Other Index Options'!$C:$C,$A178,'BSE - Other Index Options'!$B:$B,G$147))</f>
        <v/>
      </c>
      <c r="H178" s="26">
        <f t="shared" si="6"/>
        <v>168257.86000000004</v>
      </c>
    </row>
    <row r="179" spans="1:8">
      <c r="A179" t="s">
        <v>41</v>
      </c>
      <c r="B179" s="26">
        <f>IF(SUMIFS('BSE - SENSEX Index Options'!$L:$L,'BSE - SENSEX Index Options'!$C:$C,$A179,'BSE - SENSEX Index Options'!$B:$B,B$147)+SUMIFS('BSE - Other Index Options'!$L:$L,'BSE - Other Index Options'!$C:$C,$A179,'BSE - Other Index Options'!$B:$B,B$147)=0,"",SUMIFS('BSE - SENSEX Index Options'!$L:$L,'BSE - SENSEX Index Options'!$C:$C,$A179,'BSE - SENSEX Index Options'!$B:$B,B$147)+SUMIFS('BSE - Other Index Options'!$L:$L,'BSE - Other Index Options'!$C:$C,$A179,'BSE - Other Index Options'!$B:$B,B$147))</f>
        <v>17971.45</v>
      </c>
      <c r="C179" s="26">
        <f>IF(SUMIFS('BSE - SENSEX Index Options'!$L:$L,'BSE - SENSEX Index Options'!$C:$C,$A179,'BSE - SENSEX Index Options'!$B:$B,C$147)+SUMIFS('BSE - Other Index Options'!$L:$L,'BSE - Other Index Options'!$C:$C,$A179,'BSE - Other Index Options'!$B:$B,C$147)=0,"",SUMIFS('BSE - SENSEX Index Options'!$L:$L,'BSE - SENSEX Index Options'!$C:$C,$A179,'BSE - SENSEX Index Options'!$B:$B,C$147)+SUMIFS('BSE - Other Index Options'!$L:$L,'BSE - Other Index Options'!$C:$C,$A179,'BSE - Other Index Options'!$B:$B,C$147))</f>
        <v>15473.19</v>
      </c>
      <c r="D179" s="26">
        <f>IF(SUMIFS('BSE - SENSEX Index Options'!$L:$L,'BSE - SENSEX Index Options'!$C:$C,$A179,'BSE - SENSEX Index Options'!$B:$B,D$147)+SUMIFS('BSE - Other Index Options'!$L:$L,'BSE - Other Index Options'!$C:$C,$A179,'BSE - Other Index Options'!$B:$B,D$147)=0,"",SUMIFS('BSE - SENSEX Index Options'!$L:$L,'BSE - SENSEX Index Options'!$C:$C,$A179,'BSE - SENSEX Index Options'!$B:$B,D$147)+SUMIFS('BSE - Other Index Options'!$L:$L,'BSE - Other Index Options'!$C:$C,$A179,'BSE - Other Index Options'!$B:$B,D$147))</f>
        <v>42367.43</v>
      </c>
      <c r="E179" s="26">
        <f>IF(SUMIFS('BSE - SENSEX Index Options'!$L:$L,'BSE - SENSEX Index Options'!$C:$C,$A179,'BSE - SENSEX Index Options'!$B:$B,E$147)+SUMIFS('BSE - Other Index Options'!$L:$L,'BSE - Other Index Options'!$C:$C,$A179,'BSE - Other Index Options'!$B:$B,E$147)=0,"",SUMIFS('BSE - SENSEX Index Options'!$L:$L,'BSE - SENSEX Index Options'!$C:$C,$A179,'BSE - SENSEX Index Options'!$B:$B,E$147)+SUMIFS('BSE - Other Index Options'!$L:$L,'BSE - Other Index Options'!$C:$C,$A179,'BSE - Other Index Options'!$B:$B,E$147))</f>
        <v>69373.49000000002</v>
      </c>
      <c r="F179" s="26">
        <f>IF(SUMIFS('BSE - SENSEX Index Options'!$L:$L,'BSE - SENSEX Index Options'!$C:$C,$A179,'BSE - SENSEX Index Options'!$B:$B,F$147)+SUMIFS('BSE - Other Index Options'!$L:$L,'BSE - Other Index Options'!$C:$C,$A179,'BSE - Other Index Options'!$B:$B,F$147)=0,"",SUMIFS('BSE - SENSEX Index Options'!$L:$L,'BSE - SENSEX Index Options'!$C:$C,$A179,'BSE - SENSEX Index Options'!$B:$B,F$147)+SUMIFS('BSE - Other Index Options'!$L:$L,'BSE - Other Index Options'!$C:$C,$A179,'BSE - Other Index Options'!$B:$B,F$147))</f>
        <v>15001.52</v>
      </c>
      <c r="G179" s="26" t="str">
        <f>IF(SUMIFS('BSE - SENSEX Index Options'!$L:$L,'BSE - SENSEX Index Options'!$C:$C,$A179,'BSE - SENSEX Index Options'!$B:$B,G$147)+SUMIFS('BSE - Other Index Options'!$L:$L,'BSE - Other Index Options'!$C:$C,$A179,'BSE - Other Index Options'!$B:$B,G$147)=0,"",SUMIFS('BSE - SENSEX Index Options'!$L:$L,'BSE - SENSEX Index Options'!$C:$C,$A179,'BSE - SENSEX Index Options'!$B:$B,G$147)+SUMIFS('BSE - Other Index Options'!$L:$L,'BSE - Other Index Options'!$C:$C,$A179,'BSE - Other Index Options'!$B:$B,G$147))</f>
        <v/>
      </c>
      <c r="H179" s="26">
        <f t="shared" si="6"/>
        <v>160187.08000000002</v>
      </c>
    </row>
    <row r="180" spans="1:8">
      <c r="A180" t="s">
        <v>42</v>
      </c>
      <c r="B180" s="26">
        <f>IF(SUMIFS('BSE - SENSEX Index Options'!$L:$L,'BSE - SENSEX Index Options'!$C:$C,$A180,'BSE - SENSEX Index Options'!$B:$B,B$147)+SUMIFS('BSE - Other Index Options'!$L:$L,'BSE - Other Index Options'!$C:$C,$A180,'BSE - Other Index Options'!$B:$B,B$147)=0,"",SUMIFS('BSE - SENSEX Index Options'!$L:$L,'BSE - SENSEX Index Options'!$C:$C,$A180,'BSE - SENSEX Index Options'!$B:$B,B$147)+SUMIFS('BSE - Other Index Options'!$L:$L,'BSE - Other Index Options'!$C:$C,$A180,'BSE - Other Index Options'!$B:$B,B$147))</f>
        <v>15618.119999999999</v>
      </c>
      <c r="C180" s="26">
        <f>IF(SUMIFS('BSE - SENSEX Index Options'!$L:$L,'BSE - SENSEX Index Options'!$C:$C,$A180,'BSE - SENSEX Index Options'!$B:$B,C$147)+SUMIFS('BSE - Other Index Options'!$L:$L,'BSE - Other Index Options'!$C:$C,$A180,'BSE - Other Index Options'!$B:$B,C$147)=0,"",SUMIFS('BSE - SENSEX Index Options'!$L:$L,'BSE - SENSEX Index Options'!$C:$C,$A180,'BSE - SENSEX Index Options'!$B:$B,C$147)+SUMIFS('BSE - Other Index Options'!$L:$L,'BSE - Other Index Options'!$C:$C,$A180,'BSE - Other Index Options'!$B:$B,C$147))</f>
        <v>21587.710000000003</v>
      </c>
      <c r="D180" s="26">
        <f>IF(SUMIFS('BSE - SENSEX Index Options'!$L:$L,'BSE - SENSEX Index Options'!$C:$C,$A180,'BSE - SENSEX Index Options'!$B:$B,D$147)+SUMIFS('BSE - Other Index Options'!$L:$L,'BSE - Other Index Options'!$C:$C,$A180,'BSE - Other Index Options'!$B:$B,D$147)=0,"",SUMIFS('BSE - SENSEX Index Options'!$L:$L,'BSE - SENSEX Index Options'!$C:$C,$A180,'BSE - SENSEX Index Options'!$B:$B,D$147)+SUMIFS('BSE - Other Index Options'!$L:$L,'BSE - Other Index Options'!$C:$C,$A180,'BSE - Other Index Options'!$B:$B,D$147))</f>
        <v>72196.200000000012</v>
      </c>
      <c r="E180" s="26" t="str">
        <f>IF(SUMIFS('BSE - SENSEX Index Options'!$L:$L,'BSE - SENSEX Index Options'!$C:$C,$A180,'BSE - SENSEX Index Options'!$B:$B,E$147)+SUMIFS('BSE - Other Index Options'!$L:$L,'BSE - Other Index Options'!$C:$C,$A180,'BSE - Other Index Options'!$B:$B,E$147)=0,"",SUMIFS('BSE - SENSEX Index Options'!$L:$L,'BSE - SENSEX Index Options'!$C:$C,$A180,'BSE - SENSEX Index Options'!$B:$B,E$147)+SUMIFS('BSE - Other Index Options'!$L:$L,'BSE - Other Index Options'!$C:$C,$A180,'BSE - Other Index Options'!$B:$B,E$147))</f>
        <v/>
      </c>
      <c r="F180" s="26">
        <f>IF(SUMIFS('BSE - SENSEX Index Options'!$L:$L,'BSE - SENSEX Index Options'!$C:$C,$A180,'BSE - SENSEX Index Options'!$B:$B,F$147)+SUMIFS('BSE - Other Index Options'!$L:$L,'BSE - Other Index Options'!$C:$C,$A180,'BSE - Other Index Options'!$B:$B,F$147)=0,"",SUMIFS('BSE - SENSEX Index Options'!$L:$L,'BSE - SENSEX Index Options'!$C:$C,$A180,'BSE - SENSEX Index Options'!$B:$B,F$147)+SUMIFS('BSE - Other Index Options'!$L:$L,'BSE - Other Index Options'!$C:$C,$A180,'BSE - Other Index Options'!$B:$B,F$147))</f>
        <v>10053.01</v>
      </c>
      <c r="G180" s="26" t="str">
        <f>IF(SUMIFS('BSE - SENSEX Index Options'!$L:$L,'BSE - SENSEX Index Options'!$C:$C,$A180,'BSE - SENSEX Index Options'!$B:$B,G$147)+SUMIFS('BSE - Other Index Options'!$L:$L,'BSE - Other Index Options'!$C:$C,$A180,'BSE - Other Index Options'!$B:$B,G$147)=0,"",SUMIFS('BSE - SENSEX Index Options'!$L:$L,'BSE - SENSEX Index Options'!$C:$C,$A180,'BSE - SENSEX Index Options'!$B:$B,G$147)+SUMIFS('BSE - Other Index Options'!$L:$L,'BSE - Other Index Options'!$C:$C,$A180,'BSE - Other Index Options'!$B:$B,G$147))</f>
        <v/>
      </c>
      <c r="H180" s="26">
        <f t="shared" ref="H180:H211" si="7">IF(SUM(B180:G180)=0,"",SUM(B180:G180))</f>
        <v>119455.04000000001</v>
      </c>
    </row>
    <row r="181" spans="1:8">
      <c r="A181" t="s">
        <v>43</v>
      </c>
      <c r="B181" s="26">
        <f>IF(SUMIFS('BSE - SENSEX Index Options'!$L:$L,'BSE - SENSEX Index Options'!$C:$C,$A181,'BSE - SENSEX Index Options'!$B:$B,B$147)+SUMIFS('BSE - Other Index Options'!$L:$L,'BSE - Other Index Options'!$C:$C,$A181,'BSE - Other Index Options'!$B:$B,B$147)=0,"",SUMIFS('BSE - SENSEX Index Options'!$L:$L,'BSE - SENSEX Index Options'!$C:$C,$A181,'BSE - SENSEX Index Options'!$B:$B,B$147)+SUMIFS('BSE - Other Index Options'!$L:$L,'BSE - Other Index Options'!$C:$C,$A181,'BSE - Other Index Options'!$B:$B,B$147))</f>
        <v>12787.78</v>
      </c>
      <c r="C181" s="26" t="str">
        <f>IF(SUMIFS('BSE - SENSEX Index Options'!$L:$L,'BSE - SENSEX Index Options'!$C:$C,$A181,'BSE - SENSEX Index Options'!$B:$B,C$147)+SUMIFS('BSE - Other Index Options'!$L:$L,'BSE - Other Index Options'!$C:$C,$A181,'BSE - Other Index Options'!$B:$B,C$147)=0,"",SUMIFS('BSE - SENSEX Index Options'!$L:$L,'BSE - SENSEX Index Options'!$C:$C,$A181,'BSE - SENSEX Index Options'!$B:$B,C$147)+SUMIFS('BSE - Other Index Options'!$L:$L,'BSE - Other Index Options'!$C:$C,$A181,'BSE - Other Index Options'!$B:$B,C$147))</f>
        <v/>
      </c>
      <c r="D181" s="26" t="str">
        <f>IF(SUMIFS('BSE - SENSEX Index Options'!$L:$L,'BSE - SENSEX Index Options'!$C:$C,$A181,'BSE - SENSEX Index Options'!$B:$B,D$147)+SUMIFS('BSE - Other Index Options'!$L:$L,'BSE - Other Index Options'!$C:$C,$A181,'BSE - Other Index Options'!$B:$B,D$147)=0,"",SUMIFS('BSE - SENSEX Index Options'!$L:$L,'BSE - SENSEX Index Options'!$C:$C,$A181,'BSE - SENSEX Index Options'!$B:$B,D$147)+SUMIFS('BSE - Other Index Options'!$L:$L,'BSE - Other Index Options'!$C:$C,$A181,'BSE - Other Index Options'!$B:$B,D$147))</f>
        <v/>
      </c>
      <c r="E181" s="26" t="str">
        <f>IF(SUMIFS('BSE - SENSEX Index Options'!$L:$L,'BSE - SENSEX Index Options'!$C:$C,$A181,'BSE - SENSEX Index Options'!$B:$B,E$147)+SUMIFS('BSE - Other Index Options'!$L:$L,'BSE - Other Index Options'!$C:$C,$A181,'BSE - Other Index Options'!$B:$B,E$147)=0,"",SUMIFS('BSE - SENSEX Index Options'!$L:$L,'BSE - SENSEX Index Options'!$C:$C,$A181,'BSE - SENSEX Index Options'!$B:$B,E$147)+SUMIFS('BSE - Other Index Options'!$L:$L,'BSE - Other Index Options'!$C:$C,$A181,'BSE - Other Index Options'!$B:$B,E$147))</f>
        <v/>
      </c>
      <c r="F181" s="26" t="str">
        <f>IF(SUMIFS('BSE - SENSEX Index Options'!$L:$L,'BSE - SENSEX Index Options'!$C:$C,$A181,'BSE - SENSEX Index Options'!$B:$B,F$147)+SUMIFS('BSE - Other Index Options'!$L:$L,'BSE - Other Index Options'!$C:$C,$A181,'BSE - Other Index Options'!$B:$B,F$147)=0,"",SUMIFS('BSE - SENSEX Index Options'!$L:$L,'BSE - SENSEX Index Options'!$C:$C,$A181,'BSE - SENSEX Index Options'!$B:$B,F$147)+SUMIFS('BSE - Other Index Options'!$L:$L,'BSE - Other Index Options'!$C:$C,$A181,'BSE - Other Index Options'!$B:$B,F$147))</f>
        <v/>
      </c>
      <c r="G181" s="26" t="str">
        <f>IF(SUMIFS('BSE - SENSEX Index Options'!$L:$L,'BSE - SENSEX Index Options'!$C:$C,$A181,'BSE - SENSEX Index Options'!$B:$B,G$147)+SUMIFS('BSE - Other Index Options'!$L:$L,'BSE - Other Index Options'!$C:$C,$A181,'BSE - Other Index Options'!$B:$B,G$147)=0,"",SUMIFS('BSE - SENSEX Index Options'!$L:$L,'BSE - SENSEX Index Options'!$C:$C,$A181,'BSE - SENSEX Index Options'!$B:$B,G$147)+SUMIFS('BSE - Other Index Options'!$L:$L,'BSE - Other Index Options'!$C:$C,$A181,'BSE - Other Index Options'!$B:$B,G$147))</f>
        <v/>
      </c>
      <c r="H181" s="26">
        <f t="shared" si="7"/>
        <v>12787.78</v>
      </c>
    </row>
    <row r="182" spans="1:8">
      <c r="A182" t="s">
        <v>44</v>
      </c>
      <c r="B182" s="26">
        <f>IF(SUMIFS('BSE - SENSEX Index Options'!$L:$L,'BSE - SENSEX Index Options'!$C:$C,$A182,'BSE - SENSEX Index Options'!$B:$B,B$147)+SUMIFS('BSE - Other Index Options'!$L:$L,'BSE - Other Index Options'!$C:$C,$A182,'BSE - Other Index Options'!$B:$B,B$147)=0,"",SUMIFS('BSE - SENSEX Index Options'!$L:$L,'BSE - SENSEX Index Options'!$C:$C,$A182,'BSE - SENSEX Index Options'!$B:$B,B$147)+SUMIFS('BSE - Other Index Options'!$L:$L,'BSE - Other Index Options'!$C:$C,$A182,'BSE - Other Index Options'!$B:$B,B$147))</f>
        <v>16337.09</v>
      </c>
      <c r="C182" s="26">
        <f>IF(SUMIFS('BSE - SENSEX Index Options'!$L:$L,'BSE - SENSEX Index Options'!$C:$C,$A182,'BSE - SENSEX Index Options'!$B:$B,C$147)+SUMIFS('BSE - Other Index Options'!$L:$L,'BSE - Other Index Options'!$C:$C,$A182,'BSE - Other Index Options'!$B:$B,C$147)=0,"",SUMIFS('BSE - SENSEX Index Options'!$L:$L,'BSE - SENSEX Index Options'!$C:$C,$A182,'BSE - SENSEX Index Options'!$B:$B,C$147)+SUMIFS('BSE - Other Index Options'!$L:$L,'BSE - Other Index Options'!$C:$C,$A182,'BSE - Other Index Options'!$B:$B,C$147))</f>
        <v>14206.380000000003</v>
      </c>
      <c r="D182" s="26">
        <f>IF(SUMIFS('BSE - SENSEX Index Options'!$L:$L,'BSE - SENSEX Index Options'!$C:$C,$A182,'BSE - SENSEX Index Options'!$B:$B,D$147)+SUMIFS('BSE - Other Index Options'!$L:$L,'BSE - Other Index Options'!$C:$C,$A182,'BSE - Other Index Options'!$B:$B,D$147)=0,"",SUMIFS('BSE - SENSEX Index Options'!$L:$L,'BSE - SENSEX Index Options'!$C:$C,$A182,'BSE - SENSEX Index Options'!$B:$B,D$147)+SUMIFS('BSE - Other Index Options'!$L:$L,'BSE - Other Index Options'!$C:$C,$A182,'BSE - Other Index Options'!$B:$B,D$147))</f>
        <v>43456.76</v>
      </c>
      <c r="E182" s="26">
        <f>IF(SUMIFS('BSE - SENSEX Index Options'!$L:$L,'BSE - SENSEX Index Options'!$C:$C,$A182,'BSE - SENSEX Index Options'!$B:$B,E$147)+SUMIFS('BSE - Other Index Options'!$L:$L,'BSE - Other Index Options'!$C:$C,$A182,'BSE - Other Index Options'!$B:$B,E$147)=0,"",SUMIFS('BSE - SENSEX Index Options'!$L:$L,'BSE - SENSEX Index Options'!$C:$C,$A182,'BSE - SENSEX Index Options'!$B:$B,E$147)+SUMIFS('BSE - Other Index Options'!$L:$L,'BSE - Other Index Options'!$C:$C,$A182,'BSE - Other Index Options'!$B:$B,E$147))</f>
        <v>85211.360000000015</v>
      </c>
      <c r="F182" s="26" t="str">
        <f>IF(SUMIFS('BSE - SENSEX Index Options'!$L:$L,'BSE - SENSEX Index Options'!$C:$C,$A182,'BSE - SENSEX Index Options'!$B:$B,F$147)+SUMIFS('BSE - Other Index Options'!$L:$L,'BSE - Other Index Options'!$C:$C,$A182,'BSE - Other Index Options'!$B:$B,F$147)=0,"",SUMIFS('BSE - SENSEX Index Options'!$L:$L,'BSE - SENSEX Index Options'!$C:$C,$A182,'BSE - SENSEX Index Options'!$B:$B,F$147)+SUMIFS('BSE - Other Index Options'!$L:$L,'BSE - Other Index Options'!$C:$C,$A182,'BSE - Other Index Options'!$B:$B,F$147))</f>
        <v/>
      </c>
      <c r="G182" s="26" t="str">
        <f>IF(SUMIFS('BSE - SENSEX Index Options'!$L:$L,'BSE - SENSEX Index Options'!$C:$C,$A182,'BSE - SENSEX Index Options'!$B:$B,G$147)+SUMIFS('BSE - Other Index Options'!$L:$L,'BSE - Other Index Options'!$C:$C,$A182,'BSE - Other Index Options'!$B:$B,G$147)=0,"",SUMIFS('BSE - SENSEX Index Options'!$L:$L,'BSE - SENSEX Index Options'!$C:$C,$A182,'BSE - SENSEX Index Options'!$B:$B,G$147)+SUMIFS('BSE - Other Index Options'!$L:$L,'BSE - Other Index Options'!$C:$C,$A182,'BSE - Other Index Options'!$B:$B,G$147))</f>
        <v/>
      </c>
      <c r="H182" s="26">
        <f t="shared" si="7"/>
        <v>159211.59000000003</v>
      </c>
    </row>
    <row r="183" spans="1:8">
      <c r="A183" t="s">
        <v>45</v>
      </c>
      <c r="B183" s="26">
        <f>IF(SUMIFS('BSE - SENSEX Index Options'!$L:$L,'BSE - SENSEX Index Options'!$C:$C,$A183,'BSE - SENSEX Index Options'!$B:$B,B$147)+SUMIFS('BSE - Other Index Options'!$L:$L,'BSE - Other Index Options'!$C:$C,$A183,'BSE - Other Index Options'!$B:$B,B$147)=0,"",SUMIFS('BSE - SENSEX Index Options'!$L:$L,'BSE - SENSEX Index Options'!$C:$C,$A183,'BSE - SENSEX Index Options'!$B:$B,B$147)+SUMIFS('BSE - Other Index Options'!$L:$L,'BSE - Other Index Options'!$C:$C,$A183,'BSE - Other Index Options'!$B:$B,B$147))</f>
        <v>11914.739999999998</v>
      </c>
      <c r="C183" s="26" t="str">
        <f>IF(SUMIFS('BSE - SENSEX Index Options'!$L:$L,'BSE - SENSEX Index Options'!$C:$C,$A183,'BSE - SENSEX Index Options'!$B:$B,C$147)+SUMIFS('BSE - Other Index Options'!$L:$L,'BSE - Other Index Options'!$C:$C,$A183,'BSE - Other Index Options'!$B:$B,C$147)=0,"",SUMIFS('BSE - SENSEX Index Options'!$L:$L,'BSE - SENSEX Index Options'!$C:$C,$A183,'BSE - SENSEX Index Options'!$B:$B,C$147)+SUMIFS('BSE - Other Index Options'!$L:$L,'BSE - Other Index Options'!$C:$C,$A183,'BSE - Other Index Options'!$B:$B,C$147))</f>
        <v/>
      </c>
      <c r="D183" s="26">
        <f>IF(SUMIFS('BSE - SENSEX Index Options'!$L:$L,'BSE - SENSEX Index Options'!$C:$C,$A183,'BSE - SENSEX Index Options'!$B:$B,D$147)+SUMIFS('BSE - Other Index Options'!$L:$L,'BSE - Other Index Options'!$C:$C,$A183,'BSE - Other Index Options'!$B:$B,D$147)=0,"",SUMIFS('BSE - SENSEX Index Options'!$L:$L,'BSE - SENSEX Index Options'!$C:$C,$A183,'BSE - SENSEX Index Options'!$B:$B,D$147)+SUMIFS('BSE - Other Index Options'!$L:$L,'BSE - Other Index Options'!$C:$C,$A183,'BSE - Other Index Options'!$B:$B,D$147))</f>
        <v>41801.08</v>
      </c>
      <c r="E183" s="26">
        <f>IF(SUMIFS('BSE - SENSEX Index Options'!$L:$L,'BSE - SENSEX Index Options'!$C:$C,$A183,'BSE - SENSEX Index Options'!$B:$B,E$147)+SUMIFS('BSE - Other Index Options'!$L:$L,'BSE - Other Index Options'!$C:$C,$A183,'BSE - Other Index Options'!$B:$B,E$147)=0,"",SUMIFS('BSE - SENSEX Index Options'!$L:$L,'BSE - SENSEX Index Options'!$C:$C,$A183,'BSE - SENSEX Index Options'!$B:$B,E$147)+SUMIFS('BSE - Other Index Options'!$L:$L,'BSE - Other Index Options'!$C:$C,$A183,'BSE - Other Index Options'!$B:$B,E$147))</f>
        <v>77764.430000000008</v>
      </c>
      <c r="F183" s="26">
        <f>IF(SUMIFS('BSE - SENSEX Index Options'!$L:$L,'BSE - SENSEX Index Options'!$C:$C,$A183,'BSE - SENSEX Index Options'!$B:$B,F$147)+SUMIFS('BSE - Other Index Options'!$L:$L,'BSE - Other Index Options'!$C:$C,$A183,'BSE - Other Index Options'!$B:$B,F$147)=0,"",SUMIFS('BSE - SENSEX Index Options'!$L:$L,'BSE - SENSEX Index Options'!$C:$C,$A183,'BSE - SENSEX Index Options'!$B:$B,F$147)+SUMIFS('BSE - Other Index Options'!$L:$L,'BSE - Other Index Options'!$C:$C,$A183,'BSE - Other Index Options'!$B:$B,F$147))</f>
        <v>10064.550000000001</v>
      </c>
      <c r="G183" s="26" t="str">
        <f>IF(SUMIFS('BSE - SENSEX Index Options'!$L:$L,'BSE - SENSEX Index Options'!$C:$C,$A183,'BSE - SENSEX Index Options'!$B:$B,G$147)+SUMIFS('BSE - Other Index Options'!$L:$L,'BSE - Other Index Options'!$C:$C,$A183,'BSE - Other Index Options'!$B:$B,G$147)=0,"",SUMIFS('BSE - SENSEX Index Options'!$L:$L,'BSE - SENSEX Index Options'!$C:$C,$A183,'BSE - SENSEX Index Options'!$B:$B,G$147)+SUMIFS('BSE - Other Index Options'!$L:$L,'BSE - Other Index Options'!$C:$C,$A183,'BSE - Other Index Options'!$B:$B,G$147))</f>
        <v/>
      </c>
      <c r="H183" s="26">
        <f t="shared" si="7"/>
        <v>141544.79999999999</v>
      </c>
    </row>
    <row r="184" spans="1:8">
      <c r="A184" t="s">
        <v>46</v>
      </c>
      <c r="B184" s="26">
        <f>IF(SUMIFS('BSE - SENSEX Index Options'!$L:$L,'BSE - SENSEX Index Options'!$C:$C,$A184,'BSE - SENSEX Index Options'!$B:$B,B$147)+SUMIFS('BSE - Other Index Options'!$L:$L,'BSE - Other Index Options'!$C:$C,$A184,'BSE - Other Index Options'!$B:$B,B$147)=0,"",SUMIFS('BSE - SENSEX Index Options'!$L:$L,'BSE - SENSEX Index Options'!$C:$C,$A184,'BSE - SENSEX Index Options'!$B:$B,B$147)+SUMIFS('BSE - Other Index Options'!$L:$L,'BSE - Other Index Options'!$C:$C,$A184,'BSE - Other Index Options'!$B:$B,B$147))</f>
        <v>11898.019999999999</v>
      </c>
      <c r="C184" s="26">
        <f>IF(SUMIFS('BSE - SENSEX Index Options'!$L:$L,'BSE - SENSEX Index Options'!$C:$C,$A184,'BSE - SENSEX Index Options'!$B:$B,C$147)+SUMIFS('BSE - Other Index Options'!$L:$L,'BSE - Other Index Options'!$C:$C,$A184,'BSE - Other Index Options'!$B:$B,C$147)=0,"",SUMIFS('BSE - SENSEX Index Options'!$L:$L,'BSE - SENSEX Index Options'!$C:$C,$A184,'BSE - SENSEX Index Options'!$B:$B,C$147)+SUMIFS('BSE - Other Index Options'!$L:$L,'BSE - Other Index Options'!$C:$C,$A184,'BSE - Other Index Options'!$B:$B,C$147))</f>
        <v>8994.6399999999976</v>
      </c>
      <c r="D184" s="26">
        <f>IF(SUMIFS('BSE - SENSEX Index Options'!$L:$L,'BSE - SENSEX Index Options'!$C:$C,$A184,'BSE - SENSEX Index Options'!$B:$B,D$147)+SUMIFS('BSE - Other Index Options'!$L:$L,'BSE - Other Index Options'!$C:$C,$A184,'BSE - Other Index Options'!$B:$B,D$147)=0,"",SUMIFS('BSE - SENSEX Index Options'!$L:$L,'BSE - SENSEX Index Options'!$C:$C,$A184,'BSE - SENSEX Index Options'!$B:$B,D$147)+SUMIFS('BSE - Other Index Options'!$L:$L,'BSE - Other Index Options'!$C:$C,$A184,'BSE - Other Index Options'!$B:$B,D$147))</f>
        <v>34756.110000000008</v>
      </c>
      <c r="E184" s="26">
        <f>IF(SUMIFS('BSE - SENSEX Index Options'!$L:$L,'BSE - SENSEX Index Options'!$C:$C,$A184,'BSE - SENSEX Index Options'!$B:$B,E$147)+SUMIFS('BSE - Other Index Options'!$L:$L,'BSE - Other Index Options'!$C:$C,$A184,'BSE - Other Index Options'!$B:$B,E$147)=0,"",SUMIFS('BSE - SENSEX Index Options'!$L:$L,'BSE - SENSEX Index Options'!$C:$C,$A184,'BSE - SENSEX Index Options'!$B:$B,E$147)+SUMIFS('BSE - Other Index Options'!$L:$L,'BSE - Other Index Options'!$C:$C,$A184,'BSE - Other Index Options'!$B:$B,E$147))</f>
        <v>69735.189999999988</v>
      </c>
      <c r="F184" s="26">
        <f>IF(SUMIFS('BSE - SENSEX Index Options'!$L:$L,'BSE - SENSEX Index Options'!$C:$C,$A184,'BSE - SENSEX Index Options'!$B:$B,F$147)+SUMIFS('BSE - Other Index Options'!$L:$L,'BSE - Other Index Options'!$C:$C,$A184,'BSE - Other Index Options'!$B:$B,F$147)=0,"",SUMIFS('BSE - SENSEX Index Options'!$L:$L,'BSE - SENSEX Index Options'!$C:$C,$A184,'BSE - SENSEX Index Options'!$B:$B,F$147)+SUMIFS('BSE - Other Index Options'!$L:$L,'BSE - Other Index Options'!$C:$C,$A184,'BSE - Other Index Options'!$B:$B,F$147))</f>
        <v>9091.84</v>
      </c>
      <c r="G184" s="26" t="str">
        <f>IF(SUMIFS('BSE - SENSEX Index Options'!$L:$L,'BSE - SENSEX Index Options'!$C:$C,$A184,'BSE - SENSEX Index Options'!$B:$B,G$147)+SUMIFS('BSE - Other Index Options'!$L:$L,'BSE - Other Index Options'!$C:$C,$A184,'BSE - Other Index Options'!$B:$B,G$147)=0,"",SUMIFS('BSE - SENSEX Index Options'!$L:$L,'BSE - SENSEX Index Options'!$C:$C,$A184,'BSE - SENSEX Index Options'!$B:$B,G$147)+SUMIFS('BSE - Other Index Options'!$L:$L,'BSE - Other Index Options'!$C:$C,$A184,'BSE - Other Index Options'!$B:$B,G$147))</f>
        <v/>
      </c>
      <c r="H184" s="26">
        <f t="shared" si="7"/>
        <v>134475.79999999999</v>
      </c>
    </row>
    <row r="185" spans="1:8">
      <c r="A185" t="s">
        <v>47</v>
      </c>
      <c r="B185" s="26">
        <f>IF(SUMIFS('BSE - SENSEX Index Options'!$L:$L,'BSE - SENSEX Index Options'!$C:$C,$A185,'BSE - SENSEX Index Options'!$B:$B,B$147)+SUMIFS('BSE - Other Index Options'!$L:$L,'BSE - Other Index Options'!$C:$C,$A185,'BSE - Other Index Options'!$B:$B,B$147)=0,"",SUMIFS('BSE - SENSEX Index Options'!$L:$L,'BSE - SENSEX Index Options'!$C:$C,$A185,'BSE - SENSEX Index Options'!$B:$B,B$147)+SUMIFS('BSE - Other Index Options'!$L:$L,'BSE - Other Index Options'!$C:$C,$A185,'BSE - Other Index Options'!$B:$B,B$147))</f>
        <v>8892.2900000000009</v>
      </c>
      <c r="C185" s="26">
        <f>IF(SUMIFS('BSE - SENSEX Index Options'!$L:$L,'BSE - SENSEX Index Options'!$C:$C,$A185,'BSE - SENSEX Index Options'!$B:$B,C$147)+SUMIFS('BSE - Other Index Options'!$L:$L,'BSE - Other Index Options'!$C:$C,$A185,'BSE - Other Index Options'!$B:$B,C$147)=0,"",SUMIFS('BSE - SENSEX Index Options'!$L:$L,'BSE - SENSEX Index Options'!$C:$C,$A185,'BSE - SENSEX Index Options'!$B:$B,C$147)+SUMIFS('BSE - Other Index Options'!$L:$L,'BSE - Other Index Options'!$C:$C,$A185,'BSE - Other Index Options'!$B:$B,C$147))</f>
        <v>9300.880000000001</v>
      </c>
      <c r="D185" s="26">
        <f>IF(SUMIFS('BSE - SENSEX Index Options'!$L:$L,'BSE - SENSEX Index Options'!$C:$C,$A185,'BSE - SENSEX Index Options'!$B:$B,D$147)+SUMIFS('BSE - Other Index Options'!$L:$L,'BSE - Other Index Options'!$C:$C,$A185,'BSE - Other Index Options'!$B:$B,D$147)=0,"",SUMIFS('BSE - SENSEX Index Options'!$L:$L,'BSE - SENSEX Index Options'!$C:$C,$A185,'BSE - SENSEX Index Options'!$B:$B,D$147)+SUMIFS('BSE - Other Index Options'!$L:$L,'BSE - Other Index Options'!$C:$C,$A185,'BSE - Other Index Options'!$B:$B,D$147))</f>
        <v>33270.049999999996</v>
      </c>
      <c r="E185" s="26">
        <f>IF(SUMIFS('BSE - SENSEX Index Options'!$L:$L,'BSE - SENSEX Index Options'!$C:$C,$A185,'BSE - SENSEX Index Options'!$B:$B,E$147)+SUMIFS('BSE - Other Index Options'!$L:$L,'BSE - Other Index Options'!$C:$C,$A185,'BSE - Other Index Options'!$B:$B,E$147)=0,"",SUMIFS('BSE - SENSEX Index Options'!$L:$L,'BSE - SENSEX Index Options'!$C:$C,$A185,'BSE - SENSEX Index Options'!$B:$B,E$147)+SUMIFS('BSE - Other Index Options'!$L:$L,'BSE - Other Index Options'!$C:$C,$A185,'BSE - Other Index Options'!$B:$B,E$147))</f>
        <v>57047.889999999992</v>
      </c>
      <c r="F185" s="26">
        <f>IF(SUMIFS('BSE - SENSEX Index Options'!$L:$L,'BSE - SENSEX Index Options'!$C:$C,$A185,'BSE - SENSEX Index Options'!$B:$B,F$147)+SUMIFS('BSE - Other Index Options'!$L:$L,'BSE - Other Index Options'!$C:$C,$A185,'BSE - Other Index Options'!$B:$B,F$147)=0,"",SUMIFS('BSE - SENSEX Index Options'!$L:$L,'BSE - SENSEX Index Options'!$C:$C,$A185,'BSE - SENSEX Index Options'!$B:$B,F$147)+SUMIFS('BSE - Other Index Options'!$L:$L,'BSE - Other Index Options'!$C:$C,$A185,'BSE - Other Index Options'!$B:$B,F$147))</f>
        <v>9331.68</v>
      </c>
      <c r="G185" s="26" t="str">
        <f>IF(SUMIFS('BSE - SENSEX Index Options'!$L:$L,'BSE - SENSEX Index Options'!$C:$C,$A185,'BSE - SENSEX Index Options'!$B:$B,G$147)+SUMIFS('BSE - Other Index Options'!$L:$L,'BSE - Other Index Options'!$C:$C,$A185,'BSE - Other Index Options'!$B:$B,G$147)=0,"",SUMIFS('BSE - SENSEX Index Options'!$L:$L,'BSE - SENSEX Index Options'!$C:$C,$A185,'BSE - SENSEX Index Options'!$B:$B,G$147)+SUMIFS('BSE - Other Index Options'!$L:$L,'BSE - Other Index Options'!$C:$C,$A185,'BSE - Other Index Options'!$B:$B,G$147))</f>
        <v/>
      </c>
      <c r="H185" s="26">
        <f t="shared" si="7"/>
        <v>117842.78999999998</v>
      </c>
    </row>
    <row r="186" spans="1:8">
      <c r="A186" t="s">
        <v>48</v>
      </c>
      <c r="B186" s="26" t="str">
        <f>IF(SUMIFS('BSE - SENSEX Index Options'!$L:$L,'BSE - SENSEX Index Options'!$C:$C,$A186,'BSE - SENSEX Index Options'!$B:$B,B$147)+SUMIFS('BSE - Other Index Options'!$L:$L,'BSE - Other Index Options'!$C:$C,$A186,'BSE - Other Index Options'!$B:$B,B$147)=0,"",SUMIFS('BSE - SENSEX Index Options'!$L:$L,'BSE - SENSEX Index Options'!$C:$C,$A186,'BSE - SENSEX Index Options'!$B:$B,B$147)+SUMIFS('BSE - Other Index Options'!$L:$L,'BSE - Other Index Options'!$C:$C,$A186,'BSE - Other Index Options'!$B:$B,B$147))</f>
        <v/>
      </c>
      <c r="C186" s="26" t="str">
        <f>IF(SUMIFS('BSE - SENSEX Index Options'!$L:$L,'BSE - SENSEX Index Options'!$C:$C,$A186,'BSE - SENSEX Index Options'!$B:$B,C$147)+SUMIFS('BSE - Other Index Options'!$L:$L,'BSE - Other Index Options'!$C:$C,$A186,'BSE - Other Index Options'!$B:$B,C$147)=0,"",SUMIFS('BSE - SENSEX Index Options'!$L:$L,'BSE - SENSEX Index Options'!$C:$C,$A186,'BSE - SENSEX Index Options'!$B:$B,C$147)+SUMIFS('BSE - Other Index Options'!$L:$L,'BSE - Other Index Options'!$C:$C,$A186,'BSE - Other Index Options'!$B:$B,C$147))</f>
        <v/>
      </c>
      <c r="D186" s="26">
        <f>IF(SUMIFS('BSE - SENSEX Index Options'!$L:$L,'BSE - SENSEX Index Options'!$C:$C,$A186,'BSE - SENSEX Index Options'!$B:$B,D$147)+SUMIFS('BSE - Other Index Options'!$L:$L,'BSE - Other Index Options'!$C:$C,$A186,'BSE - Other Index Options'!$B:$B,D$147)=0,"",SUMIFS('BSE - SENSEX Index Options'!$L:$L,'BSE - SENSEX Index Options'!$C:$C,$A186,'BSE - SENSEX Index Options'!$B:$B,D$147)+SUMIFS('BSE - Other Index Options'!$L:$L,'BSE - Other Index Options'!$C:$C,$A186,'BSE - Other Index Options'!$B:$B,D$147))</f>
        <v>37082.639999999992</v>
      </c>
      <c r="E186" s="26">
        <f>IF(SUMIFS('BSE - SENSEX Index Options'!$L:$L,'BSE - SENSEX Index Options'!$C:$C,$A186,'BSE - SENSEX Index Options'!$B:$B,E$147)+SUMIFS('BSE - Other Index Options'!$L:$L,'BSE - Other Index Options'!$C:$C,$A186,'BSE - Other Index Options'!$B:$B,E$147)=0,"",SUMIFS('BSE - SENSEX Index Options'!$L:$L,'BSE - SENSEX Index Options'!$C:$C,$A186,'BSE - SENSEX Index Options'!$B:$B,E$147)+SUMIFS('BSE - Other Index Options'!$L:$L,'BSE - Other Index Options'!$C:$C,$A186,'BSE - Other Index Options'!$B:$B,E$147))</f>
        <v>72741.99000000002</v>
      </c>
      <c r="F186" s="26" t="str">
        <f>IF(SUMIFS('BSE - SENSEX Index Options'!$L:$L,'BSE - SENSEX Index Options'!$C:$C,$A186,'BSE - SENSEX Index Options'!$B:$B,F$147)+SUMIFS('BSE - Other Index Options'!$L:$L,'BSE - Other Index Options'!$C:$C,$A186,'BSE - Other Index Options'!$B:$B,F$147)=0,"",SUMIFS('BSE - SENSEX Index Options'!$L:$L,'BSE - SENSEX Index Options'!$C:$C,$A186,'BSE - SENSEX Index Options'!$B:$B,F$147)+SUMIFS('BSE - Other Index Options'!$L:$L,'BSE - Other Index Options'!$C:$C,$A186,'BSE - Other Index Options'!$B:$B,F$147))</f>
        <v/>
      </c>
      <c r="G186" s="26" t="str">
        <f>IF(SUMIFS('BSE - SENSEX Index Options'!$L:$L,'BSE - SENSEX Index Options'!$C:$C,$A186,'BSE - SENSEX Index Options'!$B:$B,G$147)+SUMIFS('BSE - Other Index Options'!$L:$L,'BSE - Other Index Options'!$C:$C,$A186,'BSE - Other Index Options'!$B:$B,G$147)=0,"",SUMIFS('BSE - SENSEX Index Options'!$L:$L,'BSE - SENSEX Index Options'!$C:$C,$A186,'BSE - SENSEX Index Options'!$B:$B,G$147)+SUMIFS('BSE - Other Index Options'!$L:$L,'BSE - Other Index Options'!$C:$C,$A186,'BSE - Other Index Options'!$B:$B,G$147))</f>
        <v/>
      </c>
      <c r="H186" s="26">
        <f t="shared" si="7"/>
        <v>109824.63</v>
      </c>
    </row>
    <row r="187" spans="1:8">
      <c r="A187" t="s">
        <v>49</v>
      </c>
      <c r="B187" s="26">
        <f>IF(SUMIFS('BSE - SENSEX Index Options'!$L:$L,'BSE - SENSEX Index Options'!$C:$C,$A187,'BSE - SENSEX Index Options'!$B:$B,B$147)+SUMIFS('BSE - Other Index Options'!$L:$L,'BSE - Other Index Options'!$C:$C,$A187,'BSE - Other Index Options'!$B:$B,B$147)=0,"",SUMIFS('BSE - SENSEX Index Options'!$L:$L,'BSE - SENSEX Index Options'!$C:$C,$A187,'BSE - SENSEX Index Options'!$B:$B,B$147)+SUMIFS('BSE - Other Index Options'!$L:$L,'BSE - Other Index Options'!$C:$C,$A187,'BSE - Other Index Options'!$B:$B,B$147))</f>
        <v>14988.45</v>
      </c>
      <c r="C187" s="26">
        <f>IF(SUMIFS('BSE - SENSEX Index Options'!$L:$L,'BSE - SENSEX Index Options'!$C:$C,$A187,'BSE - SENSEX Index Options'!$B:$B,C$147)+SUMIFS('BSE - Other Index Options'!$L:$L,'BSE - Other Index Options'!$C:$C,$A187,'BSE - Other Index Options'!$B:$B,C$147)=0,"",SUMIFS('BSE - SENSEX Index Options'!$L:$L,'BSE - SENSEX Index Options'!$C:$C,$A187,'BSE - SENSEX Index Options'!$B:$B,C$147)+SUMIFS('BSE - Other Index Options'!$L:$L,'BSE - Other Index Options'!$C:$C,$A187,'BSE - Other Index Options'!$B:$B,C$147))</f>
        <v>11977.87</v>
      </c>
      <c r="D187" s="26">
        <f>IF(SUMIFS('BSE - SENSEX Index Options'!$L:$L,'BSE - SENSEX Index Options'!$C:$C,$A187,'BSE - SENSEX Index Options'!$B:$B,D$147)+SUMIFS('BSE - Other Index Options'!$L:$L,'BSE - Other Index Options'!$C:$C,$A187,'BSE - Other Index Options'!$B:$B,D$147)=0,"",SUMIFS('BSE - SENSEX Index Options'!$L:$L,'BSE - SENSEX Index Options'!$C:$C,$A187,'BSE - SENSEX Index Options'!$B:$B,D$147)+SUMIFS('BSE - Other Index Options'!$L:$L,'BSE - Other Index Options'!$C:$C,$A187,'BSE - Other Index Options'!$B:$B,D$147))</f>
        <v>51118.179999999993</v>
      </c>
      <c r="E187" s="26">
        <f>IF(SUMIFS('BSE - SENSEX Index Options'!$L:$L,'BSE - SENSEX Index Options'!$C:$C,$A187,'BSE - SENSEX Index Options'!$B:$B,E$147)+SUMIFS('BSE - Other Index Options'!$L:$L,'BSE - Other Index Options'!$C:$C,$A187,'BSE - Other Index Options'!$B:$B,E$147)=0,"",SUMIFS('BSE - SENSEX Index Options'!$L:$L,'BSE - SENSEX Index Options'!$C:$C,$A187,'BSE - SENSEX Index Options'!$B:$B,E$147)+SUMIFS('BSE - Other Index Options'!$L:$L,'BSE - Other Index Options'!$C:$C,$A187,'BSE - Other Index Options'!$B:$B,E$147))</f>
        <v>76281.879999999976</v>
      </c>
      <c r="F187" s="26" t="str">
        <f>IF(SUMIFS('BSE - SENSEX Index Options'!$L:$L,'BSE - SENSEX Index Options'!$C:$C,$A187,'BSE - SENSEX Index Options'!$B:$B,F$147)+SUMIFS('BSE - Other Index Options'!$L:$L,'BSE - Other Index Options'!$C:$C,$A187,'BSE - Other Index Options'!$B:$B,F$147)=0,"",SUMIFS('BSE - SENSEX Index Options'!$L:$L,'BSE - SENSEX Index Options'!$C:$C,$A187,'BSE - SENSEX Index Options'!$B:$B,F$147)+SUMIFS('BSE - Other Index Options'!$L:$L,'BSE - Other Index Options'!$C:$C,$A187,'BSE - Other Index Options'!$B:$B,F$147))</f>
        <v/>
      </c>
      <c r="G187" s="26" t="str">
        <f>IF(SUMIFS('BSE - SENSEX Index Options'!$L:$L,'BSE - SENSEX Index Options'!$C:$C,$A187,'BSE - SENSEX Index Options'!$B:$B,G$147)+SUMIFS('BSE - Other Index Options'!$L:$L,'BSE - Other Index Options'!$C:$C,$A187,'BSE - Other Index Options'!$B:$B,G$147)=0,"",SUMIFS('BSE - SENSEX Index Options'!$L:$L,'BSE - SENSEX Index Options'!$C:$C,$A187,'BSE - SENSEX Index Options'!$B:$B,G$147)+SUMIFS('BSE - Other Index Options'!$L:$L,'BSE - Other Index Options'!$C:$C,$A187,'BSE - Other Index Options'!$B:$B,G$147))</f>
        <v/>
      </c>
      <c r="H187" s="26">
        <f t="shared" si="7"/>
        <v>154366.37999999998</v>
      </c>
    </row>
    <row r="188" spans="1:8">
      <c r="A188" t="s">
        <v>50</v>
      </c>
      <c r="B188" s="26">
        <f>IF(SUMIFS('BSE - SENSEX Index Options'!$L:$L,'BSE - SENSEX Index Options'!$C:$C,$A188,'BSE - SENSEX Index Options'!$B:$B,B$147)+SUMIFS('BSE - Other Index Options'!$L:$L,'BSE - Other Index Options'!$C:$C,$A188,'BSE - Other Index Options'!$B:$B,B$147)=0,"",SUMIFS('BSE - SENSEX Index Options'!$L:$L,'BSE - SENSEX Index Options'!$C:$C,$A188,'BSE - SENSEX Index Options'!$B:$B,B$147)+SUMIFS('BSE - Other Index Options'!$L:$L,'BSE - Other Index Options'!$C:$C,$A188,'BSE - Other Index Options'!$B:$B,B$147))</f>
        <v>11712.949999999999</v>
      </c>
      <c r="C188" s="26">
        <f>IF(SUMIFS('BSE - SENSEX Index Options'!$L:$L,'BSE - SENSEX Index Options'!$C:$C,$A188,'BSE - SENSEX Index Options'!$B:$B,C$147)+SUMIFS('BSE - Other Index Options'!$L:$L,'BSE - Other Index Options'!$C:$C,$A188,'BSE - Other Index Options'!$B:$B,C$147)=0,"",SUMIFS('BSE - SENSEX Index Options'!$L:$L,'BSE - SENSEX Index Options'!$C:$C,$A188,'BSE - SENSEX Index Options'!$B:$B,C$147)+SUMIFS('BSE - Other Index Options'!$L:$L,'BSE - Other Index Options'!$C:$C,$A188,'BSE - Other Index Options'!$B:$B,C$147))</f>
        <v>12078.830000000002</v>
      </c>
      <c r="D188" s="26">
        <f>IF(SUMIFS('BSE - SENSEX Index Options'!$L:$L,'BSE - SENSEX Index Options'!$C:$C,$A188,'BSE - SENSEX Index Options'!$B:$B,D$147)+SUMIFS('BSE - Other Index Options'!$L:$L,'BSE - Other Index Options'!$C:$C,$A188,'BSE - Other Index Options'!$B:$B,D$147)=0,"",SUMIFS('BSE - SENSEX Index Options'!$L:$L,'BSE - SENSEX Index Options'!$C:$C,$A188,'BSE - SENSEX Index Options'!$B:$B,D$147)+SUMIFS('BSE - Other Index Options'!$L:$L,'BSE - Other Index Options'!$C:$C,$A188,'BSE - Other Index Options'!$B:$B,D$147))</f>
        <v>53287.950000000004</v>
      </c>
      <c r="E188" s="26">
        <f>IF(SUMIFS('BSE - SENSEX Index Options'!$L:$L,'BSE - SENSEX Index Options'!$C:$C,$A188,'BSE - SENSEX Index Options'!$B:$B,E$147)+SUMIFS('BSE - Other Index Options'!$L:$L,'BSE - Other Index Options'!$C:$C,$A188,'BSE - Other Index Options'!$B:$B,E$147)=0,"",SUMIFS('BSE - SENSEX Index Options'!$L:$L,'BSE - SENSEX Index Options'!$C:$C,$A188,'BSE - SENSEX Index Options'!$B:$B,E$147)+SUMIFS('BSE - Other Index Options'!$L:$L,'BSE - Other Index Options'!$C:$C,$A188,'BSE - Other Index Options'!$B:$B,E$147))</f>
        <v>78786.060000000012</v>
      </c>
      <c r="F188" s="26">
        <f>IF(SUMIFS('BSE - SENSEX Index Options'!$L:$L,'BSE - SENSEX Index Options'!$C:$C,$A188,'BSE - SENSEX Index Options'!$B:$B,F$147)+SUMIFS('BSE - Other Index Options'!$L:$L,'BSE - Other Index Options'!$C:$C,$A188,'BSE - Other Index Options'!$B:$B,F$147)=0,"",SUMIFS('BSE - SENSEX Index Options'!$L:$L,'BSE - SENSEX Index Options'!$C:$C,$A188,'BSE - SENSEX Index Options'!$B:$B,F$147)+SUMIFS('BSE - Other Index Options'!$L:$L,'BSE - Other Index Options'!$C:$C,$A188,'BSE - Other Index Options'!$B:$B,F$147))</f>
        <v>10973.370000000003</v>
      </c>
      <c r="G188" s="26" t="str">
        <f>IF(SUMIFS('BSE - SENSEX Index Options'!$L:$L,'BSE - SENSEX Index Options'!$C:$C,$A188,'BSE - SENSEX Index Options'!$B:$B,G$147)+SUMIFS('BSE - Other Index Options'!$L:$L,'BSE - Other Index Options'!$C:$C,$A188,'BSE - Other Index Options'!$B:$B,G$147)=0,"",SUMIFS('BSE - SENSEX Index Options'!$L:$L,'BSE - SENSEX Index Options'!$C:$C,$A188,'BSE - SENSEX Index Options'!$B:$B,G$147)+SUMIFS('BSE - Other Index Options'!$L:$L,'BSE - Other Index Options'!$C:$C,$A188,'BSE - Other Index Options'!$B:$B,G$147))</f>
        <v/>
      </c>
      <c r="H188" s="26">
        <f t="shared" si="7"/>
        <v>166839.16000000003</v>
      </c>
    </row>
    <row r="189" spans="1:8">
      <c r="A189" t="s">
        <v>51</v>
      </c>
      <c r="B189" s="26">
        <f>IF(SUMIFS('BSE - SENSEX Index Options'!$L:$L,'BSE - SENSEX Index Options'!$C:$C,$A189,'BSE - SENSEX Index Options'!$B:$B,B$147)+SUMIFS('BSE - Other Index Options'!$L:$L,'BSE - Other Index Options'!$C:$C,$A189,'BSE - Other Index Options'!$B:$B,B$147)=0,"",SUMIFS('BSE - SENSEX Index Options'!$L:$L,'BSE - SENSEX Index Options'!$C:$C,$A189,'BSE - SENSEX Index Options'!$B:$B,B$147)+SUMIFS('BSE - Other Index Options'!$L:$L,'BSE - Other Index Options'!$C:$C,$A189,'BSE - Other Index Options'!$B:$B,B$147))</f>
        <v>15773.990000000002</v>
      </c>
      <c r="C189" s="26">
        <f>IF(SUMIFS('BSE - SENSEX Index Options'!$L:$L,'BSE - SENSEX Index Options'!$C:$C,$A189,'BSE - SENSEX Index Options'!$B:$B,C$147)+SUMIFS('BSE - Other Index Options'!$L:$L,'BSE - Other Index Options'!$C:$C,$A189,'BSE - Other Index Options'!$B:$B,C$147)=0,"",SUMIFS('BSE - SENSEX Index Options'!$L:$L,'BSE - SENSEX Index Options'!$C:$C,$A189,'BSE - SENSEX Index Options'!$B:$B,C$147)+SUMIFS('BSE - Other Index Options'!$L:$L,'BSE - Other Index Options'!$C:$C,$A189,'BSE - Other Index Options'!$B:$B,C$147))</f>
        <v>11598.370000000003</v>
      </c>
      <c r="D189" s="26">
        <f>IF(SUMIFS('BSE - SENSEX Index Options'!$L:$L,'BSE - SENSEX Index Options'!$C:$C,$A189,'BSE - SENSEX Index Options'!$B:$B,D$147)+SUMIFS('BSE - Other Index Options'!$L:$L,'BSE - Other Index Options'!$C:$C,$A189,'BSE - Other Index Options'!$B:$B,D$147)=0,"",SUMIFS('BSE - SENSEX Index Options'!$L:$L,'BSE - SENSEX Index Options'!$C:$C,$A189,'BSE - SENSEX Index Options'!$B:$B,D$147)+SUMIFS('BSE - Other Index Options'!$L:$L,'BSE - Other Index Options'!$C:$C,$A189,'BSE - Other Index Options'!$B:$B,D$147))</f>
        <v>42310.070000000007</v>
      </c>
      <c r="E189" s="26">
        <f>IF(SUMIFS('BSE - SENSEX Index Options'!$L:$L,'BSE - SENSEX Index Options'!$C:$C,$A189,'BSE - SENSEX Index Options'!$B:$B,E$147)+SUMIFS('BSE - Other Index Options'!$L:$L,'BSE - Other Index Options'!$C:$C,$A189,'BSE - Other Index Options'!$B:$B,E$147)=0,"",SUMIFS('BSE - SENSEX Index Options'!$L:$L,'BSE - SENSEX Index Options'!$C:$C,$A189,'BSE - SENSEX Index Options'!$B:$B,E$147)+SUMIFS('BSE - Other Index Options'!$L:$L,'BSE - Other Index Options'!$C:$C,$A189,'BSE - Other Index Options'!$B:$B,E$147))</f>
        <v>66686.77</v>
      </c>
      <c r="F189" s="26">
        <f>IF(SUMIFS('BSE - SENSEX Index Options'!$L:$L,'BSE - SENSEX Index Options'!$C:$C,$A189,'BSE - SENSEX Index Options'!$B:$B,F$147)+SUMIFS('BSE - Other Index Options'!$L:$L,'BSE - Other Index Options'!$C:$C,$A189,'BSE - Other Index Options'!$B:$B,F$147)=0,"",SUMIFS('BSE - SENSEX Index Options'!$L:$L,'BSE - SENSEX Index Options'!$C:$C,$A189,'BSE - SENSEX Index Options'!$B:$B,F$147)+SUMIFS('BSE - Other Index Options'!$L:$L,'BSE - Other Index Options'!$C:$C,$A189,'BSE - Other Index Options'!$B:$B,F$147))</f>
        <v>12894.320000000002</v>
      </c>
      <c r="G189" s="26" t="str">
        <f>IF(SUMIFS('BSE - SENSEX Index Options'!$L:$L,'BSE - SENSEX Index Options'!$C:$C,$A189,'BSE - SENSEX Index Options'!$B:$B,G$147)+SUMIFS('BSE - Other Index Options'!$L:$L,'BSE - Other Index Options'!$C:$C,$A189,'BSE - Other Index Options'!$B:$B,G$147)=0,"",SUMIFS('BSE - SENSEX Index Options'!$L:$L,'BSE - SENSEX Index Options'!$C:$C,$A189,'BSE - SENSEX Index Options'!$B:$B,G$147)+SUMIFS('BSE - Other Index Options'!$L:$L,'BSE - Other Index Options'!$C:$C,$A189,'BSE - Other Index Options'!$B:$B,G$147))</f>
        <v/>
      </c>
      <c r="H189" s="26">
        <f t="shared" si="7"/>
        <v>149263.52000000002</v>
      </c>
    </row>
    <row r="190" spans="1:8">
      <c r="A190" t="s">
        <v>52</v>
      </c>
      <c r="B190" s="26">
        <f>IF(SUMIFS('BSE - SENSEX Index Options'!$L:$L,'BSE - SENSEX Index Options'!$C:$C,$A190,'BSE - SENSEX Index Options'!$B:$B,B$147)+SUMIFS('BSE - Other Index Options'!$L:$L,'BSE - Other Index Options'!$C:$C,$A190,'BSE - Other Index Options'!$B:$B,B$147)=0,"",SUMIFS('BSE - SENSEX Index Options'!$L:$L,'BSE - SENSEX Index Options'!$C:$C,$A190,'BSE - SENSEX Index Options'!$B:$B,B$147)+SUMIFS('BSE - Other Index Options'!$L:$L,'BSE - Other Index Options'!$C:$C,$A190,'BSE - Other Index Options'!$B:$B,B$147))</f>
        <v>9345.8499999999985</v>
      </c>
      <c r="C190" s="26">
        <f>IF(SUMIFS('BSE - SENSEX Index Options'!$L:$L,'BSE - SENSEX Index Options'!$C:$C,$A190,'BSE - SENSEX Index Options'!$B:$B,C$147)+SUMIFS('BSE - Other Index Options'!$L:$L,'BSE - Other Index Options'!$C:$C,$A190,'BSE - Other Index Options'!$B:$B,C$147)=0,"",SUMIFS('BSE - SENSEX Index Options'!$L:$L,'BSE - SENSEX Index Options'!$C:$C,$A190,'BSE - SENSEX Index Options'!$B:$B,C$147)+SUMIFS('BSE - Other Index Options'!$L:$L,'BSE - Other Index Options'!$C:$C,$A190,'BSE - Other Index Options'!$B:$B,C$147))</f>
        <v>10355.780000000002</v>
      </c>
      <c r="D190" s="26">
        <f>IF(SUMIFS('BSE - SENSEX Index Options'!$L:$L,'BSE - SENSEX Index Options'!$C:$C,$A190,'BSE - SENSEX Index Options'!$B:$B,D$147)+SUMIFS('BSE - Other Index Options'!$L:$L,'BSE - Other Index Options'!$C:$C,$A190,'BSE - Other Index Options'!$B:$B,D$147)=0,"",SUMIFS('BSE - SENSEX Index Options'!$L:$L,'BSE - SENSEX Index Options'!$C:$C,$A190,'BSE - SENSEX Index Options'!$B:$B,D$147)+SUMIFS('BSE - Other Index Options'!$L:$L,'BSE - Other Index Options'!$C:$C,$A190,'BSE - Other Index Options'!$B:$B,D$147))</f>
        <v>51660.170000000013</v>
      </c>
      <c r="E190" s="26" t="str">
        <f>IF(SUMIFS('BSE - SENSEX Index Options'!$L:$L,'BSE - SENSEX Index Options'!$C:$C,$A190,'BSE - SENSEX Index Options'!$B:$B,E$147)+SUMIFS('BSE - Other Index Options'!$L:$L,'BSE - Other Index Options'!$C:$C,$A190,'BSE - Other Index Options'!$B:$B,E$147)=0,"",SUMIFS('BSE - SENSEX Index Options'!$L:$L,'BSE - SENSEX Index Options'!$C:$C,$A190,'BSE - SENSEX Index Options'!$B:$B,E$147)+SUMIFS('BSE - Other Index Options'!$L:$L,'BSE - Other Index Options'!$C:$C,$A190,'BSE - Other Index Options'!$B:$B,E$147))</f>
        <v/>
      </c>
      <c r="F190" s="26">
        <f>IF(SUMIFS('BSE - SENSEX Index Options'!$L:$L,'BSE - SENSEX Index Options'!$C:$C,$A190,'BSE - SENSEX Index Options'!$B:$B,F$147)+SUMIFS('BSE - Other Index Options'!$L:$L,'BSE - Other Index Options'!$C:$C,$A190,'BSE - Other Index Options'!$B:$B,F$147)=0,"",SUMIFS('BSE - SENSEX Index Options'!$L:$L,'BSE - SENSEX Index Options'!$C:$C,$A190,'BSE - SENSEX Index Options'!$B:$B,F$147)+SUMIFS('BSE - Other Index Options'!$L:$L,'BSE - Other Index Options'!$C:$C,$A190,'BSE - Other Index Options'!$B:$B,F$147))</f>
        <v>9659.0299999999988</v>
      </c>
      <c r="G190" s="26" t="str">
        <f>IF(SUMIFS('BSE - SENSEX Index Options'!$L:$L,'BSE - SENSEX Index Options'!$C:$C,$A190,'BSE - SENSEX Index Options'!$B:$B,G$147)+SUMIFS('BSE - Other Index Options'!$L:$L,'BSE - Other Index Options'!$C:$C,$A190,'BSE - Other Index Options'!$B:$B,G$147)=0,"",SUMIFS('BSE - SENSEX Index Options'!$L:$L,'BSE - SENSEX Index Options'!$C:$C,$A190,'BSE - SENSEX Index Options'!$B:$B,G$147)+SUMIFS('BSE - Other Index Options'!$L:$L,'BSE - Other Index Options'!$C:$C,$A190,'BSE - Other Index Options'!$B:$B,G$147))</f>
        <v/>
      </c>
      <c r="H190" s="26">
        <f t="shared" si="7"/>
        <v>81020.830000000016</v>
      </c>
    </row>
    <row r="191" spans="1:8">
      <c r="A191" t="s">
        <v>53</v>
      </c>
      <c r="B191" s="26" t="str">
        <f>IF(SUMIFS('BSE - SENSEX Index Options'!$L:$L,'BSE - SENSEX Index Options'!$C:$C,$A191,'BSE - SENSEX Index Options'!$B:$B,B$147)+SUMIFS('BSE - Other Index Options'!$L:$L,'BSE - Other Index Options'!$C:$C,$A191,'BSE - Other Index Options'!$B:$B,B$147)=0,"",SUMIFS('BSE - SENSEX Index Options'!$L:$L,'BSE - SENSEX Index Options'!$C:$C,$A191,'BSE - SENSEX Index Options'!$B:$B,B$147)+SUMIFS('BSE - Other Index Options'!$L:$L,'BSE - Other Index Options'!$C:$C,$A191,'BSE - Other Index Options'!$B:$B,B$147))</f>
        <v/>
      </c>
      <c r="C191" s="26" t="str">
        <f>IF(SUMIFS('BSE - SENSEX Index Options'!$L:$L,'BSE - SENSEX Index Options'!$C:$C,$A191,'BSE - SENSEX Index Options'!$B:$B,C$147)+SUMIFS('BSE - Other Index Options'!$L:$L,'BSE - Other Index Options'!$C:$C,$A191,'BSE - Other Index Options'!$B:$B,C$147)=0,"",SUMIFS('BSE - SENSEX Index Options'!$L:$L,'BSE - SENSEX Index Options'!$C:$C,$A191,'BSE - SENSEX Index Options'!$B:$B,C$147)+SUMIFS('BSE - Other Index Options'!$L:$L,'BSE - Other Index Options'!$C:$C,$A191,'BSE - Other Index Options'!$B:$B,C$147))</f>
        <v/>
      </c>
      <c r="D191" s="26" t="str">
        <f>IF(SUMIFS('BSE - SENSEX Index Options'!$L:$L,'BSE - SENSEX Index Options'!$C:$C,$A191,'BSE - SENSEX Index Options'!$B:$B,D$147)+SUMIFS('BSE - Other Index Options'!$L:$L,'BSE - Other Index Options'!$C:$C,$A191,'BSE - Other Index Options'!$B:$B,D$147)=0,"",SUMIFS('BSE - SENSEX Index Options'!$L:$L,'BSE - SENSEX Index Options'!$C:$C,$A191,'BSE - SENSEX Index Options'!$B:$B,D$147)+SUMIFS('BSE - Other Index Options'!$L:$L,'BSE - Other Index Options'!$C:$C,$A191,'BSE - Other Index Options'!$B:$B,D$147))</f>
        <v/>
      </c>
      <c r="E191" s="26" t="str">
        <f>IF(SUMIFS('BSE - SENSEX Index Options'!$L:$L,'BSE - SENSEX Index Options'!$C:$C,$A191,'BSE - SENSEX Index Options'!$B:$B,E$147)+SUMIFS('BSE - Other Index Options'!$L:$L,'BSE - Other Index Options'!$C:$C,$A191,'BSE - Other Index Options'!$B:$B,E$147)=0,"",SUMIFS('BSE - SENSEX Index Options'!$L:$L,'BSE - SENSEX Index Options'!$C:$C,$A191,'BSE - SENSEX Index Options'!$B:$B,E$147)+SUMIFS('BSE - Other Index Options'!$L:$L,'BSE - Other Index Options'!$C:$C,$A191,'BSE - Other Index Options'!$B:$B,E$147))</f>
        <v/>
      </c>
      <c r="F191" s="26">
        <f>IF(SUMIFS('BSE - SENSEX Index Options'!$L:$L,'BSE - SENSEX Index Options'!$C:$C,$A191,'BSE - SENSEX Index Options'!$B:$B,F$147)+SUMIFS('BSE - Other Index Options'!$L:$L,'BSE - Other Index Options'!$C:$C,$A191,'BSE - Other Index Options'!$B:$B,F$147)=0,"",SUMIFS('BSE - SENSEX Index Options'!$L:$L,'BSE - SENSEX Index Options'!$C:$C,$A191,'BSE - SENSEX Index Options'!$B:$B,F$147)+SUMIFS('BSE - Other Index Options'!$L:$L,'BSE - Other Index Options'!$C:$C,$A191,'BSE - Other Index Options'!$B:$B,F$147))</f>
        <v>12198.370000000003</v>
      </c>
      <c r="G191" s="26" t="str">
        <f>IF(SUMIFS('BSE - SENSEX Index Options'!$L:$L,'BSE - SENSEX Index Options'!$C:$C,$A191,'BSE - SENSEX Index Options'!$B:$B,G$147)+SUMIFS('BSE - Other Index Options'!$L:$L,'BSE - Other Index Options'!$C:$C,$A191,'BSE - Other Index Options'!$B:$B,G$147)=0,"",SUMIFS('BSE - SENSEX Index Options'!$L:$L,'BSE - SENSEX Index Options'!$C:$C,$A191,'BSE - SENSEX Index Options'!$B:$B,G$147)+SUMIFS('BSE - Other Index Options'!$L:$L,'BSE - Other Index Options'!$C:$C,$A191,'BSE - Other Index Options'!$B:$B,G$147))</f>
        <v/>
      </c>
      <c r="H191" s="26">
        <f t="shared" si="7"/>
        <v>12198.370000000003</v>
      </c>
    </row>
    <row r="192" spans="1:8">
      <c r="A192" t="s">
        <v>54</v>
      </c>
      <c r="B192" s="26">
        <f>IF(SUMIFS('BSE - SENSEX Index Options'!$L:$L,'BSE - SENSEX Index Options'!$C:$C,$A192,'BSE - SENSEX Index Options'!$B:$B,B$147)+SUMIFS('BSE - Other Index Options'!$L:$L,'BSE - Other Index Options'!$C:$C,$A192,'BSE - Other Index Options'!$B:$B,B$147)=0,"",SUMIFS('BSE - SENSEX Index Options'!$L:$L,'BSE - SENSEX Index Options'!$C:$C,$A192,'BSE - SENSEX Index Options'!$B:$B,B$147)+SUMIFS('BSE - Other Index Options'!$L:$L,'BSE - Other Index Options'!$C:$C,$A192,'BSE - Other Index Options'!$B:$B,B$147))</f>
        <v>12300.560000000001</v>
      </c>
      <c r="C192" s="26">
        <f>IF(SUMIFS('BSE - SENSEX Index Options'!$L:$L,'BSE - SENSEX Index Options'!$C:$C,$A192,'BSE - SENSEX Index Options'!$B:$B,C$147)+SUMIFS('BSE - Other Index Options'!$L:$L,'BSE - Other Index Options'!$C:$C,$A192,'BSE - Other Index Options'!$B:$B,C$147)=0,"",SUMIFS('BSE - SENSEX Index Options'!$L:$L,'BSE - SENSEX Index Options'!$C:$C,$A192,'BSE - SENSEX Index Options'!$B:$B,C$147)+SUMIFS('BSE - Other Index Options'!$L:$L,'BSE - Other Index Options'!$C:$C,$A192,'BSE - Other Index Options'!$B:$B,C$147))</f>
        <v>13567.720000000003</v>
      </c>
      <c r="D192" s="26">
        <f>IF(SUMIFS('BSE - SENSEX Index Options'!$L:$L,'BSE - SENSEX Index Options'!$C:$C,$A192,'BSE - SENSEX Index Options'!$B:$B,D$147)+SUMIFS('BSE - Other Index Options'!$L:$L,'BSE - Other Index Options'!$C:$C,$A192,'BSE - Other Index Options'!$B:$B,D$147)=0,"",SUMIFS('BSE - SENSEX Index Options'!$L:$L,'BSE - SENSEX Index Options'!$C:$C,$A192,'BSE - SENSEX Index Options'!$B:$B,D$147)+SUMIFS('BSE - Other Index Options'!$L:$L,'BSE - Other Index Options'!$C:$C,$A192,'BSE - Other Index Options'!$B:$B,D$147))</f>
        <v>56127.829999999994</v>
      </c>
      <c r="E192" s="26">
        <f>IF(SUMIFS('BSE - SENSEX Index Options'!$L:$L,'BSE - SENSEX Index Options'!$C:$C,$A192,'BSE - SENSEX Index Options'!$B:$B,E$147)+SUMIFS('BSE - Other Index Options'!$L:$L,'BSE - Other Index Options'!$C:$C,$A192,'BSE - Other Index Options'!$B:$B,E$147)=0,"",SUMIFS('BSE - SENSEX Index Options'!$L:$L,'BSE - SENSEX Index Options'!$C:$C,$A192,'BSE - SENSEX Index Options'!$B:$B,E$147)+SUMIFS('BSE - Other Index Options'!$L:$L,'BSE - Other Index Options'!$C:$C,$A192,'BSE - Other Index Options'!$B:$B,E$147))</f>
        <v>71679.859999999986</v>
      </c>
      <c r="F192" s="26">
        <f>IF(SUMIFS('BSE - SENSEX Index Options'!$L:$L,'BSE - SENSEX Index Options'!$C:$C,$A192,'BSE - SENSEX Index Options'!$B:$B,F$147)+SUMIFS('BSE - Other Index Options'!$L:$L,'BSE - Other Index Options'!$C:$C,$A192,'BSE - Other Index Options'!$B:$B,F$147)=0,"",SUMIFS('BSE - SENSEX Index Options'!$L:$L,'BSE - SENSEX Index Options'!$C:$C,$A192,'BSE - SENSEX Index Options'!$B:$B,F$147)+SUMIFS('BSE - Other Index Options'!$L:$L,'BSE - Other Index Options'!$C:$C,$A192,'BSE - Other Index Options'!$B:$B,F$147))</f>
        <v>14008.54</v>
      </c>
      <c r="G192" s="26" t="str">
        <f>IF(SUMIFS('BSE - SENSEX Index Options'!$L:$L,'BSE - SENSEX Index Options'!$C:$C,$A192,'BSE - SENSEX Index Options'!$B:$B,G$147)+SUMIFS('BSE - Other Index Options'!$L:$L,'BSE - Other Index Options'!$C:$C,$A192,'BSE - Other Index Options'!$B:$B,G$147)=0,"",SUMIFS('BSE - SENSEX Index Options'!$L:$L,'BSE - SENSEX Index Options'!$C:$C,$A192,'BSE - SENSEX Index Options'!$B:$B,G$147)+SUMIFS('BSE - Other Index Options'!$L:$L,'BSE - Other Index Options'!$C:$C,$A192,'BSE - Other Index Options'!$B:$B,G$147))</f>
        <v/>
      </c>
      <c r="H192" s="26">
        <f t="shared" si="7"/>
        <v>167684.50999999998</v>
      </c>
    </row>
    <row r="193" spans="1:8">
      <c r="A193" t="s">
        <v>55</v>
      </c>
      <c r="B193" s="26">
        <f>IF(SUMIFS('BSE - SENSEX Index Options'!$L:$L,'BSE - SENSEX Index Options'!$C:$C,$A193,'BSE - SENSEX Index Options'!$B:$B,B$147)+SUMIFS('BSE - Other Index Options'!$L:$L,'BSE - Other Index Options'!$C:$C,$A193,'BSE - Other Index Options'!$B:$B,B$147)=0,"",SUMIFS('BSE - SENSEX Index Options'!$L:$L,'BSE - SENSEX Index Options'!$C:$C,$A193,'BSE - SENSEX Index Options'!$B:$B,B$147)+SUMIFS('BSE - Other Index Options'!$L:$L,'BSE - Other Index Options'!$C:$C,$A193,'BSE - Other Index Options'!$B:$B,B$147))</f>
        <v>11394.26</v>
      </c>
      <c r="C193" s="26">
        <f>IF(SUMIFS('BSE - SENSEX Index Options'!$L:$L,'BSE - SENSEX Index Options'!$C:$C,$A193,'BSE - SENSEX Index Options'!$B:$B,C$147)+SUMIFS('BSE - Other Index Options'!$L:$L,'BSE - Other Index Options'!$C:$C,$A193,'BSE - Other Index Options'!$B:$B,C$147)=0,"",SUMIFS('BSE - SENSEX Index Options'!$L:$L,'BSE - SENSEX Index Options'!$C:$C,$A193,'BSE - SENSEX Index Options'!$B:$B,C$147)+SUMIFS('BSE - Other Index Options'!$L:$L,'BSE - Other Index Options'!$C:$C,$A193,'BSE - Other Index Options'!$B:$B,C$147))</f>
        <v>11390.59</v>
      </c>
      <c r="D193" s="26">
        <f>IF(SUMIFS('BSE - SENSEX Index Options'!$L:$L,'BSE - SENSEX Index Options'!$C:$C,$A193,'BSE - SENSEX Index Options'!$B:$B,D$147)+SUMIFS('BSE - Other Index Options'!$L:$L,'BSE - Other Index Options'!$C:$C,$A193,'BSE - Other Index Options'!$B:$B,D$147)=0,"",SUMIFS('BSE - SENSEX Index Options'!$L:$L,'BSE - SENSEX Index Options'!$C:$C,$A193,'BSE - SENSEX Index Options'!$B:$B,D$147)+SUMIFS('BSE - Other Index Options'!$L:$L,'BSE - Other Index Options'!$C:$C,$A193,'BSE - Other Index Options'!$B:$B,D$147))</f>
        <v>37691.279999999999</v>
      </c>
      <c r="E193" s="26">
        <f>IF(SUMIFS('BSE - SENSEX Index Options'!$L:$L,'BSE - SENSEX Index Options'!$C:$C,$A193,'BSE - SENSEX Index Options'!$B:$B,E$147)+SUMIFS('BSE - Other Index Options'!$L:$L,'BSE - Other Index Options'!$C:$C,$A193,'BSE - Other Index Options'!$B:$B,E$147)=0,"",SUMIFS('BSE - SENSEX Index Options'!$L:$L,'BSE - SENSEX Index Options'!$C:$C,$A193,'BSE - SENSEX Index Options'!$B:$B,E$147)+SUMIFS('BSE - Other Index Options'!$L:$L,'BSE - Other Index Options'!$C:$C,$A193,'BSE - Other Index Options'!$B:$B,E$147))</f>
        <v>65749.81</v>
      </c>
      <c r="F193" s="26">
        <f>IF(SUMIFS('BSE - SENSEX Index Options'!$L:$L,'BSE - SENSEX Index Options'!$C:$C,$A193,'BSE - SENSEX Index Options'!$B:$B,F$147)+SUMIFS('BSE - Other Index Options'!$L:$L,'BSE - Other Index Options'!$C:$C,$A193,'BSE - Other Index Options'!$B:$B,F$147)=0,"",SUMIFS('BSE - SENSEX Index Options'!$L:$L,'BSE - SENSEX Index Options'!$C:$C,$A193,'BSE - SENSEX Index Options'!$B:$B,F$147)+SUMIFS('BSE - Other Index Options'!$L:$L,'BSE - Other Index Options'!$C:$C,$A193,'BSE - Other Index Options'!$B:$B,F$147))</f>
        <v>13080.51</v>
      </c>
      <c r="G193" s="26" t="str">
        <f>IF(SUMIFS('BSE - SENSEX Index Options'!$L:$L,'BSE - SENSEX Index Options'!$C:$C,$A193,'BSE - SENSEX Index Options'!$B:$B,G$147)+SUMIFS('BSE - Other Index Options'!$L:$L,'BSE - Other Index Options'!$C:$C,$A193,'BSE - Other Index Options'!$B:$B,G$147)=0,"",SUMIFS('BSE - SENSEX Index Options'!$L:$L,'BSE - SENSEX Index Options'!$C:$C,$A193,'BSE - SENSEX Index Options'!$B:$B,G$147)+SUMIFS('BSE - Other Index Options'!$L:$L,'BSE - Other Index Options'!$C:$C,$A193,'BSE - Other Index Options'!$B:$B,G$147))</f>
        <v/>
      </c>
      <c r="H193" s="26">
        <f t="shared" si="7"/>
        <v>139306.45000000001</v>
      </c>
    </row>
    <row r="194" spans="1:8">
      <c r="A194" t="s">
        <v>56</v>
      </c>
      <c r="B194" s="26">
        <f>IF(SUMIFS('BSE - SENSEX Index Options'!$L:$L,'BSE - SENSEX Index Options'!$C:$C,$A194,'BSE - SENSEX Index Options'!$B:$B,B$147)+SUMIFS('BSE - Other Index Options'!$L:$L,'BSE - Other Index Options'!$C:$C,$A194,'BSE - Other Index Options'!$B:$B,B$147)=0,"",SUMIFS('BSE - SENSEX Index Options'!$L:$L,'BSE - SENSEX Index Options'!$C:$C,$A194,'BSE - SENSEX Index Options'!$B:$B,B$147)+SUMIFS('BSE - Other Index Options'!$L:$L,'BSE - Other Index Options'!$C:$C,$A194,'BSE - Other Index Options'!$B:$B,B$147))</f>
        <v>12080.550000000003</v>
      </c>
      <c r="C194" s="26">
        <f>IF(SUMIFS('BSE - SENSEX Index Options'!$L:$L,'BSE - SENSEX Index Options'!$C:$C,$A194,'BSE - SENSEX Index Options'!$B:$B,C$147)+SUMIFS('BSE - Other Index Options'!$L:$L,'BSE - Other Index Options'!$C:$C,$A194,'BSE - Other Index Options'!$B:$B,C$147)=0,"",SUMIFS('BSE - SENSEX Index Options'!$L:$L,'BSE - SENSEX Index Options'!$C:$C,$A194,'BSE - SENSEX Index Options'!$B:$B,C$147)+SUMIFS('BSE - Other Index Options'!$L:$L,'BSE - Other Index Options'!$C:$C,$A194,'BSE - Other Index Options'!$B:$B,C$147))</f>
        <v>9156.9599999999991</v>
      </c>
      <c r="D194" s="26">
        <f>IF(SUMIFS('BSE - SENSEX Index Options'!$L:$L,'BSE - SENSEX Index Options'!$C:$C,$A194,'BSE - SENSEX Index Options'!$B:$B,D$147)+SUMIFS('BSE - Other Index Options'!$L:$L,'BSE - Other Index Options'!$C:$C,$A194,'BSE - Other Index Options'!$B:$B,D$147)=0,"",SUMIFS('BSE - SENSEX Index Options'!$L:$L,'BSE - SENSEX Index Options'!$C:$C,$A194,'BSE - SENSEX Index Options'!$B:$B,D$147)+SUMIFS('BSE - Other Index Options'!$L:$L,'BSE - Other Index Options'!$C:$C,$A194,'BSE - Other Index Options'!$B:$B,D$147))</f>
        <v>26778.53</v>
      </c>
      <c r="E194" s="26">
        <f>IF(SUMIFS('BSE - SENSEX Index Options'!$L:$L,'BSE - SENSEX Index Options'!$C:$C,$A194,'BSE - SENSEX Index Options'!$B:$B,E$147)+SUMIFS('BSE - Other Index Options'!$L:$L,'BSE - Other Index Options'!$C:$C,$A194,'BSE - Other Index Options'!$B:$B,E$147)=0,"",SUMIFS('BSE - SENSEX Index Options'!$L:$L,'BSE - SENSEX Index Options'!$C:$C,$A194,'BSE - SENSEX Index Options'!$B:$B,E$147)+SUMIFS('BSE - Other Index Options'!$L:$L,'BSE - Other Index Options'!$C:$C,$A194,'BSE - Other Index Options'!$B:$B,E$147))</f>
        <v>48803.100000000006</v>
      </c>
      <c r="F194" s="26">
        <f>IF(SUMIFS('BSE - SENSEX Index Options'!$L:$L,'BSE - SENSEX Index Options'!$C:$C,$A194,'BSE - SENSEX Index Options'!$B:$B,F$147)+SUMIFS('BSE - Other Index Options'!$L:$L,'BSE - Other Index Options'!$C:$C,$A194,'BSE - Other Index Options'!$B:$B,F$147)=0,"",SUMIFS('BSE - SENSEX Index Options'!$L:$L,'BSE - SENSEX Index Options'!$C:$C,$A194,'BSE - SENSEX Index Options'!$B:$B,F$147)+SUMIFS('BSE - Other Index Options'!$L:$L,'BSE - Other Index Options'!$C:$C,$A194,'BSE - Other Index Options'!$B:$B,F$147))</f>
        <v>8793.19</v>
      </c>
      <c r="G194" s="26" t="str">
        <f>IF(SUMIFS('BSE - SENSEX Index Options'!$L:$L,'BSE - SENSEX Index Options'!$C:$C,$A194,'BSE - SENSEX Index Options'!$B:$B,G$147)+SUMIFS('BSE - Other Index Options'!$L:$L,'BSE - Other Index Options'!$C:$C,$A194,'BSE - Other Index Options'!$B:$B,G$147)=0,"",SUMIFS('BSE - SENSEX Index Options'!$L:$L,'BSE - SENSEX Index Options'!$C:$C,$A194,'BSE - SENSEX Index Options'!$B:$B,G$147)+SUMIFS('BSE - Other Index Options'!$L:$L,'BSE - Other Index Options'!$C:$C,$A194,'BSE - Other Index Options'!$B:$B,G$147))</f>
        <v/>
      </c>
      <c r="H194" s="26">
        <f t="shared" si="7"/>
        <v>105612.33000000002</v>
      </c>
    </row>
    <row r="195" spans="1:8">
      <c r="A195" t="s">
        <v>57</v>
      </c>
      <c r="B195" s="26">
        <f>IF(SUMIFS('BSE - SENSEX Index Options'!$L:$L,'BSE - SENSEX Index Options'!$C:$C,$A195,'BSE - SENSEX Index Options'!$B:$B,B$147)+SUMIFS('BSE - Other Index Options'!$L:$L,'BSE - Other Index Options'!$C:$C,$A195,'BSE - Other Index Options'!$B:$B,B$147)=0,"",SUMIFS('BSE - SENSEX Index Options'!$L:$L,'BSE - SENSEX Index Options'!$C:$C,$A195,'BSE - SENSEX Index Options'!$B:$B,B$147)+SUMIFS('BSE - Other Index Options'!$L:$L,'BSE - Other Index Options'!$C:$C,$A195,'BSE - Other Index Options'!$B:$B,B$147))</f>
        <v>6763.2699999999995</v>
      </c>
      <c r="C195" s="26">
        <f>IF(SUMIFS('BSE - SENSEX Index Options'!$L:$L,'BSE - SENSEX Index Options'!$C:$C,$A195,'BSE - SENSEX Index Options'!$B:$B,C$147)+SUMIFS('BSE - Other Index Options'!$L:$L,'BSE - Other Index Options'!$C:$C,$A195,'BSE - Other Index Options'!$B:$B,C$147)=0,"",SUMIFS('BSE - SENSEX Index Options'!$L:$L,'BSE - SENSEX Index Options'!$C:$C,$A195,'BSE - SENSEX Index Options'!$B:$B,C$147)+SUMIFS('BSE - Other Index Options'!$L:$L,'BSE - Other Index Options'!$C:$C,$A195,'BSE - Other Index Options'!$B:$B,C$147))</f>
        <v>11679.97</v>
      </c>
      <c r="D195" s="26">
        <f>IF(SUMIFS('BSE - SENSEX Index Options'!$L:$L,'BSE - SENSEX Index Options'!$C:$C,$A195,'BSE - SENSEX Index Options'!$B:$B,D$147)+SUMIFS('BSE - Other Index Options'!$L:$L,'BSE - Other Index Options'!$C:$C,$A195,'BSE - Other Index Options'!$B:$B,D$147)=0,"",SUMIFS('BSE - SENSEX Index Options'!$L:$L,'BSE - SENSEX Index Options'!$C:$C,$A195,'BSE - SENSEX Index Options'!$B:$B,D$147)+SUMIFS('BSE - Other Index Options'!$L:$L,'BSE - Other Index Options'!$C:$C,$A195,'BSE - Other Index Options'!$B:$B,D$147))</f>
        <v>38301.270000000011</v>
      </c>
      <c r="E195" s="26">
        <f>IF(SUMIFS('BSE - SENSEX Index Options'!$L:$L,'BSE - SENSEX Index Options'!$C:$C,$A195,'BSE - SENSEX Index Options'!$B:$B,E$147)+SUMIFS('BSE - Other Index Options'!$L:$L,'BSE - Other Index Options'!$C:$C,$A195,'BSE - Other Index Options'!$B:$B,E$147)=0,"",SUMIFS('BSE - SENSEX Index Options'!$L:$L,'BSE - SENSEX Index Options'!$C:$C,$A195,'BSE - SENSEX Index Options'!$B:$B,E$147)+SUMIFS('BSE - Other Index Options'!$L:$L,'BSE - Other Index Options'!$C:$C,$A195,'BSE - Other Index Options'!$B:$B,E$147))</f>
        <v>60683.189999999995</v>
      </c>
      <c r="F195" s="26" t="str">
        <f>IF(SUMIFS('BSE - SENSEX Index Options'!$L:$L,'BSE - SENSEX Index Options'!$C:$C,$A195,'BSE - SENSEX Index Options'!$B:$B,F$147)+SUMIFS('BSE - Other Index Options'!$L:$L,'BSE - Other Index Options'!$C:$C,$A195,'BSE - Other Index Options'!$B:$B,F$147)=0,"",SUMIFS('BSE - SENSEX Index Options'!$L:$L,'BSE - SENSEX Index Options'!$C:$C,$A195,'BSE - SENSEX Index Options'!$B:$B,F$147)+SUMIFS('BSE - Other Index Options'!$L:$L,'BSE - Other Index Options'!$C:$C,$A195,'BSE - Other Index Options'!$B:$B,F$147))</f>
        <v/>
      </c>
      <c r="G195" s="26" t="str">
        <f>IF(SUMIFS('BSE - SENSEX Index Options'!$L:$L,'BSE - SENSEX Index Options'!$C:$C,$A195,'BSE - SENSEX Index Options'!$B:$B,G$147)+SUMIFS('BSE - Other Index Options'!$L:$L,'BSE - Other Index Options'!$C:$C,$A195,'BSE - Other Index Options'!$B:$B,G$147)=0,"",SUMIFS('BSE - SENSEX Index Options'!$L:$L,'BSE - SENSEX Index Options'!$C:$C,$A195,'BSE - SENSEX Index Options'!$B:$B,G$147)+SUMIFS('BSE - Other Index Options'!$L:$L,'BSE - Other Index Options'!$C:$C,$A195,'BSE - Other Index Options'!$B:$B,G$147))</f>
        <v/>
      </c>
      <c r="H195" s="26">
        <f t="shared" si="7"/>
        <v>117427.70000000001</v>
      </c>
    </row>
    <row r="196" spans="1:8">
      <c r="A196" t="s">
        <v>58</v>
      </c>
      <c r="B196" s="26">
        <f>IF(SUMIFS('BSE - SENSEX Index Options'!$L:$L,'BSE - SENSEX Index Options'!$C:$C,$A196,'BSE - SENSEX Index Options'!$B:$B,B$147)+SUMIFS('BSE - Other Index Options'!$L:$L,'BSE - Other Index Options'!$C:$C,$A196,'BSE - Other Index Options'!$B:$B,B$147)=0,"",SUMIFS('BSE - SENSEX Index Options'!$L:$L,'BSE - SENSEX Index Options'!$C:$C,$A196,'BSE - SENSEX Index Options'!$B:$B,B$147)+SUMIFS('BSE - Other Index Options'!$L:$L,'BSE - Other Index Options'!$C:$C,$A196,'BSE - Other Index Options'!$B:$B,B$147))</f>
        <v>9933.41</v>
      </c>
      <c r="C196" s="26">
        <f>IF(SUMIFS('BSE - SENSEX Index Options'!$L:$L,'BSE - SENSEX Index Options'!$C:$C,$A196,'BSE - SENSEX Index Options'!$B:$B,C$147)+SUMIFS('BSE - Other Index Options'!$L:$L,'BSE - Other Index Options'!$C:$C,$A196,'BSE - Other Index Options'!$B:$B,C$147)=0,"",SUMIFS('BSE - SENSEX Index Options'!$L:$L,'BSE - SENSEX Index Options'!$C:$C,$A196,'BSE - SENSEX Index Options'!$B:$B,C$147)+SUMIFS('BSE - Other Index Options'!$L:$L,'BSE - Other Index Options'!$C:$C,$A196,'BSE - Other Index Options'!$B:$B,C$147))</f>
        <v>10369.490000000002</v>
      </c>
      <c r="D196" s="26" t="str">
        <f>IF(SUMIFS('BSE - SENSEX Index Options'!$L:$L,'BSE - SENSEX Index Options'!$C:$C,$A196,'BSE - SENSEX Index Options'!$B:$B,D$147)+SUMIFS('BSE - Other Index Options'!$L:$L,'BSE - Other Index Options'!$C:$C,$A196,'BSE - Other Index Options'!$B:$B,D$147)=0,"",SUMIFS('BSE - SENSEX Index Options'!$L:$L,'BSE - SENSEX Index Options'!$C:$C,$A196,'BSE - SENSEX Index Options'!$B:$B,D$147)+SUMIFS('BSE - Other Index Options'!$L:$L,'BSE - Other Index Options'!$C:$C,$A196,'BSE - Other Index Options'!$B:$B,D$147))</f>
        <v/>
      </c>
      <c r="E196" s="26" t="str">
        <f>IF(SUMIFS('BSE - SENSEX Index Options'!$L:$L,'BSE - SENSEX Index Options'!$C:$C,$A196,'BSE - SENSEX Index Options'!$B:$B,E$147)+SUMIFS('BSE - Other Index Options'!$L:$L,'BSE - Other Index Options'!$C:$C,$A196,'BSE - Other Index Options'!$B:$B,E$147)=0,"",SUMIFS('BSE - SENSEX Index Options'!$L:$L,'BSE - SENSEX Index Options'!$C:$C,$A196,'BSE - SENSEX Index Options'!$B:$B,E$147)+SUMIFS('BSE - Other Index Options'!$L:$L,'BSE - Other Index Options'!$C:$C,$A196,'BSE - Other Index Options'!$B:$B,E$147))</f>
        <v/>
      </c>
      <c r="F196" s="26" t="str">
        <f>IF(SUMIFS('BSE - SENSEX Index Options'!$L:$L,'BSE - SENSEX Index Options'!$C:$C,$A196,'BSE - SENSEX Index Options'!$B:$B,F$147)+SUMIFS('BSE - Other Index Options'!$L:$L,'BSE - Other Index Options'!$C:$C,$A196,'BSE - Other Index Options'!$B:$B,F$147)=0,"",SUMIFS('BSE - SENSEX Index Options'!$L:$L,'BSE - SENSEX Index Options'!$C:$C,$A196,'BSE - SENSEX Index Options'!$B:$B,F$147)+SUMIFS('BSE - Other Index Options'!$L:$L,'BSE - Other Index Options'!$C:$C,$A196,'BSE - Other Index Options'!$B:$B,F$147))</f>
        <v/>
      </c>
      <c r="G196" s="26" t="str">
        <f>IF(SUMIFS('BSE - SENSEX Index Options'!$L:$L,'BSE - SENSEX Index Options'!$C:$C,$A196,'BSE - SENSEX Index Options'!$B:$B,G$147)+SUMIFS('BSE - Other Index Options'!$L:$L,'BSE - Other Index Options'!$C:$C,$A196,'BSE - Other Index Options'!$B:$B,G$147)=0,"",SUMIFS('BSE - SENSEX Index Options'!$L:$L,'BSE - SENSEX Index Options'!$C:$C,$A196,'BSE - SENSEX Index Options'!$B:$B,G$147)+SUMIFS('BSE - Other Index Options'!$L:$L,'BSE - Other Index Options'!$C:$C,$A196,'BSE - Other Index Options'!$B:$B,G$147))</f>
        <v/>
      </c>
      <c r="H196" s="26">
        <f t="shared" si="7"/>
        <v>20302.900000000001</v>
      </c>
    </row>
    <row r="197" spans="1:8">
      <c r="A197" t="s">
        <v>59</v>
      </c>
      <c r="B197" s="26">
        <f>IF(SUMIFS('BSE - SENSEX Index Options'!$L:$L,'BSE - SENSEX Index Options'!$C:$C,$A197,'BSE - SENSEX Index Options'!$B:$B,B$147)+SUMIFS('BSE - Other Index Options'!$L:$L,'BSE - Other Index Options'!$C:$C,$A197,'BSE - Other Index Options'!$B:$B,B$147)=0,"",SUMIFS('BSE - SENSEX Index Options'!$L:$L,'BSE - SENSEX Index Options'!$C:$C,$A197,'BSE - SENSEX Index Options'!$B:$B,B$147)+SUMIFS('BSE - Other Index Options'!$L:$L,'BSE - Other Index Options'!$C:$C,$A197,'BSE - Other Index Options'!$B:$B,B$147))</f>
        <v>8708.01</v>
      </c>
      <c r="C197" s="26">
        <f>IF(SUMIFS('BSE - SENSEX Index Options'!$L:$L,'BSE - SENSEX Index Options'!$C:$C,$A197,'BSE - SENSEX Index Options'!$B:$B,C$147)+SUMIFS('BSE - Other Index Options'!$L:$L,'BSE - Other Index Options'!$C:$C,$A197,'BSE - Other Index Options'!$B:$B,C$147)=0,"",SUMIFS('BSE - SENSEX Index Options'!$L:$L,'BSE - SENSEX Index Options'!$C:$C,$A197,'BSE - SENSEX Index Options'!$B:$B,C$147)+SUMIFS('BSE - Other Index Options'!$L:$L,'BSE - Other Index Options'!$C:$C,$A197,'BSE - Other Index Options'!$B:$B,C$147))</f>
        <v>10159.299999999999</v>
      </c>
      <c r="D197" s="26">
        <f>IF(SUMIFS('BSE - SENSEX Index Options'!$L:$L,'BSE - SENSEX Index Options'!$C:$C,$A197,'BSE - SENSEX Index Options'!$B:$B,D$147)+SUMIFS('BSE - Other Index Options'!$L:$L,'BSE - Other Index Options'!$C:$C,$A197,'BSE - Other Index Options'!$B:$B,D$147)=0,"",SUMIFS('BSE - SENSEX Index Options'!$L:$L,'BSE - SENSEX Index Options'!$C:$C,$A197,'BSE - SENSEX Index Options'!$B:$B,D$147)+SUMIFS('BSE - Other Index Options'!$L:$L,'BSE - Other Index Options'!$C:$C,$A197,'BSE - Other Index Options'!$B:$B,D$147))</f>
        <v>35511.260000000009</v>
      </c>
      <c r="E197" s="26">
        <f>IF(SUMIFS('BSE - SENSEX Index Options'!$L:$L,'BSE - SENSEX Index Options'!$C:$C,$A197,'BSE - SENSEX Index Options'!$B:$B,E$147)+SUMIFS('BSE - Other Index Options'!$L:$L,'BSE - Other Index Options'!$C:$C,$A197,'BSE - Other Index Options'!$B:$B,E$147)=0,"",SUMIFS('BSE - SENSEX Index Options'!$L:$L,'BSE - SENSEX Index Options'!$C:$C,$A197,'BSE - SENSEX Index Options'!$B:$B,E$147)+SUMIFS('BSE - Other Index Options'!$L:$L,'BSE - Other Index Options'!$C:$C,$A197,'BSE - Other Index Options'!$B:$B,E$147))</f>
        <v>54702.130000000012</v>
      </c>
      <c r="F197" s="26">
        <f>IF(SUMIFS('BSE - SENSEX Index Options'!$L:$L,'BSE - SENSEX Index Options'!$C:$C,$A197,'BSE - SENSEX Index Options'!$B:$B,F$147)+SUMIFS('BSE - Other Index Options'!$L:$L,'BSE - Other Index Options'!$C:$C,$A197,'BSE - Other Index Options'!$B:$B,F$147)=0,"",SUMIFS('BSE - SENSEX Index Options'!$L:$L,'BSE - SENSEX Index Options'!$C:$C,$A197,'BSE - SENSEX Index Options'!$B:$B,F$147)+SUMIFS('BSE - Other Index Options'!$L:$L,'BSE - Other Index Options'!$C:$C,$A197,'BSE - Other Index Options'!$B:$B,F$147))</f>
        <v>9211.5400000000009</v>
      </c>
      <c r="G197" s="26" t="str">
        <f>IF(SUMIFS('BSE - SENSEX Index Options'!$L:$L,'BSE - SENSEX Index Options'!$C:$C,$A197,'BSE - SENSEX Index Options'!$B:$B,G$147)+SUMIFS('BSE - Other Index Options'!$L:$L,'BSE - Other Index Options'!$C:$C,$A197,'BSE - Other Index Options'!$B:$B,G$147)=0,"",SUMIFS('BSE - SENSEX Index Options'!$L:$L,'BSE - SENSEX Index Options'!$C:$C,$A197,'BSE - SENSEX Index Options'!$B:$B,G$147)+SUMIFS('BSE - Other Index Options'!$L:$L,'BSE - Other Index Options'!$C:$C,$A197,'BSE - Other Index Options'!$B:$B,G$147))</f>
        <v/>
      </c>
      <c r="H197" s="26">
        <f t="shared" si="7"/>
        <v>118292.24000000002</v>
      </c>
    </row>
    <row r="198" spans="1:8">
      <c r="A198" t="s">
        <v>60</v>
      </c>
      <c r="B198" s="26" t="str">
        <f>IF(SUMIFS('BSE - SENSEX Index Options'!$L:$L,'BSE - SENSEX Index Options'!$C:$C,$A198,'BSE - SENSEX Index Options'!$B:$B,B$147)+SUMIFS('BSE - Other Index Options'!$L:$L,'BSE - Other Index Options'!$C:$C,$A198,'BSE - Other Index Options'!$B:$B,B$147)=0,"",SUMIFS('BSE - SENSEX Index Options'!$L:$L,'BSE - SENSEX Index Options'!$C:$C,$A198,'BSE - SENSEX Index Options'!$B:$B,B$147)+SUMIFS('BSE - Other Index Options'!$L:$L,'BSE - Other Index Options'!$C:$C,$A198,'BSE - Other Index Options'!$B:$B,B$147))</f>
        <v/>
      </c>
      <c r="C198" s="26" t="str">
        <f>IF(SUMIFS('BSE - SENSEX Index Options'!$L:$L,'BSE - SENSEX Index Options'!$C:$C,$A198,'BSE - SENSEX Index Options'!$B:$B,C$147)+SUMIFS('BSE - Other Index Options'!$L:$L,'BSE - Other Index Options'!$C:$C,$A198,'BSE - Other Index Options'!$B:$B,C$147)=0,"",SUMIFS('BSE - SENSEX Index Options'!$L:$L,'BSE - SENSEX Index Options'!$C:$C,$A198,'BSE - SENSEX Index Options'!$B:$B,C$147)+SUMIFS('BSE - Other Index Options'!$L:$L,'BSE - Other Index Options'!$C:$C,$A198,'BSE - Other Index Options'!$B:$B,C$147))</f>
        <v/>
      </c>
      <c r="D198" s="26">
        <f>IF(SUMIFS('BSE - SENSEX Index Options'!$L:$L,'BSE - SENSEX Index Options'!$C:$C,$A198,'BSE - SENSEX Index Options'!$B:$B,D$147)+SUMIFS('BSE - Other Index Options'!$L:$L,'BSE - Other Index Options'!$C:$C,$A198,'BSE - Other Index Options'!$B:$B,D$147)=0,"",SUMIFS('BSE - SENSEX Index Options'!$L:$L,'BSE - SENSEX Index Options'!$C:$C,$A198,'BSE - SENSEX Index Options'!$B:$B,D$147)+SUMIFS('BSE - Other Index Options'!$L:$L,'BSE - Other Index Options'!$C:$C,$A198,'BSE - Other Index Options'!$B:$B,D$147))</f>
        <v>49937.03</v>
      </c>
      <c r="E198" s="26" t="str">
        <f>IF(SUMIFS('BSE - SENSEX Index Options'!$L:$L,'BSE - SENSEX Index Options'!$C:$C,$A198,'BSE - SENSEX Index Options'!$B:$B,E$147)+SUMIFS('BSE - Other Index Options'!$L:$L,'BSE - Other Index Options'!$C:$C,$A198,'BSE - Other Index Options'!$B:$B,E$147)=0,"",SUMIFS('BSE - SENSEX Index Options'!$L:$L,'BSE - SENSEX Index Options'!$C:$C,$A198,'BSE - SENSEX Index Options'!$B:$B,E$147)+SUMIFS('BSE - Other Index Options'!$L:$L,'BSE - Other Index Options'!$C:$C,$A198,'BSE - Other Index Options'!$B:$B,E$147))</f>
        <v/>
      </c>
      <c r="F198" s="26" t="str">
        <f>IF(SUMIFS('BSE - SENSEX Index Options'!$L:$L,'BSE - SENSEX Index Options'!$C:$C,$A198,'BSE - SENSEX Index Options'!$B:$B,F$147)+SUMIFS('BSE - Other Index Options'!$L:$L,'BSE - Other Index Options'!$C:$C,$A198,'BSE - Other Index Options'!$B:$B,F$147)=0,"",SUMIFS('BSE - SENSEX Index Options'!$L:$L,'BSE - SENSEX Index Options'!$C:$C,$A198,'BSE - SENSEX Index Options'!$B:$B,F$147)+SUMIFS('BSE - Other Index Options'!$L:$L,'BSE - Other Index Options'!$C:$C,$A198,'BSE - Other Index Options'!$B:$B,F$147))</f>
        <v/>
      </c>
      <c r="G198" s="26" t="str">
        <f>IF(SUMIFS('BSE - SENSEX Index Options'!$L:$L,'BSE - SENSEX Index Options'!$C:$C,$A198,'BSE - SENSEX Index Options'!$B:$B,G$147)+SUMIFS('BSE - Other Index Options'!$L:$L,'BSE - Other Index Options'!$C:$C,$A198,'BSE - Other Index Options'!$B:$B,G$147)=0,"",SUMIFS('BSE - SENSEX Index Options'!$L:$L,'BSE - SENSEX Index Options'!$C:$C,$A198,'BSE - SENSEX Index Options'!$B:$B,G$147)+SUMIFS('BSE - Other Index Options'!$L:$L,'BSE - Other Index Options'!$C:$C,$A198,'BSE - Other Index Options'!$B:$B,G$147))</f>
        <v/>
      </c>
      <c r="H198" s="26">
        <f t="shared" si="7"/>
        <v>49937.03</v>
      </c>
    </row>
    <row r="199" spans="1:8">
      <c r="A199" t="s">
        <v>61</v>
      </c>
      <c r="B199" s="26" t="str">
        <f>IF(SUMIFS('BSE - SENSEX Index Options'!$L:$L,'BSE - SENSEX Index Options'!$C:$C,$A199,'BSE - SENSEX Index Options'!$B:$B,B$147)+SUMIFS('BSE - Other Index Options'!$L:$L,'BSE - Other Index Options'!$C:$C,$A199,'BSE - Other Index Options'!$B:$B,B$147)=0,"",SUMIFS('BSE - SENSEX Index Options'!$L:$L,'BSE - SENSEX Index Options'!$C:$C,$A199,'BSE - SENSEX Index Options'!$B:$B,B$147)+SUMIFS('BSE - Other Index Options'!$L:$L,'BSE - Other Index Options'!$C:$C,$A199,'BSE - Other Index Options'!$B:$B,B$147))</f>
        <v/>
      </c>
      <c r="C199" s="26" t="str">
        <f>IF(SUMIFS('BSE - SENSEX Index Options'!$L:$L,'BSE - SENSEX Index Options'!$C:$C,$A199,'BSE - SENSEX Index Options'!$B:$B,C$147)+SUMIFS('BSE - Other Index Options'!$L:$L,'BSE - Other Index Options'!$C:$C,$A199,'BSE - Other Index Options'!$B:$B,C$147)=0,"",SUMIFS('BSE - SENSEX Index Options'!$L:$L,'BSE - SENSEX Index Options'!$C:$C,$A199,'BSE - SENSEX Index Options'!$B:$B,C$147)+SUMIFS('BSE - Other Index Options'!$L:$L,'BSE - Other Index Options'!$C:$C,$A199,'BSE - Other Index Options'!$B:$B,C$147))</f>
        <v/>
      </c>
      <c r="D199" s="26" t="str">
        <f>IF(SUMIFS('BSE - SENSEX Index Options'!$L:$L,'BSE - SENSEX Index Options'!$C:$C,$A199,'BSE - SENSEX Index Options'!$B:$B,D$147)+SUMIFS('BSE - Other Index Options'!$L:$L,'BSE - Other Index Options'!$C:$C,$A199,'BSE - Other Index Options'!$B:$B,D$147)=0,"",SUMIFS('BSE - SENSEX Index Options'!$L:$L,'BSE - SENSEX Index Options'!$C:$C,$A199,'BSE - SENSEX Index Options'!$B:$B,D$147)+SUMIFS('BSE - Other Index Options'!$L:$L,'BSE - Other Index Options'!$C:$C,$A199,'BSE - Other Index Options'!$B:$B,D$147))</f>
        <v/>
      </c>
      <c r="E199" s="26" t="str">
        <f>IF(SUMIFS('BSE - SENSEX Index Options'!$L:$L,'BSE - SENSEX Index Options'!$C:$C,$A199,'BSE - SENSEX Index Options'!$B:$B,E$147)+SUMIFS('BSE - Other Index Options'!$L:$L,'BSE - Other Index Options'!$C:$C,$A199,'BSE - Other Index Options'!$B:$B,E$147)=0,"",SUMIFS('BSE - SENSEX Index Options'!$L:$L,'BSE - SENSEX Index Options'!$C:$C,$A199,'BSE - SENSEX Index Options'!$B:$B,E$147)+SUMIFS('BSE - Other Index Options'!$L:$L,'BSE - Other Index Options'!$C:$C,$A199,'BSE - Other Index Options'!$B:$B,E$147))</f>
        <v/>
      </c>
      <c r="F199" s="26" t="str">
        <f>IF(SUMIFS('BSE - SENSEX Index Options'!$L:$L,'BSE - SENSEX Index Options'!$C:$C,$A199,'BSE - SENSEX Index Options'!$B:$B,F$147)+SUMIFS('BSE - Other Index Options'!$L:$L,'BSE - Other Index Options'!$C:$C,$A199,'BSE - Other Index Options'!$B:$B,F$147)=0,"",SUMIFS('BSE - SENSEX Index Options'!$L:$L,'BSE - SENSEX Index Options'!$C:$C,$A199,'BSE - SENSEX Index Options'!$B:$B,F$147)+SUMIFS('BSE - Other Index Options'!$L:$L,'BSE - Other Index Options'!$C:$C,$A199,'BSE - Other Index Options'!$B:$B,F$147))</f>
        <v/>
      </c>
      <c r="G199" s="26" t="str">
        <f>IF(SUMIFS('BSE - SENSEX Index Options'!$L:$L,'BSE - SENSEX Index Options'!$C:$C,$A199,'BSE - SENSEX Index Options'!$B:$B,G$147)+SUMIFS('BSE - Other Index Options'!$L:$L,'BSE - Other Index Options'!$C:$C,$A199,'BSE - Other Index Options'!$B:$B,G$147)=0,"",SUMIFS('BSE - SENSEX Index Options'!$L:$L,'BSE - SENSEX Index Options'!$C:$C,$A199,'BSE - SENSEX Index Options'!$B:$B,G$147)+SUMIFS('BSE - Other Index Options'!$L:$L,'BSE - Other Index Options'!$C:$C,$A199,'BSE - Other Index Options'!$B:$B,G$147))</f>
        <v/>
      </c>
      <c r="H199" s="26" t="str">
        <f t="shared" si="7"/>
        <v/>
      </c>
    </row>
    <row r="200" spans="1:8">
      <c r="A200" t="s">
        <v>62</v>
      </c>
      <c r="B200" s="26" t="str">
        <f>IF(SUMIFS('BSE - SENSEX Index Options'!$L:$L,'BSE - SENSEX Index Options'!$C:$C,$A200,'BSE - SENSEX Index Options'!$B:$B,B$147)+SUMIFS('BSE - Other Index Options'!$L:$L,'BSE - Other Index Options'!$C:$C,$A200,'BSE - Other Index Options'!$B:$B,B$147)=0,"",SUMIFS('BSE - SENSEX Index Options'!$L:$L,'BSE - SENSEX Index Options'!$C:$C,$A200,'BSE - SENSEX Index Options'!$B:$B,B$147)+SUMIFS('BSE - Other Index Options'!$L:$L,'BSE - Other Index Options'!$C:$C,$A200,'BSE - Other Index Options'!$B:$B,B$147))</f>
        <v/>
      </c>
      <c r="C200" s="26" t="str">
        <f>IF(SUMIFS('BSE - SENSEX Index Options'!$L:$L,'BSE - SENSEX Index Options'!$C:$C,$A200,'BSE - SENSEX Index Options'!$B:$B,C$147)+SUMIFS('BSE - Other Index Options'!$L:$L,'BSE - Other Index Options'!$C:$C,$A200,'BSE - Other Index Options'!$B:$B,C$147)=0,"",SUMIFS('BSE - SENSEX Index Options'!$L:$L,'BSE - SENSEX Index Options'!$C:$C,$A200,'BSE - SENSEX Index Options'!$B:$B,C$147)+SUMIFS('BSE - Other Index Options'!$L:$L,'BSE - Other Index Options'!$C:$C,$A200,'BSE - Other Index Options'!$B:$B,C$147))</f>
        <v/>
      </c>
      <c r="D200" s="26" t="str">
        <f>IF(SUMIFS('BSE - SENSEX Index Options'!$L:$L,'BSE - SENSEX Index Options'!$C:$C,$A200,'BSE - SENSEX Index Options'!$B:$B,D$147)+SUMIFS('BSE - Other Index Options'!$L:$L,'BSE - Other Index Options'!$C:$C,$A200,'BSE - Other Index Options'!$B:$B,D$147)=0,"",SUMIFS('BSE - SENSEX Index Options'!$L:$L,'BSE - SENSEX Index Options'!$C:$C,$A200,'BSE - SENSEX Index Options'!$B:$B,D$147)+SUMIFS('BSE - Other Index Options'!$L:$L,'BSE - Other Index Options'!$C:$C,$A200,'BSE - Other Index Options'!$B:$B,D$147))</f>
        <v/>
      </c>
      <c r="E200" s="26" t="str">
        <f>IF(SUMIFS('BSE - SENSEX Index Options'!$L:$L,'BSE - SENSEX Index Options'!$C:$C,$A200,'BSE - SENSEX Index Options'!$B:$B,E$147)+SUMIFS('BSE - Other Index Options'!$L:$L,'BSE - Other Index Options'!$C:$C,$A200,'BSE - Other Index Options'!$B:$B,E$147)=0,"",SUMIFS('BSE - SENSEX Index Options'!$L:$L,'BSE - SENSEX Index Options'!$C:$C,$A200,'BSE - SENSEX Index Options'!$B:$B,E$147)+SUMIFS('BSE - Other Index Options'!$L:$L,'BSE - Other Index Options'!$C:$C,$A200,'BSE - Other Index Options'!$B:$B,E$147))</f>
        <v/>
      </c>
      <c r="F200" s="26" t="str">
        <f>IF(SUMIFS('BSE - SENSEX Index Options'!$L:$L,'BSE - SENSEX Index Options'!$C:$C,$A200,'BSE - SENSEX Index Options'!$B:$B,F$147)+SUMIFS('BSE - Other Index Options'!$L:$L,'BSE - Other Index Options'!$C:$C,$A200,'BSE - Other Index Options'!$B:$B,F$147)=0,"",SUMIFS('BSE - SENSEX Index Options'!$L:$L,'BSE - SENSEX Index Options'!$C:$C,$A200,'BSE - SENSEX Index Options'!$B:$B,F$147)+SUMIFS('BSE - Other Index Options'!$L:$L,'BSE - Other Index Options'!$C:$C,$A200,'BSE - Other Index Options'!$B:$B,F$147))</f>
        <v/>
      </c>
      <c r="G200" s="26" t="str">
        <f>IF(SUMIFS('BSE - SENSEX Index Options'!$L:$L,'BSE - SENSEX Index Options'!$C:$C,$A200,'BSE - SENSEX Index Options'!$B:$B,G$147)+SUMIFS('BSE - Other Index Options'!$L:$L,'BSE - Other Index Options'!$C:$C,$A200,'BSE - Other Index Options'!$B:$B,G$147)=0,"",SUMIFS('BSE - SENSEX Index Options'!$L:$L,'BSE - SENSEX Index Options'!$C:$C,$A200,'BSE - SENSEX Index Options'!$B:$B,G$147)+SUMIFS('BSE - Other Index Options'!$L:$L,'BSE - Other Index Options'!$C:$C,$A200,'BSE - Other Index Options'!$B:$B,G$147))</f>
        <v/>
      </c>
      <c r="H200" s="26" t="str">
        <f t="shared" si="7"/>
        <v/>
      </c>
    </row>
    <row r="201" spans="1:8">
      <c r="A201" t="s">
        <v>63</v>
      </c>
      <c r="B201" s="26" t="str">
        <f>IF(SUMIFS('BSE - SENSEX Index Options'!$L:$L,'BSE - SENSEX Index Options'!$C:$C,$A201,'BSE - SENSEX Index Options'!$B:$B,B$147)+SUMIFS('BSE - Other Index Options'!$L:$L,'BSE - Other Index Options'!$C:$C,$A201,'BSE - Other Index Options'!$B:$B,B$147)=0,"",SUMIFS('BSE - SENSEX Index Options'!$L:$L,'BSE - SENSEX Index Options'!$C:$C,$A201,'BSE - SENSEX Index Options'!$B:$B,B$147)+SUMIFS('BSE - Other Index Options'!$L:$L,'BSE - Other Index Options'!$C:$C,$A201,'BSE - Other Index Options'!$B:$B,B$147))</f>
        <v/>
      </c>
      <c r="C201" s="26" t="str">
        <f>IF(SUMIFS('BSE - SENSEX Index Options'!$L:$L,'BSE - SENSEX Index Options'!$C:$C,$A201,'BSE - SENSEX Index Options'!$B:$B,C$147)+SUMIFS('BSE - Other Index Options'!$L:$L,'BSE - Other Index Options'!$C:$C,$A201,'BSE - Other Index Options'!$B:$B,C$147)=0,"",SUMIFS('BSE - SENSEX Index Options'!$L:$L,'BSE - SENSEX Index Options'!$C:$C,$A201,'BSE - SENSEX Index Options'!$B:$B,C$147)+SUMIFS('BSE - Other Index Options'!$L:$L,'BSE - Other Index Options'!$C:$C,$A201,'BSE - Other Index Options'!$B:$B,C$147))</f>
        <v/>
      </c>
      <c r="D201" s="26" t="str">
        <f>IF(SUMIFS('BSE - SENSEX Index Options'!$L:$L,'BSE - SENSEX Index Options'!$C:$C,$A201,'BSE - SENSEX Index Options'!$B:$B,D$147)+SUMIFS('BSE - Other Index Options'!$L:$L,'BSE - Other Index Options'!$C:$C,$A201,'BSE - Other Index Options'!$B:$B,D$147)=0,"",SUMIFS('BSE - SENSEX Index Options'!$L:$L,'BSE - SENSEX Index Options'!$C:$C,$A201,'BSE - SENSEX Index Options'!$B:$B,D$147)+SUMIFS('BSE - Other Index Options'!$L:$L,'BSE - Other Index Options'!$C:$C,$A201,'BSE - Other Index Options'!$B:$B,D$147))</f>
        <v/>
      </c>
      <c r="E201" s="26" t="str">
        <f>IF(SUMIFS('BSE - SENSEX Index Options'!$L:$L,'BSE - SENSEX Index Options'!$C:$C,$A201,'BSE - SENSEX Index Options'!$B:$B,E$147)+SUMIFS('BSE - Other Index Options'!$L:$L,'BSE - Other Index Options'!$C:$C,$A201,'BSE - Other Index Options'!$B:$B,E$147)=0,"",SUMIFS('BSE - SENSEX Index Options'!$L:$L,'BSE - SENSEX Index Options'!$C:$C,$A201,'BSE - SENSEX Index Options'!$B:$B,E$147)+SUMIFS('BSE - Other Index Options'!$L:$L,'BSE - Other Index Options'!$C:$C,$A201,'BSE - Other Index Options'!$B:$B,E$147))</f>
        <v/>
      </c>
      <c r="F201" s="26" t="str">
        <f>IF(SUMIFS('BSE - SENSEX Index Options'!$L:$L,'BSE - SENSEX Index Options'!$C:$C,$A201,'BSE - SENSEX Index Options'!$B:$B,F$147)+SUMIFS('BSE - Other Index Options'!$L:$L,'BSE - Other Index Options'!$C:$C,$A201,'BSE - Other Index Options'!$B:$B,F$147)=0,"",SUMIFS('BSE - SENSEX Index Options'!$L:$L,'BSE - SENSEX Index Options'!$C:$C,$A201,'BSE - SENSEX Index Options'!$B:$B,F$147)+SUMIFS('BSE - Other Index Options'!$L:$L,'BSE - Other Index Options'!$C:$C,$A201,'BSE - Other Index Options'!$B:$B,F$147))</f>
        <v/>
      </c>
      <c r="G201" s="26" t="str">
        <f>IF(SUMIFS('BSE - SENSEX Index Options'!$L:$L,'BSE - SENSEX Index Options'!$C:$C,$A201,'BSE - SENSEX Index Options'!$B:$B,G$147)+SUMIFS('BSE - Other Index Options'!$L:$L,'BSE - Other Index Options'!$C:$C,$A201,'BSE - Other Index Options'!$B:$B,G$147)=0,"",SUMIFS('BSE - SENSEX Index Options'!$L:$L,'BSE - SENSEX Index Options'!$C:$C,$A201,'BSE - SENSEX Index Options'!$B:$B,G$147)+SUMIFS('BSE - Other Index Options'!$L:$L,'BSE - Other Index Options'!$C:$C,$A201,'BSE - Other Index Options'!$B:$B,G$147))</f>
        <v/>
      </c>
      <c r="H201" s="26" t="str">
        <f t="shared" si="7"/>
        <v/>
      </c>
    </row>
    <row r="202" spans="1:8" hidden="1" outlineLevel="1">
      <c r="A202" t="s">
        <v>64</v>
      </c>
      <c r="B202" s="26" t="str">
        <f>IF(SUMIFS('BSE - SENSEX Index Options'!$L:$L,'BSE - SENSEX Index Options'!$C:$C,$A202,'BSE - SENSEX Index Options'!$B:$B,B$147)+SUMIFS('BSE - Other Index Options'!$L:$L,'BSE - Other Index Options'!$C:$C,$A202,'BSE - Other Index Options'!$B:$B,B$147)=0,"",SUMIFS('BSE - SENSEX Index Options'!$L:$L,'BSE - SENSEX Index Options'!$C:$C,$A202,'BSE - SENSEX Index Options'!$B:$B,B$147)+SUMIFS('BSE - Other Index Options'!$L:$L,'BSE - Other Index Options'!$C:$C,$A202,'BSE - Other Index Options'!$B:$B,B$147))</f>
        <v/>
      </c>
      <c r="C202" s="26" t="str">
        <f>IF(SUMIFS('BSE - SENSEX Index Options'!$L:$L,'BSE - SENSEX Index Options'!$C:$C,$A202,'BSE - SENSEX Index Options'!$B:$B,C$147)+SUMIFS('BSE - Other Index Options'!$L:$L,'BSE - Other Index Options'!$C:$C,$A202,'BSE - Other Index Options'!$B:$B,C$147)=0,"",SUMIFS('BSE - SENSEX Index Options'!$L:$L,'BSE - SENSEX Index Options'!$C:$C,$A202,'BSE - SENSEX Index Options'!$B:$B,C$147)+SUMIFS('BSE - Other Index Options'!$L:$L,'BSE - Other Index Options'!$C:$C,$A202,'BSE - Other Index Options'!$B:$B,C$147))</f>
        <v/>
      </c>
      <c r="D202" s="26" t="str">
        <f>IF(SUMIFS('BSE - SENSEX Index Options'!$L:$L,'BSE - SENSEX Index Options'!$C:$C,$A202,'BSE - SENSEX Index Options'!$B:$B,D$147)+SUMIFS('BSE - Other Index Options'!$L:$L,'BSE - Other Index Options'!$C:$C,$A202,'BSE - Other Index Options'!$B:$B,D$147)=0,"",SUMIFS('BSE - SENSEX Index Options'!$L:$L,'BSE - SENSEX Index Options'!$C:$C,$A202,'BSE - SENSEX Index Options'!$B:$B,D$147)+SUMIFS('BSE - Other Index Options'!$L:$L,'BSE - Other Index Options'!$C:$C,$A202,'BSE - Other Index Options'!$B:$B,D$147))</f>
        <v/>
      </c>
      <c r="E202" s="26" t="str">
        <f>IF(SUMIFS('BSE - SENSEX Index Options'!$L:$L,'BSE - SENSEX Index Options'!$C:$C,$A202,'BSE - SENSEX Index Options'!$B:$B,E$147)+SUMIFS('BSE - Other Index Options'!$L:$L,'BSE - Other Index Options'!$C:$C,$A202,'BSE - Other Index Options'!$B:$B,E$147)=0,"",SUMIFS('BSE - SENSEX Index Options'!$L:$L,'BSE - SENSEX Index Options'!$C:$C,$A202,'BSE - SENSEX Index Options'!$B:$B,E$147)+SUMIFS('BSE - Other Index Options'!$L:$L,'BSE - Other Index Options'!$C:$C,$A202,'BSE - Other Index Options'!$B:$B,E$147))</f>
        <v/>
      </c>
      <c r="F202" s="26" t="str">
        <f>IF(SUMIFS('BSE - SENSEX Index Options'!$L:$L,'BSE - SENSEX Index Options'!$C:$C,$A202,'BSE - SENSEX Index Options'!$B:$B,F$147)+SUMIFS('BSE - Other Index Options'!$L:$L,'BSE - Other Index Options'!$C:$C,$A202,'BSE - Other Index Options'!$B:$B,F$147)=0,"",SUMIFS('BSE - SENSEX Index Options'!$L:$L,'BSE - SENSEX Index Options'!$C:$C,$A202,'BSE - SENSEX Index Options'!$B:$B,F$147)+SUMIFS('BSE - Other Index Options'!$L:$L,'BSE - Other Index Options'!$C:$C,$A202,'BSE - Other Index Options'!$B:$B,F$147))</f>
        <v/>
      </c>
      <c r="G202" s="26" t="str">
        <f>IF(SUMIFS('BSE - SENSEX Index Options'!$L:$L,'BSE - SENSEX Index Options'!$C:$C,$A202,'BSE - SENSEX Index Options'!$B:$B,G$147)+SUMIFS('BSE - Other Index Options'!$L:$L,'BSE - Other Index Options'!$C:$C,$A202,'BSE - Other Index Options'!$B:$B,G$147)=0,"",SUMIFS('BSE - SENSEX Index Options'!$L:$L,'BSE - SENSEX Index Options'!$C:$C,$A202,'BSE - SENSEX Index Options'!$B:$B,G$147)+SUMIFS('BSE - Other Index Options'!$L:$L,'BSE - Other Index Options'!$C:$C,$A202,'BSE - Other Index Options'!$B:$B,G$147))</f>
        <v/>
      </c>
      <c r="H202" s="26" t="str">
        <f t="shared" si="7"/>
        <v/>
      </c>
    </row>
    <row r="203" spans="1:8" hidden="1" outlineLevel="1">
      <c r="A203" t="s">
        <v>65</v>
      </c>
      <c r="B203" s="26" t="str">
        <f>IF(SUMIFS('BSE - SENSEX Index Options'!$L:$L,'BSE - SENSEX Index Options'!$C:$C,$A203,'BSE - SENSEX Index Options'!$B:$B,B$147)+SUMIFS('BSE - Other Index Options'!$L:$L,'BSE - Other Index Options'!$C:$C,$A203,'BSE - Other Index Options'!$B:$B,B$147)=0,"",SUMIFS('BSE - SENSEX Index Options'!$L:$L,'BSE - SENSEX Index Options'!$C:$C,$A203,'BSE - SENSEX Index Options'!$B:$B,B$147)+SUMIFS('BSE - Other Index Options'!$L:$L,'BSE - Other Index Options'!$C:$C,$A203,'BSE - Other Index Options'!$B:$B,B$147))</f>
        <v/>
      </c>
      <c r="C203" s="26" t="str">
        <f>IF(SUMIFS('BSE - SENSEX Index Options'!$L:$L,'BSE - SENSEX Index Options'!$C:$C,$A203,'BSE - SENSEX Index Options'!$B:$B,C$147)+SUMIFS('BSE - Other Index Options'!$L:$L,'BSE - Other Index Options'!$C:$C,$A203,'BSE - Other Index Options'!$B:$B,C$147)=0,"",SUMIFS('BSE - SENSEX Index Options'!$L:$L,'BSE - SENSEX Index Options'!$C:$C,$A203,'BSE - SENSEX Index Options'!$B:$B,C$147)+SUMIFS('BSE - Other Index Options'!$L:$L,'BSE - Other Index Options'!$C:$C,$A203,'BSE - Other Index Options'!$B:$B,C$147))</f>
        <v/>
      </c>
      <c r="D203" s="26" t="str">
        <f>IF(SUMIFS('BSE - SENSEX Index Options'!$L:$L,'BSE - SENSEX Index Options'!$C:$C,$A203,'BSE - SENSEX Index Options'!$B:$B,D$147)+SUMIFS('BSE - Other Index Options'!$L:$L,'BSE - Other Index Options'!$C:$C,$A203,'BSE - Other Index Options'!$B:$B,D$147)=0,"",SUMIFS('BSE - SENSEX Index Options'!$L:$L,'BSE - SENSEX Index Options'!$C:$C,$A203,'BSE - SENSEX Index Options'!$B:$B,D$147)+SUMIFS('BSE - Other Index Options'!$L:$L,'BSE - Other Index Options'!$C:$C,$A203,'BSE - Other Index Options'!$B:$B,D$147))</f>
        <v/>
      </c>
      <c r="E203" s="26" t="str">
        <f>IF(SUMIFS('BSE - SENSEX Index Options'!$L:$L,'BSE - SENSEX Index Options'!$C:$C,$A203,'BSE - SENSEX Index Options'!$B:$B,E$147)+SUMIFS('BSE - Other Index Options'!$L:$L,'BSE - Other Index Options'!$C:$C,$A203,'BSE - Other Index Options'!$B:$B,E$147)=0,"",SUMIFS('BSE - SENSEX Index Options'!$L:$L,'BSE - SENSEX Index Options'!$C:$C,$A203,'BSE - SENSEX Index Options'!$B:$B,E$147)+SUMIFS('BSE - Other Index Options'!$L:$L,'BSE - Other Index Options'!$C:$C,$A203,'BSE - Other Index Options'!$B:$B,E$147))</f>
        <v/>
      </c>
      <c r="F203" s="26" t="str">
        <f>IF(SUMIFS('BSE - SENSEX Index Options'!$L:$L,'BSE - SENSEX Index Options'!$C:$C,$A203,'BSE - SENSEX Index Options'!$B:$B,F$147)+SUMIFS('BSE - Other Index Options'!$L:$L,'BSE - Other Index Options'!$C:$C,$A203,'BSE - Other Index Options'!$B:$B,F$147)=0,"",SUMIFS('BSE - SENSEX Index Options'!$L:$L,'BSE - SENSEX Index Options'!$C:$C,$A203,'BSE - SENSEX Index Options'!$B:$B,F$147)+SUMIFS('BSE - Other Index Options'!$L:$L,'BSE - Other Index Options'!$C:$C,$A203,'BSE - Other Index Options'!$B:$B,F$147))</f>
        <v/>
      </c>
      <c r="G203" s="26" t="str">
        <f>IF(SUMIFS('BSE - SENSEX Index Options'!$L:$L,'BSE - SENSEX Index Options'!$C:$C,$A203,'BSE - SENSEX Index Options'!$B:$B,G$147)+SUMIFS('BSE - Other Index Options'!$L:$L,'BSE - Other Index Options'!$C:$C,$A203,'BSE - Other Index Options'!$B:$B,G$147)=0,"",SUMIFS('BSE - SENSEX Index Options'!$L:$L,'BSE - SENSEX Index Options'!$C:$C,$A203,'BSE - SENSEX Index Options'!$B:$B,G$147)+SUMIFS('BSE - Other Index Options'!$L:$L,'BSE - Other Index Options'!$C:$C,$A203,'BSE - Other Index Options'!$B:$B,G$147))</f>
        <v/>
      </c>
      <c r="H203" s="26" t="str">
        <f t="shared" si="7"/>
        <v/>
      </c>
    </row>
    <row r="204" spans="1:8" hidden="1" outlineLevel="1">
      <c r="A204" t="s">
        <v>66</v>
      </c>
      <c r="B204" s="26" t="str">
        <f>IF(SUMIFS('BSE - SENSEX Index Options'!$L:$L,'BSE - SENSEX Index Options'!$C:$C,$A204,'BSE - SENSEX Index Options'!$B:$B,B$147)+SUMIFS('BSE - Other Index Options'!$L:$L,'BSE - Other Index Options'!$C:$C,$A204,'BSE - Other Index Options'!$B:$B,B$147)=0,"",SUMIFS('BSE - SENSEX Index Options'!$L:$L,'BSE - SENSEX Index Options'!$C:$C,$A204,'BSE - SENSEX Index Options'!$B:$B,B$147)+SUMIFS('BSE - Other Index Options'!$L:$L,'BSE - Other Index Options'!$C:$C,$A204,'BSE - Other Index Options'!$B:$B,B$147))</f>
        <v/>
      </c>
      <c r="C204" s="26" t="str">
        <f>IF(SUMIFS('BSE - SENSEX Index Options'!$L:$L,'BSE - SENSEX Index Options'!$C:$C,$A204,'BSE - SENSEX Index Options'!$B:$B,C$147)+SUMIFS('BSE - Other Index Options'!$L:$L,'BSE - Other Index Options'!$C:$C,$A204,'BSE - Other Index Options'!$B:$B,C$147)=0,"",SUMIFS('BSE - SENSEX Index Options'!$L:$L,'BSE - SENSEX Index Options'!$C:$C,$A204,'BSE - SENSEX Index Options'!$B:$B,C$147)+SUMIFS('BSE - Other Index Options'!$L:$L,'BSE - Other Index Options'!$C:$C,$A204,'BSE - Other Index Options'!$B:$B,C$147))</f>
        <v/>
      </c>
      <c r="D204" s="26" t="str">
        <f>IF(SUMIFS('BSE - SENSEX Index Options'!$L:$L,'BSE - SENSEX Index Options'!$C:$C,$A204,'BSE - SENSEX Index Options'!$B:$B,D$147)+SUMIFS('BSE - Other Index Options'!$L:$L,'BSE - Other Index Options'!$C:$C,$A204,'BSE - Other Index Options'!$B:$B,D$147)=0,"",SUMIFS('BSE - SENSEX Index Options'!$L:$L,'BSE - SENSEX Index Options'!$C:$C,$A204,'BSE - SENSEX Index Options'!$B:$B,D$147)+SUMIFS('BSE - Other Index Options'!$L:$L,'BSE - Other Index Options'!$C:$C,$A204,'BSE - Other Index Options'!$B:$B,D$147))</f>
        <v/>
      </c>
      <c r="E204" s="26" t="str">
        <f>IF(SUMIFS('BSE - SENSEX Index Options'!$L:$L,'BSE - SENSEX Index Options'!$C:$C,$A204,'BSE - SENSEX Index Options'!$B:$B,E$147)+SUMIFS('BSE - Other Index Options'!$L:$L,'BSE - Other Index Options'!$C:$C,$A204,'BSE - Other Index Options'!$B:$B,E$147)=0,"",SUMIFS('BSE - SENSEX Index Options'!$L:$L,'BSE - SENSEX Index Options'!$C:$C,$A204,'BSE - SENSEX Index Options'!$B:$B,E$147)+SUMIFS('BSE - Other Index Options'!$L:$L,'BSE - Other Index Options'!$C:$C,$A204,'BSE - Other Index Options'!$B:$B,E$147))</f>
        <v/>
      </c>
      <c r="F204" s="26" t="str">
        <f>IF(SUMIFS('BSE - SENSEX Index Options'!$L:$L,'BSE - SENSEX Index Options'!$C:$C,$A204,'BSE - SENSEX Index Options'!$B:$B,F$147)+SUMIFS('BSE - Other Index Options'!$L:$L,'BSE - Other Index Options'!$C:$C,$A204,'BSE - Other Index Options'!$B:$B,F$147)=0,"",SUMIFS('BSE - SENSEX Index Options'!$L:$L,'BSE - SENSEX Index Options'!$C:$C,$A204,'BSE - SENSEX Index Options'!$B:$B,F$147)+SUMIFS('BSE - Other Index Options'!$L:$L,'BSE - Other Index Options'!$C:$C,$A204,'BSE - Other Index Options'!$B:$B,F$147))</f>
        <v/>
      </c>
      <c r="G204" s="26" t="str">
        <f>IF(SUMIFS('BSE - SENSEX Index Options'!$L:$L,'BSE - SENSEX Index Options'!$C:$C,$A204,'BSE - SENSEX Index Options'!$B:$B,G$147)+SUMIFS('BSE - Other Index Options'!$L:$L,'BSE - Other Index Options'!$C:$C,$A204,'BSE - Other Index Options'!$B:$B,G$147)=0,"",SUMIFS('BSE - SENSEX Index Options'!$L:$L,'BSE - SENSEX Index Options'!$C:$C,$A204,'BSE - SENSEX Index Options'!$B:$B,G$147)+SUMIFS('BSE - Other Index Options'!$L:$L,'BSE - Other Index Options'!$C:$C,$A204,'BSE - Other Index Options'!$B:$B,G$147))</f>
        <v/>
      </c>
      <c r="H204" s="26" t="str">
        <f t="shared" si="7"/>
        <v/>
      </c>
    </row>
    <row r="205" spans="1:8" hidden="1" outlineLevel="1">
      <c r="A205" t="s">
        <v>67</v>
      </c>
      <c r="B205" s="26" t="str">
        <f>IF(SUMIFS('BSE - SENSEX Index Options'!$L:$L,'BSE - SENSEX Index Options'!$C:$C,$A205,'BSE - SENSEX Index Options'!$B:$B,B$147)+SUMIFS('BSE - Other Index Options'!$L:$L,'BSE - Other Index Options'!$C:$C,$A205,'BSE - Other Index Options'!$B:$B,B$147)=0,"",SUMIFS('BSE - SENSEX Index Options'!$L:$L,'BSE - SENSEX Index Options'!$C:$C,$A205,'BSE - SENSEX Index Options'!$B:$B,B$147)+SUMIFS('BSE - Other Index Options'!$L:$L,'BSE - Other Index Options'!$C:$C,$A205,'BSE - Other Index Options'!$B:$B,B$147))</f>
        <v/>
      </c>
      <c r="C205" s="26" t="str">
        <f>IF(SUMIFS('BSE - SENSEX Index Options'!$L:$L,'BSE - SENSEX Index Options'!$C:$C,$A205,'BSE - SENSEX Index Options'!$B:$B,C$147)+SUMIFS('BSE - Other Index Options'!$L:$L,'BSE - Other Index Options'!$C:$C,$A205,'BSE - Other Index Options'!$B:$B,C$147)=0,"",SUMIFS('BSE - SENSEX Index Options'!$L:$L,'BSE - SENSEX Index Options'!$C:$C,$A205,'BSE - SENSEX Index Options'!$B:$B,C$147)+SUMIFS('BSE - Other Index Options'!$L:$L,'BSE - Other Index Options'!$C:$C,$A205,'BSE - Other Index Options'!$B:$B,C$147))</f>
        <v/>
      </c>
      <c r="D205" s="26" t="str">
        <f>IF(SUMIFS('BSE - SENSEX Index Options'!$L:$L,'BSE - SENSEX Index Options'!$C:$C,$A205,'BSE - SENSEX Index Options'!$B:$B,D$147)+SUMIFS('BSE - Other Index Options'!$L:$L,'BSE - Other Index Options'!$C:$C,$A205,'BSE - Other Index Options'!$B:$B,D$147)=0,"",SUMIFS('BSE - SENSEX Index Options'!$L:$L,'BSE - SENSEX Index Options'!$C:$C,$A205,'BSE - SENSEX Index Options'!$B:$B,D$147)+SUMIFS('BSE - Other Index Options'!$L:$L,'BSE - Other Index Options'!$C:$C,$A205,'BSE - Other Index Options'!$B:$B,D$147))</f>
        <v/>
      </c>
      <c r="E205" s="26" t="str">
        <f>IF(SUMIFS('BSE - SENSEX Index Options'!$L:$L,'BSE - SENSEX Index Options'!$C:$C,$A205,'BSE - SENSEX Index Options'!$B:$B,E$147)+SUMIFS('BSE - Other Index Options'!$L:$L,'BSE - Other Index Options'!$C:$C,$A205,'BSE - Other Index Options'!$B:$B,E$147)=0,"",SUMIFS('BSE - SENSEX Index Options'!$L:$L,'BSE - SENSEX Index Options'!$C:$C,$A205,'BSE - SENSEX Index Options'!$B:$B,E$147)+SUMIFS('BSE - Other Index Options'!$L:$L,'BSE - Other Index Options'!$C:$C,$A205,'BSE - Other Index Options'!$B:$B,E$147))</f>
        <v/>
      </c>
      <c r="F205" s="26" t="str">
        <f>IF(SUMIFS('BSE - SENSEX Index Options'!$L:$L,'BSE - SENSEX Index Options'!$C:$C,$A205,'BSE - SENSEX Index Options'!$B:$B,F$147)+SUMIFS('BSE - Other Index Options'!$L:$L,'BSE - Other Index Options'!$C:$C,$A205,'BSE - Other Index Options'!$B:$B,F$147)=0,"",SUMIFS('BSE - SENSEX Index Options'!$L:$L,'BSE - SENSEX Index Options'!$C:$C,$A205,'BSE - SENSEX Index Options'!$B:$B,F$147)+SUMIFS('BSE - Other Index Options'!$L:$L,'BSE - Other Index Options'!$C:$C,$A205,'BSE - Other Index Options'!$B:$B,F$147))</f>
        <v/>
      </c>
      <c r="G205" s="26" t="str">
        <f>IF(SUMIFS('BSE - SENSEX Index Options'!$L:$L,'BSE - SENSEX Index Options'!$C:$C,$A205,'BSE - SENSEX Index Options'!$B:$B,G$147)+SUMIFS('BSE - Other Index Options'!$L:$L,'BSE - Other Index Options'!$C:$C,$A205,'BSE - Other Index Options'!$B:$B,G$147)=0,"",SUMIFS('BSE - SENSEX Index Options'!$L:$L,'BSE - SENSEX Index Options'!$C:$C,$A205,'BSE - SENSEX Index Options'!$B:$B,G$147)+SUMIFS('BSE - Other Index Options'!$L:$L,'BSE - Other Index Options'!$C:$C,$A205,'BSE - Other Index Options'!$B:$B,G$147))</f>
        <v/>
      </c>
      <c r="H205" s="26" t="str">
        <f t="shared" si="7"/>
        <v/>
      </c>
    </row>
    <row r="206" spans="1:8" hidden="1" outlineLevel="1">
      <c r="A206" t="s">
        <v>68</v>
      </c>
      <c r="B206" s="26" t="str">
        <f>IF(SUMIFS('BSE - SENSEX Index Options'!$L:$L,'BSE - SENSEX Index Options'!$C:$C,$A206,'BSE - SENSEX Index Options'!$B:$B,B$147)+SUMIFS('BSE - Other Index Options'!$L:$L,'BSE - Other Index Options'!$C:$C,$A206,'BSE - Other Index Options'!$B:$B,B$147)=0,"",SUMIFS('BSE - SENSEX Index Options'!$L:$L,'BSE - SENSEX Index Options'!$C:$C,$A206,'BSE - SENSEX Index Options'!$B:$B,B$147)+SUMIFS('BSE - Other Index Options'!$L:$L,'BSE - Other Index Options'!$C:$C,$A206,'BSE - Other Index Options'!$B:$B,B$147))</f>
        <v/>
      </c>
      <c r="C206" s="26" t="str">
        <f>IF(SUMIFS('BSE - SENSEX Index Options'!$L:$L,'BSE - SENSEX Index Options'!$C:$C,$A206,'BSE - SENSEX Index Options'!$B:$B,C$147)+SUMIFS('BSE - Other Index Options'!$L:$L,'BSE - Other Index Options'!$C:$C,$A206,'BSE - Other Index Options'!$B:$B,C$147)=0,"",SUMIFS('BSE - SENSEX Index Options'!$L:$L,'BSE - SENSEX Index Options'!$C:$C,$A206,'BSE - SENSEX Index Options'!$B:$B,C$147)+SUMIFS('BSE - Other Index Options'!$L:$L,'BSE - Other Index Options'!$C:$C,$A206,'BSE - Other Index Options'!$B:$B,C$147))</f>
        <v/>
      </c>
      <c r="D206" s="26" t="str">
        <f>IF(SUMIFS('BSE - SENSEX Index Options'!$L:$L,'BSE - SENSEX Index Options'!$C:$C,$A206,'BSE - SENSEX Index Options'!$B:$B,D$147)+SUMIFS('BSE - Other Index Options'!$L:$L,'BSE - Other Index Options'!$C:$C,$A206,'BSE - Other Index Options'!$B:$B,D$147)=0,"",SUMIFS('BSE - SENSEX Index Options'!$L:$L,'BSE - SENSEX Index Options'!$C:$C,$A206,'BSE - SENSEX Index Options'!$B:$B,D$147)+SUMIFS('BSE - Other Index Options'!$L:$L,'BSE - Other Index Options'!$C:$C,$A206,'BSE - Other Index Options'!$B:$B,D$147))</f>
        <v/>
      </c>
      <c r="E206" s="26" t="str">
        <f>IF(SUMIFS('BSE - SENSEX Index Options'!$L:$L,'BSE - SENSEX Index Options'!$C:$C,$A206,'BSE - SENSEX Index Options'!$B:$B,E$147)+SUMIFS('BSE - Other Index Options'!$L:$L,'BSE - Other Index Options'!$C:$C,$A206,'BSE - Other Index Options'!$B:$B,E$147)=0,"",SUMIFS('BSE - SENSEX Index Options'!$L:$L,'BSE - SENSEX Index Options'!$C:$C,$A206,'BSE - SENSEX Index Options'!$B:$B,E$147)+SUMIFS('BSE - Other Index Options'!$L:$L,'BSE - Other Index Options'!$C:$C,$A206,'BSE - Other Index Options'!$B:$B,E$147))</f>
        <v/>
      </c>
      <c r="F206" s="26" t="str">
        <f>IF(SUMIFS('BSE - SENSEX Index Options'!$L:$L,'BSE - SENSEX Index Options'!$C:$C,$A206,'BSE - SENSEX Index Options'!$B:$B,F$147)+SUMIFS('BSE - Other Index Options'!$L:$L,'BSE - Other Index Options'!$C:$C,$A206,'BSE - Other Index Options'!$B:$B,F$147)=0,"",SUMIFS('BSE - SENSEX Index Options'!$L:$L,'BSE - SENSEX Index Options'!$C:$C,$A206,'BSE - SENSEX Index Options'!$B:$B,F$147)+SUMIFS('BSE - Other Index Options'!$L:$L,'BSE - Other Index Options'!$C:$C,$A206,'BSE - Other Index Options'!$B:$B,F$147))</f>
        <v/>
      </c>
      <c r="G206" s="26" t="str">
        <f>IF(SUMIFS('BSE - SENSEX Index Options'!$L:$L,'BSE - SENSEX Index Options'!$C:$C,$A206,'BSE - SENSEX Index Options'!$B:$B,G$147)+SUMIFS('BSE - Other Index Options'!$L:$L,'BSE - Other Index Options'!$C:$C,$A206,'BSE - Other Index Options'!$B:$B,G$147)=0,"",SUMIFS('BSE - SENSEX Index Options'!$L:$L,'BSE - SENSEX Index Options'!$C:$C,$A206,'BSE - SENSEX Index Options'!$B:$B,G$147)+SUMIFS('BSE - Other Index Options'!$L:$L,'BSE - Other Index Options'!$C:$C,$A206,'BSE - Other Index Options'!$B:$B,G$147))</f>
        <v/>
      </c>
      <c r="H206" s="26" t="str">
        <f t="shared" si="7"/>
        <v/>
      </c>
    </row>
    <row r="207" spans="1:8" hidden="1" outlineLevel="1">
      <c r="A207" t="s">
        <v>69</v>
      </c>
      <c r="B207" s="26" t="str">
        <f>IF(SUMIFS('BSE - SENSEX Index Options'!$L:$L,'BSE - SENSEX Index Options'!$C:$C,$A207,'BSE - SENSEX Index Options'!$B:$B,B$147)+SUMIFS('BSE - Other Index Options'!$L:$L,'BSE - Other Index Options'!$C:$C,$A207,'BSE - Other Index Options'!$B:$B,B$147)=0,"",SUMIFS('BSE - SENSEX Index Options'!$L:$L,'BSE - SENSEX Index Options'!$C:$C,$A207,'BSE - SENSEX Index Options'!$B:$B,B$147)+SUMIFS('BSE - Other Index Options'!$L:$L,'BSE - Other Index Options'!$C:$C,$A207,'BSE - Other Index Options'!$B:$B,B$147))</f>
        <v/>
      </c>
      <c r="C207" s="26" t="str">
        <f>IF(SUMIFS('BSE - SENSEX Index Options'!$L:$L,'BSE - SENSEX Index Options'!$C:$C,$A207,'BSE - SENSEX Index Options'!$B:$B,C$147)+SUMIFS('BSE - Other Index Options'!$L:$L,'BSE - Other Index Options'!$C:$C,$A207,'BSE - Other Index Options'!$B:$B,C$147)=0,"",SUMIFS('BSE - SENSEX Index Options'!$L:$L,'BSE - SENSEX Index Options'!$C:$C,$A207,'BSE - SENSEX Index Options'!$B:$B,C$147)+SUMIFS('BSE - Other Index Options'!$L:$L,'BSE - Other Index Options'!$C:$C,$A207,'BSE - Other Index Options'!$B:$B,C$147))</f>
        <v/>
      </c>
      <c r="D207" s="26" t="str">
        <f>IF(SUMIFS('BSE - SENSEX Index Options'!$L:$L,'BSE - SENSEX Index Options'!$C:$C,$A207,'BSE - SENSEX Index Options'!$B:$B,D$147)+SUMIFS('BSE - Other Index Options'!$L:$L,'BSE - Other Index Options'!$C:$C,$A207,'BSE - Other Index Options'!$B:$B,D$147)=0,"",SUMIFS('BSE - SENSEX Index Options'!$L:$L,'BSE - SENSEX Index Options'!$C:$C,$A207,'BSE - SENSEX Index Options'!$B:$B,D$147)+SUMIFS('BSE - Other Index Options'!$L:$L,'BSE - Other Index Options'!$C:$C,$A207,'BSE - Other Index Options'!$B:$B,D$147))</f>
        <v/>
      </c>
      <c r="E207" s="26" t="str">
        <f>IF(SUMIFS('BSE - SENSEX Index Options'!$L:$L,'BSE - SENSEX Index Options'!$C:$C,$A207,'BSE - SENSEX Index Options'!$B:$B,E$147)+SUMIFS('BSE - Other Index Options'!$L:$L,'BSE - Other Index Options'!$C:$C,$A207,'BSE - Other Index Options'!$B:$B,E$147)=0,"",SUMIFS('BSE - SENSEX Index Options'!$L:$L,'BSE - SENSEX Index Options'!$C:$C,$A207,'BSE - SENSEX Index Options'!$B:$B,E$147)+SUMIFS('BSE - Other Index Options'!$L:$L,'BSE - Other Index Options'!$C:$C,$A207,'BSE - Other Index Options'!$B:$B,E$147))</f>
        <v/>
      </c>
      <c r="F207" s="26" t="str">
        <f>IF(SUMIFS('BSE - SENSEX Index Options'!$L:$L,'BSE - SENSEX Index Options'!$C:$C,$A207,'BSE - SENSEX Index Options'!$B:$B,F$147)+SUMIFS('BSE - Other Index Options'!$L:$L,'BSE - Other Index Options'!$C:$C,$A207,'BSE - Other Index Options'!$B:$B,F$147)=0,"",SUMIFS('BSE - SENSEX Index Options'!$L:$L,'BSE - SENSEX Index Options'!$C:$C,$A207,'BSE - SENSEX Index Options'!$B:$B,F$147)+SUMIFS('BSE - Other Index Options'!$L:$L,'BSE - Other Index Options'!$C:$C,$A207,'BSE - Other Index Options'!$B:$B,F$147))</f>
        <v/>
      </c>
      <c r="G207" s="26" t="str">
        <f>IF(SUMIFS('BSE - SENSEX Index Options'!$L:$L,'BSE - SENSEX Index Options'!$C:$C,$A207,'BSE - SENSEX Index Options'!$B:$B,G$147)+SUMIFS('BSE - Other Index Options'!$L:$L,'BSE - Other Index Options'!$C:$C,$A207,'BSE - Other Index Options'!$B:$B,G$147)=0,"",SUMIFS('BSE - SENSEX Index Options'!$L:$L,'BSE - SENSEX Index Options'!$C:$C,$A207,'BSE - SENSEX Index Options'!$B:$B,G$147)+SUMIFS('BSE - Other Index Options'!$L:$L,'BSE - Other Index Options'!$C:$C,$A207,'BSE - Other Index Options'!$B:$B,G$147))</f>
        <v/>
      </c>
      <c r="H207" s="26" t="str">
        <f t="shared" si="7"/>
        <v/>
      </c>
    </row>
    <row r="208" spans="1:8" hidden="1" outlineLevel="1">
      <c r="A208" t="s">
        <v>70</v>
      </c>
      <c r="B208" s="26" t="str">
        <f>IF(SUMIFS('BSE - SENSEX Index Options'!$L:$L,'BSE - SENSEX Index Options'!$C:$C,$A208,'BSE - SENSEX Index Options'!$B:$B,B$147)+SUMIFS('BSE - Other Index Options'!$L:$L,'BSE - Other Index Options'!$C:$C,$A208,'BSE - Other Index Options'!$B:$B,B$147)=0,"",SUMIFS('BSE - SENSEX Index Options'!$L:$L,'BSE - SENSEX Index Options'!$C:$C,$A208,'BSE - SENSEX Index Options'!$B:$B,B$147)+SUMIFS('BSE - Other Index Options'!$L:$L,'BSE - Other Index Options'!$C:$C,$A208,'BSE - Other Index Options'!$B:$B,B$147))</f>
        <v/>
      </c>
      <c r="C208" s="26" t="str">
        <f>IF(SUMIFS('BSE - SENSEX Index Options'!$L:$L,'BSE - SENSEX Index Options'!$C:$C,$A208,'BSE - SENSEX Index Options'!$B:$B,C$147)+SUMIFS('BSE - Other Index Options'!$L:$L,'BSE - Other Index Options'!$C:$C,$A208,'BSE - Other Index Options'!$B:$B,C$147)=0,"",SUMIFS('BSE - SENSEX Index Options'!$L:$L,'BSE - SENSEX Index Options'!$C:$C,$A208,'BSE - SENSEX Index Options'!$B:$B,C$147)+SUMIFS('BSE - Other Index Options'!$L:$L,'BSE - Other Index Options'!$C:$C,$A208,'BSE - Other Index Options'!$B:$B,C$147))</f>
        <v/>
      </c>
      <c r="D208" s="26" t="str">
        <f>IF(SUMIFS('BSE - SENSEX Index Options'!$L:$L,'BSE - SENSEX Index Options'!$C:$C,$A208,'BSE - SENSEX Index Options'!$B:$B,D$147)+SUMIFS('BSE - Other Index Options'!$L:$L,'BSE - Other Index Options'!$C:$C,$A208,'BSE - Other Index Options'!$B:$B,D$147)=0,"",SUMIFS('BSE - SENSEX Index Options'!$L:$L,'BSE - SENSEX Index Options'!$C:$C,$A208,'BSE - SENSEX Index Options'!$B:$B,D$147)+SUMIFS('BSE - Other Index Options'!$L:$L,'BSE - Other Index Options'!$C:$C,$A208,'BSE - Other Index Options'!$B:$B,D$147))</f>
        <v/>
      </c>
      <c r="E208" s="26" t="str">
        <f>IF(SUMIFS('BSE - SENSEX Index Options'!$L:$L,'BSE - SENSEX Index Options'!$C:$C,$A208,'BSE - SENSEX Index Options'!$B:$B,E$147)+SUMIFS('BSE - Other Index Options'!$L:$L,'BSE - Other Index Options'!$C:$C,$A208,'BSE - Other Index Options'!$B:$B,E$147)=0,"",SUMIFS('BSE - SENSEX Index Options'!$L:$L,'BSE - SENSEX Index Options'!$C:$C,$A208,'BSE - SENSEX Index Options'!$B:$B,E$147)+SUMIFS('BSE - Other Index Options'!$L:$L,'BSE - Other Index Options'!$C:$C,$A208,'BSE - Other Index Options'!$B:$B,E$147))</f>
        <v/>
      </c>
      <c r="F208" s="26" t="str">
        <f>IF(SUMIFS('BSE - SENSEX Index Options'!$L:$L,'BSE - SENSEX Index Options'!$C:$C,$A208,'BSE - SENSEX Index Options'!$B:$B,F$147)+SUMIFS('BSE - Other Index Options'!$L:$L,'BSE - Other Index Options'!$C:$C,$A208,'BSE - Other Index Options'!$B:$B,F$147)=0,"",SUMIFS('BSE - SENSEX Index Options'!$L:$L,'BSE - SENSEX Index Options'!$C:$C,$A208,'BSE - SENSEX Index Options'!$B:$B,F$147)+SUMIFS('BSE - Other Index Options'!$L:$L,'BSE - Other Index Options'!$C:$C,$A208,'BSE - Other Index Options'!$B:$B,F$147))</f>
        <v/>
      </c>
      <c r="G208" s="26" t="str">
        <f>IF(SUMIFS('BSE - SENSEX Index Options'!$L:$L,'BSE - SENSEX Index Options'!$C:$C,$A208,'BSE - SENSEX Index Options'!$B:$B,G$147)+SUMIFS('BSE - Other Index Options'!$L:$L,'BSE - Other Index Options'!$C:$C,$A208,'BSE - Other Index Options'!$B:$B,G$147)=0,"",SUMIFS('BSE - SENSEX Index Options'!$L:$L,'BSE - SENSEX Index Options'!$C:$C,$A208,'BSE - SENSEX Index Options'!$B:$B,G$147)+SUMIFS('BSE - Other Index Options'!$L:$L,'BSE - Other Index Options'!$C:$C,$A208,'BSE - Other Index Options'!$B:$B,G$147))</f>
        <v/>
      </c>
      <c r="H208" s="26" t="str">
        <f t="shared" si="7"/>
        <v/>
      </c>
    </row>
    <row r="209" spans="1:8" hidden="1" outlineLevel="1">
      <c r="A209" t="s">
        <v>71</v>
      </c>
      <c r="B209" s="26" t="str">
        <f>IF(SUMIFS('BSE - SENSEX Index Options'!$L:$L,'BSE - SENSEX Index Options'!$C:$C,$A209,'BSE - SENSEX Index Options'!$B:$B,B$147)+SUMIFS('BSE - Other Index Options'!$L:$L,'BSE - Other Index Options'!$C:$C,$A209,'BSE - Other Index Options'!$B:$B,B$147)=0,"",SUMIFS('BSE - SENSEX Index Options'!$L:$L,'BSE - SENSEX Index Options'!$C:$C,$A209,'BSE - SENSEX Index Options'!$B:$B,B$147)+SUMIFS('BSE - Other Index Options'!$L:$L,'BSE - Other Index Options'!$C:$C,$A209,'BSE - Other Index Options'!$B:$B,B$147))</f>
        <v/>
      </c>
      <c r="C209" s="26" t="str">
        <f>IF(SUMIFS('BSE - SENSEX Index Options'!$L:$L,'BSE - SENSEX Index Options'!$C:$C,$A209,'BSE - SENSEX Index Options'!$B:$B,C$147)+SUMIFS('BSE - Other Index Options'!$L:$L,'BSE - Other Index Options'!$C:$C,$A209,'BSE - Other Index Options'!$B:$B,C$147)=0,"",SUMIFS('BSE - SENSEX Index Options'!$L:$L,'BSE - SENSEX Index Options'!$C:$C,$A209,'BSE - SENSEX Index Options'!$B:$B,C$147)+SUMIFS('BSE - Other Index Options'!$L:$L,'BSE - Other Index Options'!$C:$C,$A209,'BSE - Other Index Options'!$B:$B,C$147))</f>
        <v/>
      </c>
      <c r="D209" s="26" t="str">
        <f>IF(SUMIFS('BSE - SENSEX Index Options'!$L:$L,'BSE - SENSEX Index Options'!$C:$C,$A209,'BSE - SENSEX Index Options'!$B:$B,D$147)+SUMIFS('BSE - Other Index Options'!$L:$L,'BSE - Other Index Options'!$C:$C,$A209,'BSE - Other Index Options'!$B:$B,D$147)=0,"",SUMIFS('BSE - SENSEX Index Options'!$L:$L,'BSE - SENSEX Index Options'!$C:$C,$A209,'BSE - SENSEX Index Options'!$B:$B,D$147)+SUMIFS('BSE - Other Index Options'!$L:$L,'BSE - Other Index Options'!$C:$C,$A209,'BSE - Other Index Options'!$B:$B,D$147))</f>
        <v/>
      </c>
      <c r="E209" s="26" t="str">
        <f>IF(SUMIFS('BSE - SENSEX Index Options'!$L:$L,'BSE - SENSEX Index Options'!$C:$C,$A209,'BSE - SENSEX Index Options'!$B:$B,E$147)+SUMIFS('BSE - Other Index Options'!$L:$L,'BSE - Other Index Options'!$C:$C,$A209,'BSE - Other Index Options'!$B:$B,E$147)=0,"",SUMIFS('BSE - SENSEX Index Options'!$L:$L,'BSE - SENSEX Index Options'!$C:$C,$A209,'BSE - SENSEX Index Options'!$B:$B,E$147)+SUMIFS('BSE - Other Index Options'!$L:$L,'BSE - Other Index Options'!$C:$C,$A209,'BSE - Other Index Options'!$B:$B,E$147))</f>
        <v/>
      </c>
      <c r="F209" s="26" t="str">
        <f>IF(SUMIFS('BSE - SENSEX Index Options'!$L:$L,'BSE - SENSEX Index Options'!$C:$C,$A209,'BSE - SENSEX Index Options'!$B:$B,F$147)+SUMIFS('BSE - Other Index Options'!$L:$L,'BSE - Other Index Options'!$C:$C,$A209,'BSE - Other Index Options'!$B:$B,F$147)=0,"",SUMIFS('BSE - SENSEX Index Options'!$L:$L,'BSE - SENSEX Index Options'!$C:$C,$A209,'BSE - SENSEX Index Options'!$B:$B,F$147)+SUMIFS('BSE - Other Index Options'!$L:$L,'BSE - Other Index Options'!$C:$C,$A209,'BSE - Other Index Options'!$B:$B,F$147))</f>
        <v/>
      </c>
      <c r="G209" s="26" t="str">
        <f>IF(SUMIFS('BSE - SENSEX Index Options'!$L:$L,'BSE - SENSEX Index Options'!$C:$C,$A209,'BSE - SENSEX Index Options'!$B:$B,G$147)+SUMIFS('BSE - Other Index Options'!$L:$L,'BSE - Other Index Options'!$C:$C,$A209,'BSE - Other Index Options'!$B:$B,G$147)=0,"",SUMIFS('BSE - SENSEX Index Options'!$L:$L,'BSE - SENSEX Index Options'!$C:$C,$A209,'BSE - SENSEX Index Options'!$B:$B,G$147)+SUMIFS('BSE - Other Index Options'!$L:$L,'BSE - Other Index Options'!$C:$C,$A209,'BSE - Other Index Options'!$B:$B,G$147))</f>
        <v/>
      </c>
      <c r="H209" s="26" t="str">
        <f t="shared" si="7"/>
        <v/>
      </c>
    </row>
    <row r="210" spans="1:8" hidden="1" outlineLevel="1">
      <c r="A210" t="s">
        <v>72</v>
      </c>
      <c r="B210" s="26" t="str">
        <f>IF(SUMIFS('BSE - SENSEX Index Options'!$L:$L,'BSE - SENSEX Index Options'!$C:$C,$A210,'BSE - SENSEX Index Options'!$B:$B,B$147)+SUMIFS('BSE - Other Index Options'!$L:$L,'BSE - Other Index Options'!$C:$C,$A210,'BSE - Other Index Options'!$B:$B,B$147)=0,"",SUMIFS('BSE - SENSEX Index Options'!$L:$L,'BSE - SENSEX Index Options'!$C:$C,$A210,'BSE - SENSEX Index Options'!$B:$B,B$147)+SUMIFS('BSE - Other Index Options'!$L:$L,'BSE - Other Index Options'!$C:$C,$A210,'BSE - Other Index Options'!$B:$B,B$147))</f>
        <v/>
      </c>
      <c r="C210" s="26" t="str">
        <f>IF(SUMIFS('BSE - SENSEX Index Options'!$L:$L,'BSE - SENSEX Index Options'!$C:$C,$A210,'BSE - SENSEX Index Options'!$B:$B,C$147)+SUMIFS('BSE - Other Index Options'!$L:$L,'BSE - Other Index Options'!$C:$C,$A210,'BSE - Other Index Options'!$B:$B,C$147)=0,"",SUMIFS('BSE - SENSEX Index Options'!$L:$L,'BSE - SENSEX Index Options'!$C:$C,$A210,'BSE - SENSEX Index Options'!$B:$B,C$147)+SUMIFS('BSE - Other Index Options'!$L:$L,'BSE - Other Index Options'!$C:$C,$A210,'BSE - Other Index Options'!$B:$B,C$147))</f>
        <v/>
      </c>
      <c r="D210" s="26" t="str">
        <f>IF(SUMIFS('BSE - SENSEX Index Options'!$L:$L,'BSE - SENSEX Index Options'!$C:$C,$A210,'BSE - SENSEX Index Options'!$B:$B,D$147)+SUMIFS('BSE - Other Index Options'!$L:$L,'BSE - Other Index Options'!$C:$C,$A210,'BSE - Other Index Options'!$B:$B,D$147)=0,"",SUMIFS('BSE - SENSEX Index Options'!$L:$L,'BSE - SENSEX Index Options'!$C:$C,$A210,'BSE - SENSEX Index Options'!$B:$B,D$147)+SUMIFS('BSE - Other Index Options'!$L:$L,'BSE - Other Index Options'!$C:$C,$A210,'BSE - Other Index Options'!$B:$B,D$147))</f>
        <v/>
      </c>
      <c r="E210" s="26" t="str">
        <f>IF(SUMIFS('BSE - SENSEX Index Options'!$L:$L,'BSE - SENSEX Index Options'!$C:$C,$A210,'BSE - SENSEX Index Options'!$B:$B,E$147)+SUMIFS('BSE - Other Index Options'!$L:$L,'BSE - Other Index Options'!$C:$C,$A210,'BSE - Other Index Options'!$B:$B,E$147)=0,"",SUMIFS('BSE - SENSEX Index Options'!$L:$L,'BSE - SENSEX Index Options'!$C:$C,$A210,'BSE - SENSEX Index Options'!$B:$B,E$147)+SUMIFS('BSE - Other Index Options'!$L:$L,'BSE - Other Index Options'!$C:$C,$A210,'BSE - Other Index Options'!$B:$B,E$147))</f>
        <v/>
      </c>
      <c r="F210" s="26" t="str">
        <f>IF(SUMIFS('BSE - SENSEX Index Options'!$L:$L,'BSE - SENSEX Index Options'!$C:$C,$A210,'BSE - SENSEX Index Options'!$B:$B,F$147)+SUMIFS('BSE - Other Index Options'!$L:$L,'BSE - Other Index Options'!$C:$C,$A210,'BSE - Other Index Options'!$B:$B,F$147)=0,"",SUMIFS('BSE - SENSEX Index Options'!$L:$L,'BSE - SENSEX Index Options'!$C:$C,$A210,'BSE - SENSEX Index Options'!$B:$B,F$147)+SUMIFS('BSE - Other Index Options'!$L:$L,'BSE - Other Index Options'!$C:$C,$A210,'BSE - Other Index Options'!$B:$B,F$147))</f>
        <v/>
      </c>
      <c r="G210" s="26" t="str">
        <f>IF(SUMIFS('BSE - SENSEX Index Options'!$L:$L,'BSE - SENSEX Index Options'!$C:$C,$A210,'BSE - SENSEX Index Options'!$B:$B,G$147)+SUMIFS('BSE - Other Index Options'!$L:$L,'BSE - Other Index Options'!$C:$C,$A210,'BSE - Other Index Options'!$B:$B,G$147)=0,"",SUMIFS('BSE - SENSEX Index Options'!$L:$L,'BSE - SENSEX Index Options'!$C:$C,$A210,'BSE - SENSEX Index Options'!$B:$B,G$147)+SUMIFS('BSE - Other Index Options'!$L:$L,'BSE - Other Index Options'!$C:$C,$A210,'BSE - Other Index Options'!$B:$B,G$147))</f>
        <v/>
      </c>
      <c r="H210" s="26" t="str">
        <f t="shared" si="7"/>
        <v/>
      </c>
    </row>
    <row r="211" spans="1:8" hidden="1" outlineLevel="1">
      <c r="A211" t="s">
        <v>73</v>
      </c>
      <c r="B211" s="26" t="str">
        <f>IF(SUMIFS('BSE - SENSEX Index Options'!$L:$L,'BSE - SENSEX Index Options'!$C:$C,$A211,'BSE - SENSEX Index Options'!$B:$B,B$147)+SUMIFS('BSE - Other Index Options'!$L:$L,'BSE - Other Index Options'!$C:$C,$A211,'BSE - Other Index Options'!$B:$B,B$147)=0,"",SUMIFS('BSE - SENSEX Index Options'!$L:$L,'BSE - SENSEX Index Options'!$C:$C,$A211,'BSE - SENSEX Index Options'!$B:$B,B$147)+SUMIFS('BSE - Other Index Options'!$L:$L,'BSE - Other Index Options'!$C:$C,$A211,'BSE - Other Index Options'!$B:$B,B$147))</f>
        <v/>
      </c>
      <c r="C211" s="26" t="str">
        <f>IF(SUMIFS('BSE - SENSEX Index Options'!$L:$L,'BSE - SENSEX Index Options'!$C:$C,$A211,'BSE - SENSEX Index Options'!$B:$B,C$147)+SUMIFS('BSE - Other Index Options'!$L:$L,'BSE - Other Index Options'!$C:$C,$A211,'BSE - Other Index Options'!$B:$B,C$147)=0,"",SUMIFS('BSE - SENSEX Index Options'!$L:$L,'BSE - SENSEX Index Options'!$C:$C,$A211,'BSE - SENSEX Index Options'!$B:$B,C$147)+SUMIFS('BSE - Other Index Options'!$L:$L,'BSE - Other Index Options'!$C:$C,$A211,'BSE - Other Index Options'!$B:$B,C$147))</f>
        <v/>
      </c>
      <c r="D211" s="26" t="str">
        <f>IF(SUMIFS('BSE - SENSEX Index Options'!$L:$L,'BSE - SENSEX Index Options'!$C:$C,$A211,'BSE - SENSEX Index Options'!$B:$B,D$147)+SUMIFS('BSE - Other Index Options'!$L:$L,'BSE - Other Index Options'!$C:$C,$A211,'BSE - Other Index Options'!$B:$B,D$147)=0,"",SUMIFS('BSE - SENSEX Index Options'!$L:$L,'BSE - SENSEX Index Options'!$C:$C,$A211,'BSE - SENSEX Index Options'!$B:$B,D$147)+SUMIFS('BSE - Other Index Options'!$L:$L,'BSE - Other Index Options'!$C:$C,$A211,'BSE - Other Index Options'!$B:$B,D$147))</f>
        <v/>
      </c>
      <c r="E211" s="26" t="str">
        <f>IF(SUMIFS('BSE - SENSEX Index Options'!$L:$L,'BSE - SENSEX Index Options'!$C:$C,$A211,'BSE - SENSEX Index Options'!$B:$B,E$147)+SUMIFS('BSE - Other Index Options'!$L:$L,'BSE - Other Index Options'!$C:$C,$A211,'BSE - Other Index Options'!$B:$B,E$147)=0,"",SUMIFS('BSE - SENSEX Index Options'!$L:$L,'BSE - SENSEX Index Options'!$C:$C,$A211,'BSE - SENSEX Index Options'!$B:$B,E$147)+SUMIFS('BSE - Other Index Options'!$L:$L,'BSE - Other Index Options'!$C:$C,$A211,'BSE - Other Index Options'!$B:$B,E$147))</f>
        <v/>
      </c>
      <c r="F211" s="26" t="str">
        <f>IF(SUMIFS('BSE - SENSEX Index Options'!$L:$L,'BSE - SENSEX Index Options'!$C:$C,$A211,'BSE - SENSEX Index Options'!$B:$B,F$147)+SUMIFS('BSE - Other Index Options'!$L:$L,'BSE - Other Index Options'!$C:$C,$A211,'BSE - Other Index Options'!$B:$B,F$147)=0,"",SUMIFS('BSE - SENSEX Index Options'!$L:$L,'BSE - SENSEX Index Options'!$C:$C,$A211,'BSE - SENSEX Index Options'!$B:$B,F$147)+SUMIFS('BSE - Other Index Options'!$L:$L,'BSE - Other Index Options'!$C:$C,$A211,'BSE - Other Index Options'!$B:$B,F$147))</f>
        <v/>
      </c>
      <c r="G211" s="26" t="str">
        <f>IF(SUMIFS('BSE - SENSEX Index Options'!$L:$L,'BSE - SENSEX Index Options'!$C:$C,$A211,'BSE - SENSEX Index Options'!$B:$B,G$147)+SUMIFS('BSE - Other Index Options'!$L:$L,'BSE - Other Index Options'!$C:$C,$A211,'BSE - Other Index Options'!$B:$B,G$147)=0,"",SUMIFS('BSE - SENSEX Index Options'!$L:$L,'BSE - SENSEX Index Options'!$C:$C,$A211,'BSE - SENSEX Index Options'!$B:$B,G$147)+SUMIFS('BSE - Other Index Options'!$L:$L,'BSE - Other Index Options'!$C:$C,$A211,'BSE - Other Index Options'!$B:$B,G$147))</f>
        <v/>
      </c>
      <c r="H211" s="26" t="str">
        <f t="shared" si="7"/>
        <v/>
      </c>
    </row>
    <row r="212" spans="1:8" hidden="1" outlineLevel="1">
      <c r="A212" t="s">
        <v>74</v>
      </c>
      <c r="B212" s="26" t="str">
        <f>IF(SUMIFS('BSE - SENSEX Index Options'!$L:$L,'BSE - SENSEX Index Options'!$C:$C,$A212,'BSE - SENSEX Index Options'!$B:$B,B$147)+SUMIFS('BSE - Other Index Options'!$L:$L,'BSE - Other Index Options'!$C:$C,$A212,'BSE - Other Index Options'!$B:$B,B$147)=0,"",SUMIFS('BSE - SENSEX Index Options'!$L:$L,'BSE - SENSEX Index Options'!$C:$C,$A212,'BSE - SENSEX Index Options'!$B:$B,B$147)+SUMIFS('BSE - Other Index Options'!$L:$L,'BSE - Other Index Options'!$C:$C,$A212,'BSE - Other Index Options'!$B:$B,B$147))</f>
        <v/>
      </c>
      <c r="C212" s="26" t="str">
        <f>IF(SUMIFS('BSE - SENSEX Index Options'!$L:$L,'BSE - SENSEX Index Options'!$C:$C,$A212,'BSE - SENSEX Index Options'!$B:$B,C$147)+SUMIFS('BSE - Other Index Options'!$L:$L,'BSE - Other Index Options'!$C:$C,$A212,'BSE - Other Index Options'!$B:$B,C$147)=0,"",SUMIFS('BSE - SENSEX Index Options'!$L:$L,'BSE - SENSEX Index Options'!$C:$C,$A212,'BSE - SENSEX Index Options'!$B:$B,C$147)+SUMIFS('BSE - Other Index Options'!$L:$L,'BSE - Other Index Options'!$C:$C,$A212,'BSE - Other Index Options'!$B:$B,C$147))</f>
        <v/>
      </c>
      <c r="D212" s="26" t="str">
        <f>IF(SUMIFS('BSE - SENSEX Index Options'!$L:$L,'BSE - SENSEX Index Options'!$C:$C,$A212,'BSE - SENSEX Index Options'!$B:$B,D$147)+SUMIFS('BSE - Other Index Options'!$L:$L,'BSE - Other Index Options'!$C:$C,$A212,'BSE - Other Index Options'!$B:$B,D$147)=0,"",SUMIFS('BSE - SENSEX Index Options'!$L:$L,'BSE - SENSEX Index Options'!$C:$C,$A212,'BSE - SENSEX Index Options'!$B:$B,D$147)+SUMIFS('BSE - Other Index Options'!$L:$L,'BSE - Other Index Options'!$C:$C,$A212,'BSE - Other Index Options'!$B:$B,D$147))</f>
        <v/>
      </c>
      <c r="E212" s="26" t="str">
        <f>IF(SUMIFS('BSE - SENSEX Index Options'!$L:$L,'BSE - SENSEX Index Options'!$C:$C,$A212,'BSE - SENSEX Index Options'!$B:$B,E$147)+SUMIFS('BSE - Other Index Options'!$L:$L,'BSE - Other Index Options'!$C:$C,$A212,'BSE - Other Index Options'!$B:$B,E$147)=0,"",SUMIFS('BSE - SENSEX Index Options'!$L:$L,'BSE - SENSEX Index Options'!$C:$C,$A212,'BSE - SENSEX Index Options'!$B:$B,E$147)+SUMIFS('BSE - Other Index Options'!$L:$L,'BSE - Other Index Options'!$C:$C,$A212,'BSE - Other Index Options'!$B:$B,E$147))</f>
        <v/>
      </c>
      <c r="F212" s="26" t="str">
        <f>IF(SUMIFS('BSE - SENSEX Index Options'!$L:$L,'BSE - SENSEX Index Options'!$C:$C,$A212,'BSE - SENSEX Index Options'!$B:$B,F$147)+SUMIFS('BSE - Other Index Options'!$L:$L,'BSE - Other Index Options'!$C:$C,$A212,'BSE - Other Index Options'!$B:$B,F$147)=0,"",SUMIFS('BSE - SENSEX Index Options'!$L:$L,'BSE - SENSEX Index Options'!$C:$C,$A212,'BSE - SENSEX Index Options'!$B:$B,F$147)+SUMIFS('BSE - Other Index Options'!$L:$L,'BSE - Other Index Options'!$C:$C,$A212,'BSE - Other Index Options'!$B:$B,F$147))</f>
        <v/>
      </c>
      <c r="G212" s="26" t="str">
        <f>IF(SUMIFS('BSE - SENSEX Index Options'!$L:$L,'BSE - SENSEX Index Options'!$C:$C,$A212,'BSE - SENSEX Index Options'!$B:$B,G$147)+SUMIFS('BSE - Other Index Options'!$L:$L,'BSE - Other Index Options'!$C:$C,$A212,'BSE - Other Index Options'!$B:$B,G$147)=0,"",SUMIFS('BSE - SENSEX Index Options'!$L:$L,'BSE - SENSEX Index Options'!$C:$C,$A212,'BSE - SENSEX Index Options'!$B:$B,G$147)+SUMIFS('BSE - Other Index Options'!$L:$L,'BSE - Other Index Options'!$C:$C,$A212,'BSE - Other Index Options'!$B:$B,G$147))</f>
        <v/>
      </c>
      <c r="H212" s="26" t="str">
        <f t="shared" ref="H212:H243" si="8">IF(SUM(B212:G212)=0,"",SUM(B212:G212))</f>
        <v/>
      </c>
    </row>
    <row r="213" spans="1:8" hidden="1" outlineLevel="1">
      <c r="A213" t="s">
        <v>75</v>
      </c>
      <c r="B213" s="26" t="str">
        <f>IF(SUMIFS('BSE - SENSEX Index Options'!$L:$L,'BSE - SENSEX Index Options'!$C:$C,$A213,'BSE - SENSEX Index Options'!$B:$B,B$147)+SUMIFS('BSE - Other Index Options'!$L:$L,'BSE - Other Index Options'!$C:$C,$A213,'BSE - Other Index Options'!$B:$B,B$147)=0,"",SUMIFS('BSE - SENSEX Index Options'!$L:$L,'BSE - SENSEX Index Options'!$C:$C,$A213,'BSE - SENSEX Index Options'!$B:$B,B$147)+SUMIFS('BSE - Other Index Options'!$L:$L,'BSE - Other Index Options'!$C:$C,$A213,'BSE - Other Index Options'!$B:$B,B$147))</f>
        <v/>
      </c>
      <c r="C213" s="26" t="str">
        <f>IF(SUMIFS('BSE - SENSEX Index Options'!$L:$L,'BSE - SENSEX Index Options'!$C:$C,$A213,'BSE - SENSEX Index Options'!$B:$B,C$147)+SUMIFS('BSE - Other Index Options'!$L:$L,'BSE - Other Index Options'!$C:$C,$A213,'BSE - Other Index Options'!$B:$B,C$147)=0,"",SUMIFS('BSE - SENSEX Index Options'!$L:$L,'BSE - SENSEX Index Options'!$C:$C,$A213,'BSE - SENSEX Index Options'!$B:$B,C$147)+SUMIFS('BSE - Other Index Options'!$L:$L,'BSE - Other Index Options'!$C:$C,$A213,'BSE - Other Index Options'!$B:$B,C$147))</f>
        <v/>
      </c>
      <c r="D213" s="26" t="str">
        <f>IF(SUMIFS('BSE - SENSEX Index Options'!$L:$L,'BSE - SENSEX Index Options'!$C:$C,$A213,'BSE - SENSEX Index Options'!$B:$B,D$147)+SUMIFS('BSE - Other Index Options'!$L:$L,'BSE - Other Index Options'!$C:$C,$A213,'BSE - Other Index Options'!$B:$B,D$147)=0,"",SUMIFS('BSE - SENSEX Index Options'!$L:$L,'BSE - SENSEX Index Options'!$C:$C,$A213,'BSE - SENSEX Index Options'!$B:$B,D$147)+SUMIFS('BSE - Other Index Options'!$L:$L,'BSE - Other Index Options'!$C:$C,$A213,'BSE - Other Index Options'!$B:$B,D$147))</f>
        <v/>
      </c>
      <c r="E213" s="26" t="str">
        <f>IF(SUMIFS('BSE - SENSEX Index Options'!$L:$L,'BSE - SENSEX Index Options'!$C:$C,$A213,'BSE - SENSEX Index Options'!$B:$B,E$147)+SUMIFS('BSE - Other Index Options'!$L:$L,'BSE - Other Index Options'!$C:$C,$A213,'BSE - Other Index Options'!$B:$B,E$147)=0,"",SUMIFS('BSE - SENSEX Index Options'!$L:$L,'BSE - SENSEX Index Options'!$C:$C,$A213,'BSE - SENSEX Index Options'!$B:$B,E$147)+SUMIFS('BSE - Other Index Options'!$L:$L,'BSE - Other Index Options'!$C:$C,$A213,'BSE - Other Index Options'!$B:$B,E$147))</f>
        <v/>
      </c>
      <c r="F213" s="26" t="str">
        <f>IF(SUMIFS('BSE - SENSEX Index Options'!$L:$L,'BSE - SENSEX Index Options'!$C:$C,$A213,'BSE - SENSEX Index Options'!$B:$B,F$147)+SUMIFS('BSE - Other Index Options'!$L:$L,'BSE - Other Index Options'!$C:$C,$A213,'BSE - Other Index Options'!$B:$B,F$147)=0,"",SUMIFS('BSE - SENSEX Index Options'!$L:$L,'BSE - SENSEX Index Options'!$C:$C,$A213,'BSE - SENSEX Index Options'!$B:$B,F$147)+SUMIFS('BSE - Other Index Options'!$L:$L,'BSE - Other Index Options'!$C:$C,$A213,'BSE - Other Index Options'!$B:$B,F$147))</f>
        <v/>
      </c>
      <c r="G213" s="26" t="str">
        <f>IF(SUMIFS('BSE - SENSEX Index Options'!$L:$L,'BSE - SENSEX Index Options'!$C:$C,$A213,'BSE - SENSEX Index Options'!$B:$B,G$147)+SUMIFS('BSE - Other Index Options'!$L:$L,'BSE - Other Index Options'!$C:$C,$A213,'BSE - Other Index Options'!$B:$B,G$147)=0,"",SUMIFS('BSE - SENSEX Index Options'!$L:$L,'BSE - SENSEX Index Options'!$C:$C,$A213,'BSE - SENSEX Index Options'!$B:$B,G$147)+SUMIFS('BSE - Other Index Options'!$L:$L,'BSE - Other Index Options'!$C:$C,$A213,'BSE - Other Index Options'!$B:$B,G$147))</f>
        <v/>
      </c>
      <c r="H213" s="26" t="str">
        <f t="shared" si="8"/>
        <v/>
      </c>
    </row>
    <row r="214" spans="1:8" hidden="1" outlineLevel="1">
      <c r="A214" t="s">
        <v>76</v>
      </c>
      <c r="B214" s="26" t="str">
        <f>IF(SUMIFS('BSE - SENSEX Index Options'!$L:$L,'BSE - SENSEX Index Options'!$C:$C,$A214,'BSE - SENSEX Index Options'!$B:$B,B$147)+SUMIFS('BSE - Other Index Options'!$L:$L,'BSE - Other Index Options'!$C:$C,$A214,'BSE - Other Index Options'!$B:$B,B$147)=0,"",SUMIFS('BSE - SENSEX Index Options'!$L:$L,'BSE - SENSEX Index Options'!$C:$C,$A214,'BSE - SENSEX Index Options'!$B:$B,B$147)+SUMIFS('BSE - Other Index Options'!$L:$L,'BSE - Other Index Options'!$C:$C,$A214,'BSE - Other Index Options'!$B:$B,B$147))</f>
        <v/>
      </c>
      <c r="C214" s="26" t="str">
        <f>IF(SUMIFS('BSE - SENSEX Index Options'!$L:$L,'BSE - SENSEX Index Options'!$C:$C,$A214,'BSE - SENSEX Index Options'!$B:$B,C$147)+SUMIFS('BSE - Other Index Options'!$L:$L,'BSE - Other Index Options'!$C:$C,$A214,'BSE - Other Index Options'!$B:$B,C$147)=0,"",SUMIFS('BSE - SENSEX Index Options'!$L:$L,'BSE - SENSEX Index Options'!$C:$C,$A214,'BSE - SENSEX Index Options'!$B:$B,C$147)+SUMIFS('BSE - Other Index Options'!$L:$L,'BSE - Other Index Options'!$C:$C,$A214,'BSE - Other Index Options'!$B:$B,C$147))</f>
        <v/>
      </c>
      <c r="D214" s="26" t="str">
        <f>IF(SUMIFS('BSE - SENSEX Index Options'!$L:$L,'BSE - SENSEX Index Options'!$C:$C,$A214,'BSE - SENSEX Index Options'!$B:$B,D$147)+SUMIFS('BSE - Other Index Options'!$L:$L,'BSE - Other Index Options'!$C:$C,$A214,'BSE - Other Index Options'!$B:$B,D$147)=0,"",SUMIFS('BSE - SENSEX Index Options'!$L:$L,'BSE - SENSEX Index Options'!$C:$C,$A214,'BSE - SENSEX Index Options'!$B:$B,D$147)+SUMIFS('BSE - Other Index Options'!$L:$L,'BSE - Other Index Options'!$C:$C,$A214,'BSE - Other Index Options'!$B:$B,D$147))</f>
        <v/>
      </c>
      <c r="E214" s="26" t="str">
        <f>IF(SUMIFS('BSE - SENSEX Index Options'!$L:$L,'BSE - SENSEX Index Options'!$C:$C,$A214,'BSE - SENSEX Index Options'!$B:$B,E$147)+SUMIFS('BSE - Other Index Options'!$L:$L,'BSE - Other Index Options'!$C:$C,$A214,'BSE - Other Index Options'!$B:$B,E$147)=0,"",SUMIFS('BSE - SENSEX Index Options'!$L:$L,'BSE - SENSEX Index Options'!$C:$C,$A214,'BSE - SENSEX Index Options'!$B:$B,E$147)+SUMIFS('BSE - Other Index Options'!$L:$L,'BSE - Other Index Options'!$C:$C,$A214,'BSE - Other Index Options'!$B:$B,E$147))</f>
        <v/>
      </c>
      <c r="F214" s="26" t="str">
        <f>IF(SUMIFS('BSE - SENSEX Index Options'!$L:$L,'BSE - SENSEX Index Options'!$C:$C,$A214,'BSE - SENSEX Index Options'!$B:$B,F$147)+SUMIFS('BSE - Other Index Options'!$L:$L,'BSE - Other Index Options'!$C:$C,$A214,'BSE - Other Index Options'!$B:$B,F$147)=0,"",SUMIFS('BSE - SENSEX Index Options'!$L:$L,'BSE - SENSEX Index Options'!$C:$C,$A214,'BSE - SENSEX Index Options'!$B:$B,F$147)+SUMIFS('BSE - Other Index Options'!$L:$L,'BSE - Other Index Options'!$C:$C,$A214,'BSE - Other Index Options'!$B:$B,F$147))</f>
        <v/>
      </c>
      <c r="G214" s="26" t="str">
        <f>IF(SUMIFS('BSE - SENSEX Index Options'!$L:$L,'BSE - SENSEX Index Options'!$C:$C,$A214,'BSE - SENSEX Index Options'!$B:$B,G$147)+SUMIFS('BSE - Other Index Options'!$L:$L,'BSE - Other Index Options'!$C:$C,$A214,'BSE - Other Index Options'!$B:$B,G$147)=0,"",SUMIFS('BSE - SENSEX Index Options'!$L:$L,'BSE - SENSEX Index Options'!$C:$C,$A214,'BSE - SENSEX Index Options'!$B:$B,G$147)+SUMIFS('BSE - Other Index Options'!$L:$L,'BSE - Other Index Options'!$C:$C,$A214,'BSE - Other Index Options'!$B:$B,G$147))</f>
        <v/>
      </c>
      <c r="H214" s="26" t="str">
        <f t="shared" si="8"/>
        <v/>
      </c>
    </row>
    <row r="215" spans="1:8" hidden="1" outlineLevel="1">
      <c r="A215" t="s">
        <v>77</v>
      </c>
      <c r="B215" s="26" t="str">
        <f>IF(SUMIFS('BSE - SENSEX Index Options'!$L:$L,'BSE - SENSEX Index Options'!$C:$C,$A215,'BSE - SENSEX Index Options'!$B:$B,B$147)+SUMIFS('BSE - Other Index Options'!$L:$L,'BSE - Other Index Options'!$C:$C,$A215,'BSE - Other Index Options'!$B:$B,B$147)=0,"",SUMIFS('BSE - SENSEX Index Options'!$L:$L,'BSE - SENSEX Index Options'!$C:$C,$A215,'BSE - SENSEX Index Options'!$B:$B,B$147)+SUMIFS('BSE - Other Index Options'!$L:$L,'BSE - Other Index Options'!$C:$C,$A215,'BSE - Other Index Options'!$B:$B,B$147))</f>
        <v/>
      </c>
      <c r="C215" s="26" t="str">
        <f>IF(SUMIFS('BSE - SENSEX Index Options'!$L:$L,'BSE - SENSEX Index Options'!$C:$C,$A215,'BSE - SENSEX Index Options'!$B:$B,C$147)+SUMIFS('BSE - Other Index Options'!$L:$L,'BSE - Other Index Options'!$C:$C,$A215,'BSE - Other Index Options'!$B:$B,C$147)=0,"",SUMIFS('BSE - SENSEX Index Options'!$L:$L,'BSE - SENSEX Index Options'!$C:$C,$A215,'BSE - SENSEX Index Options'!$B:$B,C$147)+SUMIFS('BSE - Other Index Options'!$L:$L,'BSE - Other Index Options'!$C:$C,$A215,'BSE - Other Index Options'!$B:$B,C$147))</f>
        <v/>
      </c>
      <c r="D215" s="26" t="str">
        <f>IF(SUMIFS('BSE - SENSEX Index Options'!$L:$L,'BSE - SENSEX Index Options'!$C:$C,$A215,'BSE - SENSEX Index Options'!$B:$B,D$147)+SUMIFS('BSE - Other Index Options'!$L:$L,'BSE - Other Index Options'!$C:$C,$A215,'BSE - Other Index Options'!$B:$B,D$147)=0,"",SUMIFS('BSE - SENSEX Index Options'!$L:$L,'BSE - SENSEX Index Options'!$C:$C,$A215,'BSE - SENSEX Index Options'!$B:$B,D$147)+SUMIFS('BSE - Other Index Options'!$L:$L,'BSE - Other Index Options'!$C:$C,$A215,'BSE - Other Index Options'!$B:$B,D$147))</f>
        <v/>
      </c>
      <c r="E215" s="26" t="str">
        <f>IF(SUMIFS('BSE - SENSEX Index Options'!$L:$L,'BSE - SENSEX Index Options'!$C:$C,$A215,'BSE - SENSEX Index Options'!$B:$B,E$147)+SUMIFS('BSE - Other Index Options'!$L:$L,'BSE - Other Index Options'!$C:$C,$A215,'BSE - Other Index Options'!$B:$B,E$147)=0,"",SUMIFS('BSE - SENSEX Index Options'!$L:$L,'BSE - SENSEX Index Options'!$C:$C,$A215,'BSE - SENSEX Index Options'!$B:$B,E$147)+SUMIFS('BSE - Other Index Options'!$L:$L,'BSE - Other Index Options'!$C:$C,$A215,'BSE - Other Index Options'!$B:$B,E$147))</f>
        <v/>
      </c>
      <c r="F215" s="26" t="str">
        <f>IF(SUMIFS('BSE - SENSEX Index Options'!$L:$L,'BSE - SENSEX Index Options'!$C:$C,$A215,'BSE - SENSEX Index Options'!$B:$B,F$147)+SUMIFS('BSE - Other Index Options'!$L:$L,'BSE - Other Index Options'!$C:$C,$A215,'BSE - Other Index Options'!$B:$B,F$147)=0,"",SUMIFS('BSE - SENSEX Index Options'!$L:$L,'BSE - SENSEX Index Options'!$C:$C,$A215,'BSE - SENSEX Index Options'!$B:$B,F$147)+SUMIFS('BSE - Other Index Options'!$L:$L,'BSE - Other Index Options'!$C:$C,$A215,'BSE - Other Index Options'!$B:$B,F$147))</f>
        <v/>
      </c>
      <c r="G215" s="26" t="str">
        <f>IF(SUMIFS('BSE - SENSEX Index Options'!$L:$L,'BSE - SENSEX Index Options'!$C:$C,$A215,'BSE - SENSEX Index Options'!$B:$B,G$147)+SUMIFS('BSE - Other Index Options'!$L:$L,'BSE - Other Index Options'!$C:$C,$A215,'BSE - Other Index Options'!$B:$B,G$147)=0,"",SUMIFS('BSE - SENSEX Index Options'!$L:$L,'BSE - SENSEX Index Options'!$C:$C,$A215,'BSE - SENSEX Index Options'!$B:$B,G$147)+SUMIFS('BSE - Other Index Options'!$L:$L,'BSE - Other Index Options'!$C:$C,$A215,'BSE - Other Index Options'!$B:$B,G$147))</f>
        <v/>
      </c>
      <c r="H215" s="26" t="str">
        <f t="shared" si="8"/>
        <v/>
      </c>
    </row>
    <row r="216" spans="1:8" hidden="1" outlineLevel="1">
      <c r="A216" t="s">
        <v>78</v>
      </c>
      <c r="B216" s="26" t="str">
        <f>IF(SUMIFS('BSE - SENSEX Index Options'!$L:$L,'BSE - SENSEX Index Options'!$C:$C,$A216,'BSE - SENSEX Index Options'!$B:$B,B$147)+SUMIFS('BSE - Other Index Options'!$L:$L,'BSE - Other Index Options'!$C:$C,$A216,'BSE - Other Index Options'!$B:$B,B$147)=0,"",SUMIFS('BSE - SENSEX Index Options'!$L:$L,'BSE - SENSEX Index Options'!$C:$C,$A216,'BSE - SENSEX Index Options'!$B:$B,B$147)+SUMIFS('BSE - Other Index Options'!$L:$L,'BSE - Other Index Options'!$C:$C,$A216,'BSE - Other Index Options'!$B:$B,B$147))</f>
        <v/>
      </c>
      <c r="C216" s="26" t="str">
        <f>IF(SUMIFS('BSE - SENSEX Index Options'!$L:$L,'BSE - SENSEX Index Options'!$C:$C,$A216,'BSE - SENSEX Index Options'!$B:$B,C$147)+SUMIFS('BSE - Other Index Options'!$L:$L,'BSE - Other Index Options'!$C:$C,$A216,'BSE - Other Index Options'!$B:$B,C$147)=0,"",SUMIFS('BSE - SENSEX Index Options'!$L:$L,'BSE - SENSEX Index Options'!$C:$C,$A216,'BSE - SENSEX Index Options'!$B:$B,C$147)+SUMIFS('BSE - Other Index Options'!$L:$L,'BSE - Other Index Options'!$C:$C,$A216,'BSE - Other Index Options'!$B:$B,C$147))</f>
        <v/>
      </c>
      <c r="D216" s="26" t="str">
        <f>IF(SUMIFS('BSE - SENSEX Index Options'!$L:$L,'BSE - SENSEX Index Options'!$C:$C,$A216,'BSE - SENSEX Index Options'!$B:$B,D$147)+SUMIFS('BSE - Other Index Options'!$L:$L,'BSE - Other Index Options'!$C:$C,$A216,'BSE - Other Index Options'!$B:$B,D$147)=0,"",SUMIFS('BSE - SENSEX Index Options'!$L:$L,'BSE - SENSEX Index Options'!$C:$C,$A216,'BSE - SENSEX Index Options'!$B:$B,D$147)+SUMIFS('BSE - Other Index Options'!$L:$L,'BSE - Other Index Options'!$C:$C,$A216,'BSE - Other Index Options'!$B:$B,D$147))</f>
        <v/>
      </c>
      <c r="E216" s="26" t="str">
        <f>IF(SUMIFS('BSE - SENSEX Index Options'!$L:$L,'BSE - SENSEX Index Options'!$C:$C,$A216,'BSE - SENSEX Index Options'!$B:$B,E$147)+SUMIFS('BSE - Other Index Options'!$L:$L,'BSE - Other Index Options'!$C:$C,$A216,'BSE - Other Index Options'!$B:$B,E$147)=0,"",SUMIFS('BSE - SENSEX Index Options'!$L:$L,'BSE - SENSEX Index Options'!$C:$C,$A216,'BSE - SENSEX Index Options'!$B:$B,E$147)+SUMIFS('BSE - Other Index Options'!$L:$L,'BSE - Other Index Options'!$C:$C,$A216,'BSE - Other Index Options'!$B:$B,E$147))</f>
        <v/>
      </c>
      <c r="F216" s="26" t="str">
        <f>IF(SUMIFS('BSE - SENSEX Index Options'!$L:$L,'BSE - SENSEX Index Options'!$C:$C,$A216,'BSE - SENSEX Index Options'!$B:$B,F$147)+SUMIFS('BSE - Other Index Options'!$L:$L,'BSE - Other Index Options'!$C:$C,$A216,'BSE - Other Index Options'!$B:$B,F$147)=0,"",SUMIFS('BSE - SENSEX Index Options'!$L:$L,'BSE - SENSEX Index Options'!$C:$C,$A216,'BSE - SENSEX Index Options'!$B:$B,F$147)+SUMIFS('BSE - Other Index Options'!$L:$L,'BSE - Other Index Options'!$C:$C,$A216,'BSE - Other Index Options'!$B:$B,F$147))</f>
        <v/>
      </c>
      <c r="G216" s="26" t="str">
        <f>IF(SUMIFS('BSE - SENSEX Index Options'!$L:$L,'BSE - SENSEX Index Options'!$C:$C,$A216,'BSE - SENSEX Index Options'!$B:$B,G$147)+SUMIFS('BSE - Other Index Options'!$L:$L,'BSE - Other Index Options'!$C:$C,$A216,'BSE - Other Index Options'!$B:$B,G$147)=0,"",SUMIFS('BSE - SENSEX Index Options'!$L:$L,'BSE - SENSEX Index Options'!$C:$C,$A216,'BSE - SENSEX Index Options'!$B:$B,G$147)+SUMIFS('BSE - Other Index Options'!$L:$L,'BSE - Other Index Options'!$C:$C,$A216,'BSE - Other Index Options'!$B:$B,G$147))</f>
        <v/>
      </c>
      <c r="H216" s="26" t="str">
        <f t="shared" si="8"/>
        <v/>
      </c>
    </row>
    <row r="217" spans="1:8" hidden="1" outlineLevel="1">
      <c r="A217" t="s">
        <v>79</v>
      </c>
      <c r="B217" s="26" t="str">
        <f>IF(SUMIFS('BSE - SENSEX Index Options'!$L:$L,'BSE - SENSEX Index Options'!$C:$C,$A217,'BSE - SENSEX Index Options'!$B:$B,B$147)+SUMIFS('BSE - Other Index Options'!$L:$L,'BSE - Other Index Options'!$C:$C,$A217,'BSE - Other Index Options'!$B:$B,B$147)=0,"",SUMIFS('BSE - SENSEX Index Options'!$L:$L,'BSE - SENSEX Index Options'!$C:$C,$A217,'BSE - SENSEX Index Options'!$B:$B,B$147)+SUMIFS('BSE - Other Index Options'!$L:$L,'BSE - Other Index Options'!$C:$C,$A217,'BSE - Other Index Options'!$B:$B,B$147))</f>
        <v/>
      </c>
      <c r="C217" s="26" t="str">
        <f>IF(SUMIFS('BSE - SENSEX Index Options'!$L:$L,'BSE - SENSEX Index Options'!$C:$C,$A217,'BSE - SENSEX Index Options'!$B:$B,C$147)+SUMIFS('BSE - Other Index Options'!$L:$L,'BSE - Other Index Options'!$C:$C,$A217,'BSE - Other Index Options'!$B:$B,C$147)=0,"",SUMIFS('BSE - SENSEX Index Options'!$L:$L,'BSE - SENSEX Index Options'!$C:$C,$A217,'BSE - SENSEX Index Options'!$B:$B,C$147)+SUMIFS('BSE - Other Index Options'!$L:$L,'BSE - Other Index Options'!$C:$C,$A217,'BSE - Other Index Options'!$B:$B,C$147))</f>
        <v/>
      </c>
      <c r="D217" s="26" t="str">
        <f>IF(SUMIFS('BSE - SENSEX Index Options'!$L:$L,'BSE - SENSEX Index Options'!$C:$C,$A217,'BSE - SENSEX Index Options'!$B:$B,D$147)+SUMIFS('BSE - Other Index Options'!$L:$L,'BSE - Other Index Options'!$C:$C,$A217,'BSE - Other Index Options'!$B:$B,D$147)=0,"",SUMIFS('BSE - SENSEX Index Options'!$L:$L,'BSE - SENSEX Index Options'!$C:$C,$A217,'BSE - SENSEX Index Options'!$B:$B,D$147)+SUMIFS('BSE - Other Index Options'!$L:$L,'BSE - Other Index Options'!$C:$C,$A217,'BSE - Other Index Options'!$B:$B,D$147))</f>
        <v/>
      </c>
      <c r="E217" s="26" t="str">
        <f>IF(SUMIFS('BSE - SENSEX Index Options'!$L:$L,'BSE - SENSEX Index Options'!$C:$C,$A217,'BSE - SENSEX Index Options'!$B:$B,E$147)+SUMIFS('BSE - Other Index Options'!$L:$L,'BSE - Other Index Options'!$C:$C,$A217,'BSE - Other Index Options'!$B:$B,E$147)=0,"",SUMIFS('BSE - SENSEX Index Options'!$L:$L,'BSE - SENSEX Index Options'!$C:$C,$A217,'BSE - SENSEX Index Options'!$B:$B,E$147)+SUMIFS('BSE - Other Index Options'!$L:$L,'BSE - Other Index Options'!$C:$C,$A217,'BSE - Other Index Options'!$B:$B,E$147))</f>
        <v/>
      </c>
      <c r="F217" s="26" t="str">
        <f>IF(SUMIFS('BSE - SENSEX Index Options'!$L:$L,'BSE - SENSEX Index Options'!$C:$C,$A217,'BSE - SENSEX Index Options'!$B:$B,F$147)+SUMIFS('BSE - Other Index Options'!$L:$L,'BSE - Other Index Options'!$C:$C,$A217,'BSE - Other Index Options'!$B:$B,F$147)=0,"",SUMIFS('BSE - SENSEX Index Options'!$L:$L,'BSE - SENSEX Index Options'!$C:$C,$A217,'BSE - SENSEX Index Options'!$B:$B,F$147)+SUMIFS('BSE - Other Index Options'!$L:$L,'BSE - Other Index Options'!$C:$C,$A217,'BSE - Other Index Options'!$B:$B,F$147))</f>
        <v/>
      </c>
      <c r="G217" s="26" t="str">
        <f>IF(SUMIFS('BSE - SENSEX Index Options'!$L:$L,'BSE - SENSEX Index Options'!$C:$C,$A217,'BSE - SENSEX Index Options'!$B:$B,G$147)+SUMIFS('BSE - Other Index Options'!$L:$L,'BSE - Other Index Options'!$C:$C,$A217,'BSE - Other Index Options'!$B:$B,G$147)=0,"",SUMIFS('BSE - SENSEX Index Options'!$L:$L,'BSE - SENSEX Index Options'!$C:$C,$A217,'BSE - SENSEX Index Options'!$B:$B,G$147)+SUMIFS('BSE - Other Index Options'!$L:$L,'BSE - Other Index Options'!$C:$C,$A217,'BSE - Other Index Options'!$B:$B,G$147))</f>
        <v/>
      </c>
      <c r="H217" s="26" t="str">
        <f t="shared" si="8"/>
        <v/>
      </c>
    </row>
    <row r="218" spans="1:8" hidden="1" outlineLevel="1">
      <c r="A218" t="s">
        <v>80</v>
      </c>
      <c r="B218" s="26" t="str">
        <f>IF(SUMIFS('BSE - SENSEX Index Options'!$L:$L,'BSE - SENSEX Index Options'!$C:$C,$A218,'BSE - SENSEX Index Options'!$B:$B,B$147)+SUMIFS('BSE - Other Index Options'!$L:$L,'BSE - Other Index Options'!$C:$C,$A218,'BSE - Other Index Options'!$B:$B,B$147)=0,"",SUMIFS('BSE - SENSEX Index Options'!$L:$L,'BSE - SENSEX Index Options'!$C:$C,$A218,'BSE - SENSEX Index Options'!$B:$B,B$147)+SUMIFS('BSE - Other Index Options'!$L:$L,'BSE - Other Index Options'!$C:$C,$A218,'BSE - Other Index Options'!$B:$B,B$147))</f>
        <v/>
      </c>
      <c r="C218" s="26" t="str">
        <f>IF(SUMIFS('BSE - SENSEX Index Options'!$L:$L,'BSE - SENSEX Index Options'!$C:$C,$A218,'BSE - SENSEX Index Options'!$B:$B,C$147)+SUMIFS('BSE - Other Index Options'!$L:$L,'BSE - Other Index Options'!$C:$C,$A218,'BSE - Other Index Options'!$B:$B,C$147)=0,"",SUMIFS('BSE - SENSEX Index Options'!$L:$L,'BSE - SENSEX Index Options'!$C:$C,$A218,'BSE - SENSEX Index Options'!$B:$B,C$147)+SUMIFS('BSE - Other Index Options'!$L:$L,'BSE - Other Index Options'!$C:$C,$A218,'BSE - Other Index Options'!$B:$B,C$147))</f>
        <v/>
      </c>
      <c r="D218" s="26" t="str">
        <f>IF(SUMIFS('BSE - SENSEX Index Options'!$L:$L,'BSE - SENSEX Index Options'!$C:$C,$A218,'BSE - SENSEX Index Options'!$B:$B,D$147)+SUMIFS('BSE - Other Index Options'!$L:$L,'BSE - Other Index Options'!$C:$C,$A218,'BSE - Other Index Options'!$B:$B,D$147)=0,"",SUMIFS('BSE - SENSEX Index Options'!$L:$L,'BSE - SENSEX Index Options'!$C:$C,$A218,'BSE - SENSEX Index Options'!$B:$B,D$147)+SUMIFS('BSE - Other Index Options'!$L:$L,'BSE - Other Index Options'!$C:$C,$A218,'BSE - Other Index Options'!$B:$B,D$147))</f>
        <v/>
      </c>
      <c r="E218" s="26" t="str">
        <f>IF(SUMIFS('BSE - SENSEX Index Options'!$L:$L,'BSE - SENSEX Index Options'!$C:$C,$A218,'BSE - SENSEX Index Options'!$B:$B,E$147)+SUMIFS('BSE - Other Index Options'!$L:$L,'BSE - Other Index Options'!$C:$C,$A218,'BSE - Other Index Options'!$B:$B,E$147)=0,"",SUMIFS('BSE - SENSEX Index Options'!$L:$L,'BSE - SENSEX Index Options'!$C:$C,$A218,'BSE - SENSEX Index Options'!$B:$B,E$147)+SUMIFS('BSE - Other Index Options'!$L:$L,'BSE - Other Index Options'!$C:$C,$A218,'BSE - Other Index Options'!$B:$B,E$147))</f>
        <v/>
      </c>
      <c r="F218" s="26" t="str">
        <f>IF(SUMIFS('BSE - SENSEX Index Options'!$L:$L,'BSE - SENSEX Index Options'!$C:$C,$A218,'BSE - SENSEX Index Options'!$B:$B,F$147)+SUMIFS('BSE - Other Index Options'!$L:$L,'BSE - Other Index Options'!$C:$C,$A218,'BSE - Other Index Options'!$B:$B,F$147)=0,"",SUMIFS('BSE - SENSEX Index Options'!$L:$L,'BSE - SENSEX Index Options'!$C:$C,$A218,'BSE - SENSEX Index Options'!$B:$B,F$147)+SUMIFS('BSE - Other Index Options'!$L:$L,'BSE - Other Index Options'!$C:$C,$A218,'BSE - Other Index Options'!$B:$B,F$147))</f>
        <v/>
      </c>
      <c r="G218" s="26" t="str">
        <f>IF(SUMIFS('BSE - SENSEX Index Options'!$L:$L,'BSE - SENSEX Index Options'!$C:$C,$A218,'BSE - SENSEX Index Options'!$B:$B,G$147)+SUMIFS('BSE - Other Index Options'!$L:$L,'BSE - Other Index Options'!$C:$C,$A218,'BSE - Other Index Options'!$B:$B,G$147)=0,"",SUMIFS('BSE - SENSEX Index Options'!$L:$L,'BSE - SENSEX Index Options'!$C:$C,$A218,'BSE - SENSEX Index Options'!$B:$B,G$147)+SUMIFS('BSE - Other Index Options'!$L:$L,'BSE - Other Index Options'!$C:$C,$A218,'BSE - Other Index Options'!$B:$B,G$147))</f>
        <v/>
      </c>
      <c r="H218" s="26" t="str">
        <f t="shared" si="8"/>
        <v/>
      </c>
    </row>
    <row r="219" spans="1:8" hidden="1" outlineLevel="1">
      <c r="A219" t="s">
        <v>81</v>
      </c>
      <c r="B219" s="26" t="str">
        <f>IF(SUMIFS('BSE - SENSEX Index Options'!$L:$L,'BSE - SENSEX Index Options'!$C:$C,$A219,'BSE - SENSEX Index Options'!$B:$B,B$147)+SUMIFS('BSE - Other Index Options'!$L:$L,'BSE - Other Index Options'!$C:$C,$A219,'BSE - Other Index Options'!$B:$B,B$147)=0,"",SUMIFS('BSE - SENSEX Index Options'!$L:$L,'BSE - SENSEX Index Options'!$C:$C,$A219,'BSE - SENSEX Index Options'!$B:$B,B$147)+SUMIFS('BSE - Other Index Options'!$L:$L,'BSE - Other Index Options'!$C:$C,$A219,'BSE - Other Index Options'!$B:$B,B$147))</f>
        <v/>
      </c>
      <c r="C219" s="26" t="str">
        <f>IF(SUMIFS('BSE - SENSEX Index Options'!$L:$L,'BSE - SENSEX Index Options'!$C:$C,$A219,'BSE - SENSEX Index Options'!$B:$B,C$147)+SUMIFS('BSE - Other Index Options'!$L:$L,'BSE - Other Index Options'!$C:$C,$A219,'BSE - Other Index Options'!$B:$B,C$147)=0,"",SUMIFS('BSE - SENSEX Index Options'!$L:$L,'BSE - SENSEX Index Options'!$C:$C,$A219,'BSE - SENSEX Index Options'!$B:$B,C$147)+SUMIFS('BSE - Other Index Options'!$L:$L,'BSE - Other Index Options'!$C:$C,$A219,'BSE - Other Index Options'!$B:$B,C$147))</f>
        <v/>
      </c>
      <c r="D219" s="26" t="str">
        <f>IF(SUMIFS('BSE - SENSEX Index Options'!$L:$L,'BSE - SENSEX Index Options'!$C:$C,$A219,'BSE - SENSEX Index Options'!$B:$B,D$147)+SUMIFS('BSE - Other Index Options'!$L:$L,'BSE - Other Index Options'!$C:$C,$A219,'BSE - Other Index Options'!$B:$B,D$147)=0,"",SUMIFS('BSE - SENSEX Index Options'!$L:$L,'BSE - SENSEX Index Options'!$C:$C,$A219,'BSE - SENSEX Index Options'!$B:$B,D$147)+SUMIFS('BSE - Other Index Options'!$L:$L,'BSE - Other Index Options'!$C:$C,$A219,'BSE - Other Index Options'!$B:$B,D$147))</f>
        <v/>
      </c>
      <c r="E219" s="26" t="str">
        <f>IF(SUMIFS('BSE - SENSEX Index Options'!$L:$L,'BSE - SENSEX Index Options'!$C:$C,$A219,'BSE - SENSEX Index Options'!$B:$B,E$147)+SUMIFS('BSE - Other Index Options'!$L:$L,'BSE - Other Index Options'!$C:$C,$A219,'BSE - Other Index Options'!$B:$B,E$147)=0,"",SUMIFS('BSE - SENSEX Index Options'!$L:$L,'BSE - SENSEX Index Options'!$C:$C,$A219,'BSE - SENSEX Index Options'!$B:$B,E$147)+SUMIFS('BSE - Other Index Options'!$L:$L,'BSE - Other Index Options'!$C:$C,$A219,'BSE - Other Index Options'!$B:$B,E$147))</f>
        <v/>
      </c>
      <c r="F219" s="26" t="str">
        <f>IF(SUMIFS('BSE - SENSEX Index Options'!$L:$L,'BSE - SENSEX Index Options'!$C:$C,$A219,'BSE - SENSEX Index Options'!$B:$B,F$147)+SUMIFS('BSE - Other Index Options'!$L:$L,'BSE - Other Index Options'!$C:$C,$A219,'BSE - Other Index Options'!$B:$B,F$147)=0,"",SUMIFS('BSE - SENSEX Index Options'!$L:$L,'BSE - SENSEX Index Options'!$C:$C,$A219,'BSE - SENSEX Index Options'!$B:$B,F$147)+SUMIFS('BSE - Other Index Options'!$L:$L,'BSE - Other Index Options'!$C:$C,$A219,'BSE - Other Index Options'!$B:$B,F$147))</f>
        <v/>
      </c>
      <c r="G219" s="26" t="str">
        <f>IF(SUMIFS('BSE - SENSEX Index Options'!$L:$L,'BSE - SENSEX Index Options'!$C:$C,$A219,'BSE - SENSEX Index Options'!$B:$B,G$147)+SUMIFS('BSE - Other Index Options'!$L:$L,'BSE - Other Index Options'!$C:$C,$A219,'BSE - Other Index Options'!$B:$B,G$147)=0,"",SUMIFS('BSE - SENSEX Index Options'!$L:$L,'BSE - SENSEX Index Options'!$C:$C,$A219,'BSE - SENSEX Index Options'!$B:$B,G$147)+SUMIFS('BSE - Other Index Options'!$L:$L,'BSE - Other Index Options'!$C:$C,$A219,'BSE - Other Index Options'!$B:$B,G$147))</f>
        <v/>
      </c>
      <c r="H219" s="26" t="str">
        <f t="shared" si="8"/>
        <v/>
      </c>
    </row>
    <row r="220" spans="1:8" hidden="1" outlineLevel="1">
      <c r="A220" t="s">
        <v>82</v>
      </c>
      <c r="B220" s="26" t="str">
        <f>IF(SUMIFS('BSE - SENSEX Index Options'!$L:$L,'BSE - SENSEX Index Options'!$C:$C,$A220,'BSE - SENSEX Index Options'!$B:$B,B$147)+SUMIFS('BSE - Other Index Options'!$L:$L,'BSE - Other Index Options'!$C:$C,$A220,'BSE - Other Index Options'!$B:$B,B$147)=0,"",SUMIFS('BSE - SENSEX Index Options'!$L:$L,'BSE - SENSEX Index Options'!$C:$C,$A220,'BSE - SENSEX Index Options'!$B:$B,B$147)+SUMIFS('BSE - Other Index Options'!$L:$L,'BSE - Other Index Options'!$C:$C,$A220,'BSE - Other Index Options'!$B:$B,B$147))</f>
        <v/>
      </c>
      <c r="C220" s="26" t="str">
        <f>IF(SUMIFS('BSE - SENSEX Index Options'!$L:$L,'BSE - SENSEX Index Options'!$C:$C,$A220,'BSE - SENSEX Index Options'!$B:$B,C$147)+SUMIFS('BSE - Other Index Options'!$L:$L,'BSE - Other Index Options'!$C:$C,$A220,'BSE - Other Index Options'!$B:$B,C$147)=0,"",SUMIFS('BSE - SENSEX Index Options'!$L:$L,'BSE - SENSEX Index Options'!$C:$C,$A220,'BSE - SENSEX Index Options'!$B:$B,C$147)+SUMIFS('BSE - Other Index Options'!$L:$L,'BSE - Other Index Options'!$C:$C,$A220,'BSE - Other Index Options'!$B:$B,C$147))</f>
        <v/>
      </c>
      <c r="D220" s="26" t="str">
        <f>IF(SUMIFS('BSE - SENSEX Index Options'!$L:$L,'BSE - SENSEX Index Options'!$C:$C,$A220,'BSE - SENSEX Index Options'!$B:$B,D$147)+SUMIFS('BSE - Other Index Options'!$L:$L,'BSE - Other Index Options'!$C:$C,$A220,'BSE - Other Index Options'!$B:$B,D$147)=0,"",SUMIFS('BSE - SENSEX Index Options'!$L:$L,'BSE - SENSEX Index Options'!$C:$C,$A220,'BSE - SENSEX Index Options'!$B:$B,D$147)+SUMIFS('BSE - Other Index Options'!$L:$L,'BSE - Other Index Options'!$C:$C,$A220,'BSE - Other Index Options'!$B:$B,D$147))</f>
        <v/>
      </c>
      <c r="E220" s="26" t="str">
        <f>IF(SUMIFS('BSE - SENSEX Index Options'!$L:$L,'BSE - SENSEX Index Options'!$C:$C,$A220,'BSE - SENSEX Index Options'!$B:$B,E$147)+SUMIFS('BSE - Other Index Options'!$L:$L,'BSE - Other Index Options'!$C:$C,$A220,'BSE - Other Index Options'!$B:$B,E$147)=0,"",SUMIFS('BSE - SENSEX Index Options'!$L:$L,'BSE - SENSEX Index Options'!$C:$C,$A220,'BSE - SENSEX Index Options'!$B:$B,E$147)+SUMIFS('BSE - Other Index Options'!$L:$L,'BSE - Other Index Options'!$C:$C,$A220,'BSE - Other Index Options'!$B:$B,E$147))</f>
        <v/>
      </c>
      <c r="F220" s="26" t="str">
        <f>IF(SUMIFS('BSE - SENSEX Index Options'!$L:$L,'BSE - SENSEX Index Options'!$C:$C,$A220,'BSE - SENSEX Index Options'!$B:$B,F$147)+SUMIFS('BSE - Other Index Options'!$L:$L,'BSE - Other Index Options'!$C:$C,$A220,'BSE - Other Index Options'!$B:$B,F$147)=0,"",SUMIFS('BSE - SENSEX Index Options'!$L:$L,'BSE - SENSEX Index Options'!$C:$C,$A220,'BSE - SENSEX Index Options'!$B:$B,F$147)+SUMIFS('BSE - Other Index Options'!$L:$L,'BSE - Other Index Options'!$C:$C,$A220,'BSE - Other Index Options'!$B:$B,F$147))</f>
        <v/>
      </c>
      <c r="G220" s="26" t="str">
        <f>IF(SUMIFS('BSE - SENSEX Index Options'!$L:$L,'BSE - SENSEX Index Options'!$C:$C,$A220,'BSE - SENSEX Index Options'!$B:$B,G$147)+SUMIFS('BSE - Other Index Options'!$L:$L,'BSE - Other Index Options'!$C:$C,$A220,'BSE - Other Index Options'!$B:$B,G$147)=0,"",SUMIFS('BSE - SENSEX Index Options'!$L:$L,'BSE - SENSEX Index Options'!$C:$C,$A220,'BSE - SENSEX Index Options'!$B:$B,G$147)+SUMIFS('BSE - Other Index Options'!$L:$L,'BSE - Other Index Options'!$C:$C,$A220,'BSE - Other Index Options'!$B:$B,G$147))</f>
        <v/>
      </c>
      <c r="H220" s="26" t="str">
        <f t="shared" si="8"/>
        <v/>
      </c>
    </row>
    <row r="221" spans="1:8" hidden="1" outlineLevel="1">
      <c r="A221" t="s">
        <v>83</v>
      </c>
      <c r="B221" s="26" t="str">
        <f>IF(SUMIFS('BSE - SENSEX Index Options'!$L:$L,'BSE - SENSEX Index Options'!$C:$C,$A221,'BSE - SENSEX Index Options'!$B:$B,B$147)+SUMIFS('BSE - Other Index Options'!$L:$L,'BSE - Other Index Options'!$C:$C,$A221,'BSE - Other Index Options'!$B:$B,B$147)=0,"",SUMIFS('BSE - SENSEX Index Options'!$L:$L,'BSE - SENSEX Index Options'!$C:$C,$A221,'BSE - SENSEX Index Options'!$B:$B,B$147)+SUMIFS('BSE - Other Index Options'!$L:$L,'BSE - Other Index Options'!$C:$C,$A221,'BSE - Other Index Options'!$B:$B,B$147))</f>
        <v/>
      </c>
      <c r="C221" s="26" t="str">
        <f>IF(SUMIFS('BSE - SENSEX Index Options'!$L:$L,'BSE - SENSEX Index Options'!$C:$C,$A221,'BSE - SENSEX Index Options'!$B:$B,C$147)+SUMIFS('BSE - Other Index Options'!$L:$L,'BSE - Other Index Options'!$C:$C,$A221,'BSE - Other Index Options'!$B:$B,C$147)=0,"",SUMIFS('BSE - SENSEX Index Options'!$L:$L,'BSE - SENSEX Index Options'!$C:$C,$A221,'BSE - SENSEX Index Options'!$B:$B,C$147)+SUMIFS('BSE - Other Index Options'!$L:$L,'BSE - Other Index Options'!$C:$C,$A221,'BSE - Other Index Options'!$B:$B,C$147))</f>
        <v/>
      </c>
      <c r="D221" s="26" t="str">
        <f>IF(SUMIFS('BSE - SENSEX Index Options'!$L:$L,'BSE - SENSEX Index Options'!$C:$C,$A221,'BSE - SENSEX Index Options'!$B:$B,D$147)+SUMIFS('BSE - Other Index Options'!$L:$L,'BSE - Other Index Options'!$C:$C,$A221,'BSE - Other Index Options'!$B:$B,D$147)=0,"",SUMIFS('BSE - SENSEX Index Options'!$L:$L,'BSE - SENSEX Index Options'!$C:$C,$A221,'BSE - SENSEX Index Options'!$B:$B,D$147)+SUMIFS('BSE - Other Index Options'!$L:$L,'BSE - Other Index Options'!$C:$C,$A221,'BSE - Other Index Options'!$B:$B,D$147))</f>
        <v/>
      </c>
      <c r="E221" s="26" t="str">
        <f>IF(SUMIFS('BSE - SENSEX Index Options'!$L:$L,'BSE - SENSEX Index Options'!$C:$C,$A221,'BSE - SENSEX Index Options'!$B:$B,E$147)+SUMIFS('BSE - Other Index Options'!$L:$L,'BSE - Other Index Options'!$C:$C,$A221,'BSE - Other Index Options'!$B:$B,E$147)=0,"",SUMIFS('BSE - SENSEX Index Options'!$L:$L,'BSE - SENSEX Index Options'!$C:$C,$A221,'BSE - SENSEX Index Options'!$B:$B,E$147)+SUMIFS('BSE - Other Index Options'!$L:$L,'BSE - Other Index Options'!$C:$C,$A221,'BSE - Other Index Options'!$B:$B,E$147))</f>
        <v/>
      </c>
      <c r="F221" s="26" t="str">
        <f>IF(SUMIFS('BSE - SENSEX Index Options'!$L:$L,'BSE - SENSEX Index Options'!$C:$C,$A221,'BSE - SENSEX Index Options'!$B:$B,F$147)+SUMIFS('BSE - Other Index Options'!$L:$L,'BSE - Other Index Options'!$C:$C,$A221,'BSE - Other Index Options'!$B:$B,F$147)=0,"",SUMIFS('BSE - SENSEX Index Options'!$L:$L,'BSE - SENSEX Index Options'!$C:$C,$A221,'BSE - SENSEX Index Options'!$B:$B,F$147)+SUMIFS('BSE - Other Index Options'!$L:$L,'BSE - Other Index Options'!$C:$C,$A221,'BSE - Other Index Options'!$B:$B,F$147))</f>
        <v/>
      </c>
      <c r="G221" s="26" t="str">
        <f>IF(SUMIFS('BSE - SENSEX Index Options'!$L:$L,'BSE - SENSEX Index Options'!$C:$C,$A221,'BSE - SENSEX Index Options'!$B:$B,G$147)+SUMIFS('BSE - Other Index Options'!$L:$L,'BSE - Other Index Options'!$C:$C,$A221,'BSE - Other Index Options'!$B:$B,G$147)=0,"",SUMIFS('BSE - SENSEX Index Options'!$L:$L,'BSE - SENSEX Index Options'!$C:$C,$A221,'BSE - SENSEX Index Options'!$B:$B,G$147)+SUMIFS('BSE - Other Index Options'!$L:$L,'BSE - Other Index Options'!$C:$C,$A221,'BSE - Other Index Options'!$B:$B,G$147))</f>
        <v/>
      </c>
      <c r="H221" s="26" t="str">
        <f t="shared" si="8"/>
        <v/>
      </c>
    </row>
    <row r="222" spans="1:8" hidden="1" outlineLevel="1">
      <c r="A222" t="s">
        <v>84</v>
      </c>
      <c r="B222" s="26" t="str">
        <f>IF(SUMIFS('BSE - SENSEX Index Options'!$L:$L,'BSE - SENSEX Index Options'!$C:$C,$A222,'BSE - SENSEX Index Options'!$B:$B,B$147)+SUMIFS('BSE - Other Index Options'!$L:$L,'BSE - Other Index Options'!$C:$C,$A222,'BSE - Other Index Options'!$B:$B,B$147)=0,"",SUMIFS('BSE - SENSEX Index Options'!$L:$L,'BSE - SENSEX Index Options'!$C:$C,$A222,'BSE - SENSEX Index Options'!$B:$B,B$147)+SUMIFS('BSE - Other Index Options'!$L:$L,'BSE - Other Index Options'!$C:$C,$A222,'BSE - Other Index Options'!$B:$B,B$147))</f>
        <v/>
      </c>
      <c r="C222" s="26" t="str">
        <f>IF(SUMIFS('BSE - SENSEX Index Options'!$L:$L,'BSE - SENSEX Index Options'!$C:$C,$A222,'BSE - SENSEX Index Options'!$B:$B,C$147)+SUMIFS('BSE - Other Index Options'!$L:$L,'BSE - Other Index Options'!$C:$C,$A222,'BSE - Other Index Options'!$B:$B,C$147)=0,"",SUMIFS('BSE - SENSEX Index Options'!$L:$L,'BSE - SENSEX Index Options'!$C:$C,$A222,'BSE - SENSEX Index Options'!$B:$B,C$147)+SUMIFS('BSE - Other Index Options'!$L:$L,'BSE - Other Index Options'!$C:$C,$A222,'BSE - Other Index Options'!$B:$B,C$147))</f>
        <v/>
      </c>
      <c r="D222" s="26" t="str">
        <f>IF(SUMIFS('BSE - SENSEX Index Options'!$L:$L,'BSE - SENSEX Index Options'!$C:$C,$A222,'BSE - SENSEX Index Options'!$B:$B,D$147)+SUMIFS('BSE - Other Index Options'!$L:$L,'BSE - Other Index Options'!$C:$C,$A222,'BSE - Other Index Options'!$B:$B,D$147)=0,"",SUMIFS('BSE - SENSEX Index Options'!$L:$L,'BSE - SENSEX Index Options'!$C:$C,$A222,'BSE - SENSEX Index Options'!$B:$B,D$147)+SUMIFS('BSE - Other Index Options'!$L:$L,'BSE - Other Index Options'!$C:$C,$A222,'BSE - Other Index Options'!$B:$B,D$147))</f>
        <v/>
      </c>
      <c r="E222" s="26" t="str">
        <f>IF(SUMIFS('BSE - SENSEX Index Options'!$L:$L,'BSE - SENSEX Index Options'!$C:$C,$A222,'BSE - SENSEX Index Options'!$B:$B,E$147)+SUMIFS('BSE - Other Index Options'!$L:$L,'BSE - Other Index Options'!$C:$C,$A222,'BSE - Other Index Options'!$B:$B,E$147)=0,"",SUMIFS('BSE - SENSEX Index Options'!$L:$L,'BSE - SENSEX Index Options'!$C:$C,$A222,'BSE - SENSEX Index Options'!$B:$B,E$147)+SUMIFS('BSE - Other Index Options'!$L:$L,'BSE - Other Index Options'!$C:$C,$A222,'BSE - Other Index Options'!$B:$B,E$147))</f>
        <v/>
      </c>
      <c r="F222" s="26" t="str">
        <f>IF(SUMIFS('BSE - SENSEX Index Options'!$L:$L,'BSE - SENSEX Index Options'!$C:$C,$A222,'BSE - SENSEX Index Options'!$B:$B,F$147)+SUMIFS('BSE - Other Index Options'!$L:$L,'BSE - Other Index Options'!$C:$C,$A222,'BSE - Other Index Options'!$B:$B,F$147)=0,"",SUMIFS('BSE - SENSEX Index Options'!$L:$L,'BSE - SENSEX Index Options'!$C:$C,$A222,'BSE - SENSEX Index Options'!$B:$B,F$147)+SUMIFS('BSE - Other Index Options'!$L:$L,'BSE - Other Index Options'!$C:$C,$A222,'BSE - Other Index Options'!$B:$B,F$147))</f>
        <v/>
      </c>
      <c r="G222" s="26" t="str">
        <f>IF(SUMIFS('BSE - SENSEX Index Options'!$L:$L,'BSE - SENSEX Index Options'!$C:$C,$A222,'BSE - SENSEX Index Options'!$B:$B,G$147)+SUMIFS('BSE - Other Index Options'!$L:$L,'BSE - Other Index Options'!$C:$C,$A222,'BSE - Other Index Options'!$B:$B,G$147)=0,"",SUMIFS('BSE - SENSEX Index Options'!$L:$L,'BSE - SENSEX Index Options'!$C:$C,$A222,'BSE - SENSEX Index Options'!$B:$B,G$147)+SUMIFS('BSE - Other Index Options'!$L:$L,'BSE - Other Index Options'!$C:$C,$A222,'BSE - Other Index Options'!$B:$B,G$147))</f>
        <v/>
      </c>
      <c r="H222" s="26" t="str">
        <f t="shared" si="8"/>
        <v/>
      </c>
    </row>
    <row r="223" spans="1:8" hidden="1" outlineLevel="1">
      <c r="A223" t="s">
        <v>85</v>
      </c>
      <c r="B223" s="26" t="str">
        <f>IF(SUMIFS('BSE - SENSEX Index Options'!$L:$L,'BSE - SENSEX Index Options'!$C:$C,$A223,'BSE - SENSEX Index Options'!$B:$B,B$147)+SUMIFS('BSE - Other Index Options'!$L:$L,'BSE - Other Index Options'!$C:$C,$A223,'BSE - Other Index Options'!$B:$B,B$147)=0,"",SUMIFS('BSE - SENSEX Index Options'!$L:$L,'BSE - SENSEX Index Options'!$C:$C,$A223,'BSE - SENSEX Index Options'!$B:$B,B$147)+SUMIFS('BSE - Other Index Options'!$L:$L,'BSE - Other Index Options'!$C:$C,$A223,'BSE - Other Index Options'!$B:$B,B$147))</f>
        <v/>
      </c>
      <c r="C223" s="26" t="str">
        <f>IF(SUMIFS('BSE - SENSEX Index Options'!$L:$L,'BSE - SENSEX Index Options'!$C:$C,$A223,'BSE - SENSEX Index Options'!$B:$B,C$147)+SUMIFS('BSE - Other Index Options'!$L:$L,'BSE - Other Index Options'!$C:$C,$A223,'BSE - Other Index Options'!$B:$B,C$147)=0,"",SUMIFS('BSE - SENSEX Index Options'!$L:$L,'BSE - SENSEX Index Options'!$C:$C,$A223,'BSE - SENSEX Index Options'!$B:$B,C$147)+SUMIFS('BSE - Other Index Options'!$L:$L,'BSE - Other Index Options'!$C:$C,$A223,'BSE - Other Index Options'!$B:$B,C$147))</f>
        <v/>
      </c>
      <c r="D223" s="26" t="str">
        <f>IF(SUMIFS('BSE - SENSEX Index Options'!$L:$L,'BSE - SENSEX Index Options'!$C:$C,$A223,'BSE - SENSEX Index Options'!$B:$B,D$147)+SUMIFS('BSE - Other Index Options'!$L:$L,'BSE - Other Index Options'!$C:$C,$A223,'BSE - Other Index Options'!$B:$B,D$147)=0,"",SUMIFS('BSE - SENSEX Index Options'!$L:$L,'BSE - SENSEX Index Options'!$C:$C,$A223,'BSE - SENSEX Index Options'!$B:$B,D$147)+SUMIFS('BSE - Other Index Options'!$L:$L,'BSE - Other Index Options'!$C:$C,$A223,'BSE - Other Index Options'!$B:$B,D$147))</f>
        <v/>
      </c>
      <c r="E223" s="26" t="str">
        <f>IF(SUMIFS('BSE - SENSEX Index Options'!$L:$L,'BSE - SENSEX Index Options'!$C:$C,$A223,'BSE - SENSEX Index Options'!$B:$B,E$147)+SUMIFS('BSE - Other Index Options'!$L:$L,'BSE - Other Index Options'!$C:$C,$A223,'BSE - Other Index Options'!$B:$B,E$147)=0,"",SUMIFS('BSE - SENSEX Index Options'!$L:$L,'BSE - SENSEX Index Options'!$C:$C,$A223,'BSE - SENSEX Index Options'!$B:$B,E$147)+SUMIFS('BSE - Other Index Options'!$L:$L,'BSE - Other Index Options'!$C:$C,$A223,'BSE - Other Index Options'!$B:$B,E$147))</f>
        <v/>
      </c>
      <c r="F223" s="26" t="str">
        <f>IF(SUMIFS('BSE - SENSEX Index Options'!$L:$L,'BSE - SENSEX Index Options'!$C:$C,$A223,'BSE - SENSEX Index Options'!$B:$B,F$147)+SUMIFS('BSE - Other Index Options'!$L:$L,'BSE - Other Index Options'!$C:$C,$A223,'BSE - Other Index Options'!$B:$B,F$147)=0,"",SUMIFS('BSE - SENSEX Index Options'!$L:$L,'BSE - SENSEX Index Options'!$C:$C,$A223,'BSE - SENSEX Index Options'!$B:$B,F$147)+SUMIFS('BSE - Other Index Options'!$L:$L,'BSE - Other Index Options'!$C:$C,$A223,'BSE - Other Index Options'!$B:$B,F$147))</f>
        <v/>
      </c>
      <c r="G223" s="26" t="str">
        <f>IF(SUMIFS('BSE - SENSEX Index Options'!$L:$L,'BSE - SENSEX Index Options'!$C:$C,$A223,'BSE - SENSEX Index Options'!$B:$B,G$147)+SUMIFS('BSE - Other Index Options'!$L:$L,'BSE - Other Index Options'!$C:$C,$A223,'BSE - Other Index Options'!$B:$B,G$147)=0,"",SUMIFS('BSE - SENSEX Index Options'!$L:$L,'BSE - SENSEX Index Options'!$C:$C,$A223,'BSE - SENSEX Index Options'!$B:$B,G$147)+SUMIFS('BSE - Other Index Options'!$L:$L,'BSE - Other Index Options'!$C:$C,$A223,'BSE - Other Index Options'!$B:$B,G$147))</f>
        <v/>
      </c>
      <c r="H223" s="26" t="str">
        <f t="shared" si="8"/>
        <v/>
      </c>
    </row>
    <row r="224" spans="1:8" hidden="1" outlineLevel="1">
      <c r="A224" t="s">
        <v>86</v>
      </c>
      <c r="B224" s="26" t="str">
        <f>IF(SUMIFS('BSE - SENSEX Index Options'!$L:$L,'BSE - SENSEX Index Options'!$C:$C,$A224,'BSE - SENSEX Index Options'!$B:$B,B$147)+SUMIFS('BSE - Other Index Options'!$L:$L,'BSE - Other Index Options'!$C:$C,$A224,'BSE - Other Index Options'!$B:$B,B$147)=0,"",SUMIFS('BSE - SENSEX Index Options'!$L:$L,'BSE - SENSEX Index Options'!$C:$C,$A224,'BSE - SENSEX Index Options'!$B:$B,B$147)+SUMIFS('BSE - Other Index Options'!$L:$L,'BSE - Other Index Options'!$C:$C,$A224,'BSE - Other Index Options'!$B:$B,B$147))</f>
        <v/>
      </c>
      <c r="C224" s="26" t="str">
        <f>IF(SUMIFS('BSE - SENSEX Index Options'!$L:$L,'BSE - SENSEX Index Options'!$C:$C,$A224,'BSE - SENSEX Index Options'!$B:$B,C$147)+SUMIFS('BSE - Other Index Options'!$L:$L,'BSE - Other Index Options'!$C:$C,$A224,'BSE - Other Index Options'!$B:$B,C$147)=0,"",SUMIFS('BSE - SENSEX Index Options'!$L:$L,'BSE - SENSEX Index Options'!$C:$C,$A224,'BSE - SENSEX Index Options'!$B:$B,C$147)+SUMIFS('BSE - Other Index Options'!$L:$L,'BSE - Other Index Options'!$C:$C,$A224,'BSE - Other Index Options'!$B:$B,C$147))</f>
        <v/>
      </c>
      <c r="D224" s="26" t="str">
        <f>IF(SUMIFS('BSE - SENSEX Index Options'!$L:$L,'BSE - SENSEX Index Options'!$C:$C,$A224,'BSE - SENSEX Index Options'!$B:$B,D$147)+SUMIFS('BSE - Other Index Options'!$L:$L,'BSE - Other Index Options'!$C:$C,$A224,'BSE - Other Index Options'!$B:$B,D$147)=0,"",SUMIFS('BSE - SENSEX Index Options'!$L:$L,'BSE - SENSEX Index Options'!$C:$C,$A224,'BSE - SENSEX Index Options'!$B:$B,D$147)+SUMIFS('BSE - Other Index Options'!$L:$L,'BSE - Other Index Options'!$C:$C,$A224,'BSE - Other Index Options'!$B:$B,D$147))</f>
        <v/>
      </c>
      <c r="E224" s="26" t="str">
        <f>IF(SUMIFS('BSE - SENSEX Index Options'!$L:$L,'BSE - SENSEX Index Options'!$C:$C,$A224,'BSE - SENSEX Index Options'!$B:$B,E$147)+SUMIFS('BSE - Other Index Options'!$L:$L,'BSE - Other Index Options'!$C:$C,$A224,'BSE - Other Index Options'!$B:$B,E$147)=0,"",SUMIFS('BSE - SENSEX Index Options'!$L:$L,'BSE - SENSEX Index Options'!$C:$C,$A224,'BSE - SENSEX Index Options'!$B:$B,E$147)+SUMIFS('BSE - Other Index Options'!$L:$L,'BSE - Other Index Options'!$C:$C,$A224,'BSE - Other Index Options'!$B:$B,E$147))</f>
        <v/>
      </c>
      <c r="F224" s="26" t="str">
        <f>IF(SUMIFS('BSE - SENSEX Index Options'!$L:$L,'BSE - SENSEX Index Options'!$C:$C,$A224,'BSE - SENSEX Index Options'!$B:$B,F$147)+SUMIFS('BSE - Other Index Options'!$L:$L,'BSE - Other Index Options'!$C:$C,$A224,'BSE - Other Index Options'!$B:$B,F$147)=0,"",SUMIFS('BSE - SENSEX Index Options'!$L:$L,'BSE - SENSEX Index Options'!$C:$C,$A224,'BSE - SENSEX Index Options'!$B:$B,F$147)+SUMIFS('BSE - Other Index Options'!$L:$L,'BSE - Other Index Options'!$C:$C,$A224,'BSE - Other Index Options'!$B:$B,F$147))</f>
        <v/>
      </c>
      <c r="G224" s="26" t="str">
        <f>IF(SUMIFS('BSE - SENSEX Index Options'!$L:$L,'BSE - SENSEX Index Options'!$C:$C,$A224,'BSE - SENSEX Index Options'!$B:$B,G$147)+SUMIFS('BSE - Other Index Options'!$L:$L,'BSE - Other Index Options'!$C:$C,$A224,'BSE - Other Index Options'!$B:$B,G$147)=0,"",SUMIFS('BSE - SENSEX Index Options'!$L:$L,'BSE - SENSEX Index Options'!$C:$C,$A224,'BSE - SENSEX Index Options'!$B:$B,G$147)+SUMIFS('BSE - Other Index Options'!$L:$L,'BSE - Other Index Options'!$C:$C,$A224,'BSE - Other Index Options'!$B:$B,G$147))</f>
        <v/>
      </c>
      <c r="H224" s="26" t="str">
        <f t="shared" si="8"/>
        <v/>
      </c>
    </row>
    <row r="225" spans="1:8" hidden="1" outlineLevel="1">
      <c r="A225" t="s">
        <v>87</v>
      </c>
      <c r="B225" s="26" t="str">
        <f>IF(SUMIFS('BSE - SENSEX Index Options'!$L:$L,'BSE - SENSEX Index Options'!$C:$C,$A225,'BSE - SENSEX Index Options'!$B:$B,B$147)+SUMIFS('BSE - Other Index Options'!$L:$L,'BSE - Other Index Options'!$C:$C,$A225,'BSE - Other Index Options'!$B:$B,B$147)=0,"",SUMIFS('BSE - SENSEX Index Options'!$L:$L,'BSE - SENSEX Index Options'!$C:$C,$A225,'BSE - SENSEX Index Options'!$B:$B,B$147)+SUMIFS('BSE - Other Index Options'!$L:$L,'BSE - Other Index Options'!$C:$C,$A225,'BSE - Other Index Options'!$B:$B,B$147))</f>
        <v/>
      </c>
      <c r="C225" s="26" t="str">
        <f>IF(SUMIFS('BSE - SENSEX Index Options'!$L:$L,'BSE - SENSEX Index Options'!$C:$C,$A225,'BSE - SENSEX Index Options'!$B:$B,C$147)+SUMIFS('BSE - Other Index Options'!$L:$L,'BSE - Other Index Options'!$C:$C,$A225,'BSE - Other Index Options'!$B:$B,C$147)=0,"",SUMIFS('BSE - SENSEX Index Options'!$L:$L,'BSE - SENSEX Index Options'!$C:$C,$A225,'BSE - SENSEX Index Options'!$B:$B,C$147)+SUMIFS('BSE - Other Index Options'!$L:$L,'BSE - Other Index Options'!$C:$C,$A225,'BSE - Other Index Options'!$B:$B,C$147))</f>
        <v/>
      </c>
      <c r="D225" s="26" t="str">
        <f>IF(SUMIFS('BSE - SENSEX Index Options'!$L:$L,'BSE - SENSEX Index Options'!$C:$C,$A225,'BSE - SENSEX Index Options'!$B:$B,D$147)+SUMIFS('BSE - Other Index Options'!$L:$L,'BSE - Other Index Options'!$C:$C,$A225,'BSE - Other Index Options'!$B:$B,D$147)=0,"",SUMIFS('BSE - SENSEX Index Options'!$L:$L,'BSE - SENSEX Index Options'!$C:$C,$A225,'BSE - SENSEX Index Options'!$B:$B,D$147)+SUMIFS('BSE - Other Index Options'!$L:$L,'BSE - Other Index Options'!$C:$C,$A225,'BSE - Other Index Options'!$B:$B,D$147))</f>
        <v/>
      </c>
      <c r="E225" s="26" t="str">
        <f>IF(SUMIFS('BSE - SENSEX Index Options'!$L:$L,'BSE - SENSEX Index Options'!$C:$C,$A225,'BSE - SENSEX Index Options'!$B:$B,E$147)+SUMIFS('BSE - Other Index Options'!$L:$L,'BSE - Other Index Options'!$C:$C,$A225,'BSE - Other Index Options'!$B:$B,E$147)=0,"",SUMIFS('BSE - SENSEX Index Options'!$L:$L,'BSE - SENSEX Index Options'!$C:$C,$A225,'BSE - SENSEX Index Options'!$B:$B,E$147)+SUMIFS('BSE - Other Index Options'!$L:$L,'BSE - Other Index Options'!$C:$C,$A225,'BSE - Other Index Options'!$B:$B,E$147))</f>
        <v/>
      </c>
      <c r="F225" s="26" t="str">
        <f>IF(SUMIFS('BSE - SENSEX Index Options'!$L:$L,'BSE - SENSEX Index Options'!$C:$C,$A225,'BSE - SENSEX Index Options'!$B:$B,F$147)+SUMIFS('BSE - Other Index Options'!$L:$L,'BSE - Other Index Options'!$C:$C,$A225,'BSE - Other Index Options'!$B:$B,F$147)=0,"",SUMIFS('BSE - SENSEX Index Options'!$L:$L,'BSE - SENSEX Index Options'!$C:$C,$A225,'BSE - SENSEX Index Options'!$B:$B,F$147)+SUMIFS('BSE - Other Index Options'!$L:$L,'BSE - Other Index Options'!$C:$C,$A225,'BSE - Other Index Options'!$B:$B,F$147))</f>
        <v/>
      </c>
      <c r="G225" s="26" t="str">
        <f>IF(SUMIFS('BSE - SENSEX Index Options'!$L:$L,'BSE - SENSEX Index Options'!$C:$C,$A225,'BSE - SENSEX Index Options'!$B:$B,G$147)+SUMIFS('BSE - Other Index Options'!$L:$L,'BSE - Other Index Options'!$C:$C,$A225,'BSE - Other Index Options'!$B:$B,G$147)=0,"",SUMIFS('BSE - SENSEX Index Options'!$L:$L,'BSE - SENSEX Index Options'!$C:$C,$A225,'BSE - SENSEX Index Options'!$B:$B,G$147)+SUMIFS('BSE - Other Index Options'!$L:$L,'BSE - Other Index Options'!$C:$C,$A225,'BSE - Other Index Options'!$B:$B,G$147))</f>
        <v/>
      </c>
      <c r="H225" s="26" t="str">
        <f t="shared" si="8"/>
        <v/>
      </c>
    </row>
    <row r="226" spans="1:8" hidden="1" outlineLevel="1">
      <c r="A226" t="s">
        <v>88</v>
      </c>
      <c r="B226" s="26" t="str">
        <f>IF(SUMIFS('BSE - SENSEX Index Options'!$L:$L,'BSE - SENSEX Index Options'!$C:$C,$A226,'BSE - SENSEX Index Options'!$B:$B,B$147)+SUMIFS('BSE - Other Index Options'!$L:$L,'BSE - Other Index Options'!$C:$C,$A226,'BSE - Other Index Options'!$B:$B,B$147)=0,"",SUMIFS('BSE - SENSEX Index Options'!$L:$L,'BSE - SENSEX Index Options'!$C:$C,$A226,'BSE - SENSEX Index Options'!$B:$B,B$147)+SUMIFS('BSE - Other Index Options'!$L:$L,'BSE - Other Index Options'!$C:$C,$A226,'BSE - Other Index Options'!$B:$B,B$147))</f>
        <v/>
      </c>
      <c r="C226" s="26" t="str">
        <f>IF(SUMIFS('BSE - SENSEX Index Options'!$L:$L,'BSE - SENSEX Index Options'!$C:$C,$A226,'BSE - SENSEX Index Options'!$B:$B,C$147)+SUMIFS('BSE - Other Index Options'!$L:$L,'BSE - Other Index Options'!$C:$C,$A226,'BSE - Other Index Options'!$B:$B,C$147)=0,"",SUMIFS('BSE - SENSEX Index Options'!$L:$L,'BSE - SENSEX Index Options'!$C:$C,$A226,'BSE - SENSEX Index Options'!$B:$B,C$147)+SUMIFS('BSE - Other Index Options'!$L:$L,'BSE - Other Index Options'!$C:$C,$A226,'BSE - Other Index Options'!$B:$B,C$147))</f>
        <v/>
      </c>
      <c r="D226" s="26" t="str">
        <f>IF(SUMIFS('BSE - SENSEX Index Options'!$L:$L,'BSE - SENSEX Index Options'!$C:$C,$A226,'BSE - SENSEX Index Options'!$B:$B,D$147)+SUMIFS('BSE - Other Index Options'!$L:$L,'BSE - Other Index Options'!$C:$C,$A226,'BSE - Other Index Options'!$B:$B,D$147)=0,"",SUMIFS('BSE - SENSEX Index Options'!$L:$L,'BSE - SENSEX Index Options'!$C:$C,$A226,'BSE - SENSEX Index Options'!$B:$B,D$147)+SUMIFS('BSE - Other Index Options'!$L:$L,'BSE - Other Index Options'!$C:$C,$A226,'BSE - Other Index Options'!$B:$B,D$147))</f>
        <v/>
      </c>
      <c r="E226" s="26" t="str">
        <f>IF(SUMIFS('BSE - SENSEX Index Options'!$L:$L,'BSE - SENSEX Index Options'!$C:$C,$A226,'BSE - SENSEX Index Options'!$B:$B,E$147)+SUMIFS('BSE - Other Index Options'!$L:$L,'BSE - Other Index Options'!$C:$C,$A226,'BSE - Other Index Options'!$B:$B,E$147)=0,"",SUMIFS('BSE - SENSEX Index Options'!$L:$L,'BSE - SENSEX Index Options'!$C:$C,$A226,'BSE - SENSEX Index Options'!$B:$B,E$147)+SUMIFS('BSE - Other Index Options'!$L:$L,'BSE - Other Index Options'!$C:$C,$A226,'BSE - Other Index Options'!$B:$B,E$147))</f>
        <v/>
      </c>
      <c r="F226" s="26" t="str">
        <f>IF(SUMIFS('BSE - SENSEX Index Options'!$L:$L,'BSE - SENSEX Index Options'!$C:$C,$A226,'BSE - SENSEX Index Options'!$B:$B,F$147)+SUMIFS('BSE - Other Index Options'!$L:$L,'BSE - Other Index Options'!$C:$C,$A226,'BSE - Other Index Options'!$B:$B,F$147)=0,"",SUMIFS('BSE - SENSEX Index Options'!$L:$L,'BSE - SENSEX Index Options'!$C:$C,$A226,'BSE - SENSEX Index Options'!$B:$B,F$147)+SUMIFS('BSE - Other Index Options'!$L:$L,'BSE - Other Index Options'!$C:$C,$A226,'BSE - Other Index Options'!$B:$B,F$147))</f>
        <v/>
      </c>
      <c r="G226" s="26" t="str">
        <f>IF(SUMIFS('BSE - SENSEX Index Options'!$L:$L,'BSE - SENSEX Index Options'!$C:$C,$A226,'BSE - SENSEX Index Options'!$B:$B,G$147)+SUMIFS('BSE - Other Index Options'!$L:$L,'BSE - Other Index Options'!$C:$C,$A226,'BSE - Other Index Options'!$B:$B,G$147)=0,"",SUMIFS('BSE - SENSEX Index Options'!$L:$L,'BSE - SENSEX Index Options'!$C:$C,$A226,'BSE - SENSEX Index Options'!$B:$B,G$147)+SUMIFS('BSE - Other Index Options'!$L:$L,'BSE - Other Index Options'!$C:$C,$A226,'BSE - Other Index Options'!$B:$B,G$147))</f>
        <v/>
      </c>
      <c r="H226" s="26" t="str">
        <f t="shared" si="8"/>
        <v/>
      </c>
    </row>
    <row r="227" spans="1:8" hidden="1" outlineLevel="1">
      <c r="A227" t="s">
        <v>89</v>
      </c>
      <c r="B227" s="26" t="str">
        <f>IF(SUMIFS('BSE - SENSEX Index Options'!$L:$L,'BSE - SENSEX Index Options'!$C:$C,$A227,'BSE - SENSEX Index Options'!$B:$B,B$147)+SUMIFS('BSE - Other Index Options'!$L:$L,'BSE - Other Index Options'!$C:$C,$A227,'BSE - Other Index Options'!$B:$B,B$147)=0,"",SUMIFS('BSE - SENSEX Index Options'!$L:$L,'BSE - SENSEX Index Options'!$C:$C,$A227,'BSE - SENSEX Index Options'!$B:$B,B$147)+SUMIFS('BSE - Other Index Options'!$L:$L,'BSE - Other Index Options'!$C:$C,$A227,'BSE - Other Index Options'!$B:$B,B$147))</f>
        <v/>
      </c>
      <c r="C227" s="26" t="str">
        <f>IF(SUMIFS('BSE - SENSEX Index Options'!$L:$L,'BSE - SENSEX Index Options'!$C:$C,$A227,'BSE - SENSEX Index Options'!$B:$B,C$147)+SUMIFS('BSE - Other Index Options'!$L:$L,'BSE - Other Index Options'!$C:$C,$A227,'BSE - Other Index Options'!$B:$B,C$147)=0,"",SUMIFS('BSE - SENSEX Index Options'!$L:$L,'BSE - SENSEX Index Options'!$C:$C,$A227,'BSE - SENSEX Index Options'!$B:$B,C$147)+SUMIFS('BSE - Other Index Options'!$L:$L,'BSE - Other Index Options'!$C:$C,$A227,'BSE - Other Index Options'!$B:$B,C$147))</f>
        <v/>
      </c>
      <c r="D227" s="26" t="str">
        <f>IF(SUMIFS('BSE - SENSEX Index Options'!$L:$L,'BSE - SENSEX Index Options'!$C:$C,$A227,'BSE - SENSEX Index Options'!$B:$B,D$147)+SUMIFS('BSE - Other Index Options'!$L:$L,'BSE - Other Index Options'!$C:$C,$A227,'BSE - Other Index Options'!$B:$B,D$147)=0,"",SUMIFS('BSE - SENSEX Index Options'!$L:$L,'BSE - SENSEX Index Options'!$C:$C,$A227,'BSE - SENSEX Index Options'!$B:$B,D$147)+SUMIFS('BSE - Other Index Options'!$L:$L,'BSE - Other Index Options'!$C:$C,$A227,'BSE - Other Index Options'!$B:$B,D$147))</f>
        <v/>
      </c>
      <c r="E227" s="26" t="str">
        <f>IF(SUMIFS('BSE - SENSEX Index Options'!$L:$L,'BSE - SENSEX Index Options'!$C:$C,$A227,'BSE - SENSEX Index Options'!$B:$B,E$147)+SUMIFS('BSE - Other Index Options'!$L:$L,'BSE - Other Index Options'!$C:$C,$A227,'BSE - Other Index Options'!$B:$B,E$147)=0,"",SUMIFS('BSE - SENSEX Index Options'!$L:$L,'BSE - SENSEX Index Options'!$C:$C,$A227,'BSE - SENSEX Index Options'!$B:$B,E$147)+SUMIFS('BSE - Other Index Options'!$L:$L,'BSE - Other Index Options'!$C:$C,$A227,'BSE - Other Index Options'!$B:$B,E$147))</f>
        <v/>
      </c>
      <c r="F227" s="26" t="str">
        <f>IF(SUMIFS('BSE - SENSEX Index Options'!$L:$L,'BSE - SENSEX Index Options'!$C:$C,$A227,'BSE - SENSEX Index Options'!$B:$B,F$147)+SUMIFS('BSE - Other Index Options'!$L:$L,'BSE - Other Index Options'!$C:$C,$A227,'BSE - Other Index Options'!$B:$B,F$147)=0,"",SUMIFS('BSE - SENSEX Index Options'!$L:$L,'BSE - SENSEX Index Options'!$C:$C,$A227,'BSE - SENSEX Index Options'!$B:$B,F$147)+SUMIFS('BSE - Other Index Options'!$L:$L,'BSE - Other Index Options'!$C:$C,$A227,'BSE - Other Index Options'!$B:$B,F$147))</f>
        <v/>
      </c>
      <c r="G227" s="26" t="str">
        <f>IF(SUMIFS('BSE - SENSEX Index Options'!$L:$L,'BSE - SENSEX Index Options'!$C:$C,$A227,'BSE - SENSEX Index Options'!$B:$B,G$147)+SUMIFS('BSE - Other Index Options'!$L:$L,'BSE - Other Index Options'!$C:$C,$A227,'BSE - Other Index Options'!$B:$B,G$147)=0,"",SUMIFS('BSE - SENSEX Index Options'!$L:$L,'BSE - SENSEX Index Options'!$C:$C,$A227,'BSE - SENSEX Index Options'!$B:$B,G$147)+SUMIFS('BSE - Other Index Options'!$L:$L,'BSE - Other Index Options'!$C:$C,$A227,'BSE - Other Index Options'!$B:$B,G$147))</f>
        <v/>
      </c>
      <c r="H227" s="26" t="str">
        <f t="shared" si="8"/>
        <v/>
      </c>
    </row>
    <row r="228" spans="1:8" hidden="1" outlineLevel="1">
      <c r="A228" t="s">
        <v>90</v>
      </c>
      <c r="B228" s="26" t="str">
        <f>IF(SUMIFS('BSE - SENSEX Index Options'!$L:$L,'BSE - SENSEX Index Options'!$C:$C,$A228,'BSE - SENSEX Index Options'!$B:$B,B$147)+SUMIFS('BSE - Other Index Options'!$L:$L,'BSE - Other Index Options'!$C:$C,$A228,'BSE - Other Index Options'!$B:$B,B$147)=0,"",SUMIFS('BSE - SENSEX Index Options'!$L:$L,'BSE - SENSEX Index Options'!$C:$C,$A228,'BSE - SENSEX Index Options'!$B:$B,B$147)+SUMIFS('BSE - Other Index Options'!$L:$L,'BSE - Other Index Options'!$C:$C,$A228,'BSE - Other Index Options'!$B:$B,B$147))</f>
        <v/>
      </c>
      <c r="C228" s="26" t="str">
        <f>IF(SUMIFS('BSE - SENSEX Index Options'!$L:$L,'BSE - SENSEX Index Options'!$C:$C,$A228,'BSE - SENSEX Index Options'!$B:$B,C$147)+SUMIFS('BSE - Other Index Options'!$L:$L,'BSE - Other Index Options'!$C:$C,$A228,'BSE - Other Index Options'!$B:$B,C$147)=0,"",SUMIFS('BSE - SENSEX Index Options'!$L:$L,'BSE - SENSEX Index Options'!$C:$C,$A228,'BSE - SENSEX Index Options'!$B:$B,C$147)+SUMIFS('BSE - Other Index Options'!$L:$L,'BSE - Other Index Options'!$C:$C,$A228,'BSE - Other Index Options'!$B:$B,C$147))</f>
        <v/>
      </c>
      <c r="D228" s="26" t="str">
        <f>IF(SUMIFS('BSE - SENSEX Index Options'!$L:$L,'BSE - SENSEX Index Options'!$C:$C,$A228,'BSE - SENSEX Index Options'!$B:$B,D$147)+SUMIFS('BSE - Other Index Options'!$L:$L,'BSE - Other Index Options'!$C:$C,$A228,'BSE - Other Index Options'!$B:$B,D$147)=0,"",SUMIFS('BSE - SENSEX Index Options'!$L:$L,'BSE - SENSEX Index Options'!$C:$C,$A228,'BSE - SENSEX Index Options'!$B:$B,D$147)+SUMIFS('BSE - Other Index Options'!$L:$L,'BSE - Other Index Options'!$C:$C,$A228,'BSE - Other Index Options'!$B:$B,D$147))</f>
        <v/>
      </c>
      <c r="E228" s="26" t="str">
        <f>IF(SUMIFS('BSE - SENSEX Index Options'!$L:$L,'BSE - SENSEX Index Options'!$C:$C,$A228,'BSE - SENSEX Index Options'!$B:$B,E$147)+SUMIFS('BSE - Other Index Options'!$L:$L,'BSE - Other Index Options'!$C:$C,$A228,'BSE - Other Index Options'!$B:$B,E$147)=0,"",SUMIFS('BSE - SENSEX Index Options'!$L:$L,'BSE - SENSEX Index Options'!$C:$C,$A228,'BSE - SENSEX Index Options'!$B:$B,E$147)+SUMIFS('BSE - Other Index Options'!$L:$L,'BSE - Other Index Options'!$C:$C,$A228,'BSE - Other Index Options'!$B:$B,E$147))</f>
        <v/>
      </c>
      <c r="F228" s="26" t="str">
        <f>IF(SUMIFS('BSE - SENSEX Index Options'!$L:$L,'BSE - SENSEX Index Options'!$C:$C,$A228,'BSE - SENSEX Index Options'!$B:$B,F$147)+SUMIFS('BSE - Other Index Options'!$L:$L,'BSE - Other Index Options'!$C:$C,$A228,'BSE - Other Index Options'!$B:$B,F$147)=0,"",SUMIFS('BSE - SENSEX Index Options'!$L:$L,'BSE - SENSEX Index Options'!$C:$C,$A228,'BSE - SENSEX Index Options'!$B:$B,F$147)+SUMIFS('BSE - Other Index Options'!$L:$L,'BSE - Other Index Options'!$C:$C,$A228,'BSE - Other Index Options'!$B:$B,F$147))</f>
        <v/>
      </c>
      <c r="G228" s="26" t="str">
        <f>IF(SUMIFS('BSE - SENSEX Index Options'!$L:$L,'BSE - SENSEX Index Options'!$C:$C,$A228,'BSE - SENSEX Index Options'!$B:$B,G$147)+SUMIFS('BSE - Other Index Options'!$L:$L,'BSE - Other Index Options'!$C:$C,$A228,'BSE - Other Index Options'!$B:$B,G$147)=0,"",SUMIFS('BSE - SENSEX Index Options'!$L:$L,'BSE - SENSEX Index Options'!$C:$C,$A228,'BSE - SENSEX Index Options'!$B:$B,G$147)+SUMIFS('BSE - Other Index Options'!$L:$L,'BSE - Other Index Options'!$C:$C,$A228,'BSE - Other Index Options'!$B:$B,G$147))</f>
        <v/>
      </c>
      <c r="H228" s="26" t="str">
        <f t="shared" si="8"/>
        <v/>
      </c>
    </row>
    <row r="229" spans="1:8" hidden="1" outlineLevel="1">
      <c r="A229" t="s">
        <v>91</v>
      </c>
      <c r="B229" s="26" t="str">
        <f>IF(SUMIFS('BSE - SENSEX Index Options'!$L:$L,'BSE - SENSEX Index Options'!$C:$C,$A229,'BSE - SENSEX Index Options'!$B:$B,B$147)+SUMIFS('BSE - Other Index Options'!$L:$L,'BSE - Other Index Options'!$C:$C,$A229,'BSE - Other Index Options'!$B:$B,B$147)=0,"",SUMIFS('BSE - SENSEX Index Options'!$L:$L,'BSE - SENSEX Index Options'!$C:$C,$A229,'BSE - SENSEX Index Options'!$B:$B,B$147)+SUMIFS('BSE - Other Index Options'!$L:$L,'BSE - Other Index Options'!$C:$C,$A229,'BSE - Other Index Options'!$B:$B,B$147))</f>
        <v/>
      </c>
      <c r="C229" s="26" t="str">
        <f>IF(SUMIFS('BSE - SENSEX Index Options'!$L:$L,'BSE - SENSEX Index Options'!$C:$C,$A229,'BSE - SENSEX Index Options'!$B:$B,C$147)+SUMIFS('BSE - Other Index Options'!$L:$L,'BSE - Other Index Options'!$C:$C,$A229,'BSE - Other Index Options'!$B:$B,C$147)=0,"",SUMIFS('BSE - SENSEX Index Options'!$L:$L,'BSE - SENSEX Index Options'!$C:$C,$A229,'BSE - SENSEX Index Options'!$B:$B,C$147)+SUMIFS('BSE - Other Index Options'!$L:$L,'BSE - Other Index Options'!$C:$C,$A229,'BSE - Other Index Options'!$B:$B,C$147))</f>
        <v/>
      </c>
      <c r="D229" s="26" t="str">
        <f>IF(SUMIFS('BSE - SENSEX Index Options'!$L:$L,'BSE - SENSEX Index Options'!$C:$C,$A229,'BSE - SENSEX Index Options'!$B:$B,D$147)+SUMIFS('BSE - Other Index Options'!$L:$L,'BSE - Other Index Options'!$C:$C,$A229,'BSE - Other Index Options'!$B:$B,D$147)=0,"",SUMIFS('BSE - SENSEX Index Options'!$L:$L,'BSE - SENSEX Index Options'!$C:$C,$A229,'BSE - SENSEX Index Options'!$B:$B,D$147)+SUMIFS('BSE - Other Index Options'!$L:$L,'BSE - Other Index Options'!$C:$C,$A229,'BSE - Other Index Options'!$B:$B,D$147))</f>
        <v/>
      </c>
      <c r="E229" s="26" t="str">
        <f>IF(SUMIFS('BSE - SENSEX Index Options'!$L:$L,'BSE - SENSEX Index Options'!$C:$C,$A229,'BSE - SENSEX Index Options'!$B:$B,E$147)+SUMIFS('BSE - Other Index Options'!$L:$L,'BSE - Other Index Options'!$C:$C,$A229,'BSE - Other Index Options'!$B:$B,E$147)=0,"",SUMIFS('BSE - SENSEX Index Options'!$L:$L,'BSE - SENSEX Index Options'!$C:$C,$A229,'BSE - SENSEX Index Options'!$B:$B,E$147)+SUMIFS('BSE - Other Index Options'!$L:$L,'BSE - Other Index Options'!$C:$C,$A229,'BSE - Other Index Options'!$B:$B,E$147))</f>
        <v/>
      </c>
      <c r="F229" s="26" t="str">
        <f>IF(SUMIFS('BSE - SENSEX Index Options'!$L:$L,'BSE - SENSEX Index Options'!$C:$C,$A229,'BSE - SENSEX Index Options'!$B:$B,F$147)+SUMIFS('BSE - Other Index Options'!$L:$L,'BSE - Other Index Options'!$C:$C,$A229,'BSE - Other Index Options'!$B:$B,F$147)=0,"",SUMIFS('BSE - SENSEX Index Options'!$L:$L,'BSE - SENSEX Index Options'!$C:$C,$A229,'BSE - SENSEX Index Options'!$B:$B,F$147)+SUMIFS('BSE - Other Index Options'!$L:$L,'BSE - Other Index Options'!$C:$C,$A229,'BSE - Other Index Options'!$B:$B,F$147))</f>
        <v/>
      </c>
      <c r="G229" s="26" t="str">
        <f>IF(SUMIFS('BSE - SENSEX Index Options'!$L:$L,'BSE - SENSEX Index Options'!$C:$C,$A229,'BSE - SENSEX Index Options'!$B:$B,G$147)+SUMIFS('BSE - Other Index Options'!$L:$L,'BSE - Other Index Options'!$C:$C,$A229,'BSE - Other Index Options'!$B:$B,G$147)=0,"",SUMIFS('BSE - SENSEX Index Options'!$L:$L,'BSE - SENSEX Index Options'!$C:$C,$A229,'BSE - SENSEX Index Options'!$B:$B,G$147)+SUMIFS('BSE - Other Index Options'!$L:$L,'BSE - Other Index Options'!$C:$C,$A229,'BSE - Other Index Options'!$B:$B,G$147))</f>
        <v/>
      </c>
      <c r="H229" s="26" t="str">
        <f t="shared" si="8"/>
        <v/>
      </c>
    </row>
    <row r="230" spans="1:8" hidden="1" outlineLevel="1">
      <c r="A230" t="s">
        <v>92</v>
      </c>
      <c r="B230" s="26" t="str">
        <f>IF(SUMIFS('BSE - SENSEX Index Options'!$L:$L,'BSE - SENSEX Index Options'!$C:$C,$A230,'BSE - SENSEX Index Options'!$B:$B,B$147)+SUMIFS('BSE - Other Index Options'!$L:$L,'BSE - Other Index Options'!$C:$C,$A230,'BSE - Other Index Options'!$B:$B,B$147)=0,"",SUMIFS('BSE - SENSEX Index Options'!$L:$L,'BSE - SENSEX Index Options'!$C:$C,$A230,'BSE - SENSEX Index Options'!$B:$B,B$147)+SUMIFS('BSE - Other Index Options'!$L:$L,'BSE - Other Index Options'!$C:$C,$A230,'BSE - Other Index Options'!$B:$B,B$147))</f>
        <v/>
      </c>
      <c r="C230" s="26" t="str">
        <f>IF(SUMIFS('BSE - SENSEX Index Options'!$L:$L,'BSE - SENSEX Index Options'!$C:$C,$A230,'BSE - SENSEX Index Options'!$B:$B,C$147)+SUMIFS('BSE - Other Index Options'!$L:$L,'BSE - Other Index Options'!$C:$C,$A230,'BSE - Other Index Options'!$B:$B,C$147)=0,"",SUMIFS('BSE - SENSEX Index Options'!$L:$L,'BSE - SENSEX Index Options'!$C:$C,$A230,'BSE - SENSEX Index Options'!$B:$B,C$147)+SUMIFS('BSE - Other Index Options'!$L:$L,'BSE - Other Index Options'!$C:$C,$A230,'BSE - Other Index Options'!$B:$B,C$147))</f>
        <v/>
      </c>
      <c r="D230" s="26" t="str">
        <f>IF(SUMIFS('BSE - SENSEX Index Options'!$L:$L,'BSE - SENSEX Index Options'!$C:$C,$A230,'BSE - SENSEX Index Options'!$B:$B,D$147)+SUMIFS('BSE - Other Index Options'!$L:$L,'BSE - Other Index Options'!$C:$C,$A230,'BSE - Other Index Options'!$B:$B,D$147)=0,"",SUMIFS('BSE - SENSEX Index Options'!$L:$L,'BSE - SENSEX Index Options'!$C:$C,$A230,'BSE - SENSEX Index Options'!$B:$B,D$147)+SUMIFS('BSE - Other Index Options'!$L:$L,'BSE - Other Index Options'!$C:$C,$A230,'BSE - Other Index Options'!$B:$B,D$147))</f>
        <v/>
      </c>
      <c r="E230" s="26" t="str">
        <f>IF(SUMIFS('BSE - SENSEX Index Options'!$L:$L,'BSE - SENSEX Index Options'!$C:$C,$A230,'BSE - SENSEX Index Options'!$B:$B,E$147)+SUMIFS('BSE - Other Index Options'!$L:$L,'BSE - Other Index Options'!$C:$C,$A230,'BSE - Other Index Options'!$B:$B,E$147)=0,"",SUMIFS('BSE - SENSEX Index Options'!$L:$L,'BSE - SENSEX Index Options'!$C:$C,$A230,'BSE - SENSEX Index Options'!$B:$B,E$147)+SUMIFS('BSE - Other Index Options'!$L:$L,'BSE - Other Index Options'!$C:$C,$A230,'BSE - Other Index Options'!$B:$B,E$147))</f>
        <v/>
      </c>
      <c r="F230" s="26" t="str">
        <f>IF(SUMIFS('BSE - SENSEX Index Options'!$L:$L,'BSE - SENSEX Index Options'!$C:$C,$A230,'BSE - SENSEX Index Options'!$B:$B,F$147)+SUMIFS('BSE - Other Index Options'!$L:$L,'BSE - Other Index Options'!$C:$C,$A230,'BSE - Other Index Options'!$B:$B,F$147)=0,"",SUMIFS('BSE - SENSEX Index Options'!$L:$L,'BSE - SENSEX Index Options'!$C:$C,$A230,'BSE - SENSEX Index Options'!$B:$B,F$147)+SUMIFS('BSE - Other Index Options'!$L:$L,'BSE - Other Index Options'!$C:$C,$A230,'BSE - Other Index Options'!$B:$B,F$147))</f>
        <v/>
      </c>
      <c r="G230" s="26" t="str">
        <f>IF(SUMIFS('BSE - SENSEX Index Options'!$L:$L,'BSE - SENSEX Index Options'!$C:$C,$A230,'BSE - SENSEX Index Options'!$B:$B,G$147)+SUMIFS('BSE - Other Index Options'!$L:$L,'BSE - Other Index Options'!$C:$C,$A230,'BSE - Other Index Options'!$B:$B,G$147)=0,"",SUMIFS('BSE - SENSEX Index Options'!$L:$L,'BSE - SENSEX Index Options'!$C:$C,$A230,'BSE - SENSEX Index Options'!$B:$B,G$147)+SUMIFS('BSE - Other Index Options'!$L:$L,'BSE - Other Index Options'!$C:$C,$A230,'BSE - Other Index Options'!$B:$B,G$147))</f>
        <v/>
      </c>
      <c r="H230" s="26" t="str">
        <f t="shared" si="8"/>
        <v/>
      </c>
    </row>
    <row r="231" spans="1:8" hidden="1" outlineLevel="1">
      <c r="A231" t="s">
        <v>93</v>
      </c>
      <c r="B231" s="26" t="str">
        <f>IF(SUMIFS('BSE - SENSEX Index Options'!$L:$L,'BSE - SENSEX Index Options'!$C:$C,$A231,'BSE - SENSEX Index Options'!$B:$B,B$147)+SUMIFS('BSE - Other Index Options'!$L:$L,'BSE - Other Index Options'!$C:$C,$A231,'BSE - Other Index Options'!$B:$B,B$147)=0,"",SUMIFS('BSE - SENSEX Index Options'!$L:$L,'BSE - SENSEX Index Options'!$C:$C,$A231,'BSE - SENSEX Index Options'!$B:$B,B$147)+SUMIFS('BSE - Other Index Options'!$L:$L,'BSE - Other Index Options'!$C:$C,$A231,'BSE - Other Index Options'!$B:$B,B$147))</f>
        <v/>
      </c>
      <c r="C231" s="26" t="str">
        <f>IF(SUMIFS('BSE - SENSEX Index Options'!$L:$L,'BSE - SENSEX Index Options'!$C:$C,$A231,'BSE - SENSEX Index Options'!$B:$B,C$147)+SUMIFS('BSE - Other Index Options'!$L:$L,'BSE - Other Index Options'!$C:$C,$A231,'BSE - Other Index Options'!$B:$B,C$147)=0,"",SUMIFS('BSE - SENSEX Index Options'!$L:$L,'BSE - SENSEX Index Options'!$C:$C,$A231,'BSE - SENSEX Index Options'!$B:$B,C$147)+SUMIFS('BSE - Other Index Options'!$L:$L,'BSE - Other Index Options'!$C:$C,$A231,'BSE - Other Index Options'!$B:$B,C$147))</f>
        <v/>
      </c>
      <c r="D231" s="26" t="str">
        <f>IF(SUMIFS('BSE - SENSEX Index Options'!$L:$L,'BSE - SENSEX Index Options'!$C:$C,$A231,'BSE - SENSEX Index Options'!$B:$B,D$147)+SUMIFS('BSE - Other Index Options'!$L:$L,'BSE - Other Index Options'!$C:$C,$A231,'BSE - Other Index Options'!$B:$B,D$147)=0,"",SUMIFS('BSE - SENSEX Index Options'!$L:$L,'BSE - SENSEX Index Options'!$C:$C,$A231,'BSE - SENSEX Index Options'!$B:$B,D$147)+SUMIFS('BSE - Other Index Options'!$L:$L,'BSE - Other Index Options'!$C:$C,$A231,'BSE - Other Index Options'!$B:$B,D$147))</f>
        <v/>
      </c>
      <c r="E231" s="26" t="str">
        <f>IF(SUMIFS('BSE - SENSEX Index Options'!$L:$L,'BSE - SENSEX Index Options'!$C:$C,$A231,'BSE - SENSEX Index Options'!$B:$B,E$147)+SUMIFS('BSE - Other Index Options'!$L:$L,'BSE - Other Index Options'!$C:$C,$A231,'BSE - Other Index Options'!$B:$B,E$147)=0,"",SUMIFS('BSE - SENSEX Index Options'!$L:$L,'BSE - SENSEX Index Options'!$C:$C,$A231,'BSE - SENSEX Index Options'!$B:$B,E$147)+SUMIFS('BSE - Other Index Options'!$L:$L,'BSE - Other Index Options'!$C:$C,$A231,'BSE - Other Index Options'!$B:$B,E$147))</f>
        <v/>
      </c>
      <c r="F231" s="26" t="str">
        <f>IF(SUMIFS('BSE - SENSEX Index Options'!$L:$L,'BSE - SENSEX Index Options'!$C:$C,$A231,'BSE - SENSEX Index Options'!$B:$B,F$147)+SUMIFS('BSE - Other Index Options'!$L:$L,'BSE - Other Index Options'!$C:$C,$A231,'BSE - Other Index Options'!$B:$B,F$147)=0,"",SUMIFS('BSE - SENSEX Index Options'!$L:$L,'BSE - SENSEX Index Options'!$C:$C,$A231,'BSE - SENSEX Index Options'!$B:$B,F$147)+SUMIFS('BSE - Other Index Options'!$L:$L,'BSE - Other Index Options'!$C:$C,$A231,'BSE - Other Index Options'!$B:$B,F$147))</f>
        <v/>
      </c>
      <c r="G231" s="26" t="str">
        <f>IF(SUMIFS('BSE - SENSEX Index Options'!$L:$L,'BSE - SENSEX Index Options'!$C:$C,$A231,'BSE - SENSEX Index Options'!$B:$B,G$147)+SUMIFS('BSE - Other Index Options'!$L:$L,'BSE - Other Index Options'!$C:$C,$A231,'BSE - Other Index Options'!$B:$B,G$147)=0,"",SUMIFS('BSE - SENSEX Index Options'!$L:$L,'BSE - SENSEX Index Options'!$C:$C,$A231,'BSE - SENSEX Index Options'!$B:$B,G$147)+SUMIFS('BSE - Other Index Options'!$L:$L,'BSE - Other Index Options'!$C:$C,$A231,'BSE - Other Index Options'!$B:$B,G$147))</f>
        <v/>
      </c>
      <c r="H231" s="26" t="str">
        <f t="shared" si="8"/>
        <v/>
      </c>
    </row>
    <row r="232" spans="1:8" hidden="1" outlineLevel="1">
      <c r="A232" t="s">
        <v>94</v>
      </c>
      <c r="B232" s="26" t="str">
        <f>IF(SUMIFS('BSE - SENSEX Index Options'!$L:$L,'BSE - SENSEX Index Options'!$C:$C,$A232,'BSE - SENSEX Index Options'!$B:$B,B$147)+SUMIFS('BSE - Other Index Options'!$L:$L,'BSE - Other Index Options'!$C:$C,$A232,'BSE - Other Index Options'!$B:$B,B$147)=0,"",SUMIFS('BSE - SENSEX Index Options'!$L:$L,'BSE - SENSEX Index Options'!$C:$C,$A232,'BSE - SENSEX Index Options'!$B:$B,B$147)+SUMIFS('BSE - Other Index Options'!$L:$L,'BSE - Other Index Options'!$C:$C,$A232,'BSE - Other Index Options'!$B:$B,B$147))</f>
        <v/>
      </c>
      <c r="C232" s="26" t="str">
        <f>IF(SUMIFS('BSE - SENSEX Index Options'!$L:$L,'BSE - SENSEX Index Options'!$C:$C,$A232,'BSE - SENSEX Index Options'!$B:$B,C$147)+SUMIFS('BSE - Other Index Options'!$L:$L,'BSE - Other Index Options'!$C:$C,$A232,'BSE - Other Index Options'!$B:$B,C$147)=0,"",SUMIFS('BSE - SENSEX Index Options'!$L:$L,'BSE - SENSEX Index Options'!$C:$C,$A232,'BSE - SENSEX Index Options'!$B:$B,C$147)+SUMIFS('BSE - Other Index Options'!$L:$L,'BSE - Other Index Options'!$C:$C,$A232,'BSE - Other Index Options'!$B:$B,C$147))</f>
        <v/>
      </c>
      <c r="D232" s="26" t="str">
        <f>IF(SUMIFS('BSE - SENSEX Index Options'!$L:$L,'BSE - SENSEX Index Options'!$C:$C,$A232,'BSE - SENSEX Index Options'!$B:$B,D$147)+SUMIFS('BSE - Other Index Options'!$L:$L,'BSE - Other Index Options'!$C:$C,$A232,'BSE - Other Index Options'!$B:$B,D$147)=0,"",SUMIFS('BSE - SENSEX Index Options'!$L:$L,'BSE - SENSEX Index Options'!$C:$C,$A232,'BSE - SENSEX Index Options'!$B:$B,D$147)+SUMIFS('BSE - Other Index Options'!$L:$L,'BSE - Other Index Options'!$C:$C,$A232,'BSE - Other Index Options'!$B:$B,D$147))</f>
        <v/>
      </c>
      <c r="E232" s="26" t="str">
        <f>IF(SUMIFS('BSE - SENSEX Index Options'!$L:$L,'BSE - SENSEX Index Options'!$C:$C,$A232,'BSE - SENSEX Index Options'!$B:$B,E$147)+SUMIFS('BSE - Other Index Options'!$L:$L,'BSE - Other Index Options'!$C:$C,$A232,'BSE - Other Index Options'!$B:$B,E$147)=0,"",SUMIFS('BSE - SENSEX Index Options'!$L:$L,'BSE - SENSEX Index Options'!$C:$C,$A232,'BSE - SENSEX Index Options'!$B:$B,E$147)+SUMIFS('BSE - Other Index Options'!$L:$L,'BSE - Other Index Options'!$C:$C,$A232,'BSE - Other Index Options'!$B:$B,E$147))</f>
        <v/>
      </c>
      <c r="F232" s="26" t="str">
        <f>IF(SUMIFS('BSE - SENSEX Index Options'!$L:$L,'BSE - SENSEX Index Options'!$C:$C,$A232,'BSE - SENSEX Index Options'!$B:$B,F$147)+SUMIFS('BSE - Other Index Options'!$L:$L,'BSE - Other Index Options'!$C:$C,$A232,'BSE - Other Index Options'!$B:$B,F$147)=0,"",SUMIFS('BSE - SENSEX Index Options'!$L:$L,'BSE - SENSEX Index Options'!$C:$C,$A232,'BSE - SENSEX Index Options'!$B:$B,F$147)+SUMIFS('BSE - Other Index Options'!$L:$L,'BSE - Other Index Options'!$C:$C,$A232,'BSE - Other Index Options'!$B:$B,F$147))</f>
        <v/>
      </c>
      <c r="G232" s="26" t="str">
        <f>IF(SUMIFS('BSE - SENSEX Index Options'!$L:$L,'BSE - SENSEX Index Options'!$C:$C,$A232,'BSE - SENSEX Index Options'!$B:$B,G$147)+SUMIFS('BSE - Other Index Options'!$L:$L,'BSE - Other Index Options'!$C:$C,$A232,'BSE - Other Index Options'!$B:$B,G$147)=0,"",SUMIFS('BSE - SENSEX Index Options'!$L:$L,'BSE - SENSEX Index Options'!$C:$C,$A232,'BSE - SENSEX Index Options'!$B:$B,G$147)+SUMIFS('BSE - Other Index Options'!$L:$L,'BSE - Other Index Options'!$C:$C,$A232,'BSE - Other Index Options'!$B:$B,G$147))</f>
        <v/>
      </c>
      <c r="H232" s="26" t="str">
        <f t="shared" si="8"/>
        <v/>
      </c>
    </row>
    <row r="233" spans="1:8" hidden="1" outlineLevel="1">
      <c r="A233" t="s">
        <v>95</v>
      </c>
      <c r="B233" s="26" t="str">
        <f>IF(SUMIFS('BSE - SENSEX Index Options'!$L:$L,'BSE - SENSEX Index Options'!$C:$C,$A233,'BSE - SENSEX Index Options'!$B:$B,B$147)+SUMIFS('BSE - Other Index Options'!$L:$L,'BSE - Other Index Options'!$C:$C,$A233,'BSE - Other Index Options'!$B:$B,B$147)=0,"",SUMIFS('BSE - SENSEX Index Options'!$L:$L,'BSE - SENSEX Index Options'!$C:$C,$A233,'BSE - SENSEX Index Options'!$B:$B,B$147)+SUMIFS('BSE - Other Index Options'!$L:$L,'BSE - Other Index Options'!$C:$C,$A233,'BSE - Other Index Options'!$B:$B,B$147))</f>
        <v/>
      </c>
      <c r="C233" s="26" t="str">
        <f>IF(SUMIFS('BSE - SENSEX Index Options'!$L:$L,'BSE - SENSEX Index Options'!$C:$C,$A233,'BSE - SENSEX Index Options'!$B:$B,C$147)+SUMIFS('BSE - Other Index Options'!$L:$L,'BSE - Other Index Options'!$C:$C,$A233,'BSE - Other Index Options'!$B:$B,C$147)=0,"",SUMIFS('BSE - SENSEX Index Options'!$L:$L,'BSE - SENSEX Index Options'!$C:$C,$A233,'BSE - SENSEX Index Options'!$B:$B,C$147)+SUMIFS('BSE - Other Index Options'!$L:$L,'BSE - Other Index Options'!$C:$C,$A233,'BSE - Other Index Options'!$B:$B,C$147))</f>
        <v/>
      </c>
      <c r="D233" s="26" t="str">
        <f>IF(SUMIFS('BSE - SENSEX Index Options'!$L:$L,'BSE - SENSEX Index Options'!$C:$C,$A233,'BSE - SENSEX Index Options'!$B:$B,D$147)+SUMIFS('BSE - Other Index Options'!$L:$L,'BSE - Other Index Options'!$C:$C,$A233,'BSE - Other Index Options'!$B:$B,D$147)=0,"",SUMIFS('BSE - SENSEX Index Options'!$L:$L,'BSE - SENSEX Index Options'!$C:$C,$A233,'BSE - SENSEX Index Options'!$B:$B,D$147)+SUMIFS('BSE - Other Index Options'!$L:$L,'BSE - Other Index Options'!$C:$C,$A233,'BSE - Other Index Options'!$B:$B,D$147))</f>
        <v/>
      </c>
      <c r="E233" s="26" t="str">
        <f>IF(SUMIFS('BSE - SENSEX Index Options'!$L:$L,'BSE - SENSEX Index Options'!$C:$C,$A233,'BSE - SENSEX Index Options'!$B:$B,E$147)+SUMIFS('BSE - Other Index Options'!$L:$L,'BSE - Other Index Options'!$C:$C,$A233,'BSE - Other Index Options'!$B:$B,E$147)=0,"",SUMIFS('BSE - SENSEX Index Options'!$L:$L,'BSE - SENSEX Index Options'!$C:$C,$A233,'BSE - SENSEX Index Options'!$B:$B,E$147)+SUMIFS('BSE - Other Index Options'!$L:$L,'BSE - Other Index Options'!$C:$C,$A233,'BSE - Other Index Options'!$B:$B,E$147))</f>
        <v/>
      </c>
      <c r="F233" s="26" t="str">
        <f>IF(SUMIFS('BSE - SENSEX Index Options'!$L:$L,'BSE - SENSEX Index Options'!$C:$C,$A233,'BSE - SENSEX Index Options'!$B:$B,F$147)+SUMIFS('BSE - Other Index Options'!$L:$L,'BSE - Other Index Options'!$C:$C,$A233,'BSE - Other Index Options'!$B:$B,F$147)=0,"",SUMIFS('BSE - SENSEX Index Options'!$L:$L,'BSE - SENSEX Index Options'!$C:$C,$A233,'BSE - SENSEX Index Options'!$B:$B,F$147)+SUMIFS('BSE - Other Index Options'!$L:$L,'BSE - Other Index Options'!$C:$C,$A233,'BSE - Other Index Options'!$B:$B,F$147))</f>
        <v/>
      </c>
      <c r="G233" s="26" t="str">
        <f>IF(SUMIFS('BSE - SENSEX Index Options'!$L:$L,'BSE - SENSEX Index Options'!$C:$C,$A233,'BSE - SENSEX Index Options'!$B:$B,G$147)+SUMIFS('BSE - Other Index Options'!$L:$L,'BSE - Other Index Options'!$C:$C,$A233,'BSE - Other Index Options'!$B:$B,G$147)=0,"",SUMIFS('BSE - SENSEX Index Options'!$L:$L,'BSE - SENSEX Index Options'!$C:$C,$A233,'BSE - SENSEX Index Options'!$B:$B,G$147)+SUMIFS('BSE - Other Index Options'!$L:$L,'BSE - Other Index Options'!$C:$C,$A233,'BSE - Other Index Options'!$B:$B,G$147))</f>
        <v/>
      </c>
      <c r="H233" s="26" t="str">
        <f t="shared" si="8"/>
        <v/>
      </c>
    </row>
    <row r="234" spans="1:8" hidden="1" outlineLevel="1">
      <c r="A234" t="s">
        <v>96</v>
      </c>
      <c r="B234" s="26" t="str">
        <f>IF(SUMIFS('BSE - SENSEX Index Options'!$L:$L,'BSE - SENSEX Index Options'!$C:$C,$A234,'BSE - SENSEX Index Options'!$B:$B,B$147)+SUMIFS('BSE - Other Index Options'!$L:$L,'BSE - Other Index Options'!$C:$C,$A234,'BSE - Other Index Options'!$B:$B,B$147)=0,"",SUMIFS('BSE - SENSEX Index Options'!$L:$L,'BSE - SENSEX Index Options'!$C:$C,$A234,'BSE - SENSEX Index Options'!$B:$B,B$147)+SUMIFS('BSE - Other Index Options'!$L:$L,'BSE - Other Index Options'!$C:$C,$A234,'BSE - Other Index Options'!$B:$B,B$147))</f>
        <v/>
      </c>
      <c r="C234" s="26" t="str">
        <f>IF(SUMIFS('BSE - SENSEX Index Options'!$L:$L,'BSE - SENSEX Index Options'!$C:$C,$A234,'BSE - SENSEX Index Options'!$B:$B,C$147)+SUMIFS('BSE - Other Index Options'!$L:$L,'BSE - Other Index Options'!$C:$C,$A234,'BSE - Other Index Options'!$B:$B,C$147)=0,"",SUMIFS('BSE - SENSEX Index Options'!$L:$L,'BSE - SENSEX Index Options'!$C:$C,$A234,'BSE - SENSEX Index Options'!$B:$B,C$147)+SUMIFS('BSE - Other Index Options'!$L:$L,'BSE - Other Index Options'!$C:$C,$A234,'BSE - Other Index Options'!$B:$B,C$147))</f>
        <v/>
      </c>
      <c r="D234" s="26" t="str">
        <f>IF(SUMIFS('BSE - SENSEX Index Options'!$L:$L,'BSE - SENSEX Index Options'!$C:$C,$A234,'BSE - SENSEX Index Options'!$B:$B,D$147)+SUMIFS('BSE - Other Index Options'!$L:$L,'BSE - Other Index Options'!$C:$C,$A234,'BSE - Other Index Options'!$B:$B,D$147)=0,"",SUMIFS('BSE - SENSEX Index Options'!$L:$L,'BSE - SENSEX Index Options'!$C:$C,$A234,'BSE - SENSEX Index Options'!$B:$B,D$147)+SUMIFS('BSE - Other Index Options'!$L:$L,'BSE - Other Index Options'!$C:$C,$A234,'BSE - Other Index Options'!$B:$B,D$147))</f>
        <v/>
      </c>
      <c r="E234" s="26" t="str">
        <f>IF(SUMIFS('BSE - SENSEX Index Options'!$L:$L,'BSE - SENSEX Index Options'!$C:$C,$A234,'BSE - SENSEX Index Options'!$B:$B,E$147)+SUMIFS('BSE - Other Index Options'!$L:$L,'BSE - Other Index Options'!$C:$C,$A234,'BSE - Other Index Options'!$B:$B,E$147)=0,"",SUMIFS('BSE - SENSEX Index Options'!$L:$L,'BSE - SENSEX Index Options'!$C:$C,$A234,'BSE - SENSEX Index Options'!$B:$B,E$147)+SUMIFS('BSE - Other Index Options'!$L:$L,'BSE - Other Index Options'!$C:$C,$A234,'BSE - Other Index Options'!$B:$B,E$147))</f>
        <v/>
      </c>
      <c r="F234" s="26" t="str">
        <f>IF(SUMIFS('BSE - SENSEX Index Options'!$L:$L,'BSE - SENSEX Index Options'!$C:$C,$A234,'BSE - SENSEX Index Options'!$B:$B,F$147)+SUMIFS('BSE - Other Index Options'!$L:$L,'BSE - Other Index Options'!$C:$C,$A234,'BSE - Other Index Options'!$B:$B,F$147)=0,"",SUMIFS('BSE - SENSEX Index Options'!$L:$L,'BSE - SENSEX Index Options'!$C:$C,$A234,'BSE - SENSEX Index Options'!$B:$B,F$147)+SUMIFS('BSE - Other Index Options'!$L:$L,'BSE - Other Index Options'!$C:$C,$A234,'BSE - Other Index Options'!$B:$B,F$147))</f>
        <v/>
      </c>
      <c r="G234" s="26" t="str">
        <f>IF(SUMIFS('BSE - SENSEX Index Options'!$L:$L,'BSE - SENSEX Index Options'!$C:$C,$A234,'BSE - SENSEX Index Options'!$B:$B,G$147)+SUMIFS('BSE - Other Index Options'!$L:$L,'BSE - Other Index Options'!$C:$C,$A234,'BSE - Other Index Options'!$B:$B,G$147)=0,"",SUMIFS('BSE - SENSEX Index Options'!$L:$L,'BSE - SENSEX Index Options'!$C:$C,$A234,'BSE - SENSEX Index Options'!$B:$B,G$147)+SUMIFS('BSE - Other Index Options'!$L:$L,'BSE - Other Index Options'!$C:$C,$A234,'BSE - Other Index Options'!$B:$B,G$147))</f>
        <v/>
      </c>
      <c r="H234" s="26" t="str">
        <f t="shared" si="8"/>
        <v/>
      </c>
    </row>
    <row r="235" spans="1:8" hidden="1" outlineLevel="1">
      <c r="A235" t="s">
        <v>97</v>
      </c>
      <c r="B235" s="26" t="str">
        <f>IF(SUMIFS('BSE - SENSEX Index Options'!$L:$L,'BSE - SENSEX Index Options'!$C:$C,$A235,'BSE - SENSEX Index Options'!$B:$B,B$147)+SUMIFS('BSE - Other Index Options'!$L:$L,'BSE - Other Index Options'!$C:$C,$A235,'BSE - Other Index Options'!$B:$B,B$147)=0,"",SUMIFS('BSE - SENSEX Index Options'!$L:$L,'BSE - SENSEX Index Options'!$C:$C,$A235,'BSE - SENSEX Index Options'!$B:$B,B$147)+SUMIFS('BSE - Other Index Options'!$L:$L,'BSE - Other Index Options'!$C:$C,$A235,'BSE - Other Index Options'!$B:$B,B$147))</f>
        <v/>
      </c>
      <c r="C235" s="26" t="str">
        <f>IF(SUMIFS('BSE - SENSEX Index Options'!$L:$L,'BSE - SENSEX Index Options'!$C:$C,$A235,'BSE - SENSEX Index Options'!$B:$B,C$147)+SUMIFS('BSE - Other Index Options'!$L:$L,'BSE - Other Index Options'!$C:$C,$A235,'BSE - Other Index Options'!$B:$B,C$147)=0,"",SUMIFS('BSE - SENSEX Index Options'!$L:$L,'BSE - SENSEX Index Options'!$C:$C,$A235,'BSE - SENSEX Index Options'!$B:$B,C$147)+SUMIFS('BSE - Other Index Options'!$L:$L,'BSE - Other Index Options'!$C:$C,$A235,'BSE - Other Index Options'!$B:$B,C$147))</f>
        <v/>
      </c>
      <c r="D235" s="26" t="str">
        <f>IF(SUMIFS('BSE - SENSEX Index Options'!$L:$L,'BSE - SENSEX Index Options'!$C:$C,$A235,'BSE - SENSEX Index Options'!$B:$B,D$147)+SUMIFS('BSE - Other Index Options'!$L:$L,'BSE - Other Index Options'!$C:$C,$A235,'BSE - Other Index Options'!$B:$B,D$147)=0,"",SUMIFS('BSE - SENSEX Index Options'!$L:$L,'BSE - SENSEX Index Options'!$C:$C,$A235,'BSE - SENSEX Index Options'!$B:$B,D$147)+SUMIFS('BSE - Other Index Options'!$L:$L,'BSE - Other Index Options'!$C:$C,$A235,'BSE - Other Index Options'!$B:$B,D$147))</f>
        <v/>
      </c>
      <c r="E235" s="26" t="str">
        <f>IF(SUMIFS('BSE - SENSEX Index Options'!$L:$L,'BSE - SENSEX Index Options'!$C:$C,$A235,'BSE - SENSEX Index Options'!$B:$B,E$147)+SUMIFS('BSE - Other Index Options'!$L:$L,'BSE - Other Index Options'!$C:$C,$A235,'BSE - Other Index Options'!$B:$B,E$147)=0,"",SUMIFS('BSE - SENSEX Index Options'!$L:$L,'BSE - SENSEX Index Options'!$C:$C,$A235,'BSE - SENSEX Index Options'!$B:$B,E$147)+SUMIFS('BSE - Other Index Options'!$L:$L,'BSE - Other Index Options'!$C:$C,$A235,'BSE - Other Index Options'!$B:$B,E$147))</f>
        <v/>
      </c>
      <c r="F235" s="26" t="str">
        <f>IF(SUMIFS('BSE - SENSEX Index Options'!$L:$L,'BSE - SENSEX Index Options'!$C:$C,$A235,'BSE - SENSEX Index Options'!$B:$B,F$147)+SUMIFS('BSE - Other Index Options'!$L:$L,'BSE - Other Index Options'!$C:$C,$A235,'BSE - Other Index Options'!$B:$B,F$147)=0,"",SUMIFS('BSE - SENSEX Index Options'!$L:$L,'BSE - SENSEX Index Options'!$C:$C,$A235,'BSE - SENSEX Index Options'!$B:$B,F$147)+SUMIFS('BSE - Other Index Options'!$L:$L,'BSE - Other Index Options'!$C:$C,$A235,'BSE - Other Index Options'!$B:$B,F$147))</f>
        <v/>
      </c>
      <c r="G235" s="26" t="str">
        <f>IF(SUMIFS('BSE - SENSEX Index Options'!$L:$L,'BSE - SENSEX Index Options'!$C:$C,$A235,'BSE - SENSEX Index Options'!$B:$B,G$147)+SUMIFS('BSE - Other Index Options'!$L:$L,'BSE - Other Index Options'!$C:$C,$A235,'BSE - Other Index Options'!$B:$B,G$147)=0,"",SUMIFS('BSE - SENSEX Index Options'!$L:$L,'BSE - SENSEX Index Options'!$C:$C,$A235,'BSE - SENSEX Index Options'!$B:$B,G$147)+SUMIFS('BSE - Other Index Options'!$L:$L,'BSE - Other Index Options'!$C:$C,$A235,'BSE - Other Index Options'!$B:$B,G$147))</f>
        <v/>
      </c>
      <c r="H235" s="26" t="str">
        <f t="shared" si="8"/>
        <v/>
      </c>
    </row>
    <row r="236" spans="1:8" hidden="1" outlineLevel="1">
      <c r="A236" t="s">
        <v>98</v>
      </c>
      <c r="B236" s="26" t="str">
        <f>IF(SUMIFS('BSE - SENSEX Index Options'!$L:$L,'BSE - SENSEX Index Options'!$C:$C,$A236,'BSE - SENSEX Index Options'!$B:$B,B$147)+SUMIFS('BSE - Other Index Options'!$L:$L,'BSE - Other Index Options'!$C:$C,$A236,'BSE - Other Index Options'!$B:$B,B$147)=0,"",SUMIFS('BSE - SENSEX Index Options'!$L:$L,'BSE - SENSEX Index Options'!$C:$C,$A236,'BSE - SENSEX Index Options'!$B:$B,B$147)+SUMIFS('BSE - Other Index Options'!$L:$L,'BSE - Other Index Options'!$C:$C,$A236,'BSE - Other Index Options'!$B:$B,B$147))</f>
        <v/>
      </c>
      <c r="C236" s="26" t="str">
        <f>IF(SUMIFS('BSE - SENSEX Index Options'!$L:$L,'BSE - SENSEX Index Options'!$C:$C,$A236,'BSE - SENSEX Index Options'!$B:$B,C$147)+SUMIFS('BSE - Other Index Options'!$L:$L,'BSE - Other Index Options'!$C:$C,$A236,'BSE - Other Index Options'!$B:$B,C$147)=0,"",SUMIFS('BSE - SENSEX Index Options'!$L:$L,'BSE - SENSEX Index Options'!$C:$C,$A236,'BSE - SENSEX Index Options'!$B:$B,C$147)+SUMIFS('BSE - Other Index Options'!$L:$L,'BSE - Other Index Options'!$C:$C,$A236,'BSE - Other Index Options'!$B:$B,C$147))</f>
        <v/>
      </c>
      <c r="D236" s="26" t="str">
        <f>IF(SUMIFS('BSE - SENSEX Index Options'!$L:$L,'BSE - SENSEX Index Options'!$C:$C,$A236,'BSE - SENSEX Index Options'!$B:$B,D$147)+SUMIFS('BSE - Other Index Options'!$L:$L,'BSE - Other Index Options'!$C:$C,$A236,'BSE - Other Index Options'!$B:$B,D$147)=0,"",SUMIFS('BSE - SENSEX Index Options'!$L:$L,'BSE - SENSEX Index Options'!$C:$C,$A236,'BSE - SENSEX Index Options'!$B:$B,D$147)+SUMIFS('BSE - Other Index Options'!$L:$L,'BSE - Other Index Options'!$C:$C,$A236,'BSE - Other Index Options'!$B:$B,D$147))</f>
        <v/>
      </c>
      <c r="E236" s="26" t="str">
        <f>IF(SUMIFS('BSE - SENSEX Index Options'!$L:$L,'BSE - SENSEX Index Options'!$C:$C,$A236,'BSE - SENSEX Index Options'!$B:$B,E$147)+SUMIFS('BSE - Other Index Options'!$L:$L,'BSE - Other Index Options'!$C:$C,$A236,'BSE - Other Index Options'!$B:$B,E$147)=0,"",SUMIFS('BSE - SENSEX Index Options'!$L:$L,'BSE - SENSEX Index Options'!$C:$C,$A236,'BSE - SENSEX Index Options'!$B:$B,E$147)+SUMIFS('BSE - Other Index Options'!$L:$L,'BSE - Other Index Options'!$C:$C,$A236,'BSE - Other Index Options'!$B:$B,E$147))</f>
        <v/>
      </c>
      <c r="F236" s="26" t="str">
        <f>IF(SUMIFS('BSE - SENSEX Index Options'!$L:$L,'BSE - SENSEX Index Options'!$C:$C,$A236,'BSE - SENSEX Index Options'!$B:$B,F$147)+SUMIFS('BSE - Other Index Options'!$L:$L,'BSE - Other Index Options'!$C:$C,$A236,'BSE - Other Index Options'!$B:$B,F$147)=0,"",SUMIFS('BSE - SENSEX Index Options'!$L:$L,'BSE - SENSEX Index Options'!$C:$C,$A236,'BSE - SENSEX Index Options'!$B:$B,F$147)+SUMIFS('BSE - Other Index Options'!$L:$L,'BSE - Other Index Options'!$C:$C,$A236,'BSE - Other Index Options'!$B:$B,F$147))</f>
        <v/>
      </c>
      <c r="G236" s="26" t="str">
        <f>IF(SUMIFS('BSE - SENSEX Index Options'!$L:$L,'BSE - SENSEX Index Options'!$C:$C,$A236,'BSE - SENSEX Index Options'!$B:$B,G$147)+SUMIFS('BSE - Other Index Options'!$L:$L,'BSE - Other Index Options'!$C:$C,$A236,'BSE - Other Index Options'!$B:$B,G$147)=0,"",SUMIFS('BSE - SENSEX Index Options'!$L:$L,'BSE - SENSEX Index Options'!$C:$C,$A236,'BSE - SENSEX Index Options'!$B:$B,G$147)+SUMIFS('BSE - Other Index Options'!$L:$L,'BSE - Other Index Options'!$C:$C,$A236,'BSE - Other Index Options'!$B:$B,G$147))</f>
        <v/>
      </c>
      <c r="H236" s="26" t="str">
        <f t="shared" si="8"/>
        <v/>
      </c>
    </row>
    <row r="237" spans="1:8" hidden="1" outlineLevel="1">
      <c r="A237" t="s">
        <v>99</v>
      </c>
      <c r="B237" s="26" t="str">
        <f>IF(SUMIFS('BSE - SENSEX Index Options'!$L:$L,'BSE - SENSEX Index Options'!$C:$C,$A237,'BSE - SENSEX Index Options'!$B:$B,B$147)+SUMIFS('BSE - Other Index Options'!$L:$L,'BSE - Other Index Options'!$C:$C,$A237,'BSE - Other Index Options'!$B:$B,B$147)=0,"",SUMIFS('BSE - SENSEX Index Options'!$L:$L,'BSE - SENSEX Index Options'!$C:$C,$A237,'BSE - SENSEX Index Options'!$B:$B,B$147)+SUMIFS('BSE - Other Index Options'!$L:$L,'BSE - Other Index Options'!$C:$C,$A237,'BSE - Other Index Options'!$B:$B,B$147))</f>
        <v/>
      </c>
      <c r="C237" s="26" t="str">
        <f>IF(SUMIFS('BSE - SENSEX Index Options'!$L:$L,'BSE - SENSEX Index Options'!$C:$C,$A237,'BSE - SENSEX Index Options'!$B:$B,C$147)+SUMIFS('BSE - Other Index Options'!$L:$L,'BSE - Other Index Options'!$C:$C,$A237,'BSE - Other Index Options'!$B:$B,C$147)=0,"",SUMIFS('BSE - SENSEX Index Options'!$L:$L,'BSE - SENSEX Index Options'!$C:$C,$A237,'BSE - SENSEX Index Options'!$B:$B,C$147)+SUMIFS('BSE - Other Index Options'!$L:$L,'BSE - Other Index Options'!$C:$C,$A237,'BSE - Other Index Options'!$B:$B,C$147))</f>
        <v/>
      </c>
      <c r="D237" s="26" t="str">
        <f>IF(SUMIFS('BSE - SENSEX Index Options'!$L:$L,'BSE - SENSEX Index Options'!$C:$C,$A237,'BSE - SENSEX Index Options'!$B:$B,D$147)+SUMIFS('BSE - Other Index Options'!$L:$L,'BSE - Other Index Options'!$C:$C,$A237,'BSE - Other Index Options'!$B:$B,D$147)=0,"",SUMIFS('BSE - SENSEX Index Options'!$L:$L,'BSE - SENSEX Index Options'!$C:$C,$A237,'BSE - SENSEX Index Options'!$B:$B,D$147)+SUMIFS('BSE - Other Index Options'!$L:$L,'BSE - Other Index Options'!$C:$C,$A237,'BSE - Other Index Options'!$B:$B,D$147))</f>
        <v/>
      </c>
      <c r="E237" s="26" t="str">
        <f>IF(SUMIFS('BSE - SENSEX Index Options'!$L:$L,'BSE - SENSEX Index Options'!$C:$C,$A237,'BSE - SENSEX Index Options'!$B:$B,E$147)+SUMIFS('BSE - Other Index Options'!$L:$L,'BSE - Other Index Options'!$C:$C,$A237,'BSE - Other Index Options'!$B:$B,E$147)=0,"",SUMIFS('BSE - SENSEX Index Options'!$L:$L,'BSE - SENSEX Index Options'!$C:$C,$A237,'BSE - SENSEX Index Options'!$B:$B,E$147)+SUMIFS('BSE - Other Index Options'!$L:$L,'BSE - Other Index Options'!$C:$C,$A237,'BSE - Other Index Options'!$B:$B,E$147))</f>
        <v/>
      </c>
      <c r="F237" s="26" t="str">
        <f>IF(SUMIFS('BSE - SENSEX Index Options'!$L:$L,'BSE - SENSEX Index Options'!$C:$C,$A237,'BSE - SENSEX Index Options'!$B:$B,F$147)+SUMIFS('BSE - Other Index Options'!$L:$L,'BSE - Other Index Options'!$C:$C,$A237,'BSE - Other Index Options'!$B:$B,F$147)=0,"",SUMIFS('BSE - SENSEX Index Options'!$L:$L,'BSE - SENSEX Index Options'!$C:$C,$A237,'BSE - SENSEX Index Options'!$B:$B,F$147)+SUMIFS('BSE - Other Index Options'!$L:$L,'BSE - Other Index Options'!$C:$C,$A237,'BSE - Other Index Options'!$B:$B,F$147))</f>
        <v/>
      </c>
      <c r="G237" s="26" t="str">
        <f>IF(SUMIFS('BSE - SENSEX Index Options'!$L:$L,'BSE - SENSEX Index Options'!$C:$C,$A237,'BSE - SENSEX Index Options'!$B:$B,G$147)+SUMIFS('BSE - Other Index Options'!$L:$L,'BSE - Other Index Options'!$C:$C,$A237,'BSE - Other Index Options'!$B:$B,G$147)=0,"",SUMIFS('BSE - SENSEX Index Options'!$L:$L,'BSE - SENSEX Index Options'!$C:$C,$A237,'BSE - SENSEX Index Options'!$B:$B,G$147)+SUMIFS('BSE - Other Index Options'!$L:$L,'BSE - Other Index Options'!$C:$C,$A237,'BSE - Other Index Options'!$B:$B,G$147))</f>
        <v/>
      </c>
      <c r="H237" s="26" t="str">
        <f t="shared" si="8"/>
        <v/>
      </c>
    </row>
    <row r="238" spans="1:8" hidden="1" outlineLevel="1">
      <c r="A238" t="s">
        <v>100</v>
      </c>
      <c r="B238" s="26" t="str">
        <f>IF(SUMIFS('BSE - SENSEX Index Options'!$L:$L,'BSE - SENSEX Index Options'!$C:$C,$A238,'BSE - SENSEX Index Options'!$B:$B,B$147)+SUMIFS('BSE - Other Index Options'!$L:$L,'BSE - Other Index Options'!$C:$C,$A238,'BSE - Other Index Options'!$B:$B,B$147)=0,"",SUMIFS('BSE - SENSEX Index Options'!$L:$L,'BSE - SENSEX Index Options'!$C:$C,$A238,'BSE - SENSEX Index Options'!$B:$B,B$147)+SUMIFS('BSE - Other Index Options'!$L:$L,'BSE - Other Index Options'!$C:$C,$A238,'BSE - Other Index Options'!$B:$B,B$147))</f>
        <v/>
      </c>
      <c r="C238" s="26" t="str">
        <f>IF(SUMIFS('BSE - SENSEX Index Options'!$L:$L,'BSE - SENSEX Index Options'!$C:$C,$A238,'BSE - SENSEX Index Options'!$B:$B,C$147)+SUMIFS('BSE - Other Index Options'!$L:$L,'BSE - Other Index Options'!$C:$C,$A238,'BSE - Other Index Options'!$B:$B,C$147)=0,"",SUMIFS('BSE - SENSEX Index Options'!$L:$L,'BSE - SENSEX Index Options'!$C:$C,$A238,'BSE - SENSEX Index Options'!$B:$B,C$147)+SUMIFS('BSE - Other Index Options'!$L:$L,'BSE - Other Index Options'!$C:$C,$A238,'BSE - Other Index Options'!$B:$B,C$147))</f>
        <v/>
      </c>
      <c r="D238" s="26" t="str">
        <f>IF(SUMIFS('BSE - SENSEX Index Options'!$L:$L,'BSE - SENSEX Index Options'!$C:$C,$A238,'BSE - SENSEX Index Options'!$B:$B,D$147)+SUMIFS('BSE - Other Index Options'!$L:$L,'BSE - Other Index Options'!$C:$C,$A238,'BSE - Other Index Options'!$B:$B,D$147)=0,"",SUMIFS('BSE - SENSEX Index Options'!$L:$L,'BSE - SENSEX Index Options'!$C:$C,$A238,'BSE - SENSEX Index Options'!$B:$B,D$147)+SUMIFS('BSE - Other Index Options'!$L:$L,'BSE - Other Index Options'!$C:$C,$A238,'BSE - Other Index Options'!$B:$B,D$147))</f>
        <v/>
      </c>
      <c r="E238" s="26" t="str">
        <f>IF(SUMIFS('BSE - SENSEX Index Options'!$L:$L,'BSE - SENSEX Index Options'!$C:$C,$A238,'BSE - SENSEX Index Options'!$B:$B,E$147)+SUMIFS('BSE - Other Index Options'!$L:$L,'BSE - Other Index Options'!$C:$C,$A238,'BSE - Other Index Options'!$B:$B,E$147)=0,"",SUMIFS('BSE - SENSEX Index Options'!$L:$L,'BSE - SENSEX Index Options'!$C:$C,$A238,'BSE - SENSEX Index Options'!$B:$B,E$147)+SUMIFS('BSE - Other Index Options'!$L:$L,'BSE - Other Index Options'!$C:$C,$A238,'BSE - Other Index Options'!$B:$B,E$147))</f>
        <v/>
      </c>
      <c r="F238" s="26" t="str">
        <f>IF(SUMIFS('BSE - SENSEX Index Options'!$L:$L,'BSE - SENSEX Index Options'!$C:$C,$A238,'BSE - SENSEX Index Options'!$B:$B,F$147)+SUMIFS('BSE - Other Index Options'!$L:$L,'BSE - Other Index Options'!$C:$C,$A238,'BSE - Other Index Options'!$B:$B,F$147)=0,"",SUMIFS('BSE - SENSEX Index Options'!$L:$L,'BSE - SENSEX Index Options'!$C:$C,$A238,'BSE - SENSEX Index Options'!$B:$B,F$147)+SUMIFS('BSE - Other Index Options'!$L:$L,'BSE - Other Index Options'!$C:$C,$A238,'BSE - Other Index Options'!$B:$B,F$147))</f>
        <v/>
      </c>
      <c r="G238" s="26" t="str">
        <f>IF(SUMIFS('BSE - SENSEX Index Options'!$L:$L,'BSE - SENSEX Index Options'!$C:$C,$A238,'BSE - SENSEX Index Options'!$B:$B,G$147)+SUMIFS('BSE - Other Index Options'!$L:$L,'BSE - Other Index Options'!$C:$C,$A238,'BSE - Other Index Options'!$B:$B,G$147)=0,"",SUMIFS('BSE - SENSEX Index Options'!$L:$L,'BSE - SENSEX Index Options'!$C:$C,$A238,'BSE - SENSEX Index Options'!$B:$B,G$147)+SUMIFS('BSE - Other Index Options'!$L:$L,'BSE - Other Index Options'!$C:$C,$A238,'BSE - Other Index Options'!$B:$B,G$147))</f>
        <v/>
      </c>
      <c r="H238" s="26" t="str">
        <f t="shared" si="8"/>
        <v/>
      </c>
    </row>
    <row r="239" spans="1:8" hidden="1" outlineLevel="1">
      <c r="A239" t="s">
        <v>101</v>
      </c>
      <c r="B239" s="26" t="str">
        <f>IF(SUMIFS('BSE - SENSEX Index Options'!$L:$L,'BSE - SENSEX Index Options'!$C:$C,$A239,'BSE - SENSEX Index Options'!$B:$B,B$147)+SUMIFS('BSE - Other Index Options'!$L:$L,'BSE - Other Index Options'!$C:$C,$A239,'BSE - Other Index Options'!$B:$B,B$147)=0,"",SUMIFS('BSE - SENSEX Index Options'!$L:$L,'BSE - SENSEX Index Options'!$C:$C,$A239,'BSE - SENSEX Index Options'!$B:$B,B$147)+SUMIFS('BSE - Other Index Options'!$L:$L,'BSE - Other Index Options'!$C:$C,$A239,'BSE - Other Index Options'!$B:$B,B$147))</f>
        <v/>
      </c>
      <c r="C239" s="26" t="str">
        <f>IF(SUMIFS('BSE - SENSEX Index Options'!$L:$L,'BSE - SENSEX Index Options'!$C:$C,$A239,'BSE - SENSEX Index Options'!$B:$B,C$147)+SUMIFS('BSE - Other Index Options'!$L:$L,'BSE - Other Index Options'!$C:$C,$A239,'BSE - Other Index Options'!$B:$B,C$147)=0,"",SUMIFS('BSE - SENSEX Index Options'!$L:$L,'BSE - SENSEX Index Options'!$C:$C,$A239,'BSE - SENSEX Index Options'!$B:$B,C$147)+SUMIFS('BSE - Other Index Options'!$L:$L,'BSE - Other Index Options'!$C:$C,$A239,'BSE - Other Index Options'!$B:$B,C$147))</f>
        <v/>
      </c>
      <c r="D239" s="26" t="str">
        <f>IF(SUMIFS('BSE - SENSEX Index Options'!$L:$L,'BSE - SENSEX Index Options'!$C:$C,$A239,'BSE - SENSEX Index Options'!$B:$B,D$147)+SUMIFS('BSE - Other Index Options'!$L:$L,'BSE - Other Index Options'!$C:$C,$A239,'BSE - Other Index Options'!$B:$B,D$147)=0,"",SUMIFS('BSE - SENSEX Index Options'!$L:$L,'BSE - SENSEX Index Options'!$C:$C,$A239,'BSE - SENSEX Index Options'!$B:$B,D$147)+SUMIFS('BSE - Other Index Options'!$L:$L,'BSE - Other Index Options'!$C:$C,$A239,'BSE - Other Index Options'!$B:$B,D$147))</f>
        <v/>
      </c>
      <c r="E239" s="26" t="str">
        <f>IF(SUMIFS('BSE - SENSEX Index Options'!$L:$L,'BSE - SENSEX Index Options'!$C:$C,$A239,'BSE - SENSEX Index Options'!$B:$B,E$147)+SUMIFS('BSE - Other Index Options'!$L:$L,'BSE - Other Index Options'!$C:$C,$A239,'BSE - Other Index Options'!$B:$B,E$147)=0,"",SUMIFS('BSE - SENSEX Index Options'!$L:$L,'BSE - SENSEX Index Options'!$C:$C,$A239,'BSE - SENSEX Index Options'!$B:$B,E$147)+SUMIFS('BSE - Other Index Options'!$L:$L,'BSE - Other Index Options'!$C:$C,$A239,'BSE - Other Index Options'!$B:$B,E$147))</f>
        <v/>
      </c>
      <c r="F239" s="26" t="str">
        <f>IF(SUMIFS('BSE - SENSEX Index Options'!$L:$L,'BSE - SENSEX Index Options'!$C:$C,$A239,'BSE - SENSEX Index Options'!$B:$B,F$147)+SUMIFS('BSE - Other Index Options'!$L:$L,'BSE - Other Index Options'!$C:$C,$A239,'BSE - Other Index Options'!$B:$B,F$147)=0,"",SUMIFS('BSE - SENSEX Index Options'!$L:$L,'BSE - SENSEX Index Options'!$C:$C,$A239,'BSE - SENSEX Index Options'!$B:$B,F$147)+SUMIFS('BSE - Other Index Options'!$L:$L,'BSE - Other Index Options'!$C:$C,$A239,'BSE - Other Index Options'!$B:$B,F$147))</f>
        <v/>
      </c>
      <c r="G239" s="26" t="str">
        <f>IF(SUMIFS('BSE - SENSEX Index Options'!$L:$L,'BSE - SENSEX Index Options'!$C:$C,$A239,'BSE - SENSEX Index Options'!$B:$B,G$147)+SUMIFS('BSE - Other Index Options'!$L:$L,'BSE - Other Index Options'!$C:$C,$A239,'BSE - Other Index Options'!$B:$B,G$147)=0,"",SUMIFS('BSE - SENSEX Index Options'!$L:$L,'BSE - SENSEX Index Options'!$C:$C,$A239,'BSE - SENSEX Index Options'!$B:$B,G$147)+SUMIFS('BSE - Other Index Options'!$L:$L,'BSE - Other Index Options'!$C:$C,$A239,'BSE - Other Index Options'!$B:$B,G$147))</f>
        <v/>
      </c>
      <c r="H239" s="26" t="str">
        <f t="shared" si="8"/>
        <v/>
      </c>
    </row>
    <row r="240" spans="1:8" hidden="1" outlineLevel="1">
      <c r="A240" t="s">
        <v>102</v>
      </c>
      <c r="B240" s="26" t="str">
        <f>IF(SUMIFS('BSE - SENSEX Index Options'!$L:$L,'BSE - SENSEX Index Options'!$C:$C,$A240,'BSE - SENSEX Index Options'!$B:$B,B$147)+SUMIFS('BSE - Other Index Options'!$L:$L,'BSE - Other Index Options'!$C:$C,$A240,'BSE - Other Index Options'!$B:$B,B$147)=0,"",SUMIFS('BSE - SENSEX Index Options'!$L:$L,'BSE - SENSEX Index Options'!$C:$C,$A240,'BSE - SENSEX Index Options'!$B:$B,B$147)+SUMIFS('BSE - Other Index Options'!$L:$L,'BSE - Other Index Options'!$C:$C,$A240,'BSE - Other Index Options'!$B:$B,B$147))</f>
        <v/>
      </c>
      <c r="C240" s="26" t="str">
        <f>IF(SUMIFS('BSE - SENSEX Index Options'!$L:$L,'BSE - SENSEX Index Options'!$C:$C,$A240,'BSE - SENSEX Index Options'!$B:$B,C$147)+SUMIFS('BSE - Other Index Options'!$L:$L,'BSE - Other Index Options'!$C:$C,$A240,'BSE - Other Index Options'!$B:$B,C$147)=0,"",SUMIFS('BSE - SENSEX Index Options'!$L:$L,'BSE - SENSEX Index Options'!$C:$C,$A240,'BSE - SENSEX Index Options'!$B:$B,C$147)+SUMIFS('BSE - Other Index Options'!$L:$L,'BSE - Other Index Options'!$C:$C,$A240,'BSE - Other Index Options'!$B:$B,C$147))</f>
        <v/>
      </c>
      <c r="D240" s="26" t="str">
        <f>IF(SUMIFS('BSE - SENSEX Index Options'!$L:$L,'BSE - SENSEX Index Options'!$C:$C,$A240,'BSE - SENSEX Index Options'!$B:$B,D$147)+SUMIFS('BSE - Other Index Options'!$L:$L,'BSE - Other Index Options'!$C:$C,$A240,'BSE - Other Index Options'!$B:$B,D$147)=0,"",SUMIFS('BSE - SENSEX Index Options'!$L:$L,'BSE - SENSEX Index Options'!$C:$C,$A240,'BSE - SENSEX Index Options'!$B:$B,D$147)+SUMIFS('BSE - Other Index Options'!$L:$L,'BSE - Other Index Options'!$C:$C,$A240,'BSE - Other Index Options'!$B:$B,D$147))</f>
        <v/>
      </c>
      <c r="E240" s="26" t="str">
        <f>IF(SUMIFS('BSE - SENSEX Index Options'!$L:$L,'BSE - SENSEX Index Options'!$C:$C,$A240,'BSE - SENSEX Index Options'!$B:$B,E$147)+SUMIFS('BSE - Other Index Options'!$L:$L,'BSE - Other Index Options'!$C:$C,$A240,'BSE - Other Index Options'!$B:$B,E$147)=0,"",SUMIFS('BSE - SENSEX Index Options'!$L:$L,'BSE - SENSEX Index Options'!$C:$C,$A240,'BSE - SENSEX Index Options'!$B:$B,E$147)+SUMIFS('BSE - Other Index Options'!$L:$L,'BSE - Other Index Options'!$C:$C,$A240,'BSE - Other Index Options'!$B:$B,E$147))</f>
        <v/>
      </c>
      <c r="F240" s="26" t="str">
        <f>IF(SUMIFS('BSE - SENSEX Index Options'!$L:$L,'BSE - SENSEX Index Options'!$C:$C,$A240,'BSE - SENSEX Index Options'!$B:$B,F$147)+SUMIFS('BSE - Other Index Options'!$L:$L,'BSE - Other Index Options'!$C:$C,$A240,'BSE - Other Index Options'!$B:$B,F$147)=0,"",SUMIFS('BSE - SENSEX Index Options'!$L:$L,'BSE - SENSEX Index Options'!$C:$C,$A240,'BSE - SENSEX Index Options'!$B:$B,F$147)+SUMIFS('BSE - Other Index Options'!$L:$L,'BSE - Other Index Options'!$C:$C,$A240,'BSE - Other Index Options'!$B:$B,F$147))</f>
        <v/>
      </c>
      <c r="G240" s="26" t="str">
        <f>IF(SUMIFS('BSE - SENSEX Index Options'!$L:$L,'BSE - SENSEX Index Options'!$C:$C,$A240,'BSE - SENSEX Index Options'!$B:$B,G$147)+SUMIFS('BSE - Other Index Options'!$L:$L,'BSE - Other Index Options'!$C:$C,$A240,'BSE - Other Index Options'!$B:$B,G$147)=0,"",SUMIFS('BSE - SENSEX Index Options'!$L:$L,'BSE - SENSEX Index Options'!$C:$C,$A240,'BSE - SENSEX Index Options'!$B:$B,G$147)+SUMIFS('BSE - Other Index Options'!$L:$L,'BSE - Other Index Options'!$C:$C,$A240,'BSE - Other Index Options'!$B:$B,G$147))</f>
        <v/>
      </c>
      <c r="H240" s="26" t="str">
        <f t="shared" si="8"/>
        <v/>
      </c>
    </row>
    <row r="241" spans="1:8" hidden="1" outlineLevel="1">
      <c r="A241" t="s">
        <v>103</v>
      </c>
      <c r="B241" s="26" t="str">
        <f>IF(SUMIFS('BSE - SENSEX Index Options'!$L:$L,'BSE - SENSEX Index Options'!$C:$C,$A241,'BSE - SENSEX Index Options'!$B:$B,B$147)+SUMIFS('BSE - Other Index Options'!$L:$L,'BSE - Other Index Options'!$C:$C,$A241,'BSE - Other Index Options'!$B:$B,B$147)=0,"",SUMIFS('BSE - SENSEX Index Options'!$L:$L,'BSE - SENSEX Index Options'!$C:$C,$A241,'BSE - SENSEX Index Options'!$B:$B,B$147)+SUMIFS('BSE - Other Index Options'!$L:$L,'BSE - Other Index Options'!$C:$C,$A241,'BSE - Other Index Options'!$B:$B,B$147))</f>
        <v/>
      </c>
      <c r="C241" s="26" t="str">
        <f>IF(SUMIFS('BSE - SENSEX Index Options'!$L:$L,'BSE - SENSEX Index Options'!$C:$C,$A241,'BSE - SENSEX Index Options'!$B:$B,C$147)+SUMIFS('BSE - Other Index Options'!$L:$L,'BSE - Other Index Options'!$C:$C,$A241,'BSE - Other Index Options'!$B:$B,C$147)=0,"",SUMIFS('BSE - SENSEX Index Options'!$L:$L,'BSE - SENSEX Index Options'!$C:$C,$A241,'BSE - SENSEX Index Options'!$B:$B,C$147)+SUMIFS('BSE - Other Index Options'!$L:$L,'BSE - Other Index Options'!$C:$C,$A241,'BSE - Other Index Options'!$B:$B,C$147))</f>
        <v/>
      </c>
      <c r="D241" s="26" t="str">
        <f>IF(SUMIFS('BSE - SENSEX Index Options'!$L:$L,'BSE - SENSEX Index Options'!$C:$C,$A241,'BSE - SENSEX Index Options'!$B:$B,D$147)+SUMIFS('BSE - Other Index Options'!$L:$L,'BSE - Other Index Options'!$C:$C,$A241,'BSE - Other Index Options'!$B:$B,D$147)=0,"",SUMIFS('BSE - SENSEX Index Options'!$L:$L,'BSE - SENSEX Index Options'!$C:$C,$A241,'BSE - SENSEX Index Options'!$B:$B,D$147)+SUMIFS('BSE - Other Index Options'!$L:$L,'BSE - Other Index Options'!$C:$C,$A241,'BSE - Other Index Options'!$B:$B,D$147))</f>
        <v/>
      </c>
      <c r="E241" s="26" t="str">
        <f>IF(SUMIFS('BSE - SENSEX Index Options'!$L:$L,'BSE - SENSEX Index Options'!$C:$C,$A241,'BSE - SENSEX Index Options'!$B:$B,E$147)+SUMIFS('BSE - Other Index Options'!$L:$L,'BSE - Other Index Options'!$C:$C,$A241,'BSE - Other Index Options'!$B:$B,E$147)=0,"",SUMIFS('BSE - SENSEX Index Options'!$L:$L,'BSE - SENSEX Index Options'!$C:$C,$A241,'BSE - SENSEX Index Options'!$B:$B,E$147)+SUMIFS('BSE - Other Index Options'!$L:$L,'BSE - Other Index Options'!$C:$C,$A241,'BSE - Other Index Options'!$B:$B,E$147))</f>
        <v/>
      </c>
      <c r="F241" s="26" t="str">
        <f>IF(SUMIFS('BSE - SENSEX Index Options'!$L:$L,'BSE - SENSEX Index Options'!$C:$C,$A241,'BSE - SENSEX Index Options'!$B:$B,F$147)+SUMIFS('BSE - Other Index Options'!$L:$L,'BSE - Other Index Options'!$C:$C,$A241,'BSE - Other Index Options'!$B:$B,F$147)=0,"",SUMIFS('BSE - SENSEX Index Options'!$L:$L,'BSE - SENSEX Index Options'!$C:$C,$A241,'BSE - SENSEX Index Options'!$B:$B,F$147)+SUMIFS('BSE - Other Index Options'!$L:$L,'BSE - Other Index Options'!$C:$C,$A241,'BSE - Other Index Options'!$B:$B,F$147))</f>
        <v/>
      </c>
      <c r="G241" s="26" t="str">
        <f>IF(SUMIFS('BSE - SENSEX Index Options'!$L:$L,'BSE - SENSEX Index Options'!$C:$C,$A241,'BSE - SENSEX Index Options'!$B:$B,G$147)+SUMIFS('BSE - Other Index Options'!$L:$L,'BSE - Other Index Options'!$C:$C,$A241,'BSE - Other Index Options'!$B:$B,G$147)=0,"",SUMIFS('BSE - SENSEX Index Options'!$L:$L,'BSE - SENSEX Index Options'!$C:$C,$A241,'BSE - SENSEX Index Options'!$B:$B,G$147)+SUMIFS('BSE - Other Index Options'!$L:$L,'BSE - Other Index Options'!$C:$C,$A241,'BSE - Other Index Options'!$B:$B,G$147))</f>
        <v/>
      </c>
      <c r="H241" s="26" t="str">
        <f t="shared" si="8"/>
        <v/>
      </c>
    </row>
    <row r="242" spans="1:8" hidden="1" outlineLevel="1">
      <c r="A242" t="s">
        <v>104</v>
      </c>
      <c r="B242" s="26" t="str">
        <f>IF(SUMIFS('BSE - SENSEX Index Options'!$L:$L,'BSE - SENSEX Index Options'!$C:$C,$A242,'BSE - SENSEX Index Options'!$B:$B,B$147)+SUMIFS('BSE - Other Index Options'!$L:$L,'BSE - Other Index Options'!$C:$C,$A242,'BSE - Other Index Options'!$B:$B,B$147)=0,"",SUMIFS('BSE - SENSEX Index Options'!$L:$L,'BSE - SENSEX Index Options'!$C:$C,$A242,'BSE - SENSEX Index Options'!$B:$B,B$147)+SUMIFS('BSE - Other Index Options'!$L:$L,'BSE - Other Index Options'!$C:$C,$A242,'BSE - Other Index Options'!$B:$B,B$147))</f>
        <v/>
      </c>
      <c r="C242" s="26" t="str">
        <f>IF(SUMIFS('BSE - SENSEX Index Options'!$L:$L,'BSE - SENSEX Index Options'!$C:$C,$A242,'BSE - SENSEX Index Options'!$B:$B,C$147)+SUMIFS('BSE - Other Index Options'!$L:$L,'BSE - Other Index Options'!$C:$C,$A242,'BSE - Other Index Options'!$B:$B,C$147)=0,"",SUMIFS('BSE - SENSEX Index Options'!$L:$L,'BSE - SENSEX Index Options'!$C:$C,$A242,'BSE - SENSEX Index Options'!$B:$B,C$147)+SUMIFS('BSE - Other Index Options'!$L:$L,'BSE - Other Index Options'!$C:$C,$A242,'BSE - Other Index Options'!$B:$B,C$147))</f>
        <v/>
      </c>
      <c r="D242" s="26" t="str">
        <f>IF(SUMIFS('BSE - SENSEX Index Options'!$L:$L,'BSE - SENSEX Index Options'!$C:$C,$A242,'BSE - SENSEX Index Options'!$B:$B,D$147)+SUMIFS('BSE - Other Index Options'!$L:$L,'BSE - Other Index Options'!$C:$C,$A242,'BSE - Other Index Options'!$B:$B,D$147)=0,"",SUMIFS('BSE - SENSEX Index Options'!$L:$L,'BSE - SENSEX Index Options'!$C:$C,$A242,'BSE - SENSEX Index Options'!$B:$B,D$147)+SUMIFS('BSE - Other Index Options'!$L:$L,'BSE - Other Index Options'!$C:$C,$A242,'BSE - Other Index Options'!$B:$B,D$147))</f>
        <v/>
      </c>
      <c r="E242" s="26" t="str">
        <f>IF(SUMIFS('BSE - SENSEX Index Options'!$L:$L,'BSE - SENSEX Index Options'!$C:$C,$A242,'BSE - SENSEX Index Options'!$B:$B,E$147)+SUMIFS('BSE - Other Index Options'!$L:$L,'BSE - Other Index Options'!$C:$C,$A242,'BSE - Other Index Options'!$B:$B,E$147)=0,"",SUMIFS('BSE - SENSEX Index Options'!$L:$L,'BSE - SENSEX Index Options'!$C:$C,$A242,'BSE - SENSEX Index Options'!$B:$B,E$147)+SUMIFS('BSE - Other Index Options'!$L:$L,'BSE - Other Index Options'!$C:$C,$A242,'BSE - Other Index Options'!$B:$B,E$147))</f>
        <v/>
      </c>
      <c r="F242" s="26" t="str">
        <f>IF(SUMIFS('BSE - SENSEX Index Options'!$L:$L,'BSE - SENSEX Index Options'!$C:$C,$A242,'BSE - SENSEX Index Options'!$B:$B,F$147)+SUMIFS('BSE - Other Index Options'!$L:$L,'BSE - Other Index Options'!$C:$C,$A242,'BSE - Other Index Options'!$B:$B,F$147)=0,"",SUMIFS('BSE - SENSEX Index Options'!$L:$L,'BSE - SENSEX Index Options'!$C:$C,$A242,'BSE - SENSEX Index Options'!$B:$B,F$147)+SUMIFS('BSE - Other Index Options'!$L:$L,'BSE - Other Index Options'!$C:$C,$A242,'BSE - Other Index Options'!$B:$B,F$147))</f>
        <v/>
      </c>
      <c r="G242" s="26" t="str">
        <f>IF(SUMIFS('BSE - SENSEX Index Options'!$L:$L,'BSE - SENSEX Index Options'!$C:$C,$A242,'BSE - SENSEX Index Options'!$B:$B,G$147)+SUMIFS('BSE - Other Index Options'!$L:$L,'BSE - Other Index Options'!$C:$C,$A242,'BSE - Other Index Options'!$B:$B,G$147)=0,"",SUMIFS('BSE - SENSEX Index Options'!$L:$L,'BSE - SENSEX Index Options'!$C:$C,$A242,'BSE - SENSEX Index Options'!$B:$B,G$147)+SUMIFS('BSE - Other Index Options'!$L:$L,'BSE - Other Index Options'!$C:$C,$A242,'BSE - Other Index Options'!$B:$B,G$147))</f>
        <v/>
      </c>
      <c r="H242" s="26" t="str">
        <f t="shared" si="8"/>
        <v/>
      </c>
    </row>
    <row r="243" spans="1:8" hidden="1" outlineLevel="1">
      <c r="A243" t="s">
        <v>105</v>
      </c>
      <c r="B243" s="26" t="str">
        <f>IF(SUMIFS('BSE - SENSEX Index Options'!$L:$L,'BSE - SENSEX Index Options'!$C:$C,$A243,'BSE - SENSEX Index Options'!$B:$B,B$147)+SUMIFS('BSE - Other Index Options'!$L:$L,'BSE - Other Index Options'!$C:$C,$A243,'BSE - Other Index Options'!$B:$B,B$147)=0,"",SUMIFS('BSE - SENSEX Index Options'!$L:$L,'BSE - SENSEX Index Options'!$C:$C,$A243,'BSE - SENSEX Index Options'!$B:$B,B$147)+SUMIFS('BSE - Other Index Options'!$L:$L,'BSE - Other Index Options'!$C:$C,$A243,'BSE - Other Index Options'!$B:$B,B$147))</f>
        <v/>
      </c>
      <c r="C243" s="26" t="str">
        <f>IF(SUMIFS('BSE - SENSEX Index Options'!$L:$L,'BSE - SENSEX Index Options'!$C:$C,$A243,'BSE - SENSEX Index Options'!$B:$B,C$147)+SUMIFS('BSE - Other Index Options'!$L:$L,'BSE - Other Index Options'!$C:$C,$A243,'BSE - Other Index Options'!$B:$B,C$147)=0,"",SUMIFS('BSE - SENSEX Index Options'!$L:$L,'BSE - SENSEX Index Options'!$C:$C,$A243,'BSE - SENSEX Index Options'!$B:$B,C$147)+SUMIFS('BSE - Other Index Options'!$L:$L,'BSE - Other Index Options'!$C:$C,$A243,'BSE - Other Index Options'!$B:$B,C$147))</f>
        <v/>
      </c>
      <c r="D243" s="26" t="str">
        <f>IF(SUMIFS('BSE - SENSEX Index Options'!$L:$L,'BSE - SENSEX Index Options'!$C:$C,$A243,'BSE - SENSEX Index Options'!$B:$B,D$147)+SUMIFS('BSE - Other Index Options'!$L:$L,'BSE - Other Index Options'!$C:$C,$A243,'BSE - Other Index Options'!$B:$B,D$147)=0,"",SUMIFS('BSE - SENSEX Index Options'!$L:$L,'BSE - SENSEX Index Options'!$C:$C,$A243,'BSE - SENSEX Index Options'!$B:$B,D$147)+SUMIFS('BSE - Other Index Options'!$L:$L,'BSE - Other Index Options'!$C:$C,$A243,'BSE - Other Index Options'!$B:$B,D$147))</f>
        <v/>
      </c>
      <c r="E243" s="26" t="str">
        <f>IF(SUMIFS('BSE - SENSEX Index Options'!$L:$L,'BSE - SENSEX Index Options'!$C:$C,$A243,'BSE - SENSEX Index Options'!$B:$B,E$147)+SUMIFS('BSE - Other Index Options'!$L:$L,'BSE - Other Index Options'!$C:$C,$A243,'BSE - Other Index Options'!$B:$B,E$147)=0,"",SUMIFS('BSE - SENSEX Index Options'!$L:$L,'BSE - SENSEX Index Options'!$C:$C,$A243,'BSE - SENSEX Index Options'!$B:$B,E$147)+SUMIFS('BSE - Other Index Options'!$L:$L,'BSE - Other Index Options'!$C:$C,$A243,'BSE - Other Index Options'!$B:$B,E$147))</f>
        <v/>
      </c>
      <c r="F243" s="26" t="str">
        <f>IF(SUMIFS('BSE - SENSEX Index Options'!$L:$L,'BSE - SENSEX Index Options'!$C:$C,$A243,'BSE - SENSEX Index Options'!$B:$B,F$147)+SUMIFS('BSE - Other Index Options'!$L:$L,'BSE - Other Index Options'!$C:$C,$A243,'BSE - Other Index Options'!$B:$B,F$147)=0,"",SUMIFS('BSE - SENSEX Index Options'!$L:$L,'BSE - SENSEX Index Options'!$C:$C,$A243,'BSE - SENSEX Index Options'!$B:$B,F$147)+SUMIFS('BSE - Other Index Options'!$L:$L,'BSE - Other Index Options'!$C:$C,$A243,'BSE - Other Index Options'!$B:$B,F$147))</f>
        <v/>
      </c>
      <c r="G243" s="26" t="str">
        <f>IF(SUMIFS('BSE - SENSEX Index Options'!$L:$L,'BSE - SENSEX Index Options'!$C:$C,$A243,'BSE - SENSEX Index Options'!$B:$B,G$147)+SUMIFS('BSE - Other Index Options'!$L:$L,'BSE - Other Index Options'!$C:$C,$A243,'BSE - Other Index Options'!$B:$B,G$147)=0,"",SUMIFS('BSE - SENSEX Index Options'!$L:$L,'BSE - SENSEX Index Options'!$C:$C,$A243,'BSE - SENSEX Index Options'!$B:$B,G$147)+SUMIFS('BSE - Other Index Options'!$L:$L,'BSE - Other Index Options'!$C:$C,$A243,'BSE - Other Index Options'!$B:$B,G$147))</f>
        <v/>
      </c>
      <c r="H243" s="26" t="str">
        <f t="shared" si="8"/>
        <v/>
      </c>
    </row>
    <row r="244" spans="1:8" hidden="1" outlineLevel="1">
      <c r="A244" t="s">
        <v>106</v>
      </c>
      <c r="B244" s="26" t="str">
        <f>IF(SUMIFS('BSE - SENSEX Index Options'!$L:$L,'BSE - SENSEX Index Options'!$C:$C,$A244,'BSE - SENSEX Index Options'!$B:$B,B$147)+SUMIFS('BSE - Other Index Options'!$L:$L,'BSE - Other Index Options'!$C:$C,$A244,'BSE - Other Index Options'!$B:$B,B$147)=0,"",SUMIFS('BSE - SENSEX Index Options'!$L:$L,'BSE - SENSEX Index Options'!$C:$C,$A244,'BSE - SENSEX Index Options'!$B:$B,B$147)+SUMIFS('BSE - Other Index Options'!$L:$L,'BSE - Other Index Options'!$C:$C,$A244,'BSE - Other Index Options'!$B:$B,B$147))</f>
        <v/>
      </c>
      <c r="C244" s="26" t="str">
        <f>IF(SUMIFS('BSE - SENSEX Index Options'!$L:$L,'BSE - SENSEX Index Options'!$C:$C,$A244,'BSE - SENSEX Index Options'!$B:$B,C$147)+SUMIFS('BSE - Other Index Options'!$L:$L,'BSE - Other Index Options'!$C:$C,$A244,'BSE - Other Index Options'!$B:$B,C$147)=0,"",SUMIFS('BSE - SENSEX Index Options'!$L:$L,'BSE - SENSEX Index Options'!$C:$C,$A244,'BSE - SENSEX Index Options'!$B:$B,C$147)+SUMIFS('BSE - Other Index Options'!$L:$L,'BSE - Other Index Options'!$C:$C,$A244,'BSE - Other Index Options'!$B:$B,C$147))</f>
        <v/>
      </c>
      <c r="D244" s="26" t="str">
        <f>IF(SUMIFS('BSE - SENSEX Index Options'!$L:$L,'BSE - SENSEX Index Options'!$C:$C,$A244,'BSE - SENSEX Index Options'!$B:$B,D$147)+SUMIFS('BSE - Other Index Options'!$L:$L,'BSE - Other Index Options'!$C:$C,$A244,'BSE - Other Index Options'!$B:$B,D$147)=0,"",SUMIFS('BSE - SENSEX Index Options'!$L:$L,'BSE - SENSEX Index Options'!$C:$C,$A244,'BSE - SENSEX Index Options'!$B:$B,D$147)+SUMIFS('BSE - Other Index Options'!$L:$L,'BSE - Other Index Options'!$C:$C,$A244,'BSE - Other Index Options'!$B:$B,D$147))</f>
        <v/>
      </c>
      <c r="E244" s="26" t="str">
        <f>IF(SUMIFS('BSE - SENSEX Index Options'!$L:$L,'BSE - SENSEX Index Options'!$C:$C,$A244,'BSE - SENSEX Index Options'!$B:$B,E$147)+SUMIFS('BSE - Other Index Options'!$L:$L,'BSE - Other Index Options'!$C:$C,$A244,'BSE - Other Index Options'!$B:$B,E$147)=0,"",SUMIFS('BSE - SENSEX Index Options'!$L:$L,'BSE - SENSEX Index Options'!$C:$C,$A244,'BSE - SENSEX Index Options'!$B:$B,E$147)+SUMIFS('BSE - Other Index Options'!$L:$L,'BSE - Other Index Options'!$C:$C,$A244,'BSE - Other Index Options'!$B:$B,E$147))</f>
        <v/>
      </c>
      <c r="F244" s="26" t="str">
        <f>IF(SUMIFS('BSE - SENSEX Index Options'!$L:$L,'BSE - SENSEX Index Options'!$C:$C,$A244,'BSE - SENSEX Index Options'!$B:$B,F$147)+SUMIFS('BSE - Other Index Options'!$L:$L,'BSE - Other Index Options'!$C:$C,$A244,'BSE - Other Index Options'!$B:$B,F$147)=0,"",SUMIFS('BSE - SENSEX Index Options'!$L:$L,'BSE - SENSEX Index Options'!$C:$C,$A244,'BSE - SENSEX Index Options'!$B:$B,F$147)+SUMIFS('BSE - Other Index Options'!$L:$L,'BSE - Other Index Options'!$C:$C,$A244,'BSE - Other Index Options'!$B:$B,F$147))</f>
        <v/>
      </c>
      <c r="G244" s="26" t="str">
        <f>IF(SUMIFS('BSE - SENSEX Index Options'!$L:$L,'BSE - SENSEX Index Options'!$C:$C,$A244,'BSE - SENSEX Index Options'!$B:$B,G$147)+SUMIFS('BSE - Other Index Options'!$L:$L,'BSE - Other Index Options'!$C:$C,$A244,'BSE - Other Index Options'!$B:$B,G$147)=0,"",SUMIFS('BSE - SENSEX Index Options'!$L:$L,'BSE - SENSEX Index Options'!$C:$C,$A244,'BSE - SENSEX Index Options'!$B:$B,G$147)+SUMIFS('BSE - Other Index Options'!$L:$L,'BSE - Other Index Options'!$C:$C,$A244,'BSE - Other Index Options'!$B:$B,G$147))</f>
        <v/>
      </c>
      <c r="H244" s="26" t="str">
        <f t="shared" ref="H244:H275" si="9">IF(SUM(B244:G244)=0,"",SUM(B244:G244))</f>
        <v/>
      </c>
    </row>
    <row r="245" spans="1:8" hidden="1" outlineLevel="1">
      <c r="A245" t="s">
        <v>107</v>
      </c>
      <c r="B245" s="26" t="str">
        <f>IF(SUMIFS('BSE - SENSEX Index Options'!$L:$L,'BSE - SENSEX Index Options'!$C:$C,$A245,'BSE - SENSEX Index Options'!$B:$B,B$147)+SUMIFS('BSE - Other Index Options'!$L:$L,'BSE - Other Index Options'!$C:$C,$A245,'BSE - Other Index Options'!$B:$B,B$147)=0,"",SUMIFS('BSE - SENSEX Index Options'!$L:$L,'BSE - SENSEX Index Options'!$C:$C,$A245,'BSE - SENSEX Index Options'!$B:$B,B$147)+SUMIFS('BSE - Other Index Options'!$L:$L,'BSE - Other Index Options'!$C:$C,$A245,'BSE - Other Index Options'!$B:$B,B$147))</f>
        <v/>
      </c>
      <c r="C245" s="26" t="str">
        <f>IF(SUMIFS('BSE - SENSEX Index Options'!$L:$L,'BSE - SENSEX Index Options'!$C:$C,$A245,'BSE - SENSEX Index Options'!$B:$B,C$147)+SUMIFS('BSE - Other Index Options'!$L:$L,'BSE - Other Index Options'!$C:$C,$A245,'BSE - Other Index Options'!$B:$B,C$147)=0,"",SUMIFS('BSE - SENSEX Index Options'!$L:$L,'BSE - SENSEX Index Options'!$C:$C,$A245,'BSE - SENSEX Index Options'!$B:$B,C$147)+SUMIFS('BSE - Other Index Options'!$L:$L,'BSE - Other Index Options'!$C:$C,$A245,'BSE - Other Index Options'!$B:$B,C$147))</f>
        <v/>
      </c>
      <c r="D245" s="26" t="str">
        <f>IF(SUMIFS('BSE - SENSEX Index Options'!$L:$L,'BSE - SENSEX Index Options'!$C:$C,$A245,'BSE - SENSEX Index Options'!$B:$B,D$147)+SUMIFS('BSE - Other Index Options'!$L:$L,'BSE - Other Index Options'!$C:$C,$A245,'BSE - Other Index Options'!$B:$B,D$147)=0,"",SUMIFS('BSE - SENSEX Index Options'!$L:$L,'BSE - SENSEX Index Options'!$C:$C,$A245,'BSE - SENSEX Index Options'!$B:$B,D$147)+SUMIFS('BSE - Other Index Options'!$L:$L,'BSE - Other Index Options'!$C:$C,$A245,'BSE - Other Index Options'!$B:$B,D$147))</f>
        <v/>
      </c>
      <c r="E245" s="26" t="str">
        <f>IF(SUMIFS('BSE - SENSEX Index Options'!$L:$L,'BSE - SENSEX Index Options'!$C:$C,$A245,'BSE - SENSEX Index Options'!$B:$B,E$147)+SUMIFS('BSE - Other Index Options'!$L:$L,'BSE - Other Index Options'!$C:$C,$A245,'BSE - Other Index Options'!$B:$B,E$147)=0,"",SUMIFS('BSE - SENSEX Index Options'!$L:$L,'BSE - SENSEX Index Options'!$C:$C,$A245,'BSE - SENSEX Index Options'!$B:$B,E$147)+SUMIFS('BSE - Other Index Options'!$L:$L,'BSE - Other Index Options'!$C:$C,$A245,'BSE - Other Index Options'!$B:$B,E$147))</f>
        <v/>
      </c>
      <c r="F245" s="26" t="str">
        <f>IF(SUMIFS('BSE - SENSEX Index Options'!$L:$L,'BSE - SENSEX Index Options'!$C:$C,$A245,'BSE - SENSEX Index Options'!$B:$B,F$147)+SUMIFS('BSE - Other Index Options'!$L:$L,'BSE - Other Index Options'!$C:$C,$A245,'BSE - Other Index Options'!$B:$B,F$147)=0,"",SUMIFS('BSE - SENSEX Index Options'!$L:$L,'BSE - SENSEX Index Options'!$C:$C,$A245,'BSE - SENSEX Index Options'!$B:$B,F$147)+SUMIFS('BSE - Other Index Options'!$L:$L,'BSE - Other Index Options'!$C:$C,$A245,'BSE - Other Index Options'!$B:$B,F$147))</f>
        <v/>
      </c>
      <c r="G245" s="26" t="str">
        <f>IF(SUMIFS('BSE - SENSEX Index Options'!$L:$L,'BSE - SENSEX Index Options'!$C:$C,$A245,'BSE - SENSEX Index Options'!$B:$B,G$147)+SUMIFS('BSE - Other Index Options'!$L:$L,'BSE - Other Index Options'!$C:$C,$A245,'BSE - Other Index Options'!$B:$B,G$147)=0,"",SUMIFS('BSE - SENSEX Index Options'!$L:$L,'BSE - SENSEX Index Options'!$C:$C,$A245,'BSE - SENSEX Index Options'!$B:$B,G$147)+SUMIFS('BSE - Other Index Options'!$L:$L,'BSE - Other Index Options'!$C:$C,$A245,'BSE - Other Index Options'!$B:$B,G$147))</f>
        <v/>
      </c>
      <c r="H245" s="26" t="str">
        <f t="shared" si="9"/>
        <v/>
      </c>
    </row>
    <row r="246" spans="1:8" hidden="1" outlineLevel="1">
      <c r="A246" t="s">
        <v>108</v>
      </c>
      <c r="B246" s="26" t="str">
        <f>IF(SUMIFS('BSE - SENSEX Index Options'!$L:$L,'BSE - SENSEX Index Options'!$C:$C,$A246,'BSE - SENSEX Index Options'!$B:$B,B$147)+SUMIFS('BSE - Other Index Options'!$L:$L,'BSE - Other Index Options'!$C:$C,$A246,'BSE - Other Index Options'!$B:$B,B$147)=0,"",SUMIFS('BSE - SENSEX Index Options'!$L:$L,'BSE - SENSEX Index Options'!$C:$C,$A246,'BSE - SENSEX Index Options'!$B:$B,B$147)+SUMIFS('BSE - Other Index Options'!$L:$L,'BSE - Other Index Options'!$C:$C,$A246,'BSE - Other Index Options'!$B:$B,B$147))</f>
        <v/>
      </c>
      <c r="C246" s="26" t="str">
        <f>IF(SUMIFS('BSE - SENSEX Index Options'!$L:$L,'BSE - SENSEX Index Options'!$C:$C,$A246,'BSE - SENSEX Index Options'!$B:$B,C$147)+SUMIFS('BSE - Other Index Options'!$L:$L,'BSE - Other Index Options'!$C:$C,$A246,'BSE - Other Index Options'!$B:$B,C$147)=0,"",SUMIFS('BSE - SENSEX Index Options'!$L:$L,'BSE - SENSEX Index Options'!$C:$C,$A246,'BSE - SENSEX Index Options'!$B:$B,C$147)+SUMIFS('BSE - Other Index Options'!$L:$L,'BSE - Other Index Options'!$C:$C,$A246,'BSE - Other Index Options'!$B:$B,C$147))</f>
        <v/>
      </c>
      <c r="D246" s="26" t="str">
        <f>IF(SUMIFS('BSE - SENSEX Index Options'!$L:$L,'BSE - SENSEX Index Options'!$C:$C,$A246,'BSE - SENSEX Index Options'!$B:$B,D$147)+SUMIFS('BSE - Other Index Options'!$L:$L,'BSE - Other Index Options'!$C:$C,$A246,'BSE - Other Index Options'!$B:$B,D$147)=0,"",SUMIFS('BSE - SENSEX Index Options'!$L:$L,'BSE - SENSEX Index Options'!$C:$C,$A246,'BSE - SENSEX Index Options'!$B:$B,D$147)+SUMIFS('BSE - Other Index Options'!$L:$L,'BSE - Other Index Options'!$C:$C,$A246,'BSE - Other Index Options'!$B:$B,D$147))</f>
        <v/>
      </c>
      <c r="E246" s="26" t="str">
        <f>IF(SUMIFS('BSE - SENSEX Index Options'!$L:$L,'BSE - SENSEX Index Options'!$C:$C,$A246,'BSE - SENSEX Index Options'!$B:$B,E$147)+SUMIFS('BSE - Other Index Options'!$L:$L,'BSE - Other Index Options'!$C:$C,$A246,'BSE - Other Index Options'!$B:$B,E$147)=0,"",SUMIFS('BSE - SENSEX Index Options'!$L:$L,'BSE - SENSEX Index Options'!$C:$C,$A246,'BSE - SENSEX Index Options'!$B:$B,E$147)+SUMIFS('BSE - Other Index Options'!$L:$L,'BSE - Other Index Options'!$C:$C,$A246,'BSE - Other Index Options'!$B:$B,E$147))</f>
        <v/>
      </c>
      <c r="F246" s="26" t="str">
        <f>IF(SUMIFS('BSE - SENSEX Index Options'!$L:$L,'BSE - SENSEX Index Options'!$C:$C,$A246,'BSE - SENSEX Index Options'!$B:$B,F$147)+SUMIFS('BSE - Other Index Options'!$L:$L,'BSE - Other Index Options'!$C:$C,$A246,'BSE - Other Index Options'!$B:$B,F$147)=0,"",SUMIFS('BSE - SENSEX Index Options'!$L:$L,'BSE - SENSEX Index Options'!$C:$C,$A246,'BSE - SENSEX Index Options'!$B:$B,F$147)+SUMIFS('BSE - Other Index Options'!$L:$L,'BSE - Other Index Options'!$C:$C,$A246,'BSE - Other Index Options'!$B:$B,F$147))</f>
        <v/>
      </c>
      <c r="G246" s="26" t="str">
        <f>IF(SUMIFS('BSE - SENSEX Index Options'!$L:$L,'BSE - SENSEX Index Options'!$C:$C,$A246,'BSE - SENSEX Index Options'!$B:$B,G$147)+SUMIFS('BSE - Other Index Options'!$L:$L,'BSE - Other Index Options'!$C:$C,$A246,'BSE - Other Index Options'!$B:$B,G$147)=0,"",SUMIFS('BSE - SENSEX Index Options'!$L:$L,'BSE - SENSEX Index Options'!$C:$C,$A246,'BSE - SENSEX Index Options'!$B:$B,G$147)+SUMIFS('BSE - Other Index Options'!$L:$L,'BSE - Other Index Options'!$C:$C,$A246,'BSE - Other Index Options'!$B:$B,G$147))</f>
        <v/>
      </c>
      <c r="H246" s="26" t="str">
        <f t="shared" si="9"/>
        <v/>
      </c>
    </row>
    <row r="247" spans="1:8" hidden="1" outlineLevel="1">
      <c r="A247" t="s">
        <v>109</v>
      </c>
      <c r="B247" s="26" t="str">
        <f>IF(SUMIFS('BSE - SENSEX Index Options'!$L:$L,'BSE - SENSEX Index Options'!$C:$C,$A247,'BSE - SENSEX Index Options'!$B:$B,B$147)+SUMIFS('BSE - Other Index Options'!$L:$L,'BSE - Other Index Options'!$C:$C,$A247,'BSE - Other Index Options'!$B:$B,B$147)=0,"",SUMIFS('BSE - SENSEX Index Options'!$L:$L,'BSE - SENSEX Index Options'!$C:$C,$A247,'BSE - SENSEX Index Options'!$B:$B,B$147)+SUMIFS('BSE - Other Index Options'!$L:$L,'BSE - Other Index Options'!$C:$C,$A247,'BSE - Other Index Options'!$B:$B,B$147))</f>
        <v/>
      </c>
      <c r="C247" s="26" t="str">
        <f>IF(SUMIFS('BSE - SENSEX Index Options'!$L:$L,'BSE - SENSEX Index Options'!$C:$C,$A247,'BSE - SENSEX Index Options'!$B:$B,C$147)+SUMIFS('BSE - Other Index Options'!$L:$L,'BSE - Other Index Options'!$C:$C,$A247,'BSE - Other Index Options'!$B:$B,C$147)=0,"",SUMIFS('BSE - SENSEX Index Options'!$L:$L,'BSE - SENSEX Index Options'!$C:$C,$A247,'BSE - SENSEX Index Options'!$B:$B,C$147)+SUMIFS('BSE - Other Index Options'!$L:$L,'BSE - Other Index Options'!$C:$C,$A247,'BSE - Other Index Options'!$B:$B,C$147))</f>
        <v/>
      </c>
      <c r="D247" s="26" t="str">
        <f>IF(SUMIFS('BSE - SENSEX Index Options'!$L:$L,'BSE - SENSEX Index Options'!$C:$C,$A247,'BSE - SENSEX Index Options'!$B:$B,D$147)+SUMIFS('BSE - Other Index Options'!$L:$L,'BSE - Other Index Options'!$C:$C,$A247,'BSE - Other Index Options'!$B:$B,D$147)=0,"",SUMIFS('BSE - SENSEX Index Options'!$L:$L,'BSE - SENSEX Index Options'!$C:$C,$A247,'BSE - SENSEX Index Options'!$B:$B,D$147)+SUMIFS('BSE - Other Index Options'!$L:$L,'BSE - Other Index Options'!$C:$C,$A247,'BSE - Other Index Options'!$B:$B,D$147))</f>
        <v/>
      </c>
      <c r="E247" s="26" t="str">
        <f>IF(SUMIFS('BSE - SENSEX Index Options'!$L:$L,'BSE - SENSEX Index Options'!$C:$C,$A247,'BSE - SENSEX Index Options'!$B:$B,E$147)+SUMIFS('BSE - Other Index Options'!$L:$L,'BSE - Other Index Options'!$C:$C,$A247,'BSE - Other Index Options'!$B:$B,E$147)=0,"",SUMIFS('BSE - SENSEX Index Options'!$L:$L,'BSE - SENSEX Index Options'!$C:$C,$A247,'BSE - SENSEX Index Options'!$B:$B,E$147)+SUMIFS('BSE - Other Index Options'!$L:$L,'BSE - Other Index Options'!$C:$C,$A247,'BSE - Other Index Options'!$B:$B,E$147))</f>
        <v/>
      </c>
      <c r="F247" s="26" t="str">
        <f>IF(SUMIFS('BSE - SENSEX Index Options'!$L:$L,'BSE - SENSEX Index Options'!$C:$C,$A247,'BSE - SENSEX Index Options'!$B:$B,F$147)+SUMIFS('BSE - Other Index Options'!$L:$L,'BSE - Other Index Options'!$C:$C,$A247,'BSE - Other Index Options'!$B:$B,F$147)=0,"",SUMIFS('BSE - SENSEX Index Options'!$L:$L,'BSE - SENSEX Index Options'!$C:$C,$A247,'BSE - SENSEX Index Options'!$B:$B,F$147)+SUMIFS('BSE - Other Index Options'!$L:$L,'BSE - Other Index Options'!$C:$C,$A247,'BSE - Other Index Options'!$B:$B,F$147))</f>
        <v/>
      </c>
      <c r="G247" s="26" t="str">
        <f>IF(SUMIFS('BSE - SENSEX Index Options'!$L:$L,'BSE - SENSEX Index Options'!$C:$C,$A247,'BSE - SENSEX Index Options'!$B:$B,G$147)+SUMIFS('BSE - Other Index Options'!$L:$L,'BSE - Other Index Options'!$C:$C,$A247,'BSE - Other Index Options'!$B:$B,G$147)=0,"",SUMIFS('BSE - SENSEX Index Options'!$L:$L,'BSE - SENSEX Index Options'!$C:$C,$A247,'BSE - SENSEX Index Options'!$B:$B,G$147)+SUMIFS('BSE - Other Index Options'!$L:$L,'BSE - Other Index Options'!$C:$C,$A247,'BSE - Other Index Options'!$B:$B,G$147))</f>
        <v/>
      </c>
      <c r="H247" s="26" t="str">
        <f t="shared" si="9"/>
        <v/>
      </c>
    </row>
    <row r="248" spans="1:8" hidden="1" outlineLevel="1">
      <c r="A248" t="s">
        <v>110</v>
      </c>
      <c r="B248" s="26" t="str">
        <f>IF(SUMIFS('BSE - SENSEX Index Options'!$L:$L,'BSE - SENSEX Index Options'!$C:$C,$A248,'BSE - SENSEX Index Options'!$B:$B,B$147)+SUMIFS('BSE - Other Index Options'!$L:$L,'BSE - Other Index Options'!$C:$C,$A248,'BSE - Other Index Options'!$B:$B,B$147)=0,"",SUMIFS('BSE - SENSEX Index Options'!$L:$L,'BSE - SENSEX Index Options'!$C:$C,$A248,'BSE - SENSEX Index Options'!$B:$B,B$147)+SUMIFS('BSE - Other Index Options'!$L:$L,'BSE - Other Index Options'!$C:$C,$A248,'BSE - Other Index Options'!$B:$B,B$147))</f>
        <v/>
      </c>
      <c r="C248" s="26" t="str">
        <f>IF(SUMIFS('BSE - SENSEX Index Options'!$L:$L,'BSE - SENSEX Index Options'!$C:$C,$A248,'BSE - SENSEX Index Options'!$B:$B,C$147)+SUMIFS('BSE - Other Index Options'!$L:$L,'BSE - Other Index Options'!$C:$C,$A248,'BSE - Other Index Options'!$B:$B,C$147)=0,"",SUMIFS('BSE - SENSEX Index Options'!$L:$L,'BSE - SENSEX Index Options'!$C:$C,$A248,'BSE - SENSEX Index Options'!$B:$B,C$147)+SUMIFS('BSE - Other Index Options'!$L:$L,'BSE - Other Index Options'!$C:$C,$A248,'BSE - Other Index Options'!$B:$B,C$147))</f>
        <v/>
      </c>
      <c r="D248" s="26" t="str">
        <f>IF(SUMIFS('BSE - SENSEX Index Options'!$L:$L,'BSE - SENSEX Index Options'!$C:$C,$A248,'BSE - SENSEX Index Options'!$B:$B,D$147)+SUMIFS('BSE - Other Index Options'!$L:$L,'BSE - Other Index Options'!$C:$C,$A248,'BSE - Other Index Options'!$B:$B,D$147)=0,"",SUMIFS('BSE - SENSEX Index Options'!$L:$L,'BSE - SENSEX Index Options'!$C:$C,$A248,'BSE - SENSEX Index Options'!$B:$B,D$147)+SUMIFS('BSE - Other Index Options'!$L:$L,'BSE - Other Index Options'!$C:$C,$A248,'BSE - Other Index Options'!$B:$B,D$147))</f>
        <v/>
      </c>
      <c r="E248" s="26" t="str">
        <f>IF(SUMIFS('BSE - SENSEX Index Options'!$L:$L,'BSE - SENSEX Index Options'!$C:$C,$A248,'BSE - SENSEX Index Options'!$B:$B,E$147)+SUMIFS('BSE - Other Index Options'!$L:$L,'BSE - Other Index Options'!$C:$C,$A248,'BSE - Other Index Options'!$B:$B,E$147)=0,"",SUMIFS('BSE - SENSEX Index Options'!$L:$L,'BSE - SENSEX Index Options'!$C:$C,$A248,'BSE - SENSEX Index Options'!$B:$B,E$147)+SUMIFS('BSE - Other Index Options'!$L:$L,'BSE - Other Index Options'!$C:$C,$A248,'BSE - Other Index Options'!$B:$B,E$147))</f>
        <v/>
      </c>
      <c r="F248" s="26" t="str">
        <f>IF(SUMIFS('BSE - SENSEX Index Options'!$L:$L,'BSE - SENSEX Index Options'!$C:$C,$A248,'BSE - SENSEX Index Options'!$B:$B,F$147)+SUMIFS('BSE - Other Index Options'!$L:$L,'BSE - Other Index Options'!$C:$C,$A248,'BSE - Other Index Options'!$B:$B,F$147)=0,"",SUMIFS('BSE - SENSEX Index Options'!$L:$L,'BSE - SENSEX Index Options'!$C:$C,$A248,'BSE - SENSEX Index Options'!$B:$B,F$147)+SUMIFS('BSE - Other Index Options'!$L:$L,'BSE - Other Index Options'!$C:$C,$A248,'BSE - Other Index Options'!$B:$B,F$147))</f>
        <v/>
      </c>
      <c r="G248" s="26" t="str">
        <f>IF(SUMIFS('BSE - SENSEX Index Options'!$L:$L,'BSE - SENSEX Index Options'!$C:$C,$A248,'BSE - SENSEX Index Options'!$B:$B,G$147)+SUMIFS('BSE - Other Index Options'!$L:$L,'BSE - Other Index Options'!$C:$C,$A248,'BSE - Other Index Options'!$B:$B,G$147)=0,"",SUMIFS('BSE - SENSEX Index Options'!$L:$L,'BSE - SENSEX Index Options'!$C:$C,$A248,'BSE - SENSEX Index Options'!$B:$B,G$147)+SUMIFS('BSE - Other Index Options'!$L:$L,'BSE - Other Index Options'!$C:$C,$A248,'BSE - Other Index Options'!$B:$B,G$147))</f>
        <v/>
      </c>
      <c r="H248" s="26" t="str">
        <f t="shared" si="9"/>
        <v/>
      </c>
    </row>
    <row r="249" spans="1:8" hidden="1" outlineLevel="1">
      <c r="A249" t="s">
        <v>111</v>
      </c>
      <c r="B249" s="26" t="str">
        <f>IF(SUMIFS('BSE - SENSEX Index Options'!$L:$L,'BSE - SENSEX Index Options'!$C:$C,$A249,'BSE - SENSEX Index Options'!$B:$B,B$147)+SUMIFS('BSE - Other Index Options'!$L:$L,'BSE - Other Index Options'!$C:$C,$A249,'BSE - Other Index Options'!$B:$B,B$147)=0,"",SUMIFS('BSE - SENSEX Index Options'!$L:$L,'BSE - SENSEX Index Options'!$C:$C,$A249,'BSE - SENSEX Index Options'!$B:$B,B$147)+SUMIFS('BSE - Other Index Options'!$L:$L,'BSE - Other Index Options'!$C:$C,$A249,'BSE - Other Index Options'!$B:$B,B$147))</f>
        <v/>
      </c>
      <c r="C249" s="26" t="str">
        <f>IF(SUMIFS('BSE - SENSEX Index Options'!$L:$L,'BSE - SENSEX Index Options'!$C:$C,$A249,'BSE - SENSEX Index Options'!$B:$B,C$147)+SUMIFS('BSE - Other Index Options'!$L:$L,'BSE - Other Index Options'!$C:$C,$A249,'BSE - Other Index Options'!$B:$B,C$147)=0,"",SUMIFS('BSE - SENSEX Index Options'!$L:$L,'BSE - SENSEX Index Options'!$C:$C,$A249,'BSE - SENSEX Index Options'!$B:$B,C$147)+SUMIFS('BSE - Other Index Options'!$L:$L,'BSE - Other Index Options'!$C:$C,$A249,'BSE - Other Index Options'!$B:$B,C$147))</f>
        <v/>
      </c>
      <c r="D249" s="26" t="str">
        <f>IF(SUMIFS('BSE - SENSEX Index Options'!$L:$L,'BSE - SENSEX Index Options'!$C:$C,$A249,'BSE - SENSEX Index Options'!$B:$B,D$147)+SUMIFS('BSE - Other Index Options'!$L:$L,'BSE - Other Index Options'!$C:$C,$A249,'BSE - Other Index Options'!$B:$B,D$147)=0,"",SUMIFS('BSE - SENSEX Index Options'!$L:$L,'BSE - SENSEX Index Options'!$C:$C,$A249,'BSE - SENSEX Index Options'!$B:$B,D$147)+SUMIFS('BSE - Other Index Options'!$L:$L,'BSE - Other Index Options'!$C:$C,$A249,'BSE - Other Index Options'!$B:$B,D$147))</f>
        <v/>
      </c>
      <c r="E249" s="26" t="str">
        <f>IF(SUMIFS('BSE - SENSEX Index Options'!$L:$L,'BSE - SENSEX Index Options'!$C:$C,$A249,'BSE - SENSEX Index Options'!$B:$B,E$147)+SUMIFS('BSE - Other Index Options'!$L:$L,'BSE - Other Index Options'!$C:$C,$A249,'BSE - Other Index Options'!$B:$B,E$147)=0,"",SUMIFS('BSE - SENSEX Index Options'!$L:$L,'BSE - SENSEX Index Options'!$C:$C,$A249,'BSE - SENSEX Index Options'!$B:$B,E$147)+SUMIFS('BSE - Other Index Options'!$L:$L,'BSE - Other Index Options'!$C:$C,$A249,'BSE - Other Index Options'!$B:$B,E$147))</f>
        <v/>
      </c>
      <c r="F249" s="26" t="str">
        <f>IF(SUMIFS('BSE - SENSEX Index Options'!$L:$L,'BSE - SENSEX Index Options'!$C:$C,$A249,'BSE - SENSEX Index Options'!$B:$B,F$147)+SUMIFS('BSE - Other Index Options'!$L:$L,'BSE - Other Index Options'!$C:$C,$A249,'BSE - Other Index Options'!$B:$B,F$147)=0,"",SUMIFS('BSE - SENSEX Index Options'!$L:$L,'BSE - SENSEX Index Options'!$C:$C,$A249,'BSE - SENSEX Index Options'!$B:$B,F$147)+SUMIFS('BSE - Other Index Options'!$L:$L,'BSE - Other Index Options'!$C:$C,$A249,'BSE - Other Index Options'!$B:$B,F$147))</f>
        <v/>
      </c>
      <c r="G249" s="26" t="str">
        <f>IF(SUMIFS('BSE - SENSEX Index Options'!$L:$L,'BSE - SENSEX Index Options'!$C:$C,$A249,'BSE - SENSEX Index Options'!$B:$B,G$147)+SUMIFS('BSE - Other Index Options'!$L:$L,'BSE - Other Index Options'!$C:$C,$A249,'BSE - Other Index Options'!$B:$B,G$147)=0,"",SUMIFS('BSE - SENSEX Index Options'!$L:$L,'BSE - SENSEX Index Options'!$C:$C,$A249,'BSE - SENSEX Index Options'!$B:$B,G$147)+SUMIFS('BSE - Other Index Options'!$L:$L,'BSE - Other Index Options'!$C:$C,$A249,'BSE - Other Index Options'!$B:$B,G$147))</f>
        <v/>
      </c>
      <c r="H249" s="26" t="str">
        <f t="shared" si="9"/>
        <v/>
      </c>
    </row>
    <row r="250" spans="1:8" hidden="1" outlineLevel="1">
      <c r="A250" t="s">
        <v>112</v>
      </c>
      <c r="B250" s="26" t="str">
        <f>IF(SUMIFS('BSE - SENSEX Index Options'!$L:$L,'BSE - SENSEX Index Options'!$C:$C,$A250,'BSE - SENSEX Index Options'!$B:$B,B$147)+SUMIFS('BSE - Other Index Options'!$L:$L,'BSE - Other Index Options'!$C:$C,$A250,'BSE - Other Index Options'!$B:$B,B$147)=0,"",SUMIFS('BSE - SENSEX Index Options'!$L:$L,'BSE - SENSEX Index Options'!$C:$C,$A250,'BSE - SENSEX Index Options'!$B:$B,B$147)+SUMIFS('BSE - Other Index Options'!$L:$L,'BSE - Other Index Options'!$C:$C,$A250,'BSE - Other Index Options'!$B:$B,B$147))</f>
        <v/>
      </c>
      <c r="C250" s="26" t="str">
        <f>IF(SUMIFS('BSE - SENSEX Index Options'!$L:$L,'BSE - SENSEX Index Options'!$C:$C,$A250,'BSE - SENSEX Index Options'!$B:$B,C$147)+SUMIFS('BSE - Other Index Options'!$L:$L,'BSE - Other Index Options'!$C:$C,$A250,'BSE - Other Index Options'!$B:$B,C$147)=0,"",SUMIFS('BSE - SENSEX Index Options'!$L:$L,'BSE - SENSEX Index Options'!$C:$C,$A250,'BSE - SENSEX Index Options'!$B:$B,C$147)+SUMIFS('BSE - Other Index Options'!$L:$L,'BSE - Other Index Options'!$C:$C,$A250,'BSE - Other Index Options'!$B:$B,C$147))</f>
        <v/>
      </c>
      <c r="D250" s="26" t="str">
        <f>IF(SUMIFS('BSE - SENSEX Index Options'!$L:$L,'BSE - SENSEX Index Options'!$C:$C,$A250,'BSE - SENSEX Index Options'!$B:$B,D$147)+SUMIFS('BSE - Other Index Options'!$L:$L,'BSE - Other Index Options'!$C:$C,$A250,'BSE - Other Index Options'!$B:$B,D$147)=0,"",SUMIFS('BSE - SENSEX Index Options'!$L:$L,'BSE - SENSEX Index Options'!$C:$C,$A250,'BSE - SENSEX Index Options'!$B:$B,D$147)+SUMIFS('BSE - Other Index Options'!$L:$L,'BSE - Other Index Options'!$C:$C,$A250,'BSE - Other Index Options'!$B:$B,D$147))</f>
        <v/>
      </c>
      <c r="E250" s="26" t="str">
        <f>IF(SUMIFS('BSE - SENSEX Index Options'!$L:$L,'BSE - SENSEX Index Options'!$C:$C,$A250,'BSE - SENSEX Index Options'!$B:$B,E$147)+SUMIFS('BSE - Other Index Options'!$L:$L,'BSE - Other Index Options'!$C:$C,$A250,'BSE - Other Index Options'!$B:$B,E$147)=0,"",SUMIFS('BSE - SENSEX Index Options'!$L:$L,'BSE - SENSEX Index Options'!$C:$C,$A250,'BSE - SENSEX Index Options'!$B:$B,E$147)+SUMIFS('BSE - Other Index Options'!$L:$L,'BSE - Other Index Options'!$C:$C,$A250,'BSE - Other Index Options'!$B:$B,E$147))</f>
        <v/>
      </c>
      <c r="F250" s="26" t="str">
        <f>IF(SUMIFS('BSE - SENSEX Index Options'!$L:$L,'BSE - SENSEX Index Options'!$C:$C,$A250,'BSE - SENSEX Index Options'!$B:$B,F$147)+SUMIFS('BSE - Other Index Options'!$L:$L,'BSE - Other Index Options'!$C:$C,$A250,'BSE - Other Index Options'!$B:$B,F$147)=0,"",SUMIFS('BSE - SENSEX Index Options'!$L:$L,'BSE - SENSEX Index Options'!$C:$C,$A250,'BSE - SENSEX Index Options'!$B:$B,F$147)+SUMIFS('BSE - Other Index Options'!$L:$L,'BSE - Other Index Options'!$C:$C,$A250,'BSE - Other Index Options'!$B:$B,F$147))</f>
        <v/>
      </c>
      <c r="G250" s="26" t="str">
        <f>IF(SUMIFS('BSE - SENSEX Index Options'!$L:$L,'BSE - SENSEX Index Options'!$C:$C,$A250,'BSE - SENSEX Index Options'!$B:$B,G$147)+SUMIFS('BSE - Other Index Options'!$L:$L,'BSE - Other Index Options'!$C:$C,$A250,'BSE - Other Index Options'!$B:$B,G$147)=0,"",SUMIFS('BSE - SENSEX Index Options'!$L:$L,'BSE - SENSEX Index Options'!$C:$C,$A250,'BSE - SENSEX Index Options'!$B:$B,G$147)+SUMIFS('BSE - Other Index Options'!$L:$L,'BSE - Other Index Options'!$C:$C,$A250,'BSE - Other Index Options'!$B:$B,G$147))</f>
        <v/>
      </c>
      <c r="H250" s="26" t="str">
        <f t="shared" si="9"/>
        <v/>
      </c>
    </row>
    <row r="251" spans="1:8" hidden="1" outlineLevel="1">
      <c r="A251" t="s">
        <v>113</v>
      </c>
      <c r="B251" s="26" t="str">
        <f>IF(SUMIFS('BSE - SENSEX Index Options'!$L:$L,'BSE - SENSEX Index Options'!$C:$C,$A251,'BSE - SENSEX Index Options'!$B:$B,B$147)+SUMIFS('BSE - Other Index Options'!$L:$L,'BSE - Other Index Options'!$C:$C,$A251,'BSE - Other Index Options'!$B:$B,B$147)=0,"",SUMIFS('BSE - SENSEX Index Options'!$L:$L,'BSE - SENSEX Index Options'!$C:$C,$A251,'BSE - SENSEX Index Options'!$B:$B,B$147)+SUMIFS('BSE - Other Index Options'!$L:$L,'BSE - Other Index Options'!$C:$C,$A251,'BSE - Other Index Options'!$B:$B,B$147))</f>
        <v/>
      </c>
      <c r="C251" s="26" t="str">
        <f>IF(SUMIFS('BSE - SENSEX Index Options'!$L:$L,'BSE - SENSEX Index Options'!$C:$C,$A251,'BSE - SENSEX Index Options'!$B:$B,C$147)+SUMIFS('BSE - Other Index Options'!$L:$L,'BSE - Other Index Options'!$C:$C,$A251,'BSE - Other Index Options'!$B:$B,C$147)=0,"",SUMIFS('BSE - SENSEX Index Options'!$L:$L,'BSE - SENSEX Index Options'!$C:$C,$A251,'BSE - SENSEX Index Options'!$B:$B,C$147)+SUMIFS('BSE - Other Index Options'!$L:$L,'BSE - Other Index Options'!$C:$C,$A251,'BSE - Other Index Options'!$B:$B,C$147))</f>
        <v/>
      </c>
      <c r="D251" s="26" t="str">
        <f>IF(SUMIFS('BSE - SENSEX Index Options'!$L:$L,'BSE - SENSEX Index Options'!$C:$C,$A251,'BSE - SENSEX Index Options'!$B:$B,D$147)+SUMIFS('BSE - Other Index Options'!$L:$L,'BSE - Other Index Options'!$C:$C,$A251,'BSE - Other Index Options'!$B:$B,D$147)=0,"",SUMIFS('BSE - SENSEX Index Options'!$L:$L,'BSE - SENSEX Index Options'!$C:$C,$A251,'BSE - SENSEX Index Options'!$B:$B,D$147)+SUMIFS('BSE - Other Index Options'!$L:$L,'BSE - Other Index Options'!$C:$C,$A251,'BSE - Other Index Options'!$B:$B,D$147))</f>
        <v/>
      </c>
      <c r="E251" s="26" t="str">
        <f>IF(SUMIFS('BSE - SENSEX Index Options'!$L:$L,'BSE - SENSEX Index Options'!$C:$C,$A251,'BSE - SENSEX Index Options'!$B:$B,E$147)+SUMIFS('BSE - Other Index Options'!$L:$L,'BSE - Other Index Options'!$C:$C,$A251,'BSE - Other Index Options'!$B:$B,E$147)=0,"",SUMIFS('BSE - SENSEX Index Options'!$L:$L,'BSE - SENSEX Index Options'!$C:$C,$A251,'BSE - SENSEX Index Options'!$B:$B,E$147)+SUMIFS('BSE - Other Index Options'!$L:$L,'BSE - Other Index Options'!$C:$C,$A251,'BSE - Other Index Options'!$B:$B,E$147))</f>
        <v/>
      </c>
      <c r="F251" s="26" t="str">
        <f>IF(SUMIFS('BSE - SENSEX Index Options'!$L:$L,'BSE - SENSEX Index Options'!$C:$C,$A251,'BSE - SENSEX Index Options'!$B:$B,F$147)+SUMIFS('BSE - Other Index Options'!$L:$L,'BSE - Other Index Options'!$C:$C,$A251,'BSE - Other Index Options'!$B:$B,F$147)=0,"",SUMIFS('BSE - SENSEX Index Options'!$L:$L,'BSE - SENSEX Index Options'!$C:$C,$A251,'BSE - SENSEX Index Options'!$B:$B,F$147)+SUMIFS('BSE - Other Index Options'!$L:$L,'BSE - Other Index Options'!$C:$C,$A251,'BSE - Other Index Options'!$B:$B,F$147))</f>
        <v/>
      </c>
      <c r="G251" s="26" t="str">
        <f>IF(SUMIFS('BSE - SENSEX Index Options'!$L:$L,'BSE - SENSEX Index Options'!$C:$C,$A251,'BSE - SENSEX Index Options'!$B:$B,G$147)+SUMIFS('BSE - Other Index Options'!$L:$L,'BSE - Other Index Options'!$C:$C,$A251,'BSE - Other Index Options'!$B:$B,G$147)=0,"",SUMIFS('BSE - SENSEX Index Options'!$L:$L,'BSE - SENSEX Index Options'!$C:$C,$A251,'BSE - SENSEX Index Options'!$B:$B,G$147)+SUMIFS('BSE - Other Index Options'!$L:$L,'BSE - Other Index Options'!$C:$C,$A251,'BSE - Other Index Options'!$B:$B,G$147))</f>
        <v/>
      </c>
      <c r="H251" s="26" t="str">
        <f t="shared" si="9"/>
        <v/>
      </c>
    </row>
    <row r="252" spans="1:8" hidden="1" outlineLevel="1">
      <c r="A252" t="s">
        <v>114</v>
      </c>
      <c r="B252" s="26" t="str">
        <f>IF(SUMIFS('BSE - SENSEX Index Options'!$L:$L,'BSE - SENSEX Index Options'!$C:$C,$A252,'BSE - SENSEX Index Options'!$B:$B,B$147)+SUMIFS('BSE - Other Index Options'!$L:$L,'BSE - Other Index Options'!$C:$C,$A252,'BSE - Other Index Options'!$B:$B,B$147)=0,"",SUMIFS('BSE - SENSEX Index Options'!$L:$L,'BSE - SENSEX Index Options'!$C:$C,$A252,'BSE - SENSEX Index Options'!$B:$B,B$147)+SUMIFS('BSE - Other Index Options'!$L:$L,'BSE - Other Index Options'!$C:$C,$A252,'BSE - Other Index Options'!$B:$B,B$147))</f>
        <v/>
      </c>
      <c r="C252" s="26" t="str">
        <f>IF(SUMIFS('BSE - SENSEX Index Options'!$L:$L,'BSE - SENSEX Index Options'!$C:$C,$A252,'BSE - SENSEX Index Options'!$B:$B,C$147)+SUMIFS('BSE - Other Index Options'!$L:$L,'BSE - Other Index Options'!$C:$C,$A252,'BSE - Other Index Options'!$B:$B,C$147)=0,"",SUMIFS('BSE - SENSEX Index Options'!$L:$L,'BSE - SENSEX Index Options'!$C:$C,$A252,'BSE - SENSEX Index Options'!$B:$B,C$147)+SUMIFS('BSE - Other Index Options'!$L:$L,'BSE - Other Index Options'!$C:$C,$A252,'BSE - Other Index Options'!$B:$B,C$147))</f>
        <v/>
      </c>
      <c r="D252" s="26" t="str">
        <f>IF(SUMIFS('BSE - SENSEX Index Options'!$L:$L,'BSE - SENSEX Index Options'!$C:$C,$A252,'BSE - SENSEX Index Options'!$B:$B,D$147)+SUMIFS('BSE - Other Index Options'!$L:$L,'BSE - Other Index Options'!$C:$C,$A252,'BSE - Other Index Options'!$B:$B,D$147)=0,"",SUMIFS('BSE - SENSEX Index Options'!$L:$L,'BSE - SENSEX Index Options'!$C:$C,$A252,'BSE - SENSEX Index Options'!$B:$B,D$147)+SUMIFS('BSE - Other Index Options'!$L:$L,'BSE - Other Index Options'!$C:$C,$A252,'BSE - Other Index Options'!$B:$B,D$147))</f>
        <v/>
      </c>
      <c r="E252" s="26" t="str">
        <f>IF(SUMIFS('BSE - SENSEX Index Options'!$L:$L,'BSE - SENSEX Index Options'!$C:$C,$A252,'BSE - SENSEX Index Options'!$B:$B,E$147)+SUMIFS('BSE - Other Index Options'!$L:$L,'BSE - Other Index Options'!$C:$C,$A252,'BSE - Other Index Options'!$B:$B,E$147)=0,"",SUMIFS('BSE - SENSEX Index Options'!$L:$L,'BSE - SENSEX Index Options'!$C:$C,$A252,'BSE - SENSEX Index Options'!$B:$B,E$147)+SUMIFS('BSE - Other Index Options'!$L:$L,'BSE - Other Index Options'!$C:$C,$A252,'BSE - Other Index Options'!$B:$B,E$147))</f>
        <v/>
      </c>
      <c r="F252" s="26" t="str">
        <f>IF(SUMIFS('BSE - SENSEX Index Options'!$L:$L,'BSE - SENSEX Index Options'!$C:$C,$A252,'BSE - SENSEX Index Options'!$B:$B,F$147)+SUMIFS('BSE - Other Index Options'!$L:$L,'BSE - Other Index Options'!$C:$C,$A252,'BSE - Other Index Options'!$B:$B,F$147)=0,"",SUMIFS('BSE - SENSEX Index Options'!$L:$L,'BSE - SENSEX Index Options'!$C:$C,$A252,'BSE - SENSEX Index Options'!$B:$B,F$147)+SUMIFS('BSE - Other Index Options'!$L:$L,'BSE - Other Index Options'!$C:$C,$A252,'BSE - Other Index Options'!$B:$B,F$147))</f>
        <v/>
      </c>
      <c r="G252" s="26" t="str">
        <f>IF(SUMIFS('BSE - SENSEX Index Options'!$L:$L,'BSE - SENSEX Index Options'!$C:$C,$A252,'BSE - SENSEX Index Options'!$B:$B,G$147)+SUMIFS('BSE - Other Index Options'!$L:$L,'BSE - Other Index Options'!$C:$C,$A252,'BSE - Other Index Options'!$B:$B,G$147)=0,"",SUMIFS('BSE - SENSEX Index Options'!$L:$L,'BSE - SENSEX Index Options'!$C:$C,$A252,'BSE - SENSEX Index Options'!$B:$B,G$147)+SUMIFS('BSE - Other Index Options'!$L:$L,'BSE - Other Index Options'!$C:$C,$A252,'BSE - Other Index Options'!$B:$B,G$147))</f>
        <v/>
      </c>
      <c r="H252" s="26" t="str">
        <f t="shared" si="9"/>
        <v/>
      </c>
    </row>
    <row r="253" spans="1:8" hidden="1" outlineLevel="1">
      <c r="A253" t="s">
        <v>115</v>
      </c>
      <c r="B253" s="26" t="str">
        <f>IF(SUMIFS('BSE - SENSEX Index Options'!$L:$L,'BSE - SENSEX Index Options'!$C:$C,$A253,'BSE - SENSEX Index Options'!$B:$B,B$147)+SUMIFS('BSE - Other Index Options'!$L:$L,'BSE - Other Index Options'!$C:$C,$A253,'BSE - Other Index Options'!$B:$B,B$147)=0,"",SUMIFS('BSE - SENSEX Index Options'!$L:$L,'BSE - SENSEX Index Options'!$C:$C,$A253,'BSE - SENSEX Index Options'!$B:$B,B$147)+SUMIFS('BSE - Other Index Options'!$L:$L,'BSE - Other Index Options'!$C:$C,$A253,'BSE - Other Index Options'!$B:$B,B$147))</f>
        <v/>
      </c>
      <c r="C253" s="26" t="str">
        <f>IF(SUMIFS('BSE - SENSEX Index Options'!$L:$L,'BSE - SENSEX Index Options'!$C:$C,$A253,'BSE - SENSEX Index Options'!$B:$B,C$147)+SUMIFS('BSE - Other Index Options'!$L:$L,'BSE - Other Index Options'!$C:$C,$A253,'BSE - Other Index Options'!$B:$B,C$147)=0,"",SUMIFS('BSE - SENSEX Index Options'!$L:$L,'BSE - SENSEX Index Options'!$C:$C,$A253,'BSE - SENSEX Index Options'!$B:$B,C$147)+SUMIFS('BSE - Other Index Options'!$L:$L,'BSE - Other Index Options'!$C:$C,$A253,'BSE - Other Index Options'!$B:$B,C$147))</f>
        <v/>
      </c>
      <c r="D253" s="26" t="str">
        <f>IF(SUMIFS('BSE - SENSEX Index Options'!$L:$L,'BSE - SENSEX Index Options'!$C:$C,$A253,'BSE - SENSEX Index Options'!$B:$B,D$147)+SUMIFS('BSE - Other Index Options'!$L:$L,'BSE - Other Index Options'!$C:$C,$A253,'BSE - Other Index Options'!$B:$B,D$147)=0,"",SUMIFS('BSE - SENSEX Index Options'!$L:$L,'BSE - SENSEX Index Options'!$C:$C,$A253,'BSE - SENSEX Index Options'!$B:$B,D$147)+SUMIFS('BSE - Other Index Options'!$L:$L,'BSE - Other Index Options'!$C:$C,$A253,'BSE - Other Index Options'!$B:$B,D$147))</f>
        <v/>
      </c>
      <c r="E253" s="26" t="str">
        <f>IF(SUMIFS('BSE - SENSEX Index Options'!$L:$L,'BSE - SENSEX Index Options'!$C:$C,$A253,'BSE - SENSEX Index Options'!$B:$B,E$147)+SUMIFS('BSE - Other Index Options'!$L:$L,'BSE - Other Index Options'!$C:$C,$A253,'BSE - Other Index Options'!$B:$B,E$147)=0,"",SUMIFS('BSE - SENSEX Index Options'!$L:$L,'BSE - SENSEX Index Options'!$C:$C,$A253,'BSE - SENSEX Index Options'!$B:$B,E$147)+SUMIFS('BSE - Other Index Options'!$L:$L,'BSE - Other Index Options'!$C:$C,$A253,'BSE - Other Index Options'!$B:$B,E$147))</f>
        <v/>
      </c>
      <c r="F253" s="26" t="str">
        <f>IF(SUMIFS('BSE - SENSEX Index Options'!$L:$L,'BSE - SENSEX Index Options'!$C:$C,$A253,'BSE - SENSEX Index Options'!$B:$B,F$147)+SUMIFS('BSE - Other Index Options'!$L:$L,'BSE - Other Index Options'!$C:$C,$A253,'BSE - Other Index Options'!$B:$B,F$147)=0,"",SUMIFS('BSE - SENSEX Index Options'!$L:$L,'BSE - SENSEX Index Options'!$C:$C,$A253,'BSE - SENSEX Index Options'!$B:$B,F$147)+SUMIFS('BSE - Other Index Options'!$L:$L,'BSE - Other Index Options'!$C:$C,$A253,'BSE - Other Index Options'!$B:$B,F$147))</f>
        <v/>
      </c>
      <c r="G253" s="26" t="str">
        <f>IF(SUMIFS('BSE - SENSEX Index Options'!$L:$L,'BSE - SENSEX Index Options'!$C:$C,$A253,'BSE - SENSEX Index Options'!$B:$B,G$147)+SUMIFS('BSE - Other Index Options'!$L:$L,'BSE - Other Index Options'!$C:$C,$A253,'BSE - Other Index Options'!$B:$B,G$147)=0,"",SUMIFS('BSE - SENSEX Index Options'!$L:$L,'BSE - SENSEX Index Options'!$C:$C,$A253,'BSE - SENSEX Index Options'!$B:$B,G$147)+SUMIFS('BSE - Other Index Options'!$L:$L,'BSE - Other Index Options'!$C:$C,$A253,'BSE - Other Index Options'!$B:$B,G$147))</f>
        <v/>
      </c>
      <c r="H253" s="26" t="str">
        <f t="shared" si="9"/>
        <v/>
      </c>
    </row>
    <row r="254" spans="1:8" hidden="1" outlineLevel="1">
      <c r="A254" t="s">
        <v>116</v>
      </c>
      <c r="B254" s="26" t="str">
        <f>IF(SUMIFS('BSE - SENSEX Index Options'!$L:$L,'BSE - SENSEX Index Options'!$C:$C,$A254,'BSE - SENSEX Index Options'!$B:$B,B$147)+SUMIFS('BSE - Other Index Options'!$L:$L,'BSE - Other Index Options'!$C:$C,$A254,'BSE - Other Index Options'!$B:$B,B$147)=0,"",SUMIFS('BSE - SENSEX Index Options'!$L:$L,'BSE - SENSEX Index Options'!$C:$C,$A254,'BSE - SENSEX Index Options'!$B:$B,B$147)+SUMIFS('BSE - Other Index Options'!$L:$L,'BSE - Other Index Options'!$C:$C,$A254,'BSE - Other Index Options'!$B:$B,B$147))</f>
        <v/>
      </c>
      <c r="C254" s="26" t="str">
        <f>IF(SUMIFS('BSE - SENSEX Index Options'!$L:$L,'BSE - SENSEX Index Options'!$C:$C,$A254,'BSE - SENSEX Index Options'!$B:$B,C$147)+SUMIFS('BSE - Other Index Options'!$L:$L,'BSE - Other Index Options'!$C:$C,$A254,'BSE - Other Index Options'!$B:$B,C$147)=0,"",SUMIFS('BSE - SENSEX Index Options'!$L:$L,'BSE - SENSEX Index Options'!$C:$C,$A254,'BSE - SENSEX Index Options'!$B:$B,C$147)+SUMIFS('BSE - Other Index Options'!$L:$L,'BSE - Other Index Options'!$C:$C,$A254,'BSE - Other Index Options'!$B:$B,C$147))</f>
        <v/>
      </c>
      <c r="D254" s="26" t="str">
        <f>IF(SUMIFS('BSE - SENSEX Index Options'!$L:$L,'BSE - SENSEX Index Options'!$C:$C,$A254,'BSE - SENSEX Index Options'!$B:$B,D$147)+SUMIFS('BSE - Other Index Options'!$L:$L,'BSE - Other Index Options'!$C:$C,$A254,'BSE - Other Index Options'!$B:$B,D$147)=0,"",SUMIFS('BSE - SENSEX Index Options'!$L:$L,'BSE - SENSEX Index Options'!$C:$C,$A254,'BSE - SENSEX Index Options'!$B:$B,D$147)+SUMIFS('BSE - Other Index Options'!$L:$L,'BSE - Other Index Options'!$C:$C,$A254,'BSE - Other Index Options'!$B:$B,D$147))</f>
        <v/>
      </c>
      <c r="E254" s="26" t="str">
        <f>IF(SUMIFS('BSE - SENSEX Index Options'!$L:$L,'BSE - SENSEX Index Options'!$C:$C,$A254,'BSE - SENSEX Index Options'!$B:$B,E$147)+SUMIFS('BSE - Other Index Options'!$L:$L,'BSE - Other Index Options'!$C:$C,$A254,'BSE - Other Index Options'!$B:$B,E$147)=0,"",SUMIFS('BSE - SENSEX Index Options'!$L:$L,'BSE - SENSEX Index Options'!$C:$C,$A254,'BSE - SENSEX Index Options'!$B:$B,E$147)+SUMIFS('BSE - Other Index Options'!$L:$L,'BSE - Other Index Options'!$C:$C,$A254,'BSE - Other Index Options'!$B:$B,E$147))</f>
        <v/>
      </c>
      <c r="F254" s="26" t="str">
        <f>IF(SUMIFS('BSE - SENSEX Index Options'!$L:$L,'BSE - SENSEX Index Options'!$C:$C,$A254,'BSE - SENSEX Index Options'!$B:$B,F$147)+SUMIFS('BSE - Other Index Options'!$L:$L,'BSE - Other Index Options'!$C:$C,$A254,'BSE - Other Index Options'!$B:$B,F$147)=0,"",SUMIFS('BSE - SENSEX Index Options'!$L:$L,'BSE - SENSEX Index Options'!$C:$C,$A254,'BSE - SENSEX Index Options'!$B:$B,F$147)+SUMIFS('BSE - Other Index Options'!$L:$L,'BSE - Other Index Options'!$C:$C,$A254,'BSE - Other Index Options'!$B:$B,F$147))</f>
        <v/>
      </c>
      <c r="G254" s="26" t="str">
        <f>IF(SUMIFS('BSE - SENSEX Index Options'!$L:$L,'BSE - SENSEX Index Options'!$C:$C,$A254,'BSE - SENSEX Index Options'!$B:$B,G$147)+SUMIFS('BSE - Other Index Options'!$L:$L,'BSE - Other Index Options'!$C:$C,$A254,'BSE - Other Index Options'!$B:$B,G$147)=0,"",SUMIFS('BSE - SENSEX Index Options'!$L:$L,'BSE - SENSEX Index Options'!$C:$C,$A254,'BSE - SENSEX Index Options'!$B:$B,G$147)+SUMIFS('BSE - Other Index Options'!$L:$L,'BSE - Other Index Options'!$C:$C,$A254,'BSE - Other Index Options'!$B:$B,G$147))</f>
        <v/>
      </c>
      <c r="H254" s="26" t="str">
        <f t="shared" si="9"/>
        <v/>
      </c>
    </row>
    <row r="255" spans="1:8" hidden="1" outlineLevel="1">
      <c r="A255" t="s">
        <v>117</v>
      </c>
      <c r="B255" s="26" t="str">
        <f>IF(SUMIFS('BSE - SENSEX Index Options'!$L:$L,'BSE - SENSEX Index Options'!$C:$C,$A255,'BSE - SENSEX Index Options'!$B:$B,B$147)+SUMIFS('BSE - Other Index Options'!$L:$L,'BSE - Other Index Options'!$C:$C,$A255,'BSE - Other Index Options'!$B:$B,B$147)=0,"",SUMIFS('BSE - SENSEX Index Options'!$L:$L,'BSE - SENSEX Index Options'!$C:$C,$A255,'BSE - SENSEX Index Options'!$B:$B,B$147)+SUMIFS('BSE - Other Index Options'!$L:$L,'BSE - Other Index Options'!$C:$C,$A255,'BSE - Other Index Options'!$B:$B,B$147))</f>
        <v/>
      </c>
      <c r="C255" s="26" t="str">
        <f>IF(SUMIFS('BSE - SENSEX Index Options'!$L:$L,'BSE - SENSEX Index Options'!$C:$C,$A255,'BSE - SENSEX Index Options'!$B:$B,C$147)+SUMIFS('BSE - Other Index Options'!$L:$L,'BSE - Other Index Options'!$C:$C,$A255,'BSE - Other Index Options'!$B:$B,C$147)=0,"",SUMIFS('BSE - SENSEX Index Options'!$L:$L,'BSE - SENSEX Index Options'!$C:$C,$A255,'BSE - SENSEX Index Options'!$B:$B,C$147)+SUMIFS('BSE - Other Index Options'!$L:$L,'BSE - Other Index Options'!$C:$C,$A255,'BSE - Other Index Options'!$B:$B,C$147))</f>
        <v/>
      </c>
      <c r="D255" s="26" t="str">
        <f>IF(SUMIFS('BSE - SENSEX Index Options'!$L:$L,'BSE - SENSEX Index Options'!$C:$C,$A255,'BSE - SENSEX Index Options'!$B:$B,D$147)+SUMIFS('BSE - Other Index Options'!$L:$L,'BSE - Other Index Options'!$C:$C,$A255,'BSE - Other Index Options'!$B:$B,D$147)=0,"",SUMIFS('BSE - SENSEX Index Options'!$L:$L,'BSE - SENSEX Index Options'!$C:$C,$A255,'BSE - SENSEX Index Options'!$B:$B,D$147)+SUMIFS('BSE - Other Index Options'!$L:$L,'BSE - Other Index Options'!$C:$C,$A255,'BSE - Other Index Options'!$B:$B,D$147))</f>
        <v/>
      </c>
      <c r="E255" s="26" t="str">
        <f>IF(SUMIFS('BSE - SENSEX Index Options'!$L:$L,'BSE - SENSEX Index Options'!$C:$C,$A255,'BSE - SENSEX Index Options'!$B:$B,E$147)+SUMIFS('BSE - Other Index Options'!$L:$L,'BSE - Other Index Options'!$C:$C,$A255,'BSE - Other Index Options'!$B:$B,E$147)=0,"",SUMIFS('BSE - SENSEX Index Options'!$L:$L,'BSE - SENSEX Index Options'!$C:$C,$A255,'BSE - SENSEX Index Options'!$B:$B,E$147)+SUMIFS('BSE - Other Index Options'!$L:$L,'BSE - Other Index Options'!$C:$C,$A255,'BSE - Other Index Options'!$B:$B,E$147))</f>
        <v/>
      </c>
      <c r="F255" s="26" t="str">
        <f>IF(SUMIFS('BSE - SENSEX Index Options'!$L:$L,'BSE - SENSEX Index Options'!$C:$C,$A255,'BSE - SENSEX Index Options'!$B:$B,F$147)+SUMIFS('BSE - Other Index Options'!$L:$L,'BSE - Other Index Options'!$C:$C,$A255,'BSE - Other Index Options'!$B:$B,F$147)=0,"",SUMIFS('BSE - SENSEX Index Options'!$L:$L,'BSE - SENSEX Index Options'!$C:$C,$A255,'BSE - SENSEX Index Options'!$B:$B,F$147)+SUMIFS('BSE - Other Index Options'!$L:$L,'BSE - Other Index Options'!$C:$C,$A255,'BSE - Other Index Options'!$B:$B,F$147))</f>
        <v/>
      </c>
      <c r="G255" s="26" t="str">
        <f>IF(SUMIFS('BSE - SENSEX Index Options'!$L:$L,'BSE - SENSEX Index Options'!$C:$C,$A255,'BSE - SENSEX Index Options'!$B:$B,G$147)+SUMIFS('BSE - Other Index Options'!$L:$L,'BSE - Other Index Options'!$C:$C,$A255,'BSE - Other Index Options'!$B:$B,G$147)=0,"",SUMIFS('BSE - SENSEX Index Options'!$L:$L,'BSE - SENSEX Index Options'!$C:$C,$A255,'BSE - SENSEX Index Options'!$B:$B,G$147)+SUMIFS('BSE - Other Index Options'!$L:$L,'BSE - Other Index Options'!$C:$C,$A255,'BSE - Other Index Options'!$B:$B,G$147))</f>
        <v/>
      </c>
      <c r="H255" s="26" t="str">
        <f t="shared" si="9"/>
        <v/>
      </c>
    </row>
    <row r="256" spans="1:8" hidden="1" outlineLevel="1">
      <c r="A256" t="s">
        <v>118</v>
      </c>
      <c r="B256" s="26" t="str">
        <f>IF(SUMIFS('BSE - SENSEX Index Options'!$L:$L,'BSE - SENSEX Index Options'!$C:$C,$A256,'BSE - SENSEX Index Options'!$B:$B,B$147)+SUMIFS('BSE - Other Index Options'!$L:$L,'BSE - Other Index Options'!$C:$C,$A256,'BSE - Other Index Options'!$B:$B,B$147)=0,"",SUMIFS('BSE - SENSEX Index Options'!$L:$L,'BSE - SENSEX Index Options'!$C:$C,$A256,'BSE - SENSEX Index Options'!$B:$B,B$147)+SUMIFS('BSE - Other Index Options'!$L:$L,'BSE - Other Index Options'!$C:$C,$A256,'BSE - Other Index Options'!$B:$B,B$147))</f>
        <v/>
      </c>
      <c r="C256" s="26" t="str">
        <f>IF(SUMIFS('BSE - SENSEX Index Options'!$L:$L,'BSE - SENSEX Index Options'!$C:$C,$A256,'BSE - SENSEX Index Options'!$B:$B,C$147)+SUMIFS('BSE - Other Index Options'!$L:$L,'BSE - Other Index Options'!$C:$C,$A256,'BSE - Other Index Options'!$B:$B,C$147)=0,"",SUMIFS('BSE - SENSEX Index Options'!$L:$L,'BSE - SENSEX Index Options'!$C:$C,$A256,'BSE - SENSEX Index Options'!$B:$B,C$147)+SUMIFS('BSE - Other Index Options'!$L:$L,'BSE - Other Index Options'!$C:$C,$A256,'BSE - Other Index Options'!$B:$B,C$147))</f>
        <v/>
      </c>
      <c r="D256" s="26" t="str">
        <f>IF(SUMIFS('BSE - SENSEX Index Options'!$L:$L,'BSE - SENSEX Index Options'!$C:$C,$A256,'BSE - SENSEX Index Options'!$B:$B,D$147)+SUMIFS('BSE - Other Index Options'!$L:$L,'BSE - Other Index Options'!$C:$C,$A256,'BSE - Other Index Options'!$B:$B,D$147)=0,"",SUMIFS('BSE - SENSEX Index Options'!$L:$L,'BSE - SENSEX Index Options'!$C:$C,$A256,'BSE - SENSEX Index Options'!$B:$B,D$147)+SUMIFS('BSE - Other Index Options'!$L:$L,'BSE - Other Index Options'!$C:$C,$A256,'BSE - Other Index Options'!$B:$B,D$147))</f>
        <v/>
      </c>
      <c r="E256" s="26" t="str">
        <f>IF(SUMIFS('BSE - SENSEX Index Options'!$L:$L,'BSE - SENSEX Index Options'!$C:$C,$A256,'BSE - SENSEX Index Options'!$B:$B,E$147)+SUMIFS('BSE - Other Index Options'!$L:$L,'BSE - Other Index Options'!$C:$C,$A256,'BSE - Other Index Options'!$B:$B,E$147)=0,"",SUMIFS('BSE - SENSEX Index Options'!$L:$L,'BSE - SENSEX Index Options'!$C:$C,$A256,'BSE - SENSEX Index Options'!$B:$B,E$147)+SUMIFS('BSE - Other Index Options'!$L:$L,'BSE - Other Index Options'!$C:$C,$A256,'BSE - Other Index Options'!$B:$B,E$147))</f>
        <v/>
      </c>
      <c r="F256" s="26" t="str">
        <f>IF(SUMIFS('BSE - SENSEX Index Options'!$L:$L,'BSE - SENSEX Index Options'!$C:$C,$A256,'BSE - SENSEX Index Options'!$B:$B,F$147)+SUMIFS('BSE - Other Index Options'!$L:$L,'BSE - Other Index Options'!$C:$C,$A256,'BSE - Other Index Options'!$B:$B,F$147)=0,"",SUMIFS('BSE - SENSEX Index Options'!$L:$L,'BSE - SENSEX Index Options'!$C:$C,$A256,'BSE - SENSEX Index Options'!$B:$B,F$147)+SUMIFS('BSE - Other Index Options'!$L:$L,'BSE - Other Index Options'!$C:$C,$A256,'BSE - Other Index Options'!$B:$B,F$147))</f>
        <v/>
      </c>
      <c r="G256" s="26" t="str">
        <f>IF(SUMIFS('BSE - SENSEX Index Options'!$L:$L,'BSE - SENSEX Index Options'!$C:$C,$A256,'BSE - SENSEX Index Options'!$B:$B,G$147)+SUMIFS('BSE - Other Index Options'!$L:$L,'BSE - Other Index Options'!$C:$C,$A256,'BSE - Other Index Options'!$B:$B,G$147)=0,"",SUMIFS('BSE - SENSEX Index Options'!$L:$L,'BSE - SENSEX Index Options'!$C:$C,$A256,'BSE - SENSEX Index Options'!$B:$B,G$147)+SUMIFS('BSE - Other Index Options'!$L:$L,'BSE - Other Index Options'!$C:$C,$A256,'BSE - Other Index Options'!$B:$B,G$147))</f>
        <v/>
      </c>
      <c r="H256" s="26" t="str">
        <f t="shared" si="9"/>
        <v/>
      </c>
    </row>
    <row r="257" spans="1:8" hidden="1" outlineLevel="1">
      <c r="A257" t="s">
        <v>119</v>
      </c>
      <c r="B257" s="26" t="str">
        <f>IF(SUMIFS('BSE - SENSEX Index Options'!$L:$L,'BSE - SENSEX Index Options'!$C:$C,$A257,'BSE - SENSEX Index Options'!$B:$B,B$147)+SUMIFS('BSE - Other Index Options'!$L:$L,'BSE - Other Index Options'!$C:$C,$A257,'BSE - Other Index Options'!$B:$B,B$147)=0,"",SUMIFS('BSE - SENSEX Index Options'!$L:$L,'BSE - SENSEX Index Options'!$C:$C,$A257,'BSE - SENSEX Index Options'!$B:$B,B$147)+SUMIFS('BSE - Other Index Options'!$L:$L,'BSE - Other Index Options'!$C:$C,$A257,'BSE - Other Index Options'!$B:$B,B$147))</f>
        <v/>
      </c>
      <c r="C257" s="26" t="str">
        <f>IF(SUMIFS('BSE - SENSEX Index Options'!$L:$L,'BSE - SENSEX Index Options'!$C:$C,$A257,'BSE - SENSEX Index Options'!$B:$B,C$147)+SUMIFS('BSE - Other Index Options'!$L:$L,'BSE - Other Index Options'!$C:$C,$A257,'BSE - Other Index Options'!$B:$B,C$147)=0,"",SUMIFS('BSE - SENSEX Index Options'!$L:$L,'BSE - SENSEX Index Options'!$C:$C,$A257,'BSE - SENSEX Index Options'!$B:$B,C$147)+SUMIFS('BSE - Other Index Options'!$L:$L,'BSE - Other Index Options'!$C:$C,$A257,'BSE - Other Index Options'!$B:$B,C$147))</f>
        <v/>
      </c>
      <c r="D257" s="26" t="str">
        <f>IF(SUMIFS('BSE - SENSEX Index Options'!$L:$L,'BSE - SENSEX Index Options'!$C:$C,$A257,'BSE - SENSEX Index Options'!$B:$B,D$147)+SUMIFS('BSE - Other Index Options'!$L:$L,'BSE - Other Index Options'!$C:$C,$A257,'BSE - Other Index Options'!$B:$B,D$147)=0,"",SUMIFS('BSE - SENSEX Index Options'!$L:$L,'BSE - SENSEX Index Options'!$C:$C,$A257,'BSE - SENSEX Index Options'!$B:$B,D$147)+SUMIFS('BSE - Other Index Options'!$L:$L,'BSE - Other Index Options'!$C:$C,$A257,'BSE - Other Index Options'!$B:$B,D$147))</f>
        <v/>
      </c>
      <c r="E257" s="26" t="str">
        <f>IF(SUMIFS('BSE - SENSEX Index Options'!$L:$L,'BSE - SENSEX Index Options'!$C:$C,$A257,'BSE - SENSEX Index Options'!$B:$B,E$147)+SUMIFS('BSE - Other Index Options'!$L:$L,'BSE - Other Index Options'!$C:$C,$A257,'BSE - Other Index Options'!$B:$B,E$147)=0,"",SUMIFS('BSE - SENSEX Index Options'!$L:$L,'BSE - SENSEX Index Options'!$C:$C,$A257,'BSE - SENSEX Index Options'!$B:$B,E$147)+SUMIFS('BSE - Other Index Options'!$L:$L,'BSE - Other Index Options'!$C:$C,$A257,'BSE - Other Index Options'!$B:$B,E$147))</f>
        <v/>
      </c>
      <c r="F257" s="26" t="str">
        <f>IF(SUMIFS('BSE - SENSEX Index Options'!$L:$L,'BSE - SENSEX Index Options'!$C:$C,$A257,'BSE - SENSEX Index Options'!$B:$B,F$147)+SUMIFS('BSE - Other Index Options'!$L:$L,'BSE - Other Index Options'!$C:$C,$A257,'BSE - Other Index Options'!$B:$B,F$147)=0,"",SUMIFS('BSE - SENSEX Index Options'!$L:$L,'BSE - SENSEX Index Options'!$C:$C,$A257,'BSE - SENSEX Index Options'!$B:$B,F$147)+SUMIFS('BSE - Other Index Options'!$L:$L,'BSE - Other Index Options'!$C:$C,$A257,'BSE - Other Index Options'!$B:$B,F$147))</f>
        <v/>
      </c>
      <c r="G257" s="26" t="str">
        <f>IF(SUMIFS('BSE - SENSEX Index Options'!$L:$L,'BSE - SENSEX Index Options'!$C:$C,$A257,'BSE - SENSEX Index Options'!$B:$B,G$147)+SUMIFS('BSE - Other Index Options'!$L:$L,'BSE - Other Index Options'!$C:$C,$A257,'BSE - Other Index Options'!$B:$B,G$147)=0,"",SUMIFS('BSE - SENSEX Index Options'!$L:$L,'BSE - SENSEX Index Options'!$C:$C,$A257,'BSE - SENSEX Index Options'!$B:$B,G$147)+SUMIFS('BSE - Other Index Options'!$L:$L,'BSE - Other Index Options'!$C:$C,$A257,'BSE - Other Index Options'!$B:$B,G$147))</f>
        <v/>
      </c>
      <c r="H257" s="26" t="str">
        <f t="shared" si="9"/>
        <v/>
      </c>
    </row>
    <row r="258" spans="1:8" hidden="1" outlineLevel="1">
      <c r="A258" t="s">
        <v>120</v>
      </c>
      <c r="B258" s="26" t="str">
        <f>IF(SUMIFS('BSE - SENSEX Index Options'!$L:$L,'BSE - SENSEX Index Options'!$C:$C,$A258,'BSE - SENSEX Index Options'!$B:$B,B$147)+SUMIFS('BSE - Other Index Options'!$L:$L,'BSE - Other Index Options'!$C:$C,$A258,'BSE - Other Index Options'!$B:$B,B$147)=0,"",SUMIFS('BSE - SENSEX Index Options'!$L:$L,'BSE - SENSEX Index Options'!$C:$C,$A258,'BSE - SENSEX Index Options'!$B:$B,B$147)+SUMIFS('BSE - Other Index Options'!$L:$L,'BSE - Other Index Options'!$C:$C,$A258,'BSE - Other Index Options'!$B:$B,B$147))</f>
        <v/>
      </c>
      <c r="C258" s="26" t="str">
        <f>IF(SUMIFS('BSE - SENSEX Index Options'!$L:$L,'BSE - SENSEX Index Options'!$C:$C,$A258,'BSE - SENSEX Index Options'!$B:$B,C$147)+SUMIFS('BSE - Other Index Options'!$L:$L,'BSE - Other Index Options'!$C:$C,$A258,'BSE - Other Index Options'!$B:$B,C$147)=0,"",SUMIFS('BSE - SENSEX Index Options'!$L:$L,'BSE - SENSEX Index Options'!$C:$C,$A258,'BSE - SENSEX Index Options'!$B:$B,C$147)+SUMIFS('BSE - Other Index Options'!$L:$L,'BSE - Other Index Options'!$C:$C,$A258,'BSE - Other Index Options'!$B:$B,C$147))</f>
        <v/>
      </c>
      <c r="D258" s="26" t="str">
        <f>IF(SUMIFS('BSE - SENSEX Index Options'!$L:$L,'BSE - SENSEX Index Options'!$C:$C,$A258,'BSE - SENSEX Index Options'!$B:$B,D$147)+SUMIFS('BSE - Other Index Options'!$L:$L,'BSE - Other Index Options'!$C:$C,$A258,'BSE - Other Index Options'!$B:$B,D$147)=0,"",SUMIFS('BSE - SENSEX Index Options'!$L:$L,'BSE - SENSEX Index Options'!$C:$C,$A258,'BSE - SENSEX Index Options'!$B:$B,D$147)+SUMIFS('BSE - Other Index Options'!$L:$L,'BSE - Other Index Options'!$C:$C,$A258,'BSE - Other Index Options'!$B:$B,D$147))</f>
        <v/>
      </c>
      <c r="E258" s="26" t="str">
        <f>IF(SUMIFS('BSE - SENSEX Index Options'!$L:$L,'BSE - SENSEX Index Options'!$C:$C,$A258,'BSE - SENSEX Index Options'!$B:$B,E$147)+SUMIFS('BSE - Other Index Options'!$L:$L,'BSE - Other Index Options'!$C:$C,$A258,'BSE - Other Index Options'!$B:$B,E$147)=0,"",SUMIFS('BSE - SENSEX Index Options'!$L:$L,'BSE - SENSEX Index Options'!$C:$C,$A258,'BSE - SENSEX Index Options'!$B:$B,E$147)+SUMIFS('BSE - Other Index Options'!$L:$L,'BSE - Other Index Options'!$C:$C,$A258,'BSE - Other Index Options'!$B:$B,E$147))</f>
        <v/>
      </c>
      <c r="F258" s="26" t="str">
        <f>IF(SUMIFS('BSE - SENSEX Index Options'!$L:$L,'BSE - SENSEX Index Options'!$C:$C,$A258,'BSE - SENSEX Index Options'!$B:$B,F$147)+SUMIFS('BSE - Other Index Options'!$L:$L,'BSE - Other Index Options'!$C:$C,$A258,'BSE - Other Index Options'!$B:$B,F$147)=0,"",SUMIFS('BSE - SENSEX Index Options'!$L:$L,'BSE - SENSEX Index Options'!$C:$C,$A258,'BSE - SENSEX Index Options'!$B:$B,F$147)+SUMIFS('BSE - Other Index Options'!$L:$L,'BSE - Other Index Options'!$C:$C,$A258,'BSE - Other Index Options'!$B:$B,F$147))</f>
        <v/>
      </c>
      <c r="G258" s="26" t="str">
        <f>IF(SUMIFS('BSE - SENSEX Index Options'!$L:$L,'BSE - SENSEX Index Options'!$C:$C,$A258,'BSE - SENSEX Index Options'!$B:$B,G$147)+SUMIFS('BSE - Other Index Options'!$L:$L,'BSE - Other Index Options'!$C:$C,$A258,'BSE - Other Index Options'!$B:$B,G$147)=0,"",SUMIFS('BSE - SENSEX Index Options'!$L:$L,'BSE - SENSEX Index Options'!$C:$C,$A258,'BSE - SENSEX Index Options'!$B:$B,G$147)+SUMIFS('BSE - Other Index Options'!$L:$L,'BSE - Other Index Options'!$C:$C,$A258,'BSE - Other Index Options'!$B:$B,G$147))</f>
        <v/>
      </c>
      <c r="H258" s="26" t="str">
        <f t="shared" si="9"/>
        <v/>
      </c>
    </row>
    <row r="259" spans="1:8" hidden="1" outlineLevel="1">
      <c r="A259" t="s">
        <v>121</v>
      </c>
      <c r="B259" s="26" t="str">
        <f>IF(SUMIFS('BSE - SENSEX Index Options'!$L:$L,'BSE - SENSEX Index Options'!$C:$C,$A259,'BSE - SENSEX Index Options'!$B:$B,B$147)+SUMIFS('BSE - Other Index Options'!$L:$L,'BSE - Other Index Options'!$C:$C,$A259,'BSE - Other Index Options'!$B:$B,B$147)=0,"",SUMIFS('BSE - SENSEX Index Options'!$L:$L,'BSE - SENSEX Index Options'!$C:$C,$A259,'BSE - SENSEX Index Options'!$B:$B,B$147)+SUMIFS('BSE - Other Index Options'!$L:$L,'BSE - Other Index Options'!$C:$C,$A259,'BSE - Other Index Options'!$B:$B,B$147))</f>
        <v/>
      </c>
      <c r="C259" s="26" t="str">
        <f>IF(SUMIFS('BSE - SENSEX Index Options'!$L:$L,'BSE - SENSEX Index Options'!$C:$C,$A259,'BSE - SENSEX Index Options'!$B:$B,C$147)+SUMIFS('BSE - Other Index Options'!$L:$L,'BSE - Other Index Options'!$C:$C,$A259,'BSE - Other Index Options'!$B:$B,C$147)=0,"",SUMIFS('BSE - SENSEX Index Options'!$L:$L,'BSE - SENSEX Index Options'!$C:$C,$A259,'BSE - SENSEX Index Options'!$B:$B,C$147)+SUMIFS('BSE - Other Index Options'!$L:$L,'BSE - Other Index Options'!$C:$C,$A259,'BSE - Other Index Options'!$B:$B,C$147))</f>
        <v/>
      </c>
      <c r="D259" s="26" t="str">
        <f>IF(SUMIFS('BSE - SENSEX Index Options'!$L:$L,'BSE - SENSEX Index Options'!$C:$C,$A259,'BSE - SENSEX Index Options'!$B:$B,D$147)+SUMIFS('BSE - Other Index Options'!$L:$L,'BSE - Other Index Options'!$C:$C,$A259,'BSE - Other Index Options'!$B:$B,D$147)=0,"",SUMIFS('BSE - SENSEX Index Options'!$L:$L,'BSE - SENSEX Index Options'!$C:$C,$A259,'BSE - SENSEX Index Options'!$B:$B,D$147)+SUMIFS('BSE - Other Index Options'!$L:$L,'BSE - Other Index Options'!$C:$C,$A259,'BSE - Other Index Options'!$B:$B,D$147))</f>
        <v/>
      </c>
      <c r="E259" s="26" t="str">
        <f>IF(SUMIFS('BSE - SENSEX Index Options'!$L:$L,'BSE - SENSEX Index Options'!$C:$C,$A259,'BSE - SENSEX Index Options'!$B:$B,E$147)+SUMIFS('BSE - Other Index Options'!$L:$L,'BSE - Other Index Options'!$C:$C,$A259,'BSE - Other Index Options'!$B:$B,E$147)=0,"",SUMIFS('BSE - SENSEX Index Options'!$L:$L,'BSE - SENSEX Index Options'!$C:$C,$A259,'BSE - SENSEX Index Options'!$B:$B,E$147)+SUMIFS('BSE - Other Index Options'!$L:$L,'BSE - Other Index Options'!$C:$C,$A259,'BSE - Other Index Options'!$B:$B,E$147))</f>
        <v/>
      </c>
      <c r="F259" s="26" t="str">
        <f>IF(SUMIFS('BSE - SENSEX Index Options'!$L:$L,'BSE - SENSEX Index Options'!$C:$C,$A259,'BSE - SENSEX Index Options'!$B:$B,F$147)+SUMIFS('BSE - Other Index Options'!$L:$L,'BSE - Other Index Options'!$C:$C,$A259,'BSE - Other Index Options'!$B:$B,F$147)=0,"",SUMIFS('BSE - SENSEX Index Options'!$L:$L,'BSE - SENSEX Index Options'!$C:$C,$A259,'BSE - SENSEX Index Options'!$B:$B,F$147)+SUMIFS('BSE - Other Index Options'!$L:$L,'BSE - Other Index Options'!$C:$C,$A259,'BSE - Other Index Options'!$B:$B,F$147))</f>
        <v/>
      </c>
      <c r="G259" s="26" t="str">
        <f>IF(SUMIFS('BSE - SENSEX Index Options'!$L:$L,'BSE - SENSEX Index Options'!$C:$C,$A259,'BSE - SENSEX Index Options'!$B:$B,G$147)+SUMIFS('BSE - Other Index Options'!$L:$L,'BSE - Other Index Options'!$C:$C,$A259,'BSE - Other Index Options'!$B:$B,G$147)=0,"",SUMIFS('BSE - SENSEX Index Options'!$L:$L,'BSE - SENSEX Index Options'!$C:$C,$A259,'BSE - SENSEX Index Options'!$B:$B,G$147)+SUMIFS('BSE - Other Index Options'!$L:$L,'BSE - Other Index Options'!$C:$C,$A259,'BSE - Other Index Options'!$B:$B,G$147))</f>
        <v/>
      </c>
      <c r="H259" s="26" t="str">
        <f t="shared" si="9"/>
        <v/>
      </c>
    </row>
    <row r="260" spans="1:8" hidden="1" outlineLevel="1">
      <c r="A260" t="s">
        <v>122</v>
      </c>
      <c r="B260" s="26" t="str">
        <f>IF(SUMIFS('BSE - SENSEX Index Options'!$L:$L,'BSE - SENSEX Index Options'!$C:$C,$A260,'BSE - SENSEX Index Options'!$B:$B,B$147)+SUMIFS('BSE - Other Index Options'!$L:$L,'BSE - Other Index Options'!$C:$C,$A260,'BSE - Other Index Options'!$B:$B,B$147)=0,"",SUMIFS('BSE - SENSEX Index Options'!$L:$L,'BSE - SENSEX Index Options'!$C:$C,$A260,'BSE - SENSEX Index Options'!$B:$B,B$147)+SUMIFS('BSE - Other Index Options'!$L:$L,'BSE - Other Index Options'!$C:$C,$A260,'BSE - Other Index Options'!$B:$B,B$147))</f>
        <v/>
      </c>
      <c r="C260" s="26" t="str">
        <f>IF(SUMIFS('BSE - SENSEX Index Options'!$L:$L,'BSE - SENSEX Index Options'!$C:$C,$A260,'BSE - SENSEX Index Options'!$B:$B,C$147)+SUMIFS('BSE - Other Index Options'!$L:$L,'BSE - Other Index Options'!$C:$C,$A260,'BSE - Other Index Options'!$B:$B,C$147)=0,"",SUMIFS('BSE - SENSEX Index Options'!$L:$L,'BSE - SENSEX Index Options'!$C:$C,$A260,'BSE - SENSEX Index Options'!$B:$B,C$147)+SUMIFS('BSE - Other Index Options'!$L:$L,'BSE - Other Index Options'!$C:$C,$A260,'BSE - Other Index Options'!$B:$B,C$147))</f>
        <v/>
      </c>
      <c r="D260" s="26" t="str">
        <f>IF(SUMIFS('BSE - SENSEX Index Options'!$L:$L,'BSE - SENSEX Index Options'!$C:$C,$A260,'BSE - SENSEX Index Options'!$B:$B,D$147)+SUMIFS('BSE - Other Index Options'!$L:$L,'BSE - Other Index Options'!$C:$C,$A260,'BSE - Other Index Options'!$B:$B,D$147)=0,"",SUMIFS('BSE - SENSEX Index Options'!$L:$L,'BSE - SENSEX Index Options'!$C:$C,$A260,'BSE - SENSEX Index Options'!$B:$B,D$147)+SUMIFS('BSE - Other Index Options'!$L:$L,'BSE - Other Index Options'!$C:$C,$A260,'BSE - Other Index Options'!$B:$B,D$147))</f>
        <v/>
      </c>
      <c r="E260" s="26" t="str">
        <f>IF(SUMIFS('BSE - SENSEX Index Options'!$L:$L,'BSE - SENSEX Index Options'!$C:$C,$A260,'BSE - SENSEX Index Options'!$B:$B,E$147)+SUMIFS('BSE - Other Index Options'!$L:$L,'BSE - Other Index Options'!$C:$C,$A260,'BSE - Other Index Options'!$B:$B,E$147)=0,"",SUMIFS('BSE - SENSEX Index Options'!$L:$L,'BSE - SENSEX Index Options'!$C:$C,$A260,'BSE - SENSEX Index Options'!$B:$B,E$147)+SUMIFS('BSE - Other Index Options'!$L:$L,'BSE - Other Index Options'!$C:$C,$A260,'BSE - Other Index Options'!$B:$B,E$147))</f>
        <v/>
      </c>
      <c r="F260" s="26" t="str">
        <f>IF(SUMIFS('BSE - SENSEX Index Options'!$L:$L,'BSE - SENSEX Index Options'!$C:$C,$A260,'BSE - SENSEX Index Options'!$B:$B,F$147)+SUMIFS('BSE - Other Index Options'!$L:$L,'BSE - Other Index Options'!$C:$C,$A260,'BSE - Other Index Options'!$B:$B,F$147)=0,"",SUMIFS('BSE - SENSEX Index Options'!$L:$L,'BSE - SENSEX Index Options'!$C:$C,$A260,'BSE - SENSEX Index Options'!$B:$B,F$147)+SUMIFS('BSE - Other Index Options'!$L:$L,'BSE - Other Index Options'!$C:$C,$A260,'BSE - Other Index Options'!$B:$B,F$147))</f>
        <v/>
      </c>
      <c r="G260" s="26" t="str">
        <f>IF(SUMIFS('BSE - SENSEX Index Options'!$L:$L,'BSE - SENSEX Index Options'!$C:$C,$A260,'BSE - SENSEX Index Options'!$B:$B,G$147)+SUMIFS('BSE - Other Index Options'!$L:$L,'BSE - Other Index Options'!$C:$C,$A260,'BSE - Other Index Options'!$B:$B,G$147)=0,"",SUMIFS('BSE - SENSEX Index Options'!$L:$L,'BSE - SENSEX Index Options'!$C:$C,$A260,'BSE - SENSEX Index Options'!$B:$B,G$147)+SUMIFS('BSE - Other Index Options'!$L:$L,'BSE - Other Index Options'!$C:$C,$A260,'BSE - Other Index Options'!$B:$B,G$147))</f>
        <v/>
      </c>
      <c r="H260" s="26" t="str">
        <f t="shared" si="9"/>
        <v/>
      </c>
    </row>
    <row r="261" spans="1:8" hidden="1" outlineLevel="1">
      <c r="A261" t="s">
        <v>123</v>
      </c>
      <c r="B261" s="26" t="str">
        <f>IF(SUMIFS('BSE - SENSEX Index Options'!$L:$L,'BSE - SENSEX Index Options'!$C:$C,$A261,'BSE - SENSEX Index Options'!$B:$B,B$147)+SUMIFS('BSE - Other Index Options'!$L:$L,'BSE - Other Index Options'!$C:$C,$A261,'BSE - Other Index Options'!$B:$B,B$147)=0,"",SUMIFS('BSE - SENSEX Index Options'!$L:$L,'BSE - SENSEX Index Options'!$C:$C,$A261,'BSE - SENSEX Index Options'!$B:$B,B$147)+SUMIFS('BSE - Other Index Options'!$L:$L,'BSE - Other Index Options'!$C:$C,$A261,'BSE - Other Index Options'!$B:$B,B$147))</f>
        <v/>
      </c>
      <c r="C261" s="26" t="str">
        <f>IF(SUMIFS('BSE - SENSEX Index Options'!$L:$L,'BSE - SENSEX Index Options'!$C:$C,$A261,'BSE - SENSEX Index Options'!$B:$B,C$147)+SUMIFS('BSE - Other Index Options'!$L:$L,'BSE - Other Index Options'!$C:$C,$A261,'BSE - Other Index Options'!$B:$B,C$147)=0,"",SUMIFS('BSE - SENSEX Index Options'!$L:$L,'BSE - SENSEX Index Options'!$C:$C,$A261,'BSE - SENSEX Index Options'!$B:$B,C$147)+SUMIFS('BSE - Other Index Options'!$L:$L,'BSE - Other Index Options'!$C:$C,$A261,'BSE - Other Index Options'!$B:$B,C$147))</f>
        <v/>
      </c>
      <c r="D261" s="26" t="str">
        <f>IF(SUMIFS('BSE - SENSEX Index Options'!$L:$L,'BSE - SENSEX Index Options'!$C:$C,$A261,'BSE - SENSEX Index Options'!$B:$B,D$147)+SUMIFS('BSE - Other Index Options'!$L:$L,'BSE - Other Index Options'!$C:$C,$A261,'BSE - Other Index Options'!$B:$B,D$147)=0,"",SUMIFS('BSE - SENSEX Index Options'!$L:$L,'BSE - SENSEX Index Options'!$C:$C,$A261,'BSE - SENSEX Index Options'!$B:$B,D$147)+SUMIFS('BSE - Other Index Options'!$L:$L,'BSE - Other Index Options'!$C:$C,$A261,'BSE - Other Index Options'!$B:$B,D$147))</f>
        <v/>
      </c>
      <c r="E261" s="26" t="str">
        <f>IF(SUMIFS('BSE - SENSEX Index Options'!$L:$L,'BSE - SENSEX Index Options'!$C:$C,$A261,'BSE - SENSEX Index Options'!$B:$B,E$147)+SUMIFS('BSE - Other Index Options'!$L:$L,'BSE - Other Index Options'!$C:$C,$A261,'BSE - Other Index Options'!$B:$B,E$147)=0,"",SUMIFS('BSE - SENSEX Index Options'!$L:$L,'BSE - SENSEX Index Options'!$C:$C,$A261,'BSE - SENSEX Index Options'!$B:$B,E$147)+SUMIFS('BSE - Other Index Options'!$L:$L,'BSE - Other Index Options'!$C:$C,$A261,'BSE - Other Index Options'!$B:$B,E$147))</f>
        <v/>
      </c>
      <c r="F261" s="26" t="str">
        <f>IF(SUMIFS('BSE - SENSEX Index Options'!$L:$L,'BSE - SENSEX Index Options'!$C:$C,$A261,'BSE - SENSEX Index Options'!$B:$B,F$147)+SUMIFS('BSE - Other Index Options'!$L:$L,'BSE - Other Index Options'!$C:$C,$A261,'BSE - Other Index Options'!$B:$B,F$147)=0,"",SUMIFS('BSE - SENSEX Index Options'!$L:$L,'BSE - SENSEX Index Options'!$C:$C,$A261,'BSE - SENSEX Index Options'!$B:$B,F$147)+SUMIFS('BSE - Other Index Options'!$L:$L,'BSE - Other Index Options'!$C:$C,$A261,'BSE - Other Index Options'!$B:$B,F$147))</f>
        <v/>
      </c>
      <c r="G261" s="26" t="str">
        <f>IF(SUMIFS('BSE - SENSEX Index Options'!$L:$L,'BSE - SENSEX Index Options'!$C:$C,$A261,'BSE - SENSEX Index Options'!$B:$B,G$147)+SUMIFS('BSE - Other Index Options'!$L:$L,'BSE - Other Index Options'!$C:$C,$A261,'BSE - Other Index Options'!$B:$B,G$147)=0,"",SUMIFS('BSE - SENSEX Index Options'!$L:$L,'BSE - SENSEX Index Options'!$C:$C,$A261,'BSE - SENSEX Index Options'!$B:$B,G$147)+SUMIFS('BSE - Other Index Options'!$L:$L,'BSE - Other Index Options'!$C:$C,$A261,'BSE - Other Index Options'!$B:$B,G$147))</f>
        <v/>
      </c>
      <c r="H261" s="26" t="str">
        <f t="shared" si="9"/>
        <v/>
      </c>
    </row>
    <row r="262" spans="1:8" hidden="1" outlineLevel="1">
      <c r="A262" t="s">
        <v>124</v>
      </c>
      <c r="B262" s="26" t="str">
        <f>IF(SUMIFS('BSE - SENSEX Index Options'!$L:$L,'BSE - SENSEX Index Options'!$C:$C,$A262,'BSE - SENSEX Index Options'!$B:$B,B$147)+SUMIFS('BSE - Other Index Options'!$L:$L,'BSE - Other Index Options'!$C:$C,$A262,'BSE - Other Index Options'!$B:$B,B$147)=0,"",SUMIFS('BSE - SENSEX Index Options'!$L:$L,'BSE - SENSEX Index Options'!$C:$C,$A262,'BSE - SENSEX Index Options'!$B:$B,B$147)+SUMIFS('BSE - Other Index Options'!$L:$L,'BSE - Other Index Options'!$C:$C,$A262,'BSE - Other Index Options'!$B:$B,B$147))</f>
        <v/>
      </c>
      <c r="C262" s="26" t="str">
        <f>IF(SUMIFS('BSE - SENSEX Index Options'!$L:$L,'BSE - SENSEX Index Options'!$C:$C,$A262,'BSE - SENSEX Index Options'!$B:$B,C$147)+SUMIFS('BSE - Other Index Options'!$L:$L,'BSE - Other Index Options'!$C:$C,$A262,'BSE - Other Index Options'!$B:$B,C$147)=0,"",SUMIFS('BSE - SENSEX Index Options'!$L:$L,'BSE - SENSEX Index Options'!$C:$C,$A262,'BSE - SENSEX Index Options'!$B:$B,C$147)+SUMIFS('BSE - Other Index Options'!$L:$L,'BSE - Other Index Options'!$C:$C,$A262,'BSE - Other Index Options'!$B:$B,C$147))</f>
        <v/>
      </c>
      <c r="D262" s="26" t="str">
        <f>IF(SUMIFS('BSE - SENSEX Index Options'!$L:$L,'BSE - SENSEX Index Options'!$C:$C,$A262,'BSE - SENSEX Index Options'!$B:$B,D$147)+SUMIFS('BSE - Other Index Options'!$L:$L,'BSE - Other Index Options'!$C:$C,$A262,'BSE - Other Index Options'!$B:$B,D$147)=0,"",SUMIFS('BSE - SENSEX Index Options'!$L:$L,'BSE - SENSEX Index Options'!$C:$C,$A262,'BSE - SENSEX Index Options'!$B:$B,D$147)+SUMIFS('BSE - Other Index Options'!$L:$L,'BSE - Other Index Options'!$C:$C,$A262,'BSE - Other Index Options'!$B:$B,D$147))</f>
        <v/>
      </c>
      <c r="E262" s="26" t="str">
        <f>IF(SUMIFS('BSE - SENSEX Index Options'!$L:$L,'BSE - SENSEX Index Options'!$C:$C,$A262,'BSE - SENSEX Index Options'!$B:$B,E$147)+SUMIFS('BSE - Other Index Options'!$L:$L,'BSE - Other Index Options'!$C:$C,$A262,'BSE - Other Index Options'!$B:$B,E$147)=0,"",SUMIFS('BSE - SENSEX Index Options'!$L:$L,'BSE - SENSEX Index Options'!$C:$C,$A262,'BSE - SENSEX Index Options'!$B:$B,E$147)+SUMIFS('BSE - Other Index Options'!$L:$L,'BSE - Other Index Options'!$C:$C,$A262,'BSE - Other Index Options'!$B:$B,E$147))</f>
        <v/>
      </c>
      <c r="F262" s="26" t="str">
        <f>IF(SUMIFS('BSE - SENSEX Index Options'!$L:$L,'BSE - SENSEX Index Options'!$C:$C,$A262,'BSE - SENSEX Index Options'!$B:$B,F$147)+SUMIFS('BSE - Other Index Options'!$L:$L,'BSE - Other Index Options'!$C:$C,$A262,'BSE - Other Index Options'!$B:$B,F$147)=0,"",SUMIFS('BSE - SENSEX Index Options'!$L:$L,'BSE - SENSEX Index Options'!$C:$C,$A262,'BSE - SENSEX Index Options'!$B:$B,F$147)+SUMIFS('BSE - Other Index Options'!$L:$L,'BSE - Other Index Options'!$C:$C,$A262,'BSE - Other Index Options'!$B:$B,F$147))</f>
        <v/>
      </c>
      <c r="G262" s="26" t="str">
        <f>IF(SUMIFS('BSE - SENSEX Index Options'!$L:$L,'BSE - SENSEX Index Options'!$C:$C,$A262,'BSE - SENSEX Index Options'!$B:$B,G$147)+SUMIFS('BSE - Other Index Options'!$L:$L,'BSE - Other Index Options'!$C:$C,$A262,'BSE - Other Index Options'!$B:$B,G$147)=0,"",SUMIFS('BSE - SENSEX Index Options'!$L:$L,'BSE - SENSEX Index Options'!$C:$C,$A262,'BSE - SENSEX Index Options'!$B:$B,G$147)+SUMIFS('BSE - Other Index Options'!$L:$L,'BSE - Other Index Options'!$C:$C,$A262,'BSE - Other Index Options'!$B:$B,G$147))</f>
        <v/>
      </c>
      <c r="H262" s="26" t="str">
        <f t="shared" si="9"/>
        <v/>
      </c>
    </row>
    <row r="263" spans="1:8" hidden="1" outlineLevel="1">
      <c r="A263" t="s">
        <v>125</v>
      </c>
      <c r="B263" s="26" t="str">
        <f>IF(SUMIFS('BSE - SENSEX Index Options'!$L:$L,'BSE - SENSEX Index Options'!$C:$C,$A263,'BSE - SENSEX Index Options'!$B:$B,B$147)+SUMIFS('BSE - Other Index Options'!$L:$L,'BSE - Other Index Options'!$C:$C,$A263,'BSE - Other Index Options'!$B:$B,B$147)=0,"",SUMIFS('BSE - SENSEX Index Options'!$L:$L,'BSE - SENSEX Index Options'!$C:$C,$A263,'BSE - SENSEX Index Options'!$B:$B,B$147)+SUMIFS('BSE - Other Index Options'!$L:$L,'BSE - Other Index Options'!$C:$C,$A263,'BSE - Other Index Options'!$B:$B,B$147))</f>
        <v/>
      </c>
      <c r="C263" s="26" t="str">
        <f>IF(SUMIFS('BSE - SENSEX Index Options'!$L:$L,'BSE - SENSEX Index Options'!$C:$C,$A263,'BSE - SENSEX Index Options'!$B:$B,C$147)+SUMIFS('BSE - Other Index Options'!$L:$L,'BSE - Other Index Options'!$C:$C,$A263,'BSE - Other Index Options'!$B:$B,C$147)=0,"",SUMIFS('BSE - SENSEX Index Options'!$L:$L,'BSE - SENSEX Index Options'!$C:$C,$A263,'BSE - SENSEX Index Options'!$B:$B,C$147)+SUMIFS('BSE - Other Index Options'!$L:$L,'BSE - Other Index Options'!$C:$C,$A263,'BSE - Other Index Options'!$B:$B,C$147))</f>
        <v/>
      </c>
      <c r="D263" s="26" t="str">
        <f>IF(SUMIFS('BSE - SENSEX Index Options'!$L:$L,'BSE - SENSEX Index Options'!$C:$C,$A263,'BSE - SENSEX Index Options'!$B:$B,D$147)+SUMIFS('BSE - Other Index Options'!$L:$L,'BSE - Other Index Options'!$C:$C,$A263,'BSE - Other Index Options'!$B:$B,D$147)=0,"",SUMIFS('BSE - SENSEX Index Options'!$L:$L,'BSE - SENSEX Index Options'!$C:$C,$A263,'BSE - SENSEX Index Options'!$B:$B,D$147)+SUMIFS('BSE - Other Index Options'!$L:$L,'BSE - Other Index Options'!$C:$C,$A263,'BSE - Other Index Options'!$B:$B,D$147))</f>
        <v/>
      </c>
      <c r="E263" s="26" t="str">
        <f>IF(SUMIFS('BSE - SENSEX Index Options'!$L:$L,'BSE - SENSEX Index Options'!$C:$C,$A263,'BSE - SENSEX Index Options'!$B:$B,E$147)+SUMIFS('BSE - Other Index Options'!$L:$L,'BSE - Other Index Options'!$C:$C,$A263,'BSE - Other Index Options'!$B:$B,E$147)=0,"",SUMIFS('BSE - SENSEX Index Options'!$L:$L,'BSE - SENSEX Index Options'!$C:$C,$A263,'BSE - SENSEX Index Options'!$B:$B,E$147)+SUMIFS('BSE - Other Index Options'!$L:$L,'BSE - Other Index Options'!$C:$C,$A263,'BSE - Other Index Options'!$B:$B,E$147))</f>
        <v/>
      </c>
      <c r="F263" s="26" t="str">
        <f>IF(SUMIFS('BSE - SENSEX Index Options'!$L:$L,'BSE - SENSEX Index Options'!$C:$C,$A263,'BSE - SENSEX Index Options'!$B:$B,F$147)+SUMIFS('BSE - Other Index Options'!$L:$L,'BSE - Other Index Options'!$C:$C,$A263,'BSE - Other Index Options'!$B:$B,F$147)=0,"",SUMIFS('BSE - SENSEX Index Options'!$L:$L,'BSE - SENSEX Index Options'!$C:$C,$A263,'BSE - SENSEX Index Options'!$B:$B,F$147)+SUMIFS('BSE - Other Index Options'!$L:$L,'BSE - Other Index Options'!$C:$C,$A263,'BSE - Other Index Options'!$B:$B,F$147))</f>
        <v/>
      </c>
      <c r="G263" s="26" t="str">
        <f>IF(SUMIFS('BSE - SENSEX Index Options'!$L:$L,'BSE - SENSEX Index Options'!$C:$C,$A263,'BSE - SENSEX Index Options'!$B:$B,G$147)+SUMIFS('BSE - Other Index Options'!$L:$L,'BSE - Other Index Options'!$C:$C,$A263,'BSE - Other Index Options'!$B:$B,G$147)=0,"",SUMIFS('BSE - SENSEX Index Options'!$L:$L,'BSE - SENSEX Index Options'!$C:$C,$A263,'BSE - SENSEX Index Options'!$B:$B,G$147)+SUMIFS('BSE - Other Index Options'!$L:$L,'BSE - Other Index Options'!$C:$C,$A263,'BSE - Other Index Options'!$B:$B,G$147))</f>
        <v/>
      </c>
      <c r="H263" s="26" t="str">
        <f t="shared" si="9"/>
        <v/>
      </c>
    </row>
    <row r="264" spans="1:8" hidden="1" outlineLevel="1">
      <c r="A264" t="s">
        <v>126</v>
      </c>
      <c r="B264" s="26" t="str">
        <f>IF(SUMIFS('BSE - SENSEX Index Options'!$L:$L,'BSE - SENSEX Index Options'!$C:$C,$A264,'BSE - SENSEX Index Options'!$B:$B,B$147)+SUMIFS('BSE - Other Index Options'!$L:$L,'BSE - Other Index Options'!$C:$C,$A264,'BSE - Other Index Options'!$B:$B,B$147)=0,"",SUMIFS('BSE - SENSEX Index Options'!$L:$L,'BSE - SENSEX Index Options'!$C:$C,$A264,'BSE - SENSEX Index Options'!$B:$B,B$147)+SUMIFS('BSE - Other Index Options'!$L:$L,'BSE - Other Index Options'!$C:$C,$A264,'BSE - Other Index Options'!$B:$B,B$147))</f>
        <v/>
      </c>
      <c r="C264" s="26" t="str">
        <f>IF(SUMIFS('BSE - SENSEX Index Options'!$L:$L,'BSE - SENSEX Index Options'!$C:$C,$A264,'BSE - SENSEX Index Options'!$B:$B,C$147)+SUMIFS('BSE - Other Index Options'!$L:$L,'BSE - Other Index Options'!$C:$C,$A264,'BSE - Other Index Options'!$B:$B,C$147)=0,"",SUMIFS('BSE - SENSEX Index Options'!$L:$L,'BSE - SENSEX Index Options'!$C:$C,$A264,'BSE - SENSEX Index Options'!$B:$B,C$147)+SUMIFS('BSE - Other Index Options'!$L:$L,'BSE - Other Index Options'!$C:$C,$A264,'BSE - Other Index Options'!$B:$B,C$147))</f>
        <v/>
      </c>
      <c r="D264" s="26" t="str">
        <f>IF(SUMIFS('BSE - SENSEX Index Options'!$L:$L,'BSE - SENSEX Index Options'!$C:$C,$A264,'BSE - SENSEX Index Options'!$B:$B,D$147)+SUMIFS('BSE - Other Index Options'!$L:$L,'BSE - Other Index Options'!$C:$C,$A264,'BSE - Other Index Options'!$B:$B,D$147)=0,"",SUMIFS('BSE - SENSEX Index Options'!$L:$L,'BSE - SENSEX Index Options'!$C:$C,$A264,'BSE - SENSEX Index Options'!$B:$B,D$147)+SUMIFS('BSE - Other Index Options'!$L:$L,'BSE - Other Index Options'!$C:$C,$A264,'BSE - Other Index Options'!$B:$B,D$147))</f>
        <v/>
      </c>
      <c r="E264" s="26" t="str">
        <f>IF(SUMIFS('BSE - SENSEX Index Options'!$L:$L,'BSE - SENSEX Index Options'!$C:$C,$A264,'BSE - SENSEX Index Options'!$B:$B,E$147)+SUMIFS('BSE - Other Index Options'!$L:$L,'BSE - Other Index Options'!$C:$C,$A264,'BSE - Other Index Options'!$B:$B,E$147)=0,"",SUMIFS('BSE - SENSEX Index Options'!$L:$L,'BSE - SENSEX Index Options'!$C:$C,$A264,'BSE - SENSEX Index Options'!$B:$B,E$147)+SUMIFS('BSE - Other Index Options'!$L:$L,'BSE - Other Index Options'!$C:$C,$A264,'BSE - Other Index Options'!$B:$B,E$147))</f>
        <v/>
      </c>
      <c r="F264" s="26" t="str">
        <f>IF(SUMIFS('BSE - SENSEX Index Options'!$L:$L,'BSE - SENSEX Index Options'!$C:$C,$A264,'BSE - SENSEX Index Options'!$B:$B,F$147)+SUMIFS('BSE - Other Index Options'!$L:$L,'BSE - Other Index Options'!$C:$C,$A264,'BSE - Other Index Options'!$B:$B,F$147)=0,"",SUMIFS('BSE - SENSEX Index Options'!$L:$L,'BSE - SENSEX Index Options'!$C:$C,$A264,'BSE - SENSEX Index Options'!$B:$B,F$147)+SUMIFS('BSE - Other Index Options'!$L:$L,'BSE - Other Index Options'!$C:$C,$A264,'BSE - Other Index Options'!$B:$B,F$147))</f>
        <v/>
      </c>
      <c r="G264" s="26" t="str">
        <f>IF(SUMIFS('BSE - SENSEX Index Options'!$L:$L,'BSE - SENSEX Index Options'!$C:$C,$A264,'BSE - SENSEX Index Options'!$B:$B,G$147)+SUMIFS('BSE - Other Index Options'!$L:$L,'BSE - Other Index Options'!$C:$C,$A264,'BSE - Other Index Options'!$B:$B,G$147)=0,"",SUMIFS('BSE - SENSEX Index Options'!$L:$L,'BSE - SENSEX Index Options'!$C:$C,$A264,'BSE - SENSEX Index Options'!$B:$B,G$147)+SUMIFS('BSE - Other Index Options'!$L:$L,'BSE - Other Index Options'!$C:$C,$A264,'BSE - Other Index Options'!$B:$B,G$147))</f>
        <v/>
      </c>
      <c r="H264" s="26" t="str">
        <f t="shared" si="9"/>
        <v/>
      </c>
    </row>
    <row r="265" spans="1:8" hidden="1" outlineLevel="1">
      <c r="A265" t="s">
        <v>127</v>
      </c>
      <c r="B265" s="26" t="str">
        <f>IF(SUMIFS('BSE - SENSEX Index Options'!$L:$L,'BSE - SENSEX Index Options'!$C:$C,$A265,'BSE - SENSEX Index Options'!$B:$B,B$147)+SUMIFS('BSE - Other Index Options'!$L:$L,'BSE - Other Index Options'!$C:$C,$A265,'BSE - Other Index Options'!$B:$B,B$147)=0,"",SUMIFS('BSE - SENSEX Index Options'!$L:$L,'BSE - SENSEX Index Options'!$C:$C,$A265,'BSE - SENSEX Index Options'!$B:$B,B$147)+SUMIFS('BSE - Other Index Options'!$L:$L,'BSE - Other Index Options'!$C:$C,$A265,'BSE - Other Index Options'!$B:$B,B$147))</f>
        <v/>
      </c>
      <c r="C265" s="26" t="str">
        <f>IF(SUMIFS('BSE - SENSEX Index Options'!$L:$L,'BSE - SENSEX Index Options'!$C:$C,$A265,'BSE - SENSEX Index Options'!$B:$B,C$147)+SUMIFS('BSE - Other Index Options'!$L:$L,'BSE - Other Index Options'!$C:$C,$A265,'BSE - Other Index Options'!$B:$B,C$147)=0,"",SUMIFS('BSE - SENSEX Index Options'!$L:$L,'BSE - SENSEX Index Options'!$C:$C,$A265,'BSE - SENSEX Index Options'!$B:$B,C$147)+SUMIFS('BSE - Other Index Options'!$L:$L,'BSE - Other Index Options'!$C:$C,$A265,'BSE - Other Index Options'!$B:$B,C$147))</f>
        <v/>
      </c>
      <c r="D265" s="26" t="str">
        <f>IF(SUMIFS('BSE - SENSEX Index Options'!$L:$L,'BSE - SENSEX Index Options'!$C:$C,$A265,'BSE - SENSEX Index Options'!$B:$B,D$147)+SUMIFS('BSE - Other Index Options'!$L:$L,'BSE - Other Index Options'!$C:$C,$A265,'BSE - Other Index Options'!$B:$B,D$147)=0,"",SUMIFS('BSE - SENSEX Index Options'!$L:$L,'BSE - SENSEX Index Options'!$C:$C,$A265,'BSE - SENSEX Index Options'!$B:$B,D$147)+SUMIFS('BSE - Other Index Options'!$L:$L,'BSE - Other Index Options'!$C:$C,$A265,'BSE - Other Index Options'!$B:$B,D$147))</f>
        <v/>
      </c>
      <c r="E265" s="26" t="str">
        <f>IF(SUMIFS('BSE - SENSEX Index Options'!$L:$L,'BSE - SENSEX Index Options'!$C:$C,$A265,'BSE - SENSEX Index Options'!$B:$B,E$147)+SUMIFS('BSE - Other Index Options'!$L:$L,'BSE - Other Index Options'!$C:$C,$A265,'BSE - Other Index Options'!$B:$B,E$147)=0,"",SUMIFS('BSE - SENSEX Index Options'!$L:$L,'BSE - SENSEX Index Options'!$C:$C,$A265,'BSE - SENSEX Index Options'!$B:$B,E$147)+SUMIFS('BSE - Other Index Options'!$L:$L,'BSE - Other Index Options'!$C:$C,$A265,'BSE - Other Index Options'!$B:$B,E$147))</f>
        <v/>
      </c>
      <c r="F265" s="26" t="str">
        <f>IF(SUMIFS('BSE - SENSEX Index Options'!$L:$L,'BSE - SENSEX Index Options'!$C:$C,$A265,'BSE - SENSEX Index Options'!$B:$B,F$147)+SUMIFS('BSE - Other Index Options'!$L:$L,'BSE - Other Index Options'!$C:$C,$A265,'BSE - Other Index Options'!$B:$B,F$147)=0,"",SUMIFS('BSE - SENSEX Index Options'!$L:$L,'BSE - SENSEX Index Options'!$C:$C,$A265,'BSE - SENSEX Index Options'!$B:$B,F$147)+SUMIFS('BSE - Other Index Options'!$L:$L,'BSE - Other Index Options'!$C:$C,$A265,'BSE - Other Index Options'!$B:$B,F$147))</f>
        <v/>
      </c>
      <c r="G265" s="26" t="str">
        <f>IF(SUMIFS('BSE - SENSEX Index Options'!$L:$L,'BSE - SENSEX Index Options'!$C:$C,$A265,'BSE - SENSEX Index Options'!$B:$B,G$147)+SUMIFS('BSE - Other Index Options'!$L:$L,'BSE - Other Index Options'!$C:$C,$A265,'BSE - Other Index Options'!$B:$B,G$147)=0,"",SUMIFS('BSE - SENSEX Index Options'!$L:$L,'BSE - SENSEX Index Options'!$C:$C,$A265,'BSE - SENSEX Index Options'!$B:$B,G$147)+SUMIFS('BSE - Other Index Options'!$L:$L,'BSE - Other Index Options'!$C:$C,$A265,'BSE - Other Index Options'!$B:$B,G$147))</f>
        <v/>
      </c>
      <c r="H265" s="26" t="str">
        <f t="shared" si="9"/>
        <v/>
      </c>
    </row>
    <row r="266" spans="1:8" hidden="1" outlineLevel="1">
      <c r="A266" t="s">
        <v>128</v>
      </c>
      <c r="B266" s="26" t="str">
        <f>IF(SUMIFS('BSE - SENSEX Index Options'!$L:$L,'BSE - SENSEX Index Options'!$C:$C,$A266,'BSE - SENSEX Index Options'!$B:$B,B$147)+SUMIFS('BSE - Other Index Options'!$L:$L,'BSE - Other Index Options'!$C:$C,$A266,'BSE - Other Index Options'!$B:$B,B$147)=0,"",SUMIFS('BSE - SENSEX Index Options'!$L:$L,'BSE - SENSEX Index Options'!$C:$C,$A266,'BSE - SENSEX Index Options'!$B:$B,B$147)+SUMIFS('BSE - Other Index Options'!$L:$L,'BSE - Other Index Options'!$C:$C,$A266,'BSE - Other Index Options'!$B:$B,B$147))</f>
        <v/>
      </c>
      <c r="C266" s="26" t="str">
        <f>IF(SUMIFS('BSE - SENSEX Index Options'!$L:$L,'BSE - SENSEX Index Options'!$C:$C,$A266,'BSE - SENSEX Index Options'!$B:$B,C$147)+SUMIFS('BSE - Other Index Options'!$L:$L,'BSE - Other Index Options'!$C:$C,$A266,'BSE - Other Index Options'!$B:$B,C$147)=0,"",SUMIFS('BSE - SENSEX Index Options'!$L:$L,'BSE - SENSEX Index Options'!$C:$C,$A266,'BSE - SENSEX Index Options'!$B:$B,C$147)+SUMIFS('BSE - Other Index Options'!$L:$L,'BSE - Other Index Options'!$C:$C,$A266,'BSE - Other Index Options'!$B:$B,C$147))</f>
        <v/>
      </c>
      <c r="D266" s="26" t="str">
        <f>IF(SUMIFS('BSE - SENSEX Index Options'!$L:$L,'BSE - SENSEX Index Options'!$C:$C,$A266,'BSE - SENSEX Index Options'!$B:$B,D$147)+SUMIFS('BSE - Other Index Options'!$L:$L,'BSE - Other Index Options'!$C:$C,$A266,'BSE - Other Index Options'!$B:$B,D$147)=0,"",SUMIFS('BSE - SENSEX Index Options'!$L:$L,'BSE - SENSEX Index Options'!$C:$C,$A266,'BSE - SENSEX Index Options'!$B:$B,D$147)+SUMIFS('BSE - Other Index Options'!$L:$L,'BSE - Other Index Options'!$C:$C,$A266,'BSE - Other Index Options'!$B:$B,D$147))</f>
        <v/>
      </c>
      <c r="E266" s="26" t="str">
        <f>IF(SUMIFS('BSE - SENSEX Index Options'!$L:$L,'BSE - SENSEX Index Options'!$C:$C,$A266,'BSE - SENSEX Index Options'!$B:$B,E$147)+SUMIFS('BSE - Other Index Options'!$L:$L,'BSE - Other Index Options'!$C:$C,$A266,'BSE - Other Index Options'!$B:$B,E$147)=0,"",SUMIFS('BSE - SENSEX Index Options'!$L:$L,'BSE - SENSEX Index Options'!$C:$C,$A266,'BSE - SENSEX Index Options'!$B:$B,E$147)+SUMIFS('BSE - Other Index Options'!$L:$L,'BSE - Other Index Options'!$C:$C,$A266,'BSE - Other Index Options'!$B:$B,E$147))</f>
        <v/>
      </c>
      <c r="F266" s="26" t="str">
        <f>IF(SUMIFS('BSE - SENSEX Index Options'!$L:$L,'BSE - SENSEX Index Options'!$C:$C,$A266,'BSE - SENSEX Index Options'!$B:$B,F$147)+SUMIFS('BSE - Other Index Options'!$L:$L,'BSE - Other Index Options'!$C:$C,$A266,'BSE - Other Index Options'!$B:$B,F$147)=0,"",SUMIFS('BSE - SENSEX Index Options'!$L:$L,'BSE - SENSEX Index Options'!$C:$C,$A266,'BSE - SENSEX Index Options'!$B:$B,F$147)+SUMIFS('BSE - Other Index Options'!$L:$L,'BSE - Other Index Options'!$C:$C,$A266,'BSE - Other Index Options'!$B:$B,F$147))</f>
        <v/>
      </c>
      <c r="G266" s="26" t="str">
        <f>IF(SUMIFS('BSE - SENSEX Index Options'!$L:$L,'BSE - SENSEX Index Options'!$C:$C,$A266,'BSE - SENSEX Index Options'!$B:$B,G$147)+SUMIFS('BSE - Other Index Options'!$L:$L,'BSE - Other Index Options'!$C:$C,$A266,'BSE - Other Index Options'!$B:$B,G$147)=0,"",SUMIFS('BSE - SENSEX Index Options'!$L:$L,'BSE - SENSEX Index Options'!$C:$C,$A266,'BSE - SENSEX Index Options'!$B:$B,G$147)+SUMIFS('BSE - Other Index Options'!$L:$L,'BSE - Other Index Options'!$C:$C,$A266,'BSE - Other Index Options'!$B:$B,G$147))</f>
        <v/>
      </c>
      <c r="H266" s="26" t="str">
        <f t="shared" si="9"/>
        <v/>
      </c>
    </row>
    <row r="267" spans="1:8" hidden="1" outlineLevel="1">
      <c r="A267" t="s">
        <v>129</v>
      </c>
      <c r="B267" s="26" t="str">
        <f>IF(SUMIFS('BSE - SENSEX Index Options'!$L:$L,'BSE - SENSEX Index Options'!$C:$C,$A267,'BSE - SENSEX Index Options'!$B:$B,B$147)+SUMIFS('BSE - Other Index Options'!$L:$L,'BSE - Other Index Options'!$C:$C,$A267,'BSE - Other Index Options'!$B:$B,B$147)=0,"",SUMIFS('BSE - SENSEX Index Options'!$L:$L,'BSE - SENSEX Index Options'!$C:$C,$A267,'BSE - SENSEX Index Options'!$B:$B,B$147)+SUMIFS('BSE - Other Index Options'!$L:$L,'BSE - Other Index Options'!$C:$C,$A267,'BSE - Other Index Options'!$B:$B,B$147))</f>
        <v/>
      </c>
      <c r="C267" s="26" t="str">
        <f>IF(SUMIFS('BSE - SENSEX Index Options'!$L:$L,'BSE - SENSEX Index Options'!$C:$C,$A267,'BSE - SENSEX Index Options'!$B:$B,C$147)+SUMIFS('BSE - Other Index Options'!$L:$L,'BSE - Other Index Options'!$C:$C,$A267,'BSE - Other Index Options'!$B:$B,C$147)=0,"",SUMIFS('BSE - SENSEX Index Options'!$L:$L,'BSE - SENSEX Index Options'!$C:$C,$A267,'BSE - SENSEX Index Options'!$B:$B,C$147)+SUMIFS('BSE - Other Index Options'!$L:$L,'BSE - Other Index Options'!$C:$C,$A267,'BSE - Other Index Options'!$B:$B,C$147))</f>
        <v/>
      </c>
      <c r="D267" s="26" t="str">
        <f>IF(SUMIFS('BSE - SENSEX Index Options'!$L:$L,'BSE - SENSEX Index Options'!$C:$C,$A267,'BSE - SENSEX Index Options'!$B:$B,D$147)+SUMIFS('BSE - Other Index Options'!$L:$L,'BSE - Other Index Options'!$C:$C,$A267,'BSE - Other Index Options'!$B:$B,D$147)=0,"",SUMIFS('BSE - SENSEX Index Options'!$L:$L,'BSE - SENSEX Index Options'!$C:$C,$A267,'BSE - SENSEX Index Options'!$B:$B,D$147)+SUMIFS('BSE - Other Index Options'!$L:$L,'BSE - Other Index Options'!$C:$C,$A267,'BSE - Other Index Options'!$B:$B,D$147))</f>
        <v/>
      </c>
      <c r="E267" s="26" t="str">
        <f>IF(SUMIFS('BSE - SENSEX Index Options'!$L:$L,'BSE - SENSEX Index Options'!$C:$C,$A267,'BSE - SENSEX Index Options'!$B:$B,E$147)+SUMIFS('BSE - Other Index Options'!$L:$L,'BSE - Other Index Options'!$C:$C,$A267,'BSE - Other Index Options'!$B:$B,E$147)=0,"",SUMIFS('BSE - SENSEX Index Options'!$L:$L,'BSE - SENSEX Index Options'!$C:$C,$A267,'BSE - SENSEX Index Options'!$B:$B,E$147)+SUMIFS('BSE - Other Index Options'!$L:$L,'BSE - Other Index Options'!$C:$C,$A267,'BSE - Other Index Options'!$B:$B,E$147))</f>
        <v/>
      </c>
      <c r="F267" s="26" t="str">
        <f>IF(SUMIFS('BSE - SENSEX Index Options'!$L:$L,'BSE - SENSEX Index Options'!$C:$C,$A267,'BSE - SENSEX Index Options'!$B:$B,F$147)+SUMIFS('BSE - Other Index Options'!$L:$L,'BSE - Other Index Options'!$C:$C,$A267,'BSE - Other Index Options'!$B:$B,F$147)=0,"",SUMIFS('BSE - SENSEX Index Options'!$L:$L,'BSE - SENSEX Index Options'!$C:$C,$A267,'BSE - SENSEX Index Options'!$B:$B,F$147)+SUMIFS('BSE - Other Index Options'!$L:$L,'BSE - Other Index Options'!$C:$C,$A267,'BSE - Other Index Options'!$B:$B,F$147))</f>
        <v/>
      </c>
      <c r="G267" s="26" t="str">
        <f>IF(SUMIFS('BSE - SENSEX Index Options'!$L:$L,'BSE - SENSEX Index Options'!$C:$C,$A267,'BSE - SENSEX Index Options'!$B:$B,G$147)+SUMIFS('BSE - Other Index Options'!$L:$L,'BSE - Other Index Options'!$C:$C,$A267,'BSE - Other Index Options'!$B:$B,G$147)=0,"",SUMIFS('BSE - SENSEX Index Options'!$L:$L,'BSE - SENSEX Index Options'!$C:$C,$A267,'BSE - SENSEX Index Options'!$B:$B,G$147)+SUMIFS('BSE - Other Index Options'!$L:$L,'BSE - Other Index Options'!$C:$C,$A267,'BSE - Other Index Options'!$B:$B,G$147))</f>
        <v/>
      </c>
      <c r="H267" s="26" t="str">
        <f t="shared" si="9"/>
        <v/>
      </c>
    </row>
    <row r="268" spans="1:8" hidden="1" outlineLevel="1">
      <c r="A268" t="s">
        <v>130</v>
      </c>
      <c r="B268" s="26" t="str">
        <f>IF(SUMIFS('BSE - SENSEX Index Options'!$L:$L,'BSE - SENSEX Index Options'!$C:$C,$A268,'BSE - SENSEX Index Options'!$B:$B,B$147)+SUMIFS('BSE - Other Index Options'!$L:$L,'BSE - Other Index Options'!$C:$C,$A268,'BSE - Other Index Options'!$B:$B,B$147)=0,"",SUMIFS('BSE - SENSEX Index Options'!$L:$L,'BSE - SENSEX Index Options'!$C:$C,$A268,'BSE - SENSEX Index Options'!$B:$B,B$147)+SUMIFS('BSE - Other Index Options'!$L:$L,'BSE - Other Index Options'!$C:$C,$A268,'BSE - Other Index Options'!$B:$B,B$147))</f>
        <v/>
      </c>
      <c r="C268" s="26" t="str">
        <f>IF(SUMIFS('BSE - SENSEX Index Options'!$L:$L,'BSE - SENSEX Index Options'!$C:$C,$A268,'BSE - SENSEX Index Options'!$B:$B,C$147)+SUMIFS('BSE - Other Index Options'!$L:$L,'BSE - Other Index Options'!$C:$C,$A268,'BSE - Other Index Options'!$B:$B,C$147)=0,"",SUMIFS('BSE - SENSEX Index Options'!$L:$L,'BSE - SENSEX Index Options'!$C:$C,$A268,'BSE - SENSEX Index Options'!$B:$B,C$147)+SUMIFS('BSE - Other Index Options'!$L:$L,'BSE - Other Index Options'!$C:$C,$A268,'BSE - Other Index Options'!$B:$B,C$147))</f>
        <v/>
      </c>
      <c r="D268" s="26" t="str">
        <f>IF(SUMIFS('BSE - SENSEX Index Options'!$L:$L,'BSE - SENSEX Index Options'!$C:$C,$A268,'BSE - SENSEX Index Options'!$B:$B,D$147)+SUMIFS('BSE - Other Index Options'!$L:$L,'BSE - Other Index Options'!$C:$C,$A268,'BSE - Other Index Options'!$B:$B,D$147)=0,"",SUMIFS('BSE - SENSEX Index Options'!$L:$L,'BSE - SENSEX Index Options'!$C:$C,$A268,'BSE - SENSEX Index Options'!$B:$B,D$147)+SUMIFS('BSE - Other Index Options'!$L:$L,'BSE - Other Index Options'!$C:$C,$A268,'BSE - Other Index Options'!$B:$B,D$147))</f>
        <v/>
      </c>
      <c r="E268" s="26" t="str">
        <f>IF(SUMIFS('BSE - SENSEX Index Options'!$L:$L,'BSE - SENSEX Index Options'!$C:$C,$A268,'BSE - SENSEX Index Options'!$B:$B,E$147)+SUMIFS('BSE - Other Index Options'!$L:$L,'BSE - Other Index Options'!$C:$C,$A268,'BSE - Other Index Options'!$B:$B,E$147)=0,"",SUMIFS('BSE - SENSEX Index Options'!$L:$L,'BSE - SENSEX Index Options'!$C:$C,$A268,'BSE - SENSEX Index Options'!$B:$B,E$147)+SUMIFS('BSE - Other Index Options'!$L:$L,'BSE - Other Index Options'!$C:$C,$A268,'BSE - Other Index Options'!$B:$B,E$147))</f>
        <v/>
      </c>
      <c r="F268" s="26" t="str">
        <f>IF(SUMIFS('BSE - SENSEX Index Options'!$L:$L,'BSE - SENSEX Index Options'!$C:$C,$A268,'BSE - SENSEX Index Options'!$B:$B,F$147)+SUMIFS('BSE - Other Index Options'!$L:$L,'BSE - Other Index Options'!$C:$C,$A268,'BSE - Other Index Options'!$B:$B,F$147)=0,"",SUMIFS('BSE - SENSEX Index Options'!$L:$L,'BSE - SENSEX Index Options'!$C:$C,$A268,'BSE - SENSEX Index Options'!$B:$B,F$147)+SUMIFS('BSE - Other Index Options'!$L:$L,'BSE - Other Index Options'!$C:$C,$A268,'BSE - Other Index Options'!$B:$B,F$147))</f>
        <v/>
      </c>
      <c r="G268" s="26" t="str">
        <f>IF(SUMIFS('BSE - SENSEX Index Options'!$L:$L,'BSE - SENSEX Index Options'!$C:$C,$A268,'BSE - SENSEX Index Options'!$B:$B,G$147)+SUMIFS('BSE - Other Index Options'!$L:$L,'BSE - Other Index Options'!$C:$C,$A268,'BSE - Other Index Options'!$B:$B,G$147)=0,"",SUMIFS('BSE - SENSEX Index Options'!$L:$L,'BSE - SENSEX Index Options'!$C:$C,$A268,'BSE - SENSEX Index Options'!$B:$B,G$147)+SUMIFS('BSE - Other Index Options'!$L:$L,'BSE - Other Index Options'!$C:$C,$A268,'BSE - Other Index Options'!$B:$B,G$147))</f>
        <v/>
      </c>
      <c r="H268" s="26" t="str">
        <f t="shared" si="9"/>
        <v/>
      </c>
    </row>
    <row r="269" spans="1:8" hidden="1" outlineLevel="1">
      <c r="A269" t="s">
        <v>131</v>
      </c>
      <c r="B269" s="26" t="str">
        <f>IF(SUMIFS('BSE - SENSEX Index Options'!$L:$L,'BSE - SENSEX Index Options'!$C:$C,$A269,'BSE - SENSEX Index Options'!$B:$B,B$147)+SUMIFS('BSE - Other Index Options'!$L:$L,'BSE - Other Index Options'!$C:$C,$A269,'BSE - Other Index Options'!$B:$B,B$147)=0,"",SUMIFS('BSE - SENSEX Index Options'!$L:$L,'BSE - SENSEX Index Options'!$C:$C,$A269,'BSE - SENSEX Index Options'!$B:$B,B$147)+SUMIFS('BSE - Other Index Options'!$L:$L,'BSE - Other Index Options'!$C:$C,$A269,'BSE - Other Index Options'!$B:$B,B$147))</f>
        <v/>
      </c>
      <c r="C269" s="26" t="str">
        <f>IF(SUMIFS('BSE - SENSEX Index Options'!$L:$L,'BSE - SENSEX Index Options'!$C:$C,$A269,'BSE - SENSEX Index Options'!$B:$B,C$147)+SUMIFS('BSE - Other Index Options'!$L:$L,'BSE - Other Index Options'!$C:$C,$A269,'BSE - Other Index Options'!$B:$B,C$147)=0,"",SUMIFS('BSE - SENSEX Index Options'!$L:$L,'BSE - SENSEX Index Options'!$C:$C,$A269,'BSE - SENSEX Index Options'!$B:$B,C$147)+SUMIFS('BSE - Other Index Options'!$L:$L,'BSE - Other Index Options'!$C:$C,$A269,'BSE - Other Index Options'!$B:$B,C$147))</f>
        <v/>
      </c>
      <c r="D269" s="26" t="str">
        <f>IF(SUMIFS('BSE - SENSEX Index Options'!$L:$L,'BSE - SENSEX Index Options'!$C:$C,$A269,'BSE - SENSEX Index Options'!$B:$B,D$147)+SUMIFS('BSE - Other Index Options'!$L:$L,'BSE - Other Index Options'!$C:$C,$A269,'BSE - Other Index Options'!$B:$B,D$147)=0,"",SUMIFS('BSE - SENSEX Index Options'!$L:$L,'BSE - SENSEX Index Options'!$C:$C,$A269,'BSE - SENSEX Index Options'!$B:$B,D$147)+SUMIFS('BSE - Other Index Options'!$L:$L,'BSE - Other Index Options'!$C:$C,$A269,'BSE - Other Index Options'!$B:$B,D$147))</f>
        <v/>
      </c>
      <c r="E269" s="26" t="str">
        <f>IF(SUMIFS('BSE - SENSEX Index Options'!$L:$L,'BSE - SENSEX Index Options'!$C:$C,$A269,'BSE - SENSEX Index Options'!$B:$B,E$147)+SUMIFS('BSE - Other Index Options'!$L:$L,'BSE - Other Index Options'!$C:$C,$A269,'BSE - Other Index Options'!$B:$B,E$147)=0,"",SUMIFS('BSE - SENSEX Index Options'!$L:$L,'BSE - SENSEX Index Options'!$C:$C,$A269,'BSE - SENSEX Index Options'!$B:$B,E$147)+SUMIFS('BSE - Other Index Options'!$L:$L,'BSE - Other Index Options'!$C:$C,$A269,'BSE - Other Index Options'!$B:$B,E$147))</f>
        <v/>
      </c>
      <c r="F269" s="26" t="str">
        <f>IF(SUMIFS('BSE - SENSEX Index Options'!$L:$L,'BSE - SENSEX Index Options'!$C:$C,$A269,'BSE - SENSEX Index Options'!$B:$B,F$147)+SUMIFS('BSE - Other Index Options'!$L:$L,'BSE - Other Index Options'!$C:$C,$A269,'BSE - Other Index Options'!$B:$B,F$147)=0,"",SUMIFS('BSE - SENSEX Index Options'!$L:$L,'BSE - SENSEX Index Options'!$C:$C,$A269,'BSE - SENSEX Index Options'!$B:$B,F$147)+SUMIFS('BSE - Other Index Options'!$L:$L,'BSE - Other Index Options'!$C:$C,$A269,'BSE - Other Index Options'!$B:$B,F$147))</f>
        <v/>
      </c>
      <c r="G269" s="26" t="str">
        <f>IF(SUMIFS('BSE - SENSEX Index Options'!$L:$L,'BSE - SENSEX Index Options'!$C:$C,$A269,'BSE - SENSEX Index Options'!$B:$B,G$147)+SUMIFS('BSE - Other Index Options'!$L:$L,'BSE - Other Index Options'!$C:$C,$A269,'BSE - Other Index Options'!$B:$B,G$147)=0,"",SUMIFS('BSE - SENSEX Index Options'!$L:$L,'BSE - SENSEX Index Options'!$C:$C,$A269,'BSE - SENSEX Index Options'!$B:$B,G$147)+SUMIFS('BSE - Other Index Options'!$L:$L,'BSE - Other Index Options'!$C:$C,$A269,'BSE - Other Index Options'!$B:$B,G$147))</f>
        <v/>
      </c>
      <c r="H269" s="26" t="str">
        <f t="shared" si="9"/>
        <v/>
      </c>
    </row>
    <row r="270" spans="1:8" hidden="1" outlineLevel="1">
      <c r="A270" t="s">
        <v>132</v>
      </c>
      <c r="B270" s="26" t="str">
        <f>IF(SUMIFS('BSE - SENSEX Index Options'!$L:$L,'BSE - SENSEX Index Options'!$C:$C,$A270,'BSE - SENSEX Index Options'!$B:$B,B$147)+SUMIFS('BSE - Other Index Options'!$L:$L,'BSE - Other Index Options'!$C:$C,$A270,'BSE - Other Index Options'!$B:$B,B$147)=0,"",SUMIFS('BSE - SENSEX Index Options'!$L:$L,'BSE - SENSEX Index Options'!$C:$C,$A270,'BSE - SENSEX Index Options'!$B:$B,B$147)+SUMIFS('BSE - Other Index Options'!$L:$L,'BSE - Other Index Options'!$C:$C,$A270,'BSE - Other Index Options'!$B:$B,B$147))</f>
        <v/>
      </c>
      <c r="C270" s="26" t="str">
        <f>IF(SUMIFS('BSE - SENSEX Index Options'!$L:$L,'BSE - SENSEX Index Options'!$C:$C,$A270,'BSE - SENSEX Index Options'!$B:$B,C$147)+SUMIFS('BSE - Other Index Options'!$L:$L,'BSE - Other Index Options'!$C:$C,$A270,'BSE - Other Index Options'!$B:$B,C$147)=0,"",SUMIFS('BSE - SENSEX Index Options'!$L:$L,'BSE - SENSEX Index Options'!$C:$C,$A270,'BSE - SENSEX Index Options'!$B:$B,C$147)+SUMIFS('BSE - Other Index Options'!$L:$L,'BSE - Other Index Options'!$C:$C,$A270,'BSE - Other Index Options'!$B:$B,C$147))</f>
        <v/>
      </c>
      <c r="D270" s="26" t="str">
        <f>IF(SUMIFS('BSE - SENSEX Index Options'!$L:$L,'BSE - SENSEX Index Options'!$C:$C,$A270,'BSE - SENSEX Index Options'!$B:$B,D$147)+SUMIFS('BSE - Other Index Options'!$L:$L,'BSE - Other Index Options'!$C:$C,$A270,'BSE - Other Index Options'!$B:$B,D$147)=0,"",SUMIFS('BSE - SENSEX Index Options'!$L:$L,'BSE - SENSEX Index Options'!$C:$C,$A270,'BSE - SENSEX Index Options'!$B:$B,D$147)+SUMIFS('BSE - Other Index Options'!$L:$L,'BSE - Other Index Options'!$C:$C,$A270,'BSE - Other Index Options'!$B:$B,D$147))</f>
        <v/>
      </c>
      <c r="E270" s="26" t="str">
        <f>IF(SUMIFS('BSE - SENSEX Index Options'!$L:$L,'BSE - SENSEX Index Options'!$C:$C,$A270,'BSE - SENSEX Index Options'!$B:$B,E$147)+SUMIFS('BSE - Other Index Options'!$L:$L,'BSE - Other Index Options'!$C:$C,$A270,'BSE - Other Index Options'!$B:$B,E$147)=0,"",SUMIFS('BSE - SENSEX Index Options'!$L:$L,'BSE - SENSEX Index Options'!$C:$C,$A270,'BSE - SENSEX Index Options'!$B:$B,E$147)+SUMIFS('BSE - Other Index Options'!$L:$L,'BSE - Other Index Options'!$C:$C,$A270,'BSE - Other Index Options'!$B:$B,E$147))</f>
        <v/>
      </c>
      <c r="F270" s="26" t="str">
        <f>IF(SUMIFS('BSE - SENSEX Index Options'!$L:$L,'BSE - SENSEX Index Options'!$C:$C,$A270,'BSE - SENSEX Index Options'!$B:$B,F$147)+SUMIFS('BSE - Other Index Options'!$L:$L,'BSE - Other Index Options'!$C:$C,$A270,'BSE - Other Index Options'!$B:$B,F$147)=0,"",SUMIFS('BSE - SENSEX Index Options'!$L:$L,'BSE - SENSEX Index Options'!$C:$C,$A270,'BSE - SENSEX Index Options'!$B:$B,F$147)+SUMIFS('BSE - Other Index Options'!$L:$L,'BSE - Other Index Options'!$C:$C,$A270,'BSE - Other Index Options'!$B:$B,F$147))</f>
        <v/>
      </c>
      <c r="G270" s="26" t="str">
        <f>IF(SUMIFS('BSE - SENSEX Index Options'!$L:$L,'BSE - SENSEX Index Options'!$C:$C,$A270,'BSE - SENSEX Index Options'!$B:$B,G$147)+SUMIFS('BSE - Other Index Options'!$L:$L,'BSE - Other Index Options'!$C:$C,$A270,'BSE - Other Index Options'!$B:$B,G$147)=0,"",SUMIFS('BSE - SENSEX Index Options'!$L:$L,'BSE - SENSEX Index Options'!$C:$C,$A270,'BSE - SENSEX Index Options'!$B:$B,G$147)+SUMIFS('BSE - Other Index Options'!$L:$L,'BSE - Other Index Options'!$C:$C,$A270,'BSE - Other Index Options'!$B:$B,G$147))</f>
        <v/>
      </c>
      <c r="H270" s="26" t="str">
        <f t="shared" si="9"/>
        <v/>
      </c>
    </row>
    <row r="271" spans="1:8" hidden="1" outlineLevel="1">
      <c r="A271" t="s">
        <v>133</v>
      </c>
      <c r="B271" s="26" t="str">
        <f>IF(SUMIFS('BSE - SENSEX Index Options'!$L:$L,'BSE - SENSEX Index Options'!$C:$C,$A271,'BSE - SENSEX Index Options'!$B:$B,B$147)+SUMIFS('BSE - Other Index Options'!$L:$L,'BSE - Other Index Options'!$C:$C,$A271,'BSE - Other Index Options'!$B:$B,B$147)=0,"",SUMIFS('BSE - SENSEX Index Options'!$L:$L,'BSE - SENSEX Index Options'!$C:$C,$A271,'BSE - SENSEX Index Options'!$B:$B,B$147)+SUMIFS('BSE - Other Index Options'!$L:$L,'BSE - Other Index Options'!$C:$C,$A271,'BSE - Other Index Options'!$B:$B,B$147))</f>
        <v/>
      </c>
      <c r="C271" s="26" t="str">
        <f>IF(SUMIFS('BSE - SENSEX Index Options'!$L:$L,'BSE - SENSEX Index Options'!$C:$C,$A271,'BSE - SENSEX Index Options'!$B:$B,C$147)+SUMIFS('BSE - Other Index Options'!$L:$L,'BSE - Other Index Options'!$C:$C,$A271,'BSE - Other Index Options'!$B:$B,C$147)=0,"",SUMIFS('BSE - SENSEX Index Options'!$L:$L,'BSE - SENSEX Index Options'!$C:$C,$A271,'BSE - SENSEX Index Options'!$B:$B,C$147)+SUMIFS('BSE - Other Index Options'!$L:$L,'BSE - Other Index Options'!$C:$C,$A271,'BSE - Other Index Options'!$B:$B,C$147))</f>
        <v/>
      </c>
      <c r="D271" s="26" t="str">
        <f>IF(SUMIFS('BSE - SENSEX Index Options'!$L:$L,'BSE - SENSEX Index Options'!$C:$C,$A271,'BSE - SENSEX Index Options'!$B:$B,D$147)+SUMIFS('BSE - Other Index Options'!$L:$L,'BSE - Other Index Options'!$C:$C,$A271,'BSE - Other Index Options'!$B:$B,D$147)=0,"",SUMIFS('BSE - SENSEX Index Options'!$L:$L,'BSE - SENSEX Index Options'!$C:$C,$A271,'BSE - SENSEX Index Options'!$B:$B,D$147)+SUMIFS('BSE - Other Index Options'!$L:$L,'BSE - Other Index Options'!$C:$C,$A271,'BSE - Other Index Options'!$B:$B,D$147))</f>
        <v/>
      </c>
      <c r="E271" s="26" t="str">
        <f>IF(SUMIFS('BSE - SENSEX Index Options'!$L:$L,'BSE - SENSEX Index Options'!$C:$C,$A271,'BSE - SENSEX Index Options'!$B:$B,E$147)+SUMIFS('BSE - Other Index Options'!$L:$L,'BSE - Other Index Options'!$C:$C,$A271,'BSE - Other Index Options'!$B:$B,E$147)=0,"",SUMIFS('BSE - SENSEX Index Options'!$L:$L,'BSE - SENSEX Index Options'!$C:$C,$A271,'BSE - SENSEX Index Options'!$B:$B,E$147)+SUMIFS('BSE - Other Index Options'!$L:$L,'BSE - Other Index Options'!$C:$C,$A271,'BSE - Other Index Options'!$B:$B,E$147))</f>
        <v/>
      </c>
      <c r="F271" s="26" t="str">
        <f>IF(SUMIFS('BSE - SENSEX Index Options'!$L:$L,'BSE - SENSEX Index Options'!$C:$C,$A271,'BSE - SENSEX Index Options'!$B:$B,F$147)+SUMIFS('BSE - Other Index Options'!$L:$L,'BSE - Other Index Options'!$C:$C,$A271,'BSE - Other Index Options'!$B:$B,F$147)=0,"",SUMIFS('BSE - SENSEX Index Options'!$L:$L,'BSE - SENSEX Index Options'!$C:$C,$A271,'BSE - SENSEX Index Options'!$B:$B,F$147)+SUMIFS('BSE - Other Index Options'!$L:$L,'BSE - Other Index Options'!$C:$C,$A271,'BSE - Other Index Options'!$B:$B,F$147))</f>
        <v/>
      </c>
      <c r="G271" s="26" t="str">
        <f>IF(SUMIFS('BSE - SENSEX Index Options'!$L:$L,'BSE - SENSEX Index Options'!$C:$C,$A271,'BSE - SENSEX Index Options'!$B:$B,G$147)+SUMIFS('BSE - Other Index Options'!$L:$L,'BSE - Other Index Options'!$C:$C,$A271,'BSE - Other Index Options'!$B:$B,G$147)=0,"",SUMIFS('BSE - SENSEX Index Options'!$L:$L,'BSE - SENSEX Index Options'!$C:$C,$A271,'BSE - SENSEX Index Options'!$B:$B,G$147)+SUMIFS('BSE - Other Index Options'!$L:$L,'BSE - Other Index Options'!$C:$C,$A271,'BSE - Other Index Options'!$B:$B,G$147))</f>
        <v/>
      </c>
      <c r="H271" s="26" t="str">
        <f t="shared" si="9"/>
        <v/>
      </c>
    </row>
    <row r="272" spans="1:8" hidden="1" outlineLevel="1">
      <c r="A272" t="s">
        <v>134</v>
      </c>
      <c r="B272" s="26" t="str">
        <f>IF(SUMIFS('BSE - SENSEX Index Options'!$L:$L,'BSE - SENSEX Index Options'!$C:$C,$A272,'BSE - SENSEX Index Options'!$B:$B,B$147)+SUMIFS('BSE - Other Index Options'!$L:$L,'BSE - Other Index Options'!$C:$C,$A272,'BSE - Other Index Options'!$B:$B,B$147)=0,"",SUMIFS('BSE - SENSEX Index Options'!$L:$L,'BSE - SENSEX Index Options'!$C:$C,$A272,'BSE - SENSEX Index Options'!$B:$B,B$147)+SUMIFS('BSE - Other Index Options'!$L:$L,'BSE - Other Index Options'!$C:$C,$A272,'BSE - Other Index Options'!$B:$B,B$147))</f>
        <v/>
      </c>
      <c r="C272" s="26" t="str">
        <f>IF(SUMIFS('BSE - SENSEX Index Options'!$L:$L,'BSE - SENSEX Index Options'!$C:$C,$A272,'BSE - SENSEX Index Options'!$B:$B,C$147)+SUMIFS('BSE - Other Index Options'!$L:$L,'BSE - Other Index Options'!$C:$C,$A272,'BSE - Other Index Options'!$B:$B,C$147)=0,"",SUMIFS('BSE - SENSEX Index Options'!$L:$L,'BSE - SENSEX Index Options'!$C:$C,$A272,'BSE - SENSEX Index Options'!$B:$B,C$147)+SUMIFS('BSE - Other Index Options'!$L:$L,'BSE - Other Index Options'!$C:$C,$A272,'BSE - Other Index Options'!$B:$B,C$147))</f>
        <v/>
      </c>
      <c r="D272" s="26" t="str">
        <f>IF(SUMIFS('BSE - SENSEX Index Options'!$L:$L,'BSE - SENSEX Index Options'!$C:$C,$A272,'BSE - SENSEX Index Options'!$B:$B,D$147)+SUMIFS('BSE - Other Index Options'!$L:$L,'BSE - Other Index Options'!$C:$C,$A272,'BSE - Other Index Options'!$B:$B,D$147)=0,"",SUMIFS('BSE - SENSEX Index Options'!$L:$L,'BSE - SENSEX Index Options'!$C:$C,$A272,'BSE - SENSEX Index Options'!$B:$B,D$147)+SUMIFS('BSE - Other Index Options'!$L:$L,'BSE - Other Index Options'!$C:$C,$A272,'BSE - Other Index Options'!$B:$B,D$147))</f>
        <v/>
      </c>
      <c r="E272" s="26" t="str">
        <f>IF(SUMIFS('BSE - SENSEX Index Options'!$L:$L,'BSE - SENSEX Index Options'!$C:$C,$A272,'BSE - SENSEX Index Options'!$B:$B,E$147)+SUMIFS('BSE - Other Index Options'!$L:$L,'BSE - Other Index Options'!$C:$C,$A272,'BSE - Other Index Options'!$B:$B,E$147)=0,"",SUMIFS('BSE - SENSEX Index Options'!$L:$L,'BSE - SENSEX Index Options'!$C:$C,$A272,'BSE - SENSEX Index Options'!$B:$B,E$147)+SUMIFS('BSE - Other Index Options'!$L:$L,'BSE - Other Index Options'!$C:$C,$A272,'BSE - Other Index Options'!$B:$B,E$147))</f>
        <v/>
      </c>
      <c r="F272" s="26" t="str">
        <f>IF(SUMIFS('BSE - SENSEX Index Options'!$L:$L,'BSE - SENSEX Index Options'!$C:$C,$A272,'BSE - SENSEX Index Options'!$B:$B,F$147)+SUMIFS('BSE - Other Index Options'!$L:$L,'BSE - Other Index Options'!$C:$C,$A272,'BSE - Other Index Options'!$B:$B,F$147)=0,"",SUMIFS('BSE - SENSEX Index Options'!$L:$L,'BSE - SENSEX Index Options'!$C:$C,$A272,'BSE - SENSEX Index Options'!$B:$B,F$147)+SUMIFS('BSE - Other Index Options'!$L:$L,'BSE - Other Index Options'!$C:$C,$A272,'BSE - Other Index Options'!$B:$B,F$147))</f>
        <v/>
      </c>
      <c r="G272" s="26" t="str">
        <f>IF(SUMIFS('BSE - SENSEX Index Options'!$L:$L,'BSE - SENSEX Index Options'!$C:$C,$A272,'BSE - SENSEX Index Options'!$B:$B,G$147)+SUMIFS('BSE - Other Index Options'!$L:$L,'BSE - Other Index Options'!$C:$C,$A272,'BSE - Other Index Options'!$B:$B,G$147)=0,"",SUMIFS('BSE - SENSEX Index Options'!$L:$L,'BSE - SENSEX Index Options'!$C:$C,$A272,'BSE - SENSEX Index Options'!$B:$B,G$147)+SUMIFS('BSE - Other Index Options'!$L:$L,'BSE - Other Index Options'!$C:$C,$A272,'BSE - Other Index Options'!$B:$B,G$147))</f>
        <v/>
      </c>
      <c r="H272" s="26" t="str">
        <f t="shared" si="9"/>
        <v/>
      </c>
    </row>
    <row r="273" spans="1:8" hidden="1" outlineLevel="1">
      <c r="A273" t="s">
        <v>135</v>
      </c>
      <c r="B273" s="26" t="str">
        <f>IF(SUMIFS('BSE - SENSEX Index Options'!$L:$L,'BSE - SENSEX Index Options'!$C:$C,$A273,'BSE - SENSEX Index Options'!$B:$B,B$147)+SUMIFS('BSE - Other Index Options'!$L:$L,'BSE - Other Index Options'!$C:$C,$A273,'BSE - Other Index Options'!$B:$B,B$147)=0,"",SUMIFS('BSE - SENSEX Index Options'!$L:$L,'BSE - SENSEX Index Options'!$C:$C,$A273,'BSE - SENSEX Index Options'!$B:$B,B$147)+SUMIFS('BSE - Other Index Options'!$L:$L,'BSE - Other Index Options'!$C:$C,$A273,'BSE - Other Index Options'!$B:$B,B$147))</f>
        <v/>
      </c>
      <c r="C273" s="26" t="str">
        <f>IF(SUMIFS('BSE - SENSEX Index Options'!$L:$L,'BSE - SENSEX Index Options'!$C:$C,$A273,'BSE - SENSEX Index Options'!$B:$B,C$147)+SUMIFS('BSE - Other Index Options'!$L:$L,'BSE - Other Index Options'!$C:$C,$A273,'BSE - Other Index Options'!$B:$B,C$147)=0,"",SUMIFS('BSE - SENSEX Index Options'!$L:$L,'BSE - SENSEX Index Options'!$C:$C,$A273,'BSE - SENSEX Index Options'!$B:$B,C$147)+SUMIFS('BSE - Other Index Options'!$L:$L,'BSE - Other Index Options'!$C:$C,$A273,'BSE - Other Index Options'!$B:$B,C$147))</f>
        <v/>
      </c>
      <c r="D273" s="26" t="str">
        <f>IF(SUMIFS('BSE - SENSEX Index Options'!$L:$L,'BSE - SENSEX Index Options'!$C:$C,$A273,'BSE - SENSEX Index Options'!$B:$B,D$147)+SUMIFS('BSE - Other Index Options'!$L:$L,'BSE - Other Index Options'!$C:$C,$A273,'BSE - Other Index Options'!$B:$B,D$147)=0,"",SUMIFS('BSE - SENSEX Index Options'!$L:$L,'BSE - SENSEX Index Options'!$C:$C,$A273,'BSE - SENSEX Index Options'!$B:$B,D$147)+SUMIFS('BSE - Other Index Options'!$L:$L,'BSE - Other Index Options'!$C:$C,$A273,'BSE - Other Index Options'!$B:$B,D$147))</f>
        <v/>
      </c>
      <c r="E273" s="26" t="str">
        <f>IF(SUMIFS('BSE - SENSEX Index Options'!$L:$L,'BSE - SENSEX Index Options'!$C:$C,$A273,'BSE - SENSEX Index Options'!$B:$B,E$147)+SUMIFS('BSE - Other Index Options'!$L:$L,'BSE - Other Index Options'!$C:$C,$A273,'BSE - Other Index Options'!$B:$B,E$147)=0,"",SUMIFS('BSE - SENSEX Index Options'!$L:$L,'BSE - SENSEX Index Options'!$C:$C,$A273,'BSE - SENSEX Index Options'!$B:$B,E$147)+SUMIFS('BSE - Other Index Options'!$L:$L,'BSE - Other Index Options'!$C:$C,$A273,'BSE - Other Index Options'!$B:$B,E$147))</f>
        <v/>
      </c>
      <c r="F273" s="26" t="str">
        <f>IF(SUMIFS('BSE - SENSEX Index Options'!$L:$L,'BSE - SENSEX Index Options'!$C:$C,$A273,'BSE - SENSEX Index Options'!$B:$B,F$147)+SUMIFS('BSE - Other Index Options'!$L:$L,'BSE - Other Index Options'!$C:$C,$A273,'BSE - Other Index Options'!$B:$B,F$147)=0,"",SUMIFS('BSE - SENSEX Index Options'!$L:$L,'BSE - SENSEX Index Options'!$C:$C,$A273,'BSE - SENSEX Index Options'!$B:$B,F$147)+SUMIFS('BSE - Other Index Options'!$L:$L,'BSE - Other Index Options'!$C:$C,$A273,'BSE - Other Index Options'!$B:$B,F$147))</f>
        <v/>
      </c>
      <c r="G273" s="26" t="str">
        <f>IF(SUMIFS('BSE - SENSEX Index Options'!$L:$L,'BSE - SENSEX Index Options'!$C:$C,$A273,'BSE - SENSEX Index Options'!$B:$B,G$147)+SUMIFS('BSE - Other Index Options'!$L:$L,'BSE - Other Index Options'!$C:$C,$A273,'BSE - Other Index Options'!$B:$B,G$147)=0,"",SUMIFS('BSE - SENSEX Index Options'!$L:$L,'BSE - SENSEX Index Options'!$C:$C,$A273,'BSE - SENSEX Index Options'!$B:$B,G$147)+SUMIFS('BSE - Other Index Options'!$L:$L,'BSE - Other Index Options'!$C:$C,$A273,'BSE - Other Index Options'!$B:$B,G$147))</f>
        <v/>
      </c>
      <c r="H273" s="26" t="str">
        <f t="shared" si="9"/>
        <v/>
      </c>
    </row>
    <row r="274" spans="1:8" hidden="1" outlineLevel="1">
      <c r="A274" t="s">
        <v>136</v>
      </c>
      <c r="B274" s="26" t="str">
        <f>IF(SUMIFS('BSE - SENSEX Index Options'!$L:$L,'BSE - SENSEX Index Options'!$C:$C,$A274,'BSE - SENSEX Index Options'!$B:$B,B$147)+SUMIFS('BSE - Other Index Options'!$L:$L,'BSE - Other Index Options'!$C:$C,$A274,'BSE - Other Index Options'!$B:$B,B$147)=0,"",SUMIFS('BSE - SENSEX Index Options'!$L:$L,'BSE - SENSEX Index Options'!$C:$C,$A274,'BSE - SENSEX Index Options'!$B:$B,B$147)+SUMIFS('BSE - Other Index Options'!$L:$L,'BSE - Other Index Options'!$C:$C,$A274,'BSE - Other Index Options'!$B:$B,B$147))</f>
        <v/>
      </c>
      <c r="C274" s="26" t="str">
        <f>IF(SUMIFS('BSE - SENSEX Index Options'!$L:$L,'BSE - SENSEX Index Options'!$C:$C,$A274,'BSE - SENSEX Index Options'!$B:$B,C$147)+SUMIFS('BSE - Other Index Options'!$L:$L,'BSE - Other Index Options'!$C:$C,$A274,'BSE - Other Index Options'!$B:$B,C$147)=0,"",SUMIFS('BSE - SENSEX Index Options'!$L:$L,'BSE - SENSEX Index Options'!$C:$C,$A274,'BSE - SENSEX Index Options'!$B:$B,C$147)+SUMIFS('BSE - Other Index Options'!$L:$L,'BSE - Other Index Options'!$C:$C,$A274,'BSE - Other Index Options'!$B:$B,C$147))</f>
        <v/>
      </c>
      <c r="D274" s="26" t="str">
        <f>IF(SUMIFS('BSE - SENSEX Index Options'!$L:$L,'BSE - SENSEX Index Options'!$C:$C,$A274,'BSE - SENSEX Index Options'!$B:$B,D$147)+SUMIFS('BSE - Other Index Options'!$L:$L,'BSE - Other Index Options'!$C:$C,$A274,'BSE - Other Index Options'!$B:$B,D$147)=0,"",SUMIFS('BSE - SENSEX Index Options'!$L:$L,'BSE - SENSEX Index Options'!$C:$C,$A274,'BSE - SENSEX Index Options'!$B:$B,D$147)+SUMIFS('BSE - Other Index Options'!$L:$L,'BSE - Other Index Options'!$C:$C,$A274,'BSE - Other Index Options'!$B:$B,D$147))</f>
        <v/>
      </c>
      <c r="E274" s="26" t="str">
        <f>IF(SUMIFS('BSE - SENSEX Index Options'!$L:$L,'BSE - SENSEX Index Options'!$C:$C,$A274,'BSE - SENSEX Index Options'!$B:$B,E$147)+SUMIFS('BSE - Other Index Options'!$L:$L,'BSE - Other Index Options'!$C:$C,$A274,'BSE - Other Index Options'!$B:$B,E$147)=0,"",SUMIFS('BSE - SENSEX Index Options'!$L:$L,'BSE - SENSEX Index Options'!$C:$C,$A274,'BSE - SENSEX Index Options'!$B:$B,E$147)+SUMIFS('BSE - Other Index Options'!$L:$L,'BSE - Other Index Options'!$C:$C,$A274,'BSE - Other Index Options'!$B:$B,E$147))</f>
        <v/>
      </c>
      <c r="F274" s="26" t="str">
        <f>IF(SUMIFS('BSE - SENSEX Index Options'!$L:$L,'BSE - SENSEX Index Options'!$C:$C,$A274,'BSE - SENSEX Index Options'!$B:$B,F$147)+SUMIFS('BSE - Other Index Options'!$L:$L,'BSE - Other Index Options'!$C:$C,$A274,'BSE - Other Index Options'!$B:$B,F$147)=0,"",SUMIFS('BSE - SENSEX Index Options'!$L:$L,'BSE - SENSEX Index Options'!$C:$C,$A274,'BSE - SENSEX Index Options'!$B:$B,F$147)+SUMIFS('BSE - Other Index Options'!$L:$L,'BSE - Other Index Options'!$C:$C,$A274,'BSE - Other Index Options'!$B:$B,F$147))</f>
        <v/>
      </c>
      <c r="G274" s="26" t="str">
        <f>IF(SUMIFS('BSE - SENSEX Index Options'!$L:$L,'BSE - SENSEX Index Options'!$C:$C,$A274,'BSE - SENSEX Index Options'!$B:$B,G$147)+SUMIFS('BSE - Other Index Options'!$L:$L,'BSE - Other Index Options'!$C:$C,$A274,'BSE - Other Index Options'!$B:$B,G$147)=0,"",SUMIFS('BSE - SENSEX Index Options'!$L:$L,'BSE - SENSEX Index Options'!$C:$C,$A274,'BSE - SENSEX Index Options'!$B:$B,G$147)+SUMIFS('BSE - Other Index Options'!$L:$L,'BSE - Other Index Options'!$C:$C,$A274,'BSE - Other Index Options'!$B:$B,G$147))</f>
        <v/>
      </c>
      <c r="H274" s="26" t="str">
        <f t="shared" si="9"/>
        <v/>
      </c>
    </row>
    <row r="275" spans="1:8" hidden="1" outlineLevel="1">
      <c r="A275" t="s">
        <v>137</v>
      </c>
      <c r="B275" s="26" t="str">
        <f>IF(SUMIFS('BSE - SENSEX Index Options'!$L:$L,'BSE - SENSEX Index Options'!$C:$C,$A275,'BSE - SENSEX Index Options'!$B:$B,B$147)+SUMIFS('BSE - Other Index Options'!$L:$L,'BSE - Other Index Options'!$C:$C,$A275,'BSE - Other Index Options'!$B:$B,B$147)=0,"",SUMIFS('BSE - SENSEX Index Options'!$L:$L,'BSE - SENSEX Index Options'!$C:$C,$A275,'BSE - SENSEX Index Options'!$B:$B,B$147)+SUMIFS('BSE - Other Index Options'!$L:$L,'BSE - Other Index Options'!$C:$C,$A275,'BSE - Other Index Options'!$B:$B,B$147))</f>
        <v/>
      </c>
      <c r="C275" s="26" t="str">
        <f>IF(SUMIFS('BSE - SENSEX Index Options'!$L:$L,'BSE - SENSEX Index Options'!$C:$C,$A275,'BSE - SENSEX Index Options'!$B:$B,C$147)+SUMIFS('BSE - Other Index Options'!$L:$L,'BSE - Other Index Options'!$C:$C,$A275,'BSE - Other Index Options'!$B:$B,C$147)=0,"",SUMIFS('BSE - SENSEX Index Options'!$L:$L,'BSE - SENSEX Index Options'!$C:$C,$A275,'BSE - SENSEX Index Options'!$B:$B,C$147)+SUMIFS('BSE - Other Index Options'!$L:$L,'BSE - Other Index Options'!$C:$C,$A275,'BSE - Other Index Options'!$B:$B,C$147))</f>
        <v/>
      </c>
      <c r="D275" s="26" t="str">
        <f>IF(SUMIFS('BSE - SENSEX Index Options'!$L:$L,'BSE - SENSEX Index Options'!$C:$C,$A275,'BSE - SENSEX Index Options'!$B:$B,D$147)+SUMIFS('BSE - Other Index Options'!$L:$L,'BSE - Other Index Options'!$C:$C,$A275,'BSE - Other Index Options'!$B:$B,D$147)=0,"",SUMIFS('BSE - SENSEX Index Options'!$L:$L,'BSE - SENSEX Index Options'!$C:$C,$A275,'BSE - SENSEX Index Options'!$B:$B,D$147)+SUMIFS('BSE - Other Index Options'!$L:$L,'BSE - Other Index Options'!$C:$C,$A275,'BSE - Other Index Options'!$B:$B,D$147))</f>
        <v/>
      </c>
      <c r="E275" s="26" t="str">
        <f>IF(SUMIFS('BSE - SENSEX Index Options'!$L:$L,'BSE - SENSEX Index Options'!$C:$C,$A275,'BSE - SENSEX Index Options'!$B:$B,E$147)+SUMIFS('BSE - Other Index Options'!$L:$L,'BSE - Other Index Options'!$C:$C,$A275,'BSE - Other Index Options'!$B:$B,E$147)=0,"",SUMIFS('BSE - SENSEX Index Options'!$L:$L,'BSE - SENSEX Index Options'!$C:$C,$A275,'BSE - SENSEX Index Options'!$B:$B,E$147)+SUMIFS('BSE - Other Index Options'!$L:$L,'BSE - Other Index Options'!$C:$C,$A275,'BSE - Other Index Options'!$B:$B,E$147))</f>
        <v/>
      </c>
      <c r="F275" s="26" t="str">
        <f>IF(SUMIFS('BSE - SENSEX Index Options'!$L:$L,'BSE - SENSEX Index Options'!$C:$C,$A275,'BSE - SENSEX Index Options'!$B:$B,F$147)+SUMIFS('BSE - Other Index Options'!$L:$L,'BSE - Other Index Options'!$C:$C,$A275,'BSE - Other Index Options'!$B:$B,F$147)=0,"",SUMIFS('BSE - SENSEX Index Options'!$L:$L,'BSE - SENSEX Index Options'!$C:$C,$A275,'BSE - SENSEX Index Options'!$B:$B,F$147)+SUMIFS('BSE - Other Index Options'!$L:$L,'BSE - Other Index Options'!$C:$C,$A275,'BSE - Other Index Options'!$B:$B,F$147))</f>
        <v/>
      </c>
      <c r="G275" s="26" t="str">
        <f>IF(SUMIFS('BSE - SENSEX Index Options'!$L:$L,'BSE - SENSEX Index Options'!$C:$C,$A275,'BSE - SENSEX Index Options'!$B:$B,G$147)+SUMIFS('BSE - Other Index Options'!$L:$L,'BSE - Other Index Options'!$C:$C,$A275,'BSE - Other Index Options'!$B:$B,G$147)=0,"",SUMIFS('BSE - SENSEX Index Options'!$L:$L,'BSE - SENSEX Index Options'!$C:$C,$A275,'BSE - SENSEX Index Options'!$B:$B,G$147)+SUMIFS('BSE - Other Index Options'!$L:$L,'BSE - Other Index Options'!$C:$C,$A275,'BSE - Other Index Options'!$B:$B,G$147))</f>
        <v/>
      </c>
      <c r="H275" s="26" t="str">
        <f t="shared" si="9"/>
        <v/>
      </c>
    </row>
    <row r="276" spans="1:8" hidden="1" outlineLevel="1">
      <c r="A276" t="s">
        <v>138</v>
      </c>
      <c r="B276" s="26" t="str">
        <f>IF(SUMIFS('BSE - SENSEX Index Options'!$L:$L,'BSE - SENSEX Index Options'!$C:$C,$A276,'BSE - SENSEX Index Options'!$B:$B,B$147)+SUMIFS('BSE - Other Index Options'!$L:$L,'BSE - Other Index Options'!$C:$C,$A276,'BSE - Other Index Options'!$B:$B,B$147)=0,"",SUMIFS('BSE - SENSEX Index Options'!$L:$L,'BSE - SENSEX Index Options'!$C:$C,$A276,'BSE - SENSEX Index Options'!$B:$B,B$147)+SUMIFS('BSE - Other Index Options'!$L:$L,'BSE - Other Index Options'!$C:$C,$A276,'BSE - Other Index Options'!$B:$B,B$147))</f>
        <v/>
      </c>
      <c r="C276" s="26" t="str">
        <f>IF(SUMIFS('BSE - SENSEX Index Options'!$L:$L,'BSE - SENSEX Index Options'!$C:$C,$A276,'BSE - SENSEX Index Options'!$B:$B,C$147)+SUMIFS('BSE - Other Index Options'!$L:$L,'BSE - Other Index Options'!$C:$C,$A276,'BSE - Other Index Options'!$B:$B,C$147)=0,"",SUMIFS('BSE - SENSEX Index Options'!$L:$L,'BSE - SENSEX Index Options'!$C:$C,$A276,'BSE - SENSEX Index Options'!$B:$B,C$147)+SUMIFS('BSE - Other Index Options'!$L:$L,'BSE - Other Index Options'!$C:$C,$A276,'BSE - Other Index Options'!$B:$B,C$147))</f>
        <v/>
      </c>
      <c r="D276" s="26" t="str">
        <f>IF(SUMIFS('BSE - SENSEX Index Options'!$L:$L,'BSE - SENSEX Index Options'!$C:$C,$A276,'BSE - SENSEX Index Options'!$B:$B,D$147)+SUMIFS('BSE - Other Index Options'!$L:$L,'BSE - Other Index Options'!$C:$C,$A276,'BSE - Other Index Options'!$B:$B,D$147)=0,"",SUMIFS('BSE - SENSEX Index Options'!$L:$L,'BSE - SENSEX Index Options'!$C:$C,$A276,'BSE - SENSEX Index Options'!$B:$B,D$147)+SUMIFS('BSE - Other Index Options'!$L:$L,'BSE - Other Index Options'!$C:$C,$A276,'BSE - Other Index Options'!$B:$B,D$147))</f>
        <v/>
      </c>
      <c r="E276" s="26" t="str">
        <f>IF(SUMIFS('BSE - SENSEX Index Options'!$L:$L,'BSE - SENSEX Index Options'!$C:$C,$A276,'BSE - SENSEX Index Options'!$B:$B,E$147)+SUMIFS('BSE - Other Index Options'!$L:$L,'BSE - Other Index Options'!$C:$C,$A276,'BSE - Other Index Options'!$B:$B,E$147)=0,"",SUMIFS('BSE - SENSEX Index Options'!$L:$L,'BSE - SENSEX Index Options'!$C:$C,$A276,'BSE - SENSEX Index Options'!$B:$B,E$147)+SUMIFS('BSE - Other Index Options'!$L:$L,'BSE - Other Index Options'!$C:$C,$A276,'BSE - Other Index Options'!$B:$B,E$147))</f>
        <v/>
      </c>
      <c r="F276" s="26" t="str">
        <f>IF(SUMIFS('BSE - SENSEX Index Options'!$L:$L,'BSE - SENSEX Index Options'!$C:$C,$A276,'BSE - SENSEX Index Options'!$B:$B,F$147)+SUMIFS('BSE - Other Index Options'!$L:$L,'BSE - Other Index Options'!$C:$C,$A276,'BSE - Other Index Options'!$B:$B,F$147)=0,"",SUMIFS('BSE - SENSEX Index Options'!$L:$L,'BSE - SENSEX Index Options'!$C:$C,$A276,'BSE - SENSEX Index Options'!$B:$B,F$147)+SUMIFS('BSE - Other Index Options'!$L:$L,'BSE - Other Index Options'!$C:$C,$A276,'BSE - Other Index Options'!$B:$B,F$147))</f>
        <v/>
      </c>
      <c r="G276" s="26" t="str">
        <f>IF(SUMIFS('BSE - SENSEX Index Options'!$L:$L,'BSE - SENSEX Index Options'!$C:$C,$A276,'BSE - SENSEX Index Options'!$B:$B,G$147)+SUMIFS('BSE - Other Index Options'!$L:$L,'BSE - Other Index Options'!$C:$C,$A276,'BSE - Other Index Options'!$B:$B,G$147)=0,"",SUMIFS('BSE - SENSEX Index Options'!$L:$L,'BSE - SENSEX Index Options'!$C:$C,$A276,'BSE - SENSEX Index Options'!$B:$B,G$147)+SUMIFS('BSE - Other Index Options'!$L:$L,'BSE - Other Index Options'!$C:$C,$A276,'BSE - Other Index Options'!$B:$B,G$147))</f>
        <v/>
      </c>
      <c r="H276" s="26" t="str">
        <f t="shared" ref="H276:H307" si="10">IF(SUM(B276:G276)=0,"",SUM(B276:G276))</f>
        <v/>
      </c>
    </row>
    <row r="277" spans="1:8" hidden="1" outlineLevel="1">
      <c r="A277" t="s">
        <v>139</v>
      </c>
      <c r="B277" s="26" t="str">
        <f>IF(SUMIFS('BSE - SENSEX Index Options'!$L:$L,'BSE - SENSEX Index Options'!$C:$C,$A277,'BSE - SENSEX Index Options'!$B:$B,B$147)+SUMIFS('BSE - Other Index Options'!$L:$L,'BSE - Other Index Options'!$C:$C,$A277,'BSE - Other Index Options'!$B:$B,B$147)=0,"",SUMIFS('BSE - SENSEX Index Options'!$L:$L,'BSE - SENSEX Index Options'!$C:$C,$A277,'BSE - SENSEX Index Options'!$B:$B,B$147)+SUMIFS('BSE - Other Index Options'!$L:$L,'BSE - Other Index Options'!$C:$C,$A277,'BSE - Other Index Options'!$B:$B,B$147))</f>
        <v/>
      </c>
      <c r="C277" s="26" t="str">
        <f>IF(SUMIFS('BSE - SENSEX Index Options'!$L:$L,'BSE - SENSEX Index Options'!$C:$C,$A277,'BSE - SENSEX Index Options'!$B:$B,C$147)+SUMIFS('BSE - Other Index Options'!$L:$L,'BSE - Other Index Options'!$C:$C,$A277,'BSE - Other Index Options'!$B:$B,C$147)=0,"",SUMIFS('BSE - SENSEX Index Options'!$L:$L,'BSE - SENSEX Index Options'!$C:$C,$A277,'BSE - SENSEX Index Options'!$B:$B,C$147)+SUMIFS('BSE - Other Index Options'!$L:$L,'BSE - Other Index Options'!$C:$C,$A277,'BSE - Other Index Options'!$B:$B,C$147))</f>
        <v/>
      </c>
      <c r="D277" s="26" t="str">
        <f>IF(SUMIFS('BSE - SENSEX Index Options'!$L:$L,'BSE - SENSEX Index Options'!$C:$C,$A277,'BSE - SENSEX Index Options'!$B:$B,D$147)+SUMIFS('BSE - Other Index Options'!$L:$L,'BSE - Other Index Options'!$C:$C,$A277,'BSE - Other Index Options'!$B:$B,D$147)=0,"",SUMIFS('BSE - SENSEX Index Options'!$L:$L,'BSE - SENSEX Index Options'!$C:$C,$A277,'BSE - SENSEX Index Options'!$B:$B,D$147)+SUMIFS('BSE - Other Index Options'!$L:$L,'BSE - Other Index Options'!$C:$C,$A277,'BSE - Other Index Options'!$B:$B,D$147))</f>
        <v/>
      </c>
      <c r="E277" s="26" t="str">
        <f>IF(SUMIFS('BSE - SENSEX Index Options'!$L:$L,'BSE - SENSEX Index Options'!$C:$C,$A277,'BSE - SENSEX Index Options'!$B:$B,E$147)+SUMIFS('BSE - Other Index Options'!$L:$L,'BSE - Other Index Options'!$C:$C,$A277,'BSE - Other Index Options'!$B:$B,E$147)=0,"",SUMIFS('BSE - SENSEX Index Options'!$L:$L,'BSE - SENSEX Index Options'!$C:$C,$A277,'BSE - SENSEX Index Options'!$B:$B,E$147)+SUMIFS('BSE - Other Index Options'!$L:$L,'BSE - Other Index Options'!$C:$C,$A277,'BSE - Other Index Options'!$B:$B,E$147))</f>
        <v/>
      </c>
      <c r="F277" s="26" t="str">
        <f>IF(SUMIFS('BSE - SENSEX Index Options'!$L:$L,'BSE - SENSEX Index Options'!$C:$C,$A277,'BSE - SENSEX Index Options'!$B:$B,F$147)+SUMIFS('BSE - Other Index Options'!$L:$L,'BSE - Other Index Options'!$C:$C,$A277,'BSE - Other Index Options'!$B:$B,F$147)=0,"",SUMIFS('BSE - SENSEX Index Options'!$L:$L,'BSE - SENSEX Index Options'!$C:$C,$A277,'BSE - SENSEX Index Options'!$B:$B,F$147)+SUMIFS('BSE - Other Index Options'!$L:$L,'BSE - Other Index Options'!$C:$C,$A277,'BSE - Other Index Options'!$B:$B,F$147))</f>
        <v/>
      </c>
      <c r="G277" s="26" t="str">
        <f>IF(SUMIFS('BSE - SENSEX Index Options'!$L:$L,'BSE - SENSEX Index Options'!$C:$C,$A277,'BSE - SENSEX Index Options'!$B:$B,G$147)+SUMIFS('BSE - Other Index Options'!$L:$L,'BSE - Other Index Options'!$C:$C,$A277,'BSE - Other Index Options'!$B:$B,G$147)=0,"",SUMIFS('BSE - SENSEX Index Options'!$L:$L,'BSE - SENSEX Index Options'!$C:$C,$A277,'BSE - SENSEX Index Options'!$B:$B,G$147)+SUMIFS('BSE - Other Index Options'!$L:$L,'BSE - Other Index Options'!$C:$C,$A277,'BSE - Other Index Options'!$B:$B,G$147))</f>
        <v/>
      </c>
      <c r="H277" s="26" t="str">
        <f t="shared" si="10"/>
        <v/>
      </c>
    </row>
    <row r="278" spans="1:8" hidden="1" outlineLevel="1">
      <c r="A278" t="s">
        <v>140</v>
      </c>
      <c r="B278" s="26" t="str">
        <f>IF(SUMIFS('BSE - SENSEX Index Options'!$L:$L,'BSE - SENSEX Index Options'!$C:$C,$A278,'BSE - SENSEX Index Options'!$B:$B,B$147)+SUMIFS('BSE - Other Index Options'!$L:$L,'BSE - Other Index Options'!$C:$C,$A278,'BSE - Other Index Options'!$B:$B,B$147)=0,"",SUMIFS('BSE - SENSEX Index Options'!$L:$L,'BSE - SENSEX Index Options'!$C:$C,$A278,'BSE - SENSEX Index Options'!$B:$B,B$147)+SUMIFS('BSE - Other Index Options'!$L:$L,'BSE - Other Index Options'!$C:$C,$A278,'BSE - Other Index Options'!$B:$B,B$147))</f>
        <v/>
      </c>
      <c r="C278" s="26" t="str">
        <f>IF(SUMIFS('BSE - SENSEX Index Options'!$L:$L,'BSE - SENSEX Index Options'!$C:$C,$A278,'BSE - SENSEX Index Options'!$B:$B,C$147)+SUMIFS('BSE - Other Index Options'!$L:$L,'BSE - Other Index Options'!$C:$C,$A278,'BSE - Other Index Options'!$B:$B,C$147)=0,"",SUMIFS('BSE - SENSEX Index Options'!$L:$L,'BSE - SENSEX Index Options'!$C:$C,$A278,'BSE - SENSEX Index Options'!$B:$B,C$147)+SUMIFS('BSE - Other Index Options'!$L:$L,'BSE - Other Index Options'!$C:$C,$A278,'BSE - Other Index Options'!$B:$B,C$147))</f>
        <v/>
      </c>
      <c r="D278" s="26" t="str">
        <f>IF(SUMIFS('BSE - SENSEX Index Options'!$L:$L,'BSE - SENSEX Index Options'!$C:$C,$A278,'BSE - SENSEX Index Options'!$B:$B,D$147)+SUMIFS('BSE - Other Index Options'!$L:$L,'BSE - Other Index Options'!$C:$C,$A278,'BSE - Other Index Options'!$B:$B,D$147)=0,"",SUMIFS('BSE - SENSEX Index Options'!$L:$L,'BSE - SENSEX Index Options'!$C:$C,$A278,'BSE - SENSEX Index Options'!$B:$B,D$147)+SUMIFS('BSE - Other Index Options'!$L:$L,'BSE - Other Index Options'!$C:$C,$A278,'BSE - Other Index Options'!$B:$B,D$147))</f>
        <v/>
      </c>
      <c r="E278" s="26" t="str">
        <f>IF(SUMIFS('BSE - SENSEX Index Options'!$L:$L,'BSE - SENSEX Index Options'!$C:$C,$A278,'BSE - SENSEX Index Options'!$B:$B,E$147)+SUMIFS('BSE - Other Index Options'!$L:$L,'BSE - Other Index Options'!$C:$C,$A278,'BSE - Other Index Options'!$B:$B,E$147)=0,"",SUMIFS('BSE - SENSEX Index Options'!$L:$L,'BSE - SENSEX Index Options'!$C:$C,$A278,'BSE - SENSEX Index Options'!$B:$B,E$147)+SUMIFS('BSE - Other Index Options'!$L:$L,'BSE - Other Index Options'!$C:$C,$A278,'BSE - Other Index Options'!$B:$B,E$147))</f>
        <v/>
      </c>
      <c r="F278" s="26" t="str">
        <f>IF(SUMIFS('BSE - SENSEX Index Options'!$L:$L,'BSE - SENSEX Index Options'!$C:$C,$A278,'BSE - SENSEX Index Options'!$B:$B,F$147)+SUMIFS('BSE - Other Index Options'!$L:$L,'BSE - Other Index Options'!$C:$C,$A278,'BSE - Other Index Options'!$B:$B,F$147)=0,"",SUMIFS('BSE - SENSEX Index Options'!$L:$L,'BSE - SENSEX Index Options'!$C:$C,$A278,'BSE - SENSEX Index Options'!$B:$B,F$147)+SUMIFS('BSE - Other Index Options'!$L:$L,'BSE - Other Index Options'!$C:$C,$A278,'BSE - Other Index Options'!$B:$B,F$147))</f>
        <v/>
      </c>
      <c r="G278" s="26" t="str">
        <f>IF(SUMIFS('BSE - SENSEX Index Options'!$L:$L,'BSE - SENSEX Index Options'!$C:$C,$A278,'BSE - SENSEX Index Options'!$B:$B,G$147)+SUMIFS('BSE - Other Index Options'!$L:$L,'BSE - Other Index Options'!$C:$C,$A278,'BSE - Other Index Options'!$B:$B,G$147)=0,"",SUMIFS('BSE - SENSEX Index Options'!$L:$L,'BSE - SENSEX Index Options'!$C:$C,$A278,'BSE - SENSEX Index Options'!$B:$B,G$147)+SUMIFS('BSE - Other Index Options'!$L:$L,'BSE - Other Index Options'!$C:$C,$A278,'BSE - Other Index Options'!$B:$B,G$147))</f>
        <v/>
      </c>
      <c r="H278" s="26" t="str">
        <f t="shared" si="10"/>
        <v/>
      </c>
    </row>
    <row r="279" spans="1:8" hidden="1" outlineLevel="1">
      <c r="A279" t="s">
        <v>141</v>
      </c>
      <c r="B279" s="26" t="str">
        <f>IF(SUMIFS('BSE - SENSEX Index Options'!$L:$L,'BSE - SENSEX Index Options'!$C:$C,$A279,'BSE - SENSEX Index Options'!$B:$B,B$147)+SUMIFS('BSE - Other Index Options'!$L:$L,'BSE - Other Index Options'!$C:$C,$A279,'BSE - Other Index Options'!$B:$B,B$147)=0,"",SUMIFS('BSE - SENSEX Index Options'!$L:$L,'BSE - SENSEX Index Options'!$C:$C,$A279,'BSE - SENSEX Index Options'!$B:$B,B$147)+SUMIFS('BSE - Other Index Options'!$L:$L,'BSE - Other Index Options'!$C:$C,$A279,'BSE - Other Index Options'!$B:$B,B$147))</f>
        <v/>
      </c>
      <c r="C279" s="26" t="str">
        <f>IF(SUMIFS('BSE - SENSEX Index Options'!$L:$L,'BSE - SENSEX Index Options'!$C:$C,$A279,'BSE - SENSEX Index Options'!$B:$B,C$147)+SUMIFS('BSE - Other Index Options'!$L:$L,'BSE - Other Index Options'!$C:$C,$A279,'BSE - Other Index Options'!$B:$B,C$147)=0,"",SUMIFS('BSE - SENSEX Index Options'!$L:$L,'BSE - SENSEX Index Options'!$C:$C,$A279,'BSE - SENSEX Index Options'!$B:$B,C$147)+SUMIFS('BSE - Other Index Options'!$L:$L,'BSE - Other Index Options'!$C:$C,$A279,'BSE - Other Index Options'!$B:$B,C$147))</f>
        <v/>
      </c>
      <c r="D279" s="26" t="str">
        <f>IF(SUMIFS('BSE - SENSEX Index Options'!$L:$L,'BSE - SENSEX Index Options'!$C:$C,$A279,'BSE - SENSEX Index Options'!$B:$B,D$147)+SUMIFS('BSE - Other Index Options'!$L:$L,'BSE - Other Index Options'!$C:$C,$A279,'BSE - Other Index Options'!$B:$B,D$147)=0,"",SUMIFS('BSE - SENSEX Index Options'!$L:$L,'BSE - SENSEX Index Options'!$C:$C,$A279,'BSE - SENSEX Index Options'!$B:$B,D$147)+SUMIFS('BSE - Other Index Options'!$L:$L,'BSE - Other Index Options'!$C:$C,$A279,'BSE - Other Index Options'!$B:$B,D$147))</f>
        <v/>
      </c>
      <c r="E279" s="26" t="str">
        <f>IF(SUMIFS('BSE - SENSEX Index Options'!$L:$L,'BSE - SENSEX Index Options'!$C:$C,$A279,'BSE - SENSEX Index Options'!$B:$B,E$147)+SUMIFS('BSE - Other Index Options'!$L:$L,'BSE - Other Index Options'!$C:$C,$A279,'BSE - Other Index Options'!$B:$B,E$147)=0,"",SUMIFS('BSE - SENSEX Index Options'!$L:$L,'BSE - SENSEX Index Options'!$C:$C,$A279,'BSE - SENSEX Index Options'!$B:$B,E$147)+SUMIFS('BSE - Other Index Options'!$L:$L,'BSE - Other Index Options'!$C:$C,$A279,'BSE - Other Index Options'!$B:$B,E$147))</f>
        <v/>
      </c>
      <c r="F279" s="26" t="str">
        <f>IF(SUMIFS('BSE - SENSEX Index Options'!$L:$L,'BSE - SENSEX Index Options'!$C:$C,$A279,'BSE - SENSEX Index Options'!$B:$B,F$147)+SUMIFS('BSE - Other Index Options'!$L:$L,'BSE - Other Index Options'!$C:$C,$A279,'BSE - Other Index Options'!$B:$B,F$147)=0,"",SUMIFS('BSE - SENSEX Index Options'!$L:$L,'BSE - SENSEX Index Options'!$C:$C,$A279,'BSE - SENSEX Index Options'!$B:$B,F$147)+SUMIFS('BSE - Other Index Options'!$L:$L,'BSE - Other Index Options'!$C:$C,$A279,'BSE - Other Index Options'!$B:$B,F$147))</f>
        <v/>
      </c>
      <c r="G279" s="26" t="str">
        <f>IF(SUMIFS('BSE - SENSEX Index Options'!$L:$L,'BSE - SENSEX Index Options'!$C:$C,$A279,'BSE - SENSEX Index Options'!$B:$B,G$147)+SUMIFS('BSE - Other Index Options'!$L:$L,'BSE - Other Index Options'!$C:$C,$A279,'BSE - Other Index Options'!$B:$B,G$147)=0,"",SUMIFS('BSE - SENSEX Index Options'!$L:$L,'BSE - SENSEX Index Options'!$C:$C,$A279,'BSE - SENSEX Index Options'!$B:$B,G$147)+SUMIFS('BSE - Other Index Options'!$L:$L,'BSE - Other Index Options'!$C:$C,$A279,'BSE - Other Index Options'!$B:$B,G$147))</f>
        <v/>
      </c>
      <c r="H279" s="26" t="str">
        <f t="shared" si="10"/>
        <v/>
      </c>
    </row>
    <row r="280" spans="1:8" hidden="1" outlineLevel="1">
      <c r="A280" t="s">
        <v>142</v>
      </c>
      <c r="B280" s="26" t="str">
        <f>IF(SUMIFS('BSE - SENSEX Index Options'!$L:$L,'BSE - SENSEX Index Options'!$C:$C,$A280,'BSE - SENSEX Index Options'!$B:$B,B$147)+SUMIFS('BSE - Other Index Options'!$L:$L,'BSE - Other Index Options'!$C:$C,$A280,'BSE - Other Index Options'!$B:$B,B$147)=0,"",SUMIFS('BSE - SENSEX Index Options'!$L:$L,'BSE - SENSEX Index Options'!$C:$C,$A280,'BSE - SENSEX Index Options'!$B:$B,B$147)+SUMIFS('BSE - Other Index Options'!$L:$L,'BSE - Other Index Options'!$C:$C,$A280,'BSE - Other Index Options'!$B:$B,B$147))</f>
        <v/>
      </c>
      <c r="C280" s="26" t="str">
        <f>IF(SUMIFS('BSE - SENSEX Index Options'!$L:$L,'BSE - SENSEX Index Options'!$C:$C,$A280,'BSE - SENSEX Index Options'!$B:$B,C$147)+SUMIFS('BSE - Other Index Options'!$L:$L,'BSE - Other Index Options'!$C:$C,$A280,'BSE - Other Index Options'!$B:$B,C$147)=0,"",SUMIFS('BSE - SENSEX Index Options'!$L:$L,'BSE - SENSEX Index Options'!$C:$C,$A280,'BSE - SENSEX Index Options'!$B:$B,C$147)+SUMIFS('BSE - Other Index Options'!$L:$L,'BSE - Other Index Options'!$C:$C,$A280,'BSE - Other Index Options'!$B:$B,C$147))</f>
        <v/>
      </c>
      <c r="D280" s="26" t="str">
        <f>IF(SUMIFS('BSE - SENSEX Index Options'!$L:$L,'BSE - SENSEX Index Options'!$C:$C,$A280,'BSE - SENSEX Index Options'!$B:$B,D$147)+SUMIFS('BSE - Other Index Options'!$L:$L,'BSE - Other Index Options'!$C:$C,$A280,'BSE - Other Index Options'!$B:$B,D$147)=0,"",SUMIFS('BSE - SENSEX Index Options'!$L:$L,'BSE - SENSEX Index Options'!$C:$C,$A280,'BSE - SENSEX Index Options'!$B:$B,D$147)+SUMIFS('BSE - Other Index Options'!$L:$L,'BSE - Other Index Options'!$C:$C,$A280,'BSE - Other Index Options'!$B:$B,D$147))</f>
        <v/>
      </c>
      <c r="E280" s="26" t="str">
        <f>IF(SUMIFS('BSE - SENSEX Index Options'!$L:$L,'BSE - SENSEX Index Options'!$C:$C,$A280,'BSE - SENSEX Index Options'!$B:$B,E$147)+SUMIFS('BSE - Other Index Options'!$L:$L,'BSE - Other Index Options'!$C:$C,$A280,'BSE - Other Index Options'!$B:$B,E$147)=0,"",SUMIFS('BSE - SENSEX Index Options'!$L:$L,'BSE - SENSEX Index Options'!$C:$C,$A280,'BSE - SENSEX Index Options'!$B:$B,E$147)+SUMIFS('BSE - Other Index Options'!$L:$L,'BSE - Other Index Options'!$C:$C,$A280,'BSE - Other Index Options'!$B:$B,E$147))</f>
        <v/>
      </c>
      <c r="F280" s="26" t="str">
        <f>IF(SUMIFS('BSE - SENSEX Index Options'!$L:$L,'BSE - SENSEX Index Options'!$C:$C,$A280,'BSE - SENSEX Index Options'!$B:$B,F$147)+SUMIFS('BSE - Other Index Options'!$L:$L,'BSE - Other Index Options'!$C:$C,$A280,'BSE - Other Index Options'!$B:$B,F$147)=0,"",SUMIFS('BSE - SENSEX Index Options'!$L:$L,'BSE - SENSEX Index Options'!$C:$C,$A280,'BSE - SENSEX Index Options'!$B:$B,F$147)+SUMIFS('BSE - Other Index Options'!$L:$L,'BSE - Other Index Options'!$C:$C,$A280,'BSE - Other Index Options'!$B:$B,F$147))</f>
        <v/>
      </c>
      <c r="G280" s="26" t="str">
        <f>IF(SUMIFS('BSE - SENSEX Index Options'!$L:$L,'BSE - SENSEX Index Options'!$C:$C,$A280,'BSE - SENSEX Index Options'!$B:$B,G$147)+SUMIFS('BSE - Other Index Options'!$L:$L,'BSE - Other Index Options'!$C:$C,$A280,'BSE - Other Index Options'!$B:$B,G$147)=0,"",SUMIFS('BSE - SENSEX Index Options'!$L:$L,'BSE - SENSEX Index Options'!$C:$C,$A280,'BSE - SENSEX Index Options'!$B:$B,G$147)+SUMIFS('BSE - Other Index Options'!$L:$L,'BSE - Other Index Options'!$C:$C,$A280,'BSE - Other Index Options'!$B:$B,G$147))</f>
        <v/>
      </c>
      <c r="H280" s="26" t="str">
        <f t="shared" si="10"/>
        <v/>
      </c>
    </row>
    <row r="281" spans="1:8" hidden="1" outlineLevel="1">
      <c r="A281" t="s">
        <v>143</v>
      </c>
      <c r="B281" s="26" t="str">
        <f>IF(SUMIFS('BSE - SENSEX Index Options'!$L:$L,'BSE - SENSEX Index Options'!$C:$C,$A281,'BSE - SENSEX Index Options'!$B:$B,B$147)+SUMIFS('BSE - Other Index Options'!$L:$L,'BSE - Other Index Options'!$C:$C,$A281,'BSE - Other Index Options'!$B:$B,B$147)=0,"",SUMIFS('BSE - SENSEX Index Options'!$L:$L,'BSE - SENSEX Index Options'!$C:$C,$A281,'BSE - SENSEX Index Options'!$B:$B,B$147)+SUMIFS('BSE - Other Index Options'!$L:$L,'BSE - Other Index Options'!$C:$C,$A281,'BSE - Other Index Options'!$B:$B,B$147))</f>
        <v/>
      </c>
      <c r="C281" s="26" t="str">
        <f>IF(SUMIFS('BSE - SENSEX Index Options'!$L:$L,'BSE - SENSEX Index Options'!$C:$C,$A281,'BSE - SENSEX Index Options'!$B:$B,C$147)+SUMIFS('BSE - Other Index Options'!$L:$L,'BSE - Other Index Options'!$C:$C,$A281,'BSE - Other Index Options'!$B:$B,C$147)=0,"",SUMIFS('BSE - SENSEX Index Options'!$L:$L,'BSE - SENSEX Index Options'!$C:$C,$A281,'BSE - SENSEX Index Options'!$B:$B,C$147)+SUMIFS('BSE - Other Index Options'!$L:$L,'BSE - Other Index Options'!$C:$C,$A281,'BSE - Other Index Options'!$B:$B,C$147))</f>
        <v/>
      </c>
      <c r="D281" s="26" t="str">
        <f>IF(SUMIFS('BSE - SENSEX Index Options'!$L:$L,'BSE - SENSEX Index Options'!$C:$C,$A281,'BSE - SENSEX Index Options'!$B:$B,D$147)+SUMIFS('BSE - Other Index Options'!$L:$L,'BSE - Other Index Options'!$C:$C,$A281,'BSE - Other Index Options'!$B:$B,D$147)=0,"",SUMIFS('BSE - SENSEX Index Options'!$L:$L,'BSE - SENSEX Index Options'!$C:$C,$A281,'BSE - SENSEX Index Options'!$B:$B,D$147)+SUMIFS('BSE - Other Index Options'!$L:$L,'BSE - Other Index Options'!$C:$C,$A281,'BSE - Other Index Options'!$B:$B,D$147))</f>
        <v/>
      </c>
      <c r="E281" s="26" t="str">
        <f>IF(SUMIFS('BSE - SENSEX Index Options'!$L:$L,'BSE - SENSEX Index Options'!$C:$C,$A281,'BSE - SENSEX Index Options'!$B:$B,E$147)+SUMIFS('BSE - Other Index Options'!$L:$L,'BSE - Other Index Options'!$C:$C,$A281,'BSE - Other Index Options'!$B:$B,E$147)=0,"",SUMIFS('BSE - SENSEX Index Options'!$L:$L,'BSE - SENSEX Index Options'!$C:$C,$A281,'BSE - SENSEX Index Options'!$B:$B,E$147)+SUMIFS('BSE - Other Index Options'!$L:$L,'BSE - Other Index Options'!$C:$C,$A281,'BSE - Other Index Options'!$B:$B,E$147))</f>
        <v/>
      </c>
      <c r="F281" s="26" t="str">
        <f>IF(SUMIFS('BSE - SENSEX Index Options'!$L:$L,'BSE - SENSEX Index Options'!$C:$C,$A281,'BSE - SENSEX Index Options'!$B:$B,F$147)+SUMIFS('BSE - Other Index Options'!$L:$L,'BSE - Other Index Options'!$C:$C,$A281,'BSE - Other Index Options'!$B:$B,F$147)=0,"",SUMIFS('BSE - SENSEX Index Options'!$L:$L,'BSE - SENSEX Index Options'!$C:$C,$A281,'BSE - SENSEX Index Options'!$B:$B,F$147)+SUMIFS('BSE - Other Index Options'!$L:$L,'BSE - Other Index Options'!$C:$C,$A281,'BSE - Other Index Options'!$B:$B,F$147))</f>
        <v/>
      </c>
      <c r="G281" s="26" t="str">
        <f>IF(SUMIFS('BSE - SENSEX Index Options'!$L:$L,'BSE - SENSEX Index Options'!$C:$C,$A281,'BSE - SENSEX Index Options'!$B:$B,G$147)+SUMIFS('BSE - Other Index Options'!$L:$L,'BSE - Other Index Options'!$C:$C,$A281,'BSE - Other Index Options'!$B:$B,G$147)=0,"",SUMIFS('BSE - SENSEX Index Options'!$L:$L,'BSE - SENSEX Index Options'!$C:$C,$A281,'BSE - SENSEX Index Options'!$B:$B,G$147)+SUMIFS('BSE - Other Index Options'!$L:$L,'BSE - Other Index Options'!$C:$C,$A281,'BSE - Other Index Options'!$B:$B,G$147))</f>
        <v/>
      </c>
      <c r="H281" s="26" t="str">
        <f t="shared" si="10"/>
        <v/>
      </c>
    </row>
    <row r="282" spans="1:8" hidden="1" outlineLevel="1">
      <c r="A282" t="s">
        <v>144</v>
      </c>
      <c r="B282" s="26" t="str">
        <f>IF(SUMIFS('BSE - SENSEX Index Options'!$L:$L,'BSE - SENSEX Index Options'!$C:$C,$A282,'BSE - SENSEX Index Options'!$B:$B,B$147)+SUMIFS('BSE - Other Index Options'!$L:$L,'BSE - Other Index Options'!$C:$C,$A282,'BSE - Other Index Options'!$B:$B,B$147)=0,"",SUMIFS('BSE - SENSEX Index Options'!$L:$L,'BSE - SENSEX Index Options'!$C:$C,$A282,'BSE - SENSEX Index Options'!$B:$B,B$147)+SUMIFS('BSE - Other Index Options'!$L:$L,'BSE - Other Index Options'!$C:$C,$A282,'BSE - Other Index Options'!$B:$B,B$147))</f>
        <v/>
      </c>
      <c r="C282" s="26" t="str">
        <f>IF(SUMIFS('BSE - SENSEX Index Options'!$L:$L,'BSE - SENSEX Index Options'!$C:$C,$A282,'BSE - SENSEX Index Options'!$B:$B,C$147)+SUMIFS('BSE - Other Index Options'!$L:$L,'BSE - Other Index Options'!$C:$C,$A282,'BSE - Other Index Options'!$B:$B,C$147)=0,"",SUMIFS('BSE - SENSEX Index Options'!$L:$L,'BSE - SENSEX Index Options'!$C:$C,$A282,'BSE - SENSEX Index Options'!$B:$B,C$147)+SUMIFS('BSE - Other Index Options'!$L:$L,'BSE - Other Index Options'!$C:$C,$A282,'BSE - Other Index Options'!$B:$B,C$147))</f>
        <v/>
      </c>
      <c r="D282" s="26" t="str">
        <f>IF(SUMIFS('BSE - SENSEX Index Options'!$L:$L,'BSE - SENSEX Index Options'!$C:$C,$A282,'BSE - SENSEX Index Options'!$B:$B,D$147)+SUMIFS('BSE - Other Index Options'!$L:$L,'BSE - Other Index Options'!$C:$C,$A282,'BSE - Other Index Options'!$B:$B,D$147)=0,"",SUMIFS('BSE - SENSEX Index Options'!$L:$L,'BSE - SENSEX Index Options'!$C:$C,$A282,'BSE - SENSEX Index Options'!$B:$B,D$147)+SUMIFS('BSE - Other Index Options'!$L:$L,'BSE - Other Index Options'!$C:$C,$A282,'BSE - Other Index Options'!$B:$B,D$147))</f>
        <v/>
      </c>
      <c r="E282" s="26" t="str">
        <f>IF(SUMIFS('BSE - SENSEX Index Options'!$L:$L,'BSE - SENSEX Index Options'!$C:$C,$A282,'BSE - SENSEX Index Options'!$B:$B,E$147)+SUMIFS('BSE - Other Index Options'!$L:$L,'BSE - Other Index Options'!$C:$C,$A282,'BSE - Other Index Options'!$B:$B,E$147)=0,"",SUMIFS('BSE - SENSEX Index Options'!$L:$L,'BSE - SENSEX Index Options'!$C:$C,$A282,'BSE - SENSEX Index Options'!$B:$B,E$147)+SUMIFS('BSE - Other Index Options'!$L:$L,'BSE - Other Index Options'!$C:$C,$A282,'BSE - Other Index Options'!$B:$B,E$147))</f>
        <v/>
      </c>
      <c r="F282" s="26" t="str">
        <f>IF(SUMIFS('BSE - SENSEX Index Options'!$L:$L,'BSE - SENSEX Index Options'!$C:$C,$A282,'BSE - SENSEX Index Options'!$B:$B,F$147)+SUMIFS('BSE - Other Index Options'!$L:$L,'BSE - Other Index Options'!$C:$C,$A282,'BSE - Other Index Options'!$B:$B,F$147)=0,"",SUMIFS('BSE - SENSEX Index Options'!$L:$L,'BSE - SENSEX Index Options'!$C:$C,$A282,'BSE - SENSEX Index Options'!$B:$B,F$147)+SUMIFS('BSE - Other Index Options'!$L:$L,'BSE - Other Index Options'!$C:$C,$A282,'BSE - Other Index Options'!$B:$B,F$147))</f>
        <v/>
      </c>
      <c r="G282" s="26" t="str">
        <f>IF(SUMIFS('BSE - SENSEX Index Options'!$L:$L,'BSE - SENSEX Index Options'!$C:$C,$A282,'BSE - SENSEX Index Options'!$B:$B,G$147)+SUMIFS('BSE - Other Index Options'!$L:$L,'BSE - Other Index Options'!$C:$C,$A282,'BSE - Other Index Options'!$B:$B,G$147)=0,"",SUMIFS('BSE - SENSEX Index Options'!$L:$L,'BSE - SENSEX Index Options'!$C:$C,$A282,'BSE - SENSEX Index Options'!$B:$B,G$147)+SUMIFS('BSE - Other Index Options'!$L:$L,'BSE - Other Index Options'!$C:$C,$A282,'BSE - Other Index Options'!$B:$B,G$147))</f>
        <v/>
      </c>
      <c r="H282" s="26" t="str">
        <f t="shared" si="10"/>
        <v/>
      </c>
    </row>
    <row r="283" spans="1:8" hidden="1" outlineLevel="1">
      <c r="A283" t="s">
        <v>145</v>
      </c>
      <c r="B283" s="26" t="str">
        <f>IF(SUMIFS('BSE - SENSEX Index Options'!$L:$L,'BSE - SENSEX Index Options'!$C:$C,$A283,'BSE - SENSEX Index Options'!$B:$B,B$147)+SUMIFS('BSE - Other Index Options'!$L:$L,'BSE - Other Index Options'!$C:$C,$A283,'BSE - Other Index Options'!$B:$B,B$147)=0,"",SUMIFS('BSE - SENSEX Index Options'!$L:$L,'BSE - SENSEX Index Options'!$C:$C,$A283,'BSE - SENSEX Index Options'!$B:$B,B$147)+SUMIFS('BSE - Other Index Options'!$L:$L,'BSE - Other Index Options'!$C:$C,$A283,'BSE - Other Index Options'!$B:$B,B$147))</f>
        <v/>
      </c>
      <c r="C283" s="26" t="str">
        <f>IF(SUMIFS('BSE - SENSEX Index Options'!$L:$L,'BSE - SENSEX Index Options'!$C:$C,$A283,'BSE - SENSEX Index Options'!$B:$B,C$147)+SUMIFS('BSE - Other Index Options'!$L:$L,'BSE - Other Index Options'!$C:$C,$A283,'BSE - Other Index Options'!$B:$B,C$147)=0,"",SUMIFS('BSE - SENSEX Index Options'!$L:$L,'BSE - SENSEX Index Options'!$C:$C,$A283,'BSE - SENSEX Index Options'!$B:$B,C$147)+SUMIFS('BSE - Other Index Options'!$L:$L,'BSE - Other Index Options'!$C:$C,$A283,'BSE - Other Index Options'!$B:$B,C$147))</f>
        <v/>
      </c>
      <c r="D283" s="26" t="str">
        <f>IF(SUMIFS('BSE - SENSEX Index Options'!$L:$L,'BSE - SENSEX Index Options'!$C:$C,$A283,'BSE - SENSEX Index Options'!$B:$B,D$147)+SUMIFS('BSE - Other Index Options'!$L:$L,'BSE - Other Index Options'!$C:$C,$A283,'BSE - Other Index Options'!$B:$B,D$147)=0,"",SUMIFS('BSE - SENSEX Index Options'!$L:$L,'BSE - SENSEX Index Options'!$C:$C,$A283,'BSE - SENSEX Index Options'!$B:$B,D$147)+SUMIFS('BSE - Other Index Options'!$L:$L,'BSE - Other Index Options'!$C:$C,$A283,'BSE - Other Index Options'!$B:$B,D$147))</f>
        <v/>
      </c>
      <c r="E283" s="26" t="str">
        <f>IF(SUMIFS('BSE - SENSEX Index Options'!$L:$L,'BSE - SENSEX Index Options'!$C:$C,$A283,'BSE - SENSEX Index Options'!$B:$B,E$147)+SUMIFS('BSE - Other Index Options'!$L:$L,'BSE - Other Index Options'!$C:$C,$A283,'BSE - Other Index Options'!$B:$B,E$147)=0,"",SUMIFS('BSE - SENSEX Index Options'!$L:$L,'BSE - SENSEX Index Options'!$C:$C,$A283,'BSE - SENSEX Index Options'!$B:$B,E$147)+SUMIFS('BSE - Other Index Options'!$L:$L,'BSE - Other Index Options'!$C:$C,$A283,'BSE - Other Index Options'!$B:$B,E$147))</f>
        <v/>
      </c>
      <c r="F283" s="26" t="str">
        <f>IF(SUMIFS('BSE - SENSEX Index Options'!$L:$L,'BSE - SENSEX Index Options'!$C:$C,$A283,'BSE - SENSEX Index Options'!$B:$B,F$147)+SUMIFS('BSE - Other Index Options'!$L:$L,'BSE - Other Index Options'!$C:$C,$A283,'BSE - Other Index Options'!$B:$B,F$147)=0,"",SUMIFS('BSE - SENSEX Index Options'!$L:$L,'BSE - SENSEX Index Options'!$C:$C,$A283,'BSE - SENSEX Index Options'!$B:$B,F$147)+SUMIFS('BSE - Other Index Options'!$L:$L,'BSE - Other Index Options'!$C:$C,$A283,'BSE - Other Index Options'!$B:$B,F$147))</f>
        <v/>
      </c>
      <c r="G283" s="26" t="str">
        <f>IF(SUMIFS('BSE - SENSEX Index Options'!$L:$L,'BSE - SENSEX Index Options'!$C:$C,$A283,'BSE - SENSEX Index Options'!$B:$B,G$147)+SUMIFS('BSE - Other Index Options'!$L:$L,'BSE - Other Index Options'!$C:$C,$A283,'BSE - Other Index Options'!$B:$B,G$147)=0,"",SUMIFS('BSE - SENSEX Index Options'!$L:$L,'BSE - SENSEX Index Options'!$C:$C,$A283,'BSE - SENSEX Index Options'!$B:$B,G$147)+SUMIFS('BSE - Other Index Options'!$L:$L,'BSE - Other Index Options'!$C:$C,$A283,'BSE - Other Index Options'!$B:$B,G$147))</f>
        <v/>
      </c>
      <c r="H283" s="26" t="str">
        <f t="shared" si="10"/>
        <v/>
      </c>
    </row>
    <row r="284" spans="1:8" hidden="1" outlineLevel="1">
      <c r="A284" t="s">
        <v>146</v>
      </c>
      <c r="B284" s="26" t="str">
        <f>IF(SUMIFS('BSE - SENSEX Index Options'!$L:$L,'BSE - SENSEX Index Options'!$C:$C,$A284,'BSE - SENSEX Index Options'!$B:$B,B$147)+SUMIFS('BSE - Other Index Options'!$L:$L,'BSE - Other Index Options'!$C:$C,$A284,'BSE - Other Index Options'!$B:$B,B$147)=0,"",SUMIFS('BSE - SENSEX Index Options'!$L:$L,'BSE - SENSEX Index Options'!$C:$C,$A284,'BSE - SENSEX Index Options'!$B:$B,B$147)+SUMIFS('BSE - Other Index Options'!$L:$L,'BSE - Other Index Options'!$C:$C,$A284,'BSE - Other Index Options'!$B:$B,B$147))</f>
        <v/>
      </c>
      <c r="C284" s="26" t="str">
        <f>IF(SUMIFS('BSE - SENSEX Index Options'!$L:$L,'BSE - SENSEX Index Options'!$C:$C,$A284,'BSE - SENSEX Index Options'!$B:$B,C$147)+SUMIFS('BSE - Other Index Options'!$L:$L,'BSE - Other Index Options'!$C:$C,$A284,'BSE - Other Index Options'!$B:$B,C$147)=0,"",SUMIFS('BSE - SENSEX Index Options'!$L:$L,'BSE - SENSEX Index Options'!$C:$C,$A284,'BSE - SENSEX Index Options'!$B:$B,C$147)+SUMIFS('BSE - Other Index Options'!$L:$L,'BSE - Other Index Options'!$C:$C,$A284,'BSE - Other Index Options'!$B:$B,C$147))</f>
        <v/>
      </c>
      <c r="D284" s="26" t="str">
        <f>IF(SUMIFS('BSE - SENSEX Index Options'!$L:$L,'BSE - SENSEX Index Options'!$C:$C,$A284,'BSE - SENSEX Index Options'!$B:$B,D$147)+SUMIFS('BSE - Other Index Options'!$L:$L,'BSE - Other Index Options'!$C:$C,$A284,'BSE - Other Index Options'!$B:$B,D$147)=0,"",SUMIFS('BSE - SENSEX Index Options'!$L:$L,'BSE - SENSEX Index Options'!$C:$C,$A284,'BSE - SENSEX Index Options'!$B:$B,D$147)+SUMIFS('BSE - Other Index Options'!$L:$L,'BSE - Other Index Options'!$C:$C,$A284,'BSE - Other Index Options'!$B:$B,D$147))</f>
        <v/>
      </c>
      <c r="E284" s="26" t="str">
        <f>IF(SUMIFS('BSE - SENSEX Index Options'!$L:$L,'BSE - SENSEX Index Options'!$C:$C,$A284,'BSE - SENSEX Index Options'!$B:$B,E$147)+SUMIFS('BSE - Other Index Options'!$L:$L,'BSE - Other Index Options'!$C:$C,$A284,'BSE - Other Index Options'!$B:$B,E$147)=0,"",SUMIFS('BSE - SENSEX Index Options'!$L:$L,'BSE - SENSEX Index Options'!$C:$C,$A284,'BSE - SENSEX Index Options'!$B:$B,E$147)+SUMIFS('BSE - Other Index Options'!$L:$L,'BSE - Other Index Options'!$C:$C,$A284,'BSE - Other Index Options'!$B:$B,E$147))</f>
        <v/>
      </c>
      <c r="F284" s="26" t="str">
        <f>IF(SUMIFS('BSE - SENSEX Index Options'!$L:$L,'BSE - SENSEX Index Options'!$C:$C,$A284,'BSE - SENSEX Index Options'!$B:$B,F$147)+SUMIFS('BSE - Other Index Options'!$L:$L,'BSE - Other Index Options'!$C:$C,$A284,'BSE - Other Index Options'!$B:$B,F$147)=0,"",SUMIFS('BSE - SENSEX Index Options'!$L:$L,'BSE - SENSEX Index Options'!$C:$C,$A284,'BSE - SENSEX Index Options'!$B:$B,F$147)+SUMIFS('BSE - Other Index Options'!$L:$L,'BSE - Other Index Options'!$C:$C,$A284,'BSE - Other Index Options'!$B:$B,F$147))</f>
        <v/>
      </c>
      <c r="G284" s="26" t="str">
        <f>IF(SUMIFS('BSE - SENSEX Index Options'!$L:$L,'BSE - SENSEX Index Options'!$C:$C,$A284,'BSE - SENSEX Index Options'!$B:$B,G$147)+SUMIFS('BSE - Other Index Options'!$L:$L,'BSE - Other Index Options'!$C:$C,$A284,'BSE - Other Index Options'!$B:$B,G$147)=0,"",SUMIFS('BSE - SENSEX Index Options'!$L:$L,'BSE - SENSEX Index Options'!$C:$C,$A284,'BSE - SENSEX Index Options'!$B:$B,G$147)+SUMIFS('BSE - Other Index Options'!$L:$L,'BSE - Other Index Options'!$C:$C,$A284,'BSE - Other Index Options'!$B:$B,G$147))</f>
        <v/>
      </c>
      <c r="H284" s="26" t="str">
        <f t="shared" si="10"/>
        <v/>
      </c>
    </row>
    <row r="285" spans="1:8" hidden="1" outlineLevel="1">
      <c r="A285" t="s">
        <v>147</v>
      </c>
      <c r="B285" s="26" t="str">
        <f>IF(SUMIFS('BSE - SENSEX Index Options'!$L:$L,'BSE - SENSEX Index Options'!$C:$C,$A285,'BSE - SENSEX Index Options'!$B:$B,B$147)+SUMIFS('BSE - Other Index Options'!$L:$L,'BSE - Other Index Options'!$C:$C,$A285,'BSE - Other Index Options'!$B:$B,B$147)=0,"",SUMIFS('BSE - SENSEX Index Options'!$L:$L,'BSE - SENSEX Index Options'!$C:$C,$A285,'BSE - SENSEX Index Options'!$B:$B,B$147)+SUMIFS('BSE - Other Index Options'!$L:$L,'BSE - Other Index Options'!$C:$C,$A285,'BSE - Other Index Options'!$B:$B,B$147))</f>
        <v/>
      </c>
      <c r="C285" s="26" t="str">
        <f>IF(SUMIFS('BSE - SENSEX Index Options'!$L:$L,'BSE - SENSEX Index Options'!$C:$C,$A285,'BSE - SENSEX Index Options'!$B:$B,C$147)+SUMIFS('BSE - Other Index Options'!$L:$L,'BSE - Other Index Options'!$C:$C,$A285,'BSE - Other Index Options'!$B:$B,C$147)=0,"",SUMIFS('BSE - SENSEX Index Options'!$L:$L,'BSE - SENSEX Index Options'!$C:$C,$A285,'BSE - SENSEX Index Options'!$B:$B,C$147)+SUMIFS('BSE - Other Index Options'!$L:$L,'BSE - Other Index Options'!$C:$C,$A285,'BSE - Other Index Options'!$B:$B,C$147))</f>
        <v/>
      </c>
      <c r="D285" s="26" t="str">
        <f>IF(SUMIFS('BSE - SENSEX Index Options'!$L:$L,'BSE - SENSEX Index Options'!$C:$C,$A285,'BSE - SENSEX Index Options'!$B:$B,D$147)+SUMIFS('BSE - Other Index Options'!$L:$L,'BSE - Other Index Options'!$C:$C,$A285,'BSE - Other Index Options'!$B:$B,D$147)=0,"",SUMIFS('BSE - SENSEX Index Options'!$L:$L,'BSE - SENSEX Index Options'!$C:$C,$A285,'BSE - SENSEX Index Options'!$B:$B,D$147)+SUMIFS('BSE - Other Index Options'!$L:$L,'BSE - Other Index Options'!$C:$C,$A285,'BSE - Other Index Options'!$B:$B,D$147))</f>
        <v/>
      </c>
      <c r="E285" s="26" t="str">
        <f>IF(SUMIFS('BSE - SENSEX Index Options'!$L:$L,'BSE - SENSEX Index Options'!$C:$C,$A285,'BSE - SENSEX Index Options'!$B:$B,E$147)+SUMIFS('BSE - Other Index Options'!$L:$L,'BSE - Other Index Options'!$C:$C,$A285,'BSE - Other Index Options'!$B:$B,E$147)=0,"",SUMIFS('BSE - SENSEX Index Options'!$L:$L,'BSE - SENSEX Index Options'!$C:$C,$A285,'BSE - SENSEX Index Options'!$B:$B,E$147)+SUMIFS('BSE - Other Index Options'!$L:$L,'BSE - Other Index Options'!$C:$C,$A285,'BSE - Other Index Options'!$B:$B,E$147))</f>
        <v/>
      </c>
      <c r="F285" s="26" t="str">
        <f>IF(SUMIFS('BSE - SENSEX Index Options'!$L:$L,'BSE - SENSEX Index Options'!$C:$C,$A285,'BSE - SENSEX Index Options'!$B:$B,F$147)+SUMIFS('BSE - Other Index Options'!$L:$L,'BSE - Other Index Options'!$C:$C,$A285,'BSE - Other Index Options'!$B:$B,F$147)=0,"",SUMIFS('BSE - SENSEX Index Options'!$L:$L,'BSE - SENSEX Index Options'!$C:$C,$A285,'BSE - SENSEX Index Options'!$B:$B,F$147)+SUMIFS('BSE - Other Index Options'!$L:$L,'BSE - Other Index Options'!$C:$C,$A285,'BSE - Other Index Options'!$B:$B,F$147))</f>
        <v/>
      </c>
      <c r="G285" s="26" t="str">
        <f>IF(SUMIFS('BSE - SENSEX Index Options'!$L:$L,'BSE - SENSEX Index Options'!$C:$C,$A285,'BSE - SENSEX Index Options'!$B:$B,G$147)+SUMIFS('BSE - Other Index Options'!$L:$L,'BSE - Other Index Options'!$C:$C,$A285,'BSE - Other Index Options'!$B:$B,G$147)=0,"",SUMIFS('BSE - SENSEX Index Options'!$L:$L,'BSE - SENSEX Index Options'!$C:$C,$A285,'BSE - SENSEX Index Options'!$B:$B,G$147)+SUMIFS('BSE - Other Index Options'!$L:$L,'BSE - Other Index Options'!$C:$C,$A285,'BSE - Other Index Options'!$B:$B,G$147))</f>
        <v/>
      </c>
      <c r="H285" s="26" t="str">
        <f t="shared" si="10"/>
        <v/>
      </c>
    </row>
    <row r="286" spans="1:8" collapsed="1">
      <c r="A286" s="28" t="s">
        <v>9</v>
      </c>
      <c r="B286" s="30">
        <f t="shared" ref="B286:H286" si="11">IF(SUM(B148:B285)=0,"",SUM(B148:B285))</f>
        <v>491820.11</v>
      </c>
      <c r="C286" s="30">
        <f t="shared" si="11"/>
        <v>464037.02000000014</v>
      </c>
      <c r="D286" s="30">
        <f t="shared" si="11"/>
        <v>1601292.0300000003</v>
      </c>
      <c r="E286" s="30">
        <f t="shared" si="11"/>
        <v>2210008.85</v>
      </c>
      <c r="F286" s="30">
        <f t="shared" si="11"/>
        <v>441140.23000000004</v>
      </c>
      <c r="G286" s="30">
        <f t="shared" si="11"/>
        <v>24784.93</v>
      </c>
      <c r="H286" s="30">
        <f t="shared" si="11"/>
        <v>5233083.17</v>
      </c>
    </row>
    <row r="289" spans="1:8">
      <c r="A289" s="28" t="s">
        <v>149</v>
      </c>
    </row>
    <row r="290" spans="1:8">
      <c r="A290" s="28" t="s">
        <v>2</v>
      </c>
      <c r="B290" s="28" t="s">
        <v>3</v>
      </c>
      <c r="C290" s="28" t="s">
        <v>4</v>
      </c>
      <c r="D290" s="28" t="s">
        <v>5</v>
      </c>
      <c r="E290" s="28" t="s">
        <v>6</v>
      </c>
      <c r="F290" s="28" t="s">
        <v>7</v>
      </c>
      <c r="G290" s="28" t="s">
        <v>8</v>
      </c>
      <c r="H290" s="28" t="s">
        <v>9</v>
      </c>
    </row>
    <row r="291" spans="1:8">
      <c r="A291" t="s">
        <v>10</v>
      </c>
      <c r="B291" s="27">
        <f t="shared" ref="B291:H300" si="12">IF(SUM(B5,B148)=0,"",SUM(B5)/SUM(B5,B148))</f>
        <v>0.83483795853875775</v>
      </c>
      <c r="C291" s="27">
        <f t="shared" si="12"/>
        <v>0.87964204407468671</v>
      </c>
      <c r="D291" s="27">
        <f t="shared" si="12"/>
        <v>0.57430695766779294</v>
      </c>
      <c r="E291" s="27">
        <f t="shared" si="12"/>
        <v>0.44063476095696685</v>
      </c>
      <c r="F291" s="27">
        <f t="shared" si="12"/>
        <v>0.84021281563244565</v>
      </c>
      <c r="G291" s="27" t="str">
        <f t="shared" si="12"/>
        <v/>
      </c>
      <c r="H291" s="27">
        <f t="shared" si="12"/>
        <v>0.69483090792654445</v>
      </c>
    </row>
    <row r="292" spans="1:8">
      <c r="A292" t="s">
        <v>11</v>
      </c>
      <c r="B292" s="27">
        <f t="shared" si="12"/>
        <v>0.84281303153165055</v>
      </c>
      <c r="C292" s="27">
        <f t="shared" si="12"/>
        <v>0.87689493501118987</v>
      </c>
      <c r="D292" s="27">
        <f t="shared" si="12"/>
        <v>0.60570681654793801</v>
      </c>
      <c r="E292" s="27">
        <f t="shared" si="12"/>
        <v>0.4338871106187393</v>
      </c>
      <c r="F292" s="27">
        <f t="shared" si="12"/>
        <v>0.84274804814408488</v>
      </c>
      <c r="G292" s="27" t="str">
        <f t="shared" si="12"/>
        <v/>
      </c>
      <c r="H292" s="27">
        <f t="shared" si="12"/>
        <v>0.71994598738059301</v>
      </c>
    </row>
    <row r="293" spans="1:8">
      <c r="A293" t="s">
        <v>12</v>
      </c>
      <c r="B293" s="27">
        <f t="shared" si="12"/>
        <v>0.83620091760804149</v>
      </c>
      <c r="C293" s="27">
        <f t="shared" si="12"/>
        <v>0.86628446681945515</v>
      </c>
      <c r="D293" s="27">
        <f t="shared" si="12"/>
        <v>0.610329390052883</v>
      </c>
      <c r="E293" s="27">
        <f t="shared" si="12"/>
        <v>0.4628893996235644</v>
      </c>
      <c r="F293" s="27">
        <f t="shared" si="12"/>
        <v>0.84130778097439207</v>
      </c>
      <c r="G293" s="27" t="str">
        <f t="shared" si="12"/>
        <v/>
      </c>
      <c r="H293" s="27">
        <f t="shared" si="12"/>
        <v>0.71052518269350784</v>
      </c>
    </row>
    <row r="294" spans="1:8">
      <c r="A294" t="s">
        <v>13</v>
      </c>
      <c r="B294" s="27">
        <f t="shared" si="12"/>
        <v>0.82826414415340721</v>
      </c>
      <c r="C294" s="27">
        <f t="shared" si="12"/>
        <v>0.86803675076171249</v>
      </c>
      <c r="D294" s="27">
        <f t="shared" si="12"/>
        <v>0.59218496305118162</v>
      </c>
      <c r="E294" s="27">
        <f t="shared" si="12"/>
        <v>0.46145026535498374</v>
      </c>
      <c r="F294" s="27">
        <f t="shared" si="12"/>
        <v>0.86069554899634237</v>
      </c>
      <c r="G294" s="27" t="str">
        <f t="shared" si="12"/>
        <v/>
      </c>
      <c r="H294" s="27">
        <f t="shared" si="12"/>
        <v>0.71818040244979087</v>
      </c>
    </row>
    <row r="295" spans="1:8">
      <c r="A295" t="s">
        <v>14</v>
      </c>
      <c r="B295" s="27">
        <f t="shared" si="12"/>
        <v>0.8622292537254157</v>
      </c>
      <c r="C295" s="27">
        <f t="shared" si="12"/>
        <v>0.88902363429891584</v>
      </c>
      <c r="D295" s="27" t="str">
        <f t="shared" si="12"/>
        <v/>
      </c>
      <c r="E295" s="27" t="str">
        <f t="shared" si="12"/>
        <v/>
      </c>
      <c r="F295" s="27" t="str">
        <f t="shared" si="12"/>
        <v/>
      </c>
      <c r="G295" s="27" t="str">
        <f t="shared" si="12"/>
        <v/>
      </c>
      <c r="H295" s="27">
        <f t="shared" si="12"/>
        <v>0.87605317397543936</v>
      </c>
    </row>
    <row r="296" spans="1:8">
      <c r="A296" t="s">
        <v>15</v>
      </c>
      <c r="B296" s="27">
        <f t="shared" si="12"/>
        <v>0.83735776586291721</v>
      </c>
      <c r="C296" s="27">
        <f t="shared" si="12"/>
        <v>0.85818763829240974</v>
      </c>
      <c r="D296" s="27">
        <f t="shared" si="12"/>
        <v>0.45963684422211248</v>
      </c>
      <c r="E296" s="27" t="str">
        <f t="shared" si="12"/>
        <v/>
      </c>
      <c r="F296" s="27">
        <f t="shared" si="12"/>
        <v>0.83221263442010063</v>
      </c>
      <c r="G296" s="27" t="str">
        <f t="shared" si="12"/>
        <v/>
      </c>
      <c r="H296" s="27">
        <f t="shared" si="12"/>
        <v>0.72847889190876924</v>
      </c>
    </row>
    <row r="297" spans="1:8">
      <c r="A297" t="s">
        <v>16</v>
      </c>
      <c r="B297" s="27">
        <f t="shared" si="12"/>
        <v>0.82701119883273866</v>
      </c>
      <c r="C297" s="27">
        <f t="shared" si="12"/>
        <v>0.85877997688700458</v>
      </c>
      <c r="D297" s="27">
        <f t="shared" si="12"/>
        <v>0.57059409025392938</v>
      </c>
      <c r="E297" s="27">
        <f t="shared" si="12"/>
        <v>0.42899791192412479</v>
      </c>
      <c r="F297" s="27">
        <f t="shared" si="12"/>
        <v>0.83105621597437862</v>
      </c>
      <c r="G297" s="27" t="str">
        <f t="shared" si="12"/>
        <v/>
      </c>
      <c r="H297" s="27">
        <f t="shared" si="12"/>
        <v>0.69180248898174657</v>
      </c>
    </row>
    <row r="298" spans="1:8">
      <c r="A298" t="s">
        <v>17</v>
      </c>
      <c r="B298" s="27">
        <f t="shared" si="12"/>
        <v>0.86899164824881669</v>
      </c>
      <c r="C298" s="27">
        <f t="shared" si="12"/>
        <v>0.67500823732980286</v>
      </c>
      <c r="D298" s="27">
        <f t="shared" si="12"/>
        <v>0.59596190658860737</v>
      </c>
      <c r="E298" s="27">
        <f t="shared" si="12"/>
        <v>0.47088820342705195</v>
      </c>
      <c r="F298" s="27">
        <f t="shared" si="12"/>
        <v>0.83549336843273247</v>
      </c>
      <c r="G298" s="27" t="str">
        <f t="shared" si="12"/>
        <v/>
      </c>
      <c r="H298" s="27">
        <f t="shared" si="12"/>
        <v>0.70422023222363894</v>
      </c>
    </row>
    <row r="299" spans="1:8">
      <c r="A299" t="s">
        <v>18</v>
      </c>
      <c r="B299" s="27">
        <f t="shared" si="12"/>
        <v>0.86401218450826811</v>
      </c>
      <c r="C299" s="27">
        <f t="shared" si="12"/>
        <v>0.89429742716094918</v>
      </c>
      <c r="D299" s="27" t="str">
        <f t="shared" si="12"/>
        <v/>
      </c>
      <c r="E299" s="27">
        <f t="shared" si="12"/>
        <v>0.47656029694009272</v>
      </c>
      <c r="F299" s="27">
        <f t="shared" si="12"/>
        <v>0.8609190897262553</v>
      </c>
      <c r="G299" s="27" t="str">
        <f t="shared" si="12"/>
        <v/>
      </c>
      <c r="H299" s="27">
        <f t="shared" si="12"/>
        <v>0.76928721609279826</v>
      </c>
    </row>
    <row r="300" spans="1:8">
      <c r="A300" t="s">
        <v>19</v>
      </c>
      <c r="B300" s="27" t="str">
        <f t="shared" si="12"/>
        <v/>
      </c>
      <c r="C300" s="27" t="str">
        <f t="shared" si="12"/>
        <v/>
      </c>
      <c r="D300" s="27">
        <f t="shared" si="12"/>
        <v>0.59552674416252471</v>
      </c>
      <c r="E300" s="27">
        <f t="shared" si="12"/>
        <v>0.44780110700621872</v>
      </c>
      <c r="F300" s="27">
        <f t="shared" si="12"/>
        <v>0.84203028252030054</v>
      </c>
      <c r="G300" s="27" t="str">
        <f t="shared" si="12"/>
        <v/>
      </c>
      <c r="H300" s="27">
        <f t="shared" si="12"/>
        <v>0.61388212383700447</v>
      </c>
    </row>
    <row r="301" spans="1:8">
      <c r="A301" t="s">
        <v>20</v>
      </c>
      <c r="B301" s="27">
        <f t="shared" ref="B301:H310" si="13">IF(SUM(B15,B158)=0,"",SUM(B15)/SUM(B15,B158))</f>
        <v>0.83469918169311041</v>
      </c>
      <c r="C301" s="27">
        <f t="shared" si="13"/>
        <v>0.85903280695692019</v>
      </c>
      <c r="D301" s="27" t="str">
        <f t="shared" si="13"/>
        <v/>
      </c>
      <c r="E301" s="27">
        <f t="shared" si="13"/>
        <v>0.43392524854843201</v>
      </c>
      <c r="F301" s="27">
        <f t="shared" si="13"/>
        <v>0.84027438822497014</v>
      </c>
      <c r="G301" s="27" t="str">
        <f t="shared" si="13"/>
        <v/>
      </c>
      <c r="H301" s="27">
        <f t="shared" si="13"/>
        <v>0.72870585549567668</v>
      </c>
    </row>
    <row r="302" spans="1:8">
      <c r="A302" t="s">
        <v>21</v>
      </c>
      <c r="B302" s="27">
        <f t="shared" si="13"/>
        <v>0.84210890458295939</v>
      </c>
      <c r="C302" s="27">
        <f t="shared" si="13"/>
        <v>0.86969152467774258</v>
      </c>
      <c r="D302" s="27">
        <f t="shared" si="13"/>
        <v>0.58627654580885591</v>
      </c>
      <c r="E302" s="27">
        <f t="shared" si="13"/>
        <v>0.42348698996130812</v>
      </c>
      <c r="F302" s="27">
        <f t="shared" si="13"/>
        <v>0.85317492246236259</v>
      </c>
      <c r="G302" s="27" t="str">
        <f t="shared" si="13"/>
        <v/>
      </c>
      <c r="H302" s="27">
        <f t="shared" si="13"/>
        <v>0.70992246456517161</v>
      </c>
    </row>
    <row r="303" spans="1:8">
      <c r="A303" t="s">
        <v>22</v>
      </c>
      <c r="B303" s="27">
        <f t="shared" si="13"/>
        <v>0.85133457611125785</v>
      </c>
      <c r="C303" s="27">
        <f t="shared" si="13"/>
        <v>0.87357378192892554</v>
      </c>
      <c r="D303" s="27">
        <f t="shared" si="13"/>
        <v>0.6150024048128574</v>
      </c>
      <c r="E303" s="27">
        <f t="shared" si="13"/>
        <v>0.44189469211344551</v>
      </c>
      <c r="F303" s="27">
        <f t="shared" si="13"/>
        <v>0.86112009030827552</v>
      </c>
      <c r="G303" s="27" t="str">
        <f t="shared" si="13"/>
        <v/>
      </c>
      <c r="H303" s="27">
        <f t="shared" si="13"/>
        <v>0.72228145326053994</v>
      </c>
    </row>
    <row r="304" spans="1:8">
      <c r="A304" t="s">
        <v>23</v>
      </c>
      <c r="B304" s="27">
        <f t="shared" si="13"/>
        <v>0.87054942596867735</v>
      </c>
      <c r="C304" s="27">
        <f t="shared" si="13"/>
        <v>0.88958854980752788</v>
      </c>
      <c r="D304" s="27">
        <f t="shared" si="13"/>
        <v>0.58917038931699472</v>
      </c>
      <c r="E304" s="27">
        <f t="shared" si="13"/>
        <v>0.41997800696496701</v>
      </c>
      <c r="F304" s="27">
        <f t="shared" si="13"/>
        <v>0.83216546252341861</v>
      </c>
      <c r="G304" s="27" t="str">
        <f t="shared" si="13"/>
        <v/>
      </c>
      <c r="H304" s="27">
        <f t="shared" si="13"/>
        <v>0.7043199482082787</v>
      </c>
    </row>
    <row r="305" spans="1:8">
      <c r="A305" t="s">
        <v>24</v>
      </c>
      <c r="B305" s="27" t="str">
        <f t="shared" si="13"/>
        <v/>
      </c>
      <c r="C305" s="27" t="str">
        <f t="shared" si="13"/>
        <v/>
      </c>
      <c r="D305" s="27" t="str">
        <f t="shared" si="13"/>
        <v/>
      </c>
      <c r="E305" s="27" t="str">
        <f t="shared" si="13"/>
        <v/>
      </c>
      <c r="F305" s="27" t="str">
        <f t="shared" si="13"/>
        <v/>
      </c>
      <c r="G305" s="27" t="str">
        <f t="shared" si="13"/>
        <v/>
      </c>
      <c r="H305" s="27" t="str">
        <f t="shared" si="13"/>
        <v/>
      </c>
    </row>
    <row r="306" spans="1:8">
      <c r="A306" t="s">
        <v>25</v>
      </c>
      <c r="B306" s="27">
        <f t="shared" si="13"/>
        <v>0.83730690032823862</v>
      </c>
      <c r="C306" s="27">
        <f t="shared" si="13"/>
        <v>0.87592768425469625</v>
      </c>
      <c r="D306" s="27">
        <f t="shared" si="13"/>
        <v>0.56143667233562944</v>
      </c>
      <c r="E306" s="27">
        <f t="shared" si="13"/>
        <v>0.39514894416713647</v>
      </c>
      <c r="F306" s="27">
        <f t="shared" si="13"/>
        <v>0.83018525352134798</v>
      </c>
      <c r="G306" s="27" t="str">
        <f t="shared" si="13"/>
        <v/>
      </c>
      <c r="H306" s="27">
        <f t="shared" si="13"/>
        <v>0.68862597245038648</v>
      </c>
    </row>
    <row r="307" spans="1:8">
      <c r="A307" t="s">
        <v>26</v>
      </c>
      <c r="B307" s="27">
        <f t="shared" si="13"/>
        <v>0.84001563769420984</v>
      </c>
      <c r="C307" s="27">
        <f t="shared" si="13"/>
        <v>0.87067071108323624</v>
      </c>
      <c r="D307" s="27">
        <f t="shared" si="13"/>
        <v>0.55472301230848575</v>
      </c>
      <c r="E307" s="27">
        <f t="shared" si="13"/>
        <v>0.42223631252335608</v>
      </c>
      <c r="F307" s="27">
        <f t="shared" si="13"/>
        <v>0.82859373390699098</v>
      </c>
      <c r="G307" s="27" t="str">
        <f t="shared" si="13"/>
        <v/>
      </c>
      <c r="H307" s="27">
        <f t="shared" si="13"/>
        <v>0.68702725709034473</v>
      </c>
    </row>
    <row r="308" spans="1:8">
      <c r="A308" t="s">
        <v>27</v>
      </c>
      <c r="B308" s="27">
        <f t="shared" si="13"/>
        <v>0.83445809564161288</v>
      </c>
      <c r="C308" s="27">
        <f t="shared" si="13"/>
        <v>0.86167862278383389</v>
      </c>
      <c r="D308" s="27">
        <f t="shared" si="13"/>
        <v>0.54766829408865403</v>
      </c>
      <c r="E308" s="27">
        <f t="shared" si="13"/>
        <v>0.41648055513999038</v>
      </c>
      <c r="F308" s="27">
        <f t="shared" si="13"/>
        <v>0.8202177193774457</v>
      </c>
      <c r="G308" s="27" t="str">
        <f t="shared" si="13"/>
        <v/>
      </c>
      <c r="H308" s="27">
        <f t="shared" si="13"/>
        <v>0.67787563149952335</v>
      </c>
    </row>
    <row r="309" spans="1:8">
      <c r="A309" t="s">
        <v>28</v>
      </c>
      <c r="B309" s="27">
        <f t="shared" si="13"/>
        <v>0.81210547536664501</v>
      </c>
      <c r="C309" s="27">
        <f t="shared" si="13"/>
        <v>0.84875867928983229</v>
      </c>
      <c r="D309" s="27">
        <f t="shared" si="13"/>
        <v>0.41693729559419218</v>
      </c>
      <c r="E309" s="27" t="str">
        <f t="shared" si="13"/>
        <v/>
      </c>
      <c r="F309" s="27">
        <f t="shared" si="13"/>
        <v>0.83167706743387226</v>
      </c>
      <c r="G309" s="27" t="str">
        <f t="shared" si="13"/>
        <v/>
      </c>
      <c r="H309" s="27">
        <f t="shared" si="13"/>
        <v>0.70467632754246778</v>
      </c>
    </row>
    <row r="310" spans="1:8">
      <c r="A310" t="s">
        <v>29</v>
      </c>
      <c r="B310" s="27">
        <f t="shared" si="13"/>
        <v>0.84330527049848425</v>
      </c>
      <c r="C310" s="27">
        <f t="shared" si="13"/>
        <v>0.8786589744150004</v>
      </c>
      <c r="D310" s="27">
        <f t="shared" si="13"/>
        <v>0.53863094303028125</v>
      </c>
      <c r="E310" s="27" t="str">
        <f t="shared" si="13"/>
        <v/>
      </c>
      <c r="F310" s="27" t="str">
        <f t="shared" si="13"/>
        <v/>
      </c>
      <c r="G310" s="27" t="str">
        <f t="shared" si="13"/>
        <v/>
      </c>
      <c r="H310" s="27">
        <f t="shared" si="13"/>
        <v>0.75828384756277922</v>
      </c>
    </row>
    <row r="311" spans="1:8">
      <c r="A311" t="s">
        <v>30</v>
      </c>
      <c r="B311" s="27">
        <f t="shared" ref="B311:H320" si="14">IF(SUM(B25,B168)=0,"",SUM(B25)/SUM(B25,B168))</f>
        <v>0.80835898186291411</v>
      </c>
      <c r="C311" s="27">
        <f t="shared" si="14"/>
        <v>0.83996858247383643</v>
      </c>
      <c r="D311" s="27">
        <f t="shared" si="14"/>
        <v>0.53650864475185578</v>
      </c>
      <c r="E311" s="27">
        <f t="shared" si="14"/>
        <v>0.34927670328888932</v>
      </c>
      <c r="F311" s="27">
        <f t="shared" si="14"/>
        <v>0.81710989981624926</v>
      </c>
      <c r="G311" s="27" t="str">
        <f t="shared" si="14"/>
        <v/>
      </c>
      <c r="H311" s="27">
        <f t="shared" si="14"/>
        <v>0.66670875337648039</v>
      </c>
    </row>
    <row r="312" spans="1:8">
      <c r="A312" t="s">
        <v>31</v>
      </c>
      <c r="B312" s="27">
        <f t="shared" si="14"/>
        <v>0.82894100041323804</v>
      </c>
      <c r="C312" s="27">
        <f t="shared" si="14"/>
        <v>0.83112744051669385</v>
      </c>
      <c r="D312" s="27">
        <f t="shared" si="14"/>
        <v>0.39841020497234608</v>
      </c>
      <c r="E312" s="27">
        <f t="shared" si="14"/>
        <v>0.42413295732662198</v>
      </c>
      <c r="F312" s="27">
        <f t="shared" si="14"/>
        <v>0.81738412734706412</v>
      </c>
      <c r="G312" s="27" t="str">
        <f t="shared" si="14"/>
        <v/>
      </c>
      <c r="H312" s="27">
        <f t="shared" si="14"/>
        <v>0.66124488662419434</v>
      </c>
    </row>
    <row r="313" spans="1:8">
      <c r="A313" t="s">
        <v>32</v>
      </c>
      <c r="B313" s="27">
        <f t="shared" si="14"/>
        <v>0.82714283444213732</v>
      </c>
      <c r="C313" s="27">
        <f t="shared" si="14"/>
        <v>0.85608215466222548</v>
      </c>
      <c r="D313" s="27">
        <f t="shared" si="14"/>
        <v>0.56825088067112239</v>
      </c>
      <c r="E313" s="27" t="str">
        <f t="shared" si="14"/>
        <v/>
      </c>
      <c r="F313" s="27">
        <f t="shared" si="14"/>
        <v>0.82340052430747135</v>
      </c>
      <c r="G313" s="27" t="str">
        <f t="shared" si="14"/>
        <v/>
      </c>
      <c r="H313" s="27">
        <f t="shared" si="14"/>
        <v>0.74291092810981807</v>
      </c>
    </row>
    <row r="314" spans="1:8">
      <c r="A314" t="s">
        <v>33</v>
      </c>
      <c r="B314" s="27" t="str">
        <f t="shared" si="14"/>
        <v/>
      </c>
      <c r="C314" s="27">
        <f t="shared" si="14"/>
        <v>0.87134140628014256</v>
      </c>
      <c r="D314" s="27">
        <f t="shared" si="14"/>
        <v>0.49896002729720895</v>
      </c>
      <c r="E314" s="27">
        <f t="shared" si="14"/>
        <v>0.42039900497276927</v>
      </c>
      <c r="F314" s="27">
        <f t="shared" si="14"/>
        <v>0.84369038558162457</v>
      </c>
      <c r="G314" s="27" t="str">
        <f t="shared" si="14"/>
        <v/>
      </c>
      <c r="H314" s="27">
        <f t="shared" si="14"/>
        <v>0.65451293666467281</v>
      </c>
    </row>
    <row r="315" spans="1:8">
      <c r="A315" t="s">
        <v>34</v>
      </c>
      <c r="B315" s="27" t="str">
        <f t="shared" si="14"/>
        <v/>
      </c>
      <c r="C315" s="27" t="str">
        <f t="shared" si="14"/>
        <v/>
      </c>
      <c r="D315" s="27" t="str">
        <f t="shared" si="14"/>
        <v/>
      </c>
      <c r="E315" s="27">
        <f t="shared" si="14"/>
        <v>0.3695841190264203</v>
      </c>
      <c r="F315" s="27">
        <f t="shared" si="14"/>
        <v>0.82502880932851774</v>
      </c>
      <c r="G315" s="27" t="str">
        <f t="shared" si="14"/>
        <v/>
      </c>
      <c r="H315" s="27">
        <f t="shared" si="14"/>
        <v>0.56150833007412182</v>
      </c>
    </row>
    <row r="316" spans="1:8">
      <c r="A316" t="s">
        <v>35</v>
      </c>
      <c r="B316" s="27">
        <f t="shared" si="14"/>
        <v>0.84235502123165906</v>
      </c>
      <c r="C316" s="27">
        <f t="shared" si="14"/>
        <v>0.85771720113545602</v>
      </c>
      <c r="D316" s="27">
        <f t="shared" si="14"/>
        <v>0.51802365724639632</v>
      </c>
      <c r="E316" s="27">
        <f t="shared" si="14"/>
        <v>0.38410532263478614</v>
      </c>
      <c r="F316" s="27">
        <f t="shared" si="14"/>
        <v>0.82729325388993735</v>
      </c>
      <c r="G316" s="27">
        <f t="shared" si="14"/>
        <v>0.81871484001512018</v>
      </c>
      <c r="H316" s="27">
        <f t="shared" si="14"/>
        <v>0.73656945560070453</v>
      </c>
    </row>
    <row r="317" spans="1:8">
      <c r="A317" t="s">
        <v>36</v>
      </c>
      <c r="B317" s="27">
        <f t="shared" si="14"/>
        <v>0.84065254781934351</v>
      </c>
      <c r="C317" s="27">
        <f t="shared" si="14"/>
        <v>0.86558670433242835</v>
      </c>
      <c r="D317" s="27">
        <f t="shared" si="14"/>
        <v>0.53521693211011534</v>
      </c>
      <c r="E317" s="27">
        <f t="shared" si="14"/>
        <v>0.38667306165794452</v>
      </c>
      <c r="F317" s="27">
        <f t="shared" si="14"/>
        <v>0.82624062844813384</v>
      </c>
      <c r="G317" s="27" t="str">
        <f t="shared" si="14"/>
        <v/>
      </c>
      <c r="H317" s="27">
        <f t="shared" si="14"/>
        <v>0.68347787712498564</v>
      </c>
    </row>
    <row r="318" spans="1:8">
      <c r="A318" t="s">
        <v>37</v>
      </c>
      <c r="B318" s="27">
        <f t="shared" si="14"/>
        <v>0.83752296850581587</v>
      </c>
      <c r="C318" s="27">
        <f t="shared" si="14"/>
        <v>0.86922903994576683</v>
      </c>
      <c r="D318" s="27">
        <f t="shared" si="14"/>
        <v>0.54693469434115949</v>
      </c>
      <c r="E318" s="27">
        <f t="shared" si="14"/>
        <v>0.42622003224216137</v>
      </c>
      <c r="F318" s="27">
        <f t="shared" si="14"/>
        <v>0.84141718213265371</v>
      </c>
      <c r="G318" s="27" t="str">
        <f t="shared" si="14"/>
        <v/>
      </c>
      <c r="H318" s="27">
        <f t="shared" si="14"/>
        <v>0.69624052196551101</v>
      </c>
    </row>
    <row r="319" spans="1:8">
      <c r="A319" t="s">
        <v>38</v>
      </c>
      <c r="B319" s="27">
        <f t="shared" si="14"/>
        <v>0.8632692151457122</v>
      </c>
      <c r="C319" s="27">
        <f t="shared" si="14"/>
        <v>0.88206543081777466</v>
      </c>
      <c r="D319" s="27">
        <f t="shared" si="14"/>
        <v>0.53172508714723554</v>
      </c>
      <c r="E319" s="27">
        <f t="shared" si="14"/>
        <v>0.38125294153478667</v>
      </c>
      <c r="F319" s="27">
        <f t="shared" si="14"/>
        <v>0.84470597992384877</v>
      </c>
      <c r="G319" s="27" t="str">
        <f t="shared" si="14"/>
        <v/>
      </c>
      <c r="H319" s="27">
        <f t="shared" si="14"/>
        <v>0.69284140329947741</v>
      </c>
    </row>
    <row r="320" spans="1:8">
      <c r="A320" t="s">
        <v>39</v>
      </c>
      <c r="B320" s="27">
        <f t="shared" si="14"/>
        <v>0.86611802857268161</v>
      </c>
      <c r="C320" s="27" t="str">
        <f t="shared" si="14"/>
        <v/>
      </c>
      <c r="D320" s="27">
        <f t="shared" si="14"/>
        <v>0.57171449849182965</v>
      </c>
      <c r="E320" s="27">
        <f t="shared" si="14"/>
        <v>0.41607390541879813</v>
      </c>
      <c r="F320" s="27">
        <f t="shared" si="14"/>
        <v>0.85059348858053652</v>
      </c>
      <c r="G320" s="27" t="str">
        <f t="shared" si="14"/>
        <v/>
      </c>
      <c r="H320" s="27">
        <f t="shared" si="14"/>
        <v>0.65877036007420242</v>
      </c>
    </row>
    <row r="321" spans="1:8">
      <c r="A321" t="s">
        <v>40</v>
      </c>
      <c r="B321" s="27">
        <f t="shared" ref="B321:H330" si="15">IF(SUM(B35,B178)=0,"",SUM(B35)/SUM(B35,B178))</f>
        <v>0.86266554979322096</v>
      </c>
      <c r="C321" s="27">
        <f t="shared" si="15"/>
        <v>0.8840713367014098</v>
      </c>
      <c r="D321" s="27">
        <f t="shared" si="15"/>
        <v>0.54048885312480988</v>
      </c>
      <c r="E321" s="27">
        <f t="shared" si="15"/>
        <v>0.40127024908187658</v>
      </c>
      <c r="F321" s="27">
        <f t="shared" si="15"/>
        <v>0.87514022675318426</v>
      </c>
      <c r="G321" s="27" t="str">
        <f t="shared" si="15"/>
        <v/>
      </c>
      <c r="H321" s="27">
        <f t="shared" si="15"/>
        <v>0.70457854475183668</v>
      </c>
    </row>
    <row r="322" spans="1:8">
      <c r="A322" t="s">
        <v>41</v>
      </c>
      <c r="B322" s="27">
        <f t="shared" si="15"/>
        <v>0.85958162450717868</v>
      </c>
      <c r="C322" s="27">
        <f t="shared" si="15"/>
        <v>0.87737242764027834</v>
      </c>
      <c r="D322" s="27">
        <f t="shared" si="15"/>
        <v>0.54967013488819416</v>
      </c>
      <c r="E322" s="27">
        <f t="shared" si="15"/>
        <v>0.44276835334082798</v>
      </c>
      <c r="F322" s="27">
        <f t="shared" si="15"/>
        <v>0.85868147157971975</v>
      </c>
      <c r="G322" s="27" t="str">
        <f t="shared" si="15"/>
        <v/>
      </c>
      <c r="H322" s="27">
        <f t="shared" si="15"/>
        <v>0.72328909903108995</v>
      </c>
    </row>
    <row r="323" spans="1:8">
      <c r="A323" t="s">
        <v>42</v>
      </c>
      <c r="B323" s="27">
        <f t="shared" si="15"/>
        <v>0.86857303031254185</v>
      </c>
      <c r="C323" s="27">
        <f t="shared" si="15"/>
        <v>0.8531831521255302</v>
      </c>
      <c r="D323" s="27">
        <f t="shared" si="15"/>
        <v>0.42163044550178236</v>
      </c>
      <c r="E323" s="27" t="str">
        <f t="shared" si="15"/>
        <v/>
      </c>
      <c r="F323" s="27">
        <f t="shared" si="15"/>
        <v>0.89184732080055928</v>
      </c>
      <c r="G323" s="27" t="str">
        <f t="shared" si="15"/>
        <v/>
      </c>
      <c r="H323" s="27">
        <f t="shared" si="15"/>
        <v>0.75301472150033688</v>
      </c>
    </row>
    <row r="324" spans="1:8">
      <c r="A324" t="s">
        <v>43</v>
      </c>
      <c r="B324" s="27">
        <f t="shared" si="15"/>
        <v>0.90210201791361788</v>
      </c>
      <c r="C324" s="27" t="str">
        <f t="shared" si="15"/>
        <v/>
      </c>
      <c r="D324" s="27" t="str">
        <f t="shared" si="15"/>
        <v/>
      </c>
      <c r="E324" s="27" t="str">
        <f t="shared" si="15"/>
        <v/>
      </c>
      <c r="F324" s="27" t="str">
        <f t="shared" si="15"/>
        <v/>
      </c>
      <c r="G324" s="27" t="str">
        <f t="shared" si="15"/>
        <v/>
      </c>
      <c r="H324" s="27">
        <f t="shared" si="15"/>
        <v>0.90210201791361788</v>
      </c>
    </row>
    <row r="325" spans="1:8">
      <c r="A325" t="s">
        <v>44</v>
      </c>
      <c r="B325" s="27">
        <f t="shared" si="15"/>
        <v>0.85226982541223517</v>
      </c>
      <c r="C325" s="27">
        <f t="shared" si="15"/>
        <v>0.87639532253293184</v>
      </c>
      <c r="D325" s="27">
        <f t="shared" si="15"/>
        <v>0.54839773683217818</v>
      </c>
      <c r="E325" s="27">
        <f t="shared" si="15"/>
        <v>0.38304627209433434</v>
      </c>
      <c r="F325" s="27" t="str">
        <f t="shared" si="15"/>
        <v/>
      </c>
      <c r="G325" s="27" t="str">
        <f t="shared" si="15"/>
        <v/>
      </c>
      <c r="H325" s="27">
        <f t="shared" si="15"/>
        <v>0.65378669332952921</v>
      </c>
    </row>
    <row r="326" spans="1:8">
      <c r="A326" t="s">
        <v>45</v>
      </c>
      <c r="B326" s="27">
        <f t="shared" si="15"/>
        <v>0.8740131786254014</v>
      </c>
      <c r="C326" s="27" t="str">
        <f t="shared" si="15"/>
        <v/>
      </c>
      <c r="D326" s="27">
        <f t="shared" si="15"/>
        <v>0.53035496944071781</v>
      </c>
      <c r="E326" s="27">
        <f t="shared" si="15"/>
        <v>0.35356505686158751</v>
      </c>
      <c r="F326" s="27">
        <f t="shared" si="15"/>
        <v>0.85628944898925485</v>
      </c>
      <c r="G326" s="27" t="str">
        <f t="shared" si="15"/>
        <v/>
      </c>
      <c r="H326" s="27">
        <f t="shared" si="15"/>
        <v>0.62144471577985239</v>
      </c>
    </row>
    <row r="327" spans="1:8">
      <c r="A327" t="s">
        <v>46</v>
      </c>
      <c r="B327" s="27">
        <f t="shared" si="15"/>
        <v>0.84133771100762111</v>
      </c>
      <c r="C327" s="27">
        <f t="shared" si="15"/>
        <v>0.87908322190037702</v>
      </c>
      <c r="D327" s="27">
        <f t="shared" si="15"/>
        <v>0.51420080372703925</v>
      </c>
      <c r="E327" s="27">
        <f t="shared" si="15"/>
        <v>0.34437952344930928</v>
      </c>
      <c r="F327" s="27">
        <f t="shared" si="15"/>
        <v>0.84153307767630281</v>
      </c>
      <c r="G327" s="27" t="str">
        <f t="shared" si="15"/>
        <v/>
      </c>
      <c r="H327" s="27">
        <f t="shared" si="15"/>
        <v>0.65040322780864013</v>
      </c>
    </row>
    <row r="328" spans="1:8">
      <c r="A328" t="s">
        <v>47</v>
      </c>
      <c r="B328" s="27">
        <f t="shared" si="15"/>
        <v>0.87267930448971232</v>
      </c>
      <c r="C328" s="27">
        <f t="shared" si="15"/>
        <v>0.89489621361577731</v>
      </c>
      <c r="D328" s="27">
        <f t="shared" si="15"/>
        <v>0.51280000023430072</v>
      </c>
      <c r="E328" s="27">
        <f t="shared" si="15"/>
        <v>0.35793632991385677</v>
      </c>
      <c r="F328" s="27">
        <f t="shared" si="15"/>
        <v>0.85861080197788031</v>
      </c>
      <c r="G328" s="27" t="str">
        <f t="shared" si="15"/>
        <v/>
      </c>
      <c r="H328" s="27">
        <f t="shared" si="15"/>
        <v>0.69108490410607493</v>
      </c>
    </row>
    <row r="329" spans="1:8">
      <c r="A329" t="s">
        <v>48</v>
      </c>
      <c r="B329" s="27" t="str">
        <f t="shared" si="15"/>
        <v/>
      </c>
      <c r="C329" s="27" t="str">
        <f t="shared" si="15"/>
        <v/>
      </c>
      <c r="D329" s="27">
        <f t="shared" si="15"/>
        <v>0.5130393217703727</v>
      </c>
      <c r="E329" s="27">
        <f t="shared" si="15"/>
        <v>0.34604301218336897</v>
      </c>
      <c r="F329" s="27" t="str">
        <f t="shared" si="15"/>
        <v/>
      </c>
      <c r="G329" s="27" t="str">
        <f t="shared" si="15"/>
        <v/>
      </c>
      <c r="H329" s="27">
        <f t="shared" si="15"/>
        <v>0.41390854541030014</v>
      </c>
    </row>
    <row r="330" spans="1:8">
      <c r="A330" t="s">
        <v>49</v>
      </c>
      <c r="B330" s="27">
        <f t="shared" si="15"/>
        <v>0.84125675377266029</v>
      </c>
      <c r="C330" s="27">
        <f t="shared" si="15"/>
        <v>0.87672186522727402</v>
      </c>
      <c r="D330" s="27">
        <f t="shared" si="15"/>
        <v>0.49099257790570239</v>
      </c>
      <c r="E330" s="27">
        <f t="shared" si="15"/>
        <v>0.33467343152560219</v>
      </c>
      <c r="F330" s="27" t="str">
        <f t="shared" si="15"/>
        <v/>
      </c>
      <c r="G330" s="27" t="str">
        <f t="shared" si="15"/>
        <v/>
      </c>
      <c r="H330" s="27">
        <f t="shared" si="15"/>
        <v>0.62040550357795332</v>
      </c>
    </row>
    <row r="331" spans="1:8">
      <c r="A331" t="s">
        <v>50</v>
      </c>
      <c r="B331" s="27">
        <f t="shared" ref="B331:H340" si="16">IF(SUM(B45,B188)=0,"",SUM(B45)/SUM(B45,B188))</f>
        <v>0.84547679642071383</v>
      </c>
      <c r="C331" s="27">
        <f t="shared" si="16"/>
        <v>0.87024684705820676</v>
      </c>
      <c r="D331" s="27">
        <f t="shared" si="16"/>
        <v>0.47931484225730253</v>
      </c>
      <c r="E331" s="27">
        <f t="shared" si="16"/>
        <v>0.34045240580738972</v>
      </c>
      <c r="F331" s="27">
        <f t="shared" si="16"/>
        <v>0.83366284855462236</v>
      </c>
      <c r="G331" s="27" t="str">
        <f t="shared" si="16"/>
        <v/>
      </c>
      <c r="H331" s="27">
        <f t="shared" si="16"/>
        <v>0.63465244814311672</v>
      </c>
    </row>
    <row r="332" spans="1:8">
      <c r="A332" t="s">
        <v>51</v>
      </c>
      <c r="B332" s="27">
        <f t="shared" si="16"/>
        <v>0.83663513738699524</v>
      </c>
      <c r="C332" s="27">
        <f t="shared" si="16"/>
        <v>0.86988278605746183</v>
      </c>
      <c r="D332" s="27">
        <f t="shared" si="16"/>
        <v>0.50143013075093967</v>
      </c>
      <c r="E332" s="27">
        <f t="shared" si="16"/>
        <v>0.3564543928047556</v>
      </c>
      <c r="F332" s="27">
        <f t="shared" si="16"/>
        <v>0.83626952663461973</v>
      </c>
      <c r="G332" s="27" t="str">
        <f t="shared" si="16"/>
        <v/>
      </c>
      <c r="H332" s="27">
        <f t="shared" si="16"/>
        <v>0.67045257522345325</v>
      </c>
    </row>
    <row r="333" spans="1:8">
      <c r="A333" t="s">
        <v>52</v>
      </c>
      <c r="B333" s="27">
        <f t="shared" si="16"/>
        <v>0.84679240841412684</v>
      </c>
      <c r="C333" s="27">
        <f t="shared" si="16"/>
        <v>0.87995902570004814</v>
      </c>
      <c r="D333" s="27">
        <f t="shared" si="16"/>
        <v>0.34434452690666162</v>
      </c>
      <c r="E333" s="27" t="str">
        <f t="shared" si="16"/>
        <v/>
      </c>
      <c r="F333" s="27">
        <f t="shared" si="16"/>
        <v>0.84779777825470493</v>
      </c>
      <c r="G333" s="27" t="str">
        <f t="shared" si="16"/>
        <v/>
      </c>
      <c r="H333" s="27">
        <f t="shared" si="16"/>
        <v>0.72015791193934275</v>
      </c>
    </row>
    <row r="334" spans="1:8">
      <c r="A334" t="s">
        <v>53</v>
      </c>
      <c r="B334" s="27" t="str">
        <f t="shared" si="16"/>
        <v/>
      </c>
      <c r="C334" s="27" t="str">
        <f t="shared" si="16"/>
        <v/>
      </c>
      <c r="D334" s="27" t="str">
        <f t="shared" si="16"/>
        <v/>
      </c>
      <c r="E334" s="27" t="str">
        <f t="shared" si="16"/>
        <v/>
      </c>
      <c r="F334" s="27">
        <f t="shared" si="16"/>
        <v>0.82766182562443136</v>
      </c>
      <c r="G334" s="27" t="str">
        <f t="shared" si="16"/>
        <v/>
      </c>
      <c r="H334" s="27">
        <f t="shared" si="16"/>
        <v>0.82766182562443136</v>
      </c>
    </row>
    <row r="335" spans="1:8">
      <c r="A335" t="s">
        <v>54</v>
      </c>
      <c r="B335" s="27">
        <f t="shared" si="16"/>
        <v>0.84274763371531558</v>
      </c>
      <c r="C335" s="27">
        <f t="shared" si="16"/>
        <v>0.8719118922935023</v>
      </c>
      <c r="D335" s="27">
        <f t="shared" si="16"/>
        <v>0.48604126406687925</v>
      </c>
      <c r="E335" s="27">
        <f t="shared" si="16"/>
        <v>0.33869915559429969</v>
      </c>
      <c r="F335" s="27">
        <f t="shared" si="16"/>
        <v>0.83643573484555156</v>
      </c>
      <c r="G335" s="27" t="str">
        <f t="shared" si="16"/>
        <v/>
      </c>
      <c r="H335" s="27">
        <f t="shared" si="16"/>
        <v>0.65595502586474419</v>
      </c>
    </row>
    <row r="336" spans="1:8">
      <c r="A336" t="s">
        <v>55</v>
      </c>
      <c r="B336" s="27">
        <f t="shared" si="16"/>
        <v>0.849877166645718</v>
      </c>
      <c r="C336" s="27">
        <f t="shared" si="16"/>
        <v>0.86764535859568659</v>
      </c>
      <c r="D336" s="27">
        <f t="shared" si="16"/>
        <v>0.50611148266875761</v>
      </c>
      <c r="E336" s="27">
        <f t="shared" si="16"/>
        <v>0.3471516815782949</v>
      </c>
      <c r="F336" s="27">
        <f t="shared" si="16"/>
        <v>0.833319507547159</v>
      </c>
      <c r="G336" s="27" t="str">
        <f t="shared" si="16"/>
        <v/>
      </c>
      <c r="H336" s="27">
        <f t="shared" si="16"/>
        <v>0.66630376186162732</v>
      </c>
    </row>
    <row r="337" spans="1:8">
      <c r="A337" t="s">
        <v>56</v>
      </c>
      <c r="B337" s="27">
        <f t="shared" si="16"/>
        <v>0.83659532646036938</v>
      </c>
      <c r="C337" s="27">
        <f t="shared" si="16"/>
        <v>0.86862393987291608</v>
      </c>
      <c r="D337" s="27">
        <f t="shared" si="16"/>
        <v>0.50981575529127843</v>
      </c>
      <c r="E337" s="27">
        <f t="shared" si="16"/>
        <v>0.34905505604039866</v>
      </c>
      <c r="F337" s="27">
        <f t="shared" si="16"/>
        <v>0.84072702836348878</v>
      </c>
      <c r="G337" s="27" t="str">
        <f t="shared" si="16"/>
        <v/>
      </c>
      <c r="H337" s="27">
        <f t="shared" si="16"/>
        <v>0.67844367248135617</v>
      </c>
    </row>
    <row r="338" spans="1:8">
      <c r="A338" t="s">
        <v>57</v>
      </c>
      <c r="B338" s="27">
        <f t="shared" si="16"/>
        <v>0.83675735769396575</v>
      </c>
      <c r="C338" s="27">
        <f t="shared" si="16"/>
        <v>0.86203072163197281</v>
      </c>
      <c r="D338" s="27">
        <f t="shared" si="16"/>
        <v>0.50066228498227083</v>
      </c>
      <c r="E338" s="27">
        <f t="shared" si="16"/>
        <v>0.34218721443070854</v>
      </c>
      <c r="F338" s="27" t="str">
        <f t="shared" si="16"/>
        <v/>
      </c>
      <c r="G338" s="27" t="str">
        <f t="shared" si="16"/>
        <v/>
      </c>
      <c r="H338" s="27">
        <f t="shared" si="16"/>
        <v>0.60199554523187382</v>
      </c>
    </row>
    <row r="339" spans="1:8">
      <c r="A339" t="s">
        <v>58</v>
      </c>
      <c r="B339" s="27">
        <f t="shared" si="16"/>
        <v>0.86785626153615902</v>
      </c>
      <c r="C339" s="27">
        <f t="shared" si="16"/>
        <v>0.89148478922839902</v>
      </c>
      <c r="D339" s="27" t="str">
        <f t="shared" si="16"/>
        <v/>
      </c>
      <c r="E339" s="27" t="str">
        <f t="shared" si="16"/>
        <v/>
      </c>
      <c r="F339" s="27" t="str">
        <f t="shared" si="16"/>
        <v/>
      </c>
      <c r="G339" s="27" t="str">
        <f t="shared" si="16"/>
        <v/>
      </c>
      <c r="H339" s="27">
        <f t="shared" si="16"/>
        <v>0.88108126091384842</v>
      </c>
    </row>
    <row r="340" spans="1:8">
      <c r="A340" t="s">
        <v>59</v>
      </c>
      <c r="B340" s="27">
        <f t="shared" si="16"/>
        <v>0.81687417958338704</v>
      </c>
      <c r="C340" s="27">
        <f t="shared" si="16"/>
        <v>0.85492888098050845</v>
      </c>
      <c r="D340" s="27">
        <f t="shared" si="16"/>
        <v>0.46805332400200245</v>
      </c>
      <c r="E340" s="27">
        <f t="shared" si="16"/>
        <v>0.32189025338871219</v>
      </c>
      <c r="F340" s="27">
        <f t="shared" si="16"/>
        <v>0.81318362399278488</v>
      </c>
      <c r="G340" s="27" t="str">
        <f t="shared" si="16"/>
        <v/>
      </c>
      <c r="H340" s="27">
        <f t="shared" si="16"/>
        <v>0.62365135141094019</v>
      </c>
    </row>
    <row r="341" spans="1:8">
      <c r="A341" t="s">
        <v>60</v>
      </c>
      <c r="B341" s="27" t="str">
        <f t="shared" ref="B341:H350" si="17">IF(SUM(B55,B198)=0,"",SUM(B55)/SUM(B55,B198))</f>
        <v/>
      </c>
      <c r="C341" s="27" t="str">
        <f t="shared" si="17"/>
        <v/>
      </c>
      <c r="D341" s="27">
        <f t="shared" si="17"/>
        <v>0.48354799840194418</v>
      </c>
      <c r="E341" s="27" t="str">
        <f t="shared" si="17"/>
        <v/>
      </c>
      <c r="F341" s="27" t="str">
        <f t="shared" si="17"/>
        <v/>
      </c>
      <c r="G341" s="27" t="str">
        <f t="shared" si="17"/>
        <v/>
      </c>
      <c r="H341" s="27">
        <f t="shared" si="17"/>
        <v>0.48354799840194418</v>
      </c>
    </row>
    <row r="342" spans="1:8">
      <c r="A342" t="s">
        <v>61</v>
      </c>
      <c r="B342" s="27" t="str">
        <f t="shared" si="17"/>
        <v/>
      </c>
      <c r="C342" s="27" t="str">
        <f t="shared" si="17"/>
        <v/>
      </c>
      <c r="D342" s="27" t="str">
        <f t="shared" si="17"/>
        <v/>
      </c>
      <c r="E342" s="27" t="str">
        <f t="shared" si="17"/>
        <v/>
      </c>
      <c r="F342" s="27" t="str">
        <f t="shared" si="17"/>
        <v/>
      </c>
      <c r="G342" s="27" t="str">
        <f t="shared" si="17"/>
        <v/>
      </c>
      <c r="H342" s="27" t="str">
        <f t="shared" si="17"/>
        <v/>
      </c>
    </row>
    <row r="343" spans="1:8">
      <c r="A343" t="s">
        <v>62</v>
      </c>
      <c r="B343" s="27" t="str">
        <f t="shared" si="17"/>
        <v/>
      </c>
      <c r="C343" s="27" t="str">
        <f t="shared" si="17"/>
        <v/>
      </c>
      <c r="D343" s="27" t="str">
        <f t="shared" si="17"/>
        <v/>
      </c>
      <c r="E343" s="27" t="str">
        <f t="shared" si="17"/>
        <v/>
      </c>
      <c r="F343" s="27" t="str">
        <f t="shared" si="17"/>
        <v/>
      </c>
      <c r="G343" s="27" t="str">
        <f t="shared" si="17"/>
        <v/>
      </c>
      <c r="H343" s="27" t="str">
        <f t="shared" si="17"/>
        <v/>
      </c>
    </row>
    <row r="344" spans="1:8">
      <c r="A344" t="s">
        <v>63</v>
      </c>
      <c r="B344" s="27" t="str">
        <f t="shared" si="17"/>
        <v/>
      </c>
      <c r="C344" s="27" t="str">
        <f t="shared" si="17"/>
        <v/>
      </c>
      <c r="D344" s="27" t="str">
        <f t="shared" si="17"/>
        <v/>
      </c>
      <c r="E344" s="27" t="str">
        <f t="shared" si="17"/>
        <v/>
      </c>
      <c r="F344" s="27" t="str">
        <f t="shared" si="17"/>
        <v/>
      </c>
      <c r="G344" s="27" t="str">
        <f t="shared" si="17"/>
        <v/>
      </c>
      <c r="H344" s="27" t="str">
        <f t="shared" si="17"/>
        <v/>
      </c>
    </row>
    <row r="345" spans="1:8" hidden="1" outlineLevel="1">
      <c r="A345" t="s">
        <v>64</v>
      </c>
      <c r="B345" s="27" t="str">
        <f t="shared" si="17"/>
        <v/>
      </c>
      <c r="C345" s="27" t="str">
        <f t="shared" si="17"/>
        <v/>
      </c>
      <c r="D345" s="27" t="str">
        <f t="shared" si="17"/>
        <v/>
      </c>
      <c r="E345" s="27" t="str">
        <f t="shared" si="17"/>
        <v/>
      </c>
      <c r="F345" s="27" t="str">
        <f t="shared" si="17"/>
        <v/>
      </c>
      <c r="G345" s="27" t="str">
        <f t="shared" si="17"/>
        <v/>
      </c>
      <c r="H345" s="27" t="str">
        <f t="shared" si="17"/>
        <v/>
      </c>
    </row>
    <row r="346" spans="1:8" hidden="1" outlineLevel="1">
      <c r="A346" t="s">
        <v>65</v>
      </c>
      <c r="B346" s="27" t="str">
        <f t="shared" si="17"/>
        <v/>
      </c>
      <c r="C346" s="27" t="str">
        <f t="shared" si="17"/>
        <v/>
      </c>
      <c r="D346" s="27" t="str">
        <f t="shared" si="17"/>
        <v/>
      </c>
      <c r="E346" s="27" t="str">
        <f t="shared" si="17"/>
        <v/>
      </c>
      <c r="F346" s="27" t="str">
        <f t="shared" si="17"/>
        <v/>
      </c>
      <c r="G346" s="27" t="str">
        <f t="shared" si="17"/>
        <v/>
      </c>
      <c r="H346" s="27" t="str">
        <f t="shared" si="17"/>
        <v/>
      </c>
    </row>
    <row r="347" spans="1:8" hidden="1" outlineLevel="1">
      <c r="A347" t="s">
        <v>66</v>
      </c>
      <c r="B347" s="27" t="str">
        <f t="shared" si="17"/>
        <v/>
      </c>
      <c r="C347" s="27" t="str">
        <f t="shared" si="17"/>
        <v/>
      </c>
      <c r="D347" s="27" t="str">
        <f t="shared" si="17"/>
        <v/>
      </c>
      <c r="E347" s="27" t="str">
        <f t="shared" si="17"/>
        <v/>
      </c>
      <c r="F347" s="27" t="str">
        <f t="shared" si="17"/>
        <v/>
      </c>
      <c r="G347" s="27" t="str">
        <f t="shared" si="17"/>
        <v/>
      </c>
      <c r="H347" s="27" t="str">
        <f t="shared" si="17"/>
        <v/>
      </c>
    </row>
    <row r="348" spans="1:8" hidden="1" outlineLevel="1">
      <c r="A348" t="s">
        <v>67</v>
      </c>
      <c r="B348" s="27" t="str">
        <f t="shared" si="17"/>
        <v/>
      </c>
      <c r="C348" s="27" t="str">
        <f t="shared" si="17"/>
        <v/>
      </c>
      <c r="D348" s="27" t="str">
        <f t="shared" si="17"/>
        <v/>
      </c>
      <c r="E348" s="27" t="str">
        <f t="shared" si="17"/>
        <v/>
      </c>
      <c r="F348" s="27" t="str">
        <f t="shared" si="17"/>
        <v/>
      </c>
      <c r="G348" s="27" t="str">
        <f t="shared" si="17"/>
        <v/>
      </c>
      <c r="H348" s="27" t="str">
        <f t="shared" si="17"/>
        <v/>
      </c>
    </row>
    <row r="349" spans="1:8" hidden="1" outlineLevel="1">
      <c r="A349" t="s">
        <v>68</v>
      </c>
      <c r="B349" s="27" t="str">
        <f t="shared" si="17"/>
        <v/>
      </c>
      <c r="C349" s="27" t="str">
        <f t="shared" si="17"/>
        <v/>
      </c>
      <c r="D349" s="27" t="str">
        <f t="shared" si="17"/>
        <v/>
      </c>
      <c r="E349" s="27" t="str">
        <f t="shared" si="17"/>
        <v/>
      </c>
      <c r="F349" s="27" t="str">
        <f t="shared" si="17"/>
        <v/>
      </c>
      <c r="G349" s="27" t="str">
        <f t="shared" si="17"/>
        <v/>
      </c>
      <c r="H349" s="27" t="str">
        <f t="shared" si="17"/>
        <v/>
      </c>
    </row>
    <row r="350" spans="1:8" hidden="1" outlineLevel="1">
      <c r="A350" t="s">
        <v>69</v>
      </c>
      <c r="B350" s="27" t="str">
        <f t="shared" si="17"/>
        <v/>
      </c>
      <c r="C350" s="27" t="str">
        <f t="shared" si="17"/>
        <v/>
      </c>
      <c r="D350" s="27" t="str">
        <f t="shared" si="17"/>
        <v/>
      </c>
      <c r="E350" s="27" t="str">
        <f t="shared" si="17"/>
        <v/>
      </c>
      <c r="F350" s="27" t="str">
        <f t="shared" si="17"/>
        <v/>
      </c>
      <c r="G350" s="27" t="str">
        <f t="shared" si="17"/>
        <v/>
      </c>
      <c r="H350" s="27" t="str">
        <f t="shared" si="17"/>
        <v/>
      </c>
    </row>
    <row r="351" spans="1:8" hidden="1" outlineLevel="1">
      <c r="A351" t="s">
        <v>70</v>
      </c>
      <c r="B351" s="27" t="str">
        <f t="shared" ref="B351:H360" si="18">IF(SUM(B65,B208)=0,"",SUM(B65)/SUM(B65,B208))</f>
        <v/>
      </c>
      <c r="C351" s="27" t="str">
        <f t="shared" si="18"/>
        <v/>
      </c>
      <c r="D351" s="27" t="str">
        <f t="shared" si="18"/>
        <v/>
      </c>
      <c r="E351" s="27" t="str">
        <f t="shared" si="18"/>
        <v/>
      </c>
      <c r="F351" s="27" t="str">
        <f t="shared" si="18"/>
        <v/>
      </c>
      <c r="G351" s="27" t="str">
        <f t="shared" si="18"/>
        <v/>
      </c>
      <c r="H351" s="27" t="str">
        <f t="shared" si="18"/>
        <v/>
      </c>
    </row>
    <row r="352" spans="1:8" hidden="1" outlineLevel="1">
      <c r="A352" t="s">
        <v>71</v>
      </c>
      <c r="B352" s="27" t="str">
        <f t="shared" si="18"/>
        <v/>
      </c>
      <c r="C352" s="27" t="str">
        <f t="shared" si="18"/>
        <v/>
      </c>
      <c r="D352" s="27" t="str">
        <f t="shared" si="18"/>
        <v/>
      </c>
      <c r="E352" s="27" t="str">
        <f t="shared" si="18"/>
        <v/>
      </c>
      <c r="F352" s="27" t="str">
        <f t="shared" si="18"/>
        <v/>
      </c>
      <c r="G352" s="27" t="str">
        <f t="shared" si="18"/>
        <v/>
      </c>
      <c r="H352" s="27" t="str">
        <f t="shared" si="18"/>
        <v/>
      </c>
    </row>
    <row r="353" spans="1:8" hidden="1" outlineLevel="1">
      <c r="A353" t="s">
        <v>72</v>
      </c>
      <c r="B353" s="27" t="str">
        <f t="shared" si="18"/>
        <v/>
      </c>
      <c r="C353" s="27" t="str">
        <f t="shared" si="18"/>
        <v/>
      </c>
      <c r="D353" s="27" t="str">
        <f t="shared" si="18"/>
        <v/>
      </c>
      <c r="E353" s="27" t="str">
        <f t="shared" si="18"/>
        <v/>
      </c>
      <c r="F353" s="27" t="str">
        <f t="shared" si="18"/>
        <v/>
      </c>
      <c r="G353" s="27" t="str">
        <f t="shared" si="18"/>
        <v/>
      </c>
      <c r="H353" s="27" t="str">
        <f t="shared" si="18"/>
        <v/>
      </c>
    </row>
    <row r="354" spans="1:8" hidden="1" outlineLevel="1">
      <c r="A354" t="s">
        <v>73</v>
      </c>
      <c r="B354" s="27" t="str">
        <f t="shared" si="18"/>
        <v/>
      </c>
      <c r="C354" s="27" t="str">
        <f t="shared" si="18"/>
        <v/>
      </c>
      <c r="D354" s="27" t="str">
        <f t="shared" si="18"/>
        <v/>
      </c>
      <c r="E354" s="27" t="str">
        <f t="shared" si="18"/>
        <v/>
      </c>
      <c r="F354" s="27" t="str">
        <f t="shared" si="18"/>
        <v/>
      </c>
      <c r="G354" s="27" t="str">
        <f t="shared" si="18"/>
        <v/>
      </c>
      <c r="H354" s="27" t="str">
        <f t="shared" si="18"/>
        <v/>
      </c>
    </row>
    <row r="355" spans="1:8" hidden="1" outlineLevel="1">
      <c r="A355" t="s">
        <v>74</v>
      </c>
      <c r="B355" s="27" t="str">
        <f t="shared" si="18"/>
        <v/>
      </c>
      <c r="C355" s="27" t="str">
        <f t="shared" si="18"/>
        <v/>
      </c>
      <c r="D355" s="27" t="str">
        <f t="shared" si="18"/>
        <v/>
      </c>
      <c r="E355" s="27" t="str">
        <f t="shared" si="18"/>
        <v/>
      </c>
      <c r="F355" s="27" t="str">
        <f t="shared" si="18"/>
        <v/>
      </c>
      <c r="G355" s="27" t="str">
        <f t="shared" si="18"/>
        <v/>
      </c>
      <c r="H355" s="27" t="str">
        <f t="shared" si="18"/>
        <v/>
      </c>
    </row>
    <row r="356" spans="1:8" hidden="1" outlineLevel="1">
      <c r="A356" t="s">
        <v>75</v>
      </c>
      <c r="B356" s="27" t="str">
        <f t="shared" si="18"/>
        <v/>
      </c>
      <c r="C356" s="27" t="str">
        <f t="shared" si="18"/>
        <v/>
      </c>
      <c r="D356" s="27" t="str">
        <f t="shared" si="18"/>
        <v/>
      </c>
      <c r="E356" s="27" t="str">
        <f t="shared" si="18"/>
        <v/>
      </c>
      <c r="F356" s="27" t="str">
        <f t="shared" si="18"/>
        <v/>
      </c>
      <c r="G356" s="27" t="str">
        <f t="shared" si="18"/>
        <v/>
      </c>
      <c r="H356" s="27" t="str">
        <f t="shared" si="18"/>
        <v/>
      </c>
    </row>
    <row r="357" spans="1:8" hidden="1" outlineLevel="1">
      <c r="A357" t="s">
        <v>76</v>
      </c>
      <c r="B357" s="27" t="str">
        <f t="shared" si="18"/>
        <v/>
      </c>
      <c r="C357" s="27" t="str">
        <f t="shared" si="18"/>
        <v/>
      </c>
      <c r="D357" s="27" t="str">
        <f t="shared" si="18"/>
        <v/>
      </c>
      <c r="E357" s="27" t="str">
        <f t="shared" si="18"/>
        <v/>
      </c>
      <c r="F357" s="27" t="str">
        <f t="shared" si="18"/>
        <v/>
      </c>
      <c r="G357" s="27" t="str">
        <f t="shared" si="18"/>
        <v/>
      </c>
      <c r="H357" s="27" t="str">
        <f t="shared" si="18"/>
        <v/>
      </c>
    </row>
    <row r="358" spans="1:8" hidden="1" outlineLevel="1">
      <c r="A358" t="s">
        <v>77</v>
      </c>
      <c r="B358" s="27" t="str">
        <f t="shared" si="18"/>
        <v/>
      </c>
      <c r="C358" s="27" t="str">
        <f t="shared" si="18"/>
        <v/>
      </c>
      <c r="D358" s="27" t="str">
        <f t="shared" si="18"/>
        <v/>
      </c>
      <c r="E358" s="27" t="str">
        <f t="shared" si="18"/>
        <v/>
      </c>
      <c r="F358" s="27" t="str">
        <f t="shared" si="18"/>
        <v/>
      </c>
      <c r="G358" s="27" t="str">
        <f t="shared" si="18"/>
        <v/>
      </c>
      <c r="H358" s="27" t="str">
        <f t="shared" si="18"/>
        <v/>
      </c>
    </row>
    <row r="359" spans="1:8" hidden="1" outlineLevel="1">
      <c r="A359" t="s">
        <v>78</v>
      </c>
      <c r="B359" s="27" t="str">
        <f t="shared" si="18"/>
        <v/>
      </c>
      <c r="C359" s="27" t="str">
        <f t="shared" si="18"/>
        <v/>
      </c>
      <c r="D359" s="27" t="str">
        <f t="shared" si="18"/>
        <v/>
      </c>
      <c r="E359" s="27" t="str">
        <f t="shared" si="18"/>
        <v/>
      </c>
      <c r="F359" s="27" t="str">
        <f t="shared" si="18"/>
        <v/>
      </c>
      <c r="G359" s="27" t="str">
        <f t="shared" si="18"/>
        <v/>
      </c>
      <c r="H359" s="27" t="str">
        <f t="shared" si="18"/>
        <v/>
      </c>
    </row>
    <row r="360" spans="1:8" hidden="1" outlineLevel="1">
      <c r="A360" t="s">
        <v>79</v>
      </c>
      <c r="B360" s="27" t="str">
        <f t="shared" si="18"/>
        <v/>
      </c>
      <c r="C360" s="27" t="str">
        <f t="shared" si="18"/>
        <v/>
      </c>
      <c r="D360" s="27" t="str">
        <f t="shared" si="18"/>
        <v/>
      </c>
      <c r="E360" s="27" t="str">
        <f t="shared" si="18"/>
        <v/>
      </c>
      <c r="F360" s="27" t="str">
        <f t="shared" si="18"/>
        <v/>
      </c>
      <c r="G360" s="27" t="str">
        <f t="shared" si="18"/>
        <v/>
      </c>
      <c r="H360" s="27" t="str">
        <f t="shared" si="18"/>
        <v/>
      </c>
    </row>
    <row r="361" spans="1:8" hidden="1" outlineLevel="1">
      <c r="A361" t="s">
        <v>80</v>
      </c>
      <c r="B361" s="27" t="str">
        <f t="shared" ref="B361:H370" si="19">IF(SUM(B75,B218)=0,"",SUM(B75)/SUM(B75,B218))</f>
        <v/>
      </c>
      <c r="C361" s="27" t="str">
        <f t="shared" si="19"/>
        <v/>
      </c>
      <c r="D361" s="27" t="str">
        <f t="shared" si="19"/>
        <v/>
      </c>
      <c r="E361" s="27" t="str">
        <f t="shared" si="19"/>
        <v/>
      </c>
      <c r="F361" s="27" t="str">
        <f t="shared" si="19"/>
        <v/>
      </c>
      <c r="G361" s="27" t="str">
        <f t="shared" si="19"/>
        <v/>
      </c>
      <c r="H361" s="27" t="str">
        <f t="shared" si="19"/>
        <v/>
      </c>
    </row>
    <row r="362" spans="1:8" hidden="1" outlineLevel="1">
      <c r="A362" t="s">
        <v>81</v>
      </c>
      <c r="B362" s="27" t="str">
        <f t="shared" si="19"/>
        <v/>
      </c>
      <c r="C362" s="27" t="str">
        <f t="shared" si="19"/>
        <v/>
      </c>
      <c r="D362" s="27" t="str">
        <f t="shared" si="19"/>
        <v/>
      </c>
      <c r="E362" s="27" t="str">
        <f t="shared" si="19"/>
        <v/>
      </c>
      <c r="F362" s="27" t="str">
        <f t="shared" si="19"/>
        <v/>
      </c>
      <c r="G362" s="27" t="str">
        <f t="shared" si="19"/>
        <v/>
      </c>
      <c r="H362" s="27" t="str">
        <f t="shared" si="19"/>
        <v/>
      </c>
    </row>
    <row r="363" spans="1:8" hidden="1" outlineLevel="1">
      <c r="A363" t="s">
        <v>82</v>
      </c>
      <c r="B363" s="27" t="str">
        <f t="shared" si="19"/>
        <v/>
      </c>
      <c r="C363" s="27" t="str">
        <f t="shared" si="19"/>
        <v/>
      </c>
      <c r="D363" s="27" t="str">
        <f t="shared" si="19"/>
        <v/>
      </c>
      <c r="E363" s="27" t="str">
        <f t="shared" si="19"/>
        <v/>
      </c>
      <c r="F363" s="27" t="str">
        <f t="shared" si="19"/>
        <v/>
      </c>
      <c r="G363" s="27" t="str">
        <f t="shared" si="19"/>
        <v/>
      </c>
      <c r="H363" s="27" t="str">
        <f t="shared" si="19"/>
        <v/>
      </c>
    </row>
    <row r="364" spans="1:8" hidden="1" outlineLevel="1">
      <c r="A364" t="s">
        <v>83</v>
      </c>
      <c r="B364" s="27" t="str">
        <f t="shared" si="19"/>
        <v/>
      </c>
      <c r="C364" s="27" t="str">
        <f t="shared" si="19"/>
        <v/>
      </c>
      <c r="D364" s="27" t="str">
        <f t="shared" si="19"/>
        <v/>
      </c>
      <c r="E364" s="27" t="str">
        <f t="shared" si="19"/>
        <v/>
      </c>
      <c r="F364" s="27" t="str">
        <f t="shared" si="19"/>
        <v/>
      </c>
      <c r="G364" s="27" t="str">
        <f t="shared" si="19"/>
        <v/>
      </c>
      <c r="H364" s="27" t="str">
        <f t="shared" si="19"/>
        <v/>
      </c>
    </row>
    <row r="365" spans="1:8" hidden="1" outlineLevel="1">
      <c r="A365" t="s">
        <v>84</v>
      </c>
      <c r="B365" s="27" t="str">
        <f t="shared" si="19"/>
        <v/>
      </c>
      <c r="C365" s="27" t="str">
        <f t="shared" si="19"/>
        <v/>
      </c>
      <c r="D365" s="27" t="str">
        <f t="shared" si="19"/>
        <v/>
      </c>
      <c r="E365" s="27" t="str">
        <f t="shared" si="19"/>
        <v/>
      </c>
      <c r="F365" s="27" t="str">
        <f t="shared" si="19"/>
        <v/>
      </c>
      <c r="G365" s="27" t="str">
        <f t="shared" si="19"/>
        <v/>
      </c>
      <c r="H365" s="27" t="str">
        <f t="shared" si="19"/>
        <v/>
      </c>
    </row>
    <row r="366" spans="1:8" hidden="1" outlineLevel="1">
      <c r="A366" t="s">
        <v>85</v>
      </c>
      <c r="B366" s="27" t="str">
        <f t="shared" si="19"/>
        <v/>
      </c>
      <c r="C366" s="27" t="str">
        <f t="shared" si="19"/>
        <v/>
      </c>
      <c r="D366" s="27" t="str">
        <f t="shared" si="19"/>
        <v/>
      </c>
      <c r="E366" s="27" t="str">
        <f t="shared" si="19"/>
        <v/>
      </c>
      <c r="F366" s="27" t="str">
        <f t="shared" si="19"/>
        <v/>
      </c>
      <c r="G366" s="27" t="str">
        <f t="shared" si="19"/>
        <v/>
      </c>
      <c r="H366" s="27" t="str">
        <f t="shared" si="19"/>
        <v/>
      </c>
    </row>
    <row r="367" spans="1:8" hidden="1" outlineLevel="1">
      <c r="A367" t="s">
        <v>86</v>
      </c>
      <c r="B367" s="27" t="str">
        <f t="shared" si="19"/>
        <v/>
      </c>
      <c r="C367" s="27" t="str">
        <f t="shared" si="19"/>
        <v/>
      </c>
      <c r="D367" s="27" t="str">
        <f t="shared" si="19"/>
        <v/>
      </c>
      <c r="E367" s="27" t="str">
        <f t="shared" si="19"/>
        <v/>
      </c>
      <c r="F367" s="27" t="str">
        <f t="shared" si="19"/>
        <v/>
      </c>
      <c r="G367" s="27" t="str">
        <f t="shared" si="19"/>
        <v/>
      </c>
      <c r="H367" s="27" t="str">
        <f t="shared" si="19"/>
        <v/>
      </c>
    </row>
    <row r="368" spans="1:8" hidden="1" outlineLevel="1">
      <c r="A368" t="s">
        <v>87</v>
      </c>
      <c r="B368" s="27" t="str">
        <f t="shared" si="19"/>
        <v/>
      </c>
      <c r="C368" s="27" t="str">
        <f t="shared" si="19"/>
        <v/>
      </c>
      <c r="D368" s="27" t="str">
        <f t="shared" si="19"/>
        <v/>
      </c>
      <c r="E368" s="27" t="str">
        <f t="shared" si="19"/>
        <v/>
      </c>
      <c r="F368" s="27" t="str">
        <f t="shared" si="19"/>
        <v/>
      </c>
      <c r="G368" s="27" t="str">
        <f t="shared" si="19"/>
        <v/>
      </c>
      <c r="H368" s="27" t="str">
        <f t="shared" si="19"/>
        <v/>
      </c>
    </row>
    <row r="369" spans="1:8" hidden="1" outlineLevel="1">
      <c r="A369" t="s">
        <v>88</v>
      </c>
      <c r="B369" s="27" t="str">
        <f t="shared" si="19"/>
        <v/>
      </c>
      <c r="C369" s="27" t="str">
        <f t="shared" si="19"/>
        <v/>
      </c>
      <c r="D369" s="27" t="str">
        <f t="shared" si="19"/>
        <v/>
      </c>
      <c r="E369" s="27" t="str">
        <f t="shared" si="19"/>
        <v/>
      </c>
      <c r="F369" s="27" t="str">
        <f t="shared" si="19"/>
        <v/>
      </c>
      <c r="G369" s="27" t="str">
        <f t="shared" si="19"/>
        <v/>
      </c>
      <c r="H369" s="27" t="str">
        <f t="shared" si="19"/>
        <v/>
      </c>
    </row>
    <row r="370" spans="1:8" hidden="1" outlineLevel="1">
      <c r="A370" t="s">
        <v>89</v>
      </c>
      <c r="B370" s="27" t="str">
        <f t="shared" si="19"/>
        <v/>
      </c>
      <c r="C370" s="27" t="str">
        <f t="shared" si="19"/>
        <v/>
      </c>
      <c r="D370" s="27" t="str">
        <f t="shared" si="19"/>
        <v/>
      </c>
      <c r="E370" s="27" t="str">
        <f t="shared" si="19"/>
        <v/>
      </c>
      <c r="F370" s="27" t="str">
        <f t="shared" si="19"/>
        <v/>
      </c>
      <c r="G370" s="27" t="str">
        <f t="shared" si="19"/>
        <v/>
      </c>
      <c r="H370" s="27" t="str">
        <f t="shared" si="19"/>
        <v/>
      </c>
    </row>
    <row r="371" spans="1:8" hidden="1" outlineLevel="1">
      <c r="A371" t="s">
        <v>90</v>
      </c>
      <c r="B371" s="27" t="str">
        <f t="shared" ref="B371:H380" si="20">IF(SUM(B85,B228)=0,"",SUM(B85)/SUM(B85,B228))</f>
        <v/>
      </c>
      <c r="C371" s="27" t="str">
        <f t="shared" si="20"/>
        <v/>
      </c>
      <c r="D371" s="27" t="str">
        <f t="shared" si="20"/>
        <v/>
      </c>
      <c r="E371" s="27" t="str">
        <f t="shared" si="20"/>
        <v/>
      </c>
      <c r="F371" s="27" t="str">
        <f t="shared" si="20"/>
        <v/>
      </c>
      <c r="G371" s="27" t="str">
        <f t="shared" si="20"/>
        <v/>
      </c>
      <c r="H371" s="27" t="str">
        <f t="shared" si="20"/>
        <v/>
      </c>
    </row>
    <row r="372" spans="1:8" hidden="1" outlineLevel="1">
      <c r="A372" t="s">
        <v>91</v>
      </c>
      <c r="B372" s="27" t="str">
        <f t="shared" si="20"/>
        <v/>
      </c>
      <c r="C372" s="27" t="str">
        <f t="shared" si="20"/>
        <v/>
      </c>
      <c r="D372" s="27" t="str">
        <f t="shared" si="20"/>
        <v/>
      </c>
      <c r="E372" s="27" t="str">
        <f t="shared" si="20"/>
        <v/>
      </c>
      <c r="F372" s="27" t="str">
        <f t="shared" si="20"/>
        <v/>
      </c>
      <c r="G372" s="27" t="str">
        <f t="shared" si="20"/>
        <v/>
      </c>
      <c r="H372" s="27" t="str">
        <f t="shared" si="20"/>
        <v/>
      </c>
    </row>
    <row r="373" spans="1:8" hidden="1" outlineLevel="1">
      <c r="A373" t="s">
        <v>92</v>
      </c>
      <c r="B373" s="27" t="str">
        <f t="shared" si="20"/>
        <v/>
      </c>
      <c r="C373" s="27" t="str">
        <f t="shared" si="20"/>
        <v/>
      </c>
      <c r="D373" s="27" t="str">
        <f t="shared" si="20"/>
        <v/>
      </c>
      <c r="E373" s="27" t="str">
        <f t="shared" si="20"/>
        <v/>
      </c>
      <c r="F373" s="27" t="str">
        <f t="shared" si="20"/>
        <v/>
      </c>
      <c r="G373" s="27" t="str">
        <f t="shared" si="20"/>
        <v/>
      </c>
      <c r="H373" s="27" t="str">
        <f t="shared" si="20"/>
        <v/>
      </c>
    </row>
    <row r="374" spans="1:8" hidden="1" outlineLevel="1">
      <c r="A374" t="s">
        <v>93</v>
      </c>
      <c r="B374" s="27" t="str">
        <f t="shared" si="20"/>
        <v/>
      </c>
      <c r="C374" s="27" t="str">
        <f t="shared" si="20"/>
        <v/>
      </c>
      <c r="D374" s="27" t="str">
        <f t="shared" si="20"/>
        <v/>
      </c>
      <c r="E374" s="27" t="str">
        <f t="shared" si="20"/>
        <v/>
      </c>
      <c r="F374" s="27" t="str">
        <f t="shared" si="20"/>
        <v/>
      </c>
      <c r="G374" s="27" t="str">
        <f t="shared" si="20"/>
        <v/>
      </c>
      <c r="H374" s="27" t="str">
        <f t="shared" si="20"/>
        <v/>
      </c>
    </row>
    <row r="375" spans="1:8" hidden="1" outlineLevel="1">
      <c r="A375" t="s">
        <v>94</v>
      </c>
      <c r="B375" s="27" t="str">
        <f t="shared" si="20"/>
        <v/>
      </c>
      <c r="C375" s="27" t="str">
        <f t="shared" si="20"/>
        <v/>
      </c>
      <c r="D375" s="27" t="str">
        <f t="shared" si="20"/>
        <v/>
      </c>
      <c r="E375" s="27" t="str">
        <f t="shared" si="20"/>
        <v/>
      </c>
      <c r="F375" s="27" t="str">
        <f t="shared" si="20"/>
        <v/>
      </c>
      <c r="G375" s="27" t="str">
        <f t="shared" si="20"/>
        <v/>
      </c>
      <c r="H375" s="27" t="str">
        <f t="shared" si="20"/>
        <v/>
      </c>
    </row>
    <row r="376" spans="1:8" hidden="1" outlineLevel="1">
      <c r="A376" t="s">
        <v>95</v>
      </c>
      <c r="B376" s="27" t="str">
        <f t="shared" si="20"/>
        <v/>
      </c>
      <c r="C376" s="27" t="str">
        <f t="shared" si="20"/>
        <v/>
      </c>
      <c r="D376" s="27" t="str">
        <f t="shared" si="20"/>
        <v/>
      </c>
      <c r="E376" s="27" t="str">
        <f t="shared" si="20"/>
        <v/>
      </c>
      <c r="F376" s="27" t="str">
        <f t="shared" si="20"/>
        <v/>
      </c>
      <c r="G376" s="27" t="str">
        <f t="shared" si="20"/>
        <v/>
      </c>
      <c r="H376" s="27" t="str">
        <f t="shared" si="20"/>
        <v/>
      </c>
    </row>
    <row r="377" spans="1:8" hidden="1" outlineLevel="1">
      <c r="A377" t="s">
        <v>96</v>
      </c>
      <c r="B377" s="27" t="str">
        <f t="shared" si="20"/>
        <v/>
      </c>
      <c r="C377" s="27" t="str">
        <f t="shared" si="20"/>
        <v/>
      </c>
      <c r="D377" s="27" t="str">
        <f t="shared" si="20"/>
        <v/>
      </c>
      <c r="E377" s="27" t="str">
        <f t="shared" si="20"/>
        <v/>
      </c>
      <c r="F377" s="27" t="str">
        <f t="shared" si="20"/>
        <v/>
      </c>
      <c r="G377" s="27" t="str">
        <f t="shared" si="20"/>
        <v/>
      </c>
      <c r="H377" s="27" t="str">
        <f t="shared" si="20"/>
        <v/>
      </c>
    </row>
    <row r="378" spans="1:8" hidden="1" outlineLevel="1">
      <c r="A378" t="s">
        <v>97</v>
      </c>
      <c r="B378" s="27" t="str">
        <f t="shared" si="20"/>
        <v/>
      </c>
      <c r="C378" s="27" t="str">
        <f t="shared" si="20"/>
        <v/>
      </c>
      <c r="D378" s="27" t="str">
        <f t="shared" si="20"/>
        <v/>
      </c>
      <c r="E378" s="27" t="str">
        <f t="shared" si="20"/>
        <v/>
      </c>
      <c r="F378" s="27" t="str">
        <f t="shared" si="20"/>
        <v/>
      </c>
      <c r="G378" s="27" t="str">
        <f t="shared" si="20"/>
        <v/>
      </c>
      <c r="H378" s="27" t="str">
        <f t="shared" si="20"/>
        <v/>
      </c>
    </row>
    <row r="379" spans="1:8" hidden="1" outlineLevel="1">
      <c r="A379" t="s">
        <v>98</v>
      </c>
      <c r="B379" s="27" t="str">
        <f t="shared" si="20"/>
        <v/>
      </c>
      <c r="C379" s="27" t="str">
        <f t="shared" si="20"/>
        <v/>
      </c>
      <c r="D379" s="27" t="str">
        <f t="shared" si="20"/>
        <v/>
      </c>
      <c r="E379" s="27" t="str">
        <f t="shared" si="20"/>
        <v/>
      </c>
      <c r="F379" s="27" t="str">
        <f t="shared" si="20"/>
        <v/>
      </c>
      <c r="G379" s="27" t="str">
        <f t="shared" si="20"/>
        <v/>
      </c>
      <c r="H379" s="27" t="str">
        <f t="shared" si="20"/>
        <v/>
      </c>
    </row>
    <row r="380" spans="1:8" hidden="1" outlineLevel="1">
      <c r="A380" t="s">
        <v>99</v>
      </c>
      <c r="B380" s="27" t="str">
        <f t="shared" si="20"/>
        <v/>
      </c>
      <c r="C380" s="27" t="str">
        <f t="shared" si="20"/>
        <v/>
      </c>
      <c r="D380" s="27" t="str">
        <f t="shared" si="20"/>
        <v/>
      </c>
      <c r="E380" s="27" t="str">
        <f t="shared" si="20"/>
        <v/>
      </c>
      <c r="F380" s="27" t="str">
        <f t="shared" si="20"/>
        <v/>
      </c>
      <c r="G380" s="27" t="str">
        <f t="shared" si="20"/>
        <v/>
      </c>
      <c r="H380" s="27" t="str">
        <f t="shared" si="20"/>
        <v/>
      </c>
    </row>
    <row r="381" spans="1:8" hidden="1" outlineLevel="1">
      <c r="A381" t="s">
        <v>100</v>
      </c>
      <c r="B381" s="27" t="str">
        <f t="shared" ref="B381:H390" si="21">IF(SUM(B95,B238)=0,"",SUM(B95)/SUM(B95,B238))</f>
        <v/>
      </c>
      <c r="C381" s="27" t="str">
        <f t="shared" si="21"/>
        <v/>
      </c>
      <c r="D381" s="27" t="str">
        <f t="shared" si="21"/>
        <v/>
      </c>
      <c r="E381" s="27" t="str">
        <f t="shared" si="21"/>
        <v/>
      </c>
      <c r="F381" s="27" t="str">
        <f t="shared" si="21"/>
        <v/>
      </c>
      <c r="G381" s="27" t="str">
        <f t="shared" si="21"/>
        <v/>
      </c>
      <c r="H381" s="27" t="str">
        <f t="shared" si="21"/>
        <v/>
      </c>
    </row>
    <row r="382" spans="1:8" hidden="1" outlineLevel="1">
      <c r="A382" t="s">
        <v>101</v>
      </c>
      <c r="B382" s="27" t="str">
        <f t="shared" si="21"/>
        <v/>
      </c>
      <c r="C382" s="27" t="str">
        <f t="shared" si="21"/>
        <v/>
      </c>
      <c r="D382" s="27" t="str">
        <f t="shared" si="21"/>
        <v/>
      </c>
      <c r="E382" s="27" t="str">
        <f t="shared" si="21"/>
        <v/>
      </c>
      <c r="F382" s="27" t="str">
        <f t="shared" si="21"/>
        <v/>
      </c>
      <c r="G382" s="27" t="str">
        <f t="shared" si="21"/>
        <v/>
      </c>
      <c r="H382" s="27" t="str">
        <f t="shared" si="21"/>
        <v/>
      </c>
    </row>
    <row r="383" spans="1:8" hidden="1" outlineLevel="1">
      <c r="A383" t="s">
        <v>102</v>
      </c>
      <c r="B383" s="27" t="str">
        <f t="shared" si="21"/>
        <v/>
      </c>
      <c r="C383" s="27" t="str">
        <f t="shared" si="21"/>
        <v/>
      </c>
      <c r="D383" s="27" t="str">
        <f t="shared" si="21"/>
        <v/>
      </c>
      <c r="E383" s="27" t="str">
        <f t="shared" si="21"/>
        <v/>
      </c>
      <c r="F383" s="27" t="str">
        <f t="shared" si="21"/>
        <v/>
      </c>
      <c r="G383" s="27" t="str">
        <f t="shared" si="21"/>
        <v/>
      </c>
      <c r="H383" s="27" t="str">
        <f t="shared" si="21"/>
        <v/>
      </c>
    </row>
    <row r="384" spans="1:8" hidden="1" outlineLevel="1">
      <c r="A384" t="s">
        <v>103</v>
      </c>
      <c r="B384" s="27" t="str">
        <f t="shared" si="21"/>
        <v/>
      </c>
      <c r="C384" s="27" t="str">
        <f t="shared" si="21"/>
        <v/>
      </c>
      <c r="D384" s="27" t="str">
        <f t="shared" si="21"/>
        <v/>
      </c>
      <c r="E384" s="27" t="str">
        <f t="shared" si="21"/>
        <v/>
      </c>
      <c r="F384" s="27" t="str">
        <f t="shared" si="21"/>
        <v/>
      </c>
      <c r="G384" s="27" t="str">
        <f t="shared" si="21"/>
        <v/>
      </c>
      <c r="H384" s="27" t="str">
        <f t="shared" si="21"/>
        <v/>
      </c>
    </row>
    <row r="385" spans="1:8" hidden="1" outlineLevel="1">
      <c r="A385" t="s">
        <v>104</v>
      </c>
      <c r="B385" s="27" t="str">
        <f t="shared" si="21"/>
        <v/>
      </c>
      <c r="C385" s="27" t="str">
        <f t="shared" si="21"/>
        <v/>
      </c>
      <c r="D385" s="27" t="str">
        <f t="shared" si="21"/>
        <v/>
      </c>
      <c r="E385" s="27" t="str">
        <f t="shared" si="21"/>
        <v/>
      </c>
      <c r="F385" s="27" t="str">
        <f t="shared" si="21"/>
        <v/>
      </c>
      <c r="G385" s="27" t="str">
        <f t="shared" si="21"/>
        <v/>
      </c>
      <c r="H385" s="27" t="str">
        <f t="shared" si="21"/>
        <v/>
      </c>
    </row>
    <row r="386" spans="1:8" hidden="1" outlineLevel="1">
      <c r="A386" t="s">
        <v>105</v>
      </c>
      <c r="B386" s="27" t="str">
        <f t="shared" si="21"/>
        <v/>
      </c>
      <c r="C386" s="27" t="str">
        <f t="shared" si="21"/>
        <v/>
      </c>
      <c r="D386" s="27" t="str">
        <f t="shared" si="21"/>
        <v/>
      </c>
      <c r="E386" s="27" t="str">
        <f t="shared" si="21"/>
        <v/>
      </c>
      <c r="F386" s="27" t="str">
        <f t="shared" si="21"/>
        <v/>
      </c>
      <c r="G386" s="27" t="str">
        <f t="shared" si="21"/>
        <v/>
      </c>
      <c r="H386" s="27" t="str">
        <f t="shared" si="21"/>
        <v/>
      </c>
    </row>
    <row r="387" spans="1:8" hidden="1" outlineLevel="1">
      <c r="A387" t="s">
        <v>106</v>
      </c>
      <c r="B387" s="27" t="str">
        <f t="shared" si="21"/>
        <v/>
      </c>
      <c r="C387" s="27" t="str">
        <f t="shared" si="21"/>
        <v/>
      </c>
      <c r="D387" s="27" t="str">
        <f t="shared" si="21"/>
        <v/>
      </c>
      <c r="E387" s="27" t="str">
        <f t="shared" si="21"/>
        <v/>
      </c>
      <c r="F387" s="27" t="str">
        <f t="shared" si="21"/>
        <v/>
      </c>
      <c r="G387" s="27" t="str">
        <f t="shared" si="21"/>
        <v/>
      </c>
      <c r="H387" s="27" t="str">
        <f t="shared" si="21"/>
        <v/>
      </c>
    </row>
    <row r="388" spans="1:8" hidden="1" outlineLevel="1">
      <c r="A388" t="s">
        <v>107</v>
      </c>
      <c r="B388" s="27" t="str">
        <f t="shared" si="21"/>
        <v/>
      </c>
      <c r="C388" s="27" t="str">
        <f t="shared" si="21"/>
        <v/>
      </c>
      <c r="D388" s="27" t="str">
        <f t="shared" si="21"/>
        <v/>
      </c>
      <c r="E388" s="27" t="str">
        <f t="shared" si="21"/>
        <v/>
      </c>
      <c r="F388" s="27" t="str">
        <f t="shared" si="21"/>
        <v/>
      </c>
      <c r="G388" s="27" t="str">
        <f t="shared" si="21"/>
        <v/>
      </c>
      <c r="H388" s="27" t="str">
        <f t="shared" si="21"/>
        <v/>
      </c>
    </row>
    <row r="389" spans="1:8" hidden="1" outlineLevel="1">
      <c r="A389" t="s">
        <v>108</v>
      </c>
      <c r="B389" s="27" t="str">
        <f t="shared" si="21"/>
        <v/>
      </c>
      <c r="C389" s="27" t="str">
        <f t="shared" si="21"/>
        <v/>
      </c>
      <c r="D389" s="27" t="str">
        <f t="shared" si="21"/>
        <v/>
      </c>
      <c r="E389" s="27" t="str">
        <f t="shared" si="21"/>
        <v/>
      </c>
      <c r="F389" s="27" t="str">
        <f t="shared" si="21"/>
        <v/>
      </c>
      <c r="G389" s="27" t="str">
        <f t="shared" si="21"/>
        <v/>
      </c>
      <c r="H389" s="27" t="str">
        <f t="shared" si="21"/>
        <v/>
      </c>
    </row>
    <row r="390" spans="1:8" hidden="1" outlineLevel="1">
      <c r="A390" t="s">
        <v>109</v>
      </c>
      <c r="B390" s="27" t="str">
        <f t="shared" si="21"/>
        <v/>
      </c>
      <c r="C390" s="27" t="str">
        <f t="shared" si="21"/>
        <v/>
      </c>
      <c r="D390" s="27" t="str">
        <f t="shared" si="21"/>
        <v/>
      </c>
      <c r="E390" s="27" t="str">
        <f t="shared" si="21"/>
        <v/>
      </c>
      <c r="F390" s="27" t="str">
        <f t="shared" si="21"/>
        <v/>
      </c>
      <c r="G390" s="27" t="str">
        <f t="shared" si="21"/>
        <v/>
      </c>
      <c r="H390" s="27" t="str">
        <f t="shared" si="21"/>
        <v/>
      </c>
    </row>
    <row r="391" spans="1:8" hidden="1" outlineLevel="1">
      <c r="A391" t="s">
        <v>110</v>
      </c>
      <c r="B391" s="27" t="str">
        <f t="shared" ref="B391:H400" si="22">IF(SUM(B105,B248)=0,"",SUM(B105)/SUM(B105,B248))</f>
        <v/>
      </c>
      <c r="C391" s="27" t="str">
        <f t="shared" si="22"/>
        <v/>
      </c>
      <c r="D391" s="27" t="str">
        <f t="shared" si="22"/>
        <v/>
      </c>
      <c r="E391" s="27" t="str">
        <f t="shared" si="22"/>
        <v/>
      </c>
      <c r="F391" s="27" t="str">
        <f t="shared" si="22"/>
        <v/>
      </c>
      <c r="G391" s="27" t="str">
        <f t="shared" si="22"/>
        <v/>
      </c>
      <c r="H391" s="27" t="str">
        <f t="shared" si="22"/>
        <v/>
      </c>
    </row>
    <row r="392" spans="1:8" hidden="1" outlineLevel="1">
      <c r="A392" t="s">
        <v>111</v>
      </c>
      <c r="B392" s="27" t="str">
        <f t="shared" si="22"/>
        <v/>
      </c>
      <c r="C392" s="27" t="str">
        <f t="shared" si="22"/>
        <v/>
      </c>
      <c r="D392" s="27" t="str">
        <f t="shared" si="22"/>
        <v/>
      </c>
      <c r="E392" s="27" t="str">
        <f t="shared" si="22"/>
        <v/>
      </c>
      <c r="F392" s="27" t="str">
        <f t="shared" si="22"/>
        <v/>
      </c>
      <c r="G392" s="27" t="str">
        <f t="shared" si="22"/>
        <v/>
      </c>
      <c r="H392" s="27" t="str">
        <f t="shared" si="22"/>
        <v/>
      </c>
    </row>
    <row r="393" spans="1:8" hidden="1" outlineLevel="1">
      <c r="A393" t="s">
        <v>112</v>
      </c>
      <c r="B393" s="27" t="str">
        <f t="shared" si="22"/>
        <v/>
      </c>
      <c r="C393" s="27" t="str">
        <f t="shared" si="22"/>
        <v/>
      </c>
      <c r="D393" s="27" t="str">
        <f t="shared" si="22"/>
        <v/>
      </c>
      <c r="E393" s="27" t="str">
        <f t="shared" si="22"/>
        <v/>
      </c>
      <c r="F393" s="27" t="str">
        <f t="shared" si="22"/>
        <v/>
      </c>
      <c r="G393" s="27" t="str">
        <f t="shared" si="22"/>
        <v/>
      </c>
      <c r="H393" s="27" t="str">
        <f t="shared" si="22"/>
        <v/>
      </c>
    </row>
    <row r="394" spans="1:8" hidden="1" outlineLevel="1">
      <c r="A394" t="s">
        <v>113</v>
      </c>
      <c r="B394" s="27" t="str">
        <f t="shared" si="22"/>
        <v/>
      </c>
      <c r="C394" s="27" t="str">
        <f t="shared" si="22"/>
        <v/>
      </c>
      <c r="D394" s="27" t="str">
        <f t="shared" si="22"/>
        <v/>
      </c>
      <c r="E394" s="27" t="str">
        <f t="shared" si="22"/>
        <v/>
      </c>
      <c r="F394" s="27" t="str">
        <f t="shared" si="22"/>
        <v/>
      </c>
      <c r="G394" s="27" t="str">
        <f t="shared" si="22"/>
        <v/>
      </c>
      <c r="H394" s="27" t="str">
        <f t="shared" si="22"/>
        <v/>
      </c>
    </row>
    <row r="395" spans="1:8" hidden="1" outlineLevel="1">
      <c r="A395" t="s">
        <v>114</v>
      </c>
      <c r="B395" s="27" t="str">
        <f t="shared" si="22"/>
        <v/>
      </c>
      <c r="C395" s="27" t="str">
        <f t="shared" si="22"/>
        <v/>
      </c>
      <c r="D395" s="27" t="str">
        <f t="shared" si="22"/>
        <v/>
      </c>
      <c r="E395" s="27" t="str">
        <f t="shared" si="22"/>
        <v/>
      </c>
      <c r="F395" s="27" t="str">
        <f t="shared" si="22"/>
        <v/>
      </c>
      <c r="G395" s="27" t="str">
        <f t="shared" si="22"/>
        <v/>
      </c>
      <c r="H395" s="27" t="str">
        <f t="shared" si="22"/>
        <v/>
      </c>
    </row>
    <row r="396" spans="1:8" hidden="1" outlineLevel="1">
      <c r="A396" t="s">
        <v>115</v>
      </c>
      <c r="B396" s="27" t="str">
        <f t="shared" si="22"/>
        <v/>
      </c>
      <c r="C396" s="27" t="str">
        <f t="shared" si="22"/>
        <v/>
      </c>
      <c r="D396" s="27" t="str">
        <f t="shared" si="22"/>
        <v/>
      </c>
      <c r="E396" s="27" t="str">
        <f t="shared" si="22"/>
        <v/>
      </c>
      <c r="F396" s="27" t="str">
        <f t="shared" si="22"/>
        <v/>
      </c>
      <c r="G396" s="27" t="str">
        <f t="shared" si="22"/>
        <v/>
      </c>
      <c r="H396" s="27" t="str">
        <f t="shared" si="22"/>
        <v/>
      </c>
    </row>
    <row r="397" spans="1:8" hidden="1" outlineLevel="1">
      <c r="A397" t="s">
        <v>116</v>
      </c>
      <c r="B397" s="27" t="str">
        <f t="shared" si="22"/>
        <v/>
      </c>
      <c r="C397" s="27" t="str">
        <f t="shared" si="22"/>
        <v/>
      </c>
      <c r="D397" s="27" t="str">
        <f t="shared" si="22"/>
        <v/>
      </c>
      <c r="E397" s="27" t="str">
        <f t="shared" si="22"/>
        <v/>
      </c>
      <c r="F397" s="27" t="str">
        <f t="shared" si="22"/>
        <v/>
      </c>
      <c r="G397" s="27" t="str">
        <f t="shared" si="22"/>
        <v/>
      </c>
      <c r="H397" s="27" t="str">
        <f t="shared" si="22"/>
        <v/>
      </c>
    </row>
    <row r="398" spans="1:8" hidden="1" outlineLevel="1">
      <c r="A398" t="s">
        <v>117</v>
      </c>
      <c r="B398" s="27" t="str">
        <f t="shared" si="22"/>
        <v/>
      </c>
      <c r="C398" s="27" t="str">
        <f t="shared" si="22"/>
        <v/>
      </c>
      <c r="D398" s="27" t="str">
        <f t="shared" si="22"/>
        <v/>
      </c>
      <c r="E398" s="27" t="str">
        <f t="shared" si="22"/>
        <v/>
      </c>
      <c r="F398" s="27" t="str">
        <f t="shared" si="22"/>
        <v/>
      </c>
      <c r="G398" s="27" t="str">
        <f t="shared" si="22"/>
        <v/>
      </c>
      <c r="H398" s="27" t="str">
        <f t="shared" si="22"/>
        <v/>
      </c>
    </row>
    <row r="399" spans="1:8" hidden="1" outlineLevel="1">
      <c r="A399" t="s">
        <v>118</v>
      </c>
      <c r="B399" s="27" t="str">
        <f t="shared" si="22"/>
        <v/>
      </c>
      <c r="C399" s="27" t="str">
        <f t="shared" si="22"/>
        <v/>
      </c>
      <c r="D399" s="27" t="str">
        <f t="shared" si="22"/>
        <v/>
      </c>
      <c r="E399" s="27" t="str">
        <f t="shared" si="22"/>
        <v/>
      </c>
      <c r="F399" s="27" t="str">
        <f t="shared" si="22"/>
        <v/>
      </c>
      <c r="G399" s="27" t="str">
        <f t="shared" si="22"/>
        <v/>
      </c>
      <c r="H399" s="27" t="str">
        <f t="shared" si="22"/>
        <v/>
      </c>
    </row>
    <row r="400" spans="1:8" hidden="1" outlineLevel="1">
      <c r="A400" t="s">
        <v>119</v>
      </c>
      <c r="B400" s="27" t="str">
        <f t="shared" si="22"/>
        <v/>
      </c>
      <c r="C400" s="27" t="str">
        <f t="shared" si="22"/>
        <v/>
      </c>
      <c r="D400" s="27" t="str">
        <f t="shared" si="22"/>
        <v/>
      </c>
      <c r="E400" s="27" t="str">
        <f t="shared" si="22"/>
        <v/>
      </c>
      <c r="F400" s="27" t="str">
        <f t="shared" si="22"/>
        <v/>
      </c>
      <c r="G400" s="27" t="str">
        <f t="shared" si="22"/>
        <v/>
      </c>
      <c r="H400" s="27" t="str">
        <f t="shared" si="22"/>
        <v/>
      </c>
    </row>
    <row r="401" spans="1:8" hidden="1" outlineLevel="1">
      <c r="A401" t="s">
        <v>120</v>
      </c>
      <c r="B401" s="27" t="str">
        <f t="shared" ref="B401:H410" si="23">IF(SUM(B115,B258)=0,"",SUM(B115)/SUM(B115,B258))</f>
        <v/>
      </c>
      <c r="C401" s="27" t="str">
        <f t="shared" si="23"/>
        <v/>
      </c>
      <c r="D401" s="27" t="str">
        <f t="shared" si="23"/>
        <v/>
      </c>
      <c r="E401" s="27" t="str">
        <f t="shared" si="23"/>
        <v/>
      </c>
      <c r="F401" s="27" t="str">
        <f t="shared" si="23"/>
        <v/>
      </c>
      <c r="G401" s="27" t="str">
        <f t="shared" si="23"/>
        <v/>
      </c>
      <c r="H401" s="27" t="str">
        <f t="shared" si="23"/>
        <v/>
      </c>
    </row>
    <row r="402" spans="1:8" hidden="1" outlineLevel="1">
      <c r="A402" t="s">
        <v>121</v>
      </c>
      <c r="B402" s="27" t="str">
        <f t="shared" si="23"/>
        <v/>
      </c>
      <c r="C402" s="27" t="str">
        <f t="shared" si="23"/>
        <v/>
      </c>
      <c r="D402" s="27" t="str">
        <f t="shared" si="23"/>
        <v/>
      </c>
      <c r="E402" s="27" t="str">
        <f t="shared" si="23"/>
        <v/>
      </c>
      <c r="F402" s="27" t="str">
        <f t="shared" si="23"/>
        <v/>
      </c>
      <c r="G402" s="27" t="str">
        <f t="shared" si="23"/>
        <v/>
      </c>
      <c r="H402" s="27" t="str">
        <f t="shared" si="23"/>
        <v/>
      </c>
    </row>
    <row r="403" spans="1:8" hidden="1" outlineLevel="1">
      <c r="A403" t="s">
        <v>122</v>
      </c>
      <c r="B403" s="27" t="str">
        <f t="shared" si="23"/>
        <v/>
      </c>
      <c r="C403" s="27" t="str">
        <f t="shared" si="23"/>
        <v/>
      </c>
      <c r="D403" s="27" t="str">
        <f t="shared" si="23"/>
        <v/>
      </c>
      <c r="E403" s="27" t="str">
        <f t="shared" si="23"/>
        <v/>
      </c>
      <c r="F403" s="27" t="str">
        <f t="shared" si="23"/>
        <v/>
      </c>
      <c r="G403" s="27" t="str">
        <f t="shared" si="23"/>
        <v/>
      </c>
      <c r="H403" s="27" t="str">
        <f t="shared" si="23"/>
        <v/>
      </c>
    </row>
    <row r="404" spans="1:8" hidden="1" outlineLevel="1">
      <c r="A404" t="s">
        <v>123</v>
      </c>
      <c r="B404" s="27" t="str">
        <f t="shared" si="23"/>
        <v/>
      </c>
      <c r="C404" s="27" t="str">
        <f t="shared" si="23"/>
        <v/>
      </c>
      <c r="D404" s="27" t="str">
        <f t="shared" si="23"/>
        <v/>
      </c>
      <c r="E404" s="27" t="str">
        <f t="shared" si="23"/>
        <v/>
      </c>
      <c r="F404" s="27" t="str">
        <f t="shared" si="23"/>
        <v/>
      </c>
      <c r="G404" s="27" t="str">
        <f t="shared" si="23"/>
        <v/>
      </c>
      <c r="H404" s="27" t="str">
        <f t="shared" si="23"/>
        <v/>
      </c>
    </row>
    <row r="405" spans="1:8" hidden="1" outlineLevel="1">
      <c r="A405" t="s">
        <v>124</v>
      </c>
      <c r="B405" s="27" t="str">
        <f t="shared" si="23"/>
        <v/>
      </c>
      <c r="C405" s="27" t="str">
        <f t="shared" si="23"/>
        <v/>
      </c>
      <c r="D405" s="27" t="str">
        <f t="shared" si="23"/>
        <v/>
      </c>
      <c r="E405" s="27" t="str">
        <f t="shared" si="23"/>
        <v/>
      </c>
      <c r="F405" s="27" t="str">
        <f t="shared" si="23"/>
        <v/>
      </c>
      <c r="G405" s="27" t="str">
        <f t="shared" si="23"/>
        <v/>
      </c>
      <c r="H405" s="27" t="str">
        <f t="shared" si="23"/>
        <v/>
      </c>
    </row>
    <row r="406" spans="1:8" hidden="1" outlineLevel="1">
      <c r="A406" t="s">
        <v>125</v>
      </c>
      <c r="B406" s="27" t="str">
        <f t="shared" si="23"/>
        <v/>
      </c>
      <c r="C406" s="27" t="str">
        <f t="shared" si="23"/>
        <v/>
      </c>
      <c r="D406" s="27" t="str">
        <f t="shared" si="23"/>
        <v/>
      </c>
      <c r="E406" s="27" t="str">
        <f t="shared" si="23"/>
        <v/>
      </c>
      <c r="F406" s="27" t="str">
        <f t="shared" si="23"/>
        <v/>
      </c>
      <c r="G406" s="27" t="str">
        <f t="shared" si="23"/>
        <v/>
      </c>
      <c r="H406" s="27" t="str">
        <f t="shared" si="23"/>
        <v/>
      </c>
    </row>
    <row r="407" spans="1:8" hidden="1" outlineLevel="1">
      <c r="A407" t="s">
        <v>126</v>
      </c>
      <c r="B407" s="27" t="str">
        <f t="shared" si="23"/>
        <v/>
      </c>
      <c r="C407" s="27" t="str">
        <f t="shared" si="23"/>
        <v/>
      </c>
      <c r="D407" s="27" t="str">
        <f t="shared" si="23"/>
        <v/>
      </c>
      <c r="E407" s="27" t="str">
        <f t="shared" si="23"/>
        <v/>
      </c>
      <c r="F407" s="27" t="str">
        <f t="shared" si="23"/>
        <v/>
      </c>
      <c r="G407" s="27" t="str">
        <f t="shared" si="23"/>
        <v/>
      </c>
      <c r="H407" s="27" t="str">
        <f t="shared" si="23"/>
        <v/>
      </c>
    </row>
    <row r="408" spans="1:8" hidden="1" outlineLevel="1">
      <c r="A408" t="s">
        <v>127</v>
      </c>
      <c r="B408" s="27" t="str">
        <f t="shared" si="23"/>
        <v/>
      </c>
      <c r="C408" s="27" t="str">
        <f t="shared" si="23"/>
        <v/>
      </c>
      <c r="D408" s="27" t="str">
        <f t="shared" si="23"/>
        <v/>
      </c>
      <c r="E408" s="27" t="str">
        <f t="shared" si="23"/>
        <v/>
      </c>
      <c r="F408" s="27" t="str">
        <f t="shared" si="23"/>
        <v/>
      </c>
      <c r="G408" s="27" t="str">
        <f t="shared" si="23"/>
        <v/>
      </c>
      <c r="H408" s="27" t="str">
        <f t="shared" si="23"/>
        <v/>
      </c>
    </row>
    <row r="409" spans="1:8" hidden="1" outlineLevel="1">
      <c r="A409" t="s">
        <v>128</v>
      </c>
      <c r="B409" s="27" t="str">
        <f t="shared" si="23"/>
        <v/>
      </c>
      <c r="C409" s="27" t="str">
        <f t="shared" si="23"/>
        <v/>
      </c>
      <c r="D409" s="27" t="str">
        <f t="shared" si="23"/>
        <v/>
      </c>
      <c r="E409" s="27" t="str">
        <f t="shared" si="23"/>
        <v/>
      </c>
      <c r="F409" s="27" t="str">
        <f t="shared" si="23"/>
        <v/>
      </c>
      <c r="G409" s="27" t="str">
        <f t="shared" si="23"/>
        <v/>
      </c>
      <c r="H409" s="27" t="str">
        <f t="shared" si="23"/>
        <v/>
      </c>
    </row>
    <row r="410" spans="1:8" hidden="1" outlineLevel="1">
      <c r="A410" t="s">
        <v>129</v>
      </c>
      <c r="B410" s="27" t="str">
        <f t="shared" si="23"/>
        <v/>
      </c>
      <c r="C410" s="27" t="str">
        <f t="shared" si="23"/>
        <v/>
      </c>
      <c r="D410" s="27" t="str">
        <f t="shared" si="23"/>
        <v/>
      </c>
      <c r="E410" s="27" t="str">
        <f t="shared" si="23"/>
        <v/>
      </c>
      <c r="F410" s="27" t="str">
        <f t="shared" si="23"/>
        <v/>
      </c>
      <c r="G410" s="27" t="str">
        <f t="shared" si="23"/>
        <v/>
      </c>
      <c r="H410" s="27" t="str">
        <f t="shared" si="23"/>
        <v/>
      </c>
    </row>
    <row r="411" spans="1:8" hidden="1" outlineLevel="1">
      <c r="A411" t="s">
        <v>130</v>
      </c>
      <c r="B411" s="27" t="str">
        <f t="shared" ref="B411:H420" si="24">IF(SUM(B125,B268)=0,"",SUM(B125)/SUM(B125,B268))</f>
        <v/>
      </c>
      <c r="C411" s="27" t="str">
        <f t="shared" si="24"/>
        <v/>
      </c>
      <c r="D411" s="27" t="str">
        <f t="shared" si="24"/>
        <v/>
      </c>
      <c r="E411" s="27" t="str">
        <f t="shared" si="24"/>
        <v/>
      </c>
      <c r="F411" s="27" t="str">
        <f t="shared" si="24"/>
        <v/>
      </c>
      <c r="G411" s="27" t="str">
        <f t="shared" si="24"/>
        <v/>
      </c>
      <c r="H411" s="27" t="str">
        <f t="shared" si="24"/>
        <v/>
      </c>
    </row>
    <row r="412" spans="1:8" hidden="1" outlineLevel="1">
      <c r="A412" t="s">
        <v>131</v>
      </c>
      <c r="B412" s="27" t="str">
        <f t="shared" si="24"/>
        <v/>
      </c>
      <c r="C412" s="27" t="str">
        <f t="shared" si="24"/>
        <v/>
      </c>
      <c r="D412" s="27" t="str">
        <f t="shared" si="24"/>
        <v/>
      </c>
      <c r="E412" s="27" t="str">
        <f t="shared" si="24"/>
        <v/>
      </c>
      <c r="F412" s="27" t="str">
        <f t="shared" si="24"/>
        <v/>
      </c>
      <c r="G412" s="27" t="str">
        <f t="shared" si="24"/>
        <v/>
      </c>
      <c r="H412" s="27" t="str">
        <f t="shared" si="24"/>
        <v/>
      </c>
    </row>
    <row r="413" spans="1:8" hidden="1" outlineLevel="1">
      <c r="A413" t="s">
        <v>132</v>
      </c>
      <c r="B413" s="27" t="str">
        <f t="shared" si="24"/>
        <v/>
      </c>
      <c r="C413" s="27" t="str">
        <f t="shared" si="24"/>
        <v/>
      </c>
      <c r="D413" s="27" t="str">
        <f t="shared" si="24"/>
        <v/>
      </c>
      <c r="E413" s="27" t="str">
        <f t="shared" si="24"/>
        <v/>
      </c>
      <c r="F413" s="27" t="str">
        <f t="shared" si="24"/>
        <v/>
      </c>
      <c r="G413" s="27" t="str">
        <f t="shared" si="24"/>
        <v/>
      </c>
      <c r="H413" s="27" t="str">
        <f t="shared" si="24"/>
        <v/>
      </c>
    </row>
    <row r="414" spans="1:8" hidden="1" outlineLevel="1">
      <c r="A414" t="s">
        <v>133</v>
      </c>
      <c r="B414" s="27" t="str">
        <f t="shared" si="24"/>
        <v/>
      </c>
      <c r="C414" s="27" t="str">
        <f t="shared" si="24"/>
        <v/>
      </c>
      <c r="D414" s="27" t="str">
        <f t="shared" si="24"/>
        <v/>
      </c>
      <c r="E414" s="27" t="str">
        <f t="shared" si="24"/>
        <v/>
      </c>
      <c r="F414" s="27" t="str">
        <f t="shared" si="24"/>
        <v/>
      </c>
      <c r="G414" s="27" t="str">
        <f t="shared" si="24"/>
        <v/>
      </c>
      <c r="H414" s="27" t="str">
        <f t="shared" si="24"/>
        <v/>
      </c>
    </row>
    <row r="415" spans="1:8" hidden="1" outlineLevel="1">
      <c r="A415" t="s">
        <v>134</v>
      </c>
      <c r="B415" s="27" t="str">
        <f t="shared" si="24"/>
        <v/>
      </c>
      <c r="C415" s="27" t="str">
        <f t="shared" si="24"/>
        <v/>
      </c>
      <c r="D415" s="27" t="str">
        <f t="shared" si="24"/>
        <v/>
      </c>
      <c r="E415" s="27" t="str">
        <f t="shared" si="24"/>
        <v/>
      </c>
      <c r="F415" s="27" t="str">
        <f t="shared" si="24"/>
        <v/>
      </c>
      <c r="G415" s="27" t="str">
        <f t="shared" si="24"/>
        <v/>
      </c>
      <c r="H415" s="27" t="str">
        <f t="shared" si="24"/>
        <v/>
      </c>
    </row>
    <row r="416" spans="1:8" hidden="1" outlineLevel="1">
      <c r="A416" t="s">
        <v>135</v>
      </c>
      <c r="B416" s="27" t="str">
        <f t="shared" si="24"/>
        <v/>
      </c>
      <c r="C416" s="27" t="str">
        <f t="shared" si="24"/>
        <v/>
      </c>
      <c r="D416" s="27" t="str">
        <f t="shared" si="24"/>
        <v/>
      </c>
      <c r="E416" s="27" t="str">
        <f t="shared" si="24"/>
        <v/>
      </c>
      <c r="F416" s="27" t="str">
        <f t="shared" si="24"/>
        <v/>
      </c>
      <c r="G416" s="27" t="str">
        <f t="shared" si="24"/>
        <v/>
      </c>
      <c r="H416" s="27" t="str">
        <f t="shared" si="24"/>
        <v/>
      </c>
    </row>
    <row r="417" spans="1:8" hidden="1" outlineLevel="1">
      <c r="A417" t="s">
        <v>136</v>
      </c>
      <c r="B417" s="27" t="str">
        <f t="shared" si="24"/>
        <v/>
      </c>
      <c r="C417" s="27" t="str">
        <f t="shared" si="24"/>
        <v/>
      </c>
      <c r="D417" s="27" t="str">
        <f t="shared" si="24"/>
        <v/>
      </c>
      <c r="E417" s="27" t="str">
        <f t="shared" si="24"/>
        <v/>
      </c>
      <c r="F417" s="27" t="str">
        <f t="shared" si="24"/>
        <v/>
      </c>
      <c r="G417" s="27" t="str">
        <f t="shared" si="24"/>
        <v/>
      </c>
      <c r="H417" s="27" t="str">
        <f t="shared" si="24"/>
        <v/>
      </c>
    </row>
    <row r="418" spans="1:8" hidden="1" outlineLevel="1">
      <c r="A418" t="s">
        <v>137</v>
      </c>
      <c r="B418" s="27" t="str">
        <f t="shared" si="24"/>
        <v/>
      </c>
      <c r="C418" s="27" t="str">
        <f t="shared" si="24"/>
        <v/>
      </c>
      <c r="D418" s="27" t="str">
        <f t="shared" si="24"/>
        <v/>
      </c>
      <c r="E418" s="27" t="str">
        <f t="shared" si="24"/>
        <v/>
      </c>
      <c r="F418" s="27" t="str">
        <f t="shared" si="24"/>
        <v/>
      </c>
      <c r="G418" s="27" t="str">
        <f t="shared" si="24"/>
        <v/>
      </c>
      <c r="H418" s="27" t="str">
        <f t="shared" si="24"/>
        <v/>
      </c>
    </row>
    <row r="419" spans="1:8" hidden="1" outlineLevel="1">
      <c r="A419" t="s">
        <v>138</v>
      </c>
      <c r="B419" s="27" t="str">
        <f t="shared" si="24"/>
        <v/>
      </c>
      <c r="C419" s="27" t="str">
        <f t="shared" si="24"/>
        <v/>
      </c>
      <c r="D419" s="27" t="str">
        <f t="shared" si="24"/>
        <v/>
      </c>
      <c r="E419" s="27" t="str">
        <f t="shared" si="24"/>
        <v/>
      </c>
      <c r="F419" s="27" t="str">
        <f t="shared" si="24"/>
        <v/>
      </c>
      <c r="G419" s="27" t="str">
        <f t="shared" si="24"/>
        <v/>
      </c>
      <c r="H419" s="27" t="str">
        <f t="shared" si="24"/>
        <v/>
      </c>
    </row>
    <row r="420" spans="1:8" hidden="1" outlineLevel="1">
      <c r="A420" t="s">
        <v>139</v>
      </c>
      <c r="B420" s="27" t="str">
        <f t="shared" si="24"/>
        <v/>
      </c>
      <c r="C420" s="27" t="str">
        <f t="shared" si="24"/>
        <v/>
      </c>
      <c r="D420" s="27" t="str">
        <f t="shared" si="24"/>
        <v/>
      </c>
      <c r="E420" s="27" t="str">
        <f t="shared" si="24"/>
        <v/>
      </c>
      <c r="F420" s="27" t="str">
        <f t="shared" si="24"/>
        <v/>
      </c>
      <c r="G420" s="27" t="str">
        <f t="shared" si="24"/>
        <v/>
      </c>
      <c r="H420" s="27" t="str">
        <f t="shared" si="24"/>
        <v/>
      </c>
    </row>
    <row r="421" spans="1:8" hidden="1" outlineLevel="1">
      <c r="A421" t="s">
        <v>140</v>
      </c>
      <c r="B421" s="27" t="str">
        <f t="shared" ref="B421:H430" si="25">IF(SUM(B135,B278)=0,"",SUM(B135)/SUM(B135,B278))</f>
        <v/>
      </c>
      <c r="C421" s="27" t="str">
        <f t="shared" si="25"/>
        <v/>
      </c>
      <c r="D421" s="27" t="str">
        <f t="shared" si="25"/>
        <v/>
      </c>
      <c r="E421" s="27" t="str">
        <f t="shared" si="25"/>
        <v/>
      </c>
      <c r="F421" s="27" t="str">
        <f t="shared" si="25"/>
        <v/>
      </c>
      <c r="G421" s="27" t="str">
        <f t="shared" si="25"/>
        <v/>
      </c>
      <c r="H421" s="27" t="str">
        <f t="shared" si="25"/>
        <v/>
      </c>
    </row>
    <row r="422" spans="1:8" hidden="1" outlineLevel="1">
      <c r="A422" t="s">
        <v>141</v>
      </c>
      <c r="B422" s="27" t="str">
        <f t="shared" si="25"/>
        <v/>
      </c>
      <c r="C422" s="27" t="str">
        <f t="shared" si="25"/>
        <v/>
      </c>
      <c r="D422" s="27" t="str">
        <f t="shared" si="25"/>
        <v/>
      </c>
      <c r="E422" s="27" t="str">
        <f t="shared" si="25"/>
        <v/>
      </c>
      <c r="F422" s="27" t="str">
        <f t="shared" si="25"/>
        <v/>
      </c>
      <c r="G422" s="27" t="str">
        <f t="shared" si="25"/>
        <v/>
      </c>
      <c r="H422" s="27" t="str">
        <f t="shared" si="25"/>
        <v/>
      </c>
    </row>
    <row r="423" spans="1:8" hidden="1" outlineLevel="1">
      <c r="A423" t="s">
        <v>142</v>
      </c>
      <c r="B423" s="27" t="str">
        <f t="shared" si="25"/>
        <v/>
      </c>
      <c r="C423" s="27" t="str">
        <f t="shared" si="25"/>
        <v/>
      </c>
      <c r="D423" s="27" t="str">
        <f t="shared" si="25"/>
        <v/>
      </c>
      <c r="E423" s="27" t="str">
        <f t="shared" si="25"/>
        <v/>
      </c>
      <c r="F423" s="27" t="str">
        <f t="shared" si="25"/>
        <v/>
      </c>
      <c r="G423" s="27" t="str">
        <f t="shared" si="25"/>
        <v/>
      </c>
      <c r="H423" s="27" t="str">
        <f t="shared" si="25"/>
        <v/>
      </c>
    </row>
    <row r="424" spans="1:8" hidden="1" outlineLevel="1">
      <c r="A424" t="s">
        <v>143</v>
      </c>
      <c r="B424" s="27" t="str">
        <f t="shared" si="25"/>
        <v/>
      </c>
      <c r="C424" s="27" t="str">
        <f t="shared" si="25"/>
        <v/>
      </c>
      <c r="D424" s="27" t="str">
        <f t="shared" si="25"/>
        <v/>
      </c>
      <c r="E424" s="27" t="str">
        <f t="shared" si="25"/>
        <v/>
      </c>
      <c r="F424" s="27" t="str">
        <f t="shared" si="25"/>
        <v/>
      </c>
      <c r="G424" s="27" t="str">
        <f t="shared" si="25"/>
        <v/>
      </c>
      <c r="H424" s="27" t="str">
        <f t="shared" si="25"/>
        <v/>
      </c>
    </row>
    <row r="425" spans="1:8" hidden="1" outlineLevel="1">
      <c r="A425" t="s">
        <v>144</v>
      </c>
      <c r="B425" s="27" t="str">
        <f t="shared" si="25"/>
        <v/>
      </c>
      <c r="C425" s="27" t="str">
        <f t="shared" si="25"/>
        <v/>
      </c>
      <c r="D425" s="27" t="str">
        <f t="shared" si="25"/>
        <v/>
      </c>
      <c r="E425" s="27" t="str">
        <f t="shared" si="25"/>
        <v/>
      </c>
      <c r="F425" s="27" t="str">
        <f t="shared" si="25"/>
        <v/>
      </c>
      <c r="G425" s="27" t="str">
        <f t="shared" si="25"/>
        <v/>
      </c>
      <c r="H425" s="27" t="str">
        <f t="shared" si="25"/>
        <v/>
      </c>
    </row>
    <row r="426" spans="1:8" hidden="1" outlineLevel="1">
      <c r="A426" t="s">
        <v>145</v>
      </c>
      <c r="B426" s="27" t="str">
        <f t="shared" si="25"/>
        <v/>
      </c>
      <c r="C426" s="27" t="str">
        <f t="shared" si="25"/>
        <v/>
      </c>
      <c r="D426" s="27" t="str">
        <f t="shared" si="25"/>
        <v/>
      </c>
      <c r="E426" s="27" t="str">
        <f t="shared" si="25"/>
        <v/>
      </c>
      <c r="F426" s="27" t="str">
        <f t="shared" si="25"/>
        <v/>
      </c>
      <c r="G426" s="27" t="str">
        <f t="shared" si="25"/>
        <v/>
      </c>
      <c r="H426" s="27" t="str">
        <f t="shared" si="25"/>
        <v/>
      </c>
    </row>
    <row r="427" spans="1:8" hidden="1" outlineLevel="1">
      <c r="A427" t="s">
        <v>146</v>
      </c>
      <c r="B427" s="27" t="str">
        <f t="shared" si="25"/>
        <v/>
      </c>
      <c r="C427" s="27" t="str">
        <f t="shared" si="25"/>
        <v/>
      </c>
      <c r="D427" s="27" t="str">
        <f t="shared" si="25"/>
        <v/>
      </c>
      <c r="E427" s="27" t="str">
        <f t="shared" si="25"/>
        <v/>
      </c>
      <c r="F427" s="27" t="str">
        <f t="shared" si="25"/>
        <v/>
      </c>
      <c r="G427" s="27" t="str">
        <f t="shared" si="25"/>
        <v/>
      </c>
      <c r="H427" s="27" t="str">
        <f t="shared" si="25"/>
        <v/>
      </c>
    </row>
    <row r="428" spans="1:8" hidden="1" outlineLevel="1">
      <c r="A428" t="s">
        <v>147</v>
      </c>
      <c r="B428" s="27" t="str">
        <f t="shared" si="25"/>
        <v/>
      </c>
      <c r="C428" s="27" t="str">
        <f t="shared" si="25"/>
        <v/>
      </c>
      <c r="D428" s="27" t="str">
        <f t="shared" si="25"/>
        <v/>
      </c>
      <c r="E428" s="27" t="str">
        <f t="shared" si="25"/>
        <v/>
      </c>
      <c r="F428" s="27" t="str">
        <f t="shared" si="25"/>
        <v/>
      </c>
      <c r="G428" s="27" t="str">
        <f t="shared" si="25"/>
        <v/>
      </c>
      <c r="H428" s="27" t="str">
        <f t="shared" si="25"/>
        <v/>
      </c>
    </row>
    <row r="429" spans="1:8" collapsed="1">
      <c r="A429" s="28" t="s">
        <v>9</v>
      </c>
      <c r="B429" s="31">
        <f t="shared" si="25"/>
        <v>0.84990774449223239</v>
      </c>
      <c r="C429" s="31">
        <f t="shared" si="25"/>
        <v>0.86971670748747365</v>
      </c>
      <c r="D429" s="31">
        <f t="shared" si="25"/>
        <v>0.52072490639393265</v>
      </c>
      <c r="E429" s="31">
        <f t="shared" si="25"/>
        <v>0.39399902617404514</v>
      </c>
      <c r="F429" s="31">
        <f t="shared" si="25"/>
        <v>0.84221128778882359</v>
      </c>
      <c r="G429" s="31">
        <f t="shared" si="25"/>
        <v>0.81871484001512018</v>
      </c>
      <c r="H429" s="31">
        <f t="shared" si="25"/>
        <v>0.68774428575500846</v>
      </c>
    </row>
    <row r="432" spans="1:8">
      <c r="A432" s="28" t="s">
        <v>150</v>
      </c>
    </row>
    <row r="433" spans="1:8">
      <c r="A433" s="28" t="s">
        <v>2</v>
      </c>
      <c r="B433" s="28" t="s">
        <v>3</v>
      </c>
      <c r="C433" s="28" t="s">
        <v>4</v>
      </c>
      <c r="D433" s="28" t="s">
        <v>5</v>
      </c>
      <c r="E433" s="28" t="s">
        <v>6</v>
      </c>
      <c r="F433" s="28" t="s">
        <v>7</v>
      </c>
      <c r="G433" s="28" t="s">
        <v>8</v>
      </c>
      <c r="H433" s="28" t="s">
        <v>9</v>
      </c>
    </row>
    <row r="434" spans="1:8">
      <c r="A434" t="s">
        <v>10</v>
      </c>
      <c r="B434" s="27">
        <f t="shared" ref="B434:H443" si="26">IF(SUM(B5,B148)=0,"",SUM(B148)/SUM(B5,B148))</f>
        <v>0.16516204146124222</v>
      </c>
      <c r="C434" s="27">
        <f t="shared" si="26"/>
        <v>0.12035795592531327</v>
      </c>
      <c r="D434" s="27">
        <f t="shared" si="26"/>
        <v>0.42569304233220706</v>
      </c>
      <c r="E434" s="27">
        <f t="shared" si="26"/>
        <v>0.55936523904303304</v>
      </c>
      <c r="F434" s="27">
        <f t="shared" si="26"/>
        <v>0.15978718436755429</v>
      </c>
      <c r="G434" s="27" t="str">
        <f t="shared" si="26"/>
        <v/>
      </c>
      <c r="H434" s="27">
        <f t="shared" si="26"/>
        <v>0.30516909207345555</v>
      </c>
    </row>
    <row r="435" spans="1:8">
      <c r="A435" t="s">
        <v>11</v>
      </c>
      <c r="B435" s="27">
        <f t="shared" si="26"/>
        <v>0.1571869684683494</v>
      </c>
      <c r="C435" s="27">
        <f t="shared" si="26"/>
        <v>0.1231050649888101</v>
      </c>
      <c r="D435" s="27">
        <f t="shared" si="26"/>
        <v>0.39429318345206193</v>
      </c>
      <c r="E435" s="27">
        <f t="shared" si="26"/>
        <v>0.5661128893812607</v>
      </c>
      <c r="F435" s="27">
        <f t="shared" si="26"/>
        <v>0.15725195185591515</v>
      </c>
      <c r="G435" s="27" t="str">
        <f t="shared" si="26"/>
        <v/>
      </c>
      <c r="H435" s="27">
        <f t="shared" si="26"/>
        <v>0.2800540126194071</v>
      </c>
    </row>
    <row r="436" spans="1:8">
      <c r="A436" t="s">
        <v>12</v>
      </c>
      <c r="B436" s="27">
        <f t="shared" si="26"/>
        <v>0.16379908239195848</v>
      </c>
      <c r="C436" s="27">
        <f t="shared" si="26"/>
        <v>0.13371553318054485</v>
      </c>
      <c r="D436" s="27">
        <f t="shared" si="26"/>
        <v>0.38967060994711689</v>
      </c>
      <c r="E436" s="27">
        <f t="shared" si="26"/>
        <v>0.53711060037643565</v>
      </c>
      <c r="F436" s="27">
        <f t="shared" si="26"/>
        <v>0.15869221902560787</v>
      </c>
      <c r="G436" s="27" t="str">
        <f t="shared" si="26"/>
        <v/>
      </c>
      <c r="H436" s="27">
        <f t="shared" si="26"/>
        <v>0.2894748173064921</v>
      </c>
    </row>
    <row r="437" spans="1:8">
      <c r="A437" t="s">
        <v>13</v>
      </c>
      <c r="B437" s="27">
        <f t="shared" si="26"/>
        <v>0.17173585584659279</v>
      </c>
      <c r="C437" s="27">
        <f t="shared" si="26"/>
        <v>0.13196324923828748</v>
      </c>
      <c r="D437" s="27">
        <f t="shared" si="26"/>
        <v>0.40781503694881827</v>
      </c>
      <c r="E437" s="27">
        <f t="shared" si="26"/>
        <v>0.53854973464501621</v>
      </c>
      <c r="F437" s="27">
        <f t="shared" si="26"/>
        <v>0.13930445100365768</v>
      </c>
      <c r="G437" s="27" t="str">
        <f t="shared" si="26"/>
        <v/>
      </c>
      <c r="H437" s="27">
        <f t="shared" si="26"/>
        <v>0.28181959755020919</v>
      </c>
    </row>
    <row r="438" spans="1:8">
      <c r="A438" t="s">
        <v>14</v>
      </c>
      <c r="B438" s="27">
        <f t="shared" si="26"/>
        <v>0.13777074627458419</v>
      </c>
      <c r="C438" s="27">
        <f t="shared" si="26"/>
        <v>0.1109763657010842</v>
      </c>
      <c r="D438" s="27" t="str">
        <f t="shared" si="26"/>
        <v/>
      </c>
      <c r="E438" s="27" t="str">
        <f t="shared" si="26"/>
        <v/>
      </c>
      <c r="F438" s="27" t="str">
        <f t="shared" si="26"/>
        <v/>
      </c>
      <c r="G438" s="27" t="str">
        <f t="shared" si="26"/>
        <v/>
      </c>
      <c r="H438" s="27">
        <f t="shared" si="26"/>
        <v>0.12394682602456066</v>
      </c>
    </row>
    <row r="439" spans="1:8">
      <c r="A439" t="s">
        <v>15</v>
      </c>
      <c r="B439" s="27">
        <f t="shared" si="26"/>
        <v>0.16264223413708276</v>
      </c>
      <c r="C439" s="27">
        <f t="shared" si="26"/>
        <v>0.14181236170759018</v>
      </c>
      <c r="D439" s="27">
        <f t="shared" si="26"/>
        <v>0.54036315577788752</v>
      </c>
      <c r="E439" s="27" t="str">
        <f t="shared" si="26"/>
        <v/>
      </c>
      <c r="F439" s="27">
        <f t="shared" si="26"/>
        <v>0.16778736557989943</v>
      </c>
      <c r="G439" s="27" t="str">
        <f t="shared" si="26"/>
        <v/>
      </c>
      <c r="H439" s="27">
        <f t="shared" si="26"/>
        <v>0.27152110809123076</v>
      </c>
    </row>
    <row r="440" spans="1:8">
      <c r="A440" t="s">
        <v>16</v>
      </c>
      <c r="B440" s="27">
        <f t="shared" si="26"/>
        <v>0.17298880116726134</v>
      </c>
      <c r="C440" s="27">
        <f t="shared" si="26"/>
        <v>0.14122002311299542</v>
      </c>
      <c r="D440" s="27">
        <f t="shared" si="26"/>
        <v>0.42940590974607079</v>
      </c>
      <c r="E440" s="27">
        <f t="shared" si="26"/>
        <v>0.57100208807587527</v>
      </c>
      <c r="F440" s="27">
        <f t="shared" si="26"/>
        <v>0.16894378402562138</v>
      </c>
      <c r="G440" s="27" t="str">
        <f t="shared" si="26"/>
        <v/>
      </c>
      <c r="H440" s="27">
        <f t="shared" si="26"/>
        <v>0.30819751101825338</v>
      </c>
    </row>
    <row r="441" spans="1:8">
      <c r="A441" t="s">
        <v>17</v>
      </c>
      <c r="B441" s="27">
        <f t="shared" si="26"/>
        <v>0.13100835175118322</v>
      </c>
      <c r="C441" s="27">
        <f t="shared" si="26"/>
        <v>0.32499176267019708</v>
      </c>
      <c r="D441" s="27">
        <f t="shared" si="26"/>
        <v>0.40403809341139263</v>
      </c>
      <c r="E441" s="27">
        <f t="shared" si="26"/>
        <v>0.52911179657294805</v>
      </c>
      <c r="F441" s="27">
        <f t="shared" si="26"/>
        <v>0.16450663156726764</v>
      </c>
      <c r="G441" s="27" t="str">
        <f t="shared" si="26"/>
        <v/>
      </c>
      <c r="H441" s="27">
        <f t="shared" si="26"/>
        <v>0.295779767776361</v>
      </c>
    </row>
    <row r="442" spans="1:8">
      <c r="A442" t="s">
        <v>18</v>
      </c>
      <c r="B442" s="27">
        <f t="shared" si="26"/>
        <v>0.13598781549173194</v>
      </c>
      <c r="C442" s="27">
        <f t="shared" si="26"/>
        <v>0.10570257283905081</v>
      </c>
      <c r="D442" s="27" t="str">
        <f t="shared" si="26"/>
        <v/>
      </c>
      <c r="E442" s="27">
        <f t="shared" si="26"/>
        <v>0.52343970305990728</v>
      </c>
      <c r="F442" s="27">
        <f t="shared" si="26"/>
        <v>0.13908091027374467</v>
      </c>
      <c r="G442" s="27" t="str">
        <f t="shared" si="26"/>
        <v/>
      </c>
      <c r="H442" s="27">
        <f t="shared" si="26"/>
        <v>0.23071278390720171</v>
      </c>
    </row>
    <row r="443" spans="1:8">
      <c r="A443" t="s">
        <v>19</v>
      </c>
      <c r="B443" s="27" t="str">
        <f t="shared" si="26"/>
        <v/>
      </c>
      <c r="C443" s="27" t="str">
        <f t="shared" si="26"/>
        <v/>
      </c>
      <c r="D443" s="27">
        <f t="shared" si="26"/>
        <v>0.40447325583747529</v>
      </c>
      <c r="E443" s="27">
        <f t="shared" si="26"/>
        <v>0.55219889299378133</v>
      </c>
      <c r="F443" s="27">
        <f t="shared" si="26"/>
        <v>0.1579697174796994</v>
      </c>
      <c r="G443" s="27" t="str">
        <f t="shared" si="26"/>
        <v/>
      </c>
      <c r="H443" s="27">
        <f t="shared" si="26"/>
        <v>0.38611787616299559</v>
      </c>
    </row>
    <row r="444" spans="1:8">
      <c r="A444" t="s">
        <v>20</v>
      </c>
      <c r="B444" s="27">
        <f t="shared" ref="B444:H453" si="27">IF(SUM(B15,B158)=0,"",SUM(B158)/SUM(B15,B158))</f>
        <v>0.1653008183068895</v>
      </c>
      <c r="C444" s="27">
        <f t="shared" si="27"/>
        <v>0.14096719304307978</v>
      </c>
      <c r="D444" s="27" t="str">
        <f t="shared" si="27"/>
        <v/>
      </c>
      <c r="E444" s="27">
        <f t="shared" si="27"/>
        <v>0.56607475145156805</v>
      </c>
      <c r="F444" s="27">
        <f t="shared" si="27"/>
        <v>0.15972561177502992</v>
      </c>
      <c r="G444" s="27" t="str">
        <f t="shared" si="27"/>
        <v/>
      </c>
      <c r="H444" s="27">
        <f t="shared" si="27"/>
        <v>0.27129414450432326</v>
      </c>
    </row>
    <row r="445" spans="1:8">
      <c r="A445" t="s">
        <v>21</v>
      </c>
      <c r="B445" s="27">
        <f t="shared" si="27"/>
        <v>0.15789109541704055</v>
      </c>
      <c r="C445" s="27">
        <f t="shared" si="27"/>
        <v>0.13030847532225748</v>
      </c>
      <c r="D445" s="27">
        <f t="shared" si="27"/>
        <v>0.41372345419114404</v>
      </c>
      <c r="E445" s="27">
        <f t="shared" si="27"/>
        <v>0.57651301003869182</v>
      </c>
      <c r="F445" s="27">
        <f t="shared" si="27"/>
        <v>0.14682507753763746</v>
      </c>
      <c r="G445" s="27" t="str">
        <f t="shared" si="27"/>
        <v/>
      </c>
      <c r="H445" s="27">
        <f t="shared" si="27"/>
        <v>0.29007753543482845</v>
      </c>
    </row>
    <row r="446" spans="1:8">
      <c r="A446" t="s">
        <v>22</v>
      </c>
      <c r="B446" s="27">
        <f t="shared" si="27"/>
        <v>0.14866542388874221</v>
      </c>
      <c r="C446" s="27">
        <f t="shared" si="27"/>
        <v>0.12642621807107443</v>
      </c>
      <c r="D446" s="27">
        <f t="shared" si="27"/>
        <v>0.3849975951871426</v>
      </c>
      <c r="E446" s="27">
        <f t="shared" si="27"/>
        <v>0.55810530788655455</v>
      </c>
      <c r="F446" s="27">
        <f t="shared" si="27"/>
        <v>0.13887990969172453</v>
      </c>
      <c r="G446" s="27" t="str">
        <f t="shared" si="27"/>
        <v/>
      </c>
      <c r="H446" s="27">
        <f t="shared" si="27"/>
        <v>0.27771854673946006</v>
      </c>
    </row>
    <row r="447" spans="1:8">
      <c r="A447" t="s">
        <v>23</v>
      </c>
      <c r="B447" s="27">
        <f t="shared" si="27"/>
        <v>0.12945057403132262</v>
      </c>
      <c r="C447" s="27">
        <f t="shared" si="27"/>
        <v>0.11041145019247209</v>
      </c>
      <c r="D447" s="27">
        <f t="shared" si="27"/>
        <v>0.41082961068300533</v>
      </c>
      <c r="E447" s="27">
        <f t="shared" si="27"/>
        <v>0.58002199303503288</v>
      </c>
      <c r="F447" s="27">
        <f t="shared" si="27"/>
        <v>0.16783453747658142</v>
      </c>
      <c r="G447" s="27" t="str">
        <f t="shared" si="27"/>
        <v/>
      </c>
      <c r="H447" s="27">
        <f t="shared" si="27"/>
        <v>0.29568005179172124</v>
      </c>
    </row>
    <row r="448" spans="1:8">
      <c r="A448" t="s">
        <v>24</v>
      </c>
      <c r="B448" s="27" t="str">
        <f t="shared" si="27"/>
        <v/>
      </c>
      <c r="C448" s="27" t="str">
        <f t="shared" si="27"/>
        <v/>
      </c>
      <c r="D448" s="27" t="str">
        <f t="shared" si="27"/>
        <v/>
      </c>
      <c r="E448" s="27" t="str">
        <f t="shared" si="27"/>
        <v/>
      </c>
      <c r="F448" s="27" t="str">
        <f t="shared" si="27"/>
        <v/>
      </c>
      <c r="G448" s="27" t="str">
        <f t="shared" si="27"/>
        <v/>
      </c>
      <c r="H448" s="27" t="str">
        <f t="shared" si="27"/>
        <v/>
      </c>
    </row>
    <row r="449" spans="1:8">
      <c r="A449" t="s">
        <v>25</v>
      </c>
      <c r="B449" s="27">
        <f t="shared" si="27"/>
        <v>0.1626930996717614</v>
      </c>
      <c r="C449" s="27">
        <f t="shared" si="27"/>
        <v>0.12407231574530375</v>
      </c>
      <c r="D449" s="27">
        <f t="shared" si="27"/>
        <v>0.43856332766437062</v>
      </c>
      <c r="E449" s="27">
        <f t="shared" si="27"/>
        <v>0.60485105583286358</v>
      </c>
      <c r="F449" s="27">
        <f t="shared" si="27"/>
        <v>0.16981474647865205</v>
      </c>
      <c r="G449" s="27" t="str">
        <f t="shared" si="27"/>
        <v/>
      </c>
      <c r="H449" s="27">
        <f t="shared" si="27"/>
        <v>0.31137402754961357</v>
      </c>
    </row>
    <row r="450" spans="1:8">
      <c r="A450" t="s">
        <v>26</v>
      </c>
      <c r="B450" s="27">
        <f t="shared" si="27"/>
        <v>0.1599843623057903</v>
      </c>
      <c r="C450" s="27">
        <f t="shared" si="27"/>
        <v>0.12932928891676382</v>
      </c>
      <c r="D450" s="27">
        <f t="shared" si="27"/>
        <v>0.4452769876915143</v>
      </c>
      <c r="E450" s="27">
        <f t="shared" si="27"/>
        <v>0.57776368747664386</v>
      </c>
      <c r="F450" s="27">
        <f t="shared" si="27"/>
        <v>0.17140626609300905</v>
      </c>
      <c r="G450" s="27" t="str">
        <f t="shared" si="27"/>
        <v/>
      </c>
      <c r="H450" s="27">
        <f t="shared" si="27"/>
        <v>0.31297274290965532</v>
      </c>
    </row>
    <row r="451" spans="1:8">
      <c r="A451" t="s">
        <v>27</v>
      </c>
      <c r="B451" s="27">
        <f t="shared" si="27"/>
        <v>0.16554190435838714</v>
      </c>
      <c r="C451" s="27">
        <f t="shared" si="27"/>
        <v>0.13832137721616602</v>
      </c>
      <c r="D451" s="27">
        <f t="shared" si="27"/>
        <v>0.45233170591134597</v>
      </c>
      <c r="E451" s="27">
        <f t="shared" si="27"/>
        <v>0.58351944486000962</v>
      </c>
      <c r="F451" s="27">
        <f t="shared" si="27"/>
        <v>0.17978228062255427</v>
      </c>
      <c r="G451" s="27" t="str">
        <f t="shared" si="27"/>
        <v/>
      </c>
      <c r="H451" s="27">
        <f t="shared" si="27"/>
        <v>0.32212436850047677</v>
      </c>
    </row>
    <row r="452" spans="1:8">
      <c r="A452" t="s">
        <v>28</v>
      </c>
      <c r="B452" s="27">
        <f t="shared" si="27"/>
        <v>0.18789452463335496</v>
      </c>
      <c r="C452" s="27">
        <f t="shared" si="27"/>
        <v>0.1512413207101678</v>
      </c>
      <c r="D452" s="27">
        <f t="shared" si="27"/>
        <v>0.58306270440580776</v>
      </c>
      <c r="E452" s="27" t="str">
        <f t="shared" si="27"/>
        <v/>
      </c>
      <c r="F452" s="27">
        <f t="shared" si="27"/>
        <v>0.16832293256612785</v>
      </c>
      <c r="G452" s="27" t="str">
        <f t="shared" si="27"/>
        <v/>
      </c>
      <c r="H452" s="27">
        <f t="shared" si="27"/>
        <v>0.2953236724575321</v>
      </c>
    </row>
    <row r="453" spans="1:8">
      <c r="A453" t="s">
        <v>29</v>
      </c>
      <c r="B453" s="27">
        <f t="shared" si="27"/>
        <v>0.15669472950151578</v>
      </c>
      <c r="C453" s="27">
        <f t="shared" si="27"/>
        <v>0.12134102558499968</v>
      </c>
      <c r="D453" s="27">
        <f t="shared" si="27"/>
        <v>0.46136905696971869</v>
      </c>
      <c r="E453" s="27" t="str">
        <f t="shared" si="27"/>
        <v/>
      </c>
      <c r="F453" s="27" t="str">
        <f t="shared" si="27"/>
        <v/>
      </c>
      <c r="G453" s="27" t="str">
        <f t="shared" si="27"/>
        <v/>
      </c>
      <c r="H453" s="27">
        <f t="shared" si="27"/>
        <v>0.24171615243722078</v>
      </c>
    </row>
    <row r="454" spans="1:8">
      <c r="A454" t="s">
        <v>30</v>
      </c>
      <c r="B454" s="27">
        <f t="shared" ref="B454:H463" si="28">IF(SUM(B25,B168)=0,"",SUM(B168)/SUM(B25,B168))</f>
        <v>0.19164101813708587</v>
      </c>
      <c r="C454" s="27">
        <f t="shared" si="28"/>
        <v>0.16003141752616359</v>
      </c>
      <c r="D454" s="27">
        <f t="shared" si="28"/>
        <v>0.46349135524814433</v>
      </c>
      <c r="E454" s="27">
        <f t="shared" si="28"/>
        <v>0.65072329671111062</v>
      </c>
      <c r="F454" s="27">
        <f t="shared" si="28"/>
        <v>0.18289010018375082</v>
      </c>
      <c r="G454" s="27" t="str">
        <f t="shared" si="28"/>
        <v/>
      </c>
      <c r="H454" s="27">
        <f t="shared" si="28"/>
        <v>0.33329124662351961</v>
      </c>
    </row>
    <row r="455" spans="1:8">
      <c r="A455" t="s">
        <v>31</v>
      </c>
      <c r="B455" s="27">
        <f t="shared" si="28"/>
        <v>0.17105899958676196</v>
      </c>
      <c r="C455" s="27">
        <f t="shared" si="28"/>
        <v>0.16887255948330615</v>
      </c>
      <c r="D455" s="27">
        <f t="shared" si="28"/>
        <v>0.60158979502765397</v>
      </c>
      <c r="E455" s="27">
        <f t="shared" si="28"/>
        <v>0.57586704267337807</v>
      </c>
      <c r="F455" s="27">
        <f t="shared" si="28"/>
        <v>0.18261587265293588</v>
      </c>
      <c r="G455" s="27" t="str">
        <f t="shared" si="28"/>
        <v/>
      </c>
      <c r="H455" s="27">
        <f t="shared" si="28"/>
        <v>0.33875511337580566</v>
      </c>
    </row>
    <row r="456" spans="1:8">
      <c r="A456" t="s">
        <v>32</v>
      </c>
      <c r="B456" s="27">
        <f t="shared" si="28"/>
        <v>0.17285716555786257</v>
      </c>
      <c r="C456" s="27">
        <f t="shared" si="28"/>
        <v>0.14391784533777449</v>
      </c>
      <c r="D456" s="27">
        <f t="shared" si="28"/>
        <v>0.43174911932887761</v>
      </c>
      <c r="E456" s="27" t="str">
        <f t="shared" si="28"/>
        <v/>
      </c>
      <c r="F456" s="27">
        <f t="shared" si="28"/>
        <v>0.17659947569252868</v>
      </c>
      <c r="G456" s="27" t="str">
        <f t="shared" si="28"/>
        <v/>
      </c>
      <c r="H456" s="27">
        <f t="shared" si="28"/>
        <v>0.25708907189018199</v>
      </c>
    </row>
    <row r="457" spans="1:8">
      <c r="A457" t="s">
        <v>33</v>
      </c>
      <c r="B457" s="27" t="str">
        <f t="shared" si="28"/>
        <v/>
      </c>
      <c r="C457" s="27">
        <f t="shared" si="28"/>
        <v>0.12865859371985733</v>
      </c>
      <c r="D457" s="27">
        <f t="shared" si="28"/>
        <v>0.50103997270279099</v>
      </c>
      <c r="E457" s="27">
        <f t="shared" si="28"/>
        <v>0.57960099502723073</v>
      </c>
      <c r="F457" s="27">
        <f t="shared" si="28"/>
        <v>0.15630961441837546</v>
      </c>
      <c r="G457" s="27" t="str">
        <f t="shared" si="28"/>
        <v/>
      </c>
      <c r="H457" s="27">
        <f t="shared" si="28"/>
        <v>0.34548706333532714</v>
      </c>
    </row>
    <row r="458" spans="1:8">
      <c r="A458" t="s">
        <v>34</v>
      </c>
      <c r="B458" s="27" t="str">
        <f t="shared" si="28"/>
        <v/>
      </c>
      <c r="C458" s="27" t="str">
        <f t="shared" si="28"/>
        <v/>
      </c>
      <c r="D458" s="27" t="str">
        <f t="shared" si="28"/>
        <v/>
      </c>
      <c r="E458" s="27">
        <f t="shared" si="28"/>
        <v>0.63041588097357959</v>
      </c>
      <c r="F458" s="27">
        <f t="shared" si="28"/>
        <v>0.1749711906714824</v>
      </c>
      <c r="G458" s="27" t="str">
        <f t="shared" si="28"/>
        <v/>
      </c>
      <c r="H458" s="27">
        <f t="shared" si="28"/>
        <v>0.43849166992587812</v>
      </c>
    </row>
    <row r="459" spans="1:8">
      <c r="A459" t="s">
        <v>35</v>
      </c>
      <c r="B459" s="27">
        <f t="shared" si="28"/>
        <v>0.15764497876834097</v>
      </c>
      <c r="C459" s="27">
        <f t="shared" si="28"/>
        <v>0.14228279886454409</v>
      </c>
      <c r="D459" s="27">
        <f t="shared" si="28"/>
        <v>0.48197634275360368</v>
      </c>
      <c r="E459" s="27">
        <f t="shared" si="28"/>
        <v>0.61589467736521397</v>
      </c>
      <c r="F459" s="27">
        <f t="shared" si="28"/>
        <v>0.1727067461100627</v>
      </c>
      <c r="G459" s="27">
        <f t="shared" si="28"/>
        <v>0.18128515998487985</v>
      </c>
      <c r="H459" s="27">
        <f t="shared" si="28"/>
        <v>0.26343054439929553</v>
      </c>
    </row>
    <row r="460" spans="1:8">
      <c r="A460" t="s">
        <v>36</v>
      </c>
      <c r="B460" s="27">
        <f t="shared" si="28"/>
        <v>0.15934745218065652</v>
      </c>
      <c r="C460" s="27">
        <f t="shared" si="28"/>
        <v>0.13441329566757163</v>
      </c>
      <c r="D460" s="27">
        <f t="shared" si="28"/>
        <v>0.46478306788988466</v>
      </c>
      <c r="E460" s="27">
        <f t="shared" si="28"/>
        <v>0.61332693834205554</v>
      </c>
      <c r="F460" s="27">
        <f t="shared" si="28"/>
        <v>0.17375937155186616</v>
      </c>
      <c r="G460" s="27" t="str">
        <f t="shared" si="28"/>
        <v/>
      </c>
      <c r="H460" s="27">
        <f t="shared" si="28"/>
        <v>0.31652212287501447</v>
      </c>
    </row>
    <row r="461" spans="1:8">
      <c r="A461" t="s">
        <v>37</v>
      </c>
      <c r="B461" s="27">
        <f t="shared" si="28"/>
        <v>0.16247703149418408</v>
      </c>
      <c r="C461" s="27">
        <f t="shared" si="28"/>
        <v>0.13077096005423325</v>
      </c>
      <c r="D461" s="27">
        <f t="shared" si="28"/>
        <v>0.4530653056588404</v>
      </c>
      <c r="E461" s="27">
        <f t="shared" si="28"/>
        <v>0.57377996775783857</v>
      </c>
      <c r="F461" s="27">
        <f t="shared" si="28"/>
        <v>0.15858281786734624</v>
      </c>
      <c r="G461" s="27" t="str">
        <f t="shared" si="28"/>
        <v/>
      </c>
      <c r="H461" s="27">
        <f t="shared" si="28"/>
        <v>0.30375947803448905</v>
      </c>
    </row>
    <row r="462" spans="1:8">
      <c r="A462" t="s">
        <v>38</v>
      </c>
      <c r="B462" s="27">
        <f t="shared" si="28"/>
        <v>0.13673078485428775</v>
      </c>
      <c r="C462" s="27">
        <f t="shared" si="28"/>
        <v>0.11793456918222534</v>
      </c>
      <c r="D462" s="27">
        <f t="shared" si="28"/>
        <v>0.46827491285276451</v>
      </c>
      <c r="E462" s="27">
        <f t="shared" si="28"/>
        <v>0.61874705846521327</v>
      </c>
      <c r="F462" s="27">
        <f t="shared" si="28"/>
        <v>0.15529402007615128</v>
      </c>
      <c r="G462" s="27" t="str">
        <f t="shared" si="28"/>
        <v/>
      </c>
      <c r="H462" s="27">
        <f t="shared" si="28"/>
        <v>0.30715859670052259</v>
      </c>
    </row>
    <row r="463" spans="1:8">
      <c r="A463" t="s">
        <v>39</v>
      </c>
      <c r="B463" s="27">
        <f t="shared" si="28"/>
        <v>0.13388197142731831</v>
      </c>
      <c r="C463" s="27" t="str">
        <f t="shared" si="28"/>
        <v/>
      </c>
      <c r="D463" s="27">
        <f t="shared" si="28"/>
        <v>0.42828550150817035</v>
      </c>
      <c r="E463" s="27">
        <f t="shared" si="28"/>
        <v>0.58392609458120193</v>
      </c>
      <c r="F463" s="27">
        <f t="shared" si="28"/>
        <v>0.14940651141946348</v>
      </c>
      <c r="G463" s="27" t="str">
        <f t="shared" si="28"/>
        <v/>
      </c>
      <c r="H463" s="27">
        <f t="shared" si="28"/>
        <v>0.34122963992579758</v>
      </c>
    </row>
    <row r="464" spans="1:8">
      <c r="A464" t="s">
        <v>40</v>
      </c>
      <c r="B464" s="27">
        <f t="shared" ref="B464:H473" si="29">IF(SUM(B35,B178)=0,"",SUM(B178)/SUM(B35,B178))</f>
        <v>0.13733445020677909</v>
      </c>
      <c r="C464" s="27">
        <f t="shared" si="29"/>
        <v>0.11592866329859025</v>
      </c>
      <c r="D464" s="27">
        <f t="shared" si="29"/>
        <v>0.45951114687519012</v>
      </c>
      <c r="E464" s="27">
        <f t="shared" si="29"/>
        <v>0.59872975091812342</v>
      </c>
      <c r="F464" s="27">
        <f t="shared" si="29"/>
        <v>0.12485977324681576</v>
      </c>
      <c r="G464" s="27" t="str">
        <f t="shared" si="29"/>
        <v/>
      </c>
      <c r="H464" s="27">
        <f t="shared" si="29"/>
        <v>0.29542145524816321</v>
      </c>
    </row>
    <row r="465" spans="1:8">
      <c r="A465" t="s">
        <v>41</v>
      </c>
      <c r="B465" s="27">
        <f t="shared" si="29"/>
        <v>0.14041837549282132</v>
      </c>
      <c r="C465" s="27">
        <f t="shared" si="29"/>
        <v>0.12262757235972163</v>
      </c>
      <c r="D465" s="27">
        <f t="shared" si="29"/>
        <v>0.45032986511180589</v>
      </c>
      <c r="E465" s="27">
        <f t="shared" si="29"/>
        <v>0.55723164665917202</v>
      </c>
      <c r="F465" s="27">
        <f t="shared" si="29"/>
        <v>0.1413185284202802</v>
      </c>
      <c r="G465" s="27" t="str">
        <f t="shared" si="29"/>
        <v/>
      </c>
      <c r="H465" s="27">
        <f t="shared" si="29"/>
        <v>0.27671090096891005</v>
      </c>
    </row>
    <row r="466" spans="1:8">
      <c r="A466" t="s">
        <v>42</v>
      </c>
      <c r="B466" s="27">
        <f t="shared" si="29"/>
        <v>0.13142696968745815</v>
      </c>
      <c r="C466" s="27">
        <f t="shared" si="29"/>
        <v>0.1468168478744698</v>
      </c>
      <c r="D466" s="27">
        <f t="shared" si="29"/>
        <v>0.57836955449821759</v>
      </c>
      <c r="E466" s="27" t="str">
        <f t="shared" si="29"/>
        <v/>
      </c>
      <c r="F466" s="27">
        <f t="shared" si="29"/>
        <v>0.10815267919944076</v>
      </c>
      <c r="G466" s="27" t="str">
        <f t="shared" si="29"/>
        <v/>
      </c>
      <c r="H466" s="27">
        <f t="shared" si="29"/>
        <v>0.24698527849966323</v>
      </c>
    </row>
    <row r="467" spans="1:8">
      <c r="A467" t="s">
        <v>43</v>
      </c>
      <c r="B467" s="27">
        <f t="shared" si="29"/>
        <v>9.7897982086382146E-2</v>
      </c>
      <c r="C467" s="27" t="str">
        <f t="shared" si="29"/>
        <v/>
      </c>
      <c r="D467" s="27" t="str">
        <f t="shared" si="29"/>
        <v/>
      </c>
      <c r="E467" s="27" t="str">
        <f t="shared" si="29"/>
        <v/>
      </c>
      <c r="F467" s="27" t="str">
        <f t="shared" si="29"/>
        <v/>
      </c>
      <c r="G467" s="27" t="str">
        <f t="shared" si="29"/>
        <v/>
      </c>
      <c r="H467" s="27">
        <f t="shared" si="29"/>
        <v>9.7897982086382146E-2</v>
      </c>
    </row>
    <row r="468" spans="1:8">
      <c r="A468" t="s">
        <v>44</v>
      </c>
      <c r="B468" s="27">
        <f t="shared" si="29"/>
        <v>0.14773017458776483</v>
      </c>
      <c r="C468" s="27">
        <f t="shared" si="29"/>
        <v>0.12360467746706812</v>
      </c>
      <c r="D468" s="27">
        <f t="shared" si="29"/>
        <v>0.45160226316782182</v>
      </c>
      <c r="E468" s="27">
        <f t="shared" si="29"/>
        <v>0.61695372790566561</v>
      </c>
      <c r="F468" s="27" t="str">
        <f t="shared" si="29"/>
        <v/>
      </c>
      <c r="G468" s="27" t="str">
        <f t="shared" si="29"/>
        <v/>
      </c>
      <c r="H468" s="27">
        <f t="shared" si="29"/>
        <v>0.34621330667047073</v>
      </c>
    </row>
    <row r="469" spans="1:8">
      <c r="A469" t="s">
        <v>45</v>
      </c>
      <c r="B469" s="27">
        <f t="shared" si="29"/>
        <v>0.12598682137459857</v>
      </c>
      <c r="C469" s="27" t="str">
        <f t="shared" si="29"/>
        <v/>
      </c>
      <c r="D469" s="27">
        <f t="shared" si="29"/>
        <v>0.46964503055928225</v>
      </c>
      <c r="E469" s="27">
        <f t="shared" si="29"/>
        <v>0.64643494313841254</v>
      </c>
      <c r="F469" s="27">
        <f t="shared" si="29"/>
        <v>0.14371055101074515</v>
      </c>
      <c r="G469" s="27" t="str">
        <f t="shared" si="29"/>
        <v/>
      </c>
      <c r="H469" s="27">
        <f t="shared" si="29"/>
        <v>0.37855528422014756</v>
      </c>
    </row>
    <row r="470" spans="1:8">
      <c r="A470" t="s">
        <v>46</v>
      </c>
      <c r="B470" s="27">
        <f t="shared" si="29"/>
        <v>0.1586622889923788</v>
      </c>
      <c r="C470" s="27">
        <f t="shared" si="29"/>
        <v>0.12091677809962298</v>
      </c>
      <c r="D470" s="27">
        <f t="shared" si="29"/>
        <v>0.48579919627296092</v>
      </c>
      <c r="E470" s="27">
        <f t="shared" si="29"/>
        <v>0.65562047655069067</v>
      </c>
      <c r="F470" s="27">
        <f t="shared" si="29"/>
        <v>0.15846692232369722</v>
      </c>
      <c r="G470" s="27" t="str">
        <f t="shared" si="29"/>
        <v/>
      </c>
      <c r="H470" s="27">
        <f t="shared" si="29"/>
        <v>0.34959677219135987</v>
      </c>
    </row>
    <row r="471" spans="1:8">
      <c r="A471" t="s">
        <v>47</v>
      </c>
      <c r="B471" s="27">
        <f t="shared" si="29"/>
        <v>0.12732069551028782</v>
      </c>
      <c r="C471" s="27">
        <f t="shared" si="29"/>
        <v>0.10510378638422264</v>
      </c>
      <c r="D471" s="27">
        <f t="shared" si="29"/>
        <v>0.48719999976569911</v>
      </c>
      <c r="E471" s="27">
        <f t="shared" si="29"/>
        <v>0.64206367008614329</v>
      </c>
      <c r="F471" s="27">
        <f t="shared" si="29"/>
        <v>0.14138919802211974</v>
      </c>
      <c r="G471" s="27" t="str">
        <f t="shared" si="29"/>
        <v/>
      </c>
      <c r="H471" s="27">
        <f t="shared" si="29"/>
        <v>0.30891509589392513</v>
      </c>
    </row>
    <row r="472" spans="1:8">
      <c r="A472" t="s">
        <v>48</v>
      </c>
      <c r="B472" s="27" t="str">
        <f t="shared" si="29"/>
        <v/>
      </c>
      <c r="C472" s="27" t="str">
        <f t="shared" si="29"/>
        <v/>
      </c>
      <c r="D472" s="27">
        <f t="shared" si="29"/>
        <v>0.4869606782296273</v>
      </c>
      <c r="E472" s="27">
        <f t="shared" si="29"/>
        <v>0.65395698781663103</v>
      </c>
      <c r="F472" s="27" t="str">
        <f t="shared" si="29"/>
        <v/>
      </c>
      <c r="G472" s="27" t="str">
        <f t="shared" si="29"/>
        <v/>
      </c>
      <c r="H472" s="27">
        <f t="shared" si="29"/>
        <v>0.58609145458969991</v>
      </c>
    </row>
    <row r="473" spans="1:8">
      <c r="A473" t="s">
        <v>49</v>
      </c>
      <c r="B473" s="27">
        <f t="shared" si="29"/>
        <v>0.15874324622733979</v>
      </c>
      <c r="C473" s="27">
        <f t="shared" si="29"/>
        <v>0.12327813477272599</v>
      </c>
      <c r="D473" s="27">
        <f t="shared" si="29"/>
        <v>0.5090074220942975</v>
      </c>
      <c r="E473" s="27">
        <f t="shared" si="29"/>
        <v>0.66532656847439786</v>
      </c>
      <c r="F473" s="27" t="str">
        <f t="shared" si="29"/>
        <v/>
      </c>
      <c r="G473" s="27" t="str">
        <f t="shared" si="29"/>
        <v/>
      </c>
      <c r="H473" s="27">
        <f t="shared" si="29"/>
        <v>0.37959449642204668</v>
      </c>
    </row>
    <row r="474" spans="1:8">
      <c r="A474" t="s">
        <v>50</v>
      </c>
      <c r="B474" s="27">
        <f t="shared" ref="B474:H483" si="30">IF(SUM(B45,B188)=0,"",SUM(B188)/SUM(B45,B188))</f>
        <v>0.15452320357928609</v>
      </c>
      <c r="C474" s="27">
        <f t="shared" si="30"/>
        <v>0.12975315294179321</v>
      </c>
      <c r="D474" s="27">
        <f t="shared" si="30"/>
        <v>0.52068515774269752</v>
      </c>
      <c r="E474" s="27">
        <f t="shared" si="30"/>
        <v>0.65954759419261033</v>
      </c>
      <c r="F474" s="27">
        <f t="shared" si="30"/>
        <v>0.16633715144537761</v>
      </c>
      <c r="G474" s="27" t="str">
        <f t="shared" si="30"/>
        <v/>
      </c>
      <c r="H474" s="27">
        <f t="shared" si="30"/>
        <v>0.36534755185688328</v>
      </c>
    </row>
    <row r="475" spans="1:8">
      <c r="A475" t="s">
        <v>51</v>
      </c>
      <c r="B475" s="27">
        <f t="shared" si="30"/>
        <v>0.1633648626130047</v>
      </c>
      <c r="C475" s="27">
        <f t="shared" si="30"/>
        <v>0.13011721394253806</v>
      </c>
      <c r="D475" s="27">
        <f t="shared" si="30"/>
        <v>0.49856986924906022</v>
      </c>
      <c r="E475" s="27">
        <f t="shared" si="30"/>
        <v>0.64354560719524434</v>
      </c>
      <c r="F475" s="27">
        <f t="shared" si="30"/>
        <v>0.16373047336538021</v>
      </c>
      <c r="G475" s="27" t="str">
        <f t="shared" si="30"/>
        <v/>
      </c>
      <c r="H475" s="27">
        <f t="shared" si="30"/>
        <v>0.3295474247765468</v>
      </c>
    </row>
    <row r="476" spans="1:8">
      <c r="A476" t="s">
        <v>52</v>
      </c>
      <c r="B476" s="27">
        <f t="shared" si="30"/>
        <v>0.15320759158587319</v>
      </c>
      <c r="C476" s="27">
        <f t="shared" si="30"/>
        <v>0.12004097429995191</v>
      </c>
      <c r="D476" s="27">
        <f t="shared" si="30"/>
        <v>0.65565547309333838</v>
      </c>
      <c r="E476" s="27" t="str">
        <f t="shared" si="30"/>
        <v/>
      </c>
      <c r="F476" s="27">
        <f t="shared" si="30"/>
        <v>0.15220222174529505</v>
      </c>
      <c r="G476" s="27" t="str">
        <f t="shared" si="30"/>
        <v/>
      </c>
      <c r="H476" s="27">
        <f t="shared" si="30"/>
        <v>0.27984208806065725</v>
      </c>
    </row>
    <row r="477" spans="1:8">
      <c r="A477" t="s">
        <v>53</v>
      </c>
      <c r="B477" s="27" t="str">
        <f t="shared" si="30"/>
        <v/>
      </c>
      <c r="C477" s="27" t="str">
        <f t="shared" si="30"/>
        <v/>
      </c>
      <c r="D477" s="27" t="str">
        <f t="shared" si="30"/>
        <v/>
      </c>
      <c r="E477" s="27" t="str">
        <f t="shared" si="30"/>
        <v/>
      </c>
      <c r="F477" s="27">
        <f t="shared" si="30"/>
        <v>0.17233817437556864</v>
      </c>
      <c r="G477" s="27" t="str">
        <f t="shared" si="30"/>
        <v/>
      </c>
      <c r="H477" s="27">
        <f t="shared" si="30"/>
        <v>0.17233817437556864</v>
      </c>
    </row>
    <row r="478" spans="1:8">
      <c r="A478" t="s">
        <v>54</v>
      </c>
      <c r="B478" s="27">
        <f t="shared" si="30"/>
        <v>0.15725236628468445</v>
      </c>
      <c r="C478" s="27">
        <f t="shared" si="30"/>
        <v>0.12808810770649773</v>
      </c>
      <c r="D478" s="27">
        <f t="shared" si="30"/>
        <v>0.5139587359331208</v>
      </c>
      <c r="E478" s="27">
        <f t="shared" si="30"/>
        <v>0.66130084440570025</v>
      </c>
      <c r="F478" s="27">
        <f t="shared" si="30"/>
        <v>0.16356426515444836</v>
      </c>
      <c r="G478" s="27" t="str">
        <f t="shared" si="30"/>
        <v/>
      </c>
      <c r="H478" s="27">
        <f t="shared" si="30"/>
        <v>0.34404497413525575</v>
      </c>
    </row>
    <row r="479" spans="1:8">
      <c r="A479" t="s">
        <v>55</v>
      </c>
      <c r="B479" s="27">
        <f t="shared" si="30"/>
        <v>0.15012283335428206</v>
      </c>
      <c r="C479" s="27">
        <f t="shared" si="30"/>
        <v>0.13235464140431341</v>
      </c>
      <c r="D479" s="27">
        <f t="shared" si="30"/>
        <v>0.49388851733124234</v>
      </c>
      <c r="E479" s="27">
        <f t="shared" si="30"/>
        <v>0.6528483184217051</v>
      </c>
      <c r="F479" s="27">
        <f t="shared" si="30"/>
        <v>0.166680492452841</v>
      </c>
      <c r="G479" s="27" t="str">
        <f t="shared" si="30"/>
        <v/>
      </c>
      <c r="H479" s="27">
        <f t="shared" si="30"/>
        <v>0.33369623813837268</v>
      </c>
    </row>
    <row r="480" spans="1:8">
      <c r="A480" t="s">
        <v>56</v>
      </c>
      <c r="B480" s="27">
        <f t="shared" si="30"/>
        <v>0.16340467353963048</v>
      </c>
      <c r="C480" s="27">
        <f t="shared" si="30"/>
        <v>0.13137606012708397</v>
      </c>
      <c r="D480" s="27">
        <f t="shared" si="30"/>
        <v>0.49018424470872152</v>
      </c>
      <c r="E480" s="27">
        <f t="shared" si="30"/>
        <v>0.65094494395960123</v>
      </c>
      <c r="F480" s="27">
        <f t="shared" si="30"/>
        <v>0.15927297163651119</v>
      </c>
      <c r="G480" s="27" t="str">
        <f t="shared" si="30"/>
        <v/>
      </c>
      <c r="H480" s="27">
        <f t="shared" si="30"/>
        <v>0.32155632751864377</v>
      </c>
    </row>
    <row r="481" spans="1:8">
      <c r="A481" t="s">
        <v>57</v>
      </c>
      <c r="B481" s="27">
        <f t="shared" si="30"/>
        <v>0.16324264230603427</v>
      </c>
      <c r="C481" s="27">
        <f t="shared" si="30"/>
        <v>0.13796927836802714</v>
      </c>
      <c r="D481" s="27">
        <f t="shared" si="30"/>
        <v>0.49933771501772922</v>
      </c>
      <c r="E481" s="27">
        <f t="shared" si="30"/>
        <v>0.65781278556929135</v>
      </c>
      <c r="F481" s="27" t="str">
        <f t="shared" si="30"/>
        <v/>
      </c>
      <c r="G481" s="27" t="str">
        <f t="shared" si="30"/>
        <v/>
      </c>
      <c r="H481" s="27">
        <f t="shared" si="30"/>
        <v>0.39800445476812607</v>
      </c>
    </row>
    <row r="482" spans="1:8">
      <c r="A482" t="s">
        <v>58</v>
      </c>
      <c r="B482" s="27">
        <f t="shared" si="30"/>
        <v>0.13214373846384089</v>
      </c>
      <c r="C482" s="27">
        <f t="shared" si="30"/>
        <v>0.10851521077160098</v>
      </c>
      <c r="D482" s="27" t="str">
        <f t="shared" si="30"/>
        <v/>
      </c>
      <c r="E482" s="27" t="str">
        <f t="shared" si="30"/>
        <v/>
      </c>
      <c r="F482" s="27" t="str">
        <f t="shared" si="30"/>
        <v/>
      </c>
      <c r="G482" s="27" t="str">
        <f t="shared" si="30"/>
        <v/>
      </c>
      <c r="H482" s="27">
        <f t="shared" si="30"/>
        <v>0.1189187390861516</v>
      </c>
    </row>
    <row r="483" spans="1:8">
      <c r="A483" t="s">
        <v>59</v>
      </c>
      <c r="B483" s="27">
        <f t="shared" si="30"/>
        <v>0.18312582041661288</v>
      </c>
      <c r="C483" s="27">
        <f t="shared" si="30"/>
        <v>0.14507111901949155</v>
      </c>
      <c r="D483" s="27">
        <f t="shared" si="30"/>
        <v>0.53194667599799761</v>
      </c>
      <c r="E483" s="27">
        <f t="shared" si="30"/>
        <v>0.67810974661128776</v>
      </c>
      <c r="F483" s="27">
        <f t="shared" si="30"/>
        <v>0.1868163760072151</v>
      </c>
      <c r="G483" s="27" t="str">
        <f t="shared" si="30"/>
        <v/>
      </c>
      <c r="H483" s="27">
        <f t="shared" si="30"/>
        <v>0.3763486485890597</v>
      </c>
    </row>
    <row r="484" spans="1:8">
      <c r="A484" t="s">
        <v>60</v>
      </c>
      <c r="B484" s="27" t="str">
        <f t="shared" ref="B484:H493" si="31">IF(SUM(B55,B198)=0,"",SUM(B198)/SUM(B55,B198))</f>
        <v/>
      </c>
      <c r="C484" s="27" t="str">
        <f t="shared" si="31"/>
        <v/>
      </c>
      <c r="D484" s="27">
        <f t="shared" si="31"/>
        <v>0.51645200159805582</v>
      </c>
      <c r="E484" s="27" t="str">
        <f t="shared" si="31"/>
        <v/>
      </c>
      <c r="F484" s="27" t="str">
        <f t="shared" si="31"/>
        <v/>
      </c>
      <c r="G484" s="27" t="str">
        <f t="shared" si="31"/>
        <v/>
      </c>
      <c r="H484" s="27">
        <f t="shared" si="31"/>
        <v>0.51645200159805582</v>
      </c>
    </row>
    <row r="485" spans="1:8">
      <c r="A485" t="s">
        <v>61</v>
      </c>
      <c r="B485" s="27" t="str">
        <f t="shared" si="31"/>
        <v/>
      </c>
      <c r="C485" s="27" t="str">
        <f t="shared" si="31"/>
        <v/>
      </c>
      <c r="D485" s="27" t="str">
        <f t="shared" si="31"/>
        <v/>
      </c>
      <c r="E485" s="27" t="str">
        <f t="shared" si="31"/>
        <v/>
      </c>
      <c r="F485" s="27" t="str">
        <f t="shared" si="31"/>
        <v/>
      </c>
      <c r="G485" s="27" t="str">
        <f t="shared" si="31"/>
        <v/>
      </c>
      <c r="H485" s="27" t="str">
        <f t="shared" si="31"/>
        <v/>
      </c>
    </row>
    <row r="486" spans="1:8">
      <c r="A486" t="s">
        <v>62</v>
      </c>
      <c r="B486" s="27" t="str">
        <f t="shared" si="31"/>
        <v/>
      </c>
      <c r="C486" s="27" t="str">
        <f t="shared" si="31"/>
        <v/>
      </c>
      <c r="D486" s="27" t="str">
        <f t="shared" si="31"/>
        <v/>
      </c>
      <c r="E486" s="27" t="str">
        <f t="shared" si="31"/>
        <v/>
      </c>
      <c r="F486" s="27" t="str">
        <f t="shared" si="31"/>
        <v/>
      </c>
      <c r="G486" s="27" t="str">
        <f t="shared" si="31"/>
        <v/>
      </c>
      <c r="H486" s="27" t="str">
        <f t="shared" si="31"/>
        <v/>
      </c>
    </row>
    <row r="487" spans="1:8">
      <c r="A487" t="s">
        <v>63</v>
      </c>
      <c r="B487" s="27" t="str">
        <f t="shared" si="31"/>
        <v/>
      </c>
      <c r="C487" s="27" t="str">
        <f t="shared" si="31"/>
        <v/>
      </c>
      <c r="D487" s="27" t="str">
        <f t="shared" si="31"/>
        <v/>
      </c>
      <c r="E487" s="27" t="str">
        <f t="shared" si="31"/>
        <v/>
      </c>
      <c r="F487" s="27" t="str">
        <f t="shared" si="31"/>
        <v/>
      </c>
      <c r="G487" s="27" t="str">
        <f t="shared" si="31"/>
        <v/>
      </c>
      <c r="H487" s="27" t="str">
        <f t="shared" si="31"/>
        <v/>
      </c>
    </row>
    <row r="488" spans="1:8" hidden="1" outlineLevel="1">
      <c r="A488" t="s">
        <v>64</v>
      </c>
      <c r="B488" s="27" t="str">
        <f t="shared" si="31"/>
        <v/>
      </c>
      <c r="C488" s="27" t="str">
        <f t="shared" si="31"/>
        <v/>
      </c>
      <c r="D488" s="27" t="str">
        <f t="shared" si="31"/>
        <v/>
      </c>
      <c r="E488" s="27" t="str">
        <f t="shared" si="31"/>
        <v/>
      </c>
      <c r="F488" s="27" t="str">
        <f t="shared" si="31"/>
        <v/>
      </c>
      <c r="G488" s="27" t="str">
        <f t="shared" si="31"/>
        <v/>
      </c>
      <c r="H488" s="27" t="str">
        <f t="shared" si="31"/>
        <v/>
      </c>
    </row>
    <row r="489" spans="1:8" hidden="1" outlineLevel="1">
      <c r="A489" t="s">
        <v>65</v>
      </c>
      <c r="B489" s="27" t="str">
        <f t="shared" si="31"/>
        <v/>
      </c>
      <c r="C489" s="27" t="str">
        <f t="shared" si="31"/>
        <v/>
      </c>
      <c r="D489" s="27" t="str">
        <f t="shared" si="31"/>
        <v/>
      </c>
      <c r="E489" s="27" t="str">
        <f t="shared" si="31"/>
        <v/>
      </c>
      <c r="F489" s="27" t="str">
        <f t="shared" si="31"/>
        <v/>
      </c>
      <c r="G489" s="27" t="str">
        <f t="shared" si="31"/>
        <v/>
      </c>
      <c r="H489" s="27" t="str">
        <f t="shared" si="31"/>
        <v/>
      </c>
    </row>
    <row r="490" spans="1:8" hidden="1" outlineLevel="1">
      <c r="A490" t="s">
        <v>66</v>
      </c>
      <c r="B490" s="27" t="str">
        <f t="shared" si="31"/>
        <v/>
      </c>
      <c r="C490" s="27" t="str">
        <f t="shared" si="31"/>
        <v/>
      </c>
      <c r="D490" s="27" t="str">
        <f t="shared" si="31"/>
        <v/>
      </c>
      <c r="E490" s="27" t="str">
        <f t="shared" si="31"/>
        <v/>
      </c>
      <c r="F490" s="27" t="str">
        <f t="shared" si="31"/>
        <v/>
      </c>
      <c r="G490" s="27" t="str">
        <f t="shared" si="31"/>
        <v/>
      </c>
      <c r="H490" s="27" t="str">
        <f t="shared" si="31"/>
        <v/>
      </c>
    </row>
    <row r="491" spans="1:8" hidden="1" outlineLevel="1">
      <c r="A491" t="s">
        <v>67</v>
      </c>
      <c r="B491" s="27" t="str">
        <f t="shared" si="31"/>
        <v/>
      </c>
      <c r="C491" s="27" t="str">
        <f t="shared" si="31"/>
        <v/>
      </c>
      <c r="D491" s="27" t="str">
        <f t="shared" si="31"/>
        <v/>
      </c>
      <c r="E491" s="27" t="str">
        <f t="shared" si="31"/>
        <v/>
      </c>
      <c r="F491" s="27" t="str">
        <f t="shared" si="31"/>
        <v/>
      </c>
      <c r="G491" s="27" t="str">
        <f t="shared" si="31"/>
        <v/>
      </c>
      <c r="H491" s="27" t="str">
        <f t="shared" si="31"/>
        <v/>
      </c>
    </row>
    <row r="492" spans="1:8" hidden="1" outlineLevel="1">
      <c r="A492" t="s">
        <v>68</v>
      </c>
      <c r="B492" s="27" t="str">
        <f t="shared" si="31"/>
        <v/>
      </c>
      <c r="C492" s="27" t="str">
        <f t="shared" si="31"/>
        <v/>
      </c>
      <c r="D492" s="27" t="str">
        <f t="shared" si="31"/>
        <v/>
      </c>
      <c r="E492" s="27" t="str">
        <f t="shared" si="31"/>
        <v/>
      </c>
      <c r="F492" s="27" t="str">
        <f t="shared" si="31"/>
        <v/>
      </c>
      <c r="G492" s="27" t="str">
        <f t="shared" si="31"/>
        <v/>
      </c>
      <c r="H492" s="27" t="str">
        <f t="shared" si="31"/>
        <v/>
      </c>
    </row>
    <row r="493" spans="1:8" hidden="1" outlineLevel="1">
      <c r="A493" t="s">
        <v>69</v>
      </c>
      <c r="B493" s="27" t="str">
        <f t="shared" si="31"/>
        <v/>
      </c>
      <c r="C493" s="27" t="str">
        <f t="shared" si="31"/>
        <v/>
      </c>
      <c r="D493" s="27" t="str">
        <f t="shared" si="31"/>
        <v/>
      </c>
      <c r="E493" s="27" t="str">
        <f t="shared" si="31"/>
        <v/>
      </c>
      <c r="F493" s="27" t="str">
        <f t="shared" si="31"/>
        <v/>
      </c>
      <c r="G493" s="27" t="str">
        <f t="shared" si="31"/>
        <v/>
      </c>
      <c r="H493" s="27" t="str">
        <f t="shared" si="31"/>
        <v/>
      </c>
    </row>
    <row r="494" spans="1:8" hidden="1" outlineLevel="1">
      <c r="A494" t="s">
        <v>70</v>
      </c>
      <c r="B494" s="27" t="str">
        <f t="shared" ref="B494:H503" si="32">IF(SUM(B65,B208)=0,"",SUM(B208)/SUM(B65,B208))</f>
        <v/>
      </c>
      <c r="C494" s="27" t="str">
        <f t="shared" si="32"/>
        <v/>
      </c>
      <c r="D494" s="27" t="str">
        <f t="shared" si="32"/>
        <v/>
      </c>
      <c r="E494" s="27" t="str">
        <f t="shared" si="32"/>
        <v/>
      </c>
      <c r="F494" s="27" t="str">
        <f t="shared" si="32"/>
        <v/>
      </c>
      <c r="G494" s="27" t="str">
        <f t="shared" si="32"/>
        <v/>
      </c>
      <c r="H494" s="27" t="str">
        <f t="shared" si="32"/>
        <v/>
      </c>
    </row>
    <row r="495" spans="1:8" hidden="1" outlineLevel="1">
      <c r="A495" t="s">
        <v>71</v>
      </c>
      <c r="B495" s="27" t="str">
        <f t="shared" si="32"/>
        <v/>
      </c>
      <c r="C495" s="27" t="str">
        <f t="shared" si="32"/>
        <v/>
      </c>
      <c r="D495" s="27" t="str">
        <f t="shared" si="32"/>
        <v/>
      </c>
      <c r="E495" s="27" t="str">
        <f t="shared" si="32"/>
        <v/>
      </c>
      <c r="F495" s="27" t="str">
        <f t="shared" si="32"/>
        <v/>
      </c>
      <c r="G495" s="27" t="str">
        <f t="shared" si="32"/>
        <v/>
      </c>
      <c r="H495" s="27" t="str">
        <f t="shared" si="32"/>
        <v/>
      </c>
    </row>
    <row r="496" spans="1:8" hidden="1" outlineLevel="1">
      <c r="A496" t="s">
        <v>72</v>
      </c>
      <c r="B496" s="27" t="str">
        <f t="shared" si="32"/>
        <v/>
      </c>
      <c r="C496" s="27" t="str">
        <f t="shared" si="32"/>
        <v/>
      </c>
      <c r="D496" s="27" t="str">
        <f t="shared" si="32"/>
        <v/>
      </c>
      <c r="E496" s="27" t="str">
        <f t="shared" si="32"/>
        <v/>
      </c>
      <c r="F496" s="27" t="str">
        <f t="shared" si="32"/>
        <v/>
      </c>
      <c r="G496" s="27" t="str">
        <f t="shared" si="32"/>
        <v/>
      </c>
      <c r="H496" s="27" t="str">
        <f t="shared" si="32"/>
        <v/>
      </c>
    </row>
    <row r="497" spans="1:8" hidden="1" outlineLevel="1">
      <c r="A497" t="s">
        <v>73</v>
      </c>
      <c r="B497" s="27" t="str">
        <f t="shared" si="32"/>
        <v/>
      </c>
      <c r="C497" s="27" t="str">
        <f t="shared" si="32"/>
        <v/>
      </c>
      <c r="D497" s="27" t="str">
        <f t="shared" si="32"/>
        <v/>
      </c>
      <c r="E497" s="27" t="str">
        <f t="shared" si="32"/>
        <v/>
      </c>
      <c r="F497" s="27" t="str">
        <f t="shared" si="32"/>
        <v/>
      </c>
      <c r="G497" s="27" t="str">
        <f t="shared" si="32"/>
        <v/>
      </c>
      <c r="H497" s="27" t="str">
        <f t="shared" si="32"/>
        <v/>
      </c>
    </row>
    <row r="498" spans="1:8" hidden="1" outlineLevel="1">
      <c r="A498" t="s">
        <v>74</v>
      </c>
      <c r="B498" s="27" t="str">
        <f t="shared" si="32"/>
        <v/>
      </c>
      <c r="C498" s="27" t="str">
        <f t="shared" si="32"/>
        <v/>
      </c>
      <c r="D498" s="27" t="str">
        <f t="shared" si="32"/>
        <v/>
      </c>
      <c r="E498" s="27" t="str">
        <f t="shared" si="32"/>
        <v/>
      </c>
      <c r="F498" s="27" t="str">
        <f t="shared" si="32"/>
        <v/>
      </c>
      <c r="G498" s="27" t="str">
        <f t="shared" si="32"/>
        <v/>
      </c>
      <c r="H498" s="27" t="str">
        <f t="shared" si="32"/>
        <v/>
      </c>
    </row>
    <row r="499" spans="1:8" hidden="1" outlineLevel="1">
      <c r="A499" t="s">
        <v>75</v>
      </c>
      <c r="B499" s="27" t="str">
        <f t="shared" si="32"/>
        <v/>
      </c>
      <c r="C499" s="27" t="str">
        <f t="shared" si="32"/>
        <v/>
      </c>
      <c r="D499" s="27" t="str">
        <f t="shared" si="32"/>
        <v/>
      </c>
      <c r="E499" s="27" t="str">
        <f t="shared" si="32"/>
        <v/>
      </c>
      <c r="F499" s="27" t="str">
        <f t="shared" si="32"/>
        <v/>
      </c>
      <c r="G499" s="27" t="str">
        <f t="shared" si="32"/>
        <v/>
      </c>
      <c r="H499" s="27" t="str">
        <f t="shared" si="32"/>
        <v/>
      </c>
    </row>
    <row r="500" spans="1:8" hidden="1" outlineLevel="1">
      <c r="A500" t="s">
        <v>76</v>
      </c>
      <c r="B500" s="27" t="str">
        <f t="shared" si="32"/>
        <v/>
      </c>
      <c r="C500" s="27" t="str">
        <f t="shared" si="32"/>
        <v/>
      </c>
      <c r="D500" s="27" t="str">
        <f t="shared" si="32"/>
        <v/>
      </c>
      <c r="E500" s="27" t="str">
        <f t="shared" si="32"/>
        <v/>
      </c>
      <c r="F500" s="27" t="str">
        <f t="shared" si="32"/>
        <v/>
      </c>
      <c r="G500" s="27" t="str">
        <f t="shared" si="32"/>
        <v/>
      </c>
      <c r="H500" s="27" t="str">
        <f t="shared" si="32"/>
        <v/>
      </c>
    </row>
    <row r="501" spans="1:8" hidden="1" outlineLevel="1">
      <c r="A501" t="s">
        <v>77</v>
      </c>
      <c r="B501" s="27" t="str">
        <f t="shared" si="32"/>
        <v/>
      </c>
      <c r="C501" s="27" t="str">
        <f t="shared" si="32"/>
        <v/>
      </c>
      <c r="D501" s="27" t="str">
        <f t="shared" si="32"/>
        <v/>
      </c>
      <c r="E501" s="27" t="str">
        <f t="shared" si="32"/>
        <v/>
      </c>
      <c r="F501" s="27" t="str">
        <f t="shared" si="32"/>
        <v/>
      </c>
      <c r="G501" s="27" t="str">
        <f t="shared" si="32"/>
        <v/>
      </c>
      <c r="H501" s="27" t="str">
        <f t="shared" si="32"/>
        <v/>
      </c>
    </row>
    <row r="502" spans="1:8" hidden="1" outlineLevel="1">
      <c r="A502" t="s">
        <v>78</v>
      </c>
      <c r="B502" s="27" t="str">
        <f t="shared" si="32"/>
        <v/>
      </c>
      <c r="C502" s="27" t="str">
        <f t="shared" si="32"/>
        <v/>
      </c>
      <c r="D502" s="27" t="str">
        <f t="shared" si="32"/>
        <v/>
      </c>
      <c r="E502" s="27" t="str">
        <f t="shared" si="32"/>
        <v/>
      </c>
      <c r="F502" s="27" t="str">
        <f t="shared" si="32"/>
        <v/>
      </c>
      <c r="G502" s="27" t="str">
        <f t="shared" si="32"/>
        <v/>
      </c>
      <c r="H502" s="27" t="str">
        <f t="shared" si="32"/>
        <v/>
      </c>
    </row>
    <row r="503" spans="1:8" hidden="1" outlineLevel="1">
      <c r="A503" t="s">
        <v>79</v>
      </c>
      <c r="B503" s="27" t="str">
        <f t="shared" si="32"/>
        <v/>
      </c>
      <c r="C503" s="27" t="str">
        <f t="shared" si="32"/>
        <v/>
      </c>
      <c r="D503" s="27" t="str">
        <f t="shared" si="32"/>
        <v/>
      </c>
      <c r="E503" s="27" t="str">
        <f t="shared" si="32"/>
        <v/>
      </c>
      <c r="F503" s="27" t="str">
        <f t="shared" si="32"/>
        <v/>
      </c>
      <c r="G503" s="27" t="str">
        <f t="shared" si="32"/>
        <v/>
      </c>
      <c r="H503" s="27" t="str">
        <f t="shared" si="32"/>
        <v/>
      </c>
    </row>
    <row r="504" spans="1:8" hidden="1" outlineLevel="1">
      <c r="A504" t="s">
        <v>80</v>
      </c>
      <c r="B504" s="27" t="str">
        <f t="shared" ref="B504:H513" si="33">IF(SUM(B75,B218)=0,"",SUM(B218)/SUM(B75,B218))</f>
        <v/>
      </c>
      <c r="C504" s="27" t="str">
        <f t="shared" si="33"/>
        <v/>
      </c>
      <c r="D504" s="27" t="str">
        <f t="shared" si="33"/>
        <v/>
      </c>
      <c r="E504" s="27" t="str">
        <f t="shared" si="33"/>
        <v/>
      </c>
      <c r="F504" s="27" t="str">
        <f t="shared" si="33"/>
        <v/>
      </c>
      <c r="G504" s="27" t="str">
        <f t="shared" si="33"/>
        <v/>
      </c>
      <c r="H504" s="27" t="str">
        <f t="shared" si="33"/>
        <v/>
      </c>
    </row>
    <row r="505" spans="1:8" hidden="1" outlineLevel="1">
      <c r="A505" t="s">
        <v>81</v>
      </c>
      <c r="B505" s="27" t="str">
        <f t="shared" si="33"/>
        <v/>
      </c>
      <c r="C505" s="27" t="str">
        <f t="shared" si="33"/>
        <v/>
      </c>
      <c r="D505" s="27" t="str">
        <f t="shared" si="33"/>
        <v/>
      </c>
      <c r="E505" s="27" t="str">
        <f t="shared" si="33"/>
        <v/>
      </c>
      <c r="F505" s="27" t="str">
        <f t="shared" si="33"/>
        <v/>
      </c>
      <c r="G505" s="27" t="str">
        <f t="shared" si="33"/>
        <v/>
      </c>
      <c r="H505" s="27" t="str">
        <f t="shared" si="33"/>
        <v/>
      </c>
    </row>
    <row r="506" spans="1:8" hidden="1" outlineLevel="1">
      <c r="A506" t="s">
        <v>82</v>
      </c>
      <c r="B506" s="27" t="str">
        <f t="shared" si="33"/>
        <v/>
      </c>
      <c r="C506" s="27" t="str">
        <f t="shared" si="33"/>
        <v/>
      </c>
      <c r="D506" s="27" t="str">
        <f t="shared" si="33"/>
        <v/>
      </c>
      <c r="E506" s="27" t="str">
        <f t="shared" si="33"/>
        <v/>
      </c>
      <c r="F506" s="27" t="str">
        <f t="shared" si="33"/>
        <v/>
      </c>
      <c r="G506" s="27" t="str">
        <f t="shared" si="33"/>
        <v/>
      </c>
      <c r="H506" s="27" t="str">
        <f t="shared" si="33"/>
        <v/>
      </c>
    </row>
    <row r="507" spans="1:8" hidden="1" outlineLevel="1">
      <c r="A507" t="s">
        <v>83</v>
      </c>
      <c r="B507" s="27" t="str">
        <f t="shared" si="33"/>
        <v/>
      </c>
      <c r="C507" s="27" t="str">
        <f t="shared" si="33"/>
        <v/>
      </c>
      <c r="D507" s="27" t="str">
        <f t="shared" si="33"/>
        <v/>
      </c>
      <c r="E507" s="27" t="str">
        <f t="shared" si="33"/>
        <v/>
      </c>
      <c r="F507" s="27" t="str">
        <f t="shared" si="33"/>
        <v/>
      </c>
      <c r="G507" s="27" t="str">
        <f t="shared" si="33"/>
        <v/>
      </c>
      <c r="H507" s="27" t="str">
        <f t="shared" si="33"/>
        <v/>
      </c>
    </row>
    <row r="508" spans="1:8" hidden="1" outlineLevel="1">
      <c r="A508" t="s">
        <v>84</v>
      </c>
      <c r="B508" s="27" t="str">
        <f t="shared" si="33"/>
        <v/>
      </c>
      <c r="C508" s="27" t="str">
        <f t="shared" si="33"/>
        <v/>
      </c>
      <c r="D508" s="27" t="str">
        <f t="shared" si="33"/>
        <v/>
      </c>
      <c r="E508" s="27" t="str">
        <f t="shared" si="33"/>
        <v/>
      </c>
      <c r="F508" s="27" t="str">
        <f t="shared" si="33"/>
        <v/>
      </c>
      <c r="G508" s="27" t="str">
        <f t="shared" si="33"/>
        <v/>
      </c>
      <c r="H508" s="27" t="str">
        <f t="shared" si="33"/>
        <v/>
      </c>
    </row>
    <row r="509" spans="1:8" hidden="1" outlineLevel="1">
      <c r="A509" t="s">
        <v>85</v>
      </c>
      <c r="B509" s="27" t="str">
        <f t="shared" si="33"/>
        <v/>
      </c>
      <c r="C509" s="27" t="str">
        <f t="shared" si="33"/>
        <v/>
      </c>
      <c r="D509" s="27" t="str">
        <f t="shared" si="33"/>
        <v/>
      </c>
      <c r="E509" s="27" t="str">
        <f t="shared" si="33"/>
        <v/>
      </c>
      <c r="F509" s="27" t="str">
        <f t="shared" si="33"/>
        <v/>
      </c>
      <c r="G509" s="27" t="str">
        <f t="shared" si="33"/>
        <v/>
      </c>
      <c r="H509" s="27" t="str">
        <f t="shared" si="33"/>
        <v/>
      </c>
    </row>
    <row r="510" spans="1:8" hidden="1" outlineLevel="1">
      <c r="A510" t="s">
        <v>86</v>
      </c>
      <c r="B510" s="27" t="str">
        <f t="shared" si="33"/>
        <v/>
      </c>
      <c r="C510" s="27" t="str">
        <f t="shared" si="33"/>
        <v/>
      </c>
      <c r="D510" s="27" t="str">
        <f t="shared" si="33"/>
        <v/>
      </c>
      <c r="E510" s="27" t="str">
        <f t="shared" si="33"/>
        <v/>
      </c>
      <c r="F510" s="27" t="str">
        <f t="shared" si="33"/>
        <v/>
      </c>
      <c r="G510" s="27" t="str">
        <f t="shared" si="33"/>
        <v/>
      </c>
      <c r="H510" s="27" t="str">
        <f t="shared" si="33"/>
        <v/>
      </c>
    </row>
    <row r="511" spans="1:8" hidden="1" outlineLevel="1">
      <c r="A511" t="s">
        <v>87</v>
      </c>
      <c r="B511" s="27" t="str">
        <f t="shared" si="33"/>
        <v/>
      </c>
      <c r="C511" s="27" t="str">
        <f t="shared" si="33"/>
        <v/>
      </c>
      <c r="D511" s="27" t="str">
        <f t="shared" si="33"/>
        <v/>
      </c>
      <c r="E511" s="27" t="str">
        <f t="shared" si="33"/>
        <v/>
      </c>
      <c r="F511" s="27" t="str">
        <f t="shared" si="33"/>
        <v/>
      </c>
      <c r="G511" s="27" t="str">
        <f t="shared" si="33"/>
        <v/>
      </c>
      <c r="H511" s="27" t="str">
        <f t="shared" si="33"/>
        <v/>
      </c>
    </row>
    <row r="512" spans="1:8" hidden="1" outlineLevel="1">
      <c r="A512" t="s">
        <v>88</v>
      </c>
      <c r="B512" s="27" t="str">
        <f t="shared" si="33"/>
        <v/>
      </c>
      <c r="C512" s="27" t="str">
        <f t="shared" si="33"/>
        <v/>
      </c>
      <c r="D512" s="27" t="str">
        <f t="shared" si="33"/>
        <v/>
      </c>
      <c r="E512" s="27" t="str">
        <f t="shared" si="33"/>
        <v/>
      </c>
      <c r="F512" s="27" t="str">
        <f t="shared" si="33"/>
        <v/>
      </c>
      <c r="G512" s="27" t="str">
        <f t="shared" si="33"/>
        <v/>
      </c>
      <c r="H512" s="27" t="str">
        <f t="shared" si="33"/>
        <v/>
      </c>
    </row>
    <row r="513" spans="1:8" hidden="1" outlineLevel="1">
      <c r="A513" t="s">
        <v>89</v>
      </c>
      <c r="B513" s="27" t="str">
        <f t="shared" si="33"/>
        <v/>
      </c>
      <c r="C513" s="27" t="str">
        <f t="shared" si="33"/>
        <v/>
      </c>
      <c r="D513" s="27" t="str">
        <f t="shared" si="33"/>
        <v/>
      </c>
      <c r="E513" s="27" t="str">
        <f t="shared" si="33"/>
        <v/>
      </c>
      <c r="F513" s="27" t="str">
        <f t="shared" si="33"/>
        <v/>
      </c>
      <c r="G513" s="27" t="str">
        <f t="shared" si="33"/>
        <v/>
      </c>
      <c r="H513" s="27" t="str">
        <f t="shared" si="33"/>
        <v/>
      </c>
    </row>
    <row r="514" spans="1:8" hidden="1" outlineLevel="1">
      <c r="A514" t="s">
        <v>90</v>
      </c>
      <c r="B514" s="27" t="str">
        <f t="shared" ref="B514:H523" si="34">IF(SUM(B85,B228)=0,"",SUM(B228)/SUM(B85,B228))</f>
        <v/>
      </c>
      <c r="C514" s="27" t="str">
        <f t="shared" si="34"/>
        <v/>
      </c>
      <c r="D514" s="27" t="str">
        <f t="shared" si="34"/>
        <v/>
      </c>
      <c r="E514" s="27" t="str">
        <f t="shared" si="34"/>
        <v/>
      </c>
      <c r="F514" s="27" t="str">
        <f t="shared" si="34"/>
        <v/>
      </c>
      <c r="G514" s="27" t="str">
        <f t="shared" si="34"/>
        <v/>
      </c>
      <c r="H514" s="27" t="str">
        <f t="shared" si="34"/>
        <v/>
      </c>
    </row>
    <row r="515" spans="1:8" hidden="1" outlineLevel="1">
      <c r="A515" t="s">
        <v>91</v>
      </c>
      <c r="B515" s="27" t="str">
        <f t="shared" si="34"/>
        <v/>
      </c>
      <c r="C515" s="27" t="str">
        <f t="shared" si="34"/>
        <v/>
      </c>
      <c r="D515" s="27" t="str">
        <f t="shared" si="34"/>
        <v/>
      </c>
      <c r="E515" s="27" t="str">
        <f t="shared" si="34"/>
        <v/>
      </c>
      <c r="F515" s="27" t="str">
        <f t="shared" si="34"/>
        <v/>
      </c>
      <c r="G515" s="27" t="str">
        <f t="shared" si="34"/>
        <v/>
      </c>
      <c r="H515" s="27" t="str">
        <f t="shared" si="34"/>
        <v/>
      </c>
    </row>
    <row r="516" spans="1:8" hidden="1" outlineLevel="1">
      <c r="A516" t="s">
        <v>92</v>
      </c>
      <c r="B516" s="27" t="str">
        <f t="shared" si="34"/>
        <v/>
      </c>
      <c r="C516" s="27" t="str">
        <f t="shared" si="34"/>
        <v/>
      </c>
      <c r="D516" s="27" t="str">
        <f t="shared" si="34"/>
        <v/>
      </c>
      <c r="E516" s="27" t="str">
        <f t="shared" si="34"/>
        <v/>
      </c>
      <c r="F516" s="27" t="str">
        <f t="shared" si="34"/>
        <v/>
      </c>
      <c r="G516" s="27" t="str">
        <f t="shared" si="34"/>
        <v/>
      </c>
      <c r="H516" s="27" t="str">
        <f t="shared" si="34"/>
        <v/>
      </c>
    </row>
    <row r="517" spans="1:8" hidden="1" outlineLevel="1">
      <c r="A517" t="s">
        <v>93</v>
      </c>
      <c r="B517" s="27" t="str">
        <f t="shared" si="34"/>
        <v/>
      </c>
      <c r="C517" s="27" t="str">
        <f t="shared" si="34"/>
        <v/>
      </c>
      <c r="D517" s="27" t="str">
        <f t="shared" si="34"/>
        <v/>
      </c>
      <c r="E517" s="27" t="str">
        <f t="shared" si="34"/>
        <v/>
      </c>
      <c r="F517" s="27" t="str">
        <f t="shared" si="34"/>
        <v/>
      </c>
      <c r="G517" s="27" t="str">
        <f t="shared" si="34"/>
        <v/>
      </c>
      <c r="H517" s="27" t="str">
        <f t="shared" si="34"/>
        <v/>
      </c>
    </row>
    <row r="518" spans="1:8" hidden="1" outlineLevel="1">
      <c r="A518" t="s">
        <v>94</v>
      </c>
      <c r="B518" s="27" t="str">
        <f t="shared" si="34"/>
        <v/>
      </c>
      <c r="C518" s="27" t="str">
        <f t="shared" si="34"/>
        <v/>
      </c>
      <c r="D518" s="27" t="str">
        <f t="shared" si="34"/>
        <v/>
      </c>
      <c r="E518" s="27" t="str">
        <f t="shared" si="34"/>
        <v/>
      </c>
      <c r="F518" s="27" t="str">
        <f t="shared" si="34"/>
        <v/>
      </c>
      <c r="G518" s="27" t="str">
        <f t="shared" si="34"/>
        <v/>
      </c>
      <c r="H518" s="27" t="str">
        <f t="shared" si="34"/>
        <v/>
      </c>
    </row>
    <row r="519" spans="1:8" hidden="1" outlineLevel="1">
      <c r="A519" t="s">
        <v>95</v>
      </c>
      <c r="B519" s="27" t="str">
        <f t="shared" si="34"/>
        <v/>
      </c>
      <c r="C519" s="27" t="str">
        <f t="shared" si="34"/>
        <v/>
      </c>
      <c r="D519" s="27" t="str">
        <f t="shared" si="34"/>
        <v/>
      </c>
      <c r="E519" s="27" t="str">
        <f t="shared" si="34"/>
        <v/>
      </c>
      <c r="F519" s="27" t="str">
        <f t="shared" si="34"/>
        <v/>
      </c>
      <c r="G519" s="27" t="str">
        <f t="shared" si="34"/>
        <v/>
      </c>
      <c r="H519" s="27" t="str">
        <f t="shared" si="34"/>
        <v/>
      </c>
    </row>
    <row r="520" spans="1:8" hidden="1" outlineLevel="1">
      <c r="A520" t="s">
        <v>96</v>
      </c>
      <c r="B520" s="27" t="str">
        <f t="shared" si="34"/>
        <v/>
      </c>
      <c r="C520" s="27" t="str">
        <f t="shared" si="34"/>
        <v/>
      </c>
      <c r="D520" s="27" t="str">
        <f t="shared" si="34"/>
        <v/>
      </c>
      <c r="E520" s="27" t="str">
        <f t="shared" si="34"/>
        <v/>
      </c>
      <c r="F520" s="27" t="str">
        <f t="shared" si="34"/>
        <v/>
      </c>
      <c r="G520" s="27" t="str">
        <f t="shared" si="34"/>
        <v/>
      </c>
      <c r="H520" s="27" t="str">
        <f t="shared" si="34"/>
        <v/>
      </c>
    </row>
    <row r="521" spans="1:8" hidden="1" outlineLevel="1">
      <c r="A521" t="s">
        <v>97</v>
      </c>
      <c r="B521" s="27" t="str">
        <f t="shared" si="34"/>
        <v/>
      </c>
      <c r="C521" s="27" t="str">
        <f t="shared" si="34"/>
        <v/>
      </c>
      <c r="D521" s="27" t="str">
        <f t="shared" si="34"/>
        <v/>
      </c>
      <c r="E521" s="27" t="str">
        <f t="shared" si="34"/>
        <v/>
      </c>
      <c r="F521" s="27" t="str">
        <f t="shared" si="34"/>
        <v/>
      </c>
      <c r="G521" s="27" t="str">
        <f t="shared" si="34"/>
        <v/>
      </c>
      <c r="H521" s="27" t="str">
        <f t="shared" si="34"/>
        <v/>
      </c>
    </row>
    <row r="522" spans="1:8" hidden="1" outlineLevel="1">
      <c r="A522" t="s">
        <v>98</v>
      </c>
      <c r="B522" s="27" t="str">
        <f t="shared" si="34"/>
        <v/>
      </c>
      <c r="C522" s="27" t="str">
        <f t="shared" si="34"/>
        <v/>
      </c>
      <c r="D522" s="27" t="str">
        <f t="shared" si="34"/>
        <v/>
      </c>
      <c r="E522" s="27" t="str">
        <f t="shared" si="34"/>
        <v/>
      </c>
      <c r="F522" s="27" t="str">
        <f t="shared" si="34"/>
        <v/>
      </c>
      <c r="G522" s="27" t="str">
        <f t="shared" si="34"/>
        <v/>
      </c>
      <c r="H522" s="27" t="str">
        <f t="shared" si="34"/>
        <v/>
      </c>
    </row>
    <row r="523" spans="1:8" hidden="1" outlineLevel="1">
      <c r="A523" t="s">
        <v>99</v>
      </c>
      <c r="B523" s="27" t="str">
        <f t="shared" si="34"/>
        <v/>
      </c>
      <c r="C523" s="27" t="str">
        <f t="shared" si="34"/>
        <v/>
      </c>
      <c r="D523" s="27" t="str">
        <f t="shared" si="34"/>
        <v/>
      </c>
      <c r="E523" s="27" t="str">
        <f t="shared" si="34"/>
        <v/>
      </c>
      <c r="F523" s="27" t="str">
        <f t="shared" si="34"/>
        <v/>
      </c>
      <c r="G523" s="27" t="str">
        <f t="shared" si="34"/>
        <v/>
      </c>
      <c r="H523" s="27" t="str">
        <f t="shared" si="34"/>
        <v/>
      </c>
    </row>
    <row r="524" spans="1:8" hidden="1" outlineLevel="1">
      <c r="A524" t="s">
        <v>100</v>
      </c>
      <c r="B524" s="27" t="str">
        <f t="shared" ref="B524:H533" si="35">IF(SUM(B95,B238)=0,"",SUM(B238)/SUM(B95,B238))</f>
        <v/>
      </c>
      <c r="C524" s="27" t="str">
        <f t="shared" si="35"/>
        <v/>
      </c>
      <c r="D524" s="27" t="str">
        <f t="shared" si="35"/>
        <v/>
      </c>
      <c r="E524" s="27" t="str">
        <f t="shared" si="35"/>
        <v/>
      </c>
      <c r="F524" s="27" t="str">
        <f t="shared" si="35"/>
        <v/>
      </c>
      <c r="G524" s="27" t="str">
        <f t="shared" si="35"/>
        <v/>
      </c>
      <c r="H524" s="27" t="str">
        <f t="shared" si="35"/>
        <v/>
      </c>
    </row>
    <row r="525" spans="1:8" hidden="1" outlineLevel="1">
      <c r="A525" t="s">
        <v>101</v>
      </c>
      <c r="B525" s="27" t="str">
        <f t="shared" si="35"/>
        <v/>
      </c>
      <c r="C525" s="27" t="str">
        <f t="shared" si="35"/>
        <v/>
      </c>
      <c r="D525" s="27" t="str">
        <f t="shared" si="35"/>
        <v/>
      </c>
      <c r="E525" s="27" t="str">
        <f t="shared" si="35"/>
        <v/>
      </c>
      <c r="F525" s="27" t="str">
        <f t="shared" si="35"/>
        <v/>
      </c>
      <c r="G525" s="27" t="str">
        <f t="shared" si="35"/>
        <v/>
      </c>
      <c r="H525" s="27" t="str">
        <f t="shared" si="35"/>
        <v/>
      </c>
    </row>
    <row r="526" spans="1:8" hidden="1" outlineLevel="1">
      <c r="A526" t="s">
        <v>102</v>
      </c>
      <c r="B526" s="27" t="str">
        <f t="shared" si="35"/>
        <v/>
      </c>
      <c r="C526" s="27" t="str">
        <f t="shared" si="35"/>
        <v/>
      </c>
      <c r="D526" s="27" t="str">
        <f t="shared" si="35"/>
        <v/>
      </c>
      <c r="E526" s="27" t="str">
        <f t="shared" si="35"/>
        <v/>
      </c>
      <c r="F526" s="27" t="str">
        <f t="shared" si="35"/>
        <v/>
      </c>
      <c r="G526" s="27" t="str">
        <f t="shared" si="35"/>
        <v/>
      </c>
      <c r="H526" s="27" t="str">
        <f t="shared" si="35"/>
        <v/>
      </c>
    </row>
    <row r="527" spans="1:8" hidden="1" outlineLevel="1">
      <c r="A527" t="s">
        <v>103</v>
      </c>
      <c r="B527" s="27" t="str">
        <f t="shared" si="35"/>
        <v/>
      </c>
      <c r="C527" s="27" t="str">
        <f t="shared" si="35"/>
        <v/>
      </c>
      <c r="D527" s="27" t="str">
        <f t="shared" si="35"/>
        <v/>
      </c>
      <c r="E527" s="27" t="str">
        <f t="shared" si="35"/>
        <v/>
      </c>
      <c r="F527" s="27" t="str">
        <f t="shared" si="35"/>
        <v/>
      </c>
      <c r="G527" s="27" t="str">
        <f t="shared" si="35"/>
        <v/>
      </c>
      <c r="H527" s="27" t="str">
        <f t="shared" si="35"/>
        <v/>
      </c>
    </row>
    <row r="528" spans="1:8" hidden="1" outlineLevel="1">
      <c r="A528" t="s">
        <v>104</v>
      </c>
      <c r="B528" s="27" t="str">
        <f t="shared" si="35"/>
        <v/>
      </c>
      <c r="C528" s="27" t="str">
        <f t="shared" si="35"/>
        <v/>
      </c>
      <c r="D528" s="27" t="str">
        <f t="shared" si="35"/>
        <v/>
      </c>
      <c r="E528" s="27" t="str">
        <f t="shared" si="35"/>
        <v/>
      </c>
      <c r="F528" s="27" t="str">
        <f t="shared" si="35"/>
        <v/>
      </c>
      <c r="G528" s="27" t="str">
        <f t="shared" si="35"/>
        <v/>
      </c>
      <c r="H528" s="27" t="str">
        <f t="shared" si="35"/>
        <v/>
      </c>
    </row>
    <row r="529" spans="1:8" hidden="1" outlineLevel="1">
      <c r="A529" t="s">
        <v>105</v>
      </c>
      <c r="B529" s="27" t="str">
        <f t="shared" si="35"/>
        <v/>
      </c>
      <c r="C529" s="27" t="str">
        <f t="shared" si="35"/>
        <v/>
      </c>
      <c r="D529" s="27" t="str">
        <f t="shared" si="35"/>
        <v/>
      </c>
      <c r="E529" s="27" t="str">
        <f t="shared" si="35"/>
        <v/>
      </c>
      <c r="F529" s="27" t="str">
        <f t="shared" si="35"/>
        <v/>
      </c>
      <c r="G529" s="27" t="str">
        <f t="shared" si="35"/>
        <v/>
      </c>
      <c r="H529" s="27" t="str">
        <f t="shared" si="35"/>
        <v/>
      </c>
    </row>
    <row r="530" spans="1:8" hidden="1" outlineLevel="1">
      <c r="A530" t="s">
        <v>106</v>
      </c>
      <c r="B530" s="27" t="str">
        <f t="shared" si="35"/>
        <v/>
      </c>
      <c r="C530" s="27" t="str">
        <f t="shared" si="35"/>
        <v/>
      </c>
      <c r="D530" s="27" t="str">
        <f t="shared" si="35"/>
        <v/>
      </c>
      <c r="E530" s="27" t="str">
        <f t="shared" si="35"/>
        <v/>
      </c>
      <c r="F530" s="27" t="str">
        <f t="shared" si="35"/>
        <v/>
      </c>
      <c r="G530" s="27" t="str">
        <f t="shared" si="35"/>
        <v/>
      </c>
      <c r="H530" s="27" t="str">
        <f t="shared" si="35"/>
        <v/>
      </c>
    </row>
    <row r="531" spans="1:8" hidden="1" outlineLevel="1">
      <c r="A531" t="s">
        <v>107</v>
      </c>
      <c r="B531" s="27" t="str">
        <f t="shared" si="35"/>
        <v/>
      </c>
      <c r="C531" s="27" t="str">
        <f t="shared" si="35"/>
        <v/>
      </c>
      <c r="D531" s="27" t="str">
        <f t="shared" si="35"/>
        <v/>
      </c>
      <c r="E531" s="27" t="str">
        <f t="shared" si="35"/>
        <v/>
      </c>
      <c r="F531" s="27" t="str">
        <f t="shared" si="35"/>
        <v/>
      </c>
      <c r="G531" s="27" t="str">
        <f t="shared" si="35"/>
        <v/>
      </c>
      <c r="H531" s="27" t="str">
        <f t="shared" si="35"/>
        <v/>
      </c>
    </row>
    <row r="532" spans="1:8" hidden="1" outlineLevel="1">
      <c r="A532" t="s">
        <v>108</v>
      </c>
      <c r="B532" s="27" t="str">
        <f t="shared" si="35"/>
        <v/>
      </c>
      <c r="C532" s="27" t="str">
        <f t="shared" si="35"/>
        <v/>
      </c>
      <c r="D532" s="27" t="str">
        <f t="shared" si="35"/>
        <v/>
      </c>
      <c r="E532" s="27" t="str">
        <f t="shared" si="35"/>
        <v/>
      </c>
      <c r="F532" s="27" t="str">
        <f t="shared" si="35"/>
        <v/>
      </c>
      <c r="G532" s="27" t="str">
        <f t="shared" si="35"/>
        <v/>
      </c>
      <c r="H532" s="27" t="str">
        <f t="shared" si="35"/>
        <v/>
      </c>
    </row>
    <row r="533" spans="1:8" hidden="1" outlineLevel="1">
      <c r="A533" t="s">
        <v>109</v>
      </c>
      <c r="B533" s="27" t="str">
        <f t="shared" si="35"/>
        <v/>
      </c>
      <c r="C533" s="27" t="str">
        <f t="shared" si="35"/>
        <v/>
      </c>
      <c r="D533" s="27" t="str">
        <f t="shared" si="35"/>
        <v/>
      </c>
      <c r="E533" s="27" t="str">
        <f t="shared" si="35"/>
        <v/>
      </c>
      <c r="F533" s="27" t="str">
        <f t="shared" si="35"/>
        <v/>
      </c>
      <c r="G533" s="27" t="str">
        <f t="shared" si="35"/>
        <v/>
      </c>
      <c r="H533" s="27" t="str">
        <f t="shared" si="35"/>
        <v/>
      </c>
    </row>
    <row r="534" spans="1:8" hidden="1" outlineLevel="1">
      <c r="A534" t="s">
        <v>110</v>
      </c>
      <c r="B534" s="27" t="str">
        <f t="shared" ref="B534:H543" si="36">IF(SUM(B105,B248)=0,"",SUM(B248)/SUM(B105,B248))</f>
        <v/>
      </c>
      <c r="C534" s="27" t="str">
        <f t="shared" si="36"/>
        <v/>
      </c>
      <c r="D534" s="27" t="str">
        <f t="shared" si="36"/>
        <v/>
      </c>
      <c r="E534" s="27" t="str">
        <f t="shared" si="36"/>
        <v/>
      </c>
      <c r="F534" s="27" t="str">
        <f t="shared" si="36"/>
        <v/>
      </c>
      <c r="G534" s="27" t="str">
        <f t="shared" si="36"/>
        <v/>
      </c>
      <c r="H534" s="27" t="str">
        <f t="shared" si="36"/>
        <v/>
      </c>
    </row>
    <row r="535" spans="1:8" hidden="1" outlineLevel="1">
      <c r="A535" t="s">
        <v>111</v>
      </c>
      <c r="B535" s="27" t="str">
        <f t="shared" si="36"/>
        <v/>
      </c>
      <c r="C535" s="27" t="str">
        <f t="shared" si="36"/>
        <v/>
      </c>
      <c r="D535" s="27" t="str">
        <f t="shared" si="36"/>
        <v/>
      </c>
      <c r="E535" s="27" t="str">
        <f t="shared" si="36"/>
        <v/>
      </c>
      <c r="F535" s="27" t="str">
        <f t="shared" si="36"/>
        <v/>
      </c>
      <c r="G535" s="27" t="str">
        <f t="shared" si="36"/>
        <v/>
      </c>
      <c r="H535" s="27" t="str">
        <f t="shared" si="36"/>
        <v/>
      </c>
    </row>
    <row r="536" spans="1:8" hidden="1" outlineLevel="1">
      <c r="A536" t="s">
        <v>112</v>
      </c>
      <c r="B536" s="27" t="str">
        <f t="shared" si="36"/>
        <v/>
      </c>
      <c r="C536" s="27" t="str">
        <f t="shared" si="36"/>
        <v/>
      </c>
      <c r="D536" s="27" t="str">
        <f t="shared" si="36"/>
        <v/>
      </c>
      <c r="E536" s="27" t="str">
        <f t="shared" si="36"/>
        <v/>
      </c>
      <c r="F536" s="27" t="str">
        <f t="shared" si="36"/>
        <v/>
      </c>
      <c r="G536" s="27" t="str">
        <f t="shared" si="36"/>
        <v/>
      </c>
      <c r="H536" s="27" t="str">
        <f t="shared" si="36"/>
        <v/>
      </c>
    </row>
    <row r="537" spans="1:8" hidden="1" outlineLevel="1">
      <c r="A537" t="s">
        <v>113</v>
      </c>
      <c r="B537" s="27" t="str">
        <f t="shared" si="36"/>
        <v/>
      </c>
      <c r="C537" s="27" t="str">
        <f t="shared" si="36"/>
        <v/>
      </c>
      <c r="D537" s="27" t="str">
        <f t="shared" si="36"/>
        <v/>
      </c>
      <c r="E537" s="27" t="str">
        <f t="shared" si="36"/>
        <v/>
      </c>
      <c r="F537" s="27" t="str">
        <f t="shared" si="36"/>
        <v/>
      </c>
      <c r="G537" s="27" t="str">
        <f t="shared" si="36"/>
        <v/>
      </c>
      <c r="H537" s="27" t="str">
        <f t="shared" si="36"/>
        <v/>
      </c>
    </row>
    <row r="538" spans="1:8" hidden="1" outlineLevel="1">
      <c r="A538" t="s">
        <v>114</v>
      </c>
      <c r="B538" s="27" t="str">
        <f t="shared" si="36"/>
        <v/>
      </c>
      <c r="C538" s="27" t="str">
        <f t="shared" si="36"/>
        <v/>
      </c>
      <c r="D538" s="27" t="str">
        <f t="shared" si="36"/>
        <v/>
      </c>
      <c r="E538" s="27" t="str">
        <f t="shared" si="36"/>
        <v/>
      </c>
      <c r="F538" s="27" t="str">
        <f t="shared" si="36"/>
        <v/>
      </c>
      <c r="G538" s="27" t="str">
        <f t="shared" si="36"/>
        <v/>
      </c>
      <c r="H538" s="27" t="str">
        <f t="shared" si="36"/>
        <v/>
      </c>
    </row>
    <row r="539" spans="1:8" hidden="1" outlineLevel="1">
      <c r="A539" t="s">
        <v>115</v>
      </c>
      <c r="B539" s="27" t="str">
        <f t="shared" si="36"/>
        <v/>
      </c>
      <c r="C539" s="27" t="str">
        <f t="shared" si="36"/>
        <v/>
      </c>
      <c r="D539" s="27" t="str">
        <f t="shared" si="36"/>
        <v/>
      </c>
      <c r="E539" s="27" t="str">
        <f t="shared" si="36"/>
        <v/>
      </c>
      <c r="F539" s="27" t="str">
        <f t="shared" si="36"/>
        <v/>
      </c>
      <c r="G539" s="27" t="str">
        <f t="shared" si="36"/>
        <v/>
      </c>
      <c r="H539" s="27" t="str">
        <f t="shared" si="36"/>
        <v/>
      </c>
    </row>
    <row r="540" spans="1:8" hidden="1" outlineLevel="1">
      <c r="A540" t="s">
        <v>116</v>
      </c>
      <c r="B540" s="27" t="str">
        <f t="shared" si="36"/>
        <v/>
      </c>
      <c r="C540" s="27" t="str">
        <f t="shared" si="36"/>
        <v/>
      </c>
      <c r="D540" s="27" t="str">
        <f t="shared" si="36"/>
        <v/>
      </c>
      <c r="E540" s="27" t="str">
        <f t="shared" si="36"/>
        <v/>
      </c>
      <c r="F540" s="27" t="str">
        <f t="shared" si="36"/>
        <v/>
      </c>
      <c r="G540" s="27" t="str">
        <f t="shared" si="36"/>
        <v/>
      </c>
      <c r="H540" s="27" t="str">
        <f t="shared" si="36"/>
        <v/>
      </c>
    </row>
    <row r="541" spans="1:8" hidden="1" outlineLevel="1">
      <c r="A541" t="s">
        <v>117</v>
      </c>
      <c r="B541" s="27" t="str">
        <f t="shared" si="36"/>
        <v/>
      </c>
      <c r="C541" s="27" t="str">
        <f t="shared" si="36"/>
        <v/>
      </c>
      <c r="D541" s="27" t="str">
        <f t="shared" si="36"/>
        <v/>
      </c>
      <c r="E541" s="27" t="str">
        <f t="shared" si="36"/>
        <v/>
      </c>
      <c r="F541" s="27" t="str">
        <f t="shared" si="36"/>
        <v/>
      </c>
      <c r="G541" s="27" t="str">
        <f t="shared" si="36"/>
        <v/>
      </c>
      <c r="H541" s="27" t="str">
        <f t="shared" si="36"/>
        <v/>
      </c>
    </row>
    <row r="542" spans="1:8" hidden="1" outlineLevel="1">
      <c r="A542" t="s">
        <v>118</v>
      </c>
      <c r="B542" s="27" t="str">
        <f t="shared" si="36"/>
        <v/>
      </c>
      <c r="C542" s="27" t="str">
        <f t="shared" si="36"/>
        <v/>
      </c>
      <c r="D542" s="27" t="str">
        <f t="shared" si="36"/>
        <v/>
      </c>
      <c r="E542" s="27" t="str">
        <f t="shared" si="36"/>
        <v/>
      </c>
      <c r="F542" s="27" t="str">
        <f t="shared" si="36"/>
        <v/>
      </c>
      <c r="G542" s="27" t="str">
        <f t="shared" si="36"/>
        <v/>
      </c>
      <c r="H542" s="27" t="str">
        <f t="shared" si="36"/>
        <v/>
      </c>
    </row>
    <row r="543" spans="1:8" hidden="1" outlineLevel="1">
      <c r="A543" t="s">
        <v>119</v>
      </c>
      <c r="B543" s="27" t="str">
        <f t="shared" si="36"/>
        <v/>
      </c>
      <c r="C543" s="27" t="str">
        <f t="shared" si="36"/>
        <v/>
      </c>
      <c r="D543" s="27" t="str">
        <f t="shared" si="36"/>
        <v/>
      </c>
      <c r="E543" s="27" t="str">
        <f t="shared" si="36"/>
        <v/>
      </c>
      <c r="F543" s="27" t="str">
        <f t="shared" si="36"/>
        <v/>
      </c>
      <c r="G543" s="27" t="str">
        <f t="shared" si="36"/>
        <v/>
      </c>
      <c r="H543" s="27" t="str">
        <f t="shared" si="36"/>
        <v/>
      </c>
    </row>
    <row r="544" spans="1:8" hidden="1" outlineLevel="1">
      <c r="A544" t="s">
        <v>120</v>
      </c>
      <c r="B544" s="27" t="str">
        <f t="shared" ref="B544:H553" si="37">IF(SUM(B115,B258)=0,"",SUM(B258)/SUM(B115,B258))</f>
        <v/>
      </c>
      <c r="C544" s="27" t="str">
        <f t="shared" si="37"/>
        <v/>
      </c>
      <c r="D544" s="27" t="str">
        <f t="shared" si="37"/>
        <v/>
      </c>
      <c r="E544" s="27" t="str">
        <f t="shared" si="37"/>
        <v/>
      </c>
      <c r="F544" s="27" t="str">
        <f t="shared" si="37"/>
        <v/>
      </c>
      <c r="G544" s="27" t="str">
        <f t="shared" si="37"/>
        <v/>
      </c>
      <c r="H544" s="27" t="str">
        <f t="shared" si="37"/>
        <v/>
      </c>
    </row>
    <row r="545" spans="1:8" hidden="1" outlineLevel="1">
      <c r="A545" t="s">
        <v>121</v>
      </c>
      <c r="B545" s="27" t="str">
        <f t="shared" si="37"/>
        <v/>
      </c>
      <c r="C545" s="27" t="str">
        <f t="shared" si="37"/>
        <v/>
      </c>
      <c r="D545" s="27" t="str">
        <f t="shared" si="37"/>
        <v/>
      </c>
      <c r="E545" s="27" t="str">
        <f t="shared" si="37"/>
        <v/>
      </c>
      <c r="F545" s="27" t="str">
        <f t="shared" si="37"/>
        <v/>
      </c>
      <c r="G545" s="27" t="str">
        <f t="shared" si="37"/>
        <v/>
      </c>
      <c r="H545" s="27" t="str">
        <f t="shared" si="37"/>
        <v/>
      </c>
    </row>
    <row r="546" spans="1:8" hidden="1" outlineLevel="1">
      <c r="A546" t="s">
        <v>122</v>
      </c>
      <c r="B546" s="27" t="str">
        <f t="shared" si="37"/>
        <v/>
      </c>
      <c r="C546" s="27" t="str">
        <f t="shared" si="37"/>
        <v/>
      </c>
      <c r="D546" s="27" t="str">
        <f t="shared" si="37"/>
        <v/>
      </c>
      <c r="E546" s="27" t="str">
        <f t="shared" si="37"/>
        <v/>
      </c>
      <c r="F546" s="27" t="str">
        <f t="shared" si="37"/>
        <v/>
      </c>
      <c r="G546" s="27" t="str">
        <f t="shared" si="37"/>
        <v/>
      </c>
      <c r="H546" s="27" t="str">
        <f t="shared" si="37"/>
        <v/>
      </c>
    </row>
    <row r="547" spans="1:8" hidden="1" outlineLevel="1">
      <c r="A547" t="s">
        <v>123</v>
      </c>
      <c r="B547" s="27" t="str">
        <f t="shared" si="37"/>
        <v/>
      </c>
      <c r="C547" s="27" t="str">
        <f t="shared" si="37"/>
        <v/>
      </c>
      <c r="D547" s="27" t="str">
        <f t="shared" si="37"/>
        <v/>
      </c>
      <c r="E547" s="27" t="str">
        <f t="shared" si="37"/>
        <v/>
      </c>
      <c r="F547" s="27" t="str">
        <f t="shared" si="37"/>
        <v/>
      </c>
      <c r="G547" s="27" t="str">
        <f t="shared" si="37"/>
        <v/>
      </c>
      <c r="H547" s="27" t="str">
        <f t="shared" si="37"/>
        <v/>
      </c>
    </row>
    <row r="548" spans="1:8" hidden="1" outlineLevel="1">
      <c r="A548" t="s">
        <v>124</v>
      </c>
      <c r="B548" s="27" t="str">
        <f t="shared" si="37"/>
        <v/>
      </c>
      <c r="C548" s="27" t="str">
        <f t="shared" si="37"/>
        <v/>
      </c>
      <c r="D548" s="27" t="str">
        <f t="shared" si="37"/>
        <v/>
      </c>
      <c r="E548" s="27" t="str">
        <f t="shared" si="37"/>
        <v/>
      </c>
      <c r="F548" s="27" t="str">
        <f t="shared" si="37"/>
        <v/>
      </c>
      <c r="G548" s="27" t="str">
        <f t="shared" si="37"/>
        <v/>
      </c>
      <c r="H548" s="27" t="str">
        <f t="shared" si="37"/>
        <v/>
      </c>
    </row>
    <row r="549" spans="1:8" hidden="1" outlineLevel="1">
      <c r="A549" t="s">
        <v>125</v>
      </c>
      <c r="B549" s="27" t="str">
        <f t="shared" si="37"/>
        <v/>
      </c>
      <c r="C549" s="27" t="str">
        <f t="shared" si="37"/>
        <v/>
      </c>
      <c r="D549" s="27" t="str">
        <f t="shared" si="37"/>
        <v/>
      </c>
      <c r="E549" s="27" t="str">
        <f t="shared" si="37"/>
        <v/>
      </c>
      <c r="F549" s="27" t="str">
        <f t="shared" si="37"/>
        <v/>
      </c>
      <c r="G549" s="27" t="str">
        <f t="shared" si="37"/>
        <v/>
      </c>
      <c r="H549" s="27" t="str">
        <f t="shared" si="37"/>
        <v/>
      </c>
    </row>
    <row r="550" spans="1:8" hidden="1" outlineLevel="1">
      <c r="A550" t="s">
        <v>126</v>
      </c>
      <c r="B550" s="27" t="str">
        <f t="shared" si="37"/>
        <v/>
      </c>
      <c r="C550" s="27" t="str">
        <f t="shared" si="37"/>
        <v/>
      </c>
      <c r="D550" s="27" t="str">
        <f t="shared" si="37"/>
        <v/>
      </c>
      <c r="E550" s="27" t="str">
        <f t="shared" si="37"/>
        <v/>
      </c>
      <c r="F550" s="27" t="str">
        <f t="shared" si="37"/>
        <v/>
      </c>
      <c r="G550" s="27" t="str">
        <f t="shared" si="37"/>
        <v/>
      </c>
      <c r="H550" s="27" t="str">
        <f t="shared" si="37"/>
        <v/>
      </c>
    </row>
    <row r="551" spans="1:8" hidden="1" outlineLevel="1">
      <c r="A551" t="s">
        <v>127</v>
      </c>
      <c r="B551" s="27" t="str">
        <f t="shared" si="37"/>
        <v/>
      </c>
      <c r="C551" s="27" t="str">
        <f t="shared" si="37"/>
        <v/>
      </c>
      <c r="D551" s="27" t="str">
        <f t="shared" si="37"/>
        <v/>
      </c>
      <c r="E551" s="27" t="str">
        <f t="shared" si="37"/>
        <v/>
      </c>
      <c r="F551" s="27" t="str">
        <f t="shared" si="37"/>
        <v/>
      </c>
      <c r="G551" s="27" t="str">
        <f t="shared" si="37"/>
        <v/>
      </c>
      <c r="H551" s="27" t="str">
        <f t="shared" si="37"/>
        <v/>
      </c>
    </row>
    <row r="552" spans="1:8" hidden="1" outlineLevel="1">
      <c r="A552" t="s">
        <v>128</v>
      </c>
      <c r="B552" s="27" t="str">
        <f t="shared" si="37"/>
        <v/>
      </c>
      <c r="C552" s="27" t="str">
        <f t="shared" si="37"/>
        <v/>
      </c>
      <c r="D552" s="27" t="str">
        <f t="shared" si="37"/>
        <v/>
      </c>
      <c r="E552" s="27" t="str">
        <f t="shared" si="37"/>
        <v/>
      </c>
      <c r="F552" s="27" t="str">
        <f t="shared" si="37"/>
        <v/>
      </c>
      <c r="G552" s="27" t="str">
        <f t="shared" si="37"/>
        <v/>
      </c>
      <c r="H552" s="27" t="str">
        <f t="shared" si="37"/>
        <v/>
      </c>
    </row>
    <row r="553" spans="1:8" hidden="1" outlineLevel="1">
      <c r="A553" t="s">
        <v>129</v>
      </c>
      <c r="B553" s="27" t="str">
        <f t="shared" si="37"/>
        <v/>
      </c>
      <c r="C553" s="27" t="str">
        <f t="shared" si="37"/>
        <v/>
      </c>
      <c r="D553" s="27" t="str">
        <f t="shared" si="37"/>
        <v/>
      </c>
      <c r="E553" s="27" t="str">
        <f t="shared" si="37"/>
        <v/>
      </c>
      <c r="F553" s="27" t="str">
        <f t="shared" si="37"/>
        <v/>
      </c>
      <c r="G553" s="27" t="str">
        <f t="shared" si="37"/>
        <v/>
      </c>
      <c r="H553" s="27" t="str">
        <f t="shared" si="37"/>
        <v/>
      </c>
    </row>
    <row r="554" spans="1:8" hidden="1" outlineLevel="1">
      <c r="A554" t="s">
        <v>130</v>
      </c>
      <c r="B554" s="27" t="str">
        <f t="shared" ref="B554:H563" si="38">IF(SUM(B125,B268)=0,"",SUM(B268)/SUM(B125,B268))</f>
        <v/>
      </c>
      <c r="C554" s="27" t="str">
        <f t="shared" si="38"/>
        <v/>
      </c>
      <c r="D554" s="27" t="str">
        <f t="shared" si="38"/>
        <v/>
      </c>
      <c r="E554" s="27" t="str">
        <f t="shared" si="38"/>
        <v/>
      </c>
      <c r="F554" s="27" t="str">
        <f t="shared" si="38"/>
        <v/>
      </c>
      <c r="G554" s="27" t="str">
        <f t="shared" si="38"/>
        <v/>
      </c>
      <c r="H554" s="27" t="str">
        <f t="shared" si="38"/>
        <v/>
      </c>
    </row>
    <row r="555" spans="1:8" hidden="1" outlineLevel="1">
      <c r="A555" t="s">
        <v>131</v>
      </c>
      <c r="B555" s="27" t="str">
        <f t="shared" si="38"/>
        <v/>
      </c>
      <c r="C555" s="27" t="str">
        <f t="shared" si="38"/>
        <v/>
      </c>
      <c r="D555" s="27" t="str">
        <f t="shared" si="38"/>
        <v/>
      </c>
      <c r="E555" s="27" t="str">
        <f t="shared" si="38"/>
        <v/>
      </c>
      <c r="F555" s="27" t="str">
        <f t="shared" si="38"/>
        <v/>
      </c>
      <c r="G555" s="27" t="str">
        <f t="shared" si="38"/>
        <v/>
      </c>
      <c r="H555" s="27" t="str">
        <f t="shared" si="38"/>
        <v/>
      </c>
    </row>
    <row r="556" spans="1:8" hidden="1" outlineLevel="1">
      <c r="A556" t="s">
        <v>132</v>
      </c>
      <c r="B556" s="27" t="str">
        <f t="shared" si="38"/>
        <v/>
      </c>
      <c r="C556" s="27" t="str">
        <f t="shared" si="38"/>
        <v/>
      </c>
      <c r="D556" s="27" t="str">
        <f t="shared" si="38"/>
        <v/>
      </c>
      <c r="E556" s="27" t="str">
        <f t="shared" si="38"/>
        <v/>
      </c>
      <c r="F556" s="27" t="str">
        <f t="shared" si="38"/>
        <v/>
      </c>
      <c r="G556" s="27" t="str">
        <f t="shared" si="38"/>
        <v/>
      </c>
      <c r="H556" s="27" t="str">
        <f t="shared" si="38"/>
        <v/>
      </c>
    </row>
    <row r="557" spans="1:8" hidden="1" outlineLevel="1">
      <c r="A557" t="s">
        <v>133</v>
      </c>
      <c r="B557" s="27" t="str">
        <f t="shared" si="38"/>
        <v/>
      </c>
      <c r="C557" s="27" t="str">
        <f t="shared" si="38"/>
        <v/>
      </c>
      <c r="D557" s="27" t="str">
        <f t="shared" si="38"/>
        <v/>
      </c>
      <c r="E557" s="27" t="str">
        <f t="shared" si="38"/>
        <v/>
      </c>
      <c r="F557" s="27" t="str">
        <f t="shared" si="38"/>
        <v/>
      </c>
      <c r="G557" s="27" t="str">
        <f t="shared" si="38"/>
        <v/>
      </c>
      <c r="H557" s="27" t="str">
        <f t="shared" si="38"/>
        <v/>
      </c>
    </row>
    <row r="558" spans="1:8" hidden="1" outlineLevel="1">
      <c r="A558" t="s">
        <v>134</v>
      </c>
      <c r="B558" s="27" t="str">
        <f t="shared" si="38"/>
        <v/>
      </c>
      <c r="C558" s="27" t="str">
        <f t="shared" si="38"/>
        <v/>
      </c>
      <c r="D558" s="27" t="str">
        <f t="shared" si="38"/>
        <v/>
      </c>
      <c r="E558" s="27" t="str">
        <f t="shared" si="38"/>
        <v/>
      </c>
      <c r="F558" s="27" t="str">
        <f t="shared" si="38"/>
        <v/>
      </c>
      <c r="G558" s="27" t="str">
        <f t="shared" si="38"/>
        <v/>
      </c>
      <c r="H558" s="27" t="str">
        <f t="shared" si="38"/>
        <v/>
      </c>
    </row>
    <row r="559" spans="1:8" hidden="1" outlineLevel="1">
      <c r="A559" t="s">
        <v>135</v>
      </c>
      <c r="B559" s="27" t="str">
        <f t="shared" si="38"/>
        <v/>
      </c>
      <c r="C559" s="27" t="str">
        <f t="shared" si="38"/>
        <v/>
      </c>
      <c r="D559" s="27" t="str">
        <f t="shared" si="38"/>
        <v/>
      </c>
      <c r="E559" s="27" t="str">
        <f t="shared" si="38"/>
        <v/>
      </c>
      <c r="F559" s="27" t="str">
        <f t="shared" si="38"/>
        <v/>
      </c>
      <c r="G559" s="27" t="str">
        <f t="shared" si="38"/>
        <v/>
      </c>
      <c r="H559" s="27" t="str">
        <f t="shared" si="38"/>
        <v/>
      </c>
    </row>
    <row r="560" spans="1:8" hidden="1" outlineLevel="1">
      <c r="A560" t="s">
        <v>136</v>
      </c>
      <c r="B560" s="27" t="str">
        <f t="shared" si="38"/>
        <v/>
      </c>
      <c r="C560" s="27" t="str">
        <f t="shared" si="38"/>
        <v/>
      </c>
      <c r="D560" s="27" t="str">
        <f t="shared" si="38"/>
        <v/>
      </c>
      <c r="E560" s="27" t="str">
        <f t="shared" si="38"/>
        <v/>
      </c>
      <c r="F560" s="27" t="str">
        <f t="shared" si="38"/>
        <v/>
      </c>
      <c r="G560" s="27" t="str">
        <f t="shared" si="38"/>
        <v/>
      </c>
      <c r="H560" s="27" t="str">
        <f t="shared" si="38"/>
        <v/>
      </c>
    </row>
    <row r="561" spans="1:8" hidden="1" outlineLevel="1">
      <c r="A561" t="s">
        <v>137</v>
      </c>
      <c r="B561" s="27" t="str">
        <f t="shared" si="38"/>
        <v/>
      </c>
      <c r="C561" s="27" t="str">
        <f t="shared" si="38"/>
        <v/>
      </c>
      <c r="D561" s="27" t="str">
        <f t="shared" si="38"/>
        <v/>
      </c>
      <c r="E561" s="27" t="str">
        <f t="shared" si="38"/>
        <v/>
      </c>
      <c r="F561" s="27" t="str">
        <f t="shared" si="38"/>
        <v/>
      </c>
      <c r="G561" s="27" t="str">
        <f t="shared" si="38"/>
        <v/>
      </c>
      <c r="H561" s="27" t="str">
        <f t="shared" si="38"/>
        <v/>
      </c>
    </row>
    <row r="562" spans="1:8" hidden="1" outlineLevel="1">
      <c r="A562" t="s">
        <v>138</v>
      </c>
      <c r="B562" s="27" t="str">
        <f t="shared" si="38"/>
        <v/>
      </c>
      <c r="C562" s="27" t="str">
        <f t="shared" si="38"/>
        <v/>
      </c>
      <c r="D562" s="27" t="str">
        <f t="shared" si="38"/>
        <v/>
      </c>
      <c r="E562" s="27" t="str">
        <f t="shared" si="38"/>
        <v/>
      </c>
      <c r="F562" s="27" t="str">
        <f t="shared" si="38"/>
        <v/>
      </c>
      <c r="G562" s="27" t="str">
        <f t="shared" si="38"/>
        <v/>
      </c>
      <c r="H562" s="27" t="str">
        <f t="shared" si="38"/>
        <v/>
      </c>
    </row>
    <row r="563" spans="1:8" hidden="1" outlineLevel="1">
      <c r="A563" t="s">
        <v>139</v>
      </c>
      <c r="B563" s="27" t="str">
        <f t="shared" si="38"/>
        <v/>
      </c>
      <c r="C563" s="27" t="str">
        <f t="shared" si="38"/>
        <v/>
      </c>
      <c r="D563" s="27" t="str">
        <f t="shared" si="38"/>
        <v/>
      </c>
      <c r="E563" s="27" t="str">
        <f t="shared" si="38"/>
        <v/>
      </c>
      <c r="F563" s="27" t="str">
        <f t="shared" si="38"/>
        <v/>
      </c>
      <c r="G563" s="27" t="str">
        <f t="shared" si="38"/>
        <v/>
      </c>
      <c r="H563" s="27" t="str">
        <f t="shared" si="38"/>
        <v/>
      </c>
    </row>
    <row r="564" spans="1:8" hidden="1" outlineLevel="1">
      <c r="A564" t="s">
        <v>140</v>
      </c>
      <c r="B564" s="27" t="str">
        <f t="shared" ref="B564:H573" si="39">IF(SUM(B135,B278)=0,"",SUM(B278)/SUM(B135,B278))</f>
        <v/>
      </c>
      <c r="C564" s="27" t="str">
        <f t="shared" si="39"/>
        <v/>
      </c>
      <c r="D564" s="27" t="str">
        <f t="shared" si="39"/>
        <v/>
      </c>
      <c r="E564" s="27" t="str">
        <f t="shared" si="39"/>
        <v/>
      </c>
      <c r="F564" s="27" t="str">
        <f t="shared" si="39"/>
        <v/>
      </c>
      <c r="G564" s="27" t="str">
        <f t="shared" si="39"/>
        <v/>
      </c>
      <c r="H564" s="27" t="str">
        <f t="shared" si="39"/>
        <v/>
      </c>
    </row>
    <row r="565" spans="1:8" hidden="1" outlineLevel="1">
      <c r="A565" t="s">
        <v>141</v>
      </c>
      <c r="B565" s="27" t="str">
        <f t="shared" si="39"/>
        <v/>
      </c>
      <c r="C565" s="27" t="str">
        <f t="shared" si="39"/>
        <v/>
      </c>
      <c r="D565" s="27" t="str">
        <f t="shared" si="39"/>
        <v/>
      </c>
      <c r="E565" s="27" t="str">
        <f t="shared" si="39"/>
        <v/>
      </c>
      <c r="F565" s="27" t="str">
        <f t="shared" si="39"/>
        <v/>
      </c>
      <c r="G565" s="27" t="str">
        <f t="shared" si="39"/>
        <v/>
      </c>
      <c r="H565" s="27" t="str">
        <f t="shared" si="39"/>
        <v/>
      </c>
    </row>
    <row r="566" spans="1:8" hidden="1" outlineLevel="1">
      <c r="A566" t="s">
        <v>142</v>
      </c>
      <c r="B566" s="27" t="str">
        <f t="shared" si="39"/>
        <v/>
      </c>
      <c r="C566" s="27" t="str">
        <f t="shared" si="39"/>
        <v/>
      </c>
      <c r="D566" s="27" t="str">
        <f t="shared" si="39"/>
        <v/>
      </c>
      <c r="E566" s="27" t="str">
        <f t="shared" si="39"/>
        <v/>
      </c>
      <c r="F566" s="27" t="str">
        <f t="shared" si="39"/>
        <v/>
      </c>
      <c r="G566" s="27" t="str">
        <f t="shared" si="39"/>
        <v/>
      </c>
      <c r="H566" s="27" t="str">
        <f t="shared" si="39"/>
        <v/>
      </c>
    </row>
    <row r="567" spans="1:8" hidden="1" outlineLevel="1">
      <c r="A567" t="s">
        <v>143</v>
      </c>
      <c r="B567" s="27" t="str">
        <f t="shared" si="39"/>
        <v/>
      </c>
      <c r="C567" s="27" t="str">
        <f t="shared" si="39"/>
        <v/>
      </c>
      <c r="D567" s="27" t="str">
        <f t="shared" si="39"/>
        <v/>
      </c>
      <c r="E567" s="27" t="str">
        <f t="shared" si="39"/>
        <v/>
      </c>
      <c r="F567" s="27" t="str">
        <f t="shared" si="39"/>
        <v/>
      </c>
      <c r="G567" s="27" t="str">
        <f t="shared" si="39"/>
        <v/>
      </c>
      <c r="H567" s="27" t="str">
        <f t="shared" si="39"/>
        <v/>
      </c>
    </row>
    <row r="568" spans="1:8" hidden="1" outlineLevel="1">
      <c r="A568" t="s">
        <v>144</v>
      </c>
      <c r="B568" s="27" t="str">
        <f t="shared" si="39"/>
        <v/>
      </c>
      <c r="C568" s="27" t="str">
        <f t="shared" si="39"/>
        <v/>
      </c>
      <c r="D568" s="27" t="str">
        <f t="shared" si="39"/>
        <v/>
      </c>
      <c r="E568" s="27" t="str">
        <f t="shared" si="39"/>
        <v/>
      </c>
      <c r="F568" s="27" t="str">
        <f t="shared" si="39"/>
        <v/>
      </c>
      <c r="G568" s="27" t="str">
        <f t="shared" si="39"/>
        <v/>
      </c>
      <c r="H568" s="27" t="str">
        <f t="shared" si="39"/>
        <v/>
      </c>
    </row>
    <row r="569" spans="1:8" hidden="1" outlineLevel="1">
      <c r="A569" t="s">
        <v>145</v>
      </c>
      <c r="B569" s="27" t="str">
        <f t="shared" si="39"/>
        <v/>
      </c>
      <c r="C569" s="27" t="str">
        <f t="shared" si="39"/>
        <v/>
      </c>
      <c r="D569" s="27" t="str">
        <f t="shared" si="39"/>
        <v/>
      </c>
      <c r="E569" s="27" t="str">
        <f t="shared" si="39"/>
        <v/>
      </c>
      <c r="F569" s="27" t="str">
        <f t="shared" si="39"/>
        <v/>
      </c>
      <c r="G569" s="27" t="str">
        <f t="shared" si="39"/>
        <v/>
      </c>
      <c r="H569" s="27" t="str">
        <f t="shared" si="39"/>
        <v/>
      </c>
    </row>
    <row r="570" spans="1:8" hidden="1" outlineLevel="1">
      <c r="A570" t="s">
        <v>146</v>
      </c>
      <c r="B570" s="27" t="str">
        <f t="shared" si="39"/>
        <v/>
      </c>
      <c r="C570" s="27" t="str">
        <f t="shared" si="39"/>
        <v/>
      </c>
      <c r="D570" s="27" t="str">
        <f t="shared" si="39"/>
        <v/>
      </c>
      <c r="E570" s="27" t="str">
        <f t="shared" si="39"/>
        <v/>
      </c>
      <c r="F570" s="27" t="str">
        <f t="shared" si="39"/>
        <v/>
      </c>
      <c r="G570" s="27" t="str">
        <f t="shared" si="39"/>
        <v/>
      </c>
      <c r="H570" s="27" t="str">
        <f t="shared" si="39"/>
        <v/>
      </c>
    </row>
    <row r="571" spans="1:8" hidden="1" outlineLevel="1">
      <c r="A571" t="s">
        <v>147</v>
      </c>
      <c r="B571" s="27" t="str">
        <f t="shared" si="39"/>
        <v/>
      </c>
      <c r="C571" s="27" t="str">
        <f t="shared" si="39"/>
        <v/>
      </c>
      <c r="D571" s="27" t="str">
        <f t="shared" si="39"/>
        <v/>
      </c>
      <c r="E571" s="27" t="str">
        <f t="shared" si="39"/>
        <v/>
      </c>
      <c r="F571" s="27" t="str">
        <f t="shared" si="39"/>
        <v/>
      </c>
      <c r="G571" s="27" t="str">
        <f t="shared" si="39"/>
        <v/>
      </c>
      <c r="H571" s="27" t="str">
        <f t="shared" si="39"/>
        <v/>
      </c>
    </row>
    <row r="572" spans="1:8" collapsed="1">
      <c r="A572" s="28" t="s">
        <v>9</v>
      </c>
      <c r="B572" s="31">
        <f t="shared" si="39"/>
        <v>0.15009225550776761</v>
      </c>
      <c r="C572" s="31">
        <f t="shared" si="39"/>
        <v>0.13028329251252643</v>
      </c>
      <c r="D572" s="31">
        <f t="shared" si="39"/>
        <v>0.47927509360606735</v>
      </c>
      <c r="E572" s="31">
        <f t="shared" si="39"/>
        <v>0.60600097382595486</v>
      </c>
      <c r="F572" s="31">
        <f t="shared" si="39"/>
        <v>0.15778871221117641</v>
      </c>
      <c r="G572" s="31">
        <f t="shared" si="39"/>
        <v>0.18128515998487985</v>
      </c>
      <c r="H572" s="31">
        <f t="shared" si="39"/>
        <v>0.31225571424499149</v>
      </c>
    </row>
  </sheetData>
  <conditionalFormatting sqref="B291:B4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4:B57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1:C4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4:C57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1:D4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4:D57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1:E4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4:E57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1:F4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4:F57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1:G4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4:G57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1:H4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4:H57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72"/>
  <sheetViews>
    <sheetView workbookViewId="0"/>
  </sheetViews>
  <sheetFormatPr baseColWidth="10" defaultColWidth="8.83203125" defaultRowHeight="16" outlineLevelRow="1"/>
  <cols>
    <col min="1" max="1" width="20" customWidth="1"/>
    <col min="2" max="8" width="16" customWidth="1"/>
  </cols>
  <sheetData>
    <row r="1" spans="1:8">
      <c r="A1" s="32" t="s">
        <v>184</v>
      </c>
    </row>
    <row r="3" spans="1:8">
      <c r="A3" s="32" t="s">
        <v>1</v>
      </c>
    </row>
    <row r="4" spans="1:8">
      <c r="A4" s="32" t="s">
        <v>2</v>
      </c>
      <c r="B4" s="32" t="s">
        <v>3</v>
      </c>
      <c r="C4" s="32" t="s">
        <v>4</v>
      </c>
      <c r="D4" s="32" t="s">
        <v>5</v>
      </c>
      <c r="E4" s="32" t="s">
        <v>6</v>
      </c>
      <c r="F4" s="32" t="s">
        <v>7</v>
      </c>
      <c r="G4" s="32" t="s">
        <v>8</v>
      </c>
      <c r="H4" s="32" t="s">
        <v>9</v>
      </c>
    </row>
    <row r="5" spans="1:8">
      <c r="A5" t="s">
        <v>10</v>
      </c>
      <c r="B5" s="26">
        <f>IF(SUMIFS('NSE - NIFTY Index Options'!$L:$L,'NSE - NIFTY Index Options'!$C:$C,$A5,'NSE - NIFTY Index Options'!$B:$B,B$4,'NSE - NIFTY Index Options'!$H:$H,"Weekly*")+SUMIFS('NSE - NIFTY Index Options'!$L:$L,'NSE - NIFTY Index Options'!$C:$C,$A5,'NSE - NIFTY Index Options'!$B:$B,B$4,'NSE - NIFTY Index Options'!$H:$H,"MDAW*")+SUMIFS('NSE - Other Index Options'!$L:$L,'NSE - Other Index Options'!$C:$C,$A5,'NSE - Other Index Options'!$B:$B,B$4,'NSE - Other Index Options'!$H:$H,"Weekly*")+SUMIFS('NSE - Other Index Options'!$L:$L,'NSE - Other Index Options'!$C:$C,$A5,'NSE - Other Index Options'!$B:$B,B$4,'NSE - Other Index Options'!$H:$H,"MDAW*")=0,"",SUMIFS('NSE - NIFTY Index Options'!$L:$L,'NSE - NIFTY Index Options'!$C:$C,$A5,'NSE - NIFTY Index Options'!$B:$B,B$4,'NSE - NIFTY Index Options'!$H:$H,"Weekly*")+SUMIFS('NSE - NIFTY Index Options'!$L:$L,'NSE - NIFTY Index Options'!$C:$C,$A5,'NSE - NIFTY Index Options'!$B:$B,B$4,'NSE - NIFTY Index Options'!$H:$H,"MDAW*")+SUMIFS('NSE - Other Index Options'!$L:$L,'NSE - Other Index Options'!$C:$C,$A5,'NSE - Other Index Options'!$B:$B,B$4,'NSE - Other Index Options'!$H:$H,"Weekly*")+SUMIFS('NSE - Other Index Options'!$L:$L,'NSE - Other Index Options'!$C:$C,$A5,'NSE - Other Index Options'!$B:$B,B$4,'NSE - Other Index Options'!$H:$H,"MDAW*"))</f>
        <v>34240.299999999996</v>
      </c>
      <c r="C5" s="26">
        <f>IF(SUMIFS('NSE - NIFTY Index Options'!$L:$L,'NSE - NIFTY Index Options'!$C:$C,$A5,'NSE - NIFTY Index Options'!$B:$B,C$4,'NSE - NIFTY Index Options'!$H:$H,"Weekly*")+SUMIFS('NSE - NIFTY Index Options'!$L:$L,'NSE - NIFTY Index Options'!$C:$C,$A5,'NSE - NIFTY Index Options'!$B:$B,C$4,'NSE - NIFTY Index Options'!$H:$H,"MDAW*")+SUMIFS('NSE - Other Index Options'!$L:$L,'NSE - Other Index Options'!$C:$C,$A5,'NSE - Other Index Options'!$B:$B,C$4,'NSE - Other Index Options'!$H:$H,"Weekly*")+SUMIFS('NSE - Other Index Options'!$L:$L,'NSE - Other Index Options'!$C:$C,$A5,'NSE - Other Index Options'!$B:$B,C$4,'NSE - Other Index Options'!$H:$H,"MDAW*")=0,"",SUMIFS('NSE - NIFTY Index Options'!$L:$L,'NSE - NIFTY Index Options'!$C:$C,$A5,'NSE - NIFTY Index Options'!$B:$B,C$4,'NSE - NIFTY Index Options'!$H:$H,"Weekly*")+SUMIFS('NSE - NIFTY Index Options'!$L:$L,'NSE - NIFTY Index Options'!$C:$C,$A5,'NSE - NIFTY Index Options'!$B:$B,C$4,'NSE - NIFTY Index Options'!$H:$H,"MDAW*")+SUMIFS('NSE - Other Index Options'!$L:$L,'NSE - Other Index Options'!$C:$C,$A5,'NSE - Other Index Options'!$B:$B,C$4,'NSE - Other Index Options'!$H:$H,"Weekly*")+SUMIFS('NSE - Other Index Options'!$L:$L,'NSE - Other Index Options'!$C:$C,$A5,'NSE - Other Index Options'!$B:$B,C$4,'NSE - Other Index Options'!$H:$H,"MDAW*"))</f>
        <v>62843.09</v>
      </c>
      <c r="D5" s="26">
        <f>IF(SUMIFS('NSE - NIFTY Index Options'!$L:$L,'NSE - NIFTY Index Options'!$C:$C,$A5,'NSE - NIFTY Index Options'!$B:$B,D$4,'NSE - NIFTY Index Options'!$H:$H,"Weekly*")+SUMIFS('NSE - NIFTY Index Options'!$L:$L,'NSE - NIFTY Index Options'!$C:$C,$A5,'NSE - NIFTY Index Options'!$B:$B,D$4,'NSE - NIFTY Index Options'!$H:$H,"MDAW*")+SUMIFS('NSE - Other Index Options'!$L:$L,'NSE - Other Index Options'!$C:$C,$A5,'NSE - Other Index Options'!$B:$B,D$4,'NSE - Other Index Options'!$H:$H,"Weekly*")+SUMIFS('NSE - Other Index Options'!$L:$L,'NSE - Other Index Options'!$C:$C,$A5,'NSE - Other Index Options'!$B:$B,D$4,'NSE - Other Index Options'!$H:$H,"MDAW*")=0,"",SUMIFS('NSE - NIFTY Index Options'!$L:$L,'NSE - NIFTY Index Options'!$C:$C,$A5,'NSE - NIFTY Index Options'!$B:$B,D$4,'NSE - NIFTY Index Options'!$H:$H,"Weekly*")+SUMIFS('NSE - NIFTY Index Options'!$L:$L,'NSE - NIFTY Index Options'!$C:$C,$A5,'NSE - NIFTY Index Options'!$B:$B,D$4,'NSE - NIFTY Index Options'!$H:$H,"MDAW*")+SUMIFS('NSE - Other Index Options'!$L:$L,'NSE - Other Index Options'!$C:$C,$A5,'NSE - Other Index Options'!$B:$B,D$4,'NSE - Other Index Options'!$H:$H,"Weekly*")+SUMIFS('NSE - Other Index Options'!$L:$L,'NSE - Other Index Options'!$C:$C,$A5,'NSE - Other Index Options'!$B:$B,D$4,'NSE - Other Index Options'!$H:$H,"MDAW*"))</f>
        <v>31584.47</v>
      </c>
      <c r="E5" s="26">
        <f>IF(SUMIFS('NSE - NIFTY Index Options'!$L:$L,'NSE - NIFTY Index Options'!$C:$C,$A5,'NSE - NIFTY Index Options'!$B:$B,E$4,'NSE - NIFTY Index Options'!$H:$H,"Weekly*")+SUMIFS('NSE - NIFTY Index Options'!$L:$L,'NSE - NIFTY Index Options'!$C:$C,$A5,'NSE - NIFTY Index Options'!$B:$B,E$4,'NSE - NIFTY Index Options'!$H:$H,"MDAW*")+SUMIFS('NSE - Other Index Options'!$L:$L,'NSE - Other Index Options'!$C:$C,$A5,'NSE - Other Index Options'!$B:$B,E$4,'NSE - Other Index Options'!$H:$H,"Weekly*")+SUMIFS('NSE - Other Index Options'!$L:$L,'NSE - Other Index Options'!$C:$C,$A5,'NSE - Other Index Options'!$B:$B,E$4,'NSE - Other Index Options'!$H:$H,"MDAW*")=0,"",SUMIFS('NSE - NIFTY Index Options'!$L:$L,'NSE - NIFTY Index Options'!$C:$C,$A5,'NSE - NIFTY Index Options'!$B:$B,E$4,'NSE - NIFTY Index Options'!$H:$H,"Weekly*")+SUMIFS('NSE - NIFTY Index Options'!$L:$L,'NSE - NIFTY Index Options'!$C:$C,$A5,'NSE - NIFTY Index Options'!$B:$B,E$4,'NSE - NIFTY Index Options'!$H:$H,"MDAW*")+SUMIFS('NSE - Other Index Options'!$L:$L,'NSE - Other Index Options'!$C:$C,$A5,'NSE - Other Index Options'!$B:$B,E$4,'NSE - Other Index Options'!$H:$H,"Weekly*")+SUMIFS('NSE - Other Index Options'!$L:$L,'NSE - Other Index Options'!$C:$C,$A5,'NSE - Other Index Options'!$B:$B,E$4,'NSE - Other Index Options'!$H:$H,"MDAW*"))</f>
        <v>32861.390000000007</v>
      </c>
      <c r="F5" s="26">
        <f>IF(SUMIFS('NSE - NIFTY Index Options'!$L:$L,'NSE - NIFTY Index Options'!$C:$C,$A5,'NSE - NIFTY Index Options'!$B:$B,F$4,'NSE - NIFTY Index Options'!$H:$H,"Weekly*")+SUMIFS('NSE - NIFTY Index Options'!$L:$L,'NSE - NIFTY Index Options'!$C:$C,$A5,'NSE - NIFTY Index Options'!$B:$B,F$4,'NSE - NIFTY Index Options'!$H:$H,"MDAW*")+SUMIFS('NSE - Other Index Options'!$L:$L,'NSE - Other Index Options'!$C:$C,$A5,'NSE - Other Index Options'!$B:$B,F$4,'NSE - Other Index Options'!$H:$H,"Weekly*")+SUMIFS('NSE - Other Index Options'!$L:$L,'NSE - Other Index Options'!$C:$C,$A5,'NSE - Other Index Options'!$B:$B,F$4,'NSE - Other Index Options'!$H:$H,"MDAW*")=0,"",SUMIFS('NSE - NIFTY Index Options'!$L:$L,'NSE - NIFTY Index Options'!$C:$C,$A5,'NSE - NIFTY Index Options'!$B:$B,F$4,'NSE - NIFTY Index Options'!$H:$H,"Weekly*")+SUMIFS('NSE - NIFTY Index Options'!$L:$L,'NSE - NIFTY Index Options'!$C:$C,$A5,'NSE - NIFTY Index Options'!$B:$B,F$4,'NSE - NIFTY Index Options'!$H:$H,"MDAW*")+SUMIFS('NSE - Other Index Options'!$L:$L,'NSE - Other Index Options'!$C:$C,$A5,'NSE - Other Index Options'!$B:$B,F$4,'NSE - Other Index Options'!$H:$H,"Weekly*")+SUMIFS('NSE - Other Index Options'!$L:$L,'NSE - Other Index Options'!$C:$C,$A5,'NSE - Other Index Options'!$B:$B,F$4,'NSE - Other Index Options'!$H:$H,"MDAW*"))</f>
        <v>46967.669999999991</v>
      </c>
      <c r="G5" s="26" t="str">
        <f>IF(SUMIFS('NSE - NIFTY Index Options'!$L:$L,'NSE - NIFTY Index Options'!$C:$C,$A5,'NSE - NIFTY Index Options'!$B:$B,G$4,'NSE - NIFTY Index Options'!$H:$H,"Weekly*")+SUMIFS('NSE - NIFTY Index Options'!$L:$L,'NSE - NIFTY Index Options'!$C:$C,$A5,'NSE - NIFTY Index Options'!$B:$B,G$4,'NSE - NIFTY Index Options'!$H:$H,"MDAW*")+SUMIFS('NSE - Other Index Options'!$L:$L,'NSE - Other Index Options'!$C:$C,$A5,'NSE - Other Index Options'!$B:$B,G$4,'NSE - Other Index Options'!$H:$H,"Weekly*")+SUMIFS('NSE - Other Index Options'!$L:$L,'NSE - Other Index Options'!$C:$C,$A5,'NSE - Other Index Options'!$B:$B,G$4,'NSE - Other Index Options'!$H:$H,"MDAW*")=0,"",SUMIFS('NSE - NIFTY Index Options'!$L:$L,'NSE - NIFTY Index Options'!$C:$C,$A5,'NSE - NIFTY Index Options'!$B:$B,G$4,'NSE - NIFTY Index Options'!$H:$H,"Weekly*")+SUMIFS('NSE - NIFTY Index Options'!$L:$L,'NSE - NIFTY Index Options'!$C:$C,$A5,'NSE - NIFTY Index Options'!$B:$B,G$4,'NSE - NIFTY Index Options'!$H:$H,"MDAW*")+SUMIFS('NSE - Other Index Options'!$L:$L,'NSE - Other Index Options'!$C:$C,$A5,'NSE - Other Index Options'!$B:$B,G$4,'NSE - Other Index Options'!$H:$H,"Weekly*")+SUMIFS('NSE - Other Index Options'!$L:$L,'NSE - Other Index Options'!$C:$C,$A5,'NSE - Other Index Options'!$B:$B,G$4,'NSE - Other Index Options'!$H:$H,"MDAW*"))</f>
        <v/>
      </c>
      <c r="H5" s="26">
        <f t="shared" ref="H5:H36" si="0">IF(SUM(B5:G5)=0,"",SUM(B5:G5))</f>
        <v>208496.91999999998</v>
      </c>
    </row>
    <row r="6" spans="1:8">
      <c r="A6" t="s">
        <v>11</v>
      </c>
      <c r="B6" s="26">
        <f>IF(SUMIFS('NSE - NIFTY Index Options'!$L:$L,'NSE - NIFTY Index Options'!$C:$C,$A6,'NSE - NIFTY Index Options'!$B:$B,B$4,'NSE - NIFTY Index Options'!$H:$H,"Weekly*")+SUMIFS('NSE - NIFTY Index Options'!$L:$L,'NSE - NIFTY Index Options'!$C:$C,$A6,'NSE - NIFTY Index Options'!$B:$B,B$4,'NSE - NIFTY Index Options'!$H:$H,"MDAW*")+SUMIFS('NSE - Other Index Options'!$L:$L,'NSE - Other Index Options'!$C:$C,$A6,'NSE - Other Index Options'!$B:$B,B$4,'NSE - Other Index Options'!$H:$H,"Weekly*")+SUMIFS('NSE - Other Index Options'!$L:$L,'NSE - Other Index Options'!$C:$C,$A6,'NSE - Other Index Options'!$B:$B,B$4,'NSE - Other Index Options'!$H:$H,"MDAW*")=0,"",SUMIFS('NSE - NIFTY Index Options'!$L:$L,'NSE - NIFTY Index Options'!$C:$C,$A6,'NSE - NIFTY Index Options'!$B:$B,B$4,'NSE - NIFTY Index Options'!$H:$H,"Weekly*")+SUMIFS('NSE - NIFTY Index Options'!$L:$L,'NSE - NIFTY Index Options'!$C:$C,$A6,'NSE - NIFTY Index Options'!$B:$B,B$4,'NSE - NIFTY Index Options'!$H:$H,"MDAW*")+SUMIFS('NSE - Other Index Options'!$L:$L,'NSE - Other Index Options'!$C:$C,$A6,'NSE - Other Index Options'!$B:$B,B$4,'NSE - Other Index Options'!$H:$H,"Weekly*")+SUMIFS('NSE - Other Index Options'!$L:$L,'NSE - Other Index Options'!$C:$C,$A6,'NSE - Other Index Options'!$B:$B,B$4,'NSE - Other Index Options'!$H:$H,"MDAW*"))</f>
        <v>41580.69</v>
      </c>
      <c r="C6" s="26">
        <f>IF(SUMIFS('NSE - NIFTY Index Options'!$L:$L,'NSE - NIFTY Index Options'!$C:$C,$A6,'NSE - NIFTY Index Options'!$B:$B,C$4,'NSE - NIFTY Index Options'!$H:$H,"Weekly*")+SUMIFS('NSE - NIFTY Index Options'!$L:$L,'NSE - NIFTY Index Options'!$C:$C,$A6,'NSE - NIFTY Index Options'!$B:$B,C$4,'NSE - NIFTY Index Options'!$H:$H,"MDAW*")+SUMIFS('NSE - Other Index Options'!$L:$L,'NSE - Other Index Options'!$C:$C,$A6,'NSE - Other Index Options'!$B:$B,C$4,'NSE - Other Index Options'!$H:$H,"Weekly*")+SUMIFS('NSE - Other Index Options'!$L:$L,'NSE - Other Index Options'!$C:$C,$A6,'NSE - Other Index Options'!$B:$B,C$4,'NSE - Other Index Options'!$H:$H,"MDAW*")=0,"",SUMIFS('NSE - NIFTY Index Options'!$L:$L,'NSE - NIFTY Index Options'!$C:$C,$A6,'NSE - NIFTY Index Options'!$B:$B,C$4,'NSE - NIFTY Index Options'!$H:$H,"Weekly*")+SUMIFS('NSE - NIFTY Index Options'!$L:$L,'NSE - NIFTY Index Options'!$C:$C,$A6,'NSE - NIFTY Index Options'!$B:$B,C$4,'NSE - NIFTY Index Options'!$H:$H,"MDAW*")+SUMIFS('NSE - Other Index Options'!$L:$L,'NSE - Other Index Options'!$C:$C,$A6,'NSE - Other Index Options'!$B:$B,C$4,'NSE - Other Index Options'!$H:$H,"Weekly*")+SUMIFS('NSE - Other Index Options'!$L:$L,'NSE - Other Index Options'!$C:$C,$A6,'NSE - Other Index Options'!$B:$B,C$4,'NSE - Other Index Options'!$H:$H,"MDAW*"))</f>
        <v>47616.97</v>
      </c>
      <c r="D6" s="26">
        <f>IF(SUMIFS('NSE - NIFTY Index Options'!$L:$L,'NSE - NIFTY Index Options'!$C:$C,$A6,'NSE - NIFTY Index Options'!$B:$B,D$4,'NSE - NIFTY Index Options'!$H:$H,"Weekly*")+SUMIFS('NSE - NIFTY Index Options'!$L:$L,'NSE - NIFTY Index Options'!$C:$C,$A6,'NSE - NIFTY Index Options'!$B:$B,D$4,'NSE - NIFTY Index Options'!$H:$H,"MDAW*")+SUMIFS('NSE - Other Index Options'!$L:$L,'NSE - Other Index Options'!$C:$C,$A6,'NSE - Other Index Options'!$B:$B,D$4,'NSE - Other Index Options'!$H:$H,"Weekly*")+SUMIFS('NSE - Other Index Options'!$L:$L,'NSE - Other Index Options'!$C:$C,$A6,'NSE - Other Index Options'!$B:$B,D$4,'NSE - Other Index Options'!$H:$H,"MDAW*")=0,"",SUMIFS('NSE - NIFTY Index Options'!$L:$L,'NSE - NIFTY Index Options'!$C:$C,$A6,'NSE - NIFTY Index Options'!$B:$B,D$4,'NSE - NIFTY Index Options'!$H:$H,"Weekly*")+SUMIFS('NSE - NIFTY Index Options'!$L:$L,'NSE - NIFTY Index Options'!$C:$C,$A6,'NSE - NIFTY Index Options'!$B:$B,D$4,'NSE - NIFTY Index Options'!$H:$H,"MDAW*")+SUMIFS('NSE - Other Index Options'!$L:$L,'NSE - Other Index Options'!$C:$C,$A6,'NSE - Other Index Options'!$B:$B,D$4,'NSE - Other Index Options'!$H:$H,"Weekly*")+SUMIFS('NSE - Other Index Options'!$L:$L,'NSE - Other Index Options'!$C:$C,$A6,'NSE - Other Index Options'!$B:$B,D$4,'NSE - Other Index Options'!$H:$H,"MDAW*"))</f>
        <v>26430.48</v>
      </c>
      <c r="E6" s="26">
        <f>IF(SUMIFS('NSE - NIFTY Index Options'!$L:$L,'NSE - NIFTY Index Options'!$C:$C,$A6,'NSE - NIFTY Index Options'!$B:$B,E$4,'NSE - NIFTY Index Options'!$H:$H,"Weekly*")+SUMIFS('NSE - NIFTY Index Options'!$L:$L,'NSE - NIFTY Index Options'!$C:$C,$A6,'NSE - NIFTY Index Options'!$B:$B,E$4,'NSE - NIFTY Index Options'!$H:$H,"MDAW*")+SUMIFS('NSE - Other Index Options'!$L:$L,'NSE - Other Index Options'!$C:$C,$A6,'NSE - Other Index Options'!$B:$B,E$4,'NSE - Other Index Options'!$H:$H,"Weekly*")+SUMIFS('NSE - Other Index Options'!$L:$L,'NSE - Other Index Options'!$C:$C,$A6,'NSE - Other Index Options'!$B:$B,E$4,'NSE - Other Index Options'!$H:$H,"MDAW*")=0,"",SUMIFS('NSE - NIFTY Index Options'!$L:$L,'NSE - NIFTY Index Options'!$C:$C,$A6,'NSE - NIFTY Index Options'!$B:$B,E$4,'NSE - NIFTY Index Options'!$H:$H,"Weekly*")+SUMIFS('NSE - NIFTY Index Options'!$L:$L,'NSE - NIFTY Index Options'!$C:$C,$A6,'NSE - NIFTY Index Options'!$B:$B,E$4,'NSE - NIFTY Index Options'!$H:$H,"MDAW*")+SUMIFS('NSE - Other Index Options'!$L:$L,'NSE - Other Index Options'!$C:$C,$A6,'NSE - Other Index Options'!$B:$B,E$4,'NSE - Other Index Options'!$H:$H,"Weekly*")+SUMIFS('NSE - Other Index Options'!$L:$L,'NSE - Other Index Options'!$C:$C,$A6,'NSE - Other Index Options'!$B:$B,E$4,'NSE - Other Index Options'!$H:$H,"MDAW*"))</f>
        <v>17506.91</v>
      </c>
      <c r="F6" s="26">
        <f>IF(SUMIFS('NSE - NIFTY Index Options'!$L:$L,'NSE - NIFTY Index Options'!$C:$C,$A6,'NSE - NIFTY Index Options'!$B:$B,F$4,'NSE - NIFTY Index Options'!$H:$H,"Weekly*")+SUMIFS('NSE - NIFTY Index Options'!$L:$L,'NSE - NIFTY Index Options'!$C:$C,$A6,'NSE - NIFTY Index Options'!$B:$B,F$4,'NSE - NIFTY Index Options'!$H:$H,"MDAW*")+SUMIFS('NSE - Other Index Options'!$L:$L,'NSE - Other Index Options'!$C:$C,$A6,'NSE - Other Index Options'!$B:$B,F$4,'NSE - Other Index Options'!$H:$H,"Weekly*")+SUMIFS('NSE - Other Index Options'!$L:$L,'NSE - Other Index Options'!$C:$C,$A6,'NSE - Other Index Options'!$B:$B,F$4,'NSE - Other Index Options'!$H:$H,"MDAW*")=0,"",SUMIFS('NSE - NIFTY Index Options'!$L:$L,'NSE - NIFTY Index Options'!$C:$C,$A6,'NSE - NIFTY Index Options'!$B:$B,F$4,'NSE - NIFTY Index Options'!$H:$H,"Weekly*")+SUMIFS('NSE - NIFTY Index Options'!$L:$L,'NSE - NIFTY Index Options'!$C:$C,$A6,'NSE - NIFTY Index Options'!$B:$B,F$4,'NSE - NIFTY Index Options'!$H:$H,"MDAW*")+SUMIFS('NSE - Other Index Options'!$L:$L,'NSE - Other Index Options'!$C:$C,$A6,'NSE - Other Index Options'!$B:$B,F$4,'NSE - Other Index Options'!$H:$H,"Weekly*")+SUMIFS('NSE - Other Index Options'!$L:$L,'NSE - Other Index Options'!$C:$C,$A6,'NSE - Other Index Options'!$B:$B,F$4,'NSE - Other Index Options'!$H:$H,"MDAW*"))</f>
        <v>24179.05</v>
      </c>
      <c r="G6" s="26" t="str">
        <f>IF(SUMIFS('NSE - NIFTY Index Options'!$L:$L,'NSE - NIFTY Index Options'!$C:$C,$A6,'NSE - NIFTY Index Options'!$B:$B,G$4,'NSE - NIFTY Index Options'!$H:$H,"Weekly*")+SUMIFS('NSE - NIFTY Index Options'!$L:$L,'NSE - NIFTY Index Options'!$C:$C,$A6,'NSE - NIFTY Index Options'!$B:$B,G$4,'NSE - NIFTY Index Options'!$H:$H,"MDAW*")+SUMIFS('NSE - Other Index Options'!$L:$L,'NSE - Other Index Options'!$C:$C,$A6,'NSE - Other Index Options'!$B:$B,G$4,'NSE - Other Index Options'!$H:$H,"Weekly*")+SUMIFS('NSE - Other Index Options'!$L:$L,'NSE - Other Index Options'!$C:$C,$A6,'NSE - Other Index Options'!$B:$B,G$4,'NSE - Other Index Options'!$H:$H,"MDAW*")=0,"",SUMIFS('NSE - NIFTY Index Options'!$L:$L,'NSE - NIFTY Index Options'!$C:$C,$A6,'NSE - NIFTY Index Options'!$B:$B,G$4,'NSE - NIFTY Index Options'!$H:$H,"Weekly*")+SUMIFS('NSE - NIFTY Index Options'!$L:$L,'NSE - NIFTY Index Options'!$C:$C,$A6,'NSE - NIFTY Index Options'!$B:$B,G$4,'NSE - NIFTY Index Options'!$H:$H,"MDAW*")+SUMIFS('NSE - Other Index Options'!$L:$L,'NSE - Other Index Options'!$C:$C,$A6,'NSE - Other Index Options'!$B:$B,G$4,'NSE - Other Index Options'!$H:$H,"Weekly*")+SUMIFS('NSE - Other Index Options'!$L:$L,'NSE - Other Index Options'!$C:$C,$A6,'NSE - Other Index Options'!$B:$B,G$4,'NSE - Other Index Options'!$H:$H,"MDAW*"))</f>
        <v/>
      </c>
      <c r="H6" s="26">
        <f t="shared" si="0"/>
        <v>157314.09999999998</v>
      </c>
    </row>
    <row r="7" spans="1:8">
      <c r="A7" t="s">
        <v>12</v>
      </c>
      <c r="B7" s="26">
        <f>IF(SUMIFS('NSE - NIFTY Index Options'!$L:$L,'NSE - NIFTY Index Options'!$C:$C,$A7,'NSE - NIFTY Index Options'!$B:$B,B$4,'NSE - NIFTY Index Options'!$H:$H,"Weekly*")+SUMIFS('NSE - NIFTY Index Options'!$L:$L,'NSE - NIFTY Index Options'!$C:$C,$A7,'NSE - NIFTY Index Options'!$B:$B,B$4,'NSE - NIFTY Index Options'!$H:$H,"MDAW*")+SUMIFS('NSE - Other Index Options'!$L:$L,'NSE - Other Index Options'!$C:$C,$A7,'NSE - Other Index Options'!$B:$B,B$4,'NSE - Other Index Options'!$H:$H,"Weekly*")+SUMIFS('NSE - Other Index Options'!$L:$L,'NSE - Other Index Options'!$C:$C,$A7,'NSE - Other Index Options'!$B:$B,B$4,'NSE - Other Index Options'!$H:$H,"MDAW*")=0,"",SUMIFS('NSE - NIFTY Index Options'!$L:$L,'NSE - NIFTY Index Options'!$C:$C,$A7,'NSE - NIFTY Index Options'!$B:$B,B$4,'NSE - NIFTY Index Options'!$H:$H,"Weekly*")+SUMIFS('NSE - NIFTY Index Options'!$L:$L,'NSE - NIFTY Index Options'!$C:$C,$A7,'NSE - NIFTY Index Options'!$B:$B,B$4,'NSE - NIFTY Index Options'!$H:$H,"MDAW*")+SUMIFS('NSE - Other Index Options'!$L:$L,'NSE - Other Index Options'!$C:$C,$A7,'NSE - Other Index Options'!$B:$B,B$4,'NSE - Other Index Options'!$H:$H,"Weekly*")+SUMIFS('NSE - Other Index Options'!$L:$L,'NSE - Other Index Options'!$C:$C,$A7,'NSE - Other Index Options'!$B:$B,B$4,'NSE - Other Index Options'!$H:$H,"MDAW*"))</f>
        <v>25449.39</v>
      </c>
      <c r="C7" s="26">
        <f>IF(SUMIFS('NSE - NIFTY Index Options'!$L:$L,'NSE - NIFTY Index Options'!$C:$C,$A7,'NSE - NIFTY Index Options'!$B:$B,C$4,'NSE - NIFTY Index Options'!$H:$H,"Weekly*")+SUMIFS('NSE - NIFTY Index Options'!$L:$L,'NSE - NIFTY Index Options'!$C:$C,$A7,'NSE - NIFTY Index Options'!$B:$B,C$4,'NSE - NIFTY Index Options'!$H:$H,"MDAW*")+SUMIFS('NSE - Other Index Options'!$L:$L,'NSE - Other Index Options'!$C:$C,$A7,'NSE - Other Index Options'!$B:$B,C$4,'NSE - Other Index Options'!$H:$H,"Weekly*")+SUMIFS('NSE - Other Index Options'!$L:$L,'NSE - Other Index Options'!$C:$C,$A7,'NSE - Other Index Options'!$B:$B,C$4,'NSE - Other Index Options'!$H:$H,"MDAW*")=0,"",SUMIFS('NSE - NIFTY Index Options'!$L:$L,'NSE - NIFTY Index Options'!$C:$C,$A7,'NSE - NIFTY Index Options'!$B:$B,C$4,'NSE - NIFTY Index Options'!$H:$H,"Weekly*")+SUMIFS('NSE - NIFTY Index Options'!$L:$L,'NSE - NIFTY Index Options'!$C:$C,$A7,'NSE - NIFTY Index Options'!$B:$B,C$4,'NSE - NIFTY Index Options'!$H:$H,"MDAW*")+SUMIFS('NSE - Other Index Options'!$L:$L,'NSE - Other Index Options'!$C:$C,$A7,'NSE - Other Index Options'!$B:$B,C$4,'NSE - Other Index Options'!$H:$H,"Weekly*")+SUMIFS('NSE - Other Index Options'!$L:$L,'NSE - Other Index Options'!$C:$C,$A7,'NSE - Other Index Options'!$B:$B,C$4,'NSE - Other Index Options'!$H:$H,"MDAW*"))</f>
        <v>38779.429999999993</v>
      </c>
      <c r="D7" s="26">
        <f>IF(SUMIFS('NSE - NIFTY Index Options'!$L:$L,'NSE - NIFTY Index Options'!$C:$C,$A7,'NSE - NIFTY Index Options'!$B:$B,D$4,'NSE - NIFTY Index Options'!$H:$H,"Weekly*")+SUMIFS('NSE - NIFTY Index Options'!$L:$L,'NSE - NIFTY Index Options'!$C:$C,$A7,'NSE - NIFTY Index Options'!$B:$B,D$4,'NSE - NIFTY Index Options'!$H:$H,"MDAW*")+SUMIFS('NSE - Other Index Options'!$L:$L,'NSE - Other Index Options'!$C:$C,$A7,'NSE - Other Index Options'!$B:$B,D$4,'NSE - Other Index Options'!$H:$H,"Weekly*")+SUMIFS('NSE - Other Index Options'!$L:$L,'NSE - Other Index Options'!$C:$C,$A7,'NSE - Other Index Options'!$B:$B,D$4,'NSE - Other Index Options'!$H:$H,"MDAW*")=0,"",SUMIFS('NSE - NIFTY Index Options'!$L:$L,'NSE - NIFTY Index Options'!$C:$C,$A7,'NSE - NIFTY Index Options'!$B:$B,D$4,'NSE - NIFTY Index Options'!$H:$H,"Weekly*")+SUMIFS('NSE - NIFTY Index Options'!$L:$L,'NSE - NIFTY Index Options'!$C:$C,$A7,'NSE - NIFTY Index Options'!$B:$B,D$4,'NSE - NIFTY Index Options'!$H:$H,"MDAW*")+SUMIFS('NSE - Other Index Options'!$L:$L,'NSE - Other Index Options'!$C:$C,$A7,'NSE - Other Index Options'!$B:$B,D$4,'NSE - Other Index Options'!$H:$H,"Weekly*")+SUMIFS('NSE - Other Index Options'!$L:$L,'NSE - Other Index Options'!$C:$C,$A7,'NSE - Other Index Options'!$B:$B,D$4,'NSE - Other Index Options'!$H:$H,"MDAW*"))</f>
        <v>19478.310000000001</v>
      </c>
      <c r="E7" s="26">
        <f>IF(SUMIFS('NSE - NIFTY Index Options'!$L:$L,'NSE - NIFTY Index Options'!$C:$C,$A7,'NSE - NIFTY Index Options'!$B:$B,E$4,'NSE - NIFTY Index Options'!$H:$H,"Weekly*")+SUMIFS('NSE - NIFTY Index Options'!$L:$L,'NSE - NIFTY Index Options'!$C:$C,$A7,'NSE - NIFTY Index Options'!$B:$B,E$4,'NSE - NIFTY Index Options'!$H:$H,"MDAW*")+SUMIFS('NSE - Other Index Options'!$L:$L,'NSE - Other Index Options'!$C:$C,$A7,'NSE - Other Index Options'!$B:$B,E$4,'NSE - Other Index Options'!$H:$H,"Weekly*")+SUMIFS('NSE - Other Index Options'!$L:$L,'NSE - Other Index Options'!$C:$C,$A7,'NSE - Other Index Options'!$B:$B,E$4,'NSE - Other Index Options'!$H:$H,"MDAW*")=0,"",SUMIFS('NSE - NIFTY Index Options'!$L:$L,'NSE - NIFTY Index Options'!$C:$C,$A7,'NSE - NIFTY Index Options'!$B:$B,E$4,'NSE - NIFTY Index Options'!$H:$H,"Weekly*")+SUMIFS('NSE - NIFTY Index Options'!$L:$L,'NSE - NIFTY Index Options'!$C:$C,$A7,'NSE - NIFTY Index Options'!$B:$B,E$4,'NSE - NIFTY Index Options'!$H:$H,"MDAW*")+SUMIFS('NSE - Other Index Options'!$L:$L,'NSE - Other Index Options'!$C:$C,$A7,'NSE - Other Index Options'!$B:$B,E$4,'NSE - Other Index Options'!$H:$H,"Weekly*")+SUMIFS('NSE - Other Index Options'!$L:$L,'NSE - Other Index Options'!$C:$C,$A7,'NSE - Other Index Options'!$B:$B,E$4,'NSE - Other Index Options'!$H:$H,"MDAW*"))</f>
        <v>18955.169999999998</v>
      </c>
      <c r="F7" s="26">
        <f>IF(SUMIFS('NSE - NIFTY Index Options'!$L:$L,'NSE - NIFTY Index Options'!$C:$C,$A7,'NSE - NIFTY Index Options'!$B:$B,F$4,'NSE - NIFTY Index Options'!$H:$H,"Weekly*")+SUMIFS('NSE - NIFTY Index Options'!$L:$L,'NSE - NIFTY Index Options'!$C:$C,$A7,'NSE - NIFTY Index Options'!$B:$B,F$4,'NSE - NIFTY Index Options'!$H:$H,"MDAW*")+SUMIFS('NSE - Other Index Options'!$L:$L,'NSE - Other Index Options'!$C:$C,$A7,'NSE - Other Index Options'!$B:$B,F$4,'NSE - Other Index Options'!$H:$H,"Weekly*")+SUMIFS('NSE - Other Index Options'!$L:$L,'NSE - Other Index Options'!$C:$C,$A7,'NSE - Other Index Options'!$B:$B,F$4,'NSE - Other Index Options'!$H:$H,"MDAW*")=0,"",SUMIFS('NSE - NIFTY Index Options'!$L:$L,'NSE - NIFTY Index Options'!$C:$C,$A7,'NSE - NIFTY Index Options'!$B:$B,F$4,'NSE - NIFTY Index Options'!$H:$H,"Weekly*")+SUMIFS('NSE - NIFTY Index Options'!$L:$L,'NSE - NIFTY Index Options'!$C:$C,$A7,'NSE - NIFTY Index Options'!$B:$B,F$4,'NSE - NIFTY Index Options'!$H:$H,"MDAW*")+SUMIFS('NSE - Other Index Options'!$L:$L,'NSE - Other Index Options'!$C:$C,$A7,'NSE - Other Index Options'!$B:$B,F$4,'NSE - Other Index Options'!$H:$H,"Weekly*")+SUMIFS('NSE - Other Index Options'!$L:$L,'NSE - Other Index Options'!$C:$C,$A7,'NSE - Other Index Options'!$B:$B,F$4,'NSE - Other Index Options'!$H:$H,"MDAW*"))</f>
        <v>30596.629999999997</v>
      </c>
      <c r="G7" s="26" t="str">
        <f>IF(SUMIFS('NSE - NIFTY Index Options'!$L:$L,'NSE - NIFTY Index Options'!$C:$C,$A7,'NSE - NIFTY Index Options'!$B:$B,G$4,'NSE - NIFTY Index Options'!$H:$H,"Weekly*")+SUMIFS('NSE - NIFTY Index Options'!$L:$L,'NSE - NIFTY Index Options'!$C:$C,$A7,'NSE - NIFTY Index Options'!$B:$B,G$4,'NSE - NIFTY Index Options'!$H:$H,"MDAW*")+SUMIFS('NSE - Other Index Options'!$L:$L,'NSE - Other Index Options'!$C:$C,$A7,'NSE - Other Index Options'!$B:$B,G$4,'NSE - Other Index Options'!$H:$H,"Weekly*")+SUMIFS('NSE - Other Index Options'!$L:$L,'NSE - Other Index Options'!$C:$C,$A7,'NSE - Other Index Options'!$B:$B,G$4,'NSE - Other Index Options'!$H:$H,"MDAW*")=0,"",SUMIFS('NSE - NIFTY Index Options'!$L:$L,'NSE - NIFTY Index Options'!$C:$C,$A7,'NSE - NIFTY Index Options'!$B:$B,G$4,'NSE - NIFTY Index Options'!$H:$H,"Weekly*")+SUMIFS('NSE - NIFTY Index Options'!$L:$L,'NSE - NIFTY Index Options'!$C:$C,$A7,'NSE - NIFTY Index Options'!$B:$B,G$4,'NSE - NIFTY Index Options'!$H:$H,"MDAW*")+SUMIFS('NSE - Other Index Options'!$L:$L,'NSE - Other Index Options'!$C:$C,$A7,'NSE - Other Index Options'!$B:$B,G$4,'NSE - Other Index Options'!$H:$H,"Weekly*")+SUMIFS('NSE - Other Index Options'!$L:$L,'NSE - Other Index Options'!$C:$C,$A7,'NSE - Other Index Options'!$B:$B,G$4,'NSE - Other Index Options'!$H:$H,"MDAW*"))</f>
        <v/>
      </c>
      <c r="H7" s="26">
        <f t="shared" si="0"/>
        <v>133258.93</v>
      </c>
    </row>
    <row r="8" spans="1:8">
      <c r="A8" t="s">
        <v>13</v>
      </c>
      <c r="B8" s="26">
        <f>IF(SUMIFS('NSE - NIFTY Index Options'!$L:$L,'NSE - NIFTY Index Options'!$C:$C,$A8,'NSE - NIFTY Index Options'!$B:$B,B$4,'NSE - NIFTY Index Options'!$H:$H,"Weekly*")+SUMIFS('NSE - NIFTY Index Options'!$L:$L,'NSE - NIFTY Index Options'!$C:$C,$A8,'NSE - NIFTY Index Options'!$B:$B,B$4,'NSE - NIFTY Index Options'!$H:$H,"MDAW*")+SUMIFS('NSE - Other Index Options'!$L:$L,'NSE - Other Index Options'!$C:$C,$A8,'NSE - Other Index Options'!$B:$B,B$4,'NSE - Other Index Options'!$H:$H,"Weekly*")+SUMIFS('NSE - Other Index Options'!$L:$L,'NSE - Other Index Options'!$C:$C,$A8,'NSE - Other Index Options'!$B:$B,B$4,'NSE - Other Index Options'!$H:$H,"MDAW*")=0,"",SUMIFS('NSE - NIFTY Index Options'!$L:$L,'NSE - NIFTY Index Options'!$C:$C,$A8,'NSE - NIFTY Index Options'!$B:$B,B$4,'NSE - NIFTY Index Options'!$H:$H,"Weekly*")+SUMIFS('NSE - NIFTY Index Options'!$L:$L,'NSE - NIFTY Index Options'!$C:$C,$A8,'NSE - NIFTY Index Options'!$B:$B,B$4,'NSE - NIFTY Index Options'!$H:$H,"MDAW*")+SUMIFS('NSE - Other Index Options'!$L:$L,'NSE - Other Index Options'!$C:$C,$A8,'NSE - Other Index Options'!$B:$B,B$4,'NSE - Other Index Options'!$H:$H,"Weekly*")+SUMIFS('NSE - Other Index Options'!$L:$L,'NSE - Other Index Options'!$C:$C,$A8,'NSE - Other Index Options'!$B:$B,B$4,'NSE - Other Index Options'!$H:$H,"MDAW*"))</f>
        <v>32347.15</v>
      </c>
      <c r="C8" s="26">
        <f>IF(SUMIFS('NSE - NIFTY Index Options'!$L:$L,'NSE - NIFTY Index Options'!$C:$C,$A8,'NSE - NIFTY Index Options'!$B:$B,C$4,'NSE - NIFTY Index Options'!$H:$H,"Weekly*")+SUMIFS('NSE - NIFTY Index Options'!$L:$L,'NSE - NIFTY Index Options'!$C:$C,$A8,'NSE - NIFTY Index Options'!$B:$B,C$4,'NSE - NIFTY Index Options'!$H:$H,"MDAW*")+SUMIFS('NSE - Other Index Options'!$L:$L,'NSE - Other Index Options'!$C:$C,$A8,'NSE - Other Index Options'!$B:$B,C$4,'NSE - Other Index Options'!$H:$H,"Weekly*")+SUMIFS('NSE - Other Index Options'!$L:$L,'NSE - Other Index Options'!$C:$C,$A8,'NSE - Other Index Options'!$B:$B,C$4,'NSE - Other Index Options'!$H:$H,"MDAW*")=0,"",SUMIFS('NSE - NIFTY Index Options'!$L:$L,'NSE - NIFTY Index Options'!$C:$C,$A8,'NSE - NIFTY Index Options'!$B:$B,C$4,'NSE - NIFTY Index Options'!$H:$H,"Weekly*")+SUMIFS('NSE - NIFTY Index Options'!$L:$L,'NSE - NIFTY Index Options'!$C:$C,$A8,'NSE - NIFTY Index Options'!$B:$B,C$4,'NSE - NIFTY Index Options'!$H:$H,"MDAW*")+SUMIFS('NSE - Other Index Options'!$L:$L,'NSE - Other Index Options'!$C:$C,$A8,'NSE - Other Index Options'!$B:$B,C$4,'NSE - Other Index Options'!$H:$H,"Weekly*")+SUMIFS('NSE - Other Index Options'!$L:$L,'NSE - Other Index Options'!$C:$C,$A8,'NSE - Other Index Options'!$B:$B,C$4,'NSE - Other Index Options'!$H:$H,"MDAW*"))</f>
        <v>50227.7</v>
      </c>
      <c r="D8" s="26">
        <f>IF(SUMIFS('NSE - NIFTY Index Options'!$L:$L,'NSE - NIFTY Index Options'!$C:$C,$A8,'NSE - NIFTY Index Options'!$B:$B,D$4,'NSE - NIFTY Index Options'!$H:$H,"Weekly*")+SUMIFS('NSE - NIFTY Index Options'!$L:$L,'NSE - NIFTY Index Options'!$C:$C,$A8,'NSE - NIFTY Index Options'!$B:$B,D$4,'NSE - NIFTY Index Options'!$H:$H,"MDAW*")+SUMIFS('NSE - Other Index Options'!$L:$L,'NSE - Other Index Options'!$C:$C,$A8,'NSE - Other Index Options'!$B:$B,D$4,'NSE - Other Index Options'!$H:$H,"Weekly*")+SUMIFS('NSE - Other Index Options'!$L:$L,'NSE - Other Index Options'!$C:$C,$A8,'NSE - Other Index Options'!$B:$B,D$4,'NSE - Other Index Options'!$H:$H,"MDAW*")=0,"",SUMIFS('NSE - NIFTY Index Options'!$L:$L,'NSE - NIFTY Index Options'!$C:$C,$A8,'NSE - NIFTY Index Options'!$B:$B,D$4,'NSE - NIFTY Index Options'!$H:$H,"Weekly*")+SUMIFS('NSE - NIFTY Index Options'!$L:$L,'NSE - NIFTY Index Options'!$C:$C,$A8,'NSE - NIFTY Index Options'!$B:$B,D$4,'NSE - NIFTY Index Options'!$H:$H,"MDAW*")+SUMIFS('NSE - Other Index Options'!$L:$L,'NSE - Other Index Options'!$C:$C,$A8,'NSE - Other Index Options'!$B:$B,D$4,'NSE - Other Index Options'!$H:$H,"Weekly*")+SUMIFS('NSE - Other Index Options'!$L:$L,'NSE - Other Index Options'!$C:$C,$A8,'NSE - Other Index Options'!$B:$B,D$4,'NSE - Other Index Options'!$H:$H,"MDAW*"))</f>
        <v>27273.18</v>
      </c>
      <c r="E8" s="26">
        <f>IF(SUMIFS('NSE - NIFTY Index Options'!$L:$L,'NSE - NIFTY Index Options'!$C:$C,$A8,'NSE - NIFTY Index Options'!$B:$B,E$4,'NSE - NIFTY Index Options'!$H:$H,"Weekly*")+SUMIFS('NSE - NIFTY Index Options'!$L:$L,'NSE - NIFTY Index Options'!$C:$C,$A8,'NSE - NIFTY Index Options'!$B:$B,E$4,'NSE - NIFTY Index Options'!$H:$H,"MDAW*")+SUMIFS('NSE - Other Index Options'!$L:$L,'NSE - Other Index Options'!$C:$C,$A8,'NSE - Other Index Options'!$B:$B,E$4,'NSE - Other Index Options'!$H:$H,"Weekly*")+SUMIFS('NSE - Other Index Options'!$L:$L,'NSE - Other Index Options'!$C:$C,$A8,'NSE - Other Index Options'!$B:$B,E$4,'NSE - Other Index Options'!$H:$H,"MDAW*")=0,"",SUMIFS('NSE - NIFTY Index Options'!$L:$L,'NSE - NIFTY Index Options'!$C:$C,$A8,'NSE - NIFTY Index Options'!$B:$B,E$4,'NSE - NIFTY Index Options'!$H:$H,"Weekly*")+SUMIFS('NSE - NIFTY Index Options'!$L:$L,'NSE - NIFTY Index Options'!$C:$C,$A8,'NSE - NIFTY Index Options'!$B:$B,E$4,'NSE - NIFTY Index Options'!$H:$H,"MDAW*")+SUMIFS('NSE - Other Index Options'!$L:$L,'NSE - Other Index Options'!$C:$C,$A8,'NSE - Other Index Options'!$B:$B,E$4,'NSE - Other Index Options'!$H:$H,"Weekly*")+SUMIFS('NSE - Other Index Options'!$L:$L,'NSE - Other Index Options'!$C:$C,$A8,'NSE - Other Index Options'!$B:$B,E$4,'NSE - Other Index Options'!$H:$H,"MDAW*"))</f>
        <v>24679.72</v>
      </c>
      <c r="F8" s="26">
        <f>IF(SUMIFS('NSE - NIFTY Index Options'!$L:$L,'NSE - NIFTY Index Options'!$C:$C,$A8,'NSE - NIFTY Index Options'!$B:$B,F$4,'NSE - NIFTY Index Options'!$H:$H,"Weekly*")+SUMIFS('NSE - NIFTY Index Options'!$L:$L,'NSE - NIFTY Index Options'!$C:$C,$A8,'NSE - NIFTY Index Options'!$B:$B,F$4,'NSE - NIFTY Index Options'!$H:$H,"MDAW*")+SUMIFS('NSE - Other Index Options'!$L:$L,'NSE - Other Index Options'!$C:$C,$A8,'NSE - Other Index Options'!$B:$B,F$4,'NSE - Other Index Options'!$H:$H,"Weekly*")+SUMIFS('NSE - Other Index Options'!$L:$L,'NSE - Other Index Options'!$C:$C,$A8,'NSE - Other Index Options'!$B:$B,F$4,'NSE - Other Index Options'!$H:$H,"MDAW*")=0,"",SUMIFS('NSE - NIFTY Index Options'!$L:$L,'NSE - NIFTY Index Options'!$C:$C,$A8,'NSE - NIFTY Index Options'!$B:$B,F$4,'NSE - NIFTY Index Options'!$H:$H,"Weekly*")+SUMIFS('NSE - NIFTY Index Options'!$L:$L,'NSE - NIFTY Index Options'!$C:$C,$A8,'NSE - NIFTY Index Options'!$B:$B,F$4,'NSE - NIFTY Index Options'!$H:$H,"MDAW*")+SUMIFS('NSE - Other Index Options'!$L:$L,'NSE - Other Index Options'!$C:$C,$A8,'NSE - Other Index Options'!$B:$B,F$4,'NSE - Other Index Options'!$H:$H,"Weekly*")+SUMIFS('NSE - Other Index Options'!$L:$L,'NSE - Other Index Options'!$C:$C,$A8,'NSE - Other Index Options'!$B:$B,F$4,'NSE - Other Index Options'!$H:$H,"MDAW*"))</f>
        <v>41665.68</v>
      </c>
      <c r="G8" s="26" t="str">
        <f>IF(SUMIFS('NSE - NIFTY Index Options'!$L:$L,'NSE - NIFTY Index Options'!$C:$C,$A8,'NSE - NIFTY Index Options'!$B:$B,G$4,'NSE - NIFTY Index Options'!$H:$H,"Weekly*")+SUMIFS('NSE - NIFTY Index Options'!$L:$L,'NSE - NIFTY Index Options'!$C:$C,$A8,'NSE - NIFTY Index Options'!$B:$B,G$4,'NSE - NIFTY Index Options'!$H:$H,"MDAW*")+SUMIFS('NSE - Other Index Options'!$L:$L,'NSE - Other Index Options'!$C:$C,$A8,'NSE - Other Index Options'!$B:$B,G$4,'NSE - Other Index Options'!$H:$H,"Weekly*")+SUMIFS('NSE - Other Index Options'!$L:$L,'NSE - Other Index Options'!$C:$C,$A8,'NSE - Other Index Options'!$B:$B,G$4,'NSE - Other Index Options'!$H:$H,"MDAW*")=0,"",SUMIFS('NSE - NIFTY Index Options'!$L:$L,'NSE - NIFTY Index Options'!$C:$C,$A8,'NSE - NIFTY Index Options'!$B:$B,G$4,'NSE - NIFTY Index Options'!$H:$H,"Weekly*")+SUMIFS('NSE - NIFTY Index Options'!$L:$L,'NSE - NIFTY Index Options'!$C:$C,$A8,'NSE - NIFTY Index Options'!$B:$B,G$4,'NSE - NIFTY Index Options'!$H:$H,"MDAW*")+SUMIFS('NSE - Other Index Options'!$L:$L,'NSE - Other Index Options'!$C:$C,$A8,'NSE - Other Index Options'!$B:$B,G$4,'NSE - Other Index Options'!$H:$H,"Weekly*")+SUMIFS('NSE - Other Index Options'!$L:$L,'NSE - Other Index Options'!$C:$C,$A8,'NSE - Other Index Options'!$B:$B,G$4,'NSE - Other Index Options'!$H:$H,"MDAW*"))</f>
        <v/>
      </c>
      <c r="H8" s="26">
        <f t="shared" si="0"/>
        <v>176193.43</v>
      </c>
    </row>
    <row r="9" spans="1:8">
      <c r="A9" t="s">
        <v>14</v>
      </c>
      <c r="B9" s="26">
        <f>IF(SUMIFS('NSE - NIFTY Index Options'!$L:$L,'NSE - NIFTY Index Options'!$C:$C,$A9,'NSE - NIFTY Index Options'!$B:$B,B$4,'NSE - NIFTY Index Options'!$H:$H,"Weekly*")+SUMIFS('NSE - NIFTY Index Options'!$L:$L,'NSE - NIFTY Index Options'!$C:$C,$A9,'NSE - NIFTY Index Options'!$B:$B,B$4,'NSE - NIFTY Index Options'!$H:$H,"MDAW*")+SUMIFS('NSE - Other Index Options'!$L:$L,'NSE - Other Index Options'!$C:$C,$A9,'NSE - Other Index Options'!$B:$B,B$4,'NSE - Other Index Options'!$H:$H,"Weekly*")+SUMIFS('NSE - Other Index Options'!$L:$L,'NSE - Other Index Options'!$C:$C,$A9,'NSE - Other Index Options'!$B:$B,B$4,'NSE - Other Index Options'!$H:$H,"MDAW*")=0,"",SUMIFS('NSE - NIFTY Index Options'!$L:$L,'NSE - NIFTY Index Options'!$C:$C,$A9,'NSE - NIFTY Index Options'!$B:$B,B$4,'NSE - NIFTY Index Options'!$H:$H,"Weekly*")+SUMIFS('NSE - NIFTY Index Options'!$L:$L,'NSE - NIFTY Index Options'!$C:$C,$A9,'NSE - NIFTY Index Options'!$B:$B,B$4,'NSE - NIFTY Index Options'!$H:$H,"MDAW*")+SUMIFS('NSE - Other Index Options'!$L:$L,'NSE - Other Index Options'!$C:$C,$A9,'NSE - Other Index Options'!$B:$B,B$4,'NSE - Other Index Options'!$H:$H,"Weekly*")+SUMIFS('NSE - Other Index Options'!$L:$L,'NSE - Other Index Options'!$C:$C,$A9,'NSE - Other Index Options'!$B:$B,B$4,'NSE - Other Index Options'!$H:$H,"MDAW*"))</f>
        <v>48554.239999999998</v>
      </c>
      <c r="C9" s="26">
        <f>IF(SUMIFS('NSE - NIFTY Index Options'!$L:$L,'NSE - NIFTY Index Options'!$C:$C,$A9,'NSE - NIFTY Index Options'!$B:$B,C$4,'NSE - NIFTY Index Options'!$H:$H,"Weekly*")+SUMIFS('NSE - NIFTY Index Options'!$L:$L,'NSE - NIFTY Index Options'!$C:$C,$A9,'NSE - NIFTY Index Options'!$B:$B,C$4,'NSE - NIFTY Index Options'!$H:$H,"MDAW*")+SUMIFS('NSE - Other Index Options'!$L:$L,'NSE - Other Index Options'!$C:$C,$A9,'NSE - Other Index Options'!$B:$B,C$4,'NSE - Other Index Options'!$H:$H,"Weekly*")+SUMIFS('NSE - Other Index Options'!$L:$L,'NSE - Other Index Options'!$C:$C,$A9,'NSE - Other Index Options'!$B:$B,C$4,'NSE - Other Index Options'!$H:$H,"MDAW*")=0,"",SUMIFS('NSE - NIFTY Index Options'!$L:$L,'NSE - NIFTY Index Options'!$C:$C,$A9,'NSE - NIFTY Index Options'!$B:$B,C$4,'NSE - NIFTY Index Options'!$H:$H,"Weekly*")+SUMIFS('NSE - NIFTY Index Options'!$L:$L,'NSE - NIFTY Index Options'!$C:$C,$A9,'NSE - NIFTY Index Options'!$B:$B,C$4,'NSE - NIFTY Index Options'!$H:$H,"MDAW*")+SUMIFS('NSE - Other Index Options'!$L:$L,'NSE - Other Index Options'!$C:$C,$A9,'NSE - Other Index Options'!$B:$B,C$4,'NSE - Other Index Options'!$H:$H,"Weekly*")+SUMIFS('NSE - Other Index Options'!$L:$L,'NSE - Other Index Options'!$C:$C,$A9,'NSE - Other Index Options'!$B:$B,C$4,'NSE - Other Index Options'!$H:$H,"MDAW*"))</f>
        <v>50804.54</v>
      </c>
      <c r="D9" s="26" t="str">
        <f>IF(SUMIFS('NSE - NIFTY Index Options'!$L:$L,'NSE - NIFTY Index Options'!$C:$C,$A9,'NSE - NIFTY Index Options'!$B:$B,D$4,'NSE - NIFTY Index Options'!$H:$H,"Weekly*")+SUMIFS('NSE - NIFTY Index Options'!$L:$L,'NSE - NIFTY Index Options'!$C:$C,$A9,'NSE - NIFTY Index Options'!$B:$B,D$4,'NSE - NIFTY Index Options'!$H:$H,"MDAW*")+SUMIFS('NSE - Other Index Options'!$L:$L,'NSE - Other Index Options'!$C:$C,$A9,'NSE - Other Index Options'!$B:$B,D$4,'NSE - Other Index Options'!$H:$H,"Weekly*")+SUMIFS('NSE - Other Index Options'!$L:$L,'NSE - Other Index Options'!$C:$C,$A9,'NSE - Other Index Options'!$B:$B,D$4,'NSE - Other Index Options'!$H:$H,"MDAW*")=0,"",SUMIFS('NSE - NIFTY Index Options'!$L:$L,'NSE - NIFTY Index Options'!$C:$C,$A9,'NSE - NIFTY Index Options'!$B:$B,D$4,'NSE - NIFTY Index Options'!$H:$H,"Weekly*")+SUMIFS('NSE - NIFTY Index Options'!$L:$L,'NSE - NIFTY Index Options'!$C:$C,$A9,'NSE - NIFTY Index Options'!$B:$B,D$4,'NSE - NIFTY Index Options'!$H:$H,"MDAW*")+SUMIFS('NSE - Other Index Options'!$L:$L,'NSE - Other Index Options'!$C:$C,$A9,'NSE - Other Index Options'!$B:$B,D$4,'NSE - Other Index Options'!$H:$H,"Weekly*")+SUMIFS('NSE - Other Index Options'!$L:$L,'NSE - Other Index Options'!$C:$C,$A9,'NSE - Other Index Options'!$B:$B,D$4,'NSE - Other Index Options'!$H:$H,"MDAW*"))</f>
        <v/>
      </c>
      <c r="E9" s="26" t="str">
        <f>IF(SUMIFS('NSE - NIFTY Index Options'!$L:$L,'NSE - NIFTY Index Options'!$C:$C,$A9,'NSE - NIFTY Index Options'!$B:$B,E$4,'NSE - NIFTY Index Options'!$H:$H,"Weekly*")+SUMIFS('NSE - NIFTY Index Options'!$L:$L,'NSE - NIFTY Index Options'!$C:$C,$A9,'NSE - NIFTY Index Options'!$B:$B,E$4,'NSE - NIFTY Index Options'!$H:$H,"MDAW*")+SUMIFS('NSE - Other Index Options'!$L:$L,'NSE - Other Index Options'!$C:$C,$A9,'NSE - Other Index Options'!$B:$B,E$4,'NSE - Other Index Options'!$H:$H,"Weekly*")+SUMIFS('NSE - Other Index Options'!$L:$L,'NSE - Other Index Options'!$C:$C,$A9,'NSE - Other Index Options'!$B:$B,E$4,'NSE - Other Index Options'!$H:$H,"MDAW*")=0,"",SUMIFS('NSE - NIFTY Index Options'!$L:$L,'NSE - NIFTY Index Options'!$C:$C,$A9,'NSE - NIFTY Index Options'!$B:$B,E$4,'NSE - NIFTY Index Options'!$H:$H,"Weekly*")+SUMIFS('NSE - NIFTY Index Options'!$L:$L,'NSE - NIFTY Index Options'!$C:$C,$A9,'NSE - NIFTY Index Options'!$B:$B,E$4,'NSE - NIFTY Index Options'!$H:$H,"MDAW*")+SUMIFS('NSE - Other Index Options'!$L:$L,'NSE - Other Index Options'!$C:$C,$A9,'NSE - Other Index Options'!$B:$B,E$4,'NSE - Other Index Options'!$H:$H,"Weekly*")+SUMIFS('NSE - Other Index Options'!$L:$L,'NSE - Other Index Options'!$C:$C,$A9,'NSE - Other Index Options'!$B:$B,E$4,'NSE - Other Index Options'!$H:$H,"MDAW*"))</f>
        <v/>
      </c>
      <c r="F9" s="26" t="str">
        <f>IF(SUMIFS('NSE - NIFTY Index Options'!$L:$L,'NSE - NIFTY Index Options'!$C:$C,$A9,'NSE - NIFTY Index Options'!$B:$B,F$4,'NSE - NIFTY Index Options'!$H:$H,"Weekly*")+SUMIFS('NSE - NIFTY Index Options'!$L:$L,'NSE - NIFTY Index Options'!$C:$C,$A9,'NSE - NIFTY Index Options'!$B:$B,F$4,'NSE - NIFTY Index Options'!$H:$H,"MDAW*")+SUMIFS('NSE - Other Index Options'!$L:$L,'NSE - Other Index Options'!$C:$C,$A9,'NSE - Other Index Options'!$B:$B,F$4,'NSE - Other Index Options'!$H:$H,"Weekly*")+SUMIFS('NSE - Other Index Options'!$L:$L,'NSE - Other Index Options'!$C:$C,$A9,'NSE - Other Index Options'!$B:$B,F$4,'NSE - Other Index Options'!$H:$H,"MDAW*")=0,"",SUMIFS('NSE - NIFTY Index Options'!$L:$L,'NSE - NIFTY Index Options'!$C:$C,$A9,'NSE - NIFTY Index Options'!$B:$B,F$4,'NSE - NIFTY Index Options'!$H:$H,"Weekly*")+SUMIFS('NSE - NIFTY Index Options'!$L:$L,'NSE - NIFTY Index Options'!$C:$C,$A9,'NSE - NIFTY Index Options'!$B:$B,F$4,'NSE - NIFTY Index Options'!$H:$H,"MDAW*")+SUMIFS('NSE - Other Index Options'!$L:$L,'NSE - Other Index Options'!$C:$C,$A9,'NSE - Other Index Options'!$B:$B,F$4,'NSE - Other Index Options'!$H:$H,"Weekly*")+SUMIFS('NSE - Other Index Options'!$L:$L,'NSE - Other Index Options'!$C:$C,$A9,'NSE - Other Index Options'!$B:$B,F$4,'NSE - Other Index Options'!$H:$H,"MDAW*"))</f>
        <v/>
      </c>
      <c r="G9" s="26" t="str">
        <f>IF(SUMIFS('NSE - NIFTY Index Options'!$L:$L,'NSE - NIFTY Index Options'!$C:$C,$A9,'NSE - NIFTY Index Options'!$B:$B,G$4,'NSE - NIFTY Index Options'!$H:$H,"Weekly*")+SUMIFS('NSE - NIFTY Index Options'!$L:$L,'NSE - NIFTY Index Options'!$C:$C,$A9,'NSE - NIFTY Index Options'!$B:$B,G$4,'NSE - NIFTY Index Options'!$H:$H,"MDAW*")+SUMIFS('NSE - Other Index Options'!$L:$L,'NSE - Other Index Options'!$C:$C,$A9,'NSE - Other Index Options'!$B:$B,G$4,'NSE - Other Index Options'!$H:$H,"Weekly*")+SUMIFS('NSE - Other Index Options'!$L:$L,'NSE - Other Index Options'!$C:$C,$A9,'NSE - Other Index Options'!$B:$B,G$4,'NSE - Other Index Options'!$H:$H,"MDAW*")=0,"",SUMIFS('NSE - NIFTY Index Options'!$L:$L,'NSE - NIFTY Index Options'!$C:$C,$A9,'NSE - NIFTY Index Options'!$B:$B,G$4,'NSE - NIFTY Index Options'!$H:$H,"Weekly*")+SUMIFS('NSE - NIFTY Index Options'!$L:$L,'NSE - NIFTY Index Options'!$C:$C,$A9,'NSE - NIFTY Index Options'!$B:$B,G$4,'NSE - NIFTY Index Options'!$H:$H,"MDAW*")+SUMIFS('NSE - Other Index Options'!$L:$L,'NSE - Other Index Options'!$C:$C,$A9,'NSE - Other Index Options'!$B:$B,G$4,'NSE - Other Index Options'!$H:$H,"Weekly*")+SUMIFS('NSE - Other Index Options'!$L:$L,'NSE - Other Index Options'!$C:$C,$A9,'NSE - Other Index Options'!$B:$B,G$4,'NSE - Other Index Options'!$H:$H,"MDAW*"))</f>
        <v/>
      </c>
      <c r="H9" s="26">
        <f t="shared" si="0"/>
        <v>99358.78</v>
      </c>
    </row>
    <row r="10" spans="1:8">
      <c r="A10" t="s">
        <v>15</v>
      </c>
      <c r="B10" s="26">
        <f>IF(SUMIFS('NSE - NIFTY Index Options'!$L:$L,'NSE - NIFTY Index Options'!$C:$C,$A10,'NSE - NIFTY Index Options'!$B:$B,B$4,'NSE - NIFTY Index Options'!$H:$H,"Weekly*")+SUMIFS('NSE - NIFTY Index Options'!$L:$L,'NSE - NIFTY Index Options'!$C:$C,$A10,'NSE - NIFTY Index Options'!$B:$B,B$4,'NSE - NIFTY Index Options'!$H:$H,"MDAW*")+SUMIFS('NSE - Other Index Options'!$L:$L,'NSE - Other Index Options'!$C:$C,$A10,'NSE - Other Index Options'!$B:$B,B$4,'NSE - Other Index Options'!$H:$H,"Weekly*")+SUMIFS('NSE - Other Index Options'!$L:$L,'NSE - Other Index Options'!$C:$C,$A10,'NSE - Other Index Options'!$B:$B,B$4,'NSE - Other Index Options'!$H:$H,"MDAW*")=0,"",SUMIFS('NSE - NIFTY Index Options'!$L:$L,'NSE - NIFTY Index Options'!$C:$C,$A10,'NSE - NIFTY Index Options'!$B:$B,B$4,'NSE - NIFTY Index Options'!$H:$H,"Weekly*")+SUMIFS('NSE - NIFTY Index Options'!$L:$L,'NSE - NIFTY Index Options'!$C:$C,$A10,'NSE - NIFTY Index Options'!$B:$B,B$4,'NSE - NIFTY Index Options'!$H:$H,"MDAW*")+SUMIFS('NSE - Other Index Options'!$L:$L,'NSE - Other Index Options'!$C:$C,$A10,'NSE - Other Index Options'!$B:$B,B$4,'NSE - Other Index Options'!$H:$H,"Weekly*")+SUMIFS('NSE - Other Index Options'!$L:$L,'NSE - Other Index Options'!$C:$C,$A10,'NSE - Other Index Options'!$B:$B,B$4,'NSE - Other Index Options'!$H:$H,"MDAW*"))</f>
        <v>39394.9</v>
      </c>
      <c r="C10" s="26">
        <f>IF(SUMIFS('NSE - NIFTY Index Options'!$L:$L,'NSE - NIFTY Index Options'!$C:$C,$A10,'NSE - NIFTY Index Options'!$B:$B,C$4,'NSE - NIFTY Index Options'!$H:$H,"Weekly*")+SUMIFS('NSE - NIFTY Index Options'!$L:$L,'NSE - NIFTY Index Options'!$C:$C,$A10,'NSE - NIFTY Index Options'!$B:$B,C$4,'NSE - NIFTY Index Options'!$H:$H,"MDAW*")+SUMIFS('NSE - Other Index Options'!$L:$L,'NSE - Other Index Options'!$C:$C,$A10,'NSE - Other Index Options'!$B:$B,C$4,'NSE - Other Index Options'!$H:$H,"Weekly*")+SUMIFS('NSE - Other Index Options'!$L:$L,'NSE - Other Index Options'!$C:$C,$A10,'NSE - Other Index Options'!$B:$B,C$4,'NSE - Other Index Options'!$H:$H,"MDAW*")=0,"",SUMIFS('NSE - NIFTY Index Options'!$L:$L,'NSE - NIFTY Index Options'!$C:$C,$A10,'NSE - NIFTY Index Options'!$B:$B,C$4,'NSE - NIFTY Index Options'!$H:$H,"Weekly*")+SUMIFS('NSE - NIFTY Index Options'!$L:$L,'NSE - NIFTY Index Options'!$C:$C,$A10,'NSE - NIFTY Index Options'!$B:$B,C$4,'NSE - NIFTY Index Options'!$H:$H,"MDAW*")+SUMIFS('NSE - Other Index Options'!$L:$L,'NSE - Other Index Options'!$C:$C,$A10,'NSE - Other Index Options'!$B:$B,C$4,'NSE - Other Index Options'!$H:$H,"Weekly*")+SUMIFS('NSE - Other Index Options'!$L:$L,'NSE - Other Index Options'!$C:$C,$A10,'NSE - Other Index Options'!$B:$B,C$4,'NSE - Other Index Options'!$H:$H,"MDAW*"))</f>
        <v>58335.170000000006</v>
      </c>
      <c r="D10" s="26">
        <f>IF(SUMIFS('NSE - NIFTY Index Options'!$L:$L,'NSE - NIFTY Index Options'!$C:$C,$A10,'NSE - NIFTY Index Options'!$B:$B,D$4,'NSE - NIFTY Index Options'!$H:$H,"Weekly*")+SUMIFS('NSE - NIFTY Index Options'!$L:$L,'NSE - NIFTY Index Options'!$C:$C,$A10,'NSE - NIFTY Index Options'!$B:$B,D$4,'NSE - NIFTY Index Options'!$H:$H,"MDAW*")+SUMIFS('NSE - Other Index Options'!$L:$L,'NSE - Other Index Options'!$C:$C,$A10,'NSE - Other Index Options'!$B:$B,D$4,'NSE - Other Index Options'!$H:$H,"Weekly*")+SUMIFS('NSE - Other Index Options'!$L:$L,'NSE - Other Index Options'!$C:$C,$A10,'NSE - Other Index Options'!$B:$B,D$4,'NSE - Other Index Options'!$H:$H,"MDAW*")=0,"",SUMIFS('NSE - NIFTY Index Options'!$L:$L,'NSE - NIFTY Index Options'!$C:$C,$A10,'NSE - NIFTY Index Options'!$B:$B,D$4,'NSE - NIFTY Index Options'!$H:$H,"Weekly*")+SUMIFS('NSE - NIFTY Index Options'!$L:$L,'NSE - NIFTY Index Options'!$C:$C,$A10,'NSE - NIFTY Index Options'!$B:$B,D$4,'NSE - NIFTY Index Options'!$H:$H,"MDAW*")+SUMIFS('NSE - Other Index Options'!$L:$L,'NSE - Other Index Options'!$C:$C,$A10,'NSE - Other Index Options'!$B:$B,D$4,'NSE - Other Index Options'!$H:$H,"Weekly*")+SUMIFS('NSE - Other Index Options'!$L:$L,'NSE - Other Index Options'!$C:$C,$A10,'NSE - Other Index Options'!$B:$B,D$4,'NSE - Other Index Options'!$H:$H,"MDAW*"))</f>
        <v>28263.799999999996</v>
      </c>
      <c r="E10" s="26" t="str">
        <f>IF(SUMIFS('NSE - NIFTY Index Options'!$L:$L,'NSE - NIFTY Index Options'!$C:$C,$A10,'NSE - NIFTY Index Options'!$B:$B,E$4,'NSE - NIFTY Index Options'!$H:$H,"Weekly*")+SUMIFS('NSE - NIFTY Index Options'!$L:$L,'NSE - NIFTY Index Options'!$C:$C,$A10,'NSE - NIFTY Index Options'!$B:$B,E$4,'NSE - NIFTY Index Options'!$H:$H,"MDAW*")+SUMIFS('NSE - Other Index Options'!$L:$L,'NSE - Other Index Options'!$C:$C,$A10,'NSE - Other Index Options'!$B:$B,E$4,'NSE - Other Index Options'!$H:$H,"Weekly*")+SUMIFS('NSE - Other Index Options'!$L:$L,'NSE - Other Index Options'!$C:$C,$A10,'NSE - Other Index Options'!$B:$B,E$4,'NSE - Other Index Options'!$H:$H,"MDAW*")=0,"",SUMIFS('NSE - NIFTY Index Options'!$L:$L,'NSE - NIFTY Index Options'!$C:$C,$A10,'NSE - NIFTY Index Options'!$B:$B,E$4,'NSE - NIFTY Index Options'!$H:$H,"Weekly*")+SUMIFS('NSE - NIFTY Index Options'!$L:$L,'NSE - NIFTY Index Options'!$C:$C,$A10,'NSE - NIFTY Index Options'!$B:$B,E$4,'NSE - NIFTY Index Options'!$H:$H,"MDAW*")+SUMIFS('NSE - Other Index Options'!$L:$L,'NSE - Other Index Options'!$C:$C,$A10,'NSE - Other Index Options'!$B:$B,E$4,'NSE - Other Index Options'!$H:$H,"Weekly*")+SUMIFS('NSE - Other Index Options'!$L:$L,'NSE - Other Index Options'!$C:$C,$A10,'NSE - Other Index Options'!$B:$B,E$4,'NSE - Other Index Options'!$H:$H,"MDAW*"))</f>
        <v/>
      </c>
      <c r="F10" s="26">
        <f>IF(SUMIFS('NSE - NIFTY Index Options'!$L:$L,'NSE - NIFTY Index Options'!$C:$C,$A10,'NSE - NIFTY Index Options'!$B:$B,F$4,'NSE - NIFTY Index Options'!$H:$H,"Weekly*")+SUMIFS('NSE - NIFTY Index Options'!$L:$L,'NSE - NIFTY Index Options'!$C:$C,$A10,'NSE - NIFTY Index Options'!$B:$B,F$4,'NSE - NIFTY Index Options'!$H:$H,"MDAW*")+SUMIFS('NSE - Other Index Options'!$L:$L,'NSE - Other Index Options'!$C:$C,$A10,'NSE - Other Index Options'!$B:$B,F$4,'NSE - Other Index Options'!$H:$H,"Weekly*")+SUMIFS('NSE - Other Index Options'!$L:$L,'NSE - Other Index Options'!$C:$C,$A10,'NSE - Other Index Options'!$B:$B,F$4,'NSE - Other Index Options'!$H:$H,"MDAW*")=0,"",SUMIFS('NSE - NIFTY Index Options'!$L:$L,'NSE - NIFTY Index Options'!$C:$C,$A10,'NSE - NIFTY Index Options'!$B:$B,F$4,'NSE - NIFTY Index Options'!$H:$H,"Weekly*")+SUMIFS('NSE - NIFTY Index Options'!$L:$L,'NSE - NIFTY Index Options'!$C:$C,$A10,'NSE - NIFTY Index Options'!$B:$B,F$4,'NSE - NIFTY Index Options'!$H:$H,"MDAW*")+SUMIFS('NSE - Other Index Options'!$L:$L,'NSE - Other Index Options'!$C:$C,$A10,'NSE - Other Index Options'!$B:$B,F$4,'NSE - Other Index Options'!$H:$H,"Weekly*")+SUMIFS('NSE - Other Index Options'!$L:$L,'NSE - Other Index Options'!$C:$C,$A10,'NSE - Other Index Options'!$B:$B,F$4,'NSE - Other Index Options'!$H:$H,"MDAW*"))</f>
        <v>37408.199999999997</v>
      </c>
      <c r="G10" s="26" t="str">
        <f>IF(SUMIFS('NSE - NIFTY Index Options'!$L:$L,'NSE - NIFTY Index Options'!$C:$C,$A10,'NSE - NIFTY Index Options'!$B:$B,G$4,'NSE - NIFTY Index Options'!$H:$H,"Weekly*")+SUMIFS('NSE - NIFTY Index Options'!$L:$L,'NSE - NIFTY Index Options'!$C:$C,$A10,'NSE - NIFTY Index Options'!$B:$B,G$4,'NSE - NIFTY Index Options'!$H:$H,"MDAW*")+SUMIFS('NSE - Other Index Options'!$L:$L,'NSE - Other Index Options'!$C:$C,$A10,'NSE - Other Index Options'!$B:$B,G$4,'NSE - Other Index Options'!$H:$H,"Weekly*")+SUMIFS('NSE - Other Index Options'!$L:$L,'NSE - Other Index Options'!$C:$C,$A10,'NSE - Other Index Options'!$B:$B,G$4,'NSE - Other Index Options'!$H:$H,"MDAW*")=0,"",SUMIFS('NSE - NIFTY Index Options'!$L:$L,'NSE - NIFTY Index Options'!$C:$C,$A10,'NSE - NIFTY Index Options'!$B:$B,G$4,'NSE - NIFTY Index Options'!$H:$H,"Weekly*")+SUMIFS('NSE - NIFTY Index Options'!$L:$L,'NSE - NIFTY Index Options'!$C:$C,$A10,'NSE - NIFTY Index Options'!$B:$B,G$4,'NSE - NIFTY Index Options'!$H:$H,"MDAW*")+SUMIFS('NSE - Other Index Options'!$L:$L,'NSE - Other Index Options'!$C:$C,$A10,'NSE - Other Index Options'!$B:$B,G$4,'NSE - Other Index Options'!$H:$H,"Weekly*")+SUMIFS('NSE - Other Index Options'!$L:$L,'NSE - Other Index Options'!$C:$C,$A10,'NSE - Other Index Options'!$B:$B,G$4,'NSE - Other Index Options'!$H:$H,"MDAW*"))</f>
        <v/>
      </c>
      <c r="H10" s="26">
        <f t="shared" si="0"/>
        <v>163402.07</v>
      </c>
    </row>
    <row r="11" spans="1:8">
      <c r="A11" t="s">
        <v>16</v>
      </c>
      <c r="B11" s="26">
        <f>IF(SUMIFS('NSE - NIFTY Index Options'!$L:$L,'NSE - NIFTY Index Options'!$C:$C,$A11,'NSE - NIFTY Index Options'!$B:$B,B$4,'NSE - NIFTY Index Options'!$H:$H,"Weekly*")+SUMIFS('NSE - NIFTY Index Options'!$L:$L,'NSE - NIFTY Index Options'!$C:$C,$A11,'NSE - NIFTY Index Options'!$B:$B,B$4,'NSE - NIFTY Index Options'!$H:$H,"MDAW*")+SUMIFS('NSE - Other Index Options'!$L:$L,'NSE - Other Index Options'!$C:$C,$A11,'NSE - Other Index Options'!$B:$B,B$4,'NSE - Other Index Options'!$H:$H,"Weekly*")+SUMIFS('NSE - Other Index Options'!$L:$L,'NSE - Other Index Options'!$C:$C,$A11,'NSE - Other Index Options'!$B:$B,B$4,'NSE - Other Index Options'!$H:$H,"MDAW*")=0,"",SUMIFS('NSE - NIFTY Index Options'!$L:$L,'NSE - NIFTY Index Options'!$C:$C,$A11,'NSE - NIFTY Index Options'!$B:$B,B$4,'NSE - NIFTY Index Options'!$H:$H,"Weekly*")+SUMIFS('NSE - NIFTY Index Options'!$L:$L,'NSE - NIFTY Index Options'!$C:$C,$A11,'NSE - NIFTY Index Options'!$B:$B,B$4,'NSE - NIFTY Index Options'!$H:$H,"MDAW*")+SUMIFS('NSE - Other Index Options'!$L:$L,'NSE - Other Index Options'!$C:$C,$A11,'NSE - Other Index Options'!$B:$B,B$4,'NSE - Other Index Options'!$H:$H,"Weekly*")+SUMIFS('NSE - Other Index Options'!$L:$L,'NSE - Other Index Options'!$C:$C,$A11,'NSE - Other Index Options'!$B:$B,B$4,'NSE - Other Index Options'!$H:$H,"MDAW*"))</f>
        <v>42862.68</v>
      </c>
      <c r="C11" s="26">
        <f>IF(SUMIFS('NSE - NIFTY Index Options'!$L:$L,'NSE - NIFTY Index Options'!$C:$C,$A11,'NSE - NIFTY Index Options'!$B:$B,C$4,'NSE - NIFTY Index Options'!$H:$H,"Weekly*")+SUMIFS('NSE - NIFTY Index Options'!$L:$L,'NSE - NIFTY Index Options'!$C:$C,$A11,'NSE - NIFTY Index Options'!$B:$B,C$4,'NSE - NIFTY Index Options'!$H:$H,"MDAW*")+SUMIFS('NSE - Other Index Options'!$L:$L,'NSE - Other Index Options'!$C:$C,$A11,'NSE - Other Index Options'!$B:$B,C$4,'NSE - Other Index Options'!$H:$H,"Weekly*")+SUMIFS('NSE - Other Index Options'!$L:$L,'NSE - Other Index Options'!$C:$C,$A11,'NSE - Other Index Options'!$B:$B,C$4,'NSE - Other Index Options'!$H:$H,"MDAW*")=0,"",SUMIFS('NSE - NIFTY Index Options'!$L:$L,'NSE - NIFTY Index Options'!$C:$C,$A11,'NSE - NIFTY Index Options'!$B:$B,C$4,'NSE - NIFTY Index Options'!$H:$H,"Weekly*")+SUMIFS('NSE - NIFTY Index Options'!$L:$L,'NSE - NIFTY Index Options'!$C:$C,$A11,'NSE - NIFTY Index Options'!$B:$B,C$4,'NSE - NIFTY Index Options'!$H:$H,"MDAW*")+SUMIFS('NSE - Other Index Options'!$L:$L,'NSE - Other Index Options'!$C:$C,$A11,'NSE - Other Index Options'!$B:$B,C$4,'NSE - Other Index Options'!$H:$H,"Weekly*")+SUMIFS('NSE - Other Index Options'!$L:$L,'NSE - Other Index Options'!$C:$C,$A11,'NSE - Other Index Options'!$B:$B,C$4,'NSE - Other Index Options'!$H:$H,"MDAW*"))</f>
        <v>65559.5</v>
      </c>
      <c r="D11" s="26">
        <f>IF(SUMIFS('NSE - NIFTY Index Options'!$L:$L,'NSE - NIFTY Index Options'!$C:$C,$A11,'NSE - NIFTY Index Options'!$B:$B,D$4,'NSE - NIFTY Index Options'!$H:$H,"Weekly*")+SUMIFS('NSE - NIFTY Index Options'!$L:$L,'NSE - NIFTY Index Options'!$C:$C,$A11,'NSE - NIFTY Index Options'!$B:$B,D$4,'NSE - NIFTY Index Options'!$H:$H,"MDAW*")+SUMIFS('NSE - Other Index Options'!$L:$L,'NSE - Other Index Options'!$C:$C,$A11,'NSE - Other Index Options'!$B:$B,D$4,'NSE - Other Index Options'!$H:$H,"Weekly*")+SUMIFS('NSE - Other Index Options'!$L:$L,'NSE - Other Index Options'!$C:$C,$A11,'NSE - Other Index Options'!$B:$B,D$4,'NSE - Other Index Options'!$H:$H,"MDAW*")=0,"",SUMIFS('NSE - NIFTY Index Options'!$L:$L,'NSE - NIFTY Index Options'!$C:$C,$A11,'NSE - NIFTY Index Options'!$B:$B,D$4,'NSE - NIFTY Index Options'!$H:$H,"Weekly*")+SUMIFS('NSE - NIFTY Index Options'!$L:$L,'NSE - NIFTY Index Options'!$C:$C,$A11,'NSE - NIFTY Index Options'!$B:$B,D$4,'NSE - NIFTY Index Options'!$H:$H,"MDAW*")+SUMIFS('NSE - Other Index Options'!$L:$L,'NSE - Other Index Options'!$C:$C,$A11,'NSE - Other Index Options'!$B:$B,D$4,'NSE - Other Index Options'!$H:$H,"Weekly*")+SUMIFS('NSE - Other Index Options'!$L:$L,'NSE - Other Index Options'!$C:$C,$A11,'NSE - Other Index Options'!$B:$B,D$4,'NSE - Other Index Options'!$H:$H,"MDAW*"))</f>
        <v>35964.86</v>
      </c>
      <c r="E11" s="26">
        <f>IF(SUMIFS('NSE - NIFTY Index Options'!$L:$L,'NSE - NIFTY Index Options'!$C:$C,$A11,'NSE - NIFTY Index Options'!$B:$B,E$4,'NSE - NIFTY Index Options'!$H:$H,"Weekly*")+SUMIFS('NSE - NIFTY Index Options'!$L:$L,'NSE - NIFTY Index Options'!$C:$C,$A11,'NSE - NIFTY Index Options'!$B:$B,E$4,'NSE - NIFTY Index Options'!$H:$H,"MDAW*")+SUMIFS('NSE - Other Index Options'!$L:$L,'NSE - Other Index Options'!$C:$C,$A11,'NSE - Other Index Options'!$B:$B,E$4,'NSE - Other Index Options'!$H:$H,"Weekly*")+SUMIFS('NSE - Other Index Options'!$L:$L,'NSE - Other Index Options'!$C:$C,$A11,'NSE - Other Index Options'!$B:$B,E$4,'NSE - Other Index Options'!$H:$H,"MDAW*")=0,"",SUMIFS('NSE - NIFTY Index Options'!$L:$L,'NSE - NIFTY Index Options'!$C:$C,$A11,'NSE - NIFTY Index Options'!$B:$B,E$4,'NSE - NIFTY Index Options'!$H:$H,"Weekly*")+SUMIFS('NSE - NIFTY Index Options'!$L:$L,'NSE - NIFTY Index Options'!$C:$C,$A11,'NSE - NIFTY Index Options'!$B:$B,E$4,'NSE - NIFTY Index Options'!$H:$H,"MDAW*")+SUMIFS('NSE - Other Index Options'!$L:$L,'NSE - Other Index Options'!$C:$C,$A11,'NSE - Other Index Options'!$B:$B,E$4,'NSE - Other Index Options'!$H:$H,"Weekly*")+SUMIFS('NSE - Other Index Options'!$L:$L,'NSE - Other Index Options'!$C:$C,$A11,'NSE - Other Index Options'!$B:$B,E$4,'NSE - Other Index Options'!$H:$H,"MDAW*"))</f>
        <v>28356.46</v>
      </c>
      <c r="F11" s="26">
        <f>IF(SUMIFS('NSE - NIFTY Index Options'!$L:$L,'NSE - NIFTY Index Options'!$C:$C,$A11,'NSE - NIFTY Index Options'!$B:$B,F$4,'NSE - NIFTY Index Options'!$H:$H,"Weekly*")+SUMIFS('NSE - NIFTY Index Options'!$L:$L,'NSE - NIFTY Index Options'!$C:$C,$A11,'NSE - NIFTY Index Options'!$B:$B,F$4,'NSE - NIFTY Index Options'!$H:$H,"MDAW*")+SUMIFS('NSE - Other Index Options'!$L:$L,'NSE - Other Index Options'!$C:$C,$A11,'NSE - Other Index Options'!$B:$B,F$4,'NSE - Other Index Options'!$H:$H,"Weekly*")+SUMIFS('NSE - Other Index Options'!$L:$L,'NSE - Other Index Options'!$C:$C,$A11,'NSE - Other Index Options'!$B:$B,F$4,'NSE - Other Index Options'!$H:$H,"MDAW*")=0,"",SUMIFS('NSE - NIFTY Index Options'!$L:$L,'NSE - NIFTY Index Options'!$C:$C,$A11,'NSE - NIFTY Index Options'!$B:$B,F$4,'NSE - NIFTY Index Options'!$H:$H,"Weekly*")+SUMIFS('NSE - NIFTY Index Options'!$L:$L,'NSE - NIFTY Index Options'!$C:$C,$A11,'NSE - NIFTY Index Options'!$B:$B,F$4,'NSE - NIFTY Index Options'!$H:$H,"MDAW*")+SUMIFS('NSE - Other Index Options'!$L:$L,'NSE - Other Index Options'!$C:$C,$A11,'NSE - Other Index Options'!$B:$B,F$4,'NSE - Other Index Options'!$H:$H,"Weekly*")+SUMIFS('NSE - Other Index Options'!$L:$L,'NSE - Other Index Options'!$C:$C,$A11,'NSE - Other Index Options'!$B:$B,F$4,'NSE - Other Index Options'!$H:$H,"MDAW*"))</f>
        <v>38054.159999999989</v>
      </c>
      <c r="G11" s="26" t="str">
        <f>IF(SUMIFS('NSE - NIFTY Index Options'!$L:$L,'NSE - NIFTY Index Options'!$C:$C,$A11,'NSE - NIFTY Index Options'!$B:$B,G$4,'NSE - NIFTY Index Options'!$H:$H,"Weekly*")+SUMIFS('NSE - NIFTY Index Options'!$L:$L,'NSE - NIFTY Index Options'!$C:$C,$A11,'NSE - NIFTY Index Options'!$B:$B,G$4,'NSE - NIFTY Index Options'!$H:$H,"MDAW*")+SUMIFS('NSE - Other Index Options'!$L:$L,'NSE - Other Index Options'!$C:$C,$A11,'NSE - Other Index Options'!$B:$B,G$4,'NSE - Other Index Options'!$H:$H,"Weekly*")+SUMIFS('NSE - Other Index Options'!$L:$L,'NSE - Other Index Options'!$C:$C,$A11,'NSE - Other Index Options'!$B:$B,G$4,'NSE - Other Index Options'!$H:$H,"MDAW*")=0,"",SUMIFS('NSE - NIFTY Index Options'!$L:$L,'NSE - NIFTY Index Options'!$C:$C,$A11,'NSE - NIFTY Index Options'!$B:$B,G$4,'NSE - NIFTY Index Options'!$H:$H,"Weekly*")+SUMIFS('NSE - NIFTY Index Options'!$L:$L,'NSE - NIFTY Index Options'!$C:$C,$A11,'NSE - NIFTY Index Options'!$B:$B,G$4,'NSE - NIFTY Index Options'!$H:$H,"MDAW*")+SUMIFS('NSE - Other Index Options'!$L:$L,'NSE - Other Index Options'!$C:$C,$A11,'NSE - Other Index Options'!$B:$B,G$4,'NSE - Other Index Options'!$H:$H,"Weekly*")+SUMIFS('NSE - Other Index Options'!$L:$L,'NSE - Other Index Options'!$C:$C,$A11,'NSE - Other Index Options'!$B:$B,G$4,'NSE - Other Index Options'!$H:$H,"MDAW*"))</f>
        <v/>
      </c>
      <c r="H11" s="26">
        <f t="shared" si="0"/>
        <v>210797.65999999997</v>
      </c>
    </row>
    <row r="12" spans="1:8">
      <c r="A12" t="s">
        <v>17</v>
      </c>
      <c r="B12" s="26">
        <f>IF(SUMIFS('NSE - NIFTY Index Options'!$L:$L,'NSE - NIFTY Index Options'!$C:$C,$A12,'NSE - NIFTY Index Options'!$B:$B,B$4,'NSE - NIFTY Index Options'!$H:$H,"Weekly*")+SUMIFS('NSE - NIFTY Index Options'!$L:$L,'NSE - NIFTY Index Options'!$C:$C,$A12,'NSE - NIFTY Index Options'!$B:$B,B$4,'NSE - NIFTY Index Options'!$H:$H,"MDAW*")+SUMIFS('NSE - Other Index Options'!$L:$L,'NSE - Other Index Options'!$C:$C,$A12,'NSE - Other Index Options'!$B:$B,B$4,'NSE - Other Index Options'!$H:$H,"Weekly*")+SUMIFS('NSE - Other Index Options'!$L:$L,'NSE - Other Index Options'!$C:$C,$A12,'NSE - Other Index Options'!$B:$B,B$4,'NSE - Other Index Options'!$H:$H,"MDAW*")=0,"",SUMIFS('NSE - NIFTY Index Options'!$L:$L,'NSE - NIFTY Index Options'!$C:$C,$A12,'NSE - NIFTY Index Options'!$B:$B,B$4,'NSE - NIFTY Index Options'!$H:$H,"Weekly*")+SUMIFS('NSE - NIFTY Index Options'!$L:$L,'NSE - NIFTY Index Options'!$C:$C,$A12,'NSE - NIFTY Index Options'!$B:$B,B$4,'NSE - NIFTY Index Options'!$H:$H,"MDAW*")+SUMIFS('NSE - Other Index Options'!$L:$L,'NSE - Other Index Options'!$C:$C,$A12,'NSE - Other Index Options'!$B:$B,B$4,'NSE - Other Index Options'!$H:$H,"Weekly*")+SUMIFS('NSE - Other Index Options'!$L:$L,'NSE - Other Index Options'!$C:$C,$A12,'NSE - Other Index Options'!$B:$B,B$4,'NSE - Other Index Options'!$H:$H,"MDAW*"))</f>
        <v>54381.26</v>
      </c>
      <c r="C12" s="26">
        <f>IF(SUMIFS('NSE - NIFTY Index Options'!$L:$L,'NSE - NIFTY Index Options'!$C:$C,$A12,'NSE - NIFTY Index Options'!$B:$B,C$4,'NSE - NIFTY Index Options'!$H:$H,"Weekly*")+SUMIFS('NSE - NIFTY Index Options'!$L:$L,'NSE - NIFTY Index Options'!$C:$C,$A12,'NSE - NIFTY Index Options'!$B:$B,C$4,'NSE - NIFTY Index Options'!$H:$H,"MDAW*")+SUMIFS('NSE - Other Index Options'!$L:$L,'NSE - Other Index Options'!$C:$C,$A12,'NSE - Other Index Options'!$B:$B,C$4,'NSE - Other Index Options'!$H:$H,"Weekly*")+SUMIFS('NSE - Other Index Options'!$L:$L,'NSE - Other Index Options'!$C:$C,$A12,'NSE - Other Index Options'!$B:$B,C$4,'NSE - Other Index Options'!$H:$H,"MDAW*")=0,"",SUMIFS('NSE - NIFTY Index Options'!$L:$L,'NSE - NIFTY Index Options'!$C:$C,$A12,'NSE - NIFTY Index Options'!$B:$B,C$4,'NSE - NIFTY Index Options'!$H:$H,"Weekly*")+SUMIFS('NSE - NIFTY Index Options'!$L:$L,'NSE - NIFTY Index Options'!$C:$C,$A12,'NSE - NIFTY Index Options'!$B:$B,C$4,'NSE - NIFTY Index Options'!$H:$H,"MDAW*")+SUMIFS('NSE - Other Index Options'!$L:$L,'NSE - Other Index Options'!$C:$C,$A12,'NSE - Other Index Options'!$B:$B,C$4,'NSE - Other Index Options'!$H:$H,"Weekly*")+SUMIFS('NSE - Other Index Options'!$L:$L,'NSE - Other Index Options'!$C:$C,$A12,'NSE - Other Index Options'!$B:$B,C$4,'NSE - Other Index Options'!$H:$H,"MDAW*"))</f>
        <v>291.98999999999995</v>
      </c>
      <c r="D12" s="26">
        <f>IF(SUMIFS('NSE - NIFTY Index Options'!$L:$L,'NSE - NIFTY Index Options'!$C:$C,$A12,'NSE - NIFTY Index Options'!$B:$B,D$4,'NSE - NIFTY Index Options'!$H:$H,"Weekly*")+SUMIFS('NSE - NIFTY Index Options'!$L:$L,'NSE - NIFTY Index Options'!$C:$C,$A12,'NSE - NIFTY Index Options'!$B:$B,D$4,'NSE - NIFTY Index Options'!$H:$H,"MDAW*")+SUMIFS('NSE - Other Index Options'!$L:$L,'NSE - Other Index Options'!$C:$C,$A12,'NSE - Other Index Options'!$B:$B,D$4,'NSE - Other Index Options'!$H:$H,"Weekly*")+SUMIFS('NSE - Other Index Options'!$L:$L,'NSE - Other Index Options'!$C:$C,$A12,'NSE - Other Index Options'!$B:$B,D$4,'NSE - Other Index Options'!$H:$H,"MDAW*")=0,"",SUMIFS('NSE - NIFTY Index Options'!$L:$L,'NSE - NIFTY Index Options'!$C:$C,$A12,'NSE - NIFTY Index Options'!$B:$B,D$4,'NSE - NIFTY Index Options'!$H:$H,"Weekly*")+SUMIFS('NSE - NIFTY Index Options'!$L:$L,'NSE - NIFTY Index Options'!$C:$C,$A12,'NSE - NIFTY Index Options'!$B:$B,D$4,'NSE - NIFTY Index Options'!$H:$H,"MDAW*")+SUMIFS('NSE - Other Index Options'!$L:$L,'NSE - Other Index Options'!$C:$C,$A12,'NSE - Other Index Options'!$B:$B,D$4,'NSE - Other Index Options'!$H:$H,"Weekly*")+SUMIFS('NSE - Other Index Options'!$L:$L,'NSE - Other Index Options'!$C:$C,$A12,'NSE - Other Index Options'!$B:$B,D$4,'NSE - Other Index Options'!$H:$H,"MDAW*"))</f>
        <v>28768.57</v>
      </c>
      <c r="E12" s="26">
        <f>IF(SUMIFS('NSE - NIFTY Index Options'!$L:$L,'NSE - NIFTY Index Options'!$C:$C,$A12,'NSE - NIFTY Index Options'!$B:$B,E$4,'NSE - NIFTY Index Options'!$H:$H,"Weekly*")+SUMIFS('NSE - NIFTY Index Options'!$L:$L,'NSE - NIFTY Index Options'!$C:$C,$A12,'NSE - NIFTY Index Options'!$B:$B,E$4,'NSE - NIFTY Index Options'!$H:$H,"MDAW*")+SUMIFS('NSE - Other Index Options'!$L:$L,'NSE - Other Index Options'!$C:$C,$A12,'NSE - Other Index Options'!$B:$B,E$4,'NSE - Other Index Options'!$H:$H,"Weekly*")+SUMIFS('NSE - Other Index Options'!$L:$L,'NSE - Other Index Options'!$C:$C,$A12,'NSE - Other Index Options'!$B:$B,E$4,'NSE - Other Index Options'!$H:$H,"MDAW*")=0,"",SUMIFS('NSE - NIFTY Index Options'!$L:$L,'NSE - NIFTY Index Options'!$C:$C,$A12,'NSE - NIFTY Index Options'!$B:$B,E$4,'NSE - NIFTY Index Options'!$H:$H,"Weekly*")+SUMIFS('NSE - NIFTY Index Options'!$L:$L,'NSE - NIFTY Index Options'!$C:$C,$A12,'NSE - NIFTY Index Options'!$B:$B,E$4,'NSE - NIFTY Index Options'!$H:$H,"MDAW*")+SUMIFS('NSE - Other Index Options'!$L:$L,'NSE - Other Index Options'!$C:$C,$A12,'NSE - Other Index Options'!$B:$B,E$4,'NSE - Other Index Options'!$H:$H,"Weekly*")+SUMIFS('NSE - Other Index Options'!$L:$L,'NSE - Other Index Options'!$C:$C,$A12,'NSE - Other Index Options'!$B:$B,E$4,'NSE - Other Index Options'!$H:$H,"MDAW*"))</f>
        <v>25711.72</v>
      </c>
      <c r="F12" s="26">
        <f>IF(SUMIFS('NSE - NIFTY Index Options'!$L:$L,'NSE - NIFTY Index Options'!$C:$C,$A12,'NSE - NIFTY Index Options'!$B:$B,F$4,'NSE - NIFTY Index Options'!$H:$H,"Weekly*")+SUMIFS('NSE - NIFTY Index Options'!$L:$L,'NSE - NIFTY Index Options'!$C:$C,$A12,'NSE - NIFTY Index Options'!$B:$B,F$4,'NSE - NIFTY Index Options'!$H:$H,"MDAW*")+SUMIFS('NSE - Other Index Options'!$L:$L,'NSE - Other Index Options'!$C:$C,$A12,'NSE - Other Index Options'!$B:$B,F$4,'NSE - Other Index Options'!$H:$H,"Weekly*")+SUMIFS('NSE - Other Index Options'!$L:$L,'NSE - Other Index Options'!$C:$C,$A12,'NSE - Other Index Options'!$B:$B,F$4,'NSE - Other Index Options'!$H:$H,"MDAW*")=0,"",SUMIFS('NSE - NIFTY Index Options'!$L:$L,'NSE - NIFTY Index Options'!$C:$C,$A12,'NSE - NIFTY Index Options'!$B:$B,F$4,'NSE - NIFTY Index Options'!$H:$H,"Weekly*")+SUMIFS('NSE - NIFTY Index Options'!$L:$L,'NSE - NIFTY Index Options'!$C:$C,$A12,'NSE - NIFTY Index Options'!$B:$B,F$4,'NSE - NIFTY Index Options'!$H:$H,"MDAW*")+SUMIFS('NSE - Other Index Options'!$L:$L,'NSE - Other Index Options'!$C:$C,$A12,'NSE - Other Index Options'!$B:$B,F$4,'NSE - Other Index Options'!$H:$H,"Weekly*")+SUMIFS('NSE - Other Index Options'!$L:$L,'NSE - Other Index Options'!$C:$C,$A12,'NSE - Other Index Options'!$B:$B,F$4,'NSE - Other Index Options'!$H:$H,"MDAW*"))</f>
        <v>58322.19</v>
      </c>
      <c r="G12" s="26" t="str">
        <f>IF(SUMIFS('NSE - NIFTY Index Options'!$L:$L,'NSE - NIFTY Index Options'!$C:$C,$A12,'NSE - NIFTY Index Options'!$B:$B,G$4,'NSE - NIFTY Index Options'!$H:$H,"Weekly*")+SUMIFS('NSE - NIFTY Index Options'!$L:$L,'NSE - NIFTY Index Options'!$C:$C,$A12,'NSE - NIFTY Index Options'!$B:$B,G$4,'NSE - NIFTY Index Options'!$H:$H,"MDAW*")+SUMIFS('NSE - Other Index Options'!$L:$L,'NSE - Other Index Options'!$C:$C,$A12,'NSE - Other Index Options'!$B:$B,G$4,'NSE - Other Index Options'!$H:$H,"Weekly*")+SUMIFS('NSE - Other Index Options'!$L:$L,'NSE - Other Index Options'!$C:$C,$A12,'NSE - Other Index Options'!$B:$B,G$4,'NSE - Other Index Options'!$H:$H,"MDAW*")=0,"",SUMIFS('NSE - NIFTY Index Options'!$L:$L,'NSE - NIFTY Index Options'!$C:$C,$A12,'NSE - NIFTY Index Options'!$B:$B,G$4,'NSE - NIFTY Index Options'!$H:$H,"Weekly*")+SUMIFS('NSE - NIFTY Index Options'!$L:$L,'NSE - NIFTY Index Options'!$C:$C,$A12,'NSE - NIFTY Index Options'!$B:$B,G$4,'NSE - NIFTY Index Options'!$H:$H,"MDAW*")+SUMIFS('NSE - Other Index Options'!$L:$L,'NSE - Other Index Options'!$C:$C,$A12,'NSE - Other Index Options'!$B:$B,G$4,'NSE - Other Index Options'!$H:$H,"Weekly*")+SUMIFS('NSE - Other Index Options'!$L:$L,'NSE - Other Index Options'!$C:$C,$A12,'NSE - Other Index Options'!$B:$B,G$4,'NSE - Other Index Options'!$H:$H,"MDAW*"))</f>
        <v/>
      </c>
      <c r="H12" s="26">
        <f t="shared" si="0"/>
        <v>167475.73000000001</v>
      </c>
    </row>
    <row r="13" spans="1:8">
      <c r="A13" t="s">
        <v>18</v>
      </c>
      <c r="B13" s="26">
        <f>IF(SUMIFS('NSE - NIFTY Index Options'!$L:$L,'NSE - NIFTY Index Options'!$C:$C,$A13,'NSE - NIFTY Index Options'!$B:$B,B$4,'NSE - NIFTY Index Options'!$H:$H,"Weekly*")+SUMIFS('NSE - NIFTY Index Options'!$L:$L,'NSE - NIFTY Index Options'!$C:$C,$A13,'NSE - NIFTY Index Options'!$B:$B,B$4,'NSE - NIFTY Index Options'!$H:$H,"MDAW*")+SUMIFS('NSE - Other Index Options'!$L:$L,'NSE - Other Index Options'!$C:$C,$A13,'NSE - Other Index Options'!$B:$B,B$4,'NSE - Other Index Options'!$H:$H,"Weekly*")+SUMIFS('NSE - Other Index Options'!$L:$L,'NSE - Other Index Options'!$C:$C,$A13,'NSE - Other Index Options'!$B:$B,B$4,'NSE - Other Index Options'!$H:$H,"MDAW*")=0,"",SUMIFS('NSE - NIFTY Index Options'!$L:$L,'NSE - NIFTY Index Options'!$C:$C,$A13,'NSE - NIFTY Index Options'!$B:$B,B$4,'NSE - NIFTY Index Options'!$H:$H,"Weekly*")+SUMIFS('NSE - NIFTY Index Options'!$L:$L,'NSE - NIFTY Index Options'!$C:$C,$A13,'NSE - NIFTY Index Options'!$B:$B,B$4,'NSE - NIFTY Index Options'!$H:$H,"MDAW*")+SUMIFS('NSE - Other Index Options'!$L:$L,'NSE - Other Index Options'!$C:$C,$A13,'NSE - Other Index Options'!$B:$B,B$4,'NSE - Other Index Options'!$H:$H,"Weekly*")+SUMIFS('NSE - Other Index Options'!$L:$L,'NSE - Other Index Options'!$C:$C,$A13,'NSE - Other Index Options'!$B:$B,B$4,'NSE - Other Index Options'!$H:$H,"MDAW*"))</f>
        <v>49263.5</v>
      </c>
      <c r="C13" s="26">
        <f>IF(SUMIFS('NSE - NIFTY Index Options'!$L:$L,'NSE - NIFTY Index Options'!$C:$C,$A13,'NSE - NIFTY Index Options'!$B:$B,C$4,'NSE - NIFTY Index Options'!$H:$H,"Weekly*")+SUMIFS('NSE - NIFTY Index Options'!$L:$L,'NSE - NIFTY Index Options'!$C:$C,$A13,'NSE - NIFTY Index Options'!$B:$B,C$4,'NSE - NIFTY Index Options'!$H:$H,"MDAW*")+SUMIFS('NSE - Other Index Options'!$L:$L,'NSE - Other Index Options'!$C:$C,$A13,'NSE - Other Index Options'!$B:$B,C$4,'NSE - Other Index Options'!$H:$H,"Weekly*")+SUMIFS('NSE - Other Index Options'!$L:$L,'NSE - Other Index Options'!$C:$C,$A13,'NSE - Other Index Options'!$B:$B,C$4,'NSE - Other Index Options'!$H:$H,"MDAW*")=0,"",SUMIFS('NSE - NIFTY Index Options'!$L:$L,'NSE - NIFTY Index Options'!$C:$C,$A13,'NSE - NIFTY Index Options'!$B:$B,C$4,'NSE - NIFTY Index Options'!$H:$H,"Weekly*")+SUMIFS('NSE - NIFTY Index Options'!$L:$L,'NSE - NIFTY Index Options'!$C:$C,$A13,'NSE - NIFTY Index Options'!$B:$B,C$4,'NSE - NIFTY Index Options'!$H:$H,"MDAW*")+SUMIFS('NSE - Other Index Options'!$L:$L,'NSE - Other Index Options'!$C:$C,$A13,'NSE - Other Index Options'!$B:$B,C$4,'NSE - Other Index Options'!$H:$H,"Weekly*")+SUMIFS('NSE - Other Index Options'!$L:$L,'NSE - Other Index Options'!$C:$C,$A13,'NSE - Other Index Options'!$B:$B,C$4,'NSE - Other Index Options'!$H:$H,"MDAW*"))</f>
        <v>69350.25</v>
      </c>
      <c r="D13" s="26" t="str">
        <f>IF(SUMIFS('NSE - NIFTY Index Options'!$L:$L,'NSE - NIFTY Index Options'!$C:$C,$A13,'NSE - NIFTY Index Options'!$B:$B,D$4,'NSE - NIFTY Index Options'!$H:$H,"Weekly*")+SUMIFS('NSE - NIFTY Index Options'!$L:$L,'NSE - NIFTY Index Options'!$C:$C,$A13,'NSE - NIFTY Index Options'!$B:$B,D$4,'NSE - NIFTY Index Options'!$H:$H,"MDAW*")+SUMIFS('NSE - Other Index Options'!$L:$L,'NSE - Other Index Options'!$C:$C,$A13,'NSE - Other Index Options'!$B:$B,D$4,'NSE - Other Index Options'!$H:$H,"Weekly*")+SUMIFS('NSE - Other Index Options'!$L:$L,'NSE - Other Index Options'!$C:$C,$A13,'NSE - Other Index Options'!$B:$B,D$4,'NSE - Other Index Options'!$H:$H,"MDAW*")=0,"",SUMIFS('NSE - NIFTY Index Options'!$L:$L,'NSE - NIFTY Index Options'!$C:$C,$A13,'NSE - NIFTY Index Options'!$B:$B,D$4,'NSE - NIFTY Index Options'!$H:$H,"Weekly*")+SUMIFS('NSE - NIFTY Index Options'!$L:$L,'NSE - NIFTY Index Options'!$C:$C,$A13,'NSE - NIFTY Index Options'!$B:$B,D$4,'NSE - NIFTY Index Options'!$H:$H,"MDAW*")+SUMIFS('NSE - Other Index Options'!$L:$L,'NSE - Other Index Options'!$C:$C,$A13,'NSE - Other Index Options'!$B:$B,D$4,'NSE - Other Index Options'!$H:$H,"Weekly*")+SUMIFS('NSE - Other Index Options'!$L:$L,'NSE - Other Index Options'!$C:$C,$A13,'NSE - Other Index Options'!$B:$B,D$4,'NSE - Other Index Options'!$H:$H,"MDAW*"))</f>
        <v/>
      </c>
      <c r="E13" s="26">
        <f>IF(SUMIFS('NSE - NIFTY Index Options'!$L:$L,'NSE - NIFTY Index Options'!$C:$C,$A13,'NSE - NIFTY Index Options'!$B:$B,E$4,'NSE - NIFTY Index Options'!$H:$H,"Weekly*")+SUMIFS('NSE - NIFTY Index Options'!$L:$L,'NSE - NIFTY Index Options'!$C:$C,$A13,'NSE - NIFTY Index Options'!$B:$B,E$4,'NSE - NIFTY Index Options'!$H:$H,"MDAW*")+SUMIFS('NSE - Other Index Options'!$L:$L,'NSE - Other Index Options'!$C:$C,$A13,'NSE - Other Index Options'!$B:$B,E$4,'NSE - Other Index Options'!$H:$H,"Weekly*")+SUMIFS('NSE - Other Index Options'!$L:$L,'NSE - Other Index Options'!$C:$C,$A13,'NSE - Other Index Options'!$B:$B,E$4,'NSE - Other Index Options'!$H:$H,"MDAW*")=0,"",SUMIFS('NSE - NIFTY Index Options'!$L:$L,'NSE - NIFTY Index Options'!$C:$C,$A13,'NSE - NIFTY Index Options'!$B:$B,E$4,'NSE - NIFTY Index Options'!$H:$H,"Weekly*")+SUMIFS('NSE - NIFTY Index Options'!$L:$L,'NSE - NIFTY Index Options'!$C:$C,$A13,'NSE - NIFTY Index Options'!$B:$B,E$4,'NSE - NIFTY Index Options'!$H:$H,"MDAW*")+SUMIFS('NSE - Other Index Options'!$L:$L,'NSE - Other Index Options'!$C:$C,$A13,'NSE - Other Index Options'!$B:$B,E$4,'NSE - Other Index Options'!$H:$H,"Weekly*")+SUMIFS('NSE - Other Index Options'!$L:$L,'NSE - Other Index Options'!$C:$C,$A13,'NSE - Other Index Options'!$B:$B,E$4,'NSE - Other Index Options'!$H:$H,"MDAW*"))</f>
        <v>34481.26</v>
      </c>
      <c r="F13" s="26">
        <f>IF(SUMIFS('NSE - NIFTY Index Options'!$L:$L,'NSE - NIFTY Index Options'!$C:$C,$A13,'NSE - NIFTY Index Options'!$B:$B,F$4,'NSE - NIFTY Index Options'!$H:$H,"Weekly*")+SUMIFS('NSE - NIFTY Index Options'!$L:$L,'NSE - NIFTY Index Options'!$C:$C,$A13,'NSE - NIFTY Index Options'!$B:$B,F$4,'NSE - NIFTY Index Options'!$H:$H,"MDAW*")+SUMIFS('NSE - Other Index Options'!$L:$L,'NSE - Other Index Options'!$C:$C,$A13,'NSE - Other Index Options'!$B:$B,F$4,'NSE - Other Index Options'!$H:$H,"Weekly*")+SUMIFS('NSE - Other Index Options'!$L:$L,'NSE - Other Index Options'!$C:$C,$A13,'NSE - Other Index Options'!$B:$B,F$4,'NSE - Other Index Options'!$H:$H,"MDAW*")=0,"",SUMIFS('NSE - NIFTY Index Options'!$L:$L,'NSE - NIFTY Index Options'!$C:$C,$A13,'NSE - NIFTY Index Options'!$B:$B,F$4,'NSE - NIFTY Index Options'!$H:$H,"Weekly*")+SUMIFS('NSE - NIFTY Index Options'!$L:$L,'NSE - NIFTY Index Options'!$C:$C,$A13,'NSE - NIFTY Index Options'!$B:$B,F$4,'NSE - NIFTY Index Options'!$H:$H,"MDAW*")+SUMIFS('NSE - Other Index Options'!$L:$L,'NSE - Other Index Options'!$C:$C,$A13,'NSE - Other Index Options'!$B:$B,F$4,'NSE - Other Index Options'!$H:$H,"Weekly*")+SUMIFS('NSE - Other Index Options'!$L:$L,'NSE - Other Index Options'!$C:$C,$A13,'NSE - Other Index Options'!$B:$B,F$4,'NSE - Other Index Options'!$H:$H,"MDAW*"))</f>
        <v>54071.75</v>
      </c>
      <c r="G13" s="26" t="str">
        <f>IF(SUMIFS('NSE - NIFTY Index Options'!$L:$L,'NSE - NIFTY Index Options'!$C:$C,$A13,'NSE - NIFTY Index Options'!$B:$B,G$4,'NSE - NIFTY Index Options'!$H:$H,"Weekly*")+SUMIFS('NSE - NIFTY Index Options'!$L:$L,'NSE - NIFTY Index Options'!$C:$C,$A13,'NSE - NIFTY Index Options'!$B:$B,G$4,'NSE - NIFTY Index Options'!$H:$H,"MDAW*")+SUMIFS('NSE - Other Index Options'!$L:$L,'NSE - Other Index Options'!$C:$C,$A13,'NSE - Other Index Options'!$B:$B,G$4,'NSE - Other Index Options'!$H:$H,"Weekly*")+SUMIFS('NSE - Other Index Options'!$L:$L,'NSE - Other Index Options'!$C:$C,$A13,'NSE - Other Index Options'!$B:$B,G$4,'NSE - Other Index Options'!$H:$H,"MDAW*")=0,"",SUMIFS('NSE - NIFTY Index Options'!$L:$L,'NSE - NIFTY Index Options'!$C:$C,$A13,'NSE - NIFTY Index Options'!$B:$B,G$4,'NSE - NIFTY Index Options'!$H:$H,"Weekly*")+SUMIFS('NSE - NIFTY Index Options'!$L:$L,'NSE - NIFTY Index Options'!$C:$C,$A13,'NSE - NIFTY Index Options'!$B:$B,G$4,'NSE - NIFTY Index Options'!$H:$H,"MDAW*")+SUMIFS('NSE - Other Index Options'!$L:$L,'NSE - Other Index Options'!$C:$C,$A13,'NSE - Other Index Options'!$B:$B,G$4,'NSE - Other Index Options'!$H:$H,"Weekly*")+SUMIFS('NSE - Other Index Options'!$L:$L,'NSE - Other Index Options'!$C:$C,$A13,'NSE - Other Index Options'!$B:$B,G$4,'NSE - Other Index Options'!$H:$H,"MDAW*"))</f>
        <v/>
      </c>
      <c r="H13" s="26">
        <f t="shared" si="0"/>
        <v>207166.76</v>
      </c>
    </row>
    <row r="14" spans="1:8">
      <c r="A14" t="s">
        <v>19</v>
      </c>
      <c r="B14" s="26" t="str">
        <f>IF(SUMIFS('NSE - NIFTY Index Options'!$L:$L,'NSE - NIFTY Index Options'!$C:$C,$A14,'NSE - NIFTY Index Options'!$B:$B,B$4,'NSE - NIFTY Index Options'!$H:$H,"Weekly*")+SUMIFS('NSE - NIFTY Index Options'!$L:$L,'NSE - NIFTY Index Options'!$C:$C,$A14,'NSE - NIFTY Index Options'!$B:$B,B$4,'NSE - NIFTY Index Options'!$H:$H,"MDAW*")+SUMIFS('NSE - Other Index Options'!$L:$L,'NSE - Other Index Options'!$C:$C,$A14,'NSE - Other Index Options'!$B:$B,B$4,'NSE - Other Index Options'!$H:$H,"Weekly*")+SUMIFS('NSE - Other Index Options'!$L:$L,'NSE - Other Index Options'!$C:$C,$A14,'NSE - Other Index Options'!$B:$B,B$4,'NSE - Other Index Options'!$H:$H,"MDAW*")=0,"",SUMIFS('NSE - NIFTY Index Options'!$L:$L,'NSE - NIFTY Index Options'!$C:$C,$A14,'NSE - NIFTY Index Options'!$B:$B,B$4,'NSE - NIFTY Index Options'!$H:$H,"Weekly*")+SUMIFS('NSE - NIFTY Index Options'!$L:$L,'NSE - NIFTY Index Options'!$C:$C,$A14,'NSE - NIFTY Index Options'!$B:$B,B$4,'NSE - NIFTY Index Options'!$H:$H,"MDAW*")+SUMIFS('NSE - Other Index Options'!$L:$L,'NSE - Other Index Options'!$C:$C,$A14,'NSE - Other Index Options'!$B:$B,B$4,'NSE - Other Index Options'!$H:$H,"Weekly*")+SUMIFS('NSE - Other Index Options'!$L:$L,'NSE - Other Index Options'!$C:$C,$A14,'NSE - Other Index Options'!$B:$B,B$4,'NSE - Other Index Options'!$H:$H,"MDAW*"))</f>
        <v/>
      </c>
      <c r="C14" s="26" t="str">
        <f>IF(SUMIFS('NSE - NIFTY Index Options'!$L:$L,'NSE - NIFTY Index Options'!$C:$C,$A14,'NSE - NIFTY Index Options'!$B:$B,C$4,'NSE - NIFTY Index Options'!$H:$H,"Weekly*")+SUMIFS('NSE - NIFTY Index Options'!$L:$L,'NSE - NIFTY Index Options'!$C:$C,$A14,'NSE - NIFTY Index Options'!$B:$B,C$4,'NSE - NIFTY Index Options'!$H:$H,"MDAW*")+SUMIFS('NSE - Other Index Options'!$L:$L,'NSE - Other Index Options'!$C:$C,$A14,'NSE - Other Index Options'!$B:$B,C$4,'NSE - Other Index Options'!$H:$H,"Weekly*")+SUMIFS('NSE - Other Index Options'!$L:$L,'NSE - Other Index Options'!$C:$C,$A14,'NSE - Other Index Options'!$B:$B,C$4,'NSE - Other Index Options'!$H:$H,"MDAW*")=0,"",SUMIFS('NSE - NIFTY Index Options'!$L:$L,'NSE - NIFTY Index Options'!$C:$C,$A14,'NSE - NIFTY Index Options'!$B:$B,C$4,'NSE - NIFTY Index Options'!$H:$H,"Weekly*")+SUMIFS('NSE - NIFTY Index Options'!$L:$L,'NSE - NIFTY Index Options'!$C:$C,$A14,'NSE - NIFTY Index Options'!$B:$B,C$4,'NSE - NIFTY Index Options'!$H:$H,"MDAW*")+SUMIFS('NSE - Other Index Options'!$L:$L,'NSE - Other Index Options'!$C:$C,$A14,'NSE - Other Index Options'!$B:$B,C$4,'NSE - Other Index Options'!$H:$H,"Weekly*")+SUMIFS('NSE - Other Index Options'!$L:$L,'NSE - Other Index Options'!$C:$C,$A14,'NSE - Other Index Options'!$B:$B,C$4,'NSE - Other Index Options'!$H:$H,"MDAW*"))</f>
        <v/>
      </c>
      <c r="D14" s="26">
        <f>IF(SUMIFS('NSE - NIFTY Index Options'!$L:$L,'NSE - NIFTY Index Options'!$C:$C,$A14,'NSE - NIFTY Index Options'!$B:$B,D$4,'NSE - NIFTY Index Options'!$H:$H,"Weekly*")+SUMIFS('NSE - NIFTY Index Options'!$L:$L,'NSE - NIFTY Index Options'!$C:$C,$A14,'NSE - NIFTY Index Options'!$B:$B,D$4,'NSE - NIFTY Index Options'!$H:$H,"MDAW*")+SUMIFS('NSE - Other Index Options'!$L:$L,'NSE - Other Index Options'!$C:$C,$A14,'NSE - Other Index Options'!$B:$B,D$4,'NSE - Other Index Options'!$H:$H,"Weekly*")+SUMIFS('NSE - Other Index Options'!$L:$L,'NSE - Other Index Options'!$C:$C,$A14,'NSE - Other Index Options'!$B:$B,D$4,'NSE - Other Index Options'!$H:$H,"MDAW*")=0,"",SUMIFS('NSE - NIFTY Index Options'!$L:$L,'NSE - NIFTY Index Options'!$C:$C,$A14,'NSE - NIFTY Index Options'!$B:$B,D$4,'NSE - NIFTY Index Options'!$H:$H,"Weekly*")+SUMIFS('NSE - NIFTY Index Options'!$L:$L,'NSE - NIFTY Index Options'!$C:$C,$A14,'NSE - NIFTY Index Options'!$B:$B,D$4,'NSE - NIFTY Index Options'!$H:$H,"MDAW*")+SUMIFS('NSE - Other Index Options'!$L:$L,'NSE - Other Index Options'!$C:$C,$A14,'NSE - Other Index Options'!$B:$B,D$4,'NSE - Other Index Options'!$H:$H,"Weekly*")+SUMIFS('NSE - Other Index Options'!$L:$L,'NSE - Other Index Options'!$C:$C,$A14,'NSE - Other Index Options'!$B:$B,D$4,'NSE - Other Index Options'!$H:$H,"MDAW*"))</f>
        <v>33542.71</v>
      </c>
      <c r="E14" s="26">
        <f>IF(SUMIFS('NSE - NIFTY Index Options'!$L:$L,'NSE - NIFTY Index Options'!$C:$C,$A14,'NSE - NIFTY Index Options'!$B:$B,E$4,'NSE - NIFTY Index Options'!$H:$H,"Weekly*")+SUMIFS('NSE - NIFTY Index Options'!$L:$L,'NSE - NIFTY Index Options'!$C:$C,$A14,'NSE - NIFTY Index Options'!$B:$B,E$4,'NSE - NIFTY Index Options'!$H:$H,"MDAW*")+SUMIFS('NSE - Other Index Options'!$L:$L,'NSE - Other Index Options'!$C:$C,$A14,'NSE - Other Index Options'!$B:$B,E$4,'NSE - Other Index Options'!$H:$H,"Weekly*")+SUMIFS('NSE - Other Index Options'!$L:$L,'NSE - Other Index Options'!$C:$C,$A14,'NSE - Other Index Options'!$B:$B,E$4,'NSE - Other Index Options'!$H:$H,"MDAW*")=0,"",SUMIFS('NSE - NIFTY Index Options'!$L:$L,'NSE - NIFTY Index Options'!$C:$C,$A14,'NSE - NIFTY Index Options'!$B:$B,E$4,'NSE - NIFTY Index Options'!$H:$H,"Weekly*")+SUMIFS('NSE - NIFTY Index Options'!$L:$L,'NSE - NIFTY Index Options'!$C:$C,$A14,'NSE - NIFTY Index Options'!$B:$B,E$4,'NSE - NIFTY Index Options'!$H:$H,"MDAW*")+SUMIFS('NSE - Other Index Options'!$L:$L,'NSE - Other Index Options'!$C:$C,$A14,'NSE - Other Index Options'!$B:$B,E$4,'NSE - Other Index Options'!$H:$H,"Weekly*")+SUMIFS('NSE - Other Index Options'!$L:$L,'NSE - Other Index Options'!$C:$C,$A14,'NSE - Other Index Options'!$B:$B,E$4,'NSE - Other Index Options'!$H:$H,"MDAW*"))</f>
        <v>30016.100000000002</v>
      </c>
      <c r="F14" s="26">
        <f>IF(SUMIFS('NSE - NIFTY Index Options'!$L:$L,'NSE - NIFTY Index Options'!$C:$C,$A14,'NSE - NIFTY Index Options'!$B:$B,F$4,'NSE - NIFTY Index Options'!$H:$H,"Weekly*")+SUMIFS('NSE - NIFTY Index Options'!$L:$L,'NSE - NIFTY Index Options'!$C:$C,$A14,'NSE - NIFTY Index Options'!$B:$B,F$4,'NSE - NIFTY Index Options'!$H:$H,"MDAW*")+SUMIFS('NSE - Other Index Options'!$L:$L,'NSE - Other Index Options'!$C:$C,$A14,'NSE - Other Index Options'!$B:$B,F$4,'NSE - Other Index Options'!$H:$H,"Weekly*")+SUMIFS('NSE - Other Index Options'!$L:$L,'NSE - Other Index Options'!$C:$C,$A14,'NSE - Other Index Options'!$B:$B,F$4,'NSE - Other Index Options'!$H:$H,"MDAW*")=0,"",SUMIFS('NSE - NIFTY Index Options'!$L:$L,'NSE - NIFTY Index Options'!$C:$C,$A14,'NSE - NIFTY Index Options'!$B:$B,F$4,'NSE - NIFTY Index Options'!$H:$H,"Weekly*")+SUMIFS('NSE - NIFTY Index Options'!$L:$L,'NSE - NIFTY Index Options'!$C:$C,$A14,'NSE - NIFTY Index Options'!$B:$B,F$4,'NSE - NIFTY Index Options'!$H:$H,"MDAW*")+SUMIFS('NSE - Other Index Options'!$L:$L,'NSE - Other Index Options'!$C:$C,$A14,'NSE - Other Index Options'!$B:$B,F$4,'NSE - Other Index Options'!$H:$H,"Weekly*")+SUMIFS('NSE - Other Index Options'!$L:$L,'NSE - Other Index Options'!$C:$C,$A14,'NSE - Other Index Options'!$B:$B,F$4,'NSE - Other Index Options'!$H:$H,"MDAW*"))</f>
        <v>46803.48</v>
      </c>
      <c r="G14" s="26" t="str">
        <f>IF(SUMIFS('NSE - NIFTY Index Options'!$L:$L,'NSE - NIFTY Index Options'!$C:$C,$A14,'NSE - NIFTY Index Options'!$B:$B,G$4,'NSE - NIFTY Index Options'!$H:$H,"Weekly*")+SUMIFS('NSE - NIFTY Index Options'!$L:$L,'NSE - NIFTY Index Options'!$C:$C,$A14,'NSE - NIFTY Index Options'!$B:$B,G$4,'NSE - NIFTY Index Options'!$H:$H,"MDAW*")+SUMIFS('NSE - Other Index Options'!$L:$L,'NSE - Other Index Options'!$C:$C,$A14,'NSE - Other Index Options'!$B:$B,G$4,'NSE - Other Index Options'!$H:$H,"Weekly*")+SUMIFS('NSE - Other Index Options'!$L:$L,'NSE - Other Index Options'!$C:$C,$A14,'NSE - Other Index Options'!$B:$B,G$4,'NSE - Other Index Options'!$H:$H,"MDAW*")=0,"",SUMIFS('NSE - NIFTY Index Options'!$L:$L,'NSE - NIFTY Index Options'!$C:$C,$A14,'NSE - NIFTY Index Options'!$B:$B,G$4,'NSE - NIFTY Index Options'!$H:$H,"Weekly*")+SUMIFS('NSE - NIFTY Index Options'!$L:$L,'NSE - NIFTY Index Options'!$C:$C,$A14,'NSE - NIFTY Index Options'!$B:$B,G$4,'NSE - NIFTY Index Options'!$H:$H,"MDAW*")+SUMIFS('NSE - Other Index Options'!$L:$L,'NSE - Other Index Options'!$C:$C,$A14,'NSE - Other Index Options'!$B:$B,G$4,'NSE - Other Index Options'!$H:$H,"Weekly*")+SUMIFS('NSE - Other Index Options'!$L:$L,'NSE - Other Index Options'!$C:$C,$A14,'NSE - Other Index Options'!$B:$B,G$4,'NSE - Other Index Options'!$H:$H,"MDAW*"))</f>
        <v/>
      </c>
      <c r="H14" s="26">
        <f t="shared" si="0"/>
        <v>110362.29000000001</v>
      </c>
    </row>
    <row r="15" spans="1:8">
      <c r="A15" t="s">
        <v>20</v>
      </c>
      <c r="B15" s="26">
        <f>IF(SUMIFS('NSE - NIFTY Index Options'!$L:$L,'NSE - NIFTY Index Options'!$C:$C,$A15,'NSE - NIFTY Index Options'!$B:$B,B$4,'NSE - NIFTY Index Options'!$H:$H,"Weekly*")+SUMIFS('NSE - NIFTY Index Options'!$L:$L,'NSE - NIFTY Index Options'!$C:$C,$A15,'NSE - NIFTY Index Options'!$B:$B,B$4,'NSE - NIFTY Index Options'!$H:$H,"MDAW*")+SUMIFS('NSE - Other Index Options'!$L:$L,'NSE - Other Index Options'!$C:$C,$A15,'NSE - Other Index Options'!$B:$B,B$4,'NSE - Other Index Options'!$H:$H,"Weekly*")+SUMIFS('NSE - Other Index Options'!$L:$L,'NSE - Other Index Options'!$C:$C,$A15,'NSE - Other Index Options'!$B:$B,B$4,'NSE - Other Index Options'!$H:$H,"MDAW*")=0,"",SUMIFS('NSE - NIFTY Index Options'!$L:$L,'NSE - NIFTY Index Options'!$C:$C,$A15,'NSE - NIFTY Index Options'!$B:$B,B$4,'NSE - NIFTY Index Options'!$H:$H,"Weekly*")+SUMIFS('NSE - NIFTY Index Options'!$L:$L,'NSE - NIFTY Index Options'!$C:$C,$A15,'NSE - NIFTY Index Options'!$B:$B,B$4,'NSE - NIFTY Index Options'!$H:$H,"MDAW*")+SUMIFS('NSE - Other Index Options'!$L:$L,'NSE - Other Index Options'!$C:$C,$A15,'NSE - Other Index Options'!$B:$B,B$4,'NSE - Other Index Options'!$H:$H,"Weekly*")+SUMIFS('NSE - Other Index Options'!$L:$L,'NSE - Other Index Options'!$C:$C,$A15,'NSE - Other Index Options'!$B:$B,B$4,'NSE - Other Index Options'!$H:$H,"MDAW*"))</f>
        <v>45767.119999999995</v>
      </c>
      <c r="C15" s="26">
        <f>IF(SUMIFS('NSE - NIFTY Index Options'!$L:$L,'NSE - NIFTY Index Options'!$C:$C,$A15,'NSE - NIFTY Index Options'!$B:$B,C$4,'NSE - NIFTY Index Options'!$H:$H,"Weekly*")+SUMIFS('NSE - NIFTY Index Options'!$L:$L,'NSE - NIFTY Index Options'!$C:$C,$A15,'NSE - NIFTY Index Options'!$B:$B,C$4,'NSE - NIFTY Index Options'!$H:$H,"MDAW*")+SUMIFS('NSE - Other Index Options'!$L:$L,'NSE - Other Index Options'!$C:$C,$A15,'NSE - Other Index Options'!$B:$B,C$4,'NSE - Other Index Options'!$H:$H,"Weekly*")+SUMIFS('NSE - Other Index Options'!$L:$L,'NSE - Other Index Options'!$C:$C,$A15,'NSE - Other Index Options'!$B:$B,C$4,'NSE - Other Index Options'!$H:$H,"MDAW*")=0,"",SUMIFS('NSE - NIFTY Index Options'!$L:$L,'NSE - NIFTY Index Options'!$C:$C,$A15,'NSE - NIFTY Index Options'!$B:$B,C$4,'NSE - NIFTY Index Options'!$H:$H,"Weekly*")+SUMIFS('NSE - NIFTY Index Options'!$L:$L,'NSE - NIFTY Index Options'!$C:$C,$A15,'NSE - NIFTY Index Options'!$B:$B,C$4,'NSE - NIFTY Index Options'!$H:$H,"MDAW*")+SUMIFS('NSE - Other Index Options'!$L:$L,'NSE - Other Index Options'!$C:$C,$A15,'NSE - Other Index Options'!$B:$B,C$4,'NSE - Other Index Options'!$H:$H,"Weekly*")+SUMIFS('NSE - Other Index Options'!$L:$L,'NSE - Other Index Options'!$C:$C,$A15,'NSE - Other Index Options'!$B:$B,C$4,'NSE - Other Index Options'!$H:$H,"MDAW*"))</f>
        <v>51032.659999999996</v>
      </c>
      <c r="D15" s="26" t="str">
        <f>IF(SUMIFS('NSE - NIFTY Index Options'!$L:$L,'NSE - NIFTY Index Options'!$C:$C,$A15,'NSE - NIFTY Index Options'!$B:$B,D$4,'NSE - NIFTY Index Options'!$H:$H,"Weekly*")+SUMIFS('NSE - NIFTY Index Options'!$L:$L,'NSE - NIFTY Index Options'!$C:$C,$A15,'NSE - NIFTY Index Options'!$B:$B,D$4,'NSE - NIFTY Index Options'!$H:$H,"MDAW*")+SUMIFS('NSE - Other Index Options'!$L:$L,'NSE - Other Index Options'!$C:$C,$A15,'NSE - Other Index Options'!$B:$B,D$4,'NSE - Other Index Options'!$H:$H,"Weekly*")+SUMIFS('NSE - Other Index Options'!$L:$L,'NSE - Other Index Options'!$C:$C,$A15,'NSE - Other Index Options'!$B:$B,D$4,'NSE - Other Index Options'!$H:$H,"MDAW*")=0,"",SUMIFS('NSE - NIFTY Index Options'!$L:$L,'NSE - NIFTY Index Options'!$C:$C,$A15,'NSE - NIFTY Index Options'!$B:$B,D$4,'NSE - NIFTY Index Options'!$H:$H,"Weekly*")+SUMIFS('NSE - NIFTY Index Options'!$L:$L,'NSE - NIFTY Index Options'!$C:$C,$A15,'NSE - NIFTY Index Options'!$B:$B,D$4,'NSE - NIFTY Index Options'!$H:$H,"MDAW*")+SUMIFS('NSE - Other Index Options'!$L:$L,'NSE - Other Index Options'!$C:$C,$A15,'NSE - Other Index Options'!$B:$B,D$4,'NSE - Other Index Options'!$H:$H,"Weekly*")+SUMIFS('NSE - Other Index Options'!$L:$L,'NSE - Other Index Options'!$C:$C,$A15,'NSE - Other Index Options'!$B:$B,D$4,'NSE - Other Index Options'!$H:$H,"MDAW*"))</f>
        <v/>
      </c>
      <c r="E15" s="26">
        <f>IF(SUMIFS('NSE - NIFTY Index Options'!$L:$L,'NSE - NIFTY Index Options'!$C:$C,$A15,'NSE - NIFTY Index Options'!$B:$B,E$4,'NSE - NIFTY Index Options'!$H:$H,"Weekly*")+SUMIFS('NSE - NIFTY Index Options'!$L:$L,'NSE - NIFTY Index Options'!$C:$C,$A15,'NSE - NIFTY Index Options'!$B:$B,E$4,'NSE - NIFTY Index Options'!$H:$H,"MDAW*")+SUMIFS('NSE - Other Index Options'!$L:$L,'NSE - Other Index Options'!$C:$C,$A15,'NSE - Other Index Options'!$B:$B,E$4,'NSE - Other Index Options'!$H:$H,"Weekly*")+SUMIFS('NSE - Other Index Options'!$L:$L,'NSE - Other Index Options'!$C:$C,$A15,'NSE - Other Index Options'!$B:$B,E$4,'NSE - Other Index Options'!$H:$H,"MDAW*")=0,"",SUMIFS('NSE - NIFTY Index Options'!$L:$L,'NSE - NIFTY Index Options'!$C:$C,$A15,'NSE - NIFTY Index Options'!$B:$B,E$4,'NSE - NIFTY Index Options'!$H:$H,"Weekly*")+SUMIFS('NSE - NIFTY Index Options'!$L:$L,'NSE - NIFTY Index Options'!$C:$C,$A15,'NSE - NIFTY Index Options'!$B:$B,E$4,'NSE - NIFTY Index Options'!$H:$H,"MDAW*")+SUMIFS('NSE - Other Index Options'!$L:$L,'NSE - Other Index Options'!$C:$C,$A15,'NSE - Other Index Options'!$B:$B,E$4,'NSE - Other Index Options'!$H:$H,"Weekly*")+SUMIFS('NSE - Other Index Options'!$L:$L,'NSE - Other Index Options'!$C:$C,$A15,'NSE - Other Index Options'!$B:$B,E$4,'NSE - Other Index Options'!$H:$H,"MDAW*"))</f>
        <v>27355</v>
      </c>
      <c r="F15" s="26">
        <f>IF(SUMIFS('NSE - NIFTY Index Options'!$L:$L,'NSE - NIFTY Index Options'!$C:$C,$A15,'NSE - NIFTY Index Options'!$B:$B,F$4,'NSE - NIFTY Index Options'!$H:$H,"Weekly*")+SUMIFS('NSE - NIFTY Index Options'!$L:$L,'NSE - NIFTY Index Options'!$C:$C,$A15,'NSE - NIFTY Index Options'!$B:$B,F$4,'NSE - NIFTY Index Options'!$H:$H,"MDAW*")+SUMIFS('NSE - Other Index Options'!$L:$L,'NSE - Other Index Options'!$C:$C,$A15,'NSE - Other Index Options'!$B:$B,F$4,'NSE - Other Index Options'!$H:$H,"Weekly*")+SUMIFS('NSE - Other Index Options'!$L:$L,'NSE - Other Index Options'!$C:$C,$A15,'NSE - Other Index Options'!$B:$B,F$4,'NSE - Other Index Options'!$H:$H,"MDAW*")=0,"",SUMIFS('NSE - NIFTY Index Options'!$L:$L,'NSE - NIFTY Index Options'!$C:$C,$A15,'NSE - NIFTY Index Options'!$B:$B,F$4,'NSE - NIFTY Index Options'!$H:$H,"Weekly*")+SUMIFS('NSE - NIFTY Index Options'!$L:$L,'NSE - NIFTY Index Options'!$C:$C,$A15,'NSE - NIFTY Index Options'!$B:$B,F$4,'NSE - NIFTY Index Options'!$H:$H,"MDAW*")+SUMIFS('NSE - Other Index Options'!$L:$L,'NSE - Other Index Options'!$C:$C,$A15,'NSE - Other Index Options'!$B:$B,F$4,'NSE - Other Index Options'!$H:$H,"Weekly*")+SUMIFS('NSE - Other Index Options'!$L:$L,'NSE - Other Index Options'!$C:$C,$A15,'NSE - Other Index Options'!$B:$B,F$4,'NSE - Other Index Options'!$H:$H,"MDAW*"))</f>
        <v>47030.409999999996</v>
      </c>
      <c r="G15" s="26" t="str">
        <f>IF(SUMIFS('NSE - NIFTY Index Options'!$L:$L,'NSE - NIFTY Index Options'!$C:$C,$A15,'NSE - NIFTY Index Options'!$B:$B,G$4,'NSE - NIFTY Index Options'!$H:$H,"Weekly*")+SUMIFS('NSE - NIFTY Index Options'!$L:$L,'NSE - NIFTY Index Options'!$C:$C,$A15,'NSE - NIFTY Index Options'!$B:$B,G$4,'NSE - NIFTY Index Options'!$H:$H,"MDAW*")+SUMIFS('NSE - Other Index Options'!$L:$L,'NSE - Other Index Options'!$C:$C,$A15,'NSE - Other Index Options'!$B:$B,G$4,'NSE - Other Index Options'!$H:$H,"Weekly*")+SUMIFS('NSE - Other Index Options'!$L:$L,'NSE - Other Index Options'!$C:$C,$A15,'NSE - Other Index Options'!$B:$B,G$4,'NSE - Other Index Options'!$H:$H,"MDAW*")=0,"",SUMIFS('NSE - NIFTY Index Options'!$L:$L,'NSE - NIFTY Index Options'!$C:$C,$A15,'NSE - NIFTY Index Options'!$B:$B,G$4,'NSE - NIFTY Index Options'!$H:$H,"Weekly*")+SUMIFS('NSE - NIFTY Index Options'!$L:$L,'NSE - NIFTY Index Options'!$C:$C,$A15,'NSE - NIFTY Index Options'!$B:$B,G$4,'NSE - NIFTY Index Options'!$H:$H,"MDAW*")+SUMIFS('NSE - Other Index Options'!$L:$L,'NSE - Other Index Options'!$C:$C,$A15,'NSE - Other Index Options'!$B:$B,G$4,'NSE - Other Index Options'!$H:$H,"Weekly*")+SUMIFS('NSE - Other Index Options'!$L:$L,'NSE - Other Index Options'!$C:$C,$A15,'NSE - Other Index Options'!$B:$B,G$4,'NSE - Other Index Options'!$H:$H,"MDAW*"))</f>
        <v/>
      </c>
      <c r="H15" s="26">
        <f t="shared" si="0"/>
        <v>171185.19</v>
      </c>
    </row>
    <row r="16" spans="1:8">
      <c r="A16" t="s">
        <v>21</v>
      </c>
      <c r="B16" s="26">
        <f>IF(SUMIFS('NSE - NIFTY Index Options'!$L:$L,'NSE - NIFTY Index Options'!$C:$C,$A16,'NSE - NIFTY Index Options'!$B:$B,B$4,'NSE - NIFTY Index Options'!$H:$H,"Weekly*")+SUMIFS('NSE - NIFTY Index Options'!$L:$L,'NSE - NIFTY Index Options'!$C:$C,$A16,'NSE - NIFTY Index Options'!$B:$B,B$4,'NSE - NIFTY Index Options'!$H:$H,"MDAW*")+SUMIFS('NSE - Other Index Options'!$L:$L,'NSE - Other Index Options'!$C:$C,$A16,'NSE - Other Index Options'!$B:$B,B$4,'NSE - Other Index Options'!$H:$H,"Weekly*")+SUMIFS('NSE - Other Index Options'!$L:$L,'NSE - Other Index Options'!$C:$C,$A16,'NSE - Other Index Options'!$B:$B,B$4,'NSE - Other Index Options'!$H:$H,"MDAW*")=0,"",SUMIFS('NSE - NIFTY Index Options'!$L:$L,'NSE - NIFTY Index Options'!$C:$C,$A16,'NSE - NIFTY Index Options'!$B:$B,B$4,'NSE - NIFTY Index Options'!$H:$H,"Weekly*")+SUMIFS('NSE - NIFTY Index Options'!$L:$L,'NSE - NIFTY Index Options'!$C:$C,$A16,'NSE - NIFTY Index Options'!$B:$B,B$4,'NSE - NIFTY Index Options'!$H:$H,"MDAW*")+SUMIFS('NSE - Other Index Options'!$L:$L,'NSE - Other Index Options'!$C:$C,$A16,'NSE - Other Index Options'!$B:$B,B$4,'NSE - Other Index Options'!$H:$H,"Weekly*")+SUMIFS('NSE - Other Index Options'!$L:$L,'NSE - Other Index Options'!$C:$C,$A16,'NSE - Other Index Options'!$B:$B,B$4,'NSE - Other Index Options'!$H:$H,"MDAW*"))</f>
        <v>39933.130000000005</v>
      </c>
      <c r="C16" s="26">
        <f>IF(SUMIFS('NSE - NIFTY Index Options'!$L:$L,'NSE - NIFTY Index Options'!$C:$C,$A16,'NSE - NIFTY Index Options'!$B:$B,C$4,'NSE - NIFTY Index Options'!$H:$H,"Weekly*")+SUMIFS('NSE - NIFTY Index Options'!$L:$L,'NSE - NIFTY Index Options'!$C:$C,$A16,'NSE - NIFTY Index Options'!$B:$B,C$4,'NSE - NIFTY Index Options'!$H:$H,"MDAW*")+SUMIFS('NSE - Other Index Options'!$L:$L,'NSE - Other Index Options'!$C:$C,$A16,'NSE - Other Index Options'!$B:$B,C$4,'NSE - Other Index Options'!$H:$H,"Weekly*")+SUMIFS('NSE - Other Index Options'!$L:$L,'NSE - Other Index Options'!$C:$C,$A16,'NSE - Other Index Options'!$B:$B,C$4,'NSE - Other Index Options'!$H:$H,"MDAW*")=0,"",SUMIFS('NSE - NIFTY Index Options'!$L:$L,'NSE - NIFTY Index Options'!$C:$C,$A16,'NSE - NIFTY Index Options'!$B:$B,C$4,'NSE - NIFTY Index Options'!$H:$H,"Weekly*")+SUMIFS('NSE - NIFTY Index Options'!$L:$L,'NSE - NIFTY Index Options'!$C:$C,$A16,'NSE - NIFTY Index Options'!$B:$B,C$4,'NSE - NIFTY Index Options'!$H:$H,"MDAW*")+SUMIFS('NSE - Other Index Options'!$L:$L,'NSE - Other Index Options'!$C:$C,$A16,'NSE - Other Index Options'!$B:$B,C$4,'NSE - Other Index Options'!$H:$H,"Weekly*")+SUMIFS('NSE - Other Index Options'!$L:$L,'NSE - Other Index Options'!$C:$C,$A16,'NSE - Other Index Options'!$B:$B,C$4,'NSE - Other Index Options'!$H:$H,"MDAW*"))</f>
        <v>63401.65</v>
      </c>
      <c r="D16" s="26">
        <f>IF(SUMIFS('NSE - NIFTY Index Options'!$L:$L,'NSE - NIFTY Index Options'!$C:$C,$A16,'NSE - NIFTY Index Options'!$B:$B,D$4,'NSE - NIFTY Index Options'!$H:$H,"Weekly*")+SUMIFS('NSE - NIFTY Index Options'!$L:$L,'NSE - NIFTY Index Options'!$C:$C,$A16,'NSE - NIFTY Index Options'!$B:$B,D$4,'NSE - NIFTY Index Options'!$H:$H,"MDAW*")+SUMIFS('NSE - Other Index Options'!$L:$L,'NSE - Other Index Options'!$C:$C,$A16,'NSE - Other Index Options'!$B:$B,D$4,'NSE - Other Index Options'!$H:$H,"Weekly*")+SUMIFS('NSE - Other Index Options'!$L:$L,'NSE - Other Index Options'!$C:$C,$A16,'NSE - Other Index Options'!$B:$B,D$4,'NSE - Other Index Options'!$H:$H,"MDAW*")=0,"",SUMIFS('NSE - NIFTY Index Options'!$L:$L,'NSE - NIFTY Index Options'!$C:$C,$A16,'NSE - NIFTY Index Options'!$B:$B,D$4,'NSE - NIFTY Index Options'!$H:$H,"Weekly*")+SUMIFS('NSE - NIFTY Index Options'!$L:$L,'NSE - NIFTY Index Options'!$C:$C,$A16,'NSE - NIFTY Index Options'!$B:$B,D$4,'NSE - NIFTY Index Options'!$H:$H,"MDAW*")+SUMIFS('NSE - Other Index Options'!$L:$L,'NSE - Other Index Options'!$C:$C,$A16,'NSE - Other Index Options'!$B:$B,D$4,'NSE - Other Index Options'!$H:$H,"Weekly*")+SUMIFS('NSE - Other Index Options'!$L:$L,'NSE - Other Index Options'!$C:$C,$A16,'NSE - Other Index Options'!$B:$B,D$4,'NSE - Other Index Options'!$H:$H,"MDAW*"))</f>
        <v>25200.240000000002</v>
      </c>
      <c r="E16" s="26">
        <f>IF(SUMIFS('NSE - NIFTY Index Options'!$L:$L,'NSE - NIFTY Index Options'!$C:$C,$A16,'NSE - NIFTY Index Options'!$B:$B,E$4,'NSE - NIFTY Index Options'!$H:$H,"Weekly*")+SUMIFS('NSE - NIFTY Index Options'!$L:$L,'NSE - NIFTY Index Options'!$C:$C,$A16,'NSE - NIFTY Index Options'!$B:$B,E$4,'NSE - NIFTY Index Options'!$H:$H,"MDAW*")+SUMIFS('NSE - Other Index Options'!$L:$L,'NSE - Other Index Options'!$C:$C,$A16,'NSE - Other Index Options'!$B:$B,E$4,'NSE - Other Index Options'!$H:$H,"Weekly*")+SUMIFS('NSE - Other Index Options'!$L:$L,'NSE - Other Index Options'!$C:$C,$A16,'NSE - Other Index Options'!$B:$B,E$4,'NSE - Other Index Options'!$H:$H,"MDAW*")=0,"",SUMIFS('NSE - NIFTY Index Options'!$L:$L,'NSE - NIFTY Index Options'!$C:$C,$A16,'NSE - NIFTY Index Options'!$B:$B,E$4,'NSE - NIFTY Index Options'!$H:$H,"Weekly*")+SUMIFS('NSE - NIFTY Index Options'!$L:$L,'NSE - NIFTY Index Options'!$C:$C,$A16,'NSE - NIFTY Index Options'!$B:$B,E$4,'NSE - NIFTY Index Options'!$H:$H,"MDAW*")+SUMIFS('NSE - Other Index Options'!$L:$L,'NSE - Other Index Options'!$C:$C,$A16,'NSE - Other Index Options'!$B:$B,E$4,'NSE - Other Index Options'!$H:$H,"Weekly*")+SUMIFS('NSE - Other Index Options'!$L:$L,'NSE - Other Index Options'!$C:$C,$A16,'NSE - Other Index Options'!$B:$B,E$4,'NSE - Other Index Options'!$H:$H,"MDAW*"))</f>
        <v>28075.079999999998</v>
      </c>
      <c r="F16" s="26">
        <f>IF(SUMIFS('NSE - NIFTY Index Options'!$L:$L,'NSE - NIFTY Index Options'!$C:$C,$A16,'NSE - NIFTY Index Options'!$B:$B,F$4,'NSE - NIFTY Index Options'!$H:$H,"Weekly*")+SUMIFS('NSE - NIFTY Index Options'!$L:$L,'NSE - NIFTY Index Options'!$C:$C,$A16,'NSE - NIFTY Index Options'!$B:$B,F$4,'NSE - NIFTY Index Options'!$H:$H,"MDAW*")+SUMIFS('NSE - Other Index Options'!$L:$L,'NSE - Other Index Options'!$C:$C,$A16,'NSE - Other Index Options'!$B:$B,F$4,'NSE - Other Index Options'!$H:$H,"Weekly*")+SUMIFS('NSE - Other Index Options'!$L:$L,'NSE - Other Index Options'!$C:$C,$A16,'NSE - Other Index Options'!$B:$B,F$4,'NSE - Other Index Options'!$H:$H,"MDAW*")=0,"",SUMIFS('NSE - NIFTY Index Options'!$L:$L,'NSE - NIFTY Index Options'!$C:$C,$A16,'NSE - NIFTY Index Options'!$B:$B,F$4,'NSE - NIFTY Index Options'!$H:$H,"Weekly*")+SUMIFS('NSE - NIFTY Index Options'!$L:$L,'NSE - NIFTY Index Options'!$C:$C,$A16,'NSE - NIFTY Index Options'!$B:$B,F$4,'NSE - NIFTY Index Options'!$H:$H,"MDAW*")+SUMIFS('NSE - Other Index Options'!$L:$L,'NSE - Other Index Options'!$C:$C,$A16,'NSE - Other Index Options'!$B:$B,F$4,'NSE - Other Index Options'!$H:$H,"Weekly*")+SUMIFS('NSE - Other Index Options'!$L:$L,'NSE - Other Index Options'!$C:$C,$A16,'NSE - Other Index Options'!$B:$B,F$4,'NSE - Other Index Options'!$H:$H,"MDAW*"))</f>
        <v>55659.49</v>
      </c>
      <c r="G16" s="26" t="str">
        <f>IF(SUMIFS('NSE - NIFTY Index Options'!$L:$L,'NSE - NIFTY Index Options'!$C:$C,$A16,'NSE - NIFTY Index Options'!$B:$B,G$4,'NSE - NIFTY Index Options'!$H:$H,"Weekly*")+SUMIFS('NSE - NIFTY Index Options'!$L:$L,'NSE - NIFTY Index Options'!$C:$C,$A16,'NSE - NIFTY Index Options'!$B:$B,G$4,'NSE - NIFTY Index Options'!$H:$H,"MDAW*")+SUMIFS('NSE - Other Index Options'!$L:$L,'NSE - Other Index Options'!$C:$C,$A16,'NSE - Other Index Options'!$B:$B,G$4,'NSE - Other Index Options'!$H:$H,"Weekly*")+SUMIFS('NSE - Other Index Options'!$L:$L,'NSE - Other Index Options'!$C:$C,$A16,'NSE - Other Index Options'!$B:$B,G$4,'NSE - Other Index Options'!$H:$H,"MDAW*")=0,"",SUMIFS('NSE - NIFTY Index Options'!$L:$L,'NSE - NIFTY Index Options'!$C:$C,$A16,'NSE - NIFTY Index Options'!$B:$B,G$4,'NSE - NIFTY Index Options'!$H:$H,"Weekly*")+SUMIFS('NSE - NIFTY Index Options'!$L:$L,'NSE - NIFTY Index Options'!$C:$C,$A16,'NSE - NIFTY Index Options'!$B:$B,G$4,'NSE - NIFTY Index Options'!$H:$H,"MDAW*")+SUMIFS('NSE - Other Index Options'!$L:$L,'NSE - Other Index Options'!$C:$C,$A16,'NSE - Other Index Options'!$B:$B,G$4,'NSE - Other Index Options'!$H:$H,"Weekly*")+SUMIFS('NSE - Other Index Options'!$L:$L,'NSE - Other Index Options'!$C:$C,$A16,'NSE - Other Index Options'!$B:$B,G$4,'NSE - Other Index Options'!$H:$H,"MDAW*"))</f>
        <v/>
      </c>
      <c r="H16" s="26">
        <f t="shared" si="0"/>
        <v>212269.59</v>
      </c>
    </row>
    <row r="17" spans="1:8">
      <c r="A17" t="s">
        <v>22</v>
      </c>
      <c r="B17" s="26">
        <f>IF(SUMIFS('NSE - NIFTY Index Options'!$L:$L,'NSE - NIFTY Index Options'!$C:$C,$A17,'NSE - NIFTY Index Options'!$B:$B,B$4,'NSE - NIFTY Index Options'!$H:$H,"Weekly*")+SUMIFS('NSE - NIFTY Index Options'!$L:$L,'NSE - NIFTY Index Options'!$C:$C,$A17,'NSE - NIFTY Index Options'!$B:$B,B$4,'NSE - NIFTY Index Options'!$H:$H,"MDAW*")+SUMIFS('NSE - Other Index Options'!$L:$L,'NSE - Other Index Options'!$C:$C,$A17,'NSE - Other Index Options'!$B:$B,B$4,'NSE - Other Index Options'!$H:$H,"Weekly*")+SUMIFS('NSE - Other Index Options'!$L:$L,'NSE - Other Index Options'!$C:$C,$A17,'NSE - Other Index Options'!$B:$B,B$4,'NSE - Other Index Options'!$H:$H,"MDAW*")=0,"",SUMIFS('NSE - NIFTY Index Options'!$L:$L,'NSE - NIFTY Index Options'!$C:$C,$A17,'NSE - NIFTY Index Options'!$B:$B,B$4,'NSE - NIFTY Index Options'!$H:$H,"Weekly*")+SUMIFS('NSE - NIFTY Index Options'!$L:$L,'NSE - NIFTY Index Options'!$C:$C,$A17,'NSE - NIFTY Index Options'!$B:$B,B$4,'NSE - NIFTY Index Options'!$H:$H,"MDAW*")+SUMIFS('NSE - Other Index Options'!$L:$L,'NSE - Other Index Options'!$C:$C,$A17,'NSE - Other Index Options'!$B:$B,B$4,'NSE - Other Index Options'!$H:$H,"Weekly*")+SUMIFS('NSE - Other Index Options'!$L:$L,'NSE - Other Index Options'!$C:$C,$A17,'NSE - Other Index Options'!$B:$B,B$4,'NSE - Other Index Options'!$H:$H,"MDAW*"))</f>
        <v>37788.25</v>
      </c>
      <c r="C17" s="26">
        <f>IF(SUMIFS('NSE - NIFTY Index Options'!$L:$L,'NSE - NIFTY Index Options'!$C:$C,$A17,'NSE - NIFTY Index Options'!$B:$B,C$4,'NSE - NIFTY Index Options'!$H:$H,"Weekly*")+SUMIFS('NSE - NIFTY Index Options'!$L:$L,'NSE - NIFTY Index Options'!$C:$C,$A17,'NSE - NIFTY Index Options'!$B:$B,C$4,'NSE - NIFTY Index Options'!$H:$H,"MDAW*")+SUMIFS('NSE - Other Index Options'!$L:$L,'NSE - Other Index Options'!$C:$C,$A17,'NSE - Other Index Options'!$B:$B,C$4,'NSE - Other Index Options'!$H:$H,"Weekly*")+SUMIFS('NSE - Other Index Options'!$L:$L,'NSE - Other Index Options'!$C:$C,$A17,'NSE - Other Index Options'!$B:$B,C$4,'NSE - Other Index Options'!$H:$H,"MDAW*")=0,"",SUMIFS('NSE - NIFTY Index Options'!$L:$L,'NSE - NIFTY Index Options'!$C:$C,$A17,'NSE - NIFTY Index Options'!$B:$B,C$4,'NSE - NIFTY Index Options'!$H:$H,"Weekly*")+SUMIFS('NSE - NIFTY Index Options'!$L:$L,'NSE - NIFTY Index Options'!$C:$C,$A17,'NSE - NIFTY Index Options'!$B:$B,C$4,'NSE - NIFTY Index Options'!$H:$H,"MDAW*")+SUMIFS('NSE - Other Index Options'!$L:$L,'NSE - Other Index Options'!$C:$C,$A17,'NSE - Other Index Options'!$B:$B,C$4,'NSE - Other Index Options'!$H:$H,"Weekly*")+SUMIFS('NSE - Other Index Options'!$L:$L,'NSE - Other Index Options'!$C:$C,$A17,'NSE - Other Index Options'!$B:$B,C$4,'NSE - Other Index Options'!$H:$H,"MDAW*"))</f>
        <v>49481.85</v>
      </c>
      <c r="D17" s="26">
        <f>IF(SUMIFS('NSE - NIFTY Index Options'!$L:$L,'NSE - NIFTY Index Options'!$C:$C,$A17,'NSE - NIFTY Index Options'!$B:$B,D$4,'NSE - NIFTY Index Options'!$H:$H,"Weekly*")+SUMIFS('NSE - NIFTY Index Options'!$L:$L,'NSE - NIFTY Index Options'!$C:$C,$A17,'NSE - NIFTY Index Options'!$B:$B,D$4,'NSE - NIFTY Index Options'!$H:$H,"MDAW*")+SUMIFS('NSE - Other Index Options'!$L:$L,'NSE - Other Index Options'!$C:$C,$A17,'NSE - Other Index Options'!$B:$B,D$4,'NSE - Other Index Options'!$H:$H,"Weekly*")+SUMIFS('NSE - Other Index Options'!$L:$L,'NSE - Other Index Options'!$C:$C,$A17,'NSE - Other Index Options'!$B:$B,D$4,'NSE - Other Index Options'!$H:$H,"MDAW*")=0,"",SUMIFS('NSE - NIFTY Index Options'!$L:$L,'NSE - NIFTY Index Options'!$C:$C,$A17,'NSE - NIFTY Index Options'!$B:$B,D$4,'NSE - NIFTY Index Options'!$H:$H,"Weekly*")+SUMIFS('NSE - NIFTY Index Options'!$L:$L,'NSE - NIFTY Index Options'!$C:$C,$A17,'NSE - NIFTY Index Options'!$B:$B,D$4,'NSE - NIFTY Index Options'!$H:$H,"MDAW*")+SUMIFS('NSE - Other Index Options'!$L:$L,'NSE - Other Index Options'!$C:$C,$A17,'NSE - Other Index Options'!$B:$B,D$4,'NSE - Other Index Options'!$H:$H,"Weekly*")+SUMIFS('NSE - Other Index Options'!$L:$L,'NSE - Other Index Options'!$C:$C,$A17,'NSE - Other Index Options'!$B:$B,D$4,'NSE - Other Index Options'!$H:$H,"MDAW*"))</f>
        <v>30674.93</v>
      </c>
      <c r="E17" s="26">
        <f>IF(SUMIFS('NSE - NIFTY Index Options'!$L:$L,'NSE - NIFTY Index Options'!$C:$C,$A17,'NSE - NIFTY Index Options'!$B:$B,E$4,'NSE - NIFTY Index Options'!$H:$H,"Weekly*")+SUMIFS('NSE - NIFTY Index Options'!$L:$L,'NSE - NIFTY Index Options'!$C:$C,$A17,'NSE - NIFTY Index Options'!$B:$B,E$4,'NSE - NIFTY Index Options'!$H:$H,"MDAW*")+SUMIFS('NSE - Other Index Options'!$L:$L,'NSE - Other Index Options'!$C:$C,$A17,'NSE - Other Index Options'!$B:$B,E$4,'NSE - Other Index Options'!$H:$H,"Weekly*")+SUMIFS('NSE - Other Index Options'!$L:$L,'NSE - Other Index Options'!$C:$C,$A17,'NSE - Other Index Options'!$B:$B,E$4,'NSE - Other Index Options'!$H:$H,"MDAW*")=0,"",SUMIFS('NSE - NIFTY Index Options'!$L:$L,'NSE - NIFTY Index Options'!$C:$C,$A17,'NSE - NIFTY Index Options'!$B:$B,E$4,'NSE - NIFTY Index Options'!$H:$H,"Weekly*")+SUMIFS('NSE - NIFTY Index Options'!$L:$L,'NSE - NIFTY Index Options'!$C:$C,$A17,'NSE - NIFTY Index Options'!$B:$B,E$4,'NSE - NIFTY Index Options'!$H:$H,"MDAW*")+SUMIFS('NSE - Other Index Options'!$L:$L,'NSE - Other Index Options'!$C:$C,$A17,'NSE - Other Index Options'!$B:$B,E$4,'NSE - Other Index Options'!$H:$H,"Weekly*")+SUMIFS('NSE - Other Index Options'!$L:$L,'NSE - Other Index Options'!$C:$C,$A17,'NSE - Other Index Options'!$B:$B,E$4,'NSE - Other Index Options'!$H:$H,"MDAW*"))</f>
        <v>25417.62</v>
      </c>
      <c r="F17" s="26">
        <f>IF(SUMIFS('NSE - NIFTY Index Options'!$L:$L,'NSE - NIFTY Index Options'!$C:$C,$A17,'NSE - NIFTY Index Options'!$B:$B,F$4,'NSE - NIFTY Index Options'!$H:$H,"Weekly*")+SUMIFS('NSE - NIFTY Index Options'!$L:$L,'NSE - NIFTY Index Options'!$C:$C,$A17,'NSE - NIFTY Index Options'!$B:$B,F$4,'NSE - NIFTY Index Options'!$H:$H,"MDAW*")+SUMIFS('NSE - Other Index Options'!$L:$L,'NSE - Other Index Options'!$C:$C,$A17,'NSE - Other Index Options'!$B:$B,F$4,'NSE - Other Index Options'!$H:$H,"Weekly*")+SUMIFS('NSE - Other Index Options'!$L:$L,'NSE - Other Index Options'!$C:$C,$A17,'NSE - Other Index Options'!$B:$B,F$4,'NSE - Other Index Options'!$H:$H,"MDAW*")=0,"",SUMIFS('NSE - NIFTY Index Options'!$L:$L,'NSE - NIFTY Index Options'!$C:$C,$A17,'NSE - NIFTY Index Options'!$B:$B,F$4,'NSE - NIFTY Index Options'!$H:$H,"Weekly*")+SUMIFS('NSE - NIFTY Index Options'!$L:$L,'NSE - NIFTY Index Options'!$C:$C,$A17,'NSE - NIFTY Index Options'!$B:$B,F$4,'NSE - NIFTY Index Options'!$H:$H,"MDAW*")+SUMIFS('NSE - Other Index Options'!$L:$L,'NSE - Other Index Options'!$C:$C,$A17,'NSE - Other Index Options'!$B:$B,F$4,'NSE - Other Index Options'!$H:$H,"Weekly*")+SUMIFS('NSE - Other Index Options'!$L:$L,'NSE - Other Index Options'!$C:$C,$A17,'NSE - Other Index Options'!$B:$B,F$4,'NSE - Other Index Options'!$H:$H,"MDAW*"))</f>
        <v>45663.25</v>
      </c>
      <c r="G17" s="26" t="str">
        <f>IF(SUMIFS('NSE - NIFTY Index Options'!$L:$L,'NSE - NIFTY Index Options'!$C:$C,$A17,'NSE - NIFTY Index Options'!$B:$B,G$4,'NSE - NIFTY Index Options'!$H:$H,"Weekly*")+SUMIFS('NSE - NIFTY Index Options'!$L:$L,'NSE - NIFTY Index Options'!$C:$C,$A17,'NSE - NIFTY Index Options'!$B:$B,G$4,'NSE - NIFTY Index Options'!$H:$H,"MDAW*")+SUMIFS('NSE - Other Index Options'!$L:$L,'NSE - Other Index Options'!$C:$C,$A17,'NSE - Other Index Options'!$B:$B,G$4,'NSE - Other Index Options'!$H:$H,"Weekly*")+SUMIFS('NSE - Other Index Options'!$L:$L,'NSE - Other Index Options'!$C:$C,$A17,'NSE - Other Index Options'!$B:$B,G$4,'NSE - Other Index Options'!$H:$H,"MDAW*")=0,"",SUMIFS('NSE - NIFTY Index Options'!$L:$L,'NSE - NIFTY Index Options'!$C:$C,$A17,'NSE - NIFTY Index Options'!$B:$B,G$4,'NSE - NIFTY Index Options'!$H:$H,"Weekly*")+SUMIFS('NSE - NIFTY Index Options'!$L:$L,'NSE - NIFTY Index Options'!$C:$C,$A17,'NSE - NIFTY Index Options'!$B:$B,G$4,'NSE - NIFTY Index Options'!$H:$H,"MDAW*")+SUMIFS('NSE - Other Index Options'!$L:$L,'NSE - Other Index Options'!$C:$C,$A17,'NSE - Other Index Options'!$B:$B,G$4,'NSE - Other Index Options'!$H:$H,"Weekly*")+SUMIFS('NSE - Other Index Options'!$L:$L,'NSE - Other Index Options'!$C:$C,$A17,'NSE - Other Index Options'!$B:$B,G$4,'NSE - Other Index Options'!$H:$H,"MDAW*"))</f>
        <v/>
      </c>
      <c r="H17" s="26">
        <f t="shared" si="0"/>
        <v>189025.9</v>
      </c>
    </row>
    <row r="18" spans="1:8">
      <c r="A18" t="s">
        <v>23</v>
      </c>
      <c r="B18" s="26">
        <f>IF(SUMIFS('NSE - NIFTY Index Options'!$L:$L,'NSE - NIFTY Index Options'!$C:$C,$A18,'NSE - NIFTY Index Options'!$B:$B,B$4,'NSE - NIFTY Index Options'!$H:$H,"Weekly*")+SUMIFS('NSE - NIFTY Index Options'!$L:$L,'NSE - NIFTY Index Options'!$C:$C,$A18,'NSE - NIFTY Index Options'!$B:$B,B$4,'NSE - NIFTY Index Options'!$H:$H,"MDAW*")+SUMIFS('NSE - Other Index Options'!$L:$L,'NSE - Other Index Options'!$C:$C,$A18,'NSE - Other Index Options'!$B:$B,B$4,'NSE - Other Index Options'!$H:$H,"Weekly*")+SUMIFS('NSE - Other Index Options'!$L:$L,'NSE - Other Index Options'!$C:$C,$A18,'NSE - Other Index Options'!$B:$B,B$4,'NSE - Other Index Options'!$H:$H,"MDAW*")=0,"",SUMIFS('NSE - NIFTY Index Options'!$L:$L,'NSE - NIFTY Index Options'!$C:$C,$A18,'NSE - NIFTY Index Options'!$B:$B,B$4,'NSE - NIFTY Index Options'!$H:$H,"Weekly*")+SUMIFS('NSE - NIFTY Index Options'!$L:$L,'NSE - NIFTY Index Options'!$C:$C,$A18,'NSE - NIFTY Index Options'!$B:$B,B$4,'NSE - NIFTY Index Options'!$H:$H,"MDAW*")+SUMIFS('NSE - Other Index Options'!$L:$L,'NSE - Other Index Options'!$C:$C,$A18,'NSE - Other Index Options'!$B:$B,B$4,'NSE - Other Index Options'!$H:$H,"Weekly*")+SUMIFS('NSE - Other Index Options'!$L:$L,'NSE - Other Index Options'!$C:$C,$A18,'NSE - Other Index Options'!$B:$B,B$4,'NSE - Other Index Options'!$H:$H,"MDAW*"))</f>
        <v>42968.29</v>
      </c>
      <c r="C18" s="26">
        <f>IF(SUMIFS('NSE - NIFTY Index Options'!$L:$L,'NSE - NIFTY Index Options'!$C:$C,$A18,'NSE - NIFTY Index Options'!$B:$B,C$4,'NSE - NIFTY Index Options'!$H:$H,"Weekly*")+SUMIFS('NSE - NIFTY Index Options'!$L:$L,'NSE - NIFTY Index Options'!$C:$C,$A18,'NSE - NIFTY Index Options'!$B:$B,C$4,'NSE - NIFTY Index Options'!$H:$H,"MDAW*")+SUMIFS('NSE - Other Index Options'!$L:$L,'NSE - Other Index Options'!$C:$C,$A18,'NSE - Other Index Options'!$B:$B,C$4,'NSE - Other Index Options'!$H:$H,"Weekly*")+SUMIFS('NSE - Other Index Options'!$L:$L,'NSE - Other Index Options'!$C:$C,$A18,'NSE - Other Index Options'!$B:$B,C$4,'NSE - Other Index Options'!$H:$H,"MDAW*")=0,"",SUMIFS('NSE - NIFTY Index Options'!$L:$L,'NSE - NIFTY Index Options'!$C:$C,$A18,'NSE - NIFTY Index Options'!$B:$B,C$4,'NSE - NIFTY Index Options'!$H:$H,"Weekly*")+SUMIFS('NSE - NIFTY Index Options'!$L:$L,'NSE - NIFTY Index Options'!$C:$C,$A18,'NSE - NIFTY Index Options'!$B:$B,C$4,'NSE - NIFTY Index Options'!$H:$H,"MDAW*")+SUMIFS('NSE - Other Index Options'!$L:$L,'NSE - Other Index Options'!$C:$C,$A18,'NSE - Other Index Options'!$B:$B,C$4,'NSE - Other Index Options'!$H:$H,"Weekly*")+SUMIFS('NSE - Other Index Options'!$L:$L,'NSE - Other Index Options'!$C:$C,$A18,'NSE - Other Index Options'!$B:$B,C$4,'NSE - Other Index Options'!$H:$H,"MDAW*"))</f>
        <v>51721.67</v>
      </c>
      <c r="D18" s="26">
        <f>IF(SUMIFS('NSE - NIFTY Index Options'!$L:$L,'NSE - NIFTY Index Options'!$C:$C,$A18,'NSE - NIFTY Index Options'!$B:$B,D$4,'NSE - NIFTY Index Options'!$H:$H,"Weekly*")+SUMIFS('NSE - NIFTY Index Options'!$L:$L,'NSE - NIFTY Index Options'!$C:$C,$A18,'NSE - NIFTY Index Options'!$B:$B,D$4,'NSE - NIFTY Index Options'!$H:$H,"MDAW*")+SUMIFS('NSE - Other Index Options'!$L:$L,'NSE - Other Index Options'!$C:$C,$A18,'NSE - Other Index Options'!$B:$B,D$4,'NSE - Other Index Options'!$H:$H,"Weekly*")+SUMIFS('NSE - Other Index Options'!$L:$L,'NSE - Other Index Options'!$C:$C,$A18,'NSE - Other Index Options'!$B:$B,D$4,'NSE - Other Index Options'!$H:$H,"MDAW*")=0,"",SUMIFS('NSE - NIFTY Index Options'!$L:$L,'NSE - NIFTY Index Options'!$C:$C,$A18,'NSE - NIFTY Index Options'!$B:$B,D$4,'NSE - NIFTY Index Options'!$H:$H,"Weekly*")+SUMIFS('NSE - NIFTY Index Options'!$L:$L,'NSE - NIFTY Index Options'!$C:$C,$A18,'NSE - NIFTY Index Options'!$B:$B,D$4,'NSE - NIFTY Index Options'!$H:$H,"MDAW*")+SUMIFS('NSE - Other Index Options'!$L:$L,'NSE - Other Index Options'!$C:$C,$A18,'NSE - Other Index Options'!$B:$B,D$4,'NSE - Other Index Options'!$H:$H,"Weekly*")+SUMIFS('NSE - Other Index Options'!$L:$L,'NSE - Other Index Options'!$C:$C,$A18,'NSE - Other Index Options'!$B:$B,D$4,'NSE - Other Index Options'!$H:$H,"MDAW*"))</f>
        <v>28891.370000000003</v>
      </c>
      <c r="E18" s="26">
        <f>IF(SUMIFS('NSE - NIFTY Index Options'!$L:$L,'NSE - NIFTY Index Options'!$C:$C,$A18,'NSE - NIFTY Index Options'!$B:$B,E$4,'NSE - NIFTY Index Options'!$H:$H,"Weekly*")+SUMIFS('NSE - NIFTY Index Options'!$L:$L,'NSE - NIFTY Index Options'!$C:$C,$A18,'NSE - NIFTY Index Options'!$B:$B,E$4,'NSE - NIFTY Index Options'!$H:$H,"MDAW*")+SUMIFS('NSE - Other Index Options'!$L:$L,'NSE - Other Index Options'!$C:$C,$A18,'NSE - Other Index Options'!$B:$B,E$4,'NSE - Other Index Options'!$H:$H,"Weekly*")+SUMIFS('NSE - Other Index Options'!$L:$L,'NSE - Other Index Options'!$C:$C,$A18,'NSE - Other Index Options'!$B:$B,E$4,'NSE - Other Index Options'!$H:$H,"MDAW*")=0,"",SUMIFS('NSE - NIFTY Index Options'!$L:$L,'NSE - NIFTY Index Options'!$C:$C,$A18,'NSE - NIFTY Index Options'!$B:$B,E$4,'NSE - NIFTY Index Options'!$H:$H,"Weekly*")+SUMIFS('NSE - NIFTY Index Options'!$L:$L,'NSE - NIFTY Index Options'!$C:$C,$A18,'NSE - NIFTY Index Options'!$B:$B,E$4,'NSE - NIFTY Index Options'!$H:$H,"MDAW*")+SUMIFS('NSE - Other Index Options'!$L:$L,'NSE - Other Index Options'!$C:$C,$A18,'NSE - Other Index Options'!$B:$B,E$4,'NSE - Other Index Options'!$H:$H,"Weekly*")+SUMIFS('NSE - Other Index Options'!$L:$L,'NSE - Other Index Options'!$C:$C,$A18,'NSE - Other Index Options'!$B:$B,E$4,'NSE - Other Index Options'!$H:$H,"MDAW*"))</f>
        <v>29743.48</v>
      </c>
      <c r="F18" s="26">
        <f>IF(SUMIFS('NSE - NIFTY Index Options'!$L:$L,'NSE - NIFTY Index Options'!$C:$C,$A18,'NSE - NIFTY Index Options'!$B:$B,F$4,'NSE - NIFTY Index Options'!$H:$H,"Weekly*")+SUMIFS('NSE - NIFTY Index Options'!$L:$L,'NSE - NIFTY Index Options'!$C:$C,$A18,'NSE - NIFTY Index Options'!$B:$B,F$4,'NSE - NIFTY Index Options'!$H:$H,"MDAW*")+SUMIFS('NSE - Other Index Options'!$L:$L,'NSE - Other Index Options'!$C:$C,$A18,'NSE - Other Index Options'!$B:$B,F$4,'NSE - Other Index Options'!$H:$H,"Weekly*")+SUMIFS('NSE - Other Index Options'!$L:$L,'NSE - Other Index Options'!$C:$C,$A18,'NSE - Other Index Options'!$B:$B,F$4,'NSE - Other Index Options'!$H:$H,"MDAW*")=0,"",SUMIFS('NSE - NIFTY Index Options'!$L:$L,'NSE - NIFTY Index Options'!$C:$C,$A18,'NSE - NIFTY Index Options'!$B:$B,F$4,'NSE - NIFTY Index Options'!$H:$H,"Weekly*")+SUMIFS('NSE - NIFTY Index Options'!$L:$L,'NSE - NIFTY Index Options'!$C:$C,$A18,'NSE - NIFTY Index Options'!$B:$B,F$4,'NSE - NIFTY Index Options'!$H:$H,"MDAW*")+SUMIFS('NSE - Other Index Options'!$L:$L,'NSE - Other Index Options'!$C:$C,$A18,'NSE - Other Index Options'!$B:$B,F$4,'NSE - Other Index Options'!$H:$H,"Weekly*")+SUMIFS('NSE - Other Index Options'!$L:$L,'NSE - Other Index Options'!$C:$C,$A18,'NSE - Other Index Options'!$B:$B,F$4,'NSE - Other Index Options'!$H:$H,"MDAW*"))</f>
        <v>36419.229999999996</v>
      </c>
      <c r="G18" s="26" t="str">
        <f>IF(SUMIFS('NSE - NIFTY Index Options'!$L:$L,'NSE - NIFTY Index Options'!$C:$C,$A18,'NSE - NIFTY Index Options'!$B:$B,G$4,'NSE - NIFTY Index Options'!$H:$H,"Weekly*")+SUMIFS('NSE - NIFTY Index Options'!$L:$L,'NSE - NIFTY Index Options'!$C:$C,$A18,'NSE - NIFTY Index Options'!$B:$B,G$4,'NSE - NIFTY Index Options'!$H:$H,"MDAW*")+SUMIFS('NSE - Other Index Options'!$L:$L,'NSE - Other Index Options'!$C:$C,$A18,'NSE - Other Index Options'!$B:$B,G$4,'NSE - Other Index Options'!$H:$H,"Weekly*")+SUMIFS('NSE - Other Index Options'!$L:$L,'NSE - Other Index Options'!$C:$C,$A18,'NSE - Other Index Options'!$B:$B,G$4,'NSE - Other Index Options'!$H:$H,"MDAW*")=0,"",SUMIFS('NSE - NIFTY Index Options'!$L:$L,'NSE - NIFTY Index Options'!$C:$C,$A18,'NSE - NIFTY Index Options'!$B:$B,G$4,'NSE - NIFTY Index Options'!$H:$H,"Weekly*")+SUMIFS('NSE - NIFTY Index Options'!$L:$L,'NSE - NIFTY Index Options'!$C:$C,$A18,'NSE - NIFTY Index Options'!$B:$B,G$4,'NSE - NIFTY Index Options'!$H:$H,"MDAW*")+SUMIFS('NSE - Other Index Options'!$L:$L,'NSE - Other Index Options'!$C:$C,$A18,'NSE - Other Index Options'!$B:$B,G$4,'NSE - Other Index Options'!$H:$H,"Weekly*")+SUMIFS('NSE - Other Index Options'!$L:$L,'NSE - Other Index Options'!$C:$C,$A18,'NSE - Other Index Options'!$B:$B,G$4,'NSE - Other Index Options'!$H:$H,"MDAW*"))</f>
        <v/>
      </c>
      <c r="H18" s="26">
        <f t="shared" si="0"/>
        <v>189744.03999999998</v>
      </c>
    </row>
    <row r="19" spans="1:8">
      <c r="A19" t="s">
        <v>24</v>
      </c>
      <c r="B19" s="26" t="str">
        <f>IF(SUMIFS('NSE - NIFTY Index Options'!$L:$L,'NSE - NIFTY Index Options'!$C:$C,$A19,'NSE - NIFTY Index Options'!$B:$B,B$4,'NSE - NIFTY Index Options'!$H:$H,"Weekly*")+SUMIFS('NSE - NIFTY Index Options'!$L:$L,'NSE - NIFTY Index Options'!$C:$C,$A19,'NSE - NIFTY Index Options'!$B:$B,B$4,'NSE - NIFTY Index Options'!$H:$H,"MDAW*")+SUMIFS('NSE - Other Index Options'!$L:$L,'NSE - Other Index Options'!$C:$C,$A19,'NSE - Other Index Options'!$B:$B,B$4,'NSE - Other Index Options'!$H:$H,"Weekly*")+SUMIFS('NSE - Other Index Options'!$L:$L,'NSE - Other Index Options'!$C:$C,$A19,'NSE - Other Index Options'!$B:$B,B$4,'NSE - Other Index Options'!$H:$H,"MDAW*")=0,"",SUMIFS('NSE - NIFTY Index Options'!$L:$L,'NSE - NIFTY Index Options'!$C:$C,$A19,'NSE - NIFTY Index Options'!$B:$B,B$4,'NSE - NIFTY Index Options'!$H:$H,"Weekly*")+SUMIFS('NSE - NIFTY Index Options'!$L:$L,'NSE - NIFTY Index Options'!$C:$C,$A19,'NSE - NIFTY Index Options'!$B:$B,B$4,'NSE - NIFTY Index Options'!$H:$H,"MDAW*")+SUMIFS('NSE - Other Index Options'!$L:$L,'NSE - Other Index Options'!$C:$C,$A19,'NSE - Other Index Options'!$B:$B,B$4,'NSE - Other Index Options'!$H:$H,"Weekly*")+SUMIFS('NSE - Other Index Options'!$L:$L,'NSE - Other Index Options'!$C:$C,$A19,'NSE - Other Index Options'!$B:$B,B$4,'NSE - Other Index Options'!$H:$H,"MDAW*"))</f>
        <v/>
      </c>
      <c r="C19" s="26" t="str">
        <f>IF(SUMIFS('NSE - NIFTY Index Options'!$L:$L,'NSE - NIFTY Index Options'!$C:$C,$A19,'NSE - NIFTY Index Options'!$B:$B,C$4,'NSE - NIFTY Index Options'!$H:$H,"Weekly*")+SUMIFS('NSE - NIFTY Index Options'!$L:$L,'NSE - NIFTY Index Options'!$C:$C,$A19,'NSE - NIFTY Index Options'!$B:$B,C$4,'NSE - NIFTY Index Options'!$H:$H,"MDAW*")+SUMIFS('NSE - Other Index Options'!$L:$L,'NSE - Other Index Options'!$C:$C,$A19,'NSE - Other Index Options'!$B:$B,C$4,'NSE - Other Index Options'!$H:$H,"Weekly*")+SUMIFS('NSE - Other Index Options'!$L:$L,'NSE - Other Index Options'!$C:$C,$A19,'NSE - Other Index Options'!$B:$B,C$4,'NSE - Other Index Options'!$H:$H,"MDAW*")=0,"",SUMIFS('NSE - NIFTY Index Options'!$L:$L,'NSE - NIFTY Index Options'!$C:$C,$A19,'NSE - NIFTY Index Options'!$B:$B,C$4,'NSE - NIFTY Index Options'!$H:$H,"Weekly*")+SUMIFS('NSE - NIFTY Index Options'!$L:$L,'NSE - NIFTY Index Options'!$C:$C,$A19,'NSE - NIFTY Index Options'!$B:$B,C$4,'NSE - NIFTY Index Options'!$H:$H,"MDAW*")+SUMIFS('NSE - Other Index Options'!$L:$L,'NSE - Other Index Options'!$C:$C,$A19,'NSE - Other Index Options'!$B:$B,C$4,'NSE - Other Index Options'!$H:$H,"Weekly*")+SUMIFS('NSE - Other Index Options'!$L:$L,'NSE - Other Index Options'!$C:$C,$A19,'NSE - Other Index Options'!$B:$B,C$4,'NSE - Other Index Options'!$H:$H,"MDAW*"))</f>
        <v/>
      </c>
      <c r="D19" s="26" t="str">
        <f>IF(SUMIFS('NSE - NIFTY Index Options'!$L:$L,'NSE - NIFTY Index Options'!$C:$C,$A19,'NSE - NIFTY Index Options'!$B:$B,D$4,'NSE - NIFTY Index Options'!$H:$H,"Weekly*")+SUMIFS('NSE - NIFTY Index Options'!$L:$L,'NSE - NIFTY Index Options'!$C:$C,$A19,'NSE - NIFTY Index Options'!$B:$B,D$4,'NSE - NIFTY Index Options'!$H:$H,"MDAW*")+SUMIFS('NSE - Other Index Options'!$L:$L,'NSE - Other Index Options'!$C:$C,$A19,'NSE - Other Index Options'!$B:$B,D$4,'NSE - Other Index Options'!$H:$H,"Weekly*")+SUMIFS('NSE - Other Index Options'!$L:$L,'NSE - Other Index Options'!$C:$C,$A19,'NSE - Other Index Options'!$B:$B,D$4,'NSE - Other Index Options'!$H:$H,"MDAW*")=0,"",SUMIFS('NSE - NIFTY Index Options'!$L:$L,'NSE - NIFTY Index Options'!$C:$C,$A19,'NSE - NIFTY Index Options'!$B:$B,D$4,'NSE - NIFTY Index Options'!$H:$H,"Weekly*")+SUMIFS('NSE - NIFTY Index Options'!$L:$L,'NSE - NIFTY Index Options'!$C:$C,$A19,'NSE - NIFTY Index Options'!$B:$B,D$4,'NSE - NIFTY Index Options'!$H:$H,"MDAW*")+SUMIFS('NSE - Other Index Options'!$L:$L,'NSE - Other Index Options'!$C:$C,$A19,'NSE - Other Index Options'!$B:$B,D$4,'NSE - Other Index Options'!$H:$H,"Weekly*")+SUMIFS('NSE - Other Index Options'!$L:$L,'NSE - Other Index Options'!$C:$C,$A19,'NSE - Other Index Options'!$B:$B,D$4,'NSE - Other Index Options'!$H:$H,"MDAW*"))</f>
        <v/>
      </c>
      <c r="E19" s="26" t="str">
        <f>IF(SUMIFS('NSE - NIFTY Index Options'!$L:$L,'NSE - NIFTY Index Options'!$C:$C,$A19,'NSE - NIFTY Index Options'!$B:$B,E$4,'NSE - NIFTY Index Options'!$H:$H,"Weekly*")+SUMIFS('NSE - NIFTY Index Options'!$L:$L,'NSE - NIFTY Index Options'!$C:$C,$A19,'NSE - NIFTY Index Options'!$B:$B,E$4,'NSE - NIFTY Index Options'!$H:$H,"MDAW*")+SUMIFS('NSE - Other Index Options'!$L:$L,'NSE - Other Index Options'!$C:$C,$A19,'NSE - Other Index Options'!$B:$B,E$4,'NSE - Other Index Options'!$H:$H,"Weekly*")+SUMIFS('NSE - Other Index Options'!$L:$L,'NSE - Other Index Options'!$C:$C,$A19,'NSE - Other Index Options'!$B:$B,E$4,'NSE - Other Index Options'!$H:$H,"MDAW*")=0,"",SUMIFS('NSE - NIFTY Index Options'!$L:$L,'NSE - NIFTY Index Options'!$C:$C,$A19,'NSE - NIFTY Index Options'!$B:$B,E$4,'NSE - NIFTY Index Options'!$H:$H,"Weekly*")+SUMIFS('NSE - NIFTY Index Options'!$L:$L,'NSE - NIFTY Index Options'!$C:$C,$A19,'NSE - NIFTY Index Options'!$B:$B,E$4,'NSE - NIFTY Index Options'!$H:$H,"MDAW*")+SUMIFS('NSE - Other Index Options'!$L:$L,'NSE - Other Index Options'!$C:$C,$A19,'NSE - Other Index Options'!$B:$B,E$4,'NSE - Other Index Options'!$H:$H,"Weekly*")+SUMIFS('NSE - Other Index Options'!$L:$L,'NSE - Other Index Options'!$C:$C,$A19,'NSE - Other Index Options'!$B:$B,E$4,'NSE - Other Index Options'!$H:$H,"MDAW*"))</f>
        <v/>
      </c>
      <c r="F19" s="26" t="str">
        <f>IF(SUMIFS('NSE - NIFTY Index Options'!$L:$L,'NSE - NIFTY Index Options'!$C:$C,$A19,'NSE - NIFTY Index Options'!$B:$B,F$4,'NSE - NIFTY Index Options'!$H:$H,"Weekly*")+SUMIFS('NSE - NIFTY Index Options'!$L:$L,'NSE - NIFTY Index Options'!$C:$C,$A19,'NSE - NIFTY Index Options'!$B:$B,F$4,'NSE - NIFTY Index Options'!$H:$H,"MDAW*")+SUMIFS('NSE - Other Index Options'!$L:$L,'NSE - Other Index Options'!$C:$C,$A19,'NSE - Other Index Options'!$B:$B,F$4,'NSE - Other Index Options'!$H:$H,"Weekly*")+SUMIFS('NSE - Other Index Options'!$L:$L,'NSE - Other Index Options'!$C:$C,$A19,'NSE - Other Index Options'!$B:$B,F$4,'NSE - Other Index Options'!$H:$H,"MDAW*")=0,"",SUMIFS('NSE - NIFTY Index Options'!$L:$L,'NSE - NIFTY Index Options'!$C:$C,$A19,'NSE - NIFTY Index Options'!$B:$B,F$4,'NSE - NIFTY Index Options'!$H:$H,"Weekly*")+SUMIFS('NSE - NIFTY Index Options'!$L:$L,'NSE - NIFTY Index Options'!$C:$C,$A19,'NSE - NIFTY Index Options'!$B:$B,F$4,'NSE - NIFTY Index Options'!$H:$H,"MDAW*")+SUMIFS('NSE - Other Index Options'!$L:$L,'NSE - Other Index Options'!$C:$C,$A19,'NSE - Other Index Options'!$B:$B,F$4,'NSE - Other Index Options'!$H:$H,"Weekly*")+SUMIFS('NSE - Other Index Options'!$L:$L,'NSE - Other Index Options'!$C:$C,$A19,'NSE - Other Index Options'!$B:$B,F$4,'NSE - Other Index Options'!$H:$H,"MDAW*"))</f>
        <v/>
      </c>
      <c r="G19" s="26" t="str">
        <f>IF(SUMIFS('NSE - NIFTY Index Options'!$L:$L,'NSE - NIFTY Index Options'!$C:$C,$A19,'NSE - NIFTY Index Options'!$B:$B,G$4,'NSE - NIFTY Index Options'!$H:$H,"Weekly*")+SUMIFS('NSE - NIFTY Index Options'!$L:$L,'NSE - NIFTY Index Options'!$C:$C,$A19,'NSE - NIFTY Index Options'!$B:$B,G$4,'NSE - NIFTY Index Options'!$H:$H,"MDAW*")+SUMIFS('NSE - Other Index Options'!$L:$L,'NSE - Other Index Options'!$C:$C,$A19,'NSE - Other Index Options'!$B:$B,G$4,'NSE - Other Index Options'!$H:$H,"Weekly*")+SUMIFS('NSE - Other Index Options'!$L:$L,'NSE - Other Index Options'!$C:$C,$A19,'NSE - Other Index Options'!$B:$B,G$4,'NSE - Other Index Options'!$H:$H,"MDAW*")=0,"",SUMIFS('NSE - NIFTY Index Options'!$L:$L,'NSE - NIFTY Index Options'!$C:$C,$A19,'NSE - NIFTY Index Options'!$B:$B,G$4,'NSE - NIFTY Index Options'!$H:$H,"Weekly*")+SUMIFS('NSE - NIFTY Index Options'!$L:$L,'NSE - NIFTY Index Options'!$C:$C,$A19,'NSE - NIFTY Index Options'!$B:$B,G$4,'NSE - NIFTY Index Options'!$H:$H,"MDAW*")+SUMIFS('NSE - Other Index Options'!$L:$L,'NSE - Other Index Options'!$C:$C,$A19,'NSE - Other Index Options'!$B:$B,G$4,'NSE - Other Index Options'!$H:$H,"Weekly*")+SUMIFS('NSE - Other Index Options'!$L:$L,'NSE - Other Index Options'!$C:$C,$A19,'NSE - Other Index Options'!$B:$B,G$4,'NSE - Other Index Options'!$H:$H,"MDAW*"))</f>
        <v/>
      </c>
      <c r="H19" s="26" t="str">
        <f t="shared" si="0"/>
        <v/>
      </c>
    </row>
    <row r="20" spans="1:8">
      <c r="A20" t="s">
        <v>25</v>
      </c>
      <c r="B20" s="26">
        <f>IF(SUMIFS('NSE - NIFTY Index Options'!$L:$L,'NSE - NIFTY Index Options'!$C:$C,$A20,'NSE - NIFTY Index Options'!$B:$B,B$4,'NSE - NIFTY Index Options'!$H:$H,"Weekly*")+SUMIFS('NSE - NIFTY Index Options'!$L:$L,'NSE - NIFTY Index Options'!$C:$C,$A20,'NSE - NIFTY Index Options'!$B:$B,B$4,'NSE - NIFTY Index Options'!$H:$H,"MDAW*")+SUMIFS('NSE - Other Index Options'!$L:$L,'NSE - Other Index Options'!$C:$C,$A20,'NSE - Other Index Options'!$B:$B,B$4,'NSE - Other Index Options'!$H:$H,"Weekly*")+SUMIFS('NSE - Other Index Options'!$L:$L,'NSE - Other Index Options'!$C:$C,$A20,'NSE - Other Index Options'!$B:$B,B$4,'NSE - Other Index Options'!$H:$H,"MDAW*")=0,"",SUMIFS('NSE - NIFTY Index Options'!$L:$L,'NSE - NIFTY Index Options'!$C:$C,$A20,'NSE - NIFTY Index Options'!$B:$B,B$4,'NSE - NIFTY Index Options'!$H:$H,"Weekly*")+SUMIFS('NSE - NIFTY Index Options'!$L:$L,'NSE - NIFTY Index Options'!$C:$C,$A20,'NSE - NIFTY Index Options'!$B:$B,B$4,'NSE - NIFTY Index Options'!$H:$H,"MDAW*")+SUMIFS('NSE - Other Index Options'!$L:$L,'NSE - Other Index Options'!$C:$C,$A20,'NSE - Other Index Options'!$B:$B,B$4,'NSE - Other Index Options'!$H:$H,"Weekly*")+SUMIFS('NSE - Other Index Options'!$L:$L,'NSE - Other Index Options'!$C:$C,$A20,'NSE - Other Index Options'!$B:$B,B$4,'NSE - Other Index Options'!$H:$H,"MDAW*"))</f>
        <v>46831.719999999994</v>
      </c>
      <c r="C20" s="26">
        <f>IF(SUMIFS('NSE - NIFTY Index Options'!$L:$L,'NSE - NIFTY Index Options'!$C:$C,$A20,'NSE - NIFTY Index Options'!$B:$B,C$4,'NSE - NIFTY Index Options'!$H:$H,"Weekly*")+SUMIFS('NSE - NIFTY Index Options'!$L:$L,'NSE - NIFTY Index Options'!$C:$C,$A20,'NSE - NIFTY Index Options'!$B:$B,C$4,'NSE - NIFTY Index Options'!$H:$H,"MDAW*")+SUMIFS('NSE - Other Index Options'!$L:$L,'NSE - Other Index Options'!$C:$C,$A20,'NSE - Other Index Options'!$B:$B,C$4,'NSE - Other Index Options'!$H:$H,"Weekly*")+SUMIFS('NSE - Other Index Options'!$L:$L,'NSE - Other Index Options'!$C:$C,$A20,'NSE - Other Index Options'!$B:$B,C$4,'NSE - Other Index Options'!$H:$H,"MDAW*")=0,"",SUMIFS('NSE - NIFTY Index Options'!$L:$L,'NSE - NIFTY Index Options'!$C:$C,$A20,'NSE - NIFTY Index Options'!$B:$B,C$4,'NSE - NIFTY Index Options'!$H:$H,"Weekly*")+SUMIFS('NSE - NIFTY Index Options'!$L:$L,'NSE - NIFTY Index Options'!$C:$C,$A20,'NSE - NIFTY Index Options'!$B:$B,C$4,'NSE - NIFTY Index Options'!$H:$H,"MDAW*")+SUMIFS('NSE - Other Index Options'!$L:$L,'NSE - Other Index Options'!$C:$C,$A20,'NSE - Other Index Options'!$B:$B,C$4,'NSE - Other Index Options'!$H:$H,"Weekly*")+SUMIFS('NSE - Other Index Options'!$L:$L,'NSE - Other Index Options'!$C:$C,$A20,'NSE - Other Index Options'!$B:$B,C$4,'NSE - Other Index Options'!$H:$H,"MDAW*"))</f>
        <v>53896.480000000003</v>
      </c>
      <c r="D20" s="26">
        <f>IF(SUMIFS('NSE - NIFTY Index Options'!$L:$L,'NSE - NIFTY Index Options'!$C:$C,$A20,'NSE - NIFTY Index Options'!$B:$B,D$4,'NSE - NIFTY Index Options'!$H:$H,"Weekly*")+SUMIFS('NSE - NIFTY Index Options'!$L:$L,'NSE - NIFTY Index Options'!$C:$C,$A20,'NSE - NIFTY Index Options'!$B:$B,D$4,'NSE - NIFTY Index Options'!$H:$H,"MDAW*")+SUMIFS('NSE - Other Index Options'!$L:$L,'NSE - Other Index Options'!$C:$C,$A20,'NSE - Other Index Options'!$B:$B,D$4,'NSE - Other Index Options'!$H:$H,"Weekly*")+SUMIFS('NSE - Other Index Options'!$L:$L,'NSE - Other Index Options'!$C:$C,$A20,'NSE - Other Index Options'!$B:$B,D$4,'NSE - Other Index Options'!$H:$H,"MDAW*")=0,"",SUMIFS('NSE - NIFTY Index Options'!$L:$L,'NSE - NIFTY Index Options'!$C:$C,$A20,'NSE - NIFTY Index Options'!$B:$B,D$4,'NSE - NIFTY Index Options'!$H:$H,"Weekly*")+SUMIFS('NSE - NIFTY Index Options'!$L:$L,'NSE - NIFTY Index Options'!$C:$C,$A20,'NSE - NIFTY Index Options'!$B:$B,D$4,'NSE - NIFTY Index Options'!$H:$H,"MDAW*")+SUMIFS('NSE - Other Index Options'!$L:$L,'NSE - Other Index Options'!$C:$C,$A20,'NSE - Other Index Options'!$B:$B,D$4,'NSE - Other Index Options'!$H:$H,"Weekly*")+SUMIFS('NSE - Other Index Options'!$L:$L,'NSE - Other Index Options'!$C:$C,$A20,'NSE - Other Index Options'!$B:$B,D$4,'NSE - Other Index Options'!$H:$H,"MDAW*"))</f>
        <v>27490.780000000002</v>
      </c>
      <c r="E20" s="26">
        <f>IF(SUMIFS('NSE - NIFTY Index Options'!$L:$L,'NSE - NIFTY Index Options'!$C:$C,$A20,'NSE - NIFTY Index Options'!$B:$B,E$4,'NSE - NIFTY Index Options'!$H:$H,"Weekly*")+SUMIFS('NSE - NIFTY Index Options'!$L:$L,'NSE - NIFTY Index Options'!$C:$C,$A20,'NSE - NIFTY Index Options'!$B:$B,E$4,'NSE - NIFTY Index Options'!$H:$H,"MDAW*")+SUMIFS('NSE - Other Index Options'!$L:$L,'NSE - Other Index Options'!$C:$C,$A20,'NSE - Other Index Options'!$B:$B,E$4,'NSE - Other Index Options'!$H:$H,"Weekly*")+SUMIFS('NSE - Other Index Options'!$L:$L,'NSE - Other Index Options'!$C:$C,$A20,'NSE - Other Index Options'!$B:$B,E$4,'NSE - Other Index Options'!$H:$H,"MDAW*")=0,"",SUMIFS('NSE - NIFTY Index Options'!$L:$L,'NSE - NIFTY Index Options'!$C:$C,$A20,'NSE - NIFTY Index Options'!$B:$B,E$4,'NSE - NIFTY Index Options'!$H:$H,"Weekly*")+SUMIFS('NSE - NIFTY Index Options'!$L:$L,'NSE - NIFTY Index Options'!$C:$C,$A20,'NSE - NIFTY Index Options'!$B:$B,E$4,'NSE - NIFTY Index Options'!$H:$H,"MDAW*")+SUMIFS('NSE - Other Index Options'!$L:$L,'NSE - Other Index Options'!$C:$C,$A20,'NSE - Other Index Options'!$B:$B,E$4,'NSE - Other Index Options'!$H:$H,"Weekly*")+SUMIFS('NSE - Other Index Options'!$L:$L,'NSE - Other Index Options'!$C:$C,$A20,'NSE - Other Index Options'!$B:$B,E$4,'NSE - Other Index Options'!$H:$H,"MDAW*"))</f>
        <v>26057.66</v>
      </c>
      <c r="F20" s="26">
        <f>IF(SUMIFS('NSE - NIFTY Index Options'!$L:$L,'NSE - NIFTY Index Options'!$C:$C,$A20,'NSE - NIFTY Index Options'!$B:$B,F$4,'NSE - NIFTY Index Options'!$H:$H,"Weekly*")+SUMIFS('NSE - NIFTY Index Options'!$L:$L,'NSE - NIFTY Index Options'!$C:$C,$A20,'NSE - NIFTY Index Options'!$B:$B,F$4,'NSE - NIFTY Index Options'!$H:$H,"MDAW*")+SUMIFS('NSE - Other Index Options'!$L:$L,'NSE - Other Index Options'!$C:$C,$A20,'NSE - Other Index Options'!$B:$B,F$4,'NSE - Other Index Options'!$H:$H,"Weekly*")+SUMIFS('NSE - Other Index Options'!$L:$L,'NSE - Other Index Options'!$C:$C,$A20,'NSE - Other Index Options'!$B:$B,F$4,'NSE - Other Index Options'!$H:$H,"MDAW*")=0,"",SUMIFS('NSE - NIFTY Index Options'!$L:$L,'NSE - NIFTY Index Options'!$C:$C,$A20,'NSE - NIFTY Index Options'!$B:$B,F$4,'NSE - NIFTY Index Options'!$H:$H,"Weekly*")+SUMIFS('NSE - NIFTY Index Options'!$L:$L,'NSE - NIFTY Index Options'!$C:$C,$A20,'NSE - NIFTY Index Options'!$B:$B,F$4,'NSE - NIFTY Index Options'!$H:$H,"MDAW*")+SUMIFS('NSE - Other Index Options'!$L:$L,'NSE - Other Index Options'!$C:$C,$A20,'NSE - Other Index Options'!$B:$B,F$4,'NSE - Other Index Options'!$H:$H,"Weekly*")+SUMIFS('NSE - Other Index Options'!$L:$L,'NSE - Other Index Options'!$C:$C,$A20,'NSE - Other Index Options'!$B:$B,F$4,'NSE - Other Index Options'!$H:$H,"MDAW*"))</f>
        <v>43682.54</v>
      </c>
      <c r="G20" s="26" t="str">
        <f>IF(SUMIFS('NSE - NIFTY Index Options'!$L:$L,'NSE - NIFTY Index Options'!$C:$C,$A20,'NSE - NIFTY Index Options'!$B:$B,G$4,'NSE - NIFTY Index Options'!$H:$H,"Weekly*")+SUMIFS('NSE - NIFTY Index Options'!$L:$L,'NSE - NIFTY Index Options'!$C:$C,$A20,'NSE - NIFTY Index Options'!$B:$B,G$4,'NSE - NIFTY Index Options'!$H:$H,"MDAW*")+SUMIFS('NSE - Other Index Options'!$L:$L,'NSE - Other Index Options'!$C:$C,$A20,'NSE - Other Index Options'!$B:$B,G$4,'NSE - Other Index Options'!$H:$H,"Weekly*")+SUMIFS('NSE - Other Index Options'!$L:$L,'NSE - Other Index Options'!$C:$C,$A20,'NSE - Other Index Options'!$B:$B,G$4,'NSE - Other Index Options'!$H:$H,"MDAW*")=0,"",SUMIFS('NSE - NIFTY Index Options'!$L:$L,'NSE - NIFTY Index Options'!$C:$C,$A20,'NSE - NIFTY Index Options'!$B:$B,G$4,'NSE - NIFTY Index Options'!$H:$H,"Weekly*")+SUMIFS('NSE - NIFTY Index Options'!$L:$L,'NSE - NIFTY Index Options'!$C:$C,$A20,'NSE - NIFTY Index Options'!$B:$B,G$4,'NSE - NIFTY Index Options'!$H:$H,"MDAW*")+SUMIFS('NSE - Other Index Options'!$L:$L,'NSE - Other Index Options'!$C:$C,$A20,'NSE - Other Index Options'!$B:$B,G$4,'NSE - Other Index Options'!$H:$H,"Weekly*")+SUMIFS('NSE - Other Index Options'!$L:$L,'NSE - Other Index Options'!$C:$C,$A20,'NSE - Other Index Options'!$B:$B,G$4,'NSE - Other Index Options'!$H:$H,"MDAW*"))</f>
        <v/>
      </c>
      <c r="H20" s="26">
        <f t="shared" si="0"/>
        <v>197959.18</v>
      </c>
    </row>
    <row r="21" spans="1:8">
      <c r="A21" t="s">
        <v>26</v>
      </c>
      <c r="B21" s="26">
        <f>IF(SUMIFS('NSE - NIFTY Index Options'!$L:$L,'NSE - NIFTY Index Options'!$C:$C,$A21,'NSE - NIFTY Index Options'!$B:$B,B$4,'NSE - NIFTY Index Options'!$H:$H,"Weekly*")+SUMIFS('NSE - NIFTY Index Options'!$L:$L,'NSE - NIFTY Index Options'!$C:$C,$A21,'NSE - NIFTY Index Options'!$B:$B,B$4,'NSE - NIFTY Index Options'!$H:$H,"MDAW*")+SUMIFS('NSE - Other Index Options'!$L:$L,'NSE - Other Index Options'!$C:$C,$A21,'NSE - Other Index Options'!$B:$B,B$4,'NSE - Other Index Options'!$H:$H,"Weekly*")+SUMIFS('NSE - Other Index Options'!$L:$L,'NSE - Other Index Options'!$C:$C,$A21,'NSE - Other Index Options'!$B:$B,B$4,'NSE - Other Index Options'!$H:$H,"MDAW*")=0,"",SUMIFS('NSE - NIFTY Index Options'!$L:$L,'NSE - NIFTY Index Options'!$C:$C,$A21,'NSE - NIFTY Index Options'!$B:$B,B$4,'NSE - NIFTY Index Options'!$H:$H,"Weekly*")+SUMIFS('NSE - NIFTY Index Options'!$L:$L,'NSE - NIFTY Index Options'!$C:$C,$A21,'NSE - NIFTY Index Options'!$B:$B,B$4,'NSE - NIFTY Index Options'!$H:$H,"MDAW*")+SUMIFS('NSE - Other Index Options'!$L:$L,'NSE - Other Index Options'!$C:$C,$A21,'NSE - Other Index Options'!$B:$B,B$4,'NSE - Other Index Options'!$H:$H,"Weekly*")+SUMIFS('NSE - Other Index Options'!$L:$L,'NSE - Other Index Options'!$C:$C,$A21,'NSE - Other Index Options'!$B:$B,B$4,'NSE - Other Index Options'!$H:$H,"MDAW*"))</f>
        <v>49241.15</v>
      </c>
      <c r="C21" s="26">
        <f>IF(SUMIFS('NSE - NIFTY Index Options'!$L:$L,'NSE - NIFTY Index Options'!$C:$C,$A21,'NSE - NIFTY Index Options'!$B:$B,C$4,'NSE - NIFTY Index Options'!$H:$H,"Weekly*")+SUMIFS('NSE - NIFTY Index Options'!$L:$L,'NSE - NIFTY Index Options'!$C:$C,$A21,'NSE - NIFTY Index Options'!$B:$B,C$4,'NSE - NIFTY Index Options'!$H:$H,"MDAW*")+SUMIFS('NSE - Other Index Options'!$L:$L,'NSE - Other Index Options'!$C:$C,$A21,'NSE - Other Index Options'!$B:$B,C$4,'NSE - Other Index Options'!$H:$H,"Weekly*")+SUMIFS('NSE - Other Index Options'!$L:$L,'NSE - Other Index Options'!$C:$C,$A21,'NSE - Other Index Options'!$B:$B,C$4,'NSE - Other Index Options'!$H:$H,"MDAW*")=0,"",SUMIFS('NSE - NIFTY Index Options'!$L:$L,'NSE - NIFTY Index Options'!$C:$C,$A21,'NSE - NIFTY Index Options'!$B:$B,C$4,'NSE - NIFTY Index Options'!$H:$H,"Weekly*")+SUMIFS('NSE - NIFTY Index Options'!$L:$L,'NSE - NIFTY Index Options'!$C:$C,$A21,'NSE - NIFTY Index Options'!$B:$B,C$4,'NSE - NIFTY Index Options'!$H:$H,"MDAW*")+SUMIFS('NSE - Other Index Options'!$L:$L,'NSE - Other Index Options'!$C:$C,$A21,'NSE - Other Index Options'!$B:$B,C$4,'NSE - Other Index Options'!$H:$H,"Weekly*")+SUMIFS('NSE - Other Index Options'!$L:$L,'NSE - Other Index Options'!$C:$C,$A21,'NSE - Other Index Options'!$B:$B,C$4,'NSE - Other Index Options'!$H:$H,"MDAW*"))</f>
        <v>70321.599999999991</v>
      </c>
      <c r="D21" s="26">
        <f>IF(SUMIFS('NSE - NIFTY Index Options'!$L:$L,'NSE - NIFTY Index Options'!$C:$C,$A21,'NSE - NIFTY Index Options'!$B:$B,D$4,'NSE - NIFTY Index Options'!$H:$H,"Weekly*")+SUMIFS('NSE - NIFTY Index Options'!$L:$L,'NSE - NIFTY Index Options'!$C:$C,$A21,'NSE - NIFTY Index Options'!$B:$B,D$4,'NSE - NIFTY Index Options'!$H:$H,"MDAW*")+SUMIFS('NSE - Other Index Options'!$L:$L,'NSE - Other Index Options'!$C:$C,$A21,'NSE - Other Index Options'!$B:$B,D$4,'NSE - Other Index Options'!$H:$H,"Weekly*")+SUMIFS('NSE - Other Index Options'!$L:$L,'NSE - Other Index Options'!$C:$C,$A21,'NSE - Other Index Options'!$B:$B,D$4,'NSE - Other Index Options'!$H:$H,"MDAW*")=0,"",SUMIFS('NSE - NIFTY Index Options'!$L:$L,'NSE - NIFTY Index Options'!$C:$C,$A21,'NSE - NIFTY Index Options'!$B:$B,D$4,'NSE - NIFTY Index Options'!$H:$H,"Weekly*")+SUMIFS('NSE - NIFTY Index Options'!$L:$L,'NSE - NIFTY Index Options'!$C:$C,$A21,'NSE - NIFTY Index Options'!$B:$B,D$4,'NSE - NIFTY Index Options'!$H:$H,"MDAW*")+SUMIFS('NSE - Other Index Options'!$L:$L,'NSE - Other Index Options'!$C:$C,$A21,'NSE - Other Index Options'!$B:$B,D$4,'NSE - Other Index Options'!$H:$H,"Weekly*")+SUMIFS('NSE - Other Index Options'!$L:$L,'NSE - Other Index Options'!$C:$C,$A21,'NSE - Other Index Options'!$B:$B,D$4,'NSE - Other Index Options'!$H:$H,"MDAW*"))</f>
        <v>35640.579999999994</v>
      </c>
      <c r="E21" s="26">
        <f>IF(SUMIFS('NSE - NIFTY Index Options'!$L:$L,'NSE - NIFTY Index Options'!$C:$C,$A21,'NSE - NIFTY Index Options'!$B:$B,E$4,'NSE - NIFTY Index Options'!$H:$H,"Weekly*")+SUMIFS('NSE - NIFTY Index Options'!$L:$L,'NSE - NIFTY Index Options'!$C:$C,$A21,'NSE - NIFTY Index Options'!$B:$B,E$4,'NSE - NIFTY Index Options'!$H:$H,"MDAW*")+SUMIFS('NSE - Other Index Options'!$L:$L,'NSE - Other Index Options'!$C:$C,$A21,'NSE - Other Index Options'!$B:$B,E$4,'NSE - Other Index Options'!$H:$H,"Weekly*")+SUMIFS('NSE - Other Index Options'!$L:$L,'NSE - Other Index Options'!$C:$C,$A21,'NSE - Other Index Options'!$B:$B,E$4,'NSE - Other Index Options'!$H:$H,"MDAW*")=0,"",SUMIFS('NSE - NIFTY Index Options'!$L:$L,'NSE - NIFTY Index Options'!$C:$C,$A21,'NSE - NIFTY Index Options'!$B:$B,E$4,'NSE - NIFTY Index Options'!$H:$H,"Weekly*")+SUMIFS('NSE - NIFTY Index Options'!$L:$L,'NSE - NIFTY Index Options'!$C:$C,$A21,'NSE - NIFTY Index Options'!$B:$B,E$4,'NSE - NIFTY Index Options'!$H:$H,"MDAW*")+SUMIFS('NSE - Other Index Options'!$L:$L,'NSE - Other Index Options'!$C:$C,$A21,'NSE - Other Index Options'!$B:$B,E$4,'NSE - Other Index Options'!$H:$H,"Weekly*")+SUMIFS('NSE - Other Index Options'!$L:$L,'NSE - Other Index Options'!$C:$C,$A21,'NSE - Other Index Options'!$B:$B,E$4,'NSE - Other Index Options'!$H:$H,"MDAW*"))</f>
        <v>32704.76</v>
      </c>
      <c r="F21" s="26">
        <f>IF(SUMIFS('NSE - NIFTY Index Options'!$L:$L,'NSE - NIFTY Index Options'!$C:$C,$A21,'NSE - NIFTY Index Options'!$B:$B,F$4,'NSE - NIFTY Index Options'!$H:$H,"Weekly*")+SUMIFS('NSE - NIFTY Index Options'!$L:$L,'NSE - NIFTY Index Options'!$C:$C,$A21,'NSE - NIFTY Index Options'!$B:$B,F$4,'NSE - NIFTY Index Options'!$H:$H,"MDAW*")+SUMIFS('NSE - Other Index Options'!$L:$L,'NSE - Other Index Options'!$C:$C,$A21,'NSE - Other Index Options'!$B:$B,F$4,'NSE - Other Index Options'!$H:$H,"Weekly*")+SUMIFS('NSE - Other Index Options'!$L:$L,'NSE - Other Index Options'!$C:$C,$A21,'NSE - Other Index Options'!$B:$B,F$4,'NSE - Other Index Options'!$H:$H,"MDAW*")=0,"",SUMIFS('NSE - NIFTY Index Options'!$L:$L,'NSE - NIFTY Index Options'!$C:$C,$A21,'NSE - NIFTY Index Options'!$B:$B,F$4,'NSE - NIFTY Index Options'!$H:$H,"Weekly*")+SUMIFS('NSE - NIFTY Index Options'!$L:$L,'NSE - NIFTY Index Options'!$C:$C,$A21,'NSE - NIFTY Index Options'!$B:$B,F$4,'NSE - NIFTY Index Options'!$H:$H,"MDAW*")+SUMIFS('NSE - Other Index Options'!$L:$L,'NSE - Other Index Options'!$C:$C,$A21,'NSE - Other Index Options'!$B:$B,F$4,'NSE - Other Index Options'!$H:$H,"Weekly*")+SUMIFS('NSE - Other Index Options'!$L:$L,'NSE - Other Index Options'!$C:$C,$A21,'NSE - Other Index Options'!$B:$B,F$4,'NSE - Other Index Options'!$H:$H,"MDAW*"))</f>
        <v>41912.939999999995</v>
      </c>
      <c r="G21" s="26" t="str">
        <f>IF(SUMIFS('NSE - NIFTY Index Options'!$L:$L,'NSE - NIFTY Index Options'!$C:$C,$A21,'NSE - NIFTY Index Options'!$B:$B,G$4,'NSE - NIFTY Index Options'!$H:$H,"Weekly*")+SUMIFS('NSE - NIFTY Index Options'!$L:$L,'NSE - NIFTY Index Options'!$C:$C,$A21,'NSE - NIFTY Index Options'!$B:$B,G$4,'NSE - NIFTY Index Options'!$H:$H,"MDAW*")+SUMIFS('NSE - Other Index Options'!$L:$L,'NSE - Other Index Options'!$C:$C,$A21,'NSE - Other Index Options'!$B:$B,G$4,'NSE - Other Index Options'!$H:$H,"Weekly*")+SUMIFS('NSE - Other Index Options'!$L:$L,'NSE - Other Index Options'!$C:$C,$A21,'NSE - Other Index Options'!$B:$B,G$4,'NSE - Other Index Options'!$H:$H,"MDAW*")=0,"",SUMIFS('NSE - NIFTY Index Options'!$L:$L,'NSE - NIFTY Index Options'!$C:$C,$A21,'NSE - NIFTY Index Options'!$B:$B,G$4,'NSE - NIFTY Index Options'!$H:$H,"Weekly*")+SUMIFS('NSE - NIFTY Index Options'!$L:$L,'NSE - NIFTY Index Options'!$C:$C,$A21,'NSE - NIFTY Index Options'!$B:$B,G$4,'NSE - NIFTY Index Options'!$H:$H,"MDAW*")+SUMIFS('NSE - Other Index Options'!$L:$L,'NSE - Other Index Options'!$C:$C,$A21,'NSE - Other Index Options'!$B:$B,G$4,'NSE - Other Index Options'!$H:$H,"Weekly*")+SUMIFS('NSE - Other Index Options'!$L:$L,'NSE - Other Index Options'!$C:$C,$A21,'NSE - Other Index Options'!$B:$B,G$4,'NSE - Other Index Options'!$H:$H,"MDAW*"))</f>
        <v/>
      </c>
      <c r="H21" s="26">
        <f t="shared" si="0"/>
        <v>229821.03</v>
      </c>
    </row>
    <row r="22" spans="1:8">
      <c r="A22" t="s">
        <v>27</v>
      </c>
      <c r="B22" s="26">
        <f>IF(SUMIFS('NSE - NIFTY Index Options'!$L:$L,'NSE - NIFTY Index Options'!$C:$C,$A22,'NSE - NIFTY Index Options'!$B:$B,B$4,'NSE - NIFTY Index Options'!$H:$H,"Weekly*")+SUMIFS('NSE - NIFTY Index Options'!$L:$L,'NSE - NIFTY Index Options'!$C:$C,$A22,'NSE - NIFTY Index Options'!$B:$B,B$4,'NSE - NIFTY Index Options'!$H:$H,"MDAW*")+SUMIFS('NSE - Other Index Options'!$L:$L,'NSE - Other Index Options'!$C:$C,$A22,'NSE - Other Index Options'!$B:$B,B$4,'NSE - Other Index Options'!$H:$H,"Weekly*")+SUMIFS('NSE - Other Index Options'!$L:$L,'NSE - Other Index Options'!$C:$C,$A22,'NSE - Other Index Options'!$B:$B,B$4,'NSE - Other Index Options'!$H:$H,"MDAW*")=0,"",SUMIFS('NSE - NIFTY Index Options'!$L:$L,'NSE - NIFTY Index Options'!$C:$C,$A22,'NSE - NIFTY Index Options'!$B:$B,B$4,'NSE - NIFTY Index Options'!$H:$H,"Weekly*")+SUMIFS('NSE - NIFTY Index Options'!$L:$L,'NSE - NIFTY Index Options'!$C:$C,$A22,'NSE - NIFTY Index Options'!$B:$B,B$4,'NSE - NIFTY Index Options'!$H:$H,"MDAW*")+SUMIFS('NSE - Other Index Options'!$L:$L,'NSE - Other Index Options'!$C:$C,$A22,'NSE - Other Index Options'!$B:$B,B$4,'NSE - Other Index Options'!$H:$H,"Weekly*")+SUMIFS('NSE - Other Index Options'!$L:$L,'NSE - Other Index Options'!$C:$C,$A22,'NSE - Other Index Options'!$B:$B,B$4,'NSE - Other Index Options'!$H:$H,"MDAW*"))</f>
        <v>43191.350000000006</v>
      </c>
      <c r="C22" s="26">
        <f>IF(SUMIFS('NSE - NIFTY Index Options'!$L:$L,'NSE - NIFTY Index Options'!$C:$C,$A22,'NSE - NIFTY Index Options'!$B:$B,C$4,'NSE - NIFTY Index Options'!$H:$H,"Weekly*")+SUMIFS('NSE - NIFTY Index Options'!$L:$L,'NSE - NIFTY Index Options'!$C:$C,$A22,'NSE - NIFTY Index Options'!$B:$B,C$4,'NSE - NIFTY Index Options'!$H:$H,"MDAW*")+SUMIFS('NSE - Other Index Options'!$L:$L,'NSE - Other Index Options'!$C:$C,$A22,'NSE - Other Index Options'!$B:$B,C$4,'NSE - Other Index Options'!$H:$H,"Weekly*")+SUMIFS('NSE - Other Index Options'!$L:$L,'NSE - Other Index Options'!$C:$C,$A22,'NSE - Other Index Options'!$B:$B,C$4,'NSE - Other Index Options'!$H:$H,"MDAW*")=0,"",SUMIFS('NSE - NIFTY Index Options'!$L:$L,'NSE - NIFTY Index Options'!$C:$C,$A22,'NSE - NIFTY Index Options'!$B:$B,C$4,'NSE - NIFTY Index Options'!$H:$H,"Weekly*")+SUMIFS('NSE - NIFTY Index Options'!$L:$L,'NSE - NIFTY Index Options'!$C:$C,$A22,'NSE - NIFTY Index Options'!$B:$B,C$4,'NSE - NIFTY Index Options'!$H:$H,"MDAW*")+SUMIFS('NSE - Other Index Options'!$L:$L,'NSE - Other Index Options'!$C:$C,$A22,'NSE - Other Index Options'!$B:$B,C$4,'NSE - Other Index Options'!$H:$H,"Weekly*")+SUMIFS('NSE - Other Index Options'!$L:$L,'NSE - Other Index Options'!$C:$C,$A22,'NSE - Other Index Options'!$B:$B,C$4,'NSE - Other Index Options'!$H:$H,"MDAW*"))</f>
        <v>48065.439999999995</v>
      </c>
      <c r="D22" s="26">
        <f>IF(SUMIFS('NSE - NIFTY Index Options'!$L:$L,'NSE - NIFTY Index Options'!$C:$C,$A22,'NSE - NIFTY Index Options'!$B:$B,D$4,'NSE - NIFTY Index Options'!$H:$H,"Weekly*")+SUMIFS('NSE - NIFTY Index Options'!$L:$L,'NSE - NIFTY Index Options'!$C:$C,$A22,'NSE - NIFTY Index Options'!$B:$B,D$4,'NSE - NIFTY Index Options'!$H:$H,"MDAW*")+SUMIFS('NSE - Other Index Options'!$L:$L,'NSE - Other Index Options'!$C:$C,$A22,'NSE - Other Index Options'!$B:$B,D$4,'NSE - Other Index Options'!$H:$H,"Weekly*")+SUMIFS('NSE - Other Index Options'!$L:$L,'NSE - Other Index Options'!$C:$C,$A22,'NSE - Other Index Options'!$B:$B,D$4,'NSE - Other Index Options'!$H:$H,"MDAW*")=0,"",SUMIFS('NSE - NIFTY Index Options'!$L:$L,'NSE - NIFTY Index Options'!$C:$C,$A22,'NSE - NIFTY Index Options'!$B:$B,D$4,'NSE - NIFTY Index Options'!$H:$H,"Weekly*")+SUMIFS('NSE - NIFTY Index Options'!$L:$L,'NSE - NIFTY Index Options'!$C:$C,$A22,'NSE - NIFTY Index Options'!$B:$B,D$4,'NSE - NIFTY Index Options'!$H:$H,"MDAW*")+SUMIFS('NSE - Other Index Options'!$L:$L,'NSE - Other Index Options'!$C:$C,$A22,'NSE - Other Index Options'!$B:$B,D$4,'NSE - Other Index Options'!$H:$H,"Weekly*")+SUMIFS('NSE - Other Index Options'!$L:$L,'NSE - Other Index Options'!$C:$C,$A22,'NSE - Other Index Options'!$B:$B,D$4,'NSE - Other Index Options'!$H:$H,"MDAW*"))</f>
        <v>25315.64</v>
      </c>
      <c r="E22" s="26">
        <f>IF(SUMIFS('NSE - NIFTY Index Options'!$L:$L,'NSE - NIFTY Index Options'!$C:$C,$A22,'NSE - NIFTY Index Options'!$B:$B,E$4,'NSE - NIFTY Index Options'!$H:$H,"Weekly*")+SUMIFS('NSE - NIFTY Index Options'!$L:$L,'NSE - NIFTY Index Options'!$C:$C,$A22,'NSE - NIFTY Index Options'!$B:$B,E$4,'NSE - NIFTY Index Options'!$H:$H,"MDAW*")+SUMIFS('NSE - Other Index Options'!$L:$L,'NSE - Other Index Options'!$C:$C,$A22,'NSE - Other Index Options'!$B:$B,E$4,'NSE - Other Index Options'!$H:$H,"Weekly*")+SUMIFS('NSE - Other Index Options'!$L:$L,'NSE - Other Index Options'!$C:$C,$A22,'NSE - Other Index Options'!$B:$B,E$4,'NSE - Other Index Options'!$H:$H,"MDAW*")=0,"",SUMIFS('NSE - NIFTY Index Options'!$L:$L,'NSE - NIFTY Index Options'!$C:$C,$A22,'NSE - NIFTY Index Options'!$B:$B,E$4,'NSE - NIFTY Index Options'!$H:$H,"Weekly*")+SUMIFS('NSE - NIFTY Index Options'!$L:$L,'NSE - NIFTY Index Options'!$C:$C,$A22,'NSE - NIFTY Index Options'!$B:$B,E$4,'NSE - NIFTY Index Options'!$H:$H,"MDAW*")+SUMIFS('NSE - Other Index Options'!$L:$L,'NSE - Other Index Options'!$C:$C,$A22,'NSE - Other Index Options'!$B:$B,E$4,'NSE - Other Index Options'!$H:$H,"Weekly*")+SUMIFS('NSE - Other Index Options'!$L:$L,'NSE - Other Index Options'!$C:$C,$A22,'NSE - Other Index Options'!$B:$B,E$4,'NSE - Other Index Options'!$H:$H,"MDAW*"))</f>
        <v>24842.29</v>
      </c>
      <c r="F22" s="26">
        <f>IF(SUMIFS('NSE - NIFTY Index Options'!$L:$L,'NSE - NIFTY Index Options'!$C:$C,$A22,'NSE - NIFTY Index Options'!$B:$B,F$4,'NSE - NIFTY Index Options'!$H:$H,"Weekly*")+SUMIFS('NSE - NIFTY Index Options'!$L:$L,'NSE - NIFTY Index Options'!$C:$C,$A22,'NSE - NIFTY Index Options'!$B:$B,F$4,'NSE - NIFTY Index Options'!$H:$H,"MDAW*")+SUMIFS('NSE - Other Index Options'!$L:$L,'NSE - Other Index Options'!$C:$C,$A22,'NSE - Other Index Options'!$B:$B,F$4,'NSE - Other Index Options'!$H:$H,"Weekly*")+SUMIFS('NSE - Other Index Options'!$L:$L,'NSE - Other Index Options'!$C:$C,$A22,'NSE - Other Index Options'!$B:$B,F$4,'NSE - Other Index Options'!$H:$H,"MDAW*")=0,"",SUMIFS('NSE - NIFTY Index Options'!$L:$L,'NSE - NIFTY Index Options'!$C:$C,$A22,'NSE - NIFTY Index Options'!$B:$B,F$4,'NSE - NIFTY Index Options'!$H:$H,"Weekly*")+SUMIFS('NSE - NIFTY Index Options'!$L:$L,'NSE - NIFTY Index Options'!$C:$C,$A22,'NSE - NIFTY Index Options'!$B:$B,F$4,'NSE - NIFTY Index Options'!$H:$H,"MDAW*")+SUMIFS('NSE - Other Index Options'!$L:$L,'NSE - Other Index Options'!$C:$C,$A22,'NSE - Other Index Options'!$B:$B,F$4,'NSE - Other Index Options'!$H:$H,"Weekly*")+SUMIFS('NSE - Other Index Options'!$L:$L,'NSE - Other Index Options'!$C:$C,$A22,'NSE - Other Index Options'!$B:$B,F$4,'NSE - Other Index Options'!$H:$H,"MDAW*"))</f>
        <v>32893.880000000005</v>
      </c>
      <c r="G22" s="26" t="str">
        <f>IF(SUMIFS('NSE - NIFTY Index Options'!$L:$L,'NSE - NIFTY Index Options'!$C:$C,$A22,'NSE - NIFTY Index Options'!$B:$B,G$4,'NSE - NIFTY Index Options'!$H:$H,"Weekly*")+SUMIFS('NSE - NIFTY Index Options'!$L:$L,'NSE - NIFTY Index Options'!$C:$C,$A22,'NSE - NIFTY Index Options'!$B:$B,G$4,'NSE - NIFTY Index Options'!$H:$H,"MDAW*")+SUMIFS('NSE - Other Index Options'!$L:$L,'NSE - Other Index Options'!$C:$C,$A22,'NSE - Other Index Options'!$B:$B,G$4,'NSE - Other Index Options'!$H:$H,"Weekly*")+SUMIFS('NSE - Other Index Options'!$L:$L,'NSE - Other Index Options'!$C:$C,$A22,'NSE - Other Index Options'!$B:$B,G$4,'NSE - Other Index Options'!$H:$H,"MDAW*")=0,"",SUMIFS('NSE - NIFTY Index Options'!$L:$L,'NSE - NIFTY Index Options'!$C:$C,$A22,'NSE - NIFTY Index Options'!$B:$B,G$4,'NSE - NIFTY Index Options'!$H:$H,"Weekly*")+SUMIFS('NSE - NIFTY Index Options'!$L:$L,'NSE - NIFTY Index Options'!$C:$C,$A22,'NSE - NIFTY Index Options'!$B:$B,G$4,'NSE - NIFTY Index Options'!$H:$H,"MDAW*")+SUMIFS('NSE - Other Index Options'!$L:$L,'NSE - Other Index Options'!$C:$C,$A22,'NSE - Other Index Options'!$B:$B,G$4,'NSE - Other Index Options'!$H:$H,"Weekly*")+SUMIFS('NSE - Other Index Options'!$L:$L,'NSE - Other Index Options'!$C:$C,$A22,'NSE - Other Index Options'!$B:$B,G$4,'NSE - Other Index Options'!$H:$H,"MDAW*"))</f>
        <v/>
      </c>
      <c r="H22" s="26">
        <f t="shared" si="0"/>
        <v>174308.6</v>
      </c>
    </row>
    <row r="23" spans="1:8">
      <c r="A23" t="s">
        <v>28</v>
      </c>
      <c r="B23" s="26">
        <f>IF(SUMIFS('NSE - NIFTY Index Options'!$L:$L,'NSE - NIFTY Index Options'!$C:$C,$A23,'NSE - NIFTY Index Options'!$B:$B,B$4,'NSE - NIFTY Index Options'!$H:$H,"Weekly*")+SUMIFS('NSE - NIFTY Index Options'!$L:$L,'NSE - NIFTY Index Options'!$C:$C,$A23,'NSE - NIFTY Index Options'!$B:$B,B$4,'NSE - NIFTY Index Options'!$H:$H,"MDAW*")+SUMIFS('NSE - Other Index Options'!$L:$L,'NSE - Other Index Options'!$C:$C,$A23,'NSE - Other Index Options'!$B:$B,B$4,'NSE - Other Index Options'!$H:$H,"Weekly*")+SUMIFS('NSE - Other Index Options'!$L:$L,'NSE - Other Index Options'!$C:$C,$A23,'NSE - Other Index Options'!$B:$B,B$4,'NSE - Other Index Options'!$H:$H,"MDAW*")=0,"",SUMIFS('NSE - NIFTY Index Options'!$L:$L,'NSE - NIFTY Index Options'!$C:$C,$A23,'NSE - NIFTY Index Options'!$B:$B,B$4,'NSE - NIFTY Index Options'!$H:$H,"Weekly*")+SUMIFS('NSE - NIFTY Index Options'!$L:$L,'NSE - NIFTY Index Options'!$C:$C,$A23,'NSE - NIFTY Index Options'!$B:$B,B$4,'NSE - NIFTY Index Options'!$H:$H,"MDAW*")+SUMIFS('NSE - Other Index Options'!$L:$L,'NSE - Other Index Options'!$C:$C,$A23,'NSE - Other Index Options'!$B:$B,B$4,'NSE - Other Index Options'!$H:$H,"Weekly*")+SUMIFS('NSE - Other Index Options'!$L:$L,'NSE - Other Index Options'!$C:$C,$A23,'NSE - Other Index Options'!$B:$B,B$4,'NSE - Other Index Options'!$H:$H,"MDAW*"))</f>
        <v>23307.55</v>
      </c>
      <c r="C23" s="26">
        <f>IF(SUMIFS('NSE - NIFTY Index Options'!$L:$L,'NSE - NIFTY Index Options'!$C:$C,$A23,'NSE - NIFTY Index Options'!$B:$B,C$4,'NSE - NIFTY Index Options'!$H:$H,"Weekly*")+SUMIFS('NSE - NIFTY Index Options'!$L:$L,'NSE - NIFTY Index Options'!$C:$C,$A23,'NSE - NIFTY Index Options'!$B:$B,C$4,'NSE - NIFTY Index Options'!$H:$H,"MDAW*")+SUMIFS('NSE - Other Index Options'!$L:$L,'NSE - Other Index Options'!$C:$C,$A23,'NSE - Other Index Options'!$B:$B,C$4,'NSE - Other Index Options'!$H:$H,"Weekly*")+SUMIFS('NSE - Other Index Options'!$L:$L,'NSE - Other Index Options'!$C:$C,$A23,'NSE - Other Index Options'!$B:$B,C$4,'NSE - Other Index Options'!$H:$H,"MDAW*")=0,"",SUMIFS('NSE - NIFTY Index Options'!$L:$L,'NSE - NIFTY Index Options'!$C:$C,$A23,'NSE - NIFTY Index Options'!$B:$B,C$4,'NSE - NIFTY Index Options'!$H:$H,"Weekly*")+SUMIFS('NSE - NIFTY Index Options'!$L:$L,'NSE - NIFTY Index Options'!$C:$C,$A23,'NSE - NIFTY Index Options'!$B:$B,C$4,'NSE - NIFTY Index Options'!$H:$H,"MDAW*")+SUMIFS('NSE - Other Index Options'!$L:$L,'NSE - Other Index Options'!$C:$C,$A23,'NSE - Other Index Options'!$B:$B,C$4,'NSE - Other Index Options'!$H:$H,"Weekly*")+SUMIFS('NSE - Other Index Options'!$L:$L,'NSE - Other Index Options'!$C:$C,$A23,'NSE - Other Index Options'!$B:$B,C$4,'NSE - Other Index Options'!$H:$H,"MDAW*"))</f>
        <v>37497.94</v>
      </c>
      <c r="D23" s="26">
        <f>IF(SUMIFS('NSE - NIFTY Index Options'!$L:$L,'NSE - NIFTY Index Options'!$C:$C,$A23,'NSE - NIFTY Index Options'!$B:$B,D$4,'NSE - NIFTY Index Options'!$H:$H,"Weekly*")+SUMIFS('NSE - NIFTY Index Options'!$L:$L,'NSE - NIFTY Index Options'!$C:$C,$A23,'NSE - NIFTY Index Options'!$B:$B,D$4,'NSE - NIFTY Index Options'!$H:$H,"MDAW*")+SUMIFS('NSE - Other Index Options'!$L:$L,'NSE - Other Index Options'!$C:$C,$A23,'NSE - Other Index Options'!$B:$B,D$4,'NSE - Other Index Options'!$H:$H,"Weekly*")+SUMIFS('NSE - Other Index Options'!$L:$L,'NSE - Other Index Options'!$C:$C,$A23,'NSE - Other Index Options'!$B:$B,D$4,'NSE - Other Index Options'!$H:$H,"MDAW*")=0,"",SUMIFS('NSE - NIFTY Index Options'!$L:$L,'NSE - NIFTY Index Options'!$C:$C,$A23,'NSE - NIFTY Index Options'!$B:$B,D$4,'NSE - NIFTY Index Options'!$H:$H,"Weekly*")+SUMIFS('NSE - NIFTY Index Options'!$L:$L,'NSE - NIFTY Index Options'!$C:$C,$A23,'NSE - NIFTY Index Options'!$B:$B,D$4,'NSE - NIFTY Index Options'!$H:$H,"MDAW*")+SUMIFS('NSE - Other Index Options'!$L:$L,'NSE - Other Index Options'!$C:$C,$A23,'NSE - Other Index Options'!$B:$B,D$4,'NSE - Other Index Options'!$H:$H,"Weekly*")+SUMIFS('NSE - Other Index Options'!$L:$L,'NSE - Other Index Options'!$C:$C,$A23,'NSE - Other Index Options'!$B:$B,D$4,'NSE - Other Index Options'!$H:$H,"MDAW*"))</f>
        <v>18563.650000000001</v>
      </c>
      <c r="E23" s="26" t="str">
        <f>IF(SUMIFS('NSE - NIFTY Index Options'!$L:$L,'NSE - NIFTY Index Options'!$C:$C,$A23,'NSE - NIFTY Index Options'!$B:$B,E$4,'NSE - NIFTY Index Options'!$H:$H,"Weekly*")+SUMIFS('NSE - NIFTY Index Options'!$L:$L,'NSE - NIFTY Index Options'!$C:$C,$A23,'NSE - NIFTY Index Options'!$B:$B,E$4,'NSE - NIFTY Index Options'!$H:$H,"MDAW*")+SUMIFS('NSE - Other Index Options'!$L:$L,'NSE - Other Index Options'!$C:$C,$A23,'NSE - Other Index Options'!$B:$B,E$4,'NSE - Other Index Options'!$H:$H,"Weekly*")+SUMIFS('NSE - Other Index Options'!$L:$L,'NSE - Other Index Options'!$C:$C,$A23,'NSE - Other Index Options'!$B:$B,E$4,'NSE - Other Index Options'!$H:$H,"MDAW*")=0,"",SUMIFS('NSE - NIFTY Index Options'!$L:$L,'NSE - NIFTY Index Options'!$C:$C,$A23,'NSE - NIFTY Index Options'!$B:$B,E$4,'NSE - NIFTY Index Options'!$H:$H,"Weekly*")+SUMIFS('NSE - NIFTY Index Options'!$L:$L,'NSE - NIFTY Index Options'!$C:$C,$A23,'NSE - NIFTY Index Options'!$B:$B,E$4,'NSE - NIFTY Index Options'!$H:$H,"MDAW*")+SUMIFS('NSE - Other Index Options'!$L:$L,'NSE - Other Index Options'!$C:$C,$A23,'NSE - Other Index Options'!$B:$B,E$4,'NSE - Other Index Options'!$H:$H,"Weekly*")+SUMIFS('NSE - Other Index Options'!$L:$L,'NSE - Other Index Options'!$C:$C,$A23,'NSE - Other Index Options'!$B:$B,E$4,'NSE - Other Index Options'!$H:$H,"MDAW*"))</f>
        <v/>
      </c>
      <c r="F23" s="26">
        <f>IF(SUMIFS('NSE - NIFTY Index Options'!$L:$L,'NSE - NIFTY Index Options'!$C:$C,$A23,'NSE - NIFTY Index Options'!$B:$B,F$4,'NSE - NIFTY Index Options'!$H:$H,"Weekly*")+SUMIFS('NSE - NIFTY Index Options'!$L:$L,'NSE - NIFTY Index Options'!$C:$C,$A23,'NSE - NIFTY Index Options'!$B:$B,F$4,'NSE - NIFTY Index Options'!$H:$H,"MDAW*")+SUMIFS('NSE - Other Index Options'!$L:$L,'NSE - Other Index Options'!$C:$C,$A23,'NSE - Other Index Options'!$B:$B,F$4,'NSE - Other Index Options'!$H:$H,"Weekly*")+SUMIFS('NSE - Other Index Options'!$L:$L,'NSE - Other Index Options'!$C:$C,$A23,'NSE - Other Index Options'!$B:$B,F$4,'NSE - Other Index Options'!$H:$H,"MDAW*")=0,"",SUMIFS('NSE - NIFTY Index Options'!$L:$L,'NSE - NIFTY Index Options'!$C:$C,$A23,'NSE - NIFTY Index Options'!$B:$B,F$4,'NSE - NIFTY Index Options'!$H:$H,"Weekly*")+SUMIFS('NSE - NIFTY Index Options'!$L:$L,'NSE - NIFTY Index Options'!$C:$C,$A23,'NSE - NIFTY Index Options'!$B:$B,F$4,'NSE - NIFTY Index Options'!$H:$H,"MDAW*")+SUMIFS('NSE - Other Index Options'!$L:$L,'NSE - Other Index Options'!$C:$C,$A23,'NSE - Other Index Options'!$B:$B,F$4,'NSE - Other Index Options'!$H:$H,"Weekly*")+SUMIFS('NSE - Other Index Options'!$L:$L,'NSE - Other Index Options'!$C:$C,$A23,'NSE - Other Index Options'!$B:$B,F$4,'NSE - Other Index Options'!$H:$H,"MDAW*"))</f>
        <v>22442.63</v>
      </c>
      <c r="G23" s="26" t="str">
        <f>IF(SUMIFS('NSE - NIFTY Index Options'!$L:$L,'NSE - NIFTY Index Options'!$C:$C,$A23,'NSE - NIFTY Index Options'!$B:$B,G$4,'NSE - NIFTY Index Options'!$H:$H,"Weekly*")+SUMIFS('NSE - NIFTY Index Options'!$L:$L,'NSE - NIFTY Index Options'!$C:$C,$A23,'NSE - NIFTY Index Options'!$B:$B,G$4,'NSE - NIFTY Index Options'!$H:$H,"MDAW*")+SUMIFS('NSE - Other Index Options'!$L:$L,'NSE - Other Index Options'!$C:$C,$A23,'NSE - Other Index Options'!$B:$B,G$4,'NSE - Other Index Options'!$H:$H,"Weekly*")+SUMIFS('NSE - Other Index Options'!$L:$L,'NSE - Other Index Options'!$C:$C,$A23,'NSE - Other Index Options'!$B:$B,G$4,'NSE - Other Index Options'!$H:$H,"MDAW*")=0,"",SUMIFS('NSE - NIFTY Index Options'!$L:$L,'NSE - NIFTY Index Options'!$C:$C,$A23,'NSE - NIFTY Index Options'!$B:$B,G$4,'NSE - NIFTY Index Options'!$H:$H,"Weekly*")+SUMIFS('NSE - NIFTY Index Options'!$L:$L,'NSE - NIFTY Index Options'!$C:$C,$A23,'NSE - NIFTY Index Options'!$B:$B,G$4,'NSE - NIFTY Index Options'!$H:$H,"MDAW*")+SUMIFS('NSE - Other Index Options'!$L:$L,'NSE - Other Index Options'!$C:$C,$A23,'NSE - Other Index Options'!$B:$B,G$4,'NSE - Other Index Options'!$H:$H,"Weekly*")+SUMIFS('NSE - Other Index Options'!$L:$L,'NSE - Other Index Options'!$C:$C,$A23,'NSE - Other Index Options'!$B:$B,G$4,'NSE - Other Index Options'!$H:$H,"MDAW*"))</f>
        <v/>
      </c>
      <c r="H23" s="26">
        <f t="shared" si="0"/>
        <v>101811.77000000002</v>
      </c>
    </row>
    <row r="24" spans="1:8">
      <c r="A24" t="s">
        <v>29</v>
      </c>
      <c r="B24" s="26">
        <f>IF(SUMIFS('NSE - NIFTY Index Options'!$L:$L,'NSE - NIFTY Index Options'!$C:$C,$A24,'NSE - NIFTY Index Options'!$B:$B,B$4,'NSE - NIFTY Index Options'!$H:$H,"Weekly*")+SUMIFS('NSE - NIFTY Index Options'!$L:$L,'NSE - NIFTY Index Options'!$C:$C,$A24,'NSE - NIFTY Index Options'!$B:$B,B$4,'NSE - NIFTY Index Options'!$H:$H,"MDAW*")+SUMIFS('NSE - Other Index Options'!$L:$L,'NSE - Other Index Options'!$C:$C,$A24,'NSE - Other Index Options'!$B:$B,B$4,'NSE - Other Index Options'!$H:$H,"Weekly*")+SUMIFS('NSE - Other Index Options'!$L:$L,'NSE - Other Index Options'!$C:$C,$A24,'NSE - Other Index Options'!$B:$B,B$4,'NSE - Other Index Options'!$H:$H,"MDAW*")=0,"",SUMIFS('NSE - NIFTY Index Options'!$L:$L,'NSE - NIFTY Index Options'!$C:$C,$A24,'NSE - NIFTY Index Options'!$B:$B,B$4,'NSE - NIFTY Index Options'!$H:$H,"Weekly*")+SUMIFS('NSE - NIFTY Index Options'!$L:$L,'NSE - NIFTY Index Options'!$C:$C,$A24,'NSE - NIFTY Index Options'!$B:$B,B$4,'NSE - NIFTY Index Options'!$H:$H,"MDAW*")+SUMIFS('NSE - Other Index Options'!$L:$L,'NSE - Other Index Options'!$C:$C,$A24,'NSE - Other Index Options'!$B:$B,B$4,'NSE - Other Index Options'!$H:$H,"Weekly*")+SUMIFS('NSE - Other Index Options'!$L:$L,'NSE - Other Index Options'!$C:$C,$A24,'NSE - Other Index Options'!$B:$B,B$4,'NSE - Other Index Options'!$H:$H,"MDAW*"))</f>
        <v>29279.02</v>
      </c>
      <c r="C24" s="26">
        <f>IF(SUMIFS('NSE - NIFTY Index Options'!$L:$L,'NSE - NIFTY Index Options'!$C:$C,$A24,'NSE - NIFTY Index Options'!$B:$B,C$4,'NSE - NIFTY Index Options'!$H:$H,"Weekly*")+SUMIFS('NSE - NIFTY Index Options'!$L:$L,'NSE - NIFTY Index Options'!$C:$C,$A24,'NSE - NIFTY Index Options'!$B:$B,C$4,'NSE - NIFTY Index Options'!$H:$H,"MDAW*")+SUMIFS('NSE - Other Index Options'!$L:$L,'NSE - Other Index Options'!$C:$C,$A24,'NSE - Other Index Options'!$B:$B,C$4,'NSE - Other Index Options'!$H:$H,"Weekly*")+SUMIFS('NSE - Other Index Options'!$L:$L,'NSE - Other Index Options'!$C:$C,$A24,'NSE - Other Index Options'!$B:$B,C$4,'NSE - Other Index Options'!$H:$H,"MDAW*")=0,"",SUMIFS('NSE - NIFTY Index Options'!$L:$L,'NSE - NIFTY Index Options'!$C:$C,$A24,'NSE - NIFTY Index Options'!$B:$B,C$4,'NSE - NIFTY Index Options'!$H:$H,"Weekly*")+SUMIFS('NSE - NIFTY Index Options'!$L:$L,'NSE - NIFTY Index Options'!$C:$C,$A24,'NSE - NIFTY Index Options'!$B:$B,C$4,'NSE - NIFTY Index Options'!$H:$H,"MDAW*")+SUMIFS('NSE - Other Index Options'!$L:$L,'NSE - Other Index Options'!$C:$C,$A24,'NSE - Other Index Options'!$B:$B,C$4,'NSE - Other Index Options'!$H:$H,"Weekly*")+SUMIFS('NSE - Other Index Options'!$L:$L,'NSE - Other Index Options'!$C:$C,$A24,'NSE - Other Index Options'!$B:$B,C$4,'NSE - Other Index Options'!$H:$H,"MDAW*"))</f>
        <v>41991.07</v>
      </c>
      <c r="D24" s="26">
        <f>IF(SUMIFS('NSE - NIFTY Index Options'!$L:$L,'NSE - NIFTY Index Options'!$C:$C,$A24,'NSE - NIFTY Index Options'!$B:$B,D$4,'NSE - NIFTY Index Options'!$H:$H,"Weekly*")+SUMIFS('NSE - NIFTY Index Options'!$L:$L,'NSE - NIFTY Index Options'!$C:$C,$A24,'NSE - NIFTY Index Options'!$B:$B,D$4,'NSE - NIFTY Index Options'!$H:$H,"MDAW*")+SUMIFS('NSE - Other Index Options'!$L:$L,'NSE - Other Index Options'!$C:$C,$A24,'NSE - Other Index Options'!$B:$B,D$4,'NSE - Other Index Options'!$H:$H,"Weekly*")+SUMIFS('NSE - Other Index Options'!$L:$L,'NSE - Other Index Options'!$C:$C,$A24,'NSE - Other Index Options'!$B:$B,D$4,'NSE - Other Index Options'!$H:$H,"MDAW*")=0,"",SUMIFS('NSE - NIFTY Index Options'!$L:$L,'NSE - NIFTY Index Options'!$C:$C,$A24,'NSE - NIFTY Index Options'!$B:$B,D$4,'NSE - NIFTY Index Options'!$H:$H,"Weekly*")+SUMIFS('NSE - NIFTY Index Options'!$L:$L,'NSE - NIFTY Index Options'!$C:$C,$A24,'NSE - NIFTY Index Options'!$B:$B,D$4,'NSE - NIFTY Index Options'!$H:$H,"MDAW*")+SUMIFS('NSE - Other Index Options'!$L:$L,'NSE - Other Index Options'!$C:$C,$A24,'NSE - Other Index Options'!$B:$B,D$4,'NSE - Other Index Options'!$H:$H,"Weekly*")+SUMIFS('NSE - Other Index Options'!$L:$L,'NSE - Other Index Options'!$C:$C,$A24,'NSE - Other Index Options'!$B:$B,D$4,'NSE - Other Index Options'!$H:$H,"MDAW*"))</f>
        <v>23684.469999999998</v>
      </c>
      <c r="E24" s="26" t="str">
        <f>IF(SUMIFS('NSE - NIFTY Index Options'!$L:$L,'NSE - NIFTY Index Options'!$C:$C,$A24,'NSE - NIFTY Index Options'!$B:$B,E$4,'NSE - NIFTY Index Options'!$H:$H,"Weekly*")+SUMIFS('NSE - NIFTY Index Options'!$L:$L,'NSE - NIFTY Index Options'!$C:$C,$A24,'NSE - NIFTY Index Options'!$B:$B,E$4,'NSE - NIFTY Index Options'!$H:$H,"MDAW*")+SUMIFS('NSE - Other Index Options'!$L:$L,'NSE - Other Index Options'!$C:$C,$A24,'NSE - Other Index Options'!$B:$B,E$4,'NSE - Other Index Options'!$H:$H,"Weekly*")+SUMIFS('NSE - Other Index Options'!$L:$L,'NSE - Other Index Options'!$C:$C,$A24,'NSE - Other Index Options'!$B:$B,E$4,'NSE - Other Index Options'!$H:$H,"MDAW*")=0,"",SUMIFS('NSE - NIFTY Index Options'!$L:$L,'NSE - NIFTY Index Options'!$C:$C,$A24,'NSE - NIFTY Index Options'!$B:$B,E$4,'NSE - NIFTY Index Options'!$H:$H,"Weekly*")+SUMIFS('NSE - NIFTY Index Options'!$L:$L,'NSE - NIFTY Index Options'!$C:$C,$A24,'NSE - NIFTY Index Options'!$B:$B,E$4,'NSE - NIFTY Index Options'!$H:$H,"MDAW*")+SUMIFS('NSE - Other Index Options'!$L:$L,'NSE - Other Index Options'!$C:$C,$A24,'NSE - Other Index Options'!$B:$B,E$4,'NSE - Other Index Options'!$H:$H,"Weekly*")+SUMIFS('NSE - Other Index Options'!$L:$L,'NSE - Other Index Options'!$C:$C,$A24,'NSE - Other Index Options'!$B:$B,E$4,'NSE - Other Index Options'!$H:$H,"MDAW*"))</f>
        <v/>
      </c>
      <c r="F24" s="26" t="str">
        <f>IF(SUMIFS('NSE - NIFTY Index Options'!$L:$L,'NSE - NIFTY Index Options'!$C:$C,$A24,'NSE - NIFTY Index Options'!$B:$B,F$4,'NSE - NIFTY Index Options'!$H:$H,"Weekly*")+SUMIFS('NSE - NIFTY Index Options'!$L:$L,'NSE - NIFTY Index Options'!$C:$C,$A24,'NSE - NIFTY Index Options'!$B:$B,F$4,'NSE - NIFTY Index Options'!$H:$H,"MDAW*")+SUMIFS('NSE - Other Index Options'!$L:$L,'NSE - Other Index Options'!$C:$C,$A24,'NSE - Other Index Options'!$B:$B,F$4,'NSE - Other Index Options'!$H:$H,"Weekly*")+SUMIFS('NSE - Other Index Options'!$L:$L,'NSE - Other Index Options'!$C:$C,$A24,'NSE - Other Index Options'!$B:$B,F$4,'NSE - Other Index Options'!$H:$H,"MDAW*")=0,"",SUMIFS('NSE - NIFTY Index Options'!$L:$L,'NSE - NIFTY Index Options'!$C:$C,$A24,'NSE - NIFTY Index Options'!$B:$B,F$4,'NSE - NIFTY Index Options'!$H:$H,"Weekly*")+SUMIFS('NSE - NIFTY Index Options'!$L:$L,'NSE - NIFTY Index Options'!$C:$C,$A24,'NSE - NIFTY Index Options'!$B:$B,F$4,'NSE - NIFTY Index Options'!$H:$H,"MDAW*")+SUMIFS('NSE - Other Index Options'!$L:$L,'NSE - Other Index Options'!$C:$C,$A24,'NSE - Other Index Options'!$B:$B,F$4,'NSE - Other Index Options'!$H:$H,"Weekly*")+SUMIFS('NSE - Other Index Options'!$L:$L,'NSE - Other Index Options'!$C:$C,$A24,'NSE - Other Index Options'!$B:$B,F$4,'NSE - Other Index Options'!$H:$H,"MDAW*"))</f>
        <v/>
      </c>
      <c r="G24" s="26" t="str">
        <f>IF(SUMIFS('NSE - NIFTY Index Options'!$L:$L,'NSE - NIFTY Index Options'!$C:$C,$A24,'NSE - NIFTY Index Options'!$B:$B,G$4,'NSE - NIFTY Index Options'!$H:$H,"Weekly*")+SUMIFS('NSE - NIFTY Index Options'!$L:$L,'NSE - NIFTY Index Options'!$C:$C,$A24,'NSE - NIFTY Index Options'!$B:$B,G$4,'NSE - NIFTY Index Options'!$H:$H,"MDAW*")+SUMIFS('NSE - Other Index Options'!$L:$L,'NSE - Other Index Options'!$C:$C,$A24,'NSE - Other Index Options'!$B:$B,G$4,'NSE - Other Index Options'!$H:$H,"Weekly*")+SUMIFS('NSE - Other Index Options'!$L:$L,'NSE - Other Index Options'!$C:$C,$A24,'NSE - Other Index Options'!$B:$B,G$4,'NSE - Other Index Options'!$H:$H,"MDAW*")=0,"",SUMIFS('NSE - NIFTY Index Options'!$L:$L,'NSE - NIFTY Index Options'!$C:$C,$A24,'NSE - NIFTY Index Options'!$B:$B,G$4,'NSE - NIFTY Index Options'!$H:$H,"Weekly*")+SUMIFS('NSE - NIFTY Index Options'!$L:$L,'NSE - NIFTY Index Options'!$C:$C,$A24,'NSE - NIFTY Index Options'!$B:$B,G$4,'NSE - NIFTY Index Options'!$H:$H,"MDAW*")+SUMIFS('NSE - Other Index Options'!$L:$L,'NSE - Other Index Options'!$C:$C,$A24,'NSE - Other Index Options'!$B:$B,G$4,'NSE - Other Index Options'!$H:$H,"Weekly*")+SUMIFS('NSE - Other Index Options'!$L:$L,'NSE - Other Index Options'!$C:$C,$A24,'NSE - Other Index Options'!$B:$B,G$4,'NSE - Other Index Options'!$H:$H,"MDAW*"))</f>
        <v/>
      </c>
      <c r="H24" s="26">
        <f t="shared" si="0"/>
        <v>94954.559999999998</v>
      </c>
    </row>
    <row r="25" spans="1:8">
      <c r="A25" t="s">
        <v>30</v>
      </c>
      <c r="B25" s="26">
        <f>IF(SUMIFS('NSE - NIFTY Index Options'!$L:$L,'NSE - NIFTY Index Options'!$C:$C,$A25,'NSE - NIFTY Index Options'!$B:$B,B$4,'NSE - NIFTY Index Options'!$H:$H,"Weekly*")+SUMIFS('NSE - NIFTY Index Options'!$L:$L,'NSE - NIFTY Index Options'!$C:$C,$A25,'NSE - NIFTY Index Options'!$B:$B,B$4,'NSE - NIFTY Index Options'!$H:$H,"MDAW*")+SUMIFS('NSE - Other Index Options'!$L:$L,'NSE - Other Index Options'!$C:$C,$A25,'NSE - Other Index Options'!$B:$B,B$4,'NSE - Other Index Options'!$H:$H,"Weekly*")+SUMIFS('NSE - Other Index Options'!$L:$L,'NSE - Other Index Options'!$C:$C,$A25,'NSE - Other Index Options'!$B:$B,B$4,'NSE - Other Index Options'!$H:$H,"MDAW*")=0,"",SUMIFS('NSE - NIFTY Index Options'!$L:$L,'NSE - NIFTY Index Options'!$C:$C,$A25,'NSE - NIFTY Index Options'!$B:$B,B$4,'NSE - NIFTY Index Options'!$H:$H,"Weekly*")+SUMIFS('NSE - NIFTY Index Options'!$L:$L,'NSE - NIFTY Index Options'!$C:$C,$A25,'NSE - NIFTY Index Options'!$B:$B,B$4,'NSE - NIFTY Index Options'!$H:$H,"MDAW*")+SUMIFS('NSE - Other Index Options'!$L:$L,'NSE - Other Index Options'!$C:$C,$A25,'NSE - Other Index Options'!$B:$B,B$4,'NSE - Other Index Options'!$H:$H,"Weekly*")+SUMIFS('NSE - Other Index Options'!$L:$L,'NSE - Other Index Options'!$C:$C,$A25,'NSE - Other Index Options'!$B:$B,B$4,'NSE - Other Index Options'!$H:$H,"MDAW*"))</f>
        <v>43625.770000000004</v>
      </c>
      <c r="C25" s="26">
        <f>IF(SUMIFS('NSE - NIFTY Index Options'!$L:$L,'NSE - NIFTY Index Options'!$C:$C,$A25,'NSE - NIFTY Index Options'!$B:$B,C$4,'NSE - NIFTY Index Options'!$H:$H,"Weekly*")+SUMIFS('NSE - NIFTY Index Options'!$L:$L,'NSE - NIFTY Index Options'!$C:$C,$A25,'NSE - NIFTY Index Options'!$B:$B,C$4,'NSE - NIFTY Index Options'!$H:$H,"MDAW*")+SUMIFS('NSE - Other Index Options'!$L:$L,'NSE - Other Index Options'!$C:$C,$A25,'NSE - Other Index Options'!$B:$B,C$4,'NSE - Other Index Options'!$H:$H,"Weekly*")+SUMIFS('NSE - Other Index Options'!$L:$L,'NSE - Other Index Options'!$C:$C,$A25,'NSE - Other Index Options'!$B:$B,C$4,'NSE - Other Index Options'!$H:$H,"MDAW*")=0,"",SUMIFS('NSE - NIFTY Index Options'!$L:$L,'NSE - NIFTY Index Options'!$C:$C,$A25,'NSE - NIFTY Index Options'!$B:$B,C$4,'NSE - NIFTY Index Options'!$H:$H,"Weekly*")+SUMIFS('NSE - NIFTY Index Options'!$L:$L,'NSE - NIFTY Index Options'!$C:$C,$A25,'NSE - NIFTY Index Options'!$B:$B,C$4,'NSE - NIFTY Index Options'!$H:$H,"MDAW*")+SUMIFS('NSE - Other Index Options'!$L:$L,'NSE - Other Index Options'!$C:$C,$A25,'NSE - Other Index Options'!$B:$B,C$4,'NSE - Other Index Options'!$H:$H,"Weekly*")+SUMIFS('NSE - Other Index Options'!$L:$L,'NSE - Other Index Options'!$C:$C,$A25,'NSE - Other Index Options'!$B:$B,C$4,'NSE - Other Index Options'!$H:$H,"MDAW*"))</f>
        <v>50644.6</v>
      </c>
      <c r="D25" s="26">
        <f>IF(SUMIFS('NSE - NIFTY Index Options'!$L:$L,'NSE - NIFTY Index Options'!$C:$C,$A25,'NSE - NIFTY Index Options'!$B:$B,D$4,'NSE - NIFTY Index Options'!$H:$H,"Weekly*")+SUMIFS('NSE - NIFTY Index Options'!$L:$L,'NSE - NIFTY Index Options'!$C:$C,$A25,'NSE - NIFTY Index Options'!$B:$B,D$4,'NSE - NIFTY Index Options'!$H:$H,"MDAW*")+SUMIFS('NSE - Other Index Options'!$L:$L,'NSE - Other Index Options'!$C:$C,$A25,'NSE - Other Index Options'!$B:$B,D$4,'NSE - Other Index Options'!$H:$H,"Weekly*")+SUMIFS('NSE - Other Index Options'!$L:$L,'NSE - Other Index Options'!$C:$C,$A25,'NSE - Other Index Options'!$B:$B,D$4,'NSE - Other Index Options'!$H:$H,"MDAW*")=0,"",SUMIFS('NSE - NIFTY Index Options'!$L:$L,'NSE - NIFTY Index Options'!$C:$C,$A25,'NSE - NIFTY Index Options'!$B:$B,D$4,'NSE - NIFTY Index Options'!$H:$H,"Weekly*")+SUMIFS('NSE - NIFTY Index Options'!$L:$L,'NSE - NIFTY Index Options'!$C:$C,$A25,'NSE - NIFTY Index Options'!$B:$B,D$4,'NSE - NIFTY Index Options'!$H:$H,"MDAW*")+SUMIFS('NSE - Other Index Options'!$L:$L,'NSE - Other Index Options'!$C:$C,$A25,'NSE - Other Index Options'!$B:$B,D$4,'NSE - Other Index Options'!$H:$H,"Weekly*")+SUMIFS('NSE - Other Index Options'!$L:$L,'NSE - Other Index Options'!$C:$C,$A25,'NSE - Other Index Options'!$B:$B,D$4,'NSE - Other Index Options'!$H:$H,"MDAW*"))</f>
        <v>27684.32</v>
      </c>
      <c r="E25" s="26">
        <f>IF(SUMIFS('NSE - NIFTY Index Options'!$L:$L,'NSE - NIFTY Index Options'!$C:$C,$A25,'NSE - NIFTY Index Options'!$B:$B,E$4,'NSE - NIFTY Index Options'!$H:$H,"Weekly*")+SUMIFS('NSE - NIFTY Index Options'!$L:$L,'NSE - NIFTY Index Options'!$C:$C,$A25,'NSE - NIFTY Index Options'!$B:$B,E$4,'NSE - NIFTY Index Options'!$H:$H,"MDAW*")+SUMIFS('NSE - Other Index Options'!$L:$L,'NSE - Other Index Options'!$C:$C,$A25,'NSE - Other Index Options'!$B:$B,E$4,'NSE - Other Index Options'!$H:$H,"Weekly*")+SUMIFS('NSE - Other Index Options'!$L:$L,'NSE - Other Index Options'!$C:$C,$A25,'NSE - Other Index Options'!$B:$B,E$4,'NSE - Other Index Options'!$H:$H,"MDAW*")=0,"",SUMIFS('NSE - NIFTY Index Options'!$L:$L,'NSE - NIFTY Index Options'!$C:$C,$A25,'NSE - NIFTY Index Options'!$B:$B,E$4,'NSE - NIFTY Index Options'!$H:$H,"Weekly*")+SUMIFS('NSE - NIFTY Index Options'!$L:$L,'NSE - NIFTY Index Options'!$C:$C,$A25,'NSE - NIFTY Index Options'!$B:$B,E$4,'NSE - NIFTY Index Options'!$H:$H,"MDAW*")+SUMIFS('NSE - Other Index Options'!$L:$L,'NSE - Other Index Options'!$C:$C,$A25,'NSE - Other Index Options'!$B:$B,E$4,'NSE - Other Index Options'!$H:$H,"Weekly*")+SUMIFS('NSE - Other Index Options'!$L:$L,'NSE - Other Index Options'!$C:$C,$A25,'NSE - Other Index Options'!$B:$B,E$4,'NSE - Other Index Options'!$H:$H,"MDAW*"))</f>
        <v>17037.490000000002</v>
      </c>
      <c r="F25" s="26">
        <f>IF(SUMIFS('NSE - NIFTY Index Options'!$L:$L,'NSE - NIFTY Index Options'!$C:$C,$A25,'NSE - NIFTY Index Options'!$B:$B,F$4,'NSE - NIFTY Index Options'!$H:$H,"Weekly*")+SUMIFS('NSE - NIFTY Index Options'!$L:$L,'NSE - NIFTY Index Options'!$C:$C,$A25,'NSE - NIFTY Index Options'!$B:$B,F$4,'NSE - NIFTY Index Options'!$H:$H,"MDAW*")+SUMIFS('NSE - Other Index Options'!$L:$L,'NSE - Other Index Options'!$C:$C,$A25,'NSE - Other Index Options'!$B:$B,F$4,'NSE - Other Index Options'!$H:$H,"Weekly*")+SUMIFS('NSE - Other Index Options'!$L:$L,'NSE - Other Index Options'!$C:$C,$A25,'NSE - Other Index Options'!$B:$B,F$4,'NSE - Other Index Options'!$H:$H,"MDAW*")=0,"",SUMIFS('NSE - NIFTY Index Options'!$L:$L,'NSE - NIFTY Index Options'!$C:$C,$A25,'NSE - NIFTY Index Options'!$B:$B,F$4,'NSE - NIFTY Index Options'!$H:$H,"Weekly*")+SUMIFS('NSE - NIFTY Index Options'!$L:$L,'NSE - NIFTY Index Options'!$C:$C,$A25,'NSE - NIFTY Index Options'!$B:$B,F$4,'NSE - NIFTY Index Options'!$H:$H,"MDAW*")+SUMIFS('NSE - Other Index Options'!$L:$L,'NSE - Other Index Options'!$C:$C,$A25,'NSE - Other Index Options'!$B:$B,F$4,'NSE - Other Index Options'!$H:$H,"Weekly*")+SUMIFS('NSE - Other Index Options'!$L:$L,'NSE - Other Index Options'!$C:$C,$A25,'NSE - Other Index Options'!$B:$B,F$4,'NSE - Other Index Options'!$H:$H,"MDAW*"))</f>
        <v>26879.389999999996</v>
      </c>
      <c r="G25" s="26" t="str">
        <f>IF(SUMIFS('NSE - NIFTY Index Options'!$L:$L,'NSE - NIFTY Index Options'!$C:$C,$A25,'NSE - NIFTY Index Options'!$B:$B,G$4,'NSE - NIFTY Index Options'!$H:$H,"Weekly*")+SUMIFS('NSE - NIFTY Index Options'!$L:$L,'NSE - NIFTY Index Options'!$C:$C,$A25,'NSE - NIFTY Index Options'!$B:$B,G$4,'NSE - NIFTY Index Options'!$H:$H,"MDAW*")+SUMIFS('NSE - Other Index Options'!$L:$L,'NSE - Other Index Options'!$C:$C,$A25,'NSE - Other Index Options'!$B:$B,G$4,'NSE - Other Index Options'!$H:$H,"Weekly*")+SUMIFS('NSE - Other Index Options'!$L:$L,'NSE - Other Index Options'!$C:$C,$A25,'NSE - Other Index Options'!$B:$B,G$4,'NSE - Other Index Options'!$H:$H,"MDAW*")=0,"",SUMIFS('NSE - NIFTY Index Options'!$L:$L,'NSE - NIFTY Index Options'!$C:$C,$A25,'NSE - NIFTY Index Options'!$B:$B,G$4,'NSE - NIFTY Index Options'!$H:$H,"Weekly*")+SUMIFS('NSE - NIFTY Index Options'!$L:$L,'NSE - NIFTY Index Options'!$C:$C,$A25,'NSE - NIFTY Index Options'!$B:$B,G$4,'NSE - NIFTY Index Options'!$H:$H,"MDAW*")+SUMIFS('NSE - Other Index Options'!$L:$L,'NSE - Other Index Options'!$C:$C,$A25,'NSE - Other Index Options'!$B:$B,G$4,'NSE - Other Index Options'!$H:$H,"Weekly*")+SUMIFS('NSE - Other Index Options'!$L:$L,'NSE - Other Index Options'!$C:$C,$A25,'NSE - Other Index Options'!$B:$B,G$4,'NSE - Other Index Options'!$H:$H,"MDAW*"))</f>
        <v/>
      </c>
      <c r="H25" s="26">
        <f t="shared" si="0"/>
        <v>165871.56999999998</v>
      </c>
    </row>
    <row r="26" spans="1:8">
      <c r="A26" t="s">
        <v>31</v>
      </c>
      <c r="B26" s="26">
        <f>IF(SUMIFS('NSE - NIFTY Index Options'!$L:$L,'NSE - NIFTY Index Options'!$C:$C,$A26,'NSE - NIFTY Index Options'!$B:$B,B$4,'NSE - NIFTY Index Options'!$H:$H,"Weekly*")+SUMIFS('NSE - NIFTY Index Options'!$L:$L,'NSE - NIFTY Index Options'!$C:$C,$A26,'NSE - NIFTY Index Options'!$B:$B,B$4,'NSE - NIFTY Index Options'!$H:$H,"MDAW*")+SUMIFS('NSE - Other Index Options'!$L:$L,'NSE - Other Index Options'!$C:$C,$A26,'NSE - Other Index Options'!$B:$B,B$4,'NSE - Other Index Options'!$H:$H,"Weekly*")+SUMIFS('NSE - Other Index Options'!$L:$L,'NSE - Other Index Options'!$C:$C,$A26,'NSE - Other Index Options'!$B:$B,B$4,'NSE - Other Index Options'!$H:$H,"MDAW*")=0,"",SUMIFS('NSE - NIFTY Index Options'!$L:$L,'NSE - NIFTY Index Options'!$C:$C,$A26,'NSE - NIFTY Index Options'!$B:$B,B$4,'NSE - NIFTY Index Options'!$H:$H,"Weekly*")+SUMIFS('NSE - NIFTY Index Options'!$L:$L,'NSE - NIFTY Index Options'!$C:$C,$A26,'NSE - NIFTY Index Options'!$B:$B,B$4,'NSE - NIFTY Index Options'!$H:$H,"MDAW*")+SUMIFS('NSE - Other Index Options'!$L:$L,'NSE - Other Index Options'!$C:$C,$A26,'NSE - Other Index Options'!$B:$B,B$4,'NSE - Other Index Options'!$H:$H,"Weekly*")+SUMIFS('NSE - Other Index Options'!$L:$L,'NSE - Other Index Options'!$C:$C,$A26,'NSE - Other Index Options'!$B:$B,B$4,'NSE - Other Index Options'!$H:$H,"MDAW*"))</f>
        <v>68566.900000000009</v>
      </c>
      <c r="C26" s="26">
        <f>IF(SUMIFS('NSE - NIFTY Index Options'!$L:$L,'NSE - NIFTY Index Options'!$C:$C,$A26,'NSE - NIFTY Index Options'!$B:$B,C$4,'NSE - NIFTY Index Options'!$H:$H,"Weekly*")+SUMIFS('NSE - NIFTY Index Options'!$L:$L,'NSE - NIFTY Index Options'!$C:$C,$A26,'NSE - NIFTY Index Options'!$B:$B,C$4,'NSE - NIFTY Index Options'!$H:$H,"MDAW*")+SUMIFS('NSE - Other Index Options'!$L:$L,'NSE - Other Index Options'!$C:$C,$A26,'NSE - Other Index Options'!$B:$B,C$4,'NSE - Other Index Options'!$H:$H,"Weekly*")+SUMIFS('NSE - Other Index Options'!$L:$L,'NSE - Other Index Options'!$C:$C,$A26,'NSE - Other Index Options'!$B:$B,C$4,'NSE - Other Index Options'!$H:$H,"MDAW*")=0,"",SUMIFS('NSE - NIFTY Index Options'!$L:$L,'NSE - NIFTY Index Options'!$C:$C,$A26,'NSE - NIFTY Index Options'!$B:$B,C$4,'NSE - NIFTY Index Options'!$H:$H,"Weekly*")+SUMIFS('NSE - NIFTY Index Options'!$L:$L,'NSE - NIFTY Index Options'!$C:$C,$A26,'NSE - NIFTY Index Options'!$B:$B,C$4,'NSE - NIFTY Index Options'!$H:$H,"MDAW*")+SUMIFS('NSE - Other Index Options'!$L:$L,'NSE - Other Index Options'!$C:$C,$A26,'NSE - Other Index Options'!$B:$B,C$4,'NSE - Other Index Options'!$H:$H,"Weekly*")+SUMIFS('NSE - Other Index Options'!$L:$L,'NSE - Other Index Options'!$C:$C,$A26,'NSE - Other Index Options'!$B:$B,C$4,'NSE - Other Index Options'!$H:$H,"MDAW*"))</f>
        <v>79079.460000000006</v>
      </c>
      <c r="D26" s="26">
        <f>IF(SUMIFS('NSE - NIFTY Index Options'!$L:$L,'NSE - NIFTY Index Options'!$C:$C,$A26,'NSE - NIFTY Index Options'!$B:$B,D$4,'NSE - NIFTY Index Options'!$H:$H,"Weekly*")+SUMIFS('NSE - NIFTY Index Options'!$L:$L,'NSE - NIFTY Index Options'!$C:$C,$A26,'NSE - NIFTY Index Options'!$B:$B,D$4,'NSE - NIFTY Index Options'!$H:$H,"MDAW*")+SUMIFS('NSE - Other Index Options'!$L:$L,'NSE - Other Index Options'!$C:$C,$A26,'NSE - Other Index Options'!$B:$B,D$4,'NSE - Other Index Options'!$H:$H,"Weekly*")+SUMIFS('NSE - Other Index Options'!$L:$L,'NSE - Other Index Options'!$C:$C,$A26,'NSE - Other Index Options'!$B:$B,D$4,'NSE - Other Index Options'!$H:$H,"MDAW*")=0,"",SUMIFS('NSE - NIFTY Index Options'!$L:$L,'NSE - NIFTY Index Options'!$C:$C,$A26,'NSE - NIFTY Index Options'!$B:$B,D$4,'NSE - NIFTY Index Options'!$H:$H,"Weekly*")+SUMIFS('NSE - NIFTY Index Options'!$L:$L,'NSE - NIFTY Index Options'!$C:$C,$A26,'NSE - NIFTY Index Options'!$B:$B,D$4,'NSE - NIFTY Index Options'!$H:$H,"MDAW*")+SUMIFS('NSE - Other Index Options'!$L:$L,'NSE - Other Index Options'!$C:$C,$A26,'NSE - Other Index Options'!$B:$B,D$4,'NSE - Other Index Options'!$H:$H,"Weekly*")+SUMIFS('NSE - Other Index Options'!$L:$L,'NSE - Other Index Options'!$C:$C,$A26,'NSE - Other Index Options'!$B:$B,D$4,'NSE - Other Index Options'!$H:$H,"MDAW*"))</f>
        <v>32154.459999999995</v>
      </c>
      <c r="E26" s="26">
        <f>IF(SUMIFS('NSE - NIFTY Index Options'!$L:$L,'NSE - NIFTY Index Options'!$C:$C,$A26,'NSE - NIFTY Index Options'!$B:$B,E$4,'NSE - NIFTY Index Options'!$H:$H,"Weekly*")+SUMIFS('NSE - NIFTY Index Options'!$L:$L,'NSE - NIFTY Index Options'!$C:$C,$A26,'NSE - NIFTY Index Options'!$B:$B,E$4,'NSE - NIFTY Index Options'!$H:$H,"MDAW*")+SUMIFS('NSE - Other Index Options'!$L:$L,'NSE - Other Index Options'!$C:$C,$A26,'NSE - Other Index Options'!$B:$B,E$4,'NSE - Other Index Options'!$H:$H,"Weekly*")+SUMIFS('NSE - Other Index Options'!$L:$L,'NSE - Other Index Options'!$C:$C,$A26,'NSE - Other Index Options'!$B:$B,E$4,'NSE - Other Index Options'!$H:$H,"MDAW*")=0,"",SUMIFS('NSE - NIFTY Index Options'!$L:$L,'NSE - NIFTY Index Options'!$C:$C,$A26,'NSE - NIFTY Index Options'!$B:$B,E$4,'NSE - NIFTY Index Options'!$H:$H,"Weekly*")+SUMIFS('NSE - NIFTY Index Options'!$L:$L,'NSE - NIFTY Index Options'!$C:$C,$A26,'NSE - NIFTY Index Options'!$B:$B,E$4,'NSE - NIFTY Index Options'!$H:$H,"MDAW*")+SUMIFS('NSE - Other Index Options'!$L:$L,'NSE - Other Index Options'!$C:$C,$A26,'NSE - Other Index Options'!$B:$B,E$4,'NSE - Other Index Options'!$H:$H,"Weekly*")+SUMIFS('NSE - Other Index Options'!$L:$L,'NSE - Other Index Options'!$C:$C,$A26,'NSE - Other Index Options'!$B:$B,E$4,'NSE - Other Index Options'!$H:$H,"MDAW*"))</f>
        <v>27163.32</v>
      </c>
      <c r="F26" s="26">
        <f>IF(SUMIFS('NSE - NIFTY Index Options'!$L:$L,'NSE - NIFTY Index Options'!$C:$C,$A26,'NSE - NIFTY Index Options'!$B:$B,F$4,'NSE - NIFTY Index Options'!$H:$H,"Weekly*")+SUMIFS('NSE - NIFTY Index Options'!$L:$L,'NSE - NIFTY Index Options'!$C:$C,$A26,'NSE - NIFTY Index Options'!$B:$B,F$4,'NSE - NIFTY Index Options'!$H:$H,"MDAW*")+SUMIFS('NSE - Other Index Options'!$L:$L,'NSE - Other Index Options'!$C:$C,$A26,'NSE - Other Index Options'!$B:$B,F$4,'NSE - Other Index Options'!$H:$H,"Weekly*")+SUMIFS('NSE - Other Index Options'!$L:$L,'NSE - Other Index Options'!$C:$C,$A26,'NSE - Other Index Options'!$B:$B,F$4,'NSE - Other Index Options'!$H:$H,"MDAW*")=0,"",SUMIFS('NSE - NIFTY Index Options'!$L:$L,'NSE - NIFTY Index Options'!$C:$C,$A26,'NSE - NIFTY Index Options'!$B:$B,F$4,'NSE - NIFTY Index Options'!$H:$H,"Weekly*")+SUMIFS('NSE - NIFTY Index Options'!$L:$L,'NSE - NIFTY Index Options'!$C:$C,$A26,'NSE - NIFTY Index Options'!$B:$B,F$4,'NSE - NIFTY Index Options'!$H:$H,"MDAW*")+SUMIFS('NSE - Other Index Options'!$L:$L,'NSE - Other Index Options'!$C:$C,$A26,'NSE - Other Index Options'!$B:$B,F$4,'NSE - Other Index Options'!$H:$H,"Weekly*")+SUMIFS('NSE - Other Index Options'!$L:$L,'NSE - Other Index Options'!$C:$C,$A26,'NSE - Other Index Options'!$B:$B,F$4,'NSE - Other Index Options'!$H:$H,"MDAW*"))</f>
        <v>50929.979999999996</v>
      </c>
      <c r="G26" s="26" t="str">
        <f>IF(SUMIFS('NSE - NIFTY Index Options'!$L:$L,'NSE - NIFTY Index Options'!$C:$C,$A26,'NSE - NIFTY Index Options'!$B:$B,G$4,'NSE - NIFTY Index Options'!$H:$H,"Weekly*")+SUMIFS('NSE - NIFTY Index Options'!$L:$L,'NSE - NIFTY Index Options'!$C:$C,$A26,'NSE - NIFTY Index Options'!$B:$B,G$4,'NSE - NIFTY Index Options'!$H:$H,"MDAW*")+SUMIFS('NSE - Other Index Options'!$L:$L,'NSE - Other Index Options'!$C:$C,$A26,'NSE - Other Index Options'!$B:$B,G$4,'NSE - Other Index Options'!$H:$H,"Weekly*")+SUMIFS('NSE - Other Index Options'!$L:$L,'NSE - Other Index Options'!$C:$C,$A26,'NSE - Other Index Options'!$B:$B,G$4,'NSE - Other Index Options'!$H:$H,"MDAW*")=0,"",SUMIFS('NSE - NIFTY Index Options'!$L:$L,'NSE - NIFTY Index Options'!$C:$C,$A26,'NSE - NIFTY Index Options'!$B:$B,G$4,'NSE - NIFTY Index Options'!$H:$H,"Weekly*")+SUMIFS('NSE - NIFTY Index Options'!$L:$L,'NSE - NIFTY Index Options'!$C:$C,$A26,'NSE - NIFTY Index Options'!$B:$B,G$4,'NSE - NIFTY Index Options'!$H:$H,"MDAW*")+SUMIFS('NSE - Other Index Options'!$L:$L,'NSE - Other Index Options'!$C:$C,$A26,'NSE - Other Index Options'!$B:$B,G$4,'NSE - Other Index Options'!$H:$H,"Weekly*")+SUMIFS('NSE - Other Index Options'!$L:$L,'NSE - Other Index Options'!$C:$C,$A26,'NSE - Other Index Options'!$B:$B,G$4,'NSE - Other Index Options'!$H:$H,"MDAW*"))</f>
        <v/>
      </c>
      <c r="H26" s="26">
        <f t="shared" si="0"/>
        <v>257894.12</v>
      </c>
    </row>
    <row r="27" spans="1:8">
      <c r="A27" t="s">
        <v>32</v>
      </c>
      <c r="B27" s="26">
        <f>IF(SUMIFS('NSE - NIFTY Index Options'!$L:$L,'NSE - NIFTY Index Options'!$C:$C,$A27,'NSE - NIFTY Index Options'!$B:$B,B$4,'NSE - NIFTY Index Options'!$H:$H,"Weekly*")+SUMIFS('NSE - NIFTY Index Options'!$L:$L,'NSE - NIFTY Index Options'!$C:$C,$A27,'NSE - NIFTY Index Options'!$B:$B,B$4,'NSE - NIFTY Index Options'!$H:$H,"MDAW*")+SUMIFS('NSE - Other Index Options'!$L:$L,'NSE - Other Index Options'!$C:$C,$A27,'NSE - Other Index Options'!$B:$B,B$4,'NSE - Other Index Options'!$H:$H,"Weekly*")+SUMIFS('NSE - Other Index Options'!$L:$L,'NSE - Other Index Options'!$C:$C,$A27,'NSE - Other Index Options'!$B:$B,B$4,'NSE - Other Index Options'!$H:$H,"MDAW*")=0,"",SUMIFS('NSE - NIFTY Index Options'!$L:$L,'NSE - NIFTY Index Options'!$C:$C,$A27,'NSE - NIFTY Index Options'!$B:$B,B$4,'NSE - NIFTY Index Options'!$H:$H,"Weekly*")+SUMIFS('NSE - NIFTY Index Options'!$L:$L,'NSE - NIFTY Index Options'!$C:$C,$A27,'NSE - NIFTY Index Options'!$B:$B,B$4,'NSE - NIFTY Index Options'!$H:$H,"MDAW*")+SUMIFS('NSE - Other Index Options'!$L:$L,'NSE - Other Index Options'!$C:$C,$A27,'NSE - Other Index Options'!$B:$B,B$4,'NSE - Other Index Options'!$H:$H,"Weekly*")+SUMIFS('NSE - Other Index Options'!$L:$L,'NSE - Other Index Options'!$C:$C,$A27,'NSE - Other Index Options'!$B:$B,B$4,'NSE - Other Index Options'!$H:$H,"MDAW*"))</f>
        <v>52883.360000000001</v>
      </c>
      <c r="C27" s="26">
        <f>IF(SUMIFS('NSE - NIFTY Index Options'!$L:$L,'NSE - NIFTY Index Options'!$C:$C,$A27,'NSE - NIFTY Index Options'!$B:$B,C$4,'NSE - NIFTY Index Options'!$H:$H,"Weekly*")+SUMIFS('NSE - NIFTY Index Options'!$L:$L,'NSE - NIFTY Index Options'!$C:$C,$A27,'NSE - NIFTY Index Options'!$B:$B,C$4,'NSE - NIFTY Index Options'!$H:$H,"MDAW*")+SUMIFS('NSE - Other Index Options'!$L:$L,'NSE - Other Index Options'!$C:$C,$A27,'NSE - Other Index Options'!$B:$B,C$4,'NSE - Other Index Options'!$H:$H,"Weekly*")+SUMIFS('NSE - Other Index Options'!$L:$L,'NSE - Other Index Options'!$C:$C,$A27,'NSE - Other Index Options'!$B:$B,C$4,'NSE - Other Index Options'!$H:$H,"MDAW*")=0,"",SUMIFS('NSE - NIFTY Index Options'!$L:$L,'NSE - NIFTY Index Options'!$C:$C,$A27,'NSE - NIFTY Index Options'!$B:$B,C$4,'NSE - NIFTY Index Options'!$H:$H,"Weekly*")+SUMIFS('NSE - NIFTY Index Options'!$L:$L,'NSE - NIFTY Index Options'!$C:$C,$A27,'NSE - NIFTY Index Options'!$B:$B,C$4,'NSE - NIFTY Index Options'!$H:$H,"MDAW*")+SUMIFS('NSE - Other Index Options'!$L:$L,'NSE - Other Index Options'!$C:$C,$A27,'NSE - Other Index Options'!$B:$B,C$4,'NSE - Other Index Options'!$H:$H,"Weekly*")+SUMIFS('NSE - Other Index Options'!$L:$L,'NSE - Other Index Options'!$C:$C,$A27,'NSE - Other Index Options'!$B:$B,C$4,'NSE - Other Index Options'!$H:$H,"MDAW*"))</f>
        <v>59334.37</v>
      </c>
      <c r="D27" s="26">
        <f>IF(SUMIFS('NSE - NIFTY Index Options'!$L:$L,'NSE - NIFTY Index Options'!$C:$C,$A27,'NSE - NIFTY Index Options'!$B:$B,D$4,'NSE - NIFTY Index Options'!$H:$H,"Weekly*")+SUMIFS('NSE - NIFTY Index Options'!$L:$L,'NSE - NIFTY Index Options'!$C:$C,$A27,'NSE - NIFTY Index Options'!$B:$B,D$4,'NSE - NIFTY Index Options'!$H:$H,"MDAW*")+SUMIFS('NSE - Other Index Options'!$L:$L,'NSE - Other Index Options'!$C:$C,$A27,'NSE - Other Index Options'!$B:$B,D$4,'NSE - Other Index Options'!$H:$H,"Weekly*")+SUMIFS('NSE - Other Index Options'!$L:$L,'NSE - Other Index Options'!$C:$C,$A27,'NSE - Other Index Options'!$B:$B,D$4,'NSE - Other Index Options'!$H:$H,"MDAW*")=0,"",SUMIFS('NSE - NIFTY Index Options'!$L:$L,'NSE - NIFTY Index Options'!$C:$C,$A27,'NSE - NIFTY Index Options'!$B:$B,D$4,'NSE - NIFTY Index Options'!$H:$H,"Weekly*")+SUMIFS('NSE - NIFTY Index Options'!$L:$L,'NSE - NIFTY Index Options'!$C:$C,$A27,'NSE - NIFTY Index Options'!$B:$B,D$4,'NSE - NIFTY Index Options'!$H:$H,"MDAW*")+SUMIFS('NSE - Other Index Options'!$L:$L,'NSE - Other Index Options'!$C:$C,$A27,'NSE - Other Index Options'!$B:$B,D$4,'NSE - Other Index Options'!$H:$H,"Weekly*")+SUMIFS('NSE - Other Index Options'!$L:$L,'NSE - Other Index Options'!$C:$C,$A27,'NSE - Other Index Options'!$B:$B,D$4,'NSE - Other Index Options'!$H:$H,"MDAW*"))</f>
        <v>60836.049999999996</v>
      </c>
      <c r="E27" s="26" t="str">
        <f>IF(SUMIFS('NSE - NIFTY Index Options'!$L:$L,'NSE - NIFTY Index Options'!$C:$C,$A27,'NSE - NIFTY Index Options'!$B:$B,E$4,'NSE - NIFTY Index Options'!$H:$H,"Weekly*")+SUMIFS('NSE - NIFTY Index Options'!$L:$L,'NSE - NIFTY Index Options'!$C:$C,$A27,'NSE - NIFTY Index Options'!$B:$B,E$4,'NSE - NIFTY Index Options'!$H:$H,"MDAW*")+SUMIFS('NSE - Other Index Options'!$L:$L,'NSE - Other Index Options'!$C:$C,$A27,'NSE - Other Index Options'!$B:$B,E$4,'NSE - Other Index Options'!$H:$H,"Weekly*")+SUMIFS('NSE - Other Index Options'!$L:$L,'NSE - Other Index Options'!$C:$C,$A27,'NSE - Other Index Options'!$B:$B,E$4,'NSE - Other Index Options'!$H:$H,"MDAW*")=0,"",SUMIFS('NSE - NIFTY Index Options'!$L:$L,'NSE - NIFTY Index Options'!$C:$C,$A27,'NSE - NIFTY Index Options'!$B:$B,E$4,'NSE - NIFTY Index Options'!$H:$H,"Weekly*")+SUMIFS('NSE - NIFTY Index Options'!$L:$L,'NSE - NIFTY Index Options'!$C:$C,$A27,'NSE - NIFTY Index Options'!$B:$B,E$4,'NSE - NIFTY Index Options'!$H:$H,"MDAW*")+SUMIFS('NSE - Other Index Options'!$L:$L,'NSE - Other Index Options'!$C:$C,$A27,'NSE - Other Index Options'!$B:$B,E$4,'NSE - Other Index Options'!$H:$H,"Weekly*")+SUMIFS('NSE - Other Index Options'!$L:$L,'NSE - Other Index Options'!$C:$C,$A27,'NSE - Other Index Options'!$B:$B,E$4,'NSE - Other Index Options'!$H:$H,"MDAW*"))</f>
        <v/>
      </c>
      <c r="F27" s="26">
        <f>IF(SUMIFS('NSE - NIFTY Index Options'!$L:$L,'NSE - NIFTY Index Options'!$C:$C,$A27,'NSE - NIFTY Index Options'!$B:$B,F$4,'NSE - NIFTY Index Options'!$H:$H,"Weekly*")+SUMIFS('NSE - NIFTY Index Options'!$L:$L,'NSE - NIFTY Index Options'!$C:$C,$A27,'NSE - NIFTY Index Options'!$B:$B,F$4,'NSE - NIFTY Index Options'!$H:$H,"MDAW*")+SUMIFS('NSE - Other Index Options'!$L:$L,'NSE - Other Index Options'!$C:$C,$A27,'NSE - Other Index Options'!$B:$B,F$4,'NSE - Other Index Options'!$H:$H,"Weekly*")+SUMIFS('NSE - Other Index Options'!$L:$L,'NSE - Other Index Options'!$C:$C,$A27,'NSE - Other Index Options'!$B:$B,F$4,'NSE - Other Index Options'!$H:$H,"MDAW*")=0,"",SUMIFS('NSE - NIFTY Index Options'!$L:$L,'NSE - NIFTY Index Options'!$C:$C,$A27,'NSE - NIFTY Index Options'!$B:$B,F$4,'NSE - NIFTY Index Options'!$H:$H,"Weekly*")+SUMIFS('NSE - NIFTY Index Options'!$L:$L,'NSE - NIFTY Index Options'!$C:$C,$A27,'NSE - NIFTY Index Options'!$B:$B,F$4,'NSE - NIFTY Index Options'!$H:$H,"MDAW*")+SUMIFS('NSE - Other Index Options'!$L:$L,'NSE - Other Index Options'!$C:$C,$A27,'NSE - Other Index Options'!$B:$B,F$4,'NSE - Other Index Options'!$H:$H,"Weekly*")+SUMIFS('NSE - Other Index Options'!$L:$L,'NSE - Other Index Options'!$C:$C,$A27,'NSE - Other Index Options'!$B:$B,F$4,'NSE - Other Index Options'!$H:$H,"MDAW*"))</f>
        <v>56654.47</v>
      </c>
      <c r="G27" s="26" t="str">
        <f>IF(SUMIFS('NSE - NIFTY Index Options'!$L:$L,'NSE - NIFTY Index Options'!$C:$C,$A27,'NSE - NIFTY Index Options'!$B:$B,G$4,'NSE - NIFTY Index Options'!$H:$H,"Weekly*")+SUMIFS('NSE - NIFTY Index Options'!$L:$L,'NSE - NIFTY Index Options'!$C:$C,$A27,'NSE - NIFTY Index Options'!$B:$B,G$4,'NSE - NIFTY Index Options'!$H:$H,"MDAW*")+SUMIFS('NSE - Other Index Options'!$L:$L,'NSE - Other Index Options'!$C:$C,$A27,'NSE - Other Index Options'!$B:$B,G$4,'NSE - Other Index Options'!$H:$H,"Weekly*")+SUMIFS('NSE - Other Index Options'!$L:$L,'NSE - Other Index Options'!$C:$C,$A27,'NSE - Other Index Options'!$B:$B,G$4,'NSE - Other Index Options'!$H:$H,"MDAW*")=0,"",SUMIFS('NSE - NIFTY Index Options'!$L:$L,'NSE - NIFTY Index Options'!$C:$C,$A27,'NSE - NIFTY Index Options'!$B:$B,G$4,'NSE - NIFTY Index Options'!$H:$H,"Weekly*")+SUMIFS('NSE - NIFTY Index Options'!$L:$L,'NSE - NIFTY Index Options'!$C:$C,$A27,'NSE - NIFTY Index Options'!$B:$B,G$4,'NSE - NIFTY Index Options'!$H:$H,"MDAW*")+SUMIFS('NSE - Other Index Options'!$L:$L,'NSE - Other Index Options'!$C:$C,$A27,'NSE - Other Index Options'!$B:$B,G$4,'NSE - Other Index Options'!$H:$H,"Weekly*")+SUMIFS('NSE - Other Index Options'!$L:$L,'NSE - Other Index Options'!$C:$C,$A27,'NSE - Other Index Options'!$B:$B,G$4,'NSE - Other Index Options'!$H:$H,"MDAW*"))</f>
        <v/>
      </c>
      <c r="H27" s="26">
        <f t="shared" si="0"/>
        <v>229708.25</v>
      </c>
    </row>
    <row r="28" spans="1:8">
      <c r="A28" t="s">
        <v>33</v>
      </c>
      <c r="B28" s="26" t="str">
        <f>IF(SUMIFS('NSE - NIFTY Index Options'!$L:$L,'NSE - NIFTY Index Options'!$C:$C,$A28,'NSE - NIFTY Index Options'!$B:$B,B$4,'NSE - NIFTY Index Options'!$H:$H,"Weekly*")+SUMIFS('NSE - NIFTY Index Options'!$L:$L,'NSE - NIFTY Index Options'!$C:$C,$A28,'NSE - NIFTY Index Options'!$B:$B,B$4,'NSE - NIFTY Index Options'!$H:$H,"MDAW*")+SUMIFS('NSE - Other Index Options'!$L:$L,'NSE - Other Index Options'!$C:$C,$A28,'NSE - Other Index Options'!$B:$B,B$4,'NSE - Other Index Options'!$H:$H,"Weekly*")+SUMIFS('NSE - Other Index Options'!$L:$L,'NSE - Other Index Options'!$C:$C,$A28,'NSE - Other Index Options'!$B:$B,B$4,'NSE - Other Index Options'!$H:$H,"MDAW*")=0,"",SUMIFS('NSE - NIFTY Index Options'!$L:$L,'NSE - NIFTY Index Options'!$C:$C,$A28,'NSE - NIFTY Index Options'!$B:$B,B$4,'NSE - NIFTY Index Options'!$H:$H,"Weekly*")+SUMIFS('NSE - NIFTY Index Options'!$L:$L,'NSE - NIFTY Index Options'!$C:$C,$A28,'NSE - NIFTY Index Options'!$B:$B,B$4,'NSE - NIFTY Index Options'!$H:$H,"MDAW*")+SUMIFS('NSE - Other Index Options'!$L:$L,'NSE - Other Index Options'!$C:$C,$A28,'NSE - Other Index Options'!$B:$B,B$4,'NSE - Other Index Options'!$H:$H,"Weekly*")+SUMIFS('NSE - Other Index Options'!$L:$L,'NSE - Other Index Options'!$C:$C,$A28,'NSE - Other Index Options'!$B:$B,B$4,'NSE - Other Index Options'!$H:$H,"MDAW*"))</f>
        <v/>
      </c>
      <c r="C28" s="26">
        <f>IF(SUMIFS('NSE - NIFTY Index Options'!$L:$L,'NSE - NIFTY Index Options'!$C:$C,$A28,'NSE - NIFTY Index Options'!$B:$B,C$4,'NSE - NIFTY Index Options'!$H:$H,"Weekly*")+SUMIFS('NSE - NIFTY Index Options'!$L:$L,'NSE - NIFTY Index Options'!$C:$C,$A28,'NSE - NIFTY Index Options'!$B:$B,C$4,'NSE - NIFTY Index Options'!$H:$H,"MDAW*")+SUMIFS('NSE - Other Index Options'!$L:$L,'NSE - Other Index Options'!$C:$C,$A28,'NSE - Other Index Options'!$B:$B,C$4,'NSE - Other Index Options'!$H:$H,"Weekly*")+SUMIFS('NSE - Other Index Options'!$L:$L,'NSE - Other Index Options'!$C:$C,$A28,'NSE - Other Index Options'!$B:$B,C$4,'NSE - Other Index Options'!$H:$H,"MDAW*")=0,"",SUMIFS('NSE - NIFTY Index Options'!$L:$L,'NSE - NIFTY Index Options'!$C:$C,$A28,'NSE - NIFTY Index Options'!$B:$B,C$4,'NSE - NIFTY Index Options'!$H:$H,"Weekly*")+SUMIFS('NSE - NIFTY Index Options'!$L:$L,'NSE - NIFTY Index Options'!$C:$C,$A28,'NSE - NIFTY Index Options'!$B:$B,C$4,'NSE - NIFTY Index Options'!$H:$H,"MDAW*")+SUMIFS('NSE - Other Index Options'!$L:$L,'NSE - Other Index Options'!$C:$C,$A28,'NSE - Other Index Options'!$B:$B,C$4,'NSE - Other Index Options'!$H:$H,"Weekly*")+SUMIFS('NSE - Other Index Options'!$L:$L,'NSE - Other Index Options'!$C:$C,$A28,'NSE - Other Index Options'!$B:$B,C$4,'NSE - Other Index Options'!$H:$H,"MDAW*"))</f>
        <v>87021.61</v>
      </c>
      <c r="D28" s="26">
        <f>IF(SUMIFS('NSE - NIFTY Index Options'!$L:$L,'NSE - NIFTY Index Options'!$C:$C,$A28,'NSE - NIFTY Index Options'!$B:$B,D$4,'NSE - NIFTY Index Options'!$H:$H,"Weekly*")+SUMIFS('NSE - NIFTY Index Options'!$L:$L,'NSE - NIFTY Index Options'!$C:$C,$A28,'NSE - NIFTY Index Options'!$B:$B,D$4,'NSE - NIFTY Index Options'!$H:$H,"MDAW*")+SUMIFS('NSE - Other Index Options'!$L:$L,'NSE - Other Index Options'!$C:$C,$A28,'NSE - Other Index Options'!$B:$B,D$4,'NSE - Other Index Options'!$H:$H,"Weekly*")+SUMIFS('NSE - Other Index Options'!$L:$L,'NSE - Other Index Options'!$C:$C,$A28,'NSE - Other Index Options'!$B:$B,D$4,'NSE - Other Index Options'!$H:$H,"MDAW*")=0,"",SUMIFS('NSE - NIFTY Index Options'!$L:$L,'NSE - NIFTY Index Options'!$C:$C,$A28,'NSE - NIFTY Index Options'!$B:$B,D$4,'NSE - NIFTY Index Options'!$H:$H,"Weekly*")+SUMIFS('NSE - NIFTY Index Options'!$L:$L,'NSE - NIFTY Index Options'!$C:$C,$A28,'NSE - NIFTY Index Options'!$B:$B,D$4,'NSE - NIFTY Index Options'!$H:$H,"MDAW*")+SUMIFS('NSE - Other Index Options'!$L:$L,'NSE - Other Index Options'!$C:$C,$A28,'NSE - Other Index Options'!$B:$B,D$4,'NSE - Other Index Options'!$H:$H,"Weekly*")+SUMIFS('NSE - Other Index Options'!$L:$L,'NSE - Other Index Options'!$C:$C,$A28,'NSE - Other Index Options'!$B:$B,D$4,'NSE - Other Index Options'!$H:$H,"MDAW*"))</f>
        <v>40203.440000000002</v>
      </c>
      <c r="E28" s="26">
        <f>IF(SUMIFS('NSE - NIFTY Index Options'!$L:$L,'NSE - NIFTY Index Options'!$C:$C,$A28,'NSE - NIFTY Index Options'!$B:$B,E$4,'NSE - NIFTY Index Options'!$H:$H,"Weekly*")+SUMIFS('NSE - NIFTY Index Options'!$L:$L,'NSE - NIFTY Index Options'!$C:$C,$A28,'NSE - NIFTY Index Options'!$B:$B,E$4,'NSE - NIFTY Index Options'!$H:$H,"MDAW*")+SUMIFS('NSE - Other Index Options'!$L:$L,'NSE - Other Index Options'!$C:$C,$A28,'NSE - Other Index Options'!$B:$B,E$4,'NSE - Other Index Options'!$H:$H,"Weekly*")+SUMIFS('NSE - Other Index Options'!$L:$L,'NSE - Other Index Options'!$C:$C,$A28,'NSE - Other Index Options'!$B:$B,E$4,'NSE - Other Index Options'!$H:$H,"MDAW*")=0,"",SUMIFS('NSE - NIFTY Index Options'!$L:$L,'NSE - NIFTY Index Options'!$C:$C,$A28,'NSE - NIFTY Index Options'!$B:$B,E$4,'NSE - NIFTY Index Options'!$H:$H,"Weekly*")+SUMIFS('NSE - NIFTY Index Options'!$L:$L,'NSE - NIFTY Index Options'!$C:$C,$A28,'NSE - NIFTY Index Options'!$B:$B,E$4,'NSE - NIFTY Index Options'!$H:$H,"MDAW*")+SUMIFS('NSE - Other Index Options'!$L:$L,'NSE - Other Index Options'!$C:$C,$A28,'NSE - Other Index Options'!$B:$B,E$4,'NSE - Other Index Options'!$H:$H,"Weekly*")+SUMIFS('NSE - Other Index Options'!$L:$L,'NSE - Other Index Options'!$C:$C,$A28,'NSE - Other Index Options'!$B:$B,E$4,'NSE - Other Index Options'!$H:$H,"MDAW*"))</f>
        <v>46096.53</v>
      </c>
      <c r="F28" s="26">
        <f>IF(SUMIFS('NSE - NIFTY Index Options'!$L:$L,'NSE - NIFTY Index Options'!$C:$C,$A28,'NSE - NIFTY Index Options'!$B:$B,F$4,'NSE - NIFTY Index Options'!$H:$H,"Weekly*")+SUMIFS('NSE - NIFTY Index Options'!$L:$L,'NSE - NIFTY Index Options'!$C:$C,$A28,'NSE - NIFTY Index Options'!$B:$B,F$4,'NSE - NIFTY Index Options'!$H:$H,"MDAW*")+SUMIFS('NSE - Other Index Options'!$L:$L,'NSE - Other Index Options'!$C:$C,$A28,'NSE - Other Index Options'!$B:$B,F$4,'NSE - Other Index Options'!$H:$H,"Weekly*")+SUMIFS('NSE - Other Index Options'!$L:$L,'NSE - Other Index Options'!$C:$C,$A28,'NSE - Other Index Options'!$B:$B,F$4,'NSE - Other Index Options'!$H:$H,"MDAW*")=0,"",SUMIFS('NSE - NIFTY Index Options'!$L:$L,'NSE - NIFTY Index Options'!$C:$C,$A28,'NSE - NIFTY Index Options'!$B:$B,F$4,'NSE - NIFTY Index Options'!$H:$H,"Weekly*")+SUMIFS('NSE - NIFTY Index Options'!$L:$L,'NSE - NIFTY Index Options'!$C:$C,$A28,'NSE - NIFTY Index Options'!$B:$B,F$4,'NSE - NIFTY Index Options'!$H:$H,"MDAW*")+SUMIFS('NSE - Other Index Options'!$L:$L,'NSE - Other Index Options'!$C:$C,$A28,'NSE - Other Index Options'!$B:$B,F$4,'NSE - Other Index Options'!$H:$H,"Weekly*")+SUMIFS('NSE - Other Index Options'!$L:$L,'NSE - Other Index Options'!$C:$C,$A28,'NSE - Other Index Options'!$B:$B,F$4,'NSE - Other Index Options'!$H:$H,"MDAW*"))</f>
        <v>65235.090000000004</v>
      </c>
      <c r="G28" s="26" t="str">
        <f>IF(SUMIFS('NSE - NIFTY Index Options'!$L:$L,'NSE - NIFTY Index Options'!$C:$C,$A28,'NSE - NIFTY Index Options'!$B:$B,G$4,'NSE - NIFTY Index Options'!$H:$H,"Weekly*")+SUMIFS('NSE - NIFTY Index Options'!$L:$L,'NSE - NIFTY Index Options'!$C:$C,$A28,'NSE - NIFTY Index Options'!$B:$B,G$4,'NSE - NIFTY Index Options'!$H:$H,"MDAW*")+SUMIFS('NSE - Other Index Options'!$L:$L,'NSE - Other Index Options'!$C:$C,$A28,'NSE - Other Index Options'!$B:$B,G$4,'NSE - Other Index Options'!$H:$H,"Weekly*")+SUMIFS('NSE - Other Index Options'!$L:$L,'NSE - Other Index Options'!$C:$C,$A28,'NSE - Other Index Options'!$B:$B,G$4,'NSE - Other Index Options'!$H:$H,"MDAW*")=0,"",SUMIFS('NSE - NIFTY Index Options'!$L:$L,'NSE - NIFTY Index Options'!$C:$C,$A28,'NSE - NIFTY Index Options'!$B:$B,G$4,'NSE - NIFTY Index Options'!$H:$H,"Weekly*")+SUMIFS('NSE - NIFTY Index Options'!$L:$L,'NSE - NIFTY Index Options'!$C:$C,$A28,'NSE - NIFTY Index Options'!$B:$B,G$4,'NSE - NIFTY Index Options'!$H:$H,"MDAW*")+SUMIFS('NSE - Other Index Options'!$L:$L,'NSE - Other Index Options'!$C:$C,$A28,'NSE - Other Index Options'!$B:$B,G$4,'NSE - Other Index Options'!$H:$H,"Weekly*")+SUMIFS('NSE - Other Index Options'!$L:$L,'NSE - Other Index Options'!$C:$C,$A28,'NSE - Other Index Options'!$B:$B,G$4,'NSE - Other Index Options'!$H:$H,"MDAW*"))</f>
        <v/>
      </c>
      <c r="H28" s="26">
        <f t="shared" si="0"/>
        <v>238556.67</v>
      </c>
    </row>
    <row r="29" spans="1:8">
      <c r="A29" t="s">
        <v>34</v>
      </c>
      <c r="B29" s="26" t="str">
        <f>IF(SUMIFS('NSE - NIFTY Index Options'!$L:$L,'NSE - NIFTY Index Options'!$C:$C,$A29,'NSE - NIFTY Index Options'!$B:$B,B$4,'NSE - NIFTY Index Options'!$H:$H,"Weekly*")+SUMIFS('NSE - NIFTY Index Options'!$L:$L,'NSE - NIFTY Index Options'!$C:$C,$A29,'NSE - NIFTY Index Options'!$B:$B,B$4,'NSE - NIFTY Index Options'!$H:$H,"MDAW*")+SUMIFS('NSE - Other Index Options'!$L:$L,'NSE - Other Index Options'!$C:$C,$A29,'NSE - Other Index Options'!$B:$B,B$4,'NSE - Other Index Options'!$H:$H,"Weekly*")+SUMIFS('NSE - Other Index Options'!$L:$L,'NSE - Other Index Options'!$C:$C,$A29,'NSE - Other Index Options'!$B:$B,B$4,'NSE - Other Index Options'!$H:$H,"MDAW*")=0,"",SUMIFS('NSE - NIFTY Index Options'!$L:$L,'NSE - NIFTY Index Options'!$C:$C,$A29,'NSE - NIFTY Index Options'!$B:$B,B$4,'NSE - NIFTY Index Options'!$H:$H,"Weekly*")+SUMIFS('NSE - NIFTY Index Options'!$L:$L,'NSE - NIFTY Index Options'!$C:$C,$A29,'NSE - NIFTY Index Options'!$B:$B,B$4,'NSE - NIFTY Index Options'!$H:$H,"MDAW*")+SUMIFS('NSE - Other Index Options'!$L:$L,'NSE - Other Index Options'!$C:$C,$A29,'NSE - Other Index Options'!$B:$B,B$4,'NSE - Other Index Options'!$H:$H,"Weekly*")+SUMIFS('NSE - Other Index Options'!$L:$L,'NSE - Other Index Options'!$C:$C,$A29,'NSE - Other Index Options'!$B:$B,B$4,'NSE - Other Index Options'!$H:$H,"MDAW*"))</f>
        <v/>
      </c>
      <c r="C29" s="26" t="str">
        <f>IF(SUMIFS('NSE - NIFTY Index Options'!$L:$L,'NSE - NIFTY Index Options'!$C:$C,$A29,'NSE - NIFTY Index Options'!$B:$B,C$4,'NSE - NIFTY Index Options'!$H:$H,"Weekly*")+SUMIFS('NSE - NIFTY Index Options'!$L:$L,'NSE - NIFTY Index Options'!$C:$C,$A29,'NSE - NIFTY Index Options'!$B:$B,C$4,'NSE - NIFTY Index Options'!$H:$H,"MDAW*")+SUMIFS('NSE - Other Index Options'!$L:$L,'NSE - Other Index Options'!$C:$C,$A29,'NSE - Other Index Options'!$B:$B,C$4,'NSE - Other Index Options'!$H:$H,"Weekly*")+SUMIFS('NSE - Other Index Options'!$L:$L,'NSE - Other Index Options'!$C:$C,$A29,'NSE - Other Index Options'!$B:$B,C$4,'NSE - Other Index Options'!$H:$H,"MDAW*")=0,"",SUMIFS('NSE - NIFTY Index Options'!$L:$L,'NSE - NIFTY Index Options'!$C:$C,$A29,'NSE - NIFTY Index Options'!$B:$B,C$4,'NSE - NIFTY Index Options'!$H:$H,"Weekly*")+SUMIFS('NSE - NIFTY Index Options'!$L:$L,'NSE - NIFTY Index Options'!$C:$C,$A29,'NSE - NIFTY Index Options'!$B:$B,C$4,'NSE - NIFTY Index Options'!$H:$H,"MDAW*")+SUMIFS('NSE - Other Index Options'!$L:$L,'NSE - Other Index Options'!$C:$C,$A29,'NSE - Other Index Options'!$B:$B,C$4,'NSE - Other Index Options'!$H:$H,"Weekly*")+SUMIFS('NSE - Other Index Options'!$L:$L,'NSE - Other Index Options'!$C:$C,$A29,'NSE - Other Index Options'!$B:$B,C$4,'NSE - Other Index Options'!$H:$H,"MDAW*"))</f>
        <v/>
      </c>
      <c r="D29" s="26" t="str">
        <f>IF(SUMIFS('NSE - NIFTY Index Options'!$L:$L,'NSE - NIFTY Index Options'!$C:$C,$A29,'NSE - NIFTY Index Options'!$B:$B,D$4,'NSE - NIFTY Index Options'!$H:$H,"Weekly*")+SUMIFS('NSE - NIFTY Index Options'!$L:$L,'NSE - NIFTY Index Options'!$C:$C,$A29,'NSE - NIFTY Index Options'!$B:$B,D$4,'NSE - NIFTY Index Options'!$H:$H,"MDAW*")+SUMIFS('NSE - Other Index Options'!$L:$L,'NSE - Other Index Options'!$C:$C,$A29,'NSE - Other Index Options'!$B:$B,D$4,'NSE - Other Index Options'!$H:$H,"Weekly*")+SUMIFS('NSE - Other Index Options'!$L:$L,'NSE - Other Index Options'!$C:$C,$A29,'NSE - Other Index Options'!$B:$B,D$4,'NSE - Other Index Options'!$H:$H,"MDAW*")=0,"",SUMIFS('NSE - NIFTY Index Options'!$L:$L,'NSE - NIFTY Index Options'!$C:$C,$A29,'NSE - NIFTY Index Options'!$B:$B,D$4,'NSE - NIFTY Index Options'!$H:$H,"Weekly*")+SUMIFS('NSE - NIFTY Index Options'!$L:$L,'NSE - NIFTY Index Options'!$C:$C,$A29,'NSE - NIFTY Index Options'!$B:$B,D$4,'NSE - NIFTY Index Options'!$H:$H,"MDAW*")+SUMIFS('NSE - Other Index Options'!$L:$L,'NSE - Other Index Options'!$C:$C,$A29,'NSE - Other Index Options'!$B:$B,D$4,'NSE - Other Index Options'!$H:$H,"Weekly*")+SUMIFS('NSE - Other Index Options'!$L:$L,'NSE - Other Index Options'!$C:$C,$A29,'NSE - Other Index Options'!$B:$B,D$4,'NSE - Other Index Options'!$H:$H,"MDAW*"))</f>
        <v/>
      </c>
      <c r="E29" s="26">
        <f>IF(SUMIFS('NSE - NIFTY Index Options'!$L:$L,'NSE - NIFTY Index Options'!$C:$C,$A29,'NSE - NIFTY Index Options'!$B:$B,E$4,'NSE - NIFTY Index Options'!$H:$H,"Weekly*")+SUMIFS('NSE - NIFTY Index Options'!$L:$L,'NSE - NIFTY Index Options'!$C:$C,$A29,'NSE - NIFTY Index Options'!$B:$B,E$4,'NSE - NIFTY Index Options'!$H:$H,"MDAW*")+SUMIFS('NSE - Other Index Options'!$L:$L,'NSE - Other Index Options'!$C:$C,$A29,'NSE - Other Index Options'!$B:$B,E$4,'NSE - Other Index Options'!$H:$H,"Weekly*")+SUMIFS('NSE - Other Index Options'!$L:$L,'NSE - Other Index Options'!$C:$C,$A29,'NSE - Other Index Options'!$B:$B,E$4,'NSE - Other Index Options'!$H:$H,"MDAW*")=0,"",SUMIFS('NSE - NIFTY Index Options'!$L:$L,'NSE - NIFTY Index Options'!$C:$C,$A29,'NSE - NIFTY Index Options'!$B:$B,E$4,'NSE - NIFTY Index Options'!$H:$H,"Weekly*")+SUMIFS('NSE - NIFTY Index Options'!$L:$L,'NSE - NIFTY Index Options'!$C:$C,$A29,'NSE - NIFTY Index Options'!$B:$B,E$4,'NSE - NIFTY Index Options'!$H:$H,"MDAW*")+SUMIFS('NSE - Other Index Options'!$L:$L,'NSE - Other Index Options'!$C:$C,$A29,'NSE - Other Index Options'!$B:$B,E$4,'NSE - Other Index Options'!$H:$H,"Weekly*")+SUMIFS('NSE - Other Index Options'!$L:$L,'NSE - Other Index Options'!$C:$C,$A29,'NSE - Other Index Options'!$B:$B,E$4,'NSE - Other Index Options'!$H:$H,"MDAW*"))</f>
        <v>33931.94</v>
      </c>
      <c r="F29" s="26">
        <f>IF(SUMIFS('NSE - NIFTY Index Options'!$L:$L,'NSE - NIFTY Index Options'!$C:$C,$A29,'NSE - NIFTY Index Options'!$B:$B,F$4,'NSE - NIFTY Index Options'!$H:$H,"Weekly*")+SUMIFS('NSE - NIFTY Index Options'!$L:$L,'NSE - NIFTY Index Options'!$C:$C,$A29,'NSE - NIFTY Index Options'!$B:$B,F$4,'NSE - NIFTY Index Options'!$H:$H,"MDAW*")+SUMIFS('NSE - Other Index Options'!$L:$L,'NSE - Other Index Options'!$C:$C,$A29,'NSE - Other Index Options'!$B:$B,F$4,'NSE - Other Index Options'!$H:$H,"Weekly*")+SUMIFS('NSE - Other Index Options'!$L:$L,'NSE - Other Index Options'!$C:$C,$A29,'NSE - Other Index Options'!$B:$B,F$4,'NSE - Other Index Options'!$H:$H,"MDAW*")=0,"",SUMIFS('NSE - NIFTY Index Options'!$L:$L,'NSE - NIFTY Index Options'!$C:$C,$A29,'NSE - NIFTY Index Options'!$B:$B,F$4,'NSE - NIFTY Index Options'!$H:$H,"Weekly*")+SUMIFS('NSE - NIFTY Index Options'!$L:$L,'NSE - NIFTY Index Options'!$C:$C,$A29,'NSE - NIFTY Index Options'!$B:$B,F$4,'NSE - NIFTY Index Options'!$H:$H,"MDAW*")+SUMIFS('NSE - Other Index Options'!$L:$L,'NSE - Other Index Options'!$C:$C,$A29,'NSE - Other Index Options'!$B:$B,F$4,'NSE - Other Index Options'!$H:$H,"Weekly*")+SUMIFS('NSE - Other Index Options'!$L:$L,'NSE - Other Index Options'!$C:$C,$A29,'NSE - Other Index Options'!$B:$B,F$4,'NSE - Other Index Options'!$H:$H,"MDAW*"))</f>
        <v>58110.170000000006</v>
      </c>
      <c r="G29" s="26" t="str">
        <f>IF(SUMIFS('NSE - NIFTY Index Options'!$L:$L,'NSE - NIFTY Index Options'!$C:$C,$A29,'NSE - NIFTY Index Options'!$B:$B,G$4,'NSE - NIFTY Index Options'!$H:$H,"Weekly*")+SUMIFS('NSE - NIFTY Index Options'!$L:$L,'NSE - NIFTY Index Options'!$C:$C,$A29,'NSE - NIFTY Index Options'!$B:$B,G$4,'NSE - NIFTY Index Options'!$H:$H,"MDAW*")+SUMIFS('NSE - Other Index Options'!$L:$L,'NSE - Other Index Options'!$C:$C,$A29,'NSE - Other Index Options'!$B:$B,G$4,'NSE - Other Index Options'!$H:$H,"Weekly*")+SUMIFS('NSE - Other Index Options'!$L:$L,'NSE - Other Index Options'!$C:$C,$A29,'NSE - Other Index Options'!$B:$B,G$4,'NSE - Other Index Options'!$H:$H,"MDAW*")=0,"",SUMIFS('NSE - NIFTY Index Options'!$L:$L,'NSE - NIFTY Index Options'!$C:$C,$A29,'NSE - NIFTY Index Options'!$B:$B,G$4,'NSE - NIFTY Index Options'!$H:$H,"Weekly*")+SUMIFS('NSE - NIFTY Index Options'!$L:$L,'NSE - NIFTY Index Options'!$C:$C,$A29,'NSE - NIFTY Index Options'!$B:$B,G$4,'NSE - NIFTY Index Options'!$H:$H,"MDAW*")+SUMIFS('NSE - Other Index Options'!$L:$L,'NSE - Other Index Options'!$C:$C,$A29,'NSE - Other Index Options'!$B:$B,G$4,'NSE - Other Index Options'!$H:$H,"Weekly*")+SUMIFS('NSE - Other Index Options'!$L:$L,'NSE - Other Index Options'!$C:$C,$A29,'NSE - Other Index Options'!$B:$B,G$4,'NSE - Other Index Options'!$H:$H,"MDAW*"))</f>
        <v/>
      </c>
      <c r="H29" s="26">
        <f t="shared" si="0"/>
        <v>92042.110000000015</v>
      </c>
    </row>
    <row r="30" spans="1:8">
      <c r="A30" t="s">
        <v>35</v>
      </c>
      <c r="B30" s="26">
        <f>IF(SUMIFS('NSE - NIFTY Index Options'!$L:$L,'NSE - NIFTY Index Options'!$C:$C,$A30,'NSE - NIFTY Index Options'!$B:$B,B$4,'NSE - NIFTY Index Options'!$H:$H,"Weekly*")+SUMIFS('NSE - NIFTY Index Options'!$L:$L,'NSE - NIFTY Index Options'!$C:$C,$A30,'NSE - NIFTY Index Options'!$B:$B,B$4,'NSE - NIFTY Index Options'!$H:$H,"MDAW*")+SUMIFS('NSE - Other Index Options'!$L:$L,'NSE - Other Index Options'!$C:$C,$A30,'NSE - Other Index Options'!$B:$B,B$4,'NSE - Other Index Options'!$H:$H,"Weekly*")+SUMIFS('NSE - Other Index Options'!$L:$L,'NSE - Other Index Options'!$C:$C,$A30,'NSE - Other Index Options'!$B:$B,B$4,'NSE - Other Index Options'!$H:$H,"MDAW*")=0,"",SUMIFS('NSE - NIFTY Index Options'!$L:$L,'NSE - NIFTY Index Options'!$C:$C,$A30,'NSE - NIFTY Index Options'!$B:$B,B$4,'NSE - NIFTY Index Options'!$H:$H,"Weekly*")+SUMIFS('NSE - NIFTY Index Options'!$L:$L,'NSE - NIFTY Index Options'!$C:$C,$A30,'NSE - NIFTY Index Options'!$B:$B,B$4,'NSE - NIFTY Index Options'!$H:$H,"MDAW*")+SUMIFS('NSE - Other Index Options'!$L:$L,'NSE - Other Index Options'!$C:$C,$A30,'NSE - Other Index Options'!$B:$B,B$4,'NSE - Other Index Options'!$H:$H,"Weekly*")+SUMIFS('NSE - Other Index Options'!$L:$L,'NSE - Other Index Options'!$C:$C,$A30,'NSE - Other Index Options'!$B:$B,B$4,'NSE - Other Index Options'!$H:$H,"MDAW*"))</f>
        <v>84333.299999999988</v>
      </c>
      <c r="C30" s="26">
        <f>IF(SUMIFS('NSE - NIFTY Index Options'!$L:$L,'NSE - NIFTY Index Options'!$C:$C,$A30,'NSE - NIFTY Index Options'!$B:$B,C$4,'NSE - NIFTY Index Options'!$H:$H,"Weekly*")+SUMIFS('NSE - NIFTY Index Options'!$L:$L,'NSE - NIFTY Index Options'!$C:$C,$A30,'NSE - NIFTY Index Options'!$B:$B,C$4,'NSE - NIFTY Index Options'!$H:$H,"MDAW*")+SUMIFS('NSE - Other Index Options'!$L:$L,'NSE - Other Index Options'!$C:$C,$A30,'NSE - Other Index Options'!$B:$B,C$4,'NSE - Other Index Options'!$H:$H,"Weekly*")+SUMIFS('NSE - Other Index Options'!$L:$L,'NSE - Other Index Options'!$C:$C,$A30,'NSE - Other Index Options'!$B:$B,C$4,'NSE - Other Index Options'!$H:$H,"MDAW*")=0,"",SUMIFS('NSE - NIFTY Index Options'!$L:$L,'NSE - NIFTY Index Options'!$C:$C,$A30,'NSE - NIFTY Index Options'!$B:$B,C$4,'NSE - NIFTY Index Options'!$H:$H,"Weekly*")+SUMIFS('NSE - NIFTY Index Options'!$L:$L,'NSE - NIFTY Index Options'!$C:$C,$A30,'NSE - NIFTY Index Options'!$B:$B,C$4,'NSE - NIFTY Index Options'!$H:$H,"MDAW*")+SUMIFS('NSE - Other Index Options'!$L:$L,'NSE - Other Index Options'!$C:$C,$A30,'NSE - Other Index Options'!$B:$B,C$4,'NSE - Other Index Options'!$H:$H,"Weekly*")+SUMIFS('NSE - Other Index Options'!$L:$L,'NSE - Other Index Options'!$C:$C,$A30,'NSE - Other Index Options'!$B:$B,C$4,'NSE - Other Index Options'!$H:$H,"MDAW*"))</f>
        <v>105752.24999999999</v>
      </c>
      <c r="D30" s="26">
        <f>IF(SUMIFS('NSE - NIFTY Index Options'!$L:$L,'NSE - NIFTY Index Options'!$C:$C,$A30,'NSE - NIFTY Index Options'!$B:$B,D$4,'NSE - NIFTY Index Options'!$H:$H,"Weekly*")+SUMIFS('NSE - NIFTY Index Options'!$L:$L,'NSE - NIFTY Index Options'!$C:$C,$A30,'NSE - NIFTY Index Options'!$B:$B,D$4,'NSE - NIFTY Index Options'!$H:$H,"MDAW*")+SUMIFS('NSE - Other Index Options'!$L:$L,'NSE - Other Index Options'!$C:$C,$A30,'NSE - Other Index Options'!$B:$B,D$4,'NSE - Other Index Options'!$H:$H,"Weekly*")+SUMIFS('NSE - Other Index Options'!$L:$L,'NSE - Other Index Options'!$C:$C,$A30,'NSE - Other Index Options'!$B:$B,D$4,'NSE - Other Index Options'!$H:$H,"MDAW*")=0,"",SUMIFS('NSE - NIFTY Index Options'!$L:$L,'NSE - NIFTY Index Options'!$C:$C,$A30,'NSE - NIFTY Index Options'!$B:$B,D$4,'NSE - NIFTY Index Options'!$H:$H,"Weekly*")+SUMIFS('NSE - NIFTY Index Options'!$L:$L,'NSE - NIFTY Index Options'!$C:$C,$A30,'NSE - NIFTY Index Options'!$B:$B,D$4,'NSE - NIFTY Index Options'!$H:$H,"MDAW*")+SUMIFS('NSE - Other Index Options'!$L:$L,'NSE - Other Index Options'!$C:$C,$A30,'NSE - Other Index Options'!$B:$B,D$4,'NSE - Other Index Options'!$H:$H,"Weekly*")+SUMIFS('NSE - Other Index Options'!$L:$L,'NSE - Other Index Options'!$C:$C,$A30,'NSE - Other Index Options'!$B:$B,D$4,'NSE - Other Index Options'!$H:$H,"MDAW*"))</f>
        <v>34289.749999999993</v>
      </c>
      <c r="E30" s="26">
        <f>IF(SUMIFS('NSE - NIFTY Index Options'!$L:$L,'NSE - NIFTY Index Options'!$C:$C,$A30,'NSE - NIFTY Index Options'!$B:$B,E$4,'NSE - NIFTY Index Options'!$H:$H,"Weekly*")+SUMIFS('NSE - NIFTY Index Options'!$L:$L,'NSE - NIFTY Index Options'!$C:$C,$A30,'NSE - NIFTY Index Options'!$B:$B,E$4,'NSE - NIFTY Index Options'!$H:$H,"MDAW*")+SUMIFS('NSE - Other Index Options'!$L:$L,'NSE - Other Index Options'!$C:$C,$A30,'NSE - Other Index Options'!$B:$B,E$4,'NSE - Other Index Options'!$H:$H,"Weekly*")+SUMIFS('NSE - Other Index Options'!$L:$L,'NSE - Other Index Options'!$C:$C,$A30,'NSE - Other Index Options'!$B:$B,E$4,'NSE - Other Index Options'!$H:$H,"MDAW*")=0,"",SUMIFS('NSE - NIFTY Index Options'!$L:$L,'NSE - NIFTY Index Options'!$C:$C,$A30,'NSE - NIFTY Index Options'!$B:$B,E$4,'NSE - NIFTY Index Options'!$H:$H,"Weekly*")+SUMIFS('NSE - NIFTY Index Options'!$L:$L,'NSE - NIFTY Index Options'!$C:$C,$A30,'NSE - NIFTY Index Options'!$B:$B,E$4,'NSE - NIFTY Index Options'!$H:$H,"MDAW*")+SUMIFS('NSE - Other Index Options'!$L:$L,'NSE - Other Index Options'!$C:$C,$A30,'NSE - Other Index Options'!$B:$B,E$4,'NSE - Other Index Options'!$H:$H,"Weekly*")+SUMIFS('NSE - Other Index Options'!$L:$L,'NSE - Other Index Options'!$C:$C,$A30,'NSE - Other Index Options'!$B:$B,E$4,'NSE - Other Index Options'!$H:$H,"MDAW*"))</f>
        <v>27262.100000000002</v>
      </c>
      <c r="F30" s="26">
        <f>IF(SUMIFS('NSE - NIFTY Index Options'!$L:$L,'NSE - NIFTY Index Options'!$C:$C,$A30,'NSE - NIFTY Index Options'!$B:$B,F$4,'NSE - NIFTY Index Options'!$H:$H,"Weekly*")+SUMIFS('NSE - NIFTY Index Options'!$L:$L,'NSE - NIFTY Index Options'!$C:$C,$A30,'NSE - NIFTY Index Options'!$B:$B,F$4,'NSE - NIFTY Index Options'!$H:$H,"MDAW*")+SUMIFS('NSE - Other Index Options'!$L:$L,'NSE - Other Index Options'!$C:$C,$A30,'NSE - Other Index Options'!$B:$B,F$4,'NSE - Other Index Options'!$H:$H,"Weekly*")+SUMIFS('NSE - Other Index Options'!$L:$L,'NSE - Other Index Options'!$C:$C,$A30,'NSE - Other Index Options'!$B:$B,F$4,'NSE - Other Index Options'!$H:$H,"MDAW*")=0,"",SUMIFS('NSE - NIFTY Index Options'!$L:$L,'NSE - NIFTY Index Options'!$C:$C,$A30,'NSE - NIFTY Index Options'!$B:$B,F$4,'NSE - NIFTY Index Options'!$H:$H,"Weekly*")+SUMIFS('NSE - NIFTY Index Options'!$L:$L,'NSE - NIFTY Index Options'!$C:$C,$A30,'NSE - NIFTY Index Options'!$B:$B,F$4,'NSE - NIFTY Index Options'!$H:$H,"MDAW*")+SUMIFS('NSE - Other Index Options'!$L:$L,'NSE - Other Index Options'!$C:$C,$A30,'NSE - Other Index Options'!$B:$B,F$4,'NSE - Other Index Options'!$H:$H,"Weekly*")+SUMIFS('NSE - Other Index Options'!$L:$L,'NSE - Other Index Options'!$C:$C,$A30,'NSE - Other Index Options'!$B:$B,F$4,'NSE - Other Index Options'!$H:$H,"MDAW*"))</f>
        <v>54104.71</v>
      </c>
      <c r="G30" s="26">
        <f>IF(SUMIFS('NSE - NIFTY Index Options'!$L:$L,'NSE - NIFTY Index Options'!$C:$C,$A30,'NSE - NIFTY Index Options'!$B:$B,G$4,'NSE - NIFTY Index Options'!$H:$H,"Weekly*")+SUMIFS('NSE - NIFTY Index Options'!$L:$L,'NSE - NIFTY Index Options'!$C:$C,$A30,'NSE - NIFTY Index Options'!$B:$B,G$4,'NSE - NIFTY Index Options'!$H:$H,"MDAW*")+SUMIFS('NSE - Other Index Options'!$L:$L,'NSE - Other Index Options'!$C:$C,$A30,'NSE - Other Index Options'!$B:$B,G$4,'NSE - Other Index Options'!$H:$H,"Weekly*")+SUMIFS('NSE - Other Index Options'!$L:$L,'NSE - Other Index Options'!$C:$C,$A30,'NSE - Other Index Options'!$B:$B,G$4,'NSE - Other Index Options'!$H:$H,"MDAW*")=0,"",SUMIFS('NSE - NIFTY Index Options'!$L:$L,'NSE - NIFTY Index Options'!$C:$C,$A30,'NSE - NIFTY Index Options'!$B:$B,G$4,'NSE - NIFTY Index Options'!$H:$H,"Weekly*")+SUMIFS('NSE - NIFTY Index Options'!$L:$L,'NSE - NIFTY Index Options'!$C:$C,$A30,'NSE - NIFTY Index Options'!$B:$B,G$4,'NSE - NIFTY Index Options'!$H:$H,"MDAW*")+SUMIFS('NSE - Other Index Options'!$L:$L,'NSE - Other Index Options'!$C:$C,$A30,'NSE - Other Index Options'!$B:$B,G$4,'NSE - Other Index Options'!$H:$H,"Weekly*")+SUMIFS('NSE - Other Index Options'!$L:$L,'NSE - Other Index Options'!$C:$C,$A30,'NSE - Other Index Options'!$B:$B,G$4,'NSE - Other Index Options'!$H:$H,"MDAW*"))</f>
        <v>98996.99</v>
      </c>
      <c r="H30" s="26">
        <f t="shared" si="0"/>
        <v>404739.1</v>
      </c>
    </row>
    <row r="31" spans="1:8">
      <c r="A31" t="s">
        <v>36</v>
      </c>
      <c r="B31" s="26">
        <f>IF(SUMIFS('NSE - NIFTY Index Options'!$L:$L,'NSE - NIFTY Index Options'!$C:$C,$A31,'NSE - NIFTY Index Options'!$B:$B,B$4,'NSE - NIFTY Index Options'!$H:$H,"Weekly*")+SUMIFS('NSE - NIFTY Index Options'!$L:$L,'NSE - NIFTY Index Options'!$C:$C,$A31,'NSE - NIFTY Index Options'!$B:$B,B$4,'NSE - NIFTY Index Options'!$H:$H,"MDAW*")+SUMIFS('NSE - Other Index Options'!$L:$L,'NSE - Other Index Options'!$C:$C,$A31,'NSE - Other Index Options'!$B:$B,B$4,'NSE - Other Index Options'!$H:$H,"Weekly*")+SUMIFS('NSE - Other Index Options'!$L:$L,'NSE - Other Index Options'!$C:$C,$A31,'NSE - Other Index Options'!$B:$B,B$4,'NSE - Other Index Options'!$H:$H,"MDAW*")=0,"",SUMIFS('NSE - NIFTY Index Options'!$L:$L,'NSE - NIFTY Index Options'!$C:$C,$A31,'NSE - NIFTY Index Options'!$B:$B,B$4,'NSE - NIFTY Index Options'!$H:$H,"Weekly*")+SUMIFS('NSE - NIFTY Index Options'!$L:$L,'NSE - NIFTY Index Options'!$C:$C,$A31,'NSE - NIFTY Index Options'!$B:$B,B$4,'NSE - NIFTY Index Options'!$H:$H,"MDAW*")+SUMIFS('NSE - Other Index Options'!$L:$L,'NSE - Other Index Options'!$C:$C,$A31,'NSE - Other Index Options'!$B:$B,B$4,'NSE - Other Index Options'!$H:$H,"Weekly*")+SUMIFS('NSE - Other Index Options'!$L:$L,'NSE - Other Index Options'!$C:$C,$A31,'NSE - Other Index Options'!$B:$B,B$4,'NSE - Other Index Options'!$H:$H,"MDAW*"))</f>
        <v>40394.44999999999</v>
      </c>
      <c r="C31" s="26">
        <f>IF(SUMIFS('NSE - NIFTY Index Options'!$L:$L,'NSE - NIFTY Index Options'!$C:$C,$A31,'NSE - NIFTY Index Options'!$B:$B,C$4,'NSE - NIFTY Index Options'!$H:$H,"Weekly*")+SUMIFS('NSE - NIFTY Index Options'!$L:$L,'NSE - NIFTY Index Options'!$C:$C,$A31,'NSE - NIFTY Index Options'!$B:$B,C$4,'NSE - NIFTY Index Options'!$H:$H,"MDAW*")+SUMIFS('NSE - Other Index Options'!$L:$L,'NSE - Other Index Options'!$C:$C,$A31,'NSE - Other Index Options'!$B:$B,C$4,'NSE - Other Index Options'!$H:$H,"Weekly*")+SUMIFS('NSE - Other Index Options'!$L:$L,'NSE - Other Index Options'!$C:$C,$A31,'NSE - Other Index Options'!$B:$B,C$4,'NSE - Other Index Options'!$H:$H,"MDAW*")=0,"",SUMIFS('NSE - NIFTY Index Options'!$L:$L,'NSE - NIFTY Index Options'!$C:$C,$A31,'NSE - NIFTY Index Options'!$B:$B,C$4,'NSE - NIFTY Index Options'!$H:$H,"Weekly*")+SUMIFS('NSE - NIFTY Index Options'!$L:$L,'NSE - NIFTY Index Options'!$C:$C,$A31,'NSE - NIFTY Index Options'!$B:$B,C$4,'NSE - NIFTY Index Options'!$H:$H,"MDAW*")+SUMIFS('NSE - Other Index Options'!$L:$L,'NSE - Other Index Options'!$C:$C,$A31,'NSE - Other Index Options'!$B:$B,C$4,'NSE - Other Index Options'!$H:$H,"Weekly*")+SUMIFS('NSE - Other Index Options'!$L:$L,'NSE - Other Index Options'!$C:$C,$A31,'NSE - Other Index Options'!$B:$B,C$4,'NSE - Other Index Options'!$H:$H,"MDAW*"))</f>
        <v>52042.79</v>
      </c>
      <c r="D31" s="26">
        <f>IF(SUMIFS('NSE - NIFTY Index Options'!$L:$L,'NSE - NIFTY Index Options'!$C:$C,$A31,'NSE - NIFTY Index Options'!$B:$B,D$4,'NSE - NIFTY Index Options'!$H:$H,"Weekly*")+SUMIFS('NSE - NIFTY Index Options'!$L:$L,'NSE - NIFTY Index Options'!$C:$C,$A31,'NSE - NIFTY Index Options'!$B:$B,D$4,'NSE - NIFTY Index Options'!$H:$H,"MDAW*")+SUMIFS('NSE - Other Index Options'!$L:$L,'NSE - Other Index Options'!$C:$C,$A31,'NSE - Other Index Options'!$B:$B,D$4,'NSE - Other Index Options'!$H:$H,"Weekly*")+SUMIFS('NSE - Other Index Options'!$L:$L,'NSE - Other Index Options'!$C:$C,$A31,'NSE - Other Index Options'!$B:$B,D$4,'NSE - Other Index Options'!$H:$H,"MDAW*")=0,"",SUMIFS('NSE - NIFTY Index Options'!$L:$L,'NSE - NIFTY Index Options'!$C:$C,$A31,'NSE - NIFTY Index Options'!$B:$B,D$4,'NSE - NIFTY Index Options'!$H:$H,"Weekly*")+SUMIFS('NSE - NIFTY Index Options'!$L:$L,'NSE - NIFTY Index Options'!$C:$C,$A31,'NSE - NIFTY Index Options'!$B:$B,D$4,'NSE - NIFTY Index Options'!$H:$H,"MDAW*")+SUMIFS('NSE - Other Index Options'!$L:$L,'NSE - Other Index Options'!$C:$C,$A31,'NSE - Other Index Options'!$B:$B,D$4,'NSE - Other Index Options'!$H:$H,"Weekly*")+SUMIFS('NSE - Other Index Options'!$L:$L,'NSE - Other Index Options'!$C:$C,$A31,'NSE - Other Index Options'!$B:$B,D$4,'NSE - Other Index Options'!$H:$H,"MDAW*"))</f>
        <v>25241.86</v>
      </c>
      <c r="E31" s="26">
        <f>IF(SUMIFS('NSE - NIFTY Index Options'!$L:$L,'NSE - NIFTY Index Options'!$C:$C,$A31,'NSE - NIFTY Index Options'!$B:$B,E$4,'NSE - NIFTY Index Options'!$H:$H,"Weekly*")+SUMIFS('NSE - NIFTY Index Options'!$L:$L,'NSE - NIFTY Index Options'!$C:$C,$A31,'NSE - NIFTY Index Options'!$B:$B,E$4,'NSE - NIFTY Index Options'!$H:$H,"MDAW*")+SUMIFS('NSE - Other Index Options'!$L:$L,'NSE - Other Index Options'!$C:$C,$A31,'NSE - Other Index Options'!$B:$B,E$4,'NSE - Other Index Options'!$H:$H,"Weekly*")+SUMIFS('NSE - Other Index Options'!$L:$L,'NSE - Other Index Options'!$C:$C,$A31,'NSE - Other Index Options'!$B:$B,E$4,'NSE - Other Index Options'!$H:$H,"MDAW*")=0,"",SUMIFS('NSE - NIFTY Index Options'!$L:$L,'NSE - NIFTY Index Options'!$C:$C,$A31,'NSE - NIFTY Index Options'!$B:$B,E$4,'NSE - NIFTY Index Options'!$H:$H,"Weekly*")+SUMIFS('NSE - NIFTY Index Options'!$L:$L,'NSE - NIFTY Index Options'!$C:$C,$A31,'NSE - NIFTY Index Options'!$B:$B,E$4,'NSE - NIFTY Index Options'!$H:$H,"MDAW*")+SUMIFS('NSE - Other Index Options'!$L:$L,'NSE - Other Index Options'!$C:$C,$A31,'NSE - Other Index Options'!$B:$B,E$4,'NSE - Other Index Options'!$H:$H,"Weekly*")+SUMIFS('NSE - Other Index Options'!$L:$L,'NSE - Other Index Options'!$C:$C,$A31,'NSE - Other Index Options'!$B:$B,E$4,'NSE - Other Index Options'!$H:$H,"MDAW*"))</f>
        <v>21917.370000000003</v>
      </c>
      <c r="F31" s="26">
        <f>IF(SUMIFS('NSE - NIFTY Index Options'!$L:$L,'NSE - NIFTY Index Options'!$C:$C,$A31,'NSE - NIFTY Index Options'!$B:$B,F$4,'NSE - NIFTY Index Options'!$H:$H,"Weekly*")+SUMIFS('NSE - NIFTY Index Options'!$L:$L,'NSE - NIFTY Index Options'!$C:$C,$A31,'NSE - NIFTY Index Options'!$B:$B,F$4,'NSE - NIFTY Index Options'!$H:$H,"MDAW*")+SUMIFS('NSE - Other Index Options'!$L:$L,'NSE - Other Index Options'!$C:$C,$A31,'NSE - Other Index Options'!$B:$B,F$4,'NSE - Other Index Options'!$H:$H,"Weekly*")+SUMIFS('NSE - Other Index Options'!$L:$L,'NSE - Other Index Options'!$C:$C,$A31,'NSE - Other Index Options'!$B:$B,F$4,'NSE - Other Index Options'!$H:$H,"MDAW*")=0,"",SUMIFS('NSE - NIFTY Index Options'!$L:$L,'NSE - NIFTY Index Options'!$C:$C,$A31,'NSE - NIFTY Index Options'!$B:$B,F$4,'NSE - NIFTY Index Options'!$H:$H,"Weekly*")+SUMIFS('NSE - NIFTY Index Options'!$L:$L,'NSE - NIFTY Index Options'!$C:$C,$A31,'NSE - NIFTY Index Options'!$B:$B,F$4,'NSE - NIFTY Index Options'!$H:$H,"MDAW*")+SUMIFS('NSE - Other Index Options'!$L:$L,'NSE - Other Index Options'!$C:$C,$A31,'NSE - Other Index Options'!$B:$B,F$4,'NSE - Other Index Options'!$H:$H,"Weekly*")+SUMIFS('NSE - Other Index Options'!$L:$L,'NSE - Other Index Options'!$C:$C,$A31,'NSE - Other Index Options'!$B:$B,F$4,'NSE - Other Index Options'!$H:$H,"MDAW*"))</f>
        <v>41489.130000000005</v>
      </c>
      <c r="G31" s="26" t="str">
        <f>IF(SUMIFS('NSE - NIFTY Index Options'!$L:$L,'NSE - NIFTY Index Options'!$C:$C,$A31,'NSE - NIFTY Index Options'!$B:$B,G$4,'NSE - NIFTY Index Options'!$H:$H,"Weekly*")+SUMIFS('NSE - NIFTY Index Options'!$L:$L,'NSE - NIFTY Index Options'!$C:$C,$A31,'NSE - NIFTY Index Options'!$B:$B,G$4,'NSE - NIFTY Index Options'!$H:$H,"MDAW*")+SUMIFS('NSE - Other Index Options'!$L:$L,'NSE - Other Index Options'!$C:$C,$A31,'NSE - Other Index Options'!$B:$B,G$4,'NSE - Other Index Options'!$H:$H,"Weekly*")+SUMIFS('NSE - Other Index Options'!$L:$L,'NSE - Other Index Options'!$C:$C,$A31,'NSE - Other Index Options'!$B:$B,G$4,'NSE - Other Index Options'!$H:$H,"MDAW*")=0,"",SUMIFS('NSE - NIFTY Index Options'!$L:$L,'NSE - NIFTY Index Options'!$C:$C,$A31,'NSE - NIFTY Index Options'!$B:$B,G$4,'NSE - NIFTY Index Options'!$H:$H,"Weekly*")+SUMIFS('NSE - NIFTY Index Options'!$L:$L,'NSE - NIFTY Index Options'!$C:$C,$A31,'NSE - NIFTY Index Options'!$B:$B,G$4,'NSE - NIFTY Index Options'!$H:$H,"MDAW*")+SUMIFS('NSE - Other Index Options'!$L:$L,'NSE - Other Index Options'!$C:$C,$A31,'NSE - Other Index Options'!$B:$B,G$4,'NSE - Other Index Options'!$H:$H,"Weekly*")+SUMIFS('NSE - Other Index Options'!$L:$L,'NSE - Other Index Options'!$C:$C,$A31,'NSE - Other Index Options'!$B:$B,G$4,'NSE - Other Index Options'!$H:$H,"MDAW*"))</f>
        <v/>
      </c>
      <c r="H31" s="26">
        <f t="shared" si="0"/>
        <v>181085.6</v>
      </c>
    </row>
    <row r="32" spans="1:8">
      <c r="A32" t="s">
        <v>37</v>
      </c>
      <c r="B32" s="26">
        <f>IF(SUMIFS('NSE - NIFTY Index Options'!$L:$L,'NSE - NIFTY Index Options'!$C:$C,$A32,'NSE - NIFTY Index Options'!$B:$B,B$4,'NSE - NIFTY Index Options'!$H:$H,"Weekly*")+SUMIFS('NSE - NIFTY Index Options'!$L:$L,'NSE - NIFTY Index Options'!$C:$C,$A32,'NSE - NIFTY Index Options'!$B:$B,B$4,'NSE - NIFTY Index Options'!$H:$H,"MDAW*")+SUMIFS('NSE - Other Index Options'!$L:$L,'NSE - Other Index Options'!$C:$C,$A32,'NSE - Other Index Options'!$B:$B,B$4,'NSE - Other Index Options'!$H:$H,"Weekly*")+SUMIFS('NSE - Other Index Options'!$L:$L,'NSE - Other Index Options'!$C:$C,$A32,'NSE - Other Index Options'!$B:$B,B$4,'NSE - Other Index Options'!$H:$H,"MDAW*")=0,"",SUMIFS('NSE - NIFTY Index Options'!$L:$L,'NSE - NIFTY Index Options'!$C:$C,$A32,'NSE - NIFTY Index Options'!$B:$B,B$4,'NSE - NIFTY Index Options'!$H:$H,"Weekly*")+SUMIFS('NSE - NIFTY Index Options'!$L:$L,'NSE - NIFTY Index Options'!$C:$C,$A32,'NSE - NIFTY Index Options'!$B:$B,B$4,'NSE - NIFTY Index Options'!$H:$H,"MDAW*")+SUMIFS('NSE - Other Index Options'!$L:$L,'NSE - Other Index Options'!$C:$C,$A32,'NSE - Other Index Options'!$B:$B,B$4,'NSE - Other Index Options'!$H:$H,"Weekly*")+SUMIFS('NSE - Other Index Options'!$L:$L,'NSE - Other Index Options'!$C:$C,$A32,'NSE - Other Index Options'!$B:$B,B$4,'NSE - Other Index Options'!$H:$H,"MDAW*"))</f>
        <v>49374.1</v>
      </c>
      <c r="C32" s="26">
        <f>IF(SUMIFS('NSE - NIFTY Index Options'!$L:$L,'NSE - NIFTY Index Options'!$C:$C,$A32,'NSE - NIFTY Index Options'!$B:$B,C$4,'NSE - NIFTY Index Options'!$H:$H,"Weekly*")+SUMIFS('NSE - NIFTY Index Options'!$L:$L,'NSE - NIFTY Index Options'!$C:$C,$A32,'NSE - NIFTY Index Options'!$B:$B,C$4,'NSE - NIFTY Index Options'!$H:$H,"MDAW*")+SUMIFS('NSE - Other Index Options'!$L:$L,'NSE - Other Index Options'!$C:$C,$A32,'NSE - Other Index Options'!$B:$B,C$4,'NSE - Other Index Options'!$H:$H,"Weekly*")+SUMIFS('NSE - Other Index Options'!$L:$L,'NSE - Other Index Options'!$C:$C,$A32,'NSE - Other Index Options'!$B:$B,C$4,'NSE - Other Index Options'!$H:$H,"MDAW*")=0,"",SUMIFS('NSE - NIFTY Index Options'!$L:$L,'NSE - NIFTY Index Options'!$C:$C,$A32,'NSE - NIFTY Index Options'!$B:$B,C$4,'NSE - NIFTY Index Options'!$H:$H,"Weekly*")+SUMIFS('NSE - NIFTY Index Options'!$L:$L,'NSE - NIFTY Index Options'!$C:$C,$A32,'NSE - NIFTY Index Options'!$B:$B,C$4,'NSE - NIFTY Index Options'!$H:$H,"MDAW*")+SUMIFS('NSE - Other Index Options'!$L:$L,'NSE - Other Index Options'!$C:$C,$A32,'NSE - Other Index Options'!$B:$B,C$4,'NSE - Other Index Options'!$H:$H,"Weekly*")+SUMIFS('NSE - Other Index Options'!$L:$L,'NSE - Other Index Options'!$C:$C,$A32,'NSE - Other Index Options'!$B:$B,C$4,'NSE - Other Index Options'!$H:$H,"MDAW*"))</f>
        <v>62339.28</v>
      </c>
      <c r="D32" s="26">
        <f>IF(SUMIFS('NSE - NIFTY Index Options'!$L:$L,'NSE - NIFTY Index Options'!$C:$C,$A32,'NSE - NIFTY Index Options'!$B:$B,D$4,'NSE - NIFTY Index Options'!$H:$H,"Weekly*")+SUMIFS('NSE - NIFTY Index Options'!$L:$L,'NSE - NIFTY Index Options'!$C:$C,$A32,'NSE - NIFTY Index Options'!$B:$B,D$4,'NSE - NIFTY Index Options'!$H:$H,"MDAW*")+SUMIFS('NSE - Other Index Options'!$L:$L,'NSE - Other Index Options'!$C:$C,$A32,'NSE - Other Index Options'!$B:$B,D$4,'NSE - Other Index Options'!$H:$H,"Weekly*")+SUMIFS('NSE - Other Index Options'!$L:$L,'NSE - Other Index Options'!$C:$C,$A32,'NSE - Other Index Options'!$B:$B,D$4,'NSE - Other Index Options'!$H:$H,"MDAW*")=0,"",SUMIFS('NSE - NIFTY Index Options'!$L:$L,'NSE - NIFTY Index Options'!$C:$C,$A32,'NSE - NIFTY Index Options'!$B:$B,D$4,'NSE - NIFTY Index Options'!$H:$H,"Weekly*")+SUMIFS('NSE - NIFTY Index Options'!$L:$L,'NSE - NIFTY Index Options'!$C:$C,$A32,'NSE - NIFTY Index Options'!$B:$B,D$4,'NSE - NIFTY Index Options'!$H:$H,"MDAW*")+SUMIFS('NSE - Other Index Options'!$L:$L,'NSE - Other Index Options'!$C:$C,$A32,'NSE - Other Index Options'!$B:$B,D$4,'NSE - Other Index Options'!$H:$H,"Weekly*")+SUMIFS('NSE - Other Index Options'!$L:$L,'NSE - Other Index Options'!$C:$C,$A32,'NSE - Other Index Options'!$B:$B,D$4,'NSE - Other Index Options'!$H:$H,"MDAW*"))</f>
        <v>32242.46</v>
      </c>
      <c r="E32" s="26">
        <f>IF(SUMIFS('NSE - NIFTY Index Options'!$L:$L,'NSE - NIFTY Index Options'!$C:$C,$A32,'NSE - NIFTY Index Options'!$B:$B,E$4,'NSE - NIFTY Index Options'!$H:$H,"Weekly*")+SUMIFS('NSE - NIFTY Index Options'!$L:$L,'NSE - NIFTY Index Options'!$C:$C,$A32,'NSE - NIFTY Index Options'!$B:$B,E$4,'NSE - NIFTY Index Options'!$H:$H,"MDAW*")+SUMIFS('NSE - Other Index Options'!$L:$L,'NSE - Other Index Options'!$C:$C,$A32,'NSE - Other Index Options'!$B:$B,E$4,'NSE - Other Index Options'!$H:$H,"Weekly*")+SUMIFS('NSE - Other Index Options'!$L:$L,'NSE - Other Index Options'!$C:$C,$A32,'NSE - Other Index Options'!$B:$B,E$4,'NSE - Other Index Options'!$H:$H,"MDAW*")=0,"",SUMIFS('NSE - NIFTY Index Options'!$L:$L,'NSE - NIFTY Index Options'!$C:$C,$A32,'NSE - NIFTY Index Options'!$B:$B,E$4,'NSE - NIFTY Index Options'!$H:$H,"Weekly*")+SUMIFS('NSE - NIFTY Index Options'!$L:$L,'NSE - NIFTY Index Options'!$C:$C,$A32,'NSE - NIFTY Index Options'!$B:$B,E$4,'NSE - NIFTY Index Options'!$H:$H,"MDAW*")+SUMIFS('NSE - Other Index Options'!$L:$L,'NSE - Other Index Options'!$C:$C,$A32,'NSE - Other Index Options'!$B:$B,E$4,'NSE - Other Index Options'!$H:$H,"Weekly*")+SUMIFS('NSE - Other Index Options'!$L:$L,'NSE - Other Index Options'!$C:$C,$A32,'NSE - Other Index Options'!$B:$B,E$4,'NSE - Other Index Options'!$H:$H,"MDAW*"))</f>
        <v>36377.96</v>
      </c>
      <c r="F32" s="26">
        <f>IF(SUMIFS('NSE - NIFTY Index Options'!$L:$L,'NSE - NIFTY Index Options'!$C:$C,$A32,'NSE - NIFTY Index Options'!$B:$B,F$4,'NSE - NIFTY Index Options'!$H:$H,"Weekly*")+SUMIFS('NSE - NIFTY Index Options'!$L:$L,'NSE - NIFTY Index Options'!$C:$C,$A32,'NSE - NIFTY Index Options'!$B:$B,F$4,'NSE - NIFTY Index Options'!$H:$H,"MDAW*")+SUMIFS('NSE - Other Index Options'!$L:$L,'NSE - Other Index Options'!$C:$C,$A32,'NSE - Other Index Options'!$B:$B,F$4,'NSE - Other Index Options'!$H:$H,"Weekly*")+SUMIFS('NSE - Other Index Options'!$L:$L,'NSE - Other Index Options'!$C:$C,$A32,'NSE - Other Index Options'!$B:$B,F$4,'NSE - Other Index Options'!$H:$H,"MDAW*")=0,"",SUMIFS('NSE - NIFTY Index Options'!$L:$L,'NSE - NIFTY Index Options'!$C:$C,$A32,'NSE - NIFTY Index Options'!$B:$B,F$4,'NSE - NIFTY Index Options'!$H:$H,"Weekly*")+SUMIFS('NSE - NIFTY Index Options'!$L:$L,'NSE - NIFTY Index Options'!$C:$C,$A32,'NSE - NIFTY Index Options'!$B:$B,F$4,'NSE - NIFTY Index Options'!$H:$H,"MDAW*")+SUMIFS('NSE - Other Index Options'!$L:$L,'NSE - Other Index Options'!$C:$C,$A32,'NSE - Other Index Options'!$B:$B,F$4,'NSE - Other Index Options'!$H:$H,"Weekly*")+SUMIFS('NSE - Other Index Options'!$L:$L,'NSE - Other Index Options'!$C:$C,$A32,'NSE - Other Index Options'!$B:$B,F$4,'NSE - Other Index Options'!$H:$H,"MDAW*"))</f>
        <v>66954.740000000005</v>
      </c>
      <c r="G32" s="26" t="str">
        <f>IF(SUMIFS('NSE - NIFTY Index Options'!$L:$L,'NSE - NIFTY Index Options'!$C:$C,$A32,'NSE - NIFTY Index Options'!$B:$B,G$4,'NSE - NIFTY Index Options'!$H:$H,"Weekly*")+SUMIFS('NSE - NIFTY Index Options'!$L:$L,'NSE - NIFTY Index Options'!$C:$C,$A32,'NSE - NIFTY Index Options'!$B:$B,G$4,'NSE - NIFTY Index Options'!$H:$H,"MDAW*")+SUMIFS('NSE - Other Index Options'!$L:$L,'NSE - Other Index Options'!$C:$C,$A32,'NSE - Other Index Options'!$B:$B,G$4,'NSE - Other Index Options'!$H:$H,"Weekly*")+SUMIFS('NSE - Other Index Options'!$L:$L,'NSE - Other Index Options'!$C:$C,$A32,'NSE - Other Index Options'!$B:$B,G$4,'NSE - Other Index Options'!$H:$H,"MDAW*")=0,"",SUMIFS('NSE - NIFTY Index Options'!$L:$L,'NSE - NIFTY Index Options'!$C:$C,$A32,'NSE - NIFTY Index Options'!$B:$B,G$4,'NSE - NIFTY Index Options'!$H:$H,"Weekly*")+SUMIFS('NSE - NIFTY Index Options'!$L:$L,'NSE - NIFTY Index Options'!$C:$C,$A32,'NSE - NIFTY Index Options'!$B:$B,G$4,'NSE - NIFTY Index Options'!$H:$H,"MDAW*")+SUMIFS('NSE - Other Index Options'!$L:$L,'NSE - Other Index Options'!$C:$C,$A32,'NSE - Other Index Options'!$B:$B,G$4,'NSE - Other Index Options'!$H:$H,"Weekly*")+SUMIFS('NSE - Other Index Options'!$L:$L,'NSE - Other Index Options'!$C:$C,$A32,'NSE - Other Index Options'!$B:$B,G$4,'NSE - Other Index Options'!$H:$H,"MDAW*"))</f>
        <v/>
      </c>
      <c r="H32" s="26">
        <f t="shared" si="0"/>
        <v>247288.53999999998</v>
      </c>
    </row>
    <row r="33" spans="1:8">
      <c r="A33" t="s">
        <v>38</v>
      </c>
      <c r="B33" s="26">
        <f>IF(SUMIFS('NSE - NIFTY Index Options'!$L:$L,'NSE - NIFTY Index Options'!$C:$C,$A33,'NSE - NIFTY Index Options'!$B:$B,B$4,'NSE - NIFTY Index Options'!$H:$H,"Weekly*")+SUMIFS('NSE - NIFTY Index Options'!$L:$L,'NSE - NIFTY Index Options'!$C:$C,$A33,'NSE - NIFTY Index Options'!$B:$B,B$4,'NSE - NIFTY Index Options'!$H:$H,"MDAW*")+SUMIFS('NSE - Other Index Options'!$L:$L,'NSE - Other Index Options'!$C:$C,$A33,'NSE - Other Index Options'!$B:$B,B$4,'NSE - Other Index Options'!$H:$H,"Weekly*")+SUMIFS('NSE - Other Index Options'!$L:$L,'NSE - Other Index Options'!$C:$C,$A33,'NSE - Other Index Options'!$B:$B,B$4,'NSE - Other Index Options'!$H:$H,"MDAW*")=0,"",SUMIFS('NSE - NIFTY Index Options'!$L:$L,'NSE - NIFTY Index Options'!$C:$C,$A33,'NSE - NIFTY Index Options'!$B:$B,B$4,'NSE - NIFTY Index Options'!$H:$H,"Weekly*")+SUMIFS('NSE - NIFTY Index Options'!$L:$L,'NSE - NIFTY Index Options'!$C:$C,$A33,'NSE - NIFTY Index Options'!$B:$B,B$4,'NSE - NIFTY Index Options'!$H:$H,"MDAW*")+SUMIFS('NSE - Other Index Options'!$L:$L,'NSE - Other Index Options'!$C:$C,$A33,'NSE - Other Index Options'!$B:$B,B$4,'NSE - Other Index Options'!$H:$H,"Weekly*")+SUMIFS('NSE - Other Index Options'!$L:$L,'NSE - Other Index Options'!$C:$C,$A33,'NSE - Other Index Options'!$B:$B,B$4,'NSE - Other Index Options'!$H:$H,"MDAW*"))</f>
        <v>62806.31</v>
      </c>
      <c r="C33" s="26">
        <f>IF(SUMIFS('NSE - NIFTY Index Options'!$L:$L,'NSE - NIFTY Index Options'!$C:$C,$A33,'NSE - NIFTY Index Options'!$B:$B,C$4,'NSE - NIFTY Index Options'!$H:$H,"Weekly*")+SUMIFS('NSE - NIFTY Index Options'!$L:$L,'NSE - NIFTY Index Options'!$C:$C,$A33,'NSE - NIFTY Index Options'!$B:$B,C$4,'NSE - NIFTY Index Options'!$H:$H,"MDAW*")+SUMIFS('NSE - Other Index Options'!$L:$L,'NSE - Other Index Options'!$C:$C,$A33,'NSE - Other Index Options'!$B:$B,C$4,'NSE - Other Index Options'!$H:$H,"Weekly*")+SUMIFS('NSE - Other Index Options'!$L:$L,'NSE - Other Index Options'!$C:$C,$A33,'NSE - Other Index Options'!$B:$B,C$4,'NSE - Other Index Options'!$H:$H,"MDAW*")=0,"",SUMIFS('NSE - NIFTY Index Options'!$L:$L,'NSE - NIFTY Index Options'!$C:$C,$A33,'NSE - NIFTY Index Options'!$B:$B,C$4,'NSE - NIFTY Index Options'!$H:$H,"Weekly*")+SUMIFS('NSE - NIFTY Index Options'!$L:$L,'NSE - NIFTY Index Options'!$C:$C,$A33,'NSE - NIFTY Index Options'!$B:$B,C$4,'NSE - NIFTY Index Options'!$H:$H,"MDAW*")+SUMIFS('NSE - Other Index Options'!$L:$L,'NSE - Other Index Options'!$C:$C,$A33,'NSE - Other Index Options'!$B:$B,C$4,'NSE - Other Index Options'!$H:$H,"Weekly*")+SUMIFS('NSE - Other Index Options'!$L:$L,'NSE - Other Index Options'!$C:$C,$A33,'NSE - Other Index Options'!$B:$B,C$4,'NSE - Other Index Options'!$H:$H,"MDAW*"))</f>
        <v>72844.06</v>
      </c>
      <c r="D33" s="26">
        <f>IF(SUMIFS('NSE - NIFTY Index Options'!$L:$L,'NSE - NIFTY Index Options'!$C:$C,$A33,'NSE - NIFTY Index Options'!$B:$B,D$4,'NSE - NIFTY Index Options'!$H:$H,"Weekly*")+SUMIFS('NSE - NIFTY Index Options'!$L:$L,'NSE - NIFTY Index Options'!$C:$C,$A33,'NSE - NIFTY Index Options'!$B:$B,D$4,'NSE - NIFTY Index Options'!$H:$H,"MDAW*")+SUMIFS('NSE - Other Index Options'!$L:$L,'NSE - Other Index Options'!$C:$C,$A33,'NSE - Other Index Options'!$B:$B,D$4,'NSE - Other Index Options'!$H:$H,"Weekly*")+SUMIFS('NSE - Other Index Options'!$L:$L,'NSE - Other Index Options'!$C:$C,$A33,'NSE - Other Index Options'!$B:$B,D$4,'NSE - Other Index Options'!$H:$H,"MDAW*")=0,"",SUMIFS('NSE - NIFTY Index Options'!$L:$L,'NSE - NIFTY Index Options'!$C:$C,$A33,'NSE - NIFTY Index Options'!$B:$B,D$4,'NSE - NIFTY Index Options'!$H:$H,"Weekly*")+SUMIFS('NSE - NIFTY Index Options'!$L:$L,'NSE - NIFTY Index Options'!$C:$C,$A33,'NSE - NIFTY Index Options'!$B:$B,D$4,'NSE - NIFTY Index Options'!$H:$H,"MDAW*")+SUMIFS('NSE - Other Index Options'!$L:$L,'NSE - Other Index Options'!$C:$C,$A33,'NSE - Other Index Options'!$B:$B,D$4,'NSE - Other Index Options'!$H:$H,"Weekly*")+SUMIFS('NSE - Other Index Options'!$L:$L,'NSE - Other Index Options'!$C:$C,$A33,'NSE - Other Index Options'!$B:$B,D$4,'NSE - Other Index Options'!$H:$H,"MDAW*"))</f>
        <v>40635</v>
      </c>
      <c r="E33" s="26">
        <f>IF(SUMIFS('NSE - NIFTY Index Options'!$L:$L,'NSE - NIFTY Index Options'!$C:$C,$A33,'NSE - NIFTY Index Options'!$B:$B,E$4,'NSE - NIFTY Index Options'!$H:$H,"Weekly*")+SUMIFS('NSE - NIFTY Index Options'!$L:$L,'NSE - NIFTY Index Options'!$C:$C,$A33,'NSE - NIFTY Index Options'!$B:$B,E$4,'NSE - NIFTY Index Options'!$H:$H,"MDAW*")+SUMIFS('NSE - Other Index Options'!$L:$L,'NSE - Other Index Options'!$C:$C,$A33,'NSE - Other Index Options'!$B:$B,E$4,'NSE - Other Index Options'!$H:$H,"Weekly*")+SUMIFS('NSE - Other Index Options'!$L:$L,'NSE - Other Index Options'!$C:$C,$A33,'NSE - Other Index Options'!$B:$B,E$4,'NSE - Other Index Options'!$H:$H,"MDAW*")=0,"",SUMIFS('NSE - NIFTY Index Options'!$L:$L,'NSE - NIFTY Index Options'!$C:$C,$A33,'NSE - NIFTY Index Options'!$B:$B,E$4,'NSE - NIFTY Index Options'!$H:$H,"Weekly*")+SUMIFS('NSE - NIFTY Index Options'!$L:$L,'NSE - NIFTY Index Options'!$C:$C,$A33,'NSE - NIFTY Index Options'!$B:$B,E$4,'NSE - NIFTY Index Options'!$H:$H,"MDAW*")+SUMIFS('NSE - Other Index Options'!$L:$L,'NSE - Other Index Options'!$C:$C,$A33,'NSE - Other Index Options'!$B:$B,E$4,'NSE - Other Index Options'!$H:$H,"Weekly*")+SUMIFS('NSE - Other Index Options'!$L:$L,'NSE - Other Index Options'!$C:$C,$A33,'NSE - Other Index Options'!$B:$B,E$4,'NSE - Other Index Options'!$H:$H,"MDAW*"))</f>
        <v>35730.160000000003</v>
      </c>
      <c r="F33" s="26">
        <f>IF(SUMIFS('NSE - NIFTY Index Options'!$L:$L,'NSE - NIFTY Index Options'!$C:$C,$A33,'NSE - NIFTY Index Options'!$B:$B,F$4,'NSE - NIFTY Index Options'!$H:$H,"Weekly*")+SUMIFS('NSE - NIFTY Index Options'!$L:$L,'NSE - NIFTY Index Options'!$C:$C,$A33,'NSE - NIFTY Index Options'!$B:$B,F$4,'NSE - NIFTY Index Options'!$H:$H,"MDAW*")+SUMIFS('NSE - Other Index Options'!$L:$L,'NSE - Other Index Options'!$C:$C,$A33,'NSE - Other Index Options'!$B:$B,F$4,'NSE - Other Index Options'!$H:$H,"Weekly*")+SUMIFS('NSE - Other Index Options'!$L:$L,'NSE - Other Index Options'!$C:$C,$A33,'NSE - Other Index Options'!$B:$B,F$4,'NSE - Other Index Options'!$H:$H,"MDAW*")=0,"",SUMIFS('NSE - NIFTY Index Options'!$L:$L,'NSE - NIFTY Index Options'!$C:$C,$A33,'NSE - NIFTY Index Options'!$B:$B,F$4,'NSE - NIFTY Index Options'!$H:$H,"Weekly*")+SUMIFS('NSE - NIFTY Index Options'!$L:$L,'NSE - NIFTY Index Options'!$C:$C,$A33,'NSE - NIFTY Index Options'!$B:$B,F$4,'NSE - NIFTY Index Options'!$H:$H,"MDAW*")+SUMIFS('NSE - Other Index Options'!$L:$L,'NSE - Other Index Options'!$C:$C,$A33,'NSE - Other Index Options'!$B:$B,F$4,'NSE - Other Index Options'!$H:$H,"Weekly*")+SUMIFS('NSE - Other Index Options'!$L:$L,'NSE - Other Index Options'!$C:$C,$A33,'NSE - Other Index Options'!$B:$B,F$4,'NSE - Other Index Options'!$H:$H,"MDAW*"))</f>
        <v>60076.76</v>
      </c>
      <c r="G33" s="26" t="str">
        <f>IF(SUMIFS('NSE - NIFTY Index Options'!$L:$L,'NSE - NIFTY Index Options'!$C:$C,$A33,'NSE - NIFTY Index Options'!$B:$B,G$4,'NSE - NIFTY Index Options'!$H:$H,"Weekly*")+SUMIFS('NSE - NIFTY Index Options'!$L:$L,'NSE - NIFTY Index Options'!$C:$C,$A33,'NSE - NIFTY Index Options'!$B:$B,G$4,'NSE - NIFTY Index Options'!$H:$H,"MDAW*")+SUMIFS('NSE - Other Index Options'!$L:$L,'NSE - Other Index Options'!$C:$C,$A33,'NSE - Other Index Options'!$B:$B,G$4,'NSE - Other Index Options'!$H:$H,"Weekly*")+SUMIFS('NSE - Other Index Options'!$L:$L,'NSE - Other Index Options'!$C:$C,$A33,'NSE - Other Index Options'!$B:$B,G$4,'NSE - Other Index Options'!$H:$H,"MDAW*")=0,"",SUMIFS('NSE - NIFTY Index Options'!$L:$L,'NSE - NIFTY Index Options'!$C:$C,$A33,'NSE - NIFTY Index Options'!$B:$B,G$4,'NSE - NIFTY Index Options'!$H:$H,"Weekly*")+SUMIFS('NSE - NIFTY Index Options'!$L:$L,'NSE - NIFTY Index Options'!$C:$C,$A33,'NSE - NIFTY Index Options'!$B:$B,G$4,'NSE - NIFTY Index Options'!$H:$H,"MDAW*")+SUMIFS('NSE - Other Index Options'!$L:$L,'NSE - Other Index Options'!$C:$C,$A33,'NSE - Other Index Options'!$B:$B,G$4,'NSE - Other Index Options'!$H:$H,"Weekly*")+SUMIFS('NSE - Other Index Options'!$L:$L,'NSE - Other Index Options'!$C:$C,$A33,'NSE - Other Index Options'!$B:$B,G$4,'NSE - Other Index Options'!$H:$H,"MDAW*"))</f>
        <v/>
      </c>
      <c r="H33" s="26">
        <f t="shared" si="0"/>
        <v>272092.28999999998</v>
      </c>
    </row>
    <row r="34" spans="1:8">
      <c r="A34" t="s">
        <v>39</v>
      </c>
      <c r="B34" s="26">
        <f>IF(SUMIFS('NSE - NIFTY Index Options'!$L:$L,'NSE - NIFTY Index Options'!$C:$C,$A34,'NSE - NIFTY Index Options'!$B:$B,B$4,'NSE - NIFTY Index Options'!$H:$H,"Weekly*")+SUMIFS('NSE - NIFTY Index Options'!$L:$L,'NSE - NIFTY Index Options'!$C:$C,$A34,'NSE - NIFTY Index Options'!$B:$B,B$4,'NSE - NIFTY Index Options'!$H:$H,"MDAW*")+SUMIFS('NSE - Other Index Options'!$L:$L,'NSE - Other Index Options'!$C:$C,$A34,'NSE - Other Index Options'!$B:$B,B$4,'NSE - Other Index Options'!$H:$H,"Weekly*")+SUMIFS('NSE - Other Index Options'!$L:$L,'NSE - Other Index Options'!$C:$C,$A34,'NSE - Other Index Options'!$B:$B,B$4,'NSE - Other Index Options'!$H:$H,"MDAW*")=0,"",SUMIFS('NSE - NIFTY Index Options'!$L:$L,'NSE - NIFTY Index Options'!$C:$C,$A34,'NSE - NIFTY Index Options'!$B:$B,B$4,'NSE - NIFTY Index Options'!$H:$H,"Weekly*")+SUMIFS('NSE - NIFTY Index Options'!$L:$L,'NSE - NIFTY Index Options'!$C:$C,$A34,'NSE - NIFTY Index Options'!$B:$B,B$4,'NSE - NIFTY Index Options'!$H:$H,"MDAW*")+SUMIFS('NSE - Other Index Options'!$L:$L,'NSE - Other Index Options'!$C:$C,$A34,'NSE - Other Index Options'!$B:$B,B$4,'NSE - Other Index Options'!$H:$H,"Weekly*")+SUMIFS('NSE - Other Index Options'!$L:$L,'NSE - Other Index Options'!$C:$C,$A34,'NSE - Other Index Options'!$B:$B,B$4,'NSE - Other Index Options'!$H:$H,"MDAW*"))</f>
        <v>104135.14</v>
      </c>
      <c r="C34" s="26" t="str">
        <f>IF(SUMIFS('NSE - NIFTY Index Options'!$L:$L,'NSE - NIFTY Index Options'!$C:$C,$A34,'NSE - NIFTY Index Options'!$B:$B,C$4,'NSE - NIFTY Index Options'!$H:$H,"Weekly*")+SUMIFS('NSE - NIFTY Index Options'!$L:$L,'NSE - NIFTY Index Options'!$C:$C,$A34,'NSE - NIFTY Index Options'!$B:$B,C$4,'NSE - NIFTY Index Options'!$H:$H,"MDAW*")+SUMIFS('NSE - Other Index Options'!$L:$L,'NSE - Other Index Options'!$C:$C,$A34,'NSE - Other Index Options'!$B:$B,C$4,'NSE - Other Index Options'!$H:$H,"Weekly*")+SUMIFS('NSE - Other Index Options'!$L:$L,'NSE - Other Index Options'!$C:$C,$A34,'NSE - Other Index Options'!$B:$B,C$4,'NSE - Other Index Options'!$H:$H,"MDAW*")=0,"",SUMIFS('NSE - NIFTY Index Options'!$L:$L,'NSE - NIFTY Index Options'!$C:$C,$A34,'NSE - NIFTY Index Options'!$B:$B,C$4,'NSE - NIFTY Index Options'!$H:$H,"Weekly*")+SUMIFS('NSE - NIFTY Index Options'!$L:$L,'NSE - NIFTY Index Options'!$C:$C,$A34,'NSE - NIFTY Index Options'!$B:$B,C$4,'NSE - NIFTY Index Options'!$H:$H,"MDAW*")+SUMIFS('NSE - Other Index Options'!$L:$L,'NSE - Other Index Options'!$C:$C,$A34,'NSE - Other Index Options'!$B:$B,C$4,'NSE - Other Index Options'!$H:$H,"Weekly*")+SUMIFS('NSE - Other Index Options'!$L:$L,'NSE - Other Index Options'!$C:$C,$A34,'NSE - Other Index Options'!$B:$B,C$4,'NSE - Other Index Options'!$H:$H,"MDAW*"))</f>
        <v/>
      </c>
      <c r="D34" s="26">
        <f>IF(SUMIFS('NSE - NIFTY Index Options'!$L:$L,'NSE - NIFTY Index Options'!$C:$C,$A34,'NSE - NIFTY Index Options'!$B:$B,D$4,'NSE - NIFTY Index Options'!$H:$H,"Weekly*")+SUMIFS('NSE - NIFTY Index Options'!$L:$L,'NSE - NIFTY Index Options'!$C:$C,$A34,'NSE - NIFTY Index Options'!$B:$B,D$4,'NSE - NIFTY Index Options'!$H:$H,"MDAW*")+SUMIFS('NSE - Other Index Options'!$L:$L,'NSE - Other Index Options'!$C:$C,$A34,'NSE - Other Index Options'!$B:$B,D$4,'NSE - Other Index Options'!$H:$H,"Weekly*")+SUMIFS('NSE - Other Index Options'!$L:$L,'NSE - Other Index Options'!$C:$C,$A34,'NSE - Other Index Options'!$B:$B,D$4,'NSE - Other Index Options'!$H:$H,"MDAW*")=0,"",SUMIFS('NSE - NIFTY Index Options'!$L:$L,'NSE - NIFTY Index Options'!$C:$C,$A34,'NSE - NIFTY Index Options'!$B:$B,D$4,'NSE - NIFTY Index Options'!$H:$H,"Weekly*")+SUMIFS('NSE - NIFTY Index Options'!$L:$L,'NSE - NIFTY Index Options'!$C:$C,$A34,'NSE - NIFTY Index Options'!$B:$B,D$4,'NSE - NIFTY Index Options'!$H:$H,"MDAW*")+SUMIFS('NSE - Other Index Options'!$L:$L,'NSE - Other Index Options'!$C:$C,$A34,'NSE - Other Index Options'!$B:$B,D$4,'NSE - Other Index Options'!$H:$H,"Weekly*")+SUMIFS('NSE - Other Index Options'!$L:$L,'NSE - Other Index Options'!$C:$C,$A34,'NSE - Other Index Options'!$B:$B,D$4,'NSE - Other Index Options'!$H:$H,"MDAW*"))</f>
        <v>57278.469999999994</v>
      </c>
      <c r="E34" s="26">
        <f>IF(SUMIFS('NSE - NIFTY Index Options'!$L:$L,'NSE - NIFTY Index Options'!$C:$C,$A34,'NSE - NIFTY Index Options'!$B:$B,E$4,'NSE - NIFTY Index Options'!$H:$H,"Weekly*")+SUMIFS('NSE - NIFTY Index Options'!$L:$L,'NSE - NIFTY Index Options'!$C:$C,$A34,'NSE - NIFTY Index Options'!$B:$B,E$4,'NSE - NIFTY Index Options'!$H:$H,"MDAW*")+SUMIFS('NSE - Other Index Options'!$L:$L,'NSE - Other Index Options'!$C:$C,$A34,'NSE - Other Index Options'!$B:$B,E$4,'NSE - Other Index Options'!$H:$H,"Weekly*")+SUMIFS('NSE - Other Index Options'!$L:$L,'NSE - Other Index Options'!$C:$C,$A34,'NSE - Other Index Options'!$B:$B,E$4,'NSE - Other Index Options'!$H:$H,"MDAW*")=0,"",SUMIFS('NSE - NIFTY Index Options'!$L:$L,'NSE - NIFTY Index Options'!$C:$C,$A34,'NSE - NIFTY Index Options'!$B:$B,E$4,'NSE - NIFTY Index Options'!$H:$H,"Weekly*")+SUMIFS('NSE - NIFTY Index Options'!$L:$L,'NSE - NIFTY Index Options'!$C:$C,$A34,'NSE - NIFTY Index Options'!$B:$B,E$4,'NSE - NIFTY Index Options'!$H:$H,"MDAW*")+SUMIFS('NSE - Other Index Options'!$L:$L,'NSE - Other Index Options'!$C:$C,$A34,'NSE - Other Index Options'!$B:$B,E$4,'NSE - Other Index Options'!$H:$H,"Weekly*")+SUMIFS('NSE - Other Index Options'!$L:$L,'NSE - Other Index Options'!$C:$C,$A34,'NSE - Other Index Options'!$B:$B,E$4,'NSE - Other Index Options'!$H:$H,"MDAW*"))</f>
        <v>49267.73</v>
      </c>
      <c r="F34" s="26">
        <f>IF(SUMIFS('NSE - NIFTY Index Options'!$L:$L,'NSE - NIFTY Index Options'!$C:$C,$A34,'NSE - NIFTY Index Options'!$B:$B,F$4,'NSE - NIFTY Index Options'!$H:$H,"Weekly*")+SUMIFS('NSE - NIFTY Index Options'!$L:$L,'NSE - NIFTY Index Options'!$C:$C,$A34,'NSE - NIFTY Index Options'!$B:$B,F$4,'NSE - NIFTY Index Options'!$H:$H,"MDAW*")+SUMIFS('NSE - Other Index Options'!$L:$L,'NSE - Other Index Options'!$C:$C,$A34,'NSE - Other Index Options'!$B:$B,F$4,'NSE - Other Index Options'!$H:$H,"Weekly*")+SUMIFS('NSE - Other Index Options'!$L:$L,'NSE - Other Index Options'!$C:$C,$A34,'NSE - Other Index Options'!$B:$B,F$4,'NSE - Other Index Options'!$H:$H,"MDAW*")=0,"",SUMIFS('NSE - NIFTY Index Options'!$L:$L,'NSE - NIFTY Index Options'!$C:$C,$A34,'NSE - NIFTY Index Options'!$B:$B,F$4,'NSE - NIFTY Index Options'!$H:$H,"Weekly*")+SUMIFS('NSE - NIFTY Index Options'!$L:$L,'NSE - NIFTY Index Options'!$C:$C,$A34,'NSE - NIFTY Index Options'!$B:$B,F$4,'NSE - NIFTY Index Options'!$H:$H,"MDAW*")+SUMIFS('NSE - Other Index Options'!$L:$L,'NSE - Other Index Options'!$C:$C,$A34,'NSE - Other Index Options'!$B:$B,F$4,'NSE - Other Index Options'!$H:$H,"Weekly*")+SUMIFS('NSE - Other Index Options'!$L:$L,'NSE - Other Index Options'!$C:$C,$A34,'NSE - Other Index Options'!$B:$B,F$4,'NSE - Other Index Options'!$H:$H,"MDAW*"))</f>
        <v>67650.789999999994</v>
      </c>
      <c r="G34" s="26" t="str">
        <f>IF(SUMIFS('NSE - NIFTY Index Options'!$L:$L,'NSE - NIFTY Index Options'!$C:$C,$A34,'NSE - NIFTY Index Options'!$B:$B,G$4,'NSE - NIFTY Index Options'!$H:$H,"Weekly*")+SUMIFS('NSE - NIFTY Index Options'!$L:$L,'NSE - NIFTY Index Options'!$C:$C,$A34,'NSE - NIFTY Index Options'!$B:$B,G$4,'NSE - NIFTY Index Options'!$H:$H,"MDAW*")+SUMIFS('NSE - Other Index Options'!$L:$L,'NSE - Other Index Options'!$C:$C,$A34,'NSE - Other Index Options'!$B:$B,G$4,'NSE - Other Index Options'!$H:$H,"Weekly*")+SUMIFS('NSE - Other Index Options'!$L:$L,'NSE - Other Index Options'!$C:$C,$A34,'NSE - Other Index Options'!$B:$B,G$4,'NSE - Other Index Options'!$H:$H,"MDAW*")=0,"",SUMIFS('NSE - NIFTY Index Options'!$L:$L,'NSE - NIFTY Index Options'!$C:$C,$A34,'NSE - NIFTY Index Options'!$B:$B,G$4,'NSE - NIFTY Index Options'!$H:$H,"Weekly*")+SUMIFS('NSE - NIFTY Index Options'!$L:$L,'NSE - NIFTY Index Options'!$C:$C,$A34,'NSE - NIFTY Index Options'!$B:$B,G$4,'NSE - NIFTY Index Options'!$H:$H,"MDAW*")+SUMIFS('NSE - Other Index Options'!$L:$L,'NSE - Other Index Options'!$C:$C,$A34,'NSE - Other Index Options'!$B:$B,G$4,'NSE - Other Index Options'!$H:$H,"Weekly*")+SUMIFS('NSE - Other Index Options'!$L:$L,'NSE - Other Index Options'!$C:$C,$A34,'NSE - Other Index Options'!$B:$B,G$4,'NSE - Other Index Options'!$H:$H,"MDAW*"))</f>
        <v/>
      </c>
      <c r="H34" s="26">
        <f t="shared" si="0"/>
        <v>278332.13</v>
      </c>
    </row>
    <row r="35" spans="1:8">
      <c r="A35" t="s">
        <v>40</v>
      </c>
      <c r="B35" s="26">
        <f>IF(SUMIFS('NSE - NIFTY Index Options'!$L:$L,'NSE - NIFTY Index Options'!$C:$C,$A35,'NSE - NIFTY Index Options'!$B:$B,B$4,'NSE - NIFTY Index Options'!$H:$H,"Weekly*")+SUMIFS('NSE - NIFTY Index Options'!$L:$L,'NSE - NIFTY Index Options'!$C:$C,$A35,'NSE - NIFTY Index Options'!$B:$B,B$4,'NSE - NIFTY Index Options'!$H:$H,"MDAW*")+SUMIFS('NSE - Other Index Options'!$L:$L,'NSE - Other Index Options'!$C:$C,$A35,'NSE - Other Index Options'!$B:$B,B$4,'NSE - Other Index Options'!$H:$H,"Weekly*")+SUMIFS('NSE - Other Index Options'!$L:$L,'NSE - Other Index Options'!$C:$C,$A35,'NSE - Other Index Options'!$B:$B,B$4,'NSE - Other Index Options'!$H:$H,"MDAW*")=0,"",SUMIFS('NSE - NIFTY Index Options'!$L:$L,'NSE - NIFTY Index Options'!$C:$C,$A35,'NSE - NIFTY Index Options'!$B:$B,B$4,'NSE - NIFTY Index Options'!$H:$H,"Weekly*")+SUMIFS('NSE - NIFTY Index Options'!$L:$L,'NSE - NIFTY Index Options'!$C:$C,$A35,'NSE - NIFTY Index Options'!$B:$B,B$4,'NSE - NIFTY Index Options'!$H:$H,"MDAW*")+SUMIFS('NSE - Other Index Options'!$L:$L,'NSE - Other Index Options'!$C:$C,$A35,'NSE - Other Index Options'!$B:$B,B$4,'NSE - Other Index Options'!$H:$H,"Weekly*")+SUMIFS('NSE - Other Index Options'!$L:$L,'NSE - Other Index Options'!$C:$C,$A35,'NSE - Other Index Options'!$B:$B,B$4,'NSE - Other Index Options'!$H:$H,"MDAW*"))</f>
        <v>87160.670000000013</v>
      </c>
      <c r="C35" s="26">
        <f>IF(SUMIFS('NSE - NIFTY Index Options'!$L:$L,'NSE - NIFTY Index Options'!$C:$C,$A35,'NSE - NIFTY Index Options'!$B:$B,C$4,'NSE - NIFTY Index Options'!$H:$H,"Weekly*")+SUMIFS('NSE - NIFTY Index Options'!$L:$L,'NSE - NIFTY Index Options'!$C:$C,$A35,'NSE - NIFTY Index Options'!$B:$B,C$4,'NSE - NIFTY Index Options'!$H:$H,"MDAW*")+SUMIFS('NSE - Other Index Options'!$L:$L,'NSE - Other Index Options'!$C:$C,$A35,'NSE - Other Index Options'!$B:$B,C$4,'NSE - Other Index Options'!$H:$H,"Weekly*")+SUMIFS('NSE - Other Index Options'!$L:$L,'NSE - Other Index Options'!$C:$C,$A35,'NSE - Other Index Options'!$B:$B,C$4,'NSE - Other Index Options'!$H:$H,"MDAW*")=0,"",SUMIFS('NSE - NIFTY Index Options'!$L:$L,'NSE - NIFTY Index Options'!$C:$C,$A35,'NSE - NIFTY Index Options'!$B:$B,C$4,'NSE - NIFTY Index Options'!$H:$H,"Weekly*")+SUMIFS('NSE - NIFTY Index Options'!$L:$L,'NSE - NIFTY Index Options'!$C:$C,$A35,'NSE - NIFTY Index Options'!$B:$B,C$4,'NSE - NIFTY Index Options'!$H:$H,"MDAW*")+SUMIFS('NSE - Other Index Options'!$L:$L,'NSE - Other Index Options'!$C:$C,$A35,'NSE - Other Index Options'!$B:$B,C$4,'NSE - Other Index Options'!$H:$H,"Weekly*")+SUMIFS('NSE - Other Index Options'!$L:$L,'NSE - Other Index Options'!$C:$C,$A35,'NSE - Other Index Options'!$B:$B,C$4,'NSE - Other Index Options'!$H:$H,"MDAW*"))</f>
        <v>87278.060000000012</v>
      </c>
      <c r="D35" s="26">
        <f>IF(SUMIFS('NSE - NIFTY Index Options'!$L:$L,'NSE - NIFTY Index Options'!$C:$C,$A35,'NSE - NIFTY Index Options'!$B:$B,D$4,'NSE - NIFTY Index Options'!$H:$H,"Weekly*")+SUMIFS('NSE - NIFTY Index Options'!$L:$L,'NSE - NIFTY Index Options'!$C:$C,$A35,'NSE - NIFTY Index Options'!$B:$B,D$4,'NSE - NIFTY Index Options'!$H:$H,"MDAW*")+SUMIFS('NSE - Other Index Options'!$L:$L,'NSE - Other Index Options'!$C:$C,$A35,'NSE - Other Index Options'!$B:$B,D$4,'NSE - Other Index Options'!$H:$H,"Weekly*")+SUMIFS('NSE - Other Index Options'!$L:$L,'NSE - Other Index Options'!$C:$C,$A35,'NSE - Other Index Options'!$B:$B,D$4,'NSE - Other Index Options'!$H:$H,"MDAW*")=0,"",SUMIFS('NSE - NIFTY Index Options'!$L:$L,'NSE - NIFTY Index Options'!$C:$C,$A35,'NSE - NIFTY Index Options'!$B:$B,D$4,'NSE - NIFTY Index Options'!$H:$H,"Weekly*")+SUMIFS('NSE - NIFTY Index Options'!$L:$L,'NSE - NIFTY Index Options'!$C:$C,$A35,'NSE - NIFTY Index Options'!$B:$B,D$4,'NSE - NIFTY Index Options'!$H:$H,"MDAW*")+SUMIFS('NSE - Other Index Options'!$L:$L,'NSE - Other Index Options'!$C:$C,$A35,'NSE - Other Index Options'!$B:$B,D$4,'NSE - Other Index Options'!$H:$H,"Weekly*")+SUMIFS('NSE - Other Index Options'!$L:$L,'NSE - Other Index Options'!$C:$C,$A35,'NSE - Other Index Options'!$B:$B,D$4,'NSE - Other Index Options'!$H:$H,"MDAW*"))</f>
        <v>46196.03</v>
      </c>
      <c r="E35" s="26">
        <f>IF(SUMIFS('NSE - NIFTY Index Options'!$L:$L,'NSE - NIFTY Index Options'!$C:$C,$A35,'NSE - NIFTY Index Options'!$B:$B,E$4,'NSE - NIFTY Index Options'!$H:$H,"Weekly*")+SUMIFS('NSE - NIFTY Index Options'!$L:$L,'NSE - NIFTY Index Options'!$C:$C,$A35,'NSE - NIFTY Index Options'!$B:$B,E$4,'NSE - NIFTY Index Options'!$H:$H,"MDAW*")+SUMIFS('NSE - Other Index Options'!$L:$L,'NSE - Other Index Options'!$C:$C,$A35,'NSE - Other Index Options'!$B:$B,E$4,'NSE - Other Index Options'!$H:$H,"Weekly*")+SUMIFS('NSE - Other Index Options'!$L:$L,'NSE - Other Index Options'!$C:$C,$A35,'NSE - Other Index Options'!$B:$B,E$4,'NSE - Other Index Options'!$H:$H,"MDAW*")=0,"",SUMIFS('NSE - NIFTY Index Options'!$L:$L,'NSE - NIFTY Index Options'!$C:$C,$A35,'NSE - NIFTY Index Options'!$B:$B,E$4,'NSE - NIFTY Index Options'!$H:$H,"Weekly*")+SUMIFS('NSE - NIFTY Index Options'!$L:$L,'NSE - NIFTY Index Options'!$C:$C,$A35,'NSE - NIFTY Index Options'!$B:$B,E$4,'NSE - NIFTY Index Options'!$H:$H,"MDAW*")+SUMIFS('NSE - Other Index Options'!$L:$L,'NSE - Other Index Options'!$C:$C,$A35,'NSE - Other Index Options'!$B:$B,E$4,'NSE - Other Index Options'!$H:$H,"Weekly*")+SUMIFS('NSE - Other Index Options'!$L:$L,'NSE - Other Index Options'!$C:$C,$A35,'NSE - Other Index Options'!$B:$B,E$4,'NSE - Other Index Options'!$H:$H,"MDAW*"))</f>
        <v>40811.39</v>
      </c>
      <c r="F35" s="26">
        <f>IF(SUMIFS('NSE - NIFTY Index Options'!$L:$L,'NSE - NIFTY Index Options'!$C:$C,$A35,'NSE - NIFTY Index Options'!$B:$B,F$4,'NSE - NIFTY Index Options'!$H:$H,"Weekly*")+SUMIFS('NSE - NIFTY Index Options'!$L:$L,'NSE - NIFTY Index Options'!$C:$C,$A35,'NSE - NIFTY Index Options'!$B:$B,F$4,'NSE - NIFTY Index Options'!$H:$H,"MDAW*")+SUMIFS('NSE - Other Index Options'!$L:$L,'NSE - Other Index Options'!$C:$C,$A35,'NSE - Other Index Options'!$B:$B,F$4,'NSE - Other Index Options'!$H:$H,"Weekly*")+SUMIFS('NSE - Other Index Options'!$L:$L,'NSE - Other Index Options'!$C:$C,$A35,'NSE - Other Index Options'!$B:$B,F$4,'NSE - Other Index Options'!$H:$H,"MDAW*")=0,"",SUMIFS('NSE - NIFTY Index Options'!$L:$L,'NSE - NIFTY Index Options'!$C:$C,$A35,'NSE - NIFTY Index Options'!$B:$B,F$4,'NSE - NIFTY Index Options'!$H:$H,"Weekly*")+SUMIFS('NSE - NIFTY Index Options'!$L:$L,'NSE - NIFTY Index Options'!$C:$C,$A35,'NSE - NIFTY Index Options'!$B:$B,F$4,'NSE - NIFTY Index Options'!$H:$H,"MDAW*")+SUMIFS('NSE - Other Index Options'!$L:$L,'NSE - Other Index Options'!$C:$C,$A35,'NSE - Other Index Options'!$B:$B,F$4,'NSE - Other Index Options'!$H:$H,"Weekly*")+SUMIFS('NSE - Other Index Options'!$L:$L,'NSE - Other Index Options'!$C:$C,$A35,'NSE - Other Index Options'!$B:$B,F$4,'NSE - Other Index Options'!$H:$H,"MDAW*"))</f>
        <v>76203.439999999988</v>
      </c>
      <c r="G35" s="26" t="str">
        <f>IF(SUMIFS('NSE - NIFTY Index Options'!$L:$L,'NSE - NIFTY Index Options'!$C:$C,$A35,'NSE - NIFTY Index Options'!$B:$B,G$4,'NSE - NIFTY Index Options'!$H:$H,"Weekly*")+SUMIFS('NSE - NIFTY Index Options'!$L:$L,'NSE - NIFTY Index Options'!$C:$C,$A35,'NSE - NIFTY Index Options'!$B:$B,G$4,'NSE - NIFTY Index Options'!$H:$H,"MDAW*")+SUMIFS('NSE - Other Index Options'!$L:$L,'NSE - Other Index Options'!$C:$C,$A35,'NSE - Other Index Options'!$B:$B,G$4,'NSE - Other Index Options'!$H:$H,"Weekly*")+SUMIFS('NSE - Other Index Options'!$L:$L,'NSE - Other Index Options'!$C:$C,$A35,'NSE - Other Index Options'!$B:$B,G$4,'NSE - Other Index Options'!$H:$H,"MDAW*")=0,"",SUMIFS('NSE - NIFTY Index Options'!$L:$L,'NSE - NIFTY Index Options'!$C:$C,$A35,'NSE - NIFTY Index Options'!$B:$B,G$4,'NSE - NIFTY Index Options'!$H:$H,"Weekly*")+SUMIFS('NSE - NIFTY Index Options'!$L:$L,'NSE - NIFTY Index Options'!$C:$C,$A35,'NSE - NIFTY Index Options'!$B:$B,G$4,'NSE - NIFTY Index Options'!$H:$H,"MDAW*")+SUMIFS('NSE - Other Index Options'!$L:$L,'NSE - Other Index Options'!$C:$C,$A35,'NSE - Other Index Options'!$B:$B,G$4,'NSE - Other Index Options'!$H:$H,"Weekly*")+SUMIFS('NSE - Other Index Options'!$L:$L,'NSE - Other Index Options'!$C:$C,$A35,'NSE - Other Index Options'!$B:$B,G$4,'NSE - Other Index Options'!$H:$H,"MDAW*"))</f>
        <v/>
      </c>
      <c r="H35" s="26">
        <f t="shared" si="0"/>
        <v>337649.59</v>
      </c>
    </row>
    <row r="36" spans="1:8">
      <c r="A36" t="s">
        <v>41</v>
      </c>
      <c r="B36" s="26">
        <f>IF(SUMIFS('NSE - NIFTY Index Options'!$L:$L,'NSE - NIFTY Index Options'!$C:$C,$A36,'NSE - NIFTY Index Options'!$B:$B,B$4,'NSE - NIFTY Index Options'!$H:$H,"Weekly*")+SUMIFS('NSE - NIFTY Index Options'!$L:$L,'NSE - NIFTY Index Options'!$C:$C,$A36,'NSE - NIFTY Index Options'!$B:$B,B$4,'NSE - NIFTY Index Options'!$H:$H,"MDAW*")+SUMIFS('NSE - Other Index Options'!$L:$L,'NSE - Other Index Options'!$C:$C,$A36,'NSE - Other Index Options'!$B:$B,B$4,'NSE - Other Index Options'!$H:$H,"Weekly*")+SUMIFS('NSE - Other Index Options'!$L:$L,'NSE - Other Index Options'!$C:$C,$A36,'NSE - Other Index Options'!$B:$B,B$4,'NSE - Other Index Options'!$H:$H,"MDAW*")=0,"",SUMIFS('NSE - NIFTY Index Options'!$L:$L,'NSE - NIFTY Index Options'!$C:$C,$A36,'NSE - NIFTY Index Options'!$B:$B,B$4,'NSE - NIFTY Index Options'!$H:$H,"Weekly*")+SUMIFS('NSE - NIFTY Index Options'!$L:$L,'NSE - NIFTY Index Options'!$C:$C,$A36,'NSE - NIFTY Index Options'!$B:$B,B$4,'NSE - NIFTY Index Options'!$H:$H,"MDAW*")+SUMIFS('NSE - Other Index Options'!$L:$L,'NSE - Other Index Options'!$C:$C,$A36,'NSE - Other Index Options'!$B:$B,B$4,'NSE - Other Index Options'!$H:$H,"Weekly*")+SUMIFS('NSE - Other Index Options'!$L:$L,'NSE - Other Index Options'!$C:$C,$A36,'NSE - Other Index Options'!$B:$B,B$4,'NSE - Other Index Options'!$H:$H,"MDAW*"))</f>
        <v>95912.7</v>
      </c>
      <c r="C36" s="26">
        <f>IF(SUMIFS('NSE - NIFTY Index Options'!$L:$L,'NSE - NIFTY Index Options'!$C:$C,$A36,'NSE - NIFTY Index Options'!$B:$B,C$4,'NSE - NIFTY Index Options'!$H:$H,"Weekly*")+SUMIFS('NSE - NIFTY Index Options'!$L:$L,'NSE - NIFTY Index Options'!$C:$C,$A36,'NSE - NIFTY Index Options'!$B:$B,C$4,'NSE - NIFTY Index Options'!$H:$H,"MDAW*")+SUMIFS('NSE - Other Index Options'!$L:$L,'NSE - Other Index Options'!$C:$C,$A36,'NSE - Other Index Options'!$B:$B,C$4,'NSE - Other Index Options'!$H:$H,"Weekly*")+SUMIFS('NSE - Other Index Options'!$L:$L,'NSE - Other Index Options'!$C:$C,$A36,'NSE - Other Index Options'!$B:$B,C$4,'NSE - Other Index Options'!$H:$H,"MDAW*")=0,"",SUMIFS('NSE - NIFTY Index Options'!$L:$L,'NSE - NIFTY Index Options'!$C:$C,$A36,'NSE - NIFTY Index Options'!$B:$B,C$4,'NSE - NIFTY Index Options'!$H:$H,"Weekly*")+SUMIFS('NSE - NIFTY Index Options'!$L:$L,'NSE - NIFTY Index Options'!$C:$C,$A36,'NSE - NIFTY Index Options'!$B:$B,C$4,'NSE - NIFTY Index Options'!$H:$H,"MDAW*")+SUMIFS('NSE - Other Index Options'!$L:$L,'NSE - Other Index Options'!$C:$C,$A36,'NSE - Other Index Options'!$B:$B,C$4,'NSE - Other Index Options'!$H:$H,"Weekly*")+SUMIFS('NSE - Other Index Options'!$L:$L,'NSE - Other Index Options'!$C:$C,$A36,'NSE - Other Index Options'!$B:$B,C$4,'NSE - Other Index Options'!$H:$H,"MDAW*"))</f>
        <v>99545.939999999988</v>
      </c>
      <c r="D36" s="26">
        <f>IF(SUMIFS('NSE - NIFTY Index Options'!$L:$L,'NSE - NIFTY Index Options'!$C:$C,$A36,'NSE - NIFTY Index Options'!$B:$B,D$4,'NSE - NIFTY Index Options'!$H:$H,"Weekly*")+SUMIFS('NSE - NIFTY Index Options'!$L:$L,'NSE - NIFTY Index Options'!$C:$C,$A36,'NSE - NIFTY Index Options'!$B:$B,D$4,'NSE - NIFTY Index Options'!$H:$H,"MDAW*")+SUMIFS('NSE - Other Index Options'!$L:$L,'NSE - Other Index Options'!$C:$C,$A36,'NSE - Other Index Options'!$B:$B,D$4,'NSE - Other Index Options'!$H:$H,"Weekly*")+SUMIFS('NSE - Other Index Options'!$L:$L,'NSE - Other Index Options'!$C:$C,$A36,'NSE - Other Index Options'!$B:$B,D$4,'NSE - Other Index Options'!$H:$H,"MDAW*")=0,"",SUMIFS('NSE - NIFTY Index Options'!$L:$L,'NSE - NIFTY Index Options'!$C:$C,$A36,'NSE - NIFTY Index Options'!$B:$B,D$4,'NSE - NIFTY Index Options'!$H:$H,"Weekly*")+SUMIFS('NSE - NIFTY Index Options'!$L:$L,'NSE - NIFTY Index Options'!$C:$C,$A36,'NSE - NIFTY Index Options'!$B:$B,D$4,'NSE - NIFTY Index Options'!$H:$H,"MDAW*")+SUMIFS('NSE - Other Index Options'!$L:$L,'NSE - Other Index Options'!$C:$C,$A36,'NSE - Other Index Options'!$B:$B,D$4,'NSE - Other Index Options'!$H:$H,"Weekly*")+SUMIFS('NSE - Other Index Options'!$L:$L,'NSE - Other Index Options'!$C:$C,$A36,'NSE - Other Index Options'!$B:$B,D$4,'NSE - Other Index Options'!$H:$H,"MDAW*"))</f>
        <v>40980.860000000008</v>
      </c>
      <c r="E36" s="26">
        <f>IF(SUMIFS('NSE - NIFTY Index Options'!$L:$L,'NSE - NIFTY Index Options'!$C:$C,$A36,'NSE - NIFTY Index Options'!$B:$B,E$4,'NSE - NIFTY Index Options'!$H:$H,"Weekly*")+SUMIFS('NSE - NIFTY Index Options'!$L:$L,'NSE - NIFTY Index Options'!$C:$C,$A36,'NSE - NIFTY Index Options'!$B:$B,E$4,'NSE - NIFTY Index Options'!$H:$H,"MDAW*")+SUMIFS('NSE - Other Index Options'!$L:$L,'NSE - Other Index Options'!$C:$C,$A36,'NSE - Other Index Options'!$B:$B,E$4,'NSE - Other Index Options'!$H:$H,"Weekly*")+SUMIFS('NSE - Other Index Options'!$L:$L,'NSE - Other Index Options'!$C:$C,$A36,'NSE - Other Index Options'!$B:$B,E$4,'NSE - Other Index Options'!$H:$H,"MDAW*")=0,"",SUMIFS('NSE - NIFTY Index Options'!$L:$L,'NSE - NIFTY Index Options'!$C:$C,$A36,'NSE - NIFTY Index Options'!$B:$B,E$4,'NSE - NIFTY Index Options'!$H:$H,"Weekly*")+SUMIFS('NSE - NIFTY Index Options'!$L:$L,'NSE - NIFTY Index Options'!$C:$C,$A36,'NSE - NIFTY Index Options'!$B:$B,E$4,'NSE - NIFTY Index Options'!$H:$H,"MDAW*")+SUMIFS('NSE - Other Index Options'!$L:$L,'NSE - Other Index Options'!$C:$C,$A36,'NSE - Other Index Options'!$B:$B,E$4,'NSE - Other Index Options'!$H:$H,"Weekly*")+SUMIFS('NSE - Other Index Options'!$L:$L,'NSE - Other Index Options'!$C:$C,$A36,'NSE - Other Index Options'!$B:$B,E$4,'NSE - Other Index Options'!$H:$H,"MDAW*"))</f>
        <v>39384.380000000005</v>
      </c>
      <c r="F36" s="26">
        <f>IF(SUMIFS('NSE - NIFTY Index Options'!$L:$L,'NSE - NIFTY Index Options'!$C:$C,$A36,'NSE - NIFTY Index Options'!$B:$B,F$4,'NSE - NIFTY Index Options'!$H:$H,"Weekly*")+SUMIFS('NSE - NIFTY Index Options'!$L:$L,'NSE - NIFTY Index Options'!$C:$C,$A36,'NSE - NIFTY Index Options'!$B:$B,F$4,'NSE - NIFTY Index Options'!$H:$H,"MDAW*")+SUMIFS('NSE - Other Index Options'!$L:$L,'NSE - Other Index Options'!$C:$C,$A36,'NSE - Other Index Options'!$B:$B,F$4,'NSE - Other Index Options'!$H:$H,"Weekly*")+SUMIFS('NSE - Other Index Options'!$L:$L,'NSE - Other Index Options'!$C:$C,$A36,'NSE - Other Index Options'!$B:$B,F$4,'NSE - Other Index Options'!$H:$H,"MDAW*")=0,"",SUMIFS('NSE - NIFTY Index Options'!$L:$L,'NSE - NIFTY Index Options'!$C:$C,$A36,'NSE - NIFTY Index Options'!$B:$B,F$4,'NSE - NIFTY Index Options'!$H:$H,"Weekly*")+SUMIFS('NSE - NIFTY Index Options'!$L:$L,'NSE - NIFTY Index Options'!$C:$C,$A36,'NSE - NIFTY Index Options'!$B:$B,F$4,'NSE - NIFTY Index Options'!$H:$H,"MDAW*")+SUMIFS('NSE - Other Index Options'!$L:$L,'NSE - Other Index Options'!$C:$C,$A36,'NSE - Other Index Options'!$B:$B,F$4,'NSE - Other Index Options'!$H:$H,"Weekly*")+SUMIFS('NSE - Other Index Options'!$L:$L,'NSE - Other Index Options'!$C:$C,$A36,'NSE - Other Index Options'!$B:$B,F$4,'NSE - Other Index Options'!$H:$H,"MDAW*"))</f>
        <v>76698.799999999988</v>
      </c>
      <c r="G36" s="26" t="str">
        <f>IF(SUMIFS('NSE - NIFTY Index Options'!$L:$L,'NSE - NIFTY Index Options'!$C:$C,$A36,'NSE - NIFTY Index Options'!$B:$B,G$4,'NSE - NIFTY Index Options'!$H:$H,"Weekly*")+SUMIFS('NSE - NIFTY Index Options'!$L:$L,'NSE - NIFTY Index Options'!$C:$C,$A36,'NSE - NIFTY Index Options'!$B:$B,G$4,'NSE - NIFTY Index Options'!$H:$H,"MDAW*")+SUMIFS('NSE - Other Index Options'!$L:$L,'NSE - Other Index Options'!$C:$C,$A36,'NSE - Other Index Options'!$B:$B,G$4,'NSE - Other Index Options'!$H:$H,"Weekly*")+SUMIFS('NSE - Other Index Options'!$L:$L,'NSE - Other Index Options'!$C:$C,$A36,'NSE - Other Index Options'!$B:$B,G$4,'NSE - Other Index Options'!$H:$H,"MDAW*")=0,"",SUMIFS('NSE - NIFTY Index Options'!$L:$L,'NSE - NIFTY Index Options'!$C:$C,$A36,'NSE - NIFTY Index Options'!$B:$B,G$4,'NSE - NIFTY Index Options'!$H:$H,"Weekly*")+SUMIFS('NSE - NIFTY Index Options'!$L:$L,'NSE - NIFTY Index Options'!$C:$C,$A36,'NSE - NIFTY Index Options'!$B:$B,G$4,'NSE - NIFTY Index Options'!$H:$H,"MDAW*")+SUMIFS('NSE - Other Index Options'!$L:$L,'NSE - Other Index Options'!$C:$C,$A36,'NSE - Other Index Options'!$B:$B,G$4,'NSE - Other Index Options'!$H:$H,"Weekly*")+SUMIFS('NSE - Other Index Options'!$L:$L,'NSE - Other Index Options'!$C:$C,$A36,'NSE - Other Index Options'!$B:$B,G$4,'NSE - Other Index Options'!$H:$H,"MDAW*"))</f>
        <v/>
      </c>
      <c r="H36" s="26">
        <f t="shared" si="0"/>
        <v>352522.68</v>
      </c>
    </row>
    <row r="37" spans="1:8">
      <c r="A37" t="s">
        <v>42</v>
      </c>
      <c r="B37" s="26">
        <f>IF(SUMIFS('NSE - NIFTY Index Options'!$L:$L,'NSE - NIFTY Index Options'!$C:$C,$A37,'NSE - NIFTY Index Options'!$B:$B,B$4,'NSE - NIFTY Index Options'!$H:$H,"Weekly*")+SUMIFS('NSE - NIFTY Index Options'!$L:$L,'NSE - NIFTY Index Options'!$C:$C,$A37,'NSE - NIFTY Index Options'!$B:$B,B$4,'NSE - NIFTY Index Options'!$H:$H,"MDAW*")+SUMIFS('NSE - Other Index Options'!$L:$L,'NSE - Other Index Options'!$C:$C,$A37,'NSE - Other Index Options'!$B:$B,B$4,'NSE - Other Index Options'!$H:$H,"Weekly*")+SUMIFS('NSE - Other Index Options'!$L:$L,'NSE - Other Index Options'!$C:$C,$A37,'NSE - Other Index Options'!$B:$B,B$4,'NSE - Other Index Options'!$H:$H,"MDAW*")=0,"",SUMIFS('NSE - NIFTY Index Options'!$L:$L,'NSE - NIFTY Index Options'!$C:$C,$A37,'NSE - NIFTY Index Options'!$B:$B,B$4,'NSE - NIFTY Index Options'!$H:$H,"Weekly*")+SUMIFS('NSE - NIFTY Index Options'!$L:$L,'NSE - NIFTY Index Options'!$C:$C,$A37,'NSE - NIFTY Index Options'!$B:$B,B$4,'NSE - NIFTY Index Options'!$H:$H,"MDAW*")+SUMIFS('NSE - Other Index Options'!$L:$L,'NSE - Other Index Options'!$C:$C,$A37,'NSE - Other Index Options'!$B:$B,B$4,'NSE - Other Index Options'!$H:$H,"Weekly*")+SUMIFS('NSE - Other Index Options'!$L:$L,'NSE - Other Index Options'!$C:$C,$A37,'NSE - Other Index Options'!$B:$B,B$4,'NSE - Other Index Options'!$H:$H,"MDAW*"))</f>
        <v>80628.460000000006</v>
      </c>
      <c r="C37" s="26">
        <f>IF(SUMIFS('NSE - NIFTY Index Options'!$L:$L,'NSE - NIFTY Index Options'!$C:$C,$A37,'NSE - NIFTY Index Options'!$B:$B,C$4,'NSE - NIFTY Index Options'!$H:$H,"Weekly*")+SUMIFS('NSE - NIFTY Index Options'!$L:$L,'NSE - NIFTY Index Options'!$C:$C,$A37,'NSE - NIFTY Index Options'!$B:$B,C$4,'NSE - NIFTY Index Options'!$H:$H,"MDAW*")+SUMIFS('NSE - Other Index Options'!$L:$L,'NSE - Other Index Options'!$C:$C,$A37,'NSE - Other Index Options'!$B:$B,C$4,'NSE - Other Index Options'!$H:$H,"Weekly*")+SUMIFS('NSE - Other Index Options'!$L:$L,'NSE - Other Index Options'!$C:$C,$A37,'NSE - Other Index Options'!$B:$B,C$4,'NSE - Other Index Options'!$H:$H,"MDAW*")=0,"",SUMIFS('NSE - NIFTY Index Options'!$L:$L,'NSE - NIFTY Index Options'!$C:$C,$A37,'NSE - NIFTY Index Options'!$B:$B,C$4,'NSE - NIFTY Index Options'!$H:$H,"Weekly*")+SUMIFS('NSE - NIFTY Index Options'!$L:$L,'NSE - NIFTY Index Options'!$C:$C,$A37,'NSE - NIFTY Index Options'!$B:$B,C$4,'NSE - NIFTY Index Options'!$H:$H,"MDAW*")+SUMIFS('NSE - Other Index Options'!$L:$L,'NSE - Other Index Options'!$C:$C,$A37,'NSE - Other Index Options'!$B:$B,C$4,'NSE - Other Index Options'!$H:$H,"Weekly*")+SUMIFS('NSE - Other Index Options'!$L:$L,'NSE - Other Index Options'!$C:$C,$A37,'NSE - Other Index Options'!$B:$B,C$4,'NSE - Other Index Options'!$H:$H,"MDAW*"))</f>
        <v>113091.88</v>
      </c>
      <c r="D37" s="26">
        <f>IF(SUMIFS('NSE - NIFTY Index Options'!$L:$L,'NSE - NIFTY Index Options'!$C:$C,$A37,'NSE - NIFTY Index Options'!$B:$B,D$4,'NSE - NIFTY Index Options'!$H:$H,"Weekly*")+SUMIFS('NSE - NIFTY Index Options'!$L:$L,'NSE - NIFTY Index Options'!$C:$C,$A37,'NSE - NIFTY Index Options'!$B:$B,D$4,'NSE - NIFTY Index Options'!$H:$H,"MDAW*")+SUMIFS('NSE - Other Index Options'!$L:$L,'NSE - Other Index Options'!$C:$C,$A37,'NSE - Other Index Options'!$B:$B,D$4,'NSE - Other Index Options'!$H:$H,"Weekly*")+SUMIFS('NSE - Other Index Options'!$L:$L,'NSE - Other Index Options'!$C:$C,$A37,'NSE - Other Index Options'!$B:$B,D$4,'NSE - Other Index Options'!$H:$H,"MDAW*")=0,"",SUMIFS('NSE - NIFTY Index Options'!$L:$L,'NSE - NIFTY Index Options'!$C:$C,$A37,'NSE - NIFTY Index Options'!$B:$B,D$4,'NSE - NIFTY Index Options'!$H:$H,"Weekly*")+SUMIFS('NSE - NIFTY Index Options'!$L:$L,'NSE - NIFTY Index Options'!$C:$C,$A37,'NSE - NIFTY Index Options'!$B:$B,D$4,'NSE - NIFTY Index Options'!$H:$H,"MDAW*")+SUMIFS('NSE - Other Index Options'!$L:$L,'NSE - Other Index Options'!$C:$C,$A37,'NSE - Other Index Options'!$B:$B,D$4,'NSE - Other Index Options'!$H:$H,"Weekly*")+SUMIFS('NSE - Other Index Options'!$L:$L,'NSE - Other Index Options'!$C:$C,$A37,'NSE - Other Index Options'!$B:$B,D$4,'NSE - Other Index Options'!$H:$H,"MDAW*"))</f>
        <v>41435.58</v>
      </c>
      <c r="E37" s="26" t="str">
        <f>IF(SUMIFS('NSE - NIFTY Index Options'!$L:$L,'NSE - NIFTY Index Options'!$C:$C,$A37,'NSE - NIFTY Index Options'!$B:$B,E$4,'NSE - NIFTY Index Options'!$H:$H,"Weekly*")+SUMIFS('NSE - NIFTY Index Options'!$L:$L,'NSE - NIFTY Index Options'!$C:$C,$A37,'NSE - NIFTY Index Options'!$B:$B,E$4,'NSE - NIFTY Index Options'!$H:$H,"MDAW*")+SUMIFS('NSE - Other Index Options'!$L:$L,'NSE - Other Index Options'!$C:$C,$A37,'NSE - Other Index Options'!$B:$B,E$4,'NSE - Other Index Options'!$H:$H,"Weekly*")+SUMIFS('NSE - Other Index Options'!$L:$L,'NSE - Other Index Options'!$C:$C,$A37,'NSE - Other Index Options'!$B:$B,E$4,'NSE - Other Index Options'!$H:$H,"MDAW*")=0,"",SUMIFS('NSE - NIFTY Index Options'!$L:$L,'NSE - NIFTY Index Options'!$C:$C,$A37,'NSE - NIFTY Index Options'!$B:$B,E$4,'NSE - NIFTY Index Options'!$H:$H,"Weekly*")+SUMIFS('NSE - NIFTY Index Options'!$L:$L,'NSE - NIFTY Index Options'!$C:$C,$A37,'NSE - NIFTY Index Options'!$B:$B,E$4,'NSE - NIFTY Index Options'!$H:$H,"MDAW*")+SUMIFS('NSE - Other Index Options'!$L:$L,'NSE - Other Index Options'!$C:$C,$A37,'NSE - Other Index Options'!$B:$B,E$4,'NSE - Other Index Options'!$H:$H,"Weekly*")+SUMIFS('NSE - Other Index Options'!$L:$L,'NSE - Other Index Options'!$C:$C,$A37,'NSE - Other Index Options'!$B:$B,E$4,'NSE - Other Index Options'!$H:$H,"MDAW*"))</f>
        <v/>
      </c>
      <c r="F37" s="26">
        <f>IF(SUMIFS('NSE - NIFTY Index Options'!$L:$L,'NSE - NIFTY Index Options'!$C:$C,$A37,'NSE - NIFTY Index Options'!$B:$B,F$4,'NSE - NIFTY Index Options'!$H:$H,"Weekly*")+SUMIFS('NSE - NIFTY Index Options'!$L:$L,'NSE - NIFTY Index Options'!$C:$C,$A37,'NSE - NIFTY Index Options'!$B:$B,F$4,'NSE - NIFTY Index Options'!$H:$H,"MDAW*")+SUMIFS('NSE - Other Index Options'!$L:$L,'NSE - Other Index Options'!$C:$C,$A37,'NSE - Other Index Options'!$B:$B,F$4,'NSE - Other Index Options'!$H:$H,"Weekly*")+SUMIFS('NSE - Other Index Options'!$L:$L,'NSE - Other Index Options'!$C:$C,$A37,'NSE - Other Index Options'!$B:$B,F$4,'NSE - Other Index Options'!$H:$H,"MDAW*")=0,"",SUMIFS('NSE - NIFTY Index Options'!$L:$L,'NSE - NIFTY Index Options'!$C:$C,$A37,'NSE - NIFTY Index Options'!$B:$B,F$4,'NSE - NIFTY Index Options'!$H:$H,"Weekly*")+SUMIFS('NSE - NIFTY Index Options'!$L:$L,'NSE - NIFTY Index Options'!$C:$C,$A37,'NSE - NIFTY Index Options'!$B:$B,F$4,'NSE - NIFTY Index Options'!$H:$H,"MDAW*")+SUMIFS('NSE - Other Index Options'!$L:$L,'NSE - Other Index Options'!$C:$C,$A37,'NSE - Other Index Options'!$B:$B,F$4,'NSE - Other Index Options'!$H:$H,"Weekly*")+SUMIFS('NSE - Other Index Options'!$L:$L,'NSE - Other Index Options'!$C:$C,$A37,'NSE - Other Index Options'!$B:$B,F$4,'NSE - Other Index Options'!$H:$H,"MDAW*"))</f>
        <v>66975.81</v>
      </c>
      <c r="G37" s="26" t="str">
        <f>IF(SUMIFS('NSE - NIFTY Index Options'!$L:$L,'NSE - NIFTY Index Options'!$C:$C,$A37,'NSE - NIFTY Index Options'!$B:$B,G$4,'NSE - NIFTY Index Options'!$H:$H,"Weekly*")+SUMIFS('NSE - NIFTY Index Options'!$L:$L,'NSE - NIFTY Index Options'!$C:$C,$A37,'NSE - NIFTY Index Options'!$B:$B,G$4,'NSE - NIFTY Index Options'!$H:$H,"MDAW*")+SUMIFS('NSE - Other Index Options'!$L:$L,'NSE - Other Index Options'!$C:$C,$A37,'NSE - Other Index Options'!$B:$B,G$4,'NSE - Other Index Options'!$H:$H,"Weekly*")+SUMIFS('NSE - Other Index Options'!$L:$L,'NSE - Other Index Options'!$C:$C,$A37,'NSE - Other Index Options'!$B:$B,G$4,'NSE - Other Index Options'!$H:$H,"MDAW*")=0,"",SUMIFS('NSE - NIFTY Index Options'!$L:$L,'NSE - NIFTY Index Options'!$C:$C,$A37,'NSE - NIFTY Index Options'!$B:$B,G$4,'NSE - NIFTY Index Options'!$H:$H,"Weekly*")+SUMIFS('NSE - NIFTY Index Options'!$L:$L,'NSE - NIFTY Index Options'!$C:$C,$A37,'NSE - NIFTY Index Options'!$B:$B,G$4,'NSE - NIFTY Index Options'!$H:$H,"MDAW*")+SUMIFS('NSE - Other Index Options'!$L:$L,'NSE - Other Index Options'!$C:$C,$A37,'NSE - Other Index Options'!$B:$B,G$4,'NSE - Other Index Options'!$H:$H,"Weekly*")+SUMIFS('NSE - Other Index Options'!$L:$L,'NSE - Other Index Options'!$C:$C,$A37,'NSE - Other Index Options'!$B:$B,G$4,'NSE - Other Index Options'!$H:$H,"MDAW*"))</f>
        <v/>
      </c>
      <c r="H37" s="26">
        <f t="shared" ref="H37:H68" si="1">IF(SUM(B37:G37)=0,"",SUM(B37:G37))</f>
        <v>302131.73000000004</v>
      </c>
    </row>
    <row r="38" spans="1:8">
      <c r="A38" t="s">
        <v>43</v>
      </c>
      <c r="B38" s="26">
        <f>IF(SUMIFS('NSE - NIFTY Index Options'!$L:$L,'NSE - NIFTY Index Options'!$C:$C,$A38,'NSE - NIFTY Index Options'!$B:$B,B$4,'NSE - NIFTY Index Options'!$H:$H,"Weekly*")+SUMIFS('NSE - NIFTY Index Options'!$L:$L,'NSE - NIFTY Index Options'!$C:$C,$A38,'NSE - NIFTY Index Options'!$B:$B,B$4,'NSE - NIFTY Index Options'!$H:$H,"MDAW*")+SUMIFS('NSE - Other Index Options'!$L:$L,'NSE - Other Index Options'!$C:$C,$A38,'NSE - Other Index Options'!$B:$B,B$4,'NSE - Other Index Options'!$H:$H,"Weekly*")+SUMIFS('NSE - Other Index Options'!$L:$L,'NSE - Other Index Options'!$C:$C,$A38,'NSE - Other Index Options'!$B:$B,B$4,'NSE - Other Index Options'!$H:$H,"MDAW*")=0,"",SUMIFS('NSE - NIFTY Index Options'!$L:$L,'NSE - NIFTY Index Options'!$C:$C,$A38,'NSE - NIFTY Index Options'!$B:$B,B$4,'NSE - NIFTY Index Options'!$H:$H,"Weekly*")+SUMIFS('NSE - NIFTY Index Options'!$L:$L,'NSE - NIFTY Index Options'!$C:$C,$A38,'NSE - NIFTY Index Options'!$B:$B,B$4,'NSE - NIFTY Index Options'!$H:$H,"MDAW*")+SUMIFS('NSE - Other Index Options'!$L:$L,'NSE - Other Index Options'!$C:$C,$A38,'NSE - Other Index Options'!$B:$B,B$4,'NSE - Other Index Options'!$H:$H,"Weekly*")+SUMIFS('NSE - Other Index Options'!$L:$L,'NSE - Other Index Options'!$C:$C,$A38,'NSE - Other Index Options'!$B:$B,B$4,'NSE - Other Index Options'!$H:$H,"MDAW*"))</f>
        <v>89557.13</v>
      </c>
      <c r="C38" s="26" t="str">
        <f>IF(SUMIFS('NSE - NIFTY Index Options'!$L:$L,'NSE - NIFTY Index Options'!$C:$C,$A38,'NSE - NIFTY Index Options'!$B:$B,C$4,'NSE - NIFTY Index Options'!$H:$H,"Weekly*")+SUMIFS('NSE - NIFTY Index Options'!$L:$L,'NSE - NIFTY Index Options'!$C:$C,$A38,'NSE - NIFTY Index Options'!$B:$B,C$4,'NSE - NIFTY Index Options'!$H:$H,"MDAW*")+SUMIFS('NSE - Other Index Options'!$L:$L,'NSE - Other Index Options'!$C:$C,$A38,'NSE - Other Index Options'!$B:$B,C$4,'NSE - Other Index Options'!$H:$H,"Weekly*")+SUMIFS('NSE - Other Index Options'!$L:$L,'NSE - Other Index Options'!$C:$C,$A38,'NSE - Other Index Options'!$B:$B,C$4,'NSE - Other Index Options'!$H:$H,"MDAW*")=0,"",SUMIFS('NSE - NIFTY Index Options'!$L:$L,'NSE - NIFTY Index Options'!$C:$C,$A38,'NSE - NIFTY Index Options'!$B:$B,C$4,'NSE - NIFTY Index Options'!$H:$H,"Weekly*")+SUMIFS('NSE - NIFTY Index Options'!$L:$L,'NSE - NIFTY Index Options'!$C:$C,$A38,'NSE - NIFTY Index Options'!$B:$B,C$4,'NSE - NIFTY Index Options'!$H:$H,"MDAW*")+SUMIFS('NSE - Other Index Options'!$L:$L,'NSE - Other Index Options'!$C:$C,$A38,'NSE - Other Index Options'!$B:$B,C$4,'NSE - Other Index Options'!$H:$H,"Weekly*")+SUMIFS('NSE - Other Index Options'!$L:$L,'NSE - Other Index Options'!$C:$C,$A38,'NSE - Other Index Options'!$B:$B,C$4,'NSE - Other Index Options'!$H:$H,"MDAW*"))</f>
        <v/>
      </c>
      <c r="D38" s="26" t="str">
        <f>IF(SUMIFS('NSE - NIFTY Index Options'!$L:$L,'NSE - NIFTY Index Options'!$C:$C,$A38,'NSE - NIFTY Index Options'!$B:$B,D$4,'NSE - NIFTY Index Options'!$H:$H,"Weekly*")+SUMIFS('NSE - NIFTY Index Options'!$L:$L,'NSE - NIFTY Index Options'!$C:$C,$A38,'NSE - NIFTY Index Options'!$B:$B,D$4,'NSE - NIFTY Index Options'!$H:$H,"MDAW*")+SUMIFS('NSE - Other Index Options'!$L:$L,'NSE - Other Index Options'!$C:$C,$A38,'NSE - Other Index Options'!$B:$B,D$4,'NSE - Other Index Options'!$H:$H,"Weekly*")+SUMIFS('NSE - Other Index Options'!$L:$L,'NSE - Other Index Options'!$C:$C,$A38,'NSE - Other Index Options'!$B:$B,D$4,'NSE - Other Index Options'!$H:$H,"MDAW*")=0,"",SUMIFS('NSE - NIFTY Index Options'!$L:$L,'NSE - NIFTY Index Options'!$C:$C,$A38,'NSE - NIFTY Index Options'!$B:$B,D$4,'NSE - NIFTY Index Options'!$H:$H,"Weekly*")+SUMIFS('NSE - NIFTY Index Options'!$L:$L,'NSE - NIFTY Index Options'!$C:$C,$A38,'NSE - NIFTY Index Options'!$B:$B,D$4,'NSE - NIFTY Index Options'!$H:$H,"MDAW*")+SUMIFS('NSE - Other Index Options'!$L:$L,'NSE - Other Index Options'!$C:$C,$A38,'NSE - Other Index Options'!$B:$B,D$4,'NSE - Other Index Options'!$H:$H,"Weekly*")+SUMIFS('NSE - Other Index Options'!$L:$L,'NSE - Other Index Options'!$C:$C,$A38,'NSE - Other Index Options'!$B:$B,D$4,'NSE - Other Index Options'!$H:$H,"MDAW*"))</f>
        <v/>
      </c>
      <c r="E38" s="26" t="str">
        <f>IF(SUMIFS('NSE - NIFTY Index Options'!$L:$L,'NSE - NIFTY Index Options'!$C:$C,$A38,'NSE - NIFTY Index Options'!$B:$B,E$4,'NSE - NIFTY Index Options'!$H:$H,"Weekly*")+SUMIFS('NSE - NIFTY Index Options'!$L:$L,'NSE - NIFTY Index Options'!$C:$C,$A38,'NSE - NIFTY Index Options'!$B:$B,E$4,'NSE - NIFTY Index Options'!$H:$H,"MDAW*")+SUMIFS('NSE - Other Index Options'!$L:$L,'NSE - Other Index Options'!$C:$C,$A38,'NSE - Other Index Options'!$B:$B,E$4,'NSE - Other Index Options'!$H:$H,"Weekly*")+SUMIFS('NSE - Other Index Options'!$L:$L,'NSE - Other Index Options'!$C:$C,$A38,'NSE - Other Index Options'!$B:$B,E$4,'NSE - Other Index Options'!$H:$H,"MDAW*")=0,"",SUMIFS('NSE - NIFTY Index Options'!$L:$L,'NSE - NIFTY Index Options'!$C:$C,$A38,'NSE - NIFTY Index Options'!$B:$B,E$4,'NSE - NIFTY Index Options'!$H:$H,"Weekly*")+SUMIFS('NSE - NIFTY Index Options'!$L:$L,'NSE - NIFTY Index Options'!$C:$C,$A38,'NSE - NIFTY Index Options'!$B:$B,E$4,'NSE - NIFTY Index Options'!$H:$H,"MDAW*")+SUMIFS('NSE - Other Index Options'!$L:$L,'NSE - Other Index Options'!$C:$C,$A38,'NSE - Other Index Options'!$B:$B,E$4,'NSE - Other Index Options'!$H:$H,"Weekly*")+SUMIFS('NSE - Other Index Options'!$L:$L,'NSE - Other Index Options'!$C:$C,$A38,'NSE - Other Index Options'!$B:$B,E$4,'NSE - Other Index Options'!$H:$H,"MDAW*"))</f>
        <v/>
      </c>
      <c r="F38" s="26" t="str">
        <f>IF(SUMIFS('NSE - NIFTY Index Options'!$L:$L,'NSE - NIFTY Index Options'!$C:$C,$A38,'NSE - NIFTY Index Options'!$B:$B,F$4,'NSE - NIFTY Index Options'!$H:$H,"Weekly*")+SUMIFS('NSE - NIFTY Index Options'!$L:$L,'NSE - NIFTY Index Options'!$C:$C,$A38,'NSE - NIFTY Index Options'!$B:$B,F$4,'NSE - NIFTY Index Options'!$H:$H,"MDAW*")+SUMIFS('NSE - Other Index Options'!$L:$L,'NSE - Other Index Options'!$C:$C,$A38,'NSE - Other Index Options'!$B:$B,F$4,'NSE - Other Index Options'!$H:$H,"Weekly*")+SUMIFS('NSE - Other Index Options'!$L:$L,'NSE - Other Index Options'!$C:$C,$A38,'NSE - Other Index Options'!$B:$B,F$4,'NSE - Other Index Options'!$H:$H,"MDAW*")=0,"",SUMIFS('NSE - NIFTY Index Options'!$L:$L,'NSE - NIFTY Index Options'!$C:$C,$A38,'NSE - NIFTY Index Options'!$B:$B,F$4,'NSE - NIFTY Index Options'!$H:$H,"Weekly*")+SUMIFS('NSE - NIFTY Index Options'!$L:$L,'NSE - NIFTY Index Options'!$C:$C,$A38,'NSE - NIFTY Index Options'!$B:$B,F$4,'NSE - NIFTY Index Options'!$H:$H,"MDAW*")+SUMIFS('NSE - Other Index Options'!$L:$L,'NSE - Other Index Options'!$C:$C,$A38,'NSE - Other Index Options'!$B:$B,F$4,'NSE - Other Index Options'!$H:$H,"Weekly*")+SUMIFS('NSE - Other Index Options'!$L:$L,'NSE - Other Index Options'!$C:$C,$A38,'NSE - Other Index Options'!$B:$B,F$4,'NSE - Other Index Options'!$H:$H,"MDAW*"))</f>
        <v/>
      </c>
      <c r="G38" s="26" t="str">
        <f>IF(SUMIFS('NSE - NIFTY Index Options'!$L:$L,'NSE - NIFTY Index Options'!$C:$C,$A38,'NSE - NIFTY Index Options'!$B:$B,G$4,'NSE - NIFTY Index Options'!$H:$H,"Weekly*")+SUMIFS('NSE - NIFTY Index Options'!$L:$L,'NSE - NIFTY Index Options'!$C:$C,$A38,'NSE - NIFTY Index Options'!$B:$B,G$4,'NSE - NIFTY Index Options'!$H:$H,"MDAW*")+SUMIFS('NSE - Other Index Options'!$L:$L,'NSE - Other Index Options'!$C:$C,$A38,'NSE - Other Index Options'!$B:$B,G$4,'NSE - Other Index Options'!$H:$H,"Weekly*")+SUMIFS('NSE - Other Index Options'!$L:$L,'NSE - Other Index Options'!$C:$C,$A38,'NSE - Other Index Options'!$B:$B,G$4,'NSE - Other Index Options'!$H:$H,"MDAW*")=0,"",SUMIFS('NSE - NIFTY Index Options'!$L:$L,'NSE - NIFTY Index Options'!$C:$C,$A38,'NSE - NIFTY Index Options'!$B:$B,G$4,'NSE - NIFTY Index Options'!$H:$H,"Weekly*")+SUMIFS('NSE - NIFTY Index Options'!$L:$L,'NSE - NIFTY Index Options'!$C:$C,$A38,'NSE - NIFTY Index Options'!$B:$B,G$4,'NSE - NIFTY Index Options'!$H:$H,"MDAW*")+SUMIFS('NSE - Other Index Options'!$L:$L,'NSE - Other Index Options'!$C:$C,$A38,'NSE - Other Index Options'!$B:$B,G$4,'NSE - Other Index Options'!$H:$H,"Weekly*")+SUMIFS('NSE - Other Index Options'!$L:$L,'NSE - Other Index Options'!$C:$C,$A38,'NSE - Other Index Options'!$B:$B,G$4,'NSE - Other Index Options'!$H:$H,"MDAW*"))</f>
        <v/>
      </c>
      <c r="H38" s="26">
        <f t="shared" si="1"/>
        <v>89557.13</v>
      </c>
    </row>
    <row r="39" spans="1:8">
      <c r="A39" t="s">
        <v>44</v>
      </c>
      <c r="B39" s="26">
        <f>IF(SUMIFS('NSE - NIFTY Index Options'!$L:$L,'NSE - NIFTY Index Options'!$C:$C,$A39,'NSE - NIFTY Index Options'!$B:$B,B$4,'NSE - NIFTY Index Options'!$H:$H,"Weekly*")+SUMIFS('NSE - NIFTY Index Options'!$L:$L,'NSE - NIFTY Index Options'!$C:$C,$A39,'NSE - NIFTY Index Options'!$B:$B,B$4,'NSE - NIFTY Index Options'!$H:$H,"MDAW*")+SUMIFS('NSE - Other Index Options'!$L:$L,'NSE - Other Index Options'!$C:$C,$A39,'NSE - Other Index Options'!$B:$B,B$4,'NSE - Other Index Options'!$H:$H,"Weekly*")+SUMIFS('NSE - Other Index Options'!$L:$L,'NSE - Other Index Options'!$C:$C,$A39,'NSE - Other Index Options'!$B:$B,B$4,'NSE - Other Index Options'!$H:$H,"MDAW*")=0,"",SUMIFS('NSE - NIFTY Index Options'!$L:$L,'NSE - NIFTY Index Options'!$C:$C,$A39,'NSE - NIFTY Index Options'!$B:$B,B$4,'NSE - NIFTY Index Options'!$H:$H,"Weekly*")+SUMIFS('NSE - NIFTY Index Options'!$L:$L,'NSE - NIFTY Index Options'!$C:$C,$A39,'NSE - NIFTY Index Options'!$B:$B,B$4,'NSE - NIFTY Index Options'!$H:$H,"MDAW*")+SUMIFS('NSE - Other Index Options'!$L:$L,'NSE - Other Index Options'!$C:$C,$A39,'NSE - Other Index Options'!$B:$B,B$4,'NSE - Other Index Options'!$H:$H,"Weekly*")+SUMIFS('NSE - Other Index Options'!$L:$L,'NSE - Other Index Options'!$C:$C,$A39,'NSE - Other Index Options'!$B:$B,B$4,'NSE - Other Index Options'!$H:$H,"MDAW*"))</f>
        <v>85171.48</v>
      </c>
      <c r="C39" s="26">
        <f>IF(SUMIFS('NSE - NIFTY Index Options'!$L:$L,'NSE - NIFTY Index Options'!$C:$C,$A39,'NSE - NIFTY Index Options'!$B:$B,C$4,'NSE - NIFTY Index Options'!$H:$H,"Weekly*")+SUMIFS('NSE - NIFTY Index Options'!$L:$L,'NSE - NIFTY Index Options'!$C:$C,$A39,'NSE - NIFTY Index Options'!$B:$B,C$4,'NSE - NIFTY Index Options'!$H:$H,"MDAW*")+SUMIFS('NSE - Other Index Options'!$L:$L,'NSE - Other Index Options'!$C:$C,$A39,'NSE - Other Index Options'!$B:$B,C$4,'NSE - Other Index Options'!$H:$H,"Weekly*")+SUMIFS('NSE - Other Index Options'!$L:$L,'NSE - Other Index Options'!$C:$C,$A39,'NSE - Other Index Options'!$B:$B,C$4,'NSE - Other Index Options'!$H:$H,"MDAW*")=0,"",SUMIFS('NSE - NIFTY Index Options'!$L:$L,'NSE - NIFTY Index Options'!$C:$C,$A39,'NSE - NIFTY Index Options'!$B:$B,C$4,'NSE - NIFTY Index Options'!$H:$H,"Weekly*")+SUMIFS('NSE - NIFTY Index Options'!$L:$L,'NSE - NIFTY Index Options'!$C:$C,$A39,'NSE - NIFTY Index Options'!$B:$B,C$4,'NSE - NIFTY Index Options'!$H:$H,"MDAW*")+SUMIFS('NSE - Other Index Options'!$L:$L,'NSE - Other Index Options'!$C:$C,$A39,'NSE - Other Index Options'!$B:$B,C$4,'NSE - Other Index Options'!$H:$H,"Weekly*")+SUMIFS('NSE - Other Index Options'!$L:$L,'NSE - Other Index Options'!$C:$C,$A39,'NSE - Other Index Options'!$B:$B,C$4,'NSE - Other Index Options'!$H:$H,"MDAW*"))</f>
        <v>93510.099999999991</v>
      </c>
      <c r="D39" s="26">
        <f>IF(SUMIFS('NSE - NIFTY Index Options'!$L:$L,'NSE - NIFTY Index Options'!$C:$C,$A39,'NSE - NIFTY Index Options'!$B:$B,D$4,'NSE - NIFTY Index Options'!$H:$H,"Weekly*")+SUMIFS('NSE - NIFTY Index Options'!$L:$L,'NSE - NIFTY Index Options'!$C:$C,$A39,'NSE - NIFTY Index Options'!$B:$B,D$4,'NSE - NIFTY Index Options'!$H:$H,"MDAW*")+SUMIFS('NSE - Other Index Options'!$L:$L,'NSE - Other Index Options'!$C:$C,$A39,'NSE - Other Index Options'!$B:$B,D$4,'NSE - Other Index Options'!$H:$H,"Weekly*")+SUMIFS('NSE - Other Index Options'!$L:$L,'NSE - Other Index Options'!$C:$C,$A39,'NSE - Other Index Options'!$B:$B,D$4,'NSE - Other Index Options'!$H:$H,"MDAW*")=0,"",SUMIFS('NSE - NIFTY Index Options'!$L:$L,'NSE - NIFTY Index Options'!$C:$C,$A39,'NSE - NIFTY Index Options'!$B:$B,D$4,'NSE - NIFTY Index Options'!$H:$H,"Weekly*")+SUMIFS('NSE - NIFTY Index Options'!$L:$L,'NSE - NIFTY Index Options'!$C:$C,$A39,'NSE - NIFTY Index Options'!$B:$B,D$4,'NSE - NIFTY Index Options'!$H:$H,"MDAW*")+SUMIFS('NSE - Other Index Options'!$L:$L,'NSE - Other Index Options'!$C:$C,$A39,'NSE - Other Index Options'!$B:$B,D$4,'NSE - Other Index Options'!$H:$H,"Weekly*")+SUMIFS('NSE - Other Index Options'!$L:$L,'NSE - Other Index Options'!$C:$C,$A39,'NSE - Other Index Options'!$B:$B,D$4,'NSE - Other Index Options'!$H:$H,"MDAW*"))</f>
        <v>43258.68</v>
      </c>
      <c r="E39" s="26">
        <f>IF(SUMIFS('NSE - NIFTY Index Options'!$L:$L,'NSE - NIFTY Index Options'!$C:$C,$A39,'NSE - NIFTY Index Options'!$B:$B,E$4,'NSE - NIFTY Index Options'!$H:$H,"Weekly*")+SUMIFS('NSE - NIFTY Index Options'!$L:$L,'NSE - NIFTY Index Options'!$C:$C,$A39,'NSE - NIFTY Index Options'!$B:$B,E$4,'NSE - NIFTY Index Options'!$H:$H,"MDAW*")+SUMIFS('NSE - Other Index Options'!$L:$L,'NSE - Other Index Options'!$C:$C,$A39,'NSE - Other Index Options'!$B:$B,E$4,'NSE - Other Index Options'!$H:$H,"Weekly*")+SUMIFS('NSE - Other Index Options'!$L:$L,'NSE - Other Index Options'!$C:$C,$A39,'NSE - Other Index Options'!$B:$B,E$4,'NSE - Other Index Options'!$H:$H,"MDAW*")=0,"",SUMIFS('NSE - NIFTY Index Options'!$L:$L,'NSE - NIFTY Index Options'!$C:$C,$A39,'NSE - NIFTY Index Options'!$B:$B,E$4,'NSE - NIFTY Index Options'!$H:$H,"Weekly*")+SUMIFS('NSE - NIFTY Index Options'!$L:$L,'NSE - NIFTY Index Options'!$C:$C,$A39,'NSE - NIFTY Index Options'!$B:$B,E$4,'NSE - NIFTY Index Options'!$H:$H,"MDAW*")+SUMIFS('NSE - Other Index Options'!$L:$L,'NSE - Other Index Options'!$C:$C,$A39,'NSE - Other Index Options'!$B:$B,E$4,'NSE - Other Index Options'!$H:$H,"Weekly*")+SUMIFS('NSE - Other Index Options'!$L:$L,'NSE - Other Index Options'!$C:$C,$A39,'NSE - Other Index Options'!$B:$B,E$4,'NSE - Other Index Options'!$H:$H,"MDAW*"))</f>
        <v>42817.149999999994</v>
      </c>
      <c r="F39" s="26" t="str">
        <f>IF(SUMIFS('NSE - NIFTY Index Options'!$L:$L,'NSE - NIFTY Index Options'!$C:$C,$A39,'NSE - NIFTY Index Options'!$B:$B,F$4,'NSE - NIFTY Index Options'!$H:$H,"Weekly*")+SUMIFS('NSE - NIFTY Index Options'!$L:$L,'NSE - NIFTY Index Options'!$C:$C,$A39,'NSE - NIFTY Index Options'!$B:$B,F$4,'NSE - NIFTY Index Options'!$H:$H,"MDAW*")+SUMIFS('NSE - Other Index Options'!$L:$L,'NSE - Other Index Options'!$C:$C,$A39,'NSE - Other Index Options'!$B:$B,F$4,'NSE - Other Index Options'!$H:$H,"Weekly*")+SUMIFS('NSE - Other Index Options'!$L:$L,'NSE - Other Index Options'!$C:$C,$A39,'NSE - Other Index Options'!$B:$B,F$4,'NSE - Other Index Options'!$H:$H,"MDAW*")=0,"",SUMIFS('NSE - NIFTY Index Options'!$L:$L,'NSE - NIFTY Index Options'!$C:$C,$A39,'NSE - NIFTY Index Options'!$B:$B,F$4,'NSE - NIFTY Index Options'!$H:$H,"Weekly*")+SUMIFS('NSE - NIFTY Index Options'!$L:$L,'NSE - NIFTY Index Options'!$C:$C,$A39,'NSE - NIFTY Index Options'!$B:$B,F$4,'NSE - NIFTY Index Options'!$H:$H,"MDAW*")+SUMIFS('NSE - Other Index Options'!$L:$L,'NSE - Other Index Options'!$C:$C,$A39,'NSE - Other Index Options'!$B:$B,F$4,'NSE - Other Index Options'!$H:$H,"Weekly*")+SUMIFS('NSE - Other Index Options'!$L:$L,'NSE - Other Index Options'!$C:$C,$A39,'NSE - Other Index Options'!$B:$B,F$4,'NSE - Other Index Options'!$H:$H,"MDAW*"))</f>
        <v/>
      </c>
      <c r="G39" s="26" t="str">
        <f>IF(SUMIFS('NSE - NIFTY Index Options'!$L:$L,'NSE - NIFTY Index Options'!$C:$C,$A39,'NSE - NIFTY Index Options'!$B:$B,G$4,'NSE - NIFTY Index Options'!$H:$H,"Weekly*")+SUMIFS('NSE - NIFTY Index Options'!$L:$L,'NSE - NIFTY Index Options'!$C:$C,$A39,'NSE - NIFTY Index Options'!$B:$B,G$4,'NSE - NIFTY Index Options'!$H:$H,"MDAW*")+SUMIFS('NSE - Other Index Options'!$L:$L,'NSE - Other Index Options'!$C:$C,$A39,'NSE - Other Index Options'!$B:$B,G$4,'NSE - Other Index Options'!$H:$H,"Weekly*")+SUMIFS('NSE - Other Index Options'!$L:$L,'NSE - Other Index Options'!$C:$C,$A39,'NSE - Other Index Options'!$B:$B,G$4,'NSE - Other Index Options'!$H:$H,"MDAW*")=0,"",SUMIFS('NSE - NIFTY Index Options'!$L:$L,'NSE - NIFTY Index Options'!$C:$C,$A39,'NSE - NIFTY Index Options'!$B:$B,G$4,'NSE - NIFTY Index Options'!$H:$H,"Weekly*")+SUMIFS('NSE - NIFTY Index Options'!$L:$L,'NSE - NIFTY Index Options'!$C:$C,$A39,'NSE - NIFTY Index Options'!$B:$B,G$4,'NSE - NIFTY Index Options'!$H:$H,"MDAW*")+SUMIFS('NSE - Other Index Options'!$L:$L,'NSE - Other Index Options'!$C:$C,$A39,'NSE - Other Index Options'!$B:$B,G$4,'NSE - Other Index Options'!$H:$H,"Weekly*")+SUMIFS('NSE - Other Index Options'!$L:$L,'NSE - Other Index Options'!$C:$C,$A39,'NSE - Other Index Options'!$B:$B,G$4,'NSE - Other Index Options'!$H:$H,"MDAW*"))</f>
        <v/>
      </c>
      <c r="H39" s="26">
        <f t="shared" si="1"/>
        <v>264757.40999999997</v>
      </c>
    </row>
    <row r="40" spans="1:8">
      <c r="A40" t="s">
        <v>45</v>
      </c>
      <c r="B40" s="26">
        <f>IF(SUMIFS('NSE - NIFTY Index Options'!$L:$L,'NSE - NIFTY Index Options'!$C:$C,$A40,'NSE - NIFTY Index Options'!$B:$B,B$4,'NSE - NIFTY Index Options'!$H:$H,"Weekly*")+SUMIFS('NSE - NIFTY Index Options'!$L:$L,'NSE - NIFTY Index Options'!$C:$C,$A40,'NSE - NIFTY Index Options'!$B:$B,B$4,'NSE - NIFTY Index Options'!$H:$H,"MDAW*")+SUMIFS('NSE - Other Index Options'!$L:$L,'NSE - Other Index Options'!$C:$C,$A40,'NSE - Other Index Options'!$B:$B,B$4,'NSE - Other Index Options'!$H:$H,"Weekly*")+SUMIFS('NSE - Other Index Options'!$L:$L,'NSE - Other Index Options'!$C:$C,$A40,'NSE - Other Index Options'!$B:$B,B$4,'NSE - Other Index Options'!$H:$H,"MDAW*")=0,"",SUMIFS('NSE - NIFTY Index Options'!$L:$L,'NSE - NIFTY Index Options'!$C:$C,$A40,'NSE - NIFTY Index Options'!$B:$B,B$4,'NSE - NIFTY Index Options'!$H:$H,"Weekly*")+SUMIFS('NSE - NIFTY Index Options'!$L:$L,'NSE - NIFTY Index Options'!$C:$C,$A40,'NSE - NIFTY Index Options'!$B:$B,B$4,'NSE - NIFTY Index Options'!$H:$H,"MDAW*")+SUMIFS('NSE - Other Index Options'!$L:$L,'NSE - Other Index Options'!$C:$C,$A40,'NSE - Other Index Options'!$B:$B,B$4,'NSE - Other Index Options'!$H:$H,"Weekly*")+SUMIFS('NSE - Other Index Options'!$L:$L,'NSE - Other Index Options'!$C:$C,$A40,'NSE - Other Index Options'!$B:$B,B$4,'NSE - Other Index Options'!$H:$H,"MDAW*"))</f>
        <v>74323.92</v>
      </c>
      <c r="C40" s="26" t="str">
        <f>IF(SUMIFS('NSE - NIFTY Index Options'!$L:$L,'NSE - NIFTY Index Options'!$C:$C,$A40,'NSE - NIFTY Index Options'!$B:$B,C$4,'NSE - NIFTY Index Options'!$H:$H,"Weekly*")+SUMIFS('NSE - NIFTY Index Options'!$L:$L,'NSE - NIFTY Index Options'!$C:$C,$A40,'NSE - NIFTY Index Options'!$B:$B,C$4,'NSE - NIFTY Index Options'!$H:$H,"MDAW*")+SUMIFS('NSE - Other Index Options'!$L:$L,'NSE - Other Index Options'!$C:$C,$A40,'NSE - Other Index Options'!$B:$B,C$4,'NSE - Other Index Options'!$H:$H,"Weekly*")+SUMIFS('NSE - Other Index Options'!$L:$L,'NSE - Other Index Options'!$C:$C,$A40,'NSE - Other Index Options'!$B:$B,C$4,'NSE - Other Index Options'!$H:$H,"MDAW*")=0,"",SUMIFS('NSE - NIFTY Index Options'!$L:$L,'NSE - NIFTY Index Options'!$C:$C,$A40,'NSE - NIFTY Index Options'!$B:$B,C$4,'NSE - NIFTY Index Options'!$H:$H,"Weekly*")+SUMIFS('NSE - NIFTY Index Options'!$L:$L,'NSE - NIFTY Index Options'!$C:$C,$A40,'NSE - NIFTY Index Options'!$B:$B,C$4,'NSE - NIFTY Index Options'!$H:$H,"MDAW*")+SUMIFS('NSE - Other Index Options'!$L:$L,'NSE - Other Index Options'!$C:$C,$A40,'NSE - Other Index Options'!$B:$B,C$4,'NSE - Other Index Options'!$H:$H,"Weekly*")+SUMIFS('NSE - Other Index Options'!$L:$L,'NSE - Other Index Options'!$C:$C,$A40,'NSE - Other Index Options'!$B:$B,C$4,'NSE - Other Index Options'!$H:$H,"MDAW*"))</f>
        <v/>
      </c>
      <c r="D40" s="26">
        <f>IF(SUMIFS('NSE - NIFTY Index Options'!$L:$L,'NSE - NIFTY Index Options'!$C:$C,$A40,'NSE - NIFTY Index Options'!$B:$B,D$4,'NSE - NIFTY Index Options'!$H:$H,"Weekly*")+SUMIFS('NSE - NIFTY Index Options'!$L:$L,'NSE - NIFTY Index Options'!$C:$C,$A40,'NSE - NIFTY Index Options'!$B:$B,D$4,'NSE - NIFTY Index Options'!$H:$H,"MDAW*")+SUMIFS('NSE - Other Index Options'!$L:$L,'NSE - Other Index Options'!$C:$C,$A40,'NSE - Other Index Options'!$B:$B,D$4,'NSE - Other Index Options'!$H:$H,"Weekly*")+SUMIFS('NSE - Other Index Options'!$L:$L,'NSE - Other Index Options'!$C:$C,$A40,'NSE - Other Index Options'!$B:$B,D$4,'NSE - Other Index Options'!$H:$H,"MDAW*")=0,"",SUMIFS('NSE - NIFTY Index Options'!$L:$L,'NSE - NIFTY Index Options'!$C:$C,$A40,'NSE - NIFTY Index Options'!$B:$B,D$4,'NSE - NIFTY Index Options'!$H:$H,"Weekly*")+SUMIFS('NSE - NIFTY Index Options'!$L:$L,'NSE - NIFTY Index Options'!$C:$C,$A40,'NSE - NIFTY Index Options'!$B:$B,D$4,'NSE - NIFTY Index Options'!$H:$H,"MDAW*")+SUMIFS('NSE - Other Index Options'!$L:$L,'NSE - Other Index Options'!$C:$C,$A40,'NSE - Other Index Options'!$B:$B,D$4,'NSE - Other Index Options'!$H:$H,"Weekly*")+SUMIFS('NSE - Other Index Options'!$L:$L,'NSE - Other Index Options'!$C:$C,$A40,'NSE - Other Index Options'!$B:$B,D$4,'NSE - Other Index Options'!$H:$H,"MDAW*"))</f>
        <v>35742.94</v>
      </c>
      <c r="E40" s="26">
        <f>IF(SUMIFS('NSE - NIFTY Index Options'!$L:$L,'NSE - NIFTY Index Options'!$C:$C,$A40,'NSE - NIFTY Index Options'!$B:$B,E$4,'NSE - NIFTY Index Options'!$H:$H,"Weekly*")+SUMIFS('NSE - NIFTY Index Options'!$L:$L,'NSE - NIFTY Index Options'!$C:$C,$A40,'NSE - NIFTY Index Options'!$B:$B,E$4,'NSE - NIFTY Index Options'!$H:$H,"MDAW*")+SUMIFS('NSE - Other Index Options'!$L:$L,'NSE - Other Index Options'!$C:$C,$A40,'NSE - Other Index Options'!$B:$B,E$4,'NSE - Other Index Options'!$H:$H,"Weekly*")+SUMIFS('NSE - Other Index Options'!$L:$L,'NSE - Other Index Options'!$C:$C,$A40,'NSE - Other Index Options'!$B:$B,E$4,'NSE - Other Index Options'!$H:$H,"MDAW*")=0,"",SUMIFS('NSE - NIFTY Index Options'!$L:$L,'NSE - NIFTY Index Options'!$C:$C,$A40,'NSE - NIFTY Index Options'!$B:$B,E$4,'NSE - NIFTY Index Options'!$H:$H,"Weekly*")+SUMIFS('NSE - NIFTY Index Options'!$L:$L,'NSE - NIFTY Index Options'!$C:$C,$A40,'NSE - NIFTY Index Options'!$B:$B,E$4,'NSE - NIFTY Index Options'!$H:$H,"MDAW*")+SUMIFS('NSE - Other Index Options'!$L:$L,'NSE - Other Index Options'!$C:$C,$A40,'NSE - Other Index Options'!$B:$B,E$4,'NSE - Other Index Options'!$H:$H,"Weekly*")+SUMIFS('NSE - Other Index Options'!$L:$L,'NSE - Other Index Options'!$C:$C,$A40,'NSE - Other Index Options'!$B:$B,E$4,'NSE - Other Index Options'!$H:$H,"MDAW*"))</f>
        <v>33941.300000000003</v>
      </c>
      <c r="F40" s="26">
        <f>IF(SUMIFS('NSE - NIFTY Index Options'!$L:$L,'NSE - NIFTY Index Options'!$C:$C,$A40,'NSE - NIFTY Index Options'!$B:$B,F$4,'NSE - NIFTY Index Options'!$H:$H,"Weekly*")+SUMIFS('NSE - NIFTY Index Options'!$L:$L,'NSE - NIFTY Index Options'!$C:$C,$A40,'NSE - NIFTY Index Options'!$B:$B,F$4,'NSE - NIFTY Index Options'!$H:$H,"MDAW*")+SUMIFS('NSE - Other Index Options'!$L:$L,'NSE - Other Index Options'!$C:$C,$A40,'NSE - Other Index Options'!$B:$B,F$4,'NSE - Other Index Options'!$H:$H,"Weekly*")+SUMIFS('NSE - Other Index Options'!$L:$L,'NSE - Other Index Options'!$C:$C,$A40,'NSE - Other Index Options'!$B:$B,F$4,'NSE - Other Index Options'!$H:$H,"MDAW*")=0,"",SUMIFS('NSE - NIFTY Index Options'!$L:$L,'NSE - NIFTY Index Options'!$C:$C,$A40,'NSE - NIFTY Index Options'!$B:$B,F$4,'NSE - NIFTY Index Options'!$H:$H,"Weekly*")+SUMIFS('NSE - NIFTY Index Options'!$L:$L,'NSE - NIFTY Index Options'!$C:$C,$A40,'NSE - NIFTY Index Options'!$B:$B,F$4,'NSE - NIFTY Index Options'!$H:$H,"MDAW*")+SUMIFS('NSE - Other Index Options'!$L:$L,'NSE - Other Index Options'!$C:$C,$A40,'NSE - Other Index Options'!$B:$B,F$4,'NSE - Other Index Options'!$H:$H,"Weekly*")+SUMIFS('NSE - Other Index Options'!$L:$L,'NSE - Other Index Options'!$C:$C,$A40,'NSE - Other Index Options'!$B:$B,F$4,'NSE - Other Index Options'!$H:$H,"MDAW*"))</f>
        <v>52124.090000000004</v>
      </c>
      <c r="G40" s="26" t="str">
        <f>IF(SUMIFS('NSE - NIFTY Index Options'!$L:$L,'NSE - NIFTY Index Options'!$C:$C,$A40,'NSE - NIFTY Index Options'!$B:$B,G$4,'NSE - NIFTY Index Options'!$H:$H,"Weekly*")+SUMIFS('NSE - NIFTY Index Options'!$L:$L,'NSE - NIFTY Index Options'!$C:$C,$A40,'NSE - NIFTY Index Options'!$B:$B,G$4,'NSE - NIFTY Index Options'!$H:$H,"MDAW*")+SUMIFS('NSE - Other Index Options'!$L:$L,'NSE - Other Index Options'!$C:$C,$A40,'NSE - Other Index Options'!$B:$B,G$4,'NSE - Other Index Options'!$H:$H,"Weekly*")+SUMIFS('NSE - Other Index Options'!$L:$L,'NSE - Other Index Options'!$C:$C,$A40,'NSE - Other Index Options'!$B:$B,G$4,'NSE - Other Index Options'!$H:$H,"MDAW*")=0,"",SUMIFS('NSE - NIFTY Index Options'!$L:$L,'NSE - NIFTY Index Options'!$C:$C,$A40,'NSE - NIFTY Index Options'!$B:$B,G$4,'NSE - NIFTY Index Options'!$H:$H,"Weekly*")+SUMIFS('NSE - NIFTY Index Options'!$L:$L,'NSE - NIFTY Index Options'!$C:$C,$A40,'NSE - NIFTY Index Options'!$B:$B,G$4,'NSE - NIFTY Index Options'!$H:$H,"MDAW*")+SUMIFS('NSE - Other Index Options'!$L:$L,'NSE - Other Index Options'!$C:$C,$A40,'NSE - Other Index Options'!$B:$B,G$4,'NSE - Other Index Options'!$H:$H,"Weekly*")+SUMIFS('NSE - Other Index Options'!$L:$L,'NSE - Other Index Options'!$C:$C,$A40,'NSE - Other Index Options'!$B:$B,G$4,'NSE - Other Index Options'!$H:$H,"MDAW*"))</f>
        <v/>
      </c>
      <c r="H40" s="26">
        <f t="shared" si="1"/>
        <v>196132.25</v>
      </c>
    </row>
    <row r="41" spans="1:8">
      <c r="A41" t="s">
        <v>46</v>
      </c>
      <c r="B41" s="26">
        <f>IF(SUMIFS('NSE - NIFTY Index Options'!$L:$L,'NSE - NIFTY Index Options'!$C:$C,$A41,'NSE - NIFTY Index Options'!$B:$B,B$4,'NSE - NIFTY Index Options'!$H:$H,"Weekly*")+SUMIFS('NSE - NIFTY Index Options'!$L:$L,'NSE - NIFTY Index Options'!$C:$C,$A41,'NSE - NIFTY Index Options'!$B:$B,B$4,'NSE - NIFTY Index Options'!$H:$H,"MDAW*")+SUMIFS('NSE - Other Index Options'!$L:$L,'NSE - Other Index Options'!$C:$C,$A41,'NSE - Other Index Options'!$B:$B,B$4,'NSE - Other Index Options'!$H:$H,"Weekly*")+SUMIFS('NSE - Other Index Options'!$L:$L,'NSE - Other Index Options'!$C:$C,$A41,'NSE - Other Index Options'!$B:$B,B$4,'NSE - Other Index Options'!$H:$H,"MDAW*")=0,"",SUMIFS('NSE - NIFTY Index Options'!$L:$L,'NSE - NIFTY Index Options'!$C:$C,$A41,'NSE - NIFTY Index Options'!$B:$B,B$4,'NSE - NIFTY Index Options'!$H:$H,"Weekly*")+SUMIFS('NSE - NIFTY Index Options'!$L:$L,'NSE - NIFTY Index Options'!$C:$C,$A41,'NSE - NIFTY Index Options'!$B:$B,B$4,'NSE - NIFTY Index Options'!$H:$H,"MDAW*")+SUMIFS('NSE - Other Index Options'!$L:$L,'NSE - Other Index Options'!$C:$C,$A41,'NSE - Other Index Options'!$B:$B,B$4,'NSE - Other Index Options'!$H:$H,"Weekly*")+SUMIFS('NSE - Other Index Options'!$L:$L,'NSE - Other Index Options'!$C:$C,$A41,'NSE - Other Index Options'!$B:$B,B$4,'NSE - Other Index Options'!$H:$H,"MDAW*"))</f>
        <v>52459.99</v>
      </c>
      <c r="C41" s="26">
        <f>IF(SUMIFS('NSE - NIFTY Index Options'!$L:$L,'NSE - NIFTY Index Options'!$C:$C,$A41,'NSE - NIFTY Index Options'!$B:$B,C$4,'NSE - NIFTY Index Options'!$H:$H,"Weekly*")+SUMIFS('NSE - NIFTY Index Options'!$L:$L,'NSE - NIFTY Index Options'!$C:$C,$A41,'NSE - NIFTY Index Options'!$B:$B,C$4,'NSE - NIFTY Index Options'!$H:$H,"MDAW*")+SUMIFS('NSE - Other Index Options'!$L:$L,'NSE - Other Index Options'!$C:$C,$A41,'NSE - Other Index Options'!$B:$B,C$4,'NSE - Other Index Options'!$H:$H,"Weekly*")+SUMIFS('NSE - Other Index Options'!$L:$L,'NSE - Other Index Options'!$C:$C,$A41,'NSE - Other Index Options'!$B:$B,C$4,'NSE - Other Index Options'!$H:$H,"MDAW*")=0,"",SUMIFS('NSE - NIFTY Index Options'!$L:$L,'NSE - NIFTY Index Options'!$C:$C,$A41,'NSE - NIFTY Index Options'!$B:$B,C$4,'NSE - NIFTY Index Options'!$H:$H,"Weekly*")+SUMIFS('NSE - NIFTY Index Options'!$L:$L,'NSE - NIFTY Index Options'!$C:$C,$A41,'NSE - NIFTY Index Options'!$B:$B,C$4,'NSE - NIFTY Index Options'!$H:$H,"MDAW*")+SUMIFS('NSE - Other Index Options'!$L:$L,'NSE - Other Index Options'!$C:$C,$A41,'NSE - Other Index Options'!$B:$B,C$4,'NSE - Other Index Options'!$H:$H,"Weekly*")+SUMIFS('NSE - Other Index Options'!$L:$L,'NSE - Other Index Options'!$C:$C,$A41,'NSE - Other Index Options'!$B:$B,C$4,'NSE - Other Index Options'!$H:$H,"MDAW*"))</f>
        <v>54204.5</v>
      </c>
      <c r="D41" s="26">
        <f>IF(SUMIFS('NSE - NIFTY Index Options'!$L:$L,'NSE - NIFTY Index Options'!$C:$C,$A41,'NSE - NIFTY Index Options'!$B:$B,D$4,'NSE - NIFTY Index Options'!$H:$H,"Weekly*")+SUMIFS('NSE - NIFTY Index Options'!$L:$L,'NSE - NIFTY Index Options'!$C:$C,$A41,'NSE - NIFTY Index Options'!$B:$B,D$4,'NSE - NIFTY Index Options'!$H:$H,"MDAW*")+SUMIFS('NSE - Other Index Options'!$L:$L,'NSE - Other Index Options'!$C:$C,$A41,'NSE - Other Index Options'!$B:$B,D$4,'NSE - Other Index Options'!$H:$H,"Weekly*")+SUMIFS('NSE - Other Index Options'!$L:$L,'NSE - Other Index Options'!$C:$C,$A41,'NSE - Other Index Options'!$B:$B,D$4,'NSE - Other Index Options'!$H:$H,"MDAW*")=0,"",SUMIFS('NSE - NIFTY Index Options'!$L:$L,'NSE - NIFTY Index Options'!$C:$C,$A41,'NSE - NIFTY Index Options'!$B:$B,D$4,'NSE - NIFTY Index Options'!$H:$H,"Weekly*")+SUMIFS('NSE - NIFTY Index Options'!$L:$L,'NSE - NIFTY Index Options'!$C:$C,$A41,'NSE - NIFTY Index Options'!$B:$B,D$4,'NSE - NIFTY Index Options'!$H:$H,"MDAW*")+SUMIFS('NSE - Other Index Options'!$L:$L,'NSE - Other Index Options'!$C:$C,$A41,'NSE - Other Index Options'!$B:$B,D$4,'NSE - Other Index Options'!$H:$H,"Weekly*")+SUMIFS('NSE - Other Index Options'!$L:$L,'NSE - Other Index Options'!$C:$C,$A41,'NSE - Other Index Options'!$B:$B,D$4,'NSE - Other Index Options'!$H:$H,"MDAW*"))</f>
        <v>28315.33</v>
      </c>
      <c r="E41" s="26">
        <f>IF(SUMIFS('NSE - NIFTY Index Options'!$L:$L,'NSE - NIFTY Index Options'!$C:$C,$A41,'NSE - NIFTY Index Options'!$B:$B,E$4,'NSE - NIFTY Index Options'!$H:$H,"Weekly*")+SUMIFS('NSE - NIFTY Index Options'!$L:$L,'NSE - NIFTY Index Options'!$C:$C,$A41,'NSE - NIFTY Index Options'!$B:$B,E$4,'NSE - NIFTY Index Options'!$H:$H,"MDAW*")+SUMIFS('NSE - Other Index Options'!$L:$L,'NSE - Other Index Options'!$C:$C,$A41,'NSE - Other Index Options'!$B:$B,E$4,'NSE - Other Index Options'!$H:$H,"Weekly*")+SUMIFS('NSE - Other Index Options'!$L:$L,'NSE - Other Index Options'!$C:$C,$A41,'NSE - Other Index Options'!$B:$B,E$4,'NSE - Other Index Options'!$H:$H,"MDAW*")=0,"",SUMIFS('NSE - NIFTY Index Options'!$L:$L,'NSE - NIFTY Index Options'!$C:$C,$A41,'NSE - NIFTY Index Options'!$B:$B,E$4,'NSE - NIFTY Index Options'!$H:$H,"Weekly*")+SUMIFS('NSE - NIFTY Index Options'!$L:$L,'NSE - NIFTY Index Options'!$C:$C,$A41,'NSE - NIFTY Index Options'!$B:$B,E$4,'NSE - NIFTY Index Options'!$H:$H,"MDAW*")+SUMIFS('NSE - Other Index Options'!$L:$L,'NSE - Other Index Options'!$C:$C,$A41,'NSE - Other Index Options'!$B:$B,E$4,'NSE - Other Index Options'!$H:$H,"Weekly*")+SUMIFS('NSE - Other Index Options'!$L:$L,'NSE - Other Index Options'!$C:$C,$A41,'NSE - Other Index Options'!$B:$B,E$4,'NSE - Other Index Options'!$H:$H,"MDAW*"))</f>
        <v>28356.850000000002</v>
      </c>
      <c r="F41" s="26">
        <f>IF(SUMIFS('NSE - NIFTY Index Options'!$L:$L,'NSE - NIFTY Index Options'!$C:$C,$A41,'NSE - NIFTY Index Options'!$B:$B,F$4,'NSE - NIFTY Index Options'!$H:$H,"Weekly*")+SUMIFS('NSE - NIFTY Index Options'!$L:$L,'NSE - NIFTY Index Options'!$C:$C,$A41,'NSE - NIFTY Index Options'!$B:$B,F$4,'NSE - NIFTY Index Options'!$H:$H,"MDAW*")+SUMIFS('NSE - Other Index Options'!$L:$L,'NSE - Other Index Options'!$C:$C,$A41,'NSE - Other Index Options'!$B:$B,F$4,'NSE - Other Index Options'!$H:$H,"Weekly*")+SUMIFS('NSE - Other Index Options'!$L:$L,'NSE - Other Index Options'!$C:$C,$A41,'NSE - Other Index Options'!$B:$B,F$4,'NSE - Other Index Options'!$H:$H,"MDAW*")=0,"",SUMIFS('NSE - NIFTY Index Options'!$L:$L,'NSE - NIFTY Index Options'!$C:$C,$A41,'NSE - NIFTY Index Options'!$B:$B,F$4,'NSE - NIFTY Index Options'!$H:$H,"Weekly*")+SUMIFS('NSE - NIFTY Index Options'!$L:$L,'NSE - NIFTY Index Options'!$C:$C,$A41,'NSE - NIFTY Index Options'!$B:$B,F$4,'NSE - NIFTY Index Options'!$H:$H,"MDAW*")+SUMIFS('NSE - Other Index Options'!$L:$L,'NSE - Other Index Options'!$C:$C,$A41,'NSE - Other Index Options'!$B:$B,F$4,'NSE - Other Index Options'!$H:$H,"Weekly*")+SUMIFS('NSE - Other Index Options'!$L:$L,'NSE - Other Index Options'!$C:$C,$A41,'NSE - Other Index Options'!$B:$B,F$4,'NSE - Other Index Options'!$H:$H,"MDAW*"))</f>
        <v>40740.83</v>
      </c>
      <c r="G41" s="26" t="str">
        <f>IF(SUMIFS('NSE - NIFTY Index Options'!$L:$L,'NSE - NIFTY Index Options'!$C:$C,$A41,'NSE - NIFTY Index Options'!$B:$B,G$4,'NSE - NIFTY Index Options'!$H:$H,"Weekly*")+SUMIFS('NSE - NIFTY Index Options'!$L:$L,'NSE - NIFTY Index Options'!$C:$C,$A41,'NSE - NIFTY Index Options'!$B:$B,G$4,'NSE - NIFTY Index Options'!$H:$H,"MDAW*")+SUMIFS('NSE - Other Index Options'!$L:$L,'NSE - Other Index Options'!$C:$C,$A41,'NSE - Other Index Options'!$B:$B,G$4,'NSE - Other Index Options'!$H:$H,"Weekly*")+SUMIFS('NSE - Other Index Options'!$L:$L,'NSE - Other Index Options'!$C:$C,$A41,'NSE - Other Index Options'!$B:$B,G$4,'NSE - Other Index Options'!$H:$H,"MDAW*")=0,"",SUMIFS('NSE - NIFTY Index Options'!$L:$L,'NSE - NIFTY Index Options'!$C:$C,$A41,'NSE - NIFTY Index Options'!$B:$B,G$4,'NSE - NIFTY Index Options'!$H:$H,"Weekly*")+SUMIFS('NSE - NIFTY Index Options'!$L:$L,'NSE - NIFTY Index Options'!$C:$C,$A41,'NSE - NIFTY Index Options'!$B:$B,G$4,'NSE - NIFTY Index Options'!$H:$H,"MDAW*")+SUMIFS('NSE - Other Index Options'!$L:$L,'NSE - Other Index Options'!$C:$C,$A41,'NSE - Other Index Options'!$B:$B,G$4,'NSE - Other Index Options'!$H:$H,"Weekly*")+SUMIFS('NSE - Other Index Options'!$L:$L,'NSE - Other Index Options'!$C:$C,$A41,'NSE - Other Index Options'!$B:$B,G$4,'NSE - Other Index Options'!$H:$H,"MDAW*"))</f>
        <v/>
      </c>
      <c r="H41" s="26">
        <f t="shared" si="1"/>
        <v>204077.5</v>
      </c>
    </row>
    <row r="42" spans="1:8">
      <c r="A42" t="s">
        <v>47</v>
      </c>
      <c r="B42" s="26">
        <f>IF(SUMIFS('NSE - NIFTY Index Options'!$L:$L,'NSE - NIFTY Index Options'!$C:$C,$A42,'NSE - NIFTY Index Options'!$B:$B,B$4,'NSE - NIFTY Index Options'!$H:$H,"Weekly*")+SUMIFS('NSE - NIFTY Index Options'!$L:$L,'NSE - NIFTY Index Options'!$C:$C,$A42,'NSE - NIFTY Index Options'!$B:$B,B$4,'NSE - NIFTY Index Options'!$H:$H,"MDAW*")+SUMIFS('NSE - Other Index Options'!$L:$L,'NSE - Other Index Options'!$C:$C,$A42,'NSE - Other Index Options'!$B:$B,B$4,'NSE - Other Index Options'!$H:$H,"Weekly*")+SUMIFS('NSE - Other Index Options'!$L:$L,'NSE - Other Index Options'!$C:$C,$A42,'NSE - Other Index Options'!$B:$B,B$4,'NSE - Other Index Options'!$H:$H,"MDAW*")=0,"",SUMIFS('NSE - NIFTY Index Options'!$L:$L,'NSE - NIFTY Index Options'!$C:$C,$A42,'NSE - NIFTY Index Options'!$B:$B,B$4,'NSE - NIFTY Index Options'!$H:$H,"Weekly*")+SUMIFS('NSE - NIFTY Index Options'!$L:$L,'NSE - NIFTY Index Options'!$C:$C,$A42,'NSE - NIFTY Index Options'!$B:$B,B$4,'NSE - NIFTY Index Options'!$H:$H,"MDAW*")+SUMIFS('NSE - Other Index Options'!$L:$L,'NSE - Other Index Options'!$C:$C,$A42,'NSE - Other Index Options'!$B:$B,B$4,'NSE - Other Index Options'!$H:$H,"Weekly*")+SUMIFS('NSE - Other Index Options'!$L:$L,'NSE - Other Index Options'!$C:$C,$A42,'NSE - Other Index Options'!$B:$B,B$4,'NSE - Other Index Options'!$H:$H,"MDAW*"))</f>
        <v>49149.740000000005</v>
      </c>
      <c r="C42" s="26">
        <f>IF(SUMIFS('NSE - NIFTY Index Options'!$L:$L,'NSE - NIFTY Index Options'!$C:$C,$A42,'NSE - NIFTY Index Options'!$B:$B,C$4,'NSE - NIFTY Index Options'!$H:$H,"Weekly*")+SUMIFS('NSE - NIFTY Index Options'!$L:$L,'NSE - NIFTY Index Options'!$C:$C,$A42,'NSE - NIFTY Index Options'!$B:$B,C$4,'NSE - NIFTY Index Options'!$H:$H,"MDAW*")+SUMIFS('NSE - Other Index Options'!$L:$L,'NSE - Other Index Options'!$C:$C,$A42,'NSE - Other Index Options'!$B:$B,C$4,'NSE - Other Index Options'!$H:$H,"Weekly*")+SUMIFS('NSE - Other Index Options'!$L:$L,'NSE - Other Index Options'!$C:$C,$A42,'NSE - Other Index Options'!$B:$B,C$4,'NSE - Other Index Options'!$H:$H,"MDAW*")=0,"",SUMIFS('NSE - NIFTY Index Options'!$L:$L,'NSE - NIFTY Index Options'!$C:$C,$A42,'NSE - NIFTY Index Options'!$B:$B,C$4,'NSE - NIFTY Index Options'!$H:$H,"Weekly*")+SUMIFS('NSE - NIFTY Index Options'!$L:$L,'NSE - NIFTY Index Options'!$C:$C,$A42,'NSE - NIFTY Index Options'!$B:$B,C$4,'NSE - NIFTY Index Options'!$H:$H,"MDAW*")+SUMIFS('NSE - Other Index Options'!$L:$L,'NSE - Other Index Options'!$C:$C,$A42,'NSE - Other Index Options'!$B:$B,C$4,'NSE - Other Index Options'!$H:$H,"Weekly*")+SUMIFS('NSE - Other Index Options'!$L:$L,'NSE - Other Index Options'!$C:$C,$A42,'NSE - Other Index Options'!$B:$B,C$4,'NSE - Other Index Options'!$H:$H,"MDAW*"))</f>
        <v>60422.85</v>
      </c>
      <c r="D42" s="26">
        <f>IF(SUMIFS('NSE - NIFTY Index Options'!$L:$L,'NSE - NIFTY Index Options'!$C:$C,$A42,'NSE - NIFTY Index Options'!$B:$B,D$4,'NSE - NIFTY Index Options'!$H:$H,"Weekly*")+SUMIFS('NSE - NIFTY Index Options'!$L:$L,'NSE - NIFTY Index Options'!$C:$C,$A42,'NSE - NIFTY Index Options'!$B:$B,D$4,'NSE - NIFTY Index Options'!$H:$H,"MDAW*")+SUMIFS('NSE - Other Index Options'!$L:$L,'NSE - Other Index Options'!$C:$C,$A42,'NSE - Other Index Options'!$B:$B,D$4,'NSE - Other Index Options'!$H:$H,"Weekly*")+SUMIFS('NSE - Other Index Options'!$L:$L,'NSE - Other Index Options'!$C:$C,$A42,'NSE - Other Index Options'!$B:$B,D$4,'NSE - Other Index Options'!$H:$H,"MDAW*")=0,"",SUMIFS('NSE - NIFTY Index Options'!$L:$L,'NSE - NIFTY Index Options'!$C:$C,$A42,'NSE - NIFTY Index Options'!$B:$B,D$4,'NSE - NIFTY Index Options'!$H:$H,"Weekly*")+SUMIFS('NSE - NIFTY Index Options'!$L:$L,'NSE - NIFTY Index Options'!$C:$C,$A42,'NSE - NIFTY Index Options'!$B:$B,D$4,'NSE - NIFTY Index Options'!$H:$H,"MDAW*")+SUMIFS('NSE - Other Index Options'!$L:$L,'NSE - Other Index Options'!$C:$C,$A42,'NSE - Other Index Options'!$B:$B,D$4,'NSE - Other Index Options'!$H:$H,"Weekly*")+SUMIFS('NSE - Other Index Options'!$L:$L,'NSE - Other Index Options'!$C:$C,$A42,'NSE - Other Index Options'!$B:$B,D$4,'NSE - Other Index Options'!$H:$H,"MDAW*"))</f>
        <v>29031.53</v>
      </c>
      <c r="E42" s="26">
        <f>IF(SUMIFS('NSE - NIFTY Index Options'!$L:$L,'NSE - NIFTY Index Options'!$C:$C,$A42,'NSE - NIFTY Index Options'!$B:$B,E$4,'NSE - NIFTY Index Options'!$H:$H,"Weekly*")+SUMIFS('NSE - NIFTY Index Options'!$L:$L,'NSE - NIFTY Index Options'!$C:$C,$A42,'NSE - NIFTY Index Options'!$B:$B,E$4,'NSE - NIFTY Index Options'!$H:$H,"MDAW*")+SUMIFS('NSE - Other Index Options'!$L:$L,'NSE - Other Index Options'!$C:$C,$A42,'NSE - Other Index Options'!$B:$B,E$4,'NSE - Other Index Options'!$H:$H,"Weekly*")+SUMIFS('NSE - Other Index Options'!$L:$L,'NSE - Other Index Options'!$C:$C,$A42,'NSE - Other Index Options'!$B:$B,E$4,'NSE - Other Index Options'!$H:$H,"MDAW*")=0,"",SUMIFS('NSE - NIFTY Index Options'!$L:$L,'NSE - NIFTY Index Options'!$C:$C,$A42,'NSE - NIFTY Index Options'!$B:$B,E$4,'NSE - NIFTY Index Options'!$H:$H,"Weekly*")+SUMIFS('NSE - NIFTY Index Options'!$L:$L,'NSE - NIFTY Index Options'!$C:$C,$A42,'NSE - NIFTY Index Options'!$B:$B,E$4,'NSE - NIFTY Index Options'!$H:$H,"MDAW*")+SUMIFS('NSE - Other Index Options'!$L:$L,'NSE - Other Index Options'!$C:$C,$A42,'NSE - Other Index Options'!$B:$B,E$4,'NSE - Other Index Options'!$H:$H,"Weekly*")+SUMIFS('NSE - Other Index Options'!$L:$L,'NSE - Other Index Options'!$C:$C,$A42,'NSE - Other Index Options'!$B:$B,E$4,'NSE - Other Index Options'!$H:$H,"MDAW*"))</f>
        <v>25743.82</v>
      </c>
      <c r="F42" s="26">
        <f>IF(SUMIFS('NSE - NIFTY Index Options'!$L:$L,'NSE - NIFTY Index Options'!$C:$C,$A42,'NSE - NIFTY Index Options'!$B:$B,F$4,'NSE - NIFTY Index Options'!$H:$H,"Weekly*")+SUMIFS('NSE - NIFTY Index Options'!$L:$L,'NSE - NIFTY Index Options'!$C:$C,$A42,'NSE - NIFTY Index Options'!$B:$B,F$4,'NSE - NIFTY Index Options'!$H:$H,"MDAW*")+SUMIFS('NSE - Other Index Options'!$L:$L,'NSE - Other Index Options'!$C:$C,$A42,'NSE - Other Index Options'!$B:$B,F$4,'NSE - Other Index Options'!$H:$H,"Weekly*")+SUMIFS('NSE - Other Index Options'!$L:$L,'NSE - Other Index Options'!$C:$C,$A42,'NSE - Other Index Options'!$B:$B,F$4,'NSE - Other Index Options'!$H:$H,"MDAW*")=0,"",SUMIFS('NSE - NIFTY Index Options'!$L:$L,'NSE - NIFTY Index Options'!$C:$C,$A42,'NSE - NIFTY Index Options'!$B:$B,F$4,'NSE - NIFTY Index Options'!$H:$H,"Weekly*")+SUMIFS('NSE - NIFTY Index Options'!$L:$L,'NSE - NIFTY Index Options'!$C:$C,$A42,'NSE - NIFTY Index Options'!$B:$B,F$4,'NSE - NIFTY Index Options'!$H:$H,"MDAW*")+SUMIFS('NSE - Other Index Options'!$L:$L,'NSE - Other Index Options'!$C:$C,$A42,'NSE - Other Index Options'!$B:$B,F$4,'NSE - Other Index Options'!$H:$H,"Weekly*")+SUMIFS('NSE - Other Index Options'!$L:$L,'NSE - Other Index Options'!$C:$C,$A42,'NSE - Other Index Options'!$B:$B,F$4,'NSE - Other Index Options'!$H:$H,"MDAW*"))</f>
        <v>47071.450000000004</v>
      </c>
      <c r="G42" s="26" t="str">
        <f>IF(SUMIFS('NSE - NIFTY Index Options'!$L:$L,'NSE - NIFTY Index Options'!$C:$C,$A42,'NSE - NIFTY Index Options'!$B:$B,G$4,'NSE - NIFTY Index Options'!$H:$H,"Weekly*")+SUMIFS('NSE - NIFTY Index Options'!$L:$L,'NSE - NIFTY Index Options'!$C:$C,$A42,'NSE - NIFTY Index Options'!$B:$B,G$4,'NSE - NIFTY Index Options'!$H:$H,"MDAW*")+SUMIFS('NSE - Other Index Options'!$L:$L,'NSE - Other Index Options'!$C:$C,$A42,'NSE - Other Index Options'!$B:$B,G$4,'NSE - Other Index Options'!$H:$H,"Weekly*")+SUMIFS('NSE - Other Index Options'!$L:$L,'NSE - Other Index Options'!$C:$C,$A42,'NSE - Other Index Options'!$B:$B,G$4,'NSE - Other Index Options'!$H:$H,"MDAW*")=0,"",SUMIFS('NSE - NIFTY Index Options'!$L:$L,'NSE - NIFTY Index Options'!$C:$C,$A42,'NSE - NIFTY Index Options'!$B:$B,G$4,'NSE - NIFTY Index Options'!$H:$H,"Weekly*")+SUMIFS('NSE - NIFTY Index Options'!$L:$L,'NSE - NIFTY Index Options'!$C:$C,$A42,'NSE - NIFTY Index Options'!$B:$B,G$4,'NSE - NIFTY Index Options'!$H:$H,"MDAW*")+SUMIFS('NSE - Other Index Options'!$L:$L,'NSE - Other Index Options'!$C:$C,$A42,'NSE - Other Index Options'!$B:$B,G$4,'NSE - Other Index Options'!$H:$H,"Weekly*")+SUMIFS('NSE - Other Index Options'!$L:$L,'NSE - Other Index Options'!$C:$C,$A42,'NSE - Other Index Options'!$B:$B,G$4,'NSE - Other Index Options'!$H:$H,"MDAW*"))</f>
        <v/>
      </c>
      <c r="H42" s="26">
        <f t="shared" si="1"/>
        <v>211419.39</v>
      </c>
    </row>
    <row r="43" spans="1:8">
      <c r="A43" t="s">
        <v>48</v>
      </c>
      <c r="B43" s="26" t="str">
        <f>IF(SUMIFS('NSE - NIFTY Index Options'!$L:$L,'NSE - NIFTY Index Options'!$C:$C,$A43,'NSE - NIFTY Index Options'!$B:$B,B$4,'NSE - NIFTY Index Options'!$H:$H,"Weekly*")+SUMIFS('NSE - NIFTY Index Options'!$L:$L,'NSE - NIFTY Index Options'!$C:$C,$A43,'NSE - NIFTY Index Options'!$B:$B,B$4,'NSE - NIFTY Index Options'!$H:$H,"MDAW*")+SUMIFS('NSE - Other Index Options'!$L:$L,'NSE - Other Index Options'!$C:$C,$A43,'NSE - Other Index Options'!$B:$B,B$4,'NSE - Other Index Options'!$H:$H,"Weekly*")+SUMIFS('NSE - Other Index Options'!$L:$L,'NSE - Other Index Options'!$C:$C,$A43,'NSE - Other Index Options'!$B:$B,B$4,'NSE - Other Index Options'!$H:$H,"MDAW*")=0,"",SUMIFS('NSE - NIFTY Index Options'!$L:$L,'NSE - NIFTY Index Options'!$C:$C,$A43,'NSE - NIFTY Index Options'!$B:$B,B$4,'NSE - NIFTY Index Options'!$H:$H,"Weekly*")+SUMIFS('NSE - NIFTY Index Options'!$L:$L,'NSE - NIFTY Index Options'!$C:$C,$A43,'NSE - NIFTY Index Options'!$B:$B,B$4,'NSE - NIFTY Index Options'!$H:$H,"MDAW*")+SUMIFS('NSE - Other Index Options'!$L:$L,'NSE - Other Index Options'!$C:$C,$A43,'NSE - Other Index Options'!$B:$B,B$4,'NSE - Other Index Options'!$H:$H,"Weekly*")+SUMIFS('NSE - Other Index Options'!$L:$L,'NSE - Other Index Options'!$C:$C,$A43,'NSE - Other Index Options'!$B:$B,B$4,'NSE - Other Index Options'!$H:$H,"MDAW*"))</f>
        <v/>
      </c>
      <c r="C43" s="26" t="str">
        <f>IF(SUMIFS('NSE - NIFTY Index Options'!$L:$L,'NSE - NIFTY Index Options'!$C:$C,$A43,'NSE - NIFTY Index Options'!$B:$B,C$4,'NSE - NIFTY Index Options'!$H:$H,"Weekly*")+SUMIFS('NSE - NIFTY Index Options'!$L:$L,'NSE - NIFTY Index Options'!$C:$C,$A43,'NSE - NIFTY Index Options'!$B:$B,C$4,'NSE - NIFTY Index Options'!$H:$H,"MDAW*")+SUMIFS('NSE - Other Index Options'!$L:$L,'NSE - Other Index Options'!$C:$C,$A43,'NSE - Other Index Options'!$B:$B,C$4,'NSE - Other Index Options'!$H:$H,"Weekly*")+SUMIFS('NSE - Other Index Options'!$L:$L,'NSE - Other Index Options'!$C:$C,$A43,'NSE - Other Index Options'!$B:$B,C$4,'NSE - Other Index Options'!$H:$H,"MDAW*")=0,"",SUMIFS('NSE - NIFTY Index Options'!$L:$L,'NSE - NIFTY Index Options'!$C:$C,$A43,'NSE - NIFTY Index Options'!$B:$B,C$4,'NSE - NIFTY Index Options'!$H:$H,"Weekly*")+SUMIFS('NSE - NIFTY Index Options'!$L:$L,'NSE - NIFTY Index Options'!$C:$C,$A43,'NSE - NIFTY Index Options'!$B:$B,C$4,'NSE - NIFTY Index Options'!$H:$H,"MDAW*")+SUMIFS('NSE - Other Index Options'!$L:$L,'NSE - Other Index Options'!$C:$C,$A43,'NSE - Other Index Options'!$B:$B,C$4,'NSE - Other Index Options'!$H:$H,"Weekly*")+SUMIFS('NSE - Other Index Options'!$L:$L,'NSE - Other Index Options'!$C:$C,$A43,'NSE - Other Index Options'!$B:$B,C$4,'NSE - Other Index Options'!$H:$H,"MDAW*"))</f>
        <v/>
      </c>
      <c r="D43" s="26">
        <f>IF(SUMIFS('NSE - NIFTY Index Options'!$L:$L,'NSE - NIFTY Index Options'!$C:$C,$A43,'NSE - NIFTY Index Options'!$B:$B,D$4,'NSE - NIFTY Index Options'!$H:$H,"Weekly*")+SUMIFS('NSE - NIFTY Index Options'!$L:$L,'NSE - NIFTY Index Options'!$C:$C,$A43,'NSE - NIFTY Index Options'!$B:$B,D$4,'NSE - NIFTY Index Options'!$H:$H,"MDAW*")+SUMIFS('NSE - Other Index Options'!$L:$L,'NSE - Other Index Options'!$C:$C,$A43,'NSE - Other Index Options'!$B:$B,D$4,'NSE - Other Index Options'!$H:$H,"Weekly*")+SUMIFS('NSE - Other Index Options'!$L:$L,'NSE - Other Index Options'!$C:$C,$A43,'NSE - Other Index Options'!$B:$B,D$4,'NSE - Other Index Options'!$H:$H,"MDAW*")=0,"",SUMIFS('NSE - NIFTY Index Options'!$L:$L,'NSE - NIFTY Index Options'!$C:$C,$A43,'NSE - NIFTY Index Options'!$B:$B,D$4,'NSE - NIFTY Index Options'!$H:$H,"Weekly*")+SUMIFS('NSE - NIFTY Index Options'!$L:$L,'NSE - NIFTY Index Options'!$C:$C,$A43,'NSE - NIFTY Index Options'!$B:$B,D$4,'NSE - NIFTY Index Options'!$H:$H,"MDAW*")+SUMIFS('NSE - Other Index Options'!$L:$L,'NSE - Other Index Options'!$C:$C,$A43,'NSE - Other Index Options'!$B:$B,D$4,'NSE - Other Index Options'!$H:$H,"Weekly*")+SUMIFS('NSE - Other Index Options'!$L:$L,'NSE - Other Index Options'!$C:$C,$A43,'NSE - Other Index Options'!$B:$B,D$4,'NSE - Other Index Options'!$H:$H,"MDAW*"))</f>
        <v>32283.74</v>
      </c>
      <c r="E43" s="26">
        <f>IF(SUMIFS('NSE - NIFTY Index Options'!$L:$L,'NSE - NIFTY Index Options'!$C:$C,$A43,'NSE - NIFTY Index Options'!$B:$B,E$4,'NSE - NIFTY Index Options'!$H:$H,"Weekly*")+SUMIFS('NSE - NIFTY Index Options'!$L:$L,'NSE - NIFTY Index Options'!$C:$C,$A43,'NSE - NIFTY Index Options'!$B:$B,E$4,'NSE - NIFTY Index Options'!$H:$H,"MDAW*")+SUMIFS('NSE - Other Index Options'!$L:$L,'NSE - Other Index Options'!$C:$C,$A43,'NSE - Other Index Options'!$B:$B,E$4,'NSE - Other Index Options'!$H:$H,"Weekly*")+SUMIFS('NSE - Other Index Options'!$L:$L,'NSE - Other Index Options'!$C:$C,$A43,'NSE - Other Index Options'!$B:$B,E$4,'NSE - Other Index Options'!$H:$H,"MDAW*")=0,"",SUMIFS('NSE - NIFTY Index Options'!$L:$L,'NSE - NIFTY Index Options'!$C:$C,$A43,'NSE - NIFTY Index Options'!$B:$B,E$4,'NSE - NIFTY Index Options'!$H:$H,"Weekly*")+SUMIFS('NSE - NIFTY Index Options'!$L:$L,'NSE - NIFTY Index Options'!$C:$C,$A43,'NSE - NIFTY Index Options'!$B:$B,E$4,'NSE - NIFTY Index Options'!$H:$H,"MDAW*")+SUMIFS('NSE - Other Index Options'!$L:$L,'NSE - Other Index Options'!$C:$C,$A43,'NSE - Other Index Options'!$B:$B,E$4,'NSE - Other Index Options'!$H:$H,"Weekly*")+SUMIFS('NSE - Other Index Options'!$L:$L,'NSE - Other Index Options'!$C:$C,$A43,'NSE - Other Index Options'!$B:$B,E$4,'NSE - Other Index Options'!$H:$H,"MDAW*"))</f>
        <v>31476.48</v>
      </c>
      <c r="F43" s="26" t="str">
        <f>IF(SUMIFS('NSE - NIFTY Index Options'!$L:$L,'NSE - NIFTY Index Options'!$C:$C,$A43,'NSE - NIFTY Index Options'!$B:$B,F$4,'NSE - NIFTY Index Options'!$H:$H,"Weekly*")+SUMIFS('NSE - NIFTY Index Options'!$L:$L,'NSE - NIFTY Index Options'!$C:$C,$A43,'NSE - NIFTY Index Options'!$B:$B,F$4,'NSE - NIFTY Index Options'!$H:$H,"MDAW*")+SUMIFS('NSE - Other Index Options'!$L:$L,'NSE - Other Index Options'!$C:$C,$A43,'NSE - Other Index Options'!$B:$B,F$4,'NSE - Other Index Options'!$H:$H,"Weekly*")+SUMIFS('NSE - Other Index Options'!$L:$L,'NSE - Other Index Options'!$C:$C,$A43,'NSE - Other Index Options'!$B:$B,F$4,'NSE - Other Index Options'!$H:$H,"MDAW*")=0,"",SUMIFS('NSE - NIFTY Index Options'!$L:$L,'NSE - NIFTY Index Options'!$C:$C,$A43,'NSE - NIFTY Index Options'!$B:$B,F$4,'NSE - NIFTY Index Options'!$H:$H,"Weekly*")+SUMIFS('NSE - NIFTY Index Options'!$L:$L,'NSE - NIFTY Index Options'!$C:$C,$A43,'NSE - NIFTY Index Options'!$B:$B,F$4,'NSE - NIFTY Index Options'!$H:$H,"MDAW*")+SUMIFS('NSE - Other Index Options'!$L:$L,'NSE - Other Index Options'!$C:$C,$A43,'NSE - Other Index Options'!$B:$B,F$4,'NSE - Other Index Options'!$H:$H,"Weekly*")+SUMIFS('NSE - Other Index Options'!$L:$L,'NSE - Other Index Options'!$C:$C,$A43,'NSE - Other Index Options'!$B:$B,F$4,'NSE - Other Index Options'!$H:$H,"MDAW*"))</f>
        <v/>
      </c>
      <c r="G43" s="26" t="str">
        <f>IF(SUMIFS('NSE - NIFTY Index Options'!$L:$L,'NSE - NIFTY Index Options'!$C:$C,$A43,'NSE - NIFTY Index Options'!$B:$B,G$4,'NSE - NIFTY Index Options'!$H:$H,"Weekly*")+SUMIFS('NSE - NIFTY Index Options'!$L:$L,'NSE - NIFTY Index Options'!$C:$C,$A43,'NSE - NIFTY Index Options'!$B:$B,G$4,'NSE - NIFTY Index Options'!$H:$H,"MDAW*")+SUMIFS('NSE - Other Index Options'!$L:$L,'NSE - Other Index Options'!$C:$C,$A43,'NSE - Other Index Options'!$B:$B,G$4,'NSE - Other Index Options'!$H:$H,"Weekly*")+SUMIFS('NSE - Other Index Options'!$L:$L,'NSE - Other Index Options'!$C:$C,$A43,'NSE - Other Index Options'!$B:$B,G$4,'NSE - Other Index Options'!$H:$H,"MDAW*")=0,"",SUMIFS('NSE - NIFTY Index Options'!$L:$L,'NSE - NIFTY Index Options'!$C:$C,$A43,'NSE - NIFTY Index Options'!$B:$B,G$4,'NSE - NIFTY Index Options'!$H:$H,"Weekly*")+SUMIFS('NSE - NIFTY Index Options'!$L:$L,'NSE - NIFTY Index Options'!$C:$C,$A43,'NSE - NIFTY Index Options'!$B:$B,G$4,'NSE - NIFTY Index Options'!$H:$H,"MDAW*")+SUMIFS('NSE - Other Index Options'!$L:$L,'NSE - Other Index Options'!$C:$C,$A43,'NSE - Other Index Options'!$B:$B,G$4,'NSE - Other Index Options'!$H:$H,"Weekly*")+SUMIFS('NSE - Other Index Options'!$L:$L,'NSE - Other Index Options'!$C:$C,$A43,'NSE - Other Index Options'!$B:$B,G$4,'NSE - Other Index Options'!$H:$H,"MDAW*"))</f>
        <v/>
      </c>
      <c r="H43" s="26">
        <f t="shared" si="1"/>
        <v>63760.22</v>
      </c>
    </row>
    <row r="44" spans="1:8">
      <c r="A44" t="s">
        <v>49</v>
      </c>
      <c r="B44" s="26">
        <f>IF(SUMIFS('NSE - NIFTY Index Options'!$L:$L,'NSE - NIFTY Index Options'!$C:$C,$A44,'NSE - NIFTY Index Options'!$B:$B,B$4,'NSE - NIFTY Index Options'!$H:$H,"Weekly*")+SUMIFS('NSE - NIFTY Index Options'!$L:$L,'NSE - NIFTY Index Options'!$C:$C,$A44,'NSE - NIFTY Index Options'!$B:$B,B$4,'NSE - NIFTY Index Options'!$H:$H,"MDAW*")+SUMIFS('NSE - Other Index Options'!$L:$L,'NSE - Other Index Options'!$C:$C,$A44,'NSE - Other Index Options'!$B:$B,B$4,'NSE - Other Index Options'!$H:$H,"Weekly*")+SUMIFS('NSE - Other Index Options'!$L:$L,'NSE - Other Index Options'!$C:$C,$A44,'NSE - Other Index Options'!$B:$B,B$4,'NSE - Other Index Options'!$H:$H,"MDAW*")=0,"",SUMIFS('NSE - NIFTY Index Options'!$L:$L,'NSE - NIFTY Index Options'!$C:$C,$A44,'NSE - NIFTY Index Options'!$B:$B,B$4,'NSE - NIFTY Index Options'!$H:$H,"Weekly*")+SUMIFS('NSE - NIFTY Index Options'!$L:$L,'NSE - NIFTY Index Options'!$C:$C,$A44,'NSE - NIFTY Index Options'!$B:$B,B$4,'NSE - NIFTY Index Options'!$H:$H,"MDAW*")+SUMIFS('NSE - Other Index Options'!$L:$L,'NSE - Other Index Options'!$C:$C,$A44,'NSE - Other Index Options'!$B:$B,B$4,'NSE - Other Index Options'!$H:$H,"Weekly*")+SUMIFS('NSE - Other Index Options'!$L:$L,'NSE - Other Index Options'!$C:$C,$A44,'NSE - Other Index Options'!$B:$B,B$4,'NSE - Other Index Options'!$H:$H,"MDAW*"))</f>
        <v>73373.06</v>
      </c>
      <c r="C44" s="26">
        <f>IF(SUMIFS('NSE - NIFTY Index Options'!$L:$L,'NSE - NIFTY Index Options'!$C:$C,$A44,'NSE - NIFTY Index Options'!$B:$B,C$4,'NSE - NIFTY Index Options'!$H:$H,"Weekly*")+SUMIFS('NSE - NIFTY Index Options'!$L:$L,'NSE - NIFTY Index Options'!$C:$C,$A44,'NSE - NIFTY Index Options'!$B:$B,C$4,'NSE - NIFTY Index Options'!$H:$H,"MDAW*")+SUMIFS('NSE - Other Index Options'!$L:$L,'NSE - Other Index Options'!$C:$C,$A44,'NSE - Other Index Options'!$B:$B,C$4,'NSE - Other Index Options'!$H:$H,"Weekly*")+SUMIFS('NSE - Other Index Options'!$L:$L,'NSE - Other Index Options'!$C:$C,$A44,'NSE - Other Index Options'!$B:$B,C$4,'NSE - Other Index Options'!$H:$H,"MDAW*")=0,"",SUMIFS('NSE - NIFTY Index Options'!$L:$L,'NSE - NIFTY Index Options'!$C:$C,$A44,'NSE - NIFTY Index Options'!$B:$B,C$4,'NSE - NIFTY Index Options'!$H:$H,"Weekly*")+SUMIFS('NSE - NIFTY Index Options'!$L:$L,'NSE - NIFTY Index Options'!$C:$C,$A44,'NSE - NIFTY Index Options'!$B:$B,C$4,'NSE - NIFTY Index Options'!$H:$H,"MDAW*")+SUMIFS('NSE - Other Index Options'!$L:$L,'NSE - Other Index Options'!$C:$C,$A44,'NSE - Other Index Options'!$B:$B,C$4,'NSE - Other Index Options'!$H:$H,"Weekly*")+SUMIFS('NSE - Other Index Options'!$L:$L,'NSE - Other Index Options'!$C:$C,$A44,'NSE - Other Index Options'!$B:$B,C$4,'NSE - Other Index Options'!$H:$H,"MDAW*"))</f>
        <v>79418.710000000006</v>
      </c>
      <c r="D44" s="26">
        <f>IF(SUMIFS('NSE - NIFTY Index Options'!$L:$L,'NSE - NIFTY Index Options'!$C:$C,$A44,'NSE - NIFTY Index Options'!$B:$B,D$4,'NSE - NIFTY Index Options'!$H:$H,"Weekly*")+SUMIFS('NSE - NIFTY Index Options'!$L:$L,'NSE - NIFTY Index Options'!$C:$C,$A44,'NSE - NIFTY Index Options'!$B:$B,D$4,'NSE - NIFTY Index Options'!$H:$H,"MDAW*")+SUMIFS('NSE - Other Index Options'!$L:$L,'NSE - Other Index Options'!$C:$C,$A44,'NSE - Other Index Options'!$B:$B,D$4,'NSE - Other Index Options'!$H:$H,"Weekly*")+SUMIFS('NSE - Other Index Options'!$L:$L,'NSE - Other Index Options'!$C:$C,$A44,'NSE - Other Index Options'!$B:$B,D$4,'NSE - Other Index Options'!$H:$H,"MDAW*")=0,"",SUMIFS('NSE - NIFTY Index Options'!$L:$L,'NSE - NIFTY Index Options'!$C:$C,$A44,'NSE - NIFTY Index Options'!$B:$B,D$4,'NSE - NIFTY Index Options'!$H:$H,"Weekly*")+SUMIFS('NSE - NIFTY Index Options'!$L:$L,'NSE - NIFTY Index Options'!$C:$C,$A44,'NSE - NIFTY Index Options'!$B:$B,D$4,'NSE - NIFTY Index Options'!$H:$H,"MDAW*")+SUMIFS('NSE - Other Index Options'!$L:$L,'NSE - Other Index Options'!$C:$C,$A44,'NSE - Other Index Options'!$B:$B,D$4,'NSE - Other Index Options'!$H:$H,"Weekly*")+SUMIFS('NSE - Other Index Options'!$L:$L,'NSE - Other Index Options'!$C:$C,$A44,'NSE - Other Index Options'!$B:$B,D$4,'NSE - Other Index Options'!$H:$H,"MDAW*"))</f>
        <v>40700.950000000004</v>
      </c>
      <c r="E44" s="26">
        <f>IF(SUMIFS('NSE - NIFTY Index Options'!$L:$L,'NSE - NIFTY Index Options'!$C:$C,$A44,'NSE - NIFTY Index Options'!$B:$B,E$4,'NSE - NIFTY Index Options'!$H:$H,"Weekly*")+SUMIFS('NSE - NIFTY Index Options'!$L:$L,'NSE - NIFTY Index Options'!$C:$C,$A44,'NSE - NIFTY Index Options'!$B:$B,E$4,'NSE - NIFTY Index Options'!$H:$H,"MDAW*")+SUMIFS('NSE - Other Index Options'!$L:$L,'NSE - Other Index Options'!$C:$C,$A44,'NSE - Other Index Options'!$B:$B,E$4,'NSE - Other Index Options'!$H:$H,"Weekly*")+SUMIFS('NSE - Other Index Options'!$L:$L,'NSE - Other Index Options'!$C:$C,$A44,'NSE - Other Index Options'!$B:$B,E$4,'NSE - Other Index Options'!$H:$H,"MDAW*")=0,"",SUMIFS('NSE - NIFTY Index Options'!$L:$L,'NSE - NIFTY Index Options'!$C:$C,$A44,'NSE - NIFTY Index Options'!$B:$B,E$4,'NSE - NIFTY Index Options'!$H:$H,"Weekly*")+SUMIFS('NSE - NIFTY Index Options'!$L:$L,'NSE - NIFTY Index Options'!$C:$C,$A44,'NSE - NIFTY Index Options'!$B:$B,E$4,'NSE - NIFTY Index Options'!$H:$H,"MDAW*")+SUMIFS('NSE - Other Index Options'!$L:$L,'NSE - Other Index Options'!$C:$C,$A44,'NSE - Other Index Options'!$B:$B,E$4,'NSE - Other Index Options'!$H:$H,"Weekly*")+SUMIFS('NSE - Other Index Options'!$L:$L,'NSE - Other Index Options'!$C:$C,$A44,'NSE - Other Index Options'!$B:$B,E$4,'NSE - Other Index Options'!$H:$H,"MDAW*"))</f>
        <v>32226.31</v>
      </c>
      <c r="F44" s="26" t="str">
        <f>IF(SUMIFS('NSE - NIFTY Index Options'!$L:$L,'NSE - NIFTY Index Options'!$C:$C,$A44,'NSE - NIFTY Index Options'!$B:$B,F$4,'NSE - NIFTY Index Options'!$H:$H,"Weekly*")+SUMIFS('NSE - NIFTY Index Options'!$L:$L,'NSE - NIFTY Index Options'!$C:$C,$A44,'NSE - NIFTY Index Options'!$B:$B,F$4,'NSE - NIFTY Index Options'!$H:$H,"MDAW*")+SUMIFS('NSE - Other Index Options'!$L:$L,'NSE - Other Index Options'!$C:$C,$A44,'NSE - Other Index Options'!$B:$B,F$4,'NSE - Other Index Options'!$H:$H,"Weekly*")+SUMIFS('NSE - Other Index Options'!$L:$L,'NSE - Other Index Options'!$C:$C,$A44,'NSE - Other Index Options'!$B:$B,F$4,'NSE - Other Index Options'!$H:$H,"MDAW*")=0,"",SUMIFS('NSE - NIFTY Index Options'!$L:$L,'NSE - NIFTY Index Options'!$C:$C,$A44,'NSE - NIFTY Index Options'!$B:$B,F$4,'NSE - NIFTY Index Options'!$H:$H,"Weekly*")+SUMIFS('NSE - NIFTY Index Options'!$L:$L,'NSE - NIFTY Index Options'!$C:$C,$A44,'NSE - NIFTY Index Options'!$B:$B,F$4,'NSE - NIFTY Index Options'!$H:$H,"MDAW*")+SUMIFS('NSE - Other Index Options'!$L:$L,'NSE - Other Index Options'!$C:$C,$A44,'NSE - Other Index Options'!$B:$B,F$4,'NSE - Other Index Options'!$H:$H,"Weekly*")+SUMIFS('NSE - Other Index Options'!$L:$L,'NSE - Other Index Options'!$C:$C,$A44,'NSE - Other Index Options'!$B:$B,F$4,'NSE - Other Index Options'!$H:$H,"MDAW*"))</f>
        <v/>
      </c>
      <c r="G44" s="26" t="str">
        <f>IF(SUMIFS('NSE - NIFTY Index Options'!$L:$L,'NSE - NIFTY Index Options'!$C:$C,$A44,'NSE - NIFTY Index Options'!$B:$B,G$4,'NSE - NIFTY Index Options'!$H:$H,"Weekly*")+SUMIFS('NSE - NIFTY Index Options'!$L:$L,'NSE - NIFTY Index Options'!$C:$C,$A44,'NSE - NIFTY Index Options'!$B:$B,G$4,'NSE - NIFTY Index Options'!$H:$H,"MDAW*")+SUMIFS('NSE - Other Index Options'!$L:$L,'NSE - Other Index Options'!$C:$C,$A44,'NSE - Other Index Options'!$B:$B,G$4,'NSE - Other Index Options'!$H:$H,"Weekly*")+SUMIFS('NSE - Other Index Options'!$L:$L,'NSE - Other Index Options'!$C:$C,$A44,'NSE - Other Index Options'!$B:$B,G$4,'NSE - Other Index Options'!$H:$H,"MDAW*")=0,"",SUMIFS('NSE - NIFTY Index Options'!$L:$L,'NSE - NIFTY Index Options'!$C:$C,$A44,'NSE - NIFTY Index Options'!$B:$B,G$4,'NSE - NIFTY Index Options'!$H:$H,"Weekly*")+SUMIFS('NSE - NIFTY Index Options'!$L:$L,'NSE - NIFTY Index Options'!$C:$C,$A44,'NSE - NIFTY Index Options'!$B:$B,G$4,'NSE - NIFTY Index Options'!$H:$H,"MDAW*")+SUMIFS('NSE - Other Index Options'!$L:$L,'NSE - Other Index Options'!$C:$C,$A44,'NSE - Other Index Options'!$B:$B,G$4,'NSE - Other Index Options'!$H:$H,"Weekly*")+SUMIFS('NSE - Other Index Options'!$L:$L,'NSE - Other Index Options'!$C:$C,$A44,'NSE - Other Index Options'!$B:$B,G$4,'NSE - Other Index Options'!$H:$H,"MDAW*"))</f>
        <v/>
      </c>
      <c r="H44" s="26">
        <f t="shared" si="1"/>
        <v>225719.03000000003</v>
      </c>
    </row>
    <row r="45" spans="1:8">
      <c r="A45" t="s">
        <v>50</v>
      </c>
      <c r="B45" s="26">
        <f>IF(SUMIFS('NSE - NIFTY Index Options'!$L:$L,'NSE - NIFTY Index Options'!$C:$C,$A45,'NSE - NIFTY Index Options'!$B:$B,B$4,'NSE - NIFTY Index Options'!$H:$H,"Weekly*")+SUMIFS('NSE - NIFTY Index Options'!$L:$L,'NSE - NIFTY Index Options'!$C:$C,$A45,'NSE - NIFTY Index Options'!$B:$B,B$4,'NSE - NIFTY Index Options'!$H:$H,"MDAW*")+SUMIFS('NSE - Other Index Options'!$L:$L,'NSE - Other Index Options'!$C:$C,$A45,'NSE - Other Index Options'!$B:$B,B$4,'NSE - Other Index Options'!$H:$H,"Weekly*")+SUMIFS('NSE - Other Index Options'!$L:$L,'NSE - Other Index Options'!$C:$C,$A45,'NSE - Other Index Options'!$B:$B,B$4,'NSE - Other Index Options'!$H:$H,"MDAW*")=0,"",SUMIFS('NSE - NIFTY Index Options'!$L:$L,'NSE - NIFTY Index Options'!$C:$C,$A45,'NSE - NIFTY Index Options'!$B:$B,B$4,'NSE - NIFTY Index Options'!$H:$H,"Weekly*")+SUMIFS('NSE - NIFTY Index Options'!$L:$L,'NSE - NIFTY Index Options'!$C:$C,$A45,'NSE - NIFTY Index Options'!$B:$B,B$4,'NSE - NIFTY Index Options'!$H:$H,"MDAW*")+SUMIFS('NSE - Other Index Options'!$L:$L,'NSE - Other Index Options'!$C:$C,$A45,'NSE - Other Index Options'!$B:$B,B$4,'NSE - Other Index Options'!$H:$H,"Weekly*")+SUMIFS('NSE - Other Index Options'!$L:$L,'NSE - Other Index Options'!$C:$C,$A45,'NSE - Other Index Options'!$B:$B,B$4,'NSE - Other Index Options'!$H:$H,"MDAW*"))</f>
        <v>56496.890000000007</v>
      </c>
      <c r="C45" s="26">
        <f>IF(SUMIFS('NSE - NIFTY Index Options'!$L:$L,'NSE - NIFTY Index Options'!$C:$C,$A45,'NSE - NIFTY Index Options'!$B:$B,C$4,'NSE - NIFTY Index Options'!$H:$H,"Weekly*")+SUMIFS('NSE - NIFTY Index Options'!$L:$L,'NSE - NIFTY Index Options'!$C:$C,$A45,'NSE - NIFTY Index Options'!$B:$B,C$4,'NSE - NIFTY Index Options'!$H:$H,"MDAW*")+SUMIFS('NSE - Other Index Options'!$L:$L,'NSE - Other Index Options'!$C:$C,$A45,'NSE - Other Index Options'!$B:$B,C$4,'NSE - Other Index Options'!$H:$H,"Weekly*")+SUMIFS('NSE - Other Index Options'!$L:$L,'NSE - Other Index Options'!$C:$C,$A45,'NSE - Other Index Options'!$B:$B,C$4,'NSE - Other Index Options'!$H:$H,"MDAW*")=0,"",SUMIFS('NSE - NIFTY Index Options'!$L:$L,'NSE - NIFTY Index Options'!$C:$C,$A45,'NSE - NIFTY Index Options'!$B:$B,C$4,'NSE - NIFTY Index Options'!$H:$H,"Weekly*")+SUMIFS('NSE - NIFTY Index Options'!$L:$L,'NSE - NIFTY Index Options'!$C:$C,$A45,'NSE - NIFTY Index Options'!$B:$B,C$4,'NSE - NIFTY Index Options'!$H:$H,"MDAW*")+SUMIFS('NSE - Other Index Options'!$L:$L,'NSE - Other Index Options'!$C:$C,$A45,'NSE - Other Index Options'!$B:$B,C$4,'NSE - Other Index Options'!$H:$H,"Weekly*")+SUMIFS('NSE - Other Index Options'!$L:$L,'NSE - Other Index Options'!$C:$C,$A45,'NSE - Other Index Options'!$B:$B,C$4,'NSE - Other Index Options'!$H:$H,"MDAW*"))</f>
        <v>72646.509999999995</v>
      </c>
      <c r="D45" s="26">
        <f>IF(SUMIFS('NSE - NIFTY Index Options'!$L:$L,'NSE - NIFTY Index Options'!$C:$C,$A45,'NSE - NIFTY Index Options'!$B:$B,D$4,'NSE - NIFTY Index Options'!$H:$H,"Weekly*")+SUMIFS('NSE - NIFTY Index Options'!$L:$L,'NSE - NIFTY Index Options'!$C:$C,$A45,'NSE - NIFTY Index Options'!$B:$B,D$4,'NSE - NIFTY Index Options'!$H:$H,"MDAW*")+SUMIFS('NSE - Other Index Options'!$L:$L,'NSE - Other Index Options'!$C:$C,$A45,'NSE - Other Index Options'!$B:$B,D$4,'NSE - Other Index Options'!$H:$H,"Weekly*")+SUMIFS('NSE - Other Index Options'!$L:$L,'NSE - Other Index Options'!$C:$C,$A45,'NSE - Other Index Options'!$B:$B,D$4,'NSE - Other Index Options'!$H:$H,"MDAW*")=0,"",SUMIFS('NSE - NIFTY Index Options'!$L:$L,'NSE - NIFTY Index Options'!$C:$C,$A45,'NSE - NIFTY Index Options'!$B:$B,D$4,'NSE - NIFTY Index Options'!$H:$H,"Weekly*")+SUMIFS('NSE - NIFTY Index Options'!$L:$L,'NSE - NIFTY Index Options'!$C:$C,$A45,'NSE - NIFTY Index Options'!$B:$B,D$4,'NSE - NIFTY Index Options'!$H:$H,"MDAW*")+SUMIFS('NSE - Other Index Options'!$L:$L,'NSE - Other Index Options'!$C:$C,$A45,'NSE - Other Index Options'!$B:$B,D$4,'NSE - Other Index Options'!$H:$H,"Weekly*")+SUMIFS('NSE - Other Index Options'!$L:$L,'NSE - Other Index Options'!$C:$C,$A45,'NSE - Other Index Options'!$B:$B,D$4,'NSE - Other Index Options'!$H:$H,"MDAW*"))</f>
        <v>40185.130000000005</v>
      </c>
      <c r="E45" s="26">
        <f>IF(SUMIFS('NSE - NIFTY Index Options'!$L:$L,'NSE - NIFTY Index Options'!$C:$C,$A45,'NSE - NIFTY Index Options'!$B:$B,E$4,'NSE - NIFTY Index Options'!$H:$H,"Weekly*")+SUMIFS('NSE - NIFTY Index Options'!$L:$L,'NSE - NIFTY Index Options'!$C:$C,$A45,'NSE - NIFTY Index Options'!$B:$B,E$4,'NSE - NIFTY Index Options'!$H:$H,"MDAW*")+SUMIFS('NSE - Other Index Options'!$L:$L,'NSE - Other Index Options'!$C:$C,$A45,'NSE - Other Index Options'!$B:$B,E$4,'NSE - Other Index Options'!$H:$H,"Weekly*")+SUMIFS('NSE - Other Index Options'!$L:$L,'NSE - Other Index Options'!$C:$C,$A45,'NSE - Other Index Options'!$B:$B,E$4,'NSE - Other Index Options'!$H:$H,"MDAW*")=0,"",SUMIFS('NSE - NIFTY Index Options'!$L:$L,'NSE - NIFTY Index Options'!$C:$C,$A45,'NSE - NIFTY Index Options'!$B:$B,E$4,'NSE - NIFTY Index Options'!$H:$H,"Weekly*")+SUMIFS('NSE - NIFTY Index Options'!$L:$L,'NSE - NIFTY Index Options'!$C:$C,$A45,'NSE - NIFTY Index Options'!$B:$B,E$4,'NSE - NIFTY Index Options'!$H:$H,"MDAW*")+SUMIFS('NSE - Other Index Options'!$L:$L,'NSE - Other Index Options'!$C:$C,$A45,'NSE - Other Index Options'!$B:$B,E$4,'NSE - Other Index Options'!$H:$H,"Weekly*")+SUMIFS('NSE - Other Index Options'!$L:$L,'NSE - Other Index Options'!$C:$C,$A45,'NSE - Other Index Options'!$B:$B,E$4,'NSE - Other Index Options'!$H:$H,"MDAW*"))</f>
        <v>31585.61</v>
      </c>
      <c r="F45" s="26">
        <f>IF(SUMIFS('NSE - NIFTY Index Options'!$L:$L,'NSE - NIFTY Index Options'!$C:$C,$A45,'NSE - NIFTY Index Options'!$B:$B,F$4,'NSE - NIFTY Index Options'!$H:$H,"Weekly*")+SUMIFS('NSE - NIFTY Index Options'!$L:$L,'NSE - NIFTY Index Options'!$C:$C,$A45,'NSE - NIFTY Index Options'!$B:$B,F$4,'NSE - NIFTY Index Options'!$H:$H,"MDAW*")+SUMIFS('NSE - Other Index Options'!$L:$L,'NSE - Other Index Options'!$C:$C,$A45,'NSE - Other Index Options'!$B:$B,F$4,'NSE - Other Index Options'!$H:$H,"Weekly*")+SUMIFS('NSE - Other Index Options'!$L:$L,'NSE - Other Index Options'!$C:$C,$A45,'NSE - Other Index Options'!$B:$B,F$4,'NSE - Other Index Options'!$H:$H,"MDAW*")=0,"",SUMIFS('NSE - NIFTY Index Options'!$L:$L,'NSE - NIFTY Index Options'!$C:$C,$A45,'NSE - NIFTY Index Options'!$B:$B,F$4,'NSE - NIFTY Index Options'!$H:$H,"Weekly*")+SUMIFS('NSE - NIFTY Index Options'!$L:$L,'NSE - NIFTY Index Options'!$C:$C,$A45,'NSE - NIFTY Index Options'!$B:$B,F$4,'NSE - NIFTY Index Options'!$H:$H,"MDAW*")+SUMIFS('NSE - Other Index Options'!$L:$L,'NSE - Other Index Options'!$C:$C,$A45,'NSE - Other Index Options'!$B:$B,F$4,'NSE - Other Index Options'!$H:$H,"Weekly*")+SUMIFS('NSE - Other Index Options'!$L:$L,'NSE - Other Index Options'!$C:$C,$A45,'NSE - Other Index Options'!$B:$B,F$4,'NSE - Other Index Options'!$H:$H,"MDAW*"))</f>
        <v>49110.03</v>
      </c>
      <c r="G45" s="26" t="str">
        <f>IF(SUMIFS('NSE - NIFTY Index Options'!$L:$L,'NSE - NIFTY Index Options'!$C:$C,$A45,'NSE - NIFTY Index Options'!$B:$B,G$4,'NSE - NIFTY Index Options'!$H:$H,"Weekly*")+SUMIFS('NSE - NIFTY Index Options'!$L:$L,'NSE - NIFTY Index Options'!$C:$C,$A45,'NSE - NIFTY Index Options'!$B:$B,G$4,'NSE - NIFTY Index Options'!$H:$H,"MDAW*")+SUMIFS('NSE - Other Index Options'!$L:$L,'NSE - Other Index Options'!$C:$C,$A45,'NSE - Other Index Options'!$B:$B,G$4,'NSE - Other Index Options'!$H:$H,"Weekly*")+SUMIFS('NSE - Other Index Options'!$L:$L,'NSE - Other Index Options'!$C:$C,$A45,'NSE - Other Index Options'!$B:$B,G$4,'NSE - Other Index Options'!$H:$H,"MDAW*")=0,"",SUMIFS('NSE - NIFTY Index Options'!$L:$L,'NSE - NIFTY Index Options'!$C:$C,$A45,'NSE - NIFTY Index Options'!$B:$B,G$4,'NSE - NIFTY Index Options'!$H:$H,"Weekly*")+SUMIFS('NSE - NIFTY Index Options'!$L:$L,'NSE - NIFTY Index Options'!$C:$C,$A45,'NSE - NIFTY Index Options'!$B:$B,G$4,'NSE - NIFTY Index Options'!$H:$H,"MDAW*")+SUMIFS('NSE - Other Index Options'!$L:$L,'NSE - Other Index Options'!$C:$C,$A45,'NSE - Other Index Options'!$B:$B,G$4,'NSE - Other Index Options'!$H:$H,"Weekly*")+SUMIFS('NSE - Other Index Options'!$L:$L,'NSE - Other Index Options'!$C:$C,$A45,'NSE - Other Index Options'!$B:$B,G$4,'NSE - Other Index Options'!$H:$H,"MDAW*"))</f>
        <v/>
      </c>
      <c r="H45" s="26">
        <f t="shared" si="1"/>
        <v>250024.17</v>
      </c>
    </row>
    <row r="46" spans="1:8">
      <c r="A46" t="s">
        <v>51</v>
      </c>
      <c r="B46" s="26">
        <f>IF(SUMIFS('NSE - NIFTY Index Options'!$L:$L,'NSE - NIFTY Index Options'!$C:$C,$A46,'NSE - NIFTY Index Options'!$B:$B,B$4,'NSE - NIFTY Index Options'!$H:$H,"Weekly*")+SUMIFS('NSE - NIFTY Index Options'!$L:$L,'NSE - NIFTY Index Options'!$C:$C,$A46,'NSE - NIFTY Index Options'!$B:$B,B$4,'NSE - NIFTY Index Options'!$H:$H,"MDAW*")+SUMIFS('NSE - Other Index Options'!$L:$L,'NSE - Other Index Options'!$C:$C,$A46,'NSE - Other Index Options'!$B:$B,B$4,'NSE - Other Index Options'!$H:$H,"Weekly*")+SUMIFS('NSE - Other Index Options'!$L:$L,'NSE - Other Index Options'!$C:$C,$A46,'NSE - Other Index Options'!$B:$B,B$4,'NSE - Other Index Options'!$H:$H,"MDAW*")=0,"",SUMIFS('NSE - NIFTY Index Options'!$L:$L,'NSE - NIFTY Index Options'!$C:$C,$A46,'NSE - NIFTY Index Options'!$B:$B,B$4,'NSE - NIFTY Index Options'!$H:$H,"Weekly*")+SUMIFS('NSE - NIFTY Index Options'!$L:$L,'NSE - NIFTY Index Options'!$C:$C,$A46,'NSE - NIFTY Index Options'!$B:$B,B$4,'NSE - NIFTY Index Options'!$H:$H,"MDAW*")+SUMIFS('NSE - Other Index Options'!$L:$L,'NSE - Other Index Options'!$C:$C,$A46,'NSE - Other Index Options'!$B:$B,B$4,'NSE - Other Index Options'!$H:$H,"Weekly*")+SUMIFS('NSE - Other Index Options'!$L:$L,'NSE - Other Index Options'!$C:$C,$A46,'NSE - Other Index Options'!$B:$B,B$4,'NSE - Other Index Options'!$H:$H,"MDAW*"))</f>
        <v>68507.850000000006</v>
      </c>
      <c r="C46" s="26">
        <f>IF(SUMIFS('NSE - NIFTY Index Options'!$L:$L,'NSE - NIFTY Index Options'!$C:$C,$A46,'NSE - NIFTY Index Options'!$B:$B,C$4,'NSE - NIFTY Index Options'!$H:$H,"Weekly*")+SUMIFS('NSE - NIFTY Index Options'!$L:$L,'NSE - NIFTY Index Options'!$C:$C,$A46,'NSE - NIFTY Index Options'!$B:$B,C$4,'NSE - NIFTY Index Options'!$H:$H,"MDAW*")+SUMIFS('NSE - Other Index Options'!$L:$L,'NSE - Other Index Options'!$C:$C,$A46,'NSE - Other Index Options'!$B:$B,C$4,'NSE - Other Index Options'!$H:$H,"Weekly*")+SUMIFS('NSE - Other Index Options'!$L:$L,'NSE - Other Index Options'!$C:$C,$A46,'NSE - Other Index Options'!$B:$B,C$4,'NSE - Other Index Options'!$H:$H,"MDAW*")=0,"",SUMIFS('NSE - NIFTY Index Options'!$L:$L,'NSE - NIFTY Index Options'!$C:$C,$A46,'NSE - NIFTY Index Options'!$B:$B,C$4,'NSE - NIFTY Index Options'!$H:$H,"Weekly*")+SUMIFS('NSE - NIFTY Index Options'!$L:$L,'NSE - NIFTY Index Options'!$C:$C,$A46,'NSE - NIFTY Index Options'!$B:$B,C$4,'NSE - NIFTY Index Options'!$H:$H,"MDAW*")+SUMIFS('NSE - Other Index Options'!$L:$L,'NSE - Other Index Options'!$C:$C,$A46,'NSE - Other Index Options'!$B:$B,C$4,'NSE - Other Index Options'!$H:$H,"Weekly*")+SUMIFS('NSE - Other Index Options'!$L:$L,'NSE - Other Index Options'!$C:$C,$A46,'NSE - Other Index Options'!$B:$B,C$4,'NSE - Other Index Options'!$H:$H,"MDAW*"))</f>
        <v>65810.979999999981</v>
      </c>
      <c r="D46" s="26">
        <f>IF(SUMIFS('NSE - NIFTY Index Options'!$L:$L,'NSE - NIFTY Index Options'!$C:$C,$A46,'NSE - NIFTY Index Options'!$B:$B,D$4,'NSE - NIFTY Index Options'!$H:$H,"Weekly*")+SUMIFS('NSE - NIFTY Index Options'!$L:$L,'NSE - NIFTY Index Options'!$C:$C,$A46,'NSE - NIFTY Index Options'!$B:$B,D$4,'NSE - NIFTY Index Options'!$H:$H,"MDAW*")+SUMIFS('NSE - Other Index Options'!$L:$L,'NSE - Other Index Options'!$C:$C,$A46,'NSE - Other Index Options'!$B:$B,D$4,'NSE - Other Index Options'!$H:$H,"Weekly*")+SUMIFS('NSE - Other Index Options'!$L:$L,'NSE - Other Index Options'!$C:$C,$A46,'NSE - Other Index Options'!$B:$B,D$4,'NSE - Other Index Options'!$H:$H,"MDAW*")=0,"",SUMIFS('NSE - NIFTY Index Options'!$L:$L,'NSE - NIFTY Index Options'!$C:$C,$A46,'NSE - NIFTY Index Options'!$B:$B,D$4,'NSE - NIFTY Index Options'!$H:$H,"Weekly*")+SUMIFS('NSE - NIFTY Index Options'!$L:$L,'NSE - NIFTY Index Options'!$C:$C,$A46,'NSE - NIFTY Index Options'!$B:$B,D$4,'NSE - NIFTY Index Options'!$H:$H,"MDAW*")+SUMIFS('NSE - Other Index Options'!$L:$L,'NSE - Other Index Options'!$C:$C,$A46,'NSE - Other Index Options'!$B:$B,D$4,'NSE - Other Index Options'!$H:$H,"Weekly*")+SUMIFS('NSE - Other Index Options'!$L:$L,'NSE - Other Index Options'!$C:$C,$A46,'NSE - Other Index Options'!$B:$B,D$4,'NSE - Other Index Options'!$H:$H,"MDAW*"))</f>
        <v>35297.519999999997</v>
      </c>
      <c r="E46" s="26">
        <f>IF(SUMIFS('NSE - NIFTY Index Options'!$L:$L,'NSE - NIFTY Index Options'!$C:$C,$A46,'NSE - NIFTY Index Options'!$B:$B,E$4,'NSE - NIFTY Index Options'!$H:$H,"Weekly*")+SUMIFS('NSE - NIFTY Index Options'!$L:$L,'NSE - NIFTY Index Options'!$C:$C,$A46,'NSE - NIFTY Index Options'!$B:$B,E$4,'NSE - NIFTY Index Options'!$H:$H,"MDAW*")+SUMIFS('NSE - Other Index Options'!$L:$L,'NSE - Other Index Options'!$C:$C,$A46,'NSE - Other Index Options'!$B:$B,E$4,'NSE - Other Index Options'!$H:$H,"Weekly*")+SUMIFS('NSE - Other Index Options'!$L:$L,'NSE - Other Index Options'!$C:$C,$A46,'NSE - Other Index Options'!$B:$B,E$4,'NSE - Other Index Options'!$H:$H,"MDAW*")=0,"",SUMIFS('NSE - NIFTY Index Options'!$L:$L,'NSE - NIFTY Index Options'!$C:$C,$A46,'NSE - NIFTY Index Options'!$B:$B,E$4,'NSE - NIFTY Index Options'!$H:$H,"Weekly*")+SUMIFS('NSE - NIFTY Index Options'!$L:$L,'NSE - NIFTY Index Options'!$C:$C,$A46,'NSE - NIFTY Index Options'!$B:$B,E$4,'NSE - NIFTY Index Options'!$H:$H,"MDAW*")+SUMIFS('NSE - Other Index Options'!$L:$L,'NSE - Other Index Options'!$C:$C,$A46,'NSE - Other Index Options'!$B:$B,E$4,'NSE - Other Index Options'!$H:$H,"Weekly*")+SUMIFS('NSE - Other Index Options'!$L:$L,'NSE - Other Index Options'!$C:$C,$A46,'NSE - Other Index Options'!$B:$B,E$4,'NSE - Other Index Options'!$H:$H,"MDAW*"))</f>
        <v>30156.37</v>
      </c>
      <c r="F46" s="26">
        <f>IF(SUMIFS('NSE - NIFTY Index Options'!$L:$L,'NSE - NIFTY Index Options'!$C:$C,$A46,'NSE - NIFTY Index Options'!$B:$B,F$4,'NSE - NIFTY Index Options'!$H:$H,"Weekly*")+SUMIFS('NSE - NIFTY Index Options'!$L:$L,'NSE - NIFTY Index Options'!$C:$C,$A46,'NSE - NIFTY Index Options'!$B:$B,F$4,'NSE - NIFTY Index Options'!$H:$H,"MDAW*")+SUMIFS('NSE - Other Index Options'!$L:$L,'NSE - Other Index Options'!$C:$C,$A46,'NSE - Other Index Options'!$B:$B,F$4,'NSE - Other Index Options'!$H:$H,"Weekly*")+SUMIFS('NSE - Other Index Options'!$L:$L,'NSE - Other Index Options'!$C:$C,$A46,'NSE - Other Index Options'!$B:$B,F$4,'NSE - Other Index Options'!$H:$H,"MDAW*")=0,"",SUMIFS('NSE - NIFTY Index Options'!$L:$L,'NSE - NIFTY Index Options'!$C:$C,$A46,'NSE - NIFTY Index Options'!$B:$B,F$4,'NSE - NIFTY Index Options'!$H:$H,"Weekly*")+SUMIFS('NSE - NIFTY Index Options'!$L:$L,'NSE - NIFTY Index Options'!$C:$C,$A46,'NSE - NIFTY Index Options'!$B:$B,F$4,'NSE - NIFTY Index Options'!$H:$H,"MDAW*")+SUMIFS('NSE - Other Index Options'!$L:$L,'NSE - Other Index Options'!$C:$C,$A46,'NSE - Other Index Options'!$B:$B,F$4,'NSE - Other Index Options'!$H:$H,"Weekly*")+SUMIFS('NSE - Other Index Options'!$L:$L,'NSE - Other Index Options'!$C:$C,$A46,'NSE - Other Index Options'!$B:$B,F$4,'NSE - Other Index Options'!$H:$H,"MDAW*"))</f>
        <v>57153.67</v>
      </c>
      <c r="G46" s="26" t="str">
        <f>IF(SUMIFS('NSE - NIFTY Index Options'!$L:$L,'NSE - NIFTY Index Options'!$C:$C,$A46,'NSE - NIFTY Index Options'!$B:$B,G$4,'NSE - NIFTY Index Options'!$H:$H,"Weekly*")+SUMIFS('NSE - NIFTY Index Options'!$L:$L,'NSE - NIFTY Index Options'!$C:$C,$A46,'NSE - NIFTY Index Options'!$B:$B,G$4,'NSE - NIFTY Index Options'!$H:$H,"MDAW*")+SUMIFS('NSE - Other Index Options'!$L:$L,'NSE - Other Index Options'!$C:$C,$A46,'NSE - Other Index Options'!$B:$B,G$4,'NSE - Other Index Options'!$H:$H,"Weekly*")+SUMIFS('NSE - Other Index Options'!$L:$L,'NSE - Other Index Options'!$C:$C,$A46,'NSE - Other Index Options'!$B:$B,G$4,'NSE - Other Index Options'!$H:$H,"MDAW*")=0,"",SUMIFS('NSE - NIFTY Index Options'!$L:$L,'NSE - NIFTY Index Options'!$C:$C,$A46,'NSE - NIFTY Index Options'!$B:$B,G$4,'NSE - NIFTY Index Options'!$H:$H,"Weekly*")+SUMIFS('NSE - NIFTY Index Options'!$L:$L,'NSE - NIFTY Index Options'!$C:$C,$A46,'NSE - NIFTY Index Options'!$B:$B,G$4,'NSE - NIFTY Index Options'!$H:$H,"MDAW*")+SUMIFS('NSE - Other Index Options'!$L:$L,'NSE - Other Index Options'!$C:$C,$A46,'NSE - Other Index Options'!$B:$B,G$4,'NSE - Other Index Options'!$H:$H,"Weekly*")+SUMIFS('NSE - Other Index Options'!$L:$L,'NSE - Other Index Options'!$C:$C,$A46,'NSE - Other Index Options'!$B:$B,G$4,'NSE - Other Index Options'!$H:$H,"MDAW*"))</f>
        <v/>
      </c>
      <c r="H46" s="26">
        <f t="shared" si="1"/>
        <v>256926.38999999996</v>
      </c>
    </row>
    <row r="47" spans="1:8">
      <c r="A47" t="s">
        <v>52</v>
      </c>
      <c r="B47" s="26">
        <f>IF(SUMIFS('NSE - NIFTY Index Options'!$L:$L,'NSE - NIFTY Index Options'!$C:$C,$A47,'NSE - NIFTY Index Options'!$B:$B,B$4,'NSE - NIFTY Index Options'!$H:$H,"Weekly*")+SUMIFS('NSE - NIFTY Index Options'!$L:$L,'NSE - NIFTY Index Options'!$C:$C,$A47,'NSE - NIFTY Index Options'!$B:$B,B$4,'NSE - NIFTY Index Options'!$H:$H,"MDAW*")+SUMIFS('NSE - Other Index Options'!$L:$L,'NSE - Other Index Options'!$C:$C,$A47,'NSE - Other Index Options'!$B:$B,B$4,'NSE - Other Index Options'!$H:$H,"Weekly*")+SUMIFS('NSE - Other Index Options'!$L:$L,'NSE - Other Index Options'!$C:$C,$A47,'NSE - Other Index Options'!$B:$B,B$4,'NSE - Other Index Options'!$H:$H,"MDAW*")=0,"",SUMIFS('NSE - NIFTY Index Options'!$L:$L,'NSE - NIFTY Index Options'!$C:$C,$A47,'NSE - NIFTY Index Options'!$B:$B,B$4,'NSE - NIFTY Index Options'!$H:$H,"Weekly*")+SUMIFS('NSE - NIFTY Index Options'!$L:$L,'NSE - NIFTY Index Options'!$C:$C,$A47,'NSE - NIFTY Index Options'!$B:$B,B$4,'NSE - NIFTY Index Options'!$H:$H,"MDAW*")+SUMIFS('NSE - Other Index Options'!$L:$L,'NSE - Other Index Options'!$C:$C,$A47,'NSE - Other Index Options'!$B:$B,B$4,'NSE - Other Index Options'!$H:$H,"Weekly*")+SUMIFS('NSE - Other Index Options'!$L:$L,'NSE - Other Index Options'!$C:$C,$A47,'NSE - Other Index Options'!$B:$B,B$4,'NSE - Other Index Options'!$H:$H,"MDAW*"))</f>
        <v>39856.54</v>
      </c>
      <c r="C47" s="26">
        <f>IF(SUMIFS('NSE - NIFTY Index Options'!$L:$L,'NSE - NIFTY Index Options'!$C:$C,$A47,'NSE - NIFTY Index Options'!$B:$B,C$4,'NSE - NIFTY Index Options'!$H:$H,"Weekly*")+SUMIFS('NSE - NIFTY Index Options'!$L:$L,'NSE - NIFTY Index Options'!$C:$C,$A47,'NSE - NIFTY Index Options'!$B:$B,C$4,'NSE - NIFTY Index Options'!$H:$H,"MDAW*")+SUMIFS('NSE - Other Index Options'!$L:$L,'NSE - Other Index Options'!$C:$C,$A47,'NSE - Other Index Options'!$B:$B,C$4,'NSE - Other Index Options'!$H:$H,"Weekly*")+SUMIFS('NSE - Other Index Options'!$L:$L,'NSE - Other Index Options'!$C:$C,$A47,'NSE - Other Index Options'!$B:$B,C$4,'NSE - Other Index Options'!$H:$H,"MDAW*")=0,"",SUMIFS('NSE - NIFTY Index Options'!$L:$L,'NSE - NIFTY Index Options'!$C:$C,$A47,'NSE - NIFTY Index Options'!$B:$B,C$4,'NSE - NIFTY Index Options'!$H:$H,"Weekly*")+SUMIFS('NSE - NIFTY Index Options'!$L:$L,'NSE - NIFTY Index Options'!$C:$C,$A47,'NSE - NIFTY Index Options'!$B:$B,C$4,'NSE - NIFTY Index Options'!$H:$H,"MDAW*")+SUMIFS('NSE - Other Index Options'!$L:$L,'NSE - Other Index Options'!$C:$C,$A47,'NSE - Other Index Options'!$B:$B,C$4,'NSE - Other Index Options'!$H:$H,"Weekly*")+SUMIFS('NSE - Other Index Options'!$L:$L,'NSE - Other Index Options'!$C:$C,$A47,'NSE - Other Index Options'!$B:$B,C$4,'NSE - Other Index Options'!$H:$H,"MDAW*"))</f>
        <v>54422.19</v>
      </c>
      <c r="D47" s="26">
        <f>IF(SUMIFS('NSE - NIFTY Index Options'!$L:$L,'NSE - NIFTY Index Options'!$C:$C,$A47,'NSE - NIFTY Index Options'!$B:$B,D$4,'NSE - NIFTY Index Options'!$H:$H,"Weekly*")+SUMIFS('NSE - NIFTY Index Options'!$L:$L,'NSE - NIFTY Index Options'!$C:$C,$A47,'NSE - NIFTY Index Options'!$B:$B,D$4,'NSE - NIFTY Index Options'!$H:$H,"MDAW*")+SUMIFS('NSE - Other Index Options'!$L:$L,'NSE - Other Index Options'!$C:$C,$A47,'NSE - Other Index Options'!$B:$B,D$4,'NSE - Other Index Options'!$H:$H,"Weekly*")+SUMIFS('NSE - Other Index Options'!$L:$L,'NSE - Other Index Options'!$C:$C,$A47,'NSE - Other Index Options'!$B:$B,D$4,'NSE - Other Index Options'!$H:$H,"MDAW*")=0,"",SUMIFS('NSE - NIFTY Index Options'!$L:$L,'NSE - NIFTY Index Options'!$C:$C,$A47,'NSE - NIFTY Index Options'!$B:$B,D$4,'NSE - NIFTY Index Options'!$H:$H,"Weekly*")+SUMIFS('NSE - NIFTY Index Options'!$L:$L,'NSE - NIFTY Index Options'!$C:$C,$A47,'NSE - NIFTY Index Options'!$B:$B,D$4,'NSE - NIFTY Index Options'!$H:$H,"MDAW*")+SUMIFS('NSE - Other Index Options'!$L:$L,'NSE - Other Index Options'!$C:$C,$A47,'NSE - Other Index Options'!$B:$B,D$4,'NSE - Other Index Options'!$H:$H,"Weekly*")+SUMIFS('NSE - Other Index Options'!$L:$L,'NSE - Other Index Options'!$C:$C,$A47,'NSE - Other Index Options'!$B:$B,D$4,'NSE - Other Index Options'!$H:$H,"MDAW*"))</f>
        <v>22255.54</v>
      </c>
      <c r="E47" s="26" t="str">
        <f>IF(SUMIFS('NSE - NIFTY Index Options'!$L:$L,'NSE - NIFTY Index Options'!$C:$C,$A47,'NSE - NIFTY Index Options'!$B:$B,E$4,'NSE - NIFTY Index Options'!$H:$H,"Weekly*")+SUMIFS('NSE - NIFTY Index Options'!$L:$L,'NSE - NIFTY Index Options'!$C:$C,$A47,'NSE - NIFTY Index Options'!$B:$B,E$4,'NSE - NIFTY Index Options'!$H:$H,"MDAW*")+SUMIFS('NSE - Other Index Options'!$L:$L,'NSE - Other Index Options'!$C:$C,$A47,'NSE - Other Index Options'!$B:$B,E$4,'NSE - Other Index Options'!$H:$H,"Weekly*")+SUMIFS('NSE - Other Index Options'!$L:$L,'NSE - Other Index Options'!$C:$C,$A47,'NSE - Other Index Options'!$B:$B,E$4,'NSE - Other Index Options'!$H:$H,"MDAW*")=0,"",SUMIFS('NSE - NIFTY Index Options'!$L:$L,'NSE - NIFTY Index Options'!$C:$C,$A47,'NSE - NIFTY Index Options'!$B:$B,E$4,'NSE - NIFTY Index Options'!$H:$H,"Weekly*")+SUMIFS('NSE - NIFTY Index Options'!$L:$L,'NSE - NIFTY Index Options'!$C:$C,$A47,'NSE - NIFTY Index Options'!$B:$B,E$4,'NSE - NIFTY Index Options'!$H:$H,"MDAW*")+SUMIFS('NSE - Other Index Options'!$L:$L,'NSE - Other Index Options'!$C:$C,$A47,'NSE - Other Index Options'!$B:$B,E$4,'NSE - Other Index Options'!$H:$H,"Weekly*")+SUMIFS('NSE - Other Index Options'!$L:$L,'NSE - Other Index Options'!$C:$C,$A47,'NSE - Other Index Options'!$B:$B,E$4,'NSE - Other Index Options'!$H:$H,"MDAW*"))</f>
        <v/>
      </c>
      <c r="F47" s="26">
        <f>IF(SUMIFS('NSE - NIFTY Index Options'!$L:$L,'NSE - NIFTY Index Options'!$C:$C,$A47,'NSE - NIFTY Index Options'!$B:$B,F$4,'NSE - NIFTY Index Options'!$H:$H,"Weekly*")+SUMIFS('NSE - NIFTY Index Options'!$L:$L,'NSE - NIFTY Index Options'!$C:$C,$A47,'NSE - NIFTY Index Options'!$B:$B,F$4,'NSE - NIFTY Index Options'!$H:$H,"MDAW*")+SUMIFS('NSE - Other Index Options'!$L:$L,'NSE - Other Index Options'!$C:$C,$A47,'NSE - Other Index Options'!$B:$B,F$4,'NSE - Other Index Options'!$H:$H,"Weekly*")+SUMIFS('NSE - Other Index Options'!$L:$L,'NSE - Other Index Options'!$C:$C,$A47,'NSE - Other Index Options'!$B:$B,F$4,'NSE - Other Index Options'!$H:$H,"MDAW*")=0,"",SUMIFS('NSE - NIFTY Index Options'!$L:$L,'NSE - NIFTY Index Options'!$C:$C,$A47,'NSE - NIFTY Index Options'!$B:$B,F$4,'NSE - NIFTY Index Options'!$H:$H,"Weekly*")+SUMIFS('NSE - NIFTY Index Options'!$L:$L,'NSE - NIFTY Index Options'!$C:$C,$A47,'NSE - NIFTY Index Options'!$B:$B,F$4,'NSE - NIFTY Index Options'!$H:$H,"MDAW*")+SUMIFS('NSE - Other Index Options'!$L:$L,'NSE - Other Index Options'!$C:$C,$A47,'NSE - Other Index Options'!$B:$B,F$4,'NSE - Other Index Options'!$H:$H,"Weekly*")+SUMIFS('NSE - Other Index Options'!$L:$L,'NSE - Other Index Options'!$C:$C,$A47,'NSE - Other Index Options'!$B:$B,F$4,'NSE - Other Index Options'!$H:$H,"MDAW*"))</f>
        <v>44329.75</v>
      </c>
      <c r="G47" s="26" t="str">
        <f>IF(SUMIFS('NSE - NIFTY Index Options'!$L:$L,'NSE - NIFTY Index Options'!$C:$C,$A47,'NSE - NIFTY Index Options'!$B:$B,G$4,'NSE - NIFTY Index Options'!$H:$H,"Weekly*")+SUMIFS('NSE - NIFTY Index Options'!$L:$L,'NSE - NIFTY Index Options'!$C:$C,$A47,'NSE - NIFTY Index Options'!$B:$B,G$4,'NSE - NIFTY Index Options'!$H:$H,"MDAW*")+SUMIFS('NSE - Other Index Options'!$L:$L,'NSE - Other Index Options'!$C:$C,$A47,'NSE - Other Index Options'!$B:$B,G$4,'NSE - Other Index Options'!$H:$H,"Weekly*")+SUMIFS('NSE - Other Index Options'!$L:$L,'NSE - Other Index Options'!$C:$C,$A47,'NSE - Other Index Options'!$B:$B,G$4,'NSE - Other Index Options'!$H:$H,"MDAW*")=0,"",SUMIFS('NSE - NIFTY Index Options'!$L:$L,'NSE - NIFTY Index Options'!$C:$C,$A47,'NSE - NIFTY Index Options'!$B:$B,G$4,'NSE - NIFTY Index Options'!$H:$H,"Weekly*")+SUMIFS('NSE - NIFTY Index Options'!$L:$L,'NSE - NIFTY Index Options'!$C:$C,$A47,'NSE - NIFTY Index Options'!$B:$B,G$4,'NSE - NIFTY Index Options'!$H:$H,"MDAW*")+SUMIFS('NSE - Other Index Options'!$L:$L,'NSE - Other Index Options'!$C:$C,$A47,'NSE - Other Index Options'!$B:$B,G$4,'NSE - Other Index Options'!$H:$H,"Weekly*")+SUMIFS('NSE - Other Index Options'!$L:$L,'NSE - Other Index Options'!$C:$C,$A47,'NSE - Other Index Options'!$B:$B,G$4,'NSE - Other Index Options'!$H:$H,"MDAW*"))</f>
        <v/>
      </c>
      <c r="H47" s="26">
        <f t="shared" si="1"/>
        <v>160864.02000000002</v>
      </c>
    </row>
    <row r="48" spans="1:8">
      <c r="A48" t="s">
        <v>53</v>
      </c>
      <c r="B48" s="26" t="str">
        <f>IF(SUMIFS('NSE - NIFTY Index Options'!$L:$L,'NSE - NIFTY Index Options'!$C:$C,$A48,'NSE - NIFTY Index Options'!$B:$B,B$4,'NSE - NIFTY Index Options'!$H:$H,"Weekly*")+SUMIFS('NSE - NIFTY Index Options'!$L:$L,'NSE - NIFTY Index Options'!$C:$C,$A48,'NSE - NIFTY Index Options'!$B:$B,B$4,'NSE - NIFTY Index Options'!$H:$H,"MDAW*")+SUMIFS('NSE - Other Index Options'!$L:$L,'NSE - Other Index Options'!$C:$C,$A48,'NSE - Other Index Options'!$B:$B,B$4,'NSE - Other Index Options'!$H:$H,"Weekly*")+SUMIFS('NSE - Other Index Options'!$L:$L,'NSE - Other Index Options'!$C:$C,$A48,'NSE - Other Index Options'!$B:$B,B$4,'NSE - Other Index Options'!$H:$H,"MDAW*")=0,"",SUMIFS('NSE - NIFTY Index Options'!$L:$L,'NSE - NIFTY Index Options'!$C:$C,$A48,'NSE - NIFTY Index Options'!$B:$B,B$4,'NSE - NIFTY Index Options'!$H:$H,"Weekly*")+SUMIFS('NSE - NIFTY Index Options'!$L:$L,'NSE - NIFTY Index Options'!$C:$C,$A48,'NSE - NIFTY Index Options'!$B:$B,B$4,'NSE - NIFTY Index Options'!$H:$H,"MDAW*")+SUMIFS('NSE - Other Index Options'!$L:$L,'NSE - Other Index Options'!$C:$C,$A48,'NSE - Other Index Options'!$B:$B,B$4,'NSE - Other Index Options'!$H:$H,"Weekly*")+SUMIFS('NSE - Other Index Options'!$L:$L,'NSE - Other Index Options'!$C:$C,$A48,'NSE - Other Index Options'!$B:$B,B$4,'NSE - Other Index Options'!$H:$H,"MDAW*"))</f>
        <v/>
      </c>
      <c r="C48" s="26" t="str">
        <f>IF(SUMIFS('NSE - NIFTY Index Options'!$L:$L,'NSE - NIFTY Index Options'!$C:$C,$A48,'NSE - NIFTY Index Options'!$B:$B,C$4,'NSE - NIFTY Index Options'!$H:$H,"Weekly*")+SUMIFS('NSE - NIFTY Index Options'!$L:$L,'NSE - NIFTY Index Options'!$C:$C,$A48,'NSE - NIFTY Index Options'!$B:$B,C$4,'NSE - NIFTY Index Options'!$H:$H,"MDAW*")+SUMIFS('NSE - Other Index Options'!$L:$L,'NSE - Other Index Options'!$C:$C,$A48,'NSE - Other Index Options'!$B:$B,C$4,'NSE - Other Index Options'!$H:$H,"Weekly*")+SUMIFS('NSE - Other Index Options'!$L:$L,'NSE - Other Index Options'!$C:$C,$A48,'NSE - Other Index Options'!$B:$B,C$4,'NSE - Other Index Options'!$H:$H,"MDAW*")=0,"",SUMIFS('NSE - NIFTY Index Options'!$L:$L,'NSE - NIFTY Index Options'!$C:$C,$A48,'NSE - NIFTY Index Options'!$B:$B,C$4,'NSE - NIFTY Index Options'!$H:$H,"Weekly*")+SUMIFS('NSE - NIFTY Index Options'!$L:$L,'NSE - NIFTY Index Options'!$C:$C,$A48,'NSE - NIFTY Index Options'!$B:$B,C$4,'NSE - NIFTY Index Options'!$H:$H,"MDAW*")+SUMIFS('NSE - Other Index Options'!$L:$L,'NSE - Other Index Options'!$C:$C,$A48,'NSE - Other Index Options'!$B:$B,C$4,'NSE - Other Index Options'!$H:$H,"Weekly*")+SUMIFS('NSE - Other Index Options'!$L:$L,'NSE - Other Index Options'!$C:$C,$A48,'NSE - Other Index Options'!$B:$B,C$4,'NSE - Other Index Options'!$H:$H,"MDAW*"))</f>
        <v/>
      </c>
      <c r="D48" s="26" t="str">
        <f>IF(SUMIFS('NSE - NIFTY Index Options'!$L:$L,'NSE - NIFTY Index Options'!$C:$C,$A48,'NSE - NIFTY Index Options'!$B:$B,D$4,'NSE - NIFTY Index Options'!$H:$H,"Weekly*")+SUMIFS('NSE - NIFTY Index Options'!$L:$L,'NSE - NIFTY Index Options'!$C:$C,$A48,'NSE - NIFTY Index Options'!$B:$B,D$4,'NSE - NIFTY Index Options'!$H:$H,"MDAW*")+SUMIFS('NSE - Other Index Options'!$L:$L,'NSE - Other Index Options'!$C:$C,$A48,'NSE - Other Index Options'!$B:$B,D$4,'NSE - Other Index Options'!$H:$H,"Weekly*")+SUMIFS('NSE - Other Index Options'!$L:$L,'NSE - Other Index Options'!$C:$C,$A48,'NSE - Other Index Options'!$B:$B,D$4,'NSE - Other Index Options'!$H:$H,"MDAW*")=0,"",SUMIFS('NSE - NIFTY Index Options'!$L:$L,'NSE - NIFTY Index Options'!$C:$C,$A48,'NSE - NIFTY Index Options'!$B:$B,D$4,'NSE - NIFTY Index Options'!$H:$H,"Weekly*")+SUMIFS('NSE - NIFTY Index Options'!$L:$L,'NSE - NIFTY Index Options'!$C:$C,$A48,'NSE - NIFTY Index Options'!$B:$B,D$4,'NSE - NIFTY Index Options'!$H:$H,"MDAW*")+SUMIFS('NSE - Other Index Options'!$L:$L,'NSE - Other Index Options'!$C:$C,$A48,'NSE - Other Index Options'!$B:$B,D$4,'NSE - Other Index Options'!$H:$H,"Weekly*")+SUMIFS('NSE - Other Index Options'!$L:$L,'NSE - Other Index Options'!$C:$C,$A48,'NSE - Other Index Options'!$B:$B,D$4,'NSE - Other Index Options'!$H:$H,"MDAW*"))</f>
        <v/>
      </c>
      <c r="E48" s="26" t="str">
        <f>IF(SUMIFS('NSE - NIFTY Index Options'!$L:$L,'NSE - NIFTY Index Options'!$C:$C,$A48,'NSE - NIFTY Index Options'!$B:$B,E$4,'NSE - NIFTY Index Options'!$H:$H,"Weekly*")+SUMIFS('NSE - NIFTY Index Options'!$L:$L,'NSE - NIFTY Index Options'!$C:$C,$A48,'NSE - NIFTY Index Options'!$B:$B,E$4,'NSE - NIFTY Index Options'!$H:$H,"MDAW*")+SUMIFS('NSE - Other Index Options'!$L:$L,'NSE - Other Index Options'!$C:$C,$A48,'NSE - Other Index Options'!$B:$B,E$4,'NSE - Other Index Options'!$H:$H,"Weekly*")+SUMIFS('NSE - Other Index Options'!$L:$L,'NSE - Other Index Options'!$C:$C,$A48,'NSE - Other Index Options'!$B:$B,E$4,'NSE - Other Index Options'!$H:$H,"MDAW*")=0,"",SUMIFS('NSE - NIFTY Index Options'!$L:$L,'NSE - NIFTY Index Options'!$C:$C,$A48,'NSE - NIFTY Index Options'!$B:$B,E$4,'NSE - NIFTY Index Options'!$H:$H,"Weekly*")+SUMIFS('NSE - NIFTY Index Options'!$L:$L,'NSE - NIFTY Index Options'!$C:$C,$A48,'NSE - NIFTY Index Options'!$B:$B,E$4,'NSE - NIFTY Index Options'!$H:$H,"MDAW*")+SUMIFS('NSE - Other Index Options'!$L:$L,'NSE - Other Index Options'!$C:$C,$A48,'NSE - Other Index Options'!$B:$B,E$4,'NSE - Other Index Options'!$H:$H,"Weekly*")+SUMIFS('NSE - Other Index Options'!$L:$L,'NSE - Other Index Options'!$C:$C,$A48,'NSE - Other Index Options'!$B:$B,E$4,'NSE - Other Index Options'!$H:$H,"MDAW*"))</f>
        <v/>
      </c>
      <c r="F48" s="26">
        <f>IF(SUMIFS('NSE - NIFTY Index Options'!$L:$L,'NSE - NIFTY Index Options'!$C:$C,$A48,'NSE - NIFTY Index Options'!$B:$B,F$4,'NSE - NIFTY Index Options'!$H:$H,"Weekly*")+SUMIFS('NSE - NIFTY Index Options'!$L:$L,'NSE - NIFTY Index Options'!$C:$C,$A48,'NSE - NIFTY Index Options'!$B:$B,F$4,'NSE - NIFTY Index Options'!$H:$H,"MDAW*")+SUMIFS('NSE - Other Index Options'!$L:$L,'NSE - Other Index Options'!$C:$C,$A48,'NSE - Other Index Options'!$B:$B,F$4,'NSE - Other Index Options'!$H:$H,"Weekly*")+SUMIFS('NSE - Other Index Options'!$L:$L,'NSE - Other Index Options'!$C:$C,$A48,'NSE - Other Index Options'!$B:$B,F$4,'NSE - Other Index Options'!$H:$H,"MDAW*")=0,"",SUMIFS('NSE - NIFTY Index Options'!$L:$L,'NSE - NIFTY Index Options'!$C:$C,$A48,'NSE - NIFTY Index Options'!$B:$B,F$4,'NSE - NIFTY Index Options'!$H:$H,"Weekly*")+SUMIFS('NSE - NIFTY Index Options'!$L:$L,'NSE - NIFTY Index Options'!$C:$C,$A48,'NSE - NIFTY Index Options'!$B:$B,F$4,'NSE - NIFTY Index Options'!$H:$H,"MDAW*")+SUMIFS('NSE - Other Index Options'!$L:$L,'NSE - Other Index Options'!$C:$C,$A48,'NSE - Other Index Options'!$B:$B,F$4,'NSE - Other Index Options'!$H:$H,"Weekly*")+SUMIFS('NSE - Other Index Options'!$L:$L,'NSE - Other Index Options'!$C:$C,$A48,'NSE - Other Index Options'!$B:$B,F$4,'NSE - Other Index Options'!$H:$H,"MDAW*"))</f>
        <v>51418.719999999987</v>
      </c>
      <c r="G48" s="26" t="str">
        <f>IF(SUMIFS('NSE - NIFTY Index Options'!$L:$L,'NSE - NIFTY Index Options'!$C:$C,$A48,'NSE - NIFTY Index Options'!$B:$B,G$4,'NSE - NIFTY Index Options'!$H:$H,"Weekly*")+SUMIFS('NSE - NIFTY Index Options'!$L:$L,'NSE - NIFTY Index Options'!$C:$C,$A48,'NSE - NIFTY Index Options'!$B:$B,G$4,'NSE - NIFTY Index Options'!$H:$H,"MDAW*")+SUMIFS('NSE - Other Index Options'!$L:$L,'NSE - Other Index Options'!$C:$C,$A48,'NSE - Other Index Options'!$B:$B,G$4,'NSE - Other Index Options'!$H:$H,"Weekly*")+SUMIFS('NSE - Other Index Options'!$L:$L,'NSE - Other Index Options'!$C:$C,$A48,'NSE - Other Index Options'!$B:$B,G$4,'NSE - Other Index Options'!$H:$H,"MDAW*")=0,"",SUMIFS('NSE - NIFTY Index Options'!$L:$L,'NSE - NIFTY Index Options'!$C:$C,$A48,'NSE - NIFTY Index Options'!$B:$B,G$4,'NSE - NIFTY Index Options'!$H:$H,"Weekly*")+SUMIFS('NSE - NIFTY Index Options'!$L:$L,'NSE - NIFTY Index Options'!$C:$C,$A48,'NSE - NIFTY Index Options'!$B:$B,G$4,'NSE - NIFTY Index Options'!$H:$H,"MDAW*")+SUMIFS('NSE - Other Index Options'!$L:$L,'NSE - Other Index Options'!$C:$C,$A48,'NSE - Other Index Options'!$B:$B,G$4,'NSE - Other Index Options'!$H:$H,"Weekly*")+SUMIFS('NSE - Other Index Options'!$L:$L,'NSE - Other Index Options'!$C:$C,$A48,'NSE - Other Index Options'!$B:$B,G$4,'NSE - Other Index Options'!$H:$H,"MDAW*"))</f>
        <v/>
      </c>
      <c r="H48" s="26">
        <f t="shared" si="1"/>
        <v>51418.719999999987</v>
      </c>
    </row>
    <row r="49" spans="1:8">
      <c r="A49" t="s">
        <v>54</v>
      </c>
      <c r="B49" s="26">
        <f>IF(SUMIFS('NSE - NIFTY Index Options'!$L:$L,'NSE - NIFTY Index Options'!$C:$C,$A49,'NSE - NIFTY Index Options'!$B:$B,B$4,'NSE - NIFTY Index Options'!$H:$H,"Weekly*")+SUMIFS('NSE - NIFTY Index Options'!$L:$L,'NSE - NIFTY Index Options'!$C:$C,$A49,'NSE - NIFTY Index Options'!$B:$B,B$4,'NSE - NIFTY Index Options'!$H:$H,"MDAW*")+SUMIFS('NSE - Other Index Options'!$L:$L,'NSE - Other Index Options'!$C:$C,$A49,'NSE - Other Index Options'!$B:$B,B$4,'NSE - Other Index Options'!$H:$H,"Weekly*")+SUMIFS('NSE - Other Index Options'!$L:$L,'NSE - Other Index Options'!$C:$C,$A49,'NSE - Other Index Options'!$B:$B,B$4,'NSE - Other Index Options'!$H:$H,"MDAW*")=0,"",SUMIFS('NSE - NIFTY Index Options'!$L:$L,'NSE - NIFTY Index Options'!$C:$C,$A49,'NSE - NIFTY Index Options'!$B:$B,B$4,'NSE - NIFTY Index Options'!$H:$H,"Weekly*")+SUMIFS('NSE - NIFTY Index Options'!$L:$L,'NSE - NIFTY Index Options'!$C:$C,$A49,'NSE - NIFTY Index Options'!$B:$B,B$4,'NSE - NIFTY Index Options'!$H:$H,"MDAW*")+SUMIFS('NSE - Other Index Options'!$L:$L,'NSE - Other Index Options'!$C:$C,$A49,'NSE - Other Index Options'!$B:$B,B$4,'NSE - Other Index Options'!$H:$H,"Weekly*")+SUMIFS('NSE - Other Index Options'!$L:$L,'NSE - Other Index Options'!$C:$C,$A49,'NSE - Other Index Options'!$B:$B,B$4,'NSE - Other Index Options'!$H:$H,"MDAW*"))</f>
        <v>59020.479999999996</v>
      </c>
      <c r="C49" s="26">
        <f>IF(SUMIFS('NSE - NIFTY Index Options'!$L:$L,'NSE - NIFTY Index Options'!$C:$C,$A49,'NSE - NIFTY Index Options'!$B:$B,C$4,'NSE - NIFTY Index Options'!$H:$H,"Weekly*")+SUMIFS('NSE - NIFTY Index Options'!$L:$L,'NSE - NIFTY Index Options'!$C:$C,$A49,'NSE - NIFTY Index Options'!$B:$B,C$4,'NSE - NIFTY Index Options'!$H:$H,"MDAW*")+SUMIFS('NSE - Other Index Options'!$L:$L,'NSE - Other Index Options'!$C:$C,$A49,'NSE - Other Index Options'!$B:$B,C$4,'NSE - Other Index Options'!$H:$H,"Weekly*")+SUMIFS('NSE - Other Index Options'!$L:$L,'NSE - Other Index Options'!$C:$C,$A49,'NSE - Other Index Options'!$B:$B,C$4,'NSE - Other Index Options'!$H:$H,"MDAW*")=0,"",SUMIFS('NSE - NIFTY Index Options'!$L:$L,'NSE - NIFTY Index Options'!$C:$C,$A49,'NSE - NIFTY Index Options'!$B:$B,C$4,'NSE - NIFTY Index Options'!$H:$H,"Weekly*")+SUMIFS('NSE - NIFTY Index Options'!$L:$L,'NSE - NIFTY Index Options'!$C:$C,$A49,'NSE - NIFTY Index Options'!$B:$B,C$4,'NSE - NIFTY Index Options'!$H:$H,"MDAW*")+SUMIFS('NSE - Other Index Options'!$L:$L,'NSE - Other Index Options'!$C:$C,$A49,'NSE - Other Index Options'!$B:$B,C$4,'NSE - Other Index Options'!$H:$H,"Weekly*")+SUMIFS('NSE - Other Index Options'!$L:$L,'NSE - Other Index Options'!$C:$C,$A49,'NSE - Other Index Options'!$B:$B,C$4,'NSE - Other Index Options'!$H:$H,"MDAW*"))</f>
        <v>85562.58</v>
      </c>
      <c r="D49" s="26">
        <f>IF(SUMIFS('NSE - NIFTY Index Options'!$L:$L,'NSE - NIFTY Index Options'!$C:$C,$A49,'NSE - NIFTY Index Options'!$B:$B,D$4,'NSE - NIFTY Index Options'!$H:$H,"Weekly*")+SUMIFS('NSE - NIFTY Index Options'!$L:$L,'NSE - NIFTY Index Options'!$C:$C,$A49,'NSE - NIFTY Index Options'!$B:$B,D$4,'NSE - NIFTY Index Options'!$H:$H,"MDAW*")+SUMIFS('NSE - Other Index Options'!$L:$L,'NSE - Other Index Options'!$C:$C,$A49,'NSE - Other Index Options'!$B:$B,D$4,'NSE - Other Index Options'!$H:$H,"Weekly*")+SUMIFS('NSE - Other Index Options'!$L:$L,'NSE - Other Index Options'!$C:$C,$A49,'NSE - Other Index Options'!$B:$B,D$4,'NSE - Other Index Options'!$H:$H,"MDAW*")=0,"",SUMIFS('NSE - NIFTY Index Options'!$L:$L,'NSE - NIFTY Index Options'!$C:$C,$A49,'NSE - NIFTY Index Options'!$B:$B,D$4,'NSE - NIFTY Index Options'!$H:$H,"Weekly*")+SUMIFS('NSE - NIFTY Index Options'!$L:$L,'NSE - NIFTY Index Options'!$C:$C,$A49,'NSE - NIFTY Index Options'!$B:$B,D$4,'NSE - NIFTY Index Options'!$H:$H,"MDAW*")+SUMIFS('NSE - Other Index Options'!$L:$L,'NSE - Other Index Options'!$C:$C,$A49,'NSE - Other Index Options'!$B:$B,D$4,'NSE - Other Index Options'!$H:$H,"Weekly*")+SUMIFS('NSE - Other Index Options'!$L:$L,'NSE - Other Index Options'!$C:$C,$A49,'NSE - Other Index Options'!$B:$B,D$4,'NSE - Other Index Options'!$H:$H,"MDAW*"))</f>
        <v>44130.49</v>
      </c>
      <c r="E49" s="26">
        <f>IF(SUMIFS('NSE - NIFTY Index Options'!$L:$L,'NSE - NIFTY Index Options'!$C:$C,$A49,'NSE - NIFTY Index Options'!$B:$B,E$4,'NSE - NIFTY Index Options'!$H:$H,"Weekly*")+SUMIFS('NSE - NIFTY Index Options'!$L:$L,'NSE - NIFTY Index Options'!$C:$C,$A49,'NSE - NIFTY Index Options'!$B:$B,E$4,'NSE - NIFTY Index Options'!$H:$H,"MDAW*")+SUMIFS('NSE - Other Index Options'!$L:$L,'NSE - Other Index Options'!$C:$C,$A49,'NSE - Other Index Options'!$B:$B,E$4,'NSE - Other Index Options'!$H:$H,"Weekly*")+SUMIFS('NSE - Other Index Options'!$L:$L,'NSE - Other Index Options'!$C:$C,$A49,'NSE - Other Index Options'!$B:$B,E$4,'NSE - Other Index Options'!$H:$H,"MDAW*")=0,"",SUMIFS('NSE - NIFTY Index Options'!$L:$L,'NSE - NIFTY Index Options'!$C:$C,$A49,'NSE - NIFTY Index Options'!$B:$B,E$4,'NSE - NIFTY Index Options'!$H:$H,"Weekly*")+SUMIFS('NSE - NIFTY Index Options'!$L:$L,'NSE - NIFTY Index Options'!$C:$C,$A49,'NSE - NIFTY Index Options'!$B:$B,E$4,'NSE - NIFTY Index Options'!$H:$H,"MDAW*")+SUMIFS('NSE - Other Index Options'!$L:$L,'NSE - Other Index Options'!$C:$C,$A49,'NSE - Other Index Options'!$B:$B,E$4,'NSE - Other Index Options'!$H:$H,"Weekly*")+SUMIFS('NSE - Other Index Options'!$L:$L,'NSE - Other Index Options'!$C:$C,$A49,'NSE - Other Index Options'!$B:$B,E$4,'NSE - Other Index Options'!$H:$H,"MDAW*"))</f>
        <v>31101.99</v>
      </c>
      <c r="F49" s="26">
        <f>IF(SUMIFS('NSE - NIFTY Index Options'!$L:$L,'NSE - NIFTY Index Options'!$C:$C,$A49,'NSE - NIFTY Index Options'!$B:$B,F$4,'NSE - NIFTY Index Options'!$H:$H,"Weekly*")+SUMIFS('NSE - NIFTY Index Options'!$L:$L,'NSE - NIFTY Index Options'!$C:$C,$A49,'NSE - NIFTY Index Options'!$B:$B,F$4,'NSE - NIFTY Index Options'!$H:$H,"MDAW*")+SUMIFS('NSE - Other Index Options'!$L:$L,'NSE - Other Index Options'!$C:$C,$A49,'NSE - Other Index Options'!$B:$B,F$4,'NSE - Other Index Options'!$H:$H,"Weekly*")+SUMIFS('NSE - Other Index Options'!$L:$L,'NSE - Other Index Options'!$C:$C,$A49,'NSE - Other Index Options'!$B:$B,F$4,'NSE - Other Index Options'!$H:$H,"MDAW*")=0,"",SUMIFS('NSE - NIFTY Index Options'!$L:$L,'NSE - NIFTY Index Options'!$C:$C,$A49,'NSE - NIFTY Index Options'!$B:$B,F$4,'NSE - NIFTY Index Options'!$H:$H,"Weekly*")+SUMIFS('NSE - NIFTY Index Options'!$L:$L,'NSE - NIFTY Index Options'!$C:$C,$A49,'NSE - NIFTY Index Options'!$B:$B,F$4,'NSE - NIFTY Index Options'!$H:$H,"MDAW*")+SUMIFS('NSE - Other Index Options'!$L:$L,'NSE - Other Index Options'!$C:$C,$A49,'NSE - Other Index Options'!$B:$B,F$4,'NSE - Other Index Options'!$H:$H,"Weekly*")+SUMIFS('NSE - Other Index Options'!$L:$L,'NSE - Other Index Options'!$C:$C,$A49,'NSE - Other Index Options'!$B:$B,F$4,'NSE - Other Index Options'!$H:$H,"MDAW*"))</f>
        <v>63566.17</v>
      </c>
      <c r="G49" s="26" t="str">
        <f>IF(SUMIFS('NSE - NIFTY Index Options'!$L:$L,'NSE - NIFTY Index Options'!$C:$C,$A49,'NSE - NIFTY Index Options'!$B:$B,G$4,'NSE - NIFTY Index Options'!$H:$H,"Weekly*")+SUMIFS('NSE - NIFTY Index Options'!$L:$L,'NSE - NIFTY Index Options'!$C:$C,$A49,'NSE - NIFTY Index Options'!$B:$B,G$4,'NSE - NIFTY Index Options'!$H:$H,"MDAW*")+SUMIFS('NSE - Other Index Options'!$L:$L,'NSE - Other Index Options'!$C:$C,$A49,'NSE - Other Index Options'!$B:$B,G$4,'NSE - Other Index Options'!$H:$H,"Weekly*")+SUMIFS('NSE - Other Index Options'!$L:$L,'NSE - Other Index Options'!$C:$C,$A49,'NSE - Other Index Options'!$B:$B,G$4,'NSE - Other Index Options'!$H:$H,"MDAW*")=0,"",SUMIFS('NSE - NIFTY Index Options'!$L:$L,'NSE - NIFTY Index Options'!$C:$C,$A49,'NSE - NIFTY Index Options'!$B:$B,G$4,'NSE - NIFTY Index Options'!$H:$H,"Weekly*")+SUMIFS('NSE - NIFTY Index Options'!$L:$L,'NSE - NIFTY Index Options'!$C:$C,$A49,'NSE - NIFTY Index Options'!$B:$B,G$4,'NSE - NIFTY Index Options'!$H:$H,"MDAW*")+SUMIFS('NSE - Other Index Options'!$L:$L,'NSE - Other Index Options'!$C:$C,$A49,'NSE - Other Index Options'!$B:$B,G$4,'NSE - Other Index Options'!$H:$H,"Weekly*")+SUMIFS('NSE - Other Index Options'!$L:$L,'NSE - Other Index Options'!$C:$C,$A49,'NSE - Other Index Options'!$B:$B,G$4,'NSE - Other Index Options'!$H:$H,"MDAW*"))</f>
        <v/>
      </c>
      <c r="H49" s="26">
        <f t="shared" si="1"/>
        <v>283381.70999999996</v>
      </c>
    </row>
    <row r="50" spans="1:8">
      <c r="A50" t="s">
        <v>55</v>
      </c>
      <c r="B50" s="26">
        <f>IF(SUMIFS('NSE - NIFTY Index Options'!$L:$L,'NSE - NIFTY Index Options'!$C:$C,$A50,'NSE - NIFTY Index Options'!$B:$B,B$4,'NSE - NIFTY Index Options'!$H:$H,"Weekly*")+SUMIFS('NSE - NIFTY Index Options'!$L:$L,'NSE - NIFTY Index Options'!$C:$C,$A50,'NSE - NIFTY Index Options'!$B:$B,B$4,'NSE - NIFTY Index Options'!$H:$H,"MDAW*")+SUMIFS('NSE - Other Index Options'!$L:$L,'NSE - Other Index Options'!$C:$C,$A50,'NSE - Other Index Options'!$B:$B,B$4,'NSE - Other Index Options'!$H:$H,"Weekly*")+SUMIFS('NSE - Other Index Options'!$L:$L,'NSE - Other Index Options'!$C:$C,$A50,'NSE - Other Index Options'!$B:$B,B$4,'NSE - Other Index Options'!$H:$H,"MDAW*")=0,"",SUMIFS('NSE - NIFTY Index Options'!$L:$L,'NSE - NIFTY Index Options'!$C:$C,$A50,'NSE - NIFTY Index Options'!$B:$B,B$4,'NSE - NIFTY Index Options'!$H:$H,"Weekly*")+SUMIFS('NSE - NIFTY Index Options'!$L:$L,'NSE - NIFTY Index Options'!$C:$C,$A50,'NSE - NIFTY Index Options'!$B:$B,B$4,'NSE - NIFTY Index Options'!$H:$H,"MDAW*")+SUMIFS('NSE - Other Index Options'!$L:$L,'NSE - Other Index Options'!$C:$C,$A50,'NSE - Other Index Options'!$B:$B,B$4,'NSE - Other Index Options'!$H:$H,"Weekly*")+SUMIFS('NSE - Other Index Options'!$L:$L,'NSE - Other Index Options'!$C:$C,$A50,'NSE - Other Index Options'!$B:$B,B$4,'NSE - Other Index Options'!$H:$H,"MDAW*"))</f>
        <v>57207.62</v>
      </c>
      <c r="C50" s="26">
        <f>IF(SUMIFS('NSE - NIFTY Index Options'!$L:$L,'NSE - NIFTY Index Options'!$C:$C,$A50,'NSE - NIFTY Index Options'!$B:$B,C$4,'NSE - NIFTY Index Options'!$H:$H,"Weekly*")+SUMIFS('NSE - NIFTY Index Options'!$L:$L,'NSE - NIFTY Index Options'!$C:$C,$A50,'NSE - NIFTY Index Options'!$B:$B,C$4,'NSE - NIFTY Index Options'!$H:$H,"MDAW*")+SUMIFS('NSE - Other Index Options'!$L:$L,'NSE - Other Index Options'!$C:$C,$A50,'NSE - Other Index Options'!$B:$B,C$4,'NSE - Other Index Options'!$H:$H,"Weekly*")+SUMIFS('NSE - Other Index Options'!$L:$L,'NSE - Other Index Options'!$C:$C,$A50,'NSE - Other Index Options'!$B:$B,C$4,'NSE - Other Index Options'!$H:$H,"MDAW*")=0,"",SUMIFS('NSE - NIFTY Index Options'!$L:$L,'NSE - NIFTY Index Options'!$C:$C,$A50,'NSE - NIFTY Index Options'!$B:$B,C$4,'NSE - NIFTY Index Options'!$H:$H,"Weekly*")+SUMIFS('NSE - NIFTY Index Options'!$L:$L,'NSE - NIFTY Index Options'!$C:$C,$A50,'NSE - NIFTY Index Options'!$B:$B,C$4,'NSE - NIFTY Index Options'!$H:$H,"MDAW*")+SUMIFS('NSE - Other Index Options'!$L:$L,'NSE - Other Index Options'!$C:$C,$A50,'NSE - Other Index Options'!$B:$B,C$4,'NSE - Other Index Options'!$H:$H,"Weekly*")+SUMIFS('NSE - Other Index Options'!$L:$L,'NSE - Other Index Options'!$C:$C,$A50,'NSE - Other Index Options'!$B:$B,C$4,'NSE - Other Index Options'!$H:$H,"MDAW*"))</f>
        <v>67683.180000000008</v>
      </c>
      <c r="D50" s="26">
        <f>IF(SUMIFS('NSE - NIFTY Index Options'!$L:$L,'NSE - NIFTY Index Options'!$C:$C,$A50,'NSE - NIFTY Index Options'!$B:$B,D$4,'NSE - NIFTY Index Options'!$H:$H,"Weekly*")+SUMIFS('NSE - NIFTY Index Options'!$L:$L,'NSE - NIFTY Index Options'!$C:$C,$A50,'NSE - NIFTY Index Options'!$B:$B,D$4,'NSE - NIFTY Index Options'!$H:$H,"MDAW*")+SUMIFS('NSE - Other Index Options'!$L:$L,'NSE - Other Index Options'!$C:$C,$A50,'NSE - Other Index Options'!$B:$B,D$4,'NSE - Other Index Options'!$H:$H,"Weekly*")+SUMIFS('NSE - Other Index Options'!$L:$L,'NSE - Other Index Options'!$C:$C,$A50,'NSE - Other Index Options'!$B:$B,D$4,'NSE - Other Index Options'!$H:$H,"MDAW*")=0,"",SUMIFS('NSE - NIFTY Index Options'!$L:$L,'NSE - NIFTY Index Options'!$C:$C,$A50,'NSE - NIFTY Index Options'!$B:$B,D$4,'NSE - NIFTY Index Options'!$H:$H,"Weekly*")+SUMIFS('NSE - NIFTY Index Options'!$L:$L,'NSE - NIFTY Index Options'!$C:$C,$A50,'NSE - NIFTY Index Options'!$B:$B,D$4,'NSE - NIFTY Index Options'!$H:$H,"MDAW*")+SUMIFS('NSE - Other Index Options'!$L:$L,'NSE - Other Index Options'!$C:$C,$A50,'NSE - Other Index Options'!$B:$B,D$4,'NSE - Other Index Options'!$H:$H,"Weekly*")+SUMIFS('NSE - Other Index Options'!$L:$L,'NSE - Other Index Options'!$C:$C,$A50,'NSE - Other Index Options'!$B:$B,D$4,'NSE - Other Index Options'!$H:$H,"MDAW*"))</f>
        <v>32072.63</v>
      </c>
      <c r="E50" s="26">
        <f>IF(SUMIFS('NSE - NIFTY Index Options'!$L:$L,'NSE - NIFTY Index Options'!$C:$C,$A50,'NSE - NIFTY Index Options'!$B:$B,E$4,'NSE - NIFTY Index Options'!$H:$H,"Weekly*")+SUMIFS('NSE - NIFTY Index Options'!$L:$L,'NSE - NIFTY Index Options'!$C:$C,$A50,'NSE - NIFTY Index Options'!$B:$B,E$4,'NSE - NIFTY Index Options'!$H:$H,"MDAW*")+SUMIFS('NSE - Other Index Options'!$L:$L,'NSE - Other Index Options'!$C:$C,$A50,'NSE - Other Index Options'!$B:$B,E$4,'NSE - Other Index Options'!$H:$H,"Weekly*")+SUMIFS('NSE - Other Index Options'!$L:$L,'NSE - Other Index Options'!$C:$C,$A50,'NSE - Other Index Options'!$B:$B,E$4,'NSE - Other Index Options'!$H:$H,"MDAW*")=0,"",SUMIFS('NSE - NIFTY Index Options'!$L:$L,'NSE - NIFTY Index Options'!$C:$C,$A50,'NSE - NIFTY Index Options'!$B:$B,E$4,'NSE - NIFTY Index Options'!$H:$H,"Weekly*")+SUMIFS('NSE - NIFTY Index Options'!$L:$L,'NSE - NIFTY Index Options'!$C:$C,$A50,'NSE - NIFTY Index Options'!$B:$B,E$4,'NSE - NIFTY Index Options'!$H:$H,"MDAW*")+SUMIFS('NSE - Other Index Options'!$L:$L,'NSE - Other Index Options'!$C:$C,$A50,'NSE - Other Index Options'!$B:$B,E$4,'NSE - Other Index Options'!$H:$H,"Weekly*")+SUMIFS('NSE - Other Index Options'!$L:$L,'NSE - Other Index Options'!$C:$C,$A50,'NSE - Other Index Options'!$B:$B,E$4,'NSE - Other Index Options'!$H:$H,"MDAW*"))</f>
        <v>28413.21</v>
      </c>
      <c r="F50" s="26">
        <f>IF(SUMIFS('NSE - NIFTY Index Options'!$L:$L,'NSE - NIFTY Index Options'!$C:$C,$A50,'NSE - NIFTY Index Options'!$B:$B,F$4,'NSE - NIFTY Index Options'!$H:$H,"Weekly*")+SUMIFS('NSE - NIFTY Index Options'!$L:$L,'NSE - NIFTY Index Options'!$C:$C,$A50,'NSE - NIFTY Index Options'!$B:$B,F$4,'NSE - NIFTY Index Options'!$H:$H,"MDAW*")+SUMIFS('NSE - Other Index Options'!$L:$L,'NSE - Other Index Options'!$C:$C,$A50,'NSE - Other Index Options'!$B:$B,F$4,'NSE - Other Index Options'!$H:$H,"Weekly*")+SUMIFS('NSE - Other Index Options'!$L:$L,'NSE - Other Index Options'!$C:$C,$A50,'NSE - Other Index Options'!$B:$B,F$4,'NSE - Other Index Options'!$H:$H,"MDAW*")=0,"",SUMIFS('NSE - NIFTY Index Options'!$L:$L,'NSE - NIFTY Index Options'!$C:$C,$A50,'NSE - NIFTY Index Options'!$B:$B,F$4,'NSE - NIFTY Index Options'!$H:$H,"Weekly*")+SUMIFS('NSE - NIFTY Index Options'!$L:$L,'NSE - NIFTY Index Options'!$C:$C,$A50,'NSE - NIFTY Index Options'!$B:$B,F$4,'NSE - NIFTY Index Options'!$H:$H,"MDAW*")+SUMIFS('NSE - Other Index Options'!$L:$L,'NSE - Other Index Options'!$C:$C,$A50,'NSE - Other Index Options'!$B:$B,F$4,'NSE - Other Index Options'!$H:$H,"Weekly*")+SUMIFS('NSE - Other Index Options'!$L:$L,'NSE - Other Index Options'!$C:$C,$A50,'NSE - Other Index Options'!$B:$B,F$4,'NSE - Other Index Options'!$H:$H,"MDAW*"))</f>
        <v>55628.979999999996</v>
      </c>
      <c r="G50" s="26" t="str">
        <f>IF(SUMIFS('NSE - NIFTY Index Options'!$L:$L,'NSE - NIFTY Index Options'!$C:$C,$A50,'NSE - NIFTY Index Options'!$B:$B,G$4,'NSE - NIFTY Index Options'!$H:$H,"Weekly*")+SUMIFS('NSE - NIFTY Index Options'!$L:$L,'NSE - NIFTY Index Options'!$C:$C,$A50,'NSE - NIFTY Index Options'!$B:$B,G$4,'NSE - NIFTY Index Options'!$H:$H,"MDAW*")+SUMIFS('NSE - Other Index Options'!$L:$L,'NSE - Other Index Options'!$C:$C,$A50,'NSE - Other Index Options'!$B:$B,G$4,'NSE - Other Index Options'!$H:$H,"Weekly*")+SUMIFS('NSE - Other Index Options'!$L:$L,'NSE - Other Index Options'!$C:$C,$A50,'NSE - Other Index Options'!$B:$B,G$4,'NSE - Other Index Options'!$H:$H,"MDAW*")=0,"",SUMIFS('NSE - NIFTY Index Options'!$L:$L,'NSE - NIFTY Index Options'!$C:$C,$A50,'NSE - NIFTY Index Options'!$B:$B,G$4,'NSE - NIFTY Index Options'!$H:$H,"Weekly*")+SUMIFS('NSE - NIFTY Index Options'!$L:$L,'NSE - NIFTY Index Options'!$C:$C,$A50,'NSE - NIFTY Index Options'!$B:$B,G$4,'NSE - NIFTY Index Options'!$H:$H,"MDAW*")+SUMIFS('NSE - Other Index Options'!$L:$L,'NSE - Other Index Options'!$C:$C,$A50,'NSE - Other Index Options'!$B:$B,G$4,'NSE - Other Index Options'!$H:$H,"Weekly*")+SUMIFS('NSE - Other Index Options'!$L:$L,'NSE - Other Index Options'!$C:$C,$A50,'NSE - Other Index Options'!$B:$B,G$4,'NSE - Other Index Options'!$H:$H,"MDAW*"))</f>
        <v/>
      </c>
      <c r="H50" s="26">
        <f t="shared" si="1"/>
        <v>241005.62</v>
      </c>
    </row>
    <row r="51" spans="1:8">
      <c r="A51" t="s">
        <v>56</v>
      </c>
      <c r="B51" s="26">
        <f>IF(SUMIFS('NSE - NIFTY Index Options'!$L:$L,'NSE - NIFTY Index Options'!$C:$C,$A51,'NSE - NIFTY Index Options'!$B:$B,B$4,'NSE - NIFTY Index Options'!$H:$H,"Weekly*")+SUMIFS('NSE - NIFTY Index Options'!$L:$L,'NSE - NIFTY Index Options'!$C:$C,$A51,'NSE - NIFTY Index Options'!$B:$B,B$4,'NSE - NIFTY Index Options'!$H:$H,"MDAW*")+SUMIFS('NSE - Other Index Options'!$L:$L,'NSE - Other Index Options'!$C:$C,$A51,'NSE - Other Index Options'!$B:$B,B$4,'NSE - Other Index Options'!$H:$H,"Weekly*")+SUMIFS('NSE - Other Index Options'!$L:$L,'NSE - Other Index Options'!$C:$C,$A51,'NSE - Other Index Options'!$B:$B,B$4,'NSE - Other Index Options'!$H:$H,"MDAW*")=0,"",SUMIFS('NSE - NIFTY Index Options'!$L:$L,'NSE - NIFTY Index Options'!$C:$C,$A51,'NSE - NIFTY Index Options'!$B:$B,B$4,'NSE - NIFTY Index Options'!$H:$H,"Weekly*")+SUMIFS('NSE - NIFTY Index Options'!$L:$L,'NSE - NIFTY Index Options'!$C:$C,$A51,'NSE - NIFTY Index Options'!$B:$B,B$4,'NSE - NIFTY Index Options'!$H:$H,"MDAW*")+SUMIFS('NSE - Other Index Options'!$L:$L,'NSE - Other Index Options'!$C:$C,$A51,'NSE - Other Index Options'!$B:$B,B$4,'NSE - Other Index Options'!$H:$H,"Weekly*")+SUMIFS('NSE - Other Index Options'!$L:$L,'NSE - Other Index Options'!$C:$C,$A51,'NSE - Other Index Options'!$B:$B,B$4,'NSE - Other Index Options'!$H:$H,"MDAW*"))</f>
        <v>54112.3</v>
      </c>
      <c r="C51" s="26">
        <f>IF(SUMIFS('NSE - NIFTY Index Options'!$L:$L,'NSE - NIFTY Index Options'!$C:$C,$A51,'NSE - NIFTY Index Options'!$B:$B,C$4,'NSE - NIFTY Index Options'!$H:$H,"Weekly*")+SUMIFS('NSE - NIFTY Index Options'!$L:$L,'NSE - NIFTY Index Options'!$C:$C,$A51,'NSE - NIFTY Index Options'!$B:$B,C$4,'NSE - NIFTY Index Options'!$H:$H,"MDAW*")+SUMIFS('NSE - Other Index Options'!$L:$L,'NSE - Other Index Options'!$C:$C,$A51,'NSE - Other Index Options'!$B:$B,C$4,'NSE - Other Index Options'!$H:$H,"Weekly*")+SUMIFS('NSE - Other Index Options'!$L:$L,'NSE - Other Index Options'!$C:$C,$A51,'NSE - Other Index Options'!$B:$B,C$4,'NSE - Other Index Options'!$H:$H,"MDAW*")=0,"",SUMIFS('NSE - NIFTY Index Options'!$L:$L,'NSE - NIFTY Index Options'!$C:$C,$A51,'NSE - NIFTY Index Options'!$B:$B,C$4,'NSE - NIFTY Index Options'!$H:$H,"Weekly*")+SUMIFS('NSE - NIFTY Index Options'!$L:$L,'NSE - NIFTY Index Options'!$C:$C,$A51,'NSE - NIFTY Index Options'!$B:$B,C$4,'NSE - NIFTY Index Options'!$H:$H,"MDAW*")+SUMIFS('NSE - Other Index Options'!$L:$L,'NSE - Other Index Options'!$C:$C,$A51,'NSE - Other Index Options'!$B:$B,C$4,'NSE - Other Index Options'!$H:$H,"Weekly*")+SUMIFS('NSE - Other Index Options'!$L:$L,'NSE - Other Index Options'!$C:$C,$A51,'NSE - Other Index Options'!$B:$B,C$4,'NSE - Other Index Options'!$H:$H,"MDAW*"))</f>
        <v>55587.24</v>
      </c>
      <c r="D51" s="26">
        <f>IF(SUMIFS('NSE - NIFTY Index Options'!$L:$L,'NSE - NIFTY Index Options'!$C:$C,$A51,'NSE - NIFTY Index Options'!$B:$B,D$4,'NSE - NIFTY Index Options'!$H:$H,"Weekly*")+SUMIFS('NSE - NIFTY Index Options'!$L:$L,'NSE - NIFTY Index Options'!$C:$C,$A51,'NSE - NIFTY Index Options'!$B:$B,D$4,'NSE - NIFTY Index Options'!$H:$H,"MDAW*")+SUMIFS('NSE - Other Index Options'!$L:$L,'NSE - Other Index Options'!$C:$C,$A51,'NSE - Other Index Options'!$B:$B,D$4,'NSE - Other Index Options'!$H:$H,"Weekly*")+SUMIFS('NSE - Other Index Options'!$L:$L,'NSE - Other Index Options'!$C:$C,$A51,'NSE - Other Index Options'!$B:$B,D$4,'NSE - Other Index Options'!$H:$H,"MDAW*")=0,"",SUMIFS('NSE - NIFTY Index Options'!$L:$L,'NSE - NIFTY Index Options'!$C:$C,$A51,'NSE - NIFTY Index Options'!$B:$B,D$4,'NSE - NIFTY Index Options'!$H:$H,"Weekly*")+SUMIFS('NSE - NIFTY Index Options'!$L:$L,'NSE - NIFTY Index Options'!$C:$C,$A51,'NSE - NIFTY Index Options'!$B:$B,D$4,'NSE - NIFTY Index Options'!$H:$H,"MDAW*")+SUMIFS('NSE - Other Index Options'!$L:$L,'NSE - Other Index Options'!$C:$C,$A51,'NSE - Other Index Options'!$B:$B,D$4,'NSE - Other Index Options'!$H:$H,"Weekly*")+SUMIFS('NSE - Other Index Options'!$L:$L,'NSE - Other Index Options'!$C:$C,$A51,'NSE - Other Index Options'!$B:$B,D$4,'NSE - Other Index Options'!$H:$H,"MDAW*"))</f>
        <v>22323.78</v>
      </c>
      <c r="E51" s="26">
        <f>IF(SUMIFS('NSE - NIFTY Index Options'!$L:$L,'NSE - NIFTY Index Options'!$C:$C,$A51,'NSE - NIFTY Index Options'!$B:$B,E$4,'NSE - NIFTY Index Options'!$H:$H,"Weekly*")+SUMIFS('NSE - NIFTY Index Options'!$L:$L,'NSE - NIFTY Index Options'!$C:$C,$A51,'NSE - NIFTY Index Options'!$B:$B,E$4,'NSE - NIFTY Index Options'!$H:$H,"MDAW*")+SUMIFS('NSE - Other Index Options'!$L:$L,'NSE - Other Index Options'!$C:$C,$A51,'NSE - Other Index Options'!$B:$B,E$4,'NSE - Other Index Options'!$H:$H,"Weekly*")+SUMIFS('NSE - Other Index Options'!$L:$L,'NSE - Other Index Options'!$C:$C,$A51,'NSE - Other Index Options'!$B:$B,E$4,'NSE - Other Index Options'!$H:$H,"MDAW*")=0,"",SUMIFS('NSE - NIFTY Index Options'!$L:$L,'NSE - NIFTY Index Options'!$C:$C,$A51,'NSE - NIFTY Index Options'!$B:$B,E$4,'NSE - NIFTY Index Options'!$H:$H,"Weekly*")+SUMIFS('NSE - NIFTY Index Options'!$L:$L,'NSE - NIFTY Index Options'!$C:$C,$A51,'NSE - NIFTY Index Options'!$B:$B,E$4,'NSE - NIFTY Index Options'!$H:$H,"MDAW*")+SUMIFS('NSE - Other Index Options'!$L:$L,'NSE - Other Index Options'!$C:$C,$A51,'NSE - Other Index Options'!$B:$B,E$4,'NSE - Other Index Options'!$H:$H,"Weekly*")+SUMIFS('NSE - Other Index Options'!$L:$L,'NSE - Other Index Options'!$C:$C,$A51,'NSE - Other Index Options'!$B:$B,E$4,'NSE - Other Index Options'!$H:$H,"MDAW*"))</f>
        <v>19769.030000000002</v>
      </c>
      <c r="F51" s="26">
        <f>IF(SUMIFS('NSE - NIFTY Index Options'!$L:$L,'NSE - NIFTY Index Options'!$C:$C,$A51,'NSE - NIFTY Index Options'!$B:$B,F$4,'NSE - NIFTY Index Options'!$H:$H,"Weekly*")+SUMIFS('NSE - NIFTY Index Options'!$L:$L,'NSE - NIFTY Index Options'!$C:$C,$A51,'NSE - NIFTY Index Options'!$B:$B,F$4,'NSE - NIFTY Index Options'!$H:$H,"MDAW*")+SUMIFS('NSE - Other Index Options'!$L:$L,'NSE - Other Index Options'!$C:$C,$A51,'NSE - Other Index Options'!$B:$B,F$4,'NSE - Other Index Options'!$H:$H,"Weekly*")+SUMIFS('NSE - Other Index Options'!$L:$L,'NSE - Other Index Options'!$C:$C,$A51,'NSE - Other Index Options'!$B:$B,F$4,'NSE - Other Index Options'!$H:$H,"MDAW*")=0,"",SUMIFS('NSE - NIFTY Index Options'!$L:$L,'NSE - NIFTY Index Options'!$C:$C,$A51,'NSE - NIFTY Index Options'!$B:$B,F$4,'NSE - NIFTY Index Options'!$H:$H,"Weekly*")+SUMIFS('NSE - NIFTY Index Options'!$L:$L,'NSE - NIFTY Index Options'!$C:$C,$A51,'NSE - NIFTY Index Options'!$B:$B,F$4,'NSE - NIFTY Index Options'!$H:$H,"MDAW*")+SUMIFS('NSE - Other Index Options'!$L:$L,'NSE - Other Index Options'!$C:$C,$A51,'NSE - Other Index Options'!$B:$B,F$4,'NSE - Other Index Options'!$H:$H,"Weekly*")+SUMIFS('NSE - Other Index Options'!$L:$L,'NSE - Other Index Options'!$C:$C,$A51,'NSE - Other Index Options'!$B:$B,F$4,'NSE - Other Index Options'!$H:$H,"MDAW*"))</f>
        <v>38881.14</v>
      </c>
      <c r="G51" s="26" t="str">
        <f>IF(SUMIFS('NSE - NIFTY Index Options'!$L:$L,'NSE - NIFTY Index Options'!$C:$C,$A51,'NSE - NIFTY Index Options'!$B:$B,G$4,'NSE - NIFTY Index Options'!$H:$H,"Weekly*")+SUMIFS('NSE - NIFTY Index Options'!$L:$L,'NSE - NIFTY Index Options'!$C:$C,$A51,'NSE - NIFTY Index Options'!$B:$B,G$4,'NSE - NIFTY Index Options'!$H:$H,"MDAW*")+SUMIFS('NSE - Other Index Options'!$L:$L,'NSE - Other Index Options'!$C:$C,$A51,'NSE - Other Index Options'!$B:$B,G$4,'NSE - Other Index Options'!$H:$H,"Weekly*")+SUMIFS('NSE - Other Index Options'!$L:$L,'NSE - Other Index Options'!$C:$C,$A51,'NSE - Other Index Options'!$B:$B,G$4,'NSE - Other Index Options'!$H:$H,"MDAW*")=0,"",SUMIFS('NSE - NIFTY Index Options'!$L:$L,'NSE - NIFTY Index Options'!$C:$C,$A51,'NSE - NIFTY Index Options'!$B:$B,G$4,'NSE - NIFTY Index Options'!$H:$H,"Weekly*")+SUMIFS('NSE - NIFTY Index Options'!$L:$L,'NSE - NIFTY Index Options'!$C:$C,$A51,'NSE - NIFTY Index Options'!$B:$B,G$4,'NSE - NIFTY Index Options'!$H:$H,"MDAW*")+SUMIFS('NSE - Other Index Options'!$L:$L,'NSE - Other Index Options'!$C:$C,$A51,'NSE - Other Index Options'!$B:$B,G$4,'NSE - Other Index Options'!$H:$H,"Weekly*")+SUMIFS('NSE - Other Index Options'!$L:$L,'NSE - Other Index Options'!$C:$C,$A51,'NSE - Other Index Options'!$B:$B,G$4,'NSE - Other Index Options'!$H:$H,"MDAW*"))</f>
        <v/>
      </c>
      <c r="H51" s="26">
        <f t="shared" si="1"/>
        <v>190673.49</v>
      </c>
    </row>
    <row r="52" spans="1:8">
      <c r="A52" t="s">
        <v>57</v>
      </c>
      <c r="B52" s="26">
        <f>IF(SUMIFS('NSE - NIFTY Index Options'!$L:$L,'NSE - NIFTY Index Options'!$C:$C,$A52,'NSE - NIFTY Index Options'!$B:$B,B$4,'NSE - NIFTY Index Options'!$H:$H,"Weekly*")+SUMIFS('NSE - NIFTY Index Options'!$L:$L,'NSE - NIFTY Index Options'!$C:$C,$A52,'NSE - NIFTY Index Options'!$B:$B,B$4,'NSE - NIFTY Index Options'!$H:$H,"MDAW*")+SUMIFS('NSE - Other Index Options'!$L:$L,'NSE - Other Index Options'!$C:$C,$A52,'NSE - Other Index Options'!$B:$B,B$4,'NSE - Other Index Options'!$H:$H,"Weekly*")+SUMIFS('NSE - Other Index Options'!$L:$L,'NSE - Other Index Options'!$C:$C,$A52,'NSE - Other Index Options'!$B:$B,B$4,'NSE - Other Index Options'!$H:$H,"MDAW*")=0,"",SUMIFS('NSE - NIFTY Index Options'!$L:$L,'NSE - NIFTY Index Options'!$C:$C,$A52,'NSE - NIFTY Index Options'!$B:$B,B$4,'NSE - NIFTY Index Options'!$H:$H,"Weekly*")+SUMIFS('NSE - NIFTY Index Options'!$L:$L,'NSE - NIFTY Index Options'!$C:$C,$A52,'NSE - NIFTY Index Options'!$B:$B,B$4,'NSE - NIFTY Index Options'!$H:$H,"MDAW*")+SUMIFS('NSE - Other Index Options'!$L:$L,'NSE - Other Index Options'!$C:$C,$A52,'NSE - Other Index Options'!$B:$B,B$4,'NSE - Other Index Options'!$H:$H,"Weekly*")+SUMIFS('NSE - Other Index Options'!$L:$L,'NSE - Other Index Options'!$C:$C,$A52,'NSE - Other Index Options'!$B:$B,B$4,'NSE - Other Index Options'!$H:$H,"MDAW*"))</f>
        <v>28589.149999999998</v>
      </c>
      <c r="C52" s="26">
        <f>IF(SUMIFS('NSE - NIFTY Index Options'!$L:$L,'NSE - NIFTY Index Options'!$C:$C,$A52,'NSE - NIFTY Index Options'!$B:$B,C$4,'NSE - NIFTY Index Options'!$H:$H,"Weekly*")+SUMIFS('NSE - NIFTY Index Options'!$L:$L,'NSE - NIFTY Index Options'!$C:$C,$A52,'NSE - NIFTY Index Options'!$B:$B,C$4,'NSE - NIFTY Index Options'!$H:$H,"MDAW*")+SUMIFS('NSE - Other Index Options'!$L:$L,'NSE - Other Index Options'!$C:$C,$A52,'NSE - Other Index Options'!$B:$B,C$4,'NSE - Other Index Options'!$H:$H,"Weekly*")+SUMIFS('NSE - Other Index Options'!$L:$L,'NSE - Other Index Options'!$C:$C,$A52,'NSE - Other Index Options'!$B:$B,C$4,'NSE - Other Index Options'!$H:$H,"MDAW*")=0,"",SUMIFS('NSE - NIFTY Index Options'!$L:$L,'NSE - NIFTY Index Options'!$C:$C,$A52,'NSE - NIFTY Index Options'!$B:$B,C$4,'NSE - NIFTY Index Options'!$H:$H,"Weekly*")+SUMIFS('NSE - NIFTY Index Options'!$L:$L,'NSE - NIFTY Index Options'!$C:$C,$A52,'NSE - NIFTY Index Options'!$B:$B,C$4,'NSE - NIFTY Index Options'!$H:$H,"MDAW*")+SUMIFS('NSE - Other Index Options'!$L:$L,'NSE - Other Index Options'!$C:$C,$A52,'NSE - Other Index Options'!$B:$B,C$4,'NSE - Other Index Options'!$H:$H,"Weekly*")+SUMIFS('NSE - Other Index Options'!$L:$L,'NSE - Other Index Options'!$C:$C,$A52,'NSE - Other Index Options'!$B:$B,C$4,'NSE - Other Index Options'!$H:$H,"MDAW*"))</f>
        <v>59725.290000000008</v>
      </c>
      <c r="D52" s="26">
        <f>IF(SUMIFS('NSE - NIFTY Index Options'!$L:$L,'NSE - NIFTY Index Options'!$C:$C,$A52,'NSE - NIFTY Index Options'!$B:$B,D$4,'NSE - NIFTY Index Options'!$H:$H,"Weekly*")+SUMIFS('NSE - NIFTY Index Options'!$L:$L,'NSE - NIFTY Index Options'!$C:$C,$A52,'NSE - NIFTY Index Options'!$B:$B,D$4,'NSE - NIFTY Index Options'!$H:$H,"MDAW*")+SUMIFS('NSE - Other Index Options'!$L:$L,'NSE - Other Index Options'!$C:$C,$A52,'NSE - Other Index Options'!$B:$B,D$4,'NSE - Other Index Options'!$H:$H,"Weekly*")+SUMIFS('NSE - Other Index Options'!$L:$L,'NSE - Other Index Options'!$C:$C,$A52,'NSE - Other Index Options'!$B:$B,D$4,'NSE - Other Index Options'!$H:$H,"MDAW*")=0,"",SUMIFS('NSE - NIFTY Index Options'!$L:$L,'NSE - NIFTY Index Options'!$C:$C,$A52,'NSE - NIFTY Index Options'!$B:$B,D$4,'NSE - NIFTY Index Options'!$H:$H,"Weekly*")+SUMIFS('NSE - NIFTY Index Options'!$L:$L,'NSE - NIFTY Index Options'!$C:$C,$A52,'NSE - NIFTY Index Options'!$B:$B,D$4,'NSE - NIFTY Index Options'!$H:$H,"MDAW*")+SUMIFS('NSE - Other Index Options'!$L:$L,'NSE - Other Index Options'!$C:$C,$A52,'NSE - Other Index Options'!$B:$B,D$4,'NSE - Other Index Options'!$H:$H,"Weekly*")+SUMIFS('NSE - Other Index Options'!$L:$L,'NSE - Other Index Options'!$C:$C,$A52,'NSE - Other Index Options'!$B:$B,D$4,'NSE - Other Index Options'!$H:$H,"MDAW*"))</f>
        <v>30577.22</v>
      </c>
      <c r="E52" s="26">
        <f>IF(SUMIFS('NSE - NIFTY Index Options'!$L:$L,'NSE - NIFTY Index Options'!$C:$C,$A52,'NSE - NIFTY Index Options'!$B:$B,E$4,'NSE - NIFTY Index Options'!$H:$H,"Weekly*")+SUMIFS('NSE - NIFTY Index Options'!$L:$L,'NSE - NIFTY Index Options'!$C:$C,$A52,'NSE - NIFTY Index Options'!$B:$B,E$4,'NSE - NIFTY Index Options'!$H:$H,"MDAW*")+SUMIFS('NSE - Other Index Options'!$L:$L,'NSE - Other Index Options'!$C:$C,$A52,'NSE - Other Index Options'!$B:$B,E$4,'NSE - Other Index Options'!$H:$H,"Weekly*")+SUMIFS('NSE - Other Index Options'!$L:$L,'NSE - Other Index Options'!$C:$C,$A52,'NSE - Other Index Options'!$B:$B,E$4,'NSE - Other Index Options'!$H:$H,"MDAW*")=0,"",SUMIFS('NSE - NIFTY Index Options'!$L:$L,'NSE - NIFTY Index Options'!$C:$C,$A52,'NSE - NIFTY Index Options'!$B:$B,E$4,'NSE - NIFTY Index Options'!$H:$H,"Weekly*")+SUMIFS('NSE - NIFTY Index Options'!$L:$L,'NSE - NIFTY Index Options'!$C:$C,$A52,'NSE - NIFTY Index Options'!$B:$B,E$4,'NSE - NIFTY Index Options'!$H:$H,"MDAW*")+SUMIFS('NSE - Other Index Options'!$L:$L,'NSE - Other Index Options'!$C:$C,$A52,'NSE - Other Index Options'!$B:$B,E$4,'NSE - Other Index Options'!$H:$H,"Weekly*")+SUMIFS('NSE - Other Index Options'!$L:$L,'NSE - Other Index Options'!$C:$C,$A52,'NSE - Other Index Options'!$B:$B,E$4,'NSE - Other Index Options'!$H:$H,"MDAW*"))</f>
        <v>24566.86</v>
      </c>
      <c r="F52" s="26" t="str">
        <f>IF(SUMIFS('NSE - NIFTY Index Options'!$L:$L,'NSE - NIFTY Index Options'!$C:$C,$A52,'NSE - NIFTY Index Options'!$B:$B,F$4,'NSE - NIFTY Index Options'!$H:$H,"Weekly*")+SUMIFS('NSE - NIFTY Index Options'!$L:$L,'NSE - NIFTY Index Options'!$C:$C,$A52,'NSE - NIFTY Index Options'!$B:$B,F$4,'NSE - NIFTY Index Options'!$H:$H,"MDAW*")+SUMIFS('NSE - Other Index Options'!$L:$L,'NSE - Other Index Options'!$C:$C,$A52,'NSE - Other Index Options'!$B:$B,F$4,'NSE - Other Index Options'!$H:$H,"Weekly*")+SUMIFS('NSE - Other Index Options'!$L:$L,'NSE - Other Index Options'!$C:$C,$A52,'NSE - Other Index Options'!$B:$B,F$4,'NSE - Other Index Options'!$H:$H,"MDAW*")=0,"",SUMIFS('NSE - NIFTY Index Options'!$L:$L,'NSE - NIFTY Index Options'!$C:$C,$A52,'NSE - NIFTY Index Options'!$B:$B,F$4,'NSE - NIFTY Index Options'!$H:$H,"Weekly*")+SUMIFS('NSE - NIFTY Index Options'!$L:$L,'NSE - NIFTY Index Options'!$C:$C,$A52,'NSE - NIFTY Index Options'!$B:$B,F$4,'NSE - NIFTY Index Options'!$H:$H,"MDAW*")+SUMIFS('NSE - Other Index Options'!$L:$L,'NSE - Other Index Options'!$C:$C,$A52,'NSE - Other Index Options'!$B:$B,F$4,'NSE - Other Index Options'!$H:$H,"Weekly*")+SUMIFS('NSE - Other Index Options'!$L:$L,'NSE - Other Index Options'!$C:$C,$A52,'NSE - Other Index Options'!$B:$B,F$4,'NSE - Other Index Options'!$H:$H,"MDAW*"))</f>
        <v/>
      </c>
      <c r="G52" s="26" t="str">
        <f>IF(SUMIFS('NSE - NIFTY Index Options'!$L:$L,'NSE - NIFTY Index Options'!$C:$C,$A52,'NSE - NIFTY Index Options'!$B:$B,G$4,'NSE - NIFTY Index Options'!$H:$H,"Weekly*")+SUMIFS('NSE - NIFTY Index Options'!$L:$L,'NSE - NIFTY Index Options'!$C:$C,$A52,'NSE - NIFTY Index Options'!$B:$B,G$4,'NSE - NIFTY Index Options'!$H:$H,"MDAW*")+SUMIFS('NSE - Other Index Options'!$L:$L,'NSE - Other Index Options'!$C:$C,$A52,'NSE - Other Index Options'!$B:$B,G$4,'NSE - Other Index Options'!$H:$H,"Weekly*")+SUMIFS('NSE - Other Index Options'!$L:$L,'NSE - Other Index Options'!$C:$C,$A52,'NSE - Other Index Options'!$B:$B,G$4,'NSE - Other Index Options'!$H:$H,"MDAW*")=0,"",SUMIFS('NSE - NIFTY Index Options'!$L:$L,'NSE - NIFTY Index Options'!$C:$C,$A52,'NSE - NIFTY Index Options'!$B:$B,G$4,'NSE - NIFTY Index Options'!$H:$H,"Weekly*")+SUMIFS('NSE - NIFTY Index Options'!$L:$L,'NSE - NIFTY Index Options'!$C:$C,$A52,'NSE - NIFTY Index Options'!$B:$B,G$4,'NSE - NIFTY Index Options'!$H:$H,"MDAW*")+SUMIFS('NSE - Other Index Options'!$L:$L,'NSE - Other Index Options'!$C:$C,$A52,'NSE - Other Index Options'!$B:$B,G$4,'NSE - Other Index Options'!$H:$H,"Weekly*")+SUMIFS('NSE - Other Index Options'!$L:$L,'NSE - Other Index Options'!$C:$C,$A52,'NSE - Other Index Options'!$B:$B,G$4,'NSE - Other Index Options'!$H:$H,"MDAW*"))</f>
        <v/>
      </c>
      <c r="H52" s="26">
        <f t="shared" si="1"/>
        <v>143458.52000000002</v>
      </c>
    </row>
    <row r="53" spans="1:8">
      <c r="A53" t="s">
        <v>58</v>
      </c>
      <c r="B53" s="26">
        <f>IF(SUMIFS('NSE - NIFTY Index Options'!$L:$L,'NSE - NIFTY Index Options'!$C:$C,$A53,'NSE - NIFTY Index Options'!$B:$B,B$4,'NSE - NIFTY Index Options'!$H:$H,"Weekly*")+SUMIFS('NSE - NIFTY Index Options'!$L:$L,'NSE - NIFTY Index Options'!$C:$C,$A53,'NSE - NIFTY Index Options'!$B:$B,B$4,'NSE - NIFTY Index Options'!$H:$H,"MDAW*")+SUMIFS('NSE - Other Index Options'!$L:$L,'NSE - Other Index Options'!$C:$C,$A53,'NSE - Other Index Options'!$B:$B,B$4,'NSE - Other Index Options'!$H:$H,"Weekly*")+SUMIFS('NSE - Other Index Options'!$L:$L,'NSE - Other Index Options'!$C:$C,$A53,'NSE - Other Index Options'!$B:$B,B$4,'NSE - Other Index Options'!$H:$H,"MDAW*")=0,"",SUMIFS('NSE - NIFTY Index Options'!$L:$L,'NSE - NIFTY Index Options'!$C:$C,$A53,'NSE - NIFTY Index Options'!$B:$B,B$4,'NSE - NIFTY Index Options'!$H:$H,"Weekly*")+SUMIFS('NSE - NIFTY Index Options'!$L:$L,'NSE - NIFTY Index Options'!$C:$C,$A53,'NSE - NIFTY Index Options'!$B:$B,B$4,'NSE - NIFTY Index Options'!$H:$H,"MDAW*")+SUMIFS('NSE - Other Index Options'!$L:$L,'NSE - Other Index Options'!$C:$C,$A53,'NSE - Other Index Options'!$B:$B,B$4,'NSE - Other Index Options'!$H:$H,"Weekly*")+SUMIFS('NSE - Other Index Options'!$L:$L,'NSE - Other Index Options'!$C:$C,$A53,'NSE - Other Index Options'!$B:$B,B$4,'NSE - Other Index Options'!$H:$H,"MDAW*"))</f>
        <v>51674.85</v>
      </c>
      <c r="C53" s="26">
        <f>IF(SUMIFS('NSE - NIFTY Index Options'!$L:$L,'NSE - NIFTY Index Options'!$C:$C,$A53,'NSE - NIFTY Index Options'!$B:$B,C$4,'NSE - NIFTY Index Options'!$H:$H,"Weekly*")+SUMIFS('NSE - NIFTY Index Options'!$L:$L,'NSE - NIFTY Index Options'!$C:$C,$A53,'NSE - NIFTY Index Options'!$B:$B,C$4,'NSE - NIFTY Index Options'!$H:$H,"MDAW*")+SUMIFS('NSE - Other Index Options'!$L:$L,'NSE - Other Index Options'!$C:$C,$A53,'NSE - Other Index Options'!$B:$B,C$4,'NSE - Other Index Options'!$H:$H,"Weekly*")+SUMIFS('NSE - Other Index Options'!$L:$L,'NSE - Other Index Options'!$C:$C,$A53,'NSE - Other Index Options'!$B:$B,C$4,'NSE - Other Index Options'!$H:$H,"MDAW*")=0,"",SUMIFS('NSE - NIFTY Index Options'!$L:$L,'NSE - NIFTY Index Options'!$C:$C,$A53,'NSE - NIFTY Index Options'!$B:$B,C$4,'NSE - NIFTY Index Options'!$H:$H,"Weekly*")+SUMIFS('NSE - NIFTY Index Options'!$L:$L,'NSE - NIFTY Index Options'!$C:$C,$A53,'NSE - NIFTY Index Options'!$B:$B,C$4,'NSE - NIFTY Index Options'!$H:$H,"MDAW*")+SUMIFS('NSE - Other Index Options'!$L:$L,'NSE - Other Index Options'!$C:$C,$A53,'NSE - Other Index Options'!$B:$B,C$4,'NSE - Other Index Options'!$H:$H,"Weekly*")+SUMIFS('NSE - Other Index Options'!$L:$L,'NSE - Other Index Options'!$C:$C,$A53,'NSE - Other Index Options'!$B:$B,C$4,'NSE - Other Index Options'!$H:$H,"MDAW*"))</f>
        <v>64451.840000000004</v>
      </c>
      <c r="D53" s="26" t="str">
        <f>IF(SUMIFS('NSE - NIFTY Index Options'!$L:$L,'NSE - NIFTY Index Options'!$C:$C,$A53,'NSE - NIFTY Index Options'!$B:$B,D$4,'NSE - NIFTY Index Options'!$H:$H,"Weekly*")+SUMIFS('NSE - NIFTY Index Options'!$L:$L,'NSE - NIFTY Index Options'!$C:$C,$A53,'NSE - NIFTY Index Options'!$B:$B,D$4,'NSE - NIFTY Index Options'!$H:$H,"MDAW*")+SUMIFS('NSE - Other Index Options'!$L:$L,'NSE - Other Index Options'!$C:$C,$A53,'NSE - Other Index Options'!$B:$B,D$4,'NSE - Other Index Options'!$H:$H,"Weekly*")+SUMIFS('NSE - Other Index Options'!$L:$L,'NSE - Other Index Options'!$C:$C,$A53,'NSE - Other Index Options'!$B:$B,D$4,'NSE - Other Index Options'!$H:$H,"MDAW*")=0,"",SUMIFS('NSE - NIFTY Index Options'!$L:$L,'NSE - NIFTY Index Options'!$C:$C,$A53,'NSE - NIFTY Index Options'!$B:$B,D$4,'NSE - NIFTY Index Options'!$H:$H,"Weekly*")+SUMIFS('NSE - NIFTY Index Options'!$L:$L,'NSE - NIFTY Index Options'!$C:$C,$A53,'NSE - NIFTY Index Options'!$B:$B,D$4,'NSE - NIFTY Index Options'!$H:$H,"MDAW*")+SUMIFS('NSE - Other Index Options'!$L:$L,'NSE - Other Index Options'!$C:$C,$A53,'NSE - Other Index Options'!$B:$B,D$4,'NSE - Other Index Options'!$H:$H,"Weekly*")+SUMIFS('NSE - Other Index Options'!$L:$L,'NSE - Other Index Options'!$C:$C,$A53,'NSE - Other Index Options'!$B:$B,D$4,'NSE - Other Index Options'!$H:$H,"MDAW*"))</f>
        <v/>
      </c>
      <c r="E53" s="26" t="str">
        <f>IF(SUMIFS('NSE - NIFTY Index Options'!$L:$L,'NSE - NIFTY Index Options'!$C:$C,$A53,'NSE - NIFTY Index Options'!$B:$B,E$4,'NSE - NIFTY Index Options'!$H:$H,"Weekly*")+SUMIFS('NSE - NIFTY Index Options'!$L:$L,'NSE - NIFTY Index Options'!$C:$C,$A53,'NSE - NIFTY Index Options'!$B:$B,E$4,'NSE - NIFTY Index Options'!$H:$H,"MDAW*")+SUMIFS('NSE - Other Index Options'!$L:$L,'NSE - Other Index Options'!$C:$C,$A53,'NSE - Other Index Options'!$B:$B,E$4,'NSE - Other Index Options'!$H:$H,"Weekly*")+SUMIFS('NSE - Other Index Options'!$L:$L,'NSE - Other Index Options'!$C:$C,$A53,'NSE - Other Index Options'!$B:$B,E$4,'NSE - Other Index Options'!$H:$H,"MDAW*")=0,"",SUMIFS('NSE - NIFTY Index Options'!$L:$L,'NSE - NIFTY Index Options'!$C:$C,$A53,'NSE - NIFTY Index Options'!$B:$B,E$4,'NSE - NIFTY Index Options'!$H:$H,"Weekly*")+SUMIFS('NSE - NIFTY Index Options'!$L:$L,'NSE - NIFTY Index Options'!$C:$C,$A53,'NSE - NIFTY Index Options'!$B:$B,E$4,'NSE - NIFTY Index Options'!$H:$H,"MDAW*")+SUMIFS('NSE - Other Index Options'!$L:$L,'NSE - Other Index Options'!$C:$C,$A53,'NSE - Other Index Options'!$B:$B,E$4,'NSE - Other Index Options'!$H:$H,"Weekly*")+SUMIFS('NSE - Other Index Options'!$L:$L,'NSE - Other Index Options'!$C:$C,$A53,'NSE - Other Index Options'!$B:$B,E$4,'NSE - Other Index Options'!$H:$H,"MDAW*"))</f>
        <v/>
      </c>
      <c r="F53" s="26" t="str">
        <f>IF(SUMIFS('NSE - NIFTY Index Options'!$L:$L,'NSE - NIFTY Index Options'!$C:$C,$A53,'NSE - NIFTY Index Options'!$B:$B,F$4,'NSE - NIFTY Index Options'!$H:$H,"Weekly*")+SUMIFS('NSE - NIFTY Index Options'!$L:$L,'NSE - NIFTY Index Options'!$C:$C,$A53,'NSE - NIFTY Index Options'!$B:$B,F$4,'NSE - NIFTY Index Options'!$H:$H,"MDAW*")+SUMIFS('NSE - Other Index Options'!$L:$L,'NSE - Other Index Options'!$C:$C,$A53,'NSE - Other Index Options'!$B:$B,F$4,'NSE - Other Index Options'!$H:$H,"Weekly*")+SUMIFS('NSE - Other Index Options'!$L:$L,'NSE - Other Index Options'!$C:$C,$A53,'NSE - Other Index Options'!$B:$B,F$4,'NSE - Other Index Options'!$H:$H,"MDAW*")=0,"",SUMIFS('NSE - NIFTY Index Options'!$L:$L,'NSE - NIFTY Index Options'!$C:$C,$A53,'NSE - NIFTY Index Options'!$B:$B,F$4,'NSE - NIFTY Index Options'!$H:$H,"Weekly*")+SUMIFS('NSE - NIFTY Index Options'!$L:$L,'NSE - NIFTY Index Options'!$C:$C,$A53,'NSE - NIFTY Index Options'!$B:$B,F$4,'NSE - NIFTY Index Options'!$H:$H,"MDAW*")+SUMIFS('NSE - Other Index Options'!$L:$L,'NSE - Other Index Options'!$C:$C,$A53,'NSE - Other Index Options'!$B:$B,F$4,'NSE - Other Index Options'!$H:$H,"Weekly*")+SUMIFS('NSE - Other Index Options'!$L:$L,'NSE - Other Index Options'!$C:$C,$A53,'NSE - Other Index Options'!$B:$B,F$4,'NSE - Other Index Options'!$H:$H,"MDAW*"))</f>
        <v/>
      </c>
      <c r="G53" s="26" t="str">
        <f>IF(SUMIFS('NSE - NIFTY Index Options'!$L:$L,'NSE - NIFTY Index Options'!$C:$C,$A53,'NSE - NIFTY Index Options'!$B:$B,G$4,'NSE - NIFTY Index Options'!$H:$H,"Weekly*")+SUMIFS('NSE - NIFTY Index Options'!$L:$L,'NSE - NIFTY Index Options'!$C:$C,$A53,'NSE - NIFTY Index Options'!$B:$B,G$4,'NSE - NIFTY Index Options'!$H:$H,"MDAW*")+SUMIFS('NSE - Other Index Options'!$L:$L,'NSE - Other Index Options'!$C:$C,$A53,'NSE - Other Index Options'!$B:$B,G$4,'NSE - Other Index Options'!$H:$H,"Weekly*")+SUMIFS('NSE - Other Index Options'!$L:$L,'NSE - Other Index Options'!$C:$C,$A53,'NSE - Other Index Options'!$B:$B,G$4,'NSE - Other Index Options'!$H:$H,"MDAW*")=0,"",SUMIFS('NSE - NIFTY Index Options'!$L:$L,'NSE - NIFTY Index Options'!$C:$C,$A53,'NSE - NIFTY Index Options'!$B:$B,G$4,'NSE - NIFTY Index Options'!$H:$H,"Weekly*")+SUMIFS('NSE - NIFTY Index Options'!$L:$L,'NSE - NIFTY Index Options'!$C:$C,$A53,'NSE - NIFTY Index Options'!$B:$B,G$4,'NSE - NIFTY Index Options'!$H:$H,"MDAW*")+SUMIFS('NSE - Other Index Options'!$L:$L,'NSE - Other Index Options'!$C:$C,$A53,'NSE - Other Index Options'!$B:$B,G$4,'NSE - Other Index Options'!$H:$H,"Weekly*")+SUMIFS('NSE - Other Index Options'!$L:$L,'NSE - Other Index Options'!$C:$C,$A53,'NSE - Other Index Options'!$B:$B,G$4,'NSE - Other Index Options'!$H:$H,"MDAW*"))</f>
        <v/>
      </c>
      <c r="H53" s="26">
        <f t="shared" si="1"/>
        <v>116126.69</v>
      </c>
    </row>
    <row r="54" spans="1:8">
      <c r="A54" t="s">
        <v>59</v>
      </c>
      <c r="B54" s="26">
        <f>IF(SUMIFS('NSE - NIFTY Index Options'!$L:$L,'NSE - NIFTY Index Options'!$C:$C,$A54,'NSE - NIFTY Index Options'!$B:$B,B$4,'NSE - NIFTY Index Options'!$H:$H,"Weekly*")+SUMIFS('NSE - NIFTY Index Options'!$L:$L,'NSE - NIFTY Index Options'!$C:$C,$A54,'NSE - NIFTY Index Options'!$B:$B,B$4,'NSE - NIFTY Index Options'!$H:$H,"MDAW*")+SUMIFS('NSE - Other Index Options'!$L:$L,'NSE - Other Index Options'!$C:$C,$A54,'NSE - Other Index Options'!$B:$B,B$4,'NSE - Other Index Options'!$H:$H,"Weekly*")+SUMIFS('NSE - Other Index Options'!$L:$L,'NSE - Other Index Options'!$C:$C,$A54,'NSE - Other Index Options'!$B:$B,B$4,'NSE - Other Index Options'!$H:$H,"MDAW*")=0,"",SUMIFS('NSE - NIFTY Index Options'!$L:$L,'NSE - NIFTY Index Options'!$C:$C,$A54,'NSE - NIFTY Index Options'!$B:$B,B$4,'NSE - NIFTY Index Options'!$H:$H,"Weekly*")+SUMIFS('NSE - NIFTY Index Options'!$L:$L,'NSE - NIFTY Index Options'!$C:$C,$A54,'NSE - NIFTY Index Options'!$B:$B,B$4,'NSE - NIFTY Index Options'!$H:$H,"MDAW*")+SUMIFS('NSE - Other Index Options'!$L:$L,'NSE - Other Index Options'!$C:$C,$A54,'NSE - Other Index Options'!$B:$B,B$4,'NSE - Other Index Options'!$H:$H,"Weekly*")+SUMIFS('NSE - Other Index Options'!$L:$L,'NSE - Other Index Options'!$C:$C,$A54,'NSE - Other Index Options'!$B:$B,B$4,'NSE - Other Index Options'!$H:$H,"MDAW*"))</f>
        <v>34447.22</v>
      </c>
      <c r="C54" s="26">
        <f>IF(SUMIFS('NSE - NIFTY Index Options'!$L:$L,'NSE - NIFTY Index Options'!$C:$C,$A54,'NSE - NIFTY Index Options'!$B:$B,C$4,'NSE - NIFTY Index Options'!$H:$H,"Weekly*")+SUMIFS('NSE - NIFTY Index Options'!$L:$L,'NSE - NIFTY Index Options'!$C:$C,$A54,'NSE - NIFTY Index Options'!$B:$B,C$4,'NSE - NIFTY Index Options'!$H:$H,"MDAW*")+SUMIFS('NSE - Other Index Options'!$L:$L,'NSE - Other Index Options'!$C:$C,$A54,'NSE - Other Index Options'!$B:$B,C$4,'NSE - Other Index Options'!$H:$H,"Weekly*")+SUMIFS('NSE - Other Index Options'!$L:$L,'NSE - Other Index Options'!$C:$C,$A54,'NSE - Other Index Options'!$B:$B,C$4,'NSE - Other Index Options'!$H:$H,"MDAW*")=0,"",SUMIFS('NSE - NIFTY Index Options'!$L:$L,'NSE - NIFTY Index Options'!$C:$C,$A54,'NSE - NIFTY Index Options'!$B:$B,C$4,'NSE - NIFTY Index Options'!$H:$H,"Weekly*")+SUMIFS('NSE - NIFTY Index Options'!$L:$L,'NSE - NIFTY Index Options'!$C:$C,$A54,'NSE - NIFTY Index Options'!$B:$B,C$4,'NSE - NIFTY Index Options'!$H:$H,"MDAW*")+SUMIFS('NSE - Other Index Options'!$L:$L,'NSE - Other Index Options'!$C:$C,$A54,'NSE - Other Index Options'!$B:$B,C$4,'NSE - Other Index Options'!$H:$H,"Weekly*")+SUMIFS('NSE - Other Index Options'!$L:$L,'NSE - Other Index Options'!$C:$C,$A54,'NSE - Other Index Options'!$B:$B,C$4,'NSE - Other Index Options'!$H:$H,"MDAW*"))</f>
        <v>55845.19</v>
      </c>
      <c r="D54" s="26">
        <f>IF(SUMIFS('NSE - NIFTY Index Options'!$L:$L,'NSE - NIFTY Index Options'!$C:$C,$A54,'NSE - NIFTY Index Options'!$B:$B,D$4,'NSE - NIFTY Index Options'!$H:$H,"Weekly*")+SUMIFS('NSE - NIFTY Index Options'!$L:$L,'NSE - NIFTY Index Options'!$C:$C,$A54,'NSE - NIFTY Index Options'!$B:$B,D$4,'NSE - NIFTY Index Options'!$H:$H,"MDAW*")+SUMIFS('NSE - Other Index Options'!$L:$L,'NSE - Other Index Options'!$C:$C,$A54,'NSE - Other Index Options'!$B:$B,D$4,'NSE - Other Index Options'!$H:$H,"Weekly*")+SUMIFS('NSE - Other Index Options'!$L:$L,'NSE - Other Index Options'!$C:$C,$A54,'NSE - Other Index Options'!$B:$B,D$4,'NSE - Other Index Options'!$H:$H,"MDAW*")=0,"",SUMIFS('NSE - NIFTY Index Options'!$L:$L,'NSE - NIFTY Index Options'!$C:$C,$A54,'NSE - NIFTY Index Options'!$B:$B,D$4,'NSE - NIFTY Index Options'!$H:$H,"Weekly*")+SUMIFS('NSE - NIFTY Index Options'!$L:$L,'NSE - NIFTY Index Options'!$C:$C,$A54,'NSE - NIFTY Index Options'!$B:$B,D$4,'NSE - NIFTY Index Options'!$H:$H,"MDAW*")+SUMIFS('NSE - Other Index Options'!$L:$L,'NSE - Other Index Options'!$C:$C,$A54,'NSE - Other Index Options'!$B:$B,D$4,'NSE - Other Index Options'!$H:$H,"Weekly*")+SUMIFS('NSE - Other Index Options'!$L:$L,'NSE - Other Index Options'!$C:$C,$A54,'NSE - Other Index Options'!$B:$B,D$4,'NSE - Other Index Options'!$H:$H,"MDAW*"))</f>
        <v>26761.16</v>
      </c>
      <c r="E54" s="26">
        <f>IF(SUMIFS('NSE - NIFTY Index Options'!$L:$L,'NSE - NIFTY Index Options'!$C:$C,$A54,'NSE - NIFTY Index Options'!$B:$B,E$4,'NSE - NIFTY Index Options'!$H:$H,"Weekly*")+SUMIFS('NSE - NIFTY Index Options'!$L:$L,'NSE - NIFTY Index Options'!$C:$C,$A54,'NSE - NIFTY Index Options'!$B:$B,E$4,'NSE - NIFTY Index Options'!$H:$H,"MDAW*")+SUMIFS('NSE - Other Index Options'!$L:$L,'NSE - Other Index Options'!$C:$C,$A54,'NSE - Other Index Options'!$B:$B,E$4,'NSE - Other Index Options'!$H:$H,"Weekly*")+SUMIFS('NSE - Other Index Options'!$L:$L,'NSE - Other Index Options'!$C:$C,$A54,'NSE - Other Index Options'!$B:$B,E$4,'NSE - Other Index Options'!$H:$H,"MDAW*")=0,"",SUMIFS('NSE - NIFTY Index Options'!$L:$L,'NSE - NIFTY Index Options'!$C:$C,$A54,'NSE - NIFTY Index Options'!$B:$B,E$4,'NSE - NIFTY Index Options'!$H:$H,"Weekly*")+SUMIFS('NSE - NIFTY Index Options'!$L:$L,'NSE - NIFTY Index Options'!$C:$C,$A54,'NSE - NIFTY Index Options'!$B:$B,E$4,'NSE - NIFTY Index Options'!$H:$H,"MDAW*")+SUMIFS('NSE - Other Index Options'!$L:$L,'NSE - Other Index Options'!$C:$C,$A54,'NSE - Other Index Options'!$B:$B,E$4,'NSE - Other Index Options'!$H:$H,"Weekly*")+SUMIFS('NSE - Other Index Options'!$L:$L,'NSE - Other Index Options'!$C:$C,$A54,'NSE - Other Index Options'!$B:$B,E$4,'NSE - Other Index Options'!$H:$H,"MDAW*"))</f>
        <v>21436.27</v>
      </c>
      <c r="F54" s="26">
        <f>IF(SUMIFS('NSE - NIFTY Index Options'!$L:$L,'NSE - NIFTY Index Options'!$C:$C,$A54,'NSE - NIFTY Index Options'!$B:$B,F$4,'NSE - NIFTY Index Options'!$H:$H,"Weekly*")+SUMIFS('NSE - NIFTY Index Options'!$L:$L,'NSE - NIFTY Index Options'!$C:$C,$A54,'NSE - NIFTY Index Options'!$B:$B,F$4,'NSE - NIFTY Index Options'!$H:$H,"MDAW*")+SUMIFS('NSE - Other Index Options'!$L:$L,'NSE - Other Index Options'!$C:$C,$A54,'NSE - Other Index Options'!$B:$B,F$4,'NSE - Other Index Options'!$H:$H,"Weekly*")+SUMIFS('NSE - Other Index Options'!$L:$L,'NSE - Other Index Options'!$C:$C,$A54,'NSE - Other Index Options'!$B:$B,F$4,'NSE - Other Index Options'!$H:$H,"MDAW*")=0,"",SUMIFS('NSE - NIFTY Index Options'!$L:$L,'NSE - NIFTY Index Options'!$C:$C,$A54,'NSE - NIFTY Index Options'!$B:$B,F$4,'NSE - NIFTY Index Options'!$H:$H,"Weekly*")+SUMIFS('NSE - NIFTY Index Options'!$L:$L,'NSE - NIFTY Index Options'!$C:$C,$A54,'NSE - NIFTY Index Options'!$B:$B,F$4,'NSE - NIFTY Index Options'!$H:$H,"MDAW*")+SUMIFS('NSE - Other Index Options'!$L:$L,'NSE - Other Index Options'!$C:$C,$A54,'NSE - Other Index Options'!$B:$B,F$4,'NSE - Other Index Options'!$H:$H,"Weekly*")+SUMIFS('NSE - Other Index Options'!$L:$L,'NSE - Other Index Options'!$C:$C,$A54,'NSE - Other Index Options'!$B:$B,F$4,'NSE - Other Index Options'!$H:$H,"MDAW*"))</f>
        <v>35153.1</v>
      </c>
      <c r="G54" s="26" t="str">
        <f>IF(SUMIFS('NSE - NIFTY Index Options'!$L:$L,'NSE - NIFTY Index Options'!$C:$C,$A54,'NSE - NIFTY Index Options'!$B:$B,G$4,'NSE - NIFTY Index Options'!$H:$H,"Weekly*")+SUMIFS('NSE - NIFTY Index Options'!$L:$L,'NSE - NIFTY Index Options'!$C:$C,$A54,'NSE - NIFTY Index Options'!$B:$B,G$4,'NSE - NIFTY Index Options'!$H:$H,"MDAW*")+SUMIFS('NSE - Other Index Options'!$L:$L,'NSE - Other Index Options'!$C:$C,$A54,'NSE - Other Index Options'!$B:$B,G$4,'NSE - Other Index Options'!$H:$H,"Weekly*")+SUMIFS('NSE - Other Index Options'!$L:$L,'NSE - Other Index Options'!$C:$C,$A54,'NSE - Other Index Options'!$B:$B,G$4,'NSE - Other Index Options'!$H:$H,"MDAW*")=0,"",SUMIFS('NSE - NIFTY Index Options'!$L:$L,'NSE - NIFTY Index Options'!$C:$C,$A54,'NSE - NIFTY Index Options'!$B:$B,G$4,'NSE - NIFTY Index Options'!$H:$H,"Weekly*")+SUMIFS('NSE - NIFTY Index Options'!$L:$L,'NSE - NIFTY Index Options'!$C:$C,$A54,'NSE - NIFTY Index Options'!$B:$B,G$4,'NSE - NIFTY Index Options'!$H:$H,"MDAW*")+SUMIFS('NSE - Other Index Options'!$L:$L,'NSE - Other Index Options'!$C:$C,$A54,'NSE - Other Index Options'!$B:$B,G$4,'NSE - Other Index Options'!$H:$H,"Weekly*")+SUMIFS('NSE - Other Index Options'!$L:$L,'NSE - Other Index Options'!$C:$C,$A54,'NSE - Other Index Options'!$B:$B,G$4,'NSE - Other Index Options'!$H:$H,"MDAW*"))</f>
        <v/>
      </c>
      <c r="H54" s="26">
        <f t="shared" si="1"/>
        <v>173642.94</v>
      </c>
    </row>
    <row r="55" spans="1:8">
      <c r="A55" t="s">
        <v>60</v>
      </c>
      <c r="B55" s="26" t="str">
        <f>IF(SUMIFS('NSE - NIFTY Index Options'!$L:$L,'NSE - NIFTY Index Options'!$C:$C,$A55,'NSE - NIFTY Index Options'!$B:$B,B$4,'NSE - NIFTY Index Options'!$H:$H,"Weekly*")+SUMIFS('NSE - NIFTY Index Options'!$L:$L,'NSE - NIFTY Index Options'!$C:$C,$A55,'NSE - NIFTY Index Options'!$B:$B,B$4,'NSE - NIFTY Index Options'!$H:$H,"MDAW*")+SUMIFS('NSE - Other Index Options'!$L:$L,'NSE - Other Index Options'!$C:$C,$A55,'NSE - Other Index Options'!$B:$B,B$4,'NSE - Other Index Options'!$H:$H,"Weekly*")+SUMIFS('NSE - Other Index Options'!$L:$L,'NSE - Other Index Options'!$C:$C,$A55,'NSE - Other Index Options'!$B:$B,B$4,'NSE - Other Index Options'!$H:$H,"MDAW*")=0,"",SUMIFS('NSE - NIFTY Index Options'!$L:$L,'NSE - NIFTY Index Options'!$C:$C,$A55,'NSE - NIFTY Index Options'!$B:$B,B$4,'NSE - NIFTY Index Options'!$H:$H,"Weekly*")+SUMIFS('NSE - NIFTY Index Options'!$L:$L,'NSE - NIFTY Index Options'!$C:$C,$A55,'NSE - NIFTY Index Options'!$B:$B,B$4,'NSE - NIFTY Index Options'!$H:$H,"MDAW*")+SUMIFS('NSE - Other Index Options'!$L:$L,'NSE - Other Index Options'!$C:$C,$A55,'NSE - Other Index Options'!$B:$B,B$4,'NSE - Other Index Options'!$H:$H,"Weekly*")+SUMIFS('NSE - Other Index Options'!$L:$L,'NSE - Other Index Options'!$C:$C,$A55,'NSE - Other Index Options'!$B:$B,B$4,'NSE - Other Index Options'!$H:$H,"MDAW*"))</f>
        <v/>
      </c>
      <c r="C55" s="26" t="str">
        <f>IF(SUMIFS('NSE - NIFTY Index Options'!$L:$L,'NSE - NIFTY Index Options'!$C:$C,$A55,'NSE - NIFTY Index Options'!$B:$B,C$4,'NSE - NIFTY Index Options'!$H:$H,"Weekly*")+SUMIFS('NSE - NIFTY Index Options'!$L:$L,'NSE - NIFTY Index Options'!$C:$C,$A55,'NSE - NIFTY Index Options'!$B:$B,C$4,'NSE - NIFTY Index Options'!$H:$H,"MDAW*")+SUMIFS('NSE - Other Index Options'!$L:$L,'NSE - Other Index Options'!$C:$C,$A55,'NSE - Other Index Options'!$B:$B,C$4,'NSE - Other Index Options'!$H:$H,"Weekly*")+SUMIFS('NSE - Other Index Options'!$L:$L,'NSE - Other Index Options'!$C:$C,$A55,'NSE - Other Index Options'!$B:$B,C$4,'NSE - Other Index Options'!$H:$H,"MDAW*")=0,"",SUMIFS('NSE - NIFTY Index Options'!$L:$L,'NSE - NIFTY Index Options'!$C:$C,$A55,'NSE - NIFTY Index Options'!$B:$B,C$4,'NSE - NIFTY Index Options'!$H:$H,"Weekly*")+SUMIFS('NSE - NIFTY Index Options'!$L:$L,'NSE - NIFTY Index Options'!$C:$C,$A55,'NSE - NIFTY Index Options'!$B:$B,C$4,'NSE - NIFTY Index Options'!$H:$H,"MDAW*")+SUMIFS('NSE - Other Index Options'!$L:$L,'NSE - Other Index Options'!$C:$C,$A55,'NSE - Other Index Options'!$B:$B,C$4,'NSE - Other Index Options'!$H:$H,"Weekly*")+SUMIFS('NSE - Other Index Options'!$L:$L,'NSE - Other Index Options'!$C:$C,$A55,'NSE - Other Index Options'!$B:$B,C$4,'NSE - Other Index Options'!$H:$H,"MDAW*"))</f>
        <v/>
      </c>
      <c r="D55" s="26">
        <f>IF(SUMIFS('NSE - NIFTY Index Options'!$L:$L,'NSE - NIFTY Index Options'!$C:$C,$A55,'NSE - NIFTY Index Options'!$B:$B,D$4,'NSE - NIFTY Index Options'!$H:$H,"Weekly*")+SUMIFS('NSE - NIFTY Index Options'!$L:$L,'NSE - NIFTY Index Options'!$C:$C,$A55,'NSE - NIFTY Index Options'!$B:$B,D$4,'NSE - NIFTY Index Options'!$H:$H,"MDAW*")+SUMIFS('NSE - Other Index Options'!$L:$L,'NSE - Other Index Options'!$C:$C,$A55,'NSE - Other Index Options'!$B:$B,D$4,'NSE - Other Index Options'!$H:$H,"Weekly*")+SUMIFS('NSE - Other Index Options'!$L:$L,'NSE - Other Index Options'!$C:$C,$A55,'NSE - Other Index Options'!$B:$B,D$4,'NSE - Other Index Options'!$H:$H,"MDAW*")=0,"",SUMIFS('NSE - NIFTY Index Options'!$L:$L,'NSE - NIFTY Index Options'!$C:$C,$A55,'NSE - NIFTY Index Options'!$B:$B,D$4,'NSE - NIFTY Index Options'!$H:$H,"Weekly*")+SUMIFS('NSE - NIFTY Index Options'!$L:$L,'NSE - NIFTY Index Options'!$C:$C,$A55,'NSE - NIFTY Index Options'!$B:$B,D$4,'NSE - NIFTY Index Options'!$H:$H,"MDAW*")+SUMIFS('NSE - Other Index Options'!$L:$L,'NSE - Other Index Options'!$C:$C,$A55,'NSE - Other Index Options'!$B:$B,D$4,'NSE - Other Index Options'!$H:$H,"Weekly*")+SUMIFS('NSE - Other Index Options'!$L:$L,'NSE - Other Index Options'!$C:$C,$A55,'NSE - Other Index Options'!$B:$B,D$4,'NSE - Other Index Options'!$H:$H,"MDAW*"))</f>
        <v>37557.14</v>
      </c>
      <c r="E55" s="26" t="str">
        <f>IF(SUMIFS('NSE - NIFTY Index Options'!$L:$L,'NSE - NIFTY Index Options'!$C:$C,$A55,'NSE - NIFTY Index Options'!$B:$B,E$4,'NSE - NIFTY Index Options'!$H:$H,"Weekly*")+SUMIFS('NSE - NIFTY Index Options'!$L:$L,'NSE - NIFTY Index Options'!$C:$C,$A55,'NSE - NIFTY Index Options'!$B:$B,E$4,'NSE - NIFTY Index Options'!$H:$H,"MDAW*")+SUMIFS('NSE - Other Index Options'!$L:$L,'NSE - Other Index Options'!$C:$C,$A55,'NSE - Other Index Options'!$B:$B,E$4,'NSE - Other Index Options'!$H:$H,"Weekly*")+SUMIFS('NSE - Other Index Options'!$L:$L,'NSE - Other Index Options'!$C:$C,$A55,'NSE - Other Index Options'!$B:$B,E$4,'NSE - Other Index Options'!$H:$H,"MDAW*")=0,"",SUMIFS('NSE - NIFTY Index Options'!$L:$L,'NSE - NIFTY Index Options'!$C:$C,$A55,'NSE - NIFTY Index Options'!$B:$B,E$4,'NSE - NIFTY Index Options'!$H:$H,"Weekly*")+SUMIFS('NSE - NIFTY Index Options'!$L:$L,'NSE - NIFTY Index Options'!$C:$C,$A55,'NSE - NIFTY Index Options'!$B:$B,E$4,'NSE - NIFTY Index Options'!$H:$H,"MDAW*")+SUMIFS('NSE - Other Index Options'!$L:$L,'NSE - Other Index Options'!$C:$C,$A55,'NSE - Other Index Options'!$B:$B,E$4,'NSE - Other Index Options'!$H:$H,"Weekly*")+SUMIFS('NSE - Other Index Options'!$L:$L,'NSE - Other Index Options'!$C:$C,$A55,'NSE - Other Index Options'!$B:$B,E$4,'NSE - Other Index Options'!$H:$H,"MDAW*"))</f>
        <v/>
      </c>
      <c r="F55" s="26" t="str">
        <f>IF(SUMIFS('NSE - NIFTY Index Options'!$L:$L,'NSE - NIFTY Index Options'!$C:$C,$A55,'NSE - NIFTY Index Options'!$B:$B,F$4,'NSE - NIFTY Index Options'!$H:$H,"Weekly*")+SUMIFS('NSE - NIFTY Index Options'!$L:$L,'NSE - NIFTY Index Options'!$C:$C,$A55,'NSE - NIFTY Index Options'!$B:$B,F$4,'NSE - NIFTY Index Options'!$H:$H,"MDAW*")+SUMIFS('NSE - Other Index Options'!$L:$L,'NSE - Other Index Options'!$C:$C,$A55,'NSE - Other Index Options'!$B:$B,F$4,'NSE - Other Index Options'!$H:$H,"Weekly*")+SUMIFS('NSE - Other Index Options'!$L:$L,'NSE - Other Index Options'!$C:$C,$A55,'NSE - Other Index Options'!$B:$B,F$4,'NSE - Other Index Options'!$H:$H,"MDAW*")=0,"",SUMIFS('NSE - NIFTY Index Options'!$L:$L,'NSE - NIFTY Index Options'!$C:$C,$A55,'NSE - NIFTY Index Options'!$B:$B,F$4,'NSE - NIFTY Index Options'!$H:$H,"Weekly*")+SUMIFS('NSE - NIFTY Index Options'!$L:$L,'NSE - NIFTY Index Options'!$C:$C,$A55,'NSE - NIFTY Index Options'!$B:$B,F$4,'NSE - NIFTY Index Options'!$H:$H,"MDAW*")+SUMIFS('NSE - Other Index Options'!$L:$L,'NSE - Other Index Options'!$C:$C,$A55,'NSE - Other Index Options'!$B:$B,F$4,'NSE - Other Index Options'!$H:$H,"Weekly*")+SUMIFS('NSE - Other Index Options'!$L:$L,'NSE - Other Index Options'!$C:$C,$A55,'NSE - Other Index Options'!$B:$B,F$4,'NSE - Other Index Options'!$H:$H,"MDAW*"))</f>
        <v/>
      </c>
      <c r="G55" s="26" t="str">
        <f>IF(SUMIFS('NSE - NIFTY Index Options'!$L:$L,'NSE - NIFTY Index Options'!$C:$C,$A55,'NSE - NIFTY Index Options'!$B:$B,G$4,'NSE - NIFTY Index Options'!$H:$H,"Weekly*")+SUMIFS('NSE - NIFTY Index Options'!$L:$L,'NSE - NIFTY Index Options'!$C:$C,$A55,'NSE - NIFTY Index Options'!$B:$B,G$4,'NSE - NIFTY Index Options'!$H:$H,"MDAW*")+SUMIFS('NSE - Other Index Options'!$L:$L,'NSE - Other Index Options'!$C:$C,$A55,'NSE - Other Index Options'!$B:$B,G$4,'NSE - Other Index Options'!$H:$H,"Weekly*")+SUMIFS('NSE - Other Index Options'!$L:$L,'NSE - Other Index Options'!$C:$C,$A55,'NSE - Other Index Options'!$B:$B,G$4,'NSE - Other Index Options'!$H:$H,"MDAW*")=0,"",SUMIFS('NSE - NIFTY Index Options'!$L:$L,'NSE - NIFTY Index Options'!$C:$C,$A55,'NSE - NIFTY Index Options'!$B:$B,G$4,'NSE - NIFTY Index Options'!$H:$H,"Weekly*")+SUMIFS('NSE - NIFTY Index Options'!$L:$L,'NSE - NIFTY Index Options'!$C:$C,$A55,'NSE - NIFTY Index Options'!$B:$B,G$4,'NSE - NIFTY Index Options'!$H:$H,"MDAW*")+SUMIFS('NSE - Other Index Options'!$L:$L,'NSE - Other Index Options'!$C:$C,$A55,'NSE - Other Index Options'!$B:$B,G$4,'NSE - Other Index Options'!$H:$H,"Weekly*")+SUMIFS('NSE - Other Index Options'!$L:$L,'NSE - Other Index Options'!$C:$C,$A55,'NSE - Other Index Options'!$B:$B,G$4,'NSE - Other Index Options'!$H:$H,"MDAW*"))</f>
        <v/>
      </c>
      <c r="H55" s="26">
        <f t="shared" si="1"/>
        <v>37557.14</v>
      </c>
    </row>
    <row r="56" spans="1:8">
      <c r="A56" t="s">
        <v>61</v>
      </c>
      <c r="B56" s="26" t="str">
        <f>IF(SUMIFS('NSE - NIFTY Index Options'!$L:$L,'NSE - NIFTY Index Options'!$C:$C,$A56,'NSE - NIFTY Index Options'!$B:$B,B$4,'NSE - NIFTY Index Options'!$H:$H,"Weekly*")+SUMIFS('NSE - NIFTY Index Options'!$L:$L,'NSE - NIFTY Index Options'!$C:$C,$A56,'NSE - NIFTY Index Options'!$B:$B,B$4,'NSE - NIFTY Index Options'!$H:$H,"MDAW*")+SUMIFS('NSE - Other Index Options'!$L:$L,'NSE - Other Index Options'!$C:$C,$A56,'NSE - Other Index Options'!$B:$B,B$4,'NSE - Other Index Options'!$H:$H,"Weekly*")+SUMIFS('NSE - Other Index Options'!$L:$L,'NSE - Other Index Options'!$C:$C,$A56,'NSE - Other Index Options'!$B:$B,B$4,'NSE - Other Index Options'!$H:$H,"MDAW*")=0,"",SUMIFS('NSE - NIFTY Index Options'!$L:$L,'NSE - NIFTY Index Options'!$C:$C,$A56,'NSE - NIFTY Index Options'!$B:$B,B$4,'NSE - NIFTY Index Options'!$H:$H,"Weekly*")+SUMIFS('NSE - NIFTY Index Options'!$L:$L,'NSE - NIFTY Index Options'!$C:$C,$A56,'NSE - NIFTY Index Options'!$B:$B,B$4,'NSE - NIFTY Index Options'!$H:$H,"MDAW*")+SUMIFS('NSE - Other Index Options'!$L:$L,'NSE - Other Index Options'!$C:$C,$A56,'NSE - Other Index Options'!$B:$B,B$4,'NSE - Other Index Options'!$H:$H,"Weekly*")+SUMIFS('NSE - Other Index Options'!$L:$L,'NSE - Other Index Options'!$C:$C,$A56,'NSE - Other Index Options'!$B:$B,B$4,'NSE - Other Index Options'!$H:$H,"MDAW*"))</f>
        <v/>
      </c>
      <c r="C56" s="26" t="str">
        <f>IF(SUMIFS('NSE - NIFTY Index Options'!$L:$L,'NSE - NIFTY Index Options'!$C:$C,$A56,'NSE - NIFTY Index Options'!$B:$B,C$4,'NSE - NIFTY Index Options'!$H:$H,"Weekly*")+SUMIFS('NSE - NIFTY Index Options'!$L:$L,'NSE - NIFTY Index Options'!$C:$C,$A56,'NSE - NIFTY Index Options'!$B:$B,C$4,'NSE - NIFTY Index Options'!$H:$H,"MDAW*")+SUMIFS('NSE - Other Index Options'!$L:$L,'NSE - Other Index Options'!$C:$C,$A56,'NSE - Other Index Options'!$B:$B,C$4,'NSE - Other Index Options'!$H:$H,"Weekly*")+SUMIFS('NSE - Other Index Options'!$L:$L,'NSE - Other Index Options'!$C:$C,$A56,'NSE - Other Index Options'!$B:$B,C$4,'NSE - Other Index Options'!$H:$H,"MDAW*")=0,"",SUMIFS('NSE - NIFTY Index Options'!$L:$L,'NSE - NIFTY Index Options'!$C:$C,$A56,'NSE - NIFTY Index Options'!$B:$B,C$4,'NSE - NIFTY Index Options'!$H:$H,"Weekly*")+SUMIFS('NSE - NIFTY Index Options'!$L:$L,'NSE - NIFTY Index Options'!$C:$C,$A56,'NSE - NIFTY Index Options'!$B:$B,C$4,'NSE - NIFTY Index Options'!$H:$H,"MDAW*")+SUMIFS('NSE - Other Index Options'!$L:$L,'NSE - Other Index Options'!$C:$C,$A56,'NSE - Other Index Options'!$B:$B,C$4,'NSE - Other Index Options'!$H:$H,"Weekly*")+SUMIFS('NSE - Other Index Options'!$L:$L,'NSE - Other Index Options'!$C:$C,$A56,'NSE - Other Index Options'!$B:$B,C$4,'NSE - Other Index Options'!$H:$H,"MDAW*"))</f>
        <v/>
      </c>
      <c r="D56" s="26" t="str">
        <f>IF(SUMIFS('NSE - NIFTY Index Options'!$L:$L,'NSE - NIFTY Index Options'!$C:$C,$A56,'NSE - NIFTY Index Options'!$B:$B,D$4,'NSE - NIFTY Index Options'!$H:$H,"Weekly*")+SUMIFS('NSE - NIFTY Index Options'!$L:$L,'NSE - NIFTY Index Options'!$C:$C,$A56,'NSE - NIFTY Index Options'!$B:$B,D$4,'NSE - NIFTY Index Options'!$H:$H,"MDAW*")+SUMIFS('NSE - Other Index Options'!$L:$L,'NSE - Other Index Options'!$C:$C,$A56,'NSE - Other Index Options'!$B:$B,D$4,'NSE - Other Index Options'!$H:$H,"Weekly*")+SUMIFS('NSE - Other Index Options'!$L:$L,'NSE - Other Index Options'!$C:$C,$A56,'NSE - Other Index Options'!$B:$B,D$4,'NSE - Other Index Options'!$H:$H,"MDAW*")=0,"",SUMIFS('NSE - NIFTY Index Options'!$L:$L,'NSE - NIFTY Index Options'!$C:$C,$A56,'NSE - NIFTY Index Options'!$B:$B,D$4,'NSE - NIFTY Index Options'!$H:$H,"Weekly*")+SUMIFS('NSE - NIFTY Index Options'!$L:$L,'NSE - NIFTY Index Options'!$C:$C,$A56,'NSE - NIFTY Index Options'!$B:$B,D$4,'NSE - NIFTY Index Options'!$H:$H,"MDAW*")+SUMIFS('NSE - Other Index Options'!$L:$L,'NSE - Other Index Options'!$C:$C,$A56,'NSE - Other Index Options'!$B:$B,D$4,'NSE - Other Index Options'!$H:$H,"Weekly*")+SUMIFS('NSE - Other Index Options'!$L:$L,'NSE - Other Index Options'!$C:$C,$A56,'NSE - Other Index Options'!$B:$B,D$4,'NSE - Other Index Options'!$H:$H,"MDAW*"))</f>
        <v/>
      </c>
      <c r="E56" s="26" t="str">
        <f>IF(SUMIFS('NSE - NIFTY Index Options'!$L:$L,'NSE - NIFTY Index Options'!$C:$C,$A56,'NSE - NIFTY Index Options'!$B:$B,E$4,'NSE - NIFTY Index Options'!$H:$H,"Weekly*")+SUMIFS('NSE - NIFTY Index Options'!$L:$L,'NSE - NIFTY Index Options'!$C:$C,$A56,'NSE - NIFTY Index Options'!$B:$B,E$4,'NSE - NIFTY Index Options'!$H:$H,"MDAW*")+SUMIFS('NSE - Other Index Options'!$L:$L,'NSE - Other Index Options'!$C:$C,$A56,'NSE - Other Index Options'!$B:$B,E$4,'NSE - Other Index Options'!$H:$H,"Weekly*")+SUMIFS('NSE - Other Index Options'!$L:$L,'NSE - Other Index Options'!$C:$C,$A56,'NSE - Other Index Options'!$B:$B,E$4,'NSE - Other Index Options'!$H:$H,"MDAW*")=0,"",SUMIFS('NSE - NIFTY Index Options'!$L:$L,'NSE - NIFTY Index Options'!$C:$C,$A56,'NSE - NIFTY Index Options'!$B:$B,E$4,'NSE - NIFTY Index Options'!$H:$H,"Weekly*")+SUMIFS('NSE - NIFTY Index Options'!$L:$L,'NSE - NIFTY Index Options'!$C:$C,$A56,'NSE - NIFTY Index Options'!$B:$B,E$4,'NSE - NIFTY Index Options'!$H:$H,"MDAW*")+SUMIFS('NSE - Other Index Options'!$L:$L,'NSE - Other Index Options'!$C:$C,$A56,'NSE - Other Index Options'!$B:$B,E$4,'NSE - Other Index Options'!$H:$H,"Weekly*")+SUMIFS('NSE - Other Index Options'!$L:$L,'NSE - Other Index Options'!$C:$C,$A56,'NSE - Other Index Options'!$B:$B,E$4,'NSE - Other Index Options'!$H:$H,"MDAW*"))</f>
        <v/>
      </c>
      <c r="F56" s="26" t="str">
        <f>IF(SUMIFS('NSE - NIFTY Index Options'!$L:$L,'NSE - NIFTY Index Options'!$C:$C,$A56,'NSE - NIFTY Index Options'!$B:$B,F$4,'NSE - NIFTY Index Options'!$H:$H,"Weekly*")+SUMIFS('NSE - NIFTY Index Options'!$L:$L,'NSE - NIFTY Index Options'!$C:$C,$A56,'NSE - NIFTY Index Options'!$B:$B,F$4,'NSE - NIFTY Index Options'!$H:$H,"MDAW*")+SUMIFS('NSE - Other Index Options'!$L:$L,'NSE - Other Index Options'!$C:$C,$A56,'NSE - Other Index Options'!$B:$B,F$4,'NSE - Other Index Options'!$H:$H,"Weekly*")+SUMIFS('NSE - Other Index Options'!$L:$L,'NSE - Other Index Options'!$C:$C,$A56,'NSE - Other Index Options'!$B:$B,F$4,'NSE - Other Index Options'!$H:$H,"MDAW*")=0,"",SUMIFS('NSE - NIFTY Index Options'!$L:$L,'NSE - NIFTY Index Options'!$C:$C,$A56,'NSE - NIFTY Index Options'!$B:$B,F$4,'NSE - NIFTY Index Options'!$H:$H,"Weekly*")+SUMIFS('NSE - NIFTY Index Options'!$L:$L,'NSE - NIFTY Index Options'!$C:$C,$A56,'NSE - NIFTY Index Options'!$B:$B,F$4,'NSE - NIFTY Index Options'!$H:$H,"MDAW*")+SUMIFS('NSE - Other Index Options'!$L:$L,'NSE - Other Index Options'!$C:$C,$A56,'NSE - Other Index Options'!$B:$B,F$4,'NSE - Other Index Options'!$H:$H,"Weekly*")+SUMIFS('NSE - Other Index Options'!$L:$L,'NSE - Other Index Options'!$C:$C,$A56,'NSE - Other Index Options'!$B:$B,F$4,'NSE - Other Index Options'!$H:$H,"MDAW*"))</f>
        <v/>
      </c>
      <c r="G56" s="26" t="str">
        <f>IF(SUMIFS('NSE - NIFTY Index Options'!$L:$L,'NSE - NIFTY Index Options'!$C:$C,$A56,'NSE - NIFTY Index Options'!$B:$B,G$4,'NSE - NIFTY Index Options'!$H:$H,"Weekly*")+SUMIFS('NSE - NIFTY Index Options'!$L:$L,'NSE - NIFTY Index Options'!$C:$C,$A56,'NSE - NIFTY Index Options'!$B:$B,G$4,'NSE - NIFTY Index Options'!$H:$H,"MDAW*")+SUMIFS('NSE - Other Index Options'!$L:$L,'NSE - Other Index Options'!$C:$C,$A56,'NSE - Other Index Options'!$B:$B,G$4,'NSE - Other Index Options'!$H:$H,"Weekly*")+SUMIFS('NSE - Other Index Options'!$L:$L,'NSE - Other Index Options'!$C:$C,$A56,'NSE - Other Index Options'!$B:$B,G$4,'NSE - Other Index Options'!$H:$H,"MDAW*")=0,"",SUMIFS('NSE - NIFTY Index Options'!$L:$L,'NSE - NIFTY Index Options'!$C:$C,$A56,'NSE - NIFTY Index Options'!$B:$B,G$4,'NSE - NIFTY Index Options'!$H:$H,"Weekly*")+SUMIFS('NSE - NIFTY Index Options'!$L:$L,'NSE - NIFTY Index Options'!$C:$C,$A56,'NSE - NIFTY Index Options'!$B:$B,G$4,'NSE - NIFTY Index Options'!$H:$H,"MDAW*")+SUMIFS('NSE - Other Index Options'!$L:$L,'NSE - Other Index Options'!$C:$C,$A56,'NSE - Other Index Options'!$B:$B,G$4,'NSE - Other Index Options'!$H:$H,"Weekly*")+SUMIFS('NSE - Other Index Options'!$L:$L,'NSE - Other Index Options'!$C:$C,$A56,'NSE - Other Index Options'!$B:$B,G$4,'NSE - Other Index Options'!$H:$H,"MDAW*"))</f>
        <v/>
      </c>
      <c r="H56" s="26" t="str">
        <f t="shared" si="1"/>
        <v/>
      </c>
    </row>
    <row r="57" spans="1:8">
      <c r="A57" t="s">
        <v>62</v>
      </c>
      <c r="B57" s="26" t="str">
        <f>IF(SUMIFS('NSE - NIFTY Index Options'!$L:$L,'NSE - NIFTY Index Options'!$C:$C,$A57,'NSE - NIFTY Index Options'!$B:$B,B$4,'NSE - NIFTY Index Options'!$H:$H,"Weekly*")+SUMIFS('NSE - NIFTY Index Options'!$L:$L,'NSE - NIFTY Index Options'!$C:$C,$A57,'NSE - NIFTY Index Options'!$B:$B,B$4,'NSE - NIFTY Index Options'!$H:$H,"MDAW*")+SUMIFS('NSE - Other Index Options'!$L:$L,'NSE - Other Index Options'!$C:$C,$A57,'NSE - Other Index Options'!$B:$B,B$4,'NSE - Other Index Options'!$H:$H,"Weekly*")+SUMIFS('NSE - Other Index Options'!$L:$L,'NSE - Other Index Options'!$C:$C,$A57,'NSE - Other Index Options'!$B:$B,B$4,'NSE - Other Index Options'!$H:$H,"MDAW*")=0,"",SUMIFS('NSE - NIFTY Index Options'!$L:$L,'NSE - NIFTY Index Options'!$C:$C,$A57,'NSE - NIFTY Index Options'!$B:$B,B$4,'NSE - NIFTY Index Options'!$H:$H,"Weekly*")+SUMIFS('NSE - NIFTY Index Options'!$L:$L,'NSE - NIFTY Index Options'!$C:$C,$A57,'NSE - NIFTY Index Options'!$B:$B,B$4,'NSE - NIFTY Index Options'!$H:$H,"MDAW*")+SUMIFS('NSE - Other Index Options'!$L:$L,'NSE - Other Index Options'!$C:$C,$A57,'NSE - Other Index Options'!$B:$B,B$4,'NSE - Other Index Options'!$H:$H,"Weekly*")+SUMIFS('NSE - Other Index Options'!$L:$L,'NSE - Other Index Options'!$C:$C,$A57,'NSE - Other Index Options'!$B:$B,B$4,'NSE - Other Index Options'!$H:$H,"MDAW*"))</f>
        <v/>
      </c>
      <c r="C57" s="26" t="str">
        <f>IF(SUMIFS('NSE - NIFTY Index Options'!$L:$L,'NSE - NIFTY Index Options'!$C:$C,$A57,'NSE - NIFTY Index Options'!$B:$B,C$4,'NSE - NIFTY Index Options'!$H:$H,"Weekly*")+SUMIFS('NSE - NIFTY Index Options'!$L:$L,'NSE - NIFTY Index Options'!$C:$C,$A57,'NSE - NIFTY Index Options'!$B:$B,C$4,'NSE - NIFTY Index Options'!$H:$H,"MDAW*")+SUMIFS('NSE - Other Index Options'!$L:$L,'NSE - Other Index Options'!$C:$C,$A57,'NSE - Other Index Options'!$B:$B,C$4,'NSE - Other Index Options'!$H:$H,"Weekly*")+SUMIFS('NSE - Other Index Options'!$L:$L,'NSE - Other Index Options'!$C:$C,$A57,'NSE - Other Index Options'!$B:$B,C$4,'NSE - Other Index Options'!$H:$H,"MDAW*")=0,"",SUMIFS('NSE - NIFTY Index Options'!$L:$L,'NSE - NIFTY Index Options'!$C:$C,$A57,'NSE - NIFTY Index Options'!$B:$B,C$4,'NSE - NIFTY Index Options'!$H:$H,"Weekly*")+SUMIFS('NSE - NIFTY Index Options'!$L:$L,'NSE - NIFTY Index Options'!$C:$C,$A57,'NSE - NIFTY Index Options'!$B:$B,C$4,'NSE - NIFTY Index Options'!$H:$H,"MDAW*")+SUMIFS('NSE - Other Index Options'!$L:$L,'NSE - Other Index Options'!$C:$C,$A57,'NSE - Other Index Options'!$B:$B,C$4,'NSE - Other Index Options'!$H:$H,"Weekly*")+SUMIFS('NSE - Other Index Options'!$L:$L,'NSE - Other Index Options'!$C:$C,$A57,'NSE - Other Index Options'!$B:$B,C$4,'NSE - Other Index Options'!$H:$H,"MDAW*"))</f>
        <v/>
      </c>
      <c r="D57" s="26" t="str">
        <f>IF(SUMIFS('NSE - NIFTY Index Options'!$L:$L,'NSE - NIFTY Index Options'!$C:$C,$A57,'NSE - NIFTY Index Options'!$B:$B,D$4,'NSE - NIFTY Index Options'!$H:$H,"Weekly*")+SUMIFS('NSE - NIFTY Index Options'!$L:$L,'NSE - NIFTY Index Options'!$C:$C,$A57,'NSE - NIFTY Index Options'!$B:$B,D$4,'NSE - NIFTY Index Options'!$H:$H,"MDAW*")+SUMIFS('NSE - Other Index Options'!$L:$L,'NSE - Other Index Options'!$C:$C,$A57,'NSE - Other Index Options'!$B:$B,D$4,'NSE - Other Index Options'!$H:$H,"Weekly*")+SUMIFS('NSE - Other Index Options'!$L:$L,'NSE - Other Index Options'!$C:$C,$A57,'NSE - Other Index Options'!$B:$B,D$4,'NSE - Other Index Options'!$H:$H,"MDAW*")=0,"",SUMIFS('NSE - NIFTY Index Options'!$L:$L,'NSE - NIFTY Index Options'!$C:$C,$A57,'NSE - NIFTY Index Options'!$B:$B,D$4,'NSE - NIFTY Index Options'!$H:$H,"Weekly*")+SUMIFS('NSE - NIFTY Index Options'!$L:$L,'NSE - NIFTY Index Options'!$C:$C,$A57,'NSE - NIFTY Index Options'!$B:$B,D$4,'NSE - NIFTY Index Options'!$H:$H,"MDAW*")+SUMIFS('NSE - Other Index Options'!$L:$L,'NSE - Other Index Options'!$C:$C,$A57,'NSE - Other Index Options'!$B:$B,D$4,'NSE - Other Index Options'!$H:$H,"Weekly*")+SUMIFS('NSE - Other Index Options'!$L:$L,'NSE - Other Index Options'!$C:$C,$A57,'NSE - Other Index Options'!$B:$B,D$4,'NSE - Other Index Options'!$H:$H,"MDAW*"))</f>
        <v/>
      </c>
      <c r="E57" s="26" t="str">
        <f>IF(SUMIFS('NSE - NIFTY Index Options'!$L:$L,'NSE - NIFTY Index Options'!$C:$C,$A57,'NSE - NIFTY Index Options'!$B:$B,E$4,'NSE - NIFTY Index Options'!$H:$H,"Weekly*")+SUMIFS('NSE - NIFTY Index Options'!$L:$L,'NSE - NIFTY Index Options'!$C:$C,$A57,'NSE - NIFTY Index Options'!$B:$B,E$4,'NSE - NIFTY Index Options'!$H:$H,"MDAW*")+SUMIFS('NSE - Other Index Options'!$L:$L,'NSE - Other Index Options'!$C:$C,$A57,'NSE - Other Index Options'!$B:$B,E$4,'NSE - Other Index Options'!$H:$H,"Weekly*")+SUMIFS('NSE - Other Index Options'!$L:$L,'NSE - Other Index Options'!$C:$C,$A57,'NSE - Other Index Options'!$B:$B,E$4,'NSE - Other Index Options'!$H:$H,"MDAW*")=0,"",SUMIFS('NSE - NIFTY Index Options'!$L:$L,'NSE - NIFTY Index Options'!$C:$C,$A57,'NSE - NIFTY Index Options'!$B:$B,E$4,'NSE - NIFTY Index Options'!$H:$H,"Weekly*")+SUMIFS('NSE - NIFTY Index Options'!$L:$L,'NSE - NIFTY Index Options'!$C:$C,$A57,'NSE - NIFTY Index Options'!$B:$B,E$4,'NSE - NIFTY Index Options'!$H:$H,"MDAW*")+SUMIFS('NSE - Other Index Options'!$L:$L,'NSE - Other Index Options'!$C:$C,$A57,'NSE - Other Index Options'!$B:$B,E$4,'NSE - Other Index Options'!$H:$H,"Weekly*")+SUMIFS('NSE - Other Index Options'!$L:$L,'NSE - Other Index Options'!$C:$C,$A57,'NSE - Other Index Options'!$B:$B,E$4,'NSE - Other Index Options'!$H:$H,"MDAW*"))</f>
        <v/>
      </c>
      <c r="F57" s="26" t="str">
        <f>IF(SUMIFS('NSE - NIFTY Index Options'!$L:$L,'NSE - NIFTY Index Options'!$C:$C,$A57,'NSE - NIFTY Index Options'!$B:$B,F$4,'NSE - NIFTY Index Options'!$H:$H,"Weekly*")+SUMIFS('NSE - NIFTY Index Options'!$L:$L,'NSE - NIFTY Index Options'!$C:$C,$A57,'NSE - NIFTY Index Options'!$B:$B,F$4,'NSE - NIFTY Index Options'!$H:$H,"MDAW*")+SUMIFS('NSE - Other Index Options'!$L:$L,'NSE - Other Index Options'!$C:$C,$A57,'NSE - Other Index Options'!$B:$B,F$4,'NSE - Other Index Options'!$H:$H,"Weekly*")+SUMIFS('NSE - Other Index Options'!$L:$L,'NSE - Other Index Options'!$C:$C,$A57,'NSE - Other Index Options'!$B:$B,F$4,'NSE - Other Index Options'!$H:$H,"MDAW*")=0,"",SUMIFS('NSE - NIFTY Index Options'!$L:$L,'NSE - NIFTY Index Options'!$C:$C,$A57,'NSE - NIFTY Index Options'!$B:$B,F$4,'NSE - NIFTY Index Options'!$H:$H,"Weekly*")+SUMIFS('NSE - NIFTY Index Options'!$L:$L,'NSE - NIFTY Index Options'!$C:$C,$A57,'NSE - NIFTY Index Options'!$B:$B,F$4,'NSE - NIFTY Index Options'!$H:$H,"MDAW*")+SUMIFS('NSE - Other Index Options'!$L:$L,'NSE - Other Index Options'!$C:$C,$A57,'NSE - Other Index Options'!$B:$B,F$4,'NSE - Other Index Options'!$H:$H,"Weekly*")+SUMIFS('NSE - Other Index Options'!$L:$L,'NSE - Other Index Options'!$C:$C,$A57,'NSE - Other Index Options'!$B:$B,F$4,'NSE - Other Index Options'!$H:$H,"MDAW*"))</f>
        <v/>
      </c>
      <c r="G57" s="26" t="str">
        <f>IF(SUMIFS('NSE - NIFTY Index Options'!$L:$L,'NSE - NIFTY Index Options'!$C:$C,$A57,'NSE - NIFTY Index Options'!$B:$B,G$4,'NSE - NIFTY Index Options'!$H:$H,"Weekly*")+SUMIFS('NSE - NIFTY Index Options'!$L:$L,'NSE - NIFTY Index Options'!$C:$C,$A57,'NSE - NIFTY Index Options'!$B:$B,G$4,'NSE - NIFTY Index Options'!$H:$H,"MDAW*")+SUMIFS('NSE - Other Index Options'!$L:$L,'NSE - Other Index Options'!$C:$C,$A57,'NSE - Other Index Options'!$B:$B,G$4,'NSE - Other Index Options'!$H:$H,"Weekly*")+SUMIFS('NSE - Other Index Options'!$L:$L,'NSE - Other Index Options'!$C:$C,$A57,'NSE - Other Index Options'!$B:$B,G$4,'NSE - Other Index Options'!$H:$H,"MDAW*")=0,"",SUMIFS('NSE - NIFTY Index Options'!$L:$L,'NSE - NIFTY Index Options'!$C:$C,$A57,'NSE - NIFTY Index Options'!$B:$B,G$4,'NSE - NIFTY Index Options'!$H:$H,"Weekly*")+SUMIFS('NSE - NIFTY Index Options'!$L:$L,'NSE - NIFTY Index Options'!$C:$C,$A57,'NSE - NIFTY Index Options'!$B:$B,G$4,'NSE - NIFTY Index Options'!$H:$H,"MDAW*")+SUMIFS('NSE - Other Index Options'!$L:$L,'NSE - Other Index Options'!$C:$C,$A57,'NSE - Other Index Options'!$B:$B,G$4,'NSE - Other Index Options'!$H:$H,"Weekly*")+SUMIFS('NSE - Other Index Options'!$L:$L,'NSE - Other Index Options'!$C:$C,$A57,'NSE - Other Index Options'!$B:$B,G$4,'NSE - Other Index Options'!$H:$H,"MDAW*"))</f>
        <v/>
      </c>
      <c r="H57" s="26" t="str">
        <f t="shared" si="1"/>
        <v/>
      </c>
    </row>
    <row r="58" spans="1:8">
      <c r="A58" t="s">
        <v>63</v>
      </c>
      <c r="B58" s="26" t="str">
        <f>IF(SUMIFS('NSE - NIFTY Index Options'!$L:$L,'NSE - NIFTY Index Options'!$C:$C,$A58,'NSE - NIFTY Index Options'!$B:$B,B$4,'NSE - NIFTY Index Options'!$H:$H,"Weekly*")+SUMIFS('NSE - NIFTY Index Options'!$L:$L,'NSE - NIFTY Index Options'!$C:$C,$A58,'NSE - NIFTY Index Options'!$B:$B,B$4,'NSE - NIFTY Index Options'!$H:$H,"MDAW*")+SUMIFS('NSE - Other Index Options'!$L:$L,'NSE - Other Index Options'!$C:$C,$A58,'NSE - Other Index Options'!$B:$B,B$4,'NSE - Other Index Options'!$H:$H,"Weekly*")+SUMIFS('NSE - Other Index Options'!$L:$L,'NSE - Other Index Options'!$C:$C,$A58,'NSE - Other Index Options'!$B:$B,B$4,'NSE - Other Index Options'!$H:$H,"MDAW*")=0,"",SUMIFS('NSE - NIFTY Index Options'!$L:$L,'NSE - NIFTY Index Options'!$C:$C,$A58,'NSE - NIFTY Index Options'!$B:$B,B$4,'NSE - NIFTY Index Options'!$H:$H,"Weekly*")+SUMIFS('NSE - NIFTY Index Options'!$L:$L,'NSE - NIFTY Index Options'!$C:$C,$A58,'NSE - NIFTY Index Options'!$B:$B,B$4,'NSE - NIFTY Index Options'!$H:$H,"MDAW*")+SUMIFS('NSE - Other Index Options'!$L:$L,'NSE - Other Index Options'!$C:$C,$A58,'NSE - Other Index Options'!$B:$B,B$4,'NSE - Other Index Options'!$H:$H,"Weekly*")+SUMIFS('NSE - Other Index Options'!$L:$L,'NSE - Other Index Options'!$C:$C,$A58,'NSE - Other Index Options'!$B:$B,B$4,'NSE - Other Index Options'!$H:$H,"MDAW*"))</f>
        <v/>
      </c>
      <c r="C58" s="26" t="str">
        <f>IF(SUMIFS('NSE - NIFTY Index Options'!$L:$L,'NSE - NIFTY Index Options'!$C:$C,$A58,'NSE - NIFTY Index Options'!$B:$B,C$4,'NSE - NIFTY Index Options'!$H:$H,"Weekly*")+SUMIFS('NSE - NIFTY Index Options'!$L:$L,'NSE - NIFTY Index Options'!$C:$C,$A58,'NSE - NIFTY Index Options'!$B:$B,C$4,'NSE - NIFTY Index Options'!$H:$H,"MDAW*")+SUMIFS('NSE - Other Index Options'!$L:$L,'NSE - Other Index Options'!$C:$C,$A58,'NSE - Other Index Options'!$B:$B,C$4,'NSE - Other Index Options'!$H:$H,"Weekly*")+SUMIFS('NSE - Other Index Options'!$L:$L,'NSE - Other Index Options'!$C:$C,$A58,'NSE - Other Index Options'!$B:$B,C$4,'NSE - Other Index Options'!$H:$H,"MDAW*")=0,"",SUMIFS('NSE - NIFTY Index Options'!$L:$L,'NSE - NIFTY Index Options'!$C:$C,$A58,'NSE - NIFTY Index Options'!$B:$B,C$4,'NSE - NIFTY Index Options'!$H:$H,"Weekly*")+SUMIFS('NSE - NIFTY Index Options'!$L:$L,'NSE - NIFTY Index Options'!$C:$C,$A58,'NSE - NIFTY Index Options'!$B:$B,C$4,'NSE - NIFTY Index Options'!$H:$H,"MDAW*")+SUMIFS('NSE - Other Index Options'!$L:$L,'NSE - Other Index Options'!$C:$C,$A58,'NSE - Other Index Options'!$B:$B,C$4,'NSE - Other Index Options'!$H:$H,"Weekly*")+SUMIFS('NSE - Other Index Options'!$L:$L,'NSE - Other Index Options'!$C:$C,$A58,'NSE - Other Index Options'!$B:$B,C$4,'NSE - Other Index Options'!$H:$H,"MDAW*"))</f>
        <v/>
      </c>
      <c r="D58" s="26" t="str">
        <f>IF(SUMIFS('NSE - NIFTY Index Options'!$L:$L,'NSE - NIFTY Index Options'!$C:$C,$A58,'NSE - NIFTY Index Options'!$B:$B,D$4,'NSE - NIFTY Index Options'!$H:$H,"Weekly*")+SUMIFS('NSE - NIFTY Index Options'!$L:$L,'NSE - NIFTY Index Options'!$C:$C,$A58,'NSE - NIFTY Index Options'!$B:$B,D$4,'NSE - NIFTY Index Options'!$H:$H,"MDAW*")+SUMIFS('NSE - Other Index Options'!$L:$L,'NSE - Other Index Options'!$C:$C,$A58,'NSE - Other Index Options'!$B:$B,D$4,'NSE - Other Index Options'!$H:$H,"Weekly*")+SUMIFS('NSE - Other Index Options'!$L:$L,'NSE - Other Index Options'!$C:$C,$A58,'NSE - Other Index Options'!$B:$B,D$4,'NSE - Other Index Options'!$H:$H,"MDAW*")=0,"",SUMIFS('NSE - NIFTY Index Options'!$L:$L,'NSE - NIFTY Index Options'!$C:$C,$A58,'NSE - NIFTY Index Options'!$B:$B,D$4,'NSE - NIFTY Index Options'!$H:$H,"Weekly*")+SUMIFS('NSE - NIFTY Index Options'!$L:$L,'NSE - NIFTY Index Options'!$C:$C,$A58,'NSE - NIFTY Index Options'!$B:$B,D$4,'NSE - NIFTY Index Options'!$H:$H,"MDAW*")+SUMIFS('NSE - Other Index Options'!$L:$L,'NSE - Other Index Options'!$C:$C,$A58,'NSE - Other Index Options'!$B:$B,D$4,'NSE - Other Index Options'!$H:$H,"Weekly*")+SUMIFS('NSE - Other Index Options'!$L:$L,'NSE - Other Index Options'!$C:$C,$A58,'NSE - Other Index Options'!$B:$B,D$4,'NSE - Other Index Options'!$H:$H,"MDAW*"))</f>
        <v/>
      </c>
      <c r="E58" s="26" t="str">
        <f>IF(SUMIFS('NSE - NIFTY Index Options'!$L:$L,'NSE - NIFTY Index Options'!$C:$C,$A58,'NSE - NIFTY Index Options'!$B:$B,E$4,'NSE - NIFTY Index Options'!$H:$H,"Weekly*")+SUMIFS('NSE - NIFTY Index Options'!$L:$L,'NSE - NIFTY Index Options'!$C:$C,$A58,'NSE - NIFTY Index Options'!$B:$B,E$4,'NSE - NIFTY Index Options'!$H:$H,"MDAW*")+SUMIFS('NSE - Other Index Options'!$L:$L,'NSE - Other Index Options'!$C:$C,$A58,'NSE - Other Index Options'!$B:$B,E$4,'NSE - Other Index Options'!$H:$H,"Weekly*")+SUMIFS('NSE - Other Index Options'!$L:$L,'NSE - Other Index Options'!$C:$C,$A58,'NSE - Other Index Options'!$B:$B,E$4,'NSE - Other Index Options'!$H:$H,"MDAW*")=0,"",SUMIFS('NSE - NIFTY Index Options'!$L:$L,'NSE - NIFTY Index Options'!$C:$C,$A58,'NSE - NIFTY Index Options'!$B:$B,E$4,'NSE - NIFTY Index Options'!$H:$H,"Weekly*")+SUMIFS('NSE - NIFTY Index Options'!$L:$L,'NSE - NIFTY Index Options'!$C:$C,$A58,'NSE - NIFTY Index Options'!$B:$B,E$4,'NSE - NIFTY Index Options'!$H:$H,"MDAW*")+SUMIFS('NSE - Other Index Options'!$L:$L,'NSE - Other Index Options'!$C:$C,$A58,'NSE - Other Index Options'!$B:$B,E$4,'NSE - Other Index Options'!$H:$H,"Weekly*")+SUMIFS('NSE - Other Index Options'!$L:$L,'NSE - Other Index Options'!$C:$C,$A58,'NSE - Other Index Options'!$B:$B,E$4,'NSE - Other Index Options'!$H:$H,"MDAW*"))</f>
        <v/>
      </c>
      <c r="F58" s="26" t="str">
        <f>IF(SUMIFS('NSE - NIFTY Index Options'!$L:$L,'NSE - NIFTY Index Options'!$C:$C,$A58,'NSE - NIFTY Index Options'!$B:$B,F$4,'NSE - NIFTY Index Options'!$H:$H,"Weekly*")+SUMIFS('NSE - NIFTY Index Options'!$L:$L,'NSE - NIFTY Index Options'!$C:$C,$A58,'NSE - NIFTY Index Options'!$B:$B,F$4,'NSE - NIFTY Index Options'!$H:$H,"MDAW*")+SUMIFS('NSE - Other Index Options'!$L:$L,'NSE - Other Index Options'!$C:$C,$A58,'NSE - Other Index Options'!$B:$B,F$4,'NSE - Other Index Options'!$H:$H,"Weekly*")+SUMIFS('NSE - Other Index Options'!$L:$L,'NSE - Other Index Options'!$C:$C,$A58,'NSE - Other Index Options'!$B:$B,F$4,'NSE - Other Index Options'!$H:$H,"MDAW*")=0,"",SUMIFS('NSE - NIFTY Index Options'!$L:$L,'NSE - NIFTY Index Options'!$C:$C,$A58,'NSE - NIFTY Index Options'!$B:$B,F$4,'NSE - NIFTY Index Options'!$H:$H,"Weekly*")+SUMIFS('NSE - NIFTY Index Options'!$L:$L,'NSE - NIFTY Index Options'!$C:$C,$A58,'NSE - NIFTY Index Options'!$B:$B,F$4,'NSE - NIFTY Index Options'!$H:$H,"MDAW*")+SUMIFS('NSE - Other Index Options'!$L:$L,'NSE - Other Index Options'!$C:$C,$A58,'NSE - Other Index Options'!$B:$B,F$4,'NSE - Other Index Options'!$H:$H,"Weekly*")+SUMIFS('NSE - Other Index Options'!$L:$L,'NSE - Other Index Options'!$C:$C,$A58,'NSE - Other Index Options'!$B:$B,F$4,'NSE - Other Index Options'!$H:$H,"MDAW*"))</f>
        <v/>
      </c>
      <c r="G58" s="26" t="str">
        <f>IF(SUMIFS('NSE - NIFTY Index Options'!$L:$L,'NSE - NIFTY Index Options'!$C:$C,$A58,'NSE - NIFTY Index Options'!$B:$B,G$4,'NSE - NIFTY Index Options'!$H:$H,"Weekly*")+SUMIFS('NSE - NIFTY Index Options'!$L:$L,'NSE - NIFTY Index Options'!$C:$C,$A58,'NSE - NIFTY Index Options'!$B:$B,G$4,'NSE - NIFTY Index Options'!$H:$H,"MDAW*")+SUMIFS('NSE - Other Index Options'!$L:$L,'NSE - Other Index Options'!$C:$C,$A58,'NSE - Other Index Options'!$B:$B,G$4,'NSE - Other Index Options'!$H:$H,"Weekly*")+SUMIFS('NSE - Other Index Options'!$L:$L,'NSE - Other Index Options'!$C:$C,$A58,'NSE - Other Index Options'!$B:$B,G$4,'NSE - Other Index Options'!$H:$H,"MDAW*")=0,"",SUMIFS('NSE - NIFTY Index Options'!$L:$L,'NSE - NIFTY Index Options'!$C:$C,$A58,'NSE - NIFTY Index Options'!$B:$B,G$4,'NSE - NIFTY Index Options'!$H:$H,"Weekly*")+SUMIFS('NSE - NIFTY Index Options'!$L:$L,'NSE - NIFTY Index Options'!$C:$C,$A58,'NSE - NIFTY Index Options'!$B:$B,G$4,'NSE - NIFTY Index Options'!$H:$H,"MDAW*")+SUMIFS('NSE - Other Index Options'!$L:$L,'NSE - Other Index Options'!$C:$C,$A58,'NSE - Other Index Options'!$B:$B,G$4,'NSE - Other Index Options'!$H:$H,"Weekly*")+SUMIFS('NSE - Other Index Options'!$L:$L,'NSE - Other Index Options'!$C:$C,$A58,'NSE - Other Index Options'!$B:$B,G$4,'NSE - Other Index Options'!$H:$H,"MDAW*"))</f>
        <v/>
      </c>
      <c r="H58" s="26" t="str">
        <f t="shared" si="1"/>
        <v/>
      </c>
    </row>
    <row r="59" spans="1:8" hidden="1" outlineLevel="1">
      <c r="A59" t="s">
        <v>64</v>
      </c>
      <c r="B59" s="26" t="str">
        <f>IF(SUMIFS('NSE - NIFTY Index Options'!$L:$L,'NSE - NIFTY Index Options'!$C:$C,$A59,'NSE - NIFTY Index Options'!$B:$B,B$4,'NSE - NIFTY Index Options'!$H:$H,"Weekly*")+SUMIFS('NSE - NIFTY Index Options'!$L:$L,'NSE - NIFTY Index Options'!$C:$C,$A59,'NSE - NIFTY Index Options'!$B:$B,B$4,'NSE - NIFTY Index Options'!$H:$H,"MDAW*")+SUMIFS('NSE - Other Index Options'!$L:$L,'NSE - Other Index Options'!$C:$C,$A59,'NSE - Other Index Options'!$B:$B,B$4,'NSE - Other Index Options'!$H:$H,"Weekly*")+SUMIFS('NSE - Other Index Options'!$L:$L,'NSE - Other Index Options'!$C:$C,$A59,'NSE - Other Index Options'!$B:$B,B$4,'NSE - Other Index Options'!$H:$H,"MDAW*")=0,"",SUMIFS('NSE - NIFTY Index Options'!$L:$L,'NSE - NIFTY Index Options'!$C:$C,$A59,'NSE - NIFTY Index Options'!$B:$B,B$4,'NSE - NIFTY Index Options'!$H:$H,"Weekly*")+SUMIFS('NSE - NIFTY Index Options'!$L:$L,'NSE - NIFTY Index Options'!$C:$C,$A59,'NSE - NIFTY Index Options'!$B:$B,B$4,'NSE - NIFTY Index Options'!$H:$H,"MDAW*")+SUMIFS('NSE - Other Index Options'!$L:$L,'NSE - Other Index Options'!$C:$C,$A59,'NSE - Other Index Options'!$B:$B,B$4,'NSE - Other Index Options'!$H:$H,"Weekly*")+SUMIFS('NSE - Other Index Options'!$L:$L,'NSE - Other Index Options'!$C:$C,$A59,'NSE - Other Index Options'!$B:$B,B$4,'NSE - Other Index Options'!$H:$H,"MDAW*"))</f>
        <v/>
      </c>
      <c r="C59" s="26" t="str">
        <f>IF(SUMIFS('NSE - NIFTY Index Options'!$L:$L,'NSE - NIFTY Index Options'!$C:$C,$A59,'NSE - NIFTY Index Options'!$B:$B,C$4,'NSE - NIFTY Index Options'!$H:$H,"Weekly*")+SUMIFS('NSE - NIFTY Index Options'!$L:$L,'NSE - NIFTY Index Options'!$C:$C,$A59,'NSE - NIFTY Index Options'!$B:$B,C$4,'NSE - NIFTY Index Options'!$H:$H,"MDAW*")+SUMIFS('NSE - Other Index Options'!$L:$L,'NSE - Other Index Options'!$C:$C,$A59,'NSE - Other Index Options'!$B:$B,C$4,'NSE - Other Index Options'!$H:$H,"Weekly*")+SUMIFS('NSE - Other Index Options'!$L:$L,'NSE - Other Index Options'!$C:$C,$A59,'NSE - Other Index Options'!$B:$B,C$4,'NSE - Other Index Options'!$H:$H,"MDAW*")=0,"",SUMIFS('NSE - NIFTY Index Options'!$L:$L,'NSE - NIFTY Index Options'!$C:$C,$A59,'NSE - NIFTY Index Options'!$B:$B,C$4,'NSE - NIFTY Index Options'!$H:$H,"Weekly*")+SUMIFS('NSE - NIFTY Index Options'!$L:$L,'NSE - NIFTY Index Options'!$C:$C,$A59,'NSE - NIFTY Index Options'!$B:$B,C$4,'NSE - NIFTY Index Options'!$H:$H,"MDAW*")+SUMIFS('NSE - Other Index Options'!$L:$L,'NSE - Other Index Options'!$C:$C,$A59,'NSE - Other Index Options'!$B:$B,C$4,'NSE - Other Index Options'!$H:$H,"Weekly*")+SUMIFS('NSE - Other Index Options'!$L:$L,'NSE - Other Index Options'!$C:$C,$A59,'NSE - Other Index Options'!$B:$B,C$4,'NSE - Other Index Options'!$H:$H,"MDAW*"))</f>
        <v/>
      </c>
      <c r="D59" s="26" t="str">
        <f>IF(SUMIFS('NSE - NIFTY Index Options'!$L:$L,'NSE - NIFTY Index Options'!$C:$C,$A59,'NSE - NIFTY Index Options'!$B:$B,D$4,'NSE - NIFTY Index Options'!$H:$H,"Weekly*")+SUMIFS('NSE - NIFTY Index Options'!$L:$L,'NSE - NIFTY Index Options'!$C:$C,$A59,'NSE - NIFTY Index Options'!$B:$B,D$4,'NSE - NIFTY Index Options'!$H:$H,"MDAW*")+SUMIFS('NSE - Other Index Options'!$L:$L,'NSE - Other Index Options'!$C:$C,$A59,'NSE - Other Index Options'!$B:$B,D$4,'NSE - Other Index Options'!$H:$H,"Weekly*")+SUMIFS('NSE - Other Index Options'!$L:$L,'NSE - Other Index Options'!$C:$C,$A59,'NSE - Other Index Options'!$B:$B,D$4,'NSE - Other Index Options'!$H:$H,"MDAW*")=0,"",SUMIFS('NSE - NIFTY Index Options'!$L:$L,'NSE - NIFTY Index Options'!$C:$C,$A59,'NSE - NIFTY Index Options'!$B:$B,D$4,'NSE - NIFTY Index Options'!$H:$H,"Weekly*")+SUMIFS('NSE - NIFTY Index Options'!$L:$L,'NSE - NIFTY Index Options'!$C:$C,$A59,'NSE - NIFTY Index Options'!$B:$B,D$4,'NSE - NIFTY Index Options'!$H:$H,"MDAW*")+SUMIFS('NSE - Other Index Options'!$L:$L,'NSE - Other Index Options'!$C:$C,$A59,'NSE - Other Index Options'!$B:$B,D$4,'NSE - Other Index Options'!$H:$H,"Weekly*")+SUMIFS('NSE - Other Index Options'!$L:$L,'NSE - Other Index Options'!$C:$C,$A59,'NSE - Other Index Options'!$B:$B,D$4,'NSE - Other Index Options'!$H:$H,"MDAW*"))</f>
        <v/>
      </c>
      <c r="E59" s="26" t="str">
        <f>IF(SUMIFS('NSE - NIFTY Index Options'!$L:$L,'NSE - NIFTY Index Options'!$C:$C,$A59,'NSE - NIFTY Index Options'!$B:$B,E$4,'NSE - NIFTY Index Options'!$H:$H,"Weekly*")+SUMIFS('NSE - NIFTY Index Options'!$L:$L,'NSE - NIFTY Index Options'!$C:$C,$A59,'NSE - NIFTY Index Options'!$B:$B,E$4,'NSE - NIFTY Index Options'!$H:$H,"MDAW*")+SUMIFS('NSE - Other Index Options'!$L:$L,'NSE - Other Index Options'!$C:$C,$A59,'NSE - Other Index Options'!$B:$B,E$4,'NSE - Other Index Options'!$H:$H,"Weekly*")+SUMIFS('NSE - Other Index Options'!$L:$L,'NSE - Other Index Options'!$C:$C,$A59,'NSE - Other Index Options'!$B:$B,E$4,'NSE - Other Index Options'!$H:$H,"MDAW*")=0,"",SUMIFS('NSE - NIFTY Index Options'!$L:$L,'NSE - NIFTY Index Options'!$C:$C,$A59,'NSE - NIFTY Index Options'!$B:$B,E$4,'NSE - NIFTY Index Options'!$H:$H,"Weekly*")+SUMIFS('NSE - NIFTY Index Options'!$L:$L,'NSE - NIFTY Index Options'!$C:$C,$A59,'NSE - NIFTY Index Options'!$B:$B,E$4,'NSE - NIFTY Index Options'!$H:$H,"MDAW*")+SUMIFS('NSE - Other Index Options'!$L:$L,'NSE - Other Index Options'!$C:$C,$A59,'NSE - Other Index Options'!$B:$B,E$4,'NSE - Other Index Options'!$H:$H,"Weekly*")+SUMIFS('NSE - Other Index Options'!$L:$L,'NSE - Other Index Options'!$C:$C,$A59,'NSE - Other Index Options'!$B:$B,E$4,'NSE - Other Index Options'!$H:$H,"MDAW*"))</f>
        <v/>
      </c>
      <c r="F59" s="26" t="str">
        <f>IF(SUMIFS('NSE - NIFTY Index Options'!$L:$L,'NSE - NIFTY Index Options'!$C:$C,$A59,'NSE - NIFTY Index Options'!$B:$B,F$4,'NSE - NIFTY Index Options'!$H:$H,"Weekly*")+SUMIFS('NSE - NIFTY Index Options'!$L:$L,'NSE - NIFTY Index Options'!$C:$C,$A59,'NSE - NIFTY Index Options'!$B:$B,F$4,'NSE - NIFTY Index Options'!$H:$H,"MDAW*")+SUMIFS('NSE - Other Index Options'!$L:$L,'NSE - Other Index Options'!$C:$C,$A59,'NSE - Other Index Options'!$B:$B,F$4,'NSE - Other Index Options'!$H:$H,"Weekly*")+SUMIFS('NSE - Other Index Options'!$L:$L,'NSE - Other Index Options'!$C:$C,$A59,'NSE - Other Index Options'!$B:$B,F$4,'NSE - Other Index Options'!$H:$H,"MDAW*")=0,"",SUMIFS('NSE - NIFTY Index Options'!$L:$L,'NSE - NIFTY Index Options'!$C:$C,$A59,'NSE - NIFTY Index Options'!$B:$B,F$4,'NSE - NIFTY Index Options'!$H:$H,"Weekly*")+SUMIFS('NSE - NIFTY Index Options'!$L:$L,'NSE - NIFTY Index Options'!$C:$C,$A59,'NSE - NIFTY Index Options'!$B:$B,F$4,'NSE - NIFTY Index Options'!$H:$H,"MDAW*")+SUMIFS('NSE - Other Index Options'!$L:$L,'NSE - Other Index Options'!$C:$C,$A59,'NSE - Other Index Options'!$B:$B,F$4,'NSE - Other Index Options'!$H:$H,"Weekly*")+SUMIFS('NSE - Other Index Options'!$L:$L,'NSE - Other Index Options'!$C:$C,$A59,'NSE - Other Index Options'!$B:$B,F$4,'NSE - Other Index Options'!$H:$H,"MDAW*"))</f>
        <v/>
      </c>
      <c r="G59" s="26" t="str">
        <f>IF(SUMIFS('NSE - NIFTY Index Options'!$L:$L,'NSE - NIFTY Index Options'!$C:$C,$A59,'NSE - NIFTY Index Options'!$B:$B,G$4,'NSE - NIFTY Index Options'!$H:$H,"Weekly*")+SUMIFS('NSE - NIFTY Index Options'!$L:$L,'NSE - NIFTY Index Options'!$C:$C,$A59,'NSE - NIFTY Index Options'!$B:$B,G$4,'NSE - NIFTY Index Options'!$H:$H,"MDAW*")+SUMIFS('NSE - Other Index Options'!$L:$L,'NSE - Other Index Options'!$C:$C,$A59,'NSE - Other Index Options'!$B:$B,G$4,'NSE - Other Index Options'!$H:$H,"Weekly*")+SUMIFS('NSE - Other Index Options'!$L:$L,'NSE - Other Index Options'!$C:$C,$A59,'NSE - Other Index Options'!$B:$B,G$4,'NSE - Other Index Options'!$H:$H,"MDAW*")=0,"",SUMIFS('NSE - NIFTY Index Options'!$L:$L,'NSE - NIFTY Index Options'!$C:$C,$A59,'NSE - NIFTY Index Options'!$B:$B,G$4,'NSE - NIFTY Index Options'!$H:$H,"Weekly*")+SUMIFS('NSE - NIFTY Index Options'!$L:$L,'NSE - NIFTY Index Options'!$C:$C,$A59,'NSE - NIFTY Index Options'!$B:$B,G$4,'NSE - NIFTY Index Options'!$H:$H,"MDAW*")+SUMIFS('NSE - Other Index Options'!$L:$L,'NSE - Other Index Options'!$C:$C,$A59,'NSE - Other Index Options'!$B:$B,G$4,'NSE - Other Index Options'!$H:$H,"Weekly*")+SUMIFS('NSE - Other Index Options'!$L:$L,'NSE - Other Index Options'!$C:$C,$A59,'NSE - Other Index Options'!$B:$B,G$4,'NSE - Other Index Options'!$H:$H,"MDAW*"))</f>
        <v/>
      </c>
      <c r="H59" s="26" t="str">
        <f t="shared" si="1"/>
        <v/>
      </c>
    </row>
    <row r="60" spans="1:8" hidden="1" outlineLevel="1">
      <c r="A60" t="s">
        <v>65</v>
      </c>
      <c r="B60" s="26" t="str">
        <f>IF(SUMIFS('NSE - NIFTY Index Options'!$L:$L,'NSE - NIFTY Index Options'!$C:$C,$A60,'NSE - NIFTY Index Options'!$B:$B,B$4,'NSE - NIFTY Index Options'!$H:$H,"Weekly*")+SUMIFS('NSE - NIFTY Index Options'!$L:$L,'NSE - NIFTY Index Options'!$C:$C,$A60,'NSE - NIFTY Index Options'!$B:$B,B$4,'NSE - NIFTY Index Options'!$H:$H,"MDAW*")+SUMIFS('NSE - Other Index Options'!$L:$L,'NSE - Other Index Options'!$C:$C,$A60,'NSE - Other Index Options'!$B:$B,B$4,'NSE - Other Index Options'!$H:$H,"Weekly*")+SUMIFS('NSE - Other Index Options'!$L:$L,'NSE - Other Index Options'!$C:$C,$A60,'NSE - Other Index Options'!$B:$B,B$4,'NSE - Other Index Options'!$H:$H,"MDAW*")=0,"",SUMIFS('NSE - NIFTY Index Options'!$L:$L,'NSE - NIFTY Index Options'!$C:$C,$A60,'NSE - NIFTY Index Options'!$B:$B,B$4,'NSE - NIFTY Index Options'!$H:$H,"Weekly*")+SUMIFS('NSE - NIFTY Index Options'!$L:$L,'NSE - NIFTY Index Options'!$C:$C,$A60,'NSE - NIFTY Index Options'!$B:$B,B$4,'NSE - NIFTY Index Options'!$H:$H,"MDAW*")+SUMIFS('NSE - Other Index Options'!$L:$L,'NSE - Other Index Options'!$C:$C,$A60,'NSE - Other Index Options'!$B:$B,B$4,'NSE - Other Index Options'!$H:$H,"Weekly*")+SUMIFS('NSE - Other Index Options'!$L:$L,'NSE - Other Index Options'!$C:$C,$A60,'NSE - Other Index Options'!$B:$B,B$4,'NSE - Other Index Options'!$H:$H,"MDAW*"))</f>
        <v/>
      </c>
      <c r="C60" s="26" t="str">
        <f>IF(SUMIFS('NSE - NIFTY Index Options'!$L:$L,'NSE - NIFTY Index Options'!$C:$C,$A60,'NSE - NIFTY Index Options'!$B:$B,C$4,'NSE - NIFTY Index Options'!$H:$H,"Weekly*")+SUMIFS('NSE - NIFTY Index Options'!$L:$L,'NSE - NIFTY Index Options'!$C:$C,$A60,'NSE - NIFTY Index Options'!$B:$B,C$4,'NSE - NIFTY Index Options'!$H:$H,"MDAW*")+SUMIFS('NSE - Other Index Options'!$L:$L,'NSE - Other Index Options'!$C:$C,$A60,'NSE - Other Index Options'!$B:$B,C$4,'NSE - Other Index Options'!$H:$H,"Weekly*")+SUMIFS('NSE - Other Index Options'!$L:$L,'NSE - Other Index Options'!$C:$C,$A60,'NSE - Other Index Options'!$B:$B,C$4,'NSE - Other Index Options'!$H:$H,"MDAW*")=0,"",SUMIFS('NSE - NIFTY Index Options'!$L:$L,'NSE - NIFTY Index Options'!$C:$C,$A60,'NSE - NIFTY Index Options'!$B:$B,C$4,'NSE - NIFTY Index Options'!$H:$H,"Weekly*")+SUMIFS('NSE - NIFTY Index Options'!$L:$L,'NSE - NIFTY Index Options'!$C:$C,$A60,'NSE - NIFTY Index Options'!$B:$B,C$4,'NSE - NIFTY Index Options'!$H:$H,"MDAW*")+SUMIFS('NSE - Other Index Options'!$L:$L,'NSE - Other Index Options'!$C:$C,$A60,'NSE - Other Index Options'!$B:$B,C$4,'NSE - Other Index Options'!$H:$H,"Weekly*")+SUMIFS('NSE - Other Index Options'!$L:$L,'NSE - Other Index Options'!$C:$C,$A60,'NSE - Other Index Options'!$B:$B,C$4,'NSE - Other Index Options'!$H:$H,"MDAW*"))</f>
        <v/>
      </c>
      <c r="D60" s="26" t="str">
        <f>IF(SUMIFS('NSE - NIFTY Index Options'!$L:$L,'NSE - NIFTY Index Options'!$C:$C,$A60,'NSE - NIFTY Index Options'!$B:$B,D$4,'NSE - NIFTY Index Options'!$H:$H,"Weekly*")+SUMIFS('NSE - NIFTY Index Options'!$L:$L,'NSE - NIFTY Index Options'!$C:$C,$A60,'NSE - NIFTY Index Options'!$B:$B,D$4,'NSE - NIFTY Index Options'!$H:$H,"MDAW*")+SUMIFS('NSE - Other Index Options'!$L:$L,'NSE - Other Index Options'!$C:$C,$A60,'NSE - Other Index Options'!$B:$B,D$4,'NSE - Other Index Options'!$H:$H,"Weekly*")+SUMIFS('NSE - Other Index Options'!$L:$L,'NSE - Other Index Options'!$C:$C,$A60,'NSE - Other Index Options'!$B:$B,D$4,'NSE - Other Index Options'!$H:$H,"MDAW*")=0,"",SUMIFS('NSE - NIFTY Index Options'!$L:$L,'NSE - NIFTY Index Options'!$C:$C,$A60,'NSE - NIFTY Index Options'!$B:$B,D$4,'NSE - NIFTY Index Options'!$H:$H,"Weekly*")+SUMIFS('NSE - NIFTY Index Options'!$L:$L,'NSE - NIFTY Index Options'!$C:$C,$A60,'NSE - NIFTY Index Options'!$B:$B,D$4,'NSE - NIFTY Index Options'!$H:$H,"MDAW*")+SUMIFS('NSE - Other Index Options'!$L:$L,'NSE - Other Index Options'!$C:$C,$A60,'NSE - Other Index Options'!$B:$B,D$4,'NSE - Other Index Options'!$H:$H,"Weekly*")+SUMIFS('NSE - Other Index Options'!$L:$L,'NSE - Other Index Options'!$C:$C,$A60,'NSE - Other Index Options'!$B:$B,D$4,'NSE - Other Index Options'!$H:$H,"MDAW*"))</f>
        <v/>
      </c>
      <c r="E60" s="26" t="str">
        <f>IF(SUMIFS('NSE - NIFTY Index Options'!$L:$L,'NSE - NIFTY Index Options'!$C:$C,$A60,'NSE - NIFTY Index Options'!$B:$B,E$4,'NSE - NIFTY Index Options'!$H:$H,"Weekly*")+SUMIFS('NSE - NIFTY Index Options'!$L:$L,'NSE - NIFTY Index Options'!$C:$C,$A60,'NSE - NIFTY Index Options'!$B:$B,E$4,'NSE - NIFTY Index Options'!$H:$H,"MDAW*")+SUMIFS('NSE - Other Index Options'!$L:$L,'NSE - Other Index Options'!$C:$C,$A60,'NSE - Other Index Options'!$B:$B,E$4,'NSE - Other Index Options'!$H:$H,"Weekly*")+SUMIFS('NSE - Other Index Options'!$L:$L,'NSE - Other Index Options'!$C:$C,$A60,'NSE - Other Index Options'!$B:$B,E$4,'NSE - Other Index Options'!$H:$H,"MDAW*")=0,"",SUMIFS('NSE - NIFTY Index Options'!$L:$L,'NSE - NIFTY Index Options'!$C:$C,$A60,'NSE - NIFTY Index Options'!$B:$B,E$4,'NSE - NIFTY Index Options'!$H:$H,"Weekly*")+SUMIFS('NSE - NIFTY Index Options'!$L:$L,'NSE - NIFTY Index Options'!$C:$C,$A60,'NSE - NIFTY Index Options'!$B:$B,E$4,'NSE - NIFTY Index Options'!$H:$H,"MDAW*")+SUMIFS('NSE - Other Index Options'!$L:$L,'NSE - Other Index Options'!$C:$C,$A60,'NSE - Other Index Options'!$B:$B,E$4,'NSE - Other Index Options'!$H:$H,"Weekly*")+SUMIFS('NSE - Other Index Options'!$L:$L,'NSE - Other Index Options'!$C:$C,$A60,'NSE - Other Index Options'!$B:$B,E$4,'NSE - Other Index Options'!$H:$H,"MDAW*"))</f>
        <v/>
      </c>
      <c r="F60" s="26" t="str">
        <f>IF(SUMIFS('NSE - NIFTY Index Options'!$L:$L,'NSE - NIFTY Index Options'!$C:$C,$A60,'NSE - NIFTY Index Options'!$B:$B,F$4,'NSE - NIFTY Index Options'!$H:$H,"Weekly*")+SUMIFS('NSE - NIFTY Index Options'!$L:$L,'NSE - NIFTY Index Options'!$C:$C,$A60,'NSE - NIFTY Index Options'!$B:$B,F$4,'NSE - NIFTY Index Options'!$H:$H,"MDAW*")+SUMIFS('NSE - Other Index Options'!$L:$L,'NSE - Other Index Options'!$C:$C,$A60,'NSE - Other Index Options'!$B:$B,F$4,'NSE - Other Index Options'!$H:$H,"Weekly*")+SUMIFS('NSE - Other Index Options'!$L:$L,'NSE - Other Index Options'!$C:$C,$A60,'NSE - Other Index Options'!$B:$B,F$4,'NSE - Other Index Options'!$H:$H,"MDAW*")=0,"",SUMIFS('NSE - NIFTY Index Options'!$L:$L,'NSE - NIFTY Index Options'!$C:$C,$A60,'NSE - NIFTY Index Options'!$B:$B,F$4,'NSE - NIFTY Index Options'!$H:$H,"Weekly*")+SUMIFS('NSE - NIFTY Index Options'!$L:$L,'NSE - NIFTY Index Options'!$C:$C,$A60,'NSE - NIFTY Index Options'!$B:$B,F$4,'NSE - NIFTY Index Options'!$H:$H,"MDAW*")+SUMIFS('NSE - Other Index Options'!$L:$L,'NSE - Other Index Options'!$C:$C,$A60,'NSE - Other Index Options'!$B:$B,F$4,'NSE - Other Index Options'!$H:$H,"Weekly*")+SUMIFS('NSE - Other Index Options'!$L:$L,'NSE - Other Index Options'!$C:$C,$A60,'NSE - Other Index Options'!$B:$B,F$4,'NSE - Other Index Options'!$H:$H,"MDAW*"))</f>
        <v/>
      </c>
      <c r="G60" s="26" t="str">
        <f>IF(SUMIFS('NSE - NIFTY Index Options'!$L:$L,'NSE - NIFTY Index Options'!$C:$C,$A60,'NSE - NIFTY Index Options'!$B:$B,G$4,'NSE - NIFTY Index Options'!$H:$H,"Weekly*")+SUMIFS('NSE - NIFTY Index Options'!$L:$L,'NSE - NIFTY Index Options'!$C:$C,$A60,'NSE - NIFTY Index Options'!$B:$B,G$4,'NSE - NIFTY Index Options'!$H:$H,"MDAW*")+SUMIFS('NSE - Other Index Options'!$L:$L,'NSE - Other Index Options'!$C:$C,$A60,'NSE - Other Index Options'!$B:$B,G$4,'NSE - Other Index Options'!$H:$H,"Weekly*")+SUMIFS('NSE - Other Index Options'!$L:$L,'NSE - Other Index Options'!$C:$C,$A60,'NSE - Other Index Options'!$B:$B,G$4,'NSE - Other Index Options'!$H:$H,"MDAW*")=0,"",SUMIFS('NSE - NIFTY Index Options'!$L:$L,'NSE - NIFTY Index Options'!$C:$C,$A60,'NSE - NIFTY Index Options'!$B:$B,G$4,'NSE - NIFTY Index Options'!$H:$H,"Weekly*")+SUMIFS('NSE - NIFTY Index Options'!$L:$L,'NSE - NIFTY Index Options'!$C:$C,$A60,'NSE - NIFTY Index Options'!$B:$B,G$4,'NSE - NIFTY Index Options'!$H:$H,"MDAW*")+SUMIFS('NSE - Other Index Options'!$L:$L,'NSE - Other Index Options'!$C:$C,$A60,'NSE - Other Index Options'!$B:$B,G$4,'NSE - Other Index Options'!$H:$H,"Weekly*")+SUMIFS('NSE - Other Index Options'!$L:$L,'NSE - Other Index Options'!$C:$C,$A60,'NSE - Other Index Options'!$B:$B,G$4,'NSE - Other Index Options'!$H:$H,"MDAW*"))</f>
        <v/>
      </c>
      <c r="H60" s="26" t="str">
        <f t="shared" si="1"/>
        <v/>
      </c>
    </row>
    <row r="61" spans="1:8" hidden="1" outlineLevel="1">
      <c r="A61" t="s">
        <v>66</v>
      </c>
      <c r="B61" s="26" t="str">
        <f>IF(SUMIFS('NSE - NIFTY Index Options'!$L:$L,'NSE - NIFTY Index Options'!$C:$C,$A61,'NSE - NIFTY Index Options'!$B:$B,B$4,'NSE - NIFTY Index Options'!$H:$H,"Weekly*")+SUMIFS('NSE - NIFTY Index Options'!$L:$L,'NSE - NIFTY Index Options'!$C:$C,$A61,'NSE - NIFTY Index Options'!$B:$B,B$4,'NSE - NIFTY Index Options'!$H:$H,"MDAW*")+SUMIFS('NSE - Other Index Options'!$L:$L,'NSE - Other Index Options'!$C:$C,$A61,'NSE - Other Index Options'!$B:$B,B$4,'NSE - Other Index Options'!$H:$H,"Weekly*")+SUMIFS('NSE - Other Index Options'!$L:$L,'NSE - Other Index Options'!$C:$C,$A61,'NSE - Other Index Options'!$B:$B,B$4,'NSE - Other Index Options'!$H:$H,"MDAW*")=0,"",SUMIFS('NSE - NIFTY Index Options'!$L:$L,'NSE - NIFTY Index Options'!$C:$C,$A61,'NSE - NIFTY Index Options'!$B:$B,B$4,'NSE - NIFTY Index Options'!$H:$H,"Weekly*")+SUMIFS('NSE - NIFTY Index Options'!$L:$L,'NSE - NIFTY Index Options'!$C:$C,$A61,'NSE - NIFTY Index Options'!$B:$B,B$4,'NSE - NIFTY Index Options'!$H:$H,"MDAW*")+SUMIFS('NSE - Other Index Options'!$L:$L,'NSE - Other Index Options'!$C:$C,$A61,'NSE - Other Index Options'!$B:$B,B$4,'NSE - Other Index Options'!$H:$H,"Weekly*")+SUMIFS('NSE - Other Index Options'!$L:$L,'NSE - Other Index Options'!$C:$C,$A61,'NSE - Other Index Options'!$B:$B,B$4,'NSE - Other Index Options'!$H:$H,"MDAW*"))</f>
        <v/>
      </c>
      <c r="C61" s="26" t="str">
        <f>IF(SUMIFS('NSE - NIFTY Index Options'!$L:$L,'NSE - NIFTY Index Options'!$C:$C,$A61,'NSE - NIFTY Index Options'!$B:$B,C$4,'NSE - NIFTY Index Options'!$H:$H,"Weekly*")+SUMIFS('NSE - NIFTY Index Options'!$L:$L,'NSE - NIFTY Index Options'!$C:$C,$A61,'NSE - NIFTY Index Options'!$B:$B,C$4,'NSE - NIFTY Index Options'!$H:$H,"MDAW*")+SUMIFS('NSE - Other Index Options'!$L:$L,'NSE - Other Index Options'!$C:$C,$A61,'NSE - Other Index Options'!$B:$B,C$4,'NSE - Other Index Options'!$H:$H,"Weekly*")+SUMIFS('NSE - Other Index Options'!$L:$L,'NSE - Other Index Options'!$C:$C,$A61,'NSE - Other Index Options'!$B:$B,C$4,'NSE - Other Index Options'!$H:$H,"MDAW*")=0,"",SUMIFS('NSE - NIFTY Index Options'!$L:$L,'NSE - NIFTY Index Options'!$C:$C,$A61,'NSE - NIFTY Index Options'!$B:$B,C$4,'NSE - NIFTY Index Options'!$H:$H,"Weekly*")+SUMIFS('NSE - NIFTY Index Options'!$L:$L,'NSE - NIFTY Index Options'!$C:$C,$A61,'NSE - NIFTY Index Options'!$B:$B,C$4,'NSE - NIFTY Index Options'!$H:$H,"MDAW*")+SUMIFS('NSE - Other Index Options'!$L:$L,'NSE - Other Index Options'!$C:$C,$A61,'NSE - Other Index Options'!$B:$B,C$4,'NSE - Other Index Options'!$H:$H,"Weekly*")+SUMIFS('NSE - Other Index Options'!$L:$L,'NSE - Other Index Options'!$C:$C,$A61,'NSE - Other Index Options'!$B:$B,C$4,'NSE - Other Index Options'!$H:$H,"MDAW*"))</f>
        <v/>
      </c>
      <c r="D61" s="26" t="str">
        <f>IF(SUMIFS('NSE - NIFTY Index Options'!$L:$L,'NSE - NIFTY Index Options'!$C:$C,$A61,'NSE - NIFTY Index Options'!$B:$B,D$4,'NSE - NIFTY Index Options'!$H:$H,"Weekly*")+SUMIFS('NSE - NIFTY Index Options'!$L:$L,'NSE - NIFTY Index Options'!$C:$C,$A61,'NSE - NIFTY Index Options'!$B:$B,D$4,'NSE - NIFTY Index Options'!$H:$H,"MDAW*")+SUMIFS('NSE - Other Index Options'!$L:$L,'NSE - Other Index Options'!$C:$C,$A61,'NSE - Other Index Options'!$B:$B,D$4,'NSE - Other Index Options'!$H:$H,"Weekly*")+SUMIFS('NSE - Other Index Options'!$L:$L,'NSE - Other Index Options'!$C:$C,$A61,'NSE - Other Index Options'!$B:$B,D$4,'NSE - Other Index Options'!$H:$H,"MDAW*")=0,"",SUMIFS('NSE - NIFTY Index Options'!$L:$L,'NSE - NIFTY Index Options'!$C:$C,$A61,'NSE - NIFTY Index Options'!$B:$B,D$4,'NSE - NIFTY Index Options'!$H:$H,"Weekly*")+SUMIFS('NSE - NIFTY Index Options'!$L:$L,'NSE - NIFTY Index Options'!$C:$C,$A61,'NSE - NIFTY Index Options'!$B:$B,D$4,'NSE - NIFTY Index Options'!$H:$H,"MDAW*")+SUMIFS('NSE - Other Index Options'!$L:$L,'NSE - Other Index Options'!$C:$C,$A61,'NSE - Other Index Options'!$B:$B,D$4,'NSE - Other Index Options'!$H:$H,"Weekly*")+SUMIFS('NSE - Other Index Options'!$L:$L,'NSE - Other Index Options'!$C:$C,$A61,'NSE - Other Index Options'!$B:$B,D$4,'NSE - Other Index Options'!$H:$H,"MDAW*"))</f>
        <v/>
      </c>
      <c r="E61" s="26" t="str">
        <f>IF(SUMIFS('NSE - NIFTY Index Options'!$L:$L,'NSE - NIFTY Index Options'!$C:$C,$A61,'NSE - NIFTY Index Options'!$B:$B,E$4,'NSE - NIFTY Index Options'!$H:$H,"Weekly*")+SUMIFS('NSE - NIFTY Index Options'!$L:$L,'NSE - NIFTY Index Options'!$C:$C,$A61,'NSE - NIFTY Index Options'!$B:$B,E$4,'NSE - NIFTY Index Options'!$H:$H,"MDAW*")+SUMIFS('NSE - Other Index Options'!$L:$L,'NSE - Other Index Options'!$C:$C,$A61,'NSE - Other Index Options'!$B:$B,E$4,'NSE - Other Index Options'!$H:$H,"Weekly*")+SUMIFS('NSE - Other Index Options'!$L:$L,'NSE - Other Index Options'!$C:$C,$A61,'NSE - Other Index Options'!$B:$B,E$4,'NSE - Other Index Options'!$H:$H,"MDAW*")=0,"",SUMIFS('NSE - NIFTY Index Options'!$L:$L,'NSE - NIFTY Index Options'!$C:$C,$A61,'NSE - NIFTY Index Options'!$B:$B,E$4,'NSE - NIFTY Index Options'!$H:$H,"Weekly*")+SUMIFS('NSE - NIFTY Index Options'!$L:$L,'NSE - NIFTY Index Options'!$C:$C,$A61,'NSE - NIFTY Index Options'!$B:$B,E$4,'NSE - NIFTY Index Options'!$H:$H,"MDAW*")+SUMIFS('NSE - Other Index Options'!$L:$L,'NSE - Other Index Options'!$C:$C,$A61,'NSE - Other Index Options'!$B:$B,E$4,'NSE - Other Index Options'!$H:$H,"Weekly*")+SUMIFS('NSE - Other Index Options'!$L:$L,'NSE - Other Index Options'!$C:$C,$A61,'NSE - Other Index Options'!$B:$B,E$4,'NSE - Other Index Options'!$H:$H,"MDAW*"))</f>
        <v/>
      </c>
      <c r="F61" s="26" t="str">
        <f>IF(SUMIFS('NSE - NIFTY Index Options'!$L:$L,'NSE - NIFTY Index Options'!$C:$C,$A61,'NSE - NIFTY Index Options'!$B:$B,F$4,'NSE - NIFTY Index Options'!$H:$H,"Weekly*")+SUMIFS('NSE - NIFTY Index Options'!$L:$L,'NSE - NIFTY Index Options'!$C:$C,$A61,'NSE - NIFTY Index Options'!$B:$B,F$4,'NSE - NIFTY Index Options'!$H:$H,"MDAW*")+SUMIFS('NSE - Other Index Options'!$L:$L,'NSE - Other Index Options'!$C:$C,$A61,'NSE - Other Index Options'!$B:$B,F$4,'NSE - Other Index Options'!$H:$H,"Weekly*")+SUMIFS('NSE - Other Index Options'!$L:$L,'NSE - Other Index Options'!$C:$C,$A61,'NSE - Other Index Options'!$B:$B,F$4,'NSE - Other Index Options'!$H:$H,"MDAW*")=0,"",SUMIFS('NSE - NIFTY Index Options'!$L:$L,'NSE - NIFTY Index Options'!$C:$C,$A61,'NSE - NIFTY Index Options'!$B:$B,F$4,'NSE - NIFTY Index Options'!$H:$H,"Weekly*")+SUMIFS('NSE - NIFTY Index Options'!$L:$L,'NSE - NIFTY Index Options'!$C:$C,$A61,'NSE - NIFTY Index Options'!$B:$B,F$4,'NSE - NIFTY Index Options'!$H:$H,"MDAW*")+SUMIFS('NSE - Other Index Options'!$L:$L,'NSE - Other Index Options'!$C:$C,$A61,'NSE - Other Index Options'!$B:$B,F$4,'NSE - Other Index Options'!$H:$H,"Weekly*")+SUMIFS('NSE - Other Index Options'!$L:$L,'NSE - Other Index Options'!$C:$C,$A61,'NSE - Other Index Options'!$B:$B,F$4,'NSE - Other Index Options'!$H:$H,"MDAW*"))</f>
        <v/>
      </c>
      <c r="G61" s="26" t="str">
        <f>IF(SUMIFS('NSE - NIFTY Index Options'!$L:$L,'NSE - NIFTY Index Options'!$C:$C,$A61,'NSE - NIFTY Index Options'!$B:$B,G$4,'NSE - NIFTY Index Options'!$H:$H,"Weekly*")+SUMIFS('NSE - NIFTY Index Options'!$L:$L,'NSE - NIFTY Index Options'!$C:$C,$A61,'NSE - NIFTY Index Options'!$B:$B,G$4,'NSE - NIFTY Index Options'!$H:$H,"MDAW*")+SUMIFS('NSE - Other Index Options'!$L:$L,'NSE - Other Index Options'!$C:$C,$A61,'NSE - Other Index Options'!$B:$B,G$4,'NSE - Other Index Options'!$H:$H,"Weekly*")+SUMIFS('NSE - Other Index Options'!$L:$L,'NSE - Other Index Options'!$C:$C,$A61,'NSE - Other Index Options'!$B:$B,G$4,'NSE - Other Index Options'!$H:$H,"MDAW*")=0,"",SUMIFS('NSE - NIFTY Index Options'!$L:$L,'NSE - NIFTY Index Options'!$C:$C,$A61,'NSE - NIFTY Index Options'!$B:$B,G$4,'NSE - NIFTY Index Options'!$H:$H,"Weekly*")+SUMIFS('NSE - NIFTY Index Options'!$L:$L,'NSE - NIFTY Index Options'!$C:$C,$A61,'NSE - NIFTY Index Options'!$B:$B,G$4,'NSE - NIFTY Index Options'!$H:$H,"MDAW*")+SUMIFS('NSE - Other Index Options'!$L:$L,'NSE - Other Index Options'!$C:$C,$A61,'NSE - Other Index Options'!$B:$B,G$4,'NSE - Other Index Options'!$H:$H,"Weekly*")+SUMIFS('NSE - Other Index Options'!$L:$L,'NSE - Other Index Options'!$C:$C,$A61,'NSE - Other Index Options'!$B:$B,G$4,'NSE - Other Index Options'!$H:$H,"MDAW*"))</f>
        <v/>
      </c>
      <c r="H61" s="26" t="str">
        <f t="shared" si="1"/>
        <v/>
      </c>
    </row>
    <row r="62" spans="1:8" hidden="1" outlineLevel="1">
      <c r="A62" t="s">
        <v>67</v>
      </c>
      <c r="B62" s="26" t="str">
        <f>IF(SUMIFS('NSE - NIFTY Index Options'!$L:$L,'NSE - NIFTY Index Options'!$C:$C,$A62,'NSE - NIFTY Index Options'!$B:$B,B$4,'NSE - NIFTY Index Options'!$H:$H,"Weekly*")+SUMIFS('NSE - NIFTY Index Options'!$L:$L,'NSE - NIFTY Index Options'!$C:$C,$A62,'NSE - NIFTY Index Options'!$B:$B,B$4,'NSE - NIFTY Index Options'!$H:$H,"MDAW*")+SUMIFS('NSE - Other Index Options'!$L:$L,'NSE - Other Index Options'!$C:$C,$A62,'NSE - Other Index Options'!$B:$B,B$4,'NSE - Other Index Options'!$H:$H,"Weekly*")+SUMIFS('NSE - Other Index Options'!$L:$L,'NSE - Other Index Options'!$C:$C,$A62,'NSE - Other Index Options'!$B:$B,B$4,'NSE - Other Index Options'!$H:$H,"MDAW*")=0,"",SUMIFS('NSE - NIFTY Index Options'!$L:$L,'NSE - NIFTY Index Options'!$C:$C,$A62,'NSE - NIFTY Index Options'!$B:$B,B$4,'NSE - NIFTY Index Options'!$H:$H,"Weekly*")+SUMIFS('NSE - NIFTY Index Options'!$L:$L,'NSE - NIFTY Index Options'!$C:$C,$A62,'NSE - NIFTY Index Options'!$B:$B,B$4,'NSE - NIFTY Index Options'!$H:$H,"MDAW*")+SUMIFS('NSE - Other Index Options'!$L:$L,'NSE - Other Index Options'!$C:$C,$A62,'NSE - Other Index Options'!$B:$B,B$4,'NSE - Other Index Options'!$H:$H,"Weekly*")+SUMIFS('NSE - Other Index Options'!$L:$L,'NSE - Other Index Options'!$C:$C,$A62,'NSE - Other Index Options'!$B:$B,B$4,'NSE - Other Index Options'!$H:$H,"MDAW*"))</f>
        <v/>
      </c>
      <c r="C62" s="26" t="str">
        <f>IF(SUMIFS('NSE - NIFTY Index Options'!$L:$L,'NSE - NIFTY Index Options'!$C:$C,$A62,'NSE - NIFTY Index Options'!$B:$B,C$4,'NSE - NIFTY Index Options'!$H:$H,"Weekly*")+SUMIFS('NSE - NIFTY Index Options'!$L:$L,'NSE - NIFTY Index Options'!$C:$C,$A62,'NSE - NIFTY Index Options'!$B:$B,C$4,'NSE - NIFTY Index Options'!$H:$H,"MDAW*")+SUMIFS('NSE - Other Index Options'!$L:$L,'NSE - Other Index Options'!$C:$C,$A62,'NSE - Other Index Options'!$B:$B,C$4,'NSE - Other Index Options'!$H:$H,"Weekly*")+SUMIFS('NSE - Other Index Options'!$L:$L,'NSE - Other Index Options'!$C:$C,$A62,'NSE - Other Index Options'!$B:$B,C$4,'NSE - Other Index Options'!$H:$H,"MDAW*")=0,"",SUMIFS('NSE - NIFTY Index Options'!$L:$L,'NSE - NIFTY Index Options'!$C:$C,$A62,'NSE - NIFTY Index Options'!$B:$B,C$4,'NSE - NIFTY Index Options'!$H:$H,"Weekly*")+SUMIFS('NSE - NIFTY Index Options'!$L:$L,'NSE - NIFTY Index Options'!$C:$C,$A62,'NSE - NIFTY Index Options'!$B:$B,C$4,'NSE - NIFTY Index Options'!$H:$H,"MDAW*")+SUMIFS('NSE - Other Index Options'!$L:$L,'NSE - Other Index Options'!$C:$C,$A62,'NSE - Other Index Options'!$B:$B,C$4,'NSE - Other Index Options'!$H:$H,"Weekly*")+SUMIFS('NSE - Other Index Options'!$L:$L,'NSE - Other Index Options'!$C:$C,$A62,'NSE - Other Index Options'!$B:$B,C$4,'NSE - Other Index Options'!$H:$H,"MDAW*"))</f>
        <v/>
      </c>
      <c r="D62" s="26" t="str">
        <f>IF(SUMIFS('NSE - NIFTY Index Options'!$L:$L,'NSE - NIFTY Index Options'!$C:$C,$A62,'NSE - NIFTY Index Options'!$B:$B,D$4,'NSE - NIFTY Index Options'!$H:$H,"Weekly*")+SUMIFS('NSE - NIFTY Index Options'!$L:$L,'NSE - NIFTY Index Options'!$C:$C,$A62,'NSE - NIFTY Index Options'!$B:$B,D$4,'NSE - NIFTY Index Options'!$H:$H,"MDAW*")+SUMIFS('NSE - Other Index Options'!$L:$L,'NSE - Other Index Options'!$C:$C,$A62,'NSE - Other Index Options'!$B:$B,D$4,'NSE - Other Index Options'!$H:$H,"Weekly*")+SUMIFS('NSE - Other Index Options'!$L:$L,'NSE - Other Index Options'!$C:$C,$A62,'NSE - Other Index Options'!$B:$B,D$4,'NSE - Other Index Options'!$H:$H,"MDAW*")=0,"",SUMIFS('NSE - NIFTY Index Options'!$L:$L,'NSE - NIFTY Index Options'!$C:$C,$A62,'NSE - NIFTY Index Options'!$B:$B,D$4,'NSE - NIFTY Index Options'!$H:$H,"Weekly*")+SUMIFS('NSE - NIFTY Index Options'!$L:$L,'NSE - NIFTY Index Options'!$C:$C,$A62,'NSE - NIFTY Index Options'!$B:$B,D$4,'NSE - NIFTY Index Options'!$H:$H,"MDAW*")+SUMIFS('NSE - Other Index Options'!$L:$L,'NSE - Other Index Options'!$C:$C,$A62,'NSE - Other Index Options'!$B:$B,D$4,'NSE - Other Index Options'!$H:$H,"Weekly*")+SUMIFS('NSE - Other Index Options'!$L:$L,'NSE - Other Index Options'!$C:$C,$A62,'NSE - Other Index Options'!$B:$B,D$4,'NSE - Other Index Options'!$H:$H,"MDAW*"))</f>
        <v/>
      </c>
      <c r="E62" s="26" t="str">
        <f>IF(SUMIFS('NSE - NIFTY Index Options'!$L:$L,'NSE - NIFTY Index Options'!$C:$C,$A62,'NSE - NIFTY Index Options'!$B:$B,E$4,'NSE - NIFTY Index Options'!$H:$H,"Weekly*")+SUMIFS('NSE - NIFTY Index Options'!$L:$L,'NSE - NIFTY Index Options'!$C:$C,$A62,'NSE - NIFTY Index Options'!$B:$B,E$4,'NSE - NIFTY Index Options'!$H:$H,"MDAW*")+SUMIFS('NSE - Other Index Options'!$L:$L,'NSE - Other Index Options'!$C:$C,$A62,'NSE - Other Index Options'!$B:$B,E$4,'NSE - Other Index Options'!$H:$H,"Weekly*")+SUMIFS('NSE - Other Index Options'!$L:$L,'NSE - Other Index Options'!$C:$C,$A62,'NSE - Other Index Options'!$B:$B,E$4,'NSE - Other Index Options'!$H:$H,"MDAW*")=0,"",SUMIFS('NSE - NIFTY Index Options'!$L:$L,'NSE - NIFTY Index Options'!$C:$C,$A62,'NSE - NIFTY Index Options'!$B:$B,E$4,'NSE - NIFTY Index Options'!$H:$H,"Weekly*")+SUMIFS('NSE - NIFTY Index Options'!$L:$L,'NSE - NIFTY Index Options'!$C:$C,$A62,'NSE - NIFTY Index Options'!$B:$B,E$4,'NSE - NIFTY Index Options'!$H:$H,"MDAW*")+SUMIFS('NSE - Other Index Options'!$L:$L,'NSE - Other Index Options'!$C:$C,$A62,'NSE - Other Index Options'!$B:$B,E$4,'NSE - Other Index Options'!$H:$H,"Weekly*")+SUMIFS('NSE - Other Index Options'!$L:$L,'NSE - Other Index Options'!$C:$C,$A62,'NSE - Other Index Options'!$B:$B,E$4,'NSE - Other Index Options'!$H:$H,"MDAW*"))</f>
        <v/>
      </c>
      <c r="F62" s="26" t="str">
        <f>IF(SUMIFS('NSE - NIFTY Index Options'!$L:$L,'NSE - NIFTY Index Options'!$C:$C,$A62,'NSE - NIFTY Index Options'!$B:$B,F$4,'NSE - NIFTY Index Options'!$H:$H,"Weekly*")+SUMIFS('NSE - NIFTY Index Options'!$L:$L,'NSE - NIFTY Index Options'!$C:$C,$A62,'NSE - NIFTY Index Options'!$B:$B,F$4,'NSE - NIFTY Index Options'!$H:$H,"MDAW*")+SUMIFS('NSE - Other Index Options'!$L:$L,'NSE - Other Index Options'!$C:$C,$A62,'NSE - Other Index Options'!$B:$B,F$4,'NSE - Other Index Options'!$H:$H,"Weekly*")+SUMIFS('NSE - Other Index Options'!$L:$L,'NSE - Other Index Options'!$C:$C,$A62,'NSE - Other Index Options'!$B:$B,F$4,'NSE - Other Index Options'!$H:$H,"MDAW*")=0,"",SUMIFS('NSE - NIFTY Index Options'!$L:$L,'NSE - NIFTY Index Options'!$C:$C,$A62,'NSE - NIFTY Index Options'!$B:$B,F$4,'NSE - NIFTY Index Options'!$H:$H,"Weekly*")+SUMIFS('NSE - NIFTY Index Options'!$L:$L,'NSE - NIFTY Index Options'!$C:$C,$A62,'NSE - NIFTY Index Options'!$B:$B,F$4,'NSE - NIFTY Index Options'!$H:$H,"MDAW*")+SUMIFS('NSE - Other Index Options'!$L:$L,'NSE - Other Index Options'!$C:$C,$A62,'NSE - Other Index Options'!$B:$B,F$4,'NSE - Other Index Options'!$H:$H,"Weekly*")+SUMIFS('NSE - Other Index Options'!$L:$L,'NSE - Other Index Options'!$C:$C,$A62,'NSE - Other Index Options'!$B:$B,F$4,'NSE - Other Index Options'!$H:$H,"MDAW*"))</f>
        <v/>
      </c>
      <c r="G62" s="26" t="str">
        <f>IF(SUMIFS('NSE - NIFTY Index Options'!$L:$L,'NSE - NIFTY Index Options'!$C:$C,$A62,'NSE - NIFTY Index Options'!$B:$B,G$4,'NSE - NIFTY Index Options'!$H:$H,"Weekly*")+SUMIFS('NSE - NIFTY Index Options'!$L:$L,'NSE - NIFTY Index Options'!$C:$C,$A62,'NSE - NIFTY Index Options'!$B:$B,G$4,'NSE - NIFTY Index Options'!$H:$H,"MDAW*")+SUMIFS('NSE - Other Index Options'!$L:$L,'NSE - Other Index Options'!$C:$C,$A62,'NSE - Other Index Options'!$B:$B,G$4,'NSE - Other Index Options'!$H:$H,"Weekly*")+SUMIFS('NSE - Other Index Options'!$L:$L,'NSE - Other Index Options'!$C:$C,$A62,'NSE - Other Index Options'!$B:$B,G$4,'NSE - Other Index Options'!$H:$H,"MDAW*")=0,"",SUMIFS('NSE - NIFTY Index Options'!$L:$L,'NSE - NIFTY Index Options'!$C:$C,$A62,'NSE - NIFTY Index Options'!$B:$B,G$4,'NSE - NIFTY Index Options'!$H:$H,"Weekly*")+SUMIFS('NSE - NIFTY Index Options'!$L:$L,'NSE - NIFTY Index Options'!$C:$C,$A62,'NSE - NIFTY Index Options'!$B:$B,G$4,'NSE - NIFTY Index Options'!$H:$H,"MDAW*")+SUMIFS('NSE - Other Index Options'!$L:$L,'NSE - Other Index Options'!$C:$C,$A62,'NSE - Other Index Options'!$B:$B,G$4,'NSE - Other Index Options'!$H:$H,"Weekly*")+SUMIFS('NSE - Other Index Options'!$L:$L,'NSE - Other Index Options'!$C:$C,$A62,'NSE - Other Index Options'!$B:$B,G$4,'NSE - Other Index Options'!$H:$H,"MDAW*"))</f>
        <v/>
      </c>
      <c r="H62" s="26" t="str">
        <f t="shared" si="1"/>
        <v/>
      </c>
    </row>
    <row r="63" spans="1:8" hidden="1" outlineLevel="1">
      <c r="A63" t="s">
        <v>68</v>
      </c>
      <c r="B63" s="26" t="str">
        <f>IF(SUMIFS('NSE - NIFTY Index Options'!$L:$L,'NSE - NIFTY Index Options'!$C:$C,$A63,'NSE - NIFTY Index Options'!$B:$B,B$4,'NSE - NIFTY Index Options'!$H:$H,"Weekly*")+SUMIFS('NSE - NIFTY Index Options'!$L:$L,'NSE - NIFTY Index Options'!$C:$C,$A63,'NSE - NIFTY Index Options'!$B:$B,B$4,'NSE - NIFTY Index Options'!$H:$H,"MDAW*")+SUMIFS('NSE - Other Index Options'!$L:$L,'NSE - Other Index Options'!$C:$C,$A63,'NSE - Other Index Options'!$B:$B,B$4,'NSE - Other Index Options'!$H:$H,"Weekly*")+SUMIFS('NSE - Other Index Options'!$L:$L,'NSE - Other Index Options'!$C:$C,$A63,'NSE - Other Index Options'!$B:$B,B$4,'NSE - Other Index Options'!$H:$H,"MDAW*")=0,"",SUMIFS('NSE - NIFTY Index Options'!$L:$L,'NSE - NIFTY Index Options'!$C:$C,$A63,'NSE - NIFTY Index Options'!$B:$B,B$4,'NSE - NIFTY Index Options'!$H:$H,"Weekly*")+SUMIFS('NSE - NIFTY Index Options'!$L:$L,'NSE - NIFTY Index Options'!$C:$C,$A63,'NSE - NIFTY Index Options'!$B:$B,B$4,'NSE - NIFTY Index Options'!$H:$H,"MDAW*")+SUMIFS('NSE - Other Index Options'!$L:$L,'NSE - Other Index Options'!$C:$C,$A63,'NSE - Other Index Options'!$B:$B,B$4,'NSE - Other Index Options'!$H:$H,"Weekly*")+SUMIFS('NSE - Other Index Options'!$L:$L,'NSE - Other Index Options'!$C:$C,$A63,'NSE - Other Index Options'!$B:$B,B$4,'NSE - Other Index Options'!$H:$H,"MDAW*"))</f>
        <v/>
      </c>
      <c r="C63" s="26" t="str">
        <f>IF(SUMIFS('NSE - NIFTY Index Options'!$L:$L,'NSE - NIFTY Index Options'!$C:$C,$A63,'NSE - NIFTY Index Options'!$B:$B,C$4,'NSE - NIFTY Index Options'!$H:$H,"Weekly*")+SUMIFS('NSE - NIFTY Index Options'!$L:$L,'NSE - NIFTY Index Options'!$C:$C,$A63,'NSE - NIFTY Index Options'!$B:$B,C$4,'NSE - NIFTY Index Options'!$H:$H,"MDAW*")+SUMIFS('NSE - Other Index Options'!$L:$L,'NSE - Other Index Options'!$C:$C,$A63,'NSE - Other Index Options'!$B:$B,C$4,'NSE - Other Index Options'!$H:$H,"Weekly*")+SUMIFS('NSE - Other Index Options'!$L:$L,'NSE - Other Index Options'!$C:$C,$A63,'NSE - Other Index Options'!$B:$B,C$4,'NSE - Other Index Options'!$H:$H,"MDAW*")=0,"",SUMIFS('NSE - NIFTY Index Options'!$L:$L,'NSE - NIFTY Index Options'!$C:$C,$A63,'NSE - NIFTY Index Options'!$B:$B,C$4,'NSE - NIFTY Index Options'!$H:$H,"Weekly*")+SUMIFS('NSE - NIFTY Index Options'!$L:$L,'NSE - NIFTY Index Options'!$C:$C,$A63,'NSE - NIFTY Index Options'!$B:$B,C$4,'NSE - NIFTY Index Options'!$H:$H,"MDAW*")+SUMIFS('NSE - Other Index Options'!$L:$L,'NSE - Other Index Options'!$C:$C,$A63,'NSE - Other Index Options'!$B:$B,C$4,'NSE - Other Index Options'!$H:$H,"Weekly*")+SUMIFS('NSE - Other Index Options'!$L:$L,'NSE - Other Index Options'!$C:$C,$A63,'NSE - Other Index Options'!$B:$B,C$4,'NSE - Other Index Options'!$H:$H,"MDAW*"))</f>
        <v/>
      </c>
      <c r="D63" s="26" t="str">
        <f>IF(SUMIFS('NSE - NIFTY Index Options'!$L:$L,'NSE - NIFTY Index Options'!$C:$C,$A63,'NSE - NIFTY Index Options'!$B:$B,D$4,'NSE - NIFTY Index Options'!$H:$H,"Weekly*")+SUMIFS('NSE - NIFTY Index Options'!$L:$L,'NSE - NIFTY Index Options'!$C:$C,$A63,'NSE - NIFTY Index Options'!$B:$B,D$4,'NSE - NIFTY Index Options'!$H:$H,"MDAW*")+SUMIFS('NSE - Other Index Options'!$L:$L,'NSE - Other Index Options'!$C:$C,$A63,'NSE - Other Index Options'!$B:$B,D$4,'NSE - Other Index Options'!$H:$H,"Weekly*")+SUMIFS('NSE - Other Index Options'!$L:$L,'NSE - Other Index Options'!$C:$C,$A63,'NSE - Other Index Options'!$B:$B,D$4,'NSE - Other Index Options'!$H:$H,"MDAW*")=0,"",SUMIFS('NSE - NIFTY Index Options'!$L:$L,'NSE - NIFTY Index Options'!$C:$C,$A63,'NSE - NIFTY Index Options'!$B:$B,D$4,'NSE - NIFTY Index Options'!$H:$H,"Weekly*")+SUMIFS('NSE - NIFTY Index Options'!$L:$L,'NSE - NIFTY Index Options'!$C:$C,$A63,'NSE - NIFTY Index Options'!$B:$B,D$4,'NSE - NIFTY Index Options'!$H:$H,"MDAW*")+SUMIFS('NSE - Other Index Options'!$L:$L,'NSE - Other Index Options'!$C:$C,$A63,'NSE - Other Index Options'!$B:$B,D$4,'NSE - Other Index Options'!$H:$H,"Weekly*")+SUMIFS('NSE - Other Index Options'!$L:$L,'NSE - Other Index Options'!$C:$C,$A63,'NSE - Other Index Options'!$B:$B,D$4,'NSE - Other Index Options'!$H:$H,"MDAW*"))</f>
        <v/>
      </c>
      <c r="E63" s="26" t="str">
        <f>IF(SUMIFS('NSE - NIFTY Index Options'!$L:$L,'NSE - NIFTY Index Options'!$C:$C,$A63,'NSE - NIFTY Index Options'!$B:$B,E$4,'NSE - NIFTY Index Options'!$H:$H,"Weekly*")+SUMIFS('NSE - NIFTY Index Options'!$L:$L,'NSE - NIFTY Index Options'!$C:$C,$A63,'NSE - NIFTY Index Options'!$B:$B,E$4,'NSE - NIFTY Index Options'!$H:$H,"MDAW*")+SUMIFS('NSE - Other Index Options'!$L:$L,'NSE - Other Index Options'!$C:$C,$A63,'NSE - Other Index Options'!$B:$B,E$4,'NSE - Other Index Options'!$H:$H,"Weekly*")+SUMIFS('NSE - Other Index Options'!$L:$L,'NSE - Other Index Options'!$C:$C,$A63,'NSE - Other Index Options'!$B:$B,E$4,'NSE - Other Index Options'!$H:$H,"MDAW*")=0,"",SUMIFS('NSE - NIFTY Index Options'!$L:$L,'NSE - NIFTY Index Options'!$C:$C,$A63,'NSE - NIFTY Index Options'!$B:$B,E$4,'NSE - NIFTY Index Options'!$H:$H,"Weekly*")+SUMIFS('NSE - NIFTY Index Options'!$L:$L,'NSE - NIFTY Index Options'!$C:$C,$A63,'NSE - NIFTY Index Options'!$B:$B,E$4,'NSE - NIFTY Index Options'!$H:$H,"MDAW*")+SUMIFS('NSE - Other Index Options'!$L:$L,'NSE - Other Index Options'!$C:$C,$A63,'NSE - Other Index Options'!$B:$B,E$4,'NSE - Other Index Options'!$H:$H,"Weekly*")+SUMIFS('NSE - Other Index Options'!$L:$L,'NSE - Other Index Options'!$C:$C,$A63,'NSE - Other Index Options'!$B:$B,E$4,'NSE - Other Index Options'!$H:$H,"MDAW*"))</f>
        <v/>
      </c>
      <c r="F63" s="26" t="str">
        <f>IF(SUMIFS('NSE - NIFTY Index Options'!$L:$L,'NSE - NIFTY Index Options'!$C:$C,$A63,'NSE - NIFTY Index Options'!$B:$B,F$4,'NSE - NIFTY Index Options'!$H:$H,"Weekly*")+SUMIFS('NSE - NIFTY Index Options'!$L:$L,'NSE - NIFTY Index Options'!$C:$C,$A63,'NSE - NIFTY Index Options'!$B:$B,F$4,'NSE - NIFTY Index Options'!$H:$H,"MDAW*")+SUMIFS('NSE - Other Index Options'!$L:$L,'NSE - Other Index Options'!$C:$C,$A63,'NSE - Other Index Options'!$B:$B,F$4,'NSE - Other Index Options'!$H:$H,"Weekly*")+SUMIFS('NSE - Other Index Options'!$L:$L,'NSE - Other Index Options'!$C:$C,$A63,'NSE - Other Index Options'!$B:$B,F$4,'NSE - Other Index Options'!$H:$H,"MDAW*")=0,"",SUMIFS('NSE - NIFTY Index Options'!$L:$L,'NSE - NIFTY Index Options'!$C:$C,$A63,'NSE - NIFTY Index Options'!$B:$B,F$4,'NSE - NIFTY Index Options'!$H:$H,"Weekly*")+SUMIFS('NSE - NIFTY Index Options'!$L:$L,'NSE - NIFTY Index Options'!$C:$C,$A63,'NSE - NIFTY Index Options'!$B:$B,F$4,'NSE - NIFTY Index Options'!$H:$H,"MDAW*")+SUMIFS('NSE - Other Index Options'!$L:$L,'NSE - Other Index Options'!$C:$C,$A63,'NSE - Other Index Options'!$B:$B,F$4,'NSE - Other Index Options'!$H:$H,"Weekly*")+SUMIFS('NSE - Other Index Options'!$L:$L,'NSE - Other Index Options'!$C:$C,$A63,'NSE - Other Index Options'!$B:$B,F$4,'NSE - Other Index Options'!$H:$H,"MDAW*"))</f>
        <v/>
      </c>
      <c r="G63" s="26" t="str">
        <f>IF(SUMIFS('NSE - NIFTY Index Options'!$L:$L,'NSE - NIFTY Index Options'!$C:$C,$A63,'NSE - NIFTY Index Options'!$B:$B,G$4,'NSE - NIFTY Index Options'!$H:$H,"Weekly*")+SUMIFS('NSE - NIFTY Index Options'!$L:$L,'NSE - NIFTY Index Options'!$C:$C,$A63,'NSE - NIFTY Index Options'!$B:$B,G$4,'NSE - NIFTY Index Options'!$H:$H,"MDAW*")+SUMIFS('NSE - Other Index Options'!$L:$L,'NSE - Other Index Options'!$C:$C,$A63,'NSE - Other Index Options'!$B:$B,G$4,'NSE - Other Index Options'!$H:$H,"Weekly*")+SUMIFS('NSE - Other Index Options'!$L:$L,'NSE - Other Index Options'!$C:$C,$A63,'NSE - Other Index Options'!$B:$B,G$4,'NSE - Other Index Options'!$H:$H,"MDAW*")=0,"",SUMIFS('NSE - NIFTY Index Options'!$L:$L,'NSE - NIFTY Index Options'!$C:$C,$A63,'NSE - NIFTY Index Options'!$B:$B,G$4,'NSE - NIFTY Index Options'!$H:$H,"Weekly*")+SUMIFS('NSE - NIFTY Index Options'!$L:$L,'NSE - NIFTY Index Options'!$C:$C,$A63,'NSE - NIFTY Index Options'!$B:$B,G$4,'NSE - NIFTY Index Options'!$H:$H,"MDAW*")+SUMIFS('NSE - Other Index Options'!$L:$L,'NSE - Other Index Options'!$C:$C,$A63,'NSE - Other Index Options'!$B:$B,G$4,'NSE - Other Index Options'!$H:$H,"Weekly*")+SUMIFS('NSE - Other Index Options'!$L:$L,'NSE - Other Index Options'!$C:$C,$A63,'NSE - Other Index Options'!$B:$B,G$4,'NSE - Other Index Options'!$H:$H,"MDAW*"))</f>
        <v/>
      </c>
      <c r="H63" s="26" t="str">
        <f t="shared" si="1"/>
        <v/>
      </c>
    </row>
    <row r="64" spans="1:8" hidden="1" outlineLevel="1">
      <c r="A64" t="s">
        <v>69</v>
      </c>
      <c r="B64" s="26" t="str">
        <f>IF(SUMIFS('NSE - NIFTY Index Options'!$L:$L,'NSE - NIFTY Index Options'!$C:$C,$A64,'NSE - NIFTY Index Options'!$B:$B,B$4,'NSE - NIFTY Index Options'!$H:$H,"Weekly*")+SUMIFS('NSE - NIFTY Index Options'!$L:$L,'NSE - NIFTY Index Options'!$C:$C,$A64,'NSE - NIFTY Index Options'!$B:$B,B$4,'NSE - NIFTY Index Options'!$H:$H,"MDAW*")+SUMIFS('NSE - Other Index Options'!$L:$L,'NSE - Other Index Options'!$C:$C,$A64,'NSE - Other Index Options'!$B:$B,B$4,'NSE - Other Index Options'!$H:$H,"Weekly*")+SUMIFS('NSE - Other Index Options'!$L:$L,'NSE - Other Index Options'!$C:$C,$A64,'NSE - Other Index Options'!$B:$B,B$4,'NSE - Other Index Options'!$H:$H,"MDAW*")=0,"",SUMIFS('NSE - NIFTY Index Options'!$L:$L,'NSE - NIFTY Index Options'!$C:$C,$A64,'NSE - NIFTY Index Options'!$B:$B,B$4,'NSE - NIFTY Index Options'!$H:$H,"Weekly*")+SUMIFS('NSE - NIFTY Index Options'!$L:$L,'NSE - NIFTY Index Options'!$C:$C,$A64,'NSE - NIFTY Index Options'!$B:$B,B$4,'NSE - NIFTY Index Options'!$H:$H,"MDAW*")+SUMIFS('NSE - Other Index Options'!$L:$L,'NSE - Other Index Options'!$C:$C,$A64,'NSE - Other Index Options'!$B:$B,B$4,'NSE - Other Index Options'!$H:$H,"Weekly*")+SUMIFS('NSE - Other Index Options'!$L:$L,'NSE - Other Index Options'!$C:$C,$A64,'NSE - Other Index Options'!$B:$B,B$4,'NSE - Other Index Options'!$H:$H,"MDAW*"))</f>
        <v/>
      </c>
      <c r="C64" s="26" t="str">
        <f>IF(SUMIFS('NSE - NIFTY Index Options'!$L:$L,'NSE - NIFTY Index Options'!$C:$C,$A64,'NSE - NIFTY Index Options'!$B:$B,C$4,'NSE - NIFTY Index Options'!$H:$H,"Weekly*")+SUMIFS('NSE - NIFTY Index Options'!$L:$L,'NSE - NIFTY Index Options'!$C:$C,$A64,'NSE - NIFTY Index Options'!$B:$B,C$4,'NSE - NIFTY Index Options'!$H:$H,"MDAW*")+SUMIFS('NSE - Other Index Options'!$L:$L,'NSE - Other Index Options'!$C:$C,$A64,'NSE - Other Index Options'!$B:$B,C$4,'NSE - Other Index Options'!$H:$H,"Weekly*")+SUMIFS('NSE - Other Index Options'!$L:$L,'NSE - Other Index Options'!$C:$C,$A64,'NSE - Other Index Options'!$B:$B,C$4,'NSE - Other Index Options'!$H:$H,"MDAW*")=0,"",SUMIFS('NSE - NIFTY Index Options'!$L:$L,'NSE - NIFTY Index Options'!$C:$C,$A64,'NSE - NIFTY Index Options'!$B:$B,C$4,'NSE - NIFTY Index Options'!$H:$H,"Weekly*")+SUMIFS('NSE - NIFTY Index Options'!$L:$L,'NSE - NIFTY Index Options'!$C:$C,$A64,'NSE - NIFTY Index Options'!$B:$B,C$4,'NSE - NIFTY Index Options'!$H:$H,"MDAW*")+SUMIFS('NSE - Other Index Options'!$L:$L,'NSE - Other Index Options'!$C:$C,$A64,'NSE - Other Index Options'!$B:$B,C$4,'NSE - Other Index Options'!$H:$H,"Weekly*")+SUMIFS('NSE - Other Index Options'!$L:$L,'NSE - Other Index Options'!$C:$C,$A64,'NSE - Other Index Options'!$B:$B,C$4,'NSE - Other Index Options'!$H:$H,"MDAW*"))</f>
        <v/>
      </c>
      <c r="D64" s="26" t="str">
        <f>IF(SUMIFS('NSE - NIFTY Index Options'!$L:$L,'NSE - NIFTY Index Options'!$C:$C,$A64,'NSE - NIFTY Index Options'!$B:$B,D$4,'NSE - NIFTY Index Options'!$H:$H,"Weekly*")+SUMIFS('NSE - NIFTY Index Options'!$L:$L,'NSE - NIFTY Index Options'!$C:$C,$A64,'NSE - NIFTY Index Options'!$B:$B,D$4,'NSE - NIFTY Index Options'!$H:$H,"MDAW*")+SUMIFS('NSE - Other Index Options'!$L:$L,'NSE - Other Index Options'!$C:$C,$A64,'NSE - Other Index Options'!$B:$B,D$4,'NSE - Other Index Options'!$H:$H,"Weekly*")+SUMIFS('NSE - Other Index Options'!$L:$L,'NSE - Other Index Options'!$C:$C,$A64,'NSE - Other Index Options'!$B:$B,D$4,'NSE - Other Index Options'!$H:$H,"MDAW*")=0,"",SUMIFS('NSE - NIFTY Index Options'!$L:$L,'NSE - NIFTY Index Options'!$C:$C,$A64,'NSE - NIFTY Index Options'!$B:$B,D$4,'NSE - NIFTY Index Options'!$H:$H,"Weekly*")+SUMIFS('NSE - NIFTY Index Options'!$L:$L,'NSE - NIFTY Index Options'!$C:$C,$A64,'NSE - NIFTY Index Options'!$B:$B,D$4,'NSE - NIFTY Index Options'!$H:$H,"MDAW*")+SUMIFS('NSE - Other Index Options'!$L:$L,'NSE - Other Index Options'!$C:$C,$A64,'NSE - Other Index Options'!$B:$B,D$4,'NSE - Other Index Options'!$H:$H,"Weekly*")+SUMIFS('NSE - Other Index Options'!$L:$L,'NSE - Other Index Options'!$C:$C,$A64,'NSE - Other Index Options'!$B:$B,D$4,'NSE - Other Index Options'!$H:$H,"MDAW*"))</f>
        <v/>
      </c>
      <c r="E64" s="26" t="str">
        <f>IF(SUMIFS('NSE - NIFTY Index Options'!$L:$L,'NSE - NIFTY Index Options'!$C:$C,$A64,'NSE - NIFTY Index Options'!$B:$B,E$4,'NSE - NIFTY Index Options'!$H:$H,"Weekly*")+SUMIFS('NSE - NIFTY Index Options'!$L:$L,'NSE - NIFTY Index Options'!$C:$C,$A64,'NSE - NIFTY Index Options'!$B:$B,E$4,'NSE - NIFTY Index Options'!$H:$H,"MDAW*")+SUMIFS('NSE - Other Index Options'!$L:$L,'NSE - Other Index Options'!$C:$C,$A64,'NSE - Other Index Options'!$B:$B,E$4,'NSE - Other Index Options'!$H:$H,"Weekly*")+SUMIFS('NSE - Other Index Options'!$L:$L,'NSE - Other Index Options'!$C:$C,$A64,'NSE - Other Index Options'!$B:$B,E$4,'NSE - Other Index Options'!$H:$H,"MDAW*")=0,"",SUMIFS('NSE - NIFTY Index Options'!$L:$L,'NSE - NIFTY Index Options'!$C:$C,$A64,'NSE - NIFTY Index Options'!$B:$B,E$4,'NSE - NIFTY Index Options'!$H:$H,"Weekly*")+SUMIFS('NSE - NIFTY Index Options'!$L:$L,'NSE - NIFTY Index Options'!$C:$C,$A64,'NSE - NIFTY Index Options'!$B:$B,E$4,'NSE - NIFTY Index Options'!$H:$H,"MDAW*")+SUMIFS('NSE - Other Index Options'!$L:$L,'NSE - Other Index Options'!$C:$C,$A64,'NSE - Other Index Options'!$B:$B,E$4,'NSE - Other Index Options'!$H:$H,"Weekly*")+SUMIFS('NSE - Other Index Options'!$L:$L,'NSE - Other Index Options'!$C:$C,$A64,'NSE - Other Index Options'!$B:$B,E$4,'NSE - Other Index Options'!$H:$H,"MDAW*"))</f>
        <v/>
      </c>
      <c r="F64" s="26" t="str">
        <f>IF(SUMIFS('NSE - NIFTY Index Options'!$L:$L,'NSE - NIFTY Index Options'!$C:$C,$A64,'NSE - NIFTY Index Options'!$B:$B,F$4,'NSE - NIFTY Index Options'!$H:$H,"Weekly*")+SUMIFS('NSE - NIFTY Index Options'!$L:$L,'NSE - NIFTY Index Options'!$C:$C,$A64,'NSE - NIFTY Index Options'!$B:$B,F$4,'NSE - NIFTY Index Options'!$H:$H,"MDAW*")+SUMIFS('NSE - Other Index Options'!$L:$L,'NSE - Other Index Options'!$C:$C,$A64,'NSE - Other Index Options'!$B:$B,F$4,'NSE - Other Index Options'!$H:$H,"Weekly*")+SUMIFS('NSE - Other Index Options'!$L:$L,'NSE - Other Index Options'!$C:$C,$A64,'NSE - Other Index Options'!$B:$B,F$4,'NSE - Other Index Options'!$H:$H,"MDAW*")=0,"",SUMIFS('NSE - NIFTY Index Options'!$L:$L,'NSE - NIFTY Index Options'!$C:$C,$A64,'NSE - NIFTY Index Options'!$B:$B,F$4,'NSE - NIFTY Index Options'!$H:$H,"Weekly*")+SUMIFS('NSE - NIFTY Index Options'!$L:$L,'NSE - NIFTY Index Options'!$C:$C,$A64,'NSE - NIFTY Index Options'!$B:$B,F$4,'NSE - NIFTY Index Options'!$H:$H,"MDAW*")+SUMIFS('NSE - Other Index Options'!$L:$L,'NSE - Other Index Options'!$C:$C,$A64,'NSE - Other Index Options'!$B:$B,F$4,'NSE - Other Index Options'!$H:$H,"Weekly*")+SUMIFS('NSE - Other Index Options'!$L:$L,'NSE - Other Index Options'!$C:$C,$A64,'NSE - Other Index Options'!$B:$B,F$4,'NSE - Other Index Options'!$H:$H,"MDAW*"))</f>
        <v/>
      </c>
      <c r="G64" s="26" t="str">
        <f>IF(SUMIFS('NSE - NIFTY Index Options'!$L:$L,'NSE - NIFTY Index Options'!$C:$C,$A64,'NSE - NIFTY Index Options'!$B:$B,G$4,'NSE - NIFTY Index Options'!$H:$H,"Weekly*")+SUMIFS('NSE - NIFTY Index Options'!$L:$L,'NSE - NIFTY Index Options'!$C:$C,$A64,'NSE - NIFTY Index Options'!$B:$B,G$4,'NSE - NIFTY Index Options'!$H:$H,"MDAW*")+SUMIFS('NSE - Other Index Options'!$L:$L,'NSE - Other Index Options'!$C:$C,$A64,'NSE - Other Index Options'!$B:$B,G$4,'NSE - Other Index Options'!$H:$H,"Weekly*")+SUMIFS('NSE - Other Index Options'!$L:$L,'NSE - Other Index Options'!$C:$C,$A64,'NSE - Other Index Options'!$B:$B,G$4,'NSE - Other Index Options'!$H:$H,"MDAW*")=0,"",SUMIFS('NSE - NIFTY Index Options'!$L:$L,'NSE - NIFTY Index Options'!$C:$C,$A64,'NSE - NIFTY Index Options'!$B:$B,G$4,'NSE - NIFTY Index Options'!$H:$H,"Weekly*")+SUMIFS('NSE - NIFTY Index Options'!$L:$L,'NSE - NIFTY Index Options'!$C:$C,$A64,'NSE - NIFTY Index Options'!$B:$B,G$4,'NSE - NIFTY Index Options'!$H:$H,"MDAW*")+SUMIFS('NSE - Other Index Options'!$L:$L,'NSE - Other Index Options'!$C:$C,$A64,'NSE - Other Index Options'!$B:$B,G$4,'NSE - Other Index Options'!$H:$H,"Weekly*")+SUMIFS('NSE - Other Index Options'!$L:$L,'NSE - Other Index Options'!$C:$C,$A64,'NSE - Other Index Options'!$B:$B,G$4,'NSE - Other Index Options'!$H:$H,"MDAW*"))</f>
        <v/>
      </c>
      <c r="H64" s="26" t="str">
        <f t="shared" si="1"/>
        <v/>
      </c>
    </row>
    <row r="65" spans="1:8" hidden="1" outlineLevel="1">
      <c r="A65" t="s">
        <v>70</v>
      </c>
      <c r="B65" s="26" t="str">
        <f>IF(SUMIFS('NSE - NIFTY Index Options'!$L:$L,'NSE - NIFTY Index Options'!$C:$C,$A65,'NSE - NIFTY Index Options'!$B:$B,B$4,'NSE - NIFTY Index Options'!$H:$H,"Weekly*")+SUMIFS('NSE - NIFTY Index Options'!$L:$L,'NSE - NIFTY Index Options'!$C:$C,$A65,'NSE - NIFTY Index Options'!$B:$B,B$4,'NSE - NIFTY Index Options'!$H:$H,"MDAW*")+SUMIFS('NSE - Other Index Options'!$L:$L,'NSE - Other Index Options'!$C:$C,$A65,'NSE - Other Index Options'!$B:$B,B$4,'NSE - Other Index Options'!$H:$H,"Weekly*")+SUMIFS('NSE - Other Index Options'!$L:$L,'NSE - Other Index Options'!$C:$C,$A65,'NSE - Other Index Options'!$B:$B,B$4,'NSE - Other Index Options'!$H:$H,"MDAW*")=0,"",SUMIFS('NSE - NIFTY Index Options'!$L:$L,'NSE - NIFTY Index Options'!$C:$C,$A65,'NSE - NIFTY Index Options'!$B:$B,B$4,'NSE - NIFTY Index Options'!$H:$H,"Weekly*")+SUMIFS('NSE - NIFTY Index Options'!$L:$L,'NSE - NIFTY Index Options'!$C:$C,$A65,'NSE - NIFTY Index Options'!$B:$B,B$4,'NSE - NIFTY Index Options'!$H:$H,"MDAW*")+SUMIFS('NSE - Other Index Options'!$L:$L,'NSE - Other Index Options'!$C:$C,$A65,'NSE - Other Index Options'!$B:$B,B$4,'NSE - Other Index Options'!$H:$H,"Weekly*")+SUMIFS('NSE - Other Index Options'!$L:$L,'NSE - Other Index Options'!$C:$C,$A65,'NSE - Other Index Options'!$B:$B,B$4,'NSE - Other Index Options'!$H:$H,"MDAW*"))</f>
        <v/>
      </c>
      <c r="C65" s="26" t="str">
        <f>IF(SUMIFS('NSE - NIFTY Index Options'!$L:$L,'NSE - NIFTY Index Options'!$C:$C,$A65,'NSE - NIFTY Index Options'!$B:$B,C$4,'NSE - NIFTY Index Options'!$H:$H,"Weekly*")+SUMIFS('NSE - NIFTY Index Options'!$L:$L,'NSE - NIFTY Index Options'!$C:$C,$A65,'NSE - NIFTY Index Options'!$B:$B,C$4,'NSE - NIFTY Index Options'!$H:$H,"MDAW*")+SUMIFS('NSE - Other Index Options'!$L:$L,'NSE - Other Index Options'!$C:$C,$A65,'NSE - Other Index Options'!$B:$B,C$4,'NSE - Other Index Options'!$H:$H,"Weekly*")+SUMIFS('NSE - Other Index Options'!$L:$L,'NSE - Other Index Options'!$C:$C,$A65,'NSE - Other Index Options'!$B:$B,C$4,'NSE - Other Index Options'!$H:$H,"MDAW*")=0,"",SUMIFS('NSE - NIFTY Index Options'!$L:$L,'NSE - NIFTY Index Options'!$C:$C,$A65,'NSE - NIFTY Index Options'!$B:$B,C$4,'NSE - NIFTY Index Options'!$H:$H,"Weekly*")+SUMIFS('NSE - NIFTY Index Options'!$L:$L,'NSE - NIFTY Index Options'!$C:$C,$A65,'NSE - NIFTY Index Options'!$B:$B,C$4,'NSE - NIFTY Index Options'!$H:$H,"MDAW*")+SUMIFS('NSE - Other Index Options'!$L:$L,'NSE - Other Index Options'!$C:$C,$A65,'NSE - Other Index Options'!$B:$B,C$4,'NSE - Other Index Options'!$H:$H,"Weekly*")+SUMIFS('NSE - Other Index Options'!$L:$L,'NSE - Other Index Options'!$C:$C,$A65,'NSE - Other Index Options'!$B:$B,C$4,'NSE - Other Index Options'!$H:$H,"MDAW*"))</f>
        <v/>
      </c>
      <c r="D65" s="26" t="str">
        <f>IF(SUMIFS('NSE - NIFTY Index Options'!$L:$L,'NSE - NIFTY Index Options'!$C:$C,$A65,'NSE - NIFTY Index Options'!$B:$B,D$4,'NSE - NIFTY Index Options'!$H:$H,"Weekly*")+SUMIFS('NSE - NIFTY Index Options'!$L:$L,'NSE - NIFTY Index Options'!$C:$C,$A65,'NSE - NIFTY Index Options'!$B:$B,D$4,'NSE - NIFTY Index Options'!$H:$H,"MDAW*")+SUMIFS('NSE - Other Index Options'!$L:$L,'NSE - Other Index Options'!$C:$C,$A65,'NSE - Other Index Options'!$B:$B,D$4,'NSE - Other Index Options'!$H:$H,"Weekly*")+SUMIFS('NSE - Other Index Options'!$L:$L,'NSE - Other Index Options'!$C:$C,$A65,'NSE - Other Index Options'!$B:$B,D$4,'NSE - Other Index Options'!$H:$H,"MDAW*")=0,"",SUMIFS('NSE - NIFTY Index Options'!$L:$L,'NSE - NIFTY Index Options'!$C:$C,$A65,'NSE - NIFTY Index Options'!$B:$B,D$4,'NSE - NIFTY Index Options'!$H:$H,"Weekly*")+SUMIFS('NSE - NIFTY Index Options'!$L:$L,'NSE - NIFTY Index Options'!$C:$C,$A65,'NSE - NIFTY Index Options'!$B:$B,D$4,'NSE - NIFTY Index Options'!$H:$H,"MDAW*")+SUMIFS('NSE - Other Index Options'!$L:$L,'NSE - Other Index Options'!$C:$C,$A65,'NSE - Other Index Options'!$B:$B,D$4,'NSE - Other Index Options'!$H:$H,"Weekly*")+SUMIFS('NSE - Other Index Options'!$L:$L,'NSE - Other Index Options'!$C:$C,$A65,'NSE - Other Index Options'!$B:$B,D$4,'NSE - Other Index Options'!$H:$H,"MDAW*"))</f>
        <v/>
      </c>
      <c r="E65" s="26" t="str">
        <f>IF(SUMIFS('NSE - NIFTY Index Options'!$L:$L,'NSE - NIFTY Index Options'!$C:$C,$A65,'NSE - NIFTY Index Options'!$B:$B,E$4,'NSE - NIFTY Index Options'!$H:$H,"Weekly*")+SUMIFS('NSE - NIFTY Index Options'!$L:$L,'NSE - NIFTY Index Options'!$C:$C,$A65,'NSE - NIFTY Index Options'!$B:$B,E$4,'NSE - NIFTY Index Options'!$H:$H,"MDAW*")+SUMIFS('NSE - Other Index Options'!$L:$L,'NSE - Other Index Options'!$C:$C,$A65,'NSE - Other Index Options'!$B:$B,E$4,'NSE - Other Index Options'!$H:$H,"Weekly*")+SUMIFS('NSE - Other Index Options'!$L:$L,'NSE - Other Index Options'!$C:$C,$A65,'NSE - Other Index Options'!$B:$B,E$4,'NSE - Other Index Options'!$H:$H,"MDAW*")=0,"",SUMIFS('NSE - NIFTY Index Options'!$L:$L,'NSE - NIFTY Index Options'!$C:$C,$A65,'NSE - NIFTY Index Options'!$B:$B,E$4,'NSE - NIFTY Index Options'!$H:$H,"Weekly*")+SUMIFS('NSE - NIFTY Index Options'!$L:$L,'NSE - NIFTY Index Options'!$C:$C,$A65,'NSE - NIFTY Index Options'!$B:$B,E$4,'NSE - NIFTY Index Options'!$H:$H,"MDAW*")+SUMIFS('NSE - Other Index Options'!$L:$L,'NSE - Other Index Options'!$C:$C,$A65,'NSE - Other Index Options'!$B:$B,E$4,'NSE - Other Index Options'!$H:$H,"Weekly*")+SUMIFS('NSE - Other Index Options'!$L:$L,'NSE - Other Index Options'!$C:$C,$A65,'NSE - Other Index Options'!$B:$B,E$4,'NSE - Other Index Options'!$H:$H,"MDAW*"))</f>
        <v/>
      </c>
      <c r="F65" s="26" t="str">
        <f>IF(SUMIFS('NSE - NIFTY Index Options'!$L:$L,'NSE - NIFTY Index Options'!$C:$C,$A65,'NSE - NIFTY Index Options'!$B:$B,F$4,'NSE - NIFTY Index Options'!$H:$H,"Weekly*")+SUMIFS('NSE - NIFTY Index Options'!$L:$L,'NSE - NIFTY Index Options'!$C:$C,$A65,'NSE - NIFTY Index Options'!$B:$B,F$4,'NSE - NIFTY Index Options'!$H:$H,"MDAW*")+SUMIFS('NSE - Other Index Options'!$L:$L,'NSE - Other Index Options'!$C:$C,$A65,'NSE - Other Index Options'!$B:$B,F$4,'NSE - Other Index Options'!$H:$H,"Weekly*")+SUMIFS('NSE - Other Index Options'!$L:$L,'NSE - Other Index Options'!$C:$C,$A65,'NSE - Other Index Options'!$B:$B,F$4,'NSE - Other Index Options'!$H:$H,"MDAW*")=0,"",SUMIFS('NSE - NIFTY Index Options'!$L:$L,'NSE - NIFTY Index Options'!$C:$C,$A65,'NSE - NIFTY Index Options'!$B:$B,F$4,'NSE - NIFTY Index Options'!$H:$H,"Weekly*")+SUMIFS('NSE - NIFTY Index Options'!$L:$L,'NSE - NIFTY Index Options'!$C:$C,$A65,'NSE - NIFTY Index Options'!$B:$B,F$4,'NSE - NIFTY Index Options'!$H:$H,"MDAW*")+SUMIFS('NSE - Other Index Options'!$L:$L,'NSE - Other Index Options'!$C:$C,$A65,'NSE - Other Index Options'!$B:$B,F$4,'NSE - Other Index Options'!$H:$H,"Weekly*")+SUMIFS('NSE - Other Index Options'!$L:$L,'NSE - Other Index Options'!$C:$C,$A65,'NSE - Other Index Options'!$B:$B,F$4,'NSE - Other Index Options'!$H:$H,"MDAW*"))</f>
        <v/>
      </c>
      <c r="G65" s="26" t="str">
        <f>IF(SUMIFS('NSE - NIFTY Index Options'!$L:$L,'NSE - NIFTY Index Options'!$C:$C,$A65,'NSE - NIFTY Index Options'!$B:$B,G$4,'NSE - NIFTY Index Options'!$H:$H,"Weekly*")+SUMIFS('NSE - NIFTY Index Options'!$L:$L,'NSE - NIFTY Index Options'!$C:$C,$A65,'NSE - NIFTY Index Options'!$B:$B,G$4,'NSE - NIFTY Index Options'!$H:$H,"MDAW*")+SUMIFS('NSE - Other Index Options'!$L:$L,'NSE - Other Index Options'!$C:$C,$A65,'NSE - Other Index Options'!$B:$B,G$4,'NSE - Other Index Options'!$H:$H,"Weekly*")+SUMIFS('NSE - Other Index Options'!$L:$L,'NSE - Other Index Options'!$C:$C,$A65,'NSE - Other Index Options'!$B:$B,G$4,'NSE - Other Index Options'!$H:$H,"MDAW*")=0,"",SUMIFS('NSE - NIFTY Index Options'!$L:$L,'NSE - NIFTY Index Options'!$C:$C,$A65,'NSE - NIFTY Index Options'!$B:$B,G$4,'NSE - NIFTY Index Options'!$H:$H,"Weekly*")+SUMIFS('NSE - NIFTY Index Options'!$L:$L,'NSE - NIFTY Index Options'!$C:$C,$A65,'NSE - NIFTY Index Options'!$B:$B,G$4,'NSE - NIFTY Index Options'!$H:$H,"MDAW*")+SUMIFS('NSE - Other Index Options'!$L:$L,'NSE - Other Index Options'!$C:$C,$A65,'NSE - Other Index Options'!$B:$B,G$4,'NSE - Other Index Options'!$H:$H,"Weekly*")+SUMIFS('NSE - Other Index Options'!$L:$L,'NSE - Other Index Options'!$C:$C,$A65,'NSE - Other Index Options'!$B:$B,G$4,'NSE - Other Index Options'!$H:$H,"MDAW*"))</f>
        <v/>
      </c>
      <c r="H65" s="26" t="str">
        <f t="shared" si="1"/>
        <v/>
      </c>
    </row>
    <row r="66" spans="1:8" hidden="1" outlineLevel="1">
      <c r="A66" t="s">
        <v>71</v>
      </c>
      <c r="B66" s="26" t="str">
        <f>IF(SUMIFS('NSE - NIFTY Index Options'!$L:$L,'NSE - NIFTY Index Options'!$C:$C,$A66,'NSE - NIFTY Index Options'!$B:$B,B$4,'NSE - NIFTY Index Options'!$H:$H,"Weekly*")+SUMIFS('NSE - NIFTY Index Options'!$L:$L,'NSE - NIFTY Index Options'!$C:$C,$A66,'NSE - NIFTY Index Options'!$B:$B,B$4,'NSE - NIFTY Index Options'!$H:$H,"MDAW*")+SUMIFS('NSE - Other Index Options'!$L:$L,'NSE - Other Index Options'!$C:$C,$A66,'NSE - Other Index Options'!$B:$B,B$4,'NSE - Other Index Options'!$H:$H,"Weekly*")+SUMIFS('NSE - Other Index Options'!$L:$L,'NSE - Other Index Options'!$C:$C,$A66,'NSE - Other Index Options'!$B:$B,B$4,'NSE - Other Index Options'!$H:$H,"MDAW*")=0,"",SUMIFS('NSE - NIFTY Index Options'!$L:$L,'NSE - NIFTY Index Options'!$C:$C,$A66,'NSE - NIFTY Index Options'!$B:$B,B$4,'NSE - NIFTY Index Options'!$H:$H,"Weekly*")+SUMIFS('NSE - NIFTY Index Options'!$L:$L,'NSE - NIFTY Index Options'!$C:$C,$A66,'NSE - NIFTY Index Options'!$B:$B,B$4,'NSE - NIFTY Index Options'!$H:$H,"MDAW*")+SUMIFS('NSE - Other Index Options'!$L:$L,'NSE - Other Index Options'!$C:$C,$A66,'NSE - Other Index Options'!$B:$B,B$4,'NSE - Other Index Options'!$H:$H,"Weekly*")+SUMIFS('NSE - Other Index Options'!$L:$L,'NSE - Other Index Options'!$C:$C,$A66,'NSE - Other Index Options'!$B:$B,B$4,'NSE - Other Index Options'!$H:$H,"MDAW*"))</f>
        <v/>
      </c>
      <c r="C66" s="26" t="str">
        <f>IF(SUMIFS('NSE - NIFTY Index Options'!$L:$L,'NSE - NIFTY Index Options'!$C:$C,$A66,'NSE - NIFTY Index Options'!$B:$B,C$4,'NSE - NIFTY Index Options'!$H:$H,"Weekly*")+SUMIFS('NSE - NIFTY Index Options'!$L:$L,'NSE - NIFTY Index Options'!$C:$C,$A66,'NSE - NIFTY Index Options'!$B:$B,C$4,'NSE - NIFTY Index Options'!$H:$H,"MDAW*")+SUMIFS('NSE - Other Index Options'!$L:$L,'NSE - Other Index Options'!$C:$C,$A66,'NSE - Other Index Options'!$B:$B,C$4,'NSE - Other Index Options'!$H:$H,"Weekly*")+SUMIFS('NSE - Other Index Options'!$L:$L,'NSE - Other Index Options'!$C:$C,$A66,'NSE - Other Index Options'!$B:$B,C$4,'NSE - Other Index Options'!$H:$H,"MDAW*")=0,"",SUMIFS('NSE - NIFTY Index Options'!$L:$L,'NSE - NIFTY Index Options'!$C:$C,$A66,'NSE - NIFTY Index Options'!$B:$B,C$4,'NSE - NIFTY Index Options'!$H:$H,"Weekly*")+SUMIFS('NSE - NIFTY Index Options'!$L:$L,'NSE - NIFTY Index Options'!$C:$C,$A66,'NSE - NIFTY Index Options'!$B:$B,C$4,'NSE - NIFTY Index Options'!$H:$H,"MDAW*")+SUMIFS('NSE - Other Index Options'!$L:$L,'NSE - Other Index Options'!$C:$C,$A66,'NSE - Other Index Options'!$B:$B,C$4,'NSE - Other Index Options'!$H:$H,"Weekly*")+SUMIFS('NSE - Other Index Options'!$L:$L,'NSE - Other Index Options'!$C:$C,$A66,'NSE - Other Index Options'!$B:$B,C$4,'NSE - Other Index Options'!$H:$H,"MDAW*"))</f>
        <v/>
      </c>
      <c r="D66" s="26" t="str">
        <f>IF(SUMIFS('NSE - NIFTY Index Options'!$L:$L,'NSE - NIFTY Index Options'!$C:$C,$A66,'NSE - NIFTY Index Options'!$B:$B,D$4,'NSE - NIFTY Index Options'!$H:$H,"Weekly*")+SUMIFS('NSE - NIFTY Index Options'!$L:$L,'NSE - NIFTY Index Options'!$C:$C,$A66,'NSE - NIFTY Index Options'!$B:$B,D$4,'NSE - NIFTY Index Options'!$H:$H,"MDAW*")+SUMIFS('NSE - Other Index Options'!$L:$L,'NSE - Other Index Options'!$C:$C,$A66,'NSE - Other Index Options'!$B:$B,D$4,'NSE - Other Index Options'!$H:$H,"Weekly*")+SUMIFS('NSE - Other Index Options'!$L:$L,'NSE - Other Index Options'!$C:$C,$A66,'NSE - Other Index Options'!$B:$B,D$4,'NSE - Other Index Options'!$H:$H,"MDAW*")=0,"",SUMIFS('NSE - NIFTY Index Options'!$L:$L,'NSE - NIFTY Index Options'!$C:$C,$A66,'NSE - NIFTY Index Options'!$B:$B,D$4,'NSE - NIFTY Index Options'!$H:$H,"Weekly*")+SUMIFS('NSE - NIFTY Index Options'!$L:$L,'NSE - NIFTY Index Options'!$C:$C,$A66,'NSE - NIFTY Index Options'!$B:$B,D$4,'NSE - NIFTY Index Options'!$H:$H,"MDAW*")+SUMIFS('NSE - Other Index Options'!$L:$L,'NSE - Other Index Options'!$C:$C,$A66,'NSE - Other Index Options'!$B:$B,D$4,'NSE - Other Index Options'!$H:$H,"Weekly*")+SUMIFS('NSE - Other Index Options'!$L:$L,'NSE - Other Index Options'!$C:$C,$A66,'NSE - Other Index Options'!$B:$B,D$4,'NSE - Other Index Options'!$H:$H,"MDAW*"))</f>
        <v/>
      </c>
      <c r="E66" s="26" t="str">
        <f>IF(SUMIFS('NSE - NIFTY Index Options'!$L:$L,'NSE - NIFTY Index Options'!$C:$C,$A66,'NSE - NIFTY Index Options'!$B:$B,E$4,'NSE - NIFTY Index Options'!$H:$H,"Weekly*")+SUMIFS('NSE - NIFTY Index Options'!$L:$L,'NSE - NIFTY Index Options'!$C:$C,$A66,'NSE - NIFTY Index Options'!$B:$B,E$4,'NSE - NIFTY Index Options'!$H:$H,"MDAW*")+SUMIFS('NSE - Other Index Options'!$L:$L,'NSE - Other Index Options'!$C:$C,$A66,'NSE - Other Index Options'!$B:$B,E$4,'NSE - Other Index Options'!$H:$H,"Weekly*")+SUMIFS('NSE - Other Index Options'!$L:$L,'NSE - Other Index Options'!$C:$C,$A66,'NSE - Other Index Options'!$B:$B,E$4,'NSE - Other Index Options'!$H:$H,"MDAW*")=0,"",SUMIFS('NSE - NIFTY Index Options'!$L:$L,'NSE - NIFTY Index Options'!$C:$C,$A66,'NSE - NIFTY Index Options'!$B:$B,E$4,'NSE - NIFTY Index Options'!$H:$H,"Weekly*")+SUMIFS('NSE - NIFTY Index Options'!$L:$L,'NSE - NIFTY Index Options'!$C:$C,$A66,'NSE - NIFTY Index Options'!$B:$B,E$4,'NSE - NIFTY Index Options'!$H:$H,"MDAW*")+SUMIFS('NSE - Other Index Options'!$L:$L,'NSE - Other Index Options'!$C:$C,$A66,'NSE - Other Index Options'!$B:$B,E$4,'NSE - Other Index Options'!$H:$H,"Weekly*")+SUMIFS('NSE - Other Index Options'!$L:$L,'NSE - Other Index Options'!$C:$C,$A66,'NSE - Other Index Options'!$B:$B,E$4,'NSE - Other Index Options'!$H:$H,"MDAW*"))</f>
        <v/>
      </c>
      <c r="F66" s="26" t="str">
        <f>IF(SUMIFS('NSE - NIFTY Index Options'!$L:$L,'NSE - NIFTY Index Options'!$C:$C,$A66,'NSE - NIFTY Index Options'!$B:$B,F$4,'NSE - NIFTY Index Options'!$H:$H,"Weekly*")+SUMIFS('NSE - NIFTY Index Options'!$L:$L,'NSE - NIFTY Index Options'!$C:$C,$A66,'NSE - NIFTY Index Options'!$B:$B,F$4,'NSE - NIFTY Index Options'!$H:$H,"MDAW*")+SUMIFS('NSE - Other Index Options'!$L:$L,'NSE - Other Index Options'!$C:$C,$A66,'NSE - Other Index Options'!$B:$B,F$4,'NSE - Other Index Options'!$H:$H,"Weekly*")+SUMIFS('NSE - Other Index Options'!$L:$L,'NSE - Other Index Options'!$C:$C,$A66,'NSE - Other Index Options'!$B:$B,F$4,'NSE - Other Index Options'!$H:$H,"MDAW*")=0,"",SUMIFS('NSE - NIFTY Index Options'!$L:$L,'NSE - NIFTY Index Options'!$C:$C,$A66,'NSE - NIFTY Index Options'!$B:$B,F$4,'NSE - NIFTY Index Options'!$H:$H,"Weekly*")+SUMIFS('NSE - NIFTY Index Options'!$L:$L,'NSE - NIFTY Index Options'!$C:$C,$A66,'NSE - NIFTY Index Options'!$B:$B,F$4,'NSE - NIFTY Index Options'!$H:$H,"MDAW*")+SUMIFS('NSE - Other Index Options'!$L:$L,'NSE - Other Index Options'!$C:$C,$A66,'NSE - Other Index Options'!$B:$B,F$4,'NSE - Other Index Options'!$H:$H,"Weekly*")+SUMIFS('NSE - Other Index Options'!$L:$L,'NSE - Other Index Options'!$C:$C,$A66,'NSE - Other Index Options'!$B:$B,F$4,'NSE - Other Index Options'!$H:$H,"MDAW*"))</f>
        <v/>
      </c>
      <c r="G66" s="26" t="str">
        <f>IF(SUMIFS('NSE - NIFTY Index Options'!$L:$L,'NSE - NIFTY Index Options'!$C:$C,$A66,'NSE - NIFTY Index Options'!$B:$B,G$4,'NSE - NIFTY Index Options'!$H:$H,"Weekly*")+SUMIFS('NSE - NIFTY Index Options'!$L:$L,'NSE - NIFTY Index Options'!$C:$C,$A66,'NSE - NIFTY Index Options'!$B:$B,G$4,'NSE - NIFTY Index Options'!$H:$H,"MDAW*")+SUMIFS('NSE - Other Index Options'!$L:$L,'NSE - Other Index Options'!$C:$C,$A66,'NSE - Other Index Options'!$B:$B,G$4,'NSE - Other Index Options'!$H:$H,"Weekly*")+SUMIFS('NSE - Other Index Options'!$L:$L,'NSE - Other Index Options'!$C:$C,$A66,'NSE - Other Index Options'!$B:$B,G$4,'NSE - Other Index Options'!$H:$H,"MDAW*")=0,"",SUMIFS('NSE - NIFTY Index Options'!$L:$L,'NSE - NIFTY Index Options'!$C:$C,$A66,'NSE - NIFTY Index Options'!$B:$B,G$4,'NSE - NIFTY Index Options'!$H:$H,"Weekly*")+SUMIFS('NSE - NIFTY Index Options'!$L:$L,'NSE - NIFTY Index Options'!$C:$C,$A66,'NSE - NIFTY Index Options'!$B:$B,G$4,'NSE - NIFTY Index Options'!$H:$H,"MDAW*")+SUMIFS('NSE - Other Index Options'!$L:$L,'NSE - Other Index Options'!$C:$C,$A66,'NSE - Other Index Options'!$B:$B,G$4,'NSE - Other Index Options'!$H:$H,"Weekly*")+SUMIFS('NSE - Other Index Options'!$L:$L,'NSE - Other Index Options'!$C:$C,$A66,'NSE - Other Index Options'!$B:$B,G$4,'NSE - Other Index Options'!$H:$H,"MDAW*"))</f>
        <v/>
      </c>
      <c r="H66" s="26" t="str">
        <f t="shared" si="1"/>
        <v/>
      </c>
    </row>
    <row r="67" spans="1:8" hidden="1" outlineLevel="1">
      <c r="A67" t="s">
        <v>72</v>
      </c>
      <c r="B67" s="26" t="str">
        <f>IF(SUMIFS('NSE - NIFTY Index Options'!$L:$L,'NSE - NIFTY Index Options'!$C:$C,$A67,'NSE - NIFTY Index Options'!$B:$B,B$4,'NSE - NIFTY Index Options'!$H:$H,"Weekly*")+SUMIFS('NSE - NIFTY Index Options'!$L:$L,'NSE - NIFTY Index Options'!$C:$C,$A67,'NSE - NIFTY Index Options'!$B:$B,B$4,'NSE - NIFTY Index Options'!$H:$H,"MDAW*")+SUMIFS('NSE - Other Index Options'!$L:$L,'NSE - Other Index Options'!$C:$C,$A67,'NSE - Other Index Options'!$B:$B,B$4,'NSE - Other Index Options'!$H:$H,"Weekly*")+SUMIFS('NSE - Other Index Options'!$L:$L,'NSE - Other Index Options'!$C:$C,$A67,'NSE - Other Index Options'!$B:$B,B$4,'NSE - Other Index Options'!$H:$H,"MDAW*")=0,"",SUMIFS('NSE - NIFTY Index Options'!$L:$L,'NSE - NIFTY Index Options'!$C:$C,$A67,'NSE - NIFTY Index Options'!$B:$B,B$4,'NSE - NIFTY Index Options'!$H:$H,"Weekly*")+SUMIFS('NSE - NIFTY Index Options'!$L:$L,'NSE - NIFTY Index Options'!$C:$C,$A67,'NSE - NIFTY Index Options'!$B:$B,B$4,'NSE - NIFTY Index Options'!$H:$H,"MDAW*")+SUMIFS('NSE - Other Index Options'!$L:$L,'NSE - Other Index Options'!$C:$C,$A67,'NSE - Other Index Options'!$B:$B,B$4,'NSE - Other Index Options'!$H:$H,"Weekly*")+SUMIFS('NSE - Other Index Options'!$L:$L,'NSE - Other Index Options'!$C:$C,$A67,'NSE - Other Index Options'!$B:$B,B$4,'NSE - Other Index Options'!$H:$H,"MDAW*"))</f>
        <v/>
      </c>
      <c r="C67" s="26" t="str">
        <f>IF(SUMIFS('NSE - NIFTY Index Options'!$L:$L,'NSE - NIFTY Index Options'!$C:$C,$A67,'NSE - NIFTY Index Options'!$B:$B,C$4,'NSE - NIFTY Index Options'!$H:$H,"Weekly*")+SUMIFS('NSE - NIFTY Index Options'!$L:$L,'NSE - NIFTY Index Options'!$C:$C,$A67,'NSE - NIFTY Index Options'!$B:$B,C$4,'NSE - NIFTY Index Options'!$H:$H,"MDAW*")+SUMIFS('NSE - Other Index Options'!$L:$L,'NSE - Other Index Options'!$C:$C,$A67,'NSE - Other Index Options'!$B:$B,C$4,'NSE - Other Index Options'!$H:$H,"Weekly*")+SUMIFS('NSE - Other Index Options'!$L:$L,'NSE - Other Index Options'!$C:$C,$A67,'NSE - Other Index Options'!$B:$B,C$4,'NSE - Other Index Options'!$H:$H,"MDAW*")=0,"",SUMIFS('NSE - NIFTY Index Options'!$L:$L,'NSE - NIFTY Index Options'!$C:$C,$A67,'NSE - NIFTY Index Options'!$B:$B,C$4,'NSE - NIFTY Index Options'!$H:$H,"Weekly*")+SUMIFS('NSE - NIFTY Index Options'!$L:$L,'NSE - NIFTY Index Options'!$C:$C,$A67,'NSE - NIFTY Index Options'!$B:$B,C$4,'NSE - NIFTY Index Options'!$H:$H,"MDAW*")+SUMIFS('NSE - Other Index Options'!$L:$L,'NSE - Other Index Options'!$C:$C,$A67,'NSE - Other Index Options'!$B:$B,C$4,'NSE - Other Index Options'!$H:$H,"Weekly*")+SUMIFS('NSE - Other Index Options'!$L:$L,'NSE - Other Index Options'!$C:$C,$A67,'NSE - Other Index Options'!$B:$B,C$4,'NSE - Other Index Options'!$H:$H,"MDAW*"))</f>
        <v/>
      </c>
      <c r="D67" s="26" t="str">
        <f>IF(SUMIFS('NSE - NIFTY Index Options'!$L:$L,'NSE - NIFTY Index Options'!$C:$C,$A67,'NSE - NIFTY Index Options'!$B:$B,D$4,'NSE - NIFTY Index Options'!$H:$H,"Weekly*")+SUMIFS('NSE - NIFTY Index Options'!$L:$L,'NSE - NIFTY Index Options'!$C:$C,$A67,'NSE - NIFTY Index Options'!$B:$B,D$4,'NSE - NIFTY Index Options'!$H:$H,"MDAW*")+SUMIFS('NSE - Other Index Options'!$L:$L,'NSE - Other Index Options'!$C:$C,$A67,'NSE - Other Index Options'!$B:$B,D$4,'NSE - Other Index Options'!$H:$H,"Weekly*")+SUMIFS('NSE - Other Index Options'!$L:$L,'NSE - Other Index Options'!$C:$C,$A67,'NSE - Other Index Options'!$B:$B,D$4,'NSE - Other Index Options'!$H:$H,"MDAW*")=0,"",SUMIFS('NSE - NIFTY Index Options'!$L:$L,'NSE - NIFTY Index Options'!$C:$C,$A67,'NSE - NIFTY Index Options'!$B:$B,D$4,'NSE - NIFTY Index Options'!$H:$H,"Weekly*")+SUMIFS('NSE - NIFTY Index Options'!$L:$L,'NSE - NIFTY Index Options'!$C:$C,$A67,'NSE - NIFTY Index Options'!$B:$B,D$4,'NSE - NIFTY Index Options'!$H:$H,"MDAW*")+SUMIFS('NSE - Other Index Options'!$L:$L,'NSE - Other Index Options'!$C:$C,$A67,'NSE - Other Index Options'!$B:$B,D$4,'NSE - Other Index Options'!$H:$H,"Weekly*")+SUMIFS('NSE - Other Index Options'!$L:$L,'NSE - Other Index Options'!$C:$C,$A67,'NSE - Other Index Options'!$B:$B,D$4,'NSE - Other Index Options'!$H:$H,"MDAW*"))</f>
        <v/>
      </c>
      <c r="E67" s="26" t="str">
        <f>IF(SUMIFS('NSE - NIFTY Index Options'!$L:$L,'NSE - NIFTY Index Options'!$C:$C,$A67,'NSE - NIFTY Index Options'!$B:$B,E$4,'NSE - NIFTY Index Options'!$H:$H,"Weekly*")+SUMIFS('NSE - NIFTY Index Options'!$L:$L,'NSE - NIFTY Index Options'!$C:$C,$A67,'NSE - NIFTY Index Options'!$B:$B,E$4,'NSE - NIFTY Index Options'!$H:$H,"MDAW*")+SUMIFS('NSE - Other Index Options'!$L:$L,'NSE - Other Index Options'!$C:$C,$A67,'NSE - Other Index Options'!$B:$B,E$4,'NSE - Other Index Options'!$H:$H,"Weekly*")+SUMIFS('NSE - Other Index Options'!$L:$L,'NSE - Other Index Options'!$C:$C,$A67,'NSE - Other Index Options'!$B:$B,E$4,'NSE - Other Index Options'!$H:$H,"MDAW*")=0,"",SUMIFS('NSE - NIFTY Index Options'!$L:$L,'NSE - NIFTY Index Options'!$C:$C,$A67,'NSE - NIFTY Index Options'!$B:$B,E$4,'NSE - NIFTY Index Options'!$H:$H,"Weekly*")+SUMIFS('NSE - NIFTY Index Options'!$L:$L,'NSE - NIFTY Index Options'!$C:$C,$A67,'NSE - NIFTY Index Options'!$B:$B,E$4,'NSE - NIFTY Index Options'!$H:$H,"MDAW*")+SUMIFS('NSE - Other Index Options'!$L:$L,'NSE - Other Index Options'!$C:$C,$A67,'NSE - Other Index Options'!$B:$B,E$4,'NSE - Other Index Options'!$H:$H,"Weekly*")+SUMIFS('NSE - Other Index Options'!$L:$L,'NSE - Other Index Options'!$C:$C,$A67,'NSE - Other Index Options'!$B:$B,E$4,'NSE - Other Index Options'!$H:$H,"MDAW*"))</f>
        <v/>
      </c>
      <c r="F67" s="26" t="str">
        <f>IF(SUMIFS('NSE - NIFTY Index Options'!$L:$L,'NSE - NIFTY Index Options'!$C:$C,$A67,'NSE - NIFTY Index Options'!$B:$B,F$4,'NSE - NIFTY Index Options'!$H:$H,"Weekly*")+SUMIFS('NSE - NIFTY Index Options'!$L:$L,'NSE - NIFTY Index Options'!$C:$C,$A67,'NSE - NIFTY Index Options'!$B:$B,F$4,'NSE - NIFTY Index Options'!$H:$H,"MDAW*")+SUMIFS('NSE - Other Index Options'!$L:$L,'NSE - Other Index Options'!$C:$C,$A67,'NSE - Other Index Options'!$B:$B,F$4,'NSE - Other Index Options'!$H:$H,"Weekly*")+SUMIFS('NSE - Other Index Options'!$L:$L,'NSE - Other Index Options'!$C:$C,$A67,'NSE - Other Index Options'!$B:$B,F$4,'NSE - Other Index Options'!$H:$H,"MDAW*")=0,"",SUMIFS('NSE - NIFTY Index Options'!$L:$L,'NSE - NIFTY Index Options'!$C:$C,$A67,'NSE - NIFTY Index Options'!$B:$B,F$4,'NSE - NIFTY Index Options'!$H:$H,"Weekly*")+SUMIFS('NSE - NIFTY Index Options'!$L:$L,'NSE - NIFTY Index Options'!$C:$C,$A67,'NSE - NIFTY Index Options'!$B:$B,F$4,'NSE - NIFTY Index Options'!$H:$H,"MDAW*")+SUMIFS('NSE - Other Index Options'!$L:$L,'NSE - Other Index Options'!$C:$C,$A67,'NSE - Other Index Options'!$B:$B,F$4,'NSE - Other Index Options'!$H:$H,"Weekly*")+SUMIFS('NSE - Other Index Options'!$L:$L,'NSE - Other Index Options'!$C:$C,$A67,'NSE - Other Index Options'!$B:$B,F$4,'NSE - Other Index Options'!$H:$H,"MDAW*"))</f>
        <v/>
      </c>
      <c r="G67" s="26" t="str">
        <f>IF(SUMIFS('NSE - NIFTY Index Options'!$L:$L,'NSE - NIFTY Index Options'!$C:$C,$A67,'NSE - NIFTY Index Options'!$B:$B,G$4,'NSE - NIFTY Index Options'!$H:$H,"Weekly*")+SUMIFS('NSE - NIFTY Index Options'!$L:$L,'NSE - NIFTY Index Options'!$C:$C,$A67,'NSE - NIFTY Index Options'!$B:$B,G$4,'NSE - NIFTY Index Options'!$H:$H,"MDAW*")+SUMIFS('NSE - Other Index Options'!$L:$L,'NSE - Other Index Options'!$C:$C,$A67,'NSE - Other Index Options'!$B:$B,G$4,'NSE - Other Index Options'!$H:$H,"Weekly*")+SUMIFS('NSE - Other Index Options'!$L:$L,'NSE - Other Index Options'!$C:$C,$A67,'NSE - Other Index Options'!$B:$B,G$4,'NSE - Other Index Options'!$H:$H,"MDAW*")=0,"",SUMIFS('NSE - NIFTY Index Options'!$L:$L,'NSE - NIFTY Index Options'!$C:$C,$A67,'NSE - NIFTY Index Options'!$B:$B,G$4,'NSE - NIFTY Index Options'!$H:$H,"Weekly*")+SUMIFS('NSE - NIFTY Index Options'!$L:$L,'NSE - NIFTY Index Options'!$C:$C,$A67,'NSE - NIFTY Index Options'!$B:$B,G$4,'NSE - NIFTY Index Options'!$H:$H,"MDAW*")+SUMIFS('NSE - Other Index Options'!$L:$L,'NSE - Other Index Options'!$C:$C,$A67,'NSE - Other Index Options'!$B:$B,G$4,'NSE - Other Index Options'!$H:$H,"Weekly*")+SUMIFS('NSE - Other Index Options'!$L:$L,'NSE - Other Index Options'!$C:$C,$A67,'NSE - Other Index Options'!$B:$B,G$4,'NSE - Other Index Options'!$H:$H,"MDAW*"))</f>
        <v/>
      </c>
      <c r="H67" s="26" t="str">
        <f t="shared" si="1"/>
        <v/>
      </c>
    </row>
    <row r="68" spans="1:8" hidden="1" outlineLevel="1">
      <c r="A68" t="s">
        <v>73</v>
      </c>
      <c r="B68" s="26" t="str">
        <f>IF(SUMIFS('NSE - NIFTY Index Options'!$L:$L,'NSE - NIFTY Index Options'!$C:$C,$A68,'NSE - NIFTY Index Options'!$B:$B,B$4,'NSE - NIFTY Index Options'!$H:$H,"Weekly*")+SUMIFS('NSE - NIFTY Index Options'!$L:$L,'NSE - NIFTY Index Options'!$C:$C,$A68,'NSE - NIFTY Index Options'!$B:$B,B$4,'NSE - NIFTY Index Options'!$H:$H,"MDAW*")+SUMIFS('NSE - Other Index Options'!$L:$L,'NSE - Other Index Options'!$C:$C,$A68,'NSE - Other Index Options'!$B:$B,B$4,'NSE - Other Index Options'!$H:$H,"Weekly*")+SUMIFS('NSE - Other Index Options'!$L:$L,'NSE - Other Index Options'!$C:$C,$A68,'NSE - Other Index Options'!$B:$B,B$4,'NSE - Other Index Options'!$H:$H,"MDAW*")=0,"",SUMIFS('NSE - NIFTY Index Options'!$L:$L,'NSE - NIFTY Index Options'!$C:$C,$A68,'NSE - NIFTY Index Options'!$B:$B,B$4,'NSE - NIFTY Index Options'!$H:$H,"Weekly*")+SUMIFS('NSE - NIFTY Index Options'!$L:$L,'NSE - NIFTY Index Options'!$C:$C,$A68,'NSE - NIFTY Index Options'!$B:$B,B$4,'NSE - NIFTY Index Options'!$H:$H,"MDAW*")+SUMIFS('NSE - Other Index Options'!$L:$L,'NSE - Other Index Options'!$C:$C,$A68,'NSE - Other Index Options'!$B:$B,B$4,'NSE - Other Index Options'!$H:$H,"Weekly*")+SUMIFS('NSE - Other Index Options'!$L:$L,'NSE - Other Index Options'!$C:$C,$A68,'NSE - Other Index Options'!$B:$B,B$4,'NSE - Other Index Options'!$H:$H,"MDAW*"))</f>
        <v/>
      </c>
      <c r="C68" s="26" t="str">
        <f>IF(SUMIFS('NSE - NIFTY Index Options'!$L:$L,'NSE - NIFTY Index Options'!$C:$C,$A68,'NSE - NIFTY Index Options'!$B:$B,C$4,'NSE - NIFTY Index Options'!$H:$H,"Weekly*")+SUMIFS('NSE - NIFTY Index Options'!$L:$L,'NSE - NIFTY Index Options'!$C:$C,$A68,'NSE - NIFTY Index Options'!$B:$B,C$4,'NSE - NIFTY Index Options'!$H:$H,"MDAW*")+SUMIFS('NSE - Other Index Options'!$L:$L,'NSE - Other Index Options'!$C:$C,$A68,'NSE - Other Index Options'!$B:$B,C$4,'NSE - Other Index Options'!$H:$H,"Weekly*")+SUMIFS('NSE - Other Index Options'!$L:$L,'NSE - Other Index Options'!$C:$C,$A68,'NSE - Other Index Options'!$B:$B,C$4,'NSE - Other Index Options'!$H:$H,"MDAW*")=0,"",SUMIFS('NSE - NIFTY Index Options'!$L:$L,'NSE - NIFTY Index Options'!$C:$C,$A68,'NSE - NIFTY Index Options'!$B:$B,C$4,'NSE - NIFTY Index Options'!$H:$H,"Weekly*")+SUMIFS('NSE - NIFTY Index Options'!$L:$L,'NSE - NIFTY Index Options'!$C:$C,$A68,'NSE - NIFTY Index Options'!$B:$B,C$4,'NSE - NIFTY Index Options'!$H:$H,"MDAW*")+SUMIFS('NSE - Other Index Options'!$L:$L,'NSE - Other Index Options'!$C:$C,$A68,'NSE - Other Index Options'!$B:$B,C$4,'NSE - Other Index Options'!$H:$H,"Weekly*")+SUMIFS('NSE - Other Index Options'!$L:$L,'NSE - Other Index Options'!$C:$C,$A68,'NSE - Other Index Options'!$B:$B,C$4,'NSE - Other Index Options'!$H:$H,"MDAW*"))</f>
        <v/>
      </c>
      <c r="D68" s="26" t="str">
        <f>IF(SUMIFS('NSE - NIFTY Index Options'!$L:$L,'NSE - NIFTY Index Options'!$C:$C,$A68,'NSE - NIFTY Index Options'!$B:$B,D$4,'NSE - NIFTY Index Options'!$H:$H,"Weekly*")+SUMIFS('NSE - NIFTY Index Options'!$L:$L,'NSE - NIFTY Index Options'!$C:$C,$A68,'NSE - NIFTY Index Options'!$B:$B,D$4,'NSE - NIFTY Index Options'!$H:$H,"MDAW*")+SUMIFS('NSE - Other Index Options'!$L:$L,'NSE - Other Index Options'!$C:$C,$A68,'NSE - Other Index Options'!$B:$B,D$4,'NSE - Other Index Options'!$H:$H,"Weekly*")+SUMIFS('NSE - Other Index Options'!$L:$L,'NSE - Other Index Options'!$C:$C,$A68,'NSE - Other Index Options'!$B:$B,D$4,'NSE - Other Index Options'!$H:$H,"MDAW*")=0,"",SUMIFS('NSE - NIFTY Index Options'!$L:$L,'NSE - NIFTY Index Options'!$C:$C,$A68,'NSE - NIFTY Index Options'!$B:$B,D$4,'NSE - NIFTY Index Options'!$H:$H,"Weekly*")+SUMIFS('NSE - NIFTY Index Options'!$L:$L,'NSE - NIFTY Index Options'!$C:$C,$A68,'NSE - NIFTY Index Options'!$B:$B,D$4,'NSE - NIFTY Index Options'!$H:$H,"MDAW*")+SUMIFS('NSE - Other Index Options'!$L:$L,'NSE - Other Index Options'!$C:$C,$A68,'NSE - Other Index Options'!$B:$B,D$4,'NSE - Other Index Options'!$H:$H,"Weekly*")+SUMIFS('NSE - Other Index Options'!$L:$L,'NSE - Other Index Options'!$C:$C,$A68,'NSE - Other Index Options'!$B:$B,D$4,'NSE - Other Index Options'!$H:$H,"MDAW*"))</f>
        <v/>
      </c>
      <c r="E68" s="26" t="str">
        <f>IF(SUMIFS('NSE - NIFTY Index Options'!$L:$L,'NSE - NIFTY Index Options'!$C:$C,$A68,'NSE - NIFTY Index Options'!$B:$B,E$4,'NSE - NIFTY Index Options'!$H:$H,"Weekly*")+SUMIFS('NSE - NIFTY Index Options'!$L:$L,'NSE - NIFTY Index Options'!$C:$C,$A68,'NSE - NIFTY Index Options'!$B:$B,E$4,'NSE - NIFTY Index Options'!$H:$H,"MDAW*")+SUMIFS('NSE - Other Index Options'!$L:$L,'NSE - Other Index Options'!$C:$C,$A68,'NSE - Other Index Options'!$B:$B,E$4,'NSE - Other Index Options'!$H:$H,"Weekly*")+SUMIFS('NSE - Other Index Options'!$L:$L,'NSE - Other Index Options'!$C:$C,$A68,'NSE - Other Index Options'!$B:$B,E$4,'NSE - Other Index Options'!$H:$H,"MDAW*")=0,"",SUMIFS('NSE - NIFTY Index Options'!$L:$L,'NSE - NIFTY Index Options'!$C:$C,$A68,'NSE - NIFTY Index Options'!$B:$B,E$4,'NSE - NIFTY Index Options'!$H:$H,"Weekly*")+SUMIFS('NSE - NIFTY Index Options'!$L:$L,'NSE - NIFTY Index Options'!$C:$C,$A68,'NSE - NIFTY Index Options'!$B:$B,E$4,'NSE - NIFTY Index Options'!$H:$H,"MDAW*")+SUMIFS('NSE - Other Index Options'!$L:$L,'NSE - Other Index Options'!$C:$C,$A68,'NSE - Other Index Options'!$B:$B,E$4,'NSE - Other Index Options'!$H:$H,"Weekly*")+SUMIFS('NSE - Other Index Options'!$L:$L,'NSE - Other Index Options'!$C:$C,$A68,'NSE - Other Index Options'!$B:$B,E$4,'NSE - Other Index Options'!$H:$H,"MDAW*"))</f>
        <v/>
      </c>
      <c r="F68" s="26" t="str">
        <f>IF(SUMIFS('NSE - NIFTY Index Options'!$L:$L,'NSE - NIFTY Index Options'!$C:$C,$A68,'NSE - NIFTY Index Options'!$B:$B,F$4,'NSE - NIFTY Index Options'!$H:$H,"Weekly*")+SUMIFS('NSE - NIFTY Index Options'!$L:$L,'NSE - NIFTY Index Options'!$C:$C,$A68,'NSE - NIFTY Index Options'!$B:$B,F$4,'NSE - NIFTY Index Options'!$H:$H,"MDAW*")+SUMIFS('NSE - Other Index Options'!$L:$L,'NSE - Other Index Options'!$C:$C,$A68,'NSE - Other Index Options'!$B:$B,F$4,'NSE - Other Index Options'!$H:$H,"Weekly*")+SUMIFS('NSE - Other Index Options'!$L:$L,'NSE - Other Index Options'!$C:$C,$A68,'NSE - Other Index Options'!$B:$B,F$4,'NSE - Other Index Options'!$H:$H,"MDAW*")=0,"",SUMIFS('NSE - NIFTY Index Options'!$L:$L,'NSE - NIFTY Index Options'!$C:$C,$A68,'NSE - NIFTY Index Options'!$B:$B,F$4,'NSE - NIFTY Index Options'!$H:$H,"Weekly*")+SUMIFS('NSE - NIFTY Index Options'!$L:$L,'NSE - NIFTY Index Options'!$C:$C,$A68,'NSE - NIFTY Index Options'!$B:$B,F$4,'NSE - NIFTY Index Options'!$H:$H,"MDAW*")+SUMIFS('NSE - Other Index Options'!$L:$L,'NSE - Other Index Options'!$C:$C,$A68,'NSE - Other Index Options'!$B:$B,F$4,'NSE - Other Index Options'!$H:$H,"Weekly*")+SUMIFS('NSE - Other Index Options'!$L:$L,'NSE - Other Index Options'!$C:$C,$A68,'NSE - Other Index Options'!$B:$B,F$4,'NSE - Other Index Options'!$H:$H,"MDAW*"))</f>
        <v/>
      </c>
      <c r="G68" s="26" t="str">
        <f>IF(SUMIFS('NSE - NIFTY Index Options'!$L:$L,'NSE - NIFTY Index Options'!$C:$C,$A68,'NSE - NIFTY Index Options'!$B:$B,G$4,'NSE - NIFTY Index Options'!$H:$H,"Weekly*")+SUMIFS('NSE - NIFTY Index Options'!$L:$L,'NSE - NIFTY Index Options'!$C:$C,$A68,'NSE - NIFTY Index Options'!$B:$B,G$4,'NSE - NIFTY Index Options'!$H:$H,"MDAW*")+SUMIFS('NSE - Other Index Options'!$L:$L,'NSE - Other Index Options'!$C:$C,$A68,'NSE - Other Index Options'!$B:$B,G$4,'NSE - Other Index Options'!$H:$H,"Weekly*")+SUMIFS('NSE - Other Index Options'!$L:$L,'NSE - Other Index Options'!$C:$C,$A68,'NSE - Other Index Options'!$B:$B,G$4,'NSE - Other Index Options'!$H:$H,"MDAW*")=0,"",SUMIFS('NSE - NIFTY Index Options'!$L:$L,'NSE - NIFTY Index Options'!$C:$C,$A68,'NSE - NIFTY Index Options'!$B:$B,G$4,'NSE - NIFTY Index Options'!$H:$H,"Weekly*")+SUMIFS('NSE - NIFTY Index Options'!$L:$L,'NSE - NIFTY Index Options'!$C:$C,$A68,'NSE - NIFTY Index Options'!$B:$B,G$4,'NSE - NIFTY Index Options'!$H:$H,"MDAW*")+SUMIFS('NSE - Other Index Options'!$L:$L,'NSE - Other Index Options'!$C:$C,$A68,'NSE - Other Index Options'!$B:$B,G$4,'NSE - Other Index Options'!$H:$H,"Weekly*")+SUMIFS('NSE - Other Index Options'!$L:$L,'NSE - Other Index Options'!$C:$C,$A68,'NSE - Other Index Options'!$B:$B,G$4,'NSE - Other Index Options'!$H:$H,"MDAW*"))</f>
        <v/>
      </c>
      <c r="H68" s="26" t="str">
        <f t="shared" si="1"/>
        <v/>
      </c>
    </row>
    <row r="69" spans="1:8" hidden="1" outlineLevel="1">
      <c r="A69" t="s">
        <v>74</v>
      </c>
      <c r="B69" s="26" t="str">
        <f>IF(SUMIFS('NSE - NIFTY Index Options'!$L:$L,'NSE - NIFTY Index Options'!$C:$C,$A69,'NSE - NIFTY Index Options'!$B:$B,B$4,'NSE - NIFTY Index Options'!$H:$H,"Weekly*")+SUMIFS('NSE - NIFTY Index Options'!$L:$L,'NSE - NIFTY Index Options'!$C:$C,$A69,'NSE - NIFTY Index Options'!$B:$B,B$4,'NSE - NIFTY Index Options'!$H:$H,"MDAW*")+SUMIFS('NSE - Other Index Options'!$L:$L,'NSE - Other Index Options'!$C:$C,$A69,'NSE - Other Index Options'!$B:$B,B$4,'NSE - Other Index Options'!$H:$H,"Weekly*")+SUMIFS('NSE - Other Index Options'!$L:$L,'NSE - Other Index Options'!$C:$C,$A69,'NSE - Other Index Options'!$B:$B,B$4,'NSE - Other Index Options'!$H:$H,"MDAW*")=0,"",SUMIFS('NSE - NIFTY Index Options'!$L:$L,'NSE - NIFTY Index Options'!$C:$C,$A69,'NSE - NIFTY Index Options'!$B:$B,B$4,'NSE - NIFTY Index Options'!$H:$H,"Weekly*")+SUMIFS('NSE - NIFTY Index Options'!$L:$L,'NSE - NIFTY Index Options'!$C:$C,$A69,'NSE - NIFTY Index Options'!$B:$B,B$4,'NSE - NIFTY Index Options'!$H:$H,"MDAW*")+SUMIFS('NSE - Other Index Options'!$L:$L,'NSE - Other Index Options'!$C:$C,$A69,'NSE - Other Index Options'!$B:$B,B$4,'NSE - Other Index Options'!$H:$H,"Weekly*")+SUMIFS('NSE - Other Index Options'!$L:$L,'NSE - Other Index Options'!$C:$C,$A69,'NSE - Other Index Options'!$B:$B,B$4,'NSE - Other Index Options'!$H:$H,"MDAW*"))</f>
        <v/>
      </c>
      <c r="C69" s="26" t="str">
        <f>IF(SUMIFS('NSE - NIFTY Index Options'!$L:$L,'NSE - NIFTY Index Options'!$C:$C,$A69,'NSE - NIFTY Index Options'!$B:$B,C$4,'NSE - NIFTY Index Options'!$H:$H,"Weekly*")+SUMIFS('NSE - NIFTY Index Options'!$L:$L,'NSE - NIFTY Index Options'!$C:$C,$A69,'NSE - NIFTY Index Options'!$B:$B,C$4,'NSE - NIFTY Index Options'!$H:$H,"MDAW*")+SUMIFS('NSE - Other Index Options'!$L:$L,'NSE - Other Index Options'!$C:$C,$A69,'NSE - Other Index Options'!$B:$B,C$4,'NSE - Other Index Options'!$H:$H,"Weekly*")+SUMIFS('NSE - Other Index Options'!$L:$L,'NSE - Other Index Options'!$C:$C,$A69,'NSE - Other Index Options'!$B:$B,C$4,'NSE - Other Index Options'!$H:$H,"MDAW*")=0,"",SUMIFS('NSE - NIFTY Index Options'!$L:$L,'NSE - NIFTY Index Options'!$C:$C,$A69,'NSE - NIFTY Index Options'!$B:$B,C$4,'NSE - NIFTY Index Options'!$H:$H,"Weekly*")+SUMIFS('NSE - NIFTY Index Options'!$L:$L,'NSE - NIFTY Index Options'!$C:$C,$A69,'NSE - NIFTY Index Options'!$B:$B,C$4,'NSE - NIFTY Index Options'!$H:$H,"MDAW*")+SUMIFS('NSE - Other Index Options'!$L:$L,'NSE - Other Index Options'!$C:$C,$A69,'NSE - Other Index Options'!$B:$B,C$4,'NSE - Other Index Options'!$H:$H,"Weekly*")+SUMIFS('NSE - Other Index Options'!$L:$L,'NSE - Other Index Options'!$C:$C,$A69,'NSE - Other Index Options'!$B:$B,C$4,'NSE - Other Index Options'!$H:$H,"MDAW*"))</f>
        <v/>
      </c>
      <c r="D69" s="26" t="str">
        <f>IF(SUMIFS('NSE - NIFTY Index Options'!$L:$L,'NSE - NIFTY Index Options'!$C:$C,$A69,'NSE - NIFTY Index Options'!$B:$B,D$4,'NSE - NIFTY Index Options'!$H:$H,"Weekly*")+SUMIFS('NSE - NIFTY Index Options'!$L:$L,'NSE - NIFTY Index Options'!$C:$C,$A69,'NSE - NIFTY Index Options'!$B:$B,D$4,'NSE - NIFTY Index Options'!$H:$H,"MDAW*")+SUMIFS('NSE - Other Index Options'!$L:$L,'NSE - Other Index Options'!$C:$C,$A69,'NSE - Other Index Options'!$B:$B,D$4,'NSE - Other Index Options'!$H:$H,"Weekly*")+SUMIFS('NSE - Other Index Options'!$L:$L,'NSE - Other Index Options'!$C:$C,$A69,'NSE - Other Index Options'!$B:$B,D$4,'NSE - Other Index Options'!$H:$H,"MDAW*")=0,"",SUMIFS('NSE - NIFTY Index Options'!$L:$L,'NSE - NIFTY Index Options'!$C:$C,$A69,'NSE - NIFTY Index Options'!$B:$B,D$4,'NSE - NIFTY Index Options'!$H:$H,"Weekly*")+SUMIFS('NSE - NIFTY Index Options'!$L:$L,'NSE - NIFTY Index Options'!$C:$C,$A69,'NSE - NIFTY Index Options'!$B:$B,D$4,'NSE - NIFTY Index Options'!$H:$H,"MDAW*")+SUMIFS('NSE - Other Index Options'!$L:$L,'NSE - Other Index Options'!$C:$C,$A69,'NSE - Other Index Options'!$B:$B,D$4,'NSE - Other Index Options'!$H:$H,"Weekly*")+SUMIFS('NSE - Other Index Options'!$L:$L,'NSE - Other Index Options'!$C:$C,$A69,'NSE - Other Index Options'!$B:$B,D$4,'NSE - Other Index Options'!$H:$H,"MDAW*"))</f>
        <v/>
      </c>
      <c r="E69" s="26" t="str">
        <f>IF(SUMIFS('NSE - NIFTY Index Options'!$L:$L,'NSE - NIFTY Index Options'!$C:$C,$A69,'NSE - NIFTY Index Options'!$B:$B,E$4,'NSE - NIFTY Index Options'!$H:$H,"Weekly*")+SUMIFS('NSE - NIFTY Index Options'!$L:$L,'NSE - NIFTY Index Options'!$C:$C,$A69,'NSE - NIFTY Index Options'!$B:$B,E$4,'NSE - NIFTY Index Options'!$H:$H,"MDAW*")+SUMIFS('NSE - Other Index Options'!$L:$L,'NSE - Other Index Options'!$C:$C,$A69,'NSE - Other Index Options'!$B:$B,E$4,'NSE - Other Index Options'!$H:$H,"Weekly*")+SUMIFS('NSE - Other Index Options'!$L:$L,'NSE - Other Index Options'!$C:$C,$A69,'NSE - Other Index Options'!$B:$B,E$4,'NSE - Other Index Options'!$H:$H,"MDAW*")=0,"",SUMIFS('NSE - NIFTY Index Options'!$L:$L,'NSE - NIFTY Index Options'!$C:$C,$A69,'NSE - NIFTY Index Options'!$B:$B,E$4,'NSE - NIFTY Index Options'!$H:$H,"Weekly*")+SUMIFS('NSE - NIFTY Index Options'!$L:$L,'NSE - NIFTY Index Options'!$C:$C,$A69,'NSE - NIFTY Index Options'!$B:$B,E$4,'NSE - NIFTY Index Options'!$H:$H,"MDAW*")+SUMIFS('NSE - Other Index Options'!$L:$L,'NSE - Other Index Options'!$C:$C,$A69,'NSE - Other Index Options'!$B:$B,E$4,'NSE - Other Index Options'!$H:$H,"Weekly*")+SUMIFS('NSE - Other Index Options'!$L:$L,'NSE - Other Index Options'!$C:$C,$A69,'NSE - Other Index Options'!$B:$B,E$4,'NSE - Other Index Options'!$H:$H,"MDAW*"))</f>
        <v/>
      </c>
      <c r="F69" s="26" t="str">
        <f>IF(SUMIFS('NSE - NIFTY Index Options'!$L:$L,'NSE - NIFTY Index Options'!$C:$C,$A69,'NSE - NIFTY Index Options'!$B:$B,F$4,'NSE - NIFTY Index Options'!$H:$H,"Weekly*")+SUMIFS('NSE - NIFTY Index Options'!$L:$L,'NSE - NIFTY Index Options'!$C:$C,$A69,'NSE - NIFTY Index Options'!$B:$B,F$4,'NSE - NIFTY Index Options'!$H:$H,"MDAW*")+SUMIFS('NSE - Other Index Options'!$L:$L,'NSE - Other Index Options'!$C:$C,$A69,'NSE - Other Index Options'!$B:$B,F$4,'NSE - Other Index Options'!$H:$H,"Weekly*")+SUMIFS('NSE - Other Index Options'!$L:$L,'NSE - Other Index Options'!$C:$C,$A69,'NSE - Other Index Options'!$B:$B,F$4,'NSE - Other Index Options'!$H:$H,"MDAW*")=0,"",SUMIFS('NSE - NIFTY Index Options'!$L:$L,'NSE - NIFTY Index Options'!$C:$C,$A69,'NSE - NIFTY Index Options'!$B:$B,F$4,'NSE - NIFTY Index Options'!$H:$H,"Weekly*")+SUMIFS('NSE - NIFTY Index Options'!$L:$L,'NSE - NIFTY Index Options'!$C:$C,$A69,'NSE - NIFTY Index Options'!$B:$B,F$4,'NSE - NIFTY Index Options'!$H:$H,"MDAW*")+SUMIFS('NSE - Other Index Options'!$L:$L,'NSE - Other Index Options'!$C:$C,$A69,'NSE - Other Index Options'!$B:$B,F$4,'NSE - Other Index Options'!$H:$H,"Weekly*")+SUMIFS('NSE - Other Index Options'!$L:$L,'NSE - Other Index Options'!$C:$C,$A69,'NSE - Other Index Options'!$B:$B,F$4,'NSE - Other Index Options'!$H:$H,"MDAW*"))</f>
        <v/>
      </c>
      <c r="G69" s="26" t="str">
        <f>IF(SUMIFS('NSE - NIFTY Index Options'!$L:$L,'NSE - NIFTY Index Options'!$C:$C,$A69,'NSE - NIFTY Index Options'!$B:$B,G$4,'NSE - NIFTY Index Options'!$H:$H,"Weekly*")+SUMIFS('NSE - NIFTY Index Options'!$L:$L,'NSE - NIFTY Index Options'!$C:$C,$A69,'NSE - NIFTY Index Options'!$B:$B,G$4,'NSE - NIFTY Index Options'!$H:$H,"MDAW*")+SUMIFS('NSE - Other Index Options'!$L:$L,'NSE - Other Index Options'!$C:$C,$A69,'NSE - Other Index Options'!$B:$B,G$4,'NSE - Other Index Options'!$H:$H,"Weekly*")+SUMIFS('NSE - Other Index Options'!$L:$L,'NSE - Other Index Options'!$C:$C,$A69,'NSE - Other Index Options'!$B:$B,G$4,'NSE - Other Index Options'!$H:$H,"MDAW*")=0,"",SUMIFS('NSE - NIFTY Index Options'!$L:$L,'NSE - NIFTY Index Options'!$C:$C,$A69,'NSE - NIFTY Index Options'!$B:$B,G$4,'NSE - NIFTY Index Options'!$H:$H,"Weekly*")+SUMIFS('NSE - NIFTY Index Options'!$L:$L,'NSE - NIFTY Index Options'!$C:$C,$A69,'NSE - NIFTY Index Options'!$B:$B,G$4,'NSE - NIFTY Index Options'!$H:$H,"MDAW*")+SUMIFS('NSE - Other Index Options'!$L:$L,'NSE - Other Index Options'!$C:$C,$A69,'NSE - Other Index Options'!$B:$B,G$4,'NSE - Other Index Options'!$H:$H,"Weekly*")+SUMIFS('NSE - Other Index Options'!$L:$L,'NSE - Other Index Options'!$C:$C,$A69,'NSE - Other Index Options'!$B:$B,G$4,'NSE - Other Index Options'!$H:$H,"MDAW*"))</f>
        <v/>
      </c>
      <c r="H69" s="26" t="str">
        <f t="shared" ref="H69:H100" si="2">IF(SUM(B69:G69)=0,"",SUM(B69:G69))</f>
        <v/>
      </c>
    </row>
    <row r="70" spans="1:8" hidden="1" outlineLevel="1">
      <c r="A70" t="s">
        <v>75</v>
      </c>
      <c r="B70" s="26" t="str">
        <f>IF(SUMIFS('NSE - NIFTY Index Options'!$L:$L,'NSE - NIFTY Index Options'!$C:$C,$A70,'NSE - NIFTY Index Options'!$B:$B,B$4,'NSE - NIFTY Index Options'!$H:$H,"Weekly*")+SUMIFS('NSE - NIFTY Index Options'!$L:$L,'NSE - NIFTY Index Options'!$C:$C,$A70,'NSE - NIFTY Index Options'!$B:$B,B$4,'NSE - NIFTY Index Options'!$H:$H,"MDAW*")+SUMIFS('NSE - Other Index Options'!$L:$L,'NSE - Other Index Options'!$C:$C,$A70,'NSE - Other Index Options'!$B:$B,B$4,'NSE - Other Index Options'!$H:$H,"Weekly*")+SUMIFS('NSE - Other Index Options'!$L:$L,'NSE - Other Index Options'!$C:$C,$A70,'NSE - Other Index Options'!$B:$B,B$4,'NSE - Other Index Options'!$H:$H,"MDAW*")=0,"",SUMIFS('NSE - NIFTY Index Options'!$L:$L,'NSE - NIFTY Index Options'!$C:$C,$A70,'NSE - NIFTY Index Options'!$B:$B,B$4,'NSE - NIFTY Index Options'!$H:$H,"Weekly*")+SUMIFS('NSE - NIFTY Index Options'!$L:$L,'NSE - NIFTY Index Options'!$C:$C,$A70,'NSE - NIFTY Index Options'!$B:$B,B$4,'NSE - NIFTY Index Options'!$H:$H,"MDAW*")+SUMIFS('NSE - Other Index Options'!$L:$L,'NSE - Other Index Options'!$C:$C,$A70,'NSE - Other Index Options'!$B:$B,B$4,'NSE - Other Index Options'!$H:$H,"Weekly*")+SUMIFS('NSE - Other Index Options'!$L:$L,'NSE - Other Index Options'!$C:$C,$A70,'NSE - Other Index Options'!$B:$B,B$4,'NSE - Other Index Options'!$H:$H,"MDAW*"))</f>
        <v/>
      </c>
      <c r="C70" s="26" t="str">
        <f>IF(SUMIFS('NSE - NIFTY Index Options'!$L:$L,'NSE - NIFTY Index Options'!$C:$C,$A70,'NSE - NIFTY Index Options'!$B:$B,C$4,'NSE - NIFTY Index Options'!$H:$H,"Weekly*")+SUMIFS('NSE - NIFTY Index Options'!$L:$L,'NSE - NIFTY Index Options'!$C:$C,$A70,'NSE - NIFTY Index Options'!$B:$B,C$4,'NSE - NIFTY Index Options'!$H:$H,"MDAW*")+SUMIFS('NSE - Other Index Options'!$L:$L,'NSE - Other Index Options'!$C:$C,$A70,'NSE - Other Index Options'!$B:$B,C$4,'NSE - Other Index Options'!$H:$H,"Weekly*")+SUMIFS('NSE - Other Index Options'!$L:$L,'NSE - Other Index Options'!$C:$C,$A70,'NSE - Other Index Options'!$B:$B,C$4,'NSE - Other Index Options'!$H:$H,"MDAW*")=0,"",SUMIFS('NSE - NIFTY Index Options'!$L:$L,'NSE - NIFTY Index Options'!$C:$C,$A70,'NSE - NIFTY Index Options'!$B:$B,C$4,'NSE - NIFTY Index Options'!$H:$H,"Weekly*")+SUMIFS('NSE - NIFTY Index Options'!$L:$L,'NSE - NIFTY Index Options'!$C:$C,$A70,'NSE - NIFTY Index Options'!$B:$B,C$4,'NSE - NIFTY Index Options'!$H:$H,"MDAW*")+SUMIFS('NSE - Other Index Options'!$L:$L,'NSE - Other Index Options'!$C:$C,$A70,'NSE - Other Index Options'!$B:$B,C$4,'NSE - Other Index Options'!$H:$H,"Weekly*")+SUMIFS('NSE - Other Index Options'!$L:$L,'NSE - Other Index Options'!$C:$C,$A70,'NSE - Other Index Options'!$B:$B,C$4,'NSE - Other Index Options'!$H:$H,"MDAW*"))</f>
        <v/>
      </c>
      <c r="D70" s="26" t="str">
        <f>IF(SUMIFS('NSE - NIFTY Index Options'!$L:$L,'NSE - NIFTY Index Options'!$C:$C,$A70,'NSE - NIFTY Index Options'!$B:$B,D$4,'NSE - NIFTY Index Options'!$H:$H,"Weekly*")+SUMIFS('NSE - NIFTY Index Options'!$L:$L,'NSE - NIFTY Index Options'!$C:$C,$A70,'NSE - NIFTY Index Options'!$B:$B,D$4,'NSE - NIFTY Index Options'!$H:$H,"MDAW*")+SUMIFS('NSE - Other Index Options'!$L:$L,'NSE - Other Index Options'!$C:$C,$A70,'NSE - Other Index Options'!$B:$B,D$4,'NSE - Other Index Options'!$H:$H,"Weekly*")+SUMIFS('NSE - Other Index Options'!$L:$L,'NSE - Other Index Options'!$C:$C,$A70,'NSE - Other Index Options'!$B:$B,D$4,'NSE - Other Index Options'!$H:$H,"MDAW*")=0,"",SUMIFS('NSE - NIFTY Index Options'!$L:$L,'NSE - NIFTY Index Options'!$C:$C,$A70,'NSE - NIFTY Index Options'!$B:$B,D$4,'NSE - NIFTY Index Options'!$H:$H,"Weekly*")+SUMIFS('NSE - NIFTY Index Options'!$L:$L,'NSE - NIFTY Index Options'!$C:$C,$A70,'NSE - NIFTY Index Options'!$B:$B,D$4,'NSE - NIFTY Index Options'!$H:$H,"MDAW*")+SUMIFS('NSE - Other Index Options'!$L:$L,'NSE - Other Index Options'!$C:$C,$A70,'NSE - Other Index Options'!$B:$B,D$4,'NSE - Other Index Options'!$H:$H,"Weekly*")+SUMIFS('NSE - Other Index Options'!$L:$L,'NSE - Other Index Options'!$C:$C,$A70,'NSE - Other Index Options'!$B:$B,D$4,'NSE - Other Index Options'!$H:$H,"MDAW*"))</f>
        <v/>
      </c>
      <c r="E70" s="26" t="str">
        <f>IF(SUMIFS('NSE - NIFTY Index Options'!$L:$L,'NSE - NIFTY Index Options'!$C:$C,$A70,'NSE - NIFTY Index Options'!$B:$B,E$4,'NSE - NIFTY Index Options'!$H:$H,"Weekly*")+SUMIFS('NSE - NIFTY Index Options'!$L:$L,'NSE - NIFTY Index Options'!$C:$C,$A70,'NSE - NIFTY Index Options'!$B:$B,E$4,'NSE - NIFTY Index Options'!$H:$H,"MDAW*")+SUMIFS('NSE - Other Index Options'!$L:$L,'NSE - Other Index Options'!$C:$C,$A70,'NSE - Other Index Options'!$B:$B,E$4,'NSE - Other Index Options'!$H:$H,"Weekly*")+SUMIFS('NSE - Other Index Options'!$L:$L,'NSE - Other Index Options'!$C:$C,$A70,'NSE - Other Index Options'!$B:$B,E$4,'NSE - Other Index Options'!$H:$H,"MDAW*")=0,"",SUMIFS('NSE - NIFTY Index Options'!$L:$L,'NSE - NIFTY Index Options'!$C:$C,$A70,'NSE - NIFTY Index Options'!$B:$B,E$4,'NSE - NIFTY Index Options'!$H:$H,"Weekly*")+SUMIFS('NSE - NIFTY Index Options'!$L:$L,'NSE - NIFTY Index Options'!$C:$C,$A70,'NSE - NIFTY Index Options'!$B:$B,E$4,'NSE - NIFTY Index Options'!$H:$H,"MDAW*")+SUMIFS('NSE - Other Index Options'!$L:$L,'NSE - Other Index Options'!$C:$C,$A70,'NSE - Other Index Options'!$B:$B,E$4,'NSE - Other Index Options'!$H:$H,"Weekly*")+SUMIFS('NSE - Other Index Options'!$L:$L,'NSE - Other Index Options'!$C:$C,$A70,'NSE - Other Index Options'!$B:$B,E$4,'NSE - Other Index Options'!$H:$H,"MDAW*"))</f>
        <v/>
      </c>
      <c r="F70" s="26" t="str">
        <f>IF(SUMIFS('NSE - NIFTY Index Options'!$L:$L,'NSE - NIFTY Index Options'!$C:$C,$A70,'NSE - NIFTY Index Options'!$B:$B,F$4,'NSE - NIFTY Index Options'!$H:$H,"Weekly*")+SUMIFS('NSE - NIFTY Index Options'!$L:$L,'NSE - NIFTY Index Options'!$C:$C,$A70,'NSE - NIFTY Index Options'!$B:$B,F$4,'NSE - NIFTY Index Options'!$H:$H,"MDAW*")+SUMIFS('NSE - Other Index Options'!$L:$L,'NSE - Other Index Options'!$C:$C,$A70,'NSE - Other Index Options'!$B:$B,F$4,'NSE - Other Index Options'!$H:$H,"Weekly*")+SUMIFS('NSE - Other Index Options'!$L:$L,'NSE - Other Index Options'!$C:$C,$A70,'NSE - Other Index Options'!$B:$B,F$4,'NSE - Other Index Options'!$H:$H,"MDAW*")=0,"",SUMIFS('NSE - NIFTY Index Options'!$L:$L,'NSE - NIFTY Index Options'!$C:$C,$A70,'NSE - NIFTY Index Options'!$B:$B,F$4,'NSE - NIFTY Index Options'!$H:$H,"Weekly*")+SUMIFS('NSE - NIFTY Index Options'!$L:$L,'NSE - NIFTY Index Options'!$C:$C,$A70,'NSE - NIFTY Index Options'!$B:$B,F$4,'NSE - NIFTY Index Options'!$H:$H,"MDAW*")+SUMIFS('NSE - Other Index Options'!$L:$L,'NSE - Other Index Options'!$C:$C,$A70,'NSE - Other Index Options'!$B:$B,F$4,'NSE - Other Index Options'!$H:$H,"Weekly*")+SUMIFS('NSE - Other Index Options'!$L:$L,'NSE - Other Index Options'!$C:$C,$A70,'NSE - Other Index Options'!$B:$B,F$4,'NSE - Other Index Options'!$H:$H,"MDAW*"))</f>
        <v/>
      </c>
      <c r="G70" s="26" t="str">
        <f>IF(SUMIFS('NSE - NIFTY Index Options'!$L:$L,'NSE - NIFTY Index Options'!$C:$C,$A70,'NSE - NIFTY Index Options'!$B:$B,G$4,'NSE - NIFTY Index Options'!$H:$H,"Weekly*")+SUMIFS('NSE - NIFTY Index Options'!$L:$L,'NSE - NIFTY Index Options'!$C:$C,$A70,'NSE - NIFTY Index Options'!$B:$B,G$4,'NSE - NIFTY Index Options'!$H:$H,"MDAW*")+SUMIFS('NSE - Other Index Options'!$L:$L,'NSE - Other Index Options'!$C:$C,$A70,'NSE - Other Index Options'!$B:$B,G$4,'NSE - Other Index Options'!$H:$H,"Weekly*")+SUMIFS('NSE - Other Index Options'!$L:$L,'NSE - Other Index Options'!$C:$C,$A70,'NSE - Other Index Options'!$B:$B,G$4,'NSE - Other Index Options'!$H:$H,"MDAW*")=0,"",SUMIFS('NSE - NIFTY Index Options'!$L:$L,'NSE - NIFTY Index Options'!$C:$C,$A70,'NSE - NIFTY Index Options'!$B:$B,G$4,'NSE - NIFTY Index Options'!$H:$H,"Weekly*")+SUMIFS('NSE - NIFTY Index Options'!$L:$L,'NSE - NIFTY Index Options'!$C:$C,$A70,'NSE - NIFTY Index Options'!$B:$B,G$4,'NSE - NIFTY Index Options'!$H:$H,"MDAW*")+SUMIFS('NSE - Other Index Options'!$L:$L,'NSE - Other Index Options'!$C:$C,$A70,'NSE - Other Index Options'!$B:$B,G$4,'NSE - Other Index Options'!$H:$H,"Weekly*")+SUMIFS('NSE - Other Index Options'!$L:$L,'NSE - Other Index Options'!$C:$C,$A70,'NSE - Other Index Options'!$B:$B,G$4,'NSE - Other Index Options'!$H:$H,"MDAW*"))</f>
        <v/>
      </c>
      <c r="H70" s="26" t="str">
        <f t="shared" si="2"/>
        <v/>
      </c>
    </row>
    <row r="71" spans="1:8" hidden="1" outlineLevel="1">
      <c r="A71" t="s">
        <v>76</v>
      </c>
      <c r="B71" s="26" t="str">
        <f>IF(SUMIFS('NSE - NIFTY Index Options'!$L:$L,'NSE - NIFTY Index Options'!$C:$C,$A71,'NSE - NIFTY Index Options'!$B:$B,B$4,'NSE - NIFTY Index Options'!$H:$H,"Weekly*")+SUMIFS('NSE - NIFTY Index Options'!$L:$L,'NSE - NIFTY Index Options'!$C:$C,$A71,'NSE - NIFTY Index Options'!$B:$B,B$4,'NSE - NIFTY Index Options'!$H:$H,"MDAW*")+SUMIFS('NSE - Other Index Options'!$L:$L,'NSE - Other Index Options'!$C:$C,$A71,'NSE - Other Index Options'!$B:$B,B$4,'NSE - Other Index Options'!$H:$H,"Weekly*")+SUMIFS('NSE - Other Index Options'!$L:$L,'NSE - Other Index Options'!$C:$C,$A71,'NSE - Other Index Options'!$B:$B,B$4,'NSE - Other Index Options'!$H:$H,"MDAW*")=0,"",SUMIFS('NSE - NIFTY Index Options'!$L:$L,'NSE - NIFTY Index Options'!$C:$C,$A71,'NSE - NIFTY Index Options'!$B:$B,B$4,'NSE - NIFTY Index Options'!$H:$H,"Weekly*")+SUMIFS('NSE - NIFTY Index Options'!$L:$L,'NSE - NIFTY Index Options'!$C:$C,$A71,'NSE - NIFTY Index Options'!$B:$B,B$4,'NSE - NIFTY Index Options'!$H:$H,"MDAW*")+SUMIFS('NSE - Other Index Options'!$L:$L,'NSE - Other Index Options'!$C:$C,$A71,'NSE - Other Index Options'!$B:$B,B$4,'NSE - Other Index Options'!$H:$H,"Weekly*")+SUMIFS('NSE - Other Index Options'!$L:$L,'NSE - Other Index Options'!$C:$C,$A71,'NSE - Other Index Options'!$B:$B,B$4,'NSE - Other Index Options'!$H:$H,"MDAW*"))</f>
        <v/>
      </c>
      <c r="C71" s="26" t="str">
        <f>IF(SUMIFS('NSE - NIFTY Index Options'!$L:$L,'NSE - NIFTY Index Options'!$C:$C,$A71,'NSE - NIFTY Index Options'!$B:$B,C$4,'NSE - NIFTY Index Options'!$H:$H,"Weekly*")+SUMIFS('NSE - NIFTY Index Options'!$L:$L,'NSE - NIFTY Index Options'!$C:$C,$A71,'NSE - NIFTY Index Options'!$B:$B,C$4,'NSE - NIFTY Index Options'!$H:$H,"MDAW*")+SUMIFS('NSE - Other Index Options'!$L:$L,'NSE - Other Index Options'!$C:$C,$A71,'NSE - Other Index Options'!$B:$B,C$4,'NSE - Other Index Options'!$H:$H,"Weekly*")+SUMIFS('NSE - Other Index Options'!$L:$L,'NSE - Other Index Options'!$C:$C,$A71,'NSE - Other Index Options'!$B:$B,C$4,'NSE - Other Index Options'!$H:$H,"MDAW*")=0,"",SUMIFS('NSE - NIFTY Index Options'!$L:$L,'NSE - NIFTY Index Options'!$C:$C,$A71,'NSE - NIFTY Index Options'!$B:$B,C$4,'NSE - NIFTY Index Options'!$H:$H,"Weekly*")+SUMIFS('NSE - NIFTY Index Options'!$L:$L,'NSE - NIFTY Index Options'!$C:$C,$A71,'NSE - NIFTY Index Options'!$B:$B,C$4,'NSE - NIFTY Index Options'!$H:$H,"MDAW*")+SUMIFS('NSE - Other Index Options'!$L:$L,'NSE - Other Index Options'!$C:$C,$A71,'NSE - Other Index Options'!$B:$B,C$4,'NSE - Other Index Options'!$H:$H,"Weekly*")+SUMIFS('NSE - Other Index Options'!$L:$L,'NSE - Other Index Options'!$C:$C,$A71,'NSE - Other Index Options'!$B:$B,C$4,'NSE - Other Index Options'!$H:$H,"MDAW*"))</f>
        <v/>
      </c>
      <c r="D71" s="26" t="str">
        <f>IF(SUMIFS('NSE - NIFTY Index Options'!$L:$L,'NSE - NIFTY Index Options'!$C:$C,$A71,'NSE - NIFTY Index Options'!$B:$B,D$4,'NSE - NIFTY Index Options'!$H:$H,"Weekly*")+SUMIFS('NSE - NIFTY Index Options'!$L:$L,'NSE - NIFTY Index Options'!$C:$C,$A71,'NSE - NIFTY Index Options'!$B:$B,D$4,'NSE - NIFTY Index Options'!$H:$H,"MDAW*")+SUMIFS('NSE - Other Index Options'!$L:$L,'NSE - Other Index Options'!$C:$C,$A71,'NSE - Other Index Options'!$B:$B,D$4,'NSE - Other Index Options'!$H:$H,"Weekly*")+SUMIFS('NSE - Other Index Options'!$L:$L,'NSE - Other Index Options'!$C:$C,$A71,'NSE - Other Index Options'!$B:$B,D$4,'NSE - Other Index Options'!$H:$H,"MDAW*")=0,"",SUMIFS('NSE - NIFTY Index Options'!$L:$L,'NSE - NIFTY Index Options'!$C:$C,$A71,'NSE - NIFTY Index Options'!$B:$B,D$4,'NSE - NIFTY Index Options'!$H:$H,"Weekly*")+SUMIFS('NSE - NIFTY Index Options'!$L:$L,'NSE - NIFTY Index Options'!$C:$C,$A71,'NSE - NIFTY Index Options'!$B:$B,D$4,'NSE - NIFTY Index Options'!$H:$H,"MDAW*")+SUMIFS('NSE - Other Index Options'!$L:$L,'NSE - Other Index Options'!$C:$C,$A71,'NSE - Other Index Options'!$B:$B,D$4,'NSE - Other Index Options'!$H:$H,"Weekly*")+SUMIFS('NSE - Other Index Options'!$L:$L,'NSE - Other Index Options'!$C:$C,$A71,'NSE - Other Index Options'!$B:$B,D$4,'NSE - Other Index Options'!$H:$H,"MDAW*"))</f>
        <v/>
      </c>
      <c r="E71" s="26" t="str">
        <f>IF(SUMIFS('NSE - NIFTY Index Options'!$L:$L,'NSE - NIFTY Index Options'!$C:$C,$A71,'NSE - NIFTY Index Options'!$B:$B,E$4,'NSE - NIFTY Index Options'!$H:$H,"Weekly*")+SUMIFS('NSE - NIFTY Index Options'!$L:$L,'NSE - NIFTY Index Options'!$C:$C,$A71,'NSE - NIFTY Index Options'!$B:$B,E$4,'NSE - NIFTY Index Options'!$H:$H,"MDAW*")+SUMIFS('NSE - Other Index Options'!$L:$L,'NSE - Other Index Options'!$C:$C,$A71,'NSE - Other Index Options'!$B:$B,E$4,'NSE - Other Index Options'!$H:$H,"Weekly*")+SUMIFS('NSE - Other Index Options'!$L:$L,'NSE - Other Index Options'!$C:$C,$A71,'NSE - Other Index Options'!$B:$B,E$4,'NSE - Other Index Options'!$H:$H,"MDAW*")=0,"",SUMIFS('NSE - NIFTY Index Options'!$L:$L,'NSE - NIFTY Index Options'!$C:$C,$A71,'NSE - NIFTY Index Options'!$B:$B,E$4,'NSE - NIFTY Index Options'!$H:$H,"Weekly*")+SUMIFS('NSE - NIFTY Index Options'!$L:$L,'NSE - NIFTY Index Options'!$C:$C,$A71,'NSE - NIFTY Index Options'!$B:$B,E$4,'NSE - NIFTY Index Options'!$H:$H,"MDAW*")+SUMIFS('NSE - Other Index Options'!$L:$L,'NSE - Other Index Options'!$C:$C,$A71,'NSE - Other Index Options'!$B:$B,E$4,'NSE - Other Index Options'!$H:$H,"Weekly*")+SUMIFS('NSE - Other Index Options'!$L:$L,'NSE - Other Index Options'!$C:$C,$A71,'NSE - Other Index Options'!$B:$B,E$4,'NSE - Other Index Options'!$H:$H,"MDAW*"))</f>
        <v/>
      </c>
      <c r="F71" s="26" t="str">
        <f>IF(SUMIFS('NSE - NIFTY Index Options'!$L:$L,'NSE - NIFTY Index Options'!$C:$C,$A71,'NSE - NIFTY Index Options'!$B:$B,F$4,'NSE - NIFTY Index Options'!$H:$H,"Weekly*")+SUMIFS('NSE - NIFTY Index Options'!$L:$L,'NSE - NIFTY Index Options'!$C:$C,$A71,'NSE - NIFTY Index Options'!$B:$B,F$4,'NSE - NIFTY Index Options'!$H:$H,"MDAW*")+SUMIFS('NSE - Other Index Options'!$L:$L,'NSE - Other Index Options'!$C:$C,$A71,'NSE - Other Index Options'!$B:$B,F$4,'NSE - Other Index Options'!$H:$H,"Weekly*")+SUMIFS('NSE - Other Index Options'!$L:$L,'NSE - Other Index Options'!$C:$C,$A71,'NSE - Other Index Options'!$B:$B,F$4,'NSE - Other Index Options'!$H:$H,"MDAW*")=0,"",SUMIFS('NSE - NIFTY Index Options'!$L:$L,'NSE - NIFTY Index Options'!$C:$C,$A71,'NSE - NIFTY Index Options'!$B:$B,F$4,'NSE - NIFTY Index Options'!$H:$H,"Weekly*")+SUMIFS('NSE - NIFTY Index Options'!$L:$L,'NSE - NIFTY Index Options'!$C:$C,$A71,'NSE - NIFTY Index Options'!$B:$B,F$4,'NSE - NIFTY Index Options'!$H:$H,"MDAW*")+SUMIFS('NSE - Other Index Options'!$L:$L,'NSE - Other Index Options'!$C:$C,$A71,'NSE - Other Index Options'!$B:$B,F$4,'NSE - Other Index Options'!$H:$H,"Weekly*")+SUMIFS('NSE - Other Index Options'!$L:$L,'NSE - Other Index Options'!$C:$C,$A71,'NSE - Other Index Options'!$B:$B,F$4,'NSE - Other Index Options'!$H:$H,"MDAW*"))</f>
        <v/>
      </c>
      <c r="G71" s="26" t="str">
        <f>IF(SUMIFS('NSE - NIFTY Index Options'!$L:$L,'NSE - NIFTY Index Options'!$C:$C,$A71,'NSE - NIFTY Index Options'!$B:$B,G$4,'NSE - NIFTY Index Options'!$H:$H,"Weekly*")+SUMIFS('NSE - NIFTY Index Options'!$L:$L,'NSE - NIFTY Index Options'!$C:$C,$A71,'NSE - NIFTY Index Options'!$B:$B,G$4,'NSE - NIFTY Index Options'!$H:$H,"MDAW*")+SUMIFS('NSE - Other Index Options'!$L:$L,'NSE - Other Index Options'!$C:$C,$A71,'NSE - Other Index Options'!$B:$B,G$4,'NSE - Other Index Options'!$H:$H,"Weekly*")+SUMIFS('NSE - Other Index Options'!$L:$L,'NSE - Other Index Options'!$C:$C,$A71,'NSE - Other Index Options'!$B:$B,G$4,'NSE - Other Index Options'!$H:$H,"MDAW*")=0,"",SUMIFS('NSE - NIFTY Index Options'!$L:$L,'NSE - NIFTY Index Options'!$C:$C,$A71,'NSE - NIFTY Index Options'!$B:$B,G$4,'NSE - NIFTY Index Options'!$H:$H,"Weekly*")+SUMIFS('NSE - NIFTY Index Options'!$L:$L,'NSE - NIFTY Index Options'!$C:$C,$A71,'NSE - NIFTY Index Options'!$B:$B,G$4,'NSE - NIFTY Index Options'!$H:$H,"MDAW*")+SUMIFS('NSE - Other Index Options'!$L:$L,'NSE - Other Index Options'!$C:$C,$A71,'NSE - Other Index Options'!$B:$B,G$4,'NSE - Other Index Options'!$H:$H,"Weekly*")+SUMIFS('NSE - Other Index Options'!$L:$L,'NSE - Other Index Options'!$C:$C,$A71,'NSE - Other Index Options'!$B:$B,G$4,'NSE - Other Index Options'!$H:$H,"MDAW*"))</f>
        <v/>
      </c>
      <c r="H71" s="26" t="str">
        <f t="shared" si="2"/>
        <v/>
      </c>
    </row>
    <row r="72" spans="1:8" hidden="1" outlineLevel="1">
      <c r="A72" t="s">
        <v>77</v>
      </c>
      <c r="B72" s="26" t="str">
        <f>IF(SUMIFS('NSE - NIFTY Index Options'!$L:$L,'NSE - NIFTY Index Options'!$C:$C,$A72,'NSE - NIFTY Index Options'!$B:$B,B$4,'NSE - NIFTY Index Options'!$H:$H,"Weekly*")+SUMIFS('NSE - NIFTY Index Options'!$L:$L,'NSE - NIFTY Index Options'!$C:$C,$A72,'NSE - NIFTY Index Options'!$B:$B,B$4,'NSE - NIFTY Index Options'!$H:$H,"MDAW*")+SUMIFS('NSE - Other Index Options'!$L:$L,'NSE - Other Index Options'!$C:$C,$A72,'NSE - Other Index Options'!$B:$B,B$4,'NSE - Other Index Options'!$H:$H,"Weekly*")+SUMIFS('NSE - Other Index Options'!$L:$L,'NSE - Other Index Options'!$C:$C,$A72,'NSE - Other Index Options'!$B:$B,B$4,'NSE - Other Index Options'!$H:$H,"MDAW*")=0,"",SUMIFS('NSE - NIFTY Index Options'!$L:$L,'NSE - NIFTY Index Options'!$C:$C,$A72,'NSE - NIFTY Index Options'!$B:$B,B$4,'NSE - NIFTY Index Options'!$H:$H,"Weekly*")+SUMIFS('NSE - NIFTY Index Options'!$L:$L,'NSE - NIFTY Index Options'!$C:$C,$A72,'NSE - NIFTY Index Options'!$B:$B,B$4,'NSE - NIFTY Index Options'!$H:$H,"MDAW*")+SUMIFS('NSE - Other Index Options'!$L:$L,'NSE - Other Index Options'!$C:$C,$A72,'NSE - Other Index Options'!$B:$B,B$4,'NSE - Other Index Options'!$H:$H,"Weekly*")+SUMIFS('NSE - Other Index Options'!$L:$L,'NSE - Other Index Options'!$C:$C,$A72,'NSE - Other Index Options'!$B:$B,B$4,'NSE - Other Index Options'!$H:$H,"MDAW*"))</f>
        <v/>
      </c>
      <c r="C72" s="26" t="str">
        <f>IF(SUMIFS('NSE - NIFTY Index Options'!$L:$L,'NSE - NIFTY Index Options'!$C:$C,$A72,'NSE - NIFTY Index Options'!$B:$B,C$4,'NSE - NIFTY Index Options'!$H:$H,"Weekly*")+SUMIFS('NSE - NIFTY Index Options'!$L:$L,'NSE - NIFTY Index Options'!$C:$C,$A72,'NSE - NIFTY Index Options'!$B:$B,C$4,'NSE - NIFTY Index Options'!$H:$H,"MDAW*")+SUMIFS('NSE - Other Index Options'!$L:$L,'NSE - Other Index Options'!$C:$C,$A72,'NSE - Other Index Options'!$B:$B,C$4,'NSE - Other Index Options'!$H:$H,"Weekly*")+SUMIFS('NSE - Other Index Options'!$L:$L,'NSE - Other Index Options'!$C:$C,$A72,'NSE - Other Index Options'!$B:$B,C$4,'NSE - Other Index Options'!$H:$H,"MDAW*")=0,"",SUMIFS('NSE - NIFTY Index Options'!$L:$L,'NSE - NIFTY Index Options'!$C:$C,$A72,'NSE - NIFTY Index Options'!$B:$B,C$4,'NSE - NIFTY Index Options'!$H:$H,"Weekly*")+SUMIFS('NSE - NIFTY Index Options'!$L:$L,'NSE - NIFTY Index Options'!$C:$C,$A72,'NSE - NIFTY Index Options'!$B:$B,C$4,'NSE - NIFTY Index Options'!$H:$H,"MDAW*")+SUMIFS('NSE - Other Index Options'!$L:$L,'NSE - Other Index Options'!$C:$C,$A72,'NSE - Other Index Options'!$B:$B,C$4,'NSE - Other Index Options'!$H:$H,"Weekly*")+SUMIFS('NSE - Other Index Options'!$L:$L,'NSE - Other Index Options'!$C:$C,$A72,'NSE - Other Index Options'!$B:$B,C$4,'NSE - Other Index Options'!$H:$H,"MDAW*"))</f>
        <v/>
      </c>
      <c r="D72" s="26" t="str">
        <f>IF(SUMIFS('NSE - NIFTY Index Options'!$L:$L,'NSE - NIFTY Index Options'!$C:$C,$A72,'NSE - NIFTY Index Options'!$B:$B,D$4,'NSE - NIFTY Index Options'!$H:$H,"Weekly*")+SUMIFS('NSE - NIFTY Index Options'!$L:$L,'NSE - NIFTY Index Options'!$C:$C,$A72,'NSE - NIFTY Index Options'!$B:$B,D$4,'NSE - NIFTY Index Options'!$H:$H,"MDAW*")+SUMIFS('NSE - Other Index Options'!$L:$L,'NSE - Other Index Options'!$C:$C,$A72,'NSE - Other Index Options'!$B:$B,D$4,'NSE - Other Index Options'!$H:$H,"Weekly*")+SUMIFS('NSE - Other Index Options'!$L:$L,'NSE - Other Index Options'!$C:$C,$A72,'NSE - Other Index Options'!$B:$B,D$4,'NSE - Other Index Options'!$H:$H,"MDAW*")=0,"",SUMIFS('NSE - NIFTY Index Options'!$L:$L,'NSE - NIFTY Index Options'!$C:$C,$A72,'NSE - NIFTY Index Options'!$B:$B,D$4,'NSE - NIFTY Index Options'!$H:$H,"Weekly*")+SUMIFS('NSE - NIFTY Index Options'!$L:$L,'NSE - NIFTY Index Options'!$C:$C,$A72,'NSE - NIFTY Index Options'!$B:$B,D$4,'NSE - NIFTY Index Options'!$H:$H,"MDAW*")+SUMIFS('NSE - Other Index Options'!$L:$L,'NSE - Other Index Options'!$C:$C,$A72,'NSE - Other Index Options'!$B:$B,D$4,'NSE - Other Index Options'!$H:$H,"Weekly*")+SUMIFS('NSE - Other Index Options'!$L:$L,'NSE - Other Index Options'!$C:$C,$A72,'NSE - Other Index Options'!$B:$B,D$4,'NSE - Other Index Options'!$H:$H,"MDAW*"))</f>
        <v/>
      </c>
      <c r="E72" s="26" t="str">
        <f>IF(SUMIFS('NSE - NIFTY Index Options'!$L:$L,'NSE - NIFTY Index Options'!$C:$C,$A72,'NSE - NIFTY Index Options'!$B:$B,E$4,'NSE - NIFTY Index Options'!$H:$H,"Weekly*")+SUMIFS('NSE - NIFTY Index Options'!$L:$L,'NSE - NIFTY Index Options'!$C:$C,$A72,'NSE - NIFTY Index Options'!$B:$B,E$4,'NSE - NIFTY Index Options'!$H:$H,"MDAW*")+SUMIFS('NSE - Other Index Options'!$L:$L,'NSE - Other Index Options'!$C:$C,$A72,'NSE - Other Index Options'!$B:$B,E$4,'NSE - Other Index Options'!$H:$H,"Weekly*")+SUMIFS('NSE - Other Index Options'!$L:$L,'NSE - Other Index Options'!$C:$C,$A72,'NSE - Other Index Options'!$B:$B,E$4,'NSE - Other Index Options'!$H:$H,"MDAW*")=0,"",SUMIFS('NSE - NIFTY Index Options'!$L:$L,'NSE - NIFTY Index Options'!$C:$C,$A72,'NSE - NIFTY Index Options'!$B:$B,E$4,'NSE - NIFTY Index Options'!$H:$H,"Weekly*")+SUMIFS('NSE - NIFTY Index Options'!$L:$L,'NSE - NIFTY Index Options'!$C:$C,$A72,'NSE - NIFTY Index Options'!$B:$B,E$4,'NSE - NIFTY Index Options'!$H:$H,"MDAW*")+SUMIFS('NSE - Other Index Options'!$L:$L,'NSE - Other Index Options'!$C:$C,$A72,'NSE - Other Index Options'!$B:$B,E$4,'NSE - Other Index Options'!$H:$H,"Weekly*")+SUMIFS('NSE - Other Index Options'!$L:$L,'NSE - Other Index Options'!$C:$C,$A72,'NSE - Other Index Options'!$B:$B,E$4,'NSE - Other Index Options'!$H:$H,"MDAW*"))</f>
        <v/>
      </c>
      <c r="F72" s="26" t="str">
        <f>IF(SUMIFS('NSE - NIFTY Index Options'!$L:$L,'NSE - NIFTY Index Options'!$C:$C,$A72,'NSE - NIFTY Index Options'!$B:$B,F$4,'NSE - NIFTY Index Options'!$H:$H,"Weekly*")+SUMIFS('NSE - NIFTY Index Options'!$L:$L,'NSE - NIFTY Index Options'!$C:$C,$A72,'NSE - NIFTY Index Options'!$B:$B,F$4,'NSE - NIFTY Index Options'!$H:$H,"MDAW*")+SUMIFS('NSE - Other Index Options'!$L:$L,'NSE - Other Index Options'!$C:$C,$A72,'NSE - Other Index Options'!$B:$B,F$4,'NSE - Other Index Options'!$H:$H,"Weekly*")+SUMIFS('NSE - Other Index Options'!$L:$L,'NSE - Other Index Options'!$C:$C,$A72,'NSE - Other Index Options'!$B:$B,F$4,'NSE - Other Index Options'!$H:$H,"MDAW*")=0,"",SUMIFS('NSE - NIFTY Index Options'!$L:$L,'NSE - NIFTY Index Options'!$C:$C,$A72,'NSE - NIFTY Index Options'!$B:$B,F$4,'NSE - NIFTY Index Options'!$H:$H,"Weekly*")+SUMIFS('NSE - NIFTY Index Options'!$L:$L,'NSE - NIFTY Index Options'!$C:$C,$A72,'NSE - NIFTY Index Options'!$B:$B,F$4,'NSE - NIFTY Index Options'!$H:$H,"MDAW*")+SUMIFS('NSE - Other Index Options'!$L:$L,'NSE - Other Index Options'!$C:$C,$A72,'NSE - Other Index Options'!$B:$B,F$4,'NSE - Other Index Options'!$H:$H,"Weekly*")+SUMIFS('NSE - Other Index Options'!$L:$L,'NSE - Other Index Options'!$C:$C,$A72,'NSE - Other Index Options'!$B:$B,F$4,'NSE - Other Index Options'!$H:$H,"MDAW*"))</f>
        <v/>
      </c>
      <c r="G72" s="26" t="str">
        <f>IF(SUMIFS('NSE - NIFTY Index Options'!$L:$L,'NSE - NIFTY Index Options'!$C:$C,$A72,'NSE - NIFTY Index Options'!$B:$B,G$4,'NSE - NIFTY Index Options'!$H:$H,"Weekly*")+SUMIFS('NSE - NIFTY Index Options'!$L:$L,'NSE - NIFTY Index Options'!$C:$C,$A72,'NSE - NIFTY Index Options'!$B:$B,G$4,'NSE - NIFTY Index Options'!$H:$H,"MDAW*")+SUMIFS('NSE - Other Index Options'!$L:$L,'NSE - Other Index Options'!$C:$C,$A72,'NSE - Other Index Options'!$B:$B,G$4,'NSE - Other Index Options'!$H:$H,"Weekly*")+SUMIFS('NSE - Other Index Options'!$L:$L,'NSE - Other Index Options'!$C:$C,$A72,'NSE - Other Index Options'!$B:$B,G$4,'NSE - Other Index Options'!$H:$H,"MDAW*")=0,"",SUMIFS('NSE - NIFTY Index Options'!$L:$L,'NSE - NIFTY Index Options'!$C:$C,$A72,'NSE - NIFTY Index Options'!$B:$B,G$4,'NSE - NIFTY Index Options'!$H:$H,"Weekly*")+SUMIFS('NSE - NIFTY Index Options'!$L:$L,'NSE - NIFTY Index Options'!$C:$C,$A72,'NSE - NIFTY Index Options'!$B:$B,G$4,'NSE - NIFTY Index Options'!$H:$H,"MDAW*")+SUMIFS('NSE - Other Index Options'!$L:$L,'NSE - Other Index Options'!$C:$C,$A72,'NSE - Other Index Options'!$B:$B,G$4,'NSE - Other Index Options'!$H:$H,"Weekly*")+SUMIFS('NSE - Other Index Options'!$L:$L,'NSE - Other Index Options'!$C:$C,$A72,'NSE - Other Index Options'!$B:$B,G$4,'NSE - Other Index Options'!$H:$H,"MDAW*"))</f>
        <v/>
      </c>
      <c r="H72" s="26" t="str">
        <f t="shared" si="2"/>
        <v/>
      </c>
    </row>
    <row r="73" spans="1:8" hidden="1" outlineLevel="1">
      <c r="A73" t="s">
        <v>78</v>
      </c>
      <c r="B73" s="26" t="str">
        <f>IF(SUMIFS('NSE - NIFTY Index Options'!$L:$L,'NSE - NIFTY Index Options'!$C:$C,$A73,'NSE - NIFTY Index Options'!$B:$B,B$4,'NSE - NIFTY Index Options'!$H:$H,"Weekly*")+SUMIFS('NSE - NIFTY Index Options'!$L:$L,'NSE - NIFTY Index Options'!$C:$C,$A73,'NSE - NIFTY Index Options'!$B:$B,B$4,'NSE - NIFTY Index Options'!$H:$H,"MDAW*")+SUMIFS('NSE - Other Index Options'!$L:$L,'NSE - Other Index Options'!$C:$C,$A73,'NSE - Other Index Options'!$B:$B,B$4,'NSE - Other Index Options'!$H:$H,"Weekly*")+SUMIFS('NSE - Other Index Options'!$L:$L,'NSE - Other Index Options'!$C:$C,$A73,'NSE - Other Index Options'!$B:$B,B$4,'NSE - Other Index Options'!$H:$H,"MDAW*")=0,"",SUMIFS('NSE - NIFTY Index Options'!$L:$L,'NSE - NIFTY Index Options'!$C:$C,$A73,'NSE - NIFTY Index Options'!$B:$B,B$4,'NSE - NIFTY Index Options'!$H:$H,"Weekly*")+SUMIFS('NSE - NIFTY Index Options'!$L:$L,'NSE - NIFTY Index Options'!$C:$C,$A73,'NSE - NIFTY Index Options'!$B:$B,B$4,'NSE - NIFTY Index Options'!$H:$H,"MDAW*")+SUMIFS('NSE - Other Index Options'!$L:$L,'NSE - Other Index Options'!$C:$C,$A73,'NSE - Other Index Options'!$B:$B,B$4,'NSE - Other Index Options'!$H:$H,"Weekly*")+SUMIFS('NSE - Other Index Options'!$L:$L,'NSE - Other Index Options'!$C:$C,$A73,'NSE - Other Index Options'!$B:$B,B$4,'NSE - Other Index Options'!$H:$H,"MDAW*"))</f>
        <v/>
      </c>
      <c r="C73" s="26" t="str">
        <f>IF(SUMIFS('NSE - NIFTY Index Options'!$L:$L,'NSE - NIFTY Index Options'!$C:$C,$A73,'NSE - NIFTY Index Options'!$B:$B,C$4,'NSE - NIFTY Index Options'!$H:$H,"Weekly*")+SUMIFS('NSE - NIFTY Index Options'!$L:$L,'NSE - NIFTY Index Options'!$C:$C,$A73,'NSE - NIFTY Index Options'!$B:$B,C$4,'NSE - NIFTY Index Options'!$H:$H,"MDAW*")+SUMIFS('NSE - Other Index Options'!$L:$L,'NSE - Other Index Options'!$C:$C,$A73,'NSE - Other Index Options'!$B:$B,C$4,'NSE - Other Index Options'!$H:$H,"Weekly*")+SUMIFS('NSE - Other Index Options'!$L:$L,'NSE - Other Index Options'!$C:$C,$A73,'NSE - Other Index Options'!$B:$B,C$4,'NSE - Other Index Options'!$H:$H,"MDAW*")=0,"",SUMIFS('NSE - NIFTY Index Options'!$L:$L,'NSE - NIFTY Index Options'!$C:$C,$A73,'NSE - NIFTY Index Options'!$B:$B,C$4,'NSE - NIFTY Index Options'!$H:$H,"Weekly*")+SUMIFS('NSE - NIFTY Index Options'!$L:$L,'NSE - NIFTY Index Options'!$C:$C,$A73,'NSE - NIFTY Index Options'!$B:$B,C$4,'NSE - NIFTY Index Options'!$H:$H,"MDAW*")+SUMIFS('NSE - Other Index Options'!$L:$L,'NSE - Other Index Options'!$C:$C,$A73,'NSE - Other Index Options'!$B:$B,C$4,'NSE - Other Index Options'!$H:$H,"Weekly*")+SUMIFS('NSE - Other Index Options'!$L:$L,'NSE - Other Index Options'!$C:$C,$A73,'NSE - Other Index Options'!$B:$B,C$4,'NSE - Other Index Options'!$H:$H,"MDAW*"))</f>
        <v/>
      </c>
      <c r="D73" s="26" t="str">
        <f>IF(SUMIFS('NSE - NIFTY Index Options'!$L:$L,'NSE - NIFTY Index Options'!$C:$C,$A73,'NSE - NIFTY Index Options'!$B:$B,D$4,'NSE - NIFTY Index Options'!$H:$H,"Weekly*")+SUMIFS('NSE - NIFTY Index Options'!$L:$L,'NSE - NIFTY Index Options'!$C:$C,$A73,'NSE - NIFTY Index Options'!$B:$B,D$4,'NSE - NIFTY Index Options'!$H:$H,"MDAW*")+SUMIFS('NSE - Other Index Options'!$L:$L,'NSE - Other Index Options'!$C:$C,$A73,'NSE - Other Index Options'!$B:$B,D$4,'NSE - Other Index Options'!$H:$H,"Weekly*")+SUMIFS('NSE - Other Index Options'!$L:$L,'NSE - Other Index Options'!$C:$C,$A73,'NSE - Other Index Options'!$B:$B,D$4,'NSE - Other Index Options'!$H:$H,"MDAW*")=0,"",SUMIFS('NSE - NIFTY Index Options'!$L:$L,'NSE - NIFTY Index Options'!$C:$C,$A73,'NSE - NIFTY Index Options'!$B:$B,D$4,'NSE - NIFTY Index Options'!$H:$H,"Weekly*")+SUMIFS('NSE - NIFTY Index Options'!$L:$L,'NSE - NIFTY Index Options'!$C:$C,$A73,'NSE - NIFTY Index Options'!$B:$B,D$4,'NSE - NIFTY Index Options'!$H:$H,"MDAW*")+SUMIFS('NSE - Other Index Options'!$L:$L,'NSE - Other Index Options'!$C:$C,$A73,'NSE - Other Index Options'!$B:$B,D$4,'NSE - Other Index Options'!$H:$H,"Weekly*")+SUMIFS('NSE - Other Index Options'!$L:$L,'NSE - Other Index Options'!$C:$C,$A73,'NSE - Other Index Options'!$B:$B,D$4,'NSE - Other Index Options'!$H:$H,"MDAW*"))</f>
        <v/>
      </c>
      <c r="E73" s="26" t="str">
        <f>IF(SUMIFS('NSE - NIFTY Index Options'!$L:$L,'NSE - NIFTY Index Options'!$C:$C,$A73,'NSE - NIFTY Index Options'!$B:$B,E$4,'NSE - NIFTY Index Options'!$H:$H,"Weekly*")+SUMIFS('NSE - NIFTY Index Options'!$L:$L,'NSE - NIFTY Index Options'!$C:$C,$A73,'NSE - NIFTY Index Options'!$B:$B,E$4,'NSE - NIFTY Index Options'!$H:$H,"MDAW*")+SUMIFS('NSE - Other Index Options'!$L:$L,'NSE - Other Index Options'!$C:$C,$A73,'NSE - Other Index Options'!$B:$B,E$4,'NSE - Other Index Options'!$H:$H,"Weekly*")+SUMIFS('NSE - Other Index Options'!$L:$L,'NSE - Other Index Options'!$C:$C,$A73,'NSE - Other Index Options'!$B:$B,E$4,'NSE - Other Index Options'!$H:$H,"MDAW*")=0,"",SUMIFS('NSE - NIFTY Index Options'!$L:$L,'NSE - NIFTY Index Options'!$C:$C,$A73,'NSE - NIFTY Index Options'!$B:$B,E$4,'NSE - NIFTY Index Options'!$H:$H,"Weekly*")+SUMIFS('NSE - NIFTY Index Options'!$L:$L,'NSE - NIFTY Index Options'!$C:$C,$A73,'NSE - NIFTY Index Options'!$B:$B,E$4,'NSE - NIFTY Index Options'!$H:$H,"MDAW*")+SUMIFS('NSE - Other Index Options'!$L:$L,'NSE - Other Index Options'!$C:$C,$A73,'NSE - Other Index Options'!$B:$B,E$4,'NSE - Other Index Options'!$H:$H,"Weekly*")+SUMIFS('NSE - Other Index Options'!$L:$L,'NSE - Other Index Options'!$C:$C,$A73,'NSE - Other Index Options'!$B:$B,E$4,'NSE - Other Index Options'!$H:$H,"MDAW*"))</f>
        <v/>
      </c>
      <c r="F73" s="26" t="str">
        <f>IF(SUMIFS('NSE - NIFTY Index Options'!$L:$L,'NSE - NIFTY Index Options'!$C:$C,$A73,'NSE - NIFTY Index Options'!$B:$B,F$4,'NSE - NIFTY Index Options'!$H:$H,"Weekly*")+SUMIFS('NSE - NIFTY Index Options'!$L:$L,'NSE - NIFTY Index Options'!$C:$C,$A73,'NSE - NIFTY Index Options'!$B:$B,F$4,'NSE - NIFTY Index Options'!$H:$H,"MDAW*")+SUMIFS('NSE - Other Index Options'!$L:$L,'NSE - Other Index Options'!$C:$C,$A73,'NSE - Other Index Options'!$B:$B,F$4,'NSE - Other Index Options'!$H:$H,"Weekly*")+SUMIFS('NSE - Other Index Options'!$L:$L,'NSE - Other Index Options'!$C:$C,$A73,'NSE - Other Index Options'!$B:$B,F$4,'NSE - Other Index Options'!$H:$H,"MDAW*")=0,"",SUMIFS('NSE - NIFTY Index Options'!$L:$L,'NSE - NIFTY Index Options'!$C:$C,$A73,'NSE - NIFTY Index Options'!$B:$B,F$4,'NSE - NIFTY Index Options'!$H:$H,"Weekly*")+SUMIFS('NSE - NIFTY Index Options'!$L:$L,'NSE - NIFTY Index Options'!$C:$C,$A73,'NSE - NIFTY Index Options'!$B:$B,F$4,'NSE - NIFTY Index Options'!$H:$H,"MDAW*")+SUMIFS('NSE - Other Index Options'!$L:$L,'NSE - Other Index Options'!$C:$C,$A73,'NSE - Other Index Options'!$B:$B,F$4,'NSE - Other Index Options'!$H:$H,"Weekly*")+SUMIFS('NSE - Other Index Options'!$L:$L,'NSE - Other Index Options'!$C:$C,$A73,'NSE - Other Index Options'!$B:$B,F$4,'NSE - Other Index Options'!$H:$H,"MDAW*"))</f>
        <v/>
      </c>
      <c r="G73" s="26" t="str">
        <f>IF(SUMIFS('NSE - NIFTY Index Options'!$L:$L,'NSE - NIFTY Index Options'!$C:$C,$A73,'NSE - NIFTY Index Options'!$B:$B,G$4,'NSE - NIFTY Index Options'!$H:$H,"Weekly*")+SUMIFS('NSE - NIFTY Index Options'!$L:$L,'NSE - NIFTY Index Options'!$C:$C,$A73,'NSE - NIFTY Index Options'!$B:$B,G$4,'NSE - NIFTY Index Options'!$H:$H,"MDAW*")+SUMIFS('NSE - Other Index Options'!$L:$L,'NSE - Other Index Options'!$C:$C,$A73,'NSE - Other Index Options'!$B:$B,G$4,'NSE - Other Index Options'!$H:$H,"Weekly*")+SUMIFS('NSE - Other Index Options'!$L:$L,'NSE - Other Index Options'!$C:$C,$A73,'NSE - Other Index Options'!$B:$B,G$4,'NSE - Other Index Options'!$H:$H,"MDAW*")=0,"",SUMIFS('NSE - NIFTY Index Options'!$L:$L,'NSE - NIFTY Index Options'!$C:$C,$A73,'NSE - NIFTY Index Options'!$B:$B,G$4,'NSE - NIFTY Index Options'!$H:$H,"Weekly*")+SUMIFS('NSE - NIFTY Index Options'!$L:$L,'NSE - NIFTY Index Options'!$C:$C,$A73,'NSE - NIFTY Index Options'!$B:$B,G$4,'NSE - NIFTY Index Options'!$H:$H,"MDAW*")+SUMIFS('NSE - Other Index Options'!$L:$L,'NSE - Other Index Options'!$C:$C,$A73,'NSE - Other Index Options'!$B:$B,G$4,'NSE - Other Index Options'!$H:$H,"Weekly*")+SUMIFS('NSE - Other Index Options'!$L:$L,'NSE - Other Index Options'!$C:$C,$A73,'NSE - Other Index Options'!$B:$B,G$4,'NSE - Other Index Options'!$H:$H,"MDAW*"))</f>
        <v/>
      </c>
      <c r="H73" s="26" t="str">
        <f t="shared" si="2"/>
        <v/>
      </c>
    </row>
    <row r="74" spans="1:8" hidden="1" outlineLevel="1">
      <c r="A74" t="s">
        <v>79</v>
      </c>
      <c r="B74" s="26" t="str">
        <f>IF(SUMIFS('NSE - NIFTY Index Options'!$L:$L,'NSE - NIFTY Index Options'!$C:$C,$A74,'NSE - NIFTY Index Options'!$B:$B,B$4,'NSE - NIFTY Index Options'!$H:$H,"Weekly*")+SUMIFS('NSE - NIFTY Index Options'!$L:$L,'NSE - NIFTY Index Options'!$C:$C,$A74,'NSE - NIFTY Index Options'!$B:$B,B$4,'NSE - NIFTY Index Options'!$H:$H,"MDAW*")+SUMIFS('NSE - Other Index Options'!$L:$L,'NSE - Other Index Options'!$C:$C,$A74,'NSE - Other Index Options'!$B:$B,B$4,'NSE - Other Index Options'!$H:$H,"Weekly*")+SUMIFS('NSE - Other Index Options'!$L:$L,'NSE - Other Index Options'!$C:$C,$A74,'NSE - Other Index Options'!$B:$B,B$4,'NSE - Other Index Options'!$H:$H,"MDAW*")=0,"",SUMIFS('NSE - NIFTY Index Options'!$L:$L,'NSE - NIFTY Index Options'!$C:$C,$A74,'NSE - NIFTY Index Options'!$B:$B,B$4,'NSE - NIFTY Index Options'!$H:$H,"Weekly*")+SUMIFS('NSE - NIFTY Index Options'!$L:$L,'NSE - NIFTY Index Options'!$C:$C,$A74,'NSE - NIFTY Index Options'!$B:$B,B$4,'NSE - NIFTY Index Options'!$H:$H,"MDAW*")+SUMIFS('NSE - Other Index Options'!$L:$L,'NSE - Other Index Options'!$C:$C,$A74,'NSE - Other Index Options'!$B:$B,B$4,'NSE - Other Index Options'!$H:$H,"Weekly*")+SUMIFS('NSE - Other Index Options'!$L:$L,'NSE - Other Index Options'!$C:$C,$A74,'NSE - Other Index Options'!$B:$B,B$4,'NSE - Other Index Options'!$H:$H,"MDAW*"))</f>
        <v/>
      </c>
      <c r="C74" s="26" t="str">
        <f>IF(SUMIFS('NSE - NIFTY Index Options'!$L:$L,'NSE - NIFTY Index Options'!$C:$C,$A74,'NSE - NIFTY Index Options'!$B:$B,C$4,'NSE - NIFTY Index Options'!$H:$H,"Weekly*")+SUMIFS('NSE - NIFTY Index Options'!$L:$L,'NSE - NIFTY Index Options'!$C:$C,$A74,'NSE - NIFTY Index Options'!$B:$B,C$4,'NSE - NIFTY Index Options'!$H:$H,"MDAW*")+SUMIFS('NSE - Other Index Options'!$L:$L,'NSE - Other Index Options'!$C:$C,$A74,'NSE - Other Index Options'!$B:$B,C$4,'NSE - Other Index Options'!$H:$H,"Weekly*")+SUMIFS('NSE - Other Index Options'!$L:$L,'NSE - Other Index Options'!$C:$C,$A74,'NSE - Other Index Options'!$B:$B,C$4,'NSE - Other Index Options'!$H:$H,"MDAW*")=0,"",SUMIFS('NSE - NIFTY Index Options'!$L:$L,'NSE - NIFTY Index Options'!$C:$C,$A74,'NSE - NIFTY Index Options'!$B:$B,C$4,'NSE - NIFTY Index Options'!$H:$H,"Weekly*")+SUMIFS('NSE - NIFTY Index Options'!$L:$L,'NSE - NIFTY Index Options'!$C:$C,$A74,'NSE - NIFTY Index Options'!$B:$B,C$4,'NSE - NIFTY Index Options'!$H:$H,"MDAW*")+SUMIFS('NSE - Other Index Options'!$L:$L,'NSE - Other Index Options'!$C:$C,$A74,'NSE - Other Index Options'!$B:$B,C$4,'NSE - Other Index Options'!$H:$H,"Weekly*")+SUMIFS('NSE - Other Index Options'!$L:$L,'NSE - Other Index Options'!$C:$C,$A74,'NSE - Other Index Options'!$B:$B,C$4,'NSE - Other Index Options'!$H:$H,"MDAW*"))</f>
        <v/>
      </c>
      <c r="D74" s="26" t="str">
        <f>IF(SUMIFS('NSE - NIFTY Index Options'!$L:$L,'NSE - NIFTY Index Options'!$C:$C,$A74,'NSE - NIFTY Index Options'!$B:$B,D$4,'NSE - NIFTY Index Options'!$H:$H,"Weekly*")+SUMIFS('NSE - NIFTY Index Options'!$L:$L,'NSE - NIFTY Index Options'!$C:$C,$A74,'NSE - NIFTY Index Options'!$B:$B,D$4,'NSE - NIFTY Index Options'!$H:$H,"MDAW*")+SUMIFS('NSE - Other Index Options'!$L:$L,'NSE - Other Index Options'!$C:$C,$A74,'NSE - Other Index Options'!$B:$B,D$4,'NSE - Other Index Options'!$H:$H,"Weekly*")+SUMIFS('NSE - Other Index Options'!$L:$L,'NSE - Other Index Options'!$C:$C,$A74,'NSE - Other Index Options'!$B:$B,D$4,'NSE - Other Index Options'!$H:$H,"MDAW*")=0,"",SUMIFS('NSE - NIFTY Index Options'!$L:$L,'NSE - NIFTY Index Options'!$C:$C,$A74,'NSE - NIFTY Index Options'!$B:$B,D$4,'NSE - NIFTY Index Options'!$H:$H,"Weekly*")+SUMIFS('NSE - NIFTY Index Options'!$L:$L,'NSE - NIFTY Index Options'!$C:$C,$A74,'NSE - NIFTY Index Options'!$B:$B,D$4,'NSE - NIFTY Index Options'!$H:$H,"MDAW*")+SUMIFS('NSE - Other Index Options'!$L:$L,'NSE - Other Index Options'!$C:$C,$A74,'NSE - Other Index Options'!$B:$B,D$4,'NSE - Other Index Options'!$H:$H,"Weekly*")+SUMIFS('NSE - Other Index Options'!$L:$L,'NSE - Other Index Options'!$C:$C,$A74,'NSE - Other Index Options'!$B:$B,D$4,'NSE - Other Index Options'!$H:$H,"MDAW*"))</f>
        <v/>
      </c>
      <c r="E74" s="26" t="str">
        <f>IF(SUMIFS('NSE - NIFTY Index Options'!$L:$L,'NSE - NIFTY Index Options'!$C:$C,$A74,'NSE - NIFTY Index Options'!$B:$B,E$4,'NSE - NIFTY Index Options'!$H:$H,"Weekly*")+SUMIFS('NSE - NIFTY Index Options'!$L:$L,'NSE - NIFTY Index Options'!$C:$C,$A74,'NSE - NIFTY Index Options'!$B:$B,E$4,'NSE - NIFTY Index Options'!$H:$H,"MDAW*")+SUMIFS('NSE - Other Index Options'!$L:$L,'NSE - Other Index Options'!$C:$C,$A74,'NSE - Other Index Options'!$B:$B,E$4,'NSE - Other Index Options'!$H:$H,"Weekly*")+SUMIFS('NSE - Other Index Options'!$L:$L,'NSE - Other Index Options'!$C:$C,$A74,'NSE - Other Index Options'!$B:$B,E$4,'NSE - Other Index Options'!$H:$H,"MDAW*")=0,"",SUMIFS('NSE - NIFTY Index Options'!$L:$L,'NSE - NIFTY Index Options'!$C:$C,$A74,'NSE - NIFTY Index Options'!$B:$B,E$4,'NSE - NIFTY Index Options'!$H:$H,"Weekly*")+SUMIFS('NSE - NIFTY Index Options'!$L:$L,'NSE - NIFTY Index Options'!$C:$C,$A74,'NSE - NIFTY Index Options'!$B:$B,E$4,'NSE - NIFTY Index Options'!$H:$H,"MDAW*")+SUMIFS('NSE - Other Index Options'!$L:$L,'NSE - Other Index Options'!$C:$C,$A74,'NSE - Other Index Options'!$B:$B,E$4,'NSE - Other Index Options'!$H:$H,"Weekly*")+SUMIFS('NSE - Other Index Options'!$L:$L,'NSE - Other Index Options'!$C:$C,$A74,'NSE - Other Index Options'!$B:$B,E$4,'NSE - Other Index Options'!$H:$H,"MDAW*"))</f>
        <v/>
      </c>
      <c r="F74" s="26" t="str">
        <f>IF(SUMIFS('NSE - NIFTY Index Options'!$L:$L,'NSE - NIFTY Index Options'!$C:$C,$A74,'NSE - NIFTY Index Options'!$B:$B,F$4,'NSE - NIFTY Index Options'!$H:$H,"Weekly*")+SUMIFS('NSE - NIFTY Index Options'!$L:$L,'NSE - NIFTY Index Options'!$C:$C,$A74,'NSE - NIFTY Index Options'!$B:$B,F$4,'NSE - NIFTY Index Options'!$H:$H,"MDAW*")+SUMIFS('NSE - Other Index Options'!$L:$L,'NSE - Other Index Options'!$C:$C,$A74,'NSE - Other Index Options'!$B:$B,F$4,'NSE - Other Index Options'!$H:$H,"Weekly*")+SUMIFS('NSE - Other Index Options'!$L:$L,'NSE - Other Index Options'!$C:$C,$A74,'NSE - Other Index Options'!$B:$B,F$4,'NSE - Other Index Options'!$H:$H,"MDAW*")=0,"",SUMIFS('NSE - NIFTY Index Options'!$L:$L,'NSE - NIFTY Index Options'!$C:$C,$A74,'NSE - NIFTY Index Options'!$B:$B,F$4,'NSE - NIFTY Index Options'!$H:$H,"Weekly*")+SUMIFS('NSE - NIFTY Index Options'!$L:$L,'NSE - NIFTY Index Options'!$C:$C,$A74,'NSE - NIFTY Index Options'!$B:$B,F$4,'NSE - NIFTY Index Options'!$H:$H,"MDAW*")+SUMIFS('NSE - Other Index Options'!$L:$L,'NSE - Other Index Options'!$C:$C,$A74,'NSE - Other Index Options'!$B:$B,F$4,'NSE - Other Index Options'!$H:$H,"Weekly*")+SUMIFS('NSE - Other Index Options'!$L:$L,'NSE - Other Index Options'!$C:$C,$A74,'NSE - Other Index Options'!$B:$B,F$4,'NSE - Other Index Options'!$H:$H,"MDAW*"))</f>
        <v/>
      </c>
      <c r="G74" s="26" t="str">
        <f>IF(SUMIFS('NSE - NIFTY Index Options'!$L:$L,'NSE - NIFTY Index Options'!$C:$C,$A74,'NSE - NIFTY Index Options'!$B:$B,G$4,'NSE - NIFTY Index Options'!$H:$H,"Weekly*")+SUMIFS('NSE - NIFTY Index Options'!$L:$L,'NSE - NIFTY Index Options'!$C:$C,$A74,'NSE - NIFTY Index Options'!$B:$B,G$4,'NSE - NIFTY Index Options'!$H:$H,"MDAW*")+SUMIFS('NSE - Other Index Options'!$L:$L,'NSE - Other Index Options'!$C:$C,$A74,'NSE - Other Index Options'!$B:$B,G$4,'NSE - Other Index Options'!$H:$H,"Weekly*")+SUMIFS('NSE - Other Index Options'!$L:$L,'NSE - Other Index Options'!$C:$C,$A74,'NSE - Other Index Options'!$B:$B,G$4,'NSE - Other Index Options'!$H:$H,"MDAW*")=0,"",SUMIFS('NSE - NIFTY Index Options'!$L:$L,'NSE - NIFTY Index Options'!$C:$C,$A74,'NSE - NIFTY Index Options'!$B:$B,G$4,'NSE - NIFTY Index Options'!$H:$H,"Weekly*")+SUMIFS('NSE - NIFTY Index Options'!$L:$L,'NSE - NIFTY Index Options'!$C:$C,$A74,'NSE - NIFTY Index Options'!$B:$B,G$4,'NSE - NIFTY Index Options'!$H:$H,"MDAW*")+SUMIFS('NSE - Other Index Options'!$L:$L,'NSE - Other Index Options'!$C:$C,$A74,'NSE - Other Index Options'!$B:$B,G$4,'NSE - Other Index Options'!$H:$H,"Weekly*")+SUMIFS('NSE - Other Index Options'!$L:$L,'NSE - Other Index Options'!$C:$C,$A74,'NSE - Other Index Options'!$B:$B,G$4,'NSE - Other Index Options'!$H:$H,"MDAW*"))</f>
        <v/>
      </c>
      <c r="H74" s="26" t="str">
        <f t="shared" si="2"/>
        <v/>
      </c>
    </row>
    <row r="75" spans="1:8" hidden="1" outlineLevel="1">
      <c r="A75" t="s">
        <v>80</v>
      </c>
      <c r="B75" s="26" t="str">
        <f>IF(SUMIFS('NSE - NIFTY Index Options'!$L:$L,'NSE - NIFTY Index Options'!$C:$C,$A75,'NSE - NIFTY Index Options'!$B:$B,B$4,'NSE - NIFTY Index Options'!$H:$H,"Weekly*")+SUMIFS('NSE - NIFTY Index Options'!$L:$L,'NSE - NIFTY Index Options'!$C:$C,$A75,'NSE - NIFTY Index Options'!$B:$B,B$4,'NSE - NIFTY Index Options'!$H:$H,"MDAW*")+SUMIFS('NSE - Other Index Options'!$L:$L,'NSE - Other Index Options'!$C:$C,$A75,'NSE - Other Index Options'!$B:$B,B$4,'NSE - Other Index Options'!$H:$H,"Weekly*")+SUMIFS('NSE - Other Index Options'!$L:$L,'NSE - Other Index Options'!$C:$C,$A75,'NSE - Other Index Options'!$B:$B,B$4,'NSE - Other Index Options'!$H:$H,"MDAW*")=0,"",SUMIFS('NSE - NIFTY Index Options'!$L:$L,'NSE - NIFTY Index Options'!$C:$C,$A75,'NSE - NIFTY Index Options'!$B:$B,B$4,'NSE - NIFTY Index Options'!$H:$H,"Weekly*")+SUMIFS('NSE - NIFTY Index Options'!$L:$L,'NSE - NIFTY Index Options'!$C:$C,$A75,'NSE - NIFTY Index Options'!$B:$B,B$4,'NSE - NIFTY Index Options'!$H:$H,"MDAW*")+SUMIFS('NSE - Other Index Options'!$L:$L,'NSE - Other Index Options'!$C:$C,$A75,'NSE - Other Index Options'!$B:$B,B$4,'NSE - Other Index Options'!$H:$H,"Weekly*")+SUMIFS('NSE - Other Index Options'!$L:$L,'NSE - Other Index Options'!$C:$C,$A75,'NSE - Other Index Options'!$B:$B,B$4,'NSE - Other Index Options'!$H:$H,"MDAW*"))</f>
        <v/>
      </c>
      <c r="C75" s="26" t="str">
        <f>IF(SUMIFS('NSE - NIFTY Index Options'!$L:$L,'NSE - NIFTY Index Options'!$C:$C,$A75,'NSE - NIFTY Index Options'!$B:$B,C$4,'NSE - NIFTY Index Options'!$H:$H,"Weekly*")+SUMIFS('NSE - NIFTY Index Options'!$L:$L,'NSE - NIFTY Index Options'!$C:$C,$A75,'NSE - NIFTY Index Options'!$B:$B,C$4,'NSE - NIFTY Index Options'!$H:$H,"MDAW*")+SUMIFS('NSE - Other Index Options'!$L:$L,'NSE - Other Index Options'!$C:$C,$A75,'NSE - Other Index Options'!$B:$B,C$4,'NSE - Other Index Options'!$H:$H,"Weekly*")+SUMIFS('NSE - Other Index Options'!$L:$L,'NSE - Other Index Options'!$C:$C,$A75,'NSE - Other Index Options'!$B:$B,C$4,'NSE - Other Index Options'!$H:$H,"MDAW*")=0,"",SUMIFS('NSE - NIFTY Index Options'!$L:$L,'NSE - NIFTY Index Options'!$C:$C,$A75,'NSE - NIFTY Index Options'!$B:$B,C$4,'NSE - NIFTY Index Options'!$H:$H,"Weekly*")+SUMIFS('NSE - NIFTY Index Options'!$L:$L,'NSE - NIFTY Index Options'!$C:$C,$A75,'NSE - NIFTY Index Options'!$B:$B,C$4,'NSE - NIFTY Index Options'!$H:$H,"MDAW*")+SUMIFS('NSE - Other Index Options'!$L:$L,'NSE - Other Index Options'!$C:$C,$A75,'NSE - Other Index Options'!$B:$B,C$4,'NSE - Other Index Options'!$H:$H,"Weekly*")+SUMIFS('NSE - Other Index Options'!$L:$L,'NSE - Other Index Options'!$C:$C,$A75,'NSE - Other Index Options'!$B:$B,C$4,'NSE - Other Index Options'!$H:$H,"MDAW*"))</f>
        <v/>
      </c>
      <c r="D75" s="26" t="str">
        <f>IF(SUMIFS('NSE - NIFTY Index Options'!$L:$L,'NSE - NIFTY Index Options'!$C:$C,$A75,'NSE - NIFTY Index Options'!$B:$B,D$4,'NSE - NIFTY Index Options'!$H:$H,"Weekly*")+SUMIFS('NSE - NIFTY Index Options'!$L:$L,'NSE - NIFTY Index Options'!$C:$C,$A75,'NSE - NIFTY Index Options'!$B:$B,D$4,'NSE - NIFTY Index Options'!$H:$H,"MDAW*")+SUMIFS('NSE - Other Index Options'!$L:$L,'NSE - Other Index Options'!$C:$C,$A75,'NSE - Other Index Options'!$B:$B,D$4,'NSE - Other Index Options'!$H:$H,"Weekly*")+SUMIFS('NSE - Other Index Options'!$L:$L,'NSE - Other Index Options'!$C:$C,$A75,'NSE - Other Index Options'!$B:$B,D$4,'NSE - Other Index Options'!$H:$H,"MDAW*")=0,"",SUMIFS('NSE - NIFTY Index Options'!$L:$L,'NSE - NIFTY Index Options'!$C:$C,$A75,'NSE - NIFTY Index Options'!$B:$B,D$4,'NSE - NIFTY Index Options'!$H:$H,"Weekly*")+SUMIFS('NSE - NIFTY Index Options'!$L:$L,'NSE - NIFTY Index Options'!$C:$C,$A75,'NSE - NIFTY Index Options'!$B:$B,D$4,'NSE - NIFTY Index Options'!$H:$H,"MDAW*")+SUMIFS('NSE - Other Index Options'!$L:$L,'NSE - Other Index Options'!$C:$C,$A75,'NSE - Other Index Options'!$B:$B,D$4,'NSE - Other Index Options'!$H:$H,"Weekly*")+SUMIFS('NSE - Other Index Options'!$L:$L,'NSE - Other Index Options'!$C:$C,$A75,'NSE - Other Index Options'!$B:$B,D$4,'NSE - Other Index Options'!$H:$H,"MDAW*"))</f>
        <v/>
      </c>
      <c r="E75" s="26" t="str">
        <f>IF(SUMIFS('NSE - NIFTY Index Options'!$L:$L,'NSE - NIFTY Index Options'!$C:$C,$A75,'NSE - NIFTY Index Options'!$B:$B,E$4,'NSE - NIFTY Index Options'!$H:$H,"Weekly*")+SUMIFS('NSE - NIFTY Index Options'!$L:$L,'NSE - NIFTY Index Options'!$C:$C,$A75,'NSE - NIFTY Index Options'!$B:$B,E$4,'NSE - NIFTY Index Options'!$H:$H,"MDAW*")+SUMIFS('NSE - Other Index Options'!$L:$L,'NSE - Other Index Options'!$C:$C,$A75,'NSE - Other Index Options'!$B:$B,E$4,'NSE - Other Index Options'!$H:$H,"Weekly*")+SUMIFS('NSE - Other Index Options'!$L:$L,'NSE - Other Index Options'!$C:$C,$A75,'NSE - Other Index Options'!$B:$B,E$4,'NSE - Other Index Options'!$H:$H,"MDAW*")=0,"",SUMIFS('NSE - NIFTY Index Options'!$L:$L,'NSE - NIFTY Index Options'!$C:$C,$A75,'NSE - NIFTY Index Options'!$B:$B,E$4,'NSE - NIFTY Index Options'!$H:$H,"Weekly*")+SUMIFS('NSE - NIFTY Index Options'!$L:$L,'NSE - NIFTY Index Options'!$C:$C,$A75,'NSE - NIFTY Index Options'!$B:$B,E$4,'NSE - NIFTY Index Options'!$H:$H,"MDAW*")+SUMIFS('NSE - Other Index Options'!$L:$L,'NSE - Other Index Options'!$C:$C,$A75,'NSE - Other Index Options'!$B:$B,E$4,'NSE - Other Index Options'!$H:$H,"Weekly*")+SUMIFS('NSE - Other Index Options'!$L:$L,'NSE - Other Index Options'!$C:$C,$A75,'NSE - Other Index Options'!$B:$B,E$4,'NSE - Other Index Options'!$H:$H,"MDAW*"))</f>
        <v/>
      </c>
      <c r="F75" s="26" t="str">
        <f>IF(SUMIFS('NSE - NIFTY Index Options'!$L:$L,'NSE - NIFTY Index Options'!$C:$C,$A75,'NSE - NIFTY Index Options'!$B:$B,F$4,'NSE - NIFTY Index Options'!$H:$H,"Weekly*")+SUMIFS('NSE - NIFTY Index Options'!$L:$L,'NSE - NIFTY Index Options'!$C:$C,$A75,'NSE - NIFTY Index Options'!$B:$B,F$4,'NSE - NIFTY Index Options'!$H:$H,"MDAW*")+SUMIFS('NSE - Other Index Options'!$L:$L,'NSE - Other Index Options'!$C:$C,$A75,'NSE - Other Index Options'!$B:$B,F$4,'NSE - Other Index Options'!$H:$H,"Weekly*")+SUMIFS('NSE - Other Index Options'!$L:$L,'NSE - Other Index Options'!$C:$C,$A75,'NSE - Other Index Options'!$B:$B,F$4,'NSE - Other Index Options'!$H:$H,"MDAW*")=0,"",SUMIFS('NSE - NIFTY Index Options'!$L:$L,'NSE - NIFTY Index Options'!$C:$C,$A75,'NSE - NIFTY Index Options'!$B:$B,F$4,'NSE - NIFTY Index Options'!$H:$H,"Weekly*")+SUMIFS('NSE - NIFTY Index Options'!$L:$L,'NSE - NIFTY Index Options'!$C:$C,$A75,'NSE - NIFTY Index Options'!$B:$B,F$4,'NSE - NIFTY Index Options'!$H:$H,"MDAW*")+SUMIFS('NSE - Other Index Options'!$L:$L,'NSE - Other Index Options'!$C:$C,$A75,'NSE - Other Index Options'!$B:$B,F$4,'NSE - Other Index Options'!$H:$H,"Weekly*")+SUMIFS('NSE - Other Index Options'!$L:$L,'NSE - Other Index Options'!$C:$C,$A75,'NSE - Other Index Options'!$B:$B,F$4,'NSE - Other Index Options'!$H:$H,"MDAW*"))</f>
        <v/>
      </c>
      <c r="G75" s="26" t="str">
        <f>IF(SUMIFS('NSE - NIFTY Index Options'!$L:$L,'NSE - NIFTY Index Options'!$C:$C,$A75,'NSE - NIFTY Index Options'!$B:$B,G$4,'NSE - NIFTY Index Options'!$H:$H,"Weekly*")+SUMIFS('NSE - NIFTY Index Options'!$L:$L,'NSE - NIFTY Index Options'!$C:$C,$A75,'NSE - NIFTY Index Options'!$B:$B,G$4,'NSE - NIFTY Index Options'!$H:$H,"MDAW*")+SUMIFS('NSE - Other Index Options'!$L:$L,'NSE - Other Index Options'!$C:$C,$A75,'NSE - Other Index Options'!$B:$B,G$4,'NSE - Other Index Options'!$H:$H,"Weekly*")+SUMIFS('NSE - Other Index Options'!$L:$L,'NSE - Other Index Options'!$C:$C,$A75,'NSE - Other Index Options'!$B:$B,G$4,'NSE - Other Index Options'!$H:$H,"MDAW*")=0,"",SUMIFS('NSE - NIFTY Index Options'!$L:$L,'NSE - NIFTY Index Options'!$C:$C,$A75,'NSE - NIFTY Index Options'!$B:$B,G$4,'NSE - NIFTY Index Options'!$H:$H,"Weekly*")+SUMIFS('NSE - NIFTY Index Options'!$L:$L,'NSE - NIFTY Index Options'!$C:$C,$A75,'NSE - NIFTY Index Options'!$B:$B,G$4,'NSE - NIFTY Index Options'!$H:$H,"MDAW*")+SUMIFS('NSE - Other Index Options'!$L:$L,'NSE - Other Index Options'!$C:$C,$A75,'NSE - Other Index Options'!$B:$B,G$4,'NSE - Other Index Options'!$H:$H,"Weekly*")+SUMIFS('NSE - Other Index Options'!$L:$L,'NSE - Other Index Options'!$C:$C,$A75,'NSE - Other Index Options'!$B:$B,G$4,'NSE - Other Index Options'!$H:$H,"MDAW*"))</f>
        <v/>
      </c>
      <c r="H75" s="26" t="str">
        <f t="shared" si="2"/>
        <v/>
      </c>
    </row>
    <row r="76" spans="1:8" hidden="1" outlineLevel="1">
      <c r="A76" t="s">
        <v>81</v>
      </c>
      <c r="B76" s="26" t="str">
        <f>IF(SUMIFS('NSE - NIFTY Index Options'!$L:$L,'NSE - NIFTY Index Options'!$C:$C,$A76,'NSE - NIFTY Index Options'!$B:$B,B$4,'NSE - NIFTY Index Options'!$H:$H,"Weekly*")+SUMIFS('NSE - NIFTY Index Options'!$L:$L,'NSE - NIFTY Index Options'!$C:$C,$A76,'NSE - NIFTY Index Options'!$B:$B,B$4,'NSE - NIFTY Index Options'!$H:$H,"MDAW*")+SUMIFS('NSE - Other Index Options'!$L:$L,'NSE - Other Index Options'!$C:$C,$A76,'NSE - Other Index Options'!$B:$B,B$4,'NSE - Other Index Options'!$H:$H,"Weekly*")+SUMIFS('NSE - Other Index Options'!$L:$L,'NSE - Other Index Options'!$C:$C,$A76,'NSE - Other Index Options'!$B:$B,B$4,'NSE - Other Index Options'!$H:$H,"MDAW*")=0,"",SUMIFS('NSE - NIFTY Index Options'!$L:$L,'NSE - NIFTY Index Options'!$C:$C,$A76,'NSE - NIFTY Index Options'!$B:$B,B$4,'NSE - NIFTY Index Options'!$H:$H,"Weekly*")+SUMIFS('NSE - NIFTY Index Options'!$L:$L,'NSE - NIFTY Index Options'!$C:$C,$A76,'NSE - NIFTY Index Options'!$B:$B,B$4,'NSE - NIFTY Index Options'!$H:$H,"MDAW*")+SUMIFS('NSE - Other Index Options'!$L:$L,'NSE - Other Index Options'!$C:$C,$A76,'NSE - Other Index Options'!$B:$B,B$4,'NSE - Other Index Options'!$H:$H,"Weekly*")+SUMIFS('NSE - Other Index Options'!$L:$L,'NSE - Other Index Options'!$C:$C,$A76,'NSE - Other Index Options'!$B:$B,B$4,'NSE - Other Index Options'!$H:$H,"MDAW*"))</f>
        <v/>
      </c>
      <c r="C76" s="26" t="str">
        <f>IF(SUMIFS('NSE - NIFTY Index Options'!$L:$L,'NSE - NIFTY Index Options'!$C:$C,$A76,'NSE - NIFTY Index Options'!$B:$B,C$4,'NSE - NIFTY Index Options'!$H:$H,"Weekly*")+SUMIFS('NSE - NIFTY Index Options'!$L:$L,'NSE - NIFTY Index Options'!$C:$C,$A76,'NSE - NIFTY Index Options'!$B:$B,C$4,'NSE - NIFTY Index Options'!$H:$H,"MDAW*")+SUMIFS('NSE - Other Index Options'!$L:$L,'NSE - Other Index Options'!$C:$C,$A76,'NSE - Other Index Options'!$B:$B,C$4,'NSE - Other Index Options'!$H:$H,"Weekly*")+SUMIFS('NSE - Other Index Options'!$L:$L,'NSE - Other Index Options'!$C:$C,$A76,'NSE - Other Index Options'!$B:$B,C$4,'NSE - Other Index Options'!$H:$H,"MDAW*")=0,"",SUMIFS('NSE - NIFTY Index Options'!$L:$L,'NSE - NIFTY Index Options'!$C:$C,$A76,'NSE - NIFTY Index Options'!$B:$B,C$4,'NSE - NIFTY Index Options'!$H:$H,"Weekly*")+SUMIFS('NSE - NIFTY Index Options'!$L:$L,'NSE - NIFTY Index Options'!$C:$C,$A76,'NSE - NIFTY Index Options'!$B:$B,C$4,'NSE - NIFTY Index Options'!$H:$H,"MDAW*")+SUMIFS('NSE - Other Index Options'!$L:$L,'NSE - Other Index Options'!$C:$C,$A76,'NSE - Other Index Options'!$B:$B,C$4,'NSE - Other Index Options'!$H:$H,"Weekly*")+SUMIFS('NSE - Other Index Options'!$L:$L,'NSE - Other Index Options'!$C:$C,$A76,'NSE - Other Index Options'!$B:$B,C$4,'NSE - Other Index Options'!$H:$H,"MDAW*"))</f>
        <v/>
      </c>
      <c r="D76" s="26" t="str">
        <f>IF(SUMIFS('NSE - NIFTY Index Options'!$L:$L,'NSE - NIFTY Index Options'!$C:$C,$A76,'NSE - NIFTY Index Options'!$B:$B,D$4,'NSE - NIFTY Index Options'!$H:$H,"Weekly*")+SUMIFS('NSE - NIFTY Index Options'!$L:$L,'NSE - NIFTY Index Options'!$C:$C,$A76,'NSE - NIFTY Index Options'!$B:$B,D$4,'NSE - NIFTY Index Options'!$H:$H,"MDAW*")+SUMIFS('NSE - Other Index Options'!$L:$L,'NSE - Other Index Options'!$C:$C,$A76,'NSE - Other Index Options'!$B:$B,D$4,'NSE - Other Index Options'!$H:$H,"Weekly*")+SUMIFS('NSE - Other Index Options'!$L:$L,'NSE - Other Index Options'!$C:$C,$A76,'NSE - Other Index Options'!$B:$B,D$4,'NSE - Other Index Options'!$H:$H,"MDAW*")=0,"",SUMIFS('NSE - NIFTY Index Options'!$L:$L,'NSE - NIFTY Index Options'!$C:$C,$A76,'NSE - NIFTY Index Options'!$B:$B,D$4,'NSE - NIFTY Index Options'!$H:$H,"Weekly*")+SUMIFS('NSE - NIFTY Index Options'!$L:$L,'NSE - NIFTY Index Options'!$C:$C,$A76,'NSE - NIFTY Index Options'!$B:$B,D$4,'NSE - NIFTY Index Options'!$H:$H,"MDAW*")+SUMIFS('NSE - Other Index Options'!$L:$L,'NSE - Other Index Options'!$C:$C,$A76,'NSE - Other Index Options'!$B:$B,D$4,'NSE - Other Index Options'!$H:$H,"Weekly*")+SUMIFS('NSE - Other Index Options'!$L:$L,'NSE - Other Index Options'!$C:$C,$A76,'NSE - Other Index Options'!$B:$B,D$4,'NSE - Other Index Options'!$H:$H,"MDAW*"))</f>
        <v/>
      </c>
      <c r="E76" s="26" t="str">
        <f>IF(SUMIFS('NSE - NIFTY Index Options'!$L:$L,'NSE - NIFTY Index Options'!$C:$C,$A76,'NSE - NIFTY Index Options'!$B:$B,E$4,'NSE - NIFTY Index Options'!$H:$H,"Weekly*")+SUMIFS('NSE - NIFTY Index Options'!$L:$L,'NSE - NIFTY Index Options'!$C:$C,$A76,'NSE - NIFTY Index Options'!$B:$B,E$4,'NSE - NIFTY Index Options'!$H:$H,"MDAW*")+SUMIFS('NSE - Other Index Options'!$L:$L,'NSE - Other Index Options'!$C:$C,$A76,'NSE - Other Index Options'!$B:$B,E$4,'NSE - Other Index Options'!$H:$H,"Weekly*")+SUMIFS('NSE - Other Index Options'!$L:$L,'NSE - Other Index Options'!$C:$C,$A76,'NSE - Other Index Options'!$B:$B,E$4,'NSE - Other Index Options'!$H:$H,"MDAW*")=0,"",SUMIFS('NSE - NIFTY Index Options'!$L:$L,'NSE - NIFTY Index Options'!$C:$C,$A76,'NSE - NIFTY Index Options'!$B:$B,E$4,'NSE - NIFTY Index Options'!$H:$H,"Weekly*")+SUMIFS('NSE - NIFTY Index Options'!$L:$L,'NSE - NIFTY Index Options'!$C:$C,$A76,'NSE - NIFTY Index Options'!$B:$B,E$4,'NSE - NIFTY Index Options'!$H:$H,"MDAW*")+SUMIFS('NSE - Other Index Options'!$L:$L,'NSE - Other Index Options'!$C:$C,$A76,'NSE - Other Index Options'!$B:$B,E$4,'NSE - Other Index Options'!$H:$H,"Weekly*")+SUMIFS('NSE - Other Index Options'!$L:$L,'NSE - Other Index Options'!$C:$C,$A76,'NSE - Other Index Options'!$B:$B,E$4,'NSE - Other Index Options'!$H:$H,"MDAW*"))</f>
        <v/>
      </c>
      <c r="F76" s="26" t="str">
        <f>IF(SUMIFS('NSE - NIFTY Index Options'!$L:$L,'NSE - NIFTY Index Options'!$C:$C,$A76,'NSE - NIFTY Index Options'!$B:$B,F$4,'NSE - NIFTY Index Options'!$H:$H,"Weekly*")+SUMIFS('NSE - NIFTY Index Options'!$L:$L,'NSE - NIFTY Index Options'!$C:$C,$A76,'NSE - NIFTY Index Options'!$B:$B,F$4,'NSE - NIFTY Index Options'!$H:$H,"MDAW*")+SUMIFS('NSE - Other Index Options'!$L:$L,'NSE - Other Index Options'!$C:$C,$A76,'NSE - Other Index Options'!$B:$B,F$4,'NSE - Other Index Options'!$H:$H,"Weekly*")+SUMIFS('NSE - Other Index Options'!$L:$L,'NSE - Other Index Options'!$C:$C,$A76,'NSE - Other Index Options'!$B:$B,F$4,'NSE - Other Index Options'!$H:$H,"MDAW*")=0,"",SUMIFS('NSE - NIFTY Index Options'!$L:$L,'NSE - NIFTY Index Options'!$C:$C,$A76,'NSE - NIFTY Index Options'!$B:$B,F$4,'NSE - NIFTY Index Options'!$H:$H,"Weekly*")+SUMIFS('NSE - NIFTY Index Options'!$L:$L,'NSE - NIFTY Index Options'!$C:$C,$A76,'NSE - NIFTY Index Options'!$B:$B,F$4,'NSE - NIFTY Index Options'!$H:$H,"MDAW*")+SUMIFS('NSE - Other Index Options'!$L:$L,'NSE - Other Index Options'!$C:$C,$A76,'NSE - Other Index Options'!$B:$B,F$4,'NSE - Other Index Options'!$H:$H,"Weekly*")+SUMIFS('NSE - Other Index Options'!$L:$L,'NSE - Other Index Options'!$C:$C,$A76,'NSE - Other Index Options'!$B:$B,F$4,'NSE - Other Index Options'!$H:$H,"MDAW*"))</f>
        <v/>
      </c>
      <c r="G76" s="26" t="str">
        <f>IF(SUMIFS('NSE - NIFTY Index Options'!$L:$L,'NSE - NIFTY Index Options'!$C:$C,$A76,'NSE - NIFTY Index Options'!$B:$B,G$4,'NSE - NIFTY Index Options'!$H:$H,"Weekly*")+SUMIFS('NSE - NIFTY Index Options'!$L:$L,'NSE - NIFTY Index Options'!$C:$C,$A76,'NSE - NIFTY Index Options'!$B:$B,G$4,'NSE - NIFTY Index Options'!$H:$H,"MDAW*")+SUMIFS('NSE - Other Index Options'!$L:$L,'NSE - Other Index Options'!$C:$C,$A76,'NSE - Other Index Options'!$B:$B,G$4,'NSE - Other Index Options'!$H:$H,"Weekly*")+SUMIFS('NSE - Other Index Options'!$L:$L,'NSE - Other Index Options'!$C:$C,$A76,'NSE - Other Index Options'!$B:$B,G$4,'NSE - Other Index Options'!$H:$H,"MDAW*")=0,"",SUMIFS('NSE - NIFTY Index Options'!$L:$L,'NSE - NIFTY Index Options'!$C:$C,$A76,'NSE - NIFTY Index Options'!$B:$B,G$4,'NSE - NIFTY Index Options'!$H:$H,"Weekly*")+SUMIFS('NSE - NIFTY Index Options'!$L:$L,'NSE - NIFTY Index Options'!$C:$C,$A76,'NSE - NIFTY Index Options'!$B:$B,G$4,'NSE - NIFTY Index Options'!$H:$H,"MDAW*")+SUMIFS('NSE - Other Index Options'!$L:$L,'NSE - Other Index Options'!$C:$C,$A76,'NSE - Other Index Options'!$B:$B,G$4,'NSE - Other Index Options'!$H:$H,"Weekly*")+SUMIFS('NSE - Other Index Options'!$L:$L,'NSE - Other Index Options'!$C:$C,$A76,'NSE - Other Index Options'!$B:$B,G$4,'NSE - Other Index Options'!$H:$H,"MDAW*"))</f>
        <v/>
      </c>
      <c r="H76" s="26" t="str">
        <f t="shared" si="2"/>
        <v/>
      </c>
    </row>
    <row r="77" spans="1:8" hidden="1" outlineLevel="1">
      <c r="A77" t="s">
        <v>82</v>
      </c>
      <c r="B77" s="26" t="str">
        <f>IF(SUMIFS('NSE - NIFTY Index Options'!$L:$L,'NSE - NIFTY Index Options'!$C:$C,$A77,'NSE - NIFTY Index Options'!$B:$B,B$4,'NSE - NIFTY Index Options'!$H:$H,"Weekly*")+SUMIFS('NSE - NIFTY Index Options'!$L:$L,'NSE - NIFTY Index Options'!$C:$C,$A77,'NSE - NIFTY Index Options'!$B:$B,B$4,'NSE - NIFTY Index Options'!$H:$H,"MDAW*")+SUMIFS('NSE - Other Index Options'!$L:$L,'NSE - Other Index Options'!$C:$C,$A77,'NSE - Other Index Options'!$B:$B,B$4,'NSE - Other Index Options'!$H:$H,"Weekly*")+SUMIFS('NSE - Other Index Options'!$L:$L,'NSE - Other Index Options'!$C:$C,$A77,'NSE - Other Index Options'!$B:$B,B$4,'NSE - Other Index Options'!$H:$H,"MDAW*")=0,"",SUMIFS('NSE - NIFTY Index Options'!$L:$L,'NSE - NIFTY Index Options'!$C:$C,$A77,'NSE - NIFTY Index Options'!$B:$B,B$4,'NSE - NIFTY Index Options'!$H:$H,"Weekly*")+SUMIFS('NSE - NIFTY Index Options'!$L:$L,'NSE - NIFTY Index Options'!$C:$C,$A77,'NSE - NIFTY Index Options'!$B:$B,B$4,'NSE - NIFTY Index Options'!$H:$H,"MDAW*")+SUMIFS('NSE - Other Index Options'!$L:$L,'NSE - Other Index Options'!$C:$C,$A77,'NSE - Other Index Options'!$B:$B,B$4,'NSE - Other Index Options'!$H:$H,"Weekly*")+SUMIFS('NSE - Other Index Options'!$L:$L,'NSE - Other Index Options'!$C:$C,$A77,'NSE - Other Index Options'!$B:$B,B$4,'NSE - Other Index Options'!$H:$H,"MDAW*"))</f>
        <v/>
      </c>
      <c r="C77" s="26" t="str">
        <f>IF(SUMIFS('NSE - NIFTY Index Options'!$L:$L,'NSE - NIFTY Index Options'!$C:$C,$A77,'NSE - NIFTY Index Options'!$B:$B,C$4,'NSE - NIFTY Index Options'!$H:$H,"Weekly*")+SUMIFS('NSE - NIFTY Index Options'!$L:$L,'NSE - NIFTY Index Options'!$C:$C,$A77,'NSE - NIFTY Index Options'!$B:$B,C$4,'NSE - NIFTY Index Options'!$H:$H,"MDAW*")+SUMIFS('NSE - Other Index Options'!$L:$L,'NSE - Other Index Options'!$C:$C,$A77,'NSE - Other Index Options'!$B:$B,C$4,'NSE - Other Index Options'!$H:$H,"Weekly*")+SUMIFS('NSE - Other Index Options'!$L:$L,'NSE - Other Index Options'!$C:$C,$A77,'NSE - Other Index Options'!$B:$B,C$4,'NSE - Other Index Options'!$H:$H,"MDAW*")=0,"",SUMIFS('NSE - NIFTY Index Options'!$L:$L,'NSE - NIFTY Index Options'!$C:$C,$A77,'NSE - NIFTY Index Options'!$B:$B,C$4,'NSE - NIFTY Index Options'!$H:$H,"Weekly*")+SUMIFS('NSE - NIFTY Index Options'!$L:$L,'NSE - NIFTY Index Options'!$C:$C,$A77,'NSE - NIFTY Index Options'!$B:$B,C$4,'NSE - NIFTY Index Options'!$H:$H,"MDAW*")+SUMIFS('NSE - Other Index Options'!$L:$L,'NSE - Other Index Options'!$C:$C,$A77,'NSE - Other Index Options'!$B:$B,C$4,'NSE - Other Index Options'!$H:$H,"Weekly*")+SUMIFS('NSE - Other Index Options'!$L:$L,'NSE - Other Index Options'!$C:$C,$A77,'NSE - Other Index Options'!$B:$B,C$4,'NSE - Other Index Options'!$H:$H,"MDAW*"))</f>
        <v/>
      </c>
      <c r="D77" s="26" t="str">
        <f>IF(SUMIFS('NSE - NIFTY Index Options'!$L:$L,'NSE - NIFTY Index Options'!$C:$C,$A77,'NSE - NIFTY Index Options'!$B:$B,D$4,'NSE - NIFTY Index Options'!$H:$H,"Weekly*")+SUMIFS('NSE - NIFTY Index Options'!$L:$L,'NSE - NIFTY Index Options'!$C:$C,$A77,'NSE - NIFTY Index Options'!$B:$B,D$4,'NSE - NIFTY Index Options'!$H:$H,"MDAW*")+SUMIFS('NSE - Other Index Options'!$L:$L,'NSE - Other Index Options'!$C:$C,$A77,'NSE - Other Index Options'!$B:$B,D$4,'NSE - Other Index Options'!$H:$H,"Weekly*")+SUMIFS('NSE - Other Index Options'!$L:$L,'NSE - Other Index Options'!$C:$C,$A77,'NSE - Other Index Options'!$B:$B,D$4,'NSE - Other Index Options'!$H:$H,"MDAW*")=0,"",SUMIFS('NSE - NIFTY Index Options'!$L:$L,'NSE - NIFTY Index Options'!$C:$C,$A77,'NSE - NIFTY Index Options'!$B:$B,D$4,'NSE - NIFTY Index Options'!$H:$H,"Weekly*")+SUMIFS('NSE - NIFTY Index Options'!$L:$L,'NSE - NIFTY Index Options'!$C:$C,$A77,'NSE - NIFTY Index Options'!$B:$B,D$4,'NSE - NIFTY Index Options'!$H:$H,"MDAW*")+SUMIFS('NSE - Other Index Options'!$L:$L,'NSE - Other Index Options'!$C:$C,$A77,'NSE - Other Index Options'!$B:$B,D$4,'NSE - Other Index Options'!$H:$H,"Weekly*")+SUMIFS('NSE - Other Index Options'!$L:$L,'NSE - Other Index Options'!$C:$C,$A77,'NSE - Other Index Options'!$B:$B,D$4,'NSE - Other Index Options'!$H:$H,"MDAW*"))</f>
        <v/>
      </c>
      <c r="E77" s="26" t="str">
        <f>IF(SUMIFS('NSE - NIFTY Index Options'!$L:$L,'NSE - NIFTY Index Options'!$C:$C,$A77,'NSE - NIFTY Index Options'!$B:$B,E$4,'NSE - NIFTY Index Options'!$H:$H,"Weekly*")+SUMIFS('NSE - NIFTY Index Options'!$L:$L,'NSE - NIFTY Index Options'!$C:$C,$A77,'NSE - NIFTY Index Options'!$B:$B,E$4,'NSE - NIFTY Index Options'!$H:$H,"MDAW*")+SUMIFS('NSE - Other Index Options'!$L:$L,'NSE - Other Index Options'!$C:$C,$A77,'NSE - Other Index Options'!$B:$B,E$4,'NSE - Other Index Options'!$H:$H,"Weekly*")+SUMIFS('NSE - Other Index Options'!$L:$L,'NSE - Other Index Options'!$C:$C,$A77,'NSE - Other Index Options'!$B:$B,E$4,'NSE - Other Index Options'!$H:$H,"MDAW*")=0,"",SUMIFS('NSE - NIFTY Index Options'!$L:$L,'NSE - NIFTY Index Options'!$C:$C,$A77,'NSE - NIFTY Index Options'!$B:$B,E$4,'NSE - NIFTY Index Options'!$H:$H,"Weekly*")+SUMIFS('NSE - NIFTY Index Options'!$L:$L,'NSE - NIFTY Index Options'!$C:$C,$A77,'NSE - NIFTY Index Options'!$B:$B,E$4,'NSE - NIFTY Index Options'!$H:$H,"MDAW*")+SUMIFS('NSE - Other Index Options'!$L:$L,'NSE - Other Index Options'!$C:$C,$A77,'NSE - Other Index Options'!$B:$B,E$4,'NSE - Other Index Options'!$H:$H,"Weekly*")+SUMIFS('NSE - Other Index Options'!$L:$L,'NSE - Other Index Options'!$C:$C,$A77,'NSE - Other Index Options'!$B:$B,E$4,'NSE - Other Index Options'!$H:$H,"MDAW*"))</f>
        <v/>
      </c>
      <c r="F77" s="26" t="str">
        <f>IF(SUMIFS('NSE - NIFTY Index Options'!$L:$L,'NSE - NIFTY Index Options'!$C:$C,$A77,'NSE - NIFTY Index Options'!$B:$B,F$4,'NSE - NIFTY Index Options'!$H:$H,"Weekly*")+SUMIFS('NSE - NIFTY Index Options'!$L:$L,'NSE - NIFTY Index Options'!$C:$C,$A77,'NSE - NIFTY Index Options'!$B:$B,F$4,'NSE - NIFTY Index Options'!$H:$H,"MDAW*")+SUMIFS('NSE - Other Index Options'!$L:$L,'NSE - Other Index Options'!$C:$C,$A77,'NSE - Other Index Options'!$B:$B,F$4,'NSE - Other Index Options'!$H:$H,"Weekly*")+SUMIFS('NSE - Other Index Options'!$L:$L,'NSE - Other Index Options'!$C:$C,$A77,'NSE - Other Index Options'!$B:$B,F$4,'NSE - Other Index Options'!$H:$H,"MDAW*")=0,"",SUMIFS('NSE - NIFTY Index Options'!$L:$L,'NSE - NIFTY Index Options'!$C:$C,$A77,'NSE - NIFTY Index Options'!$B:$B,F$4,'NSE - NIFTY Index Options'!$H:$H,"Weekly*")+SUMIFS('NSE - NIFTY Index Options'!$L:$L,'NSE - NIFTY Index Options'!$C:$C,$A77,'NSE - NIFTY Index Options'!$B:$B,F$4,'NSE - NIFTY Index Options'!$H:$H,"MDAW*")+SUMIFS('NSE - Other Index Options'!$L:$L,'NSE - Other Index Options'!$C:$C,$A77,'NSE - Other Index Options'!$B:$B,F$4,'NSE - Other Index Options'!$H:$H,"Weekly*")+SUMIFS('NSE - Other Index Options'!$L:$L,'NSE - Other Index Options'!$C:$C,$A77,'NSE - Other Index Options'!$B:$B,F$4,'NSE - Other Index Options'!$H:$H,"MDAW*"))</f>
        <v/>
      </c>
      <c r="G77" s="26" t="str">
        <f>IF(SUMIFS('NSE - NIFTY Index Options'!$L:$L,'NSE - NIFTY Index Options'!$C:$C,$A77,'NSE - NIFTY Index Options'!$B:$B,G$4,'NSE - NIFTY Index Options'!$H:$H,"Weekly*")+SUMIFS('NSE - NIFTY Index Options'!$L:$L,'NSE - NIFTY Index Options'!$C:$C,$A77,'NSE - NIFTY Index Options'!$B:$B,G$4,'NSE - NIFTY Index Options'!$H:$H,"MDAW*")+SUMIFS('NSE - Other Index Options'!$L:$L,'NSE - Other Index Options'!$C:$C,$A77,'NSE - Other Index Options'!$B:$B,G$4,'NSE - Other Index Options'!$H:$H,"Weekly*")+SUMIFS('NSE - Other Index Options'!$L:$L,'NSE - Other Index Options'!$C:$C,$A77,'NSE - Other Index Options'!$B:$B,G$4,'NSE - Other Index Options'!$H:$H,"MDAW*")=0,"",SUMIFS('NSE - NIFTY Index Options'!$L:$L,'NSE - NIFTY Index Options'!$C:$C,$A77,'NSE - NIFTY Index Options'!$B:$B,G$4,'NSE - NIFTY Index Options'!$H:$H,"Weekly*")+SUMIFS('NSE - NIFTY Index Options'!$L:$L,'NSE - NIFTY Index Options'!$C:$C,$A77,'NSE - NIFTY Index Options'!$B:$B,G$4,'NSE - NIFTY Index Options'!$H:$H,"MDAW*")+SUMIFS('NSE - Other Index Options'!$L:$L,'NSE - Other Index Options'!$C:$C,$A77,'NSE - Other Index Options'!$B:$B,G$4,'NSE - Other Index Options'!$H:$H,"Weekly*")+SUMIFS('NSE - Other Index Options'!$L:$L,'NSE - Other Index Options'!$C:$C,$A77,'NSE - Other Index Options'!$B:$B,G$4,'NSE - Other Index Options'!$H:$H,"MDAW*"))</f>
        <v/>
      </c>
      <c r="H77" s="26" t="str">
        <f t="shared" si="2"/>
        <v/>
      </c>
    </row>
    <row r="78" spans="1:8" hidden="1" outlineLevel="1">
      <c r="A78" t="s">
        <v>83</v>
      </c>
      <c r="B78" s="26" t="str">
        <f>IF(SUMIFS('NSE - NIFTY Index Options'!$L:$L,'NSE - NIFTY Index Options'!$C:$C,$A78,'NSE - NIFTY Index Options'!$B:$B,B$4,'NSE - NIFTY Index Options'!$H:$H,"Weekly*")+SUMIFS('NSE - NIFTY Index Options'!$L:$L,'NSE - NIFTY Index Options'!$C:$C,$A78,'NSE - NIFTY Index Options'!$B:$B,B$4,'NSE - NIFTY Index Options'!$H:$H,"MDAW*")+SUMIFS('NSE - Other Index Options'!$L:$L,'NSE - Other Index Options'!$C:$C,$A78,'NSE - Other Index Options'!$B:$B,B$4,'NSE - Other Index Options'!$H:$H,"Weekly*")+SUMIFS('NSE - Other Index Options'!$L:$L,'NSE - Other Index Options'!$C:$C,$A78,'NSE - Other Index Options'!$B:$B,B$4,'NSE - Other Index Options'!$H:$H,"MDAW*")=0,"",SUMIFS('NSE - NIFTY Index Options'!$L:$L,'NSE - NIFTY Index Options'!$C:$C,$A78,'NSE - NIFTY Index Options'!$B:$B,B$4,'NSE - NIFTY Index Options'!$H:$H,"Weekly*")+SUMIFS('NSE - NIFTY Index Options'!$L:$L,'NSE - NIFTY Index Options'!$C:$C,$A78,'NSE - NIFTY Index Options'!$B:$B,B$4,'NSE - NIFTY Index Options'!$H:$H,"MDAW*")+SUMIFS('NSE - Other Index Options'!$L:$L,'NSE - Other Index Options'!$C:$C,$A78,'NSE - Other Index Options'!$B:$B,B$4,'NSE - Other Index Options'!$H:$H,"Weekly*")+SUMIFS('NSE - Other Index Options'!$L:$L,'NSE - Other Index Options'!$C:$C,$A78,'NSE - Other Index Options'!$B:$B,B$4,'NSE - Other Index Options'!$H:$H,"MDAW*"))</f>
        <v/>
      </c>
      <c r="C78" s="26" t="str">
        <f>IF(SUMIFS('NSE - NIFTY Index Options'!$L:$L,'NSE - NIFTY Index Options'!$C:$C,$A78,'NSE - NIFTY Index Options'!$B:$B,C$4,'NSE - NIFTY Index Options'!$H:$H,"Weekly*")+SUMIFS('NSE - NIFTY Index Options'!$L:$L,'NSE - NIFTY Index Options'!$C:$C,$A78,'NSE - NIFTY Index Options'!$B:$B,C$4,'NSE - NIFTY Index Options'!$H:$H,"MDAW*")+SUMIFS('NSE - Other Index Options'!$L:$L,'NSE - Other Index Options'!$C:$C,$A78,'NSE - Other Index Options'!$B:$B,C$4,'NSE - Other Index Options'!$H:$H,"Weekly*")+SUMIFS('NSE - Other Index Options'!$L:$L,'NSE - Other Index Options'!$C:$C,$A78,'NSE - Other Index Options'!$B:$B,C$4,'NSE - Other Index Options'!$H:$H,"MDAW*")=0,"",SUMIFS('NSE - NIFTY Index Options'!$L:$L,'NSE - NIFTY Index Options'!$C:$C,$A78,'NSE - NIFTY Index Options'!$B:$B,C$4,'NSE - NIFTY Index Options'!$H:$H,"Weekly*")+SUMIFS('NSE - NIFTY Index Options'!$L:$L,'NSE - NIFTY Index Options'!$C:$C,$A78,'NSE - NIFTY Index Options'!$B:$B,C$4,'NSE - NIFTY Index Options'!$H:$H,"MDAW*")+SUMIFS('NSE - Other Index Options'!$L:$L,'NSE - Other Index Options'!$C:$C,$A78,'NSE - Other Index Options'!$B:$B,C$4,'NSE - Other Index Options'!$H:$H,"Weekly*")+SUMIFS('NSE - Other Index Options'!$L:$L,'NSE - Other Index Options'!$C:$C,$A78,'NSE - Other Index Options'!$B:$B,C$4,'NSE - Other Index Options'!$H:$H,"MDAW*"))</f>
        <v/>
      </c>
      <c r="D78" s="26" t="str">
        <f>IF(SUMIFS('NSE - NIFTY Index Options'!$L:$L,'NSE - NIFTY Index Options'!$C:$C,$A78,'NSE - NIFTY Index Options'!$B:$B,D$4,'NSE - NIFTY Index Options'!$H:$H,"Weekly*")+SUMIFS('NSE - NIFTY Index Options'!$L:$L,'NSE - NIFTY Index Options'!$C:$C,$A78,'NSE - NIFTY Index Options'!$B:$B,D$4,'NSE - NIFTY Index Options'!$H:$H,"MDAW*")+SUMIFS('NSE - Other Index Options'!$L:$L,'NSE - Other Index Options'!$C:$C,$A78,'NSE - Other Index Options'!$B:$B,D$4,'NSE - Other Index Options'!$H:$H,"Weekly*")+SUMIFS('NSE - Other Index Options'!$L:$L,'NSE - Other Index Options'!$C:$C,$A78,'NSE - Other Index Options'!$B:$B,D$4,'NSE - Other Index Options'!$H:$H,"MDAW*")=0,"",SUMIFS('NSE - NIFTY Index Options'!$L:$L,'NSE - NIFTY Index Options'!$C:$C,$A78,'NSE - NIFTY Index Options'!$B:$B,D$4,'NSE - NIFTY Index Options'!$H:$H,"Weekly*")+SUMIFS('NSE - NIFTY Index Options'!$L:$L,'NSE - NIFTY Index Options'!$C:$C,$A78,'NSE - NIFTY Index Options'!$B:$B,D$4,'NSE - NIFTY Index Options'!$H:$H,"MDAW*")+SUMIFS('NSE - Other Index Options'!$L:$L,'NSE - Other Index Options'!$C:$C,$A78,'NSE - Other Index Options'!$B:$B,D$4,'NSE - Other Index Options'!$H:$H,"Weekly*")+SUMIFS('NSE - Other Index Options'!$L:$L,'NSE - Other Index Options'!$C:$C,$A78,'NSE - Other Index Options'!$B:$B,D$4,'NSE - Other Index Options'!$H:$H,"MDAW*"))</f>
        <v/>
      </c>
      <c r="E78" s="26" t="str">
        <f>IF(SUMIFS('NSE - NIFTY Index Options'!$L:$L,'NSE - NIFTY Index Options'!$C:$C,$A78,'NSE - NIFTY Index Options'!$B:$B,E$4,'NSE - NIFTY Index Options'!$H:$H,"Weekly*")+SUMIFS('NSE - NIFTY Index Options'!$L:$L,'NSE - NIFTY Index Options'!$C:$C,$A78,'NSE - NIFTY Index Options'!$B:$B,E$4,'NSE - NIFTY Index Options'!$H:$H,"MDAW*")+SUMIFS('NSE - Other Index Options'!$L:$L,'NSE - Other Index Options'!$C:$C,$A78,'NSE - Other Index Options'!$B:$B,E$4,'NSE - Other Index Options'!$H:$H,"Weekly*")+SUMIFS('NSE - Other Index Options'!$L:$L,'NSE - Other Index Options'!$C:$C,$A78,'NSE - Other Index Options'!$B:$B,E$4,'NSE - Other Index Options'!$H:$H,"MDAW*")=0,"",SUMIFS('NSE - NIFTY Index Options'!$L:$L,'NSE - NIFTY Index Options'!$C:$C,$A78,'NSE - NIFTY Index Options'!$B:$B,E$4,'NSE - NIFTY Index Options'!$H:$H,"Weekly*")+SUMIFS('NSE - NIFTY Index Options'!$L:$L,'NSE - NIFTY Index Options'!$C:$C,$A78,'NSE - NIFTY Index Options'!$B:$B,E$4,'NSE - NIFTY Index Options'!$H:$H,"MDAW*")+SUMIFS('NSE - Other Index Options'!$L:$L,'NSE - Other Index Options'!$C:$C,$A78,'NSE - Other Index Options'!$B:$B,E$4,'NSE - Other Index Options'!$H:$H,"Weekly*")+SUMIFS('NSE - Other Index Options'!$L:$L,'NSE - Other Index Options'!$C:$C,$A78,'NSE - Other Index Options'!$B:$B,E$4,'NSE - Other Index Options'!$H:$H,"MDAW*"))</f>
        <v/>
      </c>
      <c r="F78" s="26" t="str">
        <f>IF(SUMIFS('NSE - NIFTY Index Options'!$L:$L,'NSE - NIFTY Index Options'!$C:$C,$A78,'NSE - NIFTY Index Options'!$B:$B,F$4,'NSE - NIFTY Index Options'!$H:$H,"Weekly*")+SUMIFS('NSE - NIFTY Index Options'!$L:$L,'NSE - NIFTY Index Options'!$C:$C,$A78,'NSE - NIFTY Index Options'!$B:$B,F$4,'NSE - NIFTY Index Options'!$H:$H,"MDAW*")+SUMIFS('NSE - Other Index Options'!$L:$L,'NSE - Other Index Options'!$C:$C,$A78,'NSE - Other Index Options'!$B:$B,F$4,'NSE - Other Index Options'!$H:$H,"Weekly*")+SUMIFS('NSE - Other Index Options'!$L:$L,'NSE - Other Index Options'!$C:$C,$A78,'NSE - Other Index Options'!$B:$B,F$4,'NSE - Other Index Options'!$H:$H,"MDAW*")=0,"",SUMIFS('NSE - NIFTY Index Options'!$L:$L,'NSE - NIFTY Index Options'!$C:$C,$A78,'NSE - NIFTY Index Options'!$B:$B,F$4,'NSE - NIFTY Index Options'!$H:$H,"Weekly*")+SUMIFS('NSE - NIFTY Index Options'!$L:$L,'NSE - NIFTY Index Options'!$C:$C,$A78,'NSE - NIFTY Index Options'!$B:$B,F$4,'NSE - NIFTY Index Options'!$H:$H,"MDAW*")+SUMIFS('NSE - Other Index Options'!$L:$L,'NSE - Other Index Options'!$C:$C,$A78,'NSE - Other Index Options'!$B:$B,F$4,'NSE - Other Index Options'!$H:$H,"Weekly*")+SUMIFS('NSE - Other Index Options'!$L:$L,'NSE - Other Index Options'!$C:$C,$A78,'NSE - Other Index Options'!$B:$B,F$4,'NSE - Other Index Options'!$H:$H,"MDAW*"))</f>
        <v/>
      </c>
      <c r="G78" s="26" t="str">
        <f>IF(SUMIFS('NSE - NIFTY Index Options'!$L:$L,'NSE - NIFTY Index Options'!$C:$C,$A78,'NSE - NIFTY Index Options'!$B:$B,G$4,'NSE - NIFTY Index Options'!$H:$H,"Weekly*")+SUMIFS('NSE - NIFTY Index Options'!$L:$L,'NSE - NIFTY Index Options'!$C:$C,$A78,'NSE - NIFTY Index Options'!$B:$B,G$4,'NSE - NIFTY Index Options'!$H:$H,"MDAW*")+SUMIFS('NSE - Other Index Options'!$L:$L,'NSE - Other Index Options'!$C:$C,$A78,'NSE - Other Index Options'!$B:$B,G$4,'NSE - Other Index Options'!$H:$H,"Weekly*")+SUMIFS('NSE - Other Index Options'!$L:$L,'NSE - Other Index Options'!$C:$C,$A78,'NSE - Other Index Options'!$B:$B,G$4,'NSE - Other Index Options'!$H:$H,"MDAW*")=0,"",SUMIFS('NSE - NIFTY Index Options'!$L:$L,'NSE - NIFTY Index Options'!$C:$C,$A78,'NSE - NIFTY Index Options'!$B:$B,G$4,'NSE - NIFTY Index Options'!$H:$H,"Weekly*")+SUMIFS('NSE - NIFTY Index Options'!$L:$L,'NSE - NIFTY Index Options'!$C:$C,$A78,'NSE - NIFTY Index Options'!$B:$B,G$4,'NSE - NIFTY Index Options'!$H:$H,"MDAW*")+SUMIFS('NSE - Other Index Options'!$L:$L,'NSE - Other Index Options'!$C:$C,$A78,'NSE - Other Index Options'!$B:$B,G$4,'NSE - Other Index Options'!$H:$H,"Weekly*")+SUMIFS('NSE - Other Index Options'!$L:$L,'NSE - Other Index Options'!$C:$C,$A78,'NSE - Other Index Options'!$B:$B,G$4,'NSE - Other Index Options'!$H:$H,"MDAW*"))</f>
        <v/>
      </c>
      <c r="H78" s="26" t="str">
        <f t="shared" si="2"/>
        <v/>
      </c>
    </row>
    <row r="79" spans="1:8" hidden="1" outlineLevel="1">
      <c r="A79" t="s">
        <v>84</v>
      </c>
      <c r="B79" s="26" t="str">
        <f>IF(SUMIFS('NSE - NIFTY Index Options'!$L:$L,'NSE - NIFTY Index Options'!$C:$C,$A79,'NSE - NIFTY Index Options'!$B:$B,B$4,'NSE - NIFTY Index Options'!$H:$H,"Weekly*")+SUMIFS('NSE - NIFTY Index Options'!$L:$L,'NSE - NIFTY Index Options'!$C:$C,$A79,'NSE - NIFTY Index Options'!$B:$B,B$4,'NSE - NIFTY Index Options'!$H:$H,"MDAW*")+SUMIFS('NSE - Other Index Options'!$L:$L,'NSE - Other Index Options'!$C:$C,$A79,'NSE - Other Index Options'!$B:$B,B$4,'NSE - Other Index Options'!$H:$H,"Weekly*")+SUMIFS('NSE - Other Index Options'!$L:$L,'NSE - Other Index Options'!$C:$C,$A79,'NSE - Other Index Options'!$B:$B,B$4,'NSE - Other Index Options'!$H:$H,"MDAW*")=0,"",SUMIFS('NSE - NIFTY Index Options'!$L:$L,'NSE - NIFTY Index Options'!$C:$C,$A79,'NSE - NIFTY Index Options'!$B:$B,B$4,'NSE - NIFTY Index Options'!$H:$H,"Weekly*")+SUMIFS('NSE - NIFTY Index Options'!$L:$L,'NSE - NIFTY Index Options'!$C:$C,$A79,'NSE - NIFTY Index Options'!$B:$B,B$4,'NSE - NIFTY Index Options'!$H:$H,"MDAW*")+SUMIFS('NSE - Other Index Options'!$L:$L,'NSE - Other Index Options'!$C:$C,$A79,'NSE - Other Index Options'!$B:$B,B$4,'NSE - Other Index Options'!$H:$H,"Weekly*")+SUMIFS('NSE - Other Index Options'!$L:$L,'NSE - Other Index Options'!$C:$C,$A79,'NSE - Other Index Options'!$B:$B,B$4,'NSE - Other Index Options'!$H:$H,"MDAW*"))</f>
        <v/>
      </c>
      <c r="C79" s="26" t="str">
        <f>IF(SUMIFS('NSE - NIFTY Index Options'!$L:$L,'NSE - NIFTY Index Options'!$C:$C,$A79,'NSE - NIFTY Index Options'!$B:$B,C$4,'NSE - NIFTY Index Options'!$H:$H,"Weekly*")+SUMIFS('NSE - NIFTY Index Options'!$L:$L,'NSE - NIFTY Index Options'!$C:$C,$A79,'NSE - NIFTY Index Options'!$B:$B,C$4,'NSE - NIFTY Index Options'!$H:$H,"MDAW*")+SUMIFS('NSE - Other Index Options'!$L:$L,'NSE - Other Index Options'!$C:$C,$A79,'NSE - Other Index Options'!$B:$B,C$4,'NSE - Other Index Options'!$H:$H,"Weekly*")+SUMIFS('NSE - Other Index Options'!$L:$L,'NSE - Other Index Options'!$C:$C,$A79,'NSE - Other Index Options'!$B:$B,C$4,'NSE - Other Index Options'!$H:$H,"MDAW*")=0,"",SUMIFS('NSE - NIFTY Index Options'!$L:$L,'NSE - NIFTY Index Options'!$C:$C,$A79,'NSE - NIFTY Index Options'!$B:$B,C$4,'NSE - NIFTY Index Options'!$H:$H,"Weekly*")+SUMIFS('NSE - NIFTY Index Options'!$L:$L,'NSE - NIFTY Index Options'!$C:$C,$A79,'NSE - NIFTY Index Options'!$B:$B,C$4,'NSE - NIFTY Index Options'!$H:$H,"MDAW*")+SUMIFS('NSE - Other Index Options'!$L:$L,'NSE - Other Index Options'!$C:$C,$A79,'NSE - Other Index Options'!$B:$B,C$4,'NSE - Other Index Options'!$H:$H,"Weekly*")+SUMIFS('NSE - Other Index Options'!$L:$L,'NSE - Other Index Options'!$C:$C,$A79,'NSE - Other Index Options'!$B:$B,C$4,'NSE - Other Index Options'!$H:$H,"MDAW*"))</f>
        <v/>
      </c>
      <c r="D79" s="26" t="str">
        <f>IF(SUMIFS('NSE - NIFTY Index Options'!$L:$L,'NSE - NIFTY Index Options'!$C:$C,$A79,'NSE - NIFTY Index Options'!$B:$B,D$4,'NSE - NIFTY Index Options'!$H:$H,"Weekly*")+SUMIFS('NSE - NIFTY Index Options'!$L:$L,'NSE - NIFTY Index Options'!$C:$C,$A79,'NSE - NIFTY Index Options'!$B:$B,D$4,'NSE - NIFTY Index Options'!$H:$H,"MDAW*")+SUMIFS('NSE - Other Index Options'!$L:$L,'NSE - Other Index Options'!$C:$C,$A79,'NSE - Other Index Options'!$B:$B,D$4,'NSE - Other Index Options'!$H:$H,"Weekly*")+SUMIFS('NSE - Other Index Options'!$L:$L,'NSE - Other Index Options'!$C:$C,$A79,'NSE - Other Index Options'!$B:$B,D$4,'NSE - Other Index Options'!$H:$H,"MDAW*")=0,"",SUMIFS('NSE - NIFTY Index Options'!$L:$L,'NSE - NIFTY Index Options'!$C:$C,$A79,'NSE - NIFTY Index Options'!$B:$B,D$4,'NSE - NIFTY Index Options'!$H:$H,"Weekly*")+SUMIFS('NSE - NIFTY Index Options'!$L:$L,'NSE - NIFTY Index Options'!$C:$C,$A79,'NSE - NIFTY Index Options'!$B:$B,D$4,'NSE - NIFTY Index Options'!$H:$H,"MDAW*")+SUMIFS('NSE - Other Index Options'!$L:$L,'NSE - Other Index Options'!$C:$C,$A79,'NSE - Other Index Options'!$B:$B,D$4,'NSE - Other Index Options'!$H:$H,"Weekly*")+SUMIFS('NSE - Other Index Options'!$L:$L,'NSE - Other Index Options'!$C:$C,$A79,'NSE - Other Index Options'!$B:$B,D$4,'NSE - Other Index Options'!$H:$H,"MDAW*"))</f>
        <v/>
      </c>
      <c r="E79" s="26" t="str">
        <f>IF(SUMIFS('NSE - NIFTY Index Options'!$L:$L,'NSE - NIFTY Index Options'!$C:$C,$A79,'NSE - NIFTY Index Options'!$B:$B,E$4,'NSE - NIFTY Index Options'!$H:$H,"Weekly*")+SUMIFS('NSE - NIFTY Index Options'!$L:$L,'NSE - NIFTY Index Options'!$C:$C,$A79,'NSE - NIFTY Index Options'!$B:$B,E$4,'NSE - NIFTY Index Options'!$H:$H,"MDAW*")+SUMIFS('NSE - Other Index Options'!$L:$L,'NSE - Other Index Options'!$C:$C,$A79,'NSE - Other Index Options'!$B:$B,E$4,'NSE - Other Index Options'!$H:$H,"Weekly*")+SUMIFS('NSE - Other Index Options'!$L:$L,'NSE - Other Index Options'!$C:$C,$A79,'NSE - Other Index Options'!$B:$B,E$4,'NSE - Other Index Options'!$H:$H,"MDAW*")=0,"",SUMIFS('NSE - NIFTY Index Options'!$L:$L,'NSE - NIFTY Index Options'!$C:$C,$A79,'NSE - NIFTY Index Options'!$B:$B,E$4,'NSE - NIFTY Index Options'!$H:$H,"Weekly*")+SUMIFS('NSE - NIFTY Index Options'!$L:$L,'NSE - NIFTY Index Options'!$C:$C,$A79,'NSE - NIFTY Index Options'!$B:$B,E$4,'NSE - NIFTY Index Options'!$H:$H,"MDAW*")+SUMIFS('NSE - Other Index Options'!$L:$L,'NSE - Other Index Options'!$C:$C,$A79,'NSE - Other Index Options'!$B:$B,E$4,'NSE - Other Index Options'!$H:$H,"Weekly*")+SUMIFS('NSE - Other Index Options'!$L:$L,'NSE - Other Index Options'!$C:$C,$A79,'NSE - Other Index Options'!$B:$B,E$4,'NSE - Other Index Options'!$H:$H,"MDAW*"))</f>
        <v/>
      </c>
      <c r="F79" s="26" t="str">
        <f>IF(SUMIFS('NSE - NIFTY Index Options'!$L:$L,'NSE - NIFTY Index Options'!$C:$C,$A79,'NSE - NIFTY Index Options'!$B:$B,F$4,'NSE - NIFTY Index Options'!$H:$H,"Weekly*")+SUMIFS('NSE - NIFTY Index Options'!$L:$L,'NSE - NIFTY Index Options'!$C:$C,$A79,'NSE - NIFTY Index Options'!$B:$B,F$4,'NSE - NIFTY Index Options'!$H:$H,"MDAW*")+SUMIFS('NSE - Other Index Options'!$L:$L,'NSE - Other Index Options'!$C:$C,$A79,'NSE - Other Index Options'!$B:$B,F$4,'NSE - Other Index Options'!$H:$H,"Weekly*")+SUMIFS('NSE - Other Index Options'!$L:$L,'NSE - Other Index Options'!$C:$C,$A79,'NSE - Other Index Options'!$B:$B,F$4,'NSE - Other Index Options'!$H:$H,"MDAW*")=0,"",SUMIFS('NSE - NIFTY Index Options'!$L:$L,'NSE - NIFTY Index Options'!$C:$C,$A79,'NSE - NIFTY Index Options'!$B:$B,F$4,'NSE - NIFTY Index Options'!$H:$H,"Weekly*")+SUMIFS('NSE - NIFTY Index Options'!$L:$L,'NSE - NIFTY Index Options'!$C:$C,$A79,'NSE - NIFTY Index Options'!$B:$B,F$4,'NSE - NIFTY Index Options'!$H:$H,"MDAW*")+SUMIFS('NSE - Other Index Options'!$L:$L,'NSE - Other Index Options'!$C:$C,$A79,'NSE - Other Index Options'!$B:$B,F$4,'NSE - Other Index Options'!$H:$H,"Weekly*")+SUMIFS('NSE - Other Index Options'!$L:$L,'NSE - Other Index Options'!$C:$C,$A79,'NSE - Other Index Options'!$B:$B,F$4,'NSE - Other Index Options'!$H:$H,"MDAW*"))</f>
        <v/>
      </c>
      <c r="G79" s="26" t="str">
        <f>IF(SUMIFS('NSE - NIFTY Index Options'!$L:$L,'NSE - NIFTY Index Options'!$C:$C,$A79,'NSE - NIFTY Index Options'!$B:$B,G$4,'NSE - NIFTY Index Options'!$H:$H,"Weekly*")+SUMIFS('NSE - NIFTY Index Options'!$L:$L,'NSE - NIFTY Index Options'!$C:$C,$A79,'NSE - NIFTY Index Options'!$B:$B,G$4,'NSE - NIFTY Index Options'!$H:$H,"MDAW*")+SUMIFS('NSE - Other Index Options'!$L:$L,'NSE - Other Index Options'!$C:$C,$A79,'NSE - Other Index Options'!$B:$B,G$4,'NSE - Other Index Options'!$H:$H,"Weekly*")+SUMIFS('NSE - Other Index Options'!$L:$L,'NSE - Other Index Options'!$C:$C,$A79,'NSE - Other Index Options'!$B:$B,G$4,'NSE - Other Index Options'!$H:$H,"MDAW*")=0,"",SUMIFS('NSE - NIFTY Index Options'!$L:$L,'NSE - NIFTY Index Options'!$C:$C,$A79,'NSE - NIFTY Index Options'!$B:$B,G$4,'NSE - NIFTY Index Options'!$H:$H,"Weekly*")+SUMIFS('NSE - NIFTY Index Options'!$L:$L,'NSE - NIFTY Index Options'!$C:$C,$A79,'NSE - NIFTY Index Options'!$B:$B,G$4,'NSE - NIFTY Index Options'!$H:$H,"MDAW*")+SUMIFS('NSE - Other Index Options'!$L:$L,'NSE - Other Index Options'!$C:$C,$A79,'NSE - Other Index Options'!$B:$B,G$4,'NSE - Other Index Options'!$H:$H,"Weekly*")+SUMIFS('NSE - Other Index Options'!$L:$L,'NSE - Other Index Options'!$C:$C,$A79,'NSE - Other Index Options'!$B:$B,G$4,'NSE - Other Index Options'!$H:$H,"MDAW*"))</f>
        <v/>
      </c>
      <c r="H79" s="26" t="str">
        <f t="shared" si="2"/>
        <v/>
      </c>
    </row>
    <row r="80" spans="1:8" hidden="1" outlineLevel="1">
      <c r="A80" t="s">
        <v>85</v>
      </c>
      <c r="B80" s="26" t="str">
        <f>IF(SUMIFS('NSE - NIFTY Index Options'!$L:$L,'NSE - NIFTY Index Options'!$C:$C,$A80,'NSE - NIFTY Index Options'!$B:$B,B$4,'NSE - NIFTY Index Options'!$H:$H,"Weekly*")+SUMIFS('NSE - NIFTY Index Options'!$L:$L,'NSE - NIFTY Index Options'!$C:$C,$A80,'NSE - NIFTY Index Options'!$B:$B,B$4,'NSE - NIFTY Index Options'!$H:$H,"MDAW*")+SUMIFS('NSE - Other Index Options'!$L:$L,'NSE - Other Index Options'!$C:$C,$A80,'NSE - Other Index Options'!$B:$B,B$4,'NSE - Other Index Options'!$H:$H,"Weekly*")+SUMIFS('NSE - Other Index Options'!$L:$L,'NSE - Other Index Options'!$C:$C,$A80,'NSE - Other Index Options'!$B:$B,B$4,'NSE - Other Index Options'!$H:$H,"MDAW*")=0,"",SUMIFS('NSE - NIFTY Index Options'!$L:$L,'NSE - NIFTY Index Options'!$C:$C,$A80,'NSE - NIFTY Index Options'!$B:$B,B$4,'NSE - NIFTY Index Options'!$H:$H,"Weekly*")+SUMIFS('NSE - NIFTY Index Options'!$L:$L,'NSE - NIFTY Index Options'!$C:$C,$A80,'NSE - NIFTY Index Options'!$B:$B,B$4,'NSE - NIFTY Index Options'!$H:$H,"MDAW*")+SUMIFS('NSE - Other Index Options'!$L:$L,'NSE - Other Index Options'!$C:$C,$A80,'NSE - Other Index Options'!$B:$B,B$4,'NSE - Other Index Options'!$H:$H,"Weekly*")+SUMIFS('NSE - Other Index Options'!$L:$L,'NSE - Other Index Options'!$C:$C,$A80,'NSE - Other Index Options'!$B:$B,B$4,'NSE - Other Index Options'!$H:$H,"MDAW*"))</f>
        <v/>
      </c>
      <c r="C80" s="26" t="str">
        <f>IF(SUMIFS('NSE - NIFTY Index Options'!$L:$L,'NSE - NIFTY Index Options'!$C:$C,$A80,'NSE - NIFTY Index Options'!$B:$B,C$4,'NSE - NIFTY Index Options'!$H:$H,"Weekly*")+SUMIFS('NSE - NIFTY Index Options'!$L:$L,'NSE - NIFTY Index Options'!$C:$C,$A80,'NSE - NIFTY Index Options'!$B:$B,C$4,'NSE - NIFTY Index Options'!$H:$H,"MDAW*")+SUMIFS('NSE - Other Index Options'!$L:$L,'NSE - Other Index Options'!$C:$C,$A80,'NSE - Other Index Options'!$B:$B,C$4,'NSE - Other Index Options'!$H:$H,"Weekly*")+SUMIFS('NSE - Other Index Options'!$L:$L,'NSE - Other Index Options'!$C:$C,$A80,'NSE - Other Index Options'!$B:$B,C$4,'NSE - Other Index Options'!$H:$H,"MDAW*")=0,"",SUMIFS('NSE - NIFTY Index Options'!$L:$L,'NSE - NIFTY Index Options'!$C:$C,$A80,'NSE - NIFTY Index Options'!$B:$B,C$4,'NSE - NIFTY Index Options'!$H:$H,"Weekly*")+SUMIFS('NSE - NIFTY Index Options'!$L:$L,'NSE - NIFTY Index Options'!$C:$C,$A80,'NSE - NIFTY Index Options'!$B:$B,C$4,'NSE - NIFTY Index Options'!$H:$H,"MDAW*")+SUMIFS('NSE - Other Index Options'!$L:$L,'NSE - Other Index Options'!$C:$C,$A80,'NSE - Other Index Options'!$B:$B,C$4,'NSE - Other Index Options'!$H:$H,"Weekly*")+SUMIFS('NSE - Other Index Options'!$L:$L,'NSE - Other Index Options'!$C:$C,$A80,'NSE - Other Index Options'!$B:$B,C$4,'NSE - Other Index Options'!$H:$H,"MDAW*"))</f>
        <v/>
      </c>
      <c r="D80" s="26" t="str">
        <f>IF(SUMIFS('NSE - NIFTY Index Options'!$L:$L,'NSE - NIFTY Index Options'!$C:$C,$A80,'NSE - NIFTY Index Options'!$B:$B,D$4,'NSE - NIFTY Index Options'!$H:$H,"Weekly*")+SUMIFS('NSE - NIFTY Index Options'!$L:$L,'NSE - NIFTY Index Options'!$C:$C,$A80,'NSE - NIFTY Index Options'!$B:$B,D$4,'NSE - NIFTY Index Options'!$H:$H,"MDAW*")+SUMIFS('NSE - Other Index Options'!$L:$L,'NSE - Other Index Options'!$C:$C,$A80,'NSE - Other Index Options'!$B:$B,D$4,'NSE - Other Index Options'!$H:$H,"Weekly*")+SUMIFS('NSE - Other Index Options'!$L:$L,'NSE - Other Index Options'!$C:$C,$A80,'NSE - Other Index Options'!$B:$B,D$4,'NSE - Other Index Options'!$H:$H,"MDAW*")=0,"",SUMIFS('NSE - NIFTY Index Options'!$L:$L,'NSE - NIFTY Index Options'!$C:$C,$A80,'NSE - NIFTY Index Options'!$B:$B,D$4,'NSE - NIFTY Index Options'!$H:$H,"Weekly*")+SUMIFS('NSE - NIFTY Index Options'!$L:$L,'NSE - NIFTY Index Options'!$C:$C,$A80,'NSE - NIFTY Index Options'!$B:$B,D$4,'NSE - NIFTY Index Options'!$H:$H,"MDAW*")+SUMIFS('NSE - Other Index Options'!$L:$L,'NSE - Other Index Options'!$C:$C,$A80,'NSE - Other Index Options'!$B:$B,D$4,'NSE - Other Index Options'!$H:$H,"Weekly*")+SUMIFS('NSE - Other Index Options'!$L:$L,'NSE - Other Index Options'!$C:$C,$A80,'NSE - Other Index Options'!$B:$B,D$4,'NSE - Other Index Options'!$H:$H,"MDAW*"))</f>
        <v/>
      </c>
      <c r="E80" s="26" t="str">
        <f>IF(SUMIFS('NSE - NIFTY Index Options'!$L:$L,'NSE - NIFTY Index Options'!$C:$C,$A80,'NSE - NIFTY Index Options'!$B:$B,E$4,'NSE - NIFTY Index Options'!$H:$H,"Weekly*")+SUMIFS('NSE - NIFTY Index Options'!$L:$L,'NSE - NIFTY Index Options'!$C:$C,$A80,'NSE - NIFTY Index Options'!$B:$B,E$4,'NSE - NIFTY Index Options'!$H:$H,"MDAW*")+SUMIFS('NSE - Other Index Options'!$L:$L,'NSE - Other Index Options'!$C:$C,$A80,'NSE - Other Index Options'!$B:$B,E$4,'NSE - Other Index Options'!$H:$H,"Weekly*")+SUMIFS('NSE - Other Index Options'!$L:$L,'NSE - Other Index Options'!$C:$C,$A80,'NSE - Other Index Options'!$B:$B,E$4,'NSE - Other Index Options'!$H:$H,"MDAW*")=0,"",SUMIFS('NSE - NIFTY Index Options'!$L:$L,'NSE - NIFTY Index Options'!$C:$C,$A80,'NSE - NIFTY Index Options'!$B:$B,E$4,'NSE - NIFTY Index Options'!$H:$H,"Weekly*")+SUMIFS('NSE - NIFTY Index Options'!$L:$L,'NSE - NIFTY Index Options'!$C:$C,$A80,'NSE - NIFTY Index Options'!$B:$B,E$4,'NSE - NIFTY Index Options'!$H:$H,"MDAW*")+SUMIFS('NSE - Other Index Options'!$L:$L,'NSE - Other Index Options'!$C:$C,$A80,'NSE - Other Index Options'!$B:$B,E$4,'NSE - Other Index Options'!$H:$H,"Weekly*")+SUMIFS('NSE - Other Index Options'!$L:$L,'NSE - Other Index Options'!$C:$C,$A80,'NSE - Other Index Options'!$B:$B,E$4,'NSE - Other Index Options'!$H:$H,"MDAW*"))</f>
        <v/>
      </c>
      <c r="F80" s="26" t="str">
        <f>IF(SUMIFS('NSE - NIFTY Index Options'!$L:$L,'NSE - NIFTY Index Options'!$C:$C,$A80,'NSE - NIFTY Index Options'!$B:$B,F$4,'NSE - NIFTY Index Options'!$H:$H,"Weekly*")+SUMIFS('NSE - NIFTY Index Options'!$L:$L,'NSE - NIFTY Index Options'!$C:$C,$A80,'NSE - NIFTY Index Options'!$B:$B,F$4,'NSE - NIFTY Index Options'!$H:$H,"MDAW*")+SUMIFS('NSE - Other Index Options'!$L:$L,'NSE - Other Index Options'!$C:$C,$A80,'NSE - Other Index Options'!$B:$B,F$4,'NSE - Other Index Options'!$H:$H,"Weekly*")+SUMIFS('NSE - Other Index Options'!$L:$L,'NSE - Other Index Options'!$C:$C,$A80,'NSE - Other Index Options'!$B:$B,F$4,'NSE - Other Index Options'!$H:$H,"MDAW*")=0,"",SUMIFS('NSE - NIFTY Index Options'!$L:$L,'NSE - NIFTY Index Options'!$C:$C,$A80,'NSE - NIFTY Index Options'!$B:$B,F$4,'NSE - NIFTY Index Options'!$H:$H,"Weekly*")+SUMIFS('NSE - NIFTY Index Options'!$L:$L,'NSE - NIFTY Index Options'!$C:$C,$A80,'NSE - NIFTY Index Options'!$B:$B,F$4,'NSE - NIFTY Index Options'!$H:$H,"MDAW*")+SUMIFS('NSE - Other Index Options'!$L:$L,'NSE - Other Index Options'!$C:$C,$A80,'NSE - Other Index Options'!$B:$B,F$4,'NSE - Other Index Options'!$H:$H,"Weekly*")+SUMIFS('NSE - Other Index Options'!$L:$L,'NSE - Other Index Options'!$C:$C,$A80,'NSE - Other Index Options'!$B:$B,F$4,'NSE - Other Index Options'!$H:$H,"MDAW*"))</f>
        <v/>
      </c>
      <c r="G80" s="26" t="str">
        <f>IF(SUMIFS('NSE - NIFTY Index Options'!$L:$L,'NSE - NIFTY Index Options'!$C:$C,$A80,'NSE - NIFTY Index Options'!$B:$B,G$4,'NSE - NIFTY Index Options'!$H:$H,"Weekly*")+SUMIFS('NSE - NIFTY Index Options'!$L:$L,'NSE - NIFTY Index Options'!$C:$C,$A80,'NSE - NIFTY Index Options'!$B:$B,G$4,'NSE - NIFTY Index Options'!$H:$H,"MDAW*")+SUMIFS('NSE - Other Index Options'!$L:$L,'NSE - Other Index Options'!$C:$C,$A80,'NSE - Other Index Options'!$B:$B,G$4,'NSE - Other Index Options'!$H:$H,"Weekly*")+SUMIFS('NSE - Other Index Options'!$L:$L,'NSE - Other Index Options'!$C:$C,$A80,'NSE - Other Index Options'!$B:$B,G$4,'NSE - Other Index Options'!$H:$H,"MDAW*")=0,"",SUMIFS('NSE - NIFTY Index Options'!$L:$L,'NSE - NIFTY Index Options'!$C:$C,$A80,'NSE - NIFTY Index Options'!$B:$B,G$4,'NSE - NIFTY Index Options'!$H:$H,"Weekly*")+SUMIFS('NSE - NIFTY Index Options'!$L:$L,'NSE - NIFTY Index Options'!$C:$C,$A80,'NSE - NIFTY Index Options'!$B:$B,G$4,'NSE - NIFTY Index Options'!$H:$H,"MDAW*")+SUMIFS('NSE - Other Index Options'!$L:$L,'NSE - Other Index Options'!$C:$C,$A80,'NSE - Other Index Options'!$B:$B,G$4,'NSE - Other Index Options'!$H:$H,"Weekly*")+SUMIFS('NSE - Other Index Options'!$L:$L,'NSE - Other Index Options'!$C:$C,$A80,'NSE - Other Index Options'!$B:$B,G$4,'NSE - Other Index Options'!$H:$H,"MDAW*"))</f>
        <v/>
      </c>
      <c r="H80" s="26" t="str">
        <f t="shared" si="2"/>
        <v/>
      </c>
    </row>
    <row r="81" spans="1:8" hidden="1" outlineLevel="1">
      <c r="A81" t="s">
        <v>86</v>
      </c>
      <c r="B81" s="26" t="str">
        <f>IF(SUMIFS('NSE - NIFTY Index Options'!$L:$L,'NSE - NIFTY Index Options'!$C:$C,$A81,'NSE - NIFTY Index Options'!$B:$B,B$4,'NSE - NIFTY Index Options'!$H:$H,"Weekly*")+SUMIFS('NSE - NIFTY Index Options'!$L:$L,'NSE - NIFTY Index Options'!$C:$C,$A81,'NSE - NIFTY Index Options'!$B:$B,B$4,'NSE - NIFTY Index Options'!$H:$H,"MDAW*")+SUMIFS('NSE - Other Index Options'!$L:$L,'NSE - Other Index Options'!$C:$C,$A81,'NSE - Other Index Options'!$B:$B,B$4,'NSE - Other Index Options'!$H:$H,"Weekly*")+SUMIFS('NSE - Other Index Options'!$L:$L,'NSE - Other Index Options'!$C:$C,$A81,'NSE - Other Index Options'!$B:$B,B$4,'NSE - Other Index Options'!$H:$H,"MDAW*")=0,"",SUMIFS('NSE - NIFTY Index Options'!$L:$L,'NSE - NIFTY Index Options'!$C:$C,$A81,'NSE - NIFTY Index Options'!$B:$B,B$4,'NSE - NIFTY Index Options'!$H:$H,"Weekly*")+SUMIFS('NSE - NIFTY Index Options'!$L:$L,'NSE - NIFTY Index Options'!$C:$C,$A81,'NSE - NIFTY Index Options'!$B:$B,B$4,'NSE - NIFTY Index Options'!$H:$H,"MDAW*")+SUMIFS('NSE - Other Index Options'!$L:$L,'NSE - Other Index Options'!$C:$C,$A81,'NSE - Other Index Options'!$B:$B,B$4,'NSE - Other Index Options'!$H:$H,"Weekly*")+SUMIFS('NSE - Other Index Options'!$L:$L,'NSE - Other Index Options'!$C:$C,$A81,'NSE - Other Index Options'!$B:$B,B$4,'NSE - Other Index Options'!$H:$H,"MDAW*"))</f>
        <v/>
      </c>
      <c r="C81" s="26" t="str">
        <f>IF(SUMIFS('NSE - NIFTY Index Options'!$L:$L,'NSE - NIFTY Index Options'!$C:$C,$A81,'NSE - NIFTY Index Options'!$B:$B,C$4,'NSE - NIFTY Index Options'!$H:$H,"Weekly*")+SUMIFS('NSE - NIFTY Index Options'!$L:$L,'NSE - NIFTY Index Options'!$C:$C,$A81,'NSE - NIFTY Index Options'!$B:$B,C$4,'NSE - NIFTY Index Options'!$H:$H,"MDAW*")+SUMIFS('NSE - Other Index Options'!$L:$L,'NSE - Other Index Options'!$C:$C,$A81,'NSE - Other Index Options'!$B:$B,C$4,'NSE - Other Index Options'!$H:$H,"Weekly*")+SUMIFS('NSE - Other Index Options'!$L:$L,'NSE - Other Index Options'!$C:$C,$A81,'NSE - Other Index Options'!$B:$B,C$4,'NSE - Other Index Options'!$H:$H,"MDAW*")=0,"",SUMIFS('NSE - NIFTY Index Options'!$L:$L,'NSE - NIFTY Index Options'!$C:$C,$A81,'NSE - NIFTY Index Options'!$B:$B,C$4,'NSE - NIFTY Index Options'!$H:$H,"Weekly*")+SUMIFS('NSE - NIFTY Index Options'!$L:$L,'NSE - NIFTY Index Options'!$C:$C,$A81,'NSE - NIFTY Index Options'!$B:$B,C$4,'NSE - NIFTY Index Options'!$H:$H,"MDAW*")+SUMIFS('NSE - Other Index Options'!$L:$L,'NSE - Other Index Options'!$C:$C,$A81,'NSE - Other Index Options'!$B:$B,C$4,'NSE - Other Index Options'!$H:$H,"Weekly*")+SUMIFS('NSE - Other Index Options'!$L:$L,'NSE - Other Index Options'!$C:$C,$A81,'NSE - Other Index Options'!$B:$B,C$4,'NSE - Other Index Options'!$H:$H,"MDAW*"))</f>
        <v/>
      </c>
      <c r="D81" s="26" t="str">
        <f>IF(SUMIFS('NSE - NIFTY Index Options'!$L:$L,'NSE - NIFTY Index Options'!$C:$C,$A81,'NSE - NIFTY Index Options'!$B:$B,D$4,'NSE - NIFTY Index Options'!$H:$H,"Weekly*")+SUMIFS('NSE - NIFTY Index Options'!$L:$L,'NSE - NIFTY Index Options'!$C:$C,$A81,'NSE - NIFTY Index Options'!$B:$B,D$4,'NSE - NIFTY Index Options'!$H:$H,"MDAW*")+SUMIFS('NSE - Other Index Options'!$L:$L,'NSE - Other Index Options'!$C:$C,$A81,'NSE - Other Index Options'!$B:$B,D$4,'NSE - Other Index Options'!$H:$H,"Weekly*")+SUMIFS('NSE - Other Index Options'!$L:$L,'NSE - Other Index Options'!$C:$C,$A81,'NSE - Other Index Options'!$B:$B,D$4,'NSE - Other Index Options'!$H:$H,"MDAW*")=0,"",SUMIFS('NSE - NIFTY Index Options'!$L:$L,'NSE - NIFTY Index Options'!$C:$C,$A81,'NSE - NIFTY Index Options'!$B:$B,D$4,'NSE - NIFTY Index Options'!$H:$H,"Weekly*")+SUMIFS('NSE - NIFTY Index Options'!$L:$L,'NSE - NIFTY Index Options'!$C:$C,$A81,'NSE - NIFTY Index Options'!$B:$B,D$4,'NSE - NIFTY Index Options'!$H:$H,"MDAW*")+SUMIFS('NSE - Other Index Options'!$L:$L,'NSE - Other Index Options'!$C:$C,$A81,'NSE - Other Index Options'!$B:$B,D$4,'NSE - Other Index Options'!$H:$H,"Weekly*")+SUMIFS('NSE - Other Index Options'!$L:$L,'NSE - Other Index Options'!$C:$C,$A81,'NSE - Other Index Options'!$B:$B,D$4,'NSE - Other Index Options'!$H:$H,"MDAW*"))</f>
        <v/>
      </c>
      <c r="E81" s="26" t="str">
        <f>IF(SUMIFS('NSE - NIFTY Index Options'!$L:$L,'NSE - NIFTY Index Options'!$C:$C,$A81,'NSE - NIFTY Index Options'!$B:$B,E$4,'NSE - NIFTY Index Options'!$H:$H,"Weekly*")+SUMIFS('NSE - NIFTY Index Options'!$L:$L,'NSE - NIFTY Index Options'!$C:$C,$A81,'NSE - NIFTY Index Options'!$B:$B,E$4,'NSE - NIFTY Index Options'!$H:$H,"MDAW*")+SUMIFS('NSE - Other Index Options'!$L:$L,'NSE - Other Index Options'!$C:$C,$A81,'NSE - Other Index Options'!$B:$B,E$4,'NSE - Other Index Options'!$H:$H,"Weekly*")+SUMIFS('NSE - Other Index Options'!$L:$L,'NSE - Other Index Options'!$C:$C,$A81,'NSE - Other Index Options'!$B:$B,E$4,'NSE - Other Index Options'!$H:$H,"MDAW*")=0,"",SUMIFS('NSE - NIFTY Index Options'!$L:$L,'NSE - NIFTY Index Options'!$C:$C,$A81,'NSE - NIFTY Index Options'!$B:$B,E$4,'NSE - NIFTY Index Options'!$H:$H,"Weekly*")+SUMIFS('NSE - NIFTY Index Options'!$L:$L,'NSE - NIFTY Index Options'!$C:$C,$A81,'NSE - NIFTY Index Options'!$B:$B,E$4,'NSE - NIFTY Index Options'!$H:$H,"MDAW*")+SUMIFS('NSE - Other Index Options'!$L:$L,'NSE - Other Index Options'!$C:$C,$A81,'NSE - Other Index Options'!$B:$B,E$4,'NSE - Other Index Options'!$H:$H,"Weekly*")+SUMIFS('NSE - Other Index Options'!$L:$L,'NSE - Other Index Options'!$C:$C,$A81,'NSE - Other Index Options'!$B:$B,E$4,'NSE - Other Index Options'!$H:$H,"MDAW*"))</f>
        <v/>
      </c>
      <c r="F81" s="26" t="str">
        <f>IF(SUMIFS('NSE - NIFTY Index Options'!$L:$L,'NSE - NIFTY Index Options'!$C:$C,$A81,'NSE - NIFTY Index Options'!$B:$B,F$4,'NSE - NIFTY Index Options'!$H:$H,"Weekly*")+SUMIFS('NSE - NIFTY Index Options'!$L:$L,'NSE - NIFTY Index Options'!$C:$C,$A81,'NSE - NIFTY Index Options'!$B:$B,F$4,'NSE - NIFTY Index Options'!$H:$H,"MDAW*")+SUMIFS('NSE - Other Index Options'!$L:$L,'NSE - Other Index Options'!$C:$C,$A81,'NSE - Other Index Options'!$B:$B,F$4,'NSE - Other Index Options'!$H:$H,"Weekly*")+SUMIFS('NSE - Other Index Options'!$L:$L,'NSE - Other Index Options'!$C:$C,$A81,'NSE - Other Index Options'!$B:$B,F$4,'NSE - Other Index Options'!$H:$H,"MDAW*")=0,"",SUMIFS('NSE - NIFTY Index Options'!$L:$L,'NSE - NIFTY Index Options'!$C:$C,$A81,'NSE - NIFTY Index Options'!$B:$B,F$4,'NSE - NIFTY Index Options'!$H:$H,"Weekly*")+SUMIFS('NSE - NIFTY Index Options'!$L:$L,'NSE - NIFTY Index Options'!$C:$C,$A81,'NSE - NIFTY Index Options'!$B:$B,F$4,'NSE - NIFTY Index Options'!$H:$H,"MDAW*")+SUMIFS('NSE - Other Index Options'!$L:$L,'NSE - Other Index Options'!$C:$C,$A81,'NSE - Other Index Options'!$B:$B,F$4,'NSE - Other Index Options'!$H:$H,"Weekly*")+SUMIFS('NSE - Other Index Options'!$L:$L,'NSE - Other Index Options'!$C:$C,$A81,'NSE - Other Index Options'!$B:$B,F$4,'NSE - Other Index Options'!$H:$H,"MDAW*"))</f>
        <v/>
      </c>
      <c r="G81" s="26" t="str">
        <f>IF(SUMIFS('NSE - NIFTY Index Options'!$L:$L,'NSE - NIFTY Index Options'!$C:$C,$A81,'NSE - NIFTY Index Options'!$B:$B,G$4,'NSE - NIFTY Index Options'!$H:$H,"Weekly*")+SUMIFS('NSE - NIFTY Index Options'!$L:$L,'NSE - NIFTY Index Options'!$C:$C,$A81,'NSE - NIFTY Index Options'!$B:$B,G$4,'NSE - NIFTY Index Options'!$H:$H,"MDAW*")+SUMIFS('NSE - Other Index Options'!$L:$L,'NSE - Other Index Options'!$C:$C,$A81,'NSE - Other Index Options'!$B:$B,G$4,'NSE - Other Index Options'!$H:$H,"Weekly*")+SUMIFS('NSE - Other Index Options'!$L:$L,'NSE - Other Index Options'!$C:$C,$A81,'NSE - Other Index Options'!$B:$B,G$4,'NSE - Other Index Options'!$H:$H,"MDAW*")=0,"",SUMIFS('NSE - NIFTY Index Options'!$L:$L,'NSE - NIFTY Index Options'!$C:$C,$A81,'NSE - NIFTY Index Options'!$B:$B,G$4,'NSE - NIFTY Index Options'!$H:$H,"Weekly*")+SUMIFS('NSE - NIFTY Index Options'!$L:$L,'NSE - NIFTY Index Options'!$C:$C,$A81,'NSE - NIFTY Index Options'!$B:$B,G$4,'NSE - NIFTY Index Options'!$H:$H,"MDAW*")+SUMIFS('NSE - Other Index Options'!$L:$L,'NSE - Other Index Options'!$C:$C,$A81,'NSE - Other Index Options'!$B:$B,G$4,'NSE - Other Index Options'!$H:$H,"Weekly*")+SUMIFS('NSE - Other Index Options'!$L:$L,'NSE - Other Index Options'!$C:$C,$A81,'NSE - Other Index Options'!$B:$B,G$4,'NSE - Other Index Options'!$H:$H,"MDAW*"))</f>
        <v/>
      </c>
      <c r="H81" s="26" t="str">
        <f t="shared" si="2"/>
        <v/>
      </c>
    </row>
    <row r="82" spans="1:8" hidden="1" outlineLevel="1">
      <c r="A82" t="s">
        <v>87</v>
      </c>
      <c r="B82" s="26" t="str">
        <f>IF(SUMIFS('NSE - NIFTY Index Options'!$L:$L,'NSE - NIFTY Index Options'!$C:$C,$A82,'NSE - NIFTY Index Options'!$B:$B,B$4,'NSE - NIFTY Index Options'!$H:$H,"Weekly*")+SUMIFS('NSE - NIFTY Index Options'!$L:$L,'NSE - NIFTY Index Options'!$C:$C,$A82,'NSE - NIFTY Index Options'!$B:$B,B$4,'NSE - NIFTY Index Options'!$H:$H,"MDAW*")+SUMIFS('NSE - Other Index Options'!$L:$L,'NSE - Other Index Options'!$C:$C,$A82,'NSE - Other Index Options'!$B:$B,B$4,'NSE - Other Index Options'!$H:$H,"Weekly*")+SUMIFS('NSE - Other Index Options'!$L:$L,'NSE - Other Index Options'!$C:$C,$A82,'NSE - Other Index Options'!$B:$B,B$4,'NSE - Other Index Options'!$H:$H,"MDAW*")=0,"",SUMIFS('NSE - NIFTY Index Options'!$L:$L,'NSE - NIFTY Index Options'!$C:$C,$A82,'NSE - NIFTY Index Options'!$B:$B,B$4,'NSE - NIFTY Index Options'!$H:$H,"Weekly*")+SUMIFS('NSE - NIFTY Index Options'!$L:$L,'NSE - NIFTY Index Options'!$C:$C,$A82,'NSE - NIFTY Index Options'!$B:$B,B$4,'NSE - NIFTY Index Options'!$H:$H,"MDAW*")+SUMIFS('NSE - Other Index Options'!$L:$L,'NSE - Other Index Options'!$C:$C,$A82,'NSE - Other Index Options'!$B:$B,B$4,'NSE - Other Index Options'!$H:$H,"Weekly*")+SUMIFS('NSE - Other Index Options'!$L:$L,'NSE - Other Index Options'!$C:$C,$A82,'NSE - Other Index Options'!$B:$B,B$4,'NSE - Other Index Options'!$H:$H,"MDAW*"))</f>
        <v/>
      </c>
      <c r="C82" s="26" t="str">
        <f>IF(SUMIFS('NSE - NIFTY Index Options'!$L:$L,'NSE - NIFTY Index Options'!$C:$C,$A82,'NSE - NIFTY Index Options'!$B:$B,C$4,'NSE - NIFTY Index Options'!$H:$H,"Weekly*")+SUMIFS('NSE - NIFTY Index Options'!$L:$L,'NSE - NIFTY Index Options'!$C:$C,$A82,'NSE - NIFTY Index Options'!$B:$B,C$4,'NSE - NIFTY Index Options'!$H:$H,"MDAW*")+SUMIFS('NSE - Other Index Options'!$L:$L,'NSE - Other Index Options'!$C:$C,$A82,'NSE - Other Index Options'!$B:$B,C$4,'NSE - Other Index Options'!$H:$H,"Weekly*")+SUMIFS('NSE - Other Index Options'!$L:$L,'NSE - Other Index Options'!$C:$C,$A82,'NSE - Other Index Options'!$B:$B,C$4,'NSE - Other Index Options'!$H:$H,"MDAW*")=0,"",SUMIFS('NSE - NIFTY Index Options'!$L:$L,'NSE - NIFTY Index Options'!$C:$C,$A82,'NSE - NIFTY Index Options'!$B:$B,C$4,'NSE - NIFTY Index Options'!$H:$H,"Weekly*")+SUMIFS('NSE - NIFTY Index Options'!$L:$L,'NSE - NIFTY Index Options'!$C:$C,$A82,'NSE - NIFTY Index Options'!$B:$B,C$4,'NSE - NIFTY Index Options'!$H:$H,"MDAW*")+SUMIFS('NSE - Other Index Options'!$L:$L,'NSE - Other Index Options'!$C:$C,$A82,'NSE - Other Index Options'!$B:$B,C$4,'NSE - Other Index Options'!$H:$H,"Weekly*")+SUMIFS('NSE - Other Index Options'!$L:$L,'NSE - Other Index Options'!$C:$C,$A82,'NSE - Other Index Options'!$B:$B,C$4,'NSE - Other Index Options'!$H:$H,"MDAW*"))</f>
        <v/>
      </c>
      <c r="D82" s="26" t="str">
        <f>IF(SUMIFS('NSE - NIFTY Index Options'!$L:$L,'NSE - NIFTY Index Options'!$C:$C,$A82,'NSE - NIFTY Index Options'!$B:$B,D$4,'NSE - NIFTY Index Options'!$H:$H,"Weekly*")+SUMIFS('NSE - NIFTY Index Options'!$L:$L,'NSE - NIFTY Index Options'!$C:$C,$A82,'NSE - NIFTY Index Options'!$B:$B,D$4,'NSE - NIFTY Index Options'!$H:$H,"MDAW*")+SUMIFS('NSE - Other Index Options'!$L:$L,'NSE - Other Index Options'!$C:$C,$A82,'NSE - Other Index Options'!$B:$B,D$4,'NSE - Other Index Options'!$H:$H,"Weekly*")+SUMIFS('NSE - Other Index Options'!$L:$L,'NSE - Other Index Options'!$C:$C,$A82,'NSE - Other Index Options'!$B:$B,D$4,'NSE - Other Index Options'!$H:$H,"MDAW*")=0,"",SUMIFS('NSE - NIFTY Index Options'!$L:$L,'NSE - NIFTY Index Options'!$C:$C,$A82,'NSE - NIFTY Index Options'!$B:$B,D$4,'NSE - NIFTY Index Options'!$H:$H,"Weekly*")+SUMIFS('NSE - NIFTY Index Options'!$L:$L,'NSE - NIFTY Index Options'!$C:$C,$A82,'NSE - NIFTY Index Options'!$B:$B,D$4,'NSE - NIFTY Index Options'!$H:$H,"MDAW*")+SUMIFS('NSE - Other Index Options'!$L:$L,'NSE - Other Index Options'!$C:$C,$A82,'NSE - Other Index Options'!$B:$B,D$4,'NSE - Other Index Options'!$H:$H,"Weekly*")+SUMIFS('NSE - Other Index Options'!$L:$L,'NSE - Other Index Options'!$C:$C,$A82,'NSE - Other Index Options'!$B:$B,D$4,'NSE - Other Index Options'!$H:$H,"MDAW*"))</f>
        <v/>
      </c>
      <c r="E82" s="26" t="str">
        <f>IF(SUMIFS('NSE - NIFTY Index Options'!$L:$L,'NSE - NIFTY Index Options'!$C:$C,$A82,'NSE - NIFTY Index Options'!$B:$B,E$4,'NSE - NIFTY Index Options'!$H:$H,"Weekly*")+SUMIFS('NSE - NIFTY Index Options'!$L:$L,'NSE - NIFTY Index Options'!$C:$C,$A82,'NSE - NIFTY Index Options'!$B:$B,E$4,'NSE - NIFTY Index Options'!$H:$H,"MDAW*")+SUMIFS('NSE - Other Index Options'!$L:$L,'NSE - Other Index Options'!$C:$C,$A82,'NSE - Other Index Options'!$B:$B,E$4,'NSE - Other Index Options'!$H:$H,"Weekly*")+SUMIFS('NSE - Other Index Options'!$L:$L,'NSE - Other Index Options'!$C:$C,$A82,'NSE - Other Index Options'!$B:$B,E$4,'NSE - Other Index Options'!$H:$H,"MDAW*")=0,"",SUMIFS('NSE - NIFTY Index Options'!$L:$L,'NSE - NIFTY Index Options'!$C:$C,$A82,'NSE - NIFTY Index Options'!$B:$B,E$4,'NSE - NIFTY Index Options'!$H:$H,"Weekly*")+SUMIFS('NSE - NIFTY Index Options'!$L:$L,'NSE - NIFTY Index Options'!$C:$C,$A82,'NSE - NIFTY Index Options'!$B:$B,E$4,'NSE - NIFTY Index Options'!$H:$H,"MDAW*")+SUMIFS('NSE - Other Index Options'!$L:$L,'NSE - Other Index Options'!$C:$C,$A82,'NSE - Other Index Options'!$B:$B,E$4,'NSE - Other Index Options'!$H:$H,"Weekly*")+SUMIFS('NSE - Other Index Options'!$L:$L,'NSE - Other Index Options'!$C:$C,$A82,'NSE - Other Index Options'!$B:$B,E$4,'NSE - Other Index Options'!$H:$H,"MDAW*"))</f>
        <v/>
      </c>
      <c r="F82" s="26" t="str">
        <f>IF(SUMIFS('NSE - NIFTY Index Options'!$L:$L,'NSE - NIFTY Index Options'!$C:$C,$A82,'NSE - NIFTY Index Options'!$B:$B,F$4,'NSE - NIFTY Index Options'!$H:$H,"Weekly*")+SUMIFS('NSE - NIFTY Index Options'!$L:$L,'NSE - NIFTY Index Options'!$C:$C,$A82,'NSE - NIFTY Index Options'!$B:$B,F$4,'NSE - NIFTY Index Options'!$H:$H,"MDAW*")+SUMIFS('NSE - Other Index Options'!$L:$L,'NSE - Other Index Options'!$C:$C,$A82,'NSE - Other Index Options'!$B:$B,F$4,'NSE - Other Index Options'!$H:$H,"Weekly*")+SUMIFS('NSE - Other Index Options'!$L:$L,'NSE - Other Index Options'!$C:$C,$A82,'NSE - Other Index Options'!$B:$B,F$4,'NSE - Other Index Options'!$H:$H,"MDAW*")=0,"",SUMIFS('NSE - NIFTY Index Options'!$L:$L,'NSE - NIFTY Index Options'!$C:$C,$A82,'NSE - NIFTY Index Options'!$B:$B,F$4,'NSE - NIFTY Index Options'!$H:$H,"Weekly*")+SUMIFS('NSE - NIFTY Index Options'!$L:$L,'NSE - NIFTY Index Options'!$C:$C,$A82,'NSE - NIFTY Index Options'!$B:$B,F$4,'NSE - NIFTY Index Options'!$H:$H,"MDAW*")+SUMIFS('NSE - Other Index Options'!$L:$L,'NSE - Other Index Options'!$C:$C,$A82,'NSE - Other Index Options'!$B:$B,F$4,'NSE - Other Index Options'!$H:$H,"Weekly*")+SUMIFS('NSE - Other Index Options'!$L:$L,'NSE - Other Index Options'!$C:$C,$A82,'NSE - Other Index Options'!$B:$B,F$4,'NSE - Other Index Options'!$H:$H,"MDAW*"))</f>
        <v/>
      </c>
      <c r="G82" s="26" t="str">
        <f>IF(SUMIFS('NSE - NIFTY Index Options'!$L:$L,'NSE - NIFTY Index Options'!$C:$C,$A82,'NSE - NIFTY Index Options'!$B:$B,G$4,'NSE - NIFTY Index Options'!$H:$H,"Weekly*")+SUMIFS('NSE - NIFTY Index Options'!$L:$L,'NSE - NIFTY Index Options'!$C:$C,$A82,'NSE - NIFTY Index Options'!$B:$B,G$4,'NSE - NIFTY Index Options'!$H:$H,"MDAW*")+SUMIFS('NSE - Other Index Options'!$L:$L,'NSE - Other Index Options'!$C:$C,$A82,'NSE - Other Index Options'!$B:$B,G$4,'NSE - Other Index Options'!$H:$H,"Weekly*")+SUMIFS('NSE - Other Index Options'!$L:$L,'NSE - Other Index Options'!$C:$C,$A82,'NSE - Other Index Options'!$B:$B,G$4,'NSE - Other Index Options'!$H:$H,"MDAW*")=0,"",SUMIFS('NSE - NIFTY Index Options'!$L:$L,'NSE - NIFTY Index Options'!$C:$C,$A82,'NSE - NIFTY Index Options'!$B:$B,G$4,'NSE - NIFTY Index Options'!$H:$H,"Weekly*")+SUMIFS('NSE - NIFTY Index Options'!$L:$L,'NSE - NIFTY Index Options'!$C:$C,$A82,'NSE - NIFTY Index Options'!$B:$B,G$4,'NSE - NIFTY Index Options'!$H:$H,"MDAW*")+SUMIFS('NSE - Other Index Options'!$L:$L,'NSE - Other Index Options'!$C:$C,$A82,'NSE - Other Index Options'!$B:$B,G$4,'NSE - Other Index Options'!$H:$H,"Weekly*")+SUMIFS('NSE - Other Index Options'!$L:$L,'NSE - Other Index Options'!$C:$C,$A82,'NSE - Other Index Options'!$B:$B,G$4,'NSE - Other Index Options'!$H:$H,"MDAW*"))</f>
        <v/>
      </c>
      <c r="H82" s="26" t="str">
        <f t="shared" si="2"/>
        <v/>
      </c>
    </row>
    <row r="83" spans="1:8" hidden="1" outlineLevel="1">
      <c r="A83" t="s">
        <v>88</v>
      </c>
      <c r="B83" s="26" t="str">
        <f>IF(SUMIFS('NSE - NIFTY Index Options'!$L:$L,'NSE - NIFTY Index Options'!$C:$C,$A83,'NSE - NIFTY Index Options'!$B:$B,B$4,'NSE - NIFTY Index Options'!$H:$H,"Weekly*")+SUMIFS('NSE - NIFTY Index Options'!$L:$L,'NSE - NIFTY Index Options'!$C:$C,$A83,'NSE - NIFTY Index Options'!$B:$B,B$4,'NSE - NIFTY Index Options'!$H:$H,"MDAW*")+SUMIFS('NSE - Other Index Options'!$L:$L,'NSE - Other Index Options'!$C:$C,$A83,'NSE - Other Index Options'!$B:$B,B$4,'NSE - Other Index Options'!$H:$H,"Weekly*")+SUMIFS('NSE - Other Index Options'!$L:$L,'NSE - Other Index Options'!$C:$C,$A83,'NSE - Other Index Options'!$B:$B,B$4,'NSE - Other Index Options'!$H:$H,"MDAW*")=0,"",SUMIFS('NSE - NIFTY Index Options'!$L:$L,'NSE - NIFTY Index Options'!$C:$C,$A83,'NSE - NIFTY Index Options'!$B:$B,B$4,'NSE - NIFTY Index Options'!$H:$H,"Weekly*")+SUMIFS('NSE - NIFTY Index Options'!$L:$L,'NSE - NIFTY Index Options'!$C:$C,$A83,'NSE - NIFTY Index Options'!$B:$B,B$4,'NSE - NIFTY Index Options'!$H:$H,"MDAW*")+SUMIFS('NSE - Other Index Options'!$L:$L,'NSE - Other Index Options'!$C:$C,$A83,'NSE - Other Index Options'!$B:$B,B$4,'NSE - Other Index Options'!$H:$H,"Weekly*")+SUMIFS('NSE - Other Index Options'!$L:$L,'NSE - Other Index Options'!$C:$C,$A83,'NSE - Other Index Options'!$B:$B,B$4,'NSE - Other Index Options'!$H:$H,"MDAW*"))</f>
        <v/>
      </c>
      <c r="C83" s="26" t="str">
        <f>IF(SUMIFS('NSE - NIFTY Index Options'!$L:$L,'NSE - NIFTY Index Options'!$C:$C,$A83,'NSE - NIFTY Index Options'!$B:$B,C$4,'NSE - NIFTY Index Options'!$H:$H,"Weekly*")+SUMIFS('NSE - NIFTY Index Options'!$L:$L,'NSE - NIFTY Index Options'!$C:$C,$A83,'NSE - NIFTY Index Options'!$B:$B,C$4,'NSE - NIFTY Index Options'!$H:$H,"MDAW*")+SUMIFS('NSE - Other Index Options'!$L:$L,'NSE - Other Index Options'!$C:$C,$A83,'NSE - Other Index Options'!$B:$B,C$4,'NSE - Other Index Options'!$H:$H,"Weekly*")+SUMIFS('NSE - Other Index Options'!$L:$L,'NSE - Other Index Options'!$C:$C,$A83,'NSE - Other Index Options'!$B:$B,C$4,'NSE - Other Index Options'!$H:$H,"MDAW*")=0,"",SUMIFS('NSE - NIFTY Index Options'!$L:$L,'NSE - NIFTY Index Options'!$C:$C,$A83,'NSE - NIFTY Index Options'!$B:$B,C$4,'NSE - NIFTY Index Options'!$H:$H,"Weekly*")+SUMIFS('NSE - NIFTY Index Options'!$L:$L,'NSE - NIFTY Index Options'!$C:$C,$A83,'NSE - NIFTY Index Options'!$B:$B,C$4,'NSE - NIFTY Index Options'!$H:$H,"MDAW*")+SUMIFS('NSE - Other Index Options'!$L:$L,'NSE - Other Index Options'!$C:$C,$A83,'NSE - Other Index Options'!$B:$B,C$4,'NSE - Other Index Options'!$H:$H,"Weekly*")+SUMIFS('NSE - Other Index Options'!$L:$L,'NSE - Other Index Options'!$C:$C,$A83,'NSE - Other Index Options'!$B:$B,C$4,'NSE - Other Index Options'!$H:$H,"MDAW*"))</f>
        <v/>
      </c>
      <c r="D83" s="26" t="str">
        <f>IF(SUMIFS('NSE - NIFTY Index Options'!$L:$L,'NSE - NIFTY Index Options'!$C:$C,$A83,'NSE - NIFTY Index Options'!$B:$B,D$4,'NSE - NIFTY Index Options'!$H:$H,"Weekly*")+SUMIFS('NSE - NIFTY Index Options'!$L:$L,'NSE - NIFTY Index Options'!$C:$C,$A83,'NSE - NIFTY Index Options'!$B:$B,D$4,'NSE - NIFTY Index Options'!$H:$H,"MDAW*")+SUMIFS('NSE - Other Index Options'!$L:$L,'NSE - Other Index Options'!$C:$C,$A83,'NSE - Other Index Options'!$B:$B,D$4,'NSE - Other Index Options'!$H:$H,"Weekly*")+SUMIFS('NSE - Other Index Options'!$L:$L,'NSE - Other Index Options'!$C:$C,$A83,'NSE - Other Index Options'!$B:$B,D$4,'NSE - Other Index Options'!$H:$H,"MDAW*")=0,"",SUMIFS('NSE - NIFTY Index Options'!$L:$L,'NSE - NIFTY Index Options'!$C:$C,$A83,'NSE - NIFTY Index Options'!$B:$B,D$4,'NSE - NIFTY Index Options'!$H:$H,"Weekly*")+SUMIFS('NSE - NIFTY Index Options'!$L:$L,'NSE - NIFTY Index Options'!$C:$C,$A83,'NSE - NIFTY Index Options'!$B:$B,D$4,'NSE - NIFTY Index Options'!$H:$H,"MDAW*")+SUMIFS('NSE - Other Index Options'!$L:$L,'NSE - Other Index Options'!$C:$C,$A83,'NSE - Other Index Options'!$B:$B,D$4,'NSE - Other Index Options'!$H:$H,"Weekly*")+SUMIFS('NSE - Other Index Options'!$L:$L,'NSE - Other Index Options'!$C:$C,$A83,'NSE - Other Index Options'!$B:$B,D$4,'NSE - Other Index Options'!$H:$H,"MDAW*"))</f>
        <v/>
      </c>
      <c r="E83" s="26" t="str">
        <f>IF(SUMIFS('NSE - NIFTY Index Options'!$L:$L,'NSE - NIFTY Index Options'!$C:$C,$A83,'NSE - NIFTY Index Options'!$B:$B,E$4,'NSE - NIFTY Index Options'!$H:$H,"Weekly*")+SUMIFS('NSE - NIFTY Index Options'!$L:$L,'NSE - NIFTY Index Options'!$C:$C,$A83,'NSE - NIFTY Index Options'!$B:$B,E$4,'NSE - NIFTY Index Options'!$H:$H,"MDAW*")+SUMIFS('NSE - Other Index Options'!$L:$L,'NSE - Other Index Options'!$C:$C,$A83,'NSE - Other Index Options'!$B:$B,E$4,'NSE - Other Index Options'!$H:$H,"Weekly*")+SUMIFS('NSE - Other Index Options'!$L:$L,'NSE - Other Index Options'!$C:$C,$A83,'NSE - Other Index Options'!$B:$B,E$4,'NSE - Other Index Options'!$H:$H,"MDAW*")=0,"",SUMIFS('NSE - NIFTY Index Options'!$L:$L,'NSE - NIFTY Index Options'!$C:$C,$A83,'NSE - NIFTY Index Options'!$B:$B,E$4,'NSE - NIFTY Index Options'!$H:$H,"Weekly*")+SUMIFS('NSE - NIFTY Index Options'!$L:$L,'NSE - NIFTY Index Options'!$C:$C,$A83,'NSE - NIFTY Index Options'!$B:$B,E$4,'NSE - NIFTY Index Options'!$H:$H,"MDAW*")+SUMIFS('NSE - Other Index Options'!$L:$L,'NSE - Other Index Options'!$C:$C,$A83,'NSE - Other Index Options'!$B:$B,E$4,'NSE - Other Index Options'!$H:$H,"Weekly*")+SUMIFS('NSE - Other Index Options'!$L:$L,'NSE - Other Index Options'!$C:$C,$A83,'NSE - Other Index Options'!$B:$B,E$4,'NSE - Other Index Options'!$H:$H,"MDAW*"))</f>
        <v/>
      </c>
      <c r="F83" s="26" t="str">
        <f>IF(SUMIFS('NSE - NIFTY Index Options'!$L:$L,'NSE - NIFTY Index Options'!$C:$C,$A83,'NSE - NIFTY Index Options'!$B:$B,F$4,'NSE - NIFTY Index Options'!$H:$H,"Weekly*")+SUMIFS('NSE - NIFTY Index Options'!$L:$L,'NSE - NIFTY Index Options'!$C:$C,$A83,'NSE - NIFTY Index Options'!$B:$B,F$4,'NSE - NIFTY Index Options'!$H:$H,"MDAW*")+SUMIFS('NSE - Other Index Options'!$L:$L,'NSE - Other Index Options'!$C:$C,$A83,'NSE - Other Index Options'!$B:$B,F$4,'NSE - Other Index Options'!$H:$H,"Weekly*")+SUMIFS('NSE - Other Index Options'!$L:$L,'NSE - Other Index Options'!$C:$C,$A83,'NSE - Other Index Options'!$B:$B,F$4,'NSE - Other Index Options'!$H:$H,"MDAW*")=0,"",SUMIFS('NSE - NIFTY Index Options'!$L:$L,'NSE - NIFTY Index Options'!$C:$C,$A83,'NSE - NIFTY Index Options'!$B:$B,F$4,'NSE - NIFTY Index Options'!$H:$H,"Weekly*")+SUMIFS('NSE - NIFTY Index Options'!$L:$L,'NSE - NIFTY Index Options'!$C:$C,$A83,'NSE - NIFTY Index Options'!$B:$B,F$4,'NSE - NIFTY Index Options'!$H:$H,"MDAW*")+SUMIFS('NSE - Other Index Options'!$L:$L,'NSE - Other Index Options'!$C:$C,$A83,'NSE - Other Index Options'!$B:$B,F$4,'NSE - Other Index Options'!$H:$H,"Weekly*")+SUMIFS('NSE - Other Index Options'!$L:$L,'NSE - Other Index Options'!$C:$C,$A83,'NSE - Other Index Options'!$B:$B,F$4,'NSE - Other Index Options'!$H:$H,"MDAW*"))</f>
        <v/>
      </c>
      <c r="G83" s="26" t="str">
        <f>IF(SUMIFS('NSE - NIFTY Index Options'!$L:$L,'NSE - NIFTY Index Options'!$C:$C,$A83,'NSE - NIFTY Index Options'!$B:$B,G$4,'NSE - NIFTY Index Options'!$H:$H,"Weekly*")+SUMIFS('NSE - NIFTY Index Options'!$L:$L,'NSE - NIFTY Index Options'!$C:$C,$A83,'NSE - NIFTY Index Options'!$B:$B,G$4,'NSE - NIFTY Index Options'!$H:$H,"MDAW*")+SUMIFS('NSE - Other Index Options'!$L:$L,'NSE - Other Index Options'!$C:$C,$A83,'NSE - Other Index Options'!$B:$B,G$4,'NSE - Other Index Options'!$H:$H,"Weekly*")+SUMIFS('NSE - Other Index Options'!$L:$L,'NSE - Other Index Options'!$C:$C,$A83,'NSE - Other Index Options'!$B:$B,G$4,'NSE - Other Index Options'!$H:$H,"MDAW*")=0,"",SUMIFS('NSE - NIFTY Index Options'!$L:$L,'NSE - NIFTY Index Options'!$C:$C,$A83,'NSE - NIFTY Index Options'!$B:$B,G$4,'NSE - NIFTY Index Options'!$H:$H,"Weekly*")+SUMIFS('NSE - NIFTY Index Options'!$L:$L,'NSE - NIFTY Index Options'!$C:$C,$A83,'NSE - NIFTY Index Options'!$B:$B,G$4,'NSE - NIFTY Index Options'!$H:$H,"MDAW*")+SUMIFS('NSE - Other Index Options'!$L:$L,'NSE - Other Index Options'!$C:$C,$A83,'NSE - Other Index Options'!$B:$B,G$4,'NSE - Other Index Options'!$H:$H,"Weekly*")+SUMIFS('NSE - Other Index Options'!$L:$L,'NSE - Other Index Options'!$C:$C,$A83,'NSE - Other Index Options'!$B:$B,G$4,'NSE - Other Index Options'!$H:$H,"MDAW*"))</f>
        <v/>
      </c>
      <c r="H83" s="26" t="str">
        <f t="shared" si="2"/>
        <v/>
      </c>
    </row>
    <row r="84" spans="1:8" hidden="1" outlineLevel="1">
      <c r="A84" t="s">
        <v>89</v>
      </c>
      <c r="B84" s="26" t="str">
        <f>IF(SUMIFS('NSE - NIFTY Index Options'!$L:$L,'NSE - NIFTY Index Options'!$C:$C,$A84,'NSE - NIFTY Index Options'!$B:$B,B$4,'NSE - NIFTY Index Options'!$H:$H,"Weekly*")+SUMIFS('NSE - NIFTY Index Options'!$L:$L,'NSE - NIFTY Index Options'!$C:$C,$A84,'NSE - NIFTY Index Options'!$B:$B,B$4,'NSE - NIFTY Index Options'!$H:$H,"MDAW*")+SUMIFS('NSE - Other Index Options'!$L:$L,'NSE - Other Index Options'!$C:$C,$A84,'NSE - Other Index Options'!$B:$B,B$4,'NSE - Other Index Options'!$H:$H,"Weekly*")+SUMIFS('NSE - Other Index Options'!$L:$L,'NSE - Other Index Options'!$C:$C,$A84,'NSE - Other Index Options'!$B:$B,B$4,'NSE - Other Index Options'!$H:$H,"MDAW*")=0,"",SUMIFS('NSE - NIFTY Index Options'!$L:$L,'NSE - NIFTY Index Options'!$C:$C,$A84,'NSE - NIFTY Index Options'!$B:$B,B$4,'NSE - NIFTY Index Options'!$H:$H,"Weekly*")+SUMIFS('NSE - NIFTY Index Options'!$L:$L,'NSE - NIFTY Index Options'!$C:$C,$A84,'NSE - NIFTY Index Options'!$B:$B,B$4,'NSE - NIFTY Index Options'!$H:$H,"MDAW*")+SUMIFS('NSE - Other Index Options'!$L:$L,'NSE - Other Index Options'!$C:$C,$A84,'NSE - Other Index Options'!$B:$B,B$4,'NSE - Other Index Options'!$H:$H,"Weekly*")+SUMIFS('NSE - Other Index Options'!$L:$L,'NSE - Other Index Options'!$C:$C,$A84,'NSE - Other Index Options'!$B:$B,B$4,'NSE - Other Index Options'!$H:$H,"MDAW*"))</f>
        <v/>
      </c>
      <c r="C84" s="26" t="str">
        <f>IF(SUMIFS('NSE - NIFTY Index Options'!$L:$L,'NSE - NIFTY Index Options'!$C:$C,$A84,'NSE - NIFTY Index Options'!$B:$B,C$4,'NSE - NIFTY Index Options'!$H:$H,"Weekly*")+SUMIFS('NSE - NIFTY Index Options'!$L:$L,'NSE - NIFTY Index Options'!$C:$C,$A84,'NSE - NIFTY Index Options'!$B:$B,C$4,'NSE - NIFTY Index Options'!$H:$H,"MDAW*")+SUMIFS('NSE - Other Index Options'!$L:$L,'NSE - Other Index Options'!$C:$C,$A84,'NSE - Other Index Options'!$B:$B,C$4,'NSE - Other Index Options'!$H:$H,"Weekly*")+SUMIFS('NSE - Other Index Options'!$L:$L,'NSE - Other Index Options'!$C:$C,$A84,'NSE - Other Index Options'!$B:$B,C$4,'NSE - Other Index Options'!$H:$H,"MDAW*")=0,"",SUMIFS('NSE - NIFTY Index Options'!$L:$L,'NSE - NIFTY Index Options'!$C:$C,$A84,'NSE - NIFTY Index Options'!$B:$B,C$4,'NSE - NIFTY Index Options'!$H:$H,"Weekly*")+SUMIFS('NSE - NIFTY Index Options'!$L:$L,'NSE - NIFTY Index Options'!$C:$C,$A84,'NSE - NIFTY Index Options'!$B:$B,C$4,'NSE - NIFTY Index Options'!$H:$H,"MDAW*")+SUMIFS('NSE - Other Index Options'!$L:$L,'NSE - Other Index Options'!$C:$C,$A84,'NSE - Other Index Options'!$B:$B,C$4,'NSE - Other Index Options'!$H:$H,"Weekly*")+SUMIFS('NSE - Other Index Options'!$L:$L,'NSE - Other Index Options'!$C:$C,$A84,'NSE - Other Index Options'!$B:$B,C$4,'NSE - Other Index Options'!$H:$H,"MDAW*"))</f>
        <v/>
      </c>
      <c r="D84" s="26" t="str">
        <f>IF(SUMIFS('NSE - NIFTY Index Options'!$L:$L,'NSE - NIFTY Index Options'!$C:$C,$A84,'NSE - NIFTY Index Options'!$B:$B,D$4,'NSE - NIFTY Index Options'!$H:$H,"Weekly*")+SUMIFS('NSE - NIFTY Index Options'!$L:$L,'NSE - NIFTY Index Options'!$C:$C,$A84,'NSE - NIFTY Index Options'!$B:$B,D$4,'NSE - NIFTY Index Options'!$H:$H,"MDAW*")+SUMIFS('NSE - Other Index Options'!$L:$L,'NSE - Other Index Options'!$C:$C,$A84,'NSE - Other Index Options'!$B:$B,D$4,'NSE - Other Index Options'!$H:$H,"Weekly*")+SUMIFS('NSE - Other Index Options'!$L:$L,'NSE - Other Index Options'!$C:$C,$A84,'NSE - Other Index Options'!$B:$B,D$4,'NSE - Other Index Options'!$H:$H,"MDAW*")=0,"",SUMIFS('NSE - NIFTY Index Options'!$L:$L,'NSE - NIFTY Index Options'!$C:$C,$A84,'NSE - NIFTY Index Options'!$B:$B,D$4,'NSE - NIFTY Index Options'!$H:$H,"Weekly*")+SUMIFS('NSE - NIFTY Index Options'!$L:$L,'NSE - NIFTY Index Options'!$C:$C,$A84,'NSE - NIFTY Index Options'!$B:$B,D$4,'NSE - NIFTY Index Options'!$H:$H,"MDAW*")+SUMIFS('NSE - Other Index Options'!$L:$L,'NSE - Other Index Options'!$C:$C,$A84,'NSE - Other Index Options'!$B:$B,D$4,'NSE - Other Index Options'!$H:$H,"Weekly*")+SUMIFS('NSE - Other Index Options'!$L:$L,'NSE - Other Index Options'!$C:$C,$A84,'NSE - Other Index Options'!$B:$B,D$4,'NSE - Other Index Options'!$H:$H,"MDAW*"))</f>
        <v/>
      </c>
      <c r="E84" s="26" t="str">
        <f>IF(SUMIFS('NSE - NIFTY Index Options'!$L:$L,'NSE - NIFTY Index Options'!$C:$C,$A84,'NSE - NIFTY Index Options'!$B:$B,E$4,'NSE - NIFTY Index Options'!$H:$H,"Weekly*")+SUMIFS('NSE - NIFTY Index Options'!$L:$L,'NSE - NIFTY Index Options'!$C:$C,$A84,'NSE - NIFTY Index Options'!$B:$B,E$4,'NSE - NIFTY Index Options'!$H:$H,"MDAW*")+SUMIFS('NSE - Other Index Options'!$L:$L,'NSE - Other Index Options'!$C:$C,$A84,'NSE - Other Index Options'!$B:$B,E$4,'NSE - Other Index Options'!$H:$H,"Weekly*")+SUMIFS('NSE - Other Index Options'!$L:$L,'NSE - Other Index Options'!$C:$C,$A84,'NSE - Other Index Options'!$B:$B,E$4,'NSE - Other Index Options'!$H:$H,"MDAW*")=0,"",SUMIFS('NSE - NIFTY Index Options'!$L:$L,'NSE - NIFTY Index Options'!$C:$C,$A84,'NSE - NIFTY Index Options'!$B:$B,E$4,'NSE - NIFTY Index Options'!$H:$H,"Weekly*")+SUMIFS('NSE - NIFTY Index Options'!$L:$L,'NSE - NIFTY Index Options'!$C:$C,$A84,'NSE - NIFTY Index Options'!$B:$B,E$4,'NSE - NIFTY Index Options'!$H:$H,"MDAW*")+SUMIFS('NSE - Other Index Options'!$L:$L,'NSE - Other Index Options'!$C:$C,$A84,'NSE - Other Index Options'!$B:$B,E$4,'NSE - Other Index Options'!$H:$H,"Weekly*")+SUMIFS('NSE - Other Index Options'!$L:$L,'NSE - Other Index Options'!$C:$C,$A84,'NSE - Other Index Options'!$B:$B,E$4,'NSE - Other Index Options'!$H:$H,"MDAW*"))</f>
        <v/>
      </c>
      <c r="F84" s="26" t="str">
        <f>IF(SUMIFS('NSE - NIFTY Index Options'!$L:$L,'NSE - NIFTY Index Options'!$C:$C,$A84,'NSE - NIFTY Index Options'!$B:$B,F$4,'NSE - NIFTY Index Options'!$H:$H,"Weekly*")+SUMIFS('NSE - NIFTY Index Options'!$L:$L,'NSE - NIFTY Index Options'!$C:$C,$A84,'NSE - NIFTY Index Options'!$B:$B,F$4,'NSE - NIFTY Index Options'!$H:$H,"MDAW*")+SUMIFS('NSE - Other Index Options'!$L:$L,'NSE - Other Index Options'!$C:$C,$A84,'NSE - Other Index Options'!$B:$B,F$4,'NSE - Other Index Options'!$H:$H,"Weekly*")+SUMIFS('NSE - Other Index Options'!$L:$L,'NSE - Other Index Options'!$C:$C,$A84,'NSE - Other Index Options'!$B:$B,F$4,'NSE - Other Index Options'!$H:$H,"MDAW*")=0,"",SUMIFS('NSE - NIFTY Index Options'!$L:$L,'NSE - NIFTY Index Options'!$C:$C,$A84,'NSE - NIFTY Index Options'!$B:$B,F$4,'NSE - NIFTY Index Options'!$H:$H,"Weekly*")+SUMIFS('NSE - NIFTY Index Options'!$L:$L,'NSE - NIFTY Index Options'!$C:$C,$A84,'NSE - NIFTY Index Options'!$B:$B,F$4,'NSE - NIFTY Index Options'!$H:$H,"MDAW*")+SUMIFS('NSE - Other Index Options'!$L:$L,'NSE - Other Index Options'!$C:$C,$A84,'NSE - Other Index Options'!$B:$B,F$4,'NSE - Other Index Options'!$H:$H,"Weekly*")+SUMIFS('NSE - Other Index Options'!$L:$L,'NSE - Other Index Options'!$C:$C,$A84,'NSE - Other Index Options'!$B:$B,F$4,'NSE - Other Index Options'!$H:$H,"MDAW*"))</f>
        <v/>
      </c>
      <c r="G84" s="26" t="str">
        <f>IF(SUMIFS('NSE - NIFTY Index Options'!$L:$L,'NSE - NIFTY Index Options'!$C:$C,$A84,'NSE - NIFTY Index Options'!$B:$B,G$4,'NSE - NIFTY Index Options'!$H:$H,"Weekly*")+SUMIFS('NSE - NIFTY Index Options'!$L:$L,'NSE - NIFTY Index Options'!$C:$C,$A84,'NSE - NIFTY Index Options'!$B:$B,G$4,'NSE - NIFTY Index Options'!$H:$H,"MDAW*")+SUMIFS('NSE - Other Index Options'!$L:$L,'NSE - Other Index Options'!$C:$C,$A84,'NSE - Other Index Options'!$B:$B,G$4,'NSE - Other Index Options'!$H:$H,"Weekly*")+SUMIFS('NSE - Other Index Options'!$L:$L,'NSE - Other Index Options'!$C:$C,$A84,'NSE - Other Index Options'!$B:$B,G$4,'NSE - Other Index Options'!$H:$H,"MDAW*")=0,"",SUMIFS('NSE - NIFTY Index Options'!$L:$L,'NSE - NIFTY Index Options'!$C:$C,$A84,'NSE - NIFTY Index Options'!$B:$B,G$4,'NSE - NIFTY Index Options'!$H:$H,"Weekly*")+SUMIFS('NSE - NIFTY Index Options'!$L:$L,'NSE - NIFTY Index Options'!$C:$C,$A84,'NSE - NIFTY Index Options'!$B:$B,G$4,'NSE - NIFTY Index Options'!$H:$H,"MDAW*")+SUMIFS('NSE - Other Index Options'!$L:$L,'NSE - Other Index Options'!$C:$C,$A84,'NSE - Other Index Options'!$B:$B,G$4,'NSE - Other Index Options'!$H:$H,"Weekly*")+SUMIFS('NSE - Other Index Options'!$L:$L,'NSE - Other Index Options'!$C:$C,$A84,'NSE - Other Index Options'!$B:$B,G$4,'NSE - Other Index Options'!$H:$H,"MDAW*"))</f>
        <v/>
      </c>
      <c r="H84" s="26" t="str">
        <f t="shared" si="2"/>
        <v/>
      </c>
    </row>
    <row r="85" spans="1:8" hidden="1" outlineLevel="1">
      <c r="A85" t="s">
        <v>90</v>
      </c>
      <c r="B85" s="26" t="str">
        <f>IF(SUMIFS('NSE - NIFTY Index Options'!$L:$L,'NSE - NIFTY Index Options'!$C:$C,$A85,'NSE - NIFTY Index Options'!$B:$B,B$4,'NSE - NIFTY Index Options'!$H:$H,"Weekly*")+SUMIFS('NSE - NIFTY Index Options'!$L:$L,'NSE - NIFTY Index Options'!$C:$C,$A85,'NSE - NIFTY Index Options'!$B:$B,B$4,'NSE - NIFTY Index Options'!$H:$H,"MDAW*")+SUMIFS('NSE - Other Index Options'!$L:$L,'NSE - Other Index Options'!$C:$C,$A85,'NSE - Other Index Options'!$B:$B,B$4,'NSE - Other Index Options'!$H:$H,"Weekly*")+SUMIFS('NSE - Other Index Options'!$L:$L,'NSE - Other Index Options'!$C:$C,$A85,'NSE - Other Index Options'!$B:$B,B$4,'NSE - Other Index Options'!$H:$H,"MDAW*")=0,"",SUMIFS('NSE - NIFTY Index Options'!$L:$L,'NSE - NIFTY Index Options'!$C:$C,$A85,'NSE - NIFTY Index Options'!$B:$B,B$4,'NSE - NIFTY Index Options'!$H:$H,"Weekly*")+SUMIFS('NSE - NIFTY Index Options'!$L:$L,'NSE - NIFTY Index Options'!$C:$C,$A85,'NSE - NIFTY Index Options'!$B:$B,B$4,'NSE - NIFTY Index Options'!$H:$H,"MDAW*")+SUMIFS('NSE - Other Index Options'!$L:$L,'NSE - Other Index Options'!$C:$C,$A85,'NSE - Other Index Options'!$B:$B,B$4,'NSE - Other Index Options'!$H:$H,"Weekly*")+SUMIFS('NSE - Other Index Options'!$L:$L,'NSE - Other Index Options'!$C:$C,$A85,'NSE - Other Index Options'!$B:$B,B$4,'NSE - Other Index Options'!$H:$H,"MDAW*"))</f>
        <v/>
      </c>
      <c r="C85" s="26" t="str">
        <f>IF(SUMIFS('NSE - NIFTY Index Options'!$L:$L,'NSE - NIFTY Index Options'!$C:$C,$A85,'NSE - NIFTY Index Options'!$B:$B,C$4,'NSE - NIFTY Index Options'!$H:$H,"Weekly*")+SUMIFS('NSE - NIFTY Index Options'!$L:$L,'NSE - NIFTY Index Options'!$C:$C,$A85,'NSE - NIFTY Index Options'!$B:$B,C$4,'NSE - NIFTY Index Options'!$H:$H,"MDAW*")+SUMIFS('NSE - Other Index Options'!$L:$L,'NSE - Other Index Options'!$C:$C,$A85,'NSE - Other Index Options'!$B:$B,C$4,'NSE - Other Index Options'!$H:$H,"Weekly*")+SUMIFS('NSE - Other Index Options'!$L:$L,'NSE - Other Index Options'!$C:$C,$A85,'NSE - Other Index Options'!$B:$B,C$4,'NSE - Other Index Options'!$H:$H,"MDAW*")=0,"",SUMIFS('NSE - NIFTY Index Options'!$L:$L,'NSE - NIFTY Index Options'!$C:$C,$A85,'NSE - NIFTY Index Options'!$B:$B,C$4,'NSE - NIFTY Index Options'!$H:$H,"Weekly*")+SUMIFS('NSE - NIFTY Index Options'!$L:$L,'NSE - NIFTY Index Options'!$C:$C,$A85,'NSE - NIFTY Index Options'!$B:$B,C$4,'NSE - NIFTY Index Options'!$H:$H,"MDAW*")+SUMIFS('NSE - Other Index Options'!$L:$L,'NSE - Other Index Options'!$C:$C,$A85,'NSE - Other Index Options'!$B:$B,C$4,'NSE - Other Index Options'!$H:$H,"Weekly*")+SUMIFS('NSE - Other Index Options'!$L:$L,'NSE - Other Index Options'!$C:$C,$A85,'NSE - Other Index Options'!$B:$B,C$4,'NSE - Other Index Options'!$H:$H,"MDAW*"))</f>
        <v/>
      </c>
      <c r="D85" s="26" t="str">
        <f>IF(SUMIFS('NSE - NIFTY Index Options'!$L:$L,'NSE - NIFTY Index Options'!$C:$C,$A85,'NSE - NIFTY Index Options'!$B:$B,D$4,'NSE - NIFTY Index Options'!$H:$H,"Weekly*")+SUMIFS('NSE - NIFTY Index Options'!$L:$L,'NSE - NIFTY Index Options'!$C:$C,$A85,'NSE - NIFTY Index Options'!$B:$B,D$4,'NSE - NIFTY Index Options'!$H:$H,"MDAW*")+SUMIFS('NSE - Other Index Options'!$L:$L,'NSE - Other Index Options'!$C:$C,$A85,'NSE - Other Index Options'!$B:$B,D$4,'NSE - Other Index Options'!$H:$H,"Weekly*")+SUMIFS('NSE - Other Index Options'!$L:$L,'NSE - Other Index Options'!$C:$C,$A85,'NSE - Other Index Options'!$B:$B,D$4,'NSE - Other Index Options'!$H:$H,"MDAW*")=0,"",SUMIFS('NSE - NIFTY Index Options'!$L:$L,'NSE - NIFTY Index Options'!$C:$C,$A85,'NSE - NIFTY Index Options'!$B:$B,D$4,'NSE - NIFTY Index Options'!$H:$H,"Weekly*")+SUMIFS('NSE - NIFTY Index Options'!$L:$L,'NSE - NIFTY Index Options'!$C:$C,$A85,'NSE - NIFTY Index Options'!$B:$B,D$4,'NSE - NIFTY Index Options'!$H:$H,"MDAW*")+SUMIFS('NSE - Other Index Options'!$L:$L,'NSE - Other Index Options'!$C:$C,$A85,'NSE - Other Index Options'!$B:$B,D$4,'NSE - Other Index Options'!$H:$H,"Weekly*")+SUMIFS('NSE - Other Index Options'!$L:$L,'NSE - Other Index Options'!$C:$C,$A85,'NSE - Other Index Options'!$B:$B,D$4,'NSE - Other Index Options'!$H:$H,"MDAW*"))</f>
        <v/>
      </c>
      <c r="E85" s="26" t="str">
        <f>IF(SUMIFS('NSE - NIFTY Index Options'!$L:$L,'NSE - NIFTY Index Options'!$C:$C,$A85,'NSE - NIFTY Index Options'!$B:$B,E$4,'NSE - NIFTY Index Options'!$H:$H,"Weekly*")+SUMIFS('NSE - NIFTY Index Options'!$L:$L,'NSE - NIFTY Index Options'!$C:$C,$A85,'NSE - NIFTY Index Options'!$B:$B,E$4,'NSE - NIFTY Index Options'!$H:$H,"MDAW*")+SUMIFS('NSE - Other Index Options'!$L:$L,'NSE - Other Index Options'!$C:$C,$A85,'NSE - Other Index Options'!$B:$B,E$4,'NSE - Other Index Options'!$H:$H,"Weekly*")+SUMIFS('NSE - Other Index Options'!$L:$L,'NSE - Other Index Options'!$C:$C,$A85,'NSE - Other Index Options'!$B:$B,E$4,'NSE - Other Index Options'!$H:$H,"MDAW*")=0,"",SUMIFS('NSE - NIFTY Index Options'!$L:$L,'NSE - NIFTY Index Options'!$C:$C,$A85,'NSE - NIFTY Index Options'!$B:$B,E$4,'NSE - NIFTY Index Options'!$H:$H,"Weekly*")+SUMIFS('NSE - NIFTY Index Options'!$L:$L,'NSE - NIFTY Index Options'!$C:$C,$A85,'NSE - NIFTY Index Options'!$B:$B,E$4,'NSE - NIFTY Index Options'!$H:$H,"MDAW*")+SUMIFS('NSE - Other Index Options'!$L:$L,'NSE - Other Index Options'!$C:$C,$A85,'NSE - Other Index Options'!$B:$B,E$4,'NSE - Other Index Options'!$H:$H,"Weekly*")+SUMIFS('NSE - Other Index Options'!$L:$L,'NSE - Other Index Options'!$C:$C,$A85,'NSE - Other Index Options'!$B:$B,E$4,'NSE - Other Index Options'!$H:$H,"MDAW*"))</f>
        <v/>
      </c>
      <c r="F85" s="26" t="str">
        <f>IF(SUMIFS('NSE - NIFTY Index Options'!$L:$L,'NSE - NIFTY Index Options'!$C:$C,$A85,'NSE - NIFTY Index Options'!$B:$B,F$4,'NSE - NIFTY Index Options'!$H:$H,"Weekly*")+SUMIFS('NSE - NIFTY Index Options'!$L:$L,'NSE - NIFTY Index Options'!$C:$C,$A85,'NSE - NIFTY Index Options'!$B:$B,F$4,'NSE - NIFTY Index Options'!$H:$H,"MDAW*")+SUMIFS('NSE - Other Index Options'!$L:$L,'NSE - Other Index Options'!$C:$C,$A85,'NSE - Other Index Options'!$B:$B,F$4,'NSE - Other Index Options'!$H:$H,"Weekly*")+SUMIFS('NSE - Other Index Options'!$L:$L,'NSE - Other Index Options'!$C:$C,$A85,'NSE - Other Index Options'!$B:$B,F$4,'NSE - Other Index Options'!$H:$H,"MDAW*")=0,"",SUMIFS('NSE - NIFTY Index Options'!$L:$L,'NSE - NIFTY Index Options'!$C:$C,$A85,'NSE - NIFTY Index Options'!$B:$B,F$4,'NSE - NIFTY Index Options'!$H:$H,"Weekly*")+SUMIFS('NSE - NIFTY Index Options'!$L:$L,'NSE - NIFTY Index Options'!$C:$C,$A85,'NSE - NIFTY Index Options'!$B:$B,F$4,'NSE - NIFTY Index Options'!$H:$H,"MDAW*")+SUMIFS('NSE - Other Index Options'!$L:$L,'NSE - Other Index Options'!$C:$C,$A85,'NSE - Other Index Options'!$B:$B,F$4,'NSE - Other Index Options'!$H:$H,"Weekly*")+SUMIFS('NSE - Other Index Options'!$L:$L,'NSE - Other Index Options'!$C:$C,$A85,'NSE - Other Index Options'!$B:$B,F$4,'NSE - Other Index Options'!$H:$H,"MDAW*"))</f>
        <v/>
      </c>
      <c r="G85" s="26" t="str">
        <f>IF(SUMIFS('NSE - NIFTY Index Options'!$L:$L,'NSE - NIFTY Index Options'!$C:$C,$A85,'NSE - NIFTY Index Options'!$B:$B,G$4,'NSE - NIFTY Index Options'!$H:$H,"Weekly*")+SUMIFS('NSE - NIFTY Index Options'!$L:$L,'NSE - NIFTY Index Options'!$C:$C,$A85,'NSE - NIFTY Index Options'!$B:$B,G$4,'NSE - NIFTY Index Options'!$H:$H,"MDAW*")+SUMIFS('NSE - Other Index Options'!$L:$L,'NSE - Other Index Options'!$C:$C,$A85,'NSE - Other Index Options'!$B:$B,G$4,'NSE - Other Index Options'!$H:$H,"Weekly*")+SUMIFS('NSE - Other Index Options'!$L:$L,'NSE - Other Index Options'!$C:$C,$A85,'NSE - Other Index Options'!$B:$B,G$4,'NSE - Other Index Options'!$H:$H,"MDAW*")=0,"",SUMIFS('NSE - NIFTY Index Options'!$L:$L,'NSE - NIFTY Index Options'!$C:$C,$A85,'NSE - NIFTY Index Options'!$B:$B,G$4,'NSE - NIFTY Index Options'!$H:$H,"Weekly*")+SUMIFS('NSE - NIFTY Index Options'!$L:$L,'NSE - NIFTY Index Options'!$C:$C,$A85,'NSE - NIFTY Index Options'!$B:$B,G$4,'NSE - NIFTY Index Options'!$H:$H,"MDAW*")+SUMIFS('NSE - Other Index Options'!$L:$L,'NSE - Other Index Options'!$C:$C,$A85,'NSE - Other Index Options'!$B:$B,G$4,'NSE - Other Index Options'!$H:$H,"Weekly*")+SUMIFS('NSE - Other Index Options'!$L:$L,'NSE - Other Index Options'!$C:$C,$A85,'NSE - Other Index Options'!$B:$B,G$4,'NSE - Other Index Options'!$H:$H,"MDAW*"))</f>
        <v/>
      </c>
      <c r="H85" s="26" t="str">
        <f t="shared" si="2"/>
        <v/>
      </c>
    </row>
    <row r="86" spans="1:8" hidden="1" outlineLevel="1">
      <c r="A86" t="s">
        <v>91</v>
      </c>
      <c r="B86" s="26" t="str">
        <f>IF(SUMIFS('NSE - NIFTY Index Options'!$L:$L,'NSE - NIFTY Index Options'!$C:$C,$A86,'NSE - NIFTY Index Options'!$B:$B,B$4,'NSE - NIFTY Index Options'!$H:$H,"Weekly*")+SUMIFS('NSE - NIFTY Index Options'!$L:$L,'NSE - NIFTY Index Options'!$C:$C,$A86,'NSE - NIFTY Index Options'!$B:$B,B$4,'NSE - NIFTY Index Options'!$H:$H,"MDAW*")+SUMIFS('NSE - Other Index Options'!$L:$L,'NSE - Other Index Options'!$C:$C,$A86,'NSE - Other Index Options'!$B:$B,B$4,'NSE - Other Index Options'!$H:$H,"Weekly*")+SUMIFS('NSE - Other Index Options'!$L:$L,'NSE - Other Index Options'!$C:$C,$A86,'NSE - Other Index Options'!$B:$B,B$4,'NSE - Other Index Options'!$H:$H,"MDAW*")=0,"",SUMIFS('NSE - NIFTY Index Options'!$L:$L,'NSE - NIFTY Index Options'!$C:$C,$A86,'NSE - NIFTY Index Options'!$B:$B,B$4,'NSE - NIFTY Index Options'!$H:$H,"Weekly*")+SUMIFS('NSE - NIFTY Index Options'!$L:$L,'NSE - NIFTY Index Options'!$C:$C,$A86,'NSE - NIFTY Index Options'!$B:$B,B$4,'NSE - NIFTY Index Options'!$H:$H,"MDAW*")+SUMIFS('NSE - Other Index Options'!$L:$L,'NSE - Other Index Options'!$C:$C,$A86,'NSE - Other Index Options'!$B:$B,B$4,'NSE - Other Index Options'!$H:$H,"Weekly*")+SUMIFS('NSE - Other Index Options'!$L:$L,'NSE - Other Index Options'!$C:$C,$A86,'NSE - Other Index Options'!$B:$B,B$4,'NSE - Other Index Options'!$H:$H,"MDAW*"))</f>
        <v/>
      </c>
      <c r="C86" s="26" t="str">
        <f>IF(SUMIFS('NSE - NIFTY Index Options'!$L:$L,'NSE - NIFTY Index Options'!$C:$C,$A86,'NSE - NIFTY Index Options'!$B:$B,C$4,'NSE - NIFTY Index Options'!$H:$H,"Weekly*")+SUMIFS('NSE - NIFTY Index Options'!$L:$L,'NSE - NIFTY Index Options'!$C:$C,$A86,'NSE - NIFTY Index Options'!$B:$B,C$4,'NSE - NIFTY Index Options'!$H:$H,"MDAW*")+SUMIFS('NSE - Other Index Options'!$L:$L,'NSE - Other Index Options'!$C:$C,$A86,'NSE - Other Index Options'!$B:$B,C$4,'NSE - Other Index Options'!$H:$H,"Weekly*")+SUMIFS('NSE - Other Index Options'!$L:$L,'NSE - Other Index Options'!$C:$C,$A86,'NSE - Other Index Options'!$B:$B,C$4,'NSE - Other Index Options'!$H:$H,"MDAW*")=0,"",SUMIFS('NSE - NIFTY Index Options'!$L:$L,'NSE - NIFTY Index Options'!$C:$C,$A86,'NSE - NIFTY Index Options'!$B:$B,C$4,'NSE - NIFTY Index Options'!$H:$H,"Weekly*")+SUMIFS('NSE - NIFTY Index Options'!$L:$L,'NSE - NIFTY Index Options'!$C:$C,$A86,'NSE - NIFTY Index Options'!$B:$B,C$4,'NSE - NIFTY Index Options'!$H:$H,"MDAW*")+SUMIFS('NSE - Other Index Options'!$L:$L,'NSE - Other Index Options'!$C:$C,$A86,'NSE - Other Index Options'!$B:$B,C$4,'NSE - Other Index Options'!$H:$H,"Weekly*")+SUMIFS('NSE - Other Index Options'!$L:$L,'NSE - Other Index Options'!$C:$C,$A86,'NSE - Other Index Options'!$B:$B,C$4,'NSE - Other Index Options'!$H:$H,"MDAW*"))</f>
        <v/>
      </c>
      <c r="D86" s="26" t="str">
        <f>IF(SUMIFS('NSE - NIFTY Index Options'!$L:$L,'NSE - NIFTY Index Options'!$C:$C,$A86,'NSE - NIFTY Index Options'!$B:$B,D$4,'NSE - NIFTY Index Options'!$H:$H,"Weekly*")+SUMIFS('NSE - NIFTY Index Options'!$L:$L,'NSE - NIFTY Index Options'!$C:$C,$A86,'NSE - NIFTY Index Options'!$B:$B,D$4,'NSE - NIFTY Index Options'!$H:$H,"MDAW*")+SUMIFS('NSE - Other Index Options'!$L:$L,'NSE - Other Index Options'!$C:$C,$A86,'NSE - Other Index Options'!$B:$B,D$4,'NSE - Other Index Options'!$H:$H,"Weekly*")+SUMIFS('NSE - Other Index Options'!$L:$L,'NSE - Other Index Options'!$C:$C,$A86,'NSE - Other Index Options'!$B:$B,D$4,'NSE - Other Index Options'!$H:$H,"MDAW*")=0,"",SUMIFS('NSE - NIFTY Index Options'!$L:$L,'NSE - NIFTY Index Options'!$C:$C,$A86,'NSE - NIFTY Index Options'!$B:$B,D$4,'NSE - NIFTY Index Options'!$H:$H,"Weekly*")+SUMIFS('NSE - NIFTY Index Options'!$L:$L,'NSE - NIFTY Index Options'!$C:$C,$A86,'NSE - NIFTY Index Options'!$B:$B,D$4,'NSE - NIFTY Index Options'!$H:$H,"MDAW*")+SUMIFS('NSE - Other Index Options'!$L:$L,'NSE - Other Index Options'!$C:$C,$A86,'NSE - Other Index Options'!$B:$B,D$4,'NSE - Other Index Options'!$H:$H,"Weekly*")+SUMIFS('NSE - Other Index Options'!$L:$L,'NSE - Other Index Options'!$C:$C,$A86,'NSE - Other Index Options'!$B:$B,D$4,'NSE - Other Index Options'!$H:$H,"MDAW*"))</f>
        <v/>
      </c>
      <c r="E86" s="26" t="str">
        <f>IF(SUMIFS('NSE - NIFTY Index Options'!$L:$L,'NSE - NIFTY Index Options'!$C:$C,$A86,'NSE - NIFTY Index Options'!$B:$B,E$4,'NSE - NIFTY Index Options'!$H:$H,"Weekly*")+SUMIFS('NSE - NIFTY Index Options'!$L:$L,'NSE - NIFTY Index Options'!$C:$C,$A86,'NSE - NIFTY Index Options'!$B:$B,E$4,'NSE - NIFTY Index Options'!$H:$H,"MDAW*")+SUMIFS('NSE - Other Index Options'!$L:$L,'NSE - Other Index Options'!$C:$C,$A86,'NSE - Other Index Options'!$B:$B,E$4,'NSE - Other Index Options'!$H:$H,"Weekly*")+SUMIFS('NSE - Other Index Options'!$L:$L,'NSE - Other Index Options'!$C:$C,$A86,'NSE - Other Index Options'!$B:$B,E$4,'NSE - Other Index Options'!$H:$H,"MDAW*")=0,"",SUMIFS('NSE - NIFTY Index Options'!$L:$L,'NSE - NIFTY Index Options'!$C:$C,$A86,'NSE - NIFTY Index Options'!$B:$B,E$4,'NSE - NIFTY Index Options'!$H:$H,"Weekly*")+SUMIFS('NSE - NIFTY Index Options'!$L:$L,'NSE - NIFTY Index Options'!$C:$C,$A86,'NSE - NIFTY Index Options'!$B:$B,E$4,'NSE - NIFTY Index Options'!$H:$H,"MDAW*")+SUMIFS('NSE - Other Index Options'!$L:$L,'NSE - Other Index Options'!$C:$C,$A86,'NSE - Other Index Options'!$B:$B,E$4,'NSE - Other Index Options'!$H:$H,"Weekly*")+SUMIFS('NSE - Other Index Options'!$L:$L,'NSE - Other Index Options'!$C:$C,$A86,'NSE - Other Index Options'!$B:$B,E$4,'NSE - Other Index Options'!$H:$H,"MDAW*"))</f>
        <v/>
      </c>
      <c r="F86" s="26" t="str">
        <f>IF(SUMIFS('NSE - NIFTY Index Options'!$L:$L,'NSE - NIFTY Index Options'!$C:$C,$A86,'NSE - NIFTY Index Options'!$B:$B,F$4,'NSE - NIFTY Index Options'!$H:$H,"Weekly*")+SUMIFS('NSE - NIFTY Index Options'!$L:$L,'NSE - NIFTY Index Options'!$C:$C,$A86,'NSE - NIFTY Index Options'!$B:$B,F$4,'NSE - NIFTY Index Options'!$H:$H,"MDAW*")+SUMIFS('NSE - Other Index Options'!$L:$L,'NSE - Other Index Options'!$C:$C,$A86,'NSE - Other Index Options'!$B:$B,F$4,'NSE - Other Index Options'!$H:$H,"Weekly*")+SUMIFS('NSE - Other Index Options'!$L:$L,'NSE - Other Index Options'!$C:$C,$A86,'NSE - Other Index Options'!$B:$B,F$4,'NSE - Other Index Options'!$H:$H,"MDAW*")=0,"",SUMIFS('NSE - NIFTY Index Options'!$L:$L,'NSE - NIFTY Index Options'!$C:$C,$A86,'NSE - NIFTY Index Options'!$B:$B,F$4,'NSE - NIFTY Index Options'!$H:$H,"Weekly*")+SUMIFS('NSE - NIFTY Index Options'!$L:$L,'NSE - NIFTY Index Options'!$C:$C,$A86,'NSE - NIFTY Index Options'!$B:$B,F$4,'NSE - NIFTY Index Options'!$H:$H,"MDAW*")+SUMIFS('NSE - Other Index Options'!$L:$L,'NSE - Other Index Options'!$C:$C,$A86,'NSE - Other Index Options'!$B:$B,F$4,'NSE - Other Index Options'!$H:$H,"Weekly*")+SUMIFS('NSE - Other Index Options'!$L:$L,'NSE - Other Index Options'!$C:$C,$A86,'NSE - Other Index Options'!$B:$B,F$4,'NSE - Other Index Options'!$H:$H,"MDAW*"))</f>
        <v/>
      </c>
      <c r="G86" s="26" t="str">
        <f>IF(SUMIFS('NSE - NIFTY Index Options'!$L:$L,'NSE - NIFTY Index Options'!$C:$C,$A86,'NSE - NIFTY Index Options'!$B:$B,G$4,'NSE - NIFTY Index Options'!$H:$H,"Weekly*")+SUMIFS('NSE - NIFTY Index Options'!$L:$L,'NSE - NIFTY Index Options'!$C:$C,$A86,'NSE - NIFTY Index Options'!$B:$B,G$4,'NSE - NIFTY Index Options'!$H:$H,"MDAW*")+SUMIFS('NSE - Other Index Options'!$L:$L,'NSE - Other Index Options'!$C:$C,$A86,'NSE - Other Index Options'!$B:$B,G$4,'NSE - Other Index Options'!$H:$H,"Weekly*")+SUMIFS('NSE - Other Index Options'!$L:$L,'NSE - Other Index Options'!$C:$C,$A86,'NSE - Other Index Options'!$B:$B,G$4,'NSE - Other Index Options'!$H:$H,"MDAW*")=0,"",SUMIFS('NSE - NIFTY Index Options'!$L:$L,'NSE - NIFTY Index Options'!$C:$C,$A86,'NSE - NIFTY Index Options'!$B:$B,G$4,'NSE - NIFTY Index Options'!$H:$H,"Weekly*")+SUMIFS('NSE - NIFTY Index Options'!$L:$L,'NSE - NIFTY Index Options'!$C:$C,$A86,'NSE - NIFTY Index Options'!$B:$B,G$4,'NSE - NIFTY Index Options'!$H:$H,"MDAW*")+SUMIFS('NSE - Other Index Options'!$L:$L,'NSE - Other Index Options'!$C:$C,$A86,'NSE - Other Index Options'!$B:$B,G$4,'NSE - Other Index Options'!$H:$H,"Weekly*")+SUMIFS('NSE - Other Index Options'!$L:$L,'NSE - Other Index Options'!$C:$C,$A86,'NSE - Other Index Options'!$B:$B,G$4,'NSE - Other Index Options'!$H:$H,"MDAW*"))</f>
        <v/>
      </c>
      <c r="H86" s="26" t="str">
        <f t="shared" si="2"/>
        <v/>
      </c>
    </row>
    <row r="87" spans="1:8" hidden="1" outlineLevel="1">
      <c r="A87" t="s">
        <v>92</v>
      </c>
      <c r="B87" s="26" t="str">
        <f>IF(SUMIFS('NSE - NIFTY Index Options'!$L:$L,'NSE - NIFTY Index Options'!$C:$C,$A87,'NSE - NIFTY Index Options'!$B:$B,B$4,'NSE - NIFTY Index Options'!$H:$H,"Weekly*")+SUMIFS('NSE - NIFTY Index Options'!$L:$L,'NSE - NIFTY Index Options'!$C:$C,$A87,'NSE - NIFTY Index Options'!$B:$B,B$4,'NSE - NIFTY Index Options'!$H:$H,"MDAW*")+SUMIFS('NSE - Other Index Options'!$L:$L,'NSE - Other Index Options'!$C:$C,$A87,'NSE - Other Index Options'!$B:$B,B$4,'NSE - Other Index Options'!$H:$H,"Weekly*")+SUMIFS('NSE - Other Index Options'!$L:$L,'NSE - Other Index Options'!$C:$C,$A87,'NSE - Other Index Options'!$B:$B,B$4,'NSE - Other Index Options'!$H:$H,"MDAW*")=0,"",SUMIFS('NSE - NIFTY Index Options'!$L:$L,'NSE - NIFTY Index Options'!$C:$C,$A87,'NSE - NIFTY Index Options'!$B:$B,B$4,'NSE - NIFTY Index Options'!$H:$H,"Weekly*")+SUMIFS('NSE - NIFTY Index Options'!$L:$L,'NSE - NIFTY Index Options'!$C:$C,$A87,'NSE - NIFTY Index Options'!$B:$B,B$4,'NSE - NIFTY Index Options'!$H:$H,"MDAW*")+SUMIFS('NSE - Other Index Options'!$L:$L,'NSE - Other Index Options'!$C:$C,$A87,'NSE - Other Index Options'!$B:$B,B$4,'NSE - Other Index Options'!$H:$H,"Weekly*")+SUMIFS('NSE - Other Index Options'!$L:$L,'NSE - Other Index Options'!$C:$C,$A87,'NSE - Other Index Options'!$B:$B,B$4,'NSE - Other Index Options'!$H:$H,"MDAW*"))</f>
        <v/>
      </c>
      <c r="C87" s="26" t="str">
        <f>IF(SUMIFS('NSE - NIFTY Index Options'!$L:$L,'NSE - NIFTY Index Options'!$C:$C,$A87,'NSE - NIFTY Index Options'!$B:$B,C$4,'NSE - NIFTY Index Options'!$H:$H,"Weekly*")+SUMIFS('NSE - NIFTY Index Options'!$L:$L,'NSE - NIFTY Index Options'!$C:$C,$A87,'NSE - NIFTY Index Options'!$B:$B,C$4,'NSE - NIFTY Index Options'!$H:$H,"MDAW*")+SUMIFS('NSE - Other Index Options'!$L:$L,'NSE - Other Index Options'!$C:$C,$A87,'NSE - Other Index Options'!$B:$B,C$4,'NSE - Other Index Options'!$H:$H,"Weekly*")+SUMIFS('NSE - Other Index Options'!$L:$L,'NSE - Other Index Options'!$C:$C,$A87,'NSE - Other Index Options'!$B:$B,C$4,'NSE - Other Index Options'!$H:$H,"MDAW*")=0,"",SUMIFS('NSE - NIFTY Index Options'!$L:$L,'NSE - NIFTY Index Options'!$C:$C,$A87,'NSE - NIFTY Index Options'!$B:$B,C$4,'NSE - NIFTY Index Options'!$H:$H,"Weekly*")+SUMIFS('NSE - NIFTY Index Options'!$L:$L,'NSE - NIFTY Index Options'!$C:$C,$A87,'NSE - NIFTY Index Options'!$B:$B,C$4,'NSE - NIFTY Index Options'!$H:$H,"MDAW*")+SUMIFS('NSE - Other Index Options'!$L:$L,'NSE - Other Index Options'!$C:$C,$A87,'NSE - Other Index Options'!$B:$B,C$4,'NSE - Other Index Options'!$H:$H,"Weekly*")+SUMIFS('NSE - Other Index Options'!$L:$L,'NSE - Other Index Options'!$C:$C,$A87,'NSE - Other Index Options'!$B:$B,C$4,'NSE - Other Index Options'!$H:$H,"MDAW*"))</f>
        <v/>
      </c>
      <c r="D87" s="26" t="str">
        <f>IF(SUMIFS('NSE - NIFTY Index Options'!$L:$L,'NSE - NIFTY Index Options'!$C:$C,$A87,'NSE - NIFTY Index Options'!$B:$B,D$4,'NSE - NIFTY Index Options'!$H:$H,"Weekly*")+SUMIFS('NSE - NIFTY Index Options'!$L:$L,'NSE - NIFTY Index Options'!$C:$C,$A87,'NSE - NIFTY Index Options'!$B:$B,D$4,'NSE - NIFTY Index Options'!$H:$H,"MDAW*")+SUMIFS('NSE - Other Index Options'!$L:$L,'NSE - Other Index Options'!$C:$C,$A87,'NSE - Other Index Options'!$B:$B,D$4,'NSE - Other Index Options'!$H:$H,"Weekly*")+SUMIFS('NSE - Other Index Options'!$L:$L,'NSE - Other Index Options'!$C:$C,$A87,'NSE - Other Index Options'!$B:$B,D$4,'NSE - Other Index Options'!$H:$H,"MDAW*")=0,"",SUMIFS('NSE - NIFTY Index Options'!$L:$L,'NSE - NIFTY Index Options'!$C:$C,$A87,'NSE - NIFTY Index Options'!$B:$B,D$4,'NSE - NIFTY Index Options'!$H:$H,"Weekly*")+SUMIFS('NSE - NIFTY Index Options'!$L:$L,'NSE - NIFTY Index Options'!$C:$C,$A87,'NSE - NIFTY Index Options'!$B:$B,D$4,'NSE - NIFTY Index Options'!$H:$H,"MDAW*")+SUMIFS('NSE - Other Index Options'!$L:$L,'NSE - Other Index Options'!$C:$C,$A87,'NSE - Other Index Options'!$B:$B,D$4,'NSE - Other Index Options'!$H:$H,"Weekly*")+SUMIFS('NSE - Other Index Options'!$L:$L,'NSE - Other Index Options'!$C:$C,$A87,'NSE - Other Index Options'!$B:$B,D$4,'NSE - Other Index Options'!$H:$H,"MDAW*"))</f>
        <v/>
      </c>
      <c r="E87" s="26" t="str">
        <f>IF(SUMIFS('NSE - NIFTY Index Options'!$L:$L,'NSE - NIFTY Index Options'!$C:$C,$A87,'NSE - NIFTY Index Options'!$B:$B,E$4,'NSE - NIFTY Index Options'!$H:$H,"Weekly*")+SUMIFS('NSE - NIFTY Index Options'!$L:$L,'NSE - NIFTY Index Options'!$C:$C,$A87,'NSE - NIFTY Index Options'!$B:$B,E$4,'NSE - NIFTY Index Options'!$H:$H,"MDAW*")+SUMIFS('NSE - Other Index Options'!$L:$L,'NSE - Other Index Options'!$C:$C,$A87,'NSE - Other Index Options'!$B:$B,E$4,'NSE - Other Index Options'!$H:$H,"Weekly*")+SUMIFS('NSE - Other Index Options'!$L:$L,'NSE - Other Index Options'!$C:$C,$A87,'NSE - Other Index Options'!$B:$B,E$4,'NSE - Other Index Options'!$H:$H,"MDAW*")=0,"",SUMIFS('NSE - NIFTY Index Options'!$L:$L,'NSE - NIFTY Index Options'!$C:$C,$A87,'NSE - NIFTY Index Options'!$B:$B,E$4,'NSE - NIFTY Index Options'!$H:$H,"Weekly*")+SUMIFS('NSE - NIFTY Index Options'!$L:$L,'NSE - NIFTY Index Options'!$C:$C,$A87,'NSE - NIFTY Index Options'!$B:$B,E$4,'NSE - NIFTY Index Options'!$H:$H,"MDAW*")+SUMIFS('NSE - Other Index Options'!$L:$L,'NSE - Other Index Options'!$C:$C,$A87,'NSE - Other Index Options'!$B:$B,E$4,'NSE - Other Index Options'!$H:$H,"Weekly*")+SUMIFS('NSE - Other Index Options'!$L:$L,'NSE - Other Index Options'!$C:$C,$A87,'NSE - Other Index Options'!$B:$B,E$4,'NSE - Other Index Options'!$H:$H,"MDAW*"))</f>
        <v/>
      </c>
      <c r="F87" s="26" t="str">
        <f>IF(SUMIFS('NSE - NIFTY Index Options'!$L:$L,'NSE - NIFTY Index Options'!$C:$C,$A87,'NSE - NIFTY Index Options'!$B:$B,F$4,'NSE - NIFTY Index Options'!$H:$H,"Weekly*")+SUMIFS('NSE - NIFTY Index Options'!$L:$L,'NSE - NIFTY Index Options'!$C:$C,$A87,'NSE - NIFTY Index Options'!$B:$B,F$4,'NSE - NIFTY Index Options'!$H:$H,"MDAW*")+SUMIFS('NSE - Other Index Options'!$L:$L,'NSE - Other Index Options'!$C:$C,$A87,'NSE - Other Index Options'!$B:$B,F$4,'NSE - Other Index Options'!$H:$H,"Weekly*")+SUMIFS('NSE - Other Index Options'!$L:$L,'NSE - Other Index Options'!$C:$C,$A87,'NSE - Other Index Options'!$B:$B,F$4,'NSE - Other Index Options'!$H:$H,"MDAW*")=0,"",SUMIFS('NSE - NIFTY Index Options'!$L:$L,'NSE - NIFTY Index Options'!$C:$C,$A87,'NSE - NIFTY Index Options'!$B:$B,F$4,'NSE - NIFTY Index Options'!$H:$H,"Weekly*")+SUMIFS('NSE - NIFTY Index Options'!$L:$L,'NSE - NIFTY Index Options'!$C:$C,$A87,'NSE - NIFTY Index Options'!$B:$B,F$4,'NSE - NIFTY Index Options'!$H:$H,"MDAW*")+SUMIFS('NSE - Other Index Options'!$L:$L,'NSE - Other Index Options'!$C:$C,$A87,'NSE - Other Index Options'!$B:$B,F$4,'NSE - Other Index Options'!$H:$H,"Weekly*")+SUMIFS('NSE - Other Index Options'!$L:$L,'NSE - Other Index Options'!$C:$C,$A87,'NSE - Other Index Options'!$B:$B,F$4,'NSE - Other Index Options'!$H:$H,"MDAW*"))</f>
        <v/>
      </c>
      <c r="G87" s="26" t="str">
        <f>IF(SUMIFS('NSE - NIFTY Index Options'!$L:$L,'NSE - NIFTY Index Options'!$C:$C,$A87,'NSE - NIFTY Index Options'!$B:$B,G$4,'NSE - NIFTY Index Options'!$H:$H,"Weekly*")+SUMIFS('NSE - NIFTY Index Options'!$L:$L,'NSE - NIFTY Index Options'!$C:$C,$A87,'NSE - NIFTY Index Options'!$B:$B,G$4,'NSE - NIFTY Index Options'!$H:$H,"MDAW*")+SUMIFS('NSE - Other Index Options'!$L:$L,'NSE - Other Index Options'!$C:$C,$A87,'NSE - Other Index Options'!$B:$B,G$4,'NSE - Other Index Options'!$H:$H,"Weekly*")+SUMIFS('NSE - Other Index Options'!$L:$L,'NSE - Other Index Options'!$C:$C,$A87,'NSE - Other Index Options'!$B:$B,G$4,'NSE - Other Index Options'!$H:$H,"MDAW*")=0,"",SUMIFS('NSE - NIFTY Index Options'!$L:$L,'NSE - NIFTY Index Options'!$C:$C,$A87,'NSE - NIFTY Index Options'!$B:$B,G$4,'NSE - NIFTY Index Options'!$H:$H,"Weekly*")+SUMIFS('NSE - NIFTY Index Options'!$L:$L,'NSE - NIFTY Index Options'!$C:$C,$A87,'NSE - NIFTY Index Options'!$B:$B,G$4,'NSE - NIFTY Index Options'!$H:$H,"MDAW*")+SUMIFS('NSE - Other Index Options'!$L:$L,'NSE - Other Index Options'!$C:$C,$A87,'NSE - Other Index Options'!$B:$B,G$4,'NSE - Other Index Options'!$H:$H,"Weekly*")+SUMIFS('NSE - Other Index Options'!$L:$L,'NSE - Other Index Options'!$C:$C,$A87,'NSE - Other Index Options'!$B:$B,G$4,'NSE - Other Index Options'!$H:$H,"MDAW*"))</f>
        <v/>
      </c>
      <c r="H87" s="26" t="str">
        <f t="shared" si="2"/>
        <v/>
      </c>
    </row>
    <row r="88" spans="1:8" hidden="1" outlineLevel="1">
      <c r="A88" t="s">
        <v>93</v>
      </c>
      <c r="B88" s="26" t="str">
        <f>IF(SUMIFS('NSE - NIFTY Index Options'!$L:$L,'NSE - NIFTY Index Options'!$C:$C,$A88,'NSE - NIFTY Index Options'!$B:$B,B$4,'NSE - NIFTY Index Options'!$H:$H,"Weekly*")+SUMIFS('NSE - NIFTY Index Options'!$L:$L,'NSE - NIFTY Index Options'!$C:$C,$A88,'NSE - NIFTY Index Options'!$B:$B,B$4,'NSE - NIFTY Index Options'!$H:$H,"MDAW*")+SUMIFS('NSE - Other Index Options'!$L:$L,'NSE - Other Index Options'!$C:$C,$A88,'NSE - Other Index Options'!$B:$B,B$4,'NSE - Other Index Options'!$H:$H,"Weekly*")+SUMIFS('NSE - Other Index Options'!$L:$L,'NSE - Other Index Options'!$C:$C,$A88,'NSE - Other Index Options'!$B:$B,B$4,'NSE - Other Index Options'!$H:$H,"MDAW*")=0,"",SUMIFS('NSE - NIFTY Index Options'!$L:$L,'NSE - NIFTY Index Options'!$C:$C,$A88,'NSE - NIFTY Index Options'!$B:$B,B$4,'NSE - NIFTY Index Options'!$H:$H,"Weekly*")+SUMIFS('NSE - NIFTY Index Options'!$L:$L,'NSE - NIFTY Index Options'!$C:$C,$A88,'NSE - NIFTY Index Options'!$B:$B,B$4,'NSE - NIFTY Index Options'!$H:$H,"MDAW*")+SUMIFS('NSE - Other Index Options'!$L:$L,'NSE - Other Index Options'!$C:$C,$A88,'NSE - Other Index Options'!$B:$B,B$4,'NSE - Other Index Options'!$H:$H,"Weekly*")+SUMIFS('NSE - Other Index Options'!$L:$L,'NSE - Other Index Options'!$C:$C,$A88,'NSE - Other Index Options'!$B:$B,B$4,'NSE - Other Index Options'!$H:$H,"MDAW*"))</f>
        <v/>
      </c>
      <c r="C88" s="26" t="str">
        <f>IF(SUMIFS('NSE - NIFTY Index Options'!$L:$L,'NSE - NIFTY Index Options'!$C:$C,$A88,'NSE - NIFTY Index Options'!$B:$B,C$4,'NSE - NIFTY Index Options'!$H:$H,"Weekly*")+SUMIFS('NSE - NIFTY Index Options'!$L:$L,'NSE - NIFTY Index Options'!$C:$C,$A88,'NSE - NIFTY Index Options'!$B:$B,C$4,'NSE - NIFTY Index Options'!$H:$H,"MDAW*")+SUMIFS('NSE - Other Index Options'!$L:$L,'NSE - Other Index Options'!$C:$C,$A88,'NSE - Other Index Options'!$B:$B,C$4,'NSE - Other Index Options'!$H:$H,"Weekly*")+SUMIFS('NSE - Other Index Options'!$L:$L,'NSE - Other Index Options'!$C:$C,$A88,'NSE - Other Index Options'!$B:$B,C$4,'NSE - Other Index Options'!$H:$H,"MDAW*")=0,"",SUMIFS('NSE - NIFTY Index Options'!$L:$L,'NSE - NIFTY Index Options'!$C:$C,$A88,'NSE - NIFTY Index Options'!$B:$B,C$4,'NSE - NIFTY Index Options'!$H:$H,"Weekly*")+SUMIFS('NSE - NIFTY Index Options'!$L:$L,'NSE - NIFTY Index Options'!$C:$C,$A88,'NSE - NIFTY Index Options'!$B:$B,C$4,'NSE - NIFTY Index Options'!$H:$H,"MDAW*")+SUMIFS('NSE - Other Index Options'!$L:$L,'NSE - Other Index Options'!$C:$C,$A88,'NSE - Other Index Options'!$B:$B,C$4,'NSE - Other Index Options'!$H:$H,"Weekly*")+SUMIFS('NSE - Other Index Options'!$L:$L,'NSE - Other Index Options'!$C:$C,$A88,'NSE - Other Index Options'!$B:$B,C$4,'NSE - Other Index Options'!$H:$H,"MDAW*"))</f>
        <v/>
      </c>
      <c r="D88" s="26" t="str">
        <f>IF(SUMIFS('NSE - NIFTY Index Options'!$L:$L,'NSE - NIFTY Index Options'!$C:$C,$A88,'NSE - NIFTY Index Options'!$B:$B,D$4,'NSE - NIFTY Index Options'!$H:$H,"Weekly*")+SUMIFS('NSE - NIFTY Index Options'!$L:$L,'NSE - NIFTY Index Options'!$C:$C,$A88,'NSE - NIFTY Index Options'!$B:$B,D$4,'NSE - NIFTY Index Options'!$H:$H,"MDAW*")+SUMIFS('NSE - Other Index Options'!$L:$L,'NSE - Other Index Options'!$C:$C,$A88,'NSE - Other Index Options'!$B:$B,D$4,'NSE - Other Index Options'!$H:$H,"Weekly*")+SUMIFS('NSE - Other Index Options'!$L:$L,'NSE - Other Index Options'!$C:$C,$A88,'NSE - Other Index Options'!$B:$B,D$4,'NSE - Other Index Options'!$H:$H,"MDAW*")=0,"",SUMIFS('NSE - NIFTY Index Options'!$L:$L,'NSE - NIFTY Index Options'!$C:$C,$A88,'NSE - NIFTY Index Options'!$B:$B,D$4,'NSE - NIFTY Index Options'!$H:$H,"Weekly*")+SUMIFS('NSE - NIFTY Index Options'!$L:$L,'NSE - NIFTY Index Options'!$C:$C,$A88,'NSE - NIFTY Index Options'!$B:$B,D$4,'NSE - NIFTY Index Options'!$H:$H,"MDAW*")+SUMIFS('NSE - Other Index Options'!$L:$L,'NSE - Other Index Options'!$C:$C,$A88,'NSE - Other Index Options'!$B:$B,D$4,'NSE - Other Index Options'!$H:$H,"Weekly*")+SUMIFS('NSE - Other Index Options'!$L:$L,'NSE - Other Index Options'!$C:$C,$A88,'NSE - Other Index Options'!$B:$B,D$4,'NSE - Other Index Options'!$H:$H,"MDAW*"))</f>
        <v/>
      </c>
      <c r="E88" s="26" t="str">
        <f>IF(SUMIFS('NSE - NIFTY Index Options'!$L:$L,'NSE - NIFTY Index Options'!$C:$C,$A88,'NSE - NIFTY Index Options'!$B:$B,E$4,'NSE - NIFTY Index Options'!$H:$H,"Weekly*")+SUMIFS('NSE - NIFTY Index Options'!$L:$L,'NSE - NIFTY Index Options'!$C:$C,$A88,'NSE - NIFTY Index Options'!$B:$B,E$4,'NSE - NIFTY Index Options'!$H:$H,"MDAW*")+SUMIFS('NSE - Other Index Options'!$L:$L,'NSE - Other Index Options'!$C:$C,$A88,'NSE - Other Index Options'!$B:$B,E$4,'NSE - Other Index Options'!$H:$H,"Weekly*")+SUMIFS('NSE - Other Index Options'!$L:$L,'NSE - Other Index Options'!$C:$C,$A88,'NSE - Other Index Options'!$B:$B,E$4,'NSE - Other Index Options'!$H:$H,"MDAW*")=0,"",SUMIFS('NSE - NIFTY Index Options'!$L:$L,'NSE - NIFTY Index Options'!$C:$C,$A88,'NSE - NIFTY Index Options'!$B:$B,E$4,'NSE - NIFTY Index Options'!$H:$H,"Weekly*")+SUMIFS('NSE - NIFTY Index Options'!$L:$L,'NSE - NIFTY Index Options'!$C:$C,$A88,'NSE - NIFTY Index Options'!$B:$B,E$4,'NSE - NIFTY Index Options'!$H:$H,"MDAW*")+SUMIFS('NSE - Other Index Options'!$L:$L,'NSE - Other Index Options'!$C:$C,$A88,'NSE - Other Index Options'!$B:$B,E$4,'NSE - Other Index Options'!$H:$H,"Weekly*")+SUMIFS('NSE - Other Index Options'!$L:$L,'NSE - Other Index Options'!$C:$C,$A88,'NSE - Other Index Options'!$B:$B,E$4,'NSE - Other Index Options'!$H:$H,"MDAW*"))</f>
        <v/>
      </c>
      <c r="F88" s="26" t="str">
        <f>IF(SUMIFS('NSE - NIFTY Index Options'!$L:$L,'NSE - NIFTY Index Options'!$C:$C,$A88,'NSE - NIFTY Index Options'!$B:$B,F$4,'NSE - NIFTY Index Options'!$H:$H,"Weekly*")+SUMIFS('NSE - NIFTY Index Options'!$L:$L,'NSE - NIFTY Index Options'!$C:$C,$A88,'NSE - NIFTY Index Options'!$B:$B,F$4,'NSE - NIFTY Index Options'!$H:$H,"MDAW*")+SUMIFS('NSE - Other Index Options'!$L:$L,'NSE - Other Index Options'!$C:$C,$A88,'NSE - Other Index Options'!$B:$B,F$4,'NSE - Other Index Options'!$H:$H,"Weekly*")+SUMIFS('NSE - Other Index Options'!$L:$L,'NSE - Other Index Options'!$C:$C,$A88,'NSE - Other Index Options'!$B:$B,F$4,'NSE - Other Index Options'!$H:$H,"MDAW*")=0,"",SUMIFS('NSE - NIFTY Index Options'!$L:$L,'NSE - NIFTY Index Options'!$C:$C,$A88,'NSE - NIFTY Index Options'!$B:$B,F$4,'NSE - NIFTY Index Options'!$H:$H,"Weekly*")+SUMIFS('NSE - NIFTY Index Options'!$L:$L,'NSE - NIFTY Index Options'!$C:$C,$A88,'NSE - NIFTY Index Options'!$B:$B,F$4,'NSE - NIFTY Index Options'!$H:$H,"MDAW*")+SUMIFS('NSE - Other Index Options'!$L:$L,'NSE - Other Index Options'!$C:$C,$A88,'NSE - Other Index Options'!$B:$B,F$4,'NSE - Other Index Options'!$H:$H,"Weekly*")+SUMIFS('NSE - Other Index Options'!$L:$L,'NSE - Other Index Options'!$C:$C,$A88,'NSE - Other Index Options'!$B:$B,F$4,'NSE - Other Index Options'!$H:$H,"MDAW*"))</f>
        <v/>
      </c>
      <c r="G88" s="26" t="str">
        <f>IF(SUMIFS('NSE - NIFTY Index Options'!$L:$L,'NSE - NIFTY Index Options'!$C:$C,$A88,'NSE - NIFTY Index Options'!$B:$B,G$4,'NSE - NIFTY Index Options'!$H:$H,"Weekly*")+SUMIFS('NSE - NIFTY Index Options'!$L:$L,'NSE - NIFTY Index Options'!$C:$C,$A88,'NSE - NIFTY Index Options'!$B:$B,G$4,'NSE - NIFTY Index Options'!$H:$H,"MDAW*")+SUMIFS('NSE - Other Index Options'!$L:$L,'NSE - Other Index Options'!$C:$C,$A88,'NSE - Other Index Options'!$B:$B,G$4,'NSE - Other Index Options'!$H:$H,"Weekly*")+SUMIFS('NSE - Other Index Options'!$L:$L,'NSE - Other Index Options'!$C:$C,$A88,'NSE - Other Index Options'!$B:$B,G$4,'NSE - Other Index Options'!$H:$H,"MDAW*")=0,"",SUMIFS('NSE - NIFTY Index Options'!$L:$L,'NSE - NIFTY Index Options'!$C:$C,$A88,'NSE - NIFTY Index Options'!$B:$B,G$4,'NSE - NIFTY Index Options'!$H:$H,"Weekly*")+SUMIFS('NSE - NIFTY Index Options'!$L:$L,'NSE - NIFTY Index Options'!$C:$C,$A88,'NSE - NIFTY Index Options'!$B:$B,G$4,'NSE - NIFTY Index Options'!$H:$H,"MDAW*")+SUMIFS('NSE - Other Index Options'!$L:$L,'NSE - Other Index Options'!$C:$C,$A88,'NSE - Other Index Options'!$B:$B,G$4,'NSE - Other Index Options'!$H:$H,"Weekly*")+SUMIFS('NSE - Other Index Options'!$L:$L,'NSE - Other Index Options'!$C:$C,$A88,'NSE - Other Index Options'!$B:$B,G$4,'NSE - Other Index Options'!$H:$H,"MDAW*"))</f>
        <v/>
      </c>
      <c r="H88" s="26" t="str">
        <f t="shared" si="2"/>
        <v/>
      </c>
    </row>
    <row r="89" spans="1:8" hidden="1" outlineLevel="1">
      <c r="A89" t="s">
        <v>94</v>
      </c>
      <c r="B89" s="26" t="str">
        <f>IF(SUMIFS('NSE - NIFTY Index Options'!$L:$L,'NSE - NIFTY Index Options'!$C:$C,$A89,'NSE - NIFTY Index Options'!$B:$B,B$4,'NSE - NIFTY Index Options'!$H:$H,"Weekly*")+SUMIFS('NSE - NIFTY Index Options'!$L:$L,'NSE - NIFTY Index Options'!$C:$C,$A89,'NSE - NIFTY Index Options'!$B:$B,B$4,'NSE - NIFTY Index Options'!$H:$H,"MDAW*")+SUMIFS('NSE - Other Index Options'!$L:$L,'NSE - Other Index Options'!$C:$C,$A89,'NSE - Other Index Options'!$B:$B,B$4,'NSE - Other Index Options'!$H:$H,"Weekly*")+SUMIFS('NSE - Other Index Options'!$L:$L,'NSE - Other Index Options'!$C:$C,$A89,'NSE - Other Index Options'!$B:$B,B$4,'NSE - Other Index Options'!$H:$H,"MDAW*")=0,"",SUMIFS('NSE - NIFTY Index Options'!$L:$L,'NSE - NIFTY Index Options'!$C:$C,$A89,'NSE - NIFTY Index Options'!$B:$B,B$4,'NSE - NIFTY Index Options'!$H:$H,"Weekly*")+SUMIFS('NSE - NIFTY Index Options'!$L:$L,'NSE - NIFTY Index Options'!$C:$C,$A89,'NSE - NIFTY Index Options'!$B:$B,B$4,'NSE - NIFTY Index Options'!$H:$H,"MDAW*")+SUMIFS('NSE - Other Index Options'!$L:$L,'NSE - Other Index Options'!$C:$C,$A89,'NSE - Other Index Options'!$B:$B,B$4,'NSE - Other Index Options'!$H:$H,"Weekly*")+SUMIFS('NSE - Other Index Options'!$L:$L,'NSE - Other Index Options'!$C:$C,$A89,'NSE - Other Index Options'!$B:$B,B$4,'NSE - Other Index Options'!$H:$H,"MDAW*"))</f>
        <v/>
      </c>
      <c r="C89" s="26" t="str">
        <f>IF(SUMIFS('NSE - NIFTY Index Options'!$L:$L,'NSE - NIFTY Index Options'!$C:$C,$A89,'NSE - NIFTY Index Options'!$B:$B,C$4,'NSE - NIFTY Index Options'!$H:$H,"Weekly*")+SUMIFS('NSE - NIFTY Index Options'!$L:$L,'NSE - NIFTY Index Options'!$C:$C,$A89,'NSE - NIFTY Index Options'!$B:$B,C$4,'NSE - NIFTY Index Options'!$H:$H,"MDAW*")+SUMIFS('NSE - Other Index Options'!$L:$L,'NSE - Other Index Options'!$C:$C,$A89,'NSE - Other Index Options'!$B:$B,C$4,'NSE - Other Index Options'!$H:$H,"Weekly*")+SUMIFS('NSE - Other Index Options'!$L:$L,'NSE - Other Index Options'!$C:$C,$A89,'NSE - Other Index Options'!$B:$B,C$4,'NSE - Other Index Options'!$H:$H,"MDAW*")=0,"",SUMIFS('NSE - NIFTY Index Options'!$L:$L,'NSE - NIFTY Index Options'!$C:$C,$A89,'NSE - NIFTY Index Options'!$B:$B,C$4,'NSE - NIFTY Index Options'!$H:$H,"Weekly*")+SUMIFS('NSE - NIFTY Index Options'!$L:$L,'NSE - NIFTY Index Options'!$C:$C,$A89,'NSE - NIFTY Index Options'!$B:$B,C$4,'NSE - NIFTY Index Options'!$H:$H,"MDAW*")+SUMIFS('NSE - Other Index Options'!$L:$L,'NSE - Other Index Options'!$C:$C,$A89,'NSE - Other Index Options'!$B:$B,C$4,'NSE - Other Index Options'!$H:$H,"Weekly*")+SUMIFS('NSE - Other Index Options'!$L:$L,'NSE - Other Index Options'!$C:$C,$A89,'NSE - Other Index Options'!$B:$B,C$4,'NSE - Other Index Options'!$H:$H,"MDAW*"))</f>
        <v/>
      </c>
      <c r="D89" s="26" t="str">
        <f>IF(SUMIFS('NSE - NIFTY Index Options'!$L:$L,'NSE - NIFTY Index Options'!$C:$C,$A89,'NSE - NIFTY Index Options'!$B:$B,D$4,'NSE - NIFTY Index Options'!$H:$H,"Weekly*")+SUMIFS('NSE - NIFTY Index Options'!$L:$L,'NSE - NIFTY Index Options'!$C:$C,$A89,'NSE - NIFTY Index Options'!$B:$B,D$4,'NSE - NIFTY Index Options'!$H:$H,"MDAW*")+SUMIFS('NSE - Other Index Options'!$L:$L,'NSE - Other Index Options'!$C:$C,$A89,'NSE - Other Index Options'!$B:$B,D$4,'NSE - Other Index Options'!$H:$H,"Weekly*")+SUMIFS('NSE - Other Index Options'!$L:$L,'NSE - Other Index Options'!$C:$C,$A89,'NSE - Other Index Options'!$B:$B,D$4,'NSE - Other Index Options'!$H:$H,"MDAW*")=0,"",SUMIFS('NSE - NIFTY Index Options'!$L:$L,'NSE - NIFTY Index Options'!$C:$C,$A89,'NSE - NIFTY Index Options'!$B:$B,D$4,'NSE - NIFTY Index Options'!$H:$H,"Weekly*")+SUMIFS('NSE - NIFTY Index Options'!$L:$L,'NSE - NIFTY Index Options'!$C:$C,$A89,'NSE - NIFTY Index Options'!$B:$B,D$4,'NSE - NIFTY Index Options'!$H:$H,"MDAW*")+SUMIFS('NSE - Other Index Options'!$L:$L,'NSE - Other Index Options'!$C:$C,$A89,'NSE - Other Index Options'!$B:$B,D$4,'NSE - Other Index Options'!$H:$H,"Weekly*")+SUMIFS('NSE - Other Index Options'!$L:$L,'NSE - Other Index Options'!$C:$C,$A89,'NSE - Other Index Options'!$B:$B,D$4,'NSE - Other Index Options'!$H:$H,"MDAW*"))</f>
        <v/>
      </c>
      <c r="E89" s="26" t="str">
        <f>IF(SUMIFS('NSE - NIFTY Index Options'!$L:$L,'NSE - NIFTY Index Options'!$C:$C,$A89,'NSE - NIFTY Index Options'!$B:$B,E$4,'NSE - NIFTY Index Options'!$H:$H,"Weekly*")+SUMIFS('NSE - NIFTY Index Options'!$L:$L,'NSE - NIFTY Index Options'!$C:$C,$A89,'NSE - NIFTY Index Options'!$B:$B,E$4,'NSE - NIFTY Index Options'!$H:$H,"MDAW*")+SUMIFS('NSE - Other Index Options'!$L:$L,'NSE - Other Index Options'!$C:$C,$A89,'NSE - Other Index Options'!$B:$B,E$4,'NSE - Other Index Options'!$H:$H,"Weekly*")+SUMIFS('NSE - Other Index Options'!$L:$L,'NSE - Other Index Options'!$C:$C,$A89,'NSE - Other Index Options'!$B:$B,E$4,'NSE - Other Index Options'!$H:$H,"MDAW*")=0,"",SUMIFS('NSE - NIFTY Index Options'!$L:$L,'NSE - NIFTY Index Options'!$C:$C,$A89,'NSE - NIFTY Index Options'!$B:$B,E$4,'NSE - NIFTY Index Options'!$H:$H,"Weekly*")+SUMIFS('NSE - NIFTY Index Options'!$L:$L,'NSE - NIFTY Index Options'!$C:$C,$A89,'NSE - NIFTY Index Options'!$B:$B,E$4,'NSE - NIFTY Index Options'!$H:$H,"MDAW*")+SUMIFS('NSE - Other Index Options'!$L:$L,'NSE - Other Index Options'!$C:$C,$A89,'NSE - Other Index Options'!$B:$B,E$4,'NSE - Other Index Options'!$H:$H,"Weekly*")+SUMIFS('NSE - Other Index Options'!$L:$L,'NSE - Other Index Options'!$C:$C,$A89,'NSE - Other Index Options'!$B:$B,E$4,'NSE - Other Index Options'!$H:$H,"MDAW*"))</f>
        <v/>
      </c>
      <c r="F89" s="26" t="str">
        <f>IF(SUMIFS('NSE - NIFTY Index Options'!$L:$L,'NSE - NIFTY Index Options'!$C:$C,$A89,'NSE - NIFTY Index Options'!$B:$B,F$4,'NSE - NIFTY Index Options'!$H:$H,"Weekly*")+SUMIFS('NSE - NIFTY Index Options'!$L:$L,'NSE - NIFTY Index Options'!$C:$C,$A89,'NSE - NIFTY Index Options'!$B:$B,F$4,'NSE - NIFTY Index Options'!$H:$H,"MDAW*")+SUMIFS('NSE - Other Index Options'!$L:$L,'NSE - Other Index Options'!$C:$C,$A89,'NSE - Other Index Options'!$B:$B,F$4,'NSE - Other Index Options'!$H:$H,"Weekly*")+SUMIFS('NSE - Other Index Options'!$L:$L,'NSE - Other Index Options'!$C:$C,$A89,'NSE - Other Index Options'!$B:$B,F$4,'NSE - Other Index Options'!$H:$H,"MDAW*")=0,"",SUMIFS('NSE - NIFTY Index Options'!$L:$L,'NSE - NIFTY Index Options'!$C:$C,$A89,'NSE - NIFTY Index Options'!$B:$B,F$4,'NSE - NIFTY Index Options'!$H:$H,"Weekly*")+SUMIFS('NSE - NIFTY Index Options'!$L:$L,'NSE - NIFTY Index Options'!$C:$C,$A89,'NSE - NIFTY Index Options'!$B:$B,F$4,'NSE - NIFTY Index Options'!$H:$H,"MDAW*")+SUMIFS('NSE - Other Index Options'!$L:$L,'NSE - Other Index Options'!$C:$C,$A89,'NSE - Other Index Options'!$B:$B,F$4,'NSE - Other Index Options'!$H:$H,"Weekly*")+SUMIFS('NSE - Other Index Options'!$L:$L,'NSE - Other Index Options'!$C:$C,$A89,'NSE - Other Index Options'!$B:$B,F$4,'NSE - Other Index Options'!$H:$H,"MDAW*"))</f>
        <v/>
      </c>
      <c r="G89" s="26" t="str">
        <f>IF(SUMIFS('NSE - NIFTY Index Options'!$L:$L,'NSE - NIFTY Index Options'!$C:$C,$A89,'NSE - NIFTY Index Options'!$B:$B,G$4,'NSE - NIFTY Index Options'!$H:$H,"Weekly*")+SUMIFS('NSE - NIFTY Index Options'!$L:$L,'NSE - NIFTY Index Options'!$C:$C,$A89,'NSE - NIFTY Index Options'!$B:$B,G$4,'NSE - NIFTY Index Options'!$H:$H,"MDAW*")+SUMIFS('NSE - Other Index Options'!$L:$L,'NSE - Other Index Options'!$C:$C,$A89,'NSE - Other Index Options'!$B:$B,G$4,'NSE - Other Index Options'!$H:$H,"Weekly*")+SUMIFS('NSE - Other Index Options'!$L:$L,'NSE - Other Index Options'!$C:$C,$A89,'NSE - Other Index Options'!$B:$B,G$4,'NSE - Other Index Options'!$H:$H,"MDAW*")=0,"",SUMIFS('NSE - NIFTY Index Options'!$L:$L,'NSE - NIFTY Index Options'!$C:$C,$A89,'NSE - NIFTY Index Options'!$B:$B,G$4,'NSE - NIFTY Index Options'!$H:$H,"Weekly*")+SUMIFS('NSE - NIFTY Index Options'!$L:$L,'NSE - NIFTY Index Options'!$C:$C,$A89,'NSE - NIFTY Index Options'!$B:$B,G$4,'NSE - NIFTY Index Options'!$H:$H,"MDAW*")+SUMIFS('NSE - Other Index Options'!$L:$L,'NSE - Other Index Options'!$C:$C,$A89,'NSE - Other Index Options'!$B:$B,G$4,'NSE - Other Index Options'!$H:$H,"Weekly*")+SUMIFS('NSE - Other Index Options'!$L:$L,'NSE - Other Index Options'!$C:$C,$A89,'NSE - Other Index Options'!$B:$B,G$4,'NSE - Other Index Options'!$H:$H,"MDAW*"))</f>
        <v/>
      </c>
      <c r="H89" s="26" t="str">
        <f t="shared" si="2"/>
        <v/>
      </c>
    </row>
    <row r="90" spans="1:8" hidden="1" outlineLevel="1">
      <c r="A90" t="s">
        <v>95</v>
      </c>
      <c r="B90" s="26" t="str">
        <f>IF(SUMIFS('NSE - NIFTY Index Options'!$L:$L,'NSE - NIFTY Index Options'!$C:$C,$A90,'NSE - NIFTY Index Options'!$B:$B,B$4,'NSE - NIFTY Index Options'!$H:$H,"Weekly*")+SUMIFS('NSE - NIFTY Index Options'!$L:$L,'NSE - NIFTY Index Options'!$C:$C,$A90,'NSE - NIFTY Index Options'!$B:$B,B$4,'NSE - NIFTY Index Options'!$H:$H,"MDAW*")+SUMIFS('NSE - Other Index Options'!$L:$L,'NSE - Other Index Options'!$C:$C,$A90,'NSE - Other Index Options'!$B:$B,B$4,'NSE - Other Index Options'!$H:$H,"Weekly*")+SUMIFS('NSE - Other Index Options'!$L:$L,'NSE - Other Index Options'!$C:$C,$A90,'NSE - Other Index Options'!$B:$B,B$4,'NSE - Other Index Options'!$H:$H,"MDAW*")=0,"",SUMIFS('NSE - NIFTY Index Options'!$L:$L,'NSE - NIFTY Index Options'!$C:$C,$A90,'NSE - NIFTY Index Options'!$B:$B,B$4,'NSE - NIFTY Index Options'!$H:$H,"Weekly*")+SUMIFS('NSE - NIFTY Index Options'!$L:$L,'NSE - NIFTY Index Options'!$C:$C,$A90,'NSE - NIFTY Index Options'!$B:$B,B$4,'NSE - NIFTY Index Options'!$H:$H,"MDAW*")+SUMIFS('NSE - Other Index Options'!$L:$L,'NSE - Other Index Options'!$C:$C,$A90,'NSE - Other Index Options'!$B:$B,B$4,'NSE - Other Index Options'!$H:$H,"Weekly*")+SUMIFS('NSE - Other Index Options'!$L:$L,'NSE - Other Index Options'!$C:$C,$A90,'NSE - Other Index Options'!$B:$B,B$4,'NSE - Other Index Options'!$H:$H,"MDAW*"))</f>
        <v/>
      </c>
      <c r="C90" s="26" t="str">
        <f>IF(SUMIFS('NSE - NIFTY Index Options'!$L:$L,'NSE - NIFTY Index Options'!$C:$C,$A90,'NSE - NIFTY Index Options'!$B:$B,C$4,'NSE - NIFTY Index Options'!$H:$H,"Weekly*")+SUMIFS('NSE - NIFTY Index Options'!$L:$L,'NSE - NIFTY Index Options'!$C:$C,$A90,'NSE - NIFTY Index Options'!$B:$B,C$4,'NSE - NIFTY Index Options'!$H:$H,"MDAW*")+SUMIFS('NSE - Other Index Options'!$L:$L,'NSE - Other Index Options'!$C:$C,$A90,'NSE - Other Index Options'!$B:$B,C$4,'NSE - Other Index Options'!$H:$H,"Weekly*")+SUMIFS('NSE - Other Index Options'!$L:$L,'NSE - Other Index Options'!$C:$C,$A90,'NSE - Other Index Options'!$B:$B,C$4,'NSE - Other Index Options'!$H:$H,"MDAW*")=0,"",SUMIFS('NSE - NIFTY Index Options'!$L:$L,'NSE - NIFTY Index Options'!$C:$C,$A90,'NSE - NIFTY Index Options'!$B:$B,C$4,'NSE - NIFTY Index Options'!$H:$H,"Weekly*")+SUMIFS('NSE - NIFTY Index Options'!$L:$L,'NSE - NIFTY Index Options'!$C:$C,$A90,'NSE - NIFTY Index Options'!$B:$B,C$4,'NSE - NIFTY Index Options'!$H:$H,"MDAW*")+SUMIFS('NSE - Other Index Options'!$L:$L,'NSE - Other Index Options'!$C:$C,$A90,'NSE - Other Index Options'!$B:$B,C$4,'NSE - Other Index Options'!$H:$H,"Weekly*")+SUMIFS('NSE - Other Index Options'!$L:$L,'NSE - Other Index Options'!$C:$C,$A90,'NSE - Other Index Options'!$B:$B,C$4,'NSE - Other Index Options'!$H:$H,"MDAW*"))</f>
        <v/>
      </c>
      <c r="D90" s="26" t="str">
        <f>IF(SUMIFS('NSE - NIFTY Index Options'!$L:$L,'NSE - NIFTY Index Options'!$C:$C,$A90,'NSE - NIFTY Index Options'!$B:$B,D$4,'NSE - NIFTY Index Options'!$H:$H,"Weekly*")+SUMIFS('NSE - NIFTY Index Options'!$L:$L,'NSE - NIFTY Index Options'!$C:$C,$A90,'NSE - NIFTY Index Options'!$B:$B,D$4,'NSE - NIFTY Index Options'!$H:$H,"MDAW*")+SUMIFS('NSE - Other Index Options'!$L:$L,'NSE - Other Index Options'!$C:$C,$A90,'NSE - Other Index Options'!$B:$B,D$4,'NSE - Other Index Options'!$H:$H,"Weekly*")+SUMIFS('NSE - Other Index Options'!$L:$L,'NSE - Other Index Options'!$C:$C,$A90,'NSE - Other Index Options'!$B:$B,D$4,'NSE - Other Index Options'!$H:$H,"MDAW*")=0,"",SUMIFS('NSE - NIFTY Index Options'!$L:$L,'NSE - NIFTY Index Options'!$C:$C,$A90,'NSE - NIFTY Index Options'!$B:$B,D$4,'NSE - NIFTY Index Options'!$H:$H,"Weekly*")+SUMIFS('NSE - NIFTY Index Options'!$L:$L,'NSE - NIFTY Index Options'!$C:$C,$A90,'NSE - NIFTY Index Options'!$B:$B,D$4,'NSE - NIFTY Index Options'!$H:$H,"MDAW*")+SUMIFS('NSE - Other Index Options'!$L:$L,'NSE - Other Index Options'!$C:$C,$A90,'NSE - Other Index Options'!$B:$B,D$4,'NSE - Other Index Options'!$H:$H,"Weekly*")+SUMIFS('NSE - Other Index Options'!$L:$L,'NSE - Other Index Options'!$C:$C,$A90,'NSE - Other Index Options'!$B:$B,D$4,'NSE - Other Index Options'!$H:$H,"MDAW*"))</f>
        <v/>
      </c>
      <c r="E90" s="26" t="str">
        <f>IF(SUMIFS('NSE - NIFTY Index Options'!$L:$L,'NSE - NIFTY Index Options'!$C:$C,$A90,'NSE - NIFTY Index Options'!$B:$B,E$4,'NSE - NIFTY Index Options'!$H:$H,"Weekly*")+SUMIFS('NSE - NIFTY Index Options'!$L:$L,'NSE - NIFTY Index Options'!$C:$C,$A90,'NSE - NIFTY Index Options'!$B:$B,E$4,'NSE - NIFTY Index Options'!$H:$H,"MDAW*")+SUMIFS('NSE - Other Index Options'!$L:$L,'NSE - Other Index Options'!$C:$C,$A90,'NSE - Other Index Options'!$B:$B,E$4,'NSE - Other Index Options'!$H:$H,"Weekly*")+SUMIFS('NSE - Other Index Options'!$L:$L,'NSE - Other Index Options'!$C:$C,$A90,'NSE - Other Index Options'!$B:$B,E$4,'NSE - Other Index Options'!$H:$H,"MDAW*")=0,"",SUMIFS('NSE - NIFTY Index Options'!$L:$L,'NSE - NIFTY Index Options'!$C:$C,$A90,'NSE - NIFTY Index Options'!$B:$B,E$4,'NSE - NIFTY Index Options'!$H:$H,"Weekly*")+SUMIFS('NSE - NIFTY Index Options'!$L:$L,'NSE - NIFTY Index Options'!$C:$C,$A90,'NSE - NIFTY Index Options'!$B:$B,E$4,'NSE - NIFTY Index Options'!$H:$H,"MDAW*")+SUMIFS('NSE - Other Index Options'!$L:$L,'NSE - Other Index Options'!$C:$C,$A90,'NSE - Other Index Options'!$B:$B,E$4,'NSE - Other Index Options'!$H:$H,"Weekly*")+SUMIFS('NSE - Other Index Options'!$L:$L,'NSE - Other Index Options'!$C:$C,$A90,'NSE - Other Index Options'!$B:$B,E$4,'NSE - Other Index Options'!$H:$H,"MDAW*"))</f>
        <v/>
      </c>
      <c r="F90" s="26" t="str">
        <f>IF(SUMIFS('NSE - NIFTY Index Options'!$L:$L,'NSE - NIFTY Index Options'!$C:$C,$A90,'NSE - NIFTY Index Options'!$B:$B,F$4,'NSE - NIFTY Index Options'!$H:$H,"Weekly*")+SUMIFS('NSE - NIFTY Index Options'!$L:$L,'NSE - NIFTY Index Options'!$C:$C,$A90,'NSE - NIFTY Index Options'!$B:$B,F$4,'NSE - NIFTY Index Options'!$H:$H,"MDAW*")+SUMIFS('NSE - Other Index Options'!$L:$L,'NSE - Other Index Options'!$C:$C,$A90,'NSE - Other Index Options'!$B:$B,F$4,'NSE - Other Index Options'!$H:$H,"Weekly*")+SUMIFS('NSE - Other Index Options'!$L:$L,'NSE - Other Index Options'!$C:$C,$A90,'NSE - Other Index Options'!$B:$B,F$4,'NSE - Other Index Options'!$H:$H,"MDAW*")=0,"",SUMIFS('NSE - NIFTY Index Options'!$L:$L,'NSE - NIFTY Index Options'!$C:$C,$A90,'NSE - NIFTY Index Options'!$B:$B,F$4,'NSE - NIFTY Index Options'!$H:$H,"Weekly*")+SUMIFS('NSE - NIFTY Index Options'!$L:$L,'NSE - NIFTY Index Options'!$C:$C,$A90,'NSE - NIFTY Index Options'!$B:$B,F$4,'NSE - NIFTY Index Options'!$H:$H,"MDAW*")+SUMIFS('NSE - Other Index Options'!$L:$L,'NSE - Other Index Options'!$C:$C,$A90,'NSE - Other Index Options'!$B:$B,F$4,'NSE - Other Index Options'!$H:$H,"Weekly*")+SUMIFS('NSE - Other Index Options'!$L:$L,'NSE - Other Index Options'!$C:$C,$A90,'NSE - Other Index Options'!$B:$B,F$4,'NSE - Other Index Options'!$H:$H,"MDAW*"))</f>
        <v/>
      </c>
      <c r="G90" s="26" t="str">
        <f>IF(SUMIFS('NSE - NIFTY Index Options'!$L:$L,'NSE - NIFTY Index Options'!$C:$C,$A90,'NSE - NIFTY Index Options'!$B:$B,G$4,'NSE - NIFTY Index Options'!$H:$H,"Weekly*")+SUMIFS('NSE - NIFTY Index Options'!$L:$L,'NSE - NIFTY Index Options'!$C:$C,$A90,'NSE - NIFTY Index Options'!$B:$B,G$4,'NSE - NIFTY Index Options'!$H:$H,"MDAW*")+SUMIFS('NSE - Other Index Options'!$L:$L,'NSE - Other Index Options'!$C:$C,$A90,'NSE - Other Index Options'!$B:$B,G$4,'NSE - Other Index Options'!$H:$H,"Weekly*")+SUMIFS('NSE - Other Index Options'!$L:$L,'NSE - Other Index Options'!$C:$C,$A90,'NSE - Other Index Options'!$B:$B,G$4,'NSE - Other Index Options'!$H:$H,"MDAW*")=0,"",SUMIFS('NSE - NIFTY Index Options'!$L:$L,'NSE - NIFTY Index Options'!$C:$C,$A90,'NSE - NIFTY Index Options'!$B:$B,G$4,'NSE - NIFTY Index Options'!$H:$H,"Weekly*")+SUMIFS('NSE - NIFTY Index Options'!$L:$L,'NSE - NIFTY Index Options'!$C:$C,$A90,'NSE - NIFTY Index Options'!$B:$B,G$4,'NSE - NIFTY Index Options'!$H:$H,"MDAW*")+SUMIFS('NSE - Other Index Options'!$L:$L,'NSE - Other Index Options'!$C:$C,$A90,'NSE - Other Index Options'!$B:$B,G$4,'NSE - Other Index Options'!$H:$H,"Weekly*")+SUMIFS('NSE - Other Index Options'!$L:$L,'NSE - Other Index Options'!$C:$C,$A90,'NSE - Other Index Options'!$B:$B,G$4,'NSE - Other Index Options'!$H:$H,"MDAW*"))</f>
        <v/>
      </c>
      <c r="H90" s="26" t="str">
        <f t="shared" si="2"/>
        <v/>
      </c>
    </row>
    <row r="91" spans="1:8" hidden="1" outlineLevel="1">
      <c r="A91" t="s">
        <v>96</v>
      </c>
      <c r="B91" s="26" t="str">
        <f>IF(SUMIFS('NSE - NIFTY Index Options'!$L:$L,'NSE - NIFTY Index Options'!$C:$C,$A91,'NSE - NIFTY Index Options'!$B:$B,B$4,'NSE - NIFTY Index Options'!$H:$H,"Weekly*")+SUMIFS('NSE - NIFTY Index Options'!$L:$L,'NSE - NIFTY Index Options'!$C:$C,$A91,'NSE - NIFTY Index Options'!$B:$B,B$4,'NSE - NIFTY Index Options'!$H:$H,"MDAW*")+SUMIFS('NSE - Other Index Options'!$L:$L,'NSE - Other Index Options'!$C:$C,$A91,'NSE - Other Index Options'!$B:$B,B$4,'NSE - Other Index Options'!$H:$H,"Weekly*")+SUMIFS('NSE - Other Index Options'!$L:$L,'NSE - Other Index Options'!$C:$C,$A91,'NSE - Other Index Options'!$B:$B,B$4,'NSE - Other Index Options'!$H:$H,"MDAW*")=0,"",SUMIFS('NSE - NIFTY Index Options'!$L:$L,'NSE - NIFTY Index Options'!$C:$C,$A91,'NSE - NIFTY Index Options'!$B:$B,B$4,'NSE - NIFTY Index Options'!$H:$H,"Weekly*")+SUMIFS('NSE - NIFTY Index Options'!$L:$L,'NSE - NIFTY Index Options'!$C:$C,$A91,'NSE - NIFTY Index Options'!$B:$B,B$4,'NSE - NIFTY Index Options'!$H:$H,"MDAW*")+SUMIFS('NSE - Other Index Options'!$L:$L,'NSE - Other Index Options'!$C:$C,$A91,'NSE - Other Index Options'!$B:$B,B$4,'NSE - Other Index Options'!$H:$H,"Weekly*")+SUMIFS('NSE - Other Index Options'!$L:$L,'NSE - Other Index Options'!$C:$C,$A91,'NSE - Other Index Options'!$B:$B,B$4,'NSE - Other Index Options'!$H:$H,"MDAW*"))</f>
        <v/>
      </c>
      <c r="C91" s="26" t="str">
        <f>IF(SUMIFS('NSE - NIFTY Index Options'!$L:$L,'NSE - NIFTY Index Options'!$C:$C,$A91,'NSE - NIFTY Index Options'!$B:$B,C$4,'NSE - NIFTY Index Options'!$H:$H,"Weekly*")+SUMIFS('NSE - NIFTY Index Options'!$L:$L,'NSE - NIFTY Index Options'!$C:$C,$A91,'NSE - NIFTY Index Options'!$B:$B,C$4,'NSE - NIFTY Index Options'!$H:$H,"MDAW*")+SUMIFS('NSE - Other Index Options'!$L:$L,'NSE - Other Index Options'!$C:$C,$A91,'NSE - Other Index Options'!$B:$B,C$4,'NSE - Other Index Options'!$H:$H,"Weekly*")+SUMIFS('NSE - Other Index Options'!$L:$L,'NSE - Other Index Options'!$C:$C,$A91,'NSE - Other Index Options'!$B:$B,C$4,'NSE - Other Index Options'!$H:$H,"MDAW*")=0,"",SUMIFS('NSE - NIFTY Index Options'!$L:$L,'NSE - NIFTY Index Options'!$C:$C,$A91,'NSE - NIFTY Index Options'!$B:$B,C$4,'NSE - NIFTY Index Options'!$H:$H,"Weekly*")+SUMIFS('NSE - NIFTY Index Options'!$L:$L,'NSE - NIFTY Index Options'!$C:$C,$A91,'NSE - NIFTY Index Options'!$B:$B,C$4,'NSE - NIFTY Index Options'!$H:$H,"MDAW*")+SUMIFS('NSE - Other Index Options'!$L:$L,'NSE - Other Index Options'!$C:$C,$A91,'NSE - Other Index Options'!$B:$B,C$4,'NSE - Other Index Options'!$H:$H,"Weekly*")+SUMIFS('NSE - Other Index Options'!$L:$L,'NSE - Other Index Options'!$C:$C,$A91,'NSE - Other Index Options'!$B:$B,C$4,'NSE - Other Index Options'!$H:$H,"MDAW*"))</f>
        <v/>
      </c>
      <c r="D91" s="26" t="str">
        <f>IF(SUMIFS('NSE - NIFTY Index Options'!$L:$L,'NSE - NIFTY Index Options'!$C:$C,$A91,'NSE - NIFTY Index Options'!$B:$B,D$4,'NSE - NIFTY Index Options'!$H:$H,"Weekly*")+SUMIFS('NSE - NIFTY Index Options'!$L:$L,'NSE - NIFTY Index Options'!$C:$C,$A91,'NSE - NIFTY Index Options'!$B:$B,D$4,'NSE - NIFTY Index Options'!$H:$H,"MDAW*")+SUMIFS('NSE - Other Index Options'!$L:$L,'NSE - Other Index Options'!$C:$C,$A91,'NSE - Other Index Options'!$B:$B,D$4,'NSE - Other Index Options'!$H:$H,"Weekly*")+SUMIFS('NSE - Other Index Options'!$L:$L,'NSE - Other Index Options'!$C:$C,$A91,'NSE - Other Index Options'!$B:$B,D$4,'NSE - Other Index Options'!$H:$H,"MDAW*")=0,"",SUMIFS('NSE - NIFTY Index Options'!$L:$L,'NSE - NIFTY Index Options'!$C:$C,$A91,'NSE - NIFTY Index Options'!$B:$B,D$4,'NSE - NIFTY Index Options'!$H:$H,"Weekly*")+SUMIFS('NSE - NIFTY Index Options'!$L:$L,'NSE - NIFTY Index Options'!$C:$C,$A91,'NSE - NIFTY Index Options'!$B:$B,D$4,'NSE - NIFTY Index Options'!$H:$H,"MDAW*")+SUMIFS('NSE - Other Index Options'!$L:$L,'NSE - Other Index Options'!$C:$C,$A91,'NSE - Other Index Options'!$B:$B,D$4,'NSE - Other Index Options'!$H:$H,"Weekly*")+SUMIFS('NSE - Other Index Options'!$L:$L,'NSE - Other Index Options'!$C:$C,$A91,'NSE - Other Index Options'!$B:$B,D$4,'NSE - Other Index Options'!$H:$H,"MDAW*"))</f>
        <v/>
      </c>
      <c r="E91" s="26" t="str">
        <f>IF(SUMIFS('NSE - NIFTY Index Options'!$L:$L,'NSE - NIFTY Index Options'!$C:$C,$A91,'NSE - NIFTY Index Options'!$B:$B,E$4,'NSE - NIFTY Index Options'!$H:$H,"Weekly*")+SUMIFS('NSE - NIFTY Index Options'!$L:$L,'NSE - NIFTY Index Options'!$C:$C,$A91,'NSE - NIFTY Index Options'!$B:$B,E$4,'NSE - NIFTY Index Options'!$H:$H,"MDAW*")+SUMIFS('NSE - Other Index Options'!$L:$L,'NSE - Other Index Options'!$C:$C,$A91,'NSE - Other Index Options'!$B:$B,E$4,'NSE - Other Index Options'!$H:$H,"Weekly*")+SUMIFS('NSE - Other Index Options'!$L:$L,'NSE - Other Index Options'!$C:$C,$A91,'NSE - Other Index Options'!$B:$B,E$4,'NSE - Other Index Options'!$H:$H,"MDAW*")=0,"",SUMIFS('NSE - NIFTY Index Options'!$L:$L,'NSE - NIFTY Index Options'!$C:$C,$A91,'NSE - NIFTY Index Options'!$B:$B,E$4,'NSE - NIFTY Index Options'!$H:$H,"Weekly*")+SUMIFS('NSE - NIFTY Index Options'!$L:$L,'NSE - NIFTY Index Options'!$C:$C,$A91,'NSE - NIFTY Index Options'!$B:$B,E$4,'NSE - NIFTY Index Options'!$H:$H,"MDAW*")+SUMIFS('NSE - Other Index Options'!$L:$L,'NSE - Other Index Options'!$C:$C,$A91,'NSE - Other Index Options'!$B:$B,E$4,'NSE - Other Index Options'!$H:$H,"Weekly*")+SUMIFS('NSE - Other Index Options'!$L:$L,'NSE - Other Index Options'!$C:$C,$A91,'NSE - Other Index Options'!$B:$B,E$4,'NSE - Other Index Options'!$H:$H,"MDAW*"))</f>
        <v/>
      </c>
      <c r="F91" s="26" t="str">
        <f>IF(SUMIFS('NSE - NIFTY Index Options'!$L:$L,'NSE - NIFTY Index Options'!$C:$C,$A91,'NSE - NIFTY Index Options'!$B:$B,F$4,'NSE - NIFTY Index Options'!$H:$H,"Weekly*")+SUMIFS('NSE - NIFTY Index Options'!$L:$L,'NSE - NIFTY Index Options'!$C:$C,$A91,'NSE - NIFTY Index Options'!$B:$B,F$4,'NSE - NIFTY Index Options'!$H:$H,"MDAW*")+SUMIFS('NSE - Other Index Options'!$L:$L,'NSE - Other Index Options'!$C:$C,$A91,'NSE - Other Index Options'!$B:$B,F$4,'NSE - Other Index Options'!$H:$H,"Weekly*")+SUMIFS('NSE - Other Index Options'!$L:$L,'NSE - Other Index Options'!$C:$C,$A91,'NSE - Other Index Options'!$B:$B,F$4,'NSE - Other Index Options'!$H:$H,"MDAW*")=0,"",SUMIFS('NSE - NIFTY Index Options'!$L:$L,'NSE - NIFTY Index Options'!$C:$C,$A91,'NSE - NIFTY Index Options'!$B:$B,F$4,'NSE - NIFTY Index Options'!$H:$H,"Weekly*")+SUMIFS('NSE - NIFTY Index Options'!$L:$L,'NSE - NIFTY Index Options'!$C:$C,$A91,'NSE - NIFTY Index Options'!$B:$B,F$4,'NSE - NIFTY Index Options'!$H:$H,"MDAW*")+SUMIFS('NSE - Other Index Options'!$L:$L,'NSE - Other Index Options'!$C:$C,$A91,'NSE - Other Index Options'!$B:$B,F$4,'NSE - Other Index Options'!$H:$H,"Weekly*")+SUMIFS('NSE - Other Index Options'!$L:$L,'NSE - Other Index Options'!$C:$C,$A91,'NSE - Other Index Options'!$B:$B,F$4,'NSE - Other Index Options'!$H:$H,"MDAW*"))</f>
        <v/>
      </c>
      <c r="G91" s="26" t="str">
        <f>IF(SUMIFS('NSE - NIFTY Index Options'!$L:$L,'NSE - NIFTY Index Options'!$C:$C,$A91,'NSE - NIFTY Index Options'!$B:$B,G$4,'NSE - NIFTY Index Options'!$H:$H,"Weekly*")+SUMIFS('NSE - NIFTY Index Options'!$L:$L,'NSE - NIFTY Index Options'!$C:$C,$A91,'NSE - NIFTY Index Options'!$B:$B,G$4,'NSE - NIFTY Index Options'!$H:$H,"MDAW*")+SUMIFS('NSE - Other Index Options'!$L:$L,'NSE - Other Index Options'!$C:$C,$A91,'NSE - Other Index Options'!$B:$B,G$4,'NSE - Other Index Options'!$H:$H,"Weekly*")+SUMIFS('NSE - Other Index Options'!$L:$L,'NSE - Other Index Options'!$C:$C,$A91,'NSE - Other Index Options'!$B:$B,G$4,'NSE - Other Index Options'!$H:$H,"MDAW*")=0,"",SUMIFS('NSE - NIFTY Index Options'!$L:$L,'NSE - NIFTY Index Options'!$C:$C,$A91,'NSE - NIFTY Index Options'!$B:$B,G$4,'NSE - NIFTY Index Options'!$H:$H,"Weekly*")+SUMIFS('NSE - NIFTY Index Options'!$L:$L,'NSE - NIFTY Index Options'!$C:$C,$A91,'NSE - NIFTY Index Options'!$B:$B,G$4,'NSE - NIFTY Index Options'!$H:$H,"MDAW*")+SUMIFS('NSE - Other Index Options'!$L:$L,'NSE - Other Index Options'!$C:$C,$A91,'NSE - Other Index Options'!$B:$B,G$4,'NSE - Other Index Options'!$H:$H,"Weekly*")+SUMIFS('NSE - Other Index Options'!$L:$L,'NSE - Other Index Options'!$C:$C,$A91,'NSE - Other Index Options'!$B:$B,G$4,'NSE - Other Index Options'!$H:$H,"MDAW*"))</f>
        <v/>
      </c>
      <c r="H91" s="26" t="str">
        <f t="shared" si="2"/>
        <v/>
      </c>
    </row>
    <row r="92" spans="1:8" hidden="1" outlineLevel="1">
      <c r="A92" t="s">
        <v>97</v>
      </c>
      <c r="B92" s="26" t="str">
        <f>IF(SUMIFS('NSE - NIFTY Index Options'!$L:$L,'NSE - NIFTY Index Options'!$C:$C,$A92,'NSE - NIFTY Index Options'!$B:$B,B$4,'NSE - NIFTY Index Options'!$H:$H,"Weekly*")+SUMIFS('NSE - NIFTY Index Options'!$L:$L,'NSE - NIFTY Index Options'!$C:$C,$A92,'NSE - NIFTY Index Options'!$B:$B,B$4,'NSE - NIFTY Index Options'!$H:$H,"MDAW*")+SUMIFS('NSE - Other Index Options'!$L:$L,'NSE - Other Index Options'!$C:$C,$A92,'NSE - Other Index Options'!$B:$B,B$4,'NSE - Other Index Options'!$H:$H,"Weekly*")+SUMIFS('NSE - Other Index Options'!$L:$L,'NSE - Other Index Options'!$C:$C,$A92,'NSE - Other Index Options'!$B:$B,B$4,'NSE - Other Index Options'!$H:$H,"MDAW*")=0,"",SUMIFS('NSE - NIFTY Index Options'!$L:$L,'NSE - NIFTY Index Options'!$C:$C,$A92,'NSE - NIFTY Index Options'!$B:$B,B$4,'NSE - NIFTY Index Options'!$H:$H,"Weekly*")+SUMIFS('NSE - NIFTY Index Options'!$L:$L,'NSE - NIFTY Index Options'!$C:$C,$A92,'NSE - NIFTY Index Options'!$B:$B,B$4,'NSE - NIFTY Index Options'!$H:$H,"MDAW*")+SUMIFS('NSE - Other Index Options'!$L:$L,'NSE - Other Index Options'!$C:$C,$A92,'NSE - Other Index Options'!$B:$B,B$4,'NSE - Other Index Options'!$H:$H,"Weekly*")+SUMIFS('NSE - Other Index Options'!$L:$L,'NSE - Other Index Options'!$C:$C,$A92,'NSE - Other Index Options'!$B:$B,B$4,'NSE - Other Index Options'!$H:$H,"MDAW*"))</f>
        <v/>
      </c>
      <c r="C92" s="26" t="str">
        <f>IF(SUMIFS('NSE - NIFTY Index Options'!$L:$L,'NSE - NIFTY Index Options'!$C:$C,$A92,'NSE - NIFTY Index Options'!$B:$B,C$4,'NSE - NIFTY Index Options'!$H:$H,"Weekly*")+SUMIFS('NSE - NIFTY Index Options'!$L:$L,'NSE - NIFTY Index Options'!$C:$C,$A92,'NSE - NIFTY Index Options'!$B:$B,C$4,'NSE - NIFTY Index Options'!$H:$H,"MDAW*")+SUMIFS('NSE - Other Index Options'!$L:$L,'NSE - Other Index Options'!$C:$C,$A92,'NSE - Other Index Options'!$B:$B,C$4,'NSE - Other Index Options'!$H:$H,"Weekly*")+SUMIFS('NSE - Other Index Options'!$L:$L,'NSE - Other Index Options'!$C:$C,$A92,'NSE - Other Index Options'!$B:$B,C$4,'NSE - Other Index Options'!$H:$H,"MDAW*")=0,"",SUMIFS('NSE - NIFTY Index Options'!$L:$L,'NSE - NIFTY Index Options'!$C:$C,$A92,'NSE - NIFTY Index Options'!$B:$B,C$4,'NSE - NIFTY Index Options'!$H:$H,"Weekly*")+SUMIFS('NSE - NIFTY Index Options'!$L:$L,'NSE - NIFTY Index Options'!$C:$C,$A92,'NSE - NIFTY Index Options'!$B:$B,C$4,'NSE - NIFTY Index Options'!$H:$H,"MDAW*")+SUMIFS('NSE - Other Index Options'!$L:$L,'NSE - Other Index Options'!$C:$C,$A92,'NSE - Other Index Options'!$B:$B,C$4,'NSE - Other Index Options'!$H:$H,"Weekly*")+SUMIFS('NSE - Other Index Options'!$L:$L,'NSE - Other Index Options'!$C:$C,$A92,'NSE - Other Index Options'!$B:$B,C$4,'NSE - Other Index Options'!$H:$H,"MDAW*"))</f>
        <v/>
      </c>
      <c r="D92" s="26" t="str">
        <f>IF(SUMIFS('NSE - NIFTY Index Options'!$L:$L,'NSE - NIFTY Index Options'!$C:$C,$A92,'NSE - NIFTY Index Options'!$B:$B,D$4,'NSE - NIFTY Index Options'!$H:$H,"Weekly*")+SUMIFS('NSE - NIFTY Index Options'!$L:$L,'NSE - NIFTY Index Options'!$C:$C,$A92,'NSE - NIFTY Index Options'!$B:$B,D$4,'NSE - NIFTY Index Options'!$H:$H,"MDAW*")+SUMIFS('NSE - Other Index Options'!$L:$L,'NSE - Other Index Options'!$C:$C,$A92,'NSE - Other Index Options'!$B:$B,D$4,'NSE - Other Index Options'!$H:$H,"Weekly*")+SUMIFS('NSE - Other Index Options'!$L:$L,'NSE - Other Index Options'!$C:$C,$A92,'NSE - Other Index Options'!$B:$B,D$4,'NSE - Other Index Options'!$H:$H,"MDAW*")=0,"",SUMIFS('NSE - NIFTY Index Options'!$L:$L,'NSE - NIFTY Index Options'!$C:$C,$A92,'NSE - NIFTY Index Options'!$B:$B,D$4,'NSE - NIFTY Index Options'!$H:$H,"Weekly*")+SUMIFS('NSE - NIFTY Index Options'!$L:$L,'NSE - NIFTY Index Options'!$C:$C,$A92,'NSE - NIFTY Index Options'!$B:$B,D$4,'NSE - NIFTY Index Options'!$H:$H,"MDAW*")+SUMIFS('NSE - Other Index Options'!$L:$L,'NSE - Other Index Options'!$C:$C,$A92,'NSE - Other Index Options'!$B:$B,D$4,'NSE - Other Index Options'!$H:$H,"Weekly*")+SUMIFS('NSE - Other Index Options'!$L:$L,'NSE - Other Index Options'!$C:$C,$A92,'NSE - Other Index Options'!$B:$B,D$4,'NSE - Other Index Options'!$H:$H,"MDAW*"))</f>
        <v/>
      </c>
      <c r="E92" s="26" t="str">
        <f>IF(SUMIFS('NSE - NIFTY Index Options'!$L:$L,'NSE - NIFTY Index Options'!$C:$C,$A92,'NSE - NIFTY Index Options'!$B:$B,E$4,'NSE - NIFTY Index Options'!$H:$H,"Weekly*")+SUMIFS('NSE - NIFTY Index Options'!$L:$L,'NSE - NIFTY Index Options'!$C:$C,$A92,'NSE - NIFTY Index Options'!$B:$B,E$4,'NSE - NIFTY Index Options'!$H:$H,"MDAW*")+SUMIFS('NSE - Other Index Options'!$L:$L,'NSE - Other Index Options'!$C:$C,$A92,'NSE - Other Index Options'!$B:$B,E$4,'NSE - Other Index Options'!$H:$H,"Weekly*")+SUMIFS('NSE - Other Index Options'!$L:$L,'NSE - Other Index Options'!$C:$C,$A92,'NSE - Other Index Options'!$B:$B,E$4,'NSE - Other Index Options'!$H:$H,"MDAW*")=0,"",SUMIFS('NSE - NIFTY Index Options'!$L:$L,'NSE - NIFTY Index Options'!$C:$C,$A92,'NSE - NIFTY Index Options'!$B:$B,E$4,'NSE - NIFTY Index Options'!$H:$H,"Weekly*")+SUMIFS('NSE - NIFTY Index Options'!$L:$L,'NSE - NIFTY Index Options'!$C:$C,$A92,'NSE - NIFTY Index Options'!$B:$B,E$4,'NSE - NIFTY Index Options'!$H:$H,"MDAW*")+SUMIFS('NSE - Other Index Options'!$L:$L,'NSE - Other Index Options'!$C:$C,$A92,'NSE - Other Index Options'!$B:$B,E$4,'NSE - Other Index Options'!$H:$H,"Weekly*")+SUMIFS('NSE - Other Index Options'!$L:$L,'NSE - Other Index Options'!$C:$C,$A92,'NSE - Other Index Options'!$B:$B,E$4,'NSE - Other Index Options'!$H:$H,"MDAW*"))</f>
        <v/>
      </c>
      <c r="F92" s="26" t="str">
        <f>IF(SUMIFS('NSE - NIFTY Index Options'!$L:$L,'NSE - NIFTY Index Options'!$C:$C,$A92,'NSE - NIFTY Index Options'!$B:$B,F$4,'NSE - NIFTY Index Options'!$H:$H,"Weekly*")+SUMIFS('NSE - NIFTY Index Options'!$L:$L,'NSE - NIFTY Index Options'!$C:$C,$A92,'NSE - NIFTY Index Options'!$B:$B,F$4,'NSE - NIFTY Index Options'!$H:$H,"MDAW*")+SUMIFS('NSE - Other Index Options'!$L:$L,'NSE - Other Index Options'!$C:$C,$A92,'NSE - Other Index Options'!$B:$B,F$4,'NSE - Other Index Options'!$H:$H,"Weekly*")+SUMIFS('NSE - Other Index Options'!$L:$L,'NSE - Other Index Options'!$C:$C,$A92,'NSE - Other Index Options'!$B:$B,F$4,'NSE - Other Index Options'!$H:$H,"MDAW*")=0,"",SUMIFS('NSE - NIFTY Index Options'!$L:$L,'NSE - NIFTY Index Options'!$C:$C,$A92,'NSE - NIFTY Index Options'!$B:$B,F$4,'NSE - NIFTY Index Options'!$H:$H,"Weekly*")+SUMIFS('NSE - NIFTY Index Options'!$L:$L,'NSE - NIFTY Index Options'!$C:$C,$A92,'NSE - NIFTY Index Options'!$B:$B,F$4,'NSE - NIFTY Index Options'!$H:$H,"MDAW*")+SUMIFS('NSE - Other Index Options'!$L:$L,'NSE - Other Index Options'!$C:$C,$A92,'NSE - Other Index Options'!$B:$B,F$4,'NSE - Other Index Options'!$H:$H,"Weekly*")+SUMIFS('NSE - Other Index Options'!$L:$L,'NSE - Other Index Options'!$C:$C,$A92,'NSE - Other Index Options'!$B:$B,F$4,'NSE - Other Index Options'!$H:$H,"MDAW*"))</f>
        <v/>
      </c>
      <c r="G92" s="26" t="str">
        <f>IF(SUMIFS('NSE - NIFTY Index Options'!$L:$L,'NSE - NIFTY Index Options'!$C:$C,$A92,'NSE - NIFTY Index Options'!$B:$B,G$4,'NSE - NIFTY Index Options'!$H:$H,"Weekly*")+SUMIFS('NSE - NIFTY Index Options'!$L:$L,'NSE - NIFTY Index Options'!$C:$C,$A92,'NSE - NIFTY Index Options'!$B:$B,G$4,'NSE - NIFTY Index Options'!$H:$H,"MDAW*")+SUMIFS('NSE - Other Index Options'!$L:$L,'NSE - Other Index Options'!$C:$C,$A92,'NSE - Other Index Options'!$B:$B,G$4,'NSE - Other Index Options'!$H:$H,"Weekly*")+SUMIFS('NSE - Other Index Options'!$L:$L,'NSE - Other Index Options'!$C:$C,$A92,'NSE - Other Index Options'!$B:$B,G$4,'NSE - Other Index Options'!$H:$H,"MDAW*")=0,"",SUMIFS('NSE - NIFTY Index Options'!$L:$L,'NSE - NIFTY Index Options'!$C:$C,$A92,'NSE - NIFTY Index Options'!$B:$B,G$4,'NSE - NIFTY Index Options'!$H:$H,"Weekly*")+SUMIFS('NSE - NIFTY Index Options'!$L:$L,'NSE - NIFTY Index Options'!$C:$C,$A92,'NSE - NIFTY Index Options'!$B:$B,G$4,'NSE - NIFTY Index Options'!$H:$H,"MDAW*")+SUMIFS('NSE - Other Index Options'!$L:$L,'NSE - Other Index Options'!$C:$C,$A92,'NSE - Other Index Options'!$B:$B,G$4,'NSE - Other Index Options'!$H:$H,"Weekly*")+SUMIFS('NSE - Other Index Options'!$L:$L,'NSE - Other Index Options'!$C:$C,$A92,'NSE - Other Index Options'!$B:$B,G$4,'NSE - Other Index Options'!$H:$H,"MDAW*"))</f>
        <v/>
      </c>
      <c r="H92" s="26" t="str">
        <f t="shared" si="2"/>
        <v/>
      </c>
    </row>
    <row r="93" spans="1:8" hidden="1" outlineLevel="1">
      <c r="A93" t="s">
        <v>98</v>
      </c>
      <c r="B93" s="26" t="str">
        <f>IF(SUMIFS('NSE - NIFTY Index Options'!$L:$L,'NSE - NIFTY Index Options'!$C:$C,$A93,'NSE - NIFTY Index Options'!$B:$B,B$4,'NSE - NIFTY Index Options'!$H:$H,"Weekly*")+SUMIFS('NSE - NIFTY Index Options'!$L:$L,'NSE - NIFTY Index Options'!$C:$C,$A93,'NSE - NIFTY Index Options'!$B:$B,B$4,'NSE - NIFTY Index Options'!$H:$H,"MDAW*")+SUMIFS('NSE - Other Index Options'!$L:$L,'NSE - Other Index Options'!$C:$C,$A93,'NSE - Other Index Options'!$B:$B,B$4,'NSE - Other Index Options'!$H:$H,"Weekly*")+SUMIFS('NSE - Other Index Options'!$L:$L,'NSE - Other Index Options'!$C:$C,$A93,'NSE - Other Index Options'!$B:$B,B$4,'NSE - Other Index Options'!$H:$H,"MDAW*")=0,"",SUMIFS('NSE - NIFTY Index Options'!$L:$L,'NSE - NIFTY Index Options'!$C:$C,$A93,'NSE - NIFTY Index Options'!$B:$B,B$4,'NSE - NIFTY Index Options'!$H:$H,"Weekly*")+SUMIFS('NSE - NIFTY Index Options'!$L:$L,'NSE - NIFTY Index Options'!$C:$C,$A93,'NSE - NIFTY Index Options'!$B:$B,B$4,'NSE - NIFTY Index Options'!$H:$H,"MDAW*")+SUMIFS('NSE - Other Index Options'!$L:$L,'NSE - Other Index Options'!$C:$C,$A93,'NSE - Other Index Options'!$B:$B,B$4,'NSE - Other Index Options'!$H:$H,"Weekly*")+SUMIFS('NSE - Other Index Options'!$L:$L,'NSE - Other Index Options'!$C:$C,$A93,'NSE - Other Index Options'!$B:$B,B$4,'NSE - Other Index Options'!$H:$H,"MDAW*"))</f>
        <v/>
      </c>
      <c r="C93" s="26" t="str">
        <f>IF(SUMIFS('NSE - NIFTY Index Options'!$L:$L,'NSE - NIFTY Index Options'!$C:$C,$A93,'NSE - NIFTY Index Options'!$B:$B,C$4,'NSE - NIFTY Index Options'!$H:$H,"Weekly*")+SUMIFS('NSE - NIFTY Index Options'!$L:$L,'NSE - NIFTY Index Options'!$C:$C,$A93,'NSE - NIFTY Index Options'!$B:$B,C$4,'NSE - NIFTY Index Options'!$H:$H,"MDAW*")+SUMIFS('NSE - Other Index Options'!$L:$L,'NSE - Other Index Options'!$C:$C,$A93,'NSE - Other Index Options'!$B:$B,C$4,'NSE - Other Index Options'!$H:$H,"Weekly*")+SUMIFS('NSE - Other Index Options'!$L:$L,'NSE - Other Index Options'!$C:$C,$A93,'NSE - Other Index Options'!$B:$B,C$4,'NSE - Other Index Options'!$H:$H,"MDAW*")=0,"",SUMIFS('NSE - NIFTY Index Options'!$L:$L,'NSE - NIFTY Index Options'!$C:$C,$A93,'NSE - NIFTY Index Options'!$B:$B,C$4,'NSE - NIFTY Index Options'!$H:$H,"Weekly*")+SUMIFS('NSE - NIFTY Index Options'!$L:$L,'NSE - NIFTY Index Options'!$C:$C,$A93,'NSE - NIFTY Index Options'!$B:$B,C$4,'NSE - NIFTY Index Options'!$H:$H,"MDAW*")+SUMIFS('NSE - Other Index Options'!$L:$L,'NSE - Other Index Options'!$C:$C,$A93,'NSE - Other Index Options'!$B:$B,C$4,'NSE - Other Index Options'!$H:$H,"Weekly*")+SUMIFS('NSE - Other Index Options'!$L:$L,'NSE - Other Index Options'!$C:$C,$A93,'NSE - Other Index Options'!$B:$B,C$4,'NSE - Other Index Options'!$H:$H,"MDAW*"))</f>
        <v/>
      </c>
      <c r="D93" s="26" t="str">
        <f>IF(SUMIFS('NSE - NIFTY Index Options'!$L:$L,'NSE - NIFTY Index Options'!$C:$C,$A93,'NSE - NIFTY Index Options'!$B:$B,D$4,'NSE - NIFTY Index Options'!$H:$H,"Weekly*")+SUMIFS('NSE - NIFTY Index Options'!$L:$L,'NSE - NIFTY Index Options'!$C:$C,$A93,'NSE - NIFTY Index Options'!$B:$B,D$4,'NSE - NIFTY Index Options'!$H:$H,"MDAW*")+SUMIFS('NSE - Other Index Options'!$L:$L,'NSE - Other Index Options'!$C:$C,$A93,'NSE - Other Index Options'!$B:$B,D$4,'NSE - Other Index Options'!$H:$H,"Weekly*")+SUMIFS('NSE - Other Index Options'!$L:$L,'NSE - Other Index Options'!$C:$C,$A93,'NSE - Other Index Options'!$B:$B,D$4,'NSE - Other Index Options'!$H:$H,"MDAW*")=0,"",SUMIFS('NSE - NIFTY Index Options'!$L:$L,'NSE - NIFTY Index Options'!$C:$C,$A93,'NSE - NIFTY Index Options'!$B:$B,D$4,'NSE - NIFTY Index Options'!$H:$H,"Weekly*")+SUMIFS('NSE - NIFTY Index Options'!$L:$L,'NSE - NIFTY Index Options'!$C:$C,$A93,'NSE - NIFTY Index Options'!$B:$B,D$4,'NSE - NIFTY Index Options'!$H:$H,"MDAW*")+SUMIFS('NSE - Other Index Options'!$L:$L,'NSE - Other Index Options'!$C:$C,$A93,'NSE - Other Index Options'!$B:$B,D$4,'NSE - Other Index Options'!$H:$H,"Weekly*")+SUMIFS('NSE - Other Index Options'!$L:$L,'NSE - Other Index Options'!$C:$C,$A93,'NSE - Other Index Options'!$B:$B,D$4,'NSE - Other Index Options'!$H:$H,"MDAW*"))</f>
        <v/>
      </c>
      <c r="E93" s="26" t="str">
        <f>IF(SUMIFS('NSE - NIFTY Index Options'!$L:$L,'NSE - NIFTY Index Options'!$C:$C,$A93,'NSE - NIFTY Index Options'!$B:$B,E$4,'NSE - NIFTY Index Options'!$H:$H,"Weekly*")+SUMIFS('NSE - NIFTY Index Options'!$L:$L,'NSE - NIFTY Index Options'!$C:$C,$A93,'NSE - NIFTY Index Options'!$B:$B,E$4,'NSE - NIFTY Index Options'!$H:$H,"MDAW*")+SUMIFS('NSE - Other Index Options'!$L:$L,'NSE - Other Index Options'!$C:$C,$A93,'NSE - Other Index Options'!$B:$B,E$4,'NSE - Other Index Options'!$H:$H,"Weekly*")+SUMIFS('NSE - Other Index Options'!$L:$L,'NSE - Other Index Options'!$C:$C,$A93,'NSE - Other Index Options'!$B:$B,E$4,'NSE - Other Index Options'!$H:$H,"MDAW*")=0,"",SUMIFS('NSE - NIFTY Index Options'!$L:$L,'NSE - NIFTY Index Options'!$C:$C,$A93,'NSE - NIFTY Index Options'!$B:$B,E$4,'NSE - NIFTY Index Options'!$H:$H,"Weekly*")+SUMIFS('NSE - NIFTY Index Options'!$L:$L,'NSE - NIFTY Index Options'!$C:$C,$A93,'NSE - NIFTY Index Options'!$B:$B,E$4,'NSE - NIFTY Index Options'!$H:$H,"MDAW*")+SUMIFS('NSE - Other Index Options'!$L:$L,'NSE - Other Index Options'!$C:$C,$A93,'NSE - Other Index Options'!$B:$B,E$4,'NSE - Other Index Options'!$H:$H,"Weekly*")+SUMIFS('NSE - Other Index Options'!$L:$L,'NSE - Other Index Options'!$C:$C,$A93,'NSE - Other Index Options'!$B:$B,E$4,'NSE - Other Index Options'!$H:$H,"MDAW*"))</f>
        <v/>
      </c>
      <c r="F93" s="26" t="str">
        <f>IF(SUMIFS('NSE - NIFTY Index Options'!$L:$L,'NSE - NIFTY Index Options'!$C:$C,$A93,'NSE - NIFTY Index Options'!$B:$B,F$4,'NSE - NIFTY Index Options'!$H:$H,"Weekly*")+SUMIFS('NSE - NIFTY Index Options'!$L:$L,'NSE - NIFTY Index Options'!$C:$C,$A93,'NSE - NIFTY Index Options'!$B:$B,F$4,'NSE - NIFTY Index Options'!$H:$H,"MDAW*")+SUMIFS('NSE - Other Index Options'!$L:$L,'NSE - Other Index Options'!$C:$C,$A93,'NSE - Other Index Options'!$B:$B,F$4,'NSE - Other Index Options'!$H:$H,"Weekly*")+SUMIFS('NSE - Other Index Options'!$L:$L,'NSE - Other Index Options'!$C:$C,$A93,'NSE - Other Index Options'!$B:$B,F$4,'NSE - Other Index Options'!$H:$H,"MDAW*")=0,"",SUMIFS('NSE - NIFTY Index Options'!$L:$L,'NSE - NIFTY Index Options'!$C:$C,$A93,'NSE - NIFTY Index Options'!$B:$B,F$4,'NSE - NIFTY Index Options'!$H:$H,"Weekly*")+SUMIFS('NSE - NIFTY Index Options'!$L:$L,'NSE - NIFTY Index Options'!$C:$C,$A93,'NSE - NIFTY Index Options'!$B:$B,F$4,'NSE - NIFTY Index Options'!$H:$H,"MDAW*")+SUMIFS('NSE - Other Index Options'!$L:$L,'NSE - Other Index Options'!$C:$C,$A93,'NSE - Other Index Options'!$B:$B,F$4,'NSE - Other Index Options'!$H:$H,"Weekly*")+SUMIFS('NSE - Other Index Options'!$L:$L,'NSE - Other Index Options'!$C:$C,$A93,'NSE - Other Index Options'!$B:$B,F$4,'NSE - Other Index Options'!$H:$H,"MDAW*"))</f>
        <v/>
      </c>
      <c r="G93" s="26" t="str">
        <f>IF(SUMIFS('NSE - NIFTY Index Options'!$L:$L,'NSE - NIFTY Index Options'!$C:$C,$A93,'NSE - NIFTY Index Options'!$B:$B,G$4,'NSE - NIFTY Index Options'!$H:$H,"Weekly*")+SUMIFS('NSE - NIFTY Index Options'!$L:$L,'NSE - NIFTY Index Options'!$C:$C,$A93,'NSE - NIFTY Index Options'!$B:$B,G$4,'NSE - NIFTY Index Options'!$H:$H,"MDAW*")+SUMIFS('NSE - Other Index Options'!$L:$L,'NSE - Other Index Options'!$C:$C,$A93,'NSE - Other Index Options'!$B:$B,G$4,'NSE - Other Index Options'!$H:$H,"Weekly*")+SUMIFS('NSE - Other Index Options'!$L:$L,'NSE - Other Index Options'!$C:$C,$A93,'NSE - Other Index Options'!$B:$B,G$4,'NSE - Other Index Options'!$H:$H,"MDAW*")=0,"",SUMIFS('NSE - NIFTY Index Options'!$L:$L,'NSE - NIFTY Index Options'!$C:$C,$A93,'NSE - NIFTY Index Options'!$B:$B,G$4,'NSE - NIFTY Index Options'!$H:$H,"Weekly*")+SUMIFS('NSE - NIFTY Index Options'!$L:$L,'NSE - NIFTY Index Options'!$C:$C,$A93,'NSE - NIFTY Index Options'!$B:$B,G$4,'NSE - NIFTY Index Options'!$H:$H,"MDAW*")+SUMIFS('NSE - Other Index Options'!$L:$L,'NSE - Other Index Options'!$C:$C,$A93,'NSE - Other Index Options'!$B:$B,G$4,'NSE - Other Index Options'!$H:$H,"Weekly*")+SUMIFS('NSE - Other Index Options'!$L:$L,'NSE - Other Index Options'!$C:$C,$A93,'NSE - Other Index Options'!$B:$B,G$4,'NSE - Other Index Options'!$H:$H,"MDAW*"))</f>
        <v/>
      </c>
      <c r="H93" s="26" t="str">
        <f t="shared" si="2"/>
        <v/>
      </c>
    </row>
    <row r="94" spans="1:8" hidden="1" outlineLevel="1">
      <c r="A94" t="s">
        <v>99</v>
      </c>
      <c r="B94" s="26" t="str">
        <f>IF(SUMIFS('NSE - NIFTY Index Options'!$L:$L,'NSE - NIFTY Index Options'!$C:$C,$A94,'NSE - NIFTY Index Options'!$B:$B,B$4,'NSE - NIFTY Index Options'!$H:$H,"Weekly*")+SUMIFS('NSE - NIFTY Index Options'!$L:$L,'NSE - NIFTY Index Options'!$C:$C,$A94,'NSE - NIFTY Index Options'!$B:$B,B$4,'NSE - NIFTY Index Options'!$H:$H,"MDAW*")+SUMIFS('NSE - Other Index Options'!$L:$L,'NSE - Other Index Options'!$C:$C,$A94,'NSE - Other Index Options'!$B:$B,B$4,'NSE - Other Index Options'!$H:$H,"Weekly*")+SUMIFS('NSE - Other Index Options'!$L:$L,'NSE - Other Index Options'!$C:$C,$A94,'NSE - Other Index Options'!$B:$B,B$4,'NSE - Other Index Options'!$H:$H,"MDAW*")=0,"",SUMIFS('NSE - NIFTY Index Options'!$L:$L,'NSE - NIFTY Index Options'!$C:$C,$A94,'NSE - NIFTY Index Options'!$B:$B,B$4,'NSE - NIFTY Index Options'!$H:$H,"Weekly*")+SUMIFS('NSE - NIFTY Index Options'!$L:$L,'NSE - NIFTY Index Options'!$C:$C,$A94,'NSE - NIFTY Index Options'!$B:$B,B$4,'NSE - NIFTY Index Options'!$H:$H,"MDAW*")+SUMIFS('NSE - Other Index Options'!$L:$L,'NSE - Other Index Options'!$C:$C,$A94,'NSE - Other Index Options'!$B:$B,B$4,'NSE - Other Index Options'!$H:$H,"Weekly*")+SUMIFS('NSE - Other Index Options'!$L:$L,'NSE - Other Index Options'!$C:$C,$A94,'NSE - Other Index Options'!$B:$B,B$4,'NSE - Other Index Options'!$H:$H,"MDAW*"))</f>
        <v/>
      </c>
      <c r="C94" s="26" t="str">
        <f>IF(SUMIFS('NSE - NIFTY Index Options'!$L:$L,'NSE - NIFTY Index Options'!$C:$C,$A94,'NSE - NIFTY Index Options'!$B:$B,C$4,'NSE - NIFTY Index Options'!$H:$H,"Weekly*")+SUMIFS('NSE - NIFTY Index Options'!$L:$L,'NSE - NIFTY Index Options'!$C:$C,$A94,'NSE - NIFTY Index Options'!$B:$B,C$4,'NSE - NIFTY Index Options'!$H:$H,"MDAW*")+SUMIFS('NSE - Other Index Options'!$L:$L,'NSE - Other Index Options'!$C:$C,$A94,'NSE - Other Index Options'!$B:$B,C$4,'NSE - Other Index Options'!$H:$H,"Weekly*")+SUMIFS('NSE - Other Index Options'!$L:$L,'NSE - Other Index Options'!$C:$C,$A94,'NSE - Other Index Options'!$B:$B,C$4,'NSE - Other Index Options'!$H:$H,"MDAW*")=0,"",SUMIFS('NSE - NIFTY Index Options'!$L:$L,'NSE - NIFTY Index Options'!$C:$C,$A94,'NSE - NIFTY Index Options'!$B:$B,C$4,'NSE - NIFTY Index Options'!$H:$H,"Weekly*")+SUMIFS('NSE - NIFTY Index Options'!$L:$L,'NSE - NIFTY Index Options'!$C:$C,$A94,'NSE - NIFTY Index Options'!$B:$B,C$4,'NSE - NIFTY Index Options'!$H:$H,"MDAW*")+SUMIFS('NSE - Other Index Options'!$L:$L,'NSE - Other Index Options'!$C:$C,$A94,'NSE - Other Index Options'!$B:$B,C$4,'NSE - Other Index Options'!$H:$H,"Weekly*")+SUMIFS('NSE - Other Index Options'!$L:$L,'NSE - Other Index Options'!$C:$C,$A94,'NSE - Other Index Options'!$B:$B,C$4,'NSE - Other Index Options'!$H:$H,"MDAW*"))</f>
        <v/>
      </c>
      <c r="D94" s="26" t="str">
        <f>IF(SUMIFS('NSE - NIFTY Index Options'!$L:$L,'NSE - NIFTY Index Options'!$C:$C,$A94,'NSE - NIFTY Index Options'!$B:$B,D$4,'NSE - NIFTY Index Options'!$H:$H,"Weekly*")+SUMIFS('NSE - NIFTY Index Options'!$L:$L,'NSE - NIFTY Index Options'!$C:$C,$A94,'NSE - NIFTY Index Options'!$B:$B,D$4,'NSE - NIFTY Index Options'!$H:$H,"MDAW*")+SUMIFS('NSE - Other Index Options'!$L:$L,'NSE - Other Index Options'!$C:$C,$A94,'NSE - Other Index Options'!$B:$B,D$4,'NSE - Other Index Options'!$H:$H,"Weekly*")+SUMIFS('NSE - Other Index Options'!$L:$L,'NSE - Other Index Options'!$C:$C,$A94,'NSE - Other Index Options'!$B:$B,D$4,'NSE - Other Index Options'!$H:$H,"MDAW*")=0,"",SUMIFS('NSE - NIFTY Index Options'!$L:$L,'NSE - NIFTY Index Options'!$C:$C,$A94,'NSE - NIFTY Index Options'!$B:$B,D$4,'NSE - NIFTY Index Options'!$H:$H,"Weekly*")+SUMIFS('NSE - NIFTY Index Options'!$L:$L,'NSE - NIFTY Index Options'!$C:$C,$A94,'NSE - NIFTY Index Options'!$B:$B,D$4,'NSE - NIFTY Index Options'!$H:$H,"MDAW*")+SUMIFS('NSE - Other Index Options'!$L:$L,'NSE - Other Index Options'!$C:$C,$A94,'NSE - Other Index Options'!$B:$B,D$4,'NSE - Other Index Options'!$H:$H,"Weekly*")+SUMIFS('NSE - Other Index Options'!$L:$L,'NSE - Other Index Options'!$C:$C,$A94,'NSE - Other Index Options'!$B:$B,D$4,'NSE - Other Index Options'!$H:$H,"MDAW*"))</f>
        <v/>
      </c>
      <c r="E94" s="26" t="str">
        <f>IF(SUMIFS('NSE - NIFTY Index Options'!$L:$L,'NSE - NIFTY Index Options'!$C:$C,$A94,'NSE - NIFTY Index Options'!$B:$B,E$4,'NSE - NIFTY Index Options'!$H:$H,"Weekly*")+SUMIFS('NSE - NIFTY Index Options'!$L:$L,'NSE - NIFTY Index Options'!$C:$C,$A94,'NSE - NIFTY Index Options'!$B:$B,E$4,'NSE - NIFTY Index Options'!$H:$H,"MDAW*")+SUMIFS('NSE - Other Index Options'!$L:$L,'NSE - Other Index Options'!$C:$C,$A94,'NSE - Other Index Options'!$B:$B,E$4,'NSE - Other Index Options'!$H:$H,"Weekly*")+SUMIFS('NSE - Other Index Options'!$L:$L,'NSE - Other Index Options'!$C:$C,$A94,'NSE - Other Index Options'!$B:$B,E$4,'NSE - Other Index Options'!$H:$H,"MDAW*")=0,"",SUMIFS('NSE - NIFTY Index Options'!$L:$L,'NSE - NIFTY Index Options'!$C:$C,$A94,'NSE - NIFTY Index Options'!$B:$B,E$4,'NSE - NIFTY Index Options'!$H:$H,"Weekly*")+SUMIFS('NSE - NIFTY Index Options'!$L:$L,'NSE - NIFTY Index Options'!$C:$C,$A94,'NSE - NIFTY Index Options'!$B:$B,E$4,'NSE - NIFTY Index Options'!$H:$H,"MDAW*")+SUMIFS('NSE - Other Index Options'!$L:$L,'NSE - Other Index Options'!$C:$C,$A94,'NSE - Other Index Options'!$B:$B,E$4,'NSE - Other Index Options'!$H:$H,"Weekly*")+SUMIFS('NSE - Other Index Options'!$L:$L,'NSE - Other Index Options'!$C:$C,$A94,'NSE - Other Index Options'!$B:$B,E$4,'NSE - Other Index Options'!$H:$H,"MDAW*"))</f>
        <v/>
      </c>
      <c r="F94" s="26" t="str">
        <f>IF(SUMIFS('NSE - NIFTY Index Options'!$L:$L,'NSE - NIFTY Index Options'!$C:$C,$A94,'NSE - NIFTY Index Options'!$B:$B,F$4,'NSE - NIFTY Index Options'!$H:$H,"Weekly*")+SUMIFS('NSE - NIFTY Index Options'!$L:$L,'NSE - NIFTY Index Options'!$C:$C,$A94,'NSE - NIFTY Index Options'!$B:$B,F$4,'NSE - NIFTY Index Options'!$H:$H,"MDAW*")+SUMIFS('NSE - Other Index Options'!$L:$L,'NSE - Other Index Options'!$C:$C,$A94,'NSE - Other Index Options'!$B:$B,F$4,'NSE - Other Index Options'!$H:$H,"Weekly*")+SUMIFS('NSE - Other Index Options'!$L:$L,'NSE - Other Index Options'!$C:$C,$A94,'NSE - Other Index Options'!$B:$B,F$4,'NSE - Other Index Options'!$H:$H,"MDAW*")=0,"",SUMIFS('NSE - NIFTY Index Options'!$L:$L,'NSE - NIFTY Index Options'!$C:$C,$A94,'NSE - NIFTY Index Options'!$B:$B,F$4,'NSE - NIFTY Index Options'!$H:$H,"Weekly*")+SUMIFS('NSE - NIFTY Index Options'!$L:$L,'NSE - NIFTY Index Options'!$C:$C,$A94,'NSE - NIFTY Index Options'!$B:$B,F$4,'NSE - NIFTY Index Options'!$H:$H,"MDAW*")+SUMIFS('NSE - Other Index Options'!$L:$L,'NSE - Other Index Options'!$C:$C,$A94,'NSE - Other Index Options'!$B:$B,F$4,'NSE - Other Index Options'!$H:$H,"Weekly*")+SUMIFS('NSE - Other Index Options'!$L:$L,'NSE - Other Index Options'!$C:$C,$A94,'NSE - Other Index Options'!$B:$B,F$4,'NSE - Other Index Options'!$H:$H,"MDAW*"))</f>
        <v/>
      </c>
      <c r="G94" s="26" t="str">
        <f>IF(SUMIFS('NSE - NIFTY Index Options'!$L:$L,'NSE - NIFTY Index Options'!$C:$C,$A94,'NSE - NIFTY Index Options'!$B:$B,G$4,'NSE - NIFTY Index Options'!$H:$H,"Weekly*")+SUMIFS('NSE - NIFTY Index Options'!$L:$L,'NSE - NIFTY Index Options'!$C:$C,$A94,'NSE - NIFTY Index Options'!$B:$B,G$4,'NSE - NIFTY Index Options'!$H:$H,"MDAW*")+SUMIFS('NSE - Other Index Options'!$L:$L,'NSE - Other Index Options'!$C:$C,$A94,'NSE - Other Index Options'!$B:$B,G$4,'NSE - Other Index Options'!$H:$H,"Weekly*")+SUMIFS('NSE - Other Index Options'!$L:$L,'NSE - Other Index Options'!$C:$C,$A94,'NSE - Other Index Options'!$B:$B,G$4,'NSE - Other Index Options'!$H:$H,"MDAW*")=0,"",SUMIFS('NSE - NIFTY Index Options'!$L:$L,'NSE - NIFTY Index Options'!$C:$C,$A94,'NSE - NIFTY Index Options'!$B:$B,G$4,'NSE - NIFTY Index Options'!$H:$H,"Weekly*")+SUMIFS('NSE - NIFTY Index Options'!$L:$L,'NSE - NIFTY Index Options'!$C:$C,$A94,'NSE - NIFTY Index Options'!$B:$B,G$4,'NSE - NIFTY Index Options'!$H:$H,"MDAW*")+SUMIFS('NSE - Other Index Options'!$L:$L,'NSE - Other Index Options'!$C:$C,$A94,'NSE - Other Index Options'!$B:$B,G$4,'NSE - Other Index Options'!$H:$H,"Weekly*")+SUMIFS('NSE - Other Index Options'!$L:$L,'NSE - Other Index Options'!$C:$C,$A94,'NSE - Other Index Options'!$B:$B,G$4,'NSE - Other Index Options'!$H:$H,"MDAW*"))</f>
        <v/>
      </c>
      <c r="H94" s="26" t="str">
        <f t="shared" si="2"/>
        <v/>
      </c>
    </row>
    <row r="95" spans="1:8" hidden="1" outlineLevel="1">
      <c r="A95" t="s">
        <v>100</v>
      </c>
      <c r="B95" s="26" t="str">
        <f>IF(SUMIFS('NSE - NIFTY Index Options'!$L:$L,'NSE - NIFTY Index Options'!$C:$C,$A95,'NSE - NIFTY Index Options'!$B:$B,B$4,'NSE - NIFTY Index Options'!$H:$H,"Weekly*")+SUMIFS('NSE - NIFTY Index Options'!$L:$L,'NSE - NIFTY Index Options'!$C:$C,$A95,'NSE - NIFTY Index Options'!$B:$B,B$4,'NSE - NIFTY Index Options'!$H:$H,"MDAW*")+SUMIFS('NSE - Other Index Options'!$L:$L,'NSE - Other Index Options'!$C:$C,$A95,'NSE - Other Index Options'!$B:$B,B$4,'NSE - Other Index Options'!$H:$H,"Weekly*")+SUMIFS('NSE - Other Index Options'!$L:$L,'NSE - Other Index Options'!$C:$C,$A95,'NSE - Other Index Options'!$B:$B,B$4,'NSE - Other Index Options'!$H:$H,"MDAW*")=0,"",SUMIFS('NSE - NIFTY Index Options'!$L:$L,'NSE - NIFTY Index Options'!$C:$C,$A95,'NSE - NIFTY Index Options'!$B:$B,B$4,'NSE - NIFTY Index Options'!$H:$H,"Weekly*")+SUMIFS('NSE - NIFTY Index Options'!$L:$L,'NSE - NIFTY Index Options'!$C:$C,$A95,'NSE - NIFTY Index Options'!$B:$B,B$4,'NSE - NIFTY Index Options'!$H:$H,"MDAW*")+SUMIFS('NSE - Other Index Options'!$L:$L,'NSE - Other Index Options'!$C:$C,$A95,'NSE - Other Index Options'!$B:$B,B$4,'NSE - Other Index Options'!$H:$H,"Weekly*")+SUMIFS('NSE - Other Index Options'!$L:$L,'NSE - Other Index Options'!$C:$C,$A95,'NSE - Other Index Options'!$B:$B,B$4,'NSE - Other Index Options'!$H:$H,"MDAW*"))</f>
        <v/>
      </c>
      <c r="C95" s="26" t="str">
        <f>IF(SUMIFS('NSE - NIFTY Index Options'!$L:$L,'NSE - NIFTY Index Options'!$C:$C,$A95,'NSE - NIFTY Index Options'!$B:$B,C$4,'NSE - NIFTY Index Options'!$H:$H,"Weekly*")+SUMIFS('NSE - NIFTY Index Options'!$L:$L,'NSE - NIFTY Index Options'!$C:$C,$A95,'NSE - NIFTY Index Options'!$B:$B,C$4,'NSE - NIFTY Index Options'!$H:$H,"MDAW*")+SUMIFS('NSE - Other Index Options'!$L:$L,'NSE - Other Index Options'!$C:$C,$A95,'NSE - Other Index Options'!$B:$B,C$4,'NSE - Other Index Options'!$H:$H,"Weekly*")+SUMIFS('NSE - Other Index Options'!$L:$L,'NSE - Other Index Options'!$C:$C,$A95,'NSE - Other Index Options'!$B:$B,C$4,'NSE - Other Index Options'!$H:$H,"MDAW*")=0,"",SUMIFS('NSE - NIFTY Index Options'!$L:$L,'NSE - NIFTY Index Options'!$C:$C,$A95,'NSE - NIFTY Index Options'!$B:$B,C$4,'NSE - NIFTY Index Options'!$H:$H,"Weekly*")+SUMIFS('NSE - NIFTY Index Options'!$L:$L,'NSE - NIFTY Index Options'!$C:$C,$A95,'NSE - NIFTY Index Options'!$B:$B,C$4,'NSE - NIFTY Index Options'!$H:$H,"MDAW*")+SUMIFS('NSE - Other Index Options'!$L:$L,'NSE - Other Index Options'!$C:$C,$A95,'NSE - Other Index Options'!$B:$B,C$4,'NSE - Other Index Options'!$H:$H,"Weekly*")+SUMIFS('NSE - Other Index Options'!$L:$L,'NSE - Other Index Options'!$C:$C,$A95,'NSE - Other Index Options'!$B:$B,C$4,'NSE - Other Index Options'!$H:$H,"MDAW*"))</f>
        <v/>
      </c>
      <c r="D95" s="26" t="str">
        <f>IF(SUMIFS('NSE - NIFTY Index Options'!$L:$L,'NSE - NIFTY Index Options'!$C:$C,$A95,'NSE - NIFTY Index Options'!$B:$B,D$4,'NSE - NIFTY Index Options'!$H:$H,"Weekly*")+SUMIFS('NSE - NIFTY Index Options'!$L:$L,'NSE - NIFTY Index Options'!$C:$C,$A95,'NSE - NIFTY Index Options'!$B:$B,D$4,'NSE - NIFTY Index Options'!$H:$H,"MDAW*")+SUMIFS('NSE - Other Index Options'!$L:$L,'NSE - Other Index Options'!$C:$C,$A95,'NSE - Other Index Options'!$B:$B,D$4,'NSE - Other Index Options'!$H:$H,"Weekly*")+SUMIFS('NSE - Other Index Options'!$L:$L,'NSE - Other Index Options'!$C:$C,$A95,'NSE - Other Index Options'!$B:$B,D$4,'NSE - Other Index Options'!$H:$H,"MDAW*")=0,"",SUMIFS('NSE - NIFTY Index Options'!$L:$L,'NSE - NIFTY Index Options'!$C:$C,$A95,'NSE - NIFTY Index Options'!$B:$B,D$4,'NSE - NIFTY Index Options'!$H:$H,"Weekly*")+SUMIFS('NSE - NIFTY Index Options'!$L:$L,'NSE - NIFTY Index Options'!$C:$C,$A95,'NSE - NIFTY Index Options'!$B:$B,D$4,'NSE - NIFTY Index Options'!$H:$H,"MDAW*")+SUMIFS('NSE - Other Index Options'!$L:$L,'NSE - Other Index Options'!$C:$C,$A95,'NSE - Other Index Options'!$B:$B,D$4,'NSE - Other Index Options'!$H:$H,"Weekly*")+SUMIFS('NSE - Other Index Options'!$L:$L,'NSE - Other Index Options'!$C:$C,$A95,'NSE - Other Index Options'!$B:$B,D$4,'NSE - Other Index Options'!$H:$H,"MDAW*"))</f>
        <v/>
      </c>
      <c r="E95" s="26" t="str">
        <f>IF(SUMIFS('NSE - NIFTY Index Options'!$L:$L,'NSE - NIFTY Index Options'!$C:$C,$A95,'NSE - NIFTY Index Options'!$B:$B,E$4,'NSE - NIFTY Index Options'!$H:$H,"Weekly*")+SUMIFS('NSE - NIFTY Index Options'!$L:$L,'NSE - NIFTY Index Options'!$C:$C,$A95,'NSE - NIFTY Index Options'!$B:$B,E$4,'NSE - NIFTY Index Options'!$H:$H,"MDAW*")+SUMIFS('NSE - Other Index Options'!$L:$L,'NSE - Other Index Options'!$C:$C,$A95,'NSE - Other Index Options'!$B:$B,E$4,'NSE - Other Index Options'!$H:$H,"Weekly*")+SUMIFS('NSE - Other Index Options'!$L:$L,'NSE - Other Index Options'!$C:$C,$A95,'NSE - Other Index Options'!$B:$B,E$4,'NSE - Other Index Options'!$H:$H,"MDAW*")=0,"",SUMIFS('NSE - NIFTY Index Options'!$L:$L,'NSE - NIFTY Index Options'!$C:$C,$A95,'NSE - NIFTY Index Options'!$B:$B,E$4,'NSE - NIFTY Index Options'!$H:$H,"Weekly*")+SUMIFS('NSE - NIFTY Index Options'!$L:$L,'NSE - NIFTY Index Options'!$C:$C,$A95,'NSE - NIFTY Index Options'!$B:$B,E$4,'NSE - NIFTY Index Options'!$H:$H,"MDAW*")+SUMIFS('NSE - Other Index Options'!$L:$L,'NSE - Other Index Options'!$C:$C,$A95,'NSE - Other Index Options'!$B:$B,E$4,'NSE - Other Index Options'!$H:$H,"Weekly*")+SUMIFS('NSE - Other Index Options'!$L:$L,'NSE - Other Index Options'!$C:$C,$A95,'NSE - Other Index Options'!$B:$B,E$4,'NSE - Other Index Options'!$H:$H,"MDAW*"))</f>
        <v/>
      </c>
      <c r="F95" s="26" t="str">
        <f>IF(SUMIFS('NSE - NIFTY Index Options'!$L:$L,'NSE - NIFTY Index Options'!$C:$C,$A95,'NSE - NIFTY Index Options'!$B:$B,F$4,'NSE - NIFTY Index Options'!$H:$H,"Weekly*")+SUMIFS('NSE - NIFTY Index Options'!$L:$L,'NSE - NIFTY Index Options'!$C:$C,$A95,'NSE - NIFTY Index Options'!$B:$B,F$4,'NSE - NIFTY Index Options'!$H:$H,"MDAW*")+SUMIFS('NSE - Other Index Options'!$L:$L,'NSE - Other Index Options'!$C:$C,$A95,'NSE - Other Index Options'!$B:$B,F$4,'NSE - Other Index Options'!$H:$H,"Weekly*")+SUMIFS('NSE - Other Index Options'!$L:$L,'NSE - Other Index Options'!$C:$C,$A95,'NSE - Other Index Options'!$B:$B,F$4,'NSE - Other Index Options'!$H:$H,"MDAW*")=0,"",SUMIFS('NSE - NIFTY Index Options'!$L:$L,'NSE - NIFTY Index Options'!$C:$C,$A95,'NSE - NIFTY Index Options'!$B:$B,F$4,'NSE - NIFTY Index Options'!$H:$H,"Weekly*")+SUMIFS('NSE - NIFTY Index Options'!$L:$L,'NSE - NIFTY Index Options'!$C:$C,$A95,'NSE - NIFTY Index Options'!$B:$B,F$4,'NSE - NIFTY Index Options'!$H:$H,"MDAW*")+SUMIFS('NSE - Other Index Options'!$L:$L,'NSE - Other Index Options'!$C:$C,$A95,'NSE - Other Index Options'!$B:$B,F$4,'NSE - Other Index Options'!$H:$H,"Weekly*")+SUMIFS('NSE - Other Index Options'!$L:$L,'NSE - Other Index Options'!$C:$C,$A95,'NSE - Other Index Options'!$B:$B,F$4,'NSE - Other Index Options'!$H:$H,"MDAW*"))</f>
        <v/>
      </c>
      <c r="G95" s="26" t="str">
        <f>IF(SUMIFS('NSE - NIFTY Index Options'!$L:$L,'NSE - NIFTY Index Options'!$C:$C,$A95,'NSE - NIFTY Index Options'!$B:$B,G$4,'NSE - NIFTY Index Options'!$H:$H,"Weekly*")+SUMIFS('NSE - NIFTY Index Options'!$L:$L,'NSE - NIFTY Index Options'!$C:$C,$A95,'NSE - NIFTY Index Options'!$B:$B,G$4,'NSE - NIFTY Index Options'!$H:$H,"MDAW*")+SUMIFS('NSE - Other Index Options'!$L:$L,'NSE - Other Index Options'!$C:$C,$A95,'NSE - Other Index Options'!$B:$B,G$4,'NSE - Other Index Options'!$H:$H,"Weekly*")+SUMIFS('NSE - Other Index Options'!$L:$L,'NSE - Other Index Options'!$C:$C,$A95,'NSE - Other Index Options'!$B:$B,G$4,'NSE - Other Index Options'!$H:$H,"MDAW*")=0,"",SUMIFS('NSE - NIFTY Index Options'!$L:$L,'NSE - NIFTY Index Options'!$C:$C,$A95,'NSE - NIFTY Index Options'!$B:$B,G$4,'NSE - NIFTY Index Options'!$H:$H,"Weekly*")+SUMIFS('NSE - NIFTY Index Options'!$L:$L,'NSE - NIFTY Index Options'!$C:$C,$A95,'NSE - NIFTY Index Options'!$B:$B,G$4,'NSE - NIFTY Index Options'!$H:$H,"MDAW*")+SUMIFS('NSE - Other Index Options'!$L:$L,'NSE - Other Index Options'!$C:$C,$A95,'NSE - Other Index Options'!$B:$B,G$4,'NSE - Other Index Options'!$H:$H,"Weekly*")+SUMIFS('NSE - Other Index Options'!$L:$L,'NSE - Other Index Options'!$C:$C,$A95,'NSE - Other Index Options'!$B:$B,G$4,'NSE - Other Index Options'!$H:$H,"MDAW*"))</f>
        <v/>
      </c>
      <c r="H95" s="26" t="str">
        <f t="shared" si="2"/>
        <v/>
      </c>
    </row>
    <row r="96" spans="1:8" hidden="1" outlineLevel="1">
      <c r="A96" t="s">
        <v>101</v>
      </c>
      <c r="B96" s="26" t="str">
        <f>IF(SUMIFS('NSE - NIFTY Index Options'!$L:$L,'NSE - NIFTY Index Options'!$C:$C,$A96,'NSE - NIFTY Index Options'!$B:$B,B$4,'NSE - NIFTY Index Options'!$H:$H,"Weekly*")+SUMIFS('NSE - NIFTY Index Options'!$L:$L,'NSE - NIFTY Index Options'!$C:$C,$A96,'NSE - NIFTY Index Options'!$B:$B,B$4,'NSE - NIFTY Index Options'!$H:$H,"MDAW*")+SUMIFS('NSE - Other Index Options'!$L:$L,'NSE - Other Index Options'!$C:$C,$A96,'NSE - Other Index Options'!$B:$B,B$4,'NSE - Other Index Options'!$H:$H,"Weekly*")+SUMIFS('NSE - Other Index Options'!$L:$L,'NSE - Other Index Options'!$C:$C,$A96,'NSE - Other Index Options'!$B:$B,B$4,'NSE - Other Index Options'!$H:$H,"MDAW*")=0,"",SUMIFS('NSE - NIFTY Index Options'!$L:$L,'NSE - NIFTY Index Options'!$C:$C,$A96,'NSE - NIFTY Index Options'!$B:$B,B$4,'NSE - NIFTY Index Options'!$H:$H,"Weekly*")+SUMIFS('NSE - NIFTY Index Options'!$L:$L,'NSE - NIFTY Index Options'!$C:$C,$A96,'NSE - NIFTY Index Options'!$B:$B,B$4,'NSE - NIFTY Index Options'!$H:$H,"MDAW*")+SUMIFS('NSE - Other Index Options'!$L:$L,'NSE - Other Index Options'!$C:$C,$A96,'NSE - Other Index Options'!$B:$B,B$4,'NSE - Other Index Options'!$H:$H,"Weekly*")+SUMIFS('NSE - Other Index Options'!$L:$L,'NSE - Other Index Options'!$C:$C,$A96,'NSE - Other Index Options'!$B:$B,B$4,'NSE - Other Index Options'!$H:$H,"MDAW*"))</f>
        <v/>
      </c>
      <c r="C96" s="26" t="str">
        <f>IF(SUMIFS('NSE - NIFTY Index Options'!$L:$L,'NSE - NIFTY Index Options'!$C:$C,$A96,'NSE - NIFTY Index Options'!$B:$B,C$4,'NSE - NIFTY Index Options'!$H:$H,"Weekly*")+SUMIFS('NSE - NIFTY Index Options'!$L:$L,'NSE - NIFTY Index Options'!$C:$C,$A96,'NSE - NIFTY Index Options'!$B:$B,C$4,'NSE - NIFTY Index Options'!$H:$H,"MDAW*")+SUMIFS('NSE - Other Index Options'!$L:$L,'NSE - Other Index Options'!$C:$C,$A96,'NSE - Other Index Options'!$B:$B,C$4,'NSE - Other Index Options'!$H:$H,"Weekly*")+SUMIFS('NSE - Other Index Options'!$L:$L,'NSE - Other Index Options'!$C:$C,$A96,'NSE - Other Index Options'!$B:$B,C$4,'NSE - Other Index Options'!$H:$H,"MDAW*")=0,"",SUMIFS('NSE - NIFTY Index Options'!$L:$L,'NSE - NIFTY Index Options'!$C:$C,$A96,'NSE - NIFTY Index Options'!$B:$B,C$4,'NSE - NIFTY Index Options'!$H:$H,"Weekly*")+SUMIFS('NSE - NIFTY Index Options'!$L:$L,'NSE - NIFTY Index Options'!$C:$C,$A96,'NSE - NIFTY Index Options'!$B:$B,C$4,'NSE - NIFTY Index Options'!$H:$H,"MDAW*")+SUMIFS('NSE - Other Index Options'!$L:$L,'NSE - Other Index Options'!$C:$C,$A96,'NSE - Other Index Options'!$B:$B,C$4,'NSE - Other Index Options'!$H:$H,"Weekly*")+SUMIFS('NSE - Other Index Options'!$L:$L,'NSE - Other Index Options'!$C:$C,$A96,'NSE - Other Index Options'!$B:$B,C$4,'NSE - Other Index Options'!$H:$H,"MDAW*"))</f>
        <v/>
      </c>
      <c r="D96" s="26" t="str">
        <f>IF(SUMIFS('NSE - NIFTY Index Options'!$L:$L,'NSE - NIFTY Index Options'!$C:$C,$A96,'NSE - NIFTY Index Options'!$B:$B,D$4,'NSE - NIFTY Index Options'!$H:$H,"Weekly*")+SUMIFS('NSE - NIFTY Index Options'!$L:$L,'NSE - NIFTY Index Options'!$C:$C,$A96,'NSE - NIFTY Index Options'!$B:$B,D$4,'NSE - NIFTY Index Options'!$H:$H,"MDAW*")+SUMIFS('NSE - Other Index Options'!$L:$L,'NSE - Other Index Options'!$C:$C,$A96,'NSE - Other Index Options'!$B:$B,D$4,'NSE - Other Index Options'!$H:$H,"Weekly*")+SUMIFS('NSE - Other Index Options'!$L:$L,'NSE - Other Index Options'!$C:$C,$A96,'NSE - Other Index Options'!$B:$B,D$4,'NSE - Other Index Options'!$H:$H,"MDAW*")=0,"",SUMIFS('NSE - NIFTY Index Options'!$L:$L,'NSE - NIFTY Index Options'!$C:$C,$A96,'NSE - NIFTY Index Options'!$B:$B,D$4,'NSE - NIFTY Index Options'!$H:$H,"Weekly*")+SUMIFS('NSE - NIFTY Index Options'!$L:$L,'NSE - NIFTY Index Options'!$C:$C,$A96,'NSE - NIFTY Index Options'!$B:$B,D$4,'NSE - NIFTY Index Options'!$H:$H,"MDAW*")+SUMIFS('NSE - Other Index Options'!$L:$L,'NSE - Other Index Options'!$C:$C,$A96,'NSE - Other Index Options'!$B:$B,D$4,'NSE - Other Index Options'!$H:$H,"Weekly*")+SUMIFS('NSE - Other Index Options'!$L:$L,'NSE - Other Index Options'!$C:$C,$A96,'NSE - Other Index Options'!$B:$B,D$4,'NSE - Other Index Options'!$H:$H,"MDAW*"))</f>
        <v/>
      </c>
      <c r="E96" s="26" t="str">
        <f>IF(SUMIFS('NSE - NIFTY Index Options'!$L:$L,'NSE - NIFTY Index Options'!$C:$C,$A96,'NSE - NIFTY Index Options'!$B:$B,E$4,'NSE - NIFTY Index Options'!$H:$H,"Weekly*")+SUMIFS('NSE - NIFTY Index Options'!$L:$L,'NSE - NIFTY Index Options'!$C:$C,$A96,'NSE - NIFTY Index Options'!$B:$B,E$4,'NSE - NIFTY Index Options'!$H:$H,"MDAW*")+SUMIFS('NSE - Other Index Options'!$L:$L,'NSE - Other Index Options'!$C:$C,$A96,'NSE - Other Index Options'!$B:$B,E$4,'NSE - Other Index Options'!$H:$H,"Weekly*")+SUMIFS('NSE - Other Index Options'!$L:$L,'NSE - Other Index Options'!$C:$C,$A96,'NSE - Other Index Options'!$B:$B,E$4,'NSE - Other Index Options'!$H:$H,"MDAW*")=0,"",SUMIFS('NSE - NIFTY Index Options'!$L:$L,'NSE - NIFTY Index Options'!$C:$C,$A96,'NSE - NIFTY Index Options'!$B:$B,E$4,'NSE - NIFTY Index Options'!$H:$H,"Weekly*")+SUMIFS('NSE - NIFTY Index Options'!$L:$L,'NSE - NIFTY Index Options'!$C:$C,$A96,'NSE - NIFTY Index Options'!$B:$B,E$4,'NSE - NIFTY Index Options'!$H:$H,"MDAW*")+SUMIFS('NSE - Other Index Options'!$L:$L,'NSE - Other Index Options'!$C:$C,$A96,'NSE - Other Index Options'!$B:$B,E$4,'NSE - Other Index Options'!$H:$H,"Weekly*")+SUMIFS('NSE - Other Index Options'!$L:$L,'NSE - Other Index Options'!$C:$C,$A96,'NSE - Other Index Options'!$B:$B,E$4,'NSE - Other Index Options'!$H:$H,"MDAW*"))</f>
        <v/>
      </c>
      <c r="F96" s="26" t="str">
        <f>IF(SUMIFS('NSE - NIFTY Index Options'!$L:$L,'NSE - NIFTY Index Options'!$C:$C,$A96,'NSE - NIFTY Index Options'!$B:$B,F$4,'NSE - NIFTY Index Options'!$H:$H,"Weekly*")+SUMIFS('NSE - NIFTY Index Options'!$L:$L,'NSE - NIFTY Index Options'!$C:$C,$A96,'NSE - NIFTY Index Options'!$B:$B,F$4,'NSE - NIFTY Index Options'!$H:$H,"MDAW*")+SUMIFS('NSE - Other Index Options'!$L:$L,'NSE - Other Index Options'!$C:$C,$A96,'NSE - Other Index Options'!$B:$B,F$4,'NSE - Other Index Options'!$H:$H,"Weekly*")+SUMIFS('NSE - Other Index Options'!$L:$L,'NSE - Other Index Options'!$C:$C,$A96,'NSE - Other Index Options'!$B:$B,F$4,'NSE - Other Index Options'!$H:$H,"MDAW*")=0,"",SUMIFS('NSE - NIFTY Index Options'!$L:$L,'NSE - NIFTY Index Options'!$C:$C,$A96,'NSE - NIFTY Index Options'!$B:$B,F$4,'NSE - NIFTY Index Options'!$H:$H,"Weekly*")+SUMIFS('NSE - NIFTY Index Options'!$L:$L,'NSE - NIFTY Index Options'!$C:$C,$A96,'NSE - NIFTY Index Options'!$B:$B,F$4,'NSE - NIFTY Index Options'!$H:$H,"MDAW*")+SUMIFS('NSE - Other Index Options'!$L:$L,'NSE - Other Index Options'!$C:$C,$A96,'NSE - Other Index Options'!$B:$B,F$4,'NSE - Other Index Options'!$H:$H,"Weekly*")+SUMIFS('NSE - Other Index Options'!$L:$L,'NSE - Other Index Options'!$C:$C,$A96,'NSE - Other Index Options'!$B:$B,F$4,'NSE - Other Index Options'!$H:$H,"MDAW*"))</f>
        <v/>
      </c>
      <c r="G96" s="26" t="str">
        <f>IF(SUMIFS('NSE - NIFTY Index Options'!$L:$L,'NSE - NIFTY Index Options'!$C:$C,$A96,'NSE - NIFTY Index Options'!$B:$B,G$4,'NSE - NIFTY Index Options'!$H:$H,"Weekly*")+SUMIFS('NSE - NIFTY Index Options'!$L:$L,'NSE - NIFTY Index Options'!$C:$C,$A96,'NSE - NIFTY Index Options'!$B:$B,G$4,'NSE - NIFTY Index Options'!$H:$H,"MDAW*")+SUMIFS('NSE - Other Index Options'!$L:$L,'NSE - Other Index Options'!$C:$C,$A96,'NSE - Other Index Options'!$B:$B,G$4,'NSE - Other Index Options'!$H:$H,"Weekly*")+SUMIFS('NSE - Other Index Options'!$L:$L,'NSE - Other Index Options'!$C:$C,$A96,'NSE - Other Index Options'!$B:$B,G$4,'NSE - Other Index Options'!$H:$H,"MDAW*")=0,"",SUMIFS('NSE - NIFTY Index Options'!$L:$L,'NSE - NIFTY Index Options'!$C:$C,$A96,'NSE - NIFTY Index Options'!$B:$B,G$4,'NSE - NIFTY Index Options'!$H:$H,"Weekly*")+SUMIFS('NSE - NIFTY Index Options'!$L:$L,'NSE - NIFTY Index Options'!$C:$C,$A96,'NSE - NIFTY Index Options'!$B:$B,G$4,'NSE - NIFTY Index Options'!$H:$H,"MDAW*")+SUMIFS('NSE - Other Index Options'!$L:$L,'NSE - Other Index Options'!$C:$C,$A96,'NSE - Other Index Options'!$B:$B,G$4,'NSE - Other Index Options'!$H:$H,"Weekly*")+SUMIFS('NSE - Other Index Options'!$L:$L,'NSE - Other Index Options'!$C:$C,$A96,'NSE - Other Index Options'!$B:$B,G$4,'NSE - Other Index Options'!$H:$H,"MDAW*"))</f>
        <v/>
      </c>
      <c r="H96" s="26" t="str">
        <f t="shared" si="2"/>
        <v/>
      </c>
    </row>
    <row r="97" spans="1:8" hidden="1" outlineLevel="1">
      <c r="A97" t="s">
        <v>102</v>
      </c>
      <c r="B97" s="26" t="str">
        <f>IF(SUMIFS('NSE - NIFTY Index Options'!$L:$L,'NSE - NIFTY Index Options'!$C:$C,$A97,'NSE - NIFTY Index Options'!$B:$B,B$4,'NSE - NIFTY Index Options'!$H:$H,"Weekly*")+SUMIFS('NSE - NIFTY Index Options'!$L:$L,'NSE - NIFTY Index Options'!$C:$C,$A97,'NSE - NIFTY Index Options'!$B:$B,B$4,'NSE - NIFTY Index Options'!$H:$H,"MDAW*")+SUMIFS('NSE - Other Index Options'!$L:$L,'NSE - Other Index Options'!$C:$C,$A97,'NSE - Other Index Options'!$B:$B,B$4,'NSE - Other Index Options'!$H:$H,"Weekly*")+SUMIFS('NSE - Other Index Options'!$L:$L,'NSE - Other Index Options'!$C:$C,$A97,'NSE - Other Index Options'!$B:$B,B$4,'NSE - Other Index Options'!$H:$H,"MDAW*")=0,"",SUMIFS('NSE - NIFTY Index Options'!$L:$L,'NSE - NIFTY Index Options'!$C:$C,$A97,'NSE - NIFTY Index Options'!$B:$B,B$4,'NSE - NIFTY Index Options'!$H:$H,"Weekly*")+SUMIFS('NSE - NIFTY Index Options'!$L:$L,'NSE - NIFTY Index Options'!$C:$C,$A97,'NSE - NIFTY Index Options'!$B:$B,B$4,'NSE - NIFTY Index Options'!$H:$H,"MDAW*")+SUMIFS('NSE - Other Index Options'!$L:$L,'NSE - Other Index Options'!$C:$C,$A97,'NSE - Other Index Options'!$B:$B,B$4,'NSE - Other Index Options'!$H:$H,"Weekly*")+SUMIFS('NSE - Other Index Options'!$L:$L,'NSE - Other Index Options'!$C:$C,$A97,'NSE - Other Index Options'!$B:$B,B$4,'NSE - Other Index Options'!$H:$H,"MDAW*"))</f>
        <v/>
      </c>
      <c r="C97" s="26" t="str">
        <f>IF(SUMIFS('NSE - NIFTY Index Options'!$L:$L,'NSE - NIFTY Index Options'!$C:$C,$A97,'NSE - NIFTY Index Options'!$B:$B,C$4,'NSE - NIFTY Index Options'!$H:$H,"Weekly*")+SUMIFS('NSE - NIFTY Index Options'!$L:$L,'NSE - NIFTY Index Options'!$C:$C,$A97,'NSE - NIFTY Index Options'!$B:$B,C$4,'NSE - NIFTY Index Options'!$H:$H,"MDAW*")+SUMIFS('NSE - Other Index Options'!$L:$L,'NSE - Other Index Options'!$C:$C,$A97,'NSE - Other Index Options'!$B:$B,C$4,'NSE - Other Index Options'!$H:$H,"Weekly*")+SUMIFS('NSE - Other Index Options'!$L:$L,'NSE - Other Index Options'!$C:$C,$A97,'NSE - Other Index Options'!$B:$B,C$4,'NSE - Other Index Options'!$H:$H,"MDAW*")=0,"",SUMIFS('NSE - NIFTY Index Options'!$L:$L,'NSE - NIFTY Index Options'!$C:$C,$A97,'NSE - NIFTY Index Options'!$B:$B,C$4,'NSE - NIFTY Index Options'!$H:$H,"Weekly*")+SUMIFS('NSE - NIFTY Index Options'!$L:$L,'NSE - NIFTY Index Options'!$C:$C,$A97,'NSE - NIFTY Index Options'!$B:$B,C$4,'NSE - NIFTY Index Options'!$H:$H,"MDAW*")+SUMIFS('NSE - Other Index Options'!$L:$L,'NSE - Other Index Options'!$C:$C,$A97,'NSE - Other Index Options'!$B:$B,C$4,'NSE - Other Index Options'!$H:$H,"Weekly*")+SUMIFS('NSE - Other Index Options'!$L:$L,'NSE - Other Index Options'!$C:$C,$A97,'NSE - Other Index Options'!$B:$B,C$4,'NSE - Other Index Options'!$H:$H,"MDAW*"))</f>
        <v/>
      </c>
      <c r="D97" s="26" t="str">
        <f>IF(SUMIFS('NSE - NIFTY Index Options'!$L:$L,'NSE - NIFTY Index Options'!$C:$C,$A97,'NSE - NIFTY Index Options'!$B:$B,D$4,'NSE - NIFTY Index Options'!$H:$H,"Weekly*")+SUMIFS('NSE - NIFTY Index Options'!$L:$L,'NSE - NIFTY Index Options'!$C:$C,$A97,'NSE - NIFTY Index Options'!$B:$B,D$4,'NSE - NIFTY Index Options'!$H:$H,"MDAW*")+SUMIFS('NSE - Other Index Options'!$L:$L,'NSE - Other Index Options'!$C:$C,$A97,'NSE - Other Index Options'!$B:$B,D$4,'NSE - Other Index Options'!$H:$H,"Weekly*")+SUMIFS('NSE - Other Index Options'!$L:$L,'NSE - Other Index Options'!$C:$C,$A97,'NSE - Other Index Options'!$B:$B,D$4,'NSE - Other Index Options'!$H:$H,"MDAW*")=0,"",SUMIFS('NSE - NIFTY Index Options'!$L:$L,'NSE - NIFTY Index Options'!$C:$C,$A97,'NSE - NIFTY Index Options'!$B:$B,D$4,'NSE - NIFTY Index Options'!$H:$H,"Weekly*")+SUMIFS('NSE - NIFTY Index Options'!$L:$L,'NSE - NIFTY Index Options'!$C:$C,$A97,'NSE - NIFTY Index Options'!$B:$B,D$4,'NSE - NIFTY Index Options'!$H:$H,"MDAW*")+SUMIFS('NSE - Other Index Options'!$L:$L,'NSE - Other Index Options'!$C:$C,$A97,'NSE - Other Index Options'!$B:$B,D$4,'NSE - Other Index Options'!$H:$H,"Weekly*")+SUMIFS('NSE - Other Index Options'!$L:$L,'NSE - Other Index Options'!$C:$C,$A97,'NSE - Other Index Options'!$B:$B,D$4,'NSE - Other Index Options'!$H:$H,"MDAW*"))</f>
        <v/>
      </c>
      <c r="E97" s="26" t="str">
        <f>IF(SUMIFS('NSE - NIFTY Index Options'!$L:$L,'NSE - NIFTY Index Options'!$C:$C,$A97,'NSE - NIFTY Index Options'!$B:$B,E$4,'NSE - NIFTY Index Options'!$H:$H,"Weekly*")+SUMIFS('NSE - NIFTY Index Options'!$L:$L,'NSE - NIFTY Index Options'!$C:$C,$A97,'NSE - NIFTY Index Options'!$B:$B,E$4,'NSE - NIFTY Index Options'!$H:$H,"MDAW*")+SUMIFS('NSE - Other Index Options'!$L:$L,'NSE - Other Index Options'!$C:$C,$A97,'NSE - Other Index Options'!$B:$B,E$4,'NSE - Other Index Options'!$H:$H,"Weekly*")+SUMIFS('NSE - Other Index Options'!$L:$L,'NSE - Other Index Options'!$C:$C,$A97,'NSE - Other Index Options'!$B:$B,E$4,'NSE - Other Index Options'!$H:$H,"MDAW*")=0,"",SUMIFS('NSE - NIFTY Index Options'!$L:$L,'NSE - NIFTY Index Options'!$C:$C,$A97,'NSE - NIFTY Index Options'!$B:$B,E$4,'NSE - NIFTY Index Options'!$H:$H,"Weekly*")+SUMIFS('NSE - NIFTY Index Options'!$L:$L,'NSE - NIFTY Index Options'!$C:$C,$A97,'NSE - NIFTY Index Options'!$B:$B,E$4,'NSE - NIFTY Index Options'!$H:$H,"MDAW*")+SUMIFS('NSE - Other Index Options'!$L:$L,'NSE - Other Index Options'!$C:$C,$A97,'NSE - Other Index Options'!$B:$B,E$4,'NSE - Other Index Options'!$H:$H,"Weekly*")+SUMIFS('NSE - Other Index Options'!$L:$L,'NSE - Other Index Options'!$C:$C,$A97,'NSE - Other Index Options'!$B:$B,E$4,'NSE - Other Index Options'!$H:$H,"MDAW*"))</f>
        <v/>
      </c>
      <c r="F97" s="26" t="str">
        <f>IF(SUMIFS('NSE - NIFTY Index Options'!$L:$L,'NSE - NIFTY Index Options'!$C:$C,$A97,'NSE - NIFTY Index Options'!$B:$B,F$4,'NSE - NIFTY Index Options'!$H:$H,"Weekly*")+SUMIFS('NSE - NIFTY Index Options'!$L:$L,'NSE - NIFTY Index Options'!$C:$C,$A97,'NSE - NIFTY Index Options'!$B:$B,F$4,'NSE - NIFTY Index Options'!$H:$H,"MDAW*")+SUMIFS('NSE - Other Index Options'!$L:$L,'NSE - Other Index Options'!$C:$C,$A97,'NSE - Other Index Options'!$B:$B,F$4,'NSE - Other Index Options'!$H:$H,"Weekly*")+SUMIFS('NSE - Other Index Options'!$L:$L,'NSE - Other Index Options'!$C:$C,$A97,'NSE - Other Index Options'!$B:$B,F$4,'NSE - Other Index Options'!$H:$H,"MDAW*")=0,"",SUMIFS('NSE - NIFTY Index Options'!$L:$L,'NSE - NIFTY Index Options'!$C:$C,$A97,'NSE - NIFTY Index Options'!$B:$B,F$4,'NSE - NIFTY Index Options'!$H:$H,"Weekly*")+SUMIFS('NSE - NIFTY Index Options'!$L:$L,'NSE - NIFTY Index Options'!$C:$C,$A97,'NSE - NIFTY Index Options'!$B:$B,F$4,'NSE - NIFTY Index Options'!$H:$H,"MDAW*")+SUMIFS('NSE - Other Index Options'!$L:$L,'NSE - Other Index Options'!$C:$C,$A97,'NSE - Other Index Options'!$B:$B,F$4,'NSE - Other Index Options'!$H:$H,"Weekly*")+SUMIFS('NSE - Other Index Options'!$L:$L,'NSE - Other Index Options'!$C:$C,$A97,'NSE - Other Index Options'!$B:$B,F$4,'NSE - Other Index Options'!$H:$H,"MDAW*"))</f>
        <v/>
      </c>
      <c r="G97" s="26" t="str">
        <f>IF(SUMIFS('NSE - NIFTY Index Options'!$L:$L,'NSE - NIFTY Index Options'!$C:$C,$A97,'NSE - NIFTY Index Options'!$B:$B,G$4,'NSE - NIFTY Index Options'!$H:$H,"Weekly*")+SUMIFS('NSE - NIFTY Index Options'!$L:$L,'NSE - NIFTY Index Options'!$C:$C,$A97,'NSE - NIFTY Index Options'!$B:$B,G$4,'NSE - NIFTY Index Options'!$H:$H,"MDAW*")+SUMIFS('NSE - Other Index Options'!$L:$L,'NSE - Other Index Options'!$C:$C,$A97,'NSE - Other Index Options'!$B:$B,G$4,'NSE - Other Index Options'!$H:$H,"Weekly*")+SUMIFS('NSE - Other Index Options'!$L:$L,'NSE - Other Index Options'!$C:$C,$A97,'NSE - Other Index Options'!$B:$B,G$4,'NSE - Other Index Options'!$H:$H,"MDAW*")=0,"",SUMIFS('NSE - NIFTY Index Options'!$L:$L,'NSE - NIFTY Index Options'!$C:$C,$A97,'NSE - NIFTY Index Options'!$B:$B,G$4,'NSE - NIFTY Index Options'!$H:$H,"Weekly*")+SUMIFS('NSE - NIFTY Index Options'!$L:$L,'NSE - NIFTY Index Options'!$C:$C,$A97,'NSE - NIFTY Index Options'!$B:$B,G$4,'NSE - NIFTY Index Options'!$H:$H,"MDAW*")+SUMIFS('NSE - Other Index Options'!$L:$L,'NSE - Other Index Options'!$C:$C,$A97,'NSE - Other Index Options'!$B:$B,G$4,'NSE - Other Index Options'!$H:$H,"Weekly*")+SUMIFS('NSE - Other Index Options'!$L:$L,'NSE - Other Index Options'!$C:$C,$A97,'NSE - Other Index Options'!$B:$B,G$4,'NSE - Other Index Options'!$H:$H,"MDAW*"))</f>
        <v/>
      </c>
      <c r="H97" s="26" t="str">
        <f t="shared" si="2"/>
        <v/>
      </c>
    </row>
    <row r="98" spans="1:8" hidden="1" outlineLevel="1">
      <c r="A98" t="s">
        <v>103</v>
      </c>
      <c r="B98" s="26" t="str">
        <f>IF(SUMIFS('NSE - NIFTY Index Options'!$L:$L,'NSE - NIFTY Index Options'!$C:$C,$A98,'NSE - NIFTY Index Options'!$B:$B,B$4,'NSE - NIFTY Index Options'!$H:$H,"Weekly*")+SUMIFS('NSE - NIFTY Index Options'!$L:$L,'NSE - NIFTY Index Options'!$C:$C,$A98,'NSE - NIFTY Index Options'!$B:$B,B$4,'NSE - NIFTY Index Options'!$H:$H,"MDAW*")+SUMIFS('NSE - Other Index Options'!$L:$L,'NSE - Other Index Options'!$C:$C,$A98,'NSE - Other Index Options'!$B:$B,B$4,'NSE - Other Index Options'!$H:$H,"Weekly*")+SUMIFS('NSE - Other Index Options'!$L:$L,'NSE - Other Index Options'!$C:$C,$A98,'NSE - Other Index Options'!$B:$B,B$4,'NSE - Other Index Options'!$H:$H,"MDAW*")=0,"",SUMIFS('NSE - NIFTY Index Options'!$L:$L,'NSE - NIFTY Index Options'!$C:$C,$A98,'NSE - NIFTY Index Options'!$B:$B,B$4,'NSE - NIFTY Index Options'!$H:$H,"Weekly*")+SUMIFS('NSE - NIFTY Index Options'!$L:$L,'NSE - NIFTY Index Options'!$C:$C,$A98,'NSE - NIFTY Index Options'!$B:$B,B$4,'NSE - NIFTY Index Options'!$H:$H,"MDAW*")+SUMIFS('NSE - Other Index Options'!$L:$L,'NSE - Other Index Options'!$C:$C,$A98,'NSE - Other Index Options'!$B:$B,B$4,'NSE - Other Index Options'!$H:$H,"Weekly*")+SUMIFS('NSE - Other Index Options'!$L:$L,'NSE - Other Index Options'!$C:$C,$A98,'NSE - Other Index Options'!$B:$B,B$4,'NSE - Other Index Options'!$H:$H,"MDAW*"))</f>
        <v/>
      </c>
      <c r="C98" s="26" t="str">
        <f>IF(SUMIFS('NSE - NIFTY Index Options'!$L:$L,'NSE - NIFTY Index Options'!$C:$C,$A98,'NSE - NIFTY Index Options'!$B:$B,C$4,'NSE - NIFTY Index Options'!$H:$H,"Weekly*")+SUMIFS('NSE - NIFTY Index Options'!$L:$L,'NSE - NIFTY Index Options'!$C:$C,$A98,'NSE - NIFTY Index Options'!$B:$B,C$4,'NSE - NIFTY Index Options'!$H:$H,"MDAW*")+SUMIFS('NSE - Other Index Options'!$L:$L,'NSE - Other Index Options'!$C:$C,$A98,'NSE - Other Index Options'!$B:$B,C$4,'NSE - Other Index Options'!$H:$H,"Weekly*")+SUMIFS('NSE - Other Index Options'!$L:$L,'NSE - Other Index Options'!$C:$C,$A98,'NSE - Other Index Options'!$B:$B,C$4,'NSE - Other Index Options'!$H:$H,"MDAW*")=0,"",SUMIFS('NSE - NIFTY Index Options'!$L:$L,'NSE - NIFTY Index Options'!$C:$C,$A98,'NSE - NIFTY Index Options'!$B:$B,C$4,'NSE - NIFTY Index Options'!$H:$H,"Weekly*")+SUMIFS('NSE - NIFTY Index Options'!$L:$L,'NSE - NIFTY Index Options'!$C:$C,$A98,'NSE - NIFTY Index Options'!$B:$B,C$4,'NSE - NIFTY Index Options'!$H:$H,"MDAW*")+SUMIFS('NSE - Other Index Options'!$L:$L,'NSE - Other Index Options'!$C:$C,$A98,'NSE - Other Index Options'!$B:$B,C$4,'NSE - Other Index Options'!$H:$H,"Weekly*")+SUMIFS('NSE - Other Index Options'!$L:$L,'NSE - Other Index Options'!$C:$C,$A98,'NSE - Other Index Options'!$B:$B,C$4,'NSE - Other Index Options'!$H:$H,"MDAW*"))</f>
        <v/>
      </c>
      <c r="D98" s="26" t="str">
        <f>IF(SUMIFS('NSE - NIFTY Index Options'!$L:$L,'NSE - NIFTY Index Options'!$C:$C,$A98,'NSE - NIFTY Index Options'!$B:$B,D$4,'NSE - NIFTY Index Options'!$H:$H,"Weekly*")+SUMIFS('NSE - NIFTY Index Options'!$L:$L,'NSE - NIFTY Index Options'!$C:$C,$A98,'NSE - NIFTY Index Options'!$B:$B,D$4,'NSE - NIFTY Index Options'!$H:$H,"MDAW*")+SUMIFS('NSE - Other Index Options'!$L:$L,'NSE - Other Index Options'!$C:$C,$A98,'NSE - Other Index Options'!$B:$B,D$4,'NSE - Other Index Options'!$H:$H,"Weekly*")+SUMIFS('NSE - Other Index Options'!$L:$L,'NSE - Other Index Options'!$C:$C,$A98,'NSE - Other Index Options'!$B:$B,D$4,'NSE - Other Index Options'!$H:$H,"MDAW*")=0,"",SUMIFS('NSE - NIFTY Index Options'!$L:$L,'NSE - NIFTY Index Options'!$C:$C,$A98,'NSE - NIFTY Index Options'!$B:$B,D$4,'NSE - NIFTY Index Options'!$H:$H,"Weekly*")+SUMIFS('NSE - NIFTY Index Options'!$L:$L,'NSE - NIFTY Index Options'!$C:$C,$A98,'NSE - NIFTY Index Options'!$B:$B,D$4,'NSE - NIFTY Index Options'!$H:$H,"MDAW*")+SUMIFS('NSE - Other Index Options'!$L:$L,'NSE - Other Index Options'!$C:$C,$A98,'NSE - Other Index Options'!$B:$B,D$4,'NSE - Other Index Options'!$H:$H,"Weekly*")+SUMIFS('NSE - Other Index Options'!$L:$L,'NSE - Other Index Options'!$C:$C,$A98,'NSE - Other Index Options'!$B:$B,D$4,'NSE - Other Index Options'!$H:$H,"MDAW*"))</f>
        <v/>
      </c>
      <c r="E98" s="26" t="str">
        <f>IF(SUMIFS('NSE - NIFTY Index Options'!$L:$L,'NSE - NIFTY Index Options'!$C:$C,$A98,'NSE - NIFTY Index Options'!$B:$B,E$4,'NSE - NIFTY Index Options'!$H:$H,"Weekly*")+SUMIFS('NSE - NIFTY Index Options'!$L:$L,'NSE - NIFTY Index Options'!$C:$C,$A98,'NSE - NIFTY Index Options'!$B:$B,E$4,'NSE - NIFTY Index Options'!$H:$H,"MDAW*")+SUMIFS('NSE - Other Index Options'!$L:$L,'NSE - Other Index Options'!$C:$C,$A98,'NSE - Other Index Options'!$B:$B,E$4,'NSE - Other Index Options'!$H:$H,"Weekly*")+SUMIFS('NSE - Other Index Options'!$L:$L,'NSE - Other Index Options'!$C:$C,$A98,'NSE - Other Index Options'!$B:$B,E$4,'NSE - Other Index Options'!$H:$H,"MDAW*")=0,"",SUMIFS('NSE - NIFTY Index Options'!$L:$L,'NSE - NIFTY Index Options'!$C:$C,$A98,'NSE - NIFTY Index Options'!$B:$B,E$4,'NSE - NIFTY Index Options'!$H:$H,"Weekly*")+SUMIFS('NSE - NIFTY Index Options'!$L:$L,'NSE - NIFTY Index Options'!$C:$C,$A98,'NSE - NIFTY Index Options'!$B:$B,E$4,'NSE - NIFTY Index Options'!$H:$H,"MDAW*")+SUMIFS('NSE - Other Index Options'!$L:$L,'NSE - Other Index Options'!$C:$C,$A98,'NSE - Other Index Options'!$B:$B,E$4,'NSE - Other Index Options'!$H:$H,"Weekly*")+SUMIFS('NSE - Other Index Options'!$L:$L,'NSE - Other Index Options'!$C:$C,$A98,'NSE - Other Index Options'!$B:$B,E$4,'NSE - Other Index Options'!$H:$H,"MDAW*"))</f>
        <v/>
      </c>
      <c r="F98" s="26" t="str">
        <f>IF(SUMIFS('NSE - NIFTY Index Options'!$L:$L,'NSE - NIFTY Index Options'!$C:$C,$A98,'NSE - NIFTY Index Options'!$B:$B,F$4,'NSE - NIFTY Index Options'!$H:$H,"Weekly*")+SUMIFS('NSE - NIFTY Index Options'!$L:$L,'NSE - NIFTY Index Options'!$C:$C,$A98,'NSE - NIFTY Index Options'!$B:$B,F$4,'NSE - NIFTY Index Options'!$H:$H,"MDAW*")+SUMIFS('NSE - Other Index Options'!$L:$L,'NSE - Other Index Options'!$C:$C,$A98,'NSE - Other Index Options'!$B:$B,F$4,'NSE - Other Index Options'!$H:$H,"Weekly*")+SUMIFS('NSE - Other Index Options'!$L:$L,'NSE - Other Index Options'!$C:$C,$A98,'NSE - Other Index Options'!$B:$B,F$4,'NSE - Other Index Options'!$H:$H,"MDAW*")=0,"",SUMIFS('NSE - NIFTY Index Options'!$L:$L,'NSE - NIFTY Index Options'!$C:$C,$A98,'NSE - NIFTY Index Options'!$B:$B,F$4,'NSE - NIFTY Index Options'!$H:$H,"Weekly*")+SUMIFS('NSE - NIFTY Index Options'!$L:$L,'NSE - NIFTY Index Options'!$C:$C,$A98,'NSE - NIFTY Index Options'!$B:$B,F$4,'NSE - NIFTY Index Options'!$H:$H,"MDAW*")+SUMIFS('NSE - Other Index Options'!$L:$L,'NSE - Other Index Options'!$C:$C,$A98,'NSE - Other Index Options'!$B:$B,F$4,'NSE - Other Index Options'!$H:$H,"Weekly*")+SUMIFS('NSE - Other Index Options'!$L:$L,'NSE - Other Index Options'!$C:$C,$A98,'NSE - Other Index Options'!$B:$B,F$4,'NSE - Other Index Options'!$H:$H,"MDAW*"))</f>
        <v/>
      </c>
      <c r="G98" s="26" t="str">
        <f>IF(SUMIFS('NSE - NIFTY Index Options'!$L:$L,'NSE - NIFTY Index Options'!$C:$C,$A98,'NSE - NIFTY Index Options'!$B:$B,G$4,'NSE - NIFTY Index Options'!$H:$H,"Weekly*")+SUMIFS('NSE - NIFTY Index Options'!$L:$L,'NSE - NIFTY Index Options'!$C:$C,$A98,'NSE - NIFTY Index Options'!$B:$B,G$4,'NSE - NIFTY Index Options'!$H:$H,"MDAW*")+SUMIFS('NSE - Other Index Options'!$L:$L,'NSE - Other Index Options'!$C:$C,$A98,'NSE - Other Index Options'!$B:$B,G$4,'NSE - Other Index Options'!$H:$H,"Weekly*")+SUMIFS('NSE - Other Index Options'!$L:$L,'NSE - Other Index Options'!$C:$C,$A98,'NSE - Other Index Options'!$B:$B,G$4,'NSE - Other Index Options'!$H:$H,"MDAW*")=0,"",SUMIFS('NSE - NIFTY Index Options'!$L:$L,'NSE - NIFTY Index Options'!$C:$C,$A98,'NSE - NIFTY Index Options'!$B:$B,G$4,'NSE - NIFTY Index Options'!$H:$H,"Weekly*")+SUMIFS('NSE - NIFTY Index Options'!$L:$L,'NSE - NIFTY Index Options'!$C:$C,$A98,'NSE - NIFTY Index Options'!$B:$B,G$4,'NSE - NIFTY Index Options'!$H:$H,"MDAW*")+SUMIFS('NSE - Other Index Options'!$L:$L,'NSE - Other Index Options'!$C:$C,$A98,'NSE - Other Index Options'!$B:$B,G$4,'NSE - Other Index Options'!$H:$H,"Weekly*")+SUMIFS('NSE - Other Index Options'!$L:$L,'NSE - Other Index Options'!$C:$C,$A98,'NSE - Other Index Options'!$B:$B,G$4,'NSE - Other Index Options'!$H:$H,"MDAW*"))</f>
        <v/>
      </c>
      <c r="H98" s="26" t="str">
        <f t="shared" si="2"/>
        <v/>
      </c>
    </row>
    <row r="99" spans="1:8" hidden="1" outlineLevel="1">
      <c r="A99" t="s">
        <v>104</v>
      </c>
      <c r="B99" s="26" t="str">
        <f>IF(SUMIFS('NSE - NIFTY Index Options'!$L:$L,'NSE - NIFTY Index Options'!$C:$C,$A99,'NSE - NIFTY Index Options'!$B:$B,B$4,'NSE - NIFTY Index Options'!$H:$H,"Weekly*")+SUMIFS('NSE - NIFTY Index Options'!$L:$L,'NSE - NIFTY Index Options'!$C:$C,$A99,'NSE - NIFTY Index Options'!$B:$B,B$4,'NSE - NIFTY Index Options'!$H:$H,"MDAW*")+SUMIFS('NSE - Other Index Options'!$L:$L,'NSE - Other Index Options'!$C:$C,$A99,'NSE - Other Index Options'!$B:$B,B$4,'NSE - Other Index Options'!$H:$H,"Weekly*")+SUMIFS('NSE - Other Index Options'!$L:$L,'NSE - Other Index Options'!$C:$C,$A99,'NSE - Other Index Options'!$B:$B,B$4,'NSE - Other Index Options'!$H:$H,"MDAW*")=0,"",SUMIFS('NSE - NIFTY Index Options'!$L:$L,'NSE - NIFTY Index Options'!$C:$C,$A99,'NSE - NIFTY Index Options'!$B:$B,B$4,'NSE - NIFTY Index Options'!$H:$H,"Weekly*")+SUMIFS('NSE - NIFTY Index Options'!$L:$L,'NSE - NIFTY Index Options'!$C:$C,$A99,'NSE - NIFTY Index Options'!$B:$B,B$4,'NSE - NIFTY Index Options'!$H:$H,"MDAW*")+SUMIFS('NSE - Other Index Options'!$L:$L,'NSE - Other Index Options'!$C:$C,$A99,'NSE - Other Index Options'!$B:$B,B$4,'NSE - Other Index Options'!$H:$H,"Weekly*")+SUMIFS('NSE - Other Index Options'!$L:$L,'NSE - Other Index Options'!$C:$C,$A99,'NSE - Other Index Options'!$B:$B,B$4,'NSE - Other Index Options'!$H:$H,"MDAW*"))</f>
        <v/>
      </c>
      <c r="C99" s="26" t="str">
        <f>IF(SUMIFS('NSE - NIFTY Index Options'!$L:$L,'NSE - NIFTY Index Options'!$C:$C,$A99,'NSE - NIFTY Index Options'!$B:$B,C$4,'NSE - NIFTY Index Options'!$H:$H,"Weekly*")+SUMIFS('NSE - NIFTY Index Options'!$L:$L,'NSE - NIFTY Index Options'!$C:$C,$A99,'NSE - NIFTY Index Options'!$B:$B,C$4,'NSE - NIFTY Index Options'!$H:$H,"MDAW*")+SUMIFS('NSE - Other Index Options'!$L:$L,'NSE - Other Index Options'!$C:$C,$A99,'NSE - Other Index Options'!$B:$B,C$4,'NSE - Other Index Options'!$H:$H,"Weekly*")+SUMIFS('NSE - Other Index Options'!$L:$L,'NSE - Other Index Options'!$C:$C,$A99,'NSE - Other Index Options'!$B:$B,C$4,'NSE - Other Index Options'!$H:$H,"MDAW*")=0,"",SUMIFS('NSE - NIFTY Index Options'!$L:$L,'NSE - NIFTY Index Options'!$C:$C,$A99,'NSE - NIFTY Index Options'!$B:$B,C$4,'NSE - NIFTY Index Options'!$H:$H,"Weekly*")+SUMIFS('NSE - NIFTY Index Options'!$L:$L,'NSE - NIFTY Index Options'!$C:$C,$A99,'NSE - NIFTY Index Options'!$B:$B,C$4,'NSE - NIFTY Index Options'!$H:$H,"MDAW*")+SUMIFS('NSE - Other Index Options'!$L:$L,'NSE - Other Index Options'!$C:$C,$A99,'NSE - Other Index Options'!$B:$B,C$4,'NSE - Other Index Options'!$H:$H,"Weekly*")+SUMIFS('NSE - Other Index Options'!$L:$L,'NSE - Other Index Options'!$C:$C,$A99,'NSE - Other Index Options'!$B:$B,C$4,'NSE - Other Index Options'!$H:$H,"MDAW*"))</f>
        <v/>
      </c>
      <c r="D99" s="26" t="str">
        <f>IF(SUMIFS('NSE - NIFTY Index Options'!$L:$L,'NSE - NIFTY Index Options'!$C:$C,$A99,'NSE - NIFTY Index Options'!$B:$B,D$4,'NSE - NIFTY Index Options'!$H:$H,"Weekly*")+SUMIFS('NSE - NIFTY Index Options'!$L:$L,'NSE - NIFTY Index Options'!$C:$C,$A99,'NSE - NIFTY Index Options'!$B:$B,D$4,'NSE - NIFTY Index Options'!$H:$H,"MDAW*")+SUMIFS('NSE - Other Index Options'!$L:$L,'NSE - Other Index Options'!$C:$C,$A99,'NSE - Other Index Options'!$B:$B,D$4,'NSE - Other Index Options'!$H:$H,"Weekly*")+SUMIFS('NSE - Other Index Options'!$L:$L,'NSE - Other Index Options'!$C:$C,$A99,'NSE - Other Index Options'!$B:$B,D$4,'NSE - Other Index Options'!$H:$H,"MDAW*")=0,"",SUMIFS('NSE - NIFTY Index Options'!$L:$L,'NSE - NIFTY Index Options'!$C:$C,$A99,'NSE - NIFTY Index Options'!$B:$B,D$4,'NSE - NIFTY Index Options'!$H:$H,"Weekly*")+SUMIFS('NSE - NIFTY Index Options'!$L:$L,'NSE - NIFTY Index Options'!$C:$C,$A99,'NSE - NIFTY Index Options'!$B:$B,D$4,'NSE - NIFTY Index Options'!$H:$H,"MDAW*")+SUMIFS('NSE - Other Index Options'!$L:$L,'NSE - Other Index Options'!$C:$C,$A99,'NSE - Other Index Options'!$B:$B,D$4,'NSE - Other Index Options'!$H:$H,"Weekly*")+SUMIFS('NSE - Other Index Options'!$L:$L,'NSE - Other Index Options'!$C:$C,$A99,'NSE - Other Index Options'!$B:$B,D$4,'NSE - Other Index Options'!$H:$H,"MDAW*"))</f>
        <v/>
      </c>
      <c r="E99" s="26" t="str">
        <f>IF(SUMIFS('NSE - NIFTY Index Options'!$L:$L,'NSE - NIFTY Index Options'!$C:$C,$A99,'NSE - NIFTY Index Options'!$B:$B,E$4,'NSE - NIFTY Index Options'!$H:$H,"Weekly*")+SUMIFS('NSE - NIFTY Index Options'!$L:$L,'NSE - NIFTY Index Options'!$C:$C,$A99,'NSE - NIFTY Index Options'!$B:$B,E$4,'NSE - NIFTY Index Options'!$H:$H,"MDAW*")+SUMIFS('NSE - Other Index Options'!$L:$L,'NSE - Other Index Options'!$C:$C,$A99,'NSE - Other Index Options'!$B:$B,E$4,'NSE - Other Index Options'!$H:$H,"Weekly*")+SUMIFS('NSE - Other Index Options'!$L:$L,'NSE - Other Index Options'!$C:$C,$A99,'NSE - Other Index Options'!$B:$B,E$4,'NSE - Other Index Options'!$H:$H,"MDAW*")=0,"",SUMIFS('NSE - NIFTY Index Options'!$L:$L,'NSE - NIFTY Index Options'!$C:$C,$A99,'NSE - NIFTY Index Options'!$B:$B,E$4,'NSE - NIFTY Index Options'!$H:$H,"Weekly*")+SUMIFS('NSE - NIFTY Index Options'!$L:$L,'NSE - NIFTY Index Options'!$C:$C,$A99,'NSE - NIFTY Index Options'!$B:$B,E$4,'NSE - NIFTY Index Options'!$H:$H,"MDAW*")+SUMIFS('NSE - Other Index Options'!$L:$L,'NSE - Other Index Options'!$C:$C,$A99,'NSE - Other Index Options'!$B:$B,E$4,'NSE - Other Index Options'!$H:$H,"Weekly*")+SUMIFS('NSE - Other Index Options'!$L:$L,'NSE - Other Index Options'!$C:$C,$A99,'NSE - Other Index Options'!$B:$B,E$4,'NSE - Other Index Options'!$H:$H,"MDAW*"))</f>
        <v/>
      </c>
      <c r="F99" s="26" t="str">
        <f>IF(SUMIFS('NSE - NIFTY Index Options'!$L:$L,'NSE - NIFTY Index Options'!$C:$C,$A99,'NSE - NIFTY Index Options'!$B:$B,F$4,'NSE - NIFTY Index Options'!$H:$H,"Weekly*")+SUMIFS('NSE - NIFTY Index Options'!$L:$L,'NSE - NIFTY Index Options'!$C:$C,$A99,'NSE - NIFTY Index Options'!$B:$B,F$4,'NSE - NIFTY Index Options'!$H:$H,"MDAW*")+SUMIFS('NSE - Other Index Options'!$L:$L,'NSE - Other Index Options'!$C:$C,$A99,'NSE - Other Index Options'!$B:$B,F$4,'NSE - Other Index Options'!$H:$H,"Weekly*")+SUMIFS('NSE - Other Index Options'!$L:$L,'NSE - Other Index Options'!$C:$C,$A99,'NSE - Other Index Options'!$B:$B,F$4,'NSE - Other Index Options'!$H:$H,"MDAW*")=0,"",SUMIFS('NSE - NIFTY Index Options'!$L:$L,'NSE - NIFTY Index Options'!$C:$C,$A99,'NSE - NIFTY Index Options'!$B:$B,F$4,'NSE - NIFTY Index Options'!$H:$H,"Weekly*")+SUMIFS('NSE - NIFTY Index Options'!$L:$L,'NSE - NIFTY Index Options'!$C:$C,$A99,'NSE - NIFTY Index Options'!$B:$B,F$4,'NSE - NIFTY Index Options'!$H:$H,"MDAW*")+SUMIFS('NSE - Other Index Options'!$L:$L,'NSE - Other Index Options'!$C:$C,$A99,'NSE - Other Index Options'!$B:$B,F$4,'NSE - Other Index Options'!$H:$H,"Weekly*")+SUMIFS('NSE - Other Index Options'!$L:$L,'NSE - Other Index Options'!$C:$C,$A99,'NSE - Other Index Options'!$B:$B,F$4,'NSE - Other Index Options'!$H:$H,"MDAW*"))</f>
        <v/>
      </c>
      <c r="G99" s="26" t="str">
        <f>IF(SUMIFS('NSE - NIFTY Index Options'!$L:$L,'NSE - NIFTY Index Options'!$C:$C,$A99,'NSE - NIFTY Index Options'!$B:$B,G$4,'NSE - NIFTY Index Options'!$H:$H,"Weekly*")+SUMIFS('NSE - NIFTY Index Options'!$L:$L,'NSE - NIFTY Index Options'!$C:$C,$A99,'NSE - NIFTY Index Options'!$B:$B,G$4,'NSE - NIFTY Index Options'!$H:$H,"MDAW*")+SUMIFS('NSE - Other Index Options'!$L:$L,'NSE - Other Index Options'!$C:$C,$A99,'NSE - Other Index Options'!$B:$B,G$4,'NSE - Other Index Options'!$H:$H,"Weekly*")+SUMIFS('NSE - Other Index Options'!$L:$L,'NSE - Other Index Options'!$C:$C,$A99,'NSE - Other Index Options'!$B:$B,G$4,'NSE - Other Index Options'!$H:$H,"MDAW*")=0,"",SUMIFS('NSE - NIFTY Index Options'!$L:$L,'NSE - NIFTY Index Options'!$C:$C,$A99,'NSE - NIFTY Index Options'!$B:$B,G$4,'NSE - NIFTY Index Options'!$H:$H,"Weekly*")+SUMIFS('NSE - NIFTY Index Options'!$L:$L,'NSE - NIFTY Index Options'!$C:$C,$A99,'NSE - NIFTY Index Options'!$B:$B,G$4,'NSE - NIFTY Index Options'!$H:$H,"MDAW*")+SUMIFS('NSE - Other Index Options'!$L:$L,'NSE - Other Index Options'!$C:$C,$A99,'NSE - Other Index Options'!$B:$B,G$4,'NSE - Other Index Options'!$H:$H,"Weekly*")+SUMIFS('NSE - Other Index Options'!$L:$L,'NSE - Other Index Options'!$C:$C,$A99,'NSE - Other Index Options'!$B:$B,G$4,'NSE - Other Index Options'!$H:$H,"MDAW*"))</f>
        <v/>
      </c>
      <c r="H99" s="26" t="str">
        <f t="shared" si="2"/>
        <v/>
      </c>
    </row>
    <row r="100" spans="1:8" hidden="1" outlineLevel="1">
      <c r="A100" t="s">
        <v>105</v>
      </c>
      <c r="B100" s="26" t="str">
        <f>IF(SUMIFS('NSE - NIFTY Index Options'!$L:$L,'NSE - NIFTY Index Options'!$C:$C,$A100,'NSE - NIFTY Index Options'!$B:$B,B$4,'NSE - NIFTY Index Options'!$H:$H,"Weekly*")+SUMIFS('NSE - NIFTY Index Options'!$L:$L,'NSE - NIFTY Index Options'!$C:$C,$A100,'NSE - NIFTY Index Options'!$B:$B,B$4,'NSE - NIFTY Index Options'!$H:$H,"MDAW*")+SUMIFS('NSE - Other Index Options'!$L:$L,'NSE - Other Index Options'!$C:$C,$A100,'NSE - Other Index Options'!$B:$B,B$4,'NSE - Other Index Options'!$H:$H,"Weekly*")+SUMIFS('NSE - Other Index Options'!$L:$L,'NSE - Other Index Options'!$C:$C,$A100,'NSE - Other Index Options'!$B:$B,B$4,'NSE - Other Index Options'!$H:$H,"MDAW*")=0,"",SUMIFS('NSE - NIFTY Index Options'!$L:$L,'NSE - NIFTY Index Options'!$C:$C,$A100,'NSE - NIFTY Index Options'!$B:$B,B$4,'NSE - NIFTY Index Options'!$H:$H,"Weekly*")+SUMIFS('NSE - NIFTY Index Options'!$L:$L,'NSE - NIFTY Index Options'!$C:$C,$A100,'NSE - NIFTY Index Options'!$B:$B,B$4,'NSE - NIFTY Index Options'!$H:$H,"MDAW*")+SUMIFS('NSE - Other Index Options'!$L:$L,'NSE - Other Index Options'!$C:$C,$A100,'NSE - Other Index Options'!$B:$B,B$4,'NSE - Other Index Options'!$H:$H,"Weekly*")+SUMIFS('NSE - Other Index Options'!$L:$L,'NSE - Other Index Options'!$C:$C,$A100,'NSE - Other Index Options'!$B:$B,B$4,'NSE - Other Index Options'!$H:$H,"MDAW*"))</f>
        <v/>
      </c>
      <c r="C100" s="26" t="str">
        <f>IF(SUMIFS('NSE - NIFTY Index Options'!$L:$L,'NSE - NIFTY Index Options'!$C:$C,$A100,'NSE - NIFTY Index Options'!$B:$B,C$4,'NSE - NIFTY Index Options'!$H:$H,"Weekly*")+SUMIFS('NSE - NIFTY Index Options'!$L:$L,'NSE - NIFTY Index Options'!$C:$C,$A100,'NSE - NIFTY Index Options'!$B:$B,C$4,'NSE - NIFTY Index Options'!$H:$H,"MDAW*")+SUMIFS('NSE - Other Index Options'!$L:$L,'NSE - Other Index Options'!$C:$C,$A100,'NSE - Other Index Options'!$B:$B,C$4,'NSE - Other Index Options'!$H:$H,"Weekly*")+SUMIFS('NSE - Other Index Options'!$L:$L,'NSE - Other Index Options'!$C:$C,$A100,'NSE - Other Index Options'!$B:$B,C$4,'NSE - Other Index Options'!$H:$H,"MDAW*")=0,"",SUMIFS('NSE - NIFTY Index Options'!$L:$L,'NSE - NIFTY Index Options'!$C:$C,$A100,'NSE - NIFTY Index Options'!$B:$B,C$4,'NSE - NIFTY Index Options'!$H:$H,"Weekly*")+SUMIFS('NSE - NIFTY Index Options'!$L:$L,'NSE - NIFTY Index Options'!$C:$C,$A100,'NSE - NIFTY Index Options'!$B:$B,C$4,'NSE - NIFTY Index Options'!$H:$H,"MDAW*")+SUMIFS('NSE - Other Index Options'!$L:$L,'NSE - Other Index Options'!$C:$C,$A100,'NSE - Other Index Options'!$B:$B,C$4,'NSE - Other Index Options'!$H:$H,"Weekly*")+SUMIFS('NSE - Other Index Options'!$L:$L,'NSE - Other Index Options'!$C:$C,$A100,'NSE - Other Index Options'!$B:$B,C$4,'NSE - Other Index Options'!$H:$H,"MDAW*"))</f>
        <v/>
      </c>
      <c r="D100" s="26" t="str">
        <f>IF(SUMIFS('NSE - NIFTY Index Options'!$L:$L,'NSE - NIFTY Index Options'!$C:$C,$A100,'NSE - NIFTY Index Options'!$B:$B,D$4,'NSE - NIFTY Index Options'!$H:$H,"Weekly*")+SUMIFS('NSE - NIFTY Index Options'!$L:$L,'NSE - NIFTY Index Options'!$C:$C,$A100,'NSE - NIFTY Index Options'!$B:$B,D$4,'NSE - NIFTY Index Options'!$H:$H,"MDAW*")+SUMIFS('NSE - Other Index Options'!$L:$L,'NSE - Other Index Options'!$C:$C,$A100,'NSE - Other Index Options'!$B:$B,D$4,'NSE - Other Index Options'!$H:$H,"Weekly*")+SUMIFS('NSE - Other Index Options'!$L:$L,'NSE - Other Index Options'!$C:$C,$A100,'NSE - Other Index Options'!$B:$B,D$4,'NSE - Other Index Options'!$H:$H,"MDAW*")=0,"",SUMIFS('NSE - NIFTY Index Options'!$L:$L,'NSE - NIFTY Index Options'!$C:$C,$A100,'NSE - NIFTY Index Options'!$B:$B,D$4,'NSE - NIFTY Index Options'!$H:$H,"Weekly*")+SUMIFS('NSE - NIFTY Index Options'!$L:$L,'NSE - NIFTY Index Options'!$C:$C,$A100,'NSE - NIFTY Index Options'!$B:$B,D$4,'NSE - NIFTY Index Options'!$H:$H,"MDAW*")+SUMIFS('NSE - Other Index Options'!$L:$L,'NSE - Other Index Options'!$C:$C,$A100,'NSE - Other Index Options'!$B:$B,D$4,'NSE - Other Index Options'!$H:$H,"Weekly*")+SUMIFS('NSE - Other Index Options'!$L:$L,'NSE - Other Index Options'!$C:$C,$A100,'NSE - Other Index Options'!$B:$B,D$4,'NSE - Other Index Options'!$H:$H,"MDAW*"))</f>
        <v/>
      </c>
      <c r="E100" s="26" t="str">
        <f>IF(SUMIFS('NSE - NIFTY Index Options'!$L:$L,'NSE - NIFTY Index Options'!$C:$C,$A100,'NSE - NIFTY Index Options'!$B:$B,E$4,'NSE - NIFTY Index Options'!$H:$H,"Weekly*")+SUMIFS('NSE - NIFTY Index Options'!$L:$L,'NSE - NIFTY Index Options'!$C:$C,$A100,'NSE - NIFTY Index Options'!$B:$B,E$4,'NSE - NIFTY Index Options'!$H:$H,"MDAW*")+SUMIFS('NSE - Other Index Options'!$L:$L,'NSE - Other Index Options'!$C:$C,$A100,'NSE - Other Index Options'!$B:$B,E$4,'NSE - Other Index Options'!$H:$H,"Weekly*")+SUMIFS('NSE - Other Index Options'!$L:$L,'NSE - Other Index Options'!$C:$C,$A100,'NSE - Other Index Options'!$B:$B,E$4,'NSE - Other Index Options'!$H:$H,"MDAW*")=0,"",SUMIFS('NSE - NIFTY Index Options'!$L:$L,'NSE - NIFTY Index Options'!$C:$C,$A100,'NSE - NIFTY Index Options'!$B:$B,E$4,'NSE - NIFTY Index Options'!$H:$H,"Weekly*")+SUMIFS('NSE - NIFTY Index Options'!$L:$L,'NSE - NIFTY Index Options'!$C:$C,$A100,'NSE - NIFTY Index Options'!$B:$B,E$4,'NSE - NIFTY Index Options'!$H:$H,"MDAW*")+SUMIFS('NSE - Other Index Options'!$L:$L,'NSE - Other Index Options'!$C:$C,$A100,'NSE - Other Index Options'!$B:$B,E$4,'NSE - Other Index Options'!$H:$H,"Weekly*")+SUMIFS('NSE - Other Index Options'!$L:$L,'NSE - Other Index Options'!$C:$C,$A100,'NSE - Other Index Options'!$B:$B,E$4,'NSE - Other Index Options'!$H:$H,"MDAW*"))</f>
        <v/>
      </c>
      <c r="F100" s="26" t="str">
        <f>IF(SUMIFS('NSE - NIFTY Index Options'!$L:$L,'NSE - NIFTY Index Options'!$C:$C,$A100,'NSE - NIFTY Index Options'!$B:$B,F$4,'NSE - NIFTY Index Options'!$H:$H,"Weekly*")+SUMIFS('NSE - NIFTY Index Options'!$L:$L,'NSE - NIFTY Index Options'!$C:$C,$A100,'NSE - NIFTY Index Options'!$B:$B,F$4,'NSE - NIFTY Index Options'!$H:$H,"MDAW*")+SUMIFS('NSE - Other Index Options'!$L:$L,'NSE - Other Index Options'!$C:$C,$A100,'NSE - Other Index Options'!$B:$B,F$4,'NSE - Other Index Options'!$H:$H,"Weekly*")+SUMIFS('NSE - Other Index Options'!$L:$L,'NSE - Other Index Options'!$C:$C,$A100,'NSE - Other Index Options'!$B:$B,F$4,'NSE - Other Index Options'!$H:$H,"MDAW*")=0,"",SUMIFS('NSE - NIFTY Index Options'!$L:$L,'NSE - NIFTY Index Options'!$C:$C,$A100,'NSE - NIFTY Index Options'!$B:$B,F$4,'NSE - NIFTY Index Options'!$H:$H,"Weekly*")+SUMIFS('NSE - NIFTY Index Options'!$L:$L,'NSE - NIFTY Index Options'!$C:$C,$A100,'NSE - NIFTY Index Options'!$B:$B,F$4,'NSE - NIFTY Index Options'!$H:$H,"MDAW*")+SUMIFS('NSE - Other Index Options'!$L:$L,'NSE - Other Index Options'!$C:$C,$A100,'NSE - Other Index Options'!$B:$B,F$4,'NSE - Other Index Options'!$H:$H,"Weekly*")+SUMIFS('NSE - Other Index Options'!$L:$L,'NSE - Other Index Options'!$C:$C,$A100,'NSE - Other Index Options'!$B:$B,F$4,'NSE - Other Index Options'!$H:$H,"MDAW*"))</f>
        <v/>
      </c>
      <c r="G100" s="26" t="str">
        <f>IF(SUMIFS('NSE - NIFTY Index Options'!$L:$L,'NSE - NIFTY Index Options'!$C:$C,$A100,'NSE - NIFTY Index Options'!$B:$B,G$4,'NSE - NIFTY Index Options'!$H:$H,"Weekly*")+SUMIFS('NSE - NIFTY Index Options'!$L:$L,'NSE - NIFTY Index Options'!$C:$C,$A100,'NSE - NIFTY Index Options'!$B:$B,G$4,'NSE - NIFTY Index Options'!$H:$H,"MDAW*")+SUMIFS('NSE - Other Index Options'!$L:$L,'NSE - Other Index Options'!$C:$C,$A100,'NSE - Other Index Options'!$B:$B,G$4,'NSE - Other Index Options'!$H:$H,"Weekly*")+SUMIFS('NSE - Other Index Options'!$L:$L,'NSE - Other Index Options'!$C:$C,$A100,'NSE - Other Index Options'!$B:$B,G$4,'NSE - Other Index Options'!$H:$H,"MDAW*")=0,"",SUMIFS('NSE - NIFTY Index Options'!$L:$L,'NSE - NIFTY Index Options'!$C:$C,$A100,'NSE - NIFTY Index Options'!$B:$B,G$4,'NSE - NIFTY Index Options'!$H:$H,"Weekly*")+SUMIFS('NSE - NIFTY Index Options'!$L:$L,'NSE - NIFTY Index Options'!$C:$C,$A100,'NSE - NIFTY Index Options'!$B:$B,G$4,'NSE - NIFTY Index Options'!$H:$H,"MDAW*")+SUMIFS('NSE - Other Index Options'!$L:$L,'NSE - Other Index Options'!$C:$C,$A100,'NSE - Other Index Options'!$B:$B,G$4,'NSE - Other Index Options'!$H:$H,"Weekly*")+SUMIFS('NSE - Other Index Options'!$L:$L,'NSE - Other Index Options'!$C:$C,$A100,'NSE - Other Index Options'!$B:$B,G$4,'NSE - Other Index Options'!$H:$H,"MDAW*"))</f>
        <v/>
      </c>
      <c r="H100" s="26" t="str">
        <f t="shared" si="2"/>
        <v/>
      </c>
    </row>
    <row r="101" spans="1:8" hidden="1" outlineLevel="1">
      <c r="A101" t="s">
        <v>106</v>
      </c>
      <c r="B101" s="26" t="str">
        <f>IF(SUMIFS('NSE - NIFTY Index Options'!$L:$L,'NSE - NIFTY Index Options'!$C:$C,$A101,'NSE - NIFTY Index Options'!$B:$B,B$4,'NSE - NIFTY Index Options'!$H:$H,"Weekly*")+SUMIFS('NSE - NIFTY Index Options'!$L:$L,'NSE - NIFTY Index Options'!$C:$C,$A101,'NSE - NIFTY Index Options'!$B:$B,B$4,'NSE - NIFTY Index Options'!$H:$H,"MDAW*")+SUMIFS('NSE - Other Index Options'!$L:$L,'NSE - Other Index Options'!$C:$C,$A101,'NSE - Other Index Options'!$B:$B,B$4,'NSE - Other Index Options'!$H:$H,"Weekly*")+SUMIFS('NSE - Other Index Options'!$L:$L,'NSE - Other Index Options'!$C:$C,$A101,'NSE - Other Index Options'!$B:$B,B$4,'NSE - Other Index Options'!$H:$H,"MDAW*")=0,"",SUMIFS('NSE - NIFTY Index Options'!$L:$L,'NSE - NIFTY Index Options'!$C:$C,$A101,'NSE - NIFTY Index Options'!$B:$B,B$4,'NSE - NIFTY Index Options'!$H:$H,"Weekly*")+SUMIFS('NSE - NIFTY Index Options'!$L:$L,'NSE - NIFTY Index Options'!$C:$C,$A101,'NSE - NIFTY Index Options'!$B:$B,B$4,'NSE - NIFTY Index Options'!$H:$H,"MDAW*")+SUMIFS('NSE - Other Index Options'!$L:$L,'NSE - Other Index Options'!$C:$C,$A101,'NSE - Other Index Options'!$B:$B,B$4,'NSE - Other Index Options'!$H:$H,"Weekly*")+SUMIFS('NSE - Other Index Options'!$L:$L,'NSE - Other Index Options'!$C:$C,$A101,'NSE - Other Index Options'!$B:$B,B$4,'NSE - Other Index Options'!$H:$H,"MDAW*"))</f>
        <v/>
      </c>
      <c r="C101" s="26" t="str">
        <f>IF(SUMIFS('NSE - NIFTY Index Options'!$L:$L,'NSE - NIFTY Index Options'!$C:$C,$A101,'NSE - NIFTY Index Options'!$B:$B,C$4,'NSE - NIFTY Index Options'!$H:$H,"Weekly*")+SUMIFS('NSE - NIFTY Index Options'!$L:$L,'NSE - NIFTY Index Options'!$C:$C,$A101,'NSE - NIFTY Index Options'!$B:$B,C$4,'NSE - NIFTY Index Options'!$H:$H,"MDAW*")+SUMIFS('NSE - Other Index Options'!$L:$L,'NSE - Other Index Options'!$C:$C,$A101,'NSE - Other Index Options'!$B:$B,C$4,'NSE - Other Index Options'!$H:$H,"Weekly*")+SUMIFS('NSE - Other Index Options'!$L:$L,'NSE - Other Index Options'!$C:$C,$A101,'NSE - Other Index Options'!$B:$B,C$4,'NSE - Other Index Options'!$H:$H,"MDAW*")=0,"",SUMIFS('NSE - NIFTY Index Options'!$L:$L,'NSE - NIFTY Index Options'!$C:$C,$A101,'NSE - NIFTY Index Options'!$B:$B,C$4,'NSE - NIFTY Index Options'!$H:$H,"Weekly*")+SUMIFS('NSE - NIFTY Index Options'!$L:$L,'NSE - NIFTY Index Options'!$C:$C,$A101,'NSE - NIFTY Index Options'!$B:$B,C$4,'NSE - NIFTY Index Options'!$H:$H,"MDAW*")+SUMIFS('NSE - Other Index Options'!$L:$L,'NSE - Other Index Options'!$C:$C,$A101,'NSE - Other Index Options'!$B:$B,C$4,'NSE - Other Index Options'!$H:$H,"Weekly*")+SUMIFS('NSE - Other Index Options'!$L:$L,'NSE - Other Index Options'!$C:$C,$A101,'NSE - Other Index Options'!$B:$B,C$4,'NSE - Other Index Options'!$H:$H,"MDAW*"))</f>
        <v/>
      </c>
      <c r="D101" s="26" t="str">
        <f>IF(SUMIFS('NSE - NIFTY Index Options'!$L:$L,'NSE - NIFTY Index Options'!$C:$C,$A101,'NSE - NIFTY Index Options'!$B:$B,D$4,'NSE - NIFTY Index Options'!$H:$H,"Weekly*")+SUMIFS('NSE - NIFTY Index Options'!$L:$L,'NSE - NIFTY Index Options'!$C:$C,$A101,'NSE - NIFTY Index Options'!$B:$B,D$4,'NSE - NIFTY Index Options'!$H:$H,"MDAW*")+SUMIFS('NSE - Other Index Options'!$L:$L,'NSE - Other Index Options'!$C:$C,$A101,'NSE - Other Index Options'!$B:$B,D$4,'NSE - Other Index Options'!$H:$H,"Weekly*")+SUMIFS('NSE - Other Index Options'!$L:$L,'NSE - Other Index Options'!$C:$C,$A101,'NSE - Other Index Options'!$B:$B,D$4,'NSE - Other Index Options'!$H:$H,"MDAW*")=0,"",SUMIFS('NSE - NIFTY Index Options'!$L:$L,'NSE - NIFTY Index Options'!$C:$C,$A101,'NSE - NIFTY Index Options'!$B:$B,D$4,'NSE - NIFTY Index Options'!$H:$H,"Weekly*")+SUMIFS('NSE - NIFTY Index Options'!$L:$L,'NSE - NIFTY Index Options'!$C:$C,$A101,'NSE - NIFTY Index Options'!$B:$B,D$4,'NSE - NIFTY Index Options'!$H:$H,"MDAW*")+SUMIFS('NSE - Other Index Options'!$L:$L,'NSE - Other Index Options'!$C:$C,$A101,'NSE - Other Index Options'!$B:$B,D$4,'NSE - Other Index Options'!$H:$H,"Weekly*")+SUMIFS('NSE - Other Index Options'!$L:$L,'NSE - Other Index Options'!$C:$C,$A101,'NSE - Other Index Options'!$B:$B,D$4,'NSE - Other Index Options'!$H:$H,"MDAW*"))</f>
        <v/>
      </c>
      <c r="E101" s="26" t="str">
        <f>IF(SUMIFS('NSE - NIFTY Index Options'!$L:$L,'NSE - NIFTY Index Options'!$C:$C,$A101,'NSE - NIFTY Index Options'!$B:$B,E$4,'NSE - NIFTY Index Options'!$H:$H,"Weekly*")+SUMIFS('NSE - NIFTY Index Options'!$L:$L,'NSE - NIFTY Index Options'!$C:$C,$A101,'NSE - NIFTY Index Options'!$B:$B,E$4,'NSE - NIFTY Index Options'!$H:$H,"MDAW*")+SUMIFS('NSE - Other Index Options'!$L:$L,'NSE - Other Index Options'!$C:$C,$A101,'NSE - Other Index Options'!$B:$B,E$4,'NSE - Other Index Options'!$H:$H,"Weekly*")+SUMIFS('NSE - Other Index Options'!$L:$L,'NSE - Other Index Options'!$C:$C,$A101,'NSE - Other Index Options'!$B:$B,E$4,'NSE - Other Index Options'!$H:$H,"MDAW*")=0,"",SUMIFS('NSE - NIFTY Index Options'!$L:$L,'NSE - NIFTY Index Options'!$C:$C,$A101,'NSE - NIFTY Index Options'!$B:$B,E$4,'NSE - NIFTY Index Options'!$H:$H,"Weekly*")+SUMIFS('NSE - NIFTY Index Options'!$L:$L,'NSE - NIFTY Index Options'!$C:$C,$A101,'NSE - NIFTY Index Options'!$B:$B,E$4,'NSE - NIFTY Index Options'!$H:$H,"MDAW*")+SUMIFS('NSE - Other Index Options'!$L:$L,'NSE - Other Index Options'!$C:$C,$A101,'NSE - Other Index Options'!$B:$B,E$4,'NSE - Other Index Options'!$H:$H,"Weekly*")+SUMIFS('NSE - Other Index Options'!$L:$L,'NSE - Other Index Options'!$C:$C,$A101,'NSE - Other Index Options'!$B:$B,E$4,'NSE - Other Index Options'!$H:$H,"MDAW*"))</f>
        <v/>
      </c>
      <c r="F101" s="26" t="str">
        <f>IF(SUMIFS('NSE - NIFTY Index Options'!$L:$L,'NSE - NIFTY Index Options'!$C:$C,$A101,'NSE - NIFTY Index Options'!$B:$B,F$4,'NSE - NIFTY Index Options'!$H:$H,"Weekly*")+SUMIFS('NSE - NIFTY Index Options'!$L:$L,'NSE - NIFTY Index Options'!$C:$C,$A101,'NSE - NIFTY Index Options'!$B:$B,F$4,'NSE - NIFTY Index Options'!$H:$H,"MDAW*")+SUMIFS('NSE - Other Index Options'!$L:$L,'NSE - Other Index Options'!$C:$C,$A101,'NSE - Other Index Options'!$B:$B,F$4,'NSE - Other Index Options'!$H:$H,"Weekly*")+SUMIFS('NSE - Other Index Options'!$L:$L,'NSE - Other Index Options'!$C:$C,$A101,'NSE - Other Index Options'!$B:$B,F$4,'NSE - Other Index Options'!$H:$H,"MDAW*")=0,"",SUMIFS('NSE - NIFTY Index Options'!$L:$L,'NSE - NIFTY Index Options'!$C:$C,$A101,'NSE - NIFTY Index Options'!$B:$B,F$4,'NSE - NIFTY Index Options'!$H:$H,"Weekly*")+SUMIFS('NSE - NIFTY Index Options'!$L:$L,'NSE - NIFTY Index Options'!$C:$C,$A101,'NSE - NIFTY Index Options'!$B:$B,F$4,'NSE - NIFTY Index Options'!$H:$H,"MDAW*")+SUMIFS('NSE - Other Index Options'!$L:$L,'NSE - Other Index Options'!$C:$C,$A101,'NSE - Other Index Options'!$B:$B,F$4,'NSE - Other Index Options'!$H:$H,"Weekly*")+SUMIFS('NSE - Other Index Options'!$L:$L,'NSE - Other Index Options'!$C:$C,$A101,'NSE - Other Index Options'!$B:$B,F$4,'NSE - Other Index Options'!$H:$H,"MDAW*"))</f>
        <v/>
      </c>
      <c r="G101" s="26" t="str">
        <f>IF(SUMIFS('NSE - NIFTY Index Options'!$L:$L,'NSE - NIFTY Index Options'!$C:$C,$A101,'NSE - NIFTY Index Options'!$B:$B,G$4,'NSE - NIFTY Index Options'!$H:$H,"Weekly*")+SUMIFS('NSE - NIFTY Index Options'!$L:$L,'NSE - NIFTY Index Options'!$C:$C,$A101,'NSE - NIFTY Index Options'!$B:$B,G$4,'NSE - NIFTY Index Options'!$H:$H,"MDAW*")+SUMIFS('NSE - Other Index Options'!$L:$L,'NSE - Other Index Options'!$C:$C,$A101,'NSE - Other Index Options'!$B:$B,G$4,'NSE - Other Index Options'!$H:$H,"Weekly*")+SUMIFS('NSE - Other Index Options'!$L:$L,'NSE - Other Index Options'!$C:$C,$A101,'NSE - Other Index Options'!$B:$B,G$4,'NSE - Other Index Options'!$H:$H,"MDAW*")=0,"",SUMIFS('NSE - NIFTY Index Options'!$L:$L,'NSE - NIFTY Index Options'!$C:$C,$A101,'NSE - NIFTY Index Options'!$B:$B,G$4,'NSE - NIFTY Index Options'!$H:$H,"Weekly*")+SUMIFS('NSE - NIFTY Index Options'!$L:$L,'NSE - NIFTY Index Options'!$C:$C,$A101,'NSE - NIFTY Index Options'!$B:$B,G$4,'NSE - NIFTY Index Options'!$H:$H,"MDAW*")+SUMIFS('NSE - Other Index Options'!$L:$L,'NSE - Other Index Options'!$C:$C,$A101,'NSE - Other Index Options'!$B:$B,G$4,'NSE - Other Index Options'!$H:$H,"Weekly*")+SUMIFS('NSE - Other Index Options'!$L:$L,'NSE - Other Index Options'!$C:$C,$A101,'NSE - Other Index Options'!$B:$B,G$4,'NSE - Other Index Options'!$H:$H,"MDAW*"))</f>
        <v/>
      </c>
      <c r="H101" s="26" t="str">
        <f t="shared" ref="H101:H132" si="3">IF(SUM(B101:G101)=0,"",SUM(B101:G101))</f>
        <v/>
      </c>
    </row>
    <row r="102" spans="1:8" hidden="1" outlineLevel="1">
      <c r="A102" t="s">
        <v>107</v>
      </c>
      <c r="B102" s="26" t="str">
        <f>IF(SUMIFS('NSE - NIFTY Index Options'!$L:$L,'NSE - NIFTY Index Options'!$C:$C,$A102,'NSE - NIFTY Index Options'!$B:$B,B$4,'NSE - NIFTY Index Options'!$H:$H,"Weekly*")+SUMIFS('NSE - NIFTY Index Options'!$L:$L,'NSE - NIFTY Index Options'!$C:$C,$A102,'NSE - NIFTY Index Options'!$B:$B,B$4,'NSE - NIFTY Index Options'!$H:$H,"MDAW*")+SUMIFS('NSE - Other Index Options'!$L:$L,'NSE - Other Index Options'!$C:$C,$A102,'NSE - Other Index Options'!$B:$B,B$4,'NSE - Other Index Options'!$H:$H,"Weekly*")+SUMIFS('NSE - Other Index Options'!$L:$L,'NSE - Other Index Options'!$C:$C,$A102,'NSE - Other Index Options'!$B:$B,B$4,'NSE - Other Index Options'!$H:$H,"MDAW*")=0,"",SUMIFS('NSE - NIFTY Index Options'!$L:$L,'NSE - NIFTY Index Options'!$C:$C,$A102,'NSE - NIFTY Index Options'!$B:$B,B$4,'NSE - NIFTY Index Options'!$H:$H,"Weekly*")+SUMIFS('NSE - NIFTY Index Options'!$L:$L,'NSE - NIFTY Index Options'!$C:$C,$A102,'NSE - NIFTY Index Options'!$B:$B,B$4,'NSE - NIFTY Index Options'!$H:$H,"MDAW*")+SUMIFS('NSE - Other Index Options'!$L:$L,'NSE - Other Index Options'!$C:$C,$A102,'NSE - Other Index Options'!$B:$B,B$4,'NSE - Other Index Options'!$H:$H,"Weekly*")+SUMIFS('NSE - Other Index Options'!$L:$L,'NSE - Other Index Options'!$C:$C,$A102,'NSE - Other Index Options'!$B:$B,B$4,'NSE - Other Index Options'!$H:$H,"MDAW*"))</f>
        <v/>
      </c>
      <c r="C102" s="26" t="str">
        <f>IF(SUMIFS('NSE - NIFTY Index Options'!$L:$L,'NSE - NIFTY Index Options'!$C:$C,$A102,'NSE - NIFTY Index Options'!$B:$B,C$4,'NSE - NIFTY Index Options'!$H:$H,"Weekly*")+SUMIFS('NSE - NIFTY Index Options'!$L:$L,'NSE - NIFTY Index Options'!$C:$C,$A102,'NSE - NIFTY Index Options'!$B:$B,C$4,'NSE - NIFTY Index Options'!$H:$H,"MDAW*")+SUMIFS('NSE - Other Index Options'!$L:$L,'NSE - Other Index Options'!$C:$C,$A102,'NSE - Other Index Options'!$B:$B,C$4,'NSE - Other Index Options'!$H:$H,"Weekly*")+SUMIFS('NSE - Other Index Options'!$L:$L,'NSE - Other Index Options'!$C:$C,$A102,'NSE - Other Index Options'!$B:$B,C$4,'NSE - Other Index Options'!$H:$H,"MDAW*")=0,"",SUMIFS('NSE - NIFTY Index Options'!$L:$L,'NSE - NIFTY Index Options'!$C:$C,$A102,'NSE - NIFTY Index Options'!$B:$B,C$4,'NSE - NIFTY Index Options'!$H:$H,"Weekly*")+SUMIFS('NSE - NIFTY Index Options'!$L:$L,'NSE - NIFTY Index Options'!$C:$C,$A102,'NSE - NIFTY Index Options'!$B:$B,C$4,'NSE - NIFTY Index Options'!$H:$H,"MDAW*")+SUMIFS('NSE - Other Index Options'!$L:$L,'NSE - Other Index Options'!$C:$C,$A102,'NSE - Other Index Options'!$B:$B,C$4,'NSE - Other Index Options'!$H:$H,"Weekly*")+SUMIFS('NSE - Other Index Options'!$L:$L,'NSE - Other Index Options'!$C:$C,$A102,'NSE - Other Index Options'!$B:$B,C$4,'NSE - Other Index Options'!$H:$H,"MDAW*"))</f>
        <v/>
      </c>
      <c r="D102" s="26" t="str">
        <f>IF(SUMIFS('NSE - NIFTY Index Options'!$L:$L,'NSE - NIFTY Index Options'!$C:$C,$A102,'NSE - NIFTY Index Options'!$B:$B,D$4,'NSE - NIFTY Index Options'!$H:$H,"Weekly*")+SUMIFS('NSE - NIFTY Index Options'!$L:$L,'NSE - NIFTY Index Options'!$C:$C,$A102,'NSE - NIFTY Index Options'!$B:$B,D$4,'NSE - NIFTY Index Options'!$H:$H,"MDAW*")+SUMIFS('NSE - Other Index Options'!$L:$L,'NSE - Other Index Options'!$C:$C,$A102,'NSE - Other Index Options'!$B:$B,D$4,'NSE - Other Index Options'!$H:$H,"Weekly*")+SUMIFS('NSE - Other Index Options'!$L:$L,'NSE - Other Index Options'!$C:$C,$A102,'NSE - Other Index Options'!$B:$B,D$4,'NSE - Other Index Options'!$H:$H,"MDAW*")=0,"",SUMIFS('NSE - NIFTY Index Options'!$L:$L,'NSE - NIFTY Index Options'!$C:$C,$A102,'NSE - NIFTY Index Options'!$B:$B,D$4,'NSE - NIFTY Index Options'!$H:$H,"Weekly*")+SUMIFS('NSE - NIFTY Index Options'!$L:$L,'NSE - NIFTY Index Options'!$C:$C,$A102,'NSE - NIFTY Index Options'!$B:$B,D$4,'NSE - NIFTY Index Options'!$H:$H,"MDAW*")+SUMIFS('NSE - Other Index Options'!$L:$L,'NSE - Other Index Options'!$C:$C,$A102,'NSE - Other Index Options'!$B:$B,D$4,'NSE - Other Index Options'!$H:$H,"Weekly*")+SUMIFS('NSE - Other Index Options'!$L:$L,'NSE - Other Index Options'!$C:$C,$A102,'NSE - Other Index Options'!$B:$B,D$4,'NSE - Other Index Options'!$H:$H,"MDAW*"))</f>
        <v/>
      </c>
      <c r="E102" s="26" t="str">
        <f>IF(SUMIFS('NSE - NIFTY Index Options'!$L:$L,'NSE - NIFTY Index Options'!$C:$C,$A102,'NSE - NIFTY Index Options'!$B:$B,E$4,'NSE - NIFTY Index Options'!$H:$H,"Weekly*")+SUMIFS('NSE - NIFTY Index Options'!$L:$L,'NSE - NIFTY Index Options'!$C:$C,$A102,'NSE - NIFTY Index Options'!$B:$B,E$4,'NSE - NIFTY Index Options'!$H:$H,"MDAW*")+SUMIFS('NSE - Other Index Options'!$L:$L,'NSE - Other Index Options'!$C:$C,$A102,'NSE - Other Index Options'!$B:$B,E$4,'NSE - Other Index Options'!$H:$H,"Weekly*")+SUMIFS('NSE - Other Index Options'!$L:$L,'NSE - Other Index Options'!$C:$C,$A102,'NSE - Other Index Options'!$B:$B,E$4,'NSE - Other Index Options'!$H:$H,"MDAW*")=0,"",SUMIFS('NSE - NIFTY Index Options'!$L:$L,'NSE - NIFTY Index Options'!$C:$C,$A102,'NSE - NIFTY Index Options'!$B:$B,E$4,'NSE - NIFTY Index Options'!$H:$H,"Weekly*")+SUMIFS('NSE - NIFTY Index Options'!$L:$L,'NSE - NIFTY Index Options'!$C:$C,$A102,'NSE - NIFTY Index Options'!$B:$B,E$4,'NSE - NIFTY Index Options'!$H:$H,"MDAW*")+SUMIFS('NSE - Other Index Options'!$L:$L,'NSE - Other Index Options'!$C:$C,$A102,'NSE - Other Index Options'!$B:$B,E$4,'NSE - Other Index Options'!$H:$H,"Weekly*")+SUMIFS('NSE - Other Index Options'!$L:$L,'NSE - Other Index Options'!$C:$C,$A102,'NSE - Other Index Options'!$B:$B,E$4,'NSE - Other Index Options'!$H:$H,"MDAW*"))</f>
        <v/>
      </c>
      <c r="F102" s="26" t="str">
        <f>IF(SUMIFS('NSE - NIFTY Index Options'!$L:$L,'NSE - NIFTY Index Options'!$C:$C,$A102,'NSE - NIFTY Index Options'!$B:$B,F$4,'NSE - NIFTY Index Options'!$H:$H,"Weekly*")+SUMIFS('NSE - NIFTY Index Options'!$L:$L,'NSE - NIFTY Index Options'!$C:$C,$A102,'NSE - NIFTY Index Options'!$B:$B,F$4,'NSE - NIFTY Index Options'!$H:$H,"MDAW*")+SUMIFS('NSE - Other Index Options'!$L:$L,'NSE - Other Index Options'!$C:$C,$A102,'NSE - Other Index Options'!$B:$B,F$4,'NSE - Other Index Options'!$H:$H,"Weekly*")+SUMIFS('NSE - Other Index Options'!$L:$L,'NSE - Other Index Options'!$C:$C,$A102,'NSE - Other Index Options'!$B:$B,F$4,'NSE - Other Index Options'!$H:$H,"MDAW*")=0,"",SUMIFS('NSE - NIFTY Index Options'!$L:$L,'NSE - NIFTY Index Options'!$C:$C,$A102,'NSE - NIFTY Index Options'!$B:$B,F$4,'NSE - NIFTY Index Options'!$H:$H,"Weekly*")+SUMIFS('NSE - NIFTY Index Options'!$L:$L,'NSE - NIFTY Index Options'!$C:$C,$A102,'NSE - NIFTY Index Options'!$B:$B,F$4,'NSE - NIFTY Index Options'!$H:$H,"MDAW*")+SUMIFS('NSE - Other Index Options'!$L:$L,'NSE - Other Index Options'!$C:$C,$A102,'NSE - Other Index Options'!$B:$B,F$4,'NSE - Other Index Options'!$H:$H,"Weekly*")+SUMIFS('NSE - Other Index Options'!$L:$L,'NSE - Other Index Options'!$C:$C,$A102,'NSE - Other Index Options'!$B:$B,F$4,'NSE - Other Index Options'!$H:$H,"MDAW*"))</f>
        <v/>
      </c>
      <c r="G102" s="26" t="str">
        <f>IF(SUMIFS('NSE - NIFTY Index Options'!$L:$L,'NSE - NIFTY Index Options'!$C:$C,$A102,'NSE - NIFTY Index Options'!$B:$B,G$4,'NSE - NIFTY Index Options'!$H:$H,"Weekly*")+SUMIFS('NSE - NIFTY Index Options'!$L:$L,'NSE - NIFTY Index Options'!$C:$C,$A102,'NSE - NIFTY Index Options'!$B:$B,G$4,'NSE - NIFTY Index Options'!$H:$H,"MDAW*")+SUMIFS('NSE - Other Index Options'!$L:$L,'NSE - Other Index Options'!$C:$C,$A102,'NSE - Other Index Options'!$B:$B,G$4,'NSE - Other Index Options'!$H:$H,"Weekly*")+SUMIFS('NSE - Other Index Options'!$L:$L,'NSE - Other Index Options'!$C:$C,$A102,'NSE - Other Index Options'!$B:$B,G$4,'NSE - Other Index Options'!$H:$H,"MDAW*")=0,"",SUMIFS('NSE - NIFTY Index Options'!$L:$L,'NSE - NIFTY Index Options'!$C:$C,$A102,'NSE - NIFTY Index Options'!$B:$B,G$4,'NSE - NIFTY Index Options'!$H:$H,"Weekly*")+SUMIFS('NSE - NIFTY Index Options'!$L:$L,'NSE - NIFTY Index Options'!$C:$C,$A102,'NSE - NIFTY Index Options'!$B:$B,G$4,'NSE - NIFTY Index Options'!$H:$H,"MDAW*")+SUMIFS('NSE - Other Index Options'!$L:$L,'NSE - Other Index Options'!$C:$C,$A102,'NSE - Other Index Options'!$B:$B,G$4,'NSE - Other Index Options'!$H:$H,"Weekly*")+SUMIFS('NSE - Other Index Options'!$L:$L,'NSE - Other Index Options'!$C:$C,$A102,'NSE - Other Index Options'!$B:$B,G$4,'NSE - Other Index Options'!$H:$H,"MDAW*"))</f>
        <v/>
      </c>
      <c r="H102" s="26" t="str">
        <f t="shared" si="3"/>
        <v/>
      </c>
    </row>
    <row r="103" spans="1:8" hidden="1" outlineLevel="1">
      <c r="A103" t="s">
        <v>108</v>
      </c>
      <c r="B103" s="26" t="str">
        <f>IF(SUMIFS('NSE - NIFTY Index Options'!$L:$L,'NSE - NIFTY Index Options'!$C:$C,$A103,'NSE - NIFTY Index Options'!$B:$B,B$4,'NSE - NIFTY Index Options'!$H:$H,"Weekly*")+SUMIFS('NSE - NIFTY Index Options'!$L:$L,'NSE - NIFTY Index Options'!$C:$C,$A103,'NSE - NIFTY Index Options'!$B:$B,B$4,'NSE - NIFTY Index Options'!$H:$H,"MDAW*")+SUMIFS('NSE - Other Index Options'!$L:$L,'NSE - Other Index Options'!$C:$C,$A103,'NSE - Other Index Options'!$B:$B,B$4,'NSE - Other Index Options'!$H:$H,"Weekly*")+SUMIFS('NSE - Other Index Options'!$L:$L,'NSE - Other Index Options'!$C:$C,$A103,'NSE - Other Index Options'!$B:$B,B$4,'NSE - Other Index Options'!$H:$H,"MDAW*")=0,"",SUMIFS('NSE - NIFTY Index Options'!$L:$L,'NSE - NIFTY Index Options'!$C:$C,$A103,'NSE - NIFTY Index Options'!$B:$B,B$4,'NSE - NIFTY Index Options'!$H:$H,"Weekly*")+SUMIFS('NSE - NIFTY Index Options'!$L:$L,'NSE - NIFTY Index Options'!$C:$C,$A103,'NSE - NIFTY Index Options'!$B:$B,B$4,'NSE - NIFTY Index Options'!$H:$H,"MDAW*")+SUMIFS('NSE - Other Index Options'!$L:$L,'NSE - Other Index Options'!$C:$C,$A103,'NSE - Other Index Options'!$B:$B,B$4,'NSE - Other Index Options'!$H:$H,"Weekly*")+SUMIFS('NSE - Other Index Options'!$L:$L,'NSE - Other Index Options'!$C:$C,$A103,'NSE - Other Index Options'!$B:$B,B$4,'NSE - Other Index Options'!$H:$H,"MDAW*"))</f>
        <v/>
      </c>
      <c r="C103" s="26" t="str">
        <f>IF(SUMIFS('NSE - NIFTY Index Options'!$L:$L,'NSE - NIFTY Index Options'!$C:$C,$A103,'NSE - NIFTY Index Options'!$B:$B,C$4,'NSE - NIFTY Index Options'!$H:$H,"Weekly*")+SUMIFS('NSE - NIFTY Index Options'!$L:$L,'NSE - NIFTY Index Options'!$C:$C,$A103,'NSE - NIFTY Index Options'!$B:$B,C$4,'NSE - NIFTY Index Options'!$H:$H,"MDAW*")+SUMIFS('NSE - Other Index Options'!$L:$L,'NSE - Other Index Options'!$C:$C,$A103,'NSE - Other Index Options'!$B:$B,C$4,'NSE - Other Index Options'!$H:$H,"Weekly*")+SUMIFS('NSE - Other Index Options'!$L:$L,'NSE - Other Index Options'!$C:$C,$A103,'NSE - Other Index Options'!$B:$B,C$4,'NSE - Other Index Options'!$H:$H,"MDAW*")=0,"",SUMIFS('NSE - NIFTY Index Options'!$L:$L,'NSE - NIFTY Index Options'!$C:$C,$A103,'NSE - NIFTY Index Options'!$B:$B,C$4,'NSE - NIFTY Index Options'!$H:$H,"Weekly*")+SUMIFS('NSE - NIFTY Index Options'!$L:$L,'NSE - NIFTY Index Options'!$C:$C,$A103,'NSE - NIFTY Index Options'!$B:$B,C$4,'NSE - NIFTY Index Options'!$H:$H,"MDAW*")+SUMIFS('NSE - Other Index Options'!$L:$L,'NSE - Other Index Options'!$C:$C,$A103,'NSE - Other Index Options'!$B:$B,C$4,'NSE - Other Index Options'!$H:$H,"Weekly*")+SUMIFS('NSE - Other Index Options'!$L:$L,'NSE - Other Index Options'!$C:$C,$A103,'NSE - Other Index Options'!$B:$B,C$4,'NSE - Other Index Options'!$H:$H,"MDAW*"))</f>
        <v/>
      </c>
      <c r="D103" s="26" t="str">
        <f>IF(SUMIFS('NSE - NIFTY Index Options'!$L:$L,'NSE - NIFTY Index Options'!$C:$C,$A103,'NSE - NIFTY Index Options'!$B:$B,D$4,'NSE - NIFTY Index Options'!$H:$H,"Weekly*")+SUMIFS('NSE - NIFTY Index Options'!$L:$L,'NSE - NIFTY Index Options'!$C:$C,$A103,'NSE - NIFTY Index Options'!$B:$B,D$4,'NSE - NIFTY Index Options'!$H:$H,"MDAW*")+SUMIFS('NSE - Other Index Options'!$L:$L,'NSE - Other Index Options'!$C:$C,$A103,'NSE - Other Index Options'!$B:$B,D$4,'NSE - Other Index Options'!$H:$H,"Weekly*")+SUMIFS('NSE - Other Index Options'!$L:$L,'NSE - Other Index Options'!$C:$C,$A103,'NSE - Other Index Options'!$B:$B,D$4,'NSE - Other Index Options'!$H:$H,"MDAW*")=0,"",SUMIFS('NSE - NIFTY Index Options'!$L:$L,'NSE - NIFTY Index Options'!$C:$C,$A103,'NSE - NIFTY Index Options'!$B:$B,D$4,'NSE - NIFTY Index Options'!$H:$H,"Weekly*")+SUMIFS('NSE - NIFTY Index Options'!$L:$L,'NSE - NIFTY Index Options'!$C:$C,$A103,'NSE - NIFTY Index Options'!$B:$B,D$4,'NSE - NIFTY Index Options'!$H:$H,"MDAW*")+SUMIFS('NSE - Other Index Options'!$L:$L,'NSE - Other Index Options'!$C:$C,$A103,'NSE - Other Index Options'!$B:$B,D$4,'NSE - Other Index Options'!$H:$H,"Weekly*")+SUMIFS('NSE - Other Index Options'!$L:$L,'NSE - Other Index Options'!$C:$C,$A103,'NSE - Other Index Options'!$B:$B,D$4,'NSE - Other Index Options'!$H:$H,"MDAW*"))</f>
        <v/>
      </c>
      <c r="E103" s="26" t="str">
        <f>IF(SUMIFS('NSE - NIFTY Index Options'!$L:$L,'NSE - NIFTY Index Options'!$C:$C,$A103,'NSE - NIFTY Index Options'!$B:$B,E$4,'NSE - NIFTY Index Options'!$H:$H,"Weekly*")+SUMIFS('NSE - NIFTY Index Options'!$L:$L,'NSE - NIFTY Index Options'!$C:$C,$A103,'NSE - NIFTY Index Options'!$B:$B,E$4,'NSE - NIFTY Index Options'!$H:$H,"MDAW*")+SUMIFS('NSE - Other Index Options'!$L:$L,'NSE - Other Index Options'!$C:$C,$A103,'NSE - Other Index Options'!$B:$B,E$4,'NSE - Other Index Options'!$H:$H,"Weekly*")+SUMIFS('NSE - Other Index Options'!$L:$L,'NSE - Other Index Options'!$C:$C,$A103,'NSE - Other Index Options'!$B:$B,E$4,'NSE - Other Index Options'!$H:$H,"MDAW*")=0,"",SUMIFS('NSE - NIFTY Index Options'!$L:$L,'NSE - NIFTY Index Options'!$C:$C,$A103,'NSE - NIFTY Index Options'!$B:$B,E$4,'NSE - NIFTY Index Options'!$H:$H,"Weekly*")+SUMIFS('NSE - NIFTY Index Options'!$L:$L,'NSE - NIFTY Index Options'!$C:$C,$A103,'NSE - NIFTY Index Options'!$B:$B,E$4,'NSE - NIFTY Index Options'!$H:$H,"MDAW*")+SUMIFS('NSE - Other Index Options'!$L:$L,'NSE - Other Index Options'!$C:$C,$A103,'NSE - Other Index Options'!$B:$B,E$4,'NSE - Other Index Options'!$H:$H,"Weekly*")+SUMIFS('NSE - Other Index Options'!$L:$L,'NSE - Other Index Options'!$C:$C,$A103,'NSE - Other Index Options'!$B:$B,E$4,'NSE - Other Index Options'!$H:$H,"MDAW*"))</f>
        <v/>
      </c>
      <c r="F103" s="26" t="str">
        <f>IF(SUMIFS('NSE - NIFTY Index Options'!$L:$L,'NSE - NIFTY Index Options'!$C:$C,$A103,'NSE - NIFTY Index Options'!$B:$B,F$4,'NSE - NIFTY Index Options'!$H:$H,"Weekly*")+SUMIFS('NSE - NIFTY Index Options'!$L:$L,'NSE - NIFTY Index Options'!$C:$C,$A103,'NSE - NIFTY Index Options'!$B:$B,F$4,'NSE - NIFTY Index Options'!$H:$H,"MDAW*")+SUMIFS('NSE - Other Index Options'!$L:$L,'NSE - Other Index Options'!$C:$C,$A103,'NSE - Other Index Options'!$B:$B,F$4,'NSE - Other Index Options'!$H:$H,"Weekly*")+SUMIFS('NSE - Other Index Options'!$L:$L,'NSE - Other Index Options'!$C:$C,$A103,'NSE - Other Index Options'!$B:$B,F$4,'NSE - Other Index Options'!$H:$H,"MDAW*")=0,"",SUMIFS('NSE - NIFTY Index Options'!$L:$L,'NSE - NIFTY Index Options'!$C:$C,$A103,'NSE - NIFTY Index Options'!$B:$B,F$4,'NSE - NIFTY Index Options'!$H:$H,"Weekly*")+SUMIFS('NSE - NIFTY Index Options'!$L:$L,'NSE - NIFTY Index Options'!$C:$C,$A103,'NSE - NIFTY Index Options'!$B:$B,F$4,'NSE - NIFTY Index Options'!$H:$H,"MDAW*")+SUMIFS('NSE - Other Index Options'!$L:$L,'NSE - Other Index Options'!$C:$C,$A103,'NSE - Other Index Options'!$B:$B,F$4,'NSE - Other Index Options'!$H:$H,"Weekly*")+SUMIFS('NSE - Other Index Options'!$L:$L,'NSE - Other Index Options'!$C:$C,$A103,'NSE - Other Index Options'!$B:$B,F$4,'NSE - Other Index Options'!$H:$H,"MDAW*"))</f>
        <v/>
      </c>
      <c r="G103" s="26" t="str">
        <f>IF(SUMIFS('NSE - NIFTY Index Options'!$L:$L,'NSE - NIFTY Index Options'!$C:$C,$A103,'NSE - NIFTY Index Options'!$B:$B,G$4,'NSE - NIFTY Index Options'!$H:$H,"Weekly*")+SUMIFS('NSE - NIFTY Index Options'!$L:$L,'NSE - NIFTY Index Options'!$C:$C,$A103,'NSE - NIFTY Index Options'!$B:$B,G$4,'NSE - NIFTY Index Options'!$H:$H,"MDAW*")+SUMIFS('NSE - Other Index Options'!$L:$L,'NSE - Other Index Options'!$C:$C,$A103,'NSE - Other Index Options'!$B:$B,G$4,'NSE - Other Index Options'!$H:$H,"Weekly*")+SUMIFS('NSE - Other Index Options'!$L:$L,'NSE - Other Index Options'!$C:$C,$A103,'NSE - Other Index Options'!$B:$B,G$4,'NSE - Other Index Options'!$H:$H,"MDAW*")=0,"",SUMIFS('NSE - NIFTY Index Options'!$L:$L,'NSE - NIFTY Index Options'!$C:$C,$A103,'NSE - NIFTY Index Options'!$B:$B,G$4,'NSE - NIFTY Index Options'!$H:$H,"Weekly*")+SUMIFS('NSE - NIFTY Index Options'!$L:$L,'NSE - NIFTY Index Options'!$C:$C,$A103,'NSE - NIFTY Index Options'!$B:$B,G$4,'NSE - NIFTY Index Options'!$H:$H,"MDAW*")+SUMIFS('NSE - Other Index Options'!$L:$L,'NSE - Other Index Options'!$C:$C,$A103,'NSE - Other Index Options'!$B:$B,G$4,'NSE - Other Index Options'!$H:$H,"Weekly*")+SUMIFS('NSE - Other Index Options'!$L:$L,'NSE - Other Index Options'!$C:$C,$A103,'NSE - Other Index Options'!$B:$B,G$4,'NSE - Other Index Options'!$H:$H,"MDAW*"))</f>
        <v/>
      </c>
      <c r="H103" s="26" t="str">
        <f t="shared" si="3"/>
        <v/>
      </c>
    </row>
    <row r="104" spans="1:8" hidden="1" outlineLevel="1">
      <c r="A104" t="s">
        <v>109</v>
      </c>
      <c r="B104" s="26" t="str">
        <f>IF(SUMIFS('NSE - NIFTY Index Options'!$L:$L,'NSE - NIFTY Index Options'!$C:$C,$A104,'NSE - NIFTY Index Options'!$B:$B,B$4,'NSE - NIFTY Index Options'!$H:$H,"Weekly*")+SUMIFS('NSE - NIFTY Index Options'!$L:$L,'NSE - NIFTY Index Options'!$C:$C,$A104,'NSE - NIFTY Index Options'!$B:$B,B$4,'NSE - NIFTY Index Options'!$H:$H,"MDAW*")+SUMIFS('NSE - Other Index Options'!$L:$L,'NSE - Other Index Options'!$C:$C,$A104,'NSE - Other Index Options'!$B:$B,B$4,'NSE - Other Index Options'!$H:$H,"Weekly*")+SUMIFS('NSE - Other Index Options'!$L:$L,'NSE - Other Index Options'!$C:$C,$A104,'NSE - Other Index Options'!$B:$B,B$4,'NSE - Other Index Options'!$H:$H,"MDAW*")=0,"",SUMIFS('NSE - NIFTY Index Options'!$L:$L,'NSE - NIFTY Index Options'!$C:$C,$A104,'NSE - NIFTY Index Options'!$B:$B,B$4,'NSE - NIFTY Index Options'!$H:$H,"Weekly*")+SUMIFS('NSE - NIFTY Index Options'!$L:$L,'NSE - NIFTY Index Options'!$C:$C,$A104,'NSE - NIFTY Index Options'!$B:$B,B$4,'NSE - NIFTY Index Options'!$H:$H,"MDAW*")+SUMIFS('NSE - Other Index Options'!$L:$L,'NSE - Other Index Options'!$C:$C,$A104,'NSE - Other Index Options'!$B:$B,B$4,'NSE - Other Index Options'!$H:$H,"Weekly*")+SUMIFS('NSE - Other Index Options'!$L:$L,'NSE - Other Index Options'!$C:$C,$A104,'NSE - Other Index Options'!$B:$B,B$4,'NSE - Other Index Options'!$H:$H,"MDAW*"))</f>
        <v/>
      </c>
      <c r="C104" s="26" t="str">
        <f>IF(SUMIFS('NSE - NIFTY Index Options'!$L:$L,'NSE - NIFTY Index Options'!$C:$C,$A104,'NSE - NIFTY Index Options'!$B:$B,C$4,'NSE - NIFTY Index Options'!$H:$H,"Weekly*")+SUMIFS('NSE - NIFTY Index Options'!$L:$L,'NSE - NIFTY Index Options'!$C:$C,$A104,'NSE - NIFTY Index Options'!$B:$B,C$4,'NSE - NIFTY Index Options'!$H:$H,"MDAW*")+SUMIFS('NSE - Other Index Options'!$L:$L,'NSE - Other Index Options'!$C:$C,$A104,'NSE - Other Index Options'!$B:$B,C$4,'NSE - Other Index Options'!$H:$H,"Weekly*")+SUMIFS('NSE - Other Index Options'!$L:$L,'NSE - Other Index Options'!$C:$C,$A104,'NSE - Other Index Options'!$B:$B,C$4,'NSE - Other Index Options'!$H:$H,"MDAW*")=0,"",SUMIFS('NSE - NIFTY Index Options'!$L:$L,'NSE - NIFTY Index Options'!$C:$C,$A104,'NSE - NIFTY Index Options'!$B:$B,C$4,'NSE - NIFTY Index Options'!$H:$H,"Weekly*")+SUMIFS('NSE - NIFTY Index Options'!$L:$L,'NSE - NIFTY Index Options'!$C:$C,$A104,'NSE - NIFTY Index Options'!$B:$B,C$4,'NSE - NIFTY Index Options'!$H:$H,"MDAW*")+SUMIFS('NSE - Other Index Options'!$L:$L,'NSE - Other Index Options'!$C:$C,$A104,'NSE - Other Index Options'!$B:$B,C$4,'NSE - Other Index Options'!$H:$H,"Weekly*")+SUMIFS('NSE - Other Index Options'!$L:$L,'NSE - Other Index Options'!$C:$C,$A104,'NSE - Other Index Options'!$B:$B,C$4,'NSE - Other Index Options'!$H:$H,"MDAW*"))</f>
        <v/>
      </c>
      <c r="D104" s="26" t="str">
        <f>IF(SUMIFS('NSE - NIFTY Index Options'!$L:$L,'NSE - NIFTY Index Options'!$C:$C,$A104,'NSE - NIFTY Index Options'!$B:$B,D$4,'NSE - NIFTY Index Options'!$H:$H,"Weekly*")+SUMIFS('NSE - NIFTY Index Options'!$L:$L,'NSE - NIFTY Index Options'!$C:$C,$A104,'NSE - NIFTY Index Options'!$B:$B,D$4,'NSE - NIFTY Index Options'!$H:$H,"MDAW*")+SUMIFS('NSE - Other Index Options'!$L:$L,'NSE - Other Index Options'!$C:$C,$A104,'NSE - Other Index Options'!$B:$B,D$4,'NSE - Other Index Options'!$H:$H,"Weekly*")+SUMIFS('NSE - Other Index Options'!$L:$L,'NSE - Other Index Options'!$C:$C,$A104,'NSE - Other Index Options'!$B:$B,D$4,'NSE - Other Index Options'!$H:$H,"MDAW*")=0,"",SUMIFS('NSE - NIFTY Index Options'!$L:$L,'NSE - NIFTY Index Options'!$C:$C,$A104,'NSE - NIFTY Index Options'!$B:$B,D$4,'NSE - NIFTY Index Options'!$H:$H,"Weekly*")+SUMIFS('NSE - NIFTY Index Options'!$L:$L,'NSE - NIFTY Index Options'!$C:$C,$A104,'NSE - NIFTY Index Options'!$B:$B,D$4,'NSE - NIFTY Index Options'!$H:$H,"MDAW*")+SUMIFS('NSE - Other Index Options'!$L:$L,'NSE - Other Index Options'!$C:$C,$A104,'NSE - Other Index Options'!$B:$B,D$4,'NSE - Other Index Options'!$H:$H,"Weekly*")+SUMIFS('NSE - Other Index Options'!$L:$L,'NSE - Other Index Options'!$C:$C,$A104,'NSE - Other Index Options'!$B:$B,D$4,'NSE - Other Index Options'!$H:$H,"MDAW*"))</f>
        <v/>
      </c>
      <c r="E104" s="26" t="str">
        <f>IF(SUMIFS('NSE - NIFTY Index Options'!$L:$L,'NSE - NIFTY Index Options'!$C:$C,$A104,'NSE - NIFTY Index Options'!$B:$B,E$4,'NSE - NIFTY Index Options'!$H:$H,"Weekly*")+SUMIFS('NSE - NIFTY Index Options'!$L:$L,'NSE - NIFTY Index Options'!$C:$C,$A104,'NSE - NIFTY Index Options'!$B:$B,E$4,'NSE - NIFTY Index Options'!$H:$H,"MDAW*")+SUMIFS('NSE - Other Index Options'!$L:$L,'NSE - Other Index Options'!$C:$C,$A104,'NSE - Other Index Options'!$B:$B,E$4,'NSE - Other Index Options'!$H:$H,"Weekly*")+SUMIFS('NSE - Other Index Options'!$L:$L,'NSE - Other Index Options'!$C:$C,$A104,'NSE - Other Index Options'!$B:$B,E$4,'NSE - Other Index Options'!$H:$H,"MDAW*")=0,"",SUMIFS('NSE - NIFTY Index Options'!$L:$L,'NSE - NIFTY Index Options'!$C:$C,$A104,'NSE - NIFTY Index Options'!$B:$B,E$4,'NSE - NIFTY Index Options'!$H:$H,"Weekly*")+SUMIFS('NSE - NIFTY Index Options'!$L:$L,'NSE - NIFTY Index Options'!$C:$C,$A104,'NSE - NIFTY Index Options'!$B:$B,E$4,'NSE - NIFTY Index Options'!$H:$H,"MDAW*")+SUMIFS('NSE - Other Index Options'!$L:$L,'NSE - Other Index Options'!$C:$C,$A104,'NSE - Other Index Options'!$B:$B,E$4,'NSE - Other Index Options'!$H:$H,"Weekly*")+SUMIFS('NSE - Other Index Options'!$L:$L,'NSE - Other Index Options'!$C:$C,$A104,'NSE - Other Index Options'!$B:$B,E$4,'NSE - Other Index Options'!$H:$H,"MDAW*"))</f>
        <v/>
      </c>
      <c r="F104" s="26" t="str">
        <f>IF(SUMIFS('NSE - NIFTY Index Options'!$L:$L,'NSE - NIFTY Index Options'!$C:$C,$A104,'NSE - NIFTY Index Options'!$B:$B,F$4,'NSE - NIFTY Index Options'!$H:$H,"Weekly*")+SUMIFS('NSE - NIFTY Index Options'!$L:$L,'NSE - NIFTY Index Options'!$C:$C,$A104,'NSE - NIFTY Index Options'!$B:$B,F$4,'NSE - NIFTY Index Options'!$H:$H,"MDAW*")+SUMIFS('NSE - Other Index Options'!$L:$L,'NSE - Other Index Options'!$C:$C,$A104,'NSE - Other Index Options'!$B:$B,F$4,'NSE - Other Index Options'!$H:$H,"Weekly*")+SUMIFS('NSE - Other Index Options'!$L:$L,'NSE - Other Index Options'!$C:$C,$A104,'NSE - Other Index Options'!$B:$B,F$4,'NSE - Other Index Options'!$H:$H,"MDAW*")=0,"",SUMIFS('NSE - NIFTY Index Options'!$L:$L,'NSE - NIFTY Index Options'!$C:$C,$A104,'NSE - NIFTY Index Options'!$B:$B,F$4,'NSE - NIFTY Index Options'!$H:$H,"Weekly*")+SUMIFS('NSE - NIFTY Index Options'!$L:$L,'NSE - NIFTY Index Options'!$C:$C,$A104,'NSE - NIFTY Index Options'!$B:$B,F$4,'NSE - NIFTY Index Options'!$H:$H,"MDAW*")+SUMIFS('NSE - Other Index Options'!$L:$L,'NSE - Other Index Options'!$C:$C,$A104,'NSE - Other Index Options'!$B:$B,F$4,'NSE - Other Index Options'!$H:$H,"Weekly*")+SUMIFS('NSE - Other Index Options'!$L:$L,'NSE - Other Index Options'!$C:$C,$A104,'NSE - Other Index Options'!$B:$B,F$4,'NSE - Other Index Options'!$H:$H,"MDAW*"))</f>
        <v/>
      </c>
      <c r="G104" s="26" t="str">
        <f>IF(SUMIFS('NSE - NIFTY Index Options'!$L:$L,'NSE - NIFTY Index Options'!$C:$C,$A104,'NSE - NIFTY Index Options'!$B:$B,G$4,'NSE - NIFTY Index Options'!$H:$H,"Weekly*")+SUMIFS('NSE - NIFTY Index Options'!$L:$L,'NSE - NIFTY Index Options'!$C:$C,$A104,'NSE - NIFTY Index Options'!$B:$B,G$4,'NSE - NIFTY Index Options'!$H:$H,"MDAW*")+SUMIFS('NSE - Other Index Options'!$L:$L,'NSE - Other Index Options'!$C:$C,$A104,'NSE - Other Index Options'!$B:$B,G$4,'NSE - Other Index Options'!$H:$H,"Weekly*")+SUMIFS('NSE - Other Index Options'!$L:$L,'NSE - Other Index Options'!$C:$C,$A104,'NSE - Other Index Options'!$B:$B,G$4,'NSE - Other Index Options'!$H:$H,"MDAW*")=0,"",SUMIFS('NSE - NIFTY Index Options'!$L:$L,'NSE - NIFTY Index Options'!$C:$C,$A104,'NSE - NIFTY Index Options'!$B:$B,G$4,'NSE - NIFTY Index Options'!$H:$H,"Weekly*")+SUMIFS('NSE - NIFTY Index Options'!$L:$L,'NSE - NIFTY Index Options'!$C:$C,$A104,'NSE - NIFTY Index Options'!$B:$B,G$4,'NSE - NIFTY Index Options'!$H:$H,"MDAW*")+SUMIFS('NSE - Other Index Options'!$L:$L,'NSE - Other Index Options'!$C:$C,$A104,'NSE - Other Index Options'!$B:$B,G$4,'NSE - Other Index Options'!$H:$H,"Weekly*")+SUMIFS('NSE - Other Index Options'!$L:$L,'NSE - Other Index Options'!$C:$C,$A104,'NSE - Other Index Options'!$B:$B,G$4,'NSE - Other Index Options'!$H:$H,"MDAW*"))</f>
        <v/>
      </c>
      <c r="H104" s="26" t="str">
        <f t="shared" si="3"/>
        <v/>
      </c>
    </row>
    <row r="105" spans="1:8" hidden="1" outlineLevel="1">
      <c r="A105" t="s">
        <v>110</v>
      </c>
      <c r="B105" s="26" t="str">
        <f>IF(SUMIFS('NSE - NIFTY Index Options'!$L:$L,'NSE - NIFTY Index Options'!$C:$C,$A105,'NSE - NIFTY Index Options'!$B:$B,B$4,'NSE - NIFTY Index Options'!$H:$H,"Weekly*")+SUMIFS('NSE - NIFTY Index Options'!$L:$L,'NSE - NIFTY Index Options'!$C:$C,$A105,'NSE - NIFTY Index Options'!$B:$B,B$4,'NSE - NIFTY Index Options'!$H:$H,"MDAW*")+SUMIFS('NSE - Other Index Options'!$L:$L,'NSE - Other Index Options'!$C:$C,$A105,'NSE - Other Index Options'!$B:$B,B$4,'NSE - Other Index Options'!$H:$H,"Weekly*")+SUMIFS('NSE - Other Index Options'!$L:$L,'NSE - Other Index Options'!$C:$C,$A105,'NSE - Other Index Options'!$B:$B,B$4,'NSE - Other Index Options'!$H:$H,"MDAW*")=0,"",SUMIFS('NSE - NIFTY Index Options'!$L:$L,'NSE - NIFTY Index Options'!$C:$C,$A105,'NSE - NIFTY Index Options'!$B:$B,B$4,'NSE - NIFTY Index Options'!$H:$H,"Weekly*")+SUMIFS('NSE - NIFTY Index Options'!$L:$L,'NSE - NIFTY Index Options'!$C:$C,$A105,'NSE - NIFTY Index Options'!$B:$B,B$4,'NSE - NIFTY Index Options'!$H:$H,"MDAW*")+SUMIFS('NSE - Other Index Options'!$L:$L,'NSE - Other Index Options'!$C:$C,$A105,'NSE - Other Index Options'!$B:$B,B$4,'NSE - Other Index Options'!$H:$H,"Weekly*")+SUMIFS('NSE - Other Index Options'!$L:$L,'NSE - Other Index Options'!$C:$C,$A105,'NSE - Other Index Options'!$B:$B,B$4,'NSE - Other Index Options'!$H:$H,"MDAW*"))</f>
        <v/>
      </c>
      <c r="C105" s="26" t="str">
        <f>IF(SUMIFS('NSE - NIFTY Index Options'!$L:$L,'NSE - NIFTY Index Options'!$C:$C,$A105,'NSE - NIFTY Index Options'!$B:$B,C$4,'NSE - NIFTY Index Options'!$H:$H,"Weekly*")+SUMIFS('NSE - NIFTY Index Options'!$L:$L,'NSE - NIFTY Index Options'!$C:$C,$A105,'NSE - NIFTY Index Options'!$B:$B,C$4,'NSE - NIFTY Index Options'!$H:$H,"MDAW*")+SUMIFS('NSE - Other Index Options'!$L:$L,'NSE - Other Index Options'!$C:$C,$A105,'NSE - Other Index Options'!$B:$B,C$4,'NSE - Other Index Options'!$H:$H,"Weekly*")+SUMIFS('NSE - Other Index Options'!$L:$L,'NSE - Other Index Options'!$C:$C,$A105,'NSE - Other Index Options'!$B:$B,C$4,'NSE - Other Index Options'!$H:$H,"MDAW*")=0,"",SUMIFS('NSE - NIFTY Index Options'!$L:$L,'NSE - NIFTY Index Options'!$C:$C,$A105,'NSE - NIFTY Index Options'!$B:$B,C$4,'NSE - NIFTY Index Options'!$H:$H,"Weekly*")+SUMIFS('NSE - NIFTY Index Options'!$L:$L,'NSE - NIFTY Index Options'!$C:$C,$A105,'NSE - NIFTY Index Options'!$B:$B,C$4,'NSE - NIFTY Index Options'!$H:$H,"MDAW*")+SUMIFS('NSE - Other Index Options'!$L:$L,'NSE - Other Index Options'!$C:$C,$A105,'NSE - Other Index Options'!$B:$B,C$4,'NSE - Other Index Options'!$H:$H,"Weekly*")+SUMIFS('NSE - Other Index Options'!$L:$L,'NSE - Other Index Options'!$C:$C,$A105,'NSE - Other Index Options'!$B:$B,C$4,'NSE - Other Index Options'!$H:$H,"MDAW*"))</f>
        <v/>
      </c>
      <c r="D105" s="26" t="str">
        <f>IF(SUMIFS('NSE - NIFTY Index Options'!$L:$L,'NSE - NIFTY Index Options'!$C:$C,$A105,'NSE - NIFTY Index Options'!$B:$B,D$4,'NSE - NIFTY Index Options'!$H:$H,"Weekly*")+SUMIFS('NSE - NIFTY Index Options'!$L:$L,'NSE - NIFTY Index Options'!$C:$C,$A105,'NSE - NIFTY Index Options'!$B:$B,D$4,'NSE - NIFTY Index Options'!$H:$H,"MDAW*")+SUMIFS('NSE - Other Index Options'!$L:$L,'NSE - Other Index Options'!$C:$C,$A105,'NSE - Other Index Options'!$B:$B,D$4,'NSE - Other Index Options'!$H:$H,"Weekly*")+SUMIFS('NSE - Other Index Options'!$L:$L,'NSE - Other Index Options'!$C:$C,$A105,'NSE - Other Index Options'!$B:$B,D$4,'NSE - Other Index Options'!$H:$H,"MDAW*")=0,"",SUMIFS('NSE - NIFTY Index Options'!$L:$L,'NSE - NIFTY Index Options'!$C:$C,$A105,'NSE - NIFTY Index Options'!$B:$B,D$4,'NSE - NIFTY Index Options'!$H:$H,"Weekly*")+SUMIFS('NSE - NIFTY Index Options'!$L:$L,'NSE - NIFTY Index Options'!$C:$C,$A105,'NSE - NIFTY Index Options'!$B:$B,D$4,'NSE - NIFTY Index Options'!$H:$H,"MDAW*")+SUMIFS('NSE - Other Index Options'!$L:$L,'NSE - Other Index Options'!$C:$C,$A105,'NSE - Other Index Options'!$B:$B,D$4,'NSE - Other Index Options'!$H:$H,"Weekly*")+SUMIFS('NSE - Other Index Options'!$L:$L,'NSE - Other Index Options'!$C:$C,$A105,'NSE - Other Index Options'!$B:$B,D$4,'NSE - Other Index Options'!$H:$H,"MDAW*"))</f>
        <v/>
      </c>
      <c r="E105" s="26" t="str">
        <f>IF(SUMIFS('NSE - NIFTY Index Options'!$L:$L,'NSE - NIFTY Index Options'!$C:$C,$A105,'NSE - NIFTY Index Options'!$B:$B,E$4,'NSE - NIFTY Index Options'!$H:$H,"Weekly*")+SUMIFS('NSE - NIFTY Index Options'!$L:$L,'NSE - NIFTY Index Options'!$C:$C,$A105,'NSE - NIFTY Index Options'!$B:$B,E$4,'NSE - NIFTY Index Options'!$H:$H,"MDAW*")+SUMIFS('NSE - Other Index Options'!$L:$L,'NSE - Other Index Options'!$C:$C,$A105,'NSE - Other Index Options'!$B:$B,E$4,'NSE - Other Index Options'!$H:$H,"Weekly*")+SUMIFS('NSE - Other Index Options'!$L:$L,'NSE - Other Index Options'!$C:$C,$A105,'NSE - Other Index Options'!$B:$B,E$4,'NSE - Other Index Options'!$H:$H,"MDAW*")=0,"",SUMIFS('NSE - NIFTY Index Options'!$L:$L,'NSE - NIFTY Index Options'!$C:$C,$A105,'NSE - NIFTY Index Options'!$B:$B,E$4,'NSE - NIFTY Index Options'!$H:$H,"Weekly*")+SUMIFS('NSE - NIFTY Index Options'!$L:$L,'NSE - NIFTY Index Options'!$C:$C,$A105,'NSE - NIFTY Index Options'!$B:$B,E$4,'NSE - NIFTY Index Options'!$H:$H,"MDAW*")+SUMIFS('NSE - Other Index Options'!$L:$L,'NSE - Other Index Options'!$C:$C,$A105,'NSE - Other Index Options'!$B:$B,E$4,'NSE - Other Index Options'!$H:$H,"Weekly*")+SUMIFS('NSE - Other Index Options'!$L:$L,'NSE - Other Index Options'!$C:$C,$A105,'NSE - Other Index Options'!$B:$B,E$4,'NSE - Other Index Options'!$H:$H,"MDAW*"))</f>
        <v/>
      </c>
      <c r="F105" s="26" t="str">
        <f>IF(SUMIFS('NSE - NIFTY Index Options'!$L:$L,'NSE - NIFTY Index Options'!$C:$C,$A105,'NSE - NIFTY Index Options'!$B:$B,F$4,'NSE - NIFTY Index Options'!$H:$H,"Weekly*")+SUMIFS('NSE - NIFTY Index Options'!$L:$L,'NSE - NIFTY Index Options'!$C:$C,$A105,'NSE - NIFTY Index Options'!$B:$B,F$4,'NSE - NIFTY Index Options'!$H:$H,"MDAW*")+SUMIFS('NSE - Other Index Options'!$L:$L,'NSE - Other Index Options'!$C:$C,$A105,'NSE - Other Index Options'!$B:$B,F$4,'NSE - Other Index Options'!$H:$H,"Weekly*")+SUMIFS('NSE - Other Index Options'!$L:$L,'NSE - Other Index Options'!$C:$C,$A105,'NSE - Other Index Options'!$B:$B,F$4,'NSE - Other Index Options'!$H:$H,"MDAW*")=0,"",SUMIFS('NSE - NIFTY Index Options'!$L:$L,'NSE - NIFTY Index Options'!$C:$C,$A105,'NSE - NIFTY Index Options'!$B:$B,F$4,'NSE - NIFTY Index Options'!$H:$H,"Weekly*")+SUMIFS('NSE - NIFTY Index Options'!$L:$L,'NSE - NIFTY Index Options'!$C:$C,$A105,'NSE - NIFTY Index Options'!$B:$B,F$4,'NSE - NIFTY Index Options'!$H:$H,"MDAW*")+SUMIFS('NSE - Other Index Options'!$L:$L,'NSE - Other Index Options'!$C:$C,$A105,'NSE - Other Index Options'!$B:$B,F$4,'NSE - Other Index Options'!$H:$H,"Weekly*")+SUMIFS('NSE - Other Index Options'!$L:$L,'NSE - Other Index Options'!$C:$C,$A105,'NSE - Other Index Options'!$B:$B,F$4,'NSE - Other Index Options'!$H:$H,"MDAW*"))</f>
        <v/>
      </c>
      <c r="G105" s="26" t="str">
        <f>IF(SUMIFS('NSE - NIFTY Index Options'!$L:$L,'NSE - NIFTY Index Options'!$C:$C,$A105,'NSE - NIFTY Index Options'!$B:$B,G$4,'NSE - NIFTY Index Options'!$H:$H,"Weekly*")+SUMIFS('NSE - NIFTY Index Options'!$L:$L,'NSE - NIFTY Index Options'!$C:$C,$A105,'NSE - NIFTY Index Options'!$B:$B,G$4,'NSE - NIFTY Index Options'!$H:$H,"MDAW*")+SUMIFS('NSE - Other Index Options'!$L:$L,'NSE - Other Index Options'!$C:$C,$A105,'NSE - Other Index Options'!$B:$B,G$4,'NSE - Other Index Options'!$H:$H,"Weekly*")+SUMIFS('NSE - Other Index Options'!$L:$L,'NSE - Other Index Options'!$C:$C,$A105,'NSE - Other Index Options'!$B:$B,G$4,'NSE - Other Index Options'!$H:$H,"MDAW*")=0,"",SUMIFS('NSE - NIFTY Index Options'!$L:$L,'NSE - NIFTY Index Options'!$C:$C,$A105,'NSE - NIFTY Index Options'!$B:$B,G$4,'NSE - NIFTY Index Options'!$H:$H,"Weekly*")+SUMIFS('NSE - NIFTY Index Options'!$L:$L,'NSE - NIFTY Index Options'!$C:$C,$A105,'NSE - NIFTY Index Options'!$B:$B,G$4,'NSE - NIFTY Index Options'!$H:$H,"MDAW*")+SUMIFS('NSE - Other Index Options'!$L:$L,'NSE - Other Index Options'!$C:$C,$A105,'NSE - Other Index Options'!$B:$B,G$4,'NSE - Other Index Options'!$H:$H,"Weekly*")+SUMIFS('NSE - Other Index Options'!$L:$L,'NSE - Other Index Options'!$C:$C,$A105,'NSE - Other Index Options'!$B:$B,G$4,'NSE - Other Index Options'!$H:$H,"MDAW*"))</f>
        <v/>
      </c>
      <c r="H105" s="26" t="str">
        <f t="shared" si="3"/>
        <v/>
      </c>
    </row>
    <row r="106" spans="1:8" hidden="1" outlineLevel="1">
      <c r="A106" t="s">
        <v>111</v>
      </c>
      <c r="B106" s="26" t="str">
        <f>IF(SUMIFS('NSE - NIFTY Index Options'!$L:$L,'NSE - NIFTY Index Options'!$C:$C,$A106,'NSE - NIFTY Index Options'!$B:$B,B$4,'NSE - NIFTY Index Options'!$H:$H,"Weekly*")+SUMIFS('NSE - NIFTY Index Options'!$L:$L,'NSE - NIFTY Index Options'!$C:$C,$A106,'NSE - NIFTY Index Options'!$B:$B,B$4,'NSE - NIFTY Index Options'!$H:$H,"MDAW*")+SUMIFS('NSE - Other Index Options'!$L:$L,'NSE - Other Index Options'!$C:$C,$A106,'NSE - Other Index Options'!$B:$B,B$4,'NSE - Other Index Options'!$H:$H,"Weekly*")+SUMIFS('NSE - Other Index Options'!$L:$L,'NSE - Other Index Options'!$C:$C,$A106,'NSE - Other Index Options'!$B:$B,B$4,'NSE - Other Index Options'!$H:$H,"MDAW*")=0,"",SUMIFS('NSE - NIFTY Index Options'!$L:$L,'NSE - NIFTY Index Options'!$C:$C,$A106,'NSE - NIFTY Index Options'!$B:$B,B$4,'NSE - NIFTY Index Options'!$H:$H,"Weekly*")+SUMIFS('NSE - NIFTY Index Options'!$L:$L,'NSE - NIFTY Index Options'!$C:$C,$A106,'NSE - NIFTY Index Options'!$B:$B,B$4,'NSE - NIFTY Index Options'!$H:$H,"MDAW*")+SUMIFS('NSE - Other Index Options'!$L:$L,'NSE - Other Index Options'!$C:$C,$A106,'NSE - Other Index Options'!$B:$B,B$4,'NSE - Other Index Options'!$H:$H,"Weekly*")+SUMIFS('NSE - Other Index Options'!$L:$L,'NSE - Other Index Options'!$C:$C,$A106,'NSE - Other Index Options'!$B:$B,B$4,'NSE - Other Index Options'!$H:$H,"MDAW*"))</f>
        <v/>
      </c>
      <c r="C106" s="26" t="str">
        <f>IF(SUMIFS('NSE - NIFTY Index Options'!$L:$L,'NSE - NIFTY Index Options'!$C:$C,$A106,'NSE - NIFTY Index Options'!$B:$B,C$4,'NSE - NIFTY Index Options'!$H:$H,"Weekly*")+SUMIFS('NSE - NIFTY Index Options'!$L:$L,'NSE - NIFTY Index Options'!$C:$C,$A106,'NSE - NIFTY Index Options'!$B:$B,C$4,'NSE - NIFTY Index Options'!$H:$H,"MDAW*")+SUMIFS('NSE - Other Index Options'!$L:$L,'NSE - Other Index Options'!$C:$C,$A106,'NSE - Other Index Options'!$B:$B,C$4,'NSE - Other Index Options'!$H:$H,"Weekly*")+SUMIFS('NSE - Other Index Options'!$L:$L,'NSE - Other Index Options'!$C:$C,$A106,'NSE - Other Index Options'!$B:$B,C$4,'NSE - Other Index Options'!$H:$H,"MDAW*")=0,"",SUMIFS('NSE - NIFTY Index Options'!$L:$L,'NSE - NIFTY Index Options'!$C:$C,$A106,'NSE - NIFTY Index Options'!$B:$B,C$4,'NSE - NIFTY Index Options'!$H:$H,"Weekly*")+SUMIFS('NSE - NIFTY Index Options'!$L:$L,'NSE - NIFTY Index Options'!$C:$C,$A106,'NSE - NIFTY Index Options'!$B:$B,C$4,'NSE - NIFTY Index Options'!$H:$H,"MDAW*")+SUMIFS('NSE - Other Index Options'!$L:$L,'NSE - Other Index Options'!$C:$C,$A106,'NSE - Other Index Options'!$B:$B,C$4,'NSE - Other Index Options'!$H:$H,"Weekly*")+SUMIFS('NSE - Other Index Options'!$L:$L,'NSE - Other Index Options'!$C:$C,$A106,'NSE - Other Index Options'!$B:$B,C$4,'NSE - Other Index Options'!$H:$H,"MDAW*"))</f>
        <v/>
      </c>
      <c r="D106" s="26" t="str">
        <f>IF(SUMIFS('NSE - NIFTY Index Options'!$L:$L,'NSE - NIFTY Index Options'!$C:$C,$A106,'NSE - NIFTY Index Options'!$B:$B,D$4,'NSE - NIFTY Index Options'!$H:$H,"Weekly*")+SUMIFS('NSE - NIFTY Index Options'!$L:$L,'NSE - NIFTY Index Options'!$C:$C,$A106,'NSE - NIFTY Index Options'!$B:$B,D$4,'NSE - NIFTY Index Options'!$H:$H,"MDAW*")+SUMIFS('NSE - Other Index Options'!$L:$L,'NSE - Other Index Options'!$C:$C,$A106,'NSE - Other Index Options'!$B:$B,D$4,'NSE - Other Index Options'!$H:$H,"Weekly*")+SUMIFS('NSE - Other Index Options'!$L:$L,'NSE - Other Index Options'!$C:$C,$A106,'NSE - Other Index Options'!$B:$B,D$4,'NSE - Other Index Options'!$H:$H,"MDAW*")=0,"",SUMIFS('NSE - NIFTY Index Options'!$L:$L,'NSE - NIFTY Index Options'!$C:$C,$A106,'NSE - NIFTY Index Options'!$B:$B,D$4,'NSE - NIFTY Index Options'!$H:$H,"Weekly*")+SUMIFS('NSE - NIFTY Index Options'!$L:$L,'NSE - NIFTY Index Options'!$C:$C,$A106,'NSE - NIFTY Index Options'!$B:$B,D$4,'NSE - NIFTY Index Options'!$H:$H,"MDAW*")+SUMIFS('NSE - Other Index Options'!$L:$L,'NSE - Other Index Options'!$C:$C,$A106,'NSE - Other Index Options'!$B:$B,D$4,'NSE - Other Index Options'!$H:$H,"Weekly*")+SUMIFS('NSE - Other Index Options'!$L:$L,'NSE - Other Index Options'!$C:$C,$A106,'NSE - Other Index Options'!$B:$B,D$4,'NSE - Other Index Options'!$H:$H,"MDAW*"))</f>
        <v/>
      </c>
      <c r="E106" s="26" t="str">
        <f>IF(SUMIFS('NSE - NIFTY Index Options'!$L:$L,'NSE - NIFTY Index Options'!$C:$C,$A106,'NSE - NIFTY Index Options'!$B:$B,E$4,'NSE - NIFTY Index Options'!$H:$H,"Weekly*")+SUMIFS('NSE - NIFTY Index Options'!$L:$L,'NSE - NIFTY Index Options'!$C:$C,$A106,'NSE - NIFTY Index Options'!$B:$B,E$4,'NSE - NIFTY Index Options'!$H:$H,"MDAW*")+SUMIFS('NSE - Other Index Options'!$L:$L,'NSE - Other Index Options'!$C:$C,$A106,'NSE - Other Index Options'!$B:$B,E$4,'NSE - Other Index Options'!$H:$H,"Weekly*")+SUMIFS('NSE - Other Index Options'!$L:$L,'NSE - Other Index Options'!$C:$C,$A106,'NSE - Other Index Options'!$B:$B,E$4,'NSE - Other Index Options'!$H:$H,"MDAW*")=0,"",SUMIFS('NSE - NIFTY Index Options'!$L:$L,'NSE - NIFTY Index Options'!$C:$C,$A106,'NSE - NIFTY Index Options'!$B:$B,E$4,'NSE - NIFTY Index Options'!$H:$H,"Weekly*")+SUMIFS('NSE - NIFTY Index Options'!$L:$L,'NSE - NIFTY Index Options'!$C:$C,$A106,'NSE - NIFTY Index Options'!$B:$B,E$4,'NSE - NIFTY Index Options'!$H:$H,"MDAW*")+SUMIFS('NSE - Other Index Options'!$L:$L,'NSE - Other Index Options'!$C:$C,$A106,'NSE - Other Index Options'!$B:$B,E$4,'NSE - Other Index Options'!$H:$H,"Weekly*")+SUMIFS('NSE - Other Index Options'!$L:$L,'NSE - Other Index Options'!$C:$C,$A106,'NSE - Other Index Options'!$B:$B,E$4,'NSE - Other Index Options'!$H:$H,"MDAW*"))</f>
        <v/>
      </c>
      <c r="F106" s="26" t="str">
        <f>IF(SUMIFS('NSE - NIFTY Index Options'!$L:$L,'NSE - NIFTY Index Options'!$C:$C,$A106,'NSE - NIFTY Index Options'!$B:$B,F$4,'NSE - NIFTY Index Options'!$H:$H,"Weekly*")+SUMIFS('NSE - NIFTY Index Options'!$L:$L,'NSE - NIFTY Index Options'!$C:$C,$A106,'NSE - NIFTY Index Options'!$B:$B,F$4,'NSE - NIFTY Index Options'!$H:$H,"MDAW*")+SUMIFS('NSE - Other Index Options'!$L:$L,'NSE - Other Index Options'!$C:$C,$A106,'NSE - Other Index Options'!$B:$B,F$4,'NSE - Other Index Options'!$H:$H,"Weekly*")+SUMIFS('NSE - Other Index Options'!$L:$L,'NSE - Other Index Options'!$C:$C,$A106,'NSE - Other Index Options'!$B:$B,F$4,'NSE - Other Index Options'!$H:$H,"MDAW*")=0,"",SUMIFS('NSE - NIFTY Index Options'!$L:$L,'NSE - NIFTY Index Options'!$C:$C,$A106,'NSE - NIFTY Index Options'!$B:$B,F$4,'NSE - NIFTY Index Options'!$H:$H,"Weekly*")+SUMIFS('NSE - NIFTY Index Options'!$L:$L,'NSE - NIFTY Index Options'!$C:$C,$A106,'NSE - NIFTY Index Options'!$B:$B,F$4,'NSE - NIFTY Index Options'!$H:$H,"MDAW*")+SUMIFS('NSE - Other Index Options'!$L:$L,'NSE - Other Index Options'!$C:$C,$A106,'NSE - Other Index Options'!$B:$B,F$4,'NSE - Other Index Options'!$H:$H,"Weekly*")+SUMIFS('NSE - Other Index Options'!$L:$L,'NSE - Other Index Options'!$C:$C,$A106,'NSE - Other Index Options'!$B:$B,F$4,'NSE - Other Index Options'!$H:$H,"MDAW*"))</f>
        <v/>
      </c>
      <c r="G106" s="26" t="str">
        <f>IF(SUMIFS('NSE - NIFTY Index Options'!$L:$L,'NSE - NIFTY Index Options'!$C:$C,$A106,'NSE - NIFTY Index Options'!$B:$B,G$4,'NSE - NIFTY Index Options'!$H:$H,"Weekly*")+SUMIFS('NSE - NIFTY Index Options'!$L:$L,'NSE - NIFTY Index Options'!$C:$C,$A106,'NSE - NIFTY Index Options'!$B:$B,G$4,'NSE - NIFTY Index Options'!$H:$H,"MDAW*")+SUMIFS('NSE - Other Index Options'!$L:$L,'NSE - Other Index Options'!$C:$C,$A106,'NSE - Other Index Options'!$B:$B,G$4,'NSE - Other Index Options'!$H:$H,"Weekly*")+SUMIFS('NSE - Other Index Options'!$L:$L,'NSE - Other Index Options'!$C:$C,$A106,'NSE - Other Index Options'!$B:$B,G$4,'NSE - Other Index Options'!$H:$H,"MDAW*")=0,"",SUMIFS('NSE - NIFTY Index Options'!$L:$L,'NSE - NIFTY Index Options'!$C:$C,$A106,'NSE - NIFTY Index Options'!$B:$B,G$4,'NSE - NIFTY Index Options'!$H:$H,"Weekly*")+SUMIFS('NSE - NIFTY Index Options'!$L:$L,'NSE - NIFTY Index Options'!$C:$C,$A106,'NSE - NIFTY Index Options'!$B:$B,G$4,'NSE - NIFTY Index Options'!$H:$H,"MDAW*")+SUMIFS('NSE - Other Index Options'!$L:$L,'NSE - Other Index Options'!$C:$C,$A106,'NSE - Other Index Options'!$B:$B,G$4,'NSE - Other Index Options'!$H:$H,"Weekly*")+SUMIFS('NSE - Other Index Options'!$L:$L,'NSE - Other Index Options'!$C:$C,$A106,'NSE - Other Index Options'!$B:$B,G$4,'NSE - Other Index Options'!$H:$H,"MDAW*"))</f>
        <v/>
      </c>
      <c r="H106" s="26" t="str">
        <f t="shared" si="3"/>
        <v/>
      </c>
    </row>
    <row r="107" spans="1:8" hidden="1" outlineLevel="1">
      <c r="A107" t="s">
        <v>112</v>
      </c>
      <c r="B107" s="26" t="str">
        <f>IF(SUMIFS('NSE - NIFTY Index Options'!$L:$L,'NSE - NIFTY Index Options'!$C:$C,$A107,'NSE - NIFTY Index Options'!$B:$B,B$4,'NSE - NIFTY Index Options'!$H:$H,"Weekly*")+SUMIFS('NSE - NIFTY Index Options'!$L:$L,'NSE - NIFTY Index Options'!$C:$C,$A107,'NSE - NIFTY Index Options'!$B:$B,B$4,'NSE - NIFTY Index Options'!$H:$H,"MDAW*")+SUMIFS('NSE - Other Index Options'!$L:$L,'NSE - Other Index Options'!$C:$C,$A107,'NSE - Other Index Options'!$B:$B,B$4,'NSE - Other Index Options'!$H:$H,"Weekly*")+SUMIFS('NSE - Other Index Options'!$L:$L,'NSE - Other Index Options'!$C:$C,$A107,'NSE - Other Index Options'!$B:$B,B$4,'NSE - Other Index Options'!$H:$H,"MDAW*")=0,"",SUMIFS('NSE - NIFTY Index Options'!$L:$L,'NSE - NIFTY Index Options'!$C:$C,$A107,'NSE - NIFTY Index Options'!$B:$B,B$4,'NSE - NIFTY Index Options'!$H:$H,"Weekly*")+SUMIFS('NSE - NIFTY Index Options'!$L:$L,'NSE - NIFTY Index Options'!$C:$C,$A107,'NSE - NIFTY Index Options'!$B:$B,B$4,'NSE - NIFTY Index Options'!$H:$H,"MDAW*")+SUMIFS('NSE - Other Index Options'!$L:$L,'NSE - Other Index Options'!$C:$C,$A107,'NSE - Other Index Options'!$B:$B,B$4,'NSE - Other Index Options'!$H:$H,"Weekly*")+SUMIFS('NSE - Other Index Options'!$L:$L,'NSE - Other Index Options'!$C:$C,$A107,'NSE - Other Index Options'!$B:$B,B$4,'NSE - Other Index Options'!$H:$H,"MDAW*"))</f>
        <v/>
      </c>
      <c r="C107" s="26" t="str">
        <f>IF(SUMIFS('NSE - NIFTY Index Options'!$L:$L,'NSE - NIFTY Index Options'!$C:$C,$A107,'NSE - NIFTY Index Options'!$B:$B,C$4,'NSE - NIFTY Index Options'!$H:$H,"Weekly*")+SUMIFS('NSE - NIFTY Index Options'!$L:$L,'NSE - NIFTY Index Options'!$C:$C,$A107,'NSE - NIFTY Index Options'!$B:$B,C$4,'NSE - NIFTY Index Options'!$H:$H,"MDAW*")+SUMIFS('NSE - Other Index Options'!$L:$L,'NSE - Other Index Options'!$C:$C,$A107,'NSE - Other Index Options'!$B:$B,C$4,'NSE - Other Index Options'!$H:$H,"Weekly*")+SUMIFS('NSE - Other Index Options'!$L:$L,'NSE - Other Index Options'!$C:$C,$A107,'NSE - Other Index Options'!$B:$B,C$4,'NSE - Other Index Options'!$H:$H,"MDAW*")=0,"",SUMIFS('NSE - NIFTY Index Options'!$L:$L,'NSE - NIFTY Index Options'!$C:$C,$A107,'NSE - NIFTY Index Options'!$B:$B,C$4,'NSE - NIFTY Index Options'!$H:$H,"Weekly*")+SUMIFS('NSE - NIFTY Index Options'!$L:$L,'NSE - NIFTY Index Options'!$C:$C,$A107,'NSE - NIFTY Index Options'!$B:$B,C$4,'NSE - NIFTY Index Options'!$H:$H,"MDAW*")+SUMIFS('NSE - Other Index Options'!$L:$L,'NSE - Other Index Options'!$C:$C,$A107,'NSE - Other Index Options'!$B:$B,C$4,'NSE - Other Index Options'!$H:$H,"Weekly*")+SUMIFS('NSE - Other Index Options'!$L:$L,'NSE - Other Index Options'!$C:$C,$A107,'NSE - Other Index Options'!$B:$B,C$4,'NSE - Other Index Options'!$H:$H,"MDAW*"))</f>
        <v/>
      </c>
      <c r="D107" s="26" t="str">
        <f>IF(SUMIFS('NSE - NIFTY Index Options'!$L:$L,'NSE - NIFTY Index Options'!$C:$C,$A107,'NSE - NIFTY Index Options'!$B:$B,D$4,'NSE - NIFTY Index Options'!$H:$H,"Weekly*")+SUMIFS('NSE - NIFTY Index Options'!$L:$L,'NSE - NIFTY Index Options'!$C:$C,$A107,'NSE - NIFTY Index Options'!$B:$B,D$4,'NSE - NIFTY Index Options'!$H:$H,"MDAW*")+SUMIFS('NSE - Other Index Options'!$L:$L,'NSE - Other Index Options'!$C:$C,$A107,'NSE - Other Index Options'!$B:$B,D$4,'NSE - Other Index Options'!$H:$H,"Weekly*")+SUMIFS('NSE - Other Index Options'!$L:$L,'NSE - Other Index Options'!$C:$C,$A107,'NSE - Other Index Options'!$B:$B,D$4,'NSE - Other Index Options'!$H:$H,"MDAW*")=0,"",SUMIFS('NSE - NIFTY Index Options'!$L:$L,'NSE - NIFTY Index Options'!$C:$C,$A107,'NSE - NIFTY Index Options'!$B:$B,D$4,'NSE - NIFTY Index Options'!$H:$H,"Weekly*")+SUMIFS('NSE - NIFTY Index Options'!$L:$L,'NSE - NIFTY Index Options'!$C:$C,$A107,'NSE - NIFTY Index Options'!$B:$B,D$4,'NSE - NIFTY Index Options'!$H:$H,"MDAW*")+SUMIFS('NSE - Other Index Options'!$L:$L,'NSE - Other Index Options'!$C:$C,$A107,'NSE - Other Index Options'!$B:$B,D$4,'NSE - Other Index Options'!$H:$H,"Weekly*")+SUMIFS('NSE - Other Index Options'!$L:$L,'NSE - Other Index Options'!$C:$C,$A107,'NSE - Other Index Options'!$B:$B,D$4,'NSE - Other Index Options'!$H:$H,"MDAW*"))</f>
        <v/>
      </c>
      <c r="E107" s="26" t="str">
        <f>IF(SUMIFS('NSE - NIFTY Index Options'!$L:$L,'NSE - NIFTY Index Options'!$C:$C,$A107,'NSE - NIFTY Index Options'!$B:$B,E$4,'NSE - NIFTY Index Options'!$H:$H,"Weekly*")+SUMIFS('NSE - NIFTY Index Options'!$L:$L,'NSE - NIFTY Index Options'!$C:$C,$A107,'NSE - NIFTY Index Options'!$B:$B,E$4,'NSE - NIFTY Index Options'!$H:$H,"MDAW*")+SUMIFS('NSE - Other Index Options'!$L:$L,'NSE - Other Index Options'!$C:$C,$A107,'NSE - Other Index Options'!$B:$B,E$4,'NSE - Other Index Options'!$H:$H,"Weekly*")+SUMIFS('NSE - Other Index Options'!$L:$L,'NSE - Other Index Options'!$C:$C,$A107,'NSE - Other Index Options'!$B:$B,E$4,'NSE - Other Index Options'!$H:$H,"MDAW*")=0,"",SUMIFS('NSE - NIFTY Index Options'!$L:$L,'NSE - NIFTY Index Options'!$C:$C,$A107,'NSE - NIFTY Index Options'!$B:$B,E$4,'NSE - NIFTY Index Options'!$H:$H,"Weekly*")+SUMIFS('NSE - NIFTY Index Options'!$L:$L,'NSE - NIFTY Index Options'!$C:$C,$A107,'NSE - NIFTY Index Options'!$B:$B,E$4,'NSE - NIFTY Index Options'!$H:$H,"MDAW*")+SUMIFS('NSE - Other Index Options'!$L:$L,'NSE - Other Index Options'!$C:$C,$A107,'NSE - Other Index Options'!$B:$B,E$4,'NSE - Other Index Options'!$H:$H,"Weekly*")+SUMIFS('NSE - Other Index Options'!$L:$L,'NSE - Other Index Options'!$C:$C,$A107,'NSE - Other Index Options'!$B:$B,E$4,'NSE - Other Index Options'!$H:$H,"MDAW*"))</f>
        <v/>
      </c>
      <c r="F107" s="26" t="str">
        <f>IF(SUMIFS('NSE - NIFTY Index Options'!$L:$L,'NSE - NIFTY Index Options'!$C:$C,$A107,'NSE - NIFTY Index Options'!$B:$B,F$4,'NSE - NIFTY Index Options'!$H:$H,"Weekly*")+SUMIFS('NSE - NIFTY Index Options'!$L:$L,'NSE - NIFTY Index Options'!$C:$C,$A107,'NSE - NIFTY Index Options'!$B:$B,F$4,'NSE - NIFTY Index Options'!$H:$H,"MDAW*")+SUMIFS('NSE - Other Index Options'!$L:$L,'NSE - Other Index Options'!$C:$C,$A107,'NSE - Other Index Options'!$B:$B,F$4,'NSE - Other Index Options'!$H:$H,"Weekly*")+SUMIFS('NSE - Other Index Options'!$L:$L,'NSE - Other Index Options'!$C:$C,$A107,'NSE - Other Index Options'!$B:$B,F$4,'NSE - Other Index Options'!$H:$H,"MDAW*")=0,"",SUMIFS('NSE - NIFTY Index Options'!$L:$L,'NSE - NIFTY Index Options'!$C:$C,$A107,'NSE - NIFTY Index Options'!$B:$B,F$4,'NSE - NIFTY Index Options'!$H:$H,"Weekly*")+SUMIFS('NSE - NIFTY Index Options'!$L:$L,'NSE - NIFTY Index Options'!$C:$C,$A107,'NSE - NIFTY Index Options'!$B:$B,F$4,'NSE - NIFTY Index Options'!$H:$H,"MDAW*")+SUMIFS('NSE - Other Index Options'!$L:$L,'NSE - Other Index Options'!$C:$C,$A107,'NSE - Other Index Options'!$B:$B,F$4,'NSE - Other Index Options'!$H:$H,"Weekly*")+SUMIFS('NSE - Other Index Options'!$L:$L,'NSE - Other Index Options'!$C:$C,$A107,'NSE - Other Index Options'!$B:$B,F$4,'NSE - Other Index Options'!$H:$H,"MDAW*"))</f>
        <v/>
      </c>
      <c r="G107" s="26" t="str">
        <f>IF(SUMIFS('NSE - NIFTY Index Options'!$L:$L,'NSE - NIFTY Index Options'!$C:$C,$A107,'NSE - NIFTY Index Options'!$B:$B,G$4,'NSE - NIFTY Index Options'!$H:$H,"Weekly*")+SUMIFS('NSE - NIFTY Index Options'!$L:$L,'NSE - NIFTY Index Options'!$C:$C,$A107,'NSE - NIFTY Index Options'!$B:$B,G$4,'NSE - NIFTY Index Options'!$H:$H,"MDAW*")+SUMIFS('NSE - Other Index Options'!$L:$L,'NSE - Other Index Options'!$C:$C,$A107,'NSE - Other Index Options'!$B:$B,G$4,'NSE - Other Index Options'!$H:$H,"Weekly*")+SUMIFS('NSE - Other Index Options'!$L:$L,'NSE - Other Index Options'!$C:$C,$A107,'NSE - Other Index Options'!$B:$B,G$4,'NSE - Other Index Options'!$H:$H,"MDAW*")=0,"",SUMIFS('NSE - NIFTY Index Options'!$L:$L,'NSE - NIFTY Index Options'!$C:$C,$A107,'NSE - NIFTY Index Options'!$B:$B,G$4,'NSE - NIFTY Index Options'!$H:$H,"Weekly*")+SUMIFS('NSE - NIFTY Index Options'!$L:$L,'NSE - NIFTY Index Options'!$C:$C,$A107,'NSE - NIFTY Index Options'!$B:$B,G$4,'NSE - NIFTY Index Options'!$H:$H,"MDAW*")+SUMIFS('NSE - Other Index Options'!$L:$L,'NSE - Other Index Options'!$C:$C,$A107,'NSE - Other Index Options'!$B:$B,G$4,'NSE - Other Index Options'!$H:$H,"Weekly*")+SUMIFS('NSE - Other Index Options'!$L:$L,'NSE - Other Index Options'!$C:$C,$A107,'NSE - Other Index Options'!$B:$B,G$4,'NSE - Other Index Options'!$H:$H,"MDAW*"))</f>
        <v/>
      </c>
      <c r="H107" s="26" t="str">
        <f t="shared" si="3"/>
        <v/>
      </c>
    </row>
    <row r="108" spans="1:8" hidden="1" outlineLevel="1">
      <c r="A108" t="s">
        <v>113</v>
      </c>
      <c r="B108" s="26" t="str">
        <f>IF(SUMIFS('NSE - NIFTY Index Options'!$L:$L,'NSE - NIFTY Index Options'!$C:$C,$A108,'NSE - NIFTY Index Options'!$B:$B,B$4,'NSE - NIFTY Index Options'!$H:$H,"Weekly*")+SUMIFS('NSE - NIFTY Index Options'!$L:$L,'NSE - NIFTY Index Options'!$C:$C,$A108,'NSE - NIFTY Index Options'!$B:$B,B$4,'NSE - NIFTY Index Options'!$H:$H,"MDAW*")+SUMIFS('NSE - Other Index Options'!$L:$L,'NSE - Other Index Options'!$C:$C,$A108,'NSE - Other Index Options'!$B:$B,B$4,'NSE - Other Index Options'!$H:$H,"Weekly*")+SUMIFS('NSE - Other Index Options'!$L:$L,'NSE - Other Index Options'!$C:$C,$A108,'NSE - Other Index Options'!$B:$B,B$4,'NSE - Other Index Options'!$H:$H,"MDAW*")=0,"",SUMIFS('NSE - NIFTY Index Options'!$L:$L,'NSE - NIFTY Index Options'!$C:$C,$A108,'NSE - NIFTY Index Options'!$B:$B,B$4,'NSE - NIFTY Index Options'!$H:$H,"Weekly*")+SUMIFS('NSE - NIFTY Index Options'!$L:$L,'NSE - NIFTY Index Options'!$C:$C,$A108,'NSE - NIFTY Index Options'!$B:$B,B$4,'NSE - NIFTY Index Options'!$H:$H,"MDAW*")+SUMIFS('NSE - Other Index Options'!$L:$L,'NSE - Other Index Options'!$C:$C,$A108,'NSE - Other Index Options'!$B:$B,B$4,'NSE - Other Index Options'!$H:$H,"Weekly*")+SUMIFS('NSE - Other Index Options'!$L:$L,'NSE - Other Index Options'!$C:$C,$A108,'NSE - Other Index Options'!$B:$B,B$4,'NSE - Other Index Options'!$H:$H,"MDAW*"))</f>
        <v/>
      </c>
      <c r="C108" s="26" t="str">
        <f>IF(SUMIFS('NSE - NIFTY Index Options'!$L:$L,'NSE - NIFTY Index Options'!$C:$C,$A108,'NSE - NIFTY Index Options'!$B:$B,C$4,'NSE - NIFTY Index Options'!$H:$H,"Weekly*")+SUMIFS('NSE - NIFTY Index Options'!$L:$L,'NSE - NIFTY Index Options'!$C:$C,$A108,'NSE - NIFTY Index Options'!$B:$B,C$4,'NSE - NIFTY Index Options'!$H:$H,"MDAW*")+SUMIFS('NSE - Other Index Options'!$L:$L,'NSE - Other Index Options'!$C:$C,$A108,'NSE - Other Index Options'!$B:$B,C$4,'NSE - Other Index Options'!$H:$H,"Weekly*")+SUMIFS('NSE - Other Index Options'!$L:$L,'NSE - Other Index Options'!$C:$C,$A108,'NSE - Other Index Options'!$B:$B,C$4,'NSE - Other Index Options'!$H:$H,"MDAW*")=0,"",SUMIFS('NSE - NIFTY Index Options'!$L:$L,'NSE - NIFTY Index Options'!$C:$C,$A108,'NSE - NIFTY Index Options'!$B:$B,C$4,'NSE - NIFTY Index Options'!$H:$H,"Weekly*")+SUMIFS('NSE - NIFTY Index Options'!$L:$L,'NSE - NIFTY Index Options'!$C:$C,$A108,'NSE - NIFTY Index Options'!$B:$B,C$4,'NSE - NIFTY Index Options'!$H:$H,"MDAW*")+SUMIFS('NSE - Other Index Options'!$L:$L,'NSE - Other Index Options'!$C:$C,$A108,'NSE - Other Index Options'!$B:$B,C$4,'NSE - Other Index Options'!$H:$H,"Weekly*")+SUMIFS('NSE - Other Index Options'!$L:$L,'NSE - Other Index Options'!$C:$C,$A108,'NSE - Other Index Options'!$B:$B,C$4,'NSE - Other Index Options'!$H:$H,"MDAW*"))</f>
        <v/>
      </c>
      <c r="D108" s="26" t="str">
        <f>IF(SUMIFS('NSE - NIFTY Index Options'!$L:$L,'NSE - NIFTY Index Options'!$C:$C,$A108,'NSE - NIFTY Index Options'!$B:$B,D$4,'NSE - NIFTY Index Options'!$H:$H,"Weekly*")+SUMIFS('NSE - NIFTY Index Options'!$L:$L,'NSE - NIFTY Index Options'!$C:$C,$A108,'NSE - NIFTY Index Options'!$B:$B,D$4,'NSE - NIFTY Index Options'!$H:$H,"MDAW*")+SUMIFS('NSE - Other Index Options'!$L:$L,'NSE - Other Index Options'!$C:$C,$A108,'NSE - Other Index Options'!$B:$B,D$4,'NSE - Other Index Options'!$H:$H,"Weekly*")+SUMIFS('NSE - Other Index Options'!$L:$L,'NSE - Other Index Options'!$C:$C,$A108,'NSE - Other Index Options'!$B:$B,D$4,'NSE - Other Index Options'!$H:$H,"MDAW*")=0,"",SUMIFS('NSE - NIFTY Index Options'!$L:$L,'NSE - NIFTY Index Options'!$C:$C,$A108,'NSE - NIFTY Index Options'!$B:$B,D$4,'NSE - NIFTY Index Options'!$H:$H,"Weekly*")+SUMIFS('NSE - NIFTY Index Options'!$L:$L,'NSE - NIFTY Index Options'!$C:$C,$A108,'NSE - NIFTY Index Options'!$B:$B,D$4,'NSE - NIFTY Index Options'!$H:$H,"MDAW*")+SUMIFS('NSE - Other Index Options'!$L:$L,'NSE - Other Index Options'!$C:$C,$A108,'NSE - Other Index Options'!$B:$B,D$4,'NSE - Other Index Options'!$H:$H,"Weekly*")+SUMIFS('NSE - Other Index Options'!$L:$L,'NSE - Other Index Options'!$C:$C,$A108,'NSE - Other Index Options'!$B:$B,D$4,'NSE - Other Index Options'!$H:$H,"MDAW*"))</f>
        <v/>
      </c>
      <c r="E108" s="26" t="str">
        <f>IF(SUMIFS('NSE - NIFTY Index Options'!$L:$L,'NSE - NIFTY Index Options'!$C:$C,$A108,'NSE - NIFTY Index Options'!$B:$B,E$4,'NSE - NIFTY Index Options'!$H:$H,"Weekly*")+SUMIFS('NSE - NIFTY Index Options'!$L:$L,'NSE - NIFTY Index Options'!$C:$C,$A108,'NSE - NIFTY Index Options'!$B:$B,E$4,'NSE - NIFTY Index Options'!$H:$H,"MDAW*")+SUMIFS('NSE - Other Index Options'!$L:$L,'NSE - Other Index Options'!$C:$C,$A108,'NSE - Other Index Options'!$B:$B,E$4,'NSE - Other Index Options'!$H:$H,"Weekly*")+SUMIFS('NSE - Other Index Options'!$L:$L,'NSE - Other Index Options'!$C:$C,$A108,'NSE - Other Index Options'!$B:$B,E$4,'NSE - Other Index Options'!$H:$H,"MDAW*")=0,"",SUMIFS('NSE - NIFTY Index Options'!$L:$L,'NSE - NIFTY Index Options'!$C:$C,$A108,'NSE - NIFTY Index Options'!$B:$B,E$4,'NSE - NIFTY Index Options'!$H:$H,"Weekly*")+SUMIFS('NSE - NIFTY Index Options'!$L:$L,'NSE - NIFTY Index Options'!$C:$C,$A108,'NSE - NIFTY Index Options'!$B:$B,E$4,'NSE - NIFTY Index Options'!$H:$H,"MDAW*")+SUMIFS('NSE - Other Index Options'!$L:$L,'NSE - Other Index Options'!$C:$C,$A108,'NSE - Other Index Options'!$B:$B,E$4,'NSE - Other Index Options'!$H:$H,"Weekly*")+SUMIFS('NSE - Other Index Options'!$L:$L,'NSE - Other Index Options'!$C:$C,$A108,'NSE - Other Index Options'!$B:$B,E$4,'NSE - Other Index Options'!$H:$H,"MDAW*"))</f>
        <v/>
      </c>
      <c r="F108" s="26" t="str">
        <f>IF(SUMIFS('NSE - NIFTY Index Options'!$L:$L,'NSE - NIFTY Index Options'!$C:$C,$A108,'NSE - NIFTY Index Options'!$B:$B,F$4,'NSE - NIFTY Index Options'!$H:$H,"Weekly*")+SUMIFS('NSE - NIFTY Index Options'!$L:$L,'NSE - NIFTY Index Options'!$C:$C,$A108,'NSE - NIFTY Index Options'!$B:$B,F$4,'NSE - NIFTY Index Options'!$H:$H,"MDAW*")+SUMIFS('NSE - Other Index Options'!$L:$L,'NSE - Other Index Options'!$C:$C,$A108,'NSE - Other Index Options'!$B:$B,F$4,'NSE - Other Index Options'!$H:$H,"Weekly*")+SUMIFS('NSE - Other Index Options'!$L:$L,'NSE - Other Index Options'!$C:$C,$A108,'NSE - Other Index Options'!$B:$B,F$4,'NSE - Other Index Options'!$H:$H,"MDAW*")=0,"",SUMIFS('NSE - NIFTY Index Options'!$L:$L,'NSE - NIFTY Index Options'!$C:$C,$A108,'NSE - NIFTY Index Options'!$B:$B,F$4,'NSE - NIFTY Index Options'!$H:$H,"Weekly*")+SUMIFS('NSE - NIFTY Index Options'!$L:$L,'NSE - NIFTY Index Options'!$C:$C,$A108,'NSE - NIFTY Index Options'!$B:$B,F$4,'NSE - NIFTY Index Options'!$H:$H,"MDAW*")+SUMIFS('NSE - Other Index Options'!$L:$L,'NSE - Other Index Options'!$C:$C,$A108,'NSE - Other Index Options'!$B:$B,F$4,'NSE - Other Index Options'!$H:$H,"Weekly*")+SUMIFS('NSE - Other Index Options'!$L:$L,'NSE - Other Index Options'!$C:$C,$A108,'NSE - Other Index Options'!$B:$B,F$4,'NSE - Other Index Options'!$H:$H,"MDAW*"))</f>
        <v/>
      </c>
      <c r="G108" s="26" t="str">
        <f>IF(SUMIFS('NSE - NIFTY Index Options'!$L:$L,'NSE - NIFTY Index Options'!$C:$C,$A108,'NSE - NIFTY Index Options'!$B:$B,G$4,'NSE - NIFTY Index Options'!$H:$H,"Weekly*")+SUMIFS('NSE - NIFTY Index Options'!$L:$L,'NSE - NIFTY Index Options'!$C:$C,$A108,'NSE - NIFTY Index Options'!$B:$B,G$4,'NSE - NIFTY Index Options'!$H:$H,"MDAW*")+SUMIFS('NSE - Other Index Options'!$L:$L,'NSE - Other Index Options'!$C:$C,$A108,'NSE - Other Index Options'!$B:$B,G$4,'NSE - Other Index Options'!$H:$H,"Weekly*")+SUMIFS('NSE - Other Index Options'!$L:$L,'NSE - Other Index Options'!$C:$C,$A108,'NSE - Other Index Options'!$B:$B,G$4,'NSE - Other Index Options'!$H:$H,"MDAW*")=0,"",SUMIFS('NSE - NIFTY Index Options'!$L:$L,'NSE - NIFTY Index Options'!$C:$C,$A108,'NSE - NIFTY Index Options'!$B:$B,G$4,'NSE - NIFTY Index Options'!$H:$H,"Weekly*")+SUMIFS('NSE - NIFTY Index Options'!$L:$L,'NSE - NIFTY Index Options'!$C:$C,$A108,'NSE - NIFTY Index Options'!$B:$B,G$4,'NSE - NIFTY Index Options'!$H:$H,"MDAW*")+SUMIFS('NSE - Other Index Options'!$L:$L,'NSE - Other Index Options'!$C:$C,$A108,'NSE - Other Index Options'!$B:$B,G$4,'NSE - Other Index Options'!$H:$H,"Weekly*")+SUMIFS('NSE - Other Index Options'!$L:$L,'NSE - Other Index Options'!$C:$C,$A108,'NSE - Other Index Options'!$B:$B,G$4,'NSE - Other Index Options'!$H:$H,"MDAW*"))</f>
        <v/>
      </c>
      <c r="H108" s="26" t="str">
        <f t="shared" si="3"/>
        <v/>
      </c>
    </row>
    <row r="109" spans="1:8" hidden="1" outlineLevel="1">
      <c r="A109" t="s">
        <v>114</v>
      </c>
      <c r="B109" s="26" t="str">
        <f>IF(SUMIFS('NSE - NIFTY Index Options'!$L:$L,'NSE - NIFTY Index Options'!$C:$C,$A109,'NSE - NIFTY Index Options'!$B:$B,B$4,'NSE - NIFTY Index Options'!$H:$H,"Weekly*")+SUMIFS('NSE - NIFTY Index Options'!$L:$L,'NSE - NIFTY Index Options'!$C:$C,$A109,'NSE - NIFTY Index Options'!$B:$B,B$4,'NSE - NIFTY Index Options'!$H:$H,"MDAW*")+SUMIFS('NSE - Other Index Options'!$L:$L,'NSE - Other Index Options'!$C:$C,$A109,'NSE - Other Index Options'!$B:$B,B$4,'NSE - Other Index Options'!$H:$H,"Weekly*")+SUMIFS('NSE - Other Index Options'!$L:$L,'NSE - Other Index Options'!$C:$C,$A109,'NSE - Other Index Options'!$B:$B,B$4,'NSE - Other Index Options'!$H:$H,"MDAW*")=0,"",SUMIFS('NSE - NIFTY Index Options'!$L:$L,'NSE - NIFTY Index Options'!$C:$C,$A109,'NSE - NIFTY Index Options'!$B:$B,B$4,'NSE - NIFTY Index Options'!$H:$H,"Weekly*")+SUMIFS('NSE - NIFTY Index Options'!$L:$L,'NSE - NIFTY Index Options'!$C:$C,$A109,'NSE - NIFTY Index Options'!$B:$B,B$4,'NSE - NIFTY Index Options'!$H:$H,"MDAW*")+SUMIFS('NSE - Other Index Options'!$L:$L,'NSE - Other Index Options'!$C:$C,$A109,'NSE - Other Index Options'!$B:$B,B$4,'NSE - Other Index Options'!$H:$H,"Weekly*")+SUMIFS('NSE - Other Index Options'!$L:$L,'NSE - Other Index Options'!$C:$C,$A109,'NSE - Other Index Options'!$B:$B,B$4,'NSE - Other Index Options'!$H:$H,"MDAW*"))</f>
        <v/>
      </c>
      <c r="C109" s="26" t="str">
        <f>IF(SUMIFS('NSE - NIFTY Index Options'!$L:$L,'NSE - NIFTY Index Options'!$C:$C,$A109,'NSE - NIFTY Index Options'!$B:$B,C$4,'NSE - NIFTY Index Options'!$H:$H,"Weekly*")+SUMIFS('NSE - NIFTY Index Options'!$L:$L,'NSE - NIFTY Index Options'!$C:$C,$A109,'NSE - NIFTY Index Options'!$B:$B,C$4,'NSE - NIFTY Index Options'!$H:$H,"MDAW*")+SUMIFS('NSE - Other Index Options'!$L:$L,'NSE - Other Index Options'!$C:$C,$A109,'NSE - Other Index Options'!$B:$B,C$4,'NSE - Other Index Options'!$H:$H,"Weekly*")+SUMIFS('NSE - Other Index Options'!$L:$L,'NSE - Other Index Options'!$C:$C,$A109,'NSE - Other Index Options'!$B:$B,C$4,'NSE - Other Index Options'!$H:$H,"MDAW*")=0,"",SUMIFS('NSE - NIFTY Index Options'!$L:$L,'NSE - NIFTY Index Options'!$C:$C,$A109,'NSE - NIFTY Index Options'!$B:$B,C$4,'NSE - NIFTY Index Options'!$H:$H,"Weekly*")+SUMIFS('NSE - NIFTY Index Options'!$L:$L,'NSE - NIFTY Index Options'!$C:$C,$A109,'NSE - NIFTY Index Options'!$B:$B,C$4,'NSE - NIFTY Index Options'!$H:$H,"MDAW*")+SUMIFS('NSE - Other Index Options'!$L:$L,'NSE - Other Index Options'!$C:$C,$A109,'NSE - Other Index Options'!$B:$B,C$4,'NSE - Other Index Options'!$H:$H,"Weekly*")+SUMIFS('NSE - Other Index Options'!$L:$L,'NSE - Other Index Options'!$C:$C,$A109,'NSE - Other Index Options'!$B:$B,C$4,'NSE - Other Index Options'!$H:$H,"MDAW*"))</f>
        <v/>
      </c>
      <c r="D109" s="26" t="str">
        <f>IF(SUMIFS('NSE - NIFTY Index Options'!$L:$L,'NSE - NIFTY Index Options'!$C:$C,$A109,'NSE - NIFTY Index Options'!$B:$B,D$4,'NSE - NIFTY Index Options'!$H:$H,"Weekly*")+SUMIFS('NSE - NIFTY Index Options'!$L:$L,'NSE - NIFTY Index Options'!$C:$C,$A109,'NSE - NIFTY Index Options'!$B:$B,D$4,'NSE - NIFTY Index Options'!$H:$H,"MDAW*")+SUMIFS('NSE - Other Index Options'!$L:$L,'NSE - Other Index Options'!$C:$C,$A109,'NSE - Other Index Options'!$B:$B,D$4,'NSE - Other Index Options'!$H:$H,"Weekly*")+SUMIFS('NSE - Other Index Options'!$L:$L,'NSE - Other Index Options'!$C:$C,$A109,'NSE - Other Index Options'!$B:$B,D$4,'NSE - Other Index Options'!$H:$H,"MDAW*")=0,"",SUMIFS('NSE - NIFTY Index Options'!$L:$L,'NSE - NIFTY Index Options'!$C:$C,$A109,'NSE - NIFTY Index Options'!$B:$B,D$4,'NSE - NIFTY Index Options'!$H:$H,"Weekly*")+SUMIFS('NSE - NIFTY Index Options'!$L:$L,'NSE - NIFTY Index Options'!$C:$C,$A109,'NSE - NIFTY Index Options'!$B:$B,D$4,'NSE - NIFTY Index Options'!$H:$H,"MDAW*")+SUMIFS('NSE - Other Index Options'!$L:$L,'NSE - Other Index Options'!$C:$C,$A109,'NSE - Other Index Options'!$B:$B,D$4,'NSE - Other Index Options'!$H:$H,"Weekly*")+SUMIFS('NSE - Other Index Options'!$L:$L,'NSE - Other Index Options'!$C:$C,$A109,'NSE - Other Index Options'!$B:$B,D$4,'NSE - Other Index Options'!$H:$H,"MDAW*"))</f>
        <v/>
      </c>
      <c r="E109" s="26" t="str">
        <f>IF(SUMIFS('NSE - NIFTY Index Options'!$L:$L,'NSE - NIFTY Index Options'!$C:$C,$A109,'NSE - NIFTY Index Options'!$B:$B,E$4,'NSE - NIFTY Index Options'!$H:$H,"Weekly*")+SUMIFS('NSE - NIFTY Index Options'!$L:$L,'NSE - NIFTY Index Options'!$C:$C,$A109,'NSE - NIFTY Index Options'!$B:$B,E$4,'NSE - NIFTY Index Options'!$H:$H,"MDAW*")+SUMIFS('NSE - Other Index Options'!$L:$L,'NSE - Other Index Options'!$C:$C,$A109,'NSE - Other Index Options'!$B:$B,E$4,'NSE - Other Index Options'!$H:$H,"Weekly*")+SUMIFS('NSE - Other Index Options'!$L:$L,'NSE - Other Index Options'!$C:$C,$A109,'NSE - Other Index Options'!$B:$B,E$4,'NSE - Other Index Options'!$H:$H,"MDAW*")=0,"",SUMIFS('NSE - NIFTY Index Options'!$L:$L,'NSE - NIFTY Index Options'!$C:$C,$A109,'NSE - NIFTY Index Options'!$B:$B,E$4,'NSE - NIFTY Index Options'!$H:$H,"Weekly*")+SUMIFS('NSE - NIFTY Index Options'!$L:$L,'NSE - NIFTY Index Options'!$C:$C,$A109,'NSE - NIFTY Index Options'!$B:$B,E$4,'NSE - NIFTY Index Options'!$H:$H,"MDAW*")+SUMIFS('NSE - Other Index Options'!$L:$L,'NSE - Other Index Options'!$C:$C,$A109,'NSE - Other Index Options'!$B:$B,E$4,'NSE - Other Index Options'!$H:$H,"Weekly*")+SUMIFS('NSE - Other Index Options'!$L:$L,'NSE - Other Index Options'!$C:$C,$A109,'NSE - Other Index Options'!$B:$B,E$4,'NSE - Other Index Options'!$H:$H,"MDAW*"))</f>
        <v/>
      </c>
      <c r="F109" s="26" t="str">
        <f>IF(SUMIFS('NSE - NIFTY Index Options'!$L:$L,'NSE - NIFTY Index Options'!$C:$C,$A109,'NSE - NIFTY Index Options'!$B:$B,F$4,'NSE - NIFTY Index Options'!$H:$H,"Weekly*")+SUMIFS('NSE - NIFTY Index Options'!$L:$L,'NSE - NIFTY Index Options'!$C:$C,$A109,'NSE - NIFTY Index Options'!$B:$B,F$4,'NSE - NIFTY Index Options'!$H:$H,"MDAW*")+SUMIFS('NSE - Other Index Options'!$L:$L,'NSE - Other Index Options'!$C:$C,$A109,'NSE - Other Index Options'!$B:$B,F$4,'NSE - Other Index Options'!$H:$H,"Weekly*")+SUMIFS('NSE - Other Index Options'!$L:$L,'NSE - Other Index Options'!$C:$C,$A109,'NSE - Other Index Options'!$B:$B,F$4,'NSE - Other Index Options'!$H:$H,"MDAW*")=0,"",SUMIFS('NSE - NIFTY Index Options'!$L:$L,'NSE - NIFTY Index Options'!$C:$C,$A109,'NSE - NIFTY Index Options'!$B:$B,F$4,'NSE - NIFTY Index Options'!$H:$H,"Weekly*")+SUMIFS('NSE - NIFTY Index Options'!$L:$L,'NSE - NIFTY Index Options'!$C:$C,$A109,'NSE - NIFTY Index Options'!$B:$B,F$4,'NSE - NIFTY Index Options'!$H:$H,"MDAW*")+SUMIFS('NSE - Other Index Options'!$L:$L,'NSE - Other Index Options'!$C:$C,$A109,'NSE - Other Index Options'!$B:$B,F$4,'NSE - Other Index Options'!$H:$H,"Weekly*")+SUMIFS('NSE - Other Index Options'!$L:$L,'NSE - Other Index Options'!$C:$C,$A109,'NSE - Other Index Options'!$B:$B,F$4,'NSE - Other Index Options'!$H:$H,"MDAW*"))</f>
        <v/>
      </c>
      <c r="G109" s="26" t="str">
        <f>IF(SUMIFS('NSE - NIFTY Index Options'!$L:$L,'NSE - NIFTY Index Options'!$C:$C,$A109,'NSE - NIFTY Index Options'!$B:$B,G$4,'NSE - NIFTY Index Options'!$H:$H,"Weekly*")+SUMIFS('NSE - NIFTY Index Options'!$L:$L,'NSE - NIFTY Index Options'!$C:$C,$A109,'NSE - NIFTY Index Options'!$B:$B,G$4,'NSE - NIFTY Index Options'!$H:$H,"MDAW*")+SUMIFS('NSE - Other Index Options'!$L:$L,'NSE - Other Index Options'!$C:$C,$A109,'NSE - Other Index Options'!$B:$B,G$4,'NSE - Other Index Options'!$H:$H,"Weekly*")+SUMIFS('NSE - Other Index Options'!$L:$L,'NSE - Other Index Options'!$C:$C,$A109,'NSE - Other Index Options'!$B:$B,G$4,'NSE - Other Index Options'!$H:$H,"MDAW*")=0,"",SUMIFS('NSE - NIFTY Index Options'!$L:$L,'NSE - NIFTY Index Options'!$C:$C,$A109,'NSE - NIFTY Index Options'!$B:$B,G$4,'NSE - NIFTY Index Options'!$H:$H,"Weekly*")+SUMIFS('NSE - NIFTY Index Options'!$L:$L,'NSE - NIFTY Index Options'!$C:$C,$A109,'NSE - NIFTY Index Options'!$B:$B,G$4,'NSE - NIFTY Index Options'!$H:$H,"MDAW*")+SUMIFS('NSE - Other Index Options'!$L:$L,'NSE - Other Index Options'!$C:$C,$A109,'NSE - Other Index Options'!$B:$B,G$4,'NSE - Other Index Options'!$H:$H,"Weekly*")+SUMIFS('NSE - Other Index Options'!$L:$L,'NSE - Other Index Options'!$C:$C,$A109,'NSE - Other Index Options'!$B:$B,G$4,'NSE - Other Index Options'!$H:$H,"MDAW*"))</f>
        <v/>
      </c>
      <c r="H109" s="26" t="str">
        <f t="shared" si="3"/>
        <v/>
      </c>
    </row>
    <row r="110" spans="1:8" hidden="1" outlineLevel="1">
      <c r="A110" t="s">
        <v>115</v>
      </c>
      <c r="B110" s="26" t="str">
        <f>IF(SUMIFS('NSE - NIFTY Index Options'!$L:$L,'NSE - NIFTY Index Options'!$C:$C,$A110,'NSE - NIFTY Index Options'!$B:$B,B$4,'NSE - NIFTY Index Options'!$H:$H,"Weekly*")+SUMIFS('NSE - NIFTY Index Options'!$L:$L,'NSE - NIFTY Index Options'!$C:$C,$A110,'NSE - NIFTY Index Options'!$B:$B,B$4,'NSE - NIFTY Index Options'!$H:$H,"MDAW*")+SUMIFS('NSE - Other Index Options'!$L:$L,'NSE - Other Index Options'!$C:$C,$A110,'NSE - Other Index Options'!$B:$B,B$4,'NSE - Other Index Options'!$H:$H,"Weekly*")+SUMIFS('NSE - Other Index Options'!$L:$L,'NSE - Other Index Options'!$C:$C,$A110,'NSE - Other Index Options'!$B:$B,B$4,'NSE - Other Index Options'!$H:$H,"MDAW*")=0,"",SUMIFS('NSE - NIFTY Index Options'!$L:$L,'NSE - NIFTY Index Options'!$C:$C,$A110,'NSE - NIFTY Index Options'!$B:$B,B$4,'NSE - NIFTY Index Options'!$H:$H,"Weekly*")+SUMIFS('NSE - NIFTY Index Options'!$L:$L,'NSE - NIFTY Index Options'!$C:$C,$A110,'NSE - NIFTY Index Options'!$B:$B,B$4,'NSE - NIFTY Index Options'!$H:$H,"MDAW*")+SUMIFS('NSE - Other Index Options'!$L:$L,'NSE - Other Index Options'!$C:$C,$A110,'NSE - Other Index Options'!$B:$B,B$4,'NSE - Other Index Options'!$H:$H,"Weekly*")+SUMIFS('NSE - Other Index Options'!$L:$L,'NSE - Other Index Options'!$C:$C,$A110,'NSE - Other Index Options'!$B:$B,B$4,'NSE - Other Index Options'!$H:$H,"MDAW*"))</f>
        <v/>
      </c>
      <c r="C110" s="26" t="str">
        <f>IF(SUMIFS('NSE - NIFTY Index Options'!$L:$L,'NSE - NIFTY Index Options'!$C:$C,$A110,'NSE - NIFTY Index Options'!$B:$B,C$4,'NSE - NIFTY Index Options'!$H:$H,"Weekly*")+SUMIFS('NSE - NIFTY Index Options'!$L:$L,'NSE - NIFTY Index Options'!$C:$C,$A110,'NSE - NIFTY Index Options'!$B:$B,C$4,'NSE - NIFTY Index Options'!$H:$H,"MDAW*")+SUMIFS('NSE - Other Index Options'!$L:$L,'NSE - Other Index Options'!$C:$C,$A110,'NSE - Other Index Options'!$B:$B,C$4,'NSE - Other Index Options'!$H:$H,"Weekly*")+SUMIFS('NSE - Other Index Options'!$L:$L,'NSE - Other Index Options'!$C:$C,$A110,'NSE - Other Index Options'!$B:$B,C$4,'NSE - Other Index Options'!$H:$H,"MDAW*")=0,"",SUMIFS('NSE - NIFTY Index Options'!$L:$L,'NSE - NIFTY Index Options'!$C:$C,$A110,'NSE - NIFTY Index Options'!$B:$B,C$4,'NSE - NIFTY Index Options'!$H:$H,"Weekly*")+SUMIFS('NSE - NIFTY Index Options'!$L:$L,'NSE - NIFTY Index Options'!$C:$C,$A110,'NSE - NIFTY Index Options'!$B:$B,C$4,'NSE - NIFTY Index Options'!$H:$H,"MDAW*")+SUMIFS('NSE - Other Index Options'!$L:$L,'NSE - Other Index Options'!$C:$C,$A110,'NSE - Other Index Options'!$B:$B,C$4,'NSE - Other Index Options'!$H:$H,"Weekly*")+SUMIFS('NSE - Other Index Options'!$L:$L,'NSE - Other Index Options'!$C:$C,$A110,'NSE - Other Index Options'!$B:$B,C$4,'NSE - Other Index Options'!$H:$H,"MDAW*"))</f>
        <v/>
      </c>
      <c r="D110" s="26" t="str">
        <f>IF(SUMIFS('NSE - NIFTY Index Options'!$L:$L,'NSE - NIFTY Index Options'!$C:$C,$A110,'NSE - NIFTY Index Options'!$B:$B,D$4,'NSE - NIFTY Index Options'!$H:$H,"Weekly*")+SUMIFS('NSE - NIFTY Index Options'!$L:$L,'NSE - NIFTY Index Options'!$C:$C,$A110,'NSE - NIFTY Index Options'!$B:$B,D$4,'NSE - NIFTY Index Options'!$H:$H,"MDAW*")+SUMIFS('NSE - Other Index Options'!$L:$L,'NSE - Other Index Options'!$C:$C,$A110,'NSE - Other Index Options'!$B:$B,D$4,'NSE - Other Index Options'!$H:$H,"Weekly*")+SUMIFS('NSE - Other Index Options'!$L:$L,'NSE - Other Index Options'!$C:$C,$A110,'NSE - Other Index Options'!$B:$B,D$4,'NSE - Other Index Options'!$H:$H,"MDAW*")=0,"",SUMIFS('NSE - NIFTY Index Options'!$L:$L,'NSE - NIFTY Index Options'!$C:$C,$A110,'NSE - NIFTY Index Options'!$B:$B,D$4,'NSE - NIFTY Index Options'!$H:$H,"Weekly*")+SUMIFS('NSE - NIFTY Index Options'!$L:$L,'NSE - NIFTY Index Options'!$C:$C,$A110,'NSE - NIFTY Index Options'!$B:$B,D$4,'NSE - NIFTY Index Options'!$H:$H,"MDAW*")+SUMIFS('NSE - Other Index Options'!$L:$L,'NSE - Other Index Options'!$C:$C,$A110,'NSE - Other Index Options'!$B:$B,D$4,'NSE - Other Index Options'!$H:$H,"Weekly*")+SUMIFS('NSE - Other Index Options'!$L:$L,'NSE - Other Index Options'!$C:$C,$A110,'NSE - Other Index Options'!$B:$B,D$4,'NSE - Other Index Options'!$H:$H,"MDAW*"))</f>
        <v/>
      </c>
      <c r="E110" s="26" t="str">
        <f>IF(SUMIFS('NSE - NIFTY Index Options'!$L:$L,'NSE - NIFTY Index Options'!$C:$C,$A110,'NSE - NIFTY Index Options'!$B:$B,E$4,'NSE - NIFTY Index Options'!$H:$H,"Weekly*")+SUMIFS('NSE - NIFTY Index Options'!$L:$L,'NSE - NIFTY Index Options'!$C:$C,$A110,'NSE - NIFTY Index Options'!$B:$B,E$4,'NSE - NIFTY Index Options'!$H:$H,"MDAW*")+SUMIFS('NSE - Other Index Options'!$L:$L,'NSE - Other Index Options'!$C:$C,$A110,'NSE - Other Index Options'!$B:$B,E$4,'NSE - Other Index Options'!$H:$H,"Weekly*")+SUMIFS('NSE - Other Index Options'!$L:$L,'NSE - Other Index Options'!$C:$C,$A110,'NSE - Other Index Options'!$B:$B,E$4,'NSE - Other Index Options'!$H:$H,"MDAW*")=0,"",SUMIFS('NSE - NIFTY Index Options'!$L:$L,'NSE - NIFTY Index Options'!$C:$C,$A110,'NSE - NIFTY Index Options'!$B:$B,E$4,'NSE - NIFTY Index Options'!$H:$H,"Weekly*")+SUMIFS('NSE - NIFTY Index Options'!$L:$L,'NSE - NIFTY Index Options'!$C:$C,$A110,'NSE - NIFTY Index Options'!$B:$B,E$4,'NSE - NIFTY Index Options'!$H:$H,"MDAW*")+SUMIFS('NSE - Other Index Options'!$L:$L,'NSE - Other Index Options'!$C:$C,$A110,'NSE - Other Index Options'!$B:$B,E$4,'NSE - Other Index Options'!$H:$H,"Weekly*")+SUMIFS('NSE - Other Index Options'!$L:$L,'NSE - Other Index Options'!$C:$C,$A110,'NSE - Other Index Options'!$B:$B,E$4,'NSE - Other Index Options'!$H:$H,"MDAW*"))</f>
        <v/>
      </c>
      <c r="F110" s="26" t="str">
        <f>IF(SUMIFS('NSE - NIFTY Index Options'!$L:$L,'NSE - NIFTY Index Options'!$C:$C,$A110,'NSE - NIFTY Index Options'!$B:$B,F$4,'NSE - NIFTY Index Options'!$H:$H,"Weekly*")+SUMIFS('NSE - NIFTY Index Options'!$L:$L,'NSE - NIFTY Index Options'!$C:$C,$A110,'NSE - NIFTY Index Options'!$B:$B,F$4,'NSE - NIFTY Index Options'!$H:$H,"MDAW*")+SUMIFS('NSE - Other Index Options'!$L:$L,'NSE - Other Index Options'!$C:$C,$A110,'NSE - Other Index Options'!$B:$B,F$4,'NSE - Other Index Options'!$H:$H,"Weekly*")+SUMIFS('NSE - Other Index Options'!$L:$L,'NSE - Other Index Options'!$C:$C,$A110,'NSE - Other Index Options'!$B:$B,F$4,'NSE - Other Index Options'!$H:$H,"MDAW*")=0,"",SUMIFS('NSE - NIFTY Index Options'!$L:$L,'NSE - NIFTY Index Options'!$C:$C,$A110,'NSE - NIFTY Index Options'!$B:$B,F$4,'NSE - NIFTY Index Options'!$H:$H,"Weekly*")+SUMIFS('NSE - NIFTY Index Options'!$L:$L,'NSE - NIFTY Index Options'!$C:$C,$A110,'NSE - NIFTY Index Options'!$B:$B,F$4,'NSE - NIFTY Index Options'!$H:$H,"MDAW*")+SUMIFS('NSE - Other Index Options'!$L:$L,'NSE - Other Index Options'!$C:$C,$A110,'NSE - Other Index Options'!$B:$B,F$4,'NSE - Other Index Options'!$H:$H,"Weekly*")+SUMIFS('NSE - Other Index Options'!$L:$L,'NSE - Other Index Options'!$C:$C,$A110,'NSE - Other Index Options'!$B:$B,F$4,'NSE - Other Index Options'!$H:$H,"MDAW*"))</f>
        <v/>
      </c>
      <c r="G110" s="26" t="str">
        <f>IF(SUMIFS('NSE - NIFTY Index Options'!$L:$L,'NSE - NIFTY Index Options'!$C:$C,$A110,'NSE - NIFTY Index Options'!$B:$B,G$4,'NSE - NIFTY Index Options'!$H:$H,"Weekly*")+SUMIFS('NSE - NIFTY Index Options'!$L:$L,'NSE - NIFTY Index Options'!$C:$C,$A110,'NSE - NIFTY Index Options'!$B:$B,G$4,'NSE - NIFTY Index Options'!$H:$H,"MDAW*")+SUMIFS('NSE - Other Index Options'!$L:$L,'NSE - Other Index Options'!$C:$C,$A110,'NSE - Other Index Options'!$B:$B,G$4,'NSE - Other Index Options'!$H:$H,"Weekly*")+SUMIFS('NSE - Other Index Options'!$L:$L,'NSE - Other Index Options'!$C:$C,$A110,'NSE - Other Index Options'!$B:$B,G$4,'NSE - Other Index Options'!$H:$H,"MDAW*")=0,"",SUMIFS('NSE - NIFTY Index Options'!$L:$L,'NSE - NIFTY Index Options'!$C:$C,$A110,'NSE - NIFTY Index Options'!$B:$B,G$4,'NSE - NIFTY Index Options'!$H:$H,"Weekly*")+SUMIFS('NSE - NIFTY Index Options'!$L:$L,'NSE - NIFTY Index Options'!$C:$C,$A110,'NSE - NIFTY Index Options'!$B:$B,G$4,'NSE - NIFTY Index Options'!$H:$H,"MDAW*")+SUMIFS('NSE - Other Index Options'!$L:$L,'NSE - Other Index Options'!$C:$C,$A110,'NSE - Other Index Options'!$B:$B,G$4,'NSE - Other Index Options'!$H:$H,"Weekly*")+SUMIFS('NSE - Other Index Options'!$L:$L,'NSE - Other Index Options'!$C:$C,$A110,'NSE - Other Index Options'!$B:$B,G$4,'NSE - Other Index Options'!$H:$H,"MDAW*"))</f>
        <v/>
      </c>
      <c r="H110" s="26" t="str">
        <f t="shared" si="3"/>
        <v/>
      </c>
    </row>
    <row r="111" spans="1:8" hidden="1" outlineLevel="1">
      <c r="A111" t="s">
        <v>116</v>
      </c>
      <c r="B111" s="26" t="str">
        <f>IF(SUMIFS('NSE - NIFTY Index Options'!$L:$L,'NSE - NIFTY Index Options'!$C:$C,$A111,'NSE - NIFTY Index Options'!$B:$B,B$4,'NSE - NIFTY Index Options'!$H:$H,"Weekly*")+SUMIFS('NSE - NIFTY Index Options'!$L:$L,'NSE - NIFTY Index Options'!$C:$C,$A111,'NSE - NIFTY Index Options'!$B:$B,B$4,'NSE - NIFTY Index Options'!$H:$H,"MDAW*")+SUMIFS('NSE - Other Index Options'!$L:$L,'NSE - Other Index Options'!$C:$C,$A111,'NSE - Other Index Options'!$B:$B,B$4,'NSE - Other Index Options'!$H:$H,"Weekly*")+SUMIFS('NSE - Other Index Options'!$L:$L,'NSE - Other Index Options'!$C:$C,$A111,'NSE - Other Index Options'!$B:$B,B$4,'NSE - Other Index Options'!$H:$H,"MDAW*")=0,"",SUMIFS('NSE - NIFTY Index Options'!$L:$L,'NSE - NIFTY Index Options'!$C:$C,$A111,'NSE - NIFTY Index Options'!$B:$B,B$4,'NSE - NIFTY Index Options'!$H:$H,"Weekly*")+SUMIFS('NSE - NIFTY Index Options'!$L:$L,'NSE - NIFTY Index Options'!$C:$C,$A111,'NSE - NIFTY Index Options'!$B:$B,B$4,'NSE - NIFTY Index Options'!$H:$H,"MDAW*")+SUMIFS('NSE - Other Index Options'!$L:$L,'NSE - Other Index Options'!$C:$C,$A111,'NSE - Other Index Options'!$B:$B,B$4,'NSE - Other Index Options'!$H:$H,"Weekly*")+SUMIFS('NSE - Other Index Options'!$L:$L,'NSE - Other Index Options'!$C:$C,$A111,'NSE - Other Index Options'!$B:$B,B$4,'NSE - Other Index Options'!$H:$H,"MDAW*"))</f>
        <v/>
      </c>
      <c r="C111" s="26" t="str">
        <f>IF(SUMIFS('NSE - NIFTY Index Options'!$L:$L,'NSE - NIFTY Index Options'!$C:$C,$A111,'NSE - NIFTY Index Options'!$B:$B,C$4,'NSE - NIFTY Index Options'!$H:$H,"Weekly*")+SUMIFS('NSE - NIFTY Index Options'!$L:$L,'NSE - NIFTY Index Options'!$C:$C,$A111,'NSE - NIFTY Index Options'!$B:$B,C$4,'NSE - NIFTY Index Options'!$H:$H,"MDAW*")+SUMIFS('NSE - Other Index Options'!$L:$L,'NSE - Other Index Options'!$C:$C,$A111,'NSE - Other Index Options'!$B:$B,C$4,'NSE - Other Index Options'!$H:$H,"Weekly*")+SUMIFS('NSE - Other Index Options'!$L:$L,'NSE - Other Index Options'!$C:$C,$A111,'NSE - Other Index Options'!$B:$B,C$4,'NSE - Other Index Options'!$H:$H,"MDAW*")=0,"",SUMIFS('NSE - NIFTY Index Options'!$L:$L,'NSE - NIFTY Index Options'!$C:$C,$A111,'NSE - NIFTY Index Options'!$B:$B,C$4,'NSE - NIFTY Index Options'!$H:$H,"Weekly*")+SUMIFS('NSE - NIFTY Index Options'!$L:$L,'NSE - NIFTY Index Options'!$C:$C,$A111,'NSE - NIFTY Index Options'!$B:$B,C$4,'NSE - NIFTY Index Options'!$H:$H,"MDAW*")+SUMIFS('NSE - Other Index Options'!$L:$L,'NSE - Other Index Options'!$C:$C,$A111,'NSE - Other Index Options'!$B:$B,C$4,'NSE - Other Index Options'!$H:$H,"Weekly*")+SUMIFS('NSE - Other Index Options'!$L:$L,'NSE - Other Index Options'!$C:$C,$A111,'NSE - Other Index Options'!$B:$B,C$4,'NSE - Other Index Options'!$H:$H,"MDAW*"))</f>
        <v/>
      </c>
      <c r="D111" s="26" t="str">
        <f>IF(SUMIFS('NSE - NIFTY Index Options'!$L:$L,'NSE - NIFTY Index Options'!$C:$C,$A111,'NSE - NIFTY Index Options'!$B:$B,D$4,'NSE - NIFTY Index Options'!$H:$H,"Weekly*")+SUMIFS('NSE - NIFTY Index Options'!$L:$L,'NSE - NIFTY Index Options'!$C:$C,$A111,'NSE - NIFTY Index Options'!$B:$B,D$4,'NSE - NIFTY Index Options'!$H:$H,"MDAW*")+SUMIFS('NSE - Other Index Options'!$L:$L,'NSE - Other Index Options'!$C:$C,$A111,'NSE - Other Index Options'!$B:$B,D$4,'NSE - Other Index Options'!$H:$H,"Weekly*")+SUMIFS('NSE - Other Index Options'!$L:$L,'NSE - Other Index Options'!$C:$C,$A111,'NSE - Other Index Options'!$B:$B,D$4,'NSE - Other Index Options'!$H:$H,"MDAW*")=0,"",SUMIFS('NSE - NIFTY Index Options'!$L:$L,'NSE - NIFTY Index Options'!$C:$C,$A111,'NSE - NIFTY Index Options'!$B:$B,D$4,'NSE - NIFTY Index Options'!$H:$H,"Weekly*")+SUMIFS('NSE - NIFTY Index Options'!$L:$L,'NSE - NIFTY Index Options'!$C:$C,$A111,'NSE - NIFTY Index Options'!$B:$B,D$4,'NSE - NIFTY Index Options'!$H:$H,"MDAW*")+SUMIFS('NSE - Other Index Options'!$L:$L,'NSE - Other Index Options'!$C:$C,$A111,'NSE - Other Index Options'!$B:$B,D$4,'NSE - Other Index Options'!$H:$H,"Weekly*")+SUMIFS('NSE - Other Index Options'!$L:$L,'NSE - Other Index Options'!$C:$C,$A111,'NSE - Other Index Options'!$B:$B,D$4,'NSE - Other Index Options'!$H:$H,"MDAW*"))</f>
        <v/>
      </c>
      <c r="E111" s="26" t="str">
        <f>IF(SUMIFS('NSE - NIFTY Index Options'!$L:$L,'NSE - NIFTY Index Options'!$C:$C,$A111,'NSE - NIFTY Index Options'!$B:$B,E$4,'NSE - NIFTY Index Options'!$H:$H,"Weekly*")+SUMIFS('NSE - NIFTY Index Options'!$L:$L,'NSE - NIFTY Index Options'!$C:$C,$A111,'NSE - NIFTY Index Options'!$B:$B,E$4,'NSE - NIFTY Index Options'!$H:$H,"MDAW*")+SUMIFS('NSE - Other Index Options'!$L:$L,'NSE - Other Index Options'!$C:$C,$A111,'NSE - Other Index Options'!$B:$B,E$4,'NSE - Other Index Options'!$H:$H,"Weekly*")+SUMIFS('NSE - Other Index Options'!$L:$L,'NSE - Other Index Options'!$C:$C,$A111,'NSE - Other Index Options'!$B:$B,E$4,'NSE - Other Index Options'!$H:$H,"MDAW*")=0,"",SUMIFS('NSE - NIFTY Index Options'!$L:$L,'NSE - NIFTY Index Options'!$C:$C,$A111,'NSE - NIFTY Index Options'!$B:$B,E$4,'NSE - NIFTY Index Options'!$H:$H,"Weekly*")+SUMIFS('NSE - NIFTY Index Options'!$L:$L,'NSE - NIFTY Index Options'!$C:$C,$A111,'NSE - NIFTY Index Options'!$B:$B,E$4,'NSE - NIFTY Index Options'!$H:$H,"MDAW*")+SUMIFS('NSE - Other Index Options'!$L:$L,'NSE - Other Index Options'!$C:$C,$A111,'NSE - Other Index Options'!$B:$B,E$4,'NSE - Other Index Options'!$H:$H,"Weekly*")+SUMIFS('NSE - Other Index Options'!$L:$L,'NSE - Other Index Options'!$C:$C,$A111,'NSE - Other Index Options'!$B:$B,E$4,'NSE - Other Index Options'!$H:$H,"MDAW*"))</f>
        <v/>
      </c>
      <c r="F111" s="26" t="str">
        <f>IF(SUMIFS('NSE - NIFTY Index Options'!$L:$L,'NSE - NIFTY Index Options'!$C:$C,$A111,'NSE - NIFTY Index Options'!$B:$B,F$4,'NSE - NIFTY Index Options'!$H:$H,"Weekly*")+SUMIFS('NSE - NIFTY Index Options'!$L:$L,'NSE - NIFTY Index Options'!$C:$C,$A111,'NSE - NIFTY Index Options'!$B:$B,F$4,'NSE - NIFTY Index Options'!$H:$H,"MDAW*")+SUMIFS('NSE - Other Index Options'!$L:$L,'NSE - Other Index Options'!$C:$C,$A111,'NSE - Other Index Options'!$B:$B,F$4,'NSE - Other Index Options'!$H:$H,"Weekly*")+SUMIFS('NSE - Other Index Options'!$L:$L,'NSE - Other Index Options'!$C:$C,$A111,'NSE - Other Index Options'!$B:$B,F$4,'NSE - Other Index Options'!$H:$H,"MDAW*")=0,"",SUMIFS('NSE - NIFTY Index Options'!$L:$L,'NSE - NIFTY Index Options'!$C:$C,$A111,'NSE - NIFTY Index Options'!$B:$B,F$4,'NSE - NIFTY Index Options'!$H:$H,"Weekly*")+SUMIFS('NSE - NIFTY Index Options'!$L:$L,'NSE - NIFTY Index Options'!$C:$C,$A111,'NSE - NIFTY Index Options'!$B:$B,F$4,'NSE - NIFTY Index Options'!$H:$H,"MDAW*")+SUMIFS('NSE - Other Index Options'!$L:$L,'NSE - Other Index Options'!$C:$C,$A111,'NSE - Other Index Options'!$B:$B,F$4,'NSE - Other Index Options'!$H:$H,"Weekly*")+SUMIFS('NSE - Other Index Options'!$L:$L,'NSE - Other Index Options'!$C:$C,$A111,'NSE - Other Index Options'!$B:$B,F$4,'NSE - Other Index Options'!$H:$H,"MDAW*"))</f>
        <v/>
      </c>
      <c r="G111" s="26" t="str">
        <f>IF(SUMIFS('NSE - NIFTY Index Options'!$L:$L,'NSE - NIFTY Index Options'!$C:$C,$A111,'NSE - NIFTY Index Options'!$B:$B,G$4,'NSE - NIFTY Index Options'!$H:$H,"Weekly*")+SUMIFS('NSE - NIFTY Index Options'!$L:$L,'NSE - NIFTY Index Options'!$C:$C,$A111,'NSE - NIFTY Index Options'!$B:$B,G$4,'NSE - NIFTY Index Options'!$H:$H,"MDAW*")+SUMIFS('NSE - Other Index Options'!$L:$L,'NSE - Other Index Options'!$C:$C,$A111,'NSE - Other Index Options'!$B:$B,G$4,'NSE - Other Index Options'!$H:$H,"Weekly*")+SUMIFS('NSE - Other Index Options'!$L:$L,'NSE - Other Index Options'!$C:$C,$A111,'NSE - Other Index Options'!$B:$B,G$4,'NSE - Other Index Options'!$H:$H,"MDAW*")=0,"",SUMIFS('NSE - NIFTY Index Options'!$L:$L,'NSE - NIFTY Index Options'!$C:$C,$A111,'NSE - NIFTY Index Options'!$B:$B,G$4,'NSE - NIFTY Index Options'!$H:$H,"Weekly*")+SUMIFS('NSE - NIFTY Index Options'!$L:$L,'NSE - NIFTY Index Options'!$C:$C,$A111,'NSE - NIFTY Index Options'!$B:$B,G$4,'NSE - NIFTY Index Options'!$H:$H,"MDAW*")+SUMIFS('NSE - Other Index Options'!$L:$L,'NSE - Other Index Options'!$C:$C,$A111,'NSE - Other Index Options'!$B:$B,G$4,'NSE - Other Index Options'!$H:$H,"Weekly*")+SUMIFS('NSE - Other Index Options'!$L:$L,'NSE - Other Index Options'!$C:$C,$A111,'NSE - Other Index Options'!$B:$B,G$4,'NSE - Other Index Options'!$H:$H,"MDAW*"))</f>
        <v/>
      </c>
      <c r="H111" s="26" t="str">
        <f t="shared" si="3"/>
        <v/>
      </c>
    </row>
    <row r="112" spans="1:8" hidden="1" outlineLevel="1">
      <c r="A112" t="s">
        <v>117</v>
      </c>
      <c r="B112" s="26" t="str">
        <f>IF(SUMIFS('NSE - NIFTY Index Options'!$L:$L,'NSE - NIFTY Index Options'!$C:$C,$A112,'NSE - NIFTY Index Options'!$B:$B,B$4,'NSE - NIFTY Index Options'!$H:$H,"Weekly*")+SUMIFS('NSE - NIFTY Index Options'!$L:$L,'NSE - NIFTY Index Options'!$C:$C,$A112,'NSE - NIFTY Index Options'!$B:$B,B$4,'NSE - NIFTY Index Options'!$H:$H,"MDAW*")+SUMIFS('NSE - Other Index Options'!$L:$L,'NSE - Other Index Options'!$C:$C,$A112,'NSE - Other Index Options'!$B:$B,B$4,'NSE - Other Index Options'!$H:$H,"Weekly*")+SUMIFS('NSE - Other Index Options'!$L:$L,'NSE - Other Index Options'!$C:$C,$A112,'NSE - Other Index Options'!$B:$B,B$4,'NSE - Other Index Options'!$H:$H,"MDAW*")=0,"",SUMIFS('NSE - NIFTY Index Options'!$L:$L,'NSE - NIFTY Index Options'!$C:$C,$A112,'NSE - NIFTY Index Options'!$B:$B,B$4,'NSE - NIFTY Index Options'!$H:$H,"Weekly*")+SUMIFS('NSE - NIFTY Index Options'!$L:$L,'NSE - NIFTY Index Options'!$C:$C,$A112,'NSE - NIFTY Index Options'!$B:$B,B$4,'NSE - NIFTY Index Options'!$H:$H,"MDAW*")+SUMIFS('NSE - Other Index Options'!$L:$L,'NSE - Other Index Options'!$C:$C,$A112,'NSE - Other Index Options'!$B:$B,B$4,'NSE - Other Index Options'!$H:$H,"Weekly*")+SUMIFS('NSE - Other Index Options'!$L:$L,'NSE - Other Index Options'!$C:$C,$A112,'NSE - Other Index Options'!$B:$B,B$4,'NSE - Other Index Options'!$H:$H,"MDAW*"))</f>
        <v/>
      </c>
      <c r="C112" s="26" t="str">
        <f>IF(SUMIFS('NSE - NIFTY Index Options'!$L:$L,'NSE - NIFTY Index Options'!$C:$C,$A112,'NSE - NIFTY Index Options'!$B:$B,C$4,'NSE - NIFTY Index Options'!$H:$H,"Weekly*")+SUMIFS('NSE - NIFTY Index Options'!$L:$L,'NSE - NIFTY Index Options'!$C:$C,$A112,'NSE - NIFTY Index Options'!$B:$B,C$4,'NSE - NIFTY Index Options'!$H:$H,"MDAW*")+SUMIFS('NSE - Other Index Options'!$L:$L,'NSE - Other Index Options'!$C:$C,$A112,'NSE - Other Index Options'!$B:$B,C$4,'NSE - Other Index Options'!$H:$H,"Weekly*")+SUMIFS('NSE - Other Index Options'!$L:$L,'NSE - Other Index Options'!$C:$C,$A112,'NSE - Other Index Options'!$B:$B,C$4,'NSE - Other Index Options'!$H:$H,"MDAW*")=0,"",SUMIFS('NSE - NIFTY Index Options'!$L:$L,'NSE - NIFTY Index Options'!$C:$C,$A112,'NSE - NIFTY Index Options'!$B:$B,C$4,'NSE - NIFTY Index Options'!$H:$H,"Weekly*")+SUMIFS('NSE - NIFTY Index Options'!$L:$L,'NSE - NIFTY Index Options'!$C:$C,$A112,'NSE - NIFTY Index Options'!$B:$B,C$4,'NSE - NIFTY Index Options'!$H:$H,"MDAW*")+SUMIFS('NSE - Other Index Options'!$L:$L,'NSE - Other Index Options'!$C:$C,$A112,'NSE - Other Index Options'!$B:$B,C$4,'NSE - Other Index Options'!$H:$H,"Weekly*")+SUMIFS('NSE - Other Index Options'!$L:$L,'NSE - Other Index Options'!$C:$C,$A112,'NSE - Other Index Options'!$B:$B,C$4,'NSE - Other Index Options'!$H:$H,"MDAW*"))</f>
        <v/>
      </c>
      <c r="D112" s="26" t="str">
        <f>IF(SUMIFS('NSE - NIFTY Index Options'!$L:$L,'NSE - NIFTY Index Options'!$C:$C,$A112,'NSE - NIFTY Index Options'!$B:$B,D$4,'NSE - NIFTY Index Options'!$H:$H,"Weekly*")+SUMIFS('NSE - NIFTY Index Options'!$L:$L,'NSE - NIFTY Index Options'!$C:$C,$A112,'NSE - NIFTY Index Options'!$B:$B,D$4,'NSE - NIFTY Index Options'!$H:$H,"MDAW*")+SUMIFS('NSE - Other Index Options'!$L:$L,'NSE - Other Index Options'!$C:$C,$A112,'NSE - Other Index Options'!$B:$B,D$4,'NSE - Other Index Options'!$H:$H,"Weekly*")+SUMIFS('NSE - Other Index Options'!$L:$L,'NSE - Other Index Options'!$C:$C,$A112,'NSE - Other Index Options'!$B:$B,D$4,'NSE - Other Index Options'!$H:$H,"MDAW*")=0,"",SUMIFS('NSE - NIFTY Index Options'!$L:$L,'NSE - NIFTY Index Options'!$C:$C,$A112,'NSE - NIFTY Index Options'!$B:$B,D$4,'NSE - NIFTY Index Options'!$H:$H,"Weekly*")+SUMIFS('NSE - NIFTY Index Options'!$L:$L,'NSE - NIFTY Index Options'!$C:$C,$A112,'NSE - NIFTY Index Options'!$B:$B,D$4,'NSE - NIFTY Index Options'!$H:$H,"MDAW*")+SUMIFS('NSE - Other Index Options'!$L:$L,'NSE - Other Index Options'!$C:$C,$A112,'NSE - Other Index Options'!$B:$B,D$4,'NSE - Other Index Options'!$H:$H,"Weekly*")+SUMIFS('NSE - Other Index Options'!$L:$L,'NSE - Other Index Options'!$C:$C,$A112,'NSE - Other Index Options'!$B:$B,D$4,'NSE - Other Index Options'!$H:$H,"MDAW*"))</f>
        <v/>
      </c>
      <c r="E112" s="26" t="str">
        <f>IF(SUMIFS('NSE - NIFTY Index Options'!$L:$L,'NSE - NIFTY Index Options'!$C:$C,$A112,'NSE - NIFTY Index Options'!$B:$B,E$4,'NSE - NIFTY Index Options'!$H:$H,"Weekly*")+SUMIFS('NSE - NIFTY Index Options'!$L:$L,'NSE - NIFTY Index Options'!$C:$C,$A112,'NSE - NIFTY Index Options'!$B:$B,E$4,'NSE - NIFTY Index Options'!$H:$H,"MDAW*")+SUMIFS('NSE - Other Index Options'!$L:$L,'NSE - Other Index Options'!$C:$C,$A112,'NSE - Other Index Options'!$B:$B,E$4,'NSE - Other Index Options'!$H:$H,"Weekly*")+SUMIFS('NSE - Other Index Options'!$L:$L,'NSE - Other Index Options'!$C:$C,$A112,'NSE - Other Index Options'!$B:$B,E$4,'NSE - Other Index Options'!$H:$H,"MDAW*")=0,"",SUMIFS('NSE - NIFTY Index Options'!$L:$L,'NSE - NIFTY Index Options'!$C:$C,$A112,'NSE - NIFTY Index Options'!$B:$B,E$4,'NSE - NIFTY Index Options'!$H:$H,"Weekly*")+SUMIFS('NSE - NIFTY Index Options'!$L:$L,'NSE - NIFTY Index Options'!$C:$C,$A112,'NSE - NIFTY Index Options'!$B:$B,E$4,'NSE - NIFTY Index Options'!$H:$H,"MDAW*")+SUMIFS('NSE - Other Index Options'!$L:$L,'NSE - Other Index Options'!$C:$C,$A112,'NSE - Other Index Options'!$B:$B,E$4,'NSE - Other Index Options'!$H:$H,"Weekly*")+SUMIFS('NSE - Other Index Options'!$L:$L,'NSE - Other Index Options'!$C:$C,$A112,'NSE - Other Index Options'!$B:$B,E$4,'NSE - Other Index Options'!$H:$H,"MDAW*"))</f>
        <v/>
      </c>
      <c r="F112" s="26" t="str">
        <f>IF(SUMIFS('NSE - NIFTY Index Options'!$L:$L,'NSE - NIFTY Index Options'!$C:$C,$A112,'NSE - NIFTY Index Options'!$B:$B,F$4,'NSE - NIFTY Index Options'!$H:$H,"Weekly*")+SUMIFS('NSE - NIFTY Index Options'!$L:$L,'NSE - NIFTY Index Options'!$C:$C,$A112,'NSE - NIFTY Index Options'!$B:$B,F$4,'NSE - NIFTY Index Options'!$H:$H,"MDAW*")+SUMIFS('NSE - Other Index Options'!$L:$L,'NSE - Other Index Options'!$C:$C,$A112,'NSE - Other Index Options'!$B:$B,F$4,'NSE - Other Index Options'!$H:$H,"Weekly*")+SUMIFS('NSE - Other Index Options'!$L:$L,'NSE - Other Index Options'!$C:$C,$A112,'NSE - Other Index Options'!$B:$B,F$4,'NSE - Other Index Options'!$H:$H,"MDAW*")=0,"",SUMIFS('NSE - NIFTY Index Options'!$L:$L,'NSE - NIFTY Index Options'!$C:$C,$A112,'NSE - NIFTY Index Options'!$B:$B,F$4,'NSE - NIFTY Index Options'!$H:$H,"Weekly*")+SUMIFS('NSE - NIFTY Index Options'!$L:$L,'NSE - NIFTY Index Options'!$C:$C,$A112,'NSE - NIFTY Index Options'!$B:$B,F$4,'NSE - NIFTY Index Options'!$H:$H,"MDAW*")+SUMIFS('NSE - Other Index Options'!$L:$L,'NSE - Other Index Options'!$C:$C,$A112,'NSE - Other Index Options'!$B:$B,F$4,'NSE - Other Index Options'!$H:$H,"Weekly*")+SUMIFS('NSE - Other Index Options'!$L:$L,'NSE - Other Index Options'!$C:$C,$A112,'NSE - Other Index Options'!$B:$B,F$4,'NSE - Other Index Options'!$H:$H,"MDAW*"))</f>
        <v/>
      </c>
      <c r="G112" s="26" t="str">
        <f>IF(SUMIFS('NSE - NIFTY Index Options'!$L:$L,'NSE - NIFTY Index Options'!$C:$C,$A112,'NSE - NIFTY Index Options'!$B:$B,G$4,'NSE - NIFTY Index Options'!$H:$H,"Weekly*")+SUMIFS('NSE - NIFTY Index Options'!$L:$L,'NSE - NIFTY Index Options'!$C:$C,$A112,'NSE - NIFTY Index Options'!$B:$B,G$4,'NSE - NIFTY Index Options'!$H:$H,"MDAW*")+SUMIFS('NSE - Other Index Options'!$L:$L,'NSE - Other Index Options'!$C:$C,$A112,'NSE - Other Index Options'!$B:$B,G$4,'NSE - Other Index Options'!$H:$H,"Weekly*")+SUMIFS('NSE - Other Index Options'!$L:$L,'NSE - Other Index Options'!$C:$C,$A112,'NSE - Other Index Options'!$B:$B,G$4,'NSE - Other Index Options'!$H:$H,"MDAW*")=0,"",SUMIFS('NSE - NIFTY Index Options'!$L:$L,'NSE - NIFTY Index Options'!$C:$C,$A112,'NSE - NIFTY Index Options'!$B:$B,G$4,'NSE - NIFTY Index Options'!$H:$H,"Weekly*")+SUMIFS('NSE - NIFTY Index Options'!$L:$L,'NSE - NIFTY Index Options'!$C:$C,$A112,'NSE - NIFTY Index Options'!$B:$B,G$4,'NSE - NIFTY Index Options'!$H:$H,"MDAW*")+SUMIFS('NSE - Other Index Options'!$L:$L,'NSE - Other Index Options'!$C:$C,$A112,'NSE - Other Index Options'!$B:$B,G$4,'NSE - Other Index Options'!$H:$H,"Weekly*")+SUMIFS('NSE - Other Index Options'!$L:$L,'NSE - Other Index Options'!$C:$C,$A112,'NSE - Other Index Options'!$B:$B,G$4,'NSE - Other Index Options'!$H:$H,"MDAW*"))</f>
        <v/>
      </c>
      <c r="H112" s="26" t="str">
        <f t="shared" si="3"/>
        <v/>
      </c>
    </row>
    <row r="113" spans="1:8" hidden="1" outlineLevel="1">
      <c r="A113" t="s">
        <v>118</v>
      </c>
      <c r="B113" s="26" t="str">
        <f>IF(SUMIFS('NSE - NIFTY Index Options'!$L:$L,'NSE - NIFTY Index Options'!$C:$C,$A113,'NSE - NIFTY Index Options'!$B:$B,B$4,'NSE - NIFTY Index Options'!$H:$H,"Weekly*")+SUMIFS('NSE - NIFTY Index Options'!$L:$L,'NSE - NIFTY Index Options'!$C:$C,$A113,'NSE - NIFTY Index Options'!$B:$B,B$4,'NSE - NIFTY Index Options'!$H:$H,"MDAW*")+SUMIFS('NSE - Other Index Options'!$L:$L,'NSE - Other Index Options'!$C:$C,$A113,'NSE - Other Index Options'!$B:$B,B$4,'NSE - Other Index Options'!$H:$H,"Weekly*")+SUMIFS('NSE - Other Index Options'!$L:$L,'NSE - Other Index Options'!$C:$C,$A113,'NSE - Other Index Options'!$B:$B,B$4,'NSE - Other Index Options'!$H:$H,"MDAW*")=0,"",SUMIFS('NSE - NIFTY Index Options'!$L:$L,'NSE - NIFTY Index Options'!$C:$C,$A113,'NSE - NIFTY Index Options'!$B:$B,B$4,'NSE - NIFTY Index Options'!$H:$H,"Weekly*")+SUMIFS('NSE - NIFTY Index Options'!$L:$L,'NSE - NIFTY Index Options'!$C:$C,$A113,'NSE - NIFTY Index Options'!$B:$B,B$4,'NSE - NIFTY Index Options'!$H:$H,"MDAW*")+SUMIFS('NSE - Other Index Options'!$L:$L,'NSE - Other Index Options'!$C:$C,$A113,'NSE - Other Index Options'!$B:$B,B$4,'NSE - Other Index Options'!$H:$H,"Weekly*")+SUMIFS('NSE - Other Index Options'!$L:$L,'NSE - Other Index Options'!$C:$C,$A113,'NSE - Other Index Options'!$B:$B,B$4,'NSE - Other Index Options'!$H:$H,"MDAW*"))</f>
        <v/>
      </c>
      <c r="C113" s="26" t="str">
        <f>IF(SUMIFS('NSE - NIFTY Index Options'!$L:$L,'NSE - NIFTY Index Options'!$C:$C,$A113,'NSE - NIFTY Index Options'!$B:$B,C$4,'NSE - NIFTY Index Options'!$H:$H,"Weekly*")+SUMIFS('NSE - NIFTY Index Options'!$L:$L,'NSE - NIFTY Index Options'!$C:$C,$A113,'NSE - NIFTY Index Options'!$B:$B,C$4,'NSE - NIFTY Index Options'!$H:$H,"MDAW*")+SUMIFS('NSE - Other Index Options'!$L:$L,'NSE - Other Index Options'!$C:$C,$A113,'NSE - Other Index Options'!$B:$B,C$4,'NSE - Other Index Options'!$H:$H,"Weekly*")+SUMIFS('NSE - Other Index Options'!$L:$L,'NSE - Other Index Options'!$C:$C,$A113,'NSE - Other Index Options'!$B:$B,C$4,'NSE - Other Index Options'!$H:$H,"MDAW*")=0,"",SUMIFS('NSE - NIFTY Index Options'!$L:$L,'NSE - NIFTY Index Options'!$C:$C,$A113,'NSE - NIFTY Index Options'!$B:$B,C$4,'NSE - NIFTY Index Options'!$H:$H,"Weekly*")+SUMIFS('NSE - NIFTY Index Options'!$L:$L,'NSE - NIFTY Index Options'!$C:$C,$A113,'NSE - NIFTY Index Options'!$B:$B,C$4,'NSE - NIFTY Index Options'!$H:$H,"MDAW*")+SUMIFS('NSE - Other Index Options'!$L:$L,'NSE - Other Index Options'!$C:$C,$A113,'NSE - Other Index Options'!$B:$B,C$4,'NSE - Other Index Options'!$H:$H,"Weekly*")+SUMIFS('NSE - Other Index Options'!$L:$L,'NSE - Other Index Options'!$C:$C,$A113,'NSE - Other Index Options'!$B:$B,C$4,'NSE - Other Index Options'!$H:$H,"MDAW*"))</f>
        <v/>
      </c>
      <c r="D113" s="26" t="str">
        <f>IF(SUMIFS('NSE - NIFTY Index Options'!$L:$L,'NSE - NIFTY Index Options'!$C:$C,$A113,'NSE - NIFTY Index Options'!$B:$B,D$4,'NSE - NIFTY Index Options'!$H:$H,"Weekly*")+SUMIFS('NSE - NIFTY Index Options'!$L:$L,'NSE - NIFTY Index Options'!$C:$C,$A113,'NSE - NIFTY Index Options'!$B:$B,D$4,'NSE - NIFTY Index Options'!$H:$H,"MDAW*")+SUMIFS('NSE - Other Index Options'!$L:$L,'NSE - Other Index Options'!$C:$C,$A113,'NSE - Other Index Options'!$B:$B,D$4,'NSE - Other Index Options'!$H:$H,"Weekly*")+SUMIFS('NSE - Other Index Options'!$L:$L,'NSE - Other Index Options'!$C:$C,$A113,'NSE - Other Index Options'!$B:$B,D$4,'NSE - Other Index Options'!$H:$H,"MDAW*")=0,"",SUMIFS('NSE - NIFTY Index Options'!$L:$L,'NSE - NIFTY Index Options'!$C:$C,$A113,'NSE - NIFTY Index Options'!$B:$B,D$4,'NSE - NIFTY Index Options'!$H:$H,"Weekly*")+SUMIFS('NSE - NIFTY Index Options'!$L:$L,'NSE - NIFTY Index Options'!$C:$C,$A113,'NSE - NIFTY Index Options'!$B:$B,D$4,'NSE - NIFTY Index Options'!$H:$H,"MDAW*")+SUMIFS('NSE - Other Index Options'!$L:$L,'NSE - Other Index Options'!$C:$C,$A113,'NSE - Other Index Options'!$B:$B,D$4,'NSE - Other Index Options'!$H:$H,"Weekly*")+SUMIFS('NSE - Other Index Options'!$L:$L,'NSE - Other Index Options'!$C:$C,$A113,'NSE - Other Index Options'!$B:$B,D$4,'NSE - Other Index Options'!$H:$H,"MDAW*"))</f>
        <v/>
      </c>
      <c r="E113" s="26" t="str">
        <f>IF(SUMIFS('NSE - NIFTY Index Options'!$L:$L,'NSE - NIFTY Index Options'!$C:$C,$A113,'NSE - NIFTY Index Options'!$B:$B,E$4,'NSE - NIFTY Index Options'!$H:$H,"Weekly*")+SUMIFS('NSE - NIFTY Index Options'!$L:$L,'NSE - NIFTY Index Options'!$C:$C,$A113,'NSE - NIFTY Index Options'!$B:$B,E$4,'NSE - NIFTY Index Options'!$H:$H,"MDAW*")+SUMIFS('NSE - Other Index Options'!$L:$L,'NSE - Other Index Options'!$C:$C,$A113,'NSE - Other Index Options'!$B:$B,E$4,'NSE - Other Index Options'!$H:$H,"Weekly*")+SUMIFS('NSE - Other Index Options'!$L:$L,'NSE - Other Index Options'!$C:$C,$A113,'NSE - Other Index Options'!$B:$B,E$4,'NSE - Other Index Options'!$H:$H,"MDAW*")=0,"",SUMIFS('NSE - NIFTY Index Options'!$L:$L,'NSE - NIFTY Index Options'!$C:$C,$A113,'NSE - NIFTY Index Options'!$B:$B,E$4,'NSE - NIFTY Index Options'!$H:$H,"Weekly*")+SUMIFS('NSE - NIFTY Index Options'!$L:$L,'NSE - NIFTY Index Options'!$C:$C,$A113,'NSE - NIFTY Index Options'!$B:$B,E$4,'NSE - NIFTY Index Options'!$H:$H,"MDAW*")+SUMIFS('NSE - Other Index Options'!$L:$L,'NSE - Other Index Options'!$C:$C,$A113,'NSE - Other Index Options'!$B:$B,E$4,'NSE - Other Index Options'!$H:$H,"Weekly*")+SUMIFS('NSE - Other Index Options'!$L:$L,'NSE - Other Index Options'!$C:$C,$A113,'NSE - Other Index Options'!$B:$B,E$4,'NSE - Other Index Options'!$H:$H,"MDAW*"))</f>
        <v/>
      </c>
      <c r="F113" s="26" t="str">
        <f>IF(SUMIFS('NSE - NIFTY Index Options'!$L:$L,'NSE - NIFTY Index Options'!$C:$C,$A113,'NSE - NIFTY Index Options'!$B:$B,F$4,'NSE - NIFTY Index Options'!$H:$H,"Weekly*")+SUMIFS('NSE - NIFTY Index Options'!$L:$L,'NSE - NIFTY Index Options'!$C:$C,$A113,'NSE - NIFTY Index Options'!$B:$B,F$4,'NSE - NIFTY Index Options'!$H:$H,"MDAW*")+SUMIFS('NSE - Other Index Options'!$L:$L,'NSE - Other Index Options'!$C:$C,$A113,'NSE - Other Index Options'!$B:$B,F$4,'NSE - Other Index Options'!$H:$H,"Weekly*")+SUMIFS('NSE - Other Index Options'!$L:$L,'NSE - Other Index Options'!$C:$C,$A113,'NSE - Other Index Options'!$B:$B,F$4,'NSE - Other Index Options'!$H:$H,"MDAW*")=0,"",SUMIFS('NSE - NIFTY Index Options'!$L:$L,'NSE - NIFTY Index Options'!$C:$C,$A113,'NSE - NIFTY Index Options'!$B:$B,F$4,'NSE - NIFTY Index Options'!$H:$H,"Weekly*")+SUMIFS('NSE - NIFTY Index Options'!$L:$L,'NSE - NIFTY Index Options'!$C:$C,$A113,'NSE - NIFTY Index Options'!$B:$B,F$4,'NSE - NIFTY Index Options'!$H:$H,"MDAW*")+SUMIFS('NSE - Other Index Options'!$L:$L,'NSE - Other Index Options'!$C:$C,$A113,'NSE - Other Index Options'!$B:$B,F$4,'NSE - Other Index Options'!$H:$H,"Weekly*")+SUMIFS('NSE - Other Index Options'!$L:$L,'NSE - Other Index Options'!$C:$C,$A113,'NSE - Other Index Options'!$B:$B,F$4,'NSE - Other Index Options'!$H:$H,"MDAW*"))</f>
        <v/>
      </c>
      <c r="G113" s="26" t="str">
        <f>IF(SUMIFS('NSE - NIFTY Index Options'!$L:$L,'NSE - NIFTY Index Options'!$C:$C,$A113,'NSE - NIFTY Index Options'!$B:$B,G$4,'NSE - NIFTY Index Options'!$H:$H,"Weekly*")+SUMIFS('NSE - NIFTY Index Options'!$L:$L,'NSE - NIFTY Index Options'!$C:$C,$A113,'NSE - NIFTY Index Options'!$B:$B,G$4,'NSE - NIFTY Index Options'!$H:$H,"MDAW*")+SUMIFS('NSE - Other Index Options'!$L:$L,'NSE - Other Index Options'!$C:$C,$A113,'NSE - Other Index Options'!$B:$B,G$4,'NSE - Other Index Options'!$H:$H,"Weekly*")+SUMIFS('NSE - Other Index Options'!$L:$L,'NSE - Other Index Options'!$C:$C,$A113,'NSE - Other Index Options'!$B:$B,G$4,'NSE - Other Index Options'!$H:$H,"MDAW*")=0,"",SUMIFS('NSE - NIFTY Index Options'!$L:$L,'NSE - NIFTY Index Options'!$C:$C,$A113,'NSE - NIFTY Index Options'!$B:$B,G$4,'NSE - NIFTY Index Options'!$H:$H,"Weekly*")+SUMIFS('NSE - NIFTY Index Options'!$L:$L,'NSE - NIFTY Index Options'!$C:$C,$A113,'NSE - NIFTY Index Options'!$B:$B,G$4,'NSE - NIFTY Index Options'!$H:$H,"MDAW*")+SUMIFS('NSE - Other Index Options'!$L:$L,'NSE - Other Index Options'!$C:$C,$A113,'NSE - Other Index Options'!$B:$B,G$4,'NSE - Other Index Options'!$H:$H,"Weekly*")+SUMIFS('NSE - Other Index Options'!$L:$L,'NSE - Other Index Options'!$C:$C,$A113,'NSE - Other Index Options'!$B:$B,G$4,'NSE - Other Index Options'!$H:$H,"MDAW*"))</f>
        <v/>
      </c>
      <c r="H113" s="26" t="str">
        <f t="shared" si="3"/>
        <v/>
      </c>
    </row>
    <row r="114" spans="1:8" hidden="1" outlineLevel="1">
      <c r="A114" t="s">
        <v>119</v>
      </c>
      <c r="B114" s="26" t="str">
        <f>IF(SUMIFS('NSE - NIFTY Index Options'!$L:$L,'NSE - NIFTY Index Options'!$C:$C,$A114,'NSE - NIFTY Index Options'!$B:$B,B$4,'NSE - NIFTY Index Options'!$H:$H,"Weekly*")+SUMIFS('NSE - NIFTY Index Options'!$L:$L,'NSE - NIFTY Index Options'!$C:$C,$A114,'NSE - NIFTY Index Options'!$B:$B,B$4,'NSE - NIFTY Index Options'!$H:$H,"MDAW*")+SUMIFS('NSE - Other Index Options'!$L:$L,'NSE - Other Index Options'!$C:$C,$A114,'NSE - Other Index Options'!$B:$B,B$4,'NSE - Other Index Options'!$H:$H,"Weekly*")+SUMIFS('NSE - Other Index Options'!$L:$L,'NSE - Other Index Options'!$C:$C,$A114,'NSE - Other Index Options'!$B:$B,B$4,'NSE - Other Index Options'!$H:$H,"MDAW*")=0,"",SUMIFS('NSE - NIFTY Index Options'!$L:$L,'NSE - NIFTY Index Options'!$C:$C,$A114,'NSE - NIFTY Index Options'!$B:$B,B$4,'NSE - NIFTY Index Options'!$H:$H,"Weekly*")+SUMIFS('NSE - NIFTY Index Options'!$L:$L,'NSE - NIFTY Index Options'!$C:$C,$A114,'NSE - NIFTY Index Options'!$B:$B,B$4,'NSE - NIFTY Index Options'!$H:$H,"MDAW*")+SUMIFS('NSE - Other Index Options'!$L:$L,'NSE - Other Index Options'!$C:$C,$A114,'NSE - Other Index Options'!$B:$B,B$4,'NSE - Other Index Options'!$H:$H,"Weekly*")+SUMIFS('NSE - Other Index Options'!$L:$L,'NSE - Other Index Options'!$C:$C,$A114,'NSE - Other Index Options'!$B:$B,B$4,'NSE - Other Index Options'!$H:$H,"MDAW*"))</f>
        <v/>
      </c>
      <c r="C114" s="26" t="str">
        <f>IF(SUMIFS('NSE - NIFTY Index Options'!$L:$L,'NSE - NIFTY Index Options'!$C:$C,$A114,'NSE - NIFTY Index Options'!$B:$B,C$4,'NSE - NIFTY Index Options'!$H:$H,"Weekly*")+SUMIFS('NSE - NIFTY Index Options'!$L:$L,'NSE - NIFTY Index Options'!$C:$C,$A114,'NSE - NIFTY Index Options'!$B:$B,C$4,'NSE - NIFTY Index Options'!$H:$H,"MDAW*")+SUMIFS('NSE - Other Index Options'!$L:$L,'NSE - Other Index Options'!$C:$C,$A114,'NSE - Other Index Options'!$B:$B,C$4,'NSE - Other Index Options'!$H:$H,"Weekly*")+SUMIFS('NSE - Other Index Options'!$L:$L,'NSE - Other Index Options'!$C:$C,$A114,'NSE - Other Index Options'!$B:$B,C$4,'NSE - Other Index Options'!$H:$H,"MDAW*")=0,"",SUMIFS('NSE - NIFTY Index Options'!$L:$L,'NSE - NIFTY Index Options'!$C:$C,$A114,'NSE - NIFTY Index Options'!$B:$B,C$4,'NSE - NIFTY Index Options'!$H:$H,"Weekly*")+SUMIFS('NSE - NIFTY Index Options'!$L:$L,'NSE - NIFTY Index Options'!$C:$C,$A114,'NSE - NIFTY Index Options'!$B:$B,C$4,'NSE - NIFTY Index Options'!$H:$H,"MDAW*")+SUMIFS('NSE - Other Index Options'!$L:$L,'NSE - Other Index Options'!$C:$C,$A114,'NSE - Other Index Options'!$B:$B,C$4,'NSE - Other Index Options'!$H:$H,"Weekly*")+SUMIFS('NSE - Other Index Options'!$L:$L,'NSE - Other Index Options'!$C:$C,$A114,'NSE - Other Index Options'!$B:$B,C$4,'NSE - Other Index Options'!$H:$H,"MDAW*"))</f>
        <v/>
      </c>
      <c r="D114" s="26" t="str">
        <f>IF(SUMIFS('NSE - NIFTY Index Options'!$L:$L,'NSE - NIFTY Index Options'!$C:$C,$A114,'NSE - NIFTY Index Options'!$B:$B,D$4,'NSE - NIFTY Index Options'!$H:$H,"Weekly*")+SUMIFS('NSE - NIFTY Index Options'!$L:$L,'NSE - NIFTY Index Options'!$C:$C,$A114,'NSE - NIFTY Index Options'!$B:$B,D$4,'NSE - NIFTY Index Options'!$H:$H,"MDAW*")+SUMIFS('NSE - Other Index Options'!$L:$L,'NSE - Other Index Options'!$C:$C,$A114,'NSE - Other Index Options'!$B:$B,D$4,'NSE - Other Index Options'!$H:$H,"Weekly*")+SUMIFS('NSE - Other Index Options'!$L:$L,'NSE - Other Index Options'!$C:$C,$A114,'NSE - Other Index Options'!$B:$B,D$4,'NSE - Other Index Options'!$H:$H,"MDAW*")=0,"",SUMIFS('NSE - NIFTY Index Options'!$L:$L,'NSE - NIFTY Index Options'!$C:$C,$A114,'NSE - NIFTY Index Options'!$B:$B,D$4,'NSE - NIFTY Index Options'!$H:$H,"Weekly*")+SUMIFS('NSE - NIFTY Index Options'!$L:$L,'NSE - NIFTY Index Options'!$C:$C,$A114,'NSE - NIFTY Index Options'!$B:$B,D$4,'NSE - NIFTY Index Options'!$H:$H,"MDAW*")+SUMIFS('NSE - Other Index Options'!$L:$L,'NSE - Other Index Options'!$C:$C,$A114,'NSE - Other Index Options'!$B:$B,D$4,'NSE - Other Index Options'!$H:$H,"Weekly*")+SUMIFS('NSE - Other Index Options'!$L:$L,'NSE - Other Index Options'!$C:$C,$A114,'NSE - Other Index Options'!$B:$B,D$4,'NSE - Other Index Options'!$H:$H,"MDAW*"))</f>
        <v/>
      </c>
      <c r="E114" s="26" t="str">
        <f>IF(SUMIFS('NSE - NIFTY Index Options'!$L:$L,'NSE - NIFTY Index Options'!$C:$C,$A114,'NSE - NIFTY Index Options'!$B:$B,E$4,'NSE - NIFTY Index Options'!$H:$H,"Weekly*")+SUMIFS('NSE - NIFTY Index Options'!$L:$L,'NSE - NIFTY Index Options'!$C:$C,$A114,'NSE - NIFTY Index Options'!$B:$B,E$4,'NSE - NIFTY Index Options'!$H:$H,"MDAW*")+SUMIFS('NSE - Other Index Options'!$L:$L,'NSE - Other Index Options'!$C:$C,$A114,'NSE - Other Index Options'!$B:$B,E$4,'NSE - Other Index Options'!$H:$H,"Weekly*")+SUMIFS('NSE - Other Index Options'!$L:$L,'NSE - Other Index Options'!$C:$C,$A114,'NSE - Other Index Options'!$B:$B,E$4,'NSE - Other Index Options'!$H:$H,"MDAW*")=0,"",SUMIFS('NSE - NIFTY Index Options'!$L:$L,'NSE - NIFTY Index Options'!$C:$C,$A114,'NSE - NIFTY Index Options'!$B:$B,E$4,'NSE - NIFTY Index Options'!$H:$H,"Weekly*")+SUMIFS('NSE - NIFTY Index Options'!$L:$L,'NSE - NIFTY Index Options'!$C:$C,$A114,'NSE - NIFTY Index Options'!$B:$B,E$4,'NSE - NIFTY Index Options'!$H:$H,"MDAW*")+SUMIFS('NSE - Other Index Options'!$L:$L,'NSE - Other Index Options'!$C:$C,$A114,'NSE - Other Index Options'!$B:$B,E$4,'NSE - Other Index Options'!$H:$H,"Weekly*")+SUMIFS('NSE - Other Index Options'!$L:$L,'NSE - Other Index Options'!$C:$C,$A114,'NSE - Other Index Options'!$B:$B,E$4,'NSE - Other Index Options'!$H:$H,"MDAW*"))</f>
        <v/>
      </c>
      <c r="F114" s="26" t="str">
        <f>IF(SUMIFS('NSE - NIFTY Index Options'!$L:$L,'NSE - NIFTY Index Options'!$C:$C,$A114,'NSE - NIFTY Index Options'!$B:$B,F$4,'NSE - NIFTY Index Options'!$H:$H,"Weekly*")+SUMIFS('NSE - NIFTY Index Options'!$L:$L,'NSE - NIFTY Index Options'!$C:$C,$A114,'NSE - NIFTY Index Options'!$B:$B,F$4,'NSE - NIFTY Index Options'!$H:$H,"MDAW*")+SUMIFS('NSE - Other Index Options'!$L:$L,'NSE - Other Index Options'!$C:$C,$A114,'NSE - Other Index Options'!$B:$B,F$4,'NSE - Other Index Options'!$H:$H,"Weekly*")+SUMIFS('NSE - Other Index Options'!$L:$L,'NSE - Other Index Options'!$C:$C,$A114,'NSE - Other Index Options'!$B:$B,F$4,'NSE - Other Index Options'!$H:$H,"MDAW*")=0,"",SUMIFS('NSE - NIFTY Index Options'!$L:$L,'NSE - NIFTY Index Options'!$C:$C,$A114,'NSE - NIFTY Index Options'!$B:$B,F$4,'NSE - NIFTY Index Options'!$H:$H,"Weekly*")+SUMIFS('NSE - NIFTY Index Options'!$L:$L,'NSE - NIFTY Index Options'!$C:$C,$A114,'NSE - NIFTY Index Options'!$B:$B,F$4,'NSE - NIFTY Index Options'!$H:$H,"MDAW*")+SUMIFS('NSE - Other Index Options'!$L:$L,'NSE - Other Index Options'!$C:$C,$A114,'NSE - Other Index Options'!$B:$B,F$4,'NSE - Other Index Options'!$H:$H,"Weekly*")+SUMIFS('NSE - Other Index Options'!$L:$L,'NSE - Other Index Options'!$C:$C,$A114,'NSE - Other Index Options'!$B:$B,F$4,'NSE - Other Index Options'!$H:$H,"MDAW*"))</f>
        <v/>
      </c>
      <c r="G114" s="26" t="str">
        <f>IF(SUMIFS('NSE - NIFTY Index Options'!$L:$L,'NSE - NIFTY Index Options'!$C:$C,$A114,'NSE - NIFTY Index Options'!$B:$B,G$4,'NSE - NIFTY Index Options'!$H:$H,"Weekly*")+SUMIFS('NSE - NIFTY Index Options'!$L:$L,'NSE - NIFTY Index Options'!$C:$C,$A114,'NSE - NIFTY Index Options'!$B:$B,G$4,'NSE - NIFTY Index Options'!$H:$H,"MDAW*")+SUMIFS('NSE - Other Index Options'!$L:$L,'NSE - Other Index Options'!$C:$C,$A114,'NSE - Other Index Options'!$B:$B,G$4,'NSE - Other Index Options'!$H:$H,"Weekly*")+SUMIFS('NSE - Other Index Options'!$L:$L,'NSE - Other Index Options'!$C:$C,$A114,'NSE - Other Index Options'!$B:$B,G$4,'NSE - Other Index Options'!$H:$H,"MDAW*")=0,"",SUMIFS('NSE - NIFTY Index Options'!$L:$L,'NSE - NIFTY Index Options'!$C:$C,$A114,'NSE - NIFTY Index Options'!$B:$B,G$4,'NSE - NIFTY Index Options'!$H:$H,"Weekly*")+SUMIFS('NSE - NIFTY Index Options'!$L:$L,'NSE - NIFTY Index Options'!$C:$C,$A114,'NSE - NIFTY Index Options'!$B:$B,G$4,'NSE - NIFTY Index Options'!$H:$H,"MDAW*")+SUMIFS('NSE - Other Index Options'!$L:$L,'NSE - Other Index Options'!$C:$C,$A114,'NSE - Other Index Options'!$B:$B,G$4,'NSE - Other Index Options'!$H:$H,"Weekly*")+SUMIFS('NSE - Other Index Options'!$L:$L,'NSE - Other Index Options'!$C:$C,$A114,'NSE - Other Index Options'!$B:$B,G$4,'NSE - Other Index Options'!$H:$H,"MDAW*"))</f>
        <v/>
      </c>
      <c r="H114" s="26" t="str">
        <f t="shared" si="3"/>
        <v/>
      </c>
    </row>
    <row r="115" spans="1:8" hidden="1" outlineLevel="1">
      <c r="A115" t="s">
        <v>120</v>
      </c>
      <c r="B115" s="26" t="str">
        <f>IF(SUMIFS('NSE - NIFTY Index Options'!$L:$L,'NSE - NIFTY Index Options'!$C:$C,$A115,'NSE - NIFTY Index Options'!$B:$B,B$4,'NSE - NIFTY Index Options'!$H:$H,"Weekly*")+SUMIFS('NSE - NIFTY Index Options'!$L:$L,'NSE - NIFTY Index Options'!$C:$C,$A115,'NSE - NIFTY Index Options'!$B:$B,B$4,'NSE - NIFTY Index Options'!$H:$H,"MDAW*")+SUMIFS('NSE - Other Index Options'!$L:$L,'NSE - Other Index Options'!$C:$C,$A115,'NSE - Other Index Options'!$B:$B,B$4,'NSE - Other Index Options'!$H:$H,"Weekly*")+SUMIFS('NSE - Other Index Options'!$L:$L,'NSE - Other Index Options'!$C:$C,$A115,'NSE - Other Index Options'!$B:$B,B$4,'NSE - Other Index Options'!$H:$H,"MDAW*")=0,"",SUMIFS('NSE - NIFTY Index Options'!$L:$L,'NSE - NIFTY Index Options'!$C:$C,$A115,'NSE - NIFTY Index Options'!$B:$B,B$4,'NSE - NIFTY Index Options'!$H:$H,"Weekly*")+SUMIFS('NSE - NIFTY Index Options'!$L:$L,'NSE - NIFTY Index Options'!$C:$C,$A115,'NSE - NIFTY Index Options'!$B:$B,B$4,'NSE - NIFTY Index Options'!$H:$H,"MDAW*")+SUMIFS('NSE - Other Index Options'!$L:$L,'NSE - Other Index Options'!$C:$C,$A115,'NSE - Other Index Options'!$B:$B,B$4,'NSE - Other Index Options'!$H:$H,"Weekly*")+SUMIFS('NSE - Other Index Options'!$L:$L,'NSE - Other Index Options'!$C:$C,$A115,'NSE - Other Index Options'!$B:$B,B$4,'NSE - Other Index Options'!$H:$H,"MDAW*"))</f>
        <v/>
      </c>
      <c r="C115" s="26" t="str">
        <f>IF(SUMIFS('NSE - NIFTY Index Options'!$L:$L,'NSE - NIFTY Index Options'!$C:$C,$A115,'NSE - NIFTY Index Options'!$B:$B,C$4,'NSE - NIFTY Index Options'!$H:$H,"Weekly*")+SUMIFS('NSE - NIFTY Index Options'!$L:$L,'NSE - NIFTY Index Options'!$C:$C,$A115,'NSE - NIFTY Index Options'!$B:$B,C$4,'NSE - NIFTY Index Options'!$H:$H,"MDAW*")+SUMIFS('NSE - Other Index Options'!$L:$L,'NSE - Other Index Options'!$C:$C,$A115,'NSE - Other Index Options'!$B:$B,C$4,'NSE - Other Index Options'!$H:$H,"Weekly*")+SUMIFS('NSE - Other Index Options'!$L:$L,'NSE - Other Index Options'!$C:$C,$A115,'NSE - Other Index Options'!$B:$B,C$4,'NSE - Other Index Options'!$H:$H,"MDAW*")=0,"",SUMIFS('NSE - NIFTY Index Options'!$L:$L,'NSE - NIFTY Index Options'!$C:$C,$A115,'NSE - NIFTY Index Options'!$B:$B,C$4,'NSE - NIFTY Index Options'!$H:$H,"Weekly*")+SUMIFS('NSE - NIFTY Index Options'!$L:$L,'NSE - NIFTY Index Options'!$C:$C,$A115,'NSE - NIFTY Index Options'!$B:$B,C$4,'NSE - NIFTY Index Options'!$H:$H,"MDAW*")+SUMIFS('NSE - Other Index Options'!$L:$L,'NSE - Other Index Options'!$C:$C,$A115,'NSE - Other Index Options'!$B:$B,C$4,'NSE - Other Index Options'!$H:$H,"Weekly*")+SUMIFS('NSE - Other Index Options'!$L:$L,'NSE - Other Index Options'!$C:$C,$A115,'NSE - Other Index Options'!$B:$B,C$4,'NSE - Other Index Options'!$H:$H,"MDAW*"))</f>
        <v/>
      </c>
      <c r="D115" s="26" t="str">
        <f>IF(SUMIFS('NSE - NIFTY Index Options'!$L:$L,'NSE - NIFTY Index Options'!$C:$C,$A115,'NSE - NIFTY Index Options'!$B:$B,D$4,'NSE - NIFTY Index Options'!$H:$H,"Weekly*")+SUMIFS('NSE - NIFTY Index Options'!$L:$L,'NSE - NIFTY Index Options'!$C:$C,$A115,'NSE - NIFTY Index Options'!$B:$B,D$4,'NSE - NIFTY Index Options'!$H:$H,"MDAW*")+SUMIFS('NSE - Other Index Options'!$L:$L,'NSE - Other Index Options'!$C:$C,$A115,'NSE - Other Index Options'!$B:$B,D$4,'NSE - Other Index Options'!$H:$H,"Weekly*")+SUMIFS('NSE - Other Index Options'!$L:$L,'NSE - Other Index Options'!$C:$C,$A115,'NSE - Other Index Options'!$B:$B,D$4,'NSE - Other Index Options'!$H:$H,"MDAW*")=0,"",SUMIFS('NSE - NIFTY Index Options'!$L:$L,'NSE - NIFTY Index Options'!$C:$C,$A115,'NSE - NIFTY Index Options'!$B:$B,D$4,'NSE - NIFTY Index Options'!$H:$H,"Weekly*")+SUMIFS('NSE - NIFTY Index Options'!$L:$L,'NSE - NIFTY Index Options'!$C:$C,$A115,'NSE - NIFTY Index Options'!$B:$B,D$4,'NSE - NIFTY Index Options'!$H:$H,"MDAW*")+SUMIFS('NSE - Other Index Options'!$L:$L,'NSE - Other Index Options'!$C:$C,$A115,'NSE - Other Index Options'!$B:$B,D$4,'NSE - Other Index Options'!$H:$H,"Weekly*")+SUMIFS('NSE - Other Index Options'!$L:$L,'NSE - Other Index Options'!$C:$C,$A115,'NSE - Other Index Options'!$B:$B,D$4,'NSE - Other Index Options'!$H:$H,"MDAW*"))</f>
        <v/>
      </c>
      <c r="E115" s="26" t="str">
        <f>IF(SUMIFS('NSE - NIFTY Index Options'!$L:$L,'NSE - NIFTY Index Options'!$C:$C,$A115,'NSE - NIFTY Index Options'!$B:$B,E$4,'NSE - NIFTY Index Options'!$H:$H,"Weekly*")+SUMIFS('NSE - NIFTY Index Options'!$L:$L,'NSE - NIFTY Index Options'!$C:$C,$A115,'NSE - NIFTY Index Options'!$B:$B,E$4,'NSE - NIFTY Index Options'!$H:$H,"MDAW*")+SUMIFS('NSE - Other Index Options'!$L:$L,'NSE - Other Index Options'!$C:$C,$A115,'NSE - Other Index Options'!$B:$B,E$4,'NSE - Other Index Options'!$H:$H,"Weekly*")+SUMIFS('NSE - Other Index Options'!$L:$L,'NSE - Other Index Options'!$C:$C,$A115,'NSE - Other Index Options'!$B:$B,E$4,'NSE - Other Index Options'!$H:$H,"MDAW*")=0,"",SUMIFS('NSE - NIFTY Index Options'!$L:$L,'NSE - NIFTY Index Options'!$C:$C,$A115,'NSE - NIFTY Index Options'!$B:$B,E$4,'NSE - NIFTY Index Options'!$H:$H,"Weekly*")+SUMIFS('NSE - NIFTY Index Options'!$L:$L,'NSE - NIFTY Index Options'!$C:$C,$A115,'NSE - NIFTY Index Options'!$B:$B,E$4,'NSE - NIFTY Index Options'!$H:$H,"MDAW*")+SUMIFS('NSE - Other Index Options'!$L:$L,'NSE - Other Index Options'!$C:$C,$A115,'NSE - Other Index Options'!$B:$B,E$4,'NSE - Other Index Options'!$H:$H,"Weekly*")+SUMIFS('NSE - Other Index Options'!$L:$L,'NSE - Other Index Options'!$C:$C,$A115,'NSE - Other Index Options'!$B:$B,E$4,'NSE - Other Index Options'!$H:$H,"MDAW*"))</f>
        <v/>
      </c>
      <c r="F115" s="26" t="str">
        <f>IF(SUMIFS('NSE - NIFTY Index Options'!$L:$L,'NSE - NIFTY Index Options'!$C:$C,$A115,'NSE - NIFTY Index Options'!$B:$B,F$4,'NSE - NIFTY Index Options'!$H:$H,"Weekly*")+SUMIFS('NSE - NIFTY Index Options'!$L:$L,'NSE - NIFTY Index Options'!$C:$C,$A115,'NSE - NIFTY Index Options'!$B:$B,F$4,'NSE - NIFTY Index Options'!$H:$H,"MDAW*")+SUMIFS('NSE - Other Index Options'!$L:$L,'NSE - Other Index Options'!$C:$C,$A115,'NSE - Other Index Options'!$B:$B,F$4,'NSE - Other Index Options'!$H:$H,"Weekly*")+SUMIFS('NSE - Other Index Options'!$L:$L,'NSE - Other Index Options'!$C:$C,$A115,'NSE - Other Index Options'!$B:$B,F$4,'NSE - Other Index Options'!$H:$H,"MDAW*")=0,"",SUMIFS('NSE - NIFTY Index Options'!$L:$L,'NSE - NIFTY Index Options'!$C:$C,$A115,'NSE - NIFTY Index Options'!$B:$B,F$4,'NSE - NIFTY Index Options'!$H:$H,"Weekly*")+SUMIFS('NSE - NIFTY Index Options'!$L:$L,'NSE - NIFTY Index Options'!$C:$C,$A115,'NSE - NIFTY Index Options'!$B:$B,F$4,'NSE - NIFTY Index Options'!$H:$H,"MDAW*")+SUMIFS('NSE - Other Index Options'!$L:$L,'NSE - Other Index Options'!$C:$C,$A115,'NSE - Other Index Options'!$B:$B,F$4,'NSE - Other Index Options'!$H:$H,"Weekly*")+SUMIFS('NSE - Other Index Options'!$L:$L,'NSE - Other Index Options'!$C:$C,$A115,'NSE - Other Index Options'!$B:$B,F$4,'NSE - Other Index Options'!$H:$H,"MDAW*"))</f>
        <v/>
      </c>
      <c r="G115" s="26" t="str">
        <f>IF(SUMIFS('NSE - NIFTY Index Options'!$L:$L,'NSE - NIFTY Index Options'!$C:$C,$A115,'NSE - NIFTY Index Options'!$B:$B,G$4,'NSE - NIFTY Index Options'!$H:$H,"Weekly*")+SUMIFS('NSE - NIFTY Index Options'!$L:$L,'NSE - NIFTY Index Options'!$C:$C,$A115,'NSE - NIFTY Index Options'!$B:$B,G$4,'NSE - NIFTY Index Options'!$H:$H,"MDAW*")+SUMIFS('NSE - Other Index Options'!$L:$L,'NSE - Other Index Options'!$C:$C,$A115,'NSE - Other Index Options'!$B:$B,G$4,'NSE - Other Index Options'!$H:$H,"Weekly*")+SUMIFS('NSE - Other Index Options'!$L:$L,'NSE - Other Index Options'!$C:$C,$A115,'NSE - Other Index Options'!$B:$B,G$4,'NSE - Other Index Options'!$H:$H,"MDAW*")=0,"",SUMIFS('NSE - NIFTY Index Options'!$L:$L,'NSE - NIFTY Index Options'!$C:$C,$A115,'NSE - NIFTY Index Options'!$B:$B,G$4,'NSE - NIFTY Index Options'!$H:$H,"Weekly*")+SUMIFS('NSE - NIFTY Index Options'!$L:$L,'NSE - NIFTY Index Options'!$C:$C,$A115,'NSE - NIFTY Index Options'!$B:$B,G$4,'NSE - NIFTY Index Options'!$H:$H,"MDAW*")+SUMIFS('NSE - Other Index Options'!$L:$L,'NSE - Other Index Options'!$C:$C,$A115,'NSE - Other Index Options'!$B:$B,G$4,'NSE - Other Index Options'!$H:$H,"Weekly*")+SUMIFS('NSE - Other Index Options'!$L:$L,'NSE - Other Index Options'!$C:$C,$A115,'NSE - Other Index Options'!$B:$B,G$4,'NSE - Other Index Options'!$H:$H,"MDAW*"))</f>
        <v/>
      </c>
      <c r="H115" s="26" t="str">
        <f t="shared" si="3"/>
        <v/>
      </c>
    </row>
    <row r="116" spans="1:8" hidden="1" outlineLevel="1">
      <c r="A116" t="s">
        <v>121</v>
      </c>
      <c r="B116" s="26" t="str">
        <f>IF(SUMIFS('NSE - NIFTY Index Options'!$L:$L,'NSE - NIFTY Index Options'!$C:$C,$A116,'NSE - NIFTY Index Options'!$B:$B,B$4,'NSE - NIFTY Index Options'!$H:$H,"Weekly*")+SUMIFS('NSE - NIFTY Index Options'!$L:$L,'NSE - NIFTY Index Options'!$C:$C,$A116,'NSE - NIFTY Index Options'!$B:$B,B$4,'NSE - NIFTY Index Options'!$H:$H,"MDAW*")+SUMIFS('NSE - Other Index Options'!$L:$L,'NSE - Other Index Options'!$C:$C,$A116,'NSE - Other Index Options'!$B:$B,B$4,'NSE - Other Index Options'!$H:$H,"Weekly*")+SUMIFS('NSE - Other Index Options'!$L:$L,'NSE - Other Index Options'!$C:$C,$A116,'NSE - Other Index Options'!$B:$B,B$4,'NSE - Other Index Options'!$H:$H,"MDAW*")=0,"",SUMIFS('NSE - NIFTY Index Options'!$L:$L,'NSE - NIFTY Index Options'!$C:$C,$A116,'NSE - NIFTY Index Options'!$B:$B,B$4,'NSE - NIFTY Index Options'!$H:$H,"Weekly*")+SUMIFS('NSE - NIFTY Index Options'!$L:$L,'NSE - NIFTY Index Options'!$C:$C,$A116,'NSE - NIFTY Index Options'!$B:$B,B$4,'NSE - NIFTY Index Options'!$H:$H,"MDAW*")+SUMIFS('NSE - Other Index Options'!$L:$L,'NSE - Other Index Options'!$C:$C,$A116,'NSE - Other Index Options'!$B:$B,B$4,'NSE - Other Index Options'!$H:$H,"Weekly*")+SUMIFS('NSE - Other Index Options'!$L:$L,'NSE - Other Index Options'!$C:$C,$A116,'NSE - Other Index Options'!$B:$B,B$4,'NSE - Other Index Options'!$H:$H,"MDAW*"))</f>
        <v/>
      </c>
      <c r="C116" s="26" t="str">
        <f>IF(SUMIFS('NSE - NIFTY Index Options'!$L:$L,'NSE - NIFTY Index Options'!$C:$C,$A116,'NSE - NIFTY Index Options'!$B:$B,C$4,'NSE - NIFTY Index Options'!$H:$H,"Weekly*")+SUMIFS('NSE - NIFTY Index Options'!$L:$L,'NSE - NIFTY Index Options'!$C:$C,$A116,'NSE - NIFTY Index Options'!$B:$B,C$4,'NSE - NIFTY Index Options'!$H:$H,"MDAW*")+SUMIFS('NSE - Other Index Options'!$L:$L,'NSE - Other Index Options'!$C:$C,$A116,'NSE - Other Index Options'!$B:$B,C$4,'NSE - Other Index Options'!$H:$H,"Weekly*")+SUMIFS('NSE - Other Index Options'!$L:$L,'NSE - Other Index Options'!$C:$C,$A116,'NSE - Other Index Options'!$B:$B,C$4,'NSE - Other Index Options'!$H:$H,"MDAW*")=0,"",SUMIFS('NSE - NIFTY Index Options'!$L:$L,'NSE - NIFTY Index Options'!$C:$C,$A116,'NSE - NIFTY Index Options'!$B:$B,C$4,'NSE - NIFTY Index Options'!$H:$H,"Weekly*")+SUMIFS('NSE - NIFTY Index Options'!$L:$L,'NSE - NIFTY Index Options'!$C:$C,$A116,'NSE - NIFTY Index Options'!$B:$B,C$4,'NSE - NIFTY Index Options'!$H:$H,"MDAW*")+SUMIFS('NSE - Other Index Options'!$L:$L,'NSE - Other Index Options'!$C:$C,$A116,'NSE - Other Index Options'!$B:$B,C$4,'NSE - Other Index Options'!$H:$H,"Weekly*")+SUMIFS('NSE - Other Index Options'!$L:$L,'NSE - Other Index Options'!$C:$C,$A116,'NSE - Other Index Options'!$B:$B,C$4,'NSE - Other Index Options'!$H:$H,"MDAW*"))</f>
        <v/>
      </c>
      <c r="D116" s="26" t="str">
        <f>IF(SUMIFS('NSE - NIFTY Index Options'!$L:$L,'NSE - NIFTY Index Options'!$C:$C,$A116,'NSE - NIFTY Index Options'!$B:$B,D$4,'NSE - NIFTY Index Options'!$H:$H,"Weekly*")+SUMIFS('NSE - NIFTY Index Options'!$L:$L,'NSE - NIFTY Index Options'!$C:$C,$A116,'NSE - NIFTY Index Options'!$B:$B,D$4,'NSE - NIFTY Index Options'!$H:$H,"MDAW*")+SUMIFS('NSE - Other Index Options'!$L:$L,'NSE - Other Index Options'!$C:$C,$A116,'NSE - Other Index Options'!$B:$B,D$4,'NSE - Other Index Options'!$H:$H,"Weekly*")+SUMIFS('NSE - Other Index Options'!$L:$L,'NSE - Other Index Options'!$C:$C,$A116,'NSE - Other Index Options'!$B:$B,D$4,'NSE - Other Index Options'!$H:$H,"MDAW*")=0,"",SUMIFS('NSE - NIFTY Index Options'!$L:$L,'NSE - NIFTY Index Options'!$C:$C,$A116,'NSE - NIFTY Index Options'!$B:$B,D$4,'NSE - NIFTY Index Options'!$H:$H,"Weekly*")+SUMIFS('NSE - NIFTY Index Options'!$L:$L,'NSE - NIFTY Index Options'!$C:$C,$A116,'NSE - NIFTY Index Options'!$B:$B,D$4,'NSE - NIFTY Index Options'!$H:$H,"MDAW*")+SUMIFS('NSE - Other Index Options'!$L:$L,'NSE - Other Index Options'!$C:$C,$A116,'NSE - Other Index Options'!$B:$B,D$4,'NSE - Other Index Options'!$H:$H,"Weekly*")+SUMIFS('NSE - Other Index Options'!$L:$L,'NSE - Other Index Options'!$C:$C,$A116,'NSE - Other Index Options'!$B:$B,D$4,'NSE - Other Index Options'!$H:$H,"MDAW*"))</f>
        <v/>
      </c>
      <c r="E116" s="26" t="str">
        <f>IF(SUMIFS('NSE - NIFTY Index Options'!$L:$L,'NSE - NIFTY Index Options'!$C:$C,$A116,'NSE - NIFTY Index Options'!$B:$B,E$4,'NSE - NIFTY Index Options'!$H:$H,"Weekly*")+SUMIFS('NSE - NIFTY Index Options'!$L:$L,'NSE - NIFTY Index Options'!$C:$C,$A116,'NSE - NIFTY Index Options'!$B:$B,E$4,'NSE - NIFTY Index Options'!$H:$H,"MDAW*")+SUMIFS('NSE - Other Index Options'!$L:$L,'NSE - Other Index Options'!$C:$C,$A116,'NSE - Other Index Options'!$B:$B,E$4,'NSE - Other Index Options'!$H:$H,"Weekly*")+SUMIFS('NSE - Other Index Options'!$L:$L,'NSE - Other Index Options'!$C:$C,$A116,'NSE - Other Index Options'!$B:$B,E$4,'NSE - Other Index Options'!$H:$H,"MDAW*")=0,"",SUMIFS('NSE - NIFTY Index Options'!$L:$L,'NSE - NIFTY Index Options'!$C:$C,$A116,'NSE - NIFTY Index Options'!$B:$B,E$4,'NSE - NIFTY Index Options'!$H:$H,"Weekly*")+SUMIFS('NSE - NIFTY Index Options'!$L:$L,'NSE - NIFTY Index Options'!$C:$C,$A116,'NSE - NIFTY Index Options'!$B:$B,E$4,'NSE - NIFTY Index Options'!$H:$H,"MDAW*")+SUMIFS('NSE - Other Index Options'!$L:$L,'NSE - Other Index Options'!$C:$C,$A116,'NSE - Other Index Options'!$B:$B,E$4,'NSE - Other Index Options'!$H:$H,"Weekly*")+SUMIFS('NSE - Other Index Options'!$L:$L,'NSE - Other Index Options'!$C:$C,$A116,'NSE - Other Index Options'!$B:$B,E$4,'NSE - Other Index Options'!$H:$H,"MDAW*"))</f>
        <v/>
      </c>
      <c r="F116" s="26" t="str">
        <f>IF(SUMIFS('NSE - NIFTY Index Options'!$L:$L,'NSE - NIFTY Index Options'!$C:$C,$A116,'NSE - NIFTY Index Options'!$B:$B,F$4,'NSE - NIFTY Index Options'!$H:$H,"Weekly*")+SUMIFS('NSE - NIFTY Index Options'!$L:$L,'NSE - NIFTY Index Options'!$C:$C,$A116,'NSE - NIFTY Index Options'!$B:$B,F$4,'NSE - NIFTY Index Options'!$H:$H,"MDAW*")+SUMIFS('NSE - Other Index Options'!$L:$L,'NSE - Other Index Options'!$C:$C,$A116,'NSE - Other Index Options'!$B:$B,F$4,'NSE - Other Index Options'!$H:$H,"Weekly*")+SUMIFS('NSE - Other Index Options'!$L:$L,'NSE - Other Index Options'!$C:$C,$A116,'NSE - Other Index Options'!$B:$B,F$4,'NSE - Other Index Options'!$H:$H,"MDAW*")=0,"",SUMIFS('NSE - NIFTY Index Options'!$L:$L,'NSE - NIFTY Index Options'!$C:$C,$A116,'NSE - NIFTY Index Options'!$B:$B,F$4,'NSE - NIFTY Index Options'!$H:$H,"Weekly*")+SUMIFS('NSE - NIFTY Index Options'!$L:$L,'NSE - NIFTY Index Options'!$C:$C,$A116,'NSE - NIFTY Index Options'!$B:$B,F$4,'NSE - NIFTY Index Options'!$H:$H,"MDAW*")+SUMIFS('NSE - Other Index Options'!$L:$L,'NSE - Other Index Options'!$C:$C,$A116,'NSE - Other Index Options'!$B:$B,F$4,'NSE - Other Index Options'!$H:$H,"Weekly*")+SUMIFS('NSE - Other Index Options'!$L:$L,'NSE - Other Index Options'!$C:$C,$A116,'NSE - Other Index Options'!$B:$B,F$4,'NSE - Other Index Options'!$H:$H,"MDAW*"))</f>
        <v/>
      </c>
      <c r="G116" s="26" t="str">
        <f>IF(SUMIFS('NSE - NIFTY Index Options'!$L:$L,'NSE - NIFTY Index Options'!$C:$C,$A116,'NSE - NIFTY Index Options'!$B:$B,G$4,'NSE - NIFTY Index Options'!$H:$H,"Weekly*")+SUMIFS('NSE - NIFTY Index Options'!$L:$L,'NSE - NIFTY Index Options'!$C:$C,$A116,'NSE - NIFTY Index Options'!$B:$B,G$4,'NSE - NIFTY Index Options'!$H:$H,"MDAW*")+SUMIFS('NSE - Other Index Options'!$L:$L,'NSE - Other Index Options'!$C:$C,$A116,'NSE - Other Index Options'!$B:$B,G$4,'NSE - Other Index Options'!$H:$H,"Weekly*")+SUMIFS('NSE - Other Index Options'!$L:$L,'NSE - Other Index Options'!$C:$C,$A116,'NSE - Other Index Options'!$B:$B,G$4,'NSE - Other Index Options'!$H:$H,"MDAW*")=0,"",SUMIFS('NSE - NIFTY Index Options'!$L:$L,'NSE - NIFTY Index Options'!$C:$C,$A116,'NSE - NIFTY Index Options'!$B:$B,G$4,'NSE - NIFTY Index Options'!$H:$H,"Weekly*")+SUMIFS('NSE - NIFTY Index Options'!$L:$L,'NSE - NIFTY Index Options'!$C:$C,$A116,'NSE - NIFTY Index Options'!$B:$B,G$4,'NSE - NIFTY Index Options'!$H:$H,"MDAW*")+SUMIFS('NSE - Other Index Options'!$L:$L,'NSE - Other Index Options'!$C:$C,$A116,'NSE - Other Index Options'!$B:$B,G$4,'NSE - Other Index Options'!$H:$H,"Weekly*")+SUMIFS('NSE - Other Index Options'!$L:$L,'NSE - Other Index Options'!$C:$C,$A116,'NSE - Other Index Options'!$B:$B,G$4,'NSE - Other Index Options'!$H:$H,"MDAW*"))</f>
        <v/>
      </c>
      <c r="H116" s="26" t="str">
        <f t="shared" si="3"/>
        <v/>
      </c>
    </row>
    <row r="117" spans="1:8" hidden="1" outlineLevel="1">
      <c r="A117" t="s">
        <v>122</v>
      </c>
      <c r="B117" s="26" t="str">
        <f>IF(SUMIFS('NSE - NIFTY Index Options'!$L:$L,'NSE - NIFTY Index Options'!$C:$C,$A117,'NSE - NIFTY Index Options'!$B:$B,B$4,'NSE - NIFTY Index Options'!$H:$H,"Weekly*")+SUMIFS('NSE - NIFTY Index Options'!$L:$L,'NSE - NIFTY Index Options'!$C:$C,$A117,'NSE - NIFTY Index Options'!$B:$B,B$4,'NSE - NIFTY Index Options'!$H:$H,"MDAW*")+SUMIFS('NSE - Other Index Options'!$L:$L,'NSE - Other Index Options'!$C:$C,$A117,'NSE - Other Index Options'!$B:$B,B$4,'NSE - Other Index Options'!$H:$H,"Weekly*")+SUMIFS('NSE - Other Index Options'!$L:$L,'NSE - Other Index Options'!$C:$C,$A117,'NSE - Other Index Options'!$B:$B,B$4,'NSE - Other Index Options'!$H:$H,"MDAW*")=0,"",SUMIFS('NSE - NIFTY Index Options'!$L:$L,'NSE - NIFTY Index Options'!$C:$C,$A117,'NSE - NIFTY Index Options'!$B:$B,B$4,'NSE - NIFTY Index Options'!$H:$H,"Weekly*")+SUMIFS('NSE - NIFTY Index Options'!$L:$L,'NSE - NIFTY Index Options'!$C:$C,$A117,'NSE - NIFTY Index Options'!$B:$B,B$4,'NSE - NIFTY Index Options'!$H:$H,"MDAW*")+SUMIFS('NSE - Other Index Options'!$L:$L,'NSE - Other Index Options'!$C:$C,$A117,'NSE - Other Index Options'!$B:$B,B$4,'NSE - Other Index Options'!$H:$H,"Weekly*")+SUMIFS('NSE - Other Index Options'!$L:$L,'NSE - Other Index Options'!$C:$C,$A117,'NSE - Other Index Options'!$B:$B,B$4,'NSE - Other Index Options'!$H:$H,"MDAW*"))</f>
        <v/>
      </c>
      <c r="C117" s="26" t="str">
        <f>IF(SUMIFS('NSE - NIFTY Index Options'!$L:$L,'NSE - NIFTY Index Options'!$C:$C,$A117,'NSE - NIFTY Index Options'!$B:$B,C$4,'NSE - NIFTY Index Options'!$H:$H,"Weekly*")+SUMIFS('NSE - NIFTY Index Options'!$L:$L,'NSE - NIFTY Index Options'!$C:$C,$A117,'NSE - NIFTY Index Options'!$B:$B,C$4,'NSE - NIFTY Index Options'!$H:$H,"MDAW*")+SUMIFS('NSE - Other Index Options'!$L:$L,'NSE - Other Index Options'!$C:$C,$A117,'NSE - Other Index Options'!$B:$B,C$4,'NSE - Other Index Options'!$H:$H,"Weekly*")+SUMIFS('NSE - Other Index Options'!$L:$L,'NSE - Other Index Options'!$C:$C,$A117,'NSE - Other Index Options'!$B:$B,C$4,'NSE - Other Index Options'!$H:$H,"MDAW*")=0,"",SUMIFS('NSE - NIFTY Index Options'!$L:$L,'NSE - NIFTY Index Options'!$C:$C,$A117,'NSE - NIFTY Index Options'!$B:$B,C$4,'NSE - NIFTY Index Options'!$H:$H,"Weekly*")+SUMIFS('NSE - NIFTY Index Options'!$L:$L,'NSE - NIFTY Index Options'!$C:$C,$A117,'NSE - NIFTY Index Options'!$B:$B,C$4,'NSE - NIFTY Index Options'!$H:$H,"MDAW*")+SUMIFS('NSE - Other Index Options'!$L:$L,'NSE - Other Index Options'!$C:$C,$A117,'NSE - Other Index Options'!$B:$B,C$4,'NSE - Other Index Options'!$H:$H,"Weekly*")+SUMIFS('NSE - Other Index Options'!$L:$L,'NSE - Other Index Options'!$C:$C,$A117,'NSE - Other Index Options'!$B:$B,C$4,'NSE - Other Index Options'!$H:$H,"MDAW*"))</f>
        <v/>
      </c>
      <c r="D117" s="26" t="str">
        <f>IF(SUMIFS('NSE - NIFTY Index Options'!$L:$L,'NSE - NIFTY Index Options'!$C:$C,$A117,'NSE - NIFTY Index Options'!$B:$B,D$4,'NSE - NIFTY Index Options'!$H:$H,"Weekly*")+SUMIFS('NSE - NIFTY Index Options'!$L:$L,'NSE - NIFTY Index Options'!$C:$C,$A117,'NSE - NIFTY Index Options'!$B:$B,D$4,'NSE - NIFTY Index Options'!$H:$H,"MDAW*")+SUMIFS('NSE - Other Index Options'!$L:$L,'NSE - Other Index Options'!$C:$C,$A117,'NSE - Other Index Options'!$B:$B,D$4,'NSE - Other Index Options'!$H:$H,"Weekly*")+SUMIFS('NSE - Other Index Options'!$L:$L,'NSE - Other Index Options'!$C:$C,$A117,'NSE - Other Index Options'!$B:$B,D$4,'NSE - Other Index Options'!$H:$H,"MDAW*")=0,"",SUMIFS('NSE - NIFTY Index Options'!$L:$L,'NSE - NIFTY Index Options'!$C:$C,$A117,'NSE - NIFTY Index Options'!$B:$B,D$4,'NSE - NIFTY Index Options'!$H:$H,"Weekly*")+SUMIFS('NSE - NIFTY Index Options'!$L:$L,'NSE - NIFTY Index Options'!$C:$C,$A117,'NSE - NIFTY Index Options'!$B:$B,D$4,'NSE - NIFTY Index Options'!$H:$H,"MDAW*")+SUMIFS('NSE - Other Index Options'!$L:$L,'NSE - Other Index Options'!$C:$C,$A117,'NSE - Other Index Options'!$B:$B,D$4,'NSE - Other Index Options'!$H:$H,"Weekly*")+SUMIFS('NSE - Other Index Options'!$L:$L,'NSE - Other Index Options'!$C:$C,$A117,'NSE - Other Index Options'!$B:$B,D$4,'NSE - Other Index Options'!$H:$H,"MDAW*"))</f>
        <v/>
      </c>
      <c r="E117" s="26" t="str">
        <f>IF(SUMIFS('NSE - NIFTY Index Options'!$L:$L,'NSE - NIFTY Index Options'!$C:$C,$A117,'NSE - NIFTY Index Options'!$B:$B,E$4,'NSE - NIFTY Index Options'!$H:$H,"Weekly*")+SUMIFS('NSE - NIFTY Index Options'!$L:$L,'NSE - NIFTY Index Options'!$C:$C,$A117,'NSE - NIFTY Index Options'!$B:$B,E$4,'NSE - NIFTY Index Options'!$H:$H,"MDAW*")+SUMIFS('NSE - Other Index Options'!$L:$L,'NSE - Other Index Options'!$C:$C,$A117,'NSE - Other Index Options'!$B:$B,E$4,'NSE - Other Index Options'!$H:$H,"Weekly*")+SUMIFS('NSE - Other Index Options'!$L:$L,'NSE - Other Index Options'!$C:$C,$A117,'NSE - Other Index Options'!$B:$B,E$4,'NSE - Other Index Options'!$H:$H,"MDAW*")=0,"",SUMIFS('NSE - NIFTY Index Options'!$L:$L,'NSE - NIFTY Index Options'!$C:$C,$A117,'NSE - NIFTY Index Options'!$B:$B,E$4,'NSE - NIFTY Index Options'!$H:$H,"Weekly*")+SUMIFS('NSE - NIFTY Index Options'!$L:$L,'NSE - NIFTY Index Options'!$C:$C,$A117,'NSE - NIFTY Index Options'!$B:$B,E$4,'NSE - NIFTY Index Options'!$H:$H,"MDAW*")+SUMIFS('NSE - Other Index Options'!$L:$L,'NSE - Other Index Options'!$C:$C,$A117,'NSE - Other Index Options'!$B:$B,E$4,'NSE - Other Index Options'!$H:$H,"Weekly*")+SUMIFS('NSE - Other Index Options'!$L:$L,'NSE - Other Index Options'!$C:$C,$A117,'NSE - Other Index Options'!$B:$B,E$4,'NSE - Other Index Options'!$H:$H,"MDAW*"))</f>
        <v/>
      </c>
      <c r="F117" s="26" t="str">
        <f>IF(SUMIFS('NSE - NIFTY Index Options'!$L:$L,'NSE - NIFTY Index Options'!$C:$C,$A117,'NSE - NIFTY Index Options'!$B:$B,F$4,'NSE - NIFTY Index Options'!$H:$H,"Weekly*")+SUMIFS('NSE - NIFTY Index Options'!$L:$L,'NSE - NIFTY Index Options'!$C:$C,$A117,'NSE - NIFTY Index Options'!$B:$B,F$4,'NSE - NIFTY Index Options'!$H:$H,"MDAW*")+SUMIFS('NSE - Other Index Options'!$L:$L,'NSE - Other Index Options'!$C:$C,$A117,'NSE - Other Index Options'!$B:$B,F$4,'NSE - Other Index Options'!$H:$H,"Weekly*")+SUMIFS('NSE - Other Index Options'!$L:$L,'NSE - Other Index Options'!$C:$C,$A117,'NSE - Other Index Options'!$B:$B,F$4,'NSE - Other Index Options'!$H:$H,"MDAW*")=0,"",SUMIFS('NSE - NIFTY Index Options'!$L:$L,'NSE - NIFTY Index Options'!$C:$C,$A117,'NSE - NIFTY Index Options'!$B:$B,F$4,'NSE - NIFTY Index Options'!$H:$H,"Weekly*")+SUMIFS('NSE - NIFTY Index Options'!$L:$L,'NSE - NIFTY Index Options'!$C:$C,$A117,'NSE - NIFTY Index Options'!$B:$B,F$4,'NSE - NIFTY Index Options'!$H:$H,"MDAW*")+SUMIFS('NSE - Other Index Options'!$L:$L,'NSE - Other Index Options'!$C:$C,$A117,'NSE - Other Index Options'!$B:$B,F$4,'NSE - Other Index Options'!$H:$H,"Weekly*")+SUMIFS('NSE - Other Index Options'!$L:$L,'NSE - Other Index Options'!$C:$C,$A117,'NSE - Other Index Options'!$B:$B,F$4,'NSE - Other Index Options'!$H:$H,"MDAW*"))</f>
        <v/>
      </c>
      <c r="G117" s="26" t="str">
        <f>IF(SUMIFS('NSE - NIFTY Index Options'!$L:$L,'NSE - NIFTY Index Options'!$C:$C,$A117,'NSE - NIFTY Index Options'!$B:$B,G$4,'NSE - NIFTY Index Options'!$H:$H,"Weekly*")+SUMIFS('NSE - NIFTY Index Options'!$L:$L,'NSE - NIFTY Index Options'!$C:$C,$A117,'NSE - NIFTY Index Options'!$B:$B,G$4,'NSE - NIFTY Index Options'!$H:$H,"MDAW*")+SUMIFS('NSE - Other Index Options'!$L:$L,'NSE - Other Index Options'!$C:$C,$A117,'NSE - Other Index Options'!$B:$B,G$4,'NSE - Other Index Options'!$H:$H,"Weekly*")+SUMIFS('NSE - Other Index Options'!$L:$L,'NSE - Other Index Options'!$C:$C,$A117,'NSE - Other Index Options'!$B:$B,G$4,'NSE - Other Index Options'!$H:$H,"MDAW*")=0,"",SUMIFS('NSE - NIFTY Index Options'!$L:$L,'NSE - NIFTY Index Options'!$C:$C,$A117,'NSE - NIFTY Index Options'!$B:$B,G$4,'NSE - NIFTY Index Options'!$H:$H,"Weekly*")+SUMIFS('NSE - NIFTY Index Options'!$L:$L,'NSE - NIFTY Index Options'!$C:$C,$A117,'NSE - NIFTY Index Options'!$B:$B,G$4,'NSE - NIFTY Index Options'!$H:$H,"MDAW*")+SUMIFS('NSE - Other Index Options'!$L:$L,'NSE - Other Index Options'!$C:$C,$A117,'NSE - Other Index Options'!$B:$B,G$4,'NSE - Other Index Options'!$H:$H,"Weekly*")+SUMIFS('NSE - Other Index Options'!$L:$L,'NSE - Other Index Options'!$C:$C,$A117,'NSE - Other Index Options'!$B:$B,G$4,'NSE - Other Index Options'!$H:$H,"MDAW*"))</f>
        <v/>
      </c>
      <c r="H117" s="26" t="str">
        <f t="shared" si="3"/>
        <v/>
      </c>
    </row>
    <row r="118" spans="1:8" hidden="1" outlineLevel="1">
      <c r="A118" t="s">
        <v>123</v>
      </c>
      <c r="B118" s="26" t="str">
        <f>IF(SUMIFS('NSE - NIFTY Index Options'!$L:$L,'NSE - NIFTY Index Options'!$C:$C,$A118,'NSE - NIFTY Index Options'!$B:$B,B$4,'NSE - NIFTY Index Options'!$H:$H,"Weekly*")+SUMIFS('NSE - NIFTY Index Options'!$L:$L,'NSE - NIFTY Index Options'!$C:$C,$A118,'NSE - NIFTY Index Options'!$B:$B,B$4,'NSE - NIFTY Index Options'!$H:$H,"MDAW*")+SUMIFS('NSE - Other Index Options'!$L:$L,'NSE - Other Index Options'!$C:$C,$A118,'NSE - Other Index Options'!$B:$B,B$4,'NSE - Other Index Options'!$H:$H,"Weekly*")+SUMIFS('NSE - Other Index Options'!$L:$L,'NSE - Other Index Options'!$C:$C,$A118,'NSE - Other Index Options'!$B:$B,B$4,'NSE - Other Index Options'!$H:$H,"MDAW*")=0,"",SUMIFS('NSE - NIFTY Index Options'!$L:$L,'NSE - NIFTY Index Options'!$C:$C,$A118,'NSE - NIFTY Index Options'!$B:$B,B$4,'NSE - NIFTY Index Options'!$H:$H,"Weekly*")+SUMIFS('NSE - NIFTY Index Options'!$L:$L,'NSE - NIFTY Index Options'!$C:$C,$A118,'NSE - NIFTY Index Options'!$B:$B,B$4,'NSE - NIFTY Index Options'!$H:$H,"MDAW*")+SUMIFS('NSE - Other Index Options'!$L:$L,'NSE - Other Index Options'!$C:$C,$A118,'NSE - Other Index Options'!$B:$B,B$4,'NSE - Other Index Options'!$H:$H,"Weekly*")+SUMIFS('NSE - Other Index Options'!$L:$L,'NSE - Other Index Options'!$C:$C,$A118,'NSE - Other Index Options'!$B:$B,B$4,'NSE - Other Index Options'!$H:$H,"MDAW*"))</f>
        <v/>
      </c>
      <c r="C118" s="26" t="str">
        <f>IF(SUMIFS('NSE - NIFTY Index Options'!$L:$L,'NSE - NIFTY Index Options'!$C:$C,$A118,'NSE - NIFTY Index Options'!$B:$B,C$4,'NSE - NIFTY Index Options'!$H:$H,"Weekly*")+SUMIFS('NSE - NIFTY Index Options'!$L:$L,'NSE - NIFTY Index Options'!$C:$C,$A118,'NSE - NIFTY Index Options'!$B:$B,C$4,'NSE - NIFTY Index Options'!$H:$H,"MDAW*")+SUMIFS('NSE - Other Index Options'!$L:$L,'NSE - Other Index Options'!$C:$C,$A118,'NSE - Other Index Options'!$B:$B,C$4,'NSE - Other Index Options'!$H:$H,"Weekly*")+SUMIFS('NSE - Other Index Options'!$L:$L,'NSE - Other Index Options'!$C:$C,$A118,'NSE - Other Index Options'!$B:$B,C$4,'NSE - Other Index Options'!$H:$H,"MDAW*")=0,"",SUMIFS('NSE - NIFTY Index Options'!$L:$L,'NSE - NIFTY Index Options'!$C:$C,$A118,'NSE - NIFTY Index Options'!$B:$B,C$4,'NSE - NIFTY Index Options'!$H:$H,"Weekly*")+SUMIFS('NSE - NIFTY Index Options'!$L:$L,'NSE - NIFTY Index Options'!$C:$C,$A118,'NSE - NIFTY Index Options'!$B:$B,C$4,'NSE - NIFTY Index Options'!$H:$H,"MDAW*")+SUMIFS('NSE - Other Index Options'!$L:$L,'NSE - Other Index Options'!$C:$C,$A118,'NSE - Other Index Options'!$B:$B,C$4,'NSE - Other Index Options'!$H:$H,"Weekly*")+SUMIFS('NSE - Other Index Options'!$L:$L,'NSE - Other Index Options'!$C:$C,$A118,'NSE - Other Index Options'!$B:$B,C$4,'NSE - Other Index Options'!$H:$H,"MDAW*"))</f>
        <v/>
      </c>
      <c r="D118" s="26" t="str">
        <f>IF(SUMIFS('NSE - NIFTY Index Options'!$L:$L,'NSE - NIFTY Index Options'!$C:$C,$A118,'NSE - NIFTY Index Options'!$B:$B,D$4,'NSE - NIFTY Index Options'!$H:$H,"Weekly*")+SUMIFS('NSE - NIFTY Index Options'!$L:$L,'NSE - NIFTY Index Options'!$C:$C,$A118,'NSE - NIFTY Index Options'!$B:$B,D$4,'NSE - NIFTY Index Options'!$H:$H,"MDAW*")+SUMIFS('NSE - Other Index Options'!$L:$L,'NSE - Other Index Options'!$C:$C,$A118,'NSE - Other Index Options'!$B:$B,D$4,'NSE - Other Index Options'!$H:$H,"Weekly*")+SUMIFS('NSE - Other Index Options'!$L:$L,'NSE - Other Index Options'!$C:$C,$A118,'NSE - Other Index Options'!$B:$B,D$4,'NSE - Other Index Options'!$H:$H,"MDAW*")=0,"",SUMIFS('NSE - NIFTY Index Options'!$L:$L,'NSE - NIFTY Index Options'!$C:$C,$A118,'NSE - NIFTY Index Options'!$B:$B,D$4,'NSE - NIFTY Index Options'!$H:$H,"Weekly*")+SUMIFS('NSE - NIFTY Index Options'!$L:$L,'NSE - NIFTY Index Options'!$C:$C,$A118,'NSE - NIFTY Index Options'!$B:$B,D$4,'NSE - NIFTY Index Options'!$H:$H,"MDAW*")+SUMIFS('NSE - Other Index Options'!$L:$L,'NSE - Other Index Options'!$C:$C,$A118,'NSE - Other Index Options'!$B:$B,D$4,'NSE - Other Index Options'!$H:$H,"Weekly*")+SUMIFS('NSE - Other Index Options'!$L:$L,'NSE - Other Index Options'!$C:$C,$A118,'NSE - Other Index Options'!$B:$B,D$4,'NSE - Other Index Options'!$H:$H,"MDAW*"))</f>
        <v/>
      </c>
      <c r="E118" s="26" t="str">
        <f>IF(SUMIFS('NSE - NIFTY Index Options'!$L:$L,'NSE - NIFTY Index Options'!$C:$C,$A118,'NSE - NIFTY Index Options'!$B:$B,E$4,'NSE - NIFTY Index Options'!$H:$H,"Weekly*")+SUMIFS('NSE - NIFTY Index Options'!$L:$L,'NSE - NIFTY Index Options'!$C:$C,$A118,'NSE - NIFTY Index Options'!$B:$B,E$4,'NSE - NIFTY Index Options'!$H:$H,"MDAW*")+SUMIFS('NSE - Other Index Options'!$L:$L,'NSE - Other Index Options'!$C:$C,$A118,'NSE - Other Index Options'!$B:$B,E$4,'NSE - Other Index Options'!$H:$H,"Weekly*")+SUMIFS('NSE - Other Index Options'!$L:$L,'NSE - Other Index Options'!$C:$C,$A118,'NSE - Other Index Options'!$B:$B,E$4,'NSE - Other Index Options'!$H:$H,"MDAW*")=0,"",SUMIFS('NSE - NIFTY Index Options'!$L:$L,'NSE - NIFTY Index Options'!$C:$C,$A118,'NSE - NIFTY Index Options'!$B:$B,E$4,'NSE - NIFTY Index Options'!$H:$H,"Weekly*")+SUMIFS('NSE - NIFTY Index Options'!$L:$L,'NSE - NIFTY Index Options'!$C:$C,$A118,'NSE - NIFTY Index Options'!$B:$B,E$4,'NSE - NIFTY Index Options'!$H:$H,"MDAW*")+SUMIFS('NSE - Other Index Options'!$L:$L,'NSE - Other Index Options'!$C:$C,$A118,'NSE - Other Index Options'!$B:$B,E$4,'NSE - Other Index Options'!$H:$H,"Weekly*")+SUMIFS('NSE - Other Index Options'!$L:$L,'NSE - Other Index Options'!$C:$C,$A118,'NSE - Other Index Options'!$B:$B,E$4,'NSE - Other Index Options'!$H:$H,"MDAW*"))</f>
        <v/>
      </c>
      <c r="F118" s="26" t="str">
        <f>IF(SUMIFS('NSE - NIFTY Index Options'!$L:$L,'NSE - NIFTY Index Options'!$C:$C,$A118,'NSE - NIFTY Index Options'!$B:$B,F$4,'NSE - NIFTY Index Options'!$H:$H,"Weekly*")+SUMIFS('NSE - NIFTY Index Options'!$L:$L,'NSE - NIFTY Index Options'!$C:$C,$A118,'NSE - NIFTY Index Options'!$B:$B,F$4,'NSE - NIFTY Index Options'!$H:$H,"MDAW*")+SUMIFS('NSE - Other Index Options'!$L:$L,'NSE - Other Index Options'!$C:$C,$A118,'NSE - Other Index Options'!$B:$B,F$4,'NSE - Other Index Options'!$H:$H,"Weekly*")+SUMIFS('NSE - Other Index Options'!$L:$L,'NSE - Other Index Options'!$C:$C,$A118,'NSE - Other Index Options'!$B:$B,F$4,'NSE - Other Index Options'!$H:$H,"MDAW*")=0,"",SUMIFS('NSE - NIFTY Index Options'!$L:$L,'NSE - NIFTY Index Options'!$C:$C,$A118,'NSE - NIFTY Index Options'!$B:$B,F$4,'NSE - NIFTY Index Options'!$H:$H,"Weekly*")+SUMIFS('NSE - NIFTY Index Options'!$L:$L,'NSE - NIFTY Index Options'!$C:$C,$A118,'NSE - NIFTY Index Options'!$B:$B,F$4,'NSE - NIFTY Index Options'!$H:$H,"MDAW*")+SUMIFS('NSE - Other Index Options'!$L:$L,'NSE - Other Index Options'!$C:$C,$A118,'NSE - Other Index Options'!$B:$B,F$4,'NSE - Other Index Options'!$H:$H,"Weekly*")+SUMIFS('NSE - Other Index Options'!$L:$L,'NSE - Other Index Options'!$C:$C,$A118,'NSE - Other Index Options'!$B:$B,F$4,'NSE - Other Index Options'!$H:$H,"MDAW*"))</f>
        <v/>
      </c>
      <c r="G118" s="26" t="str">
        <f>IF(SUMIFS('NSE - NIFTY Index Options'!$L:$L,'NSE - NIFTY Index Options'!$C:$C,$A118,'NSE - NIFTY Index Options'!$B:$B,G$4,'NSE - NIFTY Index Options'!$H:$H,"Weekly*")+SUMIFS('NSE - NIFTY Index Options'!$L:$L,'NSE - NIFTY Index Options'!$C:$C,$A118,'NSE - NIFTY Index Options'!$B:$B,G$4,'NSE - NIFTY Index Options'!$H:$H,"MDAW*")+SUMIFS('NSE - Other Index Options'!$L:$L,'NSE - Other Index Options'!$C:$C,$A118,'NSE - Other Index Options'!$B:$B,G$4,'NSE - Other Index Options'!$H:$H,"Weekly*")+SUMIFS('NSE - Other Index Options'!$L:$L,'NSE - Other Index Options'!$C:$C,$A118,'NSE - Other Index Options'!$B:$B,G$4,'NSE - Other Index Options'!$H:$H,"MDAW*")=0,"",SUMIFS('NSE - NIFTY Index Options'!$L:$L,'NSE - NIFTY Index Options'!$C:$C,$A118,'NSE - NIFTY Index Options'!$B:$B,G$4,'NSE - NIFTY Index Options'!$H:$H,"Weekly*")+SUMIFS('NSE - NIFTY Index Options'!$L:$L,'NSE - NIFTY Index Options'!$C:$C,$A118,'NSE - NIFTY Index Options'!$B:$B,G$4,'NSE - NIFTY Index Options'!$H:$H,"MDAW*")+SUMIFS('NSE - Other Index Options'!$L:$L,'NSE - Other Index Options'!$C:$C,$A118,'NSE - Other Index Options'!$B:$B,G$4,'NSE - Other Index Options'!$H:$H,"Weekly*")+SUMIFS('NSE - Other Index Options'!$L:$L,'NSE - Other Index Options'!$C:$C,$A118,'NSE - Other Index Options'!$B:$B,G$4,'NSE - Other Index Options'!$H:$H,"MDAW*"))</f>
        <v/>
      </c>
      <c r="H118" s="26" t="str">
        <f t="shared" si="3"/>
        <v/>
      </c>
    </row>
    <row r="119" spans="1:8" hidden="1" outlineLevel="1">
      <c r="A119" t="s">
        <v>124</v>
      </c>
      <c r="B119" s="26" t="str">
        <f>IF(SUMIFS('NSE - NIFTY Index Options'!$L:$L,'NSE - NIFTY Index Options'!$C:$C,$A119,'NSE - NIFTY Index Options'!$B:$B,B$4,'NSE - NIFTY Index Options'!$H:$H,"Weekly*")+SUMIFS('NSE - NIFTY Index Options'!$L:$L,'NSE - NIFTY Index Options'!$C:$C,$A119,'NSE - NIFTY Index Options'!$B:$B,B$4,'NSE - NIFTY Index Options'!$H:$H,"MDAW*")+SUMIFS('NSE - Other Index Options'!$L:$L,'NSE - Other Index Options'!$C:$C,$A119,'NSE - Other Index Options'!$B:$B,B$4,'NSE - Other Index Options'!$H:$H,"Weekly*")+SUMIFS('NSE - Other Index Options'!$L:$L,'NSE - Other Index Options'!$C:$C,$A119,'NSE - Other Index Options'!$B:$B,B$4,'NSE - Other Index Options'!$H:$H,"MDAW*")=0,"",SUMIFS('NSE - NIFTY Index Options'!$L:$L,'NSE - NIFTY Index Options'!$C:$C,$A119,'NSE - NIFTY Index Options'!$B:$B,B$4,'NSE - NIFTY Index Options'!$H:$H,"Weekly*")+SUMIFS('NSE - NIFTY Index Options'!$L:$L,'NSE - NIFTY Index Options'!$C:$C,$A119,'NSE - NIFTY Index Options'!$B:$B,B$4,'NSE - NIFTY Index Options'!$H:$H,"MDAW*")+SUMIFS('NSE - Other Index Options'!$L:$L,'NSE - Other Index Options'!$C:$C,$A119,'NSE - Other Index Options'!$B:$B,B$4,'NSE - Other Index Options'!$H:$H,"Weekly*")+SUMIFS('NSE - Other Index Options'!$L:$L,'NSE - Other Index Options'!$C:$C,$A119,'NSE - Other Index Options'!$B:$B,B$4,'NSE - Other Index Options'!$H:$H,"MDAW*"))</f>
        <v/>
      </c>
      <c r="C119" s="26" t="str">
        <f>IF(SUMIFS('NSE - NIFTY Index Options'!$L:$L,'NSE - NIFTY Index Options'!$C:$C,$A119,'NSE - NIFTY Index Options'!$B:$B,C$4,'NSE - NIFTY Index Options'!$H:$H,"Weekly*")+SUMIFS('NSE - NIFTY Index Options'!$L:$L,'NSE - NIFTY Index Options'!$C:$C,$A119,'NSE - NIFTY Index Options'!$B:$B,C$4,'NSE - NIFTY Index Options'!$H:$H,"MDAW*")+SUMIFS('NSE - Other Index Options'!$L:$L,'NSE - Other Index Options'!$C:$C,$A119,'NSE - Other Index Options'!$B:$B,C$4,'NSE - Other Index Options'!$H:$H,"Weekly*")+SUMIFS('NSE - Other Index Options'!$L:$L,'NSE - Other Index Options'!$C:$C,$A119,'NSE - Other Index Options'!$B:$B,C$4,'NSE - Other Index Options'!$H:$H,"MDAW*")=0,"",SUMIFS('NSE - NIFTY Index Options'!$L:$L,'NSE - NIFTY Index Options'!$C:$C,$A119,'NSE - NIFTY Index Options'!$B:$B,C$4,'NSE - NIFTY Index Options'!$H:$H,"Weekly*")+SUMIFS('NSE - NIFTY Index Options'!$L:$L,'NSE - NIFTY Index Options'!$C:$C,$A119,'NSE - NIFTY Index Options'!$B:$B,C$4,'NSE - NIFTY Index Options'!$H:$H,"MDAW*")+SUMIFS('NSE - Other Index Options'!$L:$L,'NSE - Other Index Options'!$C:$C,$A119,'NSE - Other Index Options'!$B:$B,C$4,'NSE - Other Index Options'!$H:$H,"Weekly*")+SUMIFS('NSE - Other Index Options'!$L:$L,'NSE - Other Index Options'!$C:$C,$A119,'NSE - Other Index Options'!$B:$B,C$4,'NSE - Other Index Options'!$H:$H,"MDAW*"))</f>
        <v/>
      </c>
      <c r="D119" s="26" t="str">
        <f>IF(SUMIFS('NSE - NIFTY Index Options'!$L:$L,'NSE - NIFTY Index Options'!$C:$C,$A119,'NSE - NIFTY Index Options'!$B:$B,D$4,'NSE - NIFTY Index Options'!$H:$H,"Weekly*")+SUMIFS('NSE - NIFTY Index Options'!$L:$L,'NSE - NIFTY Index Options'!$C:$C,$A119,'NSE - NIFTY Index Options'!$B:$B,D$4,'NSE - NIFTY Index Options'!$H:$H,"MDAW*")+SUMIFS('NSE - Other Index Options'!$L:$L,'NSE - Other Index Options'!$C:$C,$A119,'NSE - Other Index Options'!$B:$B,D$4,'NSE - Other Index Options'!$H:$H,"Weekly*")+SUMIFS('NSE - Other Index Options'!$L:$L,'NSE - Other Index Options'!$C:$C,$A119,'NSE - Other Index Options'!$B:$B,D$4,'NSE - Other Index Options'!$H:$H,"MDAW*")=0,"",SUMIFS('NSE - NIFTY Index Options'!$L:$L,'NSE - NIFTY Index Options'!$C:$C,$A119,'NSE - NIFTY Index Options'!$B:$B,D$4,'NSE - NIFTY Index Options'!$H:$H,"Weekly*")+SUMIFS('NSE - NIFTY Index Options'!$L:$L,'NSE - NIFTY Index Options'!$C:$C,$A119,'NSE - NIFTY Index Options'!$B:$B,D$4,'NSE - NIFTY Index Options'!$H:$H,"MDAW*")+SUMIFS('NSE - Other Index Options'!$L:$L,'NSE - Other Index Options'!$C:$C,$A119,'NSE - Other Index Options'!$B:$B,D$4,'NSE - Other Index Options'!$H:$H,"Weekly*")+SUMIFS('NSE - Other Index Options'!$L:$L,'NSE - Other Index Options'!$C:$C,$A119,'NSE - Other Index Options'!$B:$B,D$4,'NSE - Other Index Options'!$H:$H,"MDAW*"))</f>
        <v/>
      </c>
      <c r="E119" s="26" t="str">
        <f>IF(SUMIFS('NSE - NIFTY Index Options'!$L:$L,'NSE - NIFTY Index Options'!$C:$C,$A119,'NSE - NIFTY Index Options'!$B:$B,E$4,'NSE - NIFTY Index Options'!$H:$H,"Weekly*")+SUMIFS('NSE - NIFTY Index Options'!$L:$L,'NSE - NIFTY Index Options'!$C:$C,$A119,'NSE - NIFTY Index Options'!$B:$B,E$4,'NSE - NIFTY Index Options'!$H:$H,"MDAW*")+SUMIFS('NSE - Other Index Options'!$L:$L,'NSE - Other Index Options'!$C:$C,$A119,'NSE - Other Index Options'!$B:$B,E$4,'NSE - Other Index Options'!$H:$H,"Weekly*")+SUMIFS('NSE - Other Index Options'!$L:$L,'NSE - Other Index Options'!$C:$C,$A119,'NSE - Other Index Options'!$B:$B,E$4,'NSE - Other Index Options'!$H:$H,"MDAW*")=0,"",SUMIFS('NSE - NIFTY Index Options'!$L:$L,'NSE - NIFTY Index Options'!$C:$C,$A119,'NSE - NIFTY Index Options'!$B:$B,E$4,'NSE - NIFTY Index Options'!$H:$H,"Weekly*")+SUMIFS('NSE - NIFTY Index Options'!$L:$L,'NSE - NIFTY Index Options'!$C:$C,$A119,'NSE - NIFTY Index Options'!$B:$B,E$4,'NSE - NIFTY Index Options'!$H:$H,"MDAW*")+SUMIFS('NSE - Other Index Options'!$L:$L,'NSE - Other Index Options'!$C:$C,$A119,'NSE - Other Index Options'!$B:$B,E$4,'NSE - Other Index Options'!$H:$H,"Weekly*")+SUMIFS('NSE - Other Index Options'!$L:$L,'NSE - Other Index Options'!$C:$C,$A119,'NSE - Other Index Options'!$B:$B,E$4,'NSE - Other Index Options'!$H:$H,"MDAW*"))</f>
        <v/>
      </c>
      <c r="F119" s="26" t="str">
        <f>IF(SUMIFS('NSE - NIFTY Index Options'!$L:$L,'NSE - NIFTY Index Options'!$C:$C,$A119,'NSE - NIFTY Index Options'!$B:$B,F$4,'NSE - NIFTY Index Options'!$H:$H,"Weekly*")+SUMIFS('NSE - NIFTY Index Options'!$L:$L,'NSE - NIFTY Index Options'!$C:$C,$A119,'NSE - NIFTY Index Options'!$B:$B,F$4,'NSE - NIFTY Index Options'!$H:$H,"MDAW*")+SUMIFS('NSE - Other Index Options'!$L:$L,'NSE - Other Index Options'!$C:$C,$A119,'NSE - Other Index Options'!$B:$B,F$4,'NSE - Other Index Options'!$H:$H,"Weekly*")+SUMIFS('NSE - Other Index Options'!$L:$L,'NSE - Other Index Options'!$C:$C,$A119,'NSE - Other Index Options'!$B:$B,F$4,'NSE - Other Index Options'!$H:$H,"MDAW*")=0,"",SUMIFS('NSE - NIFTY Index Options'!$L:$L,'NSE - NIFTY Index Options'!$C:$C,$A119,'NSE - NIFTY Index Options'!$B:$B,F$4,'NSE - NIFTY Index Options'!$H:$H,"Weekly*")+SUMIFS('NSE - NIFTY Index Options'!$L:$L,'NSE - NIFTY Index Options'!$C:$C,$A119,'NSE - NIFTY Index Options'!$B:$B,F$4,'NSE - NIFTY Index Options'!$H:$H,"MDAW*")+SUMIFS('NSE - Other Index Options'!$L:$L,'NSE - Other Index Options'!$C:$C,$A119,'NSE - Other Index Options'!$B:$B,F$4,'NSE - Other Index Options'!$H:$H,"Weekly*")+SUMIFS('NSE - Other Index Options'!$L:$L,'NSE - Other Index Options'!$C:$C,$A119,'NSE - Other Index Options'!$B:$B,F$4,'NSE - Other Index Options'!$H:$H,"MDAW*"))</f>
        <v/>
      </c>
      <c r="G119" s="26" t="str">
        <f>IF(SUMIFS('NSE - NIFTY Index Options'!$L:$L,'NSE - NIFTY Index Options'!$C:$C,$A119,'NSE - NIFTY Index Options'!$B:$B,G$4,'NSE - NIFTY Index Options'!$H:$H,"Weekly*")+SUMIFS('NSE - NIFTY Index Options'!$L:$L,'NSE - NIFTY Index Options'!$C:$C,$A119,'NSE - NIFTY Index Options'!$B:$B,G$4,'NSE - NIFTY Index Options'!$H:$H,"MDAW*")+SUMIFS('NSE - Other Index Options'!$L:$L,'NSE - Other Index Options'!$C:$C,$A119,'NSE - Other Index Options'!$B:$B,G$4,'NSE - Other Index Options'!$H:$H,"Weekly*")+SUMIFS('NSE - Other Index Options'!$L:$L,'NSE - Other Index Options'!$C:$C,$A119,'NSE - Other Index Options'!$B:$B,G$4,'NSE - Other Index Options'!$H:$H,"MDAW*")=0,"",SUMIFS('NSE - NIFTY Index Options'!$L:$L,'NSE - NIFTY Index Options'!$C:$C,$A119,'NSE - NIFTY Index Options'!$B:$B,G$4,'NSE - NIFTY Index Options'!$H:$H,"Weekly*")+SUMIFS('NSE - NIFTY Index Options'!$L:$L,'NSE - NIFTY Index Options'!$C:$C,$A119,'NSE - NIFTY Index Options'!$B:$B,G$4,'NSE - NIFTY Index Options'!$H:$H,"MDAW*")+SUMIFS('NSE - Other Index Options'!$L:$L,'NSE - Other Index Options'!$C:$C,$A119,'NSE - Other Index Options'!$B:$B,G$4,'NSE - Other Index Options'!$H:$H,"Weekly*")+SUMIFS('NSE - Other Index Options'!$L:$L,'NSE - Other Index Options'!$C:$C,$A119,'NSE - Other Index Options'!$B:$B,G$4,'NSE - Other Index Options'!$H:$H,"MDAW*"))</f>
        <v/>
      </c>
      <c r="H119" s="26" t="str">
        <f t="shared" si="3"/>
        <v/>
      </c>
    </row>
    <row r="120" spans="1:8" hidden="1" outlineLevel="1">
      <c r="A120" t="s">
        <v>125</v>
      </c>
      <c r="B120" s="26" t="str">
        <f>IF(SUMIFS('NSE - NIFTY Index Options'!$L:$L,'NSE - NIFTY Index Options'!$C:$C,$A120,'NSE - NIFTY Index Options'!$B:$B,B$4,'NSE - NIFTY Index Options'!$H:$H,"Weekly*")+SUMIFS('NSE - NIFTY Index Options'!$L:$L,'NSE - NIFTY Index Options'!$C:$C,$A120,'NSE - NIFTY Index Options'!$B:$B,B$4,'NSE - NIFTY Index Options'!$H:$H,"MDAW*")+SUMIFS('NSE - Other Index Options'!$L:$L,'NSE - Other Index Options'!$C:$C,$A120,'NSE - Other Index Options'!$B:$B,B$4,'NSE - Other Index Options'!$H:$H,"Weekly*")+SUMIFS('NSE - Other Index Options'!$L:$L,'NSE - Other Index Options'!$C:$C,$A120,'NSE - Other Index Options'!$B:$B,B$4,'NSE - Other Index Options'!$H:$H,"MDAW*")=0,"",SUMIFS('NSE - NIFTY Index Options'!$L:$L,'NSE - NIFTY Index Options'!$C:$C,$A120,'NSE - NIFTY Index Options'!$B:$B,B$4,'NSE - NIFTY Index Options'!$H:$H,"Weekly*")+SUMIFS('NSE - NIFTY Index Options'!$L:$L,'NSE - NIFTY Index Options'!$C:$C,$A120,'NSE - NIFTY Index Options'!$B:$B,B$4,'NSE - NIFTY Index Options'!$H:$H,"MDAW*")+SUMIFS('NSE - Other Index Options'!$L:$L,'NSE - Other Index Options'!$C:$C,$A120,'NSE - Other Index Options'!$B:$B,B$4,'NSE - Other Index Options'!$H:$H,"Weekly*")+SUMIFS('NSE - Other Index Options'!$L:$L,'NSE - Other Index Options'!$C:$C,$A120,'NSE - Other Index Options'!$B:$B,B$4,'NSE - Other Index Options'!$H:$H,"MDAW*"))</f>
        <v/>
      </c>
      <c r="C120" s="26" t="str">
        <f>IF(SUMIFS('NSE - NIFTY Index Options'!$L:$L,'NSE - NIFTY Index Options'!$C:$C,$A120,'NSE - NIFTY Index Options'!$B:$B,C$4,'NSE - NIFTY Index Options'!$H:$H,"Weekly*")+SUMIFS('NSE - NIFTY Index Options'!$L:$L,'NSE - NIFTY Index Options'!$C:$C,$A120,'NSE - NIFTY Index Options'!$B:$B,C$4,'NSE - NIFTY Index Options'!$H:$H,"MDAW*")+SUMIFS('NSE - Other Index Options'!$L:$L,'NSE - Other Index Options'!$C:$C,$A120,'NSE - Other Index Options'!$B:$B,C$4,'NSE - Other Index Options'!$H:$H,"Weekly*")+SUMIFS('NSE - Other Index Options'!$L:$L,'NSE - Other Index Options'!$C:$C,$A120,'NSE - Other Index Options'!$B:$B,C$4,'NSE - Other Index Options'!$H:$H,"MDAW*")=0,"",SUMIFS('NSE - NIFTY Index Options'!$L:$L,'NSE - NIFTY Index Options'!$C:$C,$A120,'NSE - NIFTY Index Options'!$B:$B,C$4,'NSE - NIFTY Index Options'!$H:$H,"Weekly*")+SUMIFS('NSE - NIFTY Index Options'!$L:$L,'NSE - NIFTY Index Options'!$C:$C,$A120,'NSE - NIFTY Index Options'!$B:$B,C$4,'NSE - NIFTY Index Options'!$H:$H,"MDAW*")+SUMIFS('NSE - Other Index Options'!$L:$L,'NSE - Other Index Options'!$C:$C,$A120,'NSE - Other Index Options'!$B:$B,C$4,'NSE - Other Index Options'!$H:$H,"Weekly*")+SUMIFS('NSE - Other Index Options'!$L:$L,'NSE - Other Index Options'!$C:$C,$A120,'NSE - Other Index Options'!$B:$B,C$4,'NSE - Other Index Options'!$H:$H,"MDAW*"))</f>
        <v/>
      </c>
      <c r="D120" s="26" t="str">
        <f>IF(SUMIFS('NSE - NIFTY Index Options'!$L:$L,'NSE - NIFTY Index Options'!$C:$C,$A120,'NSE - NIFTY Index Options'!$B:$B,D$4,'NSE - NIFTY Index Options'!$H:$H,"Weekly*")+SUMIFS('NSE - NIFTY Index Options'!$L:$L,'NSE - NIFTY Index Options'!$C:$C,$A120,'NSE - NIFTY Index Options'!$B:$B,D$4,'NSE - NIFTY Index Options'!$H:$H,"MDAW*")+SUMIFS('NSE - Other Index Options'!$L:$L,'NSE - Other Index Options'!$C:$C,$A120,'NSE - Other Index Options'!$B:$B,D$4,'NSE - Other Index Options'!$H:$H,"Weekly*")+SUMIFS('NSE - Other Index Options'!$L:$L,'NSE - Other Index Options'!$C:$C,$A120,'NSE - Other Index Options'!$B:$B,D$4,'NSE - Other Index Options'!$H:$H,"MDAW*")=0,"",SUMIFS('NSE - NIFTY Index Options'!$L:$L,'NSE - NIFTY Index Options'!$C:$C,$A120,'NSE - NIFTY Index Options'!$B:$B,D$4,'NSE - NIFTY Index Options'!$H:$H,"Weekly*")+SUMIFS('NSE - NIFTY Index Options'!$L:$L,'NSE - NIFTY Index Options'!$C:$C,$A120,'NSE - NIFTY Index Options'!$B:$B,D$4,'NSE - NIFTY Index Options'!$H:$H,"MDAW*")+SUMIFS('NSE - Other Index Options'!$L:$L,'NSE - Other Index Options'!$C:$C,$A120,'NSE - Other Index Options'!$B:$B,D$4,'NSE - Other Index Options'!$H:$H,"Weekly*")+SUMIFS('NSE - Other Index Options'!$L:$L,'NSE - Other Index Options'!$C:$C,$A120,'NSE - Other Index Options'!$B:$B,D$4,'NSE - Other Index Options'!$H:$H,"MDAW*"))</f>
        <v/>
      </c>
      <c r="E120" s="26" t="str">
        <f>IF(SUMIFS('NSE - NIFTY Index Options'!$L:$L,'NSE - NIFTY Index Options'!$C:$C,$A120,'NSE - NIFTY Index Options'!$B:$B,E$4,'NSE - NIFTY Index Options'!$H:$H,"Weekly*")+SUMIFS('NSE - NIFTY Index Options'!$L:$L,'NSE - NIFTY Index Options'!$C:$C,$A120,'NSE - NIFTY Index Options'!$B:$B,E$4,'NSE - NIFTY Index Options'!$H:$H,"MDAW*")+SUMIFS('NSE - Other Index Options'!$L:$L,'NSE - Other Index Options'!$C:$C,$A120,'NSE - Other Index Options'!$B:$B,E$4,'NSE - Other Index Options'!$H:$H,"Weekly*")+SUMIFS('NSE - Other Index Options'!$L:$L,'NSE - Other Index Options'!$C:$C,$A120,'NSE - Other Index Options'!$B:$B,E$4,'NSE - Other Index Options'!$H:$H,"MDAW*")=0,"",SUMIFS('NSE - NIFTY Index Options'!$L:$L,'NSE - NIFTY Index Options'!$C:$C,$A120,'NSE - NIFTY Index Options'!$B:$B,E$4,'NSE - NIFTY Index Options'!$H:$H,"Weekly*")+SUMIFS('NSE - NIFTY Index Options'!$L:$L,'NSE - NIFTY Index Options'!$C:$C,$A120,'NSE - NIFTY Index Options'!$B:$B,E$4,'NSE - NIFTY Index Options'!$H:$H,"MDAW*")+SUMIFS('NSE - Other Index Options'!$L:$L,'NSE - Other Index Options'!$C:$C,$A120,'NSE - Other Index Options'!$B:$B,E$4,'NSE - Other Index Options'!$H:$H,"Weekly*")+SUMIFS('NSE - Other Index Options'!$L:$L,'NSE - Other Index Options'!$C:$C,$A120,'NSE - Other Index Options'!$B:$B,E$4,'NSE - Other Index Options'!$H:$H,"MDAW*"))</f>
        <v/>
      </c>
      <c r="F120" s="26" t="str">
        <f>IF(SUMIFS('NSE - NIFTY Index Options'!$L:$L,'NSE - NIFTY Index Options'!$C:$C,$A120,'NSE - NIFTY Index Options'!$B:$B,F$4,'NSE - NIFTY Index Options'!$H:$H,"Weekly*")+SUMIFS('NSE - NIFTY Index Options'!$L:$L,'NSE - NIFTY Index Options'!$C:$C,$A120,'NSE - NIFTY Index Options'!$B:$B,F$4,'NSE - NIFTY Index Options'!$H:$H,"MDAW*")+SUMIFS('NSE - Other Index Options'!$L:$L,'NSE - Other Index Options'!$C:$C,$A120,'NSE - Other Index Options'!$B:$B,F$4,'NSE - Other Index Options'!$H:$H,"Weekly*")+SUMIFS('NSE - Other Index Options'!$L:$L,'NSE - Other Index Options'!$C:$C,$A120,'NSE - Other Index Options'!$B:$B,F$4,'NSE - Other Index Options'!$H:$H,"MDAW*")=0,"",SUMIFS('NSE - NIFTY Index Options'!$L:$L,'NSE - NIFTY Index Options'!$C:$C,$A120,'NSE - NIFTY Index Options'!$B:$B,F$4,'NSE - NIFTY Index Options'!$H:$H,"Weekly*")+SUMIFS('NSE - NIFTY Index Options'!$L:$L,'NSE - NIFTY Index Options'!$C:$C,$A120,'NSE - NIFTY Index Options'!$B:$B,F$4,'NSE - NIFTY Index Options'!$H:$H,"MDAW*")+SUMIFS('NSE - Other Index Options'!$L:$L,'NSE - Other Index Options'!$C:$C,$A120,'NSE - Other Index Options'!$B:$B,F$4,'NSE - Other Index Options'!$H:$H,"Weekly*")+SUMIFS('NSE - Other Index Options'!$L:$L,'NSE - Other Index Options'!$C:$C,$A120,'NSE - Other Index Options'!$B:$B,F$4,'NSE - Other Index Options'!$H:$H,"MDAW*"))</f>
        <v/>
      </c>
      <c r="G120" s="26" t="str">
        <f>IF(SUMIFS('NSE - NIFTY Index Options'!$L:$L,'NSE - NIFTY Index Options'!$C:$C,$A120,'NSE - NIFTY Index Options'!$B:$B,G$4,'NSE - NIFTY Index Options'!$H:$H,"Weekly*")+SUMIFS('NSE - NIFTY Index Options'!$L:$L,'NSE - NIFTY Index Options'!$C:$C,$A120,'NSE - NIFTY Index Options'!$B:$B,G$4,'NSE - NIFTY Index Options'!$H:$H,"MDAW*")+SUMIFS('NSE - Other Index Options'!$L:$L,'NSE - Other Index Options'!$C:$C,$A120,'NSE - Other Index Options'!$B:$B,G$4,'NSE - Other Index Options'!$H:$H,"Weekly*")+SUMIFS('NSE - Other Index Options'!$L:$L,'NSE - Other Index Options'!$C:$C,$A120,'NSE - Other Index Options'!$B:$B,G$4,'NSE - Other Index Options'!$H:$H,"MDAW*")=0,"",SUMIFS('NSE - NIFTY Index Options'!$L:$L,'NSE - NIFTY Index Options'!$C:$C,$A120,'NSE - NIFTY Index Options'!$B:$B,G$4,'NSE - NIFTY Index Options'!$H:$H,"Weekly*")+SUMIFS('NSE - NIFTY Index Options'!$L:$L,'NSE - NIFTY Index Options'!$C:$C,$A120,'NSE - NIFTY Index Options'!$B:$B,G$4,'NSE - NIFTY Index Options'!$H:$H,"MDAW*")+SUMIFS('NSE - Other Index Options'!$L:$L,'NSE - Other Index Options'!$C:$C,$A120,'NSE - Other Index Options'!$B:$B,G$4,'NSE - Other Index Options'!$H:$H,"Weekly*")+SUMIFS('NSE - Other Index Options'!$L:$L,'NSE - Other Index Options'!$C:$C,$A120,'NSE - Other Index Options'!$B:$B,G$4,'NSE - Other Index Options'!$H:$H,"MDAW*"))</f>
        <v/>
      </c>
      <c r="H120" s="26" t="str">
        <f t="shared" si="3"/>
        <v/>
      </c>
    </row>
    <row r="121" spans="1:8" hidden="1" outlineLevel="1">
      <c r="A121" t="s">
        <v>126</v>
      </c>
      <c r="B121" s="26" t="str">
        <f>IF(SUMIFS('NSE - NIFTY Index Options'!$L:$L,'NSE - NIFTY Index Options'!$C:$C,$A121,'NSE - NIFTY Index Options'!$B:$B,B$4,'NSE - NIFTY Index Options'!$H:$H,"Weekly*")+SUMIFS('NSE - NIFTY Index Options'!$L:$L,'NSE - NIFTY Index Options'!$C:$C,$A121,'NSE - NIFTY Index Options'!$B:$B,B$4,'NSE - NIFTY Index Options'!$H:$H,"MDAW*")+SUMIFS('NSE - Other Index Options'!$L:$L,'NSE - Other Index Options'!$C:$C,$A121,'NSE - Other Index Options'!$B:$B,B$4,'NSE - Other Index Options'!$H:$H,"Weekly*")+SUMIFS('NSE - Other Index Options'!$L:$L,'NSE - Other Index Options'!$C:$C,$A121,'NSE - Other Index Options'!$B:$B,B$4,'NSE - Other Index Options'!$H:$H,"MDAW*")=0,"",SUMIFS('NSE - NIFTY Index Options'!$L:$L,'NSE - NIFTY Index Options'!$C:$C,$A121,'NSE - NIFTY Index Options'!$B:$B,B$4,'NSE - NIFTY Index Options'!$H:$H,"Weekly*")+SUMIFS('NSE - NIFTY Index Options'!$L:$L,'NSE - NIFTY Index Options'!$C:$C,$A121,'NSE - NIFTY Index Options'!$B:$B,B$4,'NSE - NIFTY Index Options'!$H:$H,"MDAW*")+SUMIFS('NSE - Other Index Options'!$L:$L,'NSE - Other Index Options'!$C:$C,$A121,'NSE - Other Index Options'!$B:$B,B$4,'NSE - Other Index Options'!$H:$H,"Weekly*")+SUMIFS('NSE - Other Index Options'!$L:$L,'NSE - Other Index Options'!$C:$C,$A121,'NSE - Other Index Options'!$B:$B,B$4,'NSE - Other Index Options'!$H:$H,"MDAW*"))</f>
        <v/>
      </c>
      <c r="C121" s="26" t="str">
        <f>IF(SUMIFS('NSE - NIFTY Index Options'!$L:$L,'NSE - NIFTY Index Options'!$C:$C,$A121,'NSE - NIFTY Index Options'!$B:$B,C$4,'NSE - NIFTY Index Options'!$H:$H,"Weekly*")+SUMIFS('NSE - NIFTY Index Options'!$L:$L,'NSE - NIFTY Index Options'!$C:$C,$A121,'NSE - NIFTY Index Options'!$B:$B,C$4,'NSE - NIFTY Index Options'!$H:$H,"MDAW*")+SUMIFS('NSE - Other Index Options'!$L:$L,'NSE - Other Index Options'!$C:$C,$A121,'NSE - Other Index Options'!$B:$B,C$4,'NSE - Other Index Options'!$H:$H,"Weekly*")+SUMIFS('NSE - Other Index Options'!$L:$L,'NSE - Other Index Options'!$C:$C,$A121,'NSE - Other Index Options'!$B:$B,C$4,'NSE - Other Index Options'!$H:$H,"MDAW*")=0,"",SUMIFS('NSE - NIFTY Index Options'!$L:$L,'NSE - NIFTY Index Options'!$C:$C,$A121,'NSE - NIFTY Index Options'!$B:$B,C$4,'NSE - NIFTY Index Options'!$H:$H,"Weekly*")+SUMIFS('NSE - NIFTY Index Options'!$L:$L,'NSE - NIFTY Index Options'!$C:$C,$A121,'NSE - NIFTY Index Options'!$B:$B,C$4,'NSE - NIFTY Index Options'!$H:$H,"MDAW*")+SUMIFS('NSE - Other Index Options'!$L:$L,'NSE - Other Index Options'!$C:$C,$A121,'NSE - Other Index Options'!$B:$B,C$4,'NSE - Other Index Options'!$H:$H,"Weekly*")+SUMIFS('NSE - Other Index Options'!$L:$L,'NSE - Other Index Options'!$C:$C,$A121,'NSE - Other Index Options'!$B:$B,C$4,'NSE - Other Index Options'!$H:$H,"MDAW*"))</f>
        <v/>
      </c>
      <c r="D121" s="26" t="str">
        <f>IF(SUMIFS('NSE - NIFTY Index Options'!$L:$L,'NSE - NIFTY Index Options'!$C:$C,$A121,'NSE - NIFTY Index Options'!$B:$B,D$4,'NSE - NIFTY Index Options'!$H:$H,"Weekly*")+SUMIFS('NSE - NIFTY Index Options'!$L:$L,'NSE - NIFTY Index Options'!$C:$C,$A121,'NSE - NIFTY Index Options'!$B:$B,D$4,'NSE - NIFTY Index Options'!$H:$H,"MDAW*")+SUMIFS('NSE - Other Index Options'!$L:$L,'NSE - Other Index Options'!$C:$C,$A121,'NSE - Other Index Options'!$B:$B,D$4,'NSE - Other Index Options'!$H:$H,"Weekly*")+SUMIFS('NSE - Other Index Options'!$L:$L,'NSE - Other Index Options'!$C:$C,$A121,'NSE - Other Index Options'!$B:$B,D$4,'NSE - Other Index Options'!$H:$H,"MDAW*")=0,"",SUMIFS('NSE - NIFTY Index Options'!$L:$L,'NSE - NIFTY Index Options'!$C:$C,$A121,'NSE - NIFTY Index Options'!$B:$B,D$4,'NSE - NIFTY Index Options'!$H:$H,"Weekly*")+SUMIFS('NSE - NIFTY Index Options'!$L:$L,'NSE - NIFTY Index Options'!$C:$C,$A121,'NSE - NIFTY Index Options'!$B:$B,D$4,'NSE - NIFTY Index Options'!$H:$H,"MDAW*")+SUMIFS('NSE - Other Index Options'!$L:$L,'NSE - Other Index Options'!$C:$C,$A121,'NSE - Other Index Options'!$B:$B,D$4,'NSE - Other Index Options'!$H:$H,"Weekly*")+SUMIFS('NSE - Other Index Options'!$L:$L,'NSE - Other Index Options'!$C:$C,$A121,'NSE - Other Index Options'!$B:$B,D$4,'NSE - Other Index Options'!$H:$H,"MDAW*"))</f>
        <v/>
      </c>
      <c r="E121" s="26" t="str">
        <f>IF(SUMIFS('NSE - NIFTY Index Options'!$L:$L,'NSE - NIFTY Index Options'!$C:$C,$A121,'NSE - NIFTY Index Options'!$B:$B,E$4,'NSE - NIFTY Index Options'!$H:$H,"Weekly*")+SUMIFS('NSE - NIFTY Index Options'!$L:$L,'NSE - NIFTY Index Options'!$C:$C,$A121,'NSE - NIFTY Index Options'!$B:$B,E$4,'NSE - NIFTY Index Options'!$H:$H,"MDAW*")+SUMIFS('NSE - Other Index Options'!$L:$L,'NSE - Other Index Options'!$C:$C,$A121,'NSE - Other Index Options'!$B:$B,E$4,'NSE - Other Index Options'!$H:$H,"Weekly*")+SUMIFS('NSE - Other Index Options'!$L:$L,'NSE - Other Index Options'!$C:$C,$A121,'NSE - Other Index Options'!$B:$B,E$4,'NSE - Other Index Options'!$H:$H,"MDAW*")=0,"",SUMIFS('NSE - NIFTY Index Options'!$L:$L,'NSE - NIFTY Index Options'!$C:$C,$A121,'NSE - NIFTY Index Options'!$B:$B,E$4,'NSE - NIFTY Index Options'!$H:$H,"Weekly*")+SUMIFS('NSE - NIFTY Index Options'!$L:$L,'NSE - NIFTY Index Options'!$C:$C,$A121,'NSE - NIFTY Index Options'!$B:$B,E$4,'NSE - NIFTY Index Options'!$H:$H,"MDAW*")+SUMIFS('NSE - Other Index Options'!$L:$L,'NSE - Other Index Options'!$C:$C,$A121,'NSE - Other Index Options'!$B:$B,E$4,'NSE - Other Index Options'!$H:$H,"Weekly*")+SUMIFS('NSE - Other Index Options'!$L:$L,'NSE - Other Index Options'!$C:$C,$A121,'NSE - Other Index Options'!$B:$B,E$4,'NSE - Other Index Options'!$H:$H,"MDAW*"))</f>
        <v/>
      </c>
      <c r="F121" s="26" t="str">
        <f>IF(SUMIFS('NSE - NIFTY Index Options'!$L:$L,'NSE - NIFTY Index Options'!$C:$C,$A121,'NSE - NIFTY Index Options'!$B:$B,F$4,'NSE - NIFTY Index Options'!$H:$H,"Weekly*")+SUMIFS('NSE - NIFTY Index Options'!$L:$L,'NSE - NIFTY Index Options'!$C:$C,$A121,'NSE - NIFTY Index Options'!$B:$B,F$4,'NSE - NIFTY Index Options'!$H:$H,"MDAW*")+SUMIFS('NSE - Other Index Options'!$L:$L,'NSE - Other Index Options'!$C:$C,$A121,'NSE - Other Index Options'!$B:$B,F$4,'NSE - Other Index Options'!$H:$H,"Weekly*")+SUMIFS('NSE - Other Index Options'!$L:$L,'NSE - Other Index Options'!$C:$C,$A121,'NSE - Other Index Options'!$B:$B,F$4,'NSE - Other Index Options'!$H:$H,"MDAW*")=0,"",SUMIFS('NSE - NIFTY Index Options'!$L:$L,'NSE - NIFTY Index Options'!$C:$C,$A121,'NSE - NIFTY Index Options'!$B:$B,F$4,'NSE - NIFTY Index Options'!$H:$H,"Weekly*")+SUMIFS('NSE - NIFTY Index Options'!$L:$L,'NSE - NIFTY Index Options'!$C:$C,$A121,'NSE - NIFTY Index Options'!$B:$B,F$4,'NSE - NIFTY Index Options'!$H:$H,"MDAW*")+SUMIFS('NSE - Other Index Options'!$L:$L,'NSE - Other Index Options'!$C:$C,$A121,'NSE - Other Index Options'!$B:$B,F$4,'NSE - Other Index Options'!$H:$H,"Weekly*")+SUMIFS('NSE - Other Index Options'!$L:$L,'NSE - Other Index Options'!$C:$C,$A121,'NSE - Other Index Options'!$B:$B,F$4,'NSE - Other Index Options'!$H:$H,"MDAW*"))</f>
        <v/>
      </c>
      <c r="G121" s="26" t="str">
        <f>IF(SUMIFS('NSE - NIFTY Index Options'!$L:$L,'NSE - NIFTY Index Options'!$C:$C,$A121,'NSE - NIFTY Index Options'!$B:$B,G$4,'NSE - NIFTY Index Options'!$H:$H,"Weekly*")+SUMIFS('NSE - NIFTY Index Options'!$L:$L,'NSE - NIFTY Index Options'!$C:$C,$A121,'NSE - NIFTY Index Options'!$B:$B,G$4,'NSE - NIFTY Index Options'!$H:$H,"MDAW*")+SUMIFS('NSE - Other Index Options'!$L:$L,'NSE - Other Index Options'!$C:$C,$A121,'NSE - Other Index Options'!$B:$B,G$4,'NSE - Other Index Options'!$H:$H,"Weekly*")+SUMIFS('NSE - Other Index Options'!$L:$L,'NSE - Other Index Options'!$C:$C,$A121,'NSE - Other Index Options'!$B:$B,G$4,'NSE - Other Index Options'!$H:$H,"MDAW*")=0,"",SUMIFS('NSE - NIFTY Index Options'!$L:$L,'NSE - NIFTY Index Options'!$C:$C,$A121,'NSE - NIFTY Index Options'!$B:$B,G$4,'NSE - NIFTY Index Options'!$H:$H,"Weekly*")+SUMIFS('NSE - NIFTY Index Options'!$L:$L,'NSE - NIFTY Index Options'!$C:$C,$A121,'NSE - NIFTY Index Options'!$B:$B,G$4,'NSE - NIFTY Index Options'!$H:$H,"MDAW*")+SUMIFS('NSE - Other Index Options'!$L:$L,'NSE - Other Index Options'!$C:$C,$A121,'NSE - Other Index Options'!$B:$B,G$4,'NSE - Other Index Options'!$H:$H,"Weekly*")+SUMIFS('NSE - Other Index Options'!$L:$L,'NSE - Other Index Options'!$C:$C,$A121,'NSE - Other Index Options'!$B:$B,G$4,'NSE - Other Index Options'!$H:$H,"MDAW*"))</f>
        <v/>
      </c>
      <c r="H121" s="26" t="str">
        <f t="shared" si="3"/>
        <v/>
      </c>
    </row>
    <row r="122" spans="1:8" hidden="1" outlineLevel="1">
      <c r="A122" t="s">
        <v>127</v>
      </c>
      <c r="B122" s="26" t="str">
        <f>IF(SUMIFS('NSE - NIFTY Index Options'!$L:$L,'NSE - NIFTY Index Options'!$C:$C,$A122,'NSE - NIFTY Index Options'!$B:$B,B$4,'NSE - NIFTY Index Options'!$H:$H,"Weekly*")+SUMIFS('NSE - NIFTY Index Options'!$L:$L,'NSE - NIFTY Index Options'!$C:$C,$A122,'NSE - NIFTY Index Options'!$B:$B,B$4,'NSE - NIFTY Index Options'!$H:$H,"MDAW*")+SUMIFS('NSE - Other Index Options'!$L:$L,'NSE - Other Index Options'!$C:$C,$A122,'NSE - Other Index Options'!$B:$B,B$4,'NSE - Other Index Options'!$H:$H,"Weekly*")+SUMIFS('NSE - Other Index Options'!$L:$L,'NSE - Other Index Options'!$C:$C,$A122,'NSE - Other Index Options'!$B:$B,B$4,'NSE - Other Index Options'!$H:$H,"MDAW*")=0,"",SUMIFS('NSE - NIFTY Index Options'!$L:$L,'NSE - NIFTY Index Options'!$C:$C,$A122,'NSE - NIFTY Index Options'!$B:$B,B$4,'NSE - NIFTY Index Options'!$H:$H,"Weekly*")+SUMIFS('NSE - NIFTY Index Options'!$L:$L,'NSE - NIFTY Index Options'!$C:$C,$A122,'NSE - NIFTY Index Options'!$B:$B,B$4,'NSE - NIFTY Index Options'!$H:$H,"MDAW*")+SUMIFS('NSE - Other Index Options'!$L:$L,'NSE - Other Index Options'!$C:$C,$A122,'NSE - Other Index Options'!$B:$B,B$4,'NSE - Other Index Options'!$H:$H,"Weekly*")+SUMIFS('NSE - Other Index Options'!$L:$L,'NSE - Other Index Options'!$C:$C,$A122,'NSE - Other Index Options'!$B:$B,B$4,'NSE - Other Index Options'!$H:$H,"MDAW*"))</f>
        <v/>
      </c>
      <c r="C122" s="26" t="str">
        <f>IF(SUMIFS('NSE - NIFTY Index Options'!$L:$L,'NSE - NIFTY Index Options'!$C:$C,$A122,'NSE - NIFTY Index Options'!$B:$B,C$4,'NSE - NIFTY Index Options'!$H:$H,"Weekly*")+SUMIFS('NSE - NIFTY Index Options'!$L:$L,'NSE - NIFTY Index Options'!$C:$C,$A122,'NSE - NIFTY Index Options'!$B:$B,C$4,'NSE - NIFTY Index Options'!$H:$H,"MDAW*")+SUMIFS('NSE - Other Index Options'!$L:$L,'NSE - Other Index Options'!$C:$C,$A122,'NSE - Other Index Options'!$B:$B,C$4,'NSE - Other Index Options'!$H:$H,"Weekly*")+SUMIFS('NSE - Other Index Options'!$L:$L,'NSE - Other Index Options'!$C:$C,$A122,'NSE - Other Index Options'!$B:$B,C$4,'NSE - Other Index Options'!$H:$H,"MDAW*")=0,"",SUMIFS('NSE - NIFTY Index Options'!$L:$L,'NSE - NIFTY Index Options'!$C:$C,$A122,'NSE - NIFTY Index Options'!$B:$B,C$4,'NSE - NIFTY Index Options'!$H:$H,"Weekly*")+SUMIFS('NSE - NIFTY Index Options'!$L:$L,'NSE - NIFTY Index Options'!$C:$C,$A122,'NSE - NIFTY Index Options'!$B:$B,C$4,'NSE - NIFTY Index Options'!$H:$H,"MDAW*")+SUMIFS('NSE - Other Index Options'!$L:$L,'NSE - Other Index Options'!$C:$C,$A122,'NSE - Other Index Options'!$B:$B,C$4,'NSE - Other Index Options'!$H:$H,"Weekly*")+SUMIFS('NSE - Other Index Options'!$L:$L,'NSE - Other Index Options'!$C:$C,$A122,'NSE - Other Index Options'!$B:$B,C$4,'NSE - Other Index Options'!$H:$H,"MDAW*"))</f>
        <v/>
      </c>
      <c r="D122" s="26" t="str">
        <f>IF(SUMIFS('NSE - NIFTY Index Options'!$L:$L,'NSE - NIFTY Index Options'!$C:$C,$A122,'NSE - NIFTY Index Options'!$B:$B,D$4,'NSE - NIFTY Index Options'!$H:$H,"Weekly*")+SUMIFS('NSE - NIFTY Index Options'!$L:$L,'NSE - NIFTY Index Options'!$C:$C,$A122,'NSE - NIFTY Index Options'!$B:$B,D$4,'NSE - NIFTY Index Options'!$H:$H,"MDAW*")+SUMIFS('NSE - Other Index Options'!$L:$L,'NSE - Other Index Options'!$C:$C,$A122,'NSE - Other Index Options'!$B:$B,D$4,'NSE - Other Index Options'!$H:$H,"Weekly*")+SUMIFS('NSE - Other Index Options'!$L:$L,'NSE - Other Index Options'!$C:$C,$A122,'NSE - Other Index Options'!$B:$B,D$4,'NSE - Other Index Options'!$H:$H,"MDAW*")=0,"",SUMIFS('NSE - NIFTY Index Options'!$L:$L,'NSE - NIFTY Index Options'!$C:$C,$A122,'NSE - NIFTY Index Options'!$B:$B,D$4,'NSE - NIFTY Index Options'!$H:$H,"Weekly*")+SUMIFS('NSE - NIFTY Index Options'!$L:$L,'NSE - NIFTY Index Options'!$C:$C,$A122,'NSE - NIFTY Index Options'!$B:$B,D$4,'NSE - NIFTY Index Options'!$H:$H,"MDAW*")+SUMIFS('NSE - Other Index Options'!$L:$L,'NSE - Other Index Options'!$C:$C,$A122,'NSE - Other Index Options'!$B:$B,D$4,'NSE - Other Index Options'!$H:$H,"Weekly*")+SUMIFS('NSE - Other Index Options'!$L:$L,'NSE - Other Index Options'!$C:$C,$A122,'NSE - Other Index Options'!$B:$B,D$4,'NSE - Other Index Options'!$H:$H,"MDAW*"))</f>
        <v/>
      </c>
      <c r="E122" s="26" t="str">
        <f>IF(SUMIFS('NSE - NIFTY Index Options'!$L:$L,'NSE - NIFTY Index Options'!$C:$C,$A122,'NSE - NIFTY Index Options'!$B:$B,E$4,'NSE - NIFTY Index Options'!$H:$H,"Weekly*")+SUMIFS('NSE - NIFTY Index Options'!$L:$L,'NSE - NIFTY Index Options'!$C:$C,$A122,'NSE - NIFTY Index Options'!$B:$B,E$4,'NSE - NIFTY Index Options'!$H:$H,"MDAW*")+SUMIFS('NSE - Other Index Options'!$L:$L,'NSE - Other Index Options'!$C:$C,$A122,'NSE - Other Index Options'!$B:$B,E$4,'NSE - Other Index Options'!$H:$H,"Weekly*")+SUMIFS('NSE - Other Index Options'!$L:$L,'NSE - Other Index Options'!$C:$C,$A122,'NSE - Other Index Options'!$B:$B,E$4,'NSE - Other Index Options'!$H:$H,"MDAW*")=0,"",SUMIFS('NSE - NIFTY Index Options'!$L:$L,'NSE - NIFTY Index Options'!$C:$C,$A122,'NSE - NIFTY Index Options'!$B:$B,E$4,'NSE - NIFTY Index Options'!$H:$H,"Weekly*")+SUMIFS('NSE - NIFTY Index Options'!$L:$L,'NSE - NIFTY Index Options'!$C:$C,$A122,'NSE - NIFTY Index Options'!$B:$B,E$4,'NSE - NIFTY Index Options'!$H:$H,"MDAW*")+SUMIFS('NSE - Other Index Options'!$L:$L,'NSE - Other Index Options'!$C:$C,$A122,'NSE - Other Index Options'!$B:$B,E$4,'NSE - Other Index Options'!$H:$H,"Weekly*")+SUMIFS('NSE - Other Index Options'!$L:$L,'NSE - Other Index Options'!$C:$C,$A122,'NSE - Other Index Options'!$B:$B,E$4,'NSE - Other Index Options'!$H:$H,"MDAW*"))</f>
        <v/>
      </c>
      <c r="F122" s="26" t="str">
        <f>IF(SUMIFS('NSE - NIFTY Index Options'!$L:$L,'NSE - NIFTY Index Options'!$C:$C,$A122,'NSE - NIFTY Index Options'!$B:$B,F$4,'NSE - NIFTY Index Options'!$H:$H,"Weekly*")+SUMIFS('NSE - NIFTY Index Options'!$L:$L,'NSE - NIFTY Index Options'!$C:$C,$A122,'NSE - NIFTY Index Options'!$B:$B,F$4,'NSE - NIFTY Index Options'!$H:$H,"MDAW*")+SUMIFS('NSE - Other Index Options'!$L:$L,'NSE - Other Index Options'!$C:$C,$A122,'NSE - Other Index Options'!$B:$B,F$4,'NSE - Other Index Options'!$H:$H,"Weekly*")+SUMIFS('NSE - Other Index Options'!$L:$L,'NSE - Other Index Options'!$C:$C,$A122,'NSE - Other Index Options'!$B:$B,F$4,'NSE - Other Index Options'!$H:$H,"MDAW*")=0,"",SUMIFS('NSE - NIFTY Index Options'!$L:$L,'NSE - NIFTY Index Options'!$C:$C,$A122,'NSE - NIFTY Index Options'!$B:$B,F$4,'NSE - NIFTY Index Options'!$H:$H,"Weekly*")+SUMIFS('NSE - NIFTY Index Options'!$L:$L,'NSE - NIFTY Index Options'!$C:$C,$A122,'NSE - NIFTY Index Options'!$B:$B,F$4,'NSE - NIFTY Index Options'!$H:$H,"MDAW*")+SUMIFS('NSE - Other Index Options'!$L:$L,'NSE - Other Index Options'!$C:$C,$A122,'NSE - Other Index Options'!$B:$B,F$4,'NSE - Other Index Options'!$H:$H,"Weekly*")+SUMIFS('NSE - Other Index Options'!$L:$L,'NSE - Other Index Options'!$C:$C,$A122,'NSE - Other Index Options'!$B:$B,F$4,'NSE - Other Index Options'!$H:$H,"MDAW*"))</f>
        <v/>
      </c>
      <c r="G122" s="26" t="str">
        <f>IF(SUMIFS('NSE - NIFTY Index Options'!$L:$L,'NSE - NIFTY Index Options'!$C:$C,$A122,'NSE - NIFTY Index Options'!$B:$B,G$4,'NSE - NIFTY Index Options'!$H:$H,"Weekly*")+SUMIFS('NSE - NIFTY Index Options'!$L:$L,'NSE - NIFTY Index Options'!$C:$C,$A122,'NSE - NIFTY Index Options'!$B:$B,G$4,'NSE - NIFTY Index Options'!$H:$H,"MDAW*")+SUMIFS('NSE - Other Index Options'!$L:$L,'NSE - Other Index Options'!$C:$C,$A122,'NSE - Other Index Options'!$B:$B,G$4,'NSE - Other Index Options'!$H:$H,"Weekly*")+SUMIFS('NSE - Other Index Options'!$L:$L,'NSE - Other Index Options'!$C:$C,$A122,'NSE - Other Index Options'!$B:$B,G$4,'NSE - Other Index Options'!$H:$H,"MDAW*")=0,"",SUMIFS('NSE - NIFTY Index Options'!$L:$L,'NSE - NIFTY Index Options'!$C:$C,$A122,'NSE - NIFTY Index Options'!$B:$B,G$4,'NSE - NIFTY Index Options'!$H:$H,"Weekly*")+SUMIFS('NSE - NIFTY Index Options'!$L:$L,'NSE - NIFTY Index Options'!$C:$C,$A122,'NSE - NIFTY Index Options'!$B:$B,G$4,'NSE - NIFTY Index Options'!$H:$H,"MDAW*")+SUMIFS('NSE - Other Index Options'!$L:$L,'NSE - Other Index Options'!$C:$C,$A122,'NSE - Other Index Options'!$B:$B,G$4,'NSE - Other Index Options'!$H:$H,"Weekly*")+SUMIFS('NSE - Other Index Options'!$L:$L,'NSE - Other Index Options'!$C:$C,$A122,'NSE - Other Index Options'!$B:$B,G$4,'NSE - Other Index Options'!$H:$H,"MDAW*"))</f>
        <v/>
      </c>
      <c r="H122" s="26" t="str">
        <f t="shared" si="3"/>
        <v/>
      </c>
    </row>
    <row r="123" spans="1:8" hidden="1" outlineLevel="1">
      <c r="A123" t="s">
        <v>128</v>
      </c>
      <c r="B123" s="26" t="str">
        <f>IF(SUMIFS('NSE - NIFTY Index Options'!$L:$L,'NSE - NIFTY Index Options'!$C:$C,$A123,'NSE - NIFTY Index Options'!$B:$B,B$4,'NSE - NIFTY Index Options'!$H:$H,"Weekly*")+SUMIFS('NSE - NIFTY Index Options'!$L:$L,'NSE - NIFTY Index Options'!$C:$C,$A123,'NSE - NIFTY Index Options'!$B:$B,B$4,'NSE - NIFTY Index Options'!$H:$H,"MDAW*")+SUMIFS('NSE - Other Index Options'!$L:$L,'NSE - Other Index Options'!$C:$C,$A123,'NSE - Other Index Options'!$B:$B,B$4,'NSE - Other Index Options'!$H:$H,"Weekly*")+SUMIFS('NSE - Other Index Options'!$L:$L,'NSE - Other Index Options'!$C:$C,$A123,'NSE - Other Index Options'!$B:$B,B$4,'NSE - Other Index Options'!$H:$H,"MDAW*")=0,"",SUMIFS('NSE - NIFTY Index Options'!$L:$L,'NSE - NIFTY Index Options'!$C:$C,$A123,'NSE - NIFTY Index Options'!$B:$B,B$4,'NSE - NIFTY Index Options'!$H:$H,"Weekly*")+SUMIFS('NSE - NIFTY Index Options'!$L:$L,'NSE - NIFTY Index Options'!$C:$C,$A123,'NSE - NIFTY Index Options'!$B:$B,B$4,'NSE - NIFTY Index Options'!$H:$H,"MDAW*")+SUMIFS('NSE - Other Index Options'!$L:$L,'NSE - Other Index Options'!$C:$C,$A123,'NSE - Other Index Options'!$B:$B,B$4,'NSE - Other Index Options'!$H:$H,"Weekly*")+SUMIFS('NSE - Other Index Options'!$L:$L,'NSE - Other Index Options'!$C:$C,$A123,'NSE - Other Index Options'!$B:$B,B$4,'NSE - Other Index Options'!$H:$H,"MDAW*"))</f>
        <v/>
      </c>
      <c r="C123" s="26" t="str">
        <f>IF(SUMIFS('NSE - NIFTY Index Options'!$L:$L,'NSE - NIFTY Index Options'!$C:$C,$A123,'NSE - NIFTY Index Options'!$B:$B,C$4,'NSE - NIFTY Index Options'!$H:$H,"Weekly*")+SUMIFS('NSE - NIFTY Index Options'!$L:$L,'NSE - NIFTY Index Options'!$C:$C,$A123,'NSE - NIFTY Index Options'!$B:$B,C$4,'NSE - NIFTY Index Options'!$H:$H,"MDAW*")+SUMIFS('NSE - Other Index Options'!$L:$L,'NSE - Other Index Options'!$C:$C,$A123,'NSE - Other Index Options'!$B:$B,C$4,'NSE - Other Index Options'!$H:$H,"Weekly*")+SUMIFS('NSE - Other Index Options'!$L:$L,'NSE - Other Index Options'!$C:$C,$A123,'NSE - Other Index Options'!$B:$B,C$4,'NSE - Other Index Options'!$H:$H,"MDAW*")=0,"",SUMIFS('NSE - NIFTY Index Options'!$L:$L,'NSE - NIFTY Index Options'!$C:$C,$A123,'NSE - NIFTY Index Options'!$B:$B,C$4,'NSE - NIFTY Index Options'!$H:$H,"Weekly*")+SUMIFS('NSE - NIFTY Index Options'!$L:$L,'NSE - NIFTY Index Options'!$C:$C,$A123,'NSE - NIFTY Index Options'!$B:$B,C$4,'NSE - NIFTY Index Options'!$H:$H,"MDAW*")+SUMIFS('NSE - Other Index Options'!$L:$L,'NSE - Other Index Options'!$C:$C,$A123,'NSE - Other Index Options'!$B:$B,C$4,'NSE - Other Index Options'!$H:$H,"Weekly*")+SUMIFS('NSE - Other Index Options'!$L:$L,'NSE - Other Index Options'!$C:$C,$A123,'NSE - Other Index Options'!$B:$B,C$4,'NSE - Other Index Options'!$H:$H,"MDAW*"))</f>
        <v/>
      </c>
      <c r="D123" s="26" t="str">
        <f>IF(SUMIFS('NSE - NIFTY Index Options'!$L:$L,'NSE - NIFTY Index Options'!$C:$C,$A123,'NSE - NIFTY Index Options'!$B:$B,D$4,'NSE - NIFTY Index Options'!$H:$H,"Weekly*")+SUMIFS('NSE - NIFTY Index Options'!$L:$L,'NSE - NIFTY Index Options'!$C:$C,$A123,'NSE - NIFTY Index Options'!$B:$B,D$4,'NSE - NIFTY Index Options'!$H:$H,"MDAW*")+SUMIFS('NSE - Other Index Options'!$L:$L,'NSE - Other Index Options'!$C:$C,$A123,'NSE - Other Index Options'!$B:$B,D$4,'NSE - Other Index Options'!$H:$H,"Weekly*")+SUMIFS('NSE - Other Index Options'!$L:$L,'NSE - Other Index Options'!$C:$C,$A123,'NSE - Other Index Options'!$B:$B,D$4,'NSE - Other Index Options'!$H:$H,"MDAW*")=0,"",SUMIFS('NSE - NIFTY Index Options'!$L:$L,'NSE - NIFTY Index Options'!$C:$C,$A123,'NSE - NIFTY Index Options'!$B:$B,D$4,'NSE - NIFTY Index Options'!$H:$H,"Weekly*")+SUMIFS('NSE - NIFTY Index Options'!$L:$L,'NSE - NIFTY Index Options'!$C:$C,$A123,'NSE - NIFTY Index Options'!$B:$B,D$4,'NSE - NIFTY Index Options'!$H:$H,"MDAW*")+SUMIFS('NSE - Other Index Options'!$L:$L,'NSE - Other Index Options'!$C:$C,$A123,'NSE - Other Index Options'!$B:$B,D$4,'NSE - Other Index Options'!$H:$H,"Weekly*")+SUMIFS('NSE - Other Index Options'!$L:$L,'NSE - Other Index Options'!$C:$C,$A123,'NSE - Other Index Options'!$B:$B,D$4,'NSE - Other Index Options'!$H:$H,"MDAW*"))</f>
        <v/>
      </c>
      <c r="E123" s="26" t="str">
        <f>IF(SUMIFS('NSE - NIFTY Index Options'!$L:$L,'NSE - NIFTY Index Options'!$C:$C,$A123,'NSE - NIFTY Index Options'!$B:$B,E$4,'NSE - NIFTY Index Options'!$H:$H,"Weekly*")+SUMIFS('NSE - NIFTY Index Options'!$L:$L,'NSE - NIFTY Index Options'!$C:$C,$A123,'NSE - NIFTY Index Options'!$B:$B,E$4,'NSE - NIFTY Index Options'!$H:$H,"MDAW*")+SUMIFS('NSE - Other Index Options'!$L:$L,'NSE - Other Index Options'!$C:$C,$A123,'NSE - Other Index Options'!$B:$B,E$4,'NSE - Other Index Options'!$H:$H,"Weekly*")+SUMIFS('NSE - Other Index Options'!$L:$L,'NSE - Other Index Options'!$C:$C,$A123,'NSE - Other Index Options'!$B:$B,E$4,'NSE - Other Index Options'!$H:$H,"MDAW*")=0,"",SUMIFS('NSE - NIFTY Index Options'!$L:$L,'NSE - NIFTY Index Options'!$C:$C,$A123,'NSE - NIFTY Index Options'!$B:$B,E$4,'NSE - NIFTY Index Options'!$H:$H,"Weekly*")+SUMIFS('NSE - NIFTY Index Options'!$L:$L,'NSE - NIFTY Index Options'!$C:$C,$A123,'NSE - NIFTY Index Options'!$B:$B,E$4,'NSE - NIFTY Index Options'!$H:$H,"MDAW*")+SUMIFS('NSE - Other Index Options'!$L:$L,'NSE - Other Index Options'!$C:$C,$A123,'NSE - Other Index Options'!$B:$B,E$4,'NSE - Other Index Options'!$H:$H,"Weekly*")+SUMIFS('NSE - Other Index Options'!$L:$L,'NSE - Other Index Options'!$C:$C,$A123,'NSE - Other Index Options'!$B:$B,E$4,'NSE - Other Index Options'!$H:$H,"MDAW*"))</f>
        <v/>
      </c>
      <c r="F123" s="26" t="str">
        <f>IF(SUMIFS('NSE - NIFTY Index Options'!$L:$L,'NSE - NIFTY Index Options'!$C:$C,$A123,'NSE - NIFTY Index Options'!$B:$B,F$4,'NSE - NIFTY Index Options'!$H:$H,"Weekly*")+SUMIFS('NSE - NIFTY Index Options'!$L:$L,'NSE - NIFTY Index Options'!$C:$C,$A123,'NSE - NIFTY Index Options'!$B:$B,F$4,'NSE - NIFTY Index Options'!$H:$H,"MDAW*")+SUMIFS('NSE - Other Index Options'!$L:$L,'NSE - Other Index Options'!$C:$C,$A123,'NSE - Other Index Options'!$B:$B,F$4,'NSE - Other Index Options'!$H:$H,"Weekly*")+SUMIFS('NSE - Other Index Options'!$L:$L,'NSE - Other Index Options'!$C:$C,$A123,'NSE - Other Index Options'!$B:$B,F$4,'NSE - Other Index Options'!$H:$H,"MDAW*")=0,"",SUMIFS('NSE - NIFTY Index Options'!$L:$L,'NSE - NIFTY Index Options'!$C:$C,$A123,'NSE - NIFTY Index Options'!$B:$B,F$4,'NSE - NIFTY Index Options'!$H:$H,"Weekly*")+SUMIFS('NSE - NIFTY Index Options'!$L:$L,'NSE - NIFTY Index Options'!$C:$C,$A123,'NSE - NIFTY Index Options'!$B:$B,F$4,'NSE - NIFTY Index Options'!$H:$H,"MDAW*")+SUMIFS('NSE - Other Index Options'!$L:$L,'NSE - Other Index Options'!$C:$C,$A123,'NSE - Other Index Options'!$B:$B,F$4,'NSE - Other Index Options'!$H:$H,"Weekly*")+SUMIFS('NSE - Other Index Options'!$L:$L,'NSE - Other Index Options'!$C:$C,$A123,'NSE - Other Index Options'!$B:$B,F$4,'NSE - Other Index Options'!$H:$H,"MDAW*"))</f>
        <v/>
      </c>
      <c r="G123" s="26" t="str">
        <f>IF(SUMIFS('NSE - NIFTY Index Options'!$L:$L,'NSE - NIFTY Index Options'!$C:$C,$A123,'NSE - NIFTY Index Options'!$B:$B,G$4,'NSE - NIFTY Index Options'!$H:$H,"Weekly*")+SUMIFS('NSE - NIFTY Index Options'!$L:$L,'NSE - NIFTY Index Options'!$C:$C,$A123,'NSE - NIFTY Index Options'!$B:$B,G$4,'NSE - NIFTY Index Options'!$H:$H,"MDAW*")+SUMIFS('NSE - Other Index Options'!$L:$L,'NSE - Other Index Options'!$C:$C,$A123,'NSE - Other Index Options'!$B:$B,G$4,'NSE - Other Index Options'!$H:$H,"Weekly*")+SUMIFS('NSE - Other Index Options'!$L:$L,'NSE - Other Index Options'!$C:$C,$A123,'NSE - Other Index Options'!$B:$B,G$4,'NSE - Other Index Options'!$H:$H,"MDAW*")=0,"",SUMIFS('NSE - NIFTY Index Options'!$L:$L,'NSE - NIFTY Index Options'!$C:$C,$A123,'NSE - NIFTY Index Options'!$B:$B,G$4,'NSE - NIFTY Index Options'!$H:$H,"Weekly*")+SUMIFS('NSE - NIFTY Index Options'!$L:$L,'NSE - NIFTY Index Options'!$C:$C,$A123,'NSE - NIFTY Index Options'!$B:$B,G$4,'NSE - NIFTY Index Options'!$H:$H,"MDAW*")+SUMIFS('NSE - Other Index Options'!$L:$L,'NSE - Other Index Options'!$C:$C,$A123,'NSE - Other Index Options'!$B:$B,G$4,'NSE - Other Index Options'!$H:$H,"Weekly*")+SUMIFS('NSE - Other Index Options'!$L:$L,'NSE - Other Index Options'!$C:$C,$A123,'NSE - Other Index Options'!$B:$B,G$4,'NSE - Other Index Options'!$H:$H,"MDAW*"))</f>
        <v/>
      </c>
      <c r="H123" s="26" t="str">
        <f t="shared" si="3"/>
        <v/>
      </c>
    </row>
    <row r="124" spans="1:8" hidden="1" outlineLevel="1">
      <c r="A124" t="s">
        <v>129</v>
      </c>
      <c r="B124" s="26" t="str">
        <f>IF(SUMIFS('NSE - NIFTY Index Options'!$L:$L,'NSE - NIFTY Index Options'!$C:$C,$A124,'NSE - NIFTY Index Options'!$B:$B,B$4,'NSE - NIFTY Index Options'!$H:$H,"Weekly*")+SUMIFS('NSE - NIFTY Index Options'!$L:$L,'NSE - NIFTY Index Options'!$C:$C,$A124,'NSE - NIFTY Index Options'!$B:$B,B$4,'NSE - NIFTY Index Options'!$H:$H,"MDAW*")+SUMIFS('NSE - Other Index Options'!$L:$L,'NSE - Other Index Options'!$C:$C,$A124,'NSE - Other Index Options'!$B:$B,B$4,'NSE - Other Index Options'!$H:$H,"Weekly*")+SUMIFS('NSE - Other Index Options'!$L:$L,'NSE - Other Index Options'!$C:$C,$A124,'NSE - Other Index Options'!$B:$B,B$4,'NSE - Other Index Options'!$H:$H,"MDAW*")=0,"",SUMIFS('NSE - NIFTY Index Options'!$L:$L,'NSE - NIFTY Index Options'!$C:$C,$A124,'NSE - NIFTY Index Options'!$B:$B,B$4,'NSE - NIFTY Index Options'!$H:$H,"Weekly*")+SUMIFS('NSE - NIFTY Index Options'!$L:$L,'NSE - NIFTY Index Options'!$C:$C,$A124,'NSE - NIFTY Index Options'!$B:$B,B$4,'NSE - NIFTY Index Options'!$H:$H,"MDAW*")+SUMIFS('NSE - Other Index Options'!$L:$L,'NSE - Other Index Options'!$C:$C,$A124,'NSE - Other Index Options'!$B:$B,B$4,'NSE - Other Index Options'!$H:$H,"Weekly*")+SUMIFS('NSE - Other Index Options'!$L:$L,'NSE - Other Index Options'!$C:$C,$A124,'NSE - Other Index Options'!$B:$B,B$4,'NSE - Other Index Options'!$H:$H,"MDAW*"))</f>
        <v/>
      </c>
      <c r="C124" s="26" t="str">
        <f>IF(SUMIFS('NSE - NIFTY Index Options'!$L:$L,'NSE - NIFTY Index Options'!$C:$C,$A124,'NSE - NIFTY Index Options'!$B:$B,C$4,'NSE - NIFTY Index Options'!$H:$H,"Weekly*")+SUMIFS('NSE - NIFTY Index Options'!$L:$L,'NSE - NIFTY Index Options'!$C:$C,$A124,'NSE - NIFTY Index Options'!$B:$B,C$4,'NSE - NIFTY Index Options'!$H:$H,"MDAW*")+SUMIFS('NSE - Other Index Options'!$L:$L,'NSE - Other Index Options'!$C:$C,$A124,'NSE - Other Index Options'!$B:$B,C$4,'NSE - Other Index Options'!$H:$H,"Weekly*")+SUMIFS('NSE - Other Index Options'!$L:$L,'NSE - Other Index Options'!$C:$C,$A124,'NSE - Other Index Options'!$B:$B,C$4,'NSE - Other Index Options'!$H:$H,"MDAW*")=0,"",SUMIFS('NSE - NIFTY Index Options'!$L:$L,'NSE - NIFTY Index Options'!$C:$C,$A124,'NSE - NIFTY Index Options'!$B:$B,C$4,'NSE - NIFTY Index Options'!$H:$H,"Weekly*")+SUMIFS('NSE - NIFTY Index Options'!$L:$L,'NSE - NIFTY Index Options'!$C:$C,$A124,'NSE - NIFTY Index Options'!$B:$B,C$4,'NSE - NIFTY Index Options'!$H:$H,"MDAW*")+SUMIFS('NSE - Other Index Options'!$L:$L,'NSE - Other Index Options'!$C:$C,$A124,'NSE - Other Index Options'!$B:$B,C$4,'NSE - Other Index Options'!$H:$H,"Weekly*")+SUMIFS('NSE - Other Index Options'!$L:$L,'NSE - Other Index Options'!$C:$C,$A124,'NSE - Other Index Options'!$B:$B,C$4,'NSE - Other Index Options'!$H:$H,"MDAW*"))</f>
        <v/>
      </c>
      <c r="D124" s="26" t="str">
        <f>IF(SUMIFS('NSE - NIFTY Index Options'!$L:$L,'NSE - NIFTY Index Options'!$C:$C,$A124,'NSE - NIFTY Index Options'!$B:$B,D$4,'NSE - NIFTY Index Options'!$H:$H,"Weekly*")+SUMIFS('NSE - NIFTY Index Options'!$L:$L,'NSE - NIFTY Index Options'!$C:$C,$A124,'NSE - NIFTY Index Options'!$B:$B,D$4,'NSE - NIFTY Index Options'!$H:$H,"MDAW*")+SUMIFS('NSE - Other Index Options'!$L:$L,'NSE - Other Index Options'!$C:$C,$A124,'NSE - Other Index Options'!$B:$B,D$4,'NSE - Other Index Options'!$H:$H,"Weekly*")+SUMIFS('NSE - Other Index Options'!$L:$L,'NSE - Other Index Options'!$C:$C,$A124,'NSE - Other Index Options'!$B:$B,D$4,'NSE - Other Index Options'!$H:$H,"MDAW*")=0,"",SUMIFS('NSE - NIFTY Index Options'!$L:$L,'NSE - NIFTY Index Options'!$C:$C,$A124,'NSE - NIFTY Index Options'!$B:$B,D$4,'NSE - NIFTY Index Options'!$H:$H,"Weekly*")+SUMIFS('NSE - NIFTY Index Options'!$L:$L,'NSE - NIFTY Index Options'!$C:$C,$A124,'NSE - NIFTY Index Options'!$B:$B,D$4,'NSE - NIFTY Index Options'!$H:$H,"MDAW*")+SUMIFS('NSE - Other Index Options'!$L:$L,'NSE - Other Index Options'!$C:$C,$A124,'NSE - Other Index Options'!$B:$B,D$4,'NSE - Other Index Options'!$H:$H,"Weekly*")+SUMIFS('NSE - Other Index Options'!$L:$L,'NSE - Other Index Options'!$C:$C,$A124,'NSE - Other Index Options'!$B:$B,D$4,'NSE - Other Index Options'!$H:$H,"MDAW*"))</f>
        <v/>
      </c>
      <c r="E124" s="26" t="str">
        <f>IF(SUMIFS('NSE - NIFTY Index Options'!$L:$L,'NSE - NIFTY Index Options'!$C:$C,$A124,'NSE - NIFTY Index Options'!$B:$B,E$4,'NSE - NIFTY Index Options'!$H:$H,"Weekly*")+SUMIFS('NSE - NIFTY Index Options'!$L:$L,'NSE - NIFTY Index Options'!$C:$C,$A124,'NSE - NIFTY Index Options'!$B:$B,E$4,'NSE - NIFTY Index Options'!$H:$H,"MDAW*")+SUMIFS('NSE - Other Index Options'!$L:$L,'NSE - Other Index Options'!$C:$C,$A124,'NSE - Other Index Options'!$B:$B,E$4,'NSE - Other Index Options'!$H:$H,"Weekly*")+SUMIFS('NSE - Other Index Options'!$L:$L,'NSE - Other Index Options'!$C:$C,$A124,'NSE - Other Index Options'!$B:$B,E$4,'NSE - Other Index Options'!$H:$H,"MDAW*")=0,"",SUMIFS('NSE - NIFTY Index Options'!$L:$L,'NSE - NIFTY Index Options'!$C:$C,$A124,'NSE - NIFTY Index Options'!$B:$B,E$4,'NSE - NIFTY Index Options'!$H:$H,"Weekly*")+SUMIFS('NSE - NIFTY Index Options'!$L:$L,'NSE - NIFTY Index Options'!$C:$C,$A124,'NSE - NIFTY Index Options'!$B:$B,E$4,'NSE - NIFTY Index Options'!$H:$H,"MDAW*")+SUMIFS('NSE - Other Index Options'!$L:$L,'NSE - Other Index Options'!$C:$C,$A124,'NSE - Other Index Options'!$B:$B,E$4,'NSE - Other Index Options'!$H:$H,"Weekly*")+SUMIFS('NSE - Other Index Options'!$L:$L,'NSE - Other Index Options'!$C:$C,$A124,'NSE - Other Index Options'!$B:$B,E$4,'NSE - Other Index Options'!$H:$H,"MDAW*"))</f>
        <v/>
      </c>
      <c r="F124" s="26" t="str">
        <f>IF(SUMIFS('NSE - NIFTY Index Options'!$L:$L,'NSE - NIFTY Index Options'!$C:$C,$A124,'NSE - NIFTY Index Options'!$B:$B,F$4,'NSE - NIFTY Index Options'!$H:$H,"Weekly*")+SUMIFS('NSE - NIFTY Index Options'!$L:$L,'NSE - NIFTY Index Options'!$C:$C,$A124,'NSE - NIFTY Index Options'!$B:$B,F$4,'NSE - NIFTY Index Options'!$H:$H,"MDAW*")+SUMIFS('NSE - Other Index Options'!$L:$L,'NSE - Other Index Options'!$C:$C,$A124,'NSE - Other Index Options'!$B:$B,F$4,'NSE - Other Index Options'!$H:$H,"Weekly*")+SUMIFS('NSE - Other Index Options'!$L:$L,'NSE - Other Index Options'!$C:$C,$A124,'NSE - Other Index Options'!$B:$B,F$4,'NSE - Other Index Options'!$H:$H,"MDAW*")=0,"",SUMIFS('NSE - NIFTY Index Options'!$L:$L,'NSE - NIFTY Index Options'!$C:$C,$A124,'NSE - NIFTY Index Options'!$B:$B,F$4,'NSE - NIFTY Index Options'!$H:$H,"Weekly*")+SUMIFS('NSE - NIFTY Index Options'!$L:$L,'NSE - NIFTY Index Options'!$C:$C,$A124,'NSE - NIFTY Index Options'!$B:$B,F$4,'NSE - NIFTY Index Options'!$H:$H,"MDAW*")+SUMIFS('NSE - Other Index Options'!$L:$L,'NSE - Other Index Options'!$C:$C,$A124,'NSE - Other Index Options'!$B:$B,F$4,'NSE - Other Index Options'!$H:$H,"Weekly*")+SUMIFS('NSE - Other Index Options'!$L:$L,'NSE - Other Index Options'!$C:$C,$A124,'NSE - Other Index Options'!$B:$B,F$4,'NSE - Other Index Options'!$H:$H,"MDAW*"))</f>
        <v/>
      </c>
      <c r="G124" s="26" t="str">
        <f>IF(SUMIFS('NSE - NIFTY Index Options'!$L:$L,'NSE - NIFTY Index Options'!$C:$C,$A124,'NSE - NIFTY Index Options'!$B:$B,G$4,'NSE - NIFTY Index Options'!$H:$H,"Weekly*")+SUMIFS('NSE - NIFTY Index Options'!$L:$L,'NSE - NIFTY Index Options'!$C:$C,$A124,'NSE - NIFTY Index Options'!$B:$B,G$4,'NSE - NIFTY Index Options'!$H:$H,"MDAW*")+SUMIFS('NSE - Other Index Options'!$L:$L,'NSE - Other Index Options'!$C:$C,$A124,'NSE - Other Index Options'!$B:$B,G$4,'NSE - Other Index Options'!$H:$H,"Weekly*")+SUMIFS('NSE - Other Index Options'!$L:$L,'NSE - Other Index Options'!$C:$C,$A124,'NSE - Other Index Options'!$B:$B,G$4,'NSE - Other Index Options'!$H:$H,"MDAW*")=0,"",SUMIFS('NSE - NIFTY Index Options'!$L:$L,'NSE - NIFTY Index Options'!$C:$C,$A124,'NSE - NIFTY Index Options'!$B:$B,G$4,'NSE - NIFTY Index Options'!$H:$H,"Weekly*")+SUMIFS('NSE - NIFTY Index Options'!$L:$L,'NSE - NIFTY Index Options'!$C:$C,$A124,'NSE - NIFTY Index Options'!$B:$B,G$4,'NSE - NIFTY Index Options'!$H:$H,"MDAW*")+SUMIFS('NSE - Other Index Options'!$L:$L,'NSE - Other Index Options'!$C:$C,$A124,'NSE - Other Index Options'!$B:$B,G$4,'NSE - Other Index Options'!$H:$H,"Weekly*")+SUMIFS('NSE - Other Index Options'!$L:$L,'NSE - Other Index Options'!$C:$C,$A124,'NSE - Other Index Options'!$B:$B,G$4,'NSE - Other Index Options'!$H:$H,"MDAW*"))</f>
        <v/>
      </c>
      <c r="H124" s="26" t="str">
        <f t="shared" si="3"/>
        <v/>
      </c>
    </row>
    <row r="125" spans="1:8" hidden="1" outlineLevel="1">
      <c r="A125" t="s">
        <v>130</v>
      </c>
      <c r="B125" s="26" t="str">
        <f>IF(SUMIFS('NSE - NIFTY Index Options'!$L:$L,'NSE - NIFTY Index Options'!$C:$C,$A125,'NSE - NIFTY Index Options'!$B:$B,B$4,'NSE - NIFTY Index Options'!$H:$H,"Weekly*")+SUMIFS('NSE - NIFTY Index Options'!$L:$L,'NSE - NIFTY Index Options'!$C:$C,$A125,'NSE - NIFTY Index Options'!$B:$B,B$4,'NSE - NIFTY Index Options'!$H:$H,"MDAW*")+SUMIFS('NSE - Other Index Options'!$L:$L,'NSE - Other Index Options'!$C:$C,$A125,'NSE - Other Index Options'!$B:$B,B$4,'NSE - Other Index Options'!$H:$H,"Weekly*")+SUMIFS('NSE - Other Index Options'!$L:$L,'NSE - Other Index Options'!$C:$C,$A125,'NSE - Other Index Options'!$B:$B,B$4,'NSE - Other Index Options'!$H:$H,"MDAW*")=0,"",SUMIFS('NSE - NIFTY Index Options'!$L:$L,'NSE - NIFTY Index Options'!$C:$C,$A125,'NSE - NIFTY Index Options'!$B:$B,B$4,'NSE - NIFTY Index Options'!$H:$H,"Weekly*")+SUMIFS('NSE - NIFTY Index Options'!$L:$L,'NSE - NIFTY Index Options'!$C:$C,$A125,'NSE - NIFTY Index Options'!$B:$B,B$4,'NSE - NIFTY Index Options'!$H:$H,"MDAW*")+SUMIFS('NSE - Other Index Options'!$L:$L,'NSE - Other Index Options'!$C:$C,$A125,'NSE - Other Index Options'!$B:$B,B$4,'NSE - Other Index Options'!$H:$H,"Weekly*")+SUMIFS('NSE - Other Index Options'!$L:$L,'NSE - Other Index Options'!$C:$C,$A125,'NSE - Other Index Options'!$B:$B,B$4,'NSE - Other Index Options'!$H:$H,"MDAW*"))</f>
        <v/>
      </c>
      <c r="C125" s="26" t="str">
        <f>IF(SUMIFS('NSE - NIFTY Index Options'!$L:$L,'NSE - NIFTY Index Options'!$C:$C,$A125,'NSE - NIFTY Index Options'!$B:$B,C$4,'NSE - NIFTY Index Options'!$H:$H,"Weekly*")+SUMIFS('NSE - NIFTY Index Options'!$L:$L,'NSE - NIFTY Index Options'!$C:$C,$A125,'NSE - NIFTY Index Options'!$B:$B,C$4,'NSE - NIFTY Index Options'!$H:$H,"MDAW*")+SUMIFS('NSE - Other Index Options'!$L:$L,'NSE - Other Index Options'!$C:$C,$A125,'NSE - Other Index Options'!$B:$B,C$4,'NSE - Other Index Options'!$H:$H,"Weekly*")+SUMIFS('NSE - Other Index Options'!$L:$L,'NSE - Other Index Options'!$C:$C,$A125,'NSE - Other Index Options'!$B:$B,C$4,'NSE - Other Index Options'!$H:$H,"MDAW*")=0,"",SUMIFS('NSE - NIFTY Index Options'!$L:$L,'NSE - NIFTY Index Options'!$C:$C,$A125,'NSE - NIFTY Index Options'!$B:$B,C$4,'NSE - NIFTY Index Options'!$H:$H,"Weekly*")+SUMIFS('NSE - NIFTY Index Options'!$L:$L,'NSE - NIFTY Index Options'!$C:$C,$A125,'NSE - NIFTY Index Options'!$B:$B,C$4,'NSE - NIFTY Index Options'!$H:$H,"MDAW*")+SUMIFS('NSE - Other Index Options'!$L:$L,'NSE - Other Index Options'!$C:$C,$A125,'NSE - Other Index Options'!$B:$B,C$4,'NSE - Other Index Options'!$H:$H,"Weekly*")+SUMIFS('NSE - Other Index Options'!$L:$L,'NSE - Other Index Options'!$C:$C,$A125,'NSE - Other Index Options'!$B:$B,C$4,'NSE - Other Index Options'!$H:$H,"MDAW*"))</f>
        <v/>
      </c>
      <c r="D125" s="26" t="str">
        <f>IF(SUMIFS('NSE - NIFTY Index Options'!$L:$L,'NSE - NIFTY Index Options'!$C:$C,$A125,'NSE - NIFTY Index Options'!$B:$B,D$4,'NSE - NIFTY Index Options'!$H:$H,"Weekly*")+SUMIFS('NSE - NIFTY Index Options'!$L:$L,'NSE - NIFTY Index Options'!$C:$C,$A125,'NSE - NIFTY Index Options'!$B:$B,D$4,'NSE - NIFTY Index Options'!$H:$H,"MDAW*")+SUMIFS('NSE - Other Index Options'!$L:$L,'NSE - Other Index Options'!$C:$C,$A125,'NSE - Other Index Options'!$B:$B,D$4,'NSE - Other Index Options'!$H:$H,"Weekly*")+SUMIFS('NSE - Other Index Options'!$L:$L,'NSE - Other Index Options'!$C:$C,$A125,'NSE - Other Index Options'!$B:$B,D$4,'NSE - Other Index Options'!$H:$H,"MDAW*")=0,"",SUMIFS('NSE - NIFTY Index Options'!$L:$L,'NSE - NIFTY Index Options'!$C:$C,$A125,'NSE - NIFTY Index Options'!$B:$B,D$4,'NSE - NIFTY Index Options'!$H:$H,"Weekly*")+SUMIFS('NSE - NIFTY Index Options'!$L:$L,'NSE - NIFTY Index Options'!$C:$C,$A125,'NSE - NIFTY Index Options'!$B:$B,D$4,'NSE - NIFTY Index Options'!$H:$H,"MDAW*")+SUMIFS('NSE - Other Index Options'!$L:$L,'NSE - Other Index Options'!$C:$C,$A125,'NSE - Other Index Options'!$B:$B,D$4,'NSE - Other Index Options'!$H:$H,"Weekly*")+SUMIFS('NSE - Other Index Options'!$L:$L,'NSE - Other Index Options'!$C:$C,$A125,'NSE - Other Index Options'!$B:$B,D$4,'NSE - Other Index Options'!$H:$H,"MDAW*"))</f>
        <v/>
      </c>
      <c r="E125" s="26" t="str">
        <f>IF(SUMIFS('NSE - NIFTY Index Options'!$L:$L,'NSE - NIFTY Index Options'!$C:$C,$A125,'NSE - NIFTY Index Options'!$B:$B,E$4,'NSE - NIFTY Index Options'!$H:$H,"Weekly*")+SUMIFS('NSE - NIFTY Index Options'!$L:$L,'NSE - NIFTY Index Options'!$C:$C,$A125,'NSE - NIFTY Index Options'!$B:$B,E$4,'NSE - NIFTY Index Options'!$H:$H,"MDAW*")+SUMIFS('NSE - Other Index Options'!$L:$L,'NSE - Other Index Options'!$C:$C,$A125,'NSE - Other Index Options'!$B:$B,E$4,'NSE - Other Index Options'!$H:$H,"Weekly*")+SUMIFS('NSE - Other Index Options'!$L:$L,'NSE - Other Index Options'!$C:$C,$A125,'NSE - Other Index Options'!$B:$B,E$4,'NSE - Other Index Options'!$H:$H,"MDAW*")=0,"",SUMIFS('NSE - NIFTY Index Options'!$L:$L,'NSE - NIFTY Index Options'!$C:$C,$A125,'NSE - NIFTY Index Options'!$B:$B,E$4,'NSE - NIFTY Index Options'!$H:$H,"Weekly*")+SUMIFS('NSE - NIFTY Index Options'!$L:$L,'NSE - NIFTY Index Options'!$C:$C,$A125,'NSE - NIFTY Index Options'!$B:$B,E$4,'NSE - NIFTY Index Options'!$H:$H,"MDAW*")+SUMIFS('NSE - Other Index Options'!$L:$L,'NSE - Other Index Options'!$C:$C,$A125,'NSE - Other Index Options'!$B:$B,E$4,'NSE - Other Index Options'!$H:$H,"Weekly*")+SUMIFS('NSE - Other Index Options'!$L:$L,'NSE - Other Index Options'!$C:$C,$A125,'NSE - Other Index Options'!$B:$B,E$4,'NSE - Other Index Options'!$H:$H,"MDAW*"))</f>
        <v/>
      </c>
      <c r="F125" s="26" t="str">
        <f>IF(SUMIFS('NSE - NIFTY Index Options'!$L:$L,'NSE - NIFTY Index Options'!$C:$C,$A125,'NSE - NIFTY Index Options'!$B:$B,F$4,'NSE - NIFTY Index Options'!$H:$H,"Weekly*")+SUMIFS('NSE - NIFTY Index Options'!$L:$L,'NSE - NIFTY Index Options'!$C:$C,$A125,'NSE - NIFTY Index Options'!$B:$B,F$4,'NSE - NIFTY Index Options'!$H:$H,"MDAW*")+SUMIFS('NSE - Other Index Options'!$L:$L,'NSE - Other Index Options'!$C:$C,$A125,'NSE - Other Index Options'!$B:$B,F$4,'NSE - Other Index Options'!$H:$H,"Weekly*")+SUMIFS('NSE - Other Index Options'!$L:$L,'NSE - Other Index Options'!$C:$C,$A125,'NSE - Other Index Options'!$B:$B,F$4,'NSE - Other Index Options'!$H:$H,"MDAW*")=0,"",SUMIFS('NSE - NIFTY Index Options'!$L:$L,'NSE - NIFTY Index Options'!$C:$C,$A125,'NSE - NIFTY Index Options'!$B:$B,F$4,'NSE - NIFTY Index Options'!$H:$H,"Weekly*")+SUMIFS('NSE - NIFTY Index Options'!$L:$L,'NSE - NIFTY Index Options'!$C:$C,$A125,'NSE - NIFTY Index Options'!$B:$B,F$4,'NSE - NIFTY Index Options'!$H:$H,"MDAW*")+SUMIFS('NSE - Other Index Options'!$L:$L,'NSE - Other Index Options'!$C:$C,$A125,'NSE - Other Index Options'!$B:$B,F$4,'NSE - Other Index Options'!$H:$H,"Weekly*")+SUMIFS('NSE - Other Index Options'!$L:$L,'NSE - Other Index Options'!$C:$C,$A125,'NSE - Other Index Options'!$B:$B,F$4,'NSE - Other Index Options'!$H:$H,"MDAW*"))</f>
        <v/>
      </c>
      <c r="G125" s="26" t="str">
        <f>IF(SUMIFS('NSE - NIFTY Index Options'!$L:$L,'NSE - NIFTY Index Options'!$C:$C,$A125,'NSE - NIFTY Index Options'!$B:$B,G$4,'NSE - NIFTY Index Options'!$H:$H,"Weekly*")+SUMIFS('NSE - NIFTY Index Options'!$L:$L,'NSE - NIFTY Index Options'!$C:$C,$A125,'NSE - NIFTY Index Options'!$B:$B,G$4,'NSE - NIFTY Index Options'!$H:$H,"MDAW*")+SUMIFS('NSE - Other Index Options'!$L:$L,'NSE - Other Index Options'!$C:$C,$A125,'NSE - Other Index Options'!$B:$B,G$4,'NSE - Other Index Options'!$H:$H,"Weekly*")+SUMIFS('NSE - Other Index Options'!$L:$L,'NSE - Other Index Options'!$C:$C,$A125,'NSE - Other Index Options'!$B:$B,G$4,'NSE - Other Index Options'!$H:$H,"MDAW*")=0,"",SUMIFS('NSE - NIFTY Index Options'!$L:$L,'NSE - NIFTY Index Options'!$C:$C,$A125,'NSE - NIFTY Index Options'!$B:$B,G$4,'NSE - NIFTY Index Options'!$H:$H,"Weekly*")+SUMIFS('NSE - NIFTY Index Options'!$L:$L,'NSE - NIFTY Index Options'!$C:$C,$A125,'NSE - NIFTY Index Options'!$B:$B,G$4,'NSE - NIFTY Index Options'!$H:$H,"MDAW*")+SUMIFS('NSE - Other Index Options'!$L:$L,'NSE - Other Index Options'!$C:$C,$A125,'NSE - Other Index Options'!$B:$B,G$4,'NSE - Other Index Options'!$H:$H,"Weekly*")+SUMIFS('NSE - Other Index Options'!$L:$L,'NSE - Other Index Options'!$C:$C,$A125,'NSE - Other Index Options'!$B:$B,G$4,'NSE - Other Index Options'!$H:$H,"MDAW*"))</f>
        <v/>
      </c>
      <c r="H125" s="26" t="str">
        <f t="shared" si="3"/>
        <v/>
      </c>
    </row>
    <row r="126" spans="1:8" hidden="1" outlineLevel="1">
      <c r="A126" t="s">
        <v>131</v>
      </c>
      <c r="B126" s="26" t="str">
        <f>IF(SUMIFS('NSE - NIFTY Index Options'!$L:$L,'NSE - NIFTY Index Options'!$C:$C,$A126,'NSE - NIFTY Index Options'!$B:$B,B$4,'NSE - NIFTY Index Options'!$H:$H,"Weekly*")+SUMIFS('NSE - NIFTY Index Options'!$L:$L,'NSE - NIFTY Index Options'!$C:$C,$A126,'NSE - NIFTY Index Options'!$B:$B,B$4,'NSE - NIFTY Index Options'!$H:$H,"MDAW*")+SUMIFS('NSE - Other Index Options'!$L:$L,'NSE - Other Index Options'!$C:$C,$A126,'NSE - Other Index Options'!$B:$B,B$4,'NSE - Other Index Options'!$H:$H,"Weekly*")+SUMIFS('NSE - Other Index Options'!$L:$L,'NSE - Other Index Options'!$C:$C,$A126,'NSE - Other Index Options'!$B:$B,B$4,'NSE - Other Index Options'!$H:$H,"MDAW*")=0,"",SUMIFS('NSE - NIFTY Index Options'!$L:$L,'NSE - NIFTY Index Options'!$C:$C,$A126,'NSE - NIFTY Index Options'!$B:$B,B$4,'NSE - NIFTY Index Options'!$H:$H,"Weekly*")+SUMIFS('NSE - NIFTY Index Options'!$L:$L,'NSE - NIFTY Index Options'!$C:$C,$A126,'NSE - NIFTY Index Options'!$B:$B,B$4,'NSE - NIFTY Index Options'!$H:$H,"MDAW*")+SUMIFS('NSE - Other Index Options'!$L:$L,'NSE - Other Index Options'!$C:$C,$A126,'NSE - Other Index Options'!$B:$B,B$4,'NSE - Other Index Options'!$H:$H,"Weekly*")+SUMIFS('NSE - Other Index Options'!$L:$L,'NSE - Other Index Options'!$C:$C,$A126,'NSE - Other Index Options'!$B:$B,B$4,'NSE - Other Index Options'!$H:$H,"MDAW*"))</f>
        <v/>
      </c>
      <c r="C126" s="26" t="str">
        <f>IF(SUMIFS('NSE - NIFTY Index Options'!$L:$L,'NSE - NIFTY Index Options'!$C:$C,$A126,'NSE - NIFTY Index Options'!$B:$B,C$4,'NSE - NIFTY Index Options'!$H:$H,"Weekly*")+SUMIFS('NSE - NIFTY Index Options'!$L:$L,'NSE - NIFTY Index Options'!$C:$C,$A126,'NSE - NIFTY Index Options'!$B:$B,C$4,'NSE - NIFTY Index Options'!$H:$H,"MDAW*")+SUMIFS('NSE - Other Index Options'!$L:$L,'NSE - Other Index Options'!$C:$C,$A126,'NSE - Other Index Options'!$B:$B,C$4,'NSE - Other Index Options'!$H:$H,"Weekly*")+SUMIFS('NSE - Other Index Options'!$L:$L,'NSE - Other Index Options'!$C:$C,$A126,'NSE - Other Index Options'!$B:$B,C$4,'NSE - Other Index Options'!$H:$H,"MDAW*")=0,"",SUMIFS('NSE - NIFTY Index Options'!$L:$L,'NSE - NIFTY Index Options'!$C:$C,$A126,'NSE - NIFTY Index Options'!$B:$B,C$4,'NSE - NIFTY Index Options'!$H:$H,"Weekly*")+SUMIFS('NSE - NIFTY Index Options'!$L:$L,'NSE - NIFTY Index Options'!$C:$C,$A126,'NSE - NIFTY Index Options'!$B:$B,C$4,'NSE - NIFTY Index Options'!$H:$H,"MDAW*")+SUMIFS('NSE - Other Index Options'!$L:$L,'NSE - Other Index Options'!$C:$C,$A126,'NSE - Other Index Options'!$B:$B,C$4,'NSE - Other Index Options'!$H:$H,"Weekly*")+SUMIFS('NSE - Other Index Options'!$L:$L,'NSE - Other Index Options'!$C:$C,$A126,'NSE - Other Index Options'!$B:$B,C$4,'NSE - Other Index Options'!$H:$H,"MDAW*"))</f>
        <v/>
      </c>
      <c r="D126" s="26" t="str">
        <f>IF(SUMIFS('NSE - NIFTY Index Options'!$L:$L,'NSE - NIFTY Index Options'!$C:$C,$A126,'NSE - NIFTY Index Options'!$B:$B,D$4,'NSE - NIFTY Index Options'!$H:$H,"Weekly*")+SUMIFS('NSE - NIFTY Index Options'!$L:$L,'NSE - NIFTY Index Options'!$C:$C,$A126,'NSE - NIFTY Index Options'!$B:$B,D$4,'NSE - NIFTY Index Options'!$H:$H,"MDAW*")+SUMIFS('NSE - Other Index Options'!$L:$L,'NSE - Other Index Options'!$C:$C,$A126,'NSE - Other Index Options'!$B:$B,D$4,'NSE - Other Index Options'!$H:$H,"Weekly*")+SUMIFS('NSE - Other Index Options'!$L:$L,'NSE - Other Index Options'!$C:$C,$A126,'NSE - Other Index Options'!$B:$B,D$4,'NSE - Other Index Options'!$H:$H,"MDAW*")=0,"",SUMIFS('NSE - NIFTY Index Options'!$L:$L,'NSE - NIFTY Index Options'!$C:$C,$A126,'NSE - NIFTY Index Options'!$B:$B,D$4,'NSE - NIFTY Index Options'!$H:$H,"Weekly*")+SUMIFS('NSE - NIFTY Index Options'!$L:$L,'NSE - NIFTY Index Options'!$C:$C,$A126,'NSE - NIFTY Index Options'!$B:$B,D$4,'NSE - NIFTY Index Options'!$H:$H,"MDAW*")+SUMIFS('NSE - Other Index Options'!$L:$L,'NSE - Other Index Options'!$C:$C,$A126,'NSE - Other Index Options'!$B:$B,D$4,'NSE - Other Index Options'!$H:$H,"Weekly*")+SUMIFS('NSE - Other Index Options'!$L:$L,'NSE - Other Index Options'!$C:$C,$A126,'NSE - Other Index Options'!$B:$B,D$4,'NSE - Other Index Options'!$H:$H,"MDAW*"))</f>
        <v/>
      </c>
      <c r="E126" s="26" t="str">
        <f>IF(SUMIFS('NSE - NIFTY Index Options'!$L:$L,'NSE - NIFTY Index Options'!$C:$C,$A126,'NSE - NIFTY Index Options'!$B:$B,E$4,'NSE - NIFTY Index Options'!$H:$H,"Weekly*")+SUMIFS('NSE - NIFTY Index Options'!$L:$L,'NSE - NIFTY Index Options'!$C:$C,$A126,'NSE - NIFTY Index Options'!$B:$B,E$4,'NSE - NIFTY Index Options'!$H:$H,"MDAW*")+SUMIFS('NSE - Other Index Options'!$L:$L,'NSE - Other Index Options'!$C:$C,$A126,'NSE - Other Index Options'!$B:$B,E$4,'NSE - Other Index Options'!$H:$H,"Weekly*")+SUMIFS('NSE - Other Index Options'!$L:$L,'NSE - Other Index Options'!$C:$C,$A126,'NSE - Other Index Options'!$B:$B,E$4,'NSE - Other Index Options'!$H:$H,"MDAW*")=0,"",SUMIFS('NSE - NIFTY Index Options'!$L:$L,'NSE - NIFTY Index Options'!$C:$C,$A126,'NSE - NIFTY Index Options'!$B:$B,E$4,'NSE - NIFTY Index Options'!$H:$H,"Weekly*")+SUMIFS('NSE - NIFTY Index Options'!$L:$L,'NSE - NIFTY Index Options'!$C:$C,$A126,'NSE - NIFTY Index Options'!$B:$B,E$4,'NSE - NIFTY Index Options'!$H:$H,"MDAW*")+SUMIFS('NSE - Other Index Options'!$L:$L,'NSE - Other Index Options'!$C:$C,$A126,'NSE - Other Index Options'!$B:$B,E$4,'NSE - Other Index Options'!$H:$H,"Weekly*")+SUMIFS('NSE - Other Index Options'!$L:$L,'NSE - Other Index Options'!$C:$C,$A126,'NSE - Other Index Options'!$B:$B,E$4,'NSE - Other Index Options'!$H:$H,"MDAW*"))</f>
        <v/>
      </c>
      <c r="F126" s="26" t="str">
        <f>IF(SUMIFS('NSE - NIFTY Index Options'!$L:$L,'NSE - NIFTY Index Options'!$C:$C,$A126,'NSE - NIFTY Index Options'!$B:$B,F$4,'NSE - NIFTY Index Options'!$H:$H,"Weekly*")+SUMIFS('NSE - NIFTY Index Options'!$L:$L,'NSE - NIFTY Index Options'!$C:$C,$A126,'NSE - NIFTY Index Options'!$B:$B,F$4,'NSE - NIFTY Index Options'!$H:$H,"MDAW*")+SUMIFS('NSE - Other Index Options'!$L:$L,'NSE - Other Index Options'!$C:$C,$A126,'NSE - Other Index Options'!$B:$B,F$4,'NSE - Other Index Options'!$H:$H,"Weekly*")+SUMIFS('NSE - Other Index Options'!$L:$L,'NSE - Other Index Options'!$C:$C,$A126,'NSE - Other Index Options'!$B:$B,F$4,'NSE - Other Index Options'!$H:$H,"MDAW*")=0,"",SUMIFS('NSE - NIFTY Index Options'!$L:$L,'NSE - NIFTY Index Options'!$C:$C,$A126,'NSE - NIFTY Index Options'!$B:$B,F$4,'NSE - NIFTY Index Options'!$H:$H,"Weekly*")+SUMIFS('NSE - NIFTY Index Options'!$L:$L,'NSE - NIFTY Index Options'!$C:$C,$A126,'NSE - NIFTY Index Options'!$B:$B,F$4,'NSE - NIFTY Index Options'!$H:$H,"MDAW*")+SUMIFS('NSE - Other Index Options'!$L:$L,'NSE - Other Index Options'!$C:$C,$A126,'NSE - Other Index Options'!$B:$B,F$4,'NSE - Other Index Options'!$H:$H,"Weekly*")+SUMIFS('NSE - Other Index Options'!$L:$L,'NSE - Other Index Options'!$C:$C,$A126,'NSE - Other Index Options'!$B:$B,F$4,'NSE - Other Index Options'!$H:$H,"MDAW*"))</f>
        <v/>
      </c>
      <c r="G126" s="26" t="str">
        <f>IF(SUMIFS('NSE - NIFTY Index Options'!$L:$L,'NSE - NIFTY Index Options'!$C:$C,$A126,'NSE - NIFTY Index Options'!$B:$B,G$4,'NSE - NIFTY Index Options'!$H:$H,"Weekly*")+SUMIFS('NSE - NIFTY Index Options'!$L:$L,'NSE - NIFTY Index Options'!$C:$C,$A126,'NSE - NIFTY Index Options'!$B:$B,G$4,'NSE - NIFTY Index Options'!$H:$H,"MDAW*")+SUMIFS('NSE - Other Index Options'!$L:$L,'NSE - Other Index Options'!$C:$C,$A126,'NSE - Other Index Options'!$B:$B,G$4,'NSE - Other Index Options'!$H:$H,"Weekly*")+SUMIFS('NSE - Other Index Options'!$L:$L,'NSE - Other Index Options'!$C:$C,$A126,'NSE - Other Index Options'!$B:$B,G$4,'NSE - Other Index Options'!$H:$H,"MDAW*")=0,"",SUMIFS('NSE - NIFTY Index Options'!$L:$L,'NSE - NIFTY Index Options'!$C:$C,$A126,'NSE - NIFTY Index Options'!$B:$B,G$4,'NSE - NIFTY Index Options'!$H:$H,"Weekly*")+SUMIFS('NSE - NIFTY Index Options'!$L:$L,'NSE - NIFTY Index Options'!$C:$C,$A126,'NSE - NIFTY Index Options'!$B:$B,G$4,'NSE - NIFTY Index Options'!$H:$H,"MDAW*")+SUMIFS('NSE - Other Index Options'!$L:$L,'NSE - Other Index Options'!$C:$C,$A126,'NSE - Other Index Options'!$B:$B,G$4,'NSE - Other Index Options'!$H:$H,"Weekly*")+SUMIFS('NSE - Other Index Options'!$L:$L,'NSE - Other Index Options'!$C:$C,$A126,'NSE - Other Index Options'!$B:$B,G$4,'NSE - Other Index Options'!$H:$H,"MDAW*"))</f>
        <v/>
      </c>
      <c r="H126" s="26" t="str">
        <f t="shared" si="3"/>
        <v/>
      </c>
    </row>
    <row r="127" spans="1:8" hidden="1" outlineLevel="1">
      <c r="A127" t="s">
        <v>132</v>
      </c>
      <c r="B127" s="26" t="str">
        <f>IF(SUMIFS('NSE - NIFTY Index Options'!$L:$L,'NSE - NIFTY Index Options'!$C:$C,$A127,'NSE - NIFTY Index Options'!$B:$B,B$4,'NSE - NIFTY Index Options'!$H:$H,"Weekly*")+SUMIFS('NSE - NIFTY Index Options'!$L:$L,'NSE - NIFTY Index Options'!$C:$C,$A127,'NSE - NIFTY Index Options'!$B:$B,B$4,'NSE - NIFTY Index Options'!$H:$H,"MDAW*")+SUMIFS('NSE - Other Index Options'!$L:$L,'NSE - Other Index Options'!$C:$C,$A127,'NSE - Other Index Options'!$B:$B,B$4,'NSE - Other Index Options'!$H:$H,"Weekly*")+SUMIFS('NSE - Other Index Options'!$L:$L,'NSE - Other Index Options'!$C:$C,$A127,'NSE - Other Index Options'!$B:$B,B$4,'NSE - Other Index Options'!$H:$H,"MDAW*")=0,"",SUMIFS('NSE - NIFTY Index Options'!$L:$L,'NSE - NIFTY Index Options'!$C:$C,$A127,'NSE - NIFTY Index Options'!$B:$B,B$4,'NSE - NIFTY Index Options'!$H:$H,"Weekly*")+SUMIFS('NSE - NIFTY Index Options'!$L:$L,'NSE - NIFTY Index Options'!$C:$C,$A127,'NSE - NIFTY Index Options'!$B:$B,B$4,'NSE - NIFTY Index Options'!$H:$H,"MDAW*")+SUMIFS('NSE - Other Index Options'!$L:$L,'NSE - Other Index Options'!$C:$C,$A127,'NSE - Other Index Options'!$B:$B,B$4,'NSE - Other Index Options'!$H:$H,"Weekly*")+SUMIFS('NSE - Other Index Options'!$L:$L,'NSE - Other Index Options'!$C:$C,$A127,'NSE - Other Index Options'!$B:$B,B$4,'NSE - Other Index Options'!$H:$H,"MDAW*"))</f>
        <v/>
      </c>
      <c r="C127" s="26" t="str">
        <f>IF(SUMIFS('NSE - NIFTY Index Options'!$L:$L,'NSE - NIFTY Index Options'!$C:$C,$A127,'NSE - NIFTY Index Options'!$B:$B,C$4,'NSE - NIFTY Index Options'!$H:$H,"Weekly*")+SUMIFS('NSE - NIFTY Index Options'!$L:$L,'NSE - NIFTY Index Options'!$C:$C,$A127,'NSE - NIFTY Index Options'!$B:$B,C$4,'NSE - NIFTY Index Options'!$H:$H,"MDAW*")+SUMIFS('NSE - Other Index Options'!$L:$L,'NSE - Other Index Options'!$C:$C,$A127,'NSE - Other Index Options'!$B:$B,C$4,'NSE - Other Index Options'!$H:$H,"Weekly*")+SUMIFS('NSE - Other Index Options'!$L:$L,'NSE - Other Index Options'!$C:$C,$A127,'NSE - Other Index Options'!$B:$B,C$4,'NSE - Other Index Options'!$H:$H,"MDAW*")=0,"",SUMIFS('NSE - NIFTY Index Options'!$L:$L,'NSE - NIFTY Index Options'!$C:$C,$A127,'NSE - NIFTY Index Options'!$B:$B,C$4,'NSE - NIFTY Index Options'!$H:$H,"Weekly*")+SUMIFS('NSE - NIFTY Index Options'!$L:$L,'NSE - NIFTY Index Options'!$C:$C,$A127,'NSE - NIFTY Index Options'!$B:$B,C$4,'NSE - NIFTY Index Options'!$H:$H,"MDAW*")+SUMIFS('NSE - Other Index Options'!$L:$L,'NSE - Other Index Options'!$C:$C,$A127,'NSE - Other Index Options'!$B:$B,C$4,'NSE - Other Index Options'!$H:$H,"Weekly*")+SUMIFS('NSE - Other Index Options'!$L:$L,'NSE - Other Index Options'!$C:$C,$A127,'NSE - Other Index Options'!$B:$B,C$4,'NSE - Other Index Options'!$H:$H,"MDAW*"))</f>
        <v/>
      </c>
      <c r="D127" s="26" t="str">
        <f>IF(SUMIFS('NSE - NIFTY Index Options'!$L:$L,'NSE - NIFTY Index Options'!$C:$C,$A127,'NSE - NIFTY Index Options'!$B:$B,D$4,'NSE - NIFTY Index Options'!$H:$H,"Weekly*")+SUMIFS('NSE - NIFTY Index Options'!$L:$L,'NSE - NIFTY Index Options'!$C:$C,$A127,'NSE - NIFTY Index Options'!$B:$B,D$4,'NSE - NIFTY Index Options'!$H:$H,"MDAW*")+SUMIFS('NSE - Other Index Options'!$L:$L,'NSE - Other Index Options'!$C:$C,$A127,'NSE - Other Index Options'!$B:$B,D$4,'NSE - Other Index Options'!$H:$H,"Weekly*")+SUMIFS('NSE - Other Index Options'!$L:$L,'NSE - Other Index Options'!$C:$C,$A127,'NSE - Other Index Options'!$B:$B,D$4,'NSE - Other Index Options'!$H:$H,"MDAW*")=0,"",SUMIFS('NSE - NIFTY Index Options'!$L:$L,'NSE - NIFTY Index Options'!$C:$C,$A127,'NSE - NIFTY Index Options'!$B:$B,D$4,'NSE - NIFTY Index Options'!$H:$H,"Weekly*")+SUMIFS('NSE - NIFTY Index Options'!$L:$L,'NSE - NIFTY Index Options'!$C:$C,$A127,'NSE - NIFTY Index Options'!$B:$B,D$4,'NSE - NIFTY Index Options'!$H:$H,"MDAW*")+SUMIFS('NSE - Other Index Options'!$L:$L,'NSE - Other Index Options'!$C:$C,$A127,'NSE - Other Index Options'!$B:$B,D$4,'NSE - Other Index Options'!$H:$H,"Weekly*")+SUMIFS('NSE - Other Index Options'!$L:$L,'NSE - Other Index Options'!$C:$C,$A127,'NSE - Other Index Options'!$B:$B,D$4,'NSE - Other Index Options'!$H:$H,"MDAW*"))</f>
        <v/>
      </c>
      <c r="E127" s="26" t="str">
        <f>IF(SUMIFS('NSE - NIFTY Index Options'!$L:$L,'NSE - NIFTY Index Options'!$C:$C,$A127,'NSE - NIFTY Index Options'!$B:$B,E$4,'NSE - NIFTY Index Options'!$H:$H,"Weekly*")+SUMIFS('NSE - NIFTY Index Options'!$L:$L,'NSE - NIFTY Index Options'!$C:$C,$A127,'NSE - NIFTY Index Options'!$B:$B,E$4,'NSE - NIFTY Index Options'!$H:$H,"MDAW*")+SUMIFS('NSE - Other Index Options'!$L:$L,'NSE - Other Index Options'!$C:$C,$A127,'NSE - Other Index Options'!$B:$B,E$4,'NSE - Other Index Options'!$H:$H,"Weekly*")+SUMIFS('NSE - Other Index Options'!$L:$L,'NSE - Other Index Options'!$C:$C,$A127,'NSE - Other Index Options'!$B:$B,E$4,'NSE - Other Index Options'!$H:$H,"MDAW*")=0,"",SUMIFS('NSE - NIFTY Index Options'!$L:$L,'NSE - NIFTY Index Options'!$C:$C,$A127,'NSE - NIFTY Index Options'!$B:$B,E$4,'NSE - NIFTY Index Options'!$H:$H,"Weekly*")+SUMIFS('NSE - NIFTY Index Options'!$L:$L,'NSE - NIFTY Index Options'!$C:$C,$A127,'NSE - NIFTY Index Options'!$B:$B,E$4,'NSE - NIFTY Index Options'!$H:$H,"MDAW*")+SUMIFS('NSE - Other Index Options'!$L:$L,'NSE - Other Index Options'!$C:$C,$A127,'NSE - Other Index Options'!$B:$B,E$4,'NSE - Other Index Options'!$H:$H,"Weekly*")+SUMIFS('NSE - Other Index Options'!$L:$L,'NSE - Other Index Options'!$C:$C,$A127,'NSE - Other Index Options'!$B:$B,E$4,'NSE - Other Index Options'!$H:$H,"MDAW*"))</f>
        <v/>
      </c>
      <c r="F127" s="26" t="str">
        <f>IF(SUMIFS('NSE - NIFTY Index Options'!$L:$L,'NSE - NIFTY Index Options'!$C:$C,$A127,'NSE - NIFTY Index Options'!$B:$B,F$4,'NSE - NIFTY Index Options'!$H:$H,"Weekly*")+SUMIFS('NSE - NIFTY Index Options'!$L:$L,'NSE - NIFTY Index Options'!$C:$C,$A127,'NSE - NIFTY Index Options'!$B:$B,F$4,'NSE - NIFTY Index Options'!$H:$H,"MDAW*")+SUMIFS('NSE - Other Index Options'!$L:$L,'NSE - Other Index Options'!$C:$C,$A127,'NSE - Other Index Options'!$B:$B,F$4,'NSE - Other Index Options'!$H:$H,"Weekly*")+SUMIFS('NSE - Other Index Options'!$L:$L,'NSE - Other Index Options'!$C:$C,$A127,'NSE - Other Index Options'!$B:$B,F$4,'NSE - Other Index Options'!$H:$H,"MDAW*")=0,"",SUMIFS('NSE - NIFTY Index Options'!$L:$L,'NSE - NIFTY Index Options'!$C:$C,$A127,'NSE - NIFTY Index Options'!$B:$B,F$4,'NSE - NIFTY Index Options'!$H:$H,"Weekly*")+SUMIFS('NSE - NIFTY Index Options'!$L:$L,'NSE - NIFTY Index Options'!$C:$C,$A127,'NSE - NIFTY Index Options'!$B:$B,F$4,'NSE - NIFTY Index Options'!$H:$H,"MDAW*")+SUMIFS('NSE - Other Index Options'!$L:$L,'NSE - Other Index Options'!$C:$C,$A127,'NSE - Other Index Options'!$B:$B,F$4,'NSE - Other Index Options'!$H:$H,"Weekly*")+SUMIFS('NSE - Other Index Options'!$L:$L,'NSE - Other Index Options'!$C:$C,$A127,'NSE - Other Index Options'!$B:$B,F$4,'NSE - Other Index Options'!$H:$H,"MDAW*"))</f>
        <v/>
      </c>
      <c r="G127" s="26" t="str">
        <f>IF(SUMIFS('NSE - NIFTY Index Options'!$L:$L,'NSE - NIFTY Index Options'!$C:$C,$A127,'NSE - NIFTY Index Options'!$B:$B,G$4,'NSE - NIFTY Index Options'!$H:$H,"Weekly*")+SUMIFS('NSE - NIFTY Index Options'!$L:$L,'NSE - NIFTY Index Options'!$C:$C,$A127,'NSE - NIFTY Index Options'!$B:$B,G$4,'NSE - NIFTY Index Options'!$H:$H,"MDAW*")+SUMIFS('NSE - Other Index Options'!$L:$L,'NSE - Other Index Options'!$C:$C,$A127,'NSE - Other Index Options'!$B:$B,G$4,'NSE - Other Index Options'!$H:$H,"Weekly*")+SUMIFS('NSE - Other Index Options'!$L:$L,'NSE - Other Index Options'!$C:$C,$A127,'NSE - Other Index Options'!$B:$B,G$4,'NSE - Other Index Options'!$H:$H,"MDAW*")=0,"",SUMIFS('NSE - NIFTY Index Options'!$L:$L,'NSE - NIFTY Index Options'!$C:$C,$A127,'NSE - NIFTY Index Options'!$B:$B,G$4,'NSE - NIFTY Index Options'!$H:$H,"Weekly*")+SUMIFS('NSE - NIFTY Index Options'!$L:$L,'NSE - NIFTY Index Options'!$C:$C,$A127,'NSE - NIFTY Index Options'!$B:$B,G$4,'NSE - NIFTY Index Options'!$H:$H,"MDAW*")+SUMIFS('NSE - Other Index Options'!$L:$L,'NSE - Other Index Options'!$C:$C,$A127,'NSE - Other Index Options'!$B:$B,G$4,'NSE - Other Index Options'!$H:$H,"Weekly*")+SUMIFS('NSE - Other Index Options'!$L:$L,'NSE - Other Index Options'!$C:$C,$A127,'NSE - Other Index Options'!$B:$B,G$4,'NSE - Other Index Options'!$H:$H,"MDAW*"))</f>
        <v/>
      </c>
      <c r="H127" s="26" t="str">
        <f t="shared" si="3"/>
        <v/>
      </c>
    </row>
    <row r="128" spans="1:8" hidden="1" outlineLevel="1">
      <c r="A128" t="s">
        <v>133</v>
      </c>
      <c r="B128" s="26" t="str">
        <f>IF(SUMIFS('NSE - NIFTY Index Options'!$L:$L,'NSE - NIFTY Index Options'!$C:$C,$A128,'NSE - NIFTY Index Options'!$B:$B,B$4,'NSE - NIFTY Index Options'!$H:$H,"Weekly*")+SUMIFS('NSE - NIFTY Index Options'!$L:$L,'NSE - NIFTY Index Options'!$C:$C,$A128,'NSE - NIFTY Index Options'!$B:$B,B$4,'NSE - NIFTY Index Options'!$H:$H,"MDAW*")+SUMIFS('NSE - Other Index Options'!$L:$L,'NSE - Other Index Options'!$C:$C,$A128,'NSE - Other Index Options'!$B:$B,B$4,'NSE - Other Index Options'!$H:$H,"Weekly*")+SUMIFS('NSE - Other Index Options'!$L:$L,'NSE - Other Index Options'!$C:$C,$A128,'NSE - Other Index Options'!$B:$B,B$4,'NSE - Other Index Options'!$H:$H,"MDAW*")=0,"",SUMIFS('NSE - NIFTY Index Options'!$L:$L,'NSE - NIFTY Index Options'!$C:$C,$A128,'NSE - NIFTY Index Options'!$B:$B,B$4,'NSE - NIFTY Index Options'!$H:$H,"Weekly*")+SUMIFS('NSE - NIFTY Index Options'!$L:$L,'NSE - NIFTY Index Options'!$C:$C,$A128,'NSE - NIFTY Index Options'!$B:$B,B$4,'NSE - NIFTY Index Options'!$H:$H,"MDAW*")+SUMIFS('NSE - Other Index Options'!$L:$L,'NSE - Other Index Options'!$C:$C,$A128,'NSE - Other Index Options'!$B:$B,B$4,'NSE - Other Index Options'!$H:$H,"Weekly*")+SUMIFS('NSE - Other Index Options'!$L:$L,'NSE - Other Index Options'!$C:$C,$A128,'NSE - Other Index Options'!$B:$B,B$4,'NSE - Other Index Options'!$H:$H,"MDAW*"))</f>
        <v/>
      </c>
      <c r="C128" s="26" t="str">
        <f>IF(SUMIFS('NSE - NIFTY Index Options'!$L:$L,'NSE - NIFTY Index Options'!$C:$C,$A128,'NSE - NIFTY Index Options'!$B:$B,C$4,'NSE - NIFTY Index Options'!$H:$H,"Weekly*")+SUMIFS('NSE - NIFTY Index Options'!$L:$L,'NSE - NIFTY Index Options'!$C:$C,$A128,'NSE - NIFTY Index Options'!$B:$B,C$4,'NSE - NIFTY Index Options'!$H:$H,"MDAW*")+SUMIFS('NSE - Other Index Options'!$L:$L,'NSE - Other Index Options'!$C:$C,$A128,'NSE - Other Index Options'!$B:$B,C$4,'NSE - Other Index Options'!$H:$H,"Weekly*")+SUMIFS('NSE - Other Index Options'!$L:$L,'NSE - Other Index Options'!$C:$C,$A128,'NSE - Other Index Options'!$B:$B,C$4,'NSE - Other Index Options'!$H:$H,"MDAW*")=0,"",SUMIFS('NSE - NIFTY Index Options'!$L:$L,'NSE - NIFTY Index Options'!$C:$C,$A128,'NSE - NIFTY Index Options'!$B:$B,C$4,'NSE - NIFTY Index Options'!$H:$H,"Weekly*")+SUMIFS('NSE - NIFTY Index Options'!$L:$L,'NSE - NIFTY Index Options'!$C:$C,$A128,'NSE - NIFTY Index Options'!$B:$B,C$4,'NSE - NIFTY Index Options'!$H:$H,"MDAW*")+SUMIFS('NSE - Other Index Options'!$L:$L,'NSE - Other Index Options'!$C:$C,$A128,'NSE - Other Index Options'!$B:$B,C$4,'NSE - Other Index Options'!$H:$H,"Weekly*")+SUMIFS('NSE - Other Index Options'!$L:$L,'NSE - Other Index Options'!$C:$C,$A128,'NSE - Other Index Options'!$B:$B,C$4,'NSE - Other Index Options'!$H:$H,"MDAW*"))</f>
        <v/>
      </c>
      <c r="D128" s="26" t="str">
        <f>IF(SUMIFS('NSE - NIFTY Index Options'!$L:$L,'NSE - NIFTY Index Options'!$C:$C,$A128,'NSE - NIFTY Index Options'!$B:$B,D$4,'NSE - NIFTY Index Options'!$H:$H,"Weekly*")+SUMIFS('NSE - NIFTY Index Options'!$L:$L,'NSE - NIFTY Index Options'!$C:$C,$A128,'NSE - NIFTY Index Options'!$B:$B,D$4,'NSE - NIFTY Index Options'!$H:$H,"MDAW*")+SUMIFS('NSE - Other Index Options'!$L:$L,'NSE - Other Index Options'!$C:$C,$A128,'NSE - Other Index Options'!$B:$B,D$4,'NSE - Other Index Options'!$H:$H,"Weekly*")+SUMIFS('NSE - Other Index Options'!$L:$L,'NSE - Other Index Options'!$C:$C,$A128,'NSE - Other Index Options'!$B:$B,D$4,'NSE - Other Index Options'!$H:$H,"MDAW*")=0,"",SUMIFS('NSE - NIFTY Index Options'!$L:$L,'NSE - NIFTY Index Options'!$C:$C,$A128,'NSE - NIFTY Index Options'!$B:$B,D$4,'NSE - NIFTY Index Options'!$H:$H,"Weekly*")+SUMIFS('NSE - NIFTY Index Options'!$L:$L,'NSE - NIFTY Index Options'!$C:$C,$A128,'NSE - NIFTY Index Options'!$B:$B,D$4,'NSE - NIFTY Index Options'!$H:$H,"MDAW*")+SUMIFS('NSE - Other Index Options'!$L:$L,'NSE - Other Index Options'!$C:$C,$A128,'NSE - Other Index Options'!$B:$B,D$4,'NSE - Other Index Options'!$H:$H,"Weekly*")+SUMIFS('NSE - Other Index Options'!$L:$L,'NSE - Other Index Options'!$C:$C,$A128,'NSE - Other Index Options'!$B:$B,D$4,'NSE - Other Index Options'!$H:$H,"MDAW*"))</f>
        <v/>
      </c>
      <c r="E128" s="26" t="str">
        <f>IF(SUMIFS('NSE - NIFTY Index Options'!$L:$L,'NSE - NIFTY Index Options'!$C:$C,$A128,'NSE - NIFTY Index Options'!$B:$B,E$4,'NSE - NIFTY Index Options'!$H:$H,"Weekly*")+SUMIFS('NSE - NIFTY Index Options'!$L:$L,'NSE - NIFTY Index Options'!$C:$C,$A128,'NSE - NIFTY Index Options'!$B:$B,E$4,'NSE - NIFTY Index Options'!$H:$H,"MDAW*")+SUMIFS('NSE - Other Index Options'!$L:$L,'NSE - Other Index Options'!$C:$C,$A128,'NSE - Other Index Options'!$B:$B,E$4,'NSE - Other Index Options'!$H:$H,"Weekly*")+SUMIFS('NSE - Other Index Options'!$L:$L,'NSE - Other Index Options'!$C:$C,$A128,'NSE - Other Index Options'!$B:$B,E$4,'NSE - Other Index Options'!$H:$H,"MDAW*")=0,"",SUMIFS('NSE - NIFTY Index Options'!$L:$L,'NSE - NIFTY Index Options'!$C:$C,$A128,'NSE - NIFTY Index Options'!$B:$B,E$4,'NSE - NIFTY Index Options'!$H:$H,"Weekly*")+SUMIFS('NSE - NIFTY Index Options'!$L:$L,'NSE - NIFTY Index Options'!$C:$C,$A128,'NSE - NIFTY Index Options'!$B:$B,E$4,'NSE - NIFTY Index Options'!$H:$H,"MDAW*")+SUMIFS('NSE - Other Index Options'!$L:$L,'NSE - Other Index Options'!$C:$C,$A128,'NSE - Other Index Options'!$B:$B,E$4,'NSE - Other Index Options'!$H:$H,"Weekly*")+SUMIFS('NSE - Other Index Options'!$L:$L,'NSE - Other Index Options'!$C:$C,$A128,'NSE - Other Index Options'!$B:$B,E$4,'NSE - Other Index Options'!$H:$H,"MDAW*"))</f>
        <v/>
      </c>
      <c r="F128" s="26" t="str">
        <f>IF(SUMIFS('NSE - NIFTY Index Options'!$L:$L,'NSE - NIFTY Index Options'!$C:$C,$A128,'NSE - NIFTY Index Options'!$B:$B,F$4,'NSE - NIFTY Index Options'!$H:$H,"Weekly*")+SUMIFS('NSE - NIFTY Index Options'!$L:$L,'NSE - NIFTY Index Options'!$C:$C,$A128,'NSE - NIFTY Index Options'!$B:$B,F$4,'NSE - NIFTY Index Options'!$H:$H,"MDAW*")+SUMIFS('NSE - Other Index Options'!$L:$L,'NSE - Other Index Options'!$C:$C,$A128,'NSE - Other Index Options'!$B:$B,F$4,'NSE - Other Index Options'!$H:$H,"Weekly*")+SUMIFS('NSE - Other Index Options'!$L:$L,'NSE - Other Index Options'!$C:$C,$A128,'NSE - Other Index Options'!$B:$B,F$4,'NSE - Other Index Options'!$H:$H,"MDAW*")=0,"",SUMIFS('NSE - NIFTY Index Options'!$L:$L,'NSE - NIFTY Index Options'!$C:$C,$A128,'NSE - NIFTY Index Options'!$B:$B,F$4,'NSE - NIFTY Index Options'!$H:$H,"Weekly*")+SUMIFS('NSE - NIFTY Index Options'!$L:$L,'NSE - NIFTY Index Options'!$C:$C,$A128,'NSE - NIFTY Index Options'!$B:$B,F$4,'NSE - NIFTY Index Options'!$H:$H,"MDAW*")+SUMIFS('NSE - Other Index Options'!$L:$L,'NSE - Other Index Options'!$C:$C,$A128,'NSE - Other Index Options'!$B:$B,F$4,'NSE - Other Index Options'!$H:$H,"Weekly*")+SUMIFS('NSE - Other Index Options'!$L:$L,'NSE - Other Index Options'!$C:$C,$A128,'NSE - Other Index Options'!$B:$B,F$4,'NSE - Other Index Options'!$H:$H,"MDAW*"))</f>
        <v/>
      </c>
      <c r="G128" s="26" t="str">
        <f>IF(SUMIFS('NSE - NIFTY Index Options'!$L:$L,'NSE - NIFTY Index Options'!$C:$C,$A128,'NSE - NIFTY Index Options'!$B:$B,G$4,'NSE - NIFTY Index Options'!$H:$H,"Weekly*")+SUMIFS('NSE - NIFTY Index Options'!$L:$L,'NSE - NIFTY Index Options'!$C:$C,$A128,'NSE - NIFTY Index Options'!$B:$B,G$4,'NSE - NIFTY Index Options'!$H:$H,"MDAW*")+SUMIFS('NSE - Other Index Options'!$L:$L,'NSE - Other Index Options'!$C:$C,$A128,'NSE - Other Index Options'!$B:$B,G$4,'NSE - Other Index Options'!$H:$H,"Weekly*")+SUMIFS('NSE - Other Index Options'!$L:$L,'NSE - Other Index Options'!$C:$C,$A128,'NSE - Other Index Options'!$B:$B,G$4,'NSE - Other Index Options'!$H:$H,"MDAW*")=0,"",SUMIFS('NSE - NIFTY Index Options'!$L:$L,'NSE - NIFTY Index Options'!$C:$C,$A128,'NSE - NIFTY Index Options'!$B:$B,G$4,'NSE - NIFTY Index Options'!$H:$H,"Weekly*")+SUMIFS('NSE - NIFTY Index Options'!$L:$L,'NSE - NIFTY Index Options'!$C:$C,$A128,'NSE - NIFTY Index Options'!$B:$B,G$4,'NSE - NIFTY Index Options'!$H:$H,"MDAW*")+SUMIFS('NSE - Other Index Options'!$L:$L,'NSE - Other Index Options'!$C:$C,$A128,'NSE - Other Index Options'!$B:$B,G$4,'NSE - Other Index Options'!$H:$H,"Weekly*")+SUMIFS('NSE - Other Index Options'!$L:$L,'NSE - Other Index Options'!$C:$C,$A128,'NSE - Other Index Options'!$B:$B,G$4,'NSE - Other Index Options'!$H:$H,"MDAW*"))</f>
        <v/>
      </c>
      <c r="H128" s="26" t="str">
        <f t="shared" si="3"/>
        <v/>
      </c>
    </row>
    <row r="129" spans="1:8" hidden="1" outlineLevel="1">
      <c r="A129" t="s">
        <v>134</v>
      </c>
      <c r="B129" s="26" t="str">
        <f>IF(SUMIFS('NSE - NIFTY Index Options'!$L:$L,'NSE - NIFTY Index Options'!$C:$C,$A129,'NSE - NIFTY Index Options'!$B:$B,B$4,'NSE - NIFTY Index Options'!$H:$H,"Weekly*")+SUMIFS('NSE - NIFTY Index Options'!$L:$L,'NSE - NIFTY Index Options'!$C:$C,$A129,'NSE - NIFTY Index Options'!$B:$B,B$4,'NSE - NIFTY Index Options'!$H:$H,"MDAW*")+SUMIFS('NSE - Other Index Options'!$L:$L,'NSE - Other Index Options'!$C:$C,$A129,'NSE - Other Index Options'!$B:$B,B$4,'NSE - Other Index Options'!$H:$H,"Weekly*")+SUMIFS('NSE - Other Index Options'!$L:$L,'NSE - Other Index Options'!$C:$C,$A129,'NSE - Other Index Options'!$B:$B,B$4,'NSE - Other Index Options'!$H:$H,"MDAW*")=0,"",SUMIFS('NSE - NIFTY Index Options'!$L:$L,'NSE - NIFTY Index Options'!$C:$C,$A129,'NSE - NIFTY Index Options'!$B:$B,B$4,'NSE - NIFTY Index Options'!$H:$H,"Weekly*")+SUMIFS('NSE - NIFTY Index Options'!$L:$L,'NSE - NIFTY Index Options'!$C:$C,$A129,'NSE - NIFTY Index Options'!$B:$B,B$4,'NSE - NIFTY Index Options'!$H:$H,"MDAW*")+SUMIFS('NSE - Other Index Options'!$L:$L,'NSE - Other Index Options'!$C:$C,$A129,'NSE - Other Index Options'!$B:$B,B$4,'NSE - Other Index Options'!$H:$H,"Weekly*")+SUMIFS('NSE - Other Index Options'!$L:$L,'NSE - Other Index Options'!$C:$C,$A129,'NSE - Other Index Options'!$B:$B,B$4,'NSE - Other Index Options'!$H:$H,"MDAW*"))</f>
        <v/>
      </c>
      <c r="C129" s="26" t="str">
        <f>IF(SUMIFS('NSE - NIFTY Index Options'!$L:$L,'NSE - NIFTY Index Options'!$C:$C,$A129,'NSE - NIFTY Index Options'!$B:$B,C$4,'NSE - NIFTY Index Options'!$H:$H,"Weekly*")+SUMIFS('NSE - NIFTY Index Options'!$L:$L,'NSE - NIFTY Index Options'!$C:$C,$A129,'NSE - NIFTY Index Options'!$B:$B,C$4,'NSE - NIFTY Index Options'!$H:$H,"MDAW*")+SUMIFS('NSE - Other Index Options'!$L:$L,'NSE - Other Index Options'!$C:$C,$A129,'NSE - Other Index Options'!$B:$B,C$4,'NSE - Other Index Options'!$H:$H,"Weekly*")+SUMIFS('NSE - Other Index Options'!$L:$L,'NSE - Other Index Options'!$C:$C,$A129,'NSE - Other Index Options'!$B:$B,C$4,'NSE - Other Index Options'!$H:$H,"MDAW*")=0,"",SUMIFS('NSE - NIFTY Index Options'!$L:$L,'NSE - NIFTY Index Options'!$C:$C,$A129,'NSE - NIFTY Index Options'!$B:$B,C$4,'NSE - NIFTY Index Options'!$H:$H,"Weekly*")+SUMIFS('NSE - NIFTY Index Options'!$L:$L,'NSE - NIFTY Index Options'!$C:$C,$A129,'NSE - NIFTY Index Options'!$B:$B,C$4,'NSE - NIFTY Index Options'!$H:$H,"MDAW*")+SUMIFS('NSE - Other Index Options'!$L:$L,'NSE - Other Index Options'!$C:$C,$A129,'NSE - Other Index Options'!$B:$B,C$4,'NSE - Other Index Options'!$H:$H,"Weekly*")+SUMIFS('NSE - Other Index Options'!$L:$L,'NSE - Other Index Options'!$C:$C,$A129,'NSE - Other Index Options'!$B:$B,C$4,'NSE - Other Index Options'!$H:$H,"MDAW*"))</f>
        <v/>
      </c>
      <c r="D129" s="26" t="str">
        <f>IF(SUMIFS('NSE - NIFTY Index Options'!$L:$L,'NSE - NIFTY Index Options'!$C:$C,$A129,'NSE - NIFTY Index Options'!$B:$B,D$4,'NSE - NIFTY Index Options'!$H:$H,"Weekly*")+SUMIFS('NSE - NIFTY Index Options'!$L:$L,'NSE - NIFTY Index Options'!$C:$C,$A129,'NSE - NIFTY Index Options'!$B:$B,D$4,'NSE - NIFTY Index Options'!$H:$H,"MDAW*")+SUMIFS('NSE - Other Index Options'!$L:$L,'NSE - Other Index Options'!$C:$C,$A129,'NSE - Other Index Options'!$B:$B,D$4,'NSE - Other Index Options'!$H:$H,"Weekly*")+SUMIFS('NSE - Other Index Options'!$L:$L,'NSE - Other Index Options'!$C:$C,$A129,'NSE - Other Index Options'!$B:$B,D$4,'NSE - Other Index Options'!$H:$H,"MDAW*")=0,"",SUMIFS('NSE - NIFTY Index Options'!$L:$L,'NSE - NIFTY Index Options'!$C:$C,$A129,'NSE - NIFTY Index Options'!$B:$B,D$4,'NSE - NIFTY Index Options'!$H:$H,"Weekly*")+SUMIFS('NSE - NIFTY Index Options'!$L:$L,'NSE - NIFTY Index Options'!$C:$C,$A129,'NSE - NIFTY Index Options'!$B:$B,D$4,'NSE - NIFTY Index Options'!$H:$H,"MDAW*")+SUMIFS('NSE - Other Index Options'!$L:$L,'NSE - Other Index Options'!$C:$C,$A129,'NSE - Other Index Options'!$B:$B,D$4,'NSE - Other Index Options'!$H:$H,"Weekly*")+SUMIFS('NSE - Other Index Options'!$L:$L,'NSE - Other Index Options'!$C:$C,$A129,'NSE - Other Index Options'!$B:$B,D$4,'NSE - Other Index Options'!$H:$H,"MDAW*"))</f>
        <v/>
      </c>
      <c r="E129" s="26" t="str">
        <f>IF(SUMIFS('NSE - NIFTY Index Options'!$L:$L,'NSE - NIFTY Index Options'!$C:$C,$A129,'NSE - NIFTY Index Options'!$B:$B,E$4,'NSE - NIFTY Index Options'!$H:$H,"Weekly*")+SUMIFS('NSE - NIFTY Index Options'!$L:$L,'NSE - NIFTY Index Options'!$C:$C,$A129,'NSE - NIFTY Index Options'!$B:$B,E$4,'NSE - NIFTY Index Options'!$H:$H,"MDAW*")+SUMIFS('NSE - Other Index Options'!$L:$L,'NSE - Other Index Options'!$C:$C,$A129,'NSE - Other Index Options'!$B:$B,E$4,'NSE - Other Index Options'!$H:$H,"Weekly*")+SUMIFS('NSE - Other Index Options'!$L:$L,'NSE - Other Index Options'!$C:$C,$A129,'NSE - Other Index Options'!$B:$B,E$4,'NSE - Other Index Options'!$H:$H,"MDAW*")=0,"",SUMIFS('NSE - NIFTY Index Options'!$L:$L,'NSE - NIFTY Index Options'!$C:$C,$A129,'NSE - NIFTY Index Options'!$B:$B,E$4,'NSE - NIFTY Index Options'!$H:$H,"Weekly*")+SUMIFS('NSE - NIFTY Index Options'!$L:$L,'NSE - NIFTY Index Options'!$C:$C,$A129,'NSE - NIFTY Index Options'!$B:$B,E$4,'NSE - NIFTY Index Options'!$H:$H,"MDAW*")+SUMIFS('NSE - Other Index Options'!$L:$L,'NSE - Other Index Options'!$C:$C,$A129,'NSE - Other Index Options'!$B:$B,E$4,'NSE - Other Index Options'!$H:$H,"Weekly*")+SUMIFS('NSE - Other Index Options'!$L:$L,'NSE - Other Index Options'!$C:$C,$A129,'NSE - Other Index Options'!$B:$B,E$4,'NSE - Other Index Options'!$H:$H,"MDAW*"))</f>
        <v/>
      </c>
      <c r="F129" s="26" t="str">
        <f>IF(SUMIFS('NSE - NIFTY Index Options'!$L:$L,'NSE - NIFTY Index Options'!$C:$C,$A129,'NSE - NIFTY Index Options'!$B:$B,F$4,'NSE - NIFTY Index Options'!$H:$H,"Weekly*")+SUMIFS('NSE - NIFTY Index Options'!$L:$L,'NSE - NIFTY Index Options'!$C:$C,$A129,'NSE - NIFTY Index Options'!$B:$B,F$4,'NSE - NIFTY Index Options'!$H:$H,"MDAW*")+SUMIFS('NSE - Other Index Options'!$L:$L,'NSE - Other Index Options'!$C:$C,$A129,'NSE - Other Index Options'!$B:$B,F$4,'NSE - Other Index Options'!$H:$H,"Weekly*")+SUMIFS('NSE - Other Index Options'!$L:$L,'NSE - Other Index Options'!$C:$C,$A129,'NSE - Other Index Options'!$B:$B,F$4,'NSE - Other Index Options'!$H:$H,"MDAW*")=0,"",SUMIFS('NSE - NIFTY Index Options'!$L:$L,'NSE - NIFTY Index Options'!$C:$C,$A129,'NSE - NIFTY Index Options'!$B:$B,F$4,'NSE - NIFTY Index Options'!$H:$H,"Weekly*")+SUMIFS('NSE - NIFTY Index Options'!$L:$L,'NSE - NIFTY Index Options'!$C:$C,$A129,'NSE - NIFTY Index Options'!$B:$B,F$4,'NSE - NIFTY Index Options'!$H:$H,"MDAW*")+SUMIFS('NSE - Other Index Options'!$L:$L,'NSE - Other Index Options'!$C:$C,$A129,'NSE - Other Index Options'!$B:$B,F$4,'NSE - Other Index Options'!$H:$H,"Weekly*")+SUMIFS('NSE - Other Index Options'!$L:$L,'NSE - Other Index Options'!$C:$C,$A129,'NSE - Other Index Options'!$B:$B,F$4,'NSE - Other Index Options'!$H:$H,"MDAW*"))</f>
        <v/>
      </c>
      <c r="G129" s="26" t="str">
        <f>IF(SUMIFS('NSE - NIFTY Index Options'!$L:$L,'NSE - NIFTY Index Options'!$C:$C,$A129,'NSE - NIFTY Index Options'!$B:$B,G$4,'NSE - NIFTY Index Options'!$H:$H,"Weekly*")+SUMIFS('NSE - NIFTY Index Options'!$L:$L,'NSE - NIFTY Index Options'!$C:$C,$A129,'NSE - NIFTY Index Options'!$B:$B,G$4,'NSE - NIFTY Index Options'!$H:$H,"MDAW*")+SUMIFS('NSE - Other Index Options'!$L:$L,'NSE - Other Index Options'!$C:$C,$A129,'NSE - Other Index Options'!$B:$B,G$4,'NSE - Other Index Options'!$H:$H,"Weekly*")+SUMIFS('NSE - Other Index Options'!$L:$L,'NSE - Other Index Options'!$C:$C,$A129,'NSE - Other Index Options'!$B:$B,G$4,'NSE - Other Index Options'!$H:$H,"MDAW*")=0,"",SUMIFS('NSE - NIFTY Index Options'!$L:$L,'NSE - NIFTY Index Options'!$C:$C,$A129,'NSE - NIFTY Index Options'!$B:$B,G$4,'NSE - NIFTY Index Options'!$H:$H,"Weekly*")+SUMIFS('NSE - NIFTY Index Options'!$L:$L,'NSE - NIFTY Index Options'!$C:$C,$A129,'NSE - NIFTY Index Options'!$B:$B,G$4,'NSE - NIFTY Index Options'!$H:$H,"MDAW*")+SUMIFS('NSE - Other Index Options'!$L:$L,'NSE - Other Index Options'!$C:$C,$A129,'NSE - Other Index Options'!$B:$B,G$4,'NSE - Other Index Options'!$H:$H,"Weekly*")+SUMIFS('NSE - Other Index Options'!$L:$L,'NSE - Other Index Options'!$C:$C,$A129,'NSE - Other Index Options'!$B:$B,G$4,'NSE - Other Index Options'!$H:$H,"MDAW*"))</f>
        <v/>
      </c>
      <c r="H129" s="26" t="str">
        <f t="shared" si="3"/>
        <v/>
      </c>
    </row>
    <row r="130" spans="1:8" hidden="1" outlineLevel="1">
      <c r="A130" t="s">
        <v>135</v>
      </c>
      <c r="B130" s="26" t="str">
        <f>IF(SUMIFS('NSE - NIFTY Index Options'!$L:$L,'NSE - NIFTY Index Options'!$C:$C,$A130,'NSE - NIFTY Index Options'!$B:$B,B$4,'NSE - NIFTY Index Options'!$H:$H,"Weekly*")+SUMIFS('NSE - NIFTY Index Options'!$L:$L,'NSE - NIFTY Index Options'!$C:$C,$A130,'NSE - NIFTY Index Options'!$B:$B,B$4,'NSE - NIFTY Index Options'!$H:$H,"MDAW*")+SUMIFS('NSE - Other Index Options'!$L:$L,'NSE - Other Index Options'!$C:$C,$A130,'NSE - Other Index Options'!$B:$B,B$4,'NSE - Other Index Options'!$H:$H,"Weekly*")+SUMIFS('NSE - Other Index Options'!$L:$L,'NSE - Other Index Options'!$C:$C,$A130,'NSE - Other Index Options'!$B:$B,B$4,'NSE - Other Index Options'!$H:$H,"MDAW*")=0,"",SUMIFS('NSE - NIFTY Index Options'!$L:$L,'NSE - NIFTY Index Options'!$C:$C,$A130,'NSE - NIFTY Index Options'!$B:$B,B$4,'NSE - NIFTY Index Options'!$H:$H,"Weekly*")+SUMIFS('NSE - NIFTY Index Options'!$L:$L,'NSE - NIFTY Index Options'!$C:$C,$A130,'NSE - NIFTY Index Options'!$B:$B,B$4,'NSE - NIFTY Index Options'!$H:$H,"MDAW*")+SUMIFS('NSE - Other Index Options'!$L:$L,'NSE - Other Index Options'!$C:$C,$A130,'NSE - Other Index Options'!$B:$B,B$4,'NSE - Other Index Options'!$H:$H,"Weekly*")+SUMIFS('NSE - Other Index Options'!$L:$L,'NSE - Other Index Options'!$C:$C,$A130,'NSE - Other Index Options'!$B:$B,B$4,'NSE - Other Index Options'!$H:$H,"MDAW*"))</f>
        <v/>
      </c>
      <c r="C130" s="26" t="str">
        <f>IF(SUMIFS('NSE - NIFTY Index Options'!$L:$L,'NSE - NIFTY Index Options'!$C:$C,$A130,'NSE - NIFTY Index Options'!$B:$B,C$4,'NSE - NIFTY Index Options'!$H:$H,"Weekly*")+SUMIFS('NSE - NIFTY Index Options'!$L:$L,'NSE - NIFTY Index Options'!$C:$C,$A130,'NSE - NIFTY Index Options'!$B:$B,C$4,'NSE - NIFTY Index Options'!$H:$H,"MDAW*")+SUMIFS('NSE - Other Index Options'!$L:$L,'NSE - Other Index Options'!$C:$C,$A130,'NSE - Other Index Options'!$B:$B,C$4,'NSE - Other Index Options'!$H:$H,"Weekly*")+SUMIFS('NSE - Other Index Options'!$L:$L,'NSE - Other Index Options'!$C:$C,$A130,'NSE - Other Index Options'!$B:$B,C$4,'NSE - Other Index Options'!$H:$H,"MDAW*")=0,"",SUMIFS('NSE - NIFTY Index Options'!$L:$L,'NSE - NIFTY Index Options'!$C:$C,$A130,'NSE - NIFTY Index Options'!$B:$B,C$4,'NSE - NIFTY Index Options'!$H:$H,"Weekly*")+SUMIFS('NSE - NIFTY Index Options'!$L:$L,'NSE - NIFTY Index Options'!$C:$C,$A130,'NSE - NIFTY Index Options'!$B:$B,C$4,'NSE - NIFTY Index Options'!$H:$H,"MDAW*")+SUMIFS('NSE - Other Index Options'!$L:$L,'NSE - Other Index Options'!$C:$C,$A130,'NSE - Other Index Options'!$B:$B,C$4,'NSE - Other Index Options'!$H:$H,"Weekly*")+SUMIFS('NSE - Other Index Options'!$L:$L,'NSE - Other Index Options'!$C:$C,$A130,'NSE - Other Index Options'!$B:$B,C$4,'NSE - Other Index Options'!$H:$H,"MDAW*"))</f>
        <v/>
      </c>
      <c r="D130" s="26" t="str">
        <f>IF(SUMIFS('NSE - NIFTY Index Options'!$L:$L,'NSE - NIFTY Index Options'!$C:$C,$A130,'NSE - NIFTY Index Options'!$B:$B,D$4,'NSE - NIFTY Index Options'!$H:$H,"Weekly*")+SUMIFS('NSE - NIFTY Index Options'!$L:$L,'NSE - NIFTY Index Options'!$C:$C,$A130,'NSE - NIFTY Index Options'!$B:$B,D$4,'NSE - NIFTY Index Options'!$H:$H,"MDAW*")+SUMIFS('NSE - Other Index Options'!$L:$L,'NSE - Other Index Options'!$C:$C,$A130,'NSE - Other Index Options'!$B:$B,D$4,'NSE - Other Index Options'!$H:$H,"Weekly*")+SUMIFS('NSE - Other Index Options'!$L:$L,'NSE - Other Index Options'!$C:$C,$A130,'NSE - Other Index Options'!$B:$B,D$4,'NSE - Other Index Options'!$H:$H,"MDAW*")=0,"",SUMIFS('NSE - NIFTY Index Options'!$L:$L,'NSE - NIFTY Index Options'!$C:$C,$A130,'NSE - NIFTY Index Options'!$B:$B,D$4,'NSE - NIFTY Index Options'!$H:$H,"Weekly*")+SUMIFS('NSE - NIFTY Index Options'!$L:$L,'NSE - NIFTY Index Options'!$C:$C,$A130,'NSE - NIFTY Index Options'!$B:$B,D$4,'NSE - NIFTY Index Options'!$H:$H,"MDAW*")+SUMIFS('NSE - Other Index Options'!$L:$L,'NSE - Other Index Options'!$C:$C,$A130,'NSE - Other Index Options'!$B:$B,D$4,'NSE - Other Index Options'!$H:$H,"Weekly*")+SUMIFS('NSE - Other Index Options'!$L:$L,'NSE - Other Index Options'!$C:$C,$A130,'NSE - Other Index Options'!$B:$B,D$4,'NSE - Other Index Options'!$H:$H,"MDAW*"))</f>
        <v/>
      </c>
      <c r="E130" s="26" t="str">
        <f>IF(SUMIFS('NSE - NIFTY Index Options'!$L:$L,'NSE - NIFTY Index Options'!$C:$C,$A130,'NSE - NIFTY Index Options'!$B:$B,E$4,'NSE - NIFTY Index Options'!$H:$H,"Weekly*")+SUMIFS('NSE - NIFTY Index Options'!$L:$L,'NSE - NIFTY Index Options'!$C:$C,$A130,'NSE - NIFTY Index Options'!$B:$B,E$4,'NSE - NIFTY Index Options'!$H:$H,"MDAW*")+SUMIFS('NSE - Other Index Options'!$L:$L,'NSE - Other Index Options'!$C:$C,$A130,'NSE - Other Index Options'!$B:$B,E$4,'NSE - Other Index Options'!$H:$H,"Weekly*")+SUMIFS('NSE - Other Index Options'!$L:$L,'NSE - Other Index Options'!$C:$C,$A130,'NSE - Other Index Options'!$B:$B,E$4,'NSE - Other Index Options'!$H:$H,"MDAW*")=0,"",SUMIFS('NSE - NIFTY Index Options'!$L:$L,'NSE - NIFTY Index Options'!$C:$C,$A130,'NSE - NIFTY Index Options'!$B:$B,E$4,'NSE - NIFTY Index Options'!$H:$H,"Weekly*")+SUMIFS('NSE - NIFTY Index Options'!$L:$L,'NSE - NIFTY Index Options'!$C:$C,$A130,'NSE - NIFTY Index Options'!$B:$B,E$4,'NSE - NIFTY Index Options'!$H:$H,"MDAW*")+SUMIFS('NSE - Other Index Options'!$L:$L,'NSE - Other Index Options'!$C:$C,$A130,'NSE - Other Index Options'!$B:$B,E$4,'NSE - Other Index Options'!$H:$H,"Weekly*")+SUMIFS('NSE - Other Index Options'!$L:$L,'NSE - Other Index Options'!$C:$C,$A130,'NSE - Other Index Options'!$B:$B,E$4,'NSE - Other Index Options'!$H:$H,"MDAW*"))</f>
        <v/>
      </c>
      <c r="F130" s="26" t="str">
        <f>IF(SUMIFS('NSE - NIFTY Index Options'!$L:$L,'NSE - NIFTY Index Options'!$C:$C,$A130,'NSE - NIFTY Index Options'!$B:$B,F$4,'NSE - NIFTY Index Options'!$H:$H,"Weekly*")+SUMIFS('NSE - NIFTY Index Options'!$L:$L,'NSE - NIFTY Index Options'!$C:$C,$A130,'NSE - NIFTY Index Options'!$B:$B,F$4,'NSE - NIFTY Index Options'!$H:$H,"MDAW*")+SUMIFS('NSE - Other Index Options'!$L:$L,'NSE - Other Index Options'!$C:$C,$A130,'NSE - Other Index Options'!$B:$B,F$4,'NSE - Other Index Options'!$H:$H,"Weekly*")+SUMIFS('NSE - Other Index Options'!$L:$L,'NSE - Other Index Options'!$C:$C,$A130,'NSE - Other Index Options'!$B:$B,F$4,'NSE - Other Index Options'!$H:$H,"MDAW*")=0,"",SUMIFS('NSE - NIFTY Index Options'!$L:$L,'NSE - NIFTY Index Options'!$C:$C,$A130,'NSE - NIFTY Index Options'!$B:$B,F$4,'NSE - NIFTY Index Options'!$H:$H,"Weekly*")+SUMIFS('NSE - NIFTY Index Options'!$L:$L,'NSE - NIFTY Index Options'!$C:$C,$A130,'NSE - NIFTY Index Options'!$B:$B,F$4,'NSE - NIFTY Index Options'!$H:$H,"MDAW*")+SUMIFS('NSE - Other Index Options'!$L:$L,'NSE - Other Index Options'!$C:$C,$A130,'NSE - Other Index Options'!$B:$B,F$4,'NSE - Other Index Options'!$H:$H,"Weekly*")+SUMIFS('NSE - Other Index Options'!$L:$L,'NSE - Other Index Options'!$C:$C,$A130,'NSE - Other Index Options'!$B:$B,F$4,'NSE - Other Index Options'!$H:$H,"MDAW*"))</f>
        <v/>
      </c>
      <c r="G130" s="26" t="str">
        <f>IF(SUMIFS('NSE - NIFTY Index Options'!$L:$L,'NSE - NIFTY Index Options'!$C:$C,$A130,'NSE - NIFTY Index Options'!$B:$B,G$4,'NSE - NIFTY Index Options'!$H:$H,"Weekly*")+SUMIFS('NSE - NIFTY Index Options'!$L:$L,'NSE - NIFTY Index Options'!$C:$C,$A130,'NSE - NIFTY Index Options'!$B:$B,G$4,'NSE - NIFTY Index Options'!$H:$H,"MDAW*")+SUMIFS('NSE - Other Index Options'!$L:$L,'NSE - Other Index Options'!$C:$C,$A130,'NSE - Other Index Options'!$B:$B,G$4,'NSE - Other Index Options'!$H:$H,"Weekly*")+SUMIFS('NSE - Other Index Options'!$L:$L,'NSE - Other Index Options'!$C:$C,$A130,'NSE - Other Index Options'!$B:$B,G$4,'NSE - Other Index Options'!$H:$H,"MDAW*")=0,"",SUMIFS('NSE - NIFTY Index Options'!$L:$L,'NSE - NIFTY Index Options'!$C:$C,$A130,'NSE - NIFTY Index Options'!$B:$B,G$4,'NSE - NIFTY Index Options'!$H:$H,"Weekly*")+SUMIFS('NSE - NIFTY Index Options'!$L:$L,'NSE - NIFTY Index Options'!$C:$C,$A130,'NSE - NIFTY Index Options'!$B:$B,G$4,'NSE - NIFTY Index Options'!$H:$H,"MDAW*")+SUMIFS('NSE - Other Index Options'!$L:$L,'NSE - Other Index Options'!$C:$C,$A130,'NSE - Other Index Options'!$B:$B,G$4,'NSE - Other Index Options'!$H:$H,"Weekly*")+SUMIFS('NSE - Other Index Options'!$L:$L,'NSE - Other Index Options'!$C:$C,$A130,'NSE - Other Index Options'!$B:$B,G$4,'NSE - Other Index Options'!$H:$H,"MDAW*"))</f>
        <v/>
      </c>
      <c r="H130" s="26" t="str">
        <f t="shared" si="3"/>
        <v/>
      </c>
    </row>
    <row r="131" spans="1:8" hidden="1" outlineLevel="1">
      <c r="A131" t="s">
        <v>136</v>
      </c>
      <c r="B131" s="26" t="str">
        <f>IF(SUMIFS('NSE - NIFTY Index Options'!$L:$L,'NSE - NIFTY Index Options'!$C:$C,$A131,'NSE - NIFTY Index Options'!$B:$B,B$4,'NSE - NIFTY Index Options'!$H:$H,"Weekly*")+SUMIFS('NSE - NIFTY Index Options'!$L:$L,'NSE - NIFTY Index Options'!$C:$C,$A131,'NSE - NIFTY Index Options'!$B:$B,B$4,'NSE - NIFTY Index Options'!$H:$H,"MDAW*")+SUMIFS('NSE - Other Index Options'!$L:$L,'NSE - Other Index Options'!$C:$C,$A131,'NSE - Other Index Options'!$B:$B,B$4,'NSE - Other Index Options'!$H:$H,"Weekly*")+SUMIFS('NSE - Other Index Options'!$L:$L,'NSE - Other Index Options'!$C:$C,$A131,'NSE - Other Index Options'!$B:$B,B$4,'NSE - Other Index Options'!$H:$H,"MDAW*")=0,"",SUMIFS('NSE - NIFTY Index Options'!$L:$L,'NSE - NIFTY Index Options'!$C:$C,$A131,'NSE - NIFTY Index Options'!$B:$B,B$4,'NSE - NIFTY Index Options'!$H:$H,"Weekly*")+SUMIFS('NSE - NIFTY Index Options'!$L:$L,'NSE - NIFTY Index Options'!$C:$C,$A131,'NSE - NIFTY Index Options'!$B:$B,B$4,'NSE - NIFTY Index Options'!$H:$H,"MDAW*")+SUMIFS('NSE - Other Index Options'!$L:$L,'NSE - Other Index Options'!$C:$C,$A131,'NSE - Other Index Options'!$B:$B,B$4,'NSE - Other Index Options'!$H:$H,"Weekly*")+SUMIFS('NSE - Other Index Options'!$L:$L,'NSE - Other Index Options'!$C:$C,$A131,'NSE - Other Index Options'!$B:$B,B$4,'NSE - Other Index Options'!$H:$H,"MDAW*"))</f>
        <v/>
      </c>
      <c r="C131" s="26" t="str">
        <f>IF(SUMIFS('NSE - NIFTY Index Options'!$L:$L,'NSE - NIFTY Index Options'!$C:$C,$A131,'NSE - NIFTY Index Options'!$B:$B,C$4,'NSE - NIFTY Index Options'!$H:$H,"Weekly*")+SUMIFS('NSE - NIFTY Index Options'!$L:$L,'NSE - NIFTY Index Options'!$C:$C,$A131,'NSE - NIFTY Index Options'!$B:$B,C$4,'NSE - NIFTY Index Options'!$H:$H,"MDAW*")+SUMIFS('NSE - Other Index Options'!$L:$L,'NSE - Other Index Options'!$C:$C,$A131,'NSE - Other Index Options'!$B:$B,C$4,'NSE - Other Index Options'!$H:$H,"Weekly*")+SUMIFS('NSE - Other Index Options'!$L:$L,'NSE - Other Index Options'!$C:$C,$A131,'NSE - Other Index Options'!$B:$B,C$4,'NSE - Other Index Options'!$H:$H,"MDAW*")=0,"",SUMIFS('NSE - NIFTY Index Options'!$L:$L,'NSE - NIFTY Index Options'!$C:$C,$A131,'NSE - NIFTY Index Options'!$B:$B,C$4,'NSE - NIFTY Index Options'!$H:$H,"Weekly*")+SUMIFS('NSE - NIFTY Index Options'!$L:$L,'NSE - NIFTY Index Options'!$C:$C,$A131,'NSE - NIFTY Index Options'!$B:$B,C$4,'NSE - NIFTY Index Options'!$H:$H,"MDAW*")+SUMIFS('NSE - Other Index Options'!$L:$L,'NSE - Other Index Options'!$C:$C,$A131,'NSE - Other Index Options'!$B:$B,C$4,'NSE - Other Index Options'!$H:$H,"Weekly*")+SUMIFS('NSE - Other Index Options'!$L:$L,'NSE - Other Index Options'!$C:$C,$A131,'NSE - Other Index Options'!$B:$B,C$4,'NSE - Other Index Options'!$H:$H,"MDAW*"))</f>
        <v/>
      </c>
      <c r="D131" s="26" t="str">
        <f>IF(SUMIFS('NSE - NIFTY Index Options'!$L:$L,'NSE - NIFTY Index Options'!$C:$C,$A131,'NSE - NIFTY Index Options'!$B:$B,D$4,'NSE - NIFTY Index Options'!$H:$H,"Weekly*")+SUMIFS('NSE - NIFTY Index Options'!$L:$L,'NSE - NIFTY Index Options'!$C:$C,$A131,'NSE - NIFTY Index Options'!$B:$B,D$4,'NSE - NIFTY Index Options'!$H:$H,"MDAW*")+SUMIFS('NSE - Other Index Options'!$L:$L,'NSE - Other Index Options'!$C:$C,$A131,'NSE - Other Index Options'!$B:$B,D$4,'NSE - Other Index Options'!$H:$H,"Weekly*")+SUMIFS('NSE - Other Index Options'!$L:$L,'NSE - Other Index Options'!$C:$C,$A131,'NSE - Other Index Options'!$B:$B,D$4,'NSE - Other Index Options'!$H:$H,"MDAW*")=0,"",SUMIFS('NSE - NIFTY Index Options'!$L:$L,'NSE - NIFTY Index Options'!$C:$C,$A131,'NSE - NIFTY Index Options'!$B:$B,D$4,'NSE - NIFTY Index Options'!$H:$H,"Weekly*")+SUMIFS('NSE - NIFTY Index Options'!$L:$L,'NSE - NIFTY Index Options'!$C:$C,$A131,'NSE - NIFTY Index Options'!$B:$B,D$4,'NSE - NIFTY Index Options'!$H:$H,"MDAW*")+SUMIFS('NSE - Other Index Options'!$L:$L,'NSE - Other Index Options'!$C:$C,$A131,'NSE - Other Index Options'!$B:$B,D$4,'NSE - Other Index Options'!$H:$H,"Weekly*")+SUMIFS('NSE - Other Index Options'!$L:$L,'NSE - Other Index Options'!$C:$C,$A131,'NSE - Other Index Options'!$B:$B,D$4,'NSE - Other Index Options'!$H:$H,"MDAW*"))</f>
        <v/>
      </c>
      <c r="E131" s="26" t="str">
        <f>IF(SUMIFS('NSE - NIFTY Index Options'!$L:$L,'NSE - NIFTY Index Options'!$C:$C,$A131,'NSE - NIFTY Index Options'!$B:$B,E$4,'NSE - NIFTY Index Options'!$H:$H,"Weekly*")+SUMIFS('NSE - NIFTY Index Options'!$L:$L,'NSE - NIFTY Index Options'!$C:$C,$A131,'NSE - NIFTY Index Options'!$B:$B,E$4,'NSE - NIFTY Index Options'!$H:$H,"MDAW*")+SUMIFS('NSE - Other Index Options'!$L:$L,'NSE - Other Index Options'!$C:$C,$A131,'NSE - Other Index Options'!$B:$B,E$4,'NSE - Other Index Options'!$H:$H,"Weekly*")+SUMIFS('NSE - Other Index Options'!$L:$L,'NSE - Other Index Options'!$C:$C,$A131,'NSE - Other Index Options'!$B:$B,E$4,'NSE - Other Index Options'!$H:$H,"MDAW*")=0,"",SUMIFS('NSE - NIFTY Index Options'!$L:$L,'NSE - NIFTY Index Options'!$C:$C,$A131,'NSE - NIFTY Index Options'!$B:$B,E$4,'NSE - NIFTY Index Options'!$H:$H,"Weekly*")+SUMIFS('NSE - NIFTY Index Options'!$L:$L,'NSE - NIFTY Index Options'!$C:$C,$A131,'NSE - NIFTY Index Options'!$B:$B,E$4,'NSE - NIFTY Index Options'!$H:$H,"MDAW*")+SUMIFS('NSE - Other Index Options'!$L:$L,'NSE - Other Index Options'!$C:$C,$A131,'NSE - Other Index Options'!$B:$B,E$4,'NSE - Other Index Options'!$H:$H,"Weekly*")+SUMIFS('NSE - Other Index Options'!$L:$L,'NSE - Other Index Options'!$C:$C,$A131,'NSE - Other Index Options'!$B:$B,E$4,'NSE - Other Index Options'!$H:$H,"MDAW*"))</f>
        <v/>
      </c>
      <c r="F131" s="26" t="str">
        <f>IF(SUMIFS('NSE - NIFTY Index Options'!$L:$L,'NSE - NIFTY Index Options'!$C:$C,$A131,'NSE - NIFTY Index Options'!$B:$B,F$4,'NSE - NIFTY Index Options'!$H:$H,"Weekly*")+SUMIFS('NSE - NIFTY Index Options'!$L:$L,'NSE - NIFTY Index Options'!$C:$C,$A131,'NSE - NIFTY Index Options'!$B:$B,F$4,'NSE - NIFTY Index Options'!$H:$H,"MDAW*")+SUMIFS('NSE - Other Index Options'!$L:$L,'NSE - Other Index Options'!$C:$C,$A131,'NSE - Other Index Options'!$B:$B,F$4,'NSE - Other Index Options'!$H:$H,"Weekly*")+SUMIFS('NSE - Other Index Options'!$L:$L,'NSE - Other Index Options'!$C:$C,$A131,'NSE - Other Index Options'!$B:$B,F$4,'NSE - Other Index Options'!$H:$H,"MDAW*")=0,"",SUMIFS('NSE - NIFTY Index Options'!$L:$L,'NSE - NIFTY Index Options'!$C:$C,$A131,'NSE - NIFTY Index Options'!$B:$B,F$4,'NSE - NIFTY Index Options'!$H:$H,"Weekly*")+SUMIFS('NSE - NIFTY Index Options'!$L:$L,'NSE - NIFTY Index Options'!$C:$C,$A131,'NSE - NIFTY Index Options'!$B:$B,F$4,'NSE - NIFTY Index Options'!$H:$H,"MDAW*")+SUMIFS('NSE - Other Index Options'!$L:$L,'NSE - Other Index Options'!$C:$C,$A131,'NSE - Other Index Options'!$B:$B,F$4,'NSE - Other Index Options'!$H:$H,"Weekly*")+SUMIFS('NSE - Other Index Options'!$L:$L,'NSE - Other Index Options'!$C:$C,$A131,'NSE - Other Index Options'!$B:$B,F$4,'NSE - Other Index Options'!$H:$H,"MDAW*"))</f>
        <v/>
      </c>
      <c r="G131" s="26" t="str">
        <f>IF(SUMIFS('NSE - NIFTY Index Options'!$L:$L,'NSE - NIFTY Index Options'!$C:$C,$A131,'NSE - NIFTY Index Options'!$B:$B,G$4,'NSE - NIFTY Index Options'!$H:$H,"Weekly*")+SUMIFS('NSE - NIFTY Index Options'!$L:$L,'NSE - NIFTY Index Options'!$C:$C,$A131,'NSE - NIFTY Index Options'!$B:$B,G$4,'NSE - NIFTY Index Options'!$H:$H,"MDAW*")+SUMIFS('NSE - Other Index Options'!$L:$L,'NSE - Other Index Options'!$C:$C,$A131,'NSE - Other Index Options'!$B:$B,G$4,'NSE - Other Index Options'!$H:$H,"Weekly*")+SUMIFS('NSE - Other Index Options'!$L:$L,'NSE - Other Index Options'!$C:$C,$A131,'NSE - Other Index Options'!$B:$B,G$4,'NSE - Other Index Options'!$H:$H,"MDAW*")=0,"",SUMIFS('NSE - NIFTY Index Options'!$L:$L,'NSE - NIFTY Index Options'!$C:$C,$A131,'NSE - NIFTY Index Options'!$B:$B,G$4,'NSE - NIFTY Index Options'!$H:$H,"Weekly*")+SUMIFS('NSE - NIFTY Index Options'!$L:$L,'NSE - NIFTY Index Options'!$C:$C,$A131,'NSE - NIFTY Index Options'!$B:$B,G$4,'NSE - NIFTY Index Options'!$H:$H,"MDAW*")+SUMIFS('NSE - Other Index Options'!$L:$L,'NSE - Other Index Options'!$C:$C,$A131,'NSE - Other Index Options'!$B:$B,G$4,'NSE - Other Index Options'!$H:$H,"Weekly*")+SUMIFS('NSE - Other Index Options'!$L:$L,'NSE - Other Index Options'!$C:$C,$A131,'NSE - Other Index Options'!$B:$B,G$4,'NSE - Other Index Options'!$H:$H,"MDAW*"))</f>
        <v/>
      </c>
      <c r="H131" s="26" t="str">
        <f t="shared" si="3"/>
        <v/>
      </c>
    </row>
    <row r="132" spans="1:8" hidden="1" outlineLevel="1">
      <c r="A132" t="s">
        <v>137</v>
      </c>
      <c r="B132" s="26" t="str">
        <f>IF(SUMIFS('NSE - NIFTY Index Options'!$L:$L,'NSE - NIFTY Index Options'!$C:$C,$A132,'NSE - NIFTY Index Options'!$B:$B,B$4,'NSE - NIFTY Index Options'!$H:$H,"Weekly*")+SUMIFS('NSE - NIFTY Index Options'!$L:$L,'NSE - NIFTY Index Options'!$C:$C,$A132,'NSE - NIFTY Index Options'!$B:$B,B$4,'NSE - NIFTY Index Options'!$H:$H,"MDAW*")+SUMIFS('NSE - Other Index Options'!$L:$L,'NSE - Other Index Options'!$C:$C,$A132,'NSE - Other Index Options'!$B:$B,B$4,'NSE - Other Index Options'!$H:$H,"Weekly*")+SUMIFS('NSE - Other Index Options'!$L:$L,'NSE - Other Index Options'!$C:$C,$A132,'NSE - Other Index Options'!$B:$B,B$4,'NSE - Other Index Options'!$H:$H,"MDAW*")=0,"",SUMIFS('NSE - NIFTY Index Options'!$L:$L,'NSE - NIFTY Index Options'!$C:$C,$A132,'NSE - NIFTY Index Options'!$B:$B,B$4,'NSE - NIFTY Index Options'!$H:$H,"Weekly*")+SUMIFS('NSE - NIFTY Index Options'!$L:$L,'NSE - NIFTY Index Options'!$C:$C,$A132,'NSE - NIFTY Index Options'!$B:$B,B$4,'NSE - NIFTY Index Options'!$H:$H,"MDAW*")+SUMIFS('NSE - Other Index Options'!$L:$L,'NSE - Other Index Options'!$C:$C,$A132,'NSE - Other Index Options'!$B:$B,B$4,'NSE - Other Index Options'!$H:$H,"Weekly*")+SUMIFS('NSE - Other Index Options'!$L:$L,'NSE - Other Index Options'!$C:$C,$A132,'NSE - Other Index Options'!$B:$B,B$4,'NSE - Other Index Options'!$H:$H,"MDAW*"))</f>
        <v/>
      </c>
      <c r="C132" s="26" t="str">
        <f>IF(SUMIFS('NSE - NIFTY Index Options'!$L:$L,'NSE - NIFTY Index Options'!$C:$C,$A132,'NSE - NIFTY Index Options'!$B:$B,C$4,'NSE - NIFTY Index Options'!$H:$H,"Weekly*")+SUMIFS('NSE - NIFTY Index Options'!$L:$L,'NSE - NIFTY Index Options'!$C:$C,$A132,'NSE - NIFTY Index Options'!$B:$B,C$4,'NSE - NIFTY Index Options'!$H:$H,"MDAW*")+SUMIFS('NSE - Other Index Options'!$L:$L,'NSE - Other Index Options'!$C:$C,$A132,'NSE - Other Index Options'!$B:$B,C$4,'NSE - Other Index Options'!$H:$H,"Weekly*")+SUMIFS('NSE - Other Index Options'!$L:$L,'NSE - Other Index Options'!$C:$C,$A132,'NSE - Other Index Options'!$B:$B,C$4,'NSE - Other Index Options'!$H:$H,"MDAW*")=0,"",SUMIFS('NSE - NIFTY Index Options'!$L:$L,'NSE - NIFTY Index Options'!$C:$C,$A132,'NSE - NIFTY Index Options'!$B:$B,C$4,'NSE - NIFTY Index Options'!$H:$H,"Weekly*")+SUMIFS('NSE - NIFTY Index Options'!$L:$L,'NSE - NIFTY Index Options'!$C:$C,$A132,'NSE - NIFTY Index Options'!$B:$B,C$4,'NSE - NIFTY Index Options'!$H:$H,"MDAW*")+SUMIFS('NSE - Other Index Options'!$L:$L,'NSE - Other Index Options'!$C:$C,$A132,'NSE - Other Index Options'!$B:$B,C$4,'NSE - Other Index Options'!$H:$H,"Weekly*")+SUMIFS('NSE - Other Index Options'!$L:$L,'NSE - Other Index Options'!$C:$C,$A132,'NSE - Other Index Options'!$B:$B,C$4,'NSE - Other Index Options'!$H:$H,"MDAW*"))</f>
        <v/>
      </c>
      <c r="D132" s="26" t="str">
        <f>IF(SUMIFS('NSE - NIFTY Index Options'!$L:$L,'NSE - NIFTY Index Options'!$C:$C,$A132,'NSE - NIFTY Index Options'!$B:$B,D$4,'NSE - NIFTY Index Options'!$H:$H,"Weekly*")+SUMIFS('NSE - NIFTY Index Options'!$L:$L,'NSE - NIFTY Index Options'!$C:$C,$A132,'NSE - NIFTY Index Options'!$B:$B,D$4,'NSE - NIFTY Index Options'!$H:$H,"MDAW*")+SUMIFS('NSE - Other Index Options'!$L:$L,'NSE - Other Index Options'!$C:$C,$A132,'NSE - Other Index Options'!$B:$B,D$4,'NSE - Other Index Options'!$H:$H,"Weekly*")+SUMIFS('NSE - Other Index Options'!$L:$L,'NSE - Other Index Options'!$C:$C,$A132,'NSE - Other Index Options'!$B:$B,D$4,'NSE - Other Index Options'!$H:$H,"MDAW*")=0,"",SUMIFS('NSE - NIFTY Index Options'!$L:$L,'NSE - NIFTY Index Options'!$C:$C,$A132,'NSE - NIFTY Index Options'!$B:$B,D$4,'NSE - NIFTY Index Options'!$H:$H,"Weekly*")+SUMIFS('NSE - NIFTY Index Options'!$L:$L,'NSE - NIFTY Index Options'!$C:$C,$A132,'NSE - NIFTY Index Options'!$B:$B,D$4,'NSE - NIFTY Index Options'!$H:$H,"MDAW*")+SUMIFS('NSE - Other Index Options'!$L:$L,'NSE - Other Index Options'!$C:$C,$A132,'NSE - Other Index Options'!$B:$B,D$4,'NSE - Other Index Options'!$H:$H,"Weekly*")+SUMIFS('NSE - Other Index Options'!$L:$L,'NSE - Other Index Options'!$C:$C,$A132,'NSE - Other Index Options'!$B:$B,D$4,'NSE - Other Index Options'!$H:$H,"MDAW*"))</f>
        <v/>
      </c>
      <c r="E132" s="26" t="str">
        <f>IF(SUMIFS('NSE - NIFTY Index Options'!$L:$L,'NSE - NIFTY Index Options'!$C:$C,$A132,'NSE - NIFTY Index Options'!$B:$B,E$4,'NSE - NIFTY Index Options'!$H:$H,"Weekly*")+SUMIFS('NSE - NIFTY Index Options'!$L:$L,'NSE - NIFTY Index Options'!$C:$C,$A132,'NSE - NIFTY Index Options'!$B:$B,E$4,'NSE - NIFTY Index Options'!$H:$H,"MDAW*")+SUMIFS('NSE - Other Index Options'!$L:$L,'NSE - Other Index Options'!$C:$C,$A132,'NSE - Other Index Options'!$B:$B,E$4,'NSE - Other Index Options'!$H:$H,"Weekly*")+SUMIFS('NSE - Other Index Options'!$L:$L,'NSE - Other Index Options'!$C:$C,$A132,'NSE - Other Index Options'!$B:$B,E$4,'NSE - Other Index Options'!$H:$H,"MDAW*")=0,"",SUMIFS('NSE - NIFTY Index Options'!$L:$L,'NSE - NIFTY Index Options'!$C:$C,$A132,'NSE - NIFTY Index Options'!$B:$B,E$4,'NSE - NIFTY Index Options'!$H:$H,"Weekly*")+SUMIFS('NSE - NIFTY Index Options'!$L:$L,'NSE - NIFTY Index Options'!$C:$C,$A132,'NSE - NIFTY Index Options'!$B:$B,E$4,'NSE - NIFTY Index Options'!$H:$H,"MDAW*")+SUMIFS('NSE - Other Index Options'!$L:$L,'NSE - Other Index Options'!$C:$C,$A132,'NSE - Other Index Options'!$B:$B,E$4,'NSE - Other Index Options'!$H:$H,"Weekly*")+SUMIFS('NSE - Other Index Options'!$L:$L,'NSE - Other Index Options'!$C:$C,$A132,'NSE - Other Index Options'!$B:$B,E$4,'NSE - Other Index Options'!$H:$H,"MDAW*"))</f>
        <v/>
      </c>
      <c r="F132" s="26" t="str">
        <f>IF(SUMIFS('NSE - NIFTY Index Options'!$L:$L,'NSE - NIFTY Index Options'!$C:$C,$A132,'NSE - NIFTY Index Options'!$B:$B,F$4,'NSE - NIFTY Index Options'!$H:$H,"Weekly*")+SUMIFS('NSE - NIFTY Index Options'!$L:$L,'NSE - NIFTY Index Options'!$C:$C,$A132,'NSE - NIFTY Index Options'!$B:$B,F$4,'NSE - NIFTY Index Options'!$H:$H,"MDAW*")+SUMIFS('NSE - Other Index Options'!$L:$L,'NSE - Other Index Options'!$C:$C,$A132,'NSE - Other Index Options'!$B:$B,F$4,'NSE - Other Index Options'!$H:$H,"Weekly*")+SUMIFS('NSE - Other Index Options'!$L:$L,'NSE - Other Index Options'!$C:$C,$A132,'NSE - Other Index Options'!$B:$B,F$4,'NSE - Other Index Options'!$H:$H,"MDAW*")=0,"",SUMIFS('NSE - NIFTY Index Options'!$L:$L,'NSE - NIFTY Index Options'!$C:$C,$A132,'NSE - NIFTY Index Options'!$B:$B,F$4,'NSE - NIFTY Index Options'!$H:$H,"Weekly*")+SUMIFS('NSE - NIFTY Index Options'!$L:$L,'NSE - NIFTY Index Options'!$C:$C,$A132,'NSE - NIFTY Index Options'!$B:$B,F$4,'NSE - NIFTY Index Options'!$H:$H,"MDAW*")+SUMIFS('NSE - Other Index Options'!$L:$L,'NSE - Other Index Options'!$C:$C,$A132,'NSE - Other Index Options'!$B:$B,F$4,'NSE - Other Index Options'!$H:$H,"Weekly*")+SUMIFS('NSE - Other Index Options'!$L:$L,'NSE - Other Index Options'!$C:$C,$A132,'NSE - Other Index Options'!$B:$B,F$4,'NSE - Other Index Options'!$H:$H,"MDAW*"))</f>
        <v/>
      </c>
      <c r="G132" s="26" t="str">
        <f>IF(SUMIFS('NSE - NIFTY Index Options'!$L:$L,'NSE - NIFTY Index Options'!$C:$C,$A132,'NSE - NIFTY Index Options'!$B:$B,G$4,'NSE - NIFTY Index Options'!$H:$H,"Weekly*")+SUMIFS('NSE - NIFTY Index Options'!$L:$L,'NSE - NIFTY Index Options'!$C:$C,$A132,'NSE - NIFTY Index Options'!$B:$B,G$4,'NSE - NIFTY Index Options'!$H:$H,"MDAW*")+SUMIFS('NSE - Other Index Options'!$L:$L,'NSE - Other Index Options'!$C:$C,$A132,'NSE - Other Index Options'!$B:$B,G$4,'NSE - Other Index Options'!$H:$H,"Weekly*")+SUMIFS('NSE - Other Index Options'!$L:$L,'NSE - Other Index Options'!$C:$C,$A132,'NSE - Other Index Options'!$B:$B,G$4,'NSE - Other Index Options'!$H:$H,"MDAW*")=0,"",SUMIFS('NSE - NIFTY Index Options'!$L:$L,'NSE - NIFTY Index Options'!$C:$C,$A132,'NSE - NIFTY Index Options'!$B:$B,G$4,'NSE - NIFTY Index Options'!$H:$H,"Weekly*")+SUMIFS('NSE - NIFTY Index Options'!$L:$L,'NSE - NIFTY Index Options'!$C:$C,$A132,'NSE - NIFTY Index Options'!$B:$B,G$4,'NSE - NIFTY Index Options'!$H:$H,"MDAW*")+SUMIFS('NSE - Other Index Options'!$L:$L,'NSE - Other Index Options'!$C:$C,$A132,'NSE - Other Index Options'!$B:$B,G$4,'NSE - Other Index Options'!$H:$H,"Weekly*")+SUMIFS('NSE - Other Index Options'!$L:$L,'NSE - Other Index Options'!$C:$C,$A132,'NSE - Other Index Options'!$B:$B,G$4,'NSE - Other Index Options'!$H:$H,"MDAW*"))</f>
        <v/>
      </c>
      <c r="H132" s="26" t="str">
        <f t="shared" si="3"/>
        <v/>
      </c>
    </row>
    <row r="133" spans="1:8" hidden="1" outlineLevel="1">
      <c r="A133" t="s">
        <v>138</v>
      </c>
      <c r="B133" s="26" t="str">
        <f>IF(SUMIFS('NSE - NIFTY Index Options'!$L:$L,'NSE - NIFTY Index Options'!$C:$C,$A133,'NSE - NIFTY Index Options'!$B:$B,B$4,'NSE - NIFTY Index Options'!$H:$H,"Weekly*")+SUMIFS('NSE - NIFTY Index Options'!$L:$L,'NSE - NIFTY Index Options'!$C:$C,$A133,'NSE - NIFTY Index Options'!$B:$B,B$4,'NSE - NIFTY Index Options'!$H:$H,"MDAW*")+SUMIFS('NSE - Other Index Options'!$L:$L,'NSE - Other Index Options'!$C:$C,$A133,'NSE - Other Index Options'!$B:$B,B$4,'NSE - Other Index Options'!$H:$H,"Weekly*")+SUMIFS('NSE - Other Index Options'!$L:$L,'NSE - Other Index Options'!$C:$C,$A133,'NSE - Other Index Options'!$B:$B,B$4,'NSE - Other Index Options'!$H:$H,"MDAW*")=0,"",SUMIFS('NSE - NIFTY Index Options'!$L:$L,'NSE - NIFTY Index Options'!$C:$C,$A133,'NSE - NIFTY Index Options'!$B:$B,B$4,'NSE - NIFTY Index Options'!$H:$H,"Weekly*")+SUMIFS('NSE - NIFTY Index Options'!$L:$L,'NSE - NIFTY Index Options'!$C:$C,$A133,'NSE - NIFTY Index Options'!$B:$B,B$4,'NSE - NIFTY Index Options'!$H:$H,"MDAW*")+SUMIFS('NSE - Other Index Options'!$L:$L,'NSE - Other Index Options'!$C:$C,$A133,'NSE - Other Index Options'!$B:$B,B$4,'NSE - Other Index Options'!$H:$H,"Weekly*")+SUMIFS('NSE - Other Index Options'!$L:$L,'NSE - Other Index Options'!$C:$C,$A133,'NSE - Other Index Options'!$B:$B,B$4,'NSE - Other Index Options'!$H:$H,"MDAW*"))</f>
        <v/>
      </c>
      <c r="C133" s="26" t="str">
        <f>IF(SUMIFS('NSE - NIFTY Index Options'!$L:$L,'NSE - NIFTY Index Options'!$C:$C,$A133,'NSE - NIFTY Index Options'!$B:$B,C$4,'NSE - NIFTY Index Options'!$H:$H,"Weekly*")+SUMIFS('NSE - NIFTY Index Options'!$L:$L,'NSE - NIFTY Index Options'!$C:$C,$A133,'NSE - NIFTY Index Options'!$B:$B,C$4,'NSE - NIFTY Index Options'!$H:$H,"MDAW*")+SUMIFS('NSE - Other Index Options'!$L:$L,'NSE - Other Index Options'!$C:$C,$A133,'NSE - Other Index Options'!$B:$B,C$4,'NSE - Other Index Options'!$H:$H,"Weekly*")+SUMIFS('NSE - Other Index Options'!$L:$L,'NSE - Other Index Options'!$C:$C,$A133,'NSE - Other Index Options'!$B:$B,C$4,'NSE - Other Index Options'!$H:$H,"MDAW*")=0,"",SUMIFS('NSE - NIFTY Index Options'!$L:$L,'NSE - NIFTY Index Options'!$C:$C,$A133,'NSE - NIFTY Index Options'!$B:$B,C$4,'NSE - NIFTY Index Options'!$H:$H,"Weekly*")+SUMIFS('NSE - NIFTY Index Options'!$L:$L,'NSE - NIFTY Index Options'!$C:$C,$A133,'NSE - NIFTY Index Options'!$B:$B,C$4,'NSE - NIFTY Index Options'!$H:$H,"MDAW*")+SUMIFS('NSE - Other Index Options'!$L:$L,'NSE - Other Index Options'!$C:$C,$A133,'NSE - Other Index Options'!$B:$B,C$4,'NSE - Other Index Options'!$H:$H,"Weekly*")+SUMIFS('NSE - Other Index Options'!$L:$L,'NSE - Other Index Options'!$C:$C,$A133,'NSE - Other Index Options'!$B:$B,C$4,'NSE - Other Index Options'!$H:$H,"MDAW*"))</f>
        <v/>
      </c>
      <c r="D133" s="26" t="str">
        <f>IF(SUMIFS('NSE - NIFTY Index Options'!$L:$L,'NSE - NIFTY Index Options'!$C:$C,$A133,'NSE - NIFTY Index Options'!$B:$B,D$4,'NSE - NIFTY Index Options'!$H:$H,"Weekly*")+SUMIFS('NSE - NIFTY Index Options'!$L:$L,'NSE - NIFTY Index Options'!$C:$C,$A133,'NSE - NIFTY Index Options'!$B:$B,D$4,'NSE - NIFTY Index Options'!$H:$H,"MDAW*")+SUMIFS('NSE - Other Index Options'!$L:$L,'NSE - Other Index Options'!$C:$C,$A133,'NSE - Other Index Options'!$B:$B,D$4,'NSE - Other Index Options'!$H:$H,"Weekly*")+SUMIFS('NSE - Other Index Options'!$L:$L,'NSE - Other Index Options'!$C:$C,$A133,'NSE - Other Index Options'!$B:$B,D$4,'NSE - Other Index Options'!$H:$H,"MDAW*")=0,"",SUMIFS('NSE - NIFTY Index Options'!$L:$L,'NSE - NIFTY Index Options'!$C:$C,$A133,'NSE - NIFTY Index Options'!$B:$B,D$4,'NSE - NIFTY Index Options'!$H:$H,"Weekly*")+SUMIFS('NSE - NIFTY Index Options'!$L:$L,'NSE - NIFTY Index Options'!$C:$C,$A133,'NSE - NIFTY Index Options'!$B:$B,D$4,'NSE - NIFTY Index Options'!$H:$H,"MDAW*")+SUMIFS('NSE - Other Index Options'!$L:$L,'NSE - Other Index Options'!$C:$C,$A133,'NSE - Other Index Options'!$B:$B,D$4,'NSE - Other Index Options'!$H:$H,"Weekly*")+SUMIFS('NSE - Other Index Options'!$L:$L,'NSE - Other Index Options'!$C:$C,$A133,'NSE - Other Index Options'!$B:$B,D$4,'NSE - Other Index Options'!$H:$H,"MDAW*"))</f>
        <v/>
      </c>
      <c r="E133" s="26" t="str">
        <f>IF(SUMIFS('NSE - NIFTY Index Options'!$L:$L,'NSE - NIFTY Index Options'!$C:$C,$A133,'NSE - NIFTY Index Options'!$B:$B,E$4,'NSE - NIFTY Index Options'!$H:$H,"Weekly*")+SUMIFS('NSE - NIFTY Index Options'!$L:$L,'NSE - NIFTY Index Options'!$C:$C,$A133,'NSE - NIFTY Index Options'!$B:$B,E$4,'NSE - NIFTY Index Options'!$H:$H,"MDAW*")+SUMIFS('NSE - Other Index Options'!$L:$L,'NSE - Other Index Options'!$C:$C,$A133,'NSE - Other Index Options'!$B:$B,E$4,'NSE - Other Index Options'!$H:$H,"Weekly*")+SUMIFS('NSE - Other Index Options'!$L:$L,'NSE - Other Index Options'!$C:$C,$A133,'NSE - Other Index Options'!$B:$B,E$4,'NSE - Other Index Options'!$H:$H,"MDAW*")=0,"",SUMIFS('NSE - NIFTY Index Options'!$L:$L,'NSE - NIFTY Index Options'!$C:$C,$A133,'NSE - NIFTY Index Options'!$B:$B,E$4,'NSE - NIFTY Index Options'!$H:$H,"Weekly*")+SUMIFS('NSE - NIFTY Index Options'!$L:$L,'NSE - NIFTY Index Options'!$C:$C,$A133,'NSE - NIFTY Index Options'!$B:$B,E$4,'NSE - NIFTY Index Options'!$H:$H,"MDAW*")+SUMIFS('NSE - Other Index Options'!$L:$L,'NSE - Other Index Options'!$C:$C,$A133,'NSE - Other Index Options'!$B:$B,E$4,'NSE - Other Index Options'!$H:$H,"Weekly*")+SUMIFS('NSE - Other Index Options'!$L:$L,'NSE - Other Index Options'!$C:$C,$A133,'NSE - Other Index Options'!$B:$B,E$4,'NSE - Other Index Options'!$H:$H,"MDAW*"))</f>
        <v/>
      </c>
      <c r="F133" s="26" t="str">
        <f>IF(SUMIFS('NSE - NIFTY Index Options'!$L:$L,'NSE - NIFTY Index Options'!$C:$C,$A133,'NSE - NIFTY Index Options'!$B:$B,F$4,'NSE - NIFTY Index Options'!$H:$H,"Weekly*")+SUMIFS('NSE - NIFTY Index Options'!$L:$L,'NSE - NIFTY Index Options'!$C:$C,$A133,'NSE - NIFTY Index Options'!$B:$B,F$4,'NSE - NIFTY Index Options'!$H:$H,"MDAW*")+SUMIFS('NSE - Other Index Options'!$L:$L,'NSE - Other Index Options'!$C:$C,$A133,'NSE - Other Index Options'!$B:$B,F$4,'NSE - Other Index Options'!$H:$H,"Weekly*")+SUMIFS('NSE - Other Index Options'!$L:$L,'NSE - Other Index Options'!$C:$C,$A133,'NSE - Other Index Options'!$B:$B,F$4,'NSE - Other Index Options'!$H:$H,"MDAW*")=0,"",SUMIFS('NSE - NIFTY Index Options'!$L:$L,'NSE - NIFTY Index Options'!$C:$C,$A133,'NSE - NIFTY Index Options'!$B:$B,F$4,'NSE - NIFTY Index Options'!$H:$H,"Weekly*")+SUMIFS('NSE - NIFTY Index Options'!$L:$L,'NSE - NIFTY Index Options'!$C:$C,$A133,'NSE - NIFTY Index Options'!$B:$B,F$4,'NSE - NIFTY Index Options'!$H:$H,"MDAW*")+SUMIFS('NSE - Other Index Options'!$L:$L,'NSE - Other Index Options'!$C:$C,$A133,'NSE - Other Index Options'!$B:$B,F$4,'NSE - Other Index Options'!$H:$H,"Weekly*")+SUMIFS('NSE - Other Index Options'!$L:$L,'NSE - Other Index Options'!$C:$C,$A133,'NSE - Other Index Options'!$B:$B,F$4,'NSE - Other Index Options'!$H:$H,"MDAW*"))</f>
        <v/>
      </c>
      <c r="G133" s="26" t="str">
        <f>IF(SUMIFS('NSE - NIFTY Index Options'!$L:$L,'NSE - NIFTY Index Options'!$C:$C,$A133,'NSE - NIFTY Index Options'!$B:$B,G$4,'NSE - NIFTY Index Options'!$H:$H,"Weekly*")+SUMIFS('NSE - NIFTY Index Options'!$L:$L,'NSE - NIFTY Index Options'!$C:$C,$A133,'NSE - NIFTY Index Options'!$B:$B,G$4,'NSE - NIFTY Index Options'!$H:$H,"MDAW*")+SUMIFS('NSE - Other Index Options'!$L:$L,'NSE - Other Index Options'!$C:$C,$A133,'NSE - Other Index Options'!$B:$B,G$4,'NSE - Other Index Options'!$H:$H,"Weekly*")+SUMIFS('NSE - Other Index Options'!$L:$L,'NSE - Other Index Options'!$C:$C,$A133,'NSE - Other Index Options'!$B:$B,G$4,'NSE - Other Index Options'!$H:$H,"MDAW*")=0,"",SUMIFS('NSE - NIFTY Index Options'!$L:$L,'NSE - NIFTY Index Options'!$C:$C,$A133,'NSE - NIFTY Index Options'!$B:$B,G$4,'NSE - NIFTY Index Options'!$H:$H,"Weekly*")+SUMIFS('NSE - NIFTY Index Options'!$L:$L,'NSE - NIFTY Index Options'!$C:$C,$A133,'NSE - NIFTY Index Options'!$B:$B,G$4,'NSE - NIFTY Index Options'!$H:$H,"MDAW*")+SUMIFS('NSE - Other Index Options'!$L:$L,'NSE - Other Index Options'!$C:$C,$A133,'NSE - Other Index Options'!$B:$B,G$4,'NSE - Other Index Options'!$H:$H,"Weekly*")+SUMIFS('NSE - Other Index Options'!$L:$L,'NSE - Other Index Options'!$C:$C,$A133,'NSE - Other Index Options'!$B:$B,G$4,'NSE - Other Index Options'!$H:$H,"MDAW*"))</f>
        <v/>
      </c>
      <c r="H133" s="26" t="str">
        <f t="shared" ref="H133:H164" si="4">IF(SUM(B133:G133)=0,"",SUM(B133:G133))</f>
        <v/>
      </c>
    </row>
    <row r="134" spans="1:8" hidden="1" outlineLevel="1">
      <c r="A134" t="s">
        <v>139</v>
      </c>
      <c r="B134" s="26" t="str">
        <f>IF(SUMIFS('NSE - NIFTY Index Options'!$L:$L,'NSE - NIFTY Index Options'!$C:$C,$A134,'NSE - NIFTY Index Options'!$B:$B,B$4,'NSE - NIFTY Index Options'!$H:$H,"Weekly*")+SUMIFS('NSE - NIFTY Index Options'!$L:$L,'NSE - NIFTY Index Options'!$C:$C,$A134,'NSE - NIFTY Index Options'!$B:$B,B$4,'NSE - NIFTY Index Options'!$H:$H,"MDAW*")+SUMIFS('NSE - Other Index Options'!$L:$L,'NSE - Other Index Options'!$C:$C,$A134,'NSE - Other Index Options'!$B:$B,B$4,'NSE - Other Index Options'!$H:$H,"Weekly*")+SUMIFS('NSE - Other Index Options'!$L:$L,'NSE - Other Index Options'!$C:$C,$A134,'NSE - Other Index Options'!$B:$B,B$4,'NSE - Other Index Options'!$H:$H,"MDAW*")=0,"",SUMIFS('NSE - NIFTY Index Options'!$L:$L,'NSE - NIFTY Index Options'!$C:$C,$A134,'NSE - NIFTY Index Options'!$B:$B,B$4,'NSE - NIFTY Index Options'!$H:$H,"Weekly*")+SUMIFS('NSE - NIFTY Index Options'!$L:$L,'NSE - NIFTY Index Options'!$C:$C,$A134,'NSE - NIFTY Index Options'!$B:$B,B$4,'NSE - NIFTY Index Options'!$H:$H,"MDAW*")+SUMIFS('NSE - Other Index Options'!$L:$L,'NSE - Other Index Options'!$C:$C,$A134,'NSE - Other Index Options'!$B:$B,B$4,'NSE - Other Index Options'!$H:$H,"Weekly*")+SUMIFS('NSE - Other Index Options'!$L:$L,'NSE - Other Index Options'!$C:$C,$A134,'NSE - Other Index Options'!$B:$B,B$4,'NSE - Other Index Options'!$H:$H,"MDAW*"))</f>
        <v/>
      </c>
      <c r="C134" s="26" t="str">
        <f>IF(SUMIFS('NSE - NIFTY Index Options'!$L:$L,'NSE - NIFTY Index Options'!$C:$C,$A134,'NSE - NIFTY Index Options'!$B:$B,C$4,'NSE - NIFTY Index Options'!$H:$H,"Weekly*")+SUMIFS('NSE - NIFTY Index Options'!$L:$L,'NSE - NIFTY Index Options'!$C:$C,$A134,'NSE - NIFTY Index Options'!$B:$B,C$4,'NSE - NIFTY Index Options'!$H:$H,"MDAW*")+SUMIFS('NSE - Other Index Options'!$L:$L,'NSE - Other Index Options'!$C:$C,$A134,'NSE - Other Index Options'!$B:$B,C$4,'NSE - Other Index Options'!$H:$H,"Weekly*")+SUMIFS('NSE - Other Index Options'!$L:$L,'NSE - Other Index Options'!$C:$C,$A134,'NSE - Other Index Options'!$B:$B,C$4,'NSE - Other Index Options'!$H:$H,"MDAW*")=0,"",SUMIFS('NSE - NIFTY Index Options'!$L:$L,'NSE - NIFTY Index Options'!$C:$C,$A134,'NSE - NIFTY Index Options'!$B:$B,C$4,'NSE - NIFTY Index Options'!$H:$H,"Weekly*")+SUMIFS('NSE - NIFTY Index Options'!$L:$L,'NSE - NIFTY Index Options'!$C:$C,$A134,'NSE - NIFTY Index Options'!$B:$B,C$4,'NSE - NIFTY Index Options'!$H:$H,"MDAW*")+SUMIFS('NSE - Other Index Options'!$L:$L,'NSE - Other Index Options'!$C:$C,$A134,'NSE - Other Index Options'!$B:$B,C$4,'NSE - Other Index Options'!$H:$H,"Weekly*")+SUMIFS('NSE - Other Index Options'!$L:$L,'NSE - Other Index Options'!$C:$C,$A134,'NSE - Other Index Options'!$B:$B,C$4,'NSE - Other Index Options'!$H:$H,"MDAW*"))</f>
        <v/>
      </c>
      <c r="D134" s="26" t="str">
        <f>IF(SUMIFS('NSE - NIFTY Index Options'!$L:$L,'NSE - NIFTY Index Options'!$C:$C,$A134,'NSE - NIFTY Index Options'!$B:$B,D$4,'NSE - NIFTY Index Options'!$H:$H,"Weekly*")+SUMIFS('NSE - NIFTY Index Options'!$L:$L,'NSE - NIFTY Index Options'!$C:$C,$A134,'NSE - NIFTY Index Options'!$B:$B,D$4,'NSE - NIFTY Index Options'!$H:$H,"MDAW*")+SUMIFS('NSE - Other Index Options'!$L:$L,'NSE - Other Index Options'!$C:$C,$A134,'NSE - Other Index Options'!$B:$B,D$4,'NSE - Other Index Options'!$H:$H,"Weekly*")+SUMIFS('NSE - Other Index Options'!$L:$L,'NSE - Other Index Options'!$C:$C,$A134,'NSE - Other Index Options'!$B:$B,D$4,'NSE - Other Index Options'!$H:$H,"MDAW*")=0,"",SUMIFS('NSE - NIFTY Index Options'!$L:$L,'NSE - NIFTY Index Options'!$C:$C,$A134,'NSE - NIFTY Index Options'!$B:$B,D$4,'NSE - NIFTY Index Options'!$H:$H,"Weekly*")+SUMIFS('NSE - NIFTY Index Options'!$L:$L,'NSE - NIFTY Index Options'!$C:$C,$A134,'NSE - NIFTY Index Options'!$B:$B,D$4,'NSE - NIFTY Index Options'!$H:$H,"MDAW*")+SUMIFS('NSE - Other Index Options'!$L:$L,'NSE - Other Index Options'!$C:$C,$A134,'NSE - Other Index Options'!$B:$B,D$4,'NSE - Other Index Options'!$H:$H,"Weekly*")+SUMIFS('NSE - Other Index Options'!$L:$L,'NSE - Other Index Options'!$C:$C,$A134,'NSE - Other Index Options'!$B:$B,D$4,'NSE - Other Index Options'!$H:$H,"MDAW*"))</f>
        <v/>
      </c>
      <c r="E134" s="26" t="str">
        <f>IF(SUMIFS('NSE - NIFTY Index Options'!$L:$L,'NSE - NIFTY Index Options'!$C:$C,$A134,'NSE - NIFTY Index Options'!$B:$B,E$4,'NSE - NIFTY Index Options'!$H:$H,"Weekly*")+SUMIFS('NSE - NIFTY Index Options'!$L:$L,'NSE - NIFTY Index Options'!$C:$C,$A134,'NSE - NIFTY Index Options'!$B:$B,E$4,'NSE - NIFTY Index Options'!$H:$H,"MDAW*")+SUMIFS('NSE - Other Index Options'!$L:$L,'NSE - Other Index Options'!$C:$C,$A134,'NSE - Other Index Options'!$B:$B,E$4,'NSE - Other Index Options'!$H:$H,"Weekly*")+SUMIFS('NSE - Other Index Options'!$L:$L,'NSE - Other Index Options'!$C:$C,$A134,'NSE - Other Index Options'!$B:$B,E$4,'NSE - Other Index Options'!$H:$H,"MDAW*")=0,"",SUMIFS('NSE - NIFTY Index Options'!$L:$L,'NSE - NIFTY Index Options'!$C:$C,$A134,'NSE - NIFTY Index Options'!$B:$B,E$4,'NSE - NIFTY Index Options'!$H:$H,"Weekly*")+SUMIFS('NSE - NIFTY Index Options'!$L:$L,'NSE - NIFTY Index Options'!$C:$C,$A134,'NSE - NIFTY Index Options'!$B:$B,E$4,'NSE - NIFTY Index Options'!$H:$H,"MDAW*")+SUMIFS('NSE - Other Index Options'!$L:$L,'NSE - Other Index Options'!$C:$C,$A134,'NSE - Other Index Options'!$B:$B,E$4,'NSE - Other Index Options'!$H:$H,"Weekly*")+SUMIFS('NSE - Other Index Options'!$L:$L,'NSE - Other Index Options'!$C:$C,$A134,'NSE - Other Index Options'!$B:$B,E$4,'NSE - Other Index Options'!$H:$H,"MDAW*"))</f>
        <v/>
      </c>
      <c r="F134" s="26" t="str">
        <f>IF(SUMIFS('NSE - NIFTY Index Options'!$L:$L,'NSE - NIFTY Index Options'!$C:$C,$A134,'NSE - NIFTY Index Options'!$B:$B,F$4,'NSE - NIFTY Index Options'!$H:$H,"Weekly*")+SUMIFS('NSE - NIFTY Index Options'!$L:$L,'NSE - NIFTY Index Options'!$C:$C,$A134,'NSE - NIFTY Index Options'!$B:$B,F$4,'NSE - NIFTY Index Options'!$H:$H,"MDAW*")+SUMIFS('NSE - Other Index Options'!$L:$L,'NSE - Other Index Options'!$C:$C,$A134,'NSE - Other Index Options'!$B:$B,F$4,'NSE - Other Index Options'!$H:$H,"Weekly*")+SUMIFS('NSE - Other Index Options'!$L:$L,'NSE - Other Index Options'!$C:$C,$A134,'NSE - Other Index Options'!$B:$B,F$4,'NSE - Other Index Options'!$H:$H,"MDAW*")=0,"",SUMIFS('NSE - NIFTY Index Options'!$L:$L,'NSE - NIFTY Index Options'!$C:$C,$A134,'NSE - NIFTY Index Options'!$B:$B,F$4,'NSE - NIFTY Index Options'!$H:$H,"Weekly*")+SUMIFS('NSE - NIFTY Index Options'!$L:$L,'NSE - NIFTY Index Options'!$C:$C,$A134,'NSE - NIFTY Index Options'!$B:$B,F$4,'NSE - NIFTY Index Options'!$H:$H,"MDAW*")+SUMIFS('NSE - Other Index Options'!$L:$L,'NSE - Other Index Options'!$C:$C,$A134,'NSE - Other Index Options'!$B:$B,F$4,'NSE - Other Index Options'!$H:$H,"Weekly*")+SUMIFS('NSE - Other Index Options'!$L:$L,'NSE - Other Index Options'!$C:$C,$A134,'NSE - Other Index Options'!$B:$B,F$4,'NSE - Other Index Options'!$H:$H,"MDAW*"))</f>
        <v/>
      </c>
      <c r="G134" s="26" t="str">
        <f>IF(SUMIFS('NSE - NIFTY Index Options'!$L:$L,'NSE - NIFTY Index Options'!$C:$C,$A134,'NSE - NIFTY Index Options'!$B:$B,G$4,'NSE - NIFTY Index Options'!$H:$H,"Weekly*")+SUMIFS('NSE - NIFTY Index Options'!$L:$L,'NSE - NIFTY Index Options'!$C:$C,$A134,'NSE - NIFTY Index Options'!$B:$B,G$4,'NSE - NIFTY Index Options'!$H:$H,"MDAW*")+SUMIFS('NSE - Other Index Options'!$L:$L,'NSE - Other Index Options'!$C:$C,$A134,'NSE - Other Index Options'!$B:$B,G$4,'NSE - Other Index Options'!$H:$H,"Weekly*")+SUMIFS('NSE - Other Index Options'!$L:$L,'NSE - Other Index Options'!$C:$C,$A134,'NSE - Other Index Options'!$B:$B,G$4,'NSE - Other Index Options'!$H:$H,"MDAW*")=0,"",SUMIFS('NSE - NIFTY Index Options'!$L:$L,'NSE - NIFTY Index Options'!$C:$C,$A134,'NSE - NIFTY Index Options'!$B:$B,G$4,'NSE - NIFTY Index Options'!$H:$H,"Weekly*")+SUMIFS('NSE - NIFTY Index Options'!$L:$L,'NSE - NIFTY Index Options'!$C:$C,$A134,'NSE - NIFTY Index Options'!$B:$B,G$4,'NSE - NIFTY Index Options'!$H:$H,"MDAW*")+SUMIFS('NSE - Other Index Options'!$L:$L,'NSE - Other Index Options'!$C:$C,$A134,'NSE - Other Index Options'!$B:$B,G$4,'NSE - Other Index Options'!$H:$H,"Weekly*")+SUMIFS('NSE - Other Index Options'!$L:$L,'NSE - Other Index Options'!$C:$C,$A134,'NSE - Other Index Options'!$B:$B,G$4,'NSE - Other Index Options'!$H:$H,"MDAW*"))</f>
        <v/>
      </c>
      <c r="H134" s="26" t="str">
        <f t="shared" si="4"/>
        <v/>
      </c>
    </row>
    <row r="135" spans="1:8" hidden="1" outlineLevel="1">
      <c r="A135" t="s">
        <v>140</v>
      </c>
      <c r="B135" s="26" t="str">
        <f>IF(SUMIFS('NSE - NIFTY Index Options'!$L:$L,'NSE - NIFTY Index Options'!$C:$C,$A135,'NSE - NIFTY Index Options'!$B:$B,B$4,'NSE - NIFTY Index Options'!$H:$H,"Weekly*")+SUMIFS('NSE - NIFTY Index Options'!$L:$L,'NSE - NIFTY Index Options'!$C:$C,$A135,'NSE - NIFTY Index Options'!$B:$B,B$4,'NSE - NIFTY Index Options'!$H:$H,"MDAW*")+SUMIFS('NSE - Other Index Options'!$L:$L,'NSE - Other Index Options'!$C:$C,$A135,'NSE - Other Index Options'!$B:$B,B$4,'NSE - Other Index Options'!$H:$H,"Weekly*")+SUMIFS('NSE - Other Index Options'!$L:$L,'NSE - Other Index Options'!$C:$C,$A135,'NSE - Other Index Options'!$B:$B,B$4,'NSE - Other Index Options'!$H:$H,"MDAW*")=0,"",SUMIFS('NSE - NIFTY Index Options'!$L:$L,'NSE - NIFTY Index Options'!$C:$C,$A135,'NSE - NIFTY Index Options'!$B:$B,B$4,'NSE - NIFTY Index Options'!$H:$H,"Weekly*")+SUMIFS('NSE - NIFTY Index Options'!$L:$L,'NSE - NIFTY Index Options'!$C:$C,$A135,'NSE - NIFTY Index Options'!$B:$B,B$4,'NSE - NIFTY Index Options'!$H:$H,"MDAW*")+SUMIFS('NSE - Other Index Options'!$L:$L,'NSE - Other Index Options'!$C:$C,$A135,'NSE - Other Index Options'!$B:$B,B$4,'NSE - Other Index Options'!$H:$H,"Weekly*")+SUMIFS('NSE - Other Index Options'!$L:$L,'NSE - Other Index Options'!$C:$C,$A135,'NSE - Other Index Options'!$B:$B,B$4,'NSE - Other Index Options'!$H:$H,"MDAW*"))</f>
        <v/>
      </c>
      <c r="C135" s="26" t="str">
        <f>IF(SUMIFS('NSE - NIFTY Index Options'!$L:$L,'NSE - NIFTY Index Options'!$C:$C,$A135,'NSE - NIFTY Index Options'!$B:$B,C$4,'NSE - NIFTY Index Options'!$H:$H,"Weekly*")+SUMIFS('NSE - NIFTY Index Options'!$L:$L,'NSE - NIFTY Index Options'!$C:$C,$A135,'NSE - NIFTY Index Options'!$B:$B,C$4,'NSE - NIFTY Index Options'!$H:$H,"MDAW*")+SUMIFS('NSE - Other Index Options'!$L:$L,'NSE - Other Index Options'!$C:$C,$A135,'NSE - Other Index Options'!$B:$B,C$4,'NSE - Other Index Options'!$H:$H,"Weekly*")+SUMIFS('NSE - Other Index Options'!$L:$L,'NSE - Other Index Options'!$C:$C,$A135,'NSE - Other Index Options'!$B:$B,C$4,'NSE - Other Index Options'!$H:$H,"MDAW*")=0,"",SUMIFS('NSE - NIFTY Index Options'!$L:$L,'NSE - NIFTY Index Options'!$C:$C,$A135,'NSE - NIFTY Index Options'!$B:$B,C$4,'NSE - NIFTY Index Options'!$H:$H,"Weekly*")+SUMIFS('NSE - NIFTY Index Options'!$L:$L,'NSE - NIFTY Index Options'!$C:$C,$A135,'NSE - NIFTY Index Options'!$B:$B,C$4,'NSE - NIFTY Index Options'!$H:$H,"MDAW*")+SUMIFS('NSE - Other Index Options'!$L:$L,'NSE - Other Index Options'!$C:$C,$A135,'NSE - Other Index Options'!$B:$B,C$4,'NSE - Other Index Options'!$H:$H,"Weekly*")+SUMIFS('NSE - Other Index Options'!$L:$L,'NSE - Other Index Options'!$C:$C,$A135,'NSE - Other Index Options'!$B:$B,C$4,'NSE - Other Index Options'!$H:$H,"MDAW*"))</f>
        <v/>
      </c>
      <c r="D135" s="26" t="str">
        <f>IF(SUMIFS('NSE - NIFTY Index Options'!$L:$L,'NSE - NIFTY Index Options'!$C:$C,$A135,'NSE - NIFTY Index Options'!$B:$B,D$4,'NSE - NIFTY Index Options'!$H:$H,"Weekly*")+SUMIFS('NSE - NIFTY Index Options'!$L:$L,'NSE - NIFTY Index Options'!$C:$C,$A135,'NSE - NIFTY Index Options'!$B:$B,D$4,'NSE - NIFTY Index Options'!$H:$H,"MDAW*")+SUMIFS('NSE - Other Index Options'!$L:$L,'NSE - Other Index Options'!$C:$C,$A135,'NSE - Other Index Options'!$B:$B,D$4,'NSE - Other Index Options'!$H:$H,"Weekly*")+SUMIFS('NSE - Other Index Options'!$L:$L,'NSE - Other Index Options'!$C:$C,$A135,'NSE - Other Index Options'!$B:$B,D$4,'NSE - Other Index Options'!$H:$H,"MDAW*")=0,"",SUMIFS('NSE - NIFTY Index Options'!$L:$L,'NSE - NIFTY Index Options'!$C:$C,$A135,'NSE - NIFTY Index Options'!$B:$B,D$4,'NSE - NIFTY Index Options'!$H:$H,"Weekly*")+SUMIFS('NSE - NIFTY Index Options'!$L:$L,'NSE - NIFTY Index Options'!$C:$C,$A135,'NSE - NIFTY Index Options'!$B:$B,D$4,'NSE - NIFTY Index Options'!$H:$H,"MDAW*")+SUMIFS('NSE - Other Index Options'!$L:$L,'NSE - Other Index Options'!$C:$C,$A135,'NSE - Other Index Options'!$B:$B,D$4,'NSE - Other Index Options'!$H:$H,"Weekly*")+SUMIFS('NSE - Other Index Options'!$L:$L,'NSE - Other Index Options'!$C:$C,$A135,'NSE - Other Index Options'!$B:$B,D$4,'NSE - Other Index Options'!$H:$H,"MDAW*"))</f>
        <v/>
      </c>
      <c r="E135" s="26" t="str">
        <f>IF(SUMIFS('NSE - NIFTY Index Options'!$L:$L,'NSE - NIFTY Index Options'!$C:$C,$A135,'NSE - NIFTY Index Options'!$B:$B,E$4,'NSE - NIFTY Index Options'!$H:$H,"Weekly*")+SUMIFS('NSE - NIFTY Index Options'!$L:$L,'NSE - NIFTY Index Options'!$C:$C,$A135,'NSE - NIFTY Index Options'!$B:$B,E$4,'NSE - NIFTY Index Options'!$H:$H,"MDAW*")+SUMIFS('NSE - Other Index Options'!$L:$L,'NSE - Other Index Options'!$C:$C,$A135,'NSE - Other Index Options'!$B:$B,E$4,'NSE - Other Index Options'!$H:$H,"Weekly*")+SUMIFS('NSE - Other Index Options'!$L:$L,'NSE - Other Index Options'!$C:$C,$A135,'NSE - Other Index Options'!$B:$B,E$4,'NSE - Other Index Options'!$H:$H,"MDAW*")=0,"",SUMIFS('NSE - NIFTY Index Options'!$L:$L,'NSE - NIFTY Index Options'!$C:$C,$A135,'NSE - NIFTY Index Options'!$B:$B,E$4,'NSE - NIFTY Index Options'!$H:$H,"Weekly*")+SUMIFS('NSE - NIFTY Index Options'!$L:$L,'NSE - NIFTY Index Options'!$C:$C,$A135,'NSE - NIFTY Index Options'!$B:$B,E$4,'NSE - NIFTY Index Options'!$H:$H,"MDAW*")+SUMIFS('NSE - Other Index Options'!$L:$L,'NSE - Other Index Options'!$C:$C,$A135,'NSE - Other Index Options'!$B:$B,E$4,'NSE - Other Index Options'!$H:$H,"Weekly*")+SUMIFS('NSE - Other Index Options'!$L:$L,'NSE - Other Index Options'!$C:$C,$A135,'NSE - Other Index Options'!$B:$B,E$4,'NSE - Other Index Options'!$H:$H,"MDAW*"))</f>
        <v/>
      </c>
      <c r="F135" s="26" t="str">
        <f>IF(SUMIFS('NSE - NIFTY Index Options'!$L:$L,'NSE - NIFTY Index Options'!$C:$C,$A135,'NSE - NIFTY Index Options'!$B:$B,F$4,'NSE - NIFTY Index Options'!$H:$H,"Weekly*")+SUMIFS('NSE - NIFTY Index Options'!$L:$L,'NSE - NIFTY Index Options'!$C:$C,$A135,'NSE - NIFTY Index Options'!$B:$B,F$4,'NSE - NIFTY Index Options'!$H:$H,"MDAW*")+SUMIFS('NSE - Other Index Options'!$L:$L,'NSE - Other Index Options'!$C:$C,$A135,'NSE - Other Index Options'!$B:$B,F$4,'NSE - Other Index Options'!$H:$H,"Weekly*")+SUMIFS('NSE - Other Index Options'!$L:$L,'NSE - Other Index Options'!$C:$C,$A135,'NSE - Other Index Options'!$B:$B,F$4,'NSE - Other Index Options'!$H:$H,"MDAW*")=0,"",SUMIFS('NSE - NIFTY Index Options'!$L:$L,'NSE - NIFTY Index Options'!$C:$C,$A135,'NSE - NIFTY Index Options'!$B:$B,F$4,'NSE - NIFTY Index Options'!$H:$H,"Weekly*")+SUMIFS('NSE - NIFTY Index Options'!$L:$L,'NSE - NIFTY Index Options'!$C:$C,$A135,'NSE - NIFTY Index Options'!$B:$B,F$4,'NSE - NIFTY Index Options'!$H:$H,"MDAW*")+SUMIFS('NSE - Other Index Options'!$L:$L,'NSE - Other Index Options'!$C:$C,$A135,'NSE - Other Index Options'!$B:$B,F$4,'NSE - Other Index Options'!$H:$H,"Weekly*")+SUMIFS('NSE - Other Index Options'!$L:$L,'NSE - Other Index Options'!$C:$C,$A135,'NSE - Other Index Options'!$B:$B,F$4,'NSE - Other Index Options'!$H:$H,"MDAW*"))</f>
        <v/>
      </c>
      <c r="G135" s="26" t="str">
        <f>IF(SUMIFS('NSE - NIFTY Index Options'!$L:$L,'NSE - NIFTY Index Options'!$C:$C,$A135,'NSE - NIFTY Index Options'!$B:$B,G$4,'NSE - NIFTY Index Options'!$H:$H,"Weekly*")+SUMIFS('NSE - NIFTY Index Options'!$L:$L,'NSE - NIFTY Index Options'!$C:$C,$A135,'NSE - NIFTY Index Options'!$B:$B,G$4,'NSE - NIFTY Index Options'!$H:$H,"MDAW*")+SUMIFS('NSE - Other Index Options'!$L:$L,'NSE - Other Index Options'!$C:$C,$A135,'NSE - Other Index Options'!$B:$B,G$4,'NSE - Other Index Options'!$H:$H,"Weekly*")+SUMIFS('NSE - Other Index Options'!$L:$L,'NSE - Other Index Options'!$C:$C,$A135,'NSE - Other Index Options'!$B:$B,G$4,'NSE - Other Index Options'!$H:$H,"MDAW*")=0,"",SUMIFS('NSE - NIFTY Index Options'!$L:$L,'NSE - NIFTY Index Options'!$C:$C,$A135,'NSE - NIFTY Index Options'!$B:$B,G$4,'NSE - NIFTY Index Options'!$H:$H,"Weekly*")+SUMIFS('NSE - NIFTY Index Options'!$L:$L,'NSE - NIFTY Index Options'!$C:$C,$A135,'NSE - NIFTY Index Options'!$B:$B,G$4,'NSE - NIFTY Index Options'!$H:$H,"MDAW*")+SUMIFS('NSE - Other Index Options'!$L:$L,'NSE - Other Index Options'!$C:$C,$A135,'NSE - Other Index Options'!$B:$B,G$4,'NSE - Other Index Options'!$H:$H,"Weekly*")+SUMIFS('NSE - Other Index Options'!$L:$L,'NSE - Other Index Options'!$C:$C,$A135,'NSE - Other Index Options'!$B:$B,G$4,'NSE - Other Index Options'!$H:$H,"MDAW*"))</f>
        <v/>
      </c>
      <c r="H135" s="26" t="str">
        <f t="shared" si="4"/>
        <v/>
      </c>
    </row>
    <row r="136" spans="1:8" hidden="1" outlineLevel="1">
      <c r="A136" t="s">
        <v>141</v>
      </c>
      <c r="B136" s="26" t="str">
        <f>IF(SUMIFS('NSE - NIFTY Index Options'!$L:$L,'NSE - NIFTY Index Options'!$C:$C,$A136,'NSE - NIFTY Index Options'!$B:$B,B$4,'NSE - NIFTY Index Options'!$H:$H,"Weekly*")+SUMIFS('NSE - NIFTY Index Options'!$L:$L,'NSE - NIFTY Index Options'!$C:$C,$A136,'NSE - NIFTY Index Options'!$B:$B,B$4,'NSE - NIFTY Index Options'!$H:$H,"MDAW*")+SUMIFS('NSE - Other Index Options'!$L:$L,'NSE - Other Index Options'!$C:$C,$A136,'NSE - Other Index Options'!$B:$B,B$4,'NSE - Other Index Options'!$H:$H,"Weekly*")+SUMIFS('NSE - Other Index Options'!$L:$L,'NSE - Other Index Options'!$C:$C,$A136,'NSE - Other Index Options'!$B:$B,B$4,'NSE - Other Index Options'!$H:$H,"MDAW*")=0,"",SUMIFS('NSE - NIFTY Index Options'!$L:$L,'NSE - NIFTY Index Options'!$C:$C,$A136,'NSE - NIFTY Index Options'!$B:$B,B$4,'NSE - NIFTY Index Options'!$H:$H,"Weekly*")+SUMIFS('NSE - NIFTY Index Options'!$L:$L,'NSE - NIFTY Index Options'!$C:$C,$A136,'NSE - NIFTY Index Options'!$B:$B,B$4,'NSE - NIFTY Index Options'!$H:$H,"MDAW*")+SUMIFS('NSE - Other Index Options'!$L:$L,'NSE - Other Index Options'!$C:$C,$A136,'NSE - Other Index Options'!$B:$B,B$4,'NSE - Other Index Options'!$H:$H,"Weekly*")+SUMIFS('NSE - Other Index Options'!$L:$L,'NSE - Other Index Options'!$C:$C,$A136,'NSE - Other Index Options'!$B:$B,B$4,'NSE - Other Index Options'!$H:$H,"MDAW*"))</f>
        <v/>
      </c>
      <c r="C136" s="26" t="str">
        <f>IF(SUMIFS('NSE - NIFTY Index Options'!$L:$L,'NSE - NIFTY Index Options'!$C:$C,$A136,'NSE - NIFTY Index Options'!$B:$B,C$4,'NSE - NIFTY Index Options'!$H:$H,"Weekly*")+SUMIFS('NSE - NIFTY Index Options'!$L:$L,'NSE - NIFTY Index Options'!$C:$C,$A136,'NSE - NIFTY Index Options'!$B:$B,C$4,'NSE - NIFTY Index Options'!$H:$H,"MDAW*")+SUMIFS('NSE - Other Index Options'!$L:$L,'NSE - Other Index Options'!$C:$C,$A136,'NSE - Other Index Options'!$B:$B,C$4,'NSE - Other Index Options'!$H:$H,"Weekly*")+SUMIFS('NSE - Other Index Options'!$L:$L,'NSE - Other Index Options'!$C:$C,$A136,'NSE - Other Index Options'!$B:$B,C$4,'NSE - Other Index Options'!$H:$H,"MDAW*")=0,"",SUMIFS('NSE - NIFTY Index Options'!$L:$L,'NSE - NIFTY Index Options'!$C:$C,$A136,'NSE - NIFTY Index Options'!$B:$B,C$4,'NSE - NIFTY Index Options'!$H:$H,"Weekly*")+SUMIFS('NSE - NIFTY Index Options'!$L:$L,'NSE - NIFTY Index Options'!$C:$C,$A136,'NSE - NIFTY Index Options'!$B:$B,C$4,'NSE - NIFTY Index Options'!$H:$H,"MDAW*")+SUMIFS('NSE - Other Index Options'!$L:$L,'NSE - Other Index Options'!$C:$C,$A136,'NSE - Other Index Options'!$B:$B,C$4,'NSE - Other Index Options'!$H:$H,"Weekly*")+SUMIFS('NSE - Other Index Options'!$L:$L,'NSE - Other Index Options'!$C:$C,$A136,'NSE - Other Index Options'!$B:$B,C$4,'NSE - Other Index Options'!$H:$H,"MDAW*"))</f>
        <v/>
      </c>
      <c r="D136" s="26" t="str">
        <f>IF(SUMIFS('NSE - NIFTY Index Options'!$L:$L,'NSE - NIFTY Index Options'!$C:$C,$A136,'NSE - NIFTY Index Options'!$B:$B,D$4,'NSE - NIFTY Index Options'!$H:$H,"Weekly*")+SUMIFS('NSE - NIFTY Index Options'!$L:$L,'NSE - NIFTY Index Options'!$C:$C,$A136,'NSE - NIFTY Index Options'!$B:$B,D$4,'NSE - NIFTY Index Options'!$H:$H,"MDAW*")+SUMIFS('NSE - Other Index Options'!$L:$L,'NSE - Other Index Options'!$C:$C,$A136,'NSE - Other Index Options'!$B:$B,D$4,'NSE - Other Index Options'!$H:$H,"Weekly*")+SUMIFS('NSE - Other Index Options'!$L:$L,'NSE - Other Index Options'!$C:$C,$A136,'NSE - Other Index Options'!$B:$B,D$4,'NSE - Other Index Options'!$H:$H,"MDAW*")=0,"",SUMIFS('NSE - NIFTY Index Options'!$L:$L,'NSE - NIFTY Index Options'!$C:$C,$A136,'NSE - NIFTY Index Options'!$B:$B,D$4,'NSE - NIFTY Index Options'!$H:$H,"Weekly*")+SUMIFS('NSE - NIFTY Index Options'!$L:$L,'NSE - NIFTY Index Options'!$C:$C,$A136,'NSE - NIFTY Index Options'!$B:$B,D$4,'NSE - NIFTY Index Options'!$H:$H,"MDAW*")+SUMIFS('NSE - Other Index Options'!$L:$L,'NSE - Other Index Options'!$C:$C,$A136,'NSE - Other Index Options'!$B:$B,D$4,'NSE - Other Index Options'!$H:$H,"Weekly*")+SUMIFS('NSE - Other Index Options'!$L:$L,'NSE - Other Index Options'!$C:$C,$A136,'NSE - Other Index Options'!$B:$B,D$4,'NSE - Other Index Options'!$H:$H,"MDAW*"))</f>
        <v/>
      </c>
      <c r="E136" s="26" t="str">
        <f>IF(SUMIFS('NSE - NIFTY Index Options'!$L:$L,'NSE - NIFTY Index Options'!$C:$C,$A136,'NSE - NIFTY Index Options'!$B:$B,E$4,'NSE - NIFTY Index Options'!$H:$H,"Weekly*")+SUMIFS('NSE - NIFTY Index Options'!$L:$L,'NSE - NIFTY Index Options'!$C:$C,$A136,'NSE - NIFTY Index Options'!$B:$B,E$4,'NSE - NIFTY Index Options'!$H:$H,"MDAW*")+SUMIFS('NSE - Other Index Options'!$L:$L,'NSE - Other Index Options'!$C:$C,$A136,'NSE - Other Index Options'!$B:$B,E$4,'NSE - Other Index Options'!$H:$H,"Weekly*")+SUMIFS('NSE - Other Index Options'!$L:$L,'NSE - Other Index Options'!$C:$C,$A136,'NSE - Other Index Options'!$B:$B,E$4,'NSE - Other Index Options'!$H:$H,"MDAW*")=0,"",SUMIFS('NSE - NIFTY Index Options'!$L:$L,'NSE - NIFTY Index Options'!$C:$C,$A136,'NSE - NIFTY Index Options'!$B:$B,E$4,'NSE - NIFTY Index Options'!$H:$H,"Weekly*")+SUMIFS('NSE - NIFTY Index Options'!$L:$L,'NSE - NIFTY Index Options'!$C:$C,$A136,'NSE - NIFTY Index Options'!$B:$B,E$4,'NSE - NIFTY Index Options'!$H:$H,"MDAW*")+SUMIFS('NSE - Other Index Options'!$L:$L,'NSE - Other Index Options'!$C:$C,$A136,'NSE - Other Index Options'!$B:$B,E$4,'NSE - Other Index Options'!$H:$H,"Weekly*")+SUMIFS('NSE - Other Index Options'!$L:$L,'NSE - Other Index Options'!$C:$C,$A136,'NSE - Other Index Options'!$B:$B,E$4,'NSE - Other Index Options'!$H:$H,"MDAW*"))</f>
        <v/>
      </c>
      <c r="F136" s="26" t="str">
        <f>IF(SUMIFS('NSE - NIFTY Index Options'!$L:$L,'NSE - NIFTY Index Options'!$C:$C,$A136,'NSE - NIFTY Index Options'!$B:$B,F$4,'NSE - NIFTY Index Options'!$H:$H,"Weekly*")+SUMIFS('NSE - NIFTY Index Options'!$L:$L,'NSE - NIFTY Index Options'!$C:$C,$A136,'NSE - NIFTY Index Options'!$B:$B,F$4,'NSE - NIFTY Index Options'!$H:$H,"MDAW*")+SUMIFS('NSE - Other Index Options'!$L:$L,'NSE - Other Index Options'!$C:$C,$A136,'NSE - Other Index Options'!$B:$B,F$4,'NSE - Other Index Options'!$H:$H,"Weekly*")+SUMIFS('NSE - Other Index Options'!$L:$L,'NSE - Other Index Options'!$C:$C,$A136,'NSE - Other Index Options'!$B:$B,F$4,'NSE - Other Index Options'!$H:$H,"MDAW*")=0,"",SUMIFS('NSE - NIFTY Index Options'!$L:$L,'NSE - NIFTY Index Options'!$C:$C,$A136,'NSE - NIFTY Index Options'!$B:$B,F$4,'NSE - NIFTY Index Options'!$H:$H,"Weekly*")+SUMIFS('NSE - NIFTY Index Options'!$L:$L,'NSE - NIFTY Index Options'!$C:$C,$A136,'NSE - NIFTY Index Options'!$B:$B,F$4,'NSE - NIFTY Index Options'!$H:$H,"MDAW*")+SUMIFS('NSE - Other Index Options'!$L:$L,'NSE - Other Index Options'!$C:$C,$A136,'NSE - Other Index Options'!$B:$B,F$4,'NSE - Other Index Options'!$H:$H,"Weekly*")+SUMIFS('NSE - Other Index Options'!$L:$L,'NSE - Other Index Options'!$C:$C,$A136,'NSE - Other Index Options'!$B:$B,F$4,'NSE - Other Index Options'!$H:$H,"MDAW*"))</f>
        <v/>
      </c>
      <c r="G136" s="26" t="str">
        <f>IF(SUMIFS('NSE - NIFTY Index Options'!$L:$L,'NSE - NIFTY Index Options'!$C:$C,$A136,'NSE - NIFTY Index Options'!$B:$B,G$4,'NSE - NIFTY Index Options'!$H:$H,"Weekly*")+SUMIFS('NSE - NIFTY Index Options'!$L:$L,'NSE - NIFTY Index Options'!$C:$C,$A136,'NSE - NIFTY Index Options'!$B:$B,G$4,'NSE - NIFTY Index Options'!$H:$H,"MDAW*")+SUMIFS('NSE - Other Index Options'!$L:$L,'NSE - Other Index Options'!$C:$C,$A136,'NSE - Other Index Options'!$B:$B,G$4,'NSE - Other Index Options'!$H:$H,"Weekly*")+SUMIFS('NSE - Other Index Options'!$L:$L,'NSE - Other Index Options'!$C:$C,$A136,'NSE - Other Index Options'!$B:$B,G$4,'NSE - Other Index Options'!$H:$H,"MDAW*")=0,"",SUMIFS('NSE - NIFTY Index Options'!$L:$L,'NSE - NIFTY Index Options'!$C:$C,$A136,'NSE - NIFTY Index Options'!$B:$B,G$4,'NSE - NIFTY Index Options'!$H:$H,"Weekly*")+SUMIFS('NSE - NIFTY Index Options'!$L:$L,'NSE - NIFTY Index Options'!$C:$C,$A136,'NSE - NIFTY Index Options'!$B:$B,G$4,'NSE - NIFTY Index Options'!$H:$H,"MDAW*")+SUMIFS('NSE - Other Index Options'!$L:$L,'NSE - Other Index Options'!$C:$C,$A136,'NSE - Other Index Options'!$B:$B,G$4,'NSE - Other Index Options'!$H:$H,"Weekly*")+SUMIFS('NSE - Other Index Options'!$L:$L,'NSE - Other Index Options'!$C:$C,$A136,'NSE - Other Index Options'!$B:$B,G$4,'NSE - Other Index Options'!$H:$H,"MDAW*"))</f>
        <v/>
      </c>
      <c r="H136" s="26" t="str">
        <f t="shared" si="4"/>
        <v/>
      </c>
    </row>
    <row r="137" spans="1:8" hidden="1" outlineLevel="1">
      <c r="A137" t="s">
        <v>142</v>
      </c>
      <c r="B137" s="26" t="str">
        <f>IF(SUMIFS('NSE - NIFTY Index Options'!$L:$L,'NSE - NIFTY Index Options'!$C:$C,$A137,'NSE - NIFTY Index Options'!$B:$B,B$4,'NSE - NIFTY Index Options'!$H:$H,"Weekly*")+SUMIFS('NSE - NIFTY Index Options'!$L:$L,'NSE - NIFTY Index Options'!$C:$C,$A137,'NSE - NIFTY Index Options'!$B:$B,B$4,'NSE - NIFTY Index Options'!$H:$H,"MDAW*")+SUMIFS('NSE - Other Index Options'!$L:$L,'NSE - Other Index Options'!$C:$C,$A137,'NSE - Other Index Options'!$B:$B,B$4,'NSE - Other Index Options'!$H:$H,"Weekly*")+SUMIFS('NSE - Other Index Options'!$L:$L,'NSE - Other Index Options'!$C:$C,$A137,'NSE - Other Index Options'!$B:$B,B$4,'NSE - Other Index Options'!$H:$H,"MDAW*")=0,"",SUMIFS('NSE - NIFTY Index Options'!$L:$L,'NSE - NIFTY Index Options'!$C:$C,$A137,'NSE - NIFTY Index Options'!$B:$B,B$4,'NSE - NIFTY Index Options'!$H:$H,"Weekly*")+SUMIFS('NSE - NIFTY Index Options'!$L:$L,'NSE - NIFTY Index Options'!$C:$C,$A137,'NSE - NIFTY Index Options'!$B:$B,B$4,'NSE - NIFTY Index Options'!$H:$H,"MDAW*")+SUMIFS('NSE - Other Index Options'!$L:$L,'NSE - Other Index Options'!$C:$C,$A137,'NSE - Other Index Options'!$B:$B,B$4,'NSE - Other Index Options'!$H:$H,"Weekly*")+SUMIFS('NSE - Other Index Options'!$L:$L,'NSE - Other Index Options'!$C:$C,$A137,'NSE - Other Index Options'!$B:$B,B$4,'NSE - Other Index Options'!$H:$H,"MDAW*"))</f>
        <v/>
      </c>
      <c r="C137" s="26" t="str">
        <f>IF(SUMIFS('NSE - NIFTY Index Options'!$L:$L,'NSE - NIFTY Index Options'!$C:$C,$A137,'NSE - NIFTY Index Options'!$B:$B,C$4,'NSE - NIFTY Index Options'!$H:$H,"Weekly*")+SUMIFS('NSE - NIFTY Index Options'!$L:$L,'NSE - NIFTY Index Options'!$C:$C,$A137,'NSE - NIFTY Index Options'!$B:$B,C$4,'NSE - NIFTY Index Options'!$H:$H,"MDAW*")+SUMIFS('NSE - Other Index Options'!$L:$L,'NSE - Other Index Options'!$C:$C,$A137,'NSE - Other Index Options'!$B:$B,C$4,'NSE - Other Index Options'!$H:$H,"Weekly*")+SUMIFS('NSE - Other Index Options'!$L:$L,'NSE - Other Index Options'!$C:$C,$A137,'NSE - Other Index Options'!$B:$B,C$4,'NSE - Other Index Options'!$H:$H,"MDAW*")=0,"",SUMIFS('NSE - NIFTY Index Options'!$L:$L,'NSE - NIFTY Index Options'!$C:$C,$A137,'NSE - NIFTY Index Options'!$B:$B,C$4,'NSE - NIFTY Index Options'!$H:$H,"Weekly*")+SUMIFS('NSE - NIFTY Index Options'!$L:$L,'NSE - NIFTY Index Options'!$C:$C,$A137,'NSE - NIFTY Index Options'!$B:$B,C$4,'NSE - NIFTY Index Options'!$H:$H,"MDAW*")+SUMIFS('NSE - Other Index Options'!$L:$L,'NSE - Other Index Options'!$C:$C,$A137,'NSE - Other Index Options'!$B:$B,C$4,'NSE - Other Index Options'!$H:$H,"Weekly*")+SUMIFS('NSE - Other Index Options'!$L:$L,'NSE - Other Index Options'!$C:$C,$A137,'NSE - Other Index Options'!$B:$B,C$4,'NSE - Other Index Options'!$H:$H,"MDAW*"))</f>
        <v/>
      </c>
      <c r="D137" s="26" t="str">
        <f>IF(SUMIFS('NSE - NIFTY Index Options'!$L:$L,'NSE - NIFTY Index Options'!$C:$C,$A137,'NSE - NIFTY Index Options'!$B:$B,D$4,'NSE - NIFTY Index Options'!$H:$H,"Weekly*")+SUMIFS('NSE - NIFTY Index Options'!$L:$L,'NSE - NIFTY Index Options'!$C:$C,$A137,'NSE - NIFTY Index Options'!$B:$B,D$4,'NSE - NIFTY Index Options'!$H:$H,"MDAW*")+SUMIFS('NSE - Other Index Options'!$L:$L,'NSE - Other Index Options'!$C:$C,$A137,'NSE - Other Index Options'!$B:$B,D$4,'NSE - Other Index Options'!$H:$H,"Weekly*")+SUMIFS('NSE - Other Index Options'!$L:$L,'NSE - Other Index Options'!$C:$C,$A137,'NSE - Other Index Options'!$B:$B,D$4,'NSE - Other Index Options'!$H:$H,"MDAW*")=0,"",SUMIFS('NSE - NIFTY Index Options'!$L:$L,'NSE - NIFTY Index Options'!$C:$C,$A137,'NSE - NIFTY Index Options'!$B:$B,D$4,'NSE - NIFTY Index Options'!$H:$H,"Weekly*")+SUMIFS('NSE - NIFTY Index Options'!$L:$L,'NSE - NIFTY Index Options'!$C:$C,$A137,'NSE - NIFTY Index Options'!$B:$B,D$4,'NSE - NIFTY Index Options'!$H:$H,"MDAW*")+SUMIFS('NSE - Other Index Options'!$L:$L,'NSE - Other Index Options'!$C:$C,$A137,'NSE - Other Index Options'!$B:$B,D$4,'NSE - Other Index Options'!$H:$H,"Weekly*")+SUMIFS('NSE - Other Index Options'!$L:$L,'NSE - Other Index Options'!$C:$C,$A137,'NSE - Other Index Options'!$B:$B,D$4,'NSE - Other Index Options'!$H:$H,"MDAW*"))</f>
        <v/>
      </c>
      <c r="E137" s="26" t="str">
        <f>IF(SUMIFS('NSE - NIFTY Index Options'!$L:$L,'NSE - NIFTY Index Options'!$C:$C,$A137,'NSE - NIFTY Index Options'!$B:$B,E$4,'NSE - NIFTY Index Options'!$H:$H,"Weekly*")+SUMIFS('NSE - NIFTY Index Options'!$L:$L,'NSE - NIFTY Index Options'!$C:$C,$A137,'NSE - NIFTY Index Options'!$B:$B,E$4,'NSE - NIFTY Index Options'!$H:$H,"MDAW*")+SUMIFS('NSE - Other Index Options'!$L:$L,'NSE - Other Index Options'!$C:$C,$A137,'NSE - Other Index Options'!$B:$B,E$4,'NSE - Other Index Options'!$H:$H,"Weekly*")+SUMIFS('NSE - Other Index Options'!$L:$L,'NSE - Other Index Options'!$C:$C,$A137,'NSE - Other Index Options'!$B:$B,E$4,'NSE - Other Index Options'!$H:$H,"MDAW*")=0,"",SUMIFS('NSE - NIFTY Index Options'!$L:$L,'NSE - NIFTY Index Options'!$C:$C,$A137,'NSE - NIFTY Index Options'!$B:$B,E$4,'NSE - NIFTY Index Options'!$H:$H,"Weekly*")+SUMIFS('NSE - NIFTY Index Options'!$L:$L,'NSE - NIFTY Index Options'!$C:$C,$A137,'NSE - NIFTY Index Options'!$B:$B,E$4,'NSE - NIFTY Index Options'!$H:$H,"MDAW*")+SUMIFS('NSE - Other Index Options'!$L:$L,'NSE - Other Index Options'!$C:$C,$A137,'NSE - Other Index Options'!$B:$B,E$4,'NSE - Other Index Options'!$H:$H,"Weekly*")+SUMIFS('NSE - Other Index Options'!$L:$L,'NSE - Other Index Options'!$C:$C,$A137,'NSE - Other Index Options'!$B:$B,E$4,'NSE - Other Index Options'!$H:$H,"MDAW*"))</f>
        <v/>
      </c>
      <c r="F137" s="26" t="str">
        <f>IF(SUMIFS('NSE - NIFTY Index Options'!$L:$L,'NSE - NIFTY Index Options'!$C:$C,$A137,'NSE - NIFTY Index Options'!$B:$B,F$4,'NSE - NIFTY Index Options'!$H:$H,"Weekly*")+SUMIFS('NSE - NIFTY Index Options'!$L:$L,'NSE - NIFTY Index Options'!$C:$C,$A137,'NSE - NIFTY Index Options'!$B:$B,F$4,'NSE - NIFTY Index Options'!$H:$H,"MDAW*")+SUMIFS('NSE - Other Index Options'!$L:$L,'NSE - Other Index Options'!$C:$C,$A137,'NSE - Other Index Options'!$B:$B,F$4,'NSE - Other Index Options'!$H:$H,"Weekly*")+SUMIFS('NSE - Other Index Options'!$L:$L,'NSE - Other Index Options'!$C:$C,$A137,'NSE - Other Index Options'!$B:$B,F$4,'NSE - Other Index Options'!$H:$H,"MDAW*")=0,"",SUMIFS('NSE - NIFTY Index Options'!$L:$L,'NSE - NIFTY Index Options'!$C:$C,$A137,'NSE - NIFTY Index Options'!$B:$B,F$4,'NSE - NIFTY Index Options'!$H:$H,"Weekly*")+SUMIFS('NSE - NIFTY Index Options'!$L:$L,'NSE - NIFTY Index Options'!$C:$C,$A137,'NSE - NIFTY Index Options'!$B:$B,F$4,'NSE - NIFTY Index Options'!$H:$H,"MDAW*")+SUMIFS('NSE - Other Index Options'!$L:$L,'NSE - Other Index Options'!$C:$C,$A137,'NSE - Other Index Options'!$B:$B,F$4,'NSE - Other Index Options'!$H:$H,"Weekly*")+SUMIFS('NSE - Other Index Options'!$L:$L,'NSE - Other Index Options'!$C:$C,$A137,'NSE - Other Index Options'!$B:$B,F$4,'NSE - Other Index Options'!$H:$H,"MDAW*"))</f>
        <v/>
      </c>
      <c r="G137" s="26" t="str">
        <f>IF(SUMIFS('NSE - NIFTY Index Options'!$L:$L,'NSE - NIFTY Index Options'!$C:$C,$A137,'NSE - NIFTY Index Options'!$B:$B,G$4,'NSE - NIFTY Index Options'!$H:$H,"Weekly*")+SUMIFS('NSE - NIFTY Index Options'!$L:$L,'NSE - NIFTY Index Options'!$C:$C,$A137,'NSE - NIFTY Index Options'!$B:$B,G$4,'NSE - NIFTY Index Options'!$H:$H,"MDAW*")+SUMIFS('NSE - Other Index Options'!$L:$L,'NSE - Other Index Options'!$C:$C,$A137,'NSE - Other Index Options'!$B:$B,G$4,'NSE - Other Index Options'!$H:$H,"Weekly*")+SUMIFS('NSE - Other Index Options'!$L:$L,'NSE - Other Index Options'!$C:$C,$A137,'NSE - Other Index Options'!$B:$B,G$4,'NSE - Other Index Options'!$H:$H,"MDAW*")=0,"",SUMIFS('NSE - NIFTY Index Options'!$L:$L,'NSE - NIFTY Index Options'!$C:$C,$A137,'NSE - NIFTY Index Options'!$B:$B,G$4,'NSE - NIFTY Index Options'!$H:$H,"Weekly*")+SUMIFS('NSE - NIFTY Index Options'!$L:$L,'NSE - NIFTY Index Options'!$C:$C,$A137,'NSE - NIFTY Index Options'!$B:$B,G$4,'NSE - NIFTY Index Options'!$H:$H,"MDAW*")+SUMIFS('NSE - Other Index Options'!$L:$L,'NSE - Other Index Options'!$C:$C,$A137,'NSE - Other Index Options'!$B:$B,G$4,'NSE - Other Index Options'!$H:$H,"Weekly*")+SUMIFS('NSE - Other Index Options'!$L:$L,'NSE - Other Index Options'!$C:$C,$A137,'NSE - Other Index Options'!$B:$B,G$4,'NSE - Other Index Options'!$H:$H,"MDAW*"))</f>
        <v/>
      </c>
      <c r="H137" s="26" t="str">
        <f t="shared" si="4"/>
        <v/>
      </c>
    </row>
    <row r="138" spans="1:8" hidden="1" outlineLevel="1">
      <c r="A138" t="s">
        <v>143</v>
      </c>
      <c r="B138" s="26" t="str">
        <f>IF(SUMIFS('NSE - NIFTY Index Options'!$L:$L,'NSE - NIFTY Index Options'!$C:$C,$A138,'NSE - NIFTY Index Options'!$B:$B,B$4,'NSE - NIFTY Index Options'!$H:$H,"Weekly*")+SUMIFS('NSE - NIFTY Index Options'!$L:$L,'NSE - NIFTY Index Options'!$C:$C,$A138,'NSE - NIFTY Index Options'!$B:$B,B$4,'NSE - NIFTY Index Options'!$H:$H,"MDAW*")+SUMIFS('NSE - Other Index Options'!$L:$L,'NSE - Other Index Options'!$C:$C,$A138,'NSE - Other Index Options'!$B:$B,B$4,'NSE - Other Index Options'!$H:$H,"Weekly*")+SUMIFS('NSE - Other Index Options'!$L:$L,'NSE - Other Index Options'!$C:$C,$A138,'NSE - Other Index Options'!$B:$B,B$4,'NSE - Other Index Options'!$H:$H,"MDAW*")=0,"",SUMIFS('NSE - NIFTY Index Options'!$L:$L,'NSE - NIFTY Index Options'!$C:$C,$A138,'NSE - NIFTY Index Options'!$B:$B,B$4,'NSE - NIFTY Index Options'!$H:$H,"Weekly*")+SUMIFS('NSE - NIFTY Index Options'!$L:$L,'NSE - NIFTY Index Options'!$C:$C,$A138,'NSE - NIFTY Index Options'!$B:$B,B$4,'NSE - NIFTY Index Options'!$H:$H,"MDAW*")+SUMIFS('NSE - Other Index Options'!$L:$L,'NSE - Other Index Options'!$C:$C,$A138,'NSE - Other Index Options'!$B:$B,B$4,'NSE - Other Index Options'!$H:$H,"Weekly*")+SUMIFS('NSE - Other Index Options'!$L:$L,'NSE - Other Index Options'!$C:$C,$A138,'NSE - Other Index Options'!$B:$B,B$4,'NSE - Other Index Options'!$H:$H,"MDAW*"))</f>
        <v/>
      </c>
      <c r="C138" s="26" t="str">
        <f>IF(SUMIFS('NSE - NIFTY Index Options'!$L:$L,'NSE - NIFTY Index Options'!$C:$C,$A138,'NSE - NIFTY Index Options'!$B:$B,C$4,'NSE - NIFTY Index Options'!$H:$H,"Weekly*")+SUMIFS('NSE - NIFTY Index Options'!$L:$L,'NSE - NIFTY Index Options'!$C:$C,$A138,'NSE - NIFTY Index Options'!$B:$B,C$4,'NSE - NIFTY Index Options'!$H:$H,"MDAW*")+SUMIFS('NSE - Other Index Options'!$L:$L,'NSE - Other Index Options'!$C:$C,$A138,'NSE - Other Index Options'!$B:$B,C$4,'NSE - Other Index Options'!$H:$H,"Weekly*")+SUMIFS('NSE - Other Index Options'!$L:$L,'NSE - Other Index Options'!$C:$C,$A138,'NSE - Other Index Options'!$B:$B,C$4,'NSE - Other Index Options'!$H:$H,"MDAW*")=0,"",SUMIFS('NSE - NIFTY Index Options'!$L:$L,'NSE - NIFTY Index Options'!$C:$C,$A138,'NSE - NIFTY Index Options'!$B:$B,C$4,'NSE - NIFTY Index Options'!$H:$H,"Weekly*")+SUMIFS('NSE - NIFTY Index Options'!$L:$L,'NSE - NIFTY Index Options'!$C:$C,$A138,'NSE - NIFTY Index Options'!$B:$B,C$4,'NSE - NIFTY Index Options'!$H:$H,"MDAW*")+SUMIFS('NSE - Other Index Options'!$L:$L,'NSE - Other Index Options'!$C:$C,$A138,'NSE - Other Index Options'!$B:$B,C$4,'NSE - Other Index Options'!$H:$H,"Weekly*")+SUMIFS('NSE - Other Index Options'!$L:$L,'NSE - Other Index Options'!$C:$C,$A138,'NSE - Other Index Options'!$B:$B,C$4,'NSE - Other Index Options'!$H:$H,"MDAW*"))</f>
        <v/>
      </c>
      <c r="D138" s="26" t="str">
        <f>IF(SUMIFS('NSE - NIFTY Index Options'!$L:$L,'NSE - NIFTY Index Options'!$C:$C,$A138,'NSE - NIFTY Index Options'!$B:$B,D$4,'NSE - NIFTY Index Options'!$H:$H,"Weekly*")+SUMIFS('NSE - NIFTY Index Options'!$L:$L,'NSE - NIFTY Index Options'!$C:$C,$A138,'NSE - NIFTY Index Options'!$B:$B,D$4,'NSE - NIFTY Index Options'!$H:$H,"MDAW*")+SUMIFS('NSE - Other Index Options'!$L:$L,'NSE - Other Index Options'!$C:$C,$A138,'NSE - Other Index Options'!$B:$B,D$4,'NSE - Other Index Options'!$H:$H,"Weekly*")+SUMIFS('NSE - Other Index Options'!$L:$L,'NSE - Other Index Options'!$C:$C,$A138,'NSE - Other Index Options'!$B:$B,D$4,'NSE - Other Index Options'!$H:$H,"MDAW*")=0,"",SUMIFS('NSE - NIFTY Index Options'!$L:$L,'NSE - NIFTY Index Options'!$C:$C,$A138,'NSE - NIFTY Index Options'!$B:$B,D$4,'NSE - NIFTY Index Options'!$H:$H,"Weekly*")+SUMIFS('NSE - NIFTY Index Options'!$L:$L,'NSE - NIFTY Index Options'!$C:$C,$A138,'NSE - NIFTY Index Options'!$B:$B,D$4,'NSE - NIFTY Index Options'!$H:$H,"MDAW*")+SUMIFS('NSE - Other Index Options'!$L:$L,'NSE - Other Index Options'!$C:$C,$A138,'NSE - Other Index Options'!$B:$B,D$4,'NSE - Other Index Options'!$H:$H,"Weekly*")+SUMIFS('NSE - Other Index Options'!$L:$L,'NSE - Other Index Options'!$C:$C,$A138,'NSE - Other Index Options'!$B:$B,D$4,'NSE - Other Index Options'!$H:$H,"MDAW*"))</f>
        <v/>
      </c>
      <c r="E138" s="26" t="str">
        <f>IF(SUMIFS('NSE - NIFTY Index Options'!$L:$L,'NSE - NIFTY Index Options'!$C:$C,$A138,'NSE - NIFTY Index Options'!$B:$B,E$4,'NSE - NIFTY Index Options'!$H:$H,"Weekly*")+SUMIFS('NSE - NIFTY Index Options'!$L:$L,'NSE - NIFTY Index Options'!$C:$C,$A138,'NSE - NIFTY Index Options'!$B:$B,E$4,'NSE - NIFTY Index Options'!$H:$H,"MDAW*")+SUMIFS('NSE - Other Index Options'!$L:$L,'NSE - Other Index Options'!$C:$C,$A138,'NSE - Other Index Options'!$B:$B,E$4,'NSE - Other Index Options'!$H:$H,"Weekly*")+SUMIFS('NSE - Other Index Options'!$L:$L,'NSE - Other Index Options'!$C:$C,$A138,'NSE - Other Index Options'!$B:$B,E$4,'NSE - Other Index Options'!$H:$H,"MDAW*")=0,"",SUMIFS('NSE - NIFTY Index Options'!$L:$L,'NSE - NIFTY Index Options'!$C:$C,$A138,'NSE - NIFTY Index Options'!$B:$B,E$4,'NSE - NIFTY Index Options'!$H:$H,"Weekly*")+SUMIFS('NSE - NIFTY Index Options'!$L:$L,'NSE - NIFTY Index Options'!$C:$C,$A138,'NSE - NIFTY Index Options'!$B:$B,E$4,'NSE - NIFTY Index Options'!$H:$H,"MDAW*")+SUMIFS('NSE - Other Index Options'!$L:$L,'NSE - Other Index Options'!$C:$C,$A138,'NSE - Other Index Options'!$B:$B,E$4,'NSE - Other Index Options'!$H:$H,"Weekly*")+SUMIFS('NSE - Other Index Options'!$L:$L,'NSE - Other Index Options'!$C:$C,$A138,'NSE - Other Index Options'!$B:$B,E$4,'NSE - Other Index Options'!$H:$H,"MDAW*"))</f>
        <v/>
      </c>
      <c r="F138" s="26" t="str">
        <f>IF(SUMIFS('NSE - NIFTY Index Options'!$L:$L,'NSE - NIFTY Index Options'!$C:$C,$A138,'NSE - NIFTY Index Options'!$B:$B,F$4,'NSE - NIFTY Index Options'!$H:$H,"Weekly*")+SUMIFS('NSE - NIFTY Index Options'!$L:$L,'NSE - NIFTY Index Options'!$C:$C,$A138,'NSE - NIFTY Index Options'!$B:$B,F$4,'NSE - NIFTY Index Options'!$H:$H,"MDAW*")+SUMIFS('NSE - Other Index Options'!$L:$L,'NSE - Other Index Options'!$C:$C,$A138,'NSE - Other Index Options'!$B:$B,F$4,'NSE - Other Index Options'!$H:$H,"Weekly*")+SUMIFS('NSE - Other Index Options'!$L:$L,'NSE - Other Index Options'!$C:$C,$A138,'NSE - Other Index Options'!$B:$B,F$4,'NSE - Other Index Options'!$H:$H,"MDAW*")=0,"",SUMIFS('NSE - NIFTY Index Options'!$L:$L,'NSE - NIFTY Index Options'!$C:$C,$A138,'NSE - NIFTY Index Options'!$B:$B,F$4,'NSE - NIFTY Index Options'!$H:$H,"Weekly*")+SUMIFS('NSE - NIFTY Index Options'!$L:$L,'NSE - NIFTY Index Options'!$C:$C,$A138,'NSE - NIFTY Index Options'!$B:$B,F$4,'NSE - NIFTY Index Options'!$H:$H,"MDAW*")+SUMIFS('NSE - Other Index Options'!$L:$L,'NSE - Other Index Options'!$C:$C,$A138,'NSE - Other Index Options'!$B:$B,F$4,'NSE - Other Index Options'!$H:$H,"Weekly*")+SUMIFS('NSE - Other Index Options'!$L:$L,'NSE - Other Index Options'!$C:$C,$A138,'NSE - Other Index Options'!$B:$B,F$4,'NSE - Other Index Options'!$H:$H,"MDAW*"))</f>
        <v/>
      </c>
      <c r="G138" s="26" t="str">
        <f>IF(SUMIFS('NSE - NIFTY Index Options'!$L:$L,'NSE - NIFTY Index Options'!$C:$C,$A138,'NSE - NIFTY Index Options'!$B:$B,G$4,'NSE - NIFTY Index Options'!$H:$H,"Weekly*")+SUMIFS('NSE - NIFTY Index Options'!$L:$L,'NSE - NIFTY Index Options'!$C:$C,$A138,'NSE - NIFTY Index Options'!$B:$B,G$4,'NSE - NIFTY Index Options'!$H:$H,"MDAW*")+SUMIFS('NSE - Other Index Options'!$L:$L,'NSE - Other Index Options'!$C:$C,$A138,'NSE - Other Index Options'!$B:$B,G$4,'NSE - Other Index Options'!$H:$H,"Weekly*")+SUMIFS('NSE - Other Index Options'!$L:$L,'NSE - Other Index Options'!$C:$C,$A138,'NSE - Other Index Options'!$B:$B,G$4,'NSE - Other Index Options'!$H:$H,"MDAW*")=0,"",SUMIFS('NSE - NIFTY Index Options'!$L:$L,'NSE - NIFTY Index Options'!$C:$C,$A138,'NSE - NIFTY Index Options'!$B:$B,G$4,'NSE - NIFTY Index Options'!$H:$H,"Weekly*")+SUMIFS('NSE - NIFTY Index Options'!$L:$L,'NSE - NIFTY Index Options'!$C:$C,$A138,'NSE - NIFTY Index Options'!$B:$B,G$4,'NSE - NIFTY Index Options'!$H:$H,"MDAW*")+SUMIFS('NSE - Other Index Options'!$L:$L,'NSE - Other Index Options'!$C:$C,$A138,'NSE - Other Index Options'!$B:$B,G$4,'NSE - Other Index Options'!$H:$H,"Weekly*")+SUMIFS('NSE - Other Index Options'!$L:$L,'NSE - Other Index Options'!$C:$C,$A138,'NSE - Other Index Options'!$B:$B,G$4,'NSE - Other Index Options'!$H:$H,"MDAW*"))</f>
        <v/>
      </c>
      <c r="H138" s="26" t="str">
        <f t="shared" si="4"/>
        <v/>
      </c>
    </row>
    <row r="139" spans="1:8" hidden="1" outlineLevel="1">
      <c r="A139" t="s">
        <v>144</v>
      </c>
      <c r="B139" s="26" t="str">
        <f>IF(SUMIFS('NSE - NIFTY Index Options'!$L:$L,'NSE - NIFTY Index Options'!$C:$C,$A139,'NSE - NIFTY Index Options'!$B:$B,B$4,'NSE - NIFTY Index Options'!$H:$H,"Weekly*")+SUMIFS('NSE - NIFTY Index Options'!$L:$L,'NSE - NIFTY Index Options'!$C:$C,$A139,'NSE - NIFTY Index Options'!$B:$B,B$4,'NSE - NIFTY Index Options'!$H:$H,"MDAW*")+SUMIFS('NSE - Other Index Options'!$L:$L,'NSE - Other Index Options'!$C:$C,$A139,'NSE - Other Index Options'!$B:$B,B$4,'NSE - Other Index Options'!$H:$H,"Weekly*")+SUMIFS('NSE - Other Index Options'!$L:$L,'NSE - Other Index Options'!$C:$C,$A139,'NSE - Other Index Options'!$B:$B,B$4,'NSE - Other Index Options'!$H:$H,"MDAW*")=0,"",SUMIFS('NSE - NIFTY Index Options'!$L:$L,'NSE - NIFTY Index Options'!$C:$C,$A139,'NSE - NIFTY Index Options'!$B:$B,B$4,'NSE - NIFTY Index Options'!$H:$H,"Weekly*")+SUMIFS('NSE - NIFTY Index Options'!$L:$L,'NSE - NIFTY Index Options'!$C:$C,$A139,'NSE - NIFTY Index Options'!$B:$B,B$4,'NSE - NIFTY Index Options'!$H:$H,"MDAW*")+SUMIFS('NSE - Other Index Options'!$L:$L,'NSE - Other Index Options'!$C:$C,$A139,'NSE - Other Index Options'!$B:$B,B$4,'NSE - Other Index Options'!$H:$H,"Weekly*")+SUMIFS('NSE - Other Index Options'!$L:$L,'NSE - Other Index Options'!$C:$C,$A139,'NSE - Other Index Options'!$B:$B,B$4,'NSE - Other Index Options'!$H:$H,"MDAW*"))</f>
        <v/>
      </c>
      <c r="C139" s="26" t="str">
        <f>IF(SUMIFS('NSE - NIFTY Index Options'!$L:$L,'NSE - NIFTY Index Options'!$C:$C,$A139,'NSE - NIFTY Index Options'!$B:$B,C$4,'NSE - NIFTY Index Options'!$H:$H,"Weekly*")+SUMIFS('NSE - NIFTY Index Options'!$L:$L,'NSE - NIFTY Index Options'!$C:$C,$A139,'NSE - NIFTY Index Options'!$B:$B,C$4,'NSE - NIFTY Index Options'!$H:$H,"MDAW*")+SUMIFS('NSE - Other Index Options'!$L:$L,'NSE - Other Index Options'!$C:$C,$A139,'NSE - Other Index Options'!$B:$B,C$4,'NSE - Other Index Options'!$H:$H,"Weekly*")+SUMIFS('NSE - Other Index Options'!$L:$L,'NSE - Other Index Options'!$C:$C,$A139,'NSE - Other Index Options'!$B:$B,C$4,'NSE - Other Index Options'!$H:$H,"MDAW*")=0,"",SUMIFS('NSE - NIFTY Index Options'!$L:$L,'NSE - NIFTY Index Options'!$C:$C,$A139,'NSE - NIFTY Index Options'!$B:$B,C$4,'NSE - NIFTY Index Options'!$H:$H,"Weekly*")+SUMIFS('NSE - NIFTY Index Options'!$L:$L,'NSE - NIFTY Index Options'!$C:$C,$A139,'NSE - NIFTY Index Options'!$B:$B,C$4,'NSE - NIFTY Index Options'!$H:$H,"MDAW*")+SUMIFS('NSE - Other Index Options'!$L:$L,'NSE - Other Index Options'!$C:$C,$A139,'NSE - Other Index Options'!$B:$B,C$4,'NSE - Other Index Options'!$H:$H,"Weekly*")+SUMIFS('NSE - Other Index Options'!$L:$L,'NSE - Other Index Options'!$C:$C,$A139,'NSE - Other Index Options'!$B:$B,C$4,'NSE - Other Index Options'!$H:$H,"MDAW*"))</f>
        <v/>
      </c>
      <c r="D139" s="26" t="str">
        <f>IF(SUMIFS('NSE - NIFTY Index Options'!$L:$L,'NSE - NIFTY Index Options'!$C:$C,$A139,'NSE - NIFTY Index Options'!$B:$B,D$4,'NSE - NIFTY Index Options'!$H:$H,"Weekly*")+SUMIFS('NSE - NIFTY Index Options'!$L:$L,'NSE - NIFTY Index Options'!$C:$C,$A139,'NSE - NIFTY Index Options'!$B:$B,D$4,'NSE - NIFTY Index Options'!$H:$H,"MDAW*")+SUMIFS('NSE - Other Index Options'!$L:$L,'NSE - Other Index Options'!$C:$C,$A139,'NSE - Other Index Options'!$B:$B,D$4,'NSE - Other Index Options'!$H:$H,"Weekly*")+SUMIFS('NSE - Other Index Options'!$L:$L,'NSE - Other Index Options'!$C:$C,$A139,'NSE - Other Index Options'!$B:$B,D$4,'NSE - Other Index Options'!$H:$H,"MDAW*")=0,"",SUMIFS('NSE - NIFTY Index Options'!$L:$L,'NSE - NIFTY Index Options'!$C:$C,$A139,'NSE - NIFTY Index Options'!$B:$B,D$4,'NSE - NIFTY Index Options'!$H:$H,"Weekly*")+SUMIFS('NSE - NIFTY Index Options'!$L:$L,'NSE - NIFTY Index Options'!$C:$C,$A139,'NSE - NIFTY Index Options'!$B:$B,D$4,'NSE - NIFTY Index Options'!$H:$H,"MDAW*")+SUMIFS('NSE - Other Index Options'!$L:$L,'NSE - Other Index Options'!$C:$C,$A139,'NSE - Other Index Options'!$B:$B,D$4,'NSE - Other Index Options'!$H:$H,"Weekly*")+SUMIFS('NSE - Other Index Options'!$L:$L,'NSE - Other Index Options'!$C:$C,$A139,'NSE - Other Index Options'!$B:$B,D$4,'NSE - Other Index Options'!$H:$H,"MDAW*"))</f>
        <v/>
      </c>
      <c r="E139" s="26" t="str">
        <f>IF(SUMIFS('NSE - NIFTY Index Options'!$L:$L,'NSE - NIFTY Index Options'!$C:$C,$A139,'NSE - NIFTY Index Options'!$B:$B,E$4,'NSE - NIFTY Index Options'!$H:$H,"Weekly*")+SUMIFS('NSE - NIFTY Index Options'!$L:$L,'NSE - NIFTY Index Options'!$C:$C,$A139,'NSE - NIFTY Index Options'!$B:$B,E$4,'NSE - NIFTY Index Options'!$H:$H,"MDAW*")+SUMIFS('NSE - Other Index Options'!$L:$L,'NSE - Other Index Options'!$C:$C,$A139,'NSE - Other Index Options'!$B:$B,E$4,'NSE - Other Index Options'!$H:$H,"Weekly*")+SUMIFS('NSE - Other Index Options'!$L:$L,'NSE - Other Index Options'!$C:$C,$A139,'NSE - Other Index Options'!$B:$B,E$4,'NSE - Other Index Options'!$H:$H,"MDAW*")=0,"",SUMIFS('NSE - NIFTY Index Options'!$L:$L,'NSE - NIFTY Index Options'!$C:$C,$A139,'NSE - NIFTY Index Options'!$B:$B,E$4,'NSE - NIFTY Index Options'!$H:$H,"Weekly*")+SUMIFS('NSE - NIFTY Index Options'!$L:$L,'NSE - NIFTY Index Options'!$C:$C,$A139,'NSE - NIFTY Index Options'!$B:$B,E$4,'NSE - NIFTY Index Options'!$H:$H,"MDAW*")+SUMIFS('NSE - Other Index Options'!$L:$L,'NSE - Other Index Options'!$C:$C,$A139,'NSE - Other Index Options'!$B:$B,E$4,'NSE - Other Index Options'!$H:$H,"Weekly*")+SUMIFS('NSE - Other Index Options'!$L:$L,'NSE - Other Index Options'!$C:$C,$A139,'NSE - Other Index Options'!$B:$B,E$4,'NSE - Other Index Options'!$H:$H,"MDAW*"))</f>
        <v/>
      </c>
      <c r="F139" s="26" t="str">
        <f>IF(SUMIFS('NSE - NIFTY Index Options'!$L:$L,'NSE - NIFTY Index Options'!$C:$C,$A139,'NSE - NIFTY Index Options'!$B:$B,F$4,'NSE - NIFTY Index Options'!$H:$H,"Weekly*")+SUMIFS('NSE - NIFTY Index Options'!$L:$L,'NSE - NIFTY Index Options'!$C:$C,$A139,'NSE - NIFTY Index Options'!$B:$B,F$4,'NSE - NIFTY Index Options'!$H:$H,"MDAW*")+SUMIFS('NSE - Other Index Options'!$L:$L,'NSE - Other Index Options'!$C:$C,$A139,'NSE - Other Index Options'!$B:$B,F$4,'NSE - Other Index Options'!$H:$H,"Weekly*")+SUMIFS('NSE - Other Index Options'!$L:$L,'NSE - Other Index Options'!$C:$C,$A139,'NSE - Other Index Options'!$B:$B,F$4,'NSE - Other Index Options'!$H:$H,"MDAW*")=0,"",SUMIFS('NSE - NIFTY Index Options'!$L:$L,'NSE - NIFTY Index Options'!$C:$C,$A139,'NSE - NIFTY Index Options'!$B:$B,F$4,'NSE - NIFTY Index Options'!$H:$H,"Weekly*")+SUMIFS('NSE - NIFTY Index Options'!$L:$L,'NSE - NIFTY Index Options'!$C:$C,$A139,'NSE - NIFTY Index Options'!$B:$B,F$4,'NSE - NIFTY Index Options'!$H:$H,"MDAW*")+SUMIFS('NSE - Other Index Options'!$L:$L,'NSE - Other Index Options'!$C:$C,$A139,'NSE - Other Index Options'!$B:$B,F$4,'NSE - Other Index Options'!$H:$H,"Weekly*")+SUMIFS('NSE - Other Index Options'!$L:$L,'NSE - Other Index Options'!$C:$C,$A139,'NSE - Other Index Options'!$B:$B,F$4,'NSE - Other Index Options'!$H:$H,"MDAW*"))</f>
        <v/>
      </c>
      <c r="G139" s="26" t="str">
        <f>IF(SUMIFS('NSE - NIFTY Index Options'!$L:$L,'NSE - NIFTY Index Options'!$C:$C,$A139,'NSE - NIFTY Index Options'!$B:$B,G$4,'NSE - NIFTY Index Options'!$H:$H,"Weekly*")+SUMIFS('NSE - NIFTY Index Options'!$L:$L,'NSE - NIFTY Index Options'!$C:$C,$A139,'NSE - NIFTY Index Options'!$B:$B,G$4,'NSE - NIFTY Index Options'!$H:$H,"MDAW*")+SUMIFS('NSE - Other Index Options'!$L:$L,'NSE - Other Index Options'!$C:$C,$A139,'NSE - Other Index Options'!$B:$B,G$4,'NSE - Other Index Options'!$H:$H,"Weekly*")+SUMIFS('NSE - Other Index Options'!$L:$L,'NSE - Other Index Options'!$C:$C,$A139,'NSE - Other Index Options'!$B:$B,G$4,'NSE - Other Index Options'!$H:$H,"MDAW*")=0,"",SUMIFS('NSE - NIFTY Index Options'!$L:$L,'NSE - NIFTY Index Options'!$C:$C,$A139,'NSE - NIFTY Index Options'!$B:$B,G$4,'NSE - NIFTY Index Options'!$H:$H,"Weekly*")+SUMIFS('NSE - NIFTY Index Options'!$L:$L,'NSE - NIFTY Index Options'!$C:$C,$A139,'NSE - NIFTY Index Options'!$B:$B,G$4,'NSE - NIFTY Index Options'!$H:$H,"MDAW*")+SUMIFS('NSE - Other Index Options'!$L:$L,'NSE - Other Index Options'!$C:$C,$A139,'NSE - Other Index Options'!$B:$B,G$4,'NSE - Other Index Options'!$H:$H,"Weekly*")+SUMIFS('NSE - Other Index Options'!$L:$L,'NSE - Other Index Options'!$C:$C,$A139,'NSE - Other Index Options'!$B:$B,G$4,'NSE - Other Index Options'!$H:$H,"MDAW*"))</f>
        <v/>
      </c>
      <c r="H139" s="26" t="str">
        <f t="shared" si="4"/>
        <v/>
      </c>
    </row>
    <row r="140" spans="1:8" hidden="1" outlineLevel="1">
      <c r="A140" t="s">
        <v>145</v>
      </c>
      <c r="B140" s="26" t="str">
        <f>IF(SUMIFS('NSE - NIFTY Index Options'!$L:$L,'NSE - NIFTY Index Options'!$C:$C,$A140,'NSE - NIFTY Index Options'!$B:$B,B$4,'NSE - NIFTY Index Options'!$H:$H,"Weekly*")+SUMIFS('NSE - NIFTY Index Options'!$L:$L,'NSE - NIFTY Index Options'!$C:$C,$A140,'NSE - NIFTY Index Options'!$B:$B,B$4,'NSE - NIFTY Index Options'!$H:$H,"MDAW*")+SUMIFS('NSE - Other Index Options'!$L:$L,'NSE - Other Index Options'!$C:$C,$A140,'NSE - Other Index Options'!$B:$B,B$4,'NSE - Other Index Options'!$H:$H,"Weekly*")+SUMIFS('NSE - Other Index Options'!$L:$L,'NSE - Other Index Options'!$C:$C,$A140,'NSE - Other Index Options'!$B:$B,B$4,'NSE - Other Index Options'!$H:$H,"MDAW*")=0,"",SUMIFS('NSE - NIFTY Index Options'!$L:$L,'NSE - NIFTY Index Options'!$C:$C,$A140,'NSE - NIFTY Index Options'!$B:$B,B$4,'NSE - NIFTY Index Options'!$H:$H,"Weekly*")+SUMIFS('NSE - NIFTY Index Options'!$L:$L,'NSE - NIFTY Index Options'!$C:$C,$A140,'NSE - NIFTY Index Options'!$B:$B,B$4,'NSE - NIFTY Index Options'!$H:$H,"MDAW*")+SUMIFS('NSE - Other Index Options'!$L:$L,'NSE - Other Index Options'!$C:$C,$A140,'NSE - Other Index Options'!$B:$B,B$4,'NSE - Other Index Options'!$H:$H,"Weekly*")+SUMIFS('NSE - Other Index Options'!$L:$L,'NSE - Other Index Options'!$C:$C,$A140,'NSE - Other Index Options'!$B:$B,B$4,'NSE - Other Index Options'!$H:$H,"MDAW*"))</f>
        <v/>
      </c>
      <c r="C140" s="26" t="str">
        <f>IF(SUMIFS('NSE - NIFTY Index Options'!$L:$L,'NSE - NIFTY Index Options'!$C:$C,$A140,'NSE - NIFTY Index Options'!$B:$B,C$4,'NSE - NIFTY Index Options'!$H:$H,"Weekly*")+SUMIFS('NSE - NIFTY Index Options'!$L:$L,'NSE - NIFTY Index Options'!$C:$C,$A140,'NSE - NIFTY Index Options'!$B:$B,C$4,'NSE - NIFTY Index Options'!$H:$H,"MDAW*")+SUMIFS('NSE - Other Index Options'!$L:$L,'NSE - Other Index Options'!$C:$C,$A140,'NSE - Other Index Options'!$B:$B,C$4,'NSE - Other Index Options'!$H:$H,"Weekly*")+SUMIFS('NSE - Other Index Options'!$L:$L,'NSE - Other Index Options'!$C:$C,$A140,'NSE - Other Index Options'!$B:$B,C$4,'NSE - Other Index Options'!$H:$H,"MDAW*")=0,"",SUMIFS('NSE - NIFTY Index Options'!$L:$L,'NSE - NIFTY Index Options'!$C:$C,$A140,'NSE - NIFTY Index Options'!$B:$B,C$4,'NSE - NIFTY Index Options'!$H:$H,"Weekly*")+SUMIFS('NSE - NIFTY Index Options'!$L:$L,'NSE - NIFTY Index Options'!$C:$C,$A140,'NSE - NIFTY Index Options'!$B:$B,C$4,'NSE - NIFTY Index Options'!$H:$H,"MDAW*")+SUMIFS('NSE - Other Index Options'!$L:$L,'NSE - Other Index Options'!$C:$C,$A140,'NSE - Other Index Options'!$B:$B,C$4,'NSE - Other Index Options'!$H:$H,"Weekly*")+SUMIFS('NSE - Other Index Options'!$L:$L,'NSE - Other Index Options'!$C:$C,$A140,'NSE - Other Index Options'!$B:$B,C$4,'NSE - Other Index Options'!$H:$H,"MDAW*"))</f>
        <v/>
      </c>
      <c r="D140" s="26" t="str">
        <f>IF(SUMIFS('NSE - NIFTY Index Options'!$L:$L,'NSE - NIFTY Index Options'!$C:$C,$A140,'NSE - NIFTY Index Options'!$B:$B,D$4,'NSE - NIFTY Index Options'!$H:$H,"Weekly*")+SUMIFS('NSE - NIFTY Index Options'!$L:$L,'NSE - NIFTY Index Options'!$C:$C,$A140,'NSE - NIFTY Index Options'!$B:$B,D$4,'NSE - NIFTY Index Options'!$H:$H,"MDAW*")+SUMIFS('NSE - Other Index Options'!$L:$L,'NSE - Other Index Options'!$C:$C,$A140,'NSE - Other Index Options'!$B:$B,D$4,'NSE - Other Index Options'!$H:$H,"Weekly*")+SUMIFS('NSE - Other Index Options'!$L:$L,'NSE - Other Index Options'!$C:$C,$A140,'NSE - Other Index Options'!$B:$B,D$4,'NSE - Other Index Options'!$H:$H,"MDAW*")=0,"",SUMIFS('NSE - NIFTY Index Options'!$L:$L,'NSE - NIFTY Index Options'!$C:$C,$A140,'NSE - NIFTY Index Options'!$B:$B,D$4,'NSE - NIFTY Index Options'!$H:$H,"Weekly*")+SUMIFS('NSE - NIFTY Index Options'!$L:$L,'NSE - NIFTY Index Options'!$C:$C,$A140,'NSE - NIFTY Index Options'!$B:$B,D$4,'NSE - NIFTY Index Options'!$H:$H,"MDAW*")+SUMIFS('NSE - Other Index Options'!$L:$L,'NSE - Other Index Options'!$C:$C,$A140,'NSE - Other Index Options'!$B:$B,D$4,'NSE - Other Index Options'!$H:$H,"Weekly*")+SUMIFS('NSE - Other Index Options'!$L:$L,'NSE - Other Index Options'!$C:$C,$A140,'NSE - Other Index Options'!$B:$B,D$4,'NSE - Other Index Options'!$H:$H,"MDAW*"))</f>
        <v/>
      </c>
      <c r="E140" s="26" t="str">
        <f>IF(SUMIFS('NSE - NIFTY Index Options'!$L:$L,'NSE - NIFTY Index Options'!$C:$C,$A140,'NSE - NIFTY Index Options'!$B:$B,E$4,'NSE - NIFTY Index Options'!$H:$H,"Weekly*")+SUMIFS('NSE - NIFTY Index Options'!$L:$L,'NSE - NIFTY Index Options'!$C:$C,$A140,'NSE - NIFTY Index Options'!$B:$B,E$4,'NSE - NIFTY Index Options'!$H:$H,"MDAW*")+SUMIFS('NSE - Other Index Options'!$L:$L,'NSE - Other Index Options'!$C:$C,$A140,'NSE - Other Index Options'!$B:$B,E$4,'NSE - Other Index Options'!$H:$H,"Weekly*")+SUMIFS('NSE - Other Index Options'!$L:$L,'NSE - Other Index Options'!$C:$C,$A140,'NSE - Other Index Options'!$B:$B,E$4,'NSE - Other Index Options'!$H:$H,"MDAW*")=0,"",SUMIFS('NSE - NIFTY Index Options'!$L:$L,'NSE - NIFTY Index Options'!$C:$C,$A140,'NSE - NIFTY Index Options'!$B:$B,E$4,'NSE - NIFTY Index Options'!$H:$H,"Weekly*")+SUMIFS('NSE - NIFTY Index Options'!$L:$L,'NSE - NIFTY Index Options'!$C:$C,$A140,'NSE - NIFTY Index Options'!$B:$B,E$4,'NSE - NIFTY Index Options'!$H:$H,"MDAW*")+SUMIFS('NSE - Other Index Options'!$L:$L,'NSE - Other Index Options'!$C:$C,$A140,'NSE - Other Index Options'!$B:$B,E$4,'NSE - Other Index Options'!$H:$H,"Weekly*")+SUMIFS('NSE - Other Index Options'!$L:$L,'NSE - Other Index Options'!$C:$C,$A140,'NSE - Other Index Options'!$B:$B,E$4,'NSE - Other Index Options'!$H:$H,"MDAW*"))</f>
        <v/>
      </c>
      <c r="F140" s="26" t="str">
        <f>IF(SUMIFS('NSE - NIFTY Index Options'!$L:$L,'NSE - NIFTY Index Options'!$C:$C,$A140,'NSE - NIFTY Index Options'!$B:$B,F$4,'NSE - NIFTY Index Options'!$H:$H,"Weekly*")+SUMIFS('NSE - NIFTY Index Options'!$L:$L,'NSE - NIFTY Index Options'!$C:$C,$A140,'NSE - NIFTY Index Options'!$B:$B,F$4,'NSE - NIFTY Index Options'!$H:$H,"MDAW*")+SUMIFS('NSE - Other Index Options'!$L:$L,'NSE - Other Index Options'!$C:$C,$A140,'NSE - Other Index Options'!$B:$B,F$4,'NSE - Other Index Options'!$H:$H,"Weekly*")+SUMIFS('NSE - Other Index Options'!$L:$L,'NSE - Other Index Options'!$C:$C,$A140,'NSE - Other Index Options'!$B:$B,F$4,'NSE - Other Index Options'!$H:$H,"MDAW*")=0,"",SUMIFS('NSE - NIFTY Index Options'!$L:$L,'NSE - NIFTY Index Options'!$C:$C,$A140,'NSE - NIFTY Index Options'!$B:$B,F$4,'NSE - NIFTY Index Options'!$H:$H,"Weekly*")+SUMIFS('NSE - NIFTY Index Options'!$L:$L,'NSE - NIFTY Index Options'!$C:$C,$A140,'NSE - NIFTY Index Options'!$B:$B,F$4,'NSE - NIFTY Index Options'!$H:$H,"MDAW*")+SUMIFS('NSE - Other Index Options'!$L:$L,'NSE - Other Index Options'!$C:$C,$A140,'NSE - Other Index Options'!$B:$B,F$4,'NSE - Other Index Options'!$H:$H,"Weekly*")+SUMIFS('NSE - Other Index Options'!$L:$L,'NSE - Other Index Options'!$C:$C,$A140,'NSE - Other Index Options'!$B:$B,F$4,'NSE - Other Index Options'!$H:$H,"MDAW*"))</f>
        <v/>
      </c>
      <c r="G140" s="26" t="str">
        <f>IF(SUMIFS('NSE - NIFTY Index Options'!$L:$L,'NSE - NIFTY Index Options'!$C:$C,$A140,'NSE - NIFTY Index Options'!$B:$B,G$4,'NSE - NIFTY Index Options'!$H:$H,"Weekly*")+SUMIFS('NSE - NIFTY Index Options'!$L:$L,'NSE - NIFTY Index Options'!$C:$C,$A140,'NSE - NIFTY Index Options'!$B:$B,G$4,'NSE - NIFTY Index Options'!$H:$H,"MDAW*")+SUMIFS('NSE - Other Index Options'!$L:$L,'NSE - Other Index Options'!$C:$C,$A140,'NSE - Other Index Options'!$B:$B,G$4,'NSE - Other Index Options'!$H:$H,"Weekly*")+SUMIFS('NSE - Other Index Options'!$L:$L,'NSE - Other Index Options'!$C:$C,$A140,'NSE - Other Index Options'!$B:$B,G$4,'NSE - Other Index Options'!$H:$H,"MDAW*")=0,"",SUMIFS('NSE - NIFTY Index Options'!$L:$L,'NSE - NIFTY Index Options'!$C:$C,$A140,'NSE - NIFTY Index Options'!$B:$B,G$4,'NSE - NIFTY Index Options'!$H:$H,"Weekly*")+SUMIFS('NSE - NIFTY Index Options'!$L:$L,'NSE - NIFTY Index Options'!$C:$C,$A140,'NSE - NIFTY Index Options'!$B:$B,G$4,'NSE - NIFTY Index Options'!$H:$H,"MDAW*")+SUMIFS('NSE - Other Index Options'!$L:$L,'NSE - Other Index Options'!$C:$C,$A140,'NSE - Other Index Options'!$B:$B,G$4,'NSE - Other Index Options'!$H:$H,"Weekly*")+SUMIFS('NSE - Other Index Options'!$L:$L,'NSE - Other Index Options'!$C:$C,$A140,'NSE - Other Index Options'!$B:$B,G$4,'NSE - Other Index Options'!$H:$H,"MDAW*"))</f>
        <v/>
      </c>
      <c r="H140" s="26" t="str">
        <f t="shared" si="4"/>
        <v/>
      </c>
    </row>
    <row r="141" spans="1:8" hidden="1" outlineLevel="1">
      <c r="A141" t="s">
        <v>146</v>
      </c>
      <c r="B141" s="26" t="str">
        <f>IF(SUMIFS('NSE - NIFTY Index Options'!$L:$L,'NSE - NIFTY Index Options'!$C:$C,$A141,'NSE - NIFTY Index Options'!$B:$B,B$4,'NSE - NIFTY Index Options'!$H:$H,"Weekly*")+SUMIFS('NSE - NIFTY Index Options'!$L:$L,'NSE - NIFTY Index Options'!$C:$C,$A141,'NSE - NIFTY Index Options'!$B:$B,B$4,'NSE - NIFTY Index Options'!$H:$H,"MDAW*")+SUMIFS('NSE - Other Index Options'!$L:$L,'NSE - Other Index Options'!$C:$C,$A141,'NSE - Other Index Options'!$B:$B,B$4,'NSE - Other Index Options'!$H:$H,"Weekly*")+SUMIFS('NSE - Other Index Options'!$L:$L,'NSE - Other Index Options'!$C:$C,$A141,'NSE - Other Index Options'!$B:$B,B$4,'NSE - Other Index Options'!$H:$H,"MDAW*")=0,"",SUMIFS('NSE - NIFTY Index Options'!$L:$L,'NSE - NIFTY Index Options'!$C:$C,$A141,'NSE - NIFTY Index Options'!$B:$B,B$4,'NSE - NIFTY Index Options'!$H:$H,"Weekly*")+SUMIFS('NSE - NIFTY Index Options'!$L:$L,'NSE - NIFTY Index Options'!$C:$C,$A141,'NSE - NIFTY Index Options'!$B:$B,B$4,'NSE - NIFTY Index Options'!$H:$H,"MDAW*")+SUMIFS('NSE - Other Index Options'!$L:$L,'NSE - Other Index Options'!$C:$C,$A141,'NSE - Other Index Options'!$B:$B,B$4,'NSE - Other Index Options'!$H:$H,"Weekly*")+SUMIFS('NSE - Other Index Options'!$L:$L,'NSE - Other Index Options'!$C:$C,$A141,'NSE - Other Index Options'!$B:$B,B$4,'NSE - Other Index Options'!$H:$H,"MDAW*"))</f>
        <v/>
      </c>
      <c r="C141" s="26" t="str">
        <f>IF(SUMIFS('NSE - NIFTY Index Options'!$L:$L,'NSE - NIFTY Index Options'!$C:$C,$A141,'NSE - NIFTY Index Options'!$B:$B,C$4,'NSE - NIFTY Index Options'!$H:$H,"Weekly*")+SUMIFS('NSE - NIFTY Index Options'!$L:$L,'NSE - NIFTY Index Options'!$C:$C,$A141,'NSE - NIFTY Index Options'!$B:$B,C$4,'NSE - NIFTY Index Options'!$H:$H,"MDAW*")+SUMIFS('NSE - Other Index Options'!$L:$L,'NSE - Other Index Options'!$C:$C,$A141,'NSE - Other Index Options'!$B:$B,C$4,'NSE - Other Index Options'!$H:$H,"Weekly*")+SUMIFS('NSE - Other Index Options'!$L:$L,'NSE - Other Index Options'!$C:$C,$A141,'NSE - Other Index Options'!$B:$B,C$4,'NSE - Other Index Options'!$H:$H,"MDAW*")=0,"",SUMIFS('NSE - NIFTY Index Options'!$L:$L,'NSE - NIFTY Index Options'!$C:$C,$A141,'NSE - NIFTY Index Options'!$B:$B,C$4,'NSE - NIFTY Index Options'!$H:$H,"Weekly*")+SUMIFS('NSE - NIFTY Index Options'!$L:$L,'NSE - NIFTY Index Options'!$C:$C,$A141,'NSE - NIFTY Index Options'!$B:$B,C$4,'NSE - NIFTY Index Options'!$H:$H,"MDAW*")+SUMIFS('NSE - Other Index Options'!$L:$L,'NSE - Other Index Options'!$C:$C,$A141,'NSE - Other Index Options'!$B:$B,C$4,'NSE - Other Index Options'!$H:$H,"Weekly*")+SUMIFS('NSE - Other Index Options'!$L:$L,'NSE - Other Index Options'!$C:$C,$A141,'NSE - Other Index Options'!$B:$B,C$4,'NSE - Other Index Options'!$H:$H,"MDAW*"))</f>
        <v/>
      </c>
      <c r="D141" s="26" t="str">
        <f>IF(SUMIFS('NSE - NIFTY Index Options'!$L:$L,'NSE - NIFTY Index Options'!$C:$C,$A141,'NSE - NIFTY Index Options'!$B:$B,D$4,'NSE - NIFTY Index Options'!$H:$H,"Weekly*")+SUMIFS('NSE - NIFTY Index Options'!$L:$L,'NSE - NIFTY Index Options'!$C:$C,$A141,'NSE - NIFTY Index Options'!$B:$B,D$4,'NSE - NIFTY Index Options'!$H:$H,"MDAW*")+SUMIFS('NSE - Other Index Options'!$L:$L,'NSE - Other Index Options'!$C:$C,$A141,'NSE - Other Index Options'!$B:$B,D$4,'NSE - Other Index Options'!$H:$H,"Weekly*")+SUMIFS('NSE - Other Index Options'!$L:$L,'NSE - Other Index Options'!$C:$C,$A141,'NSE - Other Index Options'!$B:$B,D$4,'NSE - Other Index Options'!$H:$H,"MDAW*")=0,"",SUMIFS('NSE - NIFTY Index Options'!$L:$L,'NSE - NIFTY Index Options'!$C:$C,$A141,'NSE - NIFTY Index Options'!$B:$B,D$4,'NSE - NIFTY Index Options'!$H:$H,"Weekly*")+SUMIFS('NSE - NIFTY Index Options'!$L:$L,'NSE - NIFTY Index Options'!$C:$C,$A141,'NSE - NIFTY Index Options'!$B:$B,D$4,'NSE - NIFTY Index Options'!$H:$H,"MDAW*")+SUMIFS('NSE - Other Index Options'!$L:$L,'NSE - Other Index Options'!$C:$C,$A141,'NSE - Other Index Options'!$B:$B,D$4,'NSE - Other Index Options'!$H:$H,"Weekly*")+SUMIFS('NSE - Other Index Options'!$L:$L,'NSE - Other Index Options'!$C:$C,$A141,'NSE - Other Index Options'!$B:$B,D$4,'NSE - Other Index Options'!$H:$H,"MDAW*"))</f>
        <v/>
      </c>
      <c r="E141" s="26" t="str">
        <f>IF(SUMIFS('NSE - NIFTY Index Options'!$L:$L,'NSE - NIFTY Index Options'!$C:$C,$A141,'NSE - NIFTY Index Options'!$B:$B,E$4,'NSE - NIFTY Index Options'!$H:$H,"Weekly*")+SUMIFS('NSE - NIFTY Index Options'!$L:$L,'NSE - NIFTY Index Options'!$C:$C,$A141,'NSE - NIFTY Index Options'!$B:$B,E$4,'NSE - NIFTY Index Options'!$H:$H,"MDAW*")+SUMIFS('NSE - Other Index Options'!$L:$L,'NSE - Other Index Options'!$C:$C,$A141,'NSE - Other Index Options'!$B:$B,E$4,'NSE - Other Index Options'!$H:$H,"Weekly*")+SUMIFS('NSE - Other Index Options'!$L:$L,'NSE - Other Index Options'!$C:$C,$A141,'NSE - Other Index Options'!$B:$B,E$4,'NSE - Other Index Options'!$H:$H,"MDAW*")=0,"",SUMIFS('NSE - NIFTY Index Options'!$L:$L,'NSE - NIFTY Index Options'!$C:$C,$A141,'NSE - NIFTY Index Options'!$B:$B,E$4,'NSE - NIFTY Index Options'!$H:$H,"Weekly*")+SUMIFS('NSE - NIFTY Index Options'!$L:$L,'NSE - NIFTY Index Options'!$C:$C,$A141,'NSE - NIFTY Index Options'!$B:$B,E$4,'NSE - NIFTY Index Options'!$H:$H,"MDAW*")+SUMIFS('NSE - Other Index Options'!$L:$L,'NSE - Other Index Options'!$C:$C,$A141,'NSE - Other Index Options'!$B:$B,E$4,'NSE - Other Index Options'!$H:$H,"Weekly*")+SUMIFS('NSE - Other Index Options'!$L:$L,'NSE - Other Index Options'!$C:$C,$A141,'NSE - Other Index Options'!$B:$B,E$4,'NSE - Other Index Options'!$H:$H,"MDAW*"))</f>
        <v/>
      </c>
      <c r="F141" s="26" t="str">
        <f>IF(SUMIFS('NSE - NIFTY Index Options'!$L:$L,'NSE - NIFTY Index Options'!$C:$C,$A141,'NSE - NIFTY Index Options'!$B:$B,F$4,'NSE - NIFTY Index Options'!$H:$H,"Weekly*")+SUMIFS('NSE - NIFTY Index Options'!$L:$L,'NSE - NIFTY Index Options'!$C:$C,$A141,'NSE - NIFTY Index Options'!$B:$B,F$4,'NSE - NIFTY Index Options'!$H:$H,"MDAW*")+SUMIFS('NSE - Other Index Options'!$L:$L,'NSE - Other Index Options'!$C:$C,$A141,'NSE - Other Index Options'!$B:$B,F$4,'NSE - Other Index Options'!$H:$H,"Weekly*")+SUMIFS('NSE - Other Index Options'!$L:$L,'NSE - Other Index Options'!$C:$C,$A141,'NSE - Other Index Options'!$B:$B,F$4,'NSE - Other Index Options'!$H:$H,"MDAW*")=0,"",SUMIFS('NSE - NIFTY Index Options'!$L:$L,'NSE - NIFTY Index Options'!$C:$C,$A141,'NSE - NIFTY Index Options'!$B:$B,F$4,'NSE - NIFTY Index Options'!$H:$H,"Weekly*")+SUMIFS('NSE - NIFTY Index Options'!$L:$L,'NSE - NIFTY Index Options'!$C:$C,$A141,'NSE - NIFTY Index Options'!$B:$B,F$4,'NSE - NIFTY Index Options'!$H:$H,"MDAW*")+SUMIFS('NSE - Other Index Options'!$L:$L,'NSE - Other Index Options'!$C:$C,$A141,'NSE - Other Index Options'!$B:$B,F$4,'NSE - Other Index Options'!$H:$H,"Weekly*")+SUMIFS('NSE - Other Index Options'!$L:$L,'NSE - Other Index Options'!$C:$C,$A141,'NSE - Other Index Options'!$B:$B,F$4,'NSE - Other Index Options'!$H:$H,"MDAW*"))</f>
        <v/>
      </c>
      <c r="G141" s="26" t="str">
        <f>IF(SUMIFS('NSE - NIFTY Index Options'!$L:$L,'NSE - NIFTY Index Options'!$C:$C,$A141,'NSE - NIFTY Index Options'!$B:$B,G$4,'NSE - NIFTY Index Options'!$H:$H,"Weekly*")+SUMIFS('NSE - NIFTY Index Options'!$L:$L,'NSE - NIFTY Index Options'!$C:$C,$A141,'NSE - NIFTY Index Options'!$B:$B,G$4,'NSE - NIFTY Index Options'!$H:$H,"MDAW*")+SUMIFS('NSE - Other Index Options'!$L:$L,'NSE - Other Index Options'!$C:$C,$A141,'NSE - Other Index Options'!$B:$B,G$4,'NSE - Other Index Options'!$H:$H,"Weekly*")+SUMIFS('NSE - Other Index Options'!$L:$L,'NSE - Other Index Options'!$C:$C,$A141,'NSE - Other Index Options'!$B:$B,G$4,'NSE - Other Index Options'!$H:$H,"MDAW*")=0,"",SUMIFS('NSE - NIFTY Index Options'!$L:$L,'NSE - NIFTY Index Options'!$C:$C,$A141,'NSE - NIFTY Index Options'!$B:$B,G$4,'NSE - NIFTY Index Options'!$H:$H,"Weekly*")+SUMIFS('NSE - NIFTY Index Options'!$L:$L,'NSE - NIFTY Index Options'!$C:$C,$A141,'NSE - NIFTY Index Options'!$B:$B,G$4,'NSE - NIFTY Index Options'!$H:$H,"MDAW*")+SUMIFS('NSE - Other Index Options'!$L:$L,'NSE - Other Index Options'!$C:$C,$A141,'NSE - Other Index Options'!$B:$B,G$4,'NSE - Other Index Options'!$H:$H,"Weekly*")+SUMIFS('NSE - Other Index Options'!$L:$L,'NSE - Other Index Options'!$C:$C,$A141,'NSE - Other Index Options'!$B:$B,G$4,'NSE - Other Index Options'!$H:$H,"MDAW*"))</f>
        <v/>
      </c>
      <c r="H141" s="26" t="str">
        <f t="shared" si="4"/>
        <v/>
      </c>
    </row>
    <row r="142" spans="1:8" hidden="1" outlineLevel="1">
      <c r="A142" t="s">
        <v>147</v>
      </c>
      <c r="B142" s="26" t="str">
        <f>IF(SUMIFS('NSE - NIFTY Index Options'!$L:$L,'NSE - NIFTY Index Options'!$C:$C,$A142,'NSE - NIFTY Index Options'!$B:$B,B$4,'NSE - NIFTY Index Options'!$H:$H,"Weekly*")+SUMIFS('NSE - NIFTY Index Options'!$L:$L,'NSE - NIFTY Index Options'!$C:$C,$A142,'NSE - NIFTY Index Options'!$B:$B,B$4,'NSE - NIFTY Index Options'!$H:$H,"MDAW*")+SUMIFS('NSE - Other Index Options'!$L:$L,'NSE - Other Index Options'!$C:$C,$A142,'NSE - Other Index Options'!$B:$B,B$4,'NSE - Other Index Options'!$H:$H,"Weekly*")+SUMIFS('NSE - Other Index Options'!$L:$L,'NSE - Other Index Options'!$C:$C,$A142,'NSE - Other Index Options'!$B:$B,B$4,'NSE - Other Index Options'!$H:$H,"MDAW*")=0,"",SUMIFS('NSE - NIFTY Index Options'!$L:$L,'NSE - NIFTY Index Options'!$C:$C,$A142,'NSE - NIFTY Index Options'!$B:$B,B$4,'NSE - NIFTY Index Options'!$H:$H,"Weekly*")+SUMIFS('NSE - NIFTY Index Options'!$L:$L,'NSE - NIFTY Index Options'!$C:$C,$A142,'NSE - NIFTY Index Options'!$B:$B,B$4,'NSE - NIFTY Index Options'!$H:$H,"MDAW*")+SUMIFS('NSE - Other Index Options'!$L:$L,'NSE - Other Index Options'!$C:$C,$A142,'NSE - Other Index Options'!$B:$B,B$4,'NSE - Other Index Options'!$H:$H,"Weekly*")+SUMIFS('NSE - Other Index Options'!$L:$L,'NSE - Other Index Options'!$C:$C,$A142,'NSE - Other Index Options'!$B:$B,B$4,'NSE - Other Index Options'!$H:$H,"MDAW*"))</f>
        <v/>
      </c>
      <c r="C142" s="26" t="str">
        <f>IF(SUMIFS('NSE - NIFTY Index Options'!$L:$L,'NSE - NIFTY Index Options'!$C:$C,$A142,'NSE - NIFTY Index Options'!$B:$B,C$4,'NSE - NIFTY Index Options'!$H:$H,"Weekly*")+SUMIFS('NSE - NIFTY Index Options'!$L:$L,'NSE - NIFTY Index Options'!$C:$C,$A142,'NSE - NIFTY Index Options'!$B:$B,C$4,'NSE - NIFTY Index Options'!$H:$H,"MDAW*")+SUMIFS('NSE - Other Index Options'!$L:$L,'NSE - Other Index Options'!$C:$C,$A142,'NSE - Other Index Options'!$B:$B,C$4,'NSE - Other Index Options'!$H:$H,"Weekly*")+SUMIFS('NSE - Other Index Options'!$L:$L,'NSE - Other Index Options'!$C:$C,$A142,'NSE - Other Index Options'!$B:$B,C$4,'NSE - Other Index Options'!$H:$H,"MDAW*")=0,"",SUMIFS('NSE - NIFTY Index Options'!$L:$L,'NSE - NIFTY Index Options'!$C:$C,$A142,'NSE - NIFTY Index Options'!$B:$B,C$4,'NSE - NIFTY Index Options'!$H:$H,"Weekly*")+SUMIFS('NSE - NIFTY Index Options'!$L:$L,'NSE - NIFTY Index Options'!$C:$C,$A142,'NSE - NIFTY Index Options'!$B:$B,C$4,'NSE - NIFTY Index Options'!$H:$H,"MDAW*")+SUMIFS('NSE - Other Index Options'!$L:$L,'NSE - Other Index Options'!$C:$C,$A142,'NSE - Other Index Options'!$B:$B,C$4,'NSE - Other Index Options'!$H:$H,"Weekly*")+SUMIFS('NSE - Other Index Options'!$L:$L,'NSE - Other Index Options'!$C:$C,$A142,'NSE - Other Index Options'!$B:$B,C$4,'NSE - Other Index Options'!$H:$H,"MDAW*"))</f>
        <v/>
      </c>
      <c r="D142" s="26" t="str">
        <f>IF(SUMIFS('NSE - NIFTY Index Options'!$L:$L,'NSE - NIFTY Index Options'!$C:$C,$A142,'NSE - NIFTY Index Options'!$B:$B,D$4,'NSE - NIFTY Index Options'!$H:$H,"Weekly*")+SUMIFS('NSE - NIFTY Index Options'!$L:$L,'NSE - NIFTY Index Options'!$C:$C,$A142,'NSE - NIFTY Index Options'!$B:$B,D$4,'NSE - NIFTY Index Options'!$H:$H,"MDAW*")+SUMIFS('NSE - Other Index Options'!$L:$L,'NSE - Other Index Options'!$C:$C,$A142,'NSE - Other Index Options'!$B:$B,D$4,'NSE - Other Index Options'!$H:$H,"Weekly*")+SUMIFS('NSE - Other Index Options'!$L:$L,'NSE - Other Index Options'!$C:$C,$A142,'NSE - Other Index Options'!$B:$B,D$4,'NSE - Other Index Options'!$H:$H,"MDAW*")=0,"",SUMIFS('NSE - NIFTY Index Options'!$L:$L,'NSE - NIFTY Index Options'!$C:$C,$A142,'NSE - NIFTY Index Options'!$B:$B,D$4,'NSE - NIFTY Index Options'!$H:$H,"Weekly*")+SUMIFS('NSE - NIFTY Index Options'!$L:$L,'NSE - NIFTY Index Options'!$C:$C,$A142,'NSE - NIFTY Index Options'!$B:$B,D$4,'NSE - NIFTY Index Options'!$H:$H,"MDAW*")+SUMIFS('NSE - Other Index Options'!$L:$L,'NSE - Other Index Options'!$C:$C,$A142,'NSE - Other Index Options'!$B:$B,D$4,'NSE - Other Index Options'!$H:$H,"Weekly*")+SUMIFS('NSE - Other Index Options'!$L:$L,'NSE - Other Index Options'!$C:$C,$A142,'NSE - Other Index Options'!$B:$B,D$4,'NSE - Other Index Options'!$H:$H,"MDAW*"))</f>
        <v/>
      </c>
      <c r="E142" s="26" t="str">
        <f>IF(SUMIFS('NSE - NIFTY Index Options'!$L:$L,'NSE - NIFTY Index Options'!$C:$C,$A142,'NSE - NIFTY Index Options'!$B:$B,E$4,'NSE - NIFTY Index Options'!$H:$H,"Weekly*")+SUMIFS('NSE - NIFTY Index Options'!$L:$L,'NSE - NIFTY Index Options'!$C:$C,$A142,'NSE - NIFTY Index Options'!$B:$B,E$4,'NSE - NIFTY Index Options'!$H:$H,"MDAW*")+SUMIFS('NSE - Other Index Options'!$L:$L,'NSE - Other Index Options'!$C:$C,$A142,'NSE - Other Index Options'!$B:$B,E$4,'NSE - Other Index Options'!$H:$H,"Weekly*")+SUMIFS('NSE - Other Index Options'!$L:$L,'NSE - Other Index Options'!$C:$C,$A142,'NSE - Other Index Options'!$B:$B,E$4,'NSE - Other Index Options'!$H:$H,"MDAW*")=0,"",SUMIFS('NSE - NIFTY Index Options'!$L:$L,'NSE - NIFTY Index Options'!$C:$C,$A142,'NSE - NIFTY Index Options'!$B:$B,E$4,'NSE - NIFTY Index Options'!$H:$H,"Weekly*")+SUMIFS('NSE - NIFTY Index Options'!$L:$L,'NSE - NIFTY Index Options'!$C:$C,$A142,'NSE - NIFTY Index Options'!$B:$B,E$4,'NSE - NIFTY Index Options'!$H:$H,"MDAW*")+SUMIFS('NSE - Other Index Options'!$L:$L,'NSE - Other Index Options'!$C:$C,$A142,'NSE - Other Index Options'!$B:$B,E$4,'NSE - Other Index Options'!$H:$H,"Weekly*")+SUMIFS('NSE - Other Index Options'!$L:$L,'NSE - Other Index Options'!$C:$C,$A142,'NSE - Other Index Options'!$B:$B,E$4,'NSE - Other Index Options'!$H:$H,"MDAW*"))</f>
        <v/>
      </c>
      <c r="F142" s="26" t="str">
        <f>IF(SUMIFS('NSE - NIFTY Index Options'!$L:$L,'NSE - NIFTY Index Options'!$C:$C,$A142,'NSE - NIFTY Index Options'!$B:$B,F$4,'NSE - NIFTY Index Options'!$H:$H,"Weekly*")+SUMIFS('NSE - NIFTY Index Options'!$L:$L,'NSE - NIFTY Index Options'!$C:$C,$A142,'NSE - NIFTY Index Options'!$B:$B,F$4,'NSE - NIFTY Index Options'!$H:$H,"MDAW*")+SUMIFS('NSE - Other Index Options'!$L:$L,'NSE - Other Index Options'!$C:$C,$A142,'NSE - Other Index Options'!$B:$B,F$4,'NSE - Other Index Options'!$H:$H,"Weekly*")+SUMIFS('NSE - Other Index Options'!$L:$L,'NSE - Other Index Options'!$C:$C,$A142,'NSE - Other Index Options'!$B:$B,F$4,'NSE - Other Index Options'!$H:$H,"MDAW*")=0,"",SUMIFS('NSE - NIFTY Index Options'!$L:$L,'NSE - NIFTY Index Options'!$C:$C,$A142,'NSE - NIFTY Index Options'!$B:$B,F$4,'NSE - NIFTY Index Options'!$H:$H,"Weekly*")+SUMIFS('NSE - NIFTY Index Options'!$L:$L,'NSE - NIFTY Index Options'!$C:$C,$A142,'NSE - NIFTY Index Options'!$B:$B,F$4,'NSE - NIFTY Index Options'!$H:$H,"MDAW*")+SUMIFS('NSE - Other Index Options'!$L:$L,'NSE - Other Index Options'!$C:$C,$A142,'NSE - Other Index Options'!$B:$B,F$4,'NSE - Other Index Options'!$H:$H,"Weekly*")+SUMIFS('NSE - Other Index Options'!$L:$L,'NSE - Other Index Options'!$C:$C,$A142,'NSE - Other Index Options'!$B:$B,F$4,'NSE - Other Index Options'!$H:$H,"MDAW*"))</f>
        <v/>
      </c>
      <c r="G142" s="26" t="str">
        <f>IF(SUMIFS('NSE - NIFTY Index Options'!$L:$L,'NSE - NIFTY Index Options'!$C:$C,$A142,'NSE - NIFTY Index Options'!$B:$B,G$4,'NSE - NIFTY Index Options'!$H:$H,"Weekly*")+SUMIFS('NSE - NIFTY Index Options'!$L:$L,'NSE - NIFTY Index Options'!$C:$C,$A142,'NSE - NIFTY Index Options'!$B:$B,G$4,'NSE - NIFTY Index Options'!$H:$H,"MDAW*")+SUMIFS('NSE - Other Index Options'!$L:$L,'NSE - Other Index Options'!$C:$C,$A142,'NSE - Other Index Options'!$B:$B,G$4,'NSE - Other Index Options'!$H:$H,"Weekly*")+SUMIFS('NSE - Other Index Options'!$L:$L,'NSE - Other Index Options'!$C:$C,$A142,'NSE - Other Index Options'!$B:$B,G$4,'NSE - Other Index Options'!$H:$H,"MDAW*")=0,"",SUMIFS('NSE - NIFTY Index Options'!$L:$L,'NSE - NIFTY Index Options'!$C:$C,$A142,'NSE - NIFTY Index Options'!$B:$B,G$4,'NSE - NIFTY Index Options'!$H:$H,"Weekly*")+SUMIFS('NSE - NIFTY Index Options'!$L:$L,'NSE - NIFTY Index Options'!$C:$C,$A142,'NSE - NIFTY Index Options'!$B:$B,G$4,'NSE - NIFTY Index Options'!$H:$H,"MDAW*")+SUMIFS('NSE - Other Index Options'!$L:$L,'NSE - Other Index Options'!$C:$C,$A142,'NSE - Other Index Options'!$B:$B,G$4,'NSE - Other Index Options'!$H:$H,"Weekly*")+SUMIFS('NSE - Other Index Options'!$L:$L,'NSE - Other Index Options'!$C:$C,$A142,'NSE - Other Index Options'!$B:$B,G$4,'NSE - Other Index Options'!$H:$H,"MDAW*"))</f>
        <v/>
      </c>
      <c r="H142" s="26" t="str">
        <f t="shared" si="4"/>
        <v/>
      </c>
    </row>
    <row r="143" spans="1:8" collapsed="1">
      <c r="A143" s="32" t="s">
        <v>9</v>
      </c>
      <c r="B143" s="33">
        <f t="shared" ref="B143:H143" si="5">IF(SUM(B5:B142)=0,"",SUM(B5:B142))</f>
        <v>2370151.0700000003</v>
      </c>
      <c r="C143" s="33">
        <f t="shared" si="5"/>
        <v>2649484.4600000004</v>
      </c>
      <c r="D143" s="33">
        <f t="shared" si="5"/>
        <v>1426440.0999999994</v>
      </c>
      <c r="E143" s="33">
        <f t="shared" si="5"/>
        <v>1163336.24</v>
      </c>
      <c r="F143" s="33">
        <f t="shared" si="5"/>
        <v>2006914.39</v>
      </c>
      <c r="G143" s="33">
        <f t="shared" si="5"/>
        <v>98996.99</v>
      </c>
      <c r="H143" s="33">
        <f t="shared" si="5"/>
        <v>9715323.2499999963</v>
      </c>
    </row>
    <row r="146" spans="1:8">
      <c r="A146" s="32" t="s">
        <v>148</v>
      </c>
    </row>
    <row r="147" spans="1:8">
      <c r="A147" s="32" t="s">
        <v>2</v>
      </c>
      <c r="B147" s="32" t="s">
        <v>3</v>
      </c>
      <c r="C147" s="32" t="s">
        <v>4</v>
      </c>
      <c r="D147" s="32" t="s">
        <v>5</v>
      </c>
      <c r="E147" s="32" t="s">
        <v>6</v>
      </c>
      <c r="F147" s="32" t="s">
        <v>7</v>
      </c>
      <c r="G147" s="32" t="s">
        <v>8</v>
      </c>
      <c r="H147" s="32" t="s">
        <v>9</v>
      </c>
    </row>
    <row r="148" spans="1:8">
      <c r="A148" t="s">
        <v>10</v>
      </c>
      <c r="B148" s="26">
        <f>IF(SUMIFS('BSE - SENSEX Index Options'!$L:$L,'BSE - SENSEX Index Options'!$C:$C,$A148,'BSE - SENSEX Index Options'!$B:$B,B$147,'BSE - SENSEX Index Options'!$H:$H,"Weekly*")+SUMIFS('BSE - SENSEX Index Options'!$L:$L,'BSE - SENSEX Index Options'!$C:$C,$A148,'BSE - SENSEX Index Options'!$B:$B,B$147,'BSE - SENSEX Index Options'!$H:$H,"MDAW*")+SUMIFS('BSE - Other Index Options'!$L:$L,'BSE - Other Index Options'!$C:$C,$A148,'BSE - Other Index Options'!$B:$B,B$147,'BSE - Other Index Options'!$H:$H,"Weekly*")+SUMIFS('BSE - Other Index Options'!$L:$L,'BSE - Other Index Options'!$C:$C,$A148,'BSE - Other Index Options'!$B:$B,B$147,'BSE - Other Index Options'!$H:$H,"MDAW*")=0,"",SUMIFS('BSE - SENSEX Index Options'!$L:$L,'BSE - SENSEX Index Options'!$C:$C,$A148,'BSE - SENSEX Index Options'!$B:$B,B$147,'BSE - SENSEX Index Options'!$H:$H,"Weekly*")+SUMIFS('BSE - SENSEX Index Options'!$L:$L,'BSE - SENSEX Index Options'!$C:$C,$A148,'BSE - SENSEX Index Options'!$B:$B,B$147,'BSE - SENSEX Index Options'!$H:$H,"MDAW*")+SUMIFS('BSE - Other Index Options'!$L:$L,'BSE - Other Index Options'!$C:$C,$A148,'BSE - Other Index Options'!$B:$B,B$147,'BSE - Other Index Options'!$H:$H,"Weekly*")+SUMIFS('BSE - Other Index Options'!$L:$L,'BSE - Other Index Options'!$C:$C,$A148,'BSE - Other Index Options'!$B:$B,B$147,'BSE - Other Index Options'!$H:$H,"MDAW*"))</f>
        <v>7715.46</v>
      </c>
      <c r="C148" s="26">
        <f>IF(SUMIFS('BSE - SENSEX Index Options'!$L:$L,'BSE - SENSEX Index Options'!$C:$C,$A148,'BSE - SENSEX Index Options'!$B:$B,C$147,'BSE - SENSEX Index Options'!$H:$H,"Weekly*")+SUMIFS('BSE - SENSEX Index Options'!$L:$L,'BSE - SENSEX Index Options'!$C:$C,$A148,'BSE - SENSEX Index Options'!$B:$B,C$147,'BSE - SENSEX Index Options'!$H:$H,"MDAW*")+SUMIFS('BSE - Other Index Options'!$L:$L,'BSE - Other Index Options'!$C:$C,$A148,'BSE - Other Index Options'!$B:$B,C$147,'BSE - Other Index Options'!$H:$H,"Weekly*")+SUMIFS('BSE - Other Index Options'!$L:$L,'BSE - Other Index Options'!$C:$C,$A148,'BSE - Other Index Options'!$B:$B,C$147,'BSE - Other Index Options'!$H:$H,"MDAW*")=0,"",SUMIFS('BSE - SENSEX Index Options'!$L:$L,'BSE - SENSEX Index Options'!$C:$C,$A148,'BSE - SENSEX Index Options'!$B:$B,C$147,'BSE - SENSEX Index Options'!$H:$H,"Weekly*")+SUMIFS('BSE - SENSEX Index Options'!$L:$L,'BSE - SENSEX Index Options'!$C:$C,$A148,'BSE - SENSEX Index Options'!$B:$B,C$147,'BSE - SENSEX Index Options'!$H:$H,"MDAW*")+SUMIFS('BSE - Other Index Options'!$L:$L,'BSE - Other Index Options'!$C:$C,$A148,'BSE - Other Index Options'!$B:$B,C$147,'BSE - Other Index Options'!$H:$H,"Weekly*")+SUMIFS('BSE - Other Index Options'!$L:$L,'BSE - Other Index Options'!$C:$C,$A148,'BSE - Other Index Options'!$B:$B,C$147,'BSE - Other Index Options'!$H:$H,"MDAW*"))</f>
        <v>9376.119999999999</v>
      </c>
      <c r="D148" s="26">
        <f>IF(SUMIFS('BSE - SENSEX Index Options'!$L:$L,'BSE - SENSEX Index Options'!$C:$C,$A148,'BSE - SENSEX Index Options'!$B:$B,D$147,'BSE - SENSEX Index Options'!$H:$H,"Weekly*")+SUMIFS('BSE - SENSEX Index Options'!$L:$L,'BSE - SENSEX Index Options'!$C:$C,$A148,'BSE - SENSEX Index Options'!$B:$B,D$147,'BSE - SENSEX Index Options'!$H:$H,"MDAW*")+SUMIFS('BSE - Other Index Options'!$L:$L,'BSE - Other Index Options'!$C:$C,$A148,'BSE - Other Index Options'!$B:$B,D$147,'BSE - Other Index Options'!$H:$H,"Weekly*")+SUMIFS('BSE - Other Index Options'!$L:$L,'BSE - Other Index Options'!$C:$C,$A148,'BSE - Other Index Options'!$B:$B,D$147,'BSE - Other Index Options'!$H:$H,"MDAW*")=0,"",SUMIFS('BSE - SENSEX Index Options'!$L:$L,'BSE - SENSEX Index Options'!$C:$C,$A148,'BSE - SENSEX Index Options'!$B:$B,D$147,'BSE - SENSEX Index Options'!$H:$H,"Weekly*")+SUMIFS('BSE - SENSEX Index Options'!$L:$L,'BSE - SENSEX Index Options'!$C:$C,$A148,'BSE - SENSEX Index Options'!$B:$B,D$147,'BSE - SENSEX Index Options'!$H:$H,"MDAW*")+SUMIFS('BSE - Other Index Options'!$L:$L,'BSE - Other Index Options'!$C:$C,$A148,'BSE - Other Index Options'!$B:$B,D$147,'BSE - Other Index Options'!$H:$H,"Weekly*")+SUMIFS('BSE - Other Index Options'!$L:$L,'BSE - Other Index Options'!$C:$C,$A148,'BSE - Other Index Options'!$B:$B,D$147,'BSE - Other Index Options'!$H:$H,"MDAW*"))</f>
        <v>27529.89</v>
      </c>
      <c r="E148" s="26">
        <f>IF(SUMIFS('BSE - SENSEX Index Options'!$L:$L,'BSE - SENSEX Index Options'!$C:$C,$A148,'BSE - SENSEX Index Options'!$B:$B,E$147,'BSE - SENSEX Index Options'!$H:$H,"Weekly*")+SUMIFS('BSE - SENSEX Index Options'!$L:$L,'BSE - SENSEX Index Options'!$C:$C,$A148,'BSE - SENSEX Index Options'!$B:$B,E$147,'BSE - SENSEX Index Options'!$H:$H,"MDAW*")+SUMIFS('BSE - Other Index Options'!$L:$L,'BSE - Other Index Options'!$C:$C,$A148,'BSE - Other Index Options'!$B:$B,E$147,'BSE - Other Index Options'!$H:$H,"Weekly*")+SUMIFS('BSE - Other Index Options'!$L:$L,'BSE - Other Index Options'!$C:$C,$A148,'BSE - Other Index Options'!$B:$B,E$147,'BSE - Other Index Options'!$H:$H,"MDAW*")=0,"",SUMIFS('BSE - SENSEX Index Options'!$L:$L,'BSE - SENSEX Index Options'!$C:$C,$A148,'BSE - SENSEX Index Options'!$B:$B,E$147,'BSE - SENSEX Index Options'!$H:$H,"Weekly*")+SUMIFS('BSE - SENSEX Index Options'!$L:$L,'BSE - SENSEX Index Options'!$C:$C,$A148,'BSE - SENSEX Index Options'!$B:$B,E$147,'BSE - SENSEX Index Options'!$H:$H,"MDAW*")+SUMIFS('BSE - Other Index Options'!$L:$L,'BSE - Other Index Options'!$C:$C,$A148,'BSE - Other Index Options'!$B:$B,E$147,'BSE - Other Index Options'!$H:$H,"Weekly*")+SUMIFS('BSE - Other Index Options'!$L:$L,'BSE - Other Index Options'!$C:$C,$A148,'BSE - Other Index Options'!$B:$B,E$147,'BSE - Other Index Options'!$H:$H,"MDAW*"))</f>
        <v>49231.22</v>
      </c>
      <c r="F148" s="26">
        <f>IF(SUMIFS('BSE - SENSEX Index Options'!$L:$L,'BSE - SENSEX Index Options'!$C:$C,$A148,'BSE - SENSEX Index Options'!$B:$B,F$147,'BSE - SENSEX Index Options'!$H:$H,"Weekly*")+SUMIFS('BSE - SENSEX Index Options'!$L:$L,'BSE - SENSEX Index Options'!$C:$C,$A148,'BSE - SENSEX Index Options'!$B:$B,F$147,'BSE - SENSEX Index Options'!$H:$H,"MDAW*")+SUMIFS('BSE - Other Index Options'!$L:$L,'BSE - Other Index Options'!$C:$C,$A148,'BSE - Other Index Options'!$B:$B,F$147,'BSE - Other Index Options'!$H:$H,"Weekly*")+SUMIFS('BSE - Other Index Options'!$L:$L,'BSE - Other Index Options'!$C:$C,$A148,'BSE - Other Index Options'!$B:$B,F$147,'BSE - Other Index Options'!$H:$H,"MDAW*")=0,"",SUMIFS('BSE - SENSEX Index Options'!$L:$L,'BSE - SENSEX Index Options'!$C:$C,$A148,'BSE - SENSEX Index Options'!$B:$B,F$147,'BSE - SENSEX Index Options'!$H:$H,"Weekly*")+SUMIFS('BSE - SENSEX Index Options'!$L:$L,'BSE - SENSEX Index Options'!$C:$C,$A148,'BSE - SENSEX Index Options'!$B:$B,F$147,'BSE - SENSEX Index Options'!$H:$H,"MDAW*")+SUMIFS('BSE - Other Index Options'!$L:$L,'BSE - Other Index Options'!$C:$C,$A148,'BSE - Other Index Options'!$B:$B,F$147,'BSE - Other Index Options'!$H:$H,"Weekly*")+SUMIFS('BSE - Other Index Options'!$L:$L,'BSE - Other Index Options'!$C:$C,$A148,'BSE - Other Index Options'!$B:$B,F$147,'BSE - Other Index Options'!$H:$H,"MDAW*"))</f>
        <v>10077.359999999999</v>
      </c>
      <c r="G148" s="26" t="str">
        <f>IF(SUMIFS('BSE - SENSEX Index Options'!$L:$L,'BSE - SENSEX Index Options'!$C:$C,$A148,'BSE - SENSEX Index Options'!$B:$B,G$147,'BSE - SENSEX Index Options'!$H:$H,"Weekly*")+SUMIFS('BSE - SENSEX Index Options'!$L:$L,'BSE - SENSEX Index Options'!$C:$C,$A148,'BSE - SENSEX Index Options'!$B:$B,G$147,'BSE - SENSEX Index Options'!$H:$H,"MDAW*")+SUMIFS('BSE - Other Index Options'!$L:$L,'BSE - Other Index Options'!$C:$C,$A148,'BSE - Other Index Options'!$B:$B,G$147,'BSE - Other Index Options'!$H:$H,"Weekly*")+SUMIFS('BSE - Other Index Options'!$L:$L,'BSE - Other Index Options'!$C:$C,$A148,'BSE - Other Index Options'!$B:$B,G$147,'BSE - Other Index Options'!$H:$H,"MDAW*")=0,"",SUMIFS('BSE - SENSEX Index Options'!$L:$L,'BSE - SENSEX Index Options'!$C:$C,$A148,'BSE - SENSEX Index Options'!$B:$B,G$147,'BSE - SENSEX Index Options'!$H:$H,"Weekly*")+SUMIFS('BSE - SENSEX Index Options'!$L:$L,'BSE - SENSEX Index Options'!$C:$C,$A148,'BSE - SENSEX Index Options'!$B:$B,G$147,'BSE - SENSEX Index Options'!$H:$H,"MDAW*")+SUMIFS('BSE - Other Index Options'!$L:$L,'BSE - Other Index Options'!$C:$C,$A148,'BSE - Other Index Options'!$B:$B,G$147,'BSE - Other Index Options'!$H:$H,"Weekly*")+SUMIFS('BSE - Other Index Options'!$L:$L,'BSE - Other Index Options'!$C:$C,$A148,'BSE - Other Index Options'!$B:$B,G$147,'BSE - Other Index Options'!$H:$H,"MDAW*"))</f>
        <v/>
      </c>
      <c r="H148" s="26">
        <f t="shared" ref="H148:H179" si="6">IF(SUM(B148:G148)=0,"",SUM(B148:G148))</f>
        <v>103930.05</v>
      </c>
    </row>
    <row r="149" spans="1:8">
      <c r="A149" t="s">
        <v>11</v>
      </c>
      <c r="B149" s="26">
        <f>IF(SUMIFS('BSE - SENSEX Index Options'!$L:$L,'BSE - SENSEX Index Options'!$C:$C,$A149,'BSE - SENSEX Index Options'!$B:$B,B$147,'BSE - SENSEX Index Options'!$H:$H,"Weekly*")+SUMIFS('BSE - SENSEX Index Options'!$L:$L,'BSE - SENSEX Index Options'!$C:$C,$A149,'BSE - SENSEX Index Options'!$B:$B,B$147,'BSE - SENSEX Index Options'!$H:$H,"MDAW*")+SUMIFS('BSE - Other Index Options'!$L:$L,'BSE - Other Index Options'!$C:$C,$A149,'BSE - Other Index Options'!$B:$B,B$147,'BSE - Other Index Options'!$H:$H,"Weekly*")+SUMIFS('BSE - Other Index Options'!$L:$L,'BSE - Other Index Options'!$C:$C,$A149,'BSE - Other Index Options'!$B:$B,B$147,'BSE - Other Index Options'!$H:$H,"MDAW*")=0,"",SUMIFS('BSE - SENSEX Index Options'!$L:$L,'BSE - SENSEX Index Options'!$C:$C,$A149,'BSE - SENSEX Index Options'!$B:$B,B$147,'BSE - SENSEX Index Options'!$H:$H,"Weekly*")+SUMIFS('BSE - SENSEX Index Options'!$L:$L,'BSE - SENSEX Index Options'!$C:$C,$A149,'BSE - SENSEX Index Options'!$B:$B,B$147,'BSE - SENSEX Index Options'!$H:$H,"MDAW*")+SUMIFS('BSE - Other Index Options'!$L:$L,'BSE - Other Index Options'!$C:$C,$A149,'BSE - Other Index Options'!$B:$B,B$147,'BSE - Other Index Options'!$H:$H,"Weekly*")+SUMIFS('BSE - Other Index Options'!$L:$L,'BSE - Other Index Options'!$C:$C,$A149,'BSE - Other Index Options'!$B:$B,B$147,'BSE - Other Index Options'!$H:$H,"MDAW*"))</f>
        <v>8717.68</v>
      </c>
      <c r="C149" s="26">
        <f>IF(SUMIFS('BSE - SENSEX Index Options'!$L:$L,'BSE - SENSEX Index Options'!$C:$C,$A149,'BSE - SENSEX Index Options'!$B:$B,C$147,'BSE - SENSEX Index Options'!$H:$H,"Weekly*")+SUMIFS('BSE - SENSEX Index Options'!$L:$L,'BSE - SENSEX Index Options'!$C:$C,$A149,'BSE - SENSEX Index Options'!$B:$B,C$147,'BSE - SENSEX Index Options'!$H:$H,"MDAW*")+SUMIFS('BSE - Other Index Options'!$L:$L,'BSE - Other Index Options'!$C:$C,$A149,'BSE - Other Index Options'!$B:$B,C$147,'BSE - Other Index Options'!$H:$H,"Weekly*")+SUMIFS('BSE - Other Index Options'!$L:$L,'BSE - Other Index Options'!$C:$C,$A149,'BSE - Other Index Options'!$B:$B,C$147,'BSE - Other Index Options'!$H:$H,"MDAW*")=0,"",SUMIFS('BSE - SENSEX Index Options'!$L:$L,'BSE - SENSEX Index Options'!$C:$C,$A149,'BSE - SENSEX Index Options'!$B:$B,C$147,'BSE - SENSEX Index Options'!$H:$H,"Weekly*")+SUMIFS('BSE - SENSEX Index Options'!$L:$L,'BSE - SENSEX Index Options'!$C:$C,$A149,'BSE - SENSEX Index Options'!$B:$B,C$147,'BSE - SENSEX Index Options'!$H:$H,"MDAW*")+SUMIFS('BSE - Other Index Options'!$L:$L,'BSE - Other Index Options'!$C:$C,$A149,'BSE - Other Index Options'!$B:$B,C$147,'BSE - Other Index Options'!$H:$H,"Weekly*")+SUMIFS('BSE - Other Index Options'!$L:$L,'BSE - Other Index Options'!$C:$C,$A149,'BSE - Other Index Options'!$B:$B,C$147,'BSE - Other Index Options'!$H:$H,"MDAW*"))</f>
        <v>7242</v>
      </c>
      <c r="D149" s="26">
        <f>IF(SUMIFS('BSE - SENSEX Index Options'!$L:$L,'BSE - SENSEX Index Options'!$C:$C,$A149,'BSE - SENSEX Index Options'!$B:$B,D$147,'BSE - SENSEX Index Options'!$H:$H,"Weekly*")+SUMIFS('BSE - SENSEX Index Options'!$L:$L,'BSE - SENSEX Index Options'!$C:$C,$A149,'BSE - SENSEX Index Options'!$B:$B,D$147,'BSE - SENSEX Index Options'!$H:$H,"MDAW*")+SUMIFS('BSE - Other Index Options'!$L:$L,'BSE - Other Index Options'!$C:$C,$A149,'BSE - Other Index Options'!$B:$B,D$147,'BSE - Other Index Options'!$H:$H,"Weekly*")+SUMIFS('BSE - Other Index Options'!$L:$L,'BSE - Other Index Options'!$C:$C,$A149,'BSE - Other Index Options'!$B:$B,D$147,'BSE - Other Index Options'!$H:$H,"MDAW*")=0,"",SUMIFS('BSE - SENSEX Index Options'!$L:$L,'BSE - SENSEX Index Options'!$C:$C,$A149,'BSE - SENSEX Index Options'!$B:$B,D$147,'BSE - SENSEX Index Options'!$H:$H,"Weekly*")+SUMIFS('BSE - SENSEX Index Options'!$L:$L,'BSE - SENSEX Index Options'!$C:$C,$A149,'BSE - SENSEX Index Options'!$B:$B,D$147,'BSE - SENSEX Index Options'!$H:$H,"MDAW*")+SUMIFS('BSE - Other Index Options'!$L:$L,'BSE - Other Index Options'!$C:$C,$A149,'BSE - Other Index Options'!$B:$B,D$147,'BSE - Other Index Options'!$H:$H,"Weekly*")+SUMIFS('BSE - Other Index Options'!$L:$L,'BSE - Other Index Options'!$C:$C,$A149,'BSE - Other Index Options'!$B:$B,D$147,'BSE - Other Index Options'!$H:$H,"MDAW*"))</f>
        <v>21076.86</v>
      </c>
      <c r="E149" s="26">
        <f>IF(SUMIFS('BSE - SENSEX Index Options'!$L:$L,'BSE - SENSEX Index Options'!$C:$C,$A149,'BSE - SENSEX Index Options'!$B:$B,E$147,'BSE - SENSEX Index Options'!$H:$H,"Weekly*")+SUMIFS('BSE - SENSEX Index Options'!$L:$L,'BSE - SENSEX Index Options'!$C:$C,$A149,'BSE - SENSEX Index Options'!$B:$B,E$147,'BSE - SENSEX Index Options'!$H:$H,"MDAW*")+SUMIFS('BSE - Other Index Options'!$L:$L,'BSE - Other Index Options'!$C:$C,$A149,'BSE - Other Index Options'!$B:$B,E$147,'BSE - Other Index Options'!$H:$H,"Weekly*")+SUMIFS('BSE - Other Index Options'!$L:$L,'BSE - Other Index Options'!$C:$C,$A149,'BSE - Other Index Options'!$B:$B,E$147,'BSE - Other Index Options'!$H:$H,"MDAW*")=0,"",SUMIFS('BSE - SENSEX Index Options'!$L:$L,'BSE - SENSEX Index Options'!$C:$C,$A149,'BSE - SENSEX Index Options'!$B:$B,E$147,'BSE - SENSEX Index Options'!$H:$H,"Weekly*")+SUMIFS('BSE - SENSEX Index Options'!$L:$L,'BSE - SENSEX Index Options'!$C:$C,$A149,'BSE - SENSEX Index Options'!$B:$B,E$147,'BSE - SENSEX Index Options'!$H:$H,"MDAW*")+SUMIFS('BSE - Other Index Options'!$L:$L,'BSE - Other Index Options'!$C:$C,$A149,'BSE - Other Index Options'!$B:$B,E$147,'BSE - Other Index Options'!$H:$H,"Weekly*")+SUMIFS('BSE - Other Index Options'!$L:$L,'BSE - Other Index Options'!$C:$C,$A149,'BSE - Other Index Options'!$B:$B,E$147,'BSE - Other Index Options'!$H:$H,"MDAW*"))</f>
        <v>28075.52</v>
      </c>
      <c r="F149" s="26">
        <f>IF(SUMIFS('BSE - SENSEX Index Options'!$L:$L,'BSE - SENSEX Index Options'!$C:$C,$A149,'BSE - SENSEX Index Options'!$B:$B,F$147,'BSE - SENSEX Index Options'!$H:$H,"Weekly*")+SUMIFS('BSE - SENSEX Index Options'!$L:$L,'BSE - SENSEX Index Options'!$C:$C,$A149,'BSE - SENSEX Index Options'!$B:$B,F$147,'BSE - SENSEX Index Options'!$H:$H,"MDAW*")+SUMIFS('BSE - Other Index Options'!$L:$L,'BSE - Other Index Options'!$C:$C,$A149,'BSE - Other Index Options'!$B:$B,F$147,'BSE - Other Index Options'!$H:$H,"Weekly*")+SUMIFS('BSE - Other Index Options'!$L:$L,'BSE - Other Index Options'!$C:$C,$A149,'BSE - Other Index Options'!$B:$B,F$147,'BSE - Other Index Options'!$H:$H,"MDAW*")=0,"",SUMIFS('BSE - SENSEX Index Options'!$L:$L,'BSE - SENSEX Index Options'!$C:$C,$A149,'BSE - SENSEX Index Options'!$B:$B,F$147,'BSE - SENSEX Index Options'!$H:$H,"Weekly*")+SUMIFS('BSE - SENSEX Index Options'!$L:$L,'BSE - SENSEX Index Options'!$C:$C,$A149,'BSE - SENSEX Index Options'!$B:$B,F$147,'BSE - SENSEX Index Options'!$H:$H,"MDAW*")+SUMIFS('BSE - Other Index Options'!$L:$L,'BSE - Other Index Options'!$C:$C,$A149,'BSE - Other Index Options'!$B:$B,F$147,'BSE - Other Index Options'!$H:$H,"Weekly*")+SUMIFS('BSE - Other Index Options'!$L:$L,'BSE - Other Index Options'!$C:$C,$A149,'BSE - Other Index Options'!$B:$B,F$147,'BSE - Other Index Options'!$H:$H,"MDAW*"))</f>
        <v>5355.77</v>
      </c>
      <c r="G149" s="26" t="str">
        <f>IF(SUMIFS('BSE - SENSEX Index Options'!$L:$L,'BSE - SENSEX Index Options'!$C:$C,$A149,'BSE - SENSEX Index Options'!$B:$B,G$147,'BSE - SENSEX Index Options'!$H:$H,"Weekly*")+SUMIFS('BSE - SENSEX Index Options'!$L:$L,'BSE - SENSEX Index Options'!$C:$C,$A149,'BSE - SENSEX Index Options'!$B:$B,G$147,'BSE - SENSEX Index Options'!$H:$H,"MDAW*")+SUMIFS('BSE - Other Index Options'!$L:$L,'BSE - Other Index Options'!$C:$C,$A149,'BSE - Other Index Options'!$B:$B,G$147,'BSE - Other Index Options'!$H:$H,"Weekly*")+SUMIFS('BSE - Other Index Options'!$L:$L,'BSE - Other Index Options'!$C:$C,$A149,'BSE - Other Index Options'!$B:$B,G$147,'BSE - Other Index Options'!$H:$H,"MDAW*")=0,"",SUMIFS('BSE - SENSEX Index Options'!$L:$L,'BSE - SENSEX Index Options'!$C:$C,$A149,'BSE - SENSEX Index Options'!$B:$B,G$147,'BSE - SENSEX Index Options'!$H:$H,"Weekly*")+SUMIFS('BSE - SENSEX Index Options'!$L:$L,'BSE - SENSEX Index Options'!$C:$C,$A149,'BSE - SENSEX Index Options'!$B:$B,G$147,'BSE - SENSEX Index Options'!$H:$H,"MDAW*")+SUMIFS('BSE - Other Index Options'!$L:$L,'BSE - Other Index Options'!$C:$C,$A149,'BSE - Other Index Options'!$B:$B,G$147,'BSE - Other Index Options'!$H:$H,"Weekly*")+SUMIFS('BSE - Other Index Options'!$L:$L,'BSE - Other Index Options'!$C:$C,$A149,'BSE - Other Index Options'!$B:$B,G$147,'BSE - Other Index Options'!$H:$H,"MDAW*"))</f>
        <v/>
      </c>
      <c r="H149" s="26">
        <f t="shared" si="6"/>
        <v>70467.83</v>
      </c>
    </row>
    <row r="150" spans="1:8">
      <c r="A150" t="s">
        <v>12</v>
      </c>
      <c r="B150" s="26">
        <f>IF(SUMIFS('BSE - SENSEX Index Options'!$L:$L,'BSE - SENSEX Index Options'!$C:$C,$A150,'BSE - SENSEX Index Options'!$B:$B,B$147,'BSE - SENSEX Index Options'!$H:$H,"Weekly*")+SUMIFS('BSE - SENSEX Index Options'!$L:$L,'BSE - SENSEX Index Options'!$C:$C,$A150,'BSE - SENSEX Index Options'!$B:$B,B$147,'BSE - SENSEX Index Options'!$H:$H,"MDAW*")+SUMIFS('BSE - Other Index Options'!$L:$L,'BSE - Other Index Options'!$C:$C,$A150,'BSE - Other Index Options'!$B:$B,B$147,'BSE - Other Index Options'!$H:$H,"Weekly*")+SUMIFS('BSE - Other Index Options'!$L:$L,'BSE - Other Index Options'!$C:$C,$A150,'BSE - Other Index Options'!$B:$B,B$147,'BSE - Other Index Options'!$H:$H,"MDAW*")=0,"",SUMIFS('BSE - SENSEX Index Options'!$L:$L,'BSE - SENSEX Index Options'!$C:$C,$A150,'BSE - SENSEX Index Options'!$B:$B,B$147,'BSE - SENSEX Index Options'!$H:$H,"Weekly*")+SUMIFS('BSE - SENSEX Index Options'!$L:$L,'BSE - SENSEX Index Options'!$C:$C,$A150,'BSE - SENSEX Index Options'!$B:$B,B$147,'BSE - SENSEX Index Options'!$H:$H,"MDAW*")+SUMIFS('BSE - Other Index Options'!$L:$L,'BSE - Other Index Options'!$C:$C,$A150,'BSE - Other Index Options'!$B:$B,B$147,'BSE - Other Index Options'!$H:$H,"Weekly*")+SUMIFS('BSE - Other Index Options'!$L:$L,'BSE - Other Index Options'!$C:$C,$A150,'BSE - Other Index Options'!$B:$B,B$147,'BSE - Other Index Options'!$H:$H,"MDAW*"))</f>
        <v>5701.17</v>
      </c>
      <c r="C150" s="26">
        <f>IF(SUMIFS('BSE - SENSEX Index Options'!$L:$L,'BSE - SENSEX Index Options'!$C:$C,$A150,'BSE - SENSEX Index Options'!$B:$B,C$147,'BSE - SENSEX Index Options'!$H:$H,"Weekly*")+SUMIFS('BSE - SENSEX Index Options'!$L:$L,'BSE - SENSEX Index Options'!$C:$C,$A150,'BSE - SENSEX Index Options'!$B:$B,C$147,'BSE - SENSEX Index Options'!$H:$H,"MDAW*")+SUMIFS('BSE - Other Index Options'!$L:$L,'BSE - Other Index Options'!$C:$C,$A150,'BSE - Other Index Options'!$B:$B,C$147,'BSE - Other Index Options'!$H:$H,"Weekly*")+SUMIFS('BSE - Other Index Options'!$L:$L,'BSE - Other Index Options'!$C:$C,$A150,'BSE - Other Index Options'!$B:$B,C$147,'BSE - Other Index Options'!$H:$H,"MDAW*")=0,"",SUMIFS('BSE - SENSEX Index Options'!$L:$L,'BSE - SENSEX Index Options'!$C:$C,$A150,'BSE - SENSEX Index Options'!$B:$B,C$147,'BSE - SENSEX Index Options'!$H:$H,"Weekly*")+SUMIFS('BSE - SENSEX Index Options'!$L:$L,'BSE - SENSEX Index Options'!$C:$C,$A150,'BSE - SENSEX Index Options'!$B:$B,C$147,'BSE - SENSEX Index Options'!$H:$H,"MDAW*")+SUMIFS('BSE - Other Index Options'!$L:$L,'BSE - Other Index Options'!$C:$C,$A150,'BSE - Other Index Options'!$B:$B,C$147,'BSE - Other Index Options'!$H:$H,"Weekly*")+SUMIFS('BSE - Other Index Options'!$L:$L,'BSE - Other Index Options'!$C:$C,$A150,'BSE - Other Index Options'!$B:$B,C$147,'BSE - Other Index Options'!$H:$H,"MDAW*"))</f>
        <v>6665.8899999999994</v>
      </c>
      <c r="D150" s="26">
        <f>IF(SUMIFS('BSE - SENSEX Index Options'!$L:$L,'BSE - SENSEX Index Options'!$C:$C,$A150,'BSE - SENSEX Index Options'!$B:$B,D$147,'BSE - SENSEX Index Options'!$H:$H,"Weekly*")+SUMIFS('BSE - SENSEX Index Options'!$L:$L,'BSE - SENSEX Index Options'!$C:$C,$A150,'BSE - SENSEX Index Options'!$B:$B,D$147,'BSE - SENSEX Index Options'!$H:$H,"MDAW*")+SUMIFS('BSE - Other Index Options'!$L:$L,'BSE - Other Index Options'!$C:$C,$A150,'BSE - Other Index Options'!$B:$B,D$147,'BSE - Other Index Options'!$H:$H,"Weekly*")+SUMIFS('BSE - Other Index Options'!$L:$L,'BSE - Other Index Options'!$C:$C,$A150,'BSE - Other Index Options'!$B:$B,D$147,'BSE - Other Index Options'!$H:$H,"MDAW*")=0,"",SUMIFS('BSE - SENSEX Index Options'!$L:$L,'BSE - SENSEX Index Options'!$C:$C,$A150,'BSE - SENSEX Index Options'!$B:$B,D$147,'BSE - SENSEX Index Options'!$H:$H,"Weekly*")+SUMIFS('BSE - SENSEX Index Options'!$L:$L,'BSE - SENSEX Index Options'!$C:$C,$A150,'BSE - SENSEX Index Options'!$B:$B,D$147,'BSE - SENSEX Index Options'!$H:$H,"MDAW*")+SUMIFS('BSE - Other Index Options'!$L:$L,'BSE - Other Index Options'!$C:$C,$A150,'BSE - Other Index Options'!$B:$B,D$147,'BSE - Other Index Options'!$H:$H,"Weekly*")+SUMIFS('BSE - Other Index Options'!$L:$L,'BSE - Other Index Options'!$C:$C,$A150,'BSE - Other Index Options'!$B:$B,D$147,'BSE - Other Index Options'!$H:$H,"MDAW*"))</f>
        <v>16377.460000000001</v>
      </c>
      <c r="E150" s="26">
        <f>IF(SUMIFS('BSE - SENSEX Index Options'!$L:$L,'BSE - SENSEX Index Options'!$C:$C,$A150,'BSE - SENSEX Index Options'!$B:$B,E$147,'BSE - SENSEX Index Options'!$H:$H,"Weekly*")+SUMIFS('BSE - SENSEX Index Options'!$L:$L,'BSE - SENSEX Index Options'!$C:$C,$A150,'BSE - SENSEX Index Options'!$B:$B,E$147,'BSE - SENSEX Index Options'!$H:$H,"MDAW*")+SUMIFS('BSE - Other Index Options'!$L:$L,'BSE - Other Index Options'!$C:$C,$A150,'BSE - Other Index Options'!$B:$B,E$147,'BSE - Other Index Options'!$H:$H,"Weekly*")+SUMIFS('BSE - Other Index Options'!$L:$L,'BSE - Other Index Options'!$C:$C,$A150,'BSE - Other Index Options'!$B:$B,E$147,'BSE - Other Index Options'!$H:$H,"MDAW*")=0,"",SUMIFS('BSE - SENSEX Index Options'!$L:$L,'BSE - SENSEX Index Options'!$C:$C,$A150,'BSE - SENSEX Index Options'!$B:$B,E$147,'BSE - SENSEX Index Options'!$H:$H,"Weekly*")+SUMIFS('BSE - SENSEX Index Options'!$L:$L,'BSE - SENSEX Index Options'!$C:$C,$A150,'BSE - SENSEX Index Options'!$B:$B,E$147,'BSE - SENSEX Index Options'!$H:$H,"MDAW*")+SUMIFS('BSE - Other Index Options'!$L:$L,'BSE - Other Index Options'!$C:$C,$A150,'BSE - Other Index Options'!$B:$B,E$147,'BSE - Other Index Options'!$H:$H,"Weekly*")+SUMIFS('BSE - Other Index Options'!$L:$L,'BSE - Other Index Options'!$C:$C,$A150,'BSE - Other Index Options'!$B:$B,E$147,'BSE - Other Index Options'!$H:$H,"MDAW*"))</f>
        <v>29376.19</v>
      </c>
      <c r="F150" s="26">
        <f>IF(SUMIFS('BSE - SENSEX Index Options'!$L:$L,'BSE - SENSEX Index Options'!$C:$C,$A150,'BSE - SENSEX Index Options'!$B:$B,F$147,'BSE - SENSEX Index Options'!$H:$H,"Weekly*")+SUMIFS('BSE - SENSEX Index Options'!$L:$L,'BSE - SENSEX Index Options'!$C:$C,$A150,'BSE - SENSEX Index Options'!$B:$B,F$147,'BSE - SENSEX Index Options'!$H:$H,"MDAW*")+SUMIFS('BSE - Other Index Options'!$L:$L,'BSE - Other Index Options'!$C:$C,$A150,'BSE - Other Index Options'!$B:$B,F$147,'BSE - Other Index Options'!$H:$H,"Weekly*")+SUMIFS('BSE - Other Index Options'!$L:$L,'BSE - Other Index Options'!$C:$C,$A150,'BSE - Other Index Options'!$B:$B,F$147,'BSE - Other Index Options'!$H:$H,"MDAW*")=0,"",SUMIFS('BSE - SENSEX Index Options'!$L:$L,'BSE - SENSEX Index Options'!$C:$C,$A150,'BSE - SENSEX Index Options'!$B:$B,F$147,'BSE - SENSEX Index Options'!$H:$H,"Weekly*")+SUMIFS('BSE - SENSEX Index Options'!$L:$L,'BSE - SENSEX Index Options'!$C:$C,$A150,'BSE - SENSEX Index Options'!$B:$B,F$147,'BSE - SENSEX Index Options'!$H:$H,"MDAW*")+SUMIFS('BSE - Other Index Options'!$L:$L,'BSE - Other Index Options'!$C:$C,$A150,'BSE - Other Index Options'!$B:$B,F$147,'BSE - Other Index Options'!$H:$H,"Weekly*")+SUMIFS('BSE - Other Index Options'!$L:$L,'BSE - Other Index Options'!$C:$C,$A150,'BSE - Other Index Options'!$B:$B,F$147,'BSE - Other Index Options'!$H:$H,"MDAW*"))</f>
        <v>7052.78</v>
      </c>
      <c r="G150" s="26" t="str">
        <f>IF(SUMIFS('BSE - SENSEX Index Options'!$L:$L,'BSE - SENSEX Index Options'!$C:$C,$A150,'BSE - SENSEX Index Options'!$B:$B,G$147,'BSE - SENSEX Index Options'!$H:$H,"Weekly*")+SUMIFS('BSE - SENSEX Index Options'!$L:$L,'BSE - SENSEX Index Options'!$C:$C,$A150,'BSE - SENSEX Index Options'!$B:$B,G$147,'BSE - SENSEX Index Options'!$H:$H,"MDAW*")+SUMIFS('BSE - Other Index Options'!$L:$L,'BSE - Other Index Options'!$C:$C,$A150,'BSE - Other Index Options'!$B:$B,G$147,'BSE - Other Index Options'!$H:$H,"Weekly*")+SUMIFS('BSE - Other Index Options'!$L:$L,'BSE - Other Index Options'!$C:$C,$A150,'BSE - Other Index Options'!$B:$B,G$147,'BSE - Other Index Options'!$H:$H,"MDAW*")=0,"",SUMIFS('BSE - SENSEX Index Options'!$L:$L,'BSE - SENSEX Index Options'!$C:$C,$A150,'BSE - SENSEX Index Options'!$B:$B,G$147,'BSE - SENSEX Index Options'!$H:$H,"Weekly*")+SUMIFS('BSE - SENSEX Index Options'!$L:$L,'BSE - SENSEX Index Options'!$C:$C,$A150,'BSE - SENSEX Index Options'!$B:$B,G$147,'BSE - SENSEX Index Options'!$H:$H,"MDAW*")+SUMIFS('BSE - Other Index Options'!$L:$L,'BSE - Other Index Options'!$C:$C,$A150,'BSE - Other Index Options'!$B:$B,G$147,'BSE - Other Index Options'!$H:$H,"Weekly*")+SUMIFS('BSE - Other Index Options'!$L:$L,'BSE - Other Index Options'!$C:$C,$A150,'BSE - Other Index Options'!$B:$B,G$147,'BSE - Other Index Options'!$H:$H,"MDAW*"))</f>
        <v/>
      </c>
      <c r="H150" s="26">
        <f t="shared" si="6"/>
        <v>65173.49</v>
      </c>
    </row>
    <row r="151" spans="1:8">
      <c r="A151" t="s">
        <v>13</v>
      </c>
      <c r="B151" s="26">
        <f>IF(SUMIFS('BSE - SENSEX Index Options'!$L:$L,'BSE - SENSEX Index Options'!$C:$C,$A151,'BSE - SENSEX Index Options'!$B:$B,B$147,'BSE - SENSEX Index Options'!$H:$H,"Weekly*")+SUMIFS('BSE - SENSEX Index Options'!$L:$L,'BSE - SENSEX Index Options'!$C:$C,$A151,'BSE - SENSEX Index Options'!$B:$B,B$147,'BSE - SENSEX Index Options'!$H:$H,"MDAW*")+SUMIFS('BSE - Other Index Options'!$L:$L,'BSE - Other Index Options'!$C:$C,$A151,'BSE - Other Index Options'!$B:$B,B$147,'BSE - Other Index Options'!$H:$H,"Weekly*")+SUMIFS('BSE - Other Index Options'!$L:$L,'BSE - Other Index Options'!$C:$C,$A151,'BSE - Other Index Options'!$B:$B,B$147,'BSE - Other Index Options'!$H:$H,"MDAW*")=0,"",SUMIFS('BSE - SENSEX Index Options'!$L:$L,'BSE - SENSEX Index Options'!$C:$C,$A151,'BSE - SENSEX Index Options'!$B:$B,B$147,'BSE - SENSEX Index Options'!$H:$H,"Weekly*")+SUMIFS('BSE - SENSEX Index Options'!$L:$L,'BSE - SENSEX Index Options'!$C:$C,$A151,'BSE - SENSEX Index Options'!$B:$B,B$147,'BSE - SENSEX Index Options'!$H:$H,"MDAW*")+SUMIFS('BSE - Other Index Options'!$L:$L,'BSE - Other Index Options'!$C:$C,$A151,'BSE - Other Index Options'!$B:$B,B$147,'BSE - Other Index Options'!$H:$H,"Weekly*")+SUMIFS('BSE - Other Index Options'!$L:$L,'BSE - Other Index Options'!$C:$C,$A151,'BSE - Other Index Options'!$B:$B,B$147,'BSE - Other Index Options'!$H:$H,"MDAW*"))</f>
        <v>8321.9399999999987</v>
      </c>
      <c r="C151" s="26">
        <f>IF(SUMIFS('BSE - SENSEX Index Options'!$L:$L,'BSE - SENSEX Index Options'!$C:$C,$A151,'BSE - SENSEX Index Options'!$B:$B,C$147,'BSE - SENSEX Index Options'!$H:$H,"Weekly*")+SUMIFS('BSE - SENSEX Index Options'!$L:$L,'BSE - SENSEX Index Options'!$C:$C,$A151,'BSE - SENSEX Index Options'!$B:$B,C$147,'BSE - SENSEX Index Options'!$H:$H,"MDAW*")+SUMIFS('BSE - Other Index Options'!$L:$L,'BSE - Other Index Options'!$C:$C,$A151,'BSE - Other Index Options'!$B:$B,C$147,'BSE - Other Index Options'!$H:$H,"Weekly*")+SUMIFS('BSE - Other Index Options'!$L:$L,'BSE - Other Index Options'!$C:$C,$A151,'BSE - Other Index Options'!$B:$B,C$147,'BSE - Other Index Options'!$H:$H,"MDAW*")=0,"",SUMIFS('BSE - SENSEX Index Options'!$L:$L,'BSE - SENSEX Index Options'!$C:$C,$A151,'BSE - SENSEX Index Options'!$B:$B,C$147,'BSE - SENSEX Index Options'!$H:$H,"Weekly*")+SUMIFS('BSE - SENSEX Index Options'!$L:$L,'BSE - SENSEX Index Options'!$C:$C,$A151,'BSE - SENSEX Index Options'!$B:$B,C$147,'BSE - SENSEX Index Options'!$H:$H,"MDAW*")+SUMIFS('BSE - Other Index Options'!$L:$L,'BSE - Other Index Options'!$C:$C,$A151,'BSE - Other Index Options'!$B:$B,C$147,'BSE - Other Index Options'!$H:$H,"Weekly*")+SUMIFS('BSE - Other Index Options'!$L:$L,'BSE - Other Index Options'!$C:$C,$A151,'BSE - Other Index Options'!$B:$B,C$147,'BSE - Other Index Options'!$H:$H,"MDAW*"))</f>
        <v>9372.84</v>
      </c>
      <c r="D151" s="26">
        <f>IF(SUMIFS('BSE - SENSEX Index Options'!$L:$L,'BSE - SENSEX Index Options'!$C:$C,$A151,'BSE - SENSEX Index Options'!$B:$B,D$147,'BSE - SENSEX Index Options'!$H:$H,"Weekly*")+SUMIFS('BSE - SENSEX Index Options'!$L:$L,'BSE - SENSEX Index Options'!$C:$C,$A151,'BSE - SENSEX Index Options'!$B:$B,D$147,'BSE - SENSEX Index Options'!$H:$H,"MDAW*")+SUMIFS('BSE - Other Index Options'!$L:$L,'BSE - Other Index Options'!$C:$C,$A151,'BSE - Other Index Options'!$B:$B,D$147,'BSE - Other Index Options'!$H:$H,"Weekly*")+SUMIFS('BSE - Other Index Options'!$L:$L,'BSE - Other Index Options'!$C:$C,$A151,'BSE - Other Index Options'!$B:$B,D$147,'BSE - Other Index Options'!$H:$H,"MDAW*")=0,"",SUMIFS('BSE - SENSEX Index Options'!$L:$L,'BSE - SENSEX Index Options'!$C:$C,$A151,'BSE - SENSEX Index Options'!$B:$B,D$147,'BSE - SENSEX Index Options'!$H:$H,"Weekly*")+SUMIFS('BSE - SENSEX Index Options'!$L:$L,'BSE - SENSEX Index Options'!$C:$C,$A151,'BSE - SENSEX Index Options'!$B:$B,D$147,'BSE - SENSEX Index Options'!$H:$H,"MDAW*")+SUMIFS('BSE - Other Index Options'!$L:$L,'BSE - Other Index Options'!$C:$C,$A151,'BSE - Other Index Options'!$B:$B,D$147,'BSE - Other Index Options'!$H:$H,"Weekly*")+SUMIFS('BSE - Other Index Options'!$L:$L,'BSE - Other Index Options'!$C:$C,$A151,'BSE - Other Index Options'!$B:$B,D$147,'BSE - Other Index Options'!$H:$H,"MDAW*"))</f>
        <v>23137.84</v>
      </c>
      <c r="E151" s="26">
        <f>IF(SUMIFS('BSE - SENSEX Index Options'!$L:$L,'BSE - SENSEX Index Options'!$C:$C,$A151,'BSE - SENSEX Index Options'!$B:$B,E$147,'BSE - SENSEX Index Options'!$H:$H,"Weekly*")+SUMIFS('BSE - SENSEX Index Options'!$L:$L,'BSE - SENSEX Index Options'!$C:$C,$A151,'BSE - SENSEX Index Options'!$B:$B,E$147,'BSE - SENSEX Index Options'!$H:$H,"MDAW*")+SUMIFS('BSE - Other Index Options'!$L:$L,'BSE - Other Index Options'!$C:$C,$A151,'BSE - Other Index Options'!$B:$B,E$147,'BSE - Other Index Options'!$H:$H,"Weekly*")+SUMIFS('BSE - Other Index Options'!$L:$L,'BSE - Other Index Options'!$C:$C,$A151,'BSE - Other Index Options'!$B:$B,E$147,'BSE - Other Index Options'!$H:$H,"MDAW*")=0,"",SUMIFS('BSE - SENSEX Index Options'!$L:$L,'BSE - SENSEX Index Options'!$C:$C,$A151,'BSE - SENSEX Index Options'!$B:$B,E$147,'BSE - SENSEX Index Options'!$H:$H,"Weekly*")+SUMIFS('BSE - SENSEX Index Options'!$L:$L,'BSE - SENSEX Index Options'!$C:$C,$A151,'BSE - SENSEX Index Options'!$B:$B,E$147,'BSE - SENSEX Index Options'!$H:$H,"MDAW*")+SUMIFS('BSE - Other Index Options'!$L:$L,'BSE - Other Index Options'!$C:$C,$A151,'BSE - Other Index Options'!$B:$B,E$147,'BSE - Other Index Options'!$H:$H,"Weekly*")+SUMIFS('BSE - Other Index Options'!$L:$L,'BSE - Other Index Options'!$C:$C,$A151,'BSE - Other Index Options'!$B:$B,E$147,'BSE - Other Index Options'!$H:$H,"MDAW*"))</f>
        <v>35901.689999999995</v>
      </c>
      <c r="F151" s="26">
        <f>IF(SUMIFS('BSE - SENSEX Index Options'!$L:$L,'BSE - SENSEX Index Options'!$C:$C,$A151,'BSE - SENSEX Index Options'!$B:$B,F$147,'BSE - SENSEX Index Options'!$H:$H,"Weekly*")+SUMIFS('BSE - SENSEX Index Options'!$L:$L,'BSE - SENSEX Index Options'!$C:$C,$A151,'BSE - SENSEX Index Options'!$B:$B,F$147,'BSE - SENSEX Index Options'!$H:$H,"MDAW*")+SUMIFS('BSE - Other Index Options'!$L:$L,'BSE - Other Index Options'!$C:$C,$A151,'BSE - Other Index Options'!$B:$B,F$147,'BSE - Other Index Options'!$H:$H,"Weekly*")+SUMIFS('BSE - Other Index Options'!$L:$L,'BSE - Other Index Options'!$C:$C,$A151,'BSE - Other Index Options'!$B:$B,F$147,'BSE - Other Index Options'!$H:$H,"MDAW*")=0,"",SUMIFS('BSE - SENSEX Index Options'!$L:$L,'BSE - SENSEX Index Options'!$C:$C,$A151,'BSE - SENSEX Index Options'!$B:$B,F$147,'BSE - SENSEX Index Options'!$H:$H,"Weekly*")+SUMIFS('BSE - SENSEX Index Options'!$L:$L,'BSE - SENSEX Index Options'!$C:$C,$A151,'BSE - SENSEX Index Options'!$B:$B,F$147,'BSE - SENSEX Index Options'!$H:$H,"MDAW*")+SUMIFS('BSE - Other Index Options'!$L:$L,'BSE - Other Index Options'!$C:$C,$A151,'BSE - Other Index Options'!$B:$B,F$147,'BSE - Other Index Options'!$H:$H,"Weekly*")+SUMIFS('BSE - Other Index Options'!$L:$L,'BSE - Other Index Options'!$C:$C,$A151,'BSE - Other Index Options'!$B:$B,F$147,'BSE - Other Index Options'!$H:$H,"MDAW*"))</f>
        <v>8499.5499999999993</v>
      </c>
      <c r="G151" s="26" t="str">
        <f>IF(SUMIFS('BSE - SENSEX Index Options'!$L:$L,'BSE - SENSEX Index Options'!$C:$C,$A151,'BSE - SENSEX Index Options'!$B:$B,G$147,'BSE - SENSEX Index Options'!$H:$H,"Weekly*")+SUMIFS('BSE - SENSEX Index Options'!$L:$L,'BSE - SENSEX Index Options'!$C:$C,$A151,'BSE - SENSEX Index Options'!$B:$B,G$147,'BSE - SENSEX Index Options'!$H:$H,"MDAW*")+SUMIFS('BSE - Other Index Options'!$L:$L,'BSE - Other Index Options'!$C:$C,$A151,'BSE - Other Index Options'!$B:$B,G$147,'BSE - Other Index Options'!$H:$H,"Weekly*")+SUMIFS('BSE - Other Index Options'!$L:$L,'BSE - Other Index Options'!$C:$C,$A151,'BSE - Other Index Options'!$B:$B,G$147,'BSE - Other Index Options'!$H:$H,"MDAW*")=0,"",SUMIFS('BSE - SENSEX Index Options'!$L:$L,'BSE - SENSEX Index Options'!$C:$C,$A151,'BSE - SENSEX Index Options'!$B:$B,G$147,'BSE - SENSEX Index Options'!$H:$H,"Weekly*")+SUMIFS('BSE - SENSEX Index Options'!$L:$L,'BSE - SENSEX Index Options'!$C:$C,$A151,'BSE - SENSEX Index Options'!$B:$B,G$147,'BSE - SENSEX Index Options'!$H:$H,"MDAW*")+SUMIFS('BSE - Other Index Options'!$L:$L,'BSE - Other Index Options'!$C:$C,$A151,'BSE - Other Index Options'!$B:$B,G$147,'BSE - Other Index Options'!$H:$H,"Weekly*")+SUMIFS('BSE - Other Index Options'!$L:$L,'BSE - Other Index Options'!$C:$C,$A151,'BSE - Other Index Options'!$B:$B,G$147,'BSE - Other Index Options'!$H:$H,"MDAW*"))</f>
        <v/>
      </c>
      <c r="H151" s="26">
        <f t="shared" si="6"/>
        <v>85233.86</v>
      </c>
    </row>
    <row r="152" spans="1:8">
      <c r="A152" t="s">
        <v>14</v>
      </c>
      <c r="B152" s="26">
        <f>IF(SUMIFS('BSE - SENSEX Index Options'!$L:$L,'BSE - SENSEX Index Options'!$C:$C,$A152,'BSE - SENSEX Index Options'!$B:$B,B$147,'BSE - SENSEX Index Options'!$H:$H,"Weekly*")+SUMIFS('BSE - SENSEX Index Options'!$L:$L,'BSE - SENSEX Index Options'!$C:$C,$A152,'BSE - SENSEX Index Options'!$B:$B,B$147,'BSE - SENSEX Index Options'!$H:$H,"MDAW*")+SUMIFS('BSE - Other Index Options'!$L:$L,'BSE - Other Index Options'!$C:$C,$A152,'BSE - Other Index Options'!$B:$B,B$147,'BSE - Other Index Options'!$H:$H,"Weekly*")+SUMIFS('BSE - Other Index Options'!$L:$L,'BSE - Other Index Options'!$C:$C,$A152,'BSE - Other Index Options'!$B:$B,B$147,'BSE - Other Index Options'!$H:$H,"MDAW*")=0,"",SUMIFS('BSE - SENSEX Index Options'!$L:$L,'BSE - SENSEX Index Options'!$C:$C,$A152,'BSE - SENSEX Index Options'!$B:$B,B$147,'BSE - SENSEX Index Options'!$H:$H,"Weekly*")+SUMIFS('BSE - SENSEX Index Options'!$L:$L,'BSE - SENSEX Index Options'!$C:$C,$A152,'BSE - SENSEX Index Options'!$B:$B,B$147,'BSE - SENSEX Index Options'!$H:$H,"MDAW*")+SUMIFS('BSE - Other Index Options'!$L:$L,'BSE - Other Index Options'!$C:$C,$A152,'BSE - Other Index Options'!$B:$B,B$147,'BSE - Other Index Options'!$H:$H,"Weekly*")+SUMIFS('BSE - Other Index Options'!$L:$L,'BSE - Other Index Options'!$C:$C,$A152,'BSE - Other Index Options'!$B:$B,B$147,'BSE - Other Index Options'!$H:$H,"MDAW*"))</f>
        <v>9971.35</v>
      </c>
      <c r="C152" s="26">
        <f>IF(SUMIFS('BSE - SENSEX Index Options'!$L:$L,'BSE - SENSEX Index Options'!$C:$C,$A152,'BSE - SENSEX Index Options'!$B:$B,C$147,'BSE - SENSEX Index Options'!$H:$H,"Weekly*")+SUMIFS('BSE - SENSEX Index Options'!$L:$L,'BSE - SENSEX Index Options'!$C:$C,$A152,'BSE - SENSEX Index Options'!$B:$B,C$147,'BSE - SENSEX Index Options'!$H:$H,"MDAW*")+SUMIFS('BSE - Other Index Options'!$L:$L,'BSE - Other Index Options'!$C:$C,$A152,'BSE - Other Index Options'!$B:$B,C$147,'BSE - Other Index Options'!$H:$H,"Weekly*")+SUMIFS('BSE - Other Index Options'!$L:$L,'BSE - Other Index Options'!$C:$C,$A152,'BSE - Other Index Options'!$B:$B,C$147,'BSE - Other Index Options'!$H:$H,"MDAW*")=0,"",SUMIFS('BSE - SENSEX Index Options'!$L:$L,'BSE - SENSEX Index Options'!$C:$C,$A152,'BSE - SENSEX Index Options'!$B:$B,C$147,'BSE - SENSEX Index Options'!$H:$H,"Weekly*")+SUMIFS('BSE - SENSEX Index Options'!$L:$L,'BSE - SENSEX Index Options'!$C:$C,$A152,'BSE - SENSEX Index Options'!$B:$B,C$147,'BSE - SENSEX Index Options'!$H:$H,"MDAW*")+SUMIFS('BSE - Other Index Options'!$L:$L,'BSE - Other Index Options'!$C:$C,$A152,'BSE - Other Index Options'!$B:$B,C$147,'BSE - Other Index Options'!$H:$H,"Weekly*")+SUMIFS('BSE - Other Index Options'!$L:$L,'BSE - Other Index Options'!$C:$C,$A152,'BSE - Other Index Options'!$B:$B,C$147,'BSE - Other Index Options'!$H:$H,"MDAW*"))</f>
        <v>8563.880000000001</v>
      </c>
      <c r="D152" s="26" t="str">
        <f>IF(SUMIFS('BSE - SENSEX Index Options'!$L:$L,'BSE - SENSEX Index Options'!$C:$C,$A152,'BSE - SENSEX Index Options'!$B:$B,D$147,'BSE - SENSEX Index Options'!$H:$H,"Weekly*")+SUMIFS('BSE - SENSEX Index Options'!$L:$L,'BSE - SENSEX Index Options'!$C:$C,$A152,'BSE - SENSEX Index Options'!$B:$B,D$147,'BSE - SENSEX Index Options'!$H:$H,"MDAW*")+SUMIFS('BSE - Other Index Options'!$L:$L,'BSE - Other Index Options'!$C:$C,$A152,'BSE - Other Index Options'!$B:$B,D$147,'BSE - Other Index Options'!$H:$H,"Weekly*")+SUMIFS('BSE - Other Index Options'!$L:$L,'BSE - Other Index Options'!$C:$C,$A152,'BSE - Other Index Options'!$B:$B,D$147,'BSE - Other Index Options'!$H:$H,"MDAW*")=0,"",SUMIFS('BSE - SENSEX Index Options'!$L:$L,'BSE - SENSEX Index Options'!$C:$C,$A152,'BSE - SENSEX Index Options'!$B:$B,D$147,'BSE - SENSEX Index Options'!$H:$H,"Weekly*")+SUMIFS('BSE - SENSEX Index Options'!$L:$L,'BSE - SENSEX Index Options'!$C:$C,$A152,'BSE - SENSEX Index Options'!$B:$B,D$147,'BSE - SENSEX Index Options'!$H:$H,"MDAW*")+SUMIFS('BSE - Other Index Options'!$L:$L,'BSE - Other Index Options'!$C:$C,$A152,'BSE - Other Index Options'!$B:$B,D$147,'BSE - Other Index Options'!$H:$H,"Weekly*")+SUMIFS('BSE - Other Index Options'!$L:$L,'BSE - Other Index Options'!$C:$C,$A152,'BSE - Other Index Options'!$B:$B,D$147,'BSE - Other Index Options'!$H:$H,"MDAW*"))</f>
        <v/>
      </c>
      <c r="E152" s="26" t="str">
        <f>IF(SUMIFS('BSE - SENSEX Index Options'!$L:$L,'BSE - SENSEX Index Options'!$C:$C,$A152,'BSE - SENSEX Index Options'!$B:$B,E$147,'BSE - SENSEX Index Options'!$H:$H,"Weekly*")+SUMIFS('BSE - SENSEX Index Options'!$L:$L,'BSE - SENSEX Index Options'!$C:$C,$A152,'BSE - SENSEX Index Options'!$B:$B,E$147,'BSE - SENSEX Index Options'!$H:$H,"MDAW*")+SUMIFS('BSE - Other Index Options'!$L:$L,'BSE - Other Index Options'!$C:$C,$A152,'BSE - Other Index Options'!$B:$B,E$147,'BSE - Other Index Options'!$H:$H,"Weekly*")+SUMIFS('BSE - Other Index Options'!$L:$L,'BSE - Other Index Options'!$C:$C,$A152,'BSE - Other Index Options'!$B:$B,E$147,'BSE - Other Index Options'!$H:$H,"MDAW*")=0,"",SUMIFS('BSE - SENSEX Index Options'!$L:$L,'BSE - SENSEX Index Options'!$C:$C,$A152,'BSE - SENSEX Index Options'!$B:$B,E$147,'BSE - SENSEX Index Options'!$H:$H,"Weekly*")+SUMIFS('BSE - SENSEX Index Options'!$L:$L,'BSE - SENSEX Index Options'!$C:$C,$A152,'BSE - SENSEX Index Options'!$B:$B,E$147,'BSE - SENSEX Index Options'!$H:$H,"MDAW*")+SUMIFS('BSE - Other Index Options'!$L:$L,'BSE - Other Index Options'!$C:$C,$A152,'BSE - Other Index Options'!$B:$B,E$147,'BSE - Other Index Options'!$H:$H,"Weekly*")+SUMIFS('BSE - Other Index Options'!$L:$L,'BSE - Other Index Options'!$C:$C,$A152,'BSE - Other Index Options'!$B:$B,E$147,'BSE - Other Index Options'!$H:$H,"MDAW*"))</f>
        <v/>
      </c>
      <c r="F152" s="26" t="str">
        <f>IF(SUMIFS('BSE - SENSEX Index Options'!$L:$L,'BSE - SENSEX Index Options'!$C:$C,$A152,'BSE - SENSEX Index Options'!$B:$B,F$147,'BSE - SENSEX Index Options'!$H:$H,"Weekly*")+SUMIFS('BSE - SENSEX Index Options'!$L:$L,'BSE - SENSEX Index Options'!$C:$C,$A152,'BSE - SENSEX Index Options'!$B:$B,F$147,'BSE - SENSEX Index Options'!$H:$H,"MDAW*")+SUMIFS('BSE - Other Index Options'!$L:$L,'BSE - Other Index Options'!$C:$C,$A152,'BSE - Other Index Options'!$B:$B,F$147,'BSE - Other Index Options'!$H:$H,"Weekly*")+SUMIFS('BSE - Other Index Options'!$L:$L,'BSE - Other Index Options'!$C:$C,$A152,'BSE - Other Index Options'!$B:$B,F$147,'BSE - Other Index Options'!$H:$H,"MDAW*")=0,"",SUMIFS('BSE - SENSEX Index Options'!$L:$L,'BSE - SENSEX Index Options'!$C:$C,$A152,'BSE - SENSEX Index Options'!$B:$B,F$147,'BSE - SENSEX Index Options'!$H:$H,"Weekly*")+SUMIFS('BSE - SENSEX Index Options'!$L:$L,'BSE - SENSEX Index Options'!$C:$C,$A152,'BSE - SENSEX Index Options'!$B:$B,F$147,'BSE - SENSEX Index Options'!$H:$H,"MDAW*")+SUMIFS('BSE - Other Index Options'!$L:$L,'BSE - Other Index Options'!$C:$C,$A152,'BSE - Other Index Options'!$B:$B,F$147,'BSE - Other Index Options'!$H:$H,"Weekly*")+SUMIFS('BSE - Other Index Options'!$L:$L,'BSE - Other Index Options'!$C:$C,$A152,'BSE - Other Index Options'!$B:$B,F$147,'BSE - Other Index Options'!$H:$H,"MDAW*"))</f>
        <v/>
      </c>
      <c r="G152" s="26" t="str">
        <f>IF(SUMIFS('BSE - SENSEX Index Options'!$L:$L,'BSE - SENSEX Index Options'!$C:$C,$A152,'BSE - SENSEX Index Options'!$B:$B,G$147,'BSE - SENSEX Index Options'!$H:$H,"Weekly*")+SUMIFS('BSE - SENSEX Index Options'!$L:$L,'BSE - SENSEX Index Options'!$C:$C,$A152,'BSE - SENSEX Index Options'!$B:$B,G$147,'BSE - SENSEX Index Options'!$H:$H,"MDAW*")+SUMIFS('BSE - Other Index Options'!$L:$L,'BSE - Other Index Options'!$C:$C,$A152,'BSE - Other Index Options'!$B:$B,G$147,'BSE - Other Index Options'!$H:$H,"Weekly*")+SUMIFS('BSE - Other Index Options'!$L:$L,'BSE - Other Index Options'!$C:$C,$A152,'BSE - Other Index Options'!$B:$B,G$147,'BSE - Other Index Options'!$H:$H,"MDAW*")=0,"",SUMIFS('BSE - SENSEX Index Options'!$L:$L,'BSE - SENSEX Index Options'!$C:$C,$A152,'BSE - SENSEX Index Options'!$B:$B,G$147,'BSE - SENSEX Index Options'!$H:$H,"Weekly*")+SUMIFS('BSE - SENSEX Index Options'!$L:$L,'BSE - SENSEX Index Options'!$C:$C,$A152,'BSE - SENSEX Index Options'!$B:$B,G$147,'BSE - SENSEX Index Options'!$H:$H,"MDAW*")+SUMIFS('BSE - Other Index Options'!$L:$L,'BSE - Other Index Options'!$C:$C,$A152,'BSE - Other Index Options'!$B:$B,G$147,'BSE - Other Index Options'!$H:$H,"Weekly*")+SUMIFS('BSE - Other Index Options'!$L:$L,'BSE - Other Index Options'!$C:$C,$A152,'BSE - Other Index Options'!$B:$B,G$147,'BSE - Other Index Options'!$H:$H,"MDAW*"))</f>
        <v/>
      </c>
      <c r="H152" s="26">
        <f t="shared" si="6"/>
        <v>18535.230000000003</v>
      </c>
    </row>
    <row r="153" spans="1:8">
      <c r="A153" t="s">
        <v>15</v>
      </c>
      <c r="B153" s="26">
        <f>IF(SUMIFS('BSE - SENSEX Index Options'!$L:$L,'BSE - SENSEX Index Options'!$C:$C,$A153,'BSE - SENSEX Index Options'!$B:$B,B$147,'BSE - SENSEX Index Options'!$H:$H,"Weekly*")+SUMIFS('BSE - SENSEX Index Options'!$L:$L,'BSE - SENSEX Index Options'!$C:$C,$A153,'BSE - SENSEX Index Options'!$B:$B,B$147,'BSE - SENSEX Index Options'!$H:$H,"MDAW*")+SUMIFS('BSE - Other Index Options'!$L:$L,'BSE - Other Index Options'!$C:$C,$A153,'BSE - Other Index Options'!$B:$B,B$147,'BSE - Other Index Options'!$H:$H,"Weekly*")+SUMIFS('BSE - Other Index Options'!$L:$L,'BSE - Other Index Options'!$C:$C,$A153,'BSE - Other Index Options'!$B:$B,B$147,'BSE - Other Index Options'!$H:$H,"MDAW*")=0,"",SUMIFS('BSE - SENSEX Index Options'!$L:$L,'BSE - SENSEX Index Options'!$C:$C,$A153,'BSE - SENSEX Index Options'!$B:$B,B$147,'BSE - SENSEX Index Options'!$H:$H,"Weekly*")+SUMIFS('BSE - SENSEX Index Options'!$L:$L,'BSE - SENSEX Index Options'!$C:$C,$A153,'BSE - SENSEX Index Options'!$B:$B,B$147,'BSE - SENSEX Index Options'!$H:$H,"MDAW*")+SUMIFS('BSE - Other Index Options'!$L:$L,'BSE - Other Index Options'!$C:$C,$A153,'BSE - Other Index Options'!$B:$B,B$147,'BSE - Other Index Options'!$H:$H,"Weekly*")+SUMIFS('BSE - Other Index Options'!$L:$L,'BSE - Other Index Options'!$C:$C,$A153,'BSE - Other Index Options'!$B:$B,B$147,'BSE - Other Index Options'!$H:$H,"MDAW*"))</f>
        <v>8745.48</v>
      </c>
      <c r="C153" s="26">
        <f>IF(SUMIFS('BSE - SENSEX Index Options'!$L:$L,'BSE - SENSEX Index Options'!$C:$C,$A153,'BSE - SENSEX Index Options'!$B:$B,C$147,'BSE - SENSEX Index Options'!$H:$H,"Weekly*")+SUMIFS('BSE - SENSEX Index Options'!$L:$L,'BSE - SENSEX Index Options'!$C:$C,$A153,'BSE - SENSEX Index Options'!$B:$B,C$147,'BSE - SENSEX Index Options'!$H:$H,"MDAW*")+SUMIFS('BSE - Other Index Options'!$L:$L,'BSE - Other Index Options'!$C:$C,$A153,'BSE - Other Index Options'!$B:$B,C$147,'BSE - Other Index Options'!$H:$H,"Weekly*")+SUMIFS('BSE - Other Index Options'!$L:$L,'BSE - Other Index Options'!$C:$C,$A153,'BSE - Other Index Options'!$B:$B,C$147,'BSE - Other Index Options'!$H:$H,"MDAW*")=0,"",SUMIFS('BSE - SENSEX Index Options'!$L:$L,'BSE - SENSEX Index Options'!$C:$C,$A153,'BSE - SENSEX Index Options'!$B:$B,C$147,'BSE - SENSEX Index Options'!$H:$H,"Weekly*")+SUMIFS('BSE - SENSEX Index Options'!$L:$L,'BSE - SENSEX Index Options'!$C:$C,$A153,'BSE - SENSEX Index Options'!$B:$B,C$147,'BSE - SENSEX Index Options'!$H:$H,"MDAW*")+SUMIFS('BSE - Other Index Options'!$L:$L,'BSE - Other Index Options'!$C:$C,$A153,'BSE - Other Index Options'!$B:$B,C$147,'BSE - Other Index Options'!$H:$H,"Weekly*")+SUMIFS('BSE - Other Index Options'!$L:$L,'BSE - Other Index Options'!$C:$C,$A153,'BSE - Other Index Options'!$B:$B,C$147,'BSE - Other Index Options'!$H:$H,"MDAW*"))</f>
        <v>10593.119999999999</v>
      </c>
      <c r="D153" s="26">
        <f>IF(SUMIFS('BSE - SENSEX Index Options'!$L:$L,'BSE - SENSEX Index Options'!$C:$C,$A153,'BSE - SENSEX Index Options'!$B:$B,D$147,'BSE - SENSEX Index Options'!$H:$H,"Weekly*")+SUMIFS('BSE - SENSEX Index Options'!$L:$L,'BSE - SENSEX Index Options'!$C:$C,$A153,'BSE - SENSEX Index Options'!$B:$B,D$147,'BSE - SENSEX Index Options'!$H:$H,"MDAW*")+SUMIFS('BSE - Other Index Options'!$L:$L,'BSE - Other Index Options'!$C:$C,$A153,'BSE - Other Index Options'!$B:$B,D$147,'BSE - Other Index Options'!$H:$H,"Weekly*")+SUMIFS('BSE - Other Index Options'!$L:$L,'BSE - Other Index Options'!$C:$C,$A153,'BSE - Other Index Options'!$B:$B,D$147,'BSE - Other Index Options'!$H:$H,"MDAW*")=0,"",SUMIFS('BSE - SENSEX Index Options'!$L:$L,'BSE - SENSEX Index Options'!$C:$C,$A153,'BSE - SENSEX Index Options'!$B:$B,D$147,'BSE - SENSEX Index Options'!$H:$H,"Weekly*")+SUMIFS('BSE - SENSEX Index Options'!$L:$L,'BSE - SENSEX Index Options'!$C:$C,$A153,'BSE - SENSEX Index Options'!$B:$B,D$147,'BSE - SENSEX Index Options'!$H:$H,"MDAW*")+SUMIFS('BSE - Other Index Options'!$L:$L,'BSE - Other Index Options'!$C:$C,$A153,'BSE - Other Index Options'!$B:$B,D$147,'BSE - Other Index Options'!$H:$H,"Weekly*")+SUMIFS('BSE - Other Index Options'!$L:$L,'BSE - Other Index Options'!$C:$C,$A153,'BSE - Other Index Options'!$B:$B,D$147,'BSE - Other Index Options'!$H:$H,"MDAW*"))</f>
        <v>41921.979999999996</v>
      </c>
      <c r="E153" s="26" t="str">
        <f>IF(SUMIFS('BSE - SENSEX Index Options'!$L:$L,'BSE - SENSEX Index Options'!$C:$C,$A153,'BSE - SENSEX Index Options'!$B:$B,E$147,'BSE - SENSEX Index Options'!$H:$H,"Weekly*")+SUMIFS('BSE - SENSEX Index Options'!$L:$L,'BSE - SENSEX Index Options'!$C:$C,$A153,'BSE - SENSEX Index Options'!$B:$B,E$147,'BSE - SENSEX Index Options'!$H:$H,"MDAW*")+SUMIFS('BSE - Other Index Options'!$L:$L,'BSE - Other Index Options'!$C:$C,$A153,'BSE - Other Index Options'!$B:$B,E$147,'BSE - Other Index Options'!$H:$H,"Weekly*")+SUMIFS('BSE - Other Index Options'!$L:$L,'BSE - Other Index Options'!$C:$C,$A153,'BSE - Other Index Options'!$B:$B,E$147,'BSE - Other Index Options'!$H:$H,"MDAW*")=0,"",SUMIFS('BSE - SENSEX Index Options'!$L:$L,'BSE - SENSEX Index Options'!$C:$C,$A153,'BSE - SENSEX Index Options'!$B:$B,E$147,'BSE - SENSEX Index Options'!$H:$H,"Weekly*")+SUMIFS('BSE - SENSEX Index Options'!$L:$L,'BSE - SENSEX Index Options'!$C:$C,$A153,'BSE - SENSEX Index Options'!$B:$B,E$147,'BSE - SENSEX Index Options'!$H:$H,"MDAW*")+SUMIFS('BSE - Other Index Options'!$L:$L,'BSE - Other Index Options'!$C:$C,$A153,'BSE - Other Index Options'!$B:$B,E$147,'BSE - Other Index Options'!$H:$H,"Weekly*")+SUMIFS('BSE - Other Index Options'!$L:$L,'BSE - Other Index Options'!$C:$C,$A153,'BSE - Other Index Options'!$B:$B,E$147,'BSE - Other Index Options'!$H:$H,"MDAW*"))</f>
        <v/>
      </c>
      <c r="F153" s="26">
        <f>IF(SUMIFS('BSE - SENSEX Index Options'!$L:$L,'BSE - SENSEX Index Options'!$C:$C,$A153,'BSE - SENSEX Index Options'!$B:$B,F$147,'BSE - SENSEX Index Options'!$H:$H,"Weekly*")+SUMIFS('BSE - SENSEX Index Options'!$L:$L,'BSE - SENSEX Index Options'!$C:$C,$A153,'BSE - SENSEX Index Options'!$B:$B,F$147,'BSE - SENSEX Index Options'!$H:$H,"MDAW*")+SUMIFS('BSE - Other Index Options'!$L:$L,'BSE - Other Index Options'!$C:$C,$A153,'BSE - Other Index Options'!$B:$B,F$147,'BSE - Other Index Options'!$H:$H,"Weekly*")+SUMIFS('BSE - Other Index Options'!$L:$L,'BSE - Other Index Options'!$C:$C,$A153,'BSE - Other Index Options'!$B:$B,F$147,'BSE - Other Index Options'!$H:$H,"MDAW*")=0,"",SUMIFS('BSE - SENSEX Index Options'!$L:$L,'BSE - SENSEX Index Options'!$C:$C,$A153,'BSE - SENSEX Index Options'!$B:$B,F$147,'BSE - SENSEX Index Options'!$H:$H,"Weekly*")+SUMIFS('BSE - SENSEX Index Options'!$L:$L,'BSE - SENSEX Index Options'!$C:$C,$A153,'BSE - SENSEX Index Options'!$B:$B,F$147,'BSE - SENSEX Index Options'!$H:$H,"MDAW*")+SUMIFS('BSE - Other Index Options'!$L:$L,'BSE - Other Index Options'!$C:$C,$A153,'BSE - Other Index Options'!$B:$B,F$147,'BSE - Other Index Options'!$H:$H,"Weekly*")+SUMIFS('BSE - Other Index Options'!$L:$L,'BSE - Other Index Options'!$C:$C,$A153,'BSE - Other Index Options'!$B:$B,F$147,'BSE - Other Index Options'!$H:$H,"MDAW*"))</f>
        <v>8525.1200000000026</v>
      </c>
      <c r="G153" s="26" t="str">
        <f>IF(SUMIFS('BSE - SENSEX Index Options'!$L:$L,'BSE - SENSEX Index Options'!$C:$C,$A153,'BSE - SENSEX Index Options'!$B:$B,G$147,'BSE - SENSEX Index Options'!$H:$H,"Weekly*")+SUMIFS('BSE - SENSEX Index Options'!$L:$L,'BSE - SENSEX Index Options'!$C:$C,$A153,'BSE - SENSEX Index Options'!$B:$B,G$147,'BSE - SENSEX Index Options'!$H:$H,"MDAW*")+SUMIFS('BSE - Other Index Options'!$L:$L,'BSE - Other Index Options'!$C:$C,$A153,'BSE - Other Index Options'!$B:$B,G$147,'BSE - Other Index Options'!$H:$H,"Weekly*")+SUMIFS('BSE - Other Index Options'!$L:$L,'BSE - Other Index Options'!$C:$C,$A153,'BSE - Other Index Options'!$B:$B,G$147,'BSE - Other Index Options'!$H:$H,"MDAW*")=0,"",SUMIFS('BSE - SENSEX Index Options'!$L:$L,'BSE - SENSEX Index Options'!$C:$C,$A153,'BSE - SENSEX Index Options'!$B:$B,G$147,'BSE - SENSEX Index Options'!$H:$H,"Weekly*")+SUMIFS('BSE - SENSEX Index Options'!$L:$L,'BSE - SENSEX Index Options'!$C:$C,$A153,'BSE - SENSEX Index Options'!$B:$B,G$147,'BSE - SENSEX Index Options'!$H:$H,"MDAW*")+SUMIFS('BSE - Other Index Options'!$L:$L,'BSE - Other Index Options'!$C:$C,$A153,'BSE - Other Index Options'!$B:$B,G$147,'BSE - Other Index Options'!$H:$H,"Weekly*")+SUMIFS('BSE - Other Index Options'!$L:$L,'BSE - Other Index Options'!$C:$C,$A153,'BSE - Other Index Options'!$B:$B,G$147,'BSE - Other Index Options'!$H:$H,"MDAW*"))</f>
        <v/>
      </c>
      <c r="H153" s="26">
        <f t="shared" si="6"/>
        <v>69785.7</v>
      </c>
    </row>
    <row r="154" spans="1:8">
      <c r="A154" t="s">
        <v>16</v>
      </c>
      <c r="B154" s="26">
        <f>IF(SUMIFS('BSE - SENSEX Index Options'!$L:$L,'BSE - SENSEX Index Options'!$C:$C,$A154,'BSE - SENSEX Index Options'!$B:$B,B$147,'BSE - SENSEX Index Options'!$H:$H,"Weekly*")+SUMIFS('BSE - SENSEX Index Options'!$L:$L,'BSE - SENSEX Index Options'!$C:$C,$A154,'BSE - SENSEX Index Options'!$B:$B,B$147,'BSE - SENSEX Index Options'!$H:$H,"MDAW*")+SUMIFS('BSE - Other Index Options'!$L:$L,'BSE - Other Index Options'!$C:$C,$A154,'BSE - Other Index Options'!$B:$B,B$147,'BSE - Other Index Options'!$H:$H,"Weekly*")+SUMIFS('BSE - Other Index Options'!$L:$L,'BSE - Other Index Options'!$C:$C,$A154,'BSE - Other Index Options'!$B:$B,B$147,'BSE - Other Index Options'!$H:$H,"MDAW*")=0,"",SUMIFS('BSE - SENSEX Index Options'!$L:$L,'BSE - SENSEX Index Options'!$C:$C,$A154,'BSE - SENSEX Index Options'!$B:$B,B$147,'BSE - SENSEX Index Options'!$H:$H,"Weekly*")+SUMIFS('BSE - SENSEX Index Options'!$L:$L,'BSE - SENSEX Index Options'!$C:$C,$A154,'BSE - SENSEX Index Options'!$B:$B,B$147,'BSE - SENSEX Index Options'!$H:$H,"MDAW*")+SUMIFS('BSE - Other Index Options'!$L:$L,'BSE - Other Index Options'!$C:$C,$A154,'BSE - Other Index Options'!$B:$B,B$147,'BSE - Other Index Options'!$H:$H,"Weekly*")+SUMIFS('BSE - Other Index Options'!$L:$L,'BSE - Other Index Options'!$C:$C,$A154,'BSE - Other Index Options'!$B:$B,B$147,'BSE - Other Index Options'!$H:$H,"MDAW*"))</f>
        <v>10279.040000000001</v>
      </c>
      <c r="C154" s="26">
        <f>IF(SUMIFS('BSE - SENSEX Index Options'!$L:$L,'BSE - SENSEX Index Options'!$C:$C,$A154,'BSE - SENSEX Index Options'!$B:$B,C$147,'BSE - SENSEX Index Options'!$H:$H,"Weekly*")+SUMIFS('BSE - SENSEX Index Options'!$L:$L,'BSE - SENSEX Index Options'!$C:$C,$A154,'BSE - SENSEX Index Options'!$B:$B,C$147,'BSE - SENSEX Index Options'!$H:$H,"MDAW*")+SUMIFS('BSE - Other Index Options'!$L:$L,'BSE - Other Index Options'!$C:$C,$A154,'BSE - Other Index Options'!$B:$B,C$147,'BSE - Other Index Options'!$H:$H,"Weekly*")+SUMIFS('BSE - Other Index Options'!$L:$L,'BSE - Other Index Options'!$C:$C,$A154,'BSE - Other Index Options'!$B:$B,C$147,'BSE - Other Index Options'!$H:$H,"MDAW*")=0,"",SUMIFS('BSE - SENSEX Index Options'!$L:$L,'BSE - SENSEX Index Options'!$C:$C,$A154,'BSE - SENSEX Index Options'!$B:$B,C$147,'BSE - SENSEX Index Options'!$H:$H,"Weekly*")+SUMIFS('BSE - SENSEX Index Options'!$L:$L,'BSE - SENSEX Index Options'!$C:$C,$A154,'BSE - SENSEX Index Options'!$B:$B,C$147,'BSE - SENSEX Index Options'!$H:$H,"MDAW*")+SUMIFS('BSE - Other Index Options'!$L:$L,'BSE - Other Index Options'!$C:$C,$A154,'BSE - Other Index Options'!$B:$B,C$147,'BSE - Other Index Options'!$H:$H,"Weekly*")+SUMIFS('BSE - Other Index Options'!$L:$L,'BSE - Other Index Options'!$C:$C,$A154,'BSE - Other Index Options'!$B:$B,C$147,'BSE - Other Index Options'!$H:$H,"MDAW*"))</f>
        <v>11872.62</v>
      </c>
      <c r="D154" s="26">
        <f>IF(SUMIFS('BSE - SENSEX Index Options'!$L:$L,'BSE - SENSEX Index Options'!$C:$C,$A154,'BSE - SENSEX Index Options'!$B:$B,D$147,'BSE - SENSEX Index Options'!$H:$H,"Weekly*")+SUMIFS('BSE - SENSEX Index Options'!$L:$L,'BSE - SENSEX Index Options'!$C:$C,$A154,'BSE - SENSEX Index Options'!$B:$B,D$147,'BSE - SENSEX Index Options'!$H:$H,"MDAW*")+SUMIFS('BSE - Other Index Options'!$L:$L,'BSE - Other Index Options'!$C:$C,$A154,'BSE - Other Index Options'!$B:$B,D$147,'BSE - Other Index Options'!$H:$H,"Weekly*")+SUMIFS('BSE - Other Index Options'!$L:$L,'BSE - Other Index Options'!$C:$C,$A154,'BSE - Other Index Options'!$B:$B,D$147,'BSE - Other Index Options'!$H:$H,"MDAW*")=0,"",SUMIFS('BSE - SENSEX Index Options'!$L:$L,'BSE - SENSEX Index Options'!$C:$C,$A154,'BSE - SENSEX Index Options'!$B:$B,D$147,'BSE - SENSEX Index Options'!$H:$H,"Weekly*")+SUMIFS('BSE - SENSEX Index Options'!$L:$L,'BSE - SENSEX Index Options'!$C:$C,$A154,'BSE - SENSEX Index Options'!$B:$B,D$147,'BSE - SENSEX Index Options'!$H:$H,"MDAW*")+SUMIFS('BSE - Other Index Options'!$L:$L,'BSE - Other Index Options'!$C:$C,$A154,'BSE - Other Index Options'!$B:$B,D$147,'BSE - Other Index Options'!$H:$H,"Weekly*")+SUMIFS('BSE - Other Index Options'!$L:$L,'BSE - Other Index Options'!$C:$C,$A154,'BSE - Other Index Options'!$B:$B,D$147,'BSE - Other Index Options'!$H:$H,"MDAW*"))</f>
        <v>31976.06</v>
      </c>
      <c r="E154" s="26">
        <f>IF(SUMIFS('BSE - SENSEX Index Options'!$L:$L,'BSE - SENSEX Index Options'!$C:$C,$A154,'BSE - SENSEX Index Options'!$B:$B,E$147,'BSE - SENSEX Index Options'!$H:$H,"Weekly*")+SUMIFS('BSE - SENSEX Index Options'!$L:$L,'BSE - SENSEX Index Options'!$C:$C,$A154,'BSE - SENSEX Index Options'!$B:$B,E$147,'BSE - SENSEX Index Options'!$H:$H,"MDAW*")+SUMIFS('BSE - Other Index Options'!$L:$L,'BSE - Other Index Options'!$C:$C,$A154,'BSE - Other Index Options'!$B:$B,E$147,'BSE - Other Index Options'!$H:$H,"Weekly*")+SUMIFS('BSE - Other Index Options'!$L:$L,'BSE - Other Index Options'!$C:$C,$A154,'BSE - Other Index Options'!$B:$B,E$147,'BSE - Other Index Options'!$H:$H,"MDAW*")=0,"",SUMIFS('BSE - SENSEX Index Options'!$L:$L,'BSE - SENSEX Index Options'!$C:$C,$A154,'BSE - SENSEX Index Options'!$B:$B,E$147,'BSE - SENSEX Index Options'!$H:$H,"Weekly*")+SUMIFS('BSE - SENSEX Index Options'!$L:$L,'BSE - SENSEX Index Options'!$C:$C,$A154,'BSE - SENSEX Index Options'!$B:$B,E$147,'BSE - SENSEX Index Options'!$H:$H,"MDAW*")+SUMIFS('BSE - Other Index Options'!$L:$L,'BSE - Other Index Options'!$C:$C,$A154,'BSE - Other Index Options'!$B:$B,E$147,'BSE - Other Index Options'!$H:$H,"Weekly*")+SUMIFS('BSE - Other Index Options'!$L:$L,'BSE - Other Index Options'!$C:$C,$A154,'BSE - Other Index Options'!$B:$B,E$147,'BSE - Other Index Options'!$H:$H,"MDAW*"))</f>
        <v>44844.34</v>
      </c>
      <c r="F154" s="26">
        <f>IF(SUMIFS('BSE - SENSEX Index Options'!$L:$L,'BSE - SENSEX Index Options'!$C:$C,$A154,'BSE - SENSEX Index Options'!$B:$B,F$147,'BSE - SENSEX Index Options'!$H:$H,"Weekly*")+SUMIFS('BSE - SENSEX Index Options'!$L:$L,'BSE - SENSEX Index Options'!$C:$C,$A154,'BSE - SENSEX Index Options'!$B:$B,F$147,'BSE - SENSEX Index Options'!$H:$H,"MDAW*")+SUMIFS('BSE - Other Index Options'!$L:$L,'BSE - Other Index Options'!$C:$C,$A154,'BSE - Other Index Options'!$B:$B,F$147,'BSE - Other Index Options'!$H:$H,"Weekly*")+SUMIFS('BSE - Other Index Options'!$L:$L,'BSE - Other Index Options'!$C:$C,$A154,'BSE - Other Index Options'!$B:$B,F$147,'BSE - Other Index Options'!$H:$H,"MDAW*")=0,"",SUMIFS('BSE - SENSEX Index Options'!$L:$L,'BSE - SENSEX Index Options'!$C:$C,$A154,'BSE - SENSEX Index Options'!$B:$B,F$147,'BSE - SENSEX Index Options'!$H:$H,"Weekly*")+SUMIFS('BSE - SENSEX Index Options'!$L:$L,'BSE - SENSEX Index Options'!$C:$C,$A154,'BSE - SENSEX Index Options'!$B:$B,F$147,'BSE - SENSEX Index Options'!$H:$H,"MDAW*")+SUMIFS('BSE - Other Index Options'!$L:$L,'BSE - Other Index Options'!$C:$C,$A154,'BSE - Other Index Options'!$B:$B,F$147,'BSE - Other Index Options'!$H:$H,"Weekly*")+SUMIFS('BSE - Other Index Options'!$L:$L,'BSE - Other Index Options'!$C:$C,$A154,'BSE - Other Index Options'!$B:$B,F$147,'BSE - Other Index Options'!$H:$H,"MDAW*"))</f>
        <v>9090.5800000000017</v>
      </c>
      <c r="G154" s="26" t="str">
        <f>IF(SUMIFS('BSE - SENSEX Index Options'!$L:$L,'BSE - SENSEX Index Options'!$C:$C,$A154,'BSE - SENSEX Index Options'!$B:$B,G$147,'BSE - SENSEX Index Options'!$H:$H,"Weekly*")+SUMIFS('BSE - SENSEX Index Options'!$L:$L,'BSE - SENSEX Index Options'!$C:$C,$A154,'BSE - SENSEX Index Options'!$B:$B,G$147,'BSE - SENSEX Index Options'!$H:$H,"MDAW*")+SUMIFS('BSE - Other Index Options'!$L:$L,'BSE - Other Index Options'!$C:$C,$A154,'BSE - Other Index Options'!$B:$B,G$147,'BSE - Other Index Options'!$H:$H,"Weekly*")+SUMIFS('BSE - Other Index Options'!$L:$L,'BSE - Other Index Options'!$C:$C,$A154,'BSE - Other Index Options'!$B:$B,G$147,'BSE - Other Index Options'!$H:$H,"MDAW*")=0,"",SUMIFS('BSE - SENSEX Index Options'!$L:$L,'BSE - SENSEX Index Options'!$C:$C,$A154,'BSE - SENSEX Index Options'!$B:$B,G$147,'BSE - SENSEX Index Options'!$H:$H,"Weekly*")+SUMIFS('BSE - SENSEX Index Options'!$L:$L,'BSE - SENSEX Index Options'!$C:$C,$A154,'BSE - SENSEX Index Options'!$B:$B,G$147,'BSE - SENSEX Index Options'!$H:$H,"MDAW*")+SUMIFS('BSE - Other Index Options'!$L:$L,'BSE - Other Index Options'!$C:$C,$A154,'BSE - Other Index Options'!$B:$B,G$147,'BSE - Other Index Options'!$H:$H,"Weekly*")+SUMIFS('BSE - Other Index Options'!$L:$L,'BSE - Other Index Options'!$C:$C,$A154,'BSE - Other Index Options'!$B:$B,G$147,'BSE - Other Index Options'!$H:$H,"MDAW*"))</f>
        <v/>
      </c>
      <c r="H154" s="26">
        <f t="shared" si="6"/>
        <v>108062.64</v>
      </c>
    </row>
    <row r="155" spans="1:8">
      <c r="A155" t="s">
        <v>17</v>
      </c>
      <c r="B155" s="26">
        <f>IF(SUMIFS('BSE - SENSEX Index Options'!$L:$L,'BSE - SENSEX Index Options'!$C:$C,$A155,'BSE - SENSEX Index Options'!$B:$B,B$147,'BSE - SENSEX Index Options'!$H:$H,"Weekly*")+SUMIFS('BSE - SENSEX Index Options'!$L:$L,'BSE - SENSEX Index Options'!$C:$C,$A155,'BSE - SENSEX Index Options'!$B:$B,B$147,'BSE - SENSEX Index Options'!$H:$H,"MDAW*")+SUMIFS('BSE - Other Index Options'!$L:$L,'BSE - Other Index Options'!$C:$C,$A155,'BSE - Other Index Options'!$B:$B,B$147,'BSE - Other Index Options'!$H:$H,"Weekly*")+SUMIFS('BSE - Other Index Options'!$L:$L,'BSE - Other Index Options'!$C:$C,$A155,'BSE - Other Index Options'!$B:$B,B$147,'BSE - Other Index Options'!$H:$H,"MDAW*")=0,"",SUMIFS('BSE - SENSEX Index Options'!$L:$L,'BSE - SENSEX Index Options'!$C:$C,$A155,'BSE - SENSEX Index Options'!$B:$B,B$147,'BSE - SENSEX Index Options'!$H:$H,"Weekly*")+SUMIFS('BSE - SENSEX Index Options'!$L:$L,'BSE - SENSEX Index Options'!$C:$C,$A155,'BSE - SENSEX Index Options'!$B:$B,B$147,'BSE - SENSEX Index Options'!$H:$H,"MDAW*")+SUMIFS('BSE - Other Index Options'!$L:$L,'BSE - Other Index Options'!$C:$C,$A155,'BSE - Other Index Options'!$B:$B,B$147,'BSE - Other Index Options'!$H:$H,"Weekly*")+SUMIFS('BSE - Other Index Options'!$L:$L,'BSE - Other Index Options'!$C:$C,$A155,'BSE - Other Index Options'!$B:$B,B$147,'BSE - Other Index Options'!$H:$H,"MDAW*"))</f>
        <v>10069.4</v>
      </c>
      <c r="C155" s="26">
        <f>IF(SUMIFS('BSE - SENSEX Index Options'!$L:$L,'BSE - SENSEX Index Options'!$C:$C,$A155,'BSE - SENSEX Index Options'!$B:$B,C$147,'BSE - SENSEX Index Options'!$H:$H,"Weekly*")+SUMIFS('BSE - SENSEX Index Options'!$L:$L,'BSE - SENSEX Index Options'!$C:$C,$A155,'BSE - SENSEX Index Options'!$B:$B,C$147,'BSE - SENSEX Index Options'!$H:$H,"MDAW*")+SUMIFS('BSE - Other Index Options'!$L:$L,'BSE - Other Index Options'!$C:$C,$A155,'BSE - Other Index Options'!$B:$B,C$147,'BSE - Other Index Options'!$H:$H,"Weekly*")+SUMIFS('BSE - Other Index Options'!$L:$L,'BSE - Other Index Options'!$C:$C,$A155,'BSE - Other Index Options'!$B:$B,C$147,'BSE - Other Index Options'!$H:$H,"MDAW*")=0,"",SUMIFS('BSE - SENSEX Index Options'!$L:$L,'BSE - SENSEX Index Options'!$C:$C,$A155,'BSE - SENSEX Index Options'!$B:$B,C$147,'BSE - SENSEX Index Options'!$H:$H,"Weekly*")+SUMIFS('BSE - SENSEX Index Options'!$L:$L,'BSE - SENSEX Index Options'!$C:$C,$A155,'BSE - SENSEX Index Options'!$B:$B,C$147,'BSE - SENSEX Index Options'!$H:$H,"MDAW*")+SUMIFS('BSE - Other Index Options'!$L:$L,'BSE - Other Index Options'!$C:$C,$A155,'BSE - Other Index Options'!$B:$B,C$147,'BSE - Other Index Options'!$H:$H,"Weekly*")+SUMIFS('BSE - Other Index Options'!$L:$L,'BSE - Other Index Options'!$C:$C,$A155,'BSE - Other Index Options'!$B:$B,C$147,'BSE - Other Index Options'!$H:$H,"MDAW*"))</f>
        <v>3225.03</v>
      </c>
      <c r="D155" s="26">
        <f>IF(SUMIFS('BSE - SENSEX Index Options'!$L:$L,'BSE - SENSEX Index Options'!$C:$C,$A155,'BSE - SENSEX Index Options'!$B:$B,D$147,'BSE - SENSEX Index Options'!$H:$H,"Weekly*")+SUMIFS('BSE - SENSEX Index Options'!$L:$L,'BSE - SENSEX Index Options'!$C:$C,$A155,'BSE - SENSEX Index Options'!$B:$B,D$147,'BSE - SENSEX Index Options'!$H:$H,"MDAW*")+SUMIFS('BSE - Other Index Options'!$L:$L,'BSE - Other Index Options'!$C:$C,$A155,'BSE - Other Index Options'!$B:$B,D$147,'BSE - Other Index Options'!$H:$H,"Weekly*")+SUMIFS('BSE - Other Index Options'!$L:$L,'BSE - Other Index Options'!$C:$C,$A155,'BSE - Other Index Options'!$B:$B,D$147,'BSE - Other Index Options'!$H:$H,"MDAW*")=0,"",SUMIFS('BSE - SENSEX Index Options'!$L:$L,'BSE - SENSEX Index Options'!$C:$C,$A155,'BSE - SENSEX Index Options'!$B:$B,D$147,'BSE - SENSEX Index Options'!$H:$H,"Weekly*")+SUMIFS('BSE - SENSEX Index Options'!$L:$L,'BSE - SENSEX Index Options'!$C:$C,$A155,'BSE - SENSEX Index Options'!$B:$B,D$147,'BSE - SENSEX Index Options'!$H:$H,"MDAW*")+SUMIFS('BSE - Other Index Options'!$L:$L,'BSE - Other Index Options'!$C:$C,$A155,'BSE - Other Index Options'!$B:$B,D$147,'BSE - Other Index Options'!$H:$H,"Weekly*")+SUMIFS('BSE - Other Index Options'!$L:$L,'BSE - Other Index Options'!$C:$C,$A155,'BSE - Other Index Options'!$B:$B,D$147,'BSE - Other Index Options'!$H:$H,"MDAW*"))</f>
        <v>24541.370000000003</v>
      </c>
      <c r="E155" s="26">
        <f>IF(SUMIFS('BSE - SENSEX Index Options'!$L:$L,'BSE - SENSEX Index Options'!$C:$C,$A155,'BSE - SENSEX Index Options'!$B:$B,E$147,'BSE - SENSEX Index Options'!$H:$H,"Weekly*")+SUMIFS('BSE - SENSEX Index Options'!$L:$L,'BSE - SENSEX Index Options'!$C:$C,$A155,'BSE - SENSEX Index Options'!$B:$B,E$147,'BSE - SENSEX Index Options'!$H:$H,"MDAW*")+SUMIFS('BSE - Other Index Options'!$L:$L,'BSE - Other Index Options'!$C:$C,$A155,'BSE - Other Index Options'!$B:$B,E$147,'BSE - Other Index Options'!$H:$H,"Weekly*")+SUMIFS('BSE - Other Index Options'!$L:$L,'BSE - Other Index Options'!$C:$C,$A155,'BSE - Other Index Options'!$B:$B,E$147,'BSE - Other Index Options'!$H:$H,"MDAW*")=0,"",SUMIFS('BSE - SENSEX Index Options'!$L:$L,'BSE - SENSEX Index Options'!$C:$C,$A155,'BSE - SENSEX Index Options'!$B:$B,E$147,'BSE - SENSEX Index Options'!$H:$H,"Weekly*")+SUMIFS('BSE - SENSEX Index Options'!$L:$L,'BSE - SENSEX Index Options'!$C:$C,$A155,'BSE - SENSEX Index Options'!$B:$B,E$147,'BSE - SENSEX Index Options'!$H:$H,"MDAW*")+SUMIFS('BSE - Other Index Options'!$L:$L,'BSE - Other Index Options'!$C:$C,$A155,'BSE - Other Index Options'!$B:$B,E$147,'BSE - Other Index Options'!$H:$H,"Weekly*")+SUMIFS('BSE - Other Index Options'!$L:$L,'BSE - Other Index Options'!$C:$C,$A155,'BSE - Other Index Options'!$B:$B,E$147,'BSE - Other Index Options'!$H:$H,"MDAW*"))</f>
        <v>39674.39</v>
      </c>
      <c r="F155" s="26">
        <f>IF(SUMIFS('BSE - SENSEX Index Options'!$L:$L,'BSE - SENSEX Index Options'!$C:$C,$A155,'BSE - SENSEX Index Options'!$B:$B,F$147,'BSE - SENSEX Index Options'!$H:$H,"Weekly*")+SUMIFS('BSE - SENSEX Index Options'!$L:$L,'BSE - SENSEX Index Options'!$C:$C,$A155,'BSE - SENSEX Index Options'!$B:$B,F$147,'BSE - SENSEX Index Options'!$H:$H,"MDAW*")+SUMIFS('BSE - Other Index Options'!$L:$L,'BSE - Other Index Options'!$C:$C,$A155,'BSE - Other Index Options'!$B:$B,F$147,'BSE - Other Index Options'!$H:$H,"Weekly*")+SUMIFS('BSE - Other Index Options'!$L:$L,'BSE - Other Index Options'!$C:$C,$A155,'BSE - Other Index Options'!$B:$B,F$147,'BSE - Other Index Options'!$H:$H,"MDAW*")=0,"",SUMIFS('BSE - SENSEX Index Options'!$L:$L,'BSE - SENSEX Index Options'!$C:$C,$A155,'BSE - SENSEX Index Options'!$B:$B,F$147,'BSE - SENSEX Index Options'!$H:$H,"Weekly*")+SUMIFS('BSE - SENSEX Index Options'!$L:$L,'BSE - SENSEX Index Options'!$C:$C,$A155,'BSE - SENSEX Index Options'!$B:$B,F$147,'BSE - SENSEX Index Options'!$H:$H,"MDAW*")+SUMIFS('BSE - Other Index Options'!$L:$L,'BSE - Other Index Options'!$C:$C,$A155,'BSE - Other Index Options'!$B:$B,F$147,'BSE - Other Index Options'!$H:$H,"Weekly*")+SUMIFS('BSE - Other Index Options'!$L:$L,'BSE - Other Index Options'!$C:$C,$A155,'BSE - Other Index Options'!$B:$B,F$147,'BSE - Other Index Options'!$H:$H,"MDAW*"))</f>
        <v>14116.179999999998</v>
      </c>
      <c r="G155" s="26" t="str">
        <f>IF(SUMIFS('BSE - SENSEX Index Options'!$L:$L,'BSE - SENSEX Index Options'!$C:$C,$A155,'BSE - SENSEX Index Options'!$B:$B,G$147,'BSE - SENSEX Index Options'!$H:$H,"Weekly*")+SUMIFS('BSE - SENSEX Index Options'!$L:$L,'BSE - SENSEX Index Options'!$C:$C,$A155,'BSE - SENSEX Index Options'!$B:$B,G$147,'BSE - SENSEX Index Options'!$H:$H,"MDAW*")+SUMIFS('BSE - Other Index Options'!$L:$L,'BSE - Other Index Options'!$C:$C,$A155,'BSE - Other Index Options'!$B:$B,G$147,'BSE - Other Index Options'!$H:$H,"Weekly*")+SUMIFS('BSE - Other Index Options'!$L:$L,'BSE - Other Index Options'!$C:$C,$A155,'BSE - Other Index Options'!$B:$B,G$147,'BSE - Other Index Options'!$H:$H,"MDAW*")=0,"",SUMIFS('BSE - SENSEX Index Options'!$L:$L,'BSE - SENSEX Index Options'!$C:$C,$A155,'BSE - SENSEX Index Options'!$B:$B,G$147,'BSE - SENSEX Index Options'!$H:$H,"Weekly*")+SUMIFS('BSE - SENSEX Index Options'!$L:$L,'BSE - SENSEX Index Options'!$C:$C,$A155,'BSE - SENSEX Index Options'!$B:$B,G$147,'BSE - SENSEX Index Options'!$H:$H,"MDAW*")+SUMIFS('BSE - Other Index Options'!$L:$L,'BSE - Other Index Options'!$C:$C,$A155,'BSE - Other Index Options'!$B:$B,G$147,'BSE - Other Index Options'!$H:$H,"Weekly*")+SUMIFS('BSE - Other Index Options'!$L:$L,'BSE - Other Index Options'!$C:$C,$A155,'BSE - Other Index Options'!$B:$B,G$147,'BSE - Other Index Options'!$H:$H,"MDAW*"))</f>
        <v/>
      </c>
      <c r="H155" s="26">
        <f t="shared" si="6"/>
        <v>91626.37</v>
      </c>
    </row>
    <row r="156" spans="1:8">
      <c r="A156" t="s">
        <v>18</v>
      </c>
      <c r="B156" s="26">
        <f>IF(SUMIFS('BSE - SENSEX Index Options'!$L:$L,'BSE - SENSEX Index Options'!$C:$C,$A156,'BSE - SENSEX Index Options'!$B:$B,B$147,'BSE - SENSEX Index Options'!$H:$H,"Weekly*")+SUMIFS('BSE - SENSEX Index Options'!$L:$L,'BSE - SENSEX Index Options'!$C:$C,$A156,'BSE - SENSEX Index Options'!$B:$B,B$147,'BSE - SENSEX Index Options'!$H:$H,"MDAW*")+SUMIFS('BSE - Other Index Options'!$L:$L,'BSE - Other Index Options'!$C:$C,$A156,'BSE - Other Index Options'!$B:$B,B$147,'BSE - Other Index Options'!$H:$H,"Weekly*")+SUMIFS('BSE - Other Index Options'!$L:$L,'BSE - Other Index Options'!$C:$C,$A156,'BSE - Other Index Options'!$B:$B,B$147,'BSE - Other Index Options'!$H:$H,"MDAW*")=0,"",SUMIFS('BSE - SENSEX Index Options'!$L:$L,'BSE - SENSEX Index Options'!$C:$C,$A156,'BSE - SENSEX Index Options'!$B:$B,B$147,'BSE - SENSEX Index Options'!$H:$H,"Weekly*")+SUMIFS('BSE - SENSEX Index Options'!$L:$L,'BSE - SENSEX Index Options'!$C:$C,$A156,'BSE - SENSEX Index Options'!$B:$B,B$147,'BSE - SENSEX Index Options'!$H:$H,"MDAW*")+SUMIFS('BSE - Other Index Options'!$L:$L,'BSE - Other Index Options'!$C:$C,$A156,'BSE - Other Index Options'!$B:$B,B$147,'BSE - Other Index Options'!$H:$H,"Weekly*")+SUMIFS('BSE - Other Index Options'!$L:$L,'BSE - Other Index Options'!$C:$C,$A156,'BSE - Other Index Options'!$B:$B,B$147,'BSE - Other Index Options'!$H:$H,"MDAW*"))</f>
        <v>9687.99</v>
      </c>
      <c r="C156" s="26">
        <f>IF(SUMIFS('BSE - SENSEX Index Options'!$L:$L,'BSE - SENSEX Index Options'!$C:$C,$A156,'BSE - SENSEX Index Options'!$B:$B,C$147,'BSE - SENSEX Index Options'!$H:$H,"Weekly*")+SUMIFS('BSE - SENSEX Index Options'!$L:$L,'BSE - SENSEX Index Options'!$C:$C,$A156,'BSE - SENSEX Index Options'!$B:$B,C$147,'BSE - SENSEX Index Options'!$H:$H,"MDAW*")+SUMIFS('BSE - Other Index Options'!$L:$L,'BSE - Other Index Options'!$C:$C,$A156,'BSE - Other Index Options'!$B:$B,C$147,'BSE - Other Index Options'!$H:$H,"Weekly*")+SUMIFS('BSE - Other Index Options'!$L:$L,'BSE - Other Index Options'!$C:$C,$A156,'BSE - Other Index Options'!$B:$B,C$147,'BSE - Other Index Options'!$H:$H,"MDAW*")=0,"",SUMIFS('BSE - SENSEX Index Options'!$L:$L,'BSE - SENSEX Index Options'!$C:$C,$A156,'BSE - SENSEX Index Options'!$B:$B,C$147,'BSE - SENSEX Index Options'!$H:$H,"Weekly*")+SUMIFS('BSE - SENSEX Index Options'!$L:$L,'BSE - SENSEX Index Options'!$C:$C,$A156,'BSE - SENSEX Index Options'!$B:$B,C$147,'BSE - SENSEX Index Options'!$H:$H,"MDAW*")+SUMIFS('BSE - Other Index Options'!$L:$L,'BSE - Other Index Options'!$C:$C,$A156,'BSE - Other Index Options'!$B:$B,C$147,'BSE - Other Index Options'!$H:$H,"Weekly*")+SUMIFS('BSE - Other Index Options'!$L:$L,'BSE - Other Index Options'!$C:$C,$A156,'BSE - Other Index Options'!$B:$B,C$147,'BSE - Other Index Options'!$H:$H,"MDAW*"))</f>
        <v>10791.24</v>
      </c>
      <c r="D156" s="26" t="str">
        <f>IF(SUMIFS('BSE - SENSEX Index Options'!$L:$L,'BSE - SENSEX Index Options'!$C:$C,$A156,'BSE - SENSEX Index Options'!$B:$B,D$147,'BSE - SENSEX Index Options'!$H:$H,"Weekly*")+SUMIFS('BSE - SENSEX Index Options'!$L:$L,'BSE - SENSEX Index Options'!$C:$C,$A156,'BSE - SENSEX Index Options'!$B:$B,D$147,'BSE - SENSEX Index Options'!$H:$H,"MDAW*")+SUMIFS('BSE - Other Index Options'!$L:$L,'BSE - Other Index Options'!$C:$C,$A156,'BSE - Other Index Options'!$B:$B,D$147,'BSE - Other Index Options'!$H:$H,"Weekly*")+SUMIFS('BSE - Other Index Options'!$L:$L,'BSE - Other Index Options'!$C:$C,$A156,'BSE - Other Index Options'!$B:$B,D$147,'BSE - Other Index Options'!$H:$H,"MDAW*")=0,"",SUMIFS('BSE - SENSEX Index Options'!$L:$L,'BSE - SENSEX Index Options'!$C:$C,$A156,'BSE - SENSEX Index Options'!$B:$B,D$147,'BSE - SENSEX Index Options'!$H:$H,"Weekly*")+SUMIFS('BSE - SENSEX Index Options'!$L:$L,'BSE - SENSEX Index Options'!$C:$C,$A156,'BSE - SENSEX Index Options'!$B:$B,D$147,'BSE - SENSEX Index Options'!$H:$H,"MDAW*")+SUMIFS('BSE - Other Index Options'!$L:$L,'BSE - Other Index Options'!$C:$C,$A156,'BSE - Other Index Options'!$B:$B,D$147,'BSE - Other Index Options'!$H:$H,"Weekly*")+SUMIFS('BSE - Other Index Options'!$L:$L,'BSE - Other Index Options'!$C:$C,$A156,'BSE - Other Index Options'!$B:$B,D$147,'BSE - Other Index Options'!$H:$H,"MDAW*"))</f>
        <v/>
      </c>
      <c r="E156" s="26">
        <f>IF(SUMIFS('BSE - SENSEX Index Options'!$L:$L,'BSE - SENSEX Index Options'!$C:$C,$A156,'BSE - SENSEX Index Options'!$B:$B,E$147,'BSE - SENSEX Index Options'!$H:$H,"Weekly*")+SUMIFS('BSE - SENSEX Index Options'!$L:$L,'BSE - SENSEX Index Options'!$C:$C,$A156,'BSE - SENSEX Index Options'!$B:$B,E$147,'BSE - SENSEX Index Options'!$H:$H,"MDAW*")+SUMIFS('BSE - Other Index Options'!$L:$L,'BSE - Other Index Options'!$C:$C,$A156,'BSE - Other Index Options'!$B:$B,E$147,'BSE - Other Index Options'!$H:$H,"Weekly*")+SUMIFS('BSE - Other Index Options'!$L:$L,'BSE - Other Index Options'!$C:$C,$A156,'BSE - Other Index Options'!$B:$B,E$147,'BSE - Other Index Options'!$H:$H,"MDAW*")=0,"",SUMIFS('BSE - SENSEX Index Options'!$L:$L,'BSE - SENSEX Index Options'!$C:$C,$A156,'BSE - SENSEX Index Options'!$B:$B,E$147,'BSE - SENSEX Index Options'!$H:$H,"Weekly*")+SUMIFS('BSE - SENSEX Index Options'!$L:$L,'BSE - SENSEX Index Options'!$C:$C,$A156,'BSE - SENSEX Index Options'!$B:$B,E$147,'BSE - SENSEX Index Options'!$H:$H,"MDAW*")+SUMIFS('BSE - Other Index Options'!$L:$L,'BSE - Other Index Options'!$C:$C,$A156,'BSE - Other Index Options'!$B:$B,E$147,'BSE - Other Index Options'!$H:$H,"Weekly*")+SUMIFS('BSE - Other Index Options'!$L:$L,'BSE - Other Index Options'!$C:$C,$A156,'BSE - Other Index Options'!$B:$B,E$147,'BSE - Other Index Options'!$H:$H,"MDAW*"))</f>
        <v>46122.380000000005</v>
      </c>
      <c r="F156" s="26">
        <f>IF(SUMIFS('BSE - SENSEX Index Options'!$L:$L,'BSE - SENSEX Index Options'!$C:$C,$A156,'BSE - SENSEX Index Options'!$B:$B,F$147,'BSE - SENSEX Index Options'!$H:$H,"Weekly*")+SUMIFS('BSE - SENSEX Index Options'!$L:$L,'BSE - SENSEX Index Options'!$C:$C,$A156,'BSE - SENSEX Index Options'!$B:$B,F$147,'BSE - SENSEX Index Options'!$H:$H,"MDAW*")+SUMIFS('BSE - Other Index Options'!$L:$L,'BSE - Other Index Options'!$C:$C,$A156,'BSE - Other Index Options'!$B:$B,F$147,'BSE - Other Index Options'!$H:$H,"Weekly*")+SUMIFS('BSE - Other Index Options'!$L:$L,'BSE - Other Index Options'!$C:$C,$A156,'BSE - Other Index Options'!$B:$B,F$147,'BSE - Other Index Options'!$H:$H,"MDAW*")=0,"",SUMIFS('BSE - SENSEX Index Options'!$L:$L,'BSE - SENSEX Index Options'!$C:$C,$A156,'BSE - SENSEX Index Options'!$B:$B,F$147,'BSE - SENSEX Index Options'!$H:$H,"Weekly*")+SUMIFS('BSE - SENSEX Index Options'!$L:$L,'BSE - SENSEX Index Options'!$C:$C,$A156,'BSE - SENSEX Index Options'!$B:$B,F$147,'BSE - SENSEX Index Options'!$H:$H,"MDAW*")+SUMIFS('BSE - Other Index Options'!$L:$L,'BSE - Other Index Options'!$C:$C,$A156,'BSE - Other Index Options'!$B:$B,F$147,'BSE - Other Index Options'!$H:$H,"Weekly*")+SUMIFS('BSE - Other Index Options'!$L:$L,'BSE - Other Index Options'!$C:$C,$A156,'BSE - Other Index Options'!$B:$B,F$147,'BSE - Other Index Options'!$H:$H,"MDAW*"))</f>
        <v>10564.92</v>
      </c>
      <c r="G156" s="26" t="str">
        <f>IF(SUMIFS('BSE - SENSEX Index Options'!$L:$L,'BSE - SENSEX Index Options'!$C:$C,$A156,'BSE - SENSEX Index Options'!$B:$B,G$147,'BSE - SENSEX Index Options'!$H:$H,"Weekly*")+SUMIFS('BSE - SENSEX Index Options'!$L:$L,'BSE - SENSEX Index Options'!$C:$C,$A156,'BSE - SENSEX Index Options'!$B:$B,G$147,'BSE - SENSEX Index Options'!$H:$H,"MDAW*")+SUMIFS('BSE - Other Index Options'!$L:$L,'BSE - Other Index Options'!$C:$C,$A156,'BSE - Other Index Options'!$B:$B,G$147,'BSE - Other Index Options'!$H:$H,"Weekly*")+SUMIFS('BSE - Other Index Options'!$L:$L,'BSE - Other Index Options'!$C:$C,$A156,'BSE - Other Index Options'!$B:$B,G$147,'BSE - Other Index Options'!$H:$H,"MDAW*")=0,"",SUMIFS('BSE - SENSEX Index Options'!$L:$L,'BSE - SENSEX Index Options'!$C:$C,$A156,'BSE - SENSEX Index Options'!$B:$B,G$147,'BSE - SENSEX Index Options'!$H:$H,"Weekly*")+SUMIFS('BSE - SENSEX Index Options'!$L:$L,'BSE - SENSEX Index Options'!$C:$C,$A156,'BSE - SENSEX Index Options'!$B:$B,G$147,'BSE - SENSEX Index Options'!$H:$H,"MDAW*")+SUMIFS('BSE - Other Index Options'!$L:$L,'BSE - Other Index Options'!$C:$C,$A156,'BSE - Other Index Options'!$B:$B,G$147,'BSE - Other Index Options'!$H:$H,"Weekly*")+SUMIFS('BSE - Other Index Options'!$L:$L,'BSE - Other Index Options'!$C:$C,$A156,'BSE - Other Index Options'!$B:$B,G$147,'BSE - Other Index Options'!$H:$H,"MDAW*"))</f>
        <v/>
      </c>
      <c r="H156" s="26">
        <f t="shared" si="6"/>
        <v>77166.53</v>
      </c>
    </row>
    <row r="157" spans="1:8">
      <c r="A157" t="s">
        <v>19</v>
      </c>
      <c r="B157" s="26" t="str">
        <f>IF(SUMIFS('BSE - SENSEX Index Options'!$L:$L,'BSE - SENSEX Index Options'!$C:$C,$A157,'BSE - SENSEX Index Options'!$B:$B,B$147,'BSE - SENSEX Index Options'!$H:$H,"Weekly*")+SUMIFS('BSE - SENSEX Index Options'!$L:$L,'BSE - SENSEX Index Options'!$C:$C,$A157,'BSE - SENSEX Index Options'!$B:$B,B$147,'BSE - SENSEX Index Options'!$H:$H,"MDAW*")+SUMIFS('BSE - Other Index Options'!$L:$L,'BSE - Other Index Options'!$C:$C,$A157,'BSE - Other Index Options'!$B:$B,B$147,'BSE - Other Index Options'!$H:$H,"Weekly*")+SUMIFS('BSE - Other Index Options'!$L:$L,'BSE - Other Index Options'!$C:$C,$A157,'BSE - Other Index Options'!$B:$B,B$147,'BSE - Other Index Options'!$H:$H,"MDAW*")=0,"",SUMIFS('BSE - SENSEX Index Options'!$L:$L,'BSE - SENSEX Index Options'!$C:$C,$A157,'BSE - SENSEX Index Options'!$B:$B,B$147,'BSE - SENSEX Index Options'!$H:$H,"Weekly*")+SUMIFS('BSE - SENSEX Index Options'!$L:$L,'BSE - SENSEX Index Options'!$C:$C,$A157,'BSE - SENSEX Index Options'!$B:$B,B$147,'BSE - SENSEX Index Options'!$H:$H,"MDAW*")+SUMIFS('BSE - Other Index Options'!$L:$L,'BSE - Other Index Options'!$C:$C,$A157,'BSE - Other Index Options'!$B:$B,B$147,'BSE - Other Index Options'!$H:$H,"Weekly*")+SUMIFS('BSE - Other Index Options'!$L:$L,'BSE - Other Index Options'!$C:$C,$A157,'BSE - Other Index Options'!$B:$B,B$147,'BSE - Other Index Options'!$H:$H,"MDAW*"))</f>
        <v/>
      </c>
      <c r="C157" s="26" t="str">
        <f>IF(SUMIFS('BSE - SENSEX Index Options'!$L:$L,'BSE - SENSEX Index Options'!$C:$C,$A157,'BSE - SENSEX Index Options'!$B:$B,C$147,'BSE - SENSEX Index Options'!$H:$H,"Weekly*")+SUMIFS('BSE - SENSEX Index Options'!$L:$L,'BSE - SENSEX Index Options'!$C:$C,$A157,'BSE - SENSEX Index Options'!$B:$B,C$147,'BSE - SENSEX Index Options'!$H:$H,"MDAW*")+SUMIFS('BSE - Other Index Options'!$L:$L,'BSE - Other Index Options'!$C:$C,$A157,'BSE - Other Index Options'!$B:$B,C$147,'BSE - Other Index Options'!$H:$H,"Weekly*")+SUMIFS('BSE - Other Index Options'!$L:$L,'BSE - Other Index Options'!$C:$C,$A157,'BSE - Other Index Options'!$B:$B,C$147,'BSE - Other Index Options'!$H:$H,"MDAW*")=0,"",SUMIFS('BSE - SENSEX Index Options'!$L:$L,'BSE - SENSEX Index Options'!$C:$C,$A157,'BSE - SENSEX Index Options'!$B:$B,C$147,'BSE - SENSEX Index Options'!$H:$H,"Weekly*")+SUMIFS('BSE - SENSEX Index Options'!$L:$L,'BSE - SENSEX Index Options'!$C:$C,$A157,'BSE - SENSEX Index Options'!$B:$B,C$147,'BSE - SENSEX Index Options'!$H:$H,"MDAW*")+SUMIFS('BSE - Other Index Options'!$L:$L,'BSE - Other Index Options'!$C:$C,$A157,'BSE - Other Index Options'!$B:$B,C$147,'BSE - Other Index Options'!$H:$H,"Weekly*")+SUMIFS('BSE - Other Index Options'!$L:$L,'BSE - Other Index Options'!$C:$C,$A157,'BSE - Other Index Options'!$B:$B,C$147,'BSE - Other Index Options'!$H:$H,"MDAW*"))</f>
        <v/>
      </c>
      <c r="D157" s="26">
        <f>IF(SUMIFS('BSE - SENSEX Index Options'!$L:$L,'BSE - SENSEX Index Options'!$C:$C,$A157,'BSE - SENSEX Index Options'!$B:$B,D$147,'BSE - SENSEX Index Options'!$H:$H,"Weekly*")+SUMIFS('BSE - SENSEX Index Options'!$L:$L,'BSE - SENSEX Index Options'!$C:$C,$A157,'BSE - SENSEX Index Options'!$B:$B,D$147,'BSE - SENSEX Index Options'!$H:$H,"MDAW*")+SUMIFS('BSE - Other Index Options'!$L:$L,'BSE - Other Index Options'!$C:$C,$A157,'BSE - Other Index Options'!$B:$B,D$147,'BSE - Other Index Options'!$H:$H,"Weekly*")+SUMIFS('BSE - Other Index Options'!$L:$L,'BSE - Other Index Options'!$C:$C,$A157,'BSE - Other Index Options'!$B:$B,D$147,'BSE - Other Index Options'!$H:$H,"MDAW*")=0,"",SUMIFS('BSE - SENSEX Index Options'!$L:$L,'BSE - SENSEX Index Options'!$C:$C,$A157,'BSE - SENSEX Index Options'!$B:$B,D$147,'BSE - SENSEX Index Options'!$H:$H,"Weekly*")+SUMIFS('BSE - SENSEX Index Options'!$L:$L,'BSE - SENSEX Index Options'!$C:$C,$A157,'BSE - SENSEX Index Options'!$B:$B,D$147,'BSE - SENSEX Index Options'!$H:$H,"MDAW*")+SUMIFS('BSE - Other Index Options'!$L:$L,'BSE - Other Index Options'!$C:$C,$A157,'BSE - Other Index Options'!$B:$B,D$147,'BSE - Other Index Options'!$H:$H,"Weekly*")+SUMIFS('BSE - Other Index Options'!$L:$L,'BSE - Other Index Options'!$C:$C,$A157,'BSE - Other Index Options'!$B:$B,D$147,'BSE - Other Index Options'!$H:$H,"MDAW*"))</f>
        <v>26827.91</v>
      </c>
      <c r="E157" s="26">
        <f>IF(SUMIFS('BSE - SENSEX Index Options'!$L:$L,'BSE - SENSEX Index Options'!$C:$C,$A157,'BSE - SENSEX Index Options'!$B:$B,E$147,'BSE - SENSEX Index Options'!$H:$H,"Weekly*")+SUMIFS('BSE - SENSEX Index Options'!$L:$L,'BSE - SENSEX Index Options'!$C:$C,$A157,'BSE - SENSEX Index Options'!$B:$B,E$147,'BSE - SENSEX Index Options'!$H:$H,"MDAW*")+SUMIFS('BSE - Other Index Options'!$L:$L,'BSE - Other Index Options'!$C:$C,$A157,'BSE - Other Index Options'!$B:$B,E$147,'BSE - Other Index Options'!$H:$H,"Weekly*")+SUMIFS('BSE - Other Index Options'!$L:$L,'BSE - Other Index Options'!$C:$C,$A157,'BSE - Other Index Options'!$B:$B,E$147,'BSE - Other Index Options'!$H:$H,"MDAW*")=0,"",SUMIFS('BSE - SENSEX Index Options'!$L:$L,'BSE - SENSEX Index Options'!$C:$C,$A157,'BSE - SENSEX Index Options'!$B:$B,E$147,'BSE - SENSEX Index Options'!$H:$H,"Weekly*")+SUMIFS('BSE - SENSEX Index Options'!$L:$L,'BSE - SENSEX Index Options'!$C:$C,$A157,'BSE - SENSEX Index Options'!$B:$B,E$147,'BSE - SENSEX Index Options'!$H:$H,"MDAW*")+SUMIFS('BSE - Other Index Options'!$L:$L,'BSE - Other Index Options'!$C:$C,$A157,'BSE - Other Index Options'!$B:$B,E$147,'BSE - Other Index Options'!$H:$H,"Weekly*")+SUMIFS('BSE - Other Index Options'!$L:$L,'BSE - Other Index Options'!$C:$C,$A157,'BSE - Other Index Options'!$B:$B,E$147,'BSE - Other Index Options'!$H:$H,"MDAW*"))</f>
        <v>43421.45</v>
      </c>
      <c r="F157" s="26">
        <f>IF(SUMIFS('BSE - SENSEX Index Options'!$L:$L,'BSE - SENSEX Index Options'!$C:$C,$A157,'BSE - SENSEX Index Options'!$B:$B,F$147,'BSE - SENSEX Index Options'!$H:$H,"Weekly*")+SUMIFS('BSE - SENSEX Index Options'!$L:$L,'BSE - SENSEX Index Options'!$C:$C,$A157,'BSE - SENSEX Index Options'!$B:$B,F$147,'BSE - SENSEX Index Options'!$H:$H,"MDAW*")+SUMIFS('BSE - Other Index Options'!$L:$L,'BSE - Other Index Options'!$C:$C,$A157,'BSE - Other Index Options'!$B:$B,F$147,'BSE - Other Index Options'!$H:$H,"Weekly*")+SUMIFS('BSE - Other Index Options'!$L:$L,'BSE - Other Index Options'!$C:$C,$A157,'BSE - Other Index Options'!$B:$B,F$147,'BSE - Other Index Options'!$H:$H,"MDAW*")=0,"",SUMIFS('BSE - SENSEX Index Options'!$L:$L,'BSE - SENSEX Index Options'!$C:$C,$A157,'BSE - SENSEX Index Options'!$B:$B,F$147,'BSE - SENSEX Index Options'!$H:$H,"Weekly*")+SUMIFS('BSE - SENSEX Index Options'!$L:$L,'BSE - SENSEX Index Options'!$C:$C,$A157,'BSE - SENSEX Index Options'!$B:$B,F$147,'BSE - SENSEX Index Options'!$H:$H,"MDAW*")+SUMIFS('BSE - Other Index Options'!$L:$L,'BSE - Other Index Options'!$C:$C,$A157,'BSE - Other Index Options'!$B:$B,F$147,'BSE - Other Index Options'!$H:$H,"Weekly*")+SUMIFS('BSE - Other Index Options'!$L:$L,'BSE - Other Index Options'!$C:$C,$A157,'BSE - Other Index Options'!$B:$B,F$147,'BSE - Other Index Options'!$H:$H,"MDAW*"))</f>
        <v>10017.259999999998</v>
      </c>
      <c r="G157" s="26" t="str">
        <f>IF(SUMIFS('BSE - SENSEX Index Options'!$L:$L,'BSE - SENSEX Index Options'!$C:$C,$A157,'BSE - SENSEX Index Options'!$B:$B,G$147,'BSE - SENSEX Index Options'!$H:$H,"Weekly*")+SUMIFS('BSE - SENSEX Index Options'!$L:$L,'BSE - SENSEX Index Options'!$C:$C,$A157,'BSE - SENSEX Index Options'!$B:$B,G$147,'BSE - SENSEX Index Options'!$H:$H,"MDAW*")+SUMIFS('BSE - Other Index Options'!$L:$L,'BSE - Other Index Options'!$C:$C,$A157,'BSE - Other Index Options'!$B:$B,G$147,'BSE - Other Index Options'!$H:$H,"Weekly*")+SUMIFS('BSE - Other Index Options'!$L:$L,'BSE - Other Index Options'!$C:$C,$A157,'BSE - Other Index Options'!$B:$B,G$147,'BSE - Other Index Options'!$H:$H,"MDAW*")=0,"",SUMIFS('BSE - SENSEX Index Options'!$L:$L,'BSE - SENSEX Index Options'!$C:$C,$A157,'BSE - SENSEX Index Options'!$B:$B,G$147,'BSE - SENSEX Index Options'!$H:$H,"Weekly*")+SUMIFS('BSE - SENSEX Index Options'!$L:$L,'BSE - SENSEX Index Options'!$C:$C,$A157,'BSE - SENSEX Index Options'!$B:$B,G$147,'BSE - SENSEX Index Options'!$H:$H,"MDAW*")+SUMIFS('BSE - Other Index Options'!$L:$L,'BSE - Other Index Options'!$C:$C,$A157,'BSE - Other Index Options'!$B:$B,G$147,'BSE - Other Index Options'!$H:$H,"Weekly*")+SUMIFS('BSE - Other Index Options'!$L:$L,'BSE - Other Index Options'!$C:$C,$A157,'BSE - Other Index Options'!$B:$B,G$147,'BSE - Other Index Options'!$H:$H,"MDAW*"))</f>
        <v/>
      </c>
      <c r="H157" s="26">
        <f t="shared" si="6"/>
        <v>80266.62</v>
      </c>
    </row>
    <row r="158" spans="1:8">
      <c r="A158" t="s">
        <v>20</v>
      </c>
      <c r="B158" s="26">
        <f>IF(SUMIFS('BSE - SENSEX Index Options'!$L:$L,'BSE - SENSEX Index Options'!$C:$C,$A158,'BSE - SENSEX Index Options'!$B:$B,B$147,'BSE - SENSEX Index Options'!$H:$H,"Weekly*")+SUMIFS('BSE - SENSEX Index Options'!$L:$L,'BSE - SENSEX Index Options'!$C:$C,$A158,'BSE - SENSEX Index Options'!$B:$B,B$147,'BSE - SENSEX Index Options'!$H:$H,"MDAW*")+SUMIFS('BSE - Other Index Options'!$L:$L,'BSE - Other Index Options'!$C:$C,$A158,'BSE - Other Index Options'!$B:$B,B$147,'BSE - Other Index Options'!$H:$H,"Weekly*")+SUMIFS('BSE - Other Index Options'!$L:$L,'BSE - Other Index Options'!$C:$C,$A158,'BSE - Other Index Options'!$B:$B,B$147,'BSE - Other Index Options'!$H:$H,"MDAW*")=0,"",SUMIFS('BSE - SENSEX Index Options'!$L:$L,'BSE - SENSEX Index Options'!$C:$C,$A158,'BSE - SENSEX Index Options'!$B:$B,B$147,'BSE - SENSEX Index Options'!$H:$H,"Weekly*")+SUMIFS('BSE - SENSEX Index Options'!$L:$L,'BSE - SENSEX Index Options'!$C:$C,$A158,'BSE - SENSEX Index Options'!$B:$B,B$147,'BSE - SENSEX Index Options'!$H:$H,"MDAW*")+SUMIFS('BSE - Other Index Options'!$L:$L,'BSE - Other Index Options'!$C:$C,$A158,'BSE - Other Index Options'!$B:$B,B$147,'BSE - Other Index Options'!$H:$H,"Weekly*")+SUMIFS('BSE - Other Index Options'!$L:$L,'BSE - Other Index Options'!$C:$C,$A158,'BSE - Other Index Options'!$B:$B,B$147,'BSE - Other Index Options'!$H:$H,"MDAW*"))</f>
        <v>10153.549999999999</v>
      </c>
      <c r="C158" s="26">
        <f>IF(SUMIFS('BSE - SENSEX Index Options'!$L:$L,'BSE - SENSEX Index Options'!$C:$C,$A158,'BSE - SENSEX Index Options'!$B:$B,C$147,'BSE - SENSEX Index Options'!$H:$H,"Weekly*")+SUMIFS('BSE - SENSEX Index Options'!$L:$L,'BSE - SENSEX Index Options'!$C:$C,$A158,'BSE - SENSEX Index Options'!$B:$B,C$147,'BSE - SENSEX Index Options'!$H:$H,"MDAW*")+SUMIFS('BSE - Other Index Options'!$L:$L,'BSE - Other Index Options'!$C:$C,$A158,'BSE - Other Index Options'!$B:$B,C$147,'BSE - Other Index Options'!$H:$H,"Weekly*")+SUMIFS('BSE - Other Index Options'!$L:$L,'BSE - Other Index Options'!$C:$C,$A158,'BSE - Other Index Options'!$B:$B,C$147,'BSE - Other Index Options'!$H:$H,"MDAW*")=0,"",SUMIFS('BSE - SENSEX Index Options'!$L:$L,'BSE - SENSEX Index Options'!$C:$C,$A158,'BSE - SENSEX Index Options'!$B:$B,C$147,'BSE - SENSEX Index Options'!$H:$H,"Weekly*")+SUMIFS('BSE - SENSEX Index Options'!$L:$L,'BSE - SENSEX Index Options'!$C:$C,$A158,'BSE - SENSEX Index Options'!$B:$B,C$147,'BSE - SENSEX Index Options'!$H:$H,"MDAW*")+SUMIFS('BSE - Other Index Options'!$L:$L,'BSE - Other Index Options'!$C:$C,$A158,'BSE - Other Index Options'!$B:$B,C$147,'BSE - Other Index Options'!$H:$H,"Weekly*")+SUMIFS('BSE - Other Index Options'!$L:$L,'BSE - Other Index Options'!$C:$C,$A158,'BSE - Other Index Options'!$B:$B,C$147,'BSE - Other Index Options'!$H:$H,"MDAW*"))</f>
        <v>9222.010000000002</v>
      </c>
      <c r="D158" s="26" t="str">
        <f>IF(SUMIFS('BSE - SENSEX Index Options'!$L:$L,'BSE - SENSEX Index Options'!$C:$C,$A158,'BSE - SENSEX Index Options'!$B:$B,D$147,'BSE - SENSEX Index Options'!$H:$H,"Weekly*")+SUMIFS('BSE - SENSEX Index Options'!$L:$L,'BSE - SENSEX Index Options'!$C:$C,$A158,'BSE - SENSEX Index Options'!$B:$B,D$147,'BSE - SENSEX Index Options'!$H:$H,"MDAW*")+SUMIFS('BSE - Other Index Options'!$L:$L,'BSE - Other Index Options'!$C:$C,$A158,'BSE - Other Index Options'!$B:$B,D$147,'BSE - Other Index Options'!$H:$H,"Weekly*")+SUMIFS('BSE - Other Index Options'!$L:$L,'BSE - Other Index Options'!$C:$C,$A158,'BSE - Other Index Options'!$B:$B,D$147,'BSE - Other Index Options'!$H:$H,"MDAW*")=0,"",SUMIFS('BSE - SENSEX Index Options'!$L:$L,'BSE - SENSEX Index Options'!$C:$C,$A158,'BSE - SENSEX Index Options'!$B:$B,D$147,'BSE - SENSEX Index Options'!$H:$H,"Weekly*")+SUMIFS('BSE - SENSEX Index Options'!$L:$L,'BSE - SENSEX Index Options'!$C:$C,$A158,'BSE - SENSEX Index Options'!$B:$B,D$147,'BSE - SENSEX Index Options'!$H:$H,"MDAW*")+SUMIFS('BSE - Other Index Options'!$L:$L,'BSE - Other Index Options'!$C:$C,$A158,'BSE - Other Index Options'!$B:$B,D$147,'BSE - Other Index Options'!$H:$H,"Weekly*")+SUMIFS('BSE - Other Index Options'!$L:$L,'BSE - Other Index Options'!$C:$C,$A158,'BSE - Other Index Options'!$B:$B,D$147,'BSE - Other Index Options'!$H:$H,"MDAW*"))</f>
        <v/>
      </c>
      <c r="E158" s="26">
        <f>IF(SUMIFS('BSE - SENSEX Index Options'!$L:$L,'BSE - SENSEX Index Options'!$C:$C,$A158,'BSE - SENSEX Index Options'!$B:$B,E$147,'BSE - SENSEX Index Options'!$H:$H,"Weekly*")+SUMIFS('BSE - SENSEX Index Options'!$L:$L,'BSE - SENSEX Index Options'!$C:$C,$A158,'BSE - SENSEX Index Options'!$B:$B,E$147,'BSE - SENSEX Index Options'!$H:$H,"MDAW*")+SUMIFS('BSE - Other Index Options'!$L:$L,'BSE - Other Index Options'!$C:$C,$A158,'BSE - Other Index Options'!$B:$B,E$147,'BSE - Other Index Options'!$H:$H,"Weekly*")+SUMIFS('BSE - Other Index Options'!$L:$L,'BSE - Other Index Options'!$C:$C,$A158,'BSE - Other Index Options'!$B:$B,E$147,'BSE - Other Index Options'!$H:$H,"MDAW*")=0,"",SUMIFS('BSE - SENSEX Index Options'!$L:$L,'BSE - SENSEX Index Options'!$C:$C,$A158,'BSE - SENSEX Index Options'!$B:$B,E$147,'BSE - SENSEX Index Options'!$H:$H,"Weekly*")+SUMIFS('BSE - SENSEX Index Options'!$L:$L,'BSE - SENSEX Index Options'!$C:$C,$A158,'BSE - SENSEX Index Options'!$B:$B,E$147,'BSE - SENSEX Index Options'!$H:$H,"MDAW*")+SUMIFS('BSE - Other Index Options'!$L:$L,'BSE - Other Index Options'!$C:$C,$A158,'BSE - Other Index Options'!$B:$B,E$147,'BSE - Other Index Options'!$H:$H,"Weekly*")+SUMIFS('BSE - Other Index Options'!$L:$L,'BSE - Other Index Options'!$C:$C,$A158,'BSE - Other Index Options'!$B:$B,E$147,'BSE - Other Index Options'!$H:$H,"MDAW*"))</f>
        <v>43060.01</v>
      </c>
      <c r="F158" s="26">
        <f>IF(SUMIFS('BSE - SENSEX Index Options'!$L:$L,'BSE - SENSEX Index Options'!$C:$C,$A158,'BSE - SENSEX Index Options'!$B:$B,F$147,'BSE - SENSEX Index Options'!$H:$H,"Weekly*")+SUMIFS('BSE - SENSEX Index Options'!$L:$L,'BSE - SENSEX Index Options'!$C:$C,$A158,'BSE - SENSEX Index Options'!$B:$B,F$147,'BSE - SENSEX Index Options'!$H:$H,"MDAW*")+SUMIFS('BSE - Other Index Options'!$L:$L,'BSE - Other Index Options'!$C:$C,$A158,'BSE - Other Index Options'!$B:$B,F$147,'BSE - Other Index Options'!$H:$H,"Weekly*")+SUMIFS('BSE - Other Index Options'!$L:$L,'BSE - Other Index Options'!$C:$C,$A158,'BSE - Other Index Options'!$B:$B,F$147,'BSE - Other Index Options'!$H:$H,"MDAW*")=0,"",SUMIFS('BSE - SENSEX Index Options'!$L:$L,'BSE - SENSEX Index Options'!$C:$C,$A158,'BSE - SENSEX Index Options'!$B:$B,F$147,'BSE - SENSEX Index Options'!$H:$H,"Weekly*")+SUMIFS('BSE - SENSEX Index Options'!$L:$L,'BSE - SENSEX Index Options'!$C:$C,$A158,'BSE - SENSEX Index Options'!$B:$B,F$147,'BSE - SENSEX Index Options'!$H:$H,"MDAW*")+SUMIFS('BSE - Other Index Options'!$L:$L,'BSE - Other Index Options'!$C:$C,$A158,'BSE - Other Index Options'!$B:$B,F$147,'BSE - Other Index Options'!$H:$H,"Weekly*")+SUMIFS('BSE - Other Index Options'!$L:$L,'BSE - Other Index Options'!$C:$C,$A158,'BSE - Other Index Options'!$B:$B,F$147,'BSE - Other Index Options'!$H:$H,"MDAW*"))</f>
        <v>10501.910000000002</v>
      </c>
      <c r="G158" s="26" t="str">
        <f>IF(SUMIFS('BSE - SENSEX Index Options'!$L:$L,'BSE - SENSEX Index Options'!$C:$C,$A158,'BSE - SENSEX Index Options'!$B:$B,G$147,'BSE - SENSEX Index Options'!$H:$H,"Weekly*")+SUMIFS('BSE - SENSEX Index Options'!$L:$L,'BSE - SENSEX Index Options'!$C:$C,$A158,'BSE - SENSEX Index Options'!$B:$B,G$147,'BSE - SENSEX Index Options'!$H:$H,"MDAW*")+SUMIFS('BSE - Other Index Options'!$L:$L,'BSE - Other Index Options'!$C:$C,$A158,'BSE - Other Index Options'!$B:$B,G$147,'BSE - Other Index Options'!$H:$H,"Weekly*")+SUMIFS('BSE - Other Index Options'!$L:$L,'BSE - Other Index Options'!$C:$C,$A158,'BSE - Other Index Options'!$B:$B,G$147,'BSE - Other Index Options'!$H:$H,"MDAW*")=0,"",SUMIFS('BSE - SENSEX Index Options'!$L:$L,'BSE - SENSEX Index Options'!$C:$C,$A158,'BSE - SENSEX Index Options'!$B:$B,G$147,'BSE - SENSEX Index Options'!$H:$H,"Weekly*")+SUMIFS('BSE - SENSEX Index Options'!$L:$L,'BSE - SENSEX Index Options'!$C:$C,$A158,'BSE - SENSEX Index Options'!$B:$B,G$147,'BSE - SENSEX Index Options'!$H:$H,"MDAW*")+SUMIFS('BSE - Other Index Options'!$L:$L,'BSE - Other Index Options'!$C:$C,$A158,'BSE - Other Index Options'!$B:$B,G$147,'BSE - Other Index Options'!$H:$H,"Weekly*")+SUMIFS('BSE - Other Index Options'!$L:$L,'BSE - Other Index Options'!$C:$C,$A158,'BSE - Other Index Options'!$B:$B,G$147,'BSE - Other Index Options'!$H:$H,"MDAW*"))</f>
        <v/>
      </c>
      <c r="H158" s="26">
        <f t="shared" si="6"/>
        <v>72937.48000000001</v>
      </c>
    </row>
    <row r="159" spans="1:8">
      <c r="A159" t="s">
        <v>21</v>
      </c>
      <c r="B159" s="26">
        <f>IF(SUMIFS('BSE - SENSEX Index Options'!$L:$L,'BSE - SENSEX Index Options'!$C:$C,$A159,'BSE - SENSEX Index Options'!$B:$B,B$147,'BSE - SENSEX Index Options'!$H:$H,"Weekly*")+SUMIFS('BSE - SENSEX Index Options'!$L:$L,'BSE - SENSEX Index Options'!$C:$C,$A159,'BSE - SENSEX Index Options'!$B:$B,B$147,'BSE - SENSEX Index Options'!$H:$H,"MDAW*")+SUMIFS('BSE - Other Index Options'!$L:$L,'BSE - Other Index Options'!$C:$C,$A159,'BSE - Other Index Options'!$B:$B,B$147,'BSE - Other Index Options'!$H:$H,"Weekly*")+SUMIFS('BSE - Other Index Options'!$L:$L,'BSE - Other Index Options'!$C:$C,$A159,'BSE - Other Index Options'!$B:$B,B$147,'BSE - Other Index Options'!$H:$H,"MDAW*")=0,"",SUMIFS('BSE - SENSEX Index Options'!$L:$L,'BSE - SENSEX Index Options'!$C:$C,$A159,'BSE - SENSEX Index Options'!$B:$B,B$147,'BSE - SENSEX Index Options'!$H:$H,"Weekly*")+SUMIFS('BSE - SENSEX Index Options'!$L:$L,'BSE - SENSEX Index Options'!$C:$C,$A159,'BSE - SENSEX Index Options'!$B:$B,B$147,'BSE - SENSEX Index Options'!$H:$H,"MDAW*")+SUMIFS('BSE - Other Index Options'!$L:$L,'BSE - Other Index Options'!$C:$C,$A159,'BSE - Other Index Options'!$B:$B,B$147,'BSE - Other Index Options'!$H:$H,"Weekly*")+SUMIFS('BSE - Other Index Options'!$L:$L,'BSE - Other Index Options'!$C:$C,$A159,'BSE - Other Index Options'!$B:$B,B$147,'BSE - Other Index Options'!$H:$H,"MDAW*"))</f>
        <v>8399.52</v>
      </c>
      <c r="C159" s="26">
        <f>IF(SUMIFS('BSE - SENSEX Index Options'!$L:$L,'BSE - SENSEX Index Options'!$C:$C,$A159,'BSE - SENSEX Index Options'!$B:$B,C$147,'BSE - SENSEX Index Options'!$H:$H,"Weekly*")+SUMIFS('BSE - SENSEX Index Options'!$L:$L,'BSE - SENSEX Index Options'!$C:$C,$A159,'BSE - SENSEX Index Options'!$B:$B,C$147,'BSE - SENSEX Index Options'!$H:$H,"MDAW*")+SUMIFS('BSE - Other Index Options'!$L:$L,'BSE - Other Index Options'!$C:$C,$A159,'BSE - Other Index Options'!$B:$B,C$147,'BSE - Other Index Options'!$H:$H,"Weekly*")+SUMIFS('BSE - Other Index Options'!$L:$L,'BSE - Other Index Options'!$C:$C,$A159,'BSE - Other Index Options'!$B:$B,C$147,'BSE - Other Index Options'!$H:$H,"MDAW*")=0,"",SUMIFS('BSE - SENSEX Index Options'!$L:$L,'BSE - SENSEX Index Options'!$C:$C,$A159,'BSE - SENSEX Index Options'!$B:$B,C$147,'BSE - SENSEX Index Options'!$H:$H,"Weekly*")+SUMIFS('BSE - SENSEX Index Options'!$L:$L,'BSE - SENSEX Index Options'!$C:$C,$A159,'BSE - SENSEX Index Options'!$B:$B,C$147,'BSE - SENSEX Index Options'!$H:$H,"MDAW*")+SUMIFS('BSE - Other Index Options'!$L:$L,'BSE - Other Index Options'!$C:$C,$A159,'BSE - Other Index Options'!$B:$B,C$147,'BSE - Other Index Options'!$H:$H,"Weekly*")+SUMIFS('BSE - Other Index Options'!$L:$L,'BSE - Other Index Options'!$C:$C,$A159,'BSE - Other Index Options'!$B:$B,C$147,'BSE - Other Index Options'!$H:$H,"MDAW*"))</f>
        <v>10548.220000000001</v>
      </c>
      <c r="D159" s="26">
        <f>IF(SUMIFS('BSE - SENSEX Index Options'!$L:$L,'BSE - SENSEX Index Options'!$C:$C,$A159,'BSE - SENSEX Index Options'!$B:$B,D$147,'BSE - SENSEX Index Options'!$H:$H,"Weekly*")+SUMIFS('BSE - SENSEX Index Options'!$L:$L,'BSE - SENSEX Index Options'!$C:$C,$A159,'BSE - SENSEX Index Options'!$B:$B,D$147,'BSE - SENSEX Index Options'!$H:$H,"MDAW*")+SUMIFS('BSE - Other Index Options'!$L:$L,'BSE - Other Index Options'!$C:$C,$A159,'BSE - Other Index Options'!$B:$B,D$147,'BSE - Other Index Options'!$H:$H,"Weekly*")+SUMIFS('BSE - Other Index Options'!$L:$L,'BSE - Other Index Options'!$C:$C,$A159,'BSE - Other Index Options'!$B:$B,D$147,'BSE - Other Index Options'!$H:$H,"MDAW*")=0,"",SUMIFS('BSE - SENSEX Index Options'!$L:$L,'BSE - SENSEX Index Options'!$C:$C,$A159,'BSE - SENSEX Index Options'!$B:$B,D$147,'BSE - SENSEX Index Options'!$H:$H,"Weekly*")+SUMIFS('BSE - SENSEX Index Options'!$L:$L,'BSE - SENSEX Index Options'!$C:$C,$A159,'BSE - SENSEX Index Options'!$B:$B,D$147,'BSE - SENSEX Index Options'!$H:$H,"MDAW*")+SUMIFS('BSE - Other Index Options'!$L:$L,'BSE - Other Index Options'!$C:$C,$A159,'BSE - Other Index Options'!$B:$B,D$147,'BSE - Other Index Options'!$H:$H,"Weekly*")+SUMIFS('BSE - Other Index Options'!$L:$L,'BSE - Other Index Options'!$C:$C,$A159,'BSE - Other Index Options'!$B:$B,D$147,'BSE - Other Index Options'!$H:$H,"MDAW*"))</f>
        <v>22641.43</v>
      </c>
      <c r="E159" s="26">
        <f>IF(SUMIFS('BSE - SENSEX Index Options'!$L:$L,'BSE - SENSEX Index Options'!$C:$C,$A159,'BSE - SENSEX Index Options'!$B:$B,E$147,'BSE - SENSEX Index Options'!$H:$H,"Weekly*")+SUMIFS('BSE - SENSEX Index Options'!$L:$L,'BSE - SENSEX Index Options'!$C:$C,$A159,'BSE - SENSEX Index Options'!$B:$B,E$147,'BSE - SENSEX Index Options'!$H:$H,"MDAW*")+SUMIFS('BSE - Other Index Options'!$L:$L,'BSE - Other Index Options'!$C:$C,$A159,'BSE - Other Index Options'!$B:$B,E$147,'BSE - Other Index Options'!$H:$H,"Weekly*")+SUMIFS('BSE - Other Index Options'!$L:$L,'BSE - Other Index Options'!$C:$C,$A159,'BSE - Other Index Options'!$B:$B,E$147,'BSE - Other Index Options'!$H:$H,"MDAW*")=0,"",SUMIFS('BSE - SENSEX Index Options'!$L:$L,'BSE - SENSEX Index Options'!$C:$C,$A159,'BSE - SENSEX Index Options'!$B:$B,E$147,'BSE - SENSEX Index Options'!$H:$H,"Weekly*")+SUMIFS('BSE - SENSEX Index Options'!$L:$L,'BSE - SENSEX Index Options'!$C:$C,$A159,'BSE - SENSEX Index Options'!$B:$B,E$147,'BSE - SENSEX Index Options'!$H:$H,"MDAW*")+SUMIFS('BSE - Other Index Options'!$L:$L,'BSE - Other Index Options'!$C:$C,$A159,'BSE - Other Index Options'!$B:$B,E$147,'BSE - Other Index Options'!$H:$H,"Weekly*")+SUMIFS('BSE - Other Index Options'!$L:$L,'BSE - Other Index Options'!$C:$C,$A159,'BSE - Other Index Options'!$B:$B,E$147,'BSE - Other Index Options'!$H:$H,"MDAW*"))</f>
        <v>48744.14</v>
      </c>
      <c r="F159" s="26">
        <f>IF(SUMIFS('BSE - SENSEX Index Options'!$L:$L,'BSE - SENSEX Index Options'!$C:$C,$A159,'BSE - SENSEX Index Options'!$B:$B,F$147,'BSE - SENSEX Index Options'!$H:$H,"Weekly*")+SUMIFS('BSE - SENSEX Index Options'!$L:$L,'BSE - SENSEX Index Options'!$C:$C,$A159,'BSE - SENSEX Index Options'!$B:$B,F$147,'BSE - SENSEX Index Options'!$H:$H,"MDAW*")+SUMIFS('BSE - Other Index Options'!$L:$L,'BSE - Other Index Options'!$C:$C,$A159,'BSE - Other Index Options'!$B:$B,F$147,'BSE - Other Index Options'!$H:$H,"Weekly*")+SUMIFS('BSE - Other Index Options'!$L:$L,'BSE - Other Index Options'!$C:$C,$A159,'BSE - Other Index Options'!$B:$B,F$147,'BSE - Other Index Options'!$H:$H,"MDAW*")=0,"",SUMIFS('BSE - SENSEX Index Options'!$L:$L,'BSE - SENSEX Index Options'!$C:$C,$A159,'BSE - SENSEX Index Options'!$B:$B,F$147,'BSE - SENSEX Index Options'!$H:$H,"Weekly*")+SUMIFS('BSE - SENSEX Index Options'!$L:$L,'BSE - SENSEX Index Options'!$C:$C,$A159,'BSE - SENSEX Index Options'!$B:$B,F$147,'BSE - SENSEX Index Options'!$H:$H,"MDAW*")+SUMIFS('BSE - Other Index Options'!$L:$L,'BSE - Other Index Options'!$C:$C,$A159,'BSE - Other Index Options'!$B:$B,F$147,'BSE - Other Index Options'!$H:$H,"Weekly*")+SUMIFS('BSE - Other Index Options'!$L:$L,'BSE - Other Index Options'!$C:$C,$A159,'BSE - Other Index Options'!$B:$B,F$147,'BSE - Other Index Options'!$H:$H,"MDAW*"))</f>
        <v>11158.5</v>
      </c>
      <c r="G159" s="26" t="str">
        <f>IF(SUMIFS('BSE - SENSEX Index Options'!$L:$L,'BSE - SENSEX Index Options'!$C:$C,$A159,'BSE - SENSEX Index Options'!$B:$B,G$147,'BSE - SENSEX Index Options'!$H:$H,"Weekly*")+SUMIFS('BSE - SENSEX Index Options'!$L:$L,'BSE - SENSEX Index Options'!$C:$C,$A159,'BSE - SENSEX Index Options'!$B:$B,G$147,'BSE - SENSEX Index Options'!$H:$H,"MDAW*")+SUMIFS('BSE - Other Index Options'!$L:$L,'BSE - Other Index Options'!$C:$C,$A159,'BSE - Other Index Options'!$B:$B,G$147,'BSE - Other Index Options'!$H:$H,"Weekly*")+SUMIFS('BSE - Other Index Options'!$L:$L,'BSE - Other Index Options'!$C:$C,$A159,'BSE - Other Index Options'!$B:$B,G$147,'BSE - Other Index Options'!$H:$H,"MDAW*")=0,"",SUMIFS('BSE - SENSEX Index Options'!$L:$L,'BSE - SENSEX Index Options'!$C:$C,$A159,'BSE - SENSEX Index Options'!$B:$B,G$147,'BSE - SENSEX Index Options'!$H:$H,"Weekly*")+SUMIFS('BSE - SENSEX Index Options'!$L:$L,'BSE - SENSEX Index Options'!$C:$C,$A159,'BSE - SENSEX Index Options'!$B:$B,G$147,'BSE - SENSEX Index Options'!$H:$H,"MDAW*")+SUMIFS('BSE - Other Index Options'!$L:$L,'BSE - Other Index Options'!$C:$C,$A159,'BSE - Other Index Options'!$B:$B,G$147,'BSE - Other Index Options'!$H:$H,"Weekly*")+SUMIFS('BSE - Other Index Options'!$L:$L,'BSE - Other Index Options'!$C:$C,$A159,'BSE - Other Index Options'!$B:$B,G$147,'BSE - Other Index Options'!$H:$H,"MDAW*"))</f>
        <v/>
      </c>
      <c r="H159" s="26">
        <f t="shared" si="6"/>
        <v>101491.81</v>
      </c>
    </row>
    <row r="160" spans="1:8">
      <c r="A160" t="s">
        <v>22</v>
      </c>
      <c r="B160" s="26">
        <f>IF(SUMIFS('BSE - SENSEX Index Options'!$L:$L,'BSE - SENSEX Index Options'!$C:$C,$A160,'BSE - SENSEX Index Options'!$B:$B,B$147,'BSE - SENSEX Index Options'!$H:$H,"Weekly*")+SUMIFS('BSE - SENSEX Index Options'!$L:$L,'BSE - SENSEX Index Options'!$C:$C,$A160,'BSE - SENSEX Index Options'!$B:$B,B$147,'BSE - SENSEX Index Options'!$H:$H,"MDAW*")+SUMIFS('BSE - Other Index Options'!$L:$L,'BSE - Other Index Options'!$C:$C,$A160,'BSE - Other Index Options'!$B:$B,B$147,'BSE - Other Index Options'!$H:$H,"Weekly*")+SUMIFS('BSE - Other Index Options'!$L:$L,'BSE - Other Index Options'!$C:$C,$A160,'BSE - Other Index Options'!$B:$B,B$147,'BSE - Other Index Options'!$H:$H,"MDAW*")=0,"",SUMIFS('BSE - SENSEX Index Options'!$L:$L,'BSE - SENSEX Index Options'!$C:$C,$A160,'BSE - SENSEX Index Options'!$B:$B,B$147,'BSE - SENSEX Index Options'!$H:$H,"Weekly*")+SUMIFS('BSE - SENSEX Index Options'!$L:$L,'BSE - SENSEX Index Options'!$C:$C,$A160,'BSE - SENSEX Index Options'!$B:$B,B$147,'BSE - SENSEX Index Options'!$H:$H,"MDAW*")+SUMIFS('BSE - Other Index Options'!$L:$L,'BSE - Other Index Options'!$C:$C,$A160,'BSE - Other Index Options'!$B:$B,B$147,'BSE - Other Index Options'!$H:$H,"Weekly*")+SUMIFS('BSE - Other Index Options'!$L:$L,'BSE - Other Index Options'!$C:$C,$A160,'BSE - Other Index Options'!$B:$B,B$147,'BSE - Other Index Options'!$H:$H,"MDAW*"))</f>
        <v>7997.64</v>
      </c>
      <c r="C160" s="26">
        <f>IF(SUMIFS('BSE - SENSEX Index Options'!$L:$L,'BSE - SENSEX Index Options'!$C:$C,$A160,'BSE - SENSEX Index Options'!$B:$B,C$147,'BSE - SENSEX Index Options'!$H:$H,"Weekly*")+SUMIFS('BSE - SENSEX Index Options'!$L:$L,'BSE - SENSEX Index Options'!$C:$C,$A160,'BSE - SENSEX Index Options'!$B:$B,C$147,'BSE - SENSEX Index Options'!$H:$H,"MDAW*")+SUMIFS('BSE - Other Index Options'!$L:$L,'BSE - Other Index Options'!$C:$C,$A160,'BSE - Other Index Options'!$B:$B,C$147,'BSE - Other Index Options'!$H:$H,"Weekly*")+SUMIFS('BSE - Other Index Options'!$L:$L,'BSE - Other Index Options'!$C:$C,$A160,'BSE - Other Index Options'!$B:$B,C$147,'BSE - Other Index Options'!$H:$H,"MDAW*")=0,"",SUMIFS('BSE - SENSEX Index Options'!$L:$L,'BSE - SENSEX Index Options'!$C:$C,$A160,'BSE - SENSEX Index Options'!$B:$B,C$147,'BSE - SENSEX Index Options'!$H:$H,"Weekly*")+SUMIFS('BSE - SENSEX Index Options'!$L:$L,'BSE - SENSEX Index Options'!$C:$C,$A160,'BSE - SENSEX Index Options'!$B:$B,C$147,'BSE - SENSEX Index Options'!$H:$H,"MDAW*")+SUMIFS('BSE - Other Index Options'!$L:$L,'BSE - Other Index Options'!$C:$C,$A160,'BSE - Other Index Options'!$B:$B,C$147,'BSE - Other Index Options'!$H:$H,"Weekly*")+SUMIFS('BSE - Other Index Options'!$L:$L,'BSE - Other Index Options'!$C:$C,$A160,'BSE - Other Index Options'!$B:$B,C$147,'BSE - Other Index Options'!$H:$H,"MDAW*"))</f>
        <v>8713.33</v>
      </c>
      <c r="D160" s="26">
        <f>IF(SUMIFS('BSE - SENSEX Index Options'!$L:$L,'BSE - SENSEX Index Options'!$C:$C,$A160,'BSE - SENSEX Index Options'!$B:$B,D$147,'BSE - SENSEX Index Options'!$H:$H,"Weekly*")+SUMIFS('BSE - SENSEX Index Options'!$L:$L,'BSE - SENSEX Index Options'!$C:$C,$A160,'BSE - SENSEX Index Options'!$B:$B,D$147,'BSE - SENSEX Index Options'!$H:$H,"MDAW*")+SUMIFS('BSE - Other Index Options'!$L:$L,'BSE - Other Index Options'!$C:$C,$A160,'BSE - Other Index Options'!$B:$B,D$147,'BSE - Other Index Options'!$H:$H,"Weekly*")+SUMIFS('BSE - Other Index Options'!$L:$L,'BSE - Other Index Options'!$C:$C,$A160,'BSE - Other Index Options'!$B:$B,D$147,'BSE - Other Index Options'!$H:$H,"MDAW*")=0,"",SUMIFS('BSE - SENSEX Index Options'!$L:$L,'BSE - SENSEX Index Options'!$C:$C,$A160,'BSE - SENSEX Index Options'!$B:$B,D$147,'BSE - SENSEX Index Options'!$H:$H,"Weekly*")+SUMIFS('BSE - SENSEX Index Options'!$L:$L,'BSE - SENSEX Index Options'!$C:$C,$A160,'BSE - SENSEX Index Options'!$B:$B,D$147,'BSE - SENSEX Index Options'!$H:$H,"MDAW*")+SUMIFS('BSE - Other Index Options'!$L:$L,'BSE - Other Index Options'!$C:$C,$A160,'BSE - Other Index Options'!$B:$B,D$147,'BSE - Other Index Options'!$H:$H,"Weekly*")+SUMIFS('BSE - Other Index Options'!$L:$L,'BSE - Other Index Options'!$C:$C,$A160,'BSE - Other Index Options'!$B:$B,D$147,'BSE - Other Index Options'!$H:$H,"MDAW*"))</f>
        <v>22948.23</v>
      </c>
      <c r="E160" s="26">
        <f>IF(SUMIFS('BSE - SENSEX Index Options'!$L:$L,'BSE - SENSEX Index Options'!$C:$C,$A160,'BSE - SENSEX Index Options'!$B:$B,E$147,'BSE - SENSEX Index Options'!$H:$H,"Weekly*")+SUMIFS('BSE - SENSEX Index Options'!$L:$L,'BSE - SENSEX Index Options'!$C:$C,$A160,'BSE - SENSEX Index Options'!$B:$B,E$147,'BSE - SENSEX Index Options'!$H:$H,"MDAW*")+SUMIFS('BSE - Other Index Options'!$L:$L,'BSE - Other Index Options'!$C:$C,$A160,'BSE - Other Index Options'!$B:$B,E$147,'BSE - Other Index Options'!$H:$H,"Weekly*")+SUMIFS('BSE - Other Index Options'!$L:$L,'BSE - Other Index Options'!$C:$C,$A160,'BSE - Other Index Options'!$B:$B,E$147,'BSE - Other Index Options'!$H:$H,"MDAW*")=0,"",SUMIFS('BSE - SENSEX Index Options'!$L:$L,'BSE - SENSEX Index Options'!$C:$C,$A160,'BSE - SENSEX Index Options'!$B:$B,E$147,'BSE - SENSEX Index Options'!$H:$H,"Weekly*")+SUMIFS('BSE - SENSEX Index Options'!$L:$L,'BSE - SENSEX Index Options'!$C:$C,$A160,'BSE - SENSEX Index Options'!$B:$B,E$147,'BSE - SENSEX Index Options'!$H:$H,"MDAW*")+SUMIFS('BSE - Other Index Options'!$L:$L,'BSE - Other Index Options'!$C:$C,$A160,'BSE - Other Index Options'!$B:$B,E$147,'BSE - Other Index Options'!$H:$H,"Weekly*")+SUMIFS('BSE - Other Index Options'!$L:$L,'BSE - Other Index Options'!$C:$C,$A160,'BSE - Other Index Options'!$B:$B,E$147,'BSE - Other Index Options'!$H:$H,"MDAW*"))</f>
        <v>38695.990000000005</v>
      </c>
      <c r="F160" s="26">
        <f>IF(SUMIFS('BSE - SENSEX Index Options'!$L:$L,'BSE - SENSEX Index Options'!$C:$C,$A160,'BSE - SENSEX Index Options'!$B:$B,F$147,'BSE - SENSEX Index Options'!$H:$H,"Weekly*")+SUMIFS('BSE - SENSEX Index Options'!$L:$L,'BSE - SENSEX Index Options'!$C:$C,$A160,'BSE - SENSEX Index Options'!$B:$B,F$147,'BSE - SENSEX Index Options'!$H:$H,"MDAW*")+SUMIFS('BSE - Other Index Options'!$L:$L,'BSE - Other Index Options'!$C:$C,$A160,'BSE - Other Index Options'!$B:$B,F$147,'BSE - Other Index Options'!$H:$H,"Weekly*")+SUMIFS('BSE - Other Index Options'!$L:$L,'BSE - Other Index Options'!$C:$C,$A160,'BSE - Other Index Options'!$B:$B,F$147,'BSE - Other Index Options'!$H:$H,"MDAW*")=0,"",SUMIFS('BSE - SENSEX Index Options'!$L:$L,'BSE - SENSEX Index Options'!$C:$C,$A160,'BSE - SENSEX Index Options'!$B:$B,F$147,'BSE - SENSEX Index Options'!$H:$H,"Weekly*")+SUMIFS('BSE - SENSEX Index Options'!$L:$L,'BSE - SENSEX Index Options'!$C:$C,$A160,'BSE - SENSEX Index Options'!$B:$B,F$147,'BSE - SENSEX Index Options'!$H:$H,"MDAW*")+SUMIFS('BSE - Other Index Options'!$L:$L,'BSE - Other Index Options'!$C:$C,$A160,'BSE - Other Index Options'!$B:$B,F$147,'BSE - Other Index Options'!$H:$H,"Weekly*")+SUMIFS('BSE - Other Index Options'!$L:$L,'BSE - Other Index Options'!$C:$C,$A160,'BSE - Other Index Options'!$B:$B,F$147,'BSE - Other Index Options'!$H:$H,"MDAW*"))</f>
        <v>8792.64</v>
      </c>
      <c r="G160" s="26" t="str">
        <f>IF(SUMIFS('BSE - SENSEX Index Options'!$L:$L,'BSE - SENSEX Index Options'!$C:$C,$A160,'BSE - SENSEX Index Options'!$B:$B,G$147,'BSE - SENSEX Index Options'!$H:$H,"Weekly*")+SUMIFS('BSE - SENSEX Index Options'!$L:$L,'BSE - SENSEX Index Options'!$C:$C,$A160,'BSE - SENSEX Index Options'!$B:$B,G$147,'BSE - SENSEX Index Options'!$H:$H,"MDAW*")+SUMIFS('BSE - Other Index Options'!$L:$L,'BSE - Other Index Options'!$C:$C,$A160,'BSE - Other Index Options'!$B:$B,G$147,'BSE - Other Index Options'!$H:$H,"Weekly*")+SUMIFS('BSE - Other Index Options'!$L:$L,'BSE - Other Index Options'!$C:$C,$A160,'BSE - Other Index Options'!$B:$B,G$147,'BSE - Other Index Options'!$H:$H,"MDAW*")=0,"",SUMIFS('BSE - SENSEX Index Options'!$L:$L,'BSE - SENSEX Index Options'!$C:$C,$A160,'BSE - SENSEX Index Options'!$B:$B,G$147,'BSE - SENSEX Index Options'!$H:$H,"Weekly*")+SUMIFS('BSE - SENSEX Index Options'!$L:$L,'BSE - SENSEX Index Options'!$C:$C,$A160,'BSE - SENSEX Index Options'!$B:$B,G$147,'BSE - SENSEX Index Options'!$H:$H,"MDAW*")+SUMIFS('BSE - Other Index Options'!$L:$L,'BSE - Other Index Options'!$C:$C,$A160,'BSE - Other Index Options'!$B:$B,G$147,'BSE - Other Index Options'!$H:$H,"Weekly*")+SUMIFS('BSE - Other Index Options'!$L:$L,'BSE - Other Index Options'!$C:$C,$A160,'BSE - Other Index Options'!$B:$B,G$147,'BSE - Other Index Options'!$H:$H,"MDAW*"))</f>
        <v/>
      </c>
      <c r="H160" s="26">
        <f t="shared" si="6"/>
        <v>87147.83</v>
      </c>
    </row>
    <row r="161" spans="1:8">
      <c r="A161" t="s">
        <v>23</v>
      </c>
      <c r="B161" s="26">
        <f>IF(SUMIFS('BSE - SENSEX Index Options'!$L:$L,'BSE - SENSEX Index Options'!$C:$C,$A161,'BSE - SENSEX Index Options'!$B:$B,B$147,'BSE - SENSEX Index Options'!$H:$H,"Weekly*")+SUMIFS('BSE - SENSEX Index Options'!$L:$L,'BSE - SENSEX Index Options'!$C:$C,$A161,'BSE - SENSEX Index Options'!$B:$B,B$147,'BSE - SENSEX Index Options'!$H:$H,"MDAW*")+SUMIFS('BSE - Other Index Options'!$L:$L,'BSE - Other Index Options'!$C:$C,$A161,'BSE - Other Index Options'!$B:$B,B$147,'BSE - Other Index Options'!$H:$H,"Weekly*")+SUMIFS('BSE - Other Index Options'!$L:$L,'BSE - Other Index Options'!$C:$C,$A161,'BSE - Other Index Options'!$B:$B,B$147,'BSE - Other Index Options'!$H:$H,"MDAW*")=0,"",SUMIFS('BSE - SENSEX Index Options'!$L:$L,'BSE - SENSEX Index Options'!$C:$C,$A161,'BSE - SENSEX Index Options'!$B:$B,B$147,'BSE - SENSEX Index Options'!$H:$H,"Weekly*")+SUMIFS('BSE - SENSEX Index Options'!$L:$L,'BSE - SENSEX Index Options'!$C:$C,$A161,'BSE - SENSEX Index Options'!$B:$B,B$147,'BSE - SENSEX Index Options'!$H:$H,"MDAW*")+SUMIFS('BSE - Other Index Options'!$L:$L,'BSE - Other Index Options'!$C:$C,$A161,'BSE - Other Index Options'!$B:$B,B$147,'BSE - Other Index Options'!$H:$H,"Weekly*")+SUMIFS('BSE - Other Index Options'!$L:$L,'BSE - Other Index Options'!$C:$C,$A161,'BSE - Other Index Options'!$B:$B,B$147,'BSE - Other Index Options'!$H:$H,"MDAW*"))</f>
        <v>8055.9699999999993</v>
      </c>
      <c r="C161" s="26">
        <f>IF(SUMIFS('BSE - SENSEX Index Options'!$L:$L,'BSE - SENSEX Index Options'!$C:$C,$A161,'BSE - SENSEX Index Options'!$B:$B,C$147,'BSE - SENSEX Index Options'!$H:$H,"Weekly*")+SUMIFS('BSE - SENSEX Index Options'!$L:$L,'BSE - SENSEX Index Options'!$C:$C,$A161,'BSE - SENSEX Index Options'!$B:$B,C$147,'BSE - SENSEX Index Options'!$H:$H,"MDAW*")+SUMIFS('BSE - Other Index Options'!$L:$L,'BSE - Other Index Options'!$C:$C,$A161,'BSE - Other Index Options'!$B:$B,C$147,'BSE - Other Index Options'!$H:$H,"Weekly*")+SUMIFS('BSE - Other Index Options'!$L:$L,'BSE - Other Index Options'!$C:$C,$A161,'BSE - Other Index Options'!$B:$B,C$147,'BSE - Other Index Options'!$H:$H,"MDAW*")=0,"",SUMIFS('BSE - SENSEX Index Options'!$L:$L,'BSE - SENSEX Index Options'!$C:$C,$A161,'BSE - SENSEX Index Options'!$B:$B,C$147,'BSE - SENSEX Index Options'!$H:$H,"Weekly*")+SUMIFS('BSE - SENSEX Index Options'!$L:$L,'BSE - SENSEX Index Options'!$C:$C,$A161,'BSE - SENSEX Index Options'!$B:$B,C$147,'BSE - SENSEX Index Options'!$H:$H,"MDAW*")+SUMIFS('BSE - Other Index Options'!$L:$L,'BSE - Other Index Options'!$C:$C,$A161,'BSE - Other Index Options'!$B:$B,C$147,'BSE - Other Index Options'!$H:$H,"Weekly*")+SUMIFS('BSE - Other Index Options'!$L:$L,'BSE - Other Index Options'!$C:$C,$A161,'BSE - Other Index Options'!$B:$B,C$147,'BSE - Other Index Options'!$H:$H,"MDAW*"))</f>
        <v>8711.81</v>
      </c>
      <c r="D161" s="26">
        <f>IF(SUMIFS('BSE - SENSEX Index Options'!$L:$L,'BSE - SENSEX Index Options'!$C:$C,$A161,'BSE - SENSEX Index Options'!$B:$B,D$147,'BSE - SENSEX Index Options'!$H:$H,"Weekly*")+SUMIFS('BSE - SENSEX Index Options'!$L:$L,'BSE - SENSEX Index Options'!$C:$C,$A161,'BSE - SENSEX Index Options'!$B:$B,D$147,'BSE - SENSEX Index Options'!$H:$H,"MDAW*")+SUMIFS('BSE - Other Index Options'!$L:$L,'BSE - Other Index Options'!$C:$C,$A161,'BSE - Other Index Options'!$B:$B,D$147,'BSE - Other Index Options'!$H:$H,"Weekly*")+SUMIFS('BSE - Other Index Options'!$L:$L,'BSE - Other Index Options'!$C:$C,$A161,'BSE - Other Index Options'!$B:$B,D$147,'BSE - Other Index Options'!$H:$H,"MDAW*")=0,"",SUMIFS('BSE - SENSEX Index Options'!$L:$L,'BSE - SENSEX Index Options'!$C:$C,$A161,'BSE - SENSEX Index Options'!$B:$B,D$147,'BSE - SENSEX Index Options'!$H:$H,"Weekly*")+SUMIFS('BSE - SENSEX Index Options'!$L:$L,'BSE - SENSEX Index Options'!$C:$C,$A161,'BSE - SENSEX Index Options'!$B:$B,D$147,'BSE - SENSEX Index Options'!$H:$H,"MDAW*")+SUMIFS('BSE - Other Index Options'!$L:$L,'BSE - Other Index Options'!$C:$C,$A161,'BSE - Other Index Options'!$B:$B,D$147,'BSE - Other Index Options'!$H:$H,"Weekly*")+SUMIFS('BSE - Other Index Options'!$L:$L,'BSE - Other Index Options'!$C:$C,$A161,'BSE - Other Index Options'!$B:$B,D$147,'BSE - Other Index Options'!$H:$H,"MDAW*"))</f>
        <v>24464.54</v>
      </c>
      <c r="E161" s="26">
        <f>IF(SUMIFS('BSE - SENSEX Index Options'!$L:$L,'BSE - SENSEX Index Options'!$C:$C,$A161,'BSE - SENSEX Index Options'!$B:$B,E$147,'BSE - SENSEX Index Options'!$H:$H,"Weekly*")+SUMIFS('BSE - SENSEX Index Options'!$L:$L,'BSE - SENSEX Index Options'!$C:$C,$A161,'BSE - SENSEX Index Options'!$B:$B,E$147,'BSE - SENSEX Index Options'!$H:$H,"MDAW*")+SUMIFS('BSE - Other Index Options'!$L:$L,'BSE - Other Index Options'!$C:$C,$A161,'BSE - Other Index Options'!$B:$B,E$147,'BSE - Other Index Options'!$H:$H,"Weekly*")+SUMIFS('BSE - Other Index Options'!$L:$L,'BSE - Other Index Options'!$C:$C,$A161,'BSE - Other Index Options'!$B:$B,E$147,'BSE - Other Index Options'!$H:$H,"MDAW*")=0,"",SUMIFS('BSE - SENSEX Index Options'!$L:$L,'BSE - SENSEX Index Options'!$C:$C,$A161,'BSE - SENSEX Index Options'!$B:$B,E$147,'BSE - SENSEX Index Options'!$H:$H,"Weekly*")+SUMIFS('BSE - SENSEX Index Options'!$L:$L,'BSE - SENSEX Index Options'!$C:$C,$A161,'BSE - SENSEX Index Options'!$B:$B,E$147,'BSE - SENSEX Index Options'!$H:$H,"MDAW*")+SUMIFS('BSE - Other Index Options'!$L:$L,'BSE - Other Index Options'!$C:$C,$A161,'BSE - Other Index Options'!$B:$B,E$147,'BSE - Other Index Options'!$H:$H,"Weekly*")+SUMIFS('BSE - Other Index Options'!$L:$L,'BSE - Other Index Options'!$C:$C,$A161,'BSE - Other Index Options'!$B:$B,E$147,'BSE - Other Index Options'!$H:$H,"MDAW*"))</f>
        <v>48789.43</v>
      </c>
      <c r="F161" s="26">
        <f>IF(SUMIFS('BSE - SENSEX Index Options'!$L:$L,'BSE - SENSEX Index Options'!$C:$C,$A161,'BSE - SENSEX Index Options'!$B:$B,F$147,'BSE - SENSEX Index Options'!$H:$H,"Weekly*")+SUMIFS('BSE - SENSEX Index Options'!$L:$L,'BSE - SENSEX Index Options'!$C:$C,$A161,'BSE - SENSEX Index Options'!$B:$B,F$147,'BSE - SENSEX Index Options'!$H:$H,"MDAW*")+SUMIFS('BSE - Other Index Options'!$L:$L,'BSE - Other Index Options'!$C:$C,$A161,'BSE - Other Index Options'!$B:$B,F$147,'BSE - Other Index Options'!$H:$H,"Weekly*")+SUMIFS('BSE - Other Index Options'!$L:$L,'BSE - Other Index Options'!$C:$C,$A161,'BSE - Other Index Options'!$B:$B,F$147,'BSE - Other Index Options'!$H:$H,"MDAW*")=0,"",SUMIFS('BSE - SENSEX Index Options'!$L:$L,'BSE - SENSEX Index Options'!$C:$C,$A161,'BSE - SENSEX Index Options'!$B:$B,F$147,'BSE - SENSEX Index Options'!$H:$H,"Weekly*")+SUMIFS('BSE - SENSEX Index Options'!$L:$L,'BSE - SENSEX Index Options'!$C:$C,$A161,'BSE - SENSEX Index Options'!$B:$B,F$147,'BSE - SENSEX Index Options'!$H:$H,"MDAW*")+SUMIFS('BSE - Other Index Options'!$L:$L,'BSE - Other Index Options'!$C:$C,$A161,'BSE - Other Index Options'!$B:$B,F$147,'BSE - Other Index Options'!$H:$H,"Weekly*")+SUMIFS('BSE - Other Index Options'!$L:$L,'BSE - Other Index Options'!$C:$C,$A161,'BSE - Other Index Options'!$B:$B,F$147,'BSE - Other Index Options'!$H:$H,"MDAW*"))</f>
        <v>8251.5800000000017</v>
      </c>
      <c r="G161" s="26" t="str">
        <f>IF(SUMIFS('BSE - SENSEX Index Options'!$L:$L,'BSE - SENSEX Index Options'!$C:$C,$A161,'BSE - SENSEX Index Options'!$B:$B,G$147,'BSE - SENSEX Index Options'!$H:$H,"Weekly*")+SUMIFS('BSE - SENSEX Index Options'!$L:$L,'BSE - SENSEX Index Options'!$C:$C,$A161,'BSE - SENSEX Index Options'!$B:$B,G$147,'BSE - SENSEX Index Options'!$H:$H,"MDAW*")+SUMIFS('BSE - Other Index Options'!$L:$L,'BSE - Other Index Options'!$C:$C,$A161,'BSE - Other Index Options'!$B:$B,G$147,'BSE - Other Index Options'!$H:$H,"Weekly*")+SUMIFS('BSE - Other Index Options'!$L:$L,'BSE - Other Index Options'!$C:$C,$A161,'BSE - Other Index Options'!$B:$B,G$147,'BSE - Other Index Options'!$H:$H,"MDAW*")=0,"",SUMIFS('BSE - SENSEX Index Options'!$L:$L,'BSE - SENSEX Index Options'!$C:$C,$A161,'BSE - SENSEX Index Options'!$B:$B,G$147,'BSE - SENSEX Index Options'!$H:$H,"Weekly*")+SUMIFS('BSE - SENSEX Index Options'!$L:$L,'BSE - SENSEX Index Options'!$C:$C,$A161,'BSE - SENSEX Index Options'!$B:$B,G$147,'BSE - SENSEX Index Options'!$H:$H,"MDAW*")+SUMIFS('BSE - Other Index Options'!$L:$L,'BSE - Other Index Options'!$C:$C,$A161,'BSE - Other Index Options'!$B:$B,G$147,'BSE - Other Index Options'!$H:$H,"Weekly*")+SUMIFS('BSE - Other Index Options'!$L:$L,'BSE - Other Index Options'!$C:$C,$A161,'BSE - Other Index Options'!$B:$B,G$147,'BSE - Other Index Options'!$H:$H,"MDAW*"))</f>
        <v/>
      </c>
      <c r="H161" s="26">
        <f t="shared" si="6"/>
        <v>98273.33</v>
      </c>
    </row>
    <row r="162" spans="1:8">
      <c r="A162" t="s">
        <v>24</v>
      </c>
      <c r="B162" s="26" t="str">
        <f>IF(SUMIFS('BSE - SENSEX Index Options'!$L:$L,'BSE - SENSEX Index Options'!$C:$C,$A162,'BSE - SENSEX Index Options'!$B:$B,B$147,'BSE - SENSEX Index Options'!$H:$H,"Weekly*")+SUMIFS('BSE - SENSEX Index Options'!$L:$L,'BSE - SENSEX Index Options'!$C:$C,$A162,'BSE - SENSEX Index Options'!$B:$B,B$147,'BSE - SENSEX Index Options'!$H:$H,"MDAW*")+SUMIFS('BSE - Other Index Options'!$L:$L,'BSE - Other Index Options'!$C:$C,$A162,'BSE - Other Index Options'!$B:$B,B$147,'BSE - Other Index Options'!$H:$H,"Weekly*")+SUMIFS('BSE - Other Index Options'!$L:$L,'BSE - Other Index Options'!$C:$C,$A162,'BSE - Other Index Options'!$B:$B,B$147,'BSE - Other Index Options'!$H:$H,"MDAW*")=0,"",SUMIFS('BSE - SENSEX Index Options'!$L:$L,'BSE - SENSEX Index Options'!$C:$C,$A162,'BSE - SENSEX Index Options'!$B:$B,B$147,'BSE - SENSEX Index Options'!$H:$H,"Weekly*")+SUMIFS('BSE - SENSEX Index Options'!$L:$L,'BSE - SENSEX Index Options'!$C:$C,$A162,'BSE - SENSEX Index Options'!$B:$B,B$147,'BSE - SENSEX Index Options'!$H:$H,"MDAW*")+SUMIFS('BSE - Other Index Options'!$L:$L,'BSE - Other Index Options'!$C:$C,$A162,'BSE - Other Index Options'!$B:$B,B$147,'BSE - Other Index Options'!$H:$H,"Weekly*")+SUMIFS('BSE - Other Index Options'!$L:$L,'BSE - Other Index Options'!$C:$C,$A162,'BSE - Other Index Options'!$B:$B,B$147,'BSE - Other Index Options'!$H:$H,"MDAW*"))</f>
        <v/>
      </c>
      <c r="C162" s="26" t="str">
        <f>IF(SUMIFS('BSE - SENSEX Index Options'!$L:$L,'BSE - SENSEX Index Options'!$C:$C,$A162,'BSE - SENSEX Index Options'!$B:$B,C$147,'BSE - SENSEX Index Options'!$H:$H,"Weekly*")+SUMIFS('BSE - SENSEX Index Options'!$L:$L,'BSE - SENSEX Index Options'!$C:$C,$A162,'BSE - SENSEX Index Options'!$B:$B,C$147,'BSE - SENSEX Index Options'!$H:$H,"MDAW*")+SUMIFS('BSE - Other Index Options'!$L:$L,'BSE - Other Index Options'!$C:$C,$A162,'BSE - Other Index Options'!$B:$B,C$147,'BSE - Other Index Options'!$H:$H,"Weekly*")+SUMIFS('BSE - Other Index Options'!$L:$L,'BSE - Other Index Options'!$C:$C,$A162,'BSE - Other Index Options'!$B:$B,C$147,'BSE - Other Index Options'!$H:$H,"MDAW*")=0,"",SUMIFS('BSE - SENSEX Index Options'!$L:$L,'BSE - SENSEX Index Options'!$C:$C,$A162,'BSE - SENSEX Index Options'!$B:$B,C$147,'BSE - SENSEX Index Options'!$H:$H,"Weekly*")+SUMIFS('BSE - SENSEX Index Options'!$L:$L,'BSE - SENSEX Index Options'!$C:$C,$A162,'BSE - SENSEX Index Options'!$B:$B,C$147,'BSE - SENSEX Index Options'!$H:$H,"MDAW*")+SUMIFS('BSE - Other Index Options'!$L:$L,'BSE - Other Index Options'!$C:$C,$A162,'BSE - Other Index Options'!$B:$B,C$147,'BSE - Other Index Options'!$H:$H,"Weekly*")+SUMIFS('BSE - Other Index Options'!$L:$L,'BSE - Other Index Options'!$C:$C,$A162,'BSE - Other Index Options'!$B:$B,C$147,'BSE - Other Index Options'!$H:$H,"MDAW*"))</f>
        <v/>
      </c>
      <c r="D162" s="26" t="str">
        <f>IF(SUMIFS('BSE - SENSEX Index Options'!$L:$L,'BSE - SENSEX Index Options'!$C:$C,$A162,'BSE - SENSEX Index Options'!$B:$B,D$147,'BSE - SENSEX Index Options'!$H:$H,"Weekly*")+SUMIFS('BSE - SENSEX Index Options'!$L:$L,'BSE - SENSEX Index Options'!$C:$C,$A162,'BSE - SENSEX Index Options'!$B:$B,D$147,'BSE - SENSEX Index Options'!$H:$H,"MDAW*")+SUMIFS('BSE - Other Index Options'!$L:$L,'BSE - Other Index Options'!$C:$C,$A162,'BSE - Other Index Options'!$B:$B,D$147,'BSE - Other Index Options'!$H:$H,"Weekly*")+SUMIFS('BSE - Other Index Options'!$L:$L,'BSE - Other Index Options'!$C:$C,$A162,'BSE - Other Index Options'!$B:$B,D$147,'BSE - Other Index Options'!$H:$H,"MDAW*")=0,"",SUMIFS('BSE - SENSEX Index Options'!$L:$L,'BSE - SENSEX Index Options'!$C:$C,$A162,'BSE - SENSEX Index Options'!$B:$B,D$147,'BSE - SENSEX Index Options'!$H:$H,"Weekly*")+SUMIFS('BSE - SENSEX Index Options'!$L:$L,'BSE - SENSEX Index Options'!$C:$C,$A162,'BSE - SENSEX Index Options'!$B:$B,D$147,'BSE - SENSEX Index Options'!$H:$H,"MDAW*")+SUMIFS('BSE - Other Index Options'!$L:$L,'BSE - Other Index Options'!$C:$C,$A162,'BSE - Other Index Options'!$B:$B,D$147,'BSE - Other Index Options'!$H:$H,"Weekly*")+SUMIFS('BSE - Other Index Options'!$L:$L,'BSE - Other Index Options'!$C:$C,$A162,'BSE - Other Index Options'!$B:$B,D$147,'BSE - Other Index Options'!$H:$H,"MDAW*"))</f>
        <v/>
      </c>
      <c r="E162" s="26" t="str">
        <f>IF(SUMIFS('BSE - SENSEX Index Options'!$L:$L,'BSE - SENSEX Index Options'!$C:$C,$A162,'BSE - SENSEX Index Options'!$B:$B,E$147,'BSE - SENSEX Index Options'!$H:$H,"Weekly*")+SUMIFS('BSE - SENSEX Index Options'!$L:$L,'BSE - SENSEX Index Options'!$C:$C,$A162,'BSE - SENSEX Index Options'!$B:$B,E$147,'BSE - SENSEX Index Options'!$H:$H,"MDAW*")+SUMIFS('BSE - Other Index Options'!$L:$L,'BSE - Other Index Options'!$C:$C,$A162,'BSE - Other Index Options'!$B:$B,E$147,'BSE - Other Index Options'!$H:$H,"Weekly*")+SUMIFS('BSE - Other Index Options'!$L:$L,'BSE - Other Index Options'!$C:$C,$A162,'BSE - Other Index Options'!$B:$B,E$147,'BSE - Other Index Options'!$H:$H,"MDAW*")=0,"",SUMIFS('BSE - SENSEX Index Options'!$L:$L,'BSE - SENSEX Index Options'!$C:$C,$A162,'BSE - SENSEX Index Options'!$B:$B,E$147,'BSE - SENSEX Index Options'!$H:$H,"Weekly*")+SUMIFS('BSE - SENSEX Index Options'!$L:$L,'BSE - SENSEX Index Options'!$C:$C,$A162,'BSE - SENSEX Index Options'!$B:$B,E$147,'BSE - SENSEX Index Options'!$H:$H,"MDAW*")+SUMIFS('BSE - Other Index Options'!$L:$L,'BSE - Other Index Options'!$C:$C,$A162,'BSE - Other Index Options'!$B:$B,E$147,'BSE - Other Index Options'!$H:$H,"Weekly*")+SUMIFS('BSE - Other Index Options'!$L:$L,'BSE - Other Index Options'!$C:$C,$A162,'BSE - Other Index Options'!$B:$B,E$147,'BSE - Other Index Options'!$H:$H,"MDAW*"))</f>
        <v/>
      </c>
      <c r="F162" s="26" t="str">
        <f>IF(SUMIFS('BSE - SENSEX Index Options'!$L:$L,'BSE - SENSEX Index Options'!$C:$C,$A162,'BSE - SENSEX Index Options'!$B:$B,F$147,'BSE - SENSEX Index Options'!$H:$H,"Weekly*")+SUMIFS('BSE - SENSEX Index Options'!$L:$L,'BSE - SENSEX Index Options'!$C:$C,$A162,'BSE - SENSEX Index Options'!$B:$B,F$147,'BSE - SENSEX Index Options'!$H:$H,"MDAW*")+SUMIFS('BSE - Other Index Options'!$L:$L,'BSE - Other Index Options'!$C:$C,$A162,'BSE - Other Index Options'!$B:$B,F$147,'BSE - Other Index Options'!$H:$H,"Weekly*")+SUMIFS('BSE - Other Index Options'!$L:$L,'BSE - Other Index Options'!$C:$C,$A162,'BSE - Other Index Options'!$B:$B,F$147,'BSE - Other Index Options'!$H:$H,"MDAW*")=0,"",SUMIFS('BSE - SENSEX Index Options'!$L:$L,'BSE - SENSEX Index Options'!$C:$C,$A162,'BSE - SENSEX Index Options'!$B:$B,F$147,'BSE - SENSEX Index Options'!$H:$H,"Weekly*")+SUMIFS('BSE - SENSEX Index Options'!$L:$L,'BSE - SENSEX Index Options'!$C:$C,$A162,'BSE - SENSEX Index Options'!$B:$B,F$147,'BSE - SENSEX Index Options'!$H:$H,"MDAW*")+SUMIFS('BSE - Other Index Options'!$L:$L,'BSE - Other Index Options'!$C:$C,$A162,'BSE - Other Index Options'!$B:$B,F$147,'BSE - Other Index Options'!$H:$H,"Weekly*")+SUMIFS('BSE - Other Index Options'!$L:$L,'BSE - Other Index Options'!$C:$C,$A162,'BSE - Other Index Options'!$B:$B,F$147,'BSE - Other Index Options'!$H:$H,"MDAW*"))</f>
        <v/>
      </c>
      <c r="G162" s="26" t="str">
        <f>IF(SUMIFS('BSE - SENSEX Index Options'!$L:$L,'BSE - SENSEX Index Options'!$C:$C,$A162,'BSE - SENSEX Index Options'!$B:$B,G$147,'BSE - SENSEX Index Options'!$H:$H,"Weekly*")+SUMIFS('BSE - SENSEX Index Options'!$L:$L,'BSE - SENSEX Index Options'!$C:$C,$A162,'BSE - SENSEX Index Options'!$B:$B,G$147,'BSE - SENSEX Index Options'!$H:$H,"MDAW*")+SUMIFS('BSE - Other Index Options'!$L:$L,'BSE - Other Index Options'!$C:$C,$A162,'BSE - Other Index Options'!$B:$B,G$147,'BSE - Other Index Options'!$H:$H,"Weekly*")+SUMIFS('BSE - Other Index Options'!$L:$L,'BSE - Other Index Options'!$C:$C,$A162,'BSE - Other Index Options'!$B:$B,G$147,'BSE - Other Index Options'!$H:$H,"MDAW*")=0,"",SUMIFS('BSE - SENSEX Index Options'!$L:$L,'BSE - SENSEX Index Options'!$C:$C,$A162,'BSE - SENSEX Index Options'!$B:$B,G$147,'BSE - SENSEX Index Options'!$H:$H,"Weekly*")+SUMIFS('BSE - SENSEX Index Options'!$L:$L,'BSE - SENSEX Index Options'!$C:$C,$A162,'BSE - SENSEX Index Options'!$B:$B,G$147,'BSE - SENSEX Index Options'!$H:$H,"MDAW*")+SUMIFS('BSE - Other Index Options'!$L:$L,'BSE - Other Index Options'!$C:$C,$A162,'BSE - Other Index Options'!$B:$B,G$147,'BSE - Other Index Options'!$H:$H,"Weekly*")+SUMIFS('BSE - Other Index Options'!$L:$L,'BSE - Other Index Options'!$C:$C,$A162,'BSE - Other Index Options'!$B:$B,G$147,'BSE - Other Index Options'!$H:$H,"MDAW*"))</f>
        <v/>
      </c>
      <c r="H162" s="26" t="str">
        <f t="shared" si="6"/>
        <v/>
      </c>
    </row>
    <row r="163" spans="1:8">
      <c r="A163" t="s">
        <v>25</v>
      </c>
      <c r="B163" s="26">
        <f>IF(SUMIFS('BSE - SENSEX Index Options'!$L:$L,'BSE - SENSEX Index Options'!$C:$C,$A163,'BSE - SENSEX Index Options'!$B:$B,B$147,'BSE - SENSEX Index Options'!$H:$H,"Weekly*")+SUMIFS('BSE - SENSEX Index Options'!$L:$L,'BSE - SENSEX Index Options'!$C:$C,$A163,'BSE - SENSEX Index Options'!$B:$B,B$147,'BSE - SENSEX Index Options'!$H:$H,"MDAW*")+SUMIFS('BSE - Other Index Options'!$L:$L,'BSE - Other Index Options'!$C:$C,$A163,'BSE - Other Index Options'!$B:$B,B$147,'BSE - Other Index Options'!$H:$H,"Weekly*")+SUMIFS('BSE - Other Index Options'!$L:$L,'BSE - Other Index Options'!$C:$C,$A163,'BSE - Other Index Options'!$B:$B,B$147,'BSE - Other Index Options'!$H:$H,"MDAW*")=0,"",SUMIFS('BSE - SENSEX Index Options'!$L:$L,'BSE - SENSEX Index Options'!$C:$C,$A163,'BSE - SENSEX Index Options'!$B:$B,B$147,'BSE - SENSEX Index Options'!$H:$H,"Weekly*")+SUMIFS('BSE - SENSEX Index Options'!$L:$L,'BSE - SENSEX Index Options'!$C:$C,$A163,'BSE - SENSEX Index Options'!$B:$B,B$147,'BSE - SENSEX Index Options'!$H:$H,"MDAW*")+SUMIFS('BSE - Other Index Options'!$L:$L,'BSE - Other Index Options'!$C:$C,$A163,'BSE - Other Index Options'!$B:$B,B$147,'BSE - Other Index Options'!$H:$H,"Weekly*")+SUMIFS('BSE - Other Index Options'!$L:$L,'BSE - Other Index Options'!$C:$C,$A163,'BSE - Other Index Options'!$B:$B,B$147,'BSE - Other Index Options'!$H:$H,"MDAW*"))</f>
        <v>10227.82</v>
      </c>
      <c r="C163" s="26">
        <f>IF(SUMIFS('BSE - SENSEX Index Options'!$L:$L,'BSE - SENSEX Index Options'!$C:$C,$A163,'BSE - SENSEX Index Options'!$B:$B,C$147,'BSE - SENSEX Index Options'!$H:$H,"Weekly*")+SUMIFS('BSE - SENSEX Index Options'!$L:$L,'BSE - SENSEX Index Options'!$C:$C,$A163,'BSE - SENSEX Index Options'!$B:$B,C$147,'BSE - SENSEX Index Options'!$H:$H,"MDAW*")+SUMIFS('BSE - Other Index Options'!$L:$L,'BSE - Other Index Options'!$C:$C,$A163,'BSE - Other Index Options'!$B:$B,C$147,'BSE - Other Index Options'!$H:$H,"Weekly*")+SUMIFS('BSE - Other Index Options'!$L:$L,'BSE - Other Index Options'!$C:$C,$A163,'BSE - Other Index Options'!$B:$B,C$147,'BSE - Other Index Options'!$H:$H,"MDAW*")=0,"",SUMIFS('BSE - SENSEX Index Options'!$L:$L,'BSE - SENSEX Index Options'!$C:$C,$A163,'BSE - SENSEX Index Options'!$B:$B,C$147,'BSE - SENSEX Index Options'!$H:$H,"Weekly*")+SUMIFS('BSE - SENSEX Index Options'!$L:$L,'BSE - SENSEX Index Options'!$C:$C,$A163,'BSE - SENSEX Index Options'!$B:$B,C$147,'BSE - SENSEX Index Options'!$H:$H,"MDAW*")+SUMIFS('BSE - Other Index Options'!$L:$L,'BSE - Other Index Options'!$C:$C,$A163,'BSE - Other Index Options'!$B:$B,C$147,'BSE - Other Index Options'!$H:$H,"Weekly*")+SUMIFS('BSE - Other Index Options'!$L:$L,'BSE - Other Index Options'!$C:$C,$A163,'BSE - Other Index Options'!$B:$B,C$147,'BSE - Other Index Options'!$H:$H,"MDAW*"))</f>
        <v>8382.4500000000007</v>
      </c>
      <c r="D163" s="26">
        <f>IF(SUMIFS('BSE - SENSEX Index Options'!$L:$L,'BSE - SENSEX Index Options'!$C:$C,$A163,'BSE - SENSEX Index Options'!$B:$B,D$147,'BSE - SENSEX Index Options'!$H:$H,"Weekly*")+SUMIFS('BSE - SENSEX Index Options'!$L:$L,'BSE - SENSEX Index Options'!$C:$C,$A163,'BSE - SENSEX Index Options'!$B:$B,D$147,'BSE - SENSEX Index Options'!$H:$H,"MDAW*")+SUMIFS('BSE - Other Index Options'!$L:$L,'BSE - Other Index Options'!$C:$C,$A163,'BSE - Other Index Options'!$B:$B,D$147,'BSE - Other Index Options'!$H:$H,"Weekly*")+SUMIFS('BSE - Other Index Options'!$L:$L,'BSE - Other Index Options'!$C:$C,$A163,'BSE - Other Index Options'!$B:$B,D$147,'BSE - Other Index Options'!$H:$H,"MDAW*")=0,"",SUMIFS('BSE - SENSEX Index Options'!$L:$L,'BSE - SENSEX Index Options'!$C:$C,$A163,'BSE - SENSEX Index Options'!$B:$B,D$147,'BSE - SENSEX Index Options'!$H:$H,"Weekly*")+SUMIFS('BSE - SENSEX Index Options'!$L:$L,'BSE - SENSEX Index Options'!$C:$C,$A163,'BSE - SENSEX Index Options'!$B:$B,D$147,'BSE - SENSEX Index Options'!$H:$H,"MDAW*")+SUMIFS('BSE - Other Index Options'!$L:$L,'BSE - Other Index Options'!$C:$C,$A163,'BSE - Other Index Options'!$B:$B,D$147,'BSE - Other Index Options'!$H:$H,"Weekly*")+SUMIFS('BSE - Other Index Options'!$L:$L,'BSE - Other Index Options'!$C:$C,$A163,'BSE - Other Index Options'!$B:$B,D$147,'BSE - Other Index Options'!$H:$H,"MDAW*"))</f>
        <v>26225.71</v>
      </c>
      <c r="E163" s="26">
        <f>IF(SUMIFS('BSE - SENSEX Index Options'!$L:$L,'BSE - SENSEX Index Options'!$C:$C,$A163,'BSE - SENSEX Index Options'!$B:$B,E$147,'BSE - SENSEX Index Options'!$H:$H,"Weekly*")+SUMIFS('BSE - SENSEX Index Options'!$L:$L,'BSE - SENSEX Index Options'!$C:$C,$A163,'BSE - SENSEX Index Options'!$B:$B,E$147,'BSE - SENSEX Index Options'!$H:$H,"MDAW*")+SUMIFS('BSE - Other Index Options'!$L:$L,'BSE - Other Index Options'!$C:$C,$A163,'BSE - Other Index Options'!$B:$B,E$147,'BSE - Other Index Options'!$H:$H,"Weekly*")+SUMIFS('BSE - Other Index Options'!$L:$L,'BSE - Other Index Options'!$C:$C,$A163,'BSE - Other Index Options'!$B:$B,E$147,'BSE - Other Index Options'!$H:$H,"MDAW*")=0,"",SUMIFS('BSE - SENSEX Index Options'!$L:$L,'BSE - SENSEX Index Options'!$C:$C,$A163,'BSE - SENSEX Index Options'!$B:$B,E$147,'BSE - SENSEX Index Options'!$H:$H,"Weekly*")+SUMIFS('BSE - SENSEX Index Options'!$L:$L,'BSE - SENSEX Index Options'!$C:$C,$A163,'BSE - SENSEX Index Options'!$B:$B,E$147,'BSE - SENSEX Index Options'!$H:$H,"MDAW*")+SUMIFS('BSE - Other Index Options'!$L:$L,'BSE - Other Index Options'!$C:$C,$A163,'BSE - Other Index Options'!$B:$B,E$147,'BSE - Other Index Options'!$H:$H,"Weekly*")+SUMIFS('BSE - Other Index Options'!$L:$L,'BSE - Other Index Options'!$C:$C,$A163,'BSE - Other Index Options'!$B:$B,E$147,'BSE - Other Index Options'!$H:$H,"MDAW*"))</f>
        <v>47505.280000000006</v>
      </c>
      <c r="F163" s="26">
        <f>IF(SUMIFS('BSE - SENSEX Index Options'!$L:$L,'BSE - SENSEX Index Options'!$C:$C,$A163,'BSE - SENSEX Index Options'!$B:$B,F$147,'BSE - SENSEX Index Options'!$H:$H,"Weekly*")+SUMIFS('BSE - SENSEX Index Options'!$L:$L,'BSE - SENSEX Index Options'!$C:$C,$A163,'BSE - SENSEX Index Options'!$B:$B,F$147,'BSE - SENSEX Index Options'!$H:$H,"MDAW*")+SUMIFS('BSE - Other Index Options'!$L:$L,'BSE - Other Index Options'!$C:$C,$A163,'BSE - Other Index Options'!$B:$B,F$147,'BSE - Other Index Options'!$H:$H,"Weekly*")+SUMIFS('BSE - Other Index Options'!$L:$L,'BSE - Other Index Options'!$C:$C,$A163,'BSE - Other Index Options'!$B:$B,F$147,'BSE - Other Index Options'!$H:$H,"MDAW*")=0,"",SUMIFS('BSE - SENSEX Index Options'!$L:$L,'BSE - SENSEX Index Options'!$C:$C,$A163,'BSE - SENSEX Index Options'!$B:$B,F$147,'BSE - SENSEX Index Options'!$H:$H,"Weekly*")+SUMIFS('BSE - SENSEX Index Options'!$L:$L,'BSE - SENSEX Index Options'!$C:$C,$A163,'BSE - SENSEX Index Options'!$B:$B,F$147,'BSE - SENSEX Index Options'!$H:$H,"MDAW*")+SUMIFS('BSE - Other Index Options'!$L:$L,'BSE - Other Index Options'!$C:$C,$A163,'BSE - Other Index Options'!$B:$B,F$147,'BSE - Other Index Options'!$H:$H,"Weekly*")+SUMIFS('BSE - Other Index Options'!$L:$L,'BSE - Other Index Options'!$C:$C,$A163,'BSE - Other Index Options'!$B:$B,F$147,'BSE - Other Index Options'!$H:$H,"MDAW*"))</f>
        <v>10381.41</v>
      </c>
      <c r="G163" s="26" t="str">
        <f>IF(SUMIFS('BSE - SENSEX Index Options'!$L:$L,'BSE - SENSEX Index Options'!$C:$C,$A163,'BSE - SENSEX Index Options'!$B:$B,G$147,'BSE - SENSEX Index Options'!$H:$H,"Weekly*")+SUMIFS('BSE - SENSEX Index Options'!$L:$L,'BSE - SENSEX Index Options'!$C:$C,$A163,'BSE - SENSEX Index Options'!$B:$B,G$147,'BSE - SENSEX Index Options'!$H:$H,"MDAW*")+SUMIFS('BSE - Other Index Options'!$L:$L,'BSE - Other Index Options'!$C:$C,$A163,'BSE - Other Index Options'!$B:$B,G$147,'BSE - Other Index Options'!$H:$H,"Weekly*")+SUMIFS('BSE - Other Index Options'!$L:$L,'BSE - Other Index Options'!$C:$C,$A163,'BSE - Other Index Options'!$B:$B,G$147,'BSE - Other Index Options'!$H:$H,"MDAW*")=0,"",SUMIFS('BSE - SENSEX Index Options'!$L:$L,'BSE - SENSEX Index Options'!$C:$C,$A163,'BSE - SENSEX Index Options'!$B:$B,G$147,'BSE - SENSEX Index Options'!$H:$H,"Weekly*")+SUMIFS('BSE - SENSEX Index Options'!$L:$L,'BSE - SENSEX Index Options'!$C:$C,$A163,'BSE - SENSEX Index Options'!$B:$B,G$147,'BSE - SENSEX Index Options'!$H:$H,"MDAW*")+SUMIFS('BSE - Other Index Options'!$L:$L,'BSE - Other Index Options'!$C:$C,$A163,'BSE - Other Index Options'!$B:$B,G$147,'BSE - Other Index Options'!$H:$H,"Weekly*")+SUMIFS('BSE - Other Index Options'!$L:$L,'BSE - Other Index Options'!$C:$C,$A163,'BSE - Other Index Options'!$B:$B,G$147,'BSE - Other Index Options'!$H:$H,"MDAW*"))</f>
        <v/>
      </c>
      <c r="H163" s="26">
        <f t="shared" si="6"/>
        <v>102722.67000000001</v>
      </c>
    </row>
    <row r="164" spans="1:8">
      <c r="A164" t="s">
        <v>26</v>
      </c>
      <c r="B164" s="26">
        <f>IF(SUMIFS('BSE - SENSEX Index Options'!$L:$L,'BSE - SENSEX Index Options'!$C:$C,$A164,'BSE - SENSEX Index Options'!$B:$B,B$147,'BSE - SENSEX Index Options'!$H:$H,"Weekly*")+SUMIFS('BSE - SENSEX Index Options'!$L:$L,'BSE - SENSEX Index Options'!$C:$C,$A164,'BSE - SENSEX Index Options'!$B:$B,B$147,'BSE - SENSEX Index Options'!$H:$H,"MDAW*")+SUMIFS('BSE - Other Index Options'!$L:$L,'BSE - Other Index Options'!$C:$C,$A164,'BSE - Other Index Options'!$B:$B,B$147,'BSE - Other Index Options'!$H:$H,"Weekly*")+SUMIFS('BSE - Other Index Options'!$L:$L,'BSE - Other Index Options'!$C:$C,$A164,'BSE - Other Index Options'!$B:$B,B$147,'BSE - Other Index Options'!$H:$H,"MDAW*")=0,"",SUMIFS('BSE - SENSEX Index Options'!$L:$L,'BSE - SENSEX Index Options'!$C:$C,$A164,'BSE - SENSEX Index Options'!$B:$B,B$147,'BSE - SENSEX Index Options'!$H:$H,"Weekly*")+SUMIFS('BSE - SENSEX Index Options'!$L:$L,'BSE - SENSEX Index Options'!$C:$C,$A164,'BSE - SENSEX Index Options'!$B:$B,B$147,'BSE - SENSEX Index Options'!$H:$H,"MDAW*")+SUMIFS('BSE - Other Index Options'!$L:$L,'BSE - Other Index Options'!$C:$C,$A164,'BSE - Other Index Options'!$B:$B,B$147,'BSE - Other Index Options'!$H:$H,"Weekly*")+SUMIFS('BSE - Other Index Options'!$L:$L,'BSE - Other Index Options'!$C:$C,$A164,'BSE - Other Index Options'!$B:$B,B$147,'BSE - Other Index Options'!$H:$H,"MDAW*"))</f>
        <v>10684.07</v>
      </c>
      <c r="C164" s="26">
        <f>IF(SUMIFS('BSE - SENSEX Index Options'!$L:$L,'BSE - SENSEX Index Options'!$C:$C,$A164,'BSE - SENSEX Index Options'!$B:$B,C$147,'BSE - SENSEX Index Options'!$H:$H,"Weekly*")+SUMIFS('BSE - SENSEX Index Options'!$L:$L,'BSE - SENSEX Index Options'!$C:$C,$A164,'BSE - SENSEX Index Options'!$B:$B,C$147,'BSE - SENSEX Index Options'!$H:$H,"MDAW*")+SUMIFS('BSE - Other Index Options'!$L:$L,'BSE - Other Index Options'!$C:$C,$A164,'BSE - Other Index Options'!$B:$B,C$147,'BSE - Other Index Options'!$H:$H,"Weekly*")+SUMIFS('BSE - Other Index Options'!$L:$L,'BSE - Other Index Options'!$C:$C,$A164,'BSE - Other Index Options'!$B:$B,C$147,'BSE - Other Index Options'!$H:$H,"MDAW*")=0,"",SUMIFS('BSE - SENSEX Index Options'!$L:$L,'BSE - SENSEX Index Options'!$C:$C,$A164,'BSE - SENSEX Index Options'!$B:$B,C$147,'BSE - SENSEX Index Options'!$H:$H,"Weekly*")+SUMIFS('BSE - SENSEX Index Options'!$L:$L,'BSE - SENSEX Index Options'!$C:$C,$A164,'BSE - SENSEX Index Options'!$B:$B,C$147,'BSE - SENSEX Index Options'!$H:$H,"MDAW*")+SUMIFS('BSE - Other Index Options'!$L:$L,'BSE - Other Index Options'!$C:$C,$A164,'BSE - Other Index Options'!$B:$B,C$147,'BSE - Other Index Options'!$H:$H,"Weekly*")+SUMIFS('BSE - Other Index Options'!$L:$L,'BSE - Other Index Options'!$C:$C,$A164,'BSE - Other Index Options'!$B:$B,C$147,'BSE - Other Index Options'!$H:$H,"MDAW*"))</f>
        <v>11493.2</v>
      </c>
      <c r="D164" s="26">
        <f>IF(SUMIFS('BSE - SENSEX Index Options'!$L:$L,'BSE - SENSEX Index Options'!$C:$C,$A164,'BSE - SENSEX Index Options'!$B:$B,D$147,'BSE - SENSEX Index Options'!$H:$H,"Weekly*")+SUMIFS('BSE - SENSEX Index Options'!$L:$L,'BSE - SENSEX Index Options'!$C:$C,$A164,'BSE - SENSEX Index Options'!$B:$B,D$147,'BSE - SENSEX Index Options'!$H:$H,"MDAW*")+SUMIFS('BSE - Other Index Options'!$L:$L,'BSE - Other Index Options'!$C:$C,$A164,'BSE - Other Index Options'!$B:$B,D$147,'BSE - Other Index Options'!$H:$H,"Weekly*")+SUMIFS('BSE - Other Index Options'!$L:$L,'BSE - Other Index Options'!$C:$C,$A164,'BSE - Other Index Options'!$B:$B,D$147,'BSE - Other Index Options'!$H:$H,"MDAW*")=0,"",SUMIFS('BSE - SENSEX Index Options'!$L:$L,'BSE - SENSEX Index Options'!$C:$C,$A164,'BSE - SENSEX Index Options'!$B:$B,D$147,'BSE - SENSEX Index Options'!$H:$H,"Weekly*")+SUMIFS('BSE - SENSEX Index Options'!$L:$L,'BSE - SENSEX Index Options'!$C:$C,$A164,'BSE - SENSEX Index Options'!$B:$B,D$147,'BSE - SENSEX Index Options'!$H:$H,"MDAW*")+SUMIFS('BSE - Other Index Options'!$L:$L,'BSE - Other Index Options'!$C:$C,$A164,'BSE - Other Index Options'!$B:$B,D$147,'BSE - Other Index Options'!$H:$H,"Weekly*")+SUMIFS('BSE - Other Index Options'!$L:$L,'BSE - Other Index Options'!$C:$C,$A164,'BSE - Other Index Options'!$B:$B,D$147,'BSE - Other Index Options'!$H:$H,"MDAW*"))</f>
        <v>33804.950000000004</v>
      </c>
      <c r="E164" s="26">
        <f>IF(SUMIFS('BSE - SENSEX Index Options'!$L:$L,'BSE - SENSEX Index Options'!$C:$C,$A164,'BSE - SENSEX Index Options'!$B:$B,E$147,'BSE - SENSEX Index Options'!$H:$H,"Weekly*")+SUMIFS('BSE - SENSEX Index Options'!$L:$L,'BSE - SENSEX Index Options'!$C:$C,$A164,'BSE - SENSEX Index Options'!$B:$B,E$147,'BSE - SENSEX Index Options'!$H:$H,"MDAW*")+SUMIFS('BSE - Other Index Options'!$L:$L,'BSE - Other Index Options'!$C:$C,$A164,'BSE - Other Index Options'!$B:$B,E$147,'BSE - Other Index Options'!$H:$H,"Weekly*")+SUMIFS('BSE - Other Index Options'!$L:$L,'BSE - Other Index Options'!$C:$C,$A164,'BSE - Other Index Options'!$B:$B,E$147,'BSE - Other Index Options'!$H:$H,"MDAW*")=0,"",SUMIFS('BSE - SENSEX Index Options'!$L:$L,'BSE - SENSEX Index Options'!$C:$C,$A164,'BSE - SENSEX Index Options'!$B:$B,E$147,'BSE - SENSEX Index Options'!$H:$H,"Weekly*")+SUMIFS('BSE - SENSEX Index Options'!$L:$L,'BSE - SENSEX Index Options'!$C:$C,$A164,'BSE - SENSEX Index Options'!$B:$B,E$147,'BSE - SENSEX Index Options'!$H:$H,"MDAW*")+SUMIFS('BSE - Other Index Options'!$L:$L,'BSE - Other Index Options'!$C:$C,$A164,'BSE - Other Index Options'!$B:$B,E$147,'BSE - Other Index Options'!$H:$H,"Weekly*")+SUMIFS('BSE - Other Index Options'!$L:$L,'BSE - Other Index Options'!$C:$C,$A164,'BSE - Other Index Options'!$B:$B,E$147,'BSE - Other Index Options'!$H:$H,"MDAW*"))</f>
        <v>53833.399999999994</v>
      </c>
      <c r="F164" s="26">
        <f>IF(SUMIFS('BSE - SENSEX Index Options'!$L:$L,'BSE - SENSEX Index Options'!$C:$C,$A164,'BSE - SENSEX Index Options'!$B:$B,F$147,'BSE - SENSEX Index Options'!$H:$H,"Weekly*")+SUMIFS('BSE - SENSEX Index Options'!$L:$L,'BSE - SENSEX Index Options'!$C:$C,$A164,'BSE - SENSEX Index Options'!$B:$B,F$147,'BSE - SENSEX Index Options'!$H:$H,"MDAW*")+SUMIFS('BSE - Other Index Options'!$L:$L,'BSE - Other Index Options'!$C:$C,$A164,'BSE - Other Index Options'!$B:$B,F$147,'BSE - Other Index Options'!$H:$H,"Weekly*")+SUMIFS('BSE - Other Index Options'!$L:$L,'BSE - Other Index Options'!$C:$C,$A164,'BSE - Other Index Options'!$B:$B,F$147,'BSE - Other Index Options'!$H:$H,"MDAW*")=0,"",SUMIFS('BSE - SENSEX Index Options'!$L:$L,'BSE - SENSEX Index Options'!$C:$C,$A164,'BSE - SENSEX Index Options'!$B:$B,F$147,'BSE - SENSEX Index Options'!$H:$H,"Weekly*")+SUMIFS('BSE - SENSEX Index Options'!$L:$L,'BSE - SENSEX Index Options'!$C:$C,$A164,'BSE - SENSEX Index Options'!$B:$B,F$147,'BSE - SENSEX Index Options'!$H:$H,"MDAW*")+SUMIFS('BSE - Other Index Options'!$L:$L,'BSE - Other Index Options'!$C:$C,$A164,'BSE - Other Index Options'!$B:$B,F$147,'BSE - Other Index Options'!$H:$H,"Weekly*")+SUMIFS('BSE - Other Index Options'!$L:$L,'BSE - Other Index Options'!$C:$C,$A164,'BSE - Other Index Options'!$B:$B,F$147,'BSE - Other Index Options'!$H:$H,"MDAW*"))</f>
        <v>9900.9500000000007</v>
      </c>
      <c r="G164" s="26" t="str">
        <f>IF(SUMIFS('BSE - SENSEX Index Options'!$L:$L,'BSE - SENSEX Index Options'!$C:$C,$A164,'BSE - SENSEX Index Options'!$B:$B,G$147,'BSE - SENSEX Index Options'!$H:$H,"Weekly*")+SUMIFS('BSE - SENSEX Index Options'!$L:$L,'BSE - SENSEX Index Options'!$C:$C,$A164,'BSE - SENSEX Index Options'!$B:$B,G$147,'BSE - SENSEX Index Options'!$H:$H,"MDAW*")+SUMIFS('BSE - Other Index Options'!$L:$L,'BSE - Other Index Options'!$C:$C,$A164,'BSE - Other Index Options'!$B:$B,G$147,'BSE - Other Index Options'!$H:$H,"Weekly*")+SUMIFS('BSE - Other Index Options'!$L:$L,'BSE - Other Index Options'!$C:$C,$A164,'BSE - Other Index Options'!$B:$B,G$147,'BSE - Other Index Options'!$H:$H,"MDAW*")=0,"",SUMIFS('BSE - SENSEX Index Options'!$L:$L,'BSE - SENSEX Index Options'!$C:$C,$A164,'BSE - SENSEX Index Options'!$B:$B,G$147,'BSE - SENSEX Index Options'!$H:$H,"Weekly*")+SUMIFS('BSE - SENSEX Index Options'!$L:$L,'BSE - SENSEX Index Options'!$C:$C,$A164,'BSE - SENSEX Index Options'!$B:$B,G$147,'BSE - SENSEX Index Options'!$H:$H,"MDAW*")+SUMIFS('BSE - Other Index Options'!$L:$L,'BSE - Other Index Options'!$C:$C,$A164,'BSE - Other Index Options'!$B:$B,G$147,'BSE - Other Index Options'!$H:$H,"Weekly*")+SUMIFS('BSE - Other Index Options'!$L:$L,'BSE - Other Index Options'!$C:$C,$A164,'BSE - Other Index Options'!$B:$B,G$147,'BSE - Other Index Options'!$H:$H,"MDAW*"))</f>
        <v/>
      </c>
      <c r="H164" s="26">
        <f t="shared" si="6"/>
        <v>119716.56999999999</v>
      </c>
    </row>
    <row r="165" spans="1:8">
      <c r="A165" t="s">
        <v>27</v>
      </c>
      <c r="B165" s="26">
        <f>IF(SUMIFS('BSE - SENSEX Index Options'!$L:$L,'BSE - SENSEX Index Options'!$C:$C,$A165,'BSE - SENSEX Index Options'!$B:$B,B$147,'BSE - SENSEX Index Options'!$H:$H,"Weekly*")+SUMIFS('BSE - SENSEX Index Options'!$L:$L,'BSE - SENSEX Index Options'!$C:$C,$A165,'BSE - SENSEX Index Options'!$B:$B,B$147,'BSE - SENSEX Index Options'!$H:$H,"MDAW*")+SUMIFS('BSE - Other Index Options'!$L:$L,'BSE - Other Index Options'!$C:$C,$A165,'BSE - Other Index Options'!$B:$B,B$147,'BSE - Other Index Options'!$H:$H,"Weekly*")+SUMIFS('BSE - Other Index Options'!$L:$L,'BSE - Other Index Options'!$C:$C,$A165,'BSE - Other Index Options'!$B:$B,B$147,'BSE - Other Index Options'!$H:$H,"MDAW*")=0,"",SUMIFS('BSE - SENSEX Index Options'!$L:$L,'BSE - SENSEX Index Options'!$C:$C,$A165,'BSE - SENSEX Index Options'!$B:$B,B$147,'BSE - SENSEX Index Options'!$H:$H,"Weekly*")+SUMIFS('BSE - SENSEX Index Options'!$L:$L,'BSE - SENSEX Index Options'!$C:$C,$A165,'BSE - SENSEX Index Options'!$B:$B,B$147,'BSE - SENSEX Index Options'!$H:$H,"MDAW*")+SUMIFS('BSE - Other Index Options'!$L:$L,'BSE - Other Index Options'!$C:$C,$A165,'BSE - Other Index Options'!$B:$B,B$147,'BSE - Other Index Options'!$H:$H,"Weekly*")+SUMIFS('BSE - Other Index Options'!$L:$L,'BSE - Other Index Options'!$C:$C,$A165,'BSE - Other Index Options'!$B:$B,B$147,'BSE - Other Index Options'!$H:$H,"MDAW*"))</f>
        <v>9598.0700000000015</v>
      </c>
      <c r="C165" s="26">
        <f>IF(SUMIFS('BSE - SENSEX Index Options'!$L:$L,'BSE - SENSEX Index Options'!$C:$C,$A165,'BSE - SENSEX Index Options'!$B:$B,C$147,'BSE - SENSEX Index Options'!$H:$H,"Weekly*")+SUMIFS('BSE - SENSEX Index Options'!$L:$L,'BSE - SENSEX Index Options'!$C:$C,$A165,'BSE - SENSEX Index Options'!$B:$B,C$147,'BSE - SENSEX Index Options'!$H:$H,"MDAW*")+SUMIFS('BSE - Other Index Options'!$L:$L,'BSE - Other Index Options'!$C:$C,$A165,'BSE - Other Index Options'!$B:$B,C$147,'BSE - Other Index Options'!$H:$H,"Weekly*")+SUMIFS('BSE - Other Index Options'!$L:$L,'BSE - Other Index Options'!$C:$C,$A165,'BSE - Other Index Options'!$B:$B,C$147,'BSE - Other Index Options'!$H:$H,"MDAW*")=0,"",SUMIFS('BSE - SENSEX Index Options'!$L:$L,'BSE - SENSEX Index Options'!$C:$C,$A165,'BSE - SENSEX Index Options'!$B:$B,C$147,'BSE - SENSEX Index Options'!$H:$H,"Weekly*")+SUMIFS('BSE - SENSEX Index Options'!$L:$L,'BSE - SENSEX Index Options'!$C:$C,$A165,'BSE - SENSEX Index Options'!$B:$B,C$147,'BSE - SENSEX Index Options'!$H:$H,"MDAW*")+SUMIFS('BSE - Other Index Options'!$L:$L,'BSE - Other Index Options'!$C:$C,$A165,'BSE - Other Index Options'!$B:$B,C$147,'BSE - Other Index Options'!$H:$H,"Weekly*")+SUMIFS('BSE - Other Index Options'!$L:$L,'BSE - Other Index Options'!$C:$C,$A165,'BSE - Other Index Options'!$B:$B,C$147,'BSE - Other Index Options'!$H:$H,"MDAW*"))</f>
        <v>8607.4499999999989</v>
      </c>
      <c r="D165" s="26">
        <f>IF(SUMIFS('BSE - SENSEX Index Options'!$L:$L,'BSE - SENSEX Index Options'!$C:$C,$A165,'BSE - SENSEX Index Options'!$B:$B,D$147,'BSE - SENSEX Index Options'!$H:$H,"Weekly*")+SUMIFS('BSE - SENSEX Index Options'!$L:$L,'BSE - SENSEX Index Options'!$C:$C,$A165,'BSE - SENSEX Index Options'!$B:$B,D$147,'BSE - SENSEX Index Options'!$H:$H,"MDAW*")+SUMIFS('BSE - Other Index Options'!$L:$L,'BSE - Other Index Options'!$C:$C,$A165,'BSE - Other Index Options'!$B:$B,D$147,'BSE - Other Index Options'!$H:$H,"Weekly*")+SUMIFS('BSE - Other Index Options'!$L:$L,'BSE - Other Index Options'!$C:$C,$A165,'BSE - Other Index Options'!$B:$B,D$147,'BSE - Other Index Options'!$H:$H,"MDAW*")=0,"",SUMIFS('BSE - SENSEX Index Options'!$L:$L,'BSE - SENSEX Index Options'!$C:$C,$A165,'BSE - SENSEX Index Options'!$B:$B,D$147,'BSE - SENSEX Index Options'!$H:$H,"Weekly*")+SUMIFS('BSE - SENSEX Index Options'!$L:$L,'BSE - SENSEX Index Options'!$C:$C,$A165,'BSE - SENSEX Index Options'!$B:$B,D$147,'BSE - SENSEX Index Options'!$H:$H,"MDAW*")+SUMIFS('BSE - Other Index Options'!$L:$L,'BSE - Other Index Options'!$C:$C,$A165,'BSE - Other Index Options'!$B:$B,D$147,'BSE - Other Index Options'!$H:$H,"Weekly*")+SUMIFS('BSE - Other Index Options'!$L:$L,'BSE - Other Index Options'!$C:$C,$A165,'BSE - Other Index Options'!$B:$B,D$147,'BSE - Other Index Options'!$H:$H,"MDAW*"))</f>
        <v>25739.769999999997</v>
      </c>
      <c r="E165" s="26">
        <f>IF(SUMIFS('BSE - SENSEX Index Options'!$L:$L,'BSE - SENSEX Index Options'!$C:$C,$A165,'BSE - SENSEX Index Options'!$B:$B,E$147,'BSE - SENSEX Index Options'!$H:$H,"Weekly*")+SUMIFS('BSE - SENSEX Index Options'!$L:$L,'BSE - SENSEX Index Options'!$C:$C,$A165,'BSE - SENSEX Index Options'!$B:$B,E$147,'BSE - SENSEX Index Options'!$H:$H,"MDAW*")+SUMIFS('BSE - Other Index Options'!$L:$L,'BSE - Other Index Options'!$C:$C,$A165,'BSE - Other Index Options'!$B:$B,E$147,'BSE - Other Index Options'!$H:$H,"Weekly*")+SUMIFS('BSE - Other Index Options'!$L:$L,'BSE - Other Index Options'!$C:$C,$A165,'BSE - Other Index Options'!$B:$B,E$147,'BSE - Other Index Options'!$H:$H,"MDAW*")=0,"",SUMIFS('BSE - SENSEX Index Options'!$L:$L,'BSE - SENSEX Index Options'!$C:$C,$A165,'BSE - SENSEX Index Options'!$B:$B,E$147,'BSE - SENSEX Index Options'!$H:$H,"Weekly*")+SUMIFS('BSE - SENSEX Index Options'!$L:$L,'BSE - SENSEX Index Options'!$C:$C,$A165,'BSE - SENSEX Index Options'!$B:$B,E$147,'BSE - SENSEX Index Options'!$H:$H,"MDAW*")+SUMIFS('BSE - Other Index Options'!$L:$L,'BSE - Other Index Options'!$C:$C,$A165,'BSE - Other Index Options'!$B:$B,E$147,'BSE - Other Index Options'!$H:$H,"Weekly*")+SUMIFS('BSE - Other Index Options'!$L:$L,'BSE - Other Index Options'!$C:$C,$A165,'BSE - Other Index Options'!$B:$B,E$147,'BSE - Other Index Options'!$H:$H,"MDAW*"))</f>
        <v>44656.139999999992</v>
      </c>
      <c r="F165" s="26">
        <f>IF(SUMIFS('BSE - SENSEX Index Options'!$L:$L,'BSE - SENSEX Index Options'!$C:$C,$A165,'BSE - SENSEX Index Options'!$B:$B,F$147,'BSE - SENSEX Index Options'!$H:$H,"Weekly*")+SUMIFS('BSE - SENSEX Index Options'!$L:$L,'BSE - SENSEX Index Options'!$C:$C,$A165,'BSE - SENSEX Index Options'!$B:$B,F$147,'BSE - SENSEX Index Options'!$H:$H,"MDAW*")+SUMIFS('BSE - Other Index Options'!$L:$L,'BSE - Other Index Options'!$C:$C,$A165,'BSE - Other Index Options'!$B:$B,F$147,'BSE - Other Index Options'!$H:$H,"Weekly*")+SUMIFS('BSE - Other Index Options'!$L:$L,'BSE - Other Index Options'!$C:$C,$A165,'BSE - Other Index Options'!$B:$B,F$147,'BSE - Other Index Options'!$H:$H,"MDAW*")=0,"",SUMIFS('BSE - SENSEX Index Options'!$L:$L,'BSE - SENSEX Index Options'!$C:$C,$A165,'BSE - SENSEX Index Options'!$B:$B,F$147,'BSE - SENSEX Index Options'!$H:$H,"Weekly*")+SUMIFS('BSE - SENSEX Index Options'!$L:$L,'BSE - SENSEX Index Options'!$C:$C,$A165,'BSE - SENSEX Index Options'!$B:$B,F$147,'BSE - SENSEX Index Options'!$H:$H,"MDAW*")+SUMIFS('BSE - Other Index Options'!$L:$L,'BSE - Other Index Options'!$C:$C,$A165,'BSE - Other Index Options'!$B:$B,F$147,'BSE - Other Index Options'!$H:$H,"Weekly*")+SUMIFS('BSE - Other Index Options'!$L:$L,'BSE - Other Index Options'!$C:$C,$A165,'BSE - Other Index Options'!$B:$B,F$147,'BSE - Other Index Options'!$H:$H,"MDAW*"))</f>
        <v>8704.5199999999986</v>
      </c>
      <c r="G165" s="26" t="str">
        <f>IF(SUMIFS('BSE - SENSEX Index Options'!$L:$L,'BSE - SENSEX Index Options'!$C:$C,$A165,'BSE - SENSEX Index Options'!$B:$B,G$147,'BSE - SENSEX Index Options'!$H:$H,"Weekly*")+SUMIFS('BSE - SENSEX Index Options'!$L:$L,'BSE - SENSEX Index Options'!$C:$C,$A165,'BSE - SENSEX Index Options'!$B:$B,G$147,'BSE - SENSEX Index Options'!$H:$H,"MDAW*")+SUMIFS('BSE - Other Index Options'!$L:$L,'BSE - Other Index Options'!$C:$C,$A165,'BSE - Other Index Options'!$B:$B,G$147,'BSE - Other Index Options'!$H:$H,"Weekly*")+SUMIFS('BSE - Other Index Options'!$L:$L,'BSE - Other Index Options'!$C:$C,$A165,'BSE - Other Index Options'!$B:$B,G$147,'BSE - Other Index Options'!$H:$H,"MDAW*")=0,"",SUMIFS('BSE - SENSEX Index Options'!$L:$L,'BSE - SENSEX Index Options'!$C:$C,$A165,'BSE - SENSEX Index Options'!$B:$B,G$147,'BSE - SENSEX Index Options'!$H:$H,"Weekly*")+SUMIFS('BSE - SENSEX Index Options'!$L:$L,'BSE - SENSEX Index Options'!$C:$C,$A165,'BSE - SENSEX Index Options'!$B:$B,G$147,'BSE - SENSEX Index Options'!$H:$H,"MDAW*")+SUMIFS('BSE - Other Index Options'!$L:$L,'BSE - Other Index Options'!$C:$C,$A165,'BSE - Other Index Options'!$B:$B,G$147,'BSE - Other Index Options'!$H:$H,"Weekly*")+SUMIFS('BSE - Other Index Options'!$L:$L,'BSE - Other Index Options'!$C:$C,$A165,'BSE - Other Index Options'!$B:$B,G$147,'BSE - Other Index Options'!$H:$H,"MDAW*"))</f>
        <v/>
      </c>
      <c r="H165" s="26">
        <f t="shared" si="6"/>
        <v>97305.95</v>
      </c>
    </row>
    <row r="166" spans="1:8">
      <c r="A166" t="s">
        <v>28</v>
      </c>
      <c r="B166" s="26">
        <f>IF(SUMIFS('BSE - SENSEX Index Options'!$L:$L,'BSE - SENSEX Index Options'!$C:$C,$A166,'BSE - SENSEX Index Options'!$B:$B,B$147,'BSE - SENSEX Index Options'!$H:$H,"Weekly*")+SUMIFS('BSE - SENSEX Index Options'!$L:$L,'BSE - SENSEX Index Options'!$C:$C,$A166,'BSE - SENSEX Index Options'!$B:$B,B$147,'BSE - SENSEX Index Options'!$H:$H,"MDAW*")+SUMIFS('BSE - Other Index Options'!$L:$L,'BSE - Other Index Options'!$C:$C,$A166,'BSE - Other Index Options'!$B:$B,B$147,'BSE - Other Index Options'!$H:$H,"Weekly*")+SUMIFS('BSE - Other Index Options'!$L:$L,'BSE - Other Index Options'!$C:$C,$A166,'BSE - Other Index Options'!$B:$B,B$147,'BSE - Other Index Options'!$H:$H,"MDAW*")=0,"",SUMIFS('BSE - SENSEX Index Options'!$L:$L,'BSE - SENSEX Index Options'!$C:$C,$A166,'BSE - SENSEX Index Options'!$B:$B,B$147,'BSE - SENSEX Index Options'!$H:$H,"Weekly*")+SUMIFS('BSE - SENSEX Index Options'!$L:$L,'BSE - SENSEX Index Options'!$C:$C,$A166,'BSE - SENSEX Index Options'!$B:$B,B$147,'BSE - SENSEX Index Options'!$H:$H,"MDAW*")+SUMIFS('BSE - Other Index Options'!$L:$L,'BSE - Other Index Options'!$C:$C,$A166,'BSE - Other Index Options'!$B:$B,B$147,'BSE - Other Index Options'!$H:$H,"Weekly*")+SUMIFS('BSE - Other Index Options'!$L:$L,'BSE - Other Index Options'!$C:$C,$A166,'BSE - Other Index Options'!$B:$B,B$147,'BSE - Other Index Options'!$H:$H,"MDAW*"))</f>
        <v>6902.0800000000008</v>
      </c>
      <c r="C166" s="26">
        <f>IF(SUMIFS('BSE - SENSEX Index Options'!$L:$L,'BSE - SENSEX Index Options'!$C:$C,$A166,'BSE - SENSEX Index Options'!$B:$B,C$147,'BSE - SENSEX Index Options'!$H:$H,"Weekly*")+SUMIFS('BSE - SENSEX Index Options'!$L:$L,'BSE - SENSEX Index Options'!$C:$C,$A166,'BSE - SENSEX Index Options'!$B:$B,C$147,'BSE - SENSEX Index Options'!$H:$H,"MDAW*")+SUMIFS('BSE - Other Index Options'!$L:$L,'BSE - Other Index Options'!$C:$C,$A166,'BSE - Other Index Options'!$B:$B,C$147,'BSE - Other Index Options'!$H:$H,"Weekly*")+SUMIFS('BSE - Other Index Options'!$L:$L,'BSE - Other Index Options'!$C:$C,$A166,'BSE - Other Index Options'!$B:$B,C$147,'BSE - Other Index Options'!$H:$H,"MDAW*")=0,"",SUMIFS('BSE - SENSEX Index Options'!$L:$L,'BSE - SENSEX Index Options'!$C:$C,$A166,'BSE - SENSEX Index Options'!$B:$B,C$147,'BSE - SENSEX Index Options'!$H:$H,"Weekly*")+SUMIFS('BSE - SENSEX Index Options'!$L:$L,'BSE - SENSEX Index Options'!$C:$C,$A166,'BSE - SENSEX Index Options'!$B:$B,C$147,'BSE - SENSEX Index Options'!$H:$H,"MDAW*")+SUMIFS('BSE - Other Index Options'!$L:$L,'BSE - Other Index Options'!$C:$C,$A166,'BSE - Other Index Options'!$B:$B,C$147,'BSE - Other Index Options'!$H:$H,"Weekly*")+SUMIFS('BSE - Other Index Options'!$L:$L,'BSE - Other Index Options'!$C:$C,$A166,'BSE - Other Index Options'!$B:$B,C$147,'BSE - Other Index Options'!$H:$H,"MDAW*"))</f>
        <v>8168.3700000000008</v>
      </c>
      <c r="D166" s="26">
        <f>IF(SUMIFS('BSE - SENSEX Index Options'!$L:$L,'BSE - SENSEX Index Options'!$C:$C,$A166,'BSE - SENSEX Index Options'!$B:$B,D$147,'BSE - SENSEX Index Options'!$H:$H,"Weekly*")+SUMIFS('BSE - SENSEX Index Options'!$L:$L,'BSE - SENSEX Index Options'!$C:$C,$A166,'BSE - SENSEX Index Options'!$B:$B,D$147,'BSE - SENSEX Index Options'!$H:$H,"MDAW*")+SUMIFS('BSE - Other Index Options'!$L:$L,'BSE - Other Index Options'!$C:$C,$A166,'BSE - Other Index Options'!$B:$B,D$147,'BSE - Other Index Options'!$H:$H,"Weekly*")+SUMIFS('BSE - Other Index Options'!$L:$L,'BSE - Other Index Options'!$C:$C,$A166,'BSE - Other Index Options'!$B:$B,D$147,'BSE - Other Index Options'!$H:$H,"MDAW*")=0,"",SUMIFS('BSE - SENSEX Index Options'!$L:$L,'BSE - SENSEX Index Options'!$C:$C,$A166,'BSE - SENSEX Index Options'!$B:$B,D$147,'BSE - SENSEX Index Options'!$H:$H,"Weekly*")+SUMIFS('BSE - SENSEX Index Options'!$L:$L,'BSE - SENSEX Index Options'!$C:$C,$A166,'BSE - SENSEX Index Options'!$B:$B,D$147,'BSE - SENSEX Index Options'!$H:$H,"MDAW*")+SUMIFS('BSE - Other Index Options'!$L:$L,'BSE - Other Index Options'!$C:$C,$A166,'BSE - Other Index Options'!$B:$B,D$147,'BSE - Other Index Options'!$H:$H,"Weekly*")+SUMIFS('BSE - Other Index Options'!$L:$L,'BSE - Other Index Options'!$C:$C,$A166,'BSE - Other Index Options'!$B:$B,D$147,'BSE - Other Index Options'!$H:$H,"MDAW*"))</f>
        <v>32519.759999999998</v>
      </c>
      <c r="E166" s="26" t="str">
        <f>IF(SUMIFS('BSE - SENSEX Index Options'!$L:$L,'BSE - SENSEX Index Options'!$C:$C,$A166,'BSE - SENSEX Index Options'!$B:$B,E$147,'BSE - SENSEX Index Options'!$H:$H,"Weekly*")+SUMIFS('BSE - SENSEX Index Options'!$L:$L,'BSE - SENSEX Index Options'!$C:$C,$A166,'BSE - SENSEX Index Options'!$B:$B,E$147,'BSE - SENSEX Index Options'!$H:$H,"MDAW*")+SUMIFS('BSE - Other Index Options'!$L:$L,'BSE - Other Index Options'!$C:$C,$A166,'BSE - Other Index Options'!$B:$B,E$147,'BSE - Other Index Options'!$H:$H,"Weekly*")+SUMIFS('BSE - Other Index Options'!$L:$L,'BSE - Other Index Options'!$C:$C,$A166,'BSE - Other Index Options'!$B:$B,E$147,'BSE - Other Index Options'!$H:$H,"MDAW*")=0,"",SUMIFS('BSE - SENSEX Index Options'!$L:$L,'BSE - SENSEX Index Options'!$C:$C,$A166,'BSE - SENSEX Index Options'!$B:$B,E$147,'BSE - SENSEX Index Options'!$H:$H,"Weekly*")+SUMIFS('BSE - SENSEX Index Options'!$L:$L,'BSE - SENSEX Index Options'!$C:$C,$A166,'BSE - SENSEX Index Options'!$B:$B,E$147,'BSE - SENSEX Index Options'!$H:$H,"MDAW*")+SUMIFS('BSE - Other Index Options'!$L:$L,'BSE - Other Index Options'!$C:$C,$A166,'BSE - Other Index Options'!$B:$B,E$147,'BSE - Other Index Options'!$H:$H,"Weekly*")+SUMIFS('BSE - Other Index Options'!$L:$L,'BSE - Other Index Options'!$C:$C,$A166,'BSE - Other Index Options'!$B:$B,E$147,'BSE - Other Index Options'!$H:$H,"MDAW*"))</f>
        <v/>
      </c>
      <c r="F166" s="26">
        <f>IF(SUMIFS('BSE - SENSEX Index Options'!$L:$L,'BSE - SENSEX Index Options'!$C:$C,$A166,'BSE - SENSEX Index Options'!$B:$B,F$147,'BSE - SENSEX Index Options'!$H:$H,"Weekly*")+SUMIFS('BSE - SENSEX Index Options'!$L:$L,'BSE - SENSEX Index Options'!$C:$C,$A166,'BSE - SENSEX Index Options'!$B:$B,F$147,'BSE - SENSEX Index Options'!$H:$H,"MDAW*")+SUMIFS('BSE - Other Index Options'!$L:$L,'BSE - Other Index Options'!$C:$C,$A166,'BSE - Other Index Options'!$B:$B,F$147,'BSE - Other Index Options'!$H:$H,"Weekly*")+SUMIFS('BSE - Other Index Options'!$L:$L,'BSE - Other Index Options'!$C:$C,$A166,'BSE - Other Index Options'!$B:$B,F$147,'BSE - Other Index Options'!$H:$H,"MDAW*")=0,"",SUMIFS('BSE - SENSEX Index Options'!$L:$L,'BSE - SENSEX Index Options'!$C:$C,$A166,'BSE - SENSEX Index Options'!$B:$B,F$147,'BSE - SENSEX Index Options'!$H:$H,"Weekly*")+SUMIFS('BSE - SENSEX Index Options'!$L:$L,'BSE - SENSEX Index Options'!$C:$C,$A166,'BSE - SENSEX Index Options'!$B:$B,F$147,'BSE - SENSEX Index Options'!$H:$H,"MDAW*")+SUMIFS('BSE - Other Index Options'!$L:$L,'BSE - Other Index Options'!$C:$C,$A166,'BSE - Other Index Options'!$B:$B,F$147,'BSE - Other Index Options'!$H:$H,"Weekly*")+SUMIFS('BSE - Other Index Options'!$L:$L,'BSE - Other Index Options'!$C:$C,$A166,'BSE - Other Index Options'!$B:$B,F$147,'BSE - Other Index Options'!$H:$H,"MDAW*"))</f>
        <v>5708.9100000000008</v>
      </c>
      <c r="G166" s="26" t="str">
        <f>IF(SUMIFS('BSE - SENSEX Index Options'!$L:$L,'BSE - SENSEX Index Options'!$C:$C,$A166,'BSE - SENSEX Index Options'!$B:$B,G$147,'BSE - SENSEX Index Options'!$H:$H,"Weekly*")+SUMIFS('BSE - SENSEX Index Options'!$L:$L,'BSE - SENSEX Index Options'!$C:$C,$A166,'BSE - SENSEX Index Options'!$B:$B,G$147,'BSE - SENSEX Index Options'!$H:$H,"MDAW*")+SUMIFS('BSE - Other Index Options'!$L:$L,'BSE - Other Index Options'!$C:$C,$A166,'BSE - Other Index Options'!$B:$B,G$147,'BSE - Other Index Options'!$H:$H,"Weekly*")+SUMIFS('BSE - Other Index Options'!$L:$L,'BSE - Other Index Options'!$C:$C,$A166,'BSE - Other Index Options'!$B:$B,G$147,'BSE - Other Index Options'!$H:$H,"MDAW*")=0,"",SUMIFS('BSE - SENSEX Index Options'!$L:$L,'BSE - SENSEX Index Options'!$C:$C,$A166,'BSE - SENSEX Index Options'!$B:$B,G$147,'BSE - SENSEX Index Options'!$H:$H,"Weekly*")+SUMIFS('BSE - SENSEX Index Options'!$L:$L,'BSE - SENSEX Index Options'!$C:$C,$A166,'BSE - SENSEX Index Options'!$B:$B,G$147,'BSE - SENSEX Index Options'!$H:$H,"MDAW*")+SUMIFS('BSE - Other Index Options'!$L:$L,'BSE - Other Index Options'!$C:$C,$A166,'BSE - Other Index Options'!$B:$B,G$147,'BSE - Other Index Options'!$H:$H,"Weekly*")+SUMIFS('BSE - Other Index Options'!$L:$L,'BSE - Other Index Options'!$C:$C,$A166,'BSE - Other Index Options'!$B:$B,G$147,'BSE - Other Index Options'!$H:$H,"MDAW*"))</f>
        <v/>
      </c>
      <c r="H166" s="26">
        <f t="shared" si="6"/>
        <v>53299.12</v>
      </c>
    </row>
    <row r="167" spans="1:8">
      <c r="A167" t="s">
        <v>29</v>
      </c>
      <c r="B167" s="26">
        <f>IF(SUMIFS('BSE - SENSEX Index Options'!$L:$L,'BSE - SENSEX Index Options'!$C:$C,$A167,'BSE - SENSEX Index Options'!$B:$B,B$147,'BSE - SENSEX Index Options'!$H:$H,"Weekly*")+SUMIFS('BSE - SENSEX Index Options'!$L:$L,'BSE - SENSEX Index Options'!$C:$C,$A167,'BSE - SENSEX Index Options'!$B:$B,B$147,'BSE - SENSEX Index Options'!$H:$H,"MDAW*")+SUMIFS('BSE - Other Index Options'!$L:$L,'BSE - Other Index Options'!$C:$C,$A167,'BSE - Other Index Options'!$B:$B,B$147,'BSE - Other Index Options'!$H:$H,"Weekly*")+SUMIFS('BSE - Other Index Options'!$L:$L,'BSE - Other Index Options'!$C:$C,$A167,'BSE - Other Index Options'!$B:$B,B$147,'BSE - Other Index Options'!$H:$H,"MDAW*")=0,"",SUMIFS('BSE - SENSEX Index Options'!$L:$L,'BSE - SENSEX Index Options'!$C:$C,$A167,'BSE - SENSEX Index Options'!$B:$B,B$147,'BSE - SENSEX Index Options'!$H:$H,"Weekly*")+SUMIFS('BSE - SENSEX Index Options'!$L:$L,'BSE - SENSEX Index Options'!$C:$C,$A167,'BSE - SENSEX Index Options'!$B:$B,B$147,'BSE - SENSEX Index Options'!$H:$H,"MDAW*")+SUMIFS('BSE - Other Index Options'!$L:$L,'BSE - Other Index Options'!$C:$C,$A167,'BSE - Other Index Options'!$B:$B,B$147,'BSE - Other Index Options'!$H:$H,"Weekly*")+SUMIFS('BSE - Other Index Options'!$L:$L,'BSE - Other Index Options'!$C:$C,$A167,'BSE - Other Index Options'!$B:$B,B$147,'BSE - Other Index Options'!$H:$H,"MDAW*"))</f>
        <v>6991.28</v>
      </c>
      <c r="C167" s="26">
        <f>IF(SUMIFS('BSE - SENSEX Index Options'!$L:$L,'BSE - SENSEX Index Options'!$C:$C,$A167,'BSE - SENSEX Index Options'!$B:$B,C$147,'BSE - SENSEX Index Options'!$H:$H,"Weekly*")+SUMIFS('BSE - SENSEX Index Options'!$L:$L,'BSE - SENSEX Index Options'!$C:$C,$A167,'BSE - SENSEX Index Options'!$B:$B,C$147,'BSE - SENSEX Index Options'!$H:$H,"MDAW*")+SUMIFS('BSE - Other Index Options'!$L:$L,'BSE - Other Index Options'!$C:$C,$A167,'BSE - Other Index Options'!$B:$B,C$147,'BSE - Other Index Options'!$H:$H,"Weekly*")+SUMIFS('BSE - Other Index Options'!$L:$L,'BSE - Other Index Options'!$C:$C,$A167,'BSE - Other Index Options'!$B:$B,C$147,'BSE - Other Index Options'!$H:$H,"MDAW*")=0,"",SUMIFS('BSE - SENSEX Index Options'!$L:$L,'BSE - SENSEX Index Options'!$C:$C,$A167,'BSE - SENSEX Index Options'!$B:$B,C$147,'BSE - SENSEX Index Options'!$H:$H,"Weekly*")+SUMIFS('BSE - SENSEX Index Options'!$L:$L,'BSE - SENSEX Index Options'!$C:$C,$A167,'BSE - SENSEX Index Options'!$B:$B,C$147,'BSE - SENSEX Index Options'!$H:$H,"MDAW*")+SUMIFS('BSE - Other Index Options'!$L:$L,'BSE - Other Index Options'!$C:$C,$A167,'BSE - Other Index Options'!$B:$B,C$147,'BSE - Other Index Options'!$H:$H,"Weekly*")+SUMIFS('BSE - Other Index Options'!$L:$L,'BSE - Other Index Options'!$C:$C,$A167,'BSE - Other Index Options'!$B:$B,C$147,'BSE - Other Index Options'!$H:$H,"MDAW*"))</f>
        <v>8042.59</v>
      </c>
      <c r="D167" s="26">
        <f>IF(SUMIFS('BSE - SENSEX Index Options'!$L:$L,'BSE - SENSEX Index Options'!$C:$C,$A167,'BSE - SENSEX Index Options'!$B:$B,D$147,'BSE - SENSEX Index Options'!$H:$H,"Weekly*")+SUMIFS('BSE - SENSEX Index Options'!$L:$L,'BSE - SENSEX Index Options'!$C:$C,$A167,'BSE - SENSEX Index Options'!$B:$B,D$147,'BSE - SENSEX Index Options'!$H:$H,"MDAW*")+SUMIFS('BSE - Other Index Options'!$L:$L,'BSE - Other Index Options'!$C:$C,$A167,'BSE - Other Index Options'!$B:$B,D$147,'BSE - Other Index Options'!$H:$H,"Weekly*")+SUMIFS('BSE - Other Index Options'!$L:$L,'BSE - Other Index Options'!$C:$C,$A167,'BSE - Other Index Options'!$B:$B,D$147,'BSE - Other Index Options'!$H:$H,"MDAW*")=0,"",SUMIFS('BSE - SENSEX Index Options'!$L:$L,'BSE - SENSEX Index Options'!$C:$C,$A167,'BSE - SENSEX Index Options'!$B:$B,D$147,'BSE - SENSEX Index Options'!$H:$H,"Weekly*")+SUMIFS('BSE - SENSEX Index Options'!$L:$L,'BSE - SENSEX Index Options'!$C:$C,$A167,'BSE - SENSEX Index Options'!$B:$B,D$147,'BSE - SENSEX Index Options'!$H:$H,"MDAW*")+SUMIFS('BSE - Other Index Options'!$L:$L,'BSE - Other Index Options'!$C:$C,$A167,'BSE - Other Index Options'!$B:$B,D$147,'BSE - Other Index Options'!$H:$H,"Weekly*")+SUMIFS('BSE - Other Index Options'!$L:$L,'BSE - Other Index Options'!$C:$C,$A167,'BSE - Other Index Options'!$B:$B,D$147,'BSE - Other Index Options'!$H:$H,"MDAW*"))</f>
        <v>24736.02</v>
      </c>
      <c r="E167" s="26" t="str">
        <f>IF(SUMIFS('BSE - SENSEX Index Options'!$L:$L,'BSE - SENSEX Index Options'!$C:$C,$A167,'BSE - SENSEX Index Options'!$B:$B,E$147,'BSE - SENSEX Index Options'!$H:$H,"Weekly*")+SUMIFS('BSE - SENSEX Index Options'!$L:$L,'BSE - SENSEX Index Options'!$C:$C,$A167,'BSE - SENSEX Index Options'!$B:$B,E$147,'BSE - SENSEX Index Options'!$H:$H,"MDAW*")+SUMIFS('BSE - Other Index Options'!$L:$L,'BSE - Other Index Options'!$C:$C,$A167,'BSE - Other Index Options'!$B:$B,E$147,'BSE - Other Index Options'!$H:$H,"Weekly*")+SUMIFS('BSE - Other Index Options'!$L:$L,'BSE - Other Index Options'!$C:$C,$A167,'BSE - Other Index Options'!$B:$B,E$147,'BSE - Other Index Options'!$H:$H,"MDAW*")=0,"",SUMIFS('BSE - SENSEX Index Options'!$L:$L,'BSE - SENSEX Index Options'!$C:$C,$A167,'BSE - SENSEX Index Options'!$B:$B,E$147,'BSE - SENSEX Index Options'!$H:$H,"Weekly*")+SUMIFS('BSE - SENSEX Index Options'!$L:$L,'BSE - SENSEX Index Options'!$C:$C,$A167,'BSE - SENSEX Index Options'!$B:$B,E$147,'BSE - SENSEX Index Options'!$H:$H,"MDAW*")+SUMIFS('BSE - Other Index Options'!$L:$L,'BSE - Other Index Options'!$C:$C,$A167,'BSE - Other Index Options'!$B:$B,E$147,'BSE - Other Index Options'!$H:$H,"Weekly*")+SUMIFS('BSE - Other Index Options'!$L:$L,'BSE - Other Index Options'!$C:$C,$A167,'BSE - Other Index Options'!$B:$B,E$147,'BSE - Other Index Options'!$H:$H,"MDAW*"))</f>
        <v/>
      </c>
      <c r="F167" s="26" t="str">
        <f>IF(SUMIFS('BSE - SENSEX Index Options'!$L:$L,'BSE - SENSEX Index Options'!$C:$C,$A167,'BSE - SENSEX Index Options'!$B:$B,F$147,'BSE - SENSEX Index Options'!$H:$H,"Weekly*")+SUMIFS('BSE - SENSEX Index Options'!$L:$L,'BSE - SENSEX Index Options'!$C:$C,$A167,'BSE - SENSEX Index Options'!$B:$B,F$147,'BSE - SENSEX Index Options'!$H:$H,"MDAW*")+SUMIFS('BSE - Other Index Options'!$L:$L,'BSE - Other Index Options'!$C:$C,$A167,'BSE - Other Index Options'!$B:$B,F$147,'BSE - Other Index Options'!$H:$H,"Weekly*")+SUMIFS('BSE - Other Index Options'!$L:$L,'BSE - Other Index Options'!$C:$C,$A167,'BSE - Other Index Options'!$B:$B,F$147,'BSE - Other Index Options'!$H:$H,"MDAW*")=0,"",SUMIFS('BSE - SENSEX Index Options'!$L:$L,'BSE - SENSEX Index Options'!$C:$C,$A167,'BSE - SENSEX Index Options'!$B:$B,F$147,'BSE - SENSEX Index Options'!$H:$H,"Weekly*")+SUMIFS('BSE - SENSEX Index Options'!$L:$L,'BSE - SENSEX Index Options'!$C:$C,$A167,'BSE - SENSEX Index Options'!$B:$B,F$147,'BSE - SENSEX Index Options'!$H:$H,"MDAW*")+SUMIFS('BSE - Other Index Options'!$L:$L,'BSE - Other Index Options'!$C:$C,$A167,'BSE - Other Index Options'!$B:$B,F$147,'BSE - Other Index Options'!$H:$H,"Weekly*")+SUMIFS('BSE - Other Index Options'!$L:$L,'BSE - Other Index Options'!$C:$C,$A167,'BSE - Other Index Options'!$B:$B,F$147,'BSE - Other Index Options'!$H:$H,"MDAW*"))</f>
        <v/>
      </c>
      <c r="G167" s="26" t="str">
        <f>IF(SUMIFS('BSE - SENSEX Index Options'!$L:$L,'BSE - SENSEX Index Options'!$C:$C,$A167,'BSE - SENSEX Index Options'!$B:$B,G$147,'BSE - SENSEX Index Options'!$H:$H,"Weekly*")+SUMIFS('BSE - SENSEX Index Options'!$L:$L,'BSE - SENSEX Index Options'!$C:$C,$A167,'BSE - SENSEX Index Options'!$B:$B,G$147,'BSE - SENSEX Index Options'!$H:$H,"MDAW*")+SUMIFS('BSE - Other Index Options'!$L:$L,'BSE - Other Index Options'!$C:$C,$A167,'BSE - Other Index Options'!$B:$B,G$147,'BSE - Other Index Options'!$H:$H,"Weekly*")+SUMIFS('BSE - Other Index Options'!$L:$L,'BSE - Other Index Options'!$C:$C,$A167,'BSE - Other Index Options'!$B:$B,G$147,'BSE - Other Index Options'!$H:$H,"MDAW*")=0,"",SUMIFS('BSE - SENSEX Index Options'!$L:$L,'BSE - SENSEX Index Options'!$C:$C,$A167,'BSE - SENSEX Index Options'!$B:$B,G$147,'BSE - SENSEX Index Options'!$H:$H,"Weekly*")+SUMIFS('BSE - SENSEX Index Options'!$L:$L,'BSE - SENSEX Index Options'!$C:$C,$A167,'BSE - SENSEX Index Options'!$B:$B,G$147,'BSE - SENSEX Index Options'!$H:$H,"MDAW*")+SUMIFS('BSE - Other Index Options'!$L:$L,'BSE - Other Index Options'!$C:$C,$A167,'BSE - Other Index Options'!$B:$B,G$147,'BSE - Other Index Options'!$H:$H,"Weekly*")+SUMIFS('BSE - Other Index Options'!$L:$L,'BSE - Other Index Options'!$C:$C,$A167,'BSE - Other Index Options'!$B:$B,G$147,'BSE - Other Index Options'!$H:$H,"MDAW*"))</f>
        <v/>
      </c>
      <c r="H167" s="26">
        <f t="shared" si="6"/>
        <v>39769.89</v>
      </c>
    </row>
    <row r="168" spans="1:8">
      <c r="A168" t="s">
        <v>30</v>
      </c>
      <c r="B168" s="26">
        <f>IF(SUMIFS('BSE - SENSEX Index Options'!$L:$L,'BSE - SENSEX Index Options'!$C:$C,$A168,'BSE - SENSEX Index Options'!$B:$B,B$147,'BSE - SENSEX Index Options'!$H:$H,"Weekly*")+SUMIFS('BSE - SENSEX Index Options'!$L:$L,'BSE - SENSEX Index Options'!$C:$C,$A168,'BSE - SENSEX Index Options'!$B:$B,B$147,'BSE - SENSEX Index Options'!$H:$H,"MDAW*")+SUMIFS('BSE - Other Index Options'!$L:$L,'BSE - Other Index Options'!$C:$C,$A168,'BSE - Other Index Options'!$B:$B,B$147,'BSE - Other Index Options'!$H:$H,"Weekly*")+SUMIFS('BSE - Other Index Options'!$L:$L,'BSE - Other Index Options'!$C:$C,$A168,'BSE - Other Index Options'!$B:$B,B$147,'BSE - Other Index Options'!$H:$H,"MDAW*")=0,"",SUMIFS('BSE - SENSEX Index Options'!$L:$L,'BSE - SENSEX Index Options'!$C:$C,$A168,'BSE - SENSEX Index Options'!$B:$B,B$147,'BSE - SENSEX Index Options'!$H:$H,"Weekly*")+SUMIFS('BSE - SENSEX Index Options'!$L:$L,'BSE - SENSEX Index Options'!$C:$C,$A168,'BSE - SENSEX Index Options'!$B:$B,B$147,'BSE - SENSEX Index Options'!$H:$H,"MDAW*")+SUMIFS('BSE - Other Index Options'!$L:$L,'BSE - Other Index Options'!$C:$C,$A168,'BSE - Other Index Options'!$B:$B,B$147,'BSE - Other Index Options'!$H:$H,"Weekly*")+SUMIFS('BSE - Other Index Options'!$L:$L,'BSE - Other Index Options'!$C:$C,$A168,'BSE - Other Index Options'!$B:$B,B$147,'BSE - Other Index Options'!$H:$H,"MDAW*"))</f>
        <v>11558.96</v>
      </c>
      <c r="C168" s="26">
        <f>IF(SUMIFS('BSE - SENSEX Index Options'!$L:$L,'BSE - SENSEX Index Options'!$C:$C,$A168,'BSE - SENSEX Index Options'!$B:$B,C$147,'BSE - SENSEX Index Options'!$H:$H,"Weekly*")+SUMIFS('BSE - SENSEX Index Options'!$L:$L,'BSE - SENSEX Index Options'!$C:$C,$A168,'BSE - SENSEX Index Options'!$B:$B,C$147,'BSE - SENSEX Index Options'!$H:$H,"MDAW*")+SUMIFS('BSE - Other Index Options'!$L:$L,'BSE - Other Index Options'!$C:$C,$A168,'BSE - Other Index Options'!$B:$B,C$147,'BSE - Other Index Options'!$H:$H,"Weekly*")+SUMIFS('BSE - Other Index Options'!$L:$L,'BSE - Other Index Options'!$C:$C,$A168,'BSE - Other Index Options'!$B:$B,C$147,'BSE - Other Index Options'!$H:$H,"MDAW*")=0,"",SUMIFS('BSE - SENSEX Index Options'!$L:$L,'BSE - SENSEX Index Options'!$C:$C,$A168,'BSE - SENSEX Index Options'!$B:$B,C$147,'BSE - SENSEX Index Options'!$H:$H,"Weekly*")+SUMIFS('BSE - SENSEX Index Options'!$L:$L,'BSE - SENSEX Index Options'!$C:$C,$A168,'BSE - SENSEX Index Options'!$B:$B,C$147,'BSE - SENSEX Index Options'!$H:$H,"MDAW*")+SUMIFS('BSE - Other Index Options'!$L:$L,'BSE - Other Index Options'!$C:$C,$A168,'BSE - Other Index Options'!$B:$B,C$147,'BSE - Other Index Options'!$H:$H,"Weekly*")+SUMIFS('BSE - Other Index Options'!$L:$L,'BSE - Other Index Options'!$C:$C,$A168,'BSE - Other Index Options'!$B:$B,C$147,'BSE - Other Index Options'!$H:$H,"MDAW*"))</f>
        <v>10434.83</v>
      </c>
      <c r="D168" s="26">
        <f>IF(SUMIFS('BSE - SENSEX Index Options'!$L:$L,'BSE - SENSEX Index Options'!$C:$C,$A168,'BSE - SENSEX Index Options'!$B:$B,D$147,'BSE - SENSEX Index Options'!$H:$H,"Weekly*")+SUMIFS('BSE - SENSEX Index Options'!$L:$L,'BSE - SENSEX Index Options'!$C:$C,$A168,'BSE - SENSEX Index Options'!$B:$B,D$147,'BSE - SENSEX Index Options'!$H:$H,"MDAW*")+SUMIFS('BSE - Other Index Options'!$L:$L,'BSE - Other Index Options'!$C:$C,$A168,'BSE - Other Index Options'!$B:$B,D$147,'BSE - Other Index Options'!$H:$H,"Weekly*")+SUMIFS('BSE - Other Index Options'!$L:$L,'BSE - Other Index Options'!$C:$C,$A168,'BSE - Other Index Options'!$B:$B,D$147,'BSE - Other Index Options'!$H:$H,"MDAW*")=0,"",SUMIFS('BSE - SENSEX Index Options'!$L:$L,'BSE - SENSEX Index Options'!$C:$C,$A168,'BSE - SENSEX Index Options'!$B:$B,D$147,'BSE - SENSEX Index Options'!$H:$H,"Weekly*")+SUMIFS('BSE - SENSEX Index Options'!$L:$L,'BSE - SENSEX Index Options'!$C:$C,$A168,'BSE - SENSEX Index Options'!$B:$B,D$147,'BSE - SENSEX Index Options'!$H:$H,"MDAW*")+SUMIFS('BSE - Other Index Options'!$L:$L,'BSE - Other Index Options'!$C:$C,$A168,'BSE - Other Index Options'!$B:$B,D$147,'BSE - Other Index Options'!$H:$H,"Weekly*")+SUMIFS('BSE - Other Index Options'!$L:$L,'BSE - Other Index Options'!$C:$C,$A168,'BSE - Other Index Options'!$B:$B,D$147,'BSE - Other Index Options'!$H:$H,"MDAW*"))</f>
        <v>27729.37</v>
      </c>
      <c r="E168" s="26">
        <f>IF(SUMIFS('BSE - SENSEX Index Options'!$L:$L,'BSE - SENSEX Index Options'!$C:$C,$A168,'BSE - SENSEX Index Options'!$B:$B,E$147,'BSE - SENSEX Index Options'!$H:$H,"Weekly*")+SUMIFS('BSE - SENSEX Index Options'!$L:$L,'BSE - SENSEX Index Options'!$C:$C,$A168,'BSE - SENSEX Index Options'!$B:$B,E$147,'BSE - SENSEX Index Options'!$H:$H,"MDAW*")+SUMIFS('BSE - Other Index Options'!$L:$L,'BSE - Other Index Options'!$C:$C,$A168,'BSE - Other Index Options'!$B:$B,E$147,'BSE - Other Index Options'!$H:$H,"Weekly*")+SUMIFS('BSE - Other Index Options'!$L:$L,'BSE - Other Index Options'!$C:$C,$A168,'BSE - Other Index Options'!$B:$B,E$147,'BSE - Other Index Options'!$H:$H,"MDAW*")=0,"",SUMIFS('BSE - SENSEX Index Options'!$L:$L,'BSE - SENSEX Index Options'!$C:$C,$A168,'BSE - SENSEX Index Options'!$B:$B,E$147,'BSE - SENSEX Index Options'!$H:$H,"Weekly*")+SUMIFS('BSE - SENSEX Index Options'!$L:$L,'BSE - SENSEX Index Options'!$C:$C,$A168,'BSE - SENSEX Index Options'!$B:$B,E$147,'BSE - SENSEX Index Options'!$H:$H,"MDAW*")+SUMIFS('BSE - Other Index Options'!$L:$L,'BSE - Other Index Options'!$C:$C,$A168,'BSE - Other Index Options'!$B:$B,E$147,'BSE - Other Index Options'!$H:$H,"Weekly*")+SUMIFS('BSE - Other Index Options'!$L:$L,'BSE - Other Index Options'!$C:$C,$A168,'BSE - Other Index Options'!$B:$B,E$147,'BSE - Other Index Options'!$H:$H,"MDAW*"))</f>
        <v>36768.620000000003</v>
      </c>
      <c r="F168" s="26">
        <f>IF(SUMIFS('BSE - SENSEX Index Options'!$L:$L,'BSE - SENSEX Index Options'!$C:$C,$A168,'BSE - SENSEX Index Options'!$B:$B,F$147,'BSE - SENSEX Index Options'!$H:$H,"Weekly*")+SUMIFS('BSE - SENSEX Index Options'!$L:$L,'BSE - SENSEX Index Options'!$C:$C,$A168,'BSE - SENSEX Index Options'!$B:$B,F$147,'BSE - SENSEX Index Options'!$H:$H,"MDAW*")+SUMIFS('BSE - Other Index Options'!$L:$L,'BSE - Other Index Options'!$C:$C,$A168,'BSE - Other Index Options'!$B:$B,F$147,'BSE - Other Index Options'!$H:$H,"Weekly*")+SUMIFS('BSE - Other Index Options'!$L:$L,'BSE - Other Index Options'!$C:$C,$A168,'BSE - Other Index Options'!$B:$B,F$147,'BSE - Other Index Options'!$H:$H,"MDAW*")=0,"",SUMIFS('BSE - SENSEX Index Options'!$L:$L,'BSE - SENSEX Index Options'!$C:$C,$A168,'BSE - SENSEX Index Options'!$B:$B,F$147,'BSE - SENSEX Index Options'!$H:$H,"Weekly*")+SUMIFS('BSE - SENSEX Index Options'!$L:$L,'BSE - SENSEX Index Options'!$C:$C,$A168,'BSE - SENSEX Index Options'!$B:$B,F$147,'BSE - SENSEX Index Options'!$H:$H,"MDAW*")+SUMIFS('BSE - Other Index Options'!$L:$L,'BSE - Other Index Options'!$C:$C,$A168,'BSE - Other Index Options'!$B:$B,F$147,'BSE - Other Index Options'!$H:$H,"Weekly*")+SUMIFS('BSE - Other Index Options'!$L:$L,'BSE - Other Index Options'!$C:$C,$A168,'BSE - Other Index Options'!$B:$B,F$147,'BSE - Other Index Options'!$H:$H,"MDAW*"))</f>
        <v>7094.05</v>
      </c>
      <c r="G168" s="26" t="str">
        <f>IF(SUMIFS('BSE - SENSEX Index Options'!$L:$L,'BSE - SENSEX Index Options'!$C:$C,$A168,'BSE - SENSEX Index Options'!$B:$B,G$147,'BSE - SENSEX Index Options'!$H:$H,"Weekly*")+SUMIFS('BSE - SENSEX Index Options'!$L:$L,'BSE - SENSEX Index Options'!$C:$C,$A168,'BSE - SENSEX Index Options'!$B:$B,G$147,'BSE - SENSEX Index Options'!$H:$H,"MDAW*")+SUMIFS('BSE - Other Index Options'!$L:$L,'BSE - Other Index Options'!$C:$C,$A168,'BSE - Other Index Options'!$B:$B,G$147,'BSE - Other Index Options'!$H:$H,"Weekly*")+SUMIFS('BSE - Other Index Options'!$L:$L,'BSE - Other Index Options'!$C:$C,$A168,'BSE - Other Index Options'!$B:$B,G$147,'BSE - Other Index Options'!$H:$H,"MDAW*")=0,"",SUMIFS('BSE - SENSEX Index Options'!$L:$L,'BSE - SENSEX Index Options'!$C:$C,$A168,'BSE - SENSEX Index Options'!$B:$B,G$147,'BSE - SENSEX Index Options'!$H:$H,"Weekly*")+SUMIFS('BSE - SENSEX Index Options'!$L:$L,'BSE - SENSEX Index Options'!$C:$C,$A168,'BSE - SENSEX Index Options'!$B:$B,G$147,'BSE - SENSEX Index Options'!$H:$H,"MDAW*")+SUMIFS('BSE - Other Index Options'!$L:$L,'BSE - Other Index Options'!$C:$C,$A168,'BSE - Other Index Options'!$B:$B,G$147,'BSE - Other Index Options'!$H:$H,"Weekly*")+SUMIFS('BSE - Other Index Options'!$L:$L,'BSE - Other Index Options'!$C:$C,$A168,'BSE - Other Index Options'!$B:$B,G$147,'BSE - Other Index Options'!$H:$H,"MDAW*"))</f>
        <v/>
      </c>
      <c r="H168" s="26">
        <f t="shared" si="6"/>
        <v>93585.83</v>
      </c>
    </row>
    <row r="169" spans="1:8">
      <c r="A169" t="s">
        <v>31</v>
      </c>
      <c r="B169" s="26">
        <f>IF(SUMIFS('BSE - SENSEX Index Options'!$L:$L,'BSE - SENSEX Index Options'!$C:$C,$A169,'BSE - SENSEX Index Options'!$B:$B,B$147,'BSE - SENSEX Index Options'!$H:$H,"Weekly*")+SUMIFS('BSE - SENSEX Index Options'!$L:$L,'BSE - SENSEX Index Options'!$C:$C,$A169,'BSE - SENSEX Index Options'!$B:$B,B$147,'BSE - SENSEX Index Options'!$H:$H,"MDAW*")+SUMIFS('BSE - Other Index Options'!$L:$L,'BSE - Other Index Options'!$C:$C,$A169,'BSE - Other Index Options'!$B:$B,B$147,'BSE - Other Index Options'!$H:$H,"Weekly*")+SUMIFS('BSE - Other Index Options'!$L:$L,'BSE - Other Index Options'!$C:$C,$A169,'BSE - Other Index Options'!$B:$B,B$147,'BSE - Other Index Options'!$H:$H,"MDAW*")=0,"",SUMIFS('BSE - SENSEX Index Options'!$L:$L,'BSE - SENSEX Index Options'!$C:$C,$A169,'BSE - SENSEX Index Options'!$B:$B,B$147,'BSE - SENSEX Index Options'!$H:$H,"Weekly*")+SUMIFS('BSE - SENSEX Index Options'!$L:$L,'BSE - SENSEX Index Options'!$C:$C,$A169,'BSE - SENSEX Index Options'!$B:$B,B$147,'BSE - SENSEX Index Options'!$H:$H,"MDAW*")+SUMIFS('BSE - Other Index Options'!$L:$L,'BSE - Other Index Options'!$C:$C,$A169,'BSE - Other Index Options'!$B:$B,B$147,'BSE - Other Index Options'!$H:$H,"Weekly*")+SUMIFS('BSE - Other Index Options'!$L:$L,'BSE - Other Index Options'!$C:$C,$A169,'BSE - Other Index Options'!$B:$B,B$147,'BSE - Other Index Options'!$H:$H,"MDAW*"))</f>
        <v>15871.15</v>
      </c>
      <c r="C169" s="26">
        <f>IF(SUMIFS('BSE - SENSEX Index Options'!$L:$L,'BSE - SENSEX Index Options'!$C:$C,$A169,'BSE - SENSEX Index Options'!$B:$B,C$147,'BSE - SENSEX Index Options'!$H:$H,"Weekly*")+SUMIFS('BSE - SENSEX Index Options'!$L:$L,'BSE - SENSEX Index Options'!$C:$C,$A169,'BSE - SENSEX Index Options'!$B:$B,C$147,'BSE - SENSEX Index Options'!$H:$H,"MDAW*")+SUMIFS('BSE - Other Index Options'!$L:$L,'BSE - Other Index Options'!$C:$C,$A169,'BSE - Other Index Options'!$B:$B,C$147,'BSE - Other Index Options'!$H:$H,"Weekly*")+SUMIFS('BSE - Other Index Options'!$L:$L,'BSE - Other Index Options'!$C:$C,$A169,'BSE - Other Index Options'!$B:$B,C$147,'BSE - Other Index Options'!$H:$H,"MDAW*")=0,"",SUMIFS('BSE - SENSEX Index Options'!$L:$L,'BSE - SENSEX Index Options'!$C:$C,$A169,'BSE - SENSEX Index Options'!$B:$B,C$147,'BSE - SENSEX Index Options'!$H:$H,"Weekly*")+SUMIFS('BSE - SENSEX Index Options'!$L:$L,'BSE - SENSEX Index Options'!$C:$C,$A169,'BSE - SENSEX Index Options'!$B:$B,C$147,'BSE - SENSEX Index Options'!$H:$H,"MDAW*")+SUMIFS('BSE - Other Index Options'!$L:$L,'BSE - Other Index Options'!$C:$C,$A169,'BSE - Other Index Options'!$B:$B,C$147,'BSE - Other Index Options'!$H:$H,"Weekly*")+SUMIFS('BSE - Other Index Options'!$L:$L,'BSE - Other Index Options'!$C:$C,$A169,'BSE - Other Index Options'!$B:$B,C$147,'BSE - Other Index Options'!$H:$H,"MDAW*"))</f>
        <v>17347.370000000003</v>
      </c>
      <c r="D169" s="26">
        <f>IF(SUMIFS('BSE - SENSEX Index Options'!$L:$L,'BSE - SENSEX Index Options'!$C:$C,$A169,'BSE - SENSEX Index Options'!$B:$B,D$147,'BSE - SENSEX Index Options'!$H:$H,"Weekly*")+SUMIFS('BSE - SENSEX Index Options'!$L:$L,'BSE - SENSEX Index Options'!$C:$C,$A169,'BSE - SENSEX Index Options'!$B:$B,D$147,'BSE - SENSEX Index Options'!$H:$H,"MDAW*")+SUMIFS('BSE - Other Index Options'!$L:$L,'BSE - Other Index Options'!$C:$C,$A169,'BSE - Other Index Options'!$B:$B,D$147,'BSE - Other Index Options'!$H:$H,"Weekly*")+SUMIFS('BSE - Other Index Options'!$L:$L,'BSE - Other Index Options'!$C:$C,$A169,'BSE - Other Index Options'!$B:$B,D$147,'BSE - Other Index Options'!$H:$H,"MDAW*")=0,"",SUMIFS('BSE - SENSEX Index Options'!$L:$L,'BSE - SENSEX Index Options'!$C:$C,$A169,'BSE - SENSEX Index Options'!$B:$B,D$147,'BSE - SENSEX Index Options'!$H:$H,"Weekly*")+SUMIFS('BSE - SENSEX Index Options'!$L:$L,'BSE - SENSEX Index Options'!$C:$C,$A169,'BSE - SENSEX Index Options'!$B:$B,D$147,'BSE - SENSEX Index Options'!$H:$H,"MDAW*")+SUMIFS('BSE - Other Index Options'!$L:$L,'BSE - Other Index Options'!$C:$C,$A169,'BSE - Other Index Options'!$B:$B,D$147,'BSE - Other Index Options'!$H:$H,"Weekly*")+SUMIFS('BSE - Other Index Options'!$L:$L,'BSE - Other Index Options'!$C:$C,$A169,'BSE - Other Index Options'!$B:$B,D$147,'BSE - Other Index Options'!$H:$H,"MDAW*"))</f>
        <v>58202.450000000004</v>
      </c>
      <c r="E169" s="26">
        <f>IF(SUMIFS('BSE - SENSEX Index Options'!$L:$L,'BSE - SENSEX Index Options'!$C:$C,$A169,'BSE - SENSEX Index Options'!$B:$B,E$147,'BSE - SENSEX Index Options'!$H:$H,"Weekly*")+SUMIFS('BSE - SENSEX Index Options'!$L:$L,'BSE - SENSEX Index Options'!$C:$C,$A169,'BSE - SENSEX Index Options'!$B:$B,E$147,'BSE - SENSEX Index Options'!$H:$H,"MDAW*")+SUMIFS('BSE - Other Index Options'!$L:$L,'BSE - Other Index Options'!$C:$C,$A169,'BSE - Other Index Options'!$B:$B,E$147,'BSE - Other Index Options'!$H:$H,"Weekly*")+SUMIFS('BSE - Other Index Options'!$L:$L,'BSE - Other Index Options'!$C:$C,$A169,'BSE - Other Index Options'!$B:$B,E$147,'BSE - Other Index Options'!$H:$H,"MDAW*")=0,"",SUMIFS('BSE - SENSEX Index Options'!$L:$L,'BSE - SENSEX Index Options'!$C:$C,$A169,'BSE - SENSEX Index Options'!$B:$B,E$147,'BSE - SENSEX Index Options'!$H:$H,"Weekly*")+SUMIFS('BSE - SENSEX Index Options'!$L:$L,'BSE - SENSEX Index Options'!$C:$C,$A169,'BSE - SENSEX Index Options'!$B:$B,E$147,'BSE - SENSEX Index Options'!$H:$H,"MDAW*")+SUMIFS('BSE - Other Index Options'!$L:$L,'BSE - Other Index Options'!$C:$C,$A169,'BSE - Other Index Options'!$B:$B,E$147,'BSE - Other Index Options'!$H:$H,"Weekly*")+SUMIFS('BSE - Other Index Options'!$L:$L,'BSE - Other Index Options'!$C:$C,$A169,'BSE - Other Index Options'!$B:$B,E$147,'BSE - Other Index Options'!$H:$H,"MDAW*"))</f>
        <v>45782.35</v>
      </c>
      <c r="F169" s="26">
        <f>IF(SUMIFS('BSE - SENSEX Index Options'!$L:$L,'BSE - SENSEX Index Options'!$C:$C,$A169,'BSE - SENSEX Index Options'!$B:$B,F$147,'BSE - SENSEX Index Options'!$H:$H,"Weekly*")+SUMIFS('BSE - SENSEX Index Options'!$L:$L,'BSE - SENSEX Index Options'!$C:$C,$A169,'BSE - SENSEX Index Options'!$B:$B,F$147,'BSE - SENSEX Index Options'!$H:$H,"MDAW*")+SUMIFS('BSE - Other Index Options'!$L:$L,'BSE - Other Index Options'!$C:$C,$A169,'BSE - Other Index Options'!$B:$B,F$147,'BSE - Other Index Options'!$H:$H,"Weekly*")+SUMIFS('BSE - Other Index Options'!$L:$L,'BSE - Other Index Options'!$C:$C,$A169,'BSE - Other Index Options'!$B:$B,F$147,'BSE - Other Index Options'!$H:$H,"MDAW*")=0,"",SUMIFS('BSE - SENSEX Index Options'!$L:$L,'BSE - SENSEX Index Options'!$C:$C,$A169,'BSE - SENSEX Index Options'!$B:$B,F$147,'BSE - SENSEX Index Options'!$H:$H,"Weekly*")+SUMIFS('BSE - SENSEX Index Options'!$L:$L,'BSE - SENSEX Index Options'!$C:$C,$A169,'BSE - SENSEX Index Options'!$B:$B,F$147,'BSE - SENSEX Index Options'!$H:$H,"MDAW*")+SUMIFS('BSE - Other Index Options'!$L:$L,'BSE - Other Index Options'!$C:$C,$A169,'BSE - Other Index Options'!$B:$B,F$147,'BSE - Other Index Options'!$H:$H,"Weekly*")+SUMIFS('BSE - Other Index Options'!$L:$L,'BSE - Other Index Options'!$C:$C,$A169,'BSE - Other Index Options'!$B:$B,F$147,'BSE - Other Index Options'!$H:$H,"MDAW*"))</f>
        <v>12969.15</v>
      </c>
      <c r="G169" s="26" t="str">
        <f>IF(SUMIFS('BSE - SENSEX Index Options'!$L:$L,'BSE - SENSEX Index Options'!$C:$C,$A169,'BSE - SENSEX Index Options'!$B:$B,G$147,'BSE - SENSEX Index Options'!$H:$H,"Weekly*")+SUMIFS('BSE - SENSEX Index Options'!$L:$L,'BSE - SENSEX Index Options'!$C:$C,$A169,'BSE - SENSEX Index Options'!$B:$B,G$147,'BSE - SENSEX Index Options'!$H:$H,"MDAW*")+SUMIFS('BSE - Other Index Options'!$L:$L,'BSE - Other Index Options'!$C:$C,$A169,'BSE - Other Index Options'!$B:$B,G$147,'BSE - Other Index Options'!$H:$H,"Weekly*")+SUMIFS('BSE - Other Index Options'!$L:$L,'BSE - Other Index Options'!$C:$C,$A169,'BSE - Other Index Options'!$B:$B,G$147,'BSE - Other Index Options'!$H:$H,"MDAW*")=0,"",SUMIFS('BSE - SENSEX Index Options'!$L:$L,'BSE - SENSEX Index Options'!$C:$C,$A169,'BSE - SENSEX Index Options'!$B:$B,G$147,'BSE - SENSEX Index Options'!$H:$H,"Weekly*")+SUMIFS('BSE - SENSEX Index Options'!$L:$L,'BSE - SENSEX Index Options'!$C:$C,$A169,'BSE - SENSEX Index Options'!$B:$B,G$147,'BSE - SENSEX Index Options'!$H:$H,"MDAW*")+SUMIFS('BSE - Other Index Options'!$L:$L,'BSE - Other Index Options'!$C:$C,$A169,'BSE - Other Index Options'!$B:$B,G$147,'BSE - Other Index Options'!$H:$H,"Weekly*")+SUMIFS('BSE - Other Index Options'!$L:$L,'BSE - Other Index Options'!$C:$C,$A169,'BSE - Other Index Options'!$B:$B,G$147,'BSE - Other Index Options'!$H:$H,"MDAW*"))</f>
        <v/>
      </c>
      <c r="H169" s="26">
        <f t="shared" si="6"/>
        <v>150172.47</v>
      </c>
    </row>
    <row r="170" spans="1:8">
      <c r="A170" t="s">
        <v>32</v>
      </c>
      <c r="B170" s="26">
        <f>IF(SUMIFS('BSE - SENSEX Index Options'!$L:$L,'BSE - SENSEX Index Options'!$C:$C,$A170,'BSE - SENSEX Index Options'!$B:$B,B$147,'BSE - SENSEX Index Options'!$H:$H,"Weekly*")+SUMIFS('BSE - SENSEX Index Options'!$L:$L,'BSE - SENSEX Index Options'!$C:$C,$A170,'BSE - SENSEX Index Options'!$B:$B,B$147,'BSE - SENSEX Index Options'!$H:$H,"MDAW*")+SUMIFS('BSE - Other Index Options'!$L:$L,'BSE - Other Index Options'!$C:$C,$A170,'BSE - Other Index Options'!$B:$B,B$147,'BSE - Other Index Options'!$H:$H,"Weekly*")+SUMIFS('BSE - Other Index Options'!$L:$L,'BSE - Other Index Options'!$C:$C,$A170,'BSE - Other Index Options'!$B:$B,B$147,'BSE - Other Index Options'!$H:$H,"MDAW*")=0,"",SUMIFS('BSE - SENSEX Index Options'!$L:$L,'BSE - SENSEX Index Options'!$C:$C,$A170,'BSE - SENSEX Index Options'!$B:$B,B$147,'BSE - SENSEX Index Options'!$H:$H,"Weekly*")+SUMIFS('BSE - SENSEX Index Options'!$L:$L,'BSE - SENSEX Index Options'!$C:$C,$A170,'BSE - SENSEX Index Options'!$B:$B,B$147,'BSE - SENSEX Index Options'!$H:$H,"MDAW*")+SUMIFS('BSE - Other Index Options'!$L:$L,'BSE - Other Index Options'!$C:$C,$A170,'BSE - Other Index Options'!$B:$B,B$147,'BSE - Other Index Options'!$H:$H,"Weekly*")+SUMIFS('BSE - Other Index Options'!$L:$L,'BSE - Other Index Options'!$C:$C,$A170,'BSE - Other Index Options'!$B:$B,B$147,'BSE - Other Index Options'!$H:$H,"MDAW*"))</f>
        <v>12830.839999999998</v>
      </c>
      <c r="C170" s="26">
        <f>IF(SUMIFS('BSE - SENSEX Index Options'!$L:$L,'BSE - SENSEX Index Options'!$C:$C,$A170,'BSE - SENSEX Index Options'!$B:$B,C$147,'BSE - SENSEX Index Options'!$H:$H,"Weekly*")+SUMIFS('BSE - SENSEX Index Options'!$L:$L,'BSE - SENSEX Index Options'!$C:$C,$A170,'BSE - SENSEX Index Options'!$B:$B,C$147,'BSE - SENSEX Index Options'!$H:$H,"MDAW*")+SUMIFS('BSE - Other Index Options'!$L:$L,'BSE - Other Index Options'!$C:$C,$A170,'BSE - Other Index Options'!$B:$B,C$147,'BSE - Other Index Options'!$H:$H,"Weekly*")+SUMIFS('BSE - Other Index Options'!$L:$L,'BSE - Other Index Options'!$C:$C,$A170,'BSE - Other Index Options'!$B:$B,C$147,'BSE - Other Index Options'!$H:$H,"MDAW*")=0,"",SUMIFS('BSE - SENSEX Index Options'!$L:$L,'BSE - SENSEX Index Options'!$C:$C,$A170,'BSE - SENSEX Index Options'!$B:$B,C$147,'BSE - SENSEX Index Options'!$H:$H,"Weekly*")+SUMIFS('BSE - SENSEX Index Options'!$L:$L,'BSE - SENSEX Index Options'!$C:$C,$A170,'BSE - SENSEX Index Options'!$B:$B,C$147,'BSE - SENSEX Index Options'!$H:$H,"MDAW*")+SUMIFS('BSE - Other Index Options'!$L:$L,'BSE - Other Index Options'!$C:$C,$A170,'BSE - Other Index Options'!$B:$B,C$147,'BSE - Other Index Options'!$H:$H,"Weekly*")+SUMIFS('BSE - Other Index Options'!$L:$L,'BSE - Other Index Options'!$C:$C,$A170,'BSE - Other Index Options'!$B:$B,C$147,'BSE - Other Index Options'!$H:$H,"MDAW*"))</f>
        <v>12178.11</v>
      </c>
      <c r="D170" s="26">
        <f>IF(SUMIFS('BSE - SENSEX Index Options'!$L:$L,'BSE - SENSEX Index Options'!$C:$C,$A170,'BSE - SENSEX Index Options'!$B:$B,D$147,'BSE - SENSEX Index Options'!$H:$H,"Weekly*")+SUMIFS('BSE - SENSEX Index Options'!$L:$L,'BSE - SENSEX Index Options'!$C:$C,$A170,'BSE - SENSEX Index Options'!$B:$B,D$147,'BSE - SENSEX Index Options'!$H:$H,"MDAW*")+SUMIFS('BSE - Other Index Options'!$L:$L,'BSE - Other Index Options'!$C:$C,$A170,'BSE - Other Index Options'!$B:$B,D$147,'BSE - Other Index Options'!$H:$H,"Weekly*")+SUMIFS('BSE - Other Index Options'!$L:$L,'BSE - Other Index Options'!$C:$C,$A170,'BSE - Other Index Options'!$B:$B,D$147,'BSE - Other Index Options'!$H:$H,"MDAW*")=0,"",SUMIFS('BSE - SENSEX Index Options'!$L:$L,'BSE - SENSEX Index Options'!$C:$C,$A170,'BSE - SENSEX Index Options'!$B:$B,D$147,'BSE - SENSEX Index Options'!$H:$H,"Weekly*")+SUMIFS('BSE - SENSEX Index Options'!$L:$L,'BSE - SENSEX Index Options'!$C:$C,$A170,'BSE - SENSEX Index Options'!$B:$B,D$147,'BSE - SENSEX Index Options'!$H:$H,"MDAW*")+SUMIFS('BSE - Other Index Options'!$L:$L,'BSE - Other Index Options'!$C:$C,$A170,'BSE - Other Index Options'!$B:$B,D$147,'BSE - Other Index Options'!$H:$H,"Weekly*")+SUMIFS('BSE - Other Index Options'!$L:$L,'BSE - Other Index Options'!$C:$C,$A170,'BSE - Other Index Options'!$B:$B,D$147,'BSE - Other Index Options'!$H:$H,"MDAW*"))</f>
        <v>54974.93</v>
      </c>
      <c r="E170" s="26" t="str">
        <f>IF(SUMIFS('BSE - SENSEX Index Options'!$L:$L,'BSE - SENSEX Index Options'!$C:$C,$A170,'BSE - SENSEX Index Options'!$B:$B,E$147,'BSE - SENSEX Index Options'!$H:$H,"Weekly*")+SUMIFS('BSE - SENSEX Index Options'!$L:$L,'BSE - SENSEX Index Options'!$C:$C,$A170,'BSE - SENSEX Index Options'!$B:$B,E$147,'BSE - SENSEX Index Options'!$H:$H,"MDAW*")+SUMIFS('BSE - Other Index Options'!$L:$L,'BSE - Other Index Options'!$C:$C,$A170,'BSE - Other Index Options'!$B:$B,E$147,'BSE - Other Index Options'!$H:$H,"Weekly*")+SUMIFS('BSE - Other Index Options'!$L:$L,'BSE - Other Index Options'!$C:$C,$A170,'BSE - Other Index Options'!$B:$B,E$147,'BSE - Other Index Options'!$H:$H,"MDAW*")=0,"",SUMIFS('BSE - SENSEX Index Options'!$L:$L,'BSE - SENSEX Index Options'!$C:$C,$A170,'BSE - SENSEX Index Options'!$B:$B,E$147,'BSE - SENSEX Index Options'!$H:$H,"Weekly*")+SUMIFS('BSE - SENSEX Index Options'!$L:$L,'BSE - SENSEX Index Options'!$C:$C,$A170,'BSE - SENSEX Index Options'!$B:$B,E$147,'BSE - SENSEX Index Options'!$H:$H,"MDAW*")+SUMIFS('BSE - Other Index Options'!$L:$L,'BSE - Other Index Options'!$C:$C,$A170,'BSE - Other Index Options'!$B:$B,E$147,'BSE - Other Index Options'!$H:$H,"Weekly*")+SUMIFS('BSE - Other Index Options'!$L:$L,'BSE - Other Index Options'!$C:$C,$A170,'BSE - Other Index Options'!$B:$B,E$147,'BSE - Other Index Options'!$H:$H,"MDAW*"))</f>
        <v/>
      </c>
      <c r="F170" s="26">
        <f>IF(SUMIFS('BSE - SENSEX Index Options'!$L:$L,'BSE - SENSEX Index Options'!$C:$C,$A170,'BSE - SENSEX Index Options'!$B:$B,F$147,'BSE - SENSEX Index Options'!$H:$H,"Weekly*")+SUMIFS('BSE - SENSEX Index Options'!$L:$L,'BSE - SENSEX Index Options'!$C:$C,$A170,'BSE - SENSEX Index Options'!$B:$B,F$147,'BSE - SENSEX Index Options'!$H:$H,"MDAW*")+SUMIFS('BSE - Other Index Options'!$L:$L,'BSE - Other Index Options'!$C:$C,$A170,'BSE - Other Index Options'!$B:$B,F$147,'BSE - Other Index Options'!$H:$H,"Weekly*")+SUMIFS('BSE - Other Index Options'!$L:$L,'BSE - Other Index Options'!$C:$C,$A170,'BSE - Other Index Options'!$B:$B,F$147,'BSE - Other Index Options'!$H:$H,"MDAW*")=0,"",SUMIFS('BSE - SENSEX Index Options'!$L:$L,'BSE - SENSEX Index Options'!$C:$C,$A170,'BSE - SENSEX Index Options'!$B:$B,F$147,'BSE - SENSEX Index Options'!$H:$H,"Weekly*")+SUMIFS('BSE - SENSEX Index Options'!$L:$L,'BSE - SENSEX Index Options'!$C:$C,$A170,'BSE - SENSEX Index Options'!$B:$B,F$147,'BSE - SENSEX Index Options'!$H:$H,"MDAW*")+SUMIFS('BSE - Other Index Options'!$L:$L,'BSE - Other Index Options'!$C:$C,$A170,'BSE - Other Index Options'!$B:$B,F$147,'BSE - Other Index Options'!$H:$H,"Weekly*")+SUMIFS('BSE - Other Index Options'!$L:$L,'BSE - Other Index Options'!$C:$C,$A170,'BSE - Other Index Options'!$B:$B,F$147,'BSE - Other Index Options'!$H:$H,"MDAW*"))</f>
        <v>13815.19</v>
      </c>
      <c r="G170" s="26" t="str">
        <f>IF(SUMIFS('BSE - SENSEX Index Options'!$L:$L,'BSE - SENSEX Index Options'!$C:$C,$A170,'BSE - SENSEX Index Options'!$B:$B,G$147,'BSE - SENSEX Index Options'!$H:$H,"Weekly*")+SUMIFS('BSE - SENSEX Index Options'!$L:$L,'BSE - SENSEX Index Options'!$C:$C,$A170,'BSE - SENSEX Index Options'!$B:$B,G$147,'BSE - SENSEX Index Options'!$H:$H,"MDAW*")+SUMIFS('BSE - Other Index Options'!$L:$L,'BSE - Other Index Options'!$C:$C,$A170,'BSE - Other Index Options'!$B:$B,G$147,'BSE - Other Index Options'!$H:$H,"Weekly*")+SUMIFS('BSE - Other Index Options'!$L:$L,'BSE - Other Index Options'!$C:$C,$A170,'BSE - Other Index Options'!$B:$B,G$147,'BSE - Other Index Options'!$H:$H,"MDAW*")=0,"",SUMIFS('BSE - SENSEX Index Options'!$L:$L,'BSE - SENSEX Index Options'!$C:$C,$A170,'BSE - SENSEX Index Options'!$B:$B,G$147,'BSE - SENSEX Index Options'!$H:$H,"Weekly*")+SUMIFS('BSE - SENSEX Index Options'!$L:$L,'BSE - SENSEX Index Options'!$C:$C,$A170,'BSE - SENSEX Index Options'!$B:$B,G$147,'BSE - SENSEX Index Options'!$H:$H,"MDAW*")+SUMIFS('BSE - Other Index Options'!$L:$L,'BSE - Other Index Options'!$C:$C,$A170,'BSE - Other Index Options'!$B:$B,G$147,'BSE - Other Index Options'!$H:$H,"Weekly*")+SUMIFS('BSE - Other Index Options'!$L:$L,'BSE - Other Index Options'!$C:$C,$A170,'BSE - Other Index Options'!$B:$B,G$147,'BSE - Other Index Options'!$H:$H,"MDAW*"))</f>
        <v/>
      </c>
      <c r="H170" s="26">
        <f t="shared" si="6"/>
        <v>93799.07</v>
      </c>
    </row>
    <row r="171" spans="1:8">
      <c r="A171" t="s">
        <v>33</v>
      </c>
      <c r="B171" s="26" t="str">
        <f>IF(SUMIFS('BSE - SENSEX Index Options'!$L:$L,'BSE - SENSEX Index Options'!$C:$C,$A171,'BSE - SENSEX Index Options'!$B:$B,B$147,'BSE - SENSEX Index Options'!$H:$H,"Weekly*")+SUMIFS('BSE - SENSEX Index Options'!$L:$L,'BSE - SENSEX Index Options'!$C:$C,$A171,'BSE - SENSEX Index Options'!$B:$B,B$147,'BSE - SENSEX Index Options'!$H:$H,"MDAW*")+SUMIFS('BSE - Other Index Options'!$L:$L,'BSE - Other Index Options'!$C:$C,$A171,'BSE - Other Index Options'!$B:$B,B$147,'BSE - Other Index Options'!$H:$H,"Weekly*")+SUMIFS('BSE - Other Index Options'!$L:$L,'BSE - Other Index Options'!$C:$C,$A171,'BSE - Other Index Options'!$B:$B,B$147,'BSE - Other Index Options'!$H:$H,"MDAW*")=0,"",SUMIFS('BSE - SENSEX Index Options'!$L:$L,'BSE - SENSEX Index Options'!$C:$C,$A171,'BSE - SENSEX Index Options'!$B:$B,B$147,'BSE - SENSEX Index Options'!$H:$H,"Weekly*")+SUMIFS('BSE - SENSEX Index Options'!$L:$L,'BSE - SENSEX Index Options'!$C:$C,$A171,'BSE - SENSEX Index Options'!$B:$B,B$147,'BSE - SENSEX Index Options'!$H:$H,"MDAW*")+SUMIFS('BSE - Other Index Options'!$L:$L,'BSE - Other Index Options'!$C:$C,$A171,'BSE - Other Index Options'!$B:$B,B$147,'BSE - Other Index Options'!$H:$H,"Weekly*")+SUMIFS('BSE - Other Index Options'!$L:$L,'BSE - Other Index Options'!$C:$C,$A171,'BSE - Other Index Options'!$B:$B,B$147,'BSE - Other Index Options'!$H:$H,"MDAW*"))</f>
        <v/>
      </c>
      <c r="C171" s="26">
        <f>IF(SUMIFS('BSE - SENSEX Index Options'!$L:$L,'BSE - SENSEX Index Options'!$C:$C,$A171,'BSE - SENSEX Index Options'!$B:$B,C$147,'BSE - SENSEX Index Options'!$H:$H,"Weekly*")+SUMIFS('BSE - SENSEX Index Options'!$L:$L,'BSE - SENSEX Index Options'!$C:$C,$A171,'BSE - SENSEX Index Options'!$B:$B,C$147,'BSE - SENSEX Index Options'!$H:$H,"MDAW*")+SUMIFS('BSE - Other Index Options'!$L:$L,'BSE - Other Index Options'!$C:$C,$A171,'BSE - Other Index Options'!$B:$B,C$147,'BSE - Other Index Options'!$H:$H,"Weekly*")+SUMIFS('BSE - Other Index Options'!$L:$L,'BSE - Other Index Options'!$C:$C,$A171,'BSE - Other Index Options'!$B:$B,C$147,'BSE - Other Index Options'!$H:$H,"MDAW*")=0,"",SUMIFS('BSE - SENSEX Index Options'!$L:$L,'BSE - SENSEX Index Options'!$C:$C,$A171,'BSE - SENSEX Index Options'!$B:$B,C$147,'BSE - SENSEX Index Options'!$H:$H,"Weekly*")+SUMIFS('BSE - SENSEX Index Options'!$L:$L,'BSE - SENSEX Index Options'!$C:$C,$A171,'BSE - SENSEX Index Options'!$B:$B,C$147,'BSE - SENSEX Index Options'!$H:$H,"MDAW*")+SUMIFS('BSE - Other Index Options'!$L:$L,'BSE - Other Index Options'!$C:$C,$A171,'BSE - Other Index Options'!$B:$B,C$147,'BSE - Other Index Options'!$H:$H,"Weekly*")+SUMIFS('BSE - Other Index Options'!$L:$L,'BSE - Other Index Options'!$C:$C,$A171,'BSE - Other Index Options'!$B:$B,C$147,'BSE - Other Index Options'!$H:$H,"MDAW*"))</f>
        <v>16289.02</v>
      </c>
      <c r="D171" s="26">
        <f>IF(SUMIFS('BSE - SENSEX Index Options'!$L:$L,'BSE - SENSEX Index Options'!$C:$C,$A171,'BSE - SENSEX Index Options'!$B:$B,D$147,'BSE - SENSEX Index Options'!$H:$H,"Weekly*")+SUMIFS('BSE - SENSEX Index Options'!$L:$L,'BSE - SENSEX Index Options'!$C:$C,$A171,'BSE - SENSEX Index Options'!$B:$B,D$147,'BSE - SENSEX Index Options'!$H:$H,"MDAW*")+SUMIFS('BSE - Other Index Options'!$L:$L,'BSE - Other Index Options'!$C:$C,$A171,'BSE - Other Index Options'!$B:$B,D$147,'BSE - Other Index Options'!$H:$H,"Weekly*")+SUMIFS('BSE - Other Index Options'!$L:$L,'BSE - Other Index Options'!$C:$C,$A171,'BSE - Other Index Options'!$B:$B,D$147,'BSE - Other Index Options'!$H:$H,"MDAW*")=0,"",SUMIFS('BSE - SENSEX Index Options'!$L:$L,'BSE - SENSEX Index Options'!$C:$C,$A171,'BSE - SENSEX Index Options'!$B:$B,D$147,'BSE - SENSEX Index Options'!$H:$H,"Weekly*")+SUMIFS('BSE - SENSEX Index Options'!$L:$L,'BSE - SENSEX Index Options'!$C:$C,$A171,'BSE - SENSEX Index Options'!$B:$B,D$147,'BSE - SENSEX Index Options'!$H:$H,"MDAW*")+SUMIFS('BSE - Other Index Options'!$L:$L,'BSE - Other Index Options'!$C:$C,$A171,'BSE - Other Index Options'!$B:$B,D$147,'BSE - Other Index Options'!$H:$H,"Weekly*")+SUMIFS('BSE - Other Index Options'!$L:$L,'BSE - Other Index Options'!$C:$C,$A171,'BSE - Other Index Options'!$B:$B,D$147,'BSE - Other Index Options'!$H:$H,"MDAW*"))</f>
        <v>46397.04</v>
      </c>
      <c r="E171" s="26">
        <f>IF(SUMIFS('BSE - SENSEX Index Options'!$L:$L,'BSE - SENSEX Index Options'!$C:$C,$A171,'BSE - SENSEX Index Options'!$B:$B,E$147,'BSE - SENSEX Index Options'!$H:$H,"Weekly*")+SUMIFS('BSE - SENSEX Index Options'!$L:$L,'BSE - SENSEX Index Options'!$C:$C,$A171,'BSE - SENSEX Index Options'!$B:$B,E$147,'BSE - SENSEX Index Options'!$H:$H,"MDAW*")+SUMIFS('BSE - Other Index Options'!$L:$L,'BSE - Other Index Options'!$C:$C,$A171,'BSE - Other Index Options'!$B:$B,E$147,'BSE - Other Index Options'!$H:$H,"Weekly*")+SUMIFS('BSE - Other Index Options'!$L:$L,'BSE - Other Index Options'!$C:$C,$A171,'BSE - Other Index Options'!$B:$B,E$147,'BSE - Other Index Options'!$H:$H,"MDAW*")=0,"",SUMIFS('BSE - SENSEX Index Options'!$L:$L,'BSE - SENSEX Index Options'!$C:$C,$A171,'BSE - SENSEX Index Options'!$B:$B,E$147,'BSE - SENSEX Index Options'!$H:$H,"Weekly*")+SUMIFS('BSE - SENSEX Index Options'!$L:$L,'BSE - SENSEX Index Options'!$C:$C,$A171,'BSE - SENSEX Index Options'!$B:$B,E$147,'BSE - SENSEX Index Options'!$H:$H,"MDAW*")+SUMIFS('BSE - Other Index Options'!$L:$L,'BSE - Other Index Options'!$C:$C,$A171,'BSE - Other Index Options'!$B:$B,E$147,'BSE - Other Index Options'!$H:$H,"Weekly*")+SUMIFS('BSE - Other Index Options'!$L:$L,'BSE - Other Index Options'!$C:$C,$A171,'BSE - Other Index Options'!$B:$B,E$147,'BSE - Other Index Options'!$H:$H,"MDAW*"))</f>
        <v>74155.98</v>
      </c>
      <c r="F171" s="26">
        <f>IF(SUMIFS('BSE - SENSEX Index Options'!$L:$L,'BSE - SENSEX Index Options'!$C:$C,$A171,'BSE - SENSEX Index Options'!$B:$B,F$147,'BSE - SENSEX Index Options'!$H:$H,"Weekly*")+SUMIFS('BSE - SENSEX Index Options'!$L:$L,'BSE - SENSEX Index Options'!$C:$C,$A171,'BSE - SENSEX Index Options'!$B:$B,F$147,'BSE - SENSEX Index Options'!$H:$H,"MDAW*")+SUMIFS('BSE - Other Index Options'!$L:$L,'BSE - Other Index Options'!$C:$C,$A171,'BSE - Other Index Options'!$B:$B,F$147,'BSE - Other Index Options'!$H:$H,"Weekly*")+SUMIFS('BSE - Other Index Options'!$L:$L,'BSE - Other Index Options'!$C:$C,$A171,'BSE - Other Index Options'!$B:$B,F$147,'BSE - Other Index Options'!$H:$H,"MDAW*")=0,"",SUMIFS('BSE - SENSEX Index Options'!$L:$L,'BSE - SENSEX Index Options'!$C:$C,$A171,'BSE - SENSEX Index Options'!$B:$B,F$147,'BSE - SENSEX Index Options'!$H:$H,"Weekly*")+SUMIFS('BSE - SENSEX Index Options'!$L:$L,'BSE - SENSEX Index Options'!$C:$C,$A171,'BSE - SENSEX Index Options'!$B:$B,F$147,'BSE - SENSEX Index Options'!$H:$H,"MDAW*")+SUMIFS('BSE - Other Index Options'!$L:$L,'BSE - Other Index Options'!$C:$C,$A171,'BSE - Other Index Options'!$B:$B,F$147,'BSE - Other Index Options'!$H:$H,"Weekly*")+SUMIFS('BSE - Other Index Options'!$L:$L,'BSE - Other Index Options'!$C:$C,$A171,'BSE - Other Index Options'!$B:$B,F$147,'BSE - Other Index Options'!$H:$H,"MDAW*"))</f>
        <v>14541.730000000001</v>
      </c>
      <c r="G171" s="26" t="str">
        <f>IF(SUMIFS('BSE - SENSEX Index Options'!$L:$L,'BSE - SENSEX Index Options'!$C:$C,$A171,'BSE - SENSEX Index Options'!$B:$B,G$147,'BSE - SENSEX Index Options'!$H:$H,"Weekly*")+SUMIFS('BSE - SENSEX Index Options'!$L:$L,'BSE - SENSEX Index Options'!$C:$C,$A171,'BSE - SENSEX Index Options'!$B:$B,G$147,'BSE - SENSEX Index Options'!$H:$H,"MDAW*")+SUMIFS('BSE - Other Index Options'!$L:$L,'BSE - Other Index Options'!$C:$C,$A171,'BSE - Other Index Options'!$B:$B,G$147,'BSE - Other Index Options'!$H:$H,"Weekly*")+SUMIFS('BSE - Other Index Options'!$L:$L,'BSE - Other Index Options'!$C:$C,$A171,'BSE - Other Index Options'!$B:$B,G$147,'BSE - Other Index Options'!$H:$H,"MDAW*")=0,"",SUMIFS('BSE - SENSEX Index Options'!$L:$L,'BSE - SENSEX Index Options'!$C:$C,$A171,'BSE - SENSEX Index Options'!$B:$B,G$147,'BSE - SENSEX Index Options'!$H:$H,"Weekly*")+SUMIFS('BSE - SENSEX Index Options'!$L:$L,'BSE - SENSEX Index Options'!$C:$C,$A171,'BSE - SENSEX Index Options'!$B:$B,G$147,'BSE - SENSEX Index Options'!$H:$H,"MDAW*")+SUMIFS('BSE - Other Index Options'!$L:$L,'BSE - Other Index Options'!$C:$C,$A171,'BSE - Other Index Options'!$B:$B,G$147,'BSE - Other Index Options'!$H:$H,"Weekly*")+SUMIFS('BSE - Other Index Options'!$L:$L,'BSE - Other Index Options'!$C:$C,$A171,'BSE - Other Index Options'!$B:$B,G$147,'BSE - Other Index Options'!$H:$H,"MDAW*"))</f>
        <v/>
      </c>
      <c r="H171" s="26">
        <f t="shared" si="6"/>
        <v>151383.76999999999</v>
      </c>
    </row>
    <row r="172" spans="1:8">
      <c r="A172" t="s">
        <v>34</v>
      </c>
      <c r="B172" s="26" t="str">
        <f>IF(SUMIFS('BSE - SENSEX Index Options'!$L:$L,'BSE - SENSEX Index Options'!$C:$C,$A172,'BSE - SENSEX Index Options'!$B:$B,B$147,'BSE - SENSEX Index Options'!$H:$H,"Weekly*")+SUMIFS('BSE - SENSEX Index Options'!$L:$L,'BSE - SENSEX Index Options'!$C:$C,$A172,'BSE - SENSEX Index Options'!$B:$B,B$147,'BSE - SENSEX Index Options'!$H:$H,"MDAW*")+SUMIFS('BSE - Other Index Options'!$L:$L,'BSE - Other Index Options'!$C:$C,$A172,'BSE - Other Index Options'!$B:$B,B$147,'BSE - Other Index Options'!$H:$H,"Weekly*")+SUMIFS('BSE - Other Index Options'!$L:$L,'BSE - Other Index Options'!$C:$C,$A172,'BSE - Other Index Options'!$B:$B,B$147,'BSE - Other Index Options'!$H:$H,"MDAW*")=0,"",SUMIFS('BSE - SENSEX Index Options'!$L:$L,'BSE - SENSEX Index Options'!$C:$C,$A172,'BSE - SENSEX Index Options'!$B:$B,B$147,'BSE - SENSEX Index Options'!$H:$H,"Weekly*")+SUMIFS('BSE - SENSEX Index Options'!$L:$L,'BSE - SENSEX Index Options'!$C:$C,$A172,'BSE - SENSEX Index Options'!$B:$B,B$147,'BSE - SENSEX Index Options'!$H:$H,"MDAW*")+SUMIFS('BSE - Other Index Options'!$L:$L,'BSE - Other Index Options'!$C:$C,$A172,'BSE - Other Index Options'!$B:$B,B$147,'BSE - Other Index Options'!$H:$H,"Weekly*")+SUMIFS('BSE - Other Index Options'!$L:$L,'BSE - Other Index Options'!$C:$C,$A172,'BSE - Other Index Options'!$B:$B,B$147,'BSE - Other Index Options'!$H:$H,"MDAW*"))</f>
        <v/>
      </c>
      <c r="C172" s="26" t="str">
        <f>IF(SUMIFS('BSE - SENSEX Index Options'!$L:$L,'BSE - SENSEX Index Options'!$C:$C,$A172,'BSE - SENSEX Index Options'!$B:$B,C$147,'BSE - SENSEX Index Options'!$H:$H,"Weekly*")+SUMIFS('BSE - SENSEX Index Options'!$L:$L,'BSE - SENSEX Index Options'!$C:$C,$A172,'BSE - SENSEX Index Options'!$B:$B,C$147,'BSE - SENSEX Index Options'!$H:$H,"MDAW*")+SUMIFS('BSE - Other Index Options'!$L:$L,'BSE - Other Index Options'!$C:$C,$A172,'BSE - Other Index Options'!$B:$B,C$147,'BSE - Other Index Options'!$H:$H,"Weekly*")+SUMIFS('BSE - Other Index Options'!$L:$L,'BSE - Other Index Options'!$C:$C,$A172,'BSE - Other Index Options'!$B:$B,C$147,'BSE - Other Index Options'!$H:$H,"MDAW*")=0,"",SUMIFS('BSE - SENSEX Index Options'!$L:$L,'BSE - SENSEX Index Options'!$C:$C,$A172,'BSE - SENSEX Index Options'!$B:$B,C$147,'BSE - SENSEX Index Options'!$H:$H,"Weekly*")+SUMIFS('BSE - SENSEX Index Options'!$L:$L,'BSE - SENSEX Index Options'!$C:$C,$A172,'BSE - SENSEX Index Options'!$B:$B,C$147,'BSE - SENSEX Index Options'!$H:$H,"MDAW*")+SUMIFS('BSE - Other Index Options'!$L:$L,'BSE - Other Index Options'!$C:$C,$A172,'BSE - Other Index Options'!$B:$B,C$147,'BSE - Other Index Options'!$H:$H,"Weekly*")+SUMIFS('BSE - Other Index Options'!$L:$L,'BSE - Other Index Options'!$C:$C,$A172,'BSE - Other Index Options'!$B:$B,C$147,'BSE - Other Index Options'!$H:$H,"MDAW*"))</f>
        <v/>
      </c>
      <c r="D172" s="26" t="str">
        <f>IF(SUMIFS('BSE - SENSEX Index Options'!$L:$L,'BSE - SENSEX Index Options'!$C:$C,$A172,'BSE - SENSEX Index Options'!$B:$B,D$147,'BSE - SENSEX Index Options'!$H:$H,"Weekly*")+SUMIFS('BSE - SENSEX Index Options'!$L:$L,'BSE - SENSEX Index Options'!$C:$C,$A172,'BSE - SENSEX Index Options'!$B:$B,D$147,'BSE - SENSEX Index Options'!$H:$H,"MDAW*")+SUMIFS('BSE - Other Index Options'!$L:$L,'BSE - Other Index Options'!$C:$C,$A172,'BSE - Other Index Options'!$B:$B,D$147,'BSE - Other Index Options'!$H:$H,"Weekly*")+SUMIFS('BSE - Other Index Options'!$L:$L,'BSE - Other Index Options'!$C:$C,$A172,'BSE - Other Index Options'!$B:$B,D$147,'BSE - Other Index Options'!$H:$H,"MDAW*")=0,"",SUMIFS('BSE - SENSEX Index Options'!$L:$L,'BSE - SENSEX Index Options'!$C:$C,$A172,'BSE - SENSEX Index Options'!$B:$B,D$147,'BSE - SENSEX Index Options'!$H:$H,"Weekly*")+SUMIFS('BSE - SENSEX Index Options'!$L:$L,'BSE - SENSEX Index Options'!$C:$C,$A172,'BSE - SENSEX Index Options'!$B:$B,D$147,'BSE - SENSEX Index Options'!$H:$H,"MDAW*")+SUMIFS('BSE - Other Index Options'!$L:$L,'BSE - Other Index Options'!$C:$C,$A172,'BSE - Other Index Options'!$B:$B,D$147,'BSE - Other Index Options'!$H:$H,"Weekly*")+SUMIFS('BSE - Other Index Options'!$L:$L,'BSE - Other Index Options'!$C:$C,$A172,'BSE - Other Index Options'!$B:$B,D$147,'BSE - Other Index Options'!$H:$H,"MDAW*"))</f>
        <v/>
      </c>
      <c r="E172" s="26">
        <f>IF(SUMIFS('BSE - SENSEX Index Options'!$L:$L,'BSE - SENSEX Index Options'!$C:$C,$A172,'BSE - SENSEX Index Options'!$B:$B,E$147,'BSE - SENSEX Index Options'!$H:$H,"Weekly*")+SUMIFS('BSE - SENSEX Index Options'!$L:$L,'BSE - SENSEX Index Options'!$C:$C,$A172,'BSE - SENSEX Index Options'!$B:$B,E$147,'BSE - SENSEX Index Options'!$H:$H,"MDAW*")+SUMIFS('BSE - Other Index Options'!$L:$L,'BSE - Other Index Options'!$C:$C,$A172,'BSE - Other Index Options'!$B:$B,E$147,'BSE - Other Index Options'!$H:$H,"Weekly*")+SUMIFS('BSE - Other Index Options'!$L:$L,'BSE - Other Index Options'!$C:$C,$A172,'BSE - Other Index Options'!$B:$B,E$147,'BSE - Other Index Options'!$H:$H,"MDAW*")=0,"",SUMIFS('BSE - SENSEX Index Options'!$L:$L,'BSE - SENSEX Index Options'!$C:$C,$A172,'BSE - SENSEX Index Options'!$B:$B,E$147,'BSE - SENSEX Index Options'!$H:$H,"Weekly*")+SUMIFS('BSE - SENSEX Index Options'!$L:$L,'BSE - SENSEX Index Options'!$C:$C,$A172,'BSE - SENSEX Index Options'!$B:$B,E$147,'BSE - SENSEX Index Options'!$H:$H,"MDAW*")+SUMIFS('BSE - Other Index Options'!$L:$L,'BSE - Other Index Options'!$C:$C,$A172,'BSE - Other Index Options'!$B:$B,E$147,'BSE - Other Index Options'!$H:$H,"Weekly*")+SUMIFS('BSE - Other Index Options'!$L:$L,'BSE - Other Index Options'!$C:$C,$A172,'BSE - Other Index Options'!$B:$B,E$147,'BSE - Other Index Options'!$H:$H,"MDAW*"))</f>
        <v>67146.63</v>
      </c>
      <c r="F172" s="26">
        <f>IF(SUMIFS('BSE - SENSEX Index Options'!$L:$L,'BSE - SENSEX Index Options'!$C:$C,$A172,'BSE - SENSEX Index Options'!$B:$B,F$147,'BSE - SENSEX Index Options'!$H:$H,"Weekly*")+SUMIFS('BSE - SENSEX Index Options'!$L:$L,'BSE - SENSEX Index Options'!$C:$C,$A172,'BSE - SENSEX Index Options'!$B:$B,F$147,'BSE - SENSEX Index Options'!$H:$H,"MDAW*")+SUMIFS('BSE - Other Index Options'!$L:$L,'BSE - Other Index Options'!$C:$C,$A172,'BSE - Other Index Options'!$B:$B,F$147,'BSE - Other Index Options'!$H:$H,"Weekly*")+SUMIFS('BSE - Other Index Options'!$L:$L,'BSE - Other Index Options'!$C:$C,$A172,'BSE - Other Index Options'!$B:$B,F$147,'BSE - Other Index Options'!$H:$H,"MDAW*")=0,"",SUMIFS('BSE - SENSEX Index Options'!$L:$L,'BSE - SENSEX Index Options'!$C:$C,$A172,'BSE - SENSEX Index Options'!$B:$B,F$147,'BSE - SENSEX Index Options'!$H:$H,"Weekly*")+SUMIFS('BSE - SENSEX Index Options'!$L:$L,'BSE - SENSEX Index Options'!$C:$C,$A172,'BSE - SENSEX Index Options'!$B:$B,F$147,'BSE - SENSEX Index Options'!$H:$H,"MDAW*")+SUMIFS('BSE - Other Index Options'!$L:$L,'BSE - Other Index Options'!$C:$C,$A172,'BSE - Other Index Options'!$B:$B,F$147,'BSE - Other Index Options'!$H:$H,"Weekly*")+SUMIFS('BSE - Other Index Options'!$L:$L,'BSE - Other Index Options'!$C:$C,$A172,'BSE - Other Index Options'!$B:$B,F$147,'BSE - Other Index Options'!$H:$H,"MDAW*"))</f>
        <v>13772.23</v>
      </c>
      <c r="G172" s="26" t="str">
        <f>IF(SUMIFS('BSE - SENSEX Index Options'!$L:$L,'BSE - SENSEX Index Options'!$C:$C,$A172,'BSE - SENSEX Index Options'!$B:$B,G$147,'BSE - SENSEX Index Options'!$H:$H,"Weekly*")+SUMIFS('BSE - SENSEX Index Options'!$L:$L,'BSE - SENSEX Index Options'!$C:$C,$A172,'BSE - SENSEX Index Options'!$B:$B,G$147,'BSE - SENSEX Index Options'!$H:$H,"MDAW*")+SUMIFS('BSE - Other Index Options'!$L:$L,'BSE - Other Index Options'!$C:$C,$A172,'BSE - Other Index Options'!$B:$B,G$147,'BSE - Other Index Options'!$H:$H,"Weekly*")+SUMIFS('BSE - Other Index Options'!$L:$L,'BSE - Other Index Options'!$C:$C,$A172,'BSE - Other Index Options'!$B:$B,G$147,'BSE - Other Index Options'!$H:$H,"MDAW*")=0,"",SUMIFS('BSE - SENSEX Index Options'!$L:$L,'BSE - SENSEX Index Options'!$C:$C,$A172,'BSE - SENSEX Index Options'!$B:$B,G$147,'BSE - SENSEX Index Options'!$H:$H,"Weekly*")+SUMIFS('BSE - SENSEX Index Options'!$L:$L,'BSE - SENSEX Index Options'!$C:$C,$A172,'BSE - SENSEX Index Options'!$B:$B,G$147,'BSE - SENSEX Index Options'!$H:$H,"MDAW*")+SUMIFS('BSE - Other Index Options'!$L:$L,'BSE - Other Index Options'!$C:$C,$A172,'BSE - Other Index Options'!$B:$B,G$147,'BSE - Other Index Options'!$H:$H,"Weekly*")+SUMIFS('BSE - Other Index Options'!$L:$L,'BSE - Other Index Options'!$C:$C,$A172,'BSE - Other Index Options'!$B:$B,G$147,'BSE - Other Index Options'!$H:$H,"MDAW*"))</f>
        <v/>
      </c>
      <c r="H172" s="26">
        <f t="shared" si="6"/>
        <v>80918.86</v>
      </c>
    </row>
    <row r="173" spans="1:8">
      <c r="A173" t="s">
        <v>35</v>
      </c>
      <c r="B173" s="26">
        <f>IF(SUMIFS('BSE - SENSEX Index Options'!$L:$L,'BSE - SENSEX Index Options'!$C:$C,$A173,'BSE - SENSEX Index Options'!$B:$B,B$147,'BSE - SENSEX Index Options'!$H:$H,"Weekly*")+SUMIFS('BSE - SENSEX Index Options'!$L:$L,'BSE - SENSEX Index Options'!$C:$C,$A173,'BSE - SENSEX Index Options'!$B:$B,B$147,'BSE - SENSEX Index Options'!$H:$H,"MDAW*")+SUMIFS('BSE - Other Index Options'!$L:$L,'BSE - Other Index Options'!$C:$C,$A173,'BSE - Other Index Options'!$B:$B,B$147,'BSE - Other Index Options'!$H:$H,"Weekly*")+SUMIFS('BSE - Other Index Options'!$L:$L,'BSE - Other Index Options'!$C:$C,$A173,'BSE - Other Index Options'!$B:$B,B$147,'BSE - Other Index Options'!$H:$H,"MDAW*")=0,"",SUMIFS('BSE - SENSEX Index Options'!$L:$L,'BSE - SENSEX Index Options'!$C:$C,$A173,'BSE - SENSEX Index Options'!$B:$B,B$147,'BSE - SENSEX Index Options'!$H:$H,"Weekly*")+SUMIFS('BSE - SENSEX Index Options'!$L:$L,'BSE - SENSEX Index Options'!$C:$C,$A173,'BSE - SENSEX Index Options'!$B:$B,B$147,'BSE - SENSEX Index Options'!$H:$H,"MDAW*")+SUMIFS('BSE - Other Index Options'!$L:$L,'BSE - Other Index Options'!$C:$C,$A173,'BSE - Other Index Options'!$B:$B,B$147,'BSE - Other Index Options'!$H:$H,"Weekly*")+SUMIFS('BSE - Other Index Options'!$L:$L,'BSE - Other Index Options'!$C:$C,$A173,'BSE - Other Index Options'!$B:$B,B$147,'BSE - Other Index Options'!$H:$H,"MDAW*"))</f>
        <v>17507.920000000002</v>
      </c>
      <c r="C173" s="26">
        <f>IF(SUMIFS('BSE - SENSEX Index Options'!$L:$L,'BSE - SENSEX Index Options'!$C:$C,$A173,'BSE - SENSEX Index Options'!$B:$B,C$147,'BSE - SENSEX Index Options'!$H:$H,"Weekly*")+SUMIFS('BSE - SENSEX Index Options'!$L:$L,'BSE - SENSEX Index Options'!$C:$C,$A173,'BSE - SENSEX Index Options'!$B:$B,C$147,'BSE - SENSEX Index Options'!$H:$H,"MDAW*")+SUMIFS('BSE - Other Index Options'!$L:$L,'BSE - Other Index Options'!$C:$C,$A173,'BSE - Other Index Options'!$B:$B,C$147,'BSE - Other Index Options'!$H:$H,"Weekly*")+SUMIFS('BSE - Other Index Options'!$L:$L,'BSE - Other Index Options'!$C:$C,$A173,'BSE - Other Index Options'!$B:$B,C$147,'BSE - Other Index Options'!$H:$H,"MDAW*")=0,"",SUMIFS('BSE - SENSEX Index Options'!$L:$L,'BSE - SENSEX Index Options'!$C:$C,$A173,'BSE - SENSEX Index Options'!$B:$B,C$147,'BSE - SENSEX Index Options'!$H:$H,"Weekly*")+SUMIFS('BSE - SENSEX Index Options'!$L:$L,'BSE - SENSEX Index Options'!$C:$C,$A173,'BSE - SENSEX Index Options'!$B:$B,C$147,'BSE - SENSEX Index Options'!$H:$H,"MDAW*")+SUMIFS('BSE - Other Index Options'!$L:$L,'BSE - Other Index Options'!$C:$C,$A173,'BSE - Other Index Options'!$B:$B,C$147,'BSE - Other Index Options'!$H:$H,"Weekly*")+SUMIFS('BSE - Other Index Options'!$L:$L,'BSE - Other Index Options'!$C:$C,$A173,'BSE - Other Index Options'!$B:$B,C$147,'BSE - Other Index Options'!$H:$H,"MDAW*"))</f>
        <v>19645.629999999997</v>
      </c>
      <c r="D173" s="26">
        <f>IF(SUMIFS('BSE - SENSEX Index Options'!$L:$L,'BSE - SENSEX Index Options'!$C:$C,$A173,'BSE - SENSEX Index Options'!$B:$B,D$147,'BSE - SENSEX Index Options'!$H:$H,"Weekly*")+SUMIFS('BSE - SENSEX Index Options'!$L:$L,'BSE - SENSEX Index Options'!$C:$C,$A173,'BSE - SENSEX Index Options'!$B:$B,D$147,'BSE - SENSEX Index Options'!$H:$H,"MDAW*")+SUMIFS('BSE - Other Index Options'!$L:$L,'BSE - Other Index Options'!$C:$C,$A173,'BSE - Other Index Options'!$B:$B,D$147,'BSE - Other Index Options'!$H:$H,"Weekly*")+SUMIFS('BSE - Other Index Options'!$L:$L,'BSE - Other Index Options'!$C:$C,$A173,'BSE - Other Index Options'!$B:$B,D$147,'BSE - Other Index Options'!$H:$H,"MDAW*")=0,"",SUMIFS('BSE - SENSEX Index Options'!$L:$L,'BSE - SENSEX Index Options'!$C:$C,$A173,'BSE - SENSEX Index Options'!$B:$B,D$147,'BSE - SENSEX Index Options'!$H:$H,"Weekly*")+SUMIFS('BSE - SENSEX Index Options'!$L:$L,'BSE - SENSEX Index Options'!$C:$C,$A173,'BSE - SENSEX Index Options'!$B:$B,D$147,'BSE - SENSEX Index Options'!$H:$H,"MDAW*")+SUMIFS('BSE - Other Index Options'!$L:$L,'BSE - Other Index Options'!$C:$C,$A173,'BSE - Other Index Options'!$B:$B,D$147,'BSE - Other Index Options'!$H:$H,"Weekly*")+SUMIFS('BSE - Other Index Options'!$L:$L,'BSE - Other Index Options'!$C:$C,$A173,'BSE - Other Index Options'!$B:$B,D$147,'BSE - Other Index Options'!$H:$H,"MDAW*"))</f>
        <v>37354.25</v>
      </c>
      <c r="E173" s="26">
        <f>IF(SUMIFS('BSE - SENSEX Index Options'!$L:$L,'BSE - SENSEX Index Options'!$C:$C,$A173,'BSE - SENSEX Index Options'!$B:$B,E$147,'BSE - SENSEX Index Options'!$H:$H,"Weekly*")+SUMIFS('BSE - SENSEX Index Options'!$L:$L,'BSE - SENSEX Index Options'!$C:$C,$A173,'BSE - SENSEX Index Options'!$B:$B,E$147,'BSE - SENSEX Index Options'!$H:$H,"MDAW*")+SUMIFS('BSE - Other Index Options'!$L:$L,'BSE - Other Index Options'!$C:$C,$A173,'BSE - Other Index Options'!$B:$B,E$147,'BSE - Other Index Options'!$H:$H,"Weekly*")+SUMIFS('BSE - Other Index Options'!$L:$L,'BSE - Other Index Options'!$C:$C,$A173,'BSE - Other Index Options'!$B:$B,E$147,'BSE - Other Index Options'!$H:$H,"MDAW*")=0,"",SUMIFS('BSE - SENSEX Index Options'!$L:$L,'BSE - SENSEX Index Options'!$C:$C,$A173,'BSE - SENSEX Index Options'!$B:$B,E$147,'BSE - SENSEX Index Options'!$H:$H,"Weekly*")+SUMIFS('BSE - SENSEX Index Options'!$L:$L,'BSE - SENSEX Index Options'!$C:$C,$A173,'BSE - SENSEX Index Options'!$B:$B,E$147,'BSE - SENSEX Index Options'!$H:$H,"MDAW*")+SUMIFS('BSE - Other Index Options'!$L:$L,'BSE - Other Index Options'!$C:$C,$A173,'BSE - Other Index Options'!$B:$B,E$147,'BSE - Other Index Options'!$H:$H,"Weekly*")+SUMIFS('BSE - Other Index Options'!$L:$L,'BSE - Other Index Options'!$C:$C,$A173,'BSE - Other Index Options'!$B:$B,E$147,'BSE - Other Index Options'!$H:$H,"MDAW*"))</f>
        <v>51526.979999999996</v>
      </c>
      <c r="F173" s="26">
        <f>IF(SUMIFS('BSE - SENSEX Index Options'!$L:$L,'BSE - SENSEX Index Options'!$C:$C,$A173,'BSE - SENSEX Index Options'!$B:$B,F$147,'BSE - SENSEX Index Options'!$H:$H,"Weekly*")+SUMIFS('BSE - SENSEX Index Options'!$L:$L,'BSE - SENSEX Index Options'!$C:$C,$A173,'BSE - SENSEX Index Options'!$B:$B,F$147,'BSE - SENSEX Index Options'!$H:$H,"MDAW*")+SUMIFS('BSE - Other Index Options'!$L:$L,'BSE - Other Index Options'!$C:$C,$A173,'BSE - Other Index Options'!$B:$B,F$147,'BSE - Other Index Options'!$H:$H,"Weekly*")+SUMIFS('BSE - Other Index Options'!$L:$L,'BSE - Other Index Options'!$C:$C,$A173,'BSE - Other Index Options'!$B:$B,F$147,'BSE - Other Index Options'!$H:$H,"MDAW*")=0,"",SUMIFS('BSE - SENSEX Index Options'!$L:$L,'BSE - SENSEX Index Options'!$C:$C,$A173,'BSE - SENSEX Index Options'!$B:$B,F$147,'BSE - SENSEX Index Options'!$H:$H,"Weekly*")+SUMIFS('BSE - SENSEX Index Options'!$L:$L,'BSE - SENSEX Index Options'!$C:$C,$A173,'BSE - SENSEX Index Options'!$B:$B,F$147,'BSE - SENSEX Index Options'!$H:$H,"MDAW*")+SUMIFS('BSE - Other Index Options'!$L:$L,'BSE - Other Index Options'!$C:$C,$A173,'BSE - Other Index Options'!$B:$B,F$147,'BSE - Other Index Options'!$H:$H,"Weekly*")+SUMIFS('BSE - Other Index Options'!$L:$L,'BSE - Other Index Options'!$C:$C,$A173,'BSE - Other Index Options'!$B:$B,F$147,'BSE - Other Index Options'!$H:$H,"MDAW*"))</f>
        <v>12656.85</v>
      </c>
      <c r="G173" s="26">
        <f>IF(SUMIFS('BSE - SENSEX Index Options'!$L:$L,'BSE - SENSEX Index Options'!$C:$C,$A173,'BSE - SENSEX Index Options'!$B:$B,G$147,'BSE - SENSEX Index Options'!$H:$H,"Weekly*")+SUMIFS('BSE - SENSEX Index Options'!$L:$L,'BSE - SENSEX Index Options'!$C:$C,$A173,'BSE - SENSEX Index Options'!$B:$B,G$147,'BSE - SENSEX Index Options'!$H:$H,"MDAW*")+SUMIFS('BSE - Other Index Options'!$L:$L,'BSE - Other Index Options'!$C:$C,$A173,'BSE - Other Index Options'!$B:$B,G$147,'BSE - Other Index Options'!$H:$H,"Weekly*")+SUMIFS('BSE - Other Index Options'!$L:$L,'BSE - Other Index Options'!$C:$C,$A173,'BSE - Other Index Options'!$B:$B,G$147,'BSE - Other Index Options'!$H:$H,"MDAW*")=0,"",SUMIFS('BSE - SENSEX Index Options'!$L:$L,'BSE - SENSEX Index Options'!$C:$C,$A173,'BSE - SENSEX Index Options'!$B:$B,G$147,'BSE - SENSEX Index Options'!$H:$H,"Weekly*")+SUMIFS('BSE - SENSEX Index Options'!$L:$L,'BSE - SENSEX Index Options'!$C:$C,$A173,'BSE - SENSEX Index Options'!$B:$B,G$147,'BSE - SENSEX Index Options'!$H:$H,"MDAW*")+SUMIFS('BSE - Other Index Options'!$L:$L,'BSE - Other Index Options'!$C:$C,$A173,'BSE - Other Index Options'!$B:$B,G$147,'BSE - Other Index Options'!$H:$H,"Weekly*")+SUMIFS('BSE - Other Index Options'!$L:$L,'BSE - Other Index Options'!$C:$C,$A173,'BSE - Other Index Options'!$B:$B,G$147,'BSE - Other Index Options'!$H:$H,"MDAW*"))</f>
        <v>24733.119999999999</v>
      </c>
      <c r="H173" s="26">
        <f t="shared" si="6"/>
        <v>163424.75</v>
      </c>
    </row>
    <row r="174" spans="1:8">
      <c r="A174" t="s">
        <v>36</v>
      </c>
      <c r="B174" s="26">
        <f>IF(SUMIFS('BSE - SENSEX Index Options'!$L:$L,'BSE - SENSEX Index Options'!$C:$C,$A174,'BSE - SENSEX Index Options'!$B:$B,B$147,'BSE - SENSEX Index Options'!$H:$H,"Weekly*")+SUMIFS('BSE - SENSEX Index Options'!$L:$L,'BSE - SENSEX Index Options'!$C:$C,$A174,'BSE - SENSEX Index Options'!$B:$B,B$147,'BSE - SENSEX Index Options'!$H:$H,"MDAW*")+SUMIFS('BSE - Other Index Options'!$L:$L,'BSE - Other Index Options'!$C:$C,$A174,'BSE - Other Index Options'!$B:$B,B$147,'BSE - Other Index Options'!$H:$H,"Weekly*")+SUMIFS('BSE - Other Index Options'!$L:$L,'BSE - Other Index Options'!$C:$C,$A174,'BSE - Other Index Options'!$B:$B,B$147,'BSE - Other Index Options'!$H:$H,"MDAW*")=0,"",SUMIFS('BSE - SENSEX Index Options'!$L:$L,'BSE - SENSEX Index Options'!$C:$C,$A174,'BSE - SENSEX Index Options'!$B:$B,B$147,'BSE - SENSEX Index Options'!$H:$H,"Weekly*")+SUMIFS('BSE - SENSEX Index Options'!$L:$L,'BSE - SENSEX Index Options'!$C:$C,$A174,'BSE - SENSEX Index Options'!$B:$B,B$147,'BSE - SENSEX Index Options'!$H:$H,"MDAW*")+SUMIFS('BSE - Other Index Options'!$L:$L,'BSE - Other Index Options'!$C:$C,$A174,'BSE - Other Index Options'!$B:$B,B$147,'BSE - Other Index Options'!$H:$H,"Weekly*")+SUMIFS('BSE - Other Index Options'!$L:$L,'BSE - Other Index Options'!$C:$C,$A174,'BSE - Other Index Options'!$B:$B,B$147,'BSE - Other Index Options'!$H:$H,"MDAW*"))</f>
        <v>8582.869999999999</v>
      </c>
      <c r="C174" s="26">
        <f>IF(SUMIFS('BSE - SENSEX Index Options'!$L:$L,'BSE - SENSEX Index Options'!$C:$C,$A174,'BSE - SENSEX Index Options'!$B:$B,C$147,'BSE - SENSEX Index Options'!$H:$H,"Weekly*")+SUMIFS('BSE - SENSEX Index Options'!$L:$L,'BSE - SENSEX Index Options'!$C:$C,$A174,'BSE - SENSEX Index Options'!$B:$B,C$147,'BSE - SENSEX Index Options'!$H:$H,"MDAW*")+SUMIFS('BSE - Other Index Options'!$L:$L,'BSE - Other Index Options'!$C:$C,$A174,'BSE - Other Index Options'!$B:$B,C$147,'BSE - Other Index Options'!$H:$H,"Weekly*")+SUMIFS('BSE - Other Index Options'!$L:$L,'BSE - Other Index Options'!$C:$C,$A174,'BSE - Other Index Options'!$B:$B,C$147,'BSE - Other Index Options'!$H:$H,"MDAW*")=0,"",SUMIFS('BSE - SENSEX Index Options'!$L:$L,'BSE - SENSEX Index Options'!$C:$C,$A174,'BSE - SENSEX Index Options'!$B:$B,C$147,'BSE - SENSEX Index Options'!$H:$H,"Weekly*")+SUMIFS('BSE - SENSEX Index Options'!$L:$L,'BSE - SENSEX Index Options'!$C:$C,$A174,'BSE - SENSEX Index Options'!$B:$B,C$147,'BSE - SENSEX Index Options'!$H:$H,"MDAW*")+SUMIFS('BSE - Other Index Options'!$L:$L,'BSE - Other Index Options'!$C:$C,$A174,'BSE - Other Index Options'!$B:$B,C$147,'BSE - Other Index Options'!$H:$H,"Weekly*")+SUMIFS('BSE - Other Index Options'!$L:$L,'BSE - Other Index Options'!$C:$C,$A174,'BSE - Other Index Options'!$B:$B,C$147,'BSE - Other Index Options'!$H:$H,"MDAW*"))</f>
        <v>8752.4399999999987</v>
      </c>
      <c r="D174" s="26">
        <f>IF(SUMIFS('BSE - SENSEX Index Options'!$L:$L,'BSE - SENSEX Index Options'!$C:$C,$A174,'BSE - SENSEX Index Options'!$B:$B,D$147,'BSE - SENSEX Index Options'!$H:$H,"Weekly*")+SUMIFS('BSE - SENSEX Index Options'!$L:$L,'BSE - SENSEX Index Options'!$C:$C,$A174,'BSE - SENSEX Index Options'!$B:$B,D$147,'BSE - SENSEX Index Options'!$H:$H,"MDAW*")+SUMIFS('BSE - Other Index Options'!$L:$L,'BSE - Other Index Options'!$C:$C,$A174,'BSE - Other Index Options'!$B:$B,D$147,'BSE - Other Index Options'!$H:$H,"Weekly*")+SUMIFS('BSE - Other Index Options'!$L:$L,'BSE - Other Index Options'!$C:$C,$A174,'BSE - Other Index Options'!$B:$B,D$147,'BSE - Other Index Options'!$H:$H,"MDAW*")=0,"",SUMIFS('BSE - SENSEX Index Options'!$L:$L,'BSE - SENSEX Index Options'!$C:$C,$A174,'BSE - SENSEX Index Options'!$B:$B,D$147,'BSE - SENSEX Index Options'!$H:$H,"Weekly*")+SUMIFS('BSE - SENSEX Index Options'!$L:$L,'BSE - SENSEX Index Options'!$C:$C,$A174,'BSE - SENSEX Index Options'!$B:$B,D$147,'BSE - SENSEX Index Options'!$H:$H,"MDAW*")+SUMIFS('BSE - Other Index Options'!$L:$L,'BSE - Other Index Options'!$C:$C,$A174,'BSE - Other Index Options'!$B:$B,D$147,'BSE - Other Index Options'!$H:$H,"Weekly*")+SUMIFS('BSE - Other Index Options'!$L:$L,'BSE - Other Index Options'!$C:$C,$A174,'BSE - Other Index Options'!$B:$B,D$147,'BSE - Other Index Options'!$H:$H,"MDAW*"))</f>
        <v>25949.63</v>
      </c>
      <c r="E174" s="26">
        <f>IF(SUMIFS('BSE - SENSEX Index Options'!$L:$L,'BSE - SENSEX Index Options'!$C:$C,$A174,'BSE - SENSEX Index Options'!$B:$B,E$147,'BSE - SENSEX Index Options'!$H:$H,"Weekly*")+SUMIFS('BSE - SENSEX Index Options'!$L:$L,'BSE - SENSEX Index Options'!$C:$C,$A174,'BSE - SENSEX Index Options'!$B:$B,E$147,'BSE - SENSEX Index Options'!$H:$H,"MDAW*")+SUMIFS('BSE - Other Index Options'!$L:$L,'BSE - Other Index Options'!$C:$C,$A174,'BSE - Other Index Options'!$B:$B,E$147,'BSE - Other Index Options'!$H:$H,"Weekly*")+SUMIFS('BSE - Other Index Options'!$L:$L,'BSE - Other Index Options'!$C:$C,$A174,'BSE - Other Index Options'!$B:$B,E$147,'BSE - Other Index Options'!$H:$H,"MDAW*")=0,"",SUMIFS('BSE - SENSEX Index Options'!$L:$L,'BSE - SENSEX Index Options'!$C:$C,$A174,'BSE - SENSEX Index Options'!$B:$B,E$147,'BSE - SENSEX Index Options'!$H:$H,"Weekly*")+SUMIFS('BSE - SENSEX Index Options'!$L:$L,'BSE - SENSEX Index Options'!$C:$C,$A174,'BSE - SENSEX Index Options'!$B:$B,E$147,'BSE - SENSEX Index Options'!$H:$H,"MDAW*")+SUMIFS('BSE - Other Index Options'!$L:$L,'BSE - Other Index Options'!$C:$C,$A174,'BSE - Other Index Options'!$B:$B,E$147,'BSE - Other Index Options'!$H:$H,"Weekly*")+SUMIFS('BSE - Other Index Options'!$L:$L,'BSE - Other Index Options'!$C:$C,$A174,'BSE - Other Index Options'!$B:$B,E$147,'BSE - Other Index Options'!$H:$H,"MDAW*"))</f>
        <v>42755.15</v>
      </c>
      <c r="F174" s="26">
        <f>IF(SUMIFS('BSE - SENSEX Index Options'!$L:$L,'BSE - SENSEX Index Options'!$C:$C,$A174,'BSE - SENSEX Index Options'!$B:$B,F$147,'BSE - SENSEX Index Options'!$H:$H,"Weekly*")+SUMIFS('BSE - SENSEX Index Options'!$L:$L,'BSE - SENSEX Index Options'!$C:$C,$A174,'BSE - SENSEX Index Options'!$B:$B,F$147,'BSE - SENSEX Index Options'!$H:$H,"MDAW*")+SUMIFS('BSE - Other Index Options'!$L:$L,'BSE - Other Index Options'!$C:$C,$A174,'BSE - Other Index Options'!$B:$B,F$147,'BSE - Other Index Options'!$H:$H,"Weekly*")+SUMIFS('BSE - Other Index Options'!$L:$L,'BSE - Other Index Options'!$C:$C,$A174,'BSE - Other Index Options'!$B:$B,F$147,'BSE - Other Index Options'!$H:$H,"MDAW*")=0,"",SUMIFS('BSE - SENSEX Index Options'!$L:$L,'BSE - SENSEX Index Options'!$C:$C,$A174,'BSE - SENSEX Index Options'!$B:$B,F$147,'BSE - SENSEX Index Options'!$H:$H,"Weekly*")+SUMIFS('BSE - SENSEX Index Options'!$L:$L,'BSE - SENSEX Index Options'!$C:$C,$A174,'BSE - SENSEX Index Options'!$B:$B,F$147,'BSE - SENSEX Index Options'!$H:$H,"MDAW*")+SUMIFS('BSE - Other Index Options'!$L:$L,'BSE - Other Index Options'!$C:$C,$A174,'BSE - Other Index Options'!$B:$B,F$147,'BSE - Other Index Options'!$H:$H,"Weekly*")+SUMIFS('BSE - Other Index Options'!$L:$L,'BSE - Other Index Options'!$C:$C,$A174,'BSE - Other Index Options'!$B:$B,F$147,'BSE - Other Index Options'!$H:$H,"MDAW*"))</f>
        <v>10275.89</v>
      </c>
      <c r="G174" s="26" t="str">
        <f>IF(SUMIFS('BSE - SENSEX Index Options'!$L:$L,'BSE - SENSEX Index Options'!$C:$C,$A174,'BSE - SENSEX Index Options'!$B:$B,G$147,'BSE - SENSEX Index Options'!$H:$H,"Weekly*")+SUMIFS('BSE - SENSEX Index Options'!$L:$L,'BSE - SENSEX Index Options'!$C:$C,$A174,'BSE - SENSEX Index Options'!$B:$B,G$147,'BSE - SENSEX Index Options'!$H:$H,"MDAW*")+SUMIFS('BSE - Other Index Options'!$L:$L,'BSE - Other Index Options'!$C:$C,$A174,'BSE - Other Index Options'!$B:$B,G$147,'BSE - Other Index Options'!$H:$H,"Weekly*")+SUMIFS('BSE - Other Index Options'!$L:$L,'BSE - Other Index Options'!$C:$C,$A174,'BSE - Other Index Options'!$B:$B,G$147,'BSE - Other Index Options'!$H:$H,"MDAW*")=0,"",SUMIFS('BSE - SENSEX Index Options'!$L:$L,'BSE - SENSEX Index Options'!$C:$C,$A174,'BSE - SENSEX Index Options'!$B:$B,G$147,'BSE - SENSEX Index Options'!$H:$H,"Weekly*")+SUMIFS('BSE - SENSEX Index Options'!$L:$L,'BSE - SENSEX Index Options'!$C:$C,$A174,'BSE - SENSEX Index Options'!$B:$B,G$147,'BSE - SENSEX Index Options'!$H:$H,"MDAW*")+SUMIFS('BSE - Other Index Options'!$L:$L,'BSE - Other Index Options'!$C:$C,$A174,'BSE - Other Index Options'!$B:$B,G$147,'BSE - Other Index Options'!$H:$H,"Weekly*")+SUMIFS('BSE - Other Index Options'!$L:$L,'BSE - Other Index Options'!$C:$C,$A174,'BSE - Other Index Options'!$B:$B,G$147,'BSE - Other Index Options'!$H:$H,"MDAW*"))</f>
        <v/>
      </c>
      <c r="H174" s="26">
        <f t="shared" si="6"/>
        <v>96315.98</v>
      </c>
    </row>
    <row r="175" spans="1:8">
      <c r="A175" t="s">
        <v>37</v>
      </c>
      <c r="B175" s="26">
        <f>IF(SUMIFS('BSE - SENSEX Index Options'!$L:$L,'BSE - SENSEX Index Options'!$C:$C,$A175,'BSE - SENSEX Index Options'!$B:$B,B$147,'BSE - SENSEX Index Options'!$H:$H,"Weekly*")+SUMIFS('BSE - SENSEX Index Options'!$L:$L,'BSE - SENSEX Index Options'!$C:$C,$A175,'BSE - SENSEX Index Options'!$B:$B,B$147,'BSE - SENSEX Index Options'!$H:$H,"MDAW*")+SUMIFS('BSE - Other Index Options'!$L:$L,'BSE - Other Index Options'!$C:$C,$A175,'BSE - Other Index Options'!$B:$B,B$147,'BSE - Other Index Options'!$H:$H,"Weekly*")+SUMIFS('BSE - Other Index Options'!$L:$L,'BSE - Other Index Options'!$C:$C,$A175,'BSE - Other Index Options'!$B:$B,B$147,'BSE - Other Index Options'!$H:$H,"MDAW*")=0,"",SUMIFS('BSE - SENSEX Index Options'!$L:$L,'BSE - SENSEX Index Options'!$C:$C,$A175,'BSE - SENSEX Index Options'!$B:$B,B$147,'BSE - SENSEX Index Options'!$H:$H,"Weekly*")+SUMIFS('BSE - SENSEX Index Options'!$L:$L,'BSE - SENSEX Index Options'!$C:$C,$A175,'BSE - SENSEX Index Options'!$B:$B,B$147,'BSE - SENSEX Index Options'!$H:$H,"MDAW*")+SUMIFS('BSE - Other Index Options'!$L:$L,'BSE - Other Index Options'!$C:$C,$A175,'BSE - Other Index Options'!$B:$B,B$147,'BSE - Other Index Options'!$H:$H,"Weekly*")+SUMIFS('BSE - Other Index Options'!$L:$L,'BSE - Other Index Options'!$C:$C,$A175,'BSE - Other Index Options'!$B:$B,B$147,'BSE - Other Index Options'!$H:$H,"MDAW*"))</f>
        <v>11235.279999999999</v>
      </c>
      <c r="C175" s="26">
        <f>IF(SUMIFS('BSE - SENSEX Index Options'!$L:$L,'BSE - SENSEX Index Options'!$C:$C,$A175,'BSE - SENSEX Index Options'!$B:$B,C$147,'BSE - SENSEX Index Options'!$H:$H,"Weekly*")+SUMIFS('BSE - SENSEX Index Options'!$L:$L,'BSE - SENSEX Index Options'!$C:$C,$A175,'BSE - SENSEX Index Options'!$B:$B,C$147,'BSE - SENSEX Index Options'!$H:$H,"MDAW*")+SUMIFS('BSE - Other Index Options'!$L:$L,'BSE - Other Index Options'!$C:$C,$A175,'BSE - Other Index Options'!$B:$B,C$147,'BSE - Other Index Options'!$H:$H,"Weekly*")+SUMIFS('BSE - Other Index Options'!$L:$L,'BSE - Other Index Options'!$C:$C,$A175,'BSE - Other Index Options'!$B:$B,C$147,'BSE - Other Index Options'!$H:$H,"MDAW*")=0,"",SUMIFS('BSE - SENSEX Index Options'!$L:$L,'BSE - SENSEX Index Options'!$C:$C,$A175,'BSE - SENSEX Index Options'!$B:$B,C$147,'BSE - SENSEX Index Options'!$H:$H,"Weekly*")+SUMIFS('BSE - SENSEX Index Options'!$L:$L,'BSE - SENSEX Index Options'!$C:$C,$A175,'BSE - SENSEX Index Options'!$B:$B,C$147,'BSE - SENSEX Index Options'!$H:$H,"MDAW*")+SUMIFS('BSE - Other Index Options'!$L:$L,'BSE - Other Index Options'!$C:$C,$A175,'BSE - Other Index Options'!$B:$B,C$147,'BSE - Other Index Options'!$H:$H,"Weekly*")+SUMIFS('BSE - Other Index Options'!$L:$L,'BSE - Other Index Options'!$C:$C,$A175,'BSE - Other Index Options'!$B:$B,C$147,'BSE - Other Index Options'!$H:$H,"MDAW*"))</f>
        <v>10991.83</v>
      </c>
      <c r="D175" s="26">
        <f>IF(SUMIFS('BSE - SENSEX Index Options'!$L:$L,'BSE - SENSEX Index Options'!$C:$C,$A175,'BSE - SENSEX Index Options'!$B:$B,D$147,'BSE - SENSEX Index Options'!$H:$H,"Weekly*")+SUMIFS('BSE - SENSEX Index Options'!$L:$L,'BSE - SENSEX Index Options'!$C:$C,$A175,'BSE - SENSEX Index Options'!$B:$B,D$147,'BSE - SENSEX Index Options'!$H:$H,"MDAW*")+SUMIFS('BSE - Other Index Options'!$L:$L,'BSE - Other Index Options'!$C:$C,$A175,'BSE - Other Index Options'!$B:$B,D$147,'BSE - Other Index Options'!$H:$H,"Weekly*")+SUMIFS('BSE - Other Index Options'!$L:$L,'BSE - Other Index Options'!$C:$C,$A175,'BSE - Other Index Options'!$B:$B,D$147,'BSE - Other Index Options'!$H:$H,"MDAW*")=0,"",SUMIFS('BSE - SENSEX Index Options'!$L:$L,'BSE - SENSEX Index Options'!$C:$C,$A175,'BSE - SENSEX Index Options'!$B:$B,D$147,'BSE - SENSEX Index Options'!$H:$H,"Weekly*")+SUMIFS('BSE - SENSEX Index Options'!$L:$L,'BSE - SENSEX Index Options'!$C:$C,$A175,'BSE - SENSEX Index Options'!$B:$B,D$147,'BSE - SENSEX Index Options'!$H:$H,"MDAW*")+SUMIFS('BSE - Other Index Options'!$L:$L,'BSE - Other Index Options'!$C:$C,$A175,'BSE - Other Index Options'!$B:$B,D$147,'BSE - Other Index Options'!$H:$H,"Weekly*")+SUMIFS('BSE - Other Index Options'!$L:$L,'BSE - Other Index Options'!$C:$C,$A175,'BSE - Other Index Options'!$B:$B,D$147,'BSE - Other Index Options'!$H:$H,"MDAW*"))</f>
        <v>30962.640000000003</v>
      </c>
      <c r="E175" s="26">
        <f>IF(SUMIFS('BSE - SENSEX Index Options'!$L:$L,'BSE - SENSEX Index Options'!$C:$C,$A175,'BSE - SENSEX Index Options'!$B:$B,E$147,'BSE - SENSEX Index Options'!$H:$H,"Weekly*")+SUMIFS('BSE - SENSEX Index Options'!$L:$L,'BSE - SENSEX Index Options'!$C:$C,$A175,'BSE - SENSEX Index Options'!$B:$B,E$147,'BSE - SENSEX Index Options'!$H:$H,"MDAW*")+SUMIFS('BSE - Other Index Options'!$L:$L,'BSE - Other Index Options'!$C:$C,$A175,'BSE - Other Index Options'!$B:$B,E$147,'BSE - Other Index Options'!$H:$H,"Weekly*")+SUMIFS('BSE - Other Index Options'!$L:$L,'BSE - Other Index Options'!$C:$C,$A175,'BSE - Other Index Options'!$B:$B,E$147,'BSE - Other Index Options'!$H:$H,"MDAW*")=0,"",SUMIFS('BSE - SENSEX Index Options'!$L:$L,'BSE - SENSEX Index Options'!$C:$C,$A175,'BSE - SENSEX Index Options'!$B:$B,E$147,'BSE - SENSEX Index Options'!$H:$H,"Weekly*")+SUMIFS('BSE - SENSEX Index Options'!$L:$L,'BSE - SENSEX Index Options'!$C:$C,$A175,'BSE - SENSEX Index Options'!$B:$B,E$147,'BSE - SENSEX Index Options'!$H:$H,"MDAW*")+SUMIFS('BSE - Other Index Options'!$L:$L,'BSE - Other Index Options'!$C:$C,$A175,'BSE - Other Index Options'!$B:$B,E$147,'BSE - Other Index Options'!$H:$H,"Weekly*")+SUMIFS('BSE - Other Index Options'!$L:$L,'BSE - Other Index Options'!$C:$C,$A175,'BSE - Other Index Options'!$B:$B,E$147,'BSE - Other Index Options'!$H:$H,"MDAW*"))</f>
        <v>57544.959999999999</v>
      </c>
      <c r="F175" s="26">
        <f>IF(SUMIFS('BSE - SENSEX Index Options'!$L:$L,'BSE - SENSEX Index Options'!$C:$C,$A175,'BSE - SENSEX Index Options'!$B:$B,F$147,'BSE - SENSEX Index Options'!$H:$H,"Weekly*")+SUMIFS('BSE - SENSEX Index Options'!$L:$L,'BSE - SENSEX Index Options'!$C:$C,$A175,'BSE - SENSEX Index Options'!$B:$B,F$147,'BSE - SENSEX Index Options'!$H:$H,"MDAW*")+SUMIFS('BSE - Other Index Options'!$L:$L,'BSE - Other Index Options'!$C:$C,$A175,'BSE - Other Index Options'!$B:$B,F$147,'BSE - Other Index Options'!$H:$H,"Weekly*")+SUMIFS('BSE - Other Index Options'!$L:$L,'BSE - Other Index Options'!$C:$C,$A175,'BSE - Other Index Options'!$B:$B,F$147,'BSE - Other Index Options'!$H:$H,"MDAW*")=0,"",SUMIFS('BSE - SENSEX Index Options'!$L:$L,'BSE - SENSEX Index Options'!$C:$C,$A175,'BSE - SENSEX Index Options'!$B:$B,F$147,'BSE - SENSEX Index Options'!$H:$H,"Weekly*")+SUMIFS('BSE - SENSEX Index Options'!$L:$L,'BSE - SENSEX Index Options'!$C:$C,$A175,'BSE - SENSEX Index Options'!$B:$B,F$147,'BSE - SENSEX Index Options'!$H:$H,"MDAW*")+SUMIFS('BSE - Other Index Options'!$L:$L,'BSE - Other Index Options'!$C:$C,$A175,'BSE - Other Index Options'!$B:$B,F$147,'BSE - Other Index Options'!$H:$H,"Weekly*")+SUMIFS('BSE - Other Index Options'!$L:$L,'BSE - Other Index Options'!$C:$C,$A175,'BSE - Other Index Options'!$B:$B,F$147,'BSE - Other Index Options'!$H:$H,"MDAW*"))</f>
        <v>14707.68</v>
      </c>
      <c r="G175" s="26" t="str">
        <f>IF(SUMIFS('BSE - SENSEX Index Options'!$L:$L,'BSE - SENSEX Index Options'!$C:$C,$A175,'BSE - SENSEX Index Options'!$B:$B,G$147,'BSE - SENSEX Index Options'!$H:$H,"Weekly*")+SUMIFS('BSE - SENSEX Index Options'!$L:$L,'BSE - SENSEX Index Options'!$C:$C,$A175,'BSE - SENSEX Index Options'!$B:$B,G$147,'BSE - SENSEX Index Options'!$H:$H,"MDAW*")+SUMIFS('BSE - Other Index Options'!$L:$L,'BSE - Other Index Options'!$C:$C,$A175,'BSE - Other Index Options'!$B:$B,G$147,'BSE - Other Index Options'!$H:$H,"Weekly*")+SUMIFS('BSE - Other Index Options'!$L:$L,'BSE - Other Index Options'!$C:$C,$A175,'BSE - Other Index Options'!$B:$B,G$147,'BSE - Other Index Options'!$H:$H,"MDAW*")=0,"",SUMIFS('BSE - SENSEX Index Options'!$L:$L,'BSE - SENSEX Index Options'!$C:$C,$A175,'BSE - SENSEX Index Options'!$B:$B,G$147,'BSE - SENSEX Index Options'!$H:$H,"Weekly*")+SUMIFS('BSE - SENSEX Index Options'!$L:$L,'BSE - SENSEX Index Options'!$C:$C,$A175,'BSE - SENSEX Index Options'!$B:$B,G$147,'BSE - SENSEX Index Options'!$H:$H,"MDAW*")+SUMIFS('BSE - Other Index Options'!$L:$L,'BSE - Other Index Options'!$C:$C,$A175,'BSE - Other Index Options'!$B:$B,G$147,'BSE - Other Index Options'!$H:$H,"Weekly*")+SUMIFS('BSE - Other Index Options'!$L:$L,'BSE - Other Index Options'!$C:$C,$A175,'BSE - Other Index Options'!$B:$B,G$147,'BSE - Other Index Options'!$H:$H,"MDAW*"))</f>
        <v/>
      </c>
      <c r="H175" s="26">
        <f t="shared" si="6"/>
        <v>125442.38999999998</v>
      </c>
    </row>
    <row r="176" spans="1:8">
      <c r="A176" t="s">
        <v>38</v>
      </c>
      <c r="B176" s="26">
        <f>IF(SUMIFS('BSE - SENSEX Index Options'!$L:$L,'BSE - SENSEX Index Options'!$C:$C,$A176,'BSE - SENSEX Index Options'!$B:$B,B$147,'BSE - SENSEX Index Options'!$H:$H,"Weekly*")+SUMIFS('BSE - SENSEX Index Options'!$L:$L,'BSE - SENSEX Index Options'!$C:$C,$A176,'BSE - SENSEX Index Options'!$B:$B,B$147,'BSE - SENSEX Index Options'!$H:$H,"MDAW*")+SUMIFS('BSE - Other Index Options'!$L:$L,'BSE - Other Index Options'!$C:$C,$A176,'BSE - Other Index Options'!$B:$B,B$147,'BSE - Other Index Options'!$H:$H,"Weekly*")+SUMIFS('BSE - Other Index Options'!$L:$L,'BSE - Other Index Options'!$C:$C,$A176,'BSE - Other Index Options'!$B:$B,B$147,'BSE - Other Index Options'!$H:$H,"MDAW*")=0,"",SUMIFS('BSE - SENSEX Index Options'!$L:$L,'BSE - SENSEX Index Options'!$C:$C,$A176,'BSE - SENSEX Index Options'!$B:$B,B$147,'BSE - SENSEX Index Options'!$H:$H,"Weekly*")+SUMIFS('BSE - SENSEX Index Options'!$L:$L,'BSE - SENSEX Index Options'!$C:$C,$A176,'BSE - SENSEX Index Options'!$B:$B,B$147,'BSE - SENSEX Index Options'!$H:$H,"MDAW*")+SUMIFS('BSE - Other Index Options'!$L:$L,'BSE - Other Index Options'!$C:$C,$A176,'BSE - Other Index Options'!$B:$B,B$147,'BSE - Other Index Options'!$H:$H,"Weekly*")+SUMIFS('BSE - Other Index Options'!$L:$L,'BSE - Other Index Options'!$C:$C,$A176,'BSE - Other Index Options'!$B:$B,B$147,'BSE - Other Index Options'!$H:$H,"MDAW*"))</f>
        <v>11915.25</v>
      </c>
      <c r="C176" s="26">
        <f>IF(SUMIFS('BSE - SENSEX Index Options'!$L:$L,'BSE - SENSEX Index Options'!$C:$C,$A176,'BSE - SENSEX Index Options'!$B:$B,C$147,'BSE - SENSEX Index Options'!$H:$H,"Weekly*")+SUMIFS('BSE - SENSEX Index Options'!$L:$L,'BSE - SENSEX Index Options'!$C:$C,$A176,'BSE - SENSEX Index Options'!$B:$B,C$147,'BSE - SENSEX Index Options'!$H:$H,"MDAW*")+SUMIFS('BSE - Other Index Options'!$L:$L,'BSE - Other Index Options'!$C:$C,$A176,'BSE - Other Index Options'!$B:$B,C$147,'BSE - Other Index Options'!$H:$H,"Weekly*")+SUMIFS('BSE - Other Index Options'!$L:$L,'BSE - Other Index Options'!$C:$C,$A176,'BSE - Other Index Options'!$B:$B,C$147,'BSE - Other Index Options'!$H:$H,"MDAW*")=0,"",SUMIFS('BSE - SENSEX Index Options'!$L:$L,'BSE - SENSEX Index Options'!$C:$C,$A176,'BSE - SENSEX Index Options'!$B:$B,C$147,'BSE - SENSEX Index Options'!$H:$H,"Weekly*")+SUMIFS('BSE - SENSEX Index Options'!$L:$L,'BSE - SENSEX Index Options'!$C:$C,$A176,'BSE - SENSEX Index Options'!$B:$B,C$147,'BSE - SENSEX Index Options'!$H:$H,"MDAW*")+SUMIFS('BSE - Other Index Options'!$L:$L,'BSE - Other Index Options'!$C:$C,$A176,'BSE - Other Index Options'!$B:$B,C$147,'BSE - Other Index Options'!$H:$H,"Weekly*")+SUMIFS('BSE - Other Index Options'!$L:$L,'BSE - Other Index Options'!$C:$C,$A176,'BSE - Other Index Options'!$B:$B,C$147,'BSE - Other Index Options'!$H:$H,"MDAW*"))</f>
        <v>12576.16</v>
      </c>
      <c r="D176" s="26">
        <f>IF(SUMIFS('BSE - SENSEX Index Options'!$L:$L,'BSE - SENSEX Index Options'!$C:$C,$A176,'BSE - SENSEX Index Options'!$B:$B,D$147,'BSE - SENSEX Index Options'!$H:$H,"Weekly*")+SUMIFS('BSE - SENSEX Index Options'!$L:$L,'BSE - SENSEX Index Options'!$C:$C,$A176,'BSE - SENSEX Index Options'!$B:$B,D$147,'BSE - SENSEX Index Options'!$H:$H,"MDAW*")+SUMIFS('BSE - Other Index Options'!$L:$L,'BSE - Other Index Options'!$C:$C,$A176,'BSE - Other Index Options'!$B:$B,D$147,'BSE - Other Index Options'!$H:$H,"Weekly*")+SUMIFS('BSE - Other Index Options'!$L:$L,'BSE - Other Index Options'!$C:$C,$A176,'BSE - Other Index Options'!$B:$B,D$147,'BSE - Other Index Options'!$H:$H,"MDAW*")=0,"",SUMIFS('BSE - SENSEX Index Options'!$L:$L,'BSE - SENSEX Index Options'!$C:$C,$A176,'BSE - SENSEX Index Options'!$B:$B,D$147,'BSE - SENSEX Index Options'!$H:$H,"Weekly*")+SUMIFS('BSE - SENSEX Index Options'!$L:$L,'BSE - SENSEX Index Options'!$C:$C,$A176,'BSE - SENSEX Index Options'!$B:$B,D$147,'BSE - SENSEX Index Options'!$H:$H,"MDAW*")+SUMIFS('BSE - Other Index Options'!$L:$L,'BSE - Other Index Options'!$C:$C,$A176,'BSE - Other Index Options'!$B:$B,D$147,'BSE - Other Index Options'!$H:$H,"Weekly*")+SUMIFS('BSE - Other Index Options'!$L:$L,'BSE - Other Index Options'!$C:$C,$A176,'BSE - Other Index Options'!$B:$B,D$147,'BSE - Other Index Options'!$H:$H,"MDAW*"))</f>
        <v>40669.18</v>
      </c>
      <c r="E176" s="26">
        <f>IF(SUMIFS('BSE - SENSEX Index Options'!$L:$L,'BSE - SENSEX Index Options'!$C:$C,$A176,'BSE - SENSEX Index Options'!$B:$B,E$147,'BSE - SENSEX Index Options'!$H:$H,"Weekly*")+SUMIFS('BSE - SENSEX Index Options'!$L:$L,'BSE - SENSEX Index Options'!$C:$C,$A176,'BSE - SENSEX Index Options'!$B:$B,E$147,'BSE - SENSEX Index Options'!$H:$H,"MDAW*")+SUMIFS('BSE - Other Index Options'!$L:$L,'BSE - Other Index Options'!$C:$C,$A176,'BSE - Other Index Options'!$B:$B,E$147,'BSE - Other Index Options'!$H:$H,"Weekly*")+SUMIFS('BSE - Other Index Options'!$L:$L,'BSE - Other Index Options'!$C:$C,$A176,'BSE - Other Index Options'!$B:$B,E$147,'BSE - Other Index Options'!$H:$H,"MDAW*")=0,"",SUMIFS('BSE - SENSEX Index Options'!$L:$L,'BSE - SENSEX Index Options'!$C:$C,$A176,'BSE - SENSEX Index Options'!$B:$B,E$147,'BSE - SENSEX Index Options'!$H:$H,"Weekly*")+SUMIFS('BSE - SENSEX Index Options'!$L:$L,'BSE - SENSEX Index Options'!$C:$C,$A176,'BSE - SENSEX Index Options'!$B:$B,E$147,'BSE - SENSEX Index Options'!$H:$H,"MDAW*")+SUMIFS('BSE - Other Index Options'!$L:$L,'BSE - Other Index Options'!$C:$C,$A176,'BSE - Other Index Options'!$B:$B,E$147,'BSE - Other Index Options'!$H:$H,"Weekly*")+SUMIFS('BSE - Other Index Options'!$L:$L,'BSE - Other Index Options'!$C:$C,$A176,'BSE - Other Index Options'!$B:$B,E$147,'BSE - Other Index Options'!$H:$H,"MDAW*"))</f>
        <v>64725.52</v>
      </c>
      <c r="F176" s="26">
        <f>IF(SUMIFS('BSE - SENSEX Index Options'!$L:$L,'BSE - SENSEX Index Options'!$C:$C,$A176,'BSE - SENSEX Index Options'!$B:$B,F$147,'BSE - SENSEX Index Options'!$H:$H,"Weekly*")+SUMIFS('BSE - SENSEX Index Options'!$L:$L,'BSE - SENSEX Index Options'!$C:$C,$A176,'BSE - SENSEX Index Options'!$B:$B,F$147,'BSE - SENSEX Index Options'!$H:$H,"MDAW*")+SUMIFS('BSE - Other Index Options'!$L:$L,'BSE - Other Index Options'!$C:$C,$A176,'BSE - Other Index Options'!$B:$B,F$147,'BSE - Other Index Options'!$H:$H,"Weekly*")+SUMIFS('BSE - Other Index Options'!$L:$L,'BSE - Other Index Options'!$C:$C,$A176,'BSE - Other Index Options'!$B:$B,F$147,'BSE - Other Index Options'!$H:$H,"MDAW*")=0,"",SUMIFS('BSE - SENSEX Index Options'!$L:$L,'BSE - SENSEX Index Options'!$C:$C,$A176,'BSE - SENSEX Index Options'!$B:$B,F$147,'BSE - SENSEX Index Options'!$H:$H,"Weekly*")+SUMIFS('BSE - SENSEX Index Options'!$L:$L,'BSE - SENSEX Index Options'!$C:$C,$A176,'BSE - SENSEX Index Options'!$B:$B,F$147,'BSE - SENSEX Index Options'!$H:$H,"MDAW*")+SUMIFS('BSE - Other Index Options'!$L:$L,'BSE - Other Index Options'!$C:$C,$A176,'BSE - Other Index Options'!$B:$B,F$147,'BSE - Other Index Options'!$H:$H,"Weekly*")+SUMIFS('BSE - Other Index Options'!$L:$L,'BSE - Other Index Options'!$C:$C,$A176,'BSE - Other Index Options'!$B:$B,F$147,'BSE - Other Index Options'!$H:$H,"MDAW*"))</f>
        <v>12205.51</v>
      </c>
      <c r="G176" s="26" t="str">
        <f>IF(SUMIFS('BSE - SENSEX Index Options'!$L:$L,'BSE - SENSEX Index Options'!$C:$C,$A176,'BSE - SENSEX Index Options'!$B:$B,G$147,'BSE - SENSEX Index Options'!$H:$H,"Weekly*")+SUMIFS('BSE - SENSEX Index Options'!$L:$L,'BSE - SENSEX Index Options'!$C:$C,$A176,'BSE - SENSEX Index Options'!$B:$B,G$147,'BSE - SENSEX Index Options'!$H:$H,"MDAW*")+SUMIFS('BSE - Other Index Options'!$L:$L,'BSE - Other Index Options'!$C:$C,$A176,'BSE - Other Index Options'!$B:$B,G$147,'BSE - Other Index Options'!$H:$H,"Weekly*")+SUMIFS('BSE - Other Index Options'!$L:$L,'BSE - Other Index Options'!$C:$C,$A176,'BSE - Other Index Options'!$B:$B,G$147,'BSE - Other Index Options'!$H:$H,"MDAW*")=0,"",SUMIFS('BSE - SENSEX Index Options'!$L:$L,'BSE - SENSEX Index Options'!$C:$C,$A176,'BSE - SENSEX Index Options'!$B:$B,G$147,'BSE - SENSEX Index Options'!$H:$H,"Weekly*")+SUMIFS('BSE - SENSEX Index Options'!$L:$L,'BSE - SENSEX Index Options'!$C:$C,$A176,'BSE - SENSEX Index Options'!$B:$B,G$147,'BSE - SENSEX Index Options'!$H:$H,"MDAW*")+SUMIFS('BSE - Other Index Options'!$L:$L,'BSE - Other Index Options'!$C:$C,$A176,'BSE - Other Index Options'!$B:$B,G$147,'BSE - Other Index Options'!$H:$H,"Weekly*")+SUMIFS('BSE - Other Index Options'!$L:$L,'BSE - Other Index Options'!$C:$C,$A176,'BSE - Other Index Options'!$B:$B,G$147,'BSE - Other Index Options'!$H:$H,"MDAW*"))</f>
        <v/>
      </c>
      <c r="H176" s="26">
        <f t="shared" si="6"/>
        <v>142091.62</v>
      </c>
    </row>
    <row r="177" spans="1:8">
      <c r="A177" t="s">
        <v>39</v>
      </c>
      <c r="B177" s="26">
        <f>IF(SUMIFS('BSE - SENSEX Index Options'!$L:$L,'BSE - SENSEX Index Options'!$C:$C,$A177,'BSE - SENSEX Index Options'!$B:$B,B$147,'BSE - SENSEX Index Options'!$H:$H,"Weekly*")+SUMIFS('BSE - SENSEX Index Options'!$L:$L,'BSE - SENSEX Index Options'!$C:$C,$A177,'BSE - SENSEX Index Options'!$B:$B,B$147,'BSE - SENSEX Index Options'!$H:$H,"MDAW*")+SUMIFS('BSE - Other Index Options'!$L:$L,'BSE - Other Index Options'!$C:$C,$A177,'BSE - Other Index Options'!$B:$B,B$147,'BSE - Other Index Options'!$H:$H,"Weekly*")+SUMIFS('BSE - Other Index Options'!$L:$L,'BSE - Other Index Options'!$C:$C,$A177,'BSE - Other Index Options'!$B:$B,B$147,'BSE - Other Index Options'!$H:$H,"MDAW*")=0,"",SUMIFS('BSE - SENSEX Index Options'!$L:$L,'BSE - SENSEX Index Options'!$C:$C,$A177,'BSE - SENSEX Index Options'!$B:$B,B$147,'BSE - SENSEX Index Options'!$H:$H,"Weekly*")+SUMIFS('BSE - SENSEX Index Options'!$L:$L,'BSE - SENSEX Index Options'!$C:$C,$A177,'BSE - SENSEX Index Options'!$B:$B,B$147,'BSE - SENSEX Index Options'!$H:$H,"MDAW*")+SUMIFS('BSE - Other Index Options'!$L:$L,'BSE - Other Index Options'!$C:$C,$A177,'BSE - Other Index Options'!$B:$B,B$147,'BSE - Other Index Options'!$H:$H,"Weekly*")+SUMIFS('BSE - Other Index Options'!$L:$L,'BSE - Other Index Options'!$C:$C,$A177,'BSE - Other Index Options'!$B:$B,B$147,'BSE - Other Index Options'!$H:$H,"MDAW*"))</f>
        <v>17865.530000000002</v>
      </c>
      <c r="C177" s="26" t="str">
        <f>IF(SUMIFS('BSE - SENSEX Index Options'!$L:$L,'BSE - SENSEX Index Options'!$C:$C,$A177,'BSE - SENSEX Index Options'!$B:$B,C$147,'BSE - SENSEX Index Options'!$H:$H,"Weekly*")+SUMIFS('BSE - SENSEX Index Options'!$L:$L,'BSE - SENSEX Index Options'!$C:$C,$A177,'BSE - SENSEX Index Options'!$B:$B,C$147,'BSE - SENSEX Index Options'!$H:$H,"MDAW*")+SUMIFS('BSE - Other Index Options'!$L:$L,'BSE - Other Index Options'!$C:$C,$A177,'BSE - Other Index Options'!$B:$B,C$147,'BSE - Other Index Options'!$H:$H,"Weekly*")+SUMIFS('BSE - Other Index Options'!$L:$L,'BSE - Other Index Options'!$C:$C,$A177,'BSE - Other Index Options'!$B:$B,C$147,'BSE - Other Index Options'!$H:$H,"MDAW*")=0,"",SUMIFS('BSE - SENSEX Index Options'!$L:$L,'BSE - SENSEX Index Options'!$C:$C,$A177,'BSE - SENSEX Index Options'!$B:$B,C$147,'BSE - SENSEX Index Options'!$H:$H,"Weekly*")+SUMIFS('BSE - SENSEX Index Options'!$L:$L,'BSE - SENSEX Index Options'!$C:$C,$A177,'BSE - SENSEX Index Options'!$B:$B,C$147,'BSE - SENSEX Index Options'!$H:$H,"MDAW*")+SUMIFS('BSE - Other Index Options'!$L:$L,'BSE - Other Index Options'!$C:$C,$A177,'BSE - Other Index Options'!$B:$B,C$147,'BSE - Other Index Options'!$H:$H,"Weekly*")+SUMIFS('BSE - Other Index Options'!$L:$L,'BSE - Other Index Options'!$C:$C,$A177,'BSE - Other Index Options'!$B:$B,C$147,'BSE - Other Index Options'!$H:$H,"MDAW*"))</f>
        <v/>
      </c>
      <c r="D177" s="26">
        <f>IF(SUMIFS('BSE - SENSEX Index Options'!$L:$L,'BSE - SENSEX Index Options'!$C:$C,$A177,'BSE - SENSEX Index Options'!$B:$B,D$147,'BSE - SENSEX Index Options'!$H:$H,"Weekly*")+SUMIFS('BSE - SENSEX Index Options'!$L:$L,'BSE - SENSEX Index Options'!$C:$C,$A177,'BSE - SENSEX Index Options'!$B:$B,D$147,'BSE - SENSEX Index Options'!$H:$H,"MDAW*")+SUMIFS('BSE - Other Index Options'!$L:$L,'BSE - Other Index Options'!$C:$C,$A177,'BSE - Other Index Options'!$B:$B,D$147,'BSE - Other Index Options'!$H:$H,"Weekly*")+SUMIFS('BSE - Other Index Options'!$L:$L,'BSE - Other Index Options'!$C:$C,$A177,'BSE - Other Index Options'!$B:$B,D$147,'BSE - Other Index Options'!$H:$H,"MDAW*")=0,"",SUMIFS('BSE - SENSEX Index Options'!$L:$L,'BSE - SENSEX Index Options'!$C:$C,$A177,'BSE - SENSEX Index Options'!$B:$B,D$147,'BSE - SENSEX Index Options'!$H:$H,"Weekly*")+SUMIFS('BSE - SENSEX Index Options'!$L:$L,'BSE - SENSEX Index Options'!$C:$C,$A177,'BSE - SENSEX Index Options'!$B:$B,D$147,'BSE - SENSEX Index Options'!$H:$H,"MDAW*")+SUMIFS('BSE - Other Index Options'!$L:$L,'BSE - Other Index Options'!$C:$C,$A177,'BSE - Other Index Options'!$B:$B,D$147,'BSE - Other Index Options'!$H:$H,"Weekly*")+SUMIFS('BSE - Other Index Options'!$L:$L,'BSE - Other Index Options'!$C:$C,$A177,'BSE - Other Index Options'!$B:$B,D$147,'BSE - Other Index Options'!$H:$H,"MDAW*"))</f>
        <v>52739.96</v>
      </c>
      <c r="E177" s="26">
        <f>IF(SUMIFS('BSE - SENSEX Index Options'!$L:$L,'BSE - SENSEX Index Options'!$C:$C,$A177,'BSE - SENSEX Index Options'!$B:$B,E$147,'BSE - SENSEX Index Options'!$H:$H,"Weekly*")+SUMIFS('BSE - SENSEX Index Options'!$L:$L,'BSE - SENSEX Index Options'!$C:$C,$A177,'BSE - SENSEX Index Options'!$B:$B,E$147,'BSE - SENSEX Index Options'!$H:$H,"MDAW*")+SUMIFS('BSE - Other Index Options'!$L:$L,'BSE - Other Index Options'!$C:$C,$A177,'BSE - Other Index Options'!$B:$B,E$147,'BSE - Other Index Options'!$H:$H,"Weekly*")+SUMIFS('BSE - Other Index Options'!$L:$L,'BSE - Other Index Options'!$C:$C,$A177,'BSE - Other Index Options'!$B:$B,E$147,'BSE - Other Index Options'!$H:$H,"MDAW*")=0,"",SUMIFS('BSE - SENSEX Index Options'!$L:$L,'BSE - SENSEX Index Options'!$C:$C,$A177,'BSE - SENSEX Index Options'!$B:$B,E$147,'BSE - SENSEX Index Options'!$H:$H,"Weekly*")+SUMIFS('BSE - SENSEX Index Options'!$L:$L,'BSE - SENSEX Index Options'!$C:$C,$A177,'BSE - SENSEX Index Options'!$B:$B,E$147,'BSE - SENSEX Index Options'!$H:$H,"MDAW*")+SUMIFS('BSE - Other Index Options'!$L:$L,'BSE - Other Index Options'!$C:$C,$A177,'BSE - Other Index Options'!$B:$B,E$147,'BSE - Other Index Options'!$H:$H,"Weekly*")+SUMIFS('BSE - Other Index Options'!$L:$L,'BSE - Other Index Options'!$C:$C,$A177,'BSE - Other Index Options'!$B:$B,E$147,'BSE - Other Index Options'!$H:$H,"MDAW*"))</f>
        <v>82733.569999999992</v>
      </c>
      <c r="F177" s="26">
        <f>IF(SUMIFS('BSE - SENSEX Index Options'!$L:$L,'BSE - SENSEX Index Options'!$C:$C,$A177,'BSE - SENSEX Index Options'!$B:$B,F$147,'BSE - SENSEX Index Options'!$H:$H,"Weekly*")+SUMIFS('BSE - SENSEX Index Options'!$L:$L,'BSE - SENSEX Index Options'!$C:$C,$A177,'BSE - SENSEX Index Options'!$B:$B,F$147,'BSE - SENSEX Index Options'!$H:$H,"MDAW*")+SUMIFS('BSE - Other Index Options'!$L:$L,'BSE - Other Index Options'!$C:$C,$A177,'BSE - Other Index Options'!$B:$B,F$147,'BSE - Other Index Options'!$H:$H,"Weekly*")+SUMIFS('BSE - Other Index Options'!$L:$L,'BSE - Other Index Options'!$C:$C,$A177,'BSE - Other Index Options'!$B:$B,F$147,'BSE - Other Index Options'!$H:$H,"MDAW*")=0,"",SUMIFS('BSE - SENSEX Index Options'!$L:$L,'BSE - SENSEX Index Options'!$C:$C,$A177,'BSE - SENSEX Index Options'!$B:$B,F$147,'BSE - SENSEX Index Options'!$H:$H,"Weekly*")+SUMIFS('BSE - SENSEX Index Options'!$L:$L,'BSE - SENSEX Index Options'!$C:$C,$A177,'BSE - SENSEX Index Options'!$B:$B,F$147,'BSE - SENSEX Index Options'!$H:$H,"MDAW*")+SUMIFS('BSE - Other Index Options'!$L:$L,'BSE - Other Index Options'!$C:$C,$A177,'BSE - Other Index Options'!$B:$B,F$147,'BSE - Other Index Options'!$H:$H,"Weekly*")+SUMIFS('BSE - Other Index Options'!$L:$L,'BSE - Other Index Options'!$C:$C,$A177,'BSE - Other Index Options'!$B:$B,F$147,'BSE - Other Index Options'!$H:$H,"MDAW*"))</f>
        <v>13460.9</v>
      </c>
      <c r="G177" s="26" t="str">
        <f>IF(SUMIFS('BSE - SENSEX Index Options'!$L:$L,'BSE - SENSEX Index Options'!$C:$C,$A177,'BSE - SENSEX Index Options'!$B:$B,G$147,'BSE - SENSEX Index Options'!$H:$H,"Weekly*")+SUMIFS('BSE - SENSEX Index Options'!$L:$L,'BSE - SENSEX Index Options'!$C:$C,$A177,'BSE - SENSEX Index Options'!$B:$B,G$147,'BSE - SENSEX Index Options'!$H:$H,"MDAW*")+SUMIFS('BSE - Other Index Options'!$L:$L,'BSE - Other Index Options'!$C:$C,$A177,'BSE - Other Index Options'!$B:$B,G$147,'BSE - Other Index Options'!$H:$H,"Weekly*")+SUMIFS('BSE - Other Index Options'!$L:$L,'BSE - Other Index Options'!$C:$C,$A177,'BSE - Other Index Options'!$B:$B,G$147,'BSE - Other Index Options'!$H:$H,"MDAW*")=0,"",SUMIFS('BSE - SENSEX Index Options'!$L:$L,'BSE - SENSEX Index Options'!$C:$C,$A177,'BSE - SENSEX Index Options'!$B:$B,G$147,'BSE - SENSEX Index Options'!$H:$H,"Weekly*")+SUMIFS('BSE - SENSEX Index Options'!$L:$L,'BSE - SENSEX Index Options'!$C:$C,$A177,'BSE - SENSEX Index Options'!$B:$B,G$147,'BSE - SENSEX Index Options'!$H:$H,"MDAW*")+SUMIFS('BSE - Other Index Options'!$L:$L,'BSE - Other Index Options'!$C:$C,$A177,'BSE - Other Index Options'!$B:$B,G$147,'BSE - Other Index Options'!$H:$H,"Weekly*")+SUMIFS('BSE - Other Index Options'!$L:$L,'BSE - Other Index Options'!$C:$C,$A177,'BSE - Other Index Options'!$B:$B,G$147,'BSE - Other Index Options'!$H:$H,"MDAW*"))</f>
        <v/>
      </c>
      <c r="H177" s="26">
        <f t="shared" si="6"/>
        <v>166799.96</v>
      </c>
    </row>
    <row r="178" spans="1:8">
      <c r="A178" t="s">
        <v>40</v>
      </c>
      <c r="B178" s="26">
        <f>IF(SUMIFS('BSE - SENSEX Index Options'!$L:$L,'BSE - SENSEX Index Options'!$C:$C,$A178,'BSE - SENSEX Index Options'!$B:$B,B$147,'BSE - SENSEX Index Options'!$H:$H,"Weekly*")+SUMIFS('BSE - SENSEX Index Options'!$L:$L,'BSE - SENSEX Index Options'!$C:$C,$A178,'BSE - SENSEX Index Options'!$B:$B,B$147,'BSE - SENSEX Index Options'!$H:$H,"MDAW*")+SUMIFS('BSE - Other Index Options'!$L:$L,'BSE - Other Index Options'!$C:$C,$A178,'BSE - Other Index Options'!$B:$B,B$147,'BSE - Other Index Options'!$H:$H,"Weekly*")+SUMIFS('BSE - Other Index Options'!$L:$L,'BSE - Other Index Options'!$C:$C,$A178,'BSE - Other Index Options'!$B:$B,B$147,'BSE - Other Index Options'!$H:$H,"MDAW*")=0,"",SUMIFS('BSE - SENSEX Index Options'!$L:$L,'BSE - SENSEX Index Options'!$C:$C,$A178,'BSE - SENSEX Index Options'!$B:$B,B$147,'BSE - SENSEX Index Options'!$H:$H,"Weekly*")+SUMIFS('BSE - SENSEX Index Options'!$L:$L,'BSE - SENSEX Index Options'!$C:$C,$A178,'BSE - SENSEX Index Options'!$B:$B,B$147,'BSE - SENSEX Index Options'!$H:$H,"MDAW*")+SUMIFS('BSE - Other Index Options'!$L:$L,'BSE - Other Index Options'!$C:$C,$A178,'BSE - Other Index Options'!$B:$B,B$147,'BSE - Other Index Options'!$H:$H,"Weekly*")+SUMIFS('BSE - Other Index Options'!$L:$L,'BSE - Other Index Options'!$C:$C,$A178,'BSE - Other Index Options'!$B:$B,B$147,'BSE - Other Index Options'!$H:$H,"MDAW*"))</f>
        <v>16321.55</v>
      </c>
      <c r="C178" s="26">
        <f>IF(SUMIFS('BSE - SENSEX Index Options'!$L:$L,'BSE - SENSEX Index Options'!$C:$C,$A178,'BSE - SENSEX Index Options'!$B:$B,C$147,'BSE - SENSEX Index Options'!$H:$H,"Weekly*")+SUMIFS('BSE - SENSEX Index Options'!$L:$L,'BSE - SENSEX Index Options'!$C:$C,$A178,'BSE - SENSEX Index Options'!$B:$B,C$147,'BSE - SENSEX Index Options'!$H:$H,"MDAW*")+SUMIFS('BSE - Other Index Options'!$L:$L,'BSE - Other Index Options'!$C:$C,$A178,'BSE - Other Index Options'!$B:$B,C$147,'BSE - Other Index Options'!$H:$H,"Weekly*")+SUMIFS('BSE - Other Index Options'!$L:$L,'BSE - Other Index Options'!$C:$C,$A178,'BSE - Other Index Options'!$B:$B,C$147,'BSE - Other Index Options'!$H:$H,"MDAW*")=0,"",SUMIFS('BSE - SENSEX Index Options'!$L:$L,'BSE - SENSEX Index Options'!$C:$C,$A178,'BSE - SENSEX Index Options'!$B:$B,C$147,'BSE - SENSEX Index Options'!$H:$H,"Weekly*")+SUMIFS('BSE - SENSEX Index Options'!$L:$L,'BSE - SENSEX Index Options'!$C:$C,$A178,'BSE - SENSEX Index Options'!$B:$B,C$147,'BSE - SENSEX Index Options'!$H:$H,"MDAW*")+SUMIFS('BSE - Other Index Options'!$L:$L,'BSE - Other Index Options'!$C:$C,$A178,'BSE - Other Index Options'!$B:$B,C$147,'BSE - Other Index Options'!$H:$H,"Weekly*")+SUMIFS('BSE - Other Index Options'!$L:$L,'BSE - Other Index Options'!$C:$C,$A178,'BSE - Other Index Options'!$B:$B,C$147,'BSE - Other Index Options'!$H:$H,"MDAW*"))</f>
        <v>12640.89</v>
      </c>
      <c r="D178" s="26">
        <f>IF(SUMIFS('BSE - SENSEX Index Options'!$L:$L,'BSE - SENSEX Index Options'!$C:$C,$A178,'BSE - SENSEX Index Options'!$B:$B,D$147,'BSE - SENSEX Index Options'!$H:$H,"Weekly*")+SUMIFS('BSE - SENSEX Index Options'!$L:$L,'BSE - SENSEX Index Options'!$C:$C,$A178,'BSE - SENSEX Index Options'!$B:$B,D$147,'BSE - SENSEX Index Options'!$H:$H,"MDAW*")+SUMIFS('BSE - Other Index Options'!$L:$L,'BSE - Other Index Options'!$C:$C,$A178,'BSE - Other Index Options'!$B:$B,D$147,'BSE - Other Index Options'!$H:$H,"Weekly*")+SUMIFS('BSE - Other Index Options'!$L:$L,'BSE - Other Index Options'!$C:$C,$A178,'BSE - Other Index Options'!$B:$B,D$147,'BSE - Other Index Options'!$H:$H,"MDAW*")=0,"",SUMIFS('BSE - SENSEX Index Options'!$L:$L,'BSE - SENSEX Index Options'!$C:$C,$A178,'BSE - SENSEX Index Options'!$B:$B,D$147,'BSE - SENSEX Index Options'!$H:$H,"Weekly*")+SUMIFS('BSE - SENSEX Index Options'!$L:$L,'BSE - SENSEX Index Options'!$C:$C,$A178,'BSE - SENSEX Index Options'!$B:$B,D$147,'BSE - SENSEX Index Options'!$H:$H,"MDAW*")+SUMIFS('BSE - Other Index Options'!$L:$L,'BSE - Other Index Options'!$C:$C,$A178,'BSE - Other Index Options'!$B:$B,D$147,'BSE - Other Index Options'!$H:$H,"Weekly*")+SUMIFS('BSE - Other Index Options'!$L:$L,'BSE - Other Index Options'!$C:$C,$A178,'BSE - Other Index Options'!$B:$B,D$147,'BSE - Other Index Options'!$H:$H,"MDAW*"))</f>
        <v>47936.500000000007</v>
      </c>
      <c r="E178" s="26">
        <f>IF(SUMIFS('BSE - SENSEX Index Options'!$L:$L,'BSE - SENSEX Index Options'!$C:$C,$A178,'BSE - SENSEX Index Options'!$B:$B,E$147,'BSE - SENSEX Index Options'!$H:$H,"Weekly*")+SUMIFS('BSE - SENSEX Index Options'!$L:$L,'BSE - SENSEX Index Options'!$C:$C,$A178,'BSE - SENSEX Index Options'!$B:$B,E$147,'BSE - SENSEX Index Options'!$H:$H,"MDAW*")+SUMIFS('BSE - Other Index Options'!$L:$L,'BSE - Other Index Options'!$C:$C,$A178,'BSE - Other Index Options'!$B:$B,E$147,'BSE - Other Index Options'!$H:$H,"Weekly*")+SUMIFS('BSE - Other Index Options'!$L:$L,'BSE - Other Index Options'!$C:$C,$A178,'BSE - Other Index Options'!$B:$B,E$147,'BSE - Other Index Options'!$H:$H,"MDAW*")=0,"",SUMIFS('BSE - SENSEX Index Options'!$L:$L,'BSE - SENSEX Index Options'!$C:$C,$A178,'BSE - SENSEX Index Options'!$B:$B,E$147,'BSE - SENSEX Index Options'!$H:$H,"Weekly*")+SUMIFS('BSE - SENSEX Index Options'!$L:$L,'BSE - SENSEX Index Options'!$C:$C,$A178,'BSE - SENSEX Index Options'!$B:$B,E$147,'BSE - SENSEX Index Options'!$H:$H,"MDAW*")+SUMIFS('BSE - Other Index Options'!$L:$L,'BSE - Other Index Options'!$C:$C,$A178,'BSE - Other Index Options'!$B:$B,E$147,'BSE - Other Index Options'!$H:$H,"Weekly*")+SUMIFS('BSE - Other Index Options'!$L:$L,'BSE - Other Index Options'!$C:$C,$A178,'BSE - Other Index Options'!$B:$B,E$147,'BSE - Other Index Options'!$H:$H,"MDAW*"))</f>
        <v>77735.099999999991</v>
      </c>
      <c r="F178" s="26">
        <f>IF(SUMIFS('BSE - SENSEX Index Options'!$L:$L,'BSE - SENSEX Index Options'!$C:$C,$A178,'BSE - SENSEX Index Options'!$B:$B,F$147,'BSE - SENSEX Index Options'!$H:$H,"Weekly*")+SUMIFS('BSE - SENSEX Index Options'!$L:$L,'BSE - SENSEX Index Options'!$C:$C,$A178,'BSE - SENSEX Index Options'!$B:$B,F$147,'BSE - SENSEX Index Options'!$H:$H,"MDAW*")+SUMIFS('BSE - Other Index Options'!$L:$L,'BSE - Other Index Options'!$C:$C,$A178,'BSE - Other Index Options'!$B:$B,F$147,'BSE - Other Index Options'!$H:$H,"Weekly*")+SUMIFS('BSE - Other Index Options'!$L:$L,'BSE - Other Index Options'!$C:$C,$A178,'BSE - Other Index Options'!$B:$B,F$147,'BSE - Other Index Options'!$H:$H,"MDAW*")=0,"",SUMIFS('BSE - SENSEX Index Options'!$L:$L,'BSE - SENSEX Index Options'!$C:$C,$A178,'BSE - SENSEX Index Options'!$B:$B,F$147,'BSE - SENSEX Index Options'!$H:$H,"Weekly*")+SUMIFS('BSE - SENSEX Index Options'!$L:$L,'BSE - SENSEX Index Options'!$C:$C,$A178,'BSE - SENSEX Index Options'!$B:$B,F$147,'BSE - SENSEX Index Options'!$H:$H,"MDAW*")+SUMIFS('BSE - Other Index Options'!$L:$L,'BSE - Other Index Options'!$C:$C,$A178,'BSE - Other Index Options'!$B:$B,F$147,'BSE - Other Index Options'!$H:$H,"Weekly*")+SUMIFS('BSE - Other Index Options'!$L:$L,'BSE - Other Index Options'!$C:$C,$A178,'BSE - Other Index Options'!$B:$B,F$147,'BSE - Other Index Options'!$H:$H,"MDAW*"))</f>
        <v>12934.87</v>
      </c>
      <c r="G178" s="26" t="str">
        <f>IF(SUMIFS('BSE - SENSEX Index Options'!$L:$L,'BSE - SENSEX Index Options'!$C:$C,$A178,'BSE - SENSEX Index Options'!$B:$B,G$147,'BSE - SENSEX Index Options'!$H:$H,"Weekly*")+SUMIFS('BSE - SENSEX Index Options'!$L:$L,'BSE - SENSEX Index Options'!$C:$C,$A178,'BSE - SENSEX Index Options'!$B:$B,G$147,'BSE - SENSEX Index Options'!$H:$H,"MDAW*")+SUMIFS('BSE - Other Index Options'!$L:$L,'BSE - Other Index Options'!$C:$C,$A178,'BSE - Other Index Options'!$B:$B,G$147,'BSE - Other Index Options'!$H:$H,"Weekly*")+SUMIFS('BSE - Other Index Options'!$L:$L,'BSE - Other Index Options'!$C:$C,$A178,'BSE - Other Index Options'!$B:$B,G$147,'BSE - Other Index Options'!$H:$H,"MDAW*")=0,"",SUMIFS('BSE - SENSEX Index Options'!$L:$L,'BSE - SENSEX Index Options'!$C:$C,$A178,'BSE - SENSEX Index Options'!$B:$B,G$147,'BSE - SENSEX Index Options'!$H:$H,"Weekly*")+SUMIFS('BSE - SENSEX Index Options'!$L:$L,'BSE - SENSEX Index Options'!$C:$C,$A178,'BSE - SENSEX Index Options'!$B:$B,G$147,'BSE - SENSEX Index Options'!$H:$H,"MDAW*")+SUMIFS('BSE - Other Index Options'!$L:$L,'BSE - Other Index Options'!$C:$C,$A178,'BSE - Other Index Options'!$B:$B,G$147,'BSE - Other Index Options'!$H:$H,"Weekly*")+SUMIFS('BSE - Other Index Options'!$L:$L,'BSE - Other Index Options'!$C:$C,$A178,'BSE - Other Index Options'!$B:$B,G$147,'BSE - Other Index Options'!$H:$H,"MDAW*"))</f>
        <v/>
      </c>
      <c r="H178" s="26">
        <f t="shared" si="6"/>
        <v>167568.90999999997</v>
      </c>
    </row>
    <row r="179" spans="1:8">
      <c r="A179" t="s">
        <v>41</v>
      </c>
      <c r="B179" s="26">
        <f>IF(SUMIFS('BSE - SENSEX Index Options'!$L:$L,'BSE - SENSEX Index Options'!$C:$C,$A179,'BSE - SENSEX Index Options'!$B:$B,B$147,'BSE - SENSEX Index Options'!$H:$H,"Weekly*")+SUMIFS('BSE - SENSEX Index Options'!$L:$L,'BSE - SENSEX Index Options'!$C:$C,$A179,'BSE - SENSEX Index Options'!$B:$B,B$147,'BSE - SENSEX Index Options'!$H:$H,"MDAW*")+SUMIFS('BSE - Other Index Options'!$L:$L,'BSE - Other Index Options'!$C:$C,$A179,'BSE - Other Index Options'!$B:$B,B$147,'BSE - Other Index Options'!$H:$H,"Weekly*")+SUMIFS('BSE - Other Index Options'!$L:$L,'BSE - Other Index Options'!$C:$C,$A179,'BSE - Other Index Options'!$B:$B,B$147,'BSE - Other Index Options'!$H:$H,"MDAW*")=0,"",SUMIFS('BSE - SENSEX Index Options'!$L:$L,'BSE - SENSEX Index Options'!$C:$C,$A179,'BSE - SENSEX Index Options'!$B:$B,B$147,'BSE - SENSEX Index Options'!$H:$H,"Weekly*")+SUMIFS('BSE - SENSEX Index Options'!$L:$L,'BSE - SENSEX Index Options'!$C:$C,$A179,'BSE - SENSEX Index Options'!$B:$B,B$147,'BSE - SENSEX Index Options'!$H:$H,"MDAW*")+SUMIFS('BSE - Other Index Options'!$L:$L,'BSE - Other Index Options'!$C:$C,$A179,'BSE - Other Index Options'!$B:$B,B$147,'BSE - Other Index Options'!$H:$H,"Weekly*")+SUMIFS('BSE - Other Index Options'!$L:$L,'BSE - Other Index Options'!$C:$C,$A179,'BSE - Other Index Options'!$B:$B,B$147,'BSE - Other Index Options'!$H:$H,"MDAW*"))</f>
        <v>17657.68</v>
      </c>
      <c r="C179" s="26">
        <f>IF(SUMIFS('BSE - SENSEX Index Options'!$L:$L,'BSE - SENSEX Index Options'!$C:$C,$A179,'BSE - SENSEX Index Options'!$B:$B,C$147,'BSE - SENSEX Index Options'!$H:$H,"Weekly*")+SUMIFS('BSE - SENSEX Index Options'!$L:$L,'BSE - SENSEX Index Options'!$C:$C,$A179,'BSE - SENSEX Index Options'!$B:$B,C$147,'BSE - SENSEX Index Options'!$H:$H,"MDAW*")+SUMIFS('BSE - Other Index Options'!$L:$L,'BSE - Other Index Options'!$C:$C,$A179,'BSE - Other Index Options'!$B:$B,C$147,'BSE - Other Index Options'!$H:$H,"Weekly*")+SUMIFS('BSE - Other Index Options'!$L:$L,'BSE - Other Index Options'!$C:$C,$A179,'BSE - Other Index Options'!$B:$B,C$147,'BSE - Other Index Options'!$H:$H,"MDAW*")=0,"",SUMIFS('BSE - SENSEX Index Options'!$L:$L,'BSE - SENSEX Index Options'!$C:$C,$A179,'BSE - SENSEX Index Options'!$B:$B,C$147,'BSE - SENSEX Index Options'!$H:$H,"Weekly*")+SUMIFS('BSE - SENSEX Index Options'!$L:$L,'BSE - SENSEX Index Options'!$C:$C,$A179,'BSE - SENSEX Index Options'!$B:$B,C$147,'BSE - SENSEX Index Options'!$H:$H,"MDAW*")+SUMIFS('BSE - Other Index Options'!$L:$L,'BSE - Other Index Options'!$C:$C,$A179,'BSE - Other Index Options'!$B:$B,C$147,'BSE - Other Index Options'!$H:$H,"Weekly*")+SUMIFS('BSE - Other Index Options'!$L:$L,'BSE - Other Index Options'!$C:$C,$A179,'BSE - Other Index Options'!$B:$B,C$147,'BSE - Other Index Options'!$H:$H,"MDAW*"))</f>
        <v>15148.9</v>
      </c>
      <c r="D179" s="26">
        <f>IF(SUMIFS('BSE - SENSEX Index Options'!$L:$L,'BSE - SENSEX Index Options'!$C:$C,$A179,'BSE - SENSEX Index Options'!$B:$B,D$147,'BSE - SENSEX Index Options'!$H:$H,"Weekly*")+SUMIFS('BSE - SENSEX Index Options'!$L:$L,'BSE - SENSEX Index Options'!$C:$C,$A179,'BSE - SENSEX Index Options'!$B:$B,D$147,'BSE - SENSEX Index Options'!$H:$H,"MDAW*")+SUMIFS('BSE - Other Index Options'!$L:$L,'BSE - Other Index Options'!$C:$C,$A179,'BSE - Other Index Options'!$B:$B,D$147,'BSE - Other Index Options'!$H:$H,"Weekly*")+SUMIFS('BSE - Other Index Options'!$L:$L,'BSE - Other Index Options'!$C:$C,$A179,'BSE - Other Index Options'!$B:$B,D$147,'BSE - Other Index Options'!$H:$H,"MDAW*")=0,"",SUMIFS('BSE - SENSEX Index Options'!$L:$L,'BSE - SENSEX Index Options'!$C:$C,$A179,'BSE - SENSEX Index Options'!$B:$B,D$147,'BSE - SENSEX Index Options'!$H:$H,"Weekly*")+SUMIFS('BSE - SENSEX Index Options'!$L:$L,'BSE - SENSEX Index Options'!$C:$C,$A179,'BSE - SENSEX Index Options'!$B:$B,D$147,'BSE - SENSEX Index Options'!$H:$H,"MDAW*")+SUMIFS('BSE - Other Index Options'!$L:$L,'BSE - Other Index Options'!$C:$C,$A179,'BSE - Other Index Options'!$B:$B,D$147,'BSE - Other Index Options'!$H:$H,"Weekly*")+SUMIFS('BSE - Other Index Options'!$L:$L,'BSE - Other Index Options'!$C:$C,$A179,'BSE - Other Index Options'!$B:$B,D$147,'BSE - Other Index Options'!$H:$H,"MDAW*"))</f>
        <v>41847.770000000004</v>
      </c>
      <c r="E179" s="26">
        <f>IF(SUMIFS('BSE - SENSEX Index Options'!$L:$L,'BSE - SENSEX Index Options'!$C:$C,$A179,'BSE - SENSEX Index Options'!$B:$B,E$147,'BSE - SENSEX Index Options'!$H:$H,"Weekly*")+SUMIFS('BSE - SENSEX Index Options'!$L:$L,'BSE - SENSEX Index Options'!$C:$C,$A179,'BSE - SENSEX Index Options'!$B:$B,E$147,'BSE - SENSEX Index Options'!$H:$H,"MDAW*")+SUMIFS('BSE - Other Index Options'!$L:$L,'BSE - Other Index Options'!$C:$C,$A179,'BSE - Other Index Options'!$B:$B,E$147,'BSE - Other Index Options'!$H:$H,"Weekly*")+SUMIFS('BSE - Other Index Options'!$L:$L,'BSE - Other Index Options'!$C:$C,$A179,'BSE - Other Index Options'!$B:$B,E$147,'BSE - Other Index Options'!$H:$H,"MDAW*")=0,"",SUMIFS('BSE - SENSEX Index Options'!$L:$L,'BSE - SENSEX Index Options'!$C:$C,$A179,'BSE - SENSEX Index Options'!$B:$B,E$147,'BSE - SENSEX Index Options'!$H:$H,"Weekly*")+SUMIFS('BSE - SENSEX Index Options'!$L:$L,'BSE - SENSEX Index Options'!$C:$C,$A179,'BSE - SENSEX Index Options'!$B:$B,E$147,'BSE - SENSEX Index Options'!$H:$H,"MDAW*")+SUMIFS('BSE - Other Index Options'!$L:$L,'BSE - Other Index Options'!$C:$C,$A179,'BSE - Other Index Options'!$B:$B,E$147,'BSE - Other Index Options'!$H:$H,"Weekly*")+SUMIFS('BSE - Other Index Options'!$L:$L,'BSE - Other Index Options'!$C:$C,$A179,'BSE - Other Index Options'!$B:$B,E$147,'BSE - Other Index Options'!$H:$H,"MDAW*"))</f>
        <v>69347.850000000006</v>
      </c>
      <c r="F179" s="26">
        <f>IF(SUMIFS('BSE - SENSEX Index Options'!$L:$L,'BSE - SENSEX Index Options'!$C:$C,$A179,'BSE - SENSEX Index Options'!$B:$B,F$147,'BSE - SENSEX Index Options'!$H:$H,"Weekly*")+SUMIFS('BSE - SENSEX Index Options'!$L:$L,'BSE - SENSEX Index Options'!$C:$C,$A179,'BSE - SENSEX Index Options'!$B:$B,F$147,'BSE - SENSEX Index Options'!$H:$H,"MDAW*")+SUMIFS('BSE - Other Index Options'!$L:$L,'BSE - Other Index Options'!$C:$C,$A179,'BSE - Other Index Options'!$B:$B,F$147,'BSE - Other Index Options'!$H:$H,"Weekly*")+SUMIFS('BSE - Other Index Options'!$L:$L,'BSE - Other Index Options'!$C:$C,$A179,'BSE - Other Index Options'!$B:$B,F$147,'BSE - Other Index Options'!$H:$H,"MDAW*")=0,"",SUMIFS('BSE - SENSEX Index Options'!$L:$L,'BSE - SENSEX Index Options'!$C:$C,$A179,'BSE - SENSEX Index Options'!$B:$B,F$147,'BSE - SENSEX Index Options'!$H:$H,"Weekly*")+SUMIFS('BSE - SENSEX Index Options'!$L:$L,'BSE - SENSEX Index Options'!$C:$C,$A179,'BSE - SENSEX Index Options'!$B:$B,F$147,'BSE - SENSEX Index Options'!$H:$H,"MDAW*")+SUMIFS('BSE - Other Index Options'!$L:$L,'BSE - Other Index Options'!$C:$C,$A179,'BSE - Other Index Options'!$B:$B,F$147,'BSE - Other Index Options'!$H:$H,"Weekly*")+SUMIFS('BSE - Other Index Options'!$L:$L,'BSE - Other Index Options'!$C:$C,$A179,'BSE - Other Index Options'!$B:$B,F$147,'BSE - Other Index Options'!$H:$H,"MDAW*"))</f>
        <v>14942.69</v>
      </c>
      <c r="G179" s="26" t="str">
        <f>IF(SUMIFS('BSE - SENSEX Index Options'!$L:$L,'BSE - SENSEX Index Options'!$C:$C,$A179,'BSE - SENSEX Index Options'!$B:$B,G$147,'BSE - SENSEX Index Options'!$H:$H,"Weekly*")+SUMIFS('BSE - SENSEX Index Options'!$L:$L,'BSE - SENSEX Index Options'!$C:$C,$A179,'BSE - SENSEX Index Options'!$B:$B,G$147,'BSE - SENSEX Index Options'!$H:$H,"MDAW*")+SUMIFS('BSE - Other Index Options'!$L:$L,'BSE - Other Index Options'!$C:$C,$A179,'BSE - Other Index Options'!$B:$B,G$147,'BSE - Other Index Options'!$H:$H,"Weekly*")+SUMIFS('BSE - Other Index Options'!$L:$L,'BSE - Other Index Options'!$C:$C,$A179,'BSE - Other Index Options'!$B:$B,G$147,'BSE - Other Index Options'!$H:$H,"MDAW*")=0,"",SUMIFS('BSE - SENSEX Index Options'!$L:$L,'BSE - SENSEX Index Options'!$C:$C,$A179,'BSE - SENSEX Index Options'!$B:$B,G$147,'BSE - SENSEX Index Options'!$H:$H,"Weekly*")+SUMIFS('BSE - SENSEX Index Options'!$L:$L,'BSE - SENSEX Index Options'!$C:$C,$A179,'BSE - SENSEX Index Options'!$B:$B,G$147,'BSE - SENSEX Index Options'!$H:$H,"MDAW*")+SUMIFS('BSE - Other Index Options'!$L:$L,'BSE - Other Index Options'!$C:$C,$A179,'BSE - Other Index Options'!$B:$B,G$147,'BSE - Other Index Options'!$H:$H,"Weekly*")+SUMIFS('BSE - Other Index Options'!$L:$L,'BSE - Other Index Options'!$C:$C,$A179,'BSE - Other Index Options'!$B:$B,G$147,'BSE - Other Index Options'!$H:$H,"MDAW*"))</f>
        <v/>
      </c>
      <c r="H179" s="26">
        <f t="shared" si="6"/>
        <v>158944.89000000001</v>
      </c>
    </row>
    <row r="180" spans="1:8">
      <c r="A180" t="s">
        <v>42</v>
      </c>
      <c r="B180" s="26">
        <f>IF(SUMIFS('BSE - SENSEX Index Options'!$L:$L,'BSE - SENSEX Index Options'!$C:$C,$A180,'BSE - SENSEX Index Options'!$B:$B,B$147,'BSE - SENSEX Index Options'!$H:$H,"Weekly*")+SUMIFS('BSE - SENSEX Index Options'!$L:$L,'BSE - SENSEX Index Options'!$C:$C,$A180,'BSE - SENSEX Index Options'!$B:$B,B$147,'BSE - SENSEX Index Options'!$H:$H,"MDAW*")+SUMIFS('BSE - Other Index Options'!$L:$L,'BSE - Other Index Options'!$C:$C,$A180,'BSE - Other Index Options'!$B:$B,B$147,'BSE - Other Index Options'!$H:$H,"Weekly*")+SUMIFS('BSE - Other Index Options'!$L:$L,'BSE - Other Index Options'!$C:$C,$A180,'BSE - Other Index Options'!$B:$B,B$147,'BSE - Other Index Options'!$H:$H,"MDAW*")=0,"",SUMIFS('BSE - SENSEX Index Options'!$L:$L,'BSE - SENSEX Index Options'!$C:$C,$A180,'BSE - SENSEX Index Options'!$B:$B,B$147,'BSE - SENSEX Index Options'!$H:$H,"Weekly*")+SUMIFS('BSE - SENSEX Index Options'!$L:$L,'BSE - SENSEX Index Options'!$C:$C,$A180,'BSE - SENSEX Index Options'!$B:$B,B$147,'BSE - SENSEX Index Options'!$H:$H,"MDAW*")+SUMIFS('BSE - Other Index Options'!$L:$L,'BSE - Other Index Options'!$C:$C,$A180,'BSE - Other Index Options'!$B:$B,B$147,'BSE - Other Index Options'!$H:$H,"Weekly*")+SUMIFS('BSE - Other Index Options'!$L:$L,'BSE - Other Index Options'!$C:$C,$A180,'BSE - Other Index Options'!$B:$B,B$147,'BSE - Other Index Options'!$H:$H,"MDAW*"))</f>
        <v>15568.95</v>
      </c>
      <c r="C180" s="26">
        <f>IF(SUMIFS('BSE - SENSEX Index Options'!$L:$L,'BSE - SENSEX Index Options'!$C:$C,$A180,'BSE - SENSEX Index Options'!$B:$B,C$147,'BSE - SENSEX Index Options'!$H:$H,"Weekly*")+SUMIFS('BSE - SENSEX Index Options'!$L:$L,'BSE - SENSEX Index Options'!$C:$C,$A180,'BSE - SENSEX Index Options'!$B:$B,C$147,'BSE - SENSEX Index Options'!$H:$H,"MDAW*")+SUMIFS('BSE - Other Index Options'!$L:$L,'BSE - Other Index Options'!$C:$C,$A180,'BSE - Other Index Options'!$B:$B,C$147,'BSE - Other Index Options'!$H:$H,"Weekly*")+SUMIFS('BSE - Other Index Options'!$L:$L,'BSE - Other Index Options'!$C:$C,$A180,'BSE - Other Index Options'!$B:$B,C$147,'BSE - Other Index Options'!$H:$H,"MDAW*")=0,"",SUMIFS('BSE - SENSEX Index Options'!$L:$L,'BSE - SENSEX Index Options'!$C:$C,$A180,'BSE - SENSEX Index Options'!$B:$B,C$147,'BSE - SENSEX Index Options'!$H:$H,"Weekly*")+SUMIFS('BSE - SENSEX Index Options'!$L:$L,'BSE - SENSEX Index Options'!$C:$C,$A180,'BSE - SENSEX Index Options'!$B:$B,C$147,'BSE - SENSEX Index Options'!$H:$H,"MDAW*")+SUMIFS('BSE - Other Index Options'!$L:$L,'BSE - Other Index Options'!$C:$C,$A180,'BSE - Other Index Options'!$B:$B,C$147,'BSE - Other Index Options'!$H:$H,"Weekly*")+SUMIFS('BSE - Other Index Options'!$L:$L,'BSE - Other Index Options'!$C:$C,$A180,'BSE - Other Index Options'!$B:$B,C$147,'BSE - Other Index Options'!$H:$H,"MDAW*"))</f>
        <v>21515.460000000003</v>
      </c>
      <c r="D180" s="26">
        <f>IF(SUMIFS('BSE - SENSEX Index Options'!$L:$L,'BSE - SENSEX Index Options'!$C:$C,$A180,'BSE - SENSEX Index Options'!$B:$B,D$147,'BSE - SENSEX Index Options'!$H:$H,"Weekly*")+SUMIFS('BSE - SENSEX Index Options'!$L:$L,'BSE - SENSEX Index Options'!$C:$C,$A180,'BSE - SENSEX Index Options'!$B:$B,D$147,'BSE - SENSEX Index Options'!$H:$H,"MDAW*")+SUMIFS('BSE - Other Index Options'!$L:$L,'BSE - Other Index Options'!$C:$C,$A180,'BSE - Other Index Options'!$B:$B,D$147,'BSE - Other Index Options'!$H:$H,"Weekly*")+SUMIFS('BSE - Other Index Options'!$L:$L,'BSE - Other Index Options'!$C:$C,$A180,'BSE - Other Index Options'!$B:$B,D$147,'BSE - Other Index Options'!$H:$H,"MDAW*")=0,"",SUMIFS('BSE - SENSEX Index Options'!$L:$L,'BSE - SENSEX Index Options'!$C:$C,$A180,'BSE - SENSEX Index Options'!$B:$B,D$147,'BSE - SENSEX Index Options'!$H:$H,"Weekly*")+SUMIFS('BSE - SENSEX Index Options'!$L:$L,'BSE - SENSEX Index Options'!$C:$C,$A180,'BSE - SENSEX Index Options'!$B:$B,D$147,'BSE - SENSEX Index Options'!$H:$H,"MDAW*")+SUMIFS('BSE - Other Index Options'!$L:$L,'BSE - Other Index Options'!$C:$C,$A180,'BSE - Other Index Options'!$B:$B,D$147,'BSE - Other Index Options'!$H:$H,"Weekly*")+SUMIFS('BSE - Other Index Options'!$L:$L,'BSE - Other Index Options'!$C:$C,$A180,'BSE - Other Index Options'!$B:$B,D$147,'BSE - Other Index Options'!$H:$H,"MDAW*"))</f>
        <v>71028.87</v>
      </c>
      <c r="E180" s="26" t="str">
        <f>IF(SUMIFS('BSE - SENSEX Index Options'!$L:$L,'BSE - SENSEX Index Options'!$C:$C,$A180,'BSE - SENSEX Index Options'!$B:$B,E$147,'BSE - SENSEX Index Options'!$H:$H,"Weekly*")+SUMIFS('BSE - SENSEX Index Options'!$L:$L,'BSE - SENSEX Index Options'!$C:$C,$A180,'BSE - SENSEX Index Options'!$B:$B,E$147,'BSE - SENSEX Index Options'!$H:$H,"MDAW*")+SUMIFS('BSE - Other Index Options'!$L:$L,'BSE - Other Index Options'!$C:$C,$A180,'BSE - Other Index Options'!$B:$B,E$147,'BSE - Other Index Options'!$H:$H,"Weekly*")+SUMIFS('BSE - Other Index Options'!$L:$L,'BSE - Other Index Options'!$C:$C,$A180,'BSE - Other Index Options'!$B:$B,E$147,'BSE - Other Index Options'!$H:$H,"MDAW*")=0,"",SUMIFS('BSE - SENSEX Index Options'!$L:$L,'BSE - SENSEX Index Options'!$C:$C,$A180,'BSE - SENSEX Index Options'!$B:$B,E$147,'BSE - SENSEX Index Options'!$H:$H,"Weekly*")+SUMIFS('BSE - SENSEX Index Options'!$L:$L,'BSE - SENSEX Index Options'!$C:$C,$A180,'BSE - SENSEX Index Options'!$B:$B,E$147,'BSE - SENSEX Index Options'!$H:$H,"MDAW*")+SUMIFS('BSE - Other Index Options'!$L:$L,'BSE - Other Index Options'!$C:$C,$A180,'BSE - Other Index Options'!$B:$B,E$147,'BSE - Other Index Options'!$H:$H,"Weekly*")+SUMIFS('BSE - Other Index Options'!$L:$L,'BSE - Other Index Options'!$C:$C,$A180,'BSE - Other Index Options'!$B:$B,E$147,'BSE - Other Index Options'!$H:$H,"MDAW*"))</f>
        <v/>
      </c>
      <c r="F180" s="26">
        <f>IF(SUMIFS('BSE - SENSEX Index Options'!$L:$L,'BSE - SENSEX Index Options'!$C:$C,$A180,'BSE - SENSEX Index Options'!$B:$B,F$147,'BSE - SENSEX Index Options'!$H:$H,"Weekly*")+SUMIFS('BSE - SENSEX Index Options'!$L:$L,'BSE - SENSEX Index Options'!$C:$C,$A180,'BSE - SENSEX Index Options'!$B:$B,F$147,'BSE - SENSEX Index Options'!$H:$H,"MDAW*")+SUMIFS('BSE - Other Index Options'!$L:$L,'BSE - Other Index Options'!$C:$C,$A180,'BSE - Other Index Options'!$B:$B,F$147,'BSE - Other Index Options'!$H:$H,"Weekly*")+SUMIFS('BSE - Other Index Options'!$L:$L,'BSE - Other Index Options'!$C:$C,$A180,'BSE - Other Index Options'!$B:$B,F$147,'BSE - Other Index Options'!$H:$H,"MDAW*")=0,"",SUMIFS('BSE - SENSEX Index Options'!$L:$L,'BSE - SENSEX Index Options'!$C:$C,$A180,'BSE - SENSEX Index Options'!$B:$B,F$147,'BSE - SENSEX Index Options'!$H:$H,"Weekly*")+SUMIFS('BSE - SENSEX Index Options'!$L:$L,'BSE - SENSEX Index Options'!$C:$C,$A180,'BSE - SENSEX Index Options'!$B:$B,F$147,'BSE - SENSEX Index Options'!$H:$H,"MDAW*")+SUMIFS('BSE - Other Index Options'!$L:$L,'BSE - Other Index Options'!$C:$C,$A180,'BSE - Other Index Options'!$B:$B,F$147,'BSE - Other Index Options'!$H:$H,"Weekly*")+SUMIFS('BSE - Other Index Options'!$L:$L,'BSE - Other Index Options'!$C:$C,$A180,'BSE - Other Index Options'!$B:$B,F$147,'BSE - Other Index Options'!$H:$H,"MDAW*"))</f>
        <v>10013.700000000001</v>
      </c>
      <c r="G180" s="26" t="str">
        <f>IF(SUMIFS('BSE - SENSEX Index Options'!$L:$L,'BSE - SENSEX Index Options'!$C:$C,$A180,'BSE - SENSEX Index Options'!$B:$B,G$147,'BSE - SENSEX Index Options'!$H:$H,"Weekly*")+SUMIFS('BSE - SENSEX Index Options'!$L:$L,'BSE - SENSEX Index Options'!$C:$C,$A180,'BSE - SENSEX Index Options'!$B:$B,G$147,'BSE - SENSEX Index Options'!$H:$H,"MDAW*")+SUMIFS('BSE - Other Index Options'!$L:$L,'BSE - Other Index Options'!$C:$C,$A180,'BSE - Other Index Options'!$B:$B,G$147,'BSE - Other Index Options'!$H:$H,"Weekly*")+SUMIFS('BSE - Other Index Options'!$L:$L,'BSE - Other Index Options'!$C:$C,$A180,'BSE - Other Index Options'!$B:$B,G$147,'BSE - Other Index Options'!$H:$H,"MDAW*")=0,"",SUMIFS('BSE - SENSEX Index Options'!$L:$L,'BSE - SENSEX Index Options'!$C:$C,$A180,'BSE - SENSEX Index Options'!$B:$B,G$147,'BSE - SENSEX Index Options'!$H:$H,"Weekly*")+SUMIFS('BSE - SENSEX Index Options'!$L:$L,'BSE - SENSEX Index Options'!$C:$C,$A180,'BSE - SENSEX Index Options'!$B:$B,G$147,'BSE - SENSEX Index Options'!$H:$H,"MDAW*")+SUMIFS('BSE - Other Index Options'!$L:$L,'BSE - Other Index Options'!$C:$C,$A180,'BSE - Other Index Options'!$B:$B,G$147,'BSE - Other Index Options'!$H:$H,"Weekly*")+SUMIFS('BSE - Other Index Options'!$L:$L,'BSE - Other Index Options'!$C:$C,$A180,'BSE - Other Index Options'!$B:$B,G$147,'BSE - Other Index Options'!$H:$H,"MDAW*"))</f>
        <v/>
      </c>
      <c r="H180" s="26">
        <f t="shared" ref="H180:H211" si="7">IF(SUM(B180:G180)=0,"",SUM(B180:G180))</f>
        <v>118126.98</v>
      </c>
    </row>
    <row r="181" spans="1:8">
      <c r="A181" t="s">
        <v>43</v>
      </c>
      <c r="B181" s="26">
        <f>IF(SUMIFS('BSE - SENSEX Index Options'!$L:$L,'BSE - SENSEX Index Options'!$C:$C,$A181,'BSE - SENSEX Index Options'!$B:$B,B$147,'BSE - SENSEX Index Options'!$H:$H,"Weekly*")+SUMIFS('BSE - SENSEX Index Options'!$L:$L,'BSE - SENSEX Index Options'!$C:$C,$A181,'BSE - SENSEX Index Options'!$B:$B,B$147,'BSE - SENSEX Index Options'!$H:$H,"MDAW*")+SUMIFS('BSE - Other Index Options'!$L:$L,'BSE - Other Index Options'!$C:$C,$A181,'BSE - Other Index Options'!$B:$B,B$147,'BSE - Other Index Options'!$H:$H,"Weekly*")+SUMIFS('BSE - Other Index Options'!$L:$L,'BSE - Other Index Options'!$C:$C,$A181,'BSE - Other Index Options'!$B:$B,B$147,'BSE - Other Index Options'!$H:$H,"MDAW*")=0,"",SUMIFS('BSE - SENSEX Index Options'!$L:$L,'BSE - SENSEX Index Options'!$C:$C,$A181,'BSE - SENSEX Index Options'!$B:$B,B$147,'BSE - SENSEX Index Options'!$H:$H,"Weekly*")+SUMIFS('BSE - SENSEX Index Options'!$L:$L,'BSE - SENSEX Index Options'!$C:$C,$A181,'BSE - SENSEX Index Options'!$B:$B,B$147,'BSE - SENSEX Index Options'!$H:$H,"MDAW*")+SUMIFS('BSE - Other Index Options'!$L:$L,'BSE - Other Index Options'!$C:$C,$A181,'BSE - Other Index Options'!$B:$B,B$147,'BSE - Other Index Options'!$H:$H,"Weekly*")+SUMIFS('BSE - Other Index Options'!$L:$L,'BSE - Other Index Options'!$C:$C,$A181,'BSE - Other Index Options'!$B:$B,B$147,'BSE - Other Index Options'!$H:$H,"MDAW*"))</f>
        <v>12754.33</v>
      </c>
      <c r="C181" s="26" t="str">
        <f>IF(SUMIFS('BSE - SENSEX Index Options'!$L:$L,'BSE - SENSEX Index Options'!$C:$C,$A181,'BSE - SENSEX Index Options'!$B:$B,C$147,'BSE - SENSEX Index Options'!$H:$H,"Weekly*")+SUMIFS('BSE - SENSEX Index Options'!$L:$L,'BSE - SENSEX Index Options'!$C:$C,$A181,'BSE - SENSEX Index Options'!$B:$B,C$147,'BSE - SENSEX Index Options'!$H:$H,"MDAW*")+SUMIFS('BSE - Other Index Options'!$L:$L,'BSE - Other Index Options'!$C:$C,$A181,'BSE - Other Index Options'!$B:$B,C$147,'BSE - Other Index Options'!$H:$H,"Weekly*")+SUMIFS('BSE - Other Index Options'!$L:$L,'BSE - Other Index Options'!$C:$C,$A181,'BSE - Other Index Options'!$B:$B,C$147,'BSE - Other Index Options'!$H:$H,"MDAW*")=0,"",SUMIFS('BSE - SENSEX Index Options'!$L:$L,'BSE - SENSEX Index Options'!$C:$C,$A181,'BSE - SENSEX Index Options'!$B:$B,C$147,'BSE - SENSEX Index Options'!$H:$H,"Weekly*")+SUMIFS('BSE - SENSEX Index Options'!$L:$L,'BSE - SENSEX Index Options'!$C:$C,$A181,'BSE - SENSEX Index Options'!$B:$B,C$147,'BSE - SENSEX Index Options'!$H:$H,"MDAW*")+SUMIFS('BSE - Other Index Options'!$L:$L,'BSE - Other Index Options'!$C:$C,$A181,'BSE - Other Index Options'!$B:$B,C$147,'BSE - Other Index Options'!$H:$H,"Weekly*")+SUMIFS('BSE - Other Index Options'!$L:$L,'BSE - Other Index Options'!$C:$C,$A181,'BSE - Other Index Options'!$B:$B,C$147,'BSE - Other Index Options'!$H:$H,"MDAW*"))</f>
        <v/>
      </c>
      <c r="D181" s="26" t="str">
        <f>IF(SUMIFS('BSE - SENSEX Index Options'!$L:$L,'BSE - SENSEX Index Options'!$C:$C,$A181,'BSE - SENSEX Index Options'!$B:$B,D$147,'BSE - SENSEX Index Options'!$H:$H,"Weekly*")+SUMIFS('BSE - SENSEX Index Options'!$L:$L,'BSE - SENSEX Index Options'!$C:$C,$A181,'BSE - SENSEX Index Options'!$B:$B,D$147,'BSE - SENSEX Index Options'!$H:$H,"MDAW*")+SUMIFS('BSE - Other Index Options'!$L:$L,'BSE - Other Index Options'!$C:$C,$A181,'BSE - Other Index Options'!$B:$B,D$147,'BSE - Other Index Options'!$H:$H,"Weekly*")+SUMIFS('BSE - Other Index Options'!$L:$L,'BSE - Other Index Options'!$C:$C,$A181,'BSE - Other Index Options'!$B:$B,D$147,'BSE - Other Index Options'!$H:$H,"MDAW*")=0,"",SUMIFS('BSE - SENSEX Index Options'!$L:$L,'BSE - SENSEX Index Options'!$C:$C,$A181,'BSE - SENSEX Index Options'!$B:$B,D$147,'BSE - SENSEX Index Options'!$H:$H,"Weekly*")+SUMIFS('BSE - SENSEX Index Options'!$L:$L,'BSE - SENSEX Index Options'!$C:$C,$A181,'BSE - SENSEX Index Options'!$B:$B,D$147,'BSE - SENSEX Index Options'!$H:$H,"MDAW*")+SUMIFS('BSE - Other Index Options'!$L:$L,'BSE - Other Index Options'!$C:$C,$A181,'BSE - Other Index Options'!$B:$B,D$147,'BSE - Other Index Options'!$H:$H,"Weekly*")+SUMIFS('BSE - Other Index Options'!$L:$L,'BSE - Other Index Options'!$C:$C,$A181,'BSE - Other Index Options'!$B:$B,D$147,'BSE - Other Index Options'!$H:$H,"MDAW*"))</f>
        <v/>
      </c>
      <c r="E181" s="26" t="str">
        <f>IF(SUMIFS('BSE - SENSEX Index Options'!$L:$L,'BSE - SENSEX Index Options'!$C:$C,$A181,'BSE - SENSEX Index Options'!$B:$B,E$147,'BSE - SENSEX Index Options'!$H:$H,"Weekly*")+SUMIFS('BSE - SENSEX Index Options'!$L:$L,'BSE - SENSEX Index Options'!$C:$C,$A181,'BSE - SENSEX Index Options'!$B:$B,E$147,'BSE - SENSEX Index Options'!$H:$H,"MDAW*")+SUMIFS('BSE - Other Index Options'!$L:$L,'BSE - Other Index Options'!$C:$C,$A181,'BSE - Other Index Options'!$B:$B,E$147,'BSE - Other Index Options'!$H:$H,"Weekly*")+SUMIFS('BSE - Other Index Options'!$L:$L,'BSE - Other Index Options'!$C:$C,$A181,'BSE - Other Index Options'!$B:$B,E$147,'BSE - Other Index Options'!$H:$H,"MDAW*")=0,"",SUMIFS('BSE - SENSEX Index Options'!$L:$L,'BSE - SENSEX Index Options'!$C:$C,$A181,'BSE - SENSEX Index Options'!$B:$B,E$147,'BSE - SENSEX Index Options'!$H:$H,"Weekly*")+SUMIFS('BSE - SENSEX Index Options'!$L:$L,'BSE - SENSEX Index Options'!$C:$C,$A181,'BSE - SENSEX Index Options'!$B:$B,E$147,'BSE - SENSEX Index Options'!$H:$H,"MDAW*")+SUMIFS('BSE - Other Index Options'!$L:$L,'BSE - Other Index Options'!$C:$C,$A181,'BSE - Other Index Options'!$B:$B,E$147,'BSE - Other Index Options'!$H:$H,"Weekly*")+SUMIFS('BSE - Other Index Options'!$L:$L,'BSE - Other Index Options'!$C:$C,$A181,'BSE - Other Index Options'!$B:$B,E$147,'BSE - Other Index Options'!$H:$H,"MDAW*"))</f>
        <v/>
      </c>
      <c r="F181" s="26" t="str">
        <f>IF(SUMIFS('BSE - SENSEX Index Options'!$L:$L,'BSE - SENSEX Index Options'!$C:$C,$A181,'BSE - SENSEX Index Options'!$B:$B,F$147,'BSE - SENSEX Index Options'!$H:$H,"Weekly*")+SUMIFS('BSE - SENSEX Index Options'!$L:$L,'BSE - SENSEX Index Options'!$C:$C,$A181,'BSE - SENSEX Index Options'!$B:$B,F$147,'BSE - SENSEX Index Options'!$H:$H,"MDAW*")+SUMIFS('BSE - Other Index Options'!$L:$L,'BSE - Other Index Options'!$C:$C,$A181,'BSE - Other Index Options'!$B:$B,F$147,'BSE - Other Index Options'!$H:$H,"Weekly*")+SUMIFS('BSE - Other Index Options'!$L:$L,'BSE - Other Index Options'!$C:$C,$A181,'BSE - Other Index Options'!$B:$B,F$147,'BSE - Other Index Options'!$H:$H,"MDAW*")=0,"",SUMIFS('BSE - SENSEX Index Options'!$L:$L,'BSE - SENSEX Index Options'!$C:$C,$A181,'BSE - SENSEX Index Options'!$B:$B,F$147,'BSE - SENSEX Index Options'!$H:$H,"Weekly*")+SUMIFS('BSE - SENSEX Index Options'!$L:$L,'BSE - SENSEX Index Options'!$C:$C,$A181,'BSE - SENSEX Index Options'!$B:$B,F$147,'BSE - SENSEX Index Options'!$H:$H,"MDAW*")+SUMIFS('BSE - Other Index Options'!$L:$L,'BSE - Other Index Options'!$C:$C,$A181,'BSE - Other Index Options'!$B:$B,F$147,'BSE - Other Index Options'!$H:$H,"Weekly*")+SUMIFS('BSE - Other Index Options'!$L:$L,'BSE - Other Index Options'!$C:$C,$A181,'BSE - Other Index Options'!$B:$B,F$147,'BSE - Other Index Options'!$H:$H,"MDAW*"))</f>
        <v/>
      </c>
      <c r="G181" s="26" t="str">
        <f>IF(SUMIFS('BSE - SENSEX Index Options'!$L:$L,'BSE - SENSEX Index Options'!$C:$C,$A181,'BSE - SENSEX Index Options'!$B:$B,G$147,'BSE - SENSEX Index Options'!$H:$H,"Weekly*")+SUMIFS('BSE - SENSEX Index Options'!$L:$L,'BSE - SENSEX Index Options'!$C:$C,$A181,'BSE - SENSEX Index Options'!$B:$B,G$147,'BSE - SENSEX Index Options'!$H:$H,"MDAW*")+SUMIFS('BSE - Other Index Options'!$L:$L,'BSE - Other Index Options'!$C:$C,$A181,'BSE - Other Index Options'!$B:$B,G$147,'BSE - Other Index Options'!$H:$H,"Weekly*")+SUMIFS('BSE - Other Index Options'!$L:$L,'BSE - Other Index Options'!$C:$C,$A181,'BSE - Other Index Options'!$B:$B,G$147,'BSE - Other Index Options'!$H:$H,"MDAW*")=0,"",SUMIFS('BSE - SENSEX Index Options'!$L:$L,'BSE - SENSEX Index Options'!$C:$C,$A181,'BSE - SENSEX Index Options'!$B:$B,G$147,'BSE - SENSEX Index Options'!$H:$H,"Weekly*")+SUMIFS('BSE - SENSEX Index Options'!$L:$L,'BSE - SENSEX Index Options'!$C:$C,$A181,'BSE - SENSEX Index Options'!$B:$B,G$147,'BSE - SENSEX Index Options'!$H:$H,"MDAW*")+SUMIFS('BSE - Other Index Options'!$L:$L,'BSE - Other Index Options'!$C:$C,$A181,'BSE - Other Index Options'!$B:$B,G$147,'BSE - Other Index Options'!$H:$H,"Weekly*")+SUMIFS('BSE - Other Index Options'!$L:$L,'BSE - Other Index Options'!$C:$C,$A181,'BSE - Other Index Options'!$B:$B,G$147,'BSE - Other Index Options'!$H:$H,"MDAW*"))</f>
        <v/>
      </c>
      <c r="H181" s="26">
        <f t="shared" si="7"/>
        <v>12754.33</v>
      </c>
    </row>
    <row r="182" spans="1:8">
      <c r="A182" t="s">
        <v>44</v>
      </c>
      <c r="B182" s="26">
        <f>IF(SUMIFS('BSE - SENSEX Index Options'!$L:$L,'BSE - SENSEX Index Options'!$C:$C,$A182,'BSE - SENSEX Index Options'!$B:$B,B$147,'BSE - SENSEX Index Options'!$H:$H,"Weekly*")+SUMIFS('BSE - SENSEX Index Options'!$L:$L,'BSE - SENSEX Index Options'!$C:$C,$A182,'BSE - SENSEX Index Options'!$B:$B,B$147,'BSE - SENSEX Index Options'!$H:$H,"MDAW*")+SUMIFS('BSE - Other Index Options'!$L:$L,'BSE - Other Index Options'!$C:$C,$A182,'BSE - Other Index Options'!$B:$B,B$147,'BSE - Other Index Options'!$H:$H,"Weekly*")+SUMIFS('BSE - Other Index Options'!$L:$L,'BSE - Other Index Options'!$C:$C,$A182,'BSE - Other Index Options'!$B:$B,B$147,'BSE - Other Index Options'!$H:$H,"MDAW*")=0,"",SUMIFS('BSE - SENSEX Index Options'!$L:$L,'BSE - SENSEX Index Options'!$C:$C,$A182,'BSE - SENSEX Index Options'!$B:$B,B$147,'BSE - SENSEX Index Options'!$H:$H,"Weekly*")+SUMIFS('BSE - SENSEX Index Options'!$L:$L,'BSE - SENSEX Index Options'!$C:$C,$A182,'BSE - SENSEX Index Options'!$B:$B,B$147,'BSE - SENSEX Index Options'!$H:$H,"MDAW*")+SUMIFS('BSE - Other Index Options'!$L:$L,'BSE - Other Index Options'!$C:$C,$A182,'BSE - Other Index Options'!$B:$B,B$147,'BSE - Other Index Options'!$H:$H,"Weekly*")+SUMIFS('BSE - Other Index Options'!$L:$L,'BSE - Other Index Options'!$C:$C,$A182,'BSE - Other Index Options'!$B:$B,B$147,'BSE - Other Index Options'!$H:$H,"MDAW*"))</f>
        <v>16291.67</v>
      </c>
      <c r="C182" s="26">
        <f>IF(SUMIFS('BSE - SENSEX Index Options'!$L:$L,'BSE - SENSEX Index Options'!$C:$C,$A182,'BSE - SENSEX Index Options'!$B:$B,C$147,'BSE - SENSEX Index Options'!$H:$H,"Weekly*")+SUMIFS('BSE - SENSEX Index Options'!$L:$L,'BSE - SENSEX Index Options'!$C:$C,$A182,'BSE - SENSEX Index Options'!$B:$B,C$147,'BSE - SENSEX Index Options'!$H:$H,"MDAW*")+SUMIFS('BSE - Other Index Options'!$L:$L,'BSE - Other Index Options'!$C:$C,$A182,'BSE - Other Index Options'!$B:$B,C$147,'BSE - Other Index Options'!$H:$H,"Weekly*")+SUMIFS('BSE - Other Index Options'!$L:$L,'BSE - Other Index Options'!$C:$C,$A182,'BSE - Other Index Options'!$B:$B,C$147,'BSE - Other Index Options'!$H:$H,"MDAW*")=0,"",SUMIFS('BSE - SENSEX Index Options'!$L:$L,'BSE - SENSEX Index Options'!$C:$C,$A182,'BSE - SENSEX Index Options'!$B:$B,C$147,'BSE - SENSEX Index Options'!$H:$H,"Weekly*")+SUMIFS('BSE - SENSEX Index Options'!$L:$L,'BSE - SENSEX Index Options'!$C:$C,$A182,'BSE - SENSEX Index Options'!$B:$B,C$147,'BSE - SENSEX Index Options'!$H:$H,"MDAW*")+SUMIFS('BSE - Other Index Options'!$L:$L,'BSE - Other Index Options'!$C:$C,$A182,'BSE - Other Index Options'!$B:$B,C$147,'BSE - Other Index Options'!$H:$H,"Weekly*")+SUMIFS('BSE - Other Index Options'!$L:$L,'BSE - Other Index Options'!$C:$C,$A182,'BSE - Other Index Options'!$B:$B,C$147,'BSE - Other Index Options'!$H:$H,"MDAW*"))</f>
        <v>14167.940000000002</v>
      </c>
      <c r="D182" s="26">
        <f>IF(SUMIFS('BSE - SENSEX Index Options'!$L:$L,'BSE - SENSEX Index Options'!$C:$C,$A182,'BSE - SENSEX Index Options'!$B:$B,D$147,'BSE - SENSEX Index Options'!$H:$H,"Weekly*")+SUMIFS('BSE - SENSEX Index Options'!$L:$L,'BSE - SENSEX Index Options'!$C:$C,$A182,'BSE - SENSEX Index Options'!$B:$B,D$147,'BSE - SENSEX Index Options'!$H:$H,"MDAW*")+SUMIFS('BSE - Other Index Options'!$L:$L,'BSE - Other Index Options'!$C:$C,$A182,'BSE - Other Index Options'!$B:$B,D$147,'BSE - Other Index Options'!$H:$H,"Weekly*")+SUMIFS('BSE - Other Index Options'!$L:$L,'BSE - Other Index Options'!$C:$C,$A182,'BSE - Other Index Options'!$B:$B,D$147,'BSE - Other Index Options'!$H:$H,"MDAW*")=0,"",SUMIFS('BSE - SENSEX Index Options'!$L:$L,'BSE - SENSEX Index Options'!$C:$C,$A182,'BSE - SENSEX Index Options'!$B:$B,D$147,'BSE - SENSEX Index Options'!$H:$H,"Weekly*")+SUMIFS('BSE - SENSEX Index Options'!$L:$L,'BSE - SENSEX Index Options'!$C:$C,$A182,'BSE - SENSEX Index Options'!$B:$B,D$147,'BSE - SENSEX Index Options'!$H:$H,"MDAW*")+SUMIFS('BSE - Other Index Options'!$L:$L,'BSE - Other Index Options'!$C:$C,$A182,'BSE - Other Index Options'!$B:$B,D$147,'BSE - Other Index Options'!$H:$H,"Weekly*")+SUMIFS('BSE - Other Index Options'!$L:$L,'BSE - Other Index Options'!$C:$C,$A182,'BSE - Other Index Options'!$B:$B,D$147,'BSE - Other Index Options'!$H:$H,"MDAW*"))</f>
        <v>43420.62</v>
      </c>
      <c r="E182" s="26">
        <f>IF(SUMIFS('BSE - SENSEX Index Options'!$L:$L,'BSE - SENSEX Index Options'!$C:$C,$A182,'BSE - SENSEX Index Options'!$B:$B,E$147,'BSE - SENSEX Index Options'!$H:$H,"Weekly*")+SUMIFS('BSE - SENSEX Index Options'!$L:$L,'BSE - SENSEX Index Options'!$C:$C,$A182,'BSE - SENSEX Index Options'!$B:$B,E$147,'BSE - SENSEX Index Options'!$H:$H,"MDAW*")+SUMIFS('BSE - Other Index Options'!$L:$L,'BSE - Other Index Options'!$C:$C,$A182,'BSE - Other Index Options'!$B:$B,E$147,'BSE - Other Index Options'!$H:$H,"Weekly*")+SUMIFS('BSE - Other Index Options'!$L:$L,'BSE - Other Index Options'!$C:$C,$A182,'BSE - Other Index Options'!$B:$B,E$147,'BSE - Other Index Options'!$H:$H,"MDAW*")=0,"",SUMIFS('BSE - SENSEX Index Options'!$L:$L,'BSE - SENSEX Index Options'!$C:$C,$A182,'BSE - SENSEX Index Options'!$B:$B,E$147,'BSE - SENSEX Index Options'!$H:$H,"Weekly*")+SUMIFS('BSE - SENSEX Index Options'!$L:$L,'BSE - SENSEX Index Options'!$C:$C,$A182,'BSE - SENSEX Index Options'!$B:$B,E$147,'BSE - SENSEX Index Options'!$H:$H,"MDAW*")+SUMIFS('BSE - Other Index Options'!$L:$L,'BSE - Other Index Options'!$C:$C,$A182,'BSE - Other Index Options'!$B:$B,E$147,'BSE - Other Index Options'!$H:$H,"Weekly*")+SUMIFS('BSE - Other Index Options'!$L:$L,'BSE - Other Index Options'!$C:$C,$A182,'BSE - Other Index Options'!$B:$B,E$147,'BSE - Other Index Options'!$H:$H,"MDAW*"))</f>
        <v>85166.22</v>
      </c>
      <c r="F182" s="26" t="str">
        <f>IF(SUMIFS('BSE - SENSEX Index Options'!$L:$L,'BSE - SENSEX Index Options'!$C:$C,$A182,'BSE - SENSEX Index Options'!$B:$B,F$147,'BSE - SENSEX Index Options'!$H:$H,"Weekly*")+SUMIFS('BSE - SENSEX Index Options'!$L:$L,'BSE - SENSEX Index Options'!$C:$C,$A182,'BSE - SENSEX Index Options'!$B:$B,F$147,'BSE - SENSEX Index Options'!$H:$H,"MDAW*")+SUMIFS('BSE - Other Index Options'!$L:$L,'BSE - Other Index Options'!$C:$C,$A182,'BSE - Other Index Options'!$B:$B,F$147,'BSE - Other Index Options'!$H:$H,"Weekly*")+SUMIFS('BSE - Other Index Options'!$L:$L,'BSE - Other Index Options'!$C:$C,$A182,'BSE - Other Index Options'!$B:$B,F$147,'BSE - Other Index Options'!$H:$H,"MDAW*")=0,"",SUMIFS('BSE - SENSEX Index Options'!$L:$L,'BSE - SENSEX Index Options'!$C:$C,$A182,'BSE - SENSEX Index Options'!$B:$B,F$147,'BSE - SENSEX Index Options'!$H:$H,"Weekly*")+SUMIFS('BSE - SENSEX Index Options'!$L:$L,'BSE - SENSEX Index Options'!$C:$C,$A182,'BSE - SENSEX Index Options'!$B:$B,F$147,'BSE - SENSEX Index Options'!$H:$H,"MDAW*")+SUMIFS('BSE - Other Index Options'!$L:$L,'BSE - Other Index Options'!$C:$C,$A182,'BSE - Other Index Options'!$B:$B,F$147,'BSE - Other Index Options'!$H:$H,"Weekly*")+SUMIFS('BSE - Other Index Options'!$L:$L,'BSE - Other Index Options'!$C:$C,$A182,'BSE - Other Index Options'!$B:$B,F$147,'BSE - Other Index Options'!$H:$H,"MDAW*"))</f>
        <v/>
      </c>
      <c r="G182" s="26" t="str">
        <f>IF(SUMIFS('BSE - SENSEX Index Options'!$L:$L,'BSE - SENSEX Index Options'!$C:$C,$A182,'BSE - SENSEX Index Options'!$B:$B,G$147,'BSE - SENSEX Index Options'!$H:$H,"Weekly*")+SUMIFS('BSE - SENSEX Index Options'!$L:$L,'BSE - SENSEX Index Options'!$C:$C,$A182,'BSE - SENSEX Index Options'!$B:$B,G$147,'BSE - SENSEX Index Options'!$H:$H,"MDAW*")+SUMIFS('BSE - Other Index Options'!$L:$L,'BSE - Other Index Options'!$C:$C,$A182,'BSE - Other Index Options'!$B:$B,G$147,'BSE - Other Index Options'!$H:$H,"Weekly*")+SUMIFS('BSE - Other Index Options'!$L:$L,'BSE - Other Index Options'!$C:$C,$A182,'BSE - Other Index Options'!$B:$B,G$147,'BSE - Other Index Options'!$H:$H,"MDAW*")=0,"",SUMIFS('BSE - SENSEX Index Options'!$L:$L,'BSE - SENSEX Index Options'!$C:$C,$A182,'BSE - SENSEX Index Options'!$B:$B,G$147,'BSE - SENSEX Index Options'!$H:$H,"Weekly*")+SUMIFS('BSE - SENSEX Index Options'!$L:$L,'BSE - SENSEX Index Options'!$C:$C,$A182,'BSE - SENSEX Index Options'!$B:$B,G$147,'BSE - SENSEX Index Options'!$H:$H,"MDAW*")+SUMIFS('BSE - Other Index Options'!$L:$L,'BSE - Other Index Options'!$C:$C,$A182,'BSE - Other Index Options'!$B:$B,G$147,'BSE - Other Index Options'!$H:$H,"Weekly*")+SUMIFS('BSE - Other Index Options'!$L:$L,'BSE - Other Index Options'!$C:$C,$A182,'BSE - Other Index Options'!$B:$B,G$147,'BSE - Other Index Options'!$H:$H,"MDAW*"))</f>
        <v/>
      </c>
      <c r="H182" s="26">
        <f t="shared" si="7"/>
        <v>159046.45000000001</v>
      </c>
    </row>
    <row r="183" spans="1:8">
      <c r="A183" t="s">
        <v>45</v>
      </c>
      <c r="B183" s="26">
        <f>IF(SUMIFS('BSE - SENSEX Index Options'!$L:$L,'BSE - SENSEX Index Options'!$C:$C,$A183,'BSE - SENSEX Index Options'!$B:$B,B$147,'BSE - SENSEX Index Options'!$H:$H,"Weekly*")+SUMIFS('BSE - SENSEX Index Options'!$L:$L,'BSE - SENSEX Index Options'!$C:$C,$A183,'BSE - SENSEX Index Options'!$B:$B,B$147,'BSE - SENSEX Index Options'!$H:$H,"MDAW*")+SUMIFS('BSE - Other Index Options'!$L:$L,'BSE - Other Index Options'!$C:$C,$A183,'BSE - Other Index Options'!$B:$B,B$147,'BSE - Other Index Options'!$H:$H,"Weekly*")+SUMIFS('BSE - Other Index Options'!$L:$L,'BSE - Other Index Options'!$C:$C,$A183,'BSE - Other Index Options'!$B:$B,B$147,'BSE - Other Index Options'!$H:$H,"MDAW*")=0,"",SUMIFS('BSE - SENSEX Index Options'!$L:$L,'BSE - SENSEX Index Options'!$C:$C,$A183,'BSE - SENSEX Index Options'!$B:$B,B$147,'BSE - SENSEX Index Options'!$H:$H,"Weekly*")+SUMIFS('BSE - SENSEX Index Options'!$L:$L,'BSE - SENSEX Index Options'!$C:$C,$A183,'BSE - SENSEX Index Options'!$B:$B,B$147,'BSE - SENSEX Index Options'!$H:$H,"MDAW*")+SUMIFS('BSE - Other Index Options'!$L:$L,'BSE - Other Index Options'!$C:$C,$A183,'BSE - Other Index Options'!$B:$B,B$147,'BSE - Other Index Options'!$H:$H,"Weekly*")+SUMIFS('BSE - Other Index Options'!$L:$L,'BSE - Other Index Options'!$C:$C,$A183,'BSE - Other Index Options'!$B:$B,B$147,'BSE - Other Index Options'!$H:$H,"MDAW*"))</f>
        <v>11873.91</v>
      </c>
      <c r="C183" s="26" t="str">
        <f>IF(SUMIFS('BSE - SENSEX Index Options'!$L:$L,'BSE - SENSEX Index Options'!$C:$C,$A183,'BSE - SENSEX Index Options'!$B:$B,C$147,'BSE - SENSEX Index Options'!$H:$H,"Weekly*")+SUMIFS('BSE - SENSEX Index Options'!$L:$L,'BSE - SENSEX Index Options'!$C:$C,$A183,'BSE - SENSEX Index Options'!$B:$B,C$147,'BSE - SENSEX Index Options'!$H:$H,"MDAW*")+SUMIFS('BSE - Other Index Options'!$L:$L,'BSE - Other Index Options'!$C:$C,$A183,'BSE - Other Index Options'!$B:$B,C$147,'BSE - Other Index Options'!$H:$H,"Weekly*")+SUMIFS('BSE - Other Index Options'!$L:$L,'BSE - Other Index Options'!$C:$C,$A183,'BSE - Other Index Options'!$B:$B,C$147,'BSE - Other Index Options'!$H:$H,"MDAW*")=0,"",SUMIFS('BSE - SENSEX Index Options'!$L:$L,'BSE - SENSEX Index Options'!$C:$C,$A183,'BSE - SENSEX Index Options'!$B:$B,C$147,'BSE - SENSEX Index Options'!$H:$H,"Weekly*")+SUMIFS('BSE - SENSEX Index Options'!$L:$L,'BSE - SENSEX Index Options'!$C:$C,$A183,'BSE - SENSEX Index Options'!$B:$B,C$147,'BSE - SENSEX Index Options'!$H:$H,"MDAW*")+SUMIFS('BSE - Other Index Options'!$L:$L,'BSE - Other Index Options'!$C:$C,$A183,'BSE - Other Index Options'!$B:$B,C$147,'BSE - Other Index Options'!$H:$H,"Weekly*")+SUMIFS('BSE - Other Index Options'!$L:$L,'BSE - Other Index Options'!$C:$C,$A183,'BSE - Other Index Options'!$B:$B,C$147,'BSE - Other Index Options'!$H:$H,"MDAW*"))</f>
        <v/>
      </c>
      <c r="D183" s="26">
        <f>IF(SUMIFS('BSE - SENSEX Index Options'!$L:$L,'BSE - SENSEX Index Options'!$C:$C,$A183,'BSE - SENSEX Index Options'!$B:$B,D$147,'BSE - SENSEX Index Options'!$H:$H,"Weekly*")+SUMIFS('BSE - SENSEX Index Options'!$L:$L,'BSE - SENSEX Index Options'!$C:$C,$A183,'BSE - SENSEX Index Options'!$B:$B,D$147,'BSE - SENSEX Index Options'!$H:$H,"MDAW*")+SUMIFS('BSE - Other Index Options'!$L:$L,'BSE - Other Index Options'!$C:$C,$A183,'BSE - Other Index Options'!$B:$B,D$147,'BSE - Other Index Options'!$H:$H,"Weekly*")+SUMIFS('BSE - Other Index Options'!$L:$L,'BSE - Other Index Options'!$C:$C,$A183,'BSE - Other Index Options'!$B:$B,D$147,'BSE - Other Index Options'!$H:$H,"MDAW*")=0,"",SUMIFS('BSE - SENSEX Index Options'!$L:$L,'BSE - SENSEX Index Options'!$C:$C,$A183,'BSE - SENSEX Index Options'!$B:$B,D$147,'BSE - SENSEX Index Options'!$H:$H,"Weekly*")+SUMIFS('BSE - SENSEX Index Options'!$L:$L,'BSE - SENSEX Index Options'!$C:$C,$A183,'BSE - SENSEX Index Options'!$B:$B,D$147,'BSE - SENSEX Index Options'!$H:$H,"MDAW*")+SUMIFS('BSE - Other Index Options'!$L:$L,'BSE - Other Index Options'!$C:$C,$A183,'BSE - Other Index Options'!$B:$B,D$147,'BSE - Other Index Options'!$H:$H,"Weekly*")+SUMIFS('BSE - Other Index Options'!$L:$L,'BSE - Other Index Options'!$C:$C,$A183,'BSE - Other Index Options'!$B:$B,D$147,'BSE - Other Index Options'!$H:$H,"MDAW*"))</f>
        <v>41728.909999999996</v>
      </c>
      <c r="E183" s="26">
        <f>IF(SUMIFS('BSE - SENSEX Index Options'!$L:$L,'BSE - SENSEX Index Options'!$C:$C,$A183,'BSE - SENSEX Index Options'!$B:$B,E$147,'BSE - SENSEX Index Options'!$H:$H,"Weekly*")+SUMIFS('BSE - SENSEX Index Options'!$L:$L,'BSE - SENSEX Index Options'!$C:$C,$A183,'BSE - SENSEX Index Options'!$B:$B,E$147,'BSE - SENSEX Index Options'!$H:$H,"MDAW*")+SUMIFS('BSE - Other Index Options'!$L:$L,'BSE - Other Index Options'!$C:$C,$A183,'BSE - Other Index Options'!$B:$B,E$147,'BSE - Other Index Options'!$H:$H,"Weekly*")+SUMIFS('BSE - Other Index Options'!$L:$L,'BSE - Other Index Options'!$C:$C,$A183,'BSE - Other Index Options'!$B:$B,E$147,'BSE - Other Index Options'!$H:$H,"MDAW*")=0,"",SUMIFS('BSE - SENSEX Index Options'!$L:$L,'BSE - SENSEX Index Options'!$C:$C,$A183,'BSE - SENSEX Index Options'!$B:$B,E$147,'BSE - SENSEX Index Options'!$H:$H,"Weekly*")+SUMIFS('BSE - SENSEX Index Options'!$L:$L,'BSE - SENSEX Index Options'!$C:$C,$A183,'BSE - SENSEX Index Options'!$B:$B,E$147,'BSE - SENSEX Index Options'!$H:$H,"MDAW*")+SUMIFS('BSE - Other Index Options'!$L:$L,'BSE - Other Index Options'!$C:$C,$A183,'BSE - Other Index Options'!$B:$B,E$147,'BSE - Other Index Options'!$H:$H,"Weekly*")+SUMIFS('BSE - Other Index Options'!$L:$L,'BSE - Other Index Options'!$C:$C,$A183,'BSE - Other Index Options'!$B:$B,E$147,'BSE - Other Index Options'!$H:$H,"MDAW*"))</f>
        <v>77689.250000000015</v>
      </c>
      <c r="F183" s="26">
        <f>IF(SUMIFS('BSE - SENSEX Index Options'!$L:$L,'BSE - SENSEX Index Options'!$C:$C,$A183,'BSE - SENSEX Index Options'!$B:$B,F$147,'BSE - SENSEX Index Options'!$H:$H,"Weekly*")+SUMIFS('BSE - SENSEX Index Options'!$L:$L,'BSE - SENSEX Index Options'!$C:$C,$A183,'BSE - SENSEX Index Options'!$B:$B,F$147,'BSE - SENSEX Index Options'!$H:$H,"MDAW*")+SUMIFS('BSE - Other Index Options'!$L:$L,'BSE - Other Index Options'!$C:$C,$A183,'BSE - Other Index Options'!$B:$B,F$147,'BSE - Other Index Options'!$H:$H,"Weekly*")+SUMIFS('BSE - Other Index Options'!$L:$L,'BSE - Other Index Options'!$C:$C,$A183,'BSE - Other Index Options'!$B:$B,F$147,'BSE - Other Index Options'!$H:$H,"MDAW*")=0,"",SUMIFS('BSE - SENSEX Index Options'!$L:$L,'BSE - SENSEX Index Options'!$C:$C,$A183,'BSE - SENSEX Index Options'!$B:$B,F$147,'BSE - SENSEX Index Options'!$H:$H,"Weekly*")+SUMIFS('BSE - SENSEX Index Options'!$L:$L,'BSE - SENSEX Index Options'!$C:$C,$A183,'BSE - SENSEX Index Options'!$B:$B,F$147,'BSE - SENSEX Index Options'!$H:$H,"MDAW*")+SUMIFS('BSE - Other Index Options'!$L:$L,'BSE - Other Index Options'!$C:$C,$A183,'BSE - Other Index Options'!$B:$B,F$147,'BSE - Other Index Options'!$H:$H,"Weekly*")+SUMIFS('BSE - Other Index Options'!$L:$L,'BSE - Other Index Options'!$C:$C,$A183,'BSE - Other Index Options'!$B:$B,F$147,'BSE - Other Index Options'!$H:$H,"MDAW*"))</f>
        <v>10028.9</v>
      </c>
      <c r="G183" s="26" t="str">
        <f>IF(SUMIFS('BSE - SENSEX Index Options'!$L:$L,'BSE - SENSEX Index Options'!$C:$C,$A183,'BSE - SENSEX Index Options'!$B:$B,G$147,'BSE - SENSEX Index Options'!$H:$H,"Weekly*")+SUMIFS('BSE - SENSEX Index Options'!$L:$L,'BSE - SENSEX Index Options'!$C:$C,$A183,'BSE - SENSEX Index Options'!$B:$B,G$147,'BSE - SENSEX Index Options'!$H:$H,"MDAW*")+SUMIFS('BSE - Other Index Options'!$L:$L,'BSE - Other Index Options'!$C:$C,$A183,'BSE - Other Index Options'!$B:$B,G$147,'BSE - Other Index Options'!$H:$H,"Weekly*")+SUMIFS('BSE - Other Index Options'!$L:$L,'BSE - Other Index Options'!$C:$C,$A183,'BSE - Other Index Options'!$B:$B,G$147,'BSE - Other Index Options'!$H:$H,"MDAW*")=0,"",SUMIFS('BSE - SENSEX Index Options'!$L:$L,'BSE - SENSEX Index Options'!$C:$C,$A183,'BSE - SENSEX Index Options'!$B:$B,G$147,'BSE - SENSEX Index Options'!$H:$H,"Weekly*")+SUMIFS('BSE - SENSEX Index Options'!$L:$L,'BSE - SENSEX Index Options'!$C:$C,$A183,'BSE - SENSEX Index Options'!$B:$B,G$147,'BSE - SENSEX Index Options'!$H:$H,"MDAW*")+SUMIFS('BSE - Other Index Options'!$L:$L,'BSE - Other Index Options'!$C:$C,$A183,'BSE - Other Index Options'!$B:$B,G$147,'BSE - Other Index Options'!$H:$H,"Weekly*")+SUMIFS('BSE - Other Index Options'!$L:$L,'BSE - Other Index Options'!$C:$C,$A183,'BSE - Other Index Options'!$B:$B,G$147,'BSE - Other Index Options'!$H:$H,"MDAW*"))</f>
        <v/>
      </c>
      <c r="H183" s="26">
        <f t="shared" si="7"/>
        <v>141320.97</v>
      </c>
    </row>
    <row r="184" spans="1:8">
      <c r="A184" t="s">
        <v>46</v>
      </c>
      <c r="B184" s="26">
        <f>IF(SUMIFS('BSE - SENSEX Index Options'!$L:$L,'BSE - SENSEX Index Options'!$C:$C,$A184,'BSE - SENSEX Index Options'!$B:$B,B$147,'BSE - SENSEX Index Options'!$H:$H,"Weekly*")+SUMIFS('BSE - SENSEX Index Options'!$L:$L,'BSE - SENSEX Index Options'!$C:$C,$A184,'BSE - SENSEX Index Options'!$B:$B,B$147,'BSE - SENSEX Index Options'!$H:$H,"MDAW*")+SUMIFS('BSE - Other Index Options'!$L:$L,'BSE - Other Index Options'!$C:$C,$A184,'BSE - Other Index Options'!$B:$B,B$147,'BSE - Other Index Options'!$H:$H,"Weekly*")+SUMIFS('BSE - Other Index Options'!$L:$L,'BSE - Other Index Options'!$C:$C,$A184,'BSE - Other Index Options'!$B:$B,B$147,'BSE - Other Index Options'!$H:$H,"MDAW*")=0,"",SUMIFS('BSE - SENSEX Index Options'!$L:$L,'BSE - SENSEX Index Options'!$C:$C,$A184,'BSE - SENSEX Index Options'!$B:$B,B$147,'BSE - SENSEX Index Options'!$H:$H,"Weekly*")+SUMIFS('BSE - SENSEX Index Options'!$L:$L,'BSE - SENSEX Index Options'!$C:$C,$A184,'BSE - SENSEX Index Options'!$B:$B,B$147,'BSE - SENSEX Index Options'!$H:$H,"MDAW*")+SUMIFS('BSE - Other Index Options'!$L:$L,'BSE - Other Index Options'!$C:$C,$A184,'BSE - Other Index Options'!$B:$B,B$147,'BSE - Other Index Options'!$H:$H,"Weekly*")+SUMIFS('BSE - Other Index Options'!$L:$L,'BSE - Other Index Options'!$C:$C,$A184,'BSE - Other Index Options'!$B:$B,B$147,'BSE - Other Index Options'!$H:$H,"MDAW*"))</f>
        <v>11715.57</v>
      </c>
      <c r="C184" s="26">
        <f>IF(SUMIFS('BSE - SENSEX Index Options'!$L:$L,'BSE - SENSEX Index Options'!$C:$C,$A184,'BSE - SENSEX Index Options'!$B:$B,C$147,'BSE - SENSEX Index Options'!$H:$H,"Weekly*")+SUMIFS('BSE - SENSEX Index Options'!$L:$L,'BSE - SENSEX Index Options'!$C:$C,$A184,'BSE - SENSEX Index Options'!$B:$B,C$147,'BSE - SENSEX Index Options'!$H:$H,"MDAW*")+SUMIFS('BSE - Other Index Options'!$L:$L,'BSE - Other Index Options'!$C:$C,$A184,'BSE - Other Index Options'!$B:$B,C$147,'BSE - Other Index Options'!$H:$H,"Weekly*")+SUMIFS('BSE - Other Index Options'!$L:$L,'BSE - Other Index Options'!$C:$C,$A184,'BSE - Other Index Options'!$B:$B,C$147,'BSE - Other Index Options'!$H:$H,"MDAW*")=0,"",SUMIFS('BSE - SENSEX Index Options'!$L:$L,'BSE - SENSEX Index Options'!$C:$C,$A184,'BSE - SENSEX Index Options'!$B:$B,C$147,'BSE - SENSEX Index Options'!$H:$H,"Weekly*")+SUMIFS('BSE - SENSEX Index Options'!$L:$L,'BSE - SENSEX Index Options'!$C:$C,$A184,'BSE - SENSEX Index Options'!$B:$B,C$147,'BSE - SENSEX Index Options'!$H:$H,"MDAW*")+SUMIFS('BSE - Other Index Options'!$L:$L,'BSE - Other Index Options'!$C:$C,$A184,'BSE - Other Index Options'!$B:$B,C$147,'BSE - Other Index Options'!$H:$H,"Weekly*")+SUMIFS('BSE - Other Index Options'!$L:$L,'BSE - Other Index Options'!$C:$C,$A184,'BSE - Other Index Options'!$B:$B,C$147,'BSE - Other Index Options'!$H:$H,"MDAW*"))</f>
        <v>8817.24</v>
      </c>
      <c r="D184" s="26">
        <f>IF(SUMIFS('BSE - SENSEX Index Options'!$L:$L,'BSE - SENSEX Index Options'!$C:$C,$A184,'BSE - SENSEX Index Options'!$B:$B,D$147,'BSE - SENSEX Index Options'!$H:$H,"Weekly*")+SUMIFS('BSE - SENSEX Index Options'!$L:$L,'BSE - SENSEX Index Options'!$C:$C,$A184,'BSE - SENSEX Index Options'!$B:$B,D$147,'BSE - SENSEX Index Options'!$H:$H,"MDAW*")+SUMIFS('BSE - Other Index Options'!$L:$L,'BSE - Other Index Options'!$C:$C,$A184,'BSE - Other Index Options'!$B:$B,D$147,'BSE - Other Index Options'!$H:$H,"Weekly*")+SUMIFS('BSE - Other Index Options'!$L:$L,'BSE - Other Index Options'!$C:$C,$A184,'BSE - Other Index Options'!$B:$B,D$147,'BSE - Other Index Options'!$H:$H,"MDAW*")=0,"",SUMIFS('BSE - SENSEX Index Options'!$L:$L,'BSE - SENSEX Index Options'!$C:$C,$A184,'BSE - SENSEX Index Options'!$B:$B,D$147,'BSE - SENSEX Index Options'!$H:$H,"Weekly*")+SUMIFS('BSE - SENSEX Index Options'!$L:$L,'BSE - SENSEX Index Options'!$C:$C,$A184,'BSE - SENSEX Index Options'!$B:$B,D$147,'BSE - SENSEX Index Options'!$H:$H,"MDAW*")+SUMIFS('BSE - Other Index Options'!$L:$L,'BSE - Other Index Options'!$C:$C,$A184,'BSE - Other Index Options'!$B:$B,D$147,'BSE - Other Index Options'!$H:$H,"Weekly*")+SUMIFS('BSE - Other Index Options'!$L:$L,'BSE - Other Index Options'!$C:$C,$A184,'BSE - Other Index Options'!$B:$B,D$147,'BSE - Other Index Options'!$H:$H,"MDAW*"))</f>
        <v>34703.990000000005</v>
      </c>
      <c r="E184" s="26">
        <f>IF(SUMIFS('BSE - SENSEX Index Options'!$L:$L,'BSE - SENSEX Index Options'!$C:$C,$A184,'BSE - SENSEX Index Options'!$B:$B,E$147,'BSE - SENSEX Index Options'!$H:$H,"Weekly*")+SUMIFS('BSE - SENSEX Index Options'!$L:$L,'BSE - SENSEX Index Options'!$C:$C,$A184,'BSE - SENSEX Index Options'!$B:$B,E$147,'BSE - SENSEX Index Options'!$H:$H,"MDAW*")+SUMIFS('BSE - Other Index Options'!$L:$L,'BSE - Other Index Options'!$C:$C,$A184,'BSE - Other Index Options'!$B:$B,E$147,'BSE - Other Index Options'!$H:$H,"Weekly*")+SUMIFS('BSE - Other Index Options'!$L:$L,'BSE - Other Index Options'!$C:$C,$A184,'BSE - Other Index Options'!$B:$B,E$147,'BSE - Other Index Options'!$H:$H,"MDAW*")=0,"",SUMIFS('BSE - SENSEX Index Options'!$L:$L,'BSE - SENSEX Index Options'!$C:$C,$A184,'BSE - SENSEX Index Options'!$B:$B,E$147,'BSE - SENSEX Index Options'!$H:$H,"Weekly*")+SUMIFS('BSE - SENSEX Index Options'!$L:$L,'BSE - SENSEX Index Options'!$C:$C,$A184,'BSE - SENSEX Index Options'!$B:$B,E$147,'BSE - SENSEX Index Options'!$H:$H,"MDAW*")+SUMIFS('BSE - Other Index Options'!$L:$L,'BSE - Other Index Options'!$C:$C,$A184,'BSE - Other Index Options'!$B:$B,E$147,'BSE - Other Index Options'!$H:$H,"Weekly*")+SUMIFS('BSE - Other Index Options'!$L:$L,'BSE - Other Index Options'!$C:$C,$A184,'BSE - Other Index Options'!$B:$B,E$147,'BSE - Other Index Options'!$H:$H,"MDAW*"))</f>
        <v>69664.62999999999</v>
      </c>
      <c r="F184" s="26">
        <f>IF(SUMIFS('BSE - SENSEX Index Options'!$L:$L,'BSE - SENSEX Index Options'!$C:$C,$A184,'BSE - SENSEX Index Options'!$B:$B,F$147,'BSE - SENSEX Index Options'!$H:$H,"Weekly*")+SUMIFS('BSE - SENSEX Index Options'!$L:$L,'BSE - SENSEX Index Options'!$C:$C,$A184,'BSE - SENSEX Index Options'!$B:$B,F$147,'BSE - SENSEX Index Options'!$H:$H,"MDAW*")+SUMIFS('BSE - Other Index Options'!$L:$L,'BSE - Other Index Options'!$C:$C,$A184,'BSE - Other Index Options'!$B:$B,F$147,'BSE - Other Index Options'!$H:$H,"Weekly*")+SUMIFS('BSE - Other Index Options'!$L:$L,'BSE - Other Index Options'!$C:$C,$A184,'BSE - Other Index Options'!$B:$B,F$147,'BSE - Other Index Options'!$H:$H,"MDAW*")=0,"",SUMIFS('BSE - SENSEX Index Options'!$L:$L,'BSE - SENSEX Index Options'!$C:$C,$A184,'BSE - SENSEX Index Options'!$B:$B,F$147,'BSE - SENSEX Index Options'!$H:$H,"Weekly*")+SUMIFS('BSE - SENSEX Index Options'!$L:$L,'BSE - SENSEX Index Options'!$C:$C,$A184,'BSE - SENSEX Index Options'!$B:$B,F$147,'BSE - SENSEX Index Options'!$H:$H,"MDAW*")+SUMIFS('BSE - Other Index Options'!$L:$L,'BSE - Other Index Options'!$C:$C,$A184,'BSE - Other Index Options'!$B:$B,F$147,'BSE - Other Index Options'!$H:$H,"Weekly*")+SUMIFS('BSE - Other Index Options'!$L:$L,'BSE - Other Index Options'!$C:$C,$A184,'BSE - Other Index Options'!$B:$B,F$147,'BSE - Other Index Options'!$H:$H,"MDAW*"))</f>
        <v>8991.91</v>
      </c>
      <c r="G184" s="26" t="str">
        <f>IF(SUMIFS('BSE - SENSEX Index Options'!$L:$L,'BSE - SENSEX Index Options'!$C:$C,$A184,'BSE - SENSEX Index Options'!$B:$B,G$147,'BSE - SENSEX Index Options'!$H:$H,"Weekly*")+SUMIFS('BSE - SENSEX Index Options'!$L:$L,'BSE - SENSEX Index Options'!$C:$C,$A184,'BSE - SENSEX Index Options'!$B:$B,G$147,'BSE - SENSEX Index Options'!$H:$H,"MDAW*")+SUMIFS('BSE - Other Index Options'!$L:$L,'BSE - Other Index Options'!$C:$C,$A184,'BSE - Other Index Options'!$B:$B,G$147,'BSE - Other Index Options'!$H:$H,"Weekly*")+SUMIFS('BSE - Other Index Options'!$L:$L,'BSE - Other Index Options'!$C:$C,$A184,'BSE - Other Index Options'!$B:$B,G$147,'BSE - Other Index Options'!$H:$H,"MDAW*")=0,"",SUMIFS('BSE - SENSEX Index Options'!$L:$L,'BSE - SENSEX Index Options'!$C:$C,$A184,'BSE - SENSEX Index Options'!$B:$B,G$147,'BSE - SENSEX Index Options'!$H:$H,"Weekly*")+SUMIFS('BSE - SENSEX Index Options'!$L:$L,'BSE - SENSEX Index Options'!$C:$C,$A184,'BSE - SENSEX Index Options'!$B:$B,G$147,'BSE - SENSEX Index Options'!$H:$H,"MDAW*")+SUMIFS('BSE - Other Index Options'!$L:$L,'BSE - Other Index Options'!$C:$C,$A184,'BSE - Other Index Options'!$B:$B,G$147,'BSE - Other Index Options'!$H:$H,"Weekly*")+SUMIFS('BSE - Other Index Options'!$L:$L,'BSE - Other Index Options'!$C:$C,$A184,'BSE - Other Index Options'!$B:$B,G$147,'BSE - Other Index Options'!$H:$H,"MDAW*"))</f>
        <v/>
      </c>
      <c r="H184" s="26">
        <f t="shared" si="7"/>
        <v>133893.34</v>
      </c>
    </row>
    <row r="185" spans="1:8">
      <c r="A185" t="s">
        <v>47</v>
      </c>
      <c r="B185" s="26">
        <f>IF(SUMIFS('BSE - SENSEX Index Options'!$L:$L,'BSE - SENSEX Index Options'!$C:$C,$A185,'BSE - SENSEX Index Options'!$B:$B,B$147,'BSE - SENSEX Index Options'!$H:$H,"Weekly*")+SUMIFS('BSE - SENSEX Index Options'!$L:$L,'BSE - SENSEX Index Options'!$C:$C,$A185,'BSE - SENSEX Index Options'!$B:$B,B$147,'BSE - SENSEX Index Options'!$H:$H,"MDAW*")+SUMIFS('BSE - Other Index Options'!$L:$L,'BSE - Other Index Options'!$C:$C,$A185,'BSE - Other Index Options'!$B:$B,B$147,'BSE - Other Index Options'!$H:$H,"Weekly*")+SUMIFS('BSE - Other Index Options'!$L:$L,'BSE - Other Index Options'!$C:$C,$A185,'BSE - Other Index Options'!$B:$B,B$147,'BSE - Other Index Options'!$H:$H,"MDAW*")=0,"",SUMIFS('BSE - SENSEX Index Options'!$L:$L,'BSE - SENSEX Index Options'!$C:$C,$A185,'BSE - SENSEX Index Options'!$B:$B,B$147,'BSE - SENSEX Index Options'!$H:$H,"Weekly*")+SUMIFS('BSE - SENSEX Index Options'!$L:$L,'BSE - SENSEX Index Options'!$C:$C,$A185,'BSE - SENSEX Index Options'!$B:$B,B$147,'BSE - SENSEX Index Options'!$H:$H,"MDAW*")+SUMIFS('BSE - Other Index Options'!$L:$L,'BSE - Other Index Options'!$C:$C,$A185,'BSE - Other Index Options'!$B:$B,B$147,'BSE - Other Index Options'!$H:$H,"Weekly*")+SUMIFS('BSE - Other Index Options'!$L:$L,'BSE - Other Index Options'!$C:$C,$A185,'BSE - Other Index Options'!$B:$B,B$147,'BSE - Other Index Options'!$H:$H,"MDAW*"))</f>
        <v>8867.27</v>
      </c>
      <c r="C185" s="26">
        <f>IF(SUMIFS('BSE - SENSEX Index Options'!$L:$L,'BSE - SENSEX Index Options'!$C:$C,$A185,'BSE - SENSEX Index Options'!$B:$B,C$147,'BSE - SENSEX Index Options'!$H:$H,"Weekly*")+SUMIFS('BSE - SENSEX Index Options'!$L:$L,'BSE - SENSEX Index Options'!$C:$C,$A185,'BSE - SENSEX Index Options'!$B:$B,C$147,'BSE - SENSEX Index Options'!$H:$H,"MDAW*")+SUMIFS('BSE - Other Index Options'!$L:$L,'BSE - Other Index Options'!$C:$C,$A185,'BSE - Other Index Options'!$B:$B,C$147,'BSE - Other Index Options'!$H:$H,"Weekly*")+SUMIFS('BSE - Other Index Options'!$L:$L,'BSE - Other Index Options'!$C:$C,$A185,'BSE - Other Index Options'!$B:$B,C$147,'BSE - Other Index Options'!$H:$H,"MDAW*")=0,"",SUMIFS('BSE - SENSEX Index Options'!$L:$L,'BSE - SENSEX Index Options'!$C:$C,$A185,'BSE - SENSEX Index Options'!$B:$B,C$147,'BSE - SENSEX Index Options'!$H:$H,"Weekly*")+SUMIFS('BSE - SENSEX Index Options'!$L:$L,'BSE - SENSEX Index Options'!$C:$C,$A185,'BSE - SENSEX Index Options'!$B:$B,C$147,'BSE - SENSEX Index Options'!$H:$H,"MDAW*")+SUMIFS('BSE - Other Index Options'!$L:$L,'BSE - Other Index Options'!$C:$C,$A185,'BSE - Other Index Options'!$B:$B,C$147,'BSE - Other Index Options'!$H:$H,"Weekly*")+SUMIFS('BSE - Other Index Options'!$L:$L,'BSE - Other Index Options'!$C:$C,$A185,'BSE - Other Index Options'!$B:$B,C$147,'BSE - Other Index Options'!$H:$H,"MDAW*"))</f>
        <v>9272.8700000000008</v>
      </c>
      <c r="D185" s="26">
        <f>IF(SUMIFS('BSE - SENSEX Index Options'!$L:$L,'BSE - SENSEX Index Options'!$C:$C,$A185,'BSE - SENSEX Index Options'!$B:$B,D$147,'BSE - SENSEX Index Options'!$H:$H,"Weekly*")+SUMIFS('BSE - SENSEX Index Options'!$L:$L,'BSE - SENSEX Index Options'!$C:$C,$A185,'BSE - SENSEX Index Options'!$B:$B,D$147,'BSE - SENSEX Index Options'!$H:$H,"MDAW*")+SUMIFS('BSE - Other Index Options'!$L:$L,'BSE - Other Index Options'!$C:$C,$A185,'BSE - Other Index Options'!$B:$B,D$147,'BSE - Other Index Options'!$H:$H,"Weekly*")+SUMIFS('BSE - Other Index Options'!$L:$L,'BSE - Other Index Options'!$C:$C,$A185,'BSE - Other Index Options'!$B:$B,D$147,'BSE - Other Index Options'!$H:$H,"MDAW*")=0,"",SUMIFS('BSE - SENSEX Index Options'!$L:$L,'BSE - SENSEX Index Options'!$C:$C,$A185,'BSE - SENSEX Index Options'!$B:$B,D$147,'BSE - SENSEX Index Options'!$H:$H,"Weekly*")+SUMIFS('BSE - SENSEX Index Options'!$L:$L,'BSE - SENSEX Index Options'!$C:$C,$A185,'BSE - SENSEX Index Options'!$B:$B,D$147,'BSE - SENSEX Index Options'!$H:$H,"MDAW*")+SUMIFS('BSE - Other Index Options'!$L:$L,'BSE - Other Index Options'!$C:$C,$A185,'BSE - Other Index Options'!$B:$B,D$147,'BSE - Other Index Options'!$H:$H,"Weekly*")+SUMIFS('BSE - Other Index Options'!$L:$L,'BSE - Other Index Options'!$C:$C,$A185,'BSE - Other Index Options'!$B:$B,D$147,'BSE - Other Index Options'!$H:$H,"MDAW*"))</f>
        <v>32855.410000000003</v>
      </c>
      <c r="E185" s="26">
        <f>IF(SUMIFS('BSE - SENSEX Index Options'!$L:$L,'BSE - SENSEX Index Options'!$C:$C,$A185,'BSE - SENSEX Index Options'!$B:$B,E$147,'BSE - SENSEX Index Options'!$H:$H,"Weekly*")+SUMIFS('BSE - SENSEX Index Options'!$L:$L,'BSE - SENSEX Index Options'!$C:$C,$A185,'BSE - SENSEX Index Options'!$B:$B,E$147,'BSE - SENSEX Index Options'!$H:$H,"MDAW*")+SUMIFS('BSE - Other Index Options'!$L:$L,'BSE - Other Index Options'!$C:$C,$A185,'BSE - Other Index Options'!$B:$B,E$147,'BSE - Other Index Options'!$H:$H,"Weekly*")+SUMIFS('BSE - Other Index Options'!$L:$L,'BSE - Other Index Options'!$C:$C,$A185,'BSE - Other Index Options'!$B:$B,E$147,'BSE - Other Index Options'!$H:$H,"MDAW*")=0,"",SUMIFS('BSE - SENSEX Index Options'!$L:$L,'BSE - SENSEX Index Options'!$C:$C,$A185,'BSE - SENSEX Index Options'!$B:$B,E$147,'BSE - SENSEX Index Options'!$H:$H,"Weekly*")+SUMIFS('BSE - SENSEX Index Options'!$L:$L,'BSE - SENSEX Index Options'!$C:$C,$A185,'BSE - SENSEX Index Options'!$B:$B,E$147,'BSE - SENSEX Index Options'!$H:$H,"MDAW*")+SUMIFS('BSE - Other Index Options'!$L:$L,'BSE - Other Index Options'!$C:$C,$A185,'BSE - Other Index Options'!$B:$B,E$147,'BSE - Other Index Options'!$H:$H,"Weekly*")+SUMIFS('BSE - Other Index Options'!$L:$L,'BSE - Other Index Options'!$C:$C,$A185,'BSE - Other Index Options'!$B:$B,E$147,'BSE - Other Index Options'!$H:$H,"MDAW*"))</f>
        <v>55815.749999999993</v>
      </c>
      <c r="F185" s="26">
        <f>IF(SUMIFS('BSE - SENSEX Index Options'!$L:$L,'BSE - SENSEX Index Options'!$C:$C,$A185,'BSE - SENSEX Index Options'!$B:$B,F$147,'BSE - SENSEX Index Options'!$H:$H,"Weekly*")+SUMIFS('BSE - SENSEX Index Options'!$L:$L,'BSE - SENSEX Index Options'!$C:$C,$A185,'BSE - SENSEX Index Options'!$B:$B,F$147,'BSE - SENSEX Index Options'!$H:$H,"MDAW*")+SUMIFS('BSE - Other Index Options'!$L:$L,'BSE - Other Index Options'!$C:$C,$A185,'BSE - Other Index Options'!$B:$B,F$147,'BSE - Other Index Options'!$H:$H,"Weekly*")+SUMIFS('BSE - Other Index Options'!$L:$L,'BSE - Other Index Options'!$C:$C,$A185,'BSE - Other Index Options'!$B:$B,F$147,'BSE - Other Index Options'!$H:$H,"MDAW*")=0,"",SUMIFS('BSE - SENSEX Index Options'!$L:$L,'BSE - SENSEX Index Options'!$C:$C,$A185,'BSE - SENSEX Index Options'!$B:$B,F$147,'BSE - SENSEX Index Options'!$H:$H,"Weekly*")+SUMIFS('BSE - SENSEX Index Options'!$L:$L,'BSE - SENSEX Index Options'!$C:$C,$A185,'BSE - SENSEX Index Options'!$B:$B,F$147,'BSE - SENSEX Index Options'!$H:$H,"MDAW*")+SUMIFS('BSE - Other Index Options'!$L:$L,'BSE - Other Index Options'!$C:$C,$A185,'BSE - Other Index Options'!$B:$B,F$147,'BSE - Other Index Options'!$H:$H,"Weekly*")+SUMIFS('BSE - Other Index Options'!$L:$L,'BSE - Other Index Options'!$C:$C,$A185,'BSE - Other Index Options'!$B:$B,F$147,'BSE - Other Index Options'!$H:$H,"MDAW*"))</f>
        <v>9310.39</v>
      </c>
      <c r="G185" s="26" t="str">
        <f>IF(SUMIFS('BSE - SENSEX Index Options'!$L:$L,'BSE - SENSEX Index Options'!$C:$C,$A185,'BSE - SENSEX Index Options'!$B:$B,G$147,'BSE - SENSEX Index Options'!$H:$H,"Weekly*")+SUMIFS('BSE - SENSEX Index Options'!$L:$L,'BSE - SENSEX Index Options'!$C:$C,$A185,'BSE - SENSEX Index Options'!$B:$B,G$147,'BSE - SENSEX Index Options'!$H:$H,"MDAW*")+SUMIFS('BSE - Other Index Options'!$L:$L,'BSE - Other Index Options'!$C:$C,$A185,'BSE - Other Index Options'!$B:$B,G$147,'BSE - Other Index Options'!$H:$H,"Weekly*")+SUMIFS('BSE - Other Index Options'!$L:$L,'BSE - Other Index Options'!$C:$C,$A185,'BSE - Other Index Options'!$B:$B,G$147,'BSE - Other Index Options'!$H:$H,"MDAW*")=0,"",SUMIFS('BSE - SENSEX Index Options'!$L:$L,'BSE - SENSEX Index Options'!$C:$C,$A185,'BSE - SENSEX Index Options'!$B:$B,G$147,'BSE - SENSEX Index Options'!$H:$H,"Weekly*")+SUMIFS('BSE - SENSEX Index Options'!$L:$L,'BSE - SENSEX Index Options'!$C:$C,$A185,'BSE - SENSEX Index Options'!$B:$B,G$147,'BSE - SENSEX Index Options'!$H:$H,"MDAW*")+SUMIFS('BSE - Other Index Options'!$L:$L,'BSE - Other Index Options'!$C:$C,$A185,'BSE - Other Index Options'!$B:$B,G$147,'BSE - Other Index Options'!$H:$H,"Weekly*")+SUMIFS('BSE - Other Index Options'!$L:$L,'BSE - Other Index Options'!$C:$C,$A185,'BSE - Other Index Options'!$B:$B,G$147,'BSE - Other Index Options'!$H:$H,"MDAW*"))</f>
        <v/>
      </c>
      <c r="H185" s="26">
        <f t="shared" si="7"/>
        <v>116121.68999999999</v>
      </c>
    </row>
    <row r="186" spans="1:8">
      <c r="A186" t="s">
        <v>48</v>
      </c>
      <c r="B186" s="26" t="str">
        <f>IF(SUMIFS('BSE - SENSEX Index Options'!$L:$L,'BSE - SENSEX Index Options'!$C:$C,$A186,'BSE - SENSEX Index Options'!$B:$B,B$147,'BSE - SENSEX Index Options'!$H:$H,"Weekly*")+SUMIFS('BSE - SENSEX Index Options'!$L:$L,'BSE - SENSEX Index Options'!$C:$C,$A186,'BSE - SENSEX Index Options'!$B:$B,B$147,'BSE - SENSEX Index Options'!$H:$H,"MDAW*")+SUMIFS('BSE - Other Index Options'!$L:$L,'BSE - Other Index Options'!$C:$C,$A186,'BSE - Other Index Options'!$B:$B,B$147,'BSE - Other Index Options'!$H:$H,"Weekly*")+SUMIFS('BSE - Other Index Options'!$L:$L,'BSE - Other Index Options'!$C:$C,$A186,'BSE - Other Index Options'!$B:$B,B$147,'BSE - Other Index Options'!$H:$H,"MDAW*")=0,"",SUMIFS('BSE - SENSEX Index Options'!$L:$L,'BSE - SENSEX Index Options'!$C:$C,$A186,'BSE - SENSEX Index Options'!$B:$B,B$147,'BSE - SENSEX Index Options'!$H:$H,"Weekly*")+SUMIFS('BSE - SENSEX Index Options'!$L:$L,'BSE - SENSEX Index Options'!$C:$C,$A186,'BSE - SENSEX Index Options'!$B:$B,B$147,'BSE - SENSEX Index Options'!$H:$H,"MDAW*")+SUMIFS('BSE - Other Index Options'!$L:$L,'BSE - Other Index Options'!$C:$C,$A186,'BSE - Other Index Options'!$B:$B,B$147,'BSE - Other Index Options'!$H:$H,"Weekly*")+SUMIFS('BSE - Other Index Options'!$L:$L,'BSE - Other Index Options'!$C:$C,$A186,'BSE - Other Index Options'!$B:$B,B$147,'BSE - Other Index Options'!$H:$H,"MDAW*"))</f>
        <v/>
      </c>
      <c r="C186" s="26" t="str">
        <f>IF(SUMIFS('BSE - SENSEX Index Options'!$L:$L,'BSE - SENSEX Index Options'!$C:$C,$A186,'BSE - SENSEX Index Options'!$B:$B,C$147,'BSE - SENSEX Index Options'!$H:$H,"Weekly*")+SUMIFS('BSE - SENSEX Index Options'!$L:$L,'BSE - SENSEX Index Options'!$C:$C,$A186,'BSE - SENSEX Index Options'!$B:$B,C$147,'BSE - SENSEX Index Options'!$H:$H,"MDAW*")+SUMIFS('BSE - Other Index Options'!$L:$L,'BSE - Other Index Options'!$C:$C,$A186,'BSE - Other Index Options'!$B:$B,C$147,'BSE - Other Index Options'!$H:$H,"Weekly*")+SUMIFS('BSE - Other Index Options'!$L:$L,'BSE - Other Index Options'!$C:$C,$A186,'BSE - Other Index Options'!$B:$B,C$147,'BSE - Other Index Options'!$H:$H,"MDAW*")=0,"",SUMIFS('BSE - SENSEX Index Options'!$L:$L,'BSE - SENSEX Index Options'!$C:$C,$A186,'BSE - SENSEX Index Options'!$B:$B,C$147,'BSE - SENSEX Index Options'!$H:$H,"Weekly*")+SUMIFS('BSE - SENSEX Index Options'!$L:$L,'BSE - SENSEX Index Options'!$C:$C,$A186,'BSE - SENSEX Index Options'!$B:$B,C$147,'BSE - SENSEX Index Options'!$H:$H,"MDAW*")+SUMIFS('BSE - Other Index Options'!$L:$L,'BSE - Other Index Options'!$C:$C,$A186,'BSE - Other Index Options'!$B:$B,C$147,'BSE - Other Index Options'!$H:$H,"Weekly*")+SUMIFS('BSE - Other Index Options'!$L:$L,'BSE - Other Index Options'!$C:$C,$A186,'BSE - Other Index Options'!$B:$B,C$147,'BSE - Other Index Options'!$H:$H,"MDAW*"))</f>
        <v/>
      </c>
      <c r="D186" s="26">
        <f>IF(SUMIFS('BSE - SENSEX Index Options'!$L:$L,'BSE - SENSEX Index Options'!$C:$C,$A186,'BSE - SENSEX Index Options'!$B:$B,D$147,'BSE - SENSEX Index Options'!$H:$H,"Weekly*")+SUMIFS('BSE - SENSEX Index Options'!$L:$L,'BSE - SENSEX Index Options'!$C:$C,$A186,'BSE - SENSEX Index Options'!$B:$B,D$147,'BSE - SENSEX Index Options'!$H:$H,"MDAW*")+SUMIFS('BSE - Other Index Options'!$L:$L,'BSE - Other Index Options'!$C:$C,$A186,'BSE - Other Index Options'!$B:$B,D$147,'BSE - Other Index Options'!$H:$H,"Weekly*")+SUMIFS('BSE - Other Index Options'!$L:$L,'BSE - Other Index Options'!$C:$C,$A186,'BSE - Other Index Options'!$B:$B,D$147,'BSE - Other Index Options'!$H:$H,"MDAW*")=0,"",SUMIFS('BSE - SENSEX Index Options'!$L:$L,'BSE - SENSEX Index Options'!$C:$C,$A186,'BSE - SENSEX Index Options'!$B:$B,D$147,'BSE - SENSEX Index Options'!$H:$H,"Weekly*")+SUMIFS('BSE - SENSEX Index Options'!$L:$L,'BSE - SENSEX Index Options'!$C:$C,$A186,'BSE - SENSEX Index Options'!$B:$B,D$147,'BSE - SENSEX Index Options'!$H:$H,"MDAW*")+SUMIFS('BSE - Other Index Options'!$L:$L,'BSE - Other Index Options'!$C:$C,$A186,'BSE - Other Index Options'!$B:$B,D$147,'BSE - Other Index Options'!$H:$H,"Weekly*")+SUMIFS('BSE - Other Index Options'!$L:$L,'BSE - Other Index Options'!$C:$C,$A186,'BSE - Other Index Options'!$B:$B,D$147,'BSE - Other Index Options'!$H:$H,"MDAW*"))</f>
        <v>36660.689999999995</v>
      </c>
      <c r="E186" s="26">
        <f>IF(SUMIFS('BSE - SENSEX Index Options'!$L:$L,'BSE - SENSEX Index Options'!$C:$C,$A186,'BSE - SENSEX Index Options'!$B:$B,E$147,'BSE - SENSEX Index Options'!$H:$H,"Weekly*")+SUMIFS('BSE - SENSEX Index Options'!$L:$L,'BSE - SENSEX Index Options'!$C:$C,$A186,'BSE - SENSEX Index Options'!$B:$B,E$147,'BSE - SENSEX Index Options'!$H:$H,"MDAW*")+SUMIFS('BSE - Other Index Options'!$L:$L,'BSE - Other Index Options'!$C:$C,$A186,'BSE - Other Index Options'!$B:$B,E$147,'BSE - Other Index Options'!$H:$H,"Weekly*")+SUMIFS('BSE - Other Index Options'!$L:$L,'BSE - Other Index Options'!$C:$C,$A186,'BSE - Other Index Options'!$B:$B,E$147,'BSE - Other Index Options'!$H:$H,"MDAW*")=0,"",SUMIFS('BSE - SENSEX Index Options'!$L:$L,'BSE - SENSEX Index Options'!$C:$C,$A186,'BSE - SENSEX Index Options'!$B:$B,E$147,'BSE - SENSEX Index Options'!$H:$H,"Weekly*")+SUMIFS('BSE - SENSEX Index Options'!$L:$L,'BSE - SENSEX Index Options'!$C:$C,$A186,'BSE - SENSEX Index Options'!$B:$B,E$147,'BSE - SENSEX Index Options'!$H:$H,"MDAW*")+SUMIFS('BSE - Other Index Options'!$L:$L,'BSE - Other Index Options'!$C:$C,$A186,'BSE - Other Index Options'!$B:$B,E$147,'BSE - Other Index Options'!$H:$H,"Weekly*")+SUMIFS('BSE - Other Index Options'!$L:$L,'BSE - Other Index Options'!$C:$C,$A186,'BSE - Other Index Options'!$B:$B,E$147,'BSE - Other Index Options'!$H:$H,"MDAW*"))</f>
        <v>71482.87999999999</v>
      </c>
      <c r="F186" s="26" t="str">
        <f>IF(SUMIFS('BSE - SENSEX Index Options'!$L:$L,'BSE - SENSEX Index Options'!$C:$C,$A186,'BSE - SENSEX Index Options'!$B:$B,F$147,'BSE - SENSEX Index Options'!$H:$H,"Weekly*")+SUMIFS('BSE - SENSEX Index Options'!$L:$L,'BSE - SENSEX Index Options'!$C:$C,$A186,'BSE - SENSEX Index Options'!$B:$B,F$147,'BSE - SENSEX Index Options'!$H:$H,"MDAW*")+SUMIFS('BSE - Other Index Options'!$L:$L,'BSE - Other Index Options'!$C:$C,$A186,'BSE - Other Index Options'!$B:$B,F$147,'BSE - Other Index Options'!$H:$H,"Weekly*")+SUMIFS('BSE - Other Index Options'!$L:$L,'BSE - Other Index Options'!$C:$C,$A186,'BSE - Other Index Options'!$B:$B,F$147,'BSE - Other Index Options'!$H:$H,"MDAW*")=0,"",SUMIFS('BSE - SENSEX Index Options'!$L:$L,'BSE - SENSEX Index Options'!$C:$C,$A186,'BSE - SENSEX Index Options'!$B:$B,F$147,'BSE - SENSEX Index Options'!$H:$H,"Weekly*")+SUMIFS('BSE - SENSEX Index Options'!$L:$L,'BSE - SENSEX Index Options'!$C:$C,$A186,'BSE - SENSEX Index Options'!$B:$B,F$147,'BSE - SENSEX Index Options'!$H:$H,"MDAW*")+SUMIFS('BSE - Other Index Options'!$L:$L,'BSE - Other Index Options'!$C:$C,$A186,'BSE - Other Index Options'!$B:$B,F$147,'BSE - Other Index Options'!$H:$H,"Weekly*")+SUMIFS('BSE - Other Index Options'!$L:$L,'BSE - Other Index Options'!$C:$C,$A186,'BSE - Other Index Options'!$B:$B,F$147,'BSE - Other Index Options'!$H:$H,"MDAW*"))</f>
        <v/>
      </c>
      <c r="G186" s="26" t="str">
        <f>IF(SUMIFS('BSE - SENSEX Index Options'!$L:$L,'BSE - SENSEX Index Options'!$C:$C,$A186,'BSE - SENSEX Index Options'!$B:$B,G$147,'BSE - SENSEX Index Options'!$H:$H,"Weekly*")+SUMIFS('BSE - SENSEX Index Options'!$L:$L,'BSE - SENSEX Index Options'!$C:$C,$A186,'BSE - SENSEX Index Options'!$B:$B,G$147,'BSE - SENSEX Index Options'!$H:$H,"MDAW*")+SUMIFS('BSE - Other Index Options'!$L:$L,'BSE - Other Index Options'!$C:$C,$A186,'BSE - Other Index Options'!$B:$B,G$147,'BSE - Other Index Options'!$H:$H,"Weekly*")+SUMIFS('BSE - Other Index Options'!$L:$L,'BSE - Other Index Options'!$C:$C,$A186,'BSE - Other Index Options'!$B:$B,G$147,'BSE - Other Index Options'!$H:$H,"MDAW*")=0,"",SUMIFS('BSE - SENSEX Index Options'!$L:$L,'BSE - SENSEX Index Options'!$C:$C,$A186,'BSE - SENSEX Index Options'!$B:$B,G$147,'BSE - SENSEX Index Options'!$H:$H,"Weekly*")+SUMIFS('BSE - SENSEX Index Options'!$L:$L,'BSE - SENSEX Index Options'!$C:$C,$A186,'BSE - SENSEX Index Options'!$B:$B,G$147,'BSE - SENSEX Index Options'!$H:$H,"MDAW*")+SUMIFS('BSE - Other Index Options'!$L:$L,'BSE - Other Index Options'!$C:$C,$A186,'BSE - Other Index Options'!$B:$B,G$147,'BSE - Other Index Options'!$H:$H,"Weekly*")+SUMIFS('BSE - Other Index Options'!$L:$L,'BSE - Other Index Options'!$C:$C,$A186,'BSE - Other Index Options'!$B:$B,G$147,'BSE - Other Index Options'!$H:$H,"MDAW*"))</f>
        <v/>
      </c>
      <c r="H186" s="26">
        <f t="shared" si="7"/>
        <v>108143.56999999998</v>
      </c>
    </row>
    <row r="187" spans="1:8">
      <c r="A187" t="s">
        <v>49</v>
      </c>
      <c r="B187" s="26">
        <f>IF(SUMIFS('BSE - SENSEX Index Options'!$L:$L,'BSE - SENSEX Index Options'!$C:$C,$A187,'BSE - SENSEX Index Options'!$B:$B,B$147,'BSE - SENSEX Index Options'!$H:$H,"Weekly*")+SUMIFS('BSE - SENSEX Index Options'!$L:$L,'BSE - SENSEX Index Options'!$C:$C,$A187,'BSE - SENSEX Index Options'!$B:$B,B$147,'BSE - SENSEX Index Options'!$H:$H,"MDAW*")+SUMIFS('BSE - Other Index Options'!$L:$L,'BSE - Other Index Options'!$C:$C,$A187,'BSE - Other Index Options'!$B:$B,B$147,'BSE - Other Index Options'!$H:$H,"Weekly*")+SUMIFS('BSE - Other Index Options'!$L:$L,'BSE - Other Index Options'!$C:$C,$A187,'BSE - Other Index Options'!$B:$B,B$147,'BSE - Other Index Options'!$H:$H,"MDAW*")=0,"",SUMIFS('BSE - SENSEX Index Options'!$L:$L,'BSE - SENSEX Index Options'!$C:$C,$A187,'BSE - SENSEX Index Options'!$B:$B,B$147,'BSE - SENSEX Index Options'!$H:$H,"Weekly*")+SUMIFS('BSE - SENSEX Index Options'!$L:$L,'BSE - SENSEX Index Options'!$C:$C,$A187,'BSE - SENSEX Index Options'!$B:$B,B$147,'BSE - SENSEX Index Options'!$H:$H,"MDAW*")+SUMIFS('BSE - Other Index Options'!$L:$L,'BSE - Other Index Options'!$C:$C,$A187,'BSE - Other Index Options'!$B:$B,B$147,'BSE - Other Index Options'!$H:$H,"Weekly*")+SUMIFS('BSE - Other Index Options'!$L:$L,'BSE - Other Index Options'!$C:$C,$A187,'BSE - Other Index Options'!$B:$B,B$147,'BSE - Other Index Options'!$H:$H,"MDAW*"))</f>
        <v>14948.78</v>
      </c>
      <c r="C187" s="26">
        <f>IF(SUMIFS('BSE - SENSEX Index Options'!$L:$L,'BSE - SENSEX Index Options'!$C:$C,$A187,'BSE - SENSEX Index Options'!$B:$B,C$147,'BSE - SENSEX Index Options'!$H:$H,"Weekly*")+SUMIFS('BSE - SENSEX Index Options'!$L:$L,'BSE - SENSEX Index Options'!$C:$C,$A187,'BSE - SENSEX Index Options'!$B:$B,C$147,'BSE - SENSEX Index Options'!$H:$H,"MDAW*")+SUMIFS('BSE - Other Index Options'!$L:$L,'BSE - Other Index Options'!$C:$C,$A187,'BSE - Other Index Options'!$B:$B,C$147,'BSE - Other Index Options'!$H:$H,"Weekly*")+SUMIFS('BSE - Other Index Options'!$L:$L,'BSE - Other Index Options'!$C:$C,$A187,'BSE - Other Index Options'!$B:$B,C$147,'BSE - Other Index Options'!$H:$H,"MDAW*")=0,"",SUMIFS('BSE - SENSEX Index Options'!$L:$L,'BSE - SENSEX Index Options'!$C:$C,$A187,'BSE - SENSEX Index Options'!$B:$B,C$147,'BSE - SENSEX Index Options'!$H:$H,"Weekly*")+SUMIFS('BSE - SENSEX Index Options'!$L:$L,'BSE - SENSEX Index Options'!$C:$C,$A187,'BSE - SENSEX Index Options'!$B:$B,C$147,'BSE - SENSEX Index Options'!$H:$H,"MDAW*")+SUMIFS('BSE - Other Index Options'!$L:$L,'BSE - Other Index Options'!$C:$C,$A187,'BSE - Other Index Options'!$B:$B,C$147,'BSE - Other Index Options'!$H:$H,"Weekly*")+SUMIFS('BSE - Other Index Options'!$L:$L,'BSE - Other Index Options'!$C:$C,$A187,'BSE - Other Index Options'!$B:$B,C$147,'BSE - Other Index Options'!$H:$H,"MDAW*"))</f>
        <v>11939.7</v>
      </c>
      <c r="D187" s="26">
        <f>IF(SUMIFS('BSE - SENSEX Index Options'!$L:$L,'BSE - SENSEX Index Options'!$C:$C,$A187,'BSE - SENSEX Index Options'!$B:$B,D$147,'BSE - SENSEX Index Options'!$H:$H,"Weekly*")+SUMIFS('BSE - SENSEX Index Options'!$L:$L,'BSE - SENSEX Index Options'!$C:$C,$A187,'BSE - SENSEX Index Options'!$B:$B,D$147,'BSE - SENSEX Index Options'!$H:$H,"MDAW*")+SUMIFS('BSE - Other Index Options'!$L:$L,'BSE - Other Index Options'!$C:$C,$A187,'BSE - Other Index Options'!$B:$B,D$147,'BSE - Other Index Options'!$H:$H,"Weekly*")+SUMIFS('BSE - Other Index Options'!$L:$L,'BSE - Other Index Options'!$C:$C,$A187,'BSE - Other Index Options'!$B:$B,D$147,'BSE - Other Index Options'!$H:$H,"MDAW*")=0,"",SUMIFS('BSE - SENSEX Index Options'!$L:$L,'BSE - SENSEX Index Options'!$C:$C,$A187,'BSE - SENSEX Index Options'!$B:$B,D$147,'BSE - SENSEX Index Options'!$H:$H,"Weekly*")+SUMIFS('BSE - SENSEX Index Options'!$L:$L,'BSE - SENSEX Index Options'!$C:$C,$A187,'BSE - SENSEX Index Options'!$B:$B,D$147,'BSE - SENSEX Index Options'!$H:$H,"MDAW*")+SUMIFS('BSE - Other Index Options'!$L:$L,'BSE - Other Index Options'!$C:$C,$A187,'BSE - Other Index Options'!$B:$B,D$147,'BSE - Other Index Options'!$H:$H,"Weekly*")+SUMIFS('BSE - Other Index Options'!$L:$L,'BSE - Other Index Options'!$C:$C,$A187,'BSE - Other Index Options'!$B:$B,D$147,'BSE - Other Index Options'!$H:$H,"MDAW*"))</f>
        <v>51066.09</v>
      </c>
      <c r="E187" s="26">
        <f>IF(SUMIFS('BSE - SENSEX Index Options'!$L:$L,'BSE - SENSEX Index Options'!$C:$C,$A187,'BSE - SENSEX Index Options'!$B:$B,E$147,'BSE - SENSEX Index Options'!$H:$H,"Weekly*")+SUMIFS('BSE - SENSEX Index Options'!$L:$L,'BSE - SENSEX Index Options'!$C:$C,$A187,'BSE - SENSEX Index Options'!$B:$B,E$147,'BSE - SENSEX Index Options'!$H:$H,"MDAW*")+SUMIFS('BSE - Other Index Options'!$L:$L,'BSE - Other Index Options'!$C:$C,$A187,'BSE - Other Index Options'!$B:$B,E$147,'BSE - Other Index Options'!$H:$H,"Weekly*")+SUMIFS('BSE - Other Index Options'!$L:$L,'BSE - Other Index Options'!$C:$C,$A187,'BSE - Other Index Options'!$B:$B,E$147,'BSE - Other Index Options'!$H:$H,"MDAW*")=0,"",SUMIFS('BSE - SENSEX Index Options'!$L:$L,'BSE - SENSEX Index Options'!$C:$C,$A187,'BSE - SENSEX Index Options'!$B:$B,E$147,'BSE - SENSEX Index Options'!$H:$H,"Weekly*")+SUMIFS('BSE - SENSEX Index Options'!$L:$L,'BSE - SENSEX Index Options'!$C:$C,$A187,'BSE - SENSEX Index Options'!$B:$B,E$147,'BSE - SENSEX Index Options'!$H:$H,"MDAW*")+SUMIFS('BSE - Other Index Options'!$L:$L,'BSE - Other Index Options'!$C:$C,$A187,'BSE - Other Index Options'!$B:$B,E$147,'BSE - Other Index Options'!$H:$H,"Weekly*")+SUMIFS('BSE - Other Index Options'!$L:$L,'BSE - Other Index Options'!$C:$C,$A187,'BSE - Other Index Options'!$B:$B,E$147,'BSE - Other Index Options'!$H:$H,"MDAW*"))</f>
        <v>76196.419999999984</v>
      </c>
      <c r="F187" s="26" t="str">
        <f>IF(SUMIFS('BSE - SENSEX Index Options'!$L:$L,'BSE - SENSEX Index Options'!$C:$C,$A187,'BSE - SENSEX Index Options'!$B:$B,F$147,'BSE - SENSEX Index Options'!$H:$H,"Weekly*")+SUMIFS('BSE - SENSEX Index Options'!$L:$L,'BSE - SENSEX Index Options'!$C:$C,$A187,'BSE - SENSEX Index Options'!$B:$B,F$147,'BSE - SENSEX Index Options'!$H:$H,"MDAW*")+SUMIFS('BSE - Other Index Options'!$L:$L,'BSE - Other Index Options'!$C:$C,$A187,'BSE - Other Index Options'!$B:$B,F$147,'BSE - Other Index Options'!$H:$H,"Weekly*")+SUMIFS('BSE - Other Index Options'!$L:$L,'BSE - Other Index Options'!$C:$C,$A187,'BSE - Other Index Options'!$B:$B,F$147,'BSE - Other Index Options'!$H:$H,"MDAW*")=0,"",SUMIFS('BSE - SENSEX Index Options'!$L:$L,'BSE - SENSEX Index Options'!$C:$C,$A187,'BSE - SENSEX Index Options'!$B:$B,F$147,'BSE - SENSEX Index Options'!$H:$H,"Weekly*")+SUMIFS('BSE - SENSEX Index Options'!$L:$L,'BSE - SENSEX Index Options'!$C:$C,$A187,'BSE - SENSEX Index Options'!$B:$B,F$147,'BSE - SENSEX Index Options'!$H:$H,"MDAW*")+SUMIFS('BSE - Other Index Options'!$L:$L,'BSE - Other Index Options'!$C:$C,$A187,'BSE - Other Index Options'!$B:$B,F$147,'BSE - Other Index Options'!$H:$H,"Weekly*")+SUMIFS('BSE - Other Index Options'!$L:$L,'BSE - Other Index Options'!$C:$C,$A187,'BSE - Other Index Options'!$B:$B,F$147,'BSE - Other Index Options'!$H:$H,"MDAW*"))</f>
        <v/>
      </c>
      <c r="G187" s="26" t="str">
        <f>IF(SUMIFS('BSE - SENSEX Index Options'!$L:$L,'BSE - SENSEX Index Options'!$C:$C,$A187,'BSE - SENSEX Index Options'!$B:$B,G$147,'BSE - SENSEX Index Options'!$H:$H,"Weekly*")+SUMIFS('BSE - SENSEX Index Options'!$L:$L,'BSE - SENSEX Index Options'!$C:$C,$A187,'BSE - SENSEX Index Options'!$B:$B,G$147,'BSE - SENSEX Index Options'!$H:$H,"MDAW*")+SUMIFS('BSE - Other Index Options'!$L:$L,'BSE - Other Index Options'!$C:$C,$A187,'BSE - Other Index Options'!$B:$B,G$147,'BSE - Other Index Options'!$H:$H,"Weekly*")+SUMIFS('BSE - Other Index Options'!$L:$L,'BSE - Other Index Options'!$C:$C,$A187,'BSE - Other Index Options'!$B:$B,G$147,'BSE - Other Index Options'!$H:$H,"MDAW*")=0,"",SUMIFS('BSE - SENSEX Index Options'!$L:$L,'BSE - SENSEX Index Options'!$C:$C,$A187,'BSE - SENSEX Index Options'!$B:$B,G$147,'BSE - SENSEX Index Options'!$H:$H,"Weekly*")+SUMIFS('BSE - SENSEX Index Options'!$L:$L,'BSE - SENSEX Index Options'!$C:$C,$A187,'BSE - SENSEX Index Options'!$B:$B,G$147,'BSE - SENSEX Index Options'!$H:$H,"MDAW*")+SUMIFS('BSE - Other Index Options'!$L:$L,'BSE - Other Index Options'!$C:$C,$A187,'BSE - Other Index Options'!$B:$B,G$147,'BSE - Other Index Options'!$H:$H,"Weekly*")+SUMIFS('BSE - Other Index Options'!$L:$L,'BSE - Other Index Options'!$C:$C,$A187,'BSE - Other Index Options'!$B:$B,G$147,'BSE - Other Index Options'!$H:$H,"MDAW*"))</f>
        <v/>
      </c>
      <c r="H187" s="26">
        <f t="shared" si="7"/>
        <v>154150.99</v>
      </c>
    </row>
    <row r="188" spans="1:8">
      <c r="A188" t="s">
        <v>50</v>
      </c>
      <c r="B188" s="26">
        <f>IF(SUMIFS('BSE - SENSEX Index Options'!$L:$L,'BSE - SENSEX Index Options'!$C:$C,$A188,'BSE - SENSEX Index Options'!$B:$B,B$147,'BSE - SENSEX Index Options'!$H:$H,"Weekly*")+SUMIFS('BSE - SENSEX Index Options'!$L:$L,'BSE - SENSEX Index Options'!$C:$C,$A188,'BSE - SENSEX Index Options'!$B:$B,B$147,'BSE - SENSEX Index Options'!$H:$H,"MDAW*")+SUMIFS('BSE - Other Index Options'!$L:$L,'BSE - Other Index Options'!$C:$C,$A188,'BSE - Other Index Options'!$B:$B,B$147,'BSE - Other Index Options'!$H:$H,"Weekly*")+SUMIFS('BSE - Other Index Options'!$L:$L,'BSE - Other Index Options'!$C:$C,$A188,'BSE - Other Index Options'!$B:$B,B$147,'BSE - Other Index Options'!$H:$H,"MDAW*")=0,"",SUMIFS('BSE - SENSEX Index Options'!$L:$L,'BSE - SENSEX Index Options'!$C:$C,$A188,'BSE - SENSEX Index Options'!$B:$B,B$147,'BSE - SENSEX Index Options'!$H:$H,"Weekly*")+SUMIFS('BSE - SENSEX Index Options'!$L:$L,'BSE - SENSEX Index Options'!$C:$C,$A188,'BSE - SENSEX Index Options'!$B:$B,B$147,'BSE - SENSEX Index Options'!$H:$H,"MDAW*")+SUMIFS('BSE - Other Index Options'!$L:$L,'BSE - Other Index Options'!$C:$C,$A188,'BSE - Other Index Options'!$B:$B,B$147,'BSE - Other Index Options'!$H:$H,"Weekly*")+SUMIFS('BSE - Other Index Options'!$L:$L,'BSE - Other Index Options'!$C:$C,$A188,'BSE - Other Index Options'!$B:$B,B$147,'BSE - Other Index Options'!$H:$H,"MDAW*"))</f>
        <v>11670.9</v>
      </c>
      <c r="C188" s="26">
        <f>IF(SUMIFS('BSE - SENSEX Index Options'!$L:$L,'BSE - SENSEX Index Options'!$C:$C,$A188,'BSE - SENSEX Index Options'!$B:$B,C$147,'BSE - SENSEX Index Options'!$H:$H,"Weekly*")+SUMIFS('BSE - SENSEX Index Options'!$L:$L,'BSE - SENSEX Index Options'!$C:$C,$A188,'BSE - SENSEX Index Options'!$B:$B,C$147,'BSE - SENSEX Index Options'!$H:$H,"MDAW*")+SUMIFS('BSE - Other Index Options'!$L:$L,'BSE - Other Index Options'!$C:$C,$A188,'BSE - Other Index Options'!$B:$B,C$147,'BSE - Other Index Options'!$H:$H,"Weekly*")+SUMIFS('BSE - Other Index Options'!$L:$L,'BSE - Other Index Options'!$C:$C,$A188,'BSE - Other Index Options'!$B:$B,C$147,'BSE - Other Index Options'!$H:$H,"MDAW*")=0,"",SUMIFS('BSE - SENSEX Index Options'!$L:$L,'BSE - SENSEX Index Options'!$C:$C,$A188,'BSE - SENSEX Index Options'!$B:$B,C$147,'BSE - SENSEX Index Options'!$H:$H,"Weekly*")+SUMIFS('BSE - SENSEX Index Options'!$L:$L,'BSE - SENSEX Index Options'!$C:$C,$A188,'BSE - SENSEX Index Options'!$B:$B,C$147,'BSE - SENSEX Index Options'!$H:$H,"MDAW*")+SUMIFS('BSE - Other Index Options'!$L:$L,'BSE - Other Index Options'!$C:$C,$A188,'BSE - Other Index Options'!$B:$B,C$147,'BSE - Other Index Options'!$H:$H,"Weekly*")+SUMIFS('BSE - Other Index Options'!$L:$L,'BSE - Other Index Options'!$C:$C,$A188,'BSE - Other Index Options'!$B:$B,C$147,'BSE - Other Index Options'!$H:$H,"MDAW*"))</f>
        <v>12030.850000000002</v>
      </c>
      <c r="D188" s="26">
        <f>IF(SUMIFS('BSE - SENSEX Index Options'!$L:$L,'BSE - SENSEX Index Options'!$C:$C,$A188,'BSE - SENSEX Index Options'!$B:$B,D$147,'BSE - SENSEX Index Options'!$H:$H,"Weekly*")+SUMIFS('BSE - SENSEX Index Options'!$L:$L,'BSE - SENSEX Index Options'!$C:$C,$A188,'BSE - SENSEX Index Options'!$B:$B,D$147,'BSE - SENSEX Index Options'!$H:$H,"MDAW*")+SUMIFS('BSE - Other Index Options'!$L:$L,'BSE - Other Index Options'!$C:$C,$A188,'BSE - Other Index Options'!$B:$B,D$147,'BSE - Other Index Options'!$H:$H,"Weekly*")+SUMIFS('BSE - Other Index Options'!$L:$L,'BSE - Other Index Options'!$C:$C,$A188,'BSE - Other Index Options'!$B:$B,D$147,'BSE - Other Index Options'!$H:$H,"MDAW*")=0,"",SUMIFS('BSE - SENSEX Index Options'!$L:$L,'BSE - SENSEX Index Options'!$C:$C,$A188,'BSE - SENSEX Index Options'!$B:$B,D$147,'BSE - SENSEX Index Options'!$H:$H,"Weekly*")+SUMIFS('BSE - SENSEX Index Options'!$L:$L,'BSE - SENSEX Index Options'!$C:$C,$A188,'BSE - SENSEX Index Options'!$B:$B,D$147,'BSE - SENSEX Index Options'!$H:$H,"MDAW*")+SUMIFS('BSE - Other Index Options'!$L:$L,'BSE - Other Index Options'!$C:$C,$A188,'BSE - Other Index Options'!$B:$B,D$147,'BSE - Other Index Options'!$H:$H,"Weekly*")+SUMIFS('BSE - Other Index Options'!$L:$L,'BSE - Other Index Options'!$C:$C,$A188,'BSE - Other Index Options'!$B:$B,D$147,'BSE - Other Index Options'!$H:$H,"MDAW*"))</f>
        <v>53200</v>
      </c>
      <c r="E188" s="26">
        <f>IF(SUMIFS('BSE - SENSEX Index Options'!$L:$L,'BSE - SENSEX Index Options'!$C:$C,$A188,'BSE - SENSEX Index Options'!$B:$B,E$147,'BSE - SENSEX Index Options'!$H:$H,"Weekly*")+SUMIFS('BSE - SENSEX Index Options'!$L:$L,'BSE - SENSEX Index Options'!$C:$C,$A188,'BSE - SENSEX Index Options'!$B:$B,E$147,'BSE - SENSEX Index Options'!$H:$H,"MDAW*")+SUMIFS('BSE - Other Index Options'!$L:$L,'BSE - Other Index Options'!$C:$C,$A188,'BSE - Other Index Options'!$B:$B,E$147,'BSE - Other Index Options'!$H:$H,"Weekly*")+SUMIFS('BSE - Other Index Options'!$L:$L,'BSE - Other Index Options'!$C:$C,$A188,'BSE - Other Index Options'!$B:$B,E$147,'BSE - Other Index Options'!$H:$H,"MDAW*")=0,"",SUMIFS('BSE - SENSEX Index Options'!$L:$L,'BSE - SENSEX Index Options'!$C:$C,$A188,'BSE - SENSEX Index Options'!$B:$B,E$147,'BSE - SENSEX Index Options'!$H:$H,"Weekly*")+SUMIFS('BSE - SENSEX Index Options'!$L:$L,'BSE - SENSEX Index Options'!$C:$C,$A188,'BSE - SENSEX Index Options'!$B:$B,E$147,'BSE - SENSEX Index Options'!$H:$H,"MDAW*")+SUMIFS('BSE - Other Index Options'!$L:$L,'BSE - Other Index Options'!$C:$C,$A188,'BSE - Other Index Options'!$B:$B,E$147,'BSE - Other Index Options'!$H:$H,"Weekly*")+SUMIFS('BSE - Other Index Options'!$L:$L,'BSE - Other Index Options'!$C:$C,$A188,'BSE - Other Index Options'!$B:$B,E$147,'BSE - Other Index Options'!$H:$H,"MDAW*"))</f>
        <v>78713.650000000009</v>
      </c>
      <c r="F188" s="26">
        <f>IF(SUMIFS('BSE - SENSEX Index Options'!$L:$L,'BSE - SENSEX Index Options'!$C:$C,$A188,'BSE - SENSEX Index Options'!$B:$B,F$147,'BSE - SENSEX Index Options'!$H:$H,"Weekly*")+SUMIFS('BSE - SENSEX Index Options'!$L:$L,'BSE - SENSEX Index Options'!$C:$C,$A188,'BSE - SENSEX Index Options'!$B:$B,F$147,'BSE - SENSEX Index Options'!$H:$H,"MDAW*")+SUMIFS('BSE - Other Index Options'!$L:$L,'BSE - Other Index Options'!$C:$C,$A188,'BSE - Other Index Options'!$B:$B,F$147,'BSE - Other Index Options'!$H:$H,"Weekly*")+SUMIFS('BSE - Other Index Options'!$L:$L,'BSE - Other Index Options'!$C:$C,$A188,'BSE - Other Index Options'!$B:$B,F$147,'BSE - Other Index Options'!$H:$H,"MDAW*")=0,"",SUMIFS('BSE - SENSEX Index Options'!$L:$L,'BSE - SENSEX Index Options'!$C:$C,$A188,'BSE - SENSEX Index Options'!$B:$B,F$147,'BSE - SENSEX Index Options'!$H:$H,"Weekly*")+SUMIFS('BSE - SENSEX Index Options'!$L:$L,'BSE - SENSEX Index Options'!$C:$C,$A188,'BSE - SENSEX Index Options'!$B:$B,F$147,'BSE - SENSEX Index Options'!$H:$H,"MDAW*")+SUMIFS('BSE - Other Index Options'!$L:$L,'BSE - Other Index Options'!$C:$C,$A188,'BSE - Other Index Options'!$B:$B,F$147,'BSE - Other Index Options'!$H:$H,"Weekly*")+SUMIFS('BSE - Other Index Options'!$L:$L,'BSE - Other Index Options'!$C:$C,$A188,'BSE - Other Index Options'!$B:$B,F$147,'BSE - Other Index Options'!$H:$H,"MDAW*"))</f>
        <v>10923.830000000002</v>
      </c>
      <c r="G188" s="26" t="str">
        <f>IF(SUMIFS('BSE - SENSEX Index Options'!$L:$L,'BSE - SENSEX Index Options'!$C:$C,$A188,'BSE - SENSEX Index Options'!$B:$B,G$147,'BSE - SENSEX Index Options'!$H:$H,"Weekly*")+SUMIFS('BSE - SENSEX Index Options'!$L:$L,'BSE - SENSEX Index Options'!$C:$C,$A188,'BSE - SENSEX Index Options'!$B:$B,G$147,'BSE - SENSEX Index Options'!$H:$H,"MDAW*")+SUMIFS('BSE - Other Index Options'!$L:$L,'BSE - Other Index Options'!$C:$C,$A188,'BSE - Other Index Options'!$B:$B,G$147,'BSE - Other Index Options'!$H:$H,"Weekly*")+SUMIFS('BSE - Other Index Options'!$L:$L,'BSE - Other Index Options'!$C:$C,$A188,'BSE - Other Index Options'!$B:$B,G$147,'BSE - Other Index Options'!$H:$H,"MDAW*")=0,"",SUMIFS('BSE - SENSEX Index Options'!$L:$L,'BSE - SENSEX Index Options'!$C:$C,$A188,'BSE - SENSEX Index Options'!$B:$B,G$147,'BSE - SENSEX Index Options'!$H:$H,"Weekly*")+SUMIFS('BSE - SENSEX Index Options'!$L:$L,'BSE - SENSEX Index Options'!$C:$C,$A188,'BSE - SENSEX Index Options'!$B:$B,G$147,'BSE - SENSEX Index Options'!$H:$H,"MDAW*")+SUMIFS('BSE - Other Index Options'!$L:$L,'BSE - Other Index Options'!$C:$C,$A188,'BSE - Other Index Options'!$B:$B,G$147,'BSE - Other Index Options'!$H:$H,"Weekly*")+SUMIFS('BSE - Other Index Options'!$L:$L,'BSE - Other Index Options'!$C:$C,$A188,'BSE - Other Index Options'!$B:$B,G$147,'BSE - Other Index Options'!$H:$H,"MDAW*"))</f>
        <v/>
      </c>
      <c r="H188" s="26">
        <f t="shared" si="7"/>
        <v>166539.23000000004</v>
      </c>
    </row>
    <row r="189" spans="1:8">
      <c r="A189" t="s">
        <v>51</v>
      </c>
      <c r="B189" s="26">
        <f>IF(SUMIFS('BSE - SENSEX Index Options'!$L:$L,'BSE - SENSEX Index Options'!$C:$C,$A189,'BSE - SENSEX Index Options'!$B:$B,B$147,'BSE - SENSEX Index Options'!$H:$H,"Weekly*")+SUMIFS('BSE - SENSEX Index Options'!$L:$L,'BSE - SENSEX Index Options'!$C:$C,$A189,'BSE - SENSEX Index Options'!$B:$B,B$147,'BSE - SENSEX Index Options'!$H:$H,"MDAW*")+SUMIFS('BSE - Other Index Options'!$L:$L,'BSE - Other Index Options'!$C:$C,$A189,'BSE - Other Index Options'!$B:$B,B$147,'BSE - Other Index Options'!$H:$H,"Weekly*")+SUMIFS('BSE - Other Index Options'!$L:$L,'BSE - Other Index Options'!$C:$C,$A189,'BSE - Other Index Options'!$B:$B,B$147,'BSE - Other Index Options'!$H:$H,"MDAW*")=0,"",SUMIFS('BSE - SENSEX Index Options'!$L:$L,'BSE - SENSEX Index Options'!$C:$C,$A189,'BSE - SENSEX Index Options'!$B:$B,B$147,'BSE - SENSEX Index Options'!$H:$H,"Weekly*")+SUMIFS('BSE - SENSEX Index Options'!$L:$L,'BSE - SENSEX Index Options'!$C:$C,$A189,'BSE - SENSEX Index Options'!$B:$B,B$147,'BSE - SENSEX Index Options'!$H:$H,"MDAW*")+SUMIFS('BSE - Other Index Options'!$L:$L,'BSE - Other Index Options'!$C:$C,$A189,'BSE - Other Index Options'!$B:$B,B$147,'BSE - Other Index Options'!$H:$H,"Weekly*")+SUMIFS('BSE - Other Index Options'!$L:$L,'BSE - Other Index Options'!$C:$C,$A189,'BSE - Other Index Options'!$B:$B,B$147,'BSE - Other Index Options'!$H:$H,"MDAW*"))</f>
        <v>15604.460000000001</v>
      </c>
      <c r="C189" s="26">
        <f>IF(SUMIFS('BSE - SENSEX Index Options'!$L:$L,'BSE - SENSEX Index Options'!$C:$C,$A189,'BSE - SENSEX Index Options'!$B:$B,C$147,'BSE - SENSEX Index Options'!$H:$H,"Weekly*")+SUMIFS('BSE - SENSEX Index Options'!$L:$L,'BSE - SENSEX Index Options'!$C:$C,$A189,'BSE - SENSEX Index Options'!$B:$B,C$147,'BSE - SENSEX Index Options'!$H:$H,"MDAW*")+SUMIFS('BSE - Other Index Options'!$L:$L,'BSE - Other Index Options'!$C:$C,$A189,'BSE - Other Index Options'!$B:$B,C$147,'BSE - Other Index Options'!$H:$H,"Weekly*")+SUMIFS('BSE - Other Index Options'!$L:$L,'BSE - Other Index Options'!$C:$C,$A189,'BSE - Other Index Options'!$B:$B,C$147,'BSE - Other Index Options'!$H:$H,"MDAW*")=0,"",SUMIFS('BSE - SENSEX Index Options'!$L:$L,'BSE - SENSEX Index Options'!$C:$C,$A189,'BSE - SENSEX Index Options'!$B:$B,C$147,'BSE - SENSEX Index Options'!$H:$H,"Weekly*")+SUMIFS('BSE - SENSEX Index Options'!$L:$L,'BSE - SENSEX Index Options'!$C:$C,$A189,'BSE - SENSEX Index Options'!$B:$B,C$147,'BSE - SENSEX Index Options'!$H:$H,"MDAW*")+SUMIFS('BSE - Other Index Options'!$L:$L,'BSE - Other Index Options'!$C:$C,$A189,'BSE - Other Index Options'!$B:$B,C$147,'BSE - Other Index Options'!$H:$H,"Weekly*")+SUMIFS('BSE - Other Index Options'!$L:$L,'BSE - Other Index Options'!$C:$C,$A189,'BSE - Other Index Options'!$B:$B,C$147,'BSE - Other Index Options'!$H:$H,"MDAW*"))</f>
        <v>11399.87</v>
      </c>
      <c r="D189" s="26">
        <f>IF(SUMIFS('BSE - SENSEX Index Options'!$L:$L,'BSE - SENSEX Index Options'!$C:$C,$A189,'BSE - SENSEX Index Options'!$B:$B,D$147,'BSE - SENSEX Index Options'!$H:$H,"Weekly*")+SUMIFS('BSE - SENSEX Index Options'!$L:$L,'BSE - SENSEX Index Options'!$C:$C,$A189,'BSE - SENSEX Index Options'!$B:$B,D$147,'BSE - SENSEX Index Options'!$H:$H,"MDAW*")+SUMIFS('BSE - Other Index Options'!$L:$L,'BSE - Other Index Options'!$C:$C,$A189,'BSE - Other Index Options'!$B:$B,D$147,'BSE - Other Index Options'!$H:$H,"Weekly*")+SUMIFS('BSE - Other Index Options'!$L:$L,'BSE - Other Index Options'!$C:$C,$A189,'BSE - Other Index Options'!$B:$B,D$147,'BSE - Other Index Options'!$H:$H,"MDAW*")=0,"",SUMIFS('BSE - SENSEX Index Options'!$L:$L,'BSE - SENSEX Index Options'!$C:$C,$A189,'BSE - SENSEX Index Options'!$B:$B,D$147,'BSE - SENSEX Index Options'!$H:$H,"Weekly*")+SUMIFS('BSE - SENSEX Index Options'!$L:$L,'BSE - SENSEX Index Options'!$C:$C,$A189,'BSE - SENSEX Index Options'!$B:$B,D$147,'BSE - SENSEX Index Options'!$H:$H,"MDAW*")+SUMIFS('BSE - Other Index Options'!$L:$L,'BSE - Other Index Options'!$C:$C,$A189,'BSE - Other Index Options'!$B:$B,D$147,'BSE - Other Index Options'!$H:$H,"Weekly*")+SUMIFS('BSE - Other Index Options'!$L:$L,'BSE - Other Index Options'!$C:$C,$A189,'BSE - Other Index Options'!$B:$B,D$147,'BSE - Other Index Options'!$H:$H,"MDAW*"))</f>
        <v>41960.800000000003</v>
      </c>
      <c r="E189" s="26">
        <f>IF(SUMIFS('BSE - SENSEX Index Options'!$L:$L,'BSE - SENSEX Index Options'!$C:$C,$A189,'BSE - SENSEX Index Options'!$B:$B,E$147,'BSE - SENSEX Index Options'!$H:$H,"Weekly*")+SUMIFS('BSE - SENSEX Index Options'!$L:$L,'BSE - SENSEX Index Options'!$C:$C,$A189,'BSE - SENSEX Index Options'!$B:$B,E$147,'BSE - SENSEX Index Options'!$H:$H,"MDAW*")+SUMIFS('BSE - Other Index Options'!$L:$L,'BSE - Other Index Options'!$C:$C,$A189,'BSE - Other Index Options'!$B:$B,E$147,'BSE - Other Index Options'!$H:$H,"Weekly*")+SUMIFS('BSE - Other Index Options'!$L:$L,'BSE - Other Index Options'!$C:$C,$A189,'BSE - Other Index Options'!$B:$B,E$147,'BSE - Other Index Options'!$H:$H,"MDAW*")=0,"",SUMIFS('BSE - SENSEX Index Options'!$L:$L,'BSE - SENSEX Index Options'!$C:$C,$A189,'BSE - SENSEX Index Options'!$B:$B,E$147,'BSE - SENSEX Index Options'!$H:$H,"Weekly*")+SUMIFS('BSE - SENSEX Index Options'!$L:$L,'BSE - SENSEX Index Options'!$C:$C,$A189,'BSE - SENSEX Index Options'!$B:$B,E$147,'BSE - SENSEX Index Options'!$H:$H,"MDAW*")+SUMIFS('BSE - Other Index Options'!$L:$L,'BSE - Other Index Options'!$C:$C,$A189,'BSE - Other Index Options'!$B:$B,E$147,'BSE - Other Index Options'!$H:$H,"Weekly*")+SUMIFS('BSE - Other Index Options'!$L:$L,'BSE - Other Index Options'!$C:$C,$A189,'BSE - Other Index Options'!$B:$B,E$147,'BSE - Other Index Options'!$H:$H,"MDAW*"))</f>
        <v>66667.83</v>
      </c>
      <c r="F189" s="26">
        <f>IF(SUMIFS('BSE - SENSEX Index Options'!$L:$L,'BSE - SENSEX Index Options'!$C:$C,$A189,'BSE - SENSEX Index Options'!$B:$B,F$147,'BSE - SENSEX Index Options'!$H:$H,"Weekly*")+SUMIFS('BSE - SENSEX Index Options'!$L:$L,'BSE - SENSEX Index Options'!$C:$C,$A189,'BSE - SENSEX Index Options'!$B:$B,F$147,'BSE - SENSEX Index Options'!$H:$H,"MDAW*")+SUMIFS('BSE - Other Index Options'!$L:$L,'BSE - Other Index Options'!$C:$C,$A189,'BSE - Other Index Options'!$B:$B,F$147,'BSE - Other Index Options'!$H:$H,"Weekly*")+SUMIFS('BSE - Other Index Options'!$L:$L,'BSE - Other Index Options'!$C:$C,$A189,'BSE - Other Index Options'!$B:$B,F$147,'BSE - Other Index Options'!$H:$H,"MDAW*")=0,"",SUMIFS('BSE - SENSEX Index Options'!$L:$L,'BSE - SENSEX Index Options'!$C:$C,$A189,'BSE - SENSEX Index Options'!$B:$B,F$147,'BSE - SENSEX Index Options'!$H:$H,"Weekly*")+SUMIFS('BSE - SENSEX Index Options'!$L:$L,'BSE - SENSEX Index Options'!$C:$C,$A189,'BSE - SENSEX Index Options'!$B:$B,F$147,'BSE - SENSEX Index Options'!$H:$H,"MDAW*")+SUMIFS('BSE - Other Index Options'!$L:$L,'BSE - Other Index Options'!$C:$C,$A189,'BSE - Other Index Options'!$B:$B,F$147,'BSE - Other Index Options'!$H:$H,"Weekly*")+SUMIFS('BSE - Other Index Options'!$L:$L,'BSE - Other Index Options'!$C:$C,$A189,'BSE - Other Index Options'!$B:$B,F$147,'BSE - Other Index Options'!$H:$H,"MDAW*"))</f>
        <v>12788.550000000001</v>
      </c>
      <c r="G189" s="26" t="str">
        <f>IF(SUMIFS('BSE - SENSEX Index Options'!$L:$L,'BSE - SENSEX Index Options'!$C:$C,$A189,'BSE - SENSEX Index Options'!$B:$B,G$147,'BSE - SENSEX Index Options'!$H:$H,"Weekly*")+SUMIFS('BSE - SENSEX Index Options'!$L:$L,'BSE - SENSEX Index Options'!$C:$C,$A189,'BSE - SENSEX Index Options'!$B:$B,G$147,'BSE - SENSEX Index Options'!$H:$H,"MDAW*")+SUMIFS('BSE - Other Index Options'!$L:$L,'BSE - Other Index Options'!$C:$C,$A189,'BSE - Other Index Options'!$B:$B,G$147,'BSE - Other Index Options'!$H:$H,"Weekly*")+SUMIFS('BSE - Other Index Options'!$L:$L,'BSE - Other Index Options'!$C:$C,$A189,'BSE - Other Index Options'!$B:$B,G$147,'BSE - Other Index Options'!$H:$H,"MDAW*")=0,"",SUMIFS('BSE - SENSEX Index Options'!$L:$L,'BSE - SENSEX Index Options'!$C:$C,$A189,'BSE - SENSEX Index Options'!$B:$B,G$147,'BSE - SENSEX Index Options'!$H:$H,"Weekly*")+SUMIFS('BSE - SENSEX Index Options'!$L:$L,'BSE - SENSEX Index Options'!$C:$C,$A189,'BSE - SENSEX Index Options'!$B:$B,G$147,'BSE - SENSEX Index Options'!$H:$H,"MDAW*")+SUMIFS('BSE - Other Index Options'!$L:$L,'BSE - Other Index Options'!$C:$C,$A189,'BSE - Other Index Options'!$B:$B,G$147,'BSE - Other Index Options'!$H:$H,"Weekly*")+SUMIFS('BSE - Other Index Options'!$L:$L,'BSE - Other Index Options'!$C:$C,$A189,'BSE - Other Index Options'!$B:$B,G$147,'BSE - Other Index Options'!$H:$H,"MDAW*"))</f>
        <v/>
      </c>
      <c r="H189" s="26">
        <f t="shared" si="7"/>
        <v>148421.51</v>
      </c>
    </row>
    <row r="190" spans="1:8">
      <c r="A190" t="s">
        <v>52</v>
      </c>
      <c r="B190" s="26">
        <f>IF(SUMIFS('BSE - SENSEX Index Options'!$L:$L,'BSE - SENSEX Index Options'!$C:$C,$A190,'BSE - SENSEX Index Options'!$B:$B,B$147,'BSE - SENSEX Index Options'!$H:$H,"Weekly*")+SUMIFS('BSE - SENSEX Index Options'!$L:$L,'BSE - SENSEX Index Options'!$C:$C,$A190,'BSE - SENSEX Index Options'!$B:$B,B$147,'BSE - SENSEX Index Options'!$H:$H,"MDAW*")+SUMIFS('BSE - Other Index Options'!$L:$L,'BSE - Other Index Options'!$C:$C,$A190,'BSE - Other Index Options'!$B:$B,B$147,'BSE - Other Index Options'!$H:$H,"Weekly*")+SUMIFS('BSE - Other Index Options'!$L:$L,'BSE - Other Index Options'!$C:$C,$A190,'BSE - Other Index Options'!$B:$B,B$147,'BSE - Other Index Options'!$H:$H,"MDAW*")=0,"",SUMIFS('BSE - SENSEX Index Options'!$L:$L,'BSE - SENSEX Index Options'!$C:$C,$A190,'BSE - SENSEX Index Options'!$B:$B,B$147,'BSE - SENSEX Index Options'!$H:$H,"Weekly*")+SUMIFS('BSE - SENSEX Index Options'!$L:$L,'BSE - SENSEX Index Options'!$C:$C,$A190,'BSE - SENSEX Index Options'!$B:$B,B$147,'BSE - SENSEX Index Options'!$H:$H,"MDAW*")+SUMIFS('BSE - Other Index Options'!$L:$L,'BSE - Other Index Options'!$C:$C,$A190,'BSE - Other Index Options'!$B:$B,B$147,'BSE - Other Index Options'!$H:$H,"Weekly*")+SUMIFS('BSE - Other Index Options'!$L:$L,'BSE - Other Index Options'!$C:$C,$A190,'BSE - Other Index Options'!$B:$B,B$147,'BSE - Other Index Options'!$H:$H,"MDAW*"))</f>
        <v>9312.7599999999984</v>
      </c>
      <c r="C190" s="26">
        <f>IF(SUMIFS('BSE - SENSEX Index Options'!$L:$L,'BSE - SENSEX Index Options'!$C:$C,$A190,'BSE - SENSEX Index Options'!$B:$B,C$147,'BSE - SENSEX Index Options'!$H:$H,"Weekly*")+SUMIFS('BSE - SENSEX Index Options'!$L:$L,'BSE - SENSEX Index Options'!$C:$C,$A190,'BSE - SENSEX Index Options'!$B:$B,C$147,'BSE - SENSEX Index Options'!$H:$H,"MDAW*")+SUMIFS('BSE - Other Index Options'!$L:$L,'BSE - Other Index Options'!$C:$C,$A190,'BSE - Other Index Options'!$B:$B,C$147,'BSE - Other Index Options'!$H:$H,"Weekly*")+SUMIFS('BSE - Other Index Options'!$L:$L,'BSE - Other Index Options'!$C:$C,$A190,'BSE - Other Index Options'!$B:$B,C$147,'BSE - Other Index Options'!$H:$H,"MDAW*")=0,"",SUMIFS('BSE - SENSEX Index Options'!$L:$L,'BSE - SENSEX Index Options'!$C:$C,$A190,'BSE - SENSEX Index Options'!$B:$B,C$147,'BSE - SENSEX Index Options'!$H:$H,"Weekly*")+SUMIFS('BSE - SENSEX Index Options'!$L:$L,'BSE - SENSEX Index Options'!$C:$C,$A190,'BSE - SENSEX Index Options'!$B:$B,C$147,'BSE - SENSEX Index Options'!$H:$H,"MDAW*")+SUMIFS('BSE - Other Index Options'!$L:$L,'BSE - Other Index Options'!$C:$C,$A190,'BSE - Other Index Options'!$B:$B,C$147,'BSE - Other Index Options'!$H:$H,"Weekly*")+SUMIFS('BSE - Other Index Options'!$L:$L,'BSE - Other Index Options'!$C:$C,$A190,'BSE - Other Index Options'!$B:$B,C$147,'BSE - Other Index Options'!$H:$H,"MDAW*"))</f>
        <v>10280.800000000001</v>
      </c>
      <c r="D190" s="26">
        <f>IF(SUMIFS('BSE - SENSEX Index Options'!$L:$L,'BSE - SENSEX Index Options'!$C:$C,$A190,'BSE - SENSEX Index Options'!$B:$B,D$147,'BSE - SENSEX Index Options'!$H:$H,"Weekly*")+SUMIFS('BSE - SENSEX Index Options'!$L:$L,'BSE - SENSEX Index Options'!$C:$C,$A190,'BSE - SENSEX Index Options'!$B:$B,D$147,'BSE - SENSEX Index Options'!$H:$H,"MDAW*")+SUMIFS('BSE - Other Index Options'!$L:$L,'BSE - Other Index Options'!$C:$C,$A190,'BSE - Other Index Options'!$B:$B,D$147,'BSE - Other Index Options'!$H:$H,"Weekly*")+SUMIFS('BSE - Other Index Options'!$L:$L,'BSE - Other Index Options'!$C:$C,$A190,'BSE - Other Index Options'!$B:$B,D$147,'BSE - Other Index Options'!$H:$H,"MDAW*")=0,"",SUMIFS('BSE - SENSEX Index Options'!$L:$L,'BSE - SENSEX Index Options'!$C:$C,$A190,'BSE - SENSEX Index Options'!$B:$B,D$147,'BSE - SENSEX Index Options'!$H:$H,"Weekly*")+SUMIFS('BSE - SENSEX Index Options'!$L:$L,'BSE - SENSEX Index Options'!$C:$C,$A190,'BSE - SENSEX Index Options'!$B:$B,D$147,'BSE - SENSEX Index Options'!$H:$H,"MDAW*")+SUMIFS('BSE - Other Index Options'!$L:$L,'BSE - Other Index Options'!$C:$C,$A190,'BSE - Other Index Options'!$B:$B,D$147,'BSE - Other Index Options'!$H:$H,"Weekly*")+SUMIFS('BSE - Other Index Options'!$L:$L,'BSE - Other Index Options'!$C:$C,$A190,'BSE - Other Index Options'!$B:$B,D$147,'BSE - Other Index Options'!$H:$H,"MDAW*"))</f>
        <v>50587.65</v>
      </c>
      <c r="E190" s="26" t="str">
        <f>IF(SUMIFS('BSE - SENSEX Index Options'!$L:$L,'BSE - SENSEX Index Options'!$C:$C,$A190,'BSE - SENSEX Index Options'!$B:$B,E$147,'BSE - SENSEX Index Options'!$H:$H,"Weekly*")+SUMIFS('BSE - SENSEX Index Options'!$L:$L,'BSE - SENSEX Index Options'!$C:$C,$A190,'BSE - SENSEX Index Options'!$B:$B,E$147,'BSE - SENSEX Index Options'!$H:$H,"MDAW*")+SUMIFS('BSE - Other Index Options'!$L:$L,'BSE - Other Index Options'!$C:$C,$A190,'BSE - Other Index Options'!$B:$B,E$147,'BSE - Other Index Options'!$H:$H,"Weekly*")+SUMIFS('BSE - Other Index Options'!$L:$L,'BSE - Other Index Options'!$C:$C,$A190,'BSE - Other Index Options'!$B:$B,E$147,'BSE - Other Index Options'!$H:$H,"MDAW*")=0,"",SUMIFS('BSE - SENSEX Index Options'!$L:$L,'BSE - SENSEX Index Options'!$C:$C,$A190,'BSE - SENSEX Index Options'!$B:$B,E$147,'BSE - SENSEX Index Options'!$H:$H,"Weekly*")+SUMIFS('BSE - SENSEX Index Options'!$L:$L,'BSE - SENSEX Index Options'!$C:$C,$A190,'BSE - SENSEX Index Options'!$B:$B,E$147,'BSE - SENSEX Index Options'!$H:$H,"MDAW*")+SUMIFS('BSE - Other Index Options'!$L:$L,'BSE - Other Index Options'!$C:$C,$A190,'BSE - Other Index Options'!$B:$B,E$147,'BSE - Other Index Options'!$H:$H,"Weekly*")+SUMIFS('BSE - Other Index Options'!$L:$L,'BSE - Other Index Options'!$C:$C,$A190,'BSE - Other Index Options'!$B:$B,E$147,'BSE - Other Index Options'!$H:$H,"MDAW*"))</f>
        <v/>
      </c>
      <c r="F190" s="26">
        <f>IF(SUMIFS('BSE - SENSEX Index Options'!$L:$L,'BSE - SENSEX Index Options'!$C:$C,$A190,'BSE - SENSEX Index Options'!$B:$B,F$147,'BSE - SENSEX Index Options'!$H:$H,"Weekly*")+SUMIFS('BSE - SENSEX Index Options'!$L:$L,'BSE - SENSEX Index Options'!$C:$C,$A190,'BSE - SENSEX Index Options'!$B:$B,F$147,'BSE - SENSEX Index Options'!$H:$H,"MDAW*")+SUMIFS('BSE - Other Index Options'!$L:$L,'BSE - Other Index Options'!$C:$C,$A190,'BSE - Other Index Options'!$B:$B,F$147,'BSE - Other Index Options'!$H:$H,"Weekly*")+SUMIFS('BSE - Other Index Options'!$L:$L,'BSE - Other Index Options'!$C:$C,$A190,'BSE - Other Index Options'!$B:$B,F$147,'BSE - Other Index Options'!$H:$H,"MDAW*")=0,"",SUMIFS('BSE - SENSEX Index Options'!$L:$L,'BSE - SENSEX Index Options'!$C:$C,$A190,'BSE - SENSEX Index Options'!$B:$B,F$147,'BSE - SENSEX Index Options'!$H:$H,"Weekly*")+SUMIFS('BSE - SENSEX Index Options'!$L:$L,'BSE - SENSEX Index Options'!$C:$C,$A190,'BSE - SENSEX Index Options'!$B:$B,F$147,'BSE - SENSEX Index Options'!$H:$H,"MDAW*")+SUMIFS('BSE - Other Index Options'!$L:$L,'BSE - Other Index Options'!$C:$C,$A190,'BSE - Other Index Options'!$B:$B,F$147,'BSE - Other Index Options'!$H:$H,"Weekly*")+SUMIFS('BSE - Other Index Options'!$L:$L,'BSE - Other Index Options'!$C:$C,$A190,'BSE - Other Index Options'!$B:$B,F$147,'BSE - Other Index Options'!$H:$H,"MDAW*"))</f>
        <v>9639.0099999999984</v>
      </c>
      <c r="G190" s="26" t="str">
        <f>IF(SUMIFS('BSE - SENSEX Index Options'!$L:$L,'BSE - SENSEX Index Options'!$C:$C,$A190,'BSE - SENSEX Index Options'!$B:$B,G$147,'BSE - SENSEX Index Options'!$H:$H,"Weekly*")+SUMIFS('BSE - SENSEX Index Options'!$L:$L,'BSE - SENSEX Index Options'!$C:$C,$A190,'BSE - SENSEX Index Options'!$B:$B,G$147,'BSE - SENSEX Index Options'!$H:$H,"MDAW*")+SUMIFS('BSE - Other Index Options'!$L:$L,'BSE - Other Index Options'!$C:$C,$A190,'BSE - Other Index Options'!$B:$B,G$147,'BSE - Other Index Options'!$H:$H,"Weekly*")+SUMIFS('BSE - Other Index Options'!$L:$L,'BSE - Other Index Options'!$C:$C,$A190,'BSE - Other Index Options'!$B:$B,G$147,'BSE - Other Index Options'!$H:$H,"MDAW*")=0,"",SUMIFS('BSE - SENSEX Index Options'!$L:$L,'BSE - SENSEX Index Options'!$C:$C,$A190,'BSE - SENSEX Index Options'!$B:$B,G$147,'BSE - SENSEX Index Options'!$H:$H,"Weekly*")+SUMIFS('BSE - SENSEX Index Options'!$L:$L,'BSE - SENSEX Index Options'!$C:$C,$A190,'BSE - SENSEX Index Options'!$B:$B,G$147,'BSE - SENSEX Index Options'!$H:$H,"MDAW*")+SUMIFS('BSE - Other Index Options'!$L:$L,'BSE - Other Index Options'!$C:$C,$A190,'BSE - Other Index Options'!$B:$B,G$147,'BSE - Other Index Options'!$H:$H,"Weekly*")+SUMIFS('BSE - Other Index Options'!$L:$L,'BSE - Other Index Options'!$C:$C,$A190,'BSE - Other Index Options'!$B:$B,G$147,'BSE - Other Index Options'!$H:$H,"MDAW*"))</f>
        <v/>
      </c>
      <c r="H190" s="26">
        <f t="shared" si="7"/>
        <v>79820.219999999987</v>
      </c>
    </row>
    <row r="191" spans="1:8">
      <c r="A191" t="s">
        <v>53</v>
      </c>
      <c r="B191" s="26" t="str">
        <f>IF(SUMIFS('BSE - SENSEX Index Options'!$L:$L,'BSE - SENSEX Index Options'!$C:$C,$A191,'BSE - SENSEX Index Options'!$B:$B,B$147,'BSE - SENSEX Index Options'!$H:$H,"Weekly*")+SUMIFS('BSE - SENSEX Index Options'!$L:$L,'BSE - SENSEX Index Options'!$C:$C,$A191,'BSE - SENSEX Index Options'!$B:$B,B$147,'BSE - SENSEX Index Options'!$H:$H,"MDAW*")+SUMIFS('BSE - Other Index Options'!$L:$L,'BSE - Other Index Options'!$C:$C,$A191,'BSE - Other Index Options'!$B:$B,B$147,'BSE - Other Index Options'!$H:$H,"Weekly*")+SUMIFS('BSE - Other Index Options'!$L:$L,'BSE - Other Index Options'!$C:$C,$A191,'BSE - Other Index Options'!$B:$B,B$147,'BSE - Other Index Options'!$H:$H,"MDAW*")=0,"",SUMIFS('BSE - SENSEX Index Options'!$L:$L,'BSE - SENSEX Index Options'!$C:$C,$A191,'BSE - SENSEX Index Options'!$B:$B,B$147,'BSE - SENSEX Index Options'!$H:$H,"Weekly*")+SUMIFS('BSE - SENSEX Index Options'!$L:$L,'BSE - SENSEX Index Options'!$C:$C,$A191,'BSE - SENSEX Index Options'!$B:$B,B$147,'BSE - SENSEX Index Options'!$H:$H,"MDAW*")+SUMIFS('BSE - Other Index Options'!$L:$L,'BSE - Other Index Options'!$C:$C,$A191,'BSE - Other Index Options'!$B:$B,B$147,'BSE - Other Index Options'!$H:$H,"Weekly*")+SUMIFS('BSE - Other Index Options'!$L:$L,'BSE - Other Index Options'!$C:$C,$A191,'BSE - Other Index Options'!$B:$B,B$147,'BSE - Other Index Options'!$H:$H,"MDAW*"))</f>
        <v/>
      </c>
      <c r="C191" s="26" t="str">
        <f>IF(SUMIFS('BSE - SENSEX Index Options'!$L:$L,'BSE - SENSEX Index Options'!$C:$C,$A191,'BSE - SENSEX Index Options'!$B:$B,C$147,'BSE - SENSEX Index Options'!$H:$H,"Weekly*")+SUMIFS('BSE - SENSEX Index Options'!$L:$L,'BSE - SENSEX Index Options'!$C:$C,$A191,'BSE - SENSEX Index Options'!$B:$B,C$147,'BSE - SENSEX Index Options'!$H:$H,"MDAW*")+SUMIFS('BSE - Other Index Options'!$L:$L,'BSE - Other Index Options'!$C:$C,$A191,'BSE - Other Index Options'!$B:$B,C$147,'BSE - Other Index Options'!$H:$H,"Weekly*")+SUMIFS('BSE - Other Index Options'!$L:$L,'BSE - Other Index Options'!$C:$C,$A191,'BSE - Other Index Options'!$B:$B,C$147,'BSE - Other Index Options'!$H:$H,"MDAW*")=0,"",SUMIFS('BSE - SENSEX Index Options'!$L:$L,'BSE - SENSEX Index Options'!$C:$C,$A191,'BSE - SENSEX Index Options'!$B:$B,C$147,'BSE - SENSEX Index Options'!$H:$H,"Weekly*")+SUMIFS('BSE - SENSEX Index Options'!$L:$L,'BSE - SENSEX Index Options'!$C:$C,$A191,'BSE - SENSEX Index Options'!$B:$B,C$147,'BSE - SENSEX Index Options'!$H:$H,"MDAW*")+SUMIFS('BSE - Other Index Options'!$L:$L,'BSE - Other Index Options'!$C:$C,$A191,'BSE - Other Index Options'!$B:$B,C$147,'BSE - Other Index Options'!$H:$H,"Weekly*")+SUMIFS('BSE - Other Index Options'!$L:$L,'BSE - Other Index Options'!$C:$C,$A191,'BSE - Other Index Options'!$B:$B,C$147,'BSE - Other Index Options'!$H:$H,"MDAW*"))</f>
        <v/>
      </c>
      <c r="D191" s="26" t="str">
        <f>IF(SUMIFS('BSE - SENSEX Index Options'!$L:$L,'BSE - SENSEX Index Options'!$C:$C,$A191,'BSE - SENSEX Index Options'!$B:$B,D$147,'BSE - SENSEX Index Options'!$H:$H,"Weekly*")+SUMIFS('BSE - SENSEX Index Options'!$L:$L,'BSE - SENSEX Index Options'!$C:$C,$A191,'BSE - SENSEX Index Options'!$B:$B,D$147,'BSE - SENSEX Index Options'!$H:$H,"MDAW*")+SUMIFS('BSE - Other Index Options'!$L:$L,'BSE - Other Index Options'!$C:$C,$A191,'BSE - Other Index Options'!$B:$B,D$147,'BSE - Other Index Options'!$H:$H,"Weekly*")+SUMIFS('BSE - Other Index Options'!$L:$L,'BSE - Other Index Options'!$C:$C,$A191,'BSE - Other Index Options'!$B:$B,D$147,'BSE - Other Index Options'!$H:$H,"MDAW*")=0,"",SUMIFS('BSE - SENSEX Index Options'!$L:$L,'BSE - SENSEX Index Options'!$C:$C,$A191,'BSE - SENSEX Index Options'!$B:$B,D$147,'BSE - SENSEX Index Options'!$H:$H,"Weekly*")+SUMIFS('BSE - SENSEX Index Options'!$L:$L,'BSE - SENSEX Index Options'!$C:$C,$A191,'BSE - SENSEX Index Options'!$B:$B,D$147,'BSE - SENSEX Index Options'!$H:$H,"MDAW*")+SUMIFS('BSE - Other Index Options'!$L:$L,'BSE - Other Index Options'!$C:$C,$A191,'BSE - Other Index Options'!$B:$B,D$147,'BSE - Other Index Options'!$H:$H,"Weekly*")+SUMIFS('BSE - Other Index Options'!$L:$L,'BSE - Other Index Options'!$C:$C,$A191,'BSE - Other Index Options'!$B:$B,D$147,'BSE - Other Index Options'!$H:$H,"MDAW*"))</f>
        <v/>
      </c>
      <c r="E191" s="26" t="str">
        <f>IF(SUMIFS('BSE - SENSEX Index Options'!$L:$L,'BSE - SENSEX Index Options'!$C:$C,$A191,'BSE - SENSEX Index Options'!$B:$B,E$147,'BSE - SENSEX Index Options'!$H:$H,"Weekly*")+SUMIFS('BSE - SENSEX Index Options'!$L:$L,'BSE - SENSEX Index Options'!$C:$C,$A191,'BSE - SENSEX Index Options'!$B:$B,E$147,'BSE - SENSEX Index Options'!$H:$H,"MDAW*")+SUMIFS('BSE - Other Index Options'!$L:$L,'BSE - Other Index Options'!$C:$C,$A191,'BSE - Other Index Options'!$B:$B,E$147,'BSE - Other Index Options'!$H:$H,"Weekly*")+SUMIFS('BSE - Other Index Options'!$L:$L,'BSE - Other Index Options'!$C:$C,$A191,'BSE - Other Index Options'!$B:$B,E$147,'BSE - Other Index Options'!$H:$H,"MDAW*")=0,"",SUMIFS('BSE - SENSEX Index Options'!$L:$L,'BSE - SENSEX Index Options'!$C:$C,$A191,'BSE - SENSEX Index Options'!$B:$B,E$147,'BSE - SENSEX Index Options'!$H:$H,"Weekly*")+SUMIFS('BSE - SENSEX Index Options'!$L:$L,'BSE - SENSEX Index Options'!$C:$C,$A191,'BSE - SENSEX Index Options'!$B:$B,E$147,'BSE - SENSEX Index Options'!$H:$H,"MDAW*")+SUMIFS('BSE - Other Index Options'!$L:$L,'BSE - Other Index Options'!$C:$C,$A191,'BSE - Other Index Options'!$B:$B,E$147,'BSE - Other Index Options'!$H:$H,"Weekly*")+SUMIFS('BSE - Other Index Options'!$L:$L,'BSE - Other Index Options'!$C:$C,$A191,'BSE - Other Index Options'!$B:$B,E$147,'BSE - Other Index Options'!$H:$H,"MDAW*"))</f>
        <v/>
      </c>
      <c r="F191" s="26">
        <f>IF(SUMIFS('BSE - SENSEX Index Options'!$L:$L,'BSE - SENSEX Index Options'!$C:$C,$A191,'BSE - SENSEX Index Options'!$B:$B,F$147,'BSE - SENSEX Index Options'!$H:$H,"Weekly*")+SUMIFS('BSE - SENSEX Index Options'!$L:$L,'BSE - SENSEX Index Options'!$C:$C,$A191,'BSE - SENSEX Index Options'!$B:$B,F$147,'BSE - SENSEX Index Options'!$H:$H,"MDAW*")+SUMIFS('BSE - Other Index Options'!$L:$L,'BSE - Other Index Options'!$C:$C,$A191,'BSE - Other Index Options'!$B:$B,F$147,'BSE - Other Index Options'!$H:$H,"Weekly*")+SUMIFS('BSE - Other Index Options'!$L:$L,'BSE - Other Index Options'!$C:$C,$A191,'BSE - Other Index Options'!$B:$B,F$147,'BSE - Other Index Options'!$H:$H,"MDAW*")=0,"",SUMIFS('BSE - SENSEX Index Options'!$L:$L,'BSE - SENSEX Index Options'!$C:$C,$A191,'BSE - SENSEX Index Options'!$B:$B,F$147,'BSE - SENSEX Index Options'!$H:$H,"Weekly*")+SUMIFS('BSE - SENSEX Index Options'!$L:$L,'BSE - SENSEX Index Options'!$C:$C,$A191,'BSE - SENSEX Index Options'!$B:$B,F$147,'BSE - SENSEX Index Options'!$H:$H,"MDAW*")+SUMIFS('BSE - Other Index Options'!$L:$L,'BSE - Other Index Options'!$C:$C,$A191,'BSE - Other Index Options'!$B:$B,F$147,'BSE - Other Index Options'!$H:$H,"Weekly*")+SUMIFS('BSE - Other Index Options'!$L:$L,'BSE - Other Index Options'!$C:$C,$A191,'BSE - Other Index Options'!$B:$B,F$147,'BSE - Other Index Options'!$H:$H,"MDAW*"))</f>
        <v>12140.78</v>
      </c>
      <c r="G191" s="26" t="str">
        <f>IF(SUMIFS('BSE - SENSEX Index Options'!$L:$L,'BSE - SENSEX Index Options'!$C:$C,$A191,'BSE - SENSEX Index Options'!$B:$B,G$147,'BSE - SENSEX Index Options'!$H:$H,"Weekly*")+SUMIFS('BSE - SENSEX Index Options'!$L:$L,'BSE - SENSEX Index Options'!$C:$C,$A191,'BSE - SENSEX Index Options'!$B:$B,G$147,'BSE - SENSEX Index Options'!$H:$H,"MDAW*")+SUMIFS('BSE - Other Index Options'!$L:$L,'BSE - Other Index Options'!$C:$C,$A191,'BSE - Other Index Options'!$B:$B,G$147,'BSE - Other Index Options'!$H:$H,"Weekly*")+SUMIFS('BSE - Other Index Options'!$L:$L,'BSE - Other Index Options'!$C:$C,$A191,'BSE - Other Index Options'!$B:$B,G$147,'BSE - Other Index Options'!$H:$H,"MDAW*")=0,"",SUMIFS('BSE - SENSEX Index Options'!$L:$L,'BSE - SENSEX Index Options'!$C:$C,$A191,'BSE - SENSEX Index Options'!$B:$B,G$147,'BSE - SENSEX Index Options'!$H:$H,"Weekly*")+SUMIFS('BSE - SENSEX Index Options'!$L:$L,'BSE - SENSEX Index Options'!$C:$C,$A191,'BSE - SENSEX Index Options'!$B:$B,G$147,'BSE - SENSEX Index Options'!$H:$H,"MDAW*")+SUMIFS('BSE - Other Index Options'!$L:$L,'BSE - Other Index Options'!$C:$C,$A191,'BSE - Other Index Options'!$B:$B,G$147,'BSE - Other Index Options'!$H:$H,"Weekly*")+SUMIFS('BSE - Other Index Options'!$L:$L,'BSE - Other Index Options'!$C:$C,$A191,'BSE - Other Index Options'!$B:$B,G$147,'BSE - Other Index Options'!$H:$H,"MDAW*"))</f>
        <v/>
      </c>
      <c r="H191" s="26">
        <f t="shared" si="7"/>
        <v>12140.78</v>
      </c>
    </row>
    <row r="192" spans="1:8">
      <c r="A192" t="s">
        <v>54</v>
      </c>
      <c r="B192" s="26">
        <f>IF(SUMIFS('BSE - SENSEX Index Options'!$L:$L,'BSE - SENSEX Index Options'!$C:$C,$A192,'BSE - SENSEX Index Options'!$B:$B,B$147,'BSE - SENSEX Index Options'!$H:$H,"Weekly*")+SUMIFS('BSE - SENSEX Index Options'!$L:$L,'BSE - SENSEX Index Options'!$C:$C,$A192,'BSE - SENSEX Index Options'!$B:$B,B$147,'BSE - SENSEX Index Options'!$H:$H,"MDAW*")+SUMIFS('BSE - Other Index Options'!$L:$L,'BSE - Other Index Options'!$C:$C,$A192,'BSE - Other Index Options'!$B:$B,B$147,'BSE - Other Index Options'!$H:$H,"Weekly*")+SUMIFS('BSE - Other Index Options'!$L:$L,'BSE - Other Index Options'!$C:$C,$A192,'BSE - Other Index Options'!$B:$B,B$147,'BSE - Other Index Options'!$H:$H,"MDAW*")=0,"",SUMIFS('BSE - SENSEX Index Options'!$L:$L,'BSE - SENSEX Index Options'!$C:$C,$A192,'BSE - SENSEX Index Options'!$B:$B,B$147,'BSE - SENSEX Index Options'!$H:$H,"Weekly*")+SUMIFS('BSE - SENSEX Index Options'!$L:$L,'BSE - SENSEX Index Options'!$C:$C,$A192,'BSE - SENSEX Index Options'!$B:$B,B$147,'BSE - SENSEX Index Options'!$H:$H,"MDAW*")+SUMIFS('BSE - Other Index Options'!$L:$L,'BSE - Other Index Options'!$C:$C,$A192,'BSE - Other Index Options'!$B:$B,B$147,'BSE - Other Index Options'!$H:$H,"Weekly*")+SUMIFS('BSE - Other Index Options'!$L:$L,'BSE - Other Index Options'!$C:$C,$A192,'BSE - Other Index Options'!$B:$B,B$147,'BSE - Other Index Options'!$H:$H,"MDAW*"))</f>
        <v>12272.85</v>
      </c>
      <c r="C192" s="26">
        <f>IF(SUMIFS('BSE - SENSEX Index Options'!$L:$L,'BSE - SENSEX Index Options'!$C:$C,$A192,'BSE - SENSEX Index Options'!$B:$B,C$147,'BSE - SENSEX Index Options'!$H:$H,"Weekly*")+SUMIFS('BSE - SENSEX Index Options'!$L:$L,'BSE - SENSEX Index Options'!$C:$C,$A192,'BSE - SENSEX Index Options'!$B:$B,C$147,'BSE - SENSEX Index Options'!$H:$H,"MDAW*")+SUMIFS('BSE - Other Index Options'!$L:$L,'BSE - Other Index Options'!$C:$C,$A192,'BSE - Other Index Options'!$B:$B,C$147,'BSE - Other Index Options'!$H:$H,"Weekly*")+SUMIFS('BSE - Other Index Options'!$L:$L,'BSE - Other Index Options'!$C:$C,$A192,'BSE - Other Index Options'!$B:$B,C$147,'BSE - Other Index Options'!$H:$H,"MDAW*")=0,"",SUMIFS('BSE - SENSEX Index Options'!$L:$L,'BSE - SENSEX Index Options'!$C:$C,$A192,'BSE - SENSEX Index Options'!$B:$B,C$147,'BSE - SENSEX Index Options'!$H:$H,"Weekly*")+SUMIFS('BSE - SENSEX Index Options'!$L:$L,'BSE - SENSEX Index Options'!$C:$C,$A192,'BSE - SENSEX Index Options'!$B:$B,C$147,'BSE - SENSEX Index Options'!$H:$H,"MDAW*")+SUMIFS('BSE - Other Index Options'!$L:$L,'BSE - Other Index Options'!$C:$C,$A192,'BSE - Other Index Options'!$B:$B,C$147,'BSE - Other Index Options'!$H:$H,"Weekly*")+SUMIFS('BSE - Other Index Options'!$L:$L,'BSE - Other Index Options'!$C:$C,$A192,'BSE - Other Index Options'!$B:$B,C$147,'BSE - Other Index Options'!$H:$H,"MDAW*"))</f>
        <v>13539.010000000002</v>
      </c>
      <c r="D192" s="26">
        <f>IF(SUMIFS('BSE - SENSEX Index Options'!$L:$L,'BSE - SENSEX Index Options'!$C:$C,$A192,'BSE - SENSEX Index Options'!$B:$B,D$147,'BSE - SENSEX Index Options'!$H:$H,"Weekly*")+SUMIFS('BSE - SENSEX Index Options'!$L:$L,'BSE - SENSEX Index Options'!$C:$C,$A192,'BSE - SENSEX Index Options'!$B:$B,D$147,'BSE - SENSEX Index Options'!$H:$H,"MDAW*")+SUMIFS('BSE - Other Index Options'!$L:$L,'BSE - Other Index Options'!$C:$C,$A192,'BSE - Other Index Options'!$B:$B,D$147,'BSE - Other Index Options'!$H:$H,"Weekly*")+SUMIFS('BSE - Other Index Options'!$L:$L,'BSE - Other Index Options'!$C:$C,$A192,'BSE - Other Index Options'!$B:$B,D$147,'BSE - Other Index Options'!$H:$H,"MDAW*")=0,"",SUMIFS('BSE - SENSEX Index Options'!$L:$L,'BSE - SENSEX Index Options'!$C:$C,$A192,'BSE - SENSEX Index Options'!$B:$B,D$147,'BSE - SENSEX Index Options'!$H:$H,"Weekly*")+SUMIFS('BSE - SENSEX Index Options'!$L:$L,'BSE - SENSEX Index Options'!$C:$C,$A192,'BSE - SENSEX Index Options'!$B:$B,D$147,'BSE - SENSEX Index Options'!$H:$H,"MDAW*")+SUMIFS('BSE - Other Index Options'!$L:$L,'BSE - Other Index Options'!$C:$C,$A192,'BSE - Other Index Options'!$B:$B,D$147,'BSE - Other Index Options'!$H:$H,"Weekly*")+SUMIFS('BSE - Other Index Options'!$L:$L,'BSE - Other Index Options'!$C:$C,$A192,'BSE - Other Index Options'!$B:$B,D$147,'BSE - Other Index Options'!$H:$H,"MDAW*"))</f>
        <v>56043.95</v>
      </c>
      <c r="E192" s="26">
        <f>IF(SUMIFS('BSE - SENSEX Index Options'!$L:$L,'BSE - SENSEX Index Options'!$C:$C,$A192,'BSE - SENSEX Index Options'!$B:$B,E$147,'BSE - SENSEX Index Options'!$H:$H,"Weekly*")+SUMIFS('BSE - SENSEX Index Options'!$L:$L,'BSE - SENSEX Index Options'!$C:$C,$A192,'BSE - SENSEX Index Options'!$B:$B,E$147,'BSE - SENSEX Index Options'!$H:$H,"MDAW*")+SUMIFS('BSE - Other Index Options'!$L:$L,'BSE - Other Index Options'!$C:$C,$A192,'BSE - Other Index Options'!$B:$B,E$147,'BSE - Other Index Options'!$H:$H,"Weekly*")+SUMIFS('BSE - Other Index Options'!$L:$L,'BSE - Other Index Options'!$C:$C,$A192,'BSE - Other Index Options'!$B:$B,E$147,'BSE - Other Index Options'!$H:$H,"MDAW*")=0,"",SUMIFS('BSE - SENSEX Index Options'!$L:$L,'BSE - SENSEX Index Options'!$C:$C,$A192,'BSE - SENSEX Index Options'!$B:$B,E$147,'BSE - SENSEX Index Options'!$H:$H,"Weekly*")+SUMIFS('BSE - SENSEX Index Options'!$L:$L,'BSE - SENSEX Index Options'!$C:$C,$A192,'BSE - SENSEX Index Options'!$B:$B,E$147,'BSE - SENSEX Index Options'!$H:$H,"MDAW*")+SUMIFS('BSE - Other Index Options'!$L:$L,'BSE - Other Index Options'!$C:$C,$A192,'BSE - Other Index Options'!$B:$B,E$147,'BSE - Other Index Options'!$H:$H,"Weekly*")+SUMIFS('BSE - Other Index Options'!$L:$L,'BSE - Other Index Options'!$C:$C,$A192,'BSE - Other Index Options'!$B:$B,E$147,'BSE - Other Index Options'!$H:$H,"MDAW*"))</f>
        <v>71608.499999999985</v>
      </c>
      <c r="F192" s="26">
        <f>IF(SUMIFS('BSE - SENSEX Index Options'!$L:$L,'BSE - SENSEX Index Options'!$C:$C,$A192,'BSE - SENSEX Index Options'!$B:$B,F$147,'BSE - SENSEX Index Options'!$H:$H,"Weekly*")+SUMIFS('BSE - SENSEX Index Options'!$L:$L,'BSE - SENSEX Index Options'!$C:$C,$A192,'BSE - SENSEX Index Options'!$B:$B,F$147,'BSE - SENSEX Index Options'!$H:$H,"MDAW*")+SUMIFS('BSE - Other Index Options'!$L:$L,'BSE - Other Index Options'!$C:$C,$A192,'BSE - Other Index Options'!$B:$B,F$147,'BSE - Other Index Options'!$H:$H,"Weekly*")+SUMIFS('BSE - Other Index Options'!$L:$L,'BSE - Other Index Options'!$C:$C,$A192,'BSE - Other Index Options'!$B:$B,F$147,'BSE - Other Index Options'!$H:$H,"MDAW*")=0,"",SUMIFS('BSE - SENSEX Index Options'!$L:$L,'BSE - SENSEX Index Options'!$C:$C,$A192,'BSE - SENSEX Index Options'!$B:$B,F$147,'BSE - SENSEX Index Options'!$H:$H,"Weekly*")+SUMIFS('BSE - SENSEX Index Options'!$L:$L,'BSE - SENSEX Index Options'!$C:$C,$A192,'BSE - SENSEX Index Options'!$B:$B,F$147,'BSE - SENSEX Index Options'!$H:$H,"MDAW*")+SUMIFS('BSE - Other Index Options'!$L:$L,'BSE - Other Index Options'!$C:$C,$A192,'BSE - Other Index Options'!$B:$B,F$147,'BSE - Other Index Options'!$H:$H,"Weekly*")+SUMIFS('BSE - Other Index Options'!$L:$L,'BSE - Other Index Options'!$C:$C,$A192,'BSE - Other Index Options'!$B:$B,F$147,'BSE - Other Index Options'!$H:$H,"MDAW*"))</f>
        <v>13966.960000000001</v>
      </c>
      <c r="G192" s="26" t="str">
        <f>IF(SUMIFS('BSE - SENSEX Index Options'!$L:$L,'BSE - SENSEX Index Options'!$C:$C,$A192,'BSE - SENSEX Index Options'!$B:$B,G$147,'BSE - SENSEX Index Options'!$H:$H,"Weekly*")+SUMIFS('BSE - SENSEX Index Options'!$L:$L,'BSE - SENSEX Index Options'!$C:$C,$A192,'BSE - SENSEX Index Options'!$B:$B,G$147,'BSE - SENSEX Index Options'!$H:$H,"MDAW*")+SUMIFS('BSE - Other Index Options'!$L:$L,'BSE - Other Index Options'!$C:$C,$A192,'BSE - Other Index Options'!$B:$B,G$147,'BSE - Other Index Options'!$H:$H,"Weekly*")+SUMIFS('BSE - Other Index Options'!$L:$L,'BSE - Other Index Options'!$C:$C,$A192,'BSE - Other Index Options'!$B:$B,G$147,'BSE - Other Index Options'!$H:$H,"MDAW*")=0,"",SUMIFS('BSE - SENSEX Index Options'!$L:$L,'BSE - SENSEX Index Options'!$C:$C,$A192,'BSE - SENSEX Index Options'!$B:$B,G$147,'BSE - SENSEX Index Options'!$H:$H,"Weekly*")+SUMIFS('BSE - SENSEX Index Options'!$L:$L,'BSE - SENSEX Index Options'!$C:$C,$A192,'BSE - SENSEX Index Options'!$B:$B,G$147,'BSE - SENSEX Index Options'!$H:$H,"MDAW*")+SUMIFS('BSE - Other Index Options'!$L:$L,'BSE - Other Index Options'!$C:$C,$A192,'BSE - Other Index Options'!$B:$B,G$147,'BSE - Other Index Options'!$H:$H,"Weekly*")+SUMIFS('BSE - Other Index Options'!$L:$L,'BSE - Other Index Options'!$C:$C,$A192,'BSE - Other Index Options'!$B:$B,G$147,'BSE - Other Index Options'!$H:$H,"MDAW*"))</f>
        <v/>
      </c>
      <c r="H192" s="26">
        <f t="shared" si="7"/>
        <v>167431.26999999999</v>
      </c>
    </row>
    <row r="193" spans="1:8">
      <c r="A193" t="s">
        <v>55</v>
      </c>
      <c r="B193" s="26">
        <f>IF(SUMIFS('BSE - SENSEX Index Options'!$L:$L,'BSE - SENSEX Index Options'!$C:$C,$A193,'BSE - SENSEX Index Options'!$B:$B,B$147,'BSE - SENSEX Index Options'!$H:$H,"Weekly*")+SUMIFS('BSE - SENSEX Index Options'!$L:$L,'BSE - SENSEX Index Options'!$C:$C,$A193,'BSE - SENSEX Index Options'!$B:$B,B$147,'BSE - SENSEX Index Options'!$H:$H,"MDAW*")+SUMIFS('BSE - Other Index Options'!$L:$L,'BSE - Other Index Options'!$C:$C,$A193,'BSE - Other Index Options'!$B:$B,B$147,'BSE - Other Index Options'!$H:$H,"Weekly*")+SUMIFS('BSE - Other Index Options'!$L:$L,'BSE - Other Index Options'!$C:$C,$A193,'BSE - Other Index Options'!$B:$B,B$147,'BSE - Other Index Options'!$H:$H,"MDAW*")=0,"",SUMIFS('BSE - SENSEX Index Options'!$L:$L,'BSE - SENSEX Index Options'!$C:$C,$A193,'BSE - SENSEX Index Options'!$B:$B,B$147,'BSE - SENSEX Index Options'!$H:$H,"Weekly*")+SUMIFS('BSE - SENSEX Index Options'!$L:$L,'BSE - SENSEX Index Options'!$C:$C,$A193,'BSE - SENSEX Index Options'!$B:$B,B$147,'BSE - SENSEX Index Options'!$H:$H,"MDAW*")+SUMIFS('BSE - Other Index Options'!$L:$L,'BSE - Other Index Options'!$C:$C,$A193,'BSE - Other Index Options'!$B:$B,B$147,'BSE - Other Index Options'!$H:$H,"Weekly*")+SUMIFS('BSE - Other Index Options'!$L:$L,'BSE - Other Index Options'!$C:$C,$A193,'BSE - Other Index Options'!$B:$B,B$147,'BSE - Other Index Options'!$H:$H,"MDAW*"))</f>
        <v>11355.46</v>
      </c>
      <c r="C193" s="26">
        <f>IF(SUMIFS('BSE - SENSEX Index Options'!$L:$L,'BSE - SENSEX Index Options'!$C:$C,$A193,'BSE - SENSEX Index Options'!$B:$B,C$147,'BSE - SENSEX Index Options'!$H:$H,"Weekly*")+SUMIFS('BSE - SENSEX Index Options'!$L:$L,'BSE - SENSEX Index Options'!$C:$C,$A193,'BSE - SENSEX Index Options'!$B:$B,C$147,'BSE - SENSEX Index Options'!$H:$H,"MDAW*")+SUMIFS('BSE - Other Index Options'!$L:$L,'BSE - Other Index Options'!$C:$C,$A193,'BSE - Other Index Options'!$B:$B,C$147,'BSE - Other Index Options'!$H:$H,"Weekly*")+SUMIFS('BSE - Other Index Options'!$L:$L,'BSE - Other Index Options'!$C:$C,$A193,'BSE - Other Index Options'!$B:$B,C$147,'BSE - Other Index Options'!$H:$H,"MDAW*")=0,"",SUMIFS('BSE - SENSEX Index Options'!$L:$L,'BSE - SENSEX Index Options'!$C:$C,$A193,'BSE - SENSEX Index Options'!$B:$B,C$147,'BSE - SENSEX Index Options'!$H:$H,"Weekly*")+SUMIFS('BSE - SENSEX Index Options'!$L:$L,'BSE - SENSEX Index Options'!$C:$C,$A193,'BSE - SENSEX Index Options'!$B:$B,C$147,'BSE - SENSEX Index Options'!$H:$H,"MDAW*")+SUMIFS('BSE - Other Index Options'!$L:$L,'BSE - Other Index Options'!$C:$C,$A193,'BSE - Other Index Options'!$B:$B,C$147,'BSE - Other Index Options'!$H:$H,"Weekly*")+SUMIFS('BSE - Other Index Options'!$L:$L,'BSE - Other Index Options'!$C:$C,$A193,'BSE - Other Index Options'!$B:$B,C$147,'BSE - Other Index Options'!$H:$H,"MDAW*"))</f>
        <v>11358.14</v>
      </c>
      <c r="D193" s="26">
        <f>IF(SUMIFS('BSE - SENSEX Index Options'!$L:$L,'BSE - SENSEX Index Options'!$C:$C,$A193,'BSE - SENSEX Index Options'!$B:$B,D$147,'BSE - SENSEX Index Options'!$H:$H,"Weekly*")+SUMIFS('BSE - SENSEX Index Options'!$L:$L,'BSE - SENSEX Index Options'!$C:$C,$A193,'BSE - SENSEX Index Options'!$B:$B,D$147,'BSE - SENSEX Index Options'!$H:$H,"MDAW*")+SUMIFS('BSE - Other Index Options'!$L:$L,'BSE - Other Index Options'!$C:$C,$A193,'BSE - Other Index Options'!$B:$B,D$147,'BSE - Other Index Options'!$H:$H,"Weekly*")+SUMIFS('BSE - Other Index Options'!$L:$L,'BSE - Other Index Options'!$C:$C,$A193,'BSE - Other Index Options'!$B:$B,D$147,'BSE - Other Index Options'!$H:$H,"MDAW*")=0,"",SUMIFS('BSE - SENSEX Index Options'!$L:$L,'BSE - SENSEX Index Options'!$C:$C,$A193,'BSE - SENSEX Index Options'!$B:$B,D$147,'BSE - SENSEX Index Options'!$H:$H,"Weekly*")+SUMIFS('BSE - SENSEX Index Options'!$L:$L,'BSE - SENSEX Index Options'!$C:$C,$A193,'BSE - SENSEX Index Options'!$B:$B,D$147,'BSE - SENSEX Index Options'!$H:$H,"MDAW*")+SUMIFS('BSE - Other Index Options'!$L:$L,'BSE - Other Index Options'!$C:$C,$A193,'BSE - Other Index Options'!$B:$B,D$147,'BSE - Other Index Options'!$H:$H,"Weekly*")+SUMIFS('BSE - Other Index Options'!$L:$L,'BSE - Other Index Options'!$C:$C,$A193,'BSE - Other Index Options'!$B:$B,D$147,'BSE - Other Index Options'!$H:$H,"MDAW*"))</f>
        <v>37645.299999999996</v>
      </c>
      <c r="E193" s="26">
        <f>IF(SUMIFS('BSE - SENSEX Index Options'!$L:$L,'BSE - SENSEX Index Options'!$C:$C,$A193,'BSE - SENSEX Index Options'!$B:$B,E$147,'BSE - SENSEX Index Options'!$H:$H,"Weekly*")+SUMIFS('BSE - SENSEX Index Options'!$L:$L,'BSE - SENSEX Index Options'!$C:$C,$A193,'BSE - SENSEX Index Options'!$B:$B,E$147,'BSE - SENSEX Index Options'!$H:$H,"MDAW*")+SUMIFS('BSE - Other Index Options'!$L:$L,'BSE - Other Index Options'!$C:$C,$A193,'BSE - Other Index Options'!$B:$B,E$147,'BSE - Other Index Options'!$H:$H,"Weekly*")+SUMIFS('BSE - Other Index Options'!$L:$L,'BSE - Other Index Options'!$C:$C,$A193,'BSE - Other Index Options'!$B:$B,E$147,'BSE - Other Index Options'!$H:$H,"MDAW*")=0,"",SUMIFS('BSE - SENSEX Index Options'!$L:$L,'BSE - SENSEX Index Options'!$C:$C,$A193,'BSE - SENSEX Index Options'!$B:$B,E$147,'BSE - SENSEX Index Options'!$H:$H,"Weekly*")+SUMIFS('BSE - SENSEX Index Options'!$L:$L,'BSE - SENSEX Index Options'!$C:$C,$A193,'BSE - SENSEX Index Options'!$B:$B,E$147,'BSE - SENSEX Index Options'!$H:$H,"MDAW*")+SUMIFS('BSE - Other Index Options'!$L:$L,'BSE - Other Index Options'!$C:$C,$A193,'BSE - Other Index Options'!$B:$B,E$147,'BSE - Other Index Options'!$H:$H,"Weekly*")+SUMIFS('BSE - Other Index Options'!$L:$L,'BSE - Other Index Options'!$C:$C,$A193,'BSE - Other Index Options'!$B:$B,E$147,'BSE - Other Index Options'!$H:$H,"MDAW*"))</f>
        <v>65665.56</v>
      </c>
      <c r="F193" s="26">
        <f>IF(SUMIFS('BSE - SENSEX Index Options'!$L:$L,'BSE - SENSEX Index Options'!$C:$C,$A193,'BSE - SENSEX Index Options'!$B:$B,F$147,'BSE - SENSEX Index Options'!$H:$H,"Weekly*")+SUMIFS('BSE - SENSEX Index Options'!$L:$L,'BSE - SENSEX Index Options'!$C:$C,$A193,'BSE - SENSEX Index Options'!$B:$B,F$147,'BSE - SENSEX Index Options'!$H:$H,"MDAW*")+SUMIFS('BSE - Other Index Options'!$L:$L,'BSE - Other Index Options'!$C:$C,$A193,'BSE - Other Index Options'!$B:$B,F$147,'BSE - Other Index Options'!$H:$H,"Weekly*")+SUMIFS('BSE - Other Index Options'!$L:$L,'BSE - Other Index Options'!$C:$C,$A193,'BSE - Other Index Options'!$B:$B,F$147,'BSE - Other Index Options'!$H:$H,"MDAW*")=0,"",SUMIFS('BSE - SENSEX Index Options'!$L:$L,'BSE - SENSEX Index Options'!$C:$C,$A193,'BSE - SENSEX Index Options'!$B:$B,F$147,'BSE - SENSEX Index Options'!$H:$H,"Weekly*")+SUMIFS('BSE - SENSEX Index Options'!$L:$L,'BSE - SENSEX Index Options'!$C:$C,$A193,'BSE - SENSEX Index Options'!$B:$B,F$147,'BSE - SENSEX Index Options'!$H:$H,"MDAW*")+SUMIFS('BSE - Other Index Options'!$L:$L,'BSE - Other Index Options'!$C:$C,$A193,'BSE - Other Index Options'!$B:$B,F$147,'BSE - Other Index Options'!$H:$H,"Weekly*")+SUMIFS('BSE - Other Index Options'!$L:$L,'BSE - Other Index Options'!$C:$C,$A193,'BSE - Other Index Options'!$B:$B,F$147,'BSE - Other Index Options'!$H:$H,"MDAW*"))</f>
        <v>12926.06</v>
      </c>
      <c r="G193" s="26" t="str">
        <f>IF(SUMIFS('BSE - SENSEX Index Options'!$L:$L,'BSE - SENSEX Index Options'!$C:$C,$A193,'BSE - SENSEX Index Options'!$B:$B,G$147,'BSE - SENSEX Index Options'!$H:$H,"Weekly*")+SUMIFS('BSE - SENSEX Index Options'!$L:$L,'BSE - SENSEX Index Options'!$C:$C,$A193,'BSE - SENSEX Index Options'!$B:$B,G$147,'BSE - SENSEX Index Options'!$H:$H,"MDAW*")+SUMIFS('BSE - Other Index Options'!$L:$L,'BSE - Other Index Options'!$C:$C,$A193,'BSE - Other Index Options'!$B:$B,G$147,'BSE - Other Index Options'!$H:$H,"Weekly*")+SUMIFS('BSE - Other Index Options'!$L:$L,'BSE - Other Index Options'!$C:$C,$A193,'BSE - Other Index Options'!$B:$B,G$147,'BSE - Other Index Options'!$H:$H,"MDAW*")=0,"",SUMIFS('BSE - SENSEX Index Options'!$L:$L,'BSE - SENSEX Index Options'!$C:$C,$A193,'BSE - SENSEX Index Options'!$B:$B,G$147,'BSE - SENSEX Index Options'!$H:$H,"Weekly*")+SUMIFS('BSE - SENSEX Index Options'!$L:$L,'BSE - SENSEX Index Options'!$C:$C,$A193,'BSE - SENSEX Index Options'!$B:$B,G$147,'BSE - SENSEX Index Options'!$H:$H,"MDAW*")+SUMIFS('BSE - Other Index Options'!$L:$L,'BSE - Other Index Options'!$C:$C,$A193,'BSE - Other Index Options'!$B:$B,G$147,'BSE - Other Index Options'!$H:$H,"Weekly*")+SUMIFS('BSE - Other Index Options'!$L:$L,'BSE - Other Index Options'!$C:$C,$A193,'BSE - Other Index Options'!$B:$B,G$147,'BSE - Other Index Options'!$H:$H,"MDAW*"))</f>
        <v/>
      </c>
      <c r="H193" s="26">
        <f t="shared" si="7"/>
        <v>138950.51999999999</v>
      </c>
    </row>
    <row r="194" spans="1:8">
      <c r="A194" t="s">
        <v>56</v>
      </c>
      <c r="B194" s="26">
        <f>IF(SUMIFS('BSE - SENSEX Index Options'!$L:$L,'BSE - SENSEX Index Options'!$C:$C,$A194,'BSE - SENSEX Index Options'!$B:$B,B$147,'BSE - SENSEX Index Options'!$H:$H,"Weekly*")+SUMIFS('BSE - SENSEX Index Options'!$L:$L,'BSE - SENSEX Index Options'!$C:$C,$A194,'BSE - SENSEX Index Options'!$B:$B,B$147,'BSE - SENSEX Index Options'!$H:$H,"MDAW*")+SUMIFS('BSE - Other Index Options'!$L:$L,'BSE - Other Index Options'!$C:$C,$A194,'BSE - Other Index Options'!$B:$B,B$147,'BSE - Other Index Options'!$H:$H,"Weekly*")+SUMIFS('BSE - Other Index Options'!$L:$L,'BSE - Other Index Options'!$C:$C,$A194,'BSE - Other Index Options'!$B:$B,B$147,'BSE - Other Index Options'!$H:$H,"MDAW*")=0,"",SUMIFS('BSE - SENSEX Index Options'!$L:$L,'BSE - SENSEX Index Options'!$C:$C,$A194,'BSE - SENSEX Index Options'!$B:$B,B$147,'BSE - SENSEX Index Options'!$H:$H,"Weekly*")+SUMIFS('BSE - SENSEX Index Options'!$L:$L,'BSE - SENSEX Index Options'!$C:$C,$A194,'BSE - SENSEX Index Options'!$B:$B,B$147,'BSE - SENSEX Index Options'!$H:$H,"MDAW*")+SUMIFS('BSE - Other Index Options'!$L:$L,'BSE - Other Index Options'!$C:$C,$A194,'BSE - Other Index Options'!$B:$B,B$147,'BSE - Other Index Options'!$H:$H,"Weekly*")+SUMIFS('BSE - Other Index Options'!$L:$L,'BSE - Other Index Options'!$C:$C,$A194,'BSE - Other Index Options'!$B:$B,B$147,'BSE - Other Index Options'!$H:$H,"MDAW*"))</f>
        <v>11879.95</v>
      </c>
      <c r="C194" s="26">
        <f>IF(SUMIFS('BSE - SENSEX Index Options'!$L:$L,'BSE - SENSEX Index Options'!$C:$C,$A194,'BSE - SENSEX Index Options'!$B:$B,C$147,'BSE - SENSEX Index Options'!$H:$H,"Weekly*")+SUMIFS('BSE - SENSEX Index Options'!$L:$L,'BSE - SENSEX Index Options'!$C:$C,$A194,'BSE - SENSEX Index Options'!$B:$B,C$147,'BSE - SENSEX Index Options'!$H:$H,"MDAW*")+SUMIFS('BSE - Other Index Options'!$L:$L,'BSE - Other Index Options'!$C:$C,$A194,'BSE - Other Index Options'!$B:$B,C$147,'BSE - Other Index Options'!$H:$H,"Weekly*")+SUMIFS('BSE - Other Index Options'!$L:$L,'BSE - Other Index Options'!$C:$C,$A194,'BSE - Other Index Options'!$B:$B,C$147,'BSE - Other Index Options'!$H:$H,"MDAW*")=0,"",SUMIFS('BSE - SENSEX Index Options'!$L:$L,'BSE - SENSEX Index Options'!$C:$C,$A194,'BSE - SENSEX Index Options'!$B:$B,C$147,'BSE - SENSEX Index Options'!$H:$H,"Weekly*")+SUMIFS('BSE - SENSEX Index Options'!$L:$L,'BSE - SENSEX Index Options'!$C:$C,$A194,'BSE - SENSEX Index Options'!$B:$B,C$147,'BSE - SENSEX Index Options'!$H:$H,"MDAW*")+SUMIFS('BSE - Other Index Options'!$L:$L,'BSE - Other Index Options'!$C:$C,$A194,'BSE - Other Index Options'!$B:$B,C$147,'BSE - Other Index Options'!$H:$H,"Weekly*")+SUMIFS('BSE - Other Index Options'!$L:$L,'BSE - Other Index Options'!$C:$C,$A194,'BSE - Other Index Options'!$B:$B,C$147,'BSE - Other Index Options'!$H:$H,"MDAW*"))</f>
        <v>8991.9500000000007</v>
      </c>
      <c r="D194" s="26">
        <f>IF(SUMIFS('BSE - SENSEX Index Options'!$L:$L,'BSE - SENSEX Index Options'!$C:$C,$A194,'BSE - SENSEX Index Options'!$B:$B,D$147,'BSE - SENSEX Index Options'!$H:$H,"Weekly*")+SUMIFS('BSE - SENSEX Index Options'!$L:$L,'BSE - SENSEX Index Options'!$C:$C,$A194,'BSE - SENSEX Index Options'!$B:$B,D$147,'BSE - SENSEX Index Options'!$H:$H,"MDAW*")+SUMIFS('BSE - Other Index Options'!$L:$L,'BSE - Other Index Options'!$C:$C,$A194,'BSE - Other Index Options'!$B:$B,D$147,'BSE - Other Index Options'!$H:$H,"Weekly*")+SUMIFS('BSE - Other Index Options'!$L:$L,'BSE - Other Index Options'!$C:$C,$A194,'BSE - Other Index Options'!$B:$B,D$147,'BSE - Other Index Options'!$H:$H,"MDAW*")=0,"",SUMIFS('BSE - SENSEX Index Options'!$L:$L,'BSE - SENSEX Index Options'!$C:$C,$A194,'BSE - SENSEX Index Options'!$B:$B,D$147,'BSE - SENSEX Index Options'!$H:$H,"Weekly*")+SUMIFS('BSE - SENSEX Index Options'!$L:$L,'BSE - SENSEX Index Options'!$C:$C,$A194,'BSE - SENSEX Index Options'!$B:$B,D$147,'BSE - SENSEX Index Options'!$H:$H,"MDAW*")+SUMIFS('BSE - Other Index Options'!$L:$L,'BSE - Other Index Options'!$C:$C,$A194,'BSE - Other Index Options'!$B:$B,D$147,'BSE - Other Index Options'!$H:$H,"Weekly*")+SUMIFS('BSE - Other Index Options'!$L:$L,'BSE - Other Index Options'!$C:$C,$A194,'BSE - Other Index Options'!$B:$B,D$147,'BSE - Other Index Options'!$H:$H,"MDAW*"))</f>
        <v>26464.78</v>
      </c>
      <c r="E194" s="26">
        <f>IF(SUMIFS('BSE - SENSEX Index Options'!$L:$L,'BSE - SENSEX Index Options'!$C:$C,$A194,'BSE - SENSEX Index Options'!$B:$B,E$147,'BSE - SENSEX Index Options'!$H:$H,"Weekly*")+SUMIFS('BSE - SENSEX Index Options'!$L:$L,'BSE - SENSEX Index Options'!$C:$C,$A194,'BSE - SENSEX Index Options'!$B:$B,E$147,'BSE - SENSEX Index Options'!$H:$H,"MDAW*")+SUMIFS('BSE - Other Index Options'!$L:$L,'BSE - Other Index Options'!$C:$C,$A194,'BSE - Other Index Options'!$B:$B,E$147,'BSE - Other Index Options'!$H:$H,"Weekly*")+SUMIFS('BSE - Other Index Options'!$L:$L,'BSE - Other Index Options'!$C:$C,$A194,'BSE - Other Index Options'!$B:$B,E$147,'BSE - Other Index Options'!$H:$H,"MDAW*")=0,"",SUMIFS('BSE - SENSEX Index Options'!$L:$L,'BSE - SENSEX Index Options'!$C:$C,$A194,'BSE - SENSEX Index Options'!$B:$B,E$147,'BSE - SENSEX Index Options'!$H:$H,"Weekly*")+SUMIFS('BSE - SENSEX Index Options'!$L:$L,'BSE - SENSEX Index Options'!$C:$C,$A194,'BSE - SENSEX Index Options'!$B:$B,E$147,'BSE - SENSEX Index Options'!$H:$H,"MDAW*")+SUMIFS('BSE - Other Index Options'!$L:$L,'BSE - Other Index Options'!$C:$C,$A194,'BSE - Other Index Options'!$B:$B,E$147,'BSE - Other Index Options'!$H:$H,"Weekly*")+SUMIFS('BSE - Other Index Options'!$L:$L,'BSE - Other Index Options'!$C:$C,$A194,'BSE - Other Index Options'!$B:$B,E$147,'BSE - Other Index Options'!$H:$H,"MDAW*"))</f>
        <v>47581.610000000008</v>
      </c>
      <c r="F194" s="26">
        <f>IF(SUMIFS('BSE - SENSEX Index Options'!$L:$L,'BSE - SENSEX Index Options'!$C:$C,$A194,'BSE - SENSEX Index Options'!$B:$B,F$147,'BSE - SENSEX Index Options'!$H:$H,"Weekly*")+SUMIFS('BSE - SENSEX Index Options'!$L:$L,'BSE - SENSEX Index Options'!$C:$C,$A194,'BSE - SENSEX Index Options'!$B:$B,F$147,'BSE - SENSEX Index Options'!$H:$H,"MDAW*")+SUMIFS('BSE - Other Index Options'!$L:$L,'BSE - Other Index Options'!$C:$C,$A194,'BSE - Other Index Options'!$B:$B,F$147,'BSE - Other Index Options'!$H:$H,"Weekly*")+SUMIFS('BSE - Other Index Options'!$L:$L,'BSE - Other Index Options'!$C:$C,$A194,'BSE - Other Index Options'!$B:$B,F$147,'BSE - Other Index Options'!$H:$H,"MDAW*")=0,"",SUMIFS('BSE - SENSEX Index Options'!$L:$L,'BSE - SENSEX Index Options'!$C:$C,$A194,'BSE - SENSEX Index Options'!$B:$B,F$147,'BSE - SENSEX Index Options'!$H:$H,"Weekly*")+SUMIFS('BSE - SENSEX Index Options'!$L:$L,'BSE - SENSEX Index Options'!$C:$C,$A194,'BSE - SENSEX Index Options'!$B:$B,F$147,'BSE - SENSEX Index Options'!$H:$H,"MDAW*")+SUMIFS('BSE - Other Index Options'!$L:$L,'BSE - Other Index Options'!$C:$C,$A194,'BSE - Other Index Options'!$B:$B,F$147,'BSE - Other Index Options'!$H:$H,"Weekly*")+SUMIFS('BSE - Other Index Options'!$L:$L,'BSE - Other Index Options'!$C:$C,$A194,'BSE - Other Index Options'!$B:$B,F$147,'BSE - Other Index Options'!$H:$H,"MDAW*"))</f>
        <v>8770.35</v>
      </c>
      <c r="G194" s="26" t="str">
        <f>IF(SUMIFS('BSE - SENSEX Index Options'!$L:$L,'BSE - SENSEX Index Options'!$C:$C,$A194,'BSE - SENSEX Index Options'!$B:$B,G$147,'BSE - SENSEX Index Options'!$H:$H,"Weekly*")+SUMIFS('BSE - SENSEX Index Options'!$L:$L,'BSE - SENSEX Index Options'!$C:$C,$A194,'BSE - SENSEX Index Options'!$B:$B,G$147,'BSE - SENSEX Index Options'!$H:$H,"MDAW*")+SUMIFS('BSE - Other Index Options'!$L:$L,'BSE - Other Index Options'!$C:$C,$A194,'BSE - Other Index Options'!$B:$B,G$147,'BSE - Other Index Options'!$H:$H,"Weekly*")+SUMIFS('BSE - Other Index Options'!$L:$L,'BSE - Other Index Options'!$C:$C,$A194,'BSE - Other Index Options'!$B:$B,G$147,'BSE - Other Index Options'!$H:$H,"MDAW*")=0,"",SUMIFS('BSE - SENSEX Index Options'!$L:$L,'BSE - SENSEX Index Options'!$C:$C,$A194,'BSE - SENSEX Index Options'!$B:$B,G$147,'BSE - SENSEX Index Options'!$H:$H,"Weekly*")+SUMIFS('BSE - SENSEX Index Options'!$L:$L,'BSE - SENSEX Index Options'!$C:$C,$A194,'BSE - SENSEX Index Options'!$B:$B,G$147,'BSE - SENSEX Index Options'!$H:$H,"MDAW*")+SUMIFS('BSE - Other Index Options'!$L:$L,'BSE - Other Index Options'!$C:$C,$A194,'BSE - Other Index Options'!$B:$B,G$147,'BSE - Other Index Options'!$H:$H,"Weekly*")+SUMIFS('BSE - Other Index Options'!$L:$L,'BSE - Other Index Options'!$C:$C,$A194,'BSE - Other Index Options'!$B:$B,G$147,'BSE - Other Index Options'!$H:$H,"MDAW*"))</f>
        <v/>
      </c>
      <c r="H194" s="26">
        <f t="shared" si="7"/>
        <v>103688.64000000001</v>
      </c>
    </row>
    <row r="195" spans="1:8">
      <c r="A195" t="s">
        <v>57</v>
      </c>
      <c r="B195" s="26">
        <f>IF(SUMIFS('BSE - SENSEX Index Options'!$L:$L,'BSE - SENSEX Index Options'!$C:$C,$A195,'BSE - SENSEX Index Options'!$B:$B,B$147,'BSE - SENSEX Index Options'!$H:$H,"Weekly*")+SUMIFS('BSE - SENSEX Index Options'!$L:$L,'BSE - SENSEX Index Options'!$C:$C,$A195,'BSE - SENSEX Index Options'!$B:$B,B$147,'BSE - SENSEX Index Options'!$H:$H,"MDAW*")+SUMIFS('BSE - Other Index Options'!$L:$L,'BSE - Other Index Options'!$C:$C,$A195,'BSE - Other Index Options'!$B:$B,B$147,'BSE - Other Index Options'!$H:$H,"Weekly*")+SUMIFS('BSE - Other Index Options'!$L:$L,'BSE - Other Index Options'!$C:$C,$A195,'BSE - Other Index Options'!$B:$B,B$147,'BSE - Other Index Options'!$H:$H,"MDAW*")=0,"",SUMIFS('BSE - SENSEX Index Options'!$L:$L,'BSE - SENSEX Index Options'!$C:$C,$A195,'BSE - SENSEX Index Options'!$B:$B,B$147,'BSE - SENSEX Index Options'!$H:$H,"Weekly*")+SUMIFS('BSE - SENSEX Index Options'!$L:$L,'BSE - SENSEX Index Options'!$C:$C,$A195,'BSE - SENSEX Index Options'!$B:$B,B$147,'BSE - SENSEX Index Options'!$H:$H,"MDAW*")+SUMIFS('BSE - Other Index Options'!$L:$L,'BSE - Other Index Options'!$C:$C,$A195,'BSE - Other Index Options'!$B:$B,B$147,'BSE - Other Index Options'!$H:$H,"Weekly*")+SUMIFS('BSE - Other Index Options'!$L:$L,'BSE - Other Index Options'!$C:$C,$A195,'BSE - Other Index Options'!$B:$B,B$147,'BSE - Other Index Options'!$H:$H,"MDAW*"))</f>
        <v>6746.03</v>
      </c>
      <c r="C195" s="26">
        <f>IF(SUMIFS('BSE - SENSEX Index Options'!$L:$L,'BSE - SENSEX Index Options'!$C:$C,$A195,'BSE - SENSEX Index Options'!$B:$B,C$147,'BSE - SENSEX Index Options'!$H:$H,"Weekly*")+SUMIFS('BSE - SENSEX Index Options'!$L:$L,'BSE - SENSEX Index Options'!$C:$C,$A195,'BSE - SENSEX Index Options'!$B:$B,C$147,'BSE - SENSEX Index Options'!$H:$H,"MDAW*")+SUMIFS('BSE - Other Index Options'!$L:$L,'BSE - Other Index Options'!$C:$C,$A195,'BSE - Other Index Options'!$B:$B,C$147,'BSE - Other Index Options'!$H:$H,"Weekly*")+SUMIFS('BSE - Other Index Options'!$L:$L,'BSE - Other Index Options'!$C:$C,$A195,'BSE - Other Index Options'!$B:$B,C$147,'BSE - Other Index Options'!$H:$H,"MDAW*")=0,"",SUMIFS('BSE - SENSEX Index Options'!$L:$L,'BSE - SENSEX Index Options'!$C:$C,$A195,'BSE - SENSEX Index Options'!$B:$B,C$147,'BSE - SENSEX Index Options'!$H:$H,"Weekly*")+SUMIFS('BSE - SENSEX Index Options'!$L:$L,'BSE - SENSEX Index Options'!$C:$C,$A195,'BSE - SENSEX Index Options'!$B:$B,C$147,'BSE - SENSEX Index Options'!$H:$H,"MDAW*")+SUMIFS('BSE - Other Index Options'!$L:$L,'BSE - Other Index Options'!$C:$C,$A195,'BSE - Other Index Options'!$B:$B,C$147,'BSE - Other Index Options'!$H:$H,"Weekly*")+SUMIFS('BSE - Other Index Options'!$L:$L,'BSE - Other Index Options'!$C:$C,$A195,'BSE - Other Index Options'!$B:$B,C$147,'BSE - Other Index Options'!$H:$H,"MDAW*"))</f>
        <v>11645.08</v>
      </c>
      <c r="D195" s="26">
        <f>IF(SUMIFS('BSE - SENSEX Index Options'!$L:$L,'BSE - SENSEX Index Options'!$C:$C,$A195,'BSE - SENSEX Index Options'!$B:$B,D$147,'BSE - SENSEX Index Options'!$H:$H,"Weekly*")+SUMIFS('BSE - SENSEX Index Options'!$L:$L,'BSE - SENSEX Index Options'!$C:$C,$A195,'BSE - SENSEX Index Options'!$B:$B,D$147,'BSE - SENSEX Index Options'!$H:$H,"MDAW*")+SUMIFS('BSE - Other Index Options'!$L:$L,'BSE - Other Index Options'!$C:$C,$A195,'BSE - Other Index Options'!$B:$B,D$147,'BSE - Other Index Options'!$H:$H,"Weekly*")+SUMIFS('BSE - Other Index Options'!$L:$L,'BSE - Other Index Options'!$C:$C,$A195,'BSE - Other Index Options'!$B:$B,D$147,'BSE - Other Index Options'!$H:$H,"MDAW*")=0,"",SUMIFS('BSE - SENSEX Index Options'!$L:$L,'BSE - SENSEX Index Options'!$C:$C,$A195,'BSE - SENSEX Index Options'!$B:$B,D$147,'BSE - SENSEX Index Options'!$H:$H,"Weekly*")+SUMIFS('BSE - SENSEX Index Options'!$L:$L,'BSE - SENSEX Index Options'!$C:$C,$A195,'BSE - SENSEX Index Options'!$B:$B,D$147,'BSE - SENSEX Index Options'!$H:$H,"MDAW*")+SUMIFS('BSE - Other Index Options'!$L:$L,'BSE - Other Index Options'!$C:$C,$A195,'BSE - Other Index Options'!$B:$B,D$147,'BSE - Other Index Options'!$H:$H,"Weekly*")+SUMIFS('BSE - Other Index Options'!$L:$L,'BSE - Other Index Options'!$C:$C,$A195,'BSE - Other Index Options'!$B:$B,D$147,'BSE - Other Index Options'!$H:$H,"MDAW*"))</f>
        <v>38014.36</v>
      </c>
      <c r="E195" s="26">
        <f>IF(SUMIFS('BSE - SENSEX Index Options'!$L:$L,'BSE - SENSEX Index Options'!$C:$C,$A195,'BSE - SENSEX Index Options'!$B:$B,E$147,'BSE - SENSEX Index Options'!$H:$H,"Weekly*")+SUMIFS('BSE - SENSEX Index Options'!$L:$L,'BSE - SENSEX Index Options'!$C:$C,$A195,'BSE - SENSEX Index Options'!$B:$B,E$147,'BSE - SENSEX Index Options'!$H:$H,"MDAW*")+SUMIFS('BSE - Other Index Options'!$L:$L,'BSE - Other Index Options'!$C:$C,$A195,'BSE - Other Index Options'!$B:$B,E$147,'BSE - Other Index Options'!$H:$H,"Weekly*")+SUMIFS('BSE - Other Index Options'!$L:$L,'BSE - Other Index Options'!$C:$C,$A195,'BSE - Other Index Options'!$B:$B,E$147,'BSE - Other Index Options'!$H:$H,"MDAW*")=0,"",SUMIFS('BSE - SENSEX Index Options'!$L:$L,'BSE - SENSEX Index Options'!$C:$C,$A195,'BSE - SENSEX Index Options'!$B:$B,E$147,'BSE - SENSEX Index Options'!$H:$H,"Weekly*")+SUMIFS('BSE - SENSEX Index Options'!$L:$L,'BSE - SENSEX Index Options'!$C:$C,$A195,'BSE - SENSEX Index Options'!$B:$B,E$147,'BSE - SENSEX Index Options'!$H:$H,"MDAW*")+SUMIFS('BSE - Other Index Options'!$L:$L,'BSE - Other Index Options'!$C:$C,$A195,'BSE - Other Index Options'!$B:$B,E$147,'BSE - Other Index Options'!$H:$H,"Weekly*")+SUMIFS('BSE - Other Index Options'!$L:$L,'BSE - Other Index Options'!$C:$C,$A195,'BSE - Other Index Options'!$B:$B,E$147,'BSE - Other Index Options'!$H:$H,"MDAW*"))</f>
        <v>59573.54</v>
      </c>
      <c r="F195" s="26" t="str">
        <f>IF(SUMIFS('BSE - SENSEX Index Options'!$L:$L,'BSE - SENSEX Index Options'!$C:$C,$A195,'BSE - SENSEX Index Options'!$B:$B,F$147,'BSE - SENSEX Index Options'!$H:$H,"Weekly*")+SUMIFS('BSE - SENSEX Index Options'!$L:$L,'BSE - SENSEX Index Options'!$C:$C,$A195,'BSE - SENSEX Index Options'!$B:$B,F$147,'BSE - SENSEX Index Options'!$H:$H,"MDAW*")+SUMIFS('BSE - Other Index Options'!$L:$L,'BSE - Other Index Options'!$C:$C,$A195,'BSE - Other Index Options'!$B:$B,F$147,'BSE - Other Index Options'!$H:$H,"Weekly*")+SUMIFS('BSE - Other Index Options'!$L:$L,'BSE - Other Index Options'!$C:$C,$A195,'BSE - Other Index Options'!$B:$B,F$147,'BSE - Other Index Options'!$H:$H,"MDAW*")=0,"",SUMIFS('BSE - SENSEX Index Options'!$L:$L,'BSE - SENSEX Index Options'!$C:$C,$A195,'BSE - SENSEX Index Options'!$B:$B,F$147,'BSE - SENSEX Index Options'!$H:$H,"Weekly*")+SUMIFS('BSE - SENSEX Index Options'!$L:$L,'BSE - SENSEX Index Options'!$C:$C,$A195,'BSE - SENSEX Index Options'!$B:$B,F$147,'BSE - SENSEX Index Options'!$H:$H,"MDAW*")+SUMIFS('BSE - Other Index Options'!$L:$L,'BSE - Other Index Options'!$C:$C,$A195,'BSE - Other Index Options'!$B:$B,F$147,'BSE - Other Index Options'!$H:$H,"Weekly*")+SUMIFS('BSE - Other Index Options'!$L:$L,'BSE - Other Index Options'!$C:$C,$A195,'BSE - Other Index Options'!$B:$B,F$147,'BSE - Other Index Options'!$H:$H,"MDAW*"))</f>
        <v/>
      </c>
      <c r="G195" s="26" t="str">
        <f>IF(SUMIFS('BSE - SENSEX Index Options'!$L:$L,'BSE - SENSEX Index Options'!$C:$C,$A195,'BSE - SENSEX Index Options'!$B:$B,G$147,'BSE - SENSEX Index Options'!$H:$H,"Weekly*")+SUMIFS('BSE - SENSEX Index Options'!$L:$L,'BSE - SENSEX Index Options'!$C:$C,$A195,'BSE - SENSEX Index Options'!$B:$B,G$147,'BSE - SENSEX Index Options'!$H:$H,"MDAW*")+SUMIFS('BSE - Other Index Options'!$L:$L,'BSE - Other Index Options'!$C:$C,$A195,'BSE - Other Index Options'!$B:$B,G$147,'BSE - Other Index Options'!$H:$H,"Weekly*")+SUMIFS('BSE - Other Index Options'!$L:$L,'BSE - Other Index Options'!$C:$C,$A195,'BSE - Other Index Options'!$B:$B,G$147,'BSE - Other Index Options'!$H:$H,"MDAW*")=0,"",SUMIFS('BSE - SENSEX Index Options'!$L:$L,'BSE - SENSEX Index Options'!$C:$C,$A195,'BSE - SENSEX Index Options'!$B:$B,G$147,'BSE - SENSEX Index Options'!$H:$H,"Weekly*")+SUMIFS('BSE - SENSEX Index Options'!$L:$L,'BSE - SENSEX Index Options'!$C:$C,$A195,'BSE - SENSEX Index Options'!$B:$B,G$147,'BSE - SENSEX Index Options'!$H:$H,"MDAW*")+SUMIFS('BSE - Other Index Options'!$L:$L,'BSE - Other Index Options'!$C:$C,$A195,'BSE - Other Index Options'!$B:$B,G$147,'BSE - Other Index Options'!$H:$H,"Weekly*")+SUMIFS('BSE - Other Index Options'!$L:$L,'BSE - Other Index Options'!$C:$C,$A195,'BSE - Other Index Options'!$B:$B,G$147,'BSE - Other Index Options'!$H:$H,"MDAW*"))</f>
        <v/>
      </c>
      <c r="H195" s="26">
        <f t="shared" si="7"/>
        <v>115979.01000000001</v>
      </c>
    </row>
    <row r="196" spans="1:8">
      <c r="A196" t="s">
        <v>58</v>
      </c>
      <c r="B196" s="26">
        <f>IF(SUMIFS('BSE - SENSEX Index Options'!$L:$L,'BSE - SENSEX Index Options'!$C:$C,$A196,'BSE - SENSEX Index Options'!$B:$B,B$147,'BSE - SENSEX Index Options'!$H:$H,"Weekly*")+SUMIFS('BSE - SENSEX Index Options'!$L:$L,'BSE - SENSEX Index Options'!$C:$C,$A196,'BSE - SENSEX Index Options'!$B:$B,B$147,'BSE - SENSEX Index Options'!$H:$H,"MDAW*")+SUMIFS('BSE - Other Index Options'!$L:$L,'BSE - Other Index Options'!$C:$C,$A196,'BSE - Other Index Options'!$B:$B,B$147,'BSE - Other Index Options'!$H:$H,"Weekly*")+SUMIFS('BSE - Other Index Options'!$L:$L,'BSE - Other Index Options'!$C:$C,$A196,'BSE - Other Index Options'!$B:$B,B$147,'BSE - Other Index Options'!$H:$H,"MDAW*")=0,"",SUMIFS('BSE - SENSEX Index Options'!$L:$L,'BSE - SENSEX Index Options'!$C:$C,$A196,'BSE - SENSEX Index Options'!$B:$B,B$147,'BSE - SENSEX Index Options'!$H:$H,"Weekly*")+SUMIFS('BSE - SENSEX Index Options'!$L:$L,'BSE - SENSEX Index Options'!$C:$C,$A196,'BSE - SENSEX Index Options'!$B:$B,B$147,'BSE - SENSEX Index Options'!$H:$H,"MDAW*")+SUMIFS('BSE - Other Index Options'!$L:$L,'BSE - Other Index Options'!$C:$C,$A196,'BSE - Other Index Options'!$B:$B,B$147,'BSE - Other Index Options'!$H:$H,"Weekly*")+SUMIFS('BSE - Other Index Options'!$L:$L,'BSE - Other Index Options'!$C:$C,$A196,'BSE - Other Index Options'!$B:$B,B$147,'BSE - Other Index Options'!$H:$H,"MDAW*"))</f>
        <v>9855.2900000000009</v>
      </c>
      <c r="C196" s="26">
        <f>IF(SUMIFS('BSE - SENSEX Index Options'!$L:$L,'BSE - SENSEX Index Options'!$C:$C,$A196,'BSE - SENSEX Index Options'!$B:$B,C$147,'BSE - SENSEX Index Options'!$H:$H,"Weekly*")+SUMIFS('BSE - SENSEX Index Options'!$L:$L,'BSE - SENSEX Index Options'!$C:$C,$A196,'BSE - SENSEX Index Options'!$B:$B,C$147,'BSE - SENSEX Index Options'!$H:$H,"MDAW*")+SUMIFS('BSE - Other Index Options'!$L:$L,'BSE - Other Index Options'!$C:$C,$A196,'BSE - Other Index Options'!$B:$B,C$147,'BSE - Other Index Options'!$H:$H,"Weekly*")+SUMIFS('BSE - Other Index Options'!$L:$L,'BSE - Other Index Options'!$C:$C,$A196,'BSE - Other Index Options'!$B:$B,C$147,'BSE - Other Index Options'!$H:$H,"MDAW*")=0,"",SUMIFS('BSE - SENSEX Index Options'!$L:$L,'BSE - SENSEX Index Options'!$C:$C,$A196,'BSE - SENSEX Index Options'!$B:$B,C$147,'BSE - SENSEX Index Options'!$H:$H,"Weekly*")+SUMIFS('BSE - SENSEX Index Options'!$L:$L,'BSE - SENSEX Index Options'!$C:$C,$A196,'BSE - SENSEX Index Options'!$B:$B,C$147,'BSE - SENSEX Index Options'!$H:$H,"MDAW*")+SUMIFS('BSE - Other Index Options'!$L:$L,'BSE - Other Index Options'!$C:$C,$A196,'BSE - Other Index Options'!$B:$B,C$147,'BSE - Other Index Options'!$H:$H,"Weekly*")+SUMIFS('BSE - Other Index Options'!$L:$L,'BSE - Other Index Options'!$C:$C,$A196,'BSE - Other Index Options'!$B:$B,C$147,'BSE - Other Index Options'!$H:$H,"MDAW*"))</f>
        <v>10350.410000000002</v>
      </c>
      <c r="D196" s="26" t="str">
        <f>IF(SUMIFS('BSE - SENSEX Index Options'!$L:$L,'BSE - SENSEX Index Options'!$C:$C,$A196,'BSE - SENSEX Index Options'!$B:$B,D$147,'BSE - SENSEX Index Options'!$H:$H,"Weekly*")+SUMIFS('BSE - SENSEX Index Options'!$L:$L,'BSE - SENSEX Index Options'!$C:$C,$A196,'BSE - SENSEX Index Options'!$B:$B,D$147,'BSE - SENSEX Index Options'!$H:$H,"MDAW*")+SUMIFS('BSE - Other Index Options'!$L:$L,'BSE - Other Index Options'!$C:$C,$A196,'BSE - Other Index Options'!$B:$B,D$147,'BSE - Other Index Options'!$H:$H,"Weekly*")+SUMIFS('BSE - Other Index Options'!$L:$L,'BSE - Other Index Options'!$C:$C,$A196,'BSE - Other Index Options'!$B:$B,D$147,'BSE - Other Index Options'!$H:$H,"MDAW*")=0,"",SUMIFS('BSE - SENSEX Index Options'!$L:$L,'BSE - SENSEX Index Options'!$C:$C,$A196,'BSE - SENSEX Index Options'!$B:$B,D$147,'BSE - SENSEX Index Options'!$H:$H,"Weekly*")+SUMIFS('BSE - SENSEX Index Options'!$L:$L,'BSE - SENSEX Index Options'!$C:$C,$A196,'BSE - SENSEX Index Options'!$B:$B,D$147,'BSE - SENSEX Index Options'!$H:$H,"MDAW*")+SUMIFS('BSE - Other Index Options'!$L:$L,'BSE - Other Index Options'!$C:$C,$A196,'BSE - Other Index Options'!$B:$B,D$147,'BSE - Other Index Options'!$H:$H,"Weekly*")+SUMIFS('BSE - Other Index Options'!$L:$L,'BSE - Other Index Options'!$C:$C,$A196,'BSE - Other Index Options'!$B:$B,D$147,'BSE - Other Index Options'!$H:$H,"MDAW*"))</f>
        <v/>
      </c>
      <c r="E196" s="26" t="str">
        <f>IF(SUMIFS('BSE - SENSEX Index Options'!$L:$L,'BSE - SENSEX Index Options'!$C:$C,$A196,'BSE - SENSEX Index Options'!$B:$B,E$147,'BSE - SENSEX Index Options'!$H:$H,"Weekly*")+SUMIFS('BSE - SENSEX Index Options'!$L:$L,'BSE - SENSEX Index Options'!$C:$C,$A196,'BSE - SENSEX Index Options'!$B:$B,E$147,'BSE - SENSEX Index Options'!$H:$H,"MDAW*")+SUMIFS('BSE - Other Index Options'!$L:$L,'BSE - Other Index Options'!$C:$C,$A196,'BSE - Other Index Options'!$B:$B,E$147,'BSE - Other Index Options'!$H:$H,"Weekly*")+SUMIFS('BSE - Other Index Options'!$L:$L,'BSE - Other Index Options'!$C:$C,$A196,'BSE - Other Index Options'!$B:$B,E$147,'BSE - Other Index Options'!$H:$H,"MDAW*")=0,"",SUMIFS('BSE - SENSEX Index Options'!$L:$L,'BSE - SENSEX Index Options'!$C:$C,$A196,'BSE - SENSEX Index Options'!$B:$B,E$147,'BSE - SENSEX Index Options'!$H:$H,"Weekly*")+SUMIFS('BSE - SENSEX Index Options'!$L:$L,'BSE - SENSEX Index Options'!$C:$C,$A196,'BSE - SENSEX Index Options'!$B:$B,E$147,'BSE - SENSEX Index Options'!$H:$H,"MDAW*")+SUMIFS('BSE - Other Index Options'!$L:$L,'BSE - Other Index Options'!$C:$C,$A196,'BSE - Other Index Options'!$B:$B,E$147,'BSE - Other Index Options'!$H:$H,"Weekly*")+SUMIFS('BSE - Other Index Options'!$L:$L,'BSE - Other Index Options'!$C:$C,$A196,'BSE - Other Index Options'!$B:$B,E$147,'BSE - Other Index Options'!$H:$H,"MDAW*"))</f>
        <v/>
      </c>
      <c r="F196" s="26" t="str">
        <f>IF(SUMIFS('BSE - SENSEX Index Options'!$L:$L,'BSE - SENSEX Index Options'!$C:$C,$A196,'BSE - SENSEX Index Options'!$B:$B,F$147,'BSE - SENSEX Index Options'!$H:$H,"Weekly*")+SUMIFS('BSE - SENSEX Index Options'!$L:$L,'BSE - SENSEX Index Options'!$C:$C,$A196,'BSE - SENSEX Index Options'!$B:$B,F$147,'BSE - SENSEX Index Options'!$H:$H,"MDAW*")+SUMIFS('BSE - Other Index Options'!$L:$L,'BSE - Other Index Options'!$C:$C,$A196,'BSE - Other Index Options'!$B:$B,F$147,'BSE - Other Index Options'!$H:$H,"Weekly*")+SUMIFS('BSE - Other Index Options'!$L:$L,'BSE - Other Index Options'!$C:$C,$A196,'BSE - Other Index Options'!$B:$B,F$147,'BSE - Other Index Options'!$H:$H,"MDAW*")=0,"",SUMIFS('BSE - SENSEX Index Options'!$L:$L,'BSE - SENSEX Index Options'!$C:$C,$A196,'BSE - SENSEX Index Options'!$B:$B,F$147,'BSE - SENSEX Index Options'!$H:$H,"Weekly*")+SUMIFS('BSE - SENSEX Index Options'!$L:$L,'BSE - SENSEX Index Options'!$C:$C,$A196,'BSE - SENSEX Index Options'!$B:$B,F$147,'BSE - SENSEX Index Options'!$H:$H,"MDAW*")+SUMIFS('BSE - Other Index Options'!$L:$L,'BSE - Other Index Options'!$C:$C,$A196,'BSE - Other Index Options'!$B:$B,F$147,'BSE - Other Index Options'!$H:$H,"Weekly*")+SUMIFS('BSE - Other Index Options'!$L:$L,'BSE - Other Index Options'!$C:$C,$A196,'BSE - Other Index Options'!$B:$B,F$147,'BSE - Other Index Options'!$H:$H,"MDAW*"))</f>
        <v/>
      </c>
      <c r="G196" s="26" t="str">
        <f>IF(SUMIFS('BSE - SENSEX Index Options'!$L:$L,'BSE - SENSEX Index Options'!$C:$C,$A196,'BSE - SENSEX Index Options'!$B:$B,G$147,'BSE - SENSEX Index Options'!$H:$H,"Weekly*")+SUMIFS('BSE - SENSEX Index Options'!$L:$L,'BSE - SENSEX Index Options'!$C:$C,$A196,'BSE - SENSEX Index Options'!$B:$B,G$147,'BSE - SENSEX Index Options'!$H:$H,"MDAW*")+SUMIFS('BSE - Other Index Options'!$L:$L,'BSE - Other Index Options'!$C:$C,$A196,'BSE - Other Index Options'!$B:$B,G$147,'BSE - Other Index Options'!$H:$H,"Weekly*")+SUMIFS('BSE - Other Index Options'!$L:$L,'BSE - Other Index Options'!$C:$C,$A196,'BSE - Other Index Options'!$B:$B,G$147,'BSE - Other Index Options'!$H:$H,"MDAW*")=0,"",SUMIFS('BSE - SENSEX Index Options'!$L:$L,'BSE - SENSEX Index Options'!$C:$C,$A196,'BSE - SENSEX Index Options'!$B:$B,G$147,'BSE - SENSEX Index Options'!$H:$H,"Weekly*")+SUMIFS('BSE - SENSEX Index Options'!$L:$L,'BSE - SENSEX Index Options'!$C:$C,$A196,'BSE - SENSEX Index Options'!$B:$B,G$147,'BSE - SENSEX Index Options'!$H:$H,"MDAW*")+SUMIFS('BSE - Other Index Options'!$L:$L,'BSE - Other Index Options'!$C:$C,$A196,'BSE - Other Index Options'!$B:$B,G$147,'BSE - Other Index Options'!$H:$H,"Weekly*")+SUMIFS('BSE - Other Index Options'!$L:$L,'BSE - Other Index Options'!$C:$C,$A196,'BSE - Other Index Options'!$B:$B,G$147,'BSE - Other Index Options'!$H:$H,"MDAW*"))</f>
        <v/>
      </c>
      <c r="H196" s="26">
        <f t="shared" si="7"/>
        <v>20205.700000000004</v>
      </c>
    </row>
    <row r="197" spans="1:8">
      <c r="A197" t="s">
        <v>59</v>
      </c>
      <c r="B197" s="26">
        <f>IF(SUMIFS('BSE - SENSEX Index Options'!$L:$L,'BSE - SENSEX Index Options'!$C:$C,$A197,'BSE - SENSEX Index Options'!$B:$B,B$147,'BSE - SENSEX Index Options'!$H:$H,"Weekly*")+SUMIFS('BSE - SENSEX Index Options'!$L:$L,'BSE - SENSEX Index Options'!$C:$C,$A197,'BSE - SENSEX Index Options'!$B:$B,B$147,'BSE - SENSEX Index Options'!$H:$H,"MDAW*")+SUMIFS('BSE - Other Index Options'!$L:$L,'BSE - Other Index Options'!$C:$C,$A197,'BSE - Other Index Options'!$B:$B,B$147,'BSE - Other Index Options'!$H:$H,"Weekly*")+SUMIFS('BSE - Other Index Options'!$L:$L,'BSE - Other Index Options'!$C:$C,$A197,'BSE - Other Index Options'!$B:$B,B$147,'BSE - Other Index Options'!$H:$H,"MDAW*")=0,"",SUMIFS('BSE - SENSEX Index Options'!$L:$L,'BSE - SENSEX Index Options'!$C:$C,$A197,'BSE - SENSEX Index Options'!$B:$B,B$147,'BSE - SENSEX Index Options'!$H:$H,"Weekly*")+SUMIFS('BSE - SENSEX Index Options'!$L:$L,'BSE - SENSEX Index Options'!$C:$C,$A197,'BSE - SENSEX Index Options'!$B:$B,B$147,'BSE - SENSEX Index Options'!$H:$H,"MDAW*")+SUMIFS('BSE - Other Index Options'!$L:$L,'BSE - Other Index Options'!$C:$C,$A197,'BSE - Other Index Options'!$B:$B,B$147,'BSE - Other Index Options'!$H:$H,"Weekly*")+SUMIFS('BSE - Other Index Options'!$L:$L,'BSE - Other Index Options'!$C:$C,$A197,'BSE - Other Index Options'!$B:$B,B$147,'BSE - Other Index Options'!$H:$H,"MDAW*"))</f>
        <v>8690.27</v>
      </c>
      <c r="C197" s="26">
        <f>IF(SUMIFS('BSE - SENSEX Index Options'!$L:$L,'BSE - SENSEX Index Options'!$C:$C,$A197,'BSE - SENSEX Index Options'!$B:$B,C$147,'BSE - SENSEX Index Options'!$H:$H,"Weekly*")+SUMIFS('BSE - SENSEX Index Options'!$L:$L,'BSE - SENSEX Index Options'!$C:$C,$A197,'BSE - SENSEX Index Options'!$B:$B,C$147,'BSE - SENSEX Index Options'!$H:$H,"MDAW*")+SUMIFS('BSE - Other Index Options'!$L:$L,'BSE - Other Index Options'!$C:$C,$A197,'BSE - Other Index Options'!$B:$B,C$147,'BSE - Other Index Options'!$H:$H,"Weekly*")+SUMIFS('BSE - Other Index Options'!$L:$L,'BSE - Other Index Options'!$C:$C,$A197,'BSE - Other Index Options'!$B:$B,C$147,'BSE - Other Index Options'!$H:$H,"MDAW*")=0,"",SUMIFS('BSE - SENSEX Index Options'!$L:$L,'BSE - SENSEX Index Options'!$C:$C,$A197,'BSE - SENSEX Index Options'!$B:$B,C$147,'BSE - SENSEX Index Options'!$H:$H,"Weekly*")+SUMIFS('BSE - SENSEX Index Options'!$L:$L,'BSE - SENSEX Index Options'!$C:$C,$A197,'BSE - SENSEX Index Options'!$B:$B,C$147,'BSE - SENSEX Index Options'!$H:$H,"MDAW*")+SUMIFS('BSE - Other Index Options'!$L:$L,'BSE - Other Index Options'!$C:$C,$A197,'BSE - Other Index Options'!$B:$B,C$147,'BSE - Other Index Options'!$H:$H,"Weekly*")+SUMIFS('BSE - Other Index Options'!$L:$L,'BSE - Other Index Options'!$C:$C,$A197,'BSE - Other Index Options'!$B:$B,C$147,'BSE - Other Index Options'!$H:$H,"MDAW*"))</f>
        <v>10136.66</v>
      </c>
      <c r="D197" s="26">
        <f>IF(SUMIFS('BSE - SENSEX Index Options'!$L:$L,'BSE - SENSEX Index Options'!$C:$C,$A197,'BSE - SENSEX Index Options'!$B:$B,D$147,'BSE - SENSEX Index Options'!$H:$H,"Weekly*")+SUMIFS('BSE - SENSEX Index Options'!$L:$L,'BSE - SENSEX Index Options'!$C:$C,$A197,'BSE - SENSEX Index Options'!$B:$B,D$147,'BSE - SENSEX Index Options'!$H:$H,"MDAW*")+SUMIFS('BSE - Other Index Options'!$L:$L,'BSE - Other Index Options'!$C:$C,$A197,'BSE - Other Index Options'!$B:$B,D$147,'BSE - Other Index Options'!$H:$H,"Weekly*")+SUMIFS('BSE - Other Index Options'!$L:$L,'BSE - Other Index Options'!$C:$C,$A197,'BSE - Other Index Options'!$B:$B,D$147,'BSE - Other Index Options'!$H:$H,"MDAW*")=0,"",SUMIFS('BSE - SENSEX Index Options'!$L:$L,'BSE - SENSEX Index Options'!$C:$C,$A197,'BSE - SENSEX Index Options'!$B:$B,D$147,'BSE - SENSEX Index Options'!$H:$H,"Weekly*")+SUMIFS('BSE - SENSEX Index Options'!$L:$L,'BSE - SENSEX Index Options'!$C:$C,$A197,'BSE - SENSEX Index Options'!$B:$B,D$147,'BSE - SENSEX Index Options'!$H:$H,"MDAW*")+SUMIFS('BSE - Other Index Options'!$L:$L,'BSE - Other Index Options'!$C:$C,$A197,'BSE - Other Index Options'!$B:$B,D$147,'BSE - Other Index Options'!$H:$H,"Weekly*")+SUMIFS('BSE - Other Index Options'!$L:$L,'BSE - Other Index Options'!$C:$C,$A197,'BSE - Other Index Options'!$B:$B,D$147,'BSE - Other Index Options'!$H:$H,"MDAW*"))</f>
        <v>35485.500000000007</v>
      </c>
      <c r="E197" s="26">
        <f>IF(SUMIFS('BSE - SENSEX Index Options'!$L:$L,'BSE - SENSEX Index Options'!$C:$C,$A197,'BSE - SENSEX Index Options'!$B:$B,E$147,'BSE - SENSEX Index Options'!$H:$H,"Weekly*")+SUMIFS('BSE - SENSEX Index Options'!$L:$L,'BSE - SENSEX Index Options'!$C:$C,$A197,'BSE - SENSEX Index Options'!$B:$B,E$147,'BSE - SENSEX Index Options'!$H:$H,"MDAW*")+SUMIFS('BSE - Other Index Options'!$L:$L,'BSE - Other Index Options'!$C:$C,$A197,'BSE - Other Index Options'!$B:$B,E$147,'BSE - Other Index Options'!$H:$H,"Weekly*")+SUMIFS('BSE - Other Index Options'!$L:$L,'BSE - Other Index Options'!$C:$C,$A197,'BSE - Other Index Options'!$B:$B,E$147,'BSE - Other Index Options'!$H:$H,"MDAW*")=0,"",SUMIFS('BSE - SENSEX Index Options'!$L:$L,'BSE - SENSEX Index Options'!$C:$C,$A197,'BSE - SENSEX Index Options'!$B:$B,E$147,'BSE - SENSEX Index Options'!$H:$H,"Weekly*")+SUMIFS('BSE - SENSEX Index Options'!$L:$L,'BSE - SENSEX Index Options'!$C:$C,$A197,'BSE - SENSEX Index Options'!$B:$B,E$147,'BSE - SENSEX Index Options'!$H:$H,"MDAW*")+SUMIFS('BSE - Other Index Options'!$L:$L,'BSE - Other Index Options'!$C:$C,$A197,'BSE - Other Index Options'!$B:$B,E$147,'BSE - Other Index Options'!$H:$H,"Weekly*")+SUMIFS('BSE - Other Index Options'!$L:$L,'BSE - Other Index Options'!$C:$C,$A197,'BSE - Other Index Options'!$B:$B,E$147,'BSE - Other Index Options'!$H:$H,"MDAW*"))</f>
        <v>54668.400000000009</v>
      </c>
      <c r="F197" s="26">
        <f>IF(SUMIFS('BSE - SENSEX Index Options'!$L:$L,'BSE - SENSEX Index Options'!$C:$C,$A197,'BSE - SENSEX Index Options'!$B:$B,F$147,'BSE - SENSEX Index Options'!$H:$H,"Weekly*")+SUMIFS('BSE - SENSEX Index Options'!$L:$L,'BSE - SENSEX Index Options'!$C:$C,$A197,'BSE - SENSEX Index Options'!$B:$B,F$147,'BSE - SENSEX Index Options'!$H:$H,"MDAW*")+SUMIFS('BSE - Other Index Options'!$L:$L,'BSE - Other Index Options'!$C:$C,$A197,'BSE - Other Index Options'!$B:$B,F$147,'BSE - Other Index Options'!$H:$H,"Weekly*")+SUMIFS('BSE - Other Index Options'!$L:$L,'BSE - Other Index Options'!$C:$C,$A197,'BSE - Other Index Options'!$B:$B,F$147,'BSE - Other Index Options'!$H:$H,"MDAW*")=0,"",SUMIFS('BSE - SENSEX Index Options'!$L:$L,'BSE - SENSEX Index Options'!$C:$C,$A197,'BSE - SENSEX Index Options'!$B:$B,F$147,'BSE - SENSEX Index Options'!$H:$H,"Weekly*")+SUMIFS('BSE - SENSEX Index Options'!$L:$L,'BSE - SENSEX Index Options'!$C:$C,$A197,'BSE - SENSEX Index Options'!$B:$B,F$147,'BSE - SENSEX Index Options'!$H:$H,"MDAW*")+SUMIFS('BSE - Other Index Options'!$L:$L,'BSE - Other Index Options'!$C:$C,$A197,'BSE - Other Index Options'!$B:$B,F$147,'BSE - Other Index Options'!$H:$H,"Weekly*")+SUMIFS('BSE - Other Index Options'!$L:$L,'BSE - Other Index Options'!$C:$C,$A197,'BSE - Other Index Options'!$B:$B,F$147,'BSE - Other Index Options'!$H:$H,"MDAW*"))</f>
        <v>9183.75</v>
      </c>
      <c r="G197" s="26" t="str">
        <f>IF(SUMIFS('BSE - SENSEX Index Options'!$L:$L,'BSE - SENSEX Index Options'!$C:$C,$A197,'BSE - SENSEX Index Options'!$B:$B,G$147,'BSE - SENSEX Index Options'!$H:$H,"Weekly*")+SUMIFS('BSE - SENSEX Index Options'!$L:$L,'BSE - SENSEX Index Options'!$C:$C,$A197,'BSE - SENSEX Index Options'!$B:$B,G$147,'BSE - SENSEX Index Options'!$H:$H,"MDAW*")+SUMIFS('BSE - Other Index Options'!$L:$L,'BSE - Other Index Options'!$C:$C,$A197,'BSE - Other Index Options'!$B:$B,G$147,'BSE - Other Index Options'!$H:$H,"Weekly*")+SUMIFS('BSE - Other Index Options'!$L:$L,'BSE - Other Index Options'!$C:$C,$A197,'BSE - Other Index Options'!$B:$B,G$147,'BSE - Other Index Options'!$H:$H,"MDAW*")=0,"",SUMIFS('BSE - SENSEX Index Options'!$L:$L,'BSE - SENSEX Index Options'!$C:$C,$A197,'BSE - SENSEX Index Options'!$B:$B,G$147,'BSE - SENSEX Index Options'!$H:$H,"Weekly*")+SUMIFS('BSE - SENSEX Index Options'!$L:$L,'BSE - SENSEX Index Options'!$C:$C,$A197,'BSE - SENSEX Index Options'!$B:$B,G$147,'BSE - SENSEX Index Options'!$H:$H,"MDAW*")+SUMIFS('BSE - Other Index Options'!$L:$L,'BSE - Other Index Options'!$C:$C,$A197,'BSE - Other Index Options'!$B:$B,G$147,'BSE - Other Index Options'!$H:$H,"Weekly*")+SUMIFS('BSE - Other Index Options'!$L:$L,'BSE - Other Index Options'!$C:$C,$A197,'BSE - Other Index Options'!$B:$B,G$147,'BSE - Other Index Options'!$H:$H,"MDAW*"))</f>
        <v/>
      </c>
      <c r="H197" s="26">
        <f t="shared" si="7"/>
        <v>118164.58000000002</v>
      </c>
    </row>
    <row r="198" spans="1:8">
      <c r="A198" t="s">
        <v>60</v>
      </c>
      <c r="B198" s="26" t="str">
        <f>IF(SUMIFS('BSE - SENSEX Index Options'!$L:$L,'BSE - SENSEX Index Options'!$C:$C,$A198,'BSE - SENSEX Index Options'!$B:$B,B$147,'BSE - SENSEX Index Options'!$H:$H,"Weekly*")+SUMIFS('BSE - SENSEX Index Options'!$L:$L,'BSE - SENSEX Index Options'!$C:$C,$A198,'BSE - SENSEX Index Options'!$B:$B,B$147,'BSE - SENSEX Index Options'!$H:$H,"MDAW*")+SUMIFS('BSE - Other Index Options'!$L:$L,'BSE - Other Index Options'!$C:$C,$A198,'BSE - Other Index Options'!$B:$B,B$147,'BSE - Other Index Options'!$H:$H,"Weekly*")+SUMIFS('BSE - Other Index Options'!$L:$L,'BSE - Other Index Options'!$C:$C,$A198,'BSE - Other Index Options'!$B:$B,B$147,'BSE - Other Index Options'!$H:$H,"MDAW*")=0,"",SUMIFS('BSE - SENSEX Index Options'!$L:$L,'BSE - SENSEX Index Options'!$C:$C,$A198,'BSE - SENSEX Index Options'!$B:$B,B$147,'BSE - SENSEX Index Options'!$H:$H,"Weekly*")+SUMIFS('BSE - SENSEX Index Options'!$L:$L,'BSE - SENSEX Index Options'!$C:$C,$A198,'BSE - SENSEX Index Options'!$B:$B,B$147,'BSE - SENSEX Index Options'!$H:$H,"MDAW*")+SUMIFS('BSE - Other Index Options'!$L:$L,'BSE - Other Index Options'!$C:$C,$A198,'BSE - Other Index Options'!$B:$B,B$147,'BSE - Other Index Options'!$H:$H,"Weekly*")+SUMIFS('BSE - Other Index Options'!$L:$L,'BSE - Other Index Options'!$C:$C,$A198,'BSE - Other Index Options'!$B:$B,B$147,'BSE - Other Index Options'!$H:$H,"MDAW*"))</f>
        <v/>
      </c>
      <c r="C198" s="26" t="str">
        <f>IF(SUMIFS('BSE - SENSEX Index Options'!$L:$L,'BSE - SENSEX Index Options'!$C:$C,$A198,'BSE - SENSEX Index Options'!$B:$B,C$147,'BSE - SENSEX Index Options'!$H:$H,"Weekly*")+SUMIFS('BSE - SENSEX Index Options'!$L:$L,'BSE - SENSEX Index Options'!$C:$C,$A198,'BSE - SENSEX Index Options'!$B:$B,C$147,'BSE - SENSEX Index Options'!$H:$H,"MDAW*")+SUMIFS('BSE - Other Index Options'!$L:$L,'BSE - Other Index Options'!$C:$C,$A198,'BSE - Other Index Options'!$B:$B,C$147,'BSE - Other Index Options'!$H:$H,"Weekly*")+SUMIFS('BSE - Other Index Options'!$L:$L,'BSE - Other Index Options'!$C:$C,$A198,'BSE - Other Index Options'!$B:$B,C$147,'BSE - Other Index Options'!$H:$H,"MDAW*")=0,"",SUMIFS('BSE - SENSEX Index Options'!$L:$L,'BSE - SENSEX Index Options'!$C:$C,$A198,'BSE - SENSEX Index Options'!$B:$B,C$147,'BSE - SENSEX Index Options'!$H:$H,"Weekly*")+SUMIFS('BSE - SENSEX Index Options'!$L:$L,'BSE - SENSEX Index Options'!$C:$C,$A198,'BSE - SENSEX Index Options'!$B:$B,C$147,'BSE - SENSEX Index Options'!$H:$H,"MDAW*")+SUMIFS('BSE - Other Index Options'!$L:$L,'BSE - Other Index Options'!$C:$C,$A198,'BSE - Other Index Options'!$B:$B,C$147,'BSE - Other Index Options'!$H:$H,"Weekly*")+SUMIFS('BSE - Other Index Options'!$L:$L,'BSE - Other Index Options'!$C:$C,$A198,'BSE - Other Index Options'!$B:$B,C$147,'BSE - Other Index Options'!$H:$H,"MDAW*"))</f>
        <v/>
      </c>
      <c r="D198" s="26">
        <f>IF(SUMIFS('BSE - SENSEX Index Options'!$L:$L,'BSE - SENSEX Index Options'!$C:$C,$A198,'BSE - SENSEX Index Options'!$B:$B,D$147,'BSE - SENSEX Index Options'!$H:$H,"Weekly*")+SUMIFS('BSE - SENSEX Index Options'!$L:$L,'BSE - SENSEX Index Options'!$C:$C,$A198,'BSE - SENSEX Index Options'!$B:$B,D$147,'BSE - SENSEX Index Options'!$H:$H,"MDAW*")+SUMIFS('BSE - Other Index Options'!$L:$L,'BSE - Other Index Options'!$C:$C,$A198,'BSE - Other Index Options'!$B:$B,D$147,'BSE - Other Index Options'!$H:$H,"Weekly*")+SUMIFS('BSE - Other Index Options'!$L:$L,'BSE - Other Index Options'!$C:$C,$A198,'BSE - Other Index Options'!$B:$B,D$147,'BSE - Other Index Options'!$H:$H,"MDAW*")=0,"",SUMIFS('BSE - SENSEX Index Options'!$L:$L,'BSE - SENSEX Index Options'!$C:$C,$A198,'BSE - SENSEX Index Options'!$B:$B,D$147,'BSE - SENSEX Index Options'!$H:$H,"Weekly*")+SUMIFS('BSE - SENSEX Index Options'!$L:$L,'BSE - SENSEX Index Options'!$C:$C,$A198,'BSE - SENSEX Index Options'!$B:$B,D$147,'BSE - SENSEX Index Options'!$H:$H,"MDAW*")+SUMIFS('BSE - Other Index Options'!$L:$L,'BSE - Other Index Options'!$C:$C,$A198,'BSE - Other Index Options'!$B:$B,D$147,'BSE - Other Index Options'!$H:$H,"Weekly*")+SUMIFS('BSE - Other Index Options'!$L:$L,'BSE - Other Index Options'!$C:$C,$A198,'BSE - Other Index Options'!$B:$B,D$147,'BSE - Other Index Options'!$H:$H,"MDAW*"))</f>
        <v>49873.39</v>
      </c>
      <c r="E198" s="26" t="str">
        <f>IF(SUMIFS('BSE - SENSEX Index Options'!$L:$L,'BSE - SENSEX Index Options'!$C:$C,$A198,'BSE - SENSEX Index Options'!$B:$B,E$147,'BSE - SENSEX Index Options'!$H:$H,"Weekly*")+SUMIFS('BSE - SENSEX Index Options'!$L:$L,'BSE - SENSEX Index Options'!$C:$C,$A198,'BSE - SENSEX Index Options'!$B:$B,E$147,'BSE - SENSEX Index Options'!$H:$H,"MDAW*")+SUMIFS('BSE - Other Index Options'!$L:$L,'BSE - Other Index Options'!$C:$C,$A198,'BSE - Other Index Options'!$B:$B,E$147,'BSE - Other Index Options'!$H:$H,"Weekly*")+SUMIFS('BSE - Other Index Options'!$L:$L,'BSE - Other Index Options'!$C:$C,$A198,'BSE - Other Index Options'!$B:$B,E$147,'BSE - Other Index Options'!$H:$H,"MDAW*")=0,"",SUMIFS('BSE - SENSEX Index Options'!$L:$L,'BSE - SENSEX Index Options'!$C:$C,$A198,'BSE - SENSEX Index Options'!$B:$B,E$147,'BSE - SENSEX Index Options'!$H:$H,"Weekly*")+SUMIFS('BSE - SENSEX Index Options'!$L:$L,'BSE - SENSEX Index Options'!$C:$C,$A198,'BSE - SENSEX Index Options'!$B:$B,E$147,'BSE - SENSEX Index Options'!$H:$H,"MDAW*")+SUMIFS('BSE - Other Index Options'!$L:$L,'BSE - Other Index Options'!$C:$C,$A198,'BSE - Other Index Options'!$B:$B,E$147,'BSE - Other Index Options'!$H:$H,"Weekly*")+SUMIFS('BSE - Other Index Options'!$L:$L,'BSE - Other Index Options'!$C:$C,$A198,'BSE - Other Index Options'!$B:$B,E$147,'BSE - Other Index Options'!$H:$H,"MDAW*"))</f>
        <v/>
      </c>
      <c r="F198" s="26" t="str">
        <f>IF(SUMIFS('BSE - SENSEX Index Options'!$L:$L,'BSE - SENSEX Index Options'!$C:$C,$A198,'BSE - SENSEX Index Options'!$B:$B,F$147,'BSE - SENSEX Index Options'!$H:$H,"Weekly*")+SUMIFS('BSE - SENSEX Index Options'!$L:$L,'BSE - SENSEX Index Options'!$C:$C,$A198,'BSE - SENSEX Index Options'!$B:$B,F$147,'BSE - SENSEX Index Options'!$H:$H,"MDAW*")+SUMIFS('BSE - Other Index Options'!$L:$L,'BSE - Other Index Options'!$C:$C,$A198,'BSE - Other Index Options'!$B:$B,F$147,'BSE - Other Index Options'!$H:$H,"Weekly*")+SUMIFS('BSE - Other Index Options'!$L:$L,'BSE - Other Index Options'!$C:$C,$A198,'BSE - Other Index Options'!$B:$B,F$147,'BSE - Other Index Options'!$H:$H,"MDAW*")=0,"",SUMIFS('BSE - SENSEX Index Options'!$L:$L,'BSE - SENSEX Index Options'!$C:$C,$A198,'BSE - SENSEX Index Options'!$B:$B,F$147,'BSE - SENSEX Index Options'!$H:$H,"Weekly*")+SUMIFS('BSE - SENSEX Index Options'!$L:$L,'BSE - SENSEX Index Options'!$C:$C,$A198,'BSE - SENSEX Index Options'!$B:$B,F$147,'BSE - SENSEX Index Options'!$H:$H,"MDAW*")+SUMIFS('BSE - Other Index Options'!$L:$L,'BSE - Other Index Options'!$C:$C,$A198,'BSE - Other Index Options'!$B:$B,F$147,'BSE - Other Index Options'!$H:$H,"Weekly*")+SUMIFS('BSE - Other Index Options'!$L:$L,'BSE - Other Index Options'!$C:$C,$A198,'BSE - Other Index Options'!$B:$B,F$147,'BSE - Other Index Options'!$H:$H,"MDAW*"))</f>
        <v/>
      </c>
      <c r="G198" s="26" t="str">
        <f>IF(SUMIFS('BSE - SENSEX Index Options'!$L:$L,'BSE - SENSEX Index Options'!$C:$C,$A198,'BSE - SENSEX Index Options'!$B:$B,G$147,'BSE - SENSEX Index Options'!$H:$H,"Weekly*")+SUMIFS('BSE - SENSEX Index Options'!$L:$L,'BSE - SENSEX Index Options'!$C:$C,$A198,'BSE - SENSEX Index Options'!$B:$B,G$147,'BSE - SENSEX Index Options'!$H:$H,"MDAW*")+SUMIFS('BSE - Other Index Options'!$L:$L,'BSE - Other Index Options'!$C:$C,$A198,'BSE - Other Index Options'!$B:$B,G$147,'BSE - Other Index Options'!$H:$H,"Weekly*")+SUMIFS('BSE - Other Index Options'!$L:$L,'BSE - Other Index Options'!$C:$C,$A198,'BSE - Other Index Options'!$B:$B,G$147,'BSE - Other Index Options'!$H:$H,"MDAW*")=0,"",SUMIFS('BSE - SENSEX Index Options'!$L:$L,'BSE - SENSEX Index Options'!$C:$C,$A198,'BSE - SENSEX Index Options'!$B:$B,G$147,'BSE - SENSEX Index Options'!$H:$H,"Weekly*")+SUMIFS('BSE - SENSEX Index Options'!$L:$L,'BSE - SENSEX Index Options'!$C:$C,$A198,'BSE - SENSEX Index Options'!$B:$B,G$147,'BSE - SENSEX Index Options'!$H:$H,"MDAW*")+SUMIFS('BSE - Other Index Options'!$L:$L,'BSE - Other Index Options'!$C:$C,$A198,'BSE - Other Index Options'!$B:$B,G$147,'BSE - Other Index Options'!$H:$H,"Weekly*")+SUMIFS('BSE - Other Index Options'!$L:$L,'BSE - Other Index Options'!$C:$C,$A198,'BSE - Other Index Options'!$B:$B,G$147,'BSE - Other Index Options'!$H:$H,"MDAW*"))</f>
        <v/>
      </c>
      <c r="H198" s="26">
        <f t="shared" si="7"/>
        <v>49873.39</v>
      </c>
    </row>
    <row r="199" spans="1:8">
      <c r="A199" t="s">
        <v>61</v>
      </c>
      <c r="B199" s="26" t="str">
        <f>IF(SUMIFS('BSE - SENSEX Index Options'!$L:$L,'BSE - SENSEX Index Options'!$C:$C,$A199,'BSE - SENSEX Index Options'!$B:$B,B$147,'BSE - SENSEX Index Options'!$H:$H,"Weekly*")+SUMIFS('BSE - SENSEX Index Options'!$L:$L,'BSE - SENSEX Index Options'!$C:$C,$A199,'BSE - SENSEX Index Options'!$B:$B,B$147,'BSE - SENSEX Index Options'!$H:$H,"MDAW*")+SUMIFS('BSE - Other Index Options'!$L:$L,'BSE - Other Index Options'!$C:$C,$A199,'BSE - Other Index Options'!$B:$B,B$147,'BSE - Other Index Options'!$H:$H,"Weekly*")+SUMIFS('BSE - Other Index Options'!$L:$L,'BSE - Other Index Options'!$C:$C,$A199,'BSE - Other Index Options'!$B:$B,B$147,'BSE - Other Index Options'!$H:$H,"MDAW*")=0,"",SUMIFS('BSE - SENSEX Index Options'!$L:$L,'BSE - SENSEX Index Options'!$C:$C,$A199,'BSE - SENSEX Index Options'!$B:$B,B$147,'BSE - SENSEX Index Options'!$H:$H,"Weekly*")+SUMIFS('BSE - SENSEX Index Options'!$L:$L,'BSE - SENSEX Index Options'!$C:$C,$A199,'BSE - SENSEX Index Options'!$B:$B,B$147,'BSE - SENSEX Index Options'!$H:$H,"MDAW*")+SUMIFS('BSE - Other Index Options'!$L:$L,'BSE - Other Index Options'!$C:$C,$A199,'BSE - Other Index Options'!$B:$B,B$147,'BSE - Other Index Options'!$H:$H,"Weekly*")+SUMIFS('BSE - Other Index Options'!$L:$L,'BSE - Other Index Options'!$C:$C,$A199,'BSE - Other Index Options'!$B:$B,B$147,'BSE - Other Index Options'!$H:$H,"MDAW*"))</f>
        <v/>
      </c>
      <c r="C199" s="26" t="str">
        <f>IF(SUMIFS('BSE - SENSEX Index Options'!$L:$L,'BSE - SENSEX Index Options'!$C:$C,$A199,'BSE - SENSEX Index Options'!$B:$B,C$147,'BSE - SENSEX Index Options'!$H:$H,"Weekly*")+SUMIFS('BSE - SENSEX Index Options'!$L:$L,'BSE - SENSEX Index Options'!$C:$C,$A199,'BSE - SENSEX Index Options'!$B:$B,C$147,'BSE - SENSEX Index Options'!$H:$H,"MDAW*")+SUMIFS('BSE - Other Index Options'!$L:$L,'BSE - Other Index Options'!$C:$C,$A199,'BSE - Other Index Options'!$B:$B,C$147,'BSE - Other Index Options'!$H:$H,"Weekly*")+SUMIFS('BSE - Other Index Options'!$L:$L,'BSE - Other Index Options'!$C:$C,$A199,'BSE - Other Index Options'!$B:$B,C$147,'BSE - Other Index Options'!$H:$H,"MDAW*")=0,"",SUMIFS('BSE - SENSEX Index Options'!$L:$L,'BSE - SENSEX Index Options'!$C:$C,$A199,'BSE - SENSEX Index Options'!$B:$B,C$147,'BSE - SENSEX Index Options'!$H:$H,"Weekly*")+SUMIFS('BSE - SENSEX Index Options'!$L:$L,'BSE - SENSEX Index Options'!$C:$C,$A199,'BSE - SENSEX Index Options'!$B:$B,C$147,'BSE - SENSEX Index Options'!$H:$H,"MDAW*")+SUMIFS('BSE - Other Index Options'!$L:$L,'BSE - Other Index Options'!$C:$C,$A199,'BSE - Other Index Options'!$B:$B,C$147,'BSE - Other Index Options'!$H:$H,"Weekly*")+SUMIFS('BSE - Other Index Options'!$L:$L,'BSE - Other Index Options'!$C:$C,$A199,'BSE - Other Index Options'!$B:$B,C$147,'BSE - Other Index Options'!$H:$H,"MDAW*"))</f>
        <v/>
      </c>
      <c r="D199" s="26" t="str">
        <f>IF(SUMIFS('BSE - SENSEX Index Options'!$L:$L,'BSE - SENSEX Index Options'!$C:$C,$A199,'BSE - SENSEX Index Options'!$B:$B,D$147,'BSE - SENSEX Index Options'!$H:$H,"Weekly*")+SUMIFS('BSE - SENSEX Index Options'!$L:$L,'BSE - SENSEX Index Options'!$C:$C,$A199,'BSE - SENSEX Index Options'!$B:$B,D$147,'BSE - SENSEX Index Options'!$H:$H,"MDAW*")+SUMIFS('BSE - Other Index Options'!$L:$L,'BSE - Other Index Options'!$C:$C,$A199,'BSE - Other Index Options'!$B:$B,D$147,'BSE - Other Index Options'!$H:$H,"Weekly*")+SUMIFS('BSE - Other Index Options'!$L:$L,'BSE - Other Index Options'!$C:$C,$A199,'BSE - Other Index Options'!$B:$B,D$147,'BSE - Other Index Options'!$H:$H,"MDAW*")=0,"",SUMIFS('BSE - SENSEX Index Options'!$L:$L,'BSE - SENSEX Index Options'!$C:$C,$A199,'BSE - SENSEX Index Options'!$B:$B,D$147,'BSE - SENSEX Index Options'!$H:$H,"Weekly*")+SUMIFS('BSE - SENSEX Index Options'!$L:$L,'BSE - SENSEX Index Options'!$C:$C,$A199,'BSE - SENSEX Index Options'!$B:$B,D$147,'BSE - SENSEX Index Options'!$H:$H,"MDAW*")+SUMIFS('BSE - Other Index Options'!$L:$L,'BSE - Other Index Options'!$C:$C,$A199,'BSE - Other Index Options'!$B:$B,D$147,'BSE - Other Index Options'!$H:$H,"Weekly*")+SUMIFS('BSE - Other Index Options'!$L:$L,'BSE - Other Index Options'!$C:$C,$A199,'BSE - Other Index Options'!$B:$B,D$147,'BSE - Other Index Options'!$H:$H,"MDAW*"))</f>
        <v/>
      </c>
      <c r="E199" s="26" t="str">
        <f>IF(SUMIFS('BSE - SENSEX Index Options'!$L:$L,'BSE - SENSEX Index Options'!$C:$C,$A199,'BSE - SENSEX Index Options'!$B:$B,E$147,'BSE - SENSEX Index Options'!$H:$H,"Weekly*")+SUMIFS('BSE - SENSEX Index Options'!$L:$L,'BSE - SENSEX Index Options'!$C:$C,$A199,'BSE - SENSEX Index Options'!$B:$B,E$147,'BSE - SENSEX Index Options'!$H:$H,"MDAW*")+SUMIFS('BSE - Other Index Options'!$L:$L,'BSE - Other Index Options'!$C:$C,$A199,'BSE - Other Index Options'!$B:$B,E$147,'BSE - Other Index Options'!$H:$H,"Weekly*")+SUMIFS('BSE - Other Index Options'!$L:$L,'BSE - Other Index Options'!$C:$C,$A199,'BSE - Other Index Options'!$B:$B,E$147,'BSE - Other Index Options'!$H:$H,"MDAW*")=0,"",SUMIFS('BSE - SENSEX Index Options'!$L:$L,'BSE - SENSEX Index Options'!$C:$C,$A199,'BSE - SENSEX Index Options'!$B:$B,E$147,'BSE - SENSEX Index Options'!$H:$H,"Weekly*")+SUMIFS('BSE - SENSEX Index Options'!$L:$L,'BSE - SENSEX Index Options'!$C:$C,$A199,'BSE - SENSEX Index Options'!$B:$B,E$147,'BSE - SENSEX Index Options'!$H:$H,"MDAW*")+SUMIFS('BSE - Other Index Options'!$L:$L,'BSE - Other Index Options'!$C:$C,$A199,'BSE - Other Index Options'!$B:$B,E$147,'BSE - Other Index Options'!$H:$H,"Weekly*")+SUMIFS('BSE - Other Index Options'!$L:$L,'BSE - Other Index Options'!$C:$C,$A199,'BSE - Other Index Options'!$B:$B,E$147,'BSE - Other Index Options'!$H:$H,"MDAW*"))</f>
        <v/>
      </c>
      <c r="F199" s="26" t="str">
        <f>IF(SUMIFS('BSE - SENSEX Index Options'!$L:$L,'BSE - SENSEX Index Options'!$C:$C,$A199,'BSE - SENSEX Index Options'!$B:$B,F$147,'BSE - SENSEX Index Options'!$H:$H,"Weekly*")+SUMIFS('BSE - SENSEX Index Options'!$L:$L,'BSE - SENSEX Index Options'!$C:$C,$A199,'BSE - SENSEX Index Options'!$B:$B,F$147,'BSE - SENSEX Index Options'!$H:$H,"MDAW*")+SUMIFS('BSE - Other Index Options'!$L:$L,'BSE - Other Index Options'!$C:$C,$A199,'BSE - Other Index Options'!$B:$B,F$147,'BSE - Other Index Options'!$H:$H,"Weekly*")+SUMIFS('BSE - Other Index Options'!$L:$L,'BSE - Other Index Options'!$C:$C,$A199,'BSE - Other Index Options'!$B:$B,F$147,'BSE - Other Index Options'!$H:$H,"MDAW*")=0,"",SUMIFS('BSE - SENSEX Index Options'!$L:$L,'BSE - SENSEX Index Options'!$C:$C,$A199,'BSE - SENSEX Index Options'!$B:$B,F$147,'BSE - SENSEX Index Options'!$H:$H,"Weekly*")+SUMIFS('BSE - SENSEX Index Options'!$L:$L,'BSE - SENSEX Index Options'!$C:$C,$A199,'BSE - SENSEX Index Options'!$B:$B,F$147,'BSE - SENSEX Index Options'!$H:$H,"MDAW*")+SUMIFS('BSE - Other Index Options'!$L:$L,'BSE - Other Index Options'!$C:$C,$A199,'BSE - Other Index Options'!$B:$B,F$147,'BSE - Other Index Options'!$H:$H,"Weekly*")+SUMIFS('BSE - Other Index Options'!$L:$L,'BSE - Other Index Options'!$C:$C,$A199,'BSE - Other Index Options'!$B:$B,F$147,'BSE - Other Index Options'!$H:$H,"MDAW*"))</f>
        <v/>
      </c>
      <c r="G199" s="26" t="str">
        <f>IF(SUMIFS('BSE - SENSEX Index Options'!$L:$L,'BSE - SENSEX Index Options'!$C:$C,$A199,'BSE - SENSEX Index Options'!$B:$B,G$147,'BSE - SENSEX Index Options'!$H:$H,"Weekly*")+SUMIFS('BSE - SENSEX Index Options'!$L:$L,'BSE - SENSEX Index Options'!$C:$C,$A199,'BSE - SENSEX Index Options'!$B:$B,G$147,'BSE - SENSEX Index Options'!$H:$H,"MDAW*")+SUMIFS('BSE - Other Index Options'!$L:$L,'BSE - Other Index Options'!$C:$C,$A199,'BSE - Other Index Options'!$B:$B,G$147,'BSE - Other Index Options'!$H:$H,"Weekly*")+SUMIFS('BSE - Other Index Options'!$L:$L,'BSE - Other Index Options'!$C:$C,$A199,'BSE - Other Index Options'!$B:$B,G$147,'BSE - Other Index Options'!$H:$H,"MDAW*")=0,"",SUMIFS('BSE - SENSEX Index Options'!$L:$L,'BSE - SENSEX Index Options'!$C:$C,$A199,'BSE - SENSEX Index Options'!$B:$B,G$147,'BSE - SENSEX Index Options'!$H:$H,"Weekly*")+SUMIFS('BSE - SENSEX Index Options'!$L:$L,'BSE - SENSEX Index Options'!$C:$C,$A199,'BSE - SENSEX Index Options'!$B:$B,G$147,'BSE - SENSEX Index Options'!$H:$H,"MDAW*")+SUMIFS('BSE - Other Index Options'!$L:$L,'BSE - Other Index Options'!$C:$C,$A199,'BSE - Other Index Options'!$B:$B,G$147,'BSE - Other Index Options'!$H:$H,"Weekly*")+SUMIFS('BSE - Other Index Options'!$L:$L,'BSE - Other Index Options'!$C:$C,$A199,'BSE - Other Index Options'!$B:$B,G$147,'BSE - Other Index Options'!$H:$H,"MDAW*"))</f>
        <v/>
      </c>
      <c r="H199" s="26" t="str">
        <f t="shared" si="7"/>
        <v/>
      </c>
    </row>
    <row r="200" spans="1:8">
      <c r="A200" t="s">
        <v>62</v>
      </c>
      <c r="B200" s="26" t="str">
        <f>IF(SUMIFS('BSE - SENSEX Index Options'!$L:$L,'BSE - SENSEX Index Options'!$C:$C,$A200,'BSE - SENSEX Index Options'!$B:$B,B$147,'BSE - SENSEX Index Options'!$H:$H,"Weekly*")+SUMIFS('BSE - SENSEX Index Options'!$L:$L,'BSE - SENSEX Index Options'!$C:$C,$A200,'BSE - SENSEX Index Options'!$B:$B,B$147,'BSE - SENSEX Index Options'!$H:$H,"MDAW*")+SUMIFS('BSE - Other Index Options'!$L:$L,'BSE - Other Index Options'!$C:$C,$A200,'BSE - Other Index Options'!$B:$B,B$147,'BSE - Other Index Options'!$H:$H,"Weekly*")+SUMIFS('BSE - Other Index Options'!$L:$L,'BSE - Other Index Options'!$C:$C,$A200,'BSE - Other Index Options'!$B:$B,B$147,'BSE - Other Index Options'!$H:$H,"MDAW*")=0,"",SUMIFS('BSE - SENSEX Index Options'!$L:$L,'BSE - SENSEX Index Options'!$C:$C,$A200,'BSE - SENSEX Index Options'!$B:$B,B$147,'BSE - SENSEX Index Options'!$H:$H,"Weekly*")+SUMIFS('BSE - SENSEX Index Options'!$L:$L,'BSE - SENSEX Index Options'!$C:$C,$A200,'BSE - SENSEX Index Options'!$B:$B,B$147,'BSE - SENSEX Index Options'!$H:$H,"MDAW*")+SUMIFS('BSE - Other Index Options'!$L:$L,'BSE - Other Index Options'!$C:$C,$A200,'BSE - Other Index Options'!$B:$B,B$147,'BSE - Other Index Options'!$H:$H,"Weekly*")+SUMIFS('BSE - Other Index Options'!$L:$L,'BSE - Other Index Options'!$C:$C,$A200,'BSE - Other Index Options'!$B:$B,B$147,'BSE - Other Index Options'!$H:$H,"MDAW*"))</f>
        <v/>
      </c>
      <c r="C200" s="26" t="str">
        <f>IF(SUMIFS('BSE - SENSEX Index Options'!$L:$L,'BSE - SENSEX Index Options'!$C:$C,$A200,'BSE - SENSEX Index Options'!$B:$B,C$147,'BSE - SENSEX Index Options'!$H:$H,"Weekly*")+SUMIFS('BSE - SENSEX Index Options'!$L:$L,'BSE - SENSEX Index Options'!$C:$C,$A200,'BSE - SENSEX Index Options'!$B:$B,C$147,'BSE - SENSEX Index Options'!$H:$H,"MDAW*")+SUMIFS('BSE - Other Index Options'!$L:$L,'BSE - Other Index Options'!$C:$C,$A200,'BSE - Other Index Options'!$B:$B,C$147,'BSE - Other Index Options'!$H:$H,"Weekly*")+SUMIFS('BSE - Other Index Options'!$L:$L,'BSE - Other Index Options'!$C:$C,$A200,'BSE - Other Index Options'!$B:$B,C$147,'BSE - Other Index Options'!$H:$H,"MDAW*")=0,"",SUMIFS('BSE - SENSEX Index Options'!$L:$L,'BSE - SENSEX Index Options'!$C:$C,$A200,'BSE - SENSEX Index Options'!$B:$B,C$147,'BSE - SENSEX Index Options'!$H:$H,"Weekly*")+SUMIFS('BSE - SENSEX Index Options'!$L:$L,'BSE - SENSEX Index Options'!$C:$C,$A200,'BSE - SENSEX Index Options'!$B:$B,C$147,'BSE - SENSEX Index Options'!$H:$H,"MDAW*")+SUMIFS('BSE - Other Index Options'!$L:$L,'BSE - Other Index Options'!$C:$C,$A200,'BSE - Other Index Options'!$B:$B,C$147,'BSE - Other Index Options'!$H:$H,"Weekly*")+SUMIFS('BSE - Other Index Options'!$L:$L,'BSE - Other Index Options'!$C:$C,$A200,'BSE - Other Index Options'!$B:$B,C$147,'BSE - Other Index Options'!$H:$H,"MDAW*"))</f>
        <v/>
      </c>
      <c r="D200" s="26" t="str">
        <f>IF(SUMIFS('BSE - SENSEX Index Options'!$L:$L,'BSE - SENSEX Index Options'!$C:$C,$A200,'BSE - SENSEX Index Options'!$B:$B,D$147,'BSE - SENSEX Index Options'!$H:$H,"Weekly*")+SUMIFS('BSE - SENSEX Index Options'!$L:$L,'BSE - SENSEX Index Options'!$C:$C,$A200,'BSE - SENSEX Index Options'!$B:$B,D$147,'BSE - SENSEX Index Options'!$H:$H,"MDAW*")+SUMIFS('BSE - Other Index Options'!$L:$L,'BSE - Other Index Options'!$C:$C,$A200,'BSE - Other Index Options'!$B:$B,D$147,'BSE - Other Index Options'!$H:$H,"Weekly*")+SUMIFS('BSE - Other Index Options'!$L:$L,'BSE - Other Index Options'!$C:$C,$A200,'BSE - Other Index Options'!$B:$B,D$147,'BSE - Other Index Options'!$H:$H,"MDAW*")=0,"",SUMIFS('BSE - SENSEX Index Options'!$L:$L,'BSE - SENSEX Index Options'!$C:$C,$A200,'BSE - SENSEX Index Options'!$B:$B,D$147,'BSE - SENSEX Index Options'!$H:$H,"Weekly*")+SUMIFS('BSE - SENSEX Index Options'!$L:$L,'BSE - SENSEX Index Options'!$C:$C,$A200,'BSE - SENSEX Index Options'!$B:$B,D$147,'BSE - SENSEX Index Options'!$H:$H,"MDAW*")+SUMIFS('BSE - Other Index Options'!$L:$L,'BSE - Other Index Options'!$C:$C,$A200,'BSE - Other Index Options'!$B:$B,D$147,'BSE - Other Index Options'!$H:$H,"Weekly*")+SUMIFS('BSE - Other Index Options'!$L:$L,'BSE - Other Index Options'!$C:$C,$A200,'BSE - Other Index Options'!$B:$B,D$147,'BSE - Other Index Options'!$H:$H,"MDAW*"))</f>
        <v/>
      </c>
      <c r="E200" s="26" t="str">
        <f>IF(SUMIFS('BSE - SENSEX Index Options'!$L:$L,'BSE - SENSEX Index Options'!$C:$C,$A200,'BSE - SENSEX Index Options'!$B:$B,E$147,'BSE - SENSEX Index Options'!$H:$H,"Weekly*")+SUMIFS('BSE - SENSEX Index Options'!$L:$L,'BSE - SENSEX Index Options'!$C:$C,$A200,'BSE - SENSEX Index Options'!$B:$B,E$147,'BSE - SENSEX Index Options'!$H:$H,"MDAW*")+SUMIFS('BSE - Other Index Options'!$L:$L,'BSE - Other Index Options'!$C:$C,$A200,'BSE - Other Index Options'!$B:$B,E$147,'BSE - Other Index Options'!$H:$H,"Weekly*")+SUMIFS('BSE - Other Index Options'!$L:$L,'BSE - Other Index Options'!$C:$C,$A200,'BSE - Other Index Options'!$B:$B,E$147,'BSE - Other Index Options'!$H:$H,"MDAW*")=0,"",SUMIFS('BSE - SENSEX Index Options'!$L:$L,'BSE - SENSEX Index Options'!$C:$C,$A200,'BSE - SENSEX Index Options'!$B:$B,E$147,'BSE - SENSEX Index Options'!$H:$H,"Weekly*")+SUMIFS('BSE - SENSEX Index Options'!$L:$L,'BSE - SENSEX Index Options'!$C:$C,$A200,'BSE - SENSEX Index Options'!$B:$B,E$147,'BSE - SENSEX Index Options'!$H:$H,"MDAW*")+SUMIFS('BSE - Other Index Options'!$L:$L,'BSE - Other Index Options'!$C:$C,$A200,'BSE - Other Index Options'!$B:$B,E$147,'BSE - Other Index Options'!$H:$H,"Weekly*")+SUMIFS('BSE - Other Index Options'!$L:$L,'BSE - Other Index Options'!$C:$C,$A200,'BSE - Other Index Options'!$B:$B,E$147,'BSE - Other Index Options'!$H:$H,"MDAW*"))</f>
        <v/>
      </c>
      <c r="F200" s="26" t="str">
        <f>IF(SUMIFS('BSE - SENSEX Index Options'!$L:$L,'BSE - SENSEX Index Options'!$C:$C,$A200,'BSE - SENSEX Index Options'!$B:$B,F$147,'BSE - SENSEX Index Options'!$H:$H,"Weekly*")+SUMIFS('BSE - SENSEX Index Options'!$L:$L,'BSE - SENSEX Index Options'!$C:$C,$A200,'BSE - SENSEX Index Options'!$B:$B,F$147,'BSE - SENSEX Index Options'!$H:$H,"MDAW*")+SUMIFS('BSE - Other Index Options'!$L:$L,'BSE - Other Index Options'!$C:$C,$A200,'BSE - Other Index Options'!$B:$B,F$147,'BSE - Other Index Options'!$H:$H,"Weekly*")+SUMIFS('BSE - Other Index Options'!$L:$L,'BSE - Other Index Options'!$C:$C,$A200,'BSE - Other Index Options'!$B:$B,F$147,'BSE - Other Index Options'!$H:$H,"MDAW*")=0,"",SUMIFS('BSE - SENSEX Index Options'!$L:$L,'BSE - SENSEX Index Options'!$C:$C,$A200,'BSE - SENSEX Index Options'!$B:$B,F$147,'BSE - SENSEX Index Options'!$H:$H,"Weekly*")+SUMIFS('BSE - SENSEX Index Options'!$L:$L,'BSE - SENSEX Index Options'!$C:$C,$A200,'BSE - SENSEX Index Options'!$B:$B,F$147,'BSE - SENSEX Index Options'!$H:$H,"MDAW*")+SUMIFS('BSE - Other Index Options'!$L:$L,'BSE - Other Index Options'!$C:$C,$A200,'BSE - Other Index Options'!$B:$B,F$147,'BSE - Other Index Options'!$H:$H,"Weekly*")+SUMIFS('BSE - Other Index Options'!$L:$L,'BSE - Other Index Options'!$C:$C,$A200,'BSE - Other Index Options'!$B:$B,F$147,'BSE - Other Index Options'!$H:$H,"MDAW*"))</f>
        <v/>
      </c>
      <c r="G200" s="26" t="str">
        <f>IF(SUMIFS('BSE - SENSEX Index Options'!$L:$L,'BSE - SENSEX Index Options'!$C:$C,$A200,'BSE - SENSEX Index Options'!$B:$B,G$147,'BSE - SENSEX Index Options'!$H:$H,"Weekly*")+SUMIFS('BSE - SENSEX Index Options'!$L:$L,'BSE - SENSEX Index Options'!$C:$C,$A200,'BSE - SENSEX Index Options'!$B:$B,G$147,'BSE - SENSEX Index Options'!$H:$H,"MDAW*")+SUMIFS('BSE - Other Index Options'!$L:$L,'BSE - Other Index Options'!$C:$C,$A200,'BSE - Other Index Options'!$B:$B,G$147,'BSE - Other Index Options'!$H:$H,"Weekly*")+SUMIFS('BSE - Other Index Options'!$L:$L,'BSE - Other Index Options'!$C:$C,$A200,'BSE - Other Index Options'!$B:$B,G$147,'BSE - Other Index Options'!$H:$H,"MDAW*")=0,"",SUMIFS('BSE - SENSEX Index Options'!$L:$L,'BSE - SENSEX Index Options'!$C:$C,$A200,'BSE - SENSEX Index Options'!$B:$B,G$147,'BSE - SENSEX Index Options'!$H:$H,"Weekly*")+SUMIFS('BSE - SENSEX Index Options'!$L:$L,'BSE - SENSEX Index Options'!$C:$C,$A200,'BSE - SENSEX Index Options'!$B:$B,G$147,'BSE - SENSEX Index Options'!$H:$H,"MDAW*")+SUMIFS('BSE - Other Index Options'!$L:$L,'BSE - Other Index Options'!$C:$C,$A200,'BSE - Other Index Options'!$B:$B,G$147,'BSE - Other Index Options'!$H:$H,"Weekly*")+SUMIFS('BSE - Other Index Options'!$L:$L,'BSE - Other Index Options'!$C:$C,$A200,'BSE - Other Index Options'!$B:$B,G$147,'BSE - Other Index Options'!$H:$H,"MDAW*"))</f>
        <v/>
      </c>
      <c r="H200" s="26" t="str">
        <f t="shared" si="7"/>
        <v/>
      </c>
    </row>
    <row r="201" spans="1:8">
      <c r="A201" t="s">
        <v>63</v>
      </c>
      <c r="B201" s="26" t="str">
        <f>IF(SUMIFS('BSE - SENSEX Index Options'!$L:$L,'BSE - SENSEX Index Options'!$C:$C,$A201,'BSE - SENSEX Index Options'!$B:$B,B$147,'BSE - SENSEX Index Options'!$H:$H,"Weekly*")+SUMIFS('BSE - SENSEX Index Options'!$L:$L,'BSE - SENSEX Index Options'!$C:$C,$A201,'BSE - SENSEX Index Options'!$B:$B,B$147,'BSE - SENSEX Index Options'!$H:$H,"MDAW*")+SUMIFS('BSE - Other Index Options'!$L:$L,'BSE - Other Index Options'!$C:$C,$A201,'BSE - Other Index Options'!$B:$B,B$147,'BSE - Other Index Options'!$H:$H,"Weekly*")+SUMIFS('BSE - Other Index Options'!$L:$L,'BSE - Other Index Options'!$C:$C,$A201,'BSE - Other Index Options'!$B:$B,B$147,'BSE - Other Index Options'!$H:$H,"MDAW*")=0,"",SUMIFS('BSE - SENSEX Index Options'!$L:$L,'BSE - SENSEX Index Options'!$C:$C,$A201,'BSE - SENSEX Index Options'!$B:$B,B$147,'BSE - SENSEX Index Options'!$H:$H,"Weekly*")+SUMIFS('BSE - SENSEX Index Options'!$L:$L,'BSE - SENSEX Index Options'!$C:$C,$A201,'BSE - SENSEX Index Options'!$B:$B,B$147,'BSE - SENSEX Index Options'!$H:$H,"MDAW*")+SUMIFS('BSE - Other Index Options'!$L:$L,'BSE - Other Index Options'!$C:$C,$A201,'BSE - Other Index Options'!$B:$B,B$147,'BSE - Other Index Options'!$H:$H,"Weekly*")+SUMIFS('BSE - Other Index Options'!$L:$L,'BSE - Other Index Options'!$C:$C,$A201,'BSE - Other Index Options'!$B:$B,B$147,'BSE - Other Index Options'!$H:$H,"MDAW*"))</f>
        <v/>
      </c>
      <c r="C201" s="26" t="str">
        <f>IF(SUMIFS('BSE - SENSEX Index Options'!$L:$L,'BSE - SENSEX Index Options'!$C:$C,$A201,'BSE - SENSEX Index Options'!$B:$B,C$147,'BSE - SENSEX Index Options'!$H:$H,"Weekly*")+SUMIFS('BSE - SENSEX Index Options'!$L:$L,'BSE - SENSEX Index Options'!$C:$C,$A201,'BSE - SENSEX Index Options'!$B:$B,C$147,'BSE - SENSEX Index Options'!$H:$H,"MDAW*")+SUMIFS('BSE - Other Index Options'!$L:$L,'BSE - Other Index Options'!$C:$C,$A201,'BSE - Other Index Options'!$B:$B,C$147,'BSE - Other Index Options'!$H:$H,"Weekly*")+SUMIFS('BSE - Other Index Options'!$L:$L,'BSE - Other Index Options'!$C:$C,$A201,'BSE - Other Index Options'!$B:$B,C$147,'BSE - Other Index Options'!$H:$H,"MDAW*")=0,"",SUMIFS('BSE - SENSEX Index Options'!$L:$L,'BSE - SENSEX Index Options'!$C:$C,$A201,'BSE - SENSEX Index Options'!$B:$B,C$147,'BSE - SENSEX Index Options'!$H:$H,"Weekly*")+SUMIFS('BSE - SENSEX Index Options'!$L:$L,'BSE - SENSEX Index Options'!$C:$C,$A201,'BSE - SENSEX Index Options'!$B:$B,C$147,'BSE - SENSEX Index Options'!$H:$H,"MDAW*")+SUMIFS('BSE - Other Index Options'!$L:$L,'BSE - Other Index Options'!$C:$C,$A201,'BSE - Other Index Options'!$B:$B,C$147,'BSE - Other Index Options'!$H:$H,"Weekly*")+SUMIFS('BSE - Other Index Options'!$L:$L,'BSE - Other Index Options'!$C:$C,$A201,'BSE - Other Index Options'!$B:$B,C$147,'BSE - Other Index Options'!$H:$H,"MDAW*"))</f>
        <v/>
      </c>
      <c r="D201" s="26" t="str">
        <f>IF(SUMIFS('BSE - SENSEX Index Options'!$L:$L,'BSE - SENSEX Index Options'!$C:$C,$A201,'BSE - SENSEX Index Options'!$B:$B,D$147,'BSE - SENSEX Index Options'!$H:$H,"Weekly*")+SUMIFS('BSE - SENSEX Index Options'!$L:$L,'BSE - SENSEX Index Options'!$C:$C,$A201,'BSE - SENSEX Index Options'!$B:$B,D$147,'BSE - SENSEX Index Options'!$H:$H,"MDAW*")+SUMIFS('BSE - Other Index Options'!$L:$L,'BSE - Other Index Options'!$C:$C,$A201,'BSE - Other Index Options'!$B:$B,D$147,'BSE - Other Index Options'!$H:$H,"Weekly*")+SUMIFS('BSE - Other Index Options'!$L:$L,'BSE - Other Index Options'!$C:$C,$A201,'BSE - Other Index Options'!$B:$B,D$147,'BSE - Other Index Options'!$H:$H,"MDAW*")=0,"",SUMIFS('BSE - SENSEX Index Options'!$L:$L,'BSE - SENSEX Index Options'!$C:$C,$A201,'BSE - SENSEX Index Options'!$B:$B,D$147,'BSE - SENSEX Index Options'!$H:$H,"Weekly*")+SUMIFS('BSE - SENSEX Index Options'!$L:$L,'BSE - SENSEX Index Options'!$C:$C,$A201,'BSE - SENSEX Index Options'!$B:$B,D$147,'BSE - SENSEX Index Options'!$H:$H,"MDAW*")+SUMIFS('BSE - Other Index Options'!$L:$L,'BSE - Other Index Options'!$C:$C,$A201,'BSE - Other Index Options'!$B:$B,D$147,'BSE - Other Index Options'!$H:$H,"Weekly*")+SUMIFS('BSE - Other Index Options'!$L:$L,'BSE - Other Index Options'!$C:$C,$A201,'BSE - Other Index Options'!$B:$B,D$147,'BSE - Other Index Options'!$H:$H,"MDAW*"))</f>
        <v/>
      </c>
      <c r="E201" s="26" t="str">
        <f>IF(SUMIFS('BSE - SENSEX Index Options'!$L:$L,'BSE - SENSEX Index Options'!$C:$C,$A201,'BSE - SENSEX Index Options'!$B:$B,E$147,'BSE - SENSEX Index Options'!$H:$H,"Weekly*")+SUMIFS('BSE - SENSEX Index Options'!$L:$L,'BSE - SENSEX Index Options'!$C:$C,$A201,'BSE - SENSEX Index Options'!$B:$B,E$147,'BSE - SENSEX Index Options'!$H:$H,"MDAW*")+SUMIFS('BSE - Other Index Options'!$L:$L,'BSE - Other Index Options'!$C:$C,$A201,'BSE - Other Index Options'!$B:$B,E$147,'BSE - Other Index Options'!$H:$H,"Weekly*")+SUMIFS('BSE - Other Index Options'!$L:$L,'BSE - Other Index Options'!$C:$C,$A201,'BSE - Other Index Options'!$B:$B,E$147,'BSE - Other Index Options'!$H:$H,"MDAW*")=0,"",SUMIFS('BSE - SENSEX Index Options'!$L:$L,'BSE - SENSEX Index Options'!$C:$C,$A201,'BSE - SENSEX Index Options'!$B:$B,E$147,'BSE - SENSEX Index Options'!$H:$H,"Weekly*")+SUMIFS('BSE - SENSEX Index Options'!$L:$L,'BSE - SENSEX Index Options'!$C:$C,$A201,'BSE - SENSEX Index Options'!$B:$B,E$147,'BSE - SENSEX Index Options'!$H:$H,"MDAW*")+SUMIFS('BSE - Other Index Options'!$L:$L,'BSE - Other Index Options'!$C:$C,$A201,'BSE - Other Index Options'!$B:$B,E$147,'BSE - Other Index Options'!$H:$H,"Weekly*")+SUMIFS('BSE - Other Index Options'!$L:$L,'BSE - Other Index Options'!$C:$C,$A201,'BSE - Other Index Options'!$B:$B,E$147,'BSE - Other Index Options'!$H:$H,"MDAW*"))</f>
        <v/>
      </c>
      <c r="F201" s="26" t="str">
        <f>IF(SUMIFS('BSE - SENSEX Index Options'!$L:$L,'BSE - SENSEX Index Options'!$C:$C,$A201,'BSE - SENSEX Index Options'!$B:$B,F$147,'BSE - SENSEX Index Options'!$H:$H,"Weekly*")+SUMIFS('BSE - SENSEX Index Options'!$L:$L,'BSE - SENSEX Index Options'!$C:$C,$A201,'BSE - SENSEX Index Options'!$B:$B,F$147,'BSE - SENSEX Index Options'!$H:$H,"MDAW*")+SUMIFS('BSE - Other Index Options'!$L:$L,'BSE - Other Index Options'!$C:$C,$A201,'BSE - Other Index Options'!$B:$B,F$147,'BSE - Other Index Options'!$H:$H,"Weekly*")+SUMIFS('BSE - Other Index Options'!$L:$L,'BSE - Other Index Options'!$C:$C,$A201,'BSE - Other Index Options'!$B:$B,F$147,'BSE - Other Index Options'!$H:$H,"MDAW*")=0,"",SUMIFS('BSE - SENSEX Index Options'!$L:$L,'BSE - SENSEX Index Options'!$C:$C,$A201,'BSE - SENSEX Index Options'!$B:$B,F$147,'BSE - SENSEX Index Options'!$H:$H,"Weekly*")+SUMIFS('BSE - SENSEX Index Options'!$L:$L,'BSE - SENSEX Index Options'!$C:$C,$A201,'BSE - SENSEX Index Options'!$B:$B,F$147,'BSE - SENSEX Index Options'!$H:$H,"MDAW*")+SUMIFS('BSE - Other Index Options'!$L:$L,'BSE - Other Index Options'!$C:$C,$A201,'BSE - Other Index Options'!$B:$B,F$147,'BSE - Other Index Options'!$H:$H,"Weekly*")+SUMIFS('BSE - Other Index Options'!$L:$L,'BSE - Other Index Options'!$C:$C,$A201,'BSE - Other Index Options'!$B:$B,F$147,'BSE - Other Index Options'!$H:$H,"MDAW*"))</f>
        <v/>
      </c>
      <c r="G201" s="26" t="str">
        <f>IF(SUMIFS('BSE - SENSEX Index Options'!$L:$L,'BSE - SENSEX Index Options'!$C:$C,$A201,'BSE - SENSEX Index Options'!$B:$B,G$147,'BSE - SENSEX Index Options'!$H:$H,"Weekly*")+SUMIFS('BSE - SENSEX Index Options'!$L:$L,'BSE - SENSEX Index Options'!$C:$C,$A201,'BSE - SENSEX Index Options'!$B:$B,G$147,'BSE - SENSEX Index Options'!$H:$H,"MDAW*")+SUMIFS('BSE - Other Index Options'!$L:$L,'BSE - Other Index Options'!$C:$C,$A201,'BSE - Other Index Options'!$B:$B,G$147,'BSE - Other Index Options'!$H:$H,"Weekly*")+SUMIFS('BSE - Other Index Options'!$L:$L,'BSE - Other Index Options'!$C:$C,$A201,'BSE - Other Index Options'!$B:$B,G$147,'BSE - Other Index Options'!$H:$H,"MDAW*")=0,"",SUMIFS('BSE - SENSEX Index Options'!$L:$L,'BSE - SENSEX Index Options'!$C:$C,$A201,'BSE - SENSEX Index Options'!$B:$B,G$147,'BSE - SENSEX Index Options'!$H:$H,"Weekly*")+SUMIFS('BSE - SENSEX Index Options'!$L:$L,'BSE - SENSEX Index Options'!$C:$C,$A201,'BSE - SENSEX Index Options'!$B:$B,G$147,'BSE - SENSEX Index Options'!$H:$H,"MDAW*")+SUMIFS('BSE - Other Index Options'!$L:$L,'BSE - Other Index Options'!$C:$C,$A201,'BSE - Other Index Options'!$B:$B,G$147,'BSE - Other Index Options'!$H:$H,"Weekly*")+SUMIFS('BSE - Other Index Options'!$L:$L,'BSE - Other Index Options'!$C:$C,$A201,'BSE - Other Index Options'!$B:$B,G$147,'BSE - Other Index Options'!$H:$H,"MDAW*"))</f>
        <v/>
      </c>
      <c r="H201" s="26" t="str">
        <f t="shared" si="7"/>
        <v/>
      </c>
    </row>
    <row r="202" spans="1:8" hidden="1" outlineLevel="1">
      <c r="A202" t="s">
        <v>64</v>
      </c>
      <c r="B202" s="26" t="str">
        <f>IF(SUMIFS('BSE - SENSEX Index Options'!$L:$L,'BSE - SENSEX Index Options'!$C:$C,$A202,'BSE - SENSEX Index Options'!$B:$B,B$147,'BSE - SENSEX Index Options'!$H:$H,"Weekly*")+SUMIFS('BSE - SENSEX Index Options'!$L:$L,'BSE - SENSEX Index Options'!$C:$C,$A202,'BSE - SENSEX Index Options'!$B:$B,B$147,'BSE - SENSEX Index Options'!$H:$H,"MDAW*")+SUMIFS('BSE - Other Index Options'!$L:$L,'BSE - Other Index Options'!$C:$C,$A202,'BSE - Other Index Options'!$B:$B,B$147,'BSE - Other Index Options'!$H:$H,"Weekly*")+SUMIFS('BSE - Other Index Options'!$L:$L,'BSE - Other Index Options'!$C:$C,$A202,'BSE - Other Index Options'!$B:$B,B$147,'BSE - Other Index Options'!$H:$H,"MDAW*")=0,"",SUMIFS('BSE - SENSEX Index Options'!$L:$L,'BSE - SENSEX Index Options'!$C:$C,$A202,'BSE - SENSEX Index Options'!$B:$B,B$147,'BSE - SENSEX Index Options'!$H:$H,"Weekly*")+SUMIFS('BSE - SENSEX Index Options'!$L:$L,'BSE - SENSEX Index Options'!$C:$C,$A202,'BSE - SENSEX Index Options'!$B:$B,B$147,'BSE - SENSEX Index Options'!$H:$H,"MDAW*")+SUMIFS('BSE - Other Index Options'!$L:$L,'BSE - Other Index Options'!$C:$C,$A202,'BSE - Other Index Options'!$B:$B,B$147,'BSE - Other Index Options'!$H:$H,"Weekly*")+SUMIFS('BSE - Other Index Options'!$L:$L,'BSE - Other Index Options'!$C:$C,$A202,'BSE - Other Index Options'!$B:$B,B$147,'BSE - Other Index Options'!$H:$H,"MDAW*"))</f>
        <v/>
      </c>
      <c r="C202" s="26" t="str">
        <f>IF(SUMIFS('BSE - SENSEX Index Options'!$L:$L,'BSE - SENSEX Index Options'!$C:$C,$A202,'BSE - SENSEX Index Options'!$B:$B,C$147,'BSE - SENSEX Index Options'!$H:$H,"Weekly*")+SUMIFS('BSE - SENSEX Index Options'!$L:$L,'BSE - SENSEX Index Options'!$C:$C,$A202,'BSE - SENSEX Index Options'!$B:$B,C$147,'BSE - SENSEX Index Options'!$H:$H,"MDAW*")+SUMIFS('BSE - Other Index Options'!$L:$L,'BSE - Other Index Options'!$C:$C,$A202,'BSE - Other Index Options'!$B:$B,C$147,'BSE - Other Index Options'!$H:$H,"Weekly*")+SUMIFS('BSE - Other Index Options'!$L:$L,'BSE - Other Index Options'!$C:$C,$A202,'BSE - Other Index Options'!$B:$B,C$147,'BSE - Other Index Options'!$H:$H,"MDAW*")=0,"",SUMIFS('BSE - SENSEX Index Options'!$L:$L,'BSE - SENSEX Index Options'!$C:$C,$A202,'BSE - SENSEX Index Options'!$B:$B,C$147,'BSE - SENSEX Index Options'!$H:$H,"Weekly*")+SUMIFS('BSE - SENSEX Index Options'!$L:$L,'BSE - SENSEX Index Options'!$C:$C,$A202,'BSE - SENSEX Index Options'!$B:$B,C$147,'BSE - SENSEX Index Options'!$H:$H,"MDAW*")+SUMIFS('BSE - Other Index Options'!$L:$L,'BSE - Other Index Options'!$C:$C,$A202,'BSE - Other Index Options'!$B:$B,C$147,'BSE - Other Index Options'!$H:$H,"Weekly*")+SUMIFS('BSE - Other Index Options'!$L:$L,'BSE - Other Index Options'!$C:$C,$A202,'BSE - Other Index Options'!$B:$B,C$147,'BSE - Other Index Options'!$H:$H,"MDAW*"))</f>
        <v/>
      </c>
      <c r="D202" s="26" t="str">
        <f>IF(SUMIFS('BSE - SENSEX Index Options'!$L:$L,'BSE - SENSEX Index Options'!$C:$C,$A202,'BSE - SENSEX Index Options'!$B:$B,D$147,'BSE - SENSEX Index Options'!$H:$H,"Weekly*")+SUMIFS('BSE - SENSEX Index Options'!$L:$L,'BSE - SENSEX Index Options'!$C:$C,$A202,'BSE - SENSEX Index Options'!$B:$B,D$147,'BSE - SENSEX Index Options'!$H:$H,"MDAW*")+SUMIFS('BSE - Other Index Options'!$L:$L,'BSE - Other Index Options'!$C:$C,$A202,'BSE - Other Index Options'!$B:$B,D$147,'BSE - Other Index Options'!$H:$H,"Weekly*")+SUMIFS('BSE - Other Index Options'!$L:$L,'BSE - Other Index Options'!$C:$C,$A202,'BSE - Other Index Options'!$B:$B,D$147,'BSE - Other Index Options'!$H:$H,"MDAW*")=0,"",SUMIFS('BSE - SENSEX Index Options'!$L:$L,'BSE - SENSEX Index Options'!$C:$C,$A202,'BSE - SENSEX Index Options'!$B:$B,D$147,'BSE - SENSEX Index Options'!$H:$H,"Weekly*")+SUMIFS('BSE - SENSEX Index Options'!$L:$L,'BSE - SENSEX Index Options'!$C:$C,$A202,'BSE - SENSEX Index Options'!$B:$B,D$147,'BSE - SENSEX Index Options'!$H:$H,"MDAW*")+SUMIFS('BSE - Other Index Options'!$L:$L,'BSE - Other Index Options'!$C:$C,$A202,'BSE - Other Index Options'!$B:$B,D$147,'BSE - Other Index Options'!$H:$H,"Weekly*")+SUMIFS('BSE - Other Index Options'!$L:$L,'BSE - Other Index Options'!$C:$C,$A202,'BSE - Other Index Options'!$B:$B,D$147,'BSE - Other Index Options'!$H:$H,"MDAW*"))</f>
        <v/>
      </c>
      <c r="E202" s="26" t="str">
        <f>IF(SUMIFS('BSE - SENSEX Index Options'!$L:$L,'BSE - SENSEX Index Options'!$C:$C,$A202,'BSE - SENSEX Index Options'!$B:$B,E$147,'BSE - SENSEX Index Options'!$H:$H,"Weekly*")+SUMIFS('BSE - SENSEX Index Options'!$L:$L,'BSE - SENSEX Index Options'!$C:$C,$A202,'BSE - SENSEX Index Options'!$B:$B,E$147,'BSE - SENSEX Index Options'!$H:$H,"MDAW*")+SUMIFS('BSE - Other Index Options'!$L:$L,'BSE - Other Index Options'!$C:$C,$A202,'BSE - Other Index Options'!$B:$B,E$147,'BSE - Other Index Options'!$H:$H,"Weekly*")+SUMIFS('BSE - Other Index Options'!$L:$L,'BSE - Other Index Options'!$C:$C,$A202,'BSE - Other Index Options'!$B:$B,E$147,'BSE - Other Index Options'!$H:$H,"MDAW*")=0,"",SUMIFS('BSE - SENSEX Index Options'!$L:$L,'BSE - SENSEX Index Options'!$C:$C,$A202,'BSE - SENSEX Index Options'!$B:$B,E$147,'BSE - SENSEX Index Options'!$H:$H,"Weekly*")+SUMIFS('BSE - SENSEX Index Options'!$L:$L,'BSE - SENSEX Index Options'!$C:$C,$A202,'BSE - SENSEX Index Options'!$B:$B,E$147,'BSE - SENSEX Index Options'!$H:$H,"MDAW*")+SUMIFS('BSE - Other Index Options'!$L:$L,'BSE - Other Index Options'!$C:$C,$A202,'BSE - Other Index Options'!$B:$B,E$147,'BSE - Other Index Options'!$H:$H,"Weekly*")+SUMIFS('BSE - Other Index Options'!$L:$L,'BSE - Other Index Options'!$C:$C,$A202,'BSE - Other Index Options'!$B:$B,E$147,'BSE - Other Index Options'!$H:$H,"MDAW*"))</f>
        <v/>
      </c>
      <c r="F202" s="26" t="str">
        <f>IF(SUMIFS('BSE - SENSEX Index Options'!$L:$L,'BSE - SENSEX Index Options'!$C:$C,$A202,'BSE - SENSEX Index Options'!$B:$B,F$147,'BSE - SENSEX Index Options'!$H:$H,"Weekly*")+SUMIFS('BSE - SENSEX Index Options'!$L:$L,'BSE - SENSEX Index Options'!$C:$C,$A202,'BSE - SENSEX Index Options'!$B:$B,F$147,'BSE - SENSEX Index Options'!$H:$H,"MDAW*")+SUMIFS('BSE - Other Index Options'!$L:$L,'BSE - Other Index Options'!$C:$C,$A202,'BSE - Other Index Options'!$B:$B,F$147,'BSE - Other Index Options'!$H:$H,"Weekly*")+SUMIFS('BSE - Other Index Options'!$L:$L,'BSE - Other Index Options'!$C:$C,$A202,'BSE - Other Index Options'!$B:$B,F$147,'BSE - Other Index Options'!$H:$H,"MDAW*")=0,"",SUMIFS('BSE - SENSEX Index Options'!$L:$L,'BSE - SENSEX Index Options'!$C:$C,$A202,'BSE - SENSEX Index Options'!$B:$B,F$147,'BSE - SENSEX Index Options'!$H:$H,"Weekly*")+SUMIFS('BSE - SENSEX Index Options'!$L:$L,'BSE - SENSEX Index Options'!$C:$C,$A202,'BSE - SENSEX Index Options'!$B:$B,F$147,'BSE - SENSEX Index Options'!$H:$H,"MDAW*")+SUMIFS('BSE - Other Index Options'!$L:$L,'BSE - Other Index Options'!$C:$C,$A202,'BSE - Other Index Options'!$B:$B,F$147,'BSE - Other Index Options'!$H:$H,"Weekly*")+SUMIFS('BSE - Other Index Options'!$L:$L,'BSE - Other Index Options'!$C:$C,$A202,'BSE - Other Index Options'!$B:$B,F$147,'BSE - Other Index Options'!$H:$H,"MDAW*"))</f>
        <v/>
      </c>
      <c r="G202" s="26" t="str">
        <f>IF(SUMIFS('BSE - SENSEX Index Options'!$L:$L,'BSE - SENSEX Index Options'!$C:$C,$A202,'BSE - SENSEX Index Options'!$B:$B,G$147,'BSE - SENSEX Index Options'!$H:$H,"Weekly*")+SUMIFS('BSE - SENSEX Index Options'!$L:$L,'BSE - SENSEX Index Options'!$C:$C,$A202,'BSE - SENSEX Index Options'!$B:$B,G$147,'BSE - SENSEX Index Options'!$H:$H,"MDAW*")+SUMIFS('BSE - Other Index Options'!$L:$L,'BSE - Other Index Options'!$C:$C,$A202,'BSE - Other Index Options'!$B:$B,G$147,'BSE - Other Index Options'!$H:$H,"Weekly*")+SUMIFS('BSE - Other Index Options'!$L:$L,'BSE - Other Index Options'!$C:$C,$A202,'BSE - Other Index Options'!$B:$B,G$147,'BSE - Other Index Options'!$H:$H,"MDAW*")=0,"",SUMIFS('BSE - SENSEX Index Options'!$L:$L,'BSE - SENSEX Index Options'!$C:$C,$A202,'BSE - SENSEX Index Options'!$B:$B,G$147,'BSE - SENSEX Index Options'!$H:$H,"Weekly*")+SUMIFS('BSE - SENSEX Index Options'!$L:$L,'BSE - SENSEX Index Options'!$C:$C,$A202,'BSE - SENSEX Index Options'!$B:$B,G$147,'BSE - SENSEX Index Options'!$H:$H,"MDAW*")+SUMIFS('BSE - Other Index Options'!$L:$L,'BSE - Other Index Options'!$C:$C,$A202,'BSE - Other Index Options'!$B:$B,G$147,'BSE - Other Index Options'!$H:$H,"Weekly*")+SUMIFS('BSE - Other Index Options'!$L:$L,'BSE - Other Index Options'!$C:$C,$A202,'BSE - Other Index Options'!$B:$B,G$147,'BSE - Other Index Options'!$H:$H,"MDAW*"))</f>
        <v/>
      </c>
      <c r="H202" s="26" t="str">
        <f t="shared" si="7"/>
        <v/>
      </c>
    </row>
    <row r="203" spans="1:8" hidden="1" outlineLevel="1">
      <c r="A203" t="s">
        <v>65</v>
      </c>
      <c r="B203" s="26" t="str">
        <f>IF(SUMIFS('BSE - SENSEX Index Options'!$L:$L,'BSE - SENSEX Index Options'!$C:$C,$A203,'BSE - SENSEX Index Options'!$B:$B,B$147,'BSE - SENSEX Index Options'!$H:$H,"Weekly*")+SUMIFS('BSE - SENSEX Index Options'!$L:$L,'BSE - SENSEX Index Options'!$C:$C,$A203,'BSE - SENSEX Index Options'!$B:$B,B$147,'BSE - SENSEX Index Options'!$H:$H,"MDAW*")+SUMIFS('BSE - Other Index Options'!$L:$L,'BSE - Other Index Options'!$C:$C,$A203,'BSE - Other Index Options'!$B:$B,B$147,'BSE - Other Index Options'!$H:$H,"Weekly*")+SUMIFS('BSE - Other Index Options'!$L:$L,'BSE - Other Index Options'!$C:$C,$A203,'BSE - Other Index Options'!$B:$B,B$147,'BSE - Other Index Options'!$H:$H,"MDAW*")=0,"",SUMIFS('BSE - SENSEX Index Options'!$L:$L,'BSE - SENSEX Index Options'!$C:$C,$A203,'BSE - SENSEX Index Options'!$B:$B,B$147,'BSE - SENSEX Index Options'!$H:$H,"Weekly*")+SUMIFS('BSE - SENSEX Index Options'!$L:$L,'BSE - SENSEX Index Options'!$C:$C,$A203,'BSE - SENSEX Index Options'!$B:$B,B$147,'BSE - SENSEX Index Options'!$H:$H,"MDAW*")+SUMIFS('BSE - Other Index Options'!$L:$L,'BSE - Other Index Options'!$C:$C,$A203,'BSE - Other Index Options'!$B:$B,B$147,'BSE - Other Index Options'!$H:$H,"Weekly*")+SUMIFS('BSE - Other Index Options'!$L:$L,'BSE - Other Index Options'!$C:$C,$A203,'BSE - Other Index Options'!$B:$B,B$147,'BSE - Other Index Options'!$H:$H,"MDAW*"))</f>
        <v/>
      </c>
      <c r="C203" s="26" t="str">
        <f>IF(SUMIFS('BSE - SENSEX Index Options'!$L:$L,'BSE - SENSEX Index Options'!$C:$C,$A203,'BSE - SENSEX Index Options'!$B:$B,C$147,'BSE - SENSEX Index Options'!$H:$H,"Weekly*")+SUMIFS('BSE - SENSEX Index Options'!$L:$L,'BSE - SENSEX Index Options'!$C:$C,$A203,'BSE - SENSEX Index Options'!$B:$B,C$147,'BSE - SENSEX Index Options'!$H:$H,"MDAW*")+SUMIFS('BSE - Other Index Options'!$L:$L,'BSE - Other Index Options'!$C:$C,$A203,'BSE - Other Index Options'!$B:$B,C$147,'BSE - Other Index Options'!$H:$H,"Weekly*")+SUMIFS('BSE - Other Index Options'!$L:$L,'BSE - Other Index Options'!$C:$C,$A203,'BSE - Other Index Options'!$B:$B,C$147,'BSE - Other Index Options'!$H:$H,"MDAW*")=0,"",SUMIFS('BSE - SENSEX Index Options'!$L:$L,'BSE - SENSEX Index Options'!$C:$C,$A203,'BSE - SENSEX Index Options'!$B:$B,C$147,'BSE - SENSEX Index Options'!$H:$H,"Weekly*")+SUMIFS('BSE - SENSEX Index Options'!$L:$L,'BSE - SENSEX Index Options'!$C:$C,$A203,'BSE - SENSEX Index Options'!$B:$B,C$147,'BSE - SENSEX Index Options'!$H:$H,"MDAW*")+SUMIFS('BSE - Other Index Options'!$L:$L,'BSE - Other Index Options'!$C:$C,$A203,'BSE - Other Index Options'!$B:$B,C$147,'BSE - Other Index Options'!$H:$H,"Weekly*")+SUMIFS('BSE - Other Index Options'!$L:$L,'BSE - Other Index Options'!$C:$C,$A203,'BSE - Other Index Options'!$B:$B,C$147,'BSE - Other Index Options'!$H:$H,"MDAW*"))</f>
        <v/>
      </c>
      <c r="D203" s="26" t="str">
        <f>IF(SUMIFS('BSE - SENSEX Index Options'!$L:$L,'BSE - SENSEX Index Options'!$C:$C,$A203,'BSE - SENSEX Index Options'!$B:$B,D$147,'BSE - SENSEX Index Options'!$H:$H,"Weekly*")+SUMIFS('BSE - SENSEX Index Options'!$L:$L,'BSE - SENSEX Index Options'!$C:$C,$A203,'BSE - SENSEX Index Options'!$B:$B,D$147,'BSE - SENSEX Index Options'!$H:$H,"MDAW*")+SUMIFS('BSE - Other Index Options'!$L:$L,'BSE - Other Index Options'!$C:$C,$A203,'BSE - Other Index Options'!$B:$B,D$147,'BSE - Other Index Options'!$H:$H,"Weekly*")+SUMIFS('BSE - Other Index Options'!$L:$L,'BSE - Other Index Options'!$C:$C,$A203,'BSE - Other Index Options'!$B:$B,D$147,'BSE - Other Index Options'!$H:$H,"MDAW*")=0,"",SUMIFS('BSE - SENSEX Index Options'!$L:$L,'BSE - SENSEX Index Options'!$C:$C,$A203,'BSE - SENSEX Index Options'!$B:$B,D$147,'BSE - SENSEX Index Options'!$H:$H,"Weekly*")+SUMIFS('BSE - SENSEX Index Options'!$L:$L,'BSE - SENSEX Index Options'!$C:$C,$A203,'BSE - SENSEX Index Options'!$B:$B,D$147,'BSE - SENSEX Index Options'!$H:$H,"MDAW*")+SUMIFS('BSE - Other Index Options'!$L:$L,'BSE - Other Index Options'!$C:$C,$A203,'BSE - Other Index Options'!$B:$B,D$147,'BSE - Other Index Options'!$H:$H,"Weekly*")+SUMIFS('BSE - Other Index Options'!$L:$L,'BSE - Other Index Options'!$C:$C,$A203,'BSE - Other Index Options'!$B:$B,D$147,'BSE - Other Index Options'!$H:$H,"MDAW*"))</f>
        <v/>
      </c>
      <c r="E203" s="26" t="str">
        <f>IF(SUMIFS('BSE - SENSEX Index Options'!$L:$L,'BSE - SENSEX Index Options'!$C:$C,$A203,'BSE - SENSEX Index Options'!$B:$B,E$147,'BSE - SENSEX Index Options'!$H:$H,"Weekly*")+SUMIFS('BSE - SENSEX Index Options'!$L:$L,'BSE - SENSEX Index Options'!$C:$C,$A203,'BSE - SENSEX Index Options'!$B:$B,E$147,'BSE - SENSEX Index Options'!$H:$H,"MDAW*")+SUMIFS('BSE - Other Index Options'!$L:$L,'BSE - Other Index Options'!$C:$C,$A203,'BSE - Other Index Options'!$B:$B,E$147,'BSE - Other Index Options'!$H:$H,"Weekly*")+SUMIFS('BSE - Other Index Options'!$L:$L,'BSE - Other Index Options'!$C:$C,$A203,'BSE - Other Index Options'!$B:$B,E$147,'BSE - Other Index Options'!$H:$H,"MDAW*")=0,"",SUMIFS('BSE - SENSEX Index Options'!$L:$L,'BSE - SENSEX Index Options'!$C:$C,$A203,'BSE - SENSEX Index Options'!$B:$B,E$147,'BSE - SENSEX Index Options'!$H:$H,"Weekly*")+SUMIFS('BSE - SENSEX Index Options'!$L:$L,'BSE - SENSEX Index Options'!$C:$C,$A203,'BSE - SENSEX Index Options'!$B:$B,E$147,'BSE - SENSEX Index Options'!$H:$H,"MDAW*")+SUMIFS('BSE - Other Index Options'!$L:$L,'BSE - Other Index Options'!$C:$C,$A203,'BSE - Other Index Options'!$B:$B,E$147,'BSE - Other Index Options'!$H:$H,"Weekly*")+SUMIFS('BSE - Other Index Options'!$L:$L,'BSE - Other Index Options'!$C:$C,$A203,'BSE - Other Index Options'!$B:$B,E$147,'BSE - Other Index Options'!$H:$H,"MDAW*"))</f>
        <v/>
      </c>
      <c r="F203" s="26" t="str">
        <f>IF(SUMIFS('BSE - SENSEX Index Options'!$L:$L,'BSE - SENSEX Index Options'!$C:$C,$A203,'BSE - SENSEX Index Options'!$B:$B,F$147,'BSE - SENSEX Index Options'!$H:$H,"Weekly*")+SUMIFS('BSE - SENSEX Index Options'!$L:$L,'BSE - SENSEX Index Options'!$C:$C,$A203,'BSE - SENSEX Index Options'!$B:$B,F$147,'BSE - SENSEX Index Options'!$H:$H,"MDAW*")+SUMIFS('BSE - Other Index Options'!$L:$L,'BSE - Other Index Options'!$C:$C,$A203,'BSE - Other Index Options'!$B:$B,F$147,'BSE - Other Index Options'!$H:$H,"Weekly*")+SUMIFS('BSE - Other Index Options'!$L:$L,'BSE - Other Index Options'!$C:$C,$A203,'BSE - Other Index Options'!$B:$B,F$147,'BSE - Other Index Options'!$H:$H,"MDAW*")=0,"",SUMIFS('BSE - SENSEX Index Options'!$L:$L,'BSE - SENSEX Index Options'!$C:$C,$A203,'BSE - SENSEX Index Options'!$B:$B,F$147,'BSE - SENSEX Index Options'!$H:$H,"Weekly*")+SUMIFS('BSE - SENSEX Index Options'!$L:$L,'BSE - SENSEX Index Options'!$C:$C,$A203,'BSE - SENSEX Index Options'!$B:$B,F$147,'BSE - SENSEX Index Options'!$H:$H,"MDAW*")+SUMIFS('BSE - Other Index Options'!$L:$L,'BSE - Other Index Options'!$C:$C,$A203,'BSE - Other Index Options'!$B:$B,F$147,'BSE - Other Index Options'!$H:$H,"Weekly*")+SUMIFS('BSE - Other Index Options'!$L:$L,'BSE - Other Index Options'!$C:$C,$A203,'BSE - Other Index Options'!$B:$B,F$147,'BSE - Other Index Options'!$H:$H,"MDAW*"))</f>
        <v/>
      </c>
      <c r="G203" s="26" t="str">
        <f>IF(SUMIFS('BSE - SENSEX Index Options'!$L:$L,'BSE - SENSEX Index Options'!$C:$C,$A203,'BSE - SENSEX Index Options'!$B:$B,G$147,'BSE - SENSEX Index Options'!$H:$H,"Weekly*")+SUMIFS('BSE - SENSEX Index Options'!$L:$L,'BSE - SENSEX Index Options'!$C:$C,$A203,'BSE - SENSEX Index Options'!$B:$B,G$147,'BSE - SENSEX Index Options'!$H:$H,"MDAW*")+SUMIFS('BSE - Other Index Options'!$L:$L,'BSE - Other Index Options'!$C:$C,$A203,'BSE - Other Index Options'!$B:$B,G$147,'BSE - Other Index Options'!$H:$H,"Weekly*")+SUMIFS('BSE - Other Index Options'!$L:$L,'BSE - Other Index Options'!$C:$C,$A203,'BSE - Other Index Options'!$B:$B,G$147,'BSE - Other Index Options'!$H:$H,"MDAW*")=0,"",SUMIFS('BSE - SENSEX Index Options'!$L:$L,'BSE - SENSEX Index Options'!$C:$C,$A203,'BSE - SENSEX Index Options'!$B:$B,G$147,'BSE - SENSEX Index Options'!$H:$H,"Weekly*")+SUMIFS('BSE - SENSEX Index Options'!$L:$L,'BSE - SENSEX Index Options'!$C:$C,$A203,'BSE - SENSEX Index Options'!$B:$B,G$147,'BSE - SENSEX Index Options'!$H:$H,"MDAW*")+SUMIFS('BSE - Other Index Options'!$L:$L,'BSE - Other Index Options'!$C:$C,$A203,'BSE - Other Index Options'!$B:$B,G$147,'BSE - Other Index Options'!$H:$H,"Weekly*")+SUMIFS('BSE - Other Index Options'!$L:$L,'BSE - Other Index Options'!$C:$C,$A203,'BSE - Other Index Options'!$B:$B,G$147,'BSE - Other Index Options'!$H:$H,"MDAW*"))</f>
        <v/>
      </c>
      <c r="H203" s="26" t="str">
        <f t="shared" si="7"/>
        <v/>
      </c>
    </row>
    <row r="204" spans="1:8" hidden="1" outlineLevel="1">
      <c r="A204" t="s">
        <v>66</v>
      </c>
      <c r="B204" s="26" t="str">
        <f>IF(SUMIFS('BSE - SENSEX Index Options'!$L:$L,'BSE - SENSEX Index Options'!$C:$C,$A204,'BSE - SENSEX Index Options'!$B:$B,B$147,'BSE - SENSEX Index Options'!$H:$H,"Weekly*")+SUMIFS('BSE - SENSEX Index Options'!$L:$L,'BSE - SENSEX Index Options'!$C:$C,$A204,'BSE - SENSEX Index Options'!$B:$B,B$147,'BSE - SENSEX Index Options'!$H:$H,"MDAW*")+SUMIFS('BSE - Other Index Options'!$L:$L,'BSE - Other Index Options'!$C:$C,$A204,'BSE - Other Index Options'!$B:$B,B$147,'BSE - Other Index Options'!$H:$H,"Weekly*")+SUMIFS('BSE - Other Index Options'!$L:$L,'BSE - Other Index Options'!$C:$C,$A204,'BSE - Other Index Options'!$B:$B,B$147,'BSE - Other Index Options'!$H:$H,"MDAW*")=0,"",SUMIFS('BSE - SENSEX Index Options'!$L:$L,'BSE - SENSEX Index Options'!$C:$C,$A204,'BSE - SENSEX Index Options'!$B:$B,B$147,'BSE - SENSEX Index Options'!$H:$H,"Weekly*")+SUMIFS('BSE - SENSEX Index Options'!$L:$L,'BSE - SENSEX Index Options'!$C:$C,$A204,'BSE - SENSEX Index Options'!$B:$B,B$147,'BSE - SENSEX Index Options'!$H:$H,"MDAW*")+SUMIFS('BSE - Other Index Options'!$L:$L,'BSE - Other Index Options'!$C:$C,$A204,'BSE - Other Index Options'!$B:$B,B$147,'BSE - Other Index Options'!$H:$H,"Weekly*")+SUMIFS('BSE - Other Index Options'!$L:$L,'BSE - Other Index Options'!$C:$C,$A204,'BSE - Other Index Options'!$B:$B,B$147,'BSE - Other Index Options'!$H:$H,"MDAW*"))</f>
        <v/>
      </c>
      <c r="C204" s="26" t="str">
        <f>IF(SUMIFS('BSE - SENSEX Index Options'!$L:$L,'BSE - SENSEX Index Options'!$C:$C,$A204,'BSE - SENSEX Index Options'!$B:$B,C$147,'BSE - SENSEX Index Options'!$H:$H,"Weekly*")+SUMIFS('BSE - SENSEX Index Options'!$L:$L,'BSE - SENSEX Index Options'!$C:$C,$A204,'BSE - SENSEX Index Options'!$B:$B,C$147,'BSE - SENSEX Index Options'!$H:$H,"MDAW*")+SUMIFS('BSE - Other Index Options'!$L:$L,'BSE - Other Index Options'!$C:$C,$A204,'BSE - Other Index Options'!$B:$B,C$147,'BSE - Other Index Options'!$H:$H,"Weekly*")+SUMIFS('BSE - Other Index Options'!$L:$L,'BSE - Other Index Options'!$C:$C,$A204,'BSE - Other Index Options'!$B:$B,C$147,'BSE - Other Index Options'!$H:$H,"MDAW*")=0,"",SUMIFS('BSE - SENSEX Index Options'!$L:$L,'BSE - SENSEX Index Options'!$C:$C,$A204,'BSE - SENSEX Index Options'!$B:$B,C$147,'BSE - SENSEX Index Options'!$H:$H,"Weekly*")+SUMIFS('BSE - SENSEX Index Options'!$L:$L,'BSE - SENSEX Index Options'!$C:$C,$A204,'BSE - SENSEX Index Options'!$B:$B,C$147,'BSE - SENSEX Index Options'!$H:$H,"MDAW*")+SUMIFS('BSE - Other Index Options'!$L:$L,'BSE - Other Index Options'!$C:$C,$A204,'BSE - Other Index Options'!$B:$B,C$147,'BSE - Other Index Options'!$H:$H,"Weekly*")+SUMIFS('BSE - Other Index Options'!$L:$L,'BSE - Other Index Options'!$C:$C,$A204,'BSE - Other Index Options'!$B:$B,C$147,'BSE - Other Index Options'!$H:$H,"MDAW*"))</f>
        <v/>
      </c>
      <c r="D204" s="26" t="str">
        <f>IF(SUMIFS('BSE - SENSEX Index Options'!$L:$L,'BSE - SENSEX Index Options'!$C:$C,$A204,'BSE - SENSEX Index Options'!$B:$B,D$147,'BSE - SENSEX Index Options'!$H:$H,"Weekly*")+SUMIFS('BSE - SENSEX Index Options'!$L:$L,'BSE - SENSEX Index Options'!$C:$C,$A204,'BSE - SENSEX Index Options'!$B:$B,D$147,'BSE - SENSEX Index Options'!$H:$H,"MDAW*")+SUMIFS('BSE - Other Index Options'!$L:$L,'BSE - Other Index Options'!$C:$C,$A204,'BSE - Other Index Options'!$B:$B,D$147,'BSE - Other Index Options'!$H:$H,"Weekly*")+SUMIFS('BSE - Other Index Options'!$L:$L,'BSE - Other Index Options'!$C:$C,$A204,'BSE - Other Index Options'!$B:$B,D$147,'BSE - Other Index Options'!$H:$H,"MDAW*")=0,"",SUMIFS('BSE - SENSEX Index Options'!$L:$L,'BSE - SENSEX Index Options'!$C:$C,$A204,'BSE - SENSEX Index Options'!$B:$B,D$147,'BSE - SENSEX Index Options'!$H:$H,"Weekly*")+SUMIFS('BSE - SENSEX Index Options'!$L:$L,'BSE - SENSEX Index Options'!$C:$C,$A204,'BSE - SENSEX Index Options'!$B:$B,D$147,'BSE - SENSEX Index Options'!$H:$H,"MDAW*")+SUMIFS('BSE - Other Index Options'!$L:$L,'BSE - Other Index Options'!$C:$C,$A204,'BSE - Other Index Options'!$B:$B,D$147,'BSE - Other Index Options'!$H:$H,"Weekly*")+SUMIFS('BSE - Other Index Options'!$L:$L,'BSE - Other Index Options'!$C:$C,$A204,'BSE - Other Index Options'!$B:$B,D$147,'BSE - Other Index Options'!$H:$H,"MDAW*"))</f>
        <v/>
      </c>
      <c r="E204" s="26" t="str">
        <f>IF(SUMIFS('BSE - SENSEX Index Options'!$L:$L,'BSE - SENSEX Index Options'!$C:$C,$A204,'BSE - SENSEX Index Options'!$B:$B,E$147,'BSE - SENSEX Index Options'!$H:$H,"Weekly*")+SUMIFS('BSE - SENSEX Index Options'!$L:$L,'BSE - SENSEX Index Options'!$C:$C,$A204,'BSE - SENSEX Index Options'!$B:$B,E$147,'BSE - SENSEX Index Options'!$H:$H,"MDAW*")+SUMIFS('BSE - Other Index Options'!$L:$L,'BSE - Other Index Options'!$C:$C,$A204,'BSE - Other Index Options'!$B:$B,E$147,'BSE - Other Index Options'!$H:$H,"Weekly*")+SUMIFS('BSE - Other Index Options'!$L:$L,'BSE - Other Index Options'!$C:$C,$A204,'BSE - Other Index Options'!$B:$B,E$147,'BSE - Other Index Options'!$H:$H,"MDAW*")=0,"",SUMIFS('BSE - SENSEX Index Options'!$L:$L,'BSE - SENSEX Index Options'!$C:$C,$A204,'BSE - SENSEX Index Options'!$B:$B,E$147,'BSE - SENSEX Index Options'!$H:$H,"Weekly*")+SUMIFS('BSE - SENSEX Index Options'!$L:$L,'BSE - SENSEX Index Options'!$C:$C,$A204,'BSE - SENSEX Index Options'!$B:$B,E$147,'BSE - SENSEX Index Options'!$H:$H,"MDAW*")+SUMIFS('BSE - Other Index Options'!$L:$L,'BSE - Other Index Options'!$C:$C,$A204,'BSE - Other Index Options'!$B:$B,E$147,'BSE - Other Index Options'!$H:$H,"Weekly*")+SUMIFS('BSE - Other Index Options'!$L:$L,'BSE - Other Index Options'!$C:$C,$A204,'BSE - Other Index Options'!$B:$B,E$147,'BSE - Other Index Options'!$H:$H,"MDAW*"))</f>
        <v/>
      </c>
      <c r="F204" s="26" t="str">
        <f>IF(SUMIFS('BSE - SENSEX Index Options'!$L:$L,'BSE - SENSEX Index Options'!$C:$C,$A204,'BSE - SENSEX Index Options'!$B:$B,F$147,'BSE - SENSEX Index Options'!$H:$H,"Weekly*")+SUMIFS('BSE - SENSEX Index Options'!$L:$L,'BSE - SENSEX Index Options'!$C:$C,$A204,'BSE - SENSEX Index Options'!$B:$B,F$147,'BSE - SENSEX Index Options'!$H:$H,"MDAW*")+SUMIFS('BSE - Other Index Options'!$L:$L,'BSE - Other Index Options'!$C:$C,$A204,'BSE - Other Index Options'!$B:$B,F$147,'BSE - Other Index Options'!$H:$H,"Weekly*")+SUMIFS('BSE - Other Index Options'!$L:$L,'BSE - Other Index Options'!$C:$C,$A204,'BSE - Other Index Options'!$B:$B,F$147,'BSE - Other Index Options'!$H:$H,"MDAW*")=0,"",SUMIFS('BSE - SENSEX Index Options'!$L:$L,'BSE - SENSEX Index Options'!$C:$C,$A204,'BSE - SENSEX Index Options'!$B:$B,F$147,'BSE - SENSEX Index Options'!$H:$H,"Weekly*")+SUMIFS('BSE - SENSEX Index Options'!$L:$L,'BSE - SENSEX Index Options'!$C:$C,$A204,'BSE - SENSEX Index Options'!$B:$B,F$147,'BSE - SENSEX Index Options'!$H:$H,"MDAW*")+SUMIFS('BSE - Other Index Options'!$L:$L,'BSE - Other Index Options'!$C:$C,$A204,'BSE - Other Index Options'!$B:$B,F$147,'BSE - Other Index Options'!$H:$H,"Weekly*")+SUMIFS('BSE - Other Index Options'!$L:$L,'BSE - Other Index Options'!$C:$C,$A204,'BSE - Other Index Options'!$B:$B,F$147,'BSE - Other Index Options'!$H:$H,"MDAW*"))</f>
        <v/>
      </c>
      <c r="G204" s="26" t="str">
        <f>IF(SUMIFS('BSE - SENSEX Index Options'!$L:$L,'BSE - SENSEX Index Options'!$C:$C,$A204,'BSE - SENSEX Index Options'!$B:$B,G$147,'BSE - SENSEX Index Options'!$H:$H,"Weekly*")+SUMIFS('BSE - SENSEX Index Options'!$L:$L,'BSE - SENSEX Index Options'!$C:$C,$A204,'BSE - SENSEX Index Options'!$B:$B,G$147,'BSE - SENSEX Index Options'!$H:$H,"MDAW*")+SUMIFS('BSE - Other Index Options'!$L:$L,'BSE - Other Index Options'!$C:$C,$A204,'BSE - Other Index Options'!$B:$B,G$147,'BSE - Other Index Options'!$H:$H,"Weekly*")+SUMIFS('BSE - Other Index Options'!$L:$L,'BSE - Other Index Options'!$C:$C,$A204,'BSE - Other Index Options'!$B:$B,G$147,'BSE - Other Index Options'!$H:$H,"MDAW*")=0,"",SUMIFS('BSE - SENSEX Index Options'!$L:$L,'BSE - SENSEX Index Options'!$C:$C,$A204,'BSE - SENSEX Index Options'!$B:$B,G$147,'BSE - SENSEX Index Options'!$H:$H,"Weekly*")+SUMIFS('BSE - SENSEX Index Options'!$L:$L,'BSE - SENSEX Index Options'!$C:$C,$A204,'BSE - SENSEX Index Options'!$B:$B,G$147,'BSE - SENSEX Index Options'!$H:$H,"MDAW*")+SUMIFS('BSE - Other Index Options'!$L:$L,'BSE - Other Index Options'!$C:$C,$A204,'BSE - Other Index Options'!$B:$B,G$147,'BSE - Other Index Options'!$H:$H,"Weekly*")+SUMIFS('BSE - Other Index Options'!$L:$L,'BSE - Other Index Options'!$C:$C,$A204,'BSE - Other Index Options'!$B:$B,G$147,'BSE - Other Index Options'!$H:$H,"MDAW*"))</f>
        <v/>
      </c>
      <c r="H204" s="26" t="str">
        <f t="shared" si="7"/>
        <v/>
      </c>
    </row>
    <row r="205" spans="1:8" hidden="1" outlineLevel="1">
      <c r="A205" t="s">
        <v>67</v>
      </c>
      <c r="B205" s="26" t="str">
        <f>IF(SUMIFS('BSE - SENSEX Index Options'!$L:$L,'BSE - SENSEX Index Options'!$C:$C,$A205,'BSE - SENSEX Index Options'!$B:$B,B$147,'BSE - SENSEX Index Options'!$H:$H,"Weekly*")+SUMIFS('BSE - SENSEX Index Options'!$L:$L,'BSE - SENSEX Index Options'!$C:$C,$A205,'BSE - SENSEX Index Options'!$B:$B,B$147,'BSE - SENSEX Index Options'!$H:$H,"MDAW*")+SUMIFS('BSE - Other Index Options'!$L:$L,'BSE - Other Index Options'!$C:$C,$A205,'BSE - Other Index Options'!$B:$B,B$147,'BSE - Other Index Options'!$H:$H,"Weekly*")+SUMIFS('BSE - Other Index Options'!$L:$L,'BSE - Other Index Options'!$C:$C,$A205,'BSE - Other Index Options'!$B:$B,B$147,'BSE - Other Index Options'!$H:$H,"MDAW*")=0,"",SUMIFS('BSE - SENSEX Index Options'!$L:$L,'BSE - SENSEX Index Options'!$C:$C,$A205,'BSE - SENSEX Index Options'!$B:$B,B$147,'BSE - SENSEX Index Options'!$H:$H,"Weekly*")+SUMIFS('BSE - SENSEX Index Options'!$L:$L,'BSE - SENSEX Index Options'!$C:$C,$A205,'BSE - SENSEX Index Options'!$B:$B,B$147,'BSE - SENSEX Index Options'!$H:$H,"MDAW*")+SUMIFS('BSE - Other Index Options'!$L:$L,'BSE - Other Index Options'!$C:$C,$A205,'BSE - Other Index Options'!$B:$B,B$147,'BSE - Other Index Options'!$H:$H,"Weekly*")+SUMIFS('BSE - Other Index Options'!$L:$L,'BSE - Other Index Options'!$C:$C,$A205,'BSE - Other Index Options'!$B:$B,B$147,'BSE - Other Index Options'!$H:$H,"MDAW*"))</f>
        <v/>
      </c>
      <c r="C205" s="26" t="str">
        <f>IF(SUMIFS('BSE - SENSEX Index Options'!$L:$L,'BSE - SENSEX Index Options'!$C:$C,$A205,'BSE - SENSEX Index Options'!$B:$B,C$147,'BSE - SENSEX Index Options'!$H:$H,"Weekly*")+SUMIFS('BSE - SENSEX Index Options'!$L:$L,'BSE - SENSEX Index Options'!$C:$C,$A205,'BSE - SENSEX Index Options'!$B:$B,C$147,'BSE - SENSEX Index Options'!$H:$H,"MDAW*")+SUMIFS('BSE - Other Index Options'!$L:$L,'BSE - Other Index Options'!$C:$C,$A205,'BSE - Other Index Options'!$B:$B,C$147,'BSE - Other Index Options'!$H:$H,"Weekly*")+SUMIFS('BSE - Other Index Options'!$L:$L,'BSE - Other Index Options'!$C:$C,$A205,'BSE - Other Index Options'!$B:$B,C$147,'BSE - Other Index Options'!$H:$H,"MDAW*")=0,"",SUMIFS('BSE - SENSEX Index Options'!$L:$L,'BSE - SENSEX Index Options'!$C:$C,$A205,'BSE - SENSEX Index Options'!$B:$B,C$147,'BSE - SENSEX Index Options'!$H:$H,"Weekly*")+SUMIFS('BSE - SENSEX Index Options'!$L:$L,'BSE - SENSEX Index Options'!$C:$C,$A205,'BSE - SENSEX Index Options'!$B:$B,C$147,'BSE - SENSEX Index Options'!$H:$H,"MDAW*")+SUMIFS('BSE - Other Index Options'!$L:$L,'BSE - Other Index Options'!$C:$C,$A205,'BSE - Other Index Options'!$B:$B,C$147,'BSE - Other Index Options'!$H:$H,"Weekly*")+SUMIFS('BSE - Other Index Options'!$L:$L,'BSE - Other Index Options'!$C:$C,$A205,'BSE - Other Index Options'!$B:$B,C$147,'BSE - Other Index Options'!$H:$H,"MDAW*"))</f>
        <v/>
      </c>
      <c r="D205" s="26" t="str">
        <f>IF(SUMIFS('BSE - SENSEX Index Options'!$L:$L,'BSE - SENSEX Index Options'!$C:$C,$A205,'BSE - SENSEX Index Options'!$B:$B,D$147,'BSE - SENSEX Index Options'!$H:$H,"Weekly*")+SUMIFS('BSE - SENSEX Index Options'!$L:$L,'BSE - SENSEX Index Options'!$C:$C,$A205,'BSE - SENSEX Index Options'!$B:$B,D$147,'BSE - SENSEX Index Options'!$H:$H,"MDAW*")+SUMIFS('BSE - Other Index Options'!$L:$L,'BSE - Other Index Options'!$C:$C,$A205,'BSE - Other Index Options'!$B:$B,D$147,'BSE - Other Index Options'!$H:$H,"Weekly*")+SUMIFS('BSE - Other Index Options'!$L:$L,'BSE - Other Index Options'!$C:$C,$A205,'BSE - Other Index Options'!$B:$B,D$147,'BSE - Other Index Options'!$H:$H,"MDAW*")=0,"",SUMIFS('BSE - SENSEX Index Options'!$L:$L,'BSE - SENSEX Index Options'!$C:$C,$A205,'BSE - SENSEX Index Options'!$B:$B,D$147,'BSE - SENSEX Index Options'!$H:$H,"Weekly*")+SUMIFS('BSE - SENSEX Index Options'!$L:$L,'BSE - SENSEX Index Options'!$C:$C,$A205,'BSE - SENSEX Index Options'!$B:$B,D$147,'BSE - SENSEX Index Options'!$H:$H,"MDAW*")+SUMIFS('BSE - Other Index Options'!$L:$L,'BSE - Other Index Options'!$C:$C,$A205,'BSE - Other Index Options'!$B:$B,D$147,'BSE - Other Index Options'!$H:$H,"Weekly*")+SUMIFS('BSE - Other Index Options'!$L:$L,'BSE - Other Index Options'!$C:$C,$A205,'BSE - Other Index Options'!$B:$B,D$147,'BSE - Other Index Options'!$H:$H,"MDAW*"))</f>
        <v/>
      </c>
      <c r="E205" s="26" t="str">
        <f>IF(SUMIFS('BSE - SENSEX Index Options'!$L:$L,'BSE - SENSEX Index Options'!$C:$C,$A205,'BSE - SENSEX Index Options'!$B:$B,E$147,'BSE - SENSEX Index Options'!$H:$H,"Weekly*")+SUMIFS('BSE - SENSEX Index Options'!$L:$L,'BSE - SENSEX Index Options'!$C:$C,$A205,'BSE - SENSEX Index Options'!$B:$B,E$147,'BSE - SENSEX Index Options'!$H:$H,"MDAW*")+SUMIFS('BSE - Other Index Options'!$L:$L,'BSE - Other Index Options'!$C:$C,$A205,'BSE - Other Index Options'!$B:$B,E$147,'BSE - Other Index Options'!$H:$H,"Weekly*")+SUMIFS('BSE - Other Index Options'!$L:$L,'BSE - Other Index Options'!$C:$C,$A205,'BSE - Other Index Options'!$B:$B,E$147,'BSE - Other Index Options'!$H:$H,"MDAW*")=0,"",SUMIFS('BSE - SENSEX Index Options'!$L:$L,'BSE - SENSEX Index Options'!$C:$C,$A205,'BSE - SENSEX Index Options'!$B:$B,E$147,'BSE - SENSEX Index Options'!$H:$H,"Weekly*")+SUMIFS('BSE - SENSEX Index Options'!$L:$L,'BSE - SENSEX Index Options'!$C:$C,$A205,'BSE - SENSEX Index Options'!$B:$B,E$147,'BSE - SENSEX Index Options'!$H:$H,"MDAW*")+SUMIFS('BSE - Other Index Options'!$L:$L,'BSE - Other Index Options'!$C:$C,$A205,'BSE - Other Index Options'!$B:$B,E$147,'BSE - Other Index Options'!$H:$H,"Weekly*")+SUMIFS('BSE - Other Index Options'!$L:$L,'BSE - Other Index Options'!$C:$C,$A205,'BSE - Other Index Options'!$B:$B,E$147,'BSE - Other Index Options'!$H:$H,"MDAW*"))</f>
        <v/>
      </c>
      <c r="F205" s="26" t="str">
        <f>IF(SUMIFS('BSE - SENSEX Index Options'!$L:$L,'BSE - SENSEX Index Options'!$C:$C,$A205,'BSE - SENSEX Index Options'!$B:$B,F$147,'BSE - SENSEX Index Options'!$H:$H,"Weekly*")+SUMIFS('BSE - SENSEX Index Options'!$L:$L,'BSE - SENSEX Index Options'!$C:$C,$A205,'BSE - SENSEX Index Options'!$B:$B,F$147,'BSE - SENSEX Index Options'!$H:$H,"MDAW*")+SUMIFS('BSE - Other Index Options'!$L:$L,'BSE - Other Index Options'!$C:$C,$A205,'BSE - Other Index Options'!$B:$B,F$147,'BSE - Other Index Options'!$H:$H,"Weekly*")+SUMIFS('BSE - Other Index Options'!$L:$L,'BSE - Other Index Options'!$C:$C,$A205,'BSE - Other Index Options'!$B:$B,F$147,'BSE - Other Index Options'!$H:$H,"MDAW*")=0,"",SUMIFS('BSE - SENSEX Index Options'!$L:$L,'BSE - SENSEX Index Options'!$C:$C,$A205,'BSE - SENSEX Index Options'!$B:$B,F$147,'BSE - SENSEX Index Options'!$H:$H,"Weekly*")+SUMIFS('BSE - SENSEX Index Options'!$L:$L,'BSE - SENSEX Index Options'!$C:$C,$A205,'BSE - SENSEX Index Options'!$B:$B,F$147,'BSE - SENSEX Index Options'!$H:$H,"MDAW*")+SUMIFS('BSE - Other Index Options'!$L:$L,'BSE - Other Index Options'!$C:$C,$A205,'BSE - Other Index Options'!$B:$B,F$147,'BSE - Other Index Options'!$H:$H,"Weekly*")+SUMIFS('BSE - Other Index Options'!$L:$L,'BSE - Other Index Options'!$C:$C,$A205,'BSE - Other Index Options'!$B:$B,F$147,'BSE - Other Index Options'!$H:$H,"MDAW*"))</f>
        <v/>
      </c>
      <c r="G205" s="26" t="str">
        <f>IF(SUMIFS('BSE - SENSEX Index Options'!$L:$L,'BSE - SENSEX Index Options'!$C:$C,$A205,'BSE - SENSEX Index Options'!$B:$B,G$147,'BSE - SENSEX Index Options'!$H:$H,"Weekly*")+SUMIFS('BSE - SENSEX Index Options'!$L:$L,'BSE - SENSEX Index Options'!$C:$C,$A205,'BSE - SENSEX Index Options'!$B:$B,G$147,'BSE - SENSEX Index Options'!$H:$H,"MDAW*")+SUMIFS('BSE - Other Index Options'!$L:$L,'BSE - Other Index Options'!$C:$C,$A205,'BSE - Other Index Options'!$B:$B,G$147,'BSE - Other Index Options'!$H:$H,"Weekly*")+SUMIFS('BSE - Other Index Options'!$L:$L,'BSE - Other Index Options'!$C:$C,$A205,'BSE - Other Index Options'!$B:$B,G$147,'BSE - Other Index Options'!$H:$H,"MDAW*")=0,"",SUMIFS('BSE - SENSEX Index Options'!$L:$L,'BSE - SENSEX Index Options'!$C:$C,$A205,'BSE - SENSEX Index Options'!$B:$B,G$147,'BSE - SENSEX Index Options'!$H:$H,"Weekly*")+SUMIFS('BSE - SENSEX Index Options'!$L:$L,'BSE - SENSEX Index Options'!$C:$C,$A205,'BSE - SENSEX Index Options'!$B:$B,G$147,'BSE - SENSEX Index Options'!$H:$H,"MDAW*")+SUMIFS('BSE - Other Index Options'!$L:$L,'BSE - Other Index Options'!$C:$C,$A205,'BSE - Other Index Options'!$B:$B,G$147,'BSE - Other Index Options'!$H:$H,"Weekly*")+SUMIFS('BSE - Other Index Options'!$L:$L,'BSE - Other Index Options'!$C:$C,$A205,'BSE - Other Index Options'!$B:$B,G$147,'BSE - Other Index Options'!$H:$H,"MDAW*"))</f>
        <v/>
      </c>
      <c r="H205" s="26" t="str">
        <f t="shared" si="7"/>
        <v/>
      </c>
    </row>
    <row r="206" spans="1:8" hidden="1" outlineLevel="1">
      <c r="A206" t="s">
        <v>68</v>
      </c>
      <c r="B206" s="26" t="str">
        <f>IF(SUMIFS('BSE - SENSEX Index Options'!$L:$L,'BSE - SENSEX Index Options'!$C:$C,$A206,'BSE - SENSEX Index Options'!$B:$B,B$147,'BSE - SENSEX Index Options'!$H:$H,"Weekly*")+SUMIFS('BSE - SENSEX Index Options'!$L:$L,'BSE - SENSEX Index Options'!$C:$C,$A206,'BSE - SENSEX Index Options'!$B:$B,B$147,'BSE - SENSEX Index Options'!$H:$H,"MDAW*")+SUMIFS('BSE - Other Index Options'!$L:$L,'BSE - Other Index Options'!$C:$C,$A206,'BSE - Other Index Options'!$B:$B,B$147,'BSE - Other Index Options'!$H:$H,"Weekly*")+SUMIFS('BSE - Other Index Options'!$L:$L,'BSE - Other Index Options'!$C:$C,$A206,'BSE - Other Index Options'!$B:$B,B$147,'BSE - Other Index Options'!$H:$H,"MDAW*")=0,"",SUMIFS('BSE - SENSEX Index Options'!$L:$L,'BSE - SENSEX Index Options'!$C:$C,$A206,'BSE - SENSEX Index Options'!$B:$B,B$147,'BSE - SENSEX Index Options'!$H:$H,"Weekly*")+SUMIFS('BSE - SENSEX Index Options'!$L:$L,'BSE - SENSEX Index Options'!$C:$C,$A206,'BSE - SENSEX Index Options'!$B:$B,B$147,'BSE - SENSEX Index Options'!$H:$H,"MDAW*")+SUMIFS('BSE - Other Index Options'!$L:$L,'BSE - Other Index Options'!$C:$C,$A206,'BSE - Other Index Options'!$B:$B,B$147,'BSE - Other Index Options'!$H:$H,"Weekly*")+SUMIFS('BSE - Other Index Options'!$L:$L,'BSE - Other Index Options'!$C:$C,$A206,'BSE - Other Index Options'!$B:$B,B$147,'BSE - Other Index Options'!$H:$H,"MDAW*"))</f>
        <v/>
      </c>
      <c r="C206" s="26" t="str">
        <f>IF(SUMIFS('BSE - SENSEX Index Options'!$L:$L,'BSE - SENSEX Index Options'!$C:$C,$A206,'BSE - SENSEX Index Options'!$B:$B,C$147,'BSE - SENSEX Index Options'!$H:$H,"Weekly*")+SUMIFS('BSE - SENSEX Index Options'!$L:$L,'BSE - SENSEX Index Options'!$C:$C,$A206,'BSE - SENSEX Index Options'!$B:$B,C$147,'BSE - SENSEX Index Options'!$H:$H,"MDAW*")+SUMIFS('BSE - Other Index Options'!$L:$L,'BSE - Other Index Options'!$C:$C,$A206,'BSE - Other Index Options'!$B:$B,C$147,'BSE - Other Index Options'!$H:$H,"Weekly*")+SUMIFS('BSE - Other Index Options'!$L:$L,'BSE - Other Index Options'!$C:$C,$A206,'BSE - Other Index Options'!$B:$B,C$147,'BSE - Other Index Options'!$H:$H,"MDAW*")=0,"",SUMIFS('BSE - SENSEX Index Options'!$L:$L,'BSE - SENSEX Index Options'!$C:$C,$A206,'BSE - SENSEX Index Options'!$B:$B,C$147,'BSE - SENSEX Index Options'!$H:$H,"Weekly*")+SUMIFS('BSE - SENSEX Index Options'!$L:$L,'BSE - SENSEX Index Options'!$C:$C,$A206,'BSE - SENSEX Index Options'!$B:$B,C$147,'BSE - SENSEX Index Options'!$H:$H,"MDAW*")+SUMIFS('BSE - Other Index Options'!$L:$L,'BSE - Other Index Options'!$C:$C,$A206,'BSE - Other Index Options'!$B:$B,C$147,'BSE - Other Index Options'!$H:$H,"Weekly*")+SUMIFS('BSE - Other Index Options'!$L:$L,'BSE - Other Index Options'!$C:$C,$A206,'BSE - Other Index Options'!$B:$B,C$147,'BSE - Other Index Options'!$H:$H,"MDAW*"))</f>
        <v/>
      </c>
      <c r="D206" s="26" t="str">
        <f>IF(SUMIFS('BSE - SENSEX Index Options'!$L:$L,'BSE - SENSEX Index Options'!$C:$C,$A206,'BSE - SENSEX Index Options'!$B:$B,D$147,'BSE - SENSEX Index Options'!$H:$H,"Weekly*")+SUMIFS('BSE - SENSEX Index Options'!$L:$L,'BSE - SENSEX Index Options'!$C:$C,$A206,'BSE - SENSEX Index Options'!$B:$B,D$147,'BSE - SENSEX Index Options'!$H:$H,"MDAW*")+SUMIFS('BSE - Other Index Options'!$L:$L,'BSE - Other Index Options'!$C:$C,$A206,'BSE - Other Index Options'!$B:$B,D$147,'BSE - Other Index Options'!$H:$H,"Weekly*")+SUMIFS('BSE - Other Index Options'!$L:$L,'BSE - Other Index Options'!$C:$C,$A206,'BSE - Other Index Options'!$B:$B,D$147,'BSE - Other Index Options'!$H:$H,"MDAW*")=0,"",SUMIFS('BSE - SENSEX Index Options'!$L:$L,'BSE - SENSEX Index Options'!$C:$C,$A206,'BSE - SENSEX Index Options'!$B:$B,D$147,'BSE - SENSEX Index Options'!$H:$H,"Weekly*")+SUMIFS('BSE - SENSEX Index Options'!$L:$L,'BSE - SENSEX Index Options'!$C:$C,$A206,'BSE - SENSEX Index Options'!$B:$B,D$147,'BSE - SENSEX Index Options'!$H:$H,"MDAW*")+SUMIFS('BSE - Other Index Options'!$L:$L,'BSE - Other Index Options'!$C:$C,$A206,'BSE - Other Index Options'!$B:$B,D$147,'BSE - Other Index Options'!$H:$H,"Weekly*")+SUMIFS('BSE - Other Index Options'!$L:$L,'BSE - Other Index Options'!$C:$C,$A206,'BSE - Other Index Options'!$B:$B,D$147,'BSE - Other Index Options'!$H:$H,"MDAW*"))</f>
        <v/>
      </c>
      <c r="E206" s="26" t="str">
        <f>IF(SUMIFS('BSE - SENSEX Index Options'!$L:$L,'BSE - SENSEX Index Options'!$C:$C,$A206,'BSE - SENSEX Index Options'!$B:$B,E$147,'BSE - SENSEX Index Options'!$H:$H,"Weekly*")+SUMIFS('BSE - SENSEX Index Options'!$L:$L,'BSE - SENSEX Index Options'!$C:$C,$A206,'BSE - SENSEX Index Options'!$B:$B,E$147,'BSE - SENSEX Index Options'!$H:$H,"MDAW*")+SUMIFS('BSE - Other Index Options'!$L:$L,'BSE - Other Index Options'!$C:$C,$A206,'BSE - Other Index Options'!$B:$B,E$147,'BSE - Other Index Options'!$H:$H,"Weekly*")+SUMIFS('BSE - Other Index Options'!$L:$L,'BSE - Other Index Options'!$C:$C,$A206,'BSE - Other Index Options'!$B:$B,E$147,'BSE - Other Index Options'!$H:$H,"MDAW*")=0,"",SUMIFS('BSE - SENSEX Index Options'!$L:$L,'BSE - SENSEX Index Options'!$C:$C,$A206,'BSE - SENSEX Index Options'!$B:$B,E$147,'BSE - SENSEX Index Options'!$H:$H,"Weekly*")+SUMIFS('BSE - SENSEX Index Options'!$L:$L,'BSE - SENSEX Index Options'!$C:$C,$A206,'BSE - SENSEX Index Options'!$B:$B,E$147,'BSE - SENSEX Index Options'!$H:$H,"MDAW*")+SUMIFS('BSE - Other Index Options'!$L:$L,'BSE - Other Index Options'!$C:$C,$A206,'BSE - Other Index Options'!$B:$B,E$147,'BSE - Other Index Options'!$H:$H,"Weekly*")+SUMIFS('BSE - Other Index Options'!$L:$L,'BSE - Other Index Options'!$C:$C,$A206,'BSE - Other Index Options'!$B:$B,E$147,'BSE - Other Index Options'!$H:$H,"MDAW*"))</f>
        <v/>
      </c>
      <c r="F206" s="26" t="str">
        <f>IF(SUMIFS('BSE - SENSEX Index Options'!$L:$L,'BSE - SENSEX Index Options'!$C:$C,$A206,'BSE - SENSEX Index Options'!$B:$B,F$147,'BSE - SENSEX Index Options'!$H:$H,"Weekly*")+SUMIFS('BSE - SENSEX Index Options'!$L:$L,'BSE - SENSEX Index Options'!$C:$C,$A206,'BSE - SENSEX Index Options'!$B:$B,F$147,'BSE - SENSEX Index Options'!$H:$H,"MDAW*")+SUMIFS('BSE - Other Index Options'!$L:$L,'BSE - Other Index Options'!$C:$C,$A206,'BSE - Other Index Options'!$B:$B,F$147,'BSE - Other Index Options'!$H:$H,"Weekly*")+SUMIFS('BSE - Other Index Options'!$L:$L,'BSE - Other Index Options'!$C:$C,$A206,'BSE - Other Index Options'!$B:$B,F$147,'BSE - Other Index Options'!$H:$H,"MDAW*")=0,"",SUMIFS('BSE - SENSEX Index Options'!$L:$L,'BSE - SENSEX Index Options'!$C:$C,$A206,'BSE - SENSEX Index Options'!$B:$B,F$147,'BSE - SENSEX Index Options'!$H:$H,"Weekly*")+SUMIFS('BSE - SENSEX Index Options'!$L:$L,'BSE - SENSEX Index Options'!$C:$C,$A206,'BSE - SENSEX Index Options'!$B:$B,F$147,'BSE - SENSEX Index Options'!$H:$H,"MDAW*")+SUMIFS('BSE - Other Index Options'!$L:$L,'BSE - Other Index Options'!$C:$C,$A206,'BSE - Other Index Options'!$B:$B,F$147,'BSE - Other Index Options'!$H:$H,"Weekly*")+SUMIFS('BSE - Other Index Options'!$L:$L,'BSE - Other Index Options'!$C:$C,$A206,'BSE - Other Index Options'!$B:$B,F$147,'BSE - Other Index Options'!$H:$H,"MDAW*"))</f>
        <v/>
      </c>
      <c r="G206" s="26" t="str">
        <f>IF(SUMIFS('BSE - SENSEX Index Options'!$L:$L,'BSE - SENSEX Index Options'!$C:$C,$A206,'BSE - SENSEX Index Options'!$B:$B,G$147,'BSE - SENSEX Index Options'!$H:$H,"Weekly*")+SUMIFS('BSE - SENSEX Index Options'!$L:$L,'BSE - SENSEX Index Options'!$C:$C,$A206,'BSE - SENSEX Index Options'!$B:$B,G$147,'BSE - SENSEX Index Options'!$H:$H,"MDAW*")+SUMIFS('BSE - Other Index Options'!$L:$L,'BSE - Other Index Options'!$C:$C,$A206,'BSE - Other Index Options'!$B:$B,G$147,'BSE - Other Index Options'!$H:$H,"Weekly*")+SUMIFS('BSE - Other Index Options'!$L:$L,'BSE - Other Index Options'!$C:$C,$A206,'BSE - Other Index Options'!$B:$B,G$147,'BSE - Other Index Options'!$H:$H,"MDAW*")=0,"",SUMIFS('BSE - SENSEX Index Options'!$L:$L,'BSE - SENSEX Index Options'!$C:$C,$A206,'BSE - SENSEX Index Options'!$B:$B,G$147,'BSE - SENSEX Index Options'!$H:$H,"Weekly*")+SUMIFS('BSE - SENSEX Index Options'!$L:$L,'BSE - SENSEX Index Options'!$C:$C,$A206,'BSE - SENSEX Index Options'!$B:$B,G$147,'BSE - SENSEX Index Options'!$H:$H,"MDAW*")+SUMIFS('BSE - Other Index Options'!$L:$L,'BSE - Other Index Options'!$C:$C,$A206,'BSE - Other Index Options'!$B:$B,G$147,'BSE - Other Index Options'!$H:$H,"Weekly*")+SUMIFS('BSE - Other Index Options'!$L:$L,'BSE - Other Index Options'!$C:$C,$A206,'BSE - Other Index Options'!$B:$B,G$147,'BSE - Other Index Options'!$H:$H,"MDAW*"))</f>
        <v/>
      </c>
      <c r="H206" s="26" t="str">
        <f t="shared" si="7"/>
        <v/>
      </c>
    </row>
    <row r="207" spans="1:8" hidden="1" outlineLevel="1">
      <c r="A207" t="s">
        <v>69</v>
      </c>
      <c r="B207" s="26" t="str">
        <f>IF(SUMIFS('BSE - SENSEX Index Options'!$L:$L,'BSE - SENSEX Index Options'!$C:$C,$A207,'BSE - SENSEX Index Options'!$B:$B,B$147,'BSE - SENSEX Index Options'!$H:$H,"Weekly*")+SUMIFS('BSE - SENSEX Index Options'!$L:$L,'BSE - SENSEX Index Options'!$C:$C,$A207,'BSE - SENSEX Index Options'!$B:$B,B$147,'BSE - SENSEX Index Options'!$H:$H,"MDAW*")+SUMIFS('BSE - Other Index Options'!$L:$L,'BSE - Other Index Options'!$C:$C,$A207,'BSE - Other Index Options'!$B:$B,B$147,'BSE - Other Index Options'!$H:$H,"Weekly*")+SUMIFS('BSE - Other Index Options'!$L:$L,'BSE - Other Index Options'!$C:$C,$A207,'BSE - Other Index Options'!$B:$B,B$147,'BSE - Other Index Options'!$H:$H,"MDAW*")=0,"",SUMIFS('BSE - SENSEX Index Options'!$L:$L,'BSE - SENSEX Index Options'!$C:$C,$A207,'BSE - SENSEX Index Options'!$B:$B,B$147,'BSE - SENSEX Index Options'!$H:$H,"Weekly*")+SUMIFS('BSE - SENSEX Index Options'!$L:$L,'BSE - SENSEX Index Options'!$C:$C,$A207,'BSE - SENSEX Index Options'!$B:$B,B$147,'BSE - SENSEX Index Options'!$H:$H,"MDAW*")+SUMIFS('BSE - Other Index Options'!$L:$L,'BSE - Other Index Options'!$C:$C,$A207,'BSE - Other Index Options'!$B:$B,B$147,'BSE - Other Index Options'!$H:$H,"Weekly*")+SUMIFS('BSE - Other Index Options'!$L:$L,'BSE - Other Index Options'!$C:$C,$A207,'BSE - Other Index Options'!$B:$B,B$147,'BSE - Other Index Options'!$H:$H,"MDAW*"))</f>
        <v/>
      </c>
      <c r="C207" s="26" t="str">
        <f>IF(SUMIFS('BSE - SENSEX Index Options'!$L:$L,'BSE - SENSEX Index Options'!$C:$C,$A207,'BSE - SENSEX Index Options'!$B:$B,C$147,'BSE - SENSEX Index Options'!$H:$H,"Weekly*")+SUMIFS('BSE - SENSEX Index Options'!$L:$L,'BSE - SENSEX Index Options'!$C:$C,$A207,'BSE - SENSEX Index Options'!$B:$B,C$147,'BSE - SENSEX Index Options'!$H:$H,"MDAW*")+SUMIFS('BSE - Other Index Options'!$L:$L,'BSE - Other Index Options'!$C:$C,$A207,'BSE - Other Index Options'!$B:$B,C$147,'BSE - Other Index Options'!$H:$H,"Weekly*")+SUMIFS('BSE - Other Index Options'!$L:$L,'BSE - Other Index Options'!$C:$C,$A207,'BSE - Other Index Options'!$B:$B,C$147,'BSE - Other Index Options'!$H:$H,"MDAW*")=0,"",SUMIFS('BSE - SENSEX Index Options'!$L:$L,'BSE - SENSEX Index Options'!$C:$C,$A207,'BSE - SENSEX Index Options'!$B:$B,C$147,'BSE - SENSEX Index Options'!$H:$H,"Weekly*")+SUMIFS('BSE - SENSEX Index Options'!$L:$L,'BSE - SENSEX Index Options'!$C:$C,$A207,'BSE - SENSEX Index Options'!$B:$B,C$147,'BSE - SENSEX Index Options'!$H:$H,"MDAW*")+SUMIFS('BSE - Other Index Options'!$L:$L,'BSE - Other Index Options'!$C:$C,$A207,'BSE - Other Index Options'!$B:$B,C$147,'BSE - Other Index Options'!$H:$H,"Weekly*")+SUMIFS('BSE - Other Index Options'!$L:$L,'BSE - Other Index Options'!$C:$C,$A207,'BSE - Other Index Options'!$B:$B,C$147,'BSE - Other Index Options'!$H:$H,"MDAW*"))</f>
        <v/>
      </c>
      <c r="D207" s="26" t="str">
        <f>IF(SUMIFS('BSE - SENSEX Index Options'!$L:$L,'BSE - SENSEX Index Options'!$C:$C,$A207,'BSE - SENSEX Index Options'!$B:$B,D$147,'BSE - SENSEX Index Options'!$H:$H,"Weekly*")+SUMIFS('BSE - SENSEX Index Options'!$L:$L,'BSE - SENSEX Index Options'!$C:$C,$A207,'BSE - SENSEX Index Options'!$B:$B,D$147,'BSE - SENSEX Index Options'!$H:$H,"MDAW*")+SUMIFS('BSE - Other Index Options'!$L:$L,'BSE - Other Index Options'!$C:$C,$A207,'BSE - Other Index Options'!$B:$B,D$147,'BSE - Other Index Options'!$H:$H,"Weekly*")+SUMIFS('BSE - Other Index Options'!$L:$L,'BSE - Other Index Options'!$C:$C,$A207,'BSE - Other Index Options'!$B:$B,D$147,'BSE - Other Index Options'!$H:$H,"MDAW*")=0,"",SUMIFS('BSE - SENSEX Index Options'!$L:$L,'BSE - SENSEX Index Options'!$C:$C,$A207,'BSE - SENSEX Index Options'!$B:$B,D$147,'BSE - SENSEX Index Options'!$H:$H,"Weekly*")+SUMIFS('BSE - SENSEX Index Options'!$L:$L,'BSE - SENSEX Index Options'!$C:$C,$A207,'BSE - SENSEX Index Options'!$B:$B,D$147,'BSE - SENSEX Index Options'!$H:$H,"MDAW*")+SUMIFS('BSE - Other Index Options'!$L:$L,'BSE - Other Index Options'!$C:$C,$A207,'BSE - Other Index Options'!$B:$B,D$147,'BSE - Other Index Options'!$H:$H,"Weekly*")+SUMIFS('BSE - Other Index Options'!$L:$L,'BSE - Other Index Options'!$C:$C,$A207,'BSE - Other Index Options'!$B:$B,D$147,'BSE - Other Index Options'!$H:$H,"MDAW*"))</f>
        <v/>
      </c>
      <c r="E207" s="26" t="str">
        <f>IF(SUMIFS('BSE - SENSEX Index Options'!$L:$L,'BSE - SENSEX Index Options'!$C:$C,$A207,'BSE - SENSEX Index Options'!$B:$B,E$147,'BSE - SENSEX Index Options'!$H:$H,"Weekly*")+SUMIFS('BSE - SENSEX Index Options'!$L:$L,'BSE - SENSEX Index Options'!$C:$C,$A207,'BSE - SENSEX Index Options'!$B:$B,E$147,'BSE - SENSEX Index Options'!$H:$H,"MDAW*")+SUMIFS('BSE - Other Index Options'!$L:$L,'BSE - Other Index Options'!$C:$C,$A207,'BSE - Other Index Options'!$B:$B,E$147,'BSE - Other Index Options'!$H:$H,"Weekly*")+SUMIFS('BSE - Other Index Options'!$L:$L,'BSE - Other Index Options'!$C:$C,$A207,'BSE - Other Index Options'!$B:$B,E$147,'BSE - Other Index Options'!$H:$H,"MDAW*")=0,"",SUMIFS('BSE - SENSEX Index Options'!$L:$L,'BSE - SENSEX Index Options'!$C:$C,$A207,'BSE - SENSEX Index Options'!$B:$B,E$147,'BSE - SENSEX Index Options'!$H:$H,"Weekly*")+SUMIFS('BSE - SENSEX Index Options'!$L:$L,'BSE - SENSEX Index Options'!$C:$C,$A207,'BSE - SENSEX Index Options'!$B:$B,E$147,'BSE - SENSEX Index Options'!$H:$H,"MDAW*")+SUMIFS('BSE - Other Index Options'!$L:$L,'BSE - Other Index Options'!$C:$C,$A207,'BSE - Other Index Options'!$B:$B,E$147,'BSE - Other Index Options'!$H:$H,"Weekly*")+SUMIFS('BSE - Other Index Options'!$L:$L,'BSE - Other Index Options'!$C:$C,$A207,'BSE - Other Index Options'!$B:$B,E$147,'BSE - Other Index Options'!$H:$H,"MDAW*"))</f>
        <v/>
      </c>
      <c r="F207" s="26" t="str">
        <f>IF(SUMIFS('BSE - SENSEX Index Options'!$L:$L,'BSE - SENSEX Index Options'!$C:$C,$A207,'BSE - SENSEX Index Options'!$B:$B,F$147,'BSE - SENSEX Index Options'!$H:$H,"Weekly*")+SUMIFS('BSE - SENSEX Index Options'!$L:$L,'BSE - SENSEX Index Options'!$C:$C,$A207,'BSE - SENSEX Index Options'!$B:$B,F$147,'BSE - SENSEX Index Options'!$H:$H,"MDAW*")+SUMIFS('BSE - Other Index Options'!$L:$L,'BSE - Other Index Options'!$C:$C,$A207,'BSE - Other Index Options'!$B:$B,F$147,'BSE - Other Index Options'!$H:$H,"Weekly*")+SUMIFS('BSE - Other Index Options'!$L:$L,'BSE - Other Index Options'!$C:$C,$A207,'BSE - Other Index Options'!$B:$B,F$147,'BSE - Other Index Options'!$H:$H,"MDAW*")=0,"",SUMIFS('BSE - SENSEX Index Options'!$L:$L,'BSE - SENSEX Index Options'!$C:$C,$A207,'BSE - SENSEX Index Options'!$B:$B,F$147,'BSE - SENSEX Index Options'!$H:$H,"Weekly*")+SUMIFS('BSE - SENSEX Index Options'!$L:$L,'BSE - SENSEX Index Options'!$C:$C,$A207,'BSE - SENSEX Index Options'!$B:$B,F$147,'BSE - SENSEX Index Options'!$H:$H,"MDAW*")+SUMIFS('BSE - Other Index Options'!$L:$L,'BSE - Other Index Options'!$C:$C,$A207,'BSE - Other Index Options'!$B:$B,F$147,'BSE - Other Index Options'!$H:$H,"Weekly*")+SUMIFS('BSE - Other Index Options'!$L:$L,'BSE - Other Index Options'!$C:$C,$A207,'BSE - Other Index Options'!$B:$B,F$147,'BSE - Other Index Options'!$H:$H,"MDAW*"))</f>
        <v/>
      </c>
      <c r="G207" s="26" t="str">
        <f>IF(SUMIFS('BSE - SENSEX Index Options'!$L:$L,'BSE - SENSEX Index Options'!$C:$C,$A207,'BSE - SENSEX Index Options'!$B:$B,G$147,'BSE - SENSEX Index Options'!$H:$H,"Weekly*")+SUMIFS('BSE - SENSEX Index Options'!$L:$L,'BSE - SENSEX Index Options'!$C:$C,$A207,'BSE - SENSEX Index Options'!$B:$B,G$147,'BSE - SENSEX Index Options'!$H:$H,"MDAW*")+SUMIFS('BSE - Other Index Options'!$L:$L,'BSE - Other Index Options'!$C:$C,$A207,'BSE - Other Index Options'!$B:$B,G$147,'BSE - Other Index Options'!$H:$H,"Weekly*")+SUMIFS('BSE - Other Index Options'!$L:$L,'BSE - Other Index Options'!$C:$C,$A207,'BSE - Other Index Options'!$B:$B,G$147,'BSE - Other Index Options'!$H:$H,"MDAW*")=0,"",SUMIFS('BSE - SENSEX Index Options'!$L:$L,'BSE - SENSEX Index Options'!$C:$C,$A207,'BSE - SENSEX Index Options'!$B:$B,G$147,'BSE - SENSEX Index Options'!$H:$H,"Weekly*")+SUMIFS('BSE - SENSEX Index Options'!$L:$L,'BSE - SENSEX Index Options'!$C:$C,$A207,'BSE - SENSEX Index Options'!$B:$B,G$147,'BSE - SENSEX Index Options'!$H:$H,"MDAW*")+SUMIFS('BSE - Other Index Options'!$L:$L,'BSE - Other Index Options'!$C:$C,$A207,'BSE - Other Index Options'!$B:$B,G$147,'BSE - Other Index Options'!$H:$H,"Weekly*")+SUMIFS('BSE - Other Index Options'!$L:$L,'BSE - Other Index Options'!$C:$C,$A207,'BSE - Other Index Options'!$B:$B,G$147,'BSE - Other Index Options'!$H:$H,"MDAW*"))</f>
        <v/>
      </c>
      <c r="H207" s="26" t="str">
        <f t="shared" si="7"/>
        <v/>
      </c>
    </row>
    <row r="208" spans="1:8" hidden="1" outlineLevel="1">
      <c r="A208" t="s">
        <v>70</v>
      </c>
      <c r="B208" s="26" t="str">
        <f>IF(SUMIFS('BSE - SENSEX Index Options'!$L:$L,'BSE - SENSEX Index Options'!$C:$C,$A208,'BSE - SENSEX Index Options'!$B:$B,B$147,'BSE - SENSEX Index Options'!$H:$H,"Weekly*")+SUMIFS('BSE - SENSEX Index Options'!$L:$L,'BSE - SENSEX Index Options'!$C:$C,$A208,'BSE - SENSEX Index Options'!$B:$B,B$147,'BSE - SENSEX Index Options'!$H:$H,"MDAW*")+SUMIFS('BSE - Other Index Options'!$L:$L,'BSE - Other Index Options'!$C:$C,$A208,'BSE - Other Index Options'!$B:$B,B$147,'BSE - Other Index Options'!$H:$H,"Weekly*")+SUMIFS('BSE - Other Index Options'!$L:$L,'BSE - Other Index Options'!$C:$C,$A208,'BSE - Other Index Options'!$B:$B,B$147,'BSE - Other Index Options'!$H:$H,"MDAW*")=0,"",SUMIFS('BSE - SENSEX Index Options'!$L:$L,'BSE - SENSEX Index Options'!$C:$C,$A208,'BSE - SENSEX Index Options'!$B:$B,B$147,'BSE - SENSEX Index Options'!$H:$H,"Weekly*")+SUMIFS('BSE - SENSEX Index Options'!$L:$L,'BSE - SENSEX Index Options'!$C:$C,$A208,'BSE - SENSEX Index Options'!$B:$B,B$147,'BSE - SENSEX Index Options'!$H:$H,"MDAW*")+SUMIFS('BSE - Other Index Options'!$L:$L,'BSE - Other Index Options'!$C:$C,$A208,'BSE - Other Index Options'!$B:$B,B$147,'BSE - Other Index Options'!$H:$H,"Weekly*")+SUMIFS('BSE - Other Index Options'!$L:$L,'BSE - Other Index Options'!$C:$C,$A208,'BSE - Other Index Options'!$B:$B,B$147,'BSE - Other Index Options'!$H:$H,"MDAW*"))</f>
        <v/>
      </c>
      <c r="C208" s="26" t="str">
        <f>IF(SUMIFS('BSE - SENSEX Index Options'!$L:$L,'BSE - SENSEX Index Options'!$C:$C,$A208,'BSE - SENSEX Index Options'!$B:$B,C$147,'BSE - SENSEX Index Options'!$H:$H,"Weekly*")+SUMIFS('BSE - SENSEX Index Options'!$L:$L,'BSE - SENSEX Index Options'!$C:$C,$A208,'BSE - SENSEX Index Options'!$B:$B,C$147,'BSE - SENSEX Index Options'!$H:$H,"MDAW*")+SUMIFS('BSE - Other Index Options'!$L:$L,'BSE - Other Index Options'!$C:$C,$A208,'BSE - Other Index Options'!$B:$B,C$147,'BSE - Other Index Options'!$H:$H,"Weekly*")+SUMIFS('BSE - Other Index Options'!$L:$L,'BSE - Other Index Options'!$C:$C,$A208,'BSE - Other Index Options'!$B:$B,C$147,'BSE - Other Index Options'!$H:$H,"MDAW*")=0,"",SUMIFS('BSE - SENSEX Index Options'!$L:$L,'BSE - SENSEX Index Options'!$C:$C,$A208,'BSE - SENSEX Index Options'!$B:$B,C$147,'BSE - SENSEX Index Options'!$H:$H,"Weekly*")+SUMIFS('BSE - SENSEX Index Options'!$L:$L,'BSE - SENSEX Index Options'!$C:$C,$A208,'BSE - SENSEX Index Options'!$B:$B,C$147,'BSE - SENSEX Index Options'!$H:$H,"MDAW*")+SUMIFS('BSE - Other Index Options'!$L:$L,'BSE - Other Index Options'!$C:$C,$A208,'BSE - Other Index Options'!$B:$B,C$147,'BSE - Other Index Options'!$H:$H,"Weekly*")+SUMIFS('BSE - Other Index Options'!$L:$L,'BSE - Other Index Options'!$C:$C,$A208,'BSE - Other Index Options'!$B:$B,C$147,'BSE - Other Index Options'!$H:$H,"MDAW*"))</f>
        <v/>
      </c>
      <c r="D208" s="26" t="str">
        <f>IF(SUMIFS('BSE - SENSEX Index Options'!$L:$L,'BSE - SENSEX Index Options'!$C:$C,$A208,'BSE - SENSEX Index Options'!$B:$B,D$147,'BSE - SENSEX Index Options'!$H:$H,"Weekly*")+SUMIFS('BSE - SENSEX Index Options'!$L:$L,'BSE - SENSEX Index Options'!$C:$C,$A208,'BSE - SENSEX Index Options'!$B:$B,D$147,'BSE - SENSEX Index Options'!$H:$H,"MDAW*")+SUMIFS('BSE - Other Index Options'!$L:$L,'BSE - Other Index Options'!$C:$C,$A208,'BSE - Other Index Options'!$B:$B,D$147,'BSE - Other Index Options'!$H:$H,"Weekly*")+SUMIFS('BSE - Other Index Options'!$L:$L,'BSE - Other Index Options'!$C:$C,$A208,'BSE - Other Index Options'!$B:$B,D$147,'BSE - Other Index Options'!$H:$H,"MDAW*")=0,"",SUMIFS('BSE - SENSEX Index Options'!$L:$L,'BSE - SENSEX Index Options'!$C:$C,$A208,'BSE - SENSEX Index Options'!$B:$B,D$147,'BSE - SENSEX Index Options'!$H:$H,"Weekly*")+SUMIFS('BSE - SENSEX Index Options'!$L:$L,'BSE - SENSEX Index Options'!$C:$C,$A208,'BSE - SENSEX Index Options'!$B:$B,D$147,'BSE - SENSEX Index Options'!$H:$H,"MDAW*")+SUMIFS('BSE - Other Index Options'!$L:$L,'BSE - Other Index Options'!$C:$C,$A208,'BSE - Other Index Options'!$B:$B,D$147,'BSE - Other Index Options'!$H:$H,"Weekly*")+SUMIFS('BSE - Other Index Options'!$L:$L,'BSE - Other Index Options'!$C:$C,$A208,'BSE - Other Index Options'!$B:$B,D$147,'BSE - Other Index Options'!$H:$H,"MDAW*"))</f>
        <v/>
      </c>
      <c r="E208" s="26" t="str">
        <f>IF(SUMIFS('BSE - SENSEX Index Options'!$L:$L,'BSE - SENSEX Index Options'!$C:$C,$A208,'BSE - SENSEX Index Options'!$B:$B,E$147,'BSE - SENSEX Index Options'!$H:$H,"Weekly*")+SUMIFS('BSE - SENSEX Index Options'!$L:$L,'BSE - SENSEX Index Options'!$C:$C,$A208,'BSE - SENSEX Index Options'!$B:$B,E$147,'BSE - SENSEX Index Options'!$H:$H,"MDAW*")+SUMIFS('BSE - Other Index Options'!$L:$L,'BSE - Other Index Options'!$C:$C,$A208,'BSE - Other Index Options'!$B:$B,E$147,'BSE - Other Index Options'!$H:$H,"Weekly*")+SUMIFS('BSE - Other Index Options'!$L:$L,'BSE - Other Index Options'!$C:$C,$A208,'BSE - Other Index Options'!$B:$B,E$147,'BSE - Other Index Options'!$H:$H,"MDAW*")=0,"",SUMIFS('BSE - SENSEX Index Options'!$L:$L,'BSE - SENSEX Index Options'!$C:$C,$A208,'BSE - SENSEX Index Options'!$B:$B,E$147,'BSE - SENSEX Index Options'!$H:$H,"Weekly*")+SUMIFS('BSE - SENSEX Index Options'!$L:$L,'BSE - SENSEX Index Options'!$C:$C,$A208,'BSE - SENSEX Index Options'!$B:$B,E$147,'BSE - SENSEX Index Options'!$H:$H,"MDAW*")+SUMIFS('BSE - Other Index Options'!$L:$L,'BSE - Other Index Options'!$C:$C,$A208,'BSE - Other Index Options'!$B:$B,E$147,'BSE - Other Index Options'!$H:$H,"Weekly*")+SUMIFS('BSE - Other Index Options'!$L:$L,'BSE - Other Index Options'!$C:$C,$A208,'BSE - Other Index Options'!$B:$B,E$147,'BSE - Other Index Options'!$H:$H,"MDAW*"))</f>
        <v/>
      </c>
      <c r="F208" s="26" t="str">
        <f>IF(SUMIFS('BSE - SENSEX Index Options'!$L:$L,'BSE - SENSEX Index Options'!$C:$C,$A208,'BSE - SENSEX Index Options'!$B:$B,F$147,'BSE - SENSEX Index Options'!$H:$H,"Weekly*")+SUMIFS('BSE - SENSEX Index Options'!$L:$L,'BSE - SENSEX Index Options'!$C:$C,$A208,'BSE - SENSEX Index Options'!$B:$B,F$147,'BSE - SENSEX Index Options'!$H:$H,"MDAW*")+SUMIFS('BSE - Other Index Options'!$L:$L,'BSE - Other Index Options'!$C:$C,$A208,'BSE - Other Index Options'!$B:$B,F$147,'BSE - Other Index Options'!$H:$H,"Weekly*")+SUMIFS('BSE - Other Index Options'!$L:$L,'BSE - Other Index Options'!$C:$C,$A208,'BSE - Other Index Options'!$B:$B,F$147,'BSE - Other Index Options'!$H:$H,"MDAW*")=0,"",SUMIFS('BSE - SENSEX Index Options'!$L:$L,'BSE - SENSEX Index Options'!$C:$C,$A208,'BSE - SENSEX Index Options'!$B:$B,F$147,'BSE - SENSEX Index Options'!$H:$H,"Weekly*")+SUMIFS('BSE - SENSEX Index Options'!$L:$L,'BSE - SENSEX Index Options'!$C:$C,$A208,'BSE - SENSEX Index Options'!$B:$B,F$147,'BSE - SENSEX Index Options'!$H:$H,"MDAW*")+SUMIFS('BSE - Other Index Options'!$L:$L,'BSE - Other Index Options'!$C:$C,$A208,'BSE - Other Index Options'!$B:$B,F$147,'BSE - Other Index Options'!$H:$H,"Weekly*")+SUMIFS('BSE - Other Index Options'!$L:$L,'BSE - Other Index Options'!$C:$C,$A208,'BSE - Other Index Options'!$B:$B,F$147,'BSE - Other Index Options'!$H:$H,"MDAW*"))</f>
        <v/>
      </c>
      <c r="G208" s="26" t="str">
        <f>IF(SUMIFS('BSE - SENSEX Index Options'!$L:$L,'BSE - SENSEX Index Options'!$C:$C,$A208,'BSE - SENSEX Index Options'!$B:$B,G$147,'BSE - SENSEX Index Options'!$H:$H,"Weekly*")+SUMIFS('BSE - SENSEX Index Options'!$L:$L,'BSE - SENSEX Index Options'!$C:$C,$A208,'BSE - SENSEX Index Options'!$B:$B,G$147,'BSE - SENSEX Index Options'!$H:$H,"MDAW*")+SUMIFS('BSE - Other Index Options'!$L:$L,'BSE - Other Index Options'!$C:$C,$A208,'BSE - Other Index Options'!$B:$B,G$147,'BSE - Other Index Options'!$H:$H,"Weekly*")+SUMIFS('BSE - Other Index Options'!$L:$L,'BSE - Other Index Options'!$C:$C,$A208,'BSE - Other Index Options'!$B:$B,G$147,'BSE - Other Index Options'!$H:$H,"MDAW*")=0,"",SUMIFS('BSE - SENSEX Index Options'!$L:$L,'BSE - SENSEX Index Options'!$C:$C,$A208,'BSE - SENSEX Index Options'!$B:$B,G$147,'BSE - SENSEX Index Options'!$H:$H,"Weekly*")+SUMIFS('BSE - SENSEX Index Options'!$L:$L,'BSE - SENSEX Index Options'!$C:$C,$A208,'BSE - SENSEX Index Options'!$B:$B,G$147,'BSE - SENSEX Index Options'!$H:$H,"MDAW*")+SUMIFS('BSE - Other Index Options'!$L:$L,'BSE - Other Index Options'!$C:$C,$A208,'BSE - Other Index Options'!$B:$B,G$147,'BSE - Other Index Options'!$H:$H,"Weekly*")+SUMIFS('BSE - Other Index Options'!$L:$L,'BSE - Other Index Options'!$C:$C,$A208,'BSE - Other Index Options'!$B:$B,G$147,'BSE - Other Index Options'!$H:$H,"MDAW*"))</f>
        <v/>
      </c>
      <c r="H208" s="26" t="str">
        <f t="shared" si="7"/>
        <v/>
      </c>
    </row>
    <row r="209" spans="1:8" hidden="1" outlineLevel="1">
      <c r="A209" t="s">
        <v>71</v>
      </c>
      <c r="B209" s="26" t="str">
        <f>IF(SUMIFS('BSE - SENSEX Index Options'!$L:$L,'BSE - SENSEX Index Options'!$C:$C,$A209,'BSE - SENSEX Index Options'!$B:$B,B$147,'BSE - SENSEX Index Options'!$H:$H,"Weekly*")+SUMIFS('BSE - SENSEX Index Options'!$L:$L,'BSE - SENSEX Index Options'!$C:$C,$A209,'BSE - SENSEX Index Options'!$B:$B,B$147,'BSE - SENSEX Index Options'!$H:$H,"MDAW*")+SUMIFS('BSE - Other Index Options'!$L:$L,'BSE - Other Index Options'!$C:$C,$A209,'BSE - Other Index Options'!$B:$B,B$147,'BSE - Other Index Options'!$H:$H,"Weekly*")+SUMIFS('BSE - Other Index Options'!$L:$L,'BSE - Other Index Options'!$C:$C,$A209,'BSE - Other Index Options'!$B:$B,B$147,'BSE - Other Index Options'!$H:$H,"MDAW*")=0,"",SUMIFS('BSE - SENSEX Index Options'!$L:$L,'BSE - SENSEX Index Options'!$C:$C,$A209,'BSE - SENSEX Index Options'!$B:$B,B$147,'BSE - SENSEX Index Options'!$H:$H,"Weekly*")+SUMIFS('BSE - SENSEX Index Options'!$L:$L,'BSE - SENSEX Index Options'!$C:$C,$A209,'BSE - SENSEX Index Options'!$B:$B,B$147,'BSE - SENSEX Index Options'!$H:$H,"MDAW*")+SUMIFS('BSE - Other Index Options'!$L:$L,'BSE - Other Index Options'!$C:$C,$A209,'BSE - Other Index Options'!$B:$B,B$147,'BSE - Other Index Options'!$H:$H,"Weekly*")+SUMIFS('BSE - Other Index Options'!$L:$L,'BSE - Other Index Options'!$C:$C,$A209,'BSE - Other Index Options'!$B:$B,B$147,'BSE - Other Index Options'!$H:$H,"MDAW*"))</f>
        <v/>
      </c>
      <c r="C209" s="26" t="str">
        <f>IF(SUMIFS('BSE - SENSEX Index Options'!$L:$L,'BSE - SENSEX Index Options'!$C:$C,$A209,'BSE - SENSEX Index Options'!$B:$B,C$147,'BSE - SENSEX Index Options'!$H:$H,"Weekly*")+SUMIFS('BSE - SENSEX Index Options'!$L:$L,'BSE - SENSEX Index Options'!$C:$C,$A209,'BSE - SENSEX Index Options'!$B:$B,C$147,'BSE - SENSEX Index Options'!$H:$H,"MDAW*")+SUMIFS('BSE - Other Index Options'!$L:$L,'BSE - Other Index Options'!$C:$C,$A209,'BSE - Other Index Options'!$B:$B,C$147,'BSE - Other Index Options'!$H:$H,"Weekly*")+SUMIFS('BSE - Other Index Options'!$L:$L,'BSE - Other Index Options'!$C:$C,$A209,'BSE - Other Index Options'!$B:$B,C$147,'BSE - Other Index Options'!$H:$H,"MDAW*")=0,"",SUMIFS('BSE - SENSEX Index Options'!$L:$L,'BSE - SENSEX Index Options'!$C:$C,$A209,'BSE - SENSEX Index Options'!$B:$B,C$147,'BSE - SENSEX Index Options'!$H:$H,"Weekly*")+SUMIFS('BSE - SENSEX Index Options'!$L:$L,'BSE - SENSEX Index Options'!$C:$C,$A209,'BSE - SENSEX Index Options'!$B:$B,C$147,'BSE - SENSEX Index Options'!$H:$H,"MDAW*")+SUMIFS('BSE - Other Index Options'!$L:$L,'BSE - Other Index Options'!$C:$C,$A209,'BSE - Other Index Options'!$B:$B,C$147,'BSE - Other Index Options'!$H:$H,"Weekly*")+SUMIFS('BSE - Other Index Options'!$L:$L,'BSE - Other Index Options'!$C:$C,$A209,'BSE - Other Index Options'!$B:$B,C$147,'BSE - Other Index Options'!$H:$H,"MDAW*"))</f>
        <v/>
      </c>
      <c r="D209" s="26" t="str">
        <f>IF(SUMIFS('BSE - SENSEX Index Options'!$L:$L,'BSE - SENSEX Index Options'!$C:$C,$A209,'BSE - SENSEX Index Options'!$B:$B,D$147,'BSE - SENSEX Index Options'!$H:$H,"Weekly*")+SUMIFS('BSE - SENSEX Index Options'!$L:$L,'BSE - SENSEX Index Options'!$C:$C,$A209,'BSE - SENSEX Index Options'!$B:$B,D$147,'BSE - SENSEX Index Options'!$H:$H,"MDAW*")+SUMIFS('BSE - Other Index Options'!$L:$L,'BSE - Other Index Options'!$C:$C,$A209,'BSE - Other Index Options'!$B:$B,D$147,'BSE - Other Index Options'!$H:$H,"Weekly*")+SUMIFS('BSE - Other Index Options'!$L:$L,'BSE - Other Index Options'!$C:$C,$A209,'BSE - Other Index Options'!$B:$B,D$147,'BSE - Other Index Options'!$H:$H,"MDAW*")=0,"",SUMIFS('BSE - SENSEX Index Options'!$L:$L,'BSE - SENSEX Index Options'!$C:$C,$A209,'BSE - SENSEX Index Options'!$B:$B,D$147,'BSE - SENSEX Index Options'!$H:$H,"Weekly*")+SUMIFS('BSE - SENSEX Index Options'!$L:$L,'BSE - SENSEX Index Options'!$C:$C,$A209,'BSE - SENSEX Index Options'!$B:$B,D$147,'BSE - SENSEX Index Options'!$H:$H,"MDAW*")+SUMIFS('BSE - Other Index Options'!$L:$L,'BSE - Other Index Options'!$C:$C,$A209,'BSE - Other Index Options'!$B:$B,D$147,'BSE - Other Index Options'!$H:$H,"Weekly*")+SUMIFS('BSE - Other Index Options'!$L:$L,'BSE - Other Index Options'!$C:$C,$A209,'BSE - Other Index Options'!$B:$B,D$147,'BSE - Other Index Options'!$H:$H,"MDAW*"))</f>
        <v/>
      </c>
      <c r="E209" s="26" t="str">
        <f>IF(SUMIFS('BSE - SENSEX Index Options'!$L:$L,'BSE - SENSEX Index Options'!$C:$C,$A209,'BSE - SENSEX Index Options'!$B:$B,E$147,'BSE - SENSEX Index Options'!$H:$H,"Weekly*")+SUMIFS('BSE - SENSEX Index Options'!$L:$L,'BSE - SENSEX Index Options'!$C:$C,$A209,'BSE - SENSEX Index Options'!$B:$B,E$147,'BSE - SENSEX Index Options'!$H:$H,"MDAW*")+SUMIFS('BSE - Other Index Options'!$L:$L,'BSE - Other Index Options'!$C:$C,$A209,'BSE - Other Index Options'!$B:$B,E$147,'BSE - Other Index Options'!$H:$H,"Weekly*")+SUMIFS('BSE - Other Index Options'!$L:$L,'BSE - Other Index Options'!$C:$C,$A209,'BSE - Other Index Options'!$B:$B,E$147,'BSE - Other Index Options'!$H:$H,"MDAW*")=0,"",SUMIFS('BSE - SENSEX Index Options'!$L:$L,'BSE - SENSEX Index Options'!$C:$C,$A209,'BSE - SENSEX Index Options'!$B:$B,E$147,'BSE - SENSEX Index Options'!$H:$H,"Weekly*")+SUMIFS('BSE - SENSEX Index Options'!$L:$L,'BSE - SENSEX Index Options'!$C:$C,$A209,'BSE - SENSEX Index Options'!$B:$B,E$147,'BSE - SENSEX Index Options'!$H:$H,"MDAW*")+SUMIFS('BSE - Other Index Options'!$L:$L,'BSE - Other Index Options'!$C:$C,$A209,'BSE - Other Index Options'!$B:$B,E$147,'BSE - Other Index Options'!$H:$H,"Weekly*")+SUMIFS('BSE - Other Index Options'!$L:$L,'BSE - Other Index Options'!$C:$C,$A209,'BSE - Other Index Options'!$B:$B,E$147,'BSE - Other Index Options'!$H:$H,"MDAW*"))</f>
        <v/>
      </c>
      <c r="F209" s="26" t="str">
        <f>IF(SUMIFS('BSE - SENSEX Index Options'!$L:$L,'BSE - SENSEX Index Options'!$C:$C,$A209,'BSE - SENSEX Index Options'!$B:$B,F$147,'BSE - SENSEX Index Options'!$H:$H,"Weekly*")+SUMIFS('BSE - SENSEX Index Options'!$L:$L,'BSE - SENSEX Index Options'!$C:$C,$A209,'BSE - SENSEX Index Options'!$B:$B,F$147,'BSE - SENSEX Index Options'!$H:$H,"MDAW*")+SUMIFS('BSE - Other Index Options'!$L:$L,'BSE - Other Index Options'!$C:$C,$A209,'BSE - Other Index Options'!$B:$B,F$147,'BSE - Other Index Options'!$H:$H,"Weekly*")+SUMIFS('BSE - Other Index Options'!$L:$L,'BSE - Other Index Options'!$C:$C,$A209,'BSE - Other Index Options'!$B:$B,F$147,'BSE - Other Index Options'!$H:$H,"MDAW*")=0,"",SUMIFS('BSE - SENSEX Index Options'!$L:$L,'BSE - SENSEX Index Options'!$C:$C,$A209,'BSE - SENSEX Index Options'!$B:$B,F$147,'BSE - SENSEX Index Options'!$H:$H,"Weekly*")+SUMIFS('BSE - SENSEX Index Options'!$L:$L,'BSE - SENSEX Index Options'!$C:$C,$A209,'BSE - SENSEX Index Options'!$B:$B,F$147,'BSE - SENSEX Index Options'!$H:$H,"MDAW*")+SUMIFS('BSE - Other Index Options'!$L:$L,'BSE - Other Index Options'!$C:$C,$A209,'BSE - Other Index Options'!$B:$B,F$147,'BSE - Other Index Options'!$H:$H,"Weekly*")+SUMIFS('BSE - Other Index Options'!$L:$L,'BSE - Other Index Options'!$C:$C,$A209,'BSE - Other Index Options'!$B:$B,F$147,'BSE - Other Index Options'!$H:$H,"MDAW*"))</f>
        <v/>
      </c>
      <c r="G209" s="26" t="str">
        <f>IF(SUMIFS('BSE - SENSEX Index Options'!$L:$L,'BSE - SENSEX Index Options'!$C:$C,$A209,'BSE - SENSEX Index Options'!$B:$B,G$147,'BSE - SENSEX Index Options'!$H:$H,"Weekly*")+SUMIFS('BSE - SENSEX Index Options'!$L:$L,'BSE - SENSEX Index Options'!$C:$C,$A209,'BSE - SENSEX Index Options'!$B:$B,G$147,'BSE - SENSEX Index Options'!$H:$H,"MDAW*")+SUMIFS('BSE - Other Index Options'!$L:$L,'BSE - Other Index Options'!$C:$C,$A209,'BSE - Other Index Options'!$B:$B,G$147,'BSE - Other Index Options'!$H:$H,"Weekly*")+SUMIFS('BSE - Other Index Options'!$L:$L,'BSE - Other Index Options'!$C:$C,$A209,'BSE - Other Index Options'!$B:$B,G$147,'BSE - Other Index Options'!$H:$H,"MDAW*")=0,"",SUMIFS('BSE - SENSEX Index Options'!$L:$L,'BSE - SENSEX Index Options'!$C:$C,$A209,'BSE - SENSEX Index Options'!$B:$B,G$147,'BSE - SENSEX Index Options'!$H:$H,"Weekly*")+SUMIFS('BSE - SENSEX Index Options'!$L:$L,'BSE - SENSEX Index Options'!$C:$C,$A209,'BSE - SENSEX Index Options'!$B:$B,G$147,'BSE - SENSEX Index Options'!$H:$H,"MDAW*")+SUMIFS('BSE - Other Index Options'!$L:$L,'BSE - Other Index Options'!$C:$C,$A209,'BSE - Other Index Options'!$B:$B,G$147,'BSE - Other Index Options'!$H:$H,"Weekly*")+SUMIFS('BSE - Other Index Options'!$L:$L,'BSE - Other Index Options'!$C:$C,$A209,'BSE - Other Index Options'!$B:$B,G$147,'BSE - Other Index Options'!$H:$H,"MDAW*"))</f>
        <v/>
      </c>
      <c r="H209" s="26" t="str">
        <f t="shared" si="7"/>
        <v/>
      </c>
    </row>
    <row r="210" spans="1:8" hidden="1" outlineLevel="1">
      <c r="A210" t="s">
        <v>72</v>
      </c>
      <c r="B210" s="26" t="str">
        <f>IF(SUMIFS('BSE - SENSEX Index Options'!$L:$L,'BSE - SENSEX Index Options'!$C:$C,$A210,'BSE - SENSEX Index Options'!$B:$B,B$147,'BSE - SENSEX Index Options'!$H:$H,"Weekly*")+SUMIFS('BSE - SENSEX Index Options'!$L:$L,'BSE - SENSEX Index Options'!$C:$C,$A210,'BSE - SENSEX Index Options'!$B:$B,B$147,'BSE - SENSEX Index Options'!$H:$H,"MDAW*")+SUMIFS('BSE - Other Index Options'!$L:$L,'BSE - Other Index Options'!$C:$C,$A210,'BSE - Other Index Options'!$B:$B,B$147,'BSE - Other Index Options'!$H:$H,"Weekly*")+SUMIFS('BSE - Other Index Options'!$L:$L,'BSE - Other Index Options'!$C:$C,$A210,'BSE - Other Index Options'!$B:$B,B$147,'BSE - Other Index Options'!$H:$H,"MDAW*")=0,"",SUMIFS('BSE - SENSEX Index Options'!$L:$L,'BSE - SENSEX Index Options'!$C:$C,$A210,'BSE - SENSEX Index Options'!$B:$B,B$147,'BSE - SENSEX Index Options'!$H:$H,"Weekly*")+SUMIFS('BSE - SENSEX Index Options'!$L:$L,'BSE - SENSEX Index Options'!$C:$C,$A210,'BSE - SENSEX Index Options'!$B:$B,B$147,'BSE - SENSEX Index Options'!$H:$H,"MDAW*")+SUMIFS('BSE - Other Index Options'!$L:$L,'BSE - Other Index Options'!$C:$C,$A210,'BSE - Other Index Options'!$B:$B,B$147,'BSE - Other Index Options'!$H:$H,"Weekly*")+SUMIFS('BSE - Other Index Options'!$L:$L,'BSE - Other Index Options'!$C:$C,$A210,'BSE - Other Index Options'!$B:$B,B$147,'BSE - Other Index Options'!$H:$H,"MDAW*"))</f>
        <v/>
      </c>
      <c r="C210" s="26" t="str">
        <f>IF(SUMIFS('BSE - SENSEX Index Options'!$L:$L,'BSE - SENSEX Index Options'!$C:$C,$A210,'BSE - SENSEX Index Options'!$B:$B,C$147,'BSE - SENSEX Index Options'!$H:$H,"Weekly*")+SUMIFS('BSE - SENSEX Index Options'!$L:$L,'BSE - SENSEX Index Options'!$C:$C,$A210,'BSE - SENSEX Index Options'!$B:$B,C$147,'BSE - SENSEX Index Options'!$H:$H,"MDAW*")+SUMIFS('BSE - Other Index Options'!$L:$L,'BSE - Other Index Options'!$C:$C,$A210,'BSE - Other Index Options'!$B:$B,C$147,'BSE - Other Index Options'!$H:$H,"Weekly*")+SUMIFS('BSE - Other Index Options'!$L:$L,'BSE - Other Index Options'!$C:$C,$A210,'BSE - Other Index Options'!$B:$B,C$147,'BSE - Other Index Options'!$H:$H,"MDAW*")=0,"",SUMIFS('BSE - SENSEX Index Options'!$L:$L,'BSE - SENSEX Index Options'!$C:$C,$A210,'BSE - SENSEX Index Options'!$B:$B,C$147,'BSE - SENSEX Index Options'!$H:$H,"Weekly*")+SUMIFS('BSE - SENSEX Index Options'!$L:$L,'BSE - SENSEX Index Options'!$C:$C,$A210,'BSE - SENSEX Index Options'!$B:$B,C$147,'BSE - SENSEX Index Options'!$H:$H,"MDAW*")+SUMIFS('BSE - Other Index Options'!$L:$L,'BSE - Other Index Options'!$C:$C,$A210,'BSE - Other Index Options'!$B:$B,C$147,'BSE - Other Index Options'!$H:$H,"Weekly*")+SUMIFS('BSE - Other Index Options'!$L:$L,'BSE - Other Index Options'!$C:$C,$A210,'BSE - Other Index Options'!$B:$B,C$147,'BSE - Other Index Options'!$H:$H,"MDAW*"))</f>
        <v/>
      </c>
      <c r="D210" s="26" t="str">
        <f>IF(SUMIFS('BSE - SENSEX Index Options'!$L:$L,'BSE - SENSEX Index Options'!$C:$C,$A210,'BSE - SENSEX Index Options'!$B:$B,D$147,'BSE - SENSEX Index Options'!$H:$H,"Weekly*")+SUMIFS('BSE - SENSEX Index Options'!$L:$L,'BSE - SENSEX Index Options'!$C:$C,$A210,'BSE - SENSEX Index Options'!$B:$B,D$147,'BSE - SENSEX Index Options'!$H:$H,"MDAW*")+SUMIFS('BSE - Other Index Options'!$L:$L,'BSE - Other Index Options'!$C:$C,$A210,'BSE - Other Index Options'!$B:$B,D$147,'BSE - Other Index Options'!$H:$H,"Weekly*")+SUMIFS('BSE - Other Index Options'!$L:$L,'BSE - Other Index Options'!$C:$C,$A210,'BSE - Other Index Options'!$B:$B,D$147,'BSE - Other Index Options'!$H:$H,"MDAW*")=0,"",SUMIFS('BSE - SENSEX Index Options'!$L:$L,'BSE - SENSEX Index Options'!$C:$C,$A210,'BSE - SENSEX Index Options'!$B:$B,D$147,'BSE - SENSEX Index Options'!$H:$H,"Weekly*")+SUMIFS('BSE - SENSEX Index Options'!$L:$L,'BSE - SENSEX Index Options'!$C:$C,$A210,'BSE - SENSEX Index Options'!$B:$B,D$147,'BSE - SENSEX Index Options'!$H:$H,"MDAW*")+SUMIFS('BSE - Other Index Options'!$L:$L,'BSE - Other Index Options'!$C:$C,$A210,'BSE - Other Index Options'!$B:$B,D$147,'BSE - Other Index Options'!$H:$H,"Weekly*")+SUMIFS('BSE - Other Index Options'!$L:$L,'BSE - Other Index Options'!$C:$C,$A210,'BSE - Other Index Options'!$B:$B,D$147,'BSE - Other Index Options'!$H:$H,"MDAW*"))</f>
        <v/>
      </c>
      <c r="E210" s="26" t="str">
        <f>IF(SUMIFS('BSE - SENSEX Index Options'!$L:$L,'BSE - SENSEX Index Options'!$C:$C,$A210,'BSE - SENSEX Index Options'!$B:$B,E$147,'BSE - SENSEX Index Options'!$H:$H,"Weekly*")+SUMIFS('BSE - SENSEX Index Options'!$L:$L,'BSE - SENSEX Index Options'!$C:$C,$A210,'BSE - SENSEX Index Options'!$B:$B,E$147,'BSE - SENSEX Index Options'!$H:$H,"MDAW*")+SUMIFS('BSE - Other Index Options'!$L:$L,'BSE - Other Index Options'!$C:$C,$A210,'BSE - Other Index Options'!$B:$B,E$147,'BSE - Other Index Options'!$H:$H,"Weekly*")+SUMIFS('BSE - Other Index Options'!$L:$L,'BSE - Other Index Options'!$C:$C,$A210,'BSE - Other Index Options'!$B:$B,E$147,'BSE - Other Index Options'!$H:$H,"MDAW*")=0,"",SUMIFS('BSE - SENSEX Index Options'!$L:$L,'BSE - SENSEX Index Options'!$C:$C,$A210,'BSE - SENSEX Index Options'!$B:$B,E$147,'BSE - SENSEX Index Options'!$H:$H,"Weekly*")+SUMIFS('BSE - SENSEX Index Options'!$L:$L,'BSE - SENSEX Index Options'!$C:$C,$A210,'BSE - SENSEX Index Options'!$B:$B,E$147,'BSE - SENSEX Index Options'!$H:$H,"MDAW*")+SUMIFS('BSE - Other Index Options'!$L:$L,'BSE - Other Index Options'!$C:$C,$A210,'BSE - Other Index Options'!$B:$B,E$147,'BSE - Other Index Options'!$H:$H,"Weekly*")+SUMIFS('BSE - Other Index Options'!$L:$L,'BSE - Other Index Options'!$C:$C,$A210,'BSE - Other Index Options'!$B:$B,E$147,'BSE - Other Index Options'!$H:$H,"MDAW*"))</f>
        <v/>
      </c>
      <c r="F210" s="26" t="str">
        <f>IF(SUMIFS('BSE - SENSEX Index Options'!$L:$L,'BSE - SENSEX Index Options'!$C:$C,$A210,'BSE - SENSEX Index Options'!$B:$B,F$147,'BSE - SENSEX Index Options'!$H:$H,"Weekly*")+SUMIFS('BSE - SENSEX Index Options'!$L:$L,'BSE - SENSEX Index Options'!$C:$C,$A210,'BSE - SENSEX Index Options'!$B:$B,F$147,'BSE - SENSEX Index Options'!$H:$H,"MDAW*")+SUMIFS('BSE - Other Index Options'!$L:$L,'BSE - Other Index Options'!$C:$C,$A210,'BSE - Other Index Options'!$B:$B,F$147,'BSE - Other Index Options'!$H:$H,"Weekly*")+SUMIFS('BSE - Other Index Options'!$L:$L,'BSE - Other Index Options'!$C:$C,$A210,'BSE - Other Index Options'!$B:$B,F$147,'BSE - Other Index Options'!$H:$H,"MDAW*")=0,"",SUMIFS('BSE - SENSEX Index Options'!$L:$L,'BSE - SENSEX Index Options'!$C:$C,$A210,'BSE - SENSEX Index Options'!$B:$B,F$147,'BSE - SENSEX Index Options'!$H:$H,"Weekly*")+SUMIFS('BSE - SENSEX Index Options'!$L:$L,'BSE - SENSEX Index Options'!$C:$C,$A210,'BSE - SENSEX Index Options'!$B:$B,F$147,'BSE - SENSEX Index Options'!$H:$H,"MDAW*")+SUMIFS('BSE - Other Index Options'!$L:$L,'BSE - Other Index Options'!$C:$C,$A210,'BSE - Other Index Options'!$B:$B,F$147,'BSE - Other Index Options'!$H:$H,"Weekly*")+SUMIFS('BSE - Other Index Options'!$L:$L,'BSE - Other Index Options'!$C:$C,$A210,'BSE - Other Index Options'!$B:$B,F$147,'BSE - Other Index Options'!$H:$H,"MDAW*"))</f>
        <v/>
      </c>
      <c r="G210" s="26" t="str">
        <f>IF(SUMIFS('BSE - SENSEX Index Options'!$L:$L,'BSE - SENSEX Index Options'!$C:$C,$A210,'BSE - SENSEX Index Options'!$B:$B,G$147,'BSE - SENSEX Index Options'!$H:$H,"Weekly*")+SUMIFS('BSE - SENSEX Index Options'!$L:$L,'BSE - SENSEX Index Options'!$C:$C,$A210,'BSE - SENSEX Index Options'!$B:$B,G$147,'BSE - SENSEX Index Options'!$H:$H,"MDAW*")+SUMIFS('BSE - Other Index Options'!$L:$L,'BSE - Other Index Options'!$C:$C,$A210,'BSE - Other Index Options'!$B:$B,G$147,'BSE - Other Index Options'!$H:$H,"Weekly*")+SUMIFS('BSE - Other Index Options'!$L:$L,'BSE - Other Index Options'!$C:$C,$A210,'BSE - Other Index Options'!$B:$B,G$147,'BSE - Other Index Options'!$H:$H,"MDAW*")=0,"",SUMIFS('BSE - SENSEX Index Options'!$L:$L,'BSE - SENSEX Index Options'!$C:$C,$A210,'BSE - SENSEX Index Options'!$B:$B,G$147,'BSE - SENSEX Index Options'!$H:$H,"Weekly*")+SUMIFS('BSE - SENSEX Index Options'!$L:$L,'BSE - SENSEX Index Options'!$C:$C,$A210,'BSE - SENSEX Index Options'!$B:$B,G$147,'BSE - SENSEX Index Options'!$H:$H,"MDAW*")+SUMIFS('BSE - Other Index Options'!$L:$L,'BSE - Other Index Options'!$C:$C,$A210,'BSE - Other Index Options'!$B:$B,G$147,'BSE - Other Index Options'!$H:$H,"Weekly*")+SUMIFS('BSE - Other Index Options'!$L:$L,'BSE - Other Index Options'!$C:$C,$A210,'BSE - Other Index Options'!$B:$B,G$147,'BSE - Other Index Options'!$H:$H,"MDAW*"))</f>
        <v/>
      </c>
      <c r="H210" s="26" t="str">
        <f t="shared" si="7"/>
        <v/>
      </c>
    </row>
    <row r="211" spans="1:8" hidden="1" outlineLevel="1">
      <c r="A211" t="s">
        <v>73</v>
      </c>
      <c r="B211" s="26" t="str">
        <f>IF(SUMIFS('BSE - SENSEX Index Options'!$L:$L,'BSE - SENSEX Index Options'!$C:$C,$A211,'BSE - SENSEX Index Options'!$B:$B,B$147,'BSE - SENSEX Index Options'!$H:$H,"Weekly*")+SUMIFS('BSE - SENSEX Index Options'!$L:$L,'BSE - SENSEX Index Options'!$C:$C,$A211,'BSE - SENSEX Index Options'!$B:$B,B$147,'BSE - SENSEX Index Options'!$H:$H,"MDAW*")+SUMIFS('BSE - Other Index Options'!$L:$L,'BSE - Other Index Options'!$C:$C,$A211,'BSE - Other Index Options'!$B:$B,B$147,'BSE - Other Index Options'!$H:$H,"Weekly*")+SUMIFS('BSE - Other Index Options'!$L:$L,'BSE - Other Index Options'!$C:$C,$A211,'BSE - Other Index Options'!$B:$B,B$147,'BSE - Other Index Options'!$H:$H,"MDAW*")=0,"",SUMIFS('BSE - SENSEX Index Options'!$L:$L,'BSE - SENSEX Index Options'!$C:$C,$A211,'BSE - SENSEX Index Options'!$B:$B,B$147,'BSE - SENSEX Index Options'!$H:$H,"Weekly*")+SUMIFS('BSE - SENSEX Index Options'!$L:$L,'BSE - SENSEX Index Options'!$C:$C,$A211,'BSE - SENSEX Index Options'!$B:$B,B$147,'BSE - SENSEX Index Options'!$H:$H,"MDAW*")+SUMIFS('BSE - Other Index Options'!$L:$L,'BSE - Other Index Options'!$C:$C,$A211,'BSE - Other Index Options'!$B:$B,B$147,'BSE - Other Index Options'!$H:$H,"Weekly*")+SUMIFS('BSE - Other Index Options'!$L:$L,'BSE - Other Index Options'!$C:$C,$A211,'BSE - Other Index Options'!$B:$B,B$147,'BSE - Other Index Options'!$H:$H,"MDAW*"))</f>
        <v/>
      </c>
      <c r="C211" s="26" t="str">
        <f>IF(SUMIFS('BSE - SENSEX Index Options'!$L:$L,'BSE - SENSEX Index Options'!$C:$C,$A211,'BSE - SENSEX Index Options'!$B:$B,C$147,'BSE - SENSEX Index Options'!$H:$H,"Weekly*")+SUMIFS('BSE - SENSEX Index Options'!$L:$L,'BSE - SENSEX Index Options'!$C:$C,$A211,'BSE - SENSEX Index Options'!$B:$B,C$147,'BSE - SENSEX Index Options'!$H:$H,"MDAW*")+SUMIFS('BSE - Other Index Options'!$L:$L,'BSE - Other Index Options'!$C:$C,$A211,'BSE - Other Index Options'!$B:$B,C$147,'BSE - Other Index Options'!$H:$H,"Weekly*")+SUMIFS('BSE - Other Index Options'!$L:$L,'BSE - Other Index Options'!$C:$C,$A211,'BSE - Other Index Options'!$B:$B,C$147,'BSE - Other Index Options'!$H:$H,"MDAW*")=0,"",SUMIFS('BSE - SENSEX Index Options'!$L:$L,'BSE - SENSEX Index Options'!$C:$C,$A211,'BSE - SENSEX Index Options'!$B:$B,C$147,'BSE - SENSEX Index Options'!$H:$H,"Weekly*")+SUMIFS('BSE - SENSEX Index Options'!$L:$L,'BSE - SENSEX Index Options'!$C:$C,$A211,'BSE - SENSEX Index Options'!$B:$B,C$147,'BSE - SENSEX Index Options'!$H:$H,"MDAW*")+SUMIFS('BSE - Other Index Options'!$L:$L,'BSE - Other Index Options'!$C:$C,$A211,'BSE - Other Index Options'!$B:$B,C$147,'BSE - Other Index Options'!$H:$H,"Weekly*")+SUMIFS('BSE - Other Index Options'!$L:$L,'BSE - Other Index Options'!$C:$C,$A211,'BSE - Other Index Options'!$B:$B,C$147,'BSE - Other Index Options'!$H:$H,"MDAW*"))</f>
        <v/>
      </c>
      <c r="D211" s="26" t="str">
        <f>IF(SUMIFS('BSE - SENSEX Index Options'!$L:$L,'BSE - SENSEX Index Options'!$C:$C,$A211,'BSE - SENSEX Index Options'!$B:$B,D$147,'BSE - SENSEX Index Options'!$H:$H,"Weekly*")+SUMIFS('BSE - SENSEX Index Options'!$L:$L,'BSE - SENSEX Index Options'!$C:$C,$A211,'BSE - SENSEX Index Options'!$B:$B,D$147,'BSE - SENSEX Index Options'!$H:$H,"MDAW*")+SUMIFS('BSE - Other Index Options'!$L:$L,'BSE - Other Index Options'!$C:$C,$A211,'BSE - Other Index Options'!$B:$B,D$147,'BSE - Other Index Options'!$H:$H,"Weekly*")+SUMIFS('BSE - Other Index Options'!$L:$L,'BSE - Other Index Options'!$C:$C,$A211,'BSE - Other Index Options'!$B:$B,D$147,'BSE - Other Index Options'!$H:$H,"MDAW*")=0,"",SUMIFS('BSE - SENSEX Index Options'!$L:$L,'BSE - SENSEX Index Options'!$C:$C,$A211,'BSE - SENSEX Index Options'!$B:$B,D$147,'BSE - SENSEX Index Options'!$H:$H,"Weekly*")+SUMIFS('BSE - SENSEX Index Options'!$L:$L,'BSE - SENSEX Index Options'!$C:$C,$A211,'BSE - SENSEX Index Options'!$B:$B,D$147,'BSE - SENSEX Index Options'!$H:$H,"MDAW*")+SUMIFS('BSE - Other Index Options'!$L:$L,'BSE - Other Index Options'!$C:$C,$A211,'BSE - Other Index Options'!$B:$B,D$147,'BSE - Other Index Options'!$H:$H,"Weekly*")+SUMIFS('BSE - Other Index Options'!$L:$L,'BSE - Other Index Options'!$C:$C,$A211,'BSE - Other Index Options'!$B:$B,D$147,'BSE - Other Index Options'!$H:$H,"MDAW*"))</f>
        <v/>
      </c>
      <c r="E211" s="26" t="str">
        <f>IF(SUMIFS('BSE - SENSEX Index Options'!$L:$L,'BSE - SENSEX Index Options'!$C:$C,$A211,'BSE - SENSEX Index Options'!$B:$B,E$147,'BSE - SENSEX Index Options'!$H:$H,"Weekly*")+SUMIFS('BSE - SENSEX Index Options'!$L:$L,'BSE - SENSEX Index Options'!$C:$C,$A211,'BSE - SENSEX Index Options'!$B:$B,E$147,'BSE - SENSEX Index Options'!$H:$H,"MDAW*")+SUMIFS('BSE - Other Index Options'!$L:$L,'BSE - Other Index Options'!$C:$C,$A211,'BSE - Other Index Options'!$B:$B,E$147,'BSE - Other Index Options'!$H:$H,"Weekly*")+SUMIFS('BSE - Other Index Options'!$L:$L,'BSE - Other Index Options'!$C:$C,$A211,'BSE - Other Index Options'!$B:$B,E$147,'BSE - Other Index Options'!$H:$H,"MDAW*")=0,"",SUMIFS('BSE - SENSEX Index Options'!$L:$L,'BSE - SENSEX Index Options'!$C:$C,$A211,'BSE - SENSEX Index Options'!$B:$B,E$147,'BSE - SENSEX Index Options'!$H:$H,"Weekly*")+SUMIFS('BSE - SENSEX Index Options'!$L:$L,'BSE - SENSEX Index Options'!$C:$C,$A211,'BSE - SENSEX Index Options'!$B:$B,E$147,'BSE - SENSEX Index Options'!$H:$H,"MDAW*")+SUMIFS('BSE - Other Index Options'!$L:$L,'BSE - Other Index Options'!$C:$C,$A211,'BSE - Other Index Options'!$B:$B,E$147,'BSE - Other Index Options'!$H:$H,"Weekly*")+SUMIFS('BSE - Other Index Options'!$L:$L,'BSE - Other Index Options'!$C:$C,$A211,'BSE - Other Index Options'!$B:$B,E$147,'BSE - Other Index Options'!$H:$H,"MDAW*"))</f>
        <v/>
      </c>
      <c r="F211" s="26" t="str">
        <f>IF(SUMIFS('BSE - SENSEX Index Options'!$L:$L,'BSE - SENSEX Index Options'!$C:$C,$A211,'BSE - SENSEX Index Options'!$B:$B,F$147,'BSE - SENSEX Index Options'!$H:$H,"Weekly*")+SUMIFS('BSE - SENSEX Index Options'!$L:$L,'BSE - SENSEX Index Options'!$C:$C,$A211,'BSE - SENSEX Index Options'!$B:$B,F$147,'BSE - SENSEX Index Options'!$H:$H,"MDAW*")+SUMIFS('BSE - Other Index Options'!$L:$L,'BSE - Other Index Options'!$C:$C,$A211,'BSE - Other Index Options'!$B:$B,F$147,'BSE - Other Index Options'!$H:$H,"Weekly*")+SUMIFS('BSE - Other Index Options'!$L:$L,'BSE - Other Index Options'!$C:$C,$A211,'BSE - Other Index Options'!$B:$B,F$147,'BSE - Other Index Options'!$H:$H,"MDAW*")=0,"",SUMIFS('BSE - SENSEX Index Options'!$L:$L,'BSE - SENSEX Index Options'!$C:$C,$A211,'BSE - SENSEX Index Options'!$B:$B,F$147,'BSE - SENSEX Index Options'!$H:$H,"Weekly*")+SUMIFS('BSE - SENSEX Index Options'!$L:$L,'BSE - SENSEX Index Options'!$C:$C,$A211,'BSE - SENSEX Index Options'!$B:$B,F$147,'BSE - SENSEX Index Options'!$H:$H,"MDAW*")+SUMIFS('BSE - Other Index Options'!$L:$L,'BSE - Other Index Options'!$C:$C,$A211,'BSE - Other Index Options'!$B:$B,F$147,'BSE - Other Index Options'!$H:$H,"Weekly*")+SUMIFS('BSE - Other Index Options'!$L:$L,'BSE - Other Index Options'!$C:$C,$A211,'BSE - Other Index Options'!$B:$B,F$147,'BSE - Other Index Options'!$H:$H,"MDAW*"))</f>
        <v/>
      </c>
      <c r="G211" s="26" t="str">
        <f>IF(SUMIFS('BSE - SENSEX Index Options'!$L:$L,'BSE - SENSEX Index Options'!$C:$C,$A211,'BSE - SENSEX Index Options'!$B:$B,G$147,'BSE - SENSEX Index Options'!$H:$H,"Weekly*")+SUMIFS('BSE - SENSEX Index Options'!$L:$L,'BSE - SENSEX Index Options'!$C:$C,$A211,'BSE - SENSEX Index Options'!$B:$B,G$147,'BSE - SENSEX Index Options'!$H:$H,"MDAW*")+SUMIFS('BSE - Other Index Options'!$L:$L,'BSE - Other Index Options'!$C:$C,$A211,'BSE - Other Index Options'!$B:$B,G$147,'BSE - Other Index Options'!$H:$H,"Weekly*")+SUMIFS('BSE - Other Index Options'!$L:$L,'BSE - Other Index Options'!$C:$C,$A211,'BSE - Other Index Options'!$B:$B,G$147,'BSE - Other Index Options'!$H:$H,"MDAW*")=0,"",SUMIFS('BSE - SENSEX Index Options'!$L:$L,'BSE - SENSEX Index Options'!$C:$C,$A211,'BSE - SENSEX Index Options'!$B:$B,G$147,'BSE - SENSEX Index Options'!$H:$H,"Weekly*")+SUMIFS('BSE - SENSEX Index Options'!$L:$L,'BSE - SENSEX Index Options'!$C:$C,$A211,'BSE - SENSEX Index Options'!$B:$B,G$147,'BSE - SENSEX Index Options'!$H:$H,"MDAW*")+SUMIFS('BSE - Other Index Options'!$L:$L,'BSE - Other Index Options'!$C:$C,$A211,'BSE - Other Index Options'!$B:$B,G$147,'BSE - Other Index Options'!$H:$H,"Weekly*")+SUMIFS('BSE - Other Index Options'!$L:$L,'BSE - Other Index Options'!$C:$C,$A211,'BSE - Other Index Options'!$B:$B,G$147,'BSE - Other Index Options'!$H:$H,"MDAW*"))</f>
        <v/>
      </c>
      <c r="H211" s="26" t="str">
        <f t="shared" si="7"/>
        <v/>
      </c>
    </row>
    <row r="212" spans="1:8" hidden="1" outlineLevel="1">
      <c r="A212" t="s">
        <v>74</v>
      </c>
      <c r="B212" s="26" t="str">
        <f>IF(SUMIFS('BSE - SENSEX Index Options'!$L:$L,'BSE - SENSEX Index Options'!$C:$C,$A212,'BSE - SENSEX Index Options'!$B:$B,B$147,'BSE - SENSEX Index Options'!$H:$H,"Weekly*")+SUMIFS('BSE - SENSEX Index Options'!$L:$L,'BSE - SENSEX Index Options'!$C:$C,$A212,'BSE - SENSEX Index Options'!$B:$B,B$147,'BSE - SENSEX Index Options'!$H:$H,"MDAW*")+SUMIFS('BSE - Other Index Options'!$L:$L,'BSE - Other Index Options'!$C:$C,$A212,'BSE - Other Index Options'!$B:$B,B$147,'BSE - Other Index Options'!$H:$H,"Weekly*")+SUMIFS('BSE - Other Index Options'!$L:$L,'BSE - Other Index Options'!$C:$C,$A212,'BSE - Other Index Options'!$B:$B,B$147,'BSE - Other Index Options'!$H:$H,"MDAW*")=0,"",SUMIFS('BSE - SENSEX Index Options'!$L:$L,'BSE - SENSEX Index Options'!$C:$C,$A212,'BSE - SENSEX Index Options'!$B:$B,B$147,'BSE - SENSEX Index Options'!$H:$H,"Weekly*")+SUMIFS('BSE - SENSEX Index Options'!$L:$L,'BSE - SENSEX Index Options'!$C:$C,$A212,'BSE - SENSEX Index Options'!$B:$B,B$147,'BSE - SENSEX Index Options'!$H:$H,"MDAW*")+SUMIFS('BSE - Other Index Options'!$L:$L,'BSE - Other Index Options'!$C:$C,$A212,'BSE - Other Index Options'!$B:$B,B$147,'BSE - Other Index Options'!$H:$H,"Weekly*")+SUMIFS('BSE - Other Index Options'!$L:$L,'BSE - Other Index Options'!$C:$C,$A212,'BSE - Other Index Options'!$B:$B,B$147,'BSE - Other Index Options'!$H:$H,"MDAW*"))</f>
        <v/>
      </c>
      <c r="C212" s="26" t="str">
        <f>IF(SUMIFS('BSE - SENSEX Index Options'!$L:$L,'BSE - SENSEX Index Options'!$C:$C,$A212,'BSE - SENSEX Index Options'!$B:$B,C$147,'BSE - SENSEX Index Options'!$H:$H,"Weekly*")+SUMIFS('BSE - SENSEX Index Options'!$L:$L,'BSE - SENSEX Index Options'!$C:$C,$A212,'BSE - SENSEX Index Options'!$B:$B,C$147,'BSE - SENSEX Index Options'!$H:$H,"MDAW*")+SUMIFS('BSE - Other Index Options'!$L:$L,'BSE - Other Index Options'!$C:$C,$A212,'BSE - Other Index Options'!$B:$B,C$147,'BSE - Other Index Options'!$H:$H,"Weekly*")+SUMIFS('BSE - Other Index Options'!$L:$L,'BSE - Other Index Options'!$C:$C,$A212,'BSE - Other Index Options'!$B:$B,C$147,'BSE - Other Index Options'!$H:$H,"MDAW*")=0,"",SUMIFS('BSE - SENSEX Index Options'!$L:$L,'BSE - SENSEX Index Options'!$C:$C,$A212,'BSE - SENSEX Index Options'!$B:$B,C$147,'BSE - SENSEX Index Options'!$H:$H,"Weekly*")+SUMIFS('BSE - SENSEX Index Options'!$L:$L,'BSE - SENSEX Index Options'!$C:$C,$A212,'BSE - SENSEX Index Options'!$B:$B,C$147,'BSE - SENSEX Index Options'!$H:$H,"MDAW*")+SUMIFS('BSE - Other Index Options'!$L:$L,'BSE - Other Index Options'!$C:$C,$A212,'BSE - Other Index Options'!$B:$B,C$147,'BSE - Other Index Options'!$H:$H,"Weekly*")+SUMIFS('BSE - Other Index Options'!$L:$L,'BSE - Other Index Options'!$C:$C,$A212,'BSE - Other Index Options'!$B:$B,C$147,'BSE - Other Index Options'!$H:$H,"MDAW*"))</f>
        <v/>
      </c>
      <c r="D212" s="26" t="str">
        <f>IF(SUMIFS('BSE - SENSEX Index Options'!$L:$L,'BSE - SENSEX Index Options'!$C:$C,$A212,'BSE - SENSEX Index Options'!$B:$B,D$147,'BSE - SENSEX Index Options'!$H:$H,"Weekly*")+SUMIFS('BSE - SENSEX Index Options'!$L:$L,'BSE - SENSEX Index Options'!$C:$C,$A212,'BSE - SENSEX Index Options'!$B:$B,D$147,'BSE - SENSEX Index Options'!$H:$H,"MDAW*")+SUMIFS('BSE - Other Index Options'!$L:$L,'BSE - Other Index Options'!$C:$C,$A212,'BSE - Other Index Options'!$B:$B,D$147,'BSE - Other Index Options'!$H:$H,"Weekly*")+SUMIFS('BSE - Other Index Options'!$L:$L,'BSE - Other Index Options'!$C:$C,$A212,'BSE - Other Index Options'!$B:$B,D$147,'BSE - Other Index Options'!$H:$H,"MDAW*")=0,"",SUMIFS('BSE - SENSEX Index Options'!$L:$L,'BSE - SENSEX Index Options'!$C:$C,$A212,'BSE - SENSEX Index Options'!$B:$B,D$147,'BSE - SENSEX Index Options'!$H:$H,"Weekly*")+SUMIFS('BSE - SENSEX Index Options'!$L:$L,'BSE - SENSEX Index Options'!$C:$C,$A212,'BSE - SENSEX Index Options'!$B:$B,D$147,'BSE - SENSEX Index Options'!$H:$H,"MDAW*")+SUMIFS('BSE - Other Index Options'!$L:$L,'BSE - Other Index Options'!$C:$C,$A212,'BSE - Other Index Options'!$B:$B,D$147,'BSE - Other Index Options'!$H:$H,"Weekly*")+SUMIFS('BSE - Other Index Options'!$L:$L,'BSE - Other Index Options'!$C:$C,$A212,'BSE - Other Index Options'!$B:$B,D$147,'BSE - Other Index Options'!$H:$H,"MDAW*"))</f>
        <v/>
      </c>
      <c r="E212" s="26" t="str">
        <f>IF(SUMIFS('BSE - SENSEX Index Options'!$L:$L,'BSE - SENSEX Index Options'!$C:$C,$A212,'BSE - SENSEX Index Options'!$B:$B,E$147,'BSE - SENSEX Index Options'!$H:$H,"Weekly*")+SUMIFS('BSE - SENSEX Index Options'!$L:$L,'BSE - SENSEX Index Options'!$C:$C,$A212,'BSE - SENSEX Index Options'!$B:$B,E$147,'BSE - SENSEX Index Options'!$H:$H,"MDAW*")+SUMIFS('BSE - Other Index Options'!$L:$L,'BSE - Other Index Options'!$C:$C,$A212,'BSE - Other Index Options'!$B:$B,E$147,'BSE - Other Index Options'!$H:$H,"Weekly*")+SUMIFS('BSE - Other Index Options'!$L:$L,'BSE - Other Index Options'!$C:$C,$A212,'BSE - Other Index Options'!$B:$B,E$147,'BSE - Other Index Options'!$H:$H,"MDAW*")=0,"",SUMIFS('BSE - SENSEX Index Options'!$L:$L,'BSE - SENSEX Index Options'!$C:$C,$A212,'BSE - SENSEX Index Options'!$B:$B,E$147,'BSE - SENSEX Index Options'!$H:$H,"Weekly*")+SUMIFS('BSE - SENSEX Index Options'!$L:$L,'BSE - SENSEX Index Options'!$C:$C,$A212,'BSE - SENSEX Index Options'!$B:$B,E$147,'BSE - SENSEX Index Options'!$H:$H,"MDAW*")+SUMIFS('BSE - Other Index Options'!$L:$L,'BSE - Other Index Options'!$C:$C,$A212,'BSE - Other Index Options'!$B:$B,E$147,'BSE - Other Index Options'!$H:$H,"Weekly*")+SUMIFS('BSE - Other Index Options'!$L:$L,'BSE - Other Index Options'!$C:$C,$A212,'BSE - Other Index Options'!$B:$B,E$147,'BSE - Other Index Options'!$H:$H,"MDAW*"))</f>
        <v/>
      </c>
      <c r="F212" s="26" t="str">
        <f>IF(SUMIFS('BSE - SENSEX Index Options'!$L:$L,'BSE - SENSEX Index Options'!$C:$C,$A212,'BSE - SENSEX Index Options'!$B:$B,F$147,'BSE - SENSEX Index Options'!$H:$H,"Weekly*")+SUMIFS('BSE - SENSEX Index Options'!$L:$L,'BSE - SENSEX Index Options'!$C:$C,$A212,'BSE - SENSEX Index Options'!$B:$B,F$147,'BSE - SENSEX Index Options'!$H:$H,"MDAW*")+SUMIFS('BSE - Other Index Options'!$L:$L,'BSE - Other Index Options'!$C:$C,$A212,'BSE - Other Index Options'!$B:$B,F$147,'BSE - Other Index Options'!$H:$H,"Weekly*")+SUMIFS('BSE - Other Index Options'!$L:$L,'BSE - Other Index Options'!$C:$C,$A212,'BSE - Other Index Options'!$B:$B,F$147,'BSE - Other Index Options'!$H:$H,"MDAW*")=0,"",SUMIFS('BSE - SENSEX Index Options'!$L:$L,'BSE - SENSEX Index Options'!$C:$C,$A212,'BSE - SENSEX Index Options'!$B:$B,F$147,'BSE - SENSEX Index Options'!$H:$H,"Weekly*")+SUMIFS('BSE - SENSEX Index Options'!$L:$L,'BSE - SENSEX Index Options'!$C:$C,$A212,'BSE - SENSEX Index Options'!$B:$B,F$147,'BSE - SENSEX Index Options'!$H:$H,"MDAW*")+SUMIFS('BSE - Other Index Options'!$L:$L,'BSE - Other Index Options'!$C:$C,$A212,'BSE - Other Index Options'!$B:$B,F$147,'BSE - Other Index Options'!$H:$H,"Weekly*")+SUMIFS('BSE - Other Index Options'!$L:$L,'BSE - Other Index Options'!$C:$C,$A212,'BSE - Other Index Options'!$B:$B,F$147,'BSE - Other Index Options'!$H:$H,"MDAW*"))</f>
        <v/>
      </c>
      <c r="G212" s="26" t="str">
        <f>IF(SUMIFS('BSE - SENSEX Index Options'!$L:$L,'BSE - SENSEX Index Options'!$C:$C,$A212,'BSE - SENSEX Index Options'!$B:$B,G$147,'BSE - SENSEX Index Options'!$H:$H,"Weekly*")+SUMIFS('BSE - SENSEX Index Options'!$L:$L,'BSE - SENSEX Index Options'!$C:$C,$A212,'BSE - SENSEX Index Options'!$B:$B,G$147,'BSE - SENSEX Index Options'!$H:$H,"MDAW*")+SUMIFS('BSE - Other Index Options'!$L:$L,'BSE - Other Index Options'!$C:$C,$A212,'BSE - Other Index Options'!$B:$B,G$147,'BSE - Other Index Options'!$H:$H,"Weekly*")+SUMIFS('BSE - Other Index Options'!$L:$L,'BSE - Other Index Options'!$C:$C,$A212,'BSE - Other Index Options'!$B:$B,G$147,'BSE - Other Index Options'!$H:$H,"MDAW*")=0,"",SUMIFS('BSE - SENSEX Index Options'!$L:$L,'BSE - SENSEX Index Options'!$C:$C,$A212,'BSE - SENSEX Index Options'!$B:$B,G$147,'BSE - SENSEX Index Options'!$H:$H,"Weekly*")+SUMIFS('BSE - SENSEX Index Options'!$L:$L,'BSE - SENSEX Index Options'!$C:$C,$A212,'BSE - SENSEX Index Options'!$B:$B,G$147,'BSE - SENSEX Index Options'!$H:$H,"MDAW*")+SUMIFS('BSE - Other Index Options'!$L:$L,'BSE - Other Index Options'!$C:$C,$A212,'BSE - Other Index Options'!$B:$B,G$147,'BSE - Other Index Options'!$H:$H,"Weekly*")+SUMIFS('BSE - Other Index Options'!$L:$L,'BSE - Other Index Options'!$C:$C,$A212,'BSE - Other Index Options'!$B:$B,G$147,'BSE - Other Index Options'!$H:$H,"MDAW*"))</f>
        <v/>
      </c>
      <c r="H212" s="26" t="str">
        <f t="shared" ref="H212:H243" si="8">IF(SUM(B212:G212)=0,"",SUM(B212:G212))</f>
        <v/>
      </c>
    </row>
    <row r="213" spans="1:8" hidden="1" outlineLevel="1">
      <c r="A213" t="s">
        <v>75</v>
      </c>
      <c r="B213" s="26" t="str">
        <f>IF(SUMIFS('BSE - SENSEX Index Options'!$L:$L,'BSE - SENSEX Index Options'!$C:$C,$A213,'BSE - SENSEX Index Options'!$B:$B,B$147,'BSE - SENSEX Index Options'!$H:$H,"Weekly*")+SUMIFS('BSE - SENSEX Index Options'!$L:$L,'BSE - SENSEX Index Options'!$C:$C,$A213,'BSE - SENSEX Index Options'!$B:$B,B$147,'BSE - SENSEX Index Options'!$H:$H,"MDAW*")+SUMIFS('BSE - Other Index Options'!$L:$L,'BSE - Other Index Options'!$C:$C,$A213,'BSE - Other Index Options'!$B:$B,B$147,'BSE - Other Index Options'!$H:$H,"Weekly*")+SUMIFS('BSE - Other Index Options'!$L:$L,'BSE - Other Index Options'!$C:$C,$A213,'BSE - Other Index Options'!$B:$B,B$147,'BSE - Other Index Options'!$H:$H,"MDAW*")=0,"",SUMIFS('BSE - SENSEX Index Options'!$L:$L,'BSE - SENSEX Index Options'!$C:$C,$A213,'BSE - SENSEX Index Options'!$B:$B,B$147,'BSE - SENSEX Index Options'!$H:$H,"Weekly*")+SUMIFS('BSE - SENSEX Index Options'!$L:$L,'BSE - SENSEX Index Options'!$C:$C,$A213,'BSE - SENSEX Index Options'!$B:$B,B$147,'BSE - SENSEX Index Options'!$H:$H,"MDAW*")+SUMIFS('BSE - Other Index Options'!$L:$L,'BSE - Other Index Options'!$C:$C,$A213,'BSE - Other Index Options'!$B:$B,B$147,'BSE - Other Index Options'!$H:$H,"Weekly*")+SUMIFS('BSE - Other Index Options'!$L:$L,'BSE - Other Index Options'!$C:$C,$A213,'BSE - Other Index Options'!$B:$B,B$147,'BSE - Other Index Options'!$H:$H,"MDAW*"))</f>
        <v/>
      </c>
      <c r="C213" s="26" t="str">
        <f>IF(SUMIFS('BSE - SENSEX Index Options'!$L:$L,'BSE - SENSEX Index Options'!$C:$C,$A213,'BSE - SENSEX Index Options'!$B:$B,C$147,'BSE - SENSEX Index Options'!$H:$H,"Weekly*")+SUMIFS('BSE - SENSEX Index Options'!$L:$L,'BSE - SENSEX Index Options'!$C:$C,$A213,'BSE - SENSEX Index Options'!$B:$B,C$147,'BSE - SENSEX Index Options'!$H:$H,"MDAW*")+SUMIFS('BSE - Other Index Options'!$L:$L,'BSE - Other Index Options'!$C:$C,$A213,'BSE - Other Index Options'!$B:$B,C$147,'BSE - Other Index Options'!$H:$H,"Weekly*")+SUMIFS('BSE - Other Index Options'!$L:$L,'BSE - Other Index Options'!$C:$C,$A213,'BSE - Other Index Options'!$B:$B,C$147,'BSE - Other Index Options'!$H:$H,"MDAW*")=0,"",SUMIFS('BSE - SENSEX Index Options'!$L:$L,'BSE - SENSEX Index Options'!$C:$C,$A213,'BSE - SENSEX Index Options'!$B:$B,C$147,'BSE - SENSEX Index Options'!$H:$H,"Weekly*")+SUMIFS('BSE - SENSEX Index Options'!$L:$L,'BSE - SENSEX Index Options'!$C:$C,$A213,'BSE - SENSEX Index Options'!$B:$B,C$147,'BSE - SENSEX Index Options'!$H:$H,"MDAW*")+SUMIFS('BSE - Other Index Options'!$L:$L,'BSE - Other Index Options'!$C:$C,$A213,'BSE - Other Index Options'!$B:$B,C$147,'BSE - Other Index Options'!$H:$H,"Weekly*")+SUMIFS('BSE - Other Index Options'!$L:$L,'BSE - Other Index Options'!$C:$C,$A213,'BSE - Other Index Options'!$B:$B,C$147,'BSE - Other Index Options'!$H:$H,"MDAW*"))</f>
        <v/>
      </c>
      <c r="D213" s="26" t="str">
        <f>IF(SUMIFS('BSE - SENSEX Index Options'!$L:$L,'BSE - SENSEX Index Options'!$C:$C,$A213,'BSE - SENSEX Index Options'!$B:$B,D$147,'BSE - SENSEX Index Options'!$H:$H,"Weekly*")+SUMIFS('BSE - SENSEX Index Options'!$L:$L,'BSE - SENSEX Index Options'!$C:$C,$A213,'BSE - SENSEX Index Options'!$B:$B,D$147,'BSE - SENSEX Index Options'!$H:$H,"MDAW*")+SUMIFS('BSE - Other Index Options'!$L:$L,'BSE - Other Index Options'!$C:$C,$A213,'BSE - Other Index Options'!$B:$B,D$147,'BSE - Other Index Options'!$H:$H,"Weekly*")+SUMIFS('BSE - Other Index Options'!$L:$L,'BSE - Other Index Options'!$C:$C,$A213,'BSE - Other Index Options'!$B:$B,D$147,'BSE - Other Index Options'!$H:$H,"MDAW*")=0,"",SUMIFS('BSE - SENSEX Index Options'!$L:$L,'BSE - SENSEX Index Options'!$C:$C,$A213,'BSE - SENSEX Index Options'!$B:$B,D$147,'BSE - SENSEX Index Options'!$H:$H,"Weekly*")+SUMIFS('BSE - SENSEX Index Options'!$L:$L,'BSE - SENSEX Index Options'!$C:$C,$A213,'BSE - SENSEX Index Options'!$B:$B,D$147,'BSE - SENSEX Index Options'!$H:$H,"MDAW*")+SUMIFS('BSE - Other Index Options'!$L:$L,'BSE - Other Index Options'!$C:$C,$A213,'BSE - Other Index Options'!$B:$B,D$147,'BSE - Other Index Options'!$H:$H,"Weekly*")+SUMIFS('BSE - Other Index Options'!$L:$L,'BSE - Other Index Options'!$C:$C,$A213,'BSE - Other Index Options'!$B:$B,D$147,'BSE - Other Index Options'!$H:$H,"MDAW*"))</f>
        <v/>
      </c>
      <c r="E213" s="26" t="str">
        <f>IF(SUMIFS('BSE - SENSEX Index Options'!$L:$L,'BSE - SENSEX Index Options'!$C:$C,$A213,'BSE - SENSEX Index Options'!$B:$B,E$147,'BSE - SENSEX Index Options'!$H:$H,"Weekly*")+SUMIFS('BSE - SENSEX Index Options'!$L:$L,'BSE - SENSEX Index Options'!$C:$C,$A213,'BSE - SENSEX Index Options'!$B:$B,E$147,'BSE - SENSEX Index Options'!$H:$H,"MDAW*")+SUMIFS('BSE - Other Index Options'!$L:$L,'BSE - Other Index Options'!$C:$C,$A213,'BSE - Other Index Options'!$B:$B,E$147,'BSE - Other Index Options'!$H:$H,"Weekly*")+SUMIFS('BSE - Other Index Options'!$L:$L,'BSE - Other Index Options'!$C:$C,$A213,'BSE - Other Index Options'!$B:$B,E$147,'BSE - Other Index Options'!$H:$H,"MDAW*")=0,"",SUMIFS('BSE - SENSEX Index Options'!$L:$L,'BSE - SENSEX Index Options'!$C:$C,$A213,'BSE - SENSEX Index Options'!$B:$B,E$147,'BSE - SENSEX Index Options'!$H:$H,"Weekly*")+SUMIFS('BSE - SENSEX Index Options'!$L:$L,'BSE - SENSEX Index Options'!$C:$C,$A213,'BSE - SENSEX Index Options'!$B:$B,E$147,'BSE - SENSEX Index Options'!$H:$H,"MDAW*")+SUMIFS('BSE - Other Index Options'!$L:$L,'BSE - Other Index Options'!$C:$C,$A213,'BSE - Other Index Options'!$B:$B,E$147,'BSE - Other Index Options'!$H:$H,"Weekly*")+SUMIFS('BSE - Other Index Options'!$L:$L,'BSE - Other Index Options'!$C:$C,$A213,'BSE - Other Index Options'!$B:$B,E$147,'BSE - Other Index Options'!$H:$H,"MDAW*"))</f>
        <v/>
      </c>
      <c r="F213" s="26" t="str">
        <f>IF(SUMIFS('BSE - SENSEX Index Options'!$L:$L,'BSE - SENSEX Index Options'!$C:$C,$A213,'BSE - SENSEX Index Options'!$B:$B,F$147,'BSE - SENSEX Index Options'!$H:$H,"Weekly*")+SUMIFS('BSE - SENSEX Index Options'!$L:$L,'BSE - SENSEX Index Options'!$C:$C,$A213,'BSE - SENSEX Index Options'!$B:$B,F$147,'BSE - SENSEX Index Options'!$H:$H,"MDAW*")+SUMIFS('BSE - Other Index Options'!$L:$L,'BSE - Other Index Options'!$C:$C,$A213,'BSE - Other Index Options'!$B:$B,F$147,'BSE - Other Index Options'!$H:$H,"Weekly*")+SUMIFS('BSE - Other Index Options'!$L:$L,'BSE - Other Index Options'!$C:$C,$A213,'BSE - Other Index Options'!$B:$B,F$147,'BSE - Other Index Options'!$H:$H,"MDAW*")=0,"",SUMIFS('BSE - SENSEX Index Options'!$L:$L,'BSE - SENSEX Index Options'!$C:$C,$A213,'BSE - SENSEX Index Options'!$B:$B,F$147,'BSE - SENSEX Index Options'!$H:$H,"Weekly*")+SUMIFS('BSE - SENSEX Index Options'!$L:$L,'BSE - SENSEX Index Options'!$C:$C,$A213,'BSE - SENSEX Index Options'!$B:$B,F$147,'BSE - SENSEX Index Options'!$H:$H,"MDAW*")+SUMIFS('BSE - Other Index Options'!$L:$L,'BSE - Other Index Options'!$C:$C,$A213,'BSE - Other Index Options'!$B:$B,F$147,'BSE - Other Index Options'!$H:$H,"Weekly*")+SUMIFS('BSE - Other Index Options'!$L:$L,'BSE - Other Index Options'!$C:$C,$A213,'BSE - Other Index Options'!$B:$B,F$147,'BSE - Other Index Options'!$H:$H,"MDAW*"))</f>
        <v/>
      </c>
      <c r="G213" s="26" t="str">
        <f>IF(SUMIFS('BSE - SENSEX Index Options'!$L:$L,'BSE - SENSEX Index Options'!$C:$C,$A213,'BSE - SENSEX Index Options'!$B:$B,G$147,'BSE - SENSEX Index Options'!$H:$H,"Weekly*")+SUMIFS('BSE - SENSEX Index Options'!$L:$L,'BSE - SENSEX Index Options'!$C:$C,$A213,'BSE - SENSEX Index Options'!$B:$B,G$147,'BSE - SENSEX Index Options'!$H:$H,"MDAW*")+SUMIFS('BSE - Other Index Options'!$L:$L,'BSE - Other Index Options'!$C:$C,$A213,'BSE - Other Index Options'!$B:$B,G$147,'BSE - Other Index Options'!$H:$H,"Weekly*")+SUMIFS('BSE - Other Index Options'!$L:$L,'BSE - Other Index Options'!$C:$C,$A213,'BSE - Other Index Options'!$B:$B,G$147,'BSE - Other Index Options'!$H:$H,"MDAW*")=0,"",SUMIFS('BSE - SENSEX Index Options'!$L:$L,'BSE - SENSEX Index Options'!$C:$C,$A213,'BSE - SENSEX Index Options'!$B:$B,G$147,'BSE - SENSEX Index Options'!$H:$H,"Weekly*")+SUMIFS('BSE - SENSEX Index Options'!$L:$L,'BSE - SENSEX Index Options'!$C:$C,$A213,'BSE - SENSEX Index Options'!$B:$B,G$147,'BSE - SENSEX Index Options'!$H:$H,"MDAW*")+SUMIFS('BSE - Other Index Options'!$L:$L,'BSE - Other Index Options'!$C:$C,$A213,'BSE - Other Index Options'!$B:$B,G$147,'BSE - Other Index Options'!$H:$H,"Weekly*")+SUMIFS('BSE - Other Index Options'!$L:$L,'BSE - Other Index Options'!$C:$C,$A213,'BSE - Other Index Options'!$B:$B,G$147,'BSE - Other Index Options'!$H:$H,"MDAW*"))</f>
        <v/>
      </c>
      <c r="H213" s="26" t="str">
        <f t="shared" si="8"/>
        <v/>
      </c>
    </row>
    <row r="214" spans="1:8" hidden="1" outlineLevel="1">
      <c r="A214" t="s">
        <v>76</v>
      </c>
      <c r="B214" s="26" t="str">
        <f>IF(SUMIFS('BSE - SENSEX Index Options'!$L:$L,'BSE - SENSEX Index Options'!$C:$C,$A214,'BSE - SENSEX Index Options'!$B:$B,B$147,'BSE - SENSEX Index Options'!$H:$H,"Weekly*")+SUMIFS('BSE - SENSEX Index Options'!$L:$L,'BSE - SENSEX Index Options'!$C:$C,$A214,'BSE - SENSEX Index Options'!$B:$B,B$147,'BSE - SENSEX Index Options'!$H:$H,"MDAW*")+SUMIFS('BSE - Other Index Options'!$L:$L,'BSE - Other Index Options'!$C:$C,$A214,'BSE - Other Index Options'!$B:$B,B$147,'BSE - Other Index Options'!$H:$H,"Weekly*")+SUMIFS('BSE - Other Index Options'!$L:$L,'BSE - Other Index Options'!$C:$C,$A214,'BSE - Other Index Options'!$B:$B,B$147,'BSE - Other Index Options'!$H:$H,"MDAW*")=0,"",SUMIFS('BSE - SENSEX Index Options'!$L:$L,'BSE - SENSEX Index Options'!$C:$C,$A214,'BSE - SENSEX Index Options'!$B:$B,B$147,'BSE - SENSEX Index Options'!$H:$H,"Weekly*")+SUMIFS('BSE - SENSEX Index Options'!$L:$L,'BSE - SENSEX Index Options'!$C:$C,$A214,'BSE - SENSEX Index Options'!$B:$B,B$147,'BSE - SENSEX Index Options'!$H:$H,"MDAW*")+SUMIFS('BSE - Other Index Options'!$L:$L,'BSE - Other Index Options'!$C:$C,$A214,'BSE - Other Index Options'!$B:$B,B$147,'BSE - Other Index Options'!$H:$H,"Weekly*")+SUMIFS('BSE - Other Index Options'!$L:$L,'BSE - Other Index Options'!$C:$C,$A214,'BSE - Other Index Options'!$B:$B,B$147,'BSE - Other Index Options'!$H:$H,"MDAW*"))</f>
        <v/>
      </c>
      <c r="C214" s="26" t="str">
        <f>IF(SUMIFS('BSE - SENSEX Index Options'!$L:$L,'BSE - SENSEX Index Options'!$C:$C,$A214,'BSE - SENSEX Index Options'!$B:$B,C$147,'BSE - SENSEX Index Options'!$H:$H,"Weekly*")+SUMIFS('BSE - SENSEX Index Options'!$L:$L,'BSE - SENSEX Index Options'!$C:$C,$A214,'BSE - SENSEX Index Options'!$B:$B,C$147,'BSE - SENSEX Index Options'!$H:$H,"MDAW*")+SUMIFS('BSE - Other Index Options'!$L:$L,'BSE - Other Index Options'!$C:$C,$A214,'BSE - Other Index Options'!$B:$B,C$147,'BSE - Other Index Options'!$H:$H,"Weekly*")+SUMIFS('BSE - Other Index Options'!$L:$L,'BSE - Other Index Options'!$C:$C,$A214,'BSE - Other Index Options'!$B:$B,C$147,'BSE - Other Index Options'!$H:$H,"MDAW*")=0,"",SUMIFS('BSE - SENSEX Index Options'!$L:$L,'BSE - SENSEX Index Options'!$C:$C,$A214,'BSE - SENSEX Index Options'!$B:$B,C$147,'BSE - SENSEX Index Options'!$H:$H,"Weekly*")+SUMIFS('BSE - SENSEX Index Options'!$L:$L,'BSE - SENSEX Index Options'!$C:$C,$A214,'BSE - SENSEX Index Options'!$B:$B,C$147,'BSE - SENSEX Index Options'!$H:$H,"MDAW*")+SUMIFS('BSE - Other Index Options'!$L:$L,'BSE - Other Index Options'!$C:$C,$A214,'BSE - Other Index Options'!$B:$B,C$147,'BSE - Other Index Options'!$H:$H,"Weekly*")+SUMIFS('BSE - Other Index Options'!$L:$L,'BSE - Other Index Options'!$C:$C,$A214,'BSE - Other Index Options'!$B:$B,C$147,'BSE - Other Index Options'!$H:$H,"MDAW*"))</f>
        <v/>
      </c>
      <c r="D214" s="26" t="str">
        <f>IF(SUMIFS('BSE - SENSEX Index Options'!$L:$L,'BSE - SENSEX Index Options'!$C:$C,$A214,'BSE - SENSEX Index Options'!$B:$B,D$147,'BSE - SENSEX Index Options'!$H:$H,"Weekly*")+SUMIFS('BSE - SENSEX Index Options'!$L:$L,'BSE - SENSEX Index Options'!$C:$C,$A214,'BSE - SENSEX Index Options'!$B:$B,D$147,'BSE - SENSEX Index Options'!$H:$H,"MDAW*")+SUMIFS('BSE - Other Index Options'!$L:$L,'BSE - Other Index Options'!$C:$C,$A214,'BSE - Other Index Options'!$B:$B,D$147,'BSE - Other Index Options'!$H:$H,"Weekly*")+SUMIFS('BSE - Other Index Options'!$L:$L,'BSE - Other Index Options'!$C:$C,$A214,'BSE - Other Index Options'!$B:$B,D$147,'BSE - Other Index Options'!$H:$H,"MDAW*")=0,"",SUMIFS('BSE - SENSEX Index Options'!$L:$L,'BSE - SENSEX Index Options'!$C:$C,$A214,'BSE - SENSEX Index Options'!$B:$B,D$147,'BSE - SENSEX Index Options'!$H:$H,"Weekly*")+SUMIFS('BSE - SENSEX Index Options'!$L:$L,'BSE - SENSEX Index Options'!$C:$C,$A214,'BSE - SENSEX Index Options'!$B:$B,D$147,'BSE - SENSEX Index Options'!$H:$H,"MDAW*")+SUMIFS('BSE - Other Index Options'!$L:$L,'BSE - Other Index Options'!$C:$C,$A214,'BSE - Other Index Options'!$B:$B,D$147,'BSE - Other Index Options'!$H:$H,"Weekly*")+SUMIFS('BSE - Other Index Options'!$L:$L,'BSE - Other Index Options'!$C:$C,$A214,'BSE - Other Index Options'!$B:$B,D$147,'BSE - Other Index Options'!$H:$H,"MDAW*"))</f>
        <v/>
      </c>
      <c r="E214" s="26" t="str">
        <f>IF(SUMIFS('BSE - SENSEX Index Options'!$L:$L,'BSE - SENSEX Index Options'!$C:$C,$A214,'BSE - SENSEX Index Options'!$B:$B,E$147,'BSE - SENSEX Index Options'!$H:$H,"Weekly*")+SUMIFS('BSE - SENSEX Index Options'!$L:$L,'BSE - SENSEX Index Options'!$C:$C,$A214,'BSE - SENSEX Index Options'!$B:$B,E$147,'BSE - SENSEX Index Options'!$H:$H,"MDAW*")+SUMIFS('BSE - Other Index Options'!$L:$L,'BSE - Other Index Options'!$C:$C,$A214,'BSE - Other Index Options'!$B:$B,E$147,'BSE - Other Index Options'!$H:$H,"Weekly*")+SUMIFS('BSE - Other Index Options'!$L:$L,'BSE - Other Index Options'!$C:$C,$A214,'BSE - Other Index Options'!$B:$B,E$147,'BSE - Other Index Options'!$H:$H,"MDAW*")=0,"",SUMIFS('BSE - SENSEX Index Options'!$L:$L,'BSE - SENSEX Index Options'!$C:$C,$A214,'BSE - SENSEX Index Options'!$B:$B,E$147,'BSE - SENSEX Index Options'!$H:$H,"Weekly*")+SUMIFS('BSE - SENSEX Index Options'!$L:$L,'BSE - SENSEX Index Options'!$C:$C,$A214,'BSE - SENSEX Index Options'!$B:$B,E$147,'BSE - SENSEX Index Options'!$H:$H,"MDAW*")+SUMIFS('BSE - Other Index Options'!$L:$L,'BSE - Other Index Options'!$C:$C,$A214,'BSE - Other Index Options'!$B:$B,E$147,'BSE - Other Index Options'!$H:$H,"Weekly*")+SUMIFS('BSE - Other Index Options'!$L:$L,'BSE - Other Index Options'!$C:$C,$A214,'BSE - Other Index Options'!$B:$B,E$147,'BSE - Other Index Options'!$H:$H,"MDAW*"))</f>
        <v/>
      </c>
      <c r="F214" s="26" t="str">
        <f>IF(SUMIFS('BSE - SENSEX Index Options'!$L:$L,'BSE - SENSEX Index Options'!$C:$C,$A214,'BSE - SENSEX Index Options'!$B:$B,F$147,'BSE - SENSEX Index Options'!$H:$H,"Weekly*")+SUMIFS('BSE - SENSEX Index Options'!$L:$L,'BSE - SENSEX Index Options'!$C:$C,$A214,'BSE - SENSEX Index Options'!$B:$B,F$147,'BSE - SENSEX Index Options'!$H:$H,"MDAW*")+SUMIFS('BSE - Other Index Options'!$L:$L,'BSE - Other Index Options'!$C:$C,$A214,'BSE - Other Index Options'!$B:$B,F$147,'BSE - Other Index Options'!$H:$H,"Weekly*")+SUMIFS('BSE - Other Index Options'!$L:$L,'BSE - Other Index Options'!$C:$C,$A214,'BSE - Other Index Options'!$B:$B,F$147,'BSE - Other Index Options'!$H:$H,"MDAW*")=0,"",SUMIFS('BSE - SENSEX Index Options'!$L:$L,'BSE - SENSEX Index Options'!$C:$C,$A214,'BSE - SENSEX Index Options'!$B:$B,F$147,'BSE - SENSEX Index Options'!$H:$H,"Weekly*")+SUMIFS('BSE - SENSEX Index Options'!$L:$L,'BSE - SENSEX Index Options'!$C:$C,$A214,'BSE - SENSEX Index Options'!$B:$B,F$147,'BSE - SENSEX Index Options'!$H:$H,"MDAW*")+SUMIFS('BSE - Other Index Options'!$L:$L,'BSE - Other Index Options'!$C:$C,$A214,'BSE - Other Index Options'!$B:$B,F$147,'BSE - Other Index Options'!$H:$H,"Weekly*")+SUMIFS('BSE - Other Index Options'!$L:$L,'BSE - Other Index Options'!$C:$C,$A214,'BSE - Other Index Options'!$B:$B,F$147,'BSE - Other Index Options'!$H:$H,"MDAW*"))</f>
        <v/>
      </c>
      <c r="G214" s="26" t="str">
        <f>IF(SUMIFS('BSE - SENSEX Index Options'!$L:$L,'BSE - SENSEX Index Options'!$C:$C,$A214,'BSE - SENSEX Index Options'!$B:$B,G$147,'BSE - SENSEX Index Options'!$H:$H,"Weekly*")+SUMIFS('BSE - SENSEX Index Options'!$L:$L,'BSE - SENSEX Index Options'!$C:$C,$A214,'BSE - SENSEX Index Options'!$B:$B,G$147,'BSE - SENSEX Index Options'!$H:$H,"MDAW*")+SUMIFS('BSE - Other Index Options'!$L:$L,'BSE - Other Index Options'!$C:$C,$A214,'BSE - Other Index Options'!$B:$B,G$147,'BSE - Other Index Options'!$H:$H,"Weekly*")+SUMIFS('BSE - Other Index Options'!$L:$L,'BSE - Other Index Options'!$C:$C,$A214,'BSE - Other Index Options'!$B:$B,G$147,'BSE - Other Index Options'!$H:$H,"MDAW*")=0,"",SUMIFS('BSE - SENSEX Index Options'!$L:$L,'BSE - SENSEX Index Options'!$C:$C,$A214,'BSE - SENSEX Index Options'!$B:$B,G$147,'BSE - SENSEX Index Options'!$H:$H,"Weekly*")+SUMIFS('BSE - SENSEX Index Options'!$L:$L,'BSE - SENSEX Index Options'!$C:$C,$A214,'BSE - SENSEX Index Options'!$B:$B,G$147,'BSE - SENSEX Index Options'!$H:$H,"MDAW*")+SUMIFS('BSE - Other Index Options'!$L:$L,'BSE - Other Index Options'!$C:$C,$A214,'BSE - Other Index Options'!$B:$B,G$147,'BSE - Other Index Options'!$H:$H,"Weekly*")+SUMIFS('BSE - Other Index Options'!$L:$L,'BSE - Other Index Options'!$C:$C,$A214,'BSE - Other Index Options'!$B:$B,G$147,'BSE - Other Index Options'!$H:$H,"MDAW*"))</f>
        <v/>
      </c>
      <c r="H214" s="26" t="str">
        <f t="shared" si="8"/>
        <v/>
      </c>
    </row>
    <row r="215" spans="1:8" hidden="1" outlineLevel="1">
      <c r="A215" t="s">
        <v>77</v>
      </c>
      <c r="B215" s="26" t="str">
        <f>IF(SUMIFS('BSE - SENSEX Index Options'!$L:$L,'BSE - SENSEX Index Options'!$C:$C,$A215,'BSE - SENSEX Index Options'!$B:$B,B$147,'BSE - SENSEX Index Options'!$H:$H,"Weekly*")+SUMIFS('BSE - SENSEX Index Options'!$L:$L,'BSE - SENSEX Index Options'!$C:$C,$A215,'BSE - SENSEX Index Options'!$B:$B,B$147,'BSE - SENSEX Index Options'!$H:$H,"MDAW*")+SUMIFS('BSE - Other Index Options'!$L:$L,'BSE - Other Index Options'!$C:$C,$A215,'BSE - Other Index Options'!$B:$B,B$147,'BSE - Other Index Options'!$H:$H,"Weekly*")+SUMIFS('BSE - Other Index Options'!$L:$L,'BSE - Other Index Options'!$C:$C,$A215,'BSE - Other Index Options'!$B:$B,B$147,'BSE - Other Index Options'!$H:$H,"MDAW*")=0,"",SUMIFS('BSE - SENSEX Index Options'!$L:$L,'BSE - SENSEX Index Options'!$C:$C,$A215,'BSE - SENSEX Index Options'!$B:$B,B$147,'BSE - SENSEX Index Options'!$H:$H,"Weekly*")+SUMIFS('BSE - SENSEX Index Options'!$L:$L,'BSE - SENSEX Index Options'!$C:$C,$A215,'BSE - SENSEX Index Options'!$B:$B,B$147,'BSE - SENSEX Index Options'!$H:$H,"MDAW*")+SUMIFS('BSE - Other Index Options'!$L:$L,'BSE - Other Index Options'!$C:$C,$A215,'BSE - Other Index Options'!$B:$B,B$147,'BSE - Other Index Options'!$H:$H,"Weekly*")+SUMIFS('BSE - Other Index Options'!$L:$L,'BSE - Other Index Options'!$C:$C,$A215,'BSE - Other Index Options'!$B:$B,B$147,'BSE - Other Index Options'!$H:$H,"MDAW*"))</f>
        <v/>
      </c>
      <c r="C215" s="26" t="str">
        <f>IF(SUMIFS('BSE - SENSEX Index Options'!$L:$L,'BSE - SENSEX Index Options'!$C:$C,$A215,'BSE - SENSEX Index Options'!$B:$B,C$147,'BSE - SENSEX Index Options'!$H:$H,"Weekly*")+SUMIFS('BSE - SENSEX Index Options'!$L:$L,'BSE - SENSEX Index Options'!$C:$C,$A215,'BSE - SENSEX Index Options'!$B:$B,C$147,'BSE - SENSEX Index Options'!$H:$H,"MDAW*")+SUMIFS('BSE - Other Index Options'!$L:$L,'BSE - Other Index Options'!$C:$C,$A215,'BSE - Other Index Options'!$B:$B,C$147,'BSE - Other Index Options'!$H:$H,"Weekly*")+SUMIFS('BSE - Other Index Options'!$L:$L,'BSE - Other Index Options'!$C:$C,$A215,'BSE - Other Index Options'!$B:$B,C$147,'BSE - Other Index Options'!$H:$H,"MDAW*")=0,"",SUMIFS('BSE - SENSEX Index Options'!$L:$L,'BSE - SENSEX Index Options'!$C:$C,$A215,'BSE - SENSEX Index Options'!$B:$B,C$147,'BSE - SENSEX Index Options'!$H:$H,"Weekly*")+SUMIFS('BSE - SENSEX Index Options'!$L:$L,'BSE - SENSEX Index Options'!$C:$C,$A215,'BSE - SENSEX Index Options'!$B:$B,C$147,'BSE - SENSEX Index Options'!$H:$H,"MDAW*")+SUMIFS('BSE - Other Index Options'!$L:$L,'BSE - Other Index Options'!$C:$C,$A215,'BSE - Other Index Options'!$B:$B,C$147,'BSE - Other Index Options'!$H:$H,"Weekly*")+SUMIFS('BSE - Other Index Options'!$L:$L,'BSE - Other Index Options'!$C:$C,$A215,'BSE - Other Index Options'!$B:$B,C$147,'BSE - Other Index Options'!$H:$H,"MDAW*"))</f>
        <v/>
      </c>
      <c r="D215" s="26" t="str">
        <f>IF(SUMIFS('BSE - SENSEX Index Options'!$L:$L,'BSE - SENSEX Index Options'!$C:$C,$A215,'BSE - SENSEX Index Options'!$B:$B,D$147,'BSE - SENSEX Index Options'!$H:$H,"Weekly*")+SUMIFS('BSE - SENSEX Index Options'!$L:$L,'BSE - SENSEX Index Options'!$C:$C,$A215,'BSE - SENSEX Index Options'!$B:$B,D$147,'BSE - SENSEX Index Options'!$H:$H,"MDAW*")+SUMIFS('BSE - Other Index Options'!$L:$L,'BSE - Other Index Options'!$C:$C,$A215,'BSE - Other Index Options'!$B:$B,D$147,'BSE - Other Index Options'!$H:$H,"Weekly*")+SUMIFS('BSE - Other Index Options'!$L:$L,'BSE - Other Index Options'!$C:$C,$A215,'BSE - Other Index Options'!$B:$B,D$147,'BSE - Other Index Options'!$H:$H,"MDAW*")=0,"",SUMIFS('BSE - SENSEX Index Options'!$L:$L,'BSE - SENSEX Index Options'!$C:$C,$A215,'BSE - SENSEX Index Options'!$B:$B,D$147,'BSE - SENSEX Index Options'!$H:$H,"Weekly*")+SUMIFS('BSE - SENSEX Index Options'!$L:$L,'BSE - SENSEX Index Options'!$C:$C,$A215,'BSE - SENSEX Index Options'!$B:$B,D$147,'BSE - SENSEX Index Options'!$H:$H,"MDAW*")+SUMIFS('BSE - Other Index Options'!$L:$L,'BSE - Other Index Options'!$C:$C,$A215,'BSE - Other Index Options'!$B:$B,D$147,'BSE - Other Index Options'!$H:$H,"Weekly*")+SUMIFS('BSE - Other Index Options'!$L:$L,'BSE - Other Index Options'!$C:$C,$A215,'BSE - Other Index Options'!$B:$B,D$147,'BSE - Other Index Options'!$H:$H,"MDAW*"))</f>
        <v/>
      </c>
      <c r="E215" s="26" t="str">
        <f>IF(SUMIFS('BSE - SENSEX Index Options'!$L:$L,'BSE - SENSEX Index Options'!$C:$C,$A215,'BSE - SENSEX Index Options'!$B:$B,E$147,'BSE - SENSEX Index Options'!$H:$H,"Weekly*")+SUMIFS('BSE - SENSEX Index Options'!$L:$L,'BSE - SENSEX Index Options'!$C:$C,$A215,'BSE - SENSEX Index Options'!$B:$B,E$147,'BSE - SENSEX Index Options'!$H:$H,"MDAW*")+SUMIFS('BSE - Other Index Options'!$L:$L,'BSE - Other Index Options'!$C:$C,$A215,'BSE - Other Index Options'!$B:$B,E$147,'BSE - Other Index Options'!$H:$H,"Weekly*")+SUMIFS('BSE - Other Index Options'!$L:$L,'BSE - Other Index Options'!$C:$C,$A215,'BSE - Other Index Options'!$B:$B,E$147,'BSE - Other Index Options'!$H:$H,"MDAW*")=0,"",SUMIFS('BSE - SENSEX Index Options'!$L:$L,'BSE - SENSEX Index Options'!$C:$C,$A215,'BSE - SENSEX Index Options'!$B:$B,E$147,'BSE - SENSEX Index Options'!$H:$H,"Weekly*")+SUMIFS('BSE - SENSEX Index Options'!$L:$L,'BSE - SENSEX Index Options'!$C:$C,$A215,'BSE - SENSEX Index Options'!$B:$B,E$147,'BSE - SENSEX Index Options'!$H:$H,"MDAW*")+SUMIFS('BSE - Other Index Options'!$L:$L,'BSE - Other Index Options'!$C:$C,$A215,'BSE - Other Index Options'!$B:$B,E$147,'BSE - Other Index Options'!$H:$H,"Weekly*")+SUMIFS('BSE - Other Index Options'!$L:$L,'BSE - Other Index Options'!$C:$C,$A215,'BSE - Other Index Options'!$B:$B,E$147,'BSE - Other Index Options'!$H:$H,"MDAW*"))</f>
        <v/>
      </c>
      <c r="F215" s="26" t="str">
        <f>IF(SUMIFS('BSE - SENSEX Index Options'!$L:$L,'BSE - SENSEX Index Options'!$C:$C,$A215,'BSE - SENSEX Index Options'!$B:$B,F$147,'BSE - SENSEX Index Options'!$H:$H,"Weekly*")+SUMIFS('BSE - SENSEX Index Options'!$L:$L,'BSE - SENSEX Index Options'!$C:$C,$A215,'BSE - SENSEX Index Options'!$B:$B,F$147,'BSE - SENSEX Index Options'!$H:$H,"MDAW*")+SUMIFS('BSE - Other Index Options'!$L:$L,'BSE - Other Index Options'!$C:$C,$A215,'BSE - Other Index Options'!$B:$B,F$147,'BSE - Other Index Options'!$H:$H,"Weekly*")+SUMIFS('BSE - Other Index Options'!$L:$L,'BSE - Other Index Options'!$C:$C,$A215,'BSE - Other Index Options'!$B:$B,F$147,'BSE - Other Index Options'!$H:$H,"MDAW*")=0,"",SUMIFS('BSE - SENSEX Index Options'!$L:$L,'BSE - SENSEX Index Options'!$C:$C,$A215,'BSE - SENSEX Index Options'!$B:$B,F$147,'BSE - SENSEX Index Options'!$H:$H,"Weekly*")+SUMIFS('BSE - SENSEX Index Options'!$L:$L,'BSE - SENSEX Index Options'!$C:$C,$A215,'BSE - SENSEX Index Options'!$B:$B,F$147,'BSE - SENSEX Index Options'!$H:$H,"MDAW*")+SUMIFS('BSE - Other Index Options'!$L:$L,'BSE - Other Index Options'!$C:$C,$A215,'BSE - Other Index Options'!$B:$B,F$147,'BSE - Other Index Options'!$H:$H,"Weekly*")+SUMIFS('BSE - Other Index Options'!$L:$L,'BSE - Other Index Options'!$C:$C,$A215,'BSE - Other Index Options'!$B:$B,F$147,'BSE - Other Index Options'!$H:$H,"MDAW*"))</f>
        <v/>
      </c>
      <c r="G215" s="26" t="str">
        <f>IF(SUMIFS('BSE - SENSEX Index Options'!$L:$L,'BSE - SENSEX Index Options'!$C:$C,$A215,'BSE - SENSEX Index Options'!$B:$B,G$147,'BSE - SENSEX Index Options'!$H:$H,"Weekly*")+SUMIFS('BSE - SENSEX Index Options'!$L:$L,'BSE - SENSEX Index Options'!$C:$C,$A215,'BSE - SENSEX Index Options'!$B:$B,G$147,'BSE - SENSEX Index Options'!$H:$H,"MDAW*")+SUMIFS('BSE - Other Index Options'!$L:$L,'BSE - Other Index Options'!$C:$C,$A215,'BSE - Other Index Options'!$B:$B,G$147,'BSE - Other Index Options'!$H:$H,"Weekly*")+SUMIFS('BSE - Other Index Options'!$L:$L,'BSE - Other Index Options'!$C:$C,$A215,'BSE - Other Index Options'!$B:$B,G$147,'BSE - Other Index Options'!$H:$H,"MDAW*")=0,"",SUMIFS('BSE - SENSEX Index Options'!$L:$L,'BSE - SENSEX Index Options'!$C:$C,$A215,'BSE - SENSEX Index Options'!$B:$B,G$147,'BSE - SENSEX Index Options'!$H:$H,"Weekly*")+SUMIFS('BSE - SENSEX Index Options'!$L:$L,'BSE - SENSEX Index Options'!$C:$C,$A215,'BSE - SENSEX Index Options'!$B:$B,G$147,'BSE - SENSEX Index Options'!$H:$H,"MDAW*")+SUMIFS('BSE - Other Index Options'!$L:$L,'BSE - Other Index Options'!$C:$C,$A215,'BSE - Other Index Options'!$B:$B,G$147,'BSE - Other Index Options'!$H:$H,"Weekly*")+SUMIFS('BSE - Other Index Options'!$L:$L,'BSE - Other Index Options'!$C:$C,$A215,'BSE - Other Index Options'!$B:$B,G$147,'BSE - Other Index Options'!$H:$H,"MDAW*"))</f>
        <v/>
      </c>
      <c r="H215" s="26" t="str">
        <f t="shared" si="8"/>
        <v/>
      </c>
    </row>
    <row r="216" spans="1:8" hidden="1" outlineLevel="1">
      <c r="A216" t="s">
        <v>78</v>
      </c>
      <c r="B216" s="26" t="str">
        <f>IF(SUMIFS('BSE - SENSEX Index Options'!$L:$L,'BSE - SENSEX Index Options'!$C:$C,$A216,'BSE - SENSEX Index Options'!$B:$B,B$147,'BSE - SENSEX Index Options'!$H:$H,"Weekly*")+SUMIFS('BSE - SENSEX Index Options'!$L:$L,'BSE - SENSEX Index Options'!$C:$C,$A216,'BSE - SENSEX Index Options'!$B:$B,B$147,'BSE - SENSEX Index Options'!$H:$H,"MDAW*")+SUMIFS('BSE - Other Index Options'!$L:$L,'BSE - Other Index Options'!$C:$C,$A216,'BSE - Other Index Options'!$B:$B,B$147,'BSE - Other Index Options'!$H:$H,"Weekly*")+SUMIFS('BSE - Other Index Options'!$L:$L,'BSE - Other Index Options'!$C:$C,$A216,'BSE - Other Index Options'!$B:$B,B$147,'BSE - Other Index Options'!$H:$H,"MDAW*")=0,"",SUMIFS('BSE - SENSEX Index Options'!$L:$L,'BSE - SENSEX Index Options'!$C:$C,$A216,'BSE - SENSEX Index Options'!$B:$B,B$147,'BSE - SENSEX Index Options'!$H:$H,"Weekly*")+SUMIFS('BSE - SENSEX Index Options'!$L:$L,'BSE - SENSEX Index Options'!$C:$C,$A216,'BSE - SENSEX Index Options'!$B:$B,B$147,'BSE - SENSEX Index Options'!$H:$H,"MDAW*")+SUMIFS('BSE - Other Index Options'!$L:$L,'BSE - Other Index Options'!$C:$C,$A216,'BSE - Other Index Options'!$B:$B,B$147,'BSE - Other Index Options'!$H:$H,"Weekly*")+SUMIFS('BSE - Other Index Options'!$L:$L,'BSE - Other Index Options'!$C:$C,$A216,'BSE - Other Index Options'!$B:$B,B$147,'BSE - Other Index Options'!$H:$H,"MDAW*"))</f>
        <v/>
      </c>
      <c r="C216" s="26" t="str">
        <f>IF(SUMIFS('BSE - SENSEX Index Options'!$L:$L,'BSE - SENSEX Index Options'!$C:$C,$A216,'BSE - SENSEX Index Options'!$B:$B,C$147,'BSE - SENSEX Index Options'!$H:$H,"Weekly*")+SUMIFS('BSE - SENSEX Index Options'!$L:$L,'BSE - SENSEX Index Options'!$C:$C,$A216,'BSE - SENSEX Index Options'!$B:$B,C$147,'BSE - SENSEX Index Options'!$H:$H,"MDAW*")+SUMIFS('BSE - Other Index Options'!$L:$L,'BSE - Other Index Options'!$C:$C,$A216,'BSE - Other Index Options'!$B:$B,C$147,'BSE - Other Index Options'!$H:$H,"Weekly*")+SUMIFS('BSE - Other Index Options'!$L:$L,'BSE - Other Index Options'!$C:$C,$A216,'BSE - Other Index Options'!$B:$B,C$147,'BSE - Other Index Options'!$H:$H,"MDAW*")=0,"",SUMIFS('BSE - SENSEX Index Options'!$L:$L,'BSE - SENSEX Index Options'!$C:$C,$A216,'BSE - SENSEX Index Options'!$B:$B,C$147,'BSE - SENSEX Index Options'!$H:$H,"Weekly*")+SUMIFS('BSE - SENSEX Index Options'!$L:$L,'BSE - SENSEX Index Options'!$C:$C,$A216,'BSE - SENSEX Index Options'!$B:$B,C$147,'BSE - SENSEX Index Options'!$H:$H,"MDAW*")+SUMIFS('BSE - Other Index Options'!$L:$L,'BSE - Other Index Options'!$C:$C,$A216,'BSE - Other Index Options'!$B:$B,C$147,'BSE - Other Index Options'!$H:$H,"Weekly*")+SUMIFS('BSE - Other Index Options'!$L:$L,'BSE - Other Index Options'!$C:$C,$A216,'BSE - Other Index Options'!$B:$B,C$147,'BSE - Other Index Options'!$H:$H,"MDAW*"))</f>
        <v/>
      </c>
      <c r="D216" s="26" t="str">
        <f>IF(SUMIFS('BSE - SENSEX Index Options'!$L:$L,'BSE - SENSEX Index Options'!$C:$C,$A216,'BSE - SENSEX Index Options'!$B:$B,D$147,'BSE - SENSEX Index Options'!$H:$H,"Weekly*")+SUMIFS('BSE - SENSEX Index Options'!$L:$L,'BSE - SENSEX Index Options'!$C:$C,$A216,'BSE - SENSEX Index Options'!$B:$B,D$147,'BSE - SENSEX Index Options'!$H:$H,"MDAW*")+SUMIFS('BSE - Other Index Options'!$L:$L,'BSE - Other Index Options'!$C:$C,$A216,'BSE - Other Index Options'!$B:$B,D$147,'BSE - Other Index Options'!$H:$H,"Weekly*")+SUMIFS('BSE - Other Index Options'!$L:$L,'BSE - Other Index Options'!$C:$C,$A216,'BSE - Other Index Options'!$B:$B,D$147,'BSE - Other Index Options'!$H:$H,"MDAW*")=0,"",SUMIFS('BSE - SENSEX Index Options'!$L:$L,'BSE - SENSEX Index Options'!$C:$C,$A216,'BSE - SENSEX Index Options'!$B:$B,D$147,'BSE - SENSEX Index Options'!$H:$H,"Weekly*")+SUMIFS('BSE - SENSEX Index Options'!$L:$L,'BSE - SENSEX Index Options'!$C:$C,$A216,'BSE - SENSEX Index Options'!$B:$B,D$147,'BSE - SENSEX Index Options'!$H:$H,"MDAW*")+SUMIFS('BSE - Other Index Options'!$L:$L,'BSE - Other Index Options'!$C:$C,$A216,'BSE - Other Index Options'!$B:$B,D$147,'BSE - Other Index Options'!$H:$H,"Weekly*")+SUMIFS('BSE - Other Index Options'!$L:$L,'BSE - Other Index Options'!$C:$C,$A216,'BSE - Other Index Options'!$B:$B,D$147,'BSE - Other Index Options'!$H:$H,"MDAW*"))</f>
        <v/>
      </c>
      <c r="E216" s="26" t="str">
        <f>IF(SUMIFS('BSE - SENSEX Index Options'!$L:$L,'BSE - SENSEX Index Options'!$C:$C,$A216,'BSE - SENSEX Index Options'!$B:$B,E$147,'BSE - SENSEX Index Options'!$H:$H,"Weekly*")+SUMIFS('BSE - SENSEX Index Options'!$L:$L,'BSE - SENSEX Index Options'!$C:$C,$A216,'BSE - SENSEX Index Options'!$B:$B,E$147,'BSE - SENSEX Index Options'!$H:$H,"MDAW*")+SUMIFS('BSE - Other Index Options'!$L:$L,'BSE - Other Index Options'!$C:$C,$A216,'BSE - Other Index Options'!$B:$B,E$147,'BSE - Other Index Options'!$H:$H,"Weekly*")+SUMIFS('BSE - Other Index Options'!$L:$L,'BSE - Other Index Options'!$C:$C,$A216,'BSE - Other Index Options'!$B:$B,E$147,'BSE - Other Index Options'!$H:$H,"MDAW*")=0,"",SUMIFS('BSE - SENSEX Index Options'!$L:$L,'BSE - SENSEX Index Options'!$C:$C,$A216,'BSE - SENSEX Index Options'!$B:$B,E$147,'BSE - SENSEX Index Options'!$H:$H,"Weekly*")+SUMIFS('BSE - SENSEX Index Options'!$L:$L,'BSE - SENSEX Index Options'!$C:$C,$A216,'BSE - SENSEX Index Options'!$B:$B,E$147,'BSE - SENSEX Index Options'!$H:$H,"MDAW*")+SUMIFS('BSE - Other Index Options'!$L:$L,'BSE - Other Index Options'!$C:$C,$A216,'BSE - Other Index Options'!$B:$B,E$147,'BSE - Other Index Options'!$H:$H,"Weekly*")+SUMIFS('BSE - Other Index Options'!$L:$L,'BSE - Other Index Options'!$C:$C,$A216,'BSE - Other Index Options'!$B:$B,E$147,'BSE - Other Index Options'!$H:$H,"MDAW*"))</f>
        <v/>
      </c>
      <c r="F216" s="26" t="str">
        <f>IF(SUMIFS('BSE - SENSEX Index Options'!$L:$L,'BSE - SENSEX Index Options'!$C:$C,$A216,'BSE - SENSEX Index Options'!$B:$B,F$147,'BSE - SENSEX Index Options'!$H:$H,"Weekly*")+SUMIFS('BSE - SENSEX Index Options'!$L:$L,'BSE - SENSEX Index Options'!$C:$C,$A216,'BSE - SENSEX Index Options'!$B:$B,F$147,'BSE - SENSEX Index Options'!$H:$H,"MDAW*")+SUMIFS('BSE - Other Index Options'!$L:$L,'BSE - Other Index Options'!$C:$C,$A216,'BSE - Other Index Options'!$B:$B,F$147,'BSE - Other Index Options'!$H:$H,"Weekly*")+SUMIFS('BSE - Other Index Options'!$L:$L,'BSE - Other Index Options'!$C:$C,$A216,'BSE - Other Index Options'!$B:$B,F$147,'BSE - Other Index Options'!$H:$H,"MDAW*")=0,"",SUMIFS('BSE - SENSEX Index Options'!$L:$L,'BSE - SENSEX Index Options'!$C:$C,$A216,'BSE - SENSEX Index Options'!$B:$B,F$147,'BSE - SENSEX Index Options'!$H:$H,"Weekly*")+SUMIFS('BSE - SENSEX Index Options'!$L:$L,'BSE - SENSEX Index Options'!$C:$C,$A216,'BSE - SENSEX Index Options'!$B:$B,F$147,'BSE - SENSEX Index Options'!$H:$H,"MDAW*")+SUMIFS('BSE - Other Index Options'!$L:$L,'BSE - Other Index Options'!$C:$C,$A216,'BSE - Other Index Options'!$B:$B,F$147,'BSE - Other Index Options'!$H:$H,"Weekly*")+SUMIFS('BSE - Other Index Options'!$L:$L,'BSE - Other Index Options'!$C:$C,$A216,'BSE - Other Index Options'!$B:$B,F$147,'BSE - Other Index Options'!$H:$H,"MDAW*"))</f>
        <v/>
      </c>
      <c r="G216" s="26" t="str">
        <f>IF(SUMIFS('BSE - SENSEX Index Options'!$L:$L,'BSE - SENSEX Index Options'!$C:$C,$A216,'BSE - SENSEX Index Options'!$B:$B,G$147,'BSE - SENSEX Index Options'!$H:$H,"Weekly*")+SUMIFS('BSE - SENSEX Index Options'!$L:$L,'BSE - SENSEX Index Options'!$C:$C,$A216,'BSE - SENSEX Index Options'!$B:$B,G$147,'BSE - SENSEX Index Options'!$H:$H,"MDAW*")+SUMIFS('BSE - Other Index Options'!$L:$L,'BSE - Other Index Options'!$C:$C,$A216,'BSE - Other Index Options'!$B:$B,G$147,'BSE - Other Index Options'!$H:$H,"Weekly*")+SUMIFS('BSE - Other Index Options'!$L:$L,'BSE - Other Index Options'!$C:$C,$A216,'BSE - Other Index Options'!$B:$B,G$147,'BSE - Other Index Options'!$H:$H,"MDAW*")=0,"",SUMIFS('BSE - SENSEX Index Options'!$L:$L,'BSE - SENSEX Index Options'!$C:$C,$A216,'BSE - SENSEX Index Options'!$B:$B,G$147,'BSE - SENSEX Index Options'!$H:$H,"Weekly*")+SUMIFS('BSE - SENSEX Index Options'!$L:$L,'BSE - SENSEX Index Options'!$C:$C,$A216,'BSE - SENSEX Index Options'!$B:$B,G$147,'BSE - SENSEX Index Options'!$H:$H,"MDAW*")+SUMIFS('BSE - Other Index Options'!$L:$L,'BSE - Other Index Options'!$C:$C,$A216,'BSE - Other Index Options'!$B:$B,G$147,'BSE - Other Index Options'!$H:$H,"Weekly*")+SUMIFS('BSE - Other Index Options'!$L:$L,'BSE - Other Index Options'!$C:$C,$A216,'BSE - Other Index Options'!$B:$B,G$147,'BSE - Other Index Options'!$H:$H,"MDAW*"))</f>
        <v/>
      </c>
      <c r="H216" s="26" t="str">
        <f t="shared" si="8"/>
        <v/>
      </c>
    </row>
    <row r="217" spans="1:8" hidden="1" outlineLevel="1">
      <c r="A217" t="s">
        <v>79</v>
      </c>
      <c r="B217" s="26" t="str">
        <f>IF(SUMIFS('BSE - SENSEX Index Options'!$L:$L,'BSE - SENSEX Index Options'!$C:$C,$A217,'BSE - SENSEX Index Options'!$B:$B,B$147,'BSE - SENSEX Index Options'!$H:$H,"Weekly*")+SUMIFS('BSE - SENSEX Index Options'!$L:$L,'BSE - SENSEX Index Options'!$C:$C,$A217,'BSE - SENSEX Index Options'!$B:$B,B$147,'BSE - SENSEX Index Options'!$H:$H,"MDAW*")+SUMIFS('BSE - Other Index Options'!$L:$L,'BSE - Other Index Options'!$C:$C,$A217,'BSE - Other Index Options'!$B:$B,B$147,'BSE - Other Index Options'!$H:$H,"Weekly*")+SUMIFS('BSE - Other Index Options'!$L:$L,'BSE - Other Index Options'!$C:$C,$A217,'BSE - Other Index Options'!$B:$B,B$147,'BSE - Other Index Options'!$H:$H,"MDAW*")=0,"",SUMIFS('BSE - SENSEX Index Options'!$L:$L,'BSE - SENSEX Index Options'!$C:$C,$A217,'BSE - SENSEX Index Options'!$B:$B,B$147,'BSE - SENSEX Index Options'!$H:$H,"Weekly*")+SUMIFS('BSE - SENSEX Index Options'!$L:$L,'BSE - SENSEX Index Options'!$C:$C,$A217,'BSE - SENSEX Index Options'!$B:$B,B$147,'BSE - SENSEX Index Options'!$H:$H,"MDAW*")+SUMIFS('BSE - Other Index Options'!$L:$L,'BSE - Other Index Options'!$C:$C,$A217,'BSE - Other Index Options'!$B:$B,B$147,'BSE - Other Index Options'!$H:$H,"Weekly*")+SUMIFS('BSE - Other Index Options'!$L:$L,'BSE - Other Index Options'!$C:$C,$A217,'BSE - Other Index Options'!$B:$B,B$147,'BSE - Other Index Options'!$H:$H,"MDAW*"))</f>
        <v/>
      </c>
      <c r="C217" s="26" t="str">
        <f>IF(SUMIFS('BSE - SENSEX Index Options'!$L:$L,'BSE - SENSEX Index Options'!$C:$C,$A217,'BSE - SENSEX Index Options'!$B:$B,C$147,'BSE - SENSEX Index Options'!$H:$H,"Weekly*")+SUMIFS('BSE - SENSEX Index Options'!$L:$L,'BSE - SENSEX Index Options'!$C:$C,$A217,'BSE - SENSEX Index Options'!$B:$B,C$147,'BSE - SENSEX Index Options'!$H:$H,"MDAW*")+SUMIFS('BSE - Other Index Options'!$L:$L,'BSE - Other Index Options'!$C:$C,$A217,'BSE - Other Index Options'!$B:$B,C$147,'BSE - Other Index Options'!$H:$H,"Weekly*")+SUMIFS('BSE - Other Index Options'!$L:$L,'BSE - Other Index Options'!$C:$C,$A217,'BSE - Other Index Options'!$B:$B,C$147,'BSE - Other Index Options'!$H:$H,"MDAW*")=0,"",SUMIFS('BSE - SENSEX Index Options'!$L:$L,'BSE - SENSEX Index Options'!$C:$C,$A217,'BSE - SENSEX Index Options'!$B:$B,C$147,'BSE - SENSEX Index Options'!$H:$H,"Weekly*")+SUMIFS('BSE - SENSEX Index Options'!$L:$L,'BSE - SENSEX Index Options'!$C:$C,$A217,'BSE - SENSEX Index Options'!$B:$B,C$147,'BSE - SENSEX Index Options'!$H:$H,"MDAW*")+SUMIFS('BSE - Other Index Options'!$L:$L,'BSE - Other Index Options'!$C:$C,$A217,'BSE - Other Index Options'!$B:$B,C$147,'BSE - Other Index Options'!$H:$H,"Weekly*")+SUMIFS('BSE - Other Index Options'!$L:$L,'BSE - Other Index Options'!$C:$C,$A217,'BSE - Other Index Options'!$B:$B,C$147,'BSE - Other Index Options'!$H:$H,"MDAW*"))</f>
        <v/>
      </c>
      <c r="D217" s="26" t="str">
        <f>IF(SUMIFS('BSE - SENSEX Index Options'!$L:$L,'BSE - SENSEX Index Options'!$C:$C,$A217,'BSE - SENSEX Index Options'!$B:$B,D$147,'BSE - SENSEX Index Options'!$H:$H,"Weekly*")+SUMIFS('BSE - SENSEX Index Options'!$L:$L,'BSE - SENSEX Index Options'!$C:$C,$A217,'BSE - SENSEX Index Options'!$B:$B,D$147,'BSE - SENSEX Index Options'!$H:$H,"MDAW*")+SUMIFS('BSE - Other Index Options'!$L:$L,'BSE - Other Index Options'!$C:$C,$A217,'BSE - Other Index Options'!$B:$B,D$147,'BSE - Other Index Options'!$H:$H,"Weekly*")+SUMIFS('BSE - Other Index Options'!$L:$L,'BSE - Other Index Options'!$C:$C,$A217,'BSE - Other Index Options'!$B:$B,D$147,'BSE - Other Index Options'!$H:$H,"MDAW*")=0,"",SUMIFS('BSE - SENSEX Index Options'!$L:$L,'BSE - SENSEX Index Options'!$C:$C,$A217,'BSE - SENSEX Index Options'!$B:$B,D$147,'BSE - SENSEX Index Options'!$H:$H,"Weekly*")+SUMIFS('BSE - SENSEX Index Options'!$L:$L,'BSE - SENSEX Index Options'!$C:$C,$A217,'BSE - SENSEX Index Options'!$B:$B,D$147,'BSE - SENSEX Index Options'!$H:$H,"MDAW*")+SUMIFS('BSE - Other Index Options'!$L:$L,'BSE - Other Index Options'!$C:$C,$A217,'BSE - Other Index Options'!$B:$B,D$147,'BSE - Other Index Options'!$H:$H,"Weekly*")+SUMIFS('BSE - Other Index Options'!$L:$L,'BSE - Other Index Options'!$C:$C,$A217,'BSE - Other Index Options'!$B:$B,D$147,'BSE - Other Index Options'!$H:$H,"MDAW*"))</f>
        <v/>
      </c>
      <c r="E217" s="26" t="str">
        <f>IF(SUMIFS('BSE - SENSEX Index Options'!$L:$L,'BSE - SENSEX Index Options'!$C:$C,$A217,'BSE - SENSEX Index Options'!$B:$B,E$147,'BSE - SENSEX Index Options'!$H:$H,"Weekly*")+SUMIFS('BSE - SENSEX Index Options'!$L:$L,'BSE - SENSEX Index Options'!$C:$C,$A217,'BSE - SENSEX Index Options'!$B:$B,E$147,'BSE - SENSEX Index Options'!$H:$H,"MDAW*")+SUMIFS('BSE - Other Index Options'!$L:$L,'BSE - Other Index Options'!$C:$C,$A217,'BSE - Other Index Options'!$B:$B,E$147,'BSE - Other Index Options'!$H:$H,"Weekly*")+SUMIFS('BSE - Other Index Options'!$L:$L,'BSE - Other Index Options'!$C:$C,$A217,'BSE - Other Index Options'!$B:$B,E$147,'BSE - Other Index Options'!$H:$H,"MDAW*")=0,"",SUMIFS('BSE - SENSEX Index Options'!$L:$L,'BSE - SENSEX Index Options'!$C:$C,$A217,'BSE - SENSEX Index Options'!$B:$B,E$147,'BSE - SENSEX Index Options'!$H:$H,"Weekly*")+SUMIFS('BSE - SENSEX Index Options'!$L:$L,'BSE - SENSEX Index Options'!$C:$C,$A217,'BSE - SENSEX Index Options'!$B:$B,E$147,'BSE - SENSEX Index Options'!$H:$H,"MDAW*")+SUMIFS('BSE - Other Index Options'!$L:$L,'BSE - Other Index Options'!$C:$C,$A217,'BSE - Other Index Options'!$B:$B,E$147,'BSE - Other Index Options'!$H:$H,"Weekly*")+SUMIFS('BSE - Other Index Options'!$L:$L,'BSE - Other Index Options'!$C:$C,$A217,'BSE - Other Index Options'!$B:$B,E$147,'BSE - Other Index Options'!$H:$H,"MDAW*"))</f>
        <v/>
      </c>
      <c r="F217" s="26" t="str">
        <f>IF(SUMIFS('BSE - SENSEX Index Options'!$L:$L,'BSE - SENSEX Index Options'!$C:$C,$A217,'BSE - SENSEX Index Options'!$B:$B,F$147,'BSE - SENSEX Index Options'!$H:$H,"Weekly*")+SUMIFS('BSE - SENSEX Index Options'!$L:$L,'BSE - SENSEX Index Options'!$C:$C,$A217,'BSE - SENSEX Index Options'!$B:$B,F$147,'BSE - SENSEX Index Options'!$H:$H,"MDAW*")+SUMIFS('BSE - Other Index Options'!$L:$L,'BSE - Other Index Options'!$C:$C,$A217,'BSE - Other Index Options'!$B:$B,F$147,'BSE - Other Index Options'!$H:$H,"Weekly*")+SUMIFS('BSE - Other Index Options'!$L:$L,'BSE - Other Index Options'!$C:$C,$A217,'BSE - Other Index Options'!$B:$B,F$147,'BSE - Other Index Options'!$H:$H,"MDAW*")=0,"",SUMIFS('BSE - SENSEX Index Options'!$L:$L,'BSE - SENSEX Index Options'!$C:$C,$A217,'BSE - SENSEX Index Options'!$B:$B,F$147,'BSE - SENSEX Index Options'!$H:$H,"Weekly*")+SUMIFS('BSE - SENSEX Index Options'!$L:$L,'BSE - SENSEX Index Options'!$C:$C,$A217,'BSE - SENSEX Index Options'!$B:$B,F$147,'BSE - SENSEX Index Options'!$H:$H,"MDAW*")+SUMIFS('BSE - Other Index Options'!$L:$L,'BSE - Other Index Options'!$C:$C,$A217,'BSE - Other Index Options'!$B:$B,F$147,'BSE - Other Index Options'!$H:$H,"Weekly*")+SUMIFS('BSE - Other Index Options'!$L:$L,'BSE - Other Index Options'!$C:$C,$A217,'BSE - Other Index Options'!$B:$B,F$147,'BSE - Other Index Options'!$H:$H,"MDAW*"))</f>
        <v/>
      </c>
      <c r="G217" s="26" t="str">
        <f>IF(SUMIFS('BSE - SENSEX Index Options'!$L:$L,'BSE - SENSEX Index Options'!$C:$C,$A217,'BSE - SENSEX Index Options'!$B:$B,G$147,'BSE - SENSEX Index Options'!$H:$H,"Weekly*")+SUMIFS('BSE - SENSEX Index Options'!$L:$L,'BSE - SENSEX Index Options'!$C:$C,$A217,'BSE - SENSEX Index Options'!$B:$B,G$147,'BSE - SENSEX Index Options'!$H:$H,"MDAW*")+SUMIFS('BSE - Other Index Options'!$L:$L,'BSE - Other Index Options'!$C:$C,$A217,'BSE - Other Index Options'!$B:$B,G$147,'BSE - Other Index Options'!$H:$H,"Weekly*")+SUMIFS('BSE - Other Index Options'!$L:$L,'BSE - Other Index Options'!$C:$C,$A217,'BSE - Other Index Options'!$B:$B,G$147,'BSE - Other Index Options'!$H:$H,"MDAW*")=0,"",SUMIFS('BSE - SENSEX Index Options'!$L:$L,'BSE - SENSEX Index Options'!$C:$C,$A217,'BSE - SENSEX Index Options'!$B:$B,G$147,'BSE - SENSEX Index Options'!$H:$H,"Weekly*")+SUMIFS('BSE - SENSEX Index Options'!$L:$L,'BSE - SENSEX Index Options'!$C:$C,$A217,'BSE - SENSEX Index Options'!$B:$B,G$147,'BSE - SENSEX Index Options'!$H:$H,"MDAW*")+SUMIFS('BSE - Other Index Options'!$L:$L,'BSE - Other Index Options'!$C:$C,$A217,'BSE - Other Index Options'!$B:$B,G$147,'BSE - Other Index Options'!$H:$H,"Weekly*")+SUMIFS('BSE - Other Index Options'!$L:$L,'BSE - Other Index Options'!$C:$C,$A217,'BSE - Other Index Options'!$B:$B,G$147,'BSE - Other Index Options'!$H:$H,"MDAW*"))</f>
        <v/>
      </c>
      <c r="H217" s="26" t="str">
        <f t="shared" si="8"/>
        <v/>
      </c>
    </row>
    <row r="218" spans="1:8" hidden="1" outlineLevel="1">
      <c r="A218" t="s">
        <v>80</v>
      </c>
      <c r="B218" s="26" t="str">
        <f>IF(SUMIFS('BSE - SENSEX Index Options'!$L:$L,'BSE - SENSEX Index Options'!$C:$C,$A218,'BSE - SENSEX Index Options'!$B:$B,B$147,'BSE - SENSEX Index Options'!$H:$H,"Weekly*")+SUMIFS('BSE - SENSEX Index Options'!$L:$L,'BSE - SENSEX Index Options'!$C:$C,$A218,'BSE - SENSEX Index Options'!$B:$B,B$147,'BSE - SENSEX Index Options'!$H:$H,"MDAW*")+SUMIFS('BSE - Other Index Options'!$L:$L,'BSE - Other Index Options'!$C:$C,$A218,'BSE - Other Index Options'!$B:$B,B$147,'BSE - Other Index Options'!$H:$H,"Weekly*")+SUMIFS('BSE - Other Index Options'!$L:$L,'BSE - Other Index Options'!$C:$C,$A218,'BSE - Other Index Options'!$B:$B,B$147,'BSE - Other Index Options'!$H:$H,"MDAW*")=0,"",SUMIFS('BSE - SENSEX Index Options'!$L:$L,'BSE - SENSEX Index Options'!$C:$C,$A218,'BSE - SENSEX Index Options'!$B:$B,B$147,'BSE - SENSEX Index Options'!$H:$H,"Weekly*")+SUMIFS('BSE - SENSEX Index Options'!$L:$L,'BSE - SENSEX Index Options'!$C:$C,$A218,'BSE - SENSEX Index Options'!$B:$B,B$147,'BSE - SENSEX Index Options'!$H:$H,"MDAW*")+SUMIFS('BSE - Other Index Options'!$L:$L,'BSE - Other Index Options'!$C:$C,$A218,'BSE - Other Index Options'!$B:$B,B$147,'BSE - Other Index Options'!$H:$H,"Weekly*")+SUMIFS('BSE - Other Index Options'!$L:$L,'BSE - Other Index Options'!$C:$C,$A218,'BSE - Other Index Options'!$B:$B,B$147,'BSE - Other Index Options'!$H:$H,"MDAW*"))</f>
        <v/>
      </c>
      <c r="C218" s="26" t="str">
        <f>IF(SUMIFS('BSE - SENSEX Index Options'!$L:$L,'BSE - SENSEX Index Options'!$C:$C,$A218,'BSE - SENSEX Index Options'!$B:$B,C$147,'BSE - SENSEX Index Options'!$H:$H,"Weekly*")+SUMIFS('BSE - SENSEX Index Options'!$L:$L,'BSE - SENSEX Index Options'!$C:$C,$A218,'BSE - SENSEX Index Options'!$B:$B,C$147,'BSE - SENSEX Index Options'!$H:$H,"MDAW*")+SUMIFS('BSE - Other Index Options'!$L:$L,'BSE - Other Index Options'!$C:$C,$A218,'BSE - Other Index Options'!$B:$B,C$147,'BSE - Other Index Options'!$H:$H,"Weekly*")+SUMIFS('BSE - Other Index Options'!$L:$L,'BSE - Other Index Options'!$C:$C,$A218,'BSE - Other Index Options'!$B:$B,C$147,'BSE - Other Index Options'!$H:$H,"MDAW*")=0,"",SUMIFS('BSE - SENSEX Index Options'!$L:$L,'BSE - SENSEX Index Options'!$C:$C,$A218,'BSE - SENSEX Index Options'!$B:$B,C$147,'BSE - SENSEX Index Options'!$H:$H,"Weekly*")+SUMIFS('BSE - SENSEX Index Options'!$L:$L,'BSE - SENSEX Index Options'!$C:$C,$A218,'BSE - SENSEX Index Options'!$B:$B,C$147,'BSE - SENSEX Index Options'!$H:$H,"MDAW*")+SUMIFS('BSE - Other Index Options'!$L:$L,'BSE - Other Index Options'!$C:$C,$A218,'BSE - Other Index Options'!$B:$B,C$147,'BSE - Other Index Options'!$H:$H,"Weekly*")+SUMIFS('BSE - Other Index Options'!$L:$L,'BSE - Other Index Options'!$C:$C,$A218,'BSE - Other Index Options'!$B:$B,C$147,'BSE - Other Index Options'!$H:$H,"MDAW*"))</f>
        <v/>
      </c>
      <c r="D218" s="26" t="str">
        <f>IF(SUMIFS('BSE - SENSEX Index Options'!$L:$L,'BSE - SENSEX Index Options'!$C:$C,$A218,'BSE - SENSEX Index Options'!$B:$B,D$147,'BSE - SENSEX Index Options'!$H:$H,"Weekly*")+SUMIFS('BSE - SENSEX Index Options'!$L:$L,'BSE - SENSEX Index Options'!$C:$C,$A218,'BSE - SENSEX Index Options'!$B:$B,D$147,'BSE - SENSEX Index Options'!$H:$H,"MDAW*")+SUMIFS('BSE - Other Index Options'!$L:$L,'BSE - Other Index Options'!$C:$C,$A218,'BSE - Other Index Options'!$B:$B,D$147,'BSE - Other Index Options'!$H:$H,"Weekly*")+SUMIFS('BSE - Other Index Options'!$L:$L,'BSE - Other Index Options'!$C:$C,$A218,'BSE - Other Index Options'!$B:$B,D$147,'BSE - Other Index Options'!$H:$H,"MDAW*")=0,"",SUMIFS('BSE - SENSEX Index Options'!$L:$L,'BSE - SENSEX Index Options'!$C:$C,$A218,'BSE - SENSEX Index Options'!$B:$B,D$147,'BSE - SENSEX Index Options'!$H:$H,"Weekly*")+SUMIFS('BSE - SENSEX Index Options'!$L:$L,'BSE - SENSEX Index Options'!$C:$C,$A218,'BSE - SENSEX Index Options'!$B:$B,D$147,'BSE - SENSEX Index Options'!$H:$H,"MDAW*")+SUMIFS('BSE - Other Index Options'!$L:$L,'BSE - Other Index Options'!$C:$C,$A218,'BSE - Other Index Options'!$B:$B,D$147,'BSE - Other Index Options'!$H:$H,"Weekly*")+SUMIFS('BSE - Other Index Options'!$L:$L,'BSE - Other Index Options'!$C:$C,$A218,'BSE - Other Index Options'!$B:$B,D$147,'BSE - Other Index Options'!$H:$H,"MDAW*"))</f>
        <v/>
      </c>
      <c r="E218" s="26" t="str">
        <f>IF(SUMIFS('BSE - SENSEX Index Options'!$L:$L,'BSE - SENSEX Index Options'!$C:$C,$A218,'BSE - SENSEX Index Options'!$B:$B,E$147,'BSE - SENSEX Index Options'!$H:$H,"Weekly*")+SUMIFS('BSE - SENSEX Index Options'!$L:$L,'BSE - SENSEX Index Options'!$C:$C,$A218,'BSE - SENSEX Index Options'!$B:$B,E$147,'BSE - SENSEX Index Options'!$H:$H,"MDAW*")+SUMIFS('BSE - Other Index Options'!$L:$L,'BSE - Other Index Options'!$C:$C,$A218,'BSE - Other Index Options'!$B:$B,E$147,'BSE - Other Index Options'!$H:$H,"Weekly*")+SUMIFS('BSE - Other Index Options'!$L:$L,'BSE - Other Index Options'!$C:$C,$A218,'BSE - Other Index Options'!$B:$B,E$147,'BSE - Other Index Options'!$H:$H,"MDAW*")=0,"",SUMIFS('BSE - SENSEX Index Options'!$L:$L,'BSE - SENSEX Index Options'!$C:$C,$A218,'BSE - SENSEX Index Options'!$B:$B,E$147,'BSE - SENSEX Index Options'!$H:$H,"Weekly*")+SUMIFS('BSE - SENSEX Index Options'!$L:$L,'BSE - SENSEX Index Options'!$C:$C,$A218,'BSE - SENSEX Index Options'!$B:$B,E$147,'BSE - SENSEX Index Options'!$H:$H,"MDAW*")+SUMIFS('BSE - Other Index Options'!$L:$L,'BSE - Other Index Options'!$C:$C,$A218,'BSE - Other Index Options'!$B:$B,E$147,'BSE - Other Index Options'!$H:$H,"Weekly*")+SUMIFS('BSE - Other Index Options'!$L:$L,'BSE - Other Index Options'!$C:$C,$A218,'BSE - Other Index Options'!$B:$B,E$147,'BSE - Other Index Options'!$H:$H,"MDAW*"))</f>
        <v/>
      </c>
      <c r="F218" s="26" t="str">
        <f>IF(SUMIFS('BSE - SENSEX Index Options'!$L:$L,'BSE - SENSEX Index Options'!$C:$C,$A218,'BSE - SENSEX Index Options'!$B:$B,F$147,'BSE - SENSEX Index Options'!$H:$H,"Weekly*")+SUMIFS('BSE - SENSEX Index Options'!$L:$L,'BSE - SENSEX Index Options'!$C:$C,$A218,'BSE - SENSEX Index Options'!$B:$B,F$147,'BSE - SENSEX Index Options'!$H:$H,"MDAW*")+SUMIFS('BSE - Other Index Options'!$L:$L,'BSE - Other Index Options'!$C:$C,$A218,'BSE - Other Index Options'!$B:$B,F$147,'BSE - Other Index Options'!$H:$H,"Weekly*")+SUMIFS('BSE - Other Index Options'!$L:$L,'BSE - Other Index Options'!$C:$C,$A218,'BSE - Other Index Options'!$B:$B,F$147,'BSE - Other Index Options'!$H:$H,"MDAW*")=0,"",SUMIFS('BSE - SENSEX Index Options'!$L:$L,'BSE - SENSEX Index Options'!$C:$C,$A218,'BSE - SENSEX Index Options'!$B:$B,F$147,'BSE - SENSEX Index Options'!$H:$H,"Weekly*")+SUMIFS('BSE - SENSEX Index Options'!$L:$L,'BSE - SENSEX Index Options'!$C:$C,$A218,'BSE - SENSEX Index Options'!$B:$B,F$147,'BSE - SENSEX Index Options'!$H:$H,"MDAW*")+SUMIFS('BSE - Other Index Options'!$L:$L,'BSE - Other Index Options'!$C:$C,$A218,'BSE - Other Index Options'!$B:$B,F$147,'BSE - Other Index Options'!$H:$H,"Weekly*")+SUMIFS('BSE - Other Index Options'!$L:$L,'BSE - Other Index Options'!$C:$C,$A218,'BSE - Other Index Options'!$B:$B,F$147,'BSE - Other Index Options'!$H:$H,"MDAW*"))</f>
        <v/>
      </c>
      <c r="G218" s="26" t="str">
        <f>IF(SUMIFS('BSE - SENSEX Index Options'!$L:$L,'BSE - SENSEX Index Options'!$C:$C,$A218,'BSE - SENSEX Index Options'!$B:$B,G$147,'BSE - SENSEX Index Options'!$H:$H,"Weekly*")+SUMIFS('BSE - SENSEX Index Options'!$L:$L,'BSE - SENSEX Index Options'!$C:$C,$A218,'BSE - SENSEX Index Options'!$B:$B,G$147,'BSE - SENSEX Index Options'!$H:$H,"MDAW*")+SUMIFS('BSE - Other Index Options'!$L:$L,'BSE - Other Index Options'!$C:$C,$A218,'BSE - Other Index Options'!$B:$B,G$147,'BSE - Other Index Options'!$H:$H,"Weekly*")+SUMIFS('BSE - Other Index Options'!$L:$L,'BSE - Other Index Options'!$C:$C,$A218,'BSE - Other Index Options'!$B:$B,G$147,'BSE - Other Index Options'!$H:$H,"MDAW*")=0,"",SUMIFS('BSE - SENSEX Index Options'!$L:$L,'BSE - SENSEX Index Options'!$C:$C,$A218,'BSE - SENSEX Index Options'!$B:$B,G$147,'BSE - SENSEX Index Options'!$H:$H,"Weekly*")+SUMIFS('BSE - SENSEX Index Options'!$L:$L,'BSE - SENSEX Index Options'!$C:$C,$A218,'BSE - SENSEX Index Options'!$B:$B,G$147,'BSE - SENSEX Index Options'!$H:$H,"MDAW*")+SUMIFS('BSE - Other Index Options'!$L:$L,'BSE - Other Index Options'!$C:$C,$A218,'BSE - Other Index Options'!$B:$B,G$147,'BSE - Other Index Options'!$H:$H,"Weekly*")+SUMIFS('BSE - Other Index Options'!$L:$L,'BSE - Other Index Options'!$C:$C,$A218,'BSE - Other Index Options'!$B:$B,G$147,'BSE - Other Index Options'!$H:$H,"MDAW*"))</f>
        <v/>
      </c>
      <c r="H218" s="26" t="str">
        <f t="shared" si="8"/>
        <v/>
      </c>
    </row>
    <row r="219" spans="1:8" hidden="1" outlineLevel="1">
      <c r="A219" t="s">
        <v>81</v>
      </c>
      <c r="B219" s="26" t="str">
        <f>IF(SUMIFS('BSE - SENSEX Index Options'!$L:$L,'BSE - SENSEX Index Options'!$C:$C,$A219,'BSE - SENSEX Index Options'!$B:$B,B$147,'BSE - SENSEX Index Options'!$H:$H,"Weekly*")+SUMIFS('BSE - SENSEX Index Options'!$L:$L,'BSE - SENSEX Index Options'!$C:$C,$A219,'BSE - SENSEX Index Options'!$B:$B,B$147,'BSE - SENSEX Index Options'!$H:$H,"MDAW*")+SUMIFS('BSE - Other Index Options'!$L:$L,'BSE - Other Index Options'!$C:$C,$A219,'BSE - Other Index Options'!$B:$B,B$147,'BSE - Other Index Options'!$H:$H,"Weekly*")+SUMIFS('BSE - Other Index Options'!$L:$L,'BSE - Other Index Options'!$C:$C,$A219,'BSE - Other Index Options'!$B:$B,B$147,'BSE - Other Index Options'!$H:$H,"MDAW*")=0,"",SUMIFS('BSE - SENSEX Index Options'!$L:$L,'BSE - SENSEX Index Options'!$C:$C,$A219,'BSE - SENSEX Index Options'!$B:$B,B$147,'BSE - SENSEX Index Options'!$H:$H,"Weekly*")+SUMIFS('BSE - SENSEX Index Options'!$L:$L,'BSE - SENSEX Index Options'!$C:$C,$A219,'BSE - SENSEX Index Options'!$B:$B,B$147,'BSE - SENSEX Index Options'!$H:$H,"MDAW*")+SUMIFS('BSE - Other Index Options'!$L:$L,'BSE - Other Index Options'!$C:$C,$A219,'BSE - Other Index Options'!$B:$B,B$147,'BSE - Other Index Options'!$H:$H,"Weekly*")+SUMIFS('BSE - Other Index Options'!$L:$L,'BSE - Other Index Options'!$C:$C,$A219,'BSE - Other Index Options'!$B:$B,B$147,'BSE - Other Index Options'!$H:$H,"MDAW*"))</f>
        <v/>
      </c>
      <c r="C219" s="26" t="str">
        <f>IF(SUMIFS('BSE - SENSEX Index Options'!$L:$L,'BSE - SENSEX Index Options'!$C:$C,$A219,'BSE - SENSEX Index Options'!$B:$B,C$147,'BSE - SENSEX Index Options'!$H:$H,"Weekly*")+SUMIFS('BSE - SENSEX Index Options'!$L:$L,'BSE - SENSEX Index Options'!$C:$C,$A219,'BSE - SENSEX Index Options'!$B:$B,C$147,'BSE - SENSEX Index Options'!$H:$H,"MDAW*")+SUMIFS('BSE - Other Index Options'!$L:$L,'BSE - Other Index Options'!$C:$C,$A219,'BSE - Other Index Options'!$B:$B,C$147,'BSE - Other Index Options'!$H:$H,"Weekly*")+SUMIFS('BSE - Other Index Options'!$L:$L,'BSE - Other Index Options'!$C:$C,$A219,'BSE - Other Index Options'!$B:$B,C$147,'BSE - Other Index Options'!$H:$H,"MDAW*")=0,"",SUMIFS('BSE - SENSEX Index Options'!$L:$L,'BSE - SENSEX Index Options'!$C:$C,$A219,'BSE - SENSEX Index Options'!$B:$B,C$147,'BSE - SENSEX Index Options'!$H:$H,"Weekly*")+SUMIFS('BSE - SENSEX Index Options'!$L:$L,'BSE - SENSEX Index Options'!$C:$C,$A219,'BSE - SENSEX Index Options'!$B:$B,C$147,'BSE - SENSEX Index Options'!$H:$H,"MDAW*")+SUMIFS('BSE - Other Index Options'!$L:$L,'BSE - Other Index Options'!$C:$C,$A219,'BSE - Other Index Options'!$B:$B,C$147,'BSE - Other Index Options'!$H:$H,"Weekly*")+SUMIFS('BSE - Other Index Options'!$L:$L,'BSE - Other Index Options'!$C:$C,$A219,'BSE - Other Index Options'!$B:$B,C$147,'BSE - Other Index Options'!$H:$H,"MDAW*"))</f>
        <v/>
      </c>
      <c r="D219" s="26" t="str">
        <f>IF(SUMIFS('BSE - SENSEX Index Options'!$L:$L,'BSE - SENSEX Index Options'!$C:$C,$A219,'BSE - SENSEX Index Options'!$B:$B,D$147,'BSE - SENSEX Index Options'!$H:$H,"Weekly*")+SUMIFS('BSE - SENSEX Index Options'!$L:$L,'BSE - SENSEX Index Options'!$C:$C,$A219,'BSE - SENSEX Index Options'!$B:$B,D$147,'BSE - SENSEX Index Options'!$H:$H,"MDAW*")+SUMIFS('BSE - Other Index Options'!$L:$L,'BSE - Other Index Options'!$C:$C,$A219,'BSE - Other Index Options'!$B:$B,D$147,'BSE - Other Index Options'!$H:$H,"Weekly*")+SUMIFS('BSE - Other Index Options'!$L:$L,'BSE - Other Index Options'!$C:$C,$A219,'BSE - Other Index Options'!$B:$B,D$147,'BSE - Other Index Options'!$H:$H,"MDAW*")=0,"",SUMIFS('BSE - SENSEX Index Options'!$L:$L,'BSE - SENSEX Index Options'!$C:$C,$A219,'BSE - SENSEX Index Options'!$B:$B,D$147,'BSE - SENSEX Index Options'!$H:$H,"Weekly*")+SUMIFS('BSE - SENSEX Index Options'!$L:$L,'BSE - SENSEX Index Options'!$C:$C,$A219,'BSE - SENSEX Index Options'!$B:$B,D$147,'BSE - SENSEX Index Options'!$H:$H,"MDAW*")+SUMIFS('BSE - Other Index Options'!$L:$L,'BSE - Other Index Options'!$C:$C,$A219,'BSE - Other Index Options'!$B:$B,D$147,'BSE - Other Index Options'!$H:$H,"Weekly*")+SUMIFS('BSE - Other Index Options'!$L:$L,'BSE - Other Index Options'!$C:$C,$A219,'BSE - Other Index Options'!$B:$B,D$147,'BSE - Other Index Options'!$H:$H,"MDAW*"))</f>
        <v/>
      </c>
      <c r="E219" s="26" t="str">
        <f>IF(SUMIFS('BSE - SENSEX Index Options'!$L:$L,'BSE - SENSEX Index Options'!$C:$C,$A219,'BSE - SENSEX Index Options'!$B:$B,E$147,'BSE - SENSEX Index Options'!$H:$H,"Weekly*")+SUMIFS('BSE - SENSEX Index Options'!$L:$L,'BSE - SENSEX Index Options'!$C:$C,$A219,'BSE - SENSEX Index Options'!$B:$B,E$147,'BSE - SENSEX Index Options'!$H:$H,"MDAW*")+SUMIFS('BSE - Other Index Options'!$L:$L,'BSE - Other Index Options'!$C:$C,$A219,'BSE - Other Index Options'!$B:$B,E$147,'BSE - Other Index Options'!$H:$H,"Weekly*")+SUMIFS('BSE - Other Index Options'!$L:$L,'BSE - Other Index Options'!$C:$C,$A219,'BSE - Other Index Options'!$B:$B,E$147,'BSE - Other Index Options'!$H:$H,"MDAW*")=0,"",SUMIFS('BSE - SENSEX Index Options'!$L:$L,'BSE - SENSEX Index Options'!$C:$C,$A219,'BSE - SENSEX Index Options'!$B:$B,E$147,'BSE - SENSEX Index Options'!$H:$H,"Weekly*")+SUMIFS('BSE - SENSEX Index Options'!$L:$L,'BSE - SENSEX Index Options'!$C:$C,$A219,'BSE - SENSEX Index Options'!$B:$B,E$147,'BSE - SENSEX Index Options'!$H:$H,"MDAW*")+SUMIFS('BSE - Other Index Options'!$L:$L,'BSE - Other Index Options'!$C:$C,$A219,'BSE - Other Index Options'!$B:$B,E$147,'BSE - Other Index Options'!$H:$H,"Weekly*")+SUMIFS('BSE - Other Index Options'!$L:$L,'BSE - Other Index Options'!$C:$C,$A219,'BSE - Other Index Options'!$B:$B,E$147,'BSE - Other Index Options'!$H:$H,"MDAW*"))</f>
        <v/>
      </c>
      <c r="F219" s="26" t="str">
        <f>IF(SUMIFS('BSE - SENSEX Index Options'!$L:$L,'BSE - SENSEX Index Options'!$C:$C,$A219,'BSE - SENSEX Index Options'!$B:$B,F$147,'BSE - SENSEX Index Options'!$H:$H,"Weekly*")+SUMIFS('BSE - SENSEX Index Options'!$L:$L,'BSE - SENSEX Index Options'!$C:$C,$A219,'BSE - SENSEX Index Options'!$B:$B,F$147,'BSE - SENSEX Index Options'!$H:$H,"MDAW*")+SUMIFS('BSE - Other Index Options'!$L:$L,'BSE - Other Index Options'!$C:$C,$A219,'BSE - Other Index Options'!$B:$B,F$147,'BSE - Other Index Options'!$H:$H,"Weekly*")+SUMIFS('BSE - Other Index Options'!$L:$L,'BSE - Other Index Options'!$C:$C,$A219,'BSE - Other Index Options'!$B:$B,F$147,'BSE - Other Index Options'!$H:$H,"MDAW*")=0,"",SUMIFS('BSE - SENSEX Index Options'!$L:$L,'BSE - SENSEX Index Options'!$C:$C,$A219,'BSE - SENSEX Index Options'!$B:$B,F$147,'BSE - SENSEX Index Options'!$H:$H,"Weekly*")+SUMIFS('BSE - SENSEX Index Options'!$L:$L,'BSE - SENSEX Index Options'!$C:$C,$A219,'BSE - SENSEX Index Options'!$B:$B,F$147,'BSE - SENSEX Index Options'!$H:$H,"MDAW*")+SUMIFS('BSE - Other Index Options'!$L:$L,'BSE - Other Index Options'!$C:$C,$A219,'BSE - Other Index Options'!$B:$B,F$147,'BSE - Other Index Options'!$H:$H,"Weekly*")+SUMIFS('BSE - Other Index Options'!$L:$L,'BSE - Other Index Options'!$C:$C,$A219,'BSE - Other Index Options'!$B:$B,F$147,'BSE - Other Index Options'!$H:$H,"MDAW*"))</f>
        <v/>
      </c>
      <c r="G219" s="26" t="str">
        <f>IF(SUMIFS('BSE - SENSEX Index Options'!$L:$L,'BSE - SENSEX Index Options'!$C:$C,$A219,'BSE - SENSEX Index Options'!$B:$B,G$147,'BSE - SENSEX Index Options'!$H:$H,"Weekly*")+SUMIFS('BSE - SENSEX Index Options'!$L:$L,'BSE - SENSEX Index Options'!$C:$C,$A219,'BSE - SENSEX Index Options'!$B:$B,G$147,'BSE - SENSEX Index Options'!$H:$H,"MDAW*")+SUMIFS('BSE - Other Index Options'!$L:$L,'BSE - Other Index Options'!$C:$C,$A219,'BSE - Other Index Options'!$B:$B,G$147,'BSE - Other Index Options'!$H:$H,"Weekly*")+SUMIFS('BSE - Other Index Options'!$L:$L,'BSE - Other Index Options'!$C:$C,$A219,'BSE - Other Index Options'!$B:$B,G$147,'BSE - Other Index Options'!$H:$H,"MDAW*")=0,"",SUMIFS('BSE - SENSEX Index Options'!$L:$L,'BSE - SENSEX Index Options'!$C:$C,$A219,'BSE - SENSEX Index Options'!$B:$B,G$147,'BSE - SENSEX Index Options'!$H:$H,"Weekly*")+SUMIFS('BSE - SENSEX Index Options'!$L:$L,'BSE - SENSEX Index Options'!$C:$C,$A219,'BSE - SENSEX Index Options'!$B:$B,G$147,'BSE - SENSEX Index Options'!$H:$H,"MDAW*")+SUMIFS('BSE - Other Index Options'!$L:$L,'BSE - Other Index Options'!$C:$C,$A219,'BSE - Other Index Options'!$B:$B,G$147,'BSE - Other Index Options'!$H:$H,"Weekly*")+SUMIFS('BSE - Other Index Options'!$L:$L,'BSE - Other Index Options'!$C:$C,$A219,'BSE - Other Index Options'!$B:$B,G$147,'BSE - Other Index Options'!$H:$H,"MDAW*"))</f>
        <v/>
      </c>
      <c r="H219" s="26" t="str">
        <f t="shared" si="8"/>
        <v/>
      </c>
    </row>
    <row r="220" spans="1:8" hidden="1" outlineLevel="1">
      <c r="A220" t="s">
        <v>82</v>
      </c>
      <c r="B220" s="26" t="str">
        <f>IF(SUMIFS('BSE - SENSEX Index Options'!$L:$L,'BSE - SENSEX Index Options'!$C:$C,$A220,'BSE - SENSEX Index Options'!$B:$B,B$147,'BSE - SENSEX Index Options'!$H:$H,"Weekly*")+SUMIFS('BSE - SENSEX Index Options'!$L:$L,'BSE - SENSEX Index Options'!$C:$C,$A220,'BSE - SENSEX Index Options'!$B:$B,B$147,'BSE - SENSEX Index Options'!$H:$H,"MDAW*")+SUMIFS('BSE - Other Index Options'!$L:$L,'BSE - Other Index Options'!$C:$C,$A220,'BSE - Other Index Options'!$B:$B,B$147,'BSE - Other Index Options'!$H:$H,"Weekly*")+SUMIFS('BSE - Other Index Options'!$L:$L,'BSE - Other Index Options'!$C:$C,$A220,'BSE - Other Index Options'!$B:$B,B$147,'BSE - Other Index Options'!$H:$H,"MDAW*")=0,"",SUMIFS('BSE - SENSEX Index Options'!$L:$L,'BSE - SENSEX Index Options'!$C:$C,$A220,'BSE - SENSEX Index Options'!$B:$B,B$147,'BSE - SENSEX Index Options'!$H:$H,"Weekly*")+SUMIFS('BSE - SENSEX Index Options'!$L:$L,'BSE - SENSEX Index Options'!$C:$C,$A220,'BSE - SENSEX Index Options'!$B:$B,B$147,'BSE - SENSEX Index Options'!$H:$H,"MDAW*")+SUMIFS('BSE - Other Index Options'!$L:$L,'BSE - Other Index Options'!$C:$C,$A220,'BSE - Other Index Options'!$B:$B,B$147,'BSE - Other Index Options'!$H:$H,"Weekly*")+SUMIFS('BSE - Other Index Options'!$L:$L,'BSE - Other Index Options'!$C:$C,$A220,'BSE - Other Index Options'!$B:$B,B$147,'BSE - Other Index Options'!$H:$H,"MDAW*"))</f>
        <v/>
      </c>
      <c r="C220" s="26" t="str">
        <f>IF(SUMIFS('BSE - SENSEX Index Options'!$L:$L,'BSE - SENSEX Index Options'!$C:$C,$A220,'BSE - SENSEX Index Options'!$B:$B,C$147,'BSE - SENSEX Index Options'!$H:$H,"Weekly*")+SUMIFS('BSE - SENSEX Index Options'!$L:$L,'BSE - SENSEX Index Options'!$C:$C,$A220,'BSE - SENSEX Index Options'!$B:$B,C$147,'BSE - SENSEX Index Options'!$H:$H,"MDAW*")+SUMIFS('BSE - Other Index Options'!$L:$L,'BSE - Other Index Options'!$C:$C,$A220,'BSE - Other Index Options'!$B:$B,C$147,'BSE - Other Index Options'!$H:$H,"Weekly*")+SUMIFS('BSE - Other Index Options'!$L:$L,'BSE - Other Index Options'!$C:$C,$A220,'BSE - Other Index Options'!$B:$B,C$147,'BSE - Other Index Options'!$H:$H,"MDAW*")=0,"",SUMIFS('BSE - SENSEX Index Options'!$L:$L,'BSE - SENSEX Index Options'!$C:$C,$A220,'BSE - SENSEX Index Options'!$B:$B,C$147,'BSE - SENSEX Index Options'!$H:$H,"Weekly*")+SUMIFS('BSE - SENSEX Index Options'!$L:$L,'BSE - SENSEX Index Options'!$C:$C,$A220,'BSE - SENSEX Index Options'!$B:$B,C$147,'BSE - SENSEX Index Options'!$H:$H,"MDAW*")+SUMIFS('BSE - Other Index Options'!$L:$L,'BSE - Other Index Options'!$C:$C,$A220,'BSE - Other Index Options'!$B:$B,C$147,'BSE - Other Index Options'!$H:$H,"Weekly*")+SUMIFS('BSE - Other Index Options'!$L:$L,'BSE - Other Index Options'!$C:$C,$A220,'BSE - Other Index Options'!$B:$B,C$147,'BSE - Other Index Options'!$H:$H,"MDAW*"))</f>
        <v/>
      </c>
      <c r="D220" s="26" t="str">
        <f>IF(SUMIFS('BSE - SENSEX Index Options'!$L:$L,'BSE - SENSEX Index Options'!$C:$C,$A220,'BSE - SENSEX Index Options'!$B:$B,D$147,'BSE - SENSEX Index Options'!$H:$H,"Weekly*")+SUMIFS('BSE - SENSEX Index Options'!$L:$L,'BSE - SENSEX Index Options'!$C:$C,$A220,'BSE - SENSEX Index Options'!$B:$B,D$147,'BSE - SENSEX Index Options'!$H:$H,"MDAW*")+SUMIFS('BSE - Other Index Options'!$L:$L,'BSE - Other Index Options'!$C:$C,$A220,'BSE - Other Index Options'!$B:$B,D$147,'BSE - Other Index Options'!$H:$H,"Weekly*")+SUMIFS('BSE - Other Index Options'!$L:$L,'BSE - Other Index Options'!$C:$C,$A220,'BSE - Other Index Options'!$B:$B,D$147,'BSE - Other Index Options'!$H:$H,"MDAW*")=0,"",SUMIFS('BSE - SENSEX Index Options'!$L:$L,'BSE - SENSEX Index Options'!$C:$C,$A220,'BSE - SENSEX Index Options'!$B:$B,D$147,'BSE - SENSEX Index Options'!$H:$H,"Weekly*")+SUMIFS('BSE - SENSEX Index Options'!$L:$L,'BSE - SENSEX Index Options'!$C:$C,$A220,'BSE - SENSEX Index Options'!$B:$B,D$147,'BSE - SENSEX Index Options'!$H:$H,"MDAW*")+SUMIFS('BSE - Other Index Options'!$L:$L,'BSE - Other Index Options'!$C:$C,$A220,'BSE - Other Index Options'!$B:$B,D$147,'BSE - Other Index Options'!$H:$H,"Weekly*")+SUMIFS('BSE - Other Index Options'!$L:$L,'BSE - Other Index Options'!$C:$C,$A220,'BSE - Other Index Options'!$B:$B,D$147,'BSE - Other Index Options'!$H:$H,"MDAW*"))</f>
        <v/>
      </c>
      <c r="E220" s="26" t="str">
        <f>IF(SUMIFS('BSE - SENSEX Index Options'!$L:$L,'BSE - SENSEX Index Options'!$C:$C,$A220,'BSE - SENSEX Index Options'!$B:$B,E$147,'BSE - SENSEX Index Options'!$H:$H,"Weekly*")+SUMIFS('BSE - SENSEX Index Options'!$L:$L,'BSE - SENSEX Index Options'!$C:$C,$A220,'BSE - SENSEX Index Options'!$B:$B,E$147,'BSE - SENSEX Index Options'!$H:$H,"MDAW*")+SUMIFS('BSE - Other Index Options'!$L:$L,'BSE - Other Index Options'!$C:$C,$A220,'BSE - Other Index Options'!$B:$B,E$147,'BSE - Other Index Options'!$H:$H,"Weekly*")+SUMIFS('BSE - Other Index Options'!$L:$L,'BSE - Other Index Options'!$C:$C,$A220,'BSE - Other Index Options'!$B:$B,E$147,'BSE - Other Index Options'!$H:$H,"MDAW*")=0,"",SUMIFS('BSE - SENSEX Index Options'!$L:$L,'BSE - SENSEX Index Options'!$C:$C,$A220,'BSE - SENSEX Index Options'!$B:$B,E$147,'BSE - SENSEX Index Options'!$H:$H,"Weekly*")+SUMIFS('BSE - SENSEX Index Options'!$L:$L,'BSE - SENSEX Index Options'!$C:$C,$A220,'BSE - SENSEX Index Options'!$B:$B,E$147,'BSE - SENSEX Index Options'!$H:$H,"MDAW*")+SUMIFS('BSE - Other Index Options'!$L:$L,'BSE - Other Index Options'!$C:$C,$A220,'BSE - Other Index Options'!$B:$B,E$147,'BSE - Other Index Options'!$H:$H,"Weekly*")+SUMIFS('BSE - Other Index Options'!$L:$L,'BSE - Other Index Options'!$C:$C,$A220,'BSE - Other Index Options'!$B:$B,E$147,'BSE - Other Index Options'!$H:$H,"MDAW*"))</f>
        <v/>
      </c>
      <c r="F220" s="26" t="str">
        <f>IF(SUMIFS('BSE - SENSEX Index Options'!$L:$L,'BSE - SENSEX Index Options'!$C:$C,$A220,'BSE - SENSEX Index Options'!$B:$B,F$147,'BSE - SENSEX Index Options'!$H:$H,"Weekly*")+SUMIFS('BSE - SENSEX Index Options'!$L:$L,'BSE - SENSEX Index Options'!$C:$C,$A220,'BSE - SENSEX Index Options'!$B:$B,F$147,'BSE - SENSEX Index Options'!$H:$H,"MDAW*")+SUMIFS('BSE - Other Index Options'!$L:$L,'BSE - Other Index Options'!$C:$C,$A220,'BSE - Other Index Options'!$B:$B,F$147,'BSE - Other Index Options'!$H:$H,"Weekly*")+SUMIFS('BSE - Other Index Options'!$L:$L,'BSE - Other Index Options'!$C:$C,$A220,'BSE - Other Index Options'!$B:$B,F$147,'BSE - Other Index Options'!$H:$H,"MDAW*")=0,"",SUMIFS('BSE - SENSEX Index Options'!$L:$L,'BSE - SENSEX Index Options'!$C:$C,$A220,'BSE - SENSEX Index Options'!$B:$B,F$147,'BSE - SENSEX Index Options'!$H:$H,"Weekly*")+SUMIFS('BSE - SENSEX Index Options'!$L:$L,'BSE - SENSEX Index Options'!$C:$C,$A220,'BSE - SENSEX Index Options'!$B:$B,F$147,'BSE - SENSEX Index Options'!$H:$H,"MDAW*")+SUMIFS('BSE - Other Index Options'!$L:$L,'BSE - Other Index Options'!$C:$C,$A220,'BSE - Other Index Options'!$B:$B,F$147,'BSE - Other Index Options'!$H:$H,"Weekly*")+SUMIFS('BSE - Other Index Options'!$L:$L,'BSE - Other Index Options'!$C:$C,$A220,'BSE - Other Index Options'!$B:$B,F$147,'BSE - Other Index Options'!$H:$H,"MDAW*"))</f>
        <v/>
      </c>
      <c r="G220" s="26" t="str">
        <f>IF(SUMIFS('BSE - SENSEX Index Options'!$L:$L,'BSE - SENSEX Index Options'!$C:$C,$A220,'BSE - SENSEX Index Options'!$B:$B,G$147,'BSE - SENSEX Index Options'!$H:$H,"Weekly*")+SUMIFS('BSE - SENSEX Index Options'!$L:$L,'BSE - SENSEX Index Options'!$C:$C,$A220,'BSE - SENSEX Index Options'!$B:$B,G$147,'BSE - SENSEX Index Options'!$H:$H,"MDAW*")+SUMIFS('BSE - Other Index Options'!$L:$L,'BSE - Other Index Options'!$C:$C,$A220,'BSE - Other Index Options'!$B:$B,G$147,'BSE - Other Index Options'!$H:$H,"Weekly*")+SUMIFS('BSE - Other Index Options'!$L:$L,'BSE - Other Index Options'!$C:$C,$A220,'BSE - Other Index Options'!$B:$B,G$147,'BSE - Other Index Options'!$H:$H,"MDAW*")=0,"",SUMIFS('BSE - SENSEX Index Options'!$L:$L,'BSE - SENSEX Index Options'!$C:$C,$A220,'BSE - SENSEX Index Options'!$B:$B,G$147,'BSE - SENSEX Index Options'!$H:$H,"Weekly*")+SUMIFS('BSE - SENSEX Index Options'!$L:$L,'BSE - SENSEX Index Options'!$C:$C,$A220,'BSE - SENSEX Index Options'!$B:$B,G$147,'BSE - SENSEX Index Options'!$H:$H,"MDAW*")+SUMIFS('BSE - Other Index Options'!$L:$L,'BSE - Other Index Options'!$C:$C,$A220,'BSE - Other Index Options'!$B:$B,G$147,'BSE - Other Index Options'!$H:$H,"Weekly*")+SUMIFS('BSE - Other Index Options'!$L:$L,'BSE - Other Index Options'!$C:$C,$A220,'BSE - Other Index Options'!$B:$B,G$147,'BSE - Other Index Options'!$H:$H,"MDAW*"))</f>
        <v/>
      </c>
      <c r="H220" s="26" t="str">
        <f t="shared" si="8"/>
        <v/>
      </c>
    </row>
    <row r="221" spans="1:8" hidden="1" outlineLevel="1">
      <c r="A221" t="s">
        <v>83</v>
      </c>
      <c r="B221" s="26" t="str">
        <f>IF(SUMIFS('BSE - SENSEX Index Options'!$L:$L,'BSE - SENSEX Index Options'!$C:$C,$A221,'BSE - SENSEX Index Options'!$B:$B,B$147,'BSE - SENSEX Index Options'!$H:$H,"Weekly*")+SUMIFS('BSE - SENSEX Index Options'!$L:$L,'BSE - SENSEX Index Options'!$C:$C,$A221,'BSE - SENSEX Index Options'!$B:$B,B$147,'BSE - SENSEX Index Options'!$H:$H,"MDAW*")+SUMIFS('BSE - Other Index Options'!$L:$L,'BSE - Other Index Options'!$C:$C,$A221,'BSE - Other Index Options'!$B:$B,B$147,'BSE - Other Index Options'!$H:$H,"Weekly*")+SUMIFS('BSE - Other Index Options'!$L:$L,'BSE - Other Index Options'!$C:$C,$A221,'BSE - Other Index Options'!$B:$B,B$147,'BSE - Other Index Options'!$H:$H,"MDAW*")=0,"",SUMIFS('BSE - SENSEX Index Options'!$L:$L,'BSE - SENSEX Index Options'!$C:$C,$A221,'BSE - SENSEX Index Options'!$B:$B,B$147,'BSE - SENSEX Index Options'!$H:$H,"Weekly*")+SUMIFS('BSE - SENSEX Index Options'!$L:$L,'BSE - SENSEX Index Options'!$C:$C,$A221,'BSE - SENSEX Index Options'!$B:$B,B$147,'BSE - SENSEX Index Options'!$H:$H,"MDAW*")+SUMIFS('BSE - Other Index Options'!$L:$L,'BSE - Other Index Options'!$C:$C,$A221,'BSE - Other Index Options'!$B:$B,B$147,'BSE - Other Index Options'!$H:$H,"Weekly*")+SUMIFS('BSE - Other Index Options'!$L:$L,'BSE - Other Index Options'!$C:$C,$A221,'BSE - Other Index Options'!$B:$B,B$147,'BSE - Other Index Options'!$H:$H,"MDAW*"))</f>
        <v/>
      </c>
      <c r="C221" s="26" t="str">
        <f>IF(SUMIFS('BSE - SENSEX Index Options'!$L:$L,'BSE - SENSEX Index Options'!$C:$C,$A221,'BSE - SENSEX Index Options'!$B:$B,C$147,'BSE - SENSEX Index Options'!$H:$H,"Weekly*")+SUMIFS('BSE - SENSEX Index Options'!$L:$L,'BSE - SENSEX Index Options'!$C:$C,$A221,'BSE - SENSEX Index Options'!$B:$B,C$147,'BSE - SENSEX Index Options'!$H:$H,"MDAW*")+SUMIFS('BSE - Other Index Options'!$L:$L,'BSE - Other Index Options'!$C:$C,$A221,'BSE - Other Index Options'!$B:$B,C$147,'BSE - Other Index Options'!$H:$H,"Weekly*")+SUMIFS('BSE - Other Index Options'!$L:$L,'BSE - Other Index Options'!$C:$C,$A221,'BSE - Other Index Options'!$B:$B,C$147,'BSE - Other Index Options'!$H:$H,"MDAW*")=0,"",SUMIFS('BSE - SENSEX Index Options'!$L:$L,'BSE - SENSEX Index Options'!$C:$C,$A221,'BSE - SENSEX Index Options'!$B:$B,C$147,'BSE - SENSEX Index Options'!$H:$H,"Weekly*")+SUMIFS('BSE - SENSEX Index Options'!$L:$L,'BSE - SENSEX Index Options'!$C:$C,$A221,'BSE - SENSEX Index Options'!$B:$B,C$147,'BSE - SENSEX Index Options'!$H:$H,"MDAW*")+SUMIFS('BSE - Other Index Options'!$L:$L,'BSE - Other Index Options'!$C:$C,$A221,'BSE - Other Index Options'!$B:$B,C$147,'BSE - Other Index Options'!$H:$H,"Weekly*")+SUMIFS('BSE - Other Index Options'!$L:$L,'BSE - Other Index Options'!$C:$C,$A221,'BSE - Other Index Options'!$B:$B,C$147,'BSE - Other Index Options'!$H:$H,"MDAW*"))</f>
        <v/>
      </c>
      <c r="D221" s="26" t="str">
        <f>IF(SUMIFS('BSE - SENSEX Index Options'!$L:$L,'BSE - SENSEX Index Options'!$C:$C,$A221,'BSE - SENSEX Index Options'!$B:$B,D$147,'BSE - SENSEX Index Options'!$H:$H,"Weekly*")+SUMIFS('BSE - SENSEX Index Options'!$L:$L,'BSE - SENSEX Index Options'!$C:$C,$A221,'BSE - SENSEX Index Options'!$B:$B,D$147,'BSE - SENSEX Index Options'!$H:$H,"MDAW*")+SUMIFS('BSE - Other Index Options'!$L:$L,'BSE - Other Index Options'!$C:$C,$A221,'BSE - Other Index Options'!$B:$B,D$147,'BSE - Other Index Options'!$H:$H,"Weekly*")+SUMIFS('BSE - Other Index Options'!$L:$L,'BSE - Other Index Options'!$C:$C,$A221,'BSE - Other Index Options'!$B:$B,D$147,'BSE - Other Index Options'!$H:$H,"MDAW*")=0,"",SUMIFS('BSE - SENSEX Index Options'!$L:$L,'BSE - SENSEX Index Options'!$C:$C,$A221,'BSE - SENSEX Index Options'!$B:$B,D$147,'BSE - SENSEX Index Options'!$H:$H,"Weekly*")+SUMIFS('BSE - SENSEX Index Options'!$L:$L,'BSE - SENSEX Index Options'!$C:$C,$A221,'BSE - SENSEX Index Options'!$B:$B,D$147,'BSE - SENSEX Index Options'!$H:$H,"MDAW*")+SUMIFS('BSE - Other Index Options'!$L:$L,'BSE - Other Index Options'!$C:$C,$A221,'BSE - Other Index Options'!$B:$B,D$147,'BSE - Other Index Options'!$H:$H,"Weekly*")+SUMIFS('BSE - Other Index Options'!$L:$L,'BSE - Other Index Options'!$C:$C,$A221,'BSE - Other Index Options'!$B:$B,D$147,'BSE - Other Index Options'!$H:$H,"MDAW*"))</f>
        <v/>
      </c>
      <c r="E221" s="26" t="str">
        <f>IF(SUMIFS('BSE - SENSEX Index Options'!$L:$L,'BSE - SENSEX Index Options'!$C:$C,$A221,'BSE - SENSEX Index Options'!$B:$B,E$147,'BSE - SENSEX Index Options'!$H:$H,"Weekly*")+SUMIFS('BSE - SENSEX Index Options'!$L:$L,'BSE - SENSEX Index Options'!$C:$C,$A221,'BSE - SENSEX Index Options'!$B:$B,E$147,'BSE - SENSEX Index Options'!$H:$H,"MDAW*")+SUMIFS('BSE - Other Index Options'!$L:$L,'BSE - Other Index Options'!$C:$C,$A221,'BSE - Other Index Options'!$B:$B,E$147,'BSE - Other Index Options'!$H:$H,"Weekly*")+SUMIFS('BSE - Other Index Options'!$L:$L,'BSE - Other Index Options'!$C:$C,$A221,'BSE - Other Index Options'!$B:$B,E$147,'BSE - Other Index Options'!$H:$H,"MDAW*")=0,"",SUMIFS('BSE - SENSEX Index Options'!$L:$L,'BSE - SENSEX Index Options'!$C:$C,$A221,'BSE - SENSEX Index Options'!$B:$B,E$147,'BSE - SENSEX Index Options'!$H:$H,"Weekly*")+SUMIFS('BSE - SENSEX Index Options'!$L:$L,'BSE - SENSEX Index Options'!$C:$C,$A221,'BSE - SENSEX Index Options'!$B:$B,E$147,'BSE - SENSEX Index Options'!$H:$H,"MDAW*")+SUMIFS('BSE - Other Index Options'!$L:$L,'BSE - Other Index Options'!$C:$C,$A221,'BSE - Other Index Options'!$B:$B,E$147,'BSE - Other Index Options'!$H:$H,"Weekly*")+SUMIFS('BSE - Other Index Options'!$L:$L,'BSE - Other Index Options'!$C:$C,$A221,'BSE - Other Index Options'!$B:$B,E$147,'BSE - Other Index Options'!$H:$H,"MDAW*"))</f>
        <v/>
      </c>
      <c r="F221" s="26" t="str">
        <f>IF(SUMIFS('BSE - SENSEX Index Options'!$L:$L,'BSE - SENSEX Index Options'!$C:$C,$A221,'BSE - SENSEX Index Options'!$B:$B,F$147,'BSE - SENSEX Index Options'!$H:$H,"Weekly*")+SUMIFS('BSE - SENSEX Index Options'!$L:$L,'BSE - SENSEX Index Options'!$C:$C,$A221,'BSE - SENSEX Index Options'!$B:$B,F$147,'BSE - SENSEX Index Options'!$H:$H,"MDAW*")+SUMIFS('BSE - Other Index Options'!$L:$L,'BSE - Other Index Options'!$C:$C,$A221,'BSE - Other Index Options'!$B:$B,F$147,'BSE - Other Index Options'!$H:$H,"Weekly*")+SUMIFS('BSE - Other Index Options'!$L:$L,'BSE - Other Index Options'!$C:$C,$A221,'BSE - Other Index Options'!$B:$B,F$147,'BSE - Other Index Options'!$H:$H,"MDAW*")=0,"",SUMIFS('BSE - SENSEX Index Options'!$L:$L,'BSE - SENSEX Index Options'!$C:$C,$A221,'BSE - SENSEX Index Options'!$B:$B,F$147,'BSE - SENSEX Index Options'!$H:$H,"Weekly*")+SUMIFS('BSE - SENSEX Index Options'!$L:$L,'BSE - SENSEX Index Options'!$C:$C,$A221,'BSE - SENSEX Index Options'!$B:$B,F$147,'BSE - SENSEX Index Options'!$H:$H,"MDAW*")+SUMIFS('BSE - Other Index Options'!$L:$L,'BSE - Other Index Options'!$C:$C,$A221,'BSE - Other Index Options'!$B:$B,F$147,'BSE - Other Index Options'!$H:$H,"Weekly*")+SUMIFS('BSE - Other Index Options'!$L:$L,'BSE - Other Index Options'!$C:$C,$A221,'BSE - Other Index Options'!$B:$B,F$147,'BSE - Other Index Options'!$H:$H,"MDAW*"))</f>
        <v/>
      </c>
      <c r="G221" s="26" t="str">
        <f>IF(SUMIFS('BSE - SENSEX Index Options'!$L:$L,'BSE - SENSEX Index Options'!$C:$C,$A221,'BSE - SENSEX Index Options'!$B:$B,G$147,'BSE - SENSEX Index Options'!$H:$H,"Weekly*")+SUMIFS('BSE - SENSEX Index Options'!$L:$L,'BSE - SENSEX Index Options'!$C:$C,$A221,'BSE - SENSEX Index Options'!$B:$B,G$147,'BSE - SENSEX Index Options'!$H:$H,"MDAW*")+SUMIFS('BSE - Other Index Options'!$L:$L,'BSE - Other Index Options'!$C:$C,$A221,'BSE - Other Index Options'!$B:$B,G$147,'BSE - Other Index Options'!$H:$H,"Weekly*")+SUMIFS('BSE - Other Index Options'!$L:$L,'BSE - Other Index Options'!$C:$C,$A221,'BSE - Other Index Options'!$B:$B,G$147,'BSE - Other Index Options'!$H:$H,"MDAW*")=0,"",SUMIFS('BSE - SENSEX Index Options'!$L:$L,'BSE - SENSEX Index Options'!$C:$C,$A221,'BSE - SENSEX Index Options'!$B:$B,G$147,'BSE - SENSEX Index Options'!$H:$H,"Weekly*")+SUMIFS('BSE - SENSEX Index Options'!$L:$L,'BSE - SENSEX Index Options'!$C:$C,$A221,'BSE - SENSEX Index Options'!$B:$B,G$147,'BSE - SENSEX Index Options'!$H:$H,"MDAW*")+SUMIFS('BSE - Other Index Options'!$L:$L,'BSE - Other Index Options'!$C:$C,$A221,'BSE - Other Index Options'!$B:$B,G$147,'BSE - Other Index Options'!$H:$H,"Weekly*")+SUMIFS('BSE - Other Index Options'!$L:$L,'BSE - Other Index Options'!$C:$C,$A221,'BSE - Other Index Options'!$B:$B,G$147,'BSE - Other Index Options'!$H:$H,"MDAW*"))</f>
        <v/>
      </c>
      <c r="H221" s="26" t="str">
        <f t="shared" si="8"/>
        <v/>
      </c>
    </row>
    <row r="222" spans="1:8" hidden="1" outlineLevel="1">
      <c r="A222" t="s">
        <v>84</v>
      </c>
      <c r="B222" s="26" t="str">
        <f>IF(SUMIFS('BSE - SENSEX Index Options'!$L:$L,'BSE - SENSEX Index Options'!$C:$C,$A222,'BSE - SENSEX Index Options'!$B:$B,B$147,'BSE - SENSEX Index Options'!$H:$H,"Weekly*")+SUMIFS('BSE - SENSEX Index Options'!$L:$L,'BSE - SENSEX Index Options'!$C:$C,$A222,'BSE - SENSEX Index Options'!$B:$B,B$147,'BSE - SENSEX Index Options'!$H:$H,"MDAW*")+SUMIFS('BSE - Other Index Options'!$L:$L,'BSE - Other Index Options'!$C:$C,$A222,'BSE - Other Index Options'!$B:$B,B$147,'BSE - Other Index Options'!$H:$H,"Weekly*")+SUMIFS('BSE - Other Index Options'!$L:$L,'BSE - Other Index Options'!$C:$C,$A222,'BSE - Other Index Options'!$B:$B,B$147,'BSE - Other Index Options'!$H:$H,"MDAW*")=0,"",SUMIFS('BSE - SENSEX Index Options'!$L:$L,'BSE - SENSEX Index Options'!$C:$C,$A222,'BSE - SENSEX Index Options'!$B:$B,B$147,'BSE - SENSEX Index Options'!$H:$H,"Weekly*")+SUMIFS('BSE - SENSEX Index Options'!$L:$L,'BSE - SENSEX Index Options'!$C:$C,$A222,'BSE - SENSEX Index Options'!$B:$B,B$147,'BSE - SENSEX Index Options'!$H:$H,"MDAW*")+SUMIFS('BSE - Other Index Options'!$L:$L,'BSE - Other Index Options'!$C:$C,$A222,'BSE - Other Index Options'!$B:$B,B$147,'BSE - Other Index Options'!$H:$H,"Weekly*")+SUMIFS('BSE - Other Index Options'!$L:$L,'BSE - Other Index Options'!$C:$C,$A222,'BSE - Other Index Options'!$B:$B,B$147,'BSE - Other Index Options'!$H:$H,"MDAW*"))</f>
        <v/>
      </c>
      <c r="C222" s="26" t="str">
        <f>IF(SUMIFS('BSE - SENSEX Index Options'!$L:$L,'BSE - SENSEX Index Options'!$C:$C,$A222,'BSE - SENSEX Index Options'!$B:$B,C$147,'BSE - SENSEX Index Options'!$H:$H,"Weekly*")+SUMIFS('BSE - SENSEX Index Options'!$L:$L,'BSE - SENSEX Index Options'!$C:$C,$A222,'BSE - SENSEX Index Options'!$B:$B,C$147,'BSE - SENSEX Index Options'!$H:$H,"MDAW*")+SUMIFS('BSE - Other Index Options'!$L:$L,'BSE - Other Index Options'!$C:$C,$A222,'BSE - Other Index Options'!$B:$B,C$147,'BSE - Other Index Options'!$H:$H,"Weekly*")+SUMIFS('BSE - Other Index Options'!$L:$L,'BSE - Other Index Options'!$C:$C,$A222,'BSE - Other Index Options'!$B:$B,C$147,'BSE - Other Index Options'!$H:$H,"MDAW*")=0,"",SUMIFS('BSE - SENSEX Index Options'!$L:$L,'BSE - SENSEX Index Options'!$C:$C,$A222,'BSE - SENSEX Index Options'!$B:$B,C$147,'BSE - SENSEX Index Options'!$H:$H,"Weekly*")+SUMIFS('BSE - SENSEX Index Options'!$L:$L,'BSE - SENSEX Index Options'!$C:$C,$A222,'BSE - SENSEX Index Options'!$B:$B,C$147,'BSE - SENSEX Index Options'!$H:$H,"MDAW*")+SUMIFS('BSE - Other Index Options'!$L:$L,'BSE - Other Index Options'!$C:$C,$A222,'BSE - Other Index Options'!$B:$B,C$147,'BSE - Other Index Options'!$H:$H,"Weekly*")+SUMIFS('BSE - Other Index Options'!$L:$L,'BSE - Other Index Options'!$C:$C,$A222,'BSE - Other Index Options'!$B:$B,C$147,'BSE - Other Index Options'!$H:$H,"MDAW*"))</f>
        <v/>
      </c>
      <c r="D222" s="26" t="str">
        <f>IF(SUMIFS('BSE - SENSEX Index Options'!$L:$L,'BSE - SENSEX Index Options'!$C:$C,$A222,'BSE - SENSEX Index Options'!$B:$B,D$147,'BSE - SENSEX Index Options'!$H:$H,"Weekly*")+SUMIFS('BSE - SENSEX Index Options'!$L:$L,'BSE - SENSEX Index Options'!$C:$C,$A222,'BSE - SENSEX Index Options'!$B:$B,D$147,'BSE - SENSEX Index Options'!$H:$H,"MDAW*")+SUMIFS('BSE - Other Index Options'!$L:$L,'BSE - Other Index Options'!$C:$C,$A222,'BSE - Other Index Options'!$B:$B,D$147,'BSE - Other Index Options'!$H:$H,"Weekly*")+SUMIFS('BSE - Other Index Options'!$L:$L,'BSE - Other Index Options'!$C:$C,$A222,'BSE - Other Index Options'!$B:$B,D$147,'BSE - Other Index Options'!$H:$H,"MDAW*")=0,"",SUMIFS('BSE - SENSEX Index Options'!$L:$L,'BSE - SENSEX Index Options'!$C:$C,$A222,'BSE - SENSEX Index Options'!$B:$B,D$147,'BSE - SENSEX Index Options'!$H:$H,"Weekly*")+SUMIFS('BSE - SENSEX Index Options'!$L:$L,'BSE - SENSEX Index Options'!$C:$C,$A222,'BSE - SENSEX Index Options'!$B:$B,D$147,'BSE - SENSEX Index Options'!$H:$H,"MDAW*")+SUMIFS('BSE - Other Index Options'!$L:$L,'BSE - Other Index Options'!$C:$C,$A222,'BSE - Other Index Options'!$B:$B,D$147,'BSE - Other Index Options'!$H:$H,"Weekly*")+SUMIFS('BSE - Other Index Options'!$L:$L,'BSE - Other Index Options'!$C:$C,$A222,'BSE - Other Index Options'!$B:$B,D$147,'BSE - Other Index Options'!$H:$H,"MDAW*"))</f>
        <v/>
      </c>
      <c r="E222" s="26" t="str">
        <f>IF(SUMIFS('BSE - SENSEX Index Options'!$L:$L,'BSE - SENSEX Index Options'!$C:$C,$A222,'BSE - SENSEX Index Options'!$B:$B,E$147,'BSE - SENSEX Index Options'!$H:$H,"Weekly*")+SUMIFS('BSE - SENSEX Index Options'!$L:$L,'BSE - SENSEX Index Options'!$C:$C,$A222,'BSE - SENSEX Index Options'!$B:$B,E$147,'BSE - SENSEX Index Options'!$H:$H,"MDAW*")+SUMIFS('BSE - Other Index Options'!$L:$L,'BSE - Other Index Options'!$C:$C,$A222,'BSE - Other Index Options'!$B:$B,E$147,'BSE - Other Index Options'!$H:$H,"Weekly*")+SUMIFS('BSE - Other Index Options'!$L:$L,'BSE - Other Index Options'!$C:$C,$A222,'BSE - Other Index Options'!$B:$B,E$147,'BSE - Other Index Options'!$H:$H,"MDAW*")=0,"",SUMIFS('BSE - SENSEX Index Options'!$L:$L,'BSE - SENSEX Index Options'!$C:$C,$A222,'BSE - SENSEX Index Options'!$B:$B,E$147,'BSE - SENSEX Index Options'!$H:$H,"Weekly*")+SUMIFS('BSE - SENSEX Index Options'!$L:$L,'BSE - SENSEX Index Options'!$C:$C,$A222,'BSE - SENSEX Index Options'!$B:$B,E$147,'BSE - SENSEX Index Options'!$H:$H,"MDAW*")+SUMIFS('BSE - Other Index Options'!$L:$L,'BSE - Other Index Options'!$C:$C,$A222,'BSE - Other Index Options'!$B:$B,E$147,'BSE - Other Index Options'!$H:$H,"Weekly*")+SUMIFS('BSE - Other Index Options'!$L:$L,'BSE - Other Index Options'!$C:$C,$A222,'BSE - Other Index Options'!$B:$B,E$147,'BSE - Other Index Options'!$H:$H,"MDAW*"))</f>
        <v/>
      </c>
      <c r="F222" s="26" t="str">
        <f>IF(SUMIFS('BSE - SENSEX Index Options'!$L:$L,'BSE - SENSEX Index Options'!$C:$C,$A222,'BSE - SENSEX Index Options'!$B:$B,F$147,'BSE - SENSEX Index Options'!$H:$H,"Weekly*")+SUMIFS('BSE - SENSEX Index Options'!$L:$L,'BSE - SENSEX Index Options'!$C:$C,$A222,'BSE - SENSEX Index Options'!$B:$B,F$147,'BSE - SENSEX Index Options'!$H:$H,"MDAW*")+SUMIFS('BSE - Other Index Options'!$L:$L,'BSE - Other Index Options'!$C:$C,$A222,'BSE - Other Index Options'!$B:$B,F$147,'BSE - Other Index Options'!$H:$H,"Weekly*")+SUMIFS('BSE - Other Index Options'!$L:$L,'BSE - Other Index Options'!$C:$C,$A222,'BSE - Other Index Options'!$B:$B,F$147,'BSE - Other Index Options'!$H:$H,"MDAW*")=0,"",SUMIFS('BSE - SENSEX Index Options'!$L:$L,'BSE - SENSEX Index Options'!$C:$C,$A222,'BSE - SENSEX Index Options'!$B:$B,F$147,'BSE - SENSEX Index Options'!$H:$H,"Weekly*")+SUMIFS('BSE - SENSEX Index Options'!$L:$L,'BSE - SENSEX Index Options'!$C:$C,$A222,'BSE - SENSEX Index Options'!$B:$B,F$147,'BSE - SENSEX Index Options'!$H:$H,"MDAW*")+SUMIFS('BSE - Other Index Options'!$L:$L,'BSE - Other Index Options'!$C:$C,$A222,'BSE - Other Index Options'!$B:$B,F$147,'BSE - Other Index Options'!$H:$H,"Weekly*")+SUMIFS('BSE - Other Index Options'!$L:$L,'BSE - Other Index Options'!$C:$C,$A222,'BSE - Other Index Options'!$B:$B,F$147,'BSE - Other Index Options'!$H:$H,"MDAW*"))</f>
        <v/>
      </c>
      <c r="G222" s="26" t="str">
        <f>IF(SUMIFS('BSE - SENSEX Index Options'!$L:$L,'BSE - SENSEX Index Options'!$C:$C,$A222,'BSE - SENSEX Index Options'!$B:$B,G$147,'BSE - SENSEX Index Options'!$H:$H,"Weekly*")+SUMIFS('BSE - SENSEX Index Options'!$L:$L,'BSE - SENSEX Index Options'!$C:$C,$A222,'BSE - SENSEX Index Options'!$B:$B,G$147,'BSE - SENSEX Index Options'!$H:$H,"MDAW*")+SUMIFS('BSE - Other Index Options'!$L:$L,'BSE - Other Index Options'!$C:$C,$A222,'BSE - Other Index Options'!$B:$B,G$147,'BSE - Other Index Options'!$H:$H,"Weekly*")+SUMIFS('BSE - Other Index Options'!$L:$L,'BSE - Other Index Options'!$C:$C,$A222,'BSE - Other Index Options'!$B:$B,G$147,'BSE - Other Index Options'!$H:$H,"MDAW*")=0,"",SUMIFS('BSE - SENSEX Index Options'!$L:$L,'BSE - SENSEX Index Options'!$C:$C,$A222,'BSE - SENSEX Index Options'!$B:$B,G$147,'BSE - SENSEX Index Options'!$H:$H,"Weekly*")+SUMIFS('BSE - SENSEX Index Options'!$L:$L,'BSE - SENSEX Index Options'!$C:$C,$A222,'BSE - SENSEX Index Options'!$B:$B,G$147,'BSE - SENSEX Index Options'!$H:$H,"MDAW*")+SUMIFS('BSE - Other Index Options'!$L:$L,'BSE - Other Index Options'!$C:$C,$A222,'BSE - Other Index Options'!$B:$B,G$147,'BSE - Other Index Options'!$H:$H,"Weekly*")+SUMIFS('BSE - Other Index Options'!$L:$L,'BSE - Other Index Options'!$C:$C,$A222,'BSE - Other Index Options'!$B:$B,G$147,'BSE - Other Index Options'!$H:$H,"MDAW*"))</f>
        <v/>
      </c>
      <c r="H222" s="26" t="str">
        <f t="shared" si="8"/>
        <v/>
      </c>
    </row>
    <row r="223" spans="1:8" hidden="1" outlineLevel="1">
      <c r="A223" t="s">
        <v>85</v>
      </c>
      <c r="B223" s="26" t="str">
        <f>IF(SUMIFS('BSE - SENSEX Index Options'!$L:$L,'BSE - SENSEX Index Options'!$C:$C,$A223,'BSE - SENSEX Index Options'!$B:$B,B$147,'BSE - SENSEX Index Options'!$H:$H,"Weekly*")+SUMIFS('BSE - SENSEX Index Options'!$L:$L,'BSE - SENSEX Index Options'!$C:$C,$A223,'BSE - SENSEX Index Options'!$B:$B,B$147,'BSE - SENSEX Index Options'!$H:$H,"MDAW*")+SUMIFS('BSE - Other Index Options'!$L:$L,'BSE - Other Index Options'!$C:$C,$A223,'BSE - Other Index Options'!$B:$B,B$147,'BSE - Other Index Options'!$H:$H,"Weekly*")+SUMIFS('BSE - Other Index Options'!$L:$L,'BSE - Other Index Options'!$C:$C,$A223,'BSE - Other Index Options'!$B:$B,B$147,'BSE - Other Index Options'!$H:$H,"MDAW*")=0,"",SUMIFS('BSE - SENSEX Index Options'!$L:$L,'BSE - SENSEX Index Options'!$C:$C,$A223,'BSE - SENSEX Index Options'!$B:$B,B$147,'BSE - SENSEX Index Options'!$H:$H,"Weekly*")+SUMIFS('BSE - SENSEX Index Options'!$L:$L,'BSE - SENSEX Index Options'!$C:$C,$A223,'BSE - SENSEX Index Options'!$B:$B,B$147,'BSE - SENSEX Index Options'!$H:$H,"MDAW*")+SUMIFS('BSE - Other Index Options'!$L:$L,'BSE - Other Index Options'!$C:$C,$A223,'BSE - Other Index Options'!$B:$B,B$147,'BSE - Other Index Options'!$H:$H,"Weekly*")+SUMIFS('BSE - Other Index Options'!$L:$L,'BSE - Other Index Options'!$C:$C,$A223,'BSE - Other Index Options'!$B:$B,B$147,'BSE - Other Index Options'!$H:$H,"MDAW*"))</f>
        <v/>
      </c>
      <c r="C223" s="26" t="str">
        <f>IF(SUMIFS('BSE - SENSEX Index Options'!$L:$L,'BSE - SENSEX Index Options'!$C:$C,$A223,'BSE - SENSEX Index Options'!$B:$B,C$147,'BSE - SENSEX Index Options'!$H:$H,"Weekly*")+SUMIFS('BSE - SENSEX Index Options'!$L:$L,'BSE - SENSEX Index Options'!$C:$C,$A223,'BSE - SENSEX Index Options'!$B:$B,C$147,'BSE - SENSEX Index Options'!$H:$H,"MDAW*")+SUMIFS('BSE - Other Index Options'!$L:$L,'BSE - Other Index Options'!$C:$C,$A223,'BSE - Other Index Options'!$B:$B,C$147,'BSE - Other Index Options'!$H:$H,"Weekly*")+SUMIFS('BSE - Other Index Options'!$L:$L,'BSE - Other Index Options'!$C:$C,$A223,'BSE - Other Index Options'!$B:$B,C$147,'BSE - Other Index Options'!$H:$H,"MDAW*")=0,"",SUMIFS('BSE - SENSEX Index Options'!$L:$L,'BSE - SENSEX Index Options'!$C:$C,$A223,'BSE - SENSEX Index Options'!$B:$B,C$147,'BSE - SENSEX Index Options'!$H:$H,"Weekly*")+SUMIFS('BSE - SENSEX Index Options'!$L:$L,'BSE - SENSEX Index Options'!$C:$C,$A223,'BSE - SENSEX Index Options'!$B:$B,C$147,'BSE - SENSEX Index Options'!$H:$H,"MDAW*")+SUMIFS('BSE - Other Index Options'!$L:$L,'BSE - Other Index Options'!$C:$C,$A223,'BSE - Other Index Options'!$B:$B,C$147,'BSE - Other Index Options'!$H:$H,"Weekly*")+SUMIFS('BSE - Other Index Options'!$L:$L,'BSE - Other Index Options'!$C:$C,$A223,'BSE - Other Index Options'!$B:$B,C$147,'BSE - Other Index Options'!$H:$H,"MDAW*"))</f>
        <v/>
      </c>
      <c r="D223" s="26" t="str">
        <f>IF(SUMIFS('BSE - SENSEX Index Options'!$L:$L,'BSE - SENSEX Index Options'!$C:$C,$A223,'BSE - SENSEX Index Options'!$B:$B,D$147,'BSE - SENSEX Index Options'!$H:$H,"Weekly*")+SUMIFS('BSE - SENSEX Index Options'!$L:$L,'BSE - SENSEX Index Options'!$C:$C,$A223,'BSE - SENSEX Index Options'!$B:$B,D$147,'BSE - SENSEX Index Options'!$H:$H,"MDAW*")+SUMIFS('BSE - Other Index Options'!$L:$L,'BSE - Other Index Options'!$C:$C,$A223,'BSE - Other Index Options'!$B:$B,D$147,'BSE - Other Index Options'!$H:$H,"Weekly*")+SUMIFS('BSE - Other Index Options'!$L:$L,'BSE - Other Index Options'!$C:$C,$A223,'BSE - Other Index Options'!$B:$B,D$147,'BSE - Other Index Options'!$H:$H,"MDAW*")=0,"",SUMIFS('BSE - SENSEX Index Options'!$L:$L,'BSE - SENSEX Index Options'!$C:$C,$A223,'BSE - SENSEX Index Options'!$B:$B,D$147,'BSE - SENSEX Index Options'!$H:$H,"Weekly*")+SUMIFS('BSE - SENSEX Index Options'!$L:$L,'BSE - SENSEX Index Options'!$C:$C,$A223,'BSE - SENSEX Index Options'!$B:$B,D$147,'BSE - SENSEX Index Options'!$H:$H,"MDAW*")+SUMIFS('BSE - Other Index Options'!$L:$L,'BSE - Other Index Options'!$C:$C,$A223,'BSE - Other Index Options'!$B:$B,D$147,'BSE - Other Index Options'!$H:$H,"Weekly*")+SUMIFS('BSE - Other Index Options'!$L:$L,'BSE - Other Index Options'!$C:$C,$A223,'BSE - Other Index Options'!$B:$B,D$147,'BSE - Other Index Options'!$H:$H,"MDAW*"))</f>
        <v/>
      </c>
      <c r="E223" s="26" t="str">
        <f>IF(SUMIFS('BSE - SENSEX Index Options'!$L:$L,'BSE - SENSEX Index Options'!$C:$C,$A223,'BSE - SENSEX Index Options'!$B:$B,E$147,'BSE - SENSEX Index Options'!$H:$H,"Weekly*")+SUMIFS('BSE - SENSEX Index Options'!$L:$L,'BSE - SENSEX Index Options'!$C:$C,$A223,'BSE - SENSEX Index Options'!$B:$B,E$147,'BSE - SENSEX Index Options'!$H:$H,"MDAW*")+SUMIFS('BSE - Other Index Options'!$L:$L,'BSE - Other Index Options'!$C:$C,$A223,'BSE - Other Index Options'!$B:$B,E$147,'BSE - Other Index Options'!$H:$H,"Weekly*")+SUMIFS('BSE - Other Index Options'!$L:$L,'BSE - Other Index Options'!$C:$C,$A223,'BSE - Other Index Options'!$B:$B,E$147,'BSE - Other Index Options'!$H:$H,"MDAW*")=0,"",SUMIFS('BSE - SENSEX Index Options'!$L:$L,'BSE - SENSEX Index Options'!$C:$C,$A223,'BSE - SENSEX Index Options'!$B:$B,E$147,'BSE - SENSEX Index Options'!$H:$H,"Weekly*")+SUMIFS('BSE - SENSEX Index Options'!$L:$L,'BSE - SENSEX Index Options'!$C:$C,$A223,'BSE - SENSEX Index Options'!$B:$B,E$147,'BSE - SENSEX Index Options'!$H:$H,"MDAW*")+SUMIFS('BSE - Other Index Options'!$L:$L,'BSE - Other Index Options'!$C:$C,$A223,'BSE - Other Index Options'!$B:$B,E$147,'BSE - Other Index Options'!$H:$H,"Weekly*")+SUMIFS('BSE - Other Index Options'!$L:$L,'BSE - Other Index Options'!$C:$C,$A223,'BSE - Other Index Options'!$B:$B,E$147,'BSE - Other Index Options'!$H:$H,"MDAW*"))</f>
        <v/>
      </c>
      <c r="F223" s="26" t="str">
        <f>IF(SUMIFS('BSE - SENSEX Index Options'!$L:$L,'BSE - SENSEX Index Options'!$C:$C,$A223,'BSE - SENSEX Index Options'!$B:$B,F$147,'BSE - SENSEX Index Options'!$H:$H,"Weekly*")+SUMIFS('BSE - SENSEX Index Options'!$L:$L,'BSE - SENSEX Index Options'!$C:$C,$A223,'BSE - SENSEX Index Options'!$B:$B,F$147,'BSE - SENSEX Index Options'!$H:$H,"MDAW*")+SUMIFS('BSE - Other Index Options'!$L:$L,'BSE - Other Index Options'!$C:$C,$A223,'BSE - Other Index Options'!$B:$B,F$147,'BSE - Other Index Options'!$H:$H,"Weekly*")+SUMIFS('BSE - Other Index Options'!$L:$L,'BSE - Other Index Options'!$C:$C,$A223,'BSE - Other Index Options'!$B:$B,F$147,'BSE - Other Index Options'!$H:$H,"MDAW*")=0,"",SUMIFS('BSE - SENSEX Index Options'!$L:$L,'BSE - SENSEX Index Options'!$C:$C,$A223,'BSE - SENSEX Index Options'!$B:$B,F$147,'BSE - SENSEX Index Options'!$H:$H,"Weekly*")+SUMIFS('BSE - SENSEX Index Options'!$L:$L,'BSE - SENSEX Index Options'!$C:$C,$A223,'BSE - SENSEX Index Options'!$B:$B,F$147,'BSE - SENSEX Index Options'!$H:$H,"MDAW*")+SUMIFS('BSE - Other Index Options'!$L:$L,'BSE - Other Index Options'!$C:$C,$A223,'BSE - Other Index Options'!$B:$B,F$147,'BSE - Other Index Options'!$H:$H,"Weekly*")+SUMIFS('BSE - Other Index Options'!$L:$L,'BSE - Other Index Options'!$C:$C,$A223,'BSE - Other Index Options'!$B:$B,F$147,'BSE - Other Index Options'!$H:$H,"MDAW*"))</f>
        <v/>
      </c>
      <c r="G223" s="26" t="str">
        <f>IF(SUMIFS('BSE - SENSEX Index Options'!$L:$L,'BSE - SENSEX Index Options'!$C:$C,$A223,'BSE - SENSEX Index Options'!$B:$B,G$147,'BSE - SENSEX Index Options'!$H:$H,"Weekly*")+SUMIFS('BSE - SENSEX Index Options'!$L:$L,'BSE - SENSEX Index Options'!$C:$C,$A223,'BSE - SENSEX Index Options'!$B:$B,G$147,'BSE - SENSEX Index Options'!$H:$H,"MDAW*")+SUMIFS('BSE - Other Index Options'!$L:$L,'BSE - Other Index Options'!$C:$C,$A223,'BSE - Other Index Options'!$B:$B,G$147,'BSE - Other Index Options'!$H:$H,"Weekly*")+SUMIFS('BSE - Other Index Options'!$L:$L,'BSE - Other Index Options'!$C:$C,$A223,'BSE - Other Index Options'!$B:$B,G$147,'BSE - Other Index Options'!$H:$H,"MDAW*")=0,"",SUMIFS('BSE - SENSEX Index Options'!$L:$L,'BSE - SENSEX Index Options'!$C:$C,$A223,'BSE - SENSEX Index Options'!$B:$B,G$147,'BSE - SENSEX Index Options'!$H:$H,"Weekly*")+SUMIFS('BSE - SENSEX Index Options'!$L:$L,'BSE - SENSEX Index Options'!$C:$C,$A223,'BSE - SENSEX Index Options'!$B:$B,G$147,'BSE - SENSEX Index Options'!$H:$H,"MDAW*")+SUMIFS('BSE - Other Index Options'!$L:$L,'BSE - Other Index Options'!$C:$C,$A223,'BSE - Other Index Options'!$B:$B,G$147,'BSE - Other Index Options'!$H:$H,"Weekly*")+SUMIFS('BSE - Other Index Options'!$L:$L,'BSE - Other Index Options'!$C:$C,$A223,'BSE - Other Index Options'!$B:$B,G$147,'BSE - Other Index Options'!$H:$H,"MDAW*"))</f>
        <v/>
      </c>
      <c r="H223" s="26" t="str">
        <f t="shared" si="8"/>
        <v/>
      </c>
    </row>
    <row r="224" spans="1:8" hidden="1" outlineLevel="1">
      <c r="A224" t="s">
        <v>86</v>
      </c>
      <c r="B224" s="26" t="str">
        <f>IF(SUMIFS('BSE - SENSEX Index Options'!$L:$L,'BSE - SENSEX Index Options'!$C:$C,$A224,'BSE - SENSEX Index Options'!$B:$B,B$147,'BSE - SENSEX Index Options'!$H:$H,"Weekly*")+SUMIFS('BSE - SENSEX Index Options'!$L:$L,'BSE - SENSEX Index Options'!$C:$C,$A224,'BSE - SENSEX Index Options'!$B:$B,B$147,'BSE - SENSEX Index Options'!$H:$H,"MDAW*")+SUMIFS('BSE - Other Index Options'!$L:$L,'BSE - Other Index Options'!$C:$C,$A224,'BSE - Other Index Options'!$B:$B,B$147,'BSE - Other Index Options'!$H:$H,"Weekly*")+SUMIFS('BSE - Other Index Options'!$L:$L,'BSE - Other Index Options'!$C:$C,$A224,'BSE - Other Index Options'!$B:$B,B$147,'BSE - Other Index Options'!$H:$H,"MDAW*")=0,"",SUMIFS('BSE - SENSEX Index Options'!$L:$L,'BSE - SENSEX Index Options'!$C:$C,$A224,'BSE - SENSEX Index Options'!$B:$B,B$147,'BSE - SENSEX Index Options'!$H:$H,"Weekly*")+SUMIFS('BSE - SENSEX Index Options'!$L:$L,'BSE - SENSEX Index Options'!$C:$C,$A224,'BSE - SENSEX Index Options'!$B:$B,B$147,'BSE - SENSEX Index Options'!$H:$H,"MDAW*")+SUMIFS('BSE - Other Index Options'!$L:$L,'BSE - Other Index Options'!$C:$C,$A224,'BSE - Other Index Options'!$B:$B,B$147,'BSE - Other Index Options'!$H:$H,"Weekly*")+SUMIFS('BSE - Other Index Options'!$L:$L,'BSE - Other Index Options'!$C:$C,$A224,'BSE - Other Index Options'!$B:$B,B$147,'BSE - Other Index Options'!$H:$H,"MDAW*"))</f>
        <v/>
      </c>
      <c r="C224" s="26" t="str">
        <f>IF(SUMIFS('BSE - SENSEX Index Options'!$L:$L,'BSE - SENSEX Index Options'!$C:$C,$A224,'BSE - SENSEX Index Options'!$B:$B,C$147,'BSE - SENSEX Index Options'!$H:$H,"Weekly*")+SUMIFS('BSE - SENSEX Index Options'!$L:$L,'BSE - SENSEX Index Options'!$C:$C,$A224,'BSE - SENSEX Index Options'!$B:$B,C$147,'BSE - SENSEX Index Options'!$H:$H,"MDAW*")+SUMIFS('BSE - Other Index Options'!$L:$L,'BSE - Other Index Options'!$C:$C,$A224,'BSE - Other Index Options'!$B:$B,C$147,'BSE - Other Index Options'!$H:$H,"Weekly*")+SUMIFS('BSE - Other Index Options'!$L:$L,'BSE - Other Index Options'!$C:$C,$A224,'BSE - Other Index Options'!$B:$B,C$147,'BSE - Other Index Options'!$H:$H,"MDAW*")=0,"",SUMIFS('BSE - SENSEX Index Options'!$L:$L,'BSE - SENSEX Index Options'!$C:$C,$A224,'BSE - SENSEX Index Options'!$B:$B,C$147,'BSE - SENSEX Index Options'!$H:$H,"Weekly*")+SUMIFS('BSE - SENSEX Index Options'!$L:$L,'BSE - SENSEX Index Options'!$C:$C,$A224,'BSE - SENSEX Index Options'!$B:$B,C$147,'BSE - SENSEX Index Options'!$H:$H,"MDAW*")+SUMIFS('BSE - Other Index Options'!$L:$L,'BSE - Other Index Options'!$C:$C,$A224,'BSE - Other Index Options'!$B:$B,C$147,'BSE - Other Index Options'!$H:$H,"Weekly*")+SUMIFS('BSE - Other Index Options'!$L:$L,'BSE - Other Index Options'!$C:$C,$A224,'BSE - Other Index Options'!$B:$B,C$147,'BSE - Other Index Options'!$H:$H,"MDAW*"))</f>
        <v/>
      </c>
      <c r="D224" s="26" t="str">
        <f>IF(SUMIFS('BSE - SENSEX Index Options'!$L:$L,'BSE - SENSEX Index Options'!$C:$C,$A224,'BSE - SENSEX Index Options'!$B:$B,D$147,'BSE - SENSEX Index Options'!$H:$H,"Weekly*")+SUMIFS('BSE - SENSEX Index Options'!$L:$L,'BSE - SENSEX Index Options'!$C:$C,$A224,'BSE - SENSEX Index Options'!$B:$B,D$147,'BSE - SENSEX Index Options'!$H:$H,"MDAW*")+SUMIFS('BSE - Other Index Options'!$L:$L,'BSE - Other Index Options'!$C:$C,$A224,'BSE - Other Index Options'!$B:$B,D$147,'BSE - Other Index Options'!$H:$H,"Weekly*")+SUMIFS('BSE - Other Index Options'!$L:$L,'BSE - Other Index Options'!$C:$C,$A224,'BSE - Other Index Options'!$B:$B,D$147,'BSE - Other Index Options'!$H:$H,"MDAW*")=0,"",SUMIFS('BSE - SENSEX Index Options'!$L:$L,'BSE - SENSEX Index Options'!$C:$C,$A224,'BSE - SENSEX Index Options'!$B:$B,D$147,'BSE - SENSEX Index Options'!$H:$H,"Weekly*")+SUMIFS('BSE - SENSEX Index Options'!$L:$L,'BSE - SENSEX Index Options'!$C:$C,$A224,'BSE - SENSEX Index Options'!$B:$B,D$147,'BSE - SENSEX Index Options'!$H:$H,"MDAW*")+SUMIFS('BSE - Other Index Options'!$L:$L,'BSE - Other Index Options'!$C:$C,$A224,'BSE - Other Index Options'!$B:$B,D$147,'BSE - Other Index Options'!$H:$H,"Weekly*")+SUMIFS('BSE - Other Index Options'!$L:$L,'BSE - Other Index Options'!$C:$C,$A224,'BSE - Other Index Options'!$B:$B,D$147,'BSE - Other Index Options'!$H:$H,"MDAW*"))</f>
        <v/>
      </c>
      <c r="E224" s="26" t="str">
        <f>IF(SUMIFS('BSE - SENSEX Index Options'!$L:$L,'BSE - SENSEX Index Options'!$C:$C,$A224,'BSE - SENSEX Index Options'!$B:$B,E$147,'BSE - SENSEX Index Options'!$H:$H,"Weekly*")+SUMIFS('BSE - SENSEX Index Options'!$L:$L,'BSE - SENSEX Index Options'!$C:$C,$A224,'BSE - SENSEX Index Options'!$B:$B,E$147,'BSE - SENSEX Index Options'!$H:$H,"MDAW*")+SUMIFS('BSE - Other Index Options'!$L:$L,'BSE - Other Index Options'!$C:$C,$A224,'BSE - Other Index Options'!$B:$B,E$147,'BSE - Other Index Options'!$H:$H,"Weekly*")+SUMIFS('BSE - Other Index Options'!$L:$L,'BSE - Other Index Options'!$C:$C,$A224,'BSE - Other Index Options'!$B:$B,E$147,'BSE - Other Index Options'!$H:$H,"MDAW*")=0,"",SUMIFS('BSE - SENSEX Index Options'!$L:$L,'BSE - SENSEX Index Options'!$C:$C,$A224,'BSE - SENSEX Index Options'!$B:$B,E$147,'BSE - SENSEX Index Options'!$H:$H,"Weekly*")+SUMIFS('BSE - SENSEX Index Options'!$L:$L,'BSE - SENSEX Index Options'!$C:$C,$A224,'BSE - SENSEX Index Options'!$B:$B,E$147,'BSE - SENSEX Index Options'!$H:$H,"MDAW*")+SUMIFS('BSE - Other Index Options'!$L:$L,'BSE - Other Index Options'!$C:$C,$A224,'BSE - Other Index Options'!$B:$B,E$147,'BSE - Other Index Options'!$H:$H,"Weekly*")+SUMIFS('BSE - Other Index Options'!$L:$L,'BSE - Other Index Options'!$C:$C,$A224,'BSE - Other Index Options'!$B:$B,E$147,'BSE - Other Index Options'!$H:$H,"MDAW*"))</f>
        <v/>
      </c>
      <c r="F224" s="26" t="str">
        <f>IF(SUMIFS('BSE - SENSEX Index Options'!$L:$L,'BSE - SENSEX Index Options'!$C:$C,$A224,'BSE - SENSEX Index Options'!$B:$B,F$147,'BSE - SENSEX Index Options'!$H:$H,"Weekly*")+SUMIFS('BSE - SENSEX Index Options'!$L:$L,'BSE - SENSEX Index Options'!$C:$C,$A224,'BSE - SENSEX Index Options'!$B:$B,F$147,'BSE - SENSEX Index Options'!$H:$H,"MDAW*")+SUMIFS('BSE - Other Index Options'!$L:$L,'BSE - Other Index Options'!$C:$C,$A224,'BSE - Other Index Options'!$B:$B,F$147,'BSE - Other Index Options'!$H:$H,"Weekly*")+SUMIFS('BSE - Other Index Options'!$L:$L,'BSE - Other Index Options'!$C:$C,$A224,'BSE - Other Index Options'!$B:$B,F$147,'BSE - Other Index Options'!$H:$H,"MDAW*")=0,"",SUMIFS('BSE - SENSEX Index Options'!$L:$L,'BSE - SENSEX Index Options'!$C:$C,$A224,'BSE - SENSEX Index Options'!$B:$B,F$147,'BSE - SENSEX Index Options'!$H:$H,"Weekly*")+SUMIFS('BSE - SENSEX Index Options'!$L:$L,'BSE - SENSEX Index Options'!$C:$C,$A224,'BSE - SENSEX Index Options'!$B:$B,F$147,'BSE - SENSEX Index Options'!$H:$H,"MDAW*")+SUMIFS('BSE - Other Index Options'!$L:$L,'BSE - Other Index Options'!$C:$C,$A224,'BSE - Other Index Options'!$B:$B,F$147,'BSE - Other Index Options'!$H:$H,"Weekly*")+SUMIFS('BSE - Other Index Options'!$L:$L,'BSE - Other Index Options'!$C:$C,$A224,'BSE - Other Index Options'!$B:$B,F$147,'BSE - Other Index Options'!$H:$H,"MDAW*"))</f>
        <v/>
      </c>
      <c r="G224" s="26" t="str">
        <f>IF(SUMIFS('BSE - SENSEX Index Options'!$L:$L,'BSE - SENSEX Index Options'!$C:$C,$A224,'BSE - SENSEX Index Options'!$B:$B,G$147,'BSE - SENSEX Index Options'!$H:$H,"Weekly*")+SUMIFS('BSE - SENSEX Index Options'!$L:$L,'BSE - SENSEX Index Options'!$C:$C,$A224,'BSE - SENSEX Index Options'!$B:$B,G$147,'BSE - SENSEX Index Options'!$H:$H,"MDAW*")+SUMIFS('BSE - Other Index Options'!$L:$L,'BSE - Other Index Options'!$C:$C,$A224,'BSE - Other Index Options'!$B:$B,G$147,'BSE - Other Index Options'!$H:$H,"Weekly*")+SUMIFS('BSE - Other Index Options'!$L:$L,'BSE - Other Index Options'!$C:$C,$A224,'BSE - Other Index Options'!$B:$B,G$147,'BSE - Other Index Options'!$H:$H,"MDAW*")=0,"",SUMIFS('BSE - SENSEX Index Options'!$L:$L,'BSE - SENSEX Index Options'!$C:$C,$A224,'BSE - SENSEX Index Options'!$B:$B,G$147,'BSE - SENSEX Index Options'!$H:$H,"Weekly*")+SUMIFS('BSE - SENSEX Index Options'!$L:$L,'BSE - SENSEX Index Options'!$C:$C,$A224,'BSE - SENSEX Index Options'!$B:$B,G$147,'BSE - SENSEX Index Options'!$H:$H,"MDAW*")+SUMIFS('BSE - Other Index Options'!$L:$L,'BSE - Other Index Options'!$C:$C,$A224,'BSE - Other Index Options'!$B:$B,G$147,'BSE - Other Index Options'!$H:$H,"Weekly*")+SUMIFS('BSE - Other Index Options'!$L:$L,'BSE - Other Index Options'!$C:$C,$A224,'BSE - Other Index Options'!$B:$B,G$147,'BSE - Other Index Options'!$H:$H,"MDAW*"))</f>
        <v/>
      </c>
      <c r="H224" s="26" t="str">
        <f t="shared" si="8"/>
        <v/>
      </c>
    </row>
    <row r="225" spans="1:8" hidden="1" outlineLevel="1">
      <c r="A225" t="s">
        <v>87</v>
      </c>
      <c r="B225" s="26" t="str">
        <f>IF(SUMIFS('BSE - SENSEX Index Options'!$L:$L,'BSE - SENSEX Index Options'!$C:$C,$A225,'BSE - SENSEX Index Options'!$B:$B,B$147,'BSE - SENSEX Index Options'!$H:$H,"Weekly*")+SUMIFS('BSE - SENSEX Index Options'!$L:$L,'BSE - SENSEX Index Options'!$C:$C,$A225,'BSE - SENSEX Index Options'!$B:$B,B$147,'BSE - SENSEX Index Options'!$H:$H,"MDAW*")+SUMIFS('BSE - Other Index Options'!$L:$L,'BSE - Other Index Options'!$C:$C,$A225,'BSE - Other Index Options'!$B:$B,B$147,'BSE - Other Index Options'!$H:$H,"Weekly*")+SUMIFS('BSE - Other Index Options'!$L:$L,'BSE - Other Index Options'!$C:$C,$A225,'BSE - Other Index Options'!$B:$B,B$147,'BSE - Other Index Options'!$H:$H,"MDAW*")=0,"",SUMIFS('BSE - SENSEX Index Options'!$L:$L,'BSE - SENSEX Index Options'!$C:$C,$A225,'BSE - SENSEX Index Options'!$B:$B,B$147,'BSE - SENSEX Index Options'!$H:$H,"Weekly*")+SUMIFS('BSE - SENSEX Index Options'!$L:$L,'BSE - SENSEX Index Options'!$C:$C,$A225,'BSE - SENSEX Index Options'!$B:$B,B$147,'BSE - SENSEX Index Options'!$H:$H,"MDAW*")+SUMIFS('BSE - Other Index Options'!$L:$L,'BSE - Other Index Options'!$C:$C,$A225,'BSE - Other Index Options'!$B:$B,B$147,'BSE - Other Index Options'!$H:$H,"Weekly*")+SUMIFS('BSE - Other Index Options'!$L:$L,'BSE - Other Index Options'!$C:$C,$A225,'BSE - Other Index Options'!$B:$B,B$147,'BSE - Other Index Options'!$H:$H,"MDAW*"))</f>
        <v/>
      </c>
      <c r="C225" s="26" t="str">
        <f>IF(SUMIFS('BSE - SENSEX Index Options'!$L:$L,'BSE - SENSEX Index Options'!$C:$C,$A225,'BSE - SENSEX Index Options'!$B:$B,C$147,'BSE - SENSEX Index Options'!$H:$H,"Weekly*")+SUMIFS('BSE - SENSEX Index Options'!$L:$L,'BSE - SENSEX Index Options'!$C:$C,$A225,'BSE - SENSEX Index Options'!$B:$B,C$147,'BSE - SENSEX Index Options'!$H:$H,"MDAW*")+SUMIFS('BSE - Other Index Options'!$L:$L,'BSE - Other Index Options'!$C:$C,$A225,'BSE - Other Index Options'!$B:$B,C$147,'BSE - Other Index Options'!$H:$H,"Weekly*")+SUMIFS('BSE - Other Index Options'!$L:$L,'BSE - Other Index Options'!$C:$C,$A225,'BSE - Other Index Options'!$B:$B,C$147,'BSE - Other Index Options'!$H:$H,"MDAW*")=0,"",SUMIFS('BSE - SENSEX Index Options'!$L:$L,'BSE - SENSEX Index Options'!$C:$C,$A225,'BSE - SENSEX Index Options'!$B:$B,C$147,'BSE - SENSEX Index Options'!$H:$H,"Weekly*")+SUMIFS('BSE - SENSEX Index Options'!$L:$L,'BSE - SENSEX Index Options'!$C:$C,$A225,'BSE - SENSEX Index Options'!$B:$B,C$147,'BSE - SENSEX Index Options'!$H:$H,"MDAW*")+SUMIFS('BSE - Other Index Options'!$L:$L,'BSE - Other Index Options'!$C:$C,$A225,'BSE - Other Index Options'!$B:$B,C$147,'BSE - Other Index Options'!$H:$H,"Weekly*")+SUMIFS('BSE - Other Index Options'!$L:$L,'BSE - Other Index Options'!$C:$C,$A225,'BSE - Other Index Options'!$B:$B,C$147,'BSE - Other Index Options'!$H:$H,"MDAW*"))</f>
        <v/>
      </c>
      <c r="D225" s="26" t="str">
        <f>IF(SUMIFS('BSE - SENSEX Index Options'!$L:$L,'BSE - SENSEX Index Options'!$C:$C,$A225,'BSE - SENSEX Index Options'!$B:$B,D$147,'BSE - SENSEX Index Options'!$H:$H,"Weekly*")+SUMIFS('BSE - SENSEX Index Options'!$L:$L,'BSE - SENSEX Index Options'!$C:$C,$A225,'BSE - SENSEX Index Options'!$B:$B,D$147,'BSE - SENSEX Index Options'!$H:$H,"MDAW*")+SUMIFS('BSE - Other Index Options'!$L:$L,'BSE - Other Index Options'!$C:$C,$A225,'BSE - Other Index Options'!$B:$B,D$147,'BSE - Other Index Options'!$H:$H,"Weekly*")+SUMIFS('BSE - Other Index Options'!$L:$L,'BSE - Other Index Options'!$C:$C,$A225,'BSE - Other Index Options'!$B:$B,D$147,'BSE - Other Index Options'!$H:$H,"MDAW*")=0,"",SUMIFS('BSE - SENSEX Index Options'!$L:$L,'BSE - SENSEX Index Options'!$C:$C,$A225,'BSE - SENSEX Index Options'!$B:$B,D$147,'BSE - SENSEX Index Options'!$H:$H,"Weekly*")+SUMIFS('BSE - SENSEX Index Options'!$L:$L,'BSE - SENSEX Index Options'!$C:$C,$A225,'BSE - SENSEX Index Options'!$B:$B,D$147,'BSE - SENSEX Index Options'!$H:$H,"MDAW*")+SUMIFS('BSE - Other Index Options'!$L:$L,'BSE - Other Index Options'!$C:$C,$A225,'BSE - Other Index Options'!$B:$B,D$147,'BSE - Other Index Options'!$H:$H,"Weekly*")+SUMIFS('BSE - Other Index Options'!$L:$L,'BSE - Other Index Options'!$C:$C,$A225,'BSE - Other Index Options'!$B:$B,D$147,'BSE - Other Index Options'!$H:$H,"MDAW*"))</f>
        <v/>
      </c>
      <c r="E225" s="26" t="str">
        <f>IF(SUMIFS('BSE - SENSEX Index Options'!$L:$L,'BSE - SENSEX Index Options'!$C:$C,$A225,'BSE - SENSEX Index Options'!$B:$B,E$147,'BSE - SENSEX Index Options'!$H:$H,"Weekly*")+SUMIFS('BSE - SENSEX Index Options'!$L:$L,'BSE - SENSEX Index Options'!$C:$C,$A225,'BSE - SENSEX Index Options'!$B:$B,E$147,'BSE - SENSEX Index Options'!$H:$H,"MDAW*")+SUMIFS('BSE - Other Index Options'!$L:$L,'BSE - Other Index Options'!$C:$C,$A225,'BSE - Other Index Options'!$B:$B,E$147,'BSE - Other Index Options'!$H:$H,"Weekly*")+SUMIFS('BSE - Other Index Options'!$L:$L,'BSE - Other Index Options'!$C:$C,$A225,'BSE - Other Index Options'!$B:$B,E$147,'BSE - Other Index Options'!$H:$H,"MDAW*")=0,"",SUMIFS('BSE - SENSEX Index Options'!$L:$L,'BSE - SENSEX Index Options'!$C:$C,$A225,'BSE - SENSEX Index Options'!$B:$B,E$147,'BSE - SENSEX Index Options'!$H:$H,"Weekly*")+SUMIFS('BSE - SENSEX Index Options'!$L:$L,'BSE - SENSEX Index Options'!$C:$C,$A225,'BSE - SENSEX Index Options'!$B:$B,E$147,'BSE - SENSEX Index Options'!$H:$H,"MDAW*")+SUMIFS('BSE - Other Index Options'!$L:$L,'BSE - Other Index Options'!$C:$C,$A225,'BSE - Other Index Options'!$B:$B,E$147,'BSE - Other Index Options'!$H:$H,"Weekly*")+SUMIFS('BSE - Other Index Options'!$L:$L,'BSE - Other Index Options'!$C:$C,$A225,'BSE - Other Index Options'!$B:$B,E$147,'BSE - Other Index Options'!$H:$H,"MDAW*"))</f>
        <v/>
      </c>
      <c r="F225" s="26" t="str">
        <f>IF(SUMIFS('BSE - SENSEX Index Options'!$L:$L,'BSE - SENSEX Index Options'!$C:$C,$A225,'BSE - SENSEX Index Options'!$B:$B,F$147,'BSE - SENSEX Index Options'!$H:$H,"Weekly*")+SUMIFS('BSE - SENSEX Index Options'!$L:$L,'BSE - SENSEX Index Options'!$C:$C,$A225,'BSE - SENSEX Index Options'!$B:$B,F$147,'BSE - SENSEX Index Options'!$H:$H,"MDAW*")+SUMIFS('BSE - Other Index Options'!$L:$L,'BSE - Other Index Options'!$C:$C,$A225,'BSE - Other Index Options'!$B:$B,F$147,'BSE - Other Index Options'!$H:$H,"Weekly*")+SUMIFS('BSE - Other Index Options'!$L:$L,'BSE - Other Index Options'!$C:$C,$A225,'BSE - Other Index Options'!$B:$B,F$147,'BSE - Other Index Options'!$H:$H,"MDAW*")=0,"",SUMIFS('BSE - SENSEX Index Options'!$L:$L,'BSE - SENSEX Index Options'!$C:$C,$A225,'BSE - SENSEX Index Options'!$B:$B,F$147,'BSE - SENSEX Index Options'!$H:$H,"Weekly*")+SUMIFS('BSE - SENSEX Index Options'!$L:$L,'BSE - SENSEX Index Options'!$C:$C,$A225,'BSE - SENSEX Index Options'!$B:$B,F$147,'BSE - SENSEX Index Options'!$H:$H,"MDAW*")+SUMIFS('BSE - Other Index Options'!$L:$L,'BSE - Other Index Options'!$C:$C,$A225,'BSE - Other Index Options'!$B:$B,F$147,'BSE - Other Index Options'!$H:$H,"Weekly*")+SUMIFS('BSE - Other Index Options'!$L:$L,'BSE - Other Index Options'!$C:$C,$A225,'BSE - Other Index Options'!$B:$B,F$147,'BSE - Other Index Options'!$H:$H,"MDAW*"))</f>
        <v/>
      </c>
      <c r="G225" s="26" t="str">
        <f>IF(SUMIFS('BSE - SENSEX Index Options'!$L:$L,'BSE - SENSEX Index Options'!$C:$C,$A225,'BSE - SENSEX Index Options'!$B:$B,G$147,'BSE - SENSEX Index Options'!$H:$H,"Weekly*")+SUMIFS('BSE - SENSEX Index Options'!$L:$L,'BSE - SENSEX Index Options'!$C:$C,$A225,'BSE - SENSEX Index Options'!$B:$B,G$147,'BSE - SENSEX Index Options'!$H:$H,"MDAW*")+SUMIFS('BSE - Other Index Options'!$L:$L,'BSE - Other Index Options'!$C:$C,$A225,'BSE - Other Index Options'!$B:$B,G$147,'BSE - Other Index Options'!$H:$H,"Weekly*")+SUMIFS('BSE - Other Index Options'!$L:$L,'BSE - Other Index Options'!$C:$C,$A225,'BSE - Other Index Options'!$B:$B,G$147,'BSE - Other Index Options'!$H:$H,"MDAW*")=0,"",SUMIFS('BSE - SENSEX Index Options'!$L:$L,'BSE - SENSEX Index Options'!$C:$C,$A225,'BSE - SENSEX Index Options'!$B:$B,G$147,'BSE - SENSEX Index Options'!$H:$H,"Weekly*")+SUMIFS('BSE - SENSEX Index Options'!$L:$L,'BSE - SENSEX Index Options'!$C:$C,$A225,'BSE - SENSEX Index Options'!$B:$B,G$147,'BSE - SENSEX Index Options'!$H:$H,"MDAW*")+SUMIFS('BSE - Other Index Options'!$L:$L,'BSE - Other Index Options'!$C:$C,$A225,'BSE - Other Index Options'!$B:$B,G$147,'BSE - Other Index Options'!$H:$H,"Weekly*")+SUMIFS('BSE - Other Index Options'!$L:$L,'BSE - Other Index Options'!$C:$C,$A225,'BSE - Other Index Options'!$B:$B,G$147,'BSE - Other Index Options'!$H:$H,"MDAW*"))</f>
        <v/>
      </c>
      <c r="H225" s="26" t="str">
        <f t="shared" si="8"/>
        <v/>
      </c>
    </row>
    <row r="226" spans="1:8" hidden="1" outlineLevel="1">
      <c r="A226" t="s">
        <v>88</v>
      </c>
      <c r="B226" s="26" t="str">
        <f>IF(SUMIFS('BSE - SENSEX Index Options'!$L:$L,'BSE - SENSEX Index Options'!$C:$C,$A226,'BSE - SENSEX Index Options'!$B:$B,B$147,'BSE - SENSEX Index Options'!$H:$H,"Weekly*")+SUMIFS('BSE - SENSEX Index Options'!$L:$L,'BSE - SENSEX Index Options'!$C:$C,$A226,'BSE - SENSEX Index Options'!$B:$B,B$147,'BSE - SENSEX Index Options'!$H:$H,"MDAW*")+SUMIFS('BSE - Other Index Options'!$L:$L,'BSE - Other Index Options'!$C:$C,$A226,'BSE - Other Index Options'!$B:$B,B$147,'BSE - Other Index Options'!$H:$H,"Weekly*")+SUMIFS('BSE - Other Index Options'!$L:$L,'BSE - Other Index Options'!$C:$C,$A226,'BSE - Other Index Options'!$B:$B,B$147,'BSE - Other Index Options'!$H:$H,"MDAW*")=0,"",SUMIFS('BSE - SENSEX Index Options'!$L:$L,'BSE - SENSEX Index Options'!$C:$C,$A226,'BSE - SENSEX Index Options'!$B:$B,B$147,'BSE - SENSEX Index Options'!$H:$H,"Weekly*")+SUMIFS('BSE - SENSEX Index Options'!$L:$L,'BSE - SENSEX Index Options'!$C:$C,$A226,'BSE - SENSEX Index Options'!$B:$B,B$147,'BSE - SENSEX Index Options'!$H:$H,"MDAW*")+SUMIFS('BSE - Other Index Options'!$L:$L,'BSE - Other Index Options'!$C:$C,$A226,'BSE - Other Index Options'!$B:$B,B$147,'BSE - Other Index Options'!$H:$H,"Weekly*")+SUMIFS('BSE - Other Index Options'!$L:$L,'BSE - Other Index Options'!$C:$C,$A226,'BSE - Other Index Options'!$B:$B,B$147,'BSE - Other Index Options'!$H:$H,"MDAW*"))</f>
        <v/>
      </c>
      <c r="C226" s="26" t="str">
        <f>IF(SUMIFS('BSE - SENSEX Index Options'!$L:$L,'BSE - SENSEX Index Options'!$C:$C,$A226,'BSE - SENSEX Index Options'!$B:$B,C$147,'BSE - SENSEX Index Options'!$H:$H,"Weekly*")+SUMIFS('BSE - SENSEX Index Options'!$L:$L,'BSE - SENSEX Index Options'!$C:$C,$A226,'BSE - SENSEX Index Options'!$B:$B,C$147,'BSE - SENSEX Index Options'!$H:$H,"MDAW*")+SUMIFS('BSE - Other Index Options'!$L:$L,'BSE - Other Index Options'!$C:$C,$A226,'BSE - Other Index Options'!$B:$B,C$147,'BSE - Other Index Options'!$H:$H,"Weekly*")+SUMIFS('BSE - Other Index Options'!$L:$L,'BSE - Other Index Options'!$C:$C,$A226,'BSE - Other Index Options'!$B:$B,C$147,'BSE - Other Index Options'!$H:$H,"MDAW*")=0,"",SUMIFS('BSE - SENSEX Index Options'!$L:$L,'BSE - SENSEX Index Options'!$C:$C,$A226,'BSE - SENSEX Index Options'!$B:$B,C$147,'BSE - SENSEX Index Options'!$H:$H,"Weekly*")+SUMIFS('BSE - SENSEX Index Options'!$L:$L,'BSE - SENSEX Index Options'!$C:$C,$A226,'BSE - SENSEX Index Options'!$B:$B,C$147,'BSE - SENSEX Index Options'!$H:$H,"MDAW*")+SUMIFS('BSE - Other Index Options'!$L:$L,'BSE - Other Index Options'!$C:$C,$A226,'BSE - Other Index Options'!$B:$B,C$147,'BSE - Other Index Options'!$H:$H,"Weekly*")+SUMIFS('BSE - Other Index Options'!$L:$L,'BSE - Other Index Options'!$C:$C,$A226,'BSE - Other Index Options'!$B:$B,C$147,'BSE - Other Index Options'!$H:$H,"MDAW*"))</f>
        <v/>
      </c>
      <c r="D226" s="26" t="str">
        <f>IF(SUMIFS('BSE - SENSEX Index Options'!$L:$L,'BSE - SENSEX Index Options'!$C:$C,$A226,'BSE - SENSEX Index Options'!$B:$B,D$147,'BSE - SENSEX Index Options'!$H:$H,"Weekly*")+SUMIFS('BSE - SENSEX Index Options'!$L:$L,'BSE - SENSEX Index Options'!$C:$C,$A226,'BSE - SENSEX Index Options'!$B:$B,D$147,'BSE - SENSEX Index Options'!$H:$H,"MDAW*")+SUMIFS('BSE - Other Index Options'!$L:$L,'BSE - Other Index Options'!$C:$C,$A226,'BSE - Other Index Options'!$B:$B,D$147,'BSE - Other Index Options'!$H:$H,"Weekly*")+SUMIFS('BSE - Other Index Options'!$L:$L,'BSE - Other Index Options'!$C:$C,$A226,'BSE - Other Index Options'!$B:$B,D$147,'BSE - Other Index Options'!$H:$H,"MDAW*")=0,"",SUMIFS('BSE - SENSEX Index Options'!$L:$L,'BSE - SENSEX Index Options'!$C:$C,$A226,'BSE - SENSEX Index Options'!$B:$B,D$147,'BSE - SENSEX Index Options'!$H:$H,"Weekly*")+SUMIFS('BSE - SENSEX Index Options'!$L:$L,'BSE - SENSEX Index Options'!$C:$C,$A226,'BSE - SENSEX Index Options'!$B:$B,D$147,'BSE - SENSEX Index Options'!$H:$H,"MDAW*")+SUMIFS('BSE - Other Index Options'!$L:$L,'BSE - Other Index Options'!$C:$C,$A226,'BSE - Other Index Options'!$B:$B,D$147,'BSE - Other Index Options'!$H:$H,"Weekly*")+SUMIFS('BSE - Other Index Options'!$L:$L,'BSE - Other Index Options'!$C:$C,$A226,'BSE - Other Index Options'!$B:$B,D$147,'BSE - Other Index Options'!$H:$H,"MDAW*"))</f>
        <v/>
      </c>
      <c r="E226" s="26" t="str">
        <f>IF(SUMIFS('BSE - SENSEX Index Options'!$L:$L,'BSE - SENSEX Index Options'!$C:$C,$A226,'BSE - SENSEX Index Options'!$B:$B,E$147,'BSE - SENSEX Index Options'!$H:$H,"Weekly*")+SUMIFS('BSE - SENSEX Index Options'!$L:$L,'BSE - SENSEX Index Options'!$C:$C,$A226,'BSE - SENSEX Index Options'!$B:$B,E$147,'BSE - SENSEX Index Options'!$H:$H,"MDAW*")+SUMIFS('BSE - Other Index Options'!$L:$L,'BSE - Other Index Options'!$C:$C,$A226,'BSE - Other Index Options'!$B:$B,E$147,'BSE - Other Index Options'!$H:$H,"Weekly*")+SUMIFS('BSE - Other Index Options'!$L:$L,'BSE - Other Index Options'!$C:$C,$A226,'BSE - Other Index Options'!$B:$B,E$147,'BSE - Other Index Options'!$H:$H,"MDAW*")=0,"",SUMIFS('BSE - SENSEX Index Options'!$L:$L,'BSE - SENSEX Index Options'!$C:$C,$A226,'BSE - SENSEX Index Options'!$B:$B,E$147,'BSE - SENSEX Index Options'!$H:$H,"Weekly*")+SUMIFS('BSE - SENSEX Index Options'!$L:$L,'BSE - SENSEX Index Options'!$C:$C,$A226,'BSE - SENSEX Index Options'!$B:$B,E$147,'BSE - SENSEX Index Options'!$H:$H,"MDAW*")+SUMIFS('BSE - Other Index Options'!$L:$L,'BSE - Other Index Options'!$C:$C,$A226,'BSE - Other Index Options'!$B:$B,E$147,'BSE - Other Index Options'!$H:$H,"Weekly*")+SUMIFS('BSE - Other Index Options'!$L:$L,'BSE - Other Index Options'!$C:$C,$A226,'BSE - Other Index Options'!$B:$B,E$147,'BSE - Other Index Options'!$H:$H,"MDAW*"))</f>
        <v/>
      </c>
      <c r="F226" s="26" t="str">
        <f>IF(SUMIFS('BSE - SENSEX Index Options'!$L:$L,'BSE - SENSEX Index Options'!$C:$C,$A226,'BSE - SENSEX Index Options'!$B:$B,F$147,'BSE - SENSEX Index Options'!$H:$H,"Weekly*")+SUMIFS('BSE - SENSEX Index Options'!$L:$L,'BSE - SENSEX Index Options'!$C:$C,$A226,'BSE - SENSEX Index Options'!$B:$B,F$147,'BSE - SENSEX Index Options'!$H:$H,"MDAW*")+SUMIFS('BSE - Other Index Options'!$L:$L,'BSE - Other Index Options'!$C:$C,$A226,'BSE - Other Index Options'!$B:$B,F$147,'BSE - Other Index Options'!$H:$H,"Weekly*")+SUMIFS('BSE - Other Index Options'!$L:$L,'BSE - Other Index Options'!$C:$C,$A226,'BSE - Other Index Options'!$B:$B,F$147,'BSE - Other Index Options'!$H:$H,"MDAW*")=0,"",SUMIFS('BSE - SENSEX Index Options'!$L:$L,'BSE - SENSEX Index Options'!$C:$C,$A226,'BSE - SENSEX Index Options'!$B:$B,F$147,'BSE - SENSEX Index Options'!$H:$H,"Weekly*")+SUMIFS('BSE - SENSEX Index Options'!$L:$L,'BSE - SENSEX Index Options'!$C:$C,$A226,'BSE - SENSEX Index Options'!$B:$B,F$147,'BSE - SENSEX Index Options'!$H:$H,"MDAW*")+SUMIFS('BSE - Other Index Options'!$L:$L,'BSE - Other Index Options'!$C:$C,$A226,'BSE - Other Index Options'!$B:$B,F$147,'BSE - Other Index Options'!$H:$H,"Weekly*")+SUMIFS('BSE - Other Index Options'!$L:$L,'BSE - Other Index Options'!$C:$C,$A226,'BSE - Other Index Options'!$B:$B,F$147,'BSE - Other Index Options'!$H:$H,"MDAW*"))</f>
        <v/>
      </c>
      <c r="G226" s="26" t="str">
        <f>IF(SUMIFS('BSE - SENSEX Index Options'!$L:$L,'BSE - SENSEX Index Options'!$C:$C,$A226,'BSE - SENSEX Index Options'!$B:$B,G$147,'BSE - SENSEX Index Options'!$H:$H,"Weekly*")+SUMIFS('BSE - SENSEX Index Options'!$L:$L,'BSE - SENSEX Index Options'!$C:$C,$A226,'BSE - SENSEX Index Options'!$B:$B,G$147,'BSE - SENSEX Index Options'!$H:$H,"MDAW*")+SUMIFS('BSE - Other Index Options'!$L:$L,'BSE - Other Index Options'!$C:$C,$A226,'BSE - Other Index Options'!$B:$B,G$147,'BSE - Other Index Options'!$H:$H,"Weekly*")+SUMIFS('BSE - Other Index Options'!$L:$L,'BSE - Other Index Options'!$C:$C,$A226,'BSE - Other Index Options'!$B:$B,G$147,'BSE - Other Index Options'!$H:$H,"MDAW*")=0,"",SUMIFS('BSE - SENSEX Index Options'!$L:$L,'BSE - SENSEX Index Options'!$C:$C,$A226,'BSE - SENSEX Index Options'!$B:$B,G$147,'BSE - SENSEX Index Options'!$H:$H,"Weekly*")+SUMIFS('BSE - SENSEX Index Options'!$L:$L,'BSE - SENSEX Index Options'!$C:$C,$A226,'BSE - SENSEX Index Options'!$B:$B,G$147,'BSE - SENSEX Index Options'!$H:$H,"MDAW*")+SUMIFS('BSE - Other Index Options'!$L:$L,'BSE - Other Index Options'!$C:$C,$A226,'BSE - Other Index Options'!$B:$B,G$147,'BSE - Other Index Options'!$H:$H,"Weekly*")+SUMIFS('BSE - Other Index Options'!$L:$L,'BSE - Other Index Options'!$C:$C,$A226,'BSE - Other Index Options'!$B:$B,G$147,'BSE - Other Index Options'!$H:$H,"MDAW*"))</f>
        <v/>
      </c>
      <c r="H226" s="26" t="str">
        <f t="shared" si="8"/>
        <v/>
      </c>
    </row>
    <row r="227" spans="1:8" hidden="1" outlineLevel="1">
      <c r="A227" t="s">
        <v>89</v>
      </c>
      <c r="B227" s="26" t="str">
        <f>IF(SUMIFS('BSE - SENSEX Index Options'!$L:$L,'BSE - SENSEX Index Options'!$C:$C,$A227,'BSE - SENSEX Index Options'!$B:$B,B$147,'BSE - SENSEX Index Options'!$H:$H,"Weekly*")+SUMIFS('BSE - SENSEX Index Options'!$L:$L,'BSE - SENSEX Index Options'!$C:$C,$A227,'BSE - SENSEX Index Options'!$B:$B,B$147,'BSE - SENSEX Index Options'!$H:$H,"MDAW*")+SUMIFS('BSE - Other Index Options'!$L:$L,'BSE - Other Index Options'!$C:$C,$A227,'BSE - Other Index Options'!$B:$B,B$147,'BSE - Other Index Options'!$H:$H,"Weekly*")+SUMIFS('BSE - Other Index Options'!$L:$L,'BSE - Other Index Options'!$C:$C,$A227,'BSE - Other Index Options'!$B:$B,B$147,'BSE - Other Index Options'!$H:$H,"MDAW*")=0,"",SUMIFS('BSE - SENSEX Index Options'!$L:$L,'BSE - SENSEX Index Options'!$C:$C,$A227,'BSE - SENSEX Index Options'!$B:$B,B$147,'BSE - SENSEX Index Options'!$H:$H,"Weekly*")+SUMIFS('BSE - SENSEX Index Options'!$L:$L,'BSE - SENSEX Index Options'!$C:$C,$A227,'BSE - SENSEX Index Options'!$B:$B,B$147,'BSE - SENSEX Index Options'!$H:$H,"MDAW*")+SUMIFS('BSE - Other Index Options'!$L:$L,'BSE - Other Index Options'!$C:$C,$A227,'BSE - Other Index Options'!$B:$B,B$147,'BSE - Other Index Options'!$H:$H,"Weekly*")+SUMIFS('BSE - Other Index Options'!$L:$L,'BSE - Other Index Options'!$C:$C,$A227,'BSE - Other Index Options'!$B:$B,B$147,'BSE - Other Index Options'!$H:$H,"MDAW*"))</f>
        <v/>
      </c>
      <c r="C227" s="26" t="str">
        <f>IF(SUMIFS('BSE - SENSEX Index Options'!$L:$L,'BSE - SENSEX Index Options'!$C:$C,$A227,'BSE - SENSEX Index Options'!$B:$B,C$147,'BSE - SENSEX Index Options'!$H:$H,"Weekly*")+SUMIFS('BSE - SENSEX Index Options'!$L:$L,'BSE - SENSEX Index Options'!$C:$C,$A227,'BSE - SENSEX Index Options'!$B:$B,C$147,'BSE - SENSEX Index Options'!$H:$H,"MDAW*")+SUMIFS('BSE - Other Index Options'!$L:$L,'BSE - Other Index Options'!$C:$C,$A227,'BSE - Other Index Options'!$B:$B,C$147,'BSE - Other Index Options'!$H:$H,"Weekly*")+SUMIFS('BSE - Other Index Options'!$L:$L,'BSE - Other Index Options'!$C:$C,$A227,'BSE - Other Index Options'!$B:$B,C$147,'BSE - Other Index Options'!$H:$H,"MDAW*")=0,"",SUMIFS('BSE - SENSEX Index Options'!$L:$L,'BSE - SENSEX Index Options'!$C:$C,$A227,'BSE - SENSEX Index Options'!$B:$B,C$147,'BSE - SENSEX Index Options'!$H:$H,"Weekly*")+SUMIFS('BSE - SENSEX Index Options'!$L:$L,'BSE - SENSEX Index Options'!$C:$C,$A227,'BSE - SENSEX Index Options'!$B:$B,C$147,'BSE - SENSEX Index Options'!$H:$H,"MDAW*")+SUMIFS('BSE - Other Index Options'!$L:$L,'BSE - Other Index Options'!$C:$C,$A227,'BSE - Other Index Options'!$B:$B,C$147,'BSE - Other Index Options'!$H:$H,"Weekly*")+SUMIFS('BSE - Other Index Options'!$L:$L,'BSE - Other Index Options'!$C:$C,$A227,'BSE - Other Index Options'!$B:$B,C$147,'BSE - Other Index Options'!$H:$H,"MDAW*"))</f>
        <v/>
      </c>
      <c r="D227" s="26" t="str">
        <f>IF(SUMIFS('BSE - SENSEX Index Options'!$L:$L,'BSE - SENSEX Index Options'!$C:$C,$A227,'BSE - SENSEX Index Options'!$B:$B,D$147,'BSE - SENSEX Index Options'!$H:$H,"Weekly*")+SUMIFS('BSE - SENSEX Index Options'!$L:$L,'BSE - SENSEX Index Options'!$C:$C,$A227,'BSE - SENSEX Index Options'!$B:$B,D$147,'BSE - SENSEX Index Options'!$H:$H,"MDAW*")+SUMIFS('BSE - Other Index Options'!$L:$L,'BSE - Other Index Options'!$C:$C,$A227,'BSE - Other Index Options'!$B:$B,D$147,'BSE - Other Index Options'!$H:$H,"Weekly*")+SUMIFS('BSE - Other Index Options'!$L:$L,'BSE - Other Index Options'!$C:$C,$A227,'BSE - Other Index Options'!$B:$B,D$147,'BSE - Other Index Options'!$H:$H,"MDAW*")=0,"",SUMIFS('BSE - SENSEX Index Options'!$L:$L,'BSE - SENSEX Index Options'!$C:$C,$A227,'BSE - SENSEX Index Options'!$B:$B,D$147,'BSE - SENSEX Index Options'!$H:$H,"Weekly*")+SUMIFS('BSE - SENSEX Index Options'!$L:$L,'BSE - SENSEX Index Options'!$C:$C,$A227,'BSE - SENSEX Index Options'!$B:$B,D$147,'BSE - SENSEX Index Options'!$H:$H,"MDAW*")+SUMIFS('BSE - Other Index Options'!$L:$L,'BSE - Other Index Options'!$C:$C,$A227,'BSE - Other Index Options'!$B:$B,D$147,'BSE - Other Index Options'!$H:$H,"Weekly*")+SUMIFS('BSE - Other Index Options'!$L:$L,'BSE - Other Index Options'!$C:$C,$A227,'BSE - Other Index Options'!$B:$B,D$147,'BSE - Other Index Options'!$H:$H,"MDAW*"))</f>
        <v/>
      </c>
      <c r="E227" s="26" t="str">
        <f>IF(SUMIFS('BSE - SENSEX Index Options'!$L:$L,'BSE - SENSEX Index Options'!$C:$C,$A227,'BSE - SENSEX Index Options'!$B:$B,E$147,'BSE - SENSEX Index Options'!$H:$H,"Weekly*")+SUMIFS('BSE - SENSEX Index Options'!$L:$L,'BSE - SENSEX Index Options'!$C:$C,$A227,'BSE - SENSEX Index Options'!$B:$B,E$147,'BSE - SENSEX Index Options'!$H:$H,"MDAW*")+SUMIFS('BSE - Other Index Options'!$L:$L,'BSE - Other Index Options'!$C:$C,$A227,'BSE - Other Index Options'!$B:$B,E$147,'BSE - Other Index Options'!$H:$H,"Weekly*")+SUMIFS('BSE - Other Index Options'!$L:$L,'BSE - Other Index Options'!$C:$C,$A227,'BSE - Other Index Options'!$B:$B,E$147,'BSE - Other Index Options'!$H:$H,"MDAW*")=0,"",SUMIFS('BSE - SENSEX Index Options'!$L:$L,'BSE - SENSEX Index Options'!$C:$C,$A227,'BSE - SENSEX Index Options'!$B:$B,E$147,'BSE - SENSEX Index Options'!$H:$H,"Weekly*")+SUMIFS('BSE - SENSEX Index Options'!$L:$L,'BSE - SENSEX Index Options'!$C:$C,$A227,'BSE - SENSEX Index Options'!$B:$B,E$147,'BSE - SENSEX Index Options'!$H:$H,"MDAW*")+SUMIFS('BSE - Other Index Options'!$L:$L,'BSE - Other Index Options'!$C:$C,$A227,'BSE - Other Index Options'!$B:$B,E$147,'BSE - Other Index Options'!$H:$H,"Weekly*")+SUMIFS('BSE - Other Index Options'!$L:$L,'BSE - Other Index Options'!$C:$C,$A227,'BSE - Other Index Options'!$B:$B,E$147,'BSE - Other Index Options'!$H:$H,"MDAW*"))</f>
        <v/>
      </c>
      <c r="F227" s="26" t="str">
        <f>IF(SUMIFS('BSE - SENSEX Index Options'!$L:$L,'BSE - SENSEX Index Options'!$C:$C,$A227,'BSE - SENSEX Index Options'!$B:$B,F$147,'BSE - SENSEX Index Options'!$H:$H,"Weekly*")+SUMIFS('BSE - SENSEX Index Options'!$L:$L,'BSE - SENSEX Index Options'!$C:$C,$A227,'BSE - SENSEX Index Options'!$B:$B,F$147,'BSE - SENSEX Index Options'!$H:$H,"MDAW*")+SUMIFS('BSE - Other Index Options'!$L:$L,'BSE - Other Index Options'!$C:$C,$A227,'BSE - Other Index Options'!$B:$B,F$147,'BSE - Other Index Options'!$H:$H,"Weekly*")+SUMIFS('BSE - Other Index Options'!$L:$L,'BSE - Other Index Options'!$C:$C,$A227,'BSE - Other Index Options'!$B:$B,F$147,'BSE - Other Index Options'!$H:$H,"MDAW*")=0,"",SUMIFS('BSE - SENSEX Index Options'!$L:$L,'BSE - SENSEX Index Options'!$C:$C,$A227,'BSE - SENSEX Index Options'!$B:$B,F$147,'BSE - SENSEX Index Options'!$H:$H,"Weekly*")+SUMIFS('BSE - SENSEX Index Options'!$L:$L,'BSE - SENSEX Index Options'!$C:$C,$A227,'BSE - SENSEX Index Options'!$B:$B,F$147,'BSE - SENSEX Index Options'!$H:$H,"MDAW*")+SUMIFS('BSE - Other Index Options'!$L:$L,'BSE - Other Index Options'!$C:$C,$A227,'BSE - Other Index Options'!$B:$B,F$147,'BSE - Other Index Options'!$H:$H,"Weekly*")+SUMIFS('BSE - Other Index Options'!$L:$L,'BSE - Other Index Options'!$C:$C,$A227,'BSE - Other Index Options'!$B:$B,F$147,'BSE - Other Index Options'!$H:$H,"MDAW*"))</f>
        <v/>
      </c>
      <c r="G227" s="26" t="str">
        <f>IF(SUMIFS('BSE - SENSEX Index Options'!$L:$L,'BSE - SENSEX Index Options'!$C:$C,$A227,'BSE - SENSEX Index Options'!$B:$B,G$147,'BSE - SENSEX Index Options'!$H:$H,"Weekly*")+SUMIFS('BSE - SENSEX Index Options'!$L:$L,'BSE - SENSEX Index Options'!$C:$C,$A227,'BSE - SENSEX Index Options'!$B:$B,G$147,'BSE - SENSEX Index Options'!$H:$H,"MDAW*")+SUMIFS('BSE - Other Index Options'!$L:$L,'BSE - Other Index Options'!$C:$C,$A227,'BSE - Other Index Options'!$B:$B,G$147,'BSE - Other Index Options'!$H:$H,"Weekly*")+SUMIFS('BSE - Other Index Options'!$L:$L,'BSE - Other Index Options'!$C:$C,$A227,'BSE - Other Index Options'!$B:$B,G$147,'BSE - Other Index Options'!$H:$H,"MDAW*")=0,"",SUMIFS('BSE - SENSEX Index Options'!$L:$L,'BSE - SENSEX Index Options'!$C:$C,$A227,'BSE - SENSEX Index Options'!$B:$B,G$147,'BSE - SENSEX Index Options'!$H:$H,"Weekly*")+SUMIFS('BSE - SENSEX Index Options'!$L:$L,'BSE - SENSEX Index Options'!$C:$C,$A227,'BSE - SENSEX Index Options'!$B:$B,G$147,'BSE - SENSEX Index Options'!$H:$H,"MDAW*")+SUMIFS('BSE - Other Index Options'!$L:$L,'BSE - Other Index Options'!$C:$C,$A227,'BSE - Other Index Options'!$B:$B,G$147,'BSE - Other Index Options'!$H:$H,"Weekly*")+SUMIFS('BSE - Other Index Options'!$L:$L,'BSE - Other Index Options'!$C:$C,$A227,'BSE - Other Index Options'!$B:$B,G$147,'BSE - Other Index Options'!$H:$H,"MDAW*"))</f>
        <v/>
      </c>
      <c r="H227" s="26" t="str">
        <f t="shared" si="8"/>
        <v/>
      </c>
    </row>
    <row r="228" spans="1:8" hidden="1" outlineLevel="1">
      <c r="A228" t="s">
        <v>90</v>
      </c>
      <c r="B228" s="26" t="str">
        <f>IF(SUMIFS('BSE - SENSEX Index Options'!$L:$L,'BSE - SENSEX Index Options'!$C:$C,$A228,'BSE - SENSEX Index Options'!$B:$B,B$147,'BSE - SENSEX Index Options'!$H:$H,"Weekly*")+SUMIFS('BSE - SENSEX Index Options'!$L:$L,'BSE - SENSEX Index Options'!$C:$C,$A228,'BSE - SENSEX Index Options'!$B:$B,B$147,'BSE - SENSEX Index Options'!$H:$H,"MDAW*")+SUMIFS('BSE - Other Index Options'!$L:$L,'BSE - Other Index Options'!$C:$C,$A228,'BSE - Other Index Options'!$B:$B,B$147,'BSE - Other Index Options'!$H:$H,"Weekly*")+SUMIFS('BSE - Other Index Options'!$L:$L,'BSE - Other Index Options'!$C:$C,$A228,'BSE - Other Index Options'!$B:$B,B$147,'BSE - Other Index Options'!$H:$H,"MDAW*")=0,"",SUMIFS('BSE - SENSEX Index Options'!$L:$L,'BSE - SENSEX Index Options'!$C:$C,$A228,'BSE - SENSEX Index Options'!$B:$B,B$147,'BSE - SENSEX Index Options'!$H:$H,"Weekly*")+SUMIFS('BSE - SENSEX Index Options'!$L:$L,'BSE - SENSEX Index Options'!$C:$C,$A228,'BSE - SENSEX Index Options'!$B:$B,B$147,'BSE - SENSEX Index Options'!$H:$H,"MDAW*")+SUMIFS('BSE - Other Index Options'!$L:$L,'BSE - Other Index Options'!$C:$C,$A228,'BSE - Other Index Options'!$B:$B,B$147,'BSE - Other Index Options'!$H:$H,"Weekly*")+SUMIFS('BSE - Other Index Options'!$L:$L,'BSE - Other Index Options'!$C:$C,$A228,'BSE - Other Index Options'!$B:$B,B$147,'BSE - Other Index Options'!$H:$H,"MDAW*"))</f>
        <v/>
      </c>
      <c r="C228" s="26" t="str">
        <f>IF(SUMIFS('BSE - SENSEX Index Options'!$L:$L,'BSE - SENSEX Index Options'!$C:$C,$A228,'BSE - SENSEX Index Options'!$B:$B,C$147,'BSE - SENSEX Index Options'!$H:$H,"Weekly*")+SUMIFS('BSE - SENSEX Index Options'!$L:$L,'BSE - SENSEX Index Options'!$C:$C,$A228,'BSE - SENSEX Index Options'!$B:$B,C$147,'BSE - SENSEX Index Options'!$H:$H,"MDAW*")+SUMIFS('BSE - Other Index Options'!$L:$L,'BSE - Other Index Options'!$C:$C,$A228,'BSE - Other Index Options'!$B:$B,C$147,'BSE - Other Index Options'!$H:$H,"Weekly*")+SUMIFS('BSE - Other Index Options'!$L:$L,'BSE - Other Index Options'!$C:$C,$A228,'BSE - Other Index Options'!$B:$B,C$147,'BSE - Other Index Options'!$H:$H,"MDAW*")=0,"",SUMIFS('BSE - SENSEX Index Options'!$L:$L,'BSE - SENSEX Index Options'!$C:$C,$A228,'BSE - SENSEX Index Options'!$B:$B,C$147,'BSE - SENSEX Index Options'!$H:$H,"Weekly*")+SUMIFS('BSE - SENSEX Index Options'!$L:$L,'BSE - SENSEX Index Options'!$C:$C,$A228,'BSE - SENSEX Index Options'!$B:$B,C$147,'BSE - SENSEX Index Options'!$H:$H,"MDAW*")+SUMIFS('BSE - Other Index Options'!$L:$L,'BSE - Other Index Options'!$C:$C,$A228,'BSE - Other Index Options'!$B:$B,C$147,'BSE - Other Index Options'!$H:$H,"Weekly*")+SUMIFS('BSE - Other Index Options'!$L:$L,'BSE - Other Index Options'!$C:$C,$A228,'BSE - Other Index Options'!$B:$B,C$147,'BSE - Other Index Options'!$H:$H,"MDAW*"))</f>
        <v/>
      </c>
      <c r="D228" s="26" t="str">
        <f>IF(SUMIFS('BSE - SENSEX Index Options'!$L:$L,'BSE - SENSEX Index Options'!$C:$C,$A228,'BSE - SENSEX Index Options'!$B:$B,D$147,'BSE - SENSEX Index Options'!$H:$H,"Weekly*")+SUMIFS('BSE - SENSEX Index Options'!$L:$L,'BSE - SENSEX Index Options'!$C:$C,$A228,'BSE - SENSEX Index Options'!$B:$B,D$147,'BSE - SENSEX Index Options'!$H:$H,"MDAW*")+SUMIFS('BSE - Other Index Options'!$L:$L,'BSE - Other Index Options'!$C:$C,$A228,'BSE - Other Index Options'!$B:$B,D$147,'BSE - Other Index Options'!$H:$H,"Weekly*")+SUMIFS('BSE - Other Index Options'!$L:$L,'BSE - Other Index Options'!$C:$C,$A228,'BSE - Other Index Options'!$B:$B,D$147,'BSE - Other Index Options'!$H:$H,"MDAW*")=0,"",SUMIFS('BSE - SENSEX Index Options'!$L:$L,'BSE - SENSEX Index Options'!$C:$C,$A228,'BSE - SENSEX Index Options'!$B:$B,D$147,'BSE - SENSEX Index Options'!$H:$H,"Weekly*")+SUMIFS('BSE - SENSEX Index Options'!$L:$L,'BSE - SENSEX Index Options'!$C:$C,$A228,'BSE - SENSEX Index Options'!$B:$B,D$147,'BSE - SENSEX Index Options'!$H:$H,"MDAW*")+SUMIFS('BSE - Other Index Options'!$L:$L,'BSE - Other Index Options'!$C:$C,$A228,'BSE - Other Index Options'!$B:$B,D$147,'BSE - Other Index Options'!$H:$H,"Weekly*")+SUMIFS('BSE - Other Index Options'!$L:$L,'BSE - Other Index Options'!$C:$C,$A228,'BSE - Other Index Options'!$B:$B,D$147,'BSE - Other Index Options'!$H:$H,"MDAW*"))</f>
        <v/>
      </c>
      <c r="E228" s="26" t="str">
        <f>IF(SUMIFS('BSE - SENSEX Index Options'!$L:$L,'BSE - SENSEX Index Options'!$C:$C,$A228,'BSE - SENSEX Index Options'!$B:$B,E$147,'BSE - SENSEX Index Options'!$H:$H,"Weekly*")+SUMIFS('BSE - SENSEX Index Options'!$L:$L,'BSE - SENSEX Index Options'!$C:$C,$A228,'BSE - SENSEX Index Options'!$B:$B,E$147,'BSE - SENSEX Index Options'!$H:$H,"MDAW*")+SUMIFS('BSE - Other Index Options'!$L:$L,'BSE - Other Index Options'!$C:$C,$A228,'BSE - Other Index Options'!$B:$B,E$147,'BSE - Other Index Options'!$H:$H,"Weekly*")+SUMIFS('BSE - Other Index Options'!$L:$L,'BSE - Other Index Options'!$C:$C,$A228,'BSE - Other Index Options'!$B:$B,E$147,'BSE - Other Index Options'!$H:$H,"MDAW*")=0,"",SUMIFS('BSE - SENSEX Index Options'!$L:$L,'BSE - SENSEX Index Options'!$C:$C,$A228,'BSE - SENSEX Index Options'!$B:$B,E$147,'BSE - SENSEX Index Options'!$H:$H,"Weekly*")+SUMIFS('BSE - SENSEX Index Options'!$L:$L,'BSE - SENSEX Index Options'!$C:$C,$A228,'BSE - SENSEX Index Options'!$B:$B,E$147,'BSE - SENSEX Index Options'!$H:$H,"MDAW*")+SUMIFS('BSE - Other Index Options'!$L:$L,'BSE - Other Index Options'!$C:$C,$A228,'BSE - Other Index Options'!$B:$B,E$147,'BSE - Other Index Options'!$H:$H,"Weekly*")+SUMIFS('BSE - Other Index Options'!$L:$L,'BSE - Other Index Options'!$C:$C,$A228,'BSE - Other Index Options'!$B:$B,E$147,'BSE - Other Index Options'!$H:$H,"MDAW*"))</f>
        <v/>
      </c>
      <c r="F228" s="26" t="str">
        <f>IF(SUMIFS('BSE - SENSEX Index Options'!$L:$L,'BSE - SENSEX Index Options'!$C:$C,$A228,'BSE - SENSEX Index Options'!$B:$B,F$147,'BSE - SENSEX Index Options'!$H:$H,"Weekly*")+SUMIFS('BSE - SENSEX Index Options'!$L:$L,'BSE - SENSEX Index Options'!$C:$C,$A228,'BSE - SENSEX Index Options'!$B:$B,F$147,'BSE - SENSEX Index Options'!$H:$H,"MDAW*")+SUMIFS('BSE - Other Index Options'!$L:$L,'BSE - Other Index Options'!$C:$C,$A228,'BSE - Other Index Options'!$B:$B,F$147,'BSE - Other Index Options'!$H:$H,"Weekly*")+SUMIFS('BSE - Other Index Options'!$L:$L,'BSE - Other Index Options'!$C:$C,$A228,'BSE - Other Index Options'!$B:$B,F$147,'BSE - Other Index Options'!$H:$H,"MDAW*")=0,"",SUMIFS('BSE - SENSEX Index Options'!$L:$L,'BSE - SENSEX Index Options'!$C:$C,$A228,'BSE - SENSEX Index Options'!$B:$B,F$147,'BSE - SENSEX Index Options'!$H:$H,"Weekly*")+SUMIFS('BSE - SENSEX Index Options'!$L:$L,'BSE - SENSEX Index Options'!$C:$C,$A228,'BSE - SENSEX Index Options'!$B:$B,F$147,'BSE - SENSEX Index Options'!$H:$H,"MDAW*")+SUMIFS('BSE - Other Index Options'!$L:$L,'BSE - Other Index Options'!$C:$C,$A228,'BSE - Other Index Options'!$B:$B,F$147,'BSE - Other Index Options'!$H:$H,"Weekly*")+SUMIFS('BSE - Other Index Options'!$L:$L,'BSE - Other Index Options'!$C:$C,$A228,'BSE - Other Index Options'!$B:$B,F$147,'BSE - Other Index Options'!$H:$H,"MDAW*"))</f>
        <v/>
      </c>
      <c r="G228" s="26" t="str">
        <f>IF(SUMIFS('BSE - SENSEX Index Options'!$L:$L,'BSE - SENSEX Index Options'!$C:$C,$A228,'BSE - SENSEX Index Options'!$B:$B,G$147,'BSE - SENSEX Index Options'!$H:$H,"Weekly*")+SUMIFS('BSE - SENSEX Index Options'!$L:$L,'BSE - SENSEX Index Options'!$C:$C,$A228,'BSE - SENSEX Index Options'!$B:$B,G$147,'BSE - SENSEX Index Options'!$H:$H,"MDAW*")+SUMIFS('BSE - Other Index Options'!$L:$L,'BSE - Other Index Options'!$C:$C,$A228,'BSE - Other Index Options'!$B:$B,G$147,'BSE - Other Index Options'!$H:$H,"Weekly*")+SUMIFS('BSE - Other Index Options'!$L:$L,'BSE - Other Index Options'!$C:$C,$A228,'BSE - Other Index Options'!$B:$B,G$147,'BSE - Other Index Options'!$H:$H,"MDAW*")=0,"",SUMIFS('BSE - SENSEX Index Options'!$L:$L,'BSE - SENSEX Index Options'!$C:$C,$A228,'BSE - SENSEX Index Options'!$B:$B,G$147,'BSE - SENSEX Index Options'!$H:$H,"Weekly*")+SUMIFS('BSE - SENSEX Index Options'!$L:$L,'BSE - SENSEX Index Options'!$C:$C,$A228,'BSE - SENSEX Index Options'!$B:$B,G$147,'BSE - SENSEX Index Options'!$H:$H,"MDAW*")+SUMIFS('BSE - Other Index Options'!$L:$L,'BSE - Other Index Options'!$C:$C,$A228,'BSE - Other Index Options'!$B:$B,G$147,'BSE - Other Index Options'!$H:$H,"Weekly*")+SUMIFS('BSE - Other Index Options'!$L:$L,'BSE - Other Index Options'!$C:$C,$A228,'BSE - Other Index Options'!$B:$B,G$147,'BSE - Other Index Options'!$H:$H,"MDAW*"))</f>
        <v/>
      </c>
      <c r="H228" s="26" t="str">
        <f t="shared" si="8"/>
        <v/>
      </c>
    </row>
    <row r="229" spans="1:8" hidden="1" outlineLevel="1">
      <c r="A229" t="s">
        <v>91</v>
      </c>
      <c r="B229" s="26" t="str">
        <f>IF(SUMIFS('BSE - SENSEX Index Options'!$L:$L,'BSE - SENSEX Index Options'!$C:$C,$A229,'BSE - SENSEX Index Options'!$B:$B,B$147,'BSE - SENSEX Index Options'!$H:$H,"Weekly*")+SUMIFS('BSE - SENSEX Index Options'!$L:$L,'BSE - SENSEX Index Options'!$C:$C,$A229,'BSE - SENSEX Index Options'!$B:$B,B$147,'BSE - SENSEX Index Options'!$H:$H,"MDAW*")+SUMIFS('BSE - Other Index Options'!$L:$L,'BSE - Other Index Options'!$C:$C,$A229,'BSE - Other Index Options'!$B:$B,B$147,'BSE - Other Index Options'!$H:$H,"Weekly*")+SUMIFS('BSE - Other Index Options'!$L:$L,'BSE - Other Index Options'!$C:$C,$A229,'BSE - Other Index Options'!$B:$B,B$147,'BSE - Other Index Options'!$H:$H,"MDAW*")=0,"",SUMIFS('BSE - SENSEX Index Options'!$L:$L,'BSE - SENSEX Index Options'!$C:$C,$A229,'BSE - SENSEX Index Options'!$B:$B,B$147,'BSE - SENSEX Index Options'!$H:$H,"Weekly*")+SUMIFS('BSE - SENSEX Index Options'!$L:$L,'BSE - SENSEX Index Options'!$C:$C,$A229,'BSE - SENSEX Index Options'!$B:$B,B$147,'BSE - SENSEX Index Options'!$H:$H,"MDAW*")+SUMIFS('BSE - Other Index Options'!$L:$L,'BSE - Other Index Options'!$C:$C,$A229,'BSE - Other Index Options'!$B:$B,B$147,'BSE - Other Index Options'!$H:$H,"Weekly*")+SUMIFS('BSE - Other Index Options'!$L:$L,'BSE - Other Index Options'!$C:$C,$A229,'BSE - Other Index Options'!$B:$B,B$147,'BSE - Other Index Options'!$H:$H,"MDAW*"))</f>
        <v/>
      </c>
      <c r="C229" s="26" t="str">
        <f>IF(SUMIFS('BSE - SENSEX Index Options'!$L:$L,'BSE - SENSEX Index Options'!$C:$C,$A229,'BSE - SENSEX Index Options'!$B:$B,C$147,'BSE - SENSEX Index Options'!$H:$H,"Weekly*")+SUMIFS('BSE - SENSEX Index Options'!$L:$L,'BSE - SENSEX Index Options'!$C:$C,$A229,'BSE - SENSEX Index Options'!$B:$B,C$147,'BSE - SENSEX Index Options'!$H:$H,"MDAW*")+SUMIFS('BSE - Other Index Options'!$L:$L,'BSE - Other Index Options'!$C:$C,$A229,'BSE - Other Index Options'!$B:$B,C$147,'BSE - Other Index Options'!$H:$H,"Weekly*")+SUMIFS('BSE - Other Index Options'!$L:$L,'BSE - Other Index Options'!$C:$C,$A229,'BSE - Other Index Options'!$B:$B,C$147,'BSE - Other Index Options'!$H:$H,"MDAW*")=0,"",SUMIFS('BSE - SENSEX Index Options'!$L:$L,'BSE - SENSEX Index Options'!$C:$C,$A229,'BSE - SENSEX Index Options'!$B:$B,C$147,'BSE - SENSEX Index Options'!$H:$H,"Weekly*")+SUMIFS('BSE - SENSEX Index Options'!$L:$L,'BSE - SENSEX Index Options'!$C:$C,$A229,'BSE - SENSEX Index Options'!$B:$B,C$147,'BSE - SENSEX Index Options'!$H:$H,"MDAW*")+SUMIFS('BSE - Other Index Options'!$L:$L,'BSE - Other Index Options'!$C:$C,$A229,'BSE - Other Index Options'!$B:$B,C$147,'BSE - Other Index Options'!$H:$H,"Weekly*")+SUMIFS('BSE - Other Index Options'!$L:$L,'BSE - Other Index Options'!$C:$C,$A229,'BSE - Other Index Options'!$B:$B,C$147,'BSE - Other Index Options'!$H:$H,"MDAW*"))</f>
        <v/>
      </c>
      <c r="D229" s="26" t="str">
        <f>IF(SUMIFS('BSE - SENSEX Index Options'!$L:$L,'BSE - SENSEX Index Options'!$C:$C,$A229,'BSE - SENSEX Index Options'!$B:$B,D$147,'BSE - SENSEX Index Options'!$H:$H,"Weekly*")+SUMIFS('BSE - SENSEX Index Options'!$L:$L,'BSE - SENSEX Index Options'!$C:$C,$A229,'BSE - SENSEX Index Options'!$B:$B,D$147,'BSE - SENSEX Index Options'!$H:$H,"MDAW*")+SUMIFS('BSE - Other Index Options'!$L:$L,'BSE - Other Index Options'!$C:$C,$A229,'BSE - Other Index Options'!$B:$B,D$147,'BSE - Other Index Options'!$H:$H,"Weekly*")+SUMIFS('BSE - Other Index Options'!$L:$L,'BSE - Other Index Options'!$C:$C,$A229,'BSE - Other Index Options'!$B:$B,D$147,'BSE - Other Index Options'!$H:$H,"MDAW*")=0,"",SUMIFS('BSE - SENSEX Index Options'!$L:$L,'BSE - SENSEX Index Options'!$C:$C,$A229,'BSE - SENSEX Index Options'!$B:$B,D$147,'BSE - SENSEX Index Options'!$H:$H,"Weekly*")+SUMIFS('BSE - SENSEX Index Options'!$L:$L,'BSE - SENSEX Index Options'!$C:$C,$A229,'BSE - SENSEX Index Options'!$B:$B,D$147,'BSE - SENSEX Index Options'!$H:$H,"MDAW*")+SUMIFS('BSE - Other Index Options'!$L:$L,'BSE - Other Index Options'!$C:$C,$A229,'BSE - Other Index Options'!$B:$B,D$147,'BSE - Other Index Options'!$H:$H,"Weekly*")+SUMIFS('BSE - Other Index Options'!$L:$L,'BSE - Other Index Options'!$C:$C,$A229,'BSE - Other Index Options'!$B:$B,D$147,'BSE - Other Index Options'!$H:$H,"MDAW*"))</f>
        <v/>
      </c>
      <c r="E229" s="26" t="str">
        <f>IF(SUMIFS('BSE - SENSEX Index Options'!$L:$L,'BSE - SENSEX Index Options'!$C:$C,$A229,'BSE - SENSEX Index Options'!$B:$B,E$147,'BSE - SENSEX Index Options'!$H:$H,"Weekly*")+SUMIFS('BSE - SENSEX Index Options'!$L:$L,'BSE - SENSEX Index Options'!$C:$C,$A229,'BSE - SENSEX Index Options'!$B:$B,E$147,'BSE - SENSEX Index Options'!$H:$H,"MDAW*")+SUMIFS('BSE - Other Index Options'!$L:$L,'BSE - Other Index Options'!$C:$C,$A229,'BSE - Other Index Options'!$B:$B,E$147,'BSE - Other Index Options'!$H:$H,"Weekly*")+SUMIFS('BSE - Other Index Options'!$L:$L,'BSE - Other Index Options'!$C:$C,$A229,'BSE - Other Index Options'!$B:$B,E$147,'BSE - Other Index Options'!$H:$H,"MDAW*")=0,"",SUMIFS('BSE - SENSEX Index Options'!$L:$L,'BSE - SENSEX Index Options'!$C:$C,$A229,'BSE - SENSEX Index Options'!$B:$B,E$147,'BSE - SENSEX Index Options'!$H:$H,"Weekly*")+SUMIFS('BSE - SENSEX Index Options'!$L:$L,'BSE - SENSEX Index Options'!$C:$C,$A229,'BSE - SENSEX Index Options'!$B:$B,E$147,'BSE - SENSEX Index Options'!$H:$H,"MDAW*")+SUMIFS('BSE - Other Index Options'!$L:$L,'BSE - Other Index Options'!$C:$C,$A229,'BSE - Other Index Options'!$B:$B,E$147,'BSE - Other Index Options'!$H:$H,"Weekly*")+SUMIFS('BSE - Other Index Options'!$L:$L,'BSE - Other Index Options'!$C:$C,$A229,'BSE - Other Index Options'!$B:$B,E$147,'BSE - Other Index Options'!$H:$H,"MDAW*"))</f>
        <v/>
      </c>
      <c r="F229" s="26" t="str">
        <f>IF(SUMIFS('BSE - SENSEX Index Options'!$L:$L,'BSE - SENSEX Index Options'!$C:$C,$A229,'BSE - SENSEX Index Options'!$B:$B,F$147,'BSE - SENSEX Index Options'!$H:$H,"Weekly*")+SUMIFS('BSE - SENSEX Index Options'!$L:$L,'BSE - SENSEX Index Options'!$C:$C,$A229,'BSE - SENSEX Index Options'!$B:$B,F$147,'BSE - SENSEX Index Options'!$H:$H,"MDAW*")+SUMIFS('BSE - Other Index Options'!$L:$L,'BSE - Other Index Options'!$C:$C,$A229,'BSE - Other Index Options'!$B:$B,F$147,'BSE - Other Index Options'!$H:$H,"Weekly*")+SUMIFS('BSE - Other Index Options'!$L:$L,'BSE - Other Index Options'!$C:$C,$A229,'BSE - Other Index Options'!$B:$B,F$147,'BSE - Other Index Options'!$H:$H,"MDAW*")=0,"",SUMIFS('BSE - SENSEX Index Options'!$L:$L,'BSE - SENSEX Index Options'!$C:$C,$A229,'BSE - SENSEX Index Options'!$B:$B,F$147,'BSE - SENSEX Index Options'!$H:$H,"Weekly*")+SUMIFS('BSE - SENSEX Index Options'!$L:$L,'BSE - SENSEX Index Options'!$C:$C,$A229,'BSE - SENSEX Index Options'!$B:$B,F$147,'BSE - SENSEX Index Options'!$H:$H,"MDAW*")+SUMIFS('BSE - Other Index Options'!$L:$L,'BSE - Other Index Options'!$C:$C,$A229,'BSE - Other Index Options'!$B:$B,F$147,'BSE - Other Index Options'!$H:$H,"Weekly*")+SUMIFS('BSE - Other Index Options'!$L:$L,'BSE - Other Index Options'!$C:$C,$A229,'BSE - Other Index Options'!$B:$B,F$147,'BSE - Other Index Options'!$H:$H,"MDAW*"))</f>
        <v/>
      </c>
      <c r="G229" s="26" t="str">
        <f>IF(SUMIFS('BSE - SENSEX Index Options'!$L:$L,'BSE - SENSEX Index Options'!$C:$C,$A229,'BSE - SENSEX Index Options'!$B:$B,G$147,'BSE - SENSEX Index Options'!$H:$H,"Weekly*")+SUMIFS('BSE - SENSEX Index Options'!$L:$L,'BSE - SENSEX Index Options'!$C:$C,$A229,'BSE - SENSEX Index Options'!$B:$B,G$147,'BSE - SENSEX Index Options'!$H:$H,"MDAW*")+SUMIFS('BSE - Other Index Options'!$L:$L,'BSE - Other Index Options'!$C:$C,$A229,'BSE - Other Index Options'!$B:$B,G$147,'BSE - Other Index Options'!$H:$H,"Weekly*")+SUMIFS('BSE - Other Index Options'!$L:$L,'BSE - Other Index Options'!$C:$C,$A229,'BSE - Other Index Options'!$B:$B,G$147,'BSE - Other Index Options'!$H:$H,"MDAW*")=0,"",SUMIFS('BSE - SENSEX Index Options'!$L:$L,'BSE - SENSEX Index Options'!$C:$C,$A229,'BSE - SENSEX Index Options'!$B:$B,G$147,'BSE - SENSEX Index Options'!$H:$H,"Weekly*")+SUMIFS('BSE - SENSEX Index Options'!$L:$L,'BSE - SENSEX Index Options'!$C:$C,$A229,'BSE - SENSEX Index Options'!$B:$B,G$147,'BSE - SENSEX Index Options'!$H:$H,"MDAW*")+SUMIFS('BSE - Other Index Options'!$L:$L,'BSE - Other Index Options'!$C:$C,$A229,'BSE - Other Index Options'!$B:$B,G$147,'BSE - Other Index Options'!$H:$H,"Weekly*")+SUMIFS('BSE - Other Index Options'!$L:$L,'BSE - Other Index Options'!$C:$C,$A229,'BSE - Other Index Options'!$B:$B,G$147,'BSE - Other Index Options'!$H:$H,"MDAW*"))</f>
        <v/>
      </c>
      <c r="H229" s="26" t="str">
        <f t="shared" si="8"/>
        <v/>
      </c>
    </row>
    <row r="230" spans="1:8" hidden="1" outlineLevel="1">
      <c r="A230" t="s">
        <v>92</v>
      </c>
      <c r="B230" s="26" t="str">
        <f>IF(SUMIFS('BSE - SENSEX Index Options'!$L:$L,'BSE - SENSEX Index Options'!$C:$C,$A230,'BSE - SENSEX Index Options'!$B:$B,B$147,'BSE - SENSEX Index Options'!$H:$H,"Weekly*")+SUMIFS('BSE - SENSEX Index Options'!$L:$L,'BSE - SENSEX Index Options'!$C:$C,$A230,'BSE - SENSEX Index Options'!$B:$B,B$147,'BSE - SENSEX Index Options'!$H:$H,"MDAW*")+SUMIFS('BSE - Other Index Options'!$L:$L,'BSE - Other Index Options'!$C:$C,$A230,'BSE - Other Index Options'!$B:$B,B$147,'BSE - Other Index Options'!$H:$H,"Weekly*")+SUMIFS('BSE - Other Index Options'!$L:$L,'BSE - Other Index Options'!$C:$C,$A230,'BSE - Other Index Options'!$B:$B,B$147,'BSE - Other Index Options'!$H:$H,"MDAW*")=0,"",SUMIFS('BSE - SENSEX Index Options'!$L:$L,'BSE - SENSEX Index Options'!$C:$C,$A230,'BSE - SENSEX Index Options'!$B:$B,B$147,'BSE - SENSEX Index Options'!$H:$H,"Weekly*")+SUMIFS('BSE - SENSEX Index Options'!$L:$L,'BSE - SENSEX Index Options'!$C:$C,$A230,'BSE - SENSEX Index Options'!$B:$B,B$147,'BSE - SENSEX Index Options'!$H:$H,"MDAW*")+SUMIFS('BSE - Other Index Options'!$L:$L,'BSE - Other Index Options'!$C:$C,$A230,'BSE - Other Index Options'!$B:$B,B$147,'BSE - Other Index Options'!$H:$H,"Weekly*")+SUMIFS('BSE - Other Index Options'!$L:$L,'BSE - Other Index Options'!$C:$C,$A230,'BSE - Other Index Options'!$B:$B,B$147,'BSE - Other Index Options'!$H:$H,"MDAW*"))</f>
        <v/>
      </c>
      <c r="C230" s="26" t="str">
        <f>IF(SUMIFS('BSE - SENSEX Index Options'!$L:$L,'BSE - SENSEX Index Options'!$C:$C,$A230,'BSE - SENSEX Index Options'!$B:$B,C$147,'BSE - SENSEX Index Options'!$H:$H,"Weekly*")+SUMIFS('BSE - SENSEX Index Options'!$L:$L,'BSE - SENSEX Index Options'!$C:$C,$A230,'BSE - SENSEX Index Options'!$B:$B,C$147,'BSE - SENSEX Index Options'!$H:$H,"MDAW*")+SUMIFS('BSE - Other Index Options'!$L:$L,'BSE - Other Index Options'!$C:$C,$A230,'BSE - Other Index Options'!$B:$B,C$147,'BSE - Other Index Options'!$H:$H,"Weekly*")+SUMIFS('BSE - Other Index Options'!$L:$L,'BSE - Other Index Options'!$C:$C,$A230,'BSE - Other Index Options'!$B:$B,C$147,'BSE - Other Index Options'!$H:$H,"MDAW*")=0,"",SUMIFS('BSE - SENSEX Index Options'!$L:$L,'BSE - SENSEX Index Options'!$C:$C,$A230,'BSE - SENSEX Index Options'!$B:$B,C$147,'BSE - SENSEX Index Options'!$H:$H,"Weekly*")+SUMIFS('BSE - SENSEX Index Options'!$L:$L,'BSE - SENSEX Index Options'!$C:$C,$A230,'BSE - SENSEX Index Options'!$B:$B,C$147,'BSE - SENSEX Index Options'!$H:$H,"MDAW*")+SUMIFS('BSE - Other Index Options'!$L:$L,'BSE - Other Index Options'!$C:$C,$A230,'BSE - Other Index Options'!$B:$B,C$147,'BSE - Other Index Options'!$H:$H,"Weekly*")+SUMIFS('BSE - Other Index Options'!$L:$L,'BSE - Other Index Options'!$C:$C,$A230,'BSE - Other Index Options'!$B:$B,C$147,'BSE - Other Index Options'!$H:$H,"MDAW*"))</f>
        <v/>
      </c>
      <c r="D230" s="26" t="str">
        <f>IF(SUMIFS('BSE - SENSEX Index Options'!$L:$L,'BSE - SENSEX Index Options'!$C:$C,$A230,'BSE - SENSEX Index Options'!$B:$B,D$147,'BSE - SENSEX Index Options'!$H:$H,"Weekly*")+SUMIFS('BSE - SENSEX Index Options'!$L:$L,'BSE - SENSEX Index Options'!$C:$C,$A230,'BSE - SENSEX Index Options'!$B:$B,D$147,'BSE - SENSEX Index Options'!$H:$H,"MDAW*")+SUMIFS('BSE - Other Index Options'!$L:$L,'BSE - Other Index Options'!$C:$C,$A230,'BSE - Other Index Options'!$B:$B,D$147,'BSE - Other Index Options'!$H:$H,"Weekly*")+SUMIFS('BSE - Other Index Options'!$L:$L,'BSE - Other Index Options'!$C:$C,$A230,'BSE - Other Index Options'!$B:$B,D$147,'BSE - Other Index Options'!$H:$H,"MDAW*")=0,"",SUMIFS('BSE - SENSEX Index Options'!$L:$L,'BSE - SENSEX Index Options'!$C:$C,$A230,'BSE - SENSEX Index Options'!$B:$B,D$147,'BSE - SENSEX Index Options'!$H:$H,"Weekly*")+SUMIFS('BSE - SENSEX Index Options'!$L:$L,'BSE - SENSEX Index Options'!$C:$C,$A230,'BSE - SENSEX Index Options'!$B:$B,D$147,'BSE - SENSEX Index Options'!$H:$H,"MDAW*")+SUMIFS('BSE - Other Index Options'!$L:$L,'BSE - Other Index Options'!$C:$C,$A230,'BSE - Other Index Options'!$B:$B,D$147,'BSE - Other Index Options'!$H:$H,"Weekly*")+SUMIFS('BSE - Other Index Options'!$L:$L,'BSE - Other Index Options'!$C:$C,$A230,'BSE - Other Index Options'!$B:$B,D$147,'BSE - Other Index Options'!$H:$H,"MDAW*"))</f>
        <v/>
      </c>
      <c r="E230" s="26" t="str">
        <f>IF(SUMIFS('BSE - SENSEX Index Options'!$L:$L,'BSE - SENSEX Index Options'!$C:$C,$A230,'BSE - SENSEX Index Options'!$B:$B,E$147,'BSE - SENSEX Index Options'!$H:$H,"Weekly*")+SUMIFS('BSE - SENSEX Index Options'!$L:$L,'BSE - SENSEX Index Options'!$C:$C,$A230,'BSE - SENSEX Index Options'!$B:$B,E$147,'BSE - SENSEX Index Options'!$H:$H,"MDAW*")+SUMIFS('BSE - Other Index Options'!$L:$L,'BSE - Other Index Options'!$C:$C,$A230,'BSE - Other Index Options'!$B:$B,E$147,'BSE - Other Index Options'!$H:$H,"Weekly*")+SUMIFS('BSE - Other Index Options'!$L:$L,'BSE - Other Index Options'!$C:$C,$A230,'BSE - Other Index Options'!$B:$B,E$147,'BSE - Other Index Options'!$H:$H,"MDAW*")=0,"",SUMIFS('BSE - SENSEX Index Options'!$L:$L,'BSE - SENSEX Index Options'!$C:$C,$A230,'BSE - SENSEX Index Options'!$B:$B,E$147,'BSE - SENSEX Index Options'!$H:$H,"Weekly*")+SUMIFS('BSE - SENSEX Index Options'!$L:$L,'BSE - SENSEX Index Options'!$C:$C,$A230,'BSE - SENSEX Index Options'!$B:$B,E$147,'BSE - SENSEX Index Options'!$H:$H,"MDAW*")+SUMIFS('BSE - Other Index Options'!$L:$L,'BSE - Other Index Options'!$C:$C,$A230,'BSE - Other Index Options'!$B:$B,E$147,'BSE - Other Index Options'!$H:$H,"Weekly*")+SUMIFS('BSE - Other Index Options'!$L:$L,'BSE - Other Index Options'!$C:$C,$A230,'BSE - Other Index Options'!$B:$B,E$147,'BSE - Other Index Options'!$H:$H,"MDAW*"))</f>
        <v/>
      </c>
      <c r="F230" s="26" t="str">
        <f>IF(SUMIFS('BSE - SENSEX Index Options'!$L:$L,'BSE - SENSEX Index Options'!$C:$C,$A230,'BSE - SENSEX Index Options'!$B:$B,F$147,'BSE - SENSEX Index Options'!$H:$H,"Weekly*")+SUMIFS('BSE - SENSEX Index Options'!$L:$L,'BSE - SENSEX Index Options'!$C:$C,$A230,'BSE - SENSEX Index Options'!$B:$B,F$147,'BSE - SENSEX Index Options'!$H:$H,"MDAW*")+SUMIFS('BSE - Other Index Options'!$L:$L,'BSE - Other Index Options'!$C:$C,$A230,'BSE - Other Index Options'!$B:$B,F$147,'BSE - Other Index Options'!$H:$H,"Weekly*")+SUMIFS('BSE - Other Index Options'!$L:$L,'BSE - Other Index Options'!$C:$C,$A230,'BSE - Other Index Options'!$B:$B,F$147,'BSE - Other Index Options'!$H:$H,"MDAW*")=0,"",SUMIFS('BSE - SENSEX Index Options'!$L:$L,'BSE - SENSEX Index Options'!$C:$C,$A230,'BSE - SENSEX Index Options'!$B:$B,F$147,'BSE - SENSEX Index Options'!$H:$H,"Weekly*")+SUMIFS('BSE - SENSEX Index Options'!$L:$L,'BSE - SENSEX Index Options'!$C:$C,$A230,'BSE - SENSEX Index Options'!$B:$B,F$147,'BSE - SENSEX Index Options'!$H:$H,"MDAW*")+SUMIFS('BSE - Other Index Options'!$L:$L,'BSE - Other Index Options'!$C:$C,$A230,'BSE - Other Index Options'!$B:$B,F$147,'BSE - Other Index Options'!$H:$H,"Weekly*")+SUMIFS('BSE - Other Index Options'!$L:$L,'BSE - Other Index Options'!$C:$C,$A230,'BSE - Other Index Options'!$B:$B,F$147,'BSE - Other Index Options'!$H:$H,"MDAW*"))</f>
        <v/>
      </c>
      <c r="G230" s="26" t="str">
        <f>IF(SUMIFS('BSE - SENSEX Index Options'!$L:$L,'BSE - SENSEX Index Options'!$C:$C,$A230,'BSE - SENSEX Index Options'!$B:$B,G$147,'BSE - SENSEX Index Options'!$H:$H,"Weekly*")+SUMIFS('BSE - SENSEX Index Options'!$L:$L,'BSE - SENSEX Index Options'!$C:$C,$A230,'BSE - SENSEX Index Options'!$B:$B,G$147,'BSE - SENSEX Index Options'!$H:$H,"MDAW*")+SUMIFS('BSE - Other Index Options'!$L:$L,'BSE - Other Index Options'!$C:$C,$A230,'BSE - Other Index Options'!$B:$B,G$147,'BSE - Other Index Options'!$H:$H,"Weekly*")+SUMIFS('BSE - Other Index Options'!$L:$L,'BSE - Other Index Options'!$C:$C,$A230,'BSE - Other Index Options'!$B:$B,G$147,'BSE - Other Index Options'!$H:$H,"MDAW*")=0,"",SUMIFS('BSE - SENSEX Index Options'!$L:$L,'BSE - SENSEX Index Options'!$C:$C,$A230,'BSE - SENSEX Index Options'!$B:$B,G$147,'BSE - SENSEX Index Options'!$H:$H,"Weekly*")+SUMIFS('BSE - SENSEX Index Options'!$L:$L,'BSE - SENSEX Index Options'!$C:$C,$A230,'BSE - SENSEX Index Options'!$B:$B,G$147,'BSE - SENSEX Index Options'!$H:$H,"MDAW*")+SUMIFS('BSE - Other Index Options'!$L:$L,'BSE - Other Index Options'!$C:$C,$A230,'BSE - Other Index Options'!$B:$B,G$147,'BSE - Other Index Options'!$H:$H,"Weekly*")+SUMIFS('BSE - Other Index Options'!$L:$L,'BSE - Other Index Options'!$C:$C,$A230,'BSE - Other Index Options'!$B:$B,G$147,'BSE - Other Index Options'!$H:$H,"MDAW*"))</f>
        <v/>
      </c>
      <c r="H230" s="26" t="str">
        <f t="shared" si="8"/>
        <v/>
      </c>
    </row>
    <row r="231" spans="1:8" hidden="1" outlineLevel="1">
      <c r="A231" t="s">
        <v>93</v>
      </c>
      <c r="B231" s="26" t="str">
        <f>IF(SUMIFS('BSE - SENSEX Index Options'!$L:$L,'BSE - SENSEX Index Options'!$C:$C,$A231,'BSE - SENSEX Index Options'!$B:$B,B$147,'BSE - SENSEX Index Options'!$H:$H,"Weekly*")+SUMIFS('BSE - SENSEX Index Options'!$L:$L,'BSE - SENSEX Index Options'!$C:$C,$A231,'BSE - SENSEX Index Options'!$B:$B,B$147,'BSE - SENSEX Index Options'!$H:$H,"MDAW*")+SUMIFS('BSE - Other Index Options'!$L:$L,'BSE - Other Index Options'!$C:$C,$A231,'BSE - Other Index Options'!$B:$B,B$147,'BSE - Other Index Options'!$H:$H,"Weekly*")+SUMIFS('BSE - Other Index Options'!$L:$L,'BSE - Other Index Options'!$C:$C,$A231,'BSE - Other Index Options'!$B:$B,B$147,'BSE - Other Index Options'!$H:$H,"MDAW*")=0,"",SUMIFS('BSE - SENSEX Index Options'!$L:$L,'BSE - SENSEX Index Options'!$C:$C,$A231,'BSE - SENSEX Index Options'!$B:$B,B$147,'BSE - SENSEX Index Options'!$H:$H,"Weekly*")+SUMIFS('BSE - SENSEX Index Options'!$L:$L,'BSE - SENSEX Index Options'!$C:$C,$A231,'BSE - SENSEX Index Options'!$B:$B,B$147,'BSE - SENSEX Index Options'!$H:$H,"MDAW*")+SUMIFS('BSE - Other Index Options'!$L:$L,'BSE - Other Index Options'!$C:$C,$A231,'BSE - Other Index Options'!$B:$B,B$147,'BSE - Other Index Options'!$H:$H,"Weekly*")+SUMIFS('BSE - Other Index Options'!$L:$L,'BSE - Other Index Options'!$C:$C,$A231,'BSE - Other Index Options'!$B:$B,B$147,'BSE - Other Index Options'!$H:$H,"MDAW*"))</f>
        <v/>
      </c>
      <c r="C231" s="26" t="str">
        <f>IF(SUMIFS('BSE - SENSEX Index Options'!$L:$L,'BSE - SENSEX Index Options'!$C:$C,$A231,'BSE - SENSEX Index Options'!$B:$B,C$147,'BSE - SENSEX Index Options'!$H:$H,"Weekly*")+SUMIFS('BSE - SENSEX Index Options'!$L:$L,'BSE - SENSEX Index Options'!$C:$C,$A231,'BSE - SENSEX Index Options'!$B:$B,C$147,'BSE - SENSEX Index Options'!$H:$H,"MDAW*")+SUMIFS('BSE - Other Index Options'!$L:$L,'BSE - Other Index Options'!$C:$C,$A231,'BSE - Other Index Options'!$B:$B,C$147,'BSE - Other Index Options'!$H:$H,"Weekly*")+SUMIFS('BSE - Other Index Options'!$L:$L,'BSE - Other Index Options'!$C:$C,$A231,'BSE - Other Index Options'!$B:$B,C$147,'BSE - Other Index Options'!$H:$H,"MDAW*")=0,"",SUMIFS('BSE - SENSEX Index Options'!$L:$L,'BSE - SENSEX Index Options'!$C:$C,$A231,'BSE - SENSEX Index Options'!$B:$B,C$147,'BSE - SENSEX Index Options'!$H:$H,"Weekly*")+SUMIFS('BSE - SENSEX Index Options'!$L:$L,'BSE - SENSEX Index Options'!$C:$C,$A231,'BSE - SENSEX Index Options'!$B:$B,C$147,'BSE - SENSEX Index Options'!$H:$H,"MDAW*")+SUMIFS('BSE - Other Index Options'!$L:$L,'BSE - Other Index Options'!$C:$C,$A231,'BSE - Other Index Options'!$B:$B,C$147,'BSE - Other Index Options'!$H:$H,"Weekly*")+SUMIFS('BSE - Other Index Options'!$L:$L,'BSE - Other Index Options'!$C:$C,$A231,'BSE - Other Index Options'!$B:$B,C$147,'BSE - Other Index Options'!$H:$H,"MDAW*"))</f>
        <v/>
      </c>
      <c r="D231" s="26" t="str">
        <f>IF(SUMIFS('BSE - SENSEX Index Options'!$L:$L,'BSE - SENSEX Index Options'!$C:$C,$A231,'BSE - SENSEX Index Options'!$B:$B,D$147,'BSE - SENSEX Index Options'!$H:$H,"Weekly*")+SUMIFS('BSE - SENSEX Index Options'!$L:$L,'BSE - SENSEX Index Options'!$C:$C,$A231,'BSE - SENSEX Index Options'!$B:$B,D$147,'BSE - SENSEX Index Options'!$H:$H,"MDAW*")+SUMIFS('BSE - Other Index Options'!$L:$L,'BSE - Other Index Options'!$C:$C,$A231,'BSE - Other Index Options'!$B:$B,D$147,'BSE - Other Index Options'!$H:$H,"Weekly*")+SUMIFS('BSE - Other Index Options'!$L:$L,'BSE - Other Index Options'!$C:$C,$A231,'BSE - Other Index Options'!$B:$B,D$147,'BSE - Other Index Options'!$H:$H,"MDAW*")=0,"",SUMIFS('BSE - SENSEX Index Options'!$L:$L,'BSE - SENSEX Index Options'!$C:$C,$A231,'BSE - SENSEX Index Options'!$B:$B,D$147,'BSE - SENSEX Index Options'!$H:$H,"Weekly*")+SUMIFS('BSE - SENSEX Index Options'!$L:$L,'BSE - SENSEX Index Options'!$C:$C,$A231,'BSE - SENSEX Index Options'!$B:$B,D$147,'BSE - SENSEX Index Options'!$H:$H,"MDAW*")+SUMIFS('BSE - Other Index Options'!$L:$L,'BSE - Other Index Options'!$C:$C,$A231,'BSE - Other Index Options'!$B:$B,D$147,'BSE - Other Index Options'!$H:$H,"Weekly*")+SUMIFS('BSE - Other Index Options'!$L:$L,'BSE - Other Index Options'!$C:$C,$A231,'BSE - Other Index Options'!$B:$B,D$147,'BSE - Other Index Options'!$H:$H,"MDAW*"))</f>
        <v/>
      </c>
      <c r="E231" s="26" t="str">
        <f>IF(SUMIFS('BSE - SENSEX Index Options'!$L:$L,'BSE - SENSEX Index Options'!$C:$C,$A231,'BSE - SENSEX Index Options'!$B:$B,E$147,'BSE - SENSEX Index Options'!$H:$H,"Weekly*")+SUMIFS('BSE - SENSEX Index Options'!$L:$L,'BSE - SENSEX Index Options'!$C:$C,$A231,'BSE - SENSEX Index Options'!$B:$B,E$147,'BSE - SENSEX Index Options'!$H:$H,"MDAW*")+SUMIFS('BSE - Other Index Options'!$L:$L,'BSE - Other Index Options'!$C:$C,$A231,'BSE - Other Index Options'!$B:$B,E$147,'BSE - Other Index Options'!$H:$H,"Weekly*")+SUMIFS('BSE - Other Index Options'!$L:$L,'BSE - Other Index Options'!$C:$C,$A231,'BSE - Other Index Options'!$B:$B,E$147,'BSE - Other Index Options'!$H:$H,"MDAW*")=0,"",SUMIFS('BSE - SENSEX Index Options'!$L:$L,'BSE - SENSEX Index Options'!$C:$C,$A231,'BSE - SENSEX Index Options'!$B:$B,E$147,'BSE - SENSEX Index Options'!$H:$H,"Weekly*")+SUMIFS('BSE - SENSEX Index Options'!$L:$L,'BSE - SENSEX Index Options'!$C:$C,$A231,'BSE - SENSEX Index Options'!$B:$B,E$147,'BSE - SENSEX Index Options'!$H:$H,"MDAW*")+SUMIFS('BSE - Other Index Options'!$L:$L,'BSE - Other Index Options'!$C:$C,$A231,'BSE - Other Index Options'!$B:$B,E$147,'BSE - Other Index Options'!$H:$H,"Weekly*")+SUMIFS('BSE - Other Index Options'!$L:$L,'BSE - Other Index Options'!$C:$C,$A231,'BSE - Other Index Options'!$B:$B,E$147,'BSE - Other Index Options'!$H:$H,"MDAW*"))</f>
        <v/>
      </c>
      <c r="F231" s="26" t="str">
        <f>IF(SUMIFS('BSE - SENSEX Index Options'!$L:$L,'BSE - SENSEX Index Options'!$C:$C,$A231,'BSE - SENSEX Index Options'!$B:$B,F$147,'BSE - SENSEX Index Options'!$H:$H,"Weekly*")+SUMIFS('BSE - SENSEX Index Options'!$L:$L,'BSE - SENSEX Index Options'!$C:$C,$A231,'BSE - SENSEX Index Options'!$B:$B,F$147,'BSE - SENSEX Index Options'!$H:$H,"MDAW*")+SUMIFS('BSE - Other Index Options'!$L:$L,'BSE - Other Index Options'!$C:$C,$A231,'BSE - Other Index Options'!$B:$B,F$147,'BSE - Other Index Options'!$H:$H,"Weekly*")+SUMIFS('BSE - Other Index Options'!$L:$L,'BSE - Other Index Options'!$C:$C,$A231,'BSE - Other Index Options'!$B:$B,F$147,'BSE - Other Index Options'!$H:$H,"MDAW*")=0,"",SUMIFS('BSE - SENSEX Index Options'!$L:$L,'BSE - SENSEX Index Options'!$C:$C,$A231,'BSE - SENSEX Index Options'!$B:$B,F$147,'BSE - SENSEX Index Options'!$H:$H,"Weekly*")+SUMIFS('BSE - SENSEX Index Options'!$L:$L,'BSE - SENSEX Index Options'!$C:$C,$A231,'BSE - SENSEX Index Options'!$B:$B,F$147,'BSE - SENSEX Index Options'!$H:$H,"MDAW*")+SUMIFS('BSE - Other Index Options'!$L:$L,'BSE - Other Index Options'!$C:$C,$A231,'BSE - Other Index Options'!$B:$B,F$147,'BSE - Other Index Options'!$H:$H,"Weekly*")+SUMIFS('BSE - Other Index Options'!$L:$L,'BSE - Other Index Options'!$C:$C,$A231,'BSE - Other Index Options'!$B:$B,F$147,'BSE - Other Index Options'!$H:$H,"MDAW*"))</f>
        <v/>
      </c>
      <c r="G231" s="26" t="str">
        <f>IF(SUMIFS('BSE - SENSEX Index Options'!$L:$L,'BSE - SENSEX Index Options'!$C:$C,$A231,'BSE - SENSEX Index Options'!$B:$B,G$147,'BSE - SENSEX Index Options'!$H:$H,"Weekly*")+SUMIFS('BSE - SENSEX Index Options'!$L:$L,'BSE - SENSEX Index Options'!$C:$C,$A231,'BSE - SENSEX Index Options'!$B:$B,G$147,'BSE - SENSEX Index Options'!$H:$H,"MDAW*")+SUMIFS('BSE - Other Index Options'!$L:$L,'BSE - Other Index Options'!$C:$C,$A231,'BSE - Other Index Options'!$B:$B,G$147,'BSE - Other Index Options'!$H:$H,"Weekly*")+SUMIFS('BSE - Other Index Options'!$L:$L,'BSE - Other Index Options'!$C:$C,$A231,'BSE - Other Index Options'!$B:$B,G$147,'BSE - Other Index Options'!$H:$H,"MDAW*")=0,"",SUMIFS('BSE - SENSEX Index Options'!$L:$L,'BSE - SENSEX Index Options'!$C:$C,$A231,'BSE - SENSEX Index Options'!$B:$B,G$147,'BSE - SENSEX Index Options'!$H:$H,"Weekly*")+SUMIFS('BSE - SENSEX Index Options'!$L:$L,'BSE - SENSEX Index Options'!$C:$C,$A231,'BSE - SENSEX Index Options'!$B:$B,G$147,'BSE - SENSEX Index Options'!$H:$H,"MDAW*")+SUMIFS('BSE - Other Index Options'!$L:$L,'BSE - Other Index Options'!$C:$C,$A231,'BSE - Other Index Options'!$B:$B,G$147,'BSE - Other Index Options'!$H:$H,"Weekly*")+SUMIFS('BSE - Other Index Options'!$L:$L,'BSE - Other Index Options'!$C:$C,$A231,'BSE - Other Index Options'!$B:$B,G$147,'BSE - Other Index Options'!$H:$H,"MDAW*"))</f>
        <v/>
      </c>
      <c r="H231" s="26" t="str">
        <f t="shared" si="8"/>
        <v/>
      </c>
    </row>
    <row r="232" spans="1:8" hidden="1" outlineLevel="1">
      <c r="A232" t="s">
        <v>94</v>
      </c>
      <c r="B232" s="26" t="str">
        <f>IF(SUMIFS('BSE - SENSEX Index Options'!$L:$L,'BSE - SENSEX Index Options'!$C:$C,$A232,'BSE - SENSEX Index Options'!$B:$B,B$147,'BSE - SENSEX Index Options'!$H:$H,"Weekly*")+SUMIFS('BSE - SENSEX Index Options'!$L:$L,'BSE - SENSEX Index Options'!$C:$C,$A232,'BSE - SENSEX Index Options'!$B:$B,B$147,'BSE - SENSEX Index Options'!$H:$H,"MDAW*")+SUMIFS('BSE - Other Index Options'!$L:$L,'BSE - Other Index Options'!$C:$C,$A232,'BSE - Other Index Options'!$B:$B,B$147,'BSE - Other Index Options'!$H:$H,"Weekly*")+SUMIFS('BSE - Other Index Options'!$L:$L,'BSE - Other Index Options'!$C:$C,$A232,'BSE - Other Index Options'!$B:$B,B$147,'BSE - Other Index Options'!$H:$H,"MDAW*")=0,"",SUMIFS('BSE - SENSEX Index Options'!$L:$L,'BSE - SENSEX Index Options'!$C:$C,$A232,'BSE - SENSEX Index Options'!$B:$B,B$147,'BSE - SENSEX Index Options'!$H:$H,"Weekly*")+SUMIFS('BSE - SENSEX Index Options'!$L:$L,'BSE - SENSEX Index Options'!$C:$C,$A232,'BSE - SENSEX Index Options'!$B:$B,B$147,'BSE - SENSEX Index Options'!$H:$H,"MDAW*")+SUMIFS('BSE - Other Index Options'!$L:$L,'BSE - Other Index Options'!$C:$C,$A232,'BSE - Other Index Options'!$B:$B,B$147,'BSE - Other Index Options'!$H:$H,"Weekly*")+SUMIFS('BSE - Other Index Options'!$L:$L,'BSE - Other Index Options'!$C:$C,$A232,'BSE - Other Index Options'!$B:$B,B$147,'BSE - Other Index Options'!$H:$H,"MDAW*"))</f>
        <v/>
      </c>
      <c r="C232" s="26" t="str">
        <f>IF(SUMIFS('BSE - SENSEX Index Options'!$L:$L,'BSE - SENSEX Index Options'!$C:$C,$A232,'BSE - SENSEX Index Options'!$B:$B,C$147,'BSE - SENSEX Index Options'!$H:$H,"Weekly*")+SUMIFS('BSE - SENSEX Index Options'!$L:$L,'BSE - SENSEX Index Options'!$C:$C,$A232,'BSE - SENSEX Index Options'!$B:$B,C$147,'BSE - SENSEX Index Options'!$H:$H,"MDAW*")+SUMIFS('BSE - Other Index Options'!$L:$L,'BSE - Other Index Options'!$C:$C,$A232,'BSE - Other Index Options'!$B:$B,C$147,'BSE - Other Index Options'!$H:$H,"Weekly*")+SUMIFS('BSE - Other Index Options'!$L:$L,'BSE - Other Index Options'!$C:$C,$A232,'BSE - Other Index Options'!$B:$B,C$147,'BSE - Other Index Options'!$H:$H,"MDAW*")=0,"",SUMIFS('BSE - SENSEX Index Options'!$L:$L,'BSE - SENSEX Index Options'!$C:$C,$A232,'BSE - SENSEX Index Options'!$B:$B,C$147,'BSE - SENSEX Index Options'!$H:$H,"Weekly*")+SUMIFS('BSE - SENSEX Index Options'!$L:$L,'BSE - SENSEX Index Options'!$C:$C,$A232,'BSE - SENSEX Index Options'!$B:$B,C$147,'BSE - SENSEX Index Options'!$H:$H,"MDAW*")+SUMIFS('BSE - Other Index Options'!$L:$L,'BSE - Other Index Options'!$C:$C,$A232,'BSE - Other Index Options'!$B:$B,C$147,'BSE - Other Index Options'!$H:$H,"Weekly*")+SUMIFS('BSE - Other Index Options'!$L:$L,'BSE - Other Index Options'!$C:$C,$A232,'BSE - Other Index Options'!$B:$B,C$147,'BSE - Other Index Options'!$H:$H,"MDAW*"))</f>
        <v/>
      </c>
      <c r="D232" s="26" t="str">
        <f>IF(SUMIFS('BSE - SENSEX Index Options'!$L:$L,'BSE - SENSEX Index Options'!$C:$C,$A232,'BSE - SENSEX Index Options'!$B:$B,D$147,'BSE - SENSEX Index Options'!$H:$H,"Weekly*")+SUMIFS('BSE - SENSEX Index Options'!$L:$L,'BSE - SENSEX Index Options'!$C:$C,$A232,'BSE - SENSEX Index Options'!$B:$B,D$147,'BSE - SENSEX Index Options'!$H:$H,"MDAW*")+SUMIFS('BSE - Other Index Options'!$L:$L,'BSE - Other Index Options'!$C:$C,$A232,'BSE - Other Index Options'!$B:$B,D$147,'BSE - Other Index Options'!$H:$H,"Weekly*")+SUMIFS('BSE - Other Index Options'!$L:$L,'BSE - Other Index Options'!$C:$C,$A232,'BSE - Other Index Options'!$B:$B,D$147,'BSE - Other Index Options'!$H:$H,"MDAW*")=0,"",SUMIFS('BSE - SENSEX Index Options'!$L:$L,'BSE - SENSEX Index Options'!$C:$C,$A232,'BSE - SENSEX Index Options'!$B:$B,D$147,'BSE - SENSEX Index Options'!$H:$H,"Weekly*")+SUMIFS('BSE - SENSEX Index Options'!$L:$L,'BSE - SENSEX Index Options'!$C:$C,$A232,'BSE - SENSEX Index Options'!$B:$B,D$147,'BSE - SENSEX Index Options'!$H:$H,"MDAW*")+SUMIFS('BSE - Other Index Options'!$L:$L,'BSE - Other Index Options'!$C:$C,$A232,'BSE - Other Index Options'!$B:$B,D$147,'BSE - Other Index Options'!$H:$H,"Weekly*")+SUMIFS('BSE - Other Index Options'!$L:$L,'BSE - Other Index Options'!$C:$C,$A232,'BSE - Other Index Options'!$B:$B,D$147,'BSE - Other Index Options'!$H:$H,"MDAW*"))</f>
        <v/>
      </c>
      <c r="E232" s="26" t="str">
        <f>IF(SUMIFS('BSE - SENSEX Index Options'!$L:$L,'BSE - SENSEX Index Options'!$C:$C,$A232,'BSE - SENSEX Index Options'!$B:$B,E$147,'BSE - SENSEX Index Options'!$H:$H,"Weekly*")+SUMIFS('BSE - SENSEX Index Options'!$L:$L,'BSE - SENSEX Index Options'!$C:$C,$A232,'BSE - SENSEX Index Options'!$B:$B,E$147,'BSE - SENSEX Index Options'!$H:$H,"MDAW*")+SUMIFS('BSE - Other Index Options'!$L:$L,'BSE - Other Index Options'!$C:$C,$A232,'BSE - Other Index Options'!$B:$B,E$147,'BSE - Other Index Options'!$H:$H,"Weekly*")+SUMIFS('BSE - Other Index Options'!$L:$L,'BSE - Other Index Options'!$C:$C,$A232,'BSE - Other Index Options'!$B:$B,E$147,'BSE - Other Index Options'!$H:$H,"MDAW*")=0,"",SUMIFS('BSE - SENSEX Index Options'!$L:$L,'BSE - SENSEX Index Options'!$C:$C,$A232,'BSE - SENSEX Index Options'!$B:$B,E$147,'BSE - SENSEX Index Options'!$H:$H,"Weekly*")+SUMIFS('BSE - SENSEX Index Options'!$L:$L,'BSE - SENSEX Index Options'!$C:$C,$A232,'BSE - SENSEX Index Options'!$B:$B,E$147,'BSE - SENSEX Index Options'!$H:$H,"MDAW*")+SUMIFS('BSE - Other Index Options'!$L:$L,'BSE - Other Index Options'!$C:$C,$A232,'BSE - Other Index Options'!$B:$B,E$147,'BSE - Other Index Options'!$H:$H,"Weekly*")+SUMIFS('BSE - Other Index Options'!$L:$L,'BSE - Other Index Options'!$C:$C,$A232,'BSE - Other Index Options'!$B:$B,E$147,'BSE - Other Index Options'!$H:$H,"MDAW*"))</f>
        <v/>
      </c>
      <c r="F232" s="26" t="str">
        <f>IF(SUMIFS('BSE - SENSEX Index Options'!$L:$L,'BSE - SENSEX Index Options'!$C:$C,$A232,'BSE - SENSEX Index Options'!$B:$B,F$147,'BSE - SENSEX Index Options'!$H:$H,"Weekly*")+SUMIFS('BSE - SENSEX Index Options'!$L:$L,'BSE - SENSEX Index Options'!$C:$C,$A232,'BSE - SENSEX Index Options'!$B:$B,F$147,'BSE - SENSEX Index Options'!$H:$H,"MDAW*")+SUMIFS('BSE - Other Index Options'!$L:$L,'BSE - Other Index Options'!$C:$C,$A232,'BSE - Other Index Options'!$B:$B,F$147,'BSE - Other Index Options'!$H:$H,"Weekly*")+SUMIFS('BSE - Other Index Options'!$L:$L,'BSE - Other Index Options'!$C:$C,$A232,'BSE - Other Index Options'!$B:$B,F$147,'BSE - Other Index Options'!$H:$H,"MDAW*")=0,"",SUMIFS('BSE - SENSEX Index Options'!$L:$L,'BSE - SENSEX Index Options'!$C:$C,$A232,'BSE - SENSEX Index Options'!$B:$B,F$147,'BSE - SENSEX Index Options'!$H:$H,"Weekly*")+SUMIFS('BSE - SENSEX Index Options'!$L:$L,'BSE - SENSEX Index Options'!$C:$C,$A232,'BSE - SENSEX Index Options'!$B:$B,F$147,'BSE - SENSEX Index Options'!$H:$H,"MDAW*")+SUMIFS('BSE - Other Index Options'!$L:$L,'BSE - Other Index Options'!$C:$C,$A232,'BSE - Other Index Options'!$B:$B,F$147,'BSE - Other Index Options'!$H:$H,"Weekly*")+SUMIFS('BSE - Other Index Options'!$L:$L,'BSE - Other Index Options'!$C:$C,$A232,'BSE - Other Index Options'!$B:$B,F$147,'BSE - Other Index Options'!$H:$H,"MDAW*"))</f>
        <v/>
      </c>
      <c r="G232" s="26" t="str">
        <f>IF(SUMIFS('BSE - SENSEX Index Options'!$L:$L,'BSE - SENSEX Index Options'!$C:$C,$A232,'BSE - SENSEX Index Options'!$B:$B,G$147,'BSE - SENSEX Index Options'!$H:$H,"Weekly*")+SUMIFS('BSE - SENSEX Index Options'!$L:$L,'BSE - SENSEX Index Options'!$C:$C,$A232,'BSE - SENSEX Index Options'!$B:$B,G$147,'BSE - SENSEX Index Options'!$H:$H,"MDAW*")+SUMIFS('BSE - Other Index Options'!$L:$L,'BSE - Other Index Options'!$C:$C,$A232,'BSE - Other Index Options'!$B:$B,G$147,'BSE - Other Index Options'!$H:$H,"Weekly*")+SUMIFS('BSE - Other Index Options'!$L:$L,'BSE - Other Index Options'!$C:$C,$A232,'BSE - Other Index Options'!$B:$B,G$147,'BSE - Other Index Options'!$H:$H,"MDAW*")=0,"",SUMIFS('BSE - SENSEX Index Options'!$L:$L,'BSE - SENSEX Index Options'!$C:$C,$A232,'BSE - SENSEX Index Options'!$B:$B,G$147,'BSE - SENSEX Index Options'!$H:$H,"Weekly*")+SUMIFS('BSE - SENSEX Index Options'!$L:$L,'BSE - SENSEX Index Options'!$C:$C,$A232,'BSE - SENSEX Index Options'!$B:$B,G$147,'BSE - SENSEX Index Options'!$H:$H,"MDAW*")+SUMIFS('BSE - Other Index Options'!$L:$L,'BSE - Other Index Options'!$C:$C,$A232,'BSE - Other Index Options'!$B:$B,G$147,'BSE - Other Index Options'!$H:$H,"Weekly*")+SUMIFS('BSE - Other Index Options'!$L:$L,'BSE - Other Index Options'!$C:$C,$A232,'BSE - Other Index Options'!$B:$B,G$147,'BSE - Other Index Options'!$H:$H,"MDAW*"))</f>
        <v/>
      </c>
      <c r="H232" s="26" t="str">
        <f t="shared" si="8"/>
        <v/>
      </c>
    </row>
    <row r="233" spans="1:8" hidden="1" outlineLevel="1">
      <c r="A233" t="s">
        <v>95</v>
      </c>
      <c r="B233" s="26" t="str">
        <f>IF(SUMIFS('BSE - SENSEX Index Options'!$L:$L,'BSE - SENSEX Index Options'!$C:$C,$A233,'BSE - SENSEX Index Options'!$B:$B,B$147,'BSE - SENSEX Index Options'!$H:$H,"Weekly*")+SUMIFS('BSE - SENSEX Index Options'!$L:$L,'BSE - SENSEX Index Options'!$C:$C,$A233,'BSE - SENSEX Index Options'!$B:$B,B$147,'BSE - SENSEX Index Options'!$H:$H,"MDAW*")+SUMIFS('BSE - Other Index Options'!$L:$L,'BSE - Other Index Options'!$C:$C,$A233,'BSE - Other Index Options'!$B:$B,B$147,'BSE - Other Index Options'!$H:$H,"Weekly*")+SUMIFS('BSE - Other Index Options'!$L:$L,'BSE - Other Index Options'!$C:$C,$A233,'BSE - Other Index Options'!$B:$B,B$147,'BSE - Other Index Options'!$H:$H,"MDAW*")=0,"",SUMIFS('BSE - SENSEX Index Options'!$L:$L,'BSE - SENSEX Index Options'!$C:$C,$A233,'BSE - SENSEX Index Options'!$B:$B,B$147,'BSE - SENSEX Index Options'!$H:$H,"Weekly*")+SUMIFS('BSE - SENSEX Index Options'!$L:$L,'BSE - SENSEX Index Options'!$C:$C,$A233,'BSE - SENSEX Index Options'!$B:$B,B$147,'BSE - SENSEX Index Options'!$H:$H,"MDAW*")+SUMIFS('BSE - Other Index Options'!$L:$L,'BSE - Other Index Options'!$C:$C,$A233,'BSE - Other Index Options'!$B:$B,B$147,'BSE - Other Index Options'!$H:$H,"Weekly*")+SUMIFS('BSE - Other Index Options'!$L:$L,'BSE - Other Index Options'!$C:$C,$A233,'BSE - Other Index Options'!$B:$B,B$147,'BSE - Other Index Options'!$H:$H,"MDAW*"))</f>
        <v/>
      </c>
      <c r="C233" s="26" t="str">
        <f>IF(SUMIFS('BSE - SENSEX Index Options'!$L:$L,'BSE - SENSEX Index Options'!$C:$C,$A233,'BSE - SENSEX Index Options'!$B:$B,C$147,'BSE - SENSEX Index Options'!$H:$H,"Weekly*")+SUMIFS('BSE - SENSEX Index Options'!$L:$L,'BSE - SENSEX Index Options'!$C:$C,$A233,'BSE - SENSEX Index Options'!$B:$B,C$147,'BSE - SENSEX Index Options'!$H:$H,"MDAW*")+SUMIFS('BSE - Other Index Options'!$L:$L,'BSE - Other Index Options'!$C:$C,$A233,'BSE - Other Index Options'!$B:$B,C$147,'BSE - Other Index Options'!$H:$H,"Weekly*")+SUMIFS('BSE - Other Index Options'!$L:$L,'BSE - Other Index Options'!$C:$C,$A233,'BSE - Other Index Options'!$B:$B,C$147,'BSE - Other Index Options'!$H:$H,"MDAW*")=0,"",SUMIFS('BSE - SENSEX Index Options'!$L:$L,'BSE - SENSEX Index Options'!$C:$C,$A233,'BSE - SENSEX Index Options'!$B:$B,C$147,'BSE - SENSEX Index Options'!$H:$H,"Weekly*")+SUMIFS('BSE - SENSEX Index Options'!$L:$L,'BSE - SENSEX Index Options'!$C:$C,$A233,'BSE - SENSEX Index Options'!$B:$B,C$147,'BSE - SENSEX Index Options'!$H:$H,"MDAW*")+SUMIFS('BSE - Other Index Options'!$L:$L,'BSE - Other Index Options'!$C:$C,$A233,'BSE - Other Index Options'!$B:$B,C$147,'BSE - Other Index Options'!$H:$H,"Weekly*")+SUMIFS('BSE - Other Index Options'!$L:$L,'BSE - Other Index Options'!$C:$C,$A233,'BSE - Other Index Options'!$B:$B,C$147,'BSE - Other Index Options'!$H:$H,"MDAW*"))</f>
        <v/>
      </c>
      <c r="D233" s="26" t="str">
        <f>IF(SUMIFS('BSE - SENSEX Index Options'!$L:$L,'BSE - SENSEX Index Options'!$C:$C,$A233,'BSE - SENSEX Index Options'!$B:$B,D$147,'BSE - SENSEX Index Options'!$H:$H,"Weekly*")+SUMIFS('BSE - SENSEX Index Options'!$L:$L,'BSE - SENSEX Index Options'!$C:$C,$A233,'BSE - SENSEX Index Options'!$B:$B,D$147,'BSE - SENSEX Index Options'!$H:$H,"MDAW*")+SUMIFS('BSE - Other Index Options'!$L:$L,'BSE - Other Index Options'!$C:$C,$A233,'BSE - Other Index Options'!$B:$B,D$147,'BSE - Other Index Options'!$H:$H,"Weekly*")+SUMIFS('BSE - Other Index Options'!$L:$L,'BSE - Other Index Options'!$C:$C,$A233,'BSE - Other Index Options'!$B:$B,D$147,'BSE - Other Index Options'!$H:$H,"MDAW*")=0,"",SUMIFS('BSE - SENSEX Index Options'!$L:$L,'BSE - SENSEX Index Options'!$C:$C,$A233,'BSE - SENSEX Index Options'!$B:$B,D$147,'BSE - SENSEX Index Options'!$H:$H,"Weekly*")+SUMIFS('BSE - SENSEX Index Options'!$L:$L,'BSE - SENSEX Index Options'!$C:$C,$A233,'BSE - SENSEX Index Options'!$B:$B,D$147,'BSE - SENSEX Index Options'!$H:$H,"MDAW*")+SUMIFS('BSE - Other Index Options'!$L:$L,'BSE - Other Index Options'!$C:$C,$A233,'BSE - Other Index Options'!$B:$B,D$147,'BSE - Other Index Options'!$H:$H,"Weekly*")+SUMIFS('BSE - Other Index Options'!$L:$L,'BSE - Other Index Options'!$C:$C,$A233,'BSE - Other Index Options'!$B:$B,D$147,'BSE - Other Index Options'!$H:$H,"MDAW*"))</f>
        <v/>
      </c>
      <c r="E233" s="26" t="str">
        <f>IF(SUMIFS('BSE - SENSEX Index Options'!$L:$L,'BSE - SENSEX Index Options'!$C:$C,$A233,'BSE - SENSEX Index Options'!$B:$B,E$147,'BSE - SENSEX Index Options'!$H:$H,"Weekly*")+SUMIFS('BSE - SENSEX Index Options'!$L:$L,'BSE - SENSEX Index Options'!$C:$C,$A233,'BSE - SENSEX Index Options'!$B:$B,E$147,'BSE - SENSEX Index Options'!$H:$H,"MDAW*")+SUMIFS('BSE - Other Index Options'!$L:$L,'BSE - Other Index Options'!$C:$C,$A233,'BSE - Other Index Options'!$B:$B,E$147,'BSE - Other Index Options'!$H:$H,"Weekly*")+SUMIFS('BSE - Other Index Options'!$L:$L,'BSE - Other Index Options'!$C:$C,$A233,'BSE - Other Index Options'!$B:$B,E$147,'BSE - Other Index Options'!$H:$H,"MDAW*")=0,"",SUMIFS('BSE - SENSEX Index Options'!$L:$L,'BSE - SENSEX Index Options'!$C:$C,$A233,'BSE - SENSEX Index Options'!$B:$B,E$147,'BSE - SENSEX Index Options'!$H:$H,"Weekly*")+SUMIFS('BSE - SENSEX Index Options'!$L:$L,'BSE - SENSEX Index Options'!$C:$C,$A233,'BSE - SENSEX Index Options'!$B:$B,E$147,'BSE - SENSEX Index Options'!$H:$H,"MDAW*")+SUMIFS('BSE - Other Index Options'!$L:$L,'BSE - Other Index Options'!$C:$C,$A233,'BSE - Other Index Options'!$B:$B,E$147,'BSE - Other Index Options'!$H:$H,"Weekly*")+SUMIFS('BSE - Other Index Options'!$L:$L,'BSE - Other Index Options'!$C:$C,$A233,'BSE - Other Index Options'!$B:$B,E$147,'BSE - Other Index Options'!$H:$H,"MDAW*"))</f>
        <v/>
      </c>
      <c r="F233" s="26" t="str">
        <f>IF(SUMIFS('BSE - SENSEX Index Options'!$L:$L,'BSE - SENSEX Index Options'!$C:$C,$A233,'BSE - SENSEX Index Options'!$B:$B,F$147,'BSE - SENSEX Index Options'!$H:$H,"Weekly*")+SUMIFS('BSE - SENSEX Index Options'!$L:$L,'BSE - SENSEX Index Options'!$C:$C,$A233,'BSE - SENSEX Index Options'!$B:$B,F$147,'BSE - SENSEX Index Options'!$H:$H,"MDAW*")+SUMIFS('BSE - Other Index Options'!$L:$L,'BSE - Other Index Options'!$C:$C,$A233,'BSE - Other Index Options'!$B:$B,F$147,'BSE - Other Index Options'!$H:$H,"Weekly*")+SUMIFS('BSE - Other Index Options'!$L:$L,'BSE - Other Index Options'!$C:$C,$A233,'BSE - Other Index Options'!$B:$B,F$147,'BSE - Other Index Options'!$H:$H,"MDAW*")=0,"",SUMIFS('BSE - SENSEX Index Options'!$L:$L,'BSE - SENSEX Index Options'!$C:$C,$A233,'BSE - SENSEX Index Options'!$B:$B,F$147,'BSE - SENSEX Index Options'!$H:$H,"Weekly*")+SUMIFS('BSE - SENSEX Index Options'!$L:$L,'BSE - SENSEX Index Options'!$C:$C,$A233,'BSE - SENSEX Index Options'!$B:$B,F$147,'BSE - SENSEX Index Options'!$H:$H,"MDAW*")+SUMIFS('BSE - Other Index Options'!$L:$L,'BSE - Other Index Options'!$C:$C,$A233,'BSE - Other Index Options'!$B:$B,F$147,'BSE - Other Index Options'!$H:$H,"Weekly*")+SUMIFS('BSE - Other Index Options'!$L:$L,'BSE - Other Index Options'!$C:$C,$A233,'BSE - Other Index Options'!$B:$B,F$147,'BSE - Other Index Options'!$H:$H,"MDAW*"))</f>
        <v/>
      </c>
      <c r="G233" s="26" t="str">
        <f>IF(SUMIFS('BSE - SENSEX Index Options'!$L:$L,'BSE - SENSEX Index Options'!$C:$C,$A233,'BSE - SENSEX Index Options'!$B:$B,G$147,'BSE - SENSEX Index Options'!$H:$H,"Weekly*")+SUMIFS('BSE - SENSEX Index Options'!$L:$L,'BSE - SENSEX Index Options'!$C:$C,$A233,'BSE - SENSEX Index Options'!$B:$B,G$147,'BSE - SENSEX Index Options'!$H:$H,"MDAW*")+SUMIFS('BSE - Other Index Options'!$L:$L,'BSE - Other Index Options'!$C:$C,$A233,'BSE - Other Index Options'!$B:$B,G$147,'BSE - Other Index Options'!$H:$H,"Weekly*")+SUMIFS('BSE - Other Index Options'!$L:$L,'BSE - Other Index Options'!$C:$C,$A233,'BSE - Other Index Options'!$B:$B,G$147,'BSE - Other Index Options'!$H:$H,"MDAW*")=0,"",SUMIFS('BSE - SENSEX Index Options'!$L:$L,'BSE - SENSEX Index Options'!$C:$C,$A233,'BSE - SENSEX Index Options'!$B:$B,G$147,'BSE - SENSEX Index Options'!$H:$H,"Weekly*")+SUMIFS('BSE - SENSEX Index Options'!$L:$L,'BSE - SENSEX Index Options'!$C:$C,$A233,'BSE - SENSEX Index Options'!$B:$B,G$147,'BSE - SENSEX Index Options'!$H:$H,"MDAW*")+SUMIFS('BSE - Other Index Options'!$L:$L,'BSE - Other Index Options'!$C:$C,$A233,'BSE - Other Index Options'!$B:$B,G$147,'BSE - Other Index Options'!$H:$H,"Weekly*")+SUMIFS('BSE - Other Index Options'!$L:$L,'BSE - Other Index Options'!$C:$C,$A233,'BSE - Other Index Options'!$B:$B,G$147,'BSE - Other Index Options'!$H:$H,"MDAW*"))</f>
        <v/>
      </c>
      <c r="H233" s="26" t="str">
        <f t="shared" si="8"/>
        <v/>
      </c>
    </row>
    <row r="234" spans="1:8" hidden="1" outlineLevel="1">
      <c r="A234" t="s">
        <v>96</v>
      </c>
      <c r="B234" s="26" t="str">
        <f>IF(SUMIFS('BSE - SENSEX Index Options'!$L:$L,'BSE - SENSEX Index Options'!$C:$C,$A234,'BSE - SENSEX Index Options'!$B:$B,B$147,'BSE - SENSEX Index Options'!$H:$H,"Weekly*")+SUMIFS('BSE - SENSEX Index Options'!$L:$L,'BSE - SENSEX Index Options'!$C:$C,$A234,'BSE - SENSEX Index Options'!$B:$B,B$147,'BSE - SENSEX Index Options'!$H:$H,"MDAW*")+SUMIFS('BSE - Other Index Options'!$L:$L,'BSE - Other Index Options'!$C:$C,$A234,'BSE - Other Index Options'!$B:$B,B$147,'BSE - Other Index Options'!$H:$H,"Weekly*")+SUMIFS('BSE - Other Index Options'!$L:$L,'BSE - Other Index Options'!$C:$C,$A234,'BSE - Other Index Options'!$B:$B,B$147,'BSE - Other Index Options'!$H:$H,"MDAW*")=0,"",SUMIFS('BSE - SENSEX Index Options'!$L:$L,'BSE - SENSEX Index Options'!$C:$C,$A234,'BSE - SENSEX Index Options'!$B:$B,B$147,'BSE - SENSEX Index Options'!$H:$H,"Weekly*")+SUMIFS('BSE - SENSEX Index Options'!$L:$L,'BSE - SENSEX Index Options'!$C:$C,$A234,'BSE - SENSEX Index Options'!$B:$B,B$147,'BSE - SENSEX Index Options'!$H:$H,"MDAW*")+SUMIFS('BSE - Other Index Options'!$L:$L,'BSE - Other Index Options'!$C:$C,$A234,'BSE - Other Index Options'!$B:$B,B$147,'BSE - Other Index Options'!$H:$H,"Weekly*")+SUMIFS('BSE - Other Index Options'!$L:$L,'BSE - Other Index Options'!$C:$C,$A234,'BSE - Other Index Options'!$B:$B,B$147,'BSE - Other Index Options'!$H:$H,"MDAW*"))</f>
        <v/>
      </c>
      <c r="C234" s="26" t="str">
        <f>IF(SUMIFS('BSE - SENSEX Index Options'!$L:$L,'BSE - SENSEX Index Options'!$C:$C,$A234,'BSE - SENSEX Index Options'!$B:$B,C$147,'BSE - SENSEX Index Options'!$H:$H,"Weekly*")+SUMIFS('BSE - SENSEX Index Options'!$L:$L,'BSE - SENSEX Index Options'!$C:$C,$A234,'BSE - SENSEX Index Options'!$B:$B,C$147,'BSE - SENSEX Index Options'!$H:$H,"MDAW*")+SUMIFS('BSE - Other Index Options'!$L:$L,'BSE - Other Index Options'!$C:$C,$A234,'BSE - Other Index Options'!$B:$B,C$147,'BSE - Other Index Options'!$H:$H,"Weekly*")+SUMIFS('BSE - Other Index Options'!$L:$L,'BSE - Other Index Options'!$C:$C,$A234,'BSE - Other Index Options'!$B:$B,C$147,'BSE - Other Index Options'!$H:$H,"MDAW*")=0,"",SUMIFS('BSE - SENSEX Index Options'!$L:$L,'BSE - SENSEX Index Options'!$C:$C,$A234,'BSE - SENSEX Index Options'!$B:$B,C$147,'BSE - SENSEX Index Options'!$H:$H,"Weekly*")+SUMIFS('BSE - SENSEX Index Options'!$L:$L,'BSE - SENSEX Index Options'!$C:$C,$A234,'BSE - SENSEX Index Options'!$B:$B,C$147,'BSE - SENSEX Index Options'!$H:$H,"MDAW*")+SUMIFS('BSE - Other Index Options'!$L:$L,'BSE - Other Index Options'!$C:$C,$A234,'BSE - Other Index Options'!$B:$B,C$147,'BSE - Other Index Options'!$H:$H,"Weekly*")+SUMIFS('BSE - Other Index Options'!$L:$L,'BSE - Other Index Options'!$C:$C,$A234,'BSE - Other Index Options'!$B:$B,C$147,'BSE - Other Index Options'!$H:$H,"MDAW*"))</f>
        <v/>
      </c>
      <c r="D234" s="26" t="str">
        <f>IF(SUMIFS('BSE - SENSEX Index Options'!$L:$L,'BSE - SENSEX Index Options'!$C:$C,$A234,'BSE - SENSEX Index Options'!$B:$B,D$147,'BSE - SENSEX Index Options'!$H:$H,"Weekly*")+SUMIFS('BSE - SENSEX Index Options'!$L:$L,'BSE - SENSEX Index Options'!$C:$C,$A234,'BSE - SENSEX Index Options'!$B:$B,D$147,'BSE - SENSEX Index Options'!$H:$H,"MDAW*")+SUMIFS('BSE - Other Index Options'!$L:$L,'BSE - Other Index Options'!$C:$C,$A234,'BSE - Other Index Options'!$B:$B,D$147,'BSE - Other Index Options'!$H:$H,"Weekly*")+SUMIFS('BSE - Other Index Options'!$L:$L,'BSE - Other Index Options'!$C:$C,$A234,'BSE - Other Index Options'!$B:$B,D$147,'BSE - Other Index Options'!$H:$H,"MDAW*")=0,"",SUMIFS('BSE - SENSEX Index Options'!$L:$L,'BSE - SENSEX Index Options'!$C:$C,$A234,'BSE - SENSEX Index Options'!$B:$B,D$147,'BSE - SENSEX Index Options'!$H:$H,"Weekly*")+SUMIFS('BSE - SENSEX Index Options'!$L:$L,'BSE - SENSEX Index Options'!$C:$C,$A234,'BSE - SENSEX Index Options'!$B:$B,D$147,'BSE - SENSEX Index Options'!$H:$H,"MDAW*")+SUMIFS('BSE - Other Index Options'!$L:$L,'BSE - Other Index Options'!$C:$C,$A234,'BSE - Other Index Options'!$B:$B,D$147,'BSE - Other Index Options'!$H:$H,"Weekly*")+SUMIFS('BSE - Other Index Options'!$L:$L,'BSE - Other Index Options'!$C:$C,$A234,'BSE - Other Index Options'!$B:$B,D$147,'BSE - Other Index Options'!$H:$H,"MDAW*"))</f>
        <v/>
      </c>
      <c r="E234" s="26" t="str">
        <f>IF(SUMIFS('BSE - SENSEX Index Options'!$L:$L,'BSE - SENSEX Index Options'!$C:$C,$A234,'BSE - SENSEX Index Options'!$B:$B,E$147,'BSE - SENSEX Index Options'!$H:$H,"Weekly*")+SUMIFS('BSE - SENSEX Index Options'!$L:$L,'BSE - SENSEX Index Options'!$C:$C,$A234,'BSE - SENSEX Index Options'!$B:$B,E$147,'BSE - SENSEX Index Options'!$H:$H,"MDAW*")+SUMIFS('BSE - Other Index Options'!$L:$L,'BSE - Other Index Options'!$C:$C,$A234,'BSE - Other Index Options'!$B:$B,E$147,'BSE - Other Index Options'!$H:$H,"Weekly*")+SUMIFS('BSE - Other Index Options'!$L:$L,'BSE - Other Index Options'!$C:$C,$A234,'BSE - Other Index Options'!$B:$B,E$147,'BSE - Other Index Options'!$H:$H,"MDAW*")=0,"",SUMIFS('BSE - SENSEX Index Options'!$L:$L,'BSE - SENSEX Index Options'!$C:$C,$A234,'BSE - SENSEX Index Options'!$B:$B,E$147,'BSE - SENSEX Index Options'!$H:$H,"Weekly*")+SUMIFS('BSE - SENSEX Index Options'!$L:$L,'BSE - SENSEX Index Options'!$C:$C,$A234,'BSE - SENSEX Index Options'!$B:$B,E$147,'BSE - SENSEX Index Options'!$H:$H,"MDAW*")+SUMIFS('BSE - Other Index Options'!$L:$L,'BSE - Other Index Options'!$C:$C,$A234,'BSE - Other Index Options'!$B:$B,E$147,'BSE - Other Index Options'!$H:$H,"Weekly*")+SUMIFS('BSE - Other Index Options'!$L:$L,'BSE - Other Index Options'!$C:$C,$A234,'BSE - Other Index Options'!$B:$B,E$147,'BSE - Other Index Options'!$H:$H,"MDAW*"))</f>
        <v/>
      </c>
      <c r="F234" s="26" t="str">
        <f>IF(SUMIFS('BSE - SENSEX Index Options'!$L:$L,'BSE - SENSEX Index Options'!$C:$C,$A234,'BSE - SENSEX Index Options'!$B:$B,F$147,'BSE - SENSEX Index Options'!$H:$H,"Weekly*")+SUMIFS('BSE - SENSEX Index Options'!$L:$L,'BSE - SENSEX Index Options'!$C:$C,$A234,'BSE - SENSEX Index Options'!$B:$B,F$147,'BSE - SENSEX Index Options'!$H:$H,"MDAW*")+SUMIFS('BSE - Other Index Options'!$L:$L,'BSE - Other Index Options'!$C:$C,$A234,'BSE - Other Index Options'!$B:$B,F$147,'BSE - Other Index Options'!$H:$H,"Weekly*")+SUMIFS('BSE - Other Index Options'!$L:$L,'BSE - Other Index Options'!$C:$C,$A234,'BSE - Other Index Options'!$B:$B,F$147,'BSE - Other Index Options'!$H:$H,"MDAW*")=0,"",SUMIFS('BSE - SENSEX Index Options'!$L:$L,'BSE - SENSEX Index Options'!$C:$C,$A234,'BSE - SENSEX Index Options'!$B:$B,F$147,'BSE - SENSEX Index Options'!$H:$H,"Weekly*")+SUMIFS('BSE - SENSEX Index Options'!$L:$L,'BSE - SENSEX Index Options'!$C:$C,$A234,'BSE - SENSEX Index Options'!$B:$B,F$147,'BSE - SENSEX Index Options'!$H:$H,"MDAW*")+SUMIFS('BSE - Other Index Options'!$L:$L,'BSE - Other Index Options'!$C:$C,$A234,'BSE - Other Index Options'!$B:$B,F$147,'BSE - Other Index Options'!$H:$H,"Weekly*")+SUMIFS('BSE - Other Index Options'!$L:$L,'BSE - Other Index Options'!$C:$C,$A234,'BSE - Other Index Options'!$B:$B,F$147,'BSE - Other Index Options'!$H:$H,"MDAW*"))</f>
        <v/>
      </c>
      <c r="G234" s="26" t="str">
        <f>IF(SUMIFS('BSE - SENSEX Index Options'!$L:$L,'BSE - SENSEX Index Options'!$C:$C,$A234,'BSE - SENSEX Index Options'!$B:$B,G$147,'BSE - SENSEX Index Options'!$H:$H,"Weekly*")+SUMIFS('BSE - SENSEX Index Options'!$L:$L,'BSE - SENSEX Index Options'!$C:$C,$A234,'BSE - SENSEX Index Options'!$B:$B,G$147,'BSE - SENSEX Index Options'!$H:$H,"MDAW*")+SUMIFS('BSE - Other Index Options'!$L:$L,'BSE - Other Index Options'!$C:$C,$A234,'BSE - Other Index Options'!$B:$B,G$147,'BSE - Other Index Options'!$H:$H,"Weekly*")+SUMIFS('BSE - Other Index Options'!$L:$L,'BSE - Other Index Options'!$C:$C,$A234,'BSE - Other Index Options'!$B:$B,G$147,'BSE - Other Index Options'!$H:$H,"MDAW*")=0,"",SUMIFS('BSE - SENSEX Index Options'!$L:$L,'BSE - SENSEX Index Options'!$C:$C,$A234,'BSE - SENSEX Index Options'!$B:$B,G$147,'BSE - SENSEX Index Options'!$H:$H,"Weekly*")+SUMIFS('BSE - SENSEX Index Options'!$L:$L,'BSE - SENSEX Index Options'!$C:$C,$A234,'BSE - SENSEX Index Options'!$B:$B,G$147,'BSE - SENSEX Index Options'!$H:$H,"MDAW*")+SUMIFS('BSE - Other Index Options'!$L:$L,'BSE - Other Index Options'!$C:$C,$A234,'BSE - Other Index Options'!$B:$B,G$147,'BSE - Other Index Options'!$H:$H,"Weekly*")+SUMIFS('BSE - Other Index Options'!$L:$L,'BSE - Other Index Options'!$C:$C,$A234,'BSE - Other Index Options'!$B:$B,G$147,'BSE - Other Index Options'!$H:$H,"MDAW*"))</f>
        <v/>
      </c>
      <c r="H234" s="26" t="str">
        <f t="shared" si="8"/>
        <v/>
      </c>
    </row>
    <row r="235" spans="1:8" hidden="1" outlineLevel="1">
      <c r="A235" t="s">
        <v>97</v>
      </c>
      <c r="B235" s="26" t="str">
        <f>IF(SUMIFS('BSE - SENSEX Index Options'!$L:$L,'BSE - SENSEX Index Options'!$C:$C,$A235,'BSE - SENSEX Index Options'!$B:$B,B$147,'BSE - SENSEX Index Options'!$H:$H,"Weekly*")+SUMIFS('BSE - SENSEX Index Options'!$L:$L,'BSE - SENSEX Index Options'!$C:$C,$A235,'BSE - SENSEX Index Options'!$B:$B,B$147,'BSE - SENSEX Index Options'!$H:$H,"MDAW*")+SUMIFS('BSE - Other Index Options'!$L:$L,'BSE - Other Index Options'!$C:$C,$A235,'BSE - Other Index Options'!$B:$B,B$147,'BSE - Other Index Options'!$H:$H,"Weekly*")+SUMIFS('BSE - Other Index Options'!$L:$L,'BSE - Other Index Options'!$C:$C,$A235,'BSE - Other Index Options'!$B:$B,B$147,'BSE - Other Index Options'!$H:$H,"MDAW*")=0,"",SUMIFS('BSE - SENSEX Index Options'!$L:$L,'BSE - SENSEX Index Options'!$C:$C,$A235,'BSE - SENSEX Index Options'!$B:$B,B$147,'BSE - SENSEX Index Options'!$H:$H,"Weekly*")+SUMIFS('BSE - SENSEX Index Options'!$L:$L,'BSE - SENSEX Index Options'!$C:$C,$A235,'BSE - SENSEX Index Options'!$B:$B,B$147,'BSE - SENSEX Index Options'!$H:$H,"MDAW*")+SUMIFS('BSE - Other Index Options'!$L:$L,'BSE - Other Index Options'!$C:$C,$A235,'BSE - Other Index Options'!$B:$B,B$147,'BSE - Other Index Options'!$H:$H,"Weekly*")+SUMIFS('BSE - Other Index Options'!$L:$L,'BSE - Other Index Options'!$C:$C,$A235,'BSE - Other Index Options'!$B:$B,B$147,'BSE - Other Index Options'!$H:$H,"MDAW*"))</f>
        <v/>
      </c>
      <c r="C235" s="26" t="str">
        <f>IF(SUMIFS('BSE - SENSEX Index Options'!$L:$L,'BSE - SENSEX Index Options'!$C:$C,$A235,'BSE - SENSEX Index Options'!$B:$B,C$147,'BSE - SENSEX Index Options'!$H:$H,"Weekly*")+SUMIFS('BSE - SENSEX Index Options'!$L:$L,'BSE - SENSEX Index Options'!$C:$C,$A235,'BSE - SENSEX Index Options'!$B:$B,C$147,'BSE - SENSEX Index Options'!$H:$H,"MDAW*")+SUMIFS('BSE - Other Index Options'!$L:$L,'BSE - Other Index Options'!$C:$C,$A235,'BSE - Other Index Options'!$B:$B,C$147,'BSE - Other Index Options'!$H:$H,"Weekly*")+SUMIFS('BSE - Other Index Options'!$L:$L,'BSE - Other Index Options'!$C:$C,$A235,'BSE - Other Index Options'!$B:$B,C$147,'BSE - Other Index Options'!$H:$H,"MDAW*")=0,"",SUMIFS('BSE - SENSEX Index Options'!$L:$L,'BSE - SENSEX Index Options'!$C:$C,$A235,'BSE - SENSEX Index Options'!$B:$B,C$147,'BSE - SENSEX Index Options'!$H:$H,"Weekly*")+SUMIFS('BSE - SENSEX Index Options'!$L:$L,'BSE - SENSEX Index Options'!$C:$C,$A235,'BSE - SENSEX Index Options'!$B:$B,C$147,'BSE - SENSEX Index Options'!$H:$H,"MDAW*")+SUMIFS('BSE - Other Index Options'!$L:$L,'BSE - Other Index Options'!$C:$C,$A235,'BSE - Other Index Options'!$B:$B,C$147,'BSE - Other Index Options'!$H:$H,"Weekly*")+SUMIFS('BSE - Other Index Options'!$L:$L,'BSE - Other Index Options'!$C:$C,$A235,'BSE - Other Index Options'!$B:$B,C$147,'BSE - Other Index Options'!$H:$H,"MDAW*"))</f>
        <v/>
      </c>
      <c r="D235" s="26" t="str">
        <f>IF(SUMIFS('BSE - SENSEX Index Options'!$L:$L,'BSE - SENSEX Index Options'!$C:$C,$A235,'BSE - SENSEX Index Options'!$B:$B,D$147,'BSE - SENSEX Index Options'!$H:$H,"Weekly*")+SUMIFS('BSE - SENSEX Index Options'!$L:$L,'BSE - SENSEX Index Options'!$C:$C,$A235,'BSE - SENSEX Index Options'!$B:$B,D$147,'BSE - SENSEX Index Options'!$H:$H,"MDAW*")+SUMIFS('BSE - Other Index Options'!$L:$L,'BSE - Other Index Options'!$C:$C,$A235,'BSE - Other Index Options'!$B:$B,D$147,'BSE - Other Index Options'!$H:$H,"Weekly*")+SUMIFS('BSE - Other Index Options'!$L:$L,'BSE - Other Index Options'!$C:$C,$A235,'BSE - Other Index Options'!$B:$B,D$147,'BSE - Other Index Options'!$H:$H,"MDAW*")=0,"",SUMIFS('BSE - SENSEX Index Options'!$L:$L,'BSE - SENSEX Index Options'!$C:$C,$A235,'BSE - SENSEX Index Options'!$B:$B,D$147,'BSE - SENSEX Index Options'!$H:$H,"Weekly*")+SUMIFS('BSE - SENSEX Index Options'!$L:$L,'BSE - SENSEX Index Options'!$C:$C,$A235,'BSE - SENSEX Index Options'!$B:$B,D$147,'BSE - SENSEX Index Options'!$H:$H,"MDAW*")+SUMIFS('BSE - Other Index Options'!$L:$L,'BSE - Other Index Options'!$C:$C,$A235,'BSE - Other Index Options'!$B:$B,D$147,'BSE - Other Index Options'!$H:$H,"Weekly*")+SUMIFS('BSE - Other Index Options'!$L:$L,'BSE - Other Index Options'!$C:$C,$A235,'BSE - Other Index Options'!$B:$B,D$147,'BSE - Other Index Options'!$H:$H,"MDAW*"))</f>
        <v/>
      </c>
      <c r="E235" s="26" t="str">
        <f>IF(SUMIFS('BSE - SENSEX Index Options'!$L:$L,'BSE - SENSEX Index Options'!$C:$C,$A235,'BSE - SENSEX Index Options'!$B:$B,E$147,'BSE - SENSEX Index Options'!$H:$H,"Weekly*")+SUMIFS('BSE - SENSEX Index Options'!$L:$L,'BSE - SENSEX Index Options'!$C:$C,$A235,'BSE - SENSEX Index Options'!$B:$B,E$147,'BSE - SENSEX Index Options'!$H:$H,"MDAW*")+SUMIFS('BSE - Other Index Options'!$L:$L,'BSE - Other Index Options'!$C:$C,$A235,'BSE - Other Index Options'!$B:$B,E$147,'BSE - Other Index Options'!$H:$H,"Weekly*")+SUMIFS('BSE - Other Index Options'!$L:$L,'BSE - Other Index Options'!$C:$C,$A235,'BSE - Other Index Options'!$B:$B,E$147,'BSE - Other Index Options'!$H:$H,"MDAW*")=0,"",SUMIFS('BSE - SENSEX Index Options'!$L:$L,'BSE - SENSEX Index Options'!$C:$C,$A235,'BSE - SENSEX Index Options'!$B:$B,E$147,'BSE - SENSEX Index Options'!$H:$H,"Weekly*")+SUMIFS('BSE - SENSEX Index Options'!$L:$L,'BSE - SENSEX Index Options'!$C:$C,$A235,'BSE - SENSEX Index Options'!$B:$B,E$147,'BSE - SENSEX Index Options'!$H:$H,"MDAW*")+SUMIFS('BSE - Other Index Options'!$L:$L,'BSE - Other Index Options'!$C:$C,$A235,'BSE - Other Index Options'!$B:$B,E$147,'BSE - Other Index Options'!$H:$H,"Weekly*")+SUMIFS('BSE - Other Index Options'!$L:$L,'BSE - Other Index Options'!$C:$C,$A235,'BSE - Other Index Options'!$B:$B,E$147,'BSE - Other Index Options'!$H:$H,"MDAW*"))</f>
        <v/>
      </c>
      <c r="F235" s="26" t="str">
        <f>IF(SUMIFS('BSE - SENSEX Index Options'!$L:$L,'BSE - SENSEX Index Options'!$C:$C,$A235,'BSE - SENSEX Index Options'!$B:$B,F$147,'BSE - SENSEX Index Options'!$H:$H,"Weekly*")+SUMIFS('BSE - SENSEX Index Options'!$L:$L,'BSE - SENSEX Index Options'!$C:$C,$A235,'BSE - SENSEX Index Options'!$B:$B,F$147,'BSE - SENSEX Index Options'!$H:$H,"MDAW*")+SUMIFS('BSE - Other Index Options'!$L:$L,'BSE - Other Index Options'!$C:$C,$A235,'BSE - Other Index Options'!$B:$B,F$147,'BSE - Other Index Options'!$H:$H,"Weekly*")+SUMIFS('BSE - Other Index Options'!$L:$L,'BSE - Other Index Options'!$C:$C,$A235,'BSE - Other Index Options'!$B:$B,F$147,'BSE - Other Index Options'!$H:$H,"MDAW*")=0,"",SUMIFS('BSE - SENSEX Index Options'!$L:$L,'BSE - SENSEX Index Options'!$C:$C,$A235,'BSE - SENSEX Index Options'!$B:$B,F$147,'BSE - SENSEX Index Options'!$H:$H,"Weekly*")+SUMIFS('BSE - SENSEX Index Options'!$L:$L,'BSE - SENSEX Index Options'!$C:$C,$A235,'BSE - SENSEX Index Options'!$B:$B,F$147,'BSE - SENSEX Index Options'!$H:$H,"MDAW*")+SUMIFS('BSE - Other Index Options'!$L:$L,'BSE - Other Index Options'!$C:$C,$A235,'BSE - Other Index Options'!$B:$B,F$147,'BSE - Other Index Options'!$H:$H,"Weekly*")+SUMIFS('BSE - Other Index Options'!$L:$L,'BSE - Other Index Options'!$C:$C,$A235,'BSE - Other Index Options'!$B:$B,F$147,'BSE - Other Index Options'!$H:$H,"MDAW*"))</f>
        <v/>
      </c>
      <c r="G235" s="26" t="str">
        <f>IF(SUMIFS('BSE - SENSEX Index Options'!$L:$L,'BSE - SENSEX Index Options'!$C:$C,$A235,'BSE - SENSEX Index Options'!$B:$B,G$147,'BSE - SENSEX Index Options'!$H:$H,"Weekly*")+SUMIFS('BSE - SENSEX Index Options'!$L:$L,'BSE - SENSEX Index Options'!$C:$C,$A235,'BSE - SENSEX Index Options'!$B:$B,G$147,'BSE - SENSEX Index Options'!$H:$H,"MDAW*")+SUMIFS('BSE - Other Index Options'!$L:$L,'BSE - Other Index Options'!$C:$C,$A235,'BSE - Other Index Options'!$B:$B,G$147,'BSE - Other Index Options'!$H:$H,"Weekly*")+SUMIFS('BSE - Other Index Options'!$L:$L,'BSE - Other Index Options'!$C:$C,$A235,'BSE - Other Index Options'!$B:$B,G$147,'BSE - Other Index Options'!$H:$H,"MDAW*")=0,"",SUMIFS('BSE - SENSEX Index Options'!$L:$L,'BSE - SENSEX Index Options'!$C:$C,$A235,'BSE - SENSEX Index Options'!$B:$B,G$147,'BSE - SENSEX Index Options'!$H:$H,"Weekly*")+SUMIFS('BSE - SENSEX Index Options'!$L:$L,'BSE - SENSEX Index Options'!$C:$C,$A235,'BSE - SENSEX Index Options'!$B:$B,G$147,'BSE - SENSEX Index Options'!$H:$H,"MDAW*")+SUMIFS('BSE - Other Index Options'!$L:$L,'BSE - Other Index Options'!$C:$C,$A235,'BSE - Other Index Options'!$B:$B,G$147,'BSE - Other Index Options'!$H:$H,"Weekly*")+SUMIFS('BSE - Other Index Options'!$L:$L,'BSE - Other Index Options'!$C:$C,$A235,'BSE - Other Index Options'!$B:$B,G$147,'BSE - Other Index Options'!$H:$H,"MDAW*"))</f>
        <v/>
      </c>
      <c r="H235" s="26" t="str">
        <f t="shared" si="8"/>
        <v/>
      </c>
    </row>
    <row r="236" spans="1:8" hidden="1" outlineLevel="1">
      <c r="A236" t="s">
        <v>98</v>
      </c>
      <c r="B236" s="26" t="str">
        <f>IF(SUMIFS('BSE - SENSEX Index Options'!$L:$L,'BSE - SENSEX Index Options'!$C:$C,$A236,'BSE - SENSEX Index Options'!$B:$B,B$147,'BSE - SENSEX Index Options'!$H:$H,"Weekly*")+SUMIFS('BSE - SENSEX Index Options'!$L:$L,'BSE - SENSEX Index Options'!$C:$C,$A236,'BSE - SENSEX Index Options'!$B:$B,B$147,'BSE - SENSEX Index Options'!$H:$H,"MDAW*")+SUMIFS('BSE - Other Index Options'!$L:$L,'BSE - Other Index Options'!$C:$C,$A236,'BSE - Other Index Options'!$B:$B,B$147,'BSE - Other Index Options'!$H:$H,"Weekly*")+SUMIFS('BSE - Other Index Options'!$L:$L,'BSE - Other Index Options'!$C:$C,$A236,'BSE - Other Index Options'!$B:$B,B$147,'BSE - Other Index Options'!$H:$H,"MDAW*")=0,"",SUMIFS('BSE - SENSEX Index Options'!$L:$L,'BSE - SENSEX Index Options'!$C:$C,$A236,'BSE - SENSEX Index Options'!$B:$B,B$147,'BSE - SENSEX Index Options'!$H:$H,"Weekly*")+SUMIFS('BSE - SENSEX Index Options'!$L:$L,'BSE - SENSEX Index Options'!$C:$C,$A236,'BSE - SENSEX Index Options'!$B:$B,B$147,'BSE - SENSEX Index Options'!$H:$H,"MDAW*")+SUMIFS('BSE - Other Index Options'!$L:$L,'BSE - Other Index Options'!$C:$C,$A236,'BSE - Other Index Options'!$B:$B,B$147,'BSE - Other Index Options'!$H:$H,"Weekly*")+SUMIFS('BSE - Other Index Options'!$L:$L,'BSE - Other Index Options'!$C:$C,$A236,'BSE - Other Index Options'!$B:$B,B$147,'BSE - Other Index Options'!$H:$H,"MDAW*"))</f>
        <v/>
      </c>
      <c r="C236" s="26" t="str">
        <f>IF(SUMIFS('BSE - SENSEX Index Options'!$L:$L,'BSE - SENSEX Index Options'!$C:$C,$A236,'BSE - SENSEX Index Options'!$B:$B,C$147,'BSE - SENSEX Index Options'!$H:$H,"Weekly*")+SUMIFS('BSE - SENSEX Index Options'!$L:$L,'BSE - SENSEX Index Options'!$C:$C,$A236,'BSE - SENSEX Index Options'!$B:$B,C$147,'BSE - SENSEX Index Options'!$H:$H,"MDAW*")+SUMIFS('BSE - Other Index Options'!$L:$L,'BSE - Other Index Options'!$C:$C,$A236,'BSE - Other Index Options'!$B:$B,C$147,'BSE - Other Index Options'!$H:$H,"Weekly*")+SUMIFS('BSE - Other Index Options'!$L:$L,'BSE - Other Index Options'!$C:$C,$A236,'BSE - Other Index Options'!$B:$B,C$147,'BSE - Other Index Options'!$H:$H,"MDAW*")=0,"",SUMIFS('BSE - SENSEX Index Options'!$L:$L,'BSE - SENSEX Index Options'!$C:$C,$A236,'BSE - SENSEX Index Options'!$B:$B,C$147,'BSE - SENSEX Index Options'!$H:$H,"Weekly*")+SUMIFS('BSE - SENSEX Index Options'!$L:$L,'BSE - SENSEX Index Options'!$C:$C,$A236,'BSE - SENSEX Index Options'!$B:$B,C$147,'BSE - SENSEX Index Options'!$H:$H,"MDAW*")+SUMIFS('BSE - Other Index Options'!$L:$L,'BSE - Other Index Options'!$C:$C,$A236,'BSE - Other Index Options'!$B:$B,C$147,'BSE - Other Index Options'!$H:$H,"Weekly*")+SUMIFS('BSE - Other Index Options'!$L:$L,'BSE - Other Index Options'!$C:$C,$A236,'BSE - Other Index Options'!$B:$B,C$147,'BSE - Other Index Options'!$H:$H,"MDAW*"))</f>
        <v/>
      </c>
      <c r="D236" s="26" t="str">
        <f>IF(SUMIFS('BSE - SENSEX Index Options'!$L:$L,'BSE - SENSEX Index Options'!$C:$C,$A236,'BSE - SENSEX Index Options'!$B:$B,D$147,'BSE - SENSEX Index Options'!$H:$H,"Weekly*")+SUMIFS('BSE - SENSEX Index Options'!$L:$L,'BSE - SENSEX Index Options'!$C:$C,$A236,'BSE - SENSEX Index Options'!$B:$B,D$147,'BSE - SENSEX Index Options'!$H:$H,"MDAW*")+SUMIFS('BSE - Other Index Options'!$L:$L,'BSE - Other Index Options'!$C:$C,$A236,'BSE - Other Index Options'!$B:$B,D$147,'BSE - Other Index Options'!$H:$H,"Weekly*")+SUMIFS('BSE - Other Index Options'!$L:$L,'BSE - Other Index Options'!$C:$C,$A236,'BSE - Other Index Options'!$B:$B,D$147,'BSE - Other Index Options'!$H:$H,"MDAW*")=0,"",SUMIFS('BSE - SENSEX Index Options'!$L:$L,'BSE - SENSEX Index Options'!$C:$C,$A236,'BSE - SENSEX Index Options'!$B:$B,D$147,'BSE - SENSEX Index Options'!$H:$H,"Weekly*")+SUMIFS('BSE - SENSEX Index Options'!$L:$L,'BSE - SENSEX Index Options'!$C:$C,$A236,'BSE - SENSEX Index Options'!$B:$B,D$147,'BSE - SENSEX Index Options'!$H:$H,"MDAW*")+SUMIFS('BSE - Other Index Options'!$L:$L,'BSE - Other Index Options'!$C:$C,$A236,'BSE - Other Index Options'!$B:$B,D$147,'BSE - Other Index Options'!$H:$H,"Weekly*")+SUMIFS('BSE - Other Index Options'!$L:$L,'BSE - Other Index Options'!$C:$C,$A236,'BSE - Other Index Options'!$B:$B,D$147,'BSE - Other Index Options'!$H:$H,"MDAW*"))</f>
        <v/>
      </c>
      <c r="E236" s="26" t="str">
        <f>IF(SUMIFS('BSE - SENSEX Index Options'!$L:$L,'BSE - SENSEX Index Options'!$C:$C,$A236,'BSE - SENSEX Index Options'!$B:$B,E$147,'BSE - SENSEX Index Options'!$H:$H,"Weekly*")+SUMIFS('BSE - SENSEX Index Options'!$L:$L,'BSE - SENSEX Index Options'!$C:$C,$A236,'BSE - SENSEX Index Options'!$B:$B,E$147,'BSE - SENSEX Index Options'!$H:$H,"MDAW*")+SUMIFS('BSE - Other Index Options'!$L:$L,'BSE - Other Index Options'!$C:$C,$A236,'BSE - Other Index Options'!$B:$B,E$147,'BSE - Other Index Options'!$H:$H,"Weekly*")+SUMIFS('BSE - Other Index Options'!$L:$L,'BSE - Other Index Options'!$C:$C,$A236,'BSE - Other Index Options'!$B:$B,E$147,'BSE - Other Index Options'!$H:$H,"MDAW*")=0,"",SUMIFS('BSE - SENSEX Index Options'!$L:$L,'BSE - SENSEX Index Options'!$C:$C,$A236,'BSE - SENSEX Index Options'!$B:$B,E$147,'BSE - SENSEX Index Options'!$H:$H,"Weekly*")+SUMIFS('BSE - SENSEX Index Options'!$L:$L,'BSE - SENSEX Index Options'!$C:$C,$A236,'BSE - SENSEX Index Options'!$B:$B,E$147,'BSE - SENSEX Index Options'!$H:$H,"MDAW*")+SUMIFS('BSE - Other Index Options'!$L:$L,'BSE - Other Index Options'!$C:$C,$A236,'BSE - Other Index Options'!$B:$B,E$147,'BSE - Other Index Options'!$H:$H,"Weekly*")+SUMIFS('BSE - Other Index Options'!$L:$L,'BSE - Other Index Options'!$C:$C,$A236,'BSE - Other Index Options'!$B:$B,E$147,'BSE - Other Index Options'!$H:$H,"MDAW*"))</f>
        <v/>
      </c>
      <c r="F236" s="26" t="str">
        <f>IF(SUMIFS('BSE - SENSEX Index Options'!$L:$L,'BSE - SENSEX Index Options'!$C:$C,$A236,'BSE - SENSEX Index Options'!$B:$B,F$147,'BSE - SENSEX Index Options'!$H:$H,"Weekly*")+SUMIFS('BSE - SENSEX Index Options'!$L:$L,'BSE - SENSEX Index Options'!$C:$C,$A236,'BSE - SENSEX Index Options'!$B:$B,F$147,'BSE - SENSEX Index Options'!$H:$H,"MDAW*")+SUMIFS('BSE - Other Index Options'!$L:$L,'BSE - Other Index Options'!$C:$C,$A236,'BSE - Other Index Options'!$B:$B,F$147,'BSE - Other Index Options'!$H:$H,"Weekly*")+SUMIFS('BSE - Other Index Options'!$L:$L,'BSE - Other Index Options'!$C:$C,$A236,'BSE - Other Index Options'!$B:$B,F$147,'BSE - Other Index Options'!$H:$H,"MDAW*")=0,"",SUMIFS('BSE - SENSEX Index Options'!$L:$L,'BSE - SENSEX Index Options'!$C:$C,$A236,'BSE - SENSEX Index Options'!$B:$B,F$147,'BSE - SENSEX Index Options'!$H:$H,"Weekly*")+SUMIFS('BSE - SENSEX Index Options'!$L:$L,'BSE - SENSEX Index Options'!$C:$C,$A236,'BSE - SENSEX Index Options'!$B:$B,F$147,'BSE - SENSEX Index Options'!$H:$H,"MDAW*")+SUMIFS('BSE - Other Index Options'!$L:$L,'BSE - Other Index Options'!$C:$C,$A236,'BSE - Other Index Options'!$B:$B,F$147,'BSE - Other Index Options'!$H:$H,"Weekly*")+SUMIFS('BSE - Other Index Options'!$L:$L,'BSE - Other Index Options'!$C:$C,$A236,'BSE - Other Index Options'!$B:$B,F$147,'BSE - Other Index Options'!$H:$H,"MDAW*"))</f>
        <v/>
      </c>
      <c r="G236" s="26" t="str">
        <f>IF(SUMIFS('BSE - SENSEX Index Options'!$L:$L,'BSE - SENSEX Index Options'!$C:$C,$A236,'BSE - SENSEX Index Options'!$B:$B,G$147,'BSE - SENSEX Index Options'!$H:$H,"Weekly*")+SUMIFS('BSE - SENSEX Index Options'!$L:$L,'BSE - SENSEX Index Options'!$C:$C,$A236,'BSE - SENSEX Index Options'!$B:$B,G$147,'BSE - SENSEX Index Options'!$H:$H,"MDAW*")+SUMIFS('BSE - Other Index Options'!$L:$L,'BSE - Other Index Options'!$C:$C,$A236,'BSE - Other Index Options'!$B:$B,G$147,'BSE - Other Index Options'!$H:$H,"Weekly*")+SUMIFS('BSE - Other Index Options'!$L:$L,'BSE - Other Index Options'!$C:$C,$A236,'BSE - Other Index Options'!$B:$B,G$147,'BSE - Other Index Options'!$H:$H,"MDAW*")=0,"",SUMIFS('BSE - SENSEX Index Options'!$L:$L,'BSE - SENSEX Index Options'!$C:$C,$A236,'BSE - SENSEX Index Options'!$B:$B,G$147,'BSE - SENSEX Index Options'!$H:$H,"Weekly*")+SUMIFS('BSE - SENSEX Index Options'!$L:$L,'BSE - SENSEX Index Options'!$C:$C,$A236,'BSE - SENSEX Index Options'!$B:$B,G$147,'BSE - SENSEX Index Options'!$H:$H,"MDAW*")+SUMIFS('BSE - Other Index Options'!$L:$L,'BSE - Other Index Options'!$C:$C,$A236,'BSE - Other Index Options'!$B:$B,G$147,'BSE - Other Index Options'!$H:$H,"Weekly*")+SUMIFS('BSE - Other Index Options'!$L:$L,'BSE - Other Index Options'!$C:$C,$A236,'BSE - Other Index Options'!$B:$B,G$147,'BSE - Other Index Options'!$H:$H,"MDAW*"))</f>
        <v/>
      </c>
      <c r="H236" s="26" t="str">
        <f t="shared" si="8"/>
        <v/>
      </c>
    </row>
    <row r="237" spans="1:8" hidden="1" outlineLevel="1">
      <c r="A237" t="s">
        <v>99</v>
      </c>
      <c r="B237" s="26" t="str">
        <f>IF(SUMIFS('BSE - SENSEX Index Options'!$L:$L,'BSE - SENSEX Index Options'!$C:$C,$A237,'BSE - SENSEX Index Options'!$B:$B,B$147,'BSE - SENSEX Index Options'!$H:$H,"Weekly*")+SUMIFS('BSE - SENSEX Index Options'!$L:$L,'BSE - SENSEX Index Options'!$C:$C,$A237,'BSE - SENSEX Index Options'!$B:$B,B$147,'BSE - SENSEX Index Options'!$H:$H,"MDAW*")+SUMIFS('BSE - Other Index Options'!$L:$L,'BSE - Other Index Options'!$C:$C,$A237,'BSE - Other Index Options'!$B:$B,B$147,'BSE - Other Index Options'!$H:$H,"Weekly*")+SUMIFS('BSE - Other Index Options'!$L:$L,'BSE - Other Index Options'!$C:$C,$A237,'BSE - Other Index Options'!$B:$B,B$147,'BSE - Other Index Options'!$H:$H,"MDAW*")=0,"",SUMIFS('BSE - SENSEX Index Options'!$L:$L,'BSE - SENSEX Index Options'!$C:$C,$A237,'BSE - SENSEX Index Options'!$B:$B,B$147,'BSE - SENSEX Index Options'!$H:$H,"Weekly*")+SUMIFS('BSE - SENSEX Index Options'!$L:$L,'BSE - SENSEX Index Options'!$C:$C,$A237,'BSE - SENSEX Index Options'!$B:$B,B$147,'BSE - SENSEX Index Options'!$H:$H,"MDAW*")+SUMIFS('BSE - Other Index Options'!$L:$L,'BSE - Other Index Options'!$C:$C,$A237,'BSE - Other Index Options'!$B:$B,B$147,'BSE - Other Index Options'!$H:$H,"Weekly*")+SUMIFS('BSE - Other Index Options'!$L:$L,'BSE - Other Index Options'!$C:$C,$A237,'BSE - Other Index Options'!$B:$B,B$147,'BSE - Other Index Options'!$H:$H,"MDAW*"))</f>
        <v/>
      </c>
      <c r="C237" s="26" t="str">
        <f>IF(SUMIFS('BSE - SENSEX Index Options'!$L:$L,'BSE - SENSEX Index Options'!$C:$C,$A237,'BSE - SENSEX Index Options'!$B:$B,C$147,'BSE - SENSEX Index Options'!$H:$H,"Weekly*")+SUMIFS('BSE - SENSEX Index Options'!$L:$L,'BSE - SENSEX Index Options'!$C:$C,$A237,'BSE - SENSEX Index Options'!$B:$B,C$147,'BSE - SENSEX Index Options'!$H:$H,"MDAW*")+SUMIFS('BSE - Other Index Options'!$L:$L,'BSE - Other Index Options'!$C:$C,$A237,'BSE - Other Index Options'!$B:$B,C$147,'BSE - Other Index Options'!$H:$H,"Weekly*")+SUMIFS('BSE - Other Index Options'!$L:$L,'BSE - Other Index Options'!$C:$C,$A237,'BSE - Other Index Options'!$B:$B,C$147,'BSE - Other Index Options'!$H:$H,"MDAW*")=0,"",SUMIFS('BSE - SENSEX Index Options'!$L:$L,'BSE - SENSEX Index Options'!$C:$C,$A237,'BSE - SENSEX Index Options'!$B:$B,C$147,'BSE - SENSEX Index Options'!$H:$H,"Weekly*")+SUMIFS('BSE - SENSEX Index Options'!$L:$L,'BSE - SENSEX Index Options'!$C:$C,$A237,'BSE - SENSEX Index Options'!$B:$B,C$147,'BSE - SENSEX Index Options'!$H:$H,"MDAW*")+SUMIFS('BSE - Other Index Options'!$L:$L,'BSE - Other Index Options'!$C:$C,$A237,'BSE - Other Index Options'!$B:$B,C$147,'BSE - Other Index Options'!$H:$H,"Weekly*")+SUMIFS('BSE - Other Index Options'!$L:$L,'BSE - Other Index Options'!$C:$C,$A237,'BSE - Other Index Options'!$B:$B,C$147,'BSE - Other Index Options'!$H:$H,"MDAW*"))</f>
        <v/>
      </c>
      <c r="D237" s="26" t="str">
        <f>IF(SUMIFS('BSE - SENSEX Index Options'!$L:$L,'BSE - SENSEX Index Options'!$C:$C,$A237,'BSE - SENSEX Index Options'!$B:$B,D$147,'BSE - SENSEX Index Options'!$H:$H,"Weekly*")+SUMIFS('BSE - SENSEX Index Options'!$L:$L,'BSE - SENSEX Index Options'!$C:$C,$A237,'BSE - SENSEX Index Options'!$B:$B,D$147,'BSE - SENSEX Index Options'!$H:$H,"MDAW*")+SUMIFS('BSE - Other Index Options'!$L:$L,'BSE - Other Index Options'!$C:$C,$A237,'BSE - Other Index Options'!$B:$B,D$147,'BSE - Other Index Options'!$H:$H,"Weekly*")+SUMIFS('BSE - Other Index Options'!$L:$L,'BSE - Other Index Options'!$C:$C,$A237,'BSE - Other Index Options'!$B:$B,D$147,'BSE - Other Index Options'!$H:$H,"MDAW*")=0,"",SUMIFS('BSE - SENSEX Index Options'!$L:$L,'BSE - SENSEX Index Options'!$C:$C,$A237,'BSE - SENSEX Index Options'!$B:$B,D$147,'BSE - SENSEX Index Options'!$H:$H,"Weekly*")+SUMIFS('BSE - SENSEX Index Options'!$L:$L,'BSE - SENSEX Index Options'!$C:$C,$A237,'BSE - SENSEX Index Options'!$B:$B,D$147,'BSE - SENSEX Index Options'!$H:$H,"MDAW*")+SUMIFS('BSE - Other Index Options'!$L:$L,'BSE - Other Index Options'!$C:$C,$A237,'BSE - Other Index Options'!$B:$B,D$147,'BSE - Other Index Options'!$H:$H,"Weekly*")+SUMIFS('BSE - Other Index Options'!$L:$L,'BSE - Other Index Options'!$C:$C,$A237,'BSE - Other Index Options'!$B:$B,D$147,'BSE - Other Index Options'!$H:$H,"MDAW*"))</f>
        <v/>
      </c>
      <c r="E237" s="26" t="str">
        <f>IF(SUMIFS('BSE - SENSEX Index Options'!$L:$L,'BSE - SENSEX Index Options'!$C:$C,$A237,'BSE - SENSEX Index Options'!$B:$B,E$147,'BSE - SENSEX Index Options'!$H:$H,"Weekly*")+SUMIFS('BSE - SENSEX Index Options'!$L:$L,'BSE - SENSEX Index Options'!$C:$C,$A237,'BSE - SENSEX Index Options'!$B:$B,E$147,'BSE - SENSEX Index Options'!$H:$H,"MDAW*")+SUMIFS('BSE - Other Index Options'!$L:$L,'BSE - Other Index Options'!$C:$C,$A237,'BSE - Other Index Options'!$B:$B,E$147,'BSE - Other Index Options'!$H:$H,"Weekly*")+SUMIFS('BSE - Other Index Options'!$L:$L,'BSE - Other Index Options'!$C:$C,$A237,'BSE - Other Index Options'!$B:$B,E$147,'BSE - Other Index Options'!$H:$H,"MDAW*")=0,"",SUMIFS('BSE - SENSEX Index Options'!$L:$L,'BSE - SENSEX Index Options'!$C:$C,$A237,'BSE - SENSEX Index Options'!$B:$B,E$147,'BSE - SENSEX Index Options'!$H:$H,"Weekly*")+SUMIFS('BSE - SENSEX Index Options'!$L:$L,'BSE - SENSEX Index Options'!$C:$C,$A237,'BSE - SENSEX Index Options'!$B:$B,E$147,'BSE - SENSEX Index Options'!$H:$H,"MDAW*")+SUMIFS('BSE - Other Index Options'!$L:$L,'BSE - Other Index Options'!$C:$C,$A237,'BSE - Other Index Options'!$B:$B,E$147,'BSE - Other Index Options'!$H:$H,"Weekly*")+SUMIFS('BSE - Other Index Options'!$L:$L,'BSE - Other Index Options'!$C:$C,$A237,'BSE - Other Index Options'!$B:$B,E$147,'BSE - Other Index Options'!$H:$H,"MDAW*"))</f>
        <v/>
      </c>
      <c r="F237" s="26" t="str">
        <f>IF(SUMIFS('BSE - SENSEX Index Options'!$L:$L,'BSE - SENSEX Index Options'!$C:$C,$A237,'BSE - SENSEX Index Options'!$B:$B,F$147,'BSE - SENSEX Index Options'!$H:$H,"Weekly*")+SUMIFS('BSE - SENSEX Index Options'!$L:$L,'BSE - SENSEX Index Options'!$C:$C,$A237,'BSE - SENSEX Index Options'!$B:$B,F$147,'BSE - SENSEX Index Options'!$H:$H,"MDAW*")+SUMIFS('BSE - Other Index Options'!$L:$L,'BSE - Other Index Options'!$C:$C,$A237,'BSE - Other Index Options'!$B:$B,F$147,'BSE - Other Index Options'!$H:$H,"Weekly*")+SUMIFS('BSE - Other Index Options'!$L:$L,'BSE - Other Index Options'!$C:$C,$A237,'BSE - Other Index Options'!$B:$B,F$147,'BSE - Other Index Options'!$H:$H,"MDAW*")=0,"",SUMIFS('BSE - SENSEX Index Options'!$L:$L,'BSE - SENSEX Index Options'!$C:$C,$A237,'BSE - SENSEX Index Options'!$B:$B,F$147,'BSE - SENSEX Index Options'!$H:$H,"Weekly*")+SUMIFS('BSE - SENSEX Index Options'!$L:$L,'BSE - SENSEX Index Options'!$C:$C,$A237,'BSE - SENSEX Index Options'!$B:$B,F$147,'BSE - SENSEX Index Options'!$H:$H,"MDAW*")+SUMIFS('BSE - Other Index Options'!$L:$L,'BSE - Other Index Options'!$C:$C,$A237,'BSE - Other Index Options'!$B:$B,F$147,'BSE - Other Index Options'!$H:$H,"Weekly*")+SUMIFS('BSE - Other Index Options'!$L:$L,'BSE - Other Index Options'!$C:$C,$A237,'BSE - Other Index Options'!$B:$B,F$147,'BSE - Other Index Options'!$H:$H,"MDAW*"))</f>
        <v/>
      </c>
      <c r="G237" s="26" t="str">
        <f>IF(SUMIFS('BSE - SENSEX Index Options'!$L:$L,'BSE - SENSEX Index Options'!$C:$C,$A237,'BSE - SENSEX Index Options'!$B:$B,G$147,'BSE - SENSEX Index Options'!$H:$H,"Weekly*")+SUMIFS('BSE - SENSEX Index Options'!$L:$L,'BSE - SENSEX Index Options'!$C:$C,$A237,'BSE - SENSEX Index Options'!$B:$B,G$147,'BSE - SENSEX Index Options'!$H:$H,"MDAW*")+SUMIFS('BSE - Other Index Options'!$L:$L,'BSE - Other Index Options'!$C:$C,$A237,'BSE - Other Index Options'!$B:$B,G$147,'BSE - Other Index Options'!$H:$H,"Weekly*")+SUMIFS('BSE - Other Index Options'!$L:$L,'BSE - Other Index Options'!$C:$C,$A237,'BSE - Other Index Options'!$B:$B,G$147,'BSE - Other Index Options'!$H:$H,"MDAW*")=0,"",SUMIFS('BSE - SENSEX Index Options'!$L:$L,'BSE - SENSEX Index Options'!$C:$C,$A237,'BSE - SENSEX Index Options'!$B:$B,G$147,'BSE - SENSEX Index Options'!$H:$H,"Weekly*")+SUMIFS('BSE - SENSEX Index Options'!$L:$L,'BSE - SENSEX Index Options'!$C:$C,$A237,'BSE - SENSEX Index Options'!$B:$B,G$147,'BSE - SENSEX Index Options'!$H:$H,"MDAW*")+SUMIFS('BSE - Other Index Options'!$L:$L,'BSE - Other Index Options'!$C:$C,$A237,'BSE - Other Index Options'!$B:$B,G$147,'BSE - Other Index Options'!$H:$H,"Weekly*")+SUMIFS('BSE - Other Index Options'!$L:$L,'BSE - Other Index Options'!$C:$C,$A237,'BSE - Other Index Options'!$B:$B,G$147,'BSE - Other Index Options'!$H:$H,"MDAW*"))</f>
        <v/>
      </c>
      <c r="H237" s="26" t="str">
        <f t="shared" si="8"/>
        <v/>
      </c>
    </row>
    <row r="238" spans="1:8" hidden="1" outlineLevel="1">
      <c r="A238" t="s">
        <v>100</v>
      </c>
      <c r="B238" s="26" t="str">
        <f>IF(SUMIFS('BSE - SENSEX Index Options'!$L:$L,'BSE - SENSEX Index Options'!$C:$C,$A238,'BSE - SENSEX Index Options'!$B:$B,B$147,'BSE - SENSEX Index Options'!$H:$H,"Weekly*")+SUMIFS('BSE - SENSEX Index Options'!$L:$L,'BSE - SENSEX Index Options'!$C:$C,$A238,'BSE - SENSEX Index Options'!$B:$B,B$147,'BSE - SENSEX Index Options'!$H:$H,"MDAW*")+SUMIFS('BSE - Other Index Options'!$L:$L,'BSE - Other Index Options'!$C:$C,$A238,'BSE - Other Index Options'!$B:$B,B$147,'BSE - Other Index Options'!$H:$H,"Weekly*")+SUMIFS('BSE - Other Index Options'!$L:$L,'BSE - Other Index Options'!$C:$C,$A238,'BSE - Other Index Options'!$B:$B,B$147,'BSE - Other Index Options'!$H:$H,"MDAW*")=0,"",SUMIFS('BSE - SENSEX Index Options'!$L:$L,'BSE - SENSEX Index Options'!$C:$C,$A238,'BSE - SENSEX Index Options'!$B:$B,B$147,'BSE - SENSEX Index Options'!$H:$H,"Weekly*")+SUMIFS('BSE - SENSEX Index Options'!$L:$L,'BSE - SENSEX Index Options'!$C:$C,$A238,'BSE - SENSEX Index Options'!$B:$B,B$147,'BSE - SENSEX Index Options'!$H:$H,"MDAW*")+SUMIFS('BSE - Other Index Options'!$L:$L,'BSE - Other Index Options'!$C:$C,$A238,'BSE - Other Index Options'!$B:$B,B$147,'BSE - Other Index Options'!$H:$H,"Weekly*")+SUMIFS('BSE - Other Index Options'!$L:$L,'BSE - Other Index Options'!$C:$C,$A238,'BSE - Other Index Options'!$B:$B,B$147,'BSE - Other Index Options'!$H:$H,"MDAW*"))</f>
        <v/>
      </c>
      <c r="C238" s="26" t="str">
        <f>IF(SUMIFS('BSE - SENSEX Index Options'!$L:$L,'BSE - SENSEX Index Options'!$C:$C,$A238,'BSE - SENSEX Index Options'!$B:$B,C$147,'BSE - SENSEX Index Options'!$H:$H,"Weekly*")+SUMIFS('BSE - SENSEX Index Options'!$L:$L,'BSE - SENSEX Index Options'!$C:$C,$A238,'BSE - SENSEX Index Options'!$B:$B,C$147,'BSE - SENSEX Index Options'!$H:$H,"MDAW*")+SUMIFS('BSE - Other Index Options'!$L:$L,'BSE - Other Index Options'!$C:$C,$A238,'BSE - Other Index Options'!$B:$B,C$147,'BSE - Other Index Options'!$H:$H,"Weekly*")+SUMIFS('BSE - Other Index Options'!$L:$L,'BSE - Other Index Options'!$C:$C,$A238,'BSE - Other Index Options'!$B:$B,C$147,'BSE - Other Index Options'!$H:$H,"MDAW*")=0,"",SUMIFS('BSE - SENSEX Index Options'!$L:$L,'BSE - SENSEX Index Options'!$C:$C,$A238,'BSE - SENSEX Index Options'!$B:$B,C$147,'BSE - SENSEX Index Options'!$H:$H,"Weekly*")+SUMIFS('BSE - SENSEX Index Options'!$L:$L,'BSE - SENSEX Index Options'!$C:$C,$A238,'BSE - SENSEX Index Options'!$B:$B,C$147,'BSE - SENSEX Index Options'!$H:$H,"MDAW*")+SUMIFS('BSE - Other Index Options'!$L:$L,'BSE - Other Index Options'!$C:$C,$A238,'BSE - Other Index Options'!$B:$B,C$147,'BSE - Other Index Options'!$H:$H,"Weekly*")+SUMIFS('BSE - Other Index Options'!$L:$L,'BSE - Other Index Options'!$C:$C,$A238,'BSE - Other Index Options'!$B:$B,C$147,'BSE - Other Index Options'!$H:$H,"MDAW*"))</f>
        <v/>
      </c>
      <c r="D238" s="26" t="str">
        <f>IF(SUMIFS('BSE - SENSEX Index Options'!$L:$L,'BSE - SENSEX Index Options'!$C:$C,$A238,'BSE - SENSEX Index Options'!$B:$B,D$147,'BSE - SENSEX Index Options'!$H:$H,"Weekly*")+SUMIFS('BSE - SENSEX Index Options'!$L:$L,'BSE - SENSEX Index Options'!$C:$C,$A238,'BSE - SENSEX Index Options'!$B:$B,D$147,'BSE - SENSEX Index Options'!$H:$H,"MDAW*")+SUMIFS('BSE - Other Index Options'!$L:$L,'BSE - Other Index Options'!$C:$C,$A238,'BSE - Other Index Options'!$B:$B,D$147,'BSE - Other Index Options'!$H:$H,"Weekly*")+SUMIFS('BSE - Other Index Options'!$L:$L,'BSE - Other Index Options'!$C:$C,$A238,'BSE - Other Index Options'!$B:$B,D$147,'BSE - Other Index Options'!$H:$H,"MDAW*")=0,"",SUMIFS('BSE - SENSEX Index Options'!$L:$L,'BSE - SENSEX Index Options'!$C:$C,$A238,'BSE - SENSEX Index Options'!$B:$B,D$147,'BSE - SENSEX Index Options'!$H:$H,"Weekly*")+SUMIFS('BSE - SENSEX Index Options'!$L:$L,'BSE - SENSEX Index Options'!$C:$C,$A238,'BSE - SENSEX Index Options'!$B:$B,D$147,'BSE - SENSEX Index Options'!$H:$H,"MDAW*")+SUMIFS('BSE - Other Index Options'!$L:$L,'BSE - Other Index Options'!$C:$C,$A238,'BSE - Other Index Options'!$B:$B,D$147,'BSE - Other Index Options'!$H:$H,"Weekly*")+SUMIFS('BSE - Other Index Options'!$L:$L,'BSE - Other Index Options'!$C:$C,$A238,'BSE - Other Index Options'!$B:$B,D$147,'BSE - Other Index Options'!$H:$H,"MDAW*"))</f>
        <v/>
      </c>
      <c r="E238" s="26" t="str">
        <f>IF(SUMIFS('BSE - SENSEX Index Options'!$L:$L,'BSE - SENSEX Index Options'!$C:$C,$A238,'BSE - SENSEX Index Options'!$B:$B,E$147,'BSE - SENSEX Index Options'!$H:$H,"Weekly*")+SUMIFS('BSE - SENSEX Index Options'!$L:$L,'BSE - SENSEX Index Options'!$C:$C,$A238,'BSE - SENSEX Index Options'!$B:$B,E$147,'BSE - SENSEX Index Options'!$H:$H,"MDAW*")+SUMIFS('BSE - Other Index Options'!$L:$L,'BSE - Other Index Options'!$C:$C,$A238,'BSE - Other Index Options'!$B:$B,E$147,'BSE - Other Index Options'!$H:$H,"Weekly*")+SUMIFS('BSE - Other Index Options'!$L:$L,'BSE - Other Index Options'!$C:$C,$A238,'BSE - Other Index Options'!$B:$B,E$147,'BSE - Other Index Options'!$H:$H,"MDAW*")=0,"",SUMIFS('BSE - SENSEX Index Options'!$L:$L,'BSE - SENSEX Index Options'!$C:$C,$A238,'BSE - SENSEX Index Options'!$B:$B,E$147,'BSE - SENSEX Index Options'!$H:$H,"Weekly*")+SUMIFS('BSE - SENSEX Index Options'!$L:$L,'BSE - SENSEX Index Options'!$C:$C,$A238,'BSE - SENSEX Index Options'!$B:$B,E$147,'BSE - SENSEX Index Options'!$H:$H,"MDAW*")+SUMIFS('BSE - Other Index Options'!$L:$L,'BSE - Other Index Options'!$C:$C,$A238,'BSE - Other Index Options'!$B:$B,E$147,'BSE - Other Index Options'!$H:$H,"Weekly*")+SUMIFS('BSE - Other Index Options'!$L:$L,'BSE - Other Index Options'!$C:$C,$A238,'BSE - Other Index Options'!$B:$B,E$147,'BSE - Other Index Options'!$H:$H,"MDAW*"))</f>
        <v/>
      </c>
      <c r="F238" s="26" t="str">
        <f>IF(SUMIFS('BSE - SENSEX Index Options'!$L:$L,'BSE - SENSEX Index Options'!$C:$C,$A238,'BSE - SENSEX Index Options'!$B:$B,F$147,'BSE - SENSEX Index Options'!$H:$H,"Weekly*")+SUMIFS('BSE - SENSEX Index Options'!$L:$L,'BSE - SENSEX Index Options'!$C:$C,$A238,'BSE - SENSEX Index Options'!$B:$B,F$147,'BSE - SENSEX Index Options'!$H:$H,"MDAW*")+SUMIFS('BSE - Other Index Options'!$L:$L,'BSE - Other Index Options'!$C:$C,$A238,'BSE - Other Index Options'!$B:$B,F$147,'BSE - Other Index Options'!$H:$H,"Weekly*")+SUMIFS('BSE - Other Index Options'!$L:$L,'BSE - Other Index Options'!$C:$C,$A238,'BSE - Other Index Options'!$B:$B,F$147,'BSE - Other Index Options'!$H:$H,"MDAW*")=0,"",SUMIFS('BSE - SENSEX Index Options'!$L:$L,'BSE - SENSEX Index Options'!$C:$C,$A238,'BSE - SENSEX Index Options'!$B:$B,F$147,'BSE - SENSEX Index Options'!$H:$H,"Weekly*")+SUMIFS('BSE - SENSEX Index Options'!$L:$L,'BSE - SENSEX Index Options'!$C:$C,$A238,'BSE - SENSEX Index Options'!$B:$B,F$147,'BSE - SENSEX Index Options'!$H:$H,"MDAW*")+SUMIFS('BSE - Other Index Options'!$L:$L,'BSE - Other Index Options'!$C:$C,$A238,'BSE - Other Index Options'!$B:$B,F$147,'BSE - Other Index Options'!$H:$H,"Weekly*")+SUMIFS('BSE - Other Index Options'!$L:$L,'BSE - Other Index Options'!$C:$C,$A238,'BSE - Other Index Options'!$B:$B,F$147,'BSE - Other Index Options'!$H:$H,"MDAW*"))</f>
        <v/>
      </c>
      <c r="G238" s="26" t="str">
        <f>IF(SUMIFS('BSE - SENSEX Index Options'!$L:$L,'BSE - SENSEX Index Options'!$C:$C,$A238,'BSE - SENSEX Index Options'!$B:$B,G$147,'BSE - SENSEX Index Options'!$H:$H,"Weekly*")+SUMIFS('BSE - SENSEX Index Options'!$L:$L,'BSE - SENSEX Index Options'!$C:$C,$A238,'BSE - SENSEX Index Options'!$B:$B,G$147,'BSE - SENSEX Index Options'!$H:$H,"MDAW*")+SUMIFS('BSE - Other Index Options'!$L:$L,'BSE - Other Index Options'!$C:$C,$A238,'BSE - Other Index Options'!$B:$B,G$147,'BSE - Other Index Options'!$H:$H,"Weekly*")+SUMIFS('BSE - Other Index Options'!$L:$L,'BSE - Other Index Options'!$C:$C,$A238,'BSE - Other Index Options'!$B:$B,G$147,'BSE - Other Index Options'!$H:$H,"MDAW*")=0,"",SUMIFS('BSE - SENSEX Index Options'!$L:$L,'BSE - SENSEX Index Options'!$C:$C,$A238,'BSE - SENSEX Index Options'!$B:$B,G$147,'BSE - SENSEX Index Options'!$H:$H,"Weekly*")+SUMIFS('BSE - SENSEX Index Options'!$L:$L,'BSE - SENSEX Index Options'!$C:$C,$A238,'BSE - SENSEX Index Options'!$B:$B,G$147,'BSE - SENSEX Index Options'!$H:$H,"MDAW*")+SUMIFS('BSE - Other Index Options'!$L:$L,'BSE - Other Index Options'!$C:$C,$A238,'BSE - Other Index Options'!$B:$B,G$147,'BSE - Other Index Options'!$H:$H,"Weekly*")+SUMIFS('BSE - Other Index Options'!$L:$L,'BSE - Other Index Options'!$C:$C,$A238,'BSE - Other Index Options'!$B:$B,G$147,'BSE - Other Index Options'!$H:$H,"MDAW*"))</f>
        <v/>
      </c>
      <c r="H238" s="26" t="str">
        <f t="shared" si="8"/>
        <v/>
      </c>
    </row>
    <row r="239" spans="1:8" hidden="1" outlineLevel="1">
      <c r="A239" t="s">
        <v>101</v>
      </c>
      <c r="B239" s="26" t="str">
        <f>IF(SUMIFS('BSE - SENSEX Index Options'!$L:$L,'BSE - SENSEX Index Options'!$C:$C,$A239,'BSE - SENSEX Index Options'!$B:$B,B$147,'BSE - SENSEX Index Options'!$H:$H,"Weekly*")+SUMIFS('BSE - SENSEX Index Options'!$L:$L,'BSE - SENSEX Index Options'!$C:$C,$A239,'BSE - SENSEX Index Options'!$B:$B,B$147,'BSE - SENSEX Index Options'!$H:$H,"MDAW*")+SUMIFS('BSE - Other Index Options'!$L:$L,'BSE - Other Index Options'!$C:$C,$A239,'BSE - Other Index Options'!$B:$B,B$147,'BSE - Other Index Options'!$H:$H,"Weekly*")+SUMIFS('BSE - Other Index Options'!$L:$L,'BSE - Other Index Options'!$C:$C,$A239,'BSE - Other Index Options'!$B:$B,B$147,'BSE - Other Index Options'!$H:$H,"MDAW*")=0,"",SUMIFS('BSE - SENSEX Index Options'!$L:$L,'BSE - SENSEX Index Options'!$C:$C,$A239,'BSE - SENSEX Index Options'!$B:$B,B$147,'BSE - SENSEX Index Options'!$H:$H,"Weekly*")+SUMIFS('BSE - SENSEX Index Options'!$L:$L,'BSE - SENSEX Index Options'!$C:$C,$A239,'BSE - SENSEX Index Options'!$B:$B,B$147,'BSE - SENSEX Index Options'!$H:$H,"MDAW*")+SUMIFS('BSE - Other Index Options'!$L:$L,'BSE - Other Index Options'!$C:$C,$A239,'BSE - Other Index Options'!$B:$B,B$147,'BSE - Other Index Options'!$H:$H,"Weekly*")+SUMIFS('BSE - Other Index Options'!$L:$L,'BSE - Other Index Options'!$C:$C,$A239,'BSE - Other Index Options'!$B:$B,B$147,'BSE - Other Index Options'!$H:$H,"MDAW*"))</f>
        <v/>
      </c>
      <c r="C239" s="26" t="str">
        <f>IF(SUMIFS('BSE - SENSEX Index Options'!$L:$L,'BSE - SENSEX Index Options'!$C:$C,$A239,'BSE - SENSEX Index Options'!$B:$B,C$147,'BSE - SENSEX Index Options'!$H:$H,"Weekly*")+SUMIFS('BSE - SENSEX Index Options'!$L:$L,'BSE - SENSEX Index Options'!$C:$C,$A239,'BSE - SENSEX Index Options'!$B:$B,C$147,'BSE - SENSEX Index Options'!$H:$H,"MDAW*")+SUMIFS('BSE - Other Index Options'!$L:$L,'BSE - Other Index Options'!$C:$C,$A239,'BSE - Other Index Options'!$B:$B,C$147,'BSE - Other Index Options'!$H:$H,"Weekly*")+SUMIFS('BSE - Other Index Options'!$L:$L,'BSE - Other Index Options'!$C:$C,$A239,'BSE - Other Index Options'!$B:$B,C$147,'BSE - Other Index Options'!$H:$H,"MDAW*")=0,"",SUMIFS('BSE - SENSEX Index Options'!$L:$L,'BSE - SENSEX Index Options'!$C:$C,$A239,'BSE - SENSEX Index Options'!$B:$B,C$147,'BSE - SENSEX Index Options'!$H:$H,"Weekly*")+SUMIFS('BSE - SENSEX Index Options'!$L:$L,'BSE - SENSEX Index Options'!$C:$C,$A239,'BSE - SENSEX Index Options'!$B:$B,C$147,'BSE - SENSEX Index Options'!$H:$H,"MDAW*")+SUMIFS('BSE - Other Index Options'!$L:$L,'BSE - Other Index Options'!$C:$C,$A239,'BSE - Other Index Options'!$B:$B,C$147,'BSE - Other Index Options'!$H:$H,"Weekly*")+SUMIFS('BSE - Other Index Options'!$L:$L,'BSE - Other Index Options'!$C:$C,$A239,'BSE - Other Index Options'!$B:$B,C$147,'BSE - Other Index Options'!$H:$H,"MDAW*"))</f>
        <v/>
      </c>
      <c r="D239" s="26" t="str">
        <f>IF(SUMIFS('BSE - SENSEX Index Options'!$L:$L,'BSE - SENSEX Index Options'!$C:$C,$A239,'BSE - SENSEX Index Options'!$B:$B,D$147,'BSE - SENSEX Index Options'!$H:$H,"Weekly*")+SUMIFS('BSE - SENSEX Index Options'!$L:$L,'BSE - SENSEX Index Options'!$C:$C,$A239,'BSE - SENSEX Index Options'!$B:$B,D$147,'BSE - SENSEX Index Options'!$H:$H,"MDAW*")+SUMIFS('BSE - Other Index Options'!$L:$L,'BSE - Other Index Options'!$C:$C,$A239,'BSE - Other Index Options'!$B:$B,D$147,'BSE - Other Index Options'!$H:$H,"Weekly*")+SUMIFS('BSE - Other Index Options'!$L:$L,'BSE - Other Index Options'!$C:$C,$A239,'BSE - Other Index Options'!$B:$B,D$147,'BSE - Other Index Options'!$H:$H,"MDAW*")=0,"",SUMIFS('BSE - SENSEX Index Options'!$L:$L,'BSE - SENSEX Index Options'!$C:$C,$A239,'BSE - SENSEX Index Options'!$B:$B,D$147,'BSE - SENSEX Index Options'!$H:$H,"Weekly*")+SUMIFS('BSE - SENSEX Index Options'!$L:$L,'BSE - SENSEX Index Options'!$C:$C,$A239,'BSE - SENSEX Index Options'!$B:$B,D$147,'BSE - SENSEX Index Options'!$H:$H,"MDAW*")+SUMIFS('BSE - Other Index Options'!$L:$L,'BSE - Other Index Options'!$C:$C,$A239,'BSE - Other Index Options'!$B:$B,D$147,'BSE - Other Index Options'!$H:$H,"Weekly*")+SUMIFS('BSE - Other Index Options'!$L:$L,'BSE - Other Index Options'!$C:$C,$A239,'BSE - Other Index Options'!$B:$B,D$147,'BSE - Other Index Options'!$H:$H,"MDAW*"))</f>
        <v/>
      </c>
      <c r="E239" s="26" t="str">
        <f>IF(SUMIFS('BSE - SENSEX Index Options'!$L:$L,'BSE - SENSEX Index Options'!$C:$C,$A239,'BSE - SENSEX Index Options'!$B:$B,E$147,'BSE - SENSEX Index Options'!$H:$H,"Weekly*")+SUMIFS('BSE - SENSEX Index Options'!$L:$L,'BSE - SENSEX Index Options'!$C:$C,$A239,'BSE - SENSEX Index Options'!$B:$B,E$147,'BSE - SENSEX Index Options'!$H:$H,"MDAW*")+SUMIFS('BSE - Other Index Options'!$L:$L,'BSE - Other Index Options'!$C:$C,$A239,'BSE - Other Index Options'!$B:$B,E$147,'BSE - Other Index Options'!$H:$H,"Weekly*")+SUMIFS('BSE - Other Index Options'!$L:$L,'BSE - Other Index Options'!$C:$C,$A239,'BSE - Other Index Options'!$B:$B,E$147,'BSE - Other Index Options'!$H:$H,"MDAW*")=0,"",SUMIFS('BSE - SENSEX Index Options'!$L:$L,'BSE - SENSEX Index Options'!$C:$C,$A239,'BSE - SENSEX Index Options'!$B:$B,E$147,'BSE - SENSEX Index Options'!$H:$H,"Weekly*")+SUMIFS('BSE - SENSEX Index Options'!$L:$L,'BSE - SENSEX Index Options'!$C:$C,$A239,'BSE - SENSEX Index Options'!$B:$B,E$147,'BSE - SENSEX Index Options'!$H:$H,"MDAW*")+SUMIFS('BSE - Other Index Options'!$L:$L,'BSE - Other Index Options'!$C:$C,$A239,'BSE - Other Index Options'!$B:$B,E$147,'BSE - Other Index Options'!$H:$H,"Weekly*")+SUMIFS('BSE - Other Index Options'!$L:$L,'BSE - Other Index Options'!$C:$C,$A239,'BSE - Other Index Options'!$B:$B,E$147,'BSE - Other Index Options'!$H:$H,"MDAW*"))</f>
        <v/>
      </c>
      <c r="F239" s="26" t="str">
        <f>IF(SUMIFS('BSE - SENSEX Index Options'!$L:$L,'BSE - SENSEX Index Options'!$C:$C,$A239,'BSE - SENSEX Index Options'!$B:$B,F$147,'BSE - SENSEX Index Options'!$H:$H,"Weekly*")+SUMIFS('BSE - SENSEX Index Options'!$L:$L,'BSE - SENSEX Index Options'!$C:$C,$A239,'BSE - SENSEX Index Options'!$B:$B,F$147,'BSE - SENSEX Index Options'!$H:$H,"MDAW*")+SUMIFS('BSE - Other Index Options'!$L:$L,'BSE - Other Index Options'!$C:$C,$A239,'BSE - Other Index Options'!$B:$B,F$147,'BSE - Other Index Options'!$H:$H,"Weekly*")+SUMIFS('BSE - Other Index Options'!$L:$L,'BSE - Other Index Options'!$C:$C,$A239,'BSE - Other Index Options'!$B:$B,F$147,'BSE - Other Index Options'!$H:$H,"MDAW*")=0,"",SUMIFS('BSE - SENSEX Index Options'!$L:$L,'BSE - SENSEX Index Options'!$C:$C,$A239,'BSE - SENSEX Index Options'!$B:$B,F$147,'BSE - SENSEX Index Options'!$H:$H,"Weekly*")+SUMIFS('BSE - SENSEX Index Options'!$L:$L,'BSE - SENSEX Index Options'!$C:$C,$A239,'BSE - SENSEX Index Options'!$B:$B,F$147,'BSE - SENSEX Index Options'!$H:$H,"MDAW*")+SUMIFS('BSE - Other Index Options'!$L:$L,'BSE - Other Index Options'!$C:$C,$A239,'BSE - Other Index Options'!$B:$B,F$147,'BSE - Other Index Options'!$H:$H,"Weekly*")+SUMIFS('BSE - Other Index Options'!$L:$L,'BSE - Other Index Options'!$C:$C,$A239,'BSE - Other Index Options'!$B:$B,F$147,'BSE - Other Index Options'!$H:$H,"MDAW*"))</f>
        <v/>
      </c>
      <c r="G239" s="26" t="str">
        <f>IF(SUMIFS('BSE - SENSEX Index Options'!$L:$L,'BSE - SENSEX Index Options'!$C:$C,$A239,'BSE - SENSEX Index Options'!$B:$B,G$147,'BSE - SENSEX Index Options'!$H:$H,"Weekly*")+SUMIFS('BSE - SENSEX Index Options'!$L:$L,'BSE - SENSEX Index Options'!$C:$C,$A239,'BSE - SENSEX Index Options'!$B:$B,G$147,'BSE - SENSEX Index Options'!$H:$H,"MDAW*")+SUMIFS('BSE - Other Index Options'!$L:$L,'BSE - Other Index Options'!$C:$C,$A239,'BSE - Other Index Options'!$B:$B,G$147,'BSE - Other Index Options'!$H:$H,"Weekly*")+SUMIFS('BSE - Other Index Options'!$L:$L,'BSE - Other Index Options'!$C:$C,$A239,'BSE - Other Index Options'!$B:$B,G$147,'BSE - Other Index Options'!$H:$H,"MDAW*")=0,"",SUMIFS('BSE - SENSEX Index Options'!$L:$L,'BSE - SENSEX Index Options'!$C:$C,$A239,'BSE - SENSEX Index Options'!$B:$B,G$147,'BSE - SENSEX Index Options'!$H:$H,"Weekly*")+SUMIFS('BSE - SENSEX Index Options'!$L:$L,'BSE - SENSEX Index Options'!$C:$C,$A239,'BSE - SENSEX Index Options'!$B:$B,G$147,'BSE - SENSEX Index Options'!$H:$H,"MDAW*")+SUMIFS('BSE - Other Index Options'!$L:$L,'BSE - Other Index Options'!$C:$C,$A239,'BSE - Other Index Options'!$B:$B,G$147,'BSE - Other Index Options'!$H:$H,"Weekly*")+SUMIFS('BSE - Other Index Options'!$L:$L,'BSE - Other Index Options'!$C:$C,$A239,'BSE - Other Index Options'!$B:$B,G$147,'BSE - Other Index Options'!$H:$H,"MDAW*"))</f>
        <v/>
      </c>
      <c r="H239" s="26" t="str">
        <f t="shared" si="8"/>
        <v/>
      </c>
    </row>
    <row r="240" spans="1:8" hidden="1" outlineLevel="1">
      <c r="A240" t="s">
        <v>102</v>
      </c>
      <c r="B240" s="26" t="str">
        <f>IF(SUMIFS('BSE - SENSEX Index Options'!$L:$L,'BSE - SENSEX Index Options'!$C:$C,$A240,'BSE - SENSEX Index Options'!$B:$B,B$147,'BSE - SENSEX Index Options'!$H:$H,"Weekly*")+SUMIFS('BSE - SENSEX Index Options'!$L:$L,'BSE - SENSEX Index Options'!$C:$C,$A240,'BSE - SENSEX Index Options'!$B:$B,B$147,'BSE - SENSEX Index Options'!$H:$H,"MDAW*")+SUMIFS('BSE - Other Index Options'!$L:$L,'BSE - Other Index Options'!$C:$C,$A240,'BSE - Other Index Options'!$B:$B,B$147,'BSE - Other Index Options'!$H:$H,"Weekly*")+SUMIFS('BSE - Other Index Options'!$L:$L,'BSE - Other Index Options'!$C:$C,$A240,'BSE - Other Index Options'!$B:$B,B$147,'BSE - Other Index Options'!$H:$H,"MDAW*")=0,"",SUMIFS('BSE - SENSEX Index Options'!$L:$L,'BSE - SENSEX Index Options'!$C:$C,$A240,'BSE - SENSEX Index Options'!$B:$B,B$147,'BSE - SENSEX Index Options'!$H:$H,"Weekly*")+SUMIFS('BSE - SENSEX Index Options'!$L:$L,'BSE - SENSEX Index Options'!$C:$C,$A240,'BSE - SENSEX Index Options'!$B:$B,B$147,'BSE - SENSEX Index Options'!$H:$H,"MDAW*")+SUMIFS('BSE - Other Index Options'!$L:$L,'BSE - Other Index Options'!$C:$C,$A240,'BSE - Other Index Options'!$B:$B,B$147,'BSE - Other Index Options'!$H:$H,"Weekly*")+SUMIFS('BSE - Other Index Options'!$L:$L,'BSE - Other Index Options'!$C:$C,$A240,'BSE - Other Index Options'!$B:$B,B$147,'BSE - Other Index Options'!$H:$H,"MDAW*"))</f>
        <v/>
      </c>
      <c r="C240" s="26" t="str">
        <f>IF(SUMIFS('BSE - SENSEX Index Options'!$L:$L,'BSE - SENSEX Index Options'!$C:$C,$A240,'BSE - SENSEX Index Options'!$B:$B,C$147,'BSE - SENSEX Index Options'!$H:$H,"Weekly*")+SUMIFS('BSE - SENSEX Index Options'!$L:$L,'BSE - SENSEX Index Options'!$C:$C,$A240,'BSE - SENSEX Index Options'!$B:$B,C$147,'BSE - SENSEX Index Options'!$H:$H,"MDAW*")+SUMIFS('BSE - Other Index Options'!$L:$L,'BSE - Other Index Options'!$C:$C,$A240,'BSE - Other Index Options'!$B:$B,C$147,'BSE - Other Index Options'!$H:$H,"Weekly*")+SUMIFS('BSE - Other Index Options'!$L:$L,'BSE - Other Index Options'!$C:$C,$A240,'BSE - Other Index Options'!$B:$B,C$147,'BSE - Other Index Options'!$H:$H,"MDAW*")=0,"",SUMIFS('BSE - SENSEX Index Options'!$L:$L,'BSE - SENSEX Index Options'!$C:$C,$A240,'BSE - SENSEX Index Options'!$B:$B,C$147,'BSE - SENSEX Index Options'!$H:$H,"Weekly*")+SUMIFS('BSE - SENSEX Index Options'!$L:$L,'BSE - SENSEX Index Options'!$C:$C,$A240,'BSE - SENSEX Index Options'!$B:$B,C$147,'BSE - SENSEX Index Options'!$H:$H,"MDAW*")+SUMIFS('BSE - Other Index Options'!$L:$L,'BSE - Other Index Options'!$C:$C,$A240,'BSE - Other Index Options'!$B:$B,C$147,'BSE - Other Index Options'!$H:$H,"Weekly*")+SUMIFS('BSE - Other Index Options'!$L:$L,'BSE - Other Index Options'!$C:$C,$A240,'BSE - Other Index Options'!$B:$B,C$147,'BSE - Other Index Options'!$H:$H,"MDAW*"))</f>
        <v/>
      </c>
      <c r="D240" s="26" t="str">
        <f>IF(SUMIFS('BSE - SENSEX Index Options'!$L:$L,'BSE - SENSEX Index Options'!$C:$C,$A240,'BSE - SENSEX Index Options'!$B:$B,D$147,'BSE - SENSEX Index Options'!$H:$H,"Weekly*")+SUMIFS('BSE - SENSEX Index Options'!$L:$L,'BSE - SENSEX Index Options'!$C:$C,$A240,'BSE - SENSEX Index Options'!$B:$B,D$147,'BSE - SENSEX Index Options'!$H:$H,"MDAW*")+SUMIFS('BSE - Other Index Options'!$L:$L,'BSE - Other Index Options'!$C:$C,$A240,'BSE - Other Index Options'!$B:$B,D$147,'BSE - Other Index Options'!$H:$H,"Weekly*")+SUMIFS('BSE - Other Index Options'!$L:$L,'BSE - Other Index Options'!$C:$C,$A240,'BSE - Other Index Options'!$B:$B,D$147,'BSE - Other Index Options'!$H:$H,"MDAW*")=0,"",SUMIFS('BSE - SENSEX Index Options'!$L:$L,'BSE - SENSEX Index Options'!$C:$C,$A240,'BSE - SENSEX Index Options'!$B:$B,D$147,'BSE - SENSEX Index Options'!$H:$H,"Weekly*")+SUMIFS('BSE - SENSEX Index Options'!$L:$L,'BSE - SENSEX Index Options'!$C:$C,$A240,'BSE - SENSEX Index Options'!$B:$B,D$147,'BSE - SENSEX Index Options'!$H:$H,"MDAW*")+SUMIFS('BSE - Other Index Options'!$L:$L,'BSE - Other Index Options'!$C:$C,$A240,'BSE - Other Index Options'!$B:$B,D$147,'BSE - Other Index Options'!$H:$H,"Weekly*")+SUMIFS('BSE - Other Index Options'!$L:$L,'BSE - Other Index Options'!$C:$C,$A240,'BSE - Other Index Options'!$B:$B,D$147,'BSE - Other Index Options'!$H:$H,"MDAW*"))</f>
        <v/>
      </c>
      <c r="E240" s="26" t="str">
        <f>IF(SUMIFS('BSE - SENSEX Index Options'!$L:$L,'BSE - SENSEX Index Options'!$C:$C,$A240,'BSE - SENSEX Index Options'!$B:$B,E$147,'BSE - SENSEX Index Options'!$H:$H,"Weekly*")+SUMIFS('BSE - SENSEX Index Options'!$L:$L,'BSE - SENSEX Index Options'!$C:$C,$A240,'BSE - SENSEX Index Options'!$B:$B,E$147,'BSE - SENSEX Index Options'!$H:$H,"MDAW*")+SUMIFS('BSE - Other Index Options'!$L:$L,'BSE - Other Index Options'!$C:$C,$A240,'BSE - Other Index Options'!$B:$B,E$147,'BSE - Other Index Options'!$H:$H,"Weekly*")+SUMIFS('BSE - Other Index Options'!$L:$L,'BSE - Other Index Options'!$C:$C,$A240,'BSE - Other Index Options'!$B:$B,E$147,'BSE - Other Index Options'!$H:$H,"MDAW*")=0,"",SUMIFS('BSE - SENSEX Index Options'!$L:$L,'BSE - SENSEX Index Options'!$C:$C,$A240,'BSE - SENSEX Index Options'!$B:$B,E$147,'BSE - SENSEX Index Options'!$H:$H,"Weekly*")+SUMIFS('BSE - SENSEX Index Options'!$L:$L,'BSE - SENSEX Index Options'!$C:$C,$A240,'BSE - SENSEX Index Options'!$B:$B,E$147,'BSE - SENSEX Index Options'!$H:$H,"MDAW*")+SUMIFS('BSE - Other Index Options'!$L:$L,'BSE - Other Index Options'!$C:$C,$A240,'BSE - Other Index Options'!$B:$B,E$147,'BSE - Other Index Options'!$H:$H,"Weekly*")+SUMIFS('BSE - Other Index Options'!$L:$L,'BSE - Other Index Options'!$C:$C,$A240,'BSE - Other Index Options'!$B:$B,E$147,'BSE - Other Index Options'!$H:$H,"MDAW*"))</f>
        <v/>
      </c>
      <c r="F240" s="26" t="str">
        <f>IF(SUMIFS('BSE - SENSEX Index Options'!$L:$L,'BSE - SENSEX Index Options'!$C:$C,$A240,'BSE - SENSEX Index Options'!$B:$B,F$147,'BSE - SENSEX Index Options'!$H:$H,"Weekly*")+SUMIFS('BSE - SENSEX Index Options'!$L:$L,'BSE - SENSEX Index Options'!$C:$C,$A240,'BSE - SENSEX Index Options'!$B:$B,F$147,'BSE - SENSEX Index Options'!$H:$H,"MDAW*")+SUMIFS('BSE - Other Index Options'!$L:$L,'BSE - Other Index Options'!$C:$C,$A240,'BSE - Other Index Options'!$B:$B,F$147,'BSE - Other Index Options'!$H:$H,"Weekly*")+SUMIFS('BSE - Other Index Options'!$L:$L,'BSE - Other Index Options'!$C:$C,$A240,'BSE - Other Index Options'!$B:$B,F$147,'BSE - Other Index Options'!$H:$H,"MDAW*")=0,"",SUMIFS('BSE - SENSEX Index Options'!$L:$L,'BSE - SENSEX Index Options'!$C:$C,$A240,'BSE - SENSEX Index Options'!$B:$B,F$147,'BSE - SENSEX Index Options'!$H:$H,"Weekly*")+SUMIFS('BSE - SENSEX Index Options'!$L:$L,'BSE - SENSEX Index Options'!$C:$C,$A240,'BSE - SENSEX Index Options'!$B:$B,F$147,'BSE - SENSEX Index Options'!$H:$H,"MDAW*")+SUMIFS('BSE - Other Index Options'!$L:$L,'BSE - Other Index Options'!$C:$C,$A240,'BSE - Other Index Options'!$B:$B,F$147,'BSE - Other Index Options'!$H:$H,"Weekly*")+SUMIFS('BSE - Other Index Options'!$L:$L,'BSE - Other Index Options'!$C:$C,$A240,'BSE - Other Index Options'!$B:$B,F$147,'BSE - Other Index Options'!$H:$H,"MDAW*"))</f>
        <v/>
      </c>
      <c r="G240" s="26" t="str">
        <f>IF(SUMIFS('BSE - SENSEX Index Options'!$L:$L,'BSE - SENSEX Index Options'!$C:$C,$A240,'BSE - SENSEX Index Options'!$B:$B,G$147,'BSE - SENSEX Index Options'!$H:$H,"Weekly*")+SUMIFS('BSE - SENSEX Index Options'!$L:$L,'BSE - SENSEX Index Options'!$C:$C,$A240,'BSE - SENSEX Index Options'!$B:$B,G$147,'BSE - SENSEX Index Options'!$H:$H,"MDAW*")+SUMIFS('BSE - Other Index Options'!$L:$L,'BSE - Other Index Options'!$C:$C,$A240,'BSE - Other Index Options'!$B:$B,G$147,'BSE - Other Index Options'!$H:$H,"Weekly*")+SUMIFS('BSE - Other Index Options'!$L:$L,'BSE - Other Index Options'!$C:$C,$A240,'BSE - Other Index Options'!$B:$B,G$147,'BSE - Other Index Options'!$H:$H,"MDAW*")=0,"",SUMIFS('BSE - SENSEX Index Options'!$L:$L,'BSE - SENSEX Index Options'!$C:$C,$A240,'BSE - SENSEX Index Options'!$B:$B,G$147,'BSE - SENSEX Index Options'!$H:$H,"Weekly*")+SUMIFS('BSE - SENSEX Index Options'!$L:$L,'BSE - SENSEX Index Options'!$C:$C,$A240,'BSE - SENSEX Index Options'!$B:$B,G$147,'BSE - SENSEX Index Options'!$H:$H,"MDAW*")+SUMIFS('BSE - Other Index Options'!$L:$L,'BSE - Other Index Options'!$C:$C,$A240,'BSE - Other Index Options'!$B:$B,G$147,'BSE - Other Index Options'!$H:$H,"Weekly*")+SUMIFS('BSE - Other Index Options'!$L:$L,'BSE - Other Index Options'!$C:$C,$A240,'BSE - Other Index Options'!$B:$B,G$147,'BSE - Other Index Options'!$H:$H,"MDAW*"))</f>
        <v/>
      </c>
      <c r="H240" s="26" t="str">
        <f t="shared" si="8"/>
        <v/>
      </c>
    </row>
    <row r="241" spans="1:8" hidden="1" outlineLevel="1">
      <c r="A241" t="s">
        <v>103</v>
      </c>
      <c r="B241" s="26" t="str">
        <f>IF(SUMIFS('BSE - SENSEX Index Options'!$L:$L,'BSE - SENSEX Index Options'!$C:$C,$A241,'BSE - SENSEX Index Options'!$B:$B,B$147,'BSE - SENSEX Index Options'!$H:$H,"Weekly*")+SUMIFS('BSE - SENSEX Index Options'!$L:$L,'BSE - SENSEX Index Options'!$C:$C,$A241,'BSE - SENSEX Index Options'!$B:$B,B$147,'BSE - SENSEX Index Options'!$H:$H,"MDAW*")+SUMIFS('BSE - Other Index Options'!$L:$L,'BSE - Other Index Options'!$C:$C,$A241,'BSE - Other Index Options'!$B:$B,B$147,'BSE - Other Index Options'!$H:$H,"Weekly*")+SUMIFS('BSE - Other Index Options'!$L:$L,'BSE - Other Index Options'!$C:$C,$A241,'BSE - Other Index Options'!$B:$B,B$147,'BSE - Other Index Options'!$H:$H,"MDAW*")=0,"",SUMIFS('BSE - SENSEX Index Options'!$L:$L,'BSE - SENSEX Index Options'!$C:$C,$A241,'BSE - SENSEX Index Options'!$B:$B,B$147,'BSE - SENSEX Index Options'!$H:$H,"Weekly*")+SUMIFS('BSE - SENSEX Index Options'!$L:$L,'BSE - SENSEX Index Options'!$C:$C,$A241,'BSE - SENSEX Index Options'!$B:$B,B$147,'BSE - SENSEX Index Options'!$H:$H,"MDAW*")+SUMIFS('BSE - Other Index Options'!$L:$L,'BSE - Other Index Options'!$C:$C,$A241,'BSE - Other Index Options'!$B:$B,B$147,'BSE - Other Index Options'!$H:$H,"Weekly*")+SUMIFS('BSE - Other Index Options'!$L:$L,'BSE - Other Index Options'!$C:$C,$A241,'BSE - Other Index Options'!$B:$B,B$147,'BSE - Other Index Options'!$H:$H,"MDAW*"))</f>
        <v/>
      </c>
      <c r="C241" s="26" t="str">
        <f>IF(SUMIFS('BSE - SENSEX Index Options'!$L:$L,'BSE - SENSEX Index Options'!$C:$C,$A241,'BSE - SENSEX Index Options'!$B:$B,C$147,'BSE - SENSEX Index Options'!$H:$H,"Weekly*")+SUMIFS('BSE - SENSEX Index Options'!$L:$L,'BSE - SENSEX Index Options'!$C:$C,$A241,'BSE - SENSEX Index Options'!$B:$B,C$147,'BSE - SENSEX Index Options'!$H:$H,"MDAW*")+SUMIFS('BSE - Other Index Options'!$L:$L,'BSE - Other Index Options'!$C:$C,$A241,'BSE - Other Index Options'!$B:$B,C$147,'BSE - Other Index Options'!$H:$H,"Weekly*")+SUMIFS('BSE - Other Index Options'!$L:$L,'BSE - Other Index Options'!$C:$C,$A241,'BSE - Other Index Options'!$B:$B,C$147,'BSE - Other Index Options'!$H:$H,"MDAW*")=0,"",SUMIFS('BSE - SENSEX Index Options'!$L:$L,'BSE - SENSEX Index Options'!$C:$C,$A241,'BSE - SENSEX Index Options'!$B:$B,C$147,'BSE - SENSEX Index Options'!$H:$H,"Weekly*")+SUMIFS('BSE - SENSEX Index Options'!$L:$L,'BSE - SENSEX Index Options'!$C:$C,$A241,'BSE - SENSEX Index Options'!$B:$B,C$147,'BSE - SENSEX Index Options'!$H:$H,"MDAW*")+SUMIFS('BSE - Other Index Options'!$L:$L,'BSE - Other Index Options'!$C:$C,$A241,'BSE - Other Index Options'!$B:$B,C$147,'BSE - Other Index Options'!$H:$H,"Weekly*")+SUMIFS('BSE - Other Index Options'!$L:$L,'BSE - Other Index Options'!$C:$C,$A241,'BSE - Other Index Options'!$B:$B,C$147,'BSE - Other Index Options'!$H:$H,"MDAW*"))</f>
        <v/>
      </c>
      <c r="D241" s="26" t="str">
        <f>IF(SUMIFS('BSE - SENSEX Index Options'!$L:$L,'BSE - SENSEX Index Options'!$C:$C,$A241,'BSE - SENSEX Index Options'!$B:$B,D$147,'BSE - SENSEX Index Options'!$H:$H,"Weekly*")+SUMIFS('BSE - SENSEX Index Options'!$L:$L,'BSE - SENSEX Index Options'!$C:$C,$A241,'BSE - SENSEX Index Options'!$B:$B,D$147,'BSE - SENSEX Index Options'!$H:$H,"MDAW*")+SUMIFS('BSE - Other Index Options'!$L:$L,'BSE - Other Index Options'!$C:$C,$A241,'BSE - Other Index Options'!$B:$B,D$147,'BSE - Other Index Options'!$H:$H,"Weekly*")+SUMIFS('BSE - Other Index Options'!$L:$L,'BSE - Other Index Options'!$C:$C,$A241,'BSE - Other Index Options'!$B:$B,D$147,'BSE - Other Index Options'!$H:$H,"MDAW*")=0,"",SUMIFS('BSE - SENSEX Index Options'!$L:$L,'BSE - SENSEX Index Options'!$C:$C,$A241,'BSE - SENSEX Index Options'!$B:$B,D$147,'BSE - SENSEX Index Options'!$H:$H,"Weekly*")+SUMIFS('BSE - SENSEX Index Options'!$L:$L,'BSE - SENSEX Index Options'!$C:$C,$A241,'BSE - SENSEX Index Options'!$B:$B,D$147,'BSE - SENSEX Index Options'!$H:$H,"MDAW*")+SUMIFS('BSE - Other Index Options'!$L:$L,'BSE - Other Index Options'!$C:$C,$A241,'BSE - Other Index Options'!$B:$B,D$147,'BSE - Other Index Options'!$H:$H,"Weekly*")+SUMIFS('BSE - Other Index Options'!$L:$L,'BSE - Other Index Options'!$C:$C,$A241,'BSE - Other Index Options'!$B:$B,D$147,'BSE - Other Index Options'!$H:$H,"MDAW*"))</f>
        <v/>
      </c>
      <c r="E241" s="26" t="str">
        <f>IF(SUMIFS('BSE - SENSEX Index Options'!$L:$L,'BSE - SENSEX Index Options'!$C:$C,$A241,'BSE - SENSEX Index Options'!$B:$B,E$147,'BSE - SENSEX Index Options'!$H:$H,"Weekly*")+SUMIFS('BSE - SENSEX Index Options'!$L:$L,'BSE - SENSEX Index Options'!$C:$C,$A241,'BSE - SENSEX Index Options'!$B:$B,E$147,'BSE - SENSEX Index Options'!$H:$H,"MDAW*")+SUMIFS('BSE - Other Index Options'!$L:$L,'BSE - Other Index Options'!$C:$C,$A241,'BSE - Other Index Options'!$B:$B,E$147,'BSE - Other Index Options'!$H:$H,"Weekly*")+SUMIFS('BSE - Other Index Options'!$L:$L,'BSE - Other Index Options'!$C:$C,$A241,'BSE - Other Index Options'!$B:$B,E$147,'BSE - Other Index Options'!$H:$H,"MDAW*")=0,"",SUMIFS('BSE - SENSEX Index Options'!$L:$L,'BSE - SENSEX Index Options'!$C:$C,$A241,'BSE - SENSEX Index Options'!$B:$B,E$147,'BSE - SENSEX Index Options'!$H:$H,"Weekly*")+SUMIFS('BSE - SENSEX Index Options'!$L:$L,'BSE - SENSEX Index Options'!$C:$C,$A241,'BSE - SENSEX Index Options'!$B:$B,E$147,'BSE - SENSEX Index Options'!$H:$H,"MDAW*")+SUMIFS('BSE - Other Index Options'!$L:$L,'BSE - Other Index Options'!$C:$C,$A241,'BSE - Other Index Options'!$B:$B,E$147,'BSE - Other Index Options'!$H:$H,"Weekly*")+SUMIFS('BSE - Other Index Options'!$L:$L,'BSE - Other Index Options'!$C:$C,$A241,'BSE - Other Index Options'!$B:$B,E$147,'BSE - Other Index Options'!$H:$H,"MDAW*"))</f>
        <v/>
      </c>
      <c r="F241" s="26" t="str">
        <f>IF(SUMIFS('BSE - SENSEX Index Options'!$L:$L,'BSE - SENSEX Index Options'!$C:$C,$A241,'BSE - SENSEX Index Options'!$B:$B,F$147,'BSE - SENSEX Index Options'!$H:$H,"Weekly*")+SUMIFS('BSE - SENSEX Index Options'!$L:$L,'BSE - SENSEX Index Options'!$C:$C,$A241,'BSE - SENSEX Index Options'!$B:$B,F$147,'BSE - SENSEX Index Options'!$H:$H,"MDAW*")+SUMIFS('BSE - Other Index Options'!$L:$L,'BSE - Other Index Options'!$C:$C,$A241,'BSE - Other Index Options'!$B:$B,F$147,'BSE - Other Index Options'!$H:$H,"Weekly*")+SUMIFS('BSE - Other Index Options'!$L:$L,'BSE - Other Index Options'!$C:$C,$A241,'BSE - Other Index Options'!$B:$B,F$147,'BSE - Other Index Options'!$H:$H,"MDAW*")=0,"",SUMIFS('BSE - SENSEX Index Options'!$L:$L,'BSE - SENSEX Index Options'!$C:$C,$A241,'BSE - SENSEX Index Options'!$B:$B,F$147,'BSE - SENSEX Index Options'!$H:$H,"Weekly*")+SUMIFS('BSE - SENSEX Index Options'!$L:$L,'BSE - SENSEX Index Options'!$C:$C,$A241,'BSE - SENSEX Index Options'!$B:$B,F$147,'BSE - SENSEX Index Options'!$H:$H,"MDAW*")+SUMIFS('BSE - Other Index Options'!$L:$L,'BSE - Other Index Options'!$C:$C,$A241,'BSE - Other Index Options'!$B:$B,F$147,'BSE - Other Index Options'!$H:$H,"Weekly*")+SUMIFS('BSE - Other Index Options'!$L:$L,'BSE - Other Index Options'!$C:$C,$A241,'BSE - Other Index Options'!$B:$B,F$147,'BSE - Other Index Options'!$H:$H,"MDAW*"))</f>
        <v/>
      </c>
      <c r="G241" s="26" t="str">
        <f>IF(SUMIFS('BSE - SENSEX Index Options'!$L:$L,'BSE - SENSEX Index Options'!$C:$C,$A241,'BSE - SENSEX Index Options'!$B:$B,G$147,'BSE - SENSEX Index Options'!$H:$H,"Weekly*")+SUMIFS('BSE - SENSEX Index Options'!$L:$L,'BSE - SENSEX Index Options'!$C:$C,$A241,'BSE - SENSEX Index Options'!$B:$B,G$147,'BSE - SENSEX Index Options'!$H:$H,"MDAW*")+SUMIFS('BSE - Other Index Options'!$L:$L,'BSE - Other Index Options'!$C:$C,$A241,'BSE - Other Index Options'!$B:$B,G$147,'BSE - Other Index Options'!$H:$H,"Weekly*")+SUMIFS('BSE - Other Index Options'!$L:$L,'BSE - Other Index Options'!$C:$C,$A241,'BSE - Other Index Options'!$B:$B,G$147,'BSE - Other Index Options'!$H:$H,"MDAW*")=0,"",SUMIFS('BSE - SENSEX Index Options'!$L:$L,'BSE - SENSEX Index Options'!$C:$C,$A241,'BSE - SENSEX Index Options'!$B:$B,G$147,'BSE - SENSEX Index Options'!$H:$H,"Weekly*")+SUMIFS('BSE - SENSEX Index Options'!$L:$L,'BSE - SENSEX Index Options'!$C:$C,$A241,'BSE - SENSEX Index Options'!$B:$B,G$147,'BSE - SENSEX Index Options'!$H:$H,"MDAW*")+SUMIFS('BSE - Other Index Options'!$L:$L,'BSE - Other Index Options'!$C:$C,$A241,'BSE - Other Index Options'!$B:$B,G$147,'BSE - Other Index Options'!$H:$H,"Weekly*")+SUMIFS('BSE - Other Index Options'!$L:$L,'BSE - Other Index Options'!$C:$C,$A241,'BSE - Other Index Options'!$B:$B,G$147,'BSE - Other Index Options'!$H:$H,"MDAW*"))</f>
        <v/>
      </c>
      <c r="H241" s="26" t="str">
        <f t="shared" si="8"/>
        <v/>
      </c>
    </row>
    <row r="242" spans="1:8" hidden="1" outlineLevel="1">
      <c r="A242" t="s">
        <v>104</v>
      </c>
      <c r="B242" s="26" t="str">
        <f>IF(SUMIFS('BSE - SENSEX Index Options'!$L:$L,'BSE - SENSEX Index Options'!$C:$C,$A242,'BSE - SENSEX Index Options'!$B:$B,B$147,'BSE - SENSEX Index Options'!$H:$H,"Weekly*")+SUMIFS('BSE - SENSEX Index Options'!$L:$L,'BSE - SENSEX Index Options'!$C:$C,$A242,'BSE - SENSEX Index Options'!$B:$B,B$147,'BSE - SENSEX Index Options'!$H:$H,"MDAW*")+SUMIFS('BSE - Other Index Options'!$L:$L,'BSE - Other Index Options'!$C:$C,$A242,'BSE - Other Index Options'!$B:$B,B$147,'BSE - Other Index Options'!$H:$H,"Weekly*")+SUMIFS('BSE - Other Index Options'!$L:$L,'BSE - Other Index Options'!$C:$C,$A242,'BSE - Other Index Options'!$B:$B,B$147,'BSE - Other Index Options'!$H:$H,"MDAW*")=0,"",SUMIFS('BSE - SENSEX Index Options'!$L:$L,'BSE - SENSEX Index Options'!$C:$C,$A242,'BSE - SENSEX Index Options'!$B:$B,B$147,'BSE - SENSEX Index Options'!$H:$H,"Weekly*")+SUMIFS('BSE - SENSEX Index Options'!$L:$L,'BSE - SENSEX Index Options'!$C:$C,$A242,'BSE - SENSEX Index Options'!$B:$B,B$147,'BSE - SENSEX Index Options'!$H:$H,"MDAW*")+SUMIFS('BSE - Other Index Options'!$L:$L,'BSE - Other Index Options'!$C:$C,$A242,'BSE - Other Index Options'!$B:$B,B$147,'BSE - Other Index Options'!$H:$H,"Weekly*")+SUMIFS('BSE - Other Index Options'!$L:$L,'BSE - Other Index Options'!$C:$C,$A242,'BSE - Other Index Options'!$B:$B,B$147,'BSE - Other Index Options'!$H:$H,"MDAW*"))</f>
        <v/>
      </c>
      <c r="C242" s="26" t="str">
        <f>IF(SUMIFS('BSE - SENSEX Index Options'!$L:$L,'BSE - SENSEX Index Options'!$C:$C,$A242,'BSE - SENSEX Index Options'!$B:$B,C$147,'BSE - SENSEX Index Options'!$H:$H,"Weekly*")+SUMIFS('BSE - SENSEX Index Options'!$L:$L,'BSE - SENSEX Index Options'!$C:$C,$A242,'BSE - SENSEX Index Options'!$B:$B,C$147,'BSE - SENSEX Index Options'!$H:$H,"MDAW*")+SUMIFS('BSE - Other Index Options'!$L:$L,'BSE - Other Index Options'!$C:$C,$A242,'BSE - Other Index Options'!$B:$B,C$147,'BSE - Other Index Options'!$H:$H,"Weekly*")+SUMIFS('BSE - Other Index Options'!$L:$L,'BSE - Other Index Options'!$C:$C,$A242,'BSE - Other Index Options'!$B:$B,C$147,'BSE - Other Index Options'!$H:$H,"MDAW*")=0,"",SUMIFS('BSE - SENSEX Index Options'!$L:$L,'BSE - SENSEX Index Options'!$C:$C,$A242,'BSE - SENSEX Index Options'!$B:$B,C$147,'BSE - SENSEX Index Options'!$H:$H,"Weekly*")+SUMIFS('BSE - SENSEX Index Options'!$L:$L,'BSE - SENSEX Index Options'!$C:$C,$A242,'BSE - SENSEX Index Options'!$B:$B,C$147,'BSE - SENSEX Index Options'!$H:$H,"MDAW*")+SUMIFS('BSE - Other Index Options'!$L:$L,'BSE - Other Index Options'!$C:$C,$A242,'BSE - Other Index Options'!$B:$B,C$147,'BSE - Other Index Options'!$H:$H,"Weekly*")+SUMIFS('BSE - Other Index Options'!$L:$L,'BSE - Other Index Options'!$C:$C,$A242,'BSE - Other Index Options'!$B:$B,C$147,'BSE - Other Index Options'!$H:$H,"MDAW*"))</f>
        <v/>
      </c>
      <c r="D242" s="26" t="str">
        <f>IF(SUMIFS('BSE - SENSEX Index Options'!$L:$L,'BSE - SENSEX Index Options'!$C:$C,$A242,'BSE - SENSEX Index Options'!$B:$B,D$147,'BSE - SENSEX Index Options'!$H:$H,"Weekly*")+SUMIFS('BSE - SENSEX Index Options'!$L:$L,'BSE - SENSEX Index Options'!$C:$C,$A242,'BSE - SENSEX Index Options'!$B:$B,D$147,'BSE - SENSEX Index Options'!$H:$H,"MDAW*")+SUMIFS('BSE - Other Index Options'!$L:$L,'BSE - Other Index Options'!$C:$C,$A242,'BSE - Other Index Options'!$B:$B,D$147,'BSE - Other Index Options'!$H:$H,"Weekly*")+SUMIFS('BSE - Other Index Options'!$L:$L,'BSE - Other Index Options'!$C:$C,$A242,'BSE - Other Index Options'!$B:$B,D$147,'BSE - Other Index Options'!$H:$H,"MDAW*")=0,"",SUMIFS('BSE - SENSEX Index Options'!$L:$L,'BSE - SENSEX Index Options'!$C:$C,$A242,'BSE - SENSEX Index Options'!$B:$B,D$147,'BSE - SENSEX Index Options'!$H:$H,"Weekly*")+SUMIFS('BSE - SENSEX Index Options'!$L:$L,'BSE - SENSEX Index Options'!$C:$C,$A242,'BSE - SENSEX Index Options'!$B:$B,D$147,'BSE - SENSEX Index Options'!$H:$H,"MDAW*")+SUMIFS('BSE - Other Index Options'!$L:$L,'BSE - Other Index Options'!$C:$C,$A242,'BSE - Other Index Options'!$B:$B,D$147,'BSE - Other Index Options'!$H:$H,"Weekly*")+SUMIFS('BSE - Other Index Options'!$L:$L,'BSE - Other Index Options'!$C:$C,$A242,'BSE - Other Index Options'!$B:$B,D$147,'BSE - Other Index Options'!$H:$H,"MDAW*"))</f>
        <v/>
      </c>
      <c r="E242" s="26" t="str">
        <f>IF(SUMIFS('BSE - SENSEX Index Options'!$L:$L,'BSE - SENSEX Index Options'!$C:$C,$A242,'BSE - SENSEX Index Options'!$B:$B,E$147,'BSE - SENSEX Index Options'!$H:$H,"Weekly*")+SUMIFS('BSE - SENSEX Index Options'!$L:$L,'BSE - SENSEX Index Options'!$C:$C,$A242,'BSE - SENSEX Index Options'!$B:$B,E$147,'BSE - SENSEX Index Options'!$H:$H,"MDAW*")+SUMIFS('BSE - Other Index Options'!$L:$L,'BSE - Other Index Options'!$C:$C,$A242,'BSE - Other Index Options'!$B:$B,E$147,'BSE - Other Index Options'!$H:$H,"Weekly*")+SUMIFS('BSE - Other Index Options'!$L:$L,'BSE - Other Index Options'!$C:$C,$A242,'BSE - Other Index Options'!$B:$B,E$147,'BSE - Other Index Options'!$H:$H,"MDAW*")=0,"",SUMIFS('BSE - SENSEX Index Options'!$L:$L,'BSE - SENSEX Index Options'!$C:$C,$A242,'BSE - SENSEX Index Options'!$B:$B,E$147,'BSE - SENSEX Index Options'!$H:$H,"Weekly*")+SUMIFS('BSE - SENSEX Index Options'!$L:$L,'BSE - SENSEX Index Options'!$C:$C,$A242,'BSE - SENSEX Index Options'!$B:$B,E$147,'BSE - SENSEX Index Options'!$H:$H,"MDAW*")+SUMIFS('BSE - Other Index Options'!$L:$L,'BSE - Other Index Options'!$C:$C,$A242,'BSE - Other Index Options'!$B:$B,E$147,'BSE - Other Index Options'!$H:$H,"Weekly*")+SUMIFS('BSE - Other Index Options'!$L:$L,'BSE - Other Index Options'!$C:$C,$A242,'BSE - Other Index Options'!$B:$B,E$147,'BSE - Other Index Options'!$H:$H,"MDAW*"))</f>
        <v/>
      </c>
      <c r="F242" s="26" t="str">
        <f>IF(SUMIFS('BSE - SENSEX Index Options'!$L:$L,'BSE - SENSEX Index Options'!$C:$C,$A242,'BSE - SENSEX Index Options'!$B:$B,F$147,'BSE - SENSEX Index Options'!$H:$H,"Weekly*")+SUMIFS('BSE - SENSEX Index Options'!$L:$L,'BSE - SENSEX Index Options'!$C:$C,$A242,'BSE - SENSEX Index Options'!$B:$B,F$147,'BSE - SENSEX Index Options'!$H:$H,"MDAW*")+SUMIFS('BSE - Other Index Options'!$L:$L,'BSE - Other Index Options'!$C:$C,$A242,'BSE - Other Index Options'!$B:$B,F$147,'BSE - Other Index Options'!$H:$H,"Weekly*")+SUMIFS('BSE - Other Index Options'!$L:$L,'BSE - Other Index Options'!$C:$C,$A242,'BSE - Other Index Options'!$B:$B,F$147,'BSE - Other Index Options'!$H:$H,"MDAW*")=0,"",SUMIFS('BSE - SENSEX Index Options'!$L:$L,'BSE - SENSEX Index Options'!$C:$C,$A242,'BSE - SENSEX Index Options'!$B:$B,F$147,'BSE - SENSEX Index Options'!$H:$H,"Weekly*")+SUMIFS('BSE - SENSEX Index Options'!$L:$L,'BSE - SENSEX Index Options'!$C:$C,$A242,'BSE - SENSEX Index Options'!$B:$B,F$147,'BSE - SENSEX Index Options'!$H:$H,"MDAW*")+SUMIFS('BSE - Other Index Options'!$L:$L,'BSE - Other Index Options'!$C:$C,$A242,'BSE - Other Index Options'!$B:$B,F$147,'BSE - Other Index Options'!$H:$H,"Weekly*")+SUMIFS('BSE - Other Index Options'!$L:$L,'BSE - Other Index Options'!$C:$C,$A242,'BSE - Other Index Options'!$B:$B,F$147,'BSE - Other Index Options'!$H:$H,"MDAW*"))</f>
        <v/>
      </c>
      <c r="G242" s="26" t="str">
        <f>IF(SUMIFS('BSE - SENSEX Index Options'!$L:$L,'BSE - SENSEX Index Options'!$C:$C,$A242,'BSE - SENSEX Index Options'!$B:$B,G$147,'BSE - SENSEX Index Options'!$H:$H,"Weekly*")+SUMIFS('BSE - SENSEX Index Options'!$L:$L,'BSE - SENSEX Index Options'!$C:$C,$A242,'BSE - SENSEX Index Options'!$B:$B,G$147,'BSE - SENSEX Index Options'!$H:$H,"MDAW*")+SUMIFS('BSE - Other Index Options'!$L:$L,'BSE - Other Index Options'!$C:$C,$A242,'BSE - Other Index Options'!$B:$B,G$147,'BSE - Other Index Options'!$H:$H,"Weekly*")+SUMIFS('BSE - Other Index Options'!$L:$L,'BSE - Other Index Options'!$C:$C,$A242,'BSE - Other Index Options'!$B:$B,G$147,'BSE - Other Index Options'!$H:$H,"MDAW*")=0,"",SUMIFS('BSE - SENSEX Index Options'!$L:$L,'BSE - SENSEX Index Options'!$C:$C,$A242,'BSE - SENSEX Index Options'!$B:$B,G$147,'BSE - SENSEX Index Options'!$H:$H,"Weekly*")+SUMIFS('BSE - SENSEX Index Options'!$L:$L,'BSE - SENSEX Index Options'!$C:$C,$A242,'BSE - SENSEX Index Options'!$B:$B,G$147,'BSE - SENSEX Index Options'!$H:$H,"MDAW*")+SUMIFS('BSE - Other Index Options'!$L:$L,'BSE - Other Index Options'!$C:$C,$A242,'BSE - Other Index Options'!$B:$B,G$147,'BSE - Other Index Options'!$H:$H,"Weekly*")+SUMIFS('BSE - Other Index Options'!$L:$L,'BSE - Other Index Options'!$C:$C,$A242,'BSE - Other Index Options'!$B:$B,G$147,'BSE - Other Index Options'!$H:$H,"MDAW*"))</f>
        <v/>
      </c>
      <c r="H242" s="26" t="str">
        <f t="shared" si="8"/>
        <v/>
      </c>
    </row>
    <row r="243" spans="1:8" hidden="1" outlineLevel="1">
      <c r="A243" t="s">
        <v>105</v>
      </c>
      <c r="B243" s="26" t="str">
        <f>IF(SUMIFS('BSE - SENSEX Index Options'!$L:$L,'BSE - SENSEX Index Options'!$C:$C,$A243,'BSE - SENSEX Index Options'!$B:$B,B$147,'BSE - SENSEX Index Options'!$H:$H,"Weekly*")+SUMIFS('BSE - SENSEX Index Options'!$L:$L,'BSE - SENSEX Index Options'!$C:$C,$A243,'BSE - SENSEX Index Options'!$B:$B,B$147,'BSE - SENSEX Index Options'!$H:$H,"MDAW*")+SUMIFS('BSE - Other Index Options'!$L:$L,'BSE - Other Index Options'!$C:$C,$A243,'BSE - Other Index Options'!$B:$B,B$147,'BSE - Other Index Options'!$H:$H,"Weekly*")+SUMIFS('BSE - Other Index Options'!$L:$L,'BSE - Other Index Options'!$C:$C,$A243,'BSE - Other Index Options'!$B:$B,B$147,'BSE - Other Index Options'!$H:$H,"MDAW*")=0,"",SUMIFS('BSE - SENSEX Index Options'!$L:$L,'BSE - SENSEX Index Options'!$C:$C,$A243,'BSE - SENSEX Index Options'!$B:$B,B$147,'BSE - SENSEX Index Options'!$H:$H,"Weekly*")+SUMIFS('BSE - SENSEX Index Options'!$L:$L,'BSE - SENSEX Index Options'!$C:$C,$A243,'BSE - SENSEX Index Options'!$B:$B,B$147,'BSE - SENSEX Index Options'!$H:$H,"MDAW*")+SUMIFS('BSE - Other Index Options'!$L:$L,'BSE - Other Index Options'!$C:$C,$A243,'BSE - Other Index Options'!$B:$B,B$147,'BSE - Other Index Options'!$H:$H,"Weekly*")+SUMIFS('BSE - Other Index Options'!$L:$L,'BSE - Other Index Options'!$C:$C,$A243,'BSE - Other Index Options'!$B:$B,B$147,'BSE - Other Index Options'!$H:$H,"MDAW*"))</f>
        <v/>
      </c>
      <c r="C243" s="26" t="str">
        <f>IF(SUMIFS('BSE - SENSEX Index Options'!$L:$L,'BSE - SENSEX Index Options'!$C:$C,$A243,'BSE - SENSEX Index Options'!$B:$B,C$147,'BSE - SENSEX Index Options'!$H:$H,"Weekly*")+SUMIFS('BSE - SENSEX Index Options'!$L:$L,'BSE - SENSEX Index Options'!$C:$C,$A243,'BSE - SENSEX Index Options'!$B:$B,C$147,'BSE - SENSEX Index Options'!$H:$H,"MDAW*")+SUMIFS('BSE - Other Index Options'!$L:$L,'BSE - Other Index Options'!$C:$C,$A243,'BSE - Other Index Options'!$B:$B,C$147,'BSE - Other Index Options'!$H:$H,"Weekly*")+SUMIFS('BSE - Other Index Options'!$L:$L,'BSE - Other Index Options'!$C:$C,$A243,'BSE - Other Index Options'!$B:$B,C$147,'BSE - Other Index Options'!$H:$H,"MDAW*")=0,"",SUMIFS('BSE - SENSEX Index Options'!$L:$L,'BSE - SENSEX Index Options'!$C:$C,$A243,'BSE - SENSEX Index Options'!$B:$B,C$147,'BSE - SENSEX Index Options'!$H:$H,"Weekly*")+SUMIFS('BSE - SENSEX Index Options'!$L:$L,'BSE - SENSEX Index Options'!$C:$C,$A243,'BSE - SENSEX Index Options'!$B:$B,C$147,'BSE - SENSEX Index Options'!$H:$H,"MDAW*")+SUMIFS('BSE - Other Index Options'!$L:$L,'BSE - Other Index Options'!$C:$C,$A243,'BSE - Other Index Options'!$B:$B,C$147,'BSE - Other Index Options'!$H:$H,"Weekly*")+SUMIFS('BSE - Other Index Options'!$L:$L,'BSE - Other Index Options'!$C:$C,$A243,'BSE - Other Index Options'!$B:$B,C$147,'BSE - Other Index Options'!$H:$H,"MDAW*"))</f>
        <v/>
      </c>
      <c r="D243" s="26" t="str">
        <f>IF(SUMIFS('BSE - SENSEX Index Options'!$L:$L,'BSE - SENSEX Index Options'!$C:$C,$A243,'BSE - SENSEX Index Options'!$B:$B,D$147,'BSE - SENSEX Index Options'!$H:$H,"Weekly*")+SUMIFS('BSE - SENSEX Index Options'!$L:$L,'BSE - SENSEX Index Options'!$C:$C,$A243,'BSE - SENSEX Index Options'!$B:$B,D$147,'BSE - SENSEX Index Options'!$H:$H,"MDAW*")+SUMIFS('BSE - Other Index Options'!$L:$L,'BSE - Other Index Options'!$C:$C,$A243,'BSE - Other Index Options'!$B:$B,D$147,'BSE - Other Index Options'!$H:$H,"Weekly*")+SUMIFS('BSE - Other Index Options'!$L:$L,'BSE - Other Index Options'!$C:$C,$A243,'BSE - Other Index Options'!$B:$B,D$147,'BSE - Other Index Options'!$H:$H,"MDAW*")=0,"",SUMIFS('BSE - SENSEX Index Options'!$L:$L,'BSE - SENSEX Index Options'!$C:$C,$A243,'BSE - SENSEX Index Options'!$B:$B,D$147,'BSE - SENSEX Index Options'!$H:$H,"Weekly*")+SUMIFS('BSE - SENSEX Index Options'!$L:$L,'BSE - SENSEX Index Options'!$C:$C,$A243,'BSE - SENSEX Index Options'!$B:$B,D$147,'BSE - SENSEX Index Options'!$H:$H,"MDAW*")+SUMIFS('BSE - Other Index Options'!$L:$L,'BSE - Other Index Options'!$C:$C,$A243,'BSE - Other Index Options'!$B:$B,D$147,'BSE - Other Index Options'!$H:$H,"Weekly*")+SUMIFS('BSE - Other Index Options'!$L:$L,'BSE - Other Index Options'!$C:$C,$A243,'BSE - Other Index Options'!$B:$B,D$147,'BSE - Other Index Options'!$H:$H,"MDAW*"))</f>
        <v/>
      </c>
      <c r="E243" s="26" t="str">
        <f>IF(SUMIFS('BSE - SENSEX Index Options'!$L:$L,'BSE - SENSEX Index Options'!$C:$C,$A243,'BSE - SENSEX Index Options'!$B:$B,E$147,'BSE - SENSEX Index Options'!$H:$H,"Weekly*")+SUMIFS('BSE - SENSEX Index Options'!$L:$L,'BSE - SENSEX Index Options'!$C:$C,$A243,'BSE - SENSEX Index Options'!$B:$B,E$147,'BSE - SENSEX Index Options'!$H:$H,"MDAW*")+SUMIFS('BSE - Other Index Options'!$L:$L,'BSE - Other Index Options'!$C:$C,$A243,'BSE - Other Index Options'!$B:$B,E$147,'BSE - Other Index Options'!$H:$H,"Weekly*")+SUMIFS('BSE - Other Index Options'!$L:$L,'BSE - Other Index Options'!$C:$C,$A243,'BSE - Other Index Options'!$B:$B,E$147,'BSE - Other Index Options'!$H:$H,"MDAW*")=0,"",SUMIFS('BSE - SENSEX Index Options'!$L:$L,'BSE - SENSEX Index Options'!$C:$C,$A243,'BSE - SENSEX Index Options'!$B:$B,E$147,'BSE - SENSEX Index Options'!$H:$H,"Weekly*")+SUMIFS('BSE - SENSEX Index Options'!$L:$L,'BSE - SENSEX Index Options'!$C:$C,$A243,'BSE - SENSEX Index Options'!$B:$B,E$147,'BSE - SENSEX Index Options'!$H:$H,"MDAW*")+SUMIFS('BSE - Other Index Options'!$L:$L,'BSE - Other Index Options'!$C:$C,$A243,'BSE - Other Index Options'!$B:$B,E$147,'BSE - Other Index Options'!$H:$H,"Weekly*")+SUMIFS('BSE - Other Index Options'!$L:$L,'BSE - Other Index Options'!$C:$C,$A243,'BSE - Other Index Options'!$B:$B,E$147,'BSE - Other Index Options'!$H:$H,"MDAW*"))</f>
        <v/>
      </c>
      <c r="F243" s="26" t="str">
        <f>IF(SUMIFS('BSE - SENSEX Index Options'!$L:$L,'BSE - SENSEX Index Options'!$C:$C,$A243,'BSE - SENSEX Index Options'!$B:$B,F$147,'BSE - SENSEX Index Options'!$H:$H,"Weekly*")+SUMIFS('BSE - SENSEX Index Options'!$L:$L,'BSE - SENSEX Index Options'!$C:$C,$A243,'BSE - SENSEX Index Options'!$B:$B,F$147,'BSE - SENSEX Index Options'!$H:$H,"MDAW*")+SUMIFS('BSE - Other Index Options'!$L:$L,'BSE - Other Index Options'!$C:$C,$A243,'BSE - Other Index Options'!$B:$B,F$147,'BSE - Other Index Options'!$H:$H,"Weekly*")+SUMIFS('BSE - Other Index Options'!$L:$L,'BSE - Other Index Options'!$C:$C,$A243,'BSE - Other Index Options'!$B:$B,F$147,'BSE - Other Index Options'!$H:$H,"MDAW*")=0,"",SUMIFS('BSE - SENSEX Index Options'!$L:$L,'BSE - SENSEX Index Options'!$C:$C,$A243,'BSE - SENSEX Index Options'!$B:$B,F$147,'BSE - SENSEX Index Options'!$H:$H,"Weekly*")+SUMIFS('BSE - SENSEX Index Options'!$L:$L,'BSE - SENSEX Index Options'!$C:$C,$A243,'BSE - SENSEX Index Options'!$B:$B,F$147,'BSE - SENSEX Index Options'!$H:$H,"MDAW*")+SUMIFS('BSE - Other Index Options'!$L:$L,'BSE - Other Index Options'!$C:$C,$A243,'BSE - Other Index Options'!$B:$B,F$147,'BSE - Other Index Options'!$H:$H,"Weekly*")+SUMIFS('BSE - Other Index Options'!$L:$L,'BSE - Other Index Options'!$C:$C,$A243,'BSE - Other Index Options'!$B:$B,F$147,'BSE - Other Index Options'!$H:$H,"MDAW*"))</f>
        <v/>
      </c>
      <c r="G243" s="26" t="str">
        <f>IF(SUMIFS('BSE - SENSEX Index Options'!$L:$L,'BSE - SENSEX Index Options'!$C:$C,$A243,'BSE - SENSEX Index Options'!$B:$B,G$147,'BSE - SENSEX Index Options'!$H:$H,"Weekly*")+SUMIFS('BSE - SENSEX Index Options'!$L:$L,'BSE - SENSEX Index Options'!$C:$C,$A243,'BSE - SENSEX Index Options'!$B:$B,G$147,'BSE - SENSEX Index Options'!$H:$H,"MDAW*")+SUMIFS('BSE - Other Index Options'!$L:$L,'BSE - Other Index Options'!$C:$C,$A243,'BSE - Other Index Options'!$B:$B,G$147,'BSE - Other Index Options'!$H:$H,"Weekly*")+SUMIFS('BSE - Other Index Options'!$L:$L,'BSE - Other Index Options'!$C:$C,$A243,'BSE - Other Index Options'!$B:$B,G$147,'BSE - Other Index Options'!$H:$H,"MDAW*")=0,"",SUMIFS('BSE - SENSEX Index Options'!$L:$L,'BSE - SENSEX Index Options'!$C:$C,$A243,'BSE - SENSEX Index Options'!$B:$B,G$147,'BSE - SENSEX Index Options'!$H:$H,"Weekly*")+SUMIFS('BSE - SENSEX Index Options'!$L:$L,'BSE - SENSEX Index Options'!$C:$C,$A243,'BSE - SENSEX Index Options'!$B:$B,G$147,'BSE - SENSEX Index Options'!$H:$H,"MDAW*")+SUMIFS('BSE - Other Index Options'!$L:$L,'BSE - Other Index Options'!$C:$C,$A243,'BSE - Other Index Options'!$B:$B,G$147,'BSE - Other Index Options'!$H:$H,"Weekly*")+SUMIFS('BSE - Other Index Options'!$L:$L,'BSE - Other Index Options'!$C:$C,$A243,'BSE - Other Index Options'!$B:$B,G$147,'BSE - Other Index Options'!$H:$H,"MDAW*"))</f>
        <v/>
      </c>
      <c r="H243" s="26" t="str">
        <f t="shared" si="8"/>
        <v/>
      </c>
    </row>
    <row r="244" spans="1:8" hidden="1" outlineLevel="1">
      <c r="A244" t="s">
        <v>106</v>
      </c>
      <c r="B244" s="26" t="str">
        <f>IF(SUMIFS('BSE - SENSEX Index Options'!$L:$L,'BSE - SENSEX Index Options'!$C:$C,$A244,'BSE - SENSEX Index Options'!$B:$B,B$147,'BSE - SENSEX Index Options'!$H:$H,"Weekly*")+SUMIFS('BSE - SENSEX Index Options'!$L:$L,'BSE - SENSEX Index Options'!$C:$C,$A244,'BSE - SENSEX Index Options'!$B:$B,B$147,'BSE - SENSEX Index Options'!$H:$H,"MDAW*")+SUMIFS('BSE - Other Index Options'!$L:$L,'BSE - Other Index Options'!$C:$C,$A244,'BSE - Other Index Options'!$B:$B,B$147,'BSE - Other Index Options'!$H:$H,"Weekly*")+SUMIFS('BSE - Other Index Options'!$L:$L,'BSE - Other Index Options'!$C:$C,$A244,'BSE - Other Index Options'!$B:$B,B$147,'BSE - Other Index Options'!$H:$H,"MDAW*")=0,"",SUMIFS('BSE - SENSEX Index Options'!$L:$L,'BSE - SENSEX Index Options'!$C:$C,$A244,'BSE - SENSEX Index Options'!$B:$B,B$147,'BSE - SENSEX Index Options'!$H:$H,"Weekly*")+SUMIFS('BSE - SENSEX Index Options'!$L:$L,'BSE - SENSEX Index Options'!$C:$C,$A244,'BSE - SENSEX Index Options'!$B:$B,B$147,'BSE - SENSEX Index Options'!$H:$H,"MDAW*")+SUMIFS('BSE - Other Index Options'!$L:$L,'BSE - Other Index Options'!$C:$C,$A244,'BSE - Other Index Options'!$B:$B,B$147,'BSE - Other Index Options'!$H:$H,"Weekly*")+SUMIFS('BSE - Other Index Options'!$L:$L,'BSE - Other Index Options'!$C:$C,$A244,'BSE - Other Index Options'!$B:$B,B$147,'BSE - Other Index Options'!$H:$H,"MDAW*"))</f>
        <v/>
      </c>
      <c r="C244" s="26" t="str">
        <f>IF(SUMIFS('BSE - SENSEX Index Options'!$L:$L,'BSE - SENSEX Index Options'!$C:$C,$A244,'BSE - SENSEX Index Options'!$B:$B,C$147,'BSE - SENSEX Index Options'!$H:$H,"Weekly*")+SUMIFS('BSE - SENSEX Index Options'!$L:$L,'BSE - SENSEX Index Options'!$C:$C,$A244,'BSE - SENSEX Index Options'!$B:$B,C$147,'BSE - SENSEX Index Options'!$H:$H,"MDAW*")+SUMIFS('BSE - Other Index Options'!$L:$L,'BSE - Other Index Options'!$C:$C,$A244,'BSE - Other Index Options'!$B:$B,C$147,'BSE - Other Index Options'!$H:$H,"Weekly*")+SUMIFS('BSE - Other Index Options'!$L:$L,'BSE - Other Index Options'!$C:$C,$A244,'BSE - Other Index Options'!$B:$B,C$147,'BSE - Other Index Options'!$H:$H,"MDAW*")=0,"",SUMIFS('BSE - SENSEX Index Options'!$L:$L,'BSE - SENSEX Index Options'!$C:$C,$A244,'BSE - SENSEX Index Options'!$B:$B,C$147,'BSE - SENSEX Index Options'!$H:$H,"Weekly*")+SUMIFS('BSE - SENSEX Index Options'!$L:$L,'BSE - SENSEX Index Options'!$C:$C,$A244,'BSE - SENSEX Index Options'!$B:$B,C$147,'BSE - SENSEX Index Options'!$H:$H,"MDAW*")+SUMIFS('BSE - Other Index Options'!$L:$L,'BSE - Other Index Options'!$C:$C,$A244,'BSE - Other Index Options'!$B:$B,C$147,'BSE - Other Index Options'!$H:$H,"Weekly*")+SUMIFS('BSE - Other Index Options'!$L:$L,'BSE - Other Index Options'!$C:$C,$A244,'BSE - Other Index Options'!$B:$B,C$147,'BSE - Other Index Options'!$H:$H,"MDAW*"))</f>
        <v/>
      </c>
      <c r="D244" s="26" t="str">
        <f>IF(SUMIFS('BSE - SENSEX Index Options'!$L:$L,'BSE - SENSEX Index Options'!$C:$C,$A244,'BSE - SENSEX Index Options'!$B:$B,D$147,'BSE - SENSEX Index Options'!$H:$H,"Weekly*")+SUMIFS('BSE - SENSEX Index Options'!$L:$L,'BSE - SENSEX Index Options'!$C:$C,$A244,'BSE - SENSEX Index Options'!$B:$B,D$147,'BSE - SENSEX Index Options'!$H:$H,"MDAW*")+SUMIFS('BSE - Other Index Options'!$L:$L,'BSE - Other Index Options'!$C:$C,$A244,'BSE - Other Index Options'!$B:$B,D$147,'BSE - Other Index Options'!$H:$H,"Weekly*")+SUMIFS('BSE - Other Index Options'!$L:$L,'BSE - Other Index Options'!$C:$C,$A244,'BSE - Other Index Options'!$B:$B,D$147,'BSE - Other Index Options'!$H:$H,"MDAW*")=0,"",SUMIFS('BSE - SENSEX Index Options'!$L:$L,'BSE - SENSEX Index Options'!$C:$C,$A244,'BSE - SENSEX Index Options'!$B:$B,D$147,'BSE - SENSEX Index Options'!$H:$H,"Weekly*")+SUMIFS('BSE - SENSEX Index Options'!$L:$L,'BSE - SENSEX Index Options'!$C:$C,$A244,'BSE - SENSEX Index Options'!$B:$B,D$147,'BSE - SENSEX Index Options'!$H:$H,"MDAW*")+SUMIFS('BSE - Other Index Options'!$L:$L,'BSE - Other Index Options'!$C:$C,$A244,'BSE - Other Index Options'!$B:$B,D$147,'BSE - Other Index Options'!$H:$H,"Weekly*")+SUMIFS('BSE - Other Index Options'!$L:$L,'BSE - Other Index Options'!$C:$C,$A244,'BSE - Other Index Options'!$B:$B,D$147,'BSE - Other Index Options'!$H:$H,"MDAW*"))</f>
        <v/>
      </c>
      <c r="E244" s="26" t="str">
        <f>IF(SUMIFS('BSE - SENSEX Index Options'!$L:$L,'BSE - SENSEX Index Options'!$C:$C,$A244,'BSE - SENSEX Index Options'!$B:$B,E$147,'BSE - SENSEX Index Options'!$H:$H,"Weekly*")+SUMIFS('BSE - SENSEX Index Options'!$L:$L,'BSE - SENSEX Index Options'!$C:$C,$A244,'BSE - SENSEX Index Options'!$B:$B,E$147,'BSE - SENSEX Index Options'!$H:$H,"MDAW*")+SUMIFS('BSE - Other Index Options'!$L:$L,'BSE - Other Index Options'!$C:$C,$A244,'BSE - Other Index Options'!$B:$B,E$147,'BSE - Other Index Options'!$H:$H,"Weekly*")+SUMIFS('BSE - Other Index Options'!$L:$L,'BSE - Other Index Options'!$C:$C,$A244,'BSE - Other Index Options'!$B:$B,E$147,'BSE - Other Index Options'!$H:$H,"MDAW*")=0,"",SUMIFS('BSE - SENSEX Index Options'!$L:$L,'BSE - SENSEX Index Options'!$C:$C,$A244,'BSE - SENSEX Index Options'!$B:$B,E$147,'BSE - SENSEX Index Options'!$H:$H,"Weekly*")+SUMIFS('BSE - SENSEX Index Options'!$L:$L,'BSE - SENSEX Index Options'!$C:$C,$A244,'BSE - SENSEX Index Options'!$B:$B,E$147,'BSE - SENSEX Index Options'!$H:$H,"MDAW*")+SUMIFS('BSE - Other Index Options'!$L:$L,'BSE - Other Index Options'!$C:$C,$A244,'BSE - Other Index Options'!$B:$B,E$147,'BSE - Other Index Options'!$H:$H,"Weekly*")+SUMIFS('BSE - Other Index Options'!$L:$L,'BSE - Other Index Options'!$C:$C,$A244,'BSE - Other Index Options'!$B:$B,E$147,'BSE - Other Index Options'!$H:$H,"MDAW*"))</f>
        <v/>
      </c>
      <c r="F244" s="26" t="str">
        <f>IF(SUMIFS('BSE - SENSEX Index Options'!$L:$L,'BSE - SENSEX Index Options'!$C:$C,$A244,'BSE - SENSEX Index Options'!$B:$B,F$147,'BSE - SENSEX Index Options'!$H:$H,"Weekly*")+SUMIFS('BSE - SENSEX Index Options'!$L:$L,'BSE - SENSEX Index Options'!$C:$C,$A244,'BSE - SENSEX Index Options'!$B:$B,F$147,'BSE - SENSEX Index Options'!$H:$H,"MDAW*")+SUMIFS('BSE - Other Index Options'!$L:$L,'BSE - Other Index Options'!$C:$C,$A244,'BSE - Other Index Options'!$B:$B,F$147,'BSE - Other Index Options'!$H:$H,"Weekly*")+SUMIFS('BSE - Other Index Options'!$L:$L,'BSE - Other Index Options'!$C:$C,$A244,'BSE - Other Index Options'!$B:$B,F$147,'BSE - Other Index Options'!$H:$H,"MDAW*")=0,"",SUMIFS('BSE - SENSEX Index Options'!$L:$L,'BSE - SENSEX Index Options'!$C:$C,$A244,'BSE - SENSEX Index Options'!$B:$B,F$147,'BSE - SENSEX Index Options'!$H:$H,"Weekly*")+SUMIFS('BSE - SENSEX Index Options'!$L:$L,'BSE - SENSEX Index Options'!$C:$C,$A244,'BSE - SENSEX Index Options'!$B:$B,F$147,'BSE - SENSEX Index Options'!$H:$H,"MDAW*")+SUMIFS('BSE - Other Index Options'!$L:$L,'BSE - Other Index Options'!$C:$C,$A244,'BSE - Other Index Options'!$B:$B,F$147,'BSE - Other Index Options'!$H:$H,"Weekly*")+SUMIFS('BSE - Other Index Options'!$L:$L,'BSE - Other Index Options'!$C:$C,$A244,'BSE - Other Index Options'!$B:$B,F$147,'BSE - Other Index Options'!$H:$H,"MDAW*"))</f>
        <v/>
      </c>
      <c r="G244" s="26" t="str">
        <f>IF(SUMIFS('BSE - SENSEX Index Options'!$L:$L,'BSE - SENSEX Index Options'!$C:$C,$A244,'BSE - SENSEX Index Options'!$B:$B,G$147,'BSE - SENSEX Index Options'!$H:$H,"Weekly*")+SUMIFS('BSE - SENSEX Index Options'!$L:$L,'BSE - SENSEX Index Options'!$C:$C,$A244,'BSE - SENSEX Index Options'!$B:$B,G$147,'BSE - SENSEX Index Options'!$H:$H,"MDAW*")+SUMIFS('BSE - Other Index Options'!$L:$L,'BSE - Other Index Options'!$C:$C,$A244,'BSE - Other Index Options'!$B:$B,G$147,'BSE - Other Index Options'!$H:$H,"Weekly*")+SUMIFS('BSE - Other Index Options'!$L:$L,'BSE - Other Index Options'!$C:$C,$A244,'BSE - Other Index Options'!$B:$B,G$147,'BSE - Other Index Options'!$H:$H,"MDAW*")=0,"",SUMIFS('BSE - SENSEX Index Options'!$L:$L,'BSE - SENSEX Index Options'!$C:$C,$A244,'BSE - SENSEX Index Options'!$B:$B,G$147,'BSE - SENSEX Index Options'!$H:$H,"Weekly*")+SUMIFS('BSE - SENSEX Index Options'!$L:$L,'BSE - SENSEX Index Options'!$C:$C,$A244,'BSE - SENSEX Index Options'!$B:$B,G$147,'BSE - SENSEX Index Options'!$H:$H,"MDAW*")+SUMIFS('BSE - Other Index Options'!$L:$L,'BSE - Other Index Options'!$C:$C,$A244,'BSE - Other Index Options'!$B:$B,G$147,'BSE - Other Index Options'!$H:$H,"Weekly*")+SUMIFS('BSE - Other Index Options'!$L:$L,'BSE - Other Index Options'!$C:$C,$A244,'BSE - Other Index Options'!$B:$B,G$147,'BSE - Other Index Options'!$H:$H,"MDAW*"))</f>
        <v/>
      </c>
      <c r="H244" s="26" t="str">
        <f t="shared" ref="H244:H275" si="9">IF(SUM(B244:G244)=0,"",SUM(B244:G244))</f>
        <v/>
      </c>
    </row>
    <row r="245" spans="1:8" hidden="1" outlineLevel="1">
      <c r="A245" t="s">
        <v>107</v>
      </c>
      <c r="B245" s="26" t="str">
        <f>IF(SUMIFS('BSE - SENSEX Index Options'!$L:$L,'BSE - SENSEX Index Options'!$C:$C,$A245,'BSE - SENSEX Index Options'!$B:$B,B$147,'BSE - SENSEX Index Options'!$H:$H,"Weekly*")+SUMIFS('BSE - SENSEX Index Options'!$L:$L,'BSE - SENSEX Index Options'!$C:$C,$A245,'BSE - SENSEX Index Options'!$B:$B,B$147,'BSE - SENSEX Index Options'!$H:$H,"MDAW*")+SUMIFS('BSE - Other Index Options'!$L:$L,'BSE - Other Index Options'!$C:$C,$A245,'BSE - Other Index Options'!$B:$B,B$147,'BSE - Other Index Options'!$H:$H,"Weekly*")+SUMIFS('BSE - Other Index Options'!$L:$L,'BSE - Other Index Options'!$C:$C,$A245,'BSE - Other Index Options'!$B:$B,B$147,'BSE - Other Index Options'!$H:$H,"MDAW*")=0,"",SUMIFS('BSE - SENSEX Index Options'!$L:$L,'BSE - SENSEX Index Options'!$C:$C,$A245,'BSE - SENSEX Index Options'!$B:$B,B$147,'BSE - SENSEX Index Options'!$H:$H,"Weekly*")+SUMIFS('BSE - SENSEX Index Options'!$L:$L,'BSE - SENSEX Index Options'!$C:$C,$A245,'BSE - SENSEX Index Options'!$B:$B,B$147,'BSE - SENSEX Index Options'!$H:$H,"MDAW*")+SUMIFS('BSE - Other Index Options'!$L:$L,'BSE - Other Index Options'!$C:$C,$A245,'BSE - Other Index Options'!$B:$B,B$147,'BSE - Other Index Options'!$H:$H,"Weekly*")+SUMIFS('BSE - Other Index Options'!$L:$L,'BSE - Other Index Options'!$C:$C,$A245,'BSE - Other Index Options'!$B:$B,B$147,'BSE - Other Index Options'!$H:$H,"MDAW*"))</f>
        <v/>
      </c>
      <c r="C245" s="26" t="str">
        <f>IF(SUMIFS('BSE - SENSEX Index Options'!$L:$L,'BSE - SENSEX Index Options'!$C:$C,$A245,'BSE - SENSEX Index Options'!$B:$B,C$147,'BSE - SENSEX Index Options'!$H:$H,"Weekly*")+SUMIFS('BSE - SENSEX Index Options'!$L:$L,'BSE - SENSEX Index Options'!$C:$C,$A245,'BSE - SENSEX Index Options'!$B:$B,C$147,'BSE - SENSEX Index Options'!$H:$H,"MDAW*")+SUMIFS('BSE - Other Index Options'!$L:$L,'BSE - Other Index Options'!$C:$C,$A245,'BSE - Other Index Options'!$B:$B,C$147,'BSE - Other Index Options'!$H:$H,"Weekly*")+SUMIFS('BSE - Other Index Options'!$L:$L,'BSE - Other Index Options'!$C:$C,$A245,'BSE - Other Index Options'!$B:$B,C$147,'BSE - Other Index Options'!$H:$H,"MDAW*")=0,"",SUMIFS('BSE - SENSEX Index Options'!$L:$L,'BSE - SENSEX Index Options'!$C:$C,$A245,'BSE - SENSEX Index Options'!$B:$B,C$147,'BSE - SENSEX Index Options'!$H:$H,"Weekly*")+SUMIFS('BSE - SENSEX Index Options'!$L:$L,'BSE - SENSEX Index Options'!$C:$C,$A245,'BSE - SENSEX Index Options'!$B:$B,C$147,'BSE - SENSEX Index Options'!$H:$H,"MDAW*")+SUMIFS('BSE - Other Index Options'!$L:$L,'BSE - Other Index Options'!$C:$C,$A245,'BSE - Other Index Options'!$B:$B,C$147,'BSE - Other Index Options'!$H:$H,"Weekly*")+SUMIFS('BSE - Other Index Options'!$L:$L,'BSE - Other Index Options'!$C:$C,$A245,'BSE - Other Index Options'!$B:$B,C$147,'BSE - Other Index Options'!$H:$H,"MDAW*"))</f>
        <v/>
      </c>
      <c r="D245" s="26" t="str">
        <f>IF(SUMIFS('BSE - SENSEX Index Options'!$L:$L,'BSE - SENSEX Index Options'!$C:$C,$A245,'BSE - SENSEX Index Options'!$B:$B,D$147,'BSE - SENSEX Index Options'!$H:$H,"Weekly*")+SUMIFS('BSE - SENSEX Index Options'!$L:$L,'BSE - SENSEX Index Options'!$C:$C,$A245,'BSE - SENSEX Index Options'!$B:$B,D$147,'BSE - SENSEX Index Options'!$H:$H,"MDAW*")+SUMIFS('BSE - Other Index Options'!$L:$L,'BSE - Other Index Options'!$C:$C,$A245,'BSE - Other Index Options'!$B:$B,D$147,'BSE - Other Index Options'!$H:$H,"Weekly*")+SUMIFS('BSE - Other Index Options'!$L:$L,'BSE - Other Index Options'!$C:$C,$A245,'BSE - Other Index Options'!$B:$B,D$147,'BSE - Other Index Options'!$H:$H,"MDAW*")=0,"",SUMIFS('BSE - SENSEX Index Options'!$L:$L,'BSE - SENSEX Index Options'!$C:$C,$A245,'BSE - SENSEX Index Options'!$B:$B,D$147,'BSE - SENSEX Index Options'!$H:$H,"Weekly*")+SUMIFS('BSE - SENSEX Index Options'!$L:$L,'BSE - SENSEX Index Options'!$C:$C,$A245,'BSE - SENSEX Index Options'!$B:$B,D$147,'BSE - SENSEX Index Options'!$H:$H,"MDAW*")+SUMIFS('BSE - Other Index Options'!$L:$L,'BSE - Other Index Options'!$C:$C,$A245,'BSE - Other Index Options'!$B:$B,D$147,'BSE - Other Index Options'!$H:$H,"Weekly*")+SUMIFS('BSE - Other Index Options'!$L:$L,'BSE - Other Index Options'!$C:$C,$A245,'BSE - Other Index Options'!$B:$B,D$147,'BSE - Other Index Options'!$H:$H,"MDAW*"))</f>
        <v/>
      </c>
      <c r="E245" s="26" t="str">
        <f>IF(SUMIFS('BSE - SENSEX Index Options'!$L:$L,'BSE - SENSEX Index Options'!$C:$C,$A245,'BSE - SENSEX Index Options'!$B:$B,E$147,'BSE - SENSEX Index Options'!$H:$H,"Weekly*")+SUMIFS('BSE - SENSEX Index Options'!$L:$L,'BSE - SENSEX Index Options'!$C:$C,$A245,'BSE - SENSEX Index Options'!$B:$B,E$147,'BSE - SENSEX Index Options'!$H:$H,"MDAW*")+SUMIFS('BSE - Other Index Options'!$L:$L,'BSE - Other Index Options'!$C:$C,$A245,'BSE - Other Index Options'!$B:$B,E$147,'BSE - Other Index Options'!$H:$H,"Weekly*")+SUMIFS('BSE - Other Index Options'!$L:$L,'BSE - Other Index Options'!$C:$C,$A245,'BSE - Other Index Options'!$B:$B,E$147,'BSE - Other Index Options'!$H:$H,"MDAW*")=0,"",SUMIFS('BSE - SENSEX Index Options'!$L:$L,'BSE - SENSEX Index Options'!$C:$C,$A245,'BSE - SENSEX Index Options'!$B:$B,E$147,'BSE - SENSEX Index Options'!$H:$H,"Weekly*")+SUMIFS('BSE - SENSEX Index Options'!$L:$L,'BSE - SENSEX Index Options'!$C:$C,$A245,'BSE - SENSEX Index Options'!$B:$B,E$147,'BSE - SENSEX Index Options'!$H:$H,"MDAW*")+SUMIFS('BSE - Other Index Options'!$L:$L,'BSE - Other Index Options'!$C:$C,$A245,'BSE - Other Index Options'!$B:$B,E$147,'BSE - Other Index Options'!$H:$H,"Weekly*")+SUMIFS('BSE - Other Index Options'!$L:$L,'BSE - Other Index Options'!$C:$C,$A245,'BSE - Other Index Options'!$B:$B,E$147,'BSE - Other Index Options'!$H:$H,"MDAW*"))</f>
        <v/>
      </c>
      <c r="F245" s="26" t="str">
        <f>IF(SUMIFS('BSE - SENSEX Index Options'!$L:$L,'BSE - SENSEX Index Options'!$C:$C,$A245,'BSE - SENSEX Index Options'!$B:$B,F$147,'BSE - SENSEX Index Options'!$H:$H,"Weekly*")+SUMIFS('BSE - SENSEX Index Options'!$L:$L,'BSE - SENSEX Index Options'!$C:$C,$A245,'BSE - SENSEX Index Options'!$B:$B,F$147,'BSE - SENSEX Index Options'!$H:$H,"MDAW*")+SUMIFS('BSE - Other Index Options'!$L:$L,'BSE - Other Index Options'!$C:$C,$A245,'BSE - Other Index Options'!$B:$B,F$147,'BSE - Other Index Options'!$H:$H,"Weekly*")+SUMIFS('BSE - Other Index Options'!$L:$L,'BSE - Other Index Options'!$C:$C,$A245,'BSE - Other Index Options'!$B:$B,F$147,'BSE - Other Index Options'!$H:$H,"MDAW*")=0,"",SUMIFS('BSE - SENSEX Index Options'!$L:$L,'BSE - SENSEX Index Options'!$C:$C,$A245,'BSE - SENSEX Index Options'!$B:$B,F$147,'BSE - SENSEX Index Options'!$H:$H,"Weekly*")+SUMIFS('BSE - SENSEX Index Options'!$L:$L,'BSE - SENSEX Index Options'!$C:$C,$A245,'BSE - SENSEX Index Options'!$B:$B,F$147,'BSE - SENSEX Index Options'!$H:$H,"MDAW*")+SUMIFS('BSE - Other Index Options'!$L:$L,'BSE - Other Index Options'!$C:$C,$A245,'BSE - Other Index Options'!$B:$B,F$147,'BSE - Other Index Options'!$H:$H,"Weekly*")+SUMIFS('BSE - Other Index Options'!$L:$L,'BSE - Other Index Options'!$C:$C,$A245,'BSE - Other Index Options'!$B:$B,F$147,'BSE - Other Index Options'!$H:$H,"MDAW*"))</f>
        <v/>
      </c>
      <c r="G245" s="26" t="str">
        <f>IF(SUMIFS('BSE - SENSEX Index Options'!$L:$L,'BSE - SENSEX Index Options'!$C:$C,$A245,'BSE - SENSEX Index Options'!$B:$B,G$147,'BSE - SENSEX Index Options'!$H:$H,"Weekly*")+SUMIFS('BSE - SENSEX Index Options'!$L:$L,'BSE - SENSEX Index Options'!$C:$C,$A245,'BSE - SENSEX Index Options'!$B:$B,G$147,'BSE - SENSEX Index Options'!$H:$H,"MDAW*")+SUMIFS('BSE - Other Index Options'!$L:$L,'BSE - Other Index Options'!$C:$C,$A245,'BSE - Other Index Options'!$B:$B,G$147,'BSE - Other Index Options'!$H:$H,"Weekly*")+SUMIFS('BSE - Other Index Options'!$L:$L,'BSE - Other Index Options'!$C:$C,$A245,'BSE - Other Index Options'!$B:$B,G$147,'BSE - Other Index Options'!$H:$H,"MDAW*")=0,"",SUMIFS('BSE - SENSEX Index Options'!$L:$L,'BSE - SENSEX Index Options'!$C:$C,$A245,'BSE - SENSEX Index Options'!$B:$B,G$147,'BSE - SENSEX Index Options'!$H:$H,"Weekly*")+SUMIFS('BSE - SENSEX Index Options'!$L:$L,'BSE - SENSEX Index Options'!$C:$C,$A245,'BSE - SENSEX Index Options'!$B:$B,G$147,'BSE - SENSEX Index Options'!$H:$H,"MDAW*")+SUMIFS('BSE - Other Index Options'!$L:$L,'BSE - Other Index Options'!$C:$C,$A245,'BSE - Other Index Options'!$B:$B,G$147,'BSE - Other Index Options'!$H:$H,"Weekly*")+SUMIFS('BSE - Other Index Options'!$L:$L,'BSE - Other Index Options'!$C:$C,$A245,'BSE - Other Index Options'!$B:$B,G$147,'BSE - Other Index Options'!$H:$H,"MDAW*"))</f>
        <v/>
      </c>
      <c r="H245" s="26" t="str">
        <f t="shared" si="9"/>
        <v/>
      </c>
    </row>
    <row r="246" spans="1:8" hidden="1" outlineLevel="1">
      <c r="A246" t="s">
        <v>108</v>
      </c>
      <c r="B246" s="26" t="str">
        <f>IF(SUMIFS('BSE - SENSEX Index Options'!$L:$L,'BSE - SENSEX Index Options'!$C:$C,$A246,'BSE - SENSEX Index Options'!$B:$B,B$147,'BSE - SENSEX Index Options'!$H:$H,"Weekly*")+SUMIFS('BSE - SENSEX Index Options'!$L:$L,'BSE - SENSEX Index Options'!$C:$C,$A246,'BSE - SENSEX Index Options'!$B:$B,B$147,'BSE - SENSEX Index Options'!$H:$H,"MDAW*")+SUMIFS('BSE - Other Index Options'!$L:$L,'BSE - Other Index Options'!$C:$C,$A246,'BSE - Other Index Options'!$B:$B,B$147,'BSE - Other Index Options'!$H:$H,"Weekly*")+SUMIFS('BSE - Other Index Options'!$L:$L,'BSE - Other Index Options'!$C:$C,$A246,'BSE - Other Index Options'!$B:$B,B$147,'BSE - Other Index Options'!$H:$H,"MDAW*")=0,"",SUMIFS('BSE - SENSEX Index Options'!$L:$L,'BSE - SENSEX Index Options'!$C:$C,$A246,'BSE - SENSEX Index Options'!$B:$B,B$147,'BSE - SENSEX Index Options'!$H:$H,"Weekly*")+SUMIFS('BSE - SENSEX Index Options'!$L:$L,'BSE - SENSEX Index Options'!$C:$C,$A246,'BSE - SENSEX Index Options'!$B:$B,B$147,'BSE - SENSEX Index Options'!$H:$H,"MDAW*")+SUMIFS('BSE - Other Index Options'!$L:$L,'BSE - Other Index Options'!$C:$C,$A246,'BSE - Other Index Options'!$B:$B,B$147,'BSE - Other Index Options'!$H:$H,"Weekly*")+SUMIFS('BSE - Other Index Options'!$L:$L,'BSE - Other Index Options'!$C:$C,$A246,'BSE - Other Index Options'!$B:$B,B$147,'BSE - Other Index Options'!$H:$H,"MDAW*"))</f>
        <v/>
      </c>
      <c r="C246" s="26" t="str">
        <f>IF(SUMIFS('BSE - SENSEX Index Options'!$L:$L,'BSE - SENSEX Index Options'!$C:$C,$A246,'BSE - SENSEX Index Options'!$B:$B,C$147,'BSE - SENSEX Index Options'!$H:$H,"Weekly*")+SUMIFS('BSE - SENSEX Index Options'!$L:$L,'BSE - SENSEX Index Options'!$C:$C,$A246,'BSE - SENSEX Index Options'!$B:$B,C$147,'BSE - SENSEX Index Options'!$H:$H,"MDAW*")+SUMIFS('BSE - Other Index Options'!$L:$L,'BSE - Other Index Options'!$C:$C,$A246,'BSE - Other Index Options'!$B:$B,C$147,'BSE - Other Index Options'!$H:$H,"Weekly*")+SUMIFS('BSE - Other Index Options'!$L:$L,'BSE - Other Index Options'!$C:$C,$A246,'BSE - Other Index Options'!$B:$B,C$147,'BSE - Other Index Options'!$H:$H,"MDAW*")=0,"",SUMIFS('BSE - SENSEX Index Options'!$L:$L,'BSE - SENSEX Index Options'!$C:$C,$A246,'BSE - SENSEX Index Options'!$B:$B,C$147,'BSE - SENSEX Index Options'!$H:$H,"Weekly*")+SUMIFS('BSE - SENSEX Index Options'!$L:$L,'BSE - SENSEX Index Options'!$C:$C,$A246,'BSE - SENSEX Index Options'!$B:$B,C$147,'BSE - SENSEX Index Options'!$H:$H,"MDAW*")+SUMIFS('BSE - Other Index Options'!$L:$L,'BSE - Other Index Options'!$C:$C,$A246,'BSE - Other Index Options'!$B:$B,C$147,'BSE - Other Index Options'!$H:$H,"Weekly*")+SUMIFS('BSE - Other Index Options'!$L:$L,'BSE - Other Index Options'!$C:$C,$A246,'BSE - Other Index Options'!$B:$B,C$147,'BSE - Other Index Options'!$H:$H,"MDAW*"))</f>
        <v/>
      </c>
      <c r="D246" s="26" t="str">
        <f>IF(SUMIFS('BSE - SENSEX Index Options'!$L:$L,'BSE - SENSEX Index Options'!$C:$C,$A246,'BSE - SENSEX Index Options'!$B:$B,D$147,'BSE - SENSEX Index Options'!$H:$H,"Weekly*")+SUMIFS('BSE - SENSEX Index Options'!$L:$L,'BSE - SENSEX Index Options'!$C:$C,$A246,'BSE - SENSEX Index Options'!$B:$B,D$147,'BSE - SENSEX Index Options'!$H:$H,"MDAW*")+SUMIFS('BSE - Other Index Options'!$L:$L,'BSE - Other Index Options'!$C:$C,$A246,'BSE - Other Index Options'!$B:$B,D$147,'BSE - Other Index Options'!$H:$H,"Weekly*")+SUMIFS('BSE - Other Index Options'!$L:$L,'BSE - Other Index Options'!$C:$C,$A246,'BSE - Other Index Options'!$B:$B,D$147,'BSE - Other Index Options'!$H:$H,"MDAW*")=0,"",SUMIFS('BSE - SENSEX Index Options'!$L:$L,'BSE - SENSEX Index Options'!$C:$C,$A246,'BSE - SENSEX Index Options'!$B:$B,D$147,'BSE - SENSEX Index Options'!$H:$H,"Weekly*")+SUMIFS('BSE - SENSEX Index Options'!$L:$L,'BSE - SENSEX Index Options'!$C:$C,$A246,'BSE - SENSEX Index Options'!$B:$B,D$147,'BSE - SENSEX Index Options'!$H:$H,"MDAW*")+SUMIFS('BSE - Other Index Options'!$L:$L,'BSE - Other Index Options'!$C:$C,$A246,'BSE - Other Index Options'!$B:$B,D$147,'BSE - Other Index Options'!$H:$H,"Weekly*")+SUMIFS('BSE - Other Index Options'!$L:$L,'BSE - Other Index Options'!$C:$C,$A246,'BSE - Other Index Options'!$B:$B,D$147,'BSE - Other Index Options'!$H:$H,"MDAW*"))</f>
        <v/>
      </c>
      <c r="E246" s="26" t="str">
        <f>IF(SUMIFS('BSE - SENSEX Index Options'!$L:$L,'BSE - SENSEX Index Options'!$C:$C,$A246,'BSE - SENSEX Index Options'!$B:$B,E$147,'BSE - SENSEX Index Options'!$H:$H,"Weekly*")+SUMIFS('BSE - SENSEX Index Options'!$L:$L,'BSE - SENSEX Index Options'!$C:$C,$A246,'BSE - SENSEX Index Options'!$B:$B,E$147,'BSE - SENSEX Index Options'!$H:$H,"MDAW*")+SUMIFS('BSE - Other Index Options'!$L:$L,'BSE - Other Index Options'!$C:$C,$A246,'BSE - Other Index Options'!$B:$B,E$147,'BSE - Other Index Options'!$H:$H,"Weekly*")+SUMIFS('BSE - Other Index Options'!$L:$L,'BSE - Other Index Options'!$C:$C,$A246,'BSE - Other Index Options'!$B:$B,E$147,'BSE - Other Index Options'!$H:$H,"MDAW*")=0,"",SUMIFS('BSE - SENSEX Index Options'!$L:$L,'BSE - SENSEX Index Options'!$C:$C,$A246,'BSE - SENSEX Index Options'!$B:$B,E$147,'BSE - SENSEX Index Options'!$H:$H,"Weekly*")+SUMIFS('BSE - SENSEX Index Options'!$L:$L,'BSE - SENSEX Index Options'!$C:$C,$A246,'BSE - SENSEX Index Options'!$B:$B,E$147,'BSE - SENSEX Index Options'!$H:$H,"MDAW*")+SUMIFS('BSE - Other Index Options'!$L:$L,'BSE - Other Index Options'!$C:$C,$A246,'BSE - Other Index Options'!$B:$B,E$147,'BSE - Other Index Options'!$H:$H,"Weekly*")+SUMIFS('BSE - Other Index Options'!$L:$L,'BSE - Other Index Options'!$C:$C,$A246,'BSE - Other Index Options'!$B:$B,E$147,'BSE - Other Index Options'!$H:$H,"MDAW*"))</f>
        <v/>
      </c>
      <c r="F246" s="26" t="str">
        <f>IF(SUMIFS('BSE - SENSEX Index Options'!$L:$L,'BSE - SENSEX Index Options'!$C:$C,$A246,'BSE - SENSEX Index Options'!$B:$B,F$147,'BSE - SENSEX Index Options'!$H:$H,"Weekly*")+SUMIFS('BSE - SENSEX Index Options'!$L:$L,'BSE - SENSEX Index Options'!$C:$C,$A246,'BSE - SENSEX Index Options'!$B:$B,F$147,'BSE - SENSEX Index Options'!$H:$H,"MDAW*")+SUMIFS('BSE - Other Index Options'!$L:$L,'BSE - Other Index Options'!$C:$C,$A246,'BSE - Other Index Options'!$B:$B,F$147,'BSE - Other Index Options'!$H:$H,"Weekly*")+SUMIFS('BSE - Other Index Options'!$L:$L,'BSE - Other Index Options'!$C:$C,$A246,'BSE - Other Index Options'!$B:$B,F$147,'BSE - Other Index Options'!$H:$H,"MDAW*")=0,"",SUMIFS('BSE - SENSEX Index Options'!$L:$L,'BSE - SENSEX Index Options'!$C:$C,$A246,'BSE - SENSEX Index Options'!$B:$B,F$147,'BSE - SENSEX Index Options'!$H:$H,"Weekly*")+SUMIFS('BSE - SENSEX Index Options'!$L:$L,'BSE - SENSEX Index Options'!$C:$C,$A246,'BSE - SENSEX Index Options'!$B:$B,F$147,'BSE - SENSEX Index Options'!$H:$H,"MDAW*")+SUMIFS('BSE - Other Index Options'!$L:$L,'BSE - Other Index Options'!$C:$C,$A246,'BSE - Other Index Options'!$B:$B,F$147,'BSE - Other Index Options'!$H:$H,"Weekly*")+SUMIFS('BSE - Other Index Options'!$L:$L,'BSE - Other Index Options'!$C:$C,$A246,'BSE - Other Index Options'!$B:$B,F$147,'BSE - Other Index Options'!$H:$H,"MDAW*"))</f>
        <v/>
      </c>
      <c r="G246" s="26" t="str">
        <f>IF(SUMIFS('BSE - SENSEX Index Options'!$L:$L,'BSE - SENSEX Index Options'!$C:$C,$A246,'BSE - SENSEX Index Options'!$B:$B,G$147,'BSE - SENSEX Index Options'!$H:$H,"Weekly*")+SUMIFS('BSE - SENSEX Index Options'!$L:$L,'BSE - SENSEX Index Options'!$C:$C,$A246,'BSE - SENSEX Index Options'!$B:$B,G$147,'BSE - SENSEX Index Options'!$H:$H,"MDAW*")+SUMIFS('BSE - Other Index Options'!$L:$L,'BSE - Other Index Options'!$C:$C,$A246,'BSE - Other Index Options'!$B:$B,G$147,'BSE - Other Index Options'!$H:$H,"Weekly*")+SUMIFS('BSE - Other Index Options'!$L:$L,'BSE - Other Index Options'!$C:$C,$A246,'BSE - Other Index Options'!$B:$B,G$147,'BSE - Other Index Options'!$H:$H,"MDAW*")=0,"",SUMIFS('BSE - SENSEX Index Options'!$L:$L,'BSE - SENSEX Index Options'!$C:$C,$A246,'BSE - SENSEX Index Options'!$B:$B,G$147,'BSE - SENSEX Index Options'!$H:$H,"Weekly*")+SUMIFS('BSE - SENSEX Index Options'!$L:$L,'BSE - SENSEX Index Options'!$C:$C,$A246,'BSE - SENSEX Index Options'!$B:$B,G$147,'BSE - SENSEX Index Options'!$H:$H,"MDAW*")+SUMIFS('BSE - Other Index Options'!$L:$L,'BSE - Other Index Options'!$C:$C,$A246,'BSE - Other Index Options'!$B:$B,G$147,'BSE - Other Index Options'!$H:$H,"Weekly*")+SUMIFS('BSE - Other Index Options'!$L:$L,'BSE - Other Index Options'!$C:$C,$A246,'BSE - Other Index Options'!$B:$B,G$147,'BSE - Other Index Options'!$H:$H,"MDAW*"))</f>
        <v/>
      </c>
      <c r="H246" s="26" t="str">
        <f t="shared" si="9"/>
        <v/>
      </c>
    </row>
    <row r="247" spans="1:8" hidden="1" outlineLevel="1">
      <c r="A247" t="s">
        <v>109</v>
      </c>
      <c r="B247" s="26" t="str">
        <f>IF(SUMIFS('BSE - SENSEX Index Options'!$L:$L,'BSE - SENSEX Index Options'!$C:$C,$A247,'BSE - SENSEX Index Options'!$B:$B,B$147,'BSE - SENSEX Index Options'!$H:$H,"Weekly*")+SUMIFS('BSE - SENSEX Index Options'!$L:$L,'BSE - SENSEX Index Options'!$C:$C,$A247,'BSE - SENSEX Index Options'!$B:$B,B$147,'BSE - SENSEX Index Options'!$H:$H,"MDAW*")+SUMIFS('BSE - Other Index Options'!$L:$L,'BSE - Other Index Options'!$C:$C,$A247,'BSE - Other Index Options'!$B:$B,B$147,'BSE - Other Index Options'!$H:$H,"Weekly*")+SUMIFS('BSE - Other Index Options'!$L:$L,'BSE - Other Index Options'!$C:$C,$A247,'BSE - Other Index Options'!$B:$B,B$147,'BSE - Other Index Options'!$H:$H,"MDAW*")=0,"",SUMIFS('BSE - SENSEX Index Options'!$L:$L,'BSE - SENSEX Index Options'!$C:$C,$A247,'BSE - SENSEX Index Options'!$B:$B,B$147,'BSE - SENSEX Index Options'!$H:$H,"Weekly*")+SUMIFS('BSE - SENSEX Index Options'!$L:$L,'BSE - SENSEX Index Options'!$C:$C,$A247,'BSE - SENSEX Index Options'!$B:$B,B$147,'BSE - SENSEX Index Options'!$H:$H,"MDAW*")+SUMIFS('BSE - Other Index Options'!$L:$L,'BSE - Other Index Options'!$C:$C,$A247,'BSE - Other Index Options'!$B:$B,B$147,'BSE - Other Index Options'!$H:$H,"Weekly*")+SUMIFS('BSE - Other Index Options'!$L:$L,'BSE - Other Index Options'!$C:$C,$A247,'BSE - Other Index Options'!$B:$B,B$147,'BSE - Other Index Options'!$H:$H,"MDAW*"))</f>
        <v/>
      </c>
      <c r="C247" s="26" t="str">
        <f>IF(SUMIFS('BSE - SENSEX Index Options'!$L:$L,'BSE - SENSEX Index Options'!$C:$C,$A247,'BSE - SENSEX Index Options'!$B:$B,C$147,'BSE - SENSEX Index Options'!$H:$H,"Weekly*")+SUMIFS('BSE - SENSEX Index Options'!$L:$L,'BSE - SENSEX Index Options'!$C:$C,$A247,'BSE - SENSEX Index Options'!$B:$B,C$147,'BSE - SENSEX Index Options'!$H:$H,"MDAW*")+SUMIFS('BSE - Other Index Options'!$L:$L,'BSE - Other Index Options'!$C:$C,$A247,'BSE - Other Index Options'!$B:$B,C$147,'BSE - Other Index Options'!$H:$H,"Weekly*")+SUMIFS('BSE - Other Index Options'!$L:$L,'BSE - Other Index Options'!$C:$C,$A247,'BSE - Other Index Options'!$B:$B,C$147,'BSE - Other Index Options'!$H:$H,"MDAW*")=0,"",SUMIFS('BSE - SENSEX Index Options'!$L:$L,'BSE - SENSEX Index Options'!$C:$C,$A247,'BSE - SENSEX Index Options'!$B:$B,C$147,'BSE - SENSEX Index Options'!$H:$H,"Weekly*")+SUMIFS('BSE - SENSEX Index Options'!$L:$L,'BSE - SENSEX Index Options'!$C:$C,$A247,'BSE - SENSEX Index Options'!$B:$B,C$147,'BSE - SENSEX Index Options'!$H:$H,"MDAW*")+SUMIFS('BSE - Other Index Options'!$L:$L,'BSE - Other Index Options'!$C:$C,$A247,'BSE - Other Index Options'!$B:$B,C$147,'BSE - Other Index Options'!$H:$H,"Weekly*")+SUMIFS('BSE - Other Index Options'!$L:$L,'BSE - Other Index Options'!$C:$C,$A247,'BSE - Other Index Options'!$B:$B,C$147,'BSE - Other Index Options'!$H:$H,"MDAW*"))</f>
        <v/>
      </c>
      <c r="D247" s="26" t="str">
        <f>IF(SUMIFS('BSE - SENSEX Index Options'!$L:$L,'BSE - SENSEX Index Options'!$C:$C,$A247,'BSE - SENSEX Index Options'!$B:$B,D$147,'BSE - SENSEX Index Options'!$H:$H,"Weekly*")+SUMIFS('BSE - SENSEX Index Options'!$L:$L,'BSE - SENSEX Index Options'!$C:$C,$A247,'BSE - SENSEX Index Options'!$B:$B,D$147,'BSE - SENSEX Index Options'!$H:$H,"MDAW*")+SUMIFS('BSE - Other Index Options'!$L:$L,'BSE - Other Index Options'!$C:$C,$A247,'BSE - Other Index Options'!$B:$B,D$147,'BSE - Other Index Options'!$H:$H,"Weekly*")+SUMIFS('BSE - Other Index Options'!$L:$L,'BSE - Other Index Options'!$C:$C,$A247,'BSE - Other Index Options'!$B:$B,D$147,'BSE - Other Index Options'!$H:$H,"MDAW*")=0,"",SUMIFS('BSE - SENSEX Index Options'!$L:$L,'BSE - SENSEX Index Options'!$C:$C,$A247,'BSE - SENSEX Index Options'!$B:$B,D$147,'BSE - SENSEX Index Options'!$H:$H,"Weekly*")+SUMIFS('BSE - SENSEX Index Options'!$L:$L,'BSE - SENSEX Index Options'!$C:$C,$A247,'BSE - SENSEX Index Options'!$B:$B,D$147,'BSE - SENSEX Index Options'!$H:$H,"MDAW*")+SUMIFS('BSE - Other Index Options'!$L:$L,'BSE - Other Index Options'!$C:$C,$A247,'BSE - Other Index Options'!$B:$B,D$147,'BSE - Other Index Options'!$H:$H,"Weekly*")+SUMIFS('BSE - Other Index Options'!$L:$L,'BSE - Other Index Options'!$C:$C,$A247,'BSE - Other Index Options'!$B:$B,D$147,'BSE - Other Index Options'!$H:$H,"MDAW*"))</f>
        <v/>
      </c>
      <c r="E247" s="26" t="str">
        <f>IF(SUMIFS('BSE - SENSEX Index Options'!$L:$L,'BSE - SENSEX Index Options'!$C:$C,$A247,'BSE - SENSEX Index Options'!$B:$B,E$147,'BSE - SENSEX Index Options'!$H:$H,"Weekly*")+SUMIFS('BSE - SENSEX Index Options'!$L:$L,'BSE - SENSEX Index Options'!$C:$C,$A247,'BSE - SENSEX Index Options'!$B:$B,E$147,'BSE - SENSEX Index Options'!$H:$H,"MDAW*")+SUMIFS('BSE - Other Index Options'!$L:$L,'BSE - Other Index Options'!$C:$C,$A247,'BSE - Other Index Options'!$B:$B,E$147,'BSE - Other Index Options'!$H:$H,"Weekly*")+SUMIFS('BSE - Other Index Options'!$L:$L,'BSE - Other Index Options'!$C:$C,$A247,'BSE - Other Index Options'!$B:$B,E$147,'BSE - Other Index Options'!$H:$H,"MDAW*")=0,"",SUMIFS('BSE - SENSEX Index Options'!$L:$L,'BSE - SENSEX Index Options'!$C:$C,$A247,'BSE - SENSEX Index Options'!$B:$B,E$147,'BSE - SENSEX Index Options'!$H:$H,"Weekly*")+SUMIFS('BSE - SENSEX Index Options'!$L:$L,'BSE - SENSEX Index Options'!$C:$C,$A247,'BSE - SENSEX Index Options'!$B:$B,E$147,'BSE - SENSEX Index Options'!$H:$H,"MDAW*")+SUMIFS('BSE - Other Index Options'!$L:$L,'BSE - Other Index Options'!$C:$C,$A247,'BSE - Other Index Options'!$B:$B,E$147,'BSE - Other Index Options'!$H:$H,"Weekly*")+SUMIFS('BSE - Other Index Options'!$L:$L,'BSE - Other Index Options'!$C:$C,$A247,'BSE - Other Index Options'!$B:$B,E$147,'BSE - Other Index Options'!$H:$H,"MDAW*"))</f>
        <v/>
      </c>
      <c r="F247" s="26" t="str">
        <f>IF(SUMIFS('BSE - SENSEX Index Options'!$L:$L,'BSE - SENSEX Index Options'!$C:$C,$A247,'BSE - SENSEX Index Options'!$B:$B,F$147,'BSE - SENSEX Index Options'!$H:$H,"Weekly*")+SUMIFS('BSE - SENSEX Index Options'!$L:$L,'BSE - SENSEX Index Options'!$C:$C,$A247,'BSE - SENSEX Index Options'!$B:$B,F$147,'BSE - SENSEX Index Options'!$H:$H,"MDAW*")+SUMIFS('BSE - Other Index Options'!$L:$L,'BSE - Other Index Options'!$C:$C,$A247,'BSE - Other Index Options'!$B:$B,F$147,'BSE - Other Index Options'!$H:$H,"Weekly*")+SUMIFS('BSE - Other Index Options'!$L:$L,'BSE - Other Index Options'!$C:$C,$A247,'BSE - Other Index Options'!$B:$B,F$147,'BSE - Other Index Options'!$H:$H,"MDAW*")=0,"",SUMIFS('BSE - SENSEX Index Options'!$L:$L,'BSE - SENSEX Index Options'!$C:$C,$A247,'BSE - SENSEX Index Options'!$B:$B,F$147,'BSE - SENSEX Index Options'!$H:$H,"Weekly*")+SUMIFS('BSE - SENSEX Index Options'!$L:$L,'BSE - SENSEX Index Options'!$C:$C,$A247,'BSE - SENSEX Index Options'!$B:$B,F$147,'BSE - SENSEX Index Options'!$H:$H,"MDAW*")+SUMIFS('BSE - Other Index Options'!$L:$L,'BSE - Other Index Options'!$C:$C,$A247,'BSE - Other Index Options'!$B:$B,F$147,'BSE - Other Index Options'!$H:$H,"Weekly*")+SUMIFS('BSE - Other Index Options'!$L:$L,'BSE - Other Index Options'!$C:$C,$A247,'BSE - Other Index Options'!$B:$B,F$147,'BSE - Other Index Options'!$H:$H,"MDAW*"))</f>
        <v/>
      </c>
      <c r="G247" s="26" t="str">
        <f>IF(SUMIFS('BSE - SENSEX Index Options'!$L:$L,'BSE - SENSEX Index Options'!$C:$C,$A247,'BSE - SENSEX Index Options'!$B:$B,G$147,'BSE - SENSEX Index Options'!$H:$H,"Weekly*")+SUMIFS('BSE - SENSEX Index Options'!$L:$L,'BSE - SENSEX Index Options'!$C:$C,$A247,'BSE - SENSEX Index Options'!$B:$B,G$147,'BSE - SENSEX Index Options'!$H:$H,"MDAW*")+SUMIFS('BSE - Other Index Options'!$L:$L,'BSE - Other Index Options'!$C:$C,$A247,'BSE - Other Index Options'!$B:$B,G$147,'BSE - Other Index Options'!$H:$H,"Weekly*")+SUMIFS('BSE - Other Index Options'!$L:$L,'BSE - Other Index Options'!$C:$C,$A247,'BSE - Other Index Options'!$B:$B,G$147,'BSE - Other Index Options'!$H:$H,"MDAW*")=0,"",SUMIFS('BSE - SENSEX Index Options'!$L:$L,'BSE - SENSEX Index Options'!$C:$C,$A247,'BSE - SENSEX Index Options'!$B:$B,G$147,'BSE - SENSEX Index Options'!$H:$H,"Weekly*")+SUMIFS('BSE - SENSEX Index Options'!$L:$L,'BSE - SENSEX Index Options'!$C:$C,$A247,'BSE - SENSEX Index Options'!$B:$B,G$147,'BSE - SENSEX Index Options'!$H:$H,"MDAW*")+SUMIFS('BSE - Other Index Options'!$L:$L,'BSE - Other Index Options'!$C:$C,$A247,'BSE - Other Index Options'!$B:$B,G$147,'BSE - Other Index Options'!$H:$H,"Weekly*")+SUMIFS('BSE - Other Index Options'!$L:$L,'BSE - Other Index Options'!$C:$C,$A247,'BSE - Other Index Options'!$B:$B,G$147,'BSE - Other Index Options'!$H:$H,"MDAW*"))</f>
        <v/>
      </c>
      <c r="H247" s="26" t="str">
        <f t="shared" si="9"/>
        <v/>
      </c>
    </row>
    <row r="248" spans="1:8" hidden="1" outlineLevel="1">
      <c r="A248" t="s">
        <v>110</v>
      </c>
      <c r="B248" s="26" t="str">
        <f>IF(SUMIFS('BSE - SENSEX Index Options'!$L:$L,'BSE - SENSEX Index Options'!$C:$C,$A248,'BSE - SENSEX Index Options'!$B:$B,B$147,'BSE - SENSEX Index Options'!$H:$H,"Weekly*")+SUMIFS('BSE - SENSEX Index Options'!$L:$L,'BSE - SENSEX Index Options'!$C:$C,$A248,'BSE - SENSEX Index Options'!$B:$B,B$147,'BSE - SENSEX Index Options'!$H:$H,"MDAW*")+SUMIFS('BSE - Other Index Options'!$L:$L,'BSE - Other Index Options'!$C:$C,$A248,'BSE - Other Index Options'!$B:$B,B$147,'BSE - Other Index Options'!$H:$H,"Weekly*")+SUMIFS('BSE - Other Index Options'!$L:$L,'BSE - Other Index Options'!$C:$C,$A248,'BSE - Other Index Options'!$B:$B,B$147,'BSE - Other Index Options'!$H:$H,"MDAW*")=0,"",SUMIFS('BSE - SENSEX Index Options'!$L:$L,'BSE - SENSEX Index Options'!$C:$C,$A248,'BSE - SENSEX Index Options'!$B:$B,B$147,'BSE - SENSEX Index Options'!$H:$H,"Weekly*")+SUMIFS('BSE - SENSEX Index Options'!$L:$L,'BSE - SENSEX Index Options'!$C:$C,$A248,'BSE - SENSEX Index Options'!$B:$B,B$147,'BSE - SENSEX Index Options'!$H:$H,"MDAW*")+SUMIFS('BSE - Other Index Options'!$L:$L,'BSE - Other Index Options'!$C:$C,$A248,'BSE - Other Index Options'!$B:$B,B$147,'BSE - Other Index Options'!$H:$H,"Weekly*")+SUMIFS('BSE - Other Index Options'!$L:$L,'BSE - Other Index Options'!$C:$C,$A248,'BSE - Other Index Options'!$B:$B,B$147,'BSE - Other Index Options'!$H:$H,"MDAW*"))</f>
        <v/>
      </c>
      <c r="C248" s="26" t="str">
        <f>IF(SUMIFS('BSE - SENSEX Index Options'!$L:$L,'BSE - SENSEX Index Options'!$C:$C,$A248,'BSE - SENSEX Index Options'!$B:$B,C$147,'BSE - SENSEX Index Options'!$H:$H,"Weekly*")+SUMIFS('BSE - SENSEX Index Options'!$L:$L,'BSE - SENSEX Index Options'!$C:$C,$A248,'BSE - SENSEX Index Options'!$B:$B,C$147,'BSE - SENSEX Index Options'!$H:$H,"MDAW*")+SUMIFS('BSE - Other Index Options'!$L:$L,'BSE - Other Index Options'!$C:$C,$A248,'BSE - Other Index Options'!$B:$B,C$147,'BSE - Other Index Options'!$H:$H,"Weekly*")+SUMIFS('BSE - Other Index Options'!$L:$L,'BSE - Other Index Options'!$C:$C,$A248,'BSE - Other Index Options'!$B:$B,C$147,'BSE - Other Index Options'!$H:$H,"MDAW*")=0,"",SUMIFS('BSE - SENSEX Index Options'!$L:$L,'BSE - SENSEX Index Options'!$C:$C,$A248,'BSE - SENSEX Index Options'!$B:$B,C$147,'BSE - SENSEX Index Options'!$H:$H,"Weekly*")+SUMIFS('BSE - SENSEX Index Options'!$L:$L,'BSE - SENSEX Index Options'!$C:$C,$A248,'BSE - SENSEX Index Options'!$B:$B,C$147,'BSE - SENSEX Index Options'!$H:$H,"MDAW*")+SUMIFS('BSE - Other Index Options'!$L:$L,'BSE - Other Index Options'!$C:$C,$A248,'BSE - Other Index Options'!$B:$B,C$147,'BSE - Other Index Options'!$H:$H,"Weekly*")+SUMIFS('BSE - Other Index Options'!$L:$L,'BSE - Other Index Options'!$C:$C,$A248,'BSE - Other Index Options'!$B:$B,C$147,'BSE - Other Index Options'!$H:$H,"MDAW*"))</f>
        <v/>
      </c>
      <c r="D248" s="26" t="str">
        <f>IF(SUMIFS('BSE - SENSEX Index Options'!$L:$L,'BSE - SENSEX Index Options'!$C:$C,$A248,'BSE - SENSEX Index Options'!$B:$B,D$147,'BSE - SENSEX Index Options'!$H:$H,"Weekly*")+SUMIFS('BSE - SENSEX Index Options'!$L:$L,'BSE - SENSEX Index Options'!$C:$C,$A248,'BSE - SENSEX Index Options'!$B:$B,D$147,'BSE - SENSEX Index Options'!$H:$H,"MDAW*")+SUMIFS('BSE - Other Index Options'!$L:$L,'BSE - Other Index Options'!$C:$C,$A248,'BSE - Other Index Options'!$B:$B,D$147,'BSE - Other Index Options'!$H:$H,"Weekly*")+SUMIFS('BSE - Other Index Options'!$L:$L,'BSE - Other Index Options'!$C:$C,$A248,'BSE - Other Index Options'!$B:$B,D$147,'BSE - Other Index Options'!$H:$H,"MDAW*")=0,"",SUMIFS('BSE - SENSEX Index Options'!$L:$L,'BSE - SENSEX Index Options'!$C:$C,$A248,'BSE - SENSEX Index Options'!$B:$B,D$147,'BSE - SENSEX Index Options'!$H:$H,"Weekly*")+SUMIFS('BSE - SENSEX Index Options'!$L:$L,'BSE - SENSEX Index Options'!$C:$C,$A248,'BSE - SENSEX Index Options'!$B:$B,D$147,'BSE - SENSEX Index Options'!$H:$H,"MDAW*")+SUMIFS('BSE - Other Index Options'!$L:$L,'BSE - Other Index Options'!$C:$C,$A248,'BSE - Other Index Options'!$B:$B,D$147,'BSE - Other Index Options'!$H:$H,"Weekly*")+SUMIFS('BSE - Other Index Options'!$L:$L,'BSE - Other Index Options'!$C:$C,$A248,'BSE - Other Index Options'!$B:$B,D$147,'BSE - Other Index Options'!$H:$H,"MDAW*"))</f>
        <v/>
      </c>
      <c r="E248" s="26" t="str">
        <f>IF(SUMIFS('BSE - SENSEX Index Options'!$L:$L,'BSE - SENSEX Index Options'!$C:$C,$A248,'BSE - SENSEX Index Options'!$B:$B,E$147,'BSE - SENSEX Index Options'!$H:$H,"Weekly*")+SUMIFS('BSE - SENSEX Index Options'!$L:$L,'BSE - SENSEX Index Options'!$C:$C,$A248,'BSE - SENSEX Index Options'!$B:$B,E$147,'BSE - SENSEX Index Options'!$H:$H,"MDAW*")+SUMIFS('BSE - Other Index Options'!$L:$L,'BSE - Other Index Options'!$C:$C,$A248,'BSE - Other Index Options'!$B:$B,E$147,'BSE - Other Index Options'!$H:$H,"Weekly*")+SUMIFS('BSE - Other Index Options'!$L:$L,'BSE - Other Index Options'!$C:$C,$A248,'BSE - Other Index Options'!$B:$B,E$147,'BSE - Other Index Options'!$H:$H,"MDAW*")=0,"",SUMIFS('BSE - SENSEX Index Options'!$L:$L,'BSE - SENSEX Index Options'!$C:$C,$A248,'BSE - SENSEX Index Options'!$B:$B,E$147,'BSE - SENSEX Index Options'!$H:$H,"Weekly*")+SUMIFS('BSE - SENSEX Index Options'!$L:$L,'BSE - SENSEX Index Options'!$C:$C,$A248,'BSE - SENSEX Index Options'!$B:$B,E$147,'BSE - SENSEX Index Options'!$H:$H,"MDAW*")+SUMIFS('BSE - Other Index Options'!$L:$L,'BSE - Other Index Options'!$C:$C,$A248,'BSE - Other Index Options'!$B:$B,E$147,'BSE - Other Index Options'!$H:$H,"Weekly*")+SUMIFS('BSE - Other Index Options'!$L:$L,'BSE - Other Index Options'!$C:$C,$A248,'BSE - Other Index Options'!$B:$B,E$147,'BSE - Other Index Options'!$H:$H,"MDAW*"))</f>
        <v/>
      </c>
      <c r="F248" s="26" t="str">
        <f>IF(SUMIFS('BSE - SENSEX Index Options'!$L:$L,'BSE - SENSEX Index Options'!$C:$C,$A248,'BSE - SENSEX Index Options'!$B:$B,F$147,'BSE - SENSEX Index Options'!$H:$H,"Weekly*")+SUMIFS('BSE - SENSEX Index Options'!$L:$L,'BSE - SENSEX Index Options'!$C:$C,$A248,'BSE - SENSEX Index Options'!$B:$B,F$147,'BSE - SENSEX Index Options'!$H:$H,"MDAW*")+SUMIFS('BSE - Other Index Options'!$L:$L,'BSE - Other Index Options'!$C:$C,$A248,'BSE - Other Index Options'!$B:$B,F$147,'BSE - Other Index Options'!$H:$H,"Weekly*")+SUMIFS('BSE - Other Index Options'!$L:$L,'BSE - Other Index Options'!$C:$C,$A248,'BSE - Other Index Options'!$B:$B,F$147,'BSE - Other Index Options'!$H:$H,"MDAW*")=0,"",SUMIFS('BSE - SENSEX Index Options'!$L:$L,'BSE - SENSEX Index Options'!$C:$C,$A248,'BSE - SENSEX Index Options'!$B:$B,F$147,'BSE - SENSEX Index Options'!$H:$H,"Weekly*")+SUMIFS('BSE - SENSEX Index Options'!$L:$L,'BSE - SENSEX Index Options'!$C:$C,$A248,'BSE - SENSEX Index Options'!$B:$B,F$147,'BSE - SENSEX Index Options'!$H:$H,"MDAW*")+SUMIFS('BSE - Other Index Options'!$L:$L,'BSE - Other Index Options'!$C:$C,$A248,'BSE - Other Index Options'!$B:$B,F$147,'BSE - Other Index Options'!$H:$H,"Weekly*")+SUMIFS('BSE - Other Index Options'!$L:$L,'BSE - Other Index Options'!$C:$C,$A248,'BSE - Other Index Options'!$B:$B,F$147,'BSE - Other Index Options'!$H:$H,"MDAW*"))</f>
        <v/>
      </c>
      <c r="G248" s="26" t="str">
        <f>IF(SUMIFS('BSE - SENSEX Index Options'!$L:$L,'BSE - SENSEX Index Options'!$C:$C,$A248,'BSE - SENSEX Index Options'!$B:$B,G$147,'BSE - SENSEX Index Options'!$H:$H,"Weekly*")+SUMIFS('BSE - SENSEX Index Options'!$L:$L,'BSE - SENSEX Index Options'!$C:$C,$A248,'BSE - SENSEX Index Options'!$B:$B,G$147,'BSE - SENSEX Index Options'!$H:$H,"MDAW*")+SUMIFS('BSE - Other Index Options'!$L:$L,'BSE - Other Index Options'!$C:$C,$A248,'BSE - Other Index Options'!$B:$B,G$147,'BSE - Other Index Options'!$H:$H,"Weekly*")+SUMIFS('BSE - Other Index Options'!$L:$L,'BSE - Other Index Options'!$C:$C,$A248,'BSE - Other Index Options'!$B:$B,G$147,'BSE - Other Index Options'!$H:$H,"MDAW*")=0,"",SUMIFS('BSE - SENSEX Index Options'!$L:$L,'BSE - SENSEX Index Options'!$C:$C,$A248,'BSE - SENSEX Index Options'!$B:$B,G$147,'BSE - SENSEX Index Options'!$H:$H,"Weekly*")+SUMIFS('BSE - SENSEX Index Options'!$L:$L,'BSE - SENSEX Index Options'!$C:$C,$A248,'BSE - SENSEX Index Options'!$B:$B,G$147,'BSE - SENSEX Index Options'!$H:$H,"MDAW*")+SUMIFS('BSE - Other Index Options'!$L:$L,'BSE - Other Index Options'!$C:$C,$A248,'BSE - Other Index Options'!$B:$B,G$147,'BSE - Other Index Options'!$H:$H,"Weekly*")+SUMIFS('BSE - Other Index Options'!$L:$L,'BSE - Other Index Options'!$C:$C,$A248,'BSE - Other Index Options'!$B:$B,G$147,'BSE - Other Index Options'!$H:$H,"MDAW*"))</f>
        <v/>
      </c>
      <c r="H248" s="26" t="str">
        <f t="shared" si="9"/>
        <v/>
      </c>
    </row>
    <row r="249" spans="1:8" hidden="1" outlineLevel="1">
      <c r="A249" t="s">
        <v>111</v>
      </c>
      <c r="B249" s="26" t="str">
        <f>IF(SUMIFS('BSE - SENSEX Index Options'!$L:$L,'BSE - SENSEX Index Options'!$C:$C,$A249,'BSE - SENSEX Index Options'!$B:$B,B$147,'BSE - SENSEX Index Options'!$H:$H,"Weekly*")+SUMIFS('BSE - SENSEX Index Options'!$L:$L,'BSE - SENSEX Index Options'!$C:$C,$A249,'BSE - SENSEX Index Options'!$B:$B,B$147,'BSE - SENSEX Index Options'!$H:$H,"MDAW*")+SUMIFS('BSE - Other Index Options'!$L:$L,'BSE - Other Index Options'!$C:$C,$A249,'BSE - Other Index Options'!$B:$B,B$147,'BSE - Other Index Options'!$H:$H,"Weekly*")+SUMIFS('BSE - Other Index Options'!$L:$L,'BSE - Other Index Options'!$C:$C,$A249,'BSE - Other Index Options'!$B:$B,B$147,'BSE - Other Index Options'!$H:$H,"MDAW*")=0,"",SUMIFS('BSE - SENSEX Index Options'!$L:$L,'BSE - SENSEX Index Options'!$C:$C,$A249,'BSE - SENSEX Index Options'!$B:$B,B$147,'BSE - SENSEX Index Options'!$H:$H,"Weekly*")+SUMIFS('BSE - SENSEX Index Options'!$L:$L,'BSE - SENSEX Index Options'!$C:$C,$A249,'BSE - SENSEX Index Options'!$B:$B,B$147,'BSE - SENSEX Index Options'!$H:$H,"MDAW*")+SUMIFS('BSE - Other Index Options'!$L:$L,'BSE - Other Index Options'!$C:$C,$A249,'BSE - Other Index Options'!$B:$B,B$147,'BSE - Other Index Options'!$H:$H,"Weekly*")+SUMIFS('BSE - Other Index Options'!$L:$L,'BSE - Other Index Options'!$C:$C,$A249,'BSE - Other Index Options'!$B:$B,B$147,'BSE - Other Index Options'!$H:$H,"MDAW*"))</f>
        <v/>
      </c>
      <c r="C249" s="26" t="str">
        <f>IF(SUMIFS('BSE - SENSEX Index Options'!$L:$L,'BSE - SENSEX Index Options'!$C:$C,$A249,'BSE - SENSEX Index Options'!$B:$B,C$147,'BSE - SENSEX Index Options'!$H:$H,"Weekly*")+SUMIFS('BSE - SENSEX Index Options'!$L:$L,'BSE - SENSEX Index Options'!$C:$C,$A249,'BSE - SENSEX Index Options'!$B:$B,C$147,'BSE - SENSEX Index Options'!$H:$H,"MDAW*")+SUMIFS('BSE - Other Index Options'!$L:$L,'BSE - Other Index Options'!$C:$C,$A249,'BSE - Other Index Options'!$B:$B,C$147,'BSE - Other Index Options'!$H:$H,"Weekly*")+SUMIFS('BSE - Other Index Options'!$L:$L,'BSE - Other Index Options'!$C:$C,$A249,'BSE - Other Index Options'!$B:$B,C$147,'BSE - Other Index Options'!$H:$H,"MDAW*")=0,"",SUMIFS('BSE - SENSEX Index Options'!$L:$L,'BSE - SENSEX Index Options'!$C:$C,$A249,'BSE - SENSEX Index Options'!$B:$B,C$147,'BSE - SENSEX Index Options'!$H:$H,"Weekly*")+SUMIFS('BSE - SENSEX Index Options'!$L:$L,'BSE - SENSEX Index Options'!$C:$C,$A249,'BSE - SENSEX Index Options'!$B:$B,C$147,'BSE - SENSEX Index Options'!$H:$H,"MDAW*")+SUMIFS('BSE - Other Index Options'!$L:$L,'BSE - Other Index Options'!$C:$C,$A249,'BSE - Other Index Options'!$B:$B,C$147,'BSE - Other Index Options'!$H:$H,"Weekly*")+SUMIFS('BSE - Other Index Options'!$L:$L,'BSE - Other Index Options'!$C:$C,$A249,'BSE - Other Index Options'!$B:$B,C$147,'BSE - Other Index Options'!$H:$H,"MDAW*"))</f>
        <v/>
      </c>
      <c r="D249" s="26" t="str">
        <f>IF(SUMIFS('BSE - SENSEX Index Options'!$L:$L,'BSE - SENSEX Index Options'!$C:$C,$A249,'BSE - SENSEX Index Options'!$B:$B,D$147,'BSE - SENSEX Index Options'!$H:$H,"Weekly*")+SUMIFS('BSE - SENSEX Index Options'!$L:$L,'BSE - SENSEX Index Options'!$C:$C,$A249,'BSE - SENSEX Index Options'!$B:$B,D$147,'BSE - SENSEX Index Options'!$H:$H,"MDAW*")+SUMIFS('BSE - Other Index Options'!$L:$L,'BSE - Other Index Options'!$C:$C,$A249,'BSE - Other Index Options'!$B:$B,D$147,'BSE - Other Index Options'!$H:$H,"Weekly*")+SUMIFS('BSE - Other Index Options'!$L:$L,'BSE - Other Index Options'!$C:$C,$A249,'BSE - Other Index Options'!$B:$B,D$147,'BSE - Other Index Options'!$H:$H,"MDAW*")=0,"",SUMIFS('BSE - SENSEX Index Options'!$L:$L,'BSE - SENSEX Index Options'!$C:$C,$A249,'BSE - SENSEX Index Options'!$B:$B,D$147,'BSE - SENSEX Index Options'!$H:$H,"Weekly*")+SUMIFS('BSE - SENSEX Index Options'!$L:$L,'BSE - SENSEX Index Options'!$C:$C,$A249,'BSE - SENSEX Index Options'!$B:$B,D$147,'BSE - SENSEX Index Options'!$H:$H,"MDAW*")+SUMIFS('BSE - Other Index Options'!$L:$L,'BSE - Other Index Options'!$C:$C,$A249,'BSE - Other Index Options'!$B:$B,D$147,'BSE - Other Index Options'!$H:$H,"Weekly*")+SUMIFS('BSE - Other Index Options'!$L:$L,'BSE - Other Index Options'!$C:$C,$A249,'BSE - Other Index Options'!$B:$B,D$147,'BSE - Other Index Options'!$H:$H,"MDAW*"))</f>
        <v/>
      </c>
      <c r="E249" s="26" t="str">
        <f>IF(SUMIFS('BSE - SENSEX Index Options'!$L:$L,'BSE - SENSEX Index Options'!$C:$C,$A249,'BSE - SENSEX Index Options'!$B:$B,E$147,'BSE - SENSEX Index Options'!$H:$H,"Weekly*")+SUMIFS('BSE - SENSEX Index Options'!$L:$L,'BSE - SENSEX Index Options'!$C:$C,$A249,'BSE - SENSEX Index Options'!$B:$B,E$147,'BSE - SENSEX Index Options'!$H:$H,"MDAW*")+SUMIFS('BSE - Other Index Options'!$L:$L,'BSE - Other Index Options'!$C:$C,$A249,'BSE - Other Index Options'!$B:$B,E$147,'BSE - Other Index Options'!$H:$H,"Weekly*")+SUMIFS('BSE - Other Index Options'!$L:$L,'BSE - Other Index Options'!$C:$C,$A249,'BSE - Other Index Options'!$B:$B,E$147,'BSE - Other Index Options'!$H:$H,"MDAW*")=0,"",SUMIFS('BSE - SENSEX Index Options'!$L:$L,'BSE - SENSEX Index Options'!$C:$C,$A249,'BSE - SENSEX Index Options'!$B:$B,E$147,'BSE - SENSEX Index Options'!$H:$H,"Weekly*")+SUMIFS('BSE - SENSEX Index Options'!$L:$L,'BSE - SENSEX Index Options'!$C:$C,$A249,'BSE - SENSEX Index Options'!$B:$B,E$147,'BSE - SENSEX Index Options'!$H:$H,"MDAW*")+SUMIFS('BSE - Other Index Options'!$L:$L,'BSE - Other Index Options'!$C:$C,$A249,'BSE - Other Index Options'!$B:$B,E$147,'BSE - Other Index Options'!$H:$H,"Weekly*")+SUMIFS('BSE - Other Index Options'!$L:$L,'BSE - Other Index Options'!$C:$C,$A249,'BSE - Other Index Options'!$B:$B,E$147,'BSE - Other Index Options'!$H:$H,"MDAW*"))</f>
        <v/>
      </c>
      <c r="F249" s="26" t="str">
        <f>IF(SUMIFS('BSE - SENSEX Index Options'!$L:$L,'BSE - SENSEX Index Options'!$C:$C,$A249,'BSE - SENSEX Index Options'!$B:$B,F$147,'BSE - SENSEX Index Options'!$H:$H,"Weekly*")+SUMIFS('BSE - SENSEX Index Options'!$L:$L,'BSE - SENSEX Index Options'!$C:$C,$A249,'BSE - SENSEX Index Options'!$B:$B,F$147,'BSE - SENSEX Index Options'!$H:$H,"MDAW*")+SUMIFS('BSE - Other Index Options'!$L:$L,'BSE - Other Index Options'!$C:$C,$A249,'BSE - Other Index Options'!$B:$B,F$147,'BSE - Other Index Options'!$H:$H,"Weekly*")+SUMIFS('BSE - Other Index Options'!$L:$L,'BSE - Other Index Options'!$C:$C,$A249,'BSE - Other Index Options'!$B:$B,F$147,'BSE - Other Index Options'!$H:$H,"MDAW*")=0,"",SUMIFS('BSE - SENSEX Index Options'!$L:$L,'BSE - SENSEX Index Options'!$C:$C,$A249,'BSE - SENSEX Index Options'!$B:$B,F$147,'BSE - SENSEX Index Options'!$H:$H,"Weekly*")+SUMIFS('BSE - SENSEX Index Options'!$L:$L,'BSE - SENSEX Index Options'!$C:$C,$A249,'BSE - SENSEX Index Options'!$B:$B,F$147,'BSE - SENSEX Index Options'!$H:$H,"MDAW*")+SUMIFS('BSE - Other Index Options'!$L:$L,'BSE - Other Index Options'!$C:$C,$A249,'BSE - Other Index Options'!$B:$B,F$147,'BSE - Other Index Options'!$H:$H,"Weekly*")+SUMIFS('BSE - Other Index Options'!$L:$L,'BSE - Other Index Options'!$C:$C,$A249,'BSE - Other Index Options'!$B:$B,F$147,'BSE - Other Index Options'!$H:$H,"MDAW*"))</f>
        <v/>
      </c>
      <c r="G249" s="26" t="str">
        <f>IF(SUMIFS('BSE - SENSEX Index Options'!$L:$L,'BSE - SENSEX Index Options'!$C:$C,$A249,'BSE - SENSEX Index Options'!$B:$B,G$147,'BSE - SENSEX Index Options'!$H:$H,"Weekly*")+SUMIFS('BSE - SENSEX Index Options'!$L:$L,'BSE - SENSEX Index Options'!$C:$C,$A249,'BSE - SENSEX Index Options'!$B:$B,G$147,'BSE - SENSEX Index Options'!$H:$H,"MDAW*")+SUMIFS('BSE - Other Index Options'!$L:$L,'BSE - Other Index Options'!$C:$C,$A249,'BSE - Other Index Options'!$B:$B,G$147,'BSE - Other Index Options'!$H:$H,"Weekly*")+SUMIFS('BSE - Other Index Options'!$L:$L,'BSE - Other Index Options'!$C:$C,$A249,'BSE - Other Index Options'!$B:$B,G$147,'BSE - Other Index Options'!$H:$H,"MDAW*")=0,"",SUMIFS('BSE - SENSEX Index Options'!$L:$L,'BSE - SENSEX Index Options'!$C:$C,$A249,'BSE - SENSEX Index Options'!$B:$B,G$147,'BSE - SENSEX Index Options'!$H:$H,"Weekly*")+SUMIFS('BSE - SENSEX Index Options'!$L:$L,'BSE - SENSEX Index Options'!$C:$C,$A249,'BSE - SENSEX Index Options'!$B:$B,G$147,'BSE - SENSEX Index Options'!$H:$H,"MDAW*")+SUMIFS('BSE - Other Index Options'!$L:$L,'BSE - Other Index Options'!$C:$C,$A249,'BSE - Other Index Options'!$B:$B,G$147,'BSE - Other Index Options'!$H:$H,"Weekly*")+SUMIFS('BSE - Other Index Options'!$L:$L,'BSE - Other Index Options'!$C:$C,$A249,'BSE - Other Index Options'!$B:$B,G$147,'BSE - Other Index Options'!$H:$H,"MDAW*"))</f>
        <v/>
      </c>
      <c r="H249" s="26" t="str">
        <f t="shared" si="9"/>
        <v/>
      </c>
    </row>
    <row r="250" spans="1:8" hidden="1" outlineLevel="1">
      <c r="A250" t="s">
        <v>112</v>
      </c>
      <c r="B250" s="26" t="str">
        <f>IF(SUMIFS('BSE - SENSEX Index Options'!$L:$L,'BSE - SENSEX Index Options'!$C:$C,$A250,'BSE - SENSEX Index Options'!$B:$B,B$147,'BSE - SENSEX Index Options'!$H:$H,"Weekly*")+SUMIFS('BSE - SENSEX Index Options'!$L:$L,'BSE - SENSEX Index Options'!$C:$C,$A250,'BSE - SENSEX Index Options'!$B:$B,B$147,'BSE - SENSEX Index Options'!$H:$H,"MDAW*")+SUMIFS('BSE - Other Index Options'!$L:$L,'BSE - Other Index Options'!$C:$C,$A250,'BSE - Other Index Options'!$B:$B,B$147,'BSE - Other Index Options'!$H:$H,"Weekly*")+SUMIFS('BSE - Other Index Options'!$L:$L,'BSE - Other Index Options'!$C:$C,$A250,'BSE - Other Index Options'!$B:$B,B$147,'BSE - Other Index Options'!$H:$H,"MDAW*")=0,"",SUMIFS('BSE - SENSEX Index Options'!$L:$L,'BSE - SENSEX Index Options'!$C:$C,$A250,'BSE - SENSEX Index Options'!$B:$B,B$147,'BSE - SENSEX Index Options'!$H:$H,"Weekly*")+SUMIFS('BSE - SENSEX Index Options'!$L:$L,'BSE - SENSEX Index Options'!$C:$C,$A250,'BSE - SENSEX Index Options'!$B:$B,B$147,'BSE - SENSEX Index Options'!$H:$H,"MDAW*")+SUMIFS('BSE - Other Index Options'!$L:$L,'BSE - Other Index Options'!$C:$C,$A250,'BSE - Other Index Options'!$B:$B,B$147,'BSE - Other Index Options'!$H:$H,"Weekly*")+SUMIFS('BSE - Other Index Options'!$L:$L,'BSE - Other Index Options'!$C:$C,$A250,'BSE - Other Index Options'!$B:$B,B$147,'BSE - Other Index Options'!$H:$H,"MDAW*"))</f>
        <v/>
      </c>
      <c r="C250" s="26" t="str">
        <f>IF(SUMIFS('BSE - SENSEX Index Options'!$L:$L,'BSE - SENSEX Index Options'!$C:$C,$A250,'BSE - SENSEX Index Options'!$B:$B,C$147,'BSE - SENSEX Index Options'!$H:$H,"Weekly*")+SUMIFS('BSE - SENSEX Index Options'!$L:$L,'BSE - SENSEX Index Options'!$C:$C,$A250,'BSE - SENSEX Index Options'!$B:$B,C$147,'BSE - SENSEX Index Options'!$H:$H,"MDAW*")+SUMIFS('BSE - Other Index Options'!$L:$L,'BSE - Other Index Options'!$C:$C,$A250,'BSE - Other Index Options'!$B:$B,C$147,'BSE - Other Index Options'!$H:$H,"Weekly*")+SUMIFS('BSE - Other Index Options'!$L:$L,'BSE - Other Index Options'!$C:$C,$A250,'BSE - Other Index Options'!$B:$B,C$147,'BSE - Other Index Options'!$H:$H,"MDAW*")=0,"",SUMIFS('BSE - SENSEX Index Options'!$L:$L,'BSE - SENSEX Index Options'!$C:$C,$A250,'BSE - SENSEX Index Options'!$B:$B,C$147,'BSE - SENSEX Index Options'!$H:$H,"Weekly*")+SUMIFS('BSE - SENSEX Index Options'!$L:$L,'BSE - SENSEX Index Options'!$C:$C,$A250,'BSE - SENSEX Index Options'!$B:$B,C$147,'BSE - SENSEX Index Options'!$H:$H,"MDAW*")+SUMIFS('BSE - Other Index Options'!$L:$L,'BSE - Other Index Options'!$C:$C,$A250,'BSE - Other Index Options'!$B:$B,C$147,'BSE - Other Index Options'!$H:$H,"Weekly*")+SUMIFS('BSE - Other Index Options'!$L:$L,'BSE - Other Index Options'!$C:$C,$A250,'BSE - Other Index Options'!$B:$B,C$147,'BSE - Other Index Options'!$H:$H,"MDAW*"))</f>
        <v/>
      </c>
      <c r="D250" s="26" t="str">
        <f>IF(SUMIFS('BSE - SENSEX Index Options'!$L:$L,'BSE - SENSEX Index Options'!$C:$C,$A250,'BSE - SENSEX Index Options'!$B:$B,D$147,'BSE - SENSEX Index Options'!$H:$H,"Weekly*")+SUMIFS('BSE - SENSEX Index Options'!$L:$L,'BSE - SENSEX Index Options'!$C:$C,$A250,'BSE - SENSEX Index Options'!$B:$B,D$147,'BSE - SENSEX Index Options'!$H:$H,"MDAW*")+SUMIFS('BSE - Other Index Options'!$L:$L,'BSE - Other Index Options'!$C:$C,$A250,'BSE - Other Index Options'!$B:$B,D$147,'BSE - Other Index Options'!$H:$H,"Weekly*")+SUMIFS('BSE - Other Index Options'!$L:$L,'BSE - Other Index Options'!$C:$C,$A250,'BSE - Other Index Options'!$B:$B,D$147,'BSE - Other Index Options'!$H:$H,"MDAW*")=0,"",SUMIFS('BSE - SENSEX Index Options'!$L:$L,'BSE - SENSEX Index Options'!$C:$C,$A250,'BSE - SENSEX Index Options'!$B:$B,D$147,'BSE - SENSEX Index Options'!$H:$H,"Weekly*")+SUMIFS('BSE - SENSEX Index Options'!$L:$L,'BSE - SENSEX Index Options'!$C:$C,$A250,'BSE - SENSEX Index Options'!$B:$B,D$147,'BSE - SENSEX Index Options'!$H:$H,"MDAW*")+SUMIFS('BSE - Other Index Options'!$L:$L,'BSE - Other Index Options'!$C:$C,$A250,'BSE - Other Index Options'!$B:$B,D$147,'BSE - Other Index Options'!$H:$H,"Weekly*")+SUMIFS('BSE - Other Index Options'!$L:$L,'BSE - Other Index Options'!$C:$C,$A250,'BSE - Other Index Options'!$B:$B,D$147,'BSE - Other Index Options'!$H:$H,"MDAW*"))</f>
        <v/>
      </c>
      <c r="E250" s="26" t="str">
        <f>IF(SUMIFS('BSE - SENSEX Index Options'!$L:$L,'BSE - SENSEX Index Options'!$C:$C,$A250,'BSE - SENSEX Index Options'!$B:$B,E$147,'BSE - SENSEX Index Options'!$H:$H,"Weekly*")+SUMIFS('BSE - SENSEX Index Options'!$L:$L,'BSE - SENSEX Index Options'!$C:$C,$A250,'BSE - SENSEX Index Options'!$B:$B,E$147,'BSE - SENSEX Index Options'!$H:$H,"MDAW*")+SUMIFS('BSE - Other Index Options'!$L:$L,'BSE - Other Index Options'!$C:$C,$A250,'BSE - Other Index Options'!$B:$B,E$147,'BSE - Other Index Options'!$H:$H,"Weekly*")+SUMIFS('BSE - Other Index Options'!$L:$L,'BSE - Other Index Options'!$C:$C,$A250,'BSE - Other Index Options'!$B:$B,E$147,'BSE - Other Index Options'!$H:$H,"MDAW*")=0,"",SUMIFS('BSE - SENSEX Index Options'!$L:$L,'BSE - SENSEX Index Options'!$C:$C,$A250,'BSE - SENSEX Index Options'!$B:$B,E$147,'BSE - SENSEX Index Options'!$H:$H,"Weekly*")+SUMIFS('BSE - SENSEX Index Options'!$L:$L,'BSE - SENSEX Index Options'!$C:$C,$A250,'BSE - SENSEX Index Options'!$B:$B,E$147,'BSE - SENSEX Index Options'!$H:$H,"MDAW*")+SUMIFS('BSE - Other Index Options'!$L:$L,'BSE - Other Index Options'!$C:$C,$A250,'BSE - Other Index Options'!$B:$B,E$147,'BSE - Other Index Options'!$H:$H,"Weekly*")+SUMIFS('BSE - Other Index Options'!$L:$L,'BSE - Other Index Options'!$C:$C,$A250,'BSE - Other Index Options'!$B:$B,E$147,'BSE - Other Index Options'!$H:$H,"MDAW*"))</f>
        <v/>
      </c>
      <c r="F250" s="26" t="str">
        <f>IF(SUMIFS('BSE - SENSEX Index Options'!$L:$L,'BSE - SENSEX Index Options'!$C:$C,$A250,'BSE - SENSEX Index Options'!$B:$B,F$147,'BSE - SENSEX Index Options'!$H:$H,"Weekly*")+SUMIFS('BSE - SENSEX Index Options'!$L:$L,'BSE - SENSEX Index Options'!$C:$C,$A250,'BSE - SENSEX Index Options'!$B:$B,F$147,'BSE - SENSEX Index Options'!$H:$H,"MDAW*")+SUMIFS('BSE - Other Index Options'!$L:$L,'BSE - Other Index Options'!$C:$C,$A250,'BSE - Other Index Options'!$B:$B,F$147,'BSE - Other Index Options'!$H:$H,"Weekly*")+SUMIFS('BSE - Other Index Options'!$L:$L,'BSE - Other Index Options'!$C:$C,$A250,'BSE - Other Index Options'!$B:$B,F$147,'BSE - Other Index Options'!$H:$H,"MDAW*")=0,"",SUMIFS('BSE - SENSEX Index Options'!$L:$L,'BSE - SENSEX Index Options'!$C:$C,$A250,'BSE - SENSEX Index Options'!$B:$B,F$147,'BSE - SENSEX Index Options'!$H:$H,"Weekly*")+SUMIFS('BSE - SENSEX Index Options'!$L:$L,'BSE - SENSEX Index Options'!$C:$C,$A250,'BSE - SENSEX Index Options'!$B:$B,F$147,'BSE - SENSEX Index Options'!$H:$H,"MDAW*")+SUMIFS('BSE - Other Index Options'!$L:$L,'BSE - Other Index Options'!$C:$C,$A250,'BSE - Other Index Options'!$B:$B,F$147,'BSE - Other Index Options'!$H:$H,"Weekly*")+SUMIFS('BSE - Other Index Options'!$L:$L,'BSE - Other Index Options'!$C:$C,$A250,'BSE - Other Index Options'!$B:$B,F$147,'BSE - Other Index Options'!$H:$H,"MDAW*"))</f>
        <v/>
      </c>
      <c r="G250" s="26" t="str">
        <f>IF(SUMIFS('BSE - SENSEX Index Options'!$L:$L,'BSE - SENSEX Index Options'!$C:$C,$A250,'BSE - SENSEX Index Options'!$B:$B,G$147,'BSE - SENSEX Index Options'!$H:$H,"Weekly*")+SUMIFS('BSE - SENSEX Index Options'!$L:$L,'BSE - SENSEX Index Options'!$C:$C,$A250,'BSE - SENSEX Index Options'!$B:$B,G$147,'BSE - SENSEX Index Options'!$H:$H,"MDAW*")+SUMIFS('BSE - Other Index Options'!$L:$L,'BSE - Other Index Options'!$C:$C,$A250,'BSE - Other Index Options'!$B:$B,G$147,'BSE - Other Index Options'!$H:$H,"Weekly*")+SUMIFS('BSE - Other Index Options'!$L:$L,'BSE - Other Index Options'!$C:$C,$A250,'BSE - Other Index Options'!$B:$B,G$147,'BSE - Other Index Options'!$H:$H,"MDAW*")=0,"",SUMIFS('BSE - SENSEX Index Options'!$L:$L,'BSE - SENSEX Index Options'!$C:$C,$A250,'BSE - SENSEX Index Options'!$B:$B,G$147,'BSE - SENSEX Index Options'!$H:$H,"Weekly*")+SUMIFS('BSE - SENSEX Index Options'!$L:$L,'BSE - SENSEX Index Options'!$C:$C,$A250,'BSE - SENSEX Index Options'!$B:$B,G$147,'BSE - SENSEX Index Options'!$H:$H,"MDAW*")+SUMIFS('BSE - Other Index Options'!$L:$L,'BSE - Other Index Options'!$C:$C,$A250,'BSE - Other Index Options'!$B:$B,G$147,'BSE - Other Index Options'!$H:$H,"Weekly*")+SUMIFS('BSE - Other Index Options'!$L:$L,'BSE - Other Index Options'!$C:$C,$A250,'BSE - Other Index Options'!$B:$B,G$147,'BSE - Other Index Options'!$H:$H,"MDAW*"))</f>
        <v/>
      </c>
      <c r="H250" s="26" t="str">
        <f t="shared" si="9"/>
        <v/>
      </c>
    </row>
    <row r="251" spans="1:8" hidden="1" outlineLevel="1">
      <c r="A251" t="s">
        <v>113</v>
      </c>
      <c r="B251" s="26" t="str">
        <f>IF(SUMIFS('BSE - SENSEX Index Options'!$L:$L,'BSE - SENSEX Index Options'!$C:$C,$A251,'BSE - SENSEX Index Options'!$B:$B,B$147,'BSE - SENSEX Index Options'!$H:$H,"Weekly*")+SUMIFS('BSE - SENSEX Index Options'!$L:$L,'BSE - SENSEX Index Options'!$C:$C,$A251,'BSE - SENSEX Index Options'!$B:$B,B$147,'BSE - SENSEX Index Options'!$H:$H,"MDAW*")+SUMIFS('BSE - Other Index Options'!$L:$L,'BSE - Other Index Options'!$C:$C,$A251,'BSE - Other Index Options'!$B:$B,B$147,'BSE - Other Index Options'!$H:$H,"Weekly*")+SUMIFS('BSE - Other Index Options'!$L:$L,'BSE - Other Index Options'!$C:$C,$A251,'BSE - Other Index Options'!$B:$B,B$147,'BSE - Other Index Options'!$H:$H,"MDAW*")=0,"",SUMIFS('BSE - SENSEX Index Options'!$L:$L,'BSE - SENSEX Index Options'!$C:$C,$A251,'BSE - SENSEX Index Options'!$B:$B,B$147,'BSE - SENSEX Index Options'!$H:$H,"Weekly*")+SUMIFS('BSE - SENSEX Index Options'!$L:$L,'BSE - SENSEX Index Options'!$C:$C,$A251,'BSE - SENSEX Index Options'!$B:$B,B$147,'BSE - SENSEX Index Options'!$H:$H,"MDAW*")+SUMIFS('BSE - Other Index Options'!$L:$L,'BSE - Other Index Options'!$C:$C,$A251,'BSE - Other Index Options'!$B:$B,B$147,'BSE - Other Index Options'!$H:$H,"Weekly*")+SUMIFS('BSE - Other Index Options'!$L:$L,'BSE - Other Index Options'!$C:$C,$A251,'BSE - Other Index Options'!$B:$B,B$147,'BSE - Other Index Options'!$H:$H,"MDAW*"))</f>
        <v/>
      </c>
      <c r="C251" s="26" t="str">
        <f>IF(SUMIFS('BSE - SENSEX Index Options'!$L:$L,'BSE - SENSEX Index Options'!$C:$C,$A251,'BSE - SENSEX Index Options'!$B:$B,C$147,'BSE - SENSEX Index Options'!$H:$H,"Weekly*")+SUMIFS('BSE - SENSEX Index Options'!$L:$L,'BSE - SENSEX Index Options'!$C:$C,$A251,'BSE - SENSEX Index Options'!$B:$B,C$147,'BSE - SENSEX Index Options'!$H:$H,"MDAW*")+SUMIFS('BSE - Other Index Options'!$L:$L,'BSE - Other Index Options'!$C:$C,$A251,'BSE - Other Index Options'!$B:$B,C$147,'BSE - Other Index Options'!$H:$H,"Weekly*")+SUMIFS('BSE - Other Index Options'!$L:$L,'BSE - Other Index Options'!$C:$C,$A251,'BSE - Other Index Options'!$B:$B,C$147,'BSE - Other Index Options'!$H:$H,"MDAW*")=0,"",SUMIFS('BSE - SENSEX Index Options'!$L:$L,'BSE - SENSEX Index Options'!$C:$C,$A251,'BSE - SENSEX Index Options'!$B:$B,C$147,'BSE - SENSEX Index Options'!$H:$H,"Weekly*")+SUMIFS('BSE - SENSEX Index Options'!$L:$L,'BSE - SENSEX Index Options'!$C:$C,$A251,'BSE - SENSEX Index Options'!$B:$B,C$147,'BSE - SENSEX Index Options'!$H:$H,"MDAW*")+SUMIFS('BSE - Other Index Options'!$L:$L,'BSE - Other Index Options'!$C:$C,$A251,'BSE - Other Index Options'!$B:$B,C$147,'BSE - Other Index Options'!$H:$H,"Weekly*")+SUMIFS('BSE - Other Index Options'!$L:$L,'BSE - Other Index Options'!$C:$C,$A251,'BSE - Other Index Options'!$B:$B,C$147,'BSE - Other Index Options'!$H:$H,"MDAW*"))</f>
        <v/>
      </c>
      <c r="D251" s="26" t="str">
        <f>IF(SUMIFS('BSE - SENSEX Index Options'!$L:$L,'BSE - SENSEX Index Options'!$C:$C,$A251,'BSE - SENSEX Index Options'!$B:$B,D$147,'BSE - SENSEX Index Options'!$H:$H,"Weekly*")+SUMIFS('BSE - SENSEX Index Options'!$L:$L,'BSE - SENSEX Index Options'!$C:$C,$A251,'BSE - SENSEX Index Options'!$B:$B,D$147,'BSE - SENSEX Index Options'!$H:$H,"MDAW*")+SUMIFS('BSE - Other Index Options'!$L:$L,'BSE - Other Index Options'!$C:$C,$A251,'BSE - Other Index Options'!$B:$B,D$147,'BSE - Other Index Options'!$H:$H,"Weekly*")+SUMIFS('BSE - Other Index Options'!$L:$L,'BSE - Other Index Options'!$C:$C,$A251,'BSE - Other Index Options'!$B:$B,D$147,'BSE - Other Index Options'!$H:$H,"MDAW*")=0,"",SUMIFS('BSE - SENSEX Index Options'!$L:$L,'BSE - SENSEX Index Options'!$C:$C,$A251,'BSE - SENSEX Index Options'!$B:$B,D$147,'BSE - SENSEX Index Options'!$H:$H,"Weekly*")+SUMIFS('BSE - SENSEX Index Options'!$L:$L,'BSE - SENSEX Index Options'!$C:$C,$A251,'BSE - SENSEX Index Options'!$B:$B,D$147,'BSE - SENSEX Index Options'!$H:$H,"MDAW*")+SUMIFS('BSE - Other Index Options'!$L:$L,'BSE - Other Index Options'!$C:$C,$A251,'BSE - Other Index Options'!$B:$B,D$147,'BSE - Other Index Options'!$H:$H,"Weekly*")+SUMIFS('BSE - Other Index Options'!$L:$L,'BSE - Other Index Options'!$C:$C,$A251,'BSE - Other Index Options'!$B:$B,D$147,'BSE - Other Index Options'!$H:$H,"MDAW*"))</f>
        <v/>
      </c>
      <c r="E251" s="26" t="str">
        <f>IF(SUMIFS('BSE - SENSEX Index Options'!$L:$L,'BSE - SENSEX Index Options'!$C:$C,$A251,'BSE - SENSEX Index Options'!$B:$B,E$147,'BSE - SENSEX Index Options'!$H:$H,"Weekly*")+SUMIFS('BSE - SENSEX Index Options'!$L:$L,'BSE - SENSEX Index Options'!$C:$C,$A251,'BSE - SENSEX Index Options'!$B:$B,E$147,'BSE - SENSEX Index Options'!$H:$H,"MDAW*")+SUMIFS('BSE - Other Index Options'!$L:$L,'BSE - Other Index Options'!$C:$C,$A251,'BSE - Other Index Options'!$B:$B,E$147,'BSE - Other Index Options'!$H:$H,"Weekly*")+SUMIFS('BSE - Other Index Options'!$L:$L,'BSE - Other Index Options'!$C:$C,$A251,'BSE - Other Index Options'!$B:$B,E$147,'BSE - Other Index Options'!$H:$H,"MDAW*")=0,"",SUMIFS('BSE - SENSEX Index Options'!$L:$L,'BSE - SENSEX Index Options'!$C:$C,$A251,'BSE - SENSEX Index Options'!$B:$B,E$147,'BSE - SENSEX Index Options'!$H:$H,"Weekly*")+SUMIFS('BSE - SENSEX Index Options'!$L:$L,'BSE - SENSEX Index Options'!$C:$C,$A251,'BSE - SENSEX Index Options'!$B:$B,E$147,'BSE - SENSEX Index Options'!$H:$H,"MDAW*")+SUMIFS('BSE - Other Index Options'!$L:$L,'BSE - Other Index Options'!$C:$C,$A251,'BSE - Other Index Options'!$B:$B,E$147,'BSE - Other Index Options'!$H:$H,"Weekly*")+SUMIFS('BSE - Other Index Options'!$L:$L,'BSE - Other Index Options'!$C:$C,$A251,'BSE - Other Index Options'!$B:$B,E$147,'BSE - Other Index Options'!$H:$H,"MDAW*"))</f>
        <v/>
      </c>
      <c r="F251" s="26" t="str">
        <f>IF(SUMIFS('BSE - SENSEX Index Options'!$L:$L,'BSE - SENSEX Index Options'!$C:$C,$A251,'BSE - SENSEX Index Options'!$B:$B,F$147,'BSE - SENSEX Index Options'!$H:$H,"Weekly*")+SUMIFS('BSE - SENSEX Index Options'!$L:$L,'BSE - SENSEX Index Options'!$C:$C,$A251,'BSE - SENSEX Index Options'!$B:$B,F$147,'BSE - SENSEX Index Options'!$H:$H,"MDAW*")+SUMIFS('BSE - Other Index Options'!$L:$L,'BSE - Other Index Options'!$C:$C,$A251,'BSE - Other Index Options'!$B:$B,F$147,'BSE - Other Index Options'!$H:$H,"Weekly*")+SUMIFS('BSE - Other Index Options'!$L:$L,'BSE - Other Index Options'!$C:$C,$A251,'BSE - Other Index Options'!$B:$B,F$147,'BSE - Other Index Options'!$H:$H,"MDAW*")=0,"",SUMIFS('BSE - SENSEX Index Options'!$L:$L,'BSE - SENSEX Index Options'!$C:$C,$A251,'BSE - SENSEX Index Options'!$B:$B,F$147,'BSE - SENSEX Index Options'!$H:$H,"Weekly*")+SUMIFS('BSE - SENSEX Index Options'!$L:$L,'BSE - SENSEX Index Options'!$C:$C,$A251,'BSE - SENSEX Index Options'!$B:$B,F$147,'BSE - SENSEX Index Options'!$H:$H,"MDAW*")+SUMIFS('BSE - Other Index Options'!$L:$L,'BSE - Other Index Options'!$C:$C,$A251,'BSE - Other Index Options'!$B:$B,F$147,'BSE - Other Index Options'!$H:$H,"Weekly*")+SUMIFS('BSE - Other Index Options'!$L:$L,'BSE - Other Index Options'!$C:$C,$A251,'BSE - Other Index Options'!$B:$B,F$147,'BSE - Other Index Options'!$H:$H,"MDAW*"))</f>
        <v/>
      </c>
      <c r="G251" s="26" t="str">
        <f>IF(SUMIFS('BSE - SENSEX Index Options'!$L:$L,'BSE - SENSEX Index Options'!$C:$C,$A251,'BSE - SENSEX Index Options'!$B:$B,G$147,'BSE - SENSEX Index Options'!$H:$H,"Weekly*")+SUMIFS('BSE - SENSEX Index Options'!$L:$L,'BSE - SENSEX Index Options'!$C:$C,$A251,'BSE - SENSEX Index Options'!$B:$B,G$147,'BSE - SENSEX Index Options'!$H:$H,"MDAW*")+SUMIFS('BSE - Other Index Options'!$L:$L,'BSE - Other Index Options'!$C:$C,$A251,'BSE - Other Index Options'!$B:$B,G$147,'BSE - Other Index Options'!$H:$H,"Weekly*")+SUMIFS('BSE - Other Index Options'!$L:$L,'BSE - Other Index Options'!$C:$C,$A251,'BSE - Other Index Options'!$B:$B,G$147,'BSE - Other Index Options'!$H:$H,"MDAW*")=0,"",SUMIFS('BSE - SENSEX Index Options'!$L:$L,'BSE - SENSEX Index Options'!$C:$C,$A251,'BSE - SENSEX Index Options'!$B:$B,G$147,'BSE - SENSEX Index Options'!$H:$H,"Weekly*")+SUMIFS('BSE - SENSEX Index Options'!$L:$L,'BSE - SENSEX Index Options'!$C:$C,$A251,'BSE - SENSEX Index Options'!$B:$B,G$147,'BSE - SENSEX Index Options'!$H:$H,"MDAW*")+SUMIFS('BSE - Other Index Options'!$L:$L,'BSE - Other Index Options'!$C:$C,$A251,'BSE - Other Index Options'!$B:$B,G$147,'BSE - Other Index Options'!$H:$H,"Weekly*")+SUMIFS('BSE - Other Index Options'!$L:$L,'BSE - Other Index Options'!$C:$C,$A251,'BSE - Other Index Options'!$B:$B,G$147,'BSE - Other Index Options'!$H:$H,"MDAW*"))</f>
        <v/>
      </c>
      <c r="H251" s="26" t="str">
        <f t="shared" si="9"/>
        <v/>
      </c>
    </row>
    <row r="252" spans="1:8" hidden="1" outlineLevel="1">
      <c r="A252" t="s">
        <v>114</v>
      </c>
      <c r="B252" s="26" t="str">
        <f>IF(SUMIFS('BSE - SENSEX Index Options'!$L:$L,'BSE - SENSEX Index Options'!$C:$C,$A252,'BSE - SENSEX Index Options'!$B:$B,B$147,'BSE - SENSEX Index Options'!$H:$H,"Weekly*")+SUMIFS('BSE - SENSEX Index Options'!$L:$L,'BSE - SENSEX Index Options'!$C:$C,$A252,'BSE - SENSEX Index Options'!$B:$B,B$147,'BSE - SENSEX Index Options'!$H:$H,"MDAW*")+SUMIFS('BSE - Other Index Options'!$L:$L,'BSE - Other Index Options'!$C:$C,$A252,'BSE - Other Index Options'!$B:$B,B$147,'BSE - Other Index Options'!$H:$H,"Weekly*")+SUMIFS('BSE - Other Index Options'!$L:$L,'BSE - Other Index Options'!$C:$C,$A252,'BSE - Other Index Options'!$B:$B,B$147,'BSE - Other Index Options'!$H:$H,"MDAW*")=0,"",SUMIFS('BSE - SENSEX Index Options'!$L:$L,'BSE - SENSEX Index Options'!$C:$C,$A252,'BSE - SENSEX Index Options'!$B:$B,B$147,'BSE - SENSEX Index Options'!$H:$H,"Weekly*")+SUMIFS('BSE - SENSEX Index Options'!$L:$L,'BSE - SENSEX Index Options'!$C:$C,$A252,'BSE - SENSEX Index Options'!$B:$B,B$147,'BSE - SENSEX Index Options'!$H:$H,"MDAW*")+SUMIFS('BSE - Other Index Options'!$L:$L,'BSE - Other Index Options'!$C:$C,$A252,'BSE - Other Index Options'!$B:$B,B$147,'BSE - Other Index Options'!$H:$H,"Weekly*")+SUMIFS('BSE - Other Index Options'!$L:$L,'BSE - Other Index Options'!$C:$C,$A252,'BSE - Other Index Options'!$B:$B,B$147,'BSE - Other Index Options'!$H:$H,"MDAW*"))</f>
        <v/>
      </c>
      <c r="C252" s="26" t="str">
        <f>IF(SUMIFS('BSE - SENSEX Index Options'!$L:$L,'BSE - SENSEX Index Options'!$C:$C,$A252,'BSE - SENSEX Index Options'!$B:$B,C$147,'BSE - SENSEX Index Options'!$H:$H,"Weekly*")+SUMIFS('BSE - SENSEX Index Options'!$L:$L,'BSE - SENSEX Index Options'!$C:$C,$A252,'BSE - SENSEX Index Options'!$B:$B,C$147,'BSE - SENSEX Index Options'!$H:$H,"MDAW*")+SUMIFS('BSE - Other Index Options'!$L:$L,'BSE - Other Index Options'!$C:$C,$A252,'BSE - Other Index Options'!$B:$B,C$147,'BSE - Other Index Options'!$H:$H,"Weekly*")+SUMIFS('BSE - Other Index Options'!$L:$L,'BSE - Other Index Options'!$C:$C,$A252,'BSE - Other Index Options'!$B:$B,C$147,'BSE - Other Index Options'!$H:$H,"MDAW*")=0,"",SUMIFS('BSE - SENSEX Index Options'!$L:$L,'BSE - SENSEX Index Options'!$C:$C,$A252,'BSE - SENSEX Index Options'!$B:$B,C$147,'BSE - SENSEX Index Options'!$H:$H,"Weekly*")+SUMIFS('BSE - SENSEX Index Options'!$L:$L,'BSE - SENSEX Index Options'!$C:$C,$A252,'BSE - SENSEX Index Options'!$B:$B,C$147,'BSE - SENSEX Index Options'!$H:$H,"MDAW*")+SUMIFS('BSE - Other Index Options'!$L:$L,'BSE - Other Index Options'!$C:$C,$A252,'BSE - Other Index Options'!$B:$B,C$147,'BSE - Other Index Options'!$H:$H,"Weekly*")+SUMIFS('BSE - Other Index Options'!$L:$L,'BSE - Other Index Options'!$C:$C,$A252,'BSE - Other Index Options'!$B:$B,C$147,'BSE - Other Index Options'!$H:$H,"MDAW*"))</f>
        <v/>
      </c>
      <c r="D252" s="26" t="str">
        <f>IF(SUMIFS('BSE - SENSEX Index Options'!$L:$L,'BSE - SENSEX Index Options'!$C:$C,$A252,'BSE - SENSEX Index Options'!$B:$B,D$147,'BSE - SENSEX Index Options'!$H:$H,"Weekly*")+SUMIFS('BSE - SENSEX Index Options'!$L:$L,'BSE - SENSEX Index Options'!$C:$C,$A252,'BSE - SENSEX Index Options'!$B:$B,D$147,'BSE - SENSEX Index Options'!$H:$H,"MDAW*")+SUMIFS('BSE - Other Index Options'!$L:$L,'BSE - Other Index Options'!$C:$C,$A252,'BSE - Other Index Options'!$B:$B,D$147,'BSE - Other Index Options'!$H:$H,"Weekly*")+SUMIFS('BSE - Other Index Options'!$L:$L,'BSE - Other Index Options'!$C:$C,$A252,'BSE - Other Index Options'!$B:$B,D$147,'BSE - Other Index Options'!$H:$H,"MDAW*")=0,"",SUMIFS('BSE - SENSEX Index Options'!$L:$L,'BSE - SENSEX Index Options'!$C:$C,$A252,'BSE - SENSEX Index Options'!$B:$B,D$147,'BSE - SENSEX Index Options'!$H:$H,"Weekly*")+SUMIFS('BSE - SENSEX Index Options'!$L:$L,'BSE - SENSEX Index Options'!$C:$C,$A252,'BSE - SENSEX Index Options'!$B:$B,D$147,'BSE - SENSEX Index Options'!$H:$H,"MDAW*")+SUMIFS('BSE - Other Index Options'!$L:$L,'BSE - Other Index Options'!$C:$C,$A252,'BSE - Other Index Options'!$B:$B,D$147,'BSE - Other Index Options'!$H:$H,"Weekly*")+SUMIFS('BSE - Other Index Options'!$L:$L,'BSE - Other Index Options'!$C:$C,$A252,'BSE - Other Index Options'!$B:$B,D$147,'BSE - Other Index Options'!$H:$H,"MDAW*"))</f>
        <v/>
      </c>
      <c r="E252" s="26" t="str">
        <f>IF(SUMIFS('BSE - SENSEX Index Options'!$L:$L,'BSE - SENSEX Index Options'!$C:$C,$A252,'BSE - SENSEX Index Options'!$B:$B,E$147,'BSE - SENSEX Index Options'!$H:$H,"Weekly*")+SUMIFS('BSE - SENSEX Index Options'!$L:$L,'BSE - SENSEX Index Options'!$C:$C,$A252,'BSE - SENSEX Index Options'!$B:$B,E$147,'BSE - SENSEX Index Options'!$H:$H,"MDAW*")+SUMIFS('BSE - Other Index Options'!$L:$L,'BSE - Other Index Options'!$C:$C,$A252,'BSE - Other Index Options'!$B:$B,E$147,'BSE - Other Index Options'!$H:$H,"Weekly*")+SUMIFS('BSE - Other Index Options'!$L:$L,'BSE - Other Index Options'!$C:$C,$A252,'BSE - Other Index Options'!$B:$B,E$147,'BSE - Other Index Options'!$H:$H,"MDAW*")=0,"",SUMIFS('BSE - SENSEX Index Options'!$L:$L,'BSE - SENSEX Index Options'!$C:$C,$A252,'BSE - SENSEX Index Options'!$B:$B,E$147,'BSE - SENSEX Index Options'!$H:$H,"Weekly*")+SUMIFS('BSE - SENSEX Index Options'!$L:$L,'BSE - SENSEX Index Options'!$C:$C,$A252,'BSE - SENSEX Index Options'!$B:$B,E$147,'BSE - SENSEX Index Options'!$H:$H,"MDAW*")+SUMIFS('BSE - Other Index Options'!$L:$L,'BSE - Other Index Options'!$C:$C,$A252,'BSE - Other Index Options'!$B:$B,E$147,'BSE - Other Index Options'!$H:$H,"Weekly*")+SUMIFS('BSE - Other Index Options'!$L:$L,'BSE - Other Index Options'!$C:$C,$A252,'BSE - Other Index Options'!$B:$B,E$147,'BSE - Other Index Options'!$H:$H,"MDAW*"))</f>
        <v/>
      </c>
      <c r="F252" s="26" t="str">
        <f>IF(SUMIFS('BSE - SENSEX Index Options'!$L:$L,'BSE - SENSEX Index Options'!$C:$C,$A252,'BSE - SENSEX Index Options'!$B:$B,F$147,'BSE - SENSEX Index Options'!$H:$H,"Weekly*")+SUMIFS('BSE - SENSEX Index Options'!$L:$L,'BSE - SENSEX Index Options'!$C:$C,$A252,'BSE - SENSEX Index Options'!$B:$B,F$147,'BSE - SENSEX Index Options'!$H:$H,"MDAW*")+SUMIFS('BSE - Other Index Options'!$L:$L,'BSE - Other Index Options'!$C:$C,$A252,'BSE - Other Index Options'!$B:$B,F$147,'BSE - Other Index Options'!$H:$H,"Weekly*")+SUMIFS('BSE - Other Index Options'!$L:$L,'BSE - Other Index Options'!$C:$C,$A252,'BSE - Other Index Options'!$B:$B,F$147,'BSE - Other Index Options'!$H:$H,"MDAW*")=0,"",SUMIFS('BSE - SENSEX Index Options'!$L:$L,'BSE - SENSEX Index Options'!$C:$C,$A252,'BSE - SENSEX Index Options'!$B:$B,F$147,'BSE - SENSEX Index Options'!$H:$H,"Weekly*")+SUMIFS('BSE - SENSEX Index Options'!$L:$L,'BSE - SENSEX Index Options'!$C:$C,$A252,'BSE - SENSEX Index Options'!$B:$B,F$147,'BSE - SENSEX Index Options'!$H:$H,"MDAW*")+SUMIFS('BSE - Other Index Options'!$L:$L,'BSE - Other Index Options'!$C:$C,$A252,'BSE - Other Index Options'!$B:$B,F$147,'BSE - Other Index Options'!$H:$H,"Weekly*")+SUMIFS('BSE - Other Index Options'!$L:$L,'BSE - Other Index Options'!$C:$C,$A252,'BSE - Other Index Options'!$B:$B,F$147,'BSE - Other Index Options'!$H:$H,"MDAW*"))</f>
        <v/>
      </c>
      <c r="G252" s="26" t="str">
        <f>IF(SUMIFS('BSE - SENSEX Index Options'!$L:$L,'BSE - SENSEX Index Options'!$C:$C,$A252,'BSE - SENSEX Index Options'!$B:$B,G$147,'BSE - SENSEX Index Options'!$H:$H,"Weekly*")+SUMIFS('BSE - SENSEX Index Options'!$L:$L,'BSE - SENSEX Index Options'!$C:$C,$A252,'BSE - SENSEX Index Options'!$B:$B,G$147,'BSE - SENSEX Index Options'!$H:$H,"MDAW*")+SUMIFS('BSE - Other Index Options'!$L:$L,'BSE - Other Index Options'!$C:$C,$A252,'BSE - Other Index Options'!$B:$B,G$147,'BSE - Other Index Options'!$H:$H,"Weekly*")+SUMIFS('BSE - Other Index Options'!$L:$L,'BSE - Other Index Options'!$C:$C,$A252,'BSE - Other Index Options'!$B:$B,G$147,'BSE - Other Index Options'!$H:$H,"MDAW*")=0,"",SUMIFS('BSE - SENSEX Index Options'!$L:$L,'BSE - SENSEX Index Options'!$C:$C,$A252,'BSE - SENSEX Index Options'!$B:$B,G$147,'BSE - SENSEX Index Options'!$H:$H,"Weekly*")+SUMIFS('BSE - SENSEX Index Options'!$L:$L,'BSE - SENSEX Index Options'!$C:$C,$A252,'BSE - SENSEX Index Options'!$B:$B,G$147,'BSE - SENSEX Index Options'!$H:$H,"MDAW*")+SUMIFS('BSE - Other Index Options'!$L:$L,'BSE - Other Index Options'!$C:$C,$A252,'BSE - Other Index Options'!$B:$B,G$147,'BSE - Other Index Options'!$H:$H,"Weekly*")+SUMIFS('BSE - Other Index Options'!$L:$L,'BSE - Other Index Options'!$C:$C,$A252,'BSE - Other Index Options'!$B:$B,G$147,'BSE - Other Index Options'!$H:$H,"MDAW*"))</f>
        <v/>
      </c>
      <c r="H252" s="26" t="str">
        <f t="shared" si="9"/>
        <v/>
      </c>
    </row>
    <row r="253" spans="1:8" hidden="1" outlineLevel="1">
      <c r="A253" t="s">
        <v>115</v>
      </c>
      <c r="B253" s="26" t="str">
        <f>IF(SUMIFS('BSE - SENSEX Index Options'!$L:$L,'BSE - SENSEX Index Options'!$C:$C,$A253,'BSE - SENSEX Index Options'!$B:$B,B$147,'BSE - SENSEX Index Options'!$H:$H,"Weekly*")+SUMIFS('BSE - SENSEX Index Options'!$L:$L,'BSE - SENSEX Index Options'!$C:$C,$A253,'BSE - SENSEX Index Options'!$B:$B,B$147,'BSE - SENSEX Index Options'!$H:$H,"MDAW*")+SUMIFS('BSE - Other Index Options'!$L:$L,'BSE - Other Index Options'!$C:$C,$A253,'BSE - Other Index Options'!$B:$B,B$147,'BSE - Other Index Options'!$H:$H,"Weekly*")+SUMIFS('BSE - Other Index Options'!$L:$L,'BSE - Other Index Options'!$C:$C,$A253,'BSE - Other Index Options'!$B:$B,B$147,'BSE - Other Index Options'!$H:$H,"MDAW*")=0,"",SUMIFS('BSE - SENSEX Index Options'!$L:$L,'BSE - SENSEX Index Options'!$C:$C,$A253,'BSE - SENSEX Index Options'!$B:$B,B$147,'BSE - SENSEX Index Options'!$H:$H,"Weekly*")+SUMIFS('BSE - SENSEX Index Options'!$L:$L,'BSE - SENSEX Index Options'!$C:$C,$A253,'BSE - SENSEX Index Options'!$B:$B,B$147,'BSE - SENSEX Index Options'!$H:$H,"MDAW*")+SUMIFS('BSE - Other Index Options'!$L:$L,'BSE - Other Index Options'!$C:$C,$A253,'BSE - Other Index Options'!$B:$B,B$147,'BSE - Other Index Options'!$H:$H,"Weekly*")+SUMIFS('BSE - Other Index Options'!$L:$L,'BSE - Other Index Options'!$C:$C,$A253,'BSE - Other Index Options'!$B:$B,B$147,'BSE - Other Index Options'!$H:$H,"MDAW*"))</f>
        <v/>
      </c>
      <c r="C253" s="26" t="str">
        <f>IF(SUMIFS('BSE - SENSEX Index Options'!$L:$L,'BSE - SENSEX Index Options'!$C:$C,$A253,'BSE - SENSEX Index Options'!$B:$B,C$147,'BSE - SENSEX Index Options'!$H:$H,"Weekly*")+SUMIFS('BSE - SENSEX Index Options'!$L:$L,'BSE - SENSEX Index Options'!$C:$C,$A253,'BSE - SENSEX Index Options'!$B:$B,C$147,'BSE - SENSEX Index Options'!$H:$H,"MDAW*")+SUMIFS('BSE - Other Index Options'!$L:$L,'BSE - Other Index Options'!$C:$C,$A253,'BSE - Other Index Options'!$B:$B,C$147,'BSE - Other Index Options'!$H:$H,"Weekly*")+SUMIFS('BSE - Other Index Options'!$L:$L,'BSE - Other Index Options'!$C:$C,$A253,'BSE - Other Index Options'!$B:$B,C$147,'BSE - Other Index Options'!$H:$H,"MDAW*")=0,"",SUMIFS('BSE - SENSEX Index Options'!$L:$L,'BSE - SENSEX Index Options'!$C:$C,$A253,'BSE - SENSEX Index Options'!$B:$B,C$147,'BSE - SENSEX Index Options'!$H:$H,"Weekly*")+SUMIFS('BSE - SENSEX Index Options'!$L:$L,'BSE - SENSEX Index Options'!$C:$C,$A253,'BSE - SENSEX Index Options'!$B:$B,C$147,'BSE - SENSEX Index Options'!$H:$H,"MDAW*")+SUMIFS('BSE - Other Index Options'!$L:$L,'BSE - Other Index Options'!$C:$C,$A253,'BSE - Other Index Options'!$B:$B,C$147,'BSE - Other Index Options'!$H:$H,"Weekly*")+SUMIFS('BSE - Other Index Options'!$L:$L,'BSE - Other Index Options'!$C:$C,$A253,'BSE - Other Index Options'!$B:$B,C$147,'BSE - Other Index Options'!$H:$H,"MDAW*"))</f>
        <v/>
      </c>
      <c r="D253" s="26" t="str">
        <f>IF(SUMIFS('BSE - SENSEX Index Options'!$L:$L,'BSE - SENSEX Index Options'!$C:$C,$A253,'BSE - SENSEX Index Options'!$B:$B,D$147,'BSE - SENSEX Index Options'!$H:$H,"Weekly*")+SUMIFS('BSE - SENSEX Index Options'!$L:$L,'BSE - SENSEX Index Options'!$C:$C,$A253,'BSE - SENSEX Index Options'!$B:$B,D$147,'BSE - SENSEX Index Options'!$H:$H,"MDAW*")+SUMIFS('BSE - Other Index Options'!$L:$L,'BSE - Other Index Options'!$C:$C,$A253,'BSE - Other Index Options'!$B:$B,D$147,'BSE - Other Index Options'!$H:$H,"Weekly*")+SUMIFS('BSE - Other Index Options'!$L:$L,'BSE - Other Index Options'!$C:$C,$A253,'BSE - Other Index Options'!$B:$B,D$147,'BSE - Other Index Options'!$H:$H,"MDAW*")=0,"",SUMIFS('BSE - SENSEX Index Options'!$L:$L,'BSE - SENSEX Index Options'!$C:$C,$A253,'BSE - SENSEX Index Options'!$B:$B,D$147,'BSE - SENSEX Index Options'!$H:$H,"Weekly*")+SUMIFS('BSE - SENSEX Index Options'!$L:$L,'BSE - SENSEX Index Options'!$C:$C,$A253,'BSE - SENSEX Index Options'!$B:$B,D$147,'BSE - SENSEX Index Options'!$H:$H,"MDAW*")+SUMIFS('BSE - Other Index Options'!$L:$L,'BSE - Other Index Options'!$C:$C,$A253,'BSE - Other Index Options'!$B:$B,D$147,'BSE - Other Index Options'!$H:$H,"Weekly*")+SUMIFS('BSE - Other Index Options'!$L:$L,'BSE - Other Index Options'!$C:$C,$A253,'BSE - Other Index Options'!$B:$B,D$147,'BSE - Other Index Options'!$H:$H,"MDAW*"))</f>
        <v/>
      </c>
      <c r="E253" s="26" t="str">
        <f>IF(SUMIFS('BSE - SENSEX Index Options'!$L:$L,'BSE - SENSEX Index Options'!$C:$C,$A253,'BSE - SENSEX Index Options'!$B:$B,E$147,'BSE - SENSEX Index Options'!$H:$H,"Weekly*")+SUMIFS('BSE - SENSEX Index Options'!$L:$L,'BSE - SENSEX Index Options'!$C:$C,$A253,'BSE - SENSEX Index Options'!$B:$B,E$147,'BSE - SENSEX Index Options'!$H:$H,"MDAW*")+SUMIFS('BSE - Other Index Options'!$L:$L,'BSE - Other Index Options'!$C:$C,$A253,'BSE - Other Index Options'!$B:$B,E$147,'BSE - Other Index Options'!$H:$H,"Weekly*")+SUMIFS('BSE - Other Index Options'!$L:$L,'BSE - Other Index Options'!$C:$C,$A253,'BSE - Other Index Options'!$B:$B,E$147,'BSE - Other Index Options'!$H:$H,"MDAW*")=0,"",SUMIFS('BSE - SENSEX Index Options'!$L:$L,'BSE - SENSEX Index Options'!$C:$C,$A253,'BSE - SENSEX Index Options'!$B:$B,E$147,'BSE - SENSEX Index Options'!$H:$H,"Weekly*")+SUMIFS('BSE - SENSEX Index Options'!$L:$L,'BSE - SENSEX Index Options'!$C:$C,$A253,'BSE - SENSEX Index Options'!$B:$B,E$147,'BSE - SENSEX Index Options'!$H:$H,"MDAW*")+SUMIFS('BSE - Other Index Options'!$L:$L,'BSE - Other Index Options'!$C:$C,$A253,'BSE - Other Index Options'!$B:$B,E$147,'BSE - Other Index Options'!$H:$H,"Weekly*")+SUMIFS('BSE - Other Index Options'!$L:$L,'BSE - Other Index Options'!$C:$C,$A253,'BSE - Other Index Options'!$B:$B,E$147,'BSE - Other Index Options'!$H:$H,"MDAW*"))</f>
        <v/>
      </c>
      <c r="F253" s="26" t="str">
        <f>IF(SUMIFS('BSE - SENSEX Index Options'!$L:$L,'BSE - SENSEX Index Options'!$C:$C,$A253,'BSE - SENSEX Index Options'!$B:$B,F$147,'BSE - SENSEX Index Options'!$H:$H,"Weekly*")+SUMIFS('BSE - SENSEX Index Options'!$L:$L,'BSE - SENSEX Index Options'!$C:$C,$A253,'BSE - SENSEX Index Options'!$B:$B,F$147,'BSE - SENSEX Index Options'!$H:$H,"MDAW*")+SUMIFS('BSE - Other Index Options'!$L:$L,'BSE - Other Index Options'!$C:$C,$A253,'BSE - Other Index Options'!$B:$B,F$147,'BSE - Other Index Options'!$H:$H,"Weekly*")+SUMIFS('BSE - Other Index Options'!$L:$L,'BSE - Other Index Options'!$C:$C,$A253,'BSE - Other Index Options'!$B:$B,F$147,'BSE - Other Index Options'!$H:$H,"MDAW*")=0,"",SUMIFS('BSE - SENSEX Index Options'!$L:$L,'BSE - SENSEX Index Options'!$C:$C,$A253,'BSE - SENSEX Index Options'!$B:$B,F$147,'BSE - SENSEX Index Options'!$H:$H,"Weekly*")+SUMIFS('BSE - SENSEX Index Options'!$L:$L,'BSE - SENSEX Index Options'!$C:$C,$A253,'BSE - SENSEX Index Options'!$B:$B,F$147,'BSE - SENSEX Index Options'!$H:$H,"MDAW*")+SUMIFS('BSE - Other Index Options'!$L:$L,'BSE - Other Index Options'!$C:$C,$A253,'BSE - Other Index Options'!$B:$B,F$147,'BSE - Other Index Options'!$H:$H,"Weekly*")+SUMIFS('BSE - Other Index Options'!$L:$L,'BSE - Other Index Options'!$C:$C,$A253,'BSE - Other Index Options'!$B:$B,F$147,'BSE - Other Index Options'!$H:$H,"MDAW*"))</f>
        <v/>
      </c>
      <c r="G253" s="26" t="str">
        <f>IF(SUMIFS('BSE - SENSEX Index Options'!$L:$L,'BSE - SENSEX Index Options'!$C:$C,$A253,'BSE - SENSEX Index Options'!$B:$B,G$147,'BSE - SENSEX Index Options'!$H:$H,"Weekly*")+SUMIFS('BSE - SENSEX Index Options'!$L:$L,'BSE - SENSEX Index Options'!$C:$C,$A253,'BSE - SENSEX Index Options'!$B:$B,G$147,'BSE - SENSEX Index Options'!$H:$H,"MDAW*")+SUMIFS('BSE - Other Index Options'!$L:$L,'BSE - Other Index Options'!$C:$C,$A253,'BSE - Other Index Options'!$B:$B,G$147,'BSE - Other Index Options'!$H:$H,"Weekly*")+SUMIFS('BSE - Other Index Options'!$L:$L,'BSE - Other Index Options'!$C:$C,$A253,'BSE - Other Index Options'!$B:$B,G$147,'BSE - Other Index Options'!$H:$H,"MDAW*")=0,"",SUMIFS('BSE - SENSEX Index Options'!$L:$L,'BSE - SENSEX Index Options'!$C:$C,$A253,'BSE - SENSEX Index Options'!$B:$B,G$147,'BSE - SENSEX Index Options'!$H:$H,"Weekly*")+SUMIFS('BSE - SENSEX Index Options'!$L:$L,'BSE - SENSEX Index Options'!$C:$C,$A253,'BSE - SENSEX Index Options'!$B:$B,G$147,'BSE - SENSEX Index Options'!$H:$H,"MDAW*")+SUMIFS('BSE - Other Index Options'!$L:$L,'BSE - Other Index Options'!$C:$C,$A253,'BSE - Other Index Options'!$B:$B,G$147,'BSE - Other Index Options'!$H:$H,"Weekly*")+SUMIFS('BSE - Other Index Options'!$L:$L,'BSE - Other Index Options'!$C:$C,$A253,'BSE - Other Index Options'!$B:$B,G$147,'BSE - Other Index Options'!$H:$H,"MDAW*"))</f>
        <v/>
      </c>
      <c r="H253" s="26" t="str">
        <f t="shared" si="9"/>
        <v/>
      </c>
    </row>
    <row r="254" spans="1:8" hidden="1" outlineLevel="1">
      <c r="A254" t="s">
        <v>116</v>
      </c>
      <c r="B254" s="26" t="str">
        <f>IF(SUMIFS('BSE - SENSEX Index Options'!$L:$L,'BSE - SENSEX Index Options'!$C:$C,$A254,'BSE - SENSEX Index Options'!$B:$B,B$147,'BSE - SENSEX Index Options'!$H:$H,"Weekly*")+SUMIFS('BSE - SENSEX Index Options'!$L:$L,'BSE - SENSEX Index Options'!$C:$C,$A254,'BSE - SENSEX Index Options'!$B:$B,B$147,'BSE - SENSEX Index Options'!$H:$H,"MDAW*")+SUMIFS('BSE - Other Index Options'!$L:$L,'BSE - Other Index Options'!$C:$C,$A254,'BSE - Other Index Options'!$B:$B,B$147,'BSE - Other Index Options'!$H:$H,"Weekly*")+SUMIFS('BSE - Other Index Options'!$L:$L,'BSE - Other Index Options'!$C:$C,$A254,'BSE - Other Index Options'!$B:$B,B$147,'BSE - Other Index Options'!$H:$H,"MDAW*")=0,"",SUMIFS('BSE - SENSEX Index Options'!$L:$L,'BSE - SENSEX Index Options'!$C:$C,$A254,'BSE - SENSEX Index Options'!$B:$B,B$147,'BSE - SENSEX Index Options'!$H:$H,"Weekly*")+SUMIFS('BSE - SENSEX Index Options'!$L:$L,'BSE - SENSEX Index Options'!$C:$C,$A254,'BSE - SENSEX Index Options'!$B:$B,B$147,'BSE - SENSEX Index Options'!$H:$H,"MDAW*")+SUMIFS('BSE - Other Index Options'!$L:$L,'BSE - Other Index Options'!$C:$C,$A254,'BSE - Other Index Options'!$B:$B,B$147,'BSE - Other Index Options'!$H:$H,"Weekly*")+SUMIFS('BSE - Other Index Options'!$L:$L,'BSE - Other Index Options'!$C:$C,$A254,'BSE - Other Index Options'!$B:$B,B$147,'BSE - Other Index Options'!$H:$H,"MDAW*"))</f>
        <v/>
      </c>
      <c r="C254" s="26" t="str">
        <f>IF(SUMIFS('BSE - SENSEX Index Options'!$L:$L,'BSE - SENSEX Index Options'!$C:$C,$A254,'BSE - SENSEX Index Options'!$B:$B,C$147,'BSE - SENSEX Index Options'!$H:$H,"Weekly*")+SUMIFS('BSE - SENSEX Index Options'!$L:$L,'BSE - SENSEX Index Options'!$C:$C,$A254,'BSE - SENSEX Index Options'!$B:$B,C$147,'BSE - SENSEX Index Options'!$H:$H,"MDAW*")+SUMIFS('BSE - Other Index Options'!$L:$L,'BSE - Other Index Options'!$C:$C,$A254,'BSE - Other Index Options'!$B:$B,C$147,'BSE - Other Index Options'!$H:$H,"Weekly*")+SUMIFS('BSE - Other Index Options'!$L:$L,'BSE - Other Index Options'!$C:$C,$A254,'BSE - Other Index Options'!$B:$B,C$147,'BSE - Other Index Options'!$H:$H,"MDAW*")=0,"",SUMIFS('BSE - SENSEX Index Options'!$L:$L,'BSE - SENSEX Index Options'!$C:$C,$A254,'BSE - SENSEX Index Options'!$B:$B,C$147,'BSE - SENSEX Index Options'!$H:$H,"Weekly*")+SUMIFS('BSE - SENSEX Index Options'!$L:$L,'BSE - SENSEX Index Options'!$C:$C,$A254,'BSE - SENSEX Index Options'!$B:$B,C$147,'BSE - SENSEX Index Options'!$H:$H,"MDAW*")+SUMIFS('BSE - Other Index Options'!$L:$L,'BSE - Other Index Options'!$C:$C,$A254,'BSE - Other Index Options'!$B:$B,C$147,'BSE - Other Index Options'!$H:$H,"Weekly*")+SUMIFS('BSE - Other Index Options'!$L:$L,'BSE - Other Index Options'!$C:$C,$A254,'BSE - Other Index Options'!$B:$B,C$147,'BSE - Other Index Options'!$H:$H,"MDAW*"))</f>
        <v/>
      </c>
      <c r="D254" s="26" t="str">
        <f>IF(SUMIFS('BSE - SENSEX Index Options'!$L:$L,'BSE - SENSEX Index Options'!$C:$C,$A254,'BSE - SENSEX Index Options'!$B:$B,D$147,'BSE - SENSEX Index Options'!$H:$H,"Weekly*")+SUMIFS('BSE - SENSEX Index Options'!$L:$L,'BSE - SENSEX Index Options'!$C:$C,$A254,'BSE - SENSEX Index Options'!$B:$B,D$147,'BSE - SENSEX Index Options'!$H:$H,"MDAW*")+SUMIFS('BSE - Other Index Options'!$L:$L,'BSE - Other Index Options'!$C:$C,$A254,'BSE - Other Index Options'!$B:$B,D$147,'BSE - Other Index Options'!$H:$H,"Weekly*")+SUMIFS('BSE - Other Index Options'!$L:$L,'BSE - Other Index Options'!$C:$C,$A254,'BSE - Other Index Options'!$B:$B,D$147,'BSE - Other Index Options'!$H:$H,"MDAW*")=0,"",SUMIFS('BSE - SENSEX Index Options'!$L:$L,'BSE - SENSEX Index Options'!$C:$C,$A254,'BSE - SENSEX Index Options'!$B:$B,D$147,'BSE - SENSEX Index Options'!$H:$H,"Weekly*")+SUMIFS('BSE - SENSEX Index Options'!$L:$L,'BSE - SENSEX Index Options'!$C:$C,$A254,'BSE - SENSEX Index Options'!$B:$B,D$147,'BSE - SENSEX Index Options'!$H:$H,"MDAW*")+SUMIFS('BSE - Other Index Options'!$L:$L,'BSE - Other Index Options'!$C:$C,$A254,'BSE - Other Index Options'!$B:$B,D$147,'BSE - Other Index Options'!$H:$H,"Weekly*")+SUMIFS('BSE - Other Index Options'!$L:$L,'BSE - Other Index Options'!$C:$C,$A254,'BSE - Other Index Options'!$B:$B,D$147,'BSE - Other Index Options'!$H:$H,"MDAW*"))</f>
        <v/>
      </c>
      <c r="E254" s="26" t="str">
        <f>IF(SUMIFS('BSE - SENSEX Index Options'!$L:$L,'BSE - SENSEX Index Options'!$C:$C,$A254,'BSE - SENSEX Index Options'!$B:$B,E$147,'BSE - SENSEX Index Options'!$H:$H,"Weekly*")+SUMIFS('BSE - SENSEX Index Options'!$L:$L,'BSE - SENSEX Index Options'!$C:$C,$A254,'BSE - SENSEX Index Options'!$B:$B,E$147,'BSE - SENSEX Index Options'!$H:$H,"MDAW*")+SUMIFS('BSE - Other Index Options'!$L:$L,'BSE - Other Index Options'!$C:$C,$A254,'BSE - Other Index Options'!$B:$B,E$147,'BSE - Other Index Options'!$H:$H,"Weekly*")+SUMIFS('BSE - Other Index Options'!$L:$L,'BSE - Other Index Options'!$C:$C,$A254,'BSE - Other Index Options'!$B:$B,E$147,'BSE - Other Index Options'!$H:$H,"MDAW*")=0,"",SUMIFS('BSE - SENSEX Index Options'!$L:$L,'BSE - SENSEX Index Options'!$C:$C,$A254,'BSE - SENSEX Index Options'!$B:$B,E$147,'BSE - SENSEX Index Options'!$H:$H,"Weekly*")+SUMIFS('BSE - SENSEX Index Options'!$L:$L,'BSE - SENSEX Index Options'!$C:$C,$A254,'BSE - SENSEX Index Options'!$B:$B,E$147,'BSE - SENSEX Index Options'!$H:$H,"MDAW*")+SUMIFS('BSE - Other Index Options'!$L:$L,'BSE - Other Index Options'!$C:$C,$A254,'BSE - Other Index Options'!$B:$B,E$147,'BSE - Other Index Options'!$H:$H,"Weekly*")+SUMIFS('BSE - Other Index Options'!$L:$L,'BSE - Other Index Options'!$C:$C,$A254,'BSE - Other Index Options'!$B:$B,E$147,'BSE - Other Index Options'!$H:$H,"MDAW*"))</f>
        <v/>
      </c>
      <c r="F254" s="26" t="str">
        <f>IF(SUMIFS('BSE - SENSEX Index Options'!$L:$L,'BSE - SENSEX Index Options'!$C:$C,$A254,'BSE - SENSEX Index Options'!$B:$B,F$147,'BSE - SENSEX Index Options'!$H:$H,"Weekly*")+SUMIFS('BSE - SENSEX Index Options'!$L:$L,'BSE - SENSEX Index Options'!$C:$C,$A254,'BSE - SENSEX Index Options'!$B:$B,F$147,'BSE - SENSEX Index Options'!$H:$H,"MDAW*")+SUMIFS('BSE - Other Index Options'!$L:$L,'BSE - Other Index Options'!$C:$C,$A254,'BSE - Other Index Options'!$B:$B,F$147,'BSE - Other Index Options'!$H:$H,"Weekly*")+SUMIFS('BSE - Other Index Options'!$L:$L,'BSE - Other Index Options'!$C:$C,$A254,'BSE - Other Index Options'!$B:$B,F$147,'BSE - Other Index Options'!$H:$H,"MDAW*")=0,"",SUMIFS('BSE - SENSEX Index Options'!$L:$L,'BSE - SENSEX Index Options'!$C:$C,$A254,'BSE - SENSEX Index Options'!$B:$B,F$147,'BSE - SENSEX Index Options'!$H:$H,"Weekly*")+SUMIFS('BSE - SENSEX Index Options'!$L:$L,'BSE - SENSEX Index Options'!$C:$C,$A254,'BSE - SENSEX Index Options'!$B:$B,F$147,'BSE - SENSEX Index Options'!$H:$H,"MDAW*")+SUMIFS('BSE - Other Index Options'!$L:$L,'BSE - Other Index Options'!$C:$C,$A254,'BSE - Other Index Options'!$B:$B,F$147,'BSE - Other Index Options'!$H:$H,"Weekly*")+SUMIFS('BSE - Other Index Options'!$L:$L,'BSE - Other Index Options'!$C:$C,$A254,'BSE - Other Index Options'!$B:$B,F$147,'BSE - Other Index Options'!$H:$H,"MDAW*"))</f>
        <v/>
      </c>
      <c r="G254" s="26" t="str">
        <f>IF(SUMIFS('BSE - SENSEX Index Options'!$L:$L,'BSE - SENSEX Index Options'!$C:$C,$A254,'BSE - SENSEX Index Options'!$B:$B,G$147,'BSE - SENSEX Index Options'!$H:$H,"Weekly*")+SUMIFS('BSE - SENSEX Index Options'!$L:$L,'BSE - SENSEX Index Options'!$C:$C,$A254,'BSE - SENSEX Index Options'!$B:$B,G$147,'BSE - SENSEX Index Options'!$H:$H,"MDAW*")+SUMIFS('BSE - Other Index Options'!$L:$L,'BSE - Other Index Options'!$C:$C,$A254,'BSE - Other Index Options'!$B:$B,G$147,'BSE - Other Index Options'!$H:$H,"Weekly*")+SUMIFS('BSE - Other Index Options'!$L:$L,'BSE - Other Index Options'!$C:$C,$A254,'BSE - Other Index Options'!$B:$B,G$147,'BSE - Other Index Options'!$H:$H,"MDAW*")=0,"",SUMIFS('BSE - SENSEX Index Options'!$L:$L,'BSE - SENSEX Index Options'!$C:$C,$A254,'BSE - SENSEX Index Options'!$B:$B,G$147,'BSE - SENSEX Index Options'!$H:$H,"Weekly*")+SUMIFS('BSE - SENSEX Index Options'!$L:$L,'BSE - SENSEX Index Options'!$C:$C,$A254,'BSE - SENSEX Index Options'!$B:$B,G$147,'BSE - SENSEX Index Options'!$H:$H,"MDAW*")+SUMIFS('BSE - Other Index Options'!$L:$L,'BSE - Other Index Options'!$C:$C,$A254,'BSE - Other Index Options'!$B:$B,G$147,'BSE - Other Index Options'!$H:$H,"Weekly*")+SUMIFS('BSE - Other Index Options'!$L:$L,'BSE - Other Index Options'!$C:$C,$A254,'BSE - Other Index Options'!$B:$B,G$147,'BSE - Other Index Options'!$H:$H,"MDAW*"))</f>
        <v/>
      </c>
      <c r="H254" s="26" t="str">
        <f t="shared" si="9"/>
        <v/>
      </c>
    </row>
    <row r="255" spans="1:8" hidden="1" outlineLevel="1">
      <c r="A255" t="s">
        <v>117</v>
      </c>
      <c r="B255" s="26" t="str">
        <f>IF(SUMIFS('BSE - SENSEX Index Options'!$L:$L,'BSE - SENSEX Index Options'!$C:$C,$A255,'BSE - SENSEX Index Options'!$B:$B,B$147,'BSE - SENSEX Index Options'!$H:$H,"Weekly*")+SUMIFS('BSE - SENSEX Index Options'!$L:$L,'BSE - SENSEX Index Options'!$C:$C,$A255,'BSE - SENSEX Index Options'!$B:$B,B$147,'BSE - SENSEX Index Options'!$H:$H,"MDAW*")+SUMIFS('BSE - Other Index Options'!$L:$L,'BSE - Other Index Options'!$C:$C,$A255,'BSE - Other Index Options'!$B:$B,B$147,'BSE - Other Index Options'!$H:$H,"Weekly*")+SUMIFS('BSE - Other Index Options'!$L:$L,'BSE - Other Index Options'!$C:$C,$A255,'BSE - Other Index Options'!$B:$B,B$147,'BSE - Other Index Options'!$H:$H,"MDAW*")=0,"",SUMIFS('BSE - SENSEX Index Options'!$L:$L,'BSE - SENSEX Index Options'!$C:$C,$A255,'BSE - SENSEX Index Options'!$B:$B,B$147,'BSE - SENSEX Index Options'!$H:$H,"Weekly*")+SUMIFS('BSE - SENSEX Index Options'!$L:$L,'BSE - SENSEX Index Options'!$C:$C,$A255,'BSE - SENSEX Index Options'!$B:$B,B$147,'BSE - SENSEX Index Options'!$H:$H,"MDAW*")+SUMIFS('BSE - Other Index Options'!$L:$L,'BSE - Other Index Options'!$C:$C,$A255,'BSE - Other Index Options'!$B:$B,B$147,'BSE - Other Index Options'!$H:$H,"Weekly*")+SUMIFS('BSE - Other Index Options'!$L:$L,'BSE - Other Index Options'!$C:$C,$A255,'BSE - Other Index Options'!$B:$B,B$147,'BSE - Other Index Options'!$H:$H,"MDAW*"))</f>
        <v/>
      </c>
      <c r="C255" s="26" t="str">
        <f>IF(SUMIFS('BSE - SENSEX Index Options'!$L:$L,'BSE - SENSEX Index Options'!$C:$C,$A255,'BSE - SENSEX Index Options'!$B:$B,C$147,'BSE - SENSEX Index Options'!$H:$H,"Weekly*")+SUMIFS('BSE - SENSEX Index Options'!$L:$L,'BSE - SENSEX Index Options'!$C:$C,$A255,'BSE - SENSEX Index Options'!$B:$B,C$147,'BSE - SENSEX Index Options'!$H:$H,"MDAW*")+SUMIFS('BSE - Other Index Options'!$L:$L,'BSE - Other Index Options'!$C:$C,$A255,'BSE - Other Index Options'!$B:$B,C$147,'BSE - Other Index Options'!$H:$H,"Weekly*")+SUMIFS('BSE - Other Index Options'!$L:$L,'BSE - Other Index Options'!$C:$C,$A255,'BSE - Other Index Options'!$B:$B,C$147,'BSE - Other Index Options'!$H:$H,"MDAW*")=0,"",SUMIFS('BSE - SENSEX Index Options'!$L:$L,'BSE - SENSEX Index Options'!$C:$C,$A255,'BSE - SENSEX Index Options'!$B:$B,C$147,'BSE - SENSEX Index Options'!$H:$H,"Weekly*")+SUMIFS('BSE - SENSEX Index Options'!$L:$L,'BSE - SENSEX Index Options'!$C:$C,$A255,'BSE - SENSEX Index Options'!$B:$B,C$147,'BSE - SENSEX Index Options'!$H:$H,"MDAW*")+SUMIFS('BSE - Other Index Options'!$L:$L,'BSE - Other Index Options'!$C:$C,$A255,'BSE - Other Index Options'!$B:$B,C$147,'BSE - Other Index Options'!$H:$H,"Weekly*")+SUMIFS('BSE - Other Index Options'!$L:$L,'BSE - Other Index Options'!$C:$C,$A255,'BSE - Other Index Options'!$B:$B,C$147,'BSE - Other Index Options'!$H:$H,"MDAW*"))</f>
        <v/>
      </c>
      <c r="D255" s="26" t="str">
        <f>IF(SUMIFS('BSE - SENSEX Index Options'!$L:$L,'BSE - SENSEX Index Options'!$C:$C,$A255,'BSE - SENSEX Index Options'!$B:$B,D$147,'BSE - SENSEX Index Options'!$H:$H,"Weekly*")+SUMIFS('BSE - SENSEX Index Options'!$L:$L,'BSE - SENSEX Index Options'!$C:$C,$A255,'BSE - SENSEX Index Options'!$B:$B,D$147,'BSE - SENSEX Index Options'!$H:$H,"MDAW*")+SUMIFS('BSE - Other Index Options'!$L:$L,'BSE - Other Index Options'!$C:$C,$A255,'BSE - Other Index Options'!$B:$B,D$147,'BSE - Other Index Options'!$H:$H,"Weekly*")+SUMIFS('BSE - Other Index Options'!$L:$L,'BSE - Other Index Options'!$C:$C,$A255,'BSE - Other Index Options'!$B:$B,D$147,'BSE - Other Index Options'!$H:$H,"MDAW*")=0,"",SUMIFS('BSE - SENSEX Index Options'!$L:$L,'BSE - SENSEX Index Options'!$C:$C,$A255,'BSE - SENSEX Index Options'!$B:$B,D$147,'BSE - SENSEX Index Options'!$H:$H,"Weekly*")+SUMIFS('BSE - SENSEX Index Options'!$L:$L,'BSE - SENSEX Index Options'!$C:$C,$A255,'BSE - SENSEX Index Options'!$B:$B,D$147,'BSE - SENSEX Index Options'!$H:$H,"MDAW*")+SUMIFS('BSE - Other Index Options'!$L:$L,'BSE - Other Index Options'!$C:$C,$A255,'BSE - Other Index Options'!$B:$B,D$147,'BSE - Other Index Options'!$H:$H,"Weekly*")+SUMIFS('BSE - Other Index Options'!$L:$L,'BSE - Other Index Options'!$C:$C,$A255,'BSE - Other Index Options'!$B:$B,D$147,'BSE - Other Index Options'!$H:$H,"MDAW*"))</f>
        <v/>
      </c>
      <c r="E255" s="26" t="str">
        <f>IF(SUMIFS('BSE - SENSEX Index Options'!$L:$L,'BSE - SENSEX Index Options'!$C:$C,$A255,'BSE - SENSEX Index Options'!$B:$B,E$147,'BSE - SENSEX Index Options'!$H:$H,"Weekly*")+SUMIFS('BSE - SENSEX Index Options'!$L:$L,'BSE - SENSEX Index Options'!$C:$C,$A255,'BSE - SENSEX Index Options'!$B:$B,E$147,'BSE - SENSEX Index Options'!$H:$H,"MDAW*")+SUMIFS('BSE - Other Index Options'!$L:$L,'BSE - Other Index Options'!$C:$C,$A255,'BSE - Other Index Options'!$B:$B,E$147,'BSE - Other Index Options'!$H:$H,"Weekly*")+SUMIFS('BSE - Other Index Options'!$L:$L,'BSE - Other Index Options'!$C:$C,$A255,'BSE - Other Index Options'!$B:$B,E$147,'BSE - Other Index Options'!$H:$H,"MDAW*")=0,"",SUMIFS('BSE - SENSEX Index Options'!$L:$L,'BSE - SENSEX Index Options'!$C:$C,$A255,'BSE - SENSEX Index Options'!$B:$B,E$147,'BSE - SENSEX Index Options'!$H:$H,"Weekly*")+SUMIFS('BSE - SENSEX Index Options'!$L:$L,'BSE - SENSEX Index Options'!$C:$C,$A255,'BSE - SENSEX Index Options'!$B:$B,E$147,'BSE - SENSEX Index Options'!$H:$H,"MDAW*")+SUMIFS('BSE - Other Index Options'!$L:$L,'BSE - Other Index Options'!$C:$C,$A255,'BSE - Other Index Options'!$B:$B,E$147,'BSE - Other Index Options'!$H:$H,"Weekly*")+SUMIFS('BSE - Other Index Options'!$L:$L,'BSE - Other Index Options'!$C:$C,$A255,'BSE - Other Index Options'!$B:$B,E$147,'BSE - Other Index Options'!$H:$H,"MDAW*"))</f>
        <v/>
      </c>
      <c r="F255" s="26" t="str">
        <f>IF(SUMIFS('BSE - SENSEX Index Options'!$L:$L,'BSE - SENSEX Index Options'!$C:$C,$A255,'BSE - SENSEX Index Options'!$B:$B,F$147,'BSE - SENSEX Index Options'!$H:$H,"Weekly*")+SUMIFS('BSE - SENSEX Index Options'!$L:$L,'BSE - SENSEX Index Options'!$C:$C,$A255,'BSE - SENSEX Index Options'!$B:$B,F$147,'BSE - SENSEX Index Options'!$H:$H,"MDAW*")+SUMIFS('BSE - Other Index Options'!$L:$L,'BSE - Other Index Options'!$C:$C,$A255,'BSE - Other Index Options'!$B:$B,F$147,'BSE - Other Index Options'!$H:$H,"Weekly*")+SUMIFS('BSE - Other Index Options'!$L:$L,'BSE - Other Index Options'!$C:$C,$A255,'BSE - Other Index Options'!$B:$B,F$147,'BSE - Other Index Options'!$H:$H,"MDAW*")=0,"",SUMIFS('BSE - SENSEX Index Options'!$L:$L,'BSE - SENSEX Index Options'!$C:$C,$A255,'BSE - SENSEX Index Options'!$B:$B,F$147,'BSE - SENSEX Index Options'!$H:$H,"Weekly*")+SUMIFS('BSE - SENSEX Index Options'!$L:$L,'BSE - SENSEX Index Options'!$C:$C,$A255,'BSE - SENSEX Index Options'!$B:$B,F$147,'BSE - SENSEX Index Options'!$H:$H,"MDAW*")+SUMIFS('BSE - Other Index Options'!$L:$L,'BSE - Other Index Options'!$C:$C,$A255,'BSE - Other Index Options'!$B:$B,F$147,'BSE - Other Index Options'!$H:$H,"Weekly*")+SUMIFS('BSE - Other Index Options'!$L:$L,'BSE - Other Index Options'!$C:$C,$A255,'BSE - Other Index Options'!$B:$B,F$147,'BSE - Other Index Options'!$H:$H,"MDAW*"))</f>
        <v/>
      </c>
      <c r="G255" s="26" t="str">
        <f>IF(SUMIFS('BSE - SENSEX Index Options'!$L:$L,'BSE - SENSEX Index Options'!$C:$C,$A255,'BSE - SENSEX Index Options'!$B:$B,G$147,'BSE - SENSEX Index Options'!$H:$H,"Weekly*")+SUMIFS('BSE - SENSEX Index Options'!$L:$L,'BSE - SENSEX Index Options'!$C:$C,$A255,'BSE - SENSEX Index Options'!$B:$B,G$147,'BSE - SENSEX Index Options'!$H:$H,"MDAW*")+SUMIFS('BSE - Other Index Options'!$L:$L,'BSE - Other Index Options'!$C:$C,$A255,'BSE - Other Index Options'!$B:$B,G$147,'BSE - Other Index Options'!$H:$H,"Weekly*")+SUMIFS('BSE - Other Index Options'!$L:$L,'BSE - Other Index Options'!$C:$C,$A255,'BSE - Other Index Options'!$B:$B,G$147,'BSE - Other Index Options'!$H:$H,"MDAW*")=0,"",SUMIFS('BSE - SENSEX Index Options'!$L:$L,'BSE - SENSEX Index Options'!$C:$C,$A255,'BSE - SENSEX Index Options'!$B:$B,G$147,'BSE - SENSEX Index Options'!$H:$H,"Weekly*")+SUMIFS('BSE - SENSEX Index Options'!$L:$L,'BSE - SENSEX Index Options'!$C:$C,$A255,'BSE - SENSEX Index Options'!$B:$B,G$147,'BSE - SENSEX Index Options'!$H:$H,"MDAW*")+SUMIFS('BSE - Other Index Options'!$L:$L,'BSE - Other Index Options'!$C:$C,$A255,'BSE - Other Index Options'!$B:$B,G$147,'BSE - Other Index Options'!$H:$H,"Weekly*")+SUMIFS('BSE - Other Index Options'!$L:$L,'BSE - Other Index Options'!$C:$C,$A255,'BSE - Other Index Options'!$B:$B,G$147,'BSE - Other Index Options'!$H:$H,"MDAW*"))</f>
        <v/>
      </c>
      <c r="H255" s="26" t="str">
        <f t="shared" si="9"/>
        <v/>
      </c>
    </row>
    <row r="256" spans="1:8" hidden="1" outlineLevel="1">
      <c r="A256" t="s">
        <v>118</v>
      </c>
      <c r="B256" s="26" t="str">
        <f>IF(SUMIFS('BSE - SENSEX Index Options'!$L:$L,'BSE - SENSEX Index Options'!$C:$C,$A256,'BSE - SENSEX Index Options'!$B:$B,B$147,'BSE - SENSEX Index Options'!$H:$H,"Weekly*")+SUMIFS('BSE - SENSEX Index Options'!$L:$L,'BSE - SENSEX Index Options'!$C:$C,$A256,'BSE - SENSEX Index Options'!$B:$B,B$147,'BSE - SENSEX Index Options'!$H:$H,"MDAW*")+SUMIFS('BSE - Other Index Options'!$L:$L,'BSE - Other Index Options'!$C:$C,$A256,'BSE - Other Index Options'!$B:$B,B$147,'BSE - Other Index Options'!$H:$H,"Weekly*")+SUMIFS('BSE - Other Index Options'!$L:$L,'BSE - Other Index Options'!$C:$C,$A256,'BSE - Other Index Options'!$B:$B,B$147,'BSE - Other Index Options'!$H:$H,"MDAW*")=0,"",SUMIFS('BSE - SENSEX Index Options'!$L:$L,'BSE - SENSEX Index Options'!$C:$C,$A256,'BSE - SENSEX Index Options'!$B:$B,B$147,'BSE - SENSEX Index Options'!$H:$H,"Weekly*")+SUMIFS('BSE - SENSEX Index Options'!$L:$L,'BSE - SENSEX Index Options'!$C:$C,$A256,'BSE - SENSEX Index Options'!$B:$B,B$147,'BSE - SENSEX Index Options'!$H:$H,"MDAW*")+SUMIFS('BSE - Other Index Options'!$L:$L,'BSE - Other Index Options'!$C:$C,$A256,'BSE - Other Index Options'!$B:$B,B$147,'BSE - Other Index Options'!$H:$H,"Weekly*")+SUMIFS('BSE - Other Index Options'!$L:$L,'BSE - Other Index Options'!$C:$C,$A256,'BSE - Other Index Options'!$B:$B,B$147,'BSE - Other Index Options'!$H:$H,"MDAW*"))</f>
        <v/>
      </c>
      <c r="C256" s="26" t="str">
        <f>IF(SUMIFS('BSE - SENSEX Index Options'!$L:$L,'BSE - SENSEX Index Options'!$C:$C,$A256,'BSE - SENSEX Index Options'!$B:$B,C$147,'BSE - SENSEX Index Options'!$H:$H,"Weekly*")+SUMIFS('BSE - SENSEX Index Options'!$L:$L,'BSE - SENSEX Index Options'!$C:$C,$A256,'BSE - SENSEX Index Options'!$B:$B,C$147,'BSE - SENSEX Index Options'!$H:$H,"MDAW*")+SUMIFS('BSE - Other Index Options'!$L:$L,'BSE - Other Index Options'!$C:$C,$A256,'BSE - Other Index Options'!$B:$B,C$147,'BSE - Other Index Options'!$H:$H,"Weekly*")+SUMIFS('BSE - Other Index Options'!$L:$L,'BSE - Other Index Options'!$C:$C,$A256,'BSE - Other Index Options'!$B:$B,C$147,'BSE - Other Index Options'!$H:$H,"MDAW*")=0,"",SUMIFS('BSE - SENSEX Index Options'!$L:$L,'BSE - SENSEX Index Options'!$C:$C,$A256,'BSE - SENSEX Index Options'!$B:$B,C$147,'BSE - SENSEX Index Options'!$H:$H,"Weekly*")+SUMIFS('BSE - SENSEX Index Options'!$L:$L,'BSE - SENSEX Index Options'!$C:$C,$A256,'BSE - SENSEX Index Options'!$B:$B,C$147,'BSE - SENSEX Index Options'!$H:$H,"MDAW*")+SUMIFS('BSE - Other Index Options'!$L:$L,'BSE - Other Index Options'!$C:$C,$A256,'BSE - Other Index Options'!$B:$B,C$147,'BSE - Other Index Options'!$H:$H,"Weekly*")+SUMIFS('BSE - Other Index Options'!$L:$L,'BSE - Other Index Options'!$C:$C,$A256,'BSE - Other Index Options'!$B:$B,C$147,'BSE - Other Index Options'!$H:$H,"MDAW*"))</f>
        <v/>
      </c>
      <c r="D256" s="26" t="str">
        <f>IF(SUMIFS('BSE - SENSEX Index Options'!$L:$L,'BSE - SENSEX Index Options'!$C:$C,$A256,'BSE - SENSEX Index Options'!$B:$B,D$147,'BSE - SENSEX Index Options'!$H:$H,"Weekly*")+SUMIFS('BSE - SENSEX Index Options'!$L:$L,'BSE - SENSEX Index Options'!$C:$C,$A256,'BSE - SENSEX Index Options'!$B:$B,D$147,'BSE - SENSEX Index Options'!$H:$H,"MDAW*")+SUMIFS('BSE - Other Index Options'!$L:$L,'BSE - Other Index Options'!$C:$C,$A256,'BSE - Other Index Options'!$B:$B,D$147,'BSE - Other Index Options'!$H:$H,"Weekly*")+SUMIFS('BSE - Other Index Options'!$L:$L,'BSE - Other Index Options'!$C:$C,$A256,'BSE - Other Index Options'!$B:$B,D$147,'BSE - Other Index Options'!$H:$H,"MDAW*")=0,"",SUMIFS('BSE - SENSEX Index Options'!$L:$L,'BSE - SENSEX Index Options'!$C:$C,$A256,'BSE - SENSEX Index Options'!$B:$B,D$147,'BSE - SENSEX Index Options'!$H:$H,"Weekly*")+SUMIFS('BSE - SENSEX Index Options'!$L:$L,'BSE - SENSEX Index Options'!$C:$C,$A256,'BSE - SENSEX Index Options'!$B:$B,D$147,'BSE - SENSEX Index Options'!$H:$H,"MDAW*")+SUMIFS('BSE - Other Index Options'!$L:$L,'BSE - Other Index Options'!$C:$C,$A256,'BSE - Other Index Options'!$B:$B,D$147,'BSE - Other Index Options'!$H:$H,"Weekly*")+SUMIFS('BSE - Other Index Options'!$L:$L,'BSE - Other Index Options'!$C:$C,$A256,'BSE - Other Index Options'!$B:$B,D$147,'BSE - Other Index Options'!$H:$H,"MDAW*"))</f>
        <v/>
      </c>
      <c r="E256" s="26" t="str">
        <f>IF(SUMIFS('BSE - SENSEX Index Options'!$L:$L,'BSE - SENSEX Index Options'!$C:$C,$A256,'BSE - SENSEX Index Options'!$B:$B,E$147,'BSE - SENSEX Index Options'!$H:$H,"Weekly*")+SUMIFS('BSE - SENSEX Index Options'!$L:$L,'BSE - SENSEX Index Options'!$C:$C,$A256,'BSE - SENSEX Index Options'!$B:$B,E$147,'BSE - SENSEX Index Options'!$H:$H,"MDAW*")+SUMIFS('BSE - Other Index Options'!$L:$L,'BSE - Other Index Options'!$C:$C,$A256,'BSE - Other Index Options'!$B:$B,E$147,'BSE - Other Index Options'!$H:$H,"Weekly*")+SUMIFS('BSE - Other Index Options'!$L:$L,'BSE - Other Index Options'!$C:$C,$A256,'BSE - Other Index Options'!$B:$B,E$147,'BSE - Other Index Options'!$H:$H,"MDAW*")=0,"",SUMIFS('BSE - SENSEX Index Options'!$L:$L,'BSE - SENSEX Index Options'!$C:$C,$A256,'BSE - SENSEX Index Options'!$B:$B,E$147,'BSE - SENSEX Index Options'!$H:$H,"Weekly*")+SUMIFS('BSE - SENSEX Index Options'!$L:$L,'BSE - SENSEX Index Options'!$C:$C,$A256,'BSE - SENSEX Index Options'!$B:$B,E$147,'BSE - SENSEX Index Options'!$H:$H,"MDAW*")+SUMIFS('BSE - Other Index Options'!$L:$L,'BSE - Other Index Options'!$C:$C,$A256,'BSE - Other Index Options'!$B:$B,E$147,'BSE - Other Index Options'!$H:$H,"Weekly*")+SUMIFS('BSE - Other Index Options'!$L:$L,'BSE - Other Index Options'!$C:$C,$A256,'BSE - Other Index Options'!$B:$B,E$147,'BSE - Other Index Options'!$H:$H,"MDAW*"))</f>
        <v/>
      </c>
      <c r="F256" s="26" t="str">
        <f>IF(SUMIFS('BSE - SENSEX Index Options'!$L:$L,'BSE - SENSEX Index Options'!$C:$C,$A256,'BSE - SENSEX Index Options'!$B:$B,F$147,'BSE - SENSEX Index Options'!$H:$H,"Weekly*")+SUMIFS('BSE - SENSEX Index Options'!$L:$L,'BSE - SENSEX Index Options'!$C:$C,$A256,'BSE - SENSEX Index Options'!$B:$B,F$147,'BSE - SENSEX Index Options'!$H:$H,"MDAW*")+SUMIFS('BSE - Other Index Options'!$L:$L,'BSE - Other Index Options'!$C:$C,$A256,'BSE - Other Index Options'!$B:$B,F$147,'BSE - Other Index Options'!$H:$H,"Weekly*")+SUMIFS('BSE - Other Index Options'!$L:$L,'BSE - Other Index Options'!$C:$C,$A256,'BSE - Other Index Options'!$B:$B,F$147,'BSE - Other Index Options'!$H:$H,"MDAW*")=0,"",SUMIFS('BSE - SENSEX Index Options'!$L:$L,'BSE - SENSEX Index Options'!$C:$C,$A256,'BSE - SENSEX Index Options'!$B:$B,F$147,'BSE - SENSEX Index Options'!$H:$H,"Weekly*")+SUMIFS('BSE - SENSEX Index Options'!$L:$L,'BSE - SENSEX Index Options'!$C:$C,$A256,'BSE - SENSEX Index Options'!$B:$B,F$147,'BSE - SENSEX Index Options'!$H:$H,"MDAW*")+SUMIFS('BSE - Other Index Options'!$L:$L,'BSE - Other Index Options'!$C:$C,$A256,'BSE - Other Index Options'!$B:$B,F$147,'BSE - Other Index Options'!$H:$H,"Weekly*")+SUMIFS('BSE - Other Index Options'!$L:$L,'BSE - Other Index Options'!$C:$C,$A256,'BSE - Other Index Options'!$B:$B,F$147,'BSE - Other Index Options'!$H:$H,"MDAW*"))</f>
        <v/>
      </c>
      <c r="G256" s="26" t="str">
        <f>IF(SUMIFS('BSE - SENSEX Index Options'!$L:$L,'BSE - SENSEX Index Options'!$C:$C,$A256,'BSE - SENSEX Index Options'!$B:$B,G$147,'BSE - SENSEX Index Options'!$H:$H,"Weekly*")+SUMIFS('BSE - SENSEX Index Options'!$L:$L,'BSE - SENSEX Index Options'!$C:$C,$A256,'BSE - SENSEX Index Options'!$B:$B,G$147,'BSE - SENSEX Index Options'!$H:$H,"MDAW*")+SUMIFS('BSE - Other Index Options'!$L:$L,'BSE - Other Index Options'!$C:$C,$A256,'BSE - Other Index Options'!$B:$B,G$147,'BSE - Other Index Options'!$H:$H,"Weekly*")+SUMIFS('BSE - Other Index Options'!$L:$L,'BSE - Other Index Options'!$C:$C,$A256,'BSE - Other Index Options'!$B:$B,G$147,'BSE - Other Index Options'!$H:$H,"MDAW*")=0,"",SUMIFS('BSE - SENSEX Index Options'!$L:$L,'BSE - SENSEX Index Options'!$C:$C,$A256,'BSE - SENSEX Index Options'!$B:$B,G$147,'BSE - SENSEX Index Options'!$H:$H,"Weekly*")+SUMIFS('BSE - SENSEX Index Options'!$L:$L,'BSE - SENSEX Index Options'!$C:$C,$A256,'BSE - SENSEX Index Options'!$B:$B,G$147,'BSE - SENSEX Index Options'!$H:$H,"MDAW*")+SUMIFS('BSE - Other Index Options'!$L:$L,'BSE - Other Index Options'!$C:$C,$A256,'BSE - Other Index Options'!$B:$B,G$147,'BSE - Other Index Options'!$H:$H,"Weekly*")+SUMIFS('BSE - Other Index Options'!$L:$L,'BSE - Other Index Options'!$C:$C,$A256,'BSE - Other Index Options'!$B:$B,G$147,'BSE - Other Index Options'!$H:$H,"MDAW*"))</f>
        <v/>
      </c>
      <c r="H256" s="26" t="str">
        <f t="shared" si="9"/>
        <v/>
      </c>
    </row>
    <row r="257" spans="1:8" hidden="1" outlineLevel="1">
      <c r="A257" t="s">
        <v>119</v>
      </c>
      <c r="B257" s="26" t="str">
        <f>IF(SUMIFS('BSE - SENSEX Index Options'!$L:$L,'BSE - SENSEX Index Options'!$C:$C,$A257,'BSE - SENSEX Index Options'!$B:$B,B$147,'BSE - SENSEX Index Options'!$H:$H,"Weekly*")+SUMIFS('BSE - SENSEX Index Options'!$L:$L,'BSE - SENSEX Index Options'!$C:$C,$A257,'BSE - SENSEX Index Options'!$B:$B,B$147,'BSE - SENSEX Index Options'!$H:$H,"MDAW*")+SUMIFS('BSE - Other Index Options'!$L:$L,'BSE - Other Index Options'!$C:$C,$A257,'BSE - Other Index Options'!$B:$B,B$147,'BSE - Other Index Options'!$H:$H,"Weekly*")+SUMIFS('BSE - Other Index Options'!$L:$L,'BSE - Other Index Options'!$C:$C,$A257,'BSE - Other Index Options'!$B:$B,B$147,'BSE - Other Index Options'!$H:$H,"MDAW*")=0,"",SUMIFS('BSE - SENSEX Index Options'!$L:$L,'BSE - SENSEX Index Options'!$C:$C,$A257,'BSE - SENSEX Index Options'!$B:$B,B$147,'BSE - SENSEX Index Options'!$H:$H,"Weekly*")+SUMIFS('BSE - SENSEX Index Options'!$L:$L,'BSE - SENSEX Index Options'!$C:$C,$A257,'BSE - SENSEX Index Options'!$B:$B,B$147,'BSE - SENSEX Index Options'!$H:$H,"MDAW*")+SUMIFS('BSE - Other Index Options'!$L:$L,'BSE - Other Index Options'!$C:$C,$A257,'BSE - Other Index Options'!$B:$B,B$147,'BSE - Other Index Options'!$H:$H,"Weekly*")+SUMIFS('BSE - Other Index Options'!$L:$L,'BSE - Other Index Options'!$C:$C,$A257,'BSE - Other Index Options'!$B:$B,B$147,'BSE - Other Index Options'!$H:$H,"MDAW*"))</f>
        <v/>
      </c>
      <c r="C257" s="26" t="str">
        <f>IF(SUMIFS('BSE - SENSEX Index Options'!$L:$L,'BSE - SENSEX Index Options'!$C:$C,$A257,'BSE - SENSEX Index Options'!$B:$B,C$147,'BSE - SENSEX Index Options'!$H:$H,"Weekly*")+SUMIFS('BSE - SENSEX Index Options'!$L:$L,'BSE - SENSEX Index Options'!$C:$C,$A257,'BSE - SENSEX Index Options'!$B:$B,C$147,'BSE - SENSEX Index Options'!$H:$H,"MDAW*")+SUMIFS('BSE - Other Index Options'!$L:$L,'BSE - Other Index Options'!$C:$C,$A257,'BSE - Other Index Options'!$B:$B,C$147,'BSE - Other Index Options'!$H:$H,"Weekly*")+SUMIFS('BSE - Other Index Options'!$L:$L,'BSE - Other Index Options'!$C:$C,$A257,'BSE - Other Index Options'!$B:$B,C$147,'BSE - Other Index Options'!$H:$H,"MDAW*")=0,"",SUMIFS('BSE - SENSEX Index Options'!$L:$L,'BSE - SENSEX Index Options'!$C:$C,$A257,'BSE - SENSEX Index Options'!$B:$B,C$147,'BSE - SENSEX Index Options'!$H:$H,"Weekly*")+SUMIFS('BSE - SENSEX Index Options'!$L:$L,'BSE - SENSEX Index Options'!$C:$C,$A257,'BSE - SENSEX Index Options'!$B:$B,C$147,'BSE - SENSEX Index Options'!$H:$H,"MDAW*")+SUMIFS('BSE - Other Index Options'!$L:$L,'BSE - Other Index Options'!$C:$C,$A257,'BSE - Other Index Options'!$B:$B,C$147,'BSE - Other Index Options'!$H:$H,"Weekly*")+SUMIFS('BSE - Other Index Options'!$L:$L,'BSE - Other Index Options'!$C:$C,$A257,'BSE - Other Index Options'!$B:$B,C$147,'BSE - Other Index Options'!$H:$H,"MDAW*"))</f>
        <v/>
      </c>
      <c r="D257" s="26" t="str">
        <f>IF(SUMIFS('BSE - SENSEX Index Options'!$L:$L,'BSE - SENSEX Index Options'!$C:$C,$A257,'BSE - SENSEX Index Options'!$B:$B,D$147,'BSE - SENSEX Index Options'!$H:$H,"Weekly*")+SUMIFS('BSE - SENSEX Index Options'!$L:$L,'BSE - SENSEX Index Options'!$C:$C,$A257,'BSE - SENSEX Index Options'!$B:$B,D$147,'BSE - SENSEX Index Options'!$H:$H,"MDAW*")+SUMIFS('BSE - Other Index Options'!$L:$L,'BSE - Other Index Options'!$C:$C,$A257,'BSE - Other Index Options'!$B:$B,D$147,'BSE - Other Index Options'!$H:$H,"Weekly*")+SUMIFS('BSE - Other Index Options'!$L:$L,'BSE - Other Index Options'!$C:$C,$A257,'BSE - Other Index Options'!$B:$B,D$147,'BSE - Other Index Options'!$H:$H,"MDAW*")=0,"",SUMIFS('BSE - SENSEX Index Options'!$L:$L,'BSE - SENSEX Index Options'!$C:$C,$A257,'BSE - SENSEX Index Options'!$B:$B,D$147,'BSE - SENSEX Index Options'!$H:$H,"Weekly*")+SUMIFS('BSE - SENSEX Index Options'!$L:$L,'BSE - SENSEX Index Options'!$C:$C,$A257,'BSE - SENSEX Index Options'!$B:$B,D$147,'BSE - SENSEX Index Options'!$H:$H,"MDAW*")+SUMIFS('BSE - Other Index Options'!$L:$L,'BSE - Other Index Options'!$C:$C,$A257,'BSE - Other Index Options'!$B:$B,D$147,'BSE - Other Index Options'!$H:$H,"Weekly*")+SUMIFS('BSE - Other Index Options'!$L:$L,'BSE - Other Index Options'!$C:$C,$A257,'BSE - Other Index Options'!$B:$B,D$147,'BSE - Other Index Options'!$H:$H,"MDAW*"))</f>
        <v/>
      </c>
      <c r="E257" s="26" t="str">
        <f>IF(SUMIFS('BSE - SENSEX Index Options'!$L:$L,'BSE - SENSEX Index Options'!$C:$C,$A257,'BSE - SENSEX Index Options'!$B:$B,E$147,'BSE - SENSEX Index Options'!$H:$H,"Weekly*")+SUMIFS('BSE - SENSEX Index Options'!$L:$L,'BSE - SENSEX Index Options'!$C:$C,$A257,'BSE - SENSEX Index Options'!$B:$B,E$147,'BSE - SENSEX Index Options'!$H:$H,"MDAW*")+SUMIFS('BSE - Other Index Options'!$L:$L,'BSE - Other Index Options'!$C:$C,$A257,'BSE - Other Index Options'!$B:$B,E$147,'BSE - Other Index Options'!$H:$H,"Weekly*")+SUMIFS('BSE - Other Index Options'!$L:$L,'BSE - Other Index Options'!$C:$C,$A257,'BSE - Other Index Options'!$B:$B,E$147,'BSE - Other Index Options'!$H:$H,"MDAW*")=0,"",SUMIFS('BSE - SENSEX Index Options'!$L:$L,'BSE - SENSEX Index Options'!$C:$C,$A257,'BSE - SENSEX Index Options'!$B:$B,E$147,'BSE - SENSEX Index Options'!$H:$H,"Weekly*")+SUMIFS('BSE - SENSEX Index Options'!$L:$L,'BSE - SENSEX Index Options'!$C:$C,$A257,'BSE - SENSEX Index Options'!$B:$B,E$147,'BSE - SENSEX Index Options'!$H:$H,"MDAW*")+SUMIFS('BSE - Other Index Options'!$L:$L,'BSE - Other Index Options'!$C:$C,$A257,'BSE - Other Index Options'!$B:$B,E$147,'BSE - Other Index Options'!$H:$H,"Weekly*")+SUMIFS('BSE - Other Index Options'!$L:$L,'BSE - Other Index Options'!$C:$C,$A257,'BSE - Other Index Options'!$B:$B,E$147,'BSE - Other Index Options'!$H:$H,"MDAW*"))</f>
        <v/>
      </c>
      <c r="F257" s="26" t="str">
        <f>IF(SUMIFS('BSE - SENSEX Index Options'!$L:$L,'BSE - SENSEX Index Options'!$C:$C,$A257,'BSE - SENSEX Index Options'!$B:$B,F$147,'BSE - SENSEX Index Options'!$H:$H,"Weekly*")+SUMIFS('BSE - SENSEX Index Options'!$L:$L,'BSE - SENSEX Index Options'!$C:$C,$A257,'BSE - SENSEX Index Options'!$B:$B,F$147,'BSE - SENSEX Index Options'!$H:$H,"MDAW*")+SUMIFS('BSE - Other Index Options'!$L:$L,'BSE - Other Index Options'!$C:$C,$A257,'BSE - Other Index Options'!$B:$B,F$147,'BSE - Other Index Options'!$H:$H,"Weekly*")+SUMIFS('BSE - Other Index Options'!$L:$L,'BSE - Other Index Options'!$C:$C,$A257,'BSE - Other Index Options'!$B:$B,F$147,'BSE - Other Index Options'!$H:$H,"MDAW*")=0,"",SUMIFS('BSE - SENSEX Index Options'!$L:$L,'BSE - SENSEX Index Options'!$C:$C,$A257,'BSE - SENSEX Index Options'!$B:$B,F$147,'BSE - SENSEX Index Options'!$H:$H,"Weekly*")+SUMIFS('BSE - SENSEX Index Options'!$L:$L,'BSE - SENSEX Index Options'!$C:$C,$A257,'BSE - SENSEX Index Options'!$B:$B,F$147,'BSE - SENSEX Index Options'!$H:$H,"MDAW*")+SUMIFS('BSE - Other Index Options'!$L:$L,'BSE - Other Index Options'!$C:$C,$A257,'BSE - Other Index Options'!$B:$B,F$147,'BSE - Other Index Options'!$H:$H,"Weekly*")+SUMIFS('BSE - Other Index Options'!$L:$L,'BSE - Other Index Options'!$C:$C,$A257,'BSE - Other Index Options'!$B:$B,F$147,'BSE - Other Index Options'!$H:$H,"MDAW*"))</f>
        <v/>
      </c>
      <c r="G257" s="26" t="str">
        <f>IF(SUMIFS('BSE - SENSEX Index Options'!$L:$L,'BSE - SENSEX Index Options'!$C:$C,$A257,'BSE - SENSEX Index Options'!$B:$B,G$147,'BSE - SENSEX Index Options'!$H:$H,"Weekly*")+SUMIFS('BSE - SENSEX Index Options'!$L:$L,'BSE - SENSEX Index Options'!$C:$C,$A257,'BSE - SENSEX Index Options'!$B:$B,G$147,'BSE - SENSEX Index Options'!$H:$H,"MDAW*")+SUMIFS('BSE - Other Index Options'!$L:$L,'BSE - Other Index Options'!$C:$C,$A257,'BSE - Other Index Options'!$B:$B,G$147,'BSE - Other Index Options'!$H:$H,"Weekly*")+SUMIFS('BSE - Other Index Options'!$L:$L,'BSE - Other Index Options'!$C:$C,$A257,'BSE - Other Index Options'!$B:$B,G$147,'BSE - Other Index Options'!$H:$H,"MDAW*")=0,"",SUMIFS('BSE - SENSEX Index Options'!$L:$L,'BSE - SENSEX Index Options'!$C:$C,$A257,'BSE - SENSEX Index Options'!$B:$B,G$147,'BSE - SENSEX Index Options'!$H:$H,"Weekly*")+SUMIFS('BSE - SENSEX Index Options'!$L:$L,'BSE - SENSEX Index Options'!$C:$C,$A257,'BSE - SENSEX Index Options'!$B:$B,G$147,'BSE - SENSEX Index Options'!$H:$H,"MDAW*")+SUMIFS('BSE - Other Index Options'!$L:$L,'BSE - Other Index Options'!$C:$C,$A257,'BSE - Other Index Options'!$B:$B,G$147,'BSE - Other Index Options'!$H:$H,"Weekly*")+SUMIFS('BSE - Other Index Options'!$L:$L,'BSE - Other Index Options'!$C:$C,$A257,'BSE - Other Index Options'!$B:$B,G$147,'BSE - Other Index Options'!$H:$H,"MDAW*"))</f>
        <v/>
      </c>
      <c r="H257" s="26" t="str">
        <f t="shared" si="9"/>
        <v/>
      </c>
    </row>
    <row r="258" spans="1:8" hidden="1" outlineLevel="1">
      <c r="A258" t="s">
        <v>120</v>
      </c>
      <c r="B258" s="26" t="str">
        <f>IF(SUMIFS('BSE - SENSEX Index Options'!$L:$L,'BSE - SENSEX Index Options'!$C:$C,$A258,'BSE - SENSEX Index Options'!$B:$B,B$147,'BSE - SENSEX Index Options'!$H:$H,"Weekly*")+SUMIFS('BSE - SENSEX Index Options'!$L:$L,'BSE - SENSEX Index Options'!$C:$C,$A258,'BSE - SENSEX Index Options'!$B:$B,B$147,'BSE - SENSEX Index Options'!$H:$H,"MDAW*")+SUMIFS('BSE - Other Index Options'!$L:$L,'BSE - Other Index Options'!$C:$C,$A258,'BSE - Other Index Options'!$B:$B,B$147,'BSE - Other Index Options'!$H:$H,"Weekly*")+SUMIFS('BSE - Other Index Options'!$L:$L,'BSE - Other Index Options'!$C:$C,$A258,'BSE - Other Index Options'!$B:$B,B$147,'BSE - Other Index Options'!$H:$H,"MDAW*")=0,"",SUMIFS('BSE - SENSEX Index Options'!$L:$L,'BSE - SENSEX Index Options'!$C:$C,$A258,'BSE - SENSEX Index Options'!$B:$B,B$147,'BSE - SENSEX Index Options'!$H:$H,"Weekly*")+SUMIFS('BSE - SENSEX Index Options'!$L:$L,'BSE - SENSEX Index Options'!$C:$C,$A258,'BSE - SENSEX Index Options'!$B:$B,B$147,'BSE - SENSEX Index Options'!$H:$H,"MDAW*")+SUMIFS('BSE - Other Index Options'!$L:$L,'BSE - Other Index Options'!$C:$C,$A258,'BSE - Other Index Options'!$B:$B,B$147,'BSE - Other Index Options'!$H:$H,"Weekly*")+SUMIFS('BSE - Other Index Options'!$L:$L,'BSE - Other Index Options'!$C:$C,$A258,'BSE - Other Index Options'!$B:$B,B$147,'BSE - Other Index Options'!$H:$H,"MDAW*"))</f>
        <v/>
      </c>
      <c r="C258" s="26" t="str">
        <f>IF(SUMIFS('BSE - SENSEX Index Options'!$L:$L,'BSE - SENSEX Index Options'!$C:$C,$A258,'BSE - SENSEX Index Options'!$B:$B,C$147,'BSE - SENSEX Index Options'!$H:$H,"Weekly*")+SUMIFS('BSE - SENSEX Index Options'!$L:$L,'BSE - SENSEX Index Options'!$C:$C,$A258,'BSE - SENSEX Index Options'!$B:$B,C$147,'BSE - SENSEX Index Options'!$H:$H,"MDAW*")+SUMIFS('BSE - Other Index Options'!$L:$L,'BSE - Other Index Options'!$C:$C,$A258,'BSE - Other Index Options'!$B:$B,C$147,'BSE - Other Index Options'!$H:$H,"Weekly*")+SUMIFS('BSE - Other Index Options'!$L:$L,'BSE - Other Index Options'!$C:$C,$A258,'BSE - Other Index Options'!$B:$B,C$147,'BSE - Other Index Options'!$H:$H,"MDAW*")=0,"",SUMIFS('BSE - SENSEX Index Options'!$L:$L,'BSE - SENSEX Index Options'!$C:$C,$A258,'BSE - SENSEX Index Options'!$B:$B,C$147,'BSE - SENSEX Index Options'!$H:$H,"Weekly*")+SUMIFS('BSE - SENSEX Index Options'!$L:$L,'BSE - SENSEX Index Options'!$C:$C,$A258,'BSE - SENSEX Index Options'!$B:$B,C$147,'BSE - SENSEX Index Options'!$H:$H,"MDAW*")+SUMIFS('BSE - Other Index Options'!$L:$L,'BSE - Other Index Options'!$C:$C,$A258,'BSE - Other Index Options'!$B:$B,C$147,'BSE - Other Index Options'!$H:$H,"Weekly*")+SUMIFS('BSE - Other Index Options'!$L:$L,'BSE - Other Index Options'!$C:$C,$A258,'BSE - Other Index Options'!$B:$B,C$147,'BSE - Other Index Options'!$H:$H,"MDAW*"))</f>
        <v/>
      </c>
      <c r="D258" s="26" t="str">
        <f>IF(SUMIFS('BSE - SENSEX Index Options'!$L:$L,'BSE - SENSEX Index Options'!$C:$C,$A258,'BSE - SENSEX Index Options'!$B:$B,D$147,'BSE - SENSEX Index Options'!$H:$H,"Weekly*")+SUMIFS('BSE - SENSEX Index Options'!$L:$L,'BSE - SENSEX Index Options'!$C:$C,$A258,'BSE - SENSEX Index Options'!$B:$B,D$147,'BSE - SENSEX Index Options'!$H:$H,"MDAW*")+SUMIFS('BSE - Other Index Options'!$L:$L,'BSE - Other Index Options'!$C:$C,$A258,'BSE - Other Index Options'!$B:$B,D$147,'BSE - Other Index Options'!$H:$H,"Weekly*")+SUMIFS('BSE - Other Index Options'!$L:$L,'BSE - Other Index Options'!$C:$C,$A258,'BSE - Other Index Options'!$B:$B,D$147,'BSE - Other Index Options'!$H:$H,"MDAW*")=0,"",SUMIFS('BSE - SENSEX Index Options'!$L:$L,'BSE - SENSEX Index Options'!$C:$C,$A258,'BSE - SENSEX Index Options'!$B:$B,D$147,'BSE - SENSEX Index Options'!$H:$H,"Weekly*")+SUMIFS('BSE - SENSEX Index Options'!$L:$L,'BSE - SENSEX Index Options'!$C:$C,$A258,'BSE - SENSEX Index Options'!$B:$B,D$147,'BSE - SENSEX Index Options'!$H:$H,"MDAW*")+SUMIFS('BSE - Other Index Options'!$L:$L,'BSE - Other Index Options'!$C:$C,$A258,'BSE - Other Index Options'!$B:$B,D$147,'BSE - Other Index Options'!$H:$H,"Weekly*")+SUMIFS('BSE - Other Index Options'!$L:$L,'BSE - Other Index Options'!$C:$C,$A258,'BSE - Other Index Options'!$B:$B,D$147,'BSE - Other Index Options'!$H:$H,"MDAW*"))</f>
        <v/>
      </c>
      <c r="E258" s="26" t="str">
        <f>IF(SUMIFS('BSE - SENSEX Index Options'!$L:$L,'BSE - SENSEX Index Options'!$C:$C,$A258,'BSE - SENSEX Index Options'!$B:$B,E$147,'BSE - SENSEX Index Options'!$H:$H,"Weekly*")+SUMIFS('BSE - SENSEX Index Options'!$L:$L,'BSE - SENSEX Index Options'!$C:$C,$A258,'BSE - SENSEX Index Options'!$B:$B,E$147,'BSE - SENSEX Index Options'!$H:$H,"MDAW*")+SUMIFS('BSE - Other Index Options'!$L:$L,'BSE - Other Index Options'!$C:$C,$A258,'BSE - Other Index Options'!$B:$B,E$147,'BSE - Other Index Options'!$H:$H,"Weekly*")+SUMIFS('BSE - Other Index Options'!$L:$L,'BSE - Other Index Options'!$C:$C,$A258,'BSE - Other Index Options'!$B:$B,E$147,'BSE - Other Index Options'!$H:$H,"MDAW*")=0,"",SUMIFS('BSE - SENSEX Index Options'!$L:$L,'BSE - SENSEX Index Options'!$C:$C,$A258,'BSE - SENSEX Index Options'!$B:$B,E$147,'BSE - SENSEX Index Options'!$H:$H,"Weekly*")+SUMIFS('BSE - SENSEX Index Options'!$L:$L,'BSE - SENSEX Index Options'!$C:$C,$A258,'BSE - SENSEX Index Options'!$B:$B,E$147,'BSE - SENSEX Index Options'!$H:$H,"MDAW*")+SUMIFS('BSE - Other Index Options'!$L:$L,'BSE - Other Index Options'!$C:$C,$A258,'BSE - Other Index Options'!$B:$B,E$147,'BSE - Other Index Options'!$H:$H,"Weekly*")+SUMIFS('BSE - Other Index Options'!$L:$L,'BSE - Other Index Options'!$C:$C,$A258,'BSE - Other Index Options'!$B:$B,E$147,'BSE - Other Index Options'!$H:$H,"MDAW*"))</f>
        <v/>
      </c>
      <c r="F258" s="26" t="str">
        <f>IF(SUMIFS('BSE - SENSEX Index Options'!$L:$L,'BSE - SENSEX Index Options'!$C:$C,$A258,'BSE - SENSEX Index Options'!$B:$B,F$147,'BSE - SENSEX Index Options'!$H:$H,"Weekly*")+SUMIFS('BSE - SENSEX Index Options'!$L:$L,'BSE - SENSEX Index Options'!$C:$C,$A258,'BSE - SENSEX Index Options'!$B:$B,F$147,'BSE - SENSEX Index Options'!$H:$H,"MDAW*")+SUMIFS('BSE - Other Index Options'!$L:$L,'BSE - Other Index Options'!$C:$C,$A258,'BSE - Other Index Options'!$B:$B,F$147,'BSE - Other Index Options'!$H:$H,"Weekly*")+SUMIFS('BSE - Other Index Options'!$L:$L,'BSE - Other Index Options'!$C:$C,$A258,'BSE - Other Index Options'!$B:$B,F$147,'BSE - Other Index Options'!$H:$H,"MDAW*")=0,"",SUMIFS('BSE - SENSEX Index Options'!$L:$L,'BSE - SENSEX Index Options'!$C:$C,$A258,'BSE - SENSEX Index Options'!$B:$B,F$147,'BSE - SENSEX Index Options'!$H:$H,"Weekly*")+SUMIFS('BSE - SENSEX Index Options'!$L:$L,'BSE - SENSEX Index Options'!$C:$C,$A258,'BSE - SENSEX Index Options'!$B:$B,F$147,'BSE - SENSEX Index Options'!$H:$H,"MDAW*")+SUMIFS('BSE - Other Index Options'!$L:$L,'BSE - Other Index Options'!$C:$C,$A258,'BSE - Other Index Options'!$B:$B,F$147,'BSE - Other Index Options'!$H:$H,"Weekly*")+SUMIFS('BSE - Other Index Options'!$L:$L,'BSE - Other Index Options'!$C:$C,$A258,'BSE - Other Index Options'!$B:$B,F$147,'BSE - Other Index Options'!$H:$H,"MDAW*"))</f>
        <v/>
      </c>
      <c r="G258" s="26" t="str">
        <f>IF(SUMIFS('BSE - SENSEX Index Options'!$L:$L,'BSE - SENSEX Index Options'!$C:$C,$A258,'BSE - SENSEX Index Options'!$B:$B,G$147,'BSE - SENSEX Index Options'!$H:$H,"Weekly*")+SUMIFS('BSE - SENSEX Index Options'!$L:$L,'BSE - SENSEX Index Options'!$C:$C,$A258,'BSE - SENSEX Index Options'!$B:$B,G$147,'BSE - SENSEX Index Options'!$H:$H,"MDAW*")+SUMIFS('BSE - Other Index Options'!$L:$L,'BSE - Other Index Options'!$C:$C,$A258,'BSE - Other Index Options'!$B:$B,G$147,'BSE - Other Index Options'!$H:$H,"Weekly*")+SUMIFS('BSE - Other Index Options'!$L:$L,'BSE - Other Index Options'!$C:$C,$A258,'BSE - Other Index Options'!$B:$B,G$147,'BSE - Other Index Options'!$H:$H,"MDAW*")=0,"",SUMIFS('BSE - SENSEX Index Options'!$L:$L,'BSE - SENSEX Index Options'!$C:$C,$A258,'BSE - SENSEX Index Options'!$B:$B,G$147,'BSE - SENSEX Index Options'!$H:$H,"Weekly*")+SUMIFS('BSE - SENSEX Index Options'!$L:$L,'BSE - SENSEX Index Options'!$C:$C,$A258,'BSE - SENSEX Index Options'!$B:$B,G$147,'BSE - SENSEX Index Options'!$H:$H,"MDAW*")+SUMIFS('BSE - Other Index Options'!$L:$L,'BSE - Other Index Options'!$C:$C,$A258,'BSE - Other Index Options'!$B:$B,G$147,'BSE - Other Index Options'!$H:$H,"Weekly*")+SUMIFS('BSE - Other Index Options'!$L:$L,'BSE - Other Index Options'!$C:$C,$A258,'BSE - Other Index Options'!$B:$B,G$147,'BSE - Other Index Options'!$H:$H,"MDAW*"))</f>
        <v/>
      </c>
      <c r="H258" s="26" t="str">
        <f t="shared" si="9"/>
        <v/>
      </c>
    </row>
    <row r="259" spans="1:8" hidden="1" outlineLevel="1">
      <c r="A259" t="s">
        <v>121</v>
      </c>
      <c r="B259" s="26" t="str">
        <f>IF(SUMIFS('BSE - SENSEX Index Options'!$L:$L,'BSE - SENSEX Index Options'!$C:$C,$A259,'BSE - SENSEX Index Options'!$B:$B,B$147,'BSE - SENSEX Index Options'!$H:$H,"Weekly*")+SUMIFS('BSE - SENSEX Index Options'!$L:$L,'BSE - SENSEX Index Options'!$C:$C,$A259,'BSE - SENSEX Index Options'!$B:$B,B$147,'BSE - SENSEX Index Options'!$H:$H,"MDAW*")+SUMIFS('BSE - Other Index Options'!$L:$L,'BSE - Other Index Options'!$C:$C,$A259,'BSE - Other Index Options'!$B:$B,B$147,'BSE - Other Index Options'!$H:$H,"Weekly*")+SUMIFS('BSE - Other Index Options'!$L:$L,'BSE - Other Index Options'!$C:$C,$A259,'BSE - Other Index Options'!$B:$B,B$147,'BSE - Other Index Options'!$H:$H,"MDAW*")=0,"",SUMIFS('BSE - SENSEX Index Options'!$L:$L,'BSE - SENSEX Index Options'!$C:$C,$A259,'BSE - SENSEX Index Options'!$B:$B,B$147,'BSE - SENSEX Index Options'!$H:$H,"Weekly*")+SUMIFS('BSE - SENSEX Index Options'!$L:$L,'BSE - SENSEX Index Options'!$C:$C,$A259,'BSE - SENSEX Index Options'!$B:$B,B$147,'BSE - SENSEX Index Options'!$H:$H,"MDAW*")+SUMIFS('BSE - Other Index Options'!$L:$L,'BSE - Other Index Options'!$C:$C,$A259,'BSE - Other Index Options'!$B:$B,B$147,'BSE - Other Index Options'!$H:$H,"Weekly*")+SUMIFS('BSE - Other Index Options'!$L:$L,'BSE - Other Index Options'!$C:$C,$A259,'BSE - Other Index Options'!$B:$B,B$147,'BSE - Other Index Options'!$H:$H,"MDAW*"))</f>
        <v/>
      </c>
      <c r="C259" s="26" t="str">
        <f>IF(SUMIFS('BSE - SENSEX Index Options'!$L:$L,'BSE - SENSEX Index Options'!$C:$C,$A259,'BSE - SENSEX Index Options'!$B:$B,C$147,'BSE - SENSEX Index Options'!$H:$H,"Weekly*")+SUMIFS('BSE - SENSEX Index Options'!$L:$L,'BSE - SENSEX Index Options'!$C:$C,$A259,'BSE - SENSEX Index Options'!$B:$B,C$147,'BSE - SENSEX Index Options'!$H:$H,"MDAW*")+SUMIFS('BSE - Other Index Options'!$L:$L,'BSE - Other Index Options'!$C:$C,$A259,'BSE - Other Index Options'!$B:$B,C$147,'BSE - Other Index Options'!$H:$H,"Weekly*")+SUMIFS('BSE - Other Index Options'!$L:$L,'BSE - Other Index Options'!$C:$C,$A259,'BSE - Other Index Options'!$B:$B,C$147,'BSE - Other Index Options'!$H:$H,"MDAW*")=0,"",SUMIFS('BSE - SENSEX Index Options'!$L:$L,'BSE - SENSEX Index Options'!$C:$C,$A259,'BSE - SENSEX Index Options'!$B:$B,C$147,'BSE - SENSEX Index Options'!$H:$H,"Weekly*")+SUMIFS('BSE - SENSEX Index Options'!$L:$L,'BSE - SENSEX Index Options'!$C:$C,$A259,'BSE - SENSEX Index Options'!$B:$B,C$147,'BSE - SENSEX Index Options'!$H:$H,"MDAW*")+SUMIFS('BSE - Other Index Options'!$L:$L,'BSE - Other Index Options'!$C:$C,$A259,'BSE - Other Index Options'!$B:$B,C$147,'BSE - Other Index Options'!$H:$H,"Weekly*")+SUMIFS('BSE - Other Index Options'!$L:$L,'BSE - Other Index Options'!$C:$C,$A259,'BSE - Other Index Options'!$B:$B,C$147,'BSE - Other Index Options'!$H:$H,"MDAW*"))</f>
        <v/>
      </c>
      <c r="D259" s="26" t="str">
        <f>IF(SUMIFS('BSE - SENSEX Index Options'!$L:$L,'BSE - SENSEX Index Options'!$C:$C,$A259,'BSE - SENSEX Index Options'!$B:$B,D$147,'BSE - SENSEX Index Options'!$H:$H,"Weekly*")+SUMIFS('BSE - SENSEX Index Options'!$L:$L,'BSE - SENSEX Index Options'!$C:$C,$A259,'BSE - SENSEX Index Options'!$B:$B,D$147,'BSE - SENSEX Index Options'!$H:$H,"MDAW*")+SUMIFS('BSE - Other Index Options'!$L:$L,'BSE - Other Index Options'!$C:$C,$A259,'BSE - Other Index Options'!$B:$B,D$147,'BSE - Other Index Options'!$H:$H,"Weekly*")+SUMIFS('BSE - Other Index Options'!$L:$L,'BSE - Other Index Options'!$C:$C,$A259,'BSE - Other Index Options'!$B:$B,D$147,'BSE - Other Index Options'!$H:$H,"MDAW*")=0,"",SUMIFS('BSE - SENSEX Index Options'!$L:$L,'BSE - SENSEX Index Options'!$C:$C,$A259,'BSE - SENSEX Index Options'!$B:$B,D$147,'BSE - SENSEX Index Options'!$H:$H,"Weekly*")+SUMIFS('BSE - SENSEX Index Options'!$L:$L,'BSE - SENSEX Index Options'!$C:$C,$A259,'BSE - SENSEX Index Options'!$B:$B,D$147,'BSE - SENSEX Index Options'!$H:$H,"MDAW*")+SUMIFS('BSE - Other Index Options'!$L:$L,'BSE - Other Index Options'!$C:$C,$A259,'BSE - Other Index Options'!$B:$B,D$147,'BSE - Other Index Options'!$H:$H,"Weekly*")+SUMIFS('BSE - Other Index Options'!$L:$L,'BSE - Other Index Options'!$C:$C,$A259,'BSE - Other Index Options'!$B:$B,D$147,'BSE - Other Index Options'!$H:$H,"MDAW*"))</f>
        <v/>
      </c>
      <c r="E259" s="26" t="str">
        <f>IF(SUMIFS('BSE - SENSEX Index Options'!$L:$L,'BSE - SENSEX Index Options'!$C:$C,$A259,'BSE - SENSEX Index Options'!$B:$B,E$147,'BSE - SENSEX Index Options'!$H:$H,"Weekly*")+SUMIFS('BSE - SENSEX Index Options'!$L:$L,'BSE - SENSEX Index Options'!$C:$C,$A259,'BSE - SENSEX Index Options'!$B:$B,E$147,'BSE - SENSEX Index Options'!$H:$H,"MDAW*")+SUMIFS('BSE - Other Index Options'!$L:$L,'BSE - Other Index Options'!$C:$C,$A259,'BSE - Other Index Options'!$B:$B,E$147,'BSE - Other Index Options'!$H:$H,"Weekly*")+SUMIFS('BSE - Other Index Options'!$L:$L,'BSE - Other Index Options'!$C:$C,$A259,'BSE - Other Index Options'!$B:$B,E$147,'BSE - Other Index Options'!$H:$H,"MDAW*")=0,"",SUMIFS('BSE - SENSEX Index Options'!$L:$L,'BSE - SENSEX Index Options'!$C:$C,$A259,'BSE - SENSEX Index Options'!$B:$B,E$147,'BSE - SENSEX Index Options'!$H:$H,"Weekly*")+SUMIFS('BSE - SENSEX Index Options'!$L:$L,'BSE - SENSEX Index Options'!$C:$C,$A259,'BSE - SENSEX Index Options'!$B:$B,E$147,'BSE - SENSEX Index Options'!$H:$H,"MDAW*")+SUMIFS('BSE - Other Index Options'!$L:$L,'BSE - Other Index Options'!$C:$C,$A259,'BSE - Other Index Options'!$B:$B,E$147,'BSE - Other Index Options'!$H:$H,"Weekly*")+SUMIFS('BSE - Other Index Options'!$L:$L,'BSE - Other Index Options'!$C:$C,$A259,'BSE - Other Index Options'!$B:$B,E$147,'BSE - Other Index Options'!$H:$H,"MDAW*"))</f>
        <v/>
      </c>
      <c r="F259" s="26" t="str">
        <f>IF(SUMIFS('BSE - SENSEX Index Options'!$L:$L,'BSE - SENSEX Index Options'!$C:$C,$A259,'BSE - SENSEX Index Options'!$B:$B,F$147,'BSE - SENSEX Index Options'!$H:$H,"Weekly*")+SUMIFS('BSE - SENSEX Index Options'!$L:$L,'BSE - SENSEX Index Options'!$C:$C,$A259,'BSE - SENSEX Index Options'!$B:$B,F$147,'BSE - SENSEX Index Options'!$H:$H,"MDAW*")+SUMIFS('BSE - Other Index Options'!$L:$L,'BSE - Other Index Options'!$C:$C,$A259,'BSE - Other Index Options'!$B:$B,F$147,'BSE - Other Index Options'!$H:$H,"Weekly*")+SUMIFS('BSE - Other Index Options'!$L:$L,'BSE - Other Index Options'!$C:$C,$A259,'BSE - Other Index Options'!$B:$B,F$147,'BSE - Other Index Options'!$H:$H,"MDAW*")=0,"",SUMIFS('BSE - SENSEX Index Options'!$L:$L,'BSE - SENSEX Index Options'!$C:$C,$A259,'BSE - SENSEX Index Options'!$B:$B,F$147,'BSE - SENSEX Index Options'!$H:$H,"Weekly*")+SUMIFS('BSE - SENSEX Index Options'!$L:$L,'BSE - SENSEX Index Options'!$C:$C,$A259,'BSE - SENSEX Index Options'!$B:$B,F$147,'BSE - SENSEX Index Options'!$H:$H,"MDAW*")+SUMIFS('BSE - Other Index Options'!$L:$L,'BSE - Other Index Options'!$C:$C,$A259,'BSE - Other Index Options'!$B:$B,F$147,'BSE - Other Index Options'!$H:$H,"Weekly*")+SUMIFS('BSE - Other Index Options'!$L:$L,'BSE - Other Index Options'!$C:$C,$A259,'BSE - Other Index Options'!$B:$B,F$147,'BSE - Other Index Options'!$H:$H,"MDAW*"))</f>
        <v/>
      </c>
      <c r="G259" s="26" t="str">
        <f>IF(SUMIFS('BSE - SENSEX Index Options'!$L:$L,'BSE - SENSEX Index Options'!$C:$C,$A259,'BSE - SENSEX Index Options'!$B:$B,G$147,'BSE - SENSEX Index Options'!$H:$H,"Weekly*")+SUMIFS('BSE - SENSEX Index Options'!$L:$L,'BSE - SENSEX Index Options'!$C:$C,$A259,'BSE - SENSEX Index Options'!$B:$B,G$147,'BSE - SENSEX Index Options'!$H:$H,"MDAW*")+SUMIFS('BSE - Other Index Options'!$L:$L,'BSE - Other Index Options'!$C:$C,$A259,'BSE - Other Index Options'!$B:$B,G$147,'BSE - Other Index Options'!$H:$H,"Weekly*")+SUMIFS('BSE - Other Index Options'!$L:$L,'BSE - Other Index Options'!$C:$C,$A259,'BSE - Other Index Options'!$B:$B,G$147,'BSE - Other Index Options'!$H:$H,"MDAW*")=0,"",SUMIFS('BSE - SENSEX Index Options'!$L:$L,'BSE - SENSEX Index Options'!$C:$C,$A259,'BSE - SENSEX Index Options'!$B:$B,G$147,'BSE - SENSEX Index Options'!$H:$H,"Weekly*")+SUMIFS('BSE - SENSEX Index Options'!$L:$L,'BSE - SENSEX Index Options'!$C:$C,$A259,'BSE - SENSEX Index Options'!$B:$B,G$147,'BSE - SENSEX Index Options'!$H:$H,"MDAW*")+SUMIFS('BSE - Other Index Options'!$L:$L,'BSE - Other Index Options'!$C:$C,$A259,'BSE - Other Index Options'!$B:$B,G$147,'BSE - Other Index Options'!$H:$H,"Weekly*")+SUMIFS('BSE - Other Index Options'!$L:$L,'BSE - Other Index Options'!$C:$C,$A259,'BSE - Other Index Options'!$B:$B,G$147,'BSE - Other Index Options'!$H:$H,"MDAW*"))</f>
        <v/>
      </c>
      <c r="H259" s="26" t="str">
        <f t="shared" si="9"/>
        <v/>
      </c>
    </row>
    <row r="260" spans="1:8" hidden="1" outlineLevel="1">
      <c r="A260" t="s">
        <v>122</v>
      </c>
      <c r="B260" s="26" t="str">
        <f>IF(SUMIFS('BSE - SENSEX Index Options'!$L:$L,'BSE - SENSEX Index Options'!$C:$C,$A260,'BSE - SENSEX Index Options'!$B:$B,B$147,'BSE - SENSEX Index Options'!$H:$H,"Weekly*")+SUMIFS('BSE - SENSEX Index Options'!$L:$L,'BSE - SENSEX Index Options'!$C:$C,$A260,'BSE - SENSEX Index Options'!$B:$B,B$147,'BSE - SENSEX Index Options'!$H:$H,"MDAW*")+SUMIFS('BSE - Other Index Options'!$L:$L,'BSE - Other Index Options'!$C:$C,$A260,'BSE - Other Index Options'!$B:$B,B$147,'BSE - Other Index Options'!$H:$H,"Weekly*")+SUMIFS('BSE - Other Index Options'!$L:$L,'BSE - Other Index Options'!$C:$C,$A260,'BSE - Other Index Options'!$B:$B,B$147,'BSE - Other Index Options'!$H:$H,"MDAW*")=0,"",SUMIFS('BSE - SENSEX Index Options'!$L:$L,'BSE - SENSEX Index Options'!$C:$C,$A260,'BSE - SENSEX Index Options'!$B:$B,B$147,'BSE - SENSEX Index Options'!$H:$H,"Weekly*")+SUMIFS('BSE - SENSEX Index Options'!$L:$L,'BSE - SENSEX Index Options'!$C:$C,$A260,'BSE - SENSEX Index Options'!$B:$B,B$147,'BSE - SENSEX Index Options'!$H:$H,"MDAW*")+SUMIFS('BSE - Other Index Options'!$L:$L,'BSE - Other Index Options'!$C:$C,$A260,'BSE - Other Index Options'!$B:$B,B$147,'BSE - Other Index Options'!$H:$H,"Weekly*")+SUMIFS('BSE - Other Index Options'!$L:$L,'BSE - Other Index Options'!$C:$C,$A260,'BSE - Other Index Options'!$B:$B,B$147,'BSE - Other Index Options'!$H:$H,"MDAW*"))</f>
        <v/>
      </c>
      <c r="C260" s="26" t="str">
        <f>IF(SUMIFS('BSE - SENSEX Index Options'!$L:$L,'BSE - SENSEX Index Options'!$C:$C,$A260,'BSE - SENSEX Index Options'!$B:$B,C$147,'BSE - SENSEX Index Options'!$H:$H,"Weekly*")+SUMIFS('BSE - SENSEX Index Options'!$L:$L,'BSE - SENSEX Index Options'!$C:$C,$A260,'BSE - SENSEX Index Options'!$B:$B,C$147,'BSE - SENSEX Index Options'!$H:$H,"MDAW*")+SUMIFS('BSE - Other Index Options'!$L:$L,'BSE - Other Index Options'!$C:$C,$A260,'BSE - Other Index Options'!$B:$B,C$147,'BSE - Other Index Options'!$H:$H,"Weekly*")+SUMIFS('BSE - Other Index Options'!$L:$L,'BSE - Other Index Options'!$C:$C,$A260,'BSE - Other Index Options'!$B:$B,C$147,'BSE - Other Index Options'!$H:$H,"MDAW*")=0,"",SUMIFS('BSE - SENSEX Index Options'!$L:$L,'BSE - SENSEX Index Options'!$C:$C,$A260,'BSE - SENSEX Index Options'!$B:$B,C$147,'BSE - SENSEX Index Options'!$H:$H,"Weekly*")+SUMIFS('BSE - SENSEX Index Options'!$L:$L,'BSE - SENSEX Index Options'!$C:$C,$A260,'BSE - SENSEX Index Options'!$B:$B,C$147,'BSE - SENSEX Index Options'!$H:$H,"MDAW*")+SUMIFS('BSE - Other Index Options'!$L:$L,'BSE - Other Index Options'!$C:$C,$A260,'BSE - Other Index Options'!$B:$B,C$147,'BSE - Other Index Options'!$H:$H,"Weekly*")+SUMIFS('BSE - Other Index Options'!$L:$L,'BSE - Other Index Options'!$C:$C,$A260,'BSE - Other Index Options'!$B:$B,C$147,'BSE - Other Index Options'!$H:$H,"MDAW*"))</f>
        <v/>
      </c>
      <c r="D260" s="26" t="str">
        <f>IF(SUMIFS('BSE - SENSEX Index Options'!$L:$L,'BSE - SENSEX Index Options'!$C:$C,$A260,'BSE - SENSEX Index Options'!$B:$B,D$147,'BSE - SENSEX Index Options'!$H:$H,"Weekly*")+SUMIFS('BSE - SENSEX Index Options'!$L:$L,'BSE - SENSEX Index Options'!$C:$C,$A260,'BSE - SENSEX Index Options'!$B:$B,D$147,'BSE - SENSEX Index Options'!$H:$H,"MDAW*")+SUMIFS('BSE - Other Index Options'!$L:$L,'BSE - Other Index Options'!$C:$C,$A260,'BSE - Other Index Options'!$B:$B,D$147,'BSE - Other Index Options'!$H:$H,"Weekly*")+SUMIFS('BSE - Other Index Options'!$L:$L,'BSE - Other Index Options'!$C:$C,$A260,'BSE - Other Index Options'!$B:$B,D$147,'BSE - Other Index Options'!$H:$H,"MDAW*")=0,"",SUMIFS('BSE - SENSEX Index Options'!$L:$L,'BSE - SENSEX Index Options'!$C:$C,$A260,'BSE - SENSEX Index Options'!$B:$B,D$147,'BSE - SENSEX Index Options'!$H:$H,"Weekly*")+SUMIFS('BSE - SENSEX Index Options'!$L:$L,'BSE - SENSEX Index Options'!$C:$C,$A260,'BSE - SENSEX Index Options'!$B:$B,D$147,'BSE - SENSEX Index Options'!$H:$H,"MDAW*")+SUMIFS('BSE - Other Index Options'!$L:$L,'BSE - Other Index Options'!$C:$C,$A260,'BSE - Other Index Options'!$B:$B,D$147,'BSE - Other Index Options'!$H:$H,"Weekly*")+SUMIFS('BSE - Other Index Options'!$L:$L,'BSE - Other Index Options'!$C:$C,$A260,'BSE - Other Index Options'!$B:$B,D$147,'BSE - Other Index Options'!$H:$H,"MDAW*"))</f>
        <v/>
      </c>
      <c r="E260" s="26" t="str">
        <f>IF(SUMIFS('BSE - SENSEX Index Options'!$L:$L,'BSE - SENSEX Index Options'!$C:$C,$A260,'BSE - SENSEX Index Options'!$B:$B,E$147,'BSE - SENSEX Index Options'!$H:$H,"Weekly*")+SUMIFS('BSE - SENSEX Index Options'!$L:$L,'BSE - SENSEX Index Options'!$C:$C,$A260,'BSE - SENSEX Index Options'!$B:$B,E$147,'BSE - SENSEX Index Options'!$H:$H,"MDAW*")+SUMIFS('BSE - Other Index Options'!$L:$L,'BSE - Other Index Options'!$C:$C,$A260,'BSE - Other Index Options'!$B:$B,E$147,'BSE - Other Index Options'!$H:$H,"Weekly*")+SUMIFS('BSE - Other Index Options'!$L:$L,'BSE - Other Index Options'!$C:$C,$A260,'BSE - Other Index Options'!$B:$B,E$147,'BSE - Other Index Options'!$H:$H,"MDAW*")=0,"",SUMIFS('BSE - SENSEX Index Options'!$L:$L,'BSE - SENSEX Index Options'!$C:$C,$A260,'BSE - SENSEX Index Options'!$B:$B,E$147,'BSE - SENSEX Index Options'!$H:$H,"Weekly*")+SUMIFS('BSE - SENSEX Index Options'!$L:$L,'BSE - SENSEX Index Options'!$C:$C,$A260,'BSE - SENSEX Index Options'!$B:$B,E$147,'BSE - SENSEX Index Options'!$H:$H,"MDAW*")+SUMIFS('BSE - Other Index Options'!$L:$L,'BSE - Other Index Options'!$C:$C,$A260,'BSE - Other Index Options'!$B:$B,E$147,'BSE - Other Index Options'!$H:$H,"Weekly*")+SUMIFS('BSE - Other Index Options'!$L:$L,'BSE - Other Index Options'!$C:$C,$A260,'BSE - Other Index Options'!$B:$B,E$147,'BSE - Other Index Options'!$H:$H,"MDAW*"))</f>
        <v/>
      </c>
      <c r="F260" s="26" t="str">
        <f>IF(SUMIFS('BSE - SENSEX Index Options'!$L:$L,'BSE - SENSEX Index Options'!$C:$C,$A260,'BSE - SENSEX Index Options'!$B:$B,F$147,'BSE - SENSEX Index Options'!$H:$H,"Weekly*")+SUMIFS('BSE - SENSEX Index Options'!$L:$L,'BSE - SENSEX Index Options'!$C:$C,$A260,'BSE - SENSEX Index Options'!$B:$B,F$147,'BSE - SENSEX Index Options'!$H:$H,"MDAW*")+SUMIFS('BSE - Other Index Options'!$L:$L,'BSE - Other Index Options'!$C:$C,$A260,'BSE - Other Index Options'!$B:$B,F$147,'BSE - Other Index Options'!$H:$H,"Weekly*")+SUMIFS('BSE - Other Index Options'!$L:$L,'BSE - Other Index Options'!$C:$C,$A260,'BSE - Other Index Options'!$B:$B,F$147,'BSE - Other Index Options'!$H:$H,"MDAW*")=0,"",SUMIFS('BSE - SENSEX Index Options'!$L:$L,'BSE - SENSEX Index Options'!$C:$C,$A260,'BSE - SENSEX Index Options'!$B:$B,F$147,'BSE - SENSEX Index Options'!$H:$H,"Weekly*")+SUMIFS('BSE - SENSEX Index Options'!$L:$L,'BSE - SENSEX Index Options'!$C:$C,$A260,'BSE - SENSEX Index Options'!$B:$B,F$147,'BSE - SENSEX Index Options'!$H:$H,"MDAW*")+SUMIFS('BSE - Other Index Options'!$L:$L,'BSE - Other Index Options'!$C:$C,$A260,'BSE - Other Index Options'!$B:$B,F$147,'BSE - Other Index Options'!$H:$H,"Weekly*")+SUMIFS('BSE - Other Index Options'!$L:$L,'BSE - Other Index Options'!$C:$C,$A260,'BSE - Other Index Options'!$B:$B,F$147,'BSE - Other Index Options'!$H:$H,"MDAW*"))</f>
        <v/>
      </c>
      <c r="G260" s="26" t="str">
        <f>IF(SUMIFS('BSE - SENSEX Index Options'!$L:$L,'BSE - SENSEX Index Options'!$C:$C,$A260,'BSE - SENSEX Index Options'!$B:$B,G$147,'BSE - SENSEX Index Options'!$H:$H,"Weekly*")+SUMIFS('BSE - SENSEX Index Options'!$L:$L,'BSE - SENSEX Index Options'!$C:$C,$A260,'BSE - SENSEX Index Options'!$B:$B,G$147,'BSE - SENSEX Index Options'!$H:$H,"MDAW*")+SUMIFS('BSE - Other Index Options'!$L:$L,'BSE - Other Index Options'!$C:$C,$A260,'BSE - Other Index Options'!$B:$B,G$147,'BSE - Other Index Options'!$H:$H,"Weekly*")+SUMIFS('BSE - Other Index Options'!$L:$L,'BSE - Other Index Options'!$C:$C,$A260,'BSE - Other Index Options'!$B:$B,G$147,'BSE - Other Index Options'!$H:$H,"MDAW*")=0,"",SUMIFS('BSE - SENSEX Index Options'!$L:$L,'BSE - SENSEX Index Options'!$C:$C,$A260,'BSE - SENSEX Index Options'!$B:$B,G$147,'BSE - SENSEX Index Options'!$H:$H,"Weekly*")+SUMIFS('BSE - SENSEX Index Options'!$L:$L,'BSE - SENSEX Index Options'!$C:$C,$A260,'BSE - SENSEX Index Options'!$B:$B,G$147,'BSE - SENSEX Index Options'!$H:$H,"MDAW*")+SUMIFS('BSE - Other Index Options'!$L:$L,'BSE - Other Index Options'!$C:$C,$A260,'BSE - Other Index Options'!$B:$B,G$147,'BSE - Other Index Options'!$H:$H,"Weekly*")+SUMIFS('BSE - Other Index Options'!$L:$L,'BSE - Other Index Options'!$C:$C,$A260,'BSE - Other Index Options'!$B:$B,G$147,'BSE - Other Index Options'!$H:$H,"MDAW*"))</f>
        <v/>
      </c>
      <c r="H260" s="26" t="str">
        <f t="shared" si="9"/>
        <v/>
      </c>
    </row>
    <row r="261" spans="1:8" hidden="1" outlineLevel="1">
      <c r="A261" t="s">
        <v>123</v>
      </c>
      <c r="B261" s="26" t="str">
        <f>IF(SUMIFS('BSE - SENSEX Index Options'!$L:$L,'BSE - SENSEX Index Options'!$C:$C,$A261,'BSE - SENSEX Index Options'!$B:$B,B$147,'BSE - SENSEX Index Options'!$H:$H,"Weekly*")+SUMIFS('BSE - SENSEX Index Options'!$L:$L,'BSE - SENSEX Index Options'!$C:$C,$A261,'BSE - SENSEX Index Options'!$B:$B,B$147,'BSE - SENSEX Index Options'!$H:$H,"MDAW*")+SUMIFS('BSE - Other Index Options'!$L:$L,'BSE - Other Index Options'!$C:$C,$A261,'BSE - Other Index Options'!$B:$B,B$147,'BSE - Other Index Options'!$H:$H,"Weekly*")+SUMIFS('BSE - Other Index Options'!$L:$L,'BSE - Other Index Options'!$C:$C,$A261,'BSE - Other Index Options'!$B:$B,B$147,'BSE - Other Index Options'!$H:$H,"MDAW*")=0,"",SUMIFS('BSE - SENSEX Index Options'!$L:$L,'BSE - SENSEX Index Options'!$C:$C,$A261,'BSE - SENSEX Index Options'!$B:$B,B$147,'BSE - SENSEX Index Options'!$H:$H,"Weekly*")+SUMIFS('BSE - SENSEX Index Options'!$L:$L,'BSE - SENSEX Index Options'!$C:$C,$A261,'BSE - SENSEX Index Options'!$B:$B,B$147,'BSE - SENSEX Index Options'!$H:$H,"MDAW*")+SUMIFS('BSE - Other Index Options'!$L:$L,'BSE - Other Index Options'!$C:$C,$A261,'BSE - Other Index Options'!$B:$B,B$147,'BSE - Other Index Options'!$H:$H,"Weekly*")+SUMIFS('BSE - Other Index Options'!$L:$L,'BSE - Other Index Options'!$C:$C,$A261,'BSE - Other Index Options'!$B:$B,B$147,'BSE - Other Index Options'!$H:$H,"MDAW*"))</f>
        <v/>
      </c>
      <c r="C261" s="26" t="str">
        <f>IF(SUMIFS('BSE - SENSEX Index Options'!$L:$L,'BSE - SENSEX Index Options'!$C:$C,$A261,'BSE - SENSEX Index Options'!$B:$B,C$147,'BSE - SENSEX Index Options'!$H:$H,"Weekly*")+SUMIFS('BSE - SENSEX Index Options'!$L:$L,'BSE - SENSEX Index Options'!$C:$C,$A261,'BSE - SENSEX Index Options'!$B:$B,C$147,'BSE - SENSEX Index Options'!$H:$H,"MDAW*")+SUMIFS('BSE - Other Index Options'!$L:$L,'BSE - Other Index Options'!$C:$C,$A261,'BSE - Other Index Options'!$B:$B,C$147,'BSE - Other Index Options'!$H:$H,"Weekly*")+SUMIFS('BSE - Other Index Options'!$L:$L,'BSE - Other Index Options'!$C:$C,$A261,'BSE - Other Index Options'!$B:$B,C$147,'BSE - Other Index Options'!$H:$H,"MDAW*")=0,"",SUMIFS('BSE - SENSEX Index Options'!$L:$L,'BSE - SENSEX Index Options'!$C:$C,$A261,'BSE - SENSEX Index Options'!$B:$B,C$147,'BSE - SENSEX Index Options'!$H:$H,"Weekly*")+SUMIFS('BSE - SENSEX Index Options'!$L:$L,'BSE - SENSEX Index Options'!$C:$C,$A261,'BSE - SENSEX Index Options'!$B:$B,C$147,'BSE - SENSEX Index Options'!$H:$H,"MDAW*")+SUMIFS('BSE - Other Index Options'!$L:$L,'BSE - Other Index Options'!$C:$C,$A261,'BSE - Other Index Options'!$B:$B,C$147,'BSE - Other Index Options'!$H:$H,"Weekly*")+SUMIFS('BSE - Other Index Options'!$L:$L,'BSE - Other Index Options'!$C:$C,$A261,'BSE - Other Index Options'!$B:$B,C$147,'BSE - Other Index Options'!$H:$H,"MDAW*"))</f>
        <v/>
      </c>
      <c r="D261" s="26" t="str">
        <f>IF(SUMIFS('BSE - SENSEX Index Options'!$L:$L,'BSE - SENSEX Index Options'!$C:$C,$A261,'BSE - SENSEX Index Options'!$B:$B,D$147,'BSE - SENSEX Index Options'!$H:$H,"Weekly*")+SUMIFS('BSE - SENSEX Index Options'!$L:$L,'BSE - SENSEX Index Options'!$C:$C,$A261,'BSE - SENSEX Index Options'!$B:$B,D$147,'BSE - SENSEX Index Options'!$H:$H,"MDAW*")+SUMIFS('BSE - Other Index Options'!$L:$L,'BSE - Other Index Options'!$C:$C,$A261,'BSE - Other Index Options'!$B:$B,D$147,'BSE - Other Index Options'!$H:$H,"Weekly*")+SUMIFS('BSE - Other Index Options'!$L:$L,'BSE - Other Index Options'!$C:$C,$A261,'BSE - Other Index Options'!$B:$B,D$147,'BSE - Other Index Options'!$H:$H,"MDAW*")=0,"",SUMIFS('BSE - SENSEX Index Options'!$L:$L,'BSE - SENSEX Index Options'!$C:$C,$A261,'BSE - SENSEX Index Options'!$B:$B,D$147,'BSE - SENSEX Index Options'!$H:$H,"Weekly*")+SUMIFS('BSE - SENSEX Index Options'!$L:$L,'BSE - SENSEX Index Options'!$C:$C,$A261,'BSE - SENSEX Index Options'!$B:$B,D$147,'BSE - SENSEX Index Options'!$H:$H,"MDAW*")+SUMIFS('BSE - Other Index Options'!$L:$L,'BSE - Other Index Options'!$C:$C,$A261,'BSE - Other Index Options'!$B:$B,D$147,'BSE - Other Index Options'!$H:$H,"Weekly*")+SUMIFS('BSE - Other Index Options'!$L:$L,'BSE - Other Index Options'!$C:$C,$A261,'BSE - Other Index Options'!$B:$B,D$147,'BSE - Other Index Options'!$H:$H,"MDAW*"))</f>
        <v/>
      </c>
      <c r="E261" s="26" t="str">
        <f>IF(SUMIFS('BSE - SENSEX Index Options'!$L:$L,'BSE - SENSEX Index Options'!$C:$C,$A261,'BSE - SENSEX Index Options'!$B:$B,E$147,'BSE - SENSEX Index Options'!$H:$H,"Weekly*")+SUMIFS('BSE - SENSEX Index Options'!$L:$L,'BSE - SENSEX Index Options'!$C:$C,$A261,'BSE - SENSEX Index Options'!$B:$B,E$147,'BSE - SENSEX Index Options'!$H:$H,"MDAW*")+SUMIFS('BSE - Other Index Options'!$L:$L,'BSE - Other Index Options'!$C:$C,$A261,'BSE - Other Index Options'!$B:$B,E$147,'BSE - Other Index Options'!$H:$H,"Weekly*")+SUMIFS('BSE - Other Index Options'!$L:$L,'BSE - Other Index Options'!$C:$C,$A261,'BSE - Other Index Options'!$B:$B,E$147,'BSE - Other Index Options'!$H:$H,"MDAW*")=0,"",SUMIFS('BSE - SENSEX Index Options'!$L:$L,'BSE - SENSEX Index Options'!$C:$C,$A261,'BSE - SENSEX Index Options'!$B:$B,E$147,'BSE - SENSEX Index Options'!$H:$H,"Weekly*")+SUMIFS('BSE - SENSEX Index Options'!$L:$L,'BSE - SENSEX Index Options'!$C:$C,$A261,'BSE - SENSEX Index Options'!$B:$B,E$147,'BSE - SENSEX Index Options'!$H:$H,"MDAW*")+SUMIFS('BSE - Other Index Options'!$L:$L,'BSE - Other Index Options'!$C:$C,$A261,'BSE - Other Index Options'!$B:$B,E$147,'BSE - Other Index Options'!$H:$H,"Weekly*")+SUMIFS('BSE - Other Index Options'!$L:$L,'BSE - Other Index Options'!$C:$C,$A261,'BSE - Other Index Options'!$B:$B,E$147,'BSE - Other Index Options'!$H:$H,"MDAW*"))</f>
        <v/>
      </c>
      <c r="F261" s="26" t="str">
        <f>IF(SUMIFS('BSE - SENSEX Index Options'!$L:$L,'BSE - SENSEX Index Options'!$C:$C,$A261,'BSE - SENSEX Index Options'!$B:$B,F$147,'BSE - SENSEX Index Options'!$H:$H,"Weekly*")+SUMIFS('BSE - SENSEX Index Options'!$L:$L,'BSE - SENSEX Index Options'!$C:$C,$A261,'BSE - SENSEX Index Options'!$B:$B,F$147,'BSE - SENSEX Index Options'!$H:$H,"MDAW*")+SUMIFS('BSE - Other Index Options'!$L:$L,'BSE - Other Index Options'!$C:$C,$A261,'BSE - Other Index Options'!$B:$B,F$147,'BSE - Other Index Options'!$H:$H,"Weekly*")+SUMIFS('BSE - Other Index Options'!$L:$L,'BSE - Other Index Options'!$C:$C,$A261,'BSE - Other Index Options'!$B:$B,F$147,'BSE - Other Index Options'!$H:$H,"MDAW*")=0,"",SUMIFS('BSE - SENSEX Index Options'!$L:$L,'BSE - SENSEX Index Options'!$C:$C,$A261,'BSE - SENSEX Index Options'!$B:$B,F$147,'BSE - SENSEX Index Options'!$H:$H,"Weekly*")+SUMIFS('BSE - SENSEX Index Options'!$L:$L,'BSE - SENSEX Index Options'!$C:$C,$A261,'BSE - SENSEX Index Options'!$B:$B,F$147,'BSE - SENSEX Index Options'!$H:$H,"MDAW*")+SUMIFS('BSE - Other Index Options'!$L:$L,'BSE - Other Index Options'!$C:$C,$A261,'BSE - Other Index Options'!$B:$B,F$147,'BSE - Other Index Options'!$H:$H,"Weekly*")+SUMIFS('BSE - Other Index Options'!$L:$L,'BSE - Other Index Options'!$C:$C,$A261,'BSE - Other Index Options'!$B:$B,F$147,'BSE - Other Index Options'!$H:$H,"MDAW*"))</f>
        <v/>
      </c>
      <c r="G261" s="26" t="str">
        <f>IF(SUMIFS('BSE - SENSEX Index Options'!$L:$L,'BSE - SENSEX Index Options'!$C:$C,$A261,'BSE - SENSEX Index Options'!$B:$B,G$147,'BSE - SENSEX Index Options'!$H:$H,"Weekly*")+SUMIFS('BSE - SENSEX Index Options'!$L:$L,'BSE - SENSEX Index Options'!$C:$C,$A261,'BSE - SENSEX Index Options'!$B:$B,G$147,'BSE - SENSEX Index Options'!$H:$H,"MDAW*")+SUMIFS('BSE - Other Index Options'!$L:$L,'BSE - Other Index Options'!$C:$C,$A261,'BSE - Other Index Options'!$B:$B,G$147,'BSE - Other Index Options'!$H:$H,"Weekly*")+SUMIFS('BSE - Other Index Options'!$L:$L,'BSE - Other Index Options'!$C:$C,$A261,'BSE - Other Index Options'!$B:$B,G$147,'BSE - Other Index Options'!$H:$H,"MDAW*")=0,"",SUMIFS('BSE - SENSEX Index Options'!$L:$L,'BSE - SENSEX Index Options'!$C:$C,$A261,'BSE - SENSEX Index Options'!$B:$B,G$147,'BSE - SENSEX Index Options'!$H:$H,"Weekly*")+SUMIFS('BSE - SENSEX Index Options'!$L:$L,'BSE - SENSEX Index Options'!$C:$C,$A261,'BSE - SENSEX Index Options'!$B:$B,G$147,'BSE - SENSEX Index Options'!$H:$H,"MDAW*")+SUMIFS('BSE - Other Index Options'!$L:$L,'BSE - Other Index Options'!$C:$C,$A261,'BSE - Other Index Options'!$B:$B,G$147,'BSE - Other Index Options'!$H:$H,"Weekly*")+SUMIFS('BSE - Other Index Options'!$L:$L,'BSE - Other Index Options'!$C:$C,$A261,'BSE - Other Index Options'!$B:$B,G$147,'BSE - Other Index Options'!$H:$H,"MDAW*"))</f>
        <v/>
      </c>
      <c r="H261" s="26" t="str">
        <f t="shared" si="9"/>
        <v/>
      </c>
    </row>
    <row r="262" spans="1:8" hidden="1" outlineLevel="1">
      <c r="A262" t="s">
        <v>124</v>
      </c>
      <c r="B262" s="26" t="str">
        <f>IF(SUMIFS('BSE - SENSEX Index Options'!$L:$L,'BSE - SENSEX Index Options'!$C:$C,$A262,'BSE - SENSEX Index Options'!$B:$B,B$147,'BSE - SENSEX Index Options'!$H:$H,"Weekly*")+SUMIFS('BSE - SENSEX Index Options'!$L:$L,'BSE - SENSEX Index Options'!$C:$C,$A262,'BSE - SENSEX Index Options'!$B:$B,B$147,'BSE - SENSEX Index Options'!$H:$H,"MDAW*")+SUMIFS('BSE - Other Index Options'!$L:$L,'BSE - Other Index Options'!$C:$C,$A262,'BSE - Other Index Options'!$B:$B,B$147,'BSE - Other Index Options'!$H:$H,"Weekly*")+SUMIFS('BSE - Other Index Options'!$L:$L,'BSE - Other Index Options'!$C:$C,$A262,'BSE - Other Index Options'!$B:$B,B$147,'BSE - Other Index Options'!$H:$H,"MDAW*")=0,"",SUMIFS('BSE - SENSEX Index Options'!$L:$L,'BSE - SENSEX Index Options'!$C:$C,$A262,'BSE - SENSEX Index Options'!$B:$B,B$147,'BSE - SENSEX Index Options'!$H:$H,"Weekly*")+SUMIFS('BSE - SENSEX Index Options'!$L:$L,'BSE - SENSEX Index Options'!$C:$C,$A262,'BSE - SENSEX Index Options'!$B:$B,B$147,'BSE - SENSEX Index Options'!$H:$H,"MDAW*")+SUMIFS('BSE - Other Index Options'!$L:$L,'BSE - Other Index Options'!$C:$C,$A262,'BSE - Other Index Options'!$B:$B,B$147,'BSE - Other Index Options'!$H:$H,"Weekly*")+SUMIFS('BSE - Other Index Options'!$L:$L,'BSE - Other Index Options'!$C:$C,$A262,'BSE - Other Index Options'!$B:$B,B$147,'BSE - Other Index Options'!$H:$H,"MDAW*"))</f>
        <v/>
      </c>
      <c r="C262" s="26" t="str">
        <f>IF(SUMIFS('BSE - SENSEX Index Options'!$L:$L,'BSE - SENSEX Index Options'!$C:$C,$A262,'BSE - SENSEX Index Options'!$B:$B,C$147,'BSE - SENSEX Index Options'!$H:$H,"Weekly*")+SUMIFS('BSE - SENSEX Index Options'!$L:$L,'BSE - SENSEX Index Options'!$C:$C,$A262,'BSE - SENSEX Index Options'!$B:$B,C$147,'BSE - SENSEX Index Options'!$H:$H,"MDAW*")+SUMIFS('BSE - Other Index Options'!$L:$L,'BSE - Other Index Options'!$C:$C,$A262,'BSE - Other Index Options'!$B:$B,C$147,'BSE - Other Index Options'!$H:$H,"Weekly*")+SUMIFS('BSE - Other Index Options'!$L:$L,'BSE - Other Index Options'!$C:$C,$A262,'BSE - Other Index Options'!$B:$B,C$147,'BSE - Other Index Options'!$H:$H,"MDAW*")=0,"",SUMIFS('BSE - SENSEX Index Options'!$L:$L,'BSE - SENSEX Index Options'!$C:$C,$A262,'BSE - SENSEX Index Options'!$B:$B,C$147,'BSE - SENSEX Index Options'!$H:$H,"Weekly*")+SUMIFS('BSE - SENSEX Index Options'!$L:$L,'BSE - SENSEX Index Options'!$C:$C,$A262,'BSE - SENSEX Index Options'!$B:$B,C$147,'BSE - SENSEX Index Options'!$H:$H,"MDAW*")+SUMIFS('BSE - Other Index Options'!$L:$L,'BSE - Other Index Options'!$C:$C,$A262,'BSE - Other Index Options'!$B:$B,C$147,'BSE - Other Index Options'!$H:$H,"Weekly*")+SUMIFS('BSE - Other Index Options'!$L:$L,'BSE - Other Index Options'!$C:$C,$A262,'BSE - Other Index Options'!$B:$B,C$147,'BSE - Other Index Options'!$H:$H,"MDAW*"))</f>
        <v/>
      </c>
      <c r="D262" s="26" t="str">
        <f>IF(SUMIFS('BSE - SENSEX Index Options'!$L:$L,'BSE - SENSEX Index Options'!$C:$C,$A262,'BSE - SENSEX Index Options'!$B:$B,D$147,'BSE - SENSEX Index Options'!$H:$H,"Weekly*")+SUMIFS('BSE - SENSEX Index Options'!$L:$L,'BSE - SENSEX Index Options'!$C:$C,$A262,'BSE - SENSEX Index Options'!$B:$B,D$147,'BSE - SENSEX Index Options'!$H:$H,"MDAW*")+SUMIFS('BSE - Other Index Options'!$L:$L,'BSE - Other Index Options'!$C:$C,$A262,'BSE - Other Index Options'!$B:$B,D$147,'BSE - Other Index Options'!$H:$H,"Weekly*")+SUMIFS('BSE - Other Index Options'!$L:$L,'BSE - Other Index Options'!$C:$C,$A262,'BSE - Other Index Options'!$B:$B,D$147,'BSE - Other Index Options'!$H:$H,"MDAW*")=0,"",SUMIFS('BSE - SENSEX Index Options'!$L:$L,'BSE - SENSEX Index Options'!$C:$C,$A262,'BSE - SENSEX Index Options'!$B:$B,D$147,'BSE - SENSEX Index Options'!$H:$H,"Weekly*")+SUMIFS('BSE - SENSEX Index Options'!$L:$L,'BSE - SENSEX Index Options'!$C:$C,$A262,'BSE - SENSEX Index Options'!$B:$B,D$147,'BSE - SENSEX Index Options'!$H:$H,"MDAW*")+SUMIFS('BSE - Other Index Options'!$L:$L,'BSE - Other Index Options'!$C:$C,$A262,'BSE - Other Index Options'!$B:$B,D$147,'BSE - Other Index Options'!$H:$H,"Weekly*")+SUMIFS('BSE - Other Index Options'!$L:$L,'BSE - Other Index Options'!$C:$C,$A262,'BSE - Other Index Options'!$B:$B,D$147,'BSE - Other Index Options'!$H:$H,"MDAW*"))</f>
        <v/>
      </c>
      <c r="E262" s="26" t="str">
        <f>IF(SUMIFS('BSE - SENSEX Index Options'!$L:$L,'BSE - SENSEX Index Options'!$C:$C,$A262,'BSE - SENSEX Index Options'!$B:$B,E$147,'BSE - SENSEX Index Options'!$H:$H,"Weekly*")+SUMIFS('BSE - SENSEX Index Options'!$L:$L,'BSE - SENSEX Index Options'!$C:$C,$A262,'BSE - SENSEX Index Options'!$B:$B,E$147,'BSE - SENSEX Index Options'!$H:$H,"MDAW*")+SUMIFS('BSE - Other Index Options'!$L:$L,'BSE - Other Index Options'!$C:$C,$A262,'BSE - Other Index Options'!$B:$B,E$147,'BSE - Other Index Options'!$H:$H,"Weekly*")+SUMIFS('BSE - Other Index Options'!$L:$L,'BSE - Other Index Options'!$C:$C,$A262,'BSE - Other Index Options'!$B:$B,E$147,'BSE - Other Index Options'!$H:$H,"MDAW*")=0,"",SUMIFS('BSE - SENSEX Index Options'!$L:$L,'BSE - SENSEX Index Options'!$C:$C,$A262,'BSE - SENSEX Index Options'!$B:$B,E$147,'BSE - SENSEX Index Options'!$H:$H,"Weekly*")+SUMIFS('BSE - SENSEX Index Options'!$L:$L,'BSE - SENSEX Index Options'!$C:$C,$A262,'BSE - SENSEX Index Options'!$B:$B,E$147,'BSE - SENSEX Index Options'!$H:$H,"MDAW*")+SUMIFS('BSE - Other Index Options'!$L:$L,'BSE - Other Index Options'!$C:$C,$A262,'BSE - Other Index Options'!$B:$B,E$147,'BSE - Other Index Options'!$H:$H,"Weekly*")+SUMIFS('BSE - Other Index Options'!$L:$L,'BSE - Other Index Options'!$C:$C,$A262,'BSE - Other Index Options'!$B:$B,E$147,'BSE - Other Index Options'!$H:$H,"MDAW*"))</f>
        <v/>
      </c>
      <c r="F262" s="26" t="str">
        <f>IF(SUMIFS('BSE - SENSEX Index Options'!$L:$L,'BSE - SENSEX Index Options'!$C:$C,$A262,'BSE - SENSEX Index Options'!$B:$B,F$147,'BSE - SENSEX Index Options'!$H:$H,"Weekly*")+SUMIFS('BSE - SENSEX Index Options'!$L:$L,'BSE - SENSEX Index Options'!$C:$C,$A262,'BSE - SENSEX Index Options'!$B:$B,F$147,'BSE - SENSEX Index Options'!$H:$H,"MDAW*")+SUMIFS('BSE - Other Index Options'!$L:$L,'BSE - Other Index Options'!$C:$C,$A262,'BSE - Other Index Options'!$B:$B,F$147,'BSE - Other Index Options'!$H:$H,"Weekly*")+SUMIFS('BSE - Other Index Options'!$L:$L,'BSE - Other Index Options'!$C:$C,$A262,'BSE - Other Index Options'!$B:$B,F$147,'BSE - Other Index Options'!$H:$H,"MDAW*")=0,"",SUMIFS('BSE - SENSEX Index Options'!$L:$L,'BSE - SENSEX Index Options'!$C:$C,$A262,'BSE - SENSEX Index Options'!$B:$B,F$147,'BSE - SENSEX Index Options'!$H:$H,"Weekly*")+SUMIFS('BSE - SENSEX Index Options'!$L:$L,'BSE - SENSEX Index Options'!$C:$C,$A262,'BSE - SENSEX Index Options'!$B:$B,F$147,'BSE - SENSEX Index Options'!$H:$H,"MDAW*")+SUMIFS('BSE - Other Index Options'!$L:$L,'BSE - Other Index Options'!$C:$C,$A262,'BSE - Other Index Options'!$B:$B,F$147,'BSE - Other Index Options'!$H:$H,"Weekly*")+SUMIFS('BSE - Other Index Options'!$L:$L,'BSE - Other Index Options'!$C:$C,$A262,'BSE - Other Index Options'!$B:$B,F$147,'BSE - Other Index Options'!$H:$H,"MDAW*"))</f>
        <v/>
      </c>
      <c r="G262" s="26" t="str">
        <f>IF(SUMIFS('BSE - SENSEX Index Options'!$L:$L,'BSE - SENSEX Index Options'!$C:$C,$A262,'BSE - SENSEX Index Options'!$B:$B,G$147,'BSE - SENSEX Index Options'!$H:$H,"Weekly*")+SUMIFS('BSE - SENSEX Index Options'!$L:$L,'BSE - SENSEX Index Options'!$C:$C,$A262,'BSE - SENSEX Index Options'!$B:$B,G$147,'BSE - SENSEX Index Options'!$H:$H,"MDAW*")+SUMIFS('BSE - Other Index Options'!$L:$L,'BSE - Other Index Options'!$C:$C,$A262,'BSE - Other Index Options'!$B:$B,G$147,'BSE - Other Index Options'!$H:$H,"Weekly*")+SUMIFS('BSE - Other Index Options'!$L:$L,'BSE - Other Index Options'!$C:$C,$A262,'BSE - Other Index Options'!$B:$B,G$147,'BSE - Other Index Options'!$H:$H,"MDAW*")=0,"",SUMIFS('BSE - SENSEX Index Options'!$L:$L,'BSE - SENSEX Index Options'!$C:$C,$A262,'BSE - SENSEX Index Options'!$B:$B,G$147,'BSE - SENSEX Index Options'!$H:$H,"Weekly*")+SUMIFS('BSE - SENSEX Index Options'!$L:$L,'BSE - SENSEX Index Options'!$C:$C,$A262,'BSE - SENSEX Index Options'!$B:$B,G$147,'BSE - SENSEX Index Options'!$H:$H,"MDAW*")+SUMIFS('BSE - Other Index Options'!$L:$L,'BSE - Other Index Options'!$C:$C,$A262,'BSE - Other Index Options'!$B:$B,G$147,'BSE - Other Index Options'!$H:$H,"Weekly*")+SUMIFS('BSE - Other Index Options'!$L:$L,'BSE - Other Index Options'!$C:$C,$A262,'BSE - Other Index Options'!$B:$B,G$147,'BSE - Other Index Options'!$H:$H,"MDAW*"))</f>
        <v/>
      </c>
      <c r="H262" s="26" t="str">
        <f t="shared" si="9"/>
        <v/>
      </c>
    </row>
    <row r="263" spans="1:8" hidden="1" outlineLevel="1">
      <c r="A263" t="s">
        <v>125</v>
      </c>
      <c r="B263" s="26" t="str">
        <f>IF(SUMIFS('BSE - SENSEX Index Options'!$L:$L,'BSE - SENSEX Index Options'!$C:$C,$A263,'BSE - SENSEX Index Options'!$B:$B,B$147,'BSE - SENSEX Index Options'!$H:$H,"Weekly*")+SUMIFS('BSE - SENSEX Index Options'!$L:$L,'BSE - SENSEX Index Options'!$C:$C,$A263,'BSE - SENSEX Index Options'!$B:$B,B$147,'BSE - SENSEX Index Options'!$H:$H,"MDAW*")+SUMIFS('BSE - Other Index Options'!$L:$L,'BSE - Other Index Options'!$C:$C,$A263,'BSE - Other Index Options'!$B:$B,B$147,'BSE - Other Index Options'!$H:$H,"Weekly*")+SUMIFS('BSE - Other Index Options'!$L:$L,'BSE - Other Index Options'!$C:$C,$A263,'BSE - Other Index Options'!$B:$B,B$147,'BSE - Other Index Options'!$H:$H,"MDAW*")=0,"",SUMIFS('BSE - SENSEX Index Options'!$L:$L,'BSE - SENSEX Index Options'!$C:$C,$A263,'BSE - SENSEX Index Options'!$B:$B,B$147,'BSE - SENSEX Index Options'!$H:$H,"Weekly*")+SUMIFS('BSE - SENSEX Index Options'!$L:$L,'BSE - SENSEX Index Options'!$C:$C,$A263,'BSE - SENSEX Index Options'!$B:$B,B$147,'BSE - SENSEX Index Options'!$H:$H,"MDAW*")+SUMIFS('BSE - Other Index Options'!$L:$L,'BSE - Other Index Options'!$C:$C,$A263,'BSE - Other Index Options'!$B:$B,B$147,'BSE - Other Index Options'!$H:$H,"Weekly*")+SUMIFS('BSE - Other Index Options'!$L:$L,'BSE - Other Index Options'!$C:$C,$A263,'BSE - Other Index Options'!$B:$B,B$147,'BSE - Other Index Options'!$H:$H,"MDAW*"))</f>
        <v/>
      </c>
      <c r="C263" s="26" t="str">
        <f>IF(SUMIFS('BSE - SENSEX Index Options'!$L:$L,'BSE - SENSEX Index Options'!$C:$C,$A263,'BSE - SENSEX Index Options'!$B:$B,C$147,'BSE - SENSEX Index Options'!$H:$H,"Weekly*")+SUMIFS('BSE - SENSEX Index Options'!$L:$L,'BSE - SENSEX Index Options'!$C:$C,$A263,'BSE - SENSEX Index Options'!$B:$B,C$147,'BSE - SENSEX Index Options'!$H:$H,"MDAW*")+SUMIFS('BSE - Other Index Options'!$L:$L,'BSE - Other Index Options'!$C:$C,$A263,'BSE - Other Index Options'!$B:$B,C$147,'BSE - Other Index Options'!$H:$H,"Weekly*")+SUMIFS('BSE - Other Index Options'!$L:$L,'BSE - Other Index Options'!$C:$C,$A263,'BSE - Other Index Options'!$B:$B,C$147,'BSE - Other Index Options'!$H:$H,"MDAW*")=0,"",SUMIFS('BSE - SENSEX Index Options'!$L:$L,'BSE - SENSEX Index Options'!$C:$C,$A263,'BSE - SENSEX Index Options'!$B:$B,C$147,'BSE - SENSEX Index Options'!$H:$H,"Weekly*")+SUMIFS('BSE - SENSEX Index Options'!$L:$L,'BSE - SENSEX Index Options'!$C:$C,$A263,'BSE - SENSEX Index Options'!$B:$B,C$147,'BSE - SENSEX Index Options'!$H:$H,"MDAW*")+SUMIFS('BSE - Other Index Options'!$L:$L,'BSE - Other Index Options'!$C:$C,$A263,'BSE - Other Index Options'!$B:$B,C$147,'BSE - Other Index Options'!$H:$H,"Weekly*")+SUMIFS('BSE - Other Index Options'!$L:$L,'BSE - Other Index Options'!$C:$C,$A263,'BSE - Other Index Options'!$B:$B,C$147,'BSE - Other Index Options'!$H:$H,"MDAW*"))</f>
        <v/>
      </c>
      <c r="D263" s="26" t="str">
        <f>IF(SUMIFS('BSE - SENSEX Index Options'!$L:$L,'BSE - SENSEX Index Options'!$C:$C,$A263,'BSE - SENSEX Index Options'!$B:$B,D$147,'BSE - SENSEX Index Options'!$H:$H,"Weekly*")+SUMIFS('BSE - SENSEX Index Options'!$L:$L,'BSE - SENSEX Index Options'!$C:$C,$A263,'BSE - SENSEX Index Options'!$B:$B,D$147,'BSE - SENSEX Index Options'!$H:$H,"MDAW*")+SUMIFS('BSE - Other Index Options'!$L:$L,'BSE - Other Index Options'!$C:$C,$A263,'BSE - Other Index Options'!$B:$B,D$147,'BSE - Other Index Options'!$H:$H,"Weekly*")+SUMIFS('BSE - Other Index Options'!$L:$L,'BSE - Other Index Options'!$C:$C,$A263,'BSE - Other Index Options'!$B:$B,D$147,'BSE - Other Index Options'!$H:$H,"MDAW*")=0,"",SUMIFS('BSE - SENSEX Index Options'!$L:$L,'BSE - SENSEX Index Options'!$C:$C,$A263,'BSE - SENSEX Index Options'!$B:$B,D$147,'BSE - SENSEX Index Options'!$H:$H,"Weekly*")+SUMIFS('BSE - SENSEX Index Options'!$L:$L,'BSE - SENSEX Index Options'!$C:$C,$A263,'BSE - SENSEX Index Options'!$B:$B,D$147,'BSE - SENSEX Index Options'!$H:$H,"MDAW*")+SUMIFS('BSE - Other Index Options'!$L:$L,'BSE - Other Index Options'!$C:$C,$A263,'BSE - Other Index Options'!$B:$B,D$147,'BSE - Other Index Options'!$H:$H,"Weekly*")+SUMIFS('BSE - Other Index Options'!$L:$L,'BSE - Other Index Options'!$C:$C,$A263,'BSE - Other Index Options'!$B:$B,D$147,'BSE - Other Index Options'!$H:$H,"MDAW*"))</f>
        <v/>
      </c>
      <c r="E263" s="26" t="str">
        <f>IF(SUMIFS('BSE - SENSEX Index Options'!$L:$L,'BSE - SENSEX Index Options'!$C:$C,$A263,'BSE - SENSEX Index Options'!$B:$B,E$147,'BSE - SENSEX Index Options'!$H:$H,"Weekly*")+SUMIFS('BSE - SENSEX Index Options'!$L:$L,'BSE - SENSEX Index Options'!$C:$C,$A263,'BSE - SENSEX Index Options'!$B:$B,E$147,'BSE - SENSEX Index Options'!$H:$H,"MDAW*")+SUMIFS('BSE - Other Index Options'!$L:$L,'BSE - Other Index Options'!$C:$C,$A263,'BSE - Other Index Options'!$B:$B,E$147,'BSE - Other Index Options'!$H:$H,"Weekly*")+SUMIFS('BSE - Other Index Options'!$L:$L,'BSE - Other Index Options'!$C:$C,$A263,'BSE - Other Index Options'!$B:$B,E$147,'BSE - Other Index Options'!$H:$H,"MDAW*")=0,"",SUMIFS('BSE - SENSEX Index Options'!$L:$L,'BSE - SENSEX Index Options'!$C:$C,$A263,'BSE - SENSEX Index Options'!$B:$B,E$147,'BSE - SENSEX Index Options'!$H:$H,"Weekly*")+SUMIFS('BSE - SENSEX Index Options'!$L:$L,'BSE - SENSEX Index Options'!$C:$C,$A263,'BSE - SENSEX Index Options'!$B:$B,E$147,'BSE - SENSEX Index Options'!$H:$H,"MDAW*")+SUMIFS('BSE - Other Index Options'!$L:$L,'BSE - Other Index Options'!$C:$C,$A263,'BSE - Other Index Options'!$B:$B,E$147,'BSE - Other Index Options'!$H:$H,"Weekly*")+SUMIFS('BSE - Other Index Options'!$L:$L,'BSE - Other Index Options'!$C:$C,$A263,'BSE - Other Index Options'!$B:$B,E$147,'BSE - Other Index Options'!$H:$H,"MDAW*"))</f>
        <v/>
      </c>
      <c r="F263" s="26" t="str">
        <f>IF(SUMIFS('BSE - SENSEX Index Options'!$L:$L,'BSE - SENSEX Index Options'!$C:$C,$A263,'BSE - SENSEX Index Options'!$B:$B,F$147,'BSE - SENSEX Index Options'!$H:$H,"Weekly*")+SUMIFS('BSE - SENSEX Index Options'!$L:$L,'BSE - SENSEX Index Options'!$C:$C,$A263,'BSE - SENSEX Index Options'!$B:$B,F$147,'BSE - SENSEX Index Options'!$H:$H,"MDAW*")+SUMIFS('BSE - Other Index Options'!$L:$L,'BSE - Other Index Options'!$C:$C,$A263,'BSE - Other Index Options'!$B:$B,F$147,'BSE - Other Index Options'!$H:$H,"Weekly*")+SUMIFS('BSE - Other Index Options'!$L:$L,'BSE - Other Index Options'!$C:$C,$A263,'BSE - Other Index Options'!$B:$B,F$147,'BSE - Other Index Options'!$H:$H,"MDAW*")=0,"",SUMIFS('BSE - SENSEX Index Options'!$L:$L,'BSE - SENSEX Index Options'!$C:$C,$A263,'BSE - SENSEX Index Options'!$B:$B,F$147,'BSE - SENSEX Index Options'!$H:$H,"Weekly*")+SUMIFS('BSE - SENSEX Index Options'!$L:$L,'BSE - SENSEX Index Options'!$C:$C,$A263,'BSE - SENSEX Index Options'!$B:$B,F$147,'BSE - SENSEX Index Options'!$H:$H,"MDAW*")+SUMIFS('BSE - Other Index Options'!$L:$L,'BSE - Other Index Options'!$C:$C,$A263,'BSE - Other Index Options'!$B:$B,F$147,'BSE - Other Index Options'!$H:$H,"Weekly*")+SUMIFS('BSE - Other Index Options'!$L:$L,'BSE - Other Index Options'!$C:$C,$A263,'BSE - Other Index Options'!$B:$B,F$147,'BSE - Other Index Options'!$H:$H,"MDAW*"))</f>
        <v/>
      </c>
      <c r="G263" s="26" t="str">
        <f>IF(SUMIFS('BSE - SENSEX Index Options'!$L:$L,'BSE - SENSEX Index Options'!$C:$C,$A263,'BSE - SENSEX Index Options'!$B:$B,G$147,'BSE - SENSEX Index Options'!$H:$H,"Weekly*")+SUMIFS('BSE - SENSEX Index Options'!$L:$L,'BSE - SENSEX Index Options'!$C:$C,$A263,'BSE - SENSEX Index Options'!$B:$B,G$147,'BSE - SENSEX Index Options'!$H:$H,"MDAW*")+SUMIFS('BSE - Other Index Options'!$L:$L,'BSE - Other Index Options'!$C:$C,$A263,'BSE - Other Index Options'!$B:$B,G$147,'BSE - Other Index Options'!$H:$H,"Weekly*")+SUMIFS('BSE - Other Index Options'!$L:$L,'BSE - Other Index Options'!$C:$C,$A263,'BSE - Other Index Options'!$B:$B,G$147,'BSE - Other Index Options'!$H:$H,"MDAW*")=0,"",SUMIFS('BSE - SENSEX Index Options'!$L:$L,'BSE - SENSEX Index Options'!$C:$C,$A263,'BSE - SENSEX Index Options'!$B:$B,G$147,'BSE - SENSEX Index Options'!$H:$H,"Weekly*")+SUMIFS('BSE - SENSEX Index Options'!$L:$L,'BSE - SENSEX Index Options'!$C:$C,$A263,'BSE - SENSEX Index Options'!$B:$B,G$147,'BSE - SENSEX Index Options'!$H:$H,"MDAW*")+SUMIFS('BSE - Other Index Options'!$L:$L,'BSE - Other Index Options'!$C:$C,$A263,'BSE - Other Index Options'!$B:$B,G$147,'BSE - Other Index Options'!$H:$H,"Weekly*")+SUMIFS('BSE - Other Index Options'!$L:$L,'BSE - Other Index Options'!$C:$C,$A263,'BSE - Other Index Options'!$B:$B,G$147,'BSE - Other Index Options'!$H:$H,"MDAW*"))</f>
        <v/>
      </c>
      <c r="H263" s="26" t="str">
        <f t="shared" si="9"/>
        <v/>
      </c>
    </row>
    <row r="264" spans="1:8" hidden="1" outlineLevel="1">
      <c r="A264" t="s">
        <v>126</v>
      </c>
      <c r="B264" s="26" t="str">
        <f>IF(SUMIFS('BSE - SENSEX Index Options'!$L:$L,'BSE - SENSEX Index Options'!$C:$C,$A264,'BSE - SENSEX Index Options'!$B:$B,B$147,'BSE - SENSEX Index Options'!$H:$H,"Weekly*")+SUMIFS('BSE - SENSEX Index Options'!$L:$L,'BSE - SENSEX Index Options'!$C:$C,$A264,'BSE - SENSEX Index Options'!$B:$B,B$147,'BSE - SENSEX Index Options'!$H:$H,"MDAW*")+SUMIFS('BSE - Other Index Options'!$L:$L,'BSE - Other Index Options'!$C:$C,$A264,'BSE - Other Index Options'!$B:$B,B$147,'BSE - Other Index Options'!$H:$H,"Weekly*")+SUMIFS('BSE - Other Index Options'!$L:$L,'BSE - Other Index Options'!$C:$C,$A264,'BSE - Other Index Options'!$B:$B,B$147,'BSE - Other Index Options'!$H:$H,"MDAW*")=0,"",SUMIFS('BSE - SENSEX Index Options'!$L:$L,'BSE - SENSEX Index Options'!$C:$C,$A264,'BSE - SENSEX Index Options'!$B:$B,B$147,'BSE - SENSEX Index Options'!$H:$H,"Weekly*")+SUMIFS('BSE - SENSEX Index Options'!$L:$L,'BSE - SENSEX Index Options'!$C:$C,$A264,'BSE - SENSEX Index Options'!$B:$B,B$147,'BSE - SENSEX Index Options'!$H:$H,"MDAW*")+SUMIFS('BSE - Other Index Options'!$L:$L,'BSE - Other Index Options'!$C:$C,$A264,'BSE - Other Index Options'!$B:$B,B$147,'BSE - Other Index Options'!$H:$H,"Weekly*")+SUMIFS('BSE - Other Index Options'!$L:$L,'BSE - Other Index Options'!$C:$C,$A264,'BSE - Other Index Options'!$B:$B,B$147,'BSE - Other Index Options'!$H:$H,"MDAW*"))</f>
        <v/>
      </c>
      <c r="C264" s="26" t="str">
        <f>IF(SUMIFS('BSE - SENSEX Index Options'!$L:$L,'BSE - SENSEX Index Options'!$C:$C,$A264,'BSE - SENSEX Index Options'!$B:$B,C$147,'BSE - SENSEX Index Options'!$H:$H,"Weekly*")+SUMIFS('BSE - SENSEX Index Options'!$L:$L,'BSE - SENSEX Index Options'!$C:$C,$A264,'BSE - SENSEX Index Options'!$B:$B,C$147,'BSE - SENSEX Index Options'!$H:$H,"MDAW*")+SUMIFS('BSE - Other Index Options'!$L:$L,'BSE - Other Index Options'!$C:$C,$A264,'BSE - Other Index Options'!$B:$B,C$147,'BSE - Other Index Options'!$H:$H,"Weekly*")+SUMIFS('BSE - Other Index Options'!$L:$L,'BSE - Other Index Options'!$C:$C,$A264,'BSE - Other Index Options'!$B:$B,C$147,'BSE - Other Index Options'!$H:$H,"MDAW*")=0,"",SUMIFS('BSE - SENSEX Index Options'!$L:$L,'BSE - SENSEX Index Options'!$C:$C,$A264,'BSE - SENSEX Index Options'!$B:$B,C$147,'BSE - SENSEX Index Options'!$H:$H,"Weekly*")+SUMIFS('BSE - SENSEX Index Options'!$L:$L,'BSE - SENSEX Index Options'!$C:$C,$A264,'BSE - SENSEX Index Options'!$B:$B,C$147,'BSE - SENSEX Index Options'!$H:$H,"MDAW*")+SUMIFS('BSE - Other Index Options'!$L:$L,'BSE - Other Index Options'!$C:$C,$A264,'BSE - Other Index Options'!$B:$B,C$147,'BSE - Other Index Options'!$H:$H,"Weekly*")+SUMIFS('BSE - Other Index Options'!$L:$L,'BSE - Other Index Options'!$C:$C,$A264,'BSE - Other Index Options'!$B:$B,C$147,'BSE - Other Index Options'!$H:$H,"MDAW*"))</f>
        <v/>
      </c>
      <c r="D264" s="26" t="str">
        <f>IF(SUMIFS('BSE - SENSEX Index Options'!$L:$L,'BSE - SENSEX Index Options'!$C:$C,$A264,'BSE - SENSEX Index Options'!$B:$B,D$147,'BSE - SENSEX Index Options'!$H:$H,"Weekly*")+SUMIFS('BSE - SENSEX Index Options'!$L:$L,'BSE - SENSEX Index Options'!$C:$C,$A264,'BSE - SENSEX Index Options'!$B:$B,D$147,'BSE - SENSEX Index Options'!$H:$H,"MDAW*")+SUMIFS('BSE - Other Index Options'!$L:$L,'BSE - Other Index Options'!$C:$C,$A264,'BSE - Other Index Options'!$B:$B,D$147,'BSE - Other Index Options'!$H:$H,"Weekly*")+SUMIFS('BSE - Other Index Options'!$L:$L,'BSE - Other Index Options'!$C:$C,$A264,'BSE - Other Index Options'!$B:$B,D$147,'BSE - Other Index Options'!$H:$H,"MDAW*")=0,"",SUMIFS('BSE - SENSEX Index Options'!$L:$L,'BSE - SENSEX Index Options'!$C:$C,$A264,'BSE - SENSEX Index Options'!$B:$B,D$147,'BSE - SENSEX Index Options'!$H:$H,"Weekly*")+SUMIFS('BSE - SENSEX Index Options'!$L:$L,'BSE - SENSEX Index Options'!$C:$C,$A264,'BSE - SENSEX Index Options'!$B:$B,D$147,'BSE - SENSEX Index Options'!$H:$H,"MDAW*")+SUMIFS('BSE - Other Index Options'!$L:$L,'BSE - Other Index Options'!$C:$C,$A264,'BSE - Other Index Options'!$B:$B,D$147,'BSE - Other Index Options'!$H:$H,"Weekly*")+SUMIFS('BSE - Other Index Options'!$L:$L,'BSE - Other Index Options'!$C:$C,$A264,'BSE - Other Index Options'!$B:$B,D$147,'BSE - Other Index Options'!$H:$H,"MDAW*"))</f>
        <v/>
      </c>
      <c r="E264" s="26" t="str">
        <f>IF(SUMIFS('BSE - SENSEX Index Options'!$L:$L,'BSE - SENSEX Index Options'!$C:$C,$A264,'BSE - SENSEX Index Options'!$B:$B,E$147,'BSE - SENSEX Index Options'!$H:$H,"Weekly*")+SUMIFS('BSE - SENSEX Index Options'!$L:$L,'BSE - SENSEX Index Options'!$C:$C,$A264,'BSE - SENSEX Index Options'!$B:$B,E$147,'BSE - SENSEX Index Options'!$H:$H,"MDAW*")+SUMIFS('BSE - Other Index Options'!$L:$L,'BSE - Other Index Options'!$C:$C,$A264,'BSE - Other Index Options'!$B:$B,E$147,'BSE - Other Index Options'!$H:$H,"Weekly*")+SUMIFS('BSE - Other Index Options'!$L:$L,'BSE - Other Index Options'!$C:$C,$A264,'BSE - Other Index Options'!$B:$B,E$147,'BSE - Other Index Options'!$H:$H,"MDAW*")=0,"",SUMIFS('BSE - SENSEX Index Options'!$L:$L,'BSE - SENSEX Index Options'!$C:$C,$A264,'BSE - SENSEX Index Options'!$B:$B,E$147,'BSE - SENSEX Index Options'!$H:$H,"Weekly*")+SUMIFS('BSE - SENSEX Index Options'!$L:$L,'BSE - SENSEX Index Options'!$C:$C,$A264,'BSE - SENSEX Index Options'!$B:$B,E$147,'BSE - SENSEX Index Options'!$H:$H,"MDAW*")+SUMIFS('BSE - Other Index Options'!$L:$L,'BSE - Other Index Options'!$C:$C,$A264,'BSE - Other Index Options'!$B:$B,E$147,'BSE - Other Index Options'!$H:$H,"Weekly*")+SUMIFS('BSE - Other Index Options'!$L:$L,'BSE - Other Index Options'!$C:$C,$A264,'BSE - Other Index Options'!$B:$B,E$147,'BSE - Other Index Options'!$H:$H,"MDAW*"))</f>
        <v/>
      </c>
      <c r="F264" s="26" t="str">
        <f>IF(SUMIFS('BSE - SENSEX Index Options'!$L:$L,'BSE - SENSEX Index Options'!$C:$C,$A264,'BSE - SENSEX Index Options'!$B:$B,F$147,'BSE - SENSEX Index Options'!$H:$H,"Weekly*")+SUMIFS('BSE - SENSEX Index Options'!$L:$L,'BSE - SENSEX Index Options'!$C:$C,$A264,'BSE - SENSEX Index Options'!$B:$B,F$147,'BSE - SENSEX Index Options'!$H:$H,"MDAW*")+SUMIFS('BSE - Other Index Options'!$L:$L,'BSE - Other Index Options'!$C:$C,$A264,'BSE - Other Index Options'!$B:$B,F$147,'BSE - Other Index Options'!$H:$H,"Weekly*")+SUMIFS('BSE - Other Index Options'!$L:$L,'BSE - Other Index Options'!$C:$C,$A264,'BSE - Other Index Options'!$B:$B,F$147,'BSE - Other Index Options'!$H:$H,"MDAW*")=0,"",SUMIFS('BSE - SENSEX Index Options'!$L:$L,'BSE - SENSEX Index Options'!$C:$C,$A264,'BSE - SENSEX Index Options'!$B:$B,F$147,'BSE - SENSEX Index Options'!$H:$H,"Weekly*")+SUMIFS('BSE - SENSEX Index Options'!$L:$L,'BSE - SENSEX Index Options'!$C:$C,$A264,'BSE - SENSEX Index Options'!$B:$B,F$147,'BSE - SENSEX Index Options'!$H:$H,"MDAW*")+SUMIFS('BSE - Other Index Options'!$L:$L,'BSE - Other Index Options'!$C:$C,$A264,'BSE - Other Index Options'!$B:$B,F$147,'BSE - Other Index Options'!$H:$H,"Weekly*")+SUMIFS('BSE - Other Index Options'!$L:$L,'BSE - Other Index Options'!$C:$C,$A264,'BSE - Other Index Options'!$B:$B,F$147,'BSE - Other Index Options'!$H:$H,"MDAW*"))</f>
        <v/>
      </c>
      <c r="G264" s="26" t="str">
        <f>IF(SUMIFS('BSE - SENSEX Index Options'!$L:$L,'BSE - SENSEX Index Options'!$C:$C,$A264,'BSE - SENSEX Index Options'!$B:$B,G$147,'BSE - SENSEX Index Options'!$H:$H,"Weekly*")+SUMIFS('BSE - SENSEX Index Options'!$L:$L,'BSE - SENSEX Index Options'!$C:$C,$A264,'BSE - SENSEX Index Options'!$B:$B,G$147,'BSE - SENSEX Index Options'!$H:$H,"MDAW*")+SUMIFS('BSE - Other Index Options'!$L:$L,'BSE - Other Index Options'!$C:$C,$A264,'BSE - Other Index Options'!$B:$B,G$147,'BSE - Other Index Options'!$H:$H,"Weekly*")+SUMIFS('BSE - Other Index Options'!$L:$L,'BSE - Other Index Options'!$C:$C,$A264,'BSE - Other Index Options'!$B:$B,G$147,'BSE - Other Index Options'!$H:$H,"MDAW*")=0,"",SUMIFS('BSE - SENSEX Index Options'!$L:$L,'BSE - SENSEX Index Options'!$C:$C,$A264,'BSE - SENSEX Index Options'!$B:$B,G$147,'BSE - SENSEX Index Options'!$H:$H,"Weekly*")+SUMIFS('BSE - SENSEX Index Options'!$L:$L,'BSE - SENSEX Index Options'!$C:$C,$A264,'BSE - SENSEX Index Options'!$B:$B,G$147,'BSE - SENSEX Index Options'!$H:$H,"MDAW*")+SUMIFS('BSE - Other Index Options'!$L:$L,'BSE - Other Index Options'!$C:$C,$A264,'BSE - Other Index Options'!$B:$B,G$147,'BSE - Other Index Options'!$H:$H,"Weekly*")+SUMIFS('BSE - Other Index Options'!$L:$L,'BSE - Other Index Options'!$C:$C,$A264,'BSE - Other Index Options'!$B:$B,G$147,'BSE - Other Index Options'!$H:$H,"MDAW*"))</f>
        <v/>
      </c>
      <c r="H264" s="26" t="str">
        <f t="shared" si="9"/>
        <v/>
      </c>
    </row>
    <row r="265" spans="1:8" hidden="1" outlineLevel="1">
      <c r="A265" t="s">
        <v>127</v>
      </c>
      <c r="B265" s="26" t="str">
        <f>IF(SUMIFS('BSE - SENSEX Index Options'!$L:$L,'BSE - SENSEX Index Options'!$C:$C,$A265,'BSE - SENSEX Index Options'!$B:$B,B$147,'BSE - SENSEX Index Options'!$H:$H,"Weekly*")+SUMIFS('BSE - SENSEX Index Options'!$L:$L,'BSE - SENSEX Index Options'!$C:$C,$A265,'BSE - SENSEX Index Options'!$B:$B,B$147,'BSE - SENSEX Index Options'!$H:$H,"MDAW*")+SUMIFS('BSE - Other Index Options'!$L:$L,'BSE - Other Index Options'!$C:$C,$A265,'BSE - Other Index Options'!$B:$B,B$147,'BSE - Other Index Options'!$H:$H,"Weekly*")+SUMIFS('BSE - Other Index Options'!$L:$L,'BSE - Other Index Options'!$C:$C,$A265,'BSE - Other Index Options'!$B:$B,B$147,'BSE - Other Index Options'!$H:$H,"MDAW*")=0,"",SUMIFS('BSE - SENSEX Index Options'!$L:$L,'BSE - SENSEX Index Options'!$C:$C,$A265,'BSE - SENSEX Index Options'!$B:$B,B$147,'BSE - SENSEX Index Options'!$H:$H,"Weekly*")+SUMIFS('BSE - SENSEX Index Options'!$L:$L,'BSE - SENSEX Index Options'!$C:$C,$A265,'BSE - SENSEX Index Options'!$B:$B,B$147,'BSE - SENSEX Index Options'!$H:$H,"MDAW*")+SUMIFS('BSE - Other Index Options'!$L:$L,'BSE - Other Index Options'!$C:$C,$A265,'BSE - Other Index Options'!$B:$B,B$147,'BSE - Other Index Options'!$H:$H,"Weekly*")+SUMIFS('BSE - Other Index Options'!$L:$L,'BSE - Other Index Options'!$C:$C,$A265,'BSE - Other Index Options'!$B:$B,B$147,'BSE - Other Index Options'!$H:$H,"MDAW*"))</f>
        <v/>
      </c>
      <c r="C265" s="26" t="str">
        <f>IF(SUMIFS('BSE - SENSEX Index Options'!$L:$L,'BSE - SENSEX Index Options'!$C:$C,$A265,'BSE - SENSEX Index Options'!$B:$B,C$147,'BSE - SENSEX Index Options'!$H:$H,"Weekly*")+SUMIFS('BSE - SENSEX Index Options'!$L:$L,'BSE - SENSEX Index Options'!$C:$C,$A265,'BSE - SENSEX Index Options'!$B:$B,C$147,'BSE - SENSEX Index Options'!$H:$H,"MDAW*")+SUMIFS('BSE - Other Index Options'!$L:$L,'BSE - Other Index Options'!$C:$C,$A265,'BSE - Other Index Options'!$B:$B,C$147,'BSE - Other Index Options'!$H:$H,"Weekly*")+SUMIFS('BSE - Other Index Options'!$L:$L,'BSE - Other Index Options'!$C:$C,$A265,'BSE - Other Index Options'!$B:$B,C$147,'BSE - Other Index Options'!$H:$H,"MDAW*")=0,"",SUMIFS('BSE - SENSEX Index Options'!$L:$L,'BSE - SENSEX Index Options'!$C:$C,$A265,'BSE - SENSEX Index Options'!$B:$B,C$147,'BSE - SENSEX Index Options'!$H:$H,"Weekly*")+SUMIFS('BSE - SENSEX Index Options'!$L:$L,'BSE - SENSEX Index Options'!$C:$C,$A265,'BSE - SENSEX Index Options'!$B:$B,C$147,'BSE - SENSEX Index Options'!$H:$H,"MDAW*")+SUMIFS('BSE - Other Index Options'!$L:$L,'BSE - Other Index Options'!$C:$C,$A265,'BSE - Other Index Options'!$B:$B,C$147,'BSE - Other Index Options'!$H:$H,"Weekly*")+SUMIFS('BSE - Other Index Options'!$L:$L,'BSE - Other Index Options'!$C:$C,$A265,'BSE - Other Index Options'!$B:$B,C$147,'BSE - Other Index Options'!$H:$H,"MDAW*"))</f>
        <v/>
      </c>
      <c r="D265" s="26" t="str">
        <f>IF(SUMIFS('BSE - SENSEX Index Options'!$L:$L,'BSE - SENSEX Index Options'!$C:$C,$A265,'BSE - SENSEX Index Options'!$B:$B,D$147,'BSE - SENSEX Index Options'!$H:$H,"Weekly*")+SUMIFS('BSE - SENSEX Index Options'!$L:$L,'BSE - SENSEX Index Options'!$C:$C,$A265,'BSE - SENSEX Index Options'!$B:$B,D$147,'BSE - SENSEX Index Options'!$H:$H,"MDAW*")+SUMIFS('BSE - Other Index Options'!$L:$L,'BSE - Other Index Options'!$C:$C,$A265,'BSE - Other Index Options'!$B:$B,D$147,'BSE - Other Index Options'!$H:$H,"Weekly*")+SUMIFS('BSE - Other Index Options'!$L:$L,'BSE - Other Index Options'!$C:$C,$A265,'BSE - Other Index Options'!$B:$B,D$147,'BSE - Other Index Options'!$H:$H,"MDAW*")=0,"",SUMIFS('BSE - SENSEX Index Options'!$L:$L,'BSE - SENSEX Index Options'!$C:$C,$A265,'BSE - SENSEX Index Options'!$B:$B,D$147,'BSE - SENSEX Index Options'!$H:$H,"Weekly*")+SUMIFS('BSE - SENSEX Index Options'!$L:$L,'BSE - SENSEX Index Options'!$C:$C,$A265,'BSE - SENSEX Index Options'!$B:$B,D$147,'BSE - SENSEX Index Options'!$H:$H,"MDAW*")+SUMIFS('BSE - Other Index Options'!$L:$L,'BSE - Other Index Options'!$C:$C,$A265,'BSE - Other Index Options'!$B:$B,D$147,'BSE - Other Index Options'!$H:$H,"Weekly*")+SUMIFS('BSE - Other Index Options'!$L:$L,'BSE - Other Index Options'!$C:$C,$A265,'BSE - Other Index Options'!$B:$B,D$147,'BSE - Other Index Options'!$H:$H,"MDAW*"))</f>
        <v/>
      </c>
      <c r="E265" s="26" t="str">
        <f>IF(SUMIFS('BSE - SENSEX Index Options'!$L:$L,'BSE - SENSEX Index Options'!$C:$C,$A265,'BSE - SENSEX Index Options'!$B:$B,E$147,'BSE - SENSEX Index Options'!$H:$H,"Weekly*")+SUMIFS('BSE - SENSEX Index Options'!$L:$L,'BSE - SENSEX Index Options'!$C:$C,$A265,'BSE - SENSEX Index Options'!$B:$B,E$147,'BSE - SENSEX Index Options'!$H:$H,"MDAW*")+SUMIFS('BSE - Other Index Options'!$L:$L,'BSE - Other Index Options'!$C:$C,$A265,'BSE - Other Index Options'!$B:$B,E$147,'BSE - Other Index Options'!$H:$H,"Weekly*")+SUMIFS('BSE - Other Index Options'!$L:$L,'BSE - Other Index Options'!$C:$C,$A265,'BSE - Other Index Options'!$B:$B,E$147,'BSE - Other Index Options'!$H:$H,"MDAW*")=0,"",SUMIFS('BSE - SENSEX Index Options'!$L:$L,'BSE - SENSEX Index Options'!$C:$C,$A265,'BSE - SENSEX Index Options'!$B:$B,E$147,'BSE - SENSEX Index Options'!$H:$H,"Weekly*")+SUMIFS('BSE - SENSEX Index Options'!$L:$L,'BSE - SENSEX Index Options'!$C:$C,$A265,'BSE - SENSEX Index Options'!$B:$B,E$147,'BSE - SENSEX Index Options'!$H:$H,"MDAW*")+SUMIFS('BSE - Other Index Options'!$L:$L,'BSE - Other Index Options'!$C:$C,$A265,'BSE - Other Index Options'!$B:$B,E$147,'BSE - Other Index Options'!$H:$H,"Weekly*")+SUMIFS('BSE - Other Index Options'!$L:$L,'BSE - Other Index Options'!$C:$C,$A265,'BSE - Other Index Options'!$B:$B,E$147,'BSE - Other Index Options'!$H:$H,"MDAW*"))</f>
        <v/>
      </c>
      <c r="F265" s="26" t="str">
        <f>IF(SUMIFS('BSE - SENSEX Index Options'!$L:$L,'BSE - SENSEX Index Options'!$C:$C,$A265,'BSE - SENSEX Index Options'!$B:$B,F$147,'BSE - SENSEX Index Options'!$H:$H,"Weekly*")+SUMIFS('BSE - SENSEX Index Options'!$L:$L,'BSE - SENSEX Index Options'!$C:$C,$A265,'BSE - SENSEX Index Options'!$B:$B,F$147,'BSE - SENSEX Index Options'!$H:$H,"MDAW*")+SUMIFS('BSE - Other Index Options'!$L:$L,'BSE - Other Index Options'!$C:$C,$A265,'BSE - Other Index Options'!$B:$B,F$147,'BSE - Other Index Options'!$H:$H,"Weekly*")+SUMIFS('BSE - Other Index Options'!$L:$L,'BSE - Other Index Options'!$C:$C,$A265,'BSE - Other Index Options'!$B:$B,F$147,'BSE - Other Index Options'!$H:$H,"MDAW*")=0,"",SUMIFS('BSE - SENSEX Index Options'!$L:$L,'BSE - SENSEX Index Options'!$C:$C,$A265,'BSE - SENSEX Index Options'!$B:$B,F$147,'BSE - SENSEX Index Options'!$H:$H,"Weekly*")+SUMIFS('BSE - SENSEX Index Options'!$L:$L,'BSE - SENSEX Index Options'!$C:$C,$A265,'BSE - SENSEX Index Options'!$B:$B,F$147,'BSE - SENSEX Index Options'!$H:$H,"MDAW*")+SUMIFS('BSE - Other Index Options'!$L:$L,'BSE - Other Index Options'!$C:$C,$A265,'BSE - Other Index Options'!$B:$B,F$147,'BSE - Other Index Options'!$H:$H,"Weekly*")+SUMIFS('BSE - Other Index Options'!$L:$L,'BSE - Other Index Options'!$C:$C,$A265,'BSE - Other Index Options'!$B:$B,F$147,'BSE - Other Index Options'!$H:$H,"MDAW*"))</f>
        <v/>
      </c>
      <c r="G265" s="26" t="str">
        <f>IF(SUMIFS('BSE - SENSEX Index Options'!$L:$L,'BSE - SENSEX Index Options'!$C:$C,$A265,'BSE - SENSEX Index Options'!$B:$B,G$147,'BSE - SENSEX Index Options'!$H:$H,"Weekly*")+SUMIFS('BSE - SENSEX Index Options'!$L:$L,'BSE - SENSEX Index Options'!$C:$C,$A265,'BSE - SENSEX Index Options'!$B:$B,G$147,'BSE - SENSEX Index Options'!$H:$H,"MDAW*")+SUMIFS('BSE - Other Index Options'!$L:$L,'BSE - Other Index Options'!$C:$C,$A265,'BSE - Other Index Options'!$B:$B,G$147,'BSE - Other Index Options'!$H:$H,"Weekly*")+SUMIFS('BSE - Other Index Options'!$L:$L,'BSE - Other Index Options'!$C:$C,$A265,'BSE - Other Index Options'!$B:$B,G$147,'BSE - Other Index Options'!$H:$H,"MDAW*")=0,"",SUMIFS('BSE - SENSEX Index Options'!$L:$L,'BSE - SENSEX Index Options'!$C:$C,$A265,'BSE - SENSEX Index Options'!$B:$B,G$147,'BSE - SENSEX Index Options'!$H:$H,"Weekly*")+SUMIFS('BSE - SENSEX Index Options'!$L:$L,'BSE - SENSEX Index Options'!$C:$C,$A265,'BSE - SENSEX Index Options'!$B:$B,G$147,'BSE - SENSEX Index Options'!$H:$H,"MDAW*")+SUMIFS('BSE - Other Index Options'!$L:$L,'BSE - Other Index Options'!$C:$C,$A265,'BSE - Other Index Options'!$B:$B,G$147,'BSE - Other Index Options'!$H:$H,"Weekly*")+SUMIFS('BSE - Other Index Options'!$L:$L,'BSE - Other Index Options'!$C:$C,$A265,'BSE - Other Index Options'!$B:$B,G$147,'BSE - Other Index Options'!$H:$H,"MDAW*"))</f>
        <v/>
      </c>
      <c r="H265" s="26" t="str">
        <f t="shared" si="9"/>
        <v/>
      </c>
    </row>
    <row r="266" spans="1:8" hidden="1" outlineLevel="1">
      <c r="A266" t="s">
        <v>128</v>
      </c>
      <c r="B266" s="26" t="str">
        <f>IF(SUMIFS('BSE - SENSEX Index Options'!$L:$L,'BSE - SENSEX Index Options'!$C:$C,$A266,'BSE - SENSEX Index Options'!$B:$B,B$147,'BSE - SENSEX Index Options'!$H:$H,"Weekly*")+SUMIFS('BSE - SENSEX Index Options'!$L:$L,'BSE - SENSEX Index Options'!$C:$C,$A266,'BSE - SENSEX Index Options'!$B:$B,B$147,'BSE - SENSEX Index Options'!$H:$H,"MDAW*")+SUMIFS('BSE - Other Index Options'!$L:$L,'BSE - Other Index Options'!$C:$C,$A266,'BSE - Other Index Options'!$B:$B,B$147,'BSE - Other Index Options'!$H:$H,"Weekly*")+SUMIFS('BSE - Other Index Options'!$L:$L,'BSE - Other Index Options'!$C:$C,$A266,'BSE - Other Index Options'!$B:$B,B$147,'BSE - Other Index Options'!$H:$H,"MDAW*")=0,"",SUMIFS('BSE - SENSEX Index Options'!$L:$L,'BSE - SENSEX Index Options'!$C:$C,$A266,'BSE - SENSEX Index Options'!$B:$B,B$147,'BSE - SENSEX Index Options'!$H:$H,"Weekly*")+SUMIFS('BSE - SENSEX Index Options'!$L:$L,'BSE - SENSEX Index Options'!$C:$C,$A266,'BSE - SENSEX Index Options'!$B:$B,B$147,'BSE - SENSEX Index Options'!$H:$H,"MDAW*")+SUMIFS('BSE - Other Index Options'!$L:$L,'BSE - Other Index Options'!$C:$C,$A266,'BSE - Other Index Options'!$B:$B,B$147,'BSE - Other Index Options'!$H:$H,"Weekly*")+SUMIFS('BSE - Other Index Options'!$L:$L,'BSE - Other Index Options'!$C:$C,$A266,'BSE - Other Index Options'!$B:$B,B$147,'BSE - Other Index Options'!$H:$H,"MDAW*"))</f>
        <v/>
      </c>
      <c r="C266" s="26" t="str">
        <f>IF(SUMIFS('BSE - SENSEX Index Options'!$L:$L,'BSE - SENSEX Index Options'!$C:$C,$A266,'BSE - SENSEX Index Options'!$B:$B,C$147,'BSE - SENSEX Index Options'!$H:$H,"Weekly*")+SUMIFS('BSE - SENSEX Index Options'!$L:$L,'BSE - SENSEX Index Options'!$C:$C,$A266,'BSE - SENSEX Index Options'!$B:$B,C$147,'BSE - SENSEX Index Options'!$H:$H,"MDAW*")+SUMIFS('BSE - Other Index Options'!$L:$L,'BSE - Other Index Options'!$C:$C,$A266,'BSE - Other Index Options'!$B:$B,C$147,'BSE - Other Index Options'!$H:$H,"Weekly*")+SUMIFS('BSE - Other Index Options'!$L:$L,'BSE - Other Index Options'!$C:$C,$A266,'BSE - Other Index Options'!$B:$B,C$147,'BSE - Other Index Options'!$H:$H,"MDAW*")=0,"",SUMIFS('BSE - SENSEX Index Options'!$L:$L,'BSE - SENSEX Index Options'!$C:$C,$A266,'BSE - SENSEX Index Options'!$B:$B,C$147,'BSE - SENSEX Index Options'!$H:$H,"Weekly*")+SUMIFS('BSE - SENSEX Index Options'!$L:$L,'BSE - SENSEX Index Options'!$C:$C,$A266,'BSE - SENSEX Index Options'!$B:$B,C$147,'BSE - SENSEX Index Options'!$H:$H,"MDAW*")+SUMIFS('BSE - Other Index Options'!$L:$L,'BSE - Other Index Options'!$C:$C,$A266,'BSE - Other Index Options'!$B:$B,C$147,'BSE - Other Index Options'!$H:$H,"Weekly*")+SUMIFS('BSE - Other Index Options'!$L:$L,'BSE - Other Index Options'!$C:$C,$A266,'BSE - Other Index Options'!$B:$B,C$147,'BSE - Other Index Options'!$H:$H,"MDAW*"))</f>
        <v/>
      </c>
      <c r="D266" s="26" t="str">
        <f>IF(SUMIFS('BSE - SENSEX Index Options'!$L:$L,'BSE - SENSEX Index Options'!$C:$C,$A266,'BSE - SENSEX Index Options'!$B:$B,D$147,'BSE - SENSEX Index Options'!$H:$H,"Weekly*")+SUMIFS('BSE - SENSEX Index Options'!$L:$L,'BSE - SENSEX Index Options'!$C:$C,$A266,'BSE - SENSEX Index Options'!$B:$B,D$147,'BSE - SENSEX Index Options'!$H:$H,"MDAW*")+SUMIFS('BSE - Other Index Options'!$L:$L,'BSE - Other Index Options'!$C:$C,$A266,'BSE - Other Index Options'!$B:$B,D$147,'BSE - Other Index Options'!$H:$H,"Weekly*")+SUMIFS('BSE - Other Index Options'!$L:$L,'BSE - Other Index Options'!$C:$C,$A266,'BSE - Other Index Options'!$B:$B,D$147,'BSE - Other Index Options'!$H:$H,"MDAW*")=0,"",SUMIFS('BSE - SENSEX Index Options'!$L:$L,'BSE - SENSEX Index Options'!$C:$C,$A266,'BSE - SENSEX Index Options'!$B:$B,D$147,'BSE - SENSEX Index Options'!$H:$H,"Weekly*")+SUMIFS('BSE - SENSEX Index Options'!$L:$L,'BSE - SENSEX Index Options'!$C:$C,$A266,'BSE - SENSEX Index Options'!$B:$B,D$147,'BSE - SENSEX Index Options'!$H:$H,"MDAW*")+SUMIFS('BSE - Other Index Options'!$L:$L,'BSE - Other Index Options'!$C:$C,$A266,'BSE - Other Index Options'!$B:$B,D$147,'BSE - Other Index Options'!$H:$H,"Weekly*")+SUMIFS('BSE - Other Index Options'!$L:$L,'BSE - Other Index Options'!$C:$C,$A266,'BSE - Other Index Options'!$B:$B,D$147,'BSE - Other Index Options'!$H:$H,"MDAW*"))</f>
        <v/>
      </c>
      <c r="E266" s="26" t="str">
        <f>IF(SUMIFS('BSE - SENSEX Index Options'!$L:$L,'BSE - SENSEX Index Options'!$C:$C,$A266,'BSE - SENSEX Index Options'!$B:$B,E$147,'BSE - SENSEX Index Options'!$H:$H,"Weekly*")+SUMIFS('BSE - SENSEX Index Options'!$L:$L,'BSE - SENSEX Index Options'!$C:$C,$A266,'BSE - SENSEX Index Options'!$B:$B,E$147,'BSE - SENSEX Index Options'!$H:$H,"MDAW*")+SUMIFS('BSE - Other Index Options'!$L:$L,'BSE - Other Index Options'!$C:$C,$A266,'BSE - Other Index Options'!$B:$B,E$147,'BSE - Other Index Options'!$H:$H,"Weekly*")+SUMIFS('BSE - Other Index Options'!$L:$L,'BSE - Other Index Options'!$C:$C,$A266,'BSE - Other Index Options'!$B:$B,E$147,'BSE - Other Index Options'!$H:$H,"MDAW*")=0,"",SUMIFS('BSE - SENSEX Index Options'!$L:$L,'BSE - SENSEX Index Options'!$C:$C,$A266,'BSE - SENSEX Index Options'!$B:$B,E$147,'BSE - SENSEX Index Options'!$H:$H,"Weekly*")+SUMIFS('BSE - SENSEX Index Options'!$L:$L,'BSE - SENSEX Index Options'!$C:$C,$A266,'BSE - SENSEX Index Options'!$B:$B,E$147,'BSE - SENSEX Index Options'!$H:$H,"MDAW*")+SUMIFS('BSE - Other Index Options'!$L:$L,'BSE - Other Index Options'!$C:$C,$A266,'BSE - Other Index Options'!$B:$B,E$147,'BSE - Other Index Options'!$H:$H,"Weekly*")+SUMIFS('BSE - Other Index Options'!$L:$L,'BSE - Other Index Options'!$C:$C,$A266,'BSE - Other Index Options'!$B:$B,E$147,'BSE - Other Index Options'!$H:$H,"MDAW*"))</f>
        <v/>
      </c>
      <c r="F266" s="26" t="str">
        <f>IF(SUMIFS('BSE - SENSEX Index Options'!$L:$L,'BSE - SENSEX Index Options'!$C:$C,$A266,'BSE - SENSEX Index Options'!$B:$B,F$147,'BSE - SENSEX Index Options'!$H:$H,"Weekly*")+SUMIFS('BSE - SENSEX Index Options'!$L:$L,'BSE - SENSEX Index Options'!$C:$C,$A266,'BSE - SENSEX Index Options'!$B:$B,F$147,'BSE - SENSEX Index Options'!$H:$H,"MDAW*")+SUMIFS('BSE - Other Index Options'!$L:$L,'BSE - Other Index Options'!$C:$C,$A266,'BSE - Other Index Options'!$B:$B,F$147,'BSE - Other Index Options'!$H:$H,"Weekly*")+SUMIFS('BSE - Other Index Options'!$L:$L,'BSE - Other Index Options'!$C:$C,$A266,'BSE - Other Index Options'!$B:$B,F$147,'BSE - Other Index Options'!$H:$H,"MDAW*")=0,"",SUMIFS('BSE - SENSEX Index Options'!$L:$L,'BSE - SENSEX Index Options'!$C:$C,$A266,'BSE - SENSEX Index Options'!$B:$B,F$147,'BSE - SENSEX Index Options'!$H:$H,"Weekly*")+SUMIFS('BSE - SENSEX Index Options'!$L:$L,'BSE - SENSEX Index Options'!$C:$C,$A266,'BSE - SENSEX Index Options'!$B:$B,F$147,'BSE - SENSEX Index Options'!$H:$H,"MDAW*")+SUMIFS('BSE - Other Index Options'!$L:$L,'BSE - Other Index Options'!$C:$C,$A266,'BSE - Other Index Options'!$B:$B,F$147,'BSE - Other Index Options'!$H:$H,"Weekly*")+SUMIFS('BSE - Other Index Options'!$L:$L,'BSE - Other Index Options'!$C:$C,$A266,'BSE - Other Index Options'!$B:$B,F$147,'BSE - Other Index Options'!$H:$H,"MDAW*"))</f>
        <v/>
      </c>
      <c r="G266" s="26" t="str">
        <f>IF(SUMIFS('BSE - SENSEX Index Options'!$L:$L,'BSE - SENSEX Index Options'!$C:$C,$A266,'BSE - SENSEX Index Options'!$B:$B,G$147,'BSE - SENSEX Index Options'!$H:$H,"Weekly*")+SUMIFS('BSE - SENSEX Index Options'!$L:$L,'BSE - SENSEX Index Options'!$C:$C,$A266,'BSE - SENSEX Index Options'!$B:$B,G$147,'BSE - SENSEX Index Options'!$H:$H,"MDAW*")+SUMIFS('BSE - Other Index Options'!$L:$L,'BSE - Other Index Options'!$C:$C,$A266,'BSE - Other Index Options'!$B:$B,G$147,'BSE - Other Index Options'!$H:$H,"Weekly*")+SUMIFS('BSE - Other Index Options'!$L:$L,'BSE - Other Index Options'!$C:$C,$A266,'BSE - Other Index Options'!$B:$B,G$147,'BSE - Other Index Options'!$H:$H,"MDAW*")=0,"",SUMIFS('BSE - SENSEX Index Options'!$L:$L,'BSE - SENSEX Index Options'!$C:$C,$A266,'BSE - SENSEX Index Options'!$B:$B,G$147,'BSE - SENSEX Index Options'!$H:$H,"Weekly*")+SUMIFS('BSE - SENSEX Index Options'!$L:$L,'BSE - SENSEX Index Options'!$C:$C,$A266,'BSE - SENSEX Index Options'!$B:$B,G$147,'BSE - SENSEX Index Options'!$H:$H,"MDAW*")+SUMIFS('BSE - Other Index Options'!$L:$L,'BSE - Other Index Options'!$C:$C,$A266,'BSE - Other Index Options'!$B:$B,G$147,'BSE - Other Index Options'!$H:$H,"Weekly*")+SUMIFS('BSE - Other Index Options'!$L:$L,'BSE - Other Index Options'!$C:$C,$A266,'BSE - Other Index Options'!$B:$B,G$147,'BSE - Other Index Options'!$H:$H,"MDAW*"))</f>
        <v/>
      </c>
      <c r="H266" s="26" t="str">
        <f t="shared" si="9"/>
        <v/>
      </c>
    </row>
    <row r="267" spans="1:8" hidden="1" outlineLevel="1">
      <c r="A267" t="s">
        <v>129</v>
      </c>
      <c r="B267" s="26" t="str">
        <f>IF(SUMIFS('BSE - SENSEX Index Options'!$L:$L,'BSE - SENSEX Index Options'!$C:$C,$A267,'BSE - SENSEX Index Options'!$B:$B,B$147,'BSE - SENSEX Index Options'!$H:$H,"Weekly*")+SUMIFS('BSE - SENSEX Index Options'!$L:$L,'BSE - SENSEX Index Options'!$C:$C,$A267,'BSE - SENSEX Index Options'!$B:$B,B$147,'BSE - SENSEX Index Options'!$H:$H,"MDAW*")+SUMIFS('BSE - Other Index Options'!$L:$L,'BSE - Other Index Options'!$C:$C,$A267,'BSE - Other Index Options'!$B:$B,B$147,'BSE - Other Index Options'!$H:$H,"Weekly*")+SUMIFS('BSE - Other Index Options'!$L:$L,'BSE - Other Index Options'!$C:$C,$A267,'BSE - Other Index Options'!$B:$B,B$147,'BSE - Other Index Options'!$H:$H,"MDAW*")=0,"",SUMIFS('BSE - SENSEX Index Options'!$L:$L,'BSE - SENSEX Index Options'!$C:$C,$A267,'BSE - SENSEX Index Options'!$B:$B,B$147,'BSE - SENSEX Index Options'!$H:$H,"Weekly*")+SUMIFS('BSE - SENSEX Index Options'!$L:$L,'BSE - SENSEX Index Options'!$C:$C,$A267,'BSE - SENSEX Index Options'!$B:$B,B$147,'BSE - SENSEX Index Options'!$H:$H,"MDAW*")+SUMIFS('BSE - Other Index Options'!$L:$L,'BSE - Other Index Options'!$C:$C,$A267,'BSE - Other Index Options'!$B:$B,B$147,'BSE - Other Index Options'!$H:$H,"Weekly*")+SUMIFS('BSE - Other Index Options'!$L:$L,'BSE - Other Index Options'!$C:$C,$A267,'BSE - Other Index Options'!$B:$B,B$147,'BSE - Other Index Options'!$H:$H,"MDAW*"))</f>
        <v/>
      </c>
      <c r="C267" s="26" t="str">
        <f>IF(SUMIFS('BSE - SENSEX Index Options'!$L:$L,'BSE - SENSEX Index Options'!$C:$C,$A267,'BSE - SENSEX Index Options'!$B:$B,C$147,'BSE - SENSEX Index Options'!$H:$H,"Weekly*")+SUMIFS('BSE - SENSEX Index Options'!$L:$L,'BSE - SENSEX Index Options'!$C:$C,$A267,'BSE - SENSEX Index Options'!$B:$B,C$147,'BSE - SENSEX Index Options'!$H:$H,"MDAW*")+SUMIFS('BSE - Other Index Options'!$L:$L,'BSE - Other Index Options'!$C:$C,$A267,'BSE - Other Index Options'!$B:$B,C$147,'BSE - Other Index Options'!$H:$H,"Weekly*")+SUMIFS('BSE - Other Index Options'!$L:$L,'BSE - Other Index Options'!$C:$C,$A267,'BSE - Other Index Options'!$B:$B,C$147,'BSE - Other Index Options'!$H:$H,"MDAW*")=0,"",SUMIFS('BSE - SENSEX Index Options'!$L:$L,'BSE - SENSEX Index Options'!$C:$C,$A267,'BSE - SENSEX Index Options'!$B:$B,C$147,'BSE - SENSEX Index Options'!$H:$H,"Weekly*")+SUMIFS('BSE - SENSEX Index Options'!$L:$L,'BSE - SENSEX Index Options'!$C:$C,$A267,'BSE - SENSEX Index Options'!$B:$B,C$147,'BSE - SENSEX Index Options'!$H:$H,"MDAW*")+SUMIFS('BSE - Other Index Options'!$L:$L,'BSE - Other Index Options'!$C:$C,$A267,'BSE - Other Index Options'!$B:$B,C$147,'BSE - Other Index Options'!$H:$H,"Weekly*")+SUMIFS('BSE - Other Index Options'!$L:$L,'BSE - Other Index Options'!$C:$C,$A267,'BSE - Other Index Options'!$B:$B,C$147,'BSE - Other Index Options'!$H:$H,"MDAW*"))</f>
        <v/>
      </c>
      <c r="D267" s="26" t="str">
        <f>IF(SUMIFS('BSE - SENSEX Index Options'!$L:$L,'BSE - SENSEX Index Options'!$C:$C,$A267,'BSE - SENSEX Index Options'!$B:$B,D$147,'BSE - SENSEX Index Options'!$H:$H,"Weekly*")+SUMIFS('BSE - SENSEX Index Options'!$L:$L,'BSE - SENSEX Index Options'!$C:$C,$A267,'BSE - SENSEX Index Options'!$B:$B,D$147,'BSE - SENSEX Index Options'!$H:$H,"MDAW*")+SUMIFS('BSE - Other Index Options'!$L:$L,'BSE - Other Index Options'!$C:$C,$A267,'BSE - Other Index Options'!$B:$B,D$147,'BSE - Other Index Options'!$H:$H,"Weekly*")+SUMIFS('BSE - Other Index Options'!$L:$L,'BSE - Other Index Options'!$C:$C,$A267,'BSE - Other Index Options'!$B:$B,D$147,'BSE - Other Index Options'!$H:$H,"MDAW*")=0,"",SUMIFS('BSE - SENSEX Index Options'!$L:$L,'BSE - SENSEX Index Options'!$C:$C,$A267,'BSE - SENSEX Index Options'!$B:$B,D$147,'BSE - SENSEX Index Options'!$H:$H,"Weekly*")+SUMIFS('BSE - SENSEX Index Options'!$L:$L,'BSE - SENSEX Index Options'!$C:$C,$A267,'BSE - SENSEX Index Options'!$B:$B,D$147,'BSE - SENSEX Index Options'!$H:$H,"MDAW*")+SUMIFS('BSE - Other Index Options'!$L:$L,'BSE - Other Index Options'!$C:$C,$A267,'BSE - Other Index Options'!$B:$B,D$147,'BSE - Other Index Options'!$H:$H,"Weekly*")+SUMIFS('BSE - Other Index Options'!$L:$L,'BSE - Other Index Options'!$C:$C,$A267,'BSE - Other Index Options'!$B:$B,D$147,'BSE - Other Index Options'!$H:$H,"MDAW*"))</f>
        <v/>
      </c>
      <c r="E267" s="26" t="str">
        <f>IF(SUMIFS('BSE - SENSEX Index Options'!$L:$L,'BSE - SENSEX Index Options'!$C:$C,$A267,'BSE - SENSEX Index Options'!$B:$B,E$147,'BSE - SENSEX Index Options'!$H:$H,"Weekly*")+SUMIFS('BSE - SENSEX Index Options'!$L:$L,'BSE - SENSEX Index Options'!$C:$C,$A267,'BSE - SENSEX Index Options'!$B:$B,E$147,'BSE - SENSEX Index Options'!$H:$H,"MDAW*")+SUMIFS('BSE - Other Index Options'!$L:$L,'BSE - Other Index Options'!$C:$C,$A267,'BSE - Other Index Options'!$B:$B,E$147,'BSE - Other Index Options'!$H:$H,"Weekly*")+SUMIFS('BSE - Other Index Options'!$L:$L,'BSE - Other Index Options'!$C:$C,$A267,'BSE - Other Index Options'!$B:$B,E$147,'BSE - Other Index Options'!$H:$H,"MDAW*")=0,"",SUMIFS('BSE - SENSEX Index Options'!$L:$L,'BSE - SENSEX Index Options'!$C:$C,$A267,'BSE - SENSEX Index Options'!$B:$B,E$147,'BSE - SENSEX Index Options'!$H:$H,"Weekly*")+SUMIFS('BSE - SENSEX Index Options'!$L:$L,'BSE - SENSEX Index Options'!$C:$C,$A267,'BSE - SENSEX Index Options'!$B:$B,E$147,'BSE - SENSEX Index Options'!$H:$H,"MDAW*")+SUMIFS('BSE - Other Index Options'!$L:$L,'BSE - Other Index Options'!$C:$C,$A267,'BSE - Other Index Options'!$B:$B,E$147,'BSE - Other Index Options'!$H:$H,"Weekly*")+SUMIFS('BSE - Other Index Options'!$L:$L,'BSE - Other Index Options'!$C:$C,$A267,'BSE - Other Index Options'!$B:$B,E$147,'BSE - Other Index Options'!$H:$H,"MDAW*"))</f>
        <v/>
      </c>
      <c r="F267" s="26" t="str">
        <f>IF(SUMIFS('BSE - SENSEX Index Options'!$L:$L,'BSE - SENSEX Index Options'!$C:$C,$A267,'BSE - SENSEX Index Options'!$B:$B,F$147,'BSE - SENSEX Index Options'!$H:$H,"Weekly*")+SUMIFS('BSE - SENSEX Index Options'!$L:$L,'BSE - SENSEX Index Options'!$C:$C,$A267,'BSE - SENSEX Index Options'!$B:$B,F$147,'BSE - SENSEX Index Options'!$H:$H,"MDAW*")+SUMIFS('BSE - Other Index Options'!$L:$L,'BSE - Other Index Options'!$C:$C,$A267,'BSE - Other Index Options'!$B:$B,F$147,'BSE - Other Index Options'!$H:$H,"Weekly*")+SUMIFS('BSE - Other Index Options'!$L:$L,'BSE - Other Index Options'!$C:$C,$A267,'BSE - Other Index Options'!$B:$B,F$147,'BSE - Other Index Options'!$H:$H,"MDAW*")=0,"",SUMIFS('BSE - SENSEX Index Options'!$L:$L,'BSE - SENSEX Index Options'!$C:$C,$A267,'BSE - SENSEX Index Options'!$B:$B,F$147,'BSE - SENSEX Index Options'!$H:$H,"Weekly*")+SUMIFS('BSE - SENSEX Index Options'!$L:$L,'BSE - SENSEX Index Options'!$C:$C,$A267,'BSE - SENSEX Index Options'!$B:$B,F$147,'BSE - SENSEX Index Options'!$H:$H,"MDAW*")+SUMIFS('BSE - Other Index Options'!$L:$L,'BSE - Other Index Options'!$C:$C,$A267,'BSE - Other Index Options'!$B:$B,F$147,'BSE - Other Index Options'!$H:$H,"Weekly*")+SUMIFS('BSE - Other Index Options'!$L:$L,'BSE - Other Index Options'!$C:$C,$A267,'BSE - Other Index Options'!$B:$B,F$147,'BSE - Other Index Options'!$H:$H,"MDAW*"))</f>
        <v/>
      </c>
      <c r="G267" s="26" t="str">
        <f>IF(SUMIFS('BSE - SENSEX Index Options'!$L:$L,'BSE - SENSEX Index Options'!$C:$C,$A267,'BSE - SENSEX Index Options'!$B:$B,G$147,'BSE - SENSEX Index Options'!$H:$H,"Weekly*")+SUMIFS('BSE - SENSEX Index Options'!$L:$L,'BSE - SENSEX Index Options'!$C:$C,$A267,'BSE - SENSEX Index Options'!$B:$B,G$147,'BSE - SENSEX Index Options'!$H:$H,"MDAW*")+SUMIFS('BSE - Other Index Options'!$L:$L,'BSE - Other Index Options'!$C:$C,$A267,'BSE - Other Index Options'!$B:$B,G$147,'BSE - Other Index Options'!$H:$H,"Weekly*")+SUMIFS('BSE - Other Index Options'!$L:$L,'BSE - Other Index Options'!$C:$C,$A267,'BSE - Other Index Options'!$B:$B,G$147,'BSE - Other Index Options'!$H:$H,"MDAW*")=0,"",SUMIFS('BSE - SENSEX Index Options'!$L:$L,'BSE - SENSEX Index Options'!$C:$C,$A267,'BSE - SENSEX Index Options'!$B:$B,G$147,'BSE - SENSEX Index Options'!$H:$H,"Weekly*")+SUMIFS('BSE - SENSEX Index Options'!$L:$L,'BSE - SENSEX Index Options'!$C:$C,$A267,'BSE - SENSEX Index Options'!$B:$B,G$147,'BSE - SENSEX Index Options'!$H:$H,"MDAW*")+SUMIFS('BSE - Other Index Options'!$L:$L,'BSE - Other Index Options'!$C:$C,$A267,'BSE - Other Index Options'!$B:$B,G$147,'BSE - Other Index Options'!$H:$H,"Weekly*")+SUMIFS('BSE - Other Index Options'!$L:$L,'BSE - Other Index Options'!$C:$C,$A267,'BSE - Other Index Options'!$B:$B,G$147,'BSE - Other Index Options'!$H:$H,"MDAW*"))</f>
        <v/>
      </c>
      <c r="H267" s="26" t="str">
        <f t="shared" si="9"/>
        <v/>
      </c>
    </row>
    <row r="268" spans="1:8" hidden="1" outlineLevel="1">
      <c r="A268" t="s">
        <v>130</v>
      </c>
      <c r="B268" s="26" t="str">
        <f>IF(SUMIFS('BSE - SENSEX Index Options'!$L:$L,'BSE - SENSEX Index Options'!$C:$C,$A268,'BSE - SENSEX Index Options'!$B:$B,B$147,'BSE - SENSEX Index Options'!$H:$H,"Weekly*")+SUMIFS('BSE - SENSEX Index Options'!$L:$L,'BSE - SENSEX Index Options'!$C:$C,$A268,'BSE - SENSEX Index Options'!$B:$B,B$147,'BSE - SENSEX Index Options'!$H:$H,"MDAW*")+SUMIFS('BSE - Other Index Options'!$L:$L,'BSE - Other Index Options'!$C:$C,$A268,'BSE - Other Index Options'!$B:$B,B$147,'BSE - Other Index Options'!$H:$H,"Weekly*")+SUMIFS('BSE - Other Index Options'!$L:$L,'BSE - Other Index Options'!$C:$C,$A268,'BSE - Other Index Options'!$B:$B,B$147,'BSE - Other Index Options'!$H:$H,"MDAW*")=0,"",SUMIFS('BSE - SENSEX Index Options'!$L:$L,'BSE - SENSEX Index Options'!$C:$C,$A268,'BSE - SENSEX Index Options'!$B:$B,B$147,'BSE - SENSEX Index Options'!$H:$H,"Weekly*")+SUMIFS('BSE - SENSEX Index Options'!$L:$L,'BSE - SENSEX Index Options'!$C:$C,$A268,'BSE - SENSEX Index Options'!$B:$B,B$147,'BSE - SENSEX Index Options'!$H:$H,"MDAW*")+SUMIFS('BSE - Other Index Options'!$L:$L,'BSE - Other Index Options'!$C:$C,$A268,'BSE - Other Index Options'!$B:$B,B$147,'BSE - Other Index Options'!$H:$H,"Weekly*")+SUMIFS('BSE - Other Index Options'!$L:$L,'BSE - Other Index Options'!$C:$C,$A268,'BSE - Other Index Options'!$B:$B,B$147,'BSE - Other Index Options'!$H:$H,"MDAW*"))</f>
        <v/>
      </c>
      <c r="C268" s="26" t="str">
        <f>IF(SUMIFS('BSE - SENSEX Index Options'!$L:$L,'BSE - SENSEX Index Options'!$C:$C,$A268,'BSE - SENSEX Index Options'!$B:$B,C$147,'BSE - SENSEX Index Options'!$H:$H,"Weekly*")+SUMIFS('BSE - SENSEX Index Options'!$L:$L,'BSE - SENSEX Index Options'!$C:$C,$A268,'BSE - SENSEX Index Options'!$B:$B,C$147,'BSE - SENSEX Index Options'!$H:$H,"MDAW*")+SUMIFS('BSE - Other Index Options'!$L:$L,'BSE - Other Index Options'!$C:$C,$A268,'BSE - Other Index Options'!$B:$B,C$147,'BSE - Other Index Options'!$H:$H,"Weekly*")+SUMIFS('BSE - Other Index Options'!$L:$L,'BSE - Other Index Options'!$C:$C,$A268,'BSE - Other Index Options'!$B:$B,C$147,'BSE - Other Index Options'!$H:$H,"MDAW*")=0,"",SUMIFS('BSE - SENSEX Index Options'!$L:$L,'BSE - SENSEX Index Options'!$C:$C,$A268,'BSE - SENSEX Index Options'!$B:$B,C$147,'BSE - SENSEX Index Options'!$H:$H,"Weekly*")+SUMIFS('BSE - SENSEX Index Options'!$L:$L,'BSE - SENSEX Index Options'!$C:$C,$A268,'BSE - SENSEX Index Options'!$B:$B,C$147,'BSE - SENSEX Index Options'!$H:$H,"MDAW*")+SUMIFS('BSE - Other Index Options'!$L:$L,'BSE - Other Index Options'!$C:$C,$A268,'BSE - Other Index Options'!$B:$B,C$147,'BSE - Other Index Options'!$H:$H,"Weekly*")+SUMIFS('BSE - Other Index Options'!$L:$L,'BSE - Other Index Options'!$C:$C,$A268,'BSE - Other Index Options'!$B:$B,C$147,'BSE - Other Index Options'!$H:$H,"MDAW*"))</f>
        <v/>
      </c>
      <c r="D268" s="26" t="str">
        <f>IF(SUMIFS('BSE - SENSEX Index Options'!$L:$L,'BSE - SENSEX Index Options'!$C:$C,$A268,'BSE - SENSEX Index Options'!$B:$B,D$147,'BSE - SENSEX Index Options'!$H:$H,"Weekly*")+SUMIFS('BSE - SENSEX Index Options'!$L:$L,'BSE - SENSEX Index Options'!$C:$C,$A268,'BSE - SENSEX Index Options'!$B:$B,D$147,'BSE - SENSEX Index Options'!$H:$H,"MDAW*")+SUMIFS('BSE - Other Index Options'!$L:$L,'BSE - Other Index Options'!$C:$C,$A268,'BSE - Other Index Options'!$B:$B,D$147,'BSE - Other Index Options'!$H:$H,"Weekly*")+SUMIFS('BSE - Other Index Options'!$L:$L,'BSE - Other Index Options'!$C:$C,$A268,'BSE - Other Index Options'!$B:$B,D$147,'BSE - Other Index Options'!$H:$H,"MDAW*")=0,"",SUMIFS('BSE - SENSEX Index Options'!$L:$L,'BSE - SENSEX Index Options'!$C:$C,$A268,'BSE - SENSEX Index Options'!$B:$B,D$147,'BSE - SENSEX Index Options'!$H:$H,"Weekly*")+SUMIFS('BSE - SENSEX Index Options'!$L:$L,'BSE - SENSEX Index Options'!$C:$C,$A268,'BSE - SENSEX Index Options'!$B:$B,D$147,'BSE - SENSEX Index Options'!$H:$H,"MDAW*")+SUMIFS('BSE - Other Index Options'!$L:$L,'BSE - Other Index Options'!$C:$C,$A268,'BSE - Other Index Options'!$B:$B,D$147,'BSE - Other Index Options'!$H:$H,"Weekly*")+SUMIFS('BSE - Other Index Options'!$L:$L,'BSE - Other Index Options'!$C:$C,$A268,'BSE - Other Index Options'!$B:$B,D$147,'BSE - Other Index Options'!$H:$H,"MDAW*"))</f>
        <v/>
      </c>
      <c r="E268" s="26" t="str">
        <f>IF(SUMIFS('BSE - SENSEX Index Options'!$L:$L,'BSE - SENSEX Index Options'!$C:$C,$A268,'BSE - SENSEX Index Options'!$B:$B,E$147,'BSE - SENSEX Index Options'!$H:$H,"Weekly*")+SUMIFS('BSE - SENSEX Index Options'!$L:$L,'BSE - SENSEX Index Options'!$C:$C,$A268,'BSE - SENSEX Index Options'!$B:$B,E$147,'BSE - SENSEX Index Options'!$H:$H,"MDAW*")+SUMIFS('BSE - Other Index Options'!$L:$L,'BSE - Other Index Options'!$C:$C,$A268,'BSE - Other Index Options'!$B:$B,E$147,'BSE - Other Index Options'!$H:$H,"Weekly*")+SUMIFS('BSE - Other Index Options'!$L:$L,'BSE - Other Index Options'!$C:$C,$A268,'BSE - Other Index Options'!$B:$B,E$147,'BSE - Other Index Options'!$H:$H,"MDAW*")=0,"",SUMIFS('BSE - SENSEX Index Options'!$L:$L,'BSE - SENSEX Index Options'!$C:$C,$A268,'BSE - SENSEX Index Options'!$B:$B,E$147,'BSE - SENSEX Index Options'!$H:$H,"Weekly*")+SUMIFS('BSE - SENSEX Index Options'!$L:$L,'BSE - SENSEX Index Options'!$C:$C,$A268,'BSE - SENSEX Index Options'!$B:$B,E$147,'BSE - SENSEX Index Options'!$H:$H,"MDAW*")+SUMIFS('BSE - Other Index Options'!$L:$L,'BSE - Other Index Options'!$C:$C,$A268,'BSE - Other Index Options'!$B:$B,E$147,'BSE - Other Index Options'!$H:$H,"Weekly*")+SUMIFS('BSE - Other Index Options'!$L:$L,'BSE - Other Index Options'!$C:$C,$A268,'BSE - Other Index Options'!$B:$B,E$147,'BSE - Other Index Options'!$H:$H,"MDAW*"))</f>
        <v/>
      </c>
      <c r="F268" s="26" t="str">
        <f>IF(SUMIFS('BSE - SENSEX Index Options'!$L:$L,'BSE - SENSEX Index Options'!$C:$C,$A268,'BSE - SENSEX Index Options'!$B:$B,F$147,'BSE - SENSEX Index Options'!$H:$H,"Weekly*")+SUMIFS('BSE - SENSEX Index Options'!$L:$L,'BSE - SENSEX Index Options'!$C:$C,$A268,'BSE - SENSEX Index Options'!$B:$B,F$147,'BSE - SENSEX Index Options'!$H:$H,"MDAW*")+SUMIFS('BSE - Other Index Options'!$L:$L,'BSE - Other Index Options'!$C:$C,$A268,'BSE - Other Index Options'!$B:$B,F$147,'BSE - Other Index Options'!$H:$H,"Weekly*")+SUMIFS('BSE - Other Index Options'!$L:$L,'BSE - Other Index Options'!$C:$C,$A268,'BSE - Other Index Options'!$B:$B,F$147,'BSE - Other Index Options'!$H:$H,"MDAW*")=0,"",SUMIFS('BSE - SENSEX Index Options'!$L:$L,'BSE - SENSEX Index Options'!$C:$C,$A268,'BSE - SENSEX Index Options'!$B:$B,F$147,'BSE - SENSEX Index Options'!$H:$H,"Weekly*")+SUMIFS('BSE - SENSEX Index Options'!$L:$L,'BSE - SENSEX Index Options'!$C:$C,$A268,'BSE - SENSEX Index Options'!$B:$B,F$147,'BSE - SENSEX Index Options'!$H:$H,"MDAW*")+SUMIFS('BSE - Other Index Options'!$L:$L,'BSE - Other Index Options'!$C:$C,$A268,'BSE - Other Index Options'!$B:$B,F$147,'BSE - Other Index Options'!$H:$H,"Weekly*")+SUMIFS('BSE - Other Index Options'!$L:$L,'BSE - Other Index Options'!$C:$C,$A268,'BSE - Other Index Options'!$B:$B,F$147,'BSE - Other Index Options'!$H:$H,"MDAW*"))</f>
        <v/>
      </c>
      <c r="G268" s="26" t="str">
        <f>IF(SUMIFS('BSE - SENSEX Index Options'!$L:$L,'BSE - SENSEX Index Options'!$C:$C,$A268,'BSE - SENSEX Index Options'!$B:$B,G$147,'BSE - SENSEX Index Options'!$H:$H,"Weekly*")+SUMIFS('BSE - SENSEX Index Options'!$L:$L,'BSE - SENSEX Index Options'!$C:$C,$A268,'BSE - SENSEX Index Options'!$B:$B,G$147,'BSE - SENSEX Index Options'!$H:$H,"MDAW*")+SUMIFS('BSE - Other Index Options'!$L:$L,'BSE - Other Index Options'!$C:$C,$A268,'BSE - Other Index Options'!$B:$B,G$147,'BSE - Other Index Options'!$H:$H,"Weekly*")+SUMIFS('BSE - Other Index Options'!$L:$L,'BSE - Other Index Options'!$C:$C,$A268,'BSE - Other Index Options'!$B:$B,G$147,'BSE - Other Index Options'!$H:$H,"MDAW*")=0,"",SUMIFS('BSE - SENSEX Index Options'!$L:$L,'BSE - SENSEX Index Options'!$C:$C,$A268,'BSE - SENSEX Index Options'!$B:$B,G$147,'BSE - SENSEX Index Options'!$H:$H,"Weekly*")+SUMIFS('BSE - SENSEX Index Options'!$L:$L,'BSE - SENSEX Index Options'!$C:$C,$A268,'BSE - SENSEX Index Options'!$B:$B,G$147,'BSE - SENSEX Index Options'!$H:$H,"MDAW*")+SUMIFS('BSE - Other Index Options'!$L:$L,'BSE - Other Index Options'!$C:$C,$A268,'BSE - Other Index Options'!$B:$B,G$147,'BSE - Other Index Options'!$H:$H,"Weekly*")+SUMIFS('BSE - Other Index Options'!$L:$L,'BSE - Other Index Options'!$C:$C,$A268,'BSE - Other Index Options'!$B:$B,G$147,'BSE - Other Index Options'!$H:$H,"MDAW*"))</f>
        <v/>
      </c>
      <c r="H268" s="26" t="str">
        <f t="shared" si="9"/>
        <v/>
      </c>
    </row>
    <row r="269" spans="1:8" hidden="1" outlineLevel="1">
      <c r="A269" t="s">
        <v>131</v>
      </c>
      <c r="B269" s="26" t="str">
        <f>IF(SUMIFS('BSE - SENSEX Index Options'!$L:$L,'BSE - SENSEX Index Options'!$C:$C,$A269,'BSE - SENSEX Index Options'!$B:$B,B$147,'BSE - SENSEX Index Options'!$H:$H,"Weekly*")+SUMIFS('BSE - SENSEX Index Options'!$L:$L,'BSE - SENSEX Index Options'!$C:$C,$A269,'BSE - SENSEX Index Options'!$B:$B,B$147,'BSE - SENSEX Index Options'!$H:$H,"MDAW*")+SUMIFS('BSE - Other Index Options'!$L:$L,'BSE - Other Index Options'!$C:$C,$A269,'BSE - Other Index Options'!$B:$B,B$147,'BSE - Other Index Options'!$H:$H,"Weekly*")+SUMIFS('BSE - Other Index Options'!$L:$L,'BSE - Other Index Options'!$C:$C,$A269,'BSE - Other Index Options'!$B:$B,B$147,'BSE - Other Index Options'!$H:$H,"MDAW*")=0,"",SUMIFS('BSE - SENSEX Index Options'!$L:$L,'BSE - SENSEX Index Options'!$C:$C,$A269,'BSE - SENSEX Index Options'!$B:$B,B$147,'BSE - SENSEX Index Options'!$H:$H,"Weekly*")+SUMIFS('BSE - SENSEX Index Options'!$L:$L,'BSE - SENSEX Index Options'!$C:$C,$A269,'BSE - SENSEX Index Options'!$B:$B,B$147,'BSE - SENSEX Index Options'!$H:$H,"MDAW*")+SUMIFS('BSE - Other Index Options'!$L:$L,'BSE - Other Index Options'!$C:$C,$A269,'BSE - Other Index Options'!$B:$B,B$147,'BSE - Other Index Options'!$H:$H,"Weekly*")+SUMIFS('BSE - Other Index Options'!$L:$L,'BSE - Other Index Options'!$C:$C,$A269,'BSE - Other Index Options'!$B:$B,B$147,'BSE - Other Index Options'!$H:$H,"MDAW*"))</f>
        <v/>
      </c>
      <c r="C269" s="26" t="str">
        <f>IF(SUMIFS('BSE - SENSEX Index Options'!$L:$L,'BSE - SENSEX Index Options'!$C:$C,$A269,'BSE - SENSEX Index Options'!$B:$B,C$147,'BSE - SENSEX Index Options'!$H:$H,"Weekly*")+SUMIFS('BSE - SENSEX Index Options'!$L:$L,'BSE - SENSEX Index Options'!$C:$C,$A269,'BSE - SENSEX Index Options'!$B:$B,C$147,'BSE - SENSEX Index Options'!$H:$H,"MDAW*")+SUMIFS('BSE - Other Index Options'!$L:$L,'BSE - Other Index Options'!$C:$C,$A269,'BSE - Other Index Options'!$B:$B,C$147,'BSE - Other Index Options'!$H:$H,"Weekly*")+SUMIFS('BSE - Other Index Options'!$L:$L,'BSE - Other Index Options'!$C:$C,$A269,'BSE - Other Index Options'!$B:$B,C$147,'BSE - Other Index Options'!$H:$H,"MDAW*")=0,"",SUMIFS('BSE - SENSEX Index Options'!$L:$L,'BSE - SENSEX Index Options'!$C:$C,$A269,'BSE - SENSEX Index Options'!$B:$B,C$147,'BSE - SENSEX Index Options'!$H:$H,"Weekly*")+SUMIFS('BSE - SENSEX Index Options'!$L:$L,'BSE - SENSEX Index Options'!$C:$C,$A269,'BSE - SENSEX Index Options'!$B:$B,C$147,'BSE - SENSEX Index Options'!$H:$H,"MDAW*")+SUMIFS('BSE - Other Index Options'!$L:$L,'BSE - Other Index Options'!$C:$C,$A269,'BSE - Other Index Options'!$B:$B,C$147,'BSE - Other Index Options'!$H:$H,"Weekly*")+SUMIFS('BSE - Other Index Options'!$L:$L,'BSE - Other Index Options'!$C:$C,$A269,'BSE - Other Index Options'!$B:$B,C$147,'BSE - Other Index Options'!$H:$H,"MDAW*"))</f>
        <v/>
      </c>
      <c r="D269" s="26" t="str">
        <f>IF(SUMIFS('BSE - SENSEX Index Options'!$L:$L,'BSE - SENSEX Index Options'!$C:$C,$A269,'BSE - SENSEX Index Options'!$B:$B,D$147,'BSE - SENSEX Index Options'!$H:$H,"Weekly*")+SUMIFS('BSE - SENSEX Index Options'!$L:$L,'BSE - SENSEX Index Options'!$C:$C,$A269,'BSE - SENSEX Index Options'!$B:$B,D$147,'BSE - SENSEX Index Options'!$H:$H,"MDAW*")+SUMIFS('BSE - Other Index Options'!$L:$L,'BSE - Other Index Options'!$C:$C,$A269,'BSE - Other Index Options'!$B:$B,D$147,'BSE - Other Index Options'!$H:$H,"Weekly*")+SUMIFS('BSE - Other Index Options'!$L:$L,'BSE - Other Index Options'!$C:$C,$A269,'BSE - Other Index Options'!$B:$B,D$147,'BSE - Other Index Options'!$H:$H,"MDAW*")=0,"",SUMIFS('BSE - SENSEX Index Options'!$L:$L,'BSE - SENSEX Index Options'!$C:$C,$A269,'BSE - SENSEX Index Options'!$B:$B,D$147,'BSE - SENSEX Index Options'!$H:$H,"Weekly*")+SUMIFS('BSE - SENSEX Index Options'!$L:$L,'BSE - SENSEX Index Options'!$C:$C,$A269,'BSE - SENSEX Index Options'!$B:$B,D$147,'BSE - SENSEX Index Options'!$H:$H,"MDAW*")+SUMIFS('BSE - Other Index Options'!$L:$L,'BSE - Other Index Options'!$C:$C,$A269,'BSE - Other Index Options'!$B:$B,D$147,'BSE - Other Index Options'!$H:$H,"Weekly*")+SUMIFS('BSE - Other Index Options'!$L:$L,'BSE - Other Index Options'!$C:$C,$A269,'BSE - Other Index Options'!$B:$B,D$147,'BSE - Other Index Options'!$H:$H,"MDAW*"))</f>
        <v/>
      </c>
      <c r="E269" s="26" t="str">
        <f>IF(SUMIFS('BSE - SENSEX Index Options'!$L:$L,'BSE - SENSEX Index Options'!$C:$C,$A269,'BSE - SENSEX Index Options'!$B:$B,E$147,'BSE - SENSEX Index Options'!$H:$H,"Weekly*")+SUMIFS('BSE - SENSEX Index Options'!$L:$L,'BSE - SENSEX Index Options'!$C:$C,$A269,'BSE - SENSEX Index Options'!$B:$B,E$147,'BSE - SENSEX Index Options'!$H:$H,"MDAW*")+SUMIFS('BSE - Other Index Options'!$L:$L,'BSE - Other Index Options'!$C:$C,$A269,'BSE - Other Index Options'!$B:$B,E$147,'BSE - Other Index Options'!$H:$H,"Weekly*")+SUMIFS('BSE - Other Index Options'!$L:$L,'BSE - Other Index Options'!$C:$C,$A269,'BSE - Other Index Options'!$B:$B,E$147,'BSE - Other Index Options'!$H:$H,"MDAW*")=0,"",SUMIFS('BSE - SENSEX Index Options'!$L:$L,'BSE - SENSEX Index Options'!$C:$C,$A269,'BSE - SENSEX Index Options'!$B:$B,E$147,'BSE - SENSEX Index Options'!$H:$H,"Weekly*")+SUMIFS('BSE - SENSEX Index Options'!$L:$L,'BSE - SENSEX Index Options'!$C:$C,$A269,'BSE - SENSEX Index Options'!$B:$B,E$147,'BSE - SENSEX Index Options'!$H:$H,"MDAW*")+SUMIFS('BSE - Other Index Options'!$L:$L,'BSE - Other Index Options'!$C:$C,$A269,'BSE - Other Index Options'!$B:$B,E$147,'BSE - Other Index Options'!$H:$H,"Weekly*")+SUMIFS('BSE - Other Index Options'!$L:$L,'BSE - Other Index Options'!$C:$C,$A269,'BSE - Other Index Options'!$B:$B,E$147,'BSE - Other Index Options'!$H:$H,"MDAW*"))</f>
        <v/>
      </c>
      <c r="F269" s="26" t="str">
        <f>IF(SUMIFS('BSE - SENSEX Index Options'!$L:$L,'BSE - SENSEX Index Options'!$C:$C,$A269,'BSE - SENSEX Index Options'!$B:$B,F$147,'BSE - SENSEX Index Options'!$H:$H,"Weekly*")+SUMIFS('BSE - SENSEX Index Options'!$L:$L,'BSE - SENSEX Index Options'!$C:$C,$A269,'BSE - SENSEX Index Options'!$B:$B,F$147,'BSE - SENSEX Index Options'!$H:$H,"MDAW*")+SUMIFS('BSE - Other Index Options'!$L:$L,'BSE - Other Index Options'!$C:$C,$A269,'BSE - Other Index Options'!$B:$B,F$147,'BSE - Other Index Options'!$H:$H,"Weekly*")+SUMIFS('BSE - Other Index Options'!$L:$L,'BSE - Other Index Options'!$C:$C,$A269,'BSE - Other Index Options'!$B:$B,F$147,'BSE - Other Index Options'!$H:$H,"MDAW*")=0,"",SUMIFS('BSE - SENSEX Index Options'!$L:$L,'BSE - SENSEX Index Options'!$C:$C,$A269,'BSE - SENSEX Index Options'!$B:$B,F$147,'BSE - SENSEX Index Options'!$H:$H,"Weekly*")+SUMIFS('BSE - SENSEX Index Options'!$L:$L,'BSE - SENSEX Index Options'!$C:$C,$A269,'BSE - SENSEX Index Options'!$B:$B,F$147,'BSE - SENSEX Index Options'!$H:$H,"MDAW*")+SUMIFS('BSE - Other Index Options'!$L:$L,'BSE - Other Index Options'!$C:$C,$A269,'BSE - Other Index Options'!$B:$B,F$147,'BSE - Other Index Options'!$H:$H,"Weekly*")+SUMIFS('BSE - Other Index Options'!$L:$L,'BSE - Other Index Options'!$C:$C,$A269,'BSE - Other Index Options'!$B:$B,F$147,'BSE - Other Index Options'!$H:$H,"MDAW*"))</f>
        <v/>
      </c>
      <c r="G269" s="26" t="str">
        <f>IF(SUMIFS('BSE - SENSEX Index Options'!$L:$L,'BSE - SENSEX Index Options'!$C:$C,$A269,'BSE - SENSEX Index Options'!$B:$B,G$147,'BSE - SENSEX Index Options'!$H:$H,"Weekly*")+SUMIFS('BSE - SENSEX Index Options'!$L:$L,'BSE - SENSEX Index Options'!$C:$C,$A269,'BSE - SENSEX Index Options'!$B:$B,G$147,'BSE - SENSEX Index Options'!$H:$H,"MDAW*")+SUMIFS('BSE - Other Index Options'!$L:$L,'BSE - Other Index Options'!$C:$C,$A269,'BSE - Other Index Options'!$B:$B,G$147,'BSE - Other Index Options'!$H:$H,"Weekly*")+SUMIFS('BSE - Other Index Options'!$L:$L,'BSE - Other Index Options'!$C:$C,$A269,'BSE - Other Index Options'!$B:$B,G$147,'BSE - Other Index Options'!$H:$H,"MDAW*")=0,"",SUMIFS('BSE - SENSEX Index Options'!$L:$L,'BSE - SENSEX Index Options'!$C:$C,$A269,'BSE - SENSEX Index Options'!$B:$B,G$147,'BSE - SENSEX Index Options'!$H:$H,"Weekly*")+SUMIFS('BSE - SENSEX Index Options'!$L:$L,'BSE - SENSEX Index Options'!$C:$C,$A269,'BSE - SENSEX Index Options'!$B:$B,G$147,'BSE - SENSEX Index Options'!$H:$H,"MDAW*")+SUMIFS('BSE - Other Index Options'!$L:$L,'BSE - Other Index Options'!$C:$C,$A269,'BSE - Other Index Options'!$B:$B,G$147,'BSE - Other Index Options'!$H:$H,"Weekly*")+SUMIFS('BSE - Other Index Options'!$L:$L,'BSE - Other Index Options'!$C:$C,$A269,'BSE - Other Index Options'!$B:$B,G$147,'BSE - Other Index Options'!$H:$H,"MDAW*"))</f>
        <v/>
      </c>
      <c r="H269" s="26" t="str">
        <f t="shared" si="9"/>
        <v/>
      </c>
    </row>
    <row r="270" spans="1:8" hidden="1" outlineLevel="1">
      <c r="A270" t="s">
        <v>132</v>
      </c>
      <c r="B270" s="26" t="str">
        <f>IF(SUMIFS('BSE - SENSEX Index Options'!$L:$L,'BSE - SENSEX Index Options'!$C:$C,$A270,'BSE - SENSEX Index Options'!$B:$B,B$147,'BSE - SENSEX Index Options'!$H:$H,"Weekly*")+SUMIFS('BSE - SENSEX Index Options'!$L:$L,'BSE - SENSEX Index Options'!$C:$C,$A270,'BSE - SENSEX Index Options'!$B:$B,B$147,'BSE - SENSEX Index Options'!$H:$H,"MDAW*")+SUMIFS('BSE - Other Index Options'!$L:$L,'BSE - Other Index Options'!$C:$C,$A270,'BSE - Other Index Options'!$B:$B,B$147,'BSE - Other Index Options'!$H:$H,"Weekly*")+SUMIFS('BSE - Other Index Options'!$L:$L,'BSE - Other Index Options'!$C:$C,$A270,'BSE - Other Index Options'!$B:$B,B$147,'BSE - Other Index Options'!$H:$H,"MDAW*")=0,"",SUMIFS('BSE - SENSEX Index Options'!$L:$L,'BSE - SENSEX Index Options'!$C:$C,$A270,'BSE - SENSEX Index Options'!$B:$B,B$147,'BSE - SENSEX Index Options'!$H:$H,"Weekly*")+SUMIFS('BSE - SENSEX Index Options'!$L:$L,'BSE - SENSEX Index Options'!$C:$C,$A270,'BSE - SENSEX Index Options'!$B:$B,B$147,'BSE - SENSEX Index Options'!$H:$H,"MDAW*")+SUMIFS('BSE - Other Index Options'!$L:$L,'BSE - Other Index Options'!$C:$C,$A270,'BSE - Other Index Options'!$B:$B,B$147,'BSE - Other Index Options'!$H:$H,"Weekly*")+SUMIFS('BSE - Other Index Options'!$L:$L,'BSE - Other Index Options'!$C:$C,$A270,'BSE - Other Index Options'!$B:$B,B$147,'BSE - Other Index Options'!$H:$H,"MDAW*"))</f>
        <v/>
      </c>
      <c r="C270" s="26" t="str">
        <f>IF(SUMIFS('BSE - SENSEX Index Options'!$L:$L,'BSE - SENSEX Index Options'!$C:$C,$A270,'BSE - SENSEX Index Options'!$B:$B,C$147,'BSE - SENSEX Index Options'!$H:$H,"Weekly*")+SUMIFS('BSE - SENSEX Index Options'!$L:$L,'BSE - SENSEX Index Options'!$C:$C,$A270,'BSE - SENSEX Index Options'!$B:$B,C$147,'BSE - SENSEX Index Options'!$H:$H,"MDAW*")+SUMIFS('BSE - Other Index Options'!$L:$L,'BSE - Other Index Options'!$C:$C,$A270,'BSE - Other Index Options'!$B:$B,C$147,'BSE - Other Index Options'!$H:$H,"Weekly*")+SUMIFS('BSE - Other Index Options'!$L:$L,'BSE - Other Index Options'!$C:$C,$A270,'BSE - Other Index Options'!$B:$B,C$147,'BSE - Other Index Options'!$H:$H,"MDAW*")=0,"",SUMIFS('BSE - SENSEX Index Options'!$L:$L,'BSE - SENSEX Index Options'!$C:$C,$A270,'BSE - SENSEX Index Options'!$B:$B,C$147,'BSE - SENSEX Index Options'!$H:$H,"Weekly*")+SUMIFS('BSE - SENSEX Index Options'!$L:$L,'BSE - SENSEX Index Options'!$C:$C,$A270,'BSE - SENSEX Index Options'!$B:$B,C$147,'BSE - SENSEX Index Options'!$H:$H,"MDAW*")+SUMIFS('BSE - Other Index Options'!$L:$L,'BSE - Other Index Options'!$C:$C,$A270,'BSE - Other Index Options'!$B:$B,C$147,'BSE - Other Index Options'!$H:$H,"Weekly*")+SUMIFS('BSE - Other Index Options'!$L:$L,'BSE - Other Index Options'!$C:$C,$A270,'BSE - Other Index Options'!$B:$B,C$147,'BSE - Other Index Options'!$H:$H,"MDAW*"))</f>
        <v/>
      </c>
      <c r="D270" s="26" t="str">
        <f>IF(SUMIFS('BSE - SENSEX Index Options'!$L:$L,'BSE - SENSEX Index Options'!$C:$C,$A270,'BSE - SENSEX Index Options'!$B:$B,D$147,'BSE - SENSEX Index Options'!$H:$H,"Weekly*")+SUMIFS('BSE - SENSEX Index Options'!$L:$L,'BSE - SENSEX Index Options'!$C:$C,$A270,'BSE - SENSEX Index Options'!$B:$B,D$147,'BSE - SENSEX Index Options'!$H:$H,"MDAW*")+SUMIFS('BSE - Other Index Options'!$L:$L,'BSE - Other Index Options'!$C:$C,$A270,'BSE - Other Index Options'!$B:$B,D$147,'BSE - Other Index Options'!$H:$H,"Weekly*")+SUMIFS('BSE - Other Index Options'!$L:$L,'BSE - Other Index Options'!$C:$C,$A270,'BSE - Other Index Options'!$B:$B,D$147,'BSE - Other Index Options'!$H:$H,"MDAW*")=0,"",SUMIFS('BSE - SENSEX Index Options'!$L:$L,'BSE - SENSEX Index Options'!$C:$C,$A270,'BSE - SENSEX Index Options'!$B:$B,D$147,'BSE - SENSEX Index Options'!$H:$H,"Weekly*")+SUMIFS('BSE - SENSEX Index Options'!$L:$L,'BSE - SENSEX Index Options'!$C:$C,$A270,'BSE - SENSEX Index Options'!$B:$B,D$147,'BSE - SENSEX Index Options'!$H:$H,"MDAW*")+SUMIFS('BSE - Other Index Options'!$L:$L,'BSE - Other Index Options'!$C:$C,$A270,'BSE - Other Index Options'!$B:$B,D$147,'BSE - Other Index Options'!$H:$H,"Weekly*")+SUMIFS('BSE - Other Index Options'!$L:$L,'BSE - Other Index Options'!$C:$C,$A270,'BSE - Other Index Options'!$B:$B,D$147,'BSE - Other Index Options'!$H:$H,"MDAW*"))</f>
        <v/>
      </c>
      <c r="E270" s="26" t="str">
        <f>IF(SUMIFS('BSE - SENSEX Index Options'!$L:$L,'BSE - SENSEX Index Options'!$C:$C,$A270,'BSE - SENSEX Index Options'!$B:$B,E$147,'BSE - SENSEX Index Options'!$H:$H,"Weekly*")+SUMIFS('BSE - SENSEX Index Options'!$L:$L,'BSE - SENSEX Index Options'!$C:$C,$A270,'BSE - SENSEX Index Options'!$B:$B,E$147,'BSE - SENSEX Index Options'!$H:$H,"MDAW*")+SUMIFS('BSE - Other Index Options'!$L:$L,'BSE - Other Index Options'!$C:$C,$A270,'BSE - Other Index Options'!$B:$B,E$147,'BSE - Other Index Options'!$H:$H,"Weekly*")+SUMIFS('BSE - Other Index Options'!$L:$L,'BSE - Other Index Options'!$C:$C,$A270,'BSE - Other Index Options'!$B:$B,E$147,'BSE - Other Index Options'!$H:$H,"MDAW*")=0,"",SUMIFS('BSE - SENSEX Index Options'!$L:$L,'BSE - SENSEX Index Options'!$C:$C,$A270,'BSE - SENSEX Index Options'!$B:$B,E$147,'BSE - SENSEX Index Options'!$H:$H,"Weekly*")+SUMIFS('BSE - SENSEX Index Options'!$L:$L,'BSE - SENSEX Index Options'!$C:$C,$A270,'BSE - SENSEX Index Options'!$B:$B,E$147,'BSE - SENSEX Index Options'!$H:$H,"MDAW*")+SUMIFS('BSE - Other Index Options'!$L:$L,'BSE - Other Index Options'!$C:$C,$A270,'BSE - Other Index Options'!$B:$B,E$147,'BSE - Other Index Options'!$H:$H,"Weekly*")+SUMIFS('BSE - Other Index Options'!$L:$L,'BSE - Other Index Options'!$C:$C,$A270,'BSE - Other Index Options'!$B:$B,E$147,'BSE - Other Index Options'!$H:$H,"MDAW*"))</f>
        <v/>
      </c>
      <c r="F270" s="26" t="str">
        <f>IF(SUMIFS('BSE - SENSEX Index Options'!$L:$L,'BSE - SENSEX Index Options'!$C:$C,$A270,'BSE - SENSEX Index Options'!$B:$B,F$147,'BSE - SENSEX Index Options'!$H:$H,"Weekly*")+SUMIFS('BSE - SENSEX Index Options'!$L:$L,'BSE - SENSEX Index Options'!$C:$C,$A270,'BSE - SENSEX Index Options'!$B:$B,F$147,'BSE - SENSEX Index Options'!$H:$H,"MDAW*")+SUMIFS('BSE - Other Index Options'!$L:$L,'BSE - Other Index Options'!$C:$C,$A270,'BSE - Other Index Options'!$B:$B,F$147,'BSE - Other Index Options'!$H:$H,"Weekly*")+SUMIFS('BSE - Other Index Options'!$L:$L,'BSE - Other Index Options'!$C:$C,$A270,'BSE - Other Index Options'!$B:$B,F$147,'BSE - Other Index Options'!$H:$H,"MDAW*")=0,"",SUMIFS('BSE - SENSEX Index Options'!$L:$L,'BSE - SENSEX Index Options'!$C:$C,$A270,'BSE - SENSEX Index Options'!$B:$B,F$147,'BSE - SENSEX Index Options'!$H:$H,"Weekly*")+SUMIFS('BSE - SENSEX Index Options'!$L:$L,'BSE - SENSEX Index Options'!$C:$C,$A270,'BSE - SENSEX Index Options'!$B:$B,F$147,'BSE - SENSEX Index Options'!$H:$H,"MDAW*")+SUMIFS('BSE - Other Index Options'!$L:$L,'BSE - Other Index Options'!$C:$C,$A270,'BSE - Other Index Options'!$B:$B,F$147,'BSE - Other Index Options'!$H:$H,"Weekly*")+SUMIFS('BSE - Other Index Options'!$L:$L,'BSE - Other Index Options'!$C:$C,$A270,'BSE - Other Index Options'!$B:$B,F$147,'BSE - Other Index Options'!$H:$H,"MDAW*"))</f>
        <v/>
      </c>
      <c r="G270" s="26" t="str">
        <f>IF(SUMIFS('BSE - SENSEX Index Options'!$L:$L,'BSE - SENSEX Index Options'!$C:$C,$A270,'BSE - SENSEX Index Options'!$B:$B,G$147,'BSE - SENSEX Index Options'!$H:$H,"Weekly*")+SUMIFS('BSE - SENSEX Index Options'!$L:$L,'BSE - SENSEX Index Options'!$C:$C,$A270,'BSE - SENSEX Index Options'!$B:$B,G$147,'BSE - SENSEX Index Options'!$H:$H,"MDAW*")+SUMIFS('BSE - Other Index Options'!$L:$L,'BSE - Other Index Options'!$C:$C,$A270,'BSE - Other Index Options'!$B:$B,G$147,'BSE - Other Index Options'!$H:$H,"Weekly*")+SUMIFS('BSE - Other Index Options'!$L:$L,'BSE - Other Index Options'!$C:$C,$A270,'BSE - Other Index Options'!$B:$B,G$147,'BSE - Other Index Options'!$H:$H,"MDAW*")=0,"",SUMIFS('BSE - SENSEX Index Options'!$L:$L,'BSE - SENSEX Index Options'!$C:$C,$A270,'BSE - SENSEX Index Options'!$B:$B,G$147,'BSE - SENSEX Index Options'!$H:$H,"Weekly*")+SUMIFS('BSE - SENSEX Index Options'!$L:$L,'BSE - SENSEX Index Options'!$C:$C,$A270,'BSE - SENSEX Index Options'!$B:$B,G$147,'BSE - SENSEX Index Options'!$H:$H,"MDAW*")+SUMIFS('BSE - Other Index Options'!$L:$L,'BSE - Other Index Options'!$C:$C,$A270,'BSE - Other Index Options'!$B:$B,G$147,'BSE - Other Index Options'!$H:$H,"Weekly*")+SUMIFS('BSE - Other Index Options'!$L:$L,'BSE - Other Index Options'!$C:$C,$A270,'BSE - Other Index Options'!$B:$B,G$147,'BSE - Other Index Options'!$H:$H,"MDAW*"))</f>
        <v/>
      </c>
      <c r="H270" s="26" t="str">
        <f t="shared" si="9"/>
        <v/>
      </c>
    </row>
    <row r="271" spans="1:8" hidden="1" outlineLevel="1">
      <c r="A271" t="s">
        <v>133</v>
      </c>
      <c r="B271" s="26" t="str">
        <f>IF(SUMIFS('BSE - SENSEX Index Options'!$L:$L,'BSE - SENSEX Index Options'!$C:$C,$A271,'BSE - SENSEX Index Options'!$B:$B,B$147,'BSE - SENSEX Index Options'!$H:$H,"Weekly*")+SUMIFS('BSE - SENSEX Index Options'!$L:$L,'BSE - SENSEX Index Options'!$C:$C,$A271,'BSE - SENSEX Index Options'!$B:$B,B$147,'BSE - SENSEX Index Options'!$H:$H,"MDAW*")+SUMIFS('BSE - Other Index Options'!$L:$L,'BSE - Other Index Options'!$C:$C,$A271,'BSE - Other Index Options'!$B:$B,B$147,'BSE - Other Index Options'!$H:$H,"Weekly*")+SUMIFS('BSE - Other Index Options'!$L:$L,'BSE - Other Index Options'!$C:$C,$A271,'BSE - Other Index Options'!$B:$B,B$147,'BSE - Other Index Options'!$H:$H,"MDAW*")=0,"",SUMIFS('BSE - SENSEX Index Options'!$L:$L,'BSE - SENSEX Index Options'!$C:$C,$A271,'BSE - SENSEX Index Options'!$B:$B,B$147,'BSE - SENSEX Index Options'!$H:$H,"Weekly*")+SUMIFS('BSE - SENSEX Index Options'!$L:$L,'BSE - SENSEX Index Options'!$C:$C,$A271,'BSE - SENSEX Index Options'!$B:$B,B$147,'BSE - SENSEX Index Options'!$H:$H,"MDAW*")+SUMIFS('BSE - Other Index Options'!$L:$L,'BSE - Other Index Options'!$C:$C,$A271,'BSE - Other Index Options'!$B:$B,B$147,'BSE - Other Index Options'!$H:$H,"Weekly*")+SUMIFS('BSE - Other Index Options'!$L:$L,'BSE - Other Index Options'!$C:$C,$A271,'BSE - Other Index Options'!$B:$B,B$147,'BSE - Other Index Options'!$H:$H,"MDAW*"))</f>
        <v/>
      </c>
      <c r="C271" s="26" t="str">
        <f>IF(SUMIFS('BSE - SENSEX Index Options'!$L:$L,'BSE - SENSEX Index Options'!$C:$C,$A271,'BSE - SENSEX Index Options'!$B:$B,C$147,'BSE - SENSEX Index Options'!$H:$H,"Weekly*")+SUMIFS('BSE - SENSEX Index Options'!$L:$L,'BSE - SENSEX Index Options'!$C:$C,$A271,'BSE - SENSEX Index Options'!$B:$B,C$147,'BSE - SENSEX Index Options'!$H:$H,"MDAW*")+SUMIFS('BSE - Other Index Options'!$L:$L,'BSE - Other Index Options'!$C:$C,$A271,'BSE - Other Index Options'!$B:$B,C$147,'BSE - Other Index Options'!$H:$H,"Weekly*")+SUMIFS('BSE - Other Index Options'!$L:$L,'BSE - Other Index Options'!$C:$C,$A271,'BSE - Other Index Options'!$B:$B,C$147,'BSE - Other Index Options'!$H:$H,"MDAW*")=0,"",SUMIFS('BSE - SENSEX Index Options'!$L:$L,'BSE - SENSEX Index Options'!$C:$C,$A271,'BSE - SENSEX Index Options'!$B:$B,C$147,'BSE - SENSEX Index Options'!$H:$H,"Weekly*")+SUMIFS('BSE - SENSEX Index Options'!$L:$L,'BSE - SENSEX Index Options'!$C:$C,$A271,'BSE - SENSEX Index Options'!$B:$B,C$147,'BSE - SENSEX Index Options'!$H:$H,"MDAW*")+SUMIFS('BSE - Other Index Options'!$L:$L,'BSE - Other Index Options'!$C:$C,$A271,'BSE - Other Index Options'!$B:$B,C$147,'BSE - Other Index Options'!$H:$H,"Weekly*")+SUMIFS('BSE - Other Index Options'!$L:$L,'BSE - Other Index Options'!$C:$C,$A271,'BSE - Other Index Options'!$B:$B,C$147,'BSE - Other Index Options'!$H:$H,"MDAW*"))</f>
        <v/>
      </c>
      <c r="D271" s="26" t="str">
        <f>IF(SUMIFS('BSE - SENSEX Index Options'!$L:$L,'BSE - SENSEX Index Options'!$C:$C,$A271,'BSE - SENSEX Index Options'!$B:$B,D$147,'BSE - SENSEX Index Options'!$H:$H,"Weekly*")+SUMIFS('BSE - SENSEX Index Options'!$L:$L,'BSE - SENSEX Index Options'!$C:$C,$A271,'BSE - SENSEX Index Options'!$B:$B,D$147,'BSE - SENSEX Index Options'!$H:$H,"MDAW*")+SUMIFS('BSE - Other Index Options'!$L:$L,'BSE - Other Index Options'!$C:$C,$A271,'BSE - Other Index Options'!$B:$B,D$147,'BSE - Other Index Options'!$H:$H,"Weekly*")+SUMIFS('BSE - Other Index Options'!$L:$L,'BSE - Other Index Options'!$C:$C,$A271,'BSE - Other Index Options'!$B:$B,D$147,'BSE - Other Index Options'!$H:$H,"MDAW*")=0,"",SUMIFS('BSE - SENSEX Index Options'!$L:$L,'BSE - SENSEX Index Options'!$C:$C,$A271,'BSE - SENSEX Index Options'!$B:$B,D$147,'BSE - SENSEX Index Options'!$H:$H,"Weekly*")+SUMIFS('BSE - SENSEX Index Options'!$L:$L,'BSE - SENSEX Index Options'!$C:$C,$A271,'BSE - SENSEX Index Options'!$B:$B,D$147,'BSE - SENSEX Index Options'!$H:$H,"MDAW*")+SUMIFS('BSE - Other Index Options'!$L:$L,'BSE - Other Index Options'!$C:$C,$A271,'BSE - Other Index Options'!$B:$B,D$147,'BSE - Other Index Options'!$H:$H,"Weekly*")+SUMIFS('BSE - Other Index Options'!$L:$L,'BSE - Other Index Options'!$C:$C,$A271,'BSE - Other Index Options'!$B:$B,D$147,'BSE - Other Index Options'!$H:$H,"MDAW*"))</f>
        <v/>
      </c>
      <c r="E271" s="26" t="str">
        <f>IF(SUMIFS('BSE - SENSEX Index Options'!$L:$L,'BSE - SENSEX Index Options'!$C:$C,$A271,'BSE - SENSEX Index Options'!$B:$B,E$147,'BSE - SENSEX Index Options'!$H:$H,"Weekly*")+SUMIFS('BSE - SENSEX Index Options'!$L:$L,'BSE - SENSEX Index Options'!$C:$C,$A271,'BSE - SENSEX Index Options'!$B:$B,E$147,'BSE - SENSEX Index Options'!$H:$H,"MDAW*")+SUMIFS('BSE - Other Index Options'!$L:$L,'BSE - Other Index Options'!$C:$C,$A271,'BSE - Other Index Options'!$B:$B,E$147,'BSE - Other Index Options'!$H:$H,"Weekly*")+SUMIFS('BSE - Other Index Options'!$L:$L,'BSE - Other Index Options'!$C:$C,$A271,'BSE - Other Index Options'!$B:$B,E$147,'BSE - Other Index Options'!$H:$H,"MDAW*")=0,"",SUMIFS('BSE - SENSEX Index Options'!$L:$L,'BSE - SENSEX Index Options'!$C:$C,$A271,'BSE - SENSEX Index Options'!$B:$B,E$147,'BSE - SENSEX Index Options'!$H:$H,"Weekly*")+SUMIFS('BSE - SENSEX Index Options'!$L:$L,'BSE - SENSEX Index Options'!$C:$C,$A271,'BSE - SENSEX Index Options'!$B:$B,E$147,'BSE - SENSEX Index Options'!$H:$H,"MDAW*")+SUMIFS('BSE - Other Index Options'!$L:$L,'BSE - Other Index Options'!$C:$C,$A271,'BSE - Other Index Options'!$B:$B,E$147,'BSE - Other Index Options'!$H:$H,"Weekly*")+SUMIFS('BSE - Other Index Options'!$L:$L,'BSE - Other Index Options'!$C:$C,$A271,'BSE - Other Index Options'!$B:$B,E$147,'BSE - Other Index Options'!$H:$H,"MDAW*"))</f>
        <v/>
      </c>
      <c r="F271" s="26" t="str">
        <f>IF(SUMIFS('BSE - SENSEX Index Options'!$L:$L,'BSE - SENSEX Index Options'!$C:$C,$A271,'BSE - SENSEX Index Options'!$B:$B,F$147,'BSE - SENSEX Index Options'!$H:$H,"Weekly*")+SUMIFS('BSE - SENSEX Index Options'!$L:$L,'BSE - SENSEX Index Options'!$C:$C,$A271,'BSE - SENSEX Index Options'!$B:$B,F$147,'BSE - SENSEX Index Options'!$H:$H,"MDAW*")+SUMIFS('BSE - Other Index Options'!$L:$L,'BSE - Other Index Options'!$C:$C,$A271,'BSE - Other Index Options'!$B:$B,F$147,'BSE - Other Index Options'!$H:$H,"Weekly*")+SUMIFS('BSE - Other Index Options'!$L:$L,'BSE - Other Index Options'!$C:$C,$A271,'BSE - Other Index Options'!$B:$B,F$147,'BSE - Other Index Options'!$H:$H,"MDAW*")=0,"",SUMIFS('BSE - SENSEX Index Options'!$L:$L,'BSE - SENSEX Index Options'!$C:$C,$A271,'BSE - SENSEX Index Options'!$B:$B,F$147,'BSE - SENSEX Index Options'!$H:$H,"Weekly*")+SUMIFS('BSE - SENSEX Index Options'!$L:$L,'BSE - SENSEX Index Options'!$C:$C,$A271,'BSE - SENSEX Index Options'!$B:$B,F$147,'BSE - SENSEX Index Options'!$H:$H,"MDAW*")+SUMIFS('BSE - Other Index Options'!$L:$L,'BSE - Other Index Options'!$C:$C,$A271,'BSE - Other Index Options'!$B:$B,F$147,'BSE - Other Index Options'!$H:$H,"Weekly*")+SUMIFS('BSE - Other Index Options'!$L:$L,'BSE - Other Index Options'!$C:$C,$A271,'BSE - Other Index Options'!$B:$B,F$147,'BSE - Other Index Options'!$H:$H,"MDAW*"))</f>
        <v/>
      </c>
      <c r="G271" s="26" t="str">
        <f>IF(SUMIFS('BSE - SENSEX Index Options'!$L:$L,'BSE - SENSEX Index Options'!$C:$C,$A271,'BSE - SENSEX Index Options'!$B:$B,G$147,'BSE - SENSEX Index Options'!$H:$H,"Weekly*")+SUMIFS('BSE - SENSEX Index Options'!$L:$L,'BSE - SENSEX Index Options'!$C:$C,$A271,'BSE - SENSEX Index Options'!$B:$B,G$147,'BSE - SENSEX Index Options'!$H:$H,"MDAW*")+SUMIFS('BSE - Other Index Options'!$L:$L,'BSE - Other Index Options'!$C:$C,$A271,'BSE - Other Index Options'!$B:$B,G$147,'BSE - Other Index Options'!$H:$H,"Weekly*")+SUMIFS('BSE - Other Index Options'!$L:$L,'BSE - Other Index Options'!$C:$C,$A271,'BSE - Other Index Options'!$B:$B,G$147,'BSE - Other Index Options'!$H:$H,"MDAW*")=0,"",SUMIFS('BSE - SENSEX Index Options'!$L:$L,'BSE - SENSEX Index Options'!$C:$C,$A271,'BSE - SENSEX Index Options'!$B:$B,G$147,'BSE - SENSEX Index Options'!$H:$H,"Weekly*")+SUMIFS('BSE - SENSEX Index Options'!$L:$L,'BSE - SENSEX Index Options'!$C:$C,$A271,'BSE - SENSEX Index Options'!$B:$B,G$147,'BSE - SENSEX Index Options'!$H:$H,"MDAW*")+SUMIFS('BSE - Other Index Options'!$L:$L,'BSE - Other Index Options'!$C:$C,$A271,'BSE - Other Index Options'!$B:$B,G$147,'BSE - Other Index Options'!$H:$H,"Weekly*")+SUMIFS('BSE - Other Index Options'!$L:$L,'BSE - Other Index Options'!$C:$C,$A271,'BSE - Other Index Options'!$B:$B,G$147,'BSE - Other Index Options'!$H:$H,"MDAW*"))</f>
        <v/>
      </c>
      <c r="H271" s="26" t="str">
        <f t="shared" si="9"/>
        <v/>
      </c>
    </row>
    <row r="272" spans="1:8" hidden="1" outlineLevel="1">
      <c r="A272" t="s">
        <v>134</v>
      </c>
      <c r="B272" s="26" t="str">
        <f>IF(SUMIFS('BSE - SENSEX Index Options'!$L:$L,'BSE - SENSEX Index Options'!$C:$C,$A272,'BSE - SENSEX Index Options'!$B:$B,B$147,'BSE - SENSEX Index Options'!$H:$H,"Weekly*")+SUMIFS('BSE - SENSEX Index Options'!$L:$L,'BSE - SENSEX Index Options'!$C:$C,$A272,'BSE - SENSEX Index Options'!$B:$B,B$147,'BSE - SENSEX Index Options'!$H:$H,"MDAW*")+SUMIFS('BSE - Other Index Options'!$L:$L,'BSE - Other Index Options'!$C:$C,$A272,'BSE - Other Index Options'!$B:$B,B$147,'BSE - Other Index Options'!$H:$H,"Weekly*")+SUMIFS('BSE - Other Index Options'!$L:$L,'BSE - Other Index Options'!$C:$C,$A272,'BSE - Other Index Options'!$B:$B,B$147,'BSE - Other Index Options'!$H:$H,"MDAW*")=0,"",SUMIFS('BSE - SENSEX Index Options'!$L:$L,'BSE - SENSEX Index Options'!$C:$C,$A272,'BSE - SENSEX Index Options'!$B:$B,B$147,'BSE - SENSEX Index Options'!$H:$H,"Weekly*")+SUMIFS('BSE - SENSEX Index Options'!$L:$L,'BSE - SENSEX Index Options'!$C:$C,$A272,'BSE - SENSEX Index Options'!$B:$B,B$147,'BSE - SENSEX Index Options'!$H:$H,"MDAW*")+SUMIFS('BSE - Other Index Options'!$L:$L,'BSE - Other Index Options'!$C:$C,$A272,'BSE - Other Index Options'!$B:$B,B$147,'BSE - Other Index Options'!$H:$H,"Weekly*")+SUMIFS('BSE - Other Index Options'!$L:$L,'BSE - Other Index Options'!$C:$C,$A272,'BSE - Other Index Options'!$B:$B,B$147,'BSE - Other Index Options'!$H:$H,"MDAW*"))</f>
        <v/>
      </c>
      <c r="C272" s="26" t="str">
        <f>IF(SUMIFS('BSE - SENSEX Index Options'!$L:$L,'BSE - SENSEX Index Options'!$C:$C,$A272,'BSE - SENSEX Index Options'!$B:$B,C$147,'BSE - SENSEX Index Options'!$H:$H,"Weekly*")+SUMIFS('BSE - SENSEX Index Options'!$L:$L,'BSE - SENSEX Index Options'!$C:$C,$A272,'BSE - SENSEX Index Options'!$B:$B,C$147,'BSE - SENSEX Index Options'!$H:$H,"MDAW*")+SUMIFS('BSE - Other Index Options'!$L:$L,'BSE - Other Index Options'!$C:$C,$A272,'BSE - Other Index Options'!$B:$B,C$147,'BSE - Other Index Options'!$H:$H,"Weekly*")+SUMIFS('BSE - Other Index Options'!$L:$L,'BSE - Other Index Options'!$C:$C,$A272,'BSE - Other Index Options'!$B:$B,C$147,'BSE - Other Index Options'!$H:$H,"MDAW*")=0,"",SUMIFS('BSE - SENSEX Index Options'!$L:$L,'BSE - SENSEX Index Options'!$C:$C,$A272,'BSE - SENSEX Index Options'!$B:$B,C$147,'BSE - SENSEX Index Options'!$H:$H,"Weekly*")+SUMIFS('BSE - SENSEX Index Options'!$L:$L,'BSE - SENSEX Index Options'!$C:$C,$A272,'BSE - SENSEX Index Options'!$B:$B,C$147,'BSE - SENSEX Index Options'!$H:$H,"MDAW*")+SUMIFS('BSE - Other Index Options'!$L:$L,'BSE - Other Index Options'!$C:$C,$A272,'BSE - Other Index Options'!$B:$B,C$147,'BSE - Other Index Options'!$H:$H,"Weekly*")+SUMIFS('BSE - Other Index Options'!$L:$L,'BSE - Other Index Options'!$C:$C,$A272,'BSE - Other Index Options'!$B:$B,C$147,'BSE - Other Index Options'!$H:$H,"MDAW*"))</f>
        <v/>
      </c>
      <c r="D272" s="26" t="str">
        <f>IF(SUMIFS('BSE - SENSEX Index Options'!$L:$L,'BSE - SENSEX Index Options'!$C:$C,$A272,'BSE - SENSEX Index Options'!$B:$B,D$147,'BSE - SENSEX Index Options'!$H:$H,"Weekly*")+SUMIFS('BSE - SENSEX Index Options'!$L:$L,'BSE - SENSEX Index Options'!$C:$C,$A272,'BSE - SENSEX Index Options'!$B:$B,D$147,'BSE - SENSEX Index Options'!$H:$H,"MDAW*")+SUMIFS('BSE - Other Index Options'!$L:$L,'BSE - Other Index Options'!$C:$C,$A272,'BSE - Other Index Options'!$B:$B,D$147,'BSE - Other Index Options'!$H:$H,"Weekly*")+SUMIFS('BSE - Other Index Options'!$L:$L,'BSE - Other Index Options'!$C:$C,$A272,'BSE - Other Index Options'!$B:$B,D$147,'BSE - Other Index Options'!$H:$H,"MDAW*")=0,"",SUMIFS('BSE - SENSEX Index Options'!$L:$L,'BSE - SENSEX Index Options'!$C:$C,$A272,'BSE - SENSEX Index Options'!$B:$B,D$147,'BSE - SENSEX Index Options'!$H:$H,"Weekly*")+SUMIFS('BSE - SENSEX Index Options'!$L:$L,'BSE - SENSEX Index Options'!$C:$C,$A272,'BSE - SENSEX Index Options'!$B:$B,D$147,'BSE - SENSEX Index Options'!$H:$H,"MDAW*")+SUMIFS('BSE - Other Index Options'!$L:$L,'BSE - Other Index Options'!$C:$C,$A272,'BSE - Other Index Options'!$B:$B,D$147,'BSE - Other Index Options'!$H:$H,"Weekly*")+SUMIFS('BSE - Other Index Options'!$L:$L,'BSE - Other Index Options'!$C:$C,$A272,'BSE - Other Index Options'!$B:$B,D$147,'BSE - Other Index Options'!$H:$H,"MDAW*"))</f>
        <v/>
      </c>
      <c r="E272" s="26" t="str">
        <f>IF(SUMIFS('BSE - SENSEX Index Options'!$L:$L,'BSE - SENSEX Index Options'!$C:$C,$A272,'BSE - SENSEX Index Options'!$B:$B,E$147,'BSE - SENSEX Index Options'!$H:$H,"Weekly*")+SUMIFS('BSE - SENSEX Index Options'!$L:$L,'BSE - SENSEX Index Options'!$C:$C,$A272,'BSE - SENSEX Index Options'!$B:$B,E$147,'BSE - SENSEX Index Options'!$H:$H,"MDAW*")+SUMIFS('BSE - Other Index Options'!$L:$L,'BSE - Other Index Options'!$C:$C,$A272,'BSE - Other Index Options'!$B:$B,E$147,'BSE - Other Index Options'!$H:$H,"Weekly*")+SUMIFS('BSE - Other Index Options'!$L:$L,'BSE - Other Index Options'!$C:$C,$A272,'BSE - Other Index Options'!$B:$B,E$147,'BSE - Other Index Options'!$H:$H,"MDAW*")=0,"",SUMIFS('BSE - SENSEX Index Options'!$L:$L,'BSE - SENSEX Index Options'!$C:$C,$A272,'BSE - SENSEX Index Options'!$B:$B,E$147,'BSE - SENSEX Index Options'!$H:$H,"Weekly*")+SUMIFS('BSE - SENSEX Index Options'!$L:$L,'BSE - SENSEX Index Options'!$C:$C,$A272,'BSE - SENSEX Index Options'!$B:$B,E$147,'BSE - SENSEX Index Options'!$H:$H,"MDAW*")+SUMIFS('BSE - Other Index Options'!$L:$L,'BSE - Other Index Options'!$C:$C,$A272,'BSE - Other Index Options'!$B:$B,E$147,'BSE - Other Index Options'!$H:$H,"Weekly*")+SUMIFS('BSE - Other Index Options'!$L:$L,'BSE - Other Index Options'!$C:$C,$A272,'BSE - Other Index Options'!$B:$B,E$147,'BSE - Other Index Options'!$H:$H,"MDAW*"))</f>
        <v/>
      </c>
      <c r="F272" s="26" t="str">
        <f>IF(SUMIFS('BSE - SENSEX Index Options'!$L:$L,'BSE - SENSEX Index Options'!$C:$C,$A272,'BSE - SENSEX Index Options'!$B:$B,F$147,'BSE - SENSEX Index Options'!$H:$H,"Weekly*")+SUMIFS('BSE - SENSEX Index Options'!$L:$L,'BSE - SENSEX Index Options'!$C:$C,$A272,'BSE - SENSEX Index Options'!$B:$B,F$147,'BSE - SENSEX Index Options'!$H:$H,"MDAW*")+SUMIFS('BSE - Other Index Options'!$L:$L,'BSE - Other Index Options'!$C:$C,$A272,'BSE - Other Index Options'!$B:$B,F$147,'BSE - Other Index Options'!$H:$H,"Weekly*")+SUMIFS('BSE - Other Index Options'!$L:$L,'BSE - Other Index Options'!$C:$C,$A272,'BSE - Other Index Options'!$B:$B,F$147,'BSE - Other Index Options'!$H:$H,"MDAW*")=0,"",SUMIFS('BSE - SENSEX Index Options'!$L:$L,'BSE - SENSEX Index Options'!$C:$C,$A272,'BSE - SENSEX Index Options'!$B:$B,F$147,'BSE - SENSEX Index Options'!$H:$H,"Weekly*")+SUMIFS('BSE - SENSEX Index Options'!$L:$L,'BSE - SENSEX Index Options'!$C:$C,$A272,'BSE - SENSEX Index Options'!$B:$B,F$147,'BSE - SENSEX Index Options'!$H:$H,"MDAW*")+SUMIFS('BSE - Other Index Options'!$L:$L,'BSE - Other Index Options'!$C:$C,$A272,'BSE - Other Index Options'!$B:$B,F$147,'BSE - Other Index Options'!$H:$H,"Weekly*")+SUMIFS('BSE - Other Index Options'!$L:$L,'BSE - Other Index Options'!$C:$C,$A272,'BSE - Other Index Options'!$B:$B,F$147,'BSE - Other Index Options'!$H:$H,"MDAW*"))</f>
        <v/>
      </c>
      <c r="G272" s="26" t="str">
        <f>IF(SUMIFS('BSE - SENSEX Index Options'!$L:$L,'BSE - SENSEX Index Options'!$C:$C,$A272,'BSE - SENSEX Index Options'!$B:$B,G$147,'BSE - SENSEX Index Options'!$H:$H,"Weekly*")+SUMIFS('BSE - SENSEX Index Options'!$L:$L,'BSE - SENSEX Index Options'!$C:$C,$A272,'BSE - SENSEX Index Options'!$B:$B,G$147,'BSE - SENSEX Index Options'!$H:$H,"MDAW*")+SUMIFS('BSE - Other Index Options'!$L:$L,'BSE - Other Index Options'!$C:$C,$A272,'BSE - Other Index Options'!$B:$B,G$147,'BSE - Other Index Options'!$H:$H,"Weekly*")+SUMIFS('BSE - Other Index Options'!$L:$L,'BSE - Other Index Options'!$C:$C,$A272,'BSE - Other Index Options'!$B:$B,G$147,'BSE - Other Index Options'!$H:$H,"MDAW*")=0,"",SUMIFS('BSE - SENSEX Index Options'!$L:$L,'BSE - SENSEX Index Options'!$C:$C,$A272,'BSE - SENSEX Index Options'!$B:$B,G$147,'BSE - SENSEX Index Options'!$H:$H,"Weekly*")+SUMIFS('BSE - SENSEX Index Options'!$L:$L,'BSE - SENSEX Index Options'!$C:$C,$A272,'BSE - SENSEX Index Options'!$B:$B,G$147,'BSE - SENSEX Index Options'!$H:$H,"MDAW*")+SUMIFS('BSE - Other Index Options'!$L:$L,'BSE - Other Index Options'!$C:$C,$A272,'BSE - Other Index Options'!$B:$B,G$147,'BSE - Other Index Options'!$H:$H,"Weekly*")+SUMIFS('BSE - Other Index Options'!$L:$L,'BSE - Other Index Options'!$C:$C,$A272,'BSE - Other Index Options'!$B:$B,G$147,'BSE - Other Index Options'!$H:$H,"MDAW*"))</f>
        <v/>
      </c>
      <c r="H272" s="26" t="str">
        <f t="shared" si="9"/>
        <v/>
      </c>
    </row>
    <row r="273" spans="1:8" hidden="1" outlineLevel="1">
      <c r="A273" t="s">
        <v>135</v>
      </c>
      <c r="B273" s="26" t="str">
        <f>IF(SUMIFS('BSE - SENSEX Index Options'!$L:$L,'BSE - SENSEX Index Options'!$C:$C,$A273,'BSE - SENSEX Index Options'!$B:$B,B$147,'BSE - SENSEX Index Options'!$H:$H,"Weekly*")+SUMIFS('BSE - SENSEX Index Options'!$L:$L,'BSE - SENSEX Index Options'!$C:$C,$A273,'BSE - SENSEX Index Options'!$B:$B,B$147,'BSE - SENSEX Index Options'!$H:$H,"MDAW*")+SUMIFS('BSE - Other Index Options'!$L:$L,'BSE - Other Index Options'!$C:$C,$A273,'BSE - Other Index Options'!$B:$B,B$147,'BSE - Other Index Options'!$H:$H,"Weekly*")+SUMIFS('BSE - Other Index Options'!$L:$L,'BSE - Other Index Options'!$C:$C,$A273,'BSE - Other Index Options'!$B:$B,B$147,'BSE - Other Index Options'!$H:$H,"MDAW*")=0,"",SUMIFS('BSE - SENSEX Index Options'!$L:$L,'BSE - SENSEX Index Options'!$C:$C,$A273,'BSE - SENSEX Index Options'!$B:$B,B$147,'BSE - SENSEX Index Options'!$H:$H,"Weekly*")+SUMIFS('BSE - SENSEX Index Options'!$L:$L,'BSE - SENSEX Index Options'!$C:$C,$A273,'BSE - SENSEX Index Options'!$B:$B,B$147,'BSE - SENSEX Index Options'!$H:$H,"MDAW*")+SUMIFS('BSE - Other Index Options'!$L:$L,'BSE - Other Index Options'!$C:$C,$A273,'BSE - Other Index Options'!$B:$B,B$147,'BSE - Other Index Options'!$H:$H,"Weekly*")+SUMIFS('BSE - Other Index Options'!$L:$L,'BSE - Other Index Options'!$C:$C,$A273,'BSE - Other Index Options'!$B:$B,B$147,'BSE - Other Index Options'!$H:$H,"MDAW*"))</f>
        <v/>
      </c>
      <c r="C273" s="26" t="str">
        <f>IF(SUMIFS('BSE - SENSEX Index Options'!$L:$L,'BSE - SENSEX Index Options'!$C:$C,$A273,'BSE - SENSEX Index Options'!$B:$B,C$147,'BSE - SENSEX Index Options'!$H:$H,"Weekly*")+SUMIFS('BSE - SENSEX Index Options'!$L:$L,'BSE - SENSEX Index Options'!$C:$C,$A273,'BSE - SENSEX Index Options'!$B:$B,C$147,'BSE - SENSEX Index Options'!$H:$H,"MDAW*")+SUMIFS('BSE - Other Index Options'!$L:$L,'BSE - Other Index Options'!$C:$C,$A273,'BSE - Other Index Options'!$B:$B,C$147,'BSE - Other Index Options'!$H:$H,"Weekly*")+SUMIFS('BSE - Other Index Options'!$L:$L,'BSE - Other Index Options'!$C:$C,$A273,'BSE - Other Index Options'!$B:$B,C$147,'BSE - Other Index Options'!$H:$H,"MDAW*")=0,"",SUMIFS('BSE - SENSEX Index Options'!$L:$L,'BSE - SENSEX Index Options'!$C:$C,$A273,'BSE - SENSEX Index Options'!$B:$B,C$147,'BSE - SENSEX Index Options'!$H:$H,"Weekly*")+SUMIFS('BSE - SENSEX Index Options'!$L:$L,'BSE - SENSEX Index Options'!$C:$C,$A273,'BSE - SENSEX Index Options'!$B:$B,C$147,'BSE - SENSEX Index Options'!$H:$H,"MDAW*")+SUMIFS('BSE - Other Index Options'!$L:$L,'BSE - Other Index Options'!$C:$C,$A273,'BSE - Other Index Options'!$B:$B,C$147,'BSE - Other Index Options'!$H:$H,"Weekly*")+SUMIFS('BSE - Other Index Options'!$L:$L,'BSE - Other Index Options'!$C:$C,$A273,'BSE - Other Index Options'!$B:$B,C$147,'BSE - Other Index Options'!$H:$H,"MDAW*"))</f>
        <v/>
      </c>
      <c r="D273" s="26" t="str">
        <f>IF(SUMIFS('BSE - SENSEX Index Options'!$L:$L,'BSE - SENSEX Index Options'!$C:$C,$A273,'BSE - SENSEX Index Options'!$B:$B,D$147,'BSE - SENSEX Index Options'!$H:$H,"Weekly*")+SUMIFS('BSE - SENSEX Index Options'!$L:$L,'BSE - SENSEX Index Options'!$C:$C,$A273,'BSE - SENSEX Index Options'!$B:$B,D$147,'BSE - SENSEX Index Options'!$H:$H,"MDAW*")+SUMIFS('BSE - Other Index Options'!$L:$L,'BSE - Other Index Options'!$C:$C,$A273,'BSE - Other Index Options'!$B:$B,D$147,'BSE - Other Index Options'!$H:$H,"Weekly*")+SUMIFS('BSE - Other Index Options'!$L:$L,'BSE - Other Index Options'!$C:$C,$A273,'BSE - Other Index Options'!$B:$B,D$147,'BSE - Other Index Options'!$H:$H,"MDAW*")=0,"",SUMIFS('BSE - SENSEX Index Options'!$L:$L,'BSE - SENSEX Index Options'!$C:$C,$A273,'BSE - SENSEX Index Options'!$B:$B,D$147,'BSE - SENSEX Index Options'!$H:$H,"Weekly*")+SUMIFS('BSE - SENSEX Index Options'!$L:$L,'BSE - SENSEX Index Options'!$C:$C,$A273,'BSE - SENSEX Index Options'!$B:$B,D$147,'BSE - SENSEX Index Options'!$H:$H,"MDAW*")+SUMIFS('BSE - Other Index Options'!$L:$L,'BSE - Other Index Options'!$C:$C,$A273,'BSE - Other Index Options'!$B:$B,D$147,'BSE - Other Index Options'!$H:$H,"Weekly*")+SUMIFS('BSE - Other Index Options'!$L:$L,'BSE - Other Index Options'!$C:$C,$A273,'BSE - Other Index Options'!$B:$B,D$147,'BSE - Other Index Options'!$H:$H,"MDAW*"))</f>
        <v/>
      </c>
      <c r="E273" s="26" t="str">
        <f>IF(SUMIFS('BSE - SENSEX Index Options'!$L:$L,'BSE - SENSEX Index Options'!$C:$C,$A273,'BSE - SENSEX Index Options'!$B:$B,E$147,'BSE - SENSEX Index Options'!$H:$H,"Weekly*")+SUMIFS('BSE - SENSEX Index Options'!$L:$L,'BSE - SENSEX Index Options'!$C:$C,$A273,'BSE - SENSEX Index Options'!$B:$B,E$147,'BSE - SENSEX Index Options'!$H:$H,"MDAW*")+SUMIFS('BSE - Other Index Options'!$L:$L,'BSE - Other Index Options'!$C:$C,$A273,'BSE - Other Index Options'!$B:$B,E$147,'BSE - Other Index Options'!$H:$H,"Weekly*")+SUMIFS('BSE - Other Index Options'!$L:$L,'BSE - Other Index Options'!$C:$C,$A273,'BSE - Other Index Options'!$B:$B,E$147,'BSE - Other Index Options'!$H:$H,"MDAW*")=0,"",SUMIFS('BSE - SENSEX Index Options'!$L:$L,'BSE - SENSEX Index Options'!$C:$C,$A273,'BSE - SENSEX Index Options'!$B:$B,E$147,'BSE - SENSEX Index Options'!$H:$H,"Weekly*")+SUMIFS('BSE - SENSEX Index Options'!$L:$L,'BSE - SENSEX Index Options'!$C:$C,$A273,'BSE - SENSEX Index Options'!$B:$B,E$147,'BSE - SENSEX Index Options'!$H:$H,"MDAW*")+SUMIFS('BSE - Other Index Options'!$L:$L,'BSE - Other Index Options'!$C:$C,$A273,'BSE - Other Index Options'!$B:$B,E$147,'BSE - Other Index Options'!$H:$H,"Weekly*")+SUMIFS('BSE - Other Index Options'!$L:$L,'BSE - Other Index Options'!$C:$C,$A273,'BSE - Other Index Options'!$B:$B,E$147,'BSE - Other Index Options'!$H:$H,"MDAW*"))</f>
        <v/>
      </c>
      <c r="F273" s="26" t="str">
        <f>IF(SUMIFS('BSE - SENSEX Index Options'!$L:$L,'BSE - SENSEX Index Options'!$C:$C,$A273,'BSE - SENSEX Index Options'!$B:$B,F$147,'BSE - SENSEX Index Options'!$H:$H,"Weekly*")+SUMIFS('BSE - SENSEX Index Options'!$L:$L,'BSE - SENSEX Index Options'!$C:$C,$A273,'BSE - SENSEX Index Options'!$B:$B,F$147,'BSE - SENSEX Index Options'!$H:$H,"MDAW*")+SUMIFS('BSE - Other Index Options'!$L:$L,'BSE - Other Index Options'!$C:$C,$A273,'BSE - Other Index Options'!$B:$B,F$147,'BSE - Other Index Options'!$H:$H,"Weekly*")+SUMIFS('BSE - Other Index Options'!$L:$L,'BSE - Other Index Options'!$C:$C,$A273,'BSE - Other Index Options'!$B:$B,F$147,'BSE - Other Index Options'!$H:$H,"MDAW*")=0,"",SUMIFS('BSE - SENSEX Index Options'!$L:$L,'BSE - SENSEX Index Options'!$C:$C,$A273,'BSE - SENSEX Index Options'!$B:$B,F$147,'BSE - SENSEX Index Options'!$H:$H,"Weekly*")+SUMIFS('BSE - SENSEX Index Options'!$L:$L,'BSE - SENSEX Index Options'!$C:$C,$A273,'BSE - SENSEX Index Options'!$B:$B,F$147,'BSE - SENSEX Index Options'!$H:$H,"MDAW*")+SUMIFS('BSE - Other Index Options'!$L:$L,'BSE - Other Index Options'!$C:$C,$A273,'BSE - Other Index Options'!$B:$B,F$147,'BSE - Other Index Options'!$H:$H,"Weekly*")+SUMIFS('BSE - Other Index Options'!$L:$L,'BSE - Other Index Options'!$C:$C,$A273,'BSE - Other Index Options'!$B:$B,F$147,'BSE - Other Index Options'!$H:$H,"MDAW*"))</f>
        <v/>
      </c>
      <c r="G273" s="26" t="str">
        <f>IF(SUMIFS('BSE - SENSEX Index Options'!$L:$L,'BSE - SENSEX Index Options'!$C:$C,$A273,'BSE - SENSEX Index Options'!$B:$B,G$147,'BSE - SENSEX Index Options'!$H:$H,"Weekly*")+SUMIFS('BSE - SENSEX Index Options'!$L:$L,'BSE - SENSEX Index Options'!$C:$C,$A273,'BSE - SENSEX Index Options'!$B:$B,G$147,'BSE - SENSEX Index Options'!$H:$H,"MDAW*")+SUMIFS('BSE - Other Index Options'!$L:$L,'BSE - Other Index Options'!$C:$C,$A273,'BSE - Other Index Options'!$B:$B,G$147,'BSE - Other Index Options'!$H:$H,"Weekly*")+SUMIFS('BSE - Other Index Options'!$L:$L,'BSE - Other Index Options'!$C:$C,$A273,'BSE - Other Index Options'!$B:$B,G$147,'BSE - Other Index Options'!$H:$H,"MDAW*")=0,"",SUMIFS('BSE - SENSEX Index Options'!$L:$L,'BSE - SENSEX Index Options'!$C:$C,$A273,'BSE - SENSEX Index Options'!$B:$B,G$147,'BSE - SENSEX Index Options'!$H:$H,"Weekly*")+SUMIFS('BSE - SENSEX Index Options'!$L:$L,'BSE - SENSEX Index Options'!$C:$C,$A273,'BSE - SENSEX Index Options'!$B:$B,G$147,'BSE - SENSEX Index Options'!$H:$H,"MDAW*")+SUMIFS('BSE - Other Index Options'!$L:$L,'BSE - Other Index Options'!$C:$C,$A273,'BSE - Other Index Options'!$B:$B,G$147,'BSE - Other Index Options'!$H:$H,"Weekly*")+SUMIFS('BSE - Other Index Options'!$L:$L,'BSE - Other Index Options'!$C:$C,$A273,'BSE - Other Index Options'!$B:$B,G$147,'BSE - Other Index Options'!$H:$H,"MDAW*"))</f>
        <v/>
      </c>
      <c r="H273" s="26" t="str">
        <f t="shared" si="9"/>
        <v/>
      </c>
    </row>
    <row r="274" spans="1:8" hidden="1" outlineLevel="1">
      <c r="A274" t="s">
        <v>136</v>
      </c>
      <c r="B274" s="26" t="str">
        <f>IF(SUMIFS('BSE - SENSEX Index Options'!$L:$L,'BSE - SENSEX Index Options'!$C:$C,$A274,'BSE - SENSEX Index Options'!$B:$B,B$147,'BSE - SENSEX Index Options'!$H:$H,"Weekly*")+SUMIFS('BSE - SENSEX Index Options'!$L:$L,'BSE - SENSEX Index Options'!$C:$C,$A274,'BSE - SENSEX Index Options'!$B:$B,B$147,'BSE - SENSEX Index Options'!$H:$H,"MDAW*")+SUMIFS('BSE - Other Index Options'!$L:$L,'BSE - Other Index Options'!$C:$C,$A274,'BSE - Other Index Options'!$B:$B,B$147,'BSE - Other Index Options'!$H:$H,"Weekly*")+SUMIFS('BSE - Other Index Options'!$L:$L,'BSE - Other Index Options'!$C:$C,$A274,'BSE - Other Index Options'!$B:$B,B$147,'BSE - Other Index Options'!$H:$H,"MDAW*")=0,"",SUMIFS('BSE - SENSEX Index Options'!$L:$L,'BSE - SENSEX Index Options'!$C:$C,$A274,'BSE - SENSEX Index Options'!$B:$B,B$147,'BSE - SENSEX Index Options'!$H:$H,"Weekly*")+SUMIFS('BSE - SENSEX Index Options'!$L:$L,'BSE - SENSEX Index Options'!$C:$C,$A274,'BSE - SENSEX Index Options'!$B:$B,B$147,'BSE - SENSEX Index Options'!$H:$H,"MDAW*")+SUMIFS('BSE - Other Index Options'!$L:$L,'BSE - Other Index Options'!$C:$C,$A274,'BSE - Other Index Options'!$B:$B,B$147,'BSE - Other Index Options'!$H:$H,"Weekly*")+SUMIFS('BSE - Other Index Options'!$L:$L,'BSE - Other Index Options'!$C:$C,$A274,'BSE - Other Index Options'!$B:$B,B$147,'BSE - Other Index Options'!$H:$H,"MDAW*"))</f>
        <v/>
      </c>
      <c r="C274" s="26" t="str">
        <f>IF(SUMIFS('BSE - SENSEX Index Options'!$L:$L,'BSE - SENSEX Index Options'!$C:$C,$A274,'BSE - SENSEX Index Options'!$B:$B,C$147,'BSE - SENSEX Index Options'!$H:$H,"Weekly*")+SUMIFS('BSE - SENSEX Index Options'!$L:$L,'BSE - SENSEX Index Options'!$C:$C,$A274,'BSE - SENSEX Index Options'!$B:$B,C$147,'BSE - SENSEX Index Options'!$H:$H,"MDAW*")+SUMIFS('BSE - Other Index Options'!$L:$L,'BSE - Other Index Options'!$C:$C,$A274,'BSE - Other Index Options'!$B:$B,C$147,'BSE - Other Index Options'!$H:$H,"Weekly*")+SUMIFS('BSE - Other Index Options'!$L:$L,'BSE - Other Index Options'!$C:$C,$A274,'BSE - Other Index Options'!$B:$B,C$147,'BSE - Other Index Options'!$H:$H,"MDAW*")=0,"",SUMIFS('BSE - SENSEX Index Options'!$L:$L,'BSE - SENSEX Index Options'!$C:$C,$A274,'BSE - SENSEX Index Options'!$B:$B,C$147,'BSE - SENSEX Index Options'!$H:$H,"Weekly*")+SUMIFS('BSE - SENSEX Index Options'!$L:$L,'BSE - SENSEX Index Options'!$C:$C,$A274,'BSE - SENSEX Index Options'!$B:$B,C$147,'BSE - SENSEX Index Options'!$H:$H,"MDAW*")+SUMIFS('BSE - Other Index Options'!$L:$L,'BSE - Other Index Options'!$C:$C,$A274,'BSE - Other Index Options'!$B:$B,C$147,'BSE - Other Index Options'!$H:$H,"Weekly*")+SUMIFS('BSE - Other Index Options'!$L:$L,'BSE - Other Index Options'!$C:$C,$A274,'BSE - Other Index Options'!$B:$B,C$147,'BSE - Other Index Options'!$H:$H,"MDAW*"))</f>
        <v/>
      </c>
      <c r="D274" s="26" t="str">
        <f>IF(SUMIFS('BSE - SENSEX Index Options'!$L:$L,'BSE - SENSEX Index Options'!$C:$C,$A274,'BSE - SENSEX Index Options'!$B:$B,D$147,'BSE - SENSEX Index Options'!$H:$H,"Weekly*")+SUMIFS('BSE - SENSEX Index Options'!$L:$L,'BSE - SENSEX Index Options'!$C:$C,$A274,'BSE - SENSEX Index Options'!$B:$B,D$147,'BSE - SENSEX Index Options'!$H:$H,"MDAW*")+SUMIFS('BSE - Other Index Options'!$L:$L,'BSE - Other Index Options'!$C:$C,$A274,'BSE - Other Index Options'!$B:$B,D$147,'BSE - Other Index Options'!$H:$H,"Weekly*")+SUMIFS('BSE - Other Index Options'!$L:$L,'BSE - Other Index Options'!$C:$C,$A274,'BSE - Other Index Options'!$B:$B,D$147,'BSE - Other Index Options'!$H:$H,"MDAW*")=0,"",SUMIFS('BSE - SENSEX Index Options'!$L:$L,'BSE - SENSEX Index Options'!$C:$C,$A274,'BSE - SENSEX Index Options'!$B:$B,D$147,'BSE - SENSEX Index Options'!$H:$H,"Weekly*")+SUMIFS('BSE - SENSEX Index Options'!$L:$L,'BSE - SENSEX Index Options'!$C:$C,$A274,'BSE - SENSEX Index Options'!$B:$B,D$147,'BSE - SENSEX Index Options'!$H:$H,"MDAW*")+SUMIFS('BSE - Other Index Options'!$L:$L,'BSE - Other Index Options'!$C:$C,$A274,'BSE - Other Index Options'!$B:$B,D$147,'BSE - Other Index Options'!$H:$H,"Weekly*")+SUMIFS('BSE - Other Index Options'!$L:$L,'BSE - Other Index Options'!$C:$C,$A274,'BSE - Other Index Options'!$B:$B,D$147,'BSE - Other Index Options'!$H:$H,"MDAW*"))</f>
        <v/>
      </c>
      <c r="E274" s="26" t="str">
        <f>IF(SUMIFS('BSE - SENSEX Index Options'!$L:$L,'BSE - SENSEX Index Options'!$C:$C,$A274,'BSE - SENSEX Index Options'!$B:$B,E$147,'BSE - SENSEX Index Options'!$H:$H,"Weekly*")+SUMIFS('BSE - SENSEX Index Options'!$L:$L,'BSE - SENSEX Index Options'!$C:$C,$A274,'BSE - SENSEX Index Options'!$B:$B,E$147,'BSE - SENSEX Index Options'!$H:$H,"MDAW*")+SUMIFS('BSE - Other Index Options'!$L:$L,'BSE - Other Index Options'!$C:$C,$A274,'BSE - Other Index Options'!$B:$B,E$147,'BSE - Other Index Options'!$H:$H,"Weekly*")+SUMIFS('BSE - Other Index Options'!$L:$L,'BSE - Other Index Options'!$C:$C,$A274,'BSE - Other Index Options'!$B:$B,E$147,'BSE - Other Index Options'!$H:$H,"MDAW*")=0,"",SUMIFS('BSE - SENSEX Index Options'!$L:$L,'BSE - SENSEX Index Options'!$C:$C,$A274,'BSE - SENSEX Index Options'!$B:$B,E$147,'BSE - SENSEX Index Options'!$H:$H,"Weekly*")+SUMIFS('BSE - SENSEX Index Options'!$L:$L,'BSE - SENSEX Index Options'!$C:$C,$A274,'BSE - SENSEX Index Options'!$B:$B,E$147,'BSE - SENSEX Index Options'!$H:$H,"MDAW*")+SUMIFS('BSE - Other Index Options'!$L:$L,'BSE - Other Index Options'!$C:$C,$A274,'BSE - Other Index Options'!$B:$B,E$147,'BSE - Other Index Options'!$H:$H,"Weekly*")+SUMIFS('BSE - Other Index Options'!$L:$L,'BSE - Other Index Options'!$C:$C,$A274,'BSE - Other Index Options'!$B:$B,E$147,'BSE - Other Index Options'!$H:$H,"MDAW*"))</f>
        <v/>
      </c>
      <c r="F274" s="26" t="str">
        <f>IF(SUMIFS('BSE - SENSEX Index Options'!$L:$L,'BSE - SENSEX Index Options'!$C:$C,$A274,'BSE - SENSEX Index Options'!$B:$B,F$147,'BSE - SENSEX Index Options'!$H:$H,"Weekly*")+SUMIFS('BSE - SENSEX Index Options'!$L:$L,'BSE - SENSEX Index Options'!$C:$C,$A274,'BSE - SENSEX Index Options'!$B:$B,F$147,'BSE - SENSEX Index Options'!$H:$H,"MDAW*")+SUMIFS('BSE - Other Index Options'!$L:$L,'BSE - Other Index Options'!$C:$C,$A274,'BSE - Other Index Options'!$B:$B,F$147,'BSE - Other Index Options'!$H:$H,"Weekly*")+SUMIFS('BSE - Other Index Options'!$L:$L,'BSE - Other Index Options'!$C:$C,$A274,'BSE - Other Index Options'!$B:$B,F$147,'BSE - Other Index Options'!$H:$H,"MDAW*")=0,"",SUMIFS('BSE - SENSEX Index Options'!$L:$L,'BSE - SENSEX Index Options'!$C:$C,$A274,'BSE - SENSEX Index Options'!$B:$B,F$147,'BSE - SENSEX Index Options'!$H:$H,"Weekly*")+SUMIFS('BSE - SENSEX Index Options'!$L:$L,'BSE - SENSEX Index Options'!$C:$C,$A274,'BSE - SENSEX Index Options'!$B:$B,F$147,'BSE - SENSEX Index Options'!$H:$H,"MDAW*")+SUMIFS('BSE - Other Index Options'!$L:$L,'BSE - Other Index Options'!$C:$C,$A274,'BSE - Other Index Options'!$B:$B,F$147,'BSE - Other Index Options'!$H:$H,"Weekly*")+SUMIFS('BSE - Other Index Options'!$L:$L,'BSE - Other Index Options'!$C:$C,$A274,'BSE - Other Index Options'!$B:$B,F$147,'BSE - Other Index Options'!$H:$H,"MDAW*"))</f>
        <v/>
      </c>
      <c r="G274" s="26" t="str">
        <f>IF(SUMIFS('BSE - SENSEX Index Options'!$L:$L,'BSE - SENSEX Index Options'!$C:$C,$A274,'BSE - SENSEX Index Options'!$B:$B,G$147,'BSE - SENSEX Index Options'!$H:$H,"Weekly*")+SUMIFS('BSE - SENSEX Index Options'!$L:$L,'BSE - SENSEX Index Options'!$C:$C,$A274,'BSE - SENSEX Index Options'!$B:$B,G$147,'BSE - SENSEX Index Options'!$H:$H,"MDAW*")+SUMIFS('BSE - Other Index Options'!$L:$L,'BSE - Other Index Options'!$C:$C,$A274,'BSE - Other Index Options'!$B:$B,G$147,'BSE - Other Index Options'!$H:$H,"Weekly*")+SUMIFS('BSE - Other Index Options'!$L:$L,'BSE - Other Index Options'!$C:$C,$A274,'BSE - Other Index Options'!$B:$B,G$147,'BSE - Other Index Options'!$H:$H,"MDAW*")=0,"",SUMIFS('BSE - SENSEX Index Options'!$L:$L,'BSE - SENSEX Index Options'!$C:$C,$A274,'BSE - SENSEX Index Options'!$B:$B,G$147,'BSE - SENSEX Index Options'!$H:$H,"Weekly*")+SUMIFS('BSE - SENSEX Index Options'!$L:$L,'BSE - SENSEX Index Options'!$C:$C,$A274,'BSE - SENSEX Index Options'!$B:$B,G$147,'BSE - SENSEX Index Options'!$H:$H,"MDAW*")+SUMIFS('BSE - Other Index Options'!$L:$L,'BSE - Other Index Options'!$C:$C,$A274,'BSE - Other Index Options'!$B:$B,G$147,'BSE - Other Index Options'!$H:$H,"Weekly*")+SUMIFS('BSE - Other Index Options'!$L:$L,'BSE - Other Index Options'!$C:$C,$A274,'BSE - Other Index Options'!$B:$B,G$147,'BSE - Other Index Options'!$H:$H,"MDAW*"))</f>
        <v/>
      </c>
      <c r="H274" s="26" t="str">
        <f t="shared" si="9"/>
        <v/>
      </c>
    </row>
    <row r="275" spans="1:8" hidden="1" outlineLevel="1">
      <c r="A275" t="s">
        <v>137</v>
      </c>
      <c r="B275" s="26" t="str">
        <f>IF(SUMIFS('BSE - SENSEX Index Options'!$L:$L,'BSE - SENSEX Index Options'!$C:$C,$A275,'BSE - SENSEX Index Options'!$B:$B,B$147,'BSE - SENSEX Index Options'!$H:$H,"Weekly*")+SUMIFS('BSE - SENSEX Index Options'!$L:$L,'BSE - SENSEX Index Options'!$C:$C,$A275,'BSE - SENSEX Index Options'!$B:$B,B$147,'BSE - SENSEX Index Options'!$H:$H,"MDAW*")+SUMIFS('BSE - Other Index Options'!$L:$L,'BSE - Other Index Options'!$C:$C,$A275,'BSE - Other Index Options'!$B:$B,B$147,'BSE - Other Index Options'!$H:$H,"Weekly*")+SUMIFS('BSE - Other Index Options'!$L:$L,'BSE - Other Index Options'!$C:$C,$A275,'BSE - Other Index Options'!$B:$B,B$147,'BSE - Other Index Options'!$H:$H,"MDAW*")=0,"",SUMIFS('BSE - SENSEX Index Options'!$L:$L,'BSE - SENSEX Index Options'!$C:$C,$A275,'BSE - SENSEX Index Options'!$B:$B,B$147,'BSE - SENSEX Index Options'!$H:$H,"Weekly*")+SUMIFS('BSE - SENSEX Index Options'!$L:$L,'BSE - SENSEX Index Options'!$C:$C,$A275,'BSE - SENSEX Index Options'!$B:$B,B$147,'BSE - SENSEX Index Options'!$H:$H,"MDAW*")+SUMIFS('BSE - Other Index Options'!$L:$L,'BSE - Other Index Options'!$C:$C,$A275,'BSE - Other Index Options'!$B:$B,B$147,'BSE - Other Index Options'!$H:$H,"Weekly*")+SUMIFS('BSE - Other Index Options'!$L:$L,'BSE - Other Index Options'!$C:$C,$A275,'BSE - Other Index Options'!$B:$B,B$147,'BSE - Other Index Options'!$H:$H,"MDAW*"))</f>
        <v/>
      </c>
      <c r="C275" s="26" t="str">
        <f>IF(SUMIFS('BSE - SENSEX Index Options'!$L:$L,'BSE - SENSEX Index Options'!$C:$C,$A275,'BSE - SENSEX Index Options'!$B:$B,C$147,'BSE - SENSEX Index Options'!$H:$H,"Weekly*")+SUMIFS('BSE - SENSEX Index Options'!$L:$L,'BSE - SENSEX Index Options'!$C:$C,$A275,'BSE - SENSEX Index Options'!$B:$B,C$147,'BSE - SENSEX Index Options'!$H:$H,"MDAW*")+SUMIFS('BSE - Other Index Options'!$L:$L,'BSE - Other Index Options'!$C:$C,$A275,'BSE - Other Index Options'!$B:$B,C$147,'BSE - Other Index Options'!$H:$H,"Weekly*")+SUMIFS('BSE - Other Index Options'!$L:$L,'BSE - Other Index Options'!$C:$C,$A275,'BSE - Other Index Options'!$B:$B,C$147,'BSE - Other Index Options'!$H:$H,"MDAW*")=0,"",SUMIFS('BSE - SENSEX Index Options'!$L:$L,'BSE - SENSEX Index Options'!$C:$C,$A275,'BSE - SENSEX Index Options'!$B:$B,C$147,'BSE - SENSEX Index Options'!$H:$H,"Weekly*")+SUMIFS('BSE - SENSEX Index Options'!$L:$L,'BSE - SENSEX Index Options'!$C:$C,$A275,'BSE - SENSEX Index Options'!$B:$B,C$147,'BSE - SENSEX Index Options'!$H:$H,"MDAW*")+SUMIFS('BSE - Other Index Options'!$L:$L,'BSE - Other Index Options'!$C:$C,$A275,'BSE - Other Index Options'!$B:$B,C$147,'BSE - Other Index Options'!$H:$H,"Weekly*")+SUMIFS('BSE - Other Index Options'!$L:$L,'BSE - Other Index Options'!$C:$C,$A275,'BSE - Other Index Options'!$B:$B,C$147,'BSE - Other Index Options'!$H:$H,"MDAW*"))</f>
        <v/>
      </c>
      <c r="D275" s="26" t="str">
        <f>IF(SUMIFS('BSE - SENSEX Index Options'!$L:$L,'BSE - SENSEX Index Options'!$C:$C,$A275,'BSE - SENSEX Index Options'!$B:$B,D$147,'BSE - SENSEX Index Options'!$H:$H,"Weekly*")+SUMIFS('BSE - SENSEX Index Options'!$L:$L,'BSE - SENSEX Index Options'!$C:$C,$A275,'BSE - SENSEX Index Options'!$B:$B,D$147,'BSE - SENSEX Index Options'!$H:$H,"MDAW*")+SUMIFS('BSE - Other Index Options'!$L:$L,'BSE - Other Index Options'!$C:$C,$A275,'BSE - Other Index Options'!$B:$B,D$147,'BSE - Other Index Options'!$H:$H,"Weekly*")+SUMIFS('BSE - Other Index Options'!$L:$L,'BSE - Other Index Options'!$C:$C,$A275,'BSE - Other Index Options'!$B:$B,D$147,'BSE - Other Index Options'!$H:$H,"MDAW*")=0,"",SUMIFS('BSE - SENSEX Index Options'!$L:$L,'BSE - SENSEX Index Options'!$C:$C,$A275,'BSE - SENSEX Index Options'!$B:$B,D$147,'BSE - SENSEX Index Options'!$H:$H,"Weekly*")+SUMIFS('BSE - SENSEX Index Options'!$L:$L,'BSE - SENSEX Index Options'!$C:$C,$A275,'BSE - SENSEX Index Options'!$B:$B,D$147,'BSE - SENSEX Index Options'!$H:$H,"MDAW*")+SUMIFS('BSE - Other Index Options'!$L:$L,'BSE - Other Index Options'!$C:$C,$A275,'BSE - Other Index Options'!$B:$B,D$147,'BSE - Other Index Options'!$H:$H,"Weekly*")+SUMIFS('BSE - Other Index Options'!$L:$L,'BSE - Other Index Options'!$C:$C,$A275,'BSE - Other Index Options'!$B:$B,D$147,'BSE - Other Index Options'!$H:$H,"MDAW*"))</f>
        <v/>
      </c>
      <c r="E275" s="26" t="str">
        <f>IF(SUMIFS('BSE - SENSEX Index Options'!$L:$L,'BSE - SENSEX Index Options'!$C:$C,$A275,'BSE - SENSEX Index Options'!$B:$B,E$147,'BSE - SENSEX Index Options'!$H:$H,"Weekly*")+SUMIFS('BSE - SENSEX Index Options'!$L:$L,'BSE - SENSEX Index Options'!$C:$C,$A275,'BSE - SENSEX Index Options'!$B:$B,E$147,'BSE - SENSEX Index Options'!$H:$H,"MDAW*")+SUMIFS('BSE - Other Index Options'!$L:$L,'BSE - Other Index Options'!$C:$C,$A275,'BSE - Other Index Options'!$B:$B,E$147,'BSE - Other Index Options'!$H:$H,"Weekly*")+SUMIFS('BSE - Other Index Options'!$L:$L,'BSE - Other Index Options'!$C:$C,$A275,'BSE - Other Index Options'!$B:$B,E$147,'BSE - Other Index Options'!$H:$H,"MDAW*")=0,"",SUMIFS('BSE - SENSEX Index Options'!$L:$L,'BSE - SENSEX Index Options'!$C:$C,$A275,'BSE - SENSEX Index Options'!$B:$B,E$147,'BSE - SENSEX Index Options'!$H:$H,"Weekly*")+SUMIFS('BSE - SENSEX Index Options'!$L:$L,'BSE - SENSEX Index Options'!$C:$C,$A275,'BSE - SENSEX Index Options'!$B:$B,E$147,'BSE - SENSEX Index Options'!$H:$H,"MDAW*")+SUMIFS('BSE - Other Index Options'!$L:$L,'BSE - Other Index Options'!$C:$C,$A275,'BSE - Other Index Options'!$B:$B,E$147,'BSE - Other Index Options'!$H:$H,"Weekly*")+SUMIFS('BSE - Other Index Options'!$L:$L,'BSE - Other Index Options'!$C:$C,$A275,'BSE - Other Index Options'!$B:$B,E$147,'BSE - Other Index Options'!$H:$H,"MDAW*"))</f>
        <v/>
      </c>
      <c r="F275" s="26" t="str">
        <f>IF(SUMIFS('BSE - SENSEX Index Options'!$L:$L,'BSE - SENSEX Index Options'!$C:$C,$A275,'BSE - SENSEX Index Options'!$B:$B,F$147,'BSE - SENSEX Index Options'!$H:$H,"Weekly*")+SUMIFS('BSE - SENSEX Index Options'!$L:$L,'BSE - SENSEX Index Options'!$C:$C,$A275,'BSE - SENSEX Index Options'!$B:$B,F$147,'BSE - SENSEX Index Options'!$H:$H,"MDAW*")+SUMIFS('BSE - Other Index Options'!$L:$L,'BSE - Other Index Options'!$C:$C,$A275,'BSE - Other Index Options'!$B:$B,F$147,'BSE - Other Index Options'!$H:$H,"Weekly*")+SUMIFS('BSE - Other Index Options'!$L:$L,'BSE - Other Index Options'!$C:$C,$A275,'BSE - Other Index Options'!$B:$B,F$147,'BSE - Other Index Options'!$H:$H,"MDAW*")=0,"",SUMIFS('BSE - SENSEX Index Options'!$L:$L,'BSE - SENSEX Index Options'!$C:$C,$A275,'BSE - SENSEX Index Options'!$B:$B,F$147,'BSE - SENSEX Index Options'!$H:$H,"Weekly*")+SUMIFS('BSE - SENSEX Index Options'!$L:$L,'BSE - SENSEX Index Options'!$C:$C,$A275,'BSE - SENSEX Index Options'!$B:$B,F$147,'BSE - SENSEX Index Options'!$H:$H,"MDAW*")+SUMIFS('BSE - Other Index Options'!$L:$L,'BSE - Other Index Options'!$C:$C,$A275,'BSE - Other Index Options'!$B:$B,F$147,'BSE - Other Index Options'!$H:$H,"Weekly*")+SUMIFS('BSE - Other Index Options'!$L:$L,'BSE - Other Index Options'!$C:$C,$A275,'BSE - Other Index Options'!$B:$B,F$147,'BSE - Other Index Options'!$H:$H,"MDAW*"))</f>
        <v/>
      </c>
      <c r="G275" s="26" t="str">
        <f>IF(SUMIFS('BSE - SENSEX Index Options'!$L:$L,'BSE - SENSEX Index Options'!$C:$C,$A275,'BSE - SENSEX Index Options'!$B:$B,G$147,'BSE - SENSEX Index Options'!$H:$H,"Weekly*")+SUMIFS('BSE - SENSEX Index Options'!$L:$L,'BSE - SENSEX Index Options'!$C:$C,$A275,'BSE - SENSEX Index Options'!$B:$B,G$147,'BSE - SENSEX Index Options'!$H:$H,"MDAW*")+SUMIFS('BSE - Other Index Options'!$L:$L,'BSE - Other Index Options'!$C:$C,$A275,'BSE - Other Index Options'!$B:$B,G$147,'BSE - Other Index Options'!$H:$H,"Weekly*")+SUMIFS('BSE - Other Index Options'!$L:$L,'BSE - Other Index Options'!$C:$C,$A275,'BSE - Other Index Options'!$B:$B,G$147,'BSE - Other Index Options'!$H:$H,"MDAW*")=0,"",SUMIFS('BSE - SENSEX Index Options'!$L:$L,'BSE - SENSEX Index Options'!$C:$C,$A275,'BSE - SENSEX Index Options'!$B:$B,G$147,'BSE - SENSEX Index Options'!$H:$H,"Weekly*")+SUMIFS('BSE - SENSEX Index Options'!$L:$L,'BSE - SENSEX Index Options'!$C:$C,$A275,'BSE - SENSEX Index Options'!$B:$B,G$147,'BSE - SENSEX Index Options'!$H:$H,"MDAW*")+SUMIFS('BSE - Other Index Options'!$L:$L,'BSE - Other Index Options'!$C:$C,$A275,'BSE - Other Index Options'!$B:$B,G$147,'BSE - Other Index Options'!$H:$H,"Weekly*")+SUMIFS('BSE - Other Index Options'!$L:$L,'BSE - Other Index Options'!$C:$C,$A275,'BSE - Other Index Options'!$B:$B,G$147,'BSE - Other Index Options'!$H:$H,"MDAW*"))</f>
        <v/>
      </c>
      <c r="H275" s="26" t="str">
        <f t="shared" si="9"/>
        <v/>
      </c>
    </row>
    <row r="276" spans="1:8" hidden="1" outlineLevel="1">
      <c r="A276" t="s">
        <v>138</v>
      </c>
      <c r="B276" s="26" t="str">
        <f>IF(SUMIFS('BSE - SENSEX Index Options'!$L:$L,'BSE - SENSEX Index Options'!$C:$C,$A276,'BSE - SENSEX Index Options'!$B:$B,B$147,'BSE - SENSEX Index Options'!$H:$H,"Weekly*")+SUMIFS('BSE - SENSEX Index Options'!$L:$L,'BSE - SENSEX Index Options'!$C:$C,$A276,'BSE - SENSEX Index Options'!$B:$B,B$147,'BSE - SENSEX Index Options'!$H:$H,"MDAW*")+SUMIFS('BSE - Other Index Options'!$L:$L,'BSE - Other Index Options'!$C:$C,$A276,'BSE - Other Index Options'!$B:$B,B$147,'BSE - Other Index Options'!$H:$H,"Weekly*")+SUMIFS('BSE - Other Index Options'!$L:$L,'BSE - Other Index Options'!$C:$C,$A276,'BSE - Other Index Options'!$B:$B,B$147,'BSE - Other Index Options'!$H:$H,"MDAW*")=0,"",SUMIFS('BSE - SENSEX Index Options'!$L:$L,'BSE - SENSEX Index Options'!$C:$C,$A276,'BSE - SENSEX Index Options'!$B:$B,B$147,'BSE - SENSEX Index Options'!$H:$H,"Weekly*")+SUMIFS('BSE - SENSEX Index Options'!$L:$L,'BSE - SENSEX Index Options'!$C:$C,$A276,'BSE - SENSEX Index Options'!$B:$B,B$147,'BSE - SENSEX Index Options'!$H:$H,"MDAW*")+SUMIFS('BSE - Other Index Options'!$L:$L,'BSE - Other Index Options'!$C:$C,$A276,'BSE - Other Index Options'!$B:$B,B$147,'BSE - Other Index Options'!$H:$H,"Weekly*")+SUMIFS('BSE - Other Index Options'!$L:$L,'BSE - Other Index Options'!$C:$C,$A276,'BSE - Other Index Options'!$B:$B,B$147,'BSE - Other Index Options'!$H:$H,"MDAW*"))</f>
        <v/>
      </c>
      <c r="C276" s="26" t="str">
        <f>IF(SUMIFS('BSE - SENSEX Index Options'!$L:$L,'BSE - SENSEX Index Options'!$C:$C,$A276,'BSE - SENSEX Index Options'!$B:$B,C$147,'BSE - SENSEX Index Options'!$H:$H,"Weekly*")+SUMIFS('BSE - SENSEX Index Options'!$L:$L,'BSE - SENSEX Index Options'!$C:$C,$A276,'BSE - SENSEX Index Options'!$B:$B,C$147,'BSE - SENSEX Index Options'!$H:$H,"MDAW*")+SUMIFS('BSE - Other Index Options'!$L:$L,'BSE - Other Index Options'!$C:$C,$A276,'BSE - Other Index Options'!$B:$B,C$147,'BSE - Other Index Options'!$H:$H,"Weekly*")+SUMIFS('BSE - Other Index Options'!$L:$L,'BSE - Other Index Options'!$C:$C,$A276,'BSE - Other Index Options'!$B:$B,C$147,'BSE - Other Index Options'!$H:$H,"MDAW*")=0,"",SUMIFS('BSE - SENSEX Index Options'!$L:$L,'BSE - SENSEX Index Options'!$C:$C,$A276,'BSE - SENSEX Index Options'!$B:$B,C$147,'BSE - SENSEX Index Options'!$H:$H,"Weekly*")+SUMIFS('BSE - SENSEX Index Options'!$L:$L,'BSE - SENSEX Index Options'!$C:$C,$A276,'BSE - SENSEX Index Options'!$B:$B,C$147,'BSE - SENSEX Index Options'!$H:$H,"MDAW*")+SUMIFS('BSE - Other Index Options'!$L:$L,'BSE - Other Index Options'!$C:$C,$A276,'BSE - Other Index Options'!$B:$B,C$147,'BSE - Other Index Options'!$H:$H,"Weekly*")+SUMIFS('BSE - Other Index Options'!$L:$L,'BSE - Other Index Options'!$C:$C,$A276,'BSE - Other Index Options'!$B:$B,C$147,'BSE - Other Index Options'!$H:$H,"MDAW*"))</f>
        <v/>
      </c>
      <c r="D276" s="26" t="str">
        <f>IF(SUMIFS('BSE - SENSEX Index Options'!$L:$L,'BSE - SENSEX Index Options'!$C:$C,$A276,'BSE - SENSEX Index Options'!$B:$B,D$147,'BSE - SENSEX Index Options'!$H:$H,"Weekly*")+SUMIFS('BSE - SENSEX Index Options'!$L:$L,'BSE - SENSEX Index Options'!$C:$C,$A276,'BSE - SENSEX Index Options'!$B:$B,D$147,'BSE - SENSEX Index Options'!$H:$H,"MDAW*")+SUMIFS('BSE - Other Index Options'!$L:$L,'BSE - Other Index Options'!$C:$C,$A276,'BSE - Other Index Options'!$B:$B,D$147,'BSE - Other Index Options'!$H:$H,"Weekly*")+SUMIFS('BSE - Other Index Options'!$L:$L,'BSE - Other Index Options'!$C:$C,$A276,'BSE - Other Index Options'!$B:$B,D$147,'BSE - Other Index Options'!$H:$H,"MDAW*")=0,"",SUMIFS('BSE - SENSEX Index Options'!$L:$L,'BSE - SENSEX Index Options'!$C:$C,$A276,'BSE - SENSEX Index Options'!$B:$B,D$147,'BSE - SENSEX Index Options'!$H:$H,"Weekly*")+SUMIFS('BSE - SENSEX Index Options'!$L:$L,'BSE - SENSEX Index Options'!$C:$C,$A276,'BSE - SENSEX Index Options'!$B:$B,D$147,'BSE - SENSEX Index Options'!$H:$H,"MDAW*")+SUMIFS('BSE - Other Index Options'!$L:$L,'BSE - Other Index Options'!$C:$C,$A276,'BSE - Other Index Options'!$B:$B,D$147,'BSE - Other Index Options'!$H:$H,"Weekly*")+SUMIFS('BSE - Other Index Options'!$L:$L,'BSE - Other Index Options'!$C:$C,$A276,'BSE - Other Index Options'!$B:$B,D$147,'BSE - Other Index Options'!$H:$H,"MDAW*"))</f>
        <v/>
      </c>
      <c r="E276" s="26" t="str">
        <f>IF(SUMIFS('BSE - SENSEX Index Options'!$L:$L,'BSE - SENSEX Index Options'!$C:$C,$A276,'BSE - SENSEX Index Options'!$B:$B,E$147,'BSE - SENSEX Index Options'!$H:$H,"Weekly*")+SUMIFS('BSE - SENSEX Index Options'!$L:$L,'BSE - SENSEX Index Options'!$C:$C,$A276,'BSE - SENSEX Index Options'!$B:$B,E$147,'BSE - SENSEX Index Options'!$H:$H,"MDAW*")+SUMIFS('BSE - Other Index Options'!$L:$L,'BSE - Other Index Options'!$C:$C,$A276,'BSE - Other Index Options'!$B:$B,E$147,'BSE - Other Index Options'!$H:$H,"Weekly*")+SUMIFS('BSE - Other Index Options'!$L:$L,'BSE - Other Index Options'!$C:$C,$A276,'BSE - Other Index Options'!$B:$B,E$147,'BSE - Other Index Options'!$H:$H,"MDAW*")=0,"",SUMIFS('BSE - SENSEX Index Options'!$L:$L,'BSE - SENSEX Index Options'!$C:$C,$A276,'BSE - SENSEX Index Options'!$B:$B,E$147,'BSE - SENSEX Index Options'!$H:$H,"Weekly*")+SUMIFS('BSE - SENSEX Index Options'!$L:$L,'BSE - SENSEX Index Options'!$C:$C,$A276,'BSE - SENSEX Index Options'!$B:$B,E$147,'BSE - SENSEX Index Options'!$H:$H,"MDAW*")+SUMIFS('BSE - Other Index Options'!$L:$L,'BSE - Other Index Options'!$C:$C,$A276,'BSE - Other Index Options'!$B:$B,E$147,'BSE - Other Index Options'!$H:$H,"Weekly*")+SUMIFS('BSE - Other Index Options'!$L:$L,'BSE - Other Index Options'!$C:$C,$A276,'BSE - Other Index Options'!$B:$B,E$147,'BSE - Other Index Options'!$H:$H,"MDAW*"))</f>
        <v/>
      </c>
      <c r="F276" s="26" t="str">
        <f>IF(SUMIFS('BSE - SENSEX Index Options'!$L:$L,'BSE - SENSEX Index Options'!$C:$C,$A276,'BSE - SENSEX Index Options'!$B:$B,F$147,'BSE - SENSEX Index Options'!$H:$H,"Weekly*")+SUMIFS('BSE - SENSEX Index Options'!$L:$L,'BSE - SENSEX Index Options'!$C:$C,$A276,'BSE - SENSEX Index Options'!$B:$B,F$147,'BSE - SENSEX Index Options'!$H:$H,"MDAW*")+SUMIFS('BSE - Other Index Options'!$L:$L,'BSE - Other Index Options'!$C:$C,$A276,'BSE - Other Index Options'!$B:$B,F$147,'BSE - Other Index Options'!$H:$H,"Weekly*")+SUMIFS('BSE - Other Index Options'!$L:$L,'BSE - Other Index Options'!$C:$C,$A276,'BSE - Other Index Options'!$B:$B,F$147,'BSE - Other Index Options'!$H:$H,"MDAW*")=0,"",SUMIFS('BSE - SENSEX Index Options'!$L:$L,'BSE - SENSEX Index Options'!$C:$C,$A276,'BSE - SENSEX Index Options'!$B:$B,F$147,'BSE - SENSEX Index Options'!$H:$H,"Weekly*")+SUMIFS('BSE - SENSEX Index Options'!$L:$L,'BSE - SENSEX Index Options'!$C:$C,$A276,'BSE - SENSEX Index Options'!$B:$B,F$147,'BSE - SENSEX Index Options'!$H:$H,"MDAW*")+SUMIFS('BSE - Other Index Options'!$L:$L,'BSE - Other Index Options'!$C:$C,$A276,'BSE - Other Index Options'!$B:$B,F$147,'BSE - Other Index Options'!$H:$H,"Weekly*")+SUMIFS('BSE - Other Index Options'!$L:$L,'BSE - Other Index Options'!$C:$C,$A276,'BSE - Other Index Options'!$B:$B,F$147,'BSE - Other Index Options'!$H:$H,"MDAW*"))</f>
        <v/>
      </c>
      <c r="G276" s="26" t="str">
        <f>IF(SUMIFS('BSE - SENSEX Index Options'!$L:$L,'BSE - SENSEX Index Options'!$C:$C,$A276,'BSE - SENSEX Index Options'!$B:$B,G$147,'BSE - SENSEX Index Options'!$H:$H,"Weekly*")+SUMIFS('BSE - SENSEX Index Options'!$L:$L,'BSE - SENSEX Index Options'!$C:$C,$A276,'BSE - SENSEX Index Options'!$B:$B,G$147,'BSE - SENSEX Index Options'!$H:$H,"MDAW*")+SUMIFS('BSE - Other Index Options'!$L:$L,'BSE - Other Index Options'!$C:$C,$A276,'BSE - Other Index Options'!$B:$B,G$147,'BSE - Other Index Options'!$H:$H,"Weekly*")+SUMIFS('BSE - Other Index Options'!$L:$L,'BSE - Other Index Options'!$C:$C,$A276,'BSE - Other Index Options'!$B:$B,G$147,'BSE - Other Index Options'!$H:$H,"MDAW*")=0,"",SUMIFS('BSE - SENSEX Index Options'!$L:$L,'BSE - SENSEX Index Options'!$C:$C,$A276,'BSE - SENSEX Index Options'!$B:$B,G$147,'BSE - SENSEX Index Options'!$H:$H,"Weekly*")+SUMIFS('BSE - SENSEX Index Options'!$L:$L,'BSE - SENSEX Index Options'!$C:$C,$A276,'BSE - SENSEX Index Options'!$B:$B,G$147,'BSE - SENSEX Index Options'!$H:$H,"MDAW*")+SUMIFS('BSE - Other Index Options'!$L:$L,'BSE - Other Index Options'!$C:$C,$A276,'BSE - Other Index Options'!$B:$B,G$147,'BSE - Other Index Options'!$H:$H,"Weekly*")+SUMIFS('BSE - Other Index Options'!$L:$L,'BSE - Other Index Options'!$C:$C,$A276,'BSE - Other Index Options'!$B:$B,G$147,'BSE - Other Index Options'!$H:$H,"MDAW*"))</f>
        <v/>
      </c>
      <c r="H276" s="26" t="str">
        <f t="shared" ref="H276:H307" si="10">IF(SUM(B276:G276)=0,"",SUM(B276:G276))</f>
        <v/>
      </c>
    </row>
    <row r="277" spans="1:8" hidden="1" outlineLevel="1">
      <c r="A277" t="s">
        <v>139</v>
      </c>
      <c r="B277" s="26" t="str">
        <f>IF(SUMIFS('BSE - SENSEX Index Options'!$L:$L,'BSE - SENSEX Index Options'!$C:$C,$A277,'BSE - SENSEX Index Options'!$B:$B,B$147,'BSE - SENSEX Index Options'!$H:$H,"Weekly*")+SUMIFS('BSE - SENSEX Index Options'!$L:$L,'BSE - SENSEX Index Options'!$C:$C,$A277,'BSE - SENSEX Index Options'!$B:$B,B$147,'BSE - SENSEX Index Options'!$H:$H,"MDAW*")+SUMIFS('BSE - Other Index Options'!$L:$L,'BSE - Other Index Options'!$C:$C,$A277,'BSE - Other Index Options'!$B:$B,B$147,'BSE - Other Index Options'!$H:$H,"Weekly*")+SUMIFS('BSE - Other Index Options'!$L:$L,'BSE - Other Index Options'!$C:$C,$A277,'BSE - Other Index Options'!$B:$B,B$147,'BSE - Other Index Options'!$H:$H,"MDAW*")=0,"",SUMIFS('BSE - SENSEX Index Options'!$L:$L,'BSE - SENSEX Index Options'!$C:$C,$A277,'BSE - SENSEX Index Options'!$B:$B,B$147,'BSE - SENSEX Index Options'!$H:$H,"Weekly*")+SUMIFS('BSE - SENSEX Index Options'!$L:$L,'BSE - SENSEX Index Options'!$C:$C,$A277,'BSE - SENSEX Index Options'!$B:$B,B$147,'BSE - SENSEX Index Options'!$H:$H,"MDAW*")+SUMIFS('BSE - Other Index Options'!$L:$L,'BSE - Other Index Options'!$C:$C,$A277,'BSE - Other Index Options'!$B:$B,B$147,'BSE - Other Index Options'!$H:$H,"Weekly*")+SUMIFS('BSE - Other Index Options'!$L:$L,'BSE - Other Index Options'!$C:$C,$A277,'BSE - Other Index Options'!$B:$B,B$147,'BSE - Other Index Options'!$H:$H,"MDAW*"))</f>
        <v/>
      </c>
      <c r="C277" s="26" t="str">
        <f>IF(SUMIFS('BSE - SENSEX Index Options'!$L:$L,'BSE - SENSEX Index Options'!$C:$C,$A277,'BSE - SENSEX Index Options'!$B:$B,C$147,'BSE - SENSEX Index Options'!$H:$H,"Weekly*")+SUMIFS('BSE - SENSEX Index Options'!$L:$L,'BSE - SENSEX Index Options'!$C:$C,$A277,'BSE - SENSEX Index Options'!$B:$B,C$147,'BSE - SENSEX Index Options'!$H:$H,"MDAW*")+SUMIFS('BSE - Other Index Options'!$L:$L,'BSE - Other Index Options'!$C:$C,$A277,'BSE - Other Index Options'!$B:$B,C$147,'BSE - Other Index Options'!$H:$H,"Weekly*")+SUMIFS('BSE - Other Index Options'!$L:$L,'BSE - Other Index Options'!$C:$C,$A277,'BSE - Other Index Options'!$B:$B,C$147,'BSE - Other Index Options'!$H:$H,"MDAW*")=0,"",SUMIFS('BSE - SENSEX Index Options'!$L:$L,'BSE - SENSEX Index Options'!$C:$C,$A277,'BSE - SENSEX Index Options'!$B:$B,C$147,'BSE - SENSEX Index Options'!$H:$H,"Weekly*")+SUMIFS('BSE - SENSEX Index Options'!$L:$L,'BSE - SENSEX Index Options'!$C:$C,$A277,'BSE - SENSEX Index Options'!$B:$B,C$147,'BSE - SENSEX Index Options'!$H:$H,"MDAW*")+SUMIFS('BSE - Other Index Options'!$L:$L,'BSE - Other Index Options'!$C:$C,$A277,'BSE - Other Index Options'!$B:$B,C$147,'BSE - Other Index Options'!$H:$H,"Weekly*")+SUMIFS('BSE - Other Index Options'!$L:$L,'BSE - Other Index Options'!$C:$C,$A277,'BSE - Other Index Options'!$B:$B,C$147,'BSE - Other Index Options'!$H:$H,"MDAW*"))</f>
        <v/>
      </c>
      <c r="D277" s="26" t="str">
        <f>IF(SUMIFS('BSE - SENSEX Index Options'!$L:$L,'BSE - SENSEX Index Options'!$C:$C,$A277,'BSE - SENSEX Index Options'!$B:$B,D$147,'BSE - SENSEX Index Options'!$H:$H,"Weekly*")+SUMIFS('BSE - SENSEX Index Options'!$L:$L,'BSE - SENSEX Index Options'!$C:$C,$A277,'BSE - SENSEX Index Options'!$B:$B,D$147,'BSE - SENSEX Index Options'!$H:$H,"MDAW*")+SUMIFS('BSE - Other Index Options'!$L:$L,'BSE - Other Index Options'!$C:$C,$A277,'BSE - Other Index Options'!$B:$B,D$147,'BSE - Other Index Options'!$H:$H,"Weekly*")+SUMIFS('BSE - Other Index Options'!$L:$L,'BSE - Other Index Options'!$C:$C,$A277,'BSE - Other Index Options'!$B:$B,D$147,'BSE - Other Index Options'!$H:$H,"MDAW*")=0,"",SUMIFS('BSE - SENSEX Index Options'!$L:$L,'BSE - SENSEX Index Options'!$C:$C,$A277,'BSE - SENSEX Index Options'!$B:$B,D$147,'BSE - SENSEX Index Options'!$H:$H,"Weekly*")+SUMIFS('BSE - SENSEX Index Options'!$L:$L,'BSE - SENSEX Index Options'!$C:$C,$A277,'BSE - SENSEX Index Options'!$B:$B,D$147,'BSE - SENSEX Index Options'!$H:$H,"MDAW*")+SUMIFS('BSE - Other Index Options'!$L:$L,'BSE - Other Index Options'!$C:$C,$A277,'BSE - Other Index Options'!$B:$B,D$147,'BSE - Other Index Options'!$H:$H,"Weekly*")+SUMIFS('BSE - Other Index Options'!$L:$L,'BSE - Other Index Options'!$C:$C,$A277,'BSE - Other Index Options'!$B:$B,D$147,'BSE - Other Index Options'!$H:$H,"MDAW*"))</f>
        <v/>
      </c>
      <c r="E277" s="26" t="str">
        <f>IF(SUMIFS('BSE - SENSEX Index Options'!$L:$L,'BSE - SENSEX Index Options'!$C:$C,$A277,'BSE - SENSEX Index Options'!$B:$B,E$147,'BSE - SENSEX Index Options'!$H:$H,"Weekly*")+SUMIFS('BSE - SENSEX Index Options'!$L:$L,'BSE - SENSEX Index Options'!$C:$C,$A277,'BSE - SENSEX Index Options'!$B:$B,E$147,'BSE - SENSEX Index Options'!$H:$H,"MDAW*")+SUMIFS('BSE - Other Index Options'!$L:$L,'BSE - Other Index Options'!$C:$C,$A277,'BSE - Other Index Options'!$B:$B,E$147,'BSE - Other Index Options'!$H:$H,"Weekly*")+SUMIFS('BSE - Other Index Options'!$L:$L,'BSE - Other Index Options'!$C:$C,$A277,'BSE - Other Index Options'!$B:$B,E$147,'BSE - Other Index Options'!$H:$H,"MDAW*")=0,"",SUMIFS('BSE - SENSEX Index Options'!$L:$L,'BSE - SENSEX Index Options'!$C:$C,$A277,'BSE - SENSEX Index Options'!$B:$B,E$147,'BSE - SENSEX Index Options'!$H:$H,"Weekly*")+SUMIFS('BSE - SENSEX Index Options'!$L:$L,'BSE - SENSEX Index Options'!$C:$C,$A277,'BSE - SENSEX Index Options'!$B:$B,E$147,'BSE - SENSEX Index Options'!$H:$H,"MDAW*")+SUMIFS('BSE - Other Index Options'!$L:$L,'BSE - Other Index Options'!$C:$C,$A277,'BSE - Other Index Options'!$B:$B,E$147,'BSE - Other Index Options'!$H:$H,"Weekly*")+SUMIFS('BSE - Other Index Options'!$L:$L,'BSE - Other Index Options'!$C:$C,$A277,'BSE - Other Index Options'!$B:$B,E$147,'BSE - Other Index Options'!$H:$H,"MDAW*"))</f>
        <v/>
      </c>
      <c r="F277" s="26" t="str">
        <f>IF(SUMIFS('BSE - SENSEX Index Options'!$L:$L,'BSE - SENSEX Index Options'!$C:$C,$A277,'BSE - SENSEX Index Options'!$B:$B,F$147,'BSE - SENSEX Index Options'!$H:$H,"Weekly*")+SUMIFS('BSE - SENSEX Index Options'!$L:$L,'BSE - SENSEX Index Options'!$C:$C,$A277,'BSE - SENSEX Index Options'!$B:$B,F$147,'BSE - SENSEX Index Options'!$H:$H,"MDAW*")+SUMIFS('BSE - Other Index Options'!$L:$L,'BSE - Other Index Options'!$C:$C,$A277,'BSE - Other Index Options'!$B:$B,F$147,'BSE - Other Index Options'!$H:$H,"Weekly*")+SUMIFS('BSE - Other Index Options'!$L:$L,'BSE - Other Index Options'!$C:$C,$A277,'BSE - Other Index Options'!$B:$B,F$147,'BSE - Other Index Options'!$H:$H,"MDAW*")=0,"",SUMIFS('BSE - SENSEX Index Options'!$L:$L,'BSE - SENSEX Index Options'!$C:$C,$A277,'BSE - SENSEX Index Options'!$B:$B,F$147,'BSE - SENSEX Index Options'!$H:$H,"Weekly*")+SUMIFS('BSE - SENSEX Index Options'!$L:$L,'BSE - SENSEX Index Options'!$C:$C,$A277,'BSE - SENSEX Index Options'!$B:$B,F$147,'BSE - SENSEX Index Options'!$H:$H,"MDAW*")+SUMIFS('BSE - Other Index Options'!$L:$L,'BSE - Other Index Options'!$C:$C,$A277,'BSE - Other Index Options'!$B:$B,F$147,'BSE - Other Index Options'!$H:$H,"Weekly*")+SUMIFS('BSE - Other Index Options'!$L:$L,'BSE - Other Index Options'!$C:$C,$A277,'BSE - Other Index Options'!$B:$B,F$147,'BSE - Other Index Options'!$H:$H,"MDAW*"))</f>
        <v/>
      </c>
      <c r="G277" s="26" t="str">
        <f>IF(SUMIFS('BSE - SENSEX Index Options'!$L:$L,'BSE - SENSEX Index Options'!$C:$C,$A277,'BSE - SENSEX Index Options'!$B:$B,G$147,'BSE - SENSEX Index Options'!$H:$H,"Weekly*")+SUMIFS('BSE - SENSEX Index Options'!$L:$L,'BSE - SENSEX Index Options'!$C:$C,$A277,'BSE - SENSEX Index Options'!$B:$B,G$147,'BSE - SENSEX Index Options'!$H:$H,"MDAW*")+SUMIFS('BSE - Other Index Options'!$L:$L,'BSE - Other Index Options'!$C:$C,$A277,'BSE - Other Index Options'!$B:$B,G$147,'BSE - Other Index Options'!$H:$H,"Weekly*")+SUMIFS('BSE - Other Index Options'!$L:$L,'BSE - Other Index Options'!$C:$C,$A277,'BSE - Other Index Options'!$B:$B,G$147,'BSE - Other Index Options'!$H:$H,"MDAW*")=0,"",SUMIFS('BSE - SENSEX Index Options'!$L:$L,'BSE - SENSEX Index Options'!$C:$C,$A277,'BSE - SENSEX Index Options'!$B:$B,G$147,'BSE - SENSEX Index Options'!$H:$H,"Weekly*")+SUMIFS('BSE - SENSEX Index Options'!$L:$L,'BSE - SENSEX Index Options'!$C:$C,$A277,'BSE - SENSEX Index Options'!$B:$B,G$147,'BSE - SENSEX Index Options'!$H:$H,"MDAW*")+SUMIFS('BSE - Other Index Options'!$L:$L,'BSE - Other Index Options'!$C:$C,$A277,'BSE - Other Index Options'!$B:$B,G$147,'BSE - Other Index Options'!$H:$H,"Weekly*")+SUMIFS('BSE - Other Index Options'!$L:$L,'BSE - Other Index Options'!$C:$C,$A277,'BSE - Other Index Options'!$B:$B,G$147,'BSE - Other Index Options'!$H:$H,"MDAW*"))</f>
        <v/>
      </c>
      <c r="H277" s="26" t="str">
        <f t="shared" si="10"/>
        <v/>
      </c>
    </row>
    <row r="278" spans="1:8" hidden="1" outlineLevel="1">
      <c r="A278" t="s">
        <v>140</v>
      </c>
      <c r="B278" s="26" t="str">
        <f>IF(SUMIFS('BSE - SENSEX Index Options'!$L:$L,'BSE - SENSEX Index Options'!$C:$C,$A278,'BSE - SENSEX Index Options'!$B:$B,B$147,'BSE - SENSEX Index Options'!$H:$H,"Weekly*")+SUMIFS('BSE - SENSEX Index Options'!$L:$L,'BSE - SENSEX Index Options'!$C:$C,$A278,'BSE - SENSEX Index Options'!$B:$B,B$147,'BSE - SENSEX Index Options'!$H:$H,"MDAW*")+SUMIFS('BSE - Other Index Options'!$L:$L,'BSE - Other Index Options'!$C:$C,$A278,'BSE - Other Index Options'!$B:$B,B$147,'BSE - Other Index Options'!$H:$H,"Weekly*")+SUMIFS('BSE - Other Index Options'!$L:$L,'BSE - Other Index Options'!$C:$C,$A278,'BSE - Other Index Options'!$B:$B,B$147,'BSE - Other Index Options'!$H:$H,"MDAW*")=0,"",SUMIFS('BSE - SENSEX Index Options'!$L:$L,'BSE - SENSEX Index Options'!$C:$C,$A278,'BSE - SENSEX Index Options'!$B:$B,B$147,'BSE - SENSEX Index Options'!$H:$H,"Weekly*")+SUMIFS('BSE - SENSEX Index Options'!$L:$L,'BSE - SENSEX Index Options'!$C:$C,$A278,'BSE - SENSEX Index Options'!$B:$B,B$147,'BSE - SENSEX Index Options'!$H:$H,"MDAW*")+SUMIFS('BSE - Other Index Options'!$L:$L,'BSE - Other Index Options'!$C:$C,$A278,'BSE - Other Index Options'!$B:$B,B$147,'BSE - Other Index Options'!$H:$H,"Weekly*")+SUMIFS('BSE - Other Index Options'!$L:$L,'BSE - Other Index Options'!$C:$C,$A278,'BSE - Other Index Options'!$B:$B,B$147,'BSE - Other Index Options'!$H:$H,"MDAW*"))</f>
        <v/>
      </c>
      <c r="C278" s="26" t="str">
        <f>IF(SUMIFS('BSE - SENSEX Index Options'!$L:$L,'BSE - SENSEX Index Options'!$C:$C,$A278,'BSE - SENSEX Index Options'!$B:$B,C$147,'BSE - SENSEX Index Options'!$H:$H,"Weekly*")+SUMIFS('BSE - SENSEX Index Options'!$L:$L,'BSE - SENSEX Index Options'!$C:$C,$A278,'BSE - SENSEX Index Options'!$B:$B,C$147,'BSE - SENSEX Index Options'!$H:$H,"MDAW*")+SUMIFS('BSE - Other Index Options'!$L:$L,'BSE - Other Index Options'!$C:$C,$A278,'BSE - Other Index Options'!$B:$B,C$147,'BSE - Other Index Options'!$H:$H,"Weekly*")+SUMIFS('BSE - Other Index Options'!$L:$L,'BSE - Other Index Options'!$C:$C,$A278,'BSE - Other Index Options'!$B:$B,C$147,'BSE - Other Index Options'!$H:$H,"MDAW*")=0,"",SUMIFS('BSE - SENSEX Index Options'!$L:$L,'BSE - SENSEX Index Options'!$C:$C,$A278,'BSE - SENSEX Index Options'!$B:$B,C$147,'BSE - SENSEX Index Options'!$H:$H,"Weekly*")+SUMIFS('BSE - SENSEX Index Options'!$L:$L,'BSE - SENSEX Index Options'!$C:$C,$A278,'BSE - SENSEX Index Options'!$B:$B,C$147,'BSE - SENSEX Index Options'!$H:$H,"MDAW*")+SUMIFS('BSE - Other Index Options'!$L:$L,'BSE - Other Index Options'!$C:$C,$A278,'BSE - Other Index Options'!$B:$B,C$147,'BSE - Other Index Options'!$H:$H,"Weekly*")+SUMIFS('BSE - Other Index Options'!$L:$L,'BSE - Other Index Options'!$C:$C,$A278,'BSE - Other Index Options'!$B:$B,C$147,'BSE - Other Index Options'!$H:$H,"MDAW*"))</f>
        <v/>
      </c>
      <c r="D278" s="26" t="str">
        <f>IF(SUMIFS('BSE - SENSEX Index Options'!$L:$L,'BSE - SENSEX Index Options'!$C:$C,$A278,'BSE - SENSEX Index Options'!$B:$B,D$147,'BSE - SENSEX Index Options'!$H:$H,"Weekly*")+SUMIFS('BSE - SENSEX Index Options'!$L:$L,'BSE - SENSEX Index Options'!$C:$C,$A278,'BSE - SENSEX Index Options'!$B:$B,D$147,'BSE - SENSEX Index Options'!$H:$H,"MDAW*")+SUMIFS('BSE - Other Index Options'!$L:$L,'BSE - Other Index Options'!$C:$C,$A278,'BSE - Other Index Options'!$B:$B,D$147,'BSE - Other Index Options'!$H:$H,"Weekly*")+SUMIFS('BSE - Other Index Options'!$L:$L,'BSE - Other Index Options'!$C:$C,$A278,'BSE - Other Index Options'!$B:$B,D$147,'BSE - Other Index Options'!$H:$H,"MDAW*")=0,"",SUMIFS('BSE - SENSEX Index Options'!$L:$L,'BSE - SENSEX Index Options'!$C:$C,$A278,'BSE - SENSEX Index Options'!$B:$B,D$147,'BSE - SENSEX Index Options'!$H:$H,"Weekly*")+SUMIFS('BSE - SENSEX Index Options'!$L:$L,'BSE - SENSEX Index Options'!$C:$C,$A278,'BSE - SENSEX Index Options'!$B:$B,D$147,'BSE - SENSEX Index Options'!$H:$H,"MDAW*")+SUMIFS('BSE - Other Index Options'!$L:$L,'BSE - Other Index Options'!$C:$C,$A278,'BSE - Other Index Options'!$B:$B,D$147,'BSE - Other Index Options'!$H:$H,"Weekly*")+SUMIFS('BSE - Other Index Options'!$L:$L,'BSE - Other Index Options'!$C:$C,$A278,'BSE - Other Index Options'!$B:$B,D$147,'BSE - Other Index Options'!$H:$H,"MDAW*"))</f>
        <v/>
      </c>
      <c r="E278" s="26" t="str">
        <f>IF(SUMIFS('BSE - SENSEX Index Options'!$L:$L,'BSE - SENSEX Index Options'!$C:$C,$A278,'BSE - SENSEX Index Options'!$B:$B,E$147,'BSE - SENSEX Index Options'!$H:$H,"Weekly*")+SUMIFS('BSE - SENSEX Index Options'!$L:$L,'BSE - SENSEX Index Options'!$C:$C,$A278,'BSE - SENSEX Index Options'!$B:$B,E$147,'BSE - SENSEX Index Options'!$H:$H,"MDAW*")+SUMIFS('BSE - Other Index Options'!$L:$L,'BSE - Other Index Options'!$C:$C,$A278,'BSE - Other Index Options'!$B:$B,E$147,'BSE - Other Index Options'!$H:$H,"Weekly*")+SUMIFS('BSE - Other Index Options'!$L:$L,'BSE - Other Index Options'!$C:$C,$A278,'BSE - Other Index Options'!$B:$B,E$147,'BSE - Other Index Options'!$H:$H,"MDAW*")=0,"",SUMIFS('BSE - SENSEX Index Options'!$L:$L,'BSE - SENSEX Index Options'!$C:$C,$A278,'BSE - SENSEX Index Options'!$B:$B,E$147,'BSE - SENSEX Index Options'!$H:$H,"Weekly*")+SUMIFS('BSE - SENSEX Index Options'!$L:$L,'BSE - SENSEX Index Options'!$C:$C,$A278,'BSE - SENSEX Index Options'!$B:$B,E$147,'BSE - SENSEX Index Options'!$H:$H,"MDAW*")+SUMIFS('BSE - Other Index Options'!$L:$L,'BSE - Other Index Options'!$C:$C,$A278,'BSE - Other Index Options'!$B:$B,E$147,'BSE - Other Index Options'!$H:$H,"Weekly*")+SUMIFS('BSE - Other Index Options'!$L:$L,'BSE - Other Index Options'!$C:$C,$A278,'BSE - Other Index Options'!$B:$B,E$147,'BSE - Other Index Options'!$H:$H,"MDAW*"))</f>
        <v/>
      </c>
      <c r="F278" s="26" t="str">
        <f>IF(SUMIFS('BSE - SENSEX Index Options'!$L:$L,'BSE - SENSEX Index Options'!$C:$C,$A278,'BSE - SENSEX Index Options'!$B:$B,F$147,'BSE - SENSEX Index Options'!$H:$H,"Weekly*")+SUMIFS('BSE - SENSEX Index Options'!$L:$L,'BSE - SENSEX Index Options'!$C:$C,$A278,'BSE - SENSEX Index Options'!$B:$B,F$147,'BSE - SENSEX Index Options'!$H:$H,"MDAW*")+SUMIFS('BSE - Other Index Options'!$L:$L,'BSE - Other Index Options'!$C:$C,$A278,'BSE - Other Index Options'!$B:$B,F$147,'BSE - Other Index Options'!$H:$H,"Weekly*")+SUMIFS('BSE - Other Index Options'!$L:$L,'BSE - Other Index Options'!$C:$C,$A278,'BSE - Other Index Options'!$B:$B,F$147,'BSE - Other Index Options'!$H:$H,"MDAW*")=0,"",SUMIFS('BSE - SENSEX Index Options'!$L:$L,'BSE - SENSEX Index Options'!$C:$C,$A278,'BSE - SENSEX Index Options'!$B:$B,F$147,'BSE - SENSEX Index Options'!$H:$H,"Weekly*")+SUMIFS('BSE - SENSEX Index Options'!$L:$L,'BSE - SENSEX Index Options'!$C:$C,$A278,'BSE - SENSEX Index Options'!$B:$B,F$147,'BSE - SENSEX Index Options'!$H:$H,"MDAW*")+SUMIFS('BSE - Other Index Options'!$L:$L,'BSE - Other Index Options'!$C:$C,$A278,'BSE - Other Index Options'!$B:$B,F$147,'BSE - Other Index Options'!$H:$H,"Weekly*")+SUMIFS('BSE - Other Index Options'!$L:$L,'BSE - Other Index Options'!$C:$C,$A278,'BSE - Other Index Options'!$B:$B,F$147,'BSE - Other Index Options'!$H:$H,"MDAW*"))</f>
        <v/>
      </c>
      <c r="G278" s="26" t="str">
        <f>IF(SUMIFS('BSE - SENSEX Index Options'!$L:$L,'BSE - SENSEX Index Options'!$C:$C,$A278,'BSE - SENSEX Index Options'!$B:$B,G$147,'BSE - SENSEX Index Options'!$H:$H,"Weekly*")+SUMIFS('BSE - SENSEX Index Options'!$L:$L,'BSE - SENSEX Index Options'!$C:$C,$A278,'BSE - SENSEX Index Options'!$B:$B,G$147,'BSE - SENSEX Index Options'!$H:$H,"MDAW*")+SUMIFS('BSE - Other Index Options'!$L:$L,'BSE - Other Index Options'!$C:$C,$A278,'BSE - Other Index Options'!$B:$B,G$147,'BSE - Other Index Options'!$H:$H,"Weekly*")+SUMIFS('BSE - Other Index Options'!$L:$L,'BSE - Other Index Options'!$C:$C,$A278,'BSE - Other Index Options'!$B:$B,G$147,'BSE - Other Index Options'!$H:$H,"MDAW*")=0,"",SUMIFS('BSE - SENSEX Index Options'!$L:$L,'BSE - SENSEX Index Options'!$C:$C,$A278,'BSE - SENSEX Index Options'!$B:$B,G$147,'BSE - SENSEX Index Options'!$H:$H,"Weekly*")+SUMIFS('BSE - SENSEX Index Options'!$L:$L,'BSE - SENSEX Index Options'!$C:$C,$A278,'BSE - SENSEX Index Options'!$B:$B,G$147,'BSE - SENSEX Index Options'!$H:$H,"MDAW*")+SUMIFS('BSE - Other Index Options'!$L:$L,'BSE - Other Index Options'!$C:$C,$A278,'BSE - Other Index Options'!$B:$B,G$147,'BSE - Other Index Options'!$H:$H,"Weekly*")+SUMIFS('BSE - Other Index Options'!$L:$L,'BSE - Other Index Options'!$C:$C,$A278,'BSE - Other Index Options'!$B:$B,G$147,'BSE - Other Index Options'!$H:$H,"MDAW*"))</f>
        <v/>
      </c>
      <c r="H278" s="26" t="str">
        <f t="shared" si="10"/>
        <v/>
      </c>
    </row>
    <row r="279" spans="1:8" hidden="1" outlineLevel="1">
      <c r="A279" t="s">
        <v>141</v>
      </c>
      <c r="B279" s="26" t="str">
        <f>IF(SUMIFS('BSE - SENSEX Index Options'!$L:$L,'BSE - SENSEX Index Options'!$C:$C,$A279,'BSE - SENSEX Index Options'!$B:$B,B$147,'BSE - SENSEX Index Options'!$H:$H,"Weekly*")+SUMIFS('BSE - SENSEX Index Options'!$L:$L,'BSE - SENSEX Index Options'!$C:$C,$A279,'BSE - SENSEX Index Options'!$B:$B,B$147,'BSE - SENSEX Index Options'!$H:$H,"MDAW*")+SUMIFS('BSE - Other Index Options'!$L:$L,'BSE - Other Index Options'!$C:$C,$A279,'BSE - Other Index Options'!$B:$B,B$147,'BSE - Other Index Options'!$H:$H,"Weekly*")+SUMIFS('BSE - Other Index Options'!$L:$L,'BSE - Other Index Options'!$C:$C,$A279,'BSE - Other Index Options'!$B:$B,B$147,'BSE - Other Index Options'!$H:$H,"MDAW*")=0,"",SUMIFS('BSE - SENSEX Index Options'!$L:$L,'BSE - SENSEX Index Options'!$C:$C,$A279,'BSE - SENSEX Index Options'!$B:$B,B$147,'BSE - SENSEX Index Options'!$H:$H,"Weekly*")+SUMIFS('BSE - SENSEX Index Options'!$L:$L,'BSE - SENSEX Index Options'!$C:$C,$A279,'BSE - SENSEX Index Options'!$B:$B,B$147,'BSE - SENSEX Index Options'!$H:$H,"MDAW*")+SUMIFS('BSE - Other Index Options'!$L:$L,'BSE - Other Index Options'!$C:$C,$A279,'BSE - Other Index Options'!$B:$B,B$147,'BSE - Other Index Options'!$H:$H,"Weekly*")+SUMIFS('BSE - Other Index Options'!$L:$L,'BSE - Other Index Options'!$C:$C,$A279,'BSE - Other Index Options'!$B:$B,B$147,'BSE - Other Index Options'!$H:$H,"MDAW*"))</f>
        <v/>
      </c>
      <c r="C279" s="26" t="str">
        <f>IF(SUMIFS('BSE - SENSEX Index Options'!$L:$L,'BSE - SENSEX Index Options'!$C:$C,$A279,'BSE - SENSEX Index Options'!$B:$B,C$147,'BSE - SENSEX Index Options'!$H:$H,"Weekly*")+SUMIFS('BSE - SENSEX Index Options'!$L:$L,'BSE - SENSEX Index Options'!$C:$C,$A279,'BSE - SENSEX Index Options'!$B:$B,C$147,'BSE - SENSEX Index Options'!$H:$H,"MDAW*")+SUMIFS('BSE - Other Index Options'!$L:$L,'BSE - Other Index Options'!$C:$C,$A279,'BSE - Other Index Options'!$B:$B,C$147,'BSE - Other Index Options'!$H:$H,"Weekly*")+SUMIFS('BSE - Other Index Options'!$L:$L,'BSE - Other Index Options'!$C:$C,$A279,'BSE - Other Index Options'!$B:$B,C$147,'BSE - Other Index Options'!$H:$H,"MDAW*")=0,"",SUMIFS('BSE - SENSEX Index Options'!$L:$L,'BSE - SENSEX Index Options'!$C:$C,$A279,'BSE - SENSEX Index Options'!$B:$B,C$147,'BSE - SENSEX Index Options'!$H:$H,"Weekly*")+SUMIFS('BSE - SENSEX Index Options'!$L:$L,'BSE - SENSEX Index Options'!$C:$C,$A279,'BSE - SENSEX Index Options'!$B:$B,C$147,'BSE - SENSEX Index Options'!$H:$H,"MDAW*")+SUMIFS('BSE - Other Index Options'!$L:$L,'BSE - Other Index Options'!$C:$C,$A279,'BSE - Other Index Options'!$B:$B,C$147,'BSE - Other Index Options'!$H:$H,"Weekly*")+SUMIFS('BSE - Other Index Options'!$L:$L,'BSE - Other Index Options'!$C:$C,$A279,'BSE - Other Index Options'!$B:$B,C$147,'BSE - Other Index Options'!$H:$H,"MDAW*"))</f>
        <v/>
      </c>
      <c r="D279" s="26" t="str">
        <f>IF(SUMIFS('BSE - SENSEX Index Options'!$L:$L,'BSE - SENSEX Index Options'!$C:$C,$A279,'BSE - SENSEX Index Options'!$B:$B,D$147,'BSE - SENSEX Index Options'!$H:$H,"Weekly*")+SUMIFS('BSE - SENSEX Index Options'!$L:$L,'BSE - SENSEX Index Options'!$C:$C,$A279,'BSE - SENSEX Index Options'!$B:$B,D$147,'BSE - SENSEX Index Options'!$H:$H,"MDAW*")+SUMIFS('BSE - Other Index Options'!$L:$L,'BSE - Other Index Options'!$C:$C,$A279,'BSE - Other Index Options'!$B:$B,D$147,'BSE - Other Index Options'!$H:$H,"Weekly*")+SUMIFS('BSE - Other Index Options'!$L:$L,'BSE - Other Index Options'!$C:$C,$A279,'BSE - Other Index Options'!$B:$B,D$147,'BSE - Other Index Options'!$H:$H,"MDAW*")=0,"",SUMIFS('BSE - SENSEX Index Options'!$L:$L,'BSE - SENSEX Index Options'!$C:$C,$A279,'BSE - SENSEX Index Options'!$B:$B,D$147,'BSE - SENSEX Index Options'!$H:$H,"Weekly*")+SUMIFS('BSE - SENSEX Index Options'!$L:$L,'BSE - SENSEX Index Options'!$C:$C,$A279,'BSE - SENSEX Index Options'!$B:$B,D$147,'BSE - SENSEX Index Options'!$H:$H,"MDAW*")+SUMIFS('BSE - Other Index Options'!$L:$L,'BSE - Other Index Options'!$C:$C,$A279,'BSE - Other Index Options'!$B:$B,D$147,'BSE - Other Index Options'!$H:$H,"Weekly*")+SUMIFS('BSE - Other Index Options'!$L:$L,'BSE - Other Index Options'!$C:$C,$A279,'BSE - Other Index Options'!$B:$B,D$147,'BSE - Other Index Options'!$H:$H,"MDAW*"))</f>
        <v/>
      </c>
      <c r="E279" s="26" t="str">
        <f>IF(SUMIFS('BSE - SENSEX Index Options'!$L:$L,'BSE - SENSEX Index Options'!$C:$C,$A279,'BSE - SENSEX Index Options'!$B:$B,E$147,'BSE - SENSEX Index Options'!$H:$H,"Weekly*")+SUMIFS('BSE - SENSEX Index Options'!$L:$L,'BSE - SENSEX Index Options'!$C:$C,$A279,'BSE - SENSEX Index Options'!$B:$B,E$147,'BSE - SENSEX Index Options'!$H:$H,"MDAW*")+SUMIFS('BSE - Other Index Options'!$L:$L,'BSE - Other Index Options'!$C:$C,$A279,'BSE - Other Index Options'!$B:$B,E$147,'BSE - Other Index Options'!$H:$H,"Weekly*")+SUMIFS('BSE - Other Index Options'!$L:$L,'BSE - Other Index Options'!$C:$C,$A279,'BSE - Other Index Options'!$B:$B,E$147,'BSE - Other Index Options'!$H:$H,"MDAW*")=0,"",SUMIFS('BSE - SENSEX Index Options'!$L:$L,'BSE - SENSEX Index Options'!$C:$C,$A279,'BSE - SENSEX Index Options'!$B:$B,E$147,'BSE - SENSEX Index Options'!$H:$H,"Weekly*")+SUMIFS('BSE - SENSEX Index Options'!$L:$L,'BSE - SENSEX Index Options'!$C:$C,$A279,'BSE - SENSEX Index Options'!$B:$B,E$147,'BSE - SENSEX Index Options'!$H:$H,"MDAW*")+SUMIFS('BSE - Other Index Options'!$L:$L,'BSE - Other Index Options'!$C:$C,$A279,'BSE - Other Index Options'!$B:$B,E$147,'BSE - Other Index Options'!$H:$H,"Weekly*")+SUMIFS('BSE - Other Index Options'!$L:$L,'BSE - Other Index Options'!$C:$C,$A279,'BSE - Other Index Options'!$B:$B,E$147,'BSE - Other Index Options'!$H:$H,"MDAW*"))</f>
        <v/>
      </c>
      <c r="F279" s="26" t="str">
        <f>IF(SUMIFS('BSE - SENSEX Index Options'!$L:$L,'BSE - SENSEX Index Options'!$C:$C,$A279,'BSE - SENSEX Index Options'!$B:$B,F$147,'BSE - SENSEX Index Options'!$H:$H,"Weekly*")+SUMIFS('BSE - SENSEX Index Options'!$L:$L,'BSE - SENSEX Index Options'!$C:$C,$A279,'BSE - SENSEX Index Options'!$B:$B,F$147,'BSE - SENSEX Index Options'!$H:$H,"MDAW*")+SUMIFS('BSE - Other Index Options'!$L:$L,'BSE - Other Index Options'!$C:$C,$A279,'BSE - Other Index Options'!$B:$B,F$147,'BSE - Other Index Options'!$H:$H,"Weekly*")+SUMIFS('BSE - Other Index Options'!$L:$L,'BSE - Other Index Options'!$C:$C,$A279,'BSE - Other Index Options'!$B:$B,F$147,'BSE - Other Index Options'!$H:$H,"MDAW*")=0,"",SUMIFS('BSE - SENSEX Index Options'!$L:$L,'BSE - SENSEX Index Options'!$C:$C,$A279,'BSE - SENSEX Index Options'!$B:$B,F$147,'BSE - SENSEX Index Options'!$H:$H,"Weekly*")+SUMIFS('BSE - SENSEX Index Options'!$L:$L,'BSE - SENSEX Index Options'!$C:$C,$A279,'BSE - SENSEX Index Options'!$B:$B,F$147,'BSE - SENSEX Index Options'!$H:$H,"MDAW*")+SUMIFS('BSE - Other Index Options'!$L:$L,'BSE - Other Index Options'!$C:$C,$A279,'BSE - Other Index Options'!$B:$B,F$147,'BSE - Other Index Options'!$H:$H,"Weekly*")+SUMIFS('BSE - Other Index Options'!$L:$L,'BSE - Other Index Options'!$C:$C,$A279,'BSE - Other Index Options'!$B:$B,F$147,'BSE - Other Index Options'!$H:$H,"MDAW*"))</f>
        <v/>
      </c>
      <c r="G279" s="26" t="str">
        <f>IF(SUMIFS('BSE - SENSEX Index Options'!$L:$L,'BSE - SENSEX Index Options'!$C:$C,$A279,'BSE - SENSEX Index Options'!$B:$B,G$147,'BSE - SENSEX Index Options'!$H:$H,"Weekly*")+SUMIFS('BSE - SENSEX Index Options'!$L:$L,'BSE - SENSEX Index Options'!$C:$C,$A279,'BSE - SENSEX Index Options'!$B:$B,G$147,'BSE - SENSEX Index Options'!$H:$H,"MDAW*")+SUMIFS('BSE - Other Index Options'!$L:$L,'BSE - Other Index Options'!$C:$C,$A279,'BSE - Other Index Options'!$B:$B,G$147,'BSE - Other Index Options'!$H:$H,"Weekly*")+SUMIFS('BSE - Other Index Options'!$L:$L,'BSE - Other Index Options'!$C:$C,$A279,'BSE - Other Index Options'!$B:$B,G$147,'BSE - Other Index Options'!$H:$H,"MDAW*")=0,"",SUMIFS('BSE - SENSEX Index Options'!$L:$L,'BSE - SENSEX Index Options'!$C:$C,$A279,'BSE - SENSEX Index Options'!$B:$B,G$147,'BSE - SENSEX Index Options'!$H:$H,"Weekly*")+SUMIFS('BSE - SENSEX Index Options'!$L:$L,'BSE - SENSEX Index Options'!$C:$C,$A279,'BSE - SENSEX Index Options'!$B:$B,G$147,'BSE - SENSEX Index Options'!$H:$H,"MDAW*")+SUMIFS('BSE - Other Index Options'!$L:$L,'BSE - Other Index Options'!$C:$C,$A279,'BSE - Other Index Options'!$B:$B,G$147,'BSE - Other Index Options'!$H:$H,"Weekly*")+SUMIFS('BSE - Other Index Options'!$L:$L,'BSE - Other Index Options'!$C:$C,$A279,'BSE - Other Index Options'!$B:$B,G$147,'BSE - Other Index Options'!$H:$H,"MDAW*"))</f>
        <v/>
      </c>
      <c r="H279" s="26" t="str">
        <f t="shared" si="10"/>
        <v/>
      </c>
    </row>
    <row r="280" spans="1:8" hidden="1" outlineLevel="1">
      <c r="A280" t="s">
        <v>142</v>
      </c>
      <c r="B280" s="26" t="str">
        <f>IF(SUMIFS('BSE - SENSEX Index Options'!$L:$L,'BSE - SENSEX Index Options'!$C:$C,$A280,'BSE - SENSEX Index Options'!$B:$B,B$147,'BSE - SENSEX Index Options'!$H:$H,"Weekly*")+SUMIFS('BSE - SENSEX Index Options'!$L:$L,'BSE - SENSEX Index Options'!$C:$C,$A280,'BSE - SENSEX Index Options'!$B:$B,B$147,'BSE - SENSEX Index Options'!$H:$H,"MDAW*")+SUMIFS('BSE - Other Index Options'!$L:$L,'BSE - Other Index Options'!$C:$C,$A280,'BSE - Other Index Options'!$B:$B,B$147,'BSE - Other Index Options'!$H:$H,"Weekly*")+SUMIFS('BSE - Other Index Options'!$L:$L,'BSE - Other Index Options'!$C:$C,$A280,'BSE - Other Index Options'!$B:$B,B$147,'BSE - Other Index Options'!$H:$H,"MDAW*")=0,"",SUMIFS('BSE - SENSEX Index Options'!$L:$L,'BSE - SENSEX Index Options'!$C:$C,$A280,'BSE - SENSEX Index Options'!$B:$B,B$147,'BSE - SENSEX Index Options'!$H:$H,"Weekly*")+SUMIFS('BSE - SENSEX Index Options'!$L:$L,'BSE - SENSEX Index Options'!$C:$C,$A280,'BSE - SENSEX Index Options'!$B:$B,B$147,'BSE - SENSEX Index Options'!$H:$H,"MDAW*")+SUMIFS('BSE - Other Index Options'!$L:$L,'BSE - Other Index Options'!$C:$C,$A280,'BSE - Other Index Options'!$B:$B,B$147,'BSE - Other Index Options'!$H:$H,"Weekly*")+SUMIFS('BSE - Other Index Options'!$L:$L,'BSE - Other Index Options'!$C:$C,$A280,'BSE - Other Index Options'!$B:$B,B$147,'BSE - Other Index Options'!$H:$H,"MDAW*"))</f>
        <v/>
      </c>
      <c r="C280" s="26" t="str">
        <f>IF(SUMIFS('BSE - SENSEX Index Options'!$L:$L,'BSE - SENSEX Index Options'!$C:$C,$A280,'BSE - SENSEX Index Options'!$B:$B,C$147,'BSE - SENSEX Index Options'!$H:$H,"Weekly*")+SUMIFS('BSE - SENSEX Index Options'!$L:$L,'BSE - SENSEX Index Options'!$C:$C,$A280,'BSE - SENSEX Index Options'!$B:$B,C$147,'BSE - SENSEX Index Options'!$H:$H,"MDAW*")+SUMIFS('BSE - Other Index Options'!$L:$L,'BSE - Other Index Options'!$C:$C,$A280,'BSE - Other Index Options'!$B:$B,C$147,'BSE - Other Index Options'!$H:$H,"Weekly*")+SUMIFS('BSE - Other Index Options'!$L:$L,'BSE - Other Index Options'!$C:$C,$A280,'BSE - Other Index Options'!$B:$B,C$147,'BSE - Other Index Options'!$H:$H,"MDAW*")=0,"",SUMIFS('BSE - SENSEX Index Options'!$L:$L,'BSE - SENSEX Index Options'!$C:$C,$A280,'BSE - SENSEX Index Options'!$B:$B,C$147,'BSE - SENSEX Index Options'!$H:$H,"Weekly*")+SUMIFS('BSE - SENSEX Index Options'!$L:$L,'BSE - SENSEX Index Options'!$C:$C,$A280,'BSE - SENSEX Index Options'!$B:$B,C$147,'BSE - SENSEX Index Options'!$H:$H,"MDAW*")+SUMIFS('BSE - Other Index Options'!$L:$L,'BSE - Other Index Options'!$C:$C,$A280,'BSE - Other Index Options'!$B:$B,C$147,'BSE - Other Index Options'!$H:$H,"Weekly*")+SUMIFS('BSE - Other Index Options'!$L:$L,'BSE - Other Index Options'!$C:$C,$A280,'BSE - Other Index Options'!$B:$B,C$147,'BSE - Other Index Options'!$H:$H,"MDAW*"))</f>
        <v/>
      </c>
      <c r="D280" s="26" t="str">
        <f>IF(SUMIFS('BSE - SENSEX Index Options'!$L:$L,'BSE - SENSEX Index Options'!$C:$C,$A280,'BSE - SENSEX Index Options'!$B:$B,D$147,'BSE - SENSEX Index Options'!$H:$H,"Weekly*")+SUMIFS('BSE - SENSEX Index Options'!$L:$L,'BSE - SENSEX Index Options'!$C:$C,$A280,'BSE - SENSEX Index Options'!$B:$B,D$147,'BSE - SENSEX Index Options'!$H:$H,"MDAW*")+SUMIFS('BSE - Other Index Options'!$L:$L,'BSE - Other Index Options'!$C:$C,$A280,'BSE - Other Index Options'!$B:$B,D$147,'BSE - Other Index Options'!$H:$H,"Weekly*")+SUMIFS('BSE - Other Index Options'!$L:$L,'BSE - Other Index Options'!$C:$C,$A280,'BSE - Other Index Options'!$B:$B,D$147,'BSE - Other Index Options'!$H:$H,"MDAW*")=0,"",SUMIFS('BSE - SENSEX Index Options'!$L:$L,'BSE - SENSEX Index Options'!$C:$C,$A280,'BSE - SENSEX Index Options'!$B:$B,D$147,'BSE - SENSEX Index Options'!$H:$H,"Weekly*")+SUMIFS('BSE - SENSEX Index Options'!$L:$L,'BSE - SENSEX Index Options'!$C:$C,$A280,'BSE - SENSEX Index Options'!$B:$B,D$147,'BSE - SENSEX Index Options'!$H:$H,"MDAW*")+SUMIFS('BSE - Other Index Options'!$L:$L,'BSE - Other Index Options'!$C:$C,$A280,'BSE - Other Index Options'!$B:$B,D$147,'BSE - Other Index Options'!$H:$H,"Weekly*")+SUMIFS('BSE - Other Index Options'!$L:$L,'BSE - Other Index Options'!$C:$C,$A280,'BSE - Other Index Options'!$B:$B,D$147,'BSE - Other Index Options'!$H:$H,"MDAW*"))</f>
        <v/>
      </c>
      <c r="E280" s="26" t="str">
        <f>IF(SUMIFS('BSE - SENSEX Index Options'!$L:$L,'BSE - SENSEX Index Options'!$C:$C,$A280,'BSE - SENSEX Index Options'!$B:$B,E$147,'BSE - SENSEX Index Options'!$H:$H,"Weekly*")+SUMIFS('BSE - SENSEX Index Options'!$L:$L,'BSE - SENSEX Index Options'!$C:$C,$A280,'BSE - SENSEX Index Options'!$B:$B,E$147,'BSE - SENSEX Index Options'!$H:$H,"MDAW*")+SUMIFS('BSE - Other Index Options'!$L:$L,'BSE - Other Index Options'!$C:$C,$A280,'BSE - Other Index Options'!$B:$B,E$147,'BSE - Other Index Options'!$H:$H,"Weekly*")+SUMIFS('BSE - Other Index Options'!$L:$L,'BSE - Other Index Options'!$C:$C,$A280,'BSE - Other Index Options'!$B:$B,E$147,'BSE - Other Index Options'!$H:$H,"MDAW*")=0,"",SUMIFS('BSE - SENSEX Index Options'!$L:$L,'BSE - SENSEX Index Options'!$C:$C,$A280,'BSE - SENSEX Index Options'!$B:$B,E$147,'BSE - SENSEX Index Options'!$H:$H,"Weekly*")+SUMIFS('BSE - SENSEX Index Options'!$L:$L,'BSE - SENSEX Index Options'!$C:$C,$A280,'BSE - SENSEX Index Options'!$B:$B,E$147,'BSE - SENSEX Index Options'!$H:$H,"MDAW*")+SUMIFS('BSE - Other Index Options'!$L:$L,'BSE - Other Index Options'!$C:$C,$A280,'BSE - Other Index Options'!$B:$B,E$147,'BSE - Other Index Options'!$H:$H,"Weekly*")+SUMIFS('BSE - Other Index Options'!$L:$L,'BSE - Other Index Options'!$C:$C,$A280,'BSE - Other Index Options'!$B:$B,E$147,'BSE - Other Index Options'!$H:$H,"MDAW*"))</f>
        <v/>
      </c>
      <c r="F280" s="26" t="str">
        <f>IF(SUMIFS('BSE - SENSEX Index Options'!$L:$L,'BSE - SENSEX Index Options'!$C:$C,$A280,'BSE - SENSEX Index Options'!$B:$B,F$147,'BSE - SENSEX Index Options'!$H:$H,"Weekly*")+SUMIFS('BSE - SENSEX Index Options'!$L:$L,'BSE - SENSEX Index Options'!$C:$C,$A280,'BSE - SENSEX Index Options'!$B:$B,F$147,'BSE - SENSEX Index Options'!$H:$H,"MDAW*")+SUMIFS('BSE - Other Index Options'!$L:$L,'BSE - Other Index Options'!$C:$C,$A280,'BSE - Other Index Options'!$B:$B,F$147,'BSE - Other Index Options'!$H:$H,"Weekly*")+SUMIFS('BSE - Other Index Options'!$L:$L,'BSE - Other Index Options'!$C:$C,$A280,'BSE - Other Index Options'!$B:$B,F$147,'BSE - Other Index Options'!$H:$H,"MDAW*")=0,"",SUMIFS('BSE - SENSEX Index Options'!$L:$L,'BSE - SENSEX Index Options'!$C:$C,$A280,'BSE - SENSEX Index Options'!$B:$B,F$147,'BSE - SENSEX Index Options'!$H:$H,"Weekly*")+SUMIFS('BSE - SENSEX Index Options'!$L:$L,'BSE - SENSEX Index Options'!$C:$C,$A280,'BSE - SENSEX Index Options'!$B:$B,F$147,'BSE - SENSEX Index Options'!$H:$H,"MDAW*")+SUMIFS('BSE - Other Index Options'!$L:$L,'BSE - Other Index Options'!$C:$C,$A280,'BSE - Other Index Options'!$B:$B,F$147,'BSE - Other Index Options'!$H:$H,"Weekly*")+SUMIFS('BSE - Other Index Options'!$L:$L,'BSE - Other Index Options'!$C:$C,$A280,'BSE - Other Index Options'!$B:$B,F$147,'BSE - Other Index Options'!$H:$H,"MDAW*"))</f>
        <v/>
      </c>
      <c r="G280" s="26" t="str">
        <f>IF(SUMIFS('BSE - SENSEX Index Options'!$L:$L,'BSE - SENSEX Index Options'!$C:$C,$A280,'BSE - SENSEX Index Options'!$B:$B,G$147,'BSE - SENSEX Index Options'!$H:$H,"Weekly*")+SUMIFS('BSE - SENSEX Index Options'!$L:$L,'BSE - SENSEX Index Options'!$C:$C,$A280,'BSE - SENSEX Index Options'!$B:$B,G$147,'BSE - SENSEX Index Options'!$H:$H,"MDAW*")+SUMIFS('BSE - Other Index Options'!$L:$L,'BSE - Other Index Options'!$C:$C,$A280,'BSE - Other Index Options'!$B:$B,G$147,'BSE - Other Index Options'!$H:$H,"Weekly*")+SUMIFS('BSE - Other Index Options'!$L:$L,'BSE - Other Index Options'!$C:$C,$A280,'BSE - Other Index Options'!$B:$B,G$147,'BSE - Other Index Options'!$H:$H,"MDAW*")=0,"",SUMIFS('BSE - SENSEX Index Options'!$L:$L,'BSE - SENSEX Index Options'!$C:$C,$A280,'BSE - SENSEX Index Options'!$B:$B,G$147,'BSE - SENSEX Index Options'!$H:$H,"Weekly*")+SUMIFS('BSE - SENSEX Index Options'!$L:$L,'BSE - SENSEX Index Options'!$C:$C,$A280,'BSE - SENSEX Index Options'!$B:$B,G$147,'BSE - SENSEX Index Options'!$H:$H,"MDAW*")+SUMIFS('BSE - Other Index Options'!$L:$L,'BSE - Other Index Options'!$C:$C,$A280,'BSE - Other Index Options'!$B:$B,G$147,'BSE - Other Index Options'!$H:$H,"Weekly*")+SUMIFS('BSE - Other Index Options'!$L:$L,'BSE - Other Index Options'!$C:$C,$A280,'BSE - Other Index Options'!$B:$B,G$147,'BSE - Other Index Options'!$H:$H,"MDAW*"))</f>
        <v/>
      </c>
      <c r="H280" s="26" t="str">
        <f t="shared" si="10"/>
        <v/>
      </c>
    </row>
    <row r="281" spans="1:8" hidden="1" outlineLevel="1">
      <c r="A281" t="s">
        <v>143</v>
      </c>
      <c r="B281" s="26" t="str">
        <f>IF(SUMIFS('BSE - SENSEX Index Options'!$L:$L,'BSE - SENSEX Index Options'!$C:$C,$A281,'BSE - SENSEX Index Options'!$B:$B,B$147,'BSE - SENSEX Index Options'!$H:$H,"Weekly*")+SUMIFS('BSE - SENSEX Index Options'!$L:$L,'BSE - SENSEX Index Options'!$C:$C,$A281,'BSE - SENSEX Index Options'!$B:$B,B$147,'BSE - SENSEX Index Options'!$H:$H,"MDAW*")+SUMIFS('BSE - Other Index Options'!$L:$L,'BSE - Other Index Options'!$C:$C,$A281,'BSE - Other Index Options'!$B:$B,B$147,'BSE - Other Index Options'!$H:$H,"Weekly*")+SUMIFS('BSE - Other Index Options'!$L:$L,'BSE - Other Index Options'!$C:$C,$A281,'BSE - Other Index Options'!$B:$B,B$147,'BSE - Other Index Options'!$H:$H,"MDAW*")=0,"",SUMIFS('BSE - SENSEX Index Options'!$L:$L,'BSE - SENSEX Index Options'!$C:$C,$A281,'BSE - SENSEX Index Options'!$B:$B,B$147,'BSE - SENSEX Index Options'!$H:$H,"Weekly*")+SUMIFS('BSE - SENSEX Index Options'!$L:$L,'BSE - SENSEX Index Options'!$C:$C,$A281,'BSE - SENSEX Index Options'!$B:$B,B$147,'BSE - SENSEX Index Options'!$H:$H,"MDAW*")+SUMIFS('BSE - Other Index Options'!$L:$L,'BSE - Other Index Options'!$C:$C,$A281,'BSE - Other Index Options'!$B:$B,B$147,'BSE - Other Index Options'!$H:$H,"Weekly*")+SUMIFS('BSE - Other Index Options'!$L:$L,'BSE - Other Index Options'!$C:$C,$A281,'BSE - Other Index Options'!$B:$B,B$147,'BSE - Other Index Options'!$H:$H,"MDAW*"))</f>
        <v/>
      </c>
      <c r="C281" s="26" t="str">
        <f>IF(SUMIFS('BSE - SENSEX Index Options'!$L:$L,'BSE - SENSEX Index Options'!$C:$C,$A281,'BSE - SENSEX Index Options'!$B:$B,C$147,'BSE - SENSEX Index Options'!$H:$H,"Weekly*")+SUMIFS('BSE - SENSEX Index Options'!$L:$L,'BSE - SENSEX Index Options'!$C:$C,$A281,'BSE - SENSEX Index Options'!$B:$B,C$147,'BSE - SENSEX Index Options'!$H:$H,"MDAW*")+SUMIFS('BSE - Other Index Options'!$L:$L,'BSE - Other Index Options'!$C:$C,$A281,'BSE - Other Index Options'!$B:$B,C$147,'BSE - Other Index Options'!$H:$H,"Weekly*")+SUMIFS('BSE - Other Index Options'!$L:$L,'BSE - Other Index Options'!$C:$C,$A281,'BSE - Other Index Options'!$B:$B,C$147,'BSE - Other Index Options'!$H:$H,"MDAW*")=0,"",SUMIFS('BSE - SENSEX Index Options'!$L:$L,'BSE - SENSEX Index Options'!$C:$C,$A281,'BSE - SENSEX Index Options'!$B:$B,C$147,'BSE - SENSEX Index Options'!$H:$H,"Weekly*")+SUMIFS('BSE - SENSEX Index Options'!$L:$L,'BSE - SENSEX Index Options'!$C:$C,$A281,'BSE - SENSEX Index Options'!$B:$B,C$147,'BSE - SENSEX Index Options'!$H:$H,"MDAW*")+SUMIFS('BSE - Other Index Options'!$L:$L,'BSE - Other Index Options'!$C:$C,$A281,'BSE - Other Index Options'!$B:$B,C$147,'BSE - Other Index Options'!$H:$H,"Weekly*")+SUMIFS('BSE - Other Index Options'!$L:$L,'BSE - Other Index Options'!$C:$C,$A281,'BSE - Other Index Options'!$B:$B,C$147,'BSE - Other Index Options'!$H:$H,"MDAW*"))</f>
        <v/>
      </c>
      <c r="D281" s="26" t="str">
        <f>IF(SUMIFS('BSE - SENSEX Index Options'!$L:$L,'BSE - SENSEX Index Options'!$C:$C,$A281,'BSE - SENSEX Index Options'!$B:$B,D$147,'BSE - SENSEX Index Options'!$H:$H,"Weekly*")+SUMIFS('BSE - SENSEX Index Options'!$L:$L,'BSE - SENSEX Index Options'!$C:$C,$A281,'BSE - SENSEX Index Options'!$B:$B,D$147,'BSE - SENSEX Index Options'!$H:$H,"MDAW*")+SUMIFS('BSE - Other Index Options'!$L:$L,'BSE - Other Index Options'!$C:$C,$A281,'BSE - Other Index Options'!$B:$B,D$147,'BSE - Other Index Options'!$H:$H,"Weekly*")+SUMIFS('BSE - Other Index Options'!$L:$L,'BSE - Other Index Options'!$C:$C,$A281,'BSE - Other Index Options'!$B:$B,D$147,'BSE - Other Index Options'!$H:$H,"MDAW*")=0,"",SUMIFS('BSE - SENSEX Index Options'!$L:$L,'BSE - SENSEX Index Options'!$C:$C,$A281,'BSE - SENSEX Index Options'!$B:$B,D$147,'BSE - SENSEX Index Options'!$H:$H,"Weekly*")+SUMIFS('BSE - SENSEX Index Options'!$L:$L,'BSE - SENSEX Index Options'!$C:$C,$A281,'BSE - SENSEX Index Options'!$B:$B,D$147,'BSE - SENSEX Index Options'!$H:$H,"MDAW*")+SUMIFS('BSE - Other Index Options'!$L:$L,'BSE - Other Index Options'!$C:$C,$A281,'BSE - Other Index Options'!$B:$B,D$147,'BSE - Other Index Options'!$H:$H,"Weekly*")+SUMIFS('BSE - Other Index Options'!$L:$L,'BSE - Other Index Options'!$C:$C,$A281,'BSE - Other Index Options'!$B:$B,D$147,'BSE - Other Index Options'!$H:$H,"MDAW*"))</f>
        <v/>
      </c>
      <c r="E281" s="26" t="str">
        <f>IF(SUMIFS('BSE - SENSEX Index Options'!$L:$L,'BSE - SENSEX Index Options'!$C:$C,$A281,'BSE - SENSEX Index Options'!$B:$B,E$147,'BSE - SENSEX Index Options'!$H:$H,"Weekly*")+SUMIFS('BSE - SENSEX Index Options'!$L:$L,'BSE - SENSEX Index Options'!$C:$C,$A281,'BSE - SENSEX Index Options'!$B:$B,E$147,'BSE - SENSEX Index Options'!$H:$H,"MDAW*")+SUMIFS('BSE - Other Index Options'!$L:$L,'BSE - Other Index Options'!$C:$C,$A281,'BSE - Other Index Options'!$B:$B,E$147,'BSE - Other Index Options'!$H:$H,"Weekly*")+SUMIFS('BSE - Other Index Options'!$L:$L,'BSE - Other Index Options'!$C:$C,$A281,'BSE - Other Index Options'!$B:$B,E$147,'BSE - Other Index Options'!$H:$H,"MDAW*")=0,"",SUMIFS('BSE - SENSEX Index Options'!$L:$L,'BSE - SENSEX Index Options'!$C:$C,$A281,'BSE - SENSEX Index Options'!$B:$B,E$147,'BSE - SENSEX Index Options'!$H:$H,"Weekly*")+SUMIFS('BSE - SENSEX Index Options'!$L:$L,'BSE - SENSEX Index Options'!$C:$C,$A281,'BSE - SENSEX Index Options'!$B:$B,E$147,'BSE - SENSEX Index Options'!$H:$H,"MDAW*")+SUMIFS('BSE - Other Index Options'!$L:$L,'BSE - Other Index Options'!$C:$C,$A281,'BSE - Other Index Options'!$B:$B,E$147,'BSE - Other Index Options'!$H:$H,"Weekly*")+SUMIFS('BSE - Other Index Options'!$L:$L,'BSE - Other Index Options'!$C:$C,$A281,'BSE - Other Index Options'!$B:$B,E$147,'BSE - Other Index Options'!$H:$H,"MDAW*"))</f>
        <v/>
      </c>
      <c r="F281" s="26" t="str">
        <f>IF(SUMIFS('BSE - SENSEX Index Options'!$L:$L,'BSE - SENSEX Index Options'!$C:$C,$A281,'BSE - SENSEX Index Options'!$B:$B,F$147,'BSE - SENSEX Index Options'!$H:$H,"Weekly*")+SUMIFS('BSE - SENSEX Index Options'!$L:$L,'BSE - SENSEX Index Options'!$C:$C,$A281,'BSE - SENSEX Index Options'!$B:$B,F$147,'BSE - SENSEX Index Options'!$H:$H,"MDAW*")+SUMIFS('BSE - Other Index Options'!$L:$L,'BSE - Other Index Options'!$C:$C,$A281,'BSE - Other Index Options'!$B:$B,F$147,'BSE - Other Index Options'!$H:$H,"Weekly*")+SUMIFS('BSE - Other Index Options'!$L:$L,'BSE - Other Index Options'!$C:$C,$A281,'BSE - Other Index Options'!$B:$B,F$147,'BSE - Other Index Options'!$H:$H,"MDAW*")=0,"",SUMIFS('BSE - SENSEX Index Options'!$L:$L,'BSE - SENSEX Index Options'!$C:$C,$A281,'BSE - SENSEX Index Options'!$B:$B,F$147,'BSE - SENSEX Index Options'!$H:$H,"Weekly*")+SUMIFS('BSE - SENSEX Index Options'!$L:$L,'BSE - SENSEX Index Options'!$C:$C,$A281,'BSE - SENSEX Index Options'!$B:$B,F$147,'BSE - SENSEX Index Options'!$H:$H,"MDAW*")+SUMIFS('BSE - Other Index Options'!$L:$L,'BSE - Other Index Options'!$C:$C,$A281,'BSE - Other Index Options'!$B:$B,F$147,'BSE - Other Index Options'!$H:$H,"Weekly*")+SUMIFS('BSE - Other Index Options'!$L:$L,'BSE - Other Index Options'!$C:$C,$A281,'BSE - Other Index Options'!$B:$B,F$147,'BSE - Other Index Options'!$H:$H,"MDAW*"))</f>
        <v/>
      </c>
      <c r="G281" s="26" t="str">
        <f>IF(SUMIFS('BSE - SENSEX Index Options'!$L:$L,'BSE - SENSEX Index Options'!$C:$C,$A281,'BSE - SENSEX Index Options'!$B:$B,G$147,'BSE - SENSEX Index Options'!$H:$H,"Weekly*")+SUMIFS('BSE - SENSEX Index Options'!$L:$L,'BSE - SENSEX Index Options'!$C:$C,$A281,'BSE - SENSEX Index Options'!$B:$B,G$147,'BSE - SENSEX Index Options'!$H:$H,"MDAW*")+SUMIFS('BSE - Other Index Options'!$L:$L,'BSE - Other Index Options'!$C:$C,$A281,'BSE - Other Index Options'!$B:$B,G$147,'BSE - Other Index Options'!$H:$H,"Weekly*")+SUMIFS('BSE - Other Index Options'!$L:$L,'BSE - Other Index Options'!$C:$C,$A281,'BSE - Other Index Options'!$B:$B,G$147,'BSE - Other Index Options'!$H:$H,"MDAW*")=0,"",SUMIFS('BSE - SENSEX Index Options'!$L:$L,'BSE - SENSEX Index Options'!$C:$C,$A281,'BSE - SENSEX Index Options'!$B:$B,G$147,'BSE - SENSEX Index Options'!$H:$H,"Weekly*")+SUMIFS('BSE - SENSEX Index Options'!$L:$L,'BSE - SENSEX Index Options'!$C:$C,$A281,'BSE - SENSEX Index Options'!$B:$B,G$147,'BSE - SENSEX Index Options'!$H:$H,"MDAW*")+SUMIFS('BSE - Other Index Options'!$L:$L,'BSE - Other Index Options'!$C:$C,$A281,'BSE - Other Index Options'!$B:$B,G$147,'BSE - Other Index Options'!$H:$H,"Weekly*")+SUMIFS('BSE - Other Index Options'!$L:$L,'BSE - Other Index Options'!$C:$C,$A281,'BSE - Other Index Options'!$B:$B,G$147,'BSE - Other Index Options'!$H:$H,"MDAW*"))</f>
        <v/>
      </c>
      <c r="H281" s="26" t="str">
        <f t="shared" si="10"/>
        <v/>
      </c>
    </row>
    <row r="282" spans="1:8" hidden="1" outlineLevel="1">
      <c r="A282" t="s">
        <v>144</v>
      </c>
      <c r="B282" s="26" t="str">
        <f>IF(SUMIFS('BSE - SENSEX Index Options'!$L:$L,'BSE - SENSEX Index Options'!$C:$C,$A282,'BSE - SENSEX Index Options'!$B:$B,B$147,'BSE - SENSEX Index Options'!$H:$H,"Weekly*")+SUMIFS('BSE - SENSEX Index Options'!$L:$L,'BSE - SENSEX Index Options'!$C:$C,$A282,'BSE - SENSEX Index Options'!$B:$B,B$147,'BSE - SENSEX Index Options'!$H:$H,"MDAW*")+SUMIFS('BSE - Other Index Options'!$L:$L,'BSE - Other Index Options'!$C:$C,$A282,'BSE - Other Index Options'!$B:$B,B$147,'BSE - Other Index Options'!$H:$H,"Weekly*")+SUMIFS('BSE - Other Index Options'!$L:$L,'BSE - Other Index Options'!$C:$C,$A282,'BSE - Other Index Options'!$B:$B,B$147,'BSE - Other Index Options'!$H:$H,"MDAW*")=0,"",SUMIFS('BSE - SENSEX Index Options'!$L:$L,'BSE - SENSEX Index Options'!$C:$C,$A282,'BSE - SENSEX Index Options'!$B:$B,B$147,'BSE - SENSEX Index Options'!$H:$H,"Weekly*")+SUMIFS('BSE - SENSEX Index Options'!$L:$L,'BSE - SENSEX Index Options'!$C:$C,$A282,'BSE - SENSEX Index Options'!$B:$B,B$147,'BSE - SENSEX Index Options'!$H:$H,"MDAW*")+SUMIFS('BSE - Other Index Options'!$L:$L,'BSE - Other Index Options'!$C:$C,$A282,'BSE - Other Index Options'!$B:$B,B$147,'BSE - Other Index Options'!$H:$H,"Weekly*")+SUMIFS('BSE - Other Index Options'!$L:$L,'BSE - Other Index Options'!$C:$C,$A282,'BSE - Other Index Options'!$B:$B,B$147,'BSE - Other Index Options'!$H:$H,"MDAW*"))</f>
        <v/>
      </c>
      <c r="C282" s="26" t="str">
        <f>IF(SUMIFS('BSE - SENSEX Index Options'!$L:$L,'BSE - SENSEX Index Options'!$C:$C,$A282,'BSE - SENSEX Index Options'!$B:$B,C$147,'BSE - SENSEX Index Options'!$H:$H,"Weekly*")+SUMIFS('BSE - SENSEX Index Options'!$L:$L,'BSE - SENSEX Index Options'!$C:$C,$A282,'BSE - SENSEX Index Options'!$B:$B,C$147,'BSE - SENSEX Index Options'!$H:$H,"MDAW*")+SUMIFS('BSE - Other Index Options'!$L:$L,'BSE - Other Index Options'!$C:$C,$A282,'BSE - Other Index Options'!$B:$B,C$147,'BSE - Other Index Options'!$H:$H,"Weekly*")+SUMIFS('BSE - Other Index Options'!$L:$L,'BSE - Other Index Options'!$C:$C,$A282,'BSE - Other Index Options'!$B:$B,C$147,'BSE - Other Index Options'!$H:$H,"MDAW*")=0,"",SUMIFS('BSE - SENSEX Index Options'!$L:$L,'BSE - SENSEX Index Options'!$C:$C,$A282,'BSE - SENSEX Index Options'!$B:$B,C$147,'BSE - SENSEX Index Options'!$H:$H,"Weekly*")+SUMIFS('BSE - SENSEX Index Options'!$L:$L,'BSE - SENSEX Index Options'!$C:$C,$A282,'BSE - SENSEX Index Options'!$B:$B,C$147,'BSE - SENSEX Index Options'!$H:$H,"MDAW*")+SUMIFS('BSE - Other Index Options'!$L:$L,'BSE - Other Index Options'!$C:$C,$A282,'BSE - Other Index Options'!$B:$B,C$147,'BSE - Other Index Options'!$H:$H,"Weekly*")+SUMIFS('BSE - Other Index Options'!$L:$L,'BSE - Other Index Options'!$C:$C,$A282,'BSE - Other Index Options'!$B:$B,C$147,'BSE - Other Index Options'!$H:$H,"MDAW*"))</f>
        <v/>
      </c>
      <c r="D282" s="26" t="str">
        <f>IF(SUMIFS('BSE - SENSEX Index Options'!$L:$L,'BSE - SENSEX Index Options'!$C:$C,$A282,'BSE - SENSEX Index Options'!$B:$B,D$147,'BSE - SENSEX Index Options'!$H:$H,"Weekly*")+SUMIFS('BSE - SENSEX Index Options'!$L:$L,'BSE - SENSEX Index Options'!$C:$C,$A282,'BSE - SENSEX Index Options'!$B:$B,D$147,'BSE - SENSEX Index Options'!$H:$H,"MDAW*")+SUMIFS('BSE - Other Index Options'!$L:$L,'BSE - Other Index Options'!$C:$C,$A282,'BSE - Other Index Options'!$B:$B,D$147,'BSE - Other Index Options'!$H:$H,"Weekly*")+SUMIFS('BSE - Other Index Options'!$L:$L,'BSE - Other Index Options'!$C:$C,$A282,'BSE - Other Index Options'!$B:$B,D$147,'BSE - Other Index Options'!$H:$H,"MDAW*")=0,"",SUMIFS('BSE - SENSEX Index Options'!$L:$L,'BSE - SENSEX Index Options'!$C:$C,$A282,'BSE - SENSEX Index Options'!$B:$B,D$147,'BSE - SENSEX Index Options'!$H:$H,"Weekly*")+SUMIFS('BSE - SENSEX Index Options'!$L:$L,'BSE - SENSEX Index Options'!$C:$C,$A282,'BSE - SENSEX Index Options'!$B:$B,D$147,'BSE - SENSEX Index Options'!$H:$H,"MDAW*")+SUMIFS('BSE - Other Index Options'!$L:$L,'BSE - Other Index Options'!$C:$C,$A282,'BSE - Other Index Options'!$B:$B,D$147,'BSE - Other Index Options'!$H:$H,"Weekly*")+SUMIFS('BSE - Other Index Options'!$L:$L,'BSE - Other Index Options'!$C:$C,$A282,'BSE - Other Index Options'!$B:$B,D$147,'BSE - Other Index Options'!$H:$H,"MDAW*"))</f>
        <v/>
      </c>
      <c r="E282" s="26" t="str">
        <f>IF(SUMIFS('BSE - SENSEX Index Options'!$L:$L,'BSE - SENSEX Index Options'!$C:$C,$A282,'BSE - SENSEX Index Options'!$B:$B,E$147,'BSE - SENSEX Index Options'!$H:$H,"Weekly*")+SUMIFS('BSE - SENSEX Index Options'!$L:$L,'BSE - SENSEX Index Options'!$C:$C,$A282,'BSE - SENSEX Index Options'!$B:$B,E$147,'BSE - SENSEX Index Options'!$H:$H,"MDAW*")+SUMIFS('BSE - Other Index Options'!$L:$L,'BSE - Other Index Options'!$C:$C,$A282,'BSE - Other Index Options'!$B:$B,E$147,'BSE - Other Index Options'!$H:$H,"Weekly*")+SUMIFS('BSE - Other Index Options'!$L:$L,'BSE - Other Index Options'!$C:$C,$A282,'BSE - Other Index Options'!$B:$B,E$147,'BSE - Other Index Options'!$H:$H,"MDAW*")=0,"",SUMIFS('BSE - SENSEX Index Options'!$L:$L,'BSE - SENSEX Index Options'!$C:$C,$A282,'BSE - SENSEX Index Options'!$B:$B,E$147,'BSE - SENSEX Index Options'!$H:$H,"Weekly*")+SUMIFS('BSE - SENSEX Index Options'!$L:$L,'BSE - SENSEX Index Options'!$C:$C,$A282,'BSE - SENSEX Index Options'!$B:$B,E$147,'BSE - SENSEX Index Options'!$H:$H,"MDAW*")+SUMIFS('BSE - Other Index Options'!$L:$L,'BSE - Other Index Options'!$C:$C,$A282,'BSE - Other Index Options'!$B:$B,E$147,'BSE - Other Index Options'!$H:$H,"Weekly*")+SUMIFS('BSE - Other Index Options'!$L:$L,'BSE - Other Index Options'!$C:$C,$A282,'BSE - Other Index Options'!$B:$B,E$147,'BSE - Other Index Options'!$H:$H,"MDAW*"))</f>
        <v/>
      </c>
      <c r="F282" s="26" t="str">
        <f>IF(SUMIFS('BSE - SENSEX Index Options'!$L:$L,'BSE - SENSEX Index Options'!$C:$C,$A282,'BSE - SENSEX Index Options'!$B:$B,F$147,'BSE - SENSEX Index Options'!$H:$H,"Weekly*")+SUMIFS('BSE - SENSEX Index Options'!$L:$L,'BSE - SENSEX Index Options'!$C:$C,$A282,'BSE - SENSEX Index Options'!$B:$B,F$147,'BSE - SENSEX Index Options'!$H:$H,"MDAW*")+SUMIFS('BSE - Other Index Options'!$L:$L,'BSE - Other Index Options'!$C:$C,$A282,'BSE - Other Index Options'!$B:$B,F$147,'BSE - Other Index Options'!$H:$H,"Weekly*")+SUMIFS('BSE - Other Index Options'!$L:$L,'BSE - Other Index Options'!$C:$C,$A282,'BSE - Other Index Options'!$B:$B,F$147,'BSE - Other Index Options'!$H:$H,"MDAW*")=0,"",SUMIFS('BSE - SENSEX Index Options'!$L:$L,'BSE - SENSEX Index Options'!$C:$C,$A282,'BSE - SENSEX Index Options'!$B:$B,F$147,'BSE - SENSEX Index Options'!$H:$H,"Weekly*")+SUMIFS('BSE - SENSEX Index Options'!$L:$L,'BSE - SENSEX Index Options'!$C:$C,$A282,'BSE - SENSEX Index Options'!$B:$B,F$147,'BSE - SENSEX Index Options'!$H:$H,"MDAW*")+SUMIFS('BSE - Other Index Options'!$L:$L,'BSE - Other Index Options'!$C:$C,$A282,'BSE - Other Index Options'!$B:$B,F$147,'BSE - Other Index Options'!$H:$H,"Weekly*")+SUMIFS('BSE - Other Index Options'!$L:$L,'BSE - Other Index Options'!$C:$C,$A282,'BSE - Other Index Options'!$B:$B,F$147,'BSE - Other Index Options'!$H:$H,"MDAW*"))</f>
        <v/>
      </c>
      <c r="G282" s="26" t="str">
        <f>IF(SUMIFS('BSE - SENSEX Index Options'!$L:$L,'BSE - SENSEX Index Options'!$C:$C,$A282,'BSE - SENSEX Index Options'!$B:$B,G$147,'BSE - SENSEX Index Options'!$H:$H,"Weekly*")+SUMIFS('BSE - SENSEX Index Options'!$L:$L,'BSE - SENSEX Index Options'!$C:$C,$A282,'BSE - SENSEX Index Options'!$B:$B,G$147,'BSE - SENSEX Index Options'!$H:$H,"MDAW*")+SUMIFS('BSE - Other Index Options'!$L:$L,'BSE - Other Index Options'!$C:$C,$A282,'BSE - Other Index Options'!$B:$B,G$147,'BSE - Other Index Options'!$H:$H,"Weekly*")+SUMIFS('BSE - Other Index Options'!$L:$L,'BSE - Other Index Options'!$C:$C,$A282,'BSE - Other Index Options'!$B:$B,G$147,'BSE - Other Index Options'!$H:$H,"MDAW*")=0,"",SUMIFS('BSE - SENSEX Index Options'!$L:$L,'BSE - SENSEX Index Options'!$C:$C,$A282,'BSE - SENSEX Index Options'!$B:$B,G$147,'BSE - SENSEX Index Options'!$H:$H,"Weekly*")+SUMIFS('BSE - SENSEX Index Options'!$L:$L,'BSE - SENSEX Index Options'!$C:$C,$A282,'BSE - SENSEX Index Options'!$B:$B,G$147,'BSE - SENSEX Index Options'!$H:$H,"MDAW*")+SUMIFS('BSE - Other Index Options'!$L:$L,'BSE - Other Index Options'!$C:$C,$A282,'BSE - Other Index Options'!$B:$B,G$147,'BSE - Other Index Options'!$H:$H,"Weekly*")+SUMIFS('BSE - Other Index Options'!$L:$L,'BSE - Other Index Options'!$C:$C,$A282,'BSE - Other Index Options'!$B:$B,G$147,'BSE - Other Index Options'!$H:$H,"MDAW*"))</f>
        <v/>
      </c>
      <c r="H282" s="26" t="str">
        <f t="shared" si="10"/>
        <v/>
      </c>
    </row>
    <row r="283" spans="1:8" hidden="1" outlineLevel="1">
      <c r="A283" t="s">
        <v>145</v>
      </c>
      <c r="B283" s="26" t="str">
        <f>IF(SUMIFS('BSE - SENSEX Index Options'!$L:$L,'BSE - SENSEX Index Options'!$C:$C,$A283,'BSE - SENSEX Index Options'!$B:$B,B$147,'BSE - SENSEX Index Options'!$H:$H,"Weekly*")+SUMIFS('BSE - SENSEX Index Options'!$L:$L,'BSE - SENSEX Index Options'!$C:$C,$A283,'BSE - SENSEX Index Options'!$B:$B,B$147,'BSE - SENSEX Index Options'!$H:$H,"MDAW*")+SUMIFS('BSE - Other Index Options'!$L:$L,'BSE - Other Index Options'!$C:$C,$A283,'BSE - Other Index Options'!$B:$B,B$147,'BSE - Other Index Options'!$H:$H,"Weekly*")+SUMIFS('BSE - Other Index Options'!$L:$L,'BSE - Other Index Options'!$C:$C,$A283,'BSE - Other Index Options'!$B:$B,B$147,'BSE - Other Index Options'!$H:$H,"MDAW*")=0,"",SUMIFS('BSE - SENSEX Index Options'!$L:$L,'BSE - SENSEX Index Options'!$C:$C,$A283,'BSE - SENSEX Index Options'!$B:$B,B$147,'BSE - SENSEX Index Options'!$H:$H,"Weekly*")+SUMIFS('BSE - SENSEX Index Options'!$L:$L,'BSE - SENSEX Index Options'!$C:$C,$A283,'BSE - SENSEX Index Options'!$B:$B,B$147,'BSE - SENSEX Index Options'!$H:$H,"MDAW*")+SUMIFS('BSE - Other Index Options'!$L:$L,'BSE - Other Index Options'!$C:$C,$A283,'BSE - Other Index Options'!$B:$B,B$147,'BSE - Other Index Options'!$H:$H,"Weekly*")+SUMIFS('BSE - Other Index Options'!$L:$L,'BSE - Other Index Options'!$C:$C,$A283,'BSE - Other Index Options'!$B:$B,B$147,'BSE - Other Index Options'!$H:$H,"MDAW*"))</f>
        <v/>
      </c>
      <c r="C283" s="26" t="str">
        <f>IF(SUMIFS('BSE - SENSEX Index Options'!$L:$L,'BSE - SENSEX Index Options'!$C:$C,$A283,'BSE - SENSEX Index Options'!$B:$B,C$147,'BSE - SENSEX Index Options'!$H:$H,"Weekly*")+SUMIFS('BSE - SENSEX Index Options'!$L:$L,'BSE - SENSEX Index Options'!$C:$C,$A283,'BSE - SENSEX Index Options'!$B:$B,C$147,'BSE - SENSEX Index Options'!$H:$H,"MDAW*")+SUMIFS('BSE - Other Index Options'!$L:$L,'BSE - Other Index Options'!$C:$C,$A283,'BSE - Other Index Options'!$B:$B,C$147,'BSE - Other Index Options'!$H:$H,"Weekly*")+SUMIFS('BSE - Other Index Options'!$L:$L,'BSE - Other Index Options'!$C:$C,$A283,'BSE - Other Index Options'!$B:$B,C$147,'BSE - Other Index Options'!$H:$H,"MDAW*")=0,"",SUMIFS('BSE - SENSEX Index Options'!$L:$L,'BSE - SENSEX Index Options'!$C:$C,$A283,'BSE - SENSEX Index Options'!$B:$B,C$147,'BSE - SENSEX Index Options'!$H:$H,"Weekly*")+SUMIFS('BSE - SENSEX Index Options'!$L:$L,'BSE - SENSEX Index Options'!$C:$C,$A283,'BSE - SENSEX Index Options'!$B:$B,C$147,'BSE - SENSEX Index Options'!$H:$H,"MDAW*")+SUMIFS('BSE - Other Index Options'!$L:$L,'BSE - Other Index Options'!$C:$C,$A283,'BSE - Other Index Options'!$B:$B,C$147,'BSE - Other Index Options'!$H:$H,"Weekly*")+SUMIFS('BSE - Other Index Options'!$L:$L,'BSE - Other Index Options'!$C:$C,$A283,'BSE - Other Index Options'!$B:$B,C$147,'BSE - Other Index Options'!$H:$H,"MDAW*"))</f>
        <v/>
      </c>
      <c r="D283" s="26" t="str">
        <f>IF(SUMIFS('BSE - SENSEX Index Options'!$L:$L,'BSE - SENSEX Index Options'!$C:$C,$A283,'BSE - SENSEX Index Options'!$B:$B,D$147,'BSE - SENSEX Index Options'!$H:$H,"Weekly*")+SUMIFS('BSE - SENSEX Index Options'!$L:$L,'BSE - SENSEX Index Options'!$C:$C,$A283,'BSE - SENSEX Index Options'!$B:$B,D$147,'BSE - SENSEX Index Options'!$H:$H,"MDAW*")+SUMIFS('BSE - Other Index Options'!$L:$L,'BSE - Other Index Options'!$C:$C,$A283,'BSE - Other Index Options'!$B:$B,D$147,'BSE - Other Index Options'!$H:$H,"Weekly*")+SUMIFS('BSE - Other Index Options'!$L:$L,'BSE - Other Index Options'!$C:$C,$A283,'BSE - Other Index Options'!$B:$B,D$147,'BSE - Other Index Options'!$H:$H,"MDAW*")=0,"",SUMIFS('BSE - SENSEX Index Options'!$L:$L,'BSE - SENSEX Index Options'!$C:$C,$A283,'BSE - SENSEX Index Options'!$B:$B,D$147,'BSE - SENSEX Index Options'!$H:$H,"Weekly*")+SUMIFS('BSE - SENSEX Index Options'!$L:$L,'BSE - SENSEX Index Options'!$C:$C,$A283,'BSE - SENSEX Index Options'!$B:$B,D$147,'BSE - SENSEX Index Options'!$H:$H,"MDAW*")+SUMIFS('BSE - Other Index Options'!$L:$L,'BSE - Other Index Options'!$C:$C,$A283,'BSE - Other Index Options'!$B:$B,D$147,'BSE - Other Index Options'!$H:$H,"Weekly*")+SUMIFS('BSE - Other Index Options'!$L:$L,'BSE - Other Index Options'!$C:$C,$A283,'BSE - Other Index Options'!$B:$B,D$147,'BSE - Other Index Options'!$H:$H,"MDAW*"))</f>
        <v/>
      </c>
      <c r="E283" s="26" t="str">
        <f>IF(SUMIFS('BSE - SENSEX Index Options'!$L:$L,'BSE - SENSEX Index Options'!$C:$C,$A283,'BSE - SENSEX Index Options'!$B:$B,E$147,'BSE - SENSEX Index Options'!$H:$H,"Weekly*")+SUMIFS('BSE - SENSEX Index Options'!$L:$L,'BSE - SENSEX Index Options'!$C:$C,$A283,'BSE - SENSEX Index Options'!$B:$B,E$147,'BSE - SENSEX Index Options'!$H:$H,"MDAW*")+SUMIFS('BSE - Other Index Options'!$L:$L,'BSE - Other Index Options'!$C:$C,$A283,'BSE - Other Index Options'!$B:$B,E$147,'BSE - Other Index Options'!$H:$H,"Weekly*")+SUMIFS('BSE - Other Index Options'!$L:$L,'BSE - Other Index Options'!$C:$C,$A283,'BSE - Other Index Options'!$B:$B,E$147,'BSE - Other Index Options'!$H:$H,"MDAW*")=0,"",SUMIFS('BSE - SENSEX Index Options'!$L:$L,'BSE - SENSEX Index Options'!$C:$C,$A283,'BSE - SENSEX Index Options'!$B:$B,E$147,'BSE - SENSEX Index Options'!$H:$H,"Weekly*")+SUMIFS('BSE - SENSEX Index Options'!$L:$L,'BSE - SENSEX Index Options'!$C:$C,$A283,'BSE - SENSEX Index Options'!$B:$B,E$147,'BSE - SENSEX Index Options'!$H:$H,"MDAW*")+SUMIFS('BSE - Other Index Options'!$L:$L,'BSE - Other Index Options'!$C:$C,$A283,'BSE - Other Index Options'!$B:$B,E$147,'BSE - Other Index Options'!$H:$H,"Weekly*")+SUMIFS('BSE - Other Index Options'!$L:$L,'BSE - Other Index Options'!$C:$C,$A283,'BSE - Other Index Options'!$B:$B,E$147,'BSE - Other Index Options'!$H:$H,"MDAW*"))</f>
        <v/>
      </c>
      <c r="F283" s="26" t="str">
        <f>IF(SUMIFS('BSE - SENSEX Index Options'!$L:$L,'BSE - SENSEX Index Options'!$C:$C,$A283,'BSE - SENSEX Index Options'!$B:$B,F$147,'BSE - SENSEX Index Options'!$H:$H,"Weekly*")+SUMIFS('BSE - SENSEX Index Options'!$L:$L,'BSE - SENSEX Index Options'!$C:$C,$A283,'BSE - SENSEX Index Options'!$B:$B,F$147,'BSE - SENSEX Index Options'!$H:$H,"MDAW*")+SUMIFS('BSE - Other Index Options'!$L:$L,'BSE - Other Index Options'!$C:$C,$A283,'BSE - Other Index Options'!$B:$B,F$147,'BSE - Other Index Options'!$H:$H,"Weekly*")+SUMIFS('BSE - Other Index Options'!$L:$L,'BSE - Other Index Options'!$C:$C,$A283,'BSE - Other Index Options'!$B:$B,F$147,'BSE - Other Index Options'!$H:$H,"MDAW*")=0,"",SUMIFS('BSE - SENSEX Index Options'!$L:$L,'BSE - SENSEX Index Options'!$C:$C,$A283,'BSE - SENSEX Index Options'!$B:$B,F$147,'BSE - SENSEX Index Options'!$H:$H,"Weekly*")+SUMIFS('BSE - SENSEX Index Options'!$L:$L,'BSE - SENSEX Index Options'!$C:$C,$A283,'BSE - SENSEX Index Options'!$B:$B,F$147,'BSE - SENSEX Index Options'!$H:$H,"MDAW*")+SUMIFS('BSE - Other Index Options'!$L:$L,'BSE - Other Index Options'!$C:$C,$A283,'BSE - Other Index Options'!$B:$B,F$147,'BSE - Other Index Options'!$H:$H,"Weekly*")+SUMIFS('BSE - Other Index Options'!$L:$L,'BSE - Other Index Options'!$C:$C,$A283,'BSE - Other Index Options'!$B:$B,F$147,'BSE - Other Index Options'!$H:$H,"MDAW*"))</f>
        <v/>
      </c>
      <c r="G283" s="26" t="str">
        <f>IF(SUMIFS('BSE - SENSEX Index Options'!$L:$L,'BSE - SENSEX Index Options'!$C:$C,$A283,'BSE - SENSEX Index Options'!$B:$B,G$147,'BSE - SENSEX Index Options'!$H:$H,"Weekly*")+SUMIFS('BSE - SENSEX Index Options'!$L:$L,'BSE - SENSEX Index Options'!$C:$C,$A283,'BSE - SENSEX Index Options'!$B:$B,G$147,'BSE - SENSEX Index Options'!$H:$H,"MDAW*")+SUMIFS('BSE - Other Index Options'!$L:$L,'BSE - Other Index Options'!$C:$C,$A283,'BSE - Other Index Options'!$B:$B,G$147,'BSE - Other Index Options'!$H:$H,"Weekly*")+SUMIFS('BSE - Other Index Options'!$L:$L,'BSE - Other Index Options'!$C:$C,$A283,'BSE - Other Index Options'!$B:$B,G$147,'BSE - Other Index Options'!$H:$H,"MDAW*")=0,"",SUMIFS('BSE - SENSEX Index Options'!$L:$L,'BSE - SENSEX Index Options'!$C:$C,$A283,'BSE - SENSEX Index Options'!$B:$B,G$147,'BSE - SENSEX Index Options'!$H:$H,"Weekly*")+SUMIFS('BSE - SENSEX Index Options'!$L:$L,'BSE - SENSEX Index Options'!$C:$C,$A283,'BSE - SENSEX Index Options'!$B:$B,G$147,'BSE - SENSEX Index Options'!$H:$H,"MDAW*")+SUMIFS('BSE - Other Index Options'!$L:$L,'BSE - Other Index Options'!$C:$C,$A283,'BSE - Other Index Options'!$B:$B,G$147,'BSE - Other Index Options'!$H:$H,"Weekly*")+SUMIFS('BSE - Other Index Options'!$L:$L,'BSE - Other Index Options'!$C:$C,$A283,'BSE - Other Index Options'!$B:$B,G$147,'BSE - Other Index Options'!$H:$H,"MDAW*"))</f>
        <v/>
      </c>
      <c r="H283" s="26" t="str">
        <f t="shared" si="10"/>
        <v/>
      </c>
    </row>
    <row r="284" spans="1:8" hidden="1" outlineLevel="1">
      <c r="A284" t="s">
        <v>146</v>
      </c>
      <c r="B284" s="26" t="str">
        <f>IF(SUMIFS('BSE - SENSEX Index Options'!$L:$L,'BSE - SENSEX Index Options'!$C:$C,$A284,'BSE - SENSEX Index Options'!$B:$B,B$147,'BSE - SENSEX Index Options'!$H:$H,"Weekly*")+SUMIFS('BSE - SENSEX Index Options'!$L:$L,'BSE - SENSEX Index Options'!$C:$C,$A284,'BSE - SENSEX Index Options'!$B:$B,B$147,'BSE - SENSEX Index Options'!$H:$H,"MDAW*")+SUMIFS('BSE - Other Index Options'!$L:$L,'BSE - Other Index Options'!$C:$C,$A284,'BSE - Other Index Options'!$B:$B,B$147,'BSE - Other Index Options'!$H:$H,"Weekly*")+SUMIFS('BSE - Other Index Options'!$L:$L,'BSE - Other Index Options'!$C:$C,$A284,'BSE - Other Index Options'!$B:$B,B$147,'BSE - Other Index Options'!$H:$H,"MDAW*")=0,"",SUMIFS('BSE - SENSEX Index Options'!$L:$L,'BSE - SENSEX Index Options'!$C:$C,$A284,'BSE - SENSEX Index Options'!$B:$B,B$147,'BSE - SENSEX Index Options'!$H:$H,"Weekly*")+SUMIFS('BSE - SENSEX Index Options'!$L:$L,'BSE - SENSEX Index Options'!$C:$C,$A284,'BSE - SENSEX Index Options'!$B:$B,B$147,'BSE - SENSEX Index Options'!$H:$H,"MDAW*")+SUMIFS('BSE - Other Index Options'!$L:$L,'BSE - Other Index Options'!$C:$C,$A284,'BSE - Other Index Options'!$B:$B,B$147,'BSE - Other Index Options'!$H:$H,"Weekly*")+SUMIFS('BSE - Other Index Options'!$L:$L,'BSE - Other Index Options'!$C:$C,$A284,'BSE - Other Index Options'!$B:$B,B$147,'BSE - Other Index Options'!$H:$H,"MDAW*"))</f>
        <v/>
      </c>
      <c r="C284" s="26" t="str">
        <f>IF(SUMIFS('BSE - SENSEX Index Options'!$L:$L,'BSE - SENSEX Index Options'!$C:$C,$A284,'BSE - SENSEX Index Options'!$B:$B,C$147,'BSE - SENSEX Index Options'!$H:$H,"Weekly*")+SUMIFS('BSE - SENSEX Index Options'!$L:$L,'BSE - SENSEX Index Options'!$C:$C,$A284,'BSE - SENSEX Index Options'!$B:$B,C$147,'BSE - SENSEX Index Options'!$H:$H,"MDAW*")+SUMIFS('BSE - Other Index Options'!$L:$L,'BSE - Other Index Options'!$C:$C,$A284,'BSE - Other Index Options'!$B:$B,C$147,'BSE - Other Index Options'!$H:$H,"Weekly*")+SUMIFS('BSE - Other Index Options'!$L:$L,'BSE - Other Index Options'!$C:$C,$A284,'BSE - Other Index Options'!$B:$B,C$147,'BSE - Other Index Options'!$H:$H,"MDAW*")=0,"",SUMIFS('BSE - SENSEX Index Options'!$L:$L,'BSE - SENSEX Index Options'!$C:$C,$A284,'BSE - SENSEX Index Options'!$B:$B,C$147,'BSE - SENSEX Index Options'!$H:$H,"Weekly*")+SUMIFS('BSE - SENSEX Index Options'!$L:$L,'BSE - SENSEX Index Options'!$C:$C,$A284,'BSE - SENSEX Index Options'!$B:$B,C$147,'BSE - SENSEX Index Options'!$H:$H,"MDAW*")+SUMIFS('BSE - Other Index Options'!$L:$L,'BSE - Other Index Options'!$C:$C,$A284,'BSE - Other Index Options'!$B:$B,C$147,'BSE - Other Index Options'!$H:$H,"Weekly*")+SUMIFS('BSE - Other Index Options'!$L:$L,'BSE - Other Index Options'!$C:$C,$A284,'BSE - Other Index Options'!$B:$B,C$147,'BSE - Other Index Options'!$H:$H,"MDAW*"))</f>
        <v/>
      </c>
      <c r="D284" s="26" t="str">
        <f>IF(SUMIFS('BSE - SENSEX Index Options'!$L:$L,'BSE - SENSEX Index Options'!$C:$C,$A284,'BSE - SENSEX Index Options'!$B:$B,D$147,'BSE - SENSEX Index Options'!$H:$H,"Weekly*")+SUMIFS('BSE - SENSEX Index Options'!$L:$L,'BSE - SENSEX Index Options'!$C:$C,$A284,'BSE - SENSEX Index Options'!$B:$B,D$147,'BSE - SENSEX Index Options'!$H:$H,"MDAW*")+SUMIFS('BSE - Other Index Options'!$L:$L,'BSE - Other Index Options'!$C:$C,$A284,'BSE - Other Index Options'!$B:$B,D$147,'BSE - Other Index Options'!$H:$H,"Weekly*")+SUMIFS('BSE - Other Index Options'!$L:$L,'BSE - Other Index Options'!$C:$C,$A284,'BSE - Other Index Options'!$B:$B,D$147,'BSE - Other Index Options'!$H:$H,"MDAW*")=0,"",SUMIFS('BSE - SENSEX Index Options'!$L:$L,'BSE - SENSEX Index Options'!$C:$C,$A284,'BSE - SENSEX Index Options'!$B:$B,D$147,'BSE - SENSEX Index Options'!$H:$H,"Weekly*")+SUMIFS('BSE - SENSEX Index Options'!$L:$L,'BSE - SENSEX Index Options'!$C:$C,$A284,'BSE - SENSEX Index Options'!$B:$B,D$147,'BSE - SENSEX Index Options'!$H:$H,"MDAW*")+SUMIFS('BSE - Other Index Options'!$L:$L,'BSE - Other Index Options'!$C:$C,$A284,'BSE - Other Index Options'!$B:$B,D$147,'BSE - Other Index Options'!$H:$H,"Weekly*")+SUMIFS('BSE - Other Index Options'!$L:$L,'BSE - Other Index Options'!$C:$C,$A284,'BSE - Other Index Options'!$B:$B,D$147,'BSE - Other Index Options'!$H:$H,"MDAW*"))</f>
        <v/>
      </c>
      <c r="E284" s="26" t="str">
        <f>IF(SUMIFS('BSE - SENSEX Index Options'!$L:$L,'BSE - SENSEX Index Options'!$C:$C,$A284,'BSE - SENSEX Index Options'!$B:$B,E$147,'BSE - SENSEX Index Options'!$H:$H,"Weekly*")+SUMIFS('BSE - SENSEX Index Options'!$L:$L,'BSE - SENSEX Index Options'!$C:$C,$A284,'BSE - SENSEX Index Options'!$B:$B,E$147,'BSE - SENSEX Index Options'!$H:$H,"MDAW*")+SUMIFS('BSE - Other Index Options'!$L:$L,'BSE - Other Index Options'!$C:$C,$A284,'BSE - Other Index Options'!$B:$B,E$147,'BSE - Other Index Options'!$H:$H,"Weekly*")+SUMIFS('BSE - Other Index Options'!$L:$L,'BSE - Other Index Options'!$C:$C,$A284,'BSE - Other Index Options'!$B:$B,E$147,'BSE - Other Index Options'!$H:$H,"MDAW*")=0,"",SUMIFS('BSE - SENSEX Index Options'!$L:$L,'BSE - SENSEX Index Options'!$C:$C,$A284,'BSE - SENSEX Index Options'!$B:$B,E$147,'BSE - SENSEX Index Options'!$H:$H,"Weekly*")+SUMIFS('BSE - SENSEX Index Options'!$L:$L,'BSE - SENSEX Index Options'!$C:$C,$A284,'BSE - SENSEX Index Options'!$B:$B,E$147,'BSE - SENSEX Index Options'!$H:$H,"MDAW*")+SUMIFS('BSE - Other Index Options'!$L:$L,'BSE - Other Index Options'!$C:$C,$A284,'BSE - Other Index Options'!$B:$B,E$147,'BSE - Other Index Options'!$H:$H,"Weekly*")+SUMIFS('BSE - Other Index Options'!$L:$L,'BSE - Other Index Options'!$C:$C,$A284,'BSE - Other Index Options'!$B:$B,E$147,'BSE - Other Index Options'!$H:$H,"MDAW*"))</f>
        <v/>
      </c>
      <c r="F284" s="26" t="str">
        <f>IF(SUMIFS('BSE - SENSEX Index Options'!$L:$L,'BSE - SENSEX Index Options'!$C:$C,$A284,'BSE - SENSEX Index Options'!$B:$B,F$147,'BSE - SENSEX Index Options'!$H:$H,"Weekly*")+SUMIFS('BSE - SENSEX Index Options'!$L:$L,'BSE - SENSEX Index Options'!$C:$C,$A284,'BSE - SENSEX Index Options'!$B:$B,F$147,'BSE - SENSEX Index Options'!$H:$H,"MDAW*")+SUMIFS('BSE - Other Index Options'!$L:$L,'BSE - Other Index Options'!$C:$C,$A284,'BSE - Other Index Options'!$B:$B,F$147,'BSE - Other Index Options'!$H:$H,"Weekly*")+SUMIFS('BSE - Other Index Options'!$L:$L,'BSE - Other Index Options'!$C:$C,$A284,'BSE - Other Index Options'!$B:$B,F$147,'BSE - Other Index Options'!$H:$H,"MDAW*")=0,"",SUMIFS('BSE - SENSEX Index Options'!$L:$L,'BSE - SENSEX Index Options'!$C:$C,$A284,'BSE - SENSEX Index Options'!$B:$B,F$147,'BSE - SENSEX Index Options'!$H:$H,"Weekly*")+SUMIFS('BSE - SENSEX Index Options'!$L:$L,'BSE - SENSEX Index Options'!$C:$C,$A284,'BSE - SENSEX Index Options'!$B:$B,F$147,'BSE - SENSEX Index Options'!$H:$H,"MDAW*")+SUMIFS('BSE - Other Index Options'!$L:$L,'BSE - Other Index Options'!$C:$C,$A284,'BSE - Other Index Options'!$B:$B,F$147,'BSE - Other Index Options'!$H:$H,"Weekly*")+SUMIFS('BSE - Other Index Options'!$L:$L,'BSE - Other Index Options'!$C:$C,$A284,'BSE - Other Index Options'!$B:$B,F$147,'BSE - Other Index Options'!$H:$H,"MDAW*"))</f>
        <v/>
      </c>
      <c r="G284" s="26" t="str">
        <f>IF(SUMIFS('BSE - SENSEX Index Options'!$L:$L,'BSE - SENSEX Index Options'!$C:$C,$A284,'BSE - SENSEX Index Options'!$B:$B,G$147,'BSE - SENSEX Index Options'!$H:$H,"Weekly*")+SUMIFS('BSE - SENSEX Index Options'!$L:$L,'BSE - SENSEX Index Options'!$C:$C,$A284,'BSE - SENSEX Index Options'!$B:$B,G$147,'BSE - SENSEX Index Options'!$H:$H,"MDAW*")+SUMIFS('BSE - Other Index Options'!$L:$L,'BSE - Other Index Options'!$C:$C,$A284,'BSE - Other Index Options'!$B:$B,G$147,'BSE - Other Index Options'!$H:$H,"Weekly*")+SUMIFS('BSE - Other Index Options'!$L:$L,'BSE - Other Index Options'!$C:$C,$A284,'BSE - Other Index Options'!$B:$B,G$147,'BSE - Other Index Options'!$H:$H,"MDAW*")=0,"",SUMIFS('BSE - SENSEX Index Options'!$L:$L,'BSE - SENSEX Index Options'!$C:$C,$A284,'BSE - SENSEX Index Options'!$B:$B,G$147,'BSE - SENSEX Index Options'!$H:$H,"Weekly*")+SUMIFS('BSE - SENSEX Index Options'!$L:$L,'BSE - SENSEX Index Options'!$C:$C,$A284,'BSE - SENSEX Index Options'!$B:$B,G$147,'BSE - SENSEX Index Options'!$H:$H,"MDAW*")+SUMIFS('BSE - Other Index Options'!$L:$L,'BSE - Other Index Options'!$C:$C,$A284,'BSE - Other Index Options'!$B:$B,G$147,'BSE - Other Index Options'!$H:$H,"Weekly*")+SUMIFS('BSE - Other Index Options'!$L:$L,'BSE - Other Index Options'!$C:$C,$A284,'BSE - Other Index Options'!$B:$B,G$147,'BSE - Other Index Options'!$H:$H,"MDAW*"))</f>
        <v/>
      </c>
      <c r="H284" s="26" t="str">
        <f t="shared" si="10"/>
        <v/>
      </c>
    </row>
    <row r="285" spans="1:8" hidden="1" outlineLevel="1">
      <c r="A285" t="s">
        <v>147</v>
      </c>
      <c r="B285" s="26" t="str">
        <f>IF(SUMIFS('BSE - SENSEX Index Options'!$L:$L,'BSE - SENSEX Index Options'!$C:$C,$A285,'BSE - SENSEX Index Options'!$B:$B,B$147,'BSE - SENSEX Index Options'!$H:$H,"Weekly*")+SUMIFS('BSE - SENSEX Index Options'!$L:$L,'BSE - SENSEX Index Options'!$C:$C,$A285,'BSE - SENSEX Index Options'!$B:$B,B$147,'BSE - SENSEX Index Options'!$H:$H,"MDAW*")+SUMIFS('BSE - Other Index Options'!$L:$L,'BSE - Other Index Options'!$C:$C,$A285,'BSE - Other Index Options'!$B:$B,B$147,'BSE - Other Index Options'!$H:$H,"Weekly*")+SUMIFS('BSE - Other Index Options'!$L:$L,'BSE - Other Index Options'!$C:$C,$A285,'BSE - Other Index Options'!$B:$B,B$147,'BSE - Other Index Options'!$H:$H,"MDAW*")=0,"",SUMIFS('BSE - SENSEX Index Options'!$L:$L,'BSE - SENSEX Index Options'!$C:$C,$A285,'BSE - SENSEX Index Options'!$B:$B,B$147,'BSE - SENSEX Index Options'!$H:$H,"Weekly*")+SUMIFS('BSE - SENSEX Index Options'!$L:$L,'BSE - SENSEX Index Options'!$C:$C,$A285,'BSE - SENSEX Index Options'!$B:$B,B$147,'BSE - SENSEX Index Options'!$H:$H,"MDAW*")+SUMIFS('BSE - Other Index Options'!$L:$L,'BSE - Other Index Options'!$C:$C,$A285,'BSE - Other Index Options'!$B:$B,B$147,'BSE - Other Index Options'!$H:$H,"Weekly*")+SUMIFS('BSE - Other Index Options'!$L:$L,'BSE - Other Index Options'!$C:$C,$A285,'BSE - Other Index Options'!$B:$B,B$147,'BSE - Other Index Options'!$H:$H,"MDAW*"))</f>
        <v/>
      </c>
      <c r="C285" s="26" t="str">
        <f>IF(SUMIFS('BSE - SENSEX Index Options'!$L:$L,'BSE - SENSEX Index Options'!$C:$C,$A285,'BSE - SENSEX Index Options'!$B:$B,C$147,'BSE - SENSEX Index Options'!$H:$H,"Weekly*")+SUMIFS('BSE - SENSEX Index Options'!$L:$L,'BSE - SENSEX Index Options'!$C:$C,$A285,'BSE - SENSEX Index Options'!$B:$B,C$147,'BSE - SENSEX Index Options'!$H:$H,"MDAW*")+SUMIFS('BSE - Other Index Options'!$L:$L,'BSE - Other Index Options'!$C:$C,$A285,'BSE - Other Index Options'!$B:$B,C$147,'BSE - Other Index Options'!$H:$H,"Weekly*")+SUMIFS('BSE - Other Index Options'!$L:$L,'BSE - Other Index Options'!$C:$C,$A285,'BSE - Other Index Options'!$B:$B,C$147,'BSE - Other Index Options'!$H:$H,"MDAW*")=0,"",SUMIFS('BSE - SENSEX Index Options'!$L:$L,'BSE - SENSEX Index Options'!$C:$C,$A285,'BSE - SENSEX Index Options'!$B:$B,C$147,'BSE - SENSEX Index Options'!$H:$H,"Weekly*")+SUMIFS('BSE - SENSEX Index Options'!$L:$L,'BSE - SENSEX Index Options'!$C:$C,$A285,'BSE - SENSEX Index Options'!$B:$B,C$147,'BSE - SENSEX Index Options'!$H:$H,"MDAW*")+SUMIFS('BSE - Other Index Options'!$L:$L,'BSE - Other Index Options'!$C:$C,$A285,'BSE - Other Index Options'!$B:$B,C$147,'BSE - Other Index Options'!$H:$H,"Weekly*")+SUMIFS('BSE - Other Index Options'!$L:$L,'BSE - Other Index Options'!$C:$C,$A285,'BSE - Other Index Options'!$B:$B,C$147,'BSE - Other Index Options'!$H:$H,"MDAW*"))</f>
        <v/>
      </c>
      <c r="D285" s="26" t="str">
        <f>IF(SUMIFS('BSE - SENSEX Index Options'!$L:$L,'BSE - SENSEX Index Options'!$C:$C,$A285,'BSE - SENSEX Index Options'!$B:$B,D$147,'BSE - SENSEX Index Options'!$H:$H,"Weekly*")+SUMIFS('BSE - SENSEX Index Options'!$L:$L,'BSE - SENSEX Index Options'!$C:$C,$A285,'BSE - SENSEX Index Options'!$B:$B,D$147,'BSE - SENSEX Index Options'!$H:$H,"MDAW*")+SUMIFS('BSE - Other Index Options'!$L:$L,'BSE - Other Index Options'!$C:$C,$A285,'BSE - Other Index Options'!$B:$B,D$147,'BSE - Other Index Options'!$H:$H,"Weekly*")+SUMIFS('BSE - Other Index Options'!$L:$L,'BSE - Other Index Options'!$C:$C,$A285,'BSE - Other Index Options'!$B:$B,D$147,'BSE - Other Index Options'!$H:$H,"MDAW*")=0,"",SUMIFS('BSE - SENSEX Index Options'!$L:$L,'BSE - SENSEX Index Options'!$C:$C,$A285,'BSE - SENSEX Index Options'!$B:$B,D$147,'BSE - SENSEX Index Options'!$H:$H,"Weekly*")+SUMIFS('BSE - SENSEX Index Options'!$L:$L,'BSE - SENSEX Index Options'!$C:$C,$A285,'BSE - SENSEX Index Options'!$B:$B,D$147,'BSE - SENSEX Index Options'!$H:$H,"MDAW*")+SUMIFS('BSE - Other Index Options'!$L:$L,'BSE - Other Index Options'!$C:$C,$A285,'BSE - Other Index Options'!$B:$B,D$147,'BSE - Other Index Options'!$H:$H,"Weekly*")+SUMIFS('BSE - Other Index Options'!$L:$L,'BSE - Other Index Options'!$C:$C,$A285,'BSE - Other Index Options'!$B:$B,D$147,'BSE - Other Index Options'!$H:$H,"MDAW*"))</f>
        <v/>
      </c>
      <c r="E285" s="26" t="str">
        <f>IF(SUMIFS('BSE - SENSEX Index Options'!$L:$L,'BSE - SENSEX Index Options'!$C:$C,$A285,'BSE - SENSEX Index Options'!$B:$B,E$147,'BSE - SENSEX Index Options'!$H:$H,"Weekly*")+SUMIFS('BSE - SENSEX Index Options'!$L:$L,'BSE - SENSEX Index Options'!$C:$C,$A285,'BSE - SENSEX Index Options'!$B:$B,E$147,'BSE - SENSEX Index Options'!$H:$H,"MDAW*")+SUMIFS('BSE - Other Index Options'!$L:$L,'BSE - Other Index Options'!$C:$C,$A285,'BSE - Other Index Options'!$B:$B,E$147,'BSE - Other Index Options'!$H:$H,"Weekly*")+SUMIFS('BSE - Other Index Options'!$L:$L,'BSE - Other Index Options'!$C:$C,$A285,'BSE - Other Index Options'!$B:$B,E$147,'BSE - Other Index Options'!$H:$H,"MDAW*")=0,"",SUMIFS('BSE - SENSEX Index Options'!$L:$L,'BSE - SENSEX Index Options'!$C:$C,$A285,'BSE - SENSEX Index Options'!$B:$B,E$147,'BSE - SENSEX Index Options'!$H:$H,"Weekly*")+SUMIFS('BSE - SENSEX Index Options'!$L:$L,'BSE - SENSEX Index Options'!$C:$C,$A285,'BSE - SENSEX Index Options'!$B:$B,E$147,'BSE - SENSEX Index Options'!$H:$H,"MDAW*")+SUMIFS('BSE - Other Index Options'!$L:$L,'BSE - Other Index Options'!$C:$C,$A285,'BSE - Other Index Options'!$B:$B,E$147,'BSE - Other Index Options'!$H:$H,"Weekly*")+SUMIFS('BSE - Other Index Options'!$L:$L,'BSE - Other Index Options'!$C:$C,$A285,'BSE - Other Index Options'!$B:$B,E$147,'BSE - Other Index Options'!$H:$H,"MDAW*"))</f>
        <v/>
      </c>
      <c r="F285" s="26" t="str">
        <f>IF(SUMIFS('BSE - SENSEX Index Options'!$L:$L,'BSE - SENSEX Index Options'!$C:$C,$A285,'BSE - SENSEX Index Options'!$B:$B,F$147,'BSE - SENSEX Index Options'!$H:$H,"Weekly*")+SUMIFS('BSE - SENSEX Index Options'!$L:$L,'BSE - SENSEX Index Options'!$C:$C,$A285,'BSE - SENSEX Index Options'!$B:$B,F$147,'BSE - SENSEX Index Options'!$H:$H,"MDAW*")+SUMIFS('BSE - Other Index Options'!$L:$L,'BSE - Other Index Options'!$C:$C,$A285,'BSE - Other Index Options'!$B:$B,F$147,'BSE - Other Index Options'!$H:$H,"Weekly*")+SUMIFS('BSE - Other Index Options'!$L:$L,'BSE - Other Index Options'!$C:$C,$A285,'BSE - Other Index Options'!$B:$B,F$147,'BSE - Other Index Options'!$H:$H,"MDAW*")=0,"",SUMIFS('BSE - SENSEX Index Options'!$L:$L,'BSE - SENSEX Index Options'!$C:$C,$A285,'BSE - SENSEX Index Options'!$B:$B,F$147,'BSE - SENSEX Index Options'!$H:$H,"Weekly*")+SUMIFS('BSE - SENSEX Index Options'!$L:$L,'BSE - SENSEX Index Options'!$C:$C,$A285,'BSE - SENSEX Index Options'!$B:$B,F$147,'BSE - SENSEX Index Options'!$H:$H,"MDAW*")+SUMIFS('BSE - Other Index Options'!$L:$L,'BSE - Other Index Options'!$C:$C,$A285,'BSE - Other Index Options'!$B:$B,F$147,'BSE - Other Index Options'!$H:$H,"Weekly*")+SUMIFS('BSE - Other Index Options'!$L:$L,'BSE - Other Index Options'!$C:$C,$A285,'BSE - Other Index Options'!$B:$B,F$147,'BSE - Other Index Options'!$H:$H,"MDAW*"))</f>
        <v/>
      </c>
      <c r="G285" s="26" t="str">
        <f>IF(SUMIFS('BSE - SENSEX Index Options'!$L:$L,'BSE - SENSEX Index Options'!$C:$C,$A285,'BSE - SENSEX Index Options'!$B:$B,G$147,'BSE - SENSEX Index Options'!$H:$H,"Weekly*")+SUMIFS('BSE - SENSEX Index Options'!$L:$L,'BSE - SENSEX Index Options'!$C:$C,$A285,'BSE - SENSEX Index Options'!$B:$B,G$147,'BSE - SENSEX Index Options'!$H:$H,"MDAW*")+SUMIFS('BSE - Other Index Options'!$L:$L,'BSE - Other Index Options'!$C:$C,$A285,'BSE - Other Index Options'!$B:$B,G$147,'BSE - Other Index Options'!$H:$H,"Weekly*")+SUMIFS('BSE - Other Index Options'!$L:$L,'BSE - Other Index Options'!$C:$C,$A285,'BSE - Other Index Options'!$B:$B,G$147,'BSE - Other Index Options'!$H:$H,"MDAW*")=0,"",SUMIFS('BSE - SENSEX Index Options'!$L:$L,'BSE - SENSEX Index Options'!$C:$C,$A285,'BSE - SENSEX Index Options'!$B:$B,G$147,'BSE - SENSEX Index Options'!$H:$H,"Weekly*")+SUMIFS('BSE - SENSEX Index Options'!$L:$L,'BSE - SENSEX Index Options'!$C:$C,$A285,'BSE - SENSEX Index Options'!$B:$B,G$147,'BSE - SENSEX Index Options'!$H:$H,"MDAW*")+SUMIFS('BSE - Other Index Options'!$L:$L,'BSE - Other Index Options'!$C:$C,$A285,'BSE - Other Index Options'!$B:$B,G$147,'BSE - Other Index Options'!$H:$H,"Weekly*")+SUMIFS('BSE - Other Index Options'!$L:$L,'BSE - Other Index Options'!$C:$C,$A285,'BSE - Other Index Options'!$B:$B,G$147,'BSE - Other Index Options'!$H:$H,"MDAW*"))</f>
        <v/>
      </c>
      <c r="H285" s="26" t="str">
        <f t="shared" si="10"/>
        <v/>
      </c>
    </row>
    <row r="286" spans="1:8" collapsed="1">
      <c r="A286" s="32" t="s">
        <v>9</v>
      </c>
      <c r="B286" s="33">
        <f t="shared" ref="B286:H286" si="11">IF(SUM(B148:B285)=0,"",SUM(B148:B285))</f>
        <v>488974.99000000011</v>
      </c>
      <c r="C286" s="33">
        <f t="shared" si="11"/>
        <v>461043.32999999996</v>
      </c>
      <c r="D286" s="33">
        <f t="shared" si="11"/>
        <v>1591973.8100000003</v>
      </c>
      <c r="E286" s="33">
        <f t="shared" si="11"/>
        <v>2192648.52</v>
      </c>
      <c r="F286" s="33">
        <f t="shared" si="11"/>
        <v>438760.87000000011</v>
      </c>
      <c r="G286" s="33">
        <f t="shared" si="11"/>
        <v>24733.119999999999</v>
      </c>
      <c r="H286" s="33">
        <f t="shared" si="11"/>
        <v>5198134.6399999987</v>
      </c>
    </row>
    <row r="289" spans="1:8">
      <c r="A289" s="32" t="s">
        <v>149</v>
      </c>
    </row>
    <row r="290" spans="1:8">
      <c r="A290" s="32" t="s">
        <v>2</v>
      </c>
      <c r="B290" s="32" t="s">
        <v>3</v>
      </c>
      <c r="C290" s="32" t="s">
        <v>4</v>
      </c>
      <c r="D290" s="32" t="s">
        <v>5</v>
      </c>
      <c r="E290" s="32" t="s">
        <v>6</v>
      </c>
      <c r="F290" s="32" t="s">
        <v>7</v>
      </c>
      <c r="G290" s="32" t="s">
        <v>8</v>
      </c>
      <c r="H290" s="32" t="s">
        <v>9</v>
      </c>
    </row>
    <row r="291" spans="1:8">
      <c r="A291" t="s">
        <v>10</v>
      </c>
      <c r="B291" s="27">
        <f t="shared" ref="B291:H300" si="12">IF(SUM(B5,B148)=0,"",SUM(B5)/SUM(B5,B148))</f>
        <v>0.81610486855678455</v>
      </c>
      <c r="C291" s="27">
        <f t="shared" si="12"/>
        <v>0.87017138514807912</v>
      </c>
      <c r="D291" s="27">
        <f t="shared" si="12"/>
        <v>0.53429437449716111</v>
      </c>
      <c r="E291" s="27">
        <f t="shared" si="12"/>
        <v>0.40029656749858483</v>
      </c>
      <c r="F291" s="27">
        <f t="shared" si="12"/>
        <v>0.8233437689488462</v>
      </c>
      <c r="G291" s="27" t="str">
        <f t="shared" si="12"/>
        <v/>
      </c>
      <c r="H291" s="27">
        <f t="shared" si="12"/>
        <v>0.66734610011421225</v>
      </c>
    </row>
    <row r="292" spans="1:8">
      <c r="A292" t="s">
        <v>11</v>
      </c>
      <c r="B292" s="27">
        <f t="shared" si="12"/>
        <v>0.82668066579493527</v>
      </c>
      <c r="C292" s="27">
        <f t="shared" si="12"/>
        <v>0.86798877193647639</v>
      </c>
      <c r="D292" s="27">
        <f t="shared" si="12"/>
        <v>0.55634518792253995</v>
      </c>
      <c r="E292" s="27">
        <f t="shared" si="12"/>
        <v>0.38407145033733392</v>
      </c>
      <c r="F292" s="27">
        <f t="shared" si="12"/>
        <v>0.81866251427975523</v>
      </c>
      <c r="G292" s="27" t="str">
        <f t="shared" si="12"/>
        <v/>
      </c>
      <c r="H292" s="27">
        <f t="shared" si="12"/>
        <v>0.69063467852783578</v>
      </c>
    </row>
    <row r="293" spans="1:8">
      <c r="A293" t="s">
        <v>12</v>
      </c>
      <c r="B293" s="27">
        <f t="shared" si="12"/>
        <v>0.81698017627933495</v>
      </c>
      <c r="C293" s="27">
        <f t="shared" si="12"/>
        <v>0.85332064995911572</v>
      </c>
      <c r="D293" s="27">
        <f t="shared" si="12"/>
        <v>0.54324059976957684</v>
      </c>
      <c r="E293" s="27">
        <f t="shared" si="12"/>
        <v>0.39219194328485685</v>
      </c>
      <c r="F293" s="27">
        <f t="shared" si="12"/>
        <v>0.81267223045460735</v>
      </c>
      <c r="G293" s="27" t="str">
        <f t="shared" si="12"/>
        <v/>
      </c>
      <c r="H293" s="27">
        <f t="shared" si="12"/>
        <v>0.67155825645829448</v>
      </c>
    </row>
    <row r="294" spans="1:8">
      <c r="A294" t="s">
        <v>13</v>
      </c>
      <c r="B294" s="27">
        <f t="shared" si="12"/>
        <v>0.79537432482506998</v>
      </c>
      <c r="C294" s="27">
        <f t="shared" si="12"/>
        <v>0.84273900874052488</v>
      </c>
      <c r="D294" s="27">
        <f t="shared" si="12"/>
        <v>0.54101623018141665</v>
      </c>
      <c r="E294" s="27">
        <f t="shared" si="12"/>
        <v>0.40738107614200464</v>
      </c>
      <c r="F294" s="27">
        <f t="shared" si="12"/>
        <v>0.83056890200642963</v>
      </c>
      <c r="G294" s="27" t="str">
        <f t="shared" si="12"/>
        <v/>
      </c>
      <c r="H294" s="27">
        <f t="shared" si="12"/>
        <v>0.67396724343506753</v>
      </c>
    </row>
    <row r="295" spans="1:8">
      <c r="A295" t="s">
        <v>14</v>
      </c>
      <c r="B295" s="27">
        <f t="shared" si="12"/>
        <v>0.82962410118377283</v>
      </c>
      <c r="C295" s="27">
        <f t="shared" si="12"/>
        <v>0.85575024566933067</v>
      </c>
      <c r="D295" s="27" t="str">
        <f t="shared" si="12"/>
        <v/>
      </c>
      <c r="E295" s="27" t="str">
        <f t="shared" si="12"/>
        <v/>
      </c>
      <c r="F295" s="27" t="str">
        <f t="shared" si="12"/>
        <v/>
      </c>
      <c r="G295" s="27" t="str">
        <f t="shared" si="12"/>
        <v/>
      </c>
      <c r="H295" s="27">
        <f t="shared" si="12"/>
        <v>0.84278056196408957</v>
      </c>
    </row>
    <row r="296" spans="1:8">
      <c r="A296" t="s">
        <v>15</v>
      </c>
      <c r="B296" s="27">
        <f t="shared" si="12"/>
        <v>0.81833379794675487</v>
      </c>
      <c r="C296" s="27">
        <f t="shared" si="12"/>
        <v>0.84631680257844777</v>
      </c>
      <c r="D296" s="27">
        <f t="shared" si="12"/>
        <v>0.40269980614306766</v>
      </c>
      <c r="E296" s="27" t="str">
        <f t="shared" si="12"/>
        <v/>
      </c>
      <c r="F296" s="27">
        <f t="shared" si="12"/>
        <v>0.8144022683315727</v>
      </c>
      <c r="G296" s="27" t="str">
        <f t="shared" si="12"/>
        <v/>
      </c>
      <c r="H296" s="27">
        <f t="shared" si="12"/>
        <v>0.70073173220019214</v>
      </c>
    </row>
    <row r="297" spans="1:8">
      <c r="A297" t="s">
        <v>16</v>
      </c>
      <c r="B297" s="27">
        <f t="shared" si="12"/>
        <v>0.80657306538064633</v>
      </c>
      <c r="C297" s="27">
        <f t="shared" si="12"/>
        <v>0.8466706064615046</v>
      </c>
      <c r="D297" s="27">
        <f t="shared" si="12"/>
        <v>0.52935491600643625</v>
      </c>
      <c r="E297" s="27">
        <f t="shared" si="12"/>
        <v>0.38737909968197076</v>
      </c>
      <c r="F297" s="27">
        <f t="shared" si="12"/>
        <v>0.80717721637663065</v>
      </c>
      <c r="G297" s="27" t="str">
        <f t="shared" si="12"/>
        <v/>
      </c>
      <c r="H297" s="27">
        <f t="shared" si="12"/>
        <v>0.66109722659108072</v>
      </c>
    </row>
    <row r="298" spans="1:8">
      <c r="A298" t="s">
        <v>17</v>
      </c>
      <c r="B298" s="27">
        <f t="shared" si="12"/>
        <v>0.84376575817842669</v>
      </c>
      <c r="C298" s="27">
        <f t="shared" si="12"/>
        <v>8.302199020761894E-2</v>
      </c>
      <c r="D298" s="27">
        <f t="shared" si="12"/>
        <v>0.53964739033658637</v>
      </c>
      <c r="E298" s="27">
        <f t="shared" si="12"/>
        <v>0.39322908183404703</v>
      </c>
      <c r="F298" s="27">
        <f t="shared" si="12"/>
        <v>0.80512841467857443</v>
      </c>
      <c r="G298" s="27" t="str">
        <f t="shared" si="12"/>
        <v/>
      </c>
      <c r="H298" s="27">
        <f t="shared" si="12"/>
        <v>0.6463696357536276</v>
      </c>
    </row>
    <row r="299" spans="1:8">
      <c r="A299" t="s">
        <v>18</v>
      </c>
      <c r="B299" s="27">
        <f t="shared" si="12"/>
        <v>0.83566166012088927</v>
      </c>
      <c r="C299" s="27">
        <f t="shared" si="12"/>
        <v>0.86534764951337939</v>
      </c>
      <c r="D299" s="27" t="str">
        <f t="shared" si="12"/>
        <v/>
      </c>
      <c r="E299" s="27">
        <f t="shared" si="12"/>
        <v>0.42778787657728606</v>
      </c>
      <c r="F299" s="27">
        <f t="shared" si="12"/>
        <v>0.8365491291553232</v>
      </c>
      <c r="G299" s="27" t="str">
        <f t="shared" si="12"/>
        <v/>
      </c>
      <c r="H299" s="27">
        <f t="shared" si="12"/>
        <v>0.7286053630934316</v>
      </c>
    </row>
    <row r="300" spans="1:8">
      <c r="A300" t="s">
        <v>19</v>
      </c>
      <c r="B300" s="27" t="str">
        <f t="shared" si="12"/>
        <v/>
      </c>
      <c r="C300" s="27" t="str">
        <f t="shared" si="12"/>
        <v/>
      </c>
      <c r="D300" s="27">
        <f t="shared" si="12"/>
        <v>0.55561314427448316</v>
      </c>
      <c r="E300" s="27">
        <f t="shared" si="12"/>
        <v>0.4087295940564466</v>
      </c>
      <c r="F300" s="27">
        <f t="shared" si="12"/>
        <v>0.82370416154383064</v>
      </c>
      <c r="G300" s="27" t="str">
        <f t="shared" si="12"/>
        <v/>
      </c>
      <c r="H300" s="27">
        <f t="shared" si="12"/>
        <v>0.57893784316345309</v>
      </c>
    </row>
    <row r="301" spans="1:8">
      <c r="A301" t="s">
        <v>20</v>
      </c>
      <c r="B301" s="27">
        <f t="shared" ref="B301:H310" si="13">IF(SUM(B15,B158)=0,"",SUM(B15)/SUM(B15,B158))</f>
        <v>0.81842939292394024</v>
      </c>
      <c r="C301" s="27">
        <f t="shared" si="13"/>
        <v>0.84694945636578867</v>
      </c>
      <c r="D301" s="27" t="str">
        <f t="shared" si="13"/>
        <v/>
      </c>
      <c r="E301" s="27">
        <f t="shared" si="13"/>
        <v>0.38848251246431686</v>
      </c>
      <c r="F301" s="27">
        <f t="shared" si="13"/>
        <v>0.81746068992176912</v>
      </c>
      <c r="G301" s="27" t="str">
        <f t="shared" si="13"/>
        <v/>
      </c>
      <c r="H301" s="27">
        <f t="shared" si="13"/>
        <v>0.70122610898856708</v>
      </c>
    </row>
    <row r="302" spans="1:8">
      <c r="A302" t="s">
        <v>21</v>
      </c>
      <c r="B302" s="27">
        <f t="shared" si="13"/>
        <v>0.82621437061696379</v>
      </c>
      <c r="C302" s="27">
        <f t="shared" si="13"/>
        <v>0.85735985742774135</v>
      </c>
      <c r="D302" s="27">
        <f t="shared" si="13"/>
        <v>0.52674248202456153</v>
      </c>
      <c r="E302" s="27">
        <f t="shared" si="13"/>
        <v>0.36546947495691828</v>
      </c>
      <c r="F302" s="27">
        <f t="shared" si="13"/>
        <v>0.83300156140584303</v>
      </c>
      <c r="G302" s="27" t="str">
        <f t="shared" si="13"/>
        <v/>
      </c>
      <c r="H302" s="27">
        <f t="shared" si="13"/>
        <v>0.67653188059461733</v>
      </c>
    </row>
    <row r="303" spans="1:8">
      <c r="A303" t="s">
        <v>22</v>
      </c>
      <c r="B303" s="27">
        <f t="shared" si="13"/>
        <v>0.82532522574094336</v>
      </c>
      <c r="C303" s="27">
        <f t="shared" si="13"/>
        <v>0.85027402613068637</v>
      </c>
      <c r="D303" s="27">
        <f t="shared" si="13"/>
        <v>0.57204629492182102</v>
      </c>
      <c r="E303" s="27">
        <f t="shared" si="13"/>
        <v>0.39644655791492633</v>
      </c>
      <c r="F303" s="27">
        <f t="shared" si="13"/>
        <v>0.838536474199577</v>
      </c>
      <c r="G303" s="27" t="str">
        <f t="shared" si="13"/>
        <v/>
      </c>
      <c r="H303" s="27">
        <f t="shared" si="13"/>
        <v>0.68444562051575297</v>
      </c>
    </row>
    <row r="304" spans="1:8">
      <c r="A304" t="s">
        <v>23</v>
      </c>
      <c r="B304" s="27">
        <f t="shared" si="13"/>
        <v>0.84211490769292885</v>
      </c>
      <c r="C304" s="27">
        <f t="shared" si="13"/>
        <v>0.85584464108305536</v>
      </c>
      <c r="D304" s="27">
        <f t="shared" si="13"/>
        <v>0.54148397056670949</v>
      </c>
      <c r="E304" s="27">
        <f t="shared" si="13"/>
        <v>0.37873905347452425</v>
      </c>
      <c r="F304" s="27">
        <f t="shared" si="13"/>
        <v>0.81528026915115259</v>
      </c>
      <c r="G304" s="27" t="str">
        <f t="shared" si="13"/>
        <v/>
      </c>
      <c r="H304" s="27">
        <f t="shared" si="13"/>
        <v>0.65879373872485536</v>
      </c>
    </row>
    <row r="305" spans="1:8">
      <c r="A305" t="s">
        <v>24</v>
      </c>
      <c r="B305" s="27" t="str">
        <f t="shared" si="13"/>
        <v/>
      </c>
      <c r="C305" s="27" t="str">
        <f t="shared" si="13"/>
        <v/>
      </c>
      <c r="D305" s="27" t="str">
        <f t="shared" si="13"/>
        <v/>
      </c>
      <c r="E305" s="27" t="str">
        <f t="shared" si="13"/>
        <v/>
      </c>
      <c r="F305" s="27" t="str">
        <f t="shared" si="13"/>
        <v/>
      </c>
      <c r="G305" s="27" t="str">
        <f t="shared" si="13"/>
        <v/>
      </c>
      <c r="H305" s="27" t="str">
        <f t="shared" si="13"/>
        <v/>
      </c>
    </row>
    <row r="306" spans="1:8">
      <c r="A306" t="s">
        <v>25</v>
      </c>
      <c r="B306" s="27">
        <f t="shared" si="13"/>
        <v>0.82075179715784596</v>
      </c>
      <c r="C306" s="27">
        <f t="shared" si="13"/>
        <v>0.86540472034442462</v>
      </c>
      <c r="D306" s="27">
        <f t="shared" si="13"/>
        <v>0.51177543432193728</v>
      </c>
      <c r="E306" s="27">
        <f t="shared" si="13"/>
        <v>0.35422265613636428</v>
      </c>
      <c r="F306" s="27">
        <f t="shared" si="13"/>
        <v>0.80797906923190044</v>
      </c>
      <c r="G306" s="27" t="str">
        <f t="shared" si="13"/>
        <v/>
      </c>
      <c r="H306" s="27">
        <f t="shared" si="13"/>
        <v>0.65836757356654552</v>
      </c>
    </row>
    <row r="307" spans="1:8">
      <c r="A307" t="s">
        <v>26</v>
      </c>
      <c r="B307" s="27">
        <f t="shared" si="13"/>
        <v>0.82170995784412637</v>
      </c>
      <c r="C307" s="27">
        <f t="shared" si="13"/>
        <v>0.85952174912118595</v>
      </c>
      <c r="D307" s="27">
        <f t="shared" si="13"/>
        <v>0.51321632940233874</v>
      </c>
      <c r="E307" s="27">
        <f t="shared" si="13"/>
        <v>0.37792298796276697</v>
      </c>
      <c r="F307" s="27">
        <f t="shared" si="13"/>
        <v>0.80891320840801562</v>
      </c>
      <c r="G307" s="27" t="str">
        <f t="shared" si="13"/>
        <v/>
      </c>
      <c r="H307" s="27">
        <f t="shared" si="13"/>
        <v>0.65750016593350757</v>
      </c>
    </row>
    <row r="308" spans="1:8">
      <c r="A308" t="s">
        <v>27</v>
      </c>
      <c r="B308" s="27">
        <f t="shared" si="13"/>
        <v>0.81818193872938938</v>
      </c>
      <c r="C308" s="27">
        <f t="shared" si="13"/>
        <v>0.84812050347176582</v>
      </c>
      <c r="D308" s="27">
        <f t="shared" si="13"/>
        <v>0.49584637553591288</v>
      </c>
      <c r="E308" s="27">
        <f t="shared" si="13"/>
        <v>0.35745109637728512</v>
      </c>
      <c r="F308" s="27">
        <f t="shared" si="13"/>
        <v>0.79074868264164011</v>
      </c>
      <c r="G308" s="27" t="str">
        <f t="shared" si="13"/>
        <v/>
      </c>
      <c r="H308" s="27">
        <f t="shared" si="13"/>
        <v>0.64174986207476736</v>
      </c>
    </row>
    <row r="309" spans="1:8">
      <c r="A309" t="s">
        <v>28</v>
      </c>
      <c r="B309" s="27">
        <f t="shared" si="13"/>
        <v>0.77152715872389033</v>
      </c>
      <c r="C309" s="27">
        <f t="shared" si="13"/>
        <v>0.82112918692138681</v>
      </c>
      <c r="D309" s="27">
        <f t="shared" si="13"/>
        <v>0.36339880207683867</v>
      </c>
      <c r="E309" s="27" t="str">
        <f t="shared" si="13"/>
        <v/>
      </c>
      <c r="F309" s="27">
        <f t="shared" si="13"/>
        <v>0.79720789697473038</v>
      </c>
      <c r="G309" s="27" t="str">
        <f t="shared" si="13"/>
        <v/>
      </c>
      <c r="H309" s="27">
        <f t="shared" si="13"/>
        <v>0.65638054168859461</v>
      </c>
    </row>
    <row r="310" spans="1:8">
      <c r="A310" t="s">
        <v>29</v>
      </c>
      <c r="B310" s="27">
        <f t="shared" si="13"/>
        <v>0.80724504622239124</v>
      </c>
      <c r="C310" s="27">
        <f t="shared" si="13"/>
        <v>0.83925641258304906</v>
      </c>
      <c r="D310" s="27">
        <f t="shared" si="13"/>
        <v>0.48914147708955441</v>
      </c>
      <c r="E310" s="27" t="str">
        <f t="shared" si="13"/>
        <v/>
      </c>
      <c r="F310" s="27" t="str">
        <f t="shared" si="13"/>
        <v/>
      </c>
      <c r="G310" s="27" t="str">
        <f t="shared" si="13"/>
        <v/>
      </c>
      <c r="H310" s="27">
        <f t="shared" si="13"/>
        <v>0.70480569785217151</v>
      </c>
    </row>
    <row r="311" spans="1:8">
      <c r="A311" t="s">
        <v>30</v>
      </c>
      <c r="B311" s="27">
        <f t="shared" ref="B311:H320" si="14">IF(SUM(B25,B168)=0,"",SUM(B25)/SUM(B25,B168))</f>
        <v>0.79054060788192682</v>
      </c>
      <c r="C311" s="27">
        <f t="shared" si="14"/>
        <v>0.82915966963018484</v>
      </c>
      <c r="D311" s="27">
        <f t="shared" si="14"/>
        <v>0.49959351200037388</v>
      </c>
      <c r="E311" s="27">
        <f t="shared" si="14"/>
        <v>0.31664600916141311</v>
      </c>
      <c r="F311" s="27">
        <f t="shared" si="14"/>
        <v>0.79118835184190939</v>
      </c>
      <c r="G311" s="27" t="str">
        <f t="shared" si="14"/>
        <v/>
      </c>
      <c r="H311" s="27">
        <f t="shared" si="14"/>
        <v>0.63930175049931126</v>
      </c>
    </row>
    <row r="312" spans="1:8">
      <c r="A312" t="s">
        <v>31</v>
      </c>
      <c r="B312" s="27">
        <f t="shared" si="14"/>
        <v>0.81203793787279555</v>
      </c>
      <c r="C312" s="27">
        <f t="shared" si="14"/>
        <v>0.8200980992530813</v>
      </c>
      <c r="D312" s="27">
        <f t="shared" si="14"/>
        <v>0.35586055344300721</v>
      </c>
      <c r="E312" s="27">
        <f t="shared" si="14"/>
        <v>0.37237741458814483</v>
      </c>
      <c r="F312" s="27">
        <f t="shared" si="14"/>
        <v>0.79703714275922066</v>
      </c>
      <c r="G312" s="27" t="str">
        <f t="shared" si="14"/>
        <v/>
      </c>
      <c r="H312" s="27">
        <f t="shared" si="14"/>
        <v>0.63199028374266075</v>
      </c>
    </row>
    <row r="313" spans="1:8">
      <c r="A313" t="s">
        <v>32</v>
      </c>
      <c r="B313" s="27">
        <f t="shared" si="14"/>
        <v>0.80474783227978131</v>
      </c>
      <c r="C313" s="27">
        <f t="shared" si="14"/>
        <v>0.82970650717189498</v>
      </c>
      <c r="D313" s="27">
        <f t="shared" si="14"/>
        <v>0.5253046818185978</v>
      </c>
      <c r="E313" s="27" t="str">
        <f t="shared" si="14"/>
        <v/>
      </c>
      <c r="F313" s="27">
        <f t="shared" si="14"/>
        <v>0.80395548949718221</v>
      </c>
      <c r="G313" s="27" t="str">
        <f t="shared" si="14"/>
        <v/>
      </c>
      <c r="H313" s="27">
        <f t="shared" si="14"/>
        <v>0.71005580337409369</v>
      </c>
    </row>
    <row r="314" spans="1:8">
      <c r="A314" t="s">
        <v>33</v>
      </c>
      <c r="B314" s="27" t="str">
        <f t="shared" si="14"/>
        <v/>
      </c>
      <c r="C314" s="27">
        <f t="shared" si="14"/>
        <v>0.84232968088569393</v>
      </c>
      <c r="D314" s="27">
        <f t="shared" si="14"/>
        <v>0.46424038296323528</v>
      </c>
      <c r="E314" s="27">
        <f t="shared" si="14"/>
        <v>0.38333112547921039</v>
      </c>
      <c r="F314" s="27">
        <f t="shared" si="14"/>
        <v>0.81771985897657984</v>
      </c>
      <c r="G314" s="27" t="str">
        <f t="shared" si="14"/>
        <v/>
      </c>
      <c r="H314" s="27">
        <f t="shared" si="14"/>
        <v>0.61177719858961033</v>
      </c>
    </row>
    <row r="315" spans="1:8">
      <c r="A315" t="s">
        <v>34</v>
      </c>
      <c r="B315" s="27" t="str">
        <f t="shared" si="14"/>
        <v/>
      </c>
      <c r="C315" s="27" t="str">
        <f t="shared" si="14"/>
        <v/>
      </c>
      <c r="D315" s="27" t="str">
        <f t="shared" si="14"/>
        <v/>
      </c>
      <c r="E315" s="27">
        <f t="shared" si="14"/>
        <v>0.33569865501658758</v>
      </c>
      <c r="F315" s="27">
        <f t="shared" si="14"/>
        <v>0.80840609105984218</v>
      </c>
      <c r="G315" s="27" t="str">
        <f t="shared" si="14"/>
        <v/>
      </c>
      <c r="H315" s="27">
        <f t="shared" si="14"/>
        <v>0.53215537586312101</v>
      </c>
    </row>
    <row r="316" spans="1:8">
      <c r="A316" t="s">
        <v>35</v>
      </c>
      <c r="B316" s="27">
        <f t="shared" si="14"/>
        <v>0.82808611287256773</v>
      </c>
      <c r="C316" s="27">
        <f t="shared" si="14"/>
        <v>0.84333363530547734</v>
      </c>
      <c r="D316" s="27">
        <f t="shared" si="14"/>
        <v>0.4786130031824018</v>
      </c>
      <c r="E316" s="27">
        <f t="shared" si="14"/>
        <v>0.34601368616056949</v>
      </c>
      <c r="F316" s="27">
        <f t="shared" si="14"/>
        <v>0.81041710229659103</v>
      </c>
      <c r="G316" s="27">
        <f t="shared" si="14"/>
        <v>0.80010427534575057</v>
      </c>
      <c r="H316" s="27">
        <f t="shared" si="14"/>
        <v>0.71236334377838362</v>
      </c>
    </row>
    <row r="317" spans="1:8">
      <c r="A317" t="s">
        <v>36</v>
      </c>
      <c r="B317" s="27">
        <f t="shared" si="14"/>
        <v>0.82475827587136241</v>
      </c>
      <c r="C317" s="27">
        <f t="shared" si="14"/>
        <v>0.85603410004370417</v>
      </c>
      <c r="D317" s="27">
        <f t="shared" si="14"/>
        <v>0.49308703458328712</v>
      </c>
      <c r="E317" s="27">
        <f t="shared" si="14"/>
        <v>0.33889772657691397</v>
      </c>
      <c r="F317" s="27">
        <f t="shared" si="14"/>
        <v>0.8014896932329979</v>
      </c>
      <c r="G317" s="27" t="str">
        <f t="shared" si="14"/>
        <v/>
      </c>
      <c r="H317" s="27">
        <f t="shared" si="14"/>
        <v>0.65279224437005723</v>
      </c>
    </row>
    <row r="318" spans="1:8">
      <c r="A318" t="s">
        <v>37</v>
      </c>
      <c r="B318" s="27">
        <f t="shared" si="14"/>
        <v>0.81462803282264229</v>
      </c>
      <c r="C318" s="27">
        <f t="shared" si="14"/>
        <v>0.85010686460357687</v>
      </c>
      <c r="D318" s="27">
        <f t="shared" si="14"/>
        <v>0.51012434123195749</v>
      </c>
      <c r="E318" s="27">
        <f t="shared" si="14"/>
        <v>0.38731717455121711</v>
      </c>
      <c r="F318" s="27">
        <f t="shared" si="14"/>
        <v>0.81989659380655133</v>
      </c>
      <c r="G318" s="27" t="str">
        <f t="shared" si="14"/>
        <v/>
      </c>
      <c r="H318" s="27">
        <f t="shared" si="14"/>
        <v>0.66345054863034847</v>
      </c>
    </row>
    <row r="319" spans="1:8">
      <c r="A319" t="s">
        <v>38</v>
      </c>
      <c r="B319" s="27">
        <f t="shared" si="14"/>
        <v>0.84053799197982482</v>
      </c>
      <c r="C319" s="27">
        <f t="shared" si="14"/>
        <v>0.85277303195894361</v>
      </c>
      <c r="D319" s="27">
        <f t="shared" si="14"/>
        <v>0.49978980170515225</v>
      </c>
      <c r="E319" s="27">
        <f t="shared" si="14"/>
        <v>0.35568083357755387</v>
      </c>
      <c r="F319" s="27">
        <f t="shared" si="14"/>
        <v>0.8311410253164434</v>
      </c>
      <c r="G319" s="27" t="str">
        <f t="shared" si="14"/>
        <v/>
      </c>
      <c r="H319" s="27">
        <f t="shared" si="14"/>
        <v>0.65693592491316233</v>
      </c>
    </row>
    <row r="320" spans="1:8">
      <c r="A320" t="s">
        <v>39</v>
      </c>
      <c r="B320" s="27">
        <f t="shared" si="14"/>
        <v>0.85356203371670014</v>
      </c>
      <c r="C320" s="27" t="str">
        <f t="shared" si="14"/>
        <v/>
      </c>
      <c r="D320" s="27">
        <f t="shared" si="14"/>
        <v>0.52062613509391109</v>
      </c>
      <c r="E320" s="27">
        <f t="shared" si="14"/>
        <v>0.37323670297186473</v>
      </c>
      <c r="F320" s="27">
        <f t="shared" si="14"/>
        <v>0.83404488304953339</v>
      </c>
      <c r="G320" s="27" t="str">
        <f t="shared" si="14"/>
        <v/>
      </c>
      <c r="H320" s="27">
        <f t="shared" si="14"/>
        <v>0.62527985794059471</v>
      </c>
    </row>
    <row r="321" spans="1:8">
      <c r="A321" t="s">
        <v>40</v>
      </c>
      <c r="B321" s="27">
        <f t="shared" ref="B321:H330" si="15">IF(SUM(B35,B178)=0,"",SUM(B35)/SUM(B35,B178))</f>
        <v>0.8422767698644269</v>
      </c>
      <c r="C321" s="27">
        <f t="shared" si="15"/>
        <v>0.87348856247988993</v>
      </c>
      <c r="D321" s="27">
        <f t="shared" si="15"/>
        <v>0.49075521501440572</v>
      </c>
      <c r="E321" s="27">
        <f t="shared" si="15"/>
        <v>0.34426485339211649</v>
      </c>
      <c r="F321" s="27">
        <f t="shared" si="15"/>
        <v>0.85488988965574964</v>
      </c>
      <c r="G321" s="27" t="str">
        <f t="shared" si="15"/>
        <v/>
      </c>
      <c r="H321" s="27">
        <f t="shared" si="15"/>
        <v>0.66832388362658934</v>
      </c>
    </row>
    <row r="322" spans="1:8">
      <c r="A322" t="s">
        <v>41</v>
      </c>
      <c r="B322" s="27">
        <f t="shared" si="15"/>
        <v>0.84452213684589228</v>
      </c>
      <c r="C322" s="27">
        <f t="shared" si="15"/>
        <v>0.86791995176068948</v>
      </c>
      <c r="D322" s="27">
        <f t="shared" si="15"/>
        <v>0.49476684571506258</v>
      </c>
      <c r="E322" s="27">
        <f t="shared" si="15"/>
        <v>0.36221440505726776</v>
      </c>
      <c r="F322" s="27">
        <f t="shared" si="15"/>
        <v>0.83694405230643887</v>
      </c>
      <c r="G322" s="27" t="str">
        <f t="shared" si="15"/>
        <v/>
      </c>
      <c r="H322" s="27">
        <f t="shared" si="15"/>
        <v>0.68923759916977723</v>
      </c>
    </row>
    <row r="323" spans="1:8">
      <c r="A323" t="s">
        <v>42</v>
      </c>
      <c r="B323" s="27">
        <f t="shared" si="15"/>
        <v>0.83815624557875312</v>
      </c>
      <c r="C323" s="27">
        <f t="shared" si="15"/>
        <v>0.84016131661170934</v>
      </c>
      <c r="D323" s="27">
        <f t="shared" si="15"/>
        <v>0.36843269139714818</v>
      </c>
      <c r="E323" s="27" t="str">
        <f t="shared" si="15"/>
        <v/>
      </c>
      <c r="F323" s="27">
        <f t="shared" si="15"/>
        <v>0.86993422870206605</v>
      </c>
      <c r="G323" s="27" t="str">
        <f t="shared" si="15"/>
        <v/>
      </c>
      <c r="H323" s="27">
        <f t="shared" si="15"/>
        <v>0.71891842527189986</v>
      </c>
    </row>
    <row r="324" spans="1:8">
      <c r="A324" t="s">
        <v>43</v>
      </c>
      <c r="B324" s="27">
        <f t="shared" si="15"/>
        <v>0.87533820746962265</v>
      </c>
      <c r="C324" s="27" t="str">
        <f t="shared" si="15"/>
        <v/>
      </c>
      <c r="D324" s="27" t="str">
        <f t="shared" si="15"/>
        <v/>
      </c>
      <c r="E324" s="27" t="str">
        <f t="shared" si="15"/>
        <v/>
      </c>
      <c r="F324" s="27" t="str">
        <f t="shared" si="15"/>
        <v/>
      </c>
      <c r="G324" s="27" t="str">
        <f t="shared" si="15"/>
        <v/>
      </c>
      <c r="H324" s="27">
        <f t="shared" si="15"/>
        <v>0.87533820746962265</v>
      </c>
    </row>
    <row r="325" spans="1:8">
      <c r="A325" t="s">
        <v>44</v>
      </c>
      <c r="B325" s="27">
        <f t="shared" si="15"/>
        <v>0.83943264130869188</v>
      </c>
      <c r="C325" s="27">
        <f t="shared" si="15"/>
        <v>0.86842312508660069</v>
      </c>
      <c r="D325" s="27">
        <f t="shared" si="15"/>
        <v>0.49906586693708876</v>
      </c>
      <c r="E325" s="27">
        <f t="shared" si="15"/>
        <v>0.33455245005659717</v>
      </c>
      <c r="F325" s="27" t="str">
        <f t="shared" si="15"/>
        <v/>
      </c>
      <c r="G325" s="27" t="str">
        <f t="shared" si="15"/>
        <v/>
      </c>
      <c r="H325" s="27">
        <f t="shared" si="15"/>
        <v>0.62471684424960161</v>
      </c>
    </row>
    <row r="326" spans="1:8">
      <c r="A326" t="s">
        <v>45</v>
      </c>
      <c r="B326" s="27">
        <f t="shared" si="15"/>
        <v>0.86224815636310104</v>
      </c>
      <c r="C326" s="27" t="str">
        <f t="shared" si="15"/>
        <v/>
      </c>
      <c r="D326" s="27">
        <f t="shared" si="15"/>
        <v>0.46136680613668063</v>
      </c>
      <c r="E326" s="27">
        <f t="shared" si="15"/>
        <v>0.30405028014284619</v>
      </c>
      <c r="F326" s="27">
        <f t="shared" si="15"/>
        <v>0.83864171297310075</v>
      </c>
      <c r="G326" s="27" t="str">
        <f t="shared" si="15"/>
        <v/>
      </c>
      <c r="H326" s="27">
        <f t="shared" si="15"/>
        <v>0.58121315304088672</v>
      </c>
    </row>
    <row r="327" spans="1:8">
      <c r="A327" t="s">
        <v>46</v>
      </c>
      <c r="B327" s="27">
        <f t="shared" si="15"/>
        <v>0.81744498996191073</v>
      </c>
      <c r="C327" s="27">
        <f t="shared" si="15"/>
        <v>0.86009208885695643</v>
      </c>
      <c r="D327" s="27">
        <f t="shared" si="15"/>
        <v>0.44931189355899109</v>
      </c>
      <c r="E327" s="27">
        <f t="shared" si="15"/>
        <v>0.2892922041168936</v>
      </c>
      <c r="F327" s="27">
        <f t="shared" si="15"/>
        <v>0.81919536305459939</v>
      </c>
      <c r="G327" s="27" t="str">
        <f t="shared" si="15"/>
        <v/>
      </c>
      <c r="H327" s="27">
        <f t="shared" si="15"/>
        <v>0.60383167967982099</v>
      </c>
    </row>
    <row r="328" spans="1:8">
      <c r="A328" t="s">
        <v>47</v>
      </c>
      <c r="B328" s="27">
        <f t="shared" si="15"/>
        <v>0.84716085851373579</v>
      </c>
      <c r="C328" s="27">
        <f t="shared" si="15"/>
        <v>0.8669520883061399</v>
      </c>
      <c r="D328" s="27">
        <f t="shared" si="15"/>
        <v>0.46910592121698047</v>
      </c>
      <c r="E328" s="27">
        <f t="shared" si="15"/>
        <v>0.31564438115600663</v>
      </c>
      <c r="F328" s="27">
        <f t="shared" si="15"/>
        <v>0.83486899327868691</v>
      </c>
      <c r="G328" s="27" t="str">
        <f t="shared" si="15"/>
        <v/>
      </c>
      <c r="H328" s="27">
        <f t="shared" si="15"/>
        <v>0.64547442415467393</v>
      </c>
    </row>
    <row r="329" spans="1:8">
      <c r="A329" t="s">
        <v>48</v>
      </c>
      <c r="B329" s="27" t="str">
        <f t="shared" si="15"/>
        <v/>
      </c>
      <c r="C329" s="27" t="str">
        <f t="shared" si="15"/>
        <v/>
      </c>
      <c r="D329" s="27">
        <f t="shared" si="15"/>
        <v>0.46825740672596766</v>
      </c>
      <c r="E329" s="27">
        <f t="shared" si="15"/>
        <v>0.30571751805761033</v>
      </c>
      <c r="F329" s="27" t="str">
        <f t="shared" si="15"/>
        <v/>
      </c>
      <c r="G329" s="27" t="str">
        <f t="shared" si="15"/>
        <v/>
      </c>
      <c r="H329" s="27">
        <f t="shared" si="15"/>
        <v>0.37090642387814726</v>
      </c>
    </row>
    <row r="330" spans="1:8">
      <c r="A330" t="s">
        <v>49</v>
      </c>
      <c r="B330" s="27">
        <f t="shared" si="15"/>
        <v>0.83074650618691825</v>
      </c>
      <c r="C330" s="27">
        <f t="shared" si="15"/>
        <v>0.86930924038629831</v>
      </c>
      <c r="D330" s="27">
        <f t="shared" si="15"/>
        <v>0.44352471214065531</v>
      </c>
      <c r="E330" s="27">
        <f t="shared" si="15"/>
        <v>0.29722835792826841</v>
      </c>
      <c r="F330" s="27" t="str">
        <f t="shared" si="15"/>
        <v/>
      </c>
      <c r="G330" s="27" t="str">
        <f t="shared" si="15"/>
        <v/>
      </c>
      <c r="H330" s="27">
        <f t="shared" si="15"/>
        <v>0.59420069527992758</v>
      </c>
    </row>
    <row r="331" spans="1:8">
      <c r="A331" t="s">
        <v>50</v>
      </c>
      <c r="B331" s="27">
        <f t="shared" ref="B331:H340" si="16">IF(SUM(B45,B188)=0,"",SUM(B45)/SUM(B45,B188))</f>
        <v>0.82879157443713514</v>
      </c>
      <c r="C331" s="27">
        <f t="shared" si="16"/>
        <v>0.85792129088578095</v>
      </c>
      <c r="D331" s="27">
        <f t="shared" si="16"/>
        <v>0.43031615418857372</v>
      </c>
      <c r="E331" s="27">
        <f t="shared" si="16"/>
        <v>0.28636284595200368</v>
      </c>
      <c r="F331" s="27">
        <f t="shared" si="16"/>
        <v>0.81803885340706062</v>
      </c>
      <c r="G331" s="27" t="str">
        <f t="shared" si="16"/>
        <v/>
      </c>
      <c r="H331" s="27">
        <f t="shared" si="16"/>
        <v>0.60020676324420241</v>
      </c>
    </row>
    <row r="332" spans="1:8">
      <c r="A332" t="s">
        <v>51</v>
      </c>
      <c r="B332" s="27">
        <f t="shared" si="16"/>
        <v>0.81448066281855769</v>
      </c>
      <c r="C332" s="27">
        <f t="shared" si="16"/>
        <v>0.85235404091523403</v>
      </c>
      <c r="D332" s="27">
        <f t="shared" si="16"/>
        <v>0.45687661859590001</v>
      </c>
      <c r="E332" s="27">
        <f t="shared" si="16"/>
        <v>0.31145488421283107</v>
      </c>
      <c r="F332" s="27">
        <f t="shared" si="16"/>
        <v>0.81715550349988886</v>
      </c>
      <c r="G332" s="27" t="str">
        <f t="shared" si="16"/>
        <v/>
      </c>
      <c r="H332" s="27">
        <f t="shared" si="16"/>
        <v>0.63384167032813044</v>
      </c>
    </row>
    <row r="333" spans="1:8">
      <c r="A333" t="s">
        <v>52</v>
      </c>
      <c r="B333" s="27">
        <f t="shared" si="16"/>
        <v>0.81059807644200743</v>
      </c>
      <c r="C333" s="27">
        <f t="shared" si="16"/>
        <v>0.84110780660986451</v>
      </c>
      <c r="D333" s="27">
        <f t="shared" si="16"/>
        <v>0.30552670743826565</v>
      </c>
      <c r="E333" s="27" t="str">
        <f t="shared" si="16"/>
        <v/>
      </c>
      <c r="F333" s="27">
        <f t="shared" si="16"/>
        <v>0.82139648937644671</v>
      </c>
      <c r="G333" s="27" t="str">
        <f t="shared" si="16"/>
        <v/>
      </c>
      <c r="H333" s="27">
        <f t="shared" si="16"/>
        <v>0.66836125207034758</v>
      </c>
    </row>
    <row r="334" spans="1:8">
      <c r="A334" t="s">
        <v>53</v>
      </c>
      <c r="B334" s="27" t="str">
        <f t="shared" si="16"/>
        <v/>
      </c>
      <c r="C334" s="27" t="str">
        <f t="shared" si="16"/>
        <v/>
      </c>
      <c r="D334" s="27" t="str">
        <f t="shared" si="16"/>
        <v/>
      </c>
      <c r="E334" s="27" t="str">
        <f t="shared" si="16"/>
        <v/>
      </c>
      <c r="F334" s="27">
        <f t="shared" si="16"/>
        <v>0.80898559617366406</v>
      </c>
      <c r="G334" s="27" t="str">
        <f t="shared" si="16"/>
        <v/>
      </c>
      <c r="H334" s="27">
        <f t="shared" si="16"/>
        <v>0.80898559617366406</v>
      </c>
    </row>
    <row r="335" spans="1:8">
      <c r="A335" t="s">
        <v>54</v>
      </c>
      <c r="B335" s="27">
        <f t="shared" si="16"/>
        <v>0.82785416251422106</v>
      </c>
      <c r="C335" s="27">
        <f t="shared" si="16"/>
        <v>0.86338251485167905</v>
      </c>
      <c r="D335" s="27">
        <f t="shared" si="16"/>
        <v>0.44053642825455275</v>
      </c>
      <c r="E335" s="27">
        <f t="shared" si="16"/>
        <v>0.30281220545243243</v>
      </c>
      <c r="F335" s="27">
        <f t="shared" si="16"/>
        <v>0.81985816901755415</v>
      </c>
      <c r="G335" s="27" t="str">
        <f t="shared" si="16"/>
        <v/>
      </c>
      <c r="H335" s="27">
        <f t="shared" si="16"/>
        <v>0.62860148791634163</v>
      </c>
    </row>
    <row r="336" spans="1:8">
      <c r="A336" t="s">
        <v>55</v>
      </c>
      <c r="B336" s="27">
        <f t="shared" si="16"/>
        <v>0.83437937735585976</v>
      </c>
      <c r="C336" s="27">
        <f t="shared" si="16"/>
        <v>0.85630123585992746</v>
      </c>
      <c r="D336" s="27">
        <f t="shared" si="16"/>
        <v>0.46003416911546291</v>
      </c>
      <c r="E336" s="27">
        <f t="shared" si="16"/>
        <v>0.30201510925366054</v>
      </c>
      <c r="F336" s="27">
        <f t="shared" si="16"/>
        <v>0.81144989485820451</v>
      </c>
      <c r="G336" s="27" t="str">
        <f t="shared" si="16"/>
        <v/>
      </c>
      <c r="H336" s="27">
        <f t="shared" si="16"/>
        <v>0.63429852719316493</v>
      </c>
    </row>
    <row r="337" spans="1:8">
      <c r="A337" t="s">
        <v>56</v>
      </c>
      <c r="B337" s="27">
        <f t="shared" si="16"/>
        <v>0.81997961881887649</v>
      </c>
      <c r="C337" s="27">
        <f t="shared" si="16"/>
        <v>0.86076087358791575</v>
      </c>
      <c r="D337" s="27">
        <f t="shared" si="16"/>
        <v>0.45756177267785725</v>
      </c>
      <c r="E337" s="27">
        <f t="shared" si="16"/>
        <v>0.2935240110561681</v>
      </c>
      <c r="F337" s="27">
        <f t="shared" si="16"/>
        <v>0.81594804275794941</v>
      </c>
      <c r="G337" s="27" t="str">
        <f t="shared" si="16"/>
        <v/>
      </c>
      <c r="H337" s="27">
        <f t="shared" si="16"/>
        <v>0.64775142780764627</v>
      </c>
    </row>
    <row r="338" spans="1:8">
      <c r="A338" t="s">
        <v>57</v>
      </c>
      <c r="B338" s="27">
        <f t="shared" si="16"/>
        <v>0.80908460067275723</v>
      </c>
      <c r="C338" s="27">
        <f t="shared" si="16"/>
        <v>0.83683593065301465</v>
      </c>
      <c r="D338" s="27">
        <f t="shared" si="16"/>
        <v>0.4457867860749089</v>
      </c>
      <c r="E338" s="27">
        <f t="shared" si="16"/>
        <v>0.29197460435177397</v>
      </c>
      <c r="F338" s="27" t="str">
        <f t="shared" si="16"/>
        <v/>
      </c>
      <c r="G338" s="27" t="str">
        <f t="shared" si="16"/>
        <v/>
      </c>
      <c r="H338" s="27">
        <f t="shared" si="16"/>
        <v>0.55295978187889783</v>
      </c>
    </row>
    <row r="339" spans="1:8">
      <c r="A339" t="s">
        <v>58</v>
      </c>
      <c r="B339" s="27">
        <f t="shared" si="16"/>
        <v>0.83982987849531954</v>
      </c>
      <c r="C339" s="27">
        <f t="shared" si="16"/>
        <v>0.86162969696767144</v>
      </c>
      <c r="D339" s="27" t="str">
        <f t="shared" si="16"/>
        <v/>
      </c>
      <c r="E339" s="27" t="str">
        <f t="shared" si="16"/>
        <v/>
      </c>
      <c r="F339" s="27" t="str">
        <f t="shared" si="16"/>
        <v/>
      </c>
      <c r="G339" s="27" t="str">
        <f t="shared" si="16"/>
        <v/>
      </c>
      <c r="H339" s="27">
        <f t="shared" si="16"/>
        <v>0.85179090603487539</v>
      </c>
    </row>
    <row r="340" spans="1:8">
      <c r="A340" t="s">
        <v>59</v>
      </c>
      <c r="B340" s="27">
        <f t="shared" si="16"/>
        <v>0.79854483883971916</v>
      </c>
      <c r="C340" s="27">
        <f t="shared" si="16"/>
        <v>0.84637199472279112</v>
      </c>
      <c r="D340" s="27">
        <f t="shared" si="16"/>
        <v>0.42992121986946769</v>
      </c>
      <c r="E340" s="27">
        <f t="shared" si="16"/>
        <v>0.28166826030518227</v>
      </c>
      <c r="F340" s="27">
        <f t="shared" si="16"/>
        <v>0.79286417505979789</v>
      </c>
      <c r="G340" s="27" t="str">
        <f t="shared" si="16"/>
        <v/>
      </c>
      <c r="H340" s="27">
        <f t="shared" si="16"/>
        <v>0.59505985315251642</v>
      </c>
    </row>
    <row r="341" spans="1:8">
      <c r="A341" t="s">
        <v>60</v>
      </c>
      <c r="B341" s="27" t="str">
        <f t="shared" ref="B341:H350" si="17">IF(SUM(B55,B198)=0,"",SUM(B55)/SUM(B55,B198))</f>
        <v/>
      </c>
      <c r="C341" s="27" t="str">
        <f t="shared" si="17"/>
        <v/>
      </c>
      <c r="D341" s="27">
        <f t="shared" si="17"/>
        <v>0.42956550760929851</v>
      </c>
      <c r="E341" s="27" t="str">
        <f t="shared" si="17"/>
        <v/>
      </c>
      <c r="F341" s="27" t="str">
        <f t="shared" si="17"/>
        <v/>
      </c>
      <c r="G341" s="27" t="str">
        <f t="shared" si="17"/>
        <v/>
      </c>
      <c r="H341" s="27">
        <f t="shared" si="17"/>
        <v>0.42956550760929851</v>
      </c>
    </row>
    <row r="342" spans="1:8">
      <c r="A342" t="s">
        <v>61</v>
      </c>
      <c r="B342" s="27" t="str">
        <f t="shared" si="17"/>
        <v/>
      </c>
      <c r="C342" s="27" t="str">
        <f t="shared" si="17"/>
        <v/>
      </c>
      <c r="D342" s="27" t="str">
        <f t="shared" si="17"/>
        <v/>
      </c>
      <c r="E342" s="27" t="str">
        <f t="shared" si="17"/>
        <v/>
      </c>
      <c r="F342" s="27" t="str">
        <f t="shared" si="17"/>
        <v/>
      </c>
      <c r="G342" s="27" t="str">
        <f t="shared" si="17"/>
        <v/>
      </c>
      <c r="H342" s="27" t="str">
        <f t="shared" si="17"/>
        <v/>
      </c>
    </row>
    <row r="343" spans="1:8">
      <c r="A343" t="s">
        <v>62</v>
      </c>
      <c r="B343" s="27" t="str">
        <f t="shared" si="17"/>
        <v/>
      </c>
      <c r="C343" s="27" t="str">
        <f t="shared" si="17"/>
        <v/>
      </c>
      <c r="D343" s="27" t="str">
        <f t="shared" si="17"/>
        <v/>
      </c>
      <c r="E343" s="27" t="str">
        <f t="shared" si="17"/>
        <v/>
      </c>
      <c r="F343" s="27" t="str">
        <f t="shared" si="17"/>
        <v/>
      </c>
      <c r="G343" s="27" t="str">
        <f t="shared" si="17"/>
        <v/>
      </c>
      <c r="H343" s="27" t="str">
        <f t="shared" si="17"/>
        <v/>
      </c>
    </row>
    <row r="344" spans="1:8">
      <c r="A344" t="s">
        <v>63</v>
      </c>
      <c r="B344" s="27" t="str">
        <f t="shared" si="17"/>
        <v/>
      </c>
      <c r="C344" s="27" t="str">
        <f t="shared" si="17"/>
        <v/>
      </c>
      <c r="D344" s="27" t="str">
        <f t="shared" si="17"/>
        <v/>
      </c>
      <c r="E344" s="27" t="str">
        <f t="shared" si="17"/>
        <v/>
      </c>
      <c r="F344" s="27" t="str">
        <f t="shared" si="17"/>
        <v/>
      </c>
      <c r="G344" s="27" t="str">
        <f t="shared" si="17"/>
        <v/>
      </c>
      <c r="H344" s="27" t="str">
        <f t="shared" si="17"/>
        <v/>
      </c>
    </row>
    <row r="345" spans="1:8" hidden="1" outlineLevel="1">
      <c r="A345" t="s">
        <v>64</v>
      </c>
      <c r="B345" s="27" t="str">
        <f t="shared" si="17"/>
        <v/>
      </c>
      <c r="C345" s="27" t="str">
        <f t="shared" si="17"/>
        <v/>
      </c>
      <c r="D345" s="27" t="str">
        <f t="shared" si="17"/>
        <v/>
      </c>
      <c r="E345" s="27" t="str">
        <f t="shared" si="17"/>
        <v/>
      </c>
      <c r="F345" s="27" t="str">
        <f t="shared" si="17"/>
        <v/>
      </c>
      <c r="G345" s="27" t="str">
        <f t="shared" si="17"/>
        <v/>
      </c>
      <c r="H345" s="27" t="str">
        <f t="shared" si="17"/>
        <v/>
      </c>
    </row>
    <row r="346" spans="1:8" hidden="1" outlineLevel="1">
      <c r="A346" t="s">
        <v>65</v>
      </c>
      <c r="B346" s="27" t="str">
        <f t="shared" si="17"/>
        <v/>
      </c>
      <c r="C346" s="27" t="str">
        <f t="shared" si="17"/>
        <v/>
      </c>
      <c r="D346" s="27" t="str">
        <f t="shared" si="17"/>
        <v/>
      </c>
      <c r="E346" s="27" t="str">
        <f t="shared" si="17"/>
        <v/>
      </c>
      <c r="F346" s="27" t="str">
        <f t="shared" si="17"/>
        <v/>
      </c>
      <c r="G346" s="27" t="str">
        <f t="shared" si="17"/>
        <v/>
      </c>
      <c r="H346" s="27" t="str">
        <f t="shared" si="17"/>
        <v/>
      </c>
    </row>
    <row r="347" spans="1:8" hidden="1" outlineLevel="1">
      <c r="A347" t="s">
        <v>66</v>
      </c>
      <c r="B347" s="27" t="str">
        <f t="shared" si="17"/>
        <v/>
      </c>
      <c r="C347" s="27" t="str">
        <f t="shared" si="17"/>
        <v/>
      </c>
      <c r="D347" s="27" t="str">
        <f t="shared" si="17"/>
        <v/>
      </c>
      <c r="E347" s="27" t="str">
        <f t="shared" si="17"/>
        <v/>
      </c>
      <c r="F347" s="27" t="str">
        <f t="shared" si="17"/>
        <v/>
      </c>
      <c r="G347" s="27" t="str">
        <f t="shared" si="17"/>
        <v/>
      </c>
      <c r="H347" s="27" t="str">
        <f t="shared" si="17"/>
        <v/>
      </c>
    </row>
    <row r="348" spans="1:8" hidden="1" outlineLevel="1">
      <c r="A348" t="s">
        <v>67</v>
      </c>
      <c r="B348" s="27" t="str">
        <f t="shared" si="17"/>
        <v/>
      </c>
      <c r="C348" s="27" t="str">
        <f t="shared" si="17"/>
        <v/>
      </c>
      <c r="D348" s="27" t="str">
        <f t="shared" si="17"/>
        <v/>
      </c>
      <c r="E348" s="27" t="str">
        <f t="shared" si="17"/>
        <v/>
      </c>
      <c r="F348" s="27" t="str">
        <f t="shared" si="17"/>
        <v/>
      </c>
      <c r="G348" s="27" t="str">
        <f t="shared" si="17"/>
        <v/>
      </c>
      <c r="H348" s="27" t="str">
        <f t="shared" si="17"/>
        <v/>
      </c>
    </row>
    <row r="349" spans="1:8" hidden="1" outlineLevel="1">
      <c r="A349" t="s">
        <v>68</v>
      </c>
      <c r="B349" s="27" t="str">
        <f t="shared" si="17"/>
        <v/>
      </c>
      <c r="C349" s="27" t="str">
        <f t="shared" si="17"/>
        <v/>
      </c>
      <c r="D349" s="27" t="str">
        <f t="shared" si="17"/>
        <v/>
      </c>
      <c r="E349" s="27" t="str">
        <f t="shared" si="17"/>
        <v/>
      </c>
      <c r="F349" s="27" t="str">
        <f t="shared" si="17"/>
        <v/>
      </c>
      <c r="G349" s="27" t="str">
        <f t="shared" si="17"/>
        <v/>
      </c>
      <c r="H349" s="27" t="str">
        <f t="shared" si="17"/>
        <v/>
      </c>
    </row>
    <row r="350" spans="1:8" hidden="1" outlineLevel="1">
      <c r="A350" t="s">
        <v>69</v>
      </c>
      <c r="B350" s="27" t="str">
        <f t="shared" si="17"/>
        <v/>
      </c>
      <c r="C350" s="27" t="str">
        <f t="shared" si="17"/>
        <v/>
      </c>
      <c r="D350" s="27" t="str">
        <f t="shared" si="17"/>
        <v/>
      </c>
      <c r="E350" s="27" t="str">
        <f t="shared" si="17"/>
        <v/>
      </c>
      <c r="F350" s="27" t="str">
        <f t="shared" si="17"/>
        <v/>
      </c>
      <c r="G350" s="27" t="str">
        <f t="shared" si="17"/>
        <v/>
      </c>
      <c r="H350" s="27" t="str">
        <f t="shared" si="17"/>
        <v/>
      </c>
    </row>
    <row r="351" spans="1:8" hidden="1" outlineLevel="1">
      <c r="A351" t="s">
        <v>70</v>
      </c>
      <c r="B351" s="27" t="str">
        <f t="shared" ref="B351:H360" si="18">IF(SUM(B65,B208)=0,"",SUM(B65)/SUM(B65,B208))</f>
        <v/>
      </c>
      <c r="C351" s="27" t="str">
        <f t="shared" si="18"/>
        <v/>
      </c>
      <c r="D351" s="27" t="str">
        <f t="shared" si="18"/>
        <v/>
      </c>
      <c r="E351" s="27" t="str">
        <f t="shared" si="18"/>
        <v/>
      </c>
      <c r="F351" s="27" t="str">
        <f t="shared" si="18"/>
        <v/>
      </c>
      <c r="G351" s="27" t="str">
        <f t="shared" si="18"/>
        <v/>
      </c>
      <c r="H351" s="27" t="str">
        <f t="shared" si="18"/>
        <v/>
      </c>
    </row>
    <row r="352" spans="1:8" hidden="1" outlineLevel="1">
      <c r="A352" t="s">
        <v>71</v>
      </c>
      <c r="B352" s="27" t="str">
        <f t="shared" si="18"/>
        <v/>
      </c>
      <c r="C352" s="27" t="str">
        <f t="shared" si="18"/>
        <v/>
      </c>
      <c r="D352" s="27" t="str">
        <f t="shared" si="18"/>
        <v/>
      </c>
      <c r="E352" s="27" t="str">
        <f t="shared" si="18"/>
        <v/>
      </c>
      <c r="F352" s="27" t="str">
        <f t="shared" si="18"/>
        <v/>
      </c>
      <c r="G352" s="27" t="str">
        <f t="shared" si="18"/>
        <v/>
      </c>
      <c r="H352" s="27" t="str">
        <f t="shared" si="18"/>
        <v/>
      </c>
    </row>
    <row r="353" spans="1:8" hidden="1" outlineLevel="1">
      <c r="A353" t="s">
        <v>72</v>
      </c>
      <c r="B353" s="27" t="str">
        <f t="shared" si="18"/>
        <v/>
      </c>
      <c r="C353" s="27" t="str">
        <f t="shared" si="18"/>
        <v/>
      </c>
      <c r="D353" s="27" t="str">
        <f t="shared" si="18"/>
        <v/>
      </c>
      <c r="E353" s="27" t="str">
        <f t="shared" si="18"/>
        <v/>
      </c>
      <c r="F353" s="27" t="str">
        <f t="shared" si="18"/>
        <v/>
      </c>
      <c r="G353" s="27" t="str">
        <f t="shared" si="18"/>
        <v/>
      </c>
      <c r="H353" s="27" t="str">
        <f t="shared" si="18"/>
        <v/>
      </c>
    </row>
    <row r="354" spans="1:8" hidden="1" outlineLevel="1">
      <c r="A354" t="s">
        <v>73</v>
      </c>
      <c r="B354" s="27" t="str">
        <f t="shared" si="18"/>
        <v/>
      </c>
      <c r="C354" s="27" t="str">
        <f t="shared" si="18"/>
        <v/>
      </c>
      <c r="D354" s="27" t="str">
        <f t="shared" si="18"/>
        <v/>
      </c>
      <c r="E354" s="27" t="str">
        <f t="shared" si="18"/>
        <v/>
      </c>
      <c r="F354" s="27" t="str">
        <f t="shared" si="18"/>
        <v/>
      </c>
      <c r="G354" s="27" t="str">
        <f t="shared" si="18"/>
        <v/>
      </c>
      <c r="H354" s="27" t="str">
        <f t="shared" si="18"/>
        <v/>
      </c>
    </row>
    <row r="355" spans="1:8" hidden="1" outlineLevel="1">
      <c r="A355" t="s">
        <v>74</v>
      </c>
      <c r="B355" s="27" t="str">
        <f t="shared" si="18"/>
        <v/>
      </c>
      <c r="C355" s="27" t="str">
        <f t="shared" si="18"/>
        <v/>
      </c>
      <c r="D355" s="27" t="str">
        <f t="shared" si="18"/>
        <v/>
      </c>
      <c r="E355" s="27" t="str">
        <f t="shared" si="18"/>
        <v/>
      </c>
      <c r="F355" s="27" t="str">
        <f t="shared" si="18"/>
        <v/>
      </c>
      <c r="G355" s="27" t="str">
        <f t="shared" si="18"/>
        <v/>
      </c>
      <c r="H355" s="27" t="str">
        <f t="shared" si="18"/>
        <v/>
      </c>
    </row>
    <row r="356" spans="1:8" hidden="1" outlineLevel="1">
      <c r="A356" t="s">
        <v>75</v>
      </c>
      <c r="B356" s="27" t="str">
        <f t="shared" si="18"/>
        <v/>
      </c>
      <c r="C356" s="27" t="str">
        <f t="shared" si="18"/>
        <v/>
      </c>
      <c r="D356" s="27" t="str">
        <f t="shared" si="18"/>
        <v/>
      </c>
      <c r="E356" s="27" t="str">
        <f t="shared" si="18"/>
        <v/>
      </c>
      <c r="F356" s="27" t="str">
        <f t="shared" si="18"/>
        <v/>
      </c>
      <c r="G356" s="27" t="str">
        <f t="shared" si="18"/>
        <v/>
      </c>
      <c r="H356" s="27" t="str">
        <f t="shared" si="18"/>
        <v/>
      </c>
    </row>
    <row r="357" spans="1:8" hidden="1" outlineLevel="1">
      <c r="A357" t="s">
        <v>76</v>
      </c>
      <c r="B357" s="27" t="str">
        <f t="shared" si="18"/>
        <v/>
      </c>
      <c r="C357" s="27" t="str">
        <f t="shared" si="18"/>
        <v/>
      </c>
      <c r="D357" s="27" t="str">
        <f t="shared" si="18"/>
        <v/>
      </c>
      <c r="E357" s="27" t="str">
        <f t="shared" si="18"/>
        <v/>
      </c>
      <c r="F357" s="27" t="str">
        <f t="shared" si="18"/>
        <v/>
      </c>
      <c r="G357" s="27" t="str">
        <f t="shared" si="18"/>
        <v/>
      </c>
      <c r="H357" s="27" t="str">
        <f t="shared" si="18"/>
        <v/>
      </c>
    </row>
    <row r="358" spans="1:8" hidden="1" outlineLevel="1">
      <c r="A358" t="s">
        <v>77</v>
      </c>
      <c r="B358" s="27" t="str">
        <f t="shared" si="18"/>
        <v/>
      </c>
      <c r="C358" s="27" t="str">
        <f t="shared" si="18"/>
        <v/>
      </c>
      <c r="D358" s="27" t="str">
        <f t="shared" si="18"/>
        <v/>
      </c>
      <c r="E358" s="27" t="str">
        <f t="shared" si="18"/>
        <v/>
      </c>
      <c r="F358" s="27" t="str">
        <f t="shared" si="18"/>
        <v/>
      </c>
      <c r="G358" s="27" t="str">
        <f t="shared" si="18"/>
        <v/>
      </c>
      <c r="H358" s="27" t="str">
        <f t="shared" si="18"/>
        <v/>
      </c>
    </row>
    <row r="359" spans="1:8" hidden="1" outlineLevel="1">
      <c r="A359" t="s">
        <v>78</v>
      </c>
      <c r="B359" s="27" t="str">
        <f t="shared" si="18"/>
        <v/>
      </c>
      <c r="C359" s="27" t="str">
        <f t="shared" si="18"/>
        <v/>
      </c>
      <c r="D359" s="27" t="str">
        <f t="shared" si="18"/>
        <v/>
      </c>
      <c r="E359" s="27" t="str">
        <f t="shared" si="18"/>
        <v/>
      </c>
      <c r="F359" s="27" t="str">
        <f t="shared" si="18"/>
        <v/>
      </c>
      <c r="G359" s="27" t="str">
        <f t="shared" si="18"/>
        <v/>
      </c>
      <c r="H359" s="27" t="str">
        <f t="shared" si="18"/>
        <v/>
      </c>
    </row>
    <row r="360" spans="1:8" hidden="1" outlineLevel="1">
      <c r="A360" t="s">
        <v>79</v>
      </c>
      <c r="B360" s="27" t="str">
        <f t="shared" si="18"/>
        <v/>
      </c>
      <c r="C360" s="27" t="str">
        <f t="shared" si="18"/>
        <v/>
      </c>
      <c r="D360" s="27" t="str">
        <f t="shared" si="18"/>
        <v/>
      </c>
      <c r="E360" s="27" t="str">
        <f t="shared" si="18"/>
        <v/>
      </c>
      <c r="F360" s="27" t="str">
        <f t="shared" si="18"/>
        <v/>
      </c>
      <c r="G360" s="27" t="str">
        <f t="shared" si="18"/>
        <v/>
      </c>
      <c r="H360" s="27" t="str">
        <f t="shared" si="18"/>
        <v/>
      </c>
    </row>
    <row r="361" spans="1:8" hidden="1" outlineLevel="1">
      <c r="A361" t="s">
        <v>80</v>
      </c>
      <c r="B361" s="27" t="str">
        <f t="shared" ref="B361:H370" si="19">IF(SUM(B75,B218)=0,"",SUM(B75)/SUM(B75,B218))</f>
        <v/>
      </c>
      <c r="C361" s="27" t="str">
        <f t="shared" si="19"/>
        <v/>
      </c>
      <c r="D361" s="27" t="str">
        <f t="shared" si="19"/>
        <v/>
      </c>
      <c r="E361" s="27" t="str">
        <f t="shared" si="19"/>
        <v/>
      </c>
      <c r="F361" s="27" t="str">
        <f t="shared" si="19"/>
        <v/>
      </c>
      <c r="G361" s="27" t="str">
        <f t="shared" si="19"/>
        <v/>
      </c>
      <c r="H361" s="27" t="str">
        <f t="shared" si="19"/>
        <v/>
      </c>
    </row>
    <row r="362" spans="1:8" hidden="1" outlineLevel="1">
      <c r="A362" t="s">
        <v>81</v>
      </c>
      <c r="B362" s="27" t="str">
        <f t="shared" si="19"/>
        <v/>
      </c>
      <c r="C362" s="27" t="str">
        <f t="shared" si="19"/>
        <v/>
      </c>
      <c r="D362" s="27" t="str">
        <f t="shared" si="19"/>
        <v/>
      </c>
      <c r="E362" s="27" t="str">
        <f t="shared" si="19"/>
        <v/>
      </c>
      <c r="F362" s="27" t="str">
        <f t="shared" si="19"/>
        <v/>
      </c>
      <c r="G362" s="27" t="str">
        <f t="shared" si="19"/>
        <v/>
      </c>
      <c r="H362" s="27" t="str">
        <f t="shared" si="19"/>
        <v/>
      </c>
    </row>
    <row r="363" spans="1:8" hidden="1" outlineLevel="1">
      <c r="A363" t="s">
        <v>82</v>
      </c>
      <c r="B363" s="27" t="str">
        <f t="shared" si="19"/>
        <v/>
      </c>
      <c r="C363" s="27" t="str">
        <f t="shared" si="19"/>
        <v/>
      </c>
      <c r="D363" s="27" t="str">
        <f t="shared" si="19"/>
        <v/>
      </c>
      <c r="E363" s="27" t="str">
        <f t="shared" si="19"/>
        <v/>
      </c>
      <c r="F363" s="27" t="str">
        <f t="shared" si="19"/>
        <v/>
      </c>
      <c r="G363" s="27" t="str">
        <f t="shared" si="19"/>
        <v/>
      </c>
      <c r="H363" s="27" t="str">
        <f t="shared" si="19"/>
        <v/>
      </c>
    </row>
    <row r="364" spans="1:8" hidden="1" outlineLevel="1">
      <c r="A364" t="s">
        <v>83</v>
      </c>
      <c r="B364" s="27" t="str">
        <f t="shared" si="19"/>
        <v/>
      </c>
      <c r="C364" s="27" t="str">
        <f t="shared" si="19"/>
        <v/>
      </c>
      <c r="D364" s="27" t="str">
        <f t="shared" si="19"/>
        <v/>
      </c>
      <c r="E364" s="27" t="str">
        <f t="shared" si="19"/>
        <v/>
      </c>
      <c r="F364" s="27" t="str">
        <f t="shared" si="19"/>
        <v/>
      </c>
      <c r="G364" s="27" t="str">
        <f t="shared" si="19"/>
        <v/>
      </c>
      <c r="H364" s="27" t="str">
        <f t="shared" si="19"/>
        <v/>
      </c>
    </row>
    <row r="365" spans="1:8" hidden="1" outlineLevel="1">
      <c r="A365" t="s">
        <v>84</v>
      </c>
      <c r="B365" s="27" t="str">
        <f t="shared" si="19"/>
        <v/>
      </c>
      <c r="C365" s="27" t="str">
        <f t="shared" si="19"/>
        <v/>
      </c>
      <c r="D365" s="27" t="str">
        <f t="shared" si="19"/>
        <v/>
      </c>
      <c r="E365" s="27" t="str">
        <f t="shared" si="19"/>
        <v/>
      </c>
      <c r="F365" s="27" t="str">
        <f t="shared" si="19"/>
        <v/>
      </c>
      <c r="G365" s="27" t="str">
        <f t="shared" si="19"/>
        <v/>
      </c>
      <c r="H365" s="27" t="str">
        <f t="shared" si="19"/>
        <v/>
      </c>
    </row>
    <row r="366" spans="1:8" hidden="1" outlineLevel="1">
      <c r="A366" t="s">
        <v>85</v>
      </c>
      <c r="B366" s="27" t="str">
        <f t="shared" si="19"/>
        <v/>
      </c>
      <c r="C366" s="27" t="str">
        <f t="shared" si="19"/>
        <v/>
      </c>
      <c r="D366" s="27" t="str">
        <f t="shared" si="19"/>
        <v/>
      </c>
      <c r="E366" s="27" t="str">
        <f t="shared" si="19"/>
        <v/>
      </c>
      <c r="F366" s="27" t="str">
        <f t="shared" si="19"/>
        <v/>
      </c>
      <c r="G366" s="27" t="str">
        <f t="shared" si="19"/>
        <v/>
      </c>
      <c r="H366" s="27" t="str">
        <f t="shared" si="19"/>
        <v/>
      </c>
    </row>
    <row r="367" spans="1:8" hidden="1" outlineLevel="1">
      <c r="A367" t="s">
        <v>86</v>
      </c>
      <c r="B367" s="27" t="str">
        <f t="shared" si="19"/>
        <v/>
      </c>
      <c r="C367" s="27" t="str">
        <f t="shared" si="19"/>
        <v/>
      </c>
      <c r="D367" s="27" t="str">
        <f t="shared" si="19"/>
        <v/>
      </c>
      <c r="E367" s="27" t="str">
        <f t="shared" si="19"/>
        <v/>
      </c>
      <c r="F367" s="27" t="str">
        <f t="shared" si="19"/>
        <v/>
      </c>
      <c r="G367" s="27" t="str">
        <f t="shared" si="19"/>
        <v/>
      </c>
      <c r="H367" s="27" t="str">
        <f t="shared" si="19"/>
        <v/>
      </c>
    </row>
    <row r="368" spans="1:8" hidden="1" outlineLevel="1">
      <c r="A368" t="s">
        <v>87</v>
      </c>
      <c r="B368" s="27" t="str">
        <f t="shared" si="19"/>
        <v/>
      </c>
      <c r="C368" s="27" t="str">
        <f t="shared" si="19"/>
        <v/>
      </c>
      <c r="D368" s="27" t="str">
        <f t="shared" si="19"/>
        <v/>
      </c>
      <c r="E368" s="27" t="str">
        <f t="shared" si="19"/>
        <v/>
      </c>
      <c r="F368" s="27" t="str">
        <f t="shared" si="19"/>
        <v/>
      </c>
      <c r="G368" s="27" t="str">
        <f t="shared" si="19"/>
        <v/>
      </c>
      <c r="H368" s="27" t="str">
        <f t="shared" si="19"/>
        <v/>
      </c>
    </row>
    <row r="369" spans="1:8" hidden="1" outlineLevel="1">
      <c r="A369" t="s">
        <v>88</v>
      </c>
      <c r="B369" s="27" t="str">
        <f t="shared" si="19"/>
        <v/>
      </c>
      <c r="C369" s="27" t="str">
        <f t="shared" si="19"/>
        <v/>
      </c>
      <c r="D369" s="27" t="str">
        <f t="shared" si="19"/>
        <v/>
      </c>
      <c r="E369" s="27" t="str">
        <f t="shared" si="19"/>
        <v/>
      </c>
      <c r="F369" s="27" t="str">
        <f t="shared" si="19"/>
        <v/>
      </c>
      <c r="G369" s="27" t="str">
        <f t="shared" si="19"/>
        <v/>
      </c>
      <c r="H369" s="27" t="str">
        <f t="shared" si="19"/>
        <v/>
      </c>
    </row>
    <row r="370" spans="1:8" hidden="1" outlineLevel="1">
      <c r="A370" t="s">
        <v>89</v>
      </c>
      <c r="B370" s="27" t="str">
        <f t="shared" si="19"/>
        <v/>
      </c>
      <c r="C370" s="27" t="str">
        <f t="shared" si="19"/>
        <v/>
      </c>
      <c r="D370" s="27" t="str">
        <f t="shared" si="19"/>
        <v/>
      </c>
      <c r="E370" s="27" t="str">
        <f t="shared" si="19"/>
        <v/>
      </c>
      <c r="F370" s="27" t="str">
        <f t="shared" si="19"/>
        <v/>
      </c>
      <c r="G370" s="27" t="str">
        <f t="shared" si="19"/>
        <v/>
      </c>
      <c r="H370" s="27" t="str">
        <f t="shared" si="19"/>
        <v/>
      </c>
    </row>
    <row r="371" spans="1:8" hidden="1" outlineLevel="1">
      <c r="A371" t="s">
        <v>90</v>
      </c>
      <c r="B371" s="27" t="str">
        <f t="shared" ref="B371:H380" si="20">IF(SUM(B85,B228)=0,"",SUM(B85)/SUM(B85,B228))</f>
        <v/>
      </c>
      <c r="C371" s="27" t="str">
        <f t="shared" si="20"/>
        <v/>
      </c>
      <c r="D371" s="27" t="str">
        <f t="shared" si="20"/>
        <v/>
      </c>
      <c r="E371" s="27" t="str">
        <f t="shared" si="20"/>
        <v/>
      </c>
      <c r="F371" s="27" t="str">
        <f t="shared" si="20"/>
        <v/>
      </c>
      <c r="G371" s="27" t="str">
        <f t="shared" si="20"/>
        <v/>
      </c>
      <c r="H371" s="27" t="str">
        <f t="shared" si="20"/>
        <v/>
      </c>
    </row>
    <row r="372" spans="1:8" hidden="1" outlineLevel="1">
      <c r="A372" t="s">
        <v>91</v>
      </c>
      <c r="B372" s="27" t="str">
        <f t="shared" si="20"/>
        <v/>
      </c>
      <c r="C372" s="27" t="str">
        <f t="shared" si="20"/>
        <v/>
      </c>
      <c r="D372" s="27" t="str">
        <f t="shared" si="20"/>
        <v/>
      </c>
      <c r="E372" s="27" t="str">
        <f t="shared" si="20"/>
        <v/>
      </c>
      <c r="F372" s="27" t="str">
        <f t="shared" si="20"/>
        <v/>
      </c>
      <c r="G372" s="27" t="str">
        <f t="shared" si="20"/>
        <v/>
      </c>
      <c r="H372" s="27" t="str">
        <f t="shared" si="20"/>
        <v/>
      </c>
    </row>
    <row r="373" spans="1:8" hidden="1" outlineLevel="1">
      <c r="A373" t="s">
        <v>92</v>
      </c>
      <c r="B373" s="27" t="str">
        <f t="shared" si="20"/>
        <v/>
      </c>
      <c r="C373" s="27" t="str">
        <f t="shared" si="20"/>
        <v/>
      </c>
      <c r="D373" s="27" t="str">
        <f t="shared" si="20"/>
        <v/>
      </c>
      <c r="E373" s="27" t="str">
        <f t="shared" si="20"/>
        <v/>
      </c>
      <c r="F373" s="27" t="str">
        <f t="shared" si="20"/>
        <v/>
      </c>
      <c r="G373" s="27" t="str">
        <f t="shared" si="20"/>
        <v/>
      </c>
      <c r="H373" s="27" t="str">
        <f t="shared" si="20"/>
        <v/>
      </c>
    </row>
    <row r="374" spans="1:8" hidden="1" outlineLevel="1">
      <c r="A374" t="s">
        <v>93</v>
      </c>
      <c r="B374" s="27" t="str">
        <f t="shared" si="20"/>
        <v/>
      </c>
      <c r="C374" s="27" t="str">
        <f t="shared" si="20"/>
        <v/>
      </c>
      <c r="D374" s="27" t="str">
        <f t="shared" si="20"/>
        <v/>
      </c>
      <c r="E374" s="27" t="str">
        <f t="shared" si="20"/>
        <v/>
      </c>
      <c r="F374" s="27" t="str">
        <f t="shared" si="20"/>
        <v/>
      </c>
      <c r="G374" s="27" t="str">
        <f t="shared" si="20"/>
        <v/>
      </c>
      <c r="H374" s="27" t="str">
        <f t="shared" si="20"/>
        <v/>
      </c>
    </row>
    <row r="375" spans="1:8" hidden="1" outlineLevel="1">
      <c r="A375" t="s">
        <v>94</v>
      </c>
      <c r="B375" s="27" t="str">
        <f t="shared" si="20"/>
        <v/>
      </c>
      <c r="C375" s="27" t="str">
        <f t="shared" si="20"/>
        <v/>
      </c>
      <c r="D375" s="27" t="str">
        <f t="shared" si="20"/>
        <v/>
      </c>
      <c r="E375" s="27" t="str">
        <f t="shared" si="20"/>
        <v/>
      </c>
      <c r="F375" s="27" t="str">
        <f t="shared" si="20"/>
        <v/>
      </c>
      <c r="G375" s="27" t="str">
        <f t="shared" si="20"/>
        <v/>
      </c>
      <c r="H375" s="27" t="str">
        <f t="shared" si="20"/>
        <v/>
      </c>
    </row>
    <row r="376" spans="1:8" hidden="1" outlineLevel="1">
      <c r="A376" t="s">
        <v>95</v>
      </c>
      <c r="B376" s="27" t="str">
        <f t="shared" si="20"/>
        <v/>
      </c>
      <c r="C376" s="27" t="str">
        <f t="shared" si="20"/>
        <v/>
      </c>
      <c r="D376" s="27" t="str">
        <f t="shared" si="20"/>
        <v/>
      </c>
      <c r="E376" s="27" t="str">
        <f t="shared" si="20"/>
        <v/>
      </c>
      <c r="F376" s="27" t="str">
        <f t="shared" si="20"/>
        <v/>
      </c>
      <c r="G376" s="27" t="str">
        <f t="shared" si="20"/>
        <v/>
      </c>
      <c r="H376" s="27" t="str">
        <f t="shared" si="20"/>
        <v/>
      </c>
    </row>
    <row r="377" spans="1:8" hidden="1" outlineLevel="1">
      <c r="A377" t="s">
        <v>96</v>
      </c>
      <c r="B377" s="27" t="str">
        <f t="shared" si="20"/>
        <v/>
      </c>
      <c r="C377" s="27" t="str">
        <f t="shared" si="20"/>
        <v/>
      </c>
      <c r="D377" s="27" t="str">
        <f t="shared" si="20"/>
        <v/>
      </c>
      <c r="E377" s="27" t="str">
        <f t="shared" si="20"/>
        <v/>
      </c>
      <c r="F377" s="27" t="str">
        <f t="shared" si="20"/>
        <v/>
      </c>
      <c r="G377" s="27" t="str">
        <f t="shared" si="20"/>
        <v/>
      </c>
      <c r="H377" s="27" t="str">
        <f t="shared" si="20"/>
        <v/>
      </c>
    </row>
    <row r="378" spans="1:8" hidden="1" outlineLevel="1">
      <c r="A378" t="s">
        <v>97</v>
      </c>
      <c r="B378" s="27" t="str">
        <f t="shared" si="20"/>
        <v/>
      </c>
      <c r="C378" s="27" t="str">
        <f t="shared" si="20"/>
        <v/>
      </c>
      <c r="D378" s="27" t="str">
        <f t="shared" si="20"/>
        <v/>
      </c>
      <c r="E378" s="27" t="str">
        <f t="shared" si="20"/>
        <v/>
      </c>
      <c r="F378" s="27" t="str">
        <f t="shared" si="20"/>
        <v/>
      </c>
      <c r="G378" s="27" t="str">
        <f t="shared" si="20"/>
        <v/>
      </c>
      <c r="H378" s="27" t="str">
        <f t="shared" si="20"/>
        <v/>
      </c>
    </row>
    <row r="379" spans="1:8" hidden="1" outlineLevel="1">
      <c r="A379" t="s">
        <v>98</v>
      </c>
      <c r="B379" s="27" t="str">
        <f t="shared" si="20"/>
        <v/>
      </c>
      <c r="C379" s="27" t="str">
        <f t="shared" si="20"/>
        <v/>
      </c>
      <c r="D379" s="27" t="str">
        <f t="shared" si="20"/>
        <v/>
      </c>
      <c r="E379" s="27" t="str">
        <f t="shared" si="20"/>
        <v/>
      </c>
      <c r="F379" s="27" t="str">
        <f t="shared" si="20"/>
        <v/>
      </c>
      <c r="G379" s="27" t="str">
        <f t="shared" si="20"/>
        <v/>
      </c>
      <c r="H379" s="27" t="str">
        <f t="shared" si="20"/>
        <v/>
      </c>
    </row>
    <row r="380" spans="1:8" hidden="1" outlineLevel="1">
      <c r="A380" t="s">
        <v>99</v>
      </c>
      <c r="B380" s="27" t="str">
        <f t="shared" si="20"/>
        <v/>
      </c>
      <c r="C380" s="27" t="str">
        <f t="shared" si="20"/>
        <v/>
      </c>
      <c r="D380" s="27" t="str">
        <f t="shared" si="20"/>
        <v/>
      </c>
      <c r="E380" s="27" t="str">
        <f t="shared" si="20"/>
        <v/>
      </c>
      <c r="F380" s="27" t="str">
        <f t="shared" si="20"/>
        <v/>
      </c>
      <c r="G380" s="27" t="str">
        <f t="shared" si="20"/>
        <v/>
      </c>
      <c r="H380" s="27" t="str">
        <f t="shared" si="20"/>
        <v/>
      </c>
    </row>
    <row r="381" spans="1:8" hidden="1" outlineLevel="1">
      <c r="A381" t="s">
        <v>100</v>
      </c>
      <c r="B381" s="27" t="str">
        <f t="shared" ref="B381:H390" si="21">IF(SUM(B95,B238)=0,"",SUM(B95)/SUM(B95,B238))</f>
        <v/>
      </c>
      <c r="C381" s="27" t="str">
        <f t="shared" si="21"/>
        <v/>
      </c>
      <c r="D381" s="27" t="str">
        <f t="shared" si="21"/>
        <v/>
      </c>
      <c r="E381" s="27" t="str">
        <f t="shared" si="21"/>
        <v/>
      </c>
      <c r="F381" s="27" t="str">
        <f t="shared" si="21"/>
        <v/>
      </c>
      <c r="G381" s="27" t="str">
        <f t="shared" si="21"/>
        <v/>
      </c>
      <c r="H381" s="27" t="str">
        <f t="shared" si="21"/>
        <v/>
      </c>
    </row>
    <row r="382" spans="1:8" hidden="1" outlineLevel="1">
      <c r="A382" t="s">
        <v>101</v>
      </c>
      <c r="B382" s="27" t="str">
        <f t="shared" si="21"/>
        <v/>
      </c>
      <c r="C382" s="27" t="str">
        <f t="shared" si="21"/>
        <v/>
      </c>
      <c r="D382" s="27" t="str">
        <f t="shared" si="21"/>
        <v/>
      </c>
      <c r="E382" s="27" t="str">
        <f t="shared" si="21"/>
        <v/>
      </c>
      <c r="F382" s="27" t="str">
        <f t="shared" si="21"/>
        <v/>
      </c>
      <c r="G382" s="27" t="str">
        <f t="shared" si="21"/>
        <v/>
      </c>
      <c r="H382" s="27" t="str">
        <f t="shared" si="21"/>
        <v/>
      </c>
    </row>
    <row r="383" spans="1:8" hidden="1" outlineLevel="1">
      <c r="A383" t="s">
        <v>102</v>
      </c>
      <c r="B383" s="27" t="str">
        <f t="shared" si="21"/>
        <v/>
      </c>
      <c r="C383" s="27" t="str">
        <f t="shared" si="21"/>
        <v/>
      </c>
      <c r="D383" s="27" t="str">
        <f t="shared" si="21"/>
        <v/>
      </c>
      <c r="E383" s="27" t="str">
        <f t="shared" si="21"/>
        <v/>
      </c>
      <c r="F383" s="27" t="str">
        <f t="shared" si="21"/>
        <v/>
      </c>
      <c r="G383" s="27" t="str">
        <f t="shared" si="21"/>
        <v/>
      </c>
      <c r="H383" s="27" t="str">
        <f t="shared" si="21"/>
        <v/>
      </c>
    </row>
    <row r="384" spans="1:8" hidden="1" outlineLevel="1">
      <c r="A384" t="s">
        <v>103</v>
      </c>
      <c r="B384" s="27" t="str">
        <f t="shared" si="21"/>
        <v/>
      </c>
      <c r="C384" s="27" t="str">
        <f t="shared" si="21"/>
        <v/>
      </c>
      <c r="D384" s="27" t="str">
        <f t="shared" si="21"/>
        <v/>
      </c>
      <c r="E384" s="27" t="str">
        <f t="shared" si="21"/>
        <v/>
      </c>
      <c r="F384" s="27" t="str">
        <f t="shared" si="21"/>
        <v/>
      </c>
      <c r="G384" s="27" t="str">
        <f t="shared" si="21"/>
        <v/>
      </c>
      <c r="H384" s="27" t="str">
        <f t="shared" si="21"/>
        <v/>
      </c>
    </row>
    <row r="385" spans="1:8" hidden="1" outlineLevel="1">
      <c r="A385" t="s">
        <v>104</v>
      </c>
      <c r="B385" s="27" t="str">
        <f t="shared" si="21"/>
        <v/>
      </c>
      <c r="C385" s="27" t="str">
        <f t="shared" si="21"/>
        <v/>
      </c>
      <c r="D385" s="27" t="str">
        <f t="shared" si="21"/>
        <v/>
      </c>
      <c r="E385" s="27" t="str">
        <f t="shared" si="21"/>
        <v/>
      </c>
      <c r="F385" s="27" t="str">
        <f t="shared" si="21"/>
        <v/>
      </c>
      <c r="G385" s="27" t="str">
        <f t="shared" si="21"/>
        <v/>
      </c>
      <c r="H385" s="27" t="str">
        <f t="shared" si="21"/>
        <v/>
      </c>
    </row>
    <row r="386" spans="1:8" hidden="1" outlineLevel="1">
      <c r="A386" t="s">
        <v>105</v>
      </c>
      <c r="B386" s="27" t="str">
        <f t="shared" si="21"/>
        <v/>
      </c>
      <c r="C386" s="27" t="str">
        <f t="shared" si="21"/>
        <v/>
      </c>
      <c r="D386" s="27" t="str">
        <f t="shared" si="21"/>
        <v/>
      </c>
      <c r="E386" s="27" t="str">
        <f t="shared" si="21"/>
        <v/>
      </c>
      <c r="F386" s="27" t="str">
        <f t="shared" si="21"/>
        <v/>
      </c>
      <c r="G386" s="27" t="str">
        <f t="shared" si="21"/>
        <v/>
      </c>
      <c r="H386" s="27" t="str">
        <f t="shared" si="21"/>
        <v/>
      </c>
    </row>
    <row r="387" spans="1:8" hidden="1" outlineLevel="1">
      <c r="A387" t="s">
        <v>106</v>
      </c>
      <c r="B387" s="27" t="str">
        <f t="shared" si="21"/>
        <v/>
      </c>
      <c r="C387" s="27" t="str">
        <f t="shared" si="21"/>
        <v/>
      </c>
      <c r="D387" s="27" t="str">
        <f t="shared" si="21"/>
        <v/>
      </c>
      <c r="E387" s="27" t="str">
        <f t="shared" si="21"/>
        <v/>
      </c>
      <c r="F387" s="27" t="str">
        <f t="shared" si="21"/>
        <v/>
      </c>
      <c r="G387" s="27" t="str">
        <f t="shared" si="21"/>
        <v/>
      </c>
      <c r="H387" s="27" t="str">
        <f t="shared" si="21"/>
        <v/>
      </c>
    </row>
    <row r="388" spans="1:8" hidden="1" outlineLevel="1">
      <c r="A388" t="s">
        <v>107</v>
      </c>
      <c r="B388" s="27" t="str">
        <f t="shared" si="21"/>
        <v/>
      </c>
      <c r="C388" s="27" t="str">
        <f t="shared" si="21"/>
        <v/>
      </c>
      <c r="D388" s="27" t="str">
        <f t="shared" si="21"/>
        <v/>
      </c>
      <c r="E388" s="27" t="str">
        <f t="shared" si="21"/>
        <v/>
      </c>
      <c r="F388" s="27" t="str">
        <f t="shared" si="21"/>
        <v/>
      </c>
      <c r="G388" s="27" t="str">
        <f t="shared" si="21"/>
        <v/>
      </c>
      <c r="H388" s="27" t="str">
        <f t="shared" si="21"/>
        <v/>
      </c>
    </row>
    <row r="389" spans="1:8" hidden="1" outlineLevel="1">
      <c r="A389" t="s">
        <v>108</v>
      </c>
      <c r="B389" s="27" t="str">
        <f t="shared" si="21"/>
        <v/>
      </c>
      <c r="C389" s="27" t="str">
        <f t="shared" si="21"/>
        <v/>
      </c>
      <c r="D389" s="27" t="str">
        <f t="shared" si="21"/>
        <v/>
      </c>
      <c r="E389" s="27" t="str">
        <f t="shared" si="21"/>
        <v/>
      </c>
      <c r="F389" s="27" t="str">
        <f t="shared" si="21"/>
        <v/>
      </c>
      <c r="G389" s="27" t="str">
        <f t="shared" si="21"/>
        <v/>
      </c>
      <c r="H389" s="27" t="str">
        <f t="shared" si="21"/>
        <v/>
      </c>
    </row>
    <row r="390" spans="1:8" hidden="1" outlineLevel="1">
      <c r="A390" t="s">
        <v>109</v>
      </c>
      <c r="B390" s="27" t="str">
        <f t="shared" si="21"/>
        <v/>
      </c>
      <c r="C390" s="27" t="str">
        <f t="shared" si="21"/>
        <v/>
      </c>
      <c r="D390" s="27" t="str">
        <f t="shared" si="21"/>
        <v/>
      </c>
      <c r="E390" s="27" t="str">
        <f t="shared" si="21"/>
        <v/>
      </c>
      <c r="F390" s="27" t="str">
        <f t="shared" si="21"/>
        <v/>
      </c>
      <c r="G390" s="27" t="str">
        <f t="shared" si="21"/>
        <v/>
      </c>
      <c r="H390" s="27" t="str">
        <f t="shared" si="21"/>
        <v/>
      </c>
    </row>
    <row r="391" spans="1:8" hidden="1" outlineLevel="1">
      <c r="A391" t="s">
        <v>110</v>
      </c>
      <c r="B391" s="27" t="str">
        <f t="shared" ref="B391:H400" si="22">IF(SUM(B105,B248)=0,"",SUM(B105)/SUM(B105,B248))</f>
        <v/>
      </c>
      <c r="C391" s="27" t="str">
        <f t="shared" si="22"/>
        <v/>
      </c>
      <c r="D391" s="27" t="str">
        <f t="shared" si="22"/>
        <v/>
      </c>
      <c r="E391" s="27" t="str">
        <f t="shared" si="22"/>
        <v/>
      </c>
      <c r="F391" s="27" t="str">
        <f t="shared" si="22"/>
        <v/>
      </c>
      <c r="G391" s="27" t="str">
        <f t="shared" si="22"/>
        <v/>
      </c>
      <c r="H391" s="27" t="str">
        <f t="shared" si="22"/>
        <v/>
      </c>
    </row>
    <row r="392" spans="1:8" hidden="1" outlineLevel="1">
      <c r="A392" t="s">
        <v>111</v>
      </c>
      <c r="B392" s="27" t="str">
        <f t="shared" si="22"/>
        <v/>
      </c>
      <c r="C392" s="27" t="str">
        <f t="shared" si="22"/>
        <v/>
      </c>
      <c r="D392" s="27" t="str">
        <f t="shared" si="22"/>
        <v/>
      </c>
      <c r="E392" s="27" t="str">
        <f t="shared" si="22"/>
        <v/>
      </c>
      <c r="F392" s="27" t="str">
        <f t="shared" si="22"/>
        <v/>
      </c>
      <c r="G392" s="27" t="str">
        <f t="shared" si="22"/>
        <v/>
      </c>
      <c r="H392" s="27" t="str">
        <f t="shared" si="22"/>
        <v/>
      </c>
    </row>
    <row r="393" spans="1:8" hidden="1" outlineLevel="1">
      <c r="A393" t="s">
        <v>112</v>
      </c>
      <c r="B393" s="27" t="str">
        <f t="shared" si="22"/>
        <v/>
      </c>
      <c r="C393" s="27" t="str">
        <f t="shared" si="22"/>
        <v/>
      </c>
      <c r="D393" s="27" t="str">
        <f t="shared" si="22"/>
        <v/>
      </c>
      <c r="E393" s="27" t="str">
        <f t="shared" si="22"/>
        <v/>
      </c>
      <c r="F393" s="27" t="str">
        <f t="shared" si="22"/>
        <v/>
      </c>
      <c r="G393" s="27" t="str">
        <f t="shared" si="22"/>
        <v/>
      </c>
      <c r="H393" s="27" t="str">
        <f t="shared" si="22"/>
        <v/>
      </c>
    </row>
    <row r="394" spans="1:8" hidden="1" outlineLevel="1">
      <c r="A394" t="s">
        <v>113</v>
      </c>
      <c r="B394" s="27" t="str">
        <f t="shared" si="22"/>
        <v/>
      </c>
      <c r="C394" s="27" t="str">
        <f t="shared" si="22"/>
        <v/>
      </c>
      <c r="D394" s="27" t="str">
        <f t="shared" si="22"/>
        <v/>
      </c>
      <c r="E394" s="27" t="str">
        <f t="shared" si="22"/>
        <v/>
      </c>
      <c r="F394" s="27" t="str">
        <f t="shared" si="22"/>
        <v/>
      </c>
      <c r="G394" s="27" t="str">
        <f t="shared" si="22"/>
        <v/>
      </c>
      <c r="H394" s="27" t="str">
        <f t="shared" si="22"/>
        <v/>
      </c>
    </row>
    <row r="395" spans="1:8" hidden="1" outlineLevel="1">
      <c r="A395" t="s">
        <v>114</v>
      </c>
      <c r="B395" s="27" t="str">
        <f t="shared" si="22"/>
        <v/>
      </c>
      <c r="C395" s="27" t="str">
        <f t="shared" si="22"/>
        <v/>
      </c>
      <c r="D395" s="27" t="str">
        <f t="shared" si="22"/>
        <v/>
      </c>
      <c r="E395" s="27" t="str">
        <f t="shared" si="22"/>
        <v/>
      </c>
      <c r="F395" s="27" t="str">
        <f t="shared" si="22"/>
        <v/>
      </c>
      <c r="G395" s="27" t="str">
        <f t="shared" si="22"/>
        <v/>
      </c>
      <c r="H395" s="27" t="str">
        <f t="shared" si="22"/>
        <v/>
      </c>
    </row>
    <row r="396" spans="1:8" hidden="1" outlineLevel="1">
      <c r="A396" t="s">
        <v>115</v>
      </c>
      <c r="B396" s="27" t="str">
        <f t="shared" si="22"/>
        <v/>
      </c>
      <c r="C396" s="27" t="str">
        <f t="shared" si="22"/>
        <v/>
      </c>
      <c r="D396" s="27" t="str">
        <f t="shared" si="22"/>
        <v/>
      </c>
      <c r="E396" s="27" t="str">
        <f t="shared" si="22"/>
        <v/>
      </c>
      <c r="F396" s="27" t="str">
        <f t="shared" si="22"/>
        <v/>
      </c>
      <c r="G396" s="27" t="str">
        <f t="shared" si="22"/>
        <v/>
      </c>
      <c r="H396" s="27" t="str">
        <f t="shared" si="22"/>
        <v/>
      </c>
    </row>
    <row r="397" spans="1:8" hidden="1" outlineLevel="1">
      <c r="A397" t="s">
        <v>116</v>
      </c>
      <c r="B397" s="27" t="str">
        <f t="shared" si="22"/>
        <v/>
      </c>
      <c r="C397" s="27" t="str">
        <f t="shared" si="22"/>
        <v/>
      </c>
      <c r="D397" s="27" t="str">
        <f t="shared" si="22"/>
        <v/>
      </c>
      <c r="E397" s="27" t="str">
        <f t="shared" si="22"/>
        <v/>
      </c>
      <c r="F397" s="27" t="str">
        <f t="shared" si="22"/>
        <v/>
      </c>
      <c r="G397" s="27" t="str">
        <f t="shared" si="22"/>
        <v/>
      </c>
      <c r="H397" s="27" t="str">
        <f t="shared" si="22"/>
        <v/>
      </c>
    </row>
    <row r="398" spans="1:8" hidden="1" outlineLevel="1">
      <c r="A398" t="s">
        <v>117</v>
      </c>
      <c r="B398" s="27" t="str">
        <f t="shared" si="22"/>
        <v/>
      </c>
      <c r="C398" s="27" t="str">
        <f t="shared" si="22"/>
        <v/>
      </c>
      <c r="D398" s="27" t="str">
        <f t="shared" si="22"/>
        <v/>
      </c>
      <c r="E398" s="27" t="str">
        <f t="shared" si="22"/>
        <v/>
      </c>
      <c r="F398" s="27" t="str">
        <f t="shared" si="22"/>
        <v/>
      </c>
      <c r="G398" s="27" t="str">
        <f t="shared" si="22"/>
        <v/>
      </c>
      <c r="H398" s="27" t="str">
        <f t="shared" si="22"/>
        <v/>
      </c>
    </row>
    <row r="399" spans="1:8" hidden="1" outlineLevel="1">
      <c r="A399" t="s">
        <v>118</v>
      </c>
      <c r="B399" s="27" t="str">
        <f t="shared" si="22"/>
        <v/>
      </c>
      <c r="C399" s="27" t="str">
        <f t="shared" si="22"/>
        <v/>
      </c>
      <c r="D399" s="27" t="str">
        <f t="shared" si="22"/>
        <v/>
      </c>
      <c r="E399" s="27" t="str">
        <f t="shared" si="22"/>
        <v/>
      </c>
      <c r="F399" s="27" t="str">
        <f t="shared" si="22"/>
        <v/>
      </c>
      <c r="G399" s="27" t="str">
        <f t="shared" si="22"/>
        <v/>
      </c>
      <c r="H399" s="27" t="str">
        <f t="shared" si="22"/>
        <v/>
      </c>
    </row>
    <row r="400" spans="1:8" hidden="1" outlineLevel="1">
      <c r="A400" t="s">
        <v>119</v>
      </c>
      <c r="B400" s="27" t="str">
        <f t="shared" si="22"/>
        <v/>
      </c>
      <c r="C400" s="27" t="str">
        <f t="shared" si="22"/>
        <v/>
      </c>
      <c r="D400" s="27" t="str">
        <f t="shared" si="22"/>
        <v/>
      </c>
      <c r="E400" s="27" t="str">
        <f t="shared" si="22"/>
        <v/>
      </c>
      <c r="F400" s="27" t="str">
        <f t="shared" si="22"/>
        <v/>
      </c>
      <c r="G400" s="27" t="str">
        <f t="shared" si="22"/>
        <v/>
      </c>
      <c r="H400" s="27" t="str">
        <f t="shared" si="22"/>
        <v/>
      </c>
    </row>
    <row r="401" spans="1:8" hidden="1" outlineLevel="1">
      <c r="A401" t="s">
        <v>120</v>
      </c>
      <c r="B401" s="27" t="str">
        <f t="shared" ref="B401:H410" si="23">IF(SUM(B115,B258)=0,"",SUM(B115)/SUM(B115,B258))</f>
        <v/>
      </c>
      <c r="C401" s="27" t="str">
        <f t="shared" si="23"/>
        <v/>
      </c>
      <c r="D401" s="27" t="str">
        <f t="shared" si="23"/>
        <v/>
      </c>
      <c r="E401" s="27" t="str">
        <f t="shared" si="23"/>
        <v/>
      </c>
      <c r="F401" s="27" t="str">
        <f t="shared" si="23"/>
        <v/>
      </c>
      <c r="G401" s="27" t="str">
        <f t="shared" si="23"/>
        <v/>
      </c>
      <c r="H401" s="27" t="str">
        <f t="shared" si="23"/>
        <v/>
      </c>
    </row>
    <row r="402" spans="1:8" hidden="1" outlineLevel="1">
      <c r="A402" t="s">
        <v>121</v>
      </c>
      <c r="B402" s="27" t="str">
        <f t="shared" si="23"/>
        <v/>
      </c>
      <c r="C402" s="27" t="str">
        <f t="shared" si="23"/>
        <v/>
      </c>
      <c r="D402" s="27" t="str">
        <f t="shared" si="23"/>
        <v/>
      </c>
      <c r="E402" s="27" t="str">
        <f t="shared" si="23"/>
        <v/>
      </c>
      <c r="F402" s="27" t="str">
        <f t="shared" si="23"/>
        <v/>
      </c>
      <c r="G402" s="27" t="str">
        <f t="shared" si="23"/>
        <v/>
      </c>
      <c r="H402" s="27" t="str">
        <f t="shared" si="23"/>
        <v/>
      </c>
    </row>
    <row r="403" spans="1:8" hidden="1" outlineLevel="1">
      <c r="A403" t="s">
        <v>122</v>
      </c>
      <c r="B403" s="27" t="str">
        <f t="shared" si="23"/>
        <v/>
      </c>
      <c r="C403" s="27" t="str">
        <f t="shared" si="23"/>
        <v/>
      </c>
      <c r="D403" s="27" t="str">
        <f t="shared" si="23"/>
        <v/>
      </c>
      <c r="E403" s="27" t="str">
        <f t="shared" si="23"/>
        <v/>
      </c>
      <c r="F403" s="27" t="str">
        <f t="shared" si="23"/>
        <v/>
      </c>
      <c r="G403" s="27" t="str">
        <f t="shared" si="23"/>
        <v/>
      </c>
      <c r="H403" s="27" t="str">
        <f t="shared" si="23"/>
        <v/>
      </c>
    </row>
    <row r="404" spans="1:8" hidden="1" outlineLevel="1">
      <c r="A404" t="s">
        <v>123</v>
      </c>
      <c r="B404" s="27" t="str">
        <f t="shared" si="23"/>
        <v/>
      </c>
      <c r="C404" s="27" t="str">
        <f t="shared" si="23"/>
        <v/>
      </c>
      <c r="D404" s="27" t="str">
        <f t="shared" si="23"/>
        <v/>
      </c>
      <c r="E404" s="27" t="str">
        <f t="shared" si="23"/>
        <v/>
      </c>
      <c r="F404" s="27" t="str">
        <f t="shared" si="23"/>
        <v/>
      </c>
      <c r="G404" s="27" t="str">
        <f t="shared" si="23"/>
        <v/>
      </c>
      <c r="H404" s="27" t="str">
        <f t="shared" si="23"/>
        <v/>
      </c>
    </row>
    <row r="405" spans="1:8" hidden="1" outlineLevel="1">
      <c r="A405" t="s">
        <v>124</v>
      </c>
      <c r="B405" s="27" t="str">
        <f t="shared" si="23"/>
        <v/>
      </c>
      <c r="C405" s="27" t="str">
        <f t="shared" si="23"/>
        <v/>
      </c>
      <c r="D405" s="27" t="str">
        <f t="shared" si="23"/>
        <v/>
      </c>
      <c r="E405" s="27" t="str">
        <f t="shared" si="23"/>
        <v/>
      </c>
      <c r="F405" s="27" t="str">
        <f t="shared" si="23"/>
        <v/>
      </c>
      <c r="G405" s="27" t="str">
        <f t="shared" si="23"/>
        <v/>
      </c>
      <c r="H405" s="27" t="str">
        <f t="shared" si="23"/>
        <v/>
      </c>
    </row>
    <row r="406" spans="1:8" hidden="1" outlineLevel="1">
      <c r="A406" t="s">
        <v>125</v>
      </c>
      <c r="B406" s="27" t="str">
        <f t="shared" si="23"/>
        <v/>
      </c>
      <c r="C406" s="27" t="str">
        <f t="shared" si="23"/>
        <v/>
      </c>
      <c r="D406" s="27" t="str">
        <f t="shared" si="23"/>
        <v/>
      </c>
      <c r="E406" s="27" t="str">
        <f t="shared" si="23"/>
        <v/>
      </c>
      <c r="F406" s="27" t="str">
        <f t="shared" si="23"/>
        <v/>
      </c>
      <c r="G406" s="27" t="str">
        <f t="shared" si="23"/>
        <v/>
      </c>
      <c r="H406" s="27" t="str">
        <f t="shared" si="23"/>
        <v/>
      </c>
    </row>
    <row r="407" spans="1:8" hidden="1" outlineLevel="1">
      <c r="A407" t="s">
        <v>126</v>
      </c>
      <c r="B407" s="27" t="str">
        <f t="shared" si="23"/>
        <v/>
      </c>
      <c r="C407" s="27" t="str">
        <f t="shared" si="23"/>
        <v/>
      </c>
      <c r="D407" s="27" t="str">
        <f t="shared" si="23"/>
        <v/>
      </c>
      <c r="E407" s="27" t="str">
        <f t="shared" si="23"/>
        <v/>
      </c>
      <c r="F407" s="27" t="str">
        <f t="shared" si="23"/>
        <v/>
      </c>
      <c r="G407" s="27" t="str">
        <f t="shared" si="23"/>
        <v/>
      </c>
      <c r="H407" s="27" t="str">
        <f t="shared" si="23"/>
        <v/>
      </c>
    </row>
    <row r="408" spans="1:8" hidden="1" outlineLevel="1">
      <c r="A408" t="s">
        <v>127</v>
      </c>
      <c r="B408" s="27" t="str">
        <f t="shared" si="23"/>
        <v/>
      </c>
      <c r="C408" s="27" t="str">
        <f t="shared" si="23"/>
        <v/>
      </c>
      <c r="D408" s="27" t="str">
        <f t="shared" si="23"/>
        <v/>
      </c>
      <c r="E408" s="27" t="str">
        <f t="shared" si="23"/>
        <v/>
      </c>
      <c r="F408" s="27" t="str">
        <f t="shared" si="23"/>
        <v/>
      </c>
      <c r="G408" s="27" t="str">
        <f t="shared" si="23"/>
        <v/>
      </c>
      <c r="H408" s="27" t="str">
        <f t="shared" si="23"/>
        <v/>
      </c>
    </row>
    <row r="409" spans="1:8" hidden="1" outlineLevel="1">
      <c r="A409" t="s">
        <v>128</v>
      </c>
      <c r="B409" s="27" t="str">
        <f t="shared" si="23"/>
        <v/>
      </c>
      <c r="C409" s="27" t="str">
        <f t="shared" si="23"/>
        <v/>
      </c>
      <c r="D409" s="27" t="str">
        <f t="shared" si="23"/>
        <v/>
      </c>
      <c r="E409" s="27" t="str">
        <f t="shared" si="23"/>
        <v/>
      </c>
      <c r="F409" s="27" t="str">
        <f t="shared" si="23"/>
        <v/>
      </c>
      <c r="G409" s="27" t="str">
        <f t="shared" si="23"/>
        <v/>
      </c>
      <c r="H409" s="27" t="str">
        <f t="shared" si="23"/>
        <v/>
      </c>
    </row>
    <row r="410" spans="1:8" hidden="1" outlineLevel="1">
      <c r="A410" t="s">
        <v>129</v>
      </c>
      <c r="B410" s="27" t="str">
        <f t="shared" si="23"/>
        <v/>
      </c>
      <c r="C410" s="27" t="str">
        <f t="shared" si="23"/>
        <v/>
      </c>
      <c r="D410" s="27" t="str">
        <f t="shared" si="23"/>
        <v/>
      </c>
      <c r="E410" s="27" t="str">
        <f t="shared" si="23"/>
        <v/>
      </c>
      <c r="F410" s="27" t="str">
        <f t="shared" si="23"/>
        <v/>
      </c>
      <c r="G410" s="27" t="str">
        <f t="shared" si="23"/>
        <v/>
      </c>
      <c r="H410" s="27" t="str">
        <f t="shared" si="23"/>
        <v/>
      </c>
    </row>
    <row r="411" spans="1:8" hidden="1" outlineLevel="1">
      <c r="A411" t="s">
        <v>130</v>
      </c>
      <c r="B411" s="27" t="str">
        <f t="shared" ref="B411:H420" si="24">IF(SUM(B125,B268)=0,"",SUM(B125)/SUM(B125,B268))</f>
        <v/>
      </c>
      <c r="C411" s="27" t="str">
        <f t="shared" si="24"/>
        <v/>
      </c>
      <c r="D411" s="27" t="str">
        <f t="shared" si="24"/>
        <v/>
      </c>
      <c r="E411" s="27" t="str">
        <f t="shared" si="24"/>
        <v/>
      </c>
      <c r="F411" s="27" t="str">
        <f t="shared" si="24"/>
        <v/>
      </c>
      <c r="G411" s="27" t="str">
        <f t="shared" si="24"/>
        <v/>
      </c>
      <c r="H411" s="27" t="str">
        <f t="shared" si="24"/>
        <v/>
      </c>
    </row>
    <row r="412" spans="1:8" hidden="1" outlineLevel="1">
      <c r="A412" t="s">
        <v>131</v>
      </c>
      <c r="B412" s="27" t="str">
        <f t="shared" si="24"/>
        <v/>
      </c>
      <c r="C412" s="27" t="str">
        <f t="shared" si="24"/>
        <v/>
      </c>
      <c r="D412" s="27" t="str">
        <f t="shared" si="24"/>
        <v/>
      </c>
      <c r="E412" s="27" t="str">
        <f t="shared" si="24"/>
        <v/>
      </c>
      <c r="F412" s="27" t="str">
        <f t="shared" si="24"/>
        <v/>
      </c>
      <c r="G412" s="27" t="str">
        <f t="shared" si="24"/>
        <v/>
      </c>
      <c r="H412" s="27" t="str">
        <f t="shared" si="24"/>
        <v/>
      </c>
    </row>
    <row r="413" spans="1:8" hidden="1" outlineLevel="1">
      <c r="A413" t="s">
        <v>132</v>
      </c>
      <c r="B413" s="27" t="str">
        <f t="shared" si="24"/>
        <v/>
      </c>
      <c r="C413" s="27" t="str">
        <f t="shared" si="24"/>
        <v/>
      </c>
      <c r="D413" s="27" t="str">
        <f t="shared" si="24"/>
        <v/>
      </c>
      <c r="E413" s="27" t="str">
        <f t="shared" si="24"/>
        <v/>
      </c>
      <c r="F413" s="27" t="str">
        <f t="shared" si="24"/>
        <v/>
      </c>
      <c r="G413" s="27" t="str">
        <f t="shared" si="24"/>
        <v/>
      </c>
      <c r="H413" s="27" t="str">
        <f t="shared" si="24"/>
        <v/>
      </c>
    </row>
    <row r="414" spans="1:8" hidden="1" outlineLevel="1">
      <c r="A414" t="s">
        <v>133</v>
      </c>
      <c r="B414" s="27" t="str">
        <f t="shared" si="24"/>
        <v/>
      </c>
      <c r="C414" s="27" t="str">
        <f t="shared" si="24"/>
        <v/>
      </c>
      <c r="D414" s="27" t="str">
        <f t="shared" si="24"/>
        <v/>
      </c>
      <c r="E414" s="27" t="str">
        <f t="shared" si="24"/>
        <v/>
      </c>
      <c r="F414" s="27" t="str">
        <f t="shared" si="24"/>
        <v/>
      </c>
      <c r="G414" s="27" t="str">
        <f t="shared" si="24"/>
        <v/>
      </c>
      <c r="H414" s="27" t="str">
        <f t="shared" si="24"/>
        <v/>
      </c>
    </row>
    <row r="415" spans="1:8" hidden="1" outlineLevel="1">
      <c r="A415" t="s">
        <v>134</v>
      </c>
      <c r="B415" s="27" t="str">
        <f t="shared" si="24"/>
        <v/>
      </c>
      <c r="C415" s="27" t="str">
        <f t="shared" si="24"/>
        <v/>
      </c>
      <c r="D415" s="27" t="str">
        <f t="shared" si="24"/>
        <v/>
      </c>
      <c r="E415" s="27" t="str">
        <f t="shared" si="24"/>
        <v/>
      </c>
      <c r="F415" s="27" t="str">
        <f t="shared" si="24"/>
        <v/>
      </c>
      <c r="G415" s="27" t="str">
        <f t="shared" si="24"/>
        <v/>
      </c>
      <c r="H415" s="27" t="str">
        <f t="shared" si="24"/>
        <v/>
      </c>
    </row>
    <row r="416" spans="1:8" hidden="1" outlineLevel="1">
      <c r="A416" t="s">
        <v>135</v>
      </c>
      <c r="B416" s="27" t="str">
        <f t="shared" si="24"/>
        <v/>
      </c>
      <c r="C416" s="27" t="str">
        <f t="shared" si="24"/>
        <v/>
      </c>
      <c r="D416" s="27" t="str">
        <f t="shared" si="24"/>
        <v/>
      </c>
      <c r="E416" s="27" t="str">
        <f t="shared" si="24"/>
        <v/>
      </c>
      <c r="F416" s="27" t="str">
        <f t="shared" si="24"/>
        <v/>
      </c>
      <c r="G416" s="27" t="str">
        <f t="shared" si="24"/>
        <v/>
      </c>
      <c r="H416" s="27" t="str">
        <f t="shared" si="24"/>
        <v/>
      </c>
    </row>
    <row r="417" spans="1:8" hidden="1" outlineLevel="1">
      <c r="A417" t="s">
        <v>136</v>
      </c>
      <c r="B417" s="27" t="str">
        <f t="shared" si="24"/>
        <v/>
      </c>
      <c r="C417" s="27" t="str">
        <f t="shared" si="24"/>
        <v/>
      </c>
      <c r="D417" s="27" t="str">
        <f t="shared" si="24"/>
        <v/>
      </c>
      <c r="E417" s="27" t="str">
        <f t="shared" si="24"/>
        <v/>
      </c>
      <c r="F417" s="27" t="str">
        <f t="shared" si="24"/>
        <v/>
      </c>
      <c r="G417" s="27" t="str">
        <f t="shared" si="24"/>
        <v/>
      </c>
      <c r="H417" s="27" t="str">
        <f t="shared" si="24"/>
        <v/>
      </c>
    </row>
    <row r="418" spans="1:8" hidden="1" outlineLevel="1">
      <c r="A418" t="s">
        <v>137</v>
      </c>
      <c r="B418" s="27" t="str">
        <f t="shared" si="24"/>
        <v/>
      </c>
      <c r="C418" s="27" t="str">
        <f t="shared" si="24"/>
        <v/>
      </c>
      <c r="D418" s="27" t="str">
        <f t="shared" si="24"/>
        <v/>
      </c>
      <c r="E418" s="27" t="str">
        <f t="shared" si="24"/>
        <v/>
      </c>
      <c r="F418" s="27" t="str">
        <f t="shared" si="24"/>
        <v/>
      </c>
      <c r="G418" s="27" t="str">
        <f t="shared" si="24"/>
        <v/>
      </c>
      <c r="H418" s="27" t="str">
        <f t="shared" si="24"/>
        <v/>
      </c>
    </row>
    <row r="419" spans="1:8" hidden="1" outlineLevel="1">
      <c r="A419" t="s">
        <v>138</v>
      </c>
      <c r="B419" s="27" t="str">
        <f t="shared" si="24"/>
        <v/>
      </c>
      <c r="C419" s="27" t="str">
        <f t="shared" si="24"/>
        <v/>
      </c>
      <c r="D419" s="27" t="str">
        <f t="shared" si="24"/>
        <v/>
      </c>
      <c r="E419" s="27" t="str">
        <f t="shared" si="24"/>
        <v/>
      </c>
      <c r="F419" s="27" t="str">
        <f t="shared" si="24"/>
        <v/>
      </c>
      <c r="G419" s="27" t="str">
        <f t="shared" si="24"/>
        <v/>
      </c>
      <c r="H419" s="27" t="str">
        <f t="shared" si="24"/>
        <v/>
      </c>
    </row>
    <row r="420" spans="1:8" hidden="1" outlineLevel="1">
      <c r="A420" t="s">
        <v>139</v>
      </c>
      <c r="B420" s="27" t="str">
        <f t="shared" si="24"/>
        <v/>
      </c>
      <c r="C420" s="27" t="str">
        <f t="shared" si="24"/>
        <v/>
      </c>
      <c r="D420" s="27" t="str">
        <f t="shared" si="24"/>
        <v/>
      </c>
      <c r="E420" s="27" t="str">
        <f t="shared" si="24"/>
        <v/>
      </c>
      <c r="F420" s="27" t="str">
        <f t="shared" si="24"/>
        <v/>
      </c>
      <c r="G420" s="27" t="str">
        <f t="shared" si="24"/>
        <v/>
      </c>
      <c r="H420" s="27" t="str">
        <f t="shared" si="24"/>
        <v/>
      </c>
    </row>
    <row r="421" spans="1:8" hidden="1" outlineLevel="1">
      <c r="A421" t="s">
        <v>140</v>
      </c>
      <c r="B421" s="27" t="str">
        <f t="shared" ref="B421:H430" si="25">IF(SUM(B135,B278)=0,"",SUM(B135)/SUM(B135,B278))</f>
        <v/>
      </c>
      <c r="C421" s="27" t="str">
        <f t="shared" si="25"/>
        <v/>
      </c>
      <c r="D421" s="27" t="str">
        <f t="shared" si="25"/>
        <v/>
      </c>
      <c r="E421" s="27" t="str">
        <f t="shared" si="25"/>
        <v/>
      </c>
      <c r="F421" s="27" t="str">
        <f t="shared" si="25"/>
        <v/>
      </c>
      <c r="G421" s="27" t="str">
        <f t="shared" si="25"/>
        <v/>
      </c>
      <c r="H421" s="27" t="str">
        <f t="shared" si="25"/>
        <v/>
      </c>
    </row>
    <row r="422" spans="1:8" hidden="1" outlineLevel="1">
      <c r="A422" t="s">
        <v>141</v>
      </c>
      <c r="B422" s="27" t="str">
        <f t="shared" si="25"/>
        <v/>
      </c>
      <c r="C422" s="27" t="str">
        <f t="shared" si="25"/>
        <v/>
      </c>
      <c r="D422" s="27" t="str">
        <f t="shared" si="25"/>
        <v/>
      </c>
      <c r="E422" s="27" t="str">
        <f t="shared" si="25"/>
        <v/>
      </c>
      <c r="F422" s="27" t="str">
        <f t="shared" si="25"/>
        <v/>
      </c>
      <c r="G422" s="27" t="str">
        <f t="shared" si="25"/>
        <v/>
      </c>
      <c r="H422" s="27" t="str">
        <f t="shared" si="25"/>
        <v/>
      </c>
    </row>
    <row r="423" spans="1:8" hidden="1" outlineLevel="1">
      <c r="A423" t="s">
        <v>142</v>
      </c>
      <c r="B423" s="27" t="str">
        <f t="shared" si="25"/>
        <v/>
      </c>
      <c r="C423" s="27" t="str">
        <f t="shared" si="25"/>
        <v/>
      </c>
      <c r="D423" s="27" t="str">
        <f t="shared" si="25"/>
        <v/>
      </c>
      <c r="E423" s="27" t="str">
        <f t="shared" si="25"/>
        <v/>
      </c>
      <c r="F423" s="27" t="str">
        <f t="shared" si="25"/>
        <v/>
      </c>
      <c r="G423" s="27" t="str">
        <f t="shared" si="25"/>
        <v/>
      </c>
      <c r="H423" s="27" t="str">
        <f t="shared" si="25"/>
        <v/>
      </c>
    </row>
    <row r="424" spans="1:8" hidden="1" outlineLevel="1">
      <c r="A424" t="s">
        <v>143</v>
      </c>
      <c r="B424" s="27" t="str">
        <f t="shared" si="25"/>
        <v/>
      </c>
      <c r="C424" s="27" t="str">
        <f t="shared" si="25"/>
        <v/>
      </c>
      <c r="D424" s="27" t="str">
        <f t="shared" si="25"/>
        <v/>
      </c>
      <c r="E424" s="27" t="str">
        <f t="shared" si="25"/>
        <v/>
      </c>
      <c r="F424" s="27" t="str">
        <f t="shared" si="25"/>
        <v/>
      </c>
      <c r="G424" s="27" t="str">
        <f t="shared" si="25"/>
        <v/>
      </c>
      <c r="H424" s="27" t="str">
        <f t="shared" si="25"/>
        <v/>
      </c>
    </row>
    <row r="425" spans="1:8" hidden="1" outlineLevel="1">
      <c r="A425" t="s">
        <v>144</v>
      </c>
      <c r="B425" s="27" t="str">
        <f t="shared" si="25"/>
        <v/>
      </c>
      <c r="C425" s="27" t="str">
        <f t="shared" si="25"/>
        <v/>
      </c>
      <c r="D425" s="27" t="str">
        <f t="shared" si="25"/>
        <v/>
      </c>
      <c r="E425" s="27" t="str">
        <f t="shared" si="25"/>
        <v/>
      </c>
      <c r="F425" s="27" t="str">
        <f t="shared" si="25"/>
        <v/>
      </c>
      <c r="G425" s="27" t="str">
        <f t="shared" si="25"/>
        <v/>
      </c>
      <c r="H425" s="27" t="str">
        <f t="shared" si="25"/>
        <v/>
      </c>
    </row>
    <row r="426" spans="1:8" hidden="1" outlineLevel="1">
      <c r="A426" t="s">
        <v>145</v>
      </c>
      <c r="B426" s="27" t="str">
        <f t="shared" si="25"/>
        <v/>
      </c>
      <c r="C426" s="27" t="str">
        <f t="shared" si="25"/>
        <v/>
      </c>
      <c r="D426" s="27" t="str">
        <f t="shared" si="25"/>
        <v/>
      </c>
      <c r="E426" s="27" t="str">
        <f t="shared" si="25"/>
        <v/>
      </c>
      <c r="F426" s="27" t="str">
        <f t="shared" si="25"/>
        <v/>
      </c>
      <c r="G426" s="27" t="str">
        <f t="shared" si="25"/>
        <v/>
      </c>
      <c r="H426" s="27" t="str">
        <f t="shared" si="25"/>
        <v/>
      </c>
    </row>
    <row r="427" spans="1:8" hidden="1" outlineLevel="1">
      <c r="A427" t="s">
        <v>146</v>
      </c>
      <c r="B427" s="27" t="str">
        <f t="shared" si="25"/>
        <v/>
      </c>
      <c r="C427" s="27" t="str">
        <f t="shared" si="25"/>
        <v/>
      </c>
      <c r="D427" s="27" t="str">
        <f t="shared" si="25"/>
        <v/>
      </c>
      <c r="E427" s="27" t="str">
        <f t="shared" si="25"/>
        <v/>
      </c>
      <c r="F427" s="27" t="str">
        <f t="shared" si="25"/>
        <v/>
      </c>
      <c r="G427" s="27" t="str">
        <f t="shared" si="25"/>
        <v/>
      </c>
      <c r="H427" s="27" t="str">
        <f t="shared" si="25"/>
        <v/>
      </c>
    </row>
    <row r="428" spans="1:8" hidden="1" outlineLevel="1">
      <c r="A428" t="s">
        <v>147</v>
      </c>
      <c r="B428" s="27" t="str">
        <f t="shared" si="25"/>
        <v/>
      </c>
      <c r="C428" s="27" t="str">
        <f t="shared" si="25"/>
        <v/>
      </c>
      <c r="D428" s="27" t="str">
        <f t="shared" si="25"/>
        <v/>
      </c>
      <c r="E428" s="27" t="str">
        <f t="shared" si="25"/>
        <v/>
      </c>
      <c r="F428" s="27" t="str">
        <f t="shared" si="25"/>
        <v/>
      </c>
      <c r="G428" s="27" t="str">
        <f t="shared" si="25"/>
        <v/>
      </c>
      <c r="H428" s="27" t="str">
        <f t="shared" si="25"/>
        <v/>
      </c>
    </row>
    <row r="429" spans="1:8" collapsed="1">
      <c r="A429" s="32" t="s">
        <v>9</v>
      </c>
      <c r="B429" s="34">
        <f t="shared" si="25"/>
        <v>0.8289774638338262</v>
      </c>
      <c r="C429" s="34">
        <f t="shared" si="25"/>
        <v>0.85177971034941313</v>
      </c>
      <c r="D429" s="34">
        <f t="shared" si="25"/>
        <v>0.47257935542710228</v>
      </c>
      <c r="E429" s="34">
        <f t="shared" si="25"/>
        <v>0.34664526903274734</v>
      </c>
      <c r="F429" s="34">
        <f t="shared" si="25"/>
        <v>0.82059724887596075</v>
      </c>
      <c r="G429" s="34">
        <f t="shared" si="25"/>
        <v>0.80010427534575057</v>
      </c>
      <c r="H429" s="34">
        <f t="shared" si="25"/>
        <v>0.65144672158926109</v>
      </c>
    </row>
    <row r="432" spans="1:8">
      <c r="A432" s="32" t="s">
        <v>150</v>
      </c>
    </row>
    <row r="433" spans="1:8">
      <c r="A433" s="32" t="s">
        <v>2</v>
      </c>
      <c r="B433" s="32" t="s">
        <v>3</v>
      </c>
      <c r="C433" s="32" t="s">
        <v>4</v>
      </c>
      <c r="D433" s="32" t="s">
        <v>5</v>
      </c>
      <c r="E433" s="32" t="s">
        <v>6</v>
      </c>
      <c r="F433" s="32" t="s">
        <v>7</v>
      </c>
      <c r="G433" s="32" t="s">
        <v>8</v>
      </c>
      <c r="H433" s="32" t="s">
        <v>9</v>
      </c>
    </row>
    <row r="434" spans="1:8">
      <c r="A434" t="s">
        <v>10</v>
      </c>
      <c r="B434" s="27">
        <f t="shared" ref="B434:H443" si="26">IF(SUM(B5,B148)=0,"",SUM(B148)/SUM(B5,B148))</f>
        <v>0.18389513144321545</v>
      </c>
      <c r="C434" s="27">
        <f t="shared" si="26"/>
        <v>0.12982861485192099</v>
      </c>
      <c r="D434" s="27">
        <f t="shared" si="26"/>
        <v>0.46570562550283889</v>
      </c>
      <c r="E434" s="27">
        <f t="shared" si="26"/>
        <v>0.59970343250141511</v>
      </c>
      <c r="F434" s="27">
        <f t="shared" si="26"/>
        <v>0.1766562310511538</v>
      </c>
      <c r="G434" s="27" t="str">
        <f t="shared" si="26"/>
        <v/>
      </c>
      <c r="H434" s="27">
        <f t="shared" si="26"/>
        <v>0.33265389988578775</v>
      </c>
    </row>
    <row r="435" spans="1:8">
      <c r="A435" t="s">
        <v>11</v>
      </c>
      <c r="B435" s="27">
        <f t="shared" si="26"/>
        <v>0.17331933420506471</v>
      </c>
      <c r="C435" s="27">
        <f t="shared" si="26"/>
        <v>0.13201122806352361</v>
      </c>
      <c r="D435" s="27">
        <f t="shared" si="26"/>
        <v>0.44365481207746005</v>
      </c>
      <c r="E435" s="27">
        <f t="shared" si="26"/>
        <v>0.61592854966266608</v>
      </c>
      <c r="F435" s="27">
        <f t="shared" si="26"/>
        <v>0.1813374857202448</v>
      </c>
      <c r="G435" s="27" t="str">
        <f t="shared" si="26"/>
        <v/>
      </c>
      <c r="H435" s="27">
        <f t="shared" si="26"/>
        <v>0.30936532147216422</v>
      </c>
    </row>
    <row r="436" spans="1:8">
      <c r="A436" t="s">
        <v>12</v>
      </c>
      <c r="B436" s="27">
        <f t="shared" si="26"/>
        <v>0.18301982372066508</v>
      </c>
      <c r="C436" s="27">
        <f t="shared" si="26"/>
        <v>0.14667935004088431</v>
      </c>
      <c r="D436" s="27">
        <f t="shared" si="26"/>
        <v>0.45675940023042316</v>
      </c>
      <c r="E436" s="27">
        <f t="shared" si="26"/>
        <v>0.60780805671514304</v>
      </c>
      <c r="F436" s="27">
        <f t="shared" si="26"/>
        <v>0.18732776954539263</v>
      </c>
      <c r="G436" s="27" t="str">
        <f t="shared" si="26"/>
        <v/>
      </c>
      <c r="H436" s="27">
        <f t="shared" si="26"/>
        <v>0.32844174354170558</v>
      </c>
    </row>
    <row r="437" spans="1:8">
      <c r="A437" t="s">
        <v>13</v>
      </c>
      <c r="B437" s="27">
        <f t="shared" si="26"/>
        <v>0.20462567517493013</v>
      </c>
      <c r="C437" s="27">
        <f t="shared" si="26"/>
        <v>0.15726099125947518</v>
      </c>
      <c r="D437" s="27">
        <f t="shared" si="26"/>
        <v>0.4589837698185833</v>
      </c>
      <c r="E437" s="27">
        <f t="shared" si="26"/>
        <v>0.59261892385799531</v>
      </c>
      <c r="F437" s="27">
        <f t="shared" si="26"/>
        <v>0.16943109799357045</v>
      </c>
      <c r="G437" s="27" t="str">
        <f t="shared" si="26"/>
        <v/>
      </c>
      <c r="H437" s="27">
        <f t="shared" si="26"/>
        <v>0.32603275656493247</v>
      </c>
    </row>
    <row r="438" spans="1:8">
      <c r="A438" t="s">
        <v>14</v>
      </c>
      <c r="B438" s="27">
        <f t="shared" si="26"/>
        <v>0.17037589881622725</v>
      </c>
      <c r="C438" s="27">
        <f t="shared" si="26"/>
        <v>0.14424975433066942</v>
      </c>
      <c r="D438" s="27" t="str">
        <f t="shared" si="26"/>
        <v/>
      </c>
      <c r="E438" s="27" t="str">
        <f t="shared" si="26"/>
        <v/>
      </c>
      <c r="F438" s="27" t="str">
        <f t="shared" si="26"/>
        <v/>
      </c>
      <c r="G438" s="27" t="str">
        <f t="shared" si="26"/>
        <v/>
      </c>
      <c r="H438" s="27">
        <f t="shared" si="26"/>
        <v>0.1572194380359104</v>
      </c>
    </row>
    <row r="439" spans="1:8">
      <c r="A439" t="s">
        <v>15</v>
      </c>
      <c r="B439" s="27">
        <f t="shared" si="26"/>
        <v>0.18166620205324507</v>
      </c>
      <c r="C439" s="27">
        <f t="shared" si="26"/>
        <v>0.15368319742155212</v>
      </c>
      <c r="D439" s="27">
        <f t="shared" si="26"/>
        <v>0.59730019385693223</v>
      </c>
      <c r="E439" s="27" t="str">
        <f t="shared" si="26"/>
        <v/>
      </c>
      <c r="F439" s="27">
        <f t="shared" si="26"/>
        <v>0.18559773166842725</v>
      </c>
      <c r="G439" s="27" t="str">
        <f t="shared" si="26"/>
        <v/>
      </c>
      <c r="H439" s="27">
        <f t="shared" si="26"/>
        <v>0.29926826779980781</v>
      </c>
    </row>
    <row r="440" spans="1:8">
      <c r="A440" t="s">
        <v>16</v>
      </c>
      <c r="B440" s="27">
        <f t="shared" si="26"/>
        <v>0.1934269346193537</v>
      </c>
      <c r="C440" s="27">
        <f t="shared" si="26"/>
        <v>0.15332939353849542</v>
      </c>
      <c r="D440" s="27">
        <f t="shared" si="26"/>
        <v>0.47064508399356386</v>
      </c>
      <c r="E440" s="27">
        <f t="shared" si="26"/>
        <v>0.6126209003180294</v>
      </c>
      <c r="F440" s="27">
        <f t="shared" si="26"/>
        <v>0.1928227836233693</v>
      </c>
      <c r="G440" s="27" t="str">
        <f t="shared" si="26"/>
        <v/>
      </c>
      <c r="H440" s="27">
        <f t="shared" si="26"/>
        <v>0.33890277340891922</v>
      </c>
    </row>
    <row r="441" spans="1:8">
      <c r="A441" t="s">
        <v>17</v>
      </c>
      <c r="B441" s="27">
        <f t="shared" si="26"/>
        <v>0.15623424182157328</v>
      </c>
      <c r="C441" s="27">
        <f t="shared" si="26"/>
        <v>0.91697800979238109</v>
      </c>
      <c r="D441" s="27">
        <f t="shared" si="26"/>
        <v>0.46035260966341363</v>
      </c>
      <c r="E441" s="27">
        <f t="shared" si="26"/>
        <v>0.60677091816595297</v>
      </c>
      <c r="F441" s="27">
        <f t="shared" si="26"/>
        <v>0.19487158532142565</v>
      </c>
      <c r="G441" s="27" t="str">
        <f t="shared" si="26"/>
        <v/>
      </c>
      <c r="H441" s="27">
        <f t="shared" si="26"/>
        <v>0.35363036424637234</v>
      </c>
    </row>
    <row r="442" spans="1:8">
      <c r="A442" t="s">
        <v>18</v>
      </c>
      <c r="B442" s="27">
        <f t="shared" si="26"/>
        <v>0.16433833987911078</v>
      </c>
      <c r="C442" s="27">
        <f t="shared" si="26"/>
        <v>0.13465235048662058</v>
      </c>
      <c r="D442" s="27" t="str">
        <f t="shared" si="26"/>
        <v/>
      </c>
      <c r="E442" s="27">
        <f t="shared" si="26"/>
        <v>0.57221212342271388</v>
      </c>
      <c r="F442" s="27">
        <f t="shared" si="26"/>
        <v>0.16345087084467688</v>
      </c>
      <c r="G442" s="27" t="str">
        <f t="shared" si="26"/>
        <v/>
      </c>
      <c r="H442" s="27">
        <f t="shared" si="26"/>
        <v>0.27139463690656829</v>
      </c>
    </row>
    <row r="443" spans="1:8">
      <c r="A443" t="s">
        <v>19</v>
      </c>
      <c r="B443" s="27" t="str">
        <f t="shared" si="26"/>
        <v/>
      </c>
      <c r="C443" s="27" t="str">
        <f t="shared" si="26"/>
        <v/>
      </c>
      <c r="D443" s="27">
        <f t="shared" si="26"/>
        <v>0.44438685572551684</v>
      </c>
      <c r="E443" s="27">
        <f t="shared" si="26"/>
        <v>0.59127040594355329</v>
      </c>
      <c r="F443" s="27">
        <f t="shared" si="26"/>
        <v>0.17629583845616931</v>
      </c>
      <c r="G443" s="27" t="str">
        <f t="shared" si="26"/>
        <v/>
      </c>
      <c r="H443" s="27">
        <f t="shared" si="26"/>
        <v>0.42106215683654696</v>
      </c>
    </row>
    <row r="444" spans="1:8">
      <c r="A444" t="s">
        <v>20</v>
      </c>
      <c r="B444" s="27">
        <f t="shared" ref="B444:H453" si="27">IF(SUM(B15,B158)=0,"",SUM(B158)/SUM(B15,B158))</f>
        <v>0.18157060707605971</v>
      </c>
      <c r="C444" s="27">
        <f t="shared" si="27"/>
        <v>0.15305054363421131</v>
      </c>
      <c r="D444" s="27" t="str">
        <f t="shared" si="27"/>
        <v/>
      </c>
      <c r="E444" s="27">
        <f t="shared" si="27"/>
        <v>0.61151748753568302</v>
      </c>
      <c r="F444" s="27">
        <f t="shared" si="27"/>
        <v>0.18253931007823085</v>
      </c>
      <c r="G444" s="27" t="str">
        <f t="shared" si="27"/>
        <v/>
      </c>
      <c r="H444" s="27">
        <f t="shared" si="27"/>
        <v>0.29877389101143292</v>
      </c>
    </row>
    <row r="445" spans="1:8">
      <c r="A445" t="s">
        <v>21</v>
      </c>
      <c r="B445" s="27">
        <f t="shared" si="27"/>
        <v>0.17378562938303607</v>
      </c>
      <c r="C445" s="27">
        <f t="shared" si="27"/>
        <v>0.14264014257225877</v>
      </c>
      <c r="D445" s="27">
        <f t="shared" si="27"/>
        <v>0.47325751797543858</v>
      </c>
      <c r="E445" s="27">
        <f t="shared" si="27"/>
        <v>0.63453052504308161</v>
      </c>
      <c r="F445" s="27">
        <f t="shared" si="27"/>
        <v>0.16699843859415708</v>
      </c>
      <c r="G445" s="27" t="str">
        <f t="shared" si="27"/>
        <v/>
      </c>
      <c r="H445" s="27">
        <f t="shared" si="27"/>
        <v>0.3234681194053825</v>
      </c>
    </row>
    <row r="446" spans="1:8">
      <c r="A446" t="s">
        <v>22</v>
      </c>
      <c r="B446" s="27">
        <f t="shared" si="27"/>
        <v>0.17467477425905667</v>
      </c>
      <c r="C446" s="27">
        <f t="shared" si="27"/>
        <v>0.14972597386931358</v>
      </c>
      <c r="D446" s="27">
        <f t="shared" si="27"/>
        <v>0.42795370507817887</v>
      </c>
      <c r="E446" s="27">
        <f t="shared" si="27"/>
        <v>0.60355344208507378</v>
      </c>
      <c r="F446" s="27">
        <f t="shared" si="27"/>
        <v>0.16146352580042306</v>
      </c>
      <c r="G446" s="27" t="str">
        <f t="shared" si="27"/>
        <v/>
      </c>
      <c r="H446" s="27">
        <f t="shared" si="27"/>
        <v>0.31555437948424714</v>
      </c>
    </row>
    <row r="447" spans="1:8">
      <c r="A447" t="s">
        <v>23</v>
      </c>
      <c r="B447" s="27">
        <f t="shared" si="27"/>
        <v>0.15788509230707118</v>
      </c>
      <c r="C447" s="27">
        <f t="shared" si="27"/>
        <v>0.14415535891694473</v>
      </c>
      <c r="D447" s="27">
        <f t="shared" si="27"/>
        <v>0.45851602943329051</v>
      </c>
      <c r="E447" s="27">
        <f t="shared" si="27"/>
        <v>0.6212609465254757</v>
      </c>
      <c r="F447" s="27">
        <f t="shared" si="27"/>
        <v>0.18471973084884744</v>
      </c>
      <c r="G447" s="27" t="str">
        <f t="shared" si="27"/>
        <v/>
      </c>
      <c r="H447" s="27">
        <f t="shared" si="27"/>
        <v>0.34120626127514464</v>
      </c>
    </row>
    <row r="448" spans="1:8">
      <c r="A448" t="s">
        <v>24</v>
      </c>
      <c r="B448" s="27" t="str">
        <f t="shared" si="27"/>
        <v/>
      </c>
      <c r="C448" s="27" t="str">
        <f t="shared" si="27"/>
        <v/>
      </c>
      <c r="D448" s="27" t="str">
        <f t="shared" si="27"/>
        <v/>
      </c>
      <c r="E448" s="27" t="str">
        <f t="shared" si="27"/>
        <v/>
      </c>
      <c r="F448" s="27" t="str">
        <f t="shared" si="27"/>
        <v/>
      </c>
      <c r="G448" s="27" t="str">
        <f t="shared" si="27"/>
        <v/>
      </c>
      <c r="H448" s="27" t="str">
        <f t="shared" si="27"/>
        <v/>
      </c>
    </row>
    <row r="449" spans="1:8">
      <c r="A449" t="s">
        <v>25</v>
      </c>
      <c r="B449" s="27">
        <f t="shared" si="27"/>
        <v>0.17924820284215401</v>
      </c>
      <c r="C449" s="27">
        <f t="shared" si="27"/>
        <v>0.13459527965557533</v>
      </c>
      <c r="D449" s="27">
        <f t="shared" si="27"/>
        <v>0.48822456567806266</v>
      </c>
      <c r="E449" s="27">
        <f t="shared" si="27"/>
        <v>0.64577734386363572</v>
      </c>
      <c r="F449" s="27">
        <f t="shared" si="27"/>
        <v>0.19202093076809965</v>
      </c>
      <c r="G449" s="27" t="str">
        <f t="shared" si="27"/>
        <v/>
      </c>
      <c r="H449" s="27">
        <f t="shared" si="27"/>
        <v>0.34163242643345454</v>
      </c>
    </row>
    <row r="450" spans="1:8">
      <c r="A450" t="s">
        <v>26</v>
      </c>
      <c r="B450" s="27">
        <f t="shared" si="27"/>
        <v>0.1782900421558736</v>
      </c>
      <c r="C450" s="27">
        <f t="shared" si="27"/>
        <v>0.14047825087881413</v>
      </c>
      <c r="D450" s="27">
        <f t="shared" si="27"/>
        <v>0.48678367059766131</v>
      </c>
      <c r="E450" s="27">
        <f t="shared" si="27"/>
        <v>0.62207701203723309</v>
      </c>
      <c r="F450" s="27">
        <f t="shared" si="27"/>
        <v>0.19108679159198433</v>
      </c>
      <c r="G450" s="27" t="str">
        <f t="shared" si="27"/>
        <v/>
      </c>
      <c r="H450" s="27">
        <f t="shared" si="27"/>
        <v>0.34249983406649243</v>
      </c>
    </row>
    <row r="451" spans="1:8">
      <c r="A451" t="s">
        <v>27</v>
      </c>
      <c r="B451" s="27">
        <f t="shared" si="27"/>
        <v>0.18181806127061068</v>
      </c>
      <c r="C451" s="27">
        <f t="shared" si="27"/>
        <v>0.15187949652823424</v>
      </c>
      <c r="D451" s="27">
        <f t="shared" si="27"/>
        <v>0.50415362446408718</v>
      </c>
      <c r="E451" s="27">
        <f t="shared" si="27"/>
        <v>0.64254890362271488</v>
      </c>
      <c r="F451" s="27">
        <f t="shared" si="27"/>
        <v>0.20925131735835989</v>
      </c>
      <c r="G451" s="27" t="str">
        <f t="shared" si="27"/>
        <v/>
      </c>
      <c r="H451" s="27">
        <f t="shared" si="27"/>
        <v>0.35825013792523264</v>
      </c>
    </row>
    <row r="452" spans="1:8">
      <c r="A452" t="s">
        <v>28</v>
      </c>
      <c r="B452" s="27">
        <f t="shared" si="27"/>
        <v>0.22847284127610964</v>
      </c>
      <c r="C452" s="27">
        <f t="shared" si="27"/>
        <v>0.17887081307861311</v>
      </c>
      <c r="D452" s="27">
        <f t="shared" si="27"/>
        <v>0.63660119792316128</v>
      </c>
      <c r="E452" s="27" t="str">
        <f t="shared" si="27"/>
        <v/>
      </c>
      <c r="F452" s="27">
        <f t="shared" si="27"/>
        <v>0.20279210302526968</v>
      </c>
      <c r="G452" s="27" t="str">
        <f t="shared" si="27"/>
        <v/>
      </c>
      <c r="H452" s="27">
        <f t="shared" si="27"/>
        <v>0.34361945831140545</v>
      </c>
    </row>
    <row r="453" spans="1:8">
      <c r="A453" t="s">
        <v>29</v>
      </c>
      <c r="B453" s="27">
        <f t="shared" si="27"/>
        <v>0.19275495377760865</v>
      </c>
      <c r="C453" s="27">
        <f t="shared" si="27"/>
        <v>0.16074358741695091</v>
      </c>
      <c r="D453" s="27">
        <f t="shared" si="27"/>
        <v>0.51085852291044553</v>
      </c>
      <c r="E453" s="27" t="str">
        <f t="shared" si="27"/>
        <v/>
      </c>
      <c r="F453" s="27" t="str">
        <f t="shared" si="27"/>
        <v/>
      </c>
      <c r="G453" s="27" t="str">
        <f t="shared" si="27"/>
        <v/>
      </c>
      <c r="H453" s="27">
        <f t="shared" si="27"/>
        <v>0.29519430214782838</v>
      </c>
    </row>
    <row r="454" spans="1:8">
      <c r="A454" t="s">
        <v>30</v>
      </c>
      <c r="B454" s="27">
        <f t="shared" ref="B454:H463" si="28">IF(SUM(B25,B168)=0,"",SUM(B168)/SUM(B25,B168))</f>
        <v>0.20945939211807321</v>
      </c>
      <c r="C454" s="27">
        <f t="shared" si="28"/>
        <v>0.17084033036981516</v>
      </c>
      <c r="D454" s="27">
        <f t="shared" si="28"/>
        <v>0.50040648799962606</v>
      </c>
      <c r="E454" s="27">
        <f t="shared" si="28"/>
        <v>0.68335399083858694</v>
      </c>
      <c r="F454" s="27">
        <f t="shared" si="28"/>
        <v>0.20881164815809058</v>
      </c>
      <c r="G454" s="27" t="str">
        <f t="shared" si="28"/>
        <v/>
      </c>
      <c r="H454" s="27">
        <f t="shared" si="28"/>
        <v>0.36069824950068879</v>
      </c>
    </row>
    <row r="455" spans="1:8">
      <c r="A455" t="s">
        <v>31</v>
      </c>
      <c r="B455" s="27">
        <f t="shared" si="28"/>
        <v>0.18796206212720448</v>
      </c>
      <c r="C455" s="27">
        <f t="shared" si="28"/>
        <v>0.17990190074691867</v>
      </c>
      <c r="D455" s="27">
        <f t="shared" si="28"/>
        <v>0.64413944655699273</v>
      </c>
      <c r="E455" s="27">
        <f t="shared" si="28"/>
        <v>0.62762258541185512</v>
      </c>
      <c r="F455" s="27">
        <f t="shared" si="28"/>
        <v>0.20296285724077934</v>
      </c>
      <c r="G455" s="27" t="str">
        <f t="shared" si="28"/>
        <v/>
      </c>
      <c r="H455" s="27">
        <f t="shared" si="28"/>
        <v>0.3680097162573393</v>
      </c>
    </row>
    <row r="456" spans="1:8">
      <c r="A456" t="s">
        <v>32</v>
      </c>
      <c r="B456" s="27">
        <f t="shared" si="28"/>
        <v>0.19525216772021875</v>
      </c>
      <c r="C456" s="27">
        <f t="shared" si="28"/>
        <v>0.17029349282810496</v>
      </c>
      <c r="D456" s="27">
        <f t="shared" si="28"/>
        <v>0.47469531818140215</v>
      </c>
      <c r="E456" s="27" t="str">
        <f t="shared" si="28"/>
        <v/>
      </c>
      <c r="F456" s="27">
        <f t="shared" si="28"/>
        <v>0.19604451050281779</v>
      </c>
      <c r="G456" s="27" t="str">
        <f t="shared" si="28"/>
        <v/>
      </c>
      <c r="H456" s="27">
        <f t="shared" si="28"/>
        <v>0.28994419662590637</v>
      </c>
    </row>
    <row r="457" spans="1:8">
      <c r="A457" t="s">
        <v>33</v>
      </c>
      <c r="B457" s="27" t="str">
        <f t="shared" si="28"/>
        <v/>
      </c>
      <c r="C457" s="27">
        <f t="shared" si="28"/>
        <v>0.15767031911430604</v>
      </c>
      <c r="D457" s="27">
        <f t="shared" si="28"/>
        <v>0.53575961703676467</v>
      </c>
      <c r="E457" s="27">
        <f t="shared" si="28"/>
        <v>0.61666887452078967</v>
      </c>
      <c r="F457" s="27">
        <f t="shared" si="28"/>
        <v>0.18228014102342008</v>
      </c>
      <c r="G457" s="27" t="str">
        <f t="shared" si="28"/>
        <v/>
      </c>
      <c r="H457" s="27">
        <f t="shared" si="28"/>
        <v>0.38822280141038973</v>
      </c>
    </row>
    <row r="458" spans="1:8">
      <c r="A458" t="s">
        <v>34</v>
      </c>
      <c r="B458" s="27" t="str">
        <f t="shared" si="28"/>
        <v/>
      </c>
      <c r="C458" s="27" t="str">
        <f t="shared" si="28"/>
        <v/>
      </c>
      <c r="D458" s="27" t="str">
        <f t="shared" si="28"/>
        <v/>
      </c>
      <c r="E458" s="27">
        <f t="shared" si="28"/>
        <v>0.66430134498341242</v>
      </c>
      <c r="F458" s="27">
        <f t="shared" si="28"/>
        <v>0.19159390894015779</v>
      </c>
      <c r="G458" s="27" t="str">
        <f t="shared" si="28"/>
        <v/>
      </c>
      <c r="H458" s="27">
        <f t="shared" si="28"/>
        <v>0.46784462413687888</v>
      </c>
    </row>
    <row r="459" spans="1:8">
      <c r="A459" t="s">
        <v>35</v>
      </c>
      <c r="B459" s="27">
        <f t="shared" si="28"/>
        <v>0.17191388712743233</v>
      </c>
      <c r="C459" s="27">
        <f t="shared" si="28"/>
        <v>0.15666636469452275</v>
      </c>
      <c r="D459" s="27">
        <f t="shared" si="28"/>
        <v>0.52138699681759815</v>
      </c>
      <c r="E459" s="27">
        <f t="shared" si="28"/>
        <v>0.65398631383943051</v>
      </c>
      <c r="F459" s="27">
        <f t="shared" si="28"/>
        <v>0.18958289770340897</v>
      </c>
      <c r="G459" s="27">
        <f t="shared" si="28"/>
        <v>0.19989572465424946</v>
      </c>
      <c r="H459" s="27">
        <f t="shared" si="28"/>
        <v>0.28763665622161638</v>
      </c>
    </row>
    <row r="460" spans="1:8">
      <c r="A460" t="s">
        <v>36</v>
      </c>
      <c r="B460" s="27">
        <f t="shared" si="28"/>
        <v>0.1752417241286375</v>
      </c>
      <c r="C460" s="27">
        <f t="shared" si="28"/>
        <v>0.14396589995629591</v>
      </c>
      <c r="D460" s="27">
        <f t="shared" si="28"/>
        <v>0.50691296541671282</v>
      </c>
      <c r="E460" s="27">
        <f t="shared" si="28"/>
        <v>0.66110227342308603</v>
      </c>
      <c r="F460" s="27">
        <f t="shared" si="28"/>
        <v>0.1985103067670021</v>
      </c>
      <c r="G460" s="27" t="str">
        <f t="shared" si="28"/>
        <v/>
      </c>
      <c r="H460" s="27">
        <f t="shared" si="28"/>
        <v>0.34720775562994266</v>
      </c>
    </row>
    <row r="461" spans="1:8">
      <c r="A461" t="s">
        <v>37</v>
      </c>
      <c r="B461" s="27">
        <f t="shared" si="28"/>
        <v>0.18537196717735768</v>
      </c>
      <c r="C461" s="27">
        <f t="shared" si="28"/>
        <v>0.14989313539642315</v>
      </c>
      <c r="D461" s="27">
        <f t="shared" si="28"/>
        <v>0.48987565876804245</v>
      </c>
      <c r="E461" s="27">
        <f t="shared" si="28"/>
        <v>0.61268282544878294</v>
      </c>
      <c r="F461" s="27">
        <f t="shared" si="28"/>
        <v>0.18010340619344856</v>
      </c>
      <c r="G461" s="27" t="str">
        <f t="shared" si="28"/>
        <v/>
      </c>
      <c r="H461" s="27">
        <f t="shared" si="28"/>
        <v>0.33654945136965159</v>
      </c>
    </row>
    <row r="462" spans="1:8">
      <c r="A462" t="s">
        <v>38</v>
      </c>
      <c r="B462" s="27">
        <f t="shared" si="28"/>
        <v>0.15946200802017518</v>
      </c>
      <c r="C462" s="27">
        <f t="shared" si="28"/>
        <v>0.14722696804105631</v>
      </c>
      <c r="D462" s="27">
        <f t="shared" si="28"/>
        <v>0.50021019829484792</v>
      </c>
      <c r="E462" s="27">
        <f t="shared" si="28"/>
        <v>0.64431916642244624</v>
      </c>
      <c r="F462" s="27">
        <f t="shared" si="28"/>
        <v>0.16885897468355657</v>
      </c>
      <c r="G462" s="27" t="str">
        <f t="shared" si="28"/>
        <v/>
      </c>
      <c r="H462" s="27">
        <f t="shared" si="28"/>
        <v>0.34306407508683762</v>
      </c>
    </row>
    <row r="463" spans="1:8">
      <c r="A463" t="s">
        <v>39</v>
      </c>
      <c r="B463" s="27">
        <f t="shared" si="28"/>
        <v>0.14643796628329994</v>
      </c>
      <c r="C463" s="27" t="str">
        <f t="shared" si="28"/>
        <v/>
      </c>
      <c r="D463" s="27">
        <f t="shared" si="28"/>
        <v>0.47937386490608896</v>
      </c>
      <c r="E463" s="27">
        <f t="shared" si="28"/>
        <v>0.62676329702813538</v>
      </c>
      <c r="F463" s="27">
        <f t="shared" si="28"/>
        <v>0.16595511695046672</v>
      </c>
      <c r="G463" s="27" t="str">
        <f t="shared" si="28"/>
        <v/>
      </c>
      <c r="H463" s="27">
        <f t="shared" si="28"/>
        <v>0.37472014205940535</v>
      </c>
    </row>
    <row r="464" spans="1:8">
      <c r="A464" t="s">
        <v>40</v>
      </c>
      <c r="B464" s="27">
        <f t="shared" ref="B464:H473" si="29">IF(SUM(B35,B178)=0,"",SUM(B178)/SUM(B35,B178))</f>
        <v>0.15772323013557302</v>
      </c>
      <c r="C464" s="27">
        <f t="shared" si="29"/>
        <v>0.12651143752011001</v>
      </c>
      <c r="D464" s="27">
        <f t="shared" si="29"/>
        <v>0.50924478498559433</v>
      </c>
      <c r="E464" s="27">
        <f t="shared" si="29"/>
        <v>0.65573514660788357</v>
      </c>
      <c r="F464" s="27">
        <f t="shared" si="29"/>
        <v>0.14511011034425045</v>
      </c>
      <c r="G464" s="27" t="str">
        <f t="shared" si="29"/>
        <v/>
      </c>
      <c r="H464" s="27">
        <f t="shared" si="29"/>
        <v>0.33167611637341066</v>
      </c>
    </row>
    <row r="465" spans="1:8">
      <c r="A465" t="s">
        <v>41</v>
      </c>
      <c r="B465" s="27">
        <f t="shared" si="29"/>
        <v>0.15547786315410761</v>
      </c>
      <c r="C465" s="27">
        <f t="shared" si="29"/>
        <v>0.13208004823931052</v>
      </c>
      <c r="D465" s="27">
        <f t="shared" si="29"/>
        <v>0.50523315428493754</v>
      </c>
      <c r="E465" s="27">
        <f t="shared" si="29"/>
        <v>0.63778559494273224</v>
      </c>
      <c r="F465" s="27">
        <f t="shared" si="29"/>
        <v>0.1630559476935611</v>
      </c>
      <c r="G465" s="27" t="str">
        <f t="shared" si="29"/>
        <v/>
      </c>
      <c r="H465" s="27">
        <f t="shared" si="29"/>
        <v>0.31076240083022277</v>
      </c>
    </row>
    <row r="466" spans="1:8">
      <c r="A466" t="s">
        <v>42</v>
      </c>
      <c r="B466" s="27">
        <f t="shared" si="29"/>
        <v>0.1618437544212469</v>
      </c>
      <c r="C466" s="27">
        <f t="shared" si="29"/>
        <v>0.15983868338829074</v>
      </c>
      <c r="D466" s="27">
        <f t="shared" si="29"/>
        <v>0.63156730860285182</v>
      </c>
      <c r="E466" s="27" t="str">
        <f t="shared" si="29"/>
        <v/>
      </c>
      <c r="F466" s="27">
        <f t="shared" si="29"/>
        <v>0.13006577129793398</v>
      </c>
      <c r="G466" s="27" t="str">
        <f t="shared" si="29"/>
        <v/>
      </c>
      <c r="H466" s="27">
        <f t="shared" si="29"/>
        <v>0.28108157472810019</v>
      </c>
    </row>
    <row r="467" spans="1:8">
      <c r="A467" t="s">
        <v>43</v>
      </c>
      <c r="B467" s="27">
        <f t="shared" si="29"/>
        <v>0.12466179253037733</v>
      </c>
      <c r="C467" s="27" t="str">
        <f t="shared" si="29"/>
        <v/>
      </c>
      <c r="D467" s="27" t="str">
        <f t="shared" si="29"/>
        <v/>
      </c>
      <c r="E467" s="27" t="str">
        <f t="shared" si="29"/>
        <v/>
      </c>
      <c r="F467" s="27" t="str">
        <f t="shared" si="29"/>
        <v/>
      </c>
      <c r="G467" s="27" t="str">
        <f t="shared" si="29"/>
        <v/>
      </c>
      <c r="H467" s="27">
        <f t="shared" si="29"/>
        <v>0.12466179253037733</v>
      </c>
    </row>
    <row r="468" spans="1:8">
      <c r="A468" t="s">
        <v>44</v>
      </c>
      <c r="B468" s="27">
        <f t="shared" si="29"/>
        <v>0.16056735869130814</v>
      </c>
      <c r="C468" s="27">
        <f t="shared" si="29"/>
        <v>0.13157687491339928</v>
      </c>
      <c r="D468" s="27">
        <f t="shared" si="29"/>
        <v>0.50093413306291124</v>
      </c>
      <c r="E468" s="27">
        <f t="shared" si="29"/>
        <v>0.66544754994340283</v>
      </c>
      <c r="F468" s="27" t="str">
        <f t="shared" si="29"/>
        <v/>
      </c>
      <c r="G468" s="27" t="str">
        <f t="shared" si="29"/>
        <v/>
      </c>
      <c r="H468" s="27">
        <f t="shared" si="29"/>
        <v>0.37528315575039833</v>
      </c>
    </row>
    <row r="469" spans="1:8">
      <c r="A469" t="s">
        <v>45</v>
      </c>
      <c r="B469" s="27">
        <f t="shared" si="29"/>
        <v>0.13775184363689896</v>
      </c>
      <c r="C469" s="27" t="str">
        <f t="shared" si="29"/>
        <v/>
      </c>
      <c r="D469" s="27">
        <f t="shared" si="29"/>
        <v>0.53863319386331932</v>
      </c>
      <c r="E469" s="27">
        <f t="shared" si="29"/>
        <v>0.69594971985715381</v>
      </c>
      <c r="F469" s="27">
        <f t="shared" si="29"/>
        <v>0.16135828702689925</v>
      </c>
      <c r="G469" s="27" t="str">
        <f t="shared" si="29"/>
        <v/>
      </c>
      <c r="H469" s="27">
        <f t="shared" si="29"/>
        <v>0.41878684695911339</v>
      </c>
    </row>
    <row r="470" spans="1:8">
      <c r="A470" t="s">
        <v>46</v>
      </c>
      <c r="B470" s="27">
        <f t="shared" si="29"/>
        <v>0.18255501003808927</v>
      </c>
      <c r="C470" s="27">
        <f t="shared" si="29"/>
        <v>0.13990791114304366</v>
      </c>
      <c r="D470" s="27">
        <f t="shared" si="29"/>
        <v>0.55068810644100885</v>
      </c>
      <c r="E470" s="27">
        <f t="shared" si="29"/>
        <v>0.7107077958831064</v>
      </c>
      <c r="F470" s="27">
        <f t="shared" si="29"/>
        <v>0.18080463694540053</v>
      </c>
      <c r="G470" s="27" t="str">
        <f t="shared" si="29"/>
        <v/>
      </c>
      <c r="H470" s="27">
        <f t="shared" si="29"/>
        <v>0.39616832032017912</v>
      </c>
    </row>
    <row r="471" spans="1:8">
      <c r="A471" t="s">
        <v>47</v>
      </c>
      <c r="B471" s="27">
        <f t="shared" si="29"/>
        <v>0.1528391414862641</v>
      </c>
      <c r="C471" s="27">
        <f t="shared" si="29"/>
        <v>0.13304791169386013</v>
      </c>
      <c r="D471" s="27">
        <f t="shared" si="29"/>
        <v>0.53089407878301953</v>
      </c>
      <c r="E471" s="27">
        <f t="shared" si="29"/>
        <v>0.68435561884399343</v>
      </c>
      <c r="F471" s="27">
        <f t="shared" si="29"/>
        <v>0.16513100672131309</v>
      </c>
      <c r="G471" s="27" t="str">
        <f t="shared" si="29"/>
        <v/>
      </c>
      <c r="H471" s="27">
        <f t="shared" si="29"/>
        <v>0.35452557584532596</v>
      </c>
    </row>
    <row r="472" spans="1:8">
      <c r="A472" t="s">
        <v>48</v>
      </c>
      <c r="B472" s="27" t="str">
        <f t="shared" si="29"/>
        <v/>
      </c>
      <c r="C472" s="27" t="str">
        <f t="shared" si="29"/>
        <v/>
      </c>
      <c r="D472" s="27">
        <f t="shared" si="29"/>
        <v>0.53174259327403239</v>
      </c>
      <c r="E472" s="27">
        <f t="shared" si="29"/>
        <v>0.69428248194238973</v>
      </c>
      <c r="F472" s="27" t="str">
        <f t="shared" si="29"/>
        <v/>
      </c>
      <c r="G472" s="27" t="str">
        <f t="shared" si="29"/>
        <v/>
      </c>
      <c r="H472" s="27">
        <f t="shared" si="29"/>
        <v>0.62909357612185279</v>
      </c>
    </row>
    <row r="473" spans="1:8">
      <c r="A473" t="s">
        <v>49</v>
      </c>
      <c r="B473" s="27">
        <f t="shared" si="29"/>
        <v>0.1692534938130818</v>
      </c>
      <c r="C473" s="27">
        <f t="shared" si="29"/>
        <v>0.13069075961370169</v>
      </c>
      <c r="D473" s="27">
        <f t="shared" si="29"/>
        <v>0.55647528785934464</v>
      </c>
      <c r="E473" s="27">
        <f t="shared" si="29"/>
        <v>0.70277164207173159</v>
      </c>
      <c r="F473" s="27" t="str">
        <f t="shared" si="29"/>
        <v/>
      </c>
      <c r="G473" s="27" t="str">
        <f t="shared" si="29"/>
        <v/>
      </c>
      <c r="H473" s="27">
        <f t="shared" si="29"/>
        <v>0.40579930472007236</v>
      </c>
    </row>
    <row r="474" spans="1:8">
      <c r="A474" t="s">
        <v>50</v>
      </c>
      <c r="B474" s="27">
        <f t="shared" ref="B474:H483" si="30">IF(SUM(B45,B188)=0,"",SUM(B188)/SUM(B45,B188))</f>
        <v>0.17120842556286478</v>
      </c>
      <c r="C474" s="27">
        <f t="shared" si="30"/>
        <v>0.14207870911421899</v>
      </c>
      <c r="D474" s="27">
        <f t="shared" si="30"/>
        <v>0.56968384581142628</v>
      </c>
      <c r="E474" s="27">
        <f t="shared" si="30"/>
        <v>0.71363715404799632</v>
      </c>
      <c r="F474" s="27">
        <f t="shared" si="30"/>
        <v>0.18196114659293941</v>
      </c>
      <c r="G474" s="27" t="str">
        <f t="shared" si="30"/>
        <v/>
      </c>
      <c r="H474" s="27">
        <f t="shared" si="30"/>
        <v>0.39979323675579764</v>
      </c>
    </row>
    <row r="475" spans="1:8">
      <c r="A475" t="s">
        <v>51</v>
      </c>
      <c r="B475" s="27">
        <f t="shared" si="30"/>
        <v>0.18551933718144228</v>
      </c>
      <c r="C475" s="27">
        <f t="shared" si="30"/>
        <v>0.14764595908476599</v>
      </c>
      <c r="D475" s="27">
        <f t="shared" si="30"/>
        <v>0.54312338140409988</v>
      </c>
      <c r="E475" s="27">
        <f t="shared" si="30"/>
        <v>0.68854511578716893</v>
      </c>
      <c r="F475" s="27">
        <f t="shared" si="30"/>
        <v>0.18284449650011111</v>
      </c>
      <c r="G475" s="27" t="str">
        <f t="shared" si="30"/>
        <v/>
      </c>
      <c r="H475" s="27">
        <f t="shared" si="30"/>
        <v>0.36615832967186956</v>
      </c>
    </row>
    <row r="476" spans="1:8">
      <c r="A476" t="s">
        <v>52</v>
      </c>
      <c r="B476" s="27">
        <f t="shared" si="30"/>
        <v>0.18940192355799243</v>
      </c>
      <c r="C476" s="27">
        <f t="shared" si="30"/>
        <v>0.15889219339013544</v>
      </c>
      <c r="D476" s="27">
        <f t="shared" si="30"/>
        <v>0.69447329256173429</v>
      </c>
      <c r="E476" s="27" t="str">
        <f t="shared" si="30"/>
        <v/>
      </c>
      <c r="F476" s="27">
        <f t="shared" si="30"/>
        <v>0.17860351062355331</v>
      </c>
      <c r="G476" s="27" t="str">
        <f t="shared" si="30"/>
        <v/>
      </c>
      <c r="H476" s="27">
        <f t="shared" si="30"/>
        <v>0.33163874792965253</v>
      </c>
    </row>
    <row r="477" spans="1:8">
      <c r="A477" t="s">
        <v>53</v>
      </c>
      <c r="B477" s="27" t="str">
        <f t="shared" si="30"/>
        <v/>
      </c>
      <c r="C477" s="27" t="str">
        <f t="shared" si="30"/>
        <v/>
      </c>
      <c r="D477" s="27" t="str">
        <f t="shared" si="30"/>
        <v/>
      </c>
      <c r="E477" s="27" t="str">
        <f t="shared" si="30"/>
        <v/>
      </c>
      <c r="F477" s="27">
        <f t="shared" si="30"/>
        <v>0.191014403826336</v>
      </c>
      <c r="G477" s="27" t="str">
        <f t="shared" si="30"/>
        <v/>
      </c>
      <c r="H477" s="27">
        <f t="shared" si="30"/>
        <v>0.191014403826336</v>
      </c>
    </row>
    <row r="478" spans="1:8">
      <c r="A478" t="s">
        <v>54</v>
      </c>
      <c r="B478" s="27">
        <f t="shared" si="30"/>
        <v>0.17214583748577883</v>
      </c>
      <c r="C478" s="27">
        <f t="shared" si="30"/>
        <v>0.13661748514832106</v>
      </c>
      <c r="D478" s="27">
        <f t="shared" si="30"/>
        <v>0.55946357174544725</v>
      </c>
      <c r="E478" s="27">
        <f t="shared" si="30"/>
        <v>0.69718779454756752</v>
      </c>
      <c r="F478" s="27">
        <f t="shared" si="30"/>
        <v>0.18014183098244582</v>
      </c>
      <c r="G478" s="27" t="str">
        <f t="shared" si="30"/>
        <v/>
      </c>
      <c r="H478" s="27">
        <f t="shared" si="30"/>
        <v>0.37139851208365826</v>
      </c>
    </row>
    <row r="479" spans="1:8">
      <c r="A479" t="s">
        <v>55</v>
      </c>
      <c r="B479" s="27">
        <f t="shared" si="30"/>
        <v>0.16562062264414024</v>
      </c>
      <c r="C479" s="27">
        <f t="shared" si="30"/>
        <v>0.14369876414007254</v>
      </c>
      <c r="D479" s="27">
        <f t="shared" si="30"/>
        <v>0.5399658308845372</v>
      </c>
      <c r="E479" s="27">
        <f t="shared" si="30"/>
        <v>0.69798489074633951</v>
      </c>
      <c r="F479" s="27">
        <f t="shared" si="30"/>
        <v>0.18855010514179557</v>
      </c>
      <c r="G479" s="27" t="str">
        <f t="shared" si="30"/>
        <v/>
      </c>
      <c r="H479" s="27">
        <f t="shared" si="30"/>
        <v>0.36570147280683496</v>
      </c>
    </row>
    <row r="480" spans="1:8">
      <c r="A480" t="s">
        <v>56</v>
      </c>
      <c r="B480" s="27">
        <f t="shared" si="30"/>
        <v>0.18002038118112354</v>
      </c>
      <c r="C480" s="27">
        <f t="shared" si="30"/>
        <v>0.13923912641208414</v>
      </c>
      <c r="D480" s="27">
        <f t="shared" si="30"/>
        <v>0.54243822732214275</v>
      </c>
      <c r="E480" s="27">
        <f t="shared" si="30"/>
        <v>0.70647598894383179</v>
      </c>
      <c r="F480" s="27">
        <f t="shared" si="30"/>
        <v>0.18405195724205059</v>
      </c>
      <c r="G480" s="27" t="str">
        <f t="shared" si="30"/>
        <v/>
      </c>
      <c r="H480" s="27">
        <f t="shared" si="30"/>
        <v>0.35224857219235373</v>
      </c>
    </row>
    <row r="481" spans="1:8">
      <c r="A481" t="s">
        <v>57</v>
      </c>
      <c r="B481" s="27">
        <f t="shared" si="30"/>
        <v>0.19091539932724269</v>
      </c>
      <c r="C481" s="27">
        <f t="shared" si="30"/>
        <v>0.1631640693469853</v>
      </c>
      <c r="D481" s="27">
        <f t="shared" si="30"/>
        <v>0.55421321392509104</v>
      </c>
      <c r="E481" s="27">
        <f t="shared" si="30"/>
        <v>0.70802539564822609</v>
      </c>
      <c r="F481" s="27" t="str">
        <f t="shared" si="30"/>
        <v/>
      </c>
      <c r="G481" s="27" t="str">
        <f t="shared" si="30"/>
        <v/>
      </c>
      <c r="H481" s="27">
        <f t="shared" si="30"/>
        <v>0.44704021812110223</v>
      </c>
    </row>
    <row r="482" spans="1:8">
      <c r="A482" t="s">
        <v>58</v>
      </c>
      <c r="B482" s="27">
        <f t="shared" si="30"/>
        <v>0.16017012150468049</v>
      </c>
      <c r="C482" s="27">
        <f t="shared" si="30"/>
        <v>0.13837030303232858</v>
      </c>
      <c r="D482" s="27" t="str">
        <f t="shared" si="30"/>
        <v/>
      </c>
      <c r="E482" s="27" t="str">
        <f t="shared" si="30"/>
        <v/>
      </c>
      <c r="F482" s="27" t="str">
        <f t="shared" si="30"/>
        <v/>
      </c>
      <c r="G482" s="27" t="str">
        <f t="shared" si="30"/>
        <v/>
      </c>
      <c r="H482" s="27">
        <f t="shared" si="30"/>
        <v>0.14820909396512452</v>
      </c>
    </row>
    <row r="483" spans="1:8">
      <c r="A483" t="s">
        <v>59</v>
      </c>
      <c r="B483" s="27">
        <f t="shared" si="30"/>
        <v>0.20145516116028075</v>
      </c>
      <c r="C483" s="27">
        <f t="shared" si="30"/>
        <v>0.1536280052772088</v>
      </c>
      <c r="D483" s="27">
        <f t="shared" si="30"/>
        <v>0.57007878013053237</v>
      </c>
      <c r="E483" s="27">
        <f t="shared" si="30"/>
        <v>0.71833173969481767</v>
      </c>
      <c r="F483" s="27">
        <f t="shared" si="30"/>
        <v>0.20713582494020211</v>
      </c>
      <c r="G483" s="27" t="str">
        <f t="shared" si="30"/>
        <v/>
      </c>
      <c r="H483" s="27">
        <f t="shared" si="30"/>
        <v>0.40494014684748358</v>
      </c>
    </row>
    <row r="484" spans="1:8">
      <c r="A484" t="s">
        <v>60</v>
      </c>
      <c r="B484" s="27" t="str">
        <f t="shared" ref="B484:H493" si="31">IF(SUM(B55,B198)=0,"",SUM(B198)/SUM(B55,B198))</f>
        <v/>
      </c>
      <c r="C484" s="27" t="str">
        <f t="shared" si="31"/>
        <v/>
      </c>
      <c r="D484" s="27">
        <f t="shared" si="31"/>
        <v>0.57043449239070154</v>
      </c>
      <c r="E484" s="27" t="str">
        <f t="shared" si="31"/>
        <v/>
      </c>
      <c r="F484" s="27" t="str">
        <f t="shared" si="31"/>
        <v/>
      </c>
      <c r="G484" s="27" t="str">
        <f t="shared" si="31"/>
        <v/>
      </c>
      <c r="H484" s="27">
        <f t="shared" si="31"/>
        <v>0.57043449239070154</v>
      </c>
    </row>
    <row r="485" spans="1:8">
      <c r="A485" t="s">
        <v>61</v>
      </c>
      <c r="B485" s="27" t="str">
        <f t="shared" si="31"/>
        <v/>
      </c>
      <c r="C485" s="27" t="str">
        <f t="shared" si="31"/>
        <v/>
      </c>
      <c r="D485" s="27" t="str">
        <f t="shared" si="31"/>
        <v/>
      </c>
      <c r="E485" s="27" t="str">
        <f t="shared" si="31"/>
        <v/>
      </c>
      <c r="F485" s="27" t="str">
        <f t="shared" si="31"/>
        <v/>
      </c>
      <c r="G485" s="27" t="str">
        <f t="shared" si="31"/>
        <v/>
      </c>
      <c r="H485" s="27" t="str">
        <f t="shared" si="31"/>
        <v/>
      </c>
    </row>
    <row r="486" spans="1:8">
      <c r="A486" t="s">
        <v>62</v>
      </c>
      <c r="B486" s="27" t="str">
        <f t="shared" si="31"/>
        <v/>
      </c>
      <c r="C486" s="27" t="str">
        <f t="shared" si="31"/>
        <v/>
      </c>
      <c r="D486" s="27" t="str">
        <f t="shared" si="31"/>
        <v/>
      </c>
      <c r="E486" s="27" t="str">
        <f t="shared" si="31"/>
        <v/>
      </c>
      <c r="F486" s="27" t="str">
        <f t="shared" si="31"/>
        <v/>
      </c>
      <c r="G486" s="27" t="str">
        <f t="shared" si="31"/>
        <v/>
      </c>
      <c r="H486" s="27" t="str">
        <f t="shared" si="31"/>
        <v/>
      </c>
    </row>
    <row r="487" spans="1:8">
      <c r="A487" t="s">
        <v>63</v>
      </c>
      <c r="B487" s="27" t="str">
        <f t="shared" si="31"/>
        <v/>
      </c>
      <c r="C487" s="27" t="str">
        <f t="shared" si="31"/>
        <v/>
      </c>
      <c r="D487" s="27" t="str">
        <f t="shared" si="31"/>
        <v/>
      </c>
      <c r="E487" s="27" t="str">
        <f t="shared" si="31"/>
        <v/>
      </c>
      <c r="F487" s="27" t="str">
        <f t="shared" si="31"/>
        <v/>
      </c>
      <c r="G487" s="27" t="str">
        <f t="shared" si="31"/>
        <v/>
      </c>
      <c r="H487" s="27" t="str">
        <f t="shared" si="31"/>
        <v/>
      </c>
    </row>
    <row r="488" spans="1:8" hidden="1" outlineLevel="1">
      <c r="A488" t="s">
        <v>64</v>
      </c>
      <c r="B488" s="27" t="str">
        <f t="shared" si="31"/>
        <v/>
      </c>
      <c r="C488" s="27" t="str">
        <f t="shared" si="31"/>
        <v/>
      </c>
      <c r="D488" s="27" t="str">
        <f t="shared" si="31"/>
        <v/>
      </c>
      <c r="E488" s="27" t="str">
        <f t="shared" si="31"/>
        <v/>
      </c>
      <c r="F488" s="27" t="str">
        <f t="shared" si="31"/>
        <v/>
      </c>
      <c r="G488" s="27" t="str">
        <f t="shared" si="31"/>
        <v/>
      </c>
      <c r="H488" s="27" t="str">
        <f t="shared" si="31"/>
        <v/>
      </c>
    </row>
    <row r="489" spans="1:8" hidden="1" outlineLevel="1">
      <c r="A489" t="s">
        <v>65</v>
      </c>
      <c r="B489" s="27" t="str">
        <f t="shared" si="31"/>
        <v/>
      </c>
      <c r="C489" s="27" t="str">
        <f t="shared" si="31"/>
        <v/>
      </c>
      <c r="D489" s="27" t="str">
        <f t="shared" si="31"/>
        <v/>
      </c>
      <c r="E489" s="27" t="str">
        <f t="shared" si="31"/>
        <v/>
      </c>
      <c r="F489" s="27" t="str">
        <f t="shared" si="31"/>
        <v/>
      </c>
      <c r="G489" s="27" t="str">
        <f t="shared" si="31"/>
        <v/>
      </c>
      <c r="H489" s="27" t="str">
        <f t="shared" si="31"/>
        <v/>
      </c>
    </row>
    <row r="490" spans="1:8" hidden="1" outlineLevel="1">
      <c r="A490" t="s">
        <v>66</v>
      </c>
      <c r="B490" s="27" t="str">
        <f t="shared" si="31"/>
        <v/>
      </c>
      <c r="C490" s="27" t="str">
        <f t="shared" si="31"/>
        <v/>
      </c>
      <c r="D490" s="27" t="str">
        <f t="shared" si="31"/>
        <v/>
      </c>
      <c r="E490" s="27" t="str">
        <f t="shared" si="31"/>
        <v/>
      </c>
      <c r="F490" s="27" t="str">
        <f t="shared" si="31"/>
        <v/>
      </c>
      <c r="G490" s="27" t="str">
        <f t="shared" si="31"/>
        <v/>
      </c>
      <c r="H490" s="27" t="str">
        <f t="shared" si="31"/>
        <v/>
      </c>
    </row>
    <row r="491" spans="1:8" hidden="1" outlineLevel="1">
      <c r="A491" t="s">
        <v>67</v>
      </c>
      <c r="B491" s="27" t="str">
        <f t="shared" si="31"/>
        <v/>
      </c>
      <c r="C491" s="27" t="str">
        <f t="shared" si="31"/>
        <v/>
      </c>
      <c r="D491" s="27" t="str">
        <f t="shared" si="31"/>
        <v/>
      </c>
      <c r="E491" s="27" t="str">
        <f t="shared" si="31"/>
        <v/>
      </c>
      <c r="F491" s="27" t="str">
        <f t="shared" si="31"/>
        <v/>
      </c>
      <c r="G491" s="27" t="str">
        <f t="shared" si="31"/>
        <v/>
      </c>
      <c r="H491" s="27" t="str">
        <f t="shared" si="31"/>
        <v/>
      </c>
    </row>
    <row r="492" spans="1:8" hidden="1" outlineLevel="1">
      <c r="A492" t="s">
        <v>68</v>
      </c>
      <c r="B492" s="27" t="str">
        <f t="shared" si="31"/>
        <v/>
      </c>
      <c r="C492" s="27" t="str">
        <f t="shared" si="31"/>
        <v/>
      </c>
      <c r="D492" s="27" t="str">
        <f t="shared" si="31"/>
        <v/>
      </c>
      <c r="E492" s="27" t="str">
        <f t="shared" si="31"/>
        <v/>
      </c>
      <c r="F492" s="27" t="str">
        <f t="shared" si="31"/>
        <v/>
      </c>
      <c r="G492" s="27" t="str">
        <f t="shared" si="31"/>
        <v/>
      </c>
      <c r="H492" s="27" t="str">
        <f t="shared" si="31"/>
        <v/>
      </c>
    </row>
    <row r="493" spans="1:8" hidden="1" outlineLevel="1">
      <c r="A493" t="s">
        <v>69</v>
      </c>
      <c r="B493" s="27" t="str">
        <f t="shared" si="31"/>
        <v/>
      </c>
      <c r="C493" s="27" t="str">
        <f t="shared" si="31"/>
        <v/>
      </c>
      <c r="D493" s="27" t="str">
        <f t="shared" si="31"/>
        <v/>
      </c>
      <c r="E493" s="27" t="str">
        <f t="shared" si="31"/>
        <v/>
      </c>
      <c r="F493" s="27" t="str">
        <f t="shared" si="31"/>
        <v/>
      </c>
      <c r="G493" s="27" t="str">
        <f t="shared" si="31"/>
        <v/>
      </c>
      <c r="H493" s="27" t="str">
        <f t="shared" si="31"/>
        <v/>
      </c>
    </row>
    <row r="494" spans="1:8" hidden="1" outlineLevel="1">
      <c r="A494" t="s">
        <v>70</v>
      </c>
      <c r="B494" s="27" t="str">
        <f t="shared" ref="B494:H503" si="32">IF(SUM(B65,B208)=0,"",SUM(B208)/SUM(B65,B208))</f>
        <v/>
      </c>
      <c r="C494" s="27" t="str">
        <f t="shared" si="32"/>
        <v/>
      </c>
      <c r="D494" s="27" t="str">
        <f t="shared" si="32"/>
        <v/>
      </c>
      <c r="E494" s="27" t="str">
        <f t="shared" si="32"/>
        <v/>
      </c>
      <c r="F494" s="27" t="str">
        <f t="shared" si="32"/>
        <v/>
      </c>
      <c r="G494" s="27" t="str">
        <f t="shared" si="32"/>
        <v/>
      </c>
      <c r="H494" s="27" t="str">
        <f t="shared" si="32"/>
        <v/>
      </c>
    </row>
    <row r="495" spans="1:8" hidden="1" outlineLevel="1">
      <c r="A495" t="s">
        <v>71</v>
      </c>
      <c r="B495" s="27" t="str">
        <f t="shared" si="32"/>
        <v/>
      </c>
      <c r="C495" s="27" t="str">
        <f t="shared" si="32"/>
        <v/>
      </c>
      <c r="D495" s="27" t="str">
        <f t="shared" si="32"/>
        <v/>
      </c>
      <c r="E495" s="27" t="str">
        <f t="shared" si="32"/>
        <v/>
      </c>
      <c r="F495" s="27" t="str">
        <f t="shared" si="32"/>
        <v/>
      </c>
      <c r="G495" s="27" t="str">
        <f t="shared" si="32"/>
        <v/>
      </c>
      <c r="H495" s="27" t="str">
        <f t="shared" si="32"/>
        <v/>
      </c>
    </row>
    <row r="496" spans="1:8" hidden="1" outlineLevel="1">
      <c r="A496" t="s">
        <v>72</v>
      </c>
      <c r="B496" s="27" t="str">
        <f t="shared" si="32"/>
        <v/>
      </c>
      <c r="C496" s="27" t="str">
        <f t="shared" si="32"/>
        <v/>
      </c>
      <c r="D496" s="27" t="str">
        <f t="shared" si="32"/>
        <v/>
      </c>
      <c r="E496" s="27" t="str">
        <f t="shared" si="32"/>
        <v/>
      </c>
      <c r="F496" s="27" t="str">
        <f t="shared" si="32"/>
        <v/>
      </c>
      <c r="G496" s="27" t="str">
        <f t="shared" si="32"/>
        <v/>
      </c>
      <c r="H496" s="27" t="str">
        <f t="shared" si="32"/>
        <v/>
      </c>
    </row>
    <row r="497" spans="1:8" hidden="1" outlineLevel="1">
      <c r="A497" t="s">
        <v>73</v>
      </c>
      <c r="B497" s="27" t="str">
        <f t="shared" si="32"/>
        <v/>
      </c>
      <c r="C497" s="27" t="str">
        <f t="shared" si="32"/>
        <v/>
      </c>
      <c r="D497" s="27" t="str">
        <f t="shared" si="32"/>
        <v/>
      </c>
      <c r="E497" s="27" t="str">
        <f t="shared" si="32"/>
        <v/>
      </c>
      <c r="F497" s="27" t="str">
        <f t="shared" si="32"/>
        <v/>
      </c>
      <c r="G497" s="27" t="str">
        <f t="shared" si="32"/>
        <v/>
      </c>
      <c r="H497" s="27" t="str">
        <f t="shared" si="32"/>
        <v/>
      </c>
    </row>
    <row r="498" spans="1:8" hidden="1" outlineLevel="1">
      <c r="A498" t="s">
        <v>74</v>
      </c>
      <c r="B498" s="27" t="str">
        <f t="shared" si="32"/>
        <v/>
      </c>
      <c r="C498" s="27" t="str">
        <f t="shared" si="32"/>
        <v/>
      </c>
      <c r="D498" s="27" t="str">
        <f t="shared" si="32"/>
        <v/>
      </c>
      <c r="E498" s="27" t="str">
        <f t="shared" si="32"/>
        <v/>
      </c>
      <c r="F498" s="27" t="str">
        <f t="shared" si="32"/>
        <v/>
      </c>
      <c r="G498" s="27" t="str">
        <f t="shared" si="32"/>
        <v/>
      </c>
      <c r="H498" s="27" t="str">
        <f t="shared" si="32"/>
        <v/>
      </c>
    </row>
    <row r="499" spans="1:8" hidden="1" outlineLevel="1">
      <c r="A499" t="s">
        <v>75</v>
      </c>
      <c r="B499" s="27" t="str">
        <f t="shared" si="32"/>
        <v/>
      </c>
      <c r="C499" s="27" t="str">
        <f t="shared" si="32"/>
        <v/>
      </c>
      <c r="D499" s="27" t="str">
        <f t="shared" si="32"/>
        <v/>
      </c>
      <c r="E499" s="27" t="str">
        <f t="shared" si="32"/>
        <v/>
      </c>
      <c r="F499" s="27" t="str">
        <f t="shared" si="32"/>
        <v/>
      </c>
      <c r="G499" s="27" t="str">
        <f t="shared" si="32"/>
        <v/>
      </c>
      <c r="H499" s="27" t="str">
        <f t="shared" si="32"/>
        <v/>
      </c>
    </row>
    <row r="500" spans="1:8" hidden="1" outlineLevel="1">
      <c r="A500" t="s">
        <v>76</v>
      </c>
      <c r="B500" s="27" t="str">
        <f t="shared" si="32"/>
        <v/>
      </c>
      <c r="C500" s="27" t="str">
        <f t="shared" si="32"/>
        <v/>
      </c>
      <c r="D500" s="27" t="str">
        <f t="shared" si="32"/>
        <v/>
      </c>
      <c r="E500" s="27" t="str">
        <f t="shared" si="32"/>
        <v/>
      </c>
      <c r="F500" s="27" t="str">
        <f t="shared" si="32"/>
        <v/>
      </c>
      <c r="G500" s="27" t="str">
        <f t="shared" si="32"/>
        <v/>
      </c>
      <c r="H500" s="27" t="str">
        <f t="shared" si="32"/>
        <v/>
      </c>
    </row>
    <row r="501" spans="1:8" hidden="1" outlineLevel="1">
      <c r="A501" t="s">
        <v>77</v>
      </c>
      <c r="B501" s="27" t="str">
        <f t="shared" si="32"/>
        <v/>
      </c>
      <c r="C501" s="27" t="str">
        <f t="shared" si="32"/>
        <v/>
      </c>
      <c r="D501" s="27" t="str">
        <f t="shared" si="32"/>
        <v/>
      </c>
      <c r="E501" s="27" t="str">
        <f t="shared" si="32"/>
        <v/>
      </c>
      <c r="F501" s="27" t="str">
        <f t="shared" si="32"/>
        <v/>
      </c>
      <c r="G501" s="27" t="str">
        <f t="shared" si="32"/>
        <v/>
      </c>
      <c r="H501" s="27" t="str">
        <f t="shared" si="32"/>
        <v/>
      </c>
    </row>
    <row r="502" spans="1:8" hidden="1" outlineLevel="1">
      <c r="A502" t="s">
        <v>78</v>
      </c>
      <c r="B502" s="27" t="str">
        <f t="shared" si="32"/>
        <v/>
      </c>
      <c r="C502" s="27" t="str">
        <f t="shared" si="32"/>
        <v/>
      </c>
      <c r="D502" s="27" t="str">
        <f t="shared" si="32"/>
        <v/>
      </c>
      <c r="E502" s="27" t="str">
        <f t="shared" si="32"/>
        <v/>
      </c>
      <c r="F502" s="27" t="str">
        <f t="shared" si="32"/>
        <v/>
      </c>
      <c r="G502" s="27" t="str">
        <f t="shared" si="32"/>
        <v/>
      </c>
      <c r="H502" s="27" t="str">
        <f t="shared" si="32"/>
        <v/>
      </c>
    </row>
    <row r="503" spans="1:8" hidden="1" outlineLevel="1">
      <c r="A503" t="s">
        <v>79</v>
      </c>
      <c r="B503" s="27" t="str">
        <f t="shared" si="32"/>
        <v/>
      </c>
      <c r="C503" s="27" t="str">
        <f t="shared" si="32"/>
        <v/>
      </c>
      <c r="D503" s="27" t="str">
        <f t="shared" si="32"/>
        <v/>
      </c>
      <c r="E503" s="27" t="str">
        <f t="shared" si="32"/>
        <v/>
      </c>
      <c r="F503" s="27" t="str">
        <f t="shared" si="32"/>
        <v/>
      </c>
      <c r="G503" s="27" t="str">
        <f t="shared" si="32"/>
        <v/>
      </c>
      <c r="H503" s="27" t="str">
        <f t="shared" si="32"/>
        <v/>
      </c>
    </row>
    <row r="504" spans="1:8" hidden="1" outlineLevel="1">
      <c r="A504" t="s">
        <v>80</v>
      </c>
      <c r="B504" s="27" t="str">
        <f t="shared" ref="B504:H513" si="33">IF(SUM(B75,B218)=0,"",SUM(B218)/SUM(B75,B218))</f>
        <v/>
      </c>
      <c r="C504" s="27" t="str">
        <f t="shared" si="33"/>
        <v/>
      </c>
      <c r="D504" s="27" t="str">
        <f t="shared" si="33"/>
        <v/>
      </c>
      <c r="E504" s="27" t="str">
        <f t="shared" si="33"/>
        <v/>
      </c>
      <c r="F504" s="27" t="str">
        <f t="shared" si="33"/>
        <v/>
      </c>
      <c r="G504" s="27" t="str">
        <f t="shared" si="33"/>
        <v/>
      </c>
      <c r="H504" s="27" t="str">
        <f t="shared" si="33"/>
        <v/>
      </c>
    </row>
    <row r="505" spans="1:8" hidden="1" outlineLevel="1">
      <c r="A505" t="s">
        <v>81</v>
      </c>
      <c r="B505" s="27" t="str">
        <f t="shared" si="33"/>
        <v/>
      </c>
      <c r="C505" s="27" t="str">
        <f t="shared" si="33"/>
        <v/>
      </c>
      <c r="D505" s="27" t="str">
        <f t="shared" si="33"/>
        <v/>
      </c>
      <c r="E505" s="27" t="str">
        <f t="shared" si="33"/>
        <v/>
      </c>
      <c r="F505" s="27" t="str">
        <f t="shared" si="33"/>
        <v/>
      </c>
      <c r="G505" s="27" t="str">
        <f t="shared" si="33"/>
        <v/>
      </c>
      <c r="H505" s="27" t="str">
        <f t="shared" si="33"/>
        <v/>
      </c>
    </row>
    <row r="506" spans="1:8" hidden="1" outlineLevel="1">
      <c r="A506" t="s">
        <v>82</v>
      </c>
      <c r="B506" s="27" t="str">
        <f t="shared" si="33"/>
        <v/>
      </c>
      <c r="C506" s="27" t="str">
        <f t="shared" si="33"/>
        <v/>
      </c>
      <c r="D506" s="27" t="str">
        <f t="shared" si="33"/>
        <v/>
      </c>
      <c r="E506" s="27" t="str">
        <f t="shared" si="33"/>
        <v/>
      </c>
      <c r="F506" s="27" t="str">
        <f t="shared" si="33"/>
        <v/>
      </c>
      <c r="G506" s="27" t="str">
        <f t="shared" si="33"/>
        <v/>
      </c>
      <c r="H506" s="27" t="str">
        <f t="shared" si="33"/>
        <v/>
      </c>
    </row>
    <row r="507" spans="1:8" hidden="1" outlineLevel="1">
      <c r="A507" t="s">
        <v>83</v>
      </c>
      <c r="B507" s="27" t="str">
        <f t="shared" si="33"/>
        <v/>
      </c>
      <c r="C507" s="27" t="str">
        <f t="shared" si="33"/>
        <v/>
      </c>
      <c r="D507" s="27" t="str">
        <f t="shared" si="33"/>
        <v/>
      </c>
      <c r="E507" s="27" t="str">
        <f t="shared" si="33"/>
        <v/>
      </c>
      <c r="F507" s="27" t="str">
        <f t="shared" si="33"/>
        <v/>
      </c>
      <c r="G507" s="27" t="str">
        <f t="shared" si="33"/>
        <v/>
      </c>
      <c r="H507" s="27" t="str">
        <f t="shared" si="33"/>
        <v/>
      </c>
    </row>
    <row r="508" spans="1:8" hidden="1" outlineLevel="1">
      <c r="A508" t="s">
        <v>84</v>
      </c>
      <c r="B508" s="27" t="str">
        <f t="shared" si="33"/>
        <v/>
      </c>
      <c r="C508" s="27" t="str">
        <f t="shared" si="33"/>
        <v/>
      </c>
      <c r="D508" s="27" t="str">
        <f t="shared" si="33"/>
        <v/>
      </c>
      <c r="E508" s="27" t="str">
        <f t="shared" si="33"/>
        <v/>
      </c>
      <c r="F508" s="27" t="str">
        <f t="shared" si="33"/>
        <v/>
      </c>
      <c r="G508" s="27" t="str">
        <f t="shared" si="33"/>
        <v/>
      </c>
      <c r="H508" s="27" t="str">
        <f t="shared" si="33"/>
        <v/>
      </c>
    </row>
    <row r="509" spans="1:8" hidden="1" outlineLevel="1">
      <c r="A509" t="s">
        <v>85</v>
      </c>
      <c r="B509" s="27" t="str">
        <f t="shared" si="33"/>
        <v/>
      </c>
      <c r="C509" s="27" t="str">
        <f t="shared" si="33"/>
        <v/>
      </c>
      <c r="D509" s="27" t="str">
        <f t="shared" si="33"/>
        <v/>
      </c>
      <c r="E509" s="27" t="str">
        <f t="shared" si="33"/>
        <v/>
      </c>
      <c r="F509" s="27" t="str">
        <f t="shared" si="33"/>
        <v/>
      </c>
      <c r="G509" s="27" t="str">
        <f t="shared" si="33"/>
        <v/>
      </c>
      <c r="H509" s="27" t="str">
        <f t="shared" si="33"/>
        <v/>
      </c>
    </row>
    <row r="510" spans="1:8" hidden="1" outlineLevel="1">
      <c r="A510" t="s">
        <v>86</v>
      </c>
      <c r="B510" s="27" t="str">
        <f t="shared" si="33"/>
        <v/>
      </c>
      <c r="C510" s="27" t="str">
        <f t="shared" si="33"/>
        <v/>
      </c>
      <c r="D510" s="27" t="str">
        <f t="shared" si="33"/>
        <v/>
      </c>
      <c r="E510" s="27" t="str">
        <f t="shared" si="33"/>
        <v/>
      </c>
      <c r="F510" s="27" t="str">
        <f t="shared" si="33"/>
        <v/>
      </c>
      <c r="G510" s="27" t="str">
        <f t="shared" si="33"/>
        <v/>
      </c>
      <c r="H510" s="27" t="str">
        <f t="shared" si="33"/>
        <v/>
      </c>
    </row>
    <row r="511" spans="1:8" hidden="1" outlineLevel="1">
      <c r="A511" t="s">
        <v>87</v>
      </c>
      <c r="B511" s="27" t="str">
        <f t="shared" si="33"/>
        <v/>
      </c>
      <c r="C511" s="27" t="str">
        <f t="shared" si="33"/>
        <v/>
      </c>
      <c r="D511" s="27" t="str">
        <f t="shared" si="33"/>
        <v/>
      </c>
      <c r="E511" s="27" t="str">
        <f t="shared" si="33"/>
        <v/>
      </c>
      <c r="F511" s="27" t="str">
        <f t="shared" si="33"/>
        <v/>
      </c>
      <c r="G511" s="27" t="str">
        <f t="shared" si="33"/>
        <v/>
      </c>
      <c r="H511" s="27" t="str">
        <f t="shared" si="33"/>
        <v/>
      </c>
    </row>
    <row r="512" spans="1:8" hidden="1" outlineLevel="1">
      <c r="A512" t="s">
        <v>88</v>
      </c>
      <c r="B512" s="27" t="str">
        <f t="shared" si="33"/>
        <v/>
      </c>
      <c r="C512" s="27" t="str">
        <f t="shared" si="33"/>
        <v/>
      </c>
      <c r="D512" s="27" t="str">
        <f t="shared" si="33"/>
        <v/>
      </c>
      <c r="E512" s="27" t="str">
        <f t="shared" si="33"/>
        <v/>
      </c>
      <c r="F512" s="27" t="str">
        <f t="shared" si="33"/>
        <v/>
      </c>
      <c r="G512" s="27" t="str">
        <f t="shared" si="33"/>
        <v/>
      </c>
      <c r="H512" s="27" t="str">
        <f t="shared" si="33"/>
        <v/>
      </c>
    </row>
    <row r="513" spans="1:8" hidden="1" outlineLevel="1">
      <c r="A513" t="s">
        <v>89</v>
      </c>
      <c r="B513" s="27" t="str">
        <f t="shared" si="33"/>
        <v/>
      </c>
      <c r="C513" s="27" t="str">
        <f t="shared" si="33"/>
        <v/>
      </c>
      <c r="D513" s="27" t="str">
        <f t="shared" si="33"/>
        <v/>
      </c>
      <c r="E513" s="27" t="str">
        <f t="shared" si="33"/>
        <v/>
      </c>
      <c r="F513" s="27" t="str">
        <f t="shared" si="33"/>
        <v/>
      </c>
      <c r="G513" s="27" t="str">
        <f t="shared" si="33"/>
        <v/>
      </c>
      <c r="H513" s="27" t="str">
        <f t="shared" si="33"/>
        <v/>
      </c>
    </row>
    <row r="514" spans="1:8" hidden="1" outlineLevel="1">
      <c r="A514" t="s">
        <v>90</v>
      </c>
      <c r="B514" s="27" t="str">
        <f t="shared" ref="B514:H523" si="34">IF(SUM(B85,B228)=0,"",SUM(B228)/SUM(B85,B228))</f>
        <v/>
      </c>
      <c r="C514" s="27" t="str">
        <f t="shared" si="34"/>
        <v/>
      </c>
      <c r="D514" s="27" t="str">
        <f t="shared" si="34"/>
        <v/>
      </c>
      <c r="E514" s="27" t="str">
        <f t="shared" si="34"/>
        <v/>
      </c>
      <c r="F514" s="27" t="str">
        <f t="shared" si="34"/>
        <v/>
      </c>
      <c r="G514" s="27" t="str">
        <f t="shared" si="34"/>
        <v/>
      </c>
      <c r="H514" s="27" t="str">
        <f t="shared" si="34"/>
        <v/>
      </c>
    </row>
    <row r="515" spans="1:8" hidden="1" outlineLevel="1">
      <c r="A515" t="s">
        <v>91</v>
      </c>
      <c r="B515" s="27" t="str">
        <f t="shared" si="34"/>
        <v/>
      </c>
      <c r="C515" s="27" t="str">
        <f t="shared" si="34"/>
        <v/>
      </c>
      <c r="D515" s="27" t="str">
        <f t="shared" si="34"/>
        <v/>
      </c>
      <c r="E515" s="27" t="str">
        <f t="shared" si="34"/>
        <v/>
      </c>
      <c r="F515" s="27" t="str">
        <f t="shared" si="34"/>
        <v/>
      </c>
      <c r="G515" s="27" t="str">
        <f t="shared" si="34"/>
        <v/>
      </c>
      <c r="H515" s="27" t="str">
        <f t="shared" si="34"/>
        <v/>
      </c>
    </row>
    <row r="516" spans="1:8" hidden="1" outlineLevel="1">
      <c r="A516" t="s">
        <v>92</v>
      </c>
      <c r="B516" s="27" t="str">
        <f t="shared" si="34"/>
        <v/>
      </c>
      <c r="C516" s="27" t="str">
        <f t="shared" si="34"/>
        <v/>
      </c>
      <c r="D516" s="27" t="str">
        <f t="shared" si="34"/>
        <v/>
      </c>
      <c r="E516" s="27" t="str">
        <f t="shared" si="34"/>
        <v/>
      </c>
      <c r="F516" s="27" t="str">
        <f t="shared" si="34"/>
        <v/>
      </c>
      <c r="G516" s="27" t="str">
        <f t="shared" si="34"/>
        <v/>
      </c>
      <c r="H516" s="27" t="str">
        <f t="shared" si="34"/>
        <v/>
      </c>
    </row>
    <row r="517" spans="1:8" hidden="1" outlineLevel="1">
      <c r="A517" t="s">
        <v>93</v>
      </c>
      <c r="B517" s="27" t="str">
        <f t="shared" si="34"/>
        <v/>
      </c>
      <c r="C517" s="27" t="str">
        <f t="shared" si="34"/>
        <v/>
      </c>
      <c r="D517" s="27" t="str">
        <f t="shared" si="34"/>
        <v/>
      </c>
      <c r="E517" s="27" t="str">
        <f t="shared" si="34"/>
        <v/>
      </c>
      <c r="F517" s="27" t="str">
        <f t="shared" si="34"/>
        <v/>
      </c>
      <c r="G517" s="27" t="str">
        <f t="shared" si="34"/>
        <v/>
      </c>
      <c r="H517" s="27" t="str">
        <f t="shared" si="34"/>
        <v/>
      </c>
    </row>
    <row r="518" spans="1:8" hidden="1" outlineLevel="1">
      <c r="A518" t="s">
        <v>94</v>
      </c>
      <c r="B518" s="27" t="str">
        <f t="shared" si="34"/>
        <v/>
      </c>
      <c r="C518" s="27" t="str">
        <f t="shared" si="34"/>
        <v/>
      </c>
      <c r="D518" s="27" t="str">
        <f t="shared" si="34"/>
        <v/>
      </c>
      <c r="E518" s="27" t="str">
        <f t="shared" si="34"/>
        <v/>
      </c>
      <c r="F518" s="27" t="str">
        <f t="shared" si="34"/>
        <v/>
      </c>
      <c r="G518" s="27" t="str">
        <f t="shared" si="34"/>
        <v/>
      </c>
      <c r="H518" s="27" t="str">
        <f t="shared" si="34"/>
        <v/>
      </c>
    </row>
    <row r="519" spans="1:8" hidden="1" outlineLevel="1">
      <c r="A519" t="s">
        <v>95</v>
      </c>
      <c r="B519" s="27" t="str">
        <f t="shared" si="34"/>
        <v/>
      </c>
      <c r="C519" s="27" t="str">
        <f t="shared" si="34"/>
        <v/>
      </c>
      <c r="D519" s="27" t="str">
        <f t="shared" si="34"/>
        <v/>
      </c>
      <c r="E519" s="27" t="str">
        <f t="shared" si="34"/>
        <v/>
      </c>
      <c r="F519" s="27" t="str">
        <f t="shared" si="34"/>
        <v/>
      </c>
      <c r="G519" s="27" t="str">
        <f t="shared" si="34"/>
        <v/>
      </c>
      <c r="H519" s="27" t="str">
        <f t="shared" si="34"/>
        <v/>
      </c>
    </row>
    <row r="520" spans="1:8" hidden="1" outlineLevel="1">
      <c r="A520" t="s">
        <v>96</v>
      </c>
      <c r="B520" s="27" t="str">
        <f t="shared" si="34"/>
        <v/>
      </c>
      <c r="C520" s="27" t="str">
        <f t="shared" si="34"/>
        <v/>
      </c>
      <c r="D520" s="27" t="str">
        <f t="shared" si="34"/>
        <v/>
      </c>
      <c r="E520" s="27" t="str">
        <f t="shared" si="34"/>
        <v/>
      </c>
      <c r="F520" s="27" t="str">
        <f t="shared" si="34"/>
        <v/>
      </c>
      <c r="G520" s="27" t="str">
        <f t="shared" si="34"/>
        <v/>
      </c>
      <c r="H520" s="27" t="str">
        <f t="shared" si="34"/>
        <v/>
      </c>
    </row>
    <row r="521" spans="1:8" hidden="1" outlineLevel="1">
      <c r="A521" t="s">
        <v>97</v>
      </c>
      <c r="B521" s="27" t="str">
        <f t="shared" si="34"/>
        <v/>
      </c>
      <c r="C521" s="27" t="str">
        <f t="shared" si="34"/>
        <v/>
      </c>
      <c r="D521" s="27" t="str">
        <f t="shared" si="34"/>
        <v/>
      </c>
      <c r="E521" s="27" t="str">
        <f t="shared" si="34"/>
        <v/>
      </c>
      <c r="F521" s="27" t="str">
        <f t="shared" si="34"/>
        <v/>
      </c>
      <c r="G521" s="27" t="str">
        <f t="shared" si="34"/>
        <v/>
      </c>
      <c r="H521" s="27" t="str">
        <f t="shared" si="34"/>
        <v/>
      </c>
    </row>
    <row r="522" spans="1:8" hidden="1" outlineLevel="1">
      <c r="A522" t="s">
        <v>98</v>
      </c>
      <c r="B522" s="27" t="str">
        <f t="shared" si="34"/>
        <v/>
      </c>
      <c r="C522" s="27" t="str">
        <f t="shared" si="34"/>
        <v/>
      </c>
      <c r="D522" s="27" t="str">
        <f t="shared" si="34"/>
        <v/>
      </c>
      <c r="E522" s="27" t="str">
        <f t="shared" si="34"/>
        <v/>
      </c>
      <c r="F522" s="27" t="str">
        <f t="shared" si="34"/>
        <v/>
      </c>
      <c r="G522" s="27" t="str">
        <f t="shared" si="34"/>
        <v/>
      </c>
      <c r="H522" s="27" t="str">
        <f t="shared" si="34"/>
        <v/>
      </c>
    </row>
    <row r="523" spans="1:8" hidden="1" outlineLevel="1">
      <c r="A523" t="s">
        <v>99</v>
      </c>
      <c r="B523" s="27" t="str">
        <f t="shared" si="34"/>
        <v/>
      </c>
      <c r="C523" s="27" t="str">
        <f t="shared" si="34"/>
        <v/>
      </c>
      <c r="D523" s="27" t="str">
        <f t="shared" si="34"/>
        <v/>
      </c>
      <c r="E523" s="27" t="str">
        <f t="shared" si="34"/>
        <v/>
      </c>
      <c r="F523" s="27" t="str">
        <f t="shared" si="34"/>
        <v/>
      </c>
      <c r="G523" s="27" t="str">
        <f t="shared" si="34"/>
        <v/>
      </c>
      <c r="H523" s="27" t="str">
        <f t="shared" si="34"/>
        <v/>
      </c>
    </row>
    <row r="524" spans="1:8" hidden="1" outlineLevel="1">
      <c r="A524" t="s">
        <v>100</v>
      </c>
      <c r="B524" s="27" t="str">
        <f t="shared" ref="B524:H533" si="35">IF(SUM(B95,B238)=0,"",SUM(B238)/SUM(B95,B238))</f>
        <v/>
      </c>
      <c r="C524" s="27" t="str">
        <f t="shared" si="35"/>
        <v/>
      </c>
      <c r="D524" s="27" t="str">
        <f t="shared" si="35"/>
        <v/>
      </c>
      <c r="E524" s="27" t="str">
        <f t="shared" si="35"/>
        <v/>
      </c>
      <c r="F524" s="27" t="str">
        <f t="shared" si="35"/>
        <v/>
      </c>
      <c r="G524" s="27" t="str">
        <f t="shared" si="35"/>
        <v/>
      </c>
      <c r="H524" s="27" t="str">
        <f t="shared" si="35"/>
        <v/>
      </c>
    </row>
    <row r="525" spans="1:8" hidden="1" outlineLevel="1">
      <c r="A525" t="s">
        <v>101</v>
      </c>
      <c r="B525" s="27" t="str">
        <f t="shared" si="35"/>
        <v/>
      </c>
      <c r="C525" s="27" t="str">
        <f t="shared" si="35"/>
        <v/>
      </c>
      <c r="D525" s="27" t="str">
        <f t="shared" si="35"/>
        <v/>
      </c>
      <c r="E525" s="27" t="str">
        <f t="shared" si="35"/>
        <v/>
      </c>
      <c r="F525" s="27" t="str">
        <f t="shared" si="35"/>
        <v/>
      </c>
      <c r="G525" s="27" t="str">
        <f t="shared" si="35"/>
        <v/>
      </c>
      <c r="H525" s="27" t="str">
        <f t="shared" si="35"/>
        <v/>
      </c>
    </row>
    <row r="526" spans="1:8" hidden="1" outlineLevel="1">
      <c r="A526" t="s">
        <v>102</v>
      </c>
      <c r="B526" s="27" t="str">
        <f t="shared" si="35"/>
        <v/>
      </c>
      <c r="C526" s="27" t="str">
        <f t="shared" si="35"/>
        <v/>
      </c>
      <c r="D526" s="27" t="str">
        <f t="shared" si="35"/>
        <v/>
      </c>
      <c r="E526" s="27" t="str">
        <f t="shared" si="35"/>
        <v/>
      </c>
      <c r="F526" s="27" t="str">
        <f t="shared" si="35"/>
        <v/>
      </c>
      <c r="G526" s="27" t="str">
        <f t="shared" si="35"/>
        <v/>
      </c>
      <c r="H526" s="27" t="str">
        <f t="shared" si="35"/>
        <v/>
      </c>
    </row>
    <row r="527" spans="1:8" hidden="1" outlineLevel="1">
      <c r="A527" t="s">
        <v>103</v>
      </c>
      <c r="B527" s="27" t="str">
        <f t="shared" si="35"/>
        <v/>
      </c>
      <c r="C527" s="27" t="str">
        <f t="shared" si="35"/>
        <v/>
      </c>
      <c r="D527" s="27" t="str">
        <f t="shared" si="35"/>
        <v/>
      </c>
      <c r="E527" s="27" t="str">
        <f t="shared" si="35"/>
        <v/>
      </c>
      <c r="F527" s="27" t="str">
        <f t="shared" si="35"/>
        <v/>
      </c>
      <c r="G527" s="27" t="str">
        <f t="shared" si="35"/>
        <v/>
      </c>
      <c r="H527" s="27" t="str">
        <f t="shared" si="35"/>
        <v/>
      </c>
    </row>
    <row r="528" spans="1:8" hidden="1" outlineLevel="1">
      <c r="A528" t="s">
        <v>104</v>
      </c>
      <c r="B528" s="27" t="str">
        <f t="shared" si="35"/>
        <v/>
      </c>
      <c r="C528" s="27" t="str">
        <f t="shared" si="35"/>
        <v/>
      </c>
      <c r="D528" s="27" t="str">
        <f t="shared" si="35"/>
        <v/>
      </c>
      <c r="E528" s="27" t="str">
        <f t="shared" si="35"/>
        <v/>
      </c>
      <c r="F528" s="27" t="str">
        <f t="shared" si="35"/>
        <v/>
      </c>
      <c r="G528" s="27" t="str">
        <f t="shared" si="35"/>
        <v/>
      </c>
      <c r="H528" s="27" t="str">
        <f t="shared" si="35"/>
        <v/>
      </c>
    </row>
    <row r="529" spans="1:8" hidden="1" outlineLevel="1">
      <c r="A529" t="s">
        <v>105</v>
      </c>
      <c r="B529" s="27" t="str">
        <f t="shared" si="35"/>
        <v/>
      </c>
      <c r="C529" s="27" t="str">
        <f t="shared" si="35"/>
        <v/>
      </c>
      <c r="D529" s="27" t="str">
        <f t="shared" si="35"/>
        <v/>
      </c>
      <c r="E529" s="27" t="str">
        <f t="shared" si="35"/>
        <v/>
      </c>
      <c r="F529" s="27" t="str">
        <f t="shared" si="35"/>
        <v/>
      </c>
      <c r="G529" s="27" t="str">
        <f t="shared" si="35"/>
        <v/>
      </c>
      <c r="H529" s="27" t="str">
        <f t="shared" si="35"/>
        <v/>
      </c>
    </row>
    <row r="530" spans="1:8" hidden="1" outlineLevel="1">
      <c r="A530" t="s">
        <v>106</v>
      </c>
      <c r="B530" s="27" t="str">
        <f t="shared" si="35"/>
        <v/>
      </c>
      <c r="C530" s="27" t="str">
        <f t="shared" si="35"/>
        <v/>
      </c>
      <c r="D530" s="27" t="str">
        <f t="shared" si="35"/>
        <v/>
      </c>
      <c r="E530" s="27" t="str">
        <f t="shared" si="35"/>
        <v/>
      </c>
      <c r="F530" s="27" t="str">
        <f t="shared" si="35"/>
        <v/>
      </c>
      <c r="G530" s="27" t="str">
        <f t="shared" si="35"/>
        <v/>
      </c>
      <c r="H530" s="27" t="str">
        <f t="shared" si="35"/>
        <v/>
      </c>
    </row>
    <row r="531" spans="1:8" hidden="1" outlineLevel="1">
      <c r="A531" t="s">
        <v>107</v>
      </c>
      <c r="B531" s="27" t="str">
        <f t="shared" si="35"/>
        <v/>
      </c>
      <c r="C531" s="27" t="str">
        <f t="shared" si="35"/>
        <v/>
      </c>
      <c r="D531" s="27" t="str">
        <f t="shared" si="35"/>
        <v/>
      </c>
      <c r="E531" s="27" t="str">
        <f t="shared" si="35"/>
        <v/>
      </c>
      <c r="F531" s="27" t="str">
        <f t="shared" si="35"/>
        <v/>
      </c>
      <c r="G531" s="27" t="str">
        <f t="shared" si="35"/>
        <v/>
      </c>
      <c r="H531" s="27" t="str">
        <f t="shared" si="35"/>
        <v/>
      </c>
    </row>
    <row r="532" spans="1:8" hidden="1" outlineLevel="1">
      <c r="A532" t="s">
        <v>108</v>
      </c>
      <c r="B532" s="27" t="str">
        <f t="shared" si="35"/>
        <v/>
      </c>
      <c r="C532" s="27" t="str">
        <f t="shared" si="35"/>
        <v/>
      </c>
      <c r="D532" s="27" t="str">
        <f t="shared" si="35"/>
        <v/>
      </c>
      <c r="E532" s="27" t="str">
        <f t="shared" si="35"/>
        <v/>
      </c>
      <c r="F532" s="27" t="str">
        <f t="shared" si="35"/>
        <v/>
      </c>
      <c r="G532" s="27" t="str">
        <f t="shared" si="35"/>
        <v/>
      </c>
      <c r="H532" s="27" t="str">
        <f t="shared" si="35"/>
        <v/>
      </c>
    </row>
    <row r="533" spans="1:8" hidden="1" outlineLevel="1">
      <c r="A533" t="s">
        <v>109</v>
      </c>
      <c r="B533" s="27" t="str">
        <f t="shared" si="35"/>
        <v/>
      </c>
      <c r="C533" s="27" t="str">
        <f t="shared" si="35"/>
        <v/>
      </c>
      <c r="D533" s="27" t="str">
        <f t="shared" si="35"/>
        <v/>
      </c>
      <c r="E533" s="27" t="str">
        <f t="shared" si="35"/>
        <v/>
      </c>
      <c r="F533" s="27" t="str">
        <f t="shared" si="35"/>
        <v/>
      </c>
      <c r="G533" s="27" t="str">
        <f t="shared" si="35"/>
        <v/>
      </c>
      <c r="H533" s="27" t="str">
        <f t="shared" si="35"/>
        <v/>
      </c>
    </row>
    <row r="534" spans="1:8" hidden="1" outlineLevel="1">
      <c r="A534" t="s">
        <v>110</v>
      </c>
      <c r="B534" s="27" t="str">
        <f t="shared" ref="B534:H543" si="36">IF(SUM(B105,B248)=0,"",SUM(B248)/SUM(B105,B248))</f>
        <v/>
      </c>
      <c r="C534" s="27" t="str">
        <f t="shared" si="36"/>
        <v/>
      </c>
      <c r="D534" s="27" t="str">
        <f t="shared" si="36"/>
        <v/>
      </c>
      <c r="E534" s="27" t="str">
        <f t="shared" si="36"/>
        <v/>
      </c>
      <c r="F534" s="27" t="str">
        <f t="shared" si="36"/>
        <v/>
      </c>
      <c r="G534" s="27" t="str">
        <f t="shared" si="36"/>
        <v/>
      </c>
      <c r="H534" s="27" t="str">
        <f t="shared" si="36"/>
        <v/>
      </c>
    </row>
    <row r="535" spans="1:8" hidden="1" outlineLevel="1">
      <c r="A535" t="s">
        <v>111</v>
      </c>
      <c r="B535" s="27" t="str">
        <f t="shared" si="36"/>
        <v/>
      </c>
      <c r="C535" s="27" t="str">
        <f t="shared" si="36"/>
        <v/>
      </c>
      <c r="D535" s="27" t="str">
        <f t="shared" si="36"/>
        <v/>
      </c>
      <c r="E535" s="27" t="str">
        <f t="shared" si="36"/>
        <v/>
      </c>
      <c r="F535" s="27" t="str">
        <f t="shared" si="36"/>
        <v/>
      </c>
      <c r="G535" s="27" t="str">
        <f t="shared" si="36"/>
        <v/>
      </c>
      <c r="H535" s="27" t="str">
        <f t="shared" si="36"/>
        <v/>
      </c>
    </row>
    <row r="536" spans="1:8" hidden="1" outlineLevel="1">
      <c r="A536" t="s">
        <v>112</v>
      </c>
      <c r="B536" s="27" t="str">
        <f t="shared" si="36"/>
        <v/>
      </c>
      <c r="C536" s="27" t="str">
        <f t="shared" si="36"/>
        <v/>
      </c>
      <c r="D536" s="27" t="str">
        <f t="shared" si="36"/>
        <v/>
      </c>
      <c r="E536" s="27" t="str">
        <f t="shared" si="36"/>
        <v/>
      </c>
      <c r="F536" s="27" t="str">
        <f t="shared" si="36"/>
        <v/>
      </c>
      <c r="G536" s="27" t="str">
        <f t="shared" si="36"/>
        <v/>
      </c>
      <c r="H536" s="27" t="str">
        <f t="shared" si="36"/>
        <v/>
      </c>
    </row>
    <row r="537" spans="1:8" hidden="1" outlineLevel="1">
      <c r="A537" t="s">
        <v>113</v>
      </c>
      <c r="B537" s="27" t="str">
        <f t="shared" si="36"/>
        <v/>
      </c>
      <c r="C537" s="27" t="str">
        <f t="shared" si="36"/>
        <v/>
      </c>
      <c r="D537" s="27" t="str">
        <f t="shared" si="36"/>
        <v/>
      </c>
      <c r="E537" s="27" t="str">
        <f t="shared" si="36"/>
        <v/>
      </c>
      <c r="F537" s="27" t="str">
        <f t="shared" si="36"/>
        <v/>
      </c>
      <c r="G537" s="27" t="str">
        <f t="shared" si="36"/>
        <v/>
      </c>
      <c r="H537" s="27" t="str">
        <f t="shared" si="36"/>
        <v/>
      </c>
    </row>
    <row r="538" spans="1:8" hidden="1" outlineLevel="1">
      <c r="A538" t="s">
        <v>114</v>
      </c>
      <c r="B538" s="27" t="str">
        <f t="shared" si="36"/>
        <v/>
      </c>
      <c r="C538" s="27" t="str">
        <f t="shared" si="36"/>
        <v/>
      </c>
      <c r="D538" s="27" t="str">
        <f t="shared" si="36"/>
        <v/>
      </c>
      <c r="E538" s="27" t="str">
        <f t="shared" si="36"/>
        <v/>
      </c>
      <c r="F538" s="27" t="str">
        <f t="shared" si="36"/>
        <v/>
      </c>
      <c r="G538" s="27" t="str">
        <f t="shared" si="36"/>
        <v/>
      </c>
      <c r="H538" s="27" t="str">
        <f t="shared" si="36"/>
        <v/>
      </c>
    </row>
    <row r="539" spans="1:8" hidden="1" outlineLevel="1">
      <c r="A539" t="s">
        <v>115</v>
      </c>
      <c r="B539" s="27" t="str">
        <f t="shared" si="36"/>
        <v/>
      </c>
      <c r="C539" s="27" t="str">
        <f t="shared" si="36"/>
        <v/>
      </c>
      <c r="D539" s="27" t="str">
        <f t="shared" si="36"/>
        <v/>
      </c>
      <c r="E539" s="27" t="str">
        <f t="shared" si="36"/>
        <v/>
      </c>
      <c r="F539" s="27" t="str">
        <f t="shared" si="36"/>
        <v/>
      </c>
      <c r="G539" s="27" t="str">
        <f t="shared" si="36"/>
        <v/>
      </c>
      <c r="H539" s="27" t="str">
        <f t="shared" si="36"/>
        <v/>
      </c>
    </row>
    <row r="540" spans="1:8" hidden="1" outlineLevel="1">
      <c r="A540" t="s">
        <v>116</v>
      </c>
      <c r="B540" s="27" t="str">
        <f t="shared" si="36"/>
        <v/>
      </c>
      <c r="C540" s="27" t="str">
        <f t="shared" si="36"/>
        <v/>
      </c>
      <c r="D540" s="27" t="str">
        <f t="shared" si="36"/>
        <v/>
      </c>
      <c r="E540" s="27" t="str">
        <f t="shared" si="36"/>
        <v/>
      </c>
      <c r="F540" s="27" t="str">
        <f t="shared" si="36"/>
        <v/>
      </c>
      <c r="G540" s="27" t="str">
        <f t="shared" si="36"/>
        <v/>
      </c>
      <c r="H540" s="27" t="str">
        <f t="shared" si="36"/>
        <v/>
      </c>
    </row>
    <row r="541" spans="1:8" hidden="1" outlineLevel="1">
      <c r="A541" t="s">
        <v>117</v>
      </c>
      <c r="B541" s="27" t="str">
        <f t="shared" si="36"/>
        <v/>
      </c>
      <c r="C541" s="27" t="str">
        <f t="shared" si="36"/>
        <v/>
      </c>
      <c r="D541" s="27" t="str">
        <f t="shared" si="36"/>
        <v/>
      </c>
      <c r="E541" s="27" t="str">
        <f t="shared" si="36"/>
        <v/>
      </c>
      <c r="F541" s="27" t="str">
        <f t="shared" si="36"/>
        <v/>
      </c>
      <c r="G541" s="27" t="str">
        <f t="shared" si="36"/>
        <v/>
      </c>
      <c r="H541" s="27" t="str">
        <f t="shared" si="36"/>
        <v/>
      </c>
    </row>
    <row r="542" spans="1:8" hidden="1" outlineLevel="1">
      <c r="A542" t="s">
        <v>118</v>
      </c>
      <c r="B542" s="27" t="str">
        <f t="shared" si="36"/>
        <v/>
      </c>
      <c r="C542" s="27" t="str">
        <f t="shared" si="36"/>
        <v/>
      </c>
      <c r="D542" s="27" t="str">
        <f t="shared" si="36"/>
        <v/>
      </c>
      <c r="E542" s="27" t="str">
        <f t="shared" si="36"/>
        <v/>
      </c>
      <c r="F542" s="27" t="str">
        <f t="shared" si="36"/>
        <v/>
      </c>
      <c r="G542" s="27" t="str">
        <f t="shared" si="36"/>
        <v/>
      </c>
      <c r="H542" s="27" t="str">
        <f t="shared" si="36"/>
        <v/>
      </c>
    </row>
    <row r="543" spans="1:8" hidden="1" outlineLevel="1">
      <c r="A543" t="s">
        <v>119</v>
      </c>
      <c r="B543" s="27" t="str">
        <f t="shared" si="36"/>
        <v/>
      </c>
      <c r="C543" s="27" t="str">
        <f t="shared" si="36"/>
        <v/>
      </c>
      <c r="D543" s="27" t="str">
        <f t="shared" si="36"/>
        <v/>
      </c>
      <c r="E543" s="27" t="str">
        <f t="shared" si="36"/>
        <v/>
      </c>
      <c r="F543" s="27" t="str">
        <f t="shared" si="36"/>
        <v/>
      </c>
      <c r="G543" s="27" t="str">
        <f t="shared" si="36"/>
        <v/>
      </c>
      <c r="H543" s="27" t="str">
        <f t="shared" si="36"/>
        <v/>
      </c>
    </row>
    <row r="544" spans="1:8" hidden="1" outlineLevel="1">
      <c r="A544" t="s">
        <v>120</v>
      </c>
      <c r="B544" s="27" t="str">
        <f t="shared" ref="B544:H553" si="37">IF(SUM(B115,B258)=0,"",SUM(B258)/SUM(B115,B258))</f>
        <v/>
      </c>
      <c r="C544" s="27" t="str">
        <f t="shared" si="37"/>
        <v/>
      </c>
      <c r="D544" s="27" t="str">
        <f t="shared" si="37"/>
        <v/>
      </c>
      <c r="E544" s="27" t="str">
        <f t="shared" si="37"/>
        <v/>
      </c>
      <c r="F544" s="27" t="str">
        <f t="shared" si="37"/>
        <v/>
      </c>
      <c r="G544" s="27" t="str">
        <f t="shared" si="37"/>
        <v/>
      </c>
      <c r="H544" s="27" t="str">
        <f t="shared" si="37"/>
        <v/>
      </c>
    </row>
    <row r="545" spans="1:8" hidden="1" outlineLevel="1">
      <c r="A545" t="s">
        <v>121</v>
      </c>
      <c r="B545" s="27" t="str">
        <f t="shared" si="37"/>
        <v/>
      </c>
      <c r="C545" s="27" t="str">
        <f t="shared" si="37"/>
        <v/>
      </c>
      <c r="D545" s="27" t="str">
        <f t="shared" si="37"/>
        <v/>
      </c>
      <c r="E545" s="27" t="str">
        <f t="shared" si="37"/>
        <v/>
      </c>
      <c r="F545" s="27" t="str">
        <f t="shared" si="37"/>
        <v/>
      </c>
      <c r="G545" s="27" t="str">
        <f t="shared" si="37"/>
        <v/>
      </c>
      <c r="H545" s="27" t="str">
        <f t="shared" si="37"/>
        <v/>
      </c>
    </row>
    <row r="546" spans="1:8" hidden="1" outlineLevel="1">
      <c r="A546" t="s">
        <v>122</v>
      </c>
      <c r="B546" s="27" t="str">
        <f t="shared" si="37"/>
        <v/>
      </c>
      <c r="C546" s="27" t="str">
        <f t="shared" si="37"/>
        <v/>
      </c>
      <c r="D546" s="27" t="str">
        <f t="shared" si="37"/>
        <v/>
      </c>
      <c r="E546" s="27" t="str">
        <f t="shared" si="37"/>
        <v/>
      </c>
      <c r="F546" s="27" t="str">
        <f t="shared" si="37"/>
        <v/>
      </c>
      <c r="G546" s="27" t="str">
        <f t="shared" si="37"/>
        <v/>
      </c>
      <c r="H546" s="27" t="str">
        <f t="shared" si="37"/>
        <v/>
      </c>
    </row>
    <row r="547" spans="1:8" hidden="1" outlineLevel="1">
      <c r="A547" t="s">
        <v>123</v>
      </c>
      <c r="B547" s="27" t="str">
        <f t="shared" si="37"/>
        <v/>
      </c>
      <c r="C547" s="27" t="str">
        <f t="shared" si="37"/>
        <v/>
      </c>
      <c r="D547" s="27" t="str">
        <f t="shared" si="37"/>
        <v/>
      </c>
      <c r="E547" s="27" t="str">
        <f t="shared" si="37"/>
        <v/>
      </c>
      <c r="F547" s="27" t="str">
        <f t="shared" si="37"/>
        <v/>
      </c>
      <c r="G547" s="27" t="str">
        <f t="shared" si="37"/>
        <v/>
      </c>
      <c r="H547" s="27" t="str">
        <f t="shared" si="37"/>
        <v/>
      </c>
    </row>
    <row r="548" spans="1:8" hidden="1" outlineLevel="1">
      <c r="A548" t="s">
        <v>124</v>
      </c>
      <c r="B548" s="27" t="str">
        <f t="shared" si="37"/>
        <v/>
      </c>
      <c r="C548" s="27" t="str">
        <f t="shared" si="37"/>
        <v/>
      </c>
      <c r="D548" s="27" t="str">
        <f t="shared" si="37"/>
        <v/>
      </c>
      <c r="E548" s="27" t="str">
        <f t="shared" si="37"/>
        <v/>
      </c>
      <c r="F548" s="27" t="str">
        <f t="shared" si="37"/>
        <v/>
      </c>
      <c r="G548" s="27" t="str">
        <f t="shared" si="37"/>
        <v/>
      </c>
      <c r="H548" s="27" t="str">
        <f t="shared" si="37"/>
        <v/>
      </c>
    </row>
    <row r="549" spans="1:8" hidden="1" outlineLevel="1">
      <c r="A549" t="s">
        <v>125</v>
      </c>
      <c r="B549" s="27" t="str">
        <f t="shared" si="37"/>
        <v/>
      </c>
      <c r="C549" s="27" t="str">
        <f t="shared" si="37"/>
        <v/>
      </c>
      <c r="D549" s="27" t="str">
        <f t="shared" si="37"/>
        <v/>
      </c>
      <c r="E549" s="27" t="str">
        <f t="shared" si="37"/>
        <v/>
      </c>
      <c r="F549" s="27" t="str">
        <f t="shared" si="37"/>
        <v/>
      </c>
      <c r="G549" s="27" t="str">
        <f t="shared" si="37"/>
        <v/>
      </c>
      <c r="H549" s="27" t="str">
        <f t="shared" si="37"/>
        <v/>
      </c>
    </row>
    <row r="550" spans="1:8" hidden="1" outlineLevel="1">
      <c r="A550" t="s">
        <v>126</v>
      </c>
      <c r="B550" s="27" t="str">
        <f t="shared" si="37"/>
        <v/>
      </c>
      <c r="C550" s="27" t="str">
        <f t="shared" si="37"/>
        <v/>
      </c>
      <c r="D550" s="27" t="str">
        <f t="shared" si="37"/>
        <v/>
      </c>
      <c r="E550" s="27" t="str">
        <f t="shared" si="37"/>
        <v/>
      </c>
      <c r="F550" s="27" t="str">
        <f t="shared" si="37"/>
        <v/>
      </c>
      <c r="G550" s="27" t="str">
        <f t="shared" si="37"/>
        <v/>
      </c>
      <c r="H550" s="27" t="str">
        <f t="shared" si="37"/>
        <v/>
      </c>
    </row>
    <row r="551" spans="1:8" hidden="1" outlineLevel="1">
      <c r="A551" t="s">
        <v>127</v>
      </c>
      <c r="B551" s="27" t="str">
        <f t="shared" si="37"/>
        <v/>
      </c>
      <c r="C551" s="27" t="str">
        <f t="shared" si="37"/>
        <v/>
      </c>
      <c r="D551" s="27" t="str">
        <f t="shared" si="37"/>
        <v/>
      </c>
      <c r="E551" s="27" t="str">
        <f t="shared" si="37"/>
        <v/>
      </c>
      <c r="F551" s="27" t="str">
        <f t="shared" si="37"/>
        <v/>
      </c>
      <c r="G551" s="27" t="str">
        <f t="shared" si="37"/>
        <v/>
      </c>
      <c r="H551" s="27" t="str">
        <f t="shared" si="37"/>
        <v/>
      </c>
    </row>
    <row r="552" spans="1:8" hidden="1" outlineLevel="1">
      <c r="A552" t="s">
        <v>128</v>
      </c>
      <c r="B552" s="27" t="str">
        <f t="shared" si="37"/>
        <v/>
      </c>
      <c r="C552" s="27" t="str">
        <f t="shared" si="37"/>
        <v/>
      </c>
      <c r="D552" s="27" t="str">
        <f t="shared" si="37"/>
        <v/>
      </c>
      <c r="E552" s="27" t="str">
        <f t="shared" si="37"/>
        <v/>
      </c>
      <c r="F552" s="27" t="str">
        <f t="shared" si="37"/>
        <v/>
      </c>
      <c r="G552" s="27" t="str">
        <f t="shared" si="37"/>
        <v/>
      </c>
      <c r="H552" s="27" t="str">
        <f t="shared" si="37"/>
        <v/>
      </c>
    </row>
    <row r="553" spans="1:8" hidden="1" outlineLevel="1">
      <c r="A553" t="s">
        <v>129</v>
      </c>
      <c r="B553" s="27" t="str">
        <f t="shared" si="37"/>
        <v/>
      </c>
      <c r="C553" s="27" t="str">
        <f t="shared" si="37"/>
        <v/>
      </c>
      <c r="D553" s="27" t="str">
        <f t="shared" si="37"/>
        <v/>
      </c>
      <c r="E553" s="27" t="str">
        <f t="shared" si="37"/>
        <v/>
      </c>
      <c r="F553" s="27" t="str">
        <f t="shared" si="37"/>
        <v/>
      </c>
      <c r="G553" s="27" t="str">
        <f t="shared" si="37"/>
        <v/>
      </c>
      <c r="H553" s="27" t="str">
        <f t="shared" si="37"/>
        <v/>
      </c>
    </row>
    <row r="554" spans="1:8" hidden="1" outlineLevel="1">
      <c r="A554" t="s">
        <v>130</v>
      </c>
      <c r="B554" s="27" t="str">
        <f t="shared" ref="B554:H563" si="38">IF(SUM(B125,B268)=0,"",SUM(B268)/SUM(B125,B268))</f>
        <v/>
      </c>
      <c r="C554" s="27" t="str">
        <f t="shared" si="38"/>
        <v/>
      </c>
      <c r="D554" s="27" t="str">
        <f t="shared" si="38"/>
        <v/>
      </c>
      <c r="E554" s="27" t="str">
        <f t="shared" si="38"/>
        <v/>
      </c>
      <c r="F554" s="27" t="str">
        <f t="shared" si="38"/>
        <v/>
      </c>
      <c r="G554" s="27" t="str">
        <f t="shared" si="38"/>
        <v/>
      </c>
      <c r="H554" s="27" t="str">
        <f t="shared" si="38"/>
        <v/>
      </c>
    </row>
    <row r="555" spans="1:8" hidden="1" outlineLevel="1">
      <c r="A555" t="s">
        <v>131</v>
      </c>
      <c r="B555" s="27" t="str">
        <f t="shared" si="38"/>
        <v/>
      </c>
      <c r="C555" s="27" t="str">
        <f t="shared" si="38"/>
        <v/>
      </c>
      <c r="D555" s="27" t="str">
        <f t="shared" si="38"/>
        <v/>
      </c>
      <c r="E555" s="27" t="str">
        <f t="shared" si="38"/>
        <v/>
      </c>
      <c r="F555" s="27" t="str">
        <f t="shared" si="38"/>
        <v/>
      </c>
      <c r="G555" s="27" t="str">
        <f t="shared" si="38"/>
        <v/>
      </c>
      <c r="H555" s="27" t="str">
        <f t="shared" si="38"/>
        <v/>
      </c>
    </row>
    <row r="556" spans="1:8" hidden="1" outlineLevel="1">
      <c r="A556" t="s">
        <v>132</v>
      </c>
      <c r="B556" s="27" t="str">
        <f t="shared" si="38"/>
        <v/>
      </c>
      <c r="C556" s="27" t="str">
        <f t="shared" si="38"/>
        <v/>
      </c>
      <c r="D556" s="27" t="str">
        <f t="shared" si="38"/>
        <v/>
      </c>
      <c r="E556" s="27" t="str">
        <f t="shared" si="38"/>
        <v/>
      </c>
      <c r="F556" s="27" t="str">
        <f t="shared" si="38"/>
        <v/>
      </c>
      <c r="G556" s="27" t="str">
        <f t="shared" si="38"/>
        <v/>
      </c>
      <c r="H556" s="27" t="str">
        <f t="shared" si="38"/>
        <v/>
      </c>
    </row>
    <row r="557" spans="1:8" hidden="1" outlineLevel="1">
      <c r="A557" t="s">
        <v>133</v>
      </c>
      <c r="B557" s="27" t="str">
        <f t="shared" si="38"/>
        <v/>
      </c>
      <c r="C557" s="27" t="str">
        <f t="shared" si="38"/>
        <v/>
      </c>
      <c r="D557" s="27" t="str">
        <f t="shared" si="38"/>
        <v/>
      </c>
      <c r="E557" s="27" t="str">
        <f t="shared" si="38"/>
        <v/>
      </c>
      <c r="F557" s="27" t="str">
        <f t="shared" si="38"/>
        <v/>
      </c>
      <c r="G557" s="27" t="str">
        <f t="shared" si="38"/>
        <v/>
      </c>
      <c r="H557" s="27" t="str">
        <f t="shared" si="38"/>
        <v/>
      </c>
    </row>
    <row r="558" spans="1:8" hidden="1" outlineLevel="1">
      <c r="A558" t="s">
        <v>134</v>
      </c>
      <c r="B558" s="27" t="str">
        <f t="shared" si="38"/>
        <v/>
      </c>
      <c r="C558" s="27" t="str">
        <f t="shared" si="38"/>
        <v/>
      </c>
      <c r="D558" s="27" t="str">
        <f t="shared" si="38"/>
        <v/>
      </c>
      <c r="E558" s="27" t="str">
        <f t="shared" si="38"/>
        <v/>
      </c>
      <c r="F558" s="27" t="str">
        <f t="shared" si="38"/>
        <v/>
      </c>
      <c r="G558" s="27" t="str">
        <f t="shared" si="38"/>
        <v/>
      </c>
      <c r="H558" s="27" t="str">
        <f t="shared" si="38"/>
        <v/>
      </c>
    </row>
    <row r="559" spans="1:8" hidden="1" outlineLevel="1">
      <c r="A559" t="s">
        <v>135</v>
      </c>
      <c r="B559" s="27" t="str">
        <f t="shared" si="38"/>
        <v/>
      </c>
      <c r="C559" s="27" t="str">
        <f t="shared" si="38"/>
        <v/>
      </c>
      <c r="D559" s="27" t="str">
        <f t="shared" si="38"/>
        <v/>
      </c>
      <c r="E559" s="27" t="str">
        <f t="shared" si="38"/>
        <v/>
      </c>
      <c r="F559" s="27" t="str">
        <f t="shared" si="38"/>
        <v/>
      </c>
      <c r="G559" s="27" t="str">
        <f t="shared" si="38"/>
        <v/>
      </c>
      <c r="H559" s="27" t="str">
        <f t="shared" si="38"/>
        <v/>
      </c>
    </row>
    <row r="560" spans="1:8" hidden="1" outlineLevel="1">
      <c r="A560" t="s">
        <v>136</v>
      </c>
      <c r="B560" s="27" t="str">
        <f t="shared" si="38"/>
        <v/>
      </c>
      <c r="C560" s="27" t="str">
        <f t="shared" si="38"/>
        <v/>
      </c>
      <c r="D560" s="27" t="str">
        <f t="shared" si="38"/>
        <v/>
      </c>
      <c r="E560" s="27" t="str">
        <f t="shared" si="38"/>
        <v/>
      </c>
      <c r="F560" s="27" t="str">
        <f t="shared" si="38"/>
        <v/>
      </c>
      <c r="G560" s="27" t="str">
        <f t="shared" si="38"/>
        <v/>
      </c>
      <c r="H560" s="27" t="str">
        <f t="shared" si="38"/>
        <v/>
      </c>
    </row>
    <row r="561" spans="1:8" hidden="1" outlineLevel="1">
      <c r="A561" t="s">
        <v>137</v>
      </c>
      <c r="B561" s="27" t="str">
        <f t="shared" si="38"/>
        <v/>
      </c>
      <c r="C561" s="27" t="str">
        <f t="shared" si="38"/>
        <v/>
      </c>
      <c r="D561" s="27" t="str">
        <f t="shared" si="38"/>
        <v/>
      </c>
      <c r="E561" s="27" t="str">
        <f t="shared" si="38"/>
        <v/>
      </c>
      <c r="F561" s="27" t="str">
        <f t="shared" si="38"/>
        <v/>
      </c>
      <c r="G561" s="27" t="str">
        <f t="shared" si="38"/>
        <v/>
      </c>
      <c r="H561" s="27" t="str">
        <f t="shared" si="38"/>
        <v/>
      </c>
    </row>
    <row r="562" spans="1:8" hidden="1" outlineLevel="1">
      <c r="A562" t="s">
        <v>138</v>
      </c>
      <c r="B562" s="27" t="str">
        <f t="shared" si="38"/>
        <v/>
      </c>
      <c r="C562" s="27" t="str">
        <f t="shared" si="38"/>
        <v/>
      </c>
      <c r="D562" s="27" t="str">
        <f t="shared" si="38"/>
        <v/>
      </c>
      <c r="E562" s="27" t="str">
        <f t="shared" si="38"/>
        <v/>
      </c>
      <c r="F562" s="27" t="str">
        <f t="shared" si="38"/>
        <v/>
      </c>
      <c r="G562" s="27" t="str">
        <f t="shared" si="38"/>
        <v/>
      </c>
      <c r="H562" s="27" t="str">
        <f t="shared" si="38"/>
        <v/>
      </c>
    </row>
    <row r="563" spans="1:8" hidden="1" outlineLevel="1">
      <c r="A563" t="s">
        <v>139</v>
      </c>
      <c r="B563" s="27" t="str">
        <f t="shared" si="38"/>
        <v/>
      </c>
      <c r="C563" s="27" t="str">
        <f t="shared" si="38"/>
        <v/>
      </c>
      <c r="D563" s="27" t="str">
        <f t="shared" si="38"/>
        <v/>
      </c>
      <c r="E563" s="27" t="str">
        <f t="shared" si="38"/>
        <v/>
      </c>
      <c r="F563" s="27" t="str">
        <f t="shared" si="38"/>
        <v/>
      </c>
      <c r="G563" s="27" t="str">
        <f t="shared" si="38"/>
        <v/>
      </c>
      <c r="H563" s="27" t="str">
        <f t="shared" si="38"/>
        <v/>
      </c>
    </row>
    <row r="564" spans="1:8" hidden="1" outlineLevel="1">
      <c r="A564" t="s">
        <v>140</v>
      </c>
      <c r="B564" s="27" t="str">
        <f t="shared" ref="B564:H573" si="39">IF(SUM(B135,B278)=0,"",SUM(B278)/SUM(B135,B278))</f>
        <v/>
      </c>
      <c r="C564" s="27" t="str">
        <f t="shared" si="39"/>
        <v/>
      </c>
      <c r="D564" s="27" t="str">
        <f t="shared" si="39"/>
        <v/>
      </c>
      <c r="E564" s="27" t="str">
        <f t="shared" si="39"/>
        <v/>
      </c>
      <c r="F564" s="27" t="str">
        <f t="shared" si="39"/>
        <v/>
      </c>
      <c r="G564" s="27" t="str">
        <f t="shared" si="39"/>
        <v/>
      </c>
      <c r="H564" s="27" t="str">
        <f t="shared" si="39"/>
        <v/>
      </c>
    </row>
    <row r="565" spans="1:8" hidden="1" outlineLevel="1">
      <c r="A565" t="s">
        <v>141</v>
      </c>
      <c r="B565" s="27" t="str">
        <f t="shared" si="39"/>
        <v/>
      </c>
      <c r="C565" s="27" t="str">
        <f t="shared" si="39"/>
        <v/>
      </c>
      <c r="D565" s="27" t="str">
        <f t="shared" si="39"/>
        <v/>
      </c>
      <c r="E565" s="27" t="str">
        <f t="shared" si="39"/>
        <v/>
      </c>
      <c r="F565" s="27" t="str">
        <f t="shared" si="39"/>
        <v/>
      </c>
      <c r="G565" s="27" t="str">
        <f t="shared" si="39"/>
        <v/>
      </c>
      <c r="H565" s="27" t="str">
        <f t="shared" si="39"/>
        <v/>
      </c>
    </row>
    <row r="566" spans="1:8" hidden="1" outlineLevel="1">
      <c r="A566" t="s">
        <v>142</v>
      </c>
      <c r="B566" s="27" t="str">
        <f t="shared" si="39"/>
        <v/>
      </c>
      <c r="C566" s="27" t="str">
        <f t="shared" si="39"/>
        <v/>
      </c>
      <c r="D566" s="27" t="str">
        <f t="shared" si="39"/>
        <v/>
      </c>
      <c r="E566" s="27" t="str">
        <f t="shared" si="39"/>
        <v/>
      </c>
      <c r="F566" s="27" t="str">
        <f t="shared" si="39"/>
        <v/>
      </c>
      <c r="G566" s="27" t="str">
        <f t="shared" si="39"/>
        <v/>
      </c>
      <c r="H566" s="27" t="str">
        <f t="shared" si="39"/>
        <v/>
      </c>
    </row>
    <row r="567" spans="1:8" hidden="1" outlineLevel="1">
      <c r="A567" t="s">
        <v>143</v>
      </c>
      <c r="B567" s="27" t="str">
        <f t="shared" si="39"/>
        <v/>
      </c>
      <c r="C567" s="27" t="str">
        <f t="shared" si="39"/>
        <v/>
      </c>
      <c r="D567" s="27" t="str">
        <f t="shared" si="39"/>
        <v/>
      </c>
      <c r="E567" s="27" t="str">
        <f t="shared" si="39"/>
        <v/>
      </c>
      <c r="F567" s="27" t="str">
        <f t="shared" si="39"/>
        <v/>
      </c>
      <c r="G567" s="27" t="str">
        <f t="shared" si="39"/>
        <v/>
      </c>
      <c r="H567" s="27" t="str">
        <f t="shared" si="39"/>
        <v/>
      </c>
    </row>
    <row r="568" spans="1:8" hidden="1" outlineLevel="1">
      <c r="A568" t="s">
        <v>144</v>
      </c>
      <c r="B568" s="27" t="str">
        <f t="shared" si="39"/>
        <v/>
      </c>
      <c r="C568" s="27" t="str">
        <f t="shared" si="39"/>
        <v/>
      </c>
      <c r="D568" s="27" t="str">
        <f t="shared" si="39"/>
        <v/>
      </c>
      <c r="E568" s="27" t="str">
        <f t="shared" si="39"/>
        <v/>
      </c>
      <c r="F568" s="27" t="str">
        <f t="shared" si="39"/>
        <v/>
      </c>
      <c r="G568" s="27" t="str">
        <f t="shared" si="39"/>
        <v/>
      </c>
      <c r="H568" s="27" t="str">
        <f t="shared" si="39"/>
        <v/>
      </c>
    </row>
    <row r="569" spans="1:8" hidden="1" outlineLevel="1">
      <c r="A569" t="s">
        <v>145</v>
      </c>
      <c r="B569" s="27" t="str">
        <f t="shared" si="39"/>
        <v/>
      </c>
      <c r="C569" s="27" t="str">
        <f t="shared" si="39"/>
        <v/>
      </c>
      <c r="D569" s="27" t="str">
        <f t="shared" si="39"/>
        <v/>
      </c>
      <c r="E569" s="27" t="str">
        <f t="shared" si="39"/>
        <v/>
      </c>
      <c r="F569" s="27" t="str">
        <f t="shared" si="39"/>
        <v/>
      </c>
      <c r="G569" s="27" t="str">
        <f t="shared" si="39"/>
        <v/>
      </c>
      <c r="H569" s="27" t="str">
        <f t="shared" si="39"/>
        <v/>
      </c>
    </row>
    <row r="570" spans="1:8" hidden="1" outlineLevel="1">
      <c r="A570" t="s">
        <v>146</v>
      </c>
      <c r="B570" s="27" t="str">
        <f t="shared" si="39"/>
        <v/>
      </c>
      <c r="C570" s="27" t="str">
        <f t="shared" si="39"/>
        <v/>
      </c>
      <c r="D570" s="27" t="str">
        <f t="shared" si="39"/>
        <v/>
      </c>
      <c r="E570" s="27" t="str">
        <f t="shared" si="39"/>
        <v/>
      </c>
      <c r="F570" s="27" t="str">
        <f t="shared" si="39"/>
        <v/>
      </c>
      <c r="G570" s="27" t="str">
        <f t="shared" si="39"/>
        <v/>
      </c>
      <c r="H570" s="27" t="str">
        <f t="shared" si="39"/>
        <v/>
      </c>
    </row>
    <row r="571" spans="1:8" hidden="1" outlineLevel="1">
      <c r="A571" t="s">
        <v>147</v>
      </c>
      <c r="B571" s="27" t="str">
        <f t="shared" si="39"/>
        <v/>
      </c>
      <c r="C571" s="27" t="str">
        <f t="shared" si="39"/>
        <v/>
      </c>
      <c r="D571" s="27" t="str">
        <f t="shared" si="39"/>
        <v/>
      </c>
      <c r="E571" s="27" t="str">
        <f t="shared" si="39"/>
        <v/>
      </c>
      <c r="F571" s="27" t="str">
        <f t="shared" si="39"/>
        <v/>
      </c>
      <c r="G571" s="27" t="str">
        <f t="shared" si="39"/>
        <v/>
      </c>
      <c r="H571" s="27" t="str">
        <f t="shared" si="39"/>
        <v/>
      </c>
    </row>
    <row r="572" spans="1:8" collapsed="1">
      <c r="A572" s="32" t="s">
        <v>9</v>
      </c>
      <c r="B572" s="34">
        <f t="shared" si="39"/>
        <v>0.1710225361661738</v>
      </c>
      <c r="C572" s="34">
        <f t="shared" si="39"/>
        <v>0.14822028965058689</v>
      </c>
      <c r="D572" s="34">
        <f t="shared" si="39"/>
        <v>0.52742064457289772</v>
      </c>
      <c r="E572" s="34">
        <f t="shared" si="39"/>
        <v>0.65335473096725272</v>
      </c>
      <c r="F572" s="34">
        <f t="shared" si="39"/>
        <v>0.17940275112403931</v>
      </c>
      <c r="G572" s="34">
        <f t="shared" si="39"/>
        <v>0.19989572465424946</v>
      </c>
      <c r="H572" s="34">
        <f t="shared" si="39"/>
        <v>0.34855327841073891</v>
      </c>
    </row>
  </sheetData>
  <conditionalFormatting sqref="B291:B4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4:B57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1:C4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4:C57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1:D4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4:D57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1:E4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4:E57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1:F4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4:F57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1:G4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4:G57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1:H4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4:H57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72"/>
  <sheetViews>
    <sheetView topLeftCell="A178" workbookViewId="0"/>
  </sheetViews>
  <sheetFormatPr baseColWidth="10" defaultColWidth="8.83203125" defaultRowHeight="16" outlineLevelRow="1"/>
  <cols>
    <col min="1" max="1" width="20" customWidth="1"/>
    <col min="2" max="8" width="16" customWidth="1"/>
  </cols>
  <sheetData>
    <row r="1" spans="1:8">
      <c r="A1" s="32" t="s">
        <v>185</v>
      </c>
    </row>
    <row r="3" spans="1:8">
      <c r="A3" s="32" t="s">
        <v>1</v>
      </c>
    </row>
    <row r="4" spans="1:8">
      <c r="A4" s="32" t="s">
        <v>2</v>
      </c>
      <c r="B4" s="32" t="s">
        <v>3</v>
      </c>
      <c r="C4" s="32" t="s">
        <v>4</v>
      </c>
      <c r="D4" s="32" t="s">
        <v>5</v>
      </c>
      <c r="E4" s="32" t="s">
        <v>6</v>
      </c>
      <c r="F4" s="32" t="s">
        <v>7</v>
      </c>
      <c r="G4" s="32" t="s">
        <v>8</v>
      </c>
      <c r="H4" s="32" t="s">
        <v>9</v>
      </c>
    </row>
    <row r="5" spans="1:8">
      <c r="A5" t="s">
        <v>10</v>
      </c>
      <c r="B5" s="26">
        <f>IF(SUMIFS('NSE - NIFTY Index Options'!$L:$L,'NSE - NIFTY Index Options'!$C:$C,$A5,'NSE - NIFTY Index Options'!$B:$B,B$4,'NSE - NIFTY Index Options'!$H:$H,"Monthly*")+SUMIFS('NSE - Other Index Options'!$L:$L,'NSE - Other Index Options'!$C:$C,$A5,'NSE - Other Index Options'!$B:$B,B$4,'NSE - Other Index Options'!$H:$H,"Monthly*")=0,"",SUMIFS('NSE - NIFTY Index Options'!$L:$L,'NSE - NIFTY Index Options'!$C:$C,$A5,'NSE - NIFTY Index Options'!$B:$B,B$4,'NSE - NIFTY Index Options'!$H:$H,"Monthly*")+SUMIFS('NSE - Other Index Options'!$L:$L,'NSE - Other Index Options'!$C:$C,$A5,'NSE - Other Index Options'!$B:$B,B$4,'NSE - Other Index Options'!$H:$H,"Monthly*"))</f>
        <v>4853.3500000000004</v>
      </c>
      <c r="C5" s="26">
        <f>IF(SUMIFS('NSE - NIFTY Index Options'!$L:$L,'NSE - NIFTY Index Options'!$C:$C,$A5,'NSE - NIFTY Index Options'!$B:$B,C$4,'NSE - NIFTY Index Options'!$H:$H,"Monthly*")+SUMIFS('NSE - Other Index Options'!$L:$L,'NSE - Other Index Options'!$C:$C,$A5,'NSE - Other Index Options'!$B:$B,C$4,'NSE - Other Index Options'!$H:$H,"Monthly*")=0,"",SUMIFS('NSE - NIFTY Index Options'!$L:$L,'NSE - NIFTY Index Options'!$C:$C,$A5,'NSE - NIFTY Index Options'!$B:$B,C$4,'NSE - NIFTY Index Options'!$H:$H,"Monthly*")+SUMIFS('NSE - Other Index Options'!$L:$L,'NSE - Other Index Options'!$C:$C,$A5,'NSE - Other Index Options'!$B:$B,C$4,'NSE - Other Index Options'!$H:$H,"Monthly*"))</f>
        <v>5867.87</v>
      </c>
      <c r="D5" s="26">
        <f>IF(SUMIFS('NSE - NIFTY Index Options'!$L:$L,'NSE - NIFTY Index Options'!$C:$C,$A5,'NSE - NIFTY Index Options'!$B:$B,D$4,'NSE - NIFTY Index Options'!$H:$H,"Monthly*")+SUMIFS('NSE - Other Index Options'!$L:$L,'NSE - Other Index Options'!$C:$C,$A5,'NSE - Other Index Options'!$B:$B,D$4,'NSE - Other Index Options'!$H:$H,"Monthly*")=0,"",SUMIFS('NSE - NIFTY Index Options'!$L:$L,'NSE - NIFTY Index Options'!$C:$C,$A5,'NSE - NIFTY Index Options'!$B:$B,D$4,'NSE - NIFTY Index Options'!$H:$H,"Monthly*")+SUMIFS('NSE - Other Index Options'!$L:$L,'NSE - Other Index Options'!$C:$C,$A5,'NSE - Other Index Options'!$B:$B,D$4,'NSE - Other Index Options'!$H:$H,"Monthly*"))</f>
        <v>5589.69</v>
      </c>
      <c r="E5" s="26">
        <f>IF(SUMIFS('NSE - NIFTY Index Options'!$L:$L,'NSE - NIFTY Index Options'!$C:$C,$A5,'NSE - NIFTY Index Options'!$B:$B,E$4,'NSE - NIFTY Index Options'!$H:$H,"Monthly*")+SUMIFS('NSE - Other Index Options'!$L:$L,'NSE - Other Index Options'!$C:$C,$A5,'NSE - Other Index Options'!$B:$B,E$4,'NSE - Other Index Options'!$H:$H,"Monthly*")=0,"",SUMIFS('NSE - NIFTY Index Options'!$L:$L,'NSE - NIFTY Index Options'!$C:$C,$A5,'NSE - NIFTY Index Options'!$B:$B,E$4,'NSE - NIFTY Index Options'!$H:$H,"Monthly*")+SUMIFS('NSE - Other Index Options'!$L:$L,'NSE - Other Index Options'!$C:$C,$A5,'NSE - Other Index Options'!$B:$B,E$4,'NSE - Other Index Options'!$H:$H,"Monthly*"))</f>
        <v>5947.119999999999</v>
      </c>
      <c r="F5" s="26">
        <f>IF(SUMIFS('NSE - NIFTY Index Options'!$L:$L,'NSE - NIFTY Index Options'!$C:$C,$A5,'NSE - NIFTY Index Options'!$B:$B,F$4,'NSE - NIFTY Index Options'!$H:$H,"Monthly*")+SUMIFS('NSE - Other Index Options'!$L:$L,'NSE - Other Index Options'!$C:$C,$A5,'NSE - Other Index Options'!$B:$B,F$4,'NSE - Other Index Options'!$H:$H,"Monthly*")=0,"",SUMIFS('NSE - NIFTY Index Options'!$L:$L,'NSE - NIFTY Index Options'!$C:$C,$A5,'NSE - NIFTY Index Options'!$B:$B,F$4,'NSE - NIFTY Index Options'!$H:$H,"Monthly*")+SUMIFS('NSE - Other Index Options'!$L:$L,'NSE - Other Index Options'!$C:$C,$A5,'NSE - Other Index Options'!$B:$B,F$4,'NSE - Other Index Options'!$H:$H,"Monthly*"))</f>
        <v>6186.1</v>
      </c>
      <c r="G5" s="26" t="str">
        <f>IF(SUMIFS('NSE - NIFTY Index Options'!$L:$L,'NSE - NIFTY Index Options'!$C:$C,$A5,'NSE - NIFTY Index Options'!$B:$B,G$4,'NSE - NIFTY Index Options'!$H:$H,"Monthly*")+SUMIFS('NSE - Other Index Options'!$L:$L,'NSE - Other Index Options'!$C:$C,$A5,'NSE - Other Index Options'!$B:$B,G$4,'NSE - Other Index Options'!$H:$H,"Monthly*")=0,"",SUMIFS('NSE - NIFTY Index Options'!$L:$L,'NSE - NIFTY Index Options'!$C:$C,$A5,'NSE - NIFTY Index Options'!$B:$B,G$4,'NSE - NIFTY Index Options'!$H:$H,"Monthly*")+SUMIFS('NSE - Other Index Options'!$L:$L,'NSE - Other Index Options'!$C:$C,$A5,'NSE - Other Index Options'!$B:$B,G$4,'NSE - Other Index Options'!$H:$H,"Monthly*"))</f>
        <v/>
      </c>
      <c r="H5" s="26">
        <f t="shared" ref="H5:H36" si="0">IF(SUM(B5:G5)=0,"",SUM(B5:G5))</f>
        <v>28444.129999999997</v>
      </c>
    </row>
    <row r="6" spans="1:8">
      <c r="A6" t="s">
        <v>11</v>
      </c>
      <c r="B6" s="26">
        <f>IF(SUMIFS('NSE - NIFTY Index Options'!$L:$L,'NSE - NIFTY Index Options'!$C:$C,$A6,'NSE - NIFTY Index Options'!$B:$B,B$4,'NSE - NIFTY Index Options'!$H:$H,"Monthly*")+SUMIFS('NSE - Other Index Options'!$L:$L,'NSE - Other Index Options'!$C:$C,$A6,'NSE - Other Index Options'!$B:$B,B$4,'NSE - Other Index Options'!$H:$H,"Monthly*")=0,"",SUMIFS('NSE - NIFTY Index Options'!$L:$L,'NSE - NIFTY Index Options'!$C:$C,$A6,'NSE - NIFTY Index Options'!$B:$B,B$4,'NSE - NIFTY Index Options'!$H:$H,"Monthly*")+SUMIFS('NSE - Other Index Options'!$L:$L,'NSE - Other Index Options'!$C:$C,$A6,'NSE - Other Index Options'!$B:$B,B$4,'NSE - Other Index Options'!$H:$H,"Monthly*"))</f>
        <v>5309.39</v>
      </c>
      <c r="C6" s="26">
        <f>IF(SUMIFS('NSE - NIFTY Index Options'!$L:$L,'NSE - NIFTY Index Options'!$C:$C,$A6,'NSE - NIFTY Index Options'!$B:$B,C$4,'NSE - NIFTY Index Options'!$H:$H,"Monthly*")+SUMIFS('NSE - Other Index Options'!$L:$L,'NSE - Other Index Options'!$C:$C,$A6,'NSE - Other Index Options'!$B:$B,C$4,'NSE - Other Index Options'!$H:$H,"Monthly*")=0,"",SUMIFS('NSE - NIFTY Index Options'!$L:$L,'NSE - NIFTY Index Options'!$C:$C,$A6,'NSE - NIFTY Index Options'!$B:$B,C$4,'NSE - NIFTY Index Options'!$H:$H,"Monthly*")+SUMIFS('NSE - Other Index Options'!$L:$L,'NSE - Other Index Options'!$C:$C,$A6,'NSE - Other Index Options'!$B:$B,C$4,'NSE - Other Index Options'!$H:$H,"Monthly*"))</f>
        <v>4127.3899999999994</v>
      </c>
      <c r="D6" s="26">
        <f>IF(SUMIFS('NSE - NIFTY Index Options'!$L:$L,'NSE - NIFTY Index Options'!$C:$C,$A6,'NSE - NIFTY Index Options'!$B:$B,D$4,'NSE - NIFTY Index Options'!$H:$H,"Monthly*")+SUMIFS('NSE - Other Index Options'!$L:$L,'NSE - Other Index Options'!$C:$C,$A6,'NSE - Other Index Options'!$B:$B,D$4,'NSE - Other Index Options'!$H:$H,"Monthly*")=0,"",SUMIFS('NSE - NIFTY Index Options'!$L:$L,'NSE - NIFTY Index Options'!$C:$C,$A6,'NSE - NIFTY Index Options'!$B:$B,D$4,'NSE - NIFTY Index Options'!$H:$H,"Monthly*")+SUMIFS('NSE - Other Index Options'!$L:$L,'NSE - Other Index Options'!$C:$C,$A6,'NSE - Other Index Options'!$B:$B,D$4,'NSE - Other Index Options'!$H:$H,"Monthly*"))</f>
        <v>6007.2400000000007</v>
      </c>
      <c r="E6" s="26">
        <f>IF(SUMIFS('NSE - NIFTY Index Options'!$L:$L,'NSE - NIFTY Index Options'!$C:$C,$A6,'NSE - NIFTY Index Options'!$B:$B,E$4,'NSE - NIFTY Index Options'!$H:$H,"Monthly*")+SUMIFS('NSE - Other Index Options'!$L:$L,'NSE - Other Index Options'!$C:$C,$A6,'NSE - Other Index Options'!$B:$B,E$4,'NSE - Other Index Options'!$H:$H,"Monthly*")=0,"",SUMIFS('NSE - NIFTY Index Options'!$L:$L,'NSE - NIFTY Index Options'!$C:$C,$A6,'NSE - NIFTY Index Options'!$B:$B,E$4,'NSE - NIFTY Index Options'!$H:$H,"Monthly*")+SUMIFS('NSE - Other Index Options'!$L:$L,'NSE - Other Index Options'!$C:$C,$A6,'NSE - Other Index Options'!$B:$B,E$4,'NSE - Other Index Options'!$H:$H,"Monthly*"))</f>
        <v>4041.8199999999997</v>
      </c>
      <c r="F6" s="26">
        <f>IF(SUMIFS('NSE - NIFTY Index Options'!$L:$L,'NSE - NIFTY Index Options'!$C:$C,$A6,'NSE - NIFTY Index Options'!$B:$B,F$4,'NSE - NIFTY Index Options'!$H:$H,"Monthly*")+SUMIFS('NSE - Other Index Options'!$L:$L,'NSE - Other Index Options'!$C:$C,$A6,'NSE - Other Index Options'!$B:$B,F$4,'NSE - Other Index Options'!$H:$H,"Monthly*")=0,"",SUMIFS('NSE - NIFTY Index Options'!$L:$L,'NSE - NIFTY Index Options'!$C:$C,$A6,'NSE - NIFTY Index Options'!$B:$B,F$4,'NSE - NIFTY Index Options'!$H:$H,"Monthly*")+SUMIFS('NSE - Other Index Options'!$L:$L,'NSE - Other Index Options'!$C:$C,$A6,'NSE - Other Index Options'!$B:$B,F$4,'NSE - Other Index Options'!$H:$H,"Monthly*"))</f>
        <v>4834.6499999999996</v>
      </c>
      <c r="G6" s="26" t="str">
        <f>IF(SUMIFS('NSE - NIFTY Index Options'!$L:$L,'NSE - NIFTY Index Options'!$C:$C,$A6,'NSE - NIFTY Index Options'!$B:$B,G$4,'NSE - NIFTY Index Options'!$H:$H,"Monthly*")+SUMIFS('NSE - Other Index Options'!$L:$L,'NSE - Other Index Options'!$C:$C,$A6,'NSE - Other Index Options'!$B:$B,G$4,'NSE - Other Index Options'!$H:$H,"Monthly*")=0,"",SUMIFS('NSE - NIFTY Index Options'!$L:$L,'NSE - NIFTY Index Options'!$C:$C,$A6,'NSE - NIFTY Index Options'!$B:$B,G$4,'NSE - NIFTY Index Options'!$H:$H,"Monthly*")+SUMIFS('NSE - Other Index Options'!$L:$L,'NSE - Other Index Options'!$C:$C,$A6,'NSE - Other Index Options'!$B:$B,G$4,'NSE - Other Index Options'!$H:$H,"Monthly*"))</f>
        <v/>
      </c>
      <c r="H6" s="26">
        <f t="shared" si="0"/>
        <v>24320.489999999998</v>
      </c>
    </row>
    <row r="7" spans="1:8">
      <c r="A7" t="s">
        <v>12</v>
      </c>
      <c r="B7" s="26">
        <f>IF(SUMIFS('NSE - NIFTY Index Options'!$L:$L,'NSE - NIFTY Index Options'!$C:$C,$A7,'NSE - NIFTY Index Options'!$B:$B,B$4,'NSE - NIFTY Index Options'!$H:$H,"Monthly*")+SUMIFS('NSE - Other Index Options'!$L:$L,'NSE - Other Index Options'!$C:$C,$A7,'NSE - Other Index Options'!$B:$B,B$4,'NSE - Other Index Options'!$H:$H,"Monthly*")=0,"",SUMIFS('NSE - NIFTY Index Options'!$L:$L,'NSE - NIFTY Index Options'!$C:$C,$A7,'NSE - NIFTY Index Options'!$B:$B,B$4,'NSE - NIFTY Index Options'!$H:$H,"Monthly*")+SUMIFS('NSE - Other Index Options'!$L:$L,'NSE - Other Index Options'!$C:$C,$A7,'NSE - Other Index Options'!$B:$B,B$4,'NSE - Other Index Options'!$H:$H,"Monthly*"))</f>
        <v>4005.1099999999997</v>
      </c>
      <c r="C7" s="26">
        <f>IF(SUMIFS('NSE - NIFTY Index Options'!$L:$L,'NSE - NIFTY Index Options'!$C:$C,$A7,'NSE - NIFTY Index Options'!$B:$B,C$4,'NSE - NIFTY Index Options'!$H:$H,"Monthly*")+SUMIFS('NSE - Other Index Options'!$L:$L,'NSE - Other Index Options'!$C:$C,$A7,'NSE - Other Index Options'!$B:$B,C$4,'NSE - Other Index Options'!$H:$H,"Monthly*")=0,"",SUMIFS('NSE - NIFTY Index Options'!$L:$L,'NSE - NIFTY Index Options'!$C:$C,$A7,'NSE - NIFTY Index Options'!$B:$B,C$4,'NSE - NIFTY Index Options'!$H:$H,"Monthly*")+SUMIFS('NSE - Other Index Options'!$L:$L,'NSE - Other Index Options'!$C:$C,$A7,'NSE - Other Index Options'!$B:$B,C$4,'NSE - Other Index Options'!$H:$H,"Monthly*"))</f>
        <v>5426.33</v>
      </c>
      <c r="D7" s="26">
        <f>IF(SUMIFS('NSE - NIFTY Index Options'!$L:$L,'NSE - NIFTY Index Options'!$C:$C,$A7,'NSE - NIFTY Index Options'!$B:$B,D$4,'NSE - NIFTY Index Options'!$H:$H,"Monthly*")+SUMIFS('NSE - Other Index Options'!$L:$L,'NSE - Other Index Options'!$C:$C,$A7,'NSE - Other Index Options'!$B:$B,D$4,'NSE - Other Index Options'!$H:$H,"Monthly*")=0,"",SUMIFS('NSE - NIFTY Index Options'!$L:$L,'NSE - NIFTY Index Options'!$C:$C,$A7,'NSE - NIFTY Index Options'!$B:$B,D$4,'NSE - NIFTY Index Options'!$H:$H,"Monthly*")+SUMIFS('NSE - Other Index Options'!$L:$L,'NSE - Other Index Options'!$C:$C,$A7,'NSE - Other Index Options'!$B:$B,D$4,'NSE - Other Index Options'!$H:$H,"Monthly*"))</f>
        <v>6561.9</v>
      </c>
      <c r="E7" s="26">
        <f>IF(SUMIFS('NSE - NIFTY Index Options'!$L:$L,'NSE - NIFTY Index Options'!$C:$C,$A7,'NSE - NIFTY Index Options'!$B:$B,E$4,'NSE - NIFTY Index Options'!$H:$H,"Monthly*")+SUMIFS('NSE - Other Index Options'!$L:$L,'NSE - Other Index Options'!$C:$C,$A7,'NSE - Other Index Options'!$B:$B,E$4,'NSE - Other Index Options'!$H:$H,"Monthly*")=0,"",SUMIFS('NSE - NIFTY Index Options'!$L:$L,'NSE - NIFTY Index Options'!$C:$C,$A7,'NSE - NIFTY Index Options'!$B:$B,E$4,'NSE - NIFTY Index Options'!$H:$H,"Monthly*")+SUMIFS('NSE - Other Index Options'!$L:$L,'NSE - Other Index Options'!$C:$C,$A7,'NSE - Other Index Options'!$B:$B,E$4,'NSE - Other Index Options'!$H:$H,"Monthly*"))</f>
        <v>7074.3600000000006</v>
      </c>
      <c r="F7" s="26">
        <f>IF(SUMIFS('NSE - NIFTY Index Options'!$L:$L,'NSE - NIFTY Index Options'!$C:$C,$A7,'NSE - NIFTY Index Options'!$B:$B,F$4,'NSE - NIFTY Index Options'!$H:$H,"Monthly*")+SUMIFS('NSE - Other Index Options'!$L:$L,'NSE - Other Index Options'!$C:$C,$A7,'NSE - Other Index Options'!$B:$B,F$4,'NSE - Other Index Options'!$H:$H,"Monthly*")=0,"",SUMIFS('NSE - NIFTY Index Options'!$L:$L,'NSE - NIFTY Index Options'!$C:$C,$A7,'NSE - NIFTY Index Options'!$B:$B,F$4,'NSE - NIFTY Index Options'!$H:$H,"Monthly*")+SUMIFS('NSE - Other Index Options'!$L:$L,'NSE - Other Index Options'!$C:$C,$A7,'NSE - Other Index Options'!$B:$B,F$4,'NSE - Other Index Options'!$H:$H,"Monthly*"))</f>
        <v>6875.3700000000008</v>
      </c>
      <c r="G7" s="26" t="str">
        <f>IF(SUMIFS('NSE - NIFTY Index Options'!$L:$L,'NSE - NIFTY Index Options'!$C:$C,$A7,'NSE - NIFTY Index Options'!$B:$B,G$4,'NSE - NIFTY Index Options'!$H:$H,"Monthly*")+SUMIFS('NSE - Other Index Options'!$L:$L,'NSE - Other Index Options'!$C:$C,$A7,'NSE - Other Index Options'!$B:$B,G$4,'NSE - Other Index Options'!$H:$H,"Monthly*")=0,"",SUMIFS('NSE - NIFTY Index Options'!$L:$L,'NSE - NIFTY Index Options'!$C:$C,$A7,'NSE - NIFTY Index Options'!$B:$B,G$4,'NSE - NIFTY Index Options'!$H:$H,"Monthly*")+SUMIFS('NSE - Other Index Options'!$L:$L,'NSE - Other Index Options'!$C:$C,$A7,'NSE - Other Index Options'!$B:$B,G$4,'NSE - Other Index Options'!$H:$H,"Monthly*"))</f>
        <v/>
      </c>
      <c r="H7" s="26">
        <f t="shared" si="0"/>
        <v>29943.07</v>
      </c>
    </row>
    <row r="8" spans="1:8">
      <c r="A8" t="s">
        <v>13</v>
      </c>
      <c r="B8" s="26">
        <f>IF(SUMIFS('NSE - NIFTY Index Options'!$L:$L,'NSE - NIFTY Index Options'!$C:$C,$A8,'NSE - NIFTY Index Options'!$B:$B,B$4,'NSE - NIFTY Index Options'!$H:$H,"Monthly*")+SUMIFS('NSE - Other Index Options'!$L:$L,'NSE - Other Index Options'!$C:$C,$A8,'NSE - Other Index Options'!$B:$B,B$4,'NSE - Other Index Options'!$H:$H,"Monthly*")=0,"",SUMIFS('NSE - NIFTY Index Options'!$L:$L,'NSE - NIFTY Index Options'!$C:$C,$A8,'NSE - NIFTY Index Options'!$B:$B,B$4,'NSE - NIFTY Index Options'!$H:$H,"Monthly*")+SUMIFS('NSE - Other Index Options'!$L:$L,'NSE - Other Index Options'!$C:$C,$A8,'NSE - Other Index Options'!$B:$B,B$4,'NSE - Other Index Options'!$H:$H,"Monthly*"))</f>
        <v>7930.2999999999993</v>
      </c>
      <c r="C8" s="26">
        <f>IF(SUMIFS('NSE - NIFTY Index Options'!$L:$L,'NSE - NIFTY Index Options'!$C:$C,$A8,'NSE - NIFTY Index Options'!$B:$B,C$4,'NSE - NIFTY Index Options'!$H:$H,"Monthly*")+SUMIFS('NSE - Other Index Options'!$L:$L,'NSE - Other Index Options'!$C:$C,$A8,'NSE - Other Index Options'!$B:$B,C$4,'NSE - Other Index Options'!$H:$H,"Monthly*")=0,"",SUMIFS('NSE - NIFTY Index Options'!$L:$L,'NSE - NIFTY Index Options'!$C:$C,$A8,'NSE - NIFTY Index Options'!$B:$B,C$4,'NSE - NIFTY Index Options'!$H:$H,"Monthly*")+SUMIFS('NSE - Other Index Options'!$L:$L,'NSE - Other Index Options'!$C:$C,$A8,'NSE - Other Index Options'!$B:$B,C$4,'NSE - Other Index Options'!$H:$H,"Monthly*"))</f>
        <v>11643.259999999998</v>
      </c>
      <c r="D8" s="26">
        <f>IF(SUMIFS('NSE - NIFTY Index Options'!$L:$L,'NSE - NIFTY Index Options'!$C:$C,$A8,'NSE - NIFTY Index Options'!$B:$B,D$4,'NSE - NIFTY Index Options'!$H:$H,"Monthly*")+SUMIFS('NSE - Other Index Options'!$L:$L,'NSE - Other Index Options'!$C:$C,$A8,'NSE - Other Index Options'!$B:$B,D$4,'NSE - Other Index Options'!$H:$H,"Monthly*")=0,"",SUMIFS('NSE - NIFTY Index Options'!$L:$L,'NSE - NIFTY Index Options'!$C:$C,$A8,'NSE - NIFTY Index Options'!$B:$B,D$4,'NSE - NIFTY Index Options'!$H:$H,"Monthly*")+SUMIFS('NSE - Other Index Options'!$L:$L,'NSE - Other Index Options'!$C:$C,$A8,'NSE - Other Index Options'!$B:$B,D$4,'NSE - Other Index Options'!$H:$H,"Monthly*"))</f>
        <v>6722.85</v>
      </c>
      <c r="E8" s="26">
        <f>IF(SUMIFS('NSE - NIFTY Index Options'!$L:$L,'NSE - NIFTY Index Options'!$C:$C,$A8,'NSE - NIFTY Index Options'!$B:$B,E$4,'NSE - NIFTY Index Options'!$H:$H,"Monthly*")+SUMIFS('NSE - Other Index Options'!$L:$L,'NSE - Other Index Options'!$C:$C,$A8,'NSE - Other Index Options'!$B:$B,E$4,'NSE - Other Index Options'!$H:$H,"Monthly*")=0,"",SUMIFS('NSE - NIFTY Index Options'!$L:$L,'NSE - NIFTY Index Options'!$C:$C,$A8,'NSE - NIFTY Index Options'!$B:$B,E$4,'NSE - NIFTY Index Options'!$H:$H,"Monthly*")+SUMIFS('NSE - Other Index Options'!$L:$L,'NSE - Other Index Options'!$C:$C,$A8,'NSE - Other Index Options'!$B:$B,E$4,'NSE - Other Index Options'!$H:$H,"Monthly*"))</f>
        <v>6813.4300000000012</v>
      </c>
      <c r="F8" s="26">
        <f>IF(SUMIFS('NSE - NIFTY Index Options'!$L:$L,'NSE - NIFTY Index Options'!$C:$C,$A8,'NSE - NIFTY Index Options'!$B:$B,F$4,'NSE - NIFTY Index Options'!$H:$H,"Monthly*")+SUMIFS('NSE - Other Index Options'!$L:$L,'NSE - Other Index Options'!$C:$C,$A8,'NSE - Other Index Options'!$B:$B,F$4,'NSE - Other Index Options'!$H:$H,"Monthly*")=0,"",SUMIFS('NSE - NIFTY Index Options'!$L:$L,'NSE - NIFTY Index Options'!$C:$C,$A8,'NSE - NIFTY Index Options'!$B:$B,F$4,'NSE - NIFTY Index Options'!$H:$H,"Monthly*")+SUMIFS('NSE - Other Index Options'!$L:$L,'NSE - Other Index Options'!$C:$C,$A8,'NSE - Other Index Options'!$B:$B,F$4,'NSE - Other Index Options'!$H:$H,"Monthly*"))</f>
        <v>10997.009999999998</v>
      </c>
      <c r="G8" s="26" t="str">
        <f>IF(SUMIFS('NSE - NIFTY Index Options'!$L:$L,'NSE - NIFTY Index Options'!$C:$C,$A8,'NSE - NIFTY Index Options'!$B:$B,G$4,'NSE - NIFTY Index Options'!$H:$H,"Monthly*")+SUMIFS('NSE - Other Index Options'!$L:$L,'NSE - Other Index Options'!$C:$C,$A8,'NSE - Other Index Options'!$B:$B,G$4,'NSE - Other Index Options'!$H:$H,"Monthly*")=0,"",SUMIFS('NSE - NIFTY Index Options'!$L:$L,'NSE - NIFTY Index Options'!$C:$C,$A8,'NSE - NIFTY Index Options'!$B:$B,G$4,'NSE - NIFTY Index Options'!$H:$H,"Monthly*")+SUMIFS('NSE - Other Index Options'!$L:$L,'NSE - Other Index Options'!$C:$C,$A8,'NSE - Other Index Options'!$B:$B,G$4,'NSE - Other Index Options'!$H:$H,"Monthly*"))</f>
        <v/>
      </c>
      <c r="H8" s="26">
        <f t="shared" si="0"/>
        <v>44106.849999999991</v>
      </c>
    </row>
    <row r="9" spans="1:8">
      <c r="A9" t="s">
        <v>14</v>
      </c>
      <c r="B9" s="26">
        <f>IF(SUMIFS('NSE - NIFTY Index Options'!$L:$L,'NSE - NIFTY Index Options'!$C:$C,$A9,'NSE - NIFTY Index Options'!$B:$B,B$4,'NSE - NIFTY Index Options'!$H:$H,"Monthly*")+SUMIFS('NSE - Other Index Options'!$L:$L,'NSE - Other Index Options'!$C:$C,$A9,'NSE - Other Index Options'!$B:$B,B$4,'NSE - Other Index Options'!$H:$H,"Monthly*")=0,"",SUMIFS('NSE - NIFTY Index Options'!$L:$L,'NSE - NIFTY Index Options'!$C:$C,$A9,'NSE - NIFTY Index Options'!$B:$B,B$4,'NSE - NIFTY Index Options'!$H:$H,"Monthly*")+SUMIFS('NSE - Other Index Options'!$L:$L,'NSE - Other Index Options'!$C:$C,$A9,'NSE - Other Index Options'!$B:$B,B$4,'NSE - Other Index Options'!$H:$H,"Monthly*"))</f>
        <v>13972.97</v>
      </c>
      <c r="C9" s="26">
        <f>IF(SUMIFS('NSE - NIFTY Index Options'!$L:$L,'NSE - NIFTY Index Options'!$C:$C,$A9,'NSE - NIFTY Index Options'!$B:$B,C$4,'NSE - NIFTY Index Options'!$H:$H,"Monthly*")+SUMIFS('NSE - Other Index Options'!$L:$L,'NSE - Other Index Options'!$C:$C,$A9,'NSE - Other Index Options'!$B:$B,C$4,'NSE - Other Index Options'!$H:$H,"Monthly*")=0,"",SUMIFS('NSE - NIFTY Index Options'!$L:$L,'NSE - NIFTY Index Options'!$C:$C,$A9,'NSE - NIFTY Index Options'!$B:$B,C$4,'NSE - NIFTY Index Options'!$H:$H,"Monthly*")+SUMIFS('NSE - Other Index Options'!$L:$L,'NSE - Other Index Options'!$C:$C,$A9,'NSE - Other Index Options'!$B:$B,C$4,'NSE - Other Index Options'!$H:$H,"Monthly*"))</f>
        <v>17907.91</v>
      </c>
      <c r="D9" s="26" t="str">
        <f>IF(SUMIFS('NSE - NIFTY Index Options'!$L:$L,'NSE - NIFTY Index Options'!$C:$C,$A9,'NSE - NIFTY Index Options'!$B:$B,D$4,'NSE - NIFTY Index Options'!$H:$H,"Monthly*")+SUMIFS('NSE - Other Index Options'!$L:$L,'NSE - Other Index Options'!$C:$C,$A9,'NSE - Other Index Options'!$B:$B,D$4,'NSE - Other Index Options'!$H:$H,"Monthly*")=0,"",SUMIFS('NSE - NIFTY Index Options'!$L:$L,'NSE - NIFTY Index Options'!$C:$C,$A9,'NSE - NIFTY Index Options'!$B:$B,D$4,'NSE - NIFTY Index Options'!$H:$H,"Monthly*")+SUMIFS('NSE - Other Index Options'!$L:$L,'NSE - Other Index Options'!$C:$C,$A9,'NSE - Other Index Options'!$B:$B,D$4,'NSE - Other Index Options'!$H:$H,"Monthly*"))</f>
        <v/>
      </c>
      <c r="E9" s="26" t="str">
        <f>IF(SUMIFS('NSE - NIFTY Index Options'!$L:$L,'NSE - NIFTY Index Options'!$C:$C,$A9,'NSE - NIFTY Index Options'!$B:$B,E$4,'NSE - NIFTY Index Options'!$H:$H,"Monthly*")+SUMIFS('NSE - Other Index Options'!$L:$L,'NSE - Other Index Options'!$C:$C,$A9,'NSE - Other Index Options'!$B:$B,E$4,'NSE - Other Index Options'!$H:$H,"Monthly*")=0,"",SUMIFS('NSE - NIFTY Index Options'!$L:$L,'NSE - NIFTY Index Options'!$C:$C,$A9,'NSE - NIFTY Index Options'!$B:$B,E$4,'NSE - NIFTY Index Options'!$H:$H,"Monthly*")+SUMIFS('NSE - Other Index Options'!$L:$L,'NSE - Other Index Options'!$C:$C,$A9,'NSE - Other Index Options'!$B:$B,E$4,'NSE - Other Index Options'!$H:$H,"Monthly*"))</f>
        <v/>
      </c>
      <c r="F9" s="26" t="str">
        <f>IF(SUMIFS('NSE - NIFTY Index Options'!$L:$L,'NSE - NIFTY Index Options'!$C:$C,$A9,'NSE - NIFTY Index Options'!$B:$B,F$4,'NSE - NIFTY Index Options'!$H:$H,"Monthly*")+SUMIFS('NSE - Other Index Options'!$L:$L,'NSE - Other Index Options'!$C:$C,$A9,'NSE - Other Index Options'!$B:$B,F$4,'NSE - Other Index Options'!$H:$H,"Monthly*")=0,"",SUMIFS('NSE - NIFTY Index Options'!$L:$L,'NSE - NIFTY Index Options'!$C:$C,$A9,'NSE - NIFTY Index Options'!$B:$B,F$4,'NSE - NIFTY Index Options'!$H:$H,"Monthly*")+SUMIFS('NSE - Other Index Options'!$L:$L,'NSE - Other Index Options'!$C:$C,$A9,'NSE - Other Index Options'!$B:$B,F$4,'NSE - Other Index Options'!$H:$H,"Monthly*"))</f>
        <v/>
      </c>
      <c r="G9" s="26" t="str">
        <f>IF(SUMIFS('NSE - NIFTY Index Options'!$L:$L,'NSE - NIFTY Index Options'!$C:$C,$A9,'NSE - NIFTY Index Options'!$B:$B,G$4,'NSE - NIFTY Index Options'!$H:$H,"Monthly*")+SUMIFS('NSE - Other Index Options'!$L:$L,'NSE - Other Index Options'!$C:$C,$A9,'NSE - Other Index Options'!$B:$B,G$4,'NSE - Other Index Options'!$H:$H,"Monthly*")=0,"",SUMIFS('NSE - NIFTY Index Options'!$L:$L,'NSE - NIFTY Index Options'!$C:$C,$A9,'NSE - NIFTY Index Options'!$B:$B,G$4,'NSE - NIFTY Index Options'!$H:$H,"Monthly*")+SUMIFS('NSE - Other Index Options'!$L:$L,'NSE - Other Index Options'!$C:$C,$A9,'NSE - Other Index Options'!$B:$B,G$4,'NSE - Other Index Options'!$H:$H,"Monthly*"))</f>
        <v/>
      </c>
      <c r="H9" s="26">
        <f t="shared" si="0"/>
        <v>31880.879999999997</v>
      </c>
    </row>
    <row r="10" spans="1:8">
      <c r="A10" t="s">
        <v>15</v>
      </c>
      <c r="B10" s="26">
        <f>IF(SUMIFS('NSE - NIFTY Index Options'!$L:$L,'NSE - NIFTY Index Options'!$C:$C,$A10,'NSE - NIFTY Index Options'!$B:$B,B$4,'NSE - NIFTY Index Options'!$H:$H,"Monthly*")+SUMIFS('NSE - Other Index Options'!$L:$L,'NSE - Other Index Options'!$C:$C,$A10,'NSE - Other Index Options'!$B:$B,B$4,'NSE - Other Index Options'!$H:$H,"Monthly*")=0,"",SUMIFS('NSE - NIFTY Index Options'!$L:$L,'NSE - NIFTY Index Options'!$C:$C,$A10,'NSE - NIFTY Index Options'!$B:$B,B$4,'NSE - NIFTY Index Options'!$H:$H,"Monthly*")+SUMIFS('NSE - Other Index Options'!$L:$L,'NSE - Other Index Options'!$C:$C,$A10,'NSE - Other Index Options'!$B:$B,B$4,'NSE - Other Index Options'!$H:$H,"Monthly*"))</f>
        <v>5772.27</v>
      </c>
      <c r="C10" s="26">
        <f>IF(SUMIFS('NSE - NIFTY Index Options'!$L:$L,'NSE - NIFTY Index Options'!$C:$C,$A10,'NSE - NIFTY Index Options'!$B:$B,C$4,'NSE - NIFTY Index Options'!$H:$H,"Monthly*")+SUMIFS('NSE - Other Index Options'!$L:$L,'NSE - Other Index Options'!$C:$C,$A10,'NSE - Other Index Options'!$B:$B,C$4,'NSE - Other Index Options'!$H:$H,"Monthly*")=0,"",SUMIFS('NSE - NIFTY Index Options'!$L:$L,'NSE - NIFTY Index Options'!$C:$C,$A10,'NSE - NIFTY Index Options'!$B:$B,C$4,'NSE - NIFTY Index Options'!$H:$H,"Monthly*")+SUMIFS('NSE - Other Index Options'!$L:$L,'NSE - Other Index Options'!$C:$C,$A10,'NSE - Other Index Options'!$B:$B,C$4,'NSE - Other Index Options'!$H:$H,"Monthly*"))</f>
        <v>5943.23</v>
      </c>
      <c r="D10" s="26">
        <f>IF(SUMIFS('NSE - NIFTY Index Options'!$L:$L,'NSE - NIFTY Index Options'!$C:$C,$A10,'NSE - NIFTY Index Options'!$B:$B,D$4,'NSE - NIFTY Index Options'!$H:$H,"Monthly*")+SUMIFS('NSE - Other Index Options'!$L:$L,'NSE - Other Index Options'!$C:$C,$A10,'NSE - Other Index Options'!$B:$B,D$4,'NSE - Other Index Options'!$H:$H,"Monthly*")=0,"",SUMIFS('NSE - NIFTY Index Options'!$L:$L,'NSE - NIFTY Index Options'!$C:$C,$A10,'NSE - NIFTY Index Options'!$B:$B,D$4,'NSE - NIFTY Index Options'!$H:$H,"Monthly*")+SUMIFS('NSE - Other Index Options'!$L:$L,'NSE - Other Index Options'!$C:$C,$A10,'NSE - Other Index Options'!$B:$B,D$4,'NSE - Other Index Options'!$H:$H,"Monthly*"))</f>
        <v>7425.93</v>
      </c>
      <c r="E10" s="26" t="str">
        <f>IF(SUMIFS('NSE - NIFTY Index Options'!$L:$L,'NSE - NIFTY Index Options'!$C:$C,$A10,'NSE - NIFTY Index Options'!$B:$B,E$4,'NSE - NIFTY Index Options'!$H:$H,"Monthly*")+SUMIFS('NSE - Other Index Options'!$L:$L,'NSE - Other Index Options'!$C:$C,$A10,'NSE - Other Index Options'!$B:$B,E$4,'NSE - Other Index Options'!$H:$H,"Monthly*")=0,"",SUMIFS('NSE - NIFTY Index Options'!$L:$L,'NSE - NIFTY Index Options'!$C:$C,$A10,'NSE - NIFTY Index Options'!$B:$B,E$4,'NSE - NIFTY Index Options'!$H:$H,"Monthly*")+SUMIFS('NSE - Other Index Options'!$L:$L,'NSE - Other Index Options'!$C:$C,$A10,'NSE - Other Index Options'!$B:$B,E$4,'NSE - Other Index Options'!$H:$H,"Monthly*"))</f>
        <v/>
      </c>
      <c r="F10" s="26">
        <f>IF(SUMIFS('NSE - NIFTY Index Options'!$L:$L,'NSE - NIFTY Index Options'!$C:$C,$A10,'NSE - NIFTY Index Options'!$B:$B,F$4,'NSE - NIFTY Index Options'!$H:$H,"Monthly*")+SUMIFS('NSE - Other Index Options'!$L:$L,'NSE - Other Index Options'!$C:$C,$A10,'NSE - Other Index Options'!$B:$B,F$4,'NSE - Other Index Options'!$H:$H,"Monthly*")=0,"",SUMIFS('NSE - NIFTY Index Options'!$L:$L,'NSE - NIFTY Index Options'!$C:$C,$A10,'NSE - NIFTY Index Options'!$B:$B,F$4,'NSE - NIFTY Index Options'!$H:$H,"Monthly*")+SUMIFS('NSE - Other Index Options'!$L:$L,'NSE - Other Index Options'!$C:$C,$A10,'NSE - Other Index Options'!$B:$B,F$4,'NSE - Other Index Options'!$H:$H,"Monthly*"))</f>
        <v>5005.7</v>
      </c>
      <c r="G10" s="26" t="str">
        <f>IF(SUMIFS('NSE - NIFTY Index Options'!$L:$L,'NSE - NIFTY Index Options'!$C:$C,$A10,'NSE - NIFTY Index Options'!$B:$B,G$4,'NSE - NIFTY Index Options'!$H:$H,"Monthly*")+SUMIFS('NSE - Other Index Options'!$L:$L,'NSE - Other Index Options'!$C:$C,$A10,'NSE - Other Index Options'!$B:$B,G$4,'NSE - Other Index Options'!$H:$H,"Monthly*")=0,"",SUMIFS('NSE - NIFTY Index Options'!$L:$L,'NSE - NIFTY Index Options'!$C:$C,$A10,'NSE - NIFTY Index Options'!$B:$B,G$4,'NSE - NIFTY Index Options'!$H:$H,"Monthly*")+SUMIFS('NSE - Other Index Options'!$L:$L,'NSE - Other Index Options'!$C:$C,$A10,'NSE - Other Index Options'!$B:$B,G$4,'NSE - Other Index Options'!$H:$H,"Monthly*"))</f>
        <v/>
      </c>
      <c r="H10" s="26">
        <f t="shared" si="0"/>
        <v>24147.13</v>
      </c>
    </row>
    <row r="11" spans="1:8">
      <c r="A11" t="s">
        <v>16</v>
      </c>
      <c r="B11" s="26">
        <f>IF(SUMIFS('NSE - NIFTY Index Options'!$L:$L,'NSE - NIFTY Index Options'!$C:$C,$A11,'NSE - NIFTY Index Options'!$B:$B,B$4,'NSE - NIFTY Index Options'!$H:$H,"Monthly*")+SUMIFS('NSE - Other Index Options'!$L:$L,'NSE - Other Index Options'!$C:$C,$A11,'NSE - Other Index Options'!$B:$B,B$4,'NSE - Other Index Options'!$H:$H,"Monthly*")=0,"",SUMIFS('NSE - NIFTY Index Options'!$L:$L,'NSE - NIFTY Index Options'!$C:$C,$A11,'NSE - NIFTY Index Options'!$B:$B,B$4,'NSE - NIFTY Index Options'!$H:$H,"Monthly*")+SUMIFS('NSE - Other Index Options'!$L:$L,'NSE - Other Index Options'!$C:$C,$A11,'NSE - Other Index Options'!$B:$B,B$4,'NSE - Other Index Options'!$H:$H,"Monthly*"))</f>
        <v>6449.3099999999995</v>
      </c>
      <c r="C11" s="26">
        <f>IF(SUMIFS('NSE - NIFTY Index Options'!$L:$L,'NSE - NIFTY Index Options'!$C:$C,$A11,'NSE - NIFTY Index Options'!$B:$B,C$4,'NSE - NIFTY Index Options'!$H:$H,"Monthly*")+SUMIFS('NSE - Other Index Options'!$L:$L,'NSE - Other Index Options'!$C:$C,$A11,'NSE - Other Index Options'!$B:$B,C$4,'NSE - Other Index Options'!$H:$H,"Monthly*")=0,"",SUMIFS('NSE - NIFTY Index Options'!$L:$L,'NSE - NIFTY Index Options'!$C:$C,$A11,'NSE - NIFTY Index Options'!$B:$B,C$4,'NSE - NIFTY Index Options'!$H:$H,"Monthly*")+SUMIFS('NSE - Other Index Options'!$L:$L,'NSE - Other Index Options'!$C:$C,$A11,'NSE - Other Index Options'!$B:$B,C$4,'NSE - Other Index Options'!$H:$H,"Monthly*"))</f>
        <v>6938.74</v>
      </c>
      <c r="D11" s="26">
        <f>IF(SUMIFS('NSE - NIFTY Index Options'!$L:$L,'NSE - NIFTY Index Options'!$C:$C,$A11,'NSE - NIFTY Index Options'!$B:$B,D$4,'NSE - NIFTY Index Options'!$H:$H,"Monthly*")+SUMIFS('NSE - Other Index Options'!$L:$L,'NSE - Other Index Options'!$C:$C,$A11,'NSE - Other Index Options'!$B:$B,D$4,'NSE - Other Index Options'!$H:$H,"Monthly*")=0,"",SUMIFS('NSE - NIFTY Index Options'!$L:$L,'NSE - NIFTY Index Options'!$C:$C,$A11,'NSE - NIFTY Index Options'!$B:$B,D$4,'NSE - NIFTY Index Options'!$H:$H,"Monthly*")+SUMIFS('NSE - Other Index Options'!$L:$L,'NSE - Other Index Options'!$C:$C,$A11,'NSE - Other Index Options'!$B:$B,D$4,'NSE - Other Index Options'!$H:$H,"Monthly*"))</f>
        <v>6559.84</v>
      </c>
      <c r="E11" s="26">
        <f>IF(SUMIFS('NSE - NIFTY Index Options'!$L:$L,'NSE - NIFTY Index Options'!$C:$C,$A11,'NSE - NIFTY Index Options'!$B:$B,E$4,'NSE - NIFTY Index Options'!$H:$H,"Monthly*")+SUMIFS('NSE - Other Index Options'!$L:$L,'NSE - Other Index Options'!$C:$C,$A11,'NSE - Other Index Options'!$B:$B,E$4,'NSE - Other Index Options'!$H:$H,"Monthly*")=0,"",SUMIFS('NSE - NIFTY Index Options'!$L:$L,'NSE - NIFTY Index Options'!$C:$C,$A11,'NSE - NIFTY Index Options'!$B:$B,E$4,'NSE - NIFTY Index Options'!$H:$H,"Monthly*")+SUMIFS('NSE - Other Index Options'!$L:$L,'NSE - Other Index Options'!$C:$C,$A11,'NSE - Other Index Options'!$B:$B,E$4,'NSE - Other Index Options'!$H:$H,"Monthly*"))</f>
        <v>5353.99</v>
      </c>
      <c r="F11" s="26">
        <f>IF(SUMIFS('NSE - NIFTY Index Options'!$L:$L,'NSE - NIFTY Index Options'!$C:$C,$A11,'NSE - NIFTY Index Options'!$B:$B,F$4,'NSE - NIFTY Index Options'!$H:$H,"Monthly*")+SUMIFS('NSE - Other Index Options'!$L:$L,'NSE - Other Index Options'!$C:$C,$A11,'NSE - Other Index Options'!$B:$B,F$4,'NSE - Other Index Options'!$H:$H,"Monthly*")=0,"",SUMIFS('NSE - NIFTY Index Options'!$L:$L,'NSE - NIFTY Index Options'!$C:$C,$A11,'NSE - NIFTY Index Options'!$B:$B,F$4,'NSE - NIFTY Index Options'!$H:$H,"Monthly*")+SUMIFS('NSE - Other Index Options'!$L:$L,'NSE - Other Index Options'!$C:$C,$A11,'NSE - Other Index Options'!$B:$B,F$4,'NSE - Other Index Options'!$H:$H,"Monthly*"))</f>
        <v>6860.83</v>
      </c>
      <c r="G11" s="26" t="str">
        <f>IF(SUMIFS('NSE - NIFTY Index Options'!$L:$L,'NSE - NIFTY Index Options'!$C:$C,$A11,'NSE - NIFTY Index Options'!$B:$B,G$4,'NSE - NIFTY Index Options'!$H:$H,"Monthly*")+SUMIFS('NSE - Other Index Options'!$L:$L,'NSE - Other Index Options'!$C:$C,$A11,'NSE - Other Index Options'!$B:$B,G$4,'NSE - Other Index Options'!$H:$H,"Monthly*")=0,"",SUMIFS('NSE - NIFTY Index Options'!$L:$L,'NSE - NIFTY Index Options'!$C:$C,$A11,'NSE - NIFTY Index Options'!$B:$B,G$4,'NSE - NIFTY Index Options'!$H:$H,"Monthly*")+SUMIFS('NSE - Other Index Options'!$L:$L,'NSE - Other Index Options'!$C:$C,$A11,'NSE - Other Index Options'!$B:$B,G$4,'NSE - Other Index Options'!$H:$H,"Monthly*"))</f>
        <v/>
      </c>
      <c r="H11" s="26">
        <f t="shared" si="0"/>
        <v>32162.71</v>
      </c>
    </row>
    <row r="12" spans="1:8">
      <c r="A12" t="s">
        <v>17</v>
      </c>
      <c r="B12" s="26">
        <f>IF(SUMIFS('NSE - NIFTY Index Options'!$L:$L,'NSE - NIFTY Index Options'!$C:$C,$A12,'NSE - NIFTY Index Options'!$B:$B,B$4,'NSE - NIFTY Index Options'!$H:$H,"Monthly*")+SUMIFS('NSE - Other Index Options'!$L:$L,'NSE - Other Index Options'!$C:$C,$A12,'NSE - Other Index Options'!$B:$B,B$4,'NSE - Other Index Options'!$H:$H,"Monthly*")=0,"",SUMIFS('NSE - NIFTY Index Options'!$L:$L,'NSE - NIFTY Index Options'!$C:$C,$A12,'NSE - NIFTY Index Options'!$B:$B,B$4,'NSE - NIFTY Index Options'!$H:$H,"Monthly*")+SUMIFS('NSE - Other Index Options'!$L:$L,'NSE - Other Index Options'!$C:$C,$A12,'NSE - Other Index Options'!$B:$B,B$4,'NSE - Other Index Options'!$H:$H,"Monthly*"))</f>
        <v>14115.260000000002</v>
      </c>
      <c r="C12" s="26">
        <f>IF(SUMIFS('NSE - NIFTY Index Options'!$L:$L,'NSE - NIFTY Index Options'!$C:$C,$A12,'NSE - NIFTY Index Options'!$B:$B,C$4,'NSE - NIFTY Index Options'!$H:$H,"Monthly*")+SUMIFS('NSE - Other Index Options'!$L:$L,'NSE - Other Index Options'!$C:$C,$A12,'NSE - Other Index Options'!$B:$B,C$4,'NSE - Other Index Options'!$H:$H,"Monthly*")=0,"",SUMIFS('NSE - NIFTY Index Options'!$L:$L,'NSE - NIFTY Index Options'!$C:$C,$A12,'NSE - NIFTY Index Options'!$B:$B,C$4,'NSE - NIFTY Index Options'!$H:$H,"Monthly*")+SUMIFS('NSE - Other Index Options'!$L:$L,'NSE - Other Index Options'!$C:$C,$A12,'NSE - Other Index Options'!$B:$B,C$4,'NSE - Other Index Options'!$H:$H,"Monthly*"))</f>
        <v>6550.42</v>
      </c>
      <c r="D12" s="26">
        <f>IF(SUMIFS('NSE - NIFTY Index Options'!$L:$L,'NSE - NIFTY Index Options'!$C:$C,$A12,'NSE - NIFTY Index Options'!$B:$B,D$4,'NSE - NIFTY Index Options'!$H:$H,"Monthly*")+SUMIFS('NSE - Other Index Options'!$L:$L,'NSE - Other Index Options'!$C:$C,$A12,'NSE - Other Index Options'!$B:$B,D$4,'NSE - Other Index Options'!$H:$H,"Monthly*")=0,"",SUMIFS('NSE - NIFTY Index Options'!$L:$L,'NSE - NIFTY Index Options'!$C:$C,$A12,'NSE - NIFTY Index Options'!$B:$B,D$4,'NSE - NIFTY Index Options'!$H:$H,"Monthly*")+SUMIFS('NSE - Other Index Options'!$L:$L,'NSE - Other Index Options'!$C:$C,$A12,'NSE - Other Index Options'!$B:$B,D$4,'NSE - Other Index Options'!$H:$H,"Monthly*"))</f>
        <v>7522.87</v>
      </c>
      <c r="E12" s="26">
        <f>IF(SUMIFS('NSE - NIFTY Index Options'!$L:$L,'NSE - NIFTY Index Options'!$C:$C,$A12,'NSE - NIFTY Index Options'!$B:$B,E$4,'NSE - NIFTY Index Options'!$H:$H,"Monthly*")+SUMIFS('NSE - Other Index Options'!$L:$L,'NSE - Other Index Options'!$C:$C,$A12,'NSE - Other Index Options'!$B:$B,E$4,'NSE - Other Index Options'!$H:$H,"Monthly*")=0,"",SUMIFS('NSE - NIFTY Index Options'!$L:$L,'NSE - NIFTY Index Options'!$C:$C,$A12,'NSE - NIFTY Index Options'!$B:$B,E$4,'NSE - NIFTY Index Options'!$H:$H,"Monthly*")+SUMIFS('NSE - Other Index Options'!$L:$L,'NSE - Other Index Options'!$C:$C,$A12,'NSE - Other Index Options'!$B:$B,E$4,'NSE - Other Index Options'!$H:$H,"Monthly*"))</f>
        <v>9685.2900000000009</v>
      </c>
      <c r="F12" s="26">
        <f>IF(SUMIFS('NSE - NIFTY Index Options'!$L:$L,'NSE - NIFTY Index Options'!$C:$C,$A12,'NSE - NIFTY Index Options'!$B:$B,F$4,'NSE - NIFTY Index Options'!$H:$H,"Monthly*")+SUMIFS('NSE - Other Index Options'!$L:$L,'NSE - Other Index Options'!$C:$C,$A12,'NSE - Other Index Options'!$B:$B,F$4,'NSE - Other Index Options'!$H:$H,"Monthly*")=0,"",SUMIFS('NSE - NIFTY Index Options'!$L:$L,'NSE - NIFTY Index Options'!$C:$C,$A12,'NSE - NIFTY Index Options'!$B:$B,F$4,'NSE - NIFTY Index Options'!$H:$H,"Monthly*")+SUMIFS('NSE - Other Index Options'!$L:$L,'NSE - Other Index Options'!$C:$C,$A12,'NSE - Other Index Options'!$B:$B,F$4,'NSE - Other Index Options'!$H:$H,"Monthly*"))</f>
        <v>14491.550000000001</v>
      </c>
      <c r="G12" s="26" t="str">
        <f>IF(SUMIFS('NSE - NIFTY Index Options'!$L:$L,'NSE - NIFTY Index Options'!$C:$C,$A12,'NSE - NIFTY Index Options'!$B:$B,G$4,'NSE - NIFTY Index Options'!$H:$H,"Monthly*")+SUMIFS('NSE - Other Index Options'!$L:$L,'NSE - Other Index Options'!$C:$C,$A12,'NSE - Other Index Options'!$B:$B,G$4,'NSE - Other Index Options'!$H:$H,"Monthly*")=0,"",SUMIFS('NSE - NIFTY Index Options'!$L:$L,'NSE - NIFTY Index Options'!$C:$C,$A12,'NSE - NIFTY Index Options'!$B:$B,G$4,'NSE - NIFTY Index Options'!$H:$H,"Monthly*")+SUMIFS('NSE - Other Index Options'!$L:$L,'NSE - Other Index Options'!$C:$C,$A12,'NSE - Other Index Options'!$B:$B,G$4,'NSE - Other Index Options'!$H:$H,"Monthly*"))</f>
        <v/>
      </c>
      <c r="H12" s="26">
        <f t="shared" si="0"/>
        <v>52365.39</v>
      </c>
    </row>
    <row r="13" spans="1:8">
      <c r="A13" t="s">
        <v>18</v>
      </c>
      <c r="B13" s="26">
        <f>IF(SUMIFS('NSE - NIFTY Index Options'!$L:$L,'NSE - NIFTY Index Options'!$C:$C,$A13,'NSE - NIFTY Index Options'!$B:$B,B$4,'NSE - NIFTY Index Options'!$H:$H,"Monthly*")+SUMIFS('NSE - Other Index Options'!$L:$L,'NSE - Other Index Options'!$C:$C,$A13,'NSE - Other Index Options'!$B:$B,B$4,'NSE - Other Index Options'!$H:$H,"Monthly*")=0,"",SUMIFS('NSE - NIFTY Index Options'!$L:$L,'NSE - NIFTY Index Options'!$C:$C,$A13,'NSE - NIFTY Index Options'!$B:$B,B$4,'NSE - NIFTY Index Options'!$H:$H,"Monthly*")+SUMIFS('NSE - Other Index Options'!$L:$L,'NSE - Other Index Options'!$C:$C,$A13,'NSE - Other Index Options'!$B:$B,B$4,'NSE - Other Index Options'!$H:$H,"Monthly*"))</f>
        <v>12445.84</v>
      </c>
      <c r="C13" s="26">
        <f>IF(SUMIFS('NSE - NIFTY Index Options'!$L:$L,'NSE - NIFTY Index Options'!$C:$C,$A13,'NSE - NIFTY Index Options'!$B:$B,C$4,'NSE - NIFTY Index Options'!$H:$H,"Monthly*")+SUMIFS('NSE - Other Index Options'!$L:$L,'NSE - Other Index Options'!$C:$C,$A13,'NSE - Other Index Options'!$B:$B,C$4,'NSE - Other Index Options'!$H:$H,"Monthly*")=0,"",SUMIFS('NSE - NIFTY Index Options'!$L:$L,'NSE - NIFTY Index Options'!$C:$C,$A13,'NSE - NIFTY Index Options'!$B:$B,C$4,'NSE - NIFTY Index Options'!$H:$H,"Monthly*")+SUMIFS('NSE - Other Index Options'!$L:$L,'NSE - Other Index Options'!$C:$C,$A13,'NSE - Other Index Options'!$B:$B,C$4,'NSE - Other Index Options'!$H:$H,"Monthly*"))</f>
        <v>22304.460000000003</v>
      </c>
      <c r="D13" s="26" t="str">
        <f>IF(SUMIFS('NSE - NIFTY Index Options'!$L:$L,'NSE - NIFTY Index Options'!$C:$C,$A13,'NSE - NIFTY Index Options'!$B:$B,D$4,'NSE - NIFTY Index Options'!$H:$H,"Monthly*")+SUMIFS('NSE - Other Index Options'!$L:$L,'NSE - Other Index Options'!$C:$C,$A13,'NSE - Other Index Options'!$B:$B,D$4,'NSE - Other Index Options'!$H:$H,"Monthly*")=0,"",SUMIFS('NSE - NIFTY Index Options'!$L:$L,'NSE - NIFTY Index Options'!$C:$C,$A13,'NSE - NIFTY Index Options'!$B:$B,D$4,'NSE - NIFTY Index Options'!$H:$H,"Monthly*")+SUMIFS('NSE - Other Index Options'!$L:$L,'NSE - Other Index Options'!$C:$C,$A13,'NSE - Other Index Options'!$B:$B,D$4,'NSE - Other Index Options'!$H:$H,"Monthly*"))</f>
        <v/>
      </c>
      <c r="E13" s="26">
        <f>IF(SUMIFS('NSE - NIFTY Index Options'!$L:$L,'NSE - NIFTY Index Options'!$C:$C,$A13,'NSE - NIFTY Index Options'!$B:$B,E$4,'NSE - NIFTY Index Options'!$H:$H,"Monthly*")+SUMIFS('NSE - Other Index Options'!$L:$L,'NSE - Other Index Options'!$C:$C,$A13,'NSE - Other Index Options'!$B:$B,E$4,'NSE - Other Index Options'!$H:$H,"Monthly*")=0,"",SUMIFS('NSE - NIFTY Index Options'!$L:$L,'NSE - NIFTY Index Options'!$C:$C,$A13,'NSE - NIFTY Index Options'!$B:$B,E$4,'NSE - NIFTY Index Options'!$H:$H,"Monthly*")+SUMIFS('NSE - Other Index Options'!$L:$L,'NSE - Other Index Options'!$C:$C,$A13,'NSE - Other Index Options'!$B:$B,E$4,'NSE - Other Index Options'!$H:$H,"Monthly*"))</f>
        <v>8748.43</v>
      </c>
      <c r="F13" s="26">
        <f>IF(SUMIFS('NSE - NIFTY Index Options'!$L:$L,'NSE - NIFTY Index Options'!$C:$C,$A13,'NSE - NIFTY Index Options'!$B:$B,F$4,'NSE - NIFTY Index Options'!$H:$H,"Monthly*")+SUMIFS('NSE - Other Index Options'!$L:$L,'NSE - Other Index Options'!$C:$C,$A13,'NSE - Other Index Options'!$B:$B,F$4,'NSE - Other Index Options'!$H:$H,"Monthly*")=0,"",SUMIFS('NSE - NIFTY Index Options'!$L:$L,'NSE - NIFTY Index Options'!$C:$C,$A13,'NSE - NIFTY Index Options'!$B:$B,F$4,'NSE - NIFTY Index Options'!$H:$H,"Monthly*")+SUMIFS('NSE - Other Index Options'!$L:$L,'NSE - Other Index Options'!$C:$C,$A13,'NSE - Other Index Options'!$B:$B,F$4,'NSE - Other Index Options'!$H:$H,"Monthly*"))</f>
        <v>11473.86</v>
      </c>
      <c r="G13" s="26" t="str">
        <f>IF(SUMIFS('NSE - NIFTY Index Options'!$L:$L,'NSE - NIFTY Index Options'!$C:$C,$A13,'NSE - NIFTY Index Options'!$B:$B,G$4,'NSE - NIFTY Index Options'!$H:$H,"Monthly*")+SUMIFS('NSE - Other Index Options'!$L:$L,'NSE - Other Index Options'!$C:$C,$A13,'NSE - Other Index Options'!$B:$B,G$4,'NSE - Other Index Options'!$H:$H,"Monthly*")=0,"",SUMIFS('NSE - NIFTY Index Options'!$L:$L,'NSE - NIFTY Index Options'!$C:$C,$A13,'NSE - NIFTY Index Options'!$B:$B,G$4,'NSE - NIFTY Index Options'!$H:$H,"Monthly*")+SUMIFS('NSE - Other Index Options'!$L:$L,'NSE - Other Index Options'!$C:$C,$A13,'NSE - Other Index Options'!$B:$B,G$4,'NSE - Other Index Options'!$H:$H,"Monthly*"))</f>
        <v/>
      </c>
      <c r="H13" s="26">
        <f t="shared" si="0"/>
        <v>54972.590000000004</v>
      </c>
    </row>
    <row r="14" spans="1:8">
      <c r="A14" t="s">
        <v>19</v>
      </c>
      <c r="B14" s="26" t="str">
        <f>IF(SUMIFS('NSE - NIFTY Index Options'!$L:$L,'NSE - NIFTY Index Options'!$C:$C,$A14,'NSE - NIFTY Index Options'!$B:$B,B$4,'NSE - NIFTY Index Options'!$H:$H,"Monthly*")+SUMIFS('NSE - Other Index Options'!$L:$L,'NSE - Other Index Options'!$C:$C,$A14,'NSE - Other Index Options'!$B:$B,B$4,'NSE - Other Index Options'!$H:$H,"Monthly*")=0,"",SUMIFS('NSE - NIFTY Index Options'!$L:$L,'NSE - NIFTY Index Options'!$C:$C,$A14,'NSE - NIFTY Index Options'!$B:$B,B$4,'NSE - NIFTY Index Options'!$H:$H,"Monthly*")+SUMIFS('NSE - Other Index Options'!$L:$L,'NSE - Other Index Options'!$C:$C,$A14,'NSE - Other Index Options'!$B:$B,B$4,'NSE - Other Index Options'!$H:$H,"Monthly*"))</f>
        <v/>
      </c>
      <c r="C14" s="26" t="str">
        <f>IF(SUMIFS('NSE - NIFTY Index Options'!$L:$L,'NSE - NIFTY Index Options'!$C:$C,$A14,'NSE - NIFTY Index Options'!$B:$B,C$4,'NSE - NIFTY Index Options'!$H:$H,"Monthly*")+SUMIFS('NSE - Other Index Options'!$L:$L,'NSE - Other Index Options'!$C:$C,$A14,'NSE - Other Index Options'!$B:$B,C$4,'NSE - Other Index Options'!$H:$H,"Monthly*")=0,"",SUMIFS('NSE - NIFTY Index Options'!$L:$L,'NSE - NIFTY Index Options'!$C:$C,$A14,'NSE - NIFTY Index Options'!$B:$B,C$4,'NSE - NIFTY Index Options'!$H:$H,"Monthly*")+SUMIFS('NSE - Other Index Options'!$L:$L,'NSE - Other Index Options'!$C:$C,$A14,'NSE - Other Index Options'!$B:$B,C$4,'NSE - Other Index Options'!$H:$H,"Monthly*"))</f>
        <v/>
      </c>
      <c r="D14" s="26">
        <f>IF(SUMIFS('NSE - NIFTY Index Options'!$L:$L,'NSE - NIFTY Index Options'!$C:$C,$A14,'NSE - NIFTY Index Options'!$B:$B,D$4,'NSE - NIFTY Index Options'!$H:$H,"Monthly*")+SUMIFS('NSE - Other Index Options'!$L:$L,'NSE - Other Index Options'!$C:$C,$A14,'NSE - Other Index Options'!$B:$B,D$4,'NSE - Other Index Options'!$H:$H,"Monthly*")=0,"",SUMIFS('NSE - NIFTY Index Options'!$L:$L,'NSE - NIFTY Index Options'!$C:$C,$A14,'NSE - NIFTY Index Options'!$B:$B,D$4,'NSE - NIFTY Index Options'!$H:$H,"Monthly*")+SUMIFS('NSE - Other Index Options'!$L:$L,'NSE - Other Index Options'!$C:$C,$A14,'NSE - Other Index Options'!$B:$B,D$4,'NSE - Other Index Options'!$H:$H,"Monthly*"))</f>
        <v>6495.2200000000012</v>
      </c>
      <c r="E14" s="26">
        <f>IF(SUMIFS('NSE - NIFTY Index Options'!$L:$L,'NSE - NIFTY Index Options'!$C:$C,$A14,'NSE - NIFTY Index Options'!$B:$B,E$4,'NSE - NIFTY Index Options'!$H:$H,"Monthly*")+SUMIFS('NSE - Other Index Options'!$L:$L,'NSE - Other Index Options'!$C:$C,$A14,'NSE - Other Index Options'!$B:$B,E$4,'NSE - Other Index Options'!$H:$H,"Monthly*")=0,"",SUMIFS('NSE - NIFTY Index Options'!$L:$L,'NSE - NIFTY Index Options'!$C:$C,$A14,'NSE - NIFTY Index Options'!$B:$B,E$4,'NSE - NIFTY Index Options'!$H:$H,"Monthly*")+SUMIFS('NSE - Other Index Options'!$L:$L,'NSE - Other Index Options'!$C:$C,$A14,'NSE - Other Index Options'!$B:$B,E$4,'NSE - Other Index Options'!$H:$H,"Monthly*"))</f>
        <v>5747.11</v>
      </c>
      <c r="F14" s="26">
        <f>IF(SUMIFS('NSE - NIFTY Index Options'!$L:$L,'NSE - NIFTY Index Options'!$C:$C,$A14,'NSE - NIFTY Index Options'!$B:$B,F$4,'NSE - NIFTY Index Options'!$H:$H,"Monthly*")+SUMIFS('NSE - Other Index Options'!$L:$L,'NSE - Other Index Options'!$C:$C,$A14,'NSE - Other Index Options'!$B:$B,F$4,'NSE - Other Index Options'!$H:$H,"Monthly*")=0,"",SUMIFS('NSE - NIFTY Index Options'!$L:$L,'NSE - NIFTY Index Options'!$C:$C,$A14,'NSE - NIFTY Index Options'!$B:$B,F$4,'NSE - NIFTY Index Options'!$H:$H,"Monthly*")+SUMIFS('NSE - Other Index Options'!$L:$L,'NSE - Other Index Options'!$C:$C,$A14,'NSE - Other Index Options'!$B:$B,F$4,'NSE - Other Index Options'!$H:$H,"Monthly*"))</f>
        <v>6704.3700000000008</v>
      </c>
      <c r="G14" s="26" t="str">
        <f>IF(SUMIFS('NSE - NIFTY Index Options'!$L:$L,'NSE - NIFTY Index Options'!$C:$C,$A14,'NSE - NIFTY Index Options'!$B:$B,G$4,'NSE - NIFTY Index Options'!$H:$H,"Monthly*")+SUMIFS('NSE - Other Index Options'!$L:$L,'NSE - Other Index Options'!$C:$C,$A14,'NSE - Other Index Options'!$B:$B,G$4,'NSE - Other Index Options'!$H:$H,"Monthly*")=0,"",SUMIFS('NSE - NIFTY Index Options'!$L:$L,'NSE - NIFTY Index Options'!$C:$C,$A14,'NSE - NIFTY Index Options'!$B:$B,G$4,'NSE - NIFTY Index Options'!$H:$H,"Monthly*")+SUMIFS('NSE - Other Index Options'!$L:$L,'NSE - Other Index Options'!$C:$C,$A14,'NSE - Other Index Options'!$B:$B,G$4,'NSE - Other Index Options'!$H:$H,"Monthly*"))</f>
        <v/>
      </c>
      <c r="H14" s="26">
        <f t="shared" si="0"/>
        <v>18946.700000000004</v>
      </c>
    </row>
    <row r="15" spans="1:8">
      <c r="A15" t="s">
        <v>20</v>
      </c>
      <c r="B15" s="26">
        <f>IF(SUMIFS('NSE - NIFTY Index Options'!$L:$L,'NSE - NIFTY Index Options'!$C:$C,$A15,'NSE - NIFTY Index Options'!$B:$B,B$4,'NSE - NIFTY Index Options'!$H:$H,"Monthly*")+SUMIFS('NSE - Other Index Options'!$L:$L,'NSE - Other Index Options'!$C:$C,$A15,'NSE - Other Index Options'!$B:$B,B$4,'NSE - Other Index Options'!$H:$H,"Monthly*")=0,"",SUMIFS('NSE - NIFTY Index Options'!$L:$L,'NSE - NIFTY Index Options'!$C:$C,$A15,'NSE - NIFTY Index Options'!$B:$B,B$4,'NSE - NIFTY Index Options'!$H:$H,"Monthly*")+SUMIFS('NSE - Other Index Options'!$L:$L,'NSE - Other Index Options'!$C:$C,$A15,'NSE - Other Index Options'!$B:$B,B$4,'NSE - Other Index Options'!$H:$H,"Monthly*"))</f>
        <v>5614.9500000000007</v>
      </c>
      <c r="C15" s="26">
        <f>IF(SUMIFS('NSE - NIFTY Index Options'!$L:$L,'NSE - NIFTY Index Options'!$C:$C,$A15,'NSE - NIFTY Index Options'!$B:$B,C$4,'NSE - NIFTY Index Options'!$H:$H,"Monthly*")+SUMIFS('NSE - Other Index Options'!$L:$L,'NSE - Other Index Options'!$C:$C,$A15,'NSE - Other Index Options'!$B:$B,C$4,'NSE - Other Index Options'!$H:$H,"Monthly*")=0,"",SUMIFS('NSE - NIFTY Index Options'!$L:$L,'NSE - NIFTY Index Options'!$C:$C,$A15,'NSE - NIFTY Index Options'!$B:$B,C$4,'NSE - NIFTY Index Options'!$H:$H,"Monthly*")+SUMIFS('NSE - Other Index Options'!$L:$L,'NSE - Other Index Options'!$C:$C,$A15,'NSE - Other Index Options'!$B:$B,C$4,'NSE - Other Index Options'!$H:$H,"Monthly*"))</f>
        <v>5348.7900000000009</v>
      </c>
      <c r="D15" s="26" t="str">
        <f>IF(SUMIFS('NSE - NIFTY Index Options'!$L:$L,'NSE - NIFTY Index Options'!$C:$C,$A15,'NSE - NIFTY Index Options'!$B:$B,D$4,'NSE - NIFTY Index Options'!$H:$H,"Monthly*")+SUMIFS('NSE - Other Index Options'!$L:$L,'NSE - Other Index Options'!$C:$C,$A15,'NSE - Other Index Options'!$B:$B,D$4,'NSE - Other Index Options'!$H:$H,"Monthly*")=0,"",SUMIFS('NSE - NIFTY Index Options'!$L:$L,'NSE - NIFTY Index Options'!$C:$C,$A15,'NSE - NIFTY Index Options'!$B:$B,D$4,'NSE - NIFTY Index Options'!$H:$H,"Monthly*")+SUMIFS('NSE - Other Index Options'!$L:$L,'NSE - Other Index Options'!$C:$C,$A15,'NSE - Other Index Options'!$B:$B,D$4,'NSE - Other Index Options'!$H:$H,"Monthly*"))</f>
        <v/>
      </c>
      <c r="E15" s="26">
        <f>IF(SUMIFS('NSE - NIFTY Index Options'!$L:$L,'NSE - NIFTY Index Options'!$C:$C,$A15,'NSE - NIFTY Index Options'!$B:$B,E$4,'NSE - NIFTY Index Options'!$H:$H,"Monthly*")+SUMIFS('NSE - Other Index Options'!$L:$L,'NSE - Other Index Options'!$C:$C,$A15,'NSE - Other Index Options'!$B:$B,E$4,'NSE - Other Index Options'!$H:$H,"Monthly*")=0,"",SUMIFS('NSE - NIFTY Index Options'!$L:$L,'NSE - NIFTY Index Options'!$C:$C,$A15,'NSE - NIFTY Index Options'!$B:$B,E$4,'NSE - NIFTY Index Options'!$H:$H,"Monthly*")+SUMIFS('NSE - Other Index Options'!$L:$L,'NSE - Other Index Options'!$C:$C,$A15,'NSE - Other Index Options'!$B:$B,E$4,'NSE - Other Index Options'!$H:$H,"Monthly*"))</f>
        <v>5678.8700000000008</v>
      </c>
      <c r="F15" s="26">
        <f>IF(SUMIFS('NSE - NIFTY Index Options'!$L:$L,'NSE - NIFTY Index Options'!$C:$C,$A15,'NSE - NIFTY Index Options'!$B:$B,F$4,'NSE - NIFTY Index Options'!$H:$H,"Monthly*")+SUMIFS('NSE - Other Index Options'!$L:$L,'NSE - Other Index Options'!$C:$C,$A15,'NSE - Other Index Options'!$B:$B,F$4,'NSE - Other Index Options'!$H:$H,"Monthly*")=0,"",SUMIFS('NSE - NIFTY Index Options'!$L:$L,'NSE - NIFTY Index Options'!$C:$C,$A15,'NSE - NIFTY Index Options'!$B:$B,F$4,'NSE - NIFTY Index Options'!$H:$H,"Monthly*")+SUMIFS('NSE - Other Index Options'!$L:$L,'NSE - Other Index Options'!$C:$C,$A15,'NSE - Other Index Options'!$B:$B,F$4,'NSE - Other Index Options'!$H:$H,"Monthly*"))</f>
        <v>8420.2800000000007</v>
      </c>
      <c r="G15" s="26" t="str">
        <f>IF(SUMIFS('NSE - NIFTY Index Options'!$L:$L,'NSE - NIFTY Index Options'!$C:$C,$A15,'NSE - NIFTY Index Options'!$B:$B,G$4,'NSE - NIFTY Index Options'!$H:$H,"Monthly*")+SUMIFS('NSE - Other Index Options'!$L:$L,'NSE - Other Index Options'!$C:$C,$A15,'NSE - Other Index Options'!$B:$B,G$4,'NSE - Other Index Options'!$H:$H,"Monthly*")=0,"",SUMIFS('NSE - NIFTY Index Options'!$L:$L,'NSE - NIFTY Index Options'!$C:$C,$A15,'NSE - NIFTY Index Options'!$B:$B,G$4,'NSE - NIFTY Index Options'!$H:$H,"Monthly*")+SUMIFS('NSE - Other Index Options'!$L:$L,'NSE - Other Index Options'!$C:$C,$A15,'NSE - Other Index Options'!$B:$B,G$4,'NSE - Other Index Options'!$H:$H,"Monthly*"))</f>
        <v/>
      </c>
      <c r="H15" s="26">
        <f t="shared" si="0"/>
        <v>25062.89</v>
      </c>
    </row>
    <row r="16" spans="1:8">
      <c r="A16" t="s">
        <v>21</v>
      </c>
      <c r="B16" s="26">
        <f>IF(SUMIFS('NSE - NIFTY Index Options'!$L:$L,'NSE - NIFTY Index Options'!$C:$C,$A16,'NSE - NIFTY Index Options'!$B:$B,B$4,'NSE - NIFTY Index Options'!$H:$H,"Monthly*")+SUMIFS('NSE - Other Index Options'!$L:$L,'NSE - Other Index Options'!$C:$C,$A16,'NSE - Other Index Options'!$B:$B,B$4,'NSE - Other Index Options'!$H:$H,"Monthly*")=0,"",SUMIFS('NSE - NIFTY Index Options'!$L:$L,'NSE - NIFTY Index Options'!$C:$C,$A16,'NSE - NIFTY Index Options'!$B:$B,B$4,'NSE - NIFTY Index Options'!$H:$H,"Monthly*")+SUMIFS('NSE - Other Index Options'!$L:$L,'NSE - Other Index Options'!$C:$C,$A16,'NSE - Other Index Options'!$B:$B,B$4,'NSE - Other Index Options'!$H:$H,"Monthly*"))</f>
        <v>4979.62</v>
      </c>
      <c r="C16" s="26">
        <f>IF(SUMIFS('NSE - NIFTY Index Options'!$L:$L,'NSE - NIFTY Index Options'!$C:$C,$A16,'NSE - NIFTY Index Options'!$B:$B,C$4,'NSE - NIFTY Index Options'!$H:$H,"Monthly*")+SUMIFS('NSE - Other Index Options'!$L:$L,'NSE - Other Index Options'!$C:$C,$A16,'NSE - Other Index Options'!$B:$B,C$4,'NSE - Other Index Options'!$H:$H,"Monthly*")=0,"",SUMIFS('NSE - NIFTY Index Options'!$L:$L,'NSE - NIFTY Index Options'!$C:$C,$A16,'NSE - NIFTY Index Options'!$B:$B,C$4,'NSE - NIFTY Index Options'!$H:$H,"Monthly*")+SUMIFS('NSE - Other Index Options'!$L:$L,'NSE - Other Index Options'!$C:$C,$A16,'NSE - Other Index Options'!$B:$B,C$4,'NSE - Other Index Options'!$H:$H,"Monthly*"))</f>
        <v>7219.8499999999995</v>
      </c>
      <c r="D16" s="26">
        <f>IF(SUMIFS('NSE - NIFTY Index Options'!$L:$L,'NSE - NIFTY Index Options'!$C:$C,$A16,'NSE - NIFTY Index Options'!$B:$B,D$4,'NSE - NIFTY Index Options'!$H:$H,"Monthly*")+SUMIFS('NSE - Other Index Options'!$L:$L,'NSE - Other Index Options'!$C:$C,$A16,'NSE - Other Index Options'!$B:$B,D$4,'NSE - Other Index Options'!$H:$H,"Monthly*")=0,"",SUMIFS('NSE - NIFTY Index Options'!$L:$L,'NSE - NIFTY Index Options'!$C:$C,$A16,'NSE - NIFTY Index Options'!$B:$B,D$4,'NSE - NIFTY Index Options'!$H:$H,"Monthly*")+SUMIFS('NSE - Other Index Options'!$L:$L,'NSE - Other Index Options'!$C:$C,$A16,'NSE - Other Index Options'!$B:$B,D$4,'NSE - Other Index Options'!$H:$H,"Monthly*"))</f>
        <v>6949.0199999999995</v>
      </c>
      <c r="E16" s="26">
        <f>IF(SUMIFS('NSE - NIFTY Index Options'!$L:$L,'NSE - NIFTY Index Options'!$C:$C,$A16,'NSE - NIFTY Index Options'!$B:$B,E$4,'NSE - NIFTY Index Options'!$H:$H,"Monthly*")+SUMIFS('NSE - Other Index Options'!$L:$L,'NSE - Other Index Options'!$C:$C,$A16,'NSE - Other Index Options'!$B:$B,E$4,'NSE - Other Index Options'!$H:$H,"Monthly*")=0,"",SUMIFS('NSE - NIFTY Index Options'!$L:$L,'NSE - NIFTY Index Options'!$C:$C,$A16,'NSE - NIFTY Index Options'!$B:$B,E$4,'NSE - NIFTY Index Options'!$H:$H,"Monthly*")+SUMIFS('NSE - Other Index Options'!$L:$L,'NSE - Other Index Options'!$C:$C,$A16,'NSE - Other Index Options'!$B:$B,E$4,'NSE - Other Index Options'!$H:$H,"Monthly*"))</f>
        <v>7772.45</v>
      </c>
      <c r="F16" s="26">
        <f>IF(SUMIFS('NSE - NIFTY Index Options'!$L:$L,'NSE - NIFTY Index Options'!$C:$C,$A16,'NSE - NIFTY Index Options'!$B:$B,F$4,'NSE - NIFTY Index Options'!$H:$H,"Monthly*")+SUMIFS('NSE - Other Index Options'!$L:$L,'NSE - Other Index Options'!$C:$C,$A16,'NSE - Other Index Options'!$B:$B,F$4,'NSE - Other Index Options'!$H:$H,"Monthly*")=0,"",SUMIFS('NSE - NIFTY Index Options'!$L:$L,'NSE - NIFTY Index Options'!$C:$C,$A16,'NSE - NIFTY Index Options'!$B:$B,F$4,'NSE - NIFTY Index Options'!$H:$H,"Monthly*")+SUMIFS('NSE - Other Index Options'!$L:$L,'NSE - Other Index Options'!$C:$C,$A16,'NSE - Other Index Options'!$B:$B,F$4,'NSE - Other Index Options'!$H:$H,"Monthly*"))</f>
        <v>9871.0499999999993</v>
      </c>
      <c r="G16" s="26" t="str">
        <f>IF(SUMIFS('NSE - NIFTY Index Options'!$L:$L,'NSE - NIFTY Index Options'!$C:$C,$A16,'NSE - NIFTY Index Options'!$B:$B,G$4,'NSE - NIFTY Index Options'!$H:$H,"Monthly*")+SUMIFS('NSE - Other Index Options'!$L:$L,'NSE - Other Index Options'!$C:$C,$A16,'NSE - Other Index Options'!$B:$B,G$4,'NSE - Other Index Options'!$H:$H,"Monthly*")=0,"",SUMIFS('NSE - NIFTY Index Options'!$L:$L,'NSE - NIFTY Index Options'!$C:$C,$A16,'NSE - NIFTY Index Options'!$B:$B,G$4,'NSE - NIFTY Index Options'!$H:$H,"Monthly*")+SUMIFS('NSE - Other Index Options'!$L:$L,'NSE - Other Index Options'!$C:$C,$A16,'NSE - Other Index Options'!$B:$B,G$4,'NSE - Other Index Options'!$H:$H,"Monthly*"))</f>
        <v/>
      </c>
      <c r="H16" s="26">
        <f t="shared" si="0"/>
        <v>36791.99</v>
      </c>
    </row>
    <row r="17" spans="1:8">
      <c r="A17" t="s">
        <v>22</v>
      </c>
      <c r="B17" s="26">
        <f>IF(SUMIFS('NSE - NIFTY Index Options'!$L:$L,'NSE - NIFTY Index Options'!$C:$C,$A17,'NSE - NIFTY Index Options'!$B:$B,B$4,'NSE - NIFTY Index Options'!$H:$H,"Monthly*")+SUMIFS('NSE - Other Index Options'!$L:$L,'NSE - Other Index Options'!$C:$C,$A17,'NSE - Other Index Options'!$B:$B,B$4,'NSE - Other Index Options'!$H:$H,"Monthly*")=0,"",SUMIFS('NSE - NIFTY Index Options'!$L:$L,'NSE - NIFTY Index Options'!$C:$C,$A17,'NSE - NIFTY Index Options'!$B:$B,B$4,'NSE - NIFTY Index Options'!$H:$H,"Monthly*")+SUMIFS('NSE - Other Index Options'!$L:$L,'NSE - Other Index Options'!$C:$C,$A17,'NSE - Other Index Options'!$B:$B,B$4,'NSE - Other Index Options'!$H:$H,"Monthly*"))</f>
        <v>8496.64</v>
      </c>
      <c r="C17" s="26">
        <f>IF(SUMIFS('NSE - NIFTY Index Options'!$L:$L,'NSE - NIFTY Index Options'!$C:$C,$A17,'NSE - NIFTY Index Options'!$B:$B,C$4,'NSE - NIFTY Index Options'!$H:$H,"Monthly*")+SUMIFS('NSE - Other Index Options'!$L:$L,'NSE - Other Index Options'!$C:$C,$A17,'NSE - Other Index Options'!$B:$B,C$4,'NSE - Other Index Options'!$H:$H,"Monthly*")=0,"",SUMIFS('NSE - NIFTY Index Options'!$L:$L,'NSE - NIFTY Index Options'!$C:$C,$A17,'NSE - NIFTY Index Options'!$B:$B,C$4,'NSE - NIFTY Index Options'!$H:$H,"Monthly*")+SUMIFS('NSE - Other Index Options'!$L:$L,'NSE - Other Index Options'!$C:$C,$A17,'NSE - Other Index Options'!$B:$B,C$4,'NSE - Other Index Options'!$H:$H,"Monthly*"))</f>
        <v>11923.11</v>
      </c>
      <c r="D17" s="26">
        <f>IF(SUMIFS('NSE - NIFTY Index Options'!$L:$L,'NSE - NIFTY Index Options'!$C:$C,$A17,'NSE - NIFTY Index Options'!$B:$B,D$4,'NSE - NIFTY Index Options'!$H:$H,"Monthly*")+SUMIFS('NSE - Other Index Options'!$L:$L,'NSE - Other Index Options'!$C:$C,$A17,'NSE - Other Index Options'!$B:$B,D$4,'NSE - Other Index Options'!$H:$H,"Monthly*")=0,"",SUMIFS('NSE - NIFTY Index Options'!$L:$L,'NSE - NIFTY Index Options'!$C:$C,$A17,'NSE - NIFTY Index Options'!$B:$B,D$4,'NSE - NIFTY Index Options'!$H:$H,"Monthly*")+SUMIFS('NSE - Other Index Options'!$L:$L,'NSE - Other Index Options'!$C:$C,$A17,'NSE - Other Index Options'!$B:$B,D$4,'NSE - Other Index Options'!$H:$H,"Monthly*"))</f>
        <v>6624.4800000000005</v>
      </c>
      <c r="E17" s="26">
        <f>IF(SUMIFS('NSE - NIFTY Index Options'!$L:$L,'NSE - NIFTY Index Options'!$C:$C,$A17,'NSE - NIFTY Index Options'!$B:$B,E$4,'NSE - NIFTY Index Options'!$H:$H,"Monthly*")+SUMIFS('NSE - Other Index Options'!$L:$L,'NSE - Other Index Options'!$C:$C,$A17,'NSE - Other Index Options'!$B:$B,E$4,'NSE - Other Index Options'!$H:$H,"Monthly*")=0,"",SUMIFS('NSE - NIFTY Index Options'!$L:$L,'NSE - NIFTY Index Options'!$C:$C,$A17,'NSE - NIFTY Index Options'!$B:$B,E$4,'NSE - NIFTY Index Options'!$H:$H,"Monthly*")+SUMIFS('NSE - Other Index Options'!$L:$L,'NSE - Other Index Options'!$C:$C,$A17,'NSE - Other Index Options'!$B:$B,E$4,'NSE - Other Index Options'!$H:$H,"Monthly*"))</f>
        <v>6009.4400000000005</v>
      </c>
      <c r="F17" s="26">
        <f>IF(SUMIFS('NSE - NIFTY Index Options'!$L:$L,'NSE - NIFTY Index Options'!$C:$C,$A17,'NSE - NIFTY Index Options'!$B:$B,F$4,'NSE - NIFTY Index Options'!$H:$H,"Monthly*")+SUMIFS('NSE - Other Index Options'!$L:$L,'NSE - Other Index Options'!$C:$C,$A17,'NSE - Other Index Options'!$B:$B,F$4,'NSE - Other Index Options'!$H:$H,"Monthly*")=0,"",SUMIFS('NSE - NIFTY Index Options'!$L:$L,'NSE - NIFTY Index Options'!$C:$C,$A17,'NSE - NIFTY Index Options'!$B:$B,F$4,'NSE - NIFTY Index Options'!$H:$H,"Monthly*")+SUMIFS('NSE - Other Index Options'!$L:$L,'NSE - Other Index Options'!$C:$C,$A17,'NSE - Other Index Options'!$B:$B,F$4,'NSE - Other Index Options'!$H:$H,"Monthly*"))</f>
        <v>8894.15</v>
      </c>
      <c r="G17" s="26" t="str">
        <f>IF(SUMIFS('NSE - NIFTY Index Options'!$L:$L,'NSE - NIFTY Index Options'!$C:$C,$A17,'NSE - NIFTY Index Options'!$B:$B,G$4,'NSE - NIFTY Index Options'!$H:$H,"Monthly*")+SUMIFS('NSE - Other Index Options'!$L:$L,'NSE - Other Index Options'!$C:$C,$A17,'NSE - Other Index Options'!$B:$B,G$4,'NSE - Other Index Options'!$H:$H,"Monthly*")=0,"",SUMIFS('NSE - NIFTY Index Options'!$L:$L,'NSE - NIFTY Index Options'!$C:$C,$A17,'NSE - NIFTY Index Options'!$B:$B,G$4,'NSE - NIFTY Index Options'!$H:$H,"Monthly*")+SUMIFS('NSE - Other Index Options'!$L:$L,'NSE - Other Index Options'!$C:$C,$A17,'NSE - Other Index Options'!$B:$B,G$4,'NSE - Other Index Options'!$H:$H,"Monthly*"))</f>
        <v/>
      </c>
      <c r="H17" s="26">
        <f t="shared" si="0"/>
        <v>41947.82</v>
      </c>
    </row>
    <row r="18" spans="1:8">
      <c r="A18" t="s">
        <v>23</v>
      </c>
      <c r="B18" s="26">
        <f>IF(SUMIFS('NSE - NIFTY Index Options'!$L:$L,'NSE - NIFTY Index Options'!$C:$C,$A18,'NSE - NIFTY Index Options'!$B:$B,B$4,'NSE - NIFTY Index Options'!$H:$H,"Monthly*")+SUMIFS('NSE - Other Index Options'!$L:$L,'NSE - Other Index Options'!$C:$C,$A18,'NSE - Other Index Options'!$B:$B,B$4,'NSE - Other Index Options'!$H:$H,"Monthly*")=0,"",SUMIFS('NSE - NIFTY Index Options'!$L:$L,'NSE - NIFTY Index Options'!$C:$C,$A18,'NSE - NIFTY Index Options'!$B:$B,B$4,'NSE - NIFTY Index Options'!$H:$H,"Monthly*")+SUMIFS('NSE - Other Index Options'!$L:$L,'NSE - Other Index Options'!$C:$C,$A18,'NSE - Other Index Options'!$B:$B,B$4,'NSE - Other Index Options'!$H:$H,"Monthly*"))</f>
        <v>11284.15</v>
      </c>
      <c r="C18" s="26">
        <f>IF(SUMIFS('NSE - NIFTY Index Options'!$L:$L,'NSE - NIFTY Index Options'!$C:$C,$A18,'NSE - NIFTY Index Options'!$B:$B,C$4,'NSE - NIFTY Index Options'!$H:$H,"Monthly*")+SUMIFS('NSE - Other Index Options'!$L:$L,'NSE - Other Index Options'!$C:$C,$A18,'NSE - Other Index Options'!$B:$B,C$4,'NSE - Other Index Options'!$H:$H,"Monthly*")=0,"",SUMIFS('NSE - NIFTY Index Options'!$L:$L,'NSE - NIFTY Index Options'!$C:$C,$A18,'NSE - NIFTY Index Options'!$B:$B,C$4,'NSE - NIFTY Index Options'!$H:$H,"Monthly*")+SUMIFS('NSE - Other Index Options'!$L:$L,'NSE - Other Index Options'!$C:$C,$A18,'NSE - Other Index Options'!$B:$B,C$4,'NSE - Other Index Options'!$H:$H,"Monthly*"))</f>
        <v>18623.79</v>
      </c>
      <c r="D18" s="26">
        <f>IF(SUMIFS('NSE - NIFTY Index Options'!$L:$L,'NSE - NIFTY Index Options'!$C:$C,$A18,'NSE - NIFTY Index Options'!$B:$B,D$4,'NSE - NIFTY Index Options'!$H:$H,"Monthly*")+SUMIFS('NSE - Other Index Options'!$L:$L,'NSE - Other Index Options'!$C:$C,$A18,'NSE - Other Index Options'!$B:$B,D$4,'NSE - Other Index Options'!$H:$H,"Monthly*")=0,"",SUMIFS('NSE - NIFTY Index Options'!$L:$L,'NSE - NIFTY Index Options'!$C:$C,$A18,'NSE - NIFTY Index Options'!$B:$B,D$4,'NSE - NIFTY Index Options'!$H:$H,"Monthly*")+SUMIFS('NSE - Other Index Options'!$L:$L,'NSE - Other Index Options'!$C:$C,$A18,'NSE - Other Index Options'!$B:$B,D$4,'NSE - Other Index Options'!$H:$H,"Monthly*"))</f>
        <v>6618.33</v>
      </c>
      <c r="E18" s="26">
        <f>IF(SUMIFS('NSE - NIFTY Index Options'!$L:$L,'NSE - NIFTY Index Options'!$C:$C,$A18,'NSE - NIFTY Index Options'!$B:$B,E$4,'NSE - NIFTY Index Options'!$H:$H,"Monthly*")+SUMIFS('NSE - Other Index Options'!$L:$L,'NSE - Other Index Options'!$C:$C,$A18,'NSE - Other Index Options'!$B:$B,E$4,'NSE - Other Index Options'!$H:$H,"Monthly*")=0,"",SUMIFS('NSE - NIFTY Index Options'!$L:$L,'NSE - NIFTY Index Options'!$C:$C,$A18,'NSE - NIFTY Index Options'!$B:$B,E$4,'NSE - NIFTY Index Options'!$H:$H,"Monthly*")+SUMIFS('NSE - Other Index Options'!$L:$L,'NSE - Other Index Options'!$C:$C,$A18,'NSE - Other Index Options'!$B:$B,E$4,'NSE - Other Index Options'!$H:$H,"Monthly*"))</f>
        <v>6229.4800000000014</v>
      </c>
      <c r="F18" s="26">
        <f>IF(SUMIFS('NSE - NIFTY Index Options'!$L:$L,'NSE - NIFTY Index Options'!$C:$C,$A18,'NSE - NIFTY Index Options'!$B:$B,F$4,'NSE - NIFTY Index Options'!$H:$H,"Monthly*")+SUMIFS('NSE - Other Index Options'!$L:$L,'NSE - Other Index Options'!$C:$C,$A18,'NSE - Other Index Options'!$B:$B,F$4,'NSE - Other Index Options'!$H:$H,"Monthly*")=0,"",SUMIFS('NSE - NIFTY Index Options'!$L:$L,'NSE - NIFTY Index Options'!$C:$C,$A18,'NSE - NIFTY Index Options'!$B:$B,F$4,'NSE - NIFTY Index Options'!$H:$H,"Monthly*")+SUMIFS('NSE - Other Index Options'!$L:$L,'NSE - Other Index Options'!$C:$C,$A18,'NSE - Other Index Options'!$B:$B,F$4,'NSE - Other Index Options'!$H:$H,"Monthly*"))</f>
        <v>4494.16</v>
      </c>
      <c r="G18" s="26" t="str">
        <f>IF(SUMIFS('NSE - NIFTY Index Options'!$L:$L,'NSE - NIFTY Index Options'!$C:$C,$A18,'NSE - NIFTY Index Options'!$B:$B,G$4,'NSE - NIFTY Index Options'!$H:$H,"Monthly*")+SUMIFS('NSE - Other Index Options'!$L:$L,'NSE - Other Index Options'!$C:$C,$A18,'NSE - Other Index Options'!$B:$B,G$4,'NSE - Other Index Options'!$H:$H,"Monthly*")=0,"",SUMIFS('NSE - NIFTY Index Options'!$L:$L,'NSE - NIFTY Index Options'!$C:$C,$A18,'NSE - NIFTY Index Options'!$B:$B,G$4,'NSE - NIFTY Index Options'!$H:$H,"Monthly*")+SUMIFS('NSE - Other Index Options'!$L:$L,'NSE - Other Index Options'!$C:$C,$A18,'NSE - Other Index Options'!$B:$B,G$4,'NSE - Other Index Options'!$H:$H,"Monthly*"))</f>
        <v/>
      </c>
      <c r="H18" s="26">
        <f t="shared" si="0"/>
        <v>47249.91</v>
      </c>
    </row>
    <row r="19" spans="1:8">
      <c r="A19" t="s">
        <v>24</v>
      </c>
      <c r="B19" s="26" t="str">
        <f>IF(SUMIFS('NSE - NIFTY Index Options'!$L:$L,'NSE - NIFTY Index Options'!$C:$C,$A19,'NSE - NIFTY Index Options'!$B:$B,B$4,'NSE - NIFTY Index Options'!$H:$H,"Monthly*")+SUMIFS('NSE - Other Index Options'!$L:$L,'NSE - Other Index Options'!$C:$C,$A19,'NSE - Other Index Options'!$B:$B,B$4,'NSE - Other Index Options'!$H:$H,"Monthly*")=0,"",SUMIFS('NSE - NIFTY Index Options'!$L:$L,'NSE - NIFTY Index Options'!$C:$C,$A19,'NSE - NIFTY Index Options'!$B:$B,B$4,'NSE - NIFTY Index Options'!$H:$H,"Monthly*")+SUMIFS('NSE - Other Index Options'!$L:$L,'NSE - Other Index Options'!$C:$C,$A19,'NSE - Other Index Options'!$B:$B,B$4,'NSE - Other Index Options'!$H:$H,"Monthly*"))</f>
        <v/>
      </c>
      <c r="C19" s="26" t="str">
        <f>IF(SUMIFS('NSE - NIFTY Index Options'!$L:$L,'NSE - NIFTY Index Options'!$C:$C,$A19,'NSE - NIFTY Index Options'!$B:$B,C$4,'NSE - NIFTY Index Options'!$H:$H,"Monthly*")+SUMIFS('NSE - Other Index Options'!$L:$L,'NSE - Other Index Options'!$C:$C,$A19,'NSE - Other Index Options'!$B:$B,C$4,'NSE - Other Index Options'!$H:$H,"Monthly*")=0,"",SUMIFS('NSE - NIFTY Index Options'!$L:$L,'NSE - NIFTY Index Options'!$C:$C,$A19,'NSE - NIFTY Index Options'!$B:$B,C$4,'NSE - NIFTY Index Options'!$H:$H,"Monthly*")+SUMIFS('NSE - Other Index Options'!$L:$L,'NSE - Other Index Options'!$C:$C,$A19,'NSE - Other Index Options'!$B:$B,C$4,'NSE - Other Index Options'!$H:$H,"Monthly*"))</f>
        <v/>
      </c>
      <c r="D19" s="26" t="str">
        <f>IF(SUMIFS('NSE - NIFTY Index Options'!$L:$L,'NSE - NIFTY Index Options'!$C:$C,$A19,'NSE - NIFTY Index Options'!$B:$B,D$4,'NSE - NIFTY Index Options'!$H:$H,"Monthly*")+SUMIFS('NSE - Other Index Options'!$L:$L,'NSE - Other Index Options'!$C:$C,$A19,'NSE - Other Index Options'!$B:$B,D$4,'NSE - Other Index Options'!$H:$H,"Monthly*")=0,"",SUMIFS('NSE - NIFTY Index Options'!$L:$L,'NSE - NIFTY Index Options'!$C:$C,$A19,'NSE - NIFTY Index Options'!$B:$B,D$4,'NSE - NIFTY Index Options'!$H:$H,"Monthly*")+SUMIFS('NSE - Other Index Options'!$L:$L,'NSE - Other Index Options'!$C:$C,$A19,'NSE - Other Index Options'!$B:$B,D$4,'NSE - Other Index Options'!$H:$H,"Monthly*"))</f>
        <v/>
      </c>
      <c r="E19" s="26" t="str">
        <f>IF(SUMIFS('NSE - NIFTY Index Options'!$L:$L,'NSE - NIFTY Index Options'!$C:$C,$A19,'NSE - NIFTY Index Options'!$B:$B,E$4,'NSE - NIFTY Index Options'!$H:$H,"Monthly*")+SUMIFS('NSE - Other Index Options'!$L:$L,'NSE - Other Index Options'!$C:$C,$A19,'NSE - Other Index Options'!$B:$B,E$4,'NSE - Other Index Options'!$H:$H,"Monthly*")=0,"",SUMIFS('NSE - NIFTY Index Options'!$L:$L,'NSE - NIFTY Index Options'!$C:$C,$A19,'NSE - NIFTY Index Options'!$B:$B,E$4,'NSE - NIFTY Index Options'!$H:$H,"Monthly*")+SUMIFS('NSE - Other Index Options'!$L:$L,'NSE - Other Index Options'!$C:$C,$A19,'NSE - Other Index Options'!$B:$B,E$4,'NSE - Other Index Options'!$H:$H,"Monthly*"))</f>
        <v/>
      </c>
      <c r="F19" s="26" t="str">
        <f>IF(SUMIFS('NSE - NIFTY Index Options'!$L:$L,'NSE - NIFTY Index Options'!$C:$C,$A19,'NSE - NIFTY Index Options'!$B:$B,F$4,'NSE - NIFTY Index Options'!$H:$H,"Monthly*")+SUMIFS('NSE - Other Index Options'!$L:$L,'NSE - Other Index Options'!$C:$C,$A19,'NSE - Other Index Options'!$B:$B,F$4,'NSE - Other Index Options'!$H:$H,"Monthly*")=0,"",SUMIFS('NSE - NIFTY Index Options'!$L:$L,'NSE - NIFTY Index Options'!$C:$C,$A19,'NSE - NIFTY Index Options'!$B:$B,F$4,'NSE - NIFTY Index Options'!$H:$H,"Monthly*")+SUMIFS('NSE - Other Index Options'!$L:$L,'NSE - Other Index Options'!$C:$C,$A19,'NSE - Other Index Options'!$B:$B,F$4,'NSE - Other Index Options'!$H:$H,"Monthly*"))</f>
        <v/>
      </c>
      <c r="G19" s="26" t="str">
        <f>IF(SUMIFS('NSE - NIFTY Index Options'!$L:$L,'NSE - NIFTY Index Options'!$C:$C,$A19,'NSE - NIFTY Index Options'!$B:$B,G$4,'NSE - NIFTY Index Options'!$H:$H,"Monthly*")+SUMIFS('NSE - Other Index Options'!$L:$L,'NSE - Other Index Options'!$C:$C,$A19,'NSE - Other Index Options'!$B:$B,G$4,'NSE - Other Index Options'!$H:$H,"Monthly*")=0,"",SUMIFS('NSE - NIFTY Index Options'!$L:$L,'NSE - NIFTY Index Options'!$C:$C,$A19,'NSE - NIFTY Index Options'!$B:$B,G$4,'NSE - NIFTY Index Options'!$H:$H,"Monthly*")+SUMIFS('NSE - Other Index Options'!$L:$L,'NSE - Other Index Options'!$C:$C,$A19,'NSE - Other Index Options'!$B:$B,G$4,'NSE - Other Index Options'!$H:$H,"Monthly*"))</f>
        <v/>
      </c>
      <c r="H19" s="26" t="str">
        <f t="shared" si="0"/>
        <v/>
      </c>
    </row>
    <row r="20" spans="1:8">
      <c r="A20" t="s">
        <v>25</v>
      </c>
      <c r="B20" s="26">
        <f>IF(SUMIFS('NSE - NIFTY Index Options'!$L:$L,'NSE - NIFTY Index Options'!$C:$C,$A20,'NSE - NIFTY Index Options'!$B:$B,B$4,'NSE - NIFTY Index Options'!$H:$H,"Monthly*")+SUMIFS('NSE - Other Index Options'!$L:$L,'NSE - Other Index Options'!$C:$C,$A20,'NSE - Other Index Options'!$B:$B,B$4,'NSE - Other Index Options'!$H:$H,"Monthly*")=0,"",SUMIFS('NSE - NIFTY Index Options'!$L:$L,'NSE - NIFTY Index Options'!$C:$C,$A20,'NSE - NIFTY Index Options'!$B:$B,B$4,'NSE - NIFTY Index Options'!$H:$H,"Monthly*")+SUMIFS('NSE - Other Index Options'!$L:$L,'NSE - Other Index Options'!$C:$C,$A20,'NSE - Other Index Options'!$B:$B,B$4,'NSE - Other Index Options'!$H:$H,"Monthly*"))</f>
        <v>5806.29</v>
      </c>
      <c r="C20" s="26">
        <f>IF(SUMIFS('NSE - NIFTY Index Options'!$L:$L,'NSE - NIFTY Index Options'!$C:$C,$A20,'NSE - NIFTY Index Options'!$B:$B,C$4,'NSE - NIFTY Index Options'!$H:$H,"Monthly*")+SUMIFS('NSE - Other Index Options'!$L:$L,'NSE - Other Index Options'!$C:$C,$A20,'NSE - Other Index Options'!$B:$B,C$4,'NSE - Other Index Options'!$H:$H,"Monthly*")=0,"",SUMIFS('NSE - NIFTY Index Options'!$L:$L,'NSE - NIFTY Index Options'!$C:$C,$A20,'NSE - NIFTY Index Options'!$B:$B,C$4,'NSE - NIFTY Index Options'!$H:$H,"Monthly*")+SUMIFS('NSE - Other Index Options'!$L:$L,'NSE - Other Index Options'!$C:$C,$A20,'NSE - Other Index Options'!$B:$B,C$4,'NSE - Other Index Options'!$H:$H,"Monthly*"))</f>
        <v>5282.99</v>
      </c>
      <c r="D20" s="26">
        <f>IF(SUMIFS('NSE - NIFTY Index Options'!$L:$L,'NSE - NIFTY Index Options'!$C:$C,$A20,'NSE - NIFTY Index Options'!$B:$B,D$4,'NSE - NIFTY Index Options'!$H:$H,"Monthly*")+SUMIFS('NSE - Other Index Options'!$L:$L,'NSE - Other Index Options'!$C:$C,$A20,'NSE - Other Index Options'!$B:$B,D$4,'NSE - Other Index Options'!$H:$H,"Monthly*")=0,"",SUMIFS('NSE - NIFTY Index Options'!$L:$L,'NSE - NIFTY Index Options'!$C:$C,$A20,'NSE - NIFTY Index Options'!$B:$B,D$4,'NSE - NIFTY Index Options'!$H:$H,"Monthly*")+SUMIFS('NSE - Other Index Options'!$L:$L,'NSE - Other Index Options'!$C:$C,$A20,'NSE - Other Index Options'!$B:$B,D$4,'NSE - Other Index Options'!$H:$H,"Monthly*"))</f>
        <v>6082.74</v>
      </c>
      <c r="E20" s="26">
        <f>IF(SUMIFS('NSE - NIFTY Index Options'!$L:$L,'NSE - NIFTY Index Options'!$C:$C,$A20,'NSE - NIFTY Index Options'!$B:$B,E$4,'NSE - NIFTY Index Options'!$H:$H,"Monthly*")+SUMIFS('NSE - Other Index Options'!$L:$L,'NSE - Other Index Options'!$C:$C,$A20,'NSE - Other Index Options'!$B:$B,E$4,'NSE - Other Index Options'!$H:$H,"Monthly*")=0,"",SUMIFS('NSE - NIFTY Index Options'!$L:$L,'NSE - NIFTY Index Options'!$C:$C,$A20,'NSE - NIFTY Index Options'!$B:$B,E$4,'NSE - NIFTY Index Options'!$H:$H,"Monthly*")+SUMIFS('NSE - Other Index Options'!$L:$L,'NSE - Other Index Options'!$C:$C,$A20,'NSE - Other Index Options'!$B:$B,E$4,'NSE - Other Index Options'!$H:$H,"Monthly*"))</f>
        <v>4977.670000000001</v>
      </c>
      <c r="F20" s="26">
        <f>IF(SUMIFS('NSE - NIFTY Index Options'!$L:$L,'NSE - NIFTY Index Options'!$C:$C,$A20,'NSE - NIFTY Index Options'!$B:$B,F$4,'NSE - NIFTY Index Options'!$H:$H,"Monthly*")+SUMIFS('NSE - Other Index Options'!$L:$L,'NSE - Other Index Options'!$C:$C,$A20,'NSE - Other Index Options'!$B:$B,F$4,'NSE - Other Index Options'!$H:$H,"Monthly*")=0,"",SUMIFS('NSE - NIFTY Index Options'!$L:$L,'NSE - NIFTY Index Options'!$C:$C,$A20,'NSE - NIFTY Index Options'!$B:$B,F$4,'NSE - NIFTY Index Options'!$H:$H,"Monthly*")+SUMIFS('NSE - Other Index Options'!$L:$L,'NSE - Other Index Options'!$C:$C,$A20,'NSE - Other Index Options'!$B:$B,F$4,'NSE - Other Index Options'!$H:$H,"Monthly*"))</f>
        <v>7071.4000000000015</v>
      </c>
      <c r="G20" s="26" t="str">
        <f>IF(SUMIFS('NSE - NIFTY Index Options'!$L:$L,'NSE - NIFTY Index Options'!$C:$C,$A20,'NSE - NIFTY Index Options'!$B:$B,G$4,'NSE - NIFTY Index Options'!$H:$H,"Monthly*")+SUMIFS('NSE - Other Index Options'!$L:$L,'NSE - Other Index Options'!$C:$C,$A20,'NSE - Other Index Options'!$B:$B,G$4,'NSE - Other Index Options'!$H:$H,"Monthly*")=0,"",SUMIFS('NSE - NIFTY Index Options'!$L:$L,'NSE - NIFTY Index Options'!$C:$C,$A20,'NSE - NIFTY Index Options'!$B:$B,G$4,'NSE - NIFTY Index Options'!$H:$H,"Monthly*")+SUMIFS('NSE - Other Index Options'!$L:$L,'NSE - Other Index Options'!$C:$C,$A20,'NSE - Other Index Options'!$B:$B,G$4,'NSE - Other Index Options'!$H:$H,"Monthly*"))</f>
        <v/>
      </c>
      <c r="H20" s="26">
        <f t="shared" si="0"/>
        <v>29221.09</v>
      </c>
    </row>
    <row r="21" spans="1:8">
      <c r="A21" t="s">
        <v>26</v>
      </c>
      <c r="B21" s="26">
        <f>IF(SUMIFS('NSE - NIFTY Index Options'!$L:$L,'NSE - NIFTY Index Options'!$C:$C,$A21,'NSE - NIFTY Index Options'!$B:$B,B$4,'NSE - NIFTY Index Options'!$H:$H,"Monthly*")+SUMIFS('NSE - Other Index Options'!$L:$L,'NSE - Other Index Options'!$C:$C,$A21,'NSE - Other Index Options'!$B:$B,B$4,'NSE - Other Index Options'!$H:$H,"Monthly*")=0,"",SUMIFS('NSE - NIFTY Index Options'!$L:$L,'NSE - NIFTY Index Options'!$C:$C,$A21,'NSE - NIFTY Index Options'!$B:$B,B$4,'NSE - NIFTY Index Options'!$H:$H,"Monthly*")+SUMIFS('NSE - Other Index Options'!$L:$L,'NSE - Other Index Options'!$C:$C,$A21,'NSE - Other Index Options'!$B:$B,B$4,'NSE - Other Index Options'!$H:$H,"Monthly*"))</f>
        <v>6861.2600000000011</v>
      </c>
      <c r="C21" s="26">
        <f>IF(SUMIFS('NSE - NIFTY Index Options'!$L:$L,'NSE - NIFTY Index Options'!$C:$C,$A21,'NSE - NIFTY Index Options'!$B:$B,C$4,'NSE - NIFTY Index Options'!$H:$H,"Monthly*")+SUMIFS('NSE - Other Index Options'!$L:$L,'NSE - Other Index Options'!$C:$C,$A21,'NSE - Other Index Options'!$B:$B,C$4,'NSE - Other Index Options'!$H:$H,"Monthly*")=0,"",SUMIFS('NSE - NIFTY Index Options'!$L:$L,'NSE - NIFTY Index Options'!$C:$C,$A21,'NSE - NIFTY Index Options'!$B:$B,C$4,'NSE - NIFTY Index Options'!$H:$H,"Monthly*")+SUMIFS('NSE - Other Index Options'!$L:$L,'NSE - Other Index Options'!$C:$C,$A21,'NSE - Other Index Options'!$B:$B,C$4,'NSE - Other Index Options'!$H:$H,"Monthly*"))</f>
        <v>7057.64</v>
      </c>
      <c r="D21" s="26">
        <f>IF(SUMIFS('NSE - NIFTY Index Options'!$L:$L,'NSE - NIFTY Index Options'!$C:$C,$A21,'NSE - NIFTY Index Options'!$B:$B,D$4,'NSE - NIFTY Index Options'!$H:$H,"Monthly*")+SUMIFS('NSE - Other Index Options'!$L:$L,'NSE - Other Index Options'!$C:$C,$A21,'NSE - Other Index Options'!$B:$B,D$4,'NSE - Other Index Options'!$H:$H,"Monthly*")=0,"",SUMIFS('NSE - NIFTY Index Options'!$L:$L,'NSE - NIFTY Index Options'!$C:$C,$A21,'NSE - NIFTY Index Options'!$B:$B,D$4,'NSE - NIFTY Index Options'!$H:$H,"Monthly*")+SUMIFS('NSE - Other Index Options'!$L:$L,'NSE - Other Index Options'!$C:$C,$A21,'NSE - Other Index Options'!$B:$B,D$4,'NSE - Other Index Options'!$H:$H,"Monthly*"))</f>
        <v>6473.98</v>
      </c>
      <c r="E21" s="26">
        <f>IF(SUMIFS('NSE - NIFTY Index Options'!$L:$L,'NSE - NIFTY Index Options'!$C:$C,$A21,'NSE - NIFTY Index Options'!$B:$B,E$4,'NSE - NIFTY Index Options'!$H:$H,"Monthly*")+SUMIFS('NSE - Other Index Options'!$L:$L,'NSE - Other Index Options'!$C:$C,$A21,'NSE - Other Index Options'!$B:$B,E$4,'NSE - Other Index Options'!$H:$H,"Monthly*")=0,"",SUMIFS('NSE - NIFTY Index Options'!$L:$L,'NSE - NIFTY Index Options'!$C:$C,$A21,'NSE - NIFTY Index Options'!$B:$B,E$4,'NSE - NIFTY Index Options'!$H:$H,"Monthly*")+SUMIFS('NSE - Other Index Options'!$L:$L,'NSE - Other Index Options'!$C:$C,$A21,'NSE - Other Index Options'!$B:$B,E$4,'NSE - Other Index Options'!$H:$H,"Monthly*"))</f>
        <v>6637.8599999999988</v>
      </c>
      <c r="F21" s="26">
        <f>IF(SUMIFS('NSE - NIFTY Index Options'!$L:$L,'NSE - NIFTY Index Options'!$C:$C,$A21,'NSE - NIFTY Index Options'!$B:$B,F$4,'NSE - NIFTY Index Options'!$H:$H,"Monthly*")+SUMIFS('NSE - Other Index Options'!$L:$L,'NSE - Other Index Options'!$C:$C,$A21,'NSE - Other Index Options'!$B:$B,F$4,'NSE - Other Index Options'!$H:$H,"Monthly*")=0,"",SUMIFS('NSE - NIFTY Index Options'!$L:$L,'NSE - NIFTY Index Options'!$C:$C,$A21,'NSE - NIFTY Index Options'!$B:$B,F$4,'NSE - NIFTY Index Options'!$H:$H,"Monthly*")+SUMIFS('NSE - Other Index Options'!$L:$L,'NSE - Other Index Options'!$C:$C,$A21,'NSE - Other Index Options'!$B:$B,F$4,'NSE - Other Index Options'!$H:$H,"Monthly*"))</f>
        <v>5954.630000000001</v>
      </c>
      <c r="G21" s="26" t="str">
        <f>IF(SUMIFS('NSE - NIFTY Index Options'!$L:$L,'NSE - NIFTY Index Options'!$C:$C,$A21,'NSE - NIFTY Index Options'!$B:$B,G$4,'NSE - NIFTY Index Options'!$H:$H,"Monthly*")+SUMIFS('NSE - Other Index Options'!$L:$L,'NSE - Other Index Options'!$C:$C,$A21,'NSE - Other Index Options'!$B:$B,G$4,'NSE - Other Index Options'!$H:$H,"Monthly*")=0,"",SUMIFS('NSE - NIFTY Index Options'!$L:$L,'NSE - NIFTY Index Options'!$C:$C,$A21,'NSE - NIFTY Index Options'!$B:$B,G$4,'NSE - NIFTY Index Options'!$H:$H,"Monthly*")+SUMIFS('NSE - Other Index Options'!$L:$L,'NSE - Other Index Options'!$C:$C,$A21,'NSE - Other Index Options'!$B:$B,G$4,'NSE - Other Index Options'!$H:$H,"Monthly*"))</f>
        <v/>
      </c>
      <c r="H21" s="26">
        <f t="shared" si="0"/>
        <v>32985.369999999995</v>
      </c>
    </row>
    <row r="22" spans="1:8">
      <c r="A22" t="s">
        <v>27</v>
      </c>
      <c r="B22" s="26">
        <f>IF(SUMIFS('NSE - NIFTY Index Options'!$L:$L,'NSE - NIFTY Index Options'!$C:$C,$A22,'NSE - NIFTY Index Options'!$B:$B,B$4,'NSE - NIFTY Index Options'!$H:$H,"Monthly*")+SUMIFS('NSE - Other Index Options'!$L:$L,'NSE - Other Index Options'!$C:$C,$A22,'NSE - Other Index Options'!$B:$B,B$4,'NSE - Other Index Options'!$H:$H,"Monthly*")=0,"",SUMIFS('NSE - NIFTY Index Options'!$L:$L,'NSE - NIFTY Index Options'!$C:$C,$A22,'NSE - NIFTY Index Options'!$B:$B,B$4,'NSE - NIFTY Index Options'!$H:$H,"Monthly*")+SUMIFS('NSE - Other Index Options'!$L:$L,'NSE - Other Index Options'!$C:$C,$A22,'NSE - Other Index Options'!$B:$B,B$4,'NSE - Other Index Options'!$H:$H,"Monthly*"))</f>
        <v>5198.8999999999996</v>
      </c>
      <c r="C22" s="26">
        <f>IF(SUMIFS('NSE - NIFTY Index Options'!$L:$L,'NSE - NIFTY Index Options'!$C:$C,$A22,'NSE - NIFTY Index Options'!$B:$B,C$4,'NSE - NIFTY Index Options'!$H:$H,"Monthly*")+SUMIFS('NSE - Other Index Options'!$L:$L,'NSE - Other Index Options'!$C:$C,$A22,'NSE - Other Index Options'!$B:$B,C$4,'NSE - Other Index Options'!$H:$H,"Monthly*")=0,"",SUMIFS('NSE - NIFTY Index Options'!$L:$L,'NSE - NIFTY Index Options'!$C:$C,$A22,'NSE - NIFTY Index Options'!$B:$B,C$4,'NSE - NIFTY Index Options'!$H:$H,"Monthly*")+SUMIFS('NSE - Other Index Options'!$L:$L,'NSE - Other Index Options'!$C:$C,$A22,'NSE - Other Index Options'!$B:$B,C$4,'NSE - Other Index Options'!$H:$H,"Monthly*"))</f>
        <v>5566.7300000000005</v>
      </c>
      <c r="D22" s="26">
        <f>IF(SUMIFS('NSE - NIFTY Index Options'!$L:$L,'NSE - NIFTY Index Options'!$C:$C,$A22,'NSE - NIFTY Index Options'!$B:$B,D$4,'NSE - NIFTY Index Options'!$H:$H,"Monthly*")+SUMIFS('NSE - Other Index Options'!$L:$L,'NSE - Other Index Options'!$C:$C,$A22,'NSE - Other Index Options'!$B:$B,D$4,'NSE - Other Index Options'!$H:$H,"Monthly*")=0,"",SUMIFS('NSE - NIFTY Index Options'!$L:$L,'NSE - NIFTY Index Options'!$C:$C,$A22,'NSE - NIFTY Index Options'!$B:$B,D$4,'NSE - NIFTY Index Options'!$H:$H,"Monthly*")+SUMIFS('NSE - Other Index Options'!$L:$L,'NSE - Other Index Options'!$C:$C,$A22,'NSE - Other Index Options'!$B:$B,D$4,'NSE - Other Index Options'!$H:$H,"Monthly*"))</f>
        <v>5852.19</v>
      </c>
      <c r="E22" s="26">
        <f>IF(SUMIFS('NSE - NIFTY Index Options'!$L:$L,'NSE - NIFTY Index Options'!$C:$C,$A22,'NSE - NIFTY Index Options'!$B:$B,E$4,'NSE - NIFTY Index Options'!$H:$H,"Monthly*")+SUMIFS('NSE - Other Index Options'!$L:$L,'NSE - Other Index Options'!$C:$C,$A22,'NSE - Other Index Options'!$B:$B,E$4,'NSE - Other Index Options'!$H:$H,"Monthly*")=0,"",SUMIFS('NSE - NIFTY Index Options'!$L:$L,'NSE - NIFTY Index Options'!$C:$C,$A22,'NSE - NIFTY Index Options'!$B:$B,E$4,'NSE - NIFTY Index Options'!$H:$H,"Monthly*")+SUMIFS('NSE - Other Index Options'!$L:$L,'NSE - Other Index Options'!$C:$C,$A22,'NSE - Other Index Options'!$B:$B,E$4,'NSE - Other Index Options'!$H:$H,"Monthly*"))</f>
        <v>7033.32</v>
      </c>
      <c r="F22" s="26">
        <f>IF(SUMIFS('NSE - NIFTY Index Options'!$L:$L,'NSE - NIFTY Index Options'!$C:$C,$A22,'NSE - NIFTY Index Options'!$B:$B,F$4,'NSE - NIFTY Index Options'!$H:$H,"Monthly*")+SUMIFS('NSE - Other Index Options'!$L:$L,'NSE - Other Index Options'!$C:$C,$A22,'NSE - Other Index Options'!$B:$B,F$4,'NSE - Other Index Options'!$H:$H,"Monthly*")=0,"",SUMIFS('NSE - NIFTY Index Options'!$L:$L,'NSE - NIFTY Index Options'!$C:$C,$A22,'NSE - NIFTY Index Options'!$B:$B,F$4,'NSE - NIFTY Index Options'!$H:$H,"Monthly*")+SUMIFS('NSE - Other Index Options'!$L:$L,'NSE - Other Index Options'!$C:$C,$A22,'NSE - Other Index Options'!$B:$B,F$4,'NSE - Other Index Options'!$H:$H,"Monthly*"))</f>
        <v>6841.51</v>
      </c>
      <c r="G22" s="26" t="str">
        <f>IF(SUMIFS('NSE - NIFTY Index Options'!$L:$L,'NSE - NIFTY Index Options'!$C:$C,$A22,'NSE - NIFTY Index Options'!$B:$B,G$4,'NSE - NIFTY Index Options'!$H:$H,"Monthly*")+SUMIFS('NSE - Other Index Options'!$L:$L,'NSE - Other Index Options'!$C:$C,$A22,'NSE - Other Index Options'!$B:$B,G$4,'NSE - Other Index Options'!$H:$H,"Monthly*")=0,"",SUMIFS('NSE - NIFTY Index Options'!$L:$L,'NSE - NIFTY Index Options'!$C:$C,$A22,'NSE - NIFTY Index Options'!$B:$B,G$4,'NSE - NIFTY Index Options'!$H:$H,"Monthly*")+SUMIFS('NSE - Other Index Options'!$L:$L,'NSE - Other Index Options'!$C:$C,$A22,'NSE - Other Index Options'!$B:$B,G$4,'NSE - Other Index Options'!$H:$H,"Monthly*"))</f>
        <v/>
      </c>
      <c r="H22" s="26">
        <f t="shared" si="0"/>
        <v>30492.65</v>
      </c>
    </row>
    <row r="23" spans="1:8">
      <c r="A23" t="s">
        <v>28</v>
      </c>
      <c r="B23" s="26">
        <f>IF(SUMIFS('NSE - NIFTY Index Options'!$L:$L,'NSE - NIFTY Index Options'!$C:$C,$A23,'NSE - NIFTY Index Options'!$B:$B,B$4,'NSE - NIFTY Index Options'!$H:$H,"Monthly*")+SUMIFS('NSE - Other Index Options'!$L:$L,'NSE - Other Index Options'!$C:$C,$A23,'NSE - Other Index Options'!$B:$B,B$4,'NSE - Other Index Options'!$H:$H,"Monthly*")=0,"",SUMIFS('NSE - NIFTY Index Options'!$L:$L,'NSE - NIFTY Index Options'!$C:$C,$A23,'NSE - NIFTY Index Options'!$B:$B,B$4,'NSE - NIFTY Index Options'!$H:$H,"Monthly*")+SUMIFS('NSE - Other Index Options'!$L:$L,'NSE - Other Index Options'!$C:$C,$A23,'NSE - Other Index Options'!$B:$B,B$4,'NSE - Other Index Options'!$H:$H,"Monthly*"))</f>
        <v>6542.41</v>
      </c>
      <c r="C23" s="26">
        <f>IF(SUMIFS('NSE - NIFTY Index Options'!$L:$L,'NSE - NIFTY Index Options'!$C:$C,$A23,'NSE - NIFTY Index Options'!$B:$B,C$4,'NSE - NIFTY Index Options'!$H:$H,"Monthly*")+SUMIFS('NSE - Other Index Options'!$L:$L,'NSE - Other Index Options'!$C:$C,$A23,'NSE - Other Index Options'!$B:$B,C$4,'NSE - Other Index Options'!$H:$H,"Monthly*")=0,"",SUMIFS('NSE - NIFTY Index Options'!$L:$L,'NSE - NIFTY Index Options'!$C:$C,$A23,'NSE - NIFTY Index Options'!$B:$B,C$4,'NSE - NIFTY Index Options'!$H:$H,"Monthly*")+SUMIFS('NSE - Other Index Options'!$L:$L,'NSE - Other Index Options'!$C:$C,$A23,'NSE - Other Index Options'!$B:$B,C$4,'NSE - Other Index Options'!$H:$H,"Monthly*"))</f>
        <v>8371.0500000000011</v>
      </c>
      <c r="D23" s="26">
        <f>IF(SUMIFS('NSE - NIFTY Index Options'!$L:$L,'NSE - NIFTY Index Options'!$C:$C,$A23,'NSE - NIFTY Index Options'!$B:$B,D$4,'NSE - NIFTY Index Options'!$H:$H,"Monthly*")+SUMIFS('NSE - Other Index Options'!$L:$L,'NSE - Other Index Options'!$C:$C,$A23,'NSE - Other Index Options'!$B:$B,D$4,'NSE - Other Index Options'!$H:$H,"Monthly*")=0,"",SUMIFS('NSE - NIFTY Index Options'!$L:$L,'NSE - NIFTY Index Options'!$C:$C,$A23,'NSE - NIFTY Index Options'!$B:$B,D$4,'NSE - NIFTY Index Options'!$H:$H,"Monthly*")+SUMIFS('NSE - Other Index Options'!$L:$L,'NSE - Other Index Options'!$C:$C,$A23,'NSE - Other Index Options'!$B:$B,D$4,'NSE - Other Index Options'!$H:$H,"Monthly*"))</f>
        <v>4694.63</v>
      </c>
      <c r="E23" s="26" t="str">
        <f>IF(SUMIFS('NSE - NIFTY Index Options'!$L:$L,'NSE - NIFTY Index Options'!$C:$C,$A23,'NSE - NIFTY Index Options'!$B:$B,E$4,'NSE - NIFTY Index Options'!$H:$H,"Monthly*")+SUMIFS('NSE - Other Index Options'!$L:$L,'NSE - Other Index Options'!$C:$C,$A23,'NSE - Other Index Options'!$B:$B,E$4,'NSE - Other Index Options'!$H:$H,"Monthly*")=0,"",SUMIFS('NSE - NIFTY Index Options'!$L:$L,'NSE - NIFTY Index Options'!$C:$C,$A23,'NSE - NIFTY Index Options'!$B:$B,E$4,'NSE - NIFTY Index Options'!$H:$H,"Monthly*")+SUMIFS('NSE - Other Index Options'!$L:$L,'NSE - Other Index Options'!$C:$C,$A23,'NSE - Other Index Options'!$B:$B,E$4,'NSE - Other Index Options'!$H:$H,"Monthly*"))</f>
        <v/>
      </c>
      <c r="F23" s="26">
        <f>IF(SUMIFS('NSE - NIFTY Index Options'!$L:$L,'NSE - NIFTY Index Options'!$C:$C,$A23,'NSE - NIFTY Index Options'!$B:$B,F$4,'NSE - NIFTY Index Options'!$H:$H,"Monthly*")+SUMIFS('NSE - Other Index Options'!$L:$L,'NSE - Other Index Options'!$C:$C,$A23,'NSE - Other Index Options'!$B:$B,F$4,'NSE - Other Index Options'!$H:$H,"Monthly*")=0,"",SUMIFS('NSE - NIFTY Index Options'!$L:$L,'NSE - NIFTY Index Options'!$C:$C,$A23,'NSE - NIFTY Index Options'!$B:$B,F$4,'NSE - NIFTY Index Options'!$H:$H,"Monthly*")+SUMIFS('NSE - Other Index Options'!$L:$L,'NSE - Other Index Options'!$C:$C,$A23,'NSE - Other Index Options'!$B:$B,F$4,'NSE - Other Index Options'!$H:$H,"Monthly*"))</f>
        <v>5820.3099999999995</v>
      </c>
      <c r="G23" s="26" t="str">
        <f>IF(SUMIFS('NSE - NIFTY Index Options'!$L:$L,'NSE - NIFTY Index Options'!$C:$C,$A23,'NSE - NIFTY Index Options'!$B:$B,G$4,'NSE - NIFTY Index Options'!$H:$H,"Monthly*")+SUMIFS('NSE - Other Index Options'!$L:$L,'NSE - Other Index Options'!$C:$C,$A23,'NSE - Other Index Options'!$B:$B,G$4,'NSE - Other Index Options'!$H:$H,"Monthly*")=0,"",SUMIFS('NSE - NIFTY Index Options'!$L:$L,'NSE - NIFTY Index Options'!$C:$C,$A23,'NSE - NIFTY Index Options'!$B:$B,G$4,'NSE - NIFTY Index Options'!$H:$H,"Monthly*")+SUMIFS('NSE - Other Index Options'!$L:$L,'NSE - Other Index Options'!$C:$C,$A23,'NSE - Other Index Options'!$B:$B,G$4,'NSE - Other Index Options'!$H:$H,"Monthly*"))</f>
        <v/>
      </c>
      <c r="H23" s="26">
        <f t="shared" si="0"/>
        <v>25428.400000000001</v>
      </c>
    </row>
    <row r="24" spans="1:8">
      <c r="A24" t="s">
        <v>29</v>
      </c>
      <c r="B24" s="26">
        <f>IF(SUMIFS('NSE - NIFTY Index Options'!$L:$L,'NSE - NIFTY Index Options'!$C:$C,$A24,'NSE - NIFTY Index Options'!$B:$B,B$4,'NSE - NIFTY Index Options'!$H:$H,"Monthly*")+SUMIFS('NSE - Other Index Options'!$L:$L,'NSE - Other Index Options'!$C:$C,$A24,'NSE - Other Index Options'!$B:$B,B$4,'NSE - Other Index Options'!$H:$H,"Monthly*")=0,"",SUMIFS('NSE - NIFTY Index Options'!$L:$L,'NSE - NIFTY Index Options'!$C:$C,$A24,'NSE - NIFTY Index Options'!$B:$B,B$4,'NSE - NIFTY Index Options'!$H:$H,"Monthly*")+SUMIFS('NSE - Other Index Options'!$L:$L,'NSE - Other Index Options'!$C:$C,$A24,'NSE - Other Index Options'!$B:$B,B$4,'NSE - Other Index Options'!$H:$H,"Monthly*"))</f>
        <v>8402.44</v>
      </c>
      <c r="C24" s="26">
        <f>IF(SUMIFS('NSE - NIFTY Index Options'!$L:$L,'NSE - NIFTY Index Options'!$C:$C,$A24,'NSE - NIFTY Index Options'!$B:$B,C$4,'NSE - NIFTY Index Options'!$H:$H,"Monthly*")+SUMIFS('NSE - Other Index Options'!$L:$L,'NSE - Other Index Options'!$C:$C,$A24,'NSE - Other Index Options'!$B:$B,C$4,'NSE - Other Index Options'!$H:$H,"Monthly*")=0,"",SUMIFS('NSE - NIFTY Index Options'!$L:$L,'NSE - NIFTY Index Options'!$C:$C,$A24,'NSE - NIFTY Index Options'!$B:$B,C$4,'NSE - NIFTY Index Options'!$H:$H,"Monthly*")+SUMIFS('NSE - Other Index Options'!$L:$L,'NSE - Other Index Options'!$C:$C,$A24,'NSE - Other Index Options'!$B:$B,C$4,'NSE - Other Index Options'!$H:$H,"Monthly*"))</f>
        <v>16317.75</v>
      </c>
      <c r="D24" s="26">
        <f>IF(SUMIFS('NSE - NIFTY Index Options'!$L:$L,'NSE - NIFTY Index Options'!$C:$C,$A24,'NSE - NIFTY Index Options'!$B:$B,D$4,'NSE - NIFTY Index Options'!$H:$H,"Monthly*")+SUMIFS('NSE - Other Index Options'!$L:$L,'NSE - Other Index Options'!$C:$C,$A24,'NSE - Other Index Options'!$B:$B,D$4,'NSE - Other Index Options'!$H:$H,"Monthly*")=0,"",SUMIFS('NSE - NIFTY Index Options'!$L:$L,'NSE - NIFTY Index Options'!$C:$C,$A24,'NSE - NIFTY Index Options'!$B:$B,D$4,'NSE - NIFTY Index Options'!$H:$H,"Monthly*")+SUMIFS('NSE - Other Index Options'!$L:$L,'NSE - Other Index Options'!$C:$C,$A24,'NSE - Other Index Options'!$B:$B,D$4,'NSE - Other Index Options'!$H:$H,"Monthly*"))</f>
        <v>5220.1200000000008</v>
      </c>
      <c r="E24" s="26" t="str">
        <f>IF(SUMIFS('NSE - NIFTY Index Options'!$L:$L,'NSE - NIFTY Index Options'!$C:$C,$A24,'NSE - NIFTY Index Options'!$B:$B,E$4,'NSE - NIFTY Index Options'!$H:$H,"Monthly*")+SUMIFS('NSE - Other Index Options'!$L:$L,'NSE - Other Index Options'!$C:$C,$A24,'NSE - Other Index Options'!$B:$B,E$4,'NSE - Other Index Options'!$H:$H,"Monthly*")=0,"",SUMIFS('NSE - NIFTY Index Options'!$L:$L,'NSE - NIFTY Index Options'!$C:$C,$A24,'NSE - NIFTY Index Options'!$B:$B,E$4,'NSE - NIFTY Index Options'!$H:$H,"Monthly*")+SUMIFS('NSE - Other Index Options'!$L:$L,'NSE - Other Index Options'!$C:$C,$A24,'NSE - Other Index Options'!$B:$B,E$4,'NSE - Other Index Options'!$H:$H,"Monthly*"))</f>
        <v/>
      </c>
      <c r="F24" s="26" t="str">
        <f>IF(SUMIFS('NSE - NIFTY Index Options'!$L:$L,'NSE - NIFTY Index Options'!$C:$C,$A24,'NSE - NIFTY Index Options'!$B:$B,F$4,'NSE - NIFTY Index Options'!$H:$H,"Monthly*")+SUMIFS('NSE - Other Index Options'!$L:$L,'NSE - Other Index Options'!$C:$C,$A24,'NSE - Other Index Options'!$B:$B,F$4,'NSE - Other Index Options'!$H:$H,"Monthly*")=0,"",SUMIFS('NSE - NIFTY Index Options'!$L:$L,'NSE - NIFTY Index Options'!$C:$C,$A24,'NSE - NIFTY Index Options'!$B:$B,F$4,'NSE - NIFTY Index Options'!$H:$H,"Monthly*")+SUMIFS('NSE - Other Index Options'!$L:$L,'NSE - Other Index Options'!$C:$C,$A24,'NSE - Other Index Options'!$B:$B,F$4,'NSE - Other Index Options'!$H:$H,"Monthly*"))</f>
        <v/>
      </c>
      <c r="G24" s="26" t="str">
        <f>IF(SUMIFS('NSE - NIFTY Index Options'!$L:$L,'NSE - NIFTY Index Options'!$C:$C,$A24,'NSE - NIFTY Index Options'!$B:$B,G$4,'NSE - NIFTY Index Options'!$H:$H,"Monthly*")+SUMIFS('NSE - Other Index Options'!$L:$L,'NSE - Other Index Options'!$C:$C,$A24,'NSE - Other Index Options'!$B:$B,G$4,'NSE - Other Index Options'!$H:$H,"Monthly*")=0,"",SUMIFS('NSE - NIFTY Index Options'!$L:$L,'NSE - NIFTY Index Options'!$C:$C,$A24,'NSE - NIFTY Index Options'!$B:$B,G$4,'NSE - NIFTY Index Options'!$H:$H,"Monthly*")+SUMIFS('NSE - Other Index Options'!$L:$L,'NSE - Other Index Options'!$C:$C,$A24,'NSE - Other Index Options'!$B:$B,G$4,'NSE - Other Index Options'!$H:$H,"Monthly*"))</f>
        <v/>
      </c>
      <c r="H24" s="26">
        <f t="shared" si="0"/>
        <v>29940.310000000005</v>
      </c>
    </row>
    <row r="25" spans="1:8">
      <c r="A25" t="s">
        <v>30</v>
      </c>
      <c r="B25" s="26">
        <f>IF(SUMIFS('NSE - NIFTY Index Options'!$L:$L,'NSE - NIFTY Index Options'!$C:$C,$A25,'NSE - NIFTY Index Options'!$B:$B,B$4,'NSE - NIFTY Index Options'!$H:$H,"Monthly*")+SUMIFS('NSE - Other Index Options'!$L:$L,'NSE - Other Index Options'!$C:$C,$A25,'NSE - Other Index Options'!$B:$B,B$4,'NSE - Other Index Options'!$H:$H,"Monthly*")=0,"",SUMIFS('NSE - NIFTY Index Options'!$L:$L,'NSE - NIFTY Index Options'!$C:$C,$A25,'NSE - NIFTY Index Options'!$B:$B,B$4,'NSE - NIFTY Index Options'!$H:$H,"Monthly*")+SUMIFS('NSE - Other Index Options'!$L:$L,'NSE - Other Index Options'!$C:$C,$A25,'NSE - Other Index Options'!$B:$B,B$4,'NSE - Other Index Options'!$H:$H,"Monthly*"))</f>
        <v>5264.63</v>
      </c>
      <c r="C25" s="26">
        <f>IF(SUMIFS('NSE - NIFTY Index Options'!$L:$L,'NSE - NIFTY Index Options'!$C:$C,$A25,'NSE - NIFTY Index Options'!$B:$B,C$4,'NSE - NIFTY Index Options'!$H:$H,"Monthly*")+SUMIFS('NSE - Other Index Options'!$L:$L,'NSE - Other Index Options'!$C:$C,$A25,'NSE - Other Index Options'!$B:$B,C$4,'NSE - Other Index Options'!$H:$H,"Monthly*")=0,"",SUMIFS('NSE - NIFTY Index Options'!$L:$L,'NSE - NIFTY Index Options'!$C:$C,$A25,'NSE - NIFTY Index Options'!$B:$B,C$4,'NSE - NIFTY Index Options'!$H:$H,"Monthly*")+SUMIFS('NSE - Other Index Options'!$L:$L,'NSE - Other Index Options'!$C:$C,$A25,'NSE - Other Index Options'!$B:$B,C$4,'NSE - Other Index Options'!$H:$H,"Monthly*"))</f>
        <v>4259.7700000000004</v>
      </c>
      <c r="D25" s="26">
        <f>IF(SUMIFS('NSE - NIFTY Index Options'!$L:$L,'NSE - NIFTY Index Options'!$C:$C,$A25,'NSE - NIFTY Index Options'!$B:$B,D$4,'NSE - NIFTY Index Options'!$H:$H,"Monthly*")+SUMIFS('NSE - Other Index Options'!$L:$L,'NSE - Other Index Options'!$C:$C,$A25,'NSE - Other Index Options'!$B:$B,D$4,'NSE - Other Index Options'!$H:$H,"Monthly*")=0,"",SUMIFS('NSE - NIFTY Index Options'!$L:$L,'NSE - NIFTY Index Options'!$C:$C,$A25,'NSE - NIFTY Index Options'!$B:$B,D$4,'NSE - NIFTY Index Options'!$H:$H,"Monthly*")+SUMIFS('NSE - Other Index Options'!$L:$L,'NSE - Other Index Options'!$C:$C,$A25,'NSE - Other Index Options'!$B:$B,D$4,'NSE - Other Index Options'!$H:$H,"Monthly*"))</f>
        <v>4444.13</v>
      </c>
      <c r="E25" s="26">
        <f>IF(SUMIFS('NSE - NIFTY Index Options'!$L:$L,'NSE - NIFTY Index Options'!$C:$C,$A25,'NSE - NIFTY Index Options'!$B:$B,E$4,'NSE - NIFTY Index Options'!$H:$H,"Monthly*")+SUMIFS('NSE - Other Index Options'!$L:$L,'NSE - Other Index Options'!$C:$C,$A25,'NSE - Other Index Options'!$B:$B,E$4,'NSE - Other Index Options'!$H:$H,"Monthly*")=0,"",SUMIFS('NSE - NIFTY Index Options'!$L:$L,'NSE - NIFTY Index Options'!$C:$C,$A25,'NSE - NIFTY Index Options'!$B:$B,E$4,'NSE - NIFTY Index Options'!$H:$H,"Monthly*")+SUMIFS('NSE - Other Index Options'!$L:$L,'NSE - Other Index Options'!$C:$C,$A25,'NSE - Other Index Options'!$B:$B,E$4,'NSE - Other Index Options'!$H:$H,"Monthly*"))</f>
        <v>2708.83</v>
      </c>
      <c r="F25" s="26">
        <f>IF(SUMIFS('NSE - NIFTY Index Options'!$L:$L,'NSE - NIFTY Index Options'!$C:$C,$A25,'NSE - NIFTY Index Options'!$B:$B,F$4,'NSE - NIFTY Index Options'!$H:$H,"Monthly*")+SUMIFS('NSE - Other Index Options'!$L:$L,'NSE - Other Index Options'!$C:$C,$A25,'NSE - Other Index Options'!$B:$B,F$4,'NSE - Other Index Options'!$H:$H,"Monthly*")=0,"",SUMIFS('NSE - NIFTY Index Options'!$L:$L,'NSE - NIFTY Index Options'!$C:$C,$A25,'NSE - NIFTY Index Options'!$B:$B,F$4,'NSE - NIFTY Index Options'!$H:$H,"Monthly*")+SUMIFS('NSE - Other Index Options'!$L:$L,'NSE - Other Index Options'!$C:$C,$A25,'NSE - Other Index Options'!$B:$B,F$4,'NSE - Other Index Options'!$H:$H,"Monthly*"))</f>
        <v>4906.6100000000006</v>
      </c>
      <c r="G25" s="26" t="str">
        <f>IF(SUMIFS('NSE - NIFTY Index Options'!$L:$L,'NSE - NIFTY Index Options'!$C:$C,$A25,'NSE - NIFTY Index Options'!$B:$B,G$4,'NSE - NIFTY Index Options'!$H:$H,"Monthly*")+SUMIFS('NSE - Other Index Options'!$L:$L,'NSE - Other Index Options'!$C:$C,$A25,'NSE - Other Index Options'!$B:$B,G$4,'NSE - Other Index Options'!$H:$H,"Monthly*")=0,"",SUMIFS('NSE - NIFTY Index Options'!$L:$L,'NSE - NIFTY Index Options'!$C:$C,$A25,'NSE - NIFTY Index Options'!$B:$B,G$4,'NSE - NIFTY Index Options'!$H:$H,"Monthly*")+SUMIFS('NSE - Other Index Options'!$L:$L,'NSE - Other Index Options'!$C:$C,$A25,'NSE - Other Index Options'!$B:$B,G$4,'NSE - Other Index Options'!$H:$H,"Monthly*"))</f>
        <v/>
      </c>
      <c r="H25" s="26">
        <f t="shared" si="0"/>
        <v>21583.97</v>
      </c>
    </row>
    <row r="26" spans="1:8">
      <c r="A26" t="s">
        <v>31</v>
      </c>
      <c r="B26" s="26">
        <f>IF(SUMIFS('NSE - NIFTY Index Options'!$L:$L,'NSE - NIFTY Index Options'!$C:$C,$A26,'NSE - NIFTY Index Options'!$B:$B,B$4,'NSE - NIFTY Index Options'!$H:$H,"Monthly*")+SUMIFS('NSE - Other Index Options'!$L:$L,'NSE - Other Index Options'!$C:$C,$A26,'NSE - Other Index Options'!$B:$B,B$4,'NSE - Other Index Options'!$H:$H,"Monthly*")=0,"",SUMIFS('NSE - NIFTY Index Options'!$L:$L,'NSE - NIFTY Index Options'!$C:$C,$A26,'NSE - NIFTY Index Options'!$B:$B,B$4,'NSE - NIFTY Index Options'!$H:$H,"Monthly*")+SUMIFS('NSE - Other Index Options'!$L:$L,'NSE - Other Index Options'!$C:$C,$A26,'NSE - Other Index Options'!$B:$B,B$4,'NSE - Other Index Options'!$H:$H,"Monthly*"))</f>
        <v>8783.11</v>
      </c>
      <c r="C26" s="26">
        <f>IF(SUMIFS('NSE - NIFTY Index Options'!$L:$L,'NSE - NIFTY Index Options'!$C:$C,$A26,'NSE - NIFTY Index Options'!$B:$B,C$4,'NSE - NIFTY Index Options'!$H:$H,"Monthly*")+SUMIFS('NSE - Other Index Options'!$L:$L,'NSE - Other Index Options'!$C:$C,$A26,'NSE - Other Index Options'!$B:$B,C$4,'NSE - Other Index Options'!$H:$H,"Monthly*")=0,"",SUMIFS('NSE - NIFTY Index Options'!$L:$L,'NSE - NIFTY Index Options'!$C:$C,$A26,'NSE - NIFTY Index Options'!$B:$B,C$4,'NSE - NIFTY Index Options'!$H:$H,"Monthly*")+SUMIFS('NSE - Other Index Options'!$L:$L,'NSE - Other Index Options'!$C:$C,$A26,'NSE - Other Index Options'!$B:$B,C$4,'NSE - Other Index Options'!$H:$H,"Monthly*"))</f>
        <v>6774.6</v>
      </c>
      <c r="D26" s="26">
        <f>IF(SUMIFS('NSE - NIFTY Index Options'!$L:$L,'NSE - NIFTY Index Options'!$C:$C,$A26,'NSE - NIFTY Index Options'!$B:$B,D$4,'NSE - NIFTY Index Options'!$H:$H,"Monthly*")+SUMIFS('NSE - Other Index Options'!$L:$L,'NSE - Other Index Options'!$C:$C,$A26,'NSE - Other Index Options'!$B:$B,D$4,'NSE - Other Index Options'!$H:$H,"Monthly*")=0,"",SUMIFS('NSE - NIFTY Index Options'!$L:$L,'NSE - NIFTY Index Options'!$C:$C,$A26,'NSE - NIFTY Index Options'!$B:$B,D$4,'NSE - NIFTY Index Options'!$H:$H,"Monthly*")+SUMIFS('NSE - Other Index Options'!$L:$L,'NSE - Other Index Options'!$C:$C,$A26,'NSE - Other Index Options'!$B:$B,D$4,'NSE - Other Index Options'!$H:$H,"Monthly*"))</f>
        <v>6449.7000000000007</v>
      </c>
      <c r="E26" s="26">
        <f>IF(SUMIFS('NSE - NIFTY Index Options'!$L:$L,'NSE - NIFTY Index Options'!$C:$C,$A26,'NSE - NIFTY Index Options'!$B:$B,E$4,'NSE - NIFTY Index Options'!$H:$H,"Monthly*")+SUMIFS('NSE - Other Index Options'!$L:$L,'NSE - Other Index Options'!$C:$C,$A26,'NSE - Other Index Options'!$B:$B,E$4,'NSE - Other Index Options'!$H:$H,"Monthly*")=0,"",SUMIFS('NSE - NIFTY Index Options'!$L:$L,'NSE - NIFTY Index Options'!$C:$C,$A26,'NSE - NIFTY Index Options'!$B:$B,E$4,'NSE - NIFTY Index Options'!$H:$H,"Monthly*")+SUMIFS('NSE - Other Index Options'!$L:$L,'NSE - Other Index Options'!$C:$C,$A26,'NSE - Other Index Options'!$B:$B,E$4,'NSE - Other Index Options'!$H:$H,"Monthly*"))</f>
        <v>6596.76</v>
      </c>
      <c r="F26" s="26">
        <f>IF(SUMIFS('NSE - NIFTY Index Options'!$L:$L,'NSE - NIFTY Index Options'!$C:$C,$A26,'NSE - NIFTY Index Options'!$B:$B,F$4,'NSE - NIFTY Index Options'!$H:$H,"Monthly*")+SUMIFS('NSE - Other Index Options'!$L:$L,'NSE - Other Index Options'!$C:$C,$A26,'NSE - Other Index Options'!$B:$B,F$4,'NSE - Other Index Options'!$H:$H,"Monthly*")=0,"",SUMIFS('NSE - NIFTY Index Options'!$L:$L,'NSE - NIFTY Index Options'!$C:$C,$A26,'NSE - NIFTY Index Options'!$B:$B,F$4,'NSE - NIFTY Index Options'!$H:$H,"Monthly*")+SUMIFS('NSE - Other Index Options'!$L:$L,'NSE - Other Index Options'!$C:$C,$A26,'NSE - Other Index Options'!$B:$B,F$4,'NSE - Other Index Options'!$H:$H,"Monthly*"))</f>
        <v>7411.09</v>
      </c>
      <c r="G26" s="26" t="str">
        <f>IF(SUMIFS('NSE - NIFTY Index Options'!$L:$L,'NSE - NIFTY Index Options'!$C:$C,$A26,'NSE - NIFTY Index Options'!$B:$B,G$4,'NSE - NIFTY Index Options'!$H:$H,"Monthly*")+SUMIFS('NSE - Other Index Options'!$L:$L,'NSE - Other Index Options'!$C:$C,$A26,'NSE - Other Index Options'!$B:$B,G$4,'NSE - Other Index Options'!$H:$H,"Monthly*")=0,"",SUMIFS('NSE - NIFTY Index Options'!$L:$L,'NSE - NIFTY Index Options'!$C:$C,$A26,'NSE - NIFTY Index Options'!$B:$B,G$4,'NSE - NIFTY Index Options'!$H:$H,"Monthly*")+SUMIFS('NSE - Other Index Options'!$L:$L,'NSE - Other Index Options'!$C:$C,$A26,'NSE - Other Index Options'!$B:$B,G$4,'NSE - Other Index Options'!$H:$H,"Monthly*"))</f>
        <v/>
      </c>
      <c r="H26" s="26">
        <f t="shared" si="0"/>
        <v>36015.260000000009</v>
      </c>
    </row>
    <row r="27" spans="1:8">
      <c r="A27" t="s">
        <v>32</v>
      </c>
      <c r="B27" s="26">
        <f>IF(SUMIFS('NSE - NIFTY Index Options'!$L:$L,'NSE - NIFTY Index Options'!$C:$C,$A27,'NSE - NIFTY Index Options'!$B:$B,B$4,'NSE - NIFTY Index Options'!$H:$H,"Monthly*")+SUMIFS('NSE - Other Index Options'!$L:$L,'NSE - Other Index Options'!$C:$C,$A27,'NSE - Other Index Options'!$B:$B,B$4,'NSE - Other Index Options'!$H:$H,"Monthly*")=0,"",SUMIFS('NSE - NIFTY Index Options'!$L:$L,'NSE - NIFTY Index Options'!$C:$C,$A27,'NSE - NIFTY Index Options'!$B:$B,B$4,'NSE - NIFTY Index Options'!$H:$H,"Monthly*")+SUMIFS('NSE - Other Index Options'!$L:$L,'NSE - Other Index Options'!$C:$C,$A27,'NSE - Other Index Options'!$B:$B,B$4,'NSE - Other Index Options'!$H:$H,"Monthly*"))</f>
        <v>9579.82</v>
      </c>
      <c r="C27" s="26">
        <f>IF(SUMIFS('NSE - NIFTY Index Options'!$L:$L,'NSE - NIFTY Index Options'!$C:$C,$A27,'NSE - NIFTY Index Options'!$B:$B,C$4,'NSE - NIFTY Index Options'!$H:$H,"Monthly*")+SUMIFS('NSE - Other Index Options'!$L:$L,'NSE - Other Index Options'!$C:$C,$A27,'NSE - Other Index Options'!$B:$B,C$4,'NSE - Other Index Options'!$H:$H,"Monthly*")=0,"",SUMIFS('NSE - NIFTY Index Options'!$L:$L,'NSE - NIFTY Index Options'!$C:$C,$A27,'NSE - NIFTY Index Options'!$B:$B,C$4,'NSE - NIFTY Index Options'!$H:$H,"Monthly*")+SUMIFS('NSE - Other Index Options'!$L:$L,'NSE - Other Index Options'!$C:$C,$A27,'NSE - Other Index Options'!$B:$B,C$4,'NSE - Other Index Options'!$H:$H,"Monthly*"))</f>
        <v>15056.250000000002</v>
      </c>
      <c r="D27" s="26">
        <f>IF(SUMIFS('NSE - NIFTY Index Options'!$L:$L,'NSE - NIFTY Index Options'!$C:$C,$A27,'NSE - NIFTY Index Options'!$B:$B,D$4,'NSE - NIFTY Index Options'!$H:$H,"Monthly*")+SUMIFS('NSE - Other Index Options'!$L:$L,'NSE - Other Index Options'!$C:$C,$A27,'NSE - Other Index Options'!$B:$B,D$4,'NSE - Other Index Options'!$H:$H,"Monthly*")=0,"",SUMIFS('NSE - NIFTY Index Options'!$L:$L,'NSE - NIFTY Index Options'!$C:$C,$A27,'NSE - NIFTY Index Options'!$B:$B,D$4,'NSE - NIFTY Index Options'!$H:$H,"Monthly*")+SUMIFS('NSE - Other Index Options'!$L:$L,'NSE - Other Index Options'!$C:$C,$A27,'NSE - Other Index Options'!$B:$B,D$4,'NSE - Other Index Options'!$H:$H,"Monthly*"))</f>
        <v>12623.77</v>
      </c>
      <c r="E27" s="26" t="str">
        <f>IF(SUMIFS('NSE - NIFTY Index Options'!$L:$L,'NSE - NIFTY Index Options'!$C:$C,$A27,'NSE - NIFTY Index Options'!$B:$B,E$4,'NSE - NIFTY Index Options'!$H:$H,"Monthly*")+SUMIFS('NSE - Other Index Options'!$L:$L,'NSE - Other Index Options'!$C:$C,$A27,'NSE - Other Index Options'!$B:$B,E$4,'NSE - Other Index Options'!$H:$H,"Monthly*")=0,"",SUMIFS('NSE - NIFTY Index Options'!$L:$L,'NSE - NIFTY Index Options'!$C:$C,$A27,'NSE - NIFTY Index Options'!$B:$B,E$4,'NSE - NIFTY Index Options'!$H:$H,"Monthly*")+SUMIFS('NSE - Other Index Options'!$L:$L,'NSE - Other Index Options'!$C:$C,$A27,'NSE - Other Index Options'!$B:$B,E$4,'NSE - Other Index Options'!$H:$H,"Monthly*"))</f>
        <v/>
      </c>
      <c r="F27" s="26">
        <f>IF(SUMIFS('NSE - NIFTY Index Options'!$L:$L,'NSE - NIFTY Index Options'!$C:$C,$A27,'NSE - NIFTY Index Options'!$B:$B,F$4,'NSE - NIFTY Index Options'!$H:$H,"Monthly*")+SUMIFS('NSE - Other Index Options'!$L:$L,'NSE - Other Index Options'!$C:$C,$A27,'NSE - Other Index Options'!$B:$B,F$4,'NSE - Other Index Options'!$H:$H,"Monthly*")=0,"",SUMIFS('NSE - NIFTY Index Options'!$L:$L,'NSE - NIFTY Index Options'!$C:$C,$A27,'NSE - NIFTY Index Options'!$B:$B,F$4,'NSE - NIFTY Index Options'!$H:$H,"Monthly*")+SUMIFS('NSE - Other Index Options'!$L:$L,'NSE - Other Index Options'!$C:$C,$A27,'NSE - Other Index Options'!$B:$B,F$4,'NSE - Other Index Options'!$H:$H,"Monthly*"))</f>
        <v>8651.27</v>
      </c>
      <c r="G27" s="26" t="str">
        <f>IF(SUMIFS('NSE - NIFTY Index Options'!$L:$L,'NSE - NIFTY Index Options'!$C:$C,$A27,'NSE - NIFTY Index Options'!$B:$B,G$4,'NSE - NIFTY Index Options'!$H:$H,"Monthly*")+SUMIFS('NSE - Other Index Options'!$L:$L,'NSE - Other Index Options'!$C:$C,$A27,'NSE - Other Index Options'!$B:$B,G$4,'NSE - Other Index Options'!$H:$H,"Monthly*")=0,"",SUMIFS('NSE - NIFTY Index Options'!$L:$L,'NSE - NIFTY Index Options'!$C:$C,$A27,'NSE - NIFTY Index Options'!$B:$B,G$4,'NSE - NIFTY Index Options'!$H:$H,"Monthly*")+SUMIFS('NSE - Other Index Options'!$L:$L,'NSE - Other Index Options'!$C:$C,$A27,'NSE - Other Index Options'!$B:$B,G$4,'NSE - Other Index Options'!$H:$H,"Monthly*"))</f>
        <v/>
      </c>
      <c r="H27" s="26">
        <f t="shared" si="0"/>
        <v>45911.11</v>
      </c>
    </row>
    <row r="28" spans="1:8">
      <c r="A28" t="s">
        <v>33</v>
      </c>
      <c r="B28" s="26" t="str">
        <f>IF(SUMIFS('NSE - NIFTY Index Options'!$L:$L,'NSE - NIFTY Index Options'!$C:$C,$A28,'NSE - NIFTY Index Options'!$B:$B,B$4,'NSE - NIFTY Index Options'!$H:$H,"Monthly*")+SUMIFS('NSE - Other Index Options'!$L:$L,'NSE - Other Index Options'!$C:$C,$A28,'NSE - Other Index Options'!$B:$B,B$4,'NSE - Other Index Options'!$H:$H,"Monthly*")=0,"",SUMIFS('NSE - NIFTY Index Options'!$L:$L,'NSE - NIFTY Index Options'!$C:$C,$A28,'NSE - NIFTY Index Options'!$B:$B,B$4,'NSE - NIFTY Index Options'!$H:$H,"Monthly*")+SUMIFS('NSE - Other Index Options'!$L:$L,'NSE - Other Index Options'!$C:$C,$A28,'NSE - Other Index Options'!$B:$B,B$4,'NSE - Other Index Options'!$H:$H,"Monthly*"))</f>
        <v/>
      </c>
      <c r="C28" s="26">
        <f>IF(SUMIFS('NSE - NIFTY Index Options'!$L:$L,'NSE - NIFTY Index Options'!$C:$C,$A28,'NSE - NIFTY Index Options'!$B:$B,C$4,'NSE - NIFTY Index Options'!$H:$H,"Monthly*")+SUMIFS('NSE - Other Index Options'!$L:$L,'NSE - Other Index Options'!$C:$C,$A28,'NSE - Other Index Options'!$B:$B,C$4,'NSE - Other Index Options'!$H:$H,"Monthly*")=0,"",SUMIFS('NSE - NIFTY Index Options'!$L:$L,'NSE - NIFTY Index Options'!$C:$C,$A28,'NSE - NIFTY Index Options'!$B:$B,C$4,'NSE - NIFTY Index Options'!$H:$H,"Monthly*")+SUMIFS('NSE - Other Index Options'!$L:$L,'NSE - Other Index Options'!$C:$C,$A28,'NSE - Other Index Options'!$B:$B,C$4,'NSE - Other Index Options'!$H:$H,"Monthly*"))</f>
        <v>23639.01</v>
      </c>
      <c r="D28" s="26">
        <f>IF(SUMIFS('NSE - NIFTY Index Options'!$L:$L,'NSE - NIFTY Index Options'!$C:$C,$A28,'NSE - NIFTY Index Options'!$B:$B,D$4,'NSE - NIFTY Index Options'!$H:$H,"Monthly*")+SUMIFS('NSE - Other Index Options'!$L:$L,'NSE - Other Index Options'!$C:$C,$A28,'NSE - Other Index Options'!$B:$B,D$4,'NSE - Other Index Options'!$H:$H,"Monthly*")=0,"",SUMIFS('NSE - NIFTY Index Options'!$L:$L,'NSE - NIFTY Index Options'!$C:$C,$A28,'NSE - NIFTY Index Options'!$B:$B,D$4,'NSE - NIFTY Index Options'!$H:$H,"Monthly*")+SUMIFS('NSE - Other Index Options'!$L:$L,'NSE - Other Index Options'!$C:$C,$A28,'NSE - Other Index Options'!$B:$B,D$4,'NSE - Other Index Options'!$H:$H,"Monthly*"))</f>
        <v>6400.17</v>
      </c>
      <c r="E28" s="26">
        <f>IF(SUMIFS('NSE - NIFTY Index Options'!$L:$L,'NSE - NIFTY Index Options'!$C:$C,$A28,'NSE - NIFTY Index Options'!$B:$B,E$4,'NSE - NIFTY Index Options'!$H:$H,"Monthly*")+SUMIFS('NSE - Other Index Options'!$L:$L,'NSE - Other Index Options'!$C:$C,$A28,'NSE - Other Index Options'!$B:$B,E$4,'NSE - Other Index Options'!$H:$H,"Monthly*")=0,"",SUMIFS('NSE - NIFTY Index Options'!$L:$L,'NSE - NIFTY Index Options'!$C:$C,$A28,'NSE - NIFTY Index Options'!$B:$B,E$4,'NSE - NIFTY Index Options'!$H:$H,"Monthly*")+SUMIFS('NSE - Other Index Options'!$L:$L,'NSE - Other Index Options'!$C:$C,$A28,'NSE - Other Index Options'!$B:$B,E$4,'NSE - Other Index Options'!$H:$H,"Monthly*"))</f>
        <v>8965.36</v>
      </c>
      <c r="F28" s="26">
        <f>IF(SUMIFS('NSE - NIFTY Index Options'!$L:$L,'NSE - NIFTY Index Options'!$C:$C,$A28,'NSE - NIFTY Index Options'!$B:$B,F$4,'NSE - NIFTY Index Options'!$H:$H,"Monthly*")+SUMIFS('NSE - Other Index Options'!$L:$L,'NSE - Other Index Options'!$C:$C,$A28,'NSE - Other Index Options'!$B:$B,F$4,'NSE - Other Index Options'!$H:$H,"Monthly*")=0,"",SUMIFS('NSE - NIFTY Index Options'!$L:$L,'NSE - NIFTY Index Options'!$C:$C,$A28,'NSE - NIFTY Index Options'!$B:$B,F$4,'NSE - NIFTY Index Options'!$H:$H,"Monthly*")+SUMIFS('NSE - Other Index Options'!$L:$L,'NSE - Other Index Options'!$C:$C,$A28,'NSE - Other Index Options'!$B:$B,F$4,'NSE - Other Index Options'!$H:$H,"Monthly*"))</f>
        <v>13501.21</v>
      </c>
      <c r="G28" s="26" t="str">
        <f>IF(SUMIFS('NSE - NIFTY Index Options'!$L:$L,'NSE - NIFTY Index Options'!$C:$C,$A28,'NSE - NIFTY Index Options'!$B:$B,G$4,'NSE - NIFTY Index Options'!$H:$H,"Monthly*")+SUMIFS('NSE - Other Index Options'!$L:$L,'NSE - Other Index Options'!$C:$C,$A28,'NSE - Other Index Options'!$B:$B,G$4,'NSE - Other Index Options'!$H:$H,"Monthly*")=0,"",SUMIFS('NSE - NIFTY Index Options'!$L:$L,'NSE - NIFTY Index Options'!$C:$C,$A28,'NSE - NIFTY Index Options'!$B:$B,G$4,'NSE - NIFTY Index Options'!$H:$H,"Monthly*")+SUMIFS('NSE - Other Index Options'!$L:$L,'NSE - Other Index Options'!$C:$C,$A28,'NSE - Other Index Options'!$B:$B,G$4,'NSE - Other Index Options'!$H:$H,"Monthly*"))</f>
        <v/>
      </c>
      <c r="H28" s="26">
        <f t="shared" si="0"/>
        <v>52505.75</v>
      </c>
    </row>
    <row r="29" spans="1:8">
      <c r="A29" t="s">
        <v>34</v>
      </c>
      <c r="B29" s="26" t="str">
        <f>IF(SUMIFS('NSE - NIFTY Index Options'!$L:$L,'NSE - NIFTY Index Options'!$C:$C,$A29,'NSE - NIFTY Index Options'!$B:$B,B$4,'NSE - NIFTY Index Options'!$H:$H,"Monthly*")+SUMIFS('NSE - Other Index Options'!$L:$L,'NSE - Other Index Options'!$C:$C,$A29,'NSE - Other Index Options'!$B:$B,B$4,'NSE - Other Index Options'!$H:$H,"Monthly*")=0,"",SUMIFS('NSE - NIFTY Index Options'!$L:$L,'NSE - NIFTY Index Options'!$C:$C,$A29,'NSE - NIFTY Index Options'!$B:$B,B$4,'NSE - NIFTY Index Options'!$H:$H,"Monthly*")+SUMIFS('NSE - Other Index Options'!$L:$L,'NSE - Other Index Options'!$C:$C,$A29,'NSE - Other Index Options'!$B:$B,B$4,'NSE - Other Index Options'!$H:$H,"Monthly*"))</f>
        <v/>
      </c>
      <c r="C29" s="26" t="str">
        <f>IF(SUMIFS('NSE - NIFTY Index Options'!$L:$L,'NSE - NIFTY Index Options'!$C:$C,$A29,'NSE - NIFTY Index Options'!$B:$B,C$4,'NSE - NIFTY Index Options'!$H:$H,"Monthly*")+SUMIFS('NSE - Other Index Options'!$L:$L,'NSE - Other Index Options'!$C:$C,$A29,'NSE - Other Index Options'!$B:$B,C$4,'NSE - Other Index Options'!$H:$H,"Monthly*")=0,"",SUMIFS('NSE - NIFTY Index Options'!$L:$L,'NSE - NIFTY Index Options'!$C:$C,$A29,'NSE - NIFTY Index Options'!$B:$B,C$4,'NSE - NIFTY Index Options'!$H:$H,"Monthly*")+SUMIFS('NSE - Other Index Options'!$L:$L,'NSE - Other Index Options'!$C:$C,$A29,'NSE - Other Index Options'!$B:$B,C$4,'NSE - Other Index Options'!$H:$H,"Monthly*"))</f>
        <v/>
      </c>
      <c r="D29" s="26" t="str">
        <f>IF(SUMIFS('NSE - NIFTY Index Options'!$L:$L,'NSE - NIFTY Index Options'!$C:$C,$A29,'NSE - NIFTY Index Options'!$B:$B,D$4,'NSE - NIFTY Index Options'!$H:$H,"Monthly*")+SUMIFS('NSE - Other Index Options'!$L:$L,'NSE - Other Index Options'!$C:$C,$A29,'NSE - Other Index Options'!$B:$B,D$4,'NSE - Other Index Options'!$H:$H,"Monthly*")=0,"",SUMIFS('NSE - NIFTY Index Options'!$L:$L,'NSE - NIFTY Index Options'!$C:$C,$A29,'NSE - NIFTY Index Options'!$B:$B,D$4,'NSE - NIFTY Index Options'!$H:$H,"Monthly*")+SUMIFS('NSE - Other Index Options'!$L:$L,'NSE - Other Index Options'!$C:$C,$A29,'NSE - Other Index Options'!$B:$B,D$4,'NSE - Other Index Options'!$H:$H,"Monthly*"))</f>
        <v/>
      </c>
      <c r="E29" s="26">
        <f>IF(SUMIFS('NSE - NIFTY Index Options'!$L:$L,'NSE - NIFTY Index Options'!$C:$C,$A29,'NSE - NIFTY Index Options'!$B:$B,E$4,'NSE - NIFTY Index Options'!$H:$H,"Monthly*")+SUMIFS('NSE - Other Index Options'!$L:$L,'NSE - Other Index Options'!$C:$C,$A29,'NSE - Other Index Options'!$B:$B,E$4,'NSE - Other Index Options'!$H:$H,"Monthly*")=0,"",SUMIFS('NSE - NIFTY Index Options'!$L:$L,'NSE - NIFTY Index Options'!$C:$C,$A29,'NSE - NIFTY Index Options'!$B:$B,E$4,'NSE - NIFTY Index Options'!$H:$H,"Monthly*")+SUMIFS('NSE - Other Index Options'!$L:$L,'NSE - Other Index Options'!$C:$C,$A29,'NSE - Other Index Options'!$B:$B,E$4,'NSE - Other Index Options'!$H:$H,"Monthly*"))</f>
        <v>6096.5000000000009</v>
      </c>
      <c r="F29" s="26">
        <f>IF(SUMIFS('NSE - NIFTY Index Options'!$L:$L,'NSE - NIFTY Index Options'!$C:$C,$A29,'NSE - NIFTY Index Options'!$B:$B,F$4,'NSE - NIFTY Index Options'!$H:$H,"Monthly*")+SUMIFS('NSE - Other Index Options'!$L:$L,'NSE - Other Index Options'!$C:$C,$A29,'NSE - Other Index Options'!$B:$B,F$4,'NSE - Other Index Options'!$H:$H,"Monthly*")=0,"",SUMIFS('NSE - NIFTY Index Options'!$L:$L,'NSE - NIFTY Index Options'!$C:$C,$A29,'NSE - NIFTY Index Options'!$B:$B,F$4,'NSE - NIFTY Index Options'!$H:$H,"Monthly*")+SUMIFS('NSE - Other Index Options'!$L:$L,'NSE - Other Index Options'!$C:$C,$A29,'NSE - Other Index Options'!$B:$B,F$4,'NSE - Other Index Options'!$H:$H,"Monthly*"))</f>
        <v>6968.68</v>
      </c>
      <c r="G29" s="26" t="str">
        <f>IF(SUMIFS('NSE - NIFTY Index Options'!$L:$L,'NSE - NIFTY Index Options'!$C:$C,$A29,'NSE - NIFTY Index Options'!$B:$B,G$4,'NSE - NIFTY Index Options'!$H:$H,"Monthly*")+SUMIFS('NSE - Other Index Options'!$L:$L,'NSE - Other Index Options'!$C:$C,$A29,'NSE - Other Index Options'!$B:$B,G$4,'NSE - Other Index Options'!$H:$H,"Monthly*")=0,"",SUMIFS('NSE - NIFTY Index Options'!$L:$L,'NSE - NIFTY Index Options'!$C:$C,$A29,'NSE - NIFTY Index Options'!$B:$B,G$4,'NSE - NIFTY Index Options'!$H:$H,"Monthly*")+SUMIFS('NSE - Other Index Options'!$L:$L,'NSE - Other Index Options'!$C:$C,$A29,'NSE - Other Index Options'!$B:$B,G$4,'NSE - Other Index Options'!$H:$H,"Monthly*"))</f>
        <v/>
      </c>
      <c r="H29" s="26">
        <f t="shared" si="0"/>
        <v>13065.18</v>
      </c>
    </row>
    <row r="30" spans="1:8">
      <c r="A30" t="s">
        <v>35</v>
      </c>
      <c r="B30" s="26">
        <f>IF(SUMIFS('NSE - NIFTY Index Options'!$L:$L,'NSE - NIFTY Index Options'!$C:$C,$A30,'NSE - NIFTY Index Options'!$B:$B,B$4,'NSE - NIFTY Index Options'!$H:$H,"Monthly*")+SUMIFS('NSE - Other Index Options'!$L:$L,'NSE - Other Index Options'!$C:$C,$A30,'NSE - Other Index Options'!$B:$B,B$4,'NSE - Other Index Options'!$H:$H,"Monthly*")=0,"",SUMIFS('NSE - NIFTY Index Options'!$L:$L,'NSE - NIFTY Index Options'!$C:$C,$A30,'NSE - NIFTY Index Options'!$B:$B,B$4,'NSE - NIFTY Index Options'!$H:$H,"Monthly*")+SUMIFS('NSE - Other Index Options'!$L:$L,'NSE - Other Index Options'!$C:$C,$A30,'NSE - Other Index Options'!$B:$B,B$4,'NSE - Other Index Options'!$H:$H,"Monthly*"))</f>
        <v>9409.56</v>
      </c>
      <c r="C30" s="26">
        <f>IF(SUMIFS('NSE - NIFTY Index Options'!$L:$L,'NSE - NIFTY Index Options'!$C:$C,$A30,'NSE - NIFTY Index Options'!$B:$B,C$4,'NSE - NIFTY Index Options'!$H:$H,"Monthly*")+SUMIFS('NSE - Other Index Options'!$L:$L,'NSE - Other Index Options'!$C:$C,$A30,'NSE - Other Index Options'!$B:$B,C$4,'NSE - Other Index Options'!$H:$H,"Monthly*")=0,"",SUMIFS('NSE - NIFTY Index Options'!$L:$L,'NSE - NIFTY Index Options'!$C:$C,$A30,'NSE - NIFTY Index Options'!$B:$B,C$4,'NSE - NIFTY Index Options'!$H:$H,"Monthly*")+SUMIFS('NSE - Other Index Options'!$L:$L,'NSE - Other Index Options'!$C:$C,$A30,'NSE - Other Index Options'!$B:$B,C$4,'NSE - Other Index Options'!$H:$H,"Monthly*"))</f>
        <v>13074.329999999998</v>
      </c>
      <c r="D30" s="26">
        <f>IF(SUMIFS('NSE - NIFTY Index Options'!$L:$L,'NSE - NIFTY Index Options'!$C:$C,$A30,'NSE - NIFTY Index Options'!$B:$B,D$4,'NSE - NIFTY Index Options'!$H:$H,"Monthly*")+SUMIFS('NSE - Other Index Options'!$L:$L,'NSE - Other Index Options'!$C:$C,$A30,'NSE - Other Index Options'!$B:$B,D$4,'NSE - Other Index Options'!$H:$H,"Monthly*")=0,"",SUMIFS('NSE - NIFTY Index Options'!$L:$L,'NSE - NIFTY Index Options'!$C:$C,$A30,'NSE - NIFTY Index Options'!$B:$B,D$4,'NSE - NIFTY Index Options'!$H:$H,"Monthly*")+SUMIFS('NSE - Other Index Options'!$L:$L,'NSE - Other Index Options'!$C:$C,$A30,'NSE - Other Index Options'!$B:$B,D$4,'NSE - Other Index Options'!$H:$H,"Monthly*"))</f>
        <v>5901.39</v>
      </c>
      <c r="E30" s="26">
        <f>IF(SUMIFS('NSE - NIFTY Index Options'!$L:$L,'NSE - NIFTY Index Options'!$C:$C,$A30,'NSE - NIFTY Index Options'!$B:$B,E$4,'NSE - NIFTY Index Options'!$H:$H,"Monthly*")+SUMIFS('NSE - Other Index Options'!$L:$L,'NSE - Other Index Options'!$C:$C,$A30,'NSE - Other Index Options'!$B:$B,E$4,'NSE - Other Index Options'!$H:$H,"Monthly*")=0,"",SUMIFS('NSE - NIFTY Index Options'!$L:$L,'NSE - NIFTY Index Options'!$C:$C,$A30,'NSE - NIFTY Index Options'!$B:$B,E$4,'NSE - NIFTY Index Options'!$H:$H,"Monthly*")+SUMIFS('NSE - Other Index Options'!$L:$L,'NSE - Other Index Options'!$C:$C,$A30,'NSE - Other Index Options'!$B:$B,E$4,'NSE - Other Index Options'!$H:$H,"Monthly*"))</f>
        <v>4892.24</v>
      </c>
      <c r="F30" s="26">
        <f>IF(SUMIFS('NSE - NIFTY Index Options'!$L:$L,'NSE - NIFTY Index Options'!$C:$C,$A30,'NSE - NIFTY Index Options'!$B:$B,F$4,'NSE - NIFTY Index Options'!$H:$H,"Monthly*")+SUMIFS('NSE - Other Index Options'!$L:$L,'NSE - Other Index Options'!$C:$C,$A30,'NSE - Other Index Options'!$B:$B,F$4,'NSE - Other Index Options'!$H:$H,"Monthly*")=0,"",SUMIFS('NSE - NIFTY Index Options'!$L:$L,'NSE - NIFTY Index Options'!$C:$C,$A30,'NSE - NIFTY Index Options'!$B:$B,F$4,'NSE - NIFTY Index Options'!$H:$H,"Monthly*")+SUMIFS('NSE - Other Index Options'!$L:$L,'NSE - Other Index Options'!$C:$C,$A30,'NSE - Other Index Options'!$B:$B,F$4,'NSE - Other Index Options'!$H:$H,"Monthly*"))</f>
        <v>6760.81</v>
      </c>
      <c r="G30" s="26">
        <f>IF(SUMIFS('NSE - NIFTY Index Options'!$L:$L,'NSE - NIFTY Index Options'!$C:$C,$A30,'NSE - NIFTY Index Options'!$B:$B,G$4,'NSE - NIFTY Index Options'!$H:$H,"Monthly*")+SUMIFS('NSE - Other Index Options'!$L:$L,'NSE - Other Index Options'!$C:$C,$A30,'NSE - Other Index Options'!$B:$B,G$4,'NSE - Other Index Options'!$H:$H,"Monthly*")=0,"",SUMIFS('NSE - NIFTY Index Options'!$L:$L,'NSE - NIFTY Index Options'!$C:$C,$A30,'NSE - NIFTY Index Options'!$B:$B,G$4,'NSE - NIFTY Index Options'!$H:$H,"Monthly*")+SUMIFS('NSE - Other Index Options'!$L:$L,'NSE - Other Index Options'!$C:$C,$A30,'NSE - Other Index Options'!$B:$B,G$4,'NSE - Other Index Options'!$H:$H,"Monthly*"))</f>
        <v>12936</v>
      </c>
      <c r="H30" s="26">
        <f t="shared" si="0"/>
        <v>52974.329999999994</v>
      </c>
    </row>
    <row r="31" spans="1:8">
      <c r="A31" t="s">
        <v>36</v>
      </c>
      <c r="B31" s="26">
        <f>IF(SUMIFS('NSE - NIFTY Index Options'!$L:$L,'NSE - NIFTY Index Options'!$C:$C,$A31,'NSE - NIFTY Index Options'!$B:$B,B$4,'NSE - NIFTY Index Options'!$H:$H,"Monthly*")+SUMIFS('NSE - Other Index Options'!$L:$L,'NSE - Other Index Options'!$C:$C,$A31,'NSE - Other Index Options'!$B:$B,B$4,'NSE - Other Index Options'!$H:$H,"Monthly*")=0,"",SUMIFS('NSE - NIFTY Index Options'!$L:$L,'NSE - NIFTY Index Options'!$C:$C,$A31,'NSE - NIFTY Index Options'!$B:$B,B$4,'NSE - NIFTY Index Options'!$H:$H,"Monthly*")+SUMIFS('NSE - Other Index Options'!$L:$L,'NSE - Other Index Options'!$C:$C,$A31,'NSE - Other Index Options'!$B:$B,B$4,'NSE - Other Index Options'!$H:$H,"Monthly*"))</f>
        <v>5177.5599999999995</v>
      </c>
      <c r="C31" s="26">
        <f>IF(SUMIFS('NSE - NIFTY Index Options'!$L:$L,'NSE - NIFTY Index Options'!$C:$C,$A31,'NSE - NIFTY Index Options'!$B:$B,C$4,'NSE - NIFTY Index Options'!$H:$H,"Monthly*")+SUMIFS('NSE - Other Index Options'!$L:$L,'NSE - Other Index Options'!$C:$C,$A31,'NSE - Other Index Options'!$B:$B,C$4,'NSE - Other Index Options'!$H:$H,"Monthly*")=0,"",SUMIFS('NSE - NIFTY Index Options'!$L:$L,'NSE - NIFTY Index Options'!$C:$C,$A31,'NSE - NIFTY Index Options'!$B:$B,C$4,'NSE - NIFTY Index Options'!$H:$H,"Monthly*")+SUMIFS('NSE - Other Index Options'!$L:$L,'NSE - Other Index Options'!$C:$C,$A31,'NSE - Other Index Options'!$B:$B,C$4,'NSE - Other Index Options'!$H:$H,"Monthly*"))</f>
        <v>4612.369999999999</v>
      </c>
      <c r="D31" s="26">
        <f>IF(SUMIFS('NSE - NIFTY Index Options'!$L:$L,'NSE - NIFTY Index Options'!$C:$C,$A31,'NSE - NIFTY Index Options'!$B:$B,D$4,'NSE - NIFTY Index Options'!$H:$H,"Monthly*")+SUMIFS('NSE - Other Index Options'!$L:$L,'NSE - Other Index Options'!$C:$C,$A31,'NSE - Other Index Options'!$B:$B,D$4,'NSE - Other Index Options'!$H:$H,"Monthly*")=0,"",SUMIFS('NSE - NIFTY Index Options'!$L:$L,'NSE - NIFTY Index Options'!$C:$C,$A31,'NSE - NIFTY Index Options'!$B:$B,D$4,'NSE - NIFTY Index Options'!$H:$H,"Monthly*")+SUMIFS('NSE - Other Index Options'!$L:$L,'NSE - Other Index Options'!$C:$C,$A31,'NSE - Other Index Options'!$B:$B,D$4,'NSE - Other Index Options'!$H:$H,"Monthly*"))</f>
        <v>4687.6100000000006</v>
      </c>
      <c r="E31" s="26">
        <f>IF(SUMIFS('NSE - NIFTY Index Options'!$L:$L,'NSE - NIFTY Index Options'!$C:$C,$A31,'NSE - NIFTY Index Options'!$B:$B,E$4,'NSE - NIFTY Index Options'!$H:$H,"Monthly*")+SUMIFS('NSE - Other Index Options'!$L:$L,'NSE - Other Index Options'!$C:$C,$A31,'NSE - Other Index Options'!$B:$B,E$4,'NSE - Other Index Options'!$H:$H,"Monthly*")=0,"",SUMIFS('NSE - NIFTY Index Options'!$L:$L,'NSE - NIFTY Index Options'!$C:$C,$A31,'NSE - NIFTY Index Options'!$B:$B,E$4,'NSE - NIFTY Index Options'!$H:$H,"Monthly*")+SUMIFS('NSE - Other Index Options'!$L:$L,'NSE - Other Index Options'!$C:$C,$A31,'NSE - Other Index Options'!$B:$B,E$4,'NSE - Other Index Options'!$H:$H,"Monthly*"))</f>
        <v>5074.2</v>
      </c>
      <c r="F31" s="26">
        <f>IF(SUMIFS('NSE - NIFTY Index Options'!$L:$L,'NSE - NIFTY Index Options'!$C:$C,$A31,'NSE - NIFTY Index Options'!$B:$B,F$4,'NSE - NIFTY Index Options'!$H:$H,"Monthly*")+SUMIFS('NSE - Other Index Options'!$L:$L,'NSE - Other Index Options'!$C:$C,$A31,'NSE - Other Index Options'!$B:$B,F$4,'NSE - Other Index Options'!$H:$H,"Monthly*")=0,"",SUMIFS('NSE - NIFTY Index Options'!$L:$L,'NSE - NIFTY Index Options'!$C:$C,$A31,'NSE - NIFTY Index Options'!$B:$B,F$4,'NSE - NIFTY Index Options'!$H:$H,"Monthly*")+SUMIFS('NSE - Other Index Options'!$L:$L,'NSE - Other Index Options'!$C:$C,$A31,'NSE - Other Index Options'!$B:$B,F$4,'NSE - Other Index Options'!$H:$H,"Monthly*"))</f>
        <v>8104.6500000000005</v>
      </c>
      <c r="G31" s="26" t="str">
        <f>IF(SUMIFS('NSE - NIFTY Index Options'!$L:$L,'NSE - NIFTY Index Options'!$C:$C,$A31,'NSE - NIFTY Index Options'!$B:$B,G$4,'NSE - NIFTY Index Options'!$H:$H,"Monthly*")+SUMIFS('NSE - Other Index Options'!$L:$L,'NSE - Other Index Options'!$C:$C,$A31,'NSE - Other Index Options'!$B:$B,G$4,'NSE - Other Index Options'!$H:$H,"Monthly*")=0,"",SUMIFS('NSE - NIFTY Index Options'!$L:$L,'NSE - NIFTY Index Options'!$C:$C,$A31,'NSE - NIFTY Index Options'!$B:$B,G$4,'NSE - NIFTY Index Options'!$H:$H,"Monthly*")+SUMIFS('NSE - Other Index Options'!$L:$L,'NSE - Other Index Options'!$C:$C,$A31,'NSE - Other Index Options'!$B:$B,G$4,'NSE - Other Index Options'!$H:$H,"Monthly*"))</f>
        <v/>
      </c>
      <c r="H31" s="26">
        <f t="shared" si="0"/>
        <v>27656.39</v>
      </c>
    </row>
    <row r="32" spans="1:8">
      <c r="A32" t="s">
        <v>37</v>
      </c>
      <c r="B32" s="26">
        <f>IF(SUMIFS('NSE - NIFTY Index Options'!$L:$L,'NSE - NIFTY Index Options'!$C:$C,$A32,'NSE - NIFTY Index Options'!$B:$B,B$4,'NSE - NIFTY Index Options'!$H:$H,"Monthly*")+SUMIFS('NSE - Other Index Options'!$L:$L,'NSE - Other Index Options'!$C:$C,$A32,'NSE - Other Index Options'!$B:$B,B$4,'NSE - Other Index Options'!$H:$H,"Monthly*")=0,"",SUMIFS('NSE - NIFTY Index Options'!$L:$L,'NSE - NIFTY Index Options'!$C:$C,$A32,'NSE - NIFTY Index Options'!$B:$B,B$4,'NSE - NIFTY Index Options'!$H:$H,"Monthly*")+SUMIFS('NSE - Other Index Options'!$L:$L,'NSE - Other Index Options'!$C:$C,$A32,'NSE - Other Index Options'!$B:$B,B$4,'NSE - Other Index Options'!$H:$H,"Monthly*"))</f>
        <v>9346.5700000000015</v>
      </c>
      <c r="C32" s="26">
        <f>IF(SUMIFS('NSE - NIFTY Index Options'!$L:$L,'NSE - NIFTY Index Options'!$C:$C,$A32,'NSE - NIFTY Index Options'!$B:$B,C$4,'NSE - NIFTY Index Options'!$H:$H,"Monthly*")+SUMIFS('NSE - Other Index Options'!$L:$L,'NSE - Other Index Options'!$C:$C,$A32,'NSE - Other Index Options'!$B:$B,C$4,'NSE - Other Index Options'!$H:$H,"Monthly*")=0,"",SUMIFS('NSE - NIFTY Index Options'!$L:$L,'NSE - NIFTY Index Options'!$C:$C,$A32,'NSE - NIFTY Index Options'!$B:$B,C$4,'NSE - NIFTY Index Options'!$H:$H,"Monthly*")+SUMIFS('NSE - Other Index Options'!$L:$L,'NSE - Other Index Options'!$C:$C,$A32,'NSE - Other Index Options'!$B:$B,C$4,'NSE - Other Index Options'!$H:$H,"Monthly*"))</f>
        <v>12285.25</v>
      </c>
      <c r="D32" s="26">
        <f>IF(SUMIFS('NSE - NIFTY Index Options'!$L:$L,'NSE - NIFTY Index Options'!$C:$C,$A32,'NSE - NIFTY Index Options'!$B:$B,D$4,'NSE - NIFTY Index Options'!$H:$H,"Monthly*")+SUMIFS('NSE - Other Index Options'!$L:$L,'NSE - Other Index Options'!$C:$C,$A32,'NSE - Other Index Options'!$B:$B,D$4,'NSE - Other Index Options'!$H:$H,"Monthly*")=0,"",SUMIFS('NSE - NIFTY Index Options'!$L:$L,'NSE - NIFTY Index Options'!$C:$C,$A32,'NSE - NIFTY Index Options'!$B:$B,D$4,'NSE - NIFTY Index Options'!$H:$H,"Monthly*")+SUMIFS('NSE - Other Index Options'!$L:$L,'NSE - Other Index Options'!$C:$C,$A32,'NSE - Other Index Options'!$B:$B,D$4,'NSE - Other Index Options'!$H:$H,"Monthly*"))</f>
        <v>5653.48</v>
      </c>
      <c r="E32" s="26">
        <f>IF(SUMIFS('NSE - NIFTY Index Options'!$L:$L,'NSE - NIFTY Index Options'!$C:$C,$A32,'NSE - NIFTY Index Options'!$B:$B,E$4,'NSE - NIFTY Index Options'!$H:$H,"Monthly*")+SUMIFS('NSE - Other Index Options'!$L:$L,'NSE - Other Index Options'!$C:$C,$A32,'NSE - Other Index Options'!$B:$B,E$4,'NSE - Other Index Options'!$H:$H,"Monthly*")=0,"",SUMIFS('NSE - NIFTY Index Options'!$L:$L,'NSE - NIFTY Index Options'!$C:$C,$A32,'NSE - NIFTY Index Options'!$B:$B,E$4,'NSE - NIFTY Index Options'!$H:$H,"Monthly*")+SUMIFS('NSE - Other Index Options'!$L:$L,'NSE - Other Index Options'!$C:$C,$A32,'NSE - Other Index Options'!$B:$B,E$4,'NSE - Other Index Options'!$H:$H,"Monthly*"))</f>
        <v>7679.4500000000007</v>
      </c>
      <c r="F32" s="26">
        <f>IF(SUMIFS('NSE - NIFTY Index Options'!$L:$L,'NSE - NIFTY Index Options'!$C:$C,$A32,'NSE - NIFTY Index Options'!$B:$B,F$4,'NSE - NIFTY Index Options'!$H:$H,"Monthly*")+SUMIFS('NSE - Other Index Options'!$L:$L,'NSE - Other Index Options'!$C:$C,$A32,'NSE - Other Index Options'!$B:$B,F$4,'NSE - Other Index Options'!$H:$H,"Monthly*")=0,"",SUMIFS('NSE - NIFTY Index Options'!$L:$L,'NSE - NIFTY Index Options'!$C:$C,$A32,'NSE - NIFTY Index Options'!$B:$B,F$4,'NSE - NIFTY Index Options'!$H:$H,"Monthly*")+SUMIFS('NSE - Other Index Options'!$L:$L,'NSE - Other Index Options'!$C:$C,$A32,'NSE - Other Index Options'!$B:$B,F$4,'NSE - Other Index Options'!$H:$H,"Monthly*"))</f>
        <v>11286.169999999998</v>
      </c>
      <c r="G32" s="26" t="str">
        <f>IF(SUMIFS('NSE - NIFTY Index Options'!$L:$L,'NSE - NIFTY Index Options'!$C:$C,$A32,'NSE - NIFTY Index Options'!$B:$B,G$4,'NSE - NIFTY Index Options'!$H:$H,"Monthly*")+SUMIFS('NSE - Other Index Options'!$L:$L,'NSE - Other Index Options'!$C:$C,$A32,'NSE - Other Index Options'!$B:$B,G$4,'NSE - Other Index Options'!$H:$H,"Monthly*")=0,"",SUMIFS('NSE - NIFTY Index Options'!$L:$L,'NSE - NIFTY Index Options'!$C:$C,$A32,'NSE - NIFTY Index Options'!$B:$B,G$4,'NSE - NIFTY Index Options'!$H:$H,"Monthly*")+SUMIFS('NSE - Other Index Options'!$L:$L,'NSE - Other Index Options'!$C:$C,$A32,'NSE - Other Index Options'!$B:$B,G$4,'NSE - Other Index Options'!$H:$H,"Monthly*"))</f>
        <v/>
      </c>
      <c r="H32" s="26">
        <f t="shared" si="0"/>
        <v>46250.92</v>
      </c>
    </row>
    <row r="33" spans="1:8">
      <c r="A33" t="s">
        <v>38</v>
      </c>
      <c r="B33" s="26">
        <f>IF(SUMIFS('NSE - NIFTY Index Options'!$L:$L,'NSE - NIFTY Index Options'!$C:$C,$A33,'NSE - NIFTY Index Options'!$B:$B,B$4,'NSE - NIFTY Index Options'!$H:$H,"Monthly*")+SUMIFS('NSE - Other Index Options'!$L:$L,'NSE - Other Index Options'!$C:$C,$A33,'NSE - Other Index Options'!$B:$B,B$4,'NSE - Other Index Options'!$H:$H,"Monthly*")=0,"",SUMIFS('NSE - NIFTY Index Options'!$L:$L,'NSE - NIFTY Index Options'!$C:$C,$A33,'NSE - NIFTY Index Options'!$B:$B,B$4,'NSE - NIFTY Index Options'!$H:$H,"Monthly*")+SUMIFS('NSE - Other Index Options'!$L:$L,'NSE - Other Index Options'!$C:$C,$A33,'NSE - Other Index Options'!$B:$B,B$4,'NSE - Other Index Options'!$H:$H,"Monthly*"))</f>
        <v>12743.55</v>
      </c>
      <c r="C33" s="26">
        <f>IF(SUMIFS('NSE - NIFTY Index Options'!$L:$L,'NSE - NIFTY Index Options'!$C:$C,$A33,'NSE - NIFTY Index Options'!$B:$B,C$4,'NSE - NIFTY Index Options'!$H:$H,"Monthly*")+SUMIFS('NSE - Other Index Options'!$L:$L,'NSE - Other Index Options'!$C:$C,$A33,'NSE - Other Index Options'!$B:$B,C$4,'NSE - Other Index Options'!$H:$H,"Monthly*")=0,"",SUMIFS('NSE - NIFTY Index Options'!$L:$L,'NSE - NIFTY Index Options'!$C:$C,$A33,'NSE - NIFTY Index Options'!$B:$B,C$4,'NSE - NIFTY Index Options'!$H:$H,"Monthly*")+SUMIFS('NSE - Other Index Options'!$L:$L,'NSE - Other Index Options'!$C:$C,$A33,'NSE - Other Index Options'!$B:$B,C$4,'NSE - Other Index Options'!$H:$H,"Monthly*"))</f>
        <v>21695.51</v>
      </c>
      <c r="D33" s="26">
        <f>IF(SUMIFS('NSE - NIFTY Index Options'!$L:$L,'NSE - NIFTY Index Options'!$C:$C,$A33,'NSE - NIFTY Index Options'!$B:$B,D$4,'NSE - NIFTY Index Options'!$H:$H,"Monthly*")+SUMIFS('NSE - Other Index Options'!$L:$L,'NSE - Other Index Options'!$C:$C,$A33,'NSE - Other Index Options'!$B:$B,D$4,'NSE - Other Index Options'!$H:$H,"Monthly*")=0,"",SUMIFS('NSE - NIFTY Index Options'!$L:$L,'NSE - NIFTY Index Options'!$C:$C,$A33,'NSE - NIFTY Index Options'!$B:$B,D$4,'NSE - NIFTY Index Options'!$H:$H,"Monthly*")+SUMIFS('NSE - Other Index Options'!$L:$L,'NSE - Other Index Options'!$C:$C,$A33,'NSE - Other Index Options'!$B:$B,D$4,'NSE - Other Index Options'!$H:$H,"Monthly*"))</f>
        <v>5940.4699999999993</v>
      </c>
      <c r="E33" s="26">
        <f>IF(SUMIFS('NSE - NIFTY Index Options'!$L:$L,'NSE - NIFTY Index Options'!$C:$C,$A33,'NSE - NIFTY Index Options'!$B:$B,E$4,'NSE - NIFTY Index Options'!$H:$H,"Monthly*")+SUMIFS('NSE - Other Index Options'!$L:$L,'NSE - Other Index Options'!$C:$C,$A33,'NSE - Other Index Options'!$B:$B,E$4,'NSE - Other Index Options'!$H:$H,"Monthly*")=0,"",SUMIFS('NSE - NIFTY Index Options'!$L:$L,'NSE - NIFTY Index Options'!$C:$C,$A33,'NSE - NIFTY Index Options'!$B:$B,E$4,'NSE - NIFTY Index Options'!$H:$H,"Monthly*")+SUMIFS('NSE - Other Index Options'!$L:$L,'NSE - Other Index Options'!$C:$C,$A33,'NSE - Other Index Options'!$B:$B,E$4,'NSE - Other Index Options'!$H:$H,"Monthly*"))</f>
        <v>4764.93</v>
      </c>
      <c r="F33" s="26">
        <f>IF(SUMIFS('NSE - NIFTY Index Options'!$L:$L,'NSE - NIFTY Index Options'!$C:$C,$A33,'NSE - NIFTY Index Options'!$B:$B,F$4,'NSE - NIFTY Index Options'!$H:$H,"Monthly*")+SUMIFS('NSE - Other Index Options'!$L:$L,'NSE - Other Index Options'!$C:$C,$A33,'NSE - Other Index Options'!$B:$B,F$4,'NSE - Other Index Options'!$H:$H,"Monthly*")=0,"",SUMIFS('NSE - NIFTY Index Options'!$L:$L,'NSE - NIFTY Index Options'!$C:$C,$A33,'NSE - NIFTY Index Options'!$B:$B,F$4,'NSE - NIFTY Index Options'!$H:$H,"Monthly*")+SUMIFS('NSE - Other Index Options'!$L:$L,'NSE - Other Index Options'!$C:$C,$A33,'NSE - Other Index Options'!$B:$B,F$4,'NSE - Other Index Options'!$H:$H,"Monthly*"))</f>
        <v>6737.65</v>
      </c>
      <c r="G33" s="26" t="str">
        <f>IF(SUMIFS('NSE - NIFTY Index Options'!$L:$L,'NSE - NIFTY Index Options'!$C:$C,$A33,'NSE - NIFTY Index Options'!$B:$B,G$4,'NSE - NIFTY Index Options'!$H:$H,"Monthly*")+SUMIFS('NSE - Other Index Options'!$L:$L,'NSE - Other Index Options'!$C:$C,$A33,'NSE - Other Index Options'!$B:$B,G$4,'NSE - Other Index Options'!$H:$H,"Monthly*")=0,"",SUMIFS('NSE - NIFTY Index Options'!$L:$L,'NSE - NIFTY Index Options'!$C:$C,$A33,'NSE - NIFTY Index Options'!$B:$B,G$4,'NSE - NIFTY Index Options'!$H:$H,"Monthly*")+SUMIFS('NSE - Other Index Options'!$L:$L,'NSE - Other Index Options'!$C:$C,$A33,'NSE - Other Index Options'!$B:$B,G$4,'NSE - Other Index Options'!$H:$H,"Monthly*"))</f>
        <v/>
      </c>
      <c r="H33" s="26">
        <f t="shared" si="0"/>
        <v>51882.11</v>
      </c>
    </row>
    <row r="34" spans="1:8">
      <c r="A34" t="s">
        <v>39</v>
      </c>
      <c r="B34" s="26">
        <f>IF(SUMIFS('NSE - NIFTY Index Options'!$L:$L,'NSE - NIFTY Index Options'!$C:$C,$A34,'NSE - NIFTY Index Options'!$B:$B,B$4,'NSE - NIFTY Index Options'!$H:$H,"Monthly*")+SUMIFS('NSE - Other Index Options'!$L:$L,'NSE - Other Index Options'!$C:$C,$A34,'NSE - Other Index Options'!$B:$B,B$4,'NSE - Other Index Options'!$H:$H,"Monthly*")=0,"",SUMIFS('NSE - NIFTY Index Options'!$L:$L,'NSE - NIFTY Index Options'!$C:$C,$A34,'NSE - NIFTY Index Options'!$B:$B,B$4,'NSE - NIFTY Index Options'!$H:$H,"Monthly*")+SUMIFS('NSE - Other Index Options'!$L:$L,'NSE - Other Index Options'!$C:$C,$A34,'NSE - Other Index Options'!$B:$B,B$4,'NSE - Other Index Options'!$H:$H,"Monthly*"))</f>
        <v>11982.29</v>
      </c>
      <c r="C34" s="26" t="str">
        <f>IF(SUMIFS('NSE - NIFTY Index Options'!$L:$L,'NSE - NIFTY Index Options'!$C:$C,$A34,'NSE - NIFTY Index Options'!$B:$B,C$4,'NSE - NIFTY Index Options'!$H:$H,"Monthly*")+SUMIFS('NSE - Other Index Options'!$L:$L,'NSE - Other Index Options'!$C:$C,$A34,'NSE - Other Index Options'!$B:$B,C$4,'NSE - Other Index Options'!$H:$H,"Monthly*")=0,"",SUMIFS('NSE - NIFTY Index Options'!$L:$L,'NSE - NIFTY Index Options'!$C:$C,$A34,'NSE - NIFTY Index Options'!$B:$B,C$4,'NSE - NIFTY Index Options'!$H:$H,"Monthly*")+SUMIFS('NSE - Other Index Options'!$L:$L,'NSE - Other Index Options'!$C:$C,$A34,'NSE - Other Index Options'!$B:$B,C$4,'NSE - Other Index Options'!$H:$H,"Monthly*"))</f>
        <v/>
      </c>
      <c r="D34" s="26">
        <f>IF(SUMIFS('NSE - NIFTY Index Options'!$L:$L,'NSE - NIFTY Index Options'!$C:$C,$A34,'NSE - NIFTY Index Options'!$B:$B,D$4,'NSE - NIFTY Index Options'!$H:$H,"Monthly*")+SUMIFS('NSE - Other Index Options'!$L:$L,'NSE - Other Index Options'!$C:$C,$A34,'NSE - Other Index Options'!$B:$B,D$4,'NSE - Other Index Options'!$H:$H,"Monthly*")=0,"",SUMIFS('NSE - NIFTY Index Options'!$L:$L,'NSE - NIFTY Index Options'!$C:$C,$A34,'NSE - NIFTY Index Options'!$B:$B,D$4,'NSE - NIFTY Index Options'!$H:$H,"Monthly*")+SUMIFS('NSE - Other Index Options'!$L:$L,'NSE - Other Index Options'!$C:$C,$A34,'NSE - Other Index Options'!$B:$B,D$4,'NSE - Other Index Options'!$H:$H,"Monthly*"))</f>
        <v>13241.45</v>
      </c>
      <c r="E34" s="26">
        <f>IF(SUMIFS('NSE - NIFTY Index Options'!$L:$L,'NSE - NIFTY Index Options'!$C:$C,$A34,'NSE - NIFTY Index Options'!$B:$B,E$4,'NSE - NIFTY Index Options'!$H:$H,"Monthly*")+SUMIFS('NSE - Other Index Options'!$L:$L,'NSE - Other Index Options'!$C:$C,$A34,'NSE - Other Index Options'!$B:$B,E$4,'NSE - Other Index Options'!$H:$H,"Monthly*")=0,"",SUMIFS('NSE - NIFTY Index Options'!$L:$L,'NSE - NIFTY Index Options'!$C:$C,$A34,'NSE - NIFTY Index Options'!$B:$B,E$4,'NSE - NIFTY Index Options'!$H:$H,"Monthly*")+SUMIFS('NSE - Other Index Options'!$L:$L,'NSE - Other Index Options'!$C:$C,$A34,'NSE - Other Index Options'!$B:$B,E$4,'NSE - Other Index Options'!$H:$H,"Monthly*"))</f>
        <v>9743.0999999999985</v>
      </c>
      <c r="F34" s="26">
        <f>IF(SUMIFS('NSE - NIFTY Index Options'!$L:$L,'NSE - NIFTY Index Options'!$C:$C,$A34,'NSE - NIFTY Index Options'!$B:$B,F$4,'NSE - NIFTY Index Options'!$H:$H,"Monthly*")+SUMIFS('NSE - Other Index Options'!$L:$L,'NSE - Other Index Options'!$C:$C,$A34,'NSE - Other Index Options'!$B:$B,F$4,'NSE - Other Index Options'!$H:$H,"Monthly*")=0,"",SUMIFS('NSE - NIFTY Index Options'!$L:$L,'NSE - NIFTY Index Options'!$C:$C,$A34,'NSE - NIFTY Index Options'!$B:$B,F$4,'NSE - NIFTY Index Options'!$H:$H,"Monthly*")+SUMIFS('NSE - Other Index Options'!$L:$L,'NSE - Other Index Options'!$C:$C,$A34,'NSE - Other Index Options'!$B:$B,F$4,'NSE - Other Index Options'!$H:$H,"Monthly*"))</f>
        <v>9331.91</v>
      </c>
      <c r="G34" s="26" t="str">
        <f>IF(SUMIFS('NSE - NIFTY Index Options'!$L:$L,'NSE - NIFTY Index Options'!$C:$C,$A34,'NSE - NIFTY Index Options'!$B:$B,G$4,'NSE - NIFTY Index Options'!$H:$H,"Monthly*")+SUMIFS('NSE - Other Index Options'!$L:$L,'NSE - Other Index Options'!$C:$C,$A34,'NSE - Other Index Options'!$B:$B,G$4,'NSE - Other Index Options'!$H:$H,"Monthly*")=0,"",SUMIFS('NSE - NIFTY Index Options'!$L:$L,'NSE - NIFTY Index Options'!$C:$C,$A34,'NSE - NIFTY Index Options'!$B:$B,G$4,'NSE - NIFTY Index Options'!$H:$H,"Monthly*")+SUMIFS('NSE - Other Index Options'!$L:$L,'NSE - Other Index Options'!$C:$C,$A34,'NSE - Other Index Options'!$B:$B,G$4,'NSE - Other Index Options'!$H:$H,"Monthly*"))</f>
        <v/>
      </c>
      <c r="H34" s="26">
        <f t="shared" si="0"/>
        <v>44298.75</v>
      </c>
    </row>
    <row r="35" spans="1:8">
      <c r="A35" t="s">
        <v>40</v>
      </c>
      <c r="B35" s="26">
        <f>IF(SUMIFS('NSE - NIFTY Index Options'!$L:$L,'NSE - NIFTY Index Options'!$C:$C,$A35,'NSE - NIFTY Index Options'!$B:$B,B$4,'NSE - NIFTY Index Options'!$H:$H,"Monthly*")+SUMIFS('NSE - Other Index Options'!$L:$L,'NSE - Other Index Options'!$C:$C,$A35,'NSE - Other Index Options'!$B:$B,B$4,'NSE - Other Index Options'!$H:$H,"Monthly*")=0,"",SUMIFS('NSE - NIFTY Index Options'!$L:$L,'NSE - NIFTY Index Options'!$C:$C,$A35,'NSE - NIFTY Index Options'!$B:$B,B$4,'NSE - NIFTY Index Options'!$H:$H,"Monthly*")+SUMIFS('NSE - Other Index Options'!$L:$L,'NSE - Other Index Options'!$C:$C,$A35,'NSE - Other Index Options'!$B:$B,B$4,'NSE - Other Index Options'!$H:$H,"Monthly*"))</f>
        <v>15979.58</v>
      </c>
      <c r="C35" s="26">
        <f>IF(SUMIFS('NSE - NIFTY Index Options'!$L:$L,'NSE - NIFTY Index Options'!$C:$C,$A35,'NSE - NIFTY Index Options'!$B:$B,C$4,'NSE - NIFTY Index Options'!$H:$H,"Monthly*")+SUMIFS('NSE - Other Index Options'!$L:$L,'NSE - Other Index Options'!$C:$C,$A35,'NSE - Other Index Options'!$B:$B,C$4,'NSE - Other Index Options'!$H:$H,"Monthly*")=0,"",SUMIFS('NSE - NIFTY Index Options'!$L:$L,'NSE - NIFTY Index Options'!$C:$C,$A35,'NSE - NIFTY Index Options'!$B:$B,C$4,'NSE - NIFTY Index Options'!$H:$H,"Monthly*")+SUMIFS('NSE - Other Index Options'!$L:$L,'NSE - Other Index Options'!$C:$C,$A35,'NSE - Other Index Options'!$B:$B,C$4,'NSE - Other Index Options'!$H:$H,"Monthly*"))</f>
        <v>9619.35</v>
      </c>
      <c r="D35" s="26">
        <f>IF(SUMIFS('NSE - NIFTY Index Options'!$L:$L,'NSE - NIFTY Index Options'!$C:$C,$A35,'NSE - NIFTY Index Options'!$B:$B,D$4,'NSE - NIFTY Index Options'!$H:$H,"Monthly*")+SUMIFS('NSE - Other Index Options'!$L:$L,'NSE - Other Index Options'!$C:$C,$A35,'NSE - Other Index Options'!$B:$B,D$4,'NSE - Other Index Options'!$H:$H,"Monthly*")=0,"",SUMIFS('NSE - NIFTY Index Options'!$L:$L,'NSE - NIFTY Index Options'!$C:$C,$A35,'NSE - NIFTY Index Options'!$B:$B,D$4,'NSE - NIFTY Index Options'!$H:$H,"Monthly*")+SUMIFS('NSE - Other Index Options'!$L:$L,'NSE - Other Index Options'!$C:$C,$A35,'NSE - Other Index Options'!$B:$B,D$4,'NSE - Other Index Options'!$H:$H,"Monthly*"))</f>
        <v>10305.010000000002</v>
      </c>
      <c r="E35" s="26">
        <f>IF(SUMIFS('NSE - NIFTY Index Options'!$L:$L,'NSE - NIFTY Index Options'!$C:$C,$A35,'NSE - NIFTY Index Options'!$B:$B,E$4,'NSE - NIFTY Index Options'!$H:$H,"Monthly*")+SUMIFS('NSE - Other Index Options'!$L:$L,'NSE - Other Index Options'!$C:$C,$A35,'NSE - Other Index Options'!$B:$B,E$4,'NSE - Other Index Options'!$H:$H,"Monthly*")=0,"",SUMIFS('NSE - NIFTY Index Options'!$L:$L,'NSE - NIFTY Index Options'!$C:$C,$A35,'NSE - NIFTY Index Options'!$B:$B,E$4,'NSE - NIFTY Index Options'!$H:$H,"Monthly*")+SUMIFS('NSE - Other Index Options'!$L:$L,'NSE - Other Index Options'!$C:$C,$A35,'NSE - Other Index Options'!$B:$B,E$4,'NSE - Other Index Options'!$H:$H,"Monthly*"))</f>
        <v>11391.53</v>
      </c>
      <c r="F35" s="26">
        <f>IF(SUMIFS('NSE - NIFTY Index Options'!$L:$L,'NSE - NIFTY Index Options'!$C:$C,$A35,'NSE - NIFTY Index Options'!$B:$B,F$4,'NSE - NIFTY Index Options'!$H:$H,"Monthly*")+SUMIFS('NSE - Other Index Options'!$L:$L,'NSE - Other Index Options'!$C:$C,$A35,'NSE - Other Index Options'!$B:$B,F$4,'NSE - Other Index Options'!$H:$H,"Monthly*")=0,"",SUMIFS('NSE - NIFTY Index Options'!$L:$L,'NSE - NIFTY Index Options'!$C:$C,$A35,'NSE - NIFTY Index Options'!$B:$B,F$4,'NSE - NIFTY Index Options'!$H:$H,"Monthly*")+SUMIFS('NSE - Other Index Options'!$L:$L,'NSE - Other Index Options'!$C:$C,$A35,'NSE - Other Index Options'!$B:$B,F$4,'NSE - Other Index Options'!$H:$H,"Monthly*"))</f>
        <v>16349.009999999998</v>
      </c>
      <c r="G35" s="26" t="str">
        <f>IF(SUMIFS('NSE - NIFTY Index Options'!$L:$L,'NSE - NIFTY Index Options'!$C:$C,$A35,'NSE - NIFTY Index Options'!$B:$B,G$4,'NSE - NIFTY Index Options'!$H:$H,"Monthly*")+SUMIFS('NSE - Other Index Options'!$L:$L,'NSE - Other Index Options'!$C:$C,$A35,'NSE - Other Index Options'!$B:$B,G$4,'NSE - Other Index Options'!$H:$H,"Monthly*")=0,"",SUMIFS('NSE - NIFTY Index Options'!$L:$L,'NSE - NIFTY Index Options'!$C:$C,$A35,'NSE - NIFTY Index Options'!$B:$B,G$4,'NSE - NIFTY Index Options'!$H:$H,"Monthly*")+SUMIFS('NSE - Other Index Options'!$L:$L,'NSE - Other Index Options'!$C:$C,$A35,'NSE - Other Index Options'!$B:$B,G$4,'NSE - Other Index Options'!$H:$H,"Monthly*"))</f>
        <v/>
      </c>
      <c r="H35" s="26">
        <f t="shared" si="0"/>
        <v>63644.479999999996</v>
      </c>
    </row>
    <row r="36" spans="1:8">
      <c r="A36" t="s">
        <v>41</v>
      </c>
      <c r="B36" s="26">
        <f>IF(SUMIFS('NSE - NIFTY Index Options'!$L:$L,'NSE - NIFTY Index Options'!$C:$C,$A36,'NSE - NIFTY Index Options'!$B:$B,B$4,'NSE - NIFTY Index Options'!$H:$H,"Monthly*")+SUMIFS('NSE - Other Index Options'!$L:$L,'NSE - Other Index Options'!$C:$C,$A36,'NSE - Other Index Options'!$B:$B,B$4,'NSE - Other Index Options'!$H:$H,"Monthly*")=0,"",SUMIFS('NSE - NIFTY Index Options'!$L:$L,'NSE - NIFTY Index Options'!$C:$C,$A36,'NSE - NIFTY Index Options'!$B:$B,B$4,'NSE - NIFTY Index Options'!$H:$H,"Monthly*")+SUMIFS('NSE - Other Index Options'!$L:$L,'NSE - Other Index Options'!$C:$C,$A36,'NSE - Other Index Options'!$B:$B,B$4,'NSE - Other Index Options'!$H:$H,"Monthly*"))</f>
        <v>14100.880000000001</v>
      </c>
      <c r="C36" s="26">
        <f>IF(SUMIFS('NSE - NIFTY Index Options'!$L:$L,'NSE - NIFTY Index Options'!$C:$C,$A36,'NSE - NIFTY Index Options'!$B:$B,C$4,'NSE - NIFTY Index Options'!$H:$H,"Monthly*")+SUMIFS('NSE - Other Index Options'!$L:$L,'NSE - Other Index Options'!$C:$C,$A36,'NSE - Other Index Options'!$B:$B,C$4,'NSE - Other Index Options'!$H:$H,"Monthly*")=0,"",SUMIFS('NSE - NIFTY Index Options'!$L:$L,'NSE - NIFTY Index Options'!$C:$C,$A36,'NSE - NIFTY Index Options'!$B:$B,C$4,'NSE - NIFTY Index Options'!$H:$H,"Monthly*")+SUMIFS('NSE - Other Index Options'!$L:$L,'NSE - Other Index Options'!$C:$C,$A36,'NSE - Other Index Options'!$B:$B,C$4,'NSE - Other Index Options'!$H:$H,"Monthly*"))</f>
        <v>11161.220000000001</v>
      </c>
      <c r="D36" s="26">
        <f>IF(SUMIFS('NSE - NIFTY Index Options'!$L:$L,'NSE - NIFTY Index Options'!$C:$C,$A36,'NSE - NIFTY Index Options'!$B:$B,D$4,'NSE - NIFTY Index Options'!$H:$H,"Monthly*")+SUMIFS('NSE - Other Index Options'!$L:$L,'NSE - Other Index Options'!$C:$C,$A36,'NSE - Other Index Options'!$B:$B,D$4,'NSE - Other Index Options'!$H:$H,"Monthly*")=0,"",SUMIFS('NSE - NIFTY Index Options'!$L:$L,'NSE - NIFTY Index Options'!$C:$C,$A36,'NSE - NIFTY Index Options'!$B:$B,D$4,'NSE - NIFTY Index Options'!$H:$H,"Monthly*")+SUMIFS('NSE - Other Index Options'!$L:$L,'NSE - Other Index Options'!$C:$C,$A36,'NSE - Other Index Options'!$B:$B,D$4,'NSE - Other Index Options'!$H:$H,"Monthly*"))</f>
        <v>10732.59</v>
      </c>
      <c r="E36" s="26">
        <f>IF(SUMIFS('NSE - NIFTY Index Options'!$L:$L,'NSE - NIFTY Index Options'!$C:$C,$A36,'NSE - NIFTY Index Options'!$B:$B,E$4,'NSE - NIFTY Index Options'!$H:$H,"Monthly*")+SUMIFS('NSE - Other Index Options'!$L:$L,'NSE - Other Index Options'!$C:$C,$A36,'NSE - Other Index Options'!$B:$B,E$4,'NSE - Other Index Options'!$H:$H,"Monthly*")=0,"",SUMIFS('NSE - NIFTY Index Options'!$L:$L,'NSE - NIFTY Index Options'!$C:$C,$A36,'NSE - NIFTY Index Options'!$B:$B,E$4,'NSE - NIFTY Index Options'!$H:$H,"Monthly*")+SUMIFS('NSE - Other Index Options'!$L:$L,'NSE - Other Index Options'!$C:$C,$A36,'NSE - Other Index Options'!$B:$B,E$4,'NSE - Other Index Options'!$H:$H,"Monthly*"))</f>
        <v>15738.81</v>
      </c>
      <c r="F36" s="26">
        <f>IF(SUMIFS('NSE - NIFTY Index Options'!$L:$L,'NSE - NIFTY Index Options'!$C:$C,$A36,'NSE - NIFTY Index Options'!$B:$B,F$4,'NSE - NIFTY Index Options'!$H:$H,"Monthly*")+SUMIFS('NSE - Other Index Options'!$L:$L,'NSE - Other Index Options'!$C:$C,$A36,'NSE - Other Index Options'!$B:$B,F$4,'NSE - Other Index Options'!$H:$H,"Monthly*")=0,"",SUMIFS('NSE - NIFTY Index Options'!$L:$L,'NSE - NIFTY Index Options'!$C:$C,$A36,'NSE - NIFTY Index Options'!$B:$B,F$4,'NSE - NIFTY Index Options'!$H:$H,"Monthly*")+SUMIFS('NSE - Other Index Options'!$L:$L,'NSE - Other Index Options'!$C:$C,$A36,'NSE - Other Index Options'!$B:$B,F$4,'NSE - Other Index Options'!$H:$H,"Monthly*"))</f>
        <v>14453.630000000001</v>
      </c>
      <c r="G36" s="26" t="str">
        <f>IF(SUMIFS('NSE - NIFTY Index Options'!$L:$L,'NSE - NIFTY Index Options'!$C:$C,$A36,'NSE - NIFTY Index Options'!$B:$B,G$4,'NSE - NIFTY Index Options'!$H:$H,"Monthly*")+SUMIFS('NSE - Other Index Options'!$L:$L,'NSE - Other Index Options'!$C:$C,$A36,'NSE - Other Index Options'!$B:$B,G$4,'NSE - Other Index Options'!$H:$H,"Monthly*")=0,"",SUMIFS('NSE - NIFTY Index Options'!$L:$L,'NSE - NIFTY Index Options'!$C:$C,$A36,'NSE - NIFTY Index Options'!$B:$B,G$4,'NSE - NIFTY Index Options'!$H:$H,"Monthly*")+SUMIFS('NSE - Other Index Options'!$L:$L,'NSE - Other Index Options'!$C:$C,$A36,'NSE - Other Index Options'!$B:$B,G$4,'NSE - Other Index Options'!$H:$H,"Monthly*"))</f>
        <v/>
      </c>
      <c r="H36" s="26">
        <f t="shared" si="0"/>
        <v>66187.13</v>
      </c>
    </row>
    <row r="37" spans="1:8">
      <c r="A37" t="s">
        <v>42</v>
      </c>
      <c r="B37" s="26">
        <f>IF(SUMIFS('NSE - NIFTY Index Options'!$L:$L,'NSE - NIFTY Index Options'!$C:$C,$A37,'NSE - NIFTY Index Options'!$B:$B,B$4,'NSE - NIFTY Index Options'!$H:$H,"Monthly*")+SUMIFS('NSE - Other Index Options'!$L:$L,'NSE - Other Index Options'!$C:$C,$A37,'NSE - Other Index Options'!$B:$B,B$4,'NSE - Other Index Options'!$H:$H,"Monthly*")=0,"",SUMIFS('NSE - NIFTY Index Options'!$L:$L,'NSE - NIFTY Index Options'!$C:$C,$A37,'NSE - NIFTY Index Options'!$B:$B,B$4,'NSE - NIFTY Index Options'!$H:$H,"Monthly*")+SUMIFS('NSE - Other Index Options'!$L:$L,'NSE - Other Index Options'!$C:$C,$A37,'NSE - Other Index Options'!$B:$B,B$4,'NSE - Other Index Options'!$H:$H,"Monthly*"))</f>
        <v>22588.39</v>
      </c>
      <c r="C37" s="26">
        <f>IF(SUMIFS('NSE - NIFTY Index Options'!$L:$L,'NSE - NIFTY Index Options'!$C:$C,$A37,'NSE - NIFTY Index Options'!$B:$B,C$4,'NSE - NIFTY Index Options'!$H:$H,"Monthly*")+SUMIFS('NSE - Other Index Options'!$L:$L,'NSE - Other Index Options'!$C:$C,$A37,'NSE - Other Index Options'!$B:$B,C$4,'NSE - Other Index Options'!$H:$H,"Monthly*")=0,"",SUMIFS('NSE - NIFTY Index Options'!$L:$L,'NSE - NIFTY Index Options'!$C:$C,$A37,'NSE - NIFTY Index Options'!$B:$B,C$4,'NSE - NIFTY Index Options'!$H:$H,"Monthly*")+SUMIFS('NSE - Other Index Options'!$L:$L,'NSE - Other Index Options'!$C:$C,$A37,'NSE - Other Index Options'!$B:$B,C$4,'NSE - Other Index Options'!$H:$H,"Monthly*"))</f>
        <v>12358.780000000002</v>
      </c>
      <c r="D37" s="26">
        <f>IF(SUMIFS('NSE - NIFTY Index Options'!$L:$L,'NSE - NIFTY Index Options'!$C:$C,$A37,'NSE - NIFTY Index Options'!$B:$B,D$4,'NSE - NIFTY Index Options'!$H:$H,"Monthly*")+SUMIFS('NSE - Other Index Options'!$L:$L,'NSE - Other Index Options'!$C:$C,$A37,'NSE - Other Index Options'!$B:$B,D$4,'NSE - Other Index Options'!$H:$H,"Monthly*")=0,"",SUMIFS('NSE - NIFTY Index Options'!$L:$L,'NSE - NIFTY Index Options'!$C:$C,$A37,'NSE - NIFTY Index Options'!$B:$B,D$4,'NSE - NIFTY Index Options'!$H:$H,"Monthly*")+SUMIFS('NSE - Other Index Options'!$L:$L,'NSE - Other Index Options'!$C:$C,$A37,'NSE - Other Index Options'!$B:$B,D$4,'NSE - Other Index Options'!$H:$H,"Monthly*"))</f>
        <v>11195.33</v>
      </c>
      <c r="E37" s="26" t="str">
        <f>IF(SUMIFS('NSE - NIFTY Index Options'!$L:$L,'NSE - NIFTY Index Options'!$C:$C,$A37,'NSE - NIFTY Index Options'!$B:$B,E$4,'NSE - NIFTY Index Options'!$H:$H,"Monthly*")+SUMIFS('NSE - Other Index Options'!$L:$L,'NSE - Other Index Options'!$C:$C,$A37,'NSE - Other Index Options'!$B:$B,E$4,'NSE - Other Index Options'!$H:$H,"Monthly*")=0,"",SUMIFS('NSE - NIFTY Index Options'!$L:$L,'NSE - NIFTY Index Options'!$C:$C,$A37,'NSE - NIFTY Index Options'!$B:$B,E$4,'NSE - NIFTY Index Options'!$H:$H,"Monthly*")+SUMIFS('NSE - Other Index Options'!$L:$L,'NSE - Other Index Options'!$C:$C,$A37,'NSE - Other Index Options'!$B:$B,E$4,'NSE - Other Index Options'!$H:$H,"Monthly*"))</f>
        <v/>
      </c>
      <c r="F37" s="26">
        <f>IF(SUMIFS('NSE - NIFTY Index Options'!$L:$L,'NSE - NIFTY Index Options'!$C:$C,$A37,'NSE - NIFTY Index Options'!$B:$B,F$4,'NSE - NIFTY Index Options'!$H:$H,"Monthly*")+SUMIFS('NSE - Other Index Options'!$L:$L,'NSE - Other Index Options'!$C:$C,$A37,'NSE - Other Index Options'!$B:$B,F$4,'NSE - Other Index Options'!$H:$H,"Monthly*")=0,"",SUMIFS('NSE - NIFTY Index Options'!$L:$L,'NSE - NIFTY Index Options'!$C:$C,$A37,'NSE - NIFTY Index Options'!$B:$B,F$4,'NSE - NIFTY Index Options'!$H:$H,"Monthly*")+SUMIFS('NSE - Other Index Options'!$L:$L,'NSE - Other Index Options'!$C:$C,$A37,'NSE - Other Index Options'!$B:$B,F$4,'NSE - Other Index Options'!$H:$H,"Monthly*"))</f>
        <v>15923.2</v>
      </c>
      <c r="G37" s="26" t="str">
        <f>IF(SUMIFS('NSE - NIFTY Index Options'!$L:$L,'NSE - NIFTY Index Options'!$C:$C,$A37,'NSE - NIFTY Index Options'!$B:$B,G$4,'NSE - NIFTY Index Options'!$H:$H,"Monthly*")+SUMIFS('NSE - Other Index Options'!$L:$L,'NSE - Other Index Options'!$C:$C,$A37,'NSE - Other Index Options'!$B:$B,G$4,'NSE - Other Index Options'!$H:$H,"Monthly*")=0,"",SUMIFS('NSE - NIFTY Index Options'!$L:$L,'NSE - NIFTY Index Options'!$C:$C,$A37,'NSE - NIFTY Index Options'!$B:$B,G$4,'NSE - NIFTY Index Options'!$H:$H,"Monthly*")+SUMIFS('NSE - Other Index Options'!$L:$L,'NSE - Other Index Options'!$C:$C,$A37,'NSE - Other Index Options'!$B:$B,G$4,'NSE - Other Index Options'!$H:$H,"Monthly*"))</f>
        <v/>
      </c>
      <c r="H37" s="26">
        <f t="shared" ref="H37:H68" si="1">IF(SUM(B37:G37)=0,"",SUM(B37:G37))</f>
        <v>62065.7</v>
      </c>
    </row>
    <row r="38" spans="1:8">
      <c r="A38" t="s">
        <v>43</v>
      </c>
      <c r="B38" s="26">
        <f>IF(SUMIFS('NSE - NIFTY Index Options'!$L:$L,'NSE - NIFTY Index Options'!$C:$C,$A38,'NSE - NIFTY Index Options'!$B:$B,B$4,'NSE - NIFTY Index Options'!$H:$H,"Monthly*")+SUMIFS('NSE - Other Index Options'!$L:$L,'NSE - Other Index Options'!$C:$C,$A38,'NSE - Other Index Options'!$B:$B,B$4,'NSE - Other Index Options'!$H:$H,"Monthly*")=0,"",SUMIFS('NSE - NIFTY Index Options'!$L:$L,'NSE - NIFTY Index Options'!$C:$C,$A38,'NSE - NIFTY Index Options'!$B:$B,B$4,'NSE - NIFTY Index Options'!$H:$H,"Monthly*")+SUMIFS('NSE - Other Index Options'!$L:$L,'NSE - Other Index Options'!$C:$C,$A38,'NSE - Other Index Options'!$B:$B,B$4,'NSE - Other Index Options'!$H:$H,"Monthly*"))</f>
        <v>28278.620000000003</v>
      </c>
      <c r="C38" s="26" t="str">
        <f>IF(SUMIFS('NSE - NIFTY Index Options'!$L:$L,'NSE - NIFTY Index Options'!$C:$C,$A38,'NSE - NIFTY Index Options'!$B:$B,C$4,'NSE - NIFTY Index Options'!$H:$H,"Monthly*")+SUMIFS('NSE - Other Index Options'!$L:$L,'NSE - Other Index Options'!$C:$C,$A38,'NSE - Other Index Options'!$B:$B,C$4,'NSE - Other Index Options'!$H:$H,"Monthly*")=0,"",SUMIFS('NSE - NIFTY Index Options'!$L:$L,'NSE - NIFTY Index Options'!$C:$C,$A38,'NSE - NIFTY Index Options'!$B:$B,C$4,'NSE - NIFTY Index Options'!$H:$H,"Monthly*")+SUMIFS('NSE - Other Index Options'!$L:$L,'NSE - Other Index Options'!$C:$C,$A38,'NSE - Other Index Options'!$B:$B,C$4,'NSE - Other Index Options'!$H:$H,"Monthly*"))</f>
        <v/>
      </c>
      <c r="D38" s="26" t="str">
        <f>IF(SUMIFS('NSE - NIFTY Index Options'!$L:$L,'NSE - NIFTY Index Options'!$C:$C,$A38,'NSE - NIFTY Index Options'!$B:$B,D$4,'NSE - NIFTY Index Options'!$H:$H,"Monthly*")+SUMIFS('NSE - Other Index Options'!$L:$L,'NSE - Other Index Options'!$C:$C,$A38,'NSE - Other Index Options'!$B:$B,D$4,'NSE - Other Index Options'!$H:$H,"Monthly*")=0,"",SUMIFS('NSE - NIFTY Index Options'!$L:$L,'NSE - NIFTY Index Options'!$C:$C,$A38,'NSE - NIFTY Index Options'!$B:$B,D$4,'NSE - NIFTY Index Options'!$H:$H,"Monthly*")+SUMIFS('NSE - Other Index Options'!$L:$L,'NSE - Other Index Options'!$C:$C,$A38,'NSE - Other Index Options'!$B:$B,D$4,'NSE - Other Index Options'!$H:$H,"Monthly*"))</f>
        <v/>
      </c>
      <c r="E38" s="26" t="str">
        <f>IF(SUMIFS('NSE - NIFTY Index Options'!$L:$L,'NSE - NIFTY Index Options'!$C:$C,$A38,'NSE - NIFTY Index Options'!$B:$B,E$4,'NSE - NIFTY Index Options'!$H:$H,"Monthly*")+SUMIFS('NSE - Other Index Options'!$L:$L,'NSE - Other Index Options'!$C:$C,$A38,'NSE - Other Index Options'!$B:$B,E$4,'NSE - Other Index Options'!$H:$H,"Monthly*")=0,"",SUMIFS('NSE - NIFTY Index Options'!$L:$L,'NSE - NIFTY Index Options'!$C:$C,$A38,'NSE - NIFTY Index Options'!$B:$B,E$4,'NSE - NIFTY Index Options'!$H:$H,"Monthly*")+SUMIFS('NSE - Other Index Options'!$L:$L,'NSE - Other Index Options'!$C:$C,$A38,'NSE - Other Index Options'!$B:$B,E$4,'NSE - Other Index Options'!$H:$H,"Monthly*"))</f>
        <v/>
      </c>
      <c r="F38" s="26" t="str">
        <f>IF(SUMIFS('NSE - NIFTY Index Options'!$L:$L,'NSE - NIFTY Index Options'!$C:$C,$A38,'NSE - NIFTY Index Options'!$B:$B,F$4,'NSE - NIFTY Index Options'!$H:$H,"Monthly*")+SUMIFS('NSE - Other Index Options'!$L:$L,'NSE - Other Index Options'!$C:$C,$A38,'NSE - Other Index Options'!$B:$B,F$4,'NSE - Other Index Options'!$H:$H,"Monthly*")=0,"",SUMIFS('NSE - NIFTY Index Options'!$L:$L,'NSE - NIFTY Index Options'!$C:$C,$A38,'NSE - NIFTY Index Options'!$B:$B,F$4,'NSE - NIFTY Index Options'!$H:$H,"Monthly*")+SUMIFS('NSE - Other Index Options'!$L:$L,'NSE - Other Index Options'!$C:$C,$A38,'NSE - Other Index Options'!$B:$B,F$4,'NSE - Other Index Options'!$H:$H,"Monthly*"))</f>
        <v/>
      </c>
      <c r="G38" s="26" t="str">
        <f>IF(SUMIFS('NSE - NIFTY Index Options'!$L:$L,'NSE - NIFTY Index Options'!$C:$C,$A38,'NSE - NIFTY Index Options'!$B:$B,G$4,'NSE - NIFTY Index Options'!$H:$H,"Monthly*")+SUMIFS('NSE - Other Index Options'!$L:$L,'NSE - Other Index Options'!$C:$C,$A38,'NSE - Other Index Options'!$B:$B,G$4,'NSE - Other Index Options'!$H:$H,"Monthly*")=0,"",SUMIFS('NSE - NIFTY Index Options'!$L:$L,'NSE - NIFTY Index Options'!$C:$C,$A38,'NSE - NIFTY Index Options'!$B:$B,G$4,'NSE - NIFTY Index Options'!$H:$H,"Monthly*")+SUMIFS('NSE - Other Index Options'!$L:$L,'NSE - Other Index Options'!$C:$C,$A38,'NSE - Other Index Options'!$B:$B,G$4,'NSE - Other Index Options'!$H:$H,"Monthly*"))</f>
        <v/>
      </c>
      <c r="H38" s="26">
        <f t="shared" si="1"/>
        <v>28278.620000000003</v>
      </c>
    </row>
    <row r="39" spans="1:8">
      <c r="A39" t="s">
        <v>44</v>
      </c>
      <c r="B39" s="26">
        <f>IF(SUMIFS('NSE - NIFTY Index Options'!$L:$L,'NSE - NIFTY Index Options'!$C:$C,$A39,'NSE - NIFTY Index Options'!$B:$B,B$4,'NSE - NIFTY Index Options'!$H:$H,"Monthly*")+SUMIFS('NSE - Other Index Options'!$L:$L,'NSE - Other Index Options'!$C:$C,$A39,'NSE - Other Index Options'!$B:$B,B$4,'NSE - Other Index Options'!$H:$H,"Monthly*")=0,"",SUMIFS('NSE - NIFTY Index Options'!$L:$L,'NSE - NIFTY Index Options'!$C:$C,$A39,'NSE - NIFTY Index Options'!$B:$B,B$4,'NSE - NIFTY Index Options'!$H:$H,"Monthly*")+SUMIFS('NSE - Other Index Options'!$L:$L,'NSE - Other Index Options'!$C:$C,$A39,'NSE - Other Index Options'!$B:$B,B$4,'NSE - Other Index Options'!$H:$H,"Monthly*"))</f>
        <v>9078.7900000000009</v>
      </c>
      <c r="C39" s="26">
        <f>IF(SUMIFS('NSE - NIFTY Index Options'!$L:$L,'NSE - NIFTY Index Options'!$C:$C,$A39,'NSE - NIFTY Index Options'!$B:$B,C$4,'NSE - NIFTY Index Options'!$H:$H,"Monthly*")+SUMIFS('NSE - Other Index Options'!$L:$L,'NSE - Other Index Options'!$C:$C,$A39,'NSE - Other Index Options'!$B:$B,C$4,'NSE - Other Index Options'!$H:$H,"Monthly*")=0,"",SUMIFS('NSE - NIFTY Index Options'!$L:$L,'NSE - NIFTY Index Options'!$C:$C,$A39,'NSE - NIFTY Index Options'!$B:$B,C$4,'NSE - NIFTY Index Options'!$H:$H,"Monthly*")+SUMIFS('NSE - Other Index Options'!$L:$L,'NSE - Other Index Options'!$C:$C,$A39,'NSE - Other Index Options'!$B:$B,C$4,'NSE - Other Index Options'!$H:$H,"Monthly*"))</f>
        <v>7217.5199999999995</v>
      </c>
      <c r="D39" s="26">
        <f>IF(SUMIFS('NSE - NIFTY Index Options'!$L:$L,'NSE - NIFTY Index Options'!$C:$C,$A39,'NSE - NIFTY Index Options'!$B:$B,D$4,'NSE - NIFTY Index Options'!$H:$H,"Monthly*")+SUMIFS('NSE - Other Index Options'!$L:$L,'NSE - Other Index Options'!$C:$C,$A39,'NSE - Other Index Options'!$B:$B,D$4,'NSE - Other Index Options'!$H:$H,"Monthly*")=0,"",SUMIFS('NSE - NIFTY Index Options'!$L:$L,'NSE - NIFTY Index Options'!$C:$C,$A39,'NSE - NIFTY Index Options'!$B:$B,D$4,'NSE - NIFTY Index Options'!$H:$H,"Monthly*")+SUMIFS('NSE - Other Index Options'!$L:$L,'NSE - Other Index Options'!$C:$C,$A39,'NSE - Other Index Options'!$B:$B,D$4,'NSE - Other Index Options'!$H:$H,"Monthly*"))</f>
        <v>9512.51</v>
      </c>
      <c r="E39" s="26">
        <f>IF(SUMIFS('NSE - NIFTY Index Options'!$L:$L,'NSE - NIFTY Index Options'!$C:$C,$A39,'NSE - NIFTY Index Options'!$B:$B,E$4,'NSE - NIFTY Index Options'!$H:$H,"Monthly*")+SUMIFS('NSE - Other Index Options'!$L:$L,'NSE - Other Index Options'!$C:$C,$A39,'NSE - Other Index Options'!$B:$B,E$4,'NSE - Other Index Options'!$H:$H,"Monthly*")=0,"",SUMIFS('NSE - NIFTY Index Options'!$L:$L,'NSE - NIFTY Index Options'!$C:$C,$A39,'NSE - NIFTY Index Options'!$B:$B,E$4,'NSE - NIFTY Index Options'!$H:$H,"Monthly*")+SUMIFS('NSE - Other Index Options'!$L:$L,'NSE - Other Index Options'!$C:$C,$A39,'NSE - Other Index Options'!$B:$B,E$4,'NSE - Other Index Options'!$H:$H,"Monthly*"))</f>
        <v>10087.779999999999</v>
      </c>
      <c r="F39" s="26" t="str">
        <f>IF(SUMIFS('NSE - NIFTY Index Options'!$L:$L,'NSE - NIFTY Index Options'!$C:$C,$A39,'NSE - NIFTY Index Options'!$B:$B,F$4,'NSE - NIFTY Index Options'!$H:$H,"Monthly*")+SUMIFS('NSE - Other Index Options'!$L:$L,'NSE - Other Index Options'!$C:$C,$A39,'NSE - Other Index Options'!$B:$B,F$4,'NSE - Other Index Options'!$H:$H,"Monthly*")=0,"",SUMIFS('NSE - NIFTY Index Options'!$L:$L,'NSE - NIFTY Index Options'!$C:$C,$A39,'NSE - NIFTY Index Options'!$B:$B,F$4,'NSE - NIFTY Index Options'!$H:$H,"Monthly*")+SUMIFS('NSE - Other Index Options'!$L:$L,'NSE - Other Index Options'!$C:$C,$A39,'NSE - Other Index Options'!$B:$B,F$4,'NSE - Other Index Options'!$H:$H,"Monthly*"))</f>
        <v/>
      </c>
      <c r="G39" s="26" t="str">
        <f>IF(SUMIFS('NSE - NIFTY Index Options'!$L:$L,'NSE - NIFTY Index Options'!$C:$C,$A39,'NSE - NIFTY Index Options'!$B:$B,G$4,'NSE - NIFTY Index Options'!$H:$H,"Monthly*")+SUMIFS('NSE - Other Index Options'!$L:$L,'NSE - Other Index Options'!$C:$C,$A39,'NSE - Other Index Options'!$B:$B,G$4,'NSE - Other Index Options'!$H:$H,"Monthly*")=0,"",SUMIFS('NSE - NIFTY Index Options'!$L:$L,'NSE - NIFTY Index Options'!$C:$C,$A39,'NSE - NIFTY Index Options'!$B:$B,G$4,'NSE - NIFTY Index Options'!$H:$H,"Monthly*")+SUMIFS('NSE - Other Index Options'!$L:$L,'NSE - Other Index Options'!$C:$C,$A39,'NSE - Other Index Options'!$B:$B,G$4,'NSE - Other Index Options'!$H:$H,"Monthly*"))</f>
        <v/>
      </c>
      <c r="H39" s="26">
        <f t="shared" si="1"/>
        <v>35896.6</v>
      </c>
    </row>
    <row r="40" spans="1:8">
      <c r="A40" t="s">
        <v>45</v>
      </c>
      <c r="B40" s="26">
        <f>IF(SUMIFS('NSE - NIFTY Index Options'!$L:$L,'NSE - NIFTY Index Options'!$C:$C,$A40,'NSE - NIFTY Index Options'!$B:$B,B$4,'NSE - NIFTY Index Options'!$H:$H,"Monthly*")+SUMIFS('NSE - Other Index Options'!$L:$L,'NSE - Other Index Options'!$C:$C,$A40,'NSE - Other Index Options'!$B:$B,B$4,'NSE - Other Index Options'!$H:$H,"Monthly*")=0,"",SUMIFS('NSE - NIFTY Index Options'!$L:$L,'NSE - NIFTY Index Options'!$C:$C,$A40,'NSE - NIFTY Index Options'!$B:$B,B$4,'NSE - NIFTY Index Options'!$H:$H,"Monthly*")+SUMIFS('NSE - Other Index Options'!$L:$L,'NSE - Other Index Options'!$C:$C,$A40,'NSE - Other Index Options'!$B:$B,B$4,'NSE - Other Index Options'!$H:$H,"Monthly*"))</f>
        <v>8332.66</v>
      </c>
      <c r="C40" s="26" t="str">
        <f>IF(SUMIFS('NSE - NIFTY Index Options'!$L:$L,'NSE - NIFTY Index Options'!$C:$C,$A40,'NSE - NIFTY Index Options'!$B:$B,C$4,'NSE - NIFTY Index Options'!$H:$H,"Monthly*")+SUMIFS('NSE - Other Index Options'!$L:$L,'NSE - Other Index Options'!$C:$C,$A40,'NSE - Other Index Options'!$B:$B,C$4,'NSE - Other Index Options'!$H:$H,"Monthly*")=0,"",SUMIFS('NSE - NIFTY Index Options'!$L:$L,'NSE - NIFTY Index Options'!$C:$C,$A40,'NSE - NIFTY Index Options'!$B:$B,C$4,'NSE - NIFTY Index Options'!$H:$H,"Monthly*")+SUMIFS('NSE - Other Index Options'!$L:$L,'NSE - Other Index Options'!$C:$C,$A40,'NSE - Other Index Options'!$B:$B,C$4,'NSE - Other Index Options'!$H:$H,"Monthly*"))</f>
        <v/>
      </c>
      <c r="D40" s="26">
        <f>IF(SUMIFS('NSE - NIFTY Index Options'!$L:$L,'NSE - NIFTY Index Options'!$C:$C,$A40,'NSE - NIFTY Index Options'!$B:$B,D$4,'NSE - NIFTY Index Options'!$H:$H,"Monthly*")+SUMIFS('NSE - Other Index Options'!$L:$L,'NSE - Other Index Options'!$C:$C,$A40,'NSE - Other Index Options'!$B:$B,D$4,'NSE - Other Index Options'!$H:$H,"Monthly*")=0,"",SUMIFS('NSE - NIFTY Index Options'!$L:$L,'NSE - NIFTY Index Options'!$C:$C,$A40,'NSE - NIFTY Index Options'!$B:$B,D$4,'NSE - NIFTY Index Options'!$H:$H,"Monthly*")+SUMIFS('NSE - Other Index Options'!$L:$L,'NSE - Other Index Options'!$C:$C,$A40,'NSE - Other Index Options'!$B:$B,D$4,'NSE - Other Index Options'!$H:$H,"Monthly*"))</f>
        <v>11461.669999999998</v>
      </c>
      <c r="E40" s="26">
        <f>IF(SUMIFS('NSE - NIFTY Index Options'!$L:$L,'NSE - NIFTY Index Options'!$C:$C,$A40,'NSE - NIFTY Index Options'!$B:$B,E$4,'NSE - NIFTY Index Options'!$H:$H,"Monthly*")+SUMIFS('NSE - Other Index Options'!$L:$L,'NSE - Other Index Options'!$C:$C,$A40,'NSE - Other Index Options'!$B:$B,E$4,'NSE - Other Index Options'!$H:$H,"Monthly*")=0,"",SUMIFS('NSE - NIFTY Index Options'!$L:$L,'NSE - NIFTY Index Options'!$C:$C,$A40,'NSE - NIFTY Index Options'!$B:$B,E$4,'NSE - NIFTY Index Options'!$H:$H,"Monthly*")+SUMIFS('NSE - Other Index Options'!$L:$L,'NSE - Other Index Options'!$C:$C,$A40,'NSE - Other Index Options'!$B:$B,E$4,'NSE - Other Index Options'!$H:$H,"Monthly*"))</f>
        <v>8591.6500000000015</v>
      </c>
      <c r="F40" s="26">
        <f>IF(SUMIFS('NSE - NIFTY Index Options'!$L:$L,'NSE - NIFTY Index Options'!$C:$C,$A40,'NSE - NIFTY Index Options'!$B:$B,F$4,'NSE - NIFTY Index Options'!$H:$H,"Monthly*")+SUMIFS('NSE - Other Index Options'!$L:$L,'NSE - Other Index Options'!$C:$C,$A40,'NSE - Other Index Options'!$B:$B,F$4,'NSE - Other Index Options'!$H:$H,"Monthly*")=0,"",SUMIFS('NSE - NIFTY Index Options'!$L:$L,'NSE - NIFTY Index Options'!$C:$C,$A40,'NSE - NIFTY Index Options'!$B:$B,F$4,'NSE - NIFTY Index Options'!$H:$H,"Monthly*")+SUMIFS('NSE - Other Index Options'!$L:$L,'NSE - Other Index Options'!$C:$C,$A40,'NSE - Other Index Options'!$B:$B,F$4,'NSE - Other Index Options'!$H:$H,"Monthly*"))</f>
        <v>7844.84</v>
      </c>
      <c r="G40" s="26" t="str">
        <f>IF(SUMIFS('NSE - NIFTY Index Options'!$L:$L,'NSE - NIFTY Index Options'!$C:$C,$A40,'NSE - NIFTY Index Options'!$B:$B,G$4,'NSE - NIFTY Index Options'!$H:$H,"Monthly*")+SUMIFS('NSE - Other Index Options'!$L:$L,'NSE - Other Index Options'!$C:$C,$A40,'NSE - Other Index Options'!$B:$B,G$4,'NSE - Other Index Options'!$H:$H,"Monthly*")=0,"",SUMIFS('NSE - NIFTY Index Options'!$L:$L,'NSE - NIFTY Index Options'!$C:$C,$A40,'NSE - NIFTY Index Options'!$B:$B,G$4,'NSE - NIFTY Index Options'!$H:$H,"Monthly*")+SUMIFS('NSE - Other Index Options'!$L:$L,'NSE - Other Index Options'!$C:$C,$A40,'NSE - Other Index Options'!$B:$B,G$4,'NSE - Other Index Options'!$H:$H,"Monthly*"))</f>
        <v/>
      </c>
      <c r="H40" s="26">
        <f t="shared" si="1"/>
        <v>36230.82</v>
      </c>
    </row>
    <row r="41" spans="1:8">
      <c r="A41" t="s">
        <v>46</v>
      </c>
      <c r="B41" s="26">
        <f>IF(SUMIFS('NSE - NIFTY Index Options'!$L:$L,'NSE - NIFTY Index Options'!$C:$C,$A41,'NSE - NIFTY Index Options'!$B:$B,B$4,'NSE - NIFTY Index Options'!$H:$H,"Monthly*")+SUMIFS('NSE - Other Index Options'!$L:$L,'NSE - Other Index Options'!$C:$C,$A41,'NSE - Other Index Options'!$B:$B,B$4,'NSE - Other Index Options'!$H:$H,"Monthly*")=0,"",SUMIFS('NSE - NIFTY Index Options'!$L:$L,'NSE - NIFTY Index Options'!$C:$C,$A41,'NSE - NIFTY Index Options'!$B:$B,B$4,'NSE - NIFTY Index Options'!$H:$H,"Monthly*")+SUMIFS('NSE - Other Index Options'!$L:$L,'NSE - Other Index Options'!$C:$C,$A41,'NSE - Other Index Options'!$B:$B,B$4,'NSE - Other Index Options'!$H:$H,"Monthly*"))</f>
        <v>10631.580000000002</v>
      </c>
      <c r="C41" s="26">
        <f>IF(SUMIFS('NSE - NIFTY Index Options'!$L:$L,'NSE - NIFTY Index Options'!$C:$C,$A41,'NSE - NIFTY Index Options'!$B:$B,C$4,'NSE - NIFTY Index Options'!$H:$H,"Monthly*")+SUMIFS('NSE - Other Index Options'!$L:$L,'NSE - Other Index Options'!$C:$C,$A41,'NSE - Other Index Options'!$B:$B,C$4,'NSE - Other Index Options'!$H:$H,"Monthly*")=0,"",SUMIFS('NSE - NIFTY Index Options'!$L:$L,'NSE - NIFTY Index Options'!$C:$C,$A41,'NSE - NIFTY Index Options'!$B:$B,C$4,'NSE - NIFTY Index Options'!$H:$H,"Monthly*")+SUMIFS('NSE - Other Index Options'!$L:$L,'NSE - Other Index Options'!$C:$C,$A41,'NSE - Other Index Options'!$B:$B,C$4,'NSE - Other Index Options'!$H:$H,"Monthly*"))</f>
        <v>11187.89</v>
      </c>
      <c r="D41" s="26">
        <f>IF(SUMIFS('NSE - NIFTY Index Options'!$L:$L,'NSE - NIFTY Index Options'!$C:$C,$A41,'NSE - NIFTY Index Options'!$B:$B,D$4,'NSE - NIFTY Index Options'!$H:$H,"Monthly*")+SUMIFS('NSE - Other Index Options'!$L:$L,'NSE - Other Index Options'!$C:$C,$A41,'NSE - Other Index Options'!$B:$B,D$4,'NSE - Other Index Options'!$H:$H,"Monthly*")=0,"",SUMIFS('NSE - NIFTY Index Options'!$L:$L,'NSE - NIFTY Index Options'!$C:$C,$A41,'NSE - NIFTY Index Options'!$B:$B,D$4,'NSE - NIFTY Index Options'!$H:$H,"Monthly*")+SUMIFS('NSE - Other Index Options'!$L:$L,'NSE - Other Index Options'!$C:$C,$A41,'NSE - Other Index Options'!$B:$B,D$4,'NSE - Other Index Options'!$H:$H,"Monthly*"))</f>
        <v>8472.75</v>
      </c>
      <c r="E41" s="26">
        <f>IF(SUMIFS('NSE - NIFTY Index Options'!$L:$L,'NSE - NIFTY Index Options'!$C:$C,$A41,'NSE - NIFTY Index Options'!$B:$B,E$4,'NSE - NIFTY Index Options'!$H:$H,"Monthly*")+SUMIFS('NSE - Other Index Options'!$L:$L,'NSE - Other Index Options'!$C:$C,$A41,'NSE - Other Index Options'!$B:$B,E$4,'NSE - Other Index Options'!$H:$H,"Monthly*")=0,"",SUMIFS('NSE - NIFTY Index Options'!$L:$L,'NSE - NIFTY Index Options'!$C:$C,$A41,'NSE - NIFTY Index Options'!$B:$B,E$4,'NSE - NIFTY Index Options'!$H:$H,"Monthly*")+SUMIFS('NSE - Other Index Options'!$L:$L,'NSE - Other Index Options'!$C:$C,$A41,'NSE - Other Index Options'!$B:$B,E$4,'NSE - Other Index Options'!$H:$H,"Monthly*"))</f>
        <v>8273.1400000000012</v>
      </c>
      <c r="F41" s="26">
        <f>IF(SUMIFS('NSE - NIFTY Index Options'!$L:$L,'NSE - NIFTY Index Options'!$C:$C,$A41,'NSE - NIFTY Index Options'!$B:$B,F$4,'NSE - NIFTY Index Options'!$H:$H,"Monthly*")+SUMIFS('NSE - Other Index Options'!$L:$L,'NSE - Other Index Options'!$C:$C,$A41,'NSE - Other Index Options'!$B:$B,F$4,'NSE - Other Index Options'!$H:$H,"Monthly*")=0,"",SUMIFS('NSE - NIFTY Index Options'!$L:$L,'NSE - NIFTY Index Options'!$C:$C,$A41,'NSE - NIFTY Index Options'!$B:$B,F$4,'NSE - NIFTY Index Options'!$H:$H,"Monthly*")+SUMIFS('NSE - Other Index Options'!$L:$L,'NSE - Other Index Options'!$C:$C,$A41,'NSE - Other Index Options'!$B:$B,F$4,'NSE - Other Index Options'!$H:$H,"Monthly*"))</f>
        <v>7541.0700000000006</v>
      </c>
      <c r="G41" s="26" t="str">
        <f>IF(SUMIFS('NSE - NIFTY Index Options'!$L:$L,'NSE - NIFTY Index Options'!$C:$C,$A41,'NSE - NIFTY Index Options'!$B:$B,G$4,'NSE - NIFTY Index Options'!$H:$H,"Monthly*")+SUMIFS('NSE - Other Index Options'!$L:$L,'NSE - Other Index Options'!$C:$C,$A41,'NSE - Other Index Options'!$B:$B,G$4,'NSE - Other Index Options'!$H:$H,"Monthly*")=0,"",SUMIFS('NSE - NIFTY Index Options'!$L:$L,'NSE - NIFTY Index Options'!$C:$C,$A41,'NSE - NIFTY Index Options'!$B:$B,G$4,'NSE - NIFTY Index Options'!$H:$H,"Monthly*")+SUMIFS('NSE - Other Index Options'!$L:$L,'NSE - Other Index Options'!$C:$C,$A41,'NSE - Other Index Options'!$B:$B,G$4,'NSE - Other Index Options'!$H:$H,"Monthly*"))</f>
        <v/>
      </c>
      <c r="H41" s="26">
        <f t="shared" si="1"/>
        <v>46106.43</v>
      </c>
    </row>
    <row r="42" spans="1:8">
      <c r="A42" t="s">
        <v>47</v>
      </c>
      <c r="B42" s="26">
        <f>IF(SUMIFS('NSE - NIFTY Index Options'!$L:$L,'NSE - NIFTY Index Options'!$C:$C,$A42,'NSE - NIFTY Index Options'!$B:$B,B$4,'NSE - NIFTY Index Options'!$H:$H,"Monthly*")+SUMIFS('NSE - Other Index Options'!$L:$L,'NSE - Other Index Options'!$C:$C,$A42,'NSE - Other Index Options'!$B:$B,B$4,'NSE - Other Index Options'!$H:$H,"Monthly*")=0,"",SUMIFS('NSE - NIFTY Index Options'!$L:$L,'NSE - NIFTY Index Options'!$C:$C,$A42,'NSE - NIFTY Index Options'!$B:$B,B$4,'NSE - NIFTY Index Options'!$H:$H,"Monthly*")+SUMIFS('NSE - Other Index Options'!$L:$L,'NSE - Other Index Options'!$C:$C,$A42,'NSE - Other Index Options'!$B:$B,B$4,'NSE - Other Index Options'!$H:$H,"Monthly*"))</f>
        <v>11799.64</v>
      </c>
      <c r="C42" s="26">
        <f>IF(SUMIFS('NSE - NIFTY Index Options'!$L:$L,'NSE - NIFTY Index Options'!$C:$C,$A42,'NSE - NIFTY Index Options'!$B:$B,C$4,'NSE - NIFTY Index Options'!$H:$H,"Monthly*")+SUMIFS('NSE - Other Index Options'!$L:$L,'NSE - Other Index Options'!$C:$C,$A42,'NSE - Other Index Options'!$B:$B,C$4,'NSE - Other Index Options'!$H:$H,"Monthly*")=0,"",SUMIFS('NSE - NIFTY Index Options'!$L:$L,'NSE - NIFTY Index Options'!$C:$C,$A42,'NSE - NIFTY Index Options'!$B:$B,C$4,'NSE - NIFTY Index Options'!$H:$H,"Monthly*")+SUMIFS('NSE - Other Index Options'!$L:$L,'NSE - Other Index Options'!$C:$C,$A42,'NSE - Other Index Options'!$B:$B,C$4,'NSE - Other Index Options'!$H:$H,"Monthly*"))</f>
        <v>18768.61</v>
      </c>
      <c r="D42" s="26">
        <f>IF(SUMIFS('NSE - NIFTY Index Options'!$L:$L,'NSE - NIFTY Index Options'!$C:$C,$A42,'NSE - NIFTY Index Options'!$B:$B,D$4,'NSE - NIFTY Index Options'!$H:$H,"Monthly*")+SUMIFS('NSE - Other Index Options'!$L:$L,'NSE - Other Index Options'!$C:$C,$A42,'NSE - Other Index Options'!$B:$B,D$4,'NSE - Other Index Options'!$H:$H,"Monthly*")=0,"",SUMIFS('NSE - NIFTY Index Options'!$L:$L,'NSE - NIFTY Index Options'!$C:$C,$A42,'NSE - NIFTY Index Options'!$B:$B,D$4,'NSE - NIFTY Index Options'!$H:$H,"Monthly*")+SUMIFS('NSE - Other Index Options'!$L:$L,'NSE - Other Index Options'!$C:$C,$A42,'NSE - Other Index Options'!$B:$B,D$4,'NSE - Other Index Options'!$H:$H,"Monthly*"))</f>
        <v>5986.7</v>
      </c>
      <c r="E42" s="26">
        <f>IF(SUMIFS('NSE - NIFTY Index Options'!$L:$L,'NSE - NIFTY Index Options'!$C:$C,$A42,'NSE - NIFTY Index Options'!$B:$B,E$4,'NSE - NIFTY Index Options'!$H:$H,"Monthly*")+SUMIFS('NSE - Other Index Options'!$L:$L,'NSE - Other Index Options'!$C:$C,$A42,'NSE - Other Index Options'!$B:$B,E$4,'NSE - Other Index Options'!$H:$H,"Monthly*")=0,"",SUMIFS('NSE - NIFTY Index Options'!$L:$L,'NSE - NIFTY Index Options'!$C:$C,$A42,'NSE - NIFTY Index Options'!$B:$B,E$4,'NSE - NIFTY Index Options'!$H:$H,"Monthly*")+SUMIFS('NSE - Other Index Options'!$L:$L,'NSE - Other Index Options'!$C:$C,$A42,'NSE - Other Index Options'!$B:$B,E$4,'NSE - Other Index Options'!$H:$H,"Monthly*"))</f>
        <v>6059.12</v>
      </c>
      <c r="F42" s="26">
        <f>IF(SUMIFS('NSE - NIFTY Index Options'!$L:$L,'NSE - NIFTY Index Options'!$C:$C,$A42,'NSE - NIFTY Index Options'!$B:$B,F$4,'NSE - NIFTY Index Options'!$H:$H,"Monthly*")+SUMIFS('NSE - Other Index Options'!$L:$L,'NSE - Other Index Options'!$C:$C,$A42,'NSE - Other Index Options'!$B:$B,F$4,'NSE - Other Index Options'!$H:$H,"Monthly*")=0,"",SUMIFS('NSE - NIFTY Index Options'!$L:$L,'NSE - NIFTY Index Options'!$C:$C,$A42,'NSE - NIFTY Index Options'!$B:$B,F$4,'NSE - NIFTY Index Options'!$H:$H,"Monthly*")+SUMIFS('NSE - Other Index Options'!$L:$L,'NSE - Other Index Options'!$C:$C,$A42,'NSE - Other Index Options'!$B:$B,F$4,'NSE - Other Index Options'!$H:$H,"Monthly*"))</f>
        <v>9596.82</v>
      </c>
      <c r="G42" s="26" t="str">
        <f>IF(SUMIFS('NSE - NIFTY Index Options'!$L:$L,'NSE - NIFTY Index Options'!$C:$C,$A42,'NSE - NIFTY Index Options'!$B:$B,G$4,'NSE - NIFTY Index Options'!$H:$H,"Monthly*")+SUMIFS('NSE - Other Index Options'!$L:$L,'NSE - Other Index Options'!$C:$C,$A42,'NSE - Other Index Options'!$B:$B,G$4,'NSE - Other Index Options'!$H:$H,"Monthly*")=0,"",SUMIFS('NSE - NIFTY Index Options'!$L:$L,'NSE - NIFTY Index Options'!$C:$C,$A42,'NSE - NIFTY Index Options'!$B:$B,G$4,'NSE - NIFTY Index Options'!$H:$H,"Monthly*")+SUMIFS('NSE - Other Index Options'!$L:$L,'NSE - Other Index Options'!$C:$C,$A42,'NSE - Other Index Options'!$B:$B,G$4,'NSE - Other Index Options'!$H:$H,"Monthly*"))</f>
        <v/>
      </c>
      <c r="H42" s="26">
        <f t="shared" si="1"/>
        <v>52210.89</v>
      </c>
    </row>
    <row r="43" spans="1:8">
      <c r="A43" t="s">
        <v>48</v>
      </c>
      <c r="B43" s="26" t="str">
        <f>IF(SUMIFS('NSE - NIFTY Index Options'!$L:$L,'NSE - NIFTY Index Options'!$C:$C,$A43,'NSE - NIFTY Index Options'!$B:$B,B$4,'NSE - NIFTY Index Options'!$H:$H,"Monthly*")+SUMIFS('NSE - Other Index Options'!$L:$L,'NSE - Other Index Options'!$C:$C,$A43,'NSE - Other Index Options'!$B:$B,B$4,'NSE - Other Index Options'!$H:$H,"Monthly*")=0,"",SUMIFS('NSE - NIFTY Index Options'!$L:$L,'NSE - NIFTY Index Options'!$C:$C,$A43,'NSE - NIFTY Index Options'!$B:$B,B$4,'NSE - NIFTY Index Options'!$H:$H,"Monthly*")+SUMIFS('NSE - Other Index Options'!$L:$L,'NSE - Other Index Options'!$C:$C,$A43,'NSE - Other Index Options'!$B:$B,B$4,'NSE - Other Index Options'!$H:$H,"Monthly*"))</f>
        <v/>
      </c>
      <c r="C43" s="26" t="str">
        <f>IF(SUMIFS('NSE - NIFTY Index Options'!$L:$L,'NSE - NIFTY Index Options'!$C:$C,$A43,'NSE - NIFTY Index Options'!$B:$B,C$4,'NSE - NIFTY Index Options'!$H:$H,"Monthly*")+SUMIFS('NSE - Other Index Options'!$L:$L,'NSE - Other Index Options'!$C:$C,$A43,'NSE - Other Index Options'!$B:$B,C$4,'NSE - Other Index Options'!$H:$H,"Monthly*")=0,"",SUMIFS('NSE - NIFTY Index Options'!$L:$L,'NSE - NIFTY Index Options'!$C:$C,$A43,'NSE - NIFTY Index Options'!$B:$B,C$4,'NSE - NIFTY Index Options'!$H:$H,"Monthly*")+SUMIFS('NSE - Other Index Options'!$L:$L,'NSE - Other Index Options'!$C:$C,$A43,'NSE - Other Index Options'!$B:$B,C$4,'NSE - Other Index Options'!$H:$H,"Monthly*"))</f>
        <v/>
      </c>
      <c r="D43" s="26">
        <f>IF(SUMIFS('NSE - NIFTY Index Options'!$L:$L,'NSE - NIFTY Index Options'!$C:$C,$A43,'NSE - NIFTY Index Options'!$B:$B,D$4,'NSE - NIFTY Index Options'!$H:$H,"Monthly*")+SUMIFS('NSE - Other Index Options'!$L:$L,'NSE - Other Index Options'!$C:$C,$A43,'NSE - Other Index Options'!$B:$B,D$4,'NSE - Other Index Options'!$H:$H,"Monthly*")=0,"",SUMIFS('NSE - NIFTY Index Options'!$L:$L,'NSE - NIFTY Index Options'!$C:$C,$A43,'NSE - NIFTY Index Options'!$B:$B,D$4,'NSE - NIFTY Index Options'!$H:$H,"Monthly*")+SUMIFS('NSE - Other Index Options'!$L:$L,'NSE - Other Index Options'!$C:$C,$A43,'NSE - Other Index Options'!$B:$B,D$4,'NSE - Other Index Options'!$H:$H,"Monthly*"))</f>
        <v>6784.82</v>
      </c>
      <c r="E43" s="26">
        <f>IF(SUMIFS('NSE - NIFTY Index Options'!$L:$L,'NSE - NIFTY Index Options'!$C:$C,$A43,'NSE - NIFTY Index Options'!$B:$B,E$4,'NSE - NIFTY Index Options'!$H:$H,"Monthly*")+SUMIFS('NSE - Other Index Options'!$L:$L,'NSE - Other Index Options'!$C:$C,$A43,'NSE - Other Index Options'!$B:$B,E$4,'NSE - Other Index Options'!$H:$H,"Monthly*")=0,"",SUMIFS('NSE - NIFTY Index Options'!$L:$L,'NSE - NIFTY Index Options'!$C:$C,$A43,'NSE - NIFTY Index Options'!$B:$B,E$4,'NSE - NIFTY Index Options'!$H:$H,"Monthly*")+SUMIFS('NSE - Other Index Options'!$L:$L,'NSE - Other Index Options'!$C:$C,$A43,'NSE - Other Index Options'!$B:$B,E$4,'NSE - Other Index Options'!$H:$H,"Monthly*"))</f>
        <v>7015.13</v>
      </c>
      <c r="F43" s="26" t="str">
        <f>IF(SUMIFS('NSE - NIFTY Index Options'!$L:$L,'NSE - NIFTY Index Options'!$C:$C,$A43,'NSE - NIFTY Index Options'!$B:$B,F$4,'NSE - NIFTY Index Options'!$H:$H,"Monthly*")+SUMIFS('NSE - Other Index Options'!$L:$L,'NSE - Other Index Options'!$C:$C,$A43,'NSE - Other Index Options'!$B:$B,F$4,'NSE - Other Index Options'!$H:$H,"Monthly*")=0,"",SUMIFS('NSE - NIFTY Index Options'!$L:$L,'NSE - NIFTY Index Options'!$C:$C,$A43,'NSE - NIFTY Index Options'!$B:$B,F$4,'NSE - NIFTY Index Options'!$H:$H,"Monthly*")+SUMIFS('NSE - Other Index Options'!$L:$L,'NSE - Other Index Options'!$C:$C,$A43,'NSE - Other Index Options'!$B:$B,F$4,'NSE - Other Index Options'!$H:$H,"Monthly*"))</f>
        <v/>
      </c>
      <c r="G43" s="26" t="str">
        <f>IF(SUMIFS('NSE - NIFTY Index Options'!$L:$L,'NSE - NIFTY Index Options'!$C:$C,$A43,'NSE - NIFTY Index Options'!$B:$B,G$4,'NSE - NIFTY Index Options'!$H:$H,"Monthly*")+SUMIFS('NSE - Other Index Options'!$L:$L,'NSE - Other Index Options'!$C:$C,$A43,'NSE - Other Index Options'!$B:$B,G$4,'NSE - Other Index Options'!$H:$H,"Monthly*")=0,"",SUMIFS('NSE - NIFTY Index Options'!$L:$L,'NSE - NIFTY Index Options'!$C:$C,$A43,'NSE - NIFTY Index Options'!$B:$B,G$4,'NSE - NIFTY Index Options'!$H:$H,"Monthly*")+SUMIFS('NSE - Other Index Options'!$L:$L,'NSE - Other Index Options'!$C:$C,$A43,'NSE - Other Index Options'!$B:$B,G$4,'NSE - Other Index Options'!$H:$H,"Monthly*"))</f>
        <v/>
      </c>
      <c r="H43" s="26">
        <f t="shared" si="1"/>
        <v>13799.95</v>
      </c>
    </row>
    <row r="44" spans="1:8">
      <c r="A44" t="s">
        <v>49</v>
      </c>
      <c r="B44" s="26">
        <f>IF(SUMIFS('NSE - NIFTY Index Options'!$L:$L,'NSE - NIFTY Index Options'!$C:$C,$A44,'NSE - NIFTY Index Options'!$B:$B,B$4,'NSE - NIFTY Index Options'!$H:$H,"Monthly*")+SUMIFS('NSE - Other Index Options'!$L:$L,'NSE - Other Index Options'!$C:$C,$A44,'NSE - Other Index Options'!$B:$B,B$4,'NSE - Other Index Options'!$H:$H,"Monthly*")=0,"",SUMIFS('NSE - NIFTY Index Options'!$L:$L,'NSE - NIFTY Index Options'!$C:$C,$A44,'NSE - NIFTY Index Options'!$B:$B,B$4,'NSE - NIFTY Index Options'!$H:$H,"Monthly*")+SUMIFS('NSE - Other Index Options'!$L:$L,'NSE - Other Index Options'!$C:$C,$A44,'NSE - Other Index Options'!$B:$B,B$4,'NSE - Other Index Options'!$H:$H,"Monthly*"))</f>
        <v>6057.9400000000005</v>
      </c>
      <c r="C44" s="26">
        <f>IF(SUMIFS('NSE - NIFTY Index Options'!$L:$L,'NSE - NIFTY Index Options'!$C:$C,$A44,'NSE - NIFTY Index Options'!$B:$B,C$4,'NSE - NIFTY Index Options'!$H:$H,"Monthly*")+SUMIFS('NSE - Other Index Options'!$L:$L,'NSE - Other Index Options'!$C:$C,$A44,'NSE - Other Index Options'!$B:$B,C$4,'NSE - Other Index Options'!$H:$H,"Monthly*")=0,"",SUMIFS('NSE - NIFTY Index Options'!$L:$L,'NSE - NIFTY Index Options'!$C:$C,$A44,'NSE - NIFTY Index Options'!$B:$B,C$4,'NSE - NIFTY Index Options'!$H:$H,"Monthly*")+SUMIFS('NSE - Other Index Options'!$L:$L,'NSE - Other Index Options'!$C:$C,$A44,'NSE - Other Index Options'!$B:$B,C$4,'NSE - Other Index Options'!$H:$H,"Monthly*"))</f>
        <v>5764.77</v>
      </c>
      <c r="D44" s="26">
        <f>IF(SUMIFS('NSE - NIFTY Index Options'!$L:$L,'NSE - NIFTY Index Options'!$C:$C,$A44,'NSE - NIFTY Index Options'!$B:$B,D$4,'NSE - NIFTY Index Options'!$H:$H,"Monthly*")+SUMIFS('NSE - Other Index Options'!$L:$L,'NSE - Other Index Options'!$C:$C,$A44,'NSE - Other Index Options'!$B:$B,D$4,'NSE - Other Index Options'!$H:$H,"Monthly*")=0,"",SUMIFS('NSE - NIFTY Index Options'!$L:$L,'NSE - NIFTY Index Options'!$C:$C,$A44,'NSE - NIFTY Index Options'!$B:$B,D$4,'NSE - NIFTY Index Options'!$H:$H,"Monthly*")+SUMIFS('NSE - Other Index Options'!$L:$L,'NSE - Other Index Options'!$C:$C,$A44,'NSE - Other Index Options'!$B:$B,D$4,'NSE - Other Index Options'!$H:$H,"Monthly*"))</f>
        <v>8608.0500000000011</v>
      </c>
      <c r="E44" s="26">
        <f>IF(SUMIFS('NSE - NIFTY Index Options'!$L:$L,'NSE - NIFTY Index Options'!$C:$C,$A44,'NSE - NIFTY Index Options'!$B:$B,E$4,'NSE - NIFTY Index Options'!$H:$H,"Monthly*")+SUMIFS('NSE - Other Index Options'!$L:$L,'NSE - Other Index Options'!$C:$C,$A44,'NSE - Other Index Options'!$B:$B,E$4,'NSE - Other Index Options'!$H:$H,"Monthly*")=0,"",SUMIFS('NSE - NIFTY Index Options'!$L:$L,'NSE - NIFTY Index Options'!$C:$C,$A44,'NSE - NIFTY Index Options'!$B:$B,E$4,'NSE - NIFTY Index Options'!$H:$H,"Monthly*")+SUMIFS('NSE - Other Index Options'!$L:$L,'NSE - Other Index Options'!$C:$C,$A44,'NSE - Other Index Options'!$B:$B,E$4,'NSE - Other Index Options'!$H:$H,"Monthly*"))</f>
        <v>6145.0999999999995</v>
      </c>
      <c r="F44" s="26" t="str">
        <f>IF(SUMIFS('NSE - NIFTY Index Options'!$L:$L,'NSE - NIFTY Index Options'!$C:$C,$A44,'NSE - NIFTY Index Options'!$B:$B,F$4,'NSE - NIFTY Index Options'!$H:$H,"Monthly*")+SUMIFS('NSE - Other Index Options'!$L:$L,'NSE - Other Index Options'!$C:$C,$A44,'NSE - Other Index Options'!$B:$B,F$4,'NSE - Other Index Options'!$H:$H,"Monthly*")=0,"",SUMIFS('NSE - NIFTY Index Options'!$L:$L,'NSE - NIFTY Index Options'!$C:$C,$A44,'NSE - NIFTY Index Options'!$B:$B,F$4,'NSE - NIFTY Index Options'!$H:$H,"Monthly*")+SUMIFS('NSE - Other Index Options'!$L:$L,'NSE - Other Index Options'!$C:$C,$A44,'NSE - Other Index Options'!$B:$B,F$4,'NSE - Other Index Options'!$H:$H,"Monthly*"))</f>
        <v/>
      </c>
      <c r="G44" s="26" t="str">
        <f>IF(SUMIFS('NSE - NIFTY Index Options'!$L:$L,'NSE - NIFTY Index Options'!$C:$C,$A44,'NSE - NIFTY Index Options'!$B:$B,G$4,'NSE - NIFTY Index Options'!$H:$H,"Monthly*")+SUMIFS('NSE - Other Index Options'!$L:$L,'NSE - Other Index Options'!$C:$C,$A44,'NSE - Other Index Options'!$B:$B,G$4,'NSE - Other Index Options'!$H:$H,"Monthly*")=0,"",SUMIFS('NSE - NIFTY Index Options'!$L:$L,'NSE - NIFTY Index Options'!$C:$C,$A44,'NSE - NIFTY Index Options'!$B:$B,G$4,'NSE - NIFTY Index Options'!$H:$H,"Monthly*")+SUMIFS('NSE - Other Index Options'!$L:$L,'NSE - Other Index Options'!$C:$C,$A44,'NSE - Other Index Options'!$B:$B,G$4,'NSE - Other Index Options'!$H:$H,"Monthly*"))</f>
        <v/>
      </c>
      <c r="H44" s="26">
        <f t="shared" si="1"/>
        <v>26575.86</v>
      </c>
    </row>
    <row r="45" spans="1:8">
      <c r="A45" t="s">
        <v>50</v>
      </c>
      <c r="B45" s="26">
        <f>IF(SUMIFS('NSE - NIFTY Index Options'!$L:$L,'NSE - NIFTY Index Options'!$C:$C,$A45,'NSE - NIFTY Index Options'!$B:$B,B$4,'NSE - NIFTY Index Options'!$H:$H,"Monthly*")+SUMIFS('NSE - Other Index Options'!$L:$L,'NSE - Other Index Options'!$C:$C,$A45,'NSE - Other Index Options'!$B:$B,B$4,'NSE - Other Index Options'!$H:$H,"Monthly*")=0,"",SUMIFS('NSE - NIFTY Index Options'!$L:$L,'NSE - NIFTY Index Options'!$C:$C,$A45,'NSE - NIFTY Index Options'!$B:$B,B$4,'NSE - NIFTY Index Options'!$H:$H,"Monthly*")+SUMIFS('NSE - Other Index Options'!$L:$L,'NSE - Other Index Options'!$C:$C,$A45,'NSE - Other Index Options'!$B:$B,B$4,'NSE - Other Index Options'!$H:$H,"Monthly*"))</f>
        <v>7590.75</v>
      </c>
      <c r="C45" s="26">
        <f>IF(SUMIFS('NSE - NIFTY Index Options'!$L:$L,'NSE - NIFTY Index Options'!$C:$C,$A45,'NSE - NIFTY Index Options'!$B:$B,C$4,'NSE - NIFTY Index Options'!$H:$H,"Monthly*")+SUMIFS('NSE - Other Index Options'!$L:$L,'NSE - Other Index Options'!$C:$C,$A45,'NSE - Other Index Options'!$B:$B,C$4,'NSE - Other Index Options'!$H:$H,"Monthly*")=0,"",SUMIFS('NSE - NIFTY Index Options'!$L:$L,'NSE - NIFTY Index Options'!$C:$C,$A45,'NSE - NIFTY Index Options'!$B:$B,C$4,'NSE - NIFTY Index Options'!$H:$H,"Monthly*")+SUMIFS('NSE - Other Index Options'!$L:$L,'NSE - Other Index Options'!$C:$C,$A45,'NSE - Other Index Options'!$B:$B,C$4,'NSE - Other Index Options'!$H:$H,"Monthly*"))</f>
        <v>8365.5</v>
      </c>
      <c r="D45" s="26">
        <f>IF(SUMIFS('NSE - NIFTY Index Options'!$L:$L,'NSE - NIFTY Index Options'!$C:$C,$A45,'NSE - NIFTY Index Options'!$B:$B,D$4,'NSE - NIFTY Index Options'!$H:$H,"Monthly*")+SUMIFS('NSE - Other Index Options'!$L:$L,'NSE - Other Index Options'!$C:$C,$A45,'NSE - Other Index Options'!$B:$B,D$4,'NSE - Other Index Options'!$H:$H,"Monthly*")=0,"",SUMIFS('NSE - NIFTY Index Options'!$L:$L,'NSE - NIFTY Index Options'!$C:$C,$A45,'NSE - NIFTY Index Options'!$B:$B,D$4,'NSE - NIFTY Index Options'!$H:$H,"Monthly*")+SUMIFS('NSE - Other Index Options'!$L:$L,'NSE - Other Index Options'!$C:$C,$A45,'NSE - Other Index Options'!$B:$B,D$4,'NSE - Other Index Options'!$H:$H,"Monthly*"))</f>
        <v>8868.9000000000015</v>
      </c>
      <c r="E45" s="26">
        <f>IF(SUMIFS('NSE - NIFTY Index Options'!$L:$L,'NSE - NIFTY Index Options'!$C:$C,$A45,'NSE - NIFTY Index Options'!$B:$B,E$4,'NSE - NIFTY Index Options'!$H:$H,"Monthly*")+SUMIFS('NSE - Other Index Options'!$L:$L,'NSE - Other Index Options'!$C:$C,$A45,'NSE - Other Index Options'!$B:$B,E$4,'NSE - Other Index Options'!$H:$H,"Monthly*")=0,"",SUMIFS('NSE - NIFTY Index Options'!$L:$L,'NSE - NIFTY Index Options'!$C:$C,$A45,'NSE - NIFTY Index Options'!$B:$B,E$4,'NSE - NIFTY Index Options'!$H:$H,"Monthly*")+SUMIFS('NSE - Other Index Options'!$L:$L,'NSE - Other Index Options'!$C:$C,$A45,'NSE - Other Index Options'!$B:$B,E$4,'NSE - Other Index Options'!$H:$H,"Monthly*"))</f>
        <v>9083.0300000000007</v>
      </c>
      <c r="F45" s="26">
        <f>IF(SUMIFS('NSE - NIFTY Index Options'!$L:$L,'NSE - NIFTY Index Options'!$C:$C,$A45,'NSE - NIFTY Index Options'!$B:$B,F$4,'NSE - NIFTY Index Options'!$H:$H,"Monthly*")+SUMIFS('NSE - Other Index Options'!$L:$L,'NSE - Other Index Options'!$C:$C,$A45,'NSE - Other Index Options'!$B:$B,F$4,'NSE - Other Index Options'!$H:$H,"Monthly*")=0,"",SUMIFS('NSE - NIFTY Index Options'!$L:$L,'NSE - NIFTY Index Options'!$C:$C,$A45,'NSE - NIFTY Index Options'!$B:$B,F$4,'NSE - NIFTY Index Options'!$H:$H,"Monthly*")+SUMIFS('NSE - Other Index Options'!$L:$L,'NSE - Other Index Options'!$C:$C,$A45,'NSE - Other Index Options'!$B:$B,F$4,'NSE - Other Index Options'!$H:$H,"Monthly*"))</f>
        <v>5887.25</v>
      </c>
      <c r="G45" s="26" t="str">
        <f>IF(SUMIFS('NSE - NIFTY Index Options'!$L:$L,'NSE - NIFTY Index Options'!$C:$C,$A45,'NSE - NIFTY Index Options'!$B:$B,G$4,'NSE - NIFTY Index Options'!$H:$H,"Monthly*")+SUMIFS('NSE - Other Index Options'!$L:$L,'NSE - Other Index Options'!$C:$C,$A45,'NSE - Other Index Options'!$B:$B,G$4,'NSE - Other Index Options'!$H:$H,"Monthly*")=0,"",SUMIFS('NSE - NIFTY Index Options'!$L:$L,'NSE - NIFTY Index Options'!$C:$C,$A45,'NSE - NIFTY Index Options'!$B:$B,G$4,'NSE - NIFTY Index Options'!$H:$H,"Monthly*")+SUMIFS('NSE - Other Index Options'!$L:$L,'NSE - Other Index Options'!$C:$C,$A45,'NSE - Other Index Options'!$B:$B,G$4,'NSE - Other Index Options'!$H:$H,"Monthly*"))</f>
        <v/>
      </c>
      <c r="H45" s="26">
        <f t="shared" si="1"/>
        <v>39795.43</v>
      </c>
    </row>
    <row r="46" spans="1:8">
      <c r="A46" t="s">
        <v>51</v>
      </c>
      <c r="B46" s="26">
        <f>IF(SUMIFS('NSE - NIFTY Index Options'!$L:$L,'NSE - NIFTY Index Options'!$C:$C,$A46,'NSE - NIFTY Index Options'!$B:$B,B$4,'NSE - NIFTY Index Options'!$H:$H,"Monthly*")+SUMIFS('NSE - Other Index Options'!$L:$L,'NSE - Other Index Options'!$C:$C,$A46,'NSE - Other Index Options'!$B:$B,B$4,'NSE - Other Index Options'!$H:$H,"Monthly*")=0,"",SUMIFS('NSE - NIFTY Index Options'!$L:$L,'NSE - NIFTY Index Options'!$C:$C,$A46,'NSE - NIFTY Index Options'!$B:$B,B$4,'NSE - NIFTY Index Options'!$H:$H,"Monthly*")+SUMIFS('NSE - Other Index Options'!$L:$L,'NSE - Other Index Options'!$C:$C,$A46,'NSE - Other Index Options'!$B:$B,B$4,'NSE - Other Index Options'!$H:$H,"Monthly*"))</f>
        <v>12274.97</v>
      </c>
      <c r="C46" s="26">
        <f>IF(SUMIFS('NSE - NIFTY Index Options'!$L:$L,'NSE - NIFTY Index Options'!$C:$C,$A46,'NSE - NIFTY Index Options'!$B:$B,C$4,'NSE - NIFTY Index Options'!$H:$H,"Monthly*")+SUMIFS('NSE - Other Index Options'!$L:$L,'NSE - Other Index Options'!$C:$C,$A46,'NSE - Other Index Options'!$B:$B,C$4,'NSE - Other Index Options'!$H:$H,"Monthly*")=0,"",SUMIFS('NSE - NIFTY Index Options'!$L:$L,'NSE - NIFTY Index Options'!$C:$C,$A46,'NSE - NIFTY Index Options'!$B:$B,C$4,'NSE - NIFTY Index Options'!$H:$H,"Monthly*")+SUMIFS('NSE - Other Index Options'!$L:$L,'NSE - Other Index Options'!$C:$C,$A46,'NSE - Other Index Options'!$B:$B,C$4,'NSE - Other Index Options'!$H:$H,"Monthly*"))</f>
        <v>11728.51</v>
      </c>
      <c r="D46" s="26">
        <f>IF(SUMIFS('NSE - NIFTY Index Options'!$L:$L,'NSE - NIFTY Index Options'!$C:$C,$A46,'NSE - NIFTY Index Options'!$B:$B,D$4,'NSE - NIFTY Index Options'!$H:$H,"Monthly*")+SUMIFS('NSE - Other Index Options'!$L:$L,'NSE - Other Index Options'!$C:$C,$A46,'NSE - Other Index Options'!$B:$B,D$4,'NSE - Other Index Options'!$H:$H,"Monthly*")=0,"",SUMIFS('NSE - NIFTY Index Options'!$L:$L,'NSE - NIFTY Index Options'!$C:$C,$A46,'NSE - NIFTY Index Options'!$B:$B,D$4,'NSE - NIFTY Index Options'!$H:$H,"Monthly*")+SUMIFS('NSE - Other Index Options'!$L:$L,'NSE - Other Index Options'!$C:$C,$A46,'NSE - Other Index Options'!$B:$B,D$4,'NSE - Other Index Options'!$H:$H,"Monthly*"))</f>
        <v>7255.2800000000007</v>
      </c>
      <c r="E46" s="26">
        <f>IF(SUMIFS('NSE - NIFTY Index Options'!$L:$L,'NSE - NIFTY Index Options'!$C:$C,$A46,'NSE - NIFTY Index Options'!$B:$B,E$4,'NSE - NIFTY Index Options'!$H:$H,"Monthly*")+SUMIFS('NSE - Other Index Options'!$L:$L,'NSE - Other Index Options'!$C:$C,$A46,'NSE - Other Index Options'!$B:$B,E$4,'NSE - Other Index Options'!$H:$H,"Monthly*")=0,"",SUMIFS('NSE - NIFTY Index Options'!$L:$L,'NSE - NIFTY Index Options'!$C:$C,$A46,'NSE - NIFTY Index Options'!$B:$B,E$4,'NSE - NIFTY Index Options'!$H:$H,"Monthly*")+SUMIFS('NSE - Other Index Options'!$L:$L,'NSE - Other Index Options'!$C:$C,$A46,'NSE - Other Index Options'!$B:$B,E$4,'NSE - Other Index Options'!$H:$H,"Monthly*"))</f>
        <v>6780.86</v>
      </c>
      <c r="F46" s="26">
        <f>IF(SUMIFS('NSE - NIFTY Index Options'!$L:$L,'NSE - NIFTY Index Options'!$C:$C,$A46,'NSE - NIFTY Index Options'!$B:$B,F$4,'NSE - NIFTY Index Options'!$H:$H,"Monthly*")+SUMIFS('NSE - Other Index Options'!$L:$L,'NSE - Other Index Options'!$C:$C,$A46,'NSE - Other Index Options'!$B:$B,F$4,'NSE - Other Index Options'!$H:$H,"Monthly*")=0,"",SUMIFS('NSE - NIFTY Index Options'!$L:$L,'NSE - NIFTY Index Options'!$C:$C,$A46,'NSE - NIFTY Index Options'!$B:$B,F$4,'NSE - NIFTY Index Options'!$H:$H,"Monthly*")+SUMIFS('NSE - Other Index Options'!$L:$L,'NSE - Other Index Options'!$C:$C,$A46,'NSE - Other Index Options'!$B:$B,F$4,'NSE - Other Index Options'!$H:$H,"Monthly*"))</f>
        <v>8705.34</v>
      </c>
      <c r="G46" s="26" t="str">
        <f>IF(SUMIFS('NSE - NIFTY Index Options'!$L:$L,'NSE - NIFTY Index Options'!$C:$C,$A46,'NSE - NIFTY Index Options'!$B:$B,G$4,'NSE - NIFTY Index Options'!$H:$H,"Monthly*")+SUMIFS('NSE - Other Index Options'!$L:$L,'NSE - Other Index Options'!$C:$C,$A46,'NSE - Other Index Options'!$B:$B,G$4,'NSE - Other Index Options'!$H:$H,"Monthly*")=0,"",SUMIFS('NSE - NIFTY Index Options'!$L:$L,'NSE - NIFTY Index Options'!$C:$C,$A46,'NSE - NIFTY Index Options'!$B:$B,G$4,'NSE - NIFTY Index Options'!$H:$H,"Monthly*")+SUMIFS('NSE - Other Index Options'!$L:$L,'NSE - Other Index Options'!$C:$C,$A46,'NSE - Other Index Options'!$B:$B,G$4,'NSE - Other Index Options'!$H:$H,"Monthly*"))</f>
        <v/>
      </c>
      <c r="H46" s="26">
        <f t="shared" si="1"/>
        <v>46744.960000000006</v>
      </c>
    </row>
    <row r="47" spans="1:8">
      <c r="A47" t="s">
        <v>52</v>
      </c>
      <c r="B47" s="26">
        <f>IF(SUMIFS('NSE - NIFTY Index Options'!$L:$L,'NSE - NIFTY Index Options'!$C:$C,$A47,'NSE - NIFTY Index Options'!$B:$B,B$4,'NSE - NIFTY Index Options'!$H:$H,"Monthly*")+SUMIFS('NSE - Other Index Options'!$L:$L,'NSE - Other Index Options'!$C:$C,$A47,'NSE - Other Index Options'!$B:$B,B$4,'NSE - Other Index Options'!$H:$H,"Monthly*")=0,"",SUMIFS('NSE - NIFTY Index Options'!$L:$L,'NSE - NIFTY Index Options'!$C:$C,$A47,'NSE - NIFTY Index Options'!$B:$B,B$4,'NSE - NIFTY Index Options'!$H:$H,"Monthly*")+SUMIFS('NSE - Other Index Options'!$L:$L,'NSE - Other Index Options'!$C:$C,$A47,'NSE - Other Index Options'!$B:$B,B$4,'NSE - Other Index Options'!$H:$H,"Monthly*"))</f>
        <v>11798.829999999998</v>
      </c>
      <c r="C47" s="26">
        <f>IF(SUMIFS('NSE - NIFTY Index Options'!$L:$L,'NSE - NIFTY Index Options'!$C:$C,$A47,'NSE - NIFTY Index Options'!$B:$B,C$4,'NSE - NIFTY Index Options'!$H:$H,"Monthly*")+SUMIFS('NSE - Other Index Options'!$L:$L,'NSE - Other Index Options'!$C:$C,$A47,'NSE - Other Index Options'!$B:$B,C$4,'NSE - Other Index Options'!$H:$H,"Monthly*")=0,"",SUMIFS('NSE - NIFTY Index Options'!$L:$L,'NSE - NIFTY Index Options'!$C:$C,$A47,'NSE - NIFTY Index Options'!$B:$B,C$4,'NSE - NIFTY Index Options'!$H:$H,"Monthly*")+SUMIFS('NSE - Other Index Options'!$L:$L,'NSE - Other Index Options'!$C:$C,$A47,'NSE - Other Index Options'!$B:$B,C$4,'NSE - Other Index Options'!$H:$H,"Monthly*"))</f>
        <v>21490.74</v>
      </c>
      <c r="D47" s="26">
        <f>IF(SUMIFS('NSE - NIFTY Index Options'!$L:$L,'NSE - NIFTY Index Options'!$C:$C,$A47,'NSE - NIFTY Index Options'!$B:$B,D$4,'NSE - NIFTY Index Options'!$H:$H,"Monthly*")+SUMIFS('NSE - Other Index Options'!$L:$L,'NSE - Other Index Options'!$C:$C,$A47,'NSE - Other Index Options'!$B:$B,D$4,'NSE - Other Index Options'!$H:$H,"Monthly*")=0,"",SUMIFS('NSE - NIFTY Index Options'!$L:$L,'NSE - NIFTY Index Options'!$C:$C,$A47,'NSE - NIFTY Index Options'!$B:$B,D$4,'NSE - NIFTY Index Options'!$H:$H,"Monthly*")+SUMIFS('NSE - Other Index Options'!$L:$L,'NSE - Other Index Options'!$C:$C,$A47,'NSE - Other Index Options'!$B:$B,D$4,'NSE - Other Index Options'!$H:$H,"Monthly*"))</f>
        <v>4875.9299999999994</v>
      </c>
      <c r="E47" s="26" t="str">
        <f>IF(SUMIFS('NSE - NIFTY Index Options'!$L:$L,'NSE - NIFTY Index Options'!$C:$C,$A47,'NSE - NIFTY Index Options'!$B:$B,E$4,'NSE - NIFTY Index Options'!$H:$H,"Monthly*")+SUMIFS('NSE - Other Index Options'!$L:$L,'NSE - Other Index Options'!$C:$C,$A47,'NSE - Other Index Options'!$B:$B,E$4,'NSE - Other Index Options'!$H:$H,"Monthly*")=0,"",SUMIFS('NSE - NIFTY Index Options'!$L:$L,'NSE - NIFTY Index Options'!$C:$C,$A47,'NSE - NIFTY Index Options'!$B:$B,E$4,'NSE - NIFTY Index Options'!$H:$H,"Monthly*")+SUMIFS('NSE - Other Index Options'!$L:$L,'NSE - Other Index Options'!$C:$C,$A47,'NSE - Other Index Options'!$B:$B,E$4,'NSE - Other Index Options'!$H:$H,"Monthly*"))</f>
        <v/>
      </c>
      <c r="F47" s="26">
        <f>IF(SUMIFS('NSE - NIFTY Index Options'!$L:$L,'NSE - NIFTY Index Options'!$C:$C,$A47,'NSE - NIFTY Index Options'!$B:$B,F$4,'NSE - NIFTY Index Options'!$H:$H,"Monthly*")+SUMIFS('NSE - Other Index Options'!$L:$L,'NSE - Other Index Options'!$C:$C,$A47,'NSE - Other Index Options'!$B:$B,F$4,'NSE - Other Index Options'!$H:$H,"Monthly*")=0,"",SUMIFS('NSE - NIFTY Index Options'!$L:$L,'NSE - NIFTY Index Options'!$C:$C,$A47,'NSE - NIFTY Index Options'!$B:$B,F$4,'NSE - NIFTY Index Options'!$H:$H,"Monthly*")+SUMIFS('NSE - Other Index Options'!$L:$L,'NSE - Other Index Options'!$C:$C,$A47,'NSE - Other Index Options'!$B:$B,F$4,'NSE - Other Index Options'!$H:$H,"Monthly*"))</f>
        <v>9473.0400000000009</v>
      </c>
      <c r="G47" s="26" t="str">
        <f>IF(SUMIFS('NSE - NIFTY Index Options'!$L:$L,'NSE - NIFTY Index Options'!$C:$C,$A47,'NSE - NIFTY Index Options'!$B:$B,G$4,'NSE - NIFTY Index Options'!$H:$H,"Monthly*")+SUMIFS('NSE - Other Index Options'!$L:$L,'NSE - Other Index Options'!$C:$C,$A47,'NSE - Other Index Options'!$B:$B,G$4,'NSE - Other Index Options'!$H:$H,"Monthly*")=0,"",SUMIFS('NSE - NIFTY Index Options'!$L:$L,'NSE - NIFTY Index Options'!$C:$C,$A47,'NSE - NIFTY Index Options'!$B:$B,G$4,'NSE - NIFTY Index Options'!$H:$H,"Monthly*")+SUMIFS('NSE - Other Index Options'!$L:$L,'NSE - Other Index Options'!$C:$C,$A47,'NSE - Other Index Options'!$B:$B,G$4,'NSE - Other Index Options'!$H:$H,"Monthly*"))</f>
        <v/>
      </c>
      <c r="H47" s="26">
        <f t="shared" si="1"/>
        <v>47638.54</v>
      </c>
    </row>
    <row r="48" spans="1:8">
      <c r="A48" t="s">
        <v>53</v>
      </c>
      <c r="B48" s="26" t="str">
        <f>IF(SUMIFS('NSE - NIFTY Index Options'!$L:$L,'NSE - NIFTY Index Options'!$C:$C,$A48,'NSE - NIFTY Index Options'!$B:$B,B$4,'NSE - NIFTY Index Options'!$H:$H,"Monthly*")+SUMIFS('NSE - Other Index Options'!$L:$L,'NSE - Other Index Options'!$C:$C,$A48,'NSE - Other Index Options'!$B:$B,B$4,'NSE - Other Index Options'!$H:$H,"Monthly*")=0,"",SUMIFS('NSE - NIFTY Index Options'!$L:$L,'NSE - NIFTY Index Options'!$C:$C,$A48,'NSE - NIFTY Index Options'!$B:$B,B$4,'NSE - NIFTY Index Options'!$H:$H,"Monthly*")+SUMIFS('NSE - Other Index Options'!$L:$L,'NSE - Other Index Options'!$C:$C,$A48,'NSE - Other Index Options'!$B:$B,B$4,'NSE - Other Index Options'!$H:$H,"Monthly*"))</f>
        <v/>
      </c>
      <c r="C48" s="26" t="str">
        <f>IF(SUMIFS('NSE - NIFTY Index Options'!$L:$L,'NSE - NIFTY Index Options'!$C:$C,$A48,'NSE - NIFTY Index Options'!$B:$B,C$4,'NSE - NIFTY Index Options'!$H:$H,"Monthly*")+SUMIFS('NSE - Other Index Options'!$L:$L,'NSE - Other Index Options'!$C:$C,$A48,'NSE - Other Index Options'!$B:$B,C$4,'NSE - Other Index Options'!$H:$H,"Monthly*")=0,"",SUMIFS('NSE - NIFTY Index Options'!$L:$L,'NSE - NIFTY Index Options'!$C:$C,$A48,'NSE - NIFTY Index Options'!$B:$B,C$4,'NSE - NIFTY Index Options'!$H:$H,"Monthly*")+SUMIFS('NSE - Other Index Options'!$L:$L,'NSE - Other Index Options'!$C:$C,$A48,'NSE - Other Index Options'!$B:$B,C$4,'NSE - Other Index Options'!$H:$H,"Monthly*"))</f>
        <v/>
      </c>
      <c r="D48" s="26" t="str">
        <f>IF(SUMIFS('NSE - NIFTY Index Options'!$L:$L,'NSE - NIFTY Index Options'!$C:$C,$A48,'NSE - NIFTY Index Options'!$B:$B,D$4,'NSE - NIFTY Index Options'!$H:$H,"Monthly*")+SUMIFS('NSE - Other Index Options'!$L:$L,'NSE - Other Index Options'!$C:$C,$A48,'NSE - Other Index Options'!$B:$B,D$4,'NSE - Other Index Options'!$H:$H,"Monthly*")=0,"",SUMIFS('NSE - NIFTY Index Options'!$L:$L,'NSE - NIFTY Index Options'!$C:$C,$A48,'NSE - NIFTY Index Options'!$B:$B,D$4,'NSE - NIFTY Index Options'!$H:$H,"Monthly*")+SUMIFS('NSE - Other Index Options'!$L:$L,'NSE - Other Index Options'!$C:$C,$A48,'NSE - Other Index Options'!$B:$B,D$4,'NSE - Other Index Options'!$H:$H,"Monthly*"))</f>
        <v/>
      </c>
      <c r="E48" s="26" t="str">
        <f>IF(SUMIFS('NSE - NIFTY Index Options'!$L:$L,'NSE - NIFTY Index Options'!$C:$C,$A48,'NSE - NIFTY Index Options'!$B:$B,E$4,'NSE - NIFTY Index Options'!$H:$H,"Monthly*")+SUMIFS('NSE - Other Index Options'!$L:$L,'NSE - Other Index Options'!$C:$C,$A48,'NSE - Other Index Options'!$B:$B,E$4,'NSE - Other Index Options'!$H:$H,"Monthly*")=0,"",SUMIFS('NSE - NIFTY Index Options'!$L:$L,'NSE - NIFTY Index Options'!$C:$C,$A48,'NSE - NIFTY Index Options'!$B:$B,E$4,'NSE - NIFTY Index Options'!$H:$H,"Monthly*")+SUMIFS('NSE - Other Index Options'!$L:$L,'NSE - Other Index Options'!$C:$C,$A48,'NSE - Other Index Options'!$B:$B,E$4,'NSE - Other Index Options'!$H:$H,"Monthly*"))</f>
        <v/>
      </c>
      <c r="F48" s="26">
        <f>IF(SUMIFS('NSE - NIFTY Index Options'!$L:$L,'NSE - NIFTY Index Options'!$C:$C,$A48,'NSE - NIFTY Index Options'!$B:$B,F$4,'NSE - NIFTY Index Options'!$H:$H,"Monthly*")+SUMIFS('NSE - Other Index Options'!$L:$L,'NSE - Other Index Options'!$C:$C,$A48,'NSE - Other Index Options'!$B:$B,F$4,'NSE - Other Index Options'!$H:$H,"Monthly*")=0,"",SUMIFS('NSE - NIFTY Index Options'!$L:$L,'NSE - NIFTY Index Options'!$C:$C,$A48,'NSE - NIFTY Index Options'!$B:$B,F$4,'NSE - NIFTY Index Options'!$H:$H,"Monthly*")+SUMIFS('NSE - Other Index Options'!$L:$L,'NSE - Other Index Options'!$C:$C,$A48,'NSE - Other Index Options'!$B:$B,F$4,'NSE - Other Index Options'!$H:$H,"Monthly*"))</f>
        <v>7164.5000000000009</v>
      </c>
      <c r="G48" s="26" t="str">
        <f>IF(SUMIFS('NSE - NIFTY Index Options'!$L:$L,'NSE - NIFTY Index Options'!$C:$C,$A48,'NSE - NIFTY Index Options'!$B:$B,G$4,'NSE - NIFTY Index Options'!$H:$H,"Monthly*")+SUMIFS('NSE - Other Index Options'!$L:$L,'NSE - Other Index Options'!$C:$C,$A48,'NSE - Other Index Options'!$B:$B,G$4,'NSE - Other Index Options'!$H:$H,"Monthly*")=0,"",SUMIFS('NSE - NIFTY Index Options'!$L:$L,'NSE - NIFTY Index Options'!$C:$C,$A48,'NSE - NIFTY Index Options'!$B:$B,G$4,'NSE - NIFTY Index Options'!$H:$H,"Monthly*")+SUMIFS('NSE - Other Index Options'!$L:$L,'NSE - Other Index Options'!$C:$C,$A48,'NSE - Other Index Options'!$B:$B,G$4,'NSE - Other Index Options'!$H:$H,"Monthly*"))</f>
        <v/>
      </c>
      <c r="H48" s="26">
        <f t="shared" si="1"/>
        <v>7164.5000000000009</v>
      </c>
    </row>
    <row r="49" spans="1:8">
      <c r="A49" t="s">
        <v>54</v>
      </c>
      <c r="B49" s="26">
        <f>IF(SUMIFS('NSE - NIFTY Index Options'!$L:$L,'NSE - NIFTY Index Options'!$C:$C,$A49,'NSE - NIFTY Index Options'!$B:$B,B$4,'NSE - NIFTY Index Options'!$H:$H,"Monthly*")+SUMIFS('NSE - Other Index Options'!$L:$L,'NSE - Other Index Options'!$C:$C,$A49,'NSE - Other Index Options'!$B:$B,B$4,'NSE - Other Index Options'!$H:$H,"Monthly*")=0,"",SUMIFS('NSE - NIFTY Index Options'!$L:$L,'NSE - NIFTY Index Options'!$C:$C,$A49,'NSE - NIFTY Index Options'!$B:$B,B$4,'NSE - NIFTY Index Options'!$H:$H,"Monthly*")+SUMIFS('NSE - Other Index Options'!$L:$L,'NSE - Other Index Options'!$C:$C,$A49,'NSE - Other Index Options'!$B:$B,B$4,'NSE - Other Index Options'!$H:$H,"Monthly*"))</f>
        <v>6900.74</v>
      </c>
      <c r="C49" s="26">
        <f>IF(SUMIFS('NSE - NIFTY Index Options'!$L:$L,'NSE - NIFTY Index Options'!$C:$C,$A49,'NSE - NIFTY Index Options'!$B:$B,C$4,'NSE - NIFTY Index Options'!$H:$H,"Monthly*")+SUMIFS('NSE - Other Index Options'!$L:$L,'NSE - Other Index Options'!$C:$C,$A49,'NSE - Other Index Options'!$B:$B,C$4,'NSE - Other Index Options'!$H:$H,"Monthly*")=0,"",SUMIFS('NSE - NIFTY Index Options'!$L:$L,'NSE - NIFTY Index Options'!$C:$C,$A49,'NSE - NIFTY Index Options'!$B:$B,C$4,'NSE - NIFTY Index Options'!$H:$H,"Monthly*")+SUMIFS('NSE - Other Index Options'!$L:$L,'NSE - Other Index Options'!$C:$C,$A49,'NSE - Other Index Options'!$B:$B,C$4,'NSE - Other Index Options'!$H:$H,"Monthly*"))</f>
        <v>6794.6</v>
      </c>
      <c r="D49" s="26">
        <f>IF(SUMIFS('NSE - NIFTY Index Options'!$L:$L,'NSE - NIFTY Index Options'!$C:$C,$A49,'NSE - NIFTY Index Options'!$B:$B,D$4,'NSE - NIFTY Index Options'!$H:$H,"Monthly*")+SUMIFS('NSE - Other Index Options'!$L:$L,'NSE - Other Index Options'!$C:$C,$A49,'NSE - Other Index Options'!$B:$B,D$4,'NSE - Other Index Options'!$H:$H,"Monthly*")=0,"",SUMIFS('NSE - NIFTY Index Options'!$L:$L,'NSE - NIFTY Index Options'!$C:$C,$A49,'NSE - NIFTY Index Options'!$B:$B,D$4,'NSE - NIFTY Index Options'!$H:$H,"Monthly*")+SUMIFS('NSE - Other Index Options'!$L:$L,'NSE - Other Index Options'!$C:$C,$A49,'NSE - Other Index Options'!$B:$B,D$4,'NSE - Other Index Options'!$H:$H,"Monthly*"))</f>
        <v>8948.56</v>
      </c>
      <c r="E49" s="26">
        <f>IF(SUMIFS('NSE - NIFTY Index Options'!$L:$L,'NSE - NIFTY Index Options'!$C:$C,$A49,'NSE - NIFTY Index Options'!$B:$B,E$4,'NSE - NIFTY Index Options'!$H:$H,"Monthly*")+SUMIFS('NSE - Other Index Options'!$L:$L,'NSE - Other Index Options'!$C:$C,$A49,'NSE - Other Index Options'!$B:$B,E$4,'NSE - Other Index Options'!$H:$H,"Monthly*")=0,"",SUMIFS('NSE - NIFTY Index Options'!$L:$L,'NSE - NIFTY Index Options'!$C:$C,$A49,'NSE - NIFTY Index Options'!$B:$B,E$4,'NSE - NIFTY Index Options'!$H:$H,"Monthly*")+SUMIFS('NSE - Other Index Options'!$L:$L,'NSE - Other Index Options'!$C:$C,$A49,'NSE - Other Index Options'!$B:$B,E$4,'NSE - Other Index Options'!$H:$H,"Monthly*"))</f>
        <v>5610.3600000000006</v>
      </c>
      <c r="F49" s="26">
        <f>IF(SUMIFS('NSE - NIFTY Index Options'!$L:$L,'NSE - NIFTY Index Options'!$C:$C,$A49,'NSE - NIFTY Index Options'!$B:$B,F$4,'NSE - NIFTY Index Options'!$H:$H,"Monthly*")+SUMIFS('NSE - Other Index Options'!$L:$L,'NSE - Other Index Options'!$C:$C,$A49,'NSE - Other Index Options'!$B:$B,F$4,'NSE - Other Index Options'!$H:$H,"Monthly*")=0,"",SUMIFS('NSE - NIFTY Index Options'!$L:$L,'NSE - NIFTY Index Options'!$C:$C,$A49,'NSE - NIFTY Index Options'!$B:$B,F$4,'NSE - NIFTY Index Options'!$H:$H,"Monthly*")+SUMIFS('NSE - Other Index Options'!$L:$L,'NSE - Other Index Options'!$C:$C,$A49,'NSE - Other Index Options'!$B:$B,F$4,'NSE - Other Index Options'!$H:$H,"Monthly*"))</f>
        <v>8070.77</v>
      </c>
      <c r="G49" s="26" t="str">
        <f>IF(SUMIFS('NSE - NIFTY Index Options'!$L:$L,'NSE - NIFTY Index Options'!$C:$C,$A49,'NSE - NIFTY Index Options'!$B:$B,G$4,'NSE - NIFTY Index Options'!$H:$H,"Monthly*")+SUMIFS('NSE - Other Index Options'!$L:$L,'NSE - Other Index Options'!$C:$C,$A49,'NSE - Other Index Options'!$B:$B,G$4,'NSE - Other Index Options'!$H:$H,"Monthly*")=0,"",SUMIFS('NSE - NIFTY Index Options'!$L:$L,'NSE - NIFTY Index Options'!$C:$C,$A49,'NSE - NIFTY Index Options'!$B:$B,G$4,'NSE - NIFTY Index Options'!$H:$H,"Monthly*")+SUMIFS('NSE - Other Index Options'!$L:$L,'NSE - Other Index Options'!$C:$C,$A49,'NSE - Other Index Options'!$B:$B,G$4,'NSE - Other Index Options'!$H:$H,"Monthly*"))</f>
        <v/>
      </c>
      <c r="H49" s="26">
        <f t="shared" si="1"/>
        <v>36325.03</v>
      </c>
    </row>
    <row r="50" spans="1:8">
      <c r="A50" t="s">
        <v>55</v>
      </c>
      <c r="B50" s="26">
        <f>IF(SUMIFS('NSE - NIFTY Index Options'!$L:$L,'NSE - NIFTY Index Options'!$C:$C,$A50,'NSE - NIFTY Index Options'!$B:$B,B$4,'NSE - NIFTY Index Options'!$H:$H,"Monthly*")+SUMIFS('NSE - Other Index Options'!$L:$L,'NSE - Other Index Options'!$C:$C,$A50,'NSE - Other Index Options'!$B:$B,B$4,'NSE - Other Index Options'!$H:$H,"Monthly*")=0,"",SUMIFS('NSE - NIFTY Index Options'!$L:$L,'NSE - NIFTY Index Options'!$C:$C,$A50,'NSE - NIFTY Index Options'!$B:$B,B$4,'NSE - NIFTY Index Options'!$H:$H,"Monthly*")+SUMIFS('NSE - Other Index Options'!$L:$L,'NSE - Other Index Options'!$C:$C,$A50,'NSE - Other Index Options'!$B:$B,B$4,'NSE - Other Index Options'!$H:$H,"Monthly*"))</f>
        <v>7297.6999999999989</v>
      </c>
      <c r="C50" s="26">
        <f>IF(SUMIFS('NSE - NIFTY Index Options'!$L:$L,'NSE - NIFTY Index Options'!$C:$C,$A50,'NSE - NIFTY Index Options'!$B:$B,C$4,'NSE - NIFTY Index Options'!$H:$H,"Monthly*")+SUMIFS('NSE - Other Index Options'!$L:$L,'NSE - Other Index Options'!$C:$C,$A50,'NSE - Other Index Options'!$B:$B,C$4,'NSE - Other Index Options'!$H:$H,"Monthly*")=0,"",SUMIFS('NSE - NIFTY Index Options'!$L:$L,'NSE - NIFTY Index Options'!$C:$C,$A50,'NSE - NIFTY Index Options'!$B:$B,C$4,'NSE - NIFTY Index Options'!$H:$H,"Monthly*")+SUMIFS('NSE - Other Index Options'!$L:$L,'NSE - Other Index Options'!$C:$C,$A50,'NSE - Other Index Options'!$B:$B,C$4,'NSE - Other Index Options'!$H:$H,"Monthly*"))</f>
        <v>6987.3600000000006</v>
      </c>
      <c r="D50" s="26">
        <f>IF(SUMIFS('NSE - NIFTY Index Options'!$L:$L,'NSE - NIFTY Index Options'!$C:$C,$A50,'NSE - NIFTY Index Options'!$B:$B,D$4,'NSE - NIFTY Index Options'!$H:$H,"Monthly*")+SUMIFS('NSE - Other Index Options'!$L:$L,'NSE - Other Index Options'!$C:$C,$A50,'NSE - Other Index Options'!$B:$B,D$4,'NSE - Other Index Options'!$H:$H,"Monthly*")=0,"",SUMIFS('NSE - NIFTY Index Options'!$L:$L,'NSE - NIFTY Index Options'!$C:$C,$A50,'NSE - NIFTY Index Options'!$B:$B,D$4,'NSE - NIFTY Index Options'!$H:$H,"Monthly*")+SUMIFS('NSE - Other Index Options'!$L:$L,'NSE - Other Index Options'!$C:$C,$A50,'NSE - Other Index Options'!$B:$B,D$4,'NSE - Other Index Options'!$H:$H,"Monthly*"))</f>
        <v>6551.4499999999989</v>
      </c>
      <c r="E50" s="26">
        <f>IF(SUMIFS('NSE - NIFTY Index Options'!$L:$L,'NSE - NIFTY Index Options'!$C:$C,$A50,'NSE - NIFTY Index Options'!$B:$B,E$4,'NSE - NIFTY Index Options'!$H:$H,"Monthly*")+SUMIFS('NSE - Other Index Options'!$L:$L,'NSE - Other Index Options'!$C:$C,$A50,'NSE - Other Index Options'!$B:$B,E$4,'NSE - Other Index Options'!$H:$H,"Monthly*")=0,"",SUMIFS('NSE - NIFTY Index Options'!$L:$L,'NSE - NIFTY Index Options'!$C:$C,$A50,'NSE - NIFTY Index Options'!$B:$B,E$4,'NSE - NIFTY Index Options'!$H:$H,"Monthly*")+SUMIFS('NSE - Other Index Options'!$L:$L,'NSE - Other Index Options'!$C:$C,$A50,'NSE - Other Index Options'!$B:$B,E$4,'NSE - Other Index Options'!$H:$H,"Monthly*"))</f>
        <v>6549.2100000000009</v>
      </c>
      <c r="F50" s="26">
        <f>IF(SUMIFS('NSE - NIFTY Index Options'!$L:$L,'NSE - NIFTY Index Options'!$C:$C,$A50,'NSE - NIFTY Index Options'!$B:$B,F$4,'NSE - NIFTY Index Options'!$H:$H,"Monthly*")+SUMIFS('NSE - Other Index Options'!$L:$L,'NSE - Other Index Options'!$C:$C,$A50,'NSE - Other Index Options'!$B:$B,F$4,'NSE - Other Index Options'!$H:$H,"Monthly*")=0,"",SUMIFS('NSE - NIFTY Index Options'!$L:$L,'NSE - NIFTY Index Options'!$C:$C,$A50,'NSE - NIFTY Index Options'!$B:$B,F$4,'NSE - NIFTY Index Options'!$H:$H,"Monthly*")+SUMIFS('NSE - Other Index Options'!$L:$L,'NSE - Other Index Options'!$C:$C,$A50,'NSE - Other Index Options'!$B:$B,F$4,'NSE - Other Index Options'!$H:$H,"Monthly*"))</f>
        <v>9767.06</v>
      </c>
      <c r="G50" s="26" t="str">
        <f>IF(SUMIFS('NSE - NIFTY Index Options'!$L:$L,'NSE - NIFTY Index Options'!$C:$C,$A50,'NSE - NIFTY Index Options'!$B:$B,G$4,'NSE - NIFTY Index Options'!$H:$H,"Monthly*")+SUMIFS('NSE - Other Index Options'!$L:$L,'NSE - Other Index Options'!$C:$C,$A50,'NSE - Other Index Options'!$B:$B,G$4,'NSE - Other Index Options'!$H:$H,"Monthly*")=0,"",SUMIFS('NSE - NIFTY Index Options'!$L:$L,'NSE - NIFTY Index Options'!$C:$C,$A50,'NSE - NIFTY Index Options'!$B:$B,G$4,'NSE - NIFTY Index Options'!$H:$H,"Monthly*")+SUMIFS('NSE - Other Index Options'!$L:$L,'NSE - Other Index Options'!$C:$C,$A50,'NSE - Other Index Options'!$B:$B,G$4,'NSE - Other Index Options'!$H:$H,"Monthly*"))</f>
        <v/>
      </c>
      <c r="H50" s="26">
        <f t="shared" si="1"/>
        <v>37152.78</v>
      </c>
    </row>
    <row r="51" spans="1:8">
      <c r="A51" t="s">
        <v>56</v>
      </c>
      <c r="B51" s="26">
        <f>IF(SUMIFS('NSE - NIFTY Index Options'!$L:$L,'NSE - NIFTY Index Options'!$C:$C,$A51,'NSE - NIFTY Index Options'!$B:$B,B$4,'NSE - NIFTY Index Options'!$H:$H,"Monthly*")+SUMIFS('NSE - Other Index Options'!$L:$L,'NSE - Other Index Options'!$C:$C,$A51,'NSE - Other Index Options'!$B:$B,B$4,'NSE - Other Index Options'!$H:$H,"Monthly*")=0,"",SUMIFS('NSE - NIFTY Index Options'!$L:$L,'NSE - NIFTY Index Options'!$C:$C,$A51,'NSE - NIFTY Index Options'!$B:$B,B$4,'NSE - NIFTY Index Options'!$H:$H,"Monthly*")+SUMIFS('NSE - Other Index Options'!$L:$L,'NSE - Other Index Options'!$C:$C,$A51,'NSE - Other Index Options'!$B:$B,B$4,'NSE - Other Index Options'!$H:$H,"Monthly*"))</f>
        <v>7737.4100000000008</v>
      </c>
      <c r="C51" s="26">
        <f>IF(SUMIFS('NSE - NIFTY Index Options'!$L:$L,'NSE - NIFTY Index Options'!$C:$C,$A51,'NSE - NIFTY Index Options'!$B:$B,C$4,'NSE - NIFTY Index Options'!$H:$H,"Monthly*")+SUMIFS('NSE - Other Index Options'!$L:$L,'NSE - Other Index Options'!$C:$C,$A51,'NSE - Other Index Options'!$B:$B,C$4,'NSE - Other Index Options'!$H:$H,"Monthly*")=0,"",SUMIFS('NSE - NIFTY Index Options'!$L:$L,'NSE - NIFTY Index Options'!$C:$C,$A51,'NSE - NIFTY Index Options'!$B:$B,C$4,'NSE - NIFTY Index Options'!$H:$H,"Monthly*")+SUMIFS('NSE - Other Index Options'!$L:$L,'NSE - Other Index Options'!$C:$C,$A51,'NSE - Other Index Options'!$B:$B,C$4,'NSE - Other Index Options'!$H:$H,"Monthly*"))</f>
        <v>4956.17</v>
      </c>
      <c r="D51" s="26">
        <f>IF(SUMIFS('NSE - NIFTY Index Options'!$L:$L,'NSE - NIFTY Index Options'!$C:$C,$A51,'NSE - NIFTY Index Options'!$B:$B,D$4,'NSE - NIFTY Index Options'!$H:$H,"Monthly*")+SUMIFS('NSE - Other Index Options'!$L:$L,'NSE - Other Index Options'!$C:$C,$A51,'NSE - Other Index Options'!$B:$B,D$4,'NSE - Other Index Options'!$H:$H,"Monthly*")=0,"",SUMIFS('NSE - NIFTY Index Options'!$L:$L,'NSE - NIFTY Index Options'!$C:$C,$A51,'NSE - NIFTY Index Options'!$B:$B,D$4,'NSE - NIFTY Index Options'!$H:$H,"Monthly*")+SUMIFS('NSE - Other Index Options'!$L:$L,'NSE - Other Index Options'!$C:$C,$A51,'NSE - Other Index Options'!$B:$B,D$4,'NSE - Other Index Options'!$H:$H,"Monthly*"))</f>
        <v>5527.2100000000009</v>
      </c>
      <c r="E51" s="26">
        <f>IF(SUMIFS('NSE - NIFTY Index Options'!$L:$L,'NSE - NIFTY Index Options'!$C:$C,$A51,'NSE - NIFTY Index Options'!$B:$B,E$4,'NSE - NIFTY Index Options'!$H:$H,"Monthly*")+SUMIFS('NSE - Other Index Options'!$L:$L,'NSE - Other Index Options'!$C:$C,$A51,'NSE - Other Index Options'!$B:$B,E$4,'NSE - Other Index Options'!$H:$H,"Monthly*")=0,"",SUMIFS('NSE - NIFTY Index Options'!$L:$L,'NSE - NIFTY Index Options'!$C:$C,$A51,'NSE - NIFTY Index Options'!$B:$B,E$4,'NSE - NIFTY Index Options'!$H:$H,"Monthly*")+SUMIFS('NSE - Other Index Options'!$L:$L,'NSE - Other Index Options'!$C:$C,$A51,'NSE - Other Index Options'!$B:$B,E$4,'NSE - Other Index Options'!$H:$H,"Monthly*"))</f>
        <v>6400.57</v>
      </c>
      <c r="F51" s="26">
        <f>IF(SUMIFS('NSE - NIFTY Index Options'!$L:$L,'NSE - NIFTY Index Options'!$C:$C,$A51,'NSE - NIFTY Index Options'!$B:$B,F$4,'NSE - NIFTY Index Options'!$H:$H,"Monthly*")+SUMIFS('NSE - Other Index Options'!$L:$L,'NSE - Other Index Options'!$C:$C,$A51,'NSE - Other Index Options'!$B:$B,F$4,'NSE - Other Index Options'!$H:$H,"Monthly*")=0,"",SUMIFS('NSE - NIFTY Index Options'!$L:$L,'NSE - NIFTY Index Options'!$C:$C,$A51,'NSE - NIFTY Index Options'!$B:$B,F$4,'NSE - NIFTY Index Options'!$H:$H,"Monthly*")+SUMIFS('NSE - Other Index Options'!$L:$L,'NSE - Other Index Options'!$C:$C,$A51,'NSE - Other Index Options'!$B:$B,F$4,'NSE - Other Index Options'!$H:$H,"Monthly*"))</f>
        <v>7533.97</v>
      </c>
      <c r="G51" s="26" t="str">
        <f>IF(SUMIFS('NSE - NIFTY Index Options'!$L:$L,'NSE - NIFTY Index Options'!$C:$C,$A51,'NSE - NIFTY Index Options'!$B:$B,G$4,'NSE - NIFTY Index Options'!$H:$H,"Monthly*")+SUMIFS('NSE - Other Index Options'!$L:$L,'NSE - Other Index Options'!$C:$C,$A51,'NSE - Other Index Options'!$B:$B,G$4,'NSE - Other Index Options'!$H:$H,"Monthly*")=0,"",SUMIFS('NSE - NIFTY Index Options'!$L:$L,'NSE - NIFTY Index Options'!$C:$C,$A51,'NSE - NIFTY Index Options'!$B:$B,G$4,'NSE - NIFTY Index Options'!$H:$H,"Monthly*")+SUMIFS('NSE - Other Index Options'!$L:$L,'NSE - Other Index Options'!$C:$C,$A51,'NSE - Other Index Options'!$B:$B,G$4,'NSE - Other Index Options'!$H:$H,"Monthly*"))</f>
        <v/>
      </c>
      <c r="H51" s="26">
        <f t="shared" si="1"/>
        <v>32155.33</v>
      </c>
    </row>
    <row r="52" spans="1:8">
      <c r="A52" t="s">
        <v>57</v>
      </c>
      <c r="B52" s="26">
        <f>IF(SUMIFS('NSE - NIFTY Index Options'!$L:$L,'NSE - NIFTY Index Options'!$C:$C,$A52,'NSE - NIFTY Index Options'!$B:$B,B$4,'NSE - NIFTY Index Options'!$H:$H,"Monthly*")+SUMIFS('NSE - Other Index Options'!$L:$L,'NSE - Other Index Options'!$C:$C,$A52,'NSE - Other Index Options'!$B:$B,B$4,'NSE - Other Index Options'!$H:$H,"Monthly*")=0,"",SUMIFS('NSE - NIFTY Index Options'!$L:$L,'NSE - NIFTY Index Options'!$C:$C,$A52,'NSE - NIFTY Index Options'!$B:$B,B$4,'NSE - NIFTY Index Options'!$H:$H,"Monthly*")+SUMIFS('NSE - Other Index Options'!$L:$L,'NSE - Other Index Options'!$C:$C,$A52,'NSE - Other Index Options'!$B:$B,B$4,'NSE - Other Index Options'!$H:$H,"Monthly*"))</f>
        <v>6078.3599999999988</v>
      </c>
      <c r="C52" s="26">
        <f>IF(SUMIFS('NSE - NIFTY Index Options'!$L:$L,'NSE - NIFTY Index Options'!$C:$C,$A52,'NSE - NIFTY Index Options'!$B:$B,C$4,'NSE - NIFTY Index Options'!$H:$H,"Monthly*")+SUMIFS('NSE - Other Index Options'!$L:$L,'NSE - Other Index Options'!$C:$C,$A52,'NSE - Other Index Options'!$B:$B,C$4,'NSE - Other Index Options'!$H:$H,"Monthly*")=0,"",SUMIFS('NSE - NIFTY Index Options'!$L:$L,'NSE - NIFTY Index Options'!$C:$C,$A52,'NSE - NIFTY Index Options'!$B:$B,C$4,'NSE - NIFTY Index Options'!$H:$H,"Monthly*")+SUMIFS('NSE - Other Index Options'!$L:$L,'NSE - Other Index Options'!$C:$C,$A52,'NSE - Other Index Options'!$B:$B,C$4,'NSE - Other Index Options'!$H:$H,"Monthly*"))</f>
        <v>13251.05</v>
      </c>
      <c r="D52" s="26">
        <f>IF(SUMIFS('NSE - NIFTY Index Options'!$L:$L,'NSE - NIFTY Index Options'!$C:$C,$A52,'NSE - NIFTY Index Options'!$B:$B,D$4,'NSE - NIFTY Index Options'!$H:$H,"Monthly*")+SUMIFS('NSE - Other Index Options'!$L:$L,'NSE - Other Index Options'!$C:$C,$A52,'NSE - Other Index Options'!$B:$B,D$4,'NSE - Other Index Options'!$H:$H,"Monthly*")=0,"",SUMIFS('NSE - NIFTY Index Options'!$L:$L,'NSE - NIFTY Index Options'!$C:$C,$A52,'NSE - NIFTY Index Options'!$B:$B,D$4,'NSE - NIFTY Index Options'!$H:$H,"Monthly*")+SUMIFS('NSE - Other Index Options'!$L:$L,'NSE - Other Index Options'!$C:$C,$A52,'NSE - Other Index Options'!$B:$B,D$4,'NSE - Other Index Options'!$H:$H,"Monthly*"))</f>
        <v>7825.65</v>
      </c>
      <c r="E52" s="26">
        <f>IF(SUMIFS('NSE - NIFTY Index Options'!$L:$L,'NSE - NIFTY Index Options'!$C:$C,$A52,'NSE - NIFTY Index Options'!$B:$B,E$4,'NSE - NIFTY Index Options'!$H:$H,"Monthly*")+SUMIFS('NSE - Other Index Options'!$L:$L,'NSE - Other Index Options'!$C:$C,$A52,'NSE - Other Index Options'!$B:$B,E$4,'NSE - Other Index Options'!$H:$H,"Monthly*")=0,"",SUMIFS('NSE - NIFTY Index Options'!$L:$L,'NSE - NIFTY Index Options'!$C:$C,$A52,'NSE - NIFTY Index Options'!$B:$B,E$4,'NSE - NIFTY Index Options'!$H:$H,"Monthly*")+SUMIFS('NSE - Other Index Options'!$L:$L,'NSE - Other Index Options'!$C:$C,$A52,'NSE - Other Index Options'!$B:$B,E$4,'NSE - Other Index Options'!$H:$H,"Monthly*"))</f>
        <v>6999.89</v>
      </c>
      <c r="F52" s="26" t="str">
        <f>IF(SUMIFS('NSE - NIFTY Index Options'!$L:$L,'NSE - NIFTY Index Options'!$C:$C,$A52,'NSE - NIFTY Index Options'!$B:$B,F$4,'NSE - NIFTY Index Options'!$H:$H,"Monthly*")+SUMIFS('NSE - Other Index Options'!$L:$L,'NSE - Other Index Options'!$C:$C,$A52,'NSE - Other Index Options'!$B:$B,F$4,'NSE - Other Index Options'!$H:$H,"Monthly*")=0,"",SUMIFS('NSE - NIFTY Index Options'!$L:$L,'NSE - NIFTY Index Options'!$C:$C,$A52,'NSE - NIFTY Index Options'!$B:$B,F$4,'NSE - NIFTY Index Options'!$H:$H,"Monthly*")+SUMIFS('NSE - Other Index Options'!$L:$L,'NSE - Other Index Options'!$C:$C,$A52,'NSE - Other Index Options'!$B:$B,F$4,'NSE - Other Index Options'!$H:$H,"Monthly*"))</f>
        <v/>
      </c>
      <c r="G52" s="26" t="str">
        <f>IF(SUMIFS('NSE - NIFTY Index Options'!$L:$L,'NSE - NIFTY Index Options'!$C:$C,$A52,'NSE - NIFTY Index Options'!$B:$B,G$4,'NSE - NIFTY Index Options'!$H:$H,"Monthly*")+SUMIFS('NSE - Other Index Options'!$L:$L,'NSE - Other Index Options'!$C:$C,$A52,'NSE - Other Index Options'!$B:$B,G$4,'NSE - Other Index Options'!$H:$H,"Monthly*")=0,"",SUMIFS('NSE - NIFTY Index Options'!$L:$L,'NSE - NIFTY Index Options'!$C:$C,$A52,'NSE - NIFTY Index Options'!$B:$B,G$4,'NSE - NIFTY Index Options'!$H:$H,"Monthly*")+SUMIFS('NSE - Other Index Options'!$L:$L,'NSE - Other Index Options'!$C:$C,$A52,'NSE - Other Index Options'!$B:$B,G$4,'NSE - Other Index Options'!$H:$H,"Monthly*"))</f>
        <v/>
      </c>
      <c r="H52" s="26">
        <f t="shared" si="1"/>
        <v>34154.949999999997</v>
      </c>
    </row>
    <row r="53" spans="1:8">
      <c r="A53" t="s">
        <v>58</v>
      </c>
      <c r="B53" s="26">
        <f>IF(SUMIFS('NSE - NIFTY Index Options'!$L:$L,'NSE - NIFTY Index Options'!$C:$C,$A53,'NSE - NIFTY Index Options'!$B:$B,B$4,'NSE - NIFTY Index Options'!$H:$H,"Monthly*")+SUMIFS('NSE - Other Index Options'!$L:$L,'NSE - Other Index Options'!$C:$C,$A53,'NSE - Other Index Options'!$B:$B,B$4,'NSE - Other Index Options'!$H:$H,"Monthly*")=0,"",SUMIFS('NSE - NIFTY Index Options'!$L:$L,'NSE - NIFTY Index Options'!$C:$C,$A53,'NSE - NIFTY Index Options'!$B:$B,B$4,'NSE - NIFTY Index Options'!$H:$H,"Monthly*")+SUMIFS('NSE - Other Index Options'!$L:$L,'NSE - Other Index Options'!$C:$C,$A53,'NSE - Other Index Options'!$B:$B,B$4,'NSE - Other Index Options'!$H:$H,"Monthly*"))</f>
        <v>13562.989999999998</v>
      </c>
      <c r="C53" s="26">
        <f>IF(SUMIFS('NSE - NIFTY Index Options'!$L:$L,'NSE - NIFTY Index Options'!$C:$C,$A53,'NSE - NIFTY Index Options'!$B:$B,C$4,'NSE - NIFTY Index Options'!$H:$H,"Monthly*")+SUMIFS('NSE - Other Index Options'!$L:$L,'NSE - Other Index Options'!$C:$C,$A53,'NSE - Other Index Options'!$B:$B,C$4,'NSE - Other Index Options'!$H:$H,"Monthly*")=0,"",SUMIFS('NSE - NIFTY Index Options'!$L:$L,'NSE - NIFTY Index Options'!$C:$C,$A53,'NSE - NIFTY Index Options'!$B:$B,C$4,'NSE - NIFTY Index Options'!$H:$H,"Monthly*")+SUMIFS('NSE - Other Index Options'!$L:$L,'NSE - Other Index Options'!$C:$C,$A53,'NSE - Other Index Options'!$B:$B,C$4,'NSE - Other Index Options'!$H:$H,"Monthly*"))</f>
        <v>20736.61</v>
      </c>
      <c r="D53" s="26" t="str">
        <f>IF(SUMIFS('NSE - NIFTY Index Options'!$L:$L,'NSE - NIFTY Index Options'!$C:$C,$A53,'NSE - NIFTY Index Options'!$B:$B,D$4,'NSE - NIFTY Index Options'!$H:$H,"Monthly*")+SUMIFS('NSE - Other Index Options'!$L:$L,'NSE - Other Index Options'!$C:$C,$A53,'NSE - Other Index Options'!$B:$B,D$4,'NSE - Other Index Options'!$H:$H,"Monthly*")=0,"",SUMIFS('NSE - NIFTY Index Options'!$L:$L,'NSE - NIFTY Index Options'!$C:$C,$A53,'NSE - NIFTY Index Options'!$B:$B,D$4,'NSE - NIFTY Index Options'!$H:$H,"Monthly*")+SUMIFS('NSE - Other Index Options'!$L:$L,'NSE - Other Index Options'!$C:$C,$A53,'NSE - Other Index Options'!$B:$B,D$4,'NSE - Other Index Options'!$H:$H,"Monthly*"))</f>
        <v/>
      </c>
      <c r="E53" s="26" t="str">
        <f>IF(SUMIFS('NSE - NIFTY Index Options'!$L:$L,'NSE - NIFTY Index Options'!$C:$C,$A53,'NSE - NIFTY Index Options'!$B:$B,E$4,'NSE - NIFTY Index Options'!$H:$H,"Monthly*")+SUMIFS('NSE - Other Index Options'!$L:$L,'NSE - Other Index Options'!$C:$C,$A53,'NSE - Other Index Options'!$B:$B,E$4,'NSE - Other Index Options'!$H:$H,"Monthly*")=0,"",SUMIFS('NSE - NIFTY Index Options'!$L:$L,'NSE - NIFTY Index Options'!$C:$C,$A53,'NSE - NIFTY Index Options'!$B:$B,E$4,'NSE - NIFTY Index Options'!$H:$H,"Monthly*")+SUMIFS('NSE - Other Index Options'!$L:$L,'NSE - Other Index Options'!$C:$C,$A53,'NSE - Other Index Options'!$B:$B,E$4,'NSE - Other Index Options'!$H:$H,"Monthly*"))</f>
        <v/>
      </c>
      <c r="F53" s="26" t="str">
        <f>IF(SUMIFS('NSE - NIFTY Index Options'!$L:$L,'NSE - NIFTY Index Options'!$C:$C,$A53,'NSE - NIFTY Index Options'!$B:$B,F$4,'NSE - NIFTY Index Options'!$H:$H,"Monthly*")+SUMIFS('NSE - Other Index Options'!$L:$L,'NSE - Other Index Options'!$C:$C,$A53,'NSE - Other Index Options'!$B:$B,F$4,'NSE - Other Index Options'!$H:$H,"Monthly*")=0,"",SUMIFS('NSE - NIFTY Index Options'!$L:$L,'NSE - NIFTY Index Options'!$C:$C,$A53,'NSE - NIFTY Index Options'!$B:$B,F$4,'NSE - NIFTY Index Options'!$H:$H,"Monthly*")+SUMIFS('NSE - Other Index Options'!$L:$L,'NSE - Other Index Options'!$C:$C,$A53,'NSE - Other Index Options'!$B:$B,F$4,'NSE - Other Index Options'!$H:$H,"Monthly*"))</f>
        <v/>
      </c>
      <c r="G53" s="26" t="str">
        <f>IF(SUMIFS('NSE - NIFTY Index Options'!$L:$L,'NSE - NIFTY Index Options'!$C:$C,$A53,'NSE - NIFTY Index Options'!$B:$B,G$4,'NSE - NIFTY Index Options'!$H:$H,"Monthly*")+SUMIFS('NSE - Other Index Options'!$L:$L,'NSE - Other Index Options'!$C:$C,$A53,'NSE - Other Index Options'!$B:$B,G$4,'NSE - Other Index Options'!$H:$H,"Monthly*")=0,"",SUMIFS('NSE - NIFTY Index Options'!$L:$L,'NSE - NIFTY Index Options'!$C:$C,$A53,'NSE - NIFTY Index Options'!$B:$B,G$4,'NSE - NIFTY Index Options'!$H:$H,"Monthly*")+SUMIFS('NSE - Other Index Options'!$L:$L,'NSE - Other Index Options'!$C:$C,$A53,'NSE - Other Index Options'!$B:$B,G$4,'NSE - Other Index Options'!$H:$H,"Monthly*"))</f>
        <v/>
      </c>
      <c r="H53" s="26">
        <f t="shared" si="1"/>
        <v>34299.599999999999</v>
      </c>
    </row>
    <row r="54" spans="1:8">
      <c r="A54" t="s">
        <v>59</v>
      </c>
      <c r="B54" s="26">
        <f>IF(SUMIFS('NSE - NIFTY Index Options'!$L:$L,'NSE - NIFTY Index Options'!$C:$C,$A54,'NSE - NIFTY Index Options'!$B:$B,B$4,'NSE - NIFTY Index Options'!$H:$H,"Monthly*")+SUMIFS('NSE - Other Index Options'!$L:$L,'NSE - Other Index Options'!$C:$C,$A54,'NSE - Other Index Options'!$B:$B,B$4,'NSE - Other Index Options'!$H:$H,"Monthly*")=0,"",SUMIFS('NSE - NIFTY Index Options'!$L:$L,'NSE - NIFTY Index Options'!$C:$C,$A54,'NSE - NIFTY Index Options'!$B:$B,B$4,'NSE - NIFTY Index Options'!$H:$H,"Monthly*")+SUMIFS('NSE - Other Index Options'!$L:$L,'NSE - Other Index Options'!$C:$C,$A54,'NSE - Other Index Options'!$B:$B,B$4,'NSE - Other Index Options'!$H:$H,"Monthly*"))</f>
        <v>4396.83</v>
      </c>
      <c r="C54" s="26">
        <f>IF(SUMIFS('NSE - NIFTY Index Options'!$L:$L,'NSE - NIFTY Index Options'!$C:$C,$A54,'NSE - NIFTY Index Options'!$B:$B,C$4,'NSE - NIFTY Index Options'!$H:$H,"Monthly*")+SUMIFS('NSE - Other Index Options'!$L:$L,'NSE - Other Index Options'!$C:$C,$A54,'NSE - Other Index Options'!$B:$B,C$4,'NSE - Other Index Options'!$H:$H,"Monthly*")=0,"",SUMIFS('NSE - NIFTY Index Options'!$L:$L,'NSE - NIFTY Index Options'!$C:$C,$A54,'NSE - NIFTY Index Options'!$B:$B,C$4,'NSE - NIFTY Index Options'!$H:$H,"Monthly*")+SUMIFS('NSE - Other Index Options'!$L:$L,'NSE - Other Index Options'!$C:$C,$A54,'NSE - Other Index Options'!$B:$B,C$4,'NSE - Other Index Options'!$H:$H,"Monthly*"))</f>
        <v>4025.2999999999997</v>
      </c>
      <c r="D54" s="26">
        <f>IF(SUMIFS('NSE - NIFTY Index Options'!$L:$L,'NSE - NIFTY Index Options'!$C:$C,$A54,'NSE - NIFTY Index Options'!$B:$B,D$4,'NSE - NIFTY Index Options'!$H:$H,"Monthly*")+SUMIFS('NSE - Other Index Options'!$L:$L,'NSE - Other Index Options'!$C:$C,$A54,'NSE - Other Index Options'!$B:$B,D$4,'NSE - Other Index Options'!$H:$H,"Monthly*")=0,"",SUMIFS('NSE - NIFTY Index Options'!$L:$L,'NSE - NIFTY Index Options'!$C:$C,$A54,'NSE - NIFTY Index Options'!$B:$B,D$4,'NSE - NIFTY Index Options'!$H:$H,"Monthly*")+SUMIFS('NSE - Other Index Options'!$L:$L,'NSE - Other Index Options'!$C:$C,$A54,'NSE - Other Index Options'!$B:$B,D$4,'NSE - Other Index Options'!$H:$H,"Monthly*"))</f>
        <v>4484.76</v>
      </c>
      <c r="E54" s="26">
        <f>IF(SUMIFS('NSE - NIFTY Index Options'!$L:$L,'NSE - NIFTY Index Options'!$C:$C,$A54,'NSE - NIFTY Index Options'!$B:$B,E$4,'NSE - NIFTY Index Options'!$H:$H,"Monthly*")+SUMIFS('NSE - Other Index Options'!$L:$L,'NSE - Other Index Options'!$C:$C,$A54,'NSE - Other Index Options'!$B:$B,E$4,'NSE - Other Index Options'!$H:$H,"Monthly*")=0,"",SUMIFS('NSE - NIFTY Index Options'!$L:$L,'NSE - NIFTY Index Options'!$C:$C,$A54,'NSE - NIFTY Index Options'!$B:$B,E$4,'NSE - NIFTY Index Options'!$H:$H,"Monthly*")+SUMIFS('NSE - Other Index Options'!$L:$L,'NSE - Other Index Options'!$C:$C,$A54,'NSE - Other Index Options'!$B:$B,E$4,'NSE - Other Index Options'!$H:$H,"Monthly*"))</f>
        <v>4530.1500000000005</v>
      </c>
      <c r="F54" s="26">
        <f>IF(SUMIFS('NSE - NIFTY Index Options'!$L:$L,'NSE - NIFTY Index Options'!$C:$C,$A54,'NSE - NIFTY Index Options'!$B:$B,F$4,'NSE - NIFTY Index Options'!$H:$H,"Monthly*")+SUMIFS('NSE - Other Index Options'!$L:$L,'NSE - Other Index Options'!$C:$C,$A54,'NSE - Other Index Options'!$B:$B,F$4,'NSE - Other Index Options'!$H:$H,"Monthly*")=0,"",SUMIFS('NSE - NIFTY Index Options'!$L:$L,'NSE - NIFTY Index Options'!$C:$C,$A54,'NSE - NIFTY Index Options'!$B:$B,F$4,'NSE - NIFTY Index Options'!$H:$H,"Monthly*")+SUMIFS('NSE - Other Index Options'!$L:$L,'NSE - Other Index Options'!$C:$C,$A54,'NSE - Other Index Options'!$B:$B,F$4,'NSE - Other Index Options'!$H:$H,"Monthly*"))</f>
        <v>4943.3500000000004</v>
      </c>
      <c r="G54" s="26" t="str">
        <f>IF(SUMIFS('NSE - NIFTY Index Options'!$L:$L,'NSE - NIFTY Index Options'!$C:$C,$A54,'NSE - NIFTY Index Options'!$B:$B,G$4,'NSE - NIFTY Index Options'!$H:$H,"Monthly*")+SUMIFS('NSE - Other Index Options'!$L:$L,'NSE - Other Index Options'!$C:$C,$A54,'NSE - Other Index Options'!$B:$B,G$4,'NSE - Other Index Options'!$H:$H,"Monthly*")=0,"",SUMIFS('NSE - NIFTY Index Options'!$L:$L,'NSE - NIFTY Index Options'!$C:$C,$A54,'NSE - NIFTY Index Options'!$B:$B,G$4,'NSE - NIFTY Index Options'!$H:$H,"Monthly*")+SUMIFS('NSE - Other Index Options'!$L:$L,'NSE - Other Index Options'!$C:$C,$A54,'NSE - Other Index Options'!$B:$B,G$4,'NSE - Other Index Options'!$H:$H,"Monthly*"))</f>
        <v/>
      </c>
      <c r="H54" s="26">
        <f t="shared" si="1"/>
        <v>22380.39</v>
      </c>
    </row>
    <row r="55" spans="1:8">
      <c r="A55" t="s">
        <v>60</v>
      </c>
      <c r="B55" s="26" t="str">
        <f>IF(SUMIFS('NSE - NIFTY Index Options'!$L:$L,'NSE - NIFTY Index Options'!$C:$C,$A55,'NSE - NIFTY Index Options'!$B:$B,B$4,'NSE - NIFTY Index Options'!$H:$H,"Monthly*")+SUMIFS('NSE - Other Index Options'!$L:$L,'NSE - Other Index Options'!$C:$C,$A55,'NSE - Other Index Options'!$B:$B,B$4,'NSE - Other Index Options'!$H:$H,"Monthly*")=0,"",SUMIFS('NSE - NIFTY Index Options'!$L:$L,'NSE - NIFTY Index Options'!$C:$C,$A55,'NSE - NIFTY Index Options'!$B:$B,B$4,'NSE - NIFTY Index Options'!$H:$H,"Monthly*")+SUMIFS('NSE - Other Index Options'!$L:$L,'NSE - Other Index Options'!$C:$C,$A55,'NSE - Other Index Options'!$B:$B,B$4,'NSE - Other Index Options'!$H:$H,"Monthly*"))</f>
        <v/>
      </c>
      <c r="C55" s="26" t="str">
        <f>IF(SUMIFS('NSE - NIFTY Index Options'!$L:$L,'NSE - NIFTY Index Options'!$C:$C,$A55,'NSE - NIFTY Index Options'!$B:$B,C$4,'NSE - NIFTY Index Options'!$H:$H,"Monthly*")+SUMIFS('NSE - Other Index Options'!$L:$L,'NSE - Other Index Options'!$C:$C,$A55,'NSE - Other Index Options'!$B:$B,C$4,'NSE - Other Index Options'!$H:$H,"Monthly*")=0,"",SUMIFS('NSE - NIFTY Index Options'!$L:$L,'NSE - NIFTY Index Options'!$C:$C,$A55,'NSE - NIFTY Index Options'!$B:$B,C$4,'NSE - NIFTY Index Options'!$H:$H,"Monthly*")+SUMIFS('NSE - Other Index Options'!$L:$L,'NSE - Other Index Options'!$C:$C,$A55,'NSE - Other Index Options'!$B:$B,C$4,'NSE - Other Index Options'!$H:$H,"Monthly*"))</f>
        <v/>
      </c>
      <c r="D55" s="26">
        <f>IF(SUMIFS('NSE - NIFTY Index Options'!$L:$L,'NSE - NIFTY Index Options'!$C:$C,$A55,'NSE - NIFTY Index Options'!$B:$B,D$4,'NSE - NIFTY Index Options'!$H:$H,"Monthly*")+SUMIFS('NSE - Other Index Options'!$L:$L,'NSE - Other Index Options'!$C:$C,$A55,'NSE - Other Index Options'!$B:$B,D$4,'NSE - Other Index Options'!$H:$H,"Monthly*")=0,"",SUMIFS('NSE - NIFTY Index Options'!$L:$L,'NSE - NIFTY Index Options'!$C:$C,$A55,'NSE - NIFTY Index Options'!$B:$B,D$4,'NSE - NIFTY Index Options'!$H:$H,"Monthly*")+SUMIFS('NSE - Other Index Options'!$L:$L,'NSE - Other Index Options'!$C:$C,$A55,'NSE - Other Index Options'!$B:$B,D$4,'NSE - Other Index Options'!$H:$H,"Monthly*"))</f>
        <v>9198.32</v>
      </c>
      <c r="E55" s="26" t="str">
        <f>IF(SUMIFS('NSE - NIFTY Index Options'!$L:$L,'NSE - NIFTY Index Options'!$C:$C,$A55,'NSE - NIFTY Index Options'!$B:$B,E$4,'NSE - NIFTY Index Options'!$H:$H,"Monthly*")+SUMIFS('NSE - Other Index Options'!$L:$L,'NSE - Other Index Options'!$C:$C,$A55,'NSE - Other Index Options'!$B:$B,E$4,'NSE - Other Index Options'!$H:$H,"Monthly*")=0,"",SUMIFS('NSE - NIFTY Index Options'!$L:$L,'NSE - NIFTY Index Options'!$C:$C,$A55,'NSE - NIFTY Index Options'!$B:$B,E$4,'NSE - NIFTY Index Options'!$H:$H,"Monthly*")+SUMIFS('NSE - Other Index Options'!$L:$L,'NSE - Other Index Options'!$C:$C,$A55,'NSE - Other Index Options'!$B:$B,E$4,'NSE - Other Index Options'!$H:$H,"Monthly*"))</f>
        <v/>
      </c>
      <c r="F55" s="26" t="str">
        <f>IF(SUMIFS('NSE - NIFTY Index Options'!$L:$L,'NSE - NIFTY Index Options'!$C:$C,$A55,'NSE - NIFTY Index Options'!$B:$B,F$4,'NSE - NIFTY Index Options'!$H:$H,"Monthly*")+SUMIFS('NSE - Other Index Options'!$L:$L,'NSE - Other Index Options'!$C:$C,$A55,'NSE - Other Index Options'!$B:$B,F$4,'NSE - Other Index Options'!$H:$H,"Monthly*")=0,"",SUMIFS('NSE - NIFTY Index Options'!$L:$L,'NSE - NIFTY Index Options'!$C:$C,$A55,'NSE - NIFTY Index Options'!$B:$B,F$4,'NSE - NIFTY Index Options'!$H:$H,"Monthly*")+SUMIFS('NSE - Other Index Options'!$L:$L,'NSE - Other Index Options'!$C:$C,$A55,'NSE - Other Index Options'!$B:$B,F$4,'NSE - Other Index Options'!$H:$H,"Monthly*"))</f>
        <v/>
      </c>
      <c r="G55" s="26" t="str">
        <f>IF(SUMIFS('NSE - NIFTY Index Options'!$L:$L,'NSE - NIFTY Index Options'!$C:$C,$A55,'NSE - NIFTY Index Options'!$B:$B,G$4,'NSE - NIFTY Index Options'!$H:$H,"Monthly*")+SUMIFS('NSE - Other Index Options'!$L:$L,'NSE - Other Index Options'!$C:$C,$A55,'NSE - Other Index Options'!$B:$B,G$4,'NSE - Other Index Options'!$H:$H,"Monthly*")=0,"",SUMIFS('NSE - NIFTY Index Options'!$L:$L,'NSE - NIFTY Index Options'!$C:$C,$A55,'NSE - NIFTY Index Options'!$B:$B,G$4,'NSE - NIFTY Index Options'!$H:$H,"Monthly*")+SUMIFS('NSE - Other Index Options'!$L:$L,'NSE - Other Index Options'!$C:$C,$A55,'NSE - Other Index Options'!$B:$B,G$4,'NSE - Other Index Options'!$H:$H,"Monthly*"))</f>
        <v/>
      </c>
      <c r="H55" s="26">
        <f t="shared" si="1"/>
        <v>9198.32</v>
      </c>
    </row>
    <row r="56" spans="1:8">
      <c r="A56" t="s">
        <v>61</v>
      </c>
      <c r="B56" s="26" t="str">
        <f>IF(SUMIFS('NSE - NIFTY Index Options'!$L:$L,'NSE - NIFTY Index Options'!$C:$C,$A56,'NSE - NIFTY Index Options'!$B:$B,B$4,'NSE - NIFTY Index Options'!$H:$H,"Monthly*")+SUMIFS('NSE - Other Index Options'!$L:$L,'NSE - Other Index Options'!$C:$C,$A56,'NSE - Other Index Options'!$B:$B,B$4,'NSE - Other Index Options'!$H:$H,"Monthly*")=0,"",SUMIFS('NSE - NIFTY Index Options'!$L:$L,'NSE - NIFTY Index Options'!$C:$C,$A56,'NSE - NIFTY Index Options'!$B:$B,B$4,'NSE - NIFTY Index Options'!$H:$H,"Monthly*")+SUMIFS('NSE - Other Index Options'!$L:$L,'NSE - Other Index Options'!$C:$C,$A56,'NSE - Other Index Options'!$B:$B,B$4,'NSE - Other Index Options'!$H:$H,"Monthly*"))</f>
        <v/>
      </c>
      <c r="C56" s="26" t="str">
        <f>IF(SUMIFS('NSE - NIFTY Index Options'!$L:$L,'NSE - NIFTY Index Options'!$C:$C,$A56,'NSE - NIFTY Index Options'!$B:$B,C$4,'NSE - NIFTY Index Options'!$H:$H,"Monthly*")+SUMIFS('NSE - Other Index Options'!$L:$L,'NSE - Other Index Options'!$C:$C,$A56,'NSE - Other Index Options'!$B:$B,C$4,'NSE - Other Index Options'!$H:$H,"Monthly*")=0,"",SUMIFS('NSE - NIFTY Index Options'!$L:$L,'NSE - NIFTY Index Options'!$C:$C,$A56,'NSE - NIFTY Index Options'!$B:$B,C$4,'NSE - NIFTY Index Options'!$H:$H,"Monthly*")+SUMIFS('NSE - Other Index Options'!$L:$L,'NSE - Other Index Options'!$C:$C,$A56,'NSE - Other Index Options'!$B:$B,C$4,'NSE - Other Index Options'!$H:$H,"Monthly*"))</f>
        <v/>
      </c>
      <c r="D56" s="26" t="str">
        <f>IF(SUMIFS('NSE - NIFTY Index Options'!$L:$L,'NSE - NIFTY Index Options'!$C:$C,$A56,'NSE - NIFTY Index Options'!$B:$B,D$4,'NSE - NIFTY Index Options'!$H:$H,"Monthly*")+SUMIFS('NSE - Other Index Options'!$L:$L,'NSE - Other Index Options'!$C:$C,$A56,'NSE - Other Index Options'!$B:$B,D$4,'NSE - Other Index Options'!$H:$H,"Monthly*")=0,"",SUMIFS('NSE - NIFTY Index Options'!$L:$L,'NSE - NIFTY Index Options'!$C:$C,$A56,'NSE - NIFTY Index Options'!$B:$B,D$4,'NSE - NIFTY Index Options'!$H:$H,"Monthly*")+SUMIFS('NSE - Other Index Options'!$L:$L,'NSE - Other Index Options'!$C:$C,$A56,'NSE - Other Index Options'!$B:$B,D$4,'NSE - Other Index Options'!$H:$H,"Monthly*"))</f>
        <v/>
      </c>
      <c r="E56" s="26" t="str">
        <f>IF(SUMIFS('NSE - NIFTY Index Options'!$L:$L,'NSE - NIFTY Index Options'!$C:$C,$A56,'NSE - NIFTY Index Options'!$B:$B,E$4,'NSE - NIFTY Index Options'!$H:$H,"Monthly*")+SUMIFS('NSE - Other Index Options'!$L:$L,'NSE - Other Index Options'!$C:$C,$A56,'NSE - Other Index Options'!$B:$B,E$4,'NSE - Other Index Options'!$H:$H,"Monthly*")=0,"",SUMIFS('NSE - NIFTY Index Options'!$L:$L,'NSE - NIFTY Index Options'!$C:$C,$A56,'NSE - NIFTY Index Options'!$B:$B,E$4,'NSE - NIFTY Index Options'!$H:$H,"Monthly*")+SUMIFS('NSE - Other Index Options'!$L:$L,'NSE - Other Index Options'!$C:$C,$A56,'NSE - Other Index Options'!$B:$B,E$4,'NSE - Other Index Options'!$H:$H,"Monthly*"))</f>
        <v/>
      </c>
      <c r="F56" s="26" t="str">
        <f>IF(SUMIFS('NSE - NIFTY Index Options'!$L:$L,'NSE - NIFTY Index Options'!$C:$C,$A56,'NSE - NIFTY Index Options'!$B:$B,F$4,'NSE - NIFTY Index Options'!$H:$H,"Monthly*")+SUMIFS('NSE - Other Index Options'!$L:$L,'NSE - Other Index Options'!$C:$C,$A56,'NSE - Other Index Options'!$B:$B,F$4,'NSE - Other Index Options'!$H:$H,"Monthly*")=0,"",SUMIFS('NSE - NIFTY Index Options'!$L:$L,'NSE - NIFTY Index Options'!$C:$C,$A56,'NSE - NIFTY Index Options'!$B:$B,F$4,'NSE - NIFTY Index Options'!$H:$H,"Monthly*")+SUMIFS('NSE - Other Index Options'!$L:$L,'NSE - Other Index Options'!$C:$C,$A56,'NSE - Other Index Options'!$B:$B,F$4,'NSE - Other Index Options'!$H:$H,"Monthly*"))</f>
        <v/>
      </c>
      <c r="G56" s="26" t="str">
        <f>IF(SUMIFS('NSE - NIFTY Index Options'!$L:$L,'NSE - NIFTY Index Options'!$C:$C,$A56,'NSE - NIFTY Index Options'!$B:$B,G$4,'NSE - NIFTY Index Options'!$H:$H,"Monthly*")+SUMIFS('NSE - Other Index Options'!$L:$L,'NSE - Other Index Options'!$C:$C,$A56,'NSE - Other Index Options'!$B:$B,G$4,'NSE - Other Index Options'!$H:$H,"Monthly*")=0,"",SUMIFS('NSE - NIFTY Index Options'!$L:$L,'NSE - NIFTY Index Options'!$C:$C,$A56,'NSE - NIFTY Index Options'!$B:$B,G$4,'NSE - NIFTY Index Options'!$H:$H,"Monthly*")+SUMIFS('NSE - Other Index Options'!$L:$L,'NSE - Other Index Options'!$C:$C,$A56,'NSE - Other Index Options'!$B:$B,G$4,'NSE - Other Index Options'!$H:$H,"Monthly*"))</f>
        <v/>
      </c>
      <c r="H56" s="26" t="str">
        <f t="shared" si="1"/>
        <v/>
      </c>
    </row>
    <row r="57" spans="1:8">
      <c r="A57" t="s">
        <v>62</v>
      </c>
      <c r="B57" s="26" t="str">
        <f>IF(SUMIFS('NSE - NIFTY Index Options'!$L:$L,'NSE - NIFTY Index Options'!$C:$C,$A57,'NSE - NIFTY Index Options'!$B:$B,B$4,'NSE - NIFTY Index Options'!$H:$H,"Monthly*")+SUMIFS('NSE - Other Index Options'!$L:$L,'NSE - Other Index Options'!$C:$C,$A57,'NSE - Other Index Options'!$B:$B,B$4,'NSE - Other Index Options'!$H:$H,"Monthly*")=0,"",SUMIFS('NSE - NIFTY Index Options'!$L:$L,'NSE - NIFTY Index Options'!$C:$C,$A57,'NSE - NIFTY Index Options'!$B:$B,B$4,'NSE - NIFTY Index Options'!$H:$H,"Monthly*")+SUMIFS('NSE - Other Index Options'!$L:$L,'NSE - Other Index Options'!$C:$C,$A57,'NSE - Other Index Options'!$B:$B,B$4,'NSE - Other Index Options'!$H:$H,"Monthly*"))</f>
        <v/>
      </c>
      <c r="C57" s="26" t="str">
        <f>IF(SUMIFS('NSE - NIFTY Index Options'!$L:$L,'NSE - NIFTY Index Options'!$C:$C,$A57,'NSE - NIFTY Index Options'!$B:$B,C$4,'NSE - NIFTY Index Options'!$H:$H,"Monthly*")+SUMIFS('NSE - Other Index Options'!$L:$L,'NSE - Other Index Options'!$C:$C,$A57,'NSE - Other Index Options'!$B:$B,C$4,'NSE - Other Index Options'!$H:$H,"Monthly*")=0,"",SUMIFS('NSE - NIFTY Index Options'!$L:$L,'NSE - NIFTY Index Options'!$C:$C,$A57,'NSE - NIFTY Index Options'!$B:$B,C$4,'NSE - NIFTY Index Options'!$H:$H,"Monthly*")+SUMIFS('NSE - Other Index Options'!$L:$L,'NSE - Other Index Options'!$C:$C,$A57,'NSE - Other Index Options'!$B:$B,C$4,'NSE - Other Index Options'!$H:$H,"Monthly*"))</f>
        <v/>
      </c>
      <c r="D57" s="26" t="str">
        <f>IF(SUMIFS('NSE - NIFTY Index Options'!$L:$L,'NSE - NIFTY Index Options'!$C:$C,$A57,'NSE - NIFTY Index Options'!$B:$B,D$4,'NSE - NIFTY Index Options'!$H:$H,"Monthly*")+SUMIFS('NSE - Other Index Options'!$L:$L,'NSE - Other Index Options'!$C:$C,$A57,'NSE - Other Index Options'!$B:$B,D$4,'NSE - Other Index Options'!$H:$H,"Monthly*")=0,"",SUMIFS('NSE - NIFTY Index Options'!$L:$L,'NSE - NIFTY Index Options'!$C:$C,$A57,'NSE - NIFTY Index Options'!$B:$B,D$4,'NSE - NIFTY Index Options'!$H:$H,"Monthly*")+SUMIFS('NSE - Other Index Options'!$L:$L,'NSE - Other Index Options'!$C:$C,$A57,'NSE - Other Index Options'!$B:$B,D$4,'NSE - Other Index Options'!$H:$H,"Monthly*"))</f>
        <v/>
      </c>
      <c r="E57" s="26" t="str">
        <f>IF(SUMIFS('NSE - NIFTY Index Options'!$L:$L,'NSE - NIFTY Index Options'!$C:$C,$A57,'NSE - NIFTY Index Options'!$B:$B,E$4,'NSE - NIFTY Index Options'!$H:$H,"Monthly*")+SUMIFS('NSE - Other Index Options'!$L:$L,'NSE - Other Index Options'!$C:$C,$A57,'NSE - Other Index Options'!$B:$B,E$4,'NSE - Other Index Options'!$H:$H,"Monthly*")=0,"",SUMIFS('NSE - NIFTY Index Options'!$L:$L,'NSE - NIFTY Index Options'!$C:$C,$A57,'NSE - NIFTY Index Options'!$B:$B,E$4,'NSE - NIFTY Index Options'!$H:$H,"Monthly*")+SUMIFS('NSE - Other Index Options'!$L:$L,'NSE - Other Index Options'!$C:$C,$A57,'NSE - Other Index Options'!$B:$B,E$4,'NSE - Other Index Options'!$H:$H,"Monthly*"))</f>
        <v/>
      </c>
      <c r="F57" s="26" t="str">
        <f>IF(SUMIFS('NSE - NIFTY Index Options'!$L:$L,'NSE - NIFTY Index Options'!$C:$C,$A57,'NSE - NIFTY Index Options'!$B:$B,F$4,'NSE - NIFTY Index Options'!$H:$H,"Monthly*")+SUMIFS('NSE - Other Index Options'!$L:$L,'NSE - Other Index Options'!$C:$C,$A57,'NSE - Other Index Options'!$B:$B,F$4,'NSE - Other Index Options'!$H:$H,"Monthly*")=0,"",SUMIFS('NSE - NIFTY Index Options'!$L:$L,'NSE - NIFTY Index Options'!$C:$C,$A57,'NSE - NIFTY Index Options'!$B:$B,F$4,'NSE - NIFTY Index Options'!$H:$H,"Monthly*")+SUMIFS('NSE - Other Index Options'!$L:$L,'NSE - Other Index Options'!$C:$C,$A57,'NSE - Other Index Options'!$B:$B,F$4,'NSE - Other Index Options'!$H:$H,"Monthly*"))</f>
        <v/>
      </c>
      <c r="G57" s="26" t="str">
        <f>IF(SUMIFS('NSE - NIFTY Index Options'!$L:$L,'NSE - NIFTY Index Options'!$C:$C,$A57,'NSE - NIFTY Index Options'!$B:$B,G$4,'NSE - NIFTY Index Options'!$H:$H,"Monthly*")+SUMIFS('NSE - Other Index Options'!$L:$L,'NSE - Other Index Options'!$C:$C,$A57,'NSE - Other Index Options'!$B:$B,G$4,'NSE - Other Index Options'!$H:$H,"Monthly*")=0,"",SUMIFS('NSE - NIFTY Index Options'!$L:$L,'NSE - NIFTY Index Options'!$C:$C,$A57,'NSE - NIFTY Index Options'!$B:$B,G$4,'NSE - NIFTY Index Options'!$H:$H,"Monthly*")+SUMIFS('NSE - Other Index Options'!$L:$L,'NSE - Other Index Options'!$C:$C,$A57,'NSE - Other Index Options'!$B:$B,G$4,'NSE - Other Index Options'!$H:$H,"Monthly*"))</f>
        <v/>
      </c>
      <c r="H57" s="26" t="str">
        <f t="shared" si="1"/>
        <v/>
      </c>
    </row>
    <row r="58" spans="1:8">
      <c r="A58" t="s">
        <v>63</v>
      </c>
      <c r="B58" s="26" t="str">
        <f>IF(SUMIFS('NSE - NIFTY Index Options'!$L:$L,'NSE - NIFTY Index Options'!$C:$C,$A58,'NSE - NIFTY Index Options'!$B:$B,B$4,'NSE - NIFTY Index Options'!$H:$H,"Monthly*")+SUMIFS('NSE - Other Index Options'!$L:$L,'NSE - Other Index Options'!$C:$C,$A58,'NSE - Other Index Options'!$B:$B,B$4,'NSE - Other Index Options'!$H:$H,"Monthly*")=0,"",SUMIFS('NSE - NIFTY Index Options'!$L:$L,'NSE - NIFTY Index Options'!$C:$C,$A58,'NSE - NIFTY Index Options'!$B:$B,B$4,'NSE - NIFTY Index Options'!$H:$H,"Monthly*")+SUMIFS('NSE - Other Index Options'!$L:$L,'NSE - Other Index Options'!$C:$C,$A58,'NSE - Other Index Options'!$B:$B,B$4,'NSE - Other Index Options'!$H:$H,"Monthly*"))</f>
        <v/>
      </c>
      <c r="C58" s="26" t="str">
        <f>IF(SUMIFS('NSE - NIFTY Index Options'!$L:$L,'NSE - NIFTY Index Options'!$C:$C,$A58,'NSE - NIFTY Index Options'!$B:$B,C$4,'NSE - NIFTY Index Options'!$H:$H,"Monthly*")+SUMIFS('NSE - Other Index Options'!$L:$L,'NSE - Other Index Options'!$C:$C,$A58,'NSE - Other Index Options'!$B:$B,C$4,'NSE - Other Index Options'!$H:$H,"Monthly*")=0,"",SUMIFS('NSE - NIFTY Index Options'!$L:$L,'NSE - NIFTY Index Options'!$C:$C,$A58,'NSE - NIFTY Index Options'!$B:$B,C$4,'NSE - NIFTY Index Options'!$H:$H,"Monthly*")+SUMIFS('NSE - Other Index Options'!$L:$L,'NSE - Other Index Options'!$C:$C,$A58,'NSE - Other Index Options'!$B:$B,C$4,'NSE - Other Index Options'!$H:$H,"Monthly*"))</f>
        <v/>
      </c>
      <c r="D58" s="26" t="str">
        <f>IF(SUMIFS('NSE - NIFTY Index Options'!$L:$L,'NSE - NIFTY Index Options'!$C:$C,$A58,'NSE - NIFTY Index Options'!$B:$B,D$4,'NSE - NIFTY Index Options'!$H:$H,"Monthly*")+SUMIFS('NSE - Other Index Options'!$L:$L,'NSE - Other Index Options'!$C:$C,$A58,'NSE - Other Index Options'!$B:$B,D$4,'NSE - Other Index Options'!$H:$H,"Monthly*")=0,"",SUMIFS('NSE - NIFTY Index Options'!$L:$L,'NSE - NIFTY Index Options'!$C:$C,$A58,'NSE - NIFTY Index Options'!$B:$B,D$4,'NSE - NIFTY Index Options'!$H:$H,"Monthly*")+SUMIFS('NSE - Other Index Options'!$L:$L,'NSE - Other Index Options'!$C:$C,$A58,'NSE - Other Index Options'!$B:$B,D$4,'NSE - Other Index Options'!$H:$H,"Monthly*"))</f>
        <v/>
      </c>
      <c r="E58" s="26" t="str">
        <f>IF(SUMIFS('NSE - NIFTY Index Options'!$L:$L,'NSE - NIFTY Index Options'!$C:$C,$A58,'NSE - NIFTY Index Options'!$B:$B,E$4,'NSE - NIFTY Index Options'!$H:$H,"Monthly*")+SUMIFS('NSE - Other Index Options'!$L:$L,'NSE - Other Index Options'!$C:$C,$A58,'NSE - Other Index Options'!$B:$B,E$4,'NSE - Other Index Options'!$H:$H,"Monthly*")=0,"",SUMIFS('NSE - NIFTY Index Options'!$L:$L,'NSE - NIFTY Index Options'!$C:$C,$A58,'NSE - NIFTY Index Options'!$B:$B,E$4,'NSE - NIFTY Index Options'!$H:$H,"Monthly*")+SUMIFS('NSE - Other Index Options'!$L:$L,'NSE - Other Index Options'!$C:$C,$A58,'NSE - Other Index Options'!$B:$B,E$4,'NSE - Other Index Options'!$H:$H,"Monthly*"))</f>
        <v/>
      </c>
      <c r="F58" s="26" t="str">
        <f>IF(SUMIFS('NSE - NIFTY Index Options'!$L:$L,'NSE - NIFTY Index Options'!$C:$C,$A58,'NSE - NIFTY Index Options'!$B:$B,F$4,'NSE - NIFTY Index Options'!$H:$H,"Monthly*")+SUMIFS('NSE - Other Index Options'!$L:$L,'NSE - Other Index Options'!$C:$C,$A58,'NSE - Other Index Options'!$B:$B,F$4,'NSE - Other Index Options'!$H:$H,"Monthly*")=0,"",SUMIFS('NSE - NIFTY Index Options'!$L:$L,'NSE - NIFTY Index Options'!$C:$C,$A58,'NSE - NIFTY Index Options'!$B:$B,F$4,'NSE - NIFTY Index Options'!$H:$H,"Monthly*")+SUMIFS('NSE - Other Index Options'!$L:$L,'NSE - Other Index Options'!$C:$C,$A58,'NSE - Other Index Options'!$B:$B,F$4,'NSE - Other Index Options'!$H:$H,"Monthly*"))</f>
        <v/>
      </c>
      <c r="G58" s="26" t="str">
        <f>IF(SUMIFS('NSE - NIFTY Index Options'!$L:$L,'NSE - NIFTY Index Options'!$C:$C,$A58,'NSE - NIFTY Index Options'!$B:$B,G$4,'NSE - NIFTY Index Options'!$H:$H,"Monthly*")+SUMIFS('NSE - Other Index Options'!$L:$L,'NSE - Other Index Options'!$C:$C,$A58,'NSE - Other Index Options'!$B:$B,G$4,'NSE - Other Index Options'!$H:$H,"Monthly*")=0,"",SUMIFS('NSE - NIFTY Index Options'!$L:$L,'NSE - NIFTY Index Options'!$C:$C,$A58,'NSE - NIFTY Index Options'!$B:$B,G$4,'NSE - NIFTY Index Options'!$H:$H,"Monthly*")+SUMIFS('NSE - Other Index Options'!$L:$L,'NSE - Other Index Options'!$C:$C,$A58,'NSE - Other Index Options'!$B:$B,G$4,'NSE - Other Index Options'!$H:$H,"Monthly*"))</f>
        <v/>
      </c>
      <c r="H58" s="26" t="str">
        <f t="shared" si="1"/>
        <v/>
      </c>
    </row>
    <row r="59" spans="1:8" hidden="1" outlineLevel="1">
      <c r="A59" t="s">
        <v>64</v>
      </c>
      <c r="B59" s="26" t="str">
        <f>IF(SUMIFS('NSE - NIFTY Index Options'!$L:$L,'NSE - NIFTY Index Options'!$C:$C,$A59,'NSE - NIFTY Index Options'!$B:$B,B$4,'NSE - NIFTY Index Options'!$H:$H,"Monthly*")+SUMIFS('NSE - Other Index Options'!$L:$L,'NSE - Other Index Options'!$C:$C,$A59,'NSE - Other Index Options'!$B:$B,B$4,'NSE - Other Index Options'!$H:$H,"Monthly*")=0,"",SUMIFS('NSE - NIFTY Index Options'!$L:$L,'NSE - NIFTY Index Options'!$C:$C,$A59,'NSE - NIFTY Index Options'!$B:$B,B$4,'NSE - NIFTY Index Options'!$H:$H,"Monthly*")+SUMIFS('NSE - Other Index Options'!$L:$L,'NSE - Other Index Options'!$C:$C,$A59,'NSE - Other Index Options'!$B:$B,B$4,'NSE - Other Index Options'!$H:$H,"Monthly*"))</f>
        <v/>
      </c>
      <c r="C59" s="26" t="str">
        <f>IF(SUMIFS('NSE - NIFTY Index Options'!$L:$L,'NSE - NIFTY Index Options'!$C:$C,$A59,'NSE - NIFTY Index Options'!$B:$B,C$4,'NSE - NIFTY Index Options'!$H:$H,"Monthly*")+SUMIFS('NSE - Other Index Options'!$L:$L,'NSE - Other Index Options'!$C:$C,$A59,'NSE - Other Index Options'!$B:$B,C$4,'NSE - Other Index Options'!$H:$H,"Monthly*")=0,"",SUMIFS('NSE - NIFTY Index Options'!$L:$L,'NSE - NIFTY Index Options'!$C:$C,$A59,'NSE - NIFTY Index Options'!$B:$B,C$4,'NSE - NIFTY Index Options'!$H:$H,"Monthly*")+SUMIFS('NSE - Other Index Options'!$L:$L,'NSE - Other Index Options'!$C:$C,$A59,'NSE - Other Index Options'!$B:$B,C$4,'NSE - Other Index Options'!$H:$H,"Monthly*"))</f>
        <v/>
      </c>
      <c r="D59" s="26" t="str">
        <f>IF(SUMIFS('NSE - NIFTY Index Options'!$L:$L,'NSE - NIFTY Index Options'!$C:$C,$A59,'NSE - NIFTY Index Options'!$B:$B,D$4,'NSE - NIFTY Index Options'!$H:$H,"Monthly*")+SUMIFS('NSE - Other Index Options'!$L:$L,'NSE - Other Index Options'!$C:$C,$A59,'NSE - Other Index Options'!$B:$B,D$4,'NSE - Other Index Options'!$H:$H,"Monthly*")=0,"",SUMIFS('NSE - NIFTY Index Options'!$L:$L,'NSE - NIFTY Index Options'!$C:$C,$A59,'NSE - NIFTY Index Options'!$B:$B,D$4,'NSE - NIFTY Index Options'!$H:$H,"Monthly*")+SUMIFS('NSE - Other Index Options'!$L:$L,'NSE - Other Index Options'!$C:$C,$A59,'NSE - Other Index Options'!$B:$B,D$4,'NSE - Other Index Options'!$H:$H,"Monthly*"))</f>
        <v/>
      </c>
      <c r="E59" s="26" t="str">
        <f>IF(SUMIFS('NSE - NIFTY Index Options'!$L:$L,'NSE - NIFTY Index Options'!$C:$C,$A59,'NSE - NIFTY Index Options'!$B:$B,E$4,'NSE - NIFTY Index Options'!$H:$H,"Monthly*")+SUMIFS('NSE - Other Index Options'!$L:$L,'NSE - Other Index Options'!$C:$C,$A59,'NSE - Other Index Options'!$B:$B,E$4,'NSE - Other Index Options'!$H:$H,"Monthly*")=0,"",SUMIFS('NSE - NIFTY Index Options'!$L:$L,'NSE - NIFTY Index Options'!$C:$C,$A59,'NSE - NIFTY Index Options'!$B:$B,E$4,'NSE - NIFTY Index Options'!$H:$H,"Monthly*")+SUMIFS('NSE - Other Index Options'!$L:$L,'NSE - Other Index Options'!$C:$C,$A59,'NSE - Other Index Options'!$B:$B,E$4,'NSE - Other Index Options'!$H:$H,"Monthly*"))</f>
        <v/>
      </c>
      <c r="F59" s="26" t="str">
        <f>IF(SUMIFS('NSE - NIFTY Index Options'!$L:$L,'NSE - NIFTY Index Options'!$C:$C,$A59,'NSE - NIFTY Index Options'!$B:$B,F$4,'NSE - NIFTY Index Options'!$H:$H,"Monthly*")+SUMIFS('NSE - Other Index Options'!$L:$L,'NSE - Other Index Options'!$C:$C,$A59,'NSE - Other Index Options'!$B:$B,F$4,'NSE - Other Index Options'!$H:$H,"Monthly*")=0,"",SUMIFS('NSE - NIFTY Index Options'!$L:$L,'NSE - NIFTY Index Options'!$C:$C,$A59,'NSE - NIFTY Index Options'!$B:$B,F$4,'NSE - NIFTY Index Options'!$H:$H,"Monthly*")+SUMIFS('NSE - Other Index Options'!$L:$L,'NSE - Other Index Options'!$C:$C,$A59,'NSE - Other Index Options'!$B:$B,F$4,'NSE - Other Index Options'!$H:$H,"Monthly*"))</f>
        <v/>
      </c>
      <c r="G59" s="26" t="str">
        <f>IF(SUMIFS('NSE - NIFTY Index Options'!$L:$L,'NSE - NIFTY Index Options'!$C:$C,$A59,'NSE - NIFTY Index Options'!$B:$B,G$4,'NSE - NIFTY Index Options'!$H:$H,"Monthly*")+SUMIFS('NSE - Other Index Options'!$L:$L,'NSE - Other Index Options'!$C:$C,$A59,'NSE - Other Index Options'!$B:$B,G$4,'NSE - Other Index Options'!$H:$H,"Monthly*")=0,"",SUMIFS('NSE - NIFTY Index Options'!$L:$L,'NSE - NIFTY Index Options'!$C:$C,$A59,'NSE - NIFTY Index Options'!$B:$B,G$4,'NSE - NIFTY Index Options'!$H:$H,"Monthly*")+SUMIFS('NSE - Other Index Options'!$L:$L,'NSE - Other Index Options'!$C:$C,$A59,'NSE - Other Index Options'!$B:$B,G$4,'NSE - Other Index Options'!$H:$H,"Monthly*"))</f>
        <v/>
      </c>
      <c r="H59" s="26" t="str">
        <f t="shared" si="1"/>
        <v/>
      </c>
    </row>
    <row r="60" spans="1:8" hidden="1" outlineLevel="1">
      <c r="A60" t="s">
        <v>65</v>
      </c>
      <c r="B60" s="26" t="str">
        <f>IF(SUMIFS('NSE - NIFTY Index Options'!$L:$L,'NSE - NIFTY Index Options'!$C:$C,$A60,'NSE - NIFTY Index Options'!$B:$B,B$4,'NSE - NIFTY Index Options'!$H:$H,"Monthly*")+SUMIFS('NSE - Other Index Options'!$L:$L,'NSE - Other Index Options'!$C:$C,$A60,'NSE - Other Index Options'!$B:$B,B$4,'NSE - Other Index Options'!$H:$H,"Monthly*")=0,"",SUMIFS('NSE - NIFTY Index Options'!$L:$L,'NSE - NIFTY Index Options'!$C:$C,$A60,'NSE - NIFTY Index Options'!$B:$B,B$4,'NSE - NIFTY Index Options'!$H:$H,"Monthly*")+SUMIFS('NSE - Other Index Options'!$L:$L,'NSE - Other Index Options'!$C:$C,$A60,'NSE - Other Index Options'!$B:$B,B$4,'NSE - Other Index Options'!$H:$H,"Monthly*"))</f>
        <v/>
      </c>
      <c r="C60" s="26" t="str">
        <f>IF(SUMIFS('NSE - NIFTY Index Options'!$L:$L,'NSE - NIFTY Index Options'!$C:$C,$A60,'NSE - NIFTY Index Options'!$B:$B,C$4,'NSE - NIFTY Index Options'!$H:$H,"Monthly*")+SUMIFS('NSE - Other Index Options'!$L:$L,'NSE - Other Index Options'!$C:$C,$A60,'NSE - Other Index Options'!$B:$B,C$4,'NSE - Other Index Options'!$H:$H,"Monthly*")=0,"",SUMIFS('NSE - NIFTY Index Options'!$L:$L,'NSE - NIFTY Index Options'!$C:$C,$A60,'NSE - NIFTY Index Options'!$B:$B,C$4,'NSE - NIFTY Index Options'!$H:$H,"Monthly*")+SUMIFS('NSE - Other Index Options'!$L:$L,'NSE - Other Index Options'!$C:$C,$A60,'NSE - Other Index Options'!$B:$B,C$4,'NSE - Other Index Options'!$H:$H,"Monthly*"))</f>
        <v/>
      </c>
      <c r="D60" s="26" t="str">
        <f>IF(SUMIFS('NSE - NIFTY Index Options'!$L:$L,'NSE - NIFTY Index Options'!$C:$C,$A60,'NSE - NIFTY Index Options'!$B:$B,D$4,'NSE - NIFTY Index Options'!$H:$H,"Monthly*")+SUMIFS('NSE - Other Index Options'!$L:$L,'NSE - Other Index Options'!$C:$C,$A60,'NSE - Other Index Options'!$B:$B,D$4,'NSE - Other Index Options'!$H:$H,"Monthly*")=0,"",SUMIFS('NSE - NIFTY Index Options'!$L:$L,'NSE - NIFTY Index Options'!$C:$C,$A60,'NSE - NIFTY Index Options'!$B:$B,D$4,'NSE - NIFTY Index Options'!$H:$H,"Monthly*")+SUMIFS('NSE - Other Index Options'!$L:$L,'NSE - Other Index Options'!$C:$C,$A60,'NSE - Other Index Options'!$B:$B,D$4,'NSE - Other Index Options'!$H:$H,"Monthly*"))</f>
        <v/>
      </c>
      <c r="E60" s="26" t="str">
        <f>IF(SUMIFS('NSE - NIFTY Index Options'!$L:$L,'NSE - NIFTY Index Options'!$C:$C,$A60,'NSE - NIFTY Index Options'!$B:$B,E$4,'NSE - NIFTY Index Options'!$H:$H,"Monthly*")+SUMIFS('NSE - Other Index Options'!$L:$L,'NSE - Other Index Options'!$C:$C,$A60,'NSE - Other Index Options'!$B:$B,E$4,'NSE - Other Index Options'!$H:$H,"Monthly*")=0,"",SUMIFS('NSE - NIFTY Index Options'!$L:$L,'NSE - NIFTY Index Options'!$C:$C,$A60,'NSE - NIFTY Index Options'!$B:$B,E$4,'NSE - NIFTY Index Options'!$H:$H,"Monthly*")+SUMIFS('NSE - Other Index Options'!$L:$L,'NSE - Other Index Options'!$C:$C,$A60,'NSE - Other Index Options'!$B:$B,E$4,'NSE - Other Index Options'!$H:$H,"Monthly*"))</f>
        <v/>
      </c>
      <c r="F60" s="26" t="str">
        <f>IF(SUMIFS('NSE - NIFTY Index Options'!$L:$L,'NSE - NIFTY Index Options'!$C:$C,$A60,'NSE - NIFTY Index Options'!$B:$B,F$4,'NSE - NIFTY Index Options'!$H:$H,"Monthly*")+SUMIFS('NSE - Other Index Options'!$L:$L,'NSE - Other Index Options'!$C:$C,$A60,'NSE - Other Index Options'!$B:$B,F$4,'NSE - Other Index Options'!$H:$H,"Monthly*")=0,"",SUMIFS('NSE - NIFTY Index Options'!$L:$L,'NSE - NIFTY Index Options'!$C:$C,$A60,'NSE - NIFTY Index Options'!$B:$B,F$4,'NSE - NIFTY Index Options'!$H:$H,"Monthly*")+SUMIFS('NSE - Other Index Options'!$L:$L,'NSE - Other Index Options'!$C:$C,$A60,'NSE - Other Index Options'!$B:$B,F$4,'NSE - Other Index Options'!$H:$H,"Monthly*"))</f>
        <v/>
      </c>
      <c r="G60" s="26" t="str">
        <f>IF(SUMIFS('NSE - NIFTY Index Options'!$L:$L,'NSE - NIFTY Index Options'!$C:$C,$A60,'NSE - NIFTY Index Options'!$B:$B,G$4,'NSE - NIFTY Index Options'!$H:$H,"Monthly*")+SUMIFS('NSE - Other Index Options'!$L:$L,'NSE - Other Index Options'!$C:$C,$A60,'NSE - Other Index Options'!$B:$B,G$4,'NSE - Other Index Options'!$H:$H,"Monthly*")=0,"",SUMIFS('NSE - NIFTY Index Options'!$L:$L,'NSE - NIFTY Index Options'!$C:$C,$A60,'NSE - NIFTY Index Options'!$B:$B,G$4,'NSE - NIFTY Index Options'!$H:$H,"Monthly*")+SUMIFS('NSE - Other Index Options'!$L:$L,'NSE - Other Index Options'!$C:$C,$A60,'NSE - Other Index Options'!$B:$B,G$4,'NSE - Other Index Options'!$H:$H,"Monthly*"))</f>
        <v/>
      </c>
      <c r="H60" s="26" t="str">
        <f t="shared" si="1"/>
        <v/>
      </c>
    </row>
    <row r="61" spans="1:8" hidden="1" outlineLevel="1">
      <c r="A61" t="s">
        <v>66</v>
      </c>
      <c r="B61" s="26" t="str">
        <f>IF(SUMIFS('NSE - NIFTY Index Options'!$L:$L,'NSE - NIFTY Index Options'!$C:$C,$A61,'NSE - NIFTY Index Options'!$B:$B,B$4,'NSE - NIFTY Index Options'!$H:$H,"Monthly*")+SUMIFS('NSE - Other Index Options'!$L:$L,'NSE - Other Index Options'!$C:$C,$A61,'NSE - Other Index Options'!$B:$B,B$4,'NSE - Other Index Options'!$H:$H,"Monthly*")=0,"",SUMIFS('NSE - NIFTY Index Options'!$L:$L,'NSE - NIFTY Index Options'!$C:$C,$A61,'NSE - NIFTY Index Options'!$B:$B,B$4,'NSE - NIFTY Index Options'!$H:$H,"Monthly*")+SUMIFS('NSE - Other Index Options'!$L:$L,'NSE - Other Index Options'!$C:$C,$A61,'NSE - Other Index Options'!$B:$B,B$4,'NSE - Other Index Options'!$H:$H,"Monthly*"))</f>
        <v/>
      </c>
      <c r="C61" s="26" t="str">
        <f>IF(SUMIFS('NSE - NIFTY Index Options'!$L:$L,'NSE - NIFTY Index Options'!$C:$C,$A61,'NSE - NIFTY Index Options'!$B:$B,C$4,'NSE - NIFTY Index Options'!$H:$H,"Monthly*")+SUMIFS('NSE - Other Index Options'!$L:$L,'NSE - Other Index Options'!$C:$C,$A61,'NSE - Other Index Options'!$B:$B,C$4,'NSE - Other Index Options'!$H:$H,"Monthly*")=0,"",SUMIFS('NSE - NIFTY Index Options'!$L:$L,'NSE - NIFTY Index Options'!$C:$C,$A61,'NSE - NIFTY Index Options'!$B:$B,C$4,'NSE - NIFTY Index Options'!$H:$H,"Monthly*")+SUMIFS('NSE - Other Index Options'!$L:$L,'NSE - Other Index Options'!$C:$C,$A61,'NSE - Other Index Options'!$B:$B,C$4,'NSE - Other Index Options'!$H:$H,"Monthly*"))</f>
        <v/>
      </c>
      <c r="D61" s="26" t="str">
        <f>IF(SUMIFS('NSE - NIFTY Index Options'!$L:$L,'NSE - NIFTY Index Options'!$C:$C,$A61,'NSE - NIFTY Index Options'!$B:$B,D$4,'NSE - NIFTY Index Options'!$H:$H,"Monthly*")+SUMIFS('NSE - Other Index Options'!$L:$L,'NSE - Other Index Options'!$C:$C,$A61,'NSE - Other Index Options'!$B:$B,D$4,'NSE - Other Index Options'!$H:$H,"Monthly*")=0,"",SUMIFS('NSE - NIFTY Index Options'!$L:$L,'NSE - NIFTY Index Options'!$C:$C,$A61,'NSE - NIFTY Index Options'!$B:$B,D$4,'NSE - NIFTY Index Options'!$H:$H,"Monthly*")+SUMIFS('NSE - Other Index Options'!$L:$L,'NSE - Other Index Options'!$C:$C,$A61,'NSE - Other Index Options'!$B:$B,D$4,'NSE - Other Index Options'!$H:$H,"Monthly*"))</f>
        <v/>
      </c>
      <c r="E61" s="26" t="str">
        <f>IF(SUMIFS('NSE - NIFTY Index Options'!$L:$L,'NSE - NIFTY Index Options'!$C:$C,$A61,'NSE - NIFTY Index Options'!$B:$B,E$4,'NSE - NIFTY Index Options'!$H:$H,"Monthly*")+SUMIFS('NSE - Other Index Options'!$L:$L,'NSE - Other Index Options'!$C:$C,$A61,'NSE - Other Index Options'!$B:$B,E$4,'NSE - Other Index Options'!$H:$H,"Monthly*")=0,"",SUMIFS('NSE - NIFTY Index Options'!$L:$L,'NSE - NIFTY Index Options'!$C:$C,$A61,'NSE - NIFTY Index Options'!$B:$B,E$4,'NSE - NIFTY Index Options'!$H:$H,"Monthly*")+SUMIFS('NSE - Other Index Options'!$L:$L,'NSE - Other Index Options'!$C:$C,$A61,'NSE - Other Index Options'!$B:$B,E$4,'NSE - Other Index Options'!$H:$H,"Monthly*"))</f>
        <v/>
      </c>
      <c r="F61" s="26" t="str">
        <f>IF(SUMIFS('NSE - NIFTY Index Options'!$L:$L,'NSE - NIFTY Index Options'!$C:$C,$A61,'NSE - NIFTY Index Options'!$B:$B,F$4,'NSE - NIFTY Index Options'!$H:$H,"Monthly*")+SUMIFS('NSE - Other Index Options'!$L:$L,'NSE - Other Index Options'!$C:$C,$A61,'NSE - Other Index Options'!$B:$B,F$4,'NSE - Other Index Options'!$H:$H,"Monthly*")=0,"",SUMIFS('NSE - NIFTY Index Options'!$L:$L,'NSE - NIFTY Index Options'!$C:$C,$A61,'NSE - NIFTY Index Options'!$B:$B,F$4,'NSE - NIFTY Index Options'!$H:$H,"Monthly*")+SUMIFS('NSE - Other Index Options'!$L:$L,'NSE - Other Index Options'!$C:$C,$A61,'NSE - Other Index Options'!$B:$B,F$4,'NSE - Other Index Options'!$H:$H,"Monthly*"))</f>
        <v/>
      </c>
      <c r="G61" s="26" t="str">
        <f>IF(SUMIFS('NSE - NIFTY Index Options'!$L:$L,'NSE - NIFTY Index Options'!$C:$C,$A61,'NSE - NIFTY Index Options'!$B:$B,G$4,'NSE - NIFTY Index Options'!$H:$H,"Monthly*")+SUMIFS('NSE - Other Index Options'!$L:$L,'NSE - Other Index Options'!$C:$C,$A61,'NSE - Other Index Options'!$B:$B,G$4,'NSE - Other Index Options'!$H:$H,"Monthly*")=0,"",SUMIFS('NSE - NIFTY Index Options'!$L:$L,'NSE - NIFTY Index Options'!$C:$C,$A61,'NSE - NIFTY Index Options'!$B:$B,G$4,'NSE - NIFTY Index Options'!$H:$H,"Monthly*")+SUMIFS('NSE - Other Index Options'!$L:$L,'NSE - Other Index Options'!$C:$C,$A61,'NSE - Other Index Options'!$B:$B,G$4,'NSE - Other Index Options'!$H:$H,"Monthly*"))</f>
        <v/>
      </c>
      <c r="H61" s="26" t="str">
        <f t="shared" si="1"/>
        <v/>
      </c>
    </row>
    <row r="62" spans="1:8" hidden="1" outlineLevel="1">
      <c r="A62" t="s">
        <v>67</v>
      </c>
      <c r="B62" s="26" t="str">
        <f>IF(SUMIFS('NSE - NIFTY Index Options'!$L:$L,'NSE - NIFTY Index Options'!$C:$C,$A62,'NSE - NIFTY Index Options'!$B:$B,B$4,'NSE - NIFTY Index Options'!$H:$H,"Monthly*")+SUMIFS('NSE - Other Index Options'!$L:$L,'NSE - Other Index Options'!$C:$C,$A62,'NSE - Other Index Options'!$B:$B,B$4,'NSE - Other Index Options'!$H:$H,"Monthly*")=0,"",SUMIFS('NSE - NIFTY Index Options'!$L:$L,'NSE - NIFTY Index Options'!$C:$C,$A62,'NSE - NIFTY Index Options'!$B:$B,B$4,'NSE - NIFTY Index Options'!$H:$H,"Monthly*")+SUMIFS('NSE - Other Index Options'!$L:$L,'NSE - Other Index Options'!$C:$C,$A62,'NSE - Other Index Options'!$B:$B,B$4,'NSE - Other Index Options'!$H:$H,"Monthly*"))</f>
        <v/>
      </c>
      <c r="C62" s="26" t="str">
        <f>IF(SUMIFS('NSE - NIFTY Index Options'!$L:$L,'NSE - NIFTY Index Options'!$C:$C,$A62,'NSE - NIFTY Index Options'!$B:$B,C$4,'NSE - NIFTY Index Options'!$H:$H,"Monthly*")+SUMIFS('NSE - Other Index Options'!$L:$L,'NSE - Other Index Options'!$C:$C,$A62,'NSE - Other Index Options'!$B:$B,C$4,'NSE - Other Index Options'!$H:$H,"Monthly*")=0,"",SUMIFS('NSE - NIFTY Index Options'!$L:$L,'NSE - NIFTY Index Options'!$C:$C,$A62,'NSE - NIFTY Index Options'!$B:$B,C$4,'NSE - NIFTY Index Options'!$H:$H,"Monthly*")+SUMIFS('NSE - Other Index Options'!$L:$L,'NSE - Other Index Options'!$C:$C,$A62,'NSE - Other Index Options'!$B:$B,C$4,'NSE - Other Index Options'!$H:$H,"Monthly*"))</f>
        <v/>
      </c>
      <c r="D62" s="26" t="str">
        <f>IF(SUMIFS('NSE - NIFTY Index Options'!$L:$L,'NSE - NIFTY Index Options'!$C:$C,$A62,'NSE - NIFTY Index Options'!$B:$B,D$4,'NSE - NIFTY Index Options'!$H:$H,"Monthly*")+SUMIFS('NSE - Other Index Options'!$L:$L,'NSE - Other Index Options'!$C:$C,$A62,'NSE - Other Index Options'!$B:$B,D$4,'NSE - Other Index Options'!$H:$H,"Monthly*")=0,"",SUMIFS('NSE - NIFTY Index Options'!$L:$L,'NSE - NIFTY Index Options'!$C:$C,$A62,'NSE - NIFTY Index Options'!$B:$B,D$4,'NSE - NIFTY Index Options'!$H:$H,"Monthly*")+SUMIFS('NSE - Other Index Options'!$L:$L,'NSE - Other Index Options'!$C:$C,$A62,'NSE - Other Index Options'!$B:$B,D$4,'NSE - Other Index Options'!$H:$H,"Monthly*"))</f>
        <v/>
      </c>
      <c r="E62" s="26" t="str">
        <f>IF(SUMIFS('NSE - NIFTY Index Options'!$L:$L,'NSE - NIFTY Index Options'!$C:$C,$A62,'NSE - NIFTY Index Options'!$B:$B,E$4,'NSE - NIFTY Index Options'!$H:$H,"Monthly*")+SUMIFS('NSE - Other Index Options'!$L:$L,'NSE - Other Index Options'!$C:$C,$A62,'NSE - Other Index Options'!$B:$B,E$4,'NSE - Other Index Options'!$H:$H,"Monthly*")=0,"",SUMIFS('NSE - NIFTY Index Options'!$L:$L,'NSE - NIFTY Index Options'!$C:$C,$A62,'NSE - NIFTY Index Options'!$B:$B,E$4,'NSE - NIFTY Index Options'!$H:$H,"Monthly*")+SUMIFS('NSE - Other Index Options'!$L:$L,'NSE - Other Index Options'!$C:$C,$A62,'NSE - Other Index Options'!$B:$B,E$4,'NSE - Other Index Options'!$H:$H,"Monthly*"))</f>
        <v/>
      </c>
      <c r="F62" s="26" t="str">
        <f>IF(SUMIFS('NSE - NIFTY Index Options'!$L:$L,'NSE - NIFTY Index Options'!$C:$C,$A62,'NSE - NIFTY Index Options'!$B:$B,F$4,'NSE - NIFTY Index Options'!$H:$H,"Monthly*")+SUMIFS('NSE - Other Index Options'!$L:$L,'NSE - Other Index Options'!$C:$C,$A62,'NSE - Other Index Options'!$B:$B,F$4,'NSE - Other Index Options'!$H:$H,"Monthly*")=0,"",SUMIFS('NSE - NIFTY Index Options'!$L:$L,'NSE - NIFTY Index Options'!$C:$C,$A62,'NSE - NIFTY Index Options'!$B:$B,F$4,'NSE - NIFTY Index Options'!$H:$H,"Monthly*")+SUMIFS('NSE - Other Index Options'!$L:$L,'NSE - Other Index Options'!$C:$C,$A62,'NSE - Other Index Options'!$B:$B,F$4,'NSE - Other Index Options'!$H:$H,"Monthly*"))</f>
        <v/>
      </c>
      <c r="G62" s="26" t="str">
        <f>IF(SUMIFS('NSE - NIFTY Index Options'!$L:$L,'NSE - NIFTY Index Options'!$C:$C,$A62,'NSE - NIFTY Index Options'!$B:$B,G$4,'NSE - NIFTY Index Options'!$H:$H,"Monthly*")+SUMIFS('NSE - Other Index Options'!$L:$L,'NSE - Other Index Options'!$C:$C,$A62,'NSE - Other Index Options'!$B:$B,G$4,'NSE - Other Index Options'!$H:$H,"Monthly*")=0,"",SUMIFS('NSE - NIFTY Index Options'!$L:$L,'NSE - NIFTY Index Options'!$C:$C,$A62,'NSE - NIFTY Index Options'!$B:$B,G$4,'NSE - NIFTY Index Options'!$H:$H,"Monthly*")+SUMIFS('NSE - Other Index Options'!$L:$L,'NSE - Other Index Options'!$C:$C,$A62,'NSE - Other Index Options'!$B:$B,G$4,'NSE - Other Index Options'!$H:$H,"Monthly*"))</f>
        <v/>
      </c>
      <c r="H62" s="26" t="str">
        <f t="shared" si="1"/>
        <v/>
      </c>
    </row>
    <row r="63" spans="1:8" hidden="1" outlineLevel="1">
      <c r="A63" t="s">
        <v>68</v>
      </c>
      <c r="B63" s="26" t="str">
        <f>IF(SUMIFS('NSE - NIFTY Index Options'!$L:$L,'NSE - NIFTY Index Options'!$C:$C,$A63,'NSE - NIFTY Index Options'!$B:$B,B$4,'NSE - NIFTY Index Options'!$H:$H,"Monthly*")+SUMIFS('NSE - Other Index Options'!$L:$L,'NSE - Other Index Options'!$C:$C,$A63,'NSE - Other Index Options'!$B:$B,B$4,'NSE - Other Index Options'!$H:$H,"Monthly*")=0,"",SUMIFS('NSE - NIFTY Index Options'!$L:$L,'NSE - NIFTY Index Options'!$C:$C,$A63,'NSE - NIFTY Index Options'!$B:$B,B$4,'NSE - NIFTY Index Options'!$H:$H,"Monthly*")+SUMIFS('NSE - Other Index Options'!$L:$L,'NSE - Other Index Options'!$C:$C,$A63,'NSE - Other Index Options'!$B:$B,B$4,'NSE - Other Index Options'!$H:$H,"Monthly*"))</f>
        <v/>
      </c>
      <c r="C63" s="26" t="str">
        <f>IF(SUMIFS('NSE - NIFTY Index Options'!$L:$L,'NSE - NIFTY Index Options'!$C:$C,$A63,'NSE - NIFTY Index Options'!$B:$B,C$4,'NSE - NIFTY Index Options'!$H:$H,"Monthly*")+SUMIFS('NSE - Other Index Options'!$L:$L,'NSE - Other Index Options'!$C:$C,$A63,'NSE - Other Index Options'!$B:$B,C$4,'NSE - Other Index Options'!$H:$H,"Monthly*")=0,"",SUMIFS('NSE - NIFTY Index Options'!$L:$L,'NSE - NIFTY Index Options'!$C:$C,$A63,'NSE - NIFTY Index Options'!$B:$B,C$4,'NSE - NIFTY Index Options'!$H:$H,"Monthly*")+SUMIFS('NSE - Other Index Options'!$L:$L,'NSE - Other Index Options'!$C:$C,$A63,'NSE - Other Index Options'!$B:$B,C$4,'NSE - Other Index Options'!$H:$H,"Monthly*"))</f>
        <v/>
      </c>
      <c r="D63" s="26" t="str">
        <f>IF(SUMIFS('NSE - NIFTY Index Options'!$L:$L,'NSE - NIFTY Index Options'!$C:$C,$A63,'NSE - NIFTY Index Options'!$B:$B,D$4,'NSE - NIFTY Index Options'!$H:$H,"Monthly*")+SUMIFS('NSE - Other Index Options'!$L:$L,'NSE - Other Index Options'!$C:$C,$A63,'NSE - Other Index Options'!$B:$B,D$4,'NSE - Other Index Options'!$H:$H,"Monthly*")=0,"",SUMIFS('NSE - NIFTY Index Options'!$L:$L,'NSE - NIFTY Index Options'!$C:$C,$A63,'NSE - NIFTY Index Options'!$B:$B,D$4,'NSE - NIFTY Index Options'!$H:$H,"Monthly*")+SUMIFS('NSE - Other Index Options'!$L:$L,'NSE - Other Index Options'!$C:$C,$A63,'NSE - Other Index Options'!$B:$B,D$4,'NSE - Other Index Options'!$H:$H,"Monthly*"))</f>
        <v/>
      </c>
      <c r="E63" s="26" t="str">
        <f>IF(SUMIFS('NSE - NIFTY Index Options'!$L:$L,'NSE - NIFTY Index Options'!$C:$C,$A63,'NSE - NIFTY Index Options'!$B:$B,E$4,'NSE - NIFTY Index Options'!$H:$H,"Monthly*")+SUMIFS('NSE - Other Index Options'!$L:$L,'NSE - Other Index Options'!$C:$C,$A63,'NSE - Other Index Options'!$B:$B,E$4,'NSE - Other Index Options'!$H:$H,"Monthly*")=0,"",SUMIFS('NSE - NIFTY Index Options'!$L:$L,'NSE - NIFTY Index Options'!$C:$C,$A63,'NSE - NIFTY Index Options'!$B:$B,E$4,'NSE - NIFTY Index Options'!$H:$H,"Monthly*")+SUMIFS('NSE - Other Index Options'!$L:$L,'NSE - Other Index Options'!$C:$C,$A63,'NSE - Other Index Options'!$B:$B,E$4,'NSE - Other Index Options'!$H:$H,"Monthly*"))</f>
        <v/>
      </c>
      <c r="F63" s="26" t="str">
        <f>IF(SUMIFS('NSE - NIFTY Index Options'!$L:$L,'NSE - NIFTY Index Options'!$C:$C,$A63,'NSE - NIFTY Index Options'!$B:$B,F$4,'NSE - NIFTY Index Options'!$H:$H,"Monthly*")+SUMIFS('NSE - Other Index Options'!$L:$L,'NSE - Other Index Options'!$C:$C,$A63,'NSE - Other Index Options'!$B:$B,F$4,'NSE - Other Index Options'!$H:$H,"Monthly*")=0,"",SUMIFS('NSE - NIFTY Index Options'!$L:$L,'NSE - NIFTY Index Options'!$C:$C,$A63,'NSE - NIFTY Index Options'!$B:$B,F$4,'NSE - NIFTY Index Options'!$H:$H,"Monthly*")+SUMIFS('NSE - Other Index Options'!$L:$L,'NSE - Other Index Options'!$C:$C,$A63,'NSE - Other Index Options'!$B:$B,F$4,'NSE - Other Index Options'!$H:$H,"Monthly*"))</f>
        <v/>
      </c>
      <c r="G63" s="26" t="str">
        <f>IF(SUMIFS('NSE - NIFTY Index Options'!$L:$L,'NSE - NIFTY Index Options'!$C:$C,$A63,'NSE - NIFTY Index Options'!$B:$B,G$4,'NSE - NIFTY Index Options'!$H:$H,"Monthly*")+SUMIFS('NSE - Other Index Options'!$L:$L,'NSE - Other Index Options'!$C:$C,$A63,'NSE - Other Index Options'!$B:$B,G$4,'NSE - Other Index Options'!$H:$H,"Monthly*")=0,"",SUMIFS('NSE - NIFTY Index Options'!$L:$L,'NSE - NIFTY Index Options'!$C:$C,$A63,'NSE - NIFTY Index Options'!$B:$B,G$4,'NSE - NIFTY Index Options'!$H:$H,"Monthly*")+SUMIFS('NSE - Other Index Options'!$L:$L,'NSE - Other Index Options'!$C:$C,$A63,'NSE - Other Index Options'!$B:$B,G$4,'NSE - Other Index Options'!$H:$H,"Monthly*"))</f>
        <v/>
      </c>
      <c r="H63" s="26" t="str">
        <f t="shared" si="1"/>
        <v/>
      </c>
    </row>
    <row r="64" spans="1:8" hidden="1" outlineLevel="1">
      <c r="A64" t="s">
        <v>69</v>
      </c>
      <c r="B64" s="26" t="str">
        <f>IF(SUMIFS('NSE - NIFTY Index Options'!$L:$L,'NSE - NIFTY Index Options'!$C:$C,$A64,'NSE - NIFTY Index Options'!$B:$B,B$4,'NSE - NIFTY Index Options'!$H:$H,"Monthly*")+SUMIFS('NSE - Other Index Options'!$L:$L,'NSE - Other Index Options'!$C:$C,$A64,'NSE - Other Index Options'!$B:$B,B$4,'NSE - Other Index Options'!$H:$H,"Monthly*")=0,"",SUMIFS('NSE - NIFTY Index Options'!$L:$L,'NSE - NIFTY Index Options'!$C:$C,$A64,'NSE - NIFTY Index Options'!$B:$B,B$4,'NSE - NIFTY Index Options'!$H:$H,"Monthly*")+SUMIFS('NSE - Other Index Options'!$L:$L,'NSE - Other Index Options'!$C:$C,$A64,'NSE - Other Index Options'!$B:$B,B$4,'NSE - Other Index Options'!$H:$H,"Monthly*"))</f>
        <v/>
      </c>
      <c r="C64" s="26" t="str">
        <f>IF(SUMIFS('NSE - NIFTY Index Options'!$L:$L,'NSE - NIFTY Index Options'!$C:$C,$A64,'NSE - NIFTY Index Options'!$B:$B,C$4,'NSE - NIFTY Index Options'!$H:$H,"Monthly*")+SUMIFS('NSE - Other Index Options'!$L:$L,'NSE - Other Index Options'!$C:$C,$A64,'NSE - Other Index Options'!$B:$B,C$4,'NSE - Other Index Options'!$H:$H,"Monthly*")=0,"",SUMIFS('NSE - NIFTY Index Options'!$L:$L,'NSE - NIFTY Index Options'!$C:$C,$A64,'NSE - NIFTY Index Options'!$B:$B,C$4,'NSE - NIFTY Index Options'!$H:$H,"Monthly*")+SUMIFS('NSE - Other Index Options'!$L:$L,'NSE - Other Index Options'!$C:$C,$A64,'NSE - Other Index Options'!$B:$B,C$4,'NSE - Other Index Options'!$H:$H,"Monthly*"))</f>
        <v/>
      </c>
      <c r="D64" s="26" t="str">
        <f>IF(SUMIFS('NSE - NIFTY Index Options'!$L:$L,'NSE - NIFTY Index Options'!$C:$C,$A64,'NSE - NIFTY Index Options'!$B:$B,D$4,'NSE - NIFTY Index Options'!$H:$H,"Monthly*")+SUMIFS('NSE - Other Index Options'!$L:$L,'NSE - Other Index Options'!$C:$C,$A64,'NSE - Other Index Options'!$B:$B,D$4,'NSE - Other Index Options'!$H:$H,"Monthly*")=0,"",SUMIFS('NSE - NIFTY Index Options'!$L:$L,'NSE - NIFTY Index Options'!$C:$C,$A64,'NSE - NIFTY Index Options'!$B:$B,D$4,'NSE - NIFTY Index Options'!$H:$H,"Monthly*")+SUMIFS('NSE - Other Index Options'!$L:$L,'NSE - Other Index Options'!$C:$C,$A64,'NSE - Other Index Options'!$B:$B,D$4,'NSE - Other Index Options'!$H:$H,"Monthly*"))</f>
        <v/>
      </c>
      <c r="E64" s="26" t="str">
        <f>IF(SUMIFS('NSE - NIFTY Index Options'!$L:$L,'NSE - NIFTY Index Options'!$C:$C,$A64,'NSE - NIFTY Index Options'!$B:$B,E$4,'NSE - NIFTY Index Options'!$H:$H,"Monthly*")+SUMIFS('NSE - Other Index Options'!$L:$L,'NSE - Other Index Options'!$C:$C,$A64,'NSE - Other Index Options'!$B:$B,E$4,'NSE - Other Index Options'!$H:$H,"Monthly*")=0,"",SUMIFS('NSE - NIFTY Index Options'!$L:$L,'NSE - NIFTY Index Options'!$C:$C,$A64,'NSE - NIFTY Index Options'!$B:$B,E$4,'NSE - NIFTY Index Options'!$H:$H,"Monthly*")+SUMIFS('NSE - Other Index Options'!$L:$L,'NSE - Other Index Options'!$C:$C,$A64,'NSE - Other Index Options'!$B:$B,E$4,'NSE - Other Index Options'!$H:$H,"Monthly*"))</f>
        <v/>
      </c>
      <c r="F64" s="26" t="str">
        <f>IF(SUMIFS('NSE - NIFTY Index Options'!$L:$L,'NSE - NIFTY Index Options'!$C:$C,$A64,'NSE - NIFTY Index Options'!$B:$B,F$4,'NSE - NIFTY Index Options'!$H:$H,"Monthly*")+SUMIFS('NSE - Other Index Options'!$L:$L,'NSE - Other Index Options'!$C:$C,$A64,'NSE - Other Index Options'!$B:$B,F$4,'NSE - Other Index Options'!$H:$H,"Monthly*")=0,"",SUMIFS('NSE - NIFTY Index Options'!$L:$L,'NSE - NIFTY Index Options'!$C:$C,$A64,'NSE - NIFTY Index Options'!$B:$B,F$4,'NSE - NIFTY Index Options'!$H:$H,"Monthly*")+SUMIFS('NSE - Other Index Options'!$L:$L,'NSE - Other Index Options'!$C:$C,$A64,'NSE - Other Index Options'!$B:$B,F$4,'NSE - Other Index Options'!$H:$H,"Monthly*"))</f>
        <v/>
      </c>
      <c r="G64" s="26" t="str">
        <f>IF(SUMIFS('NSE - NIFTY Index Options'!$L:$L,'NSE - NIFTY Index Options'!$C:$C,$A64,'NSE - NIFTY Index Options'!$B:$B,G$4,'NSE - NIFTY Index Options'!$H:$H,"Monthly*")+SUMIFS('NSE - Other Index Options'!$L:$L,'NSE - Other Index Options'!$C:$C,$A64,'NSE - Other Index Options'!$B:$B,G$4,'NSE - Other Index Options'!$H:$H,"Monthly*")=0,"",SUMIFS('NSE - NIFTY Index Options'!$L:$L,'NSE - NIFTY Index Options'!$C:$C,$A64,'NSE - NIFTY Index Options'!$B:$B,G$4,'NSE - NIFTY Index Options'!$H:$H,"Monthly*")+SUMIFS('NSE - Other Index Options'!$L:$L,'NSE - Other Index Options'!$C:$C,$A64,'NSE - Other Index Options'!$B:$B,G$4,'NSE - Other Index Options'!$H:$H,"Monthly*"))</f>
        <v/>
      </c>
      <c r="H64" s="26" t="str">
        <f t="shared" si="1"/>
        <v/>
      </c>
    </row>
    <row r="65" spans="1:8" hidden="1" outlineLevel="1">
      <c r="A65" t="s">
        <v>70</v>
      </c>
      <c r="B65" s="26" t="str">
        <f>IF(SUMIFS('NSE - NIFTY Index Options'!$L:$L,'NSE - NIFTY Index Options'!$C:$C,$A65,'NSE - NIFTY Index Options'!$B:$B,B$4,'NSE - NIFTY Index Options'!$H:$H,"Monthly*")+SUMIFS('NSE - Other Index Options'!$L:$L,'NSE - Other Index Options'!$C:$C,$A65,'NSE - Other Index Options'!$B:$B,B$4,'NSE - Other Index Options'!$H:$H,"Monthly*")=0,"",SUMIFS('NSE - NIFTY Index Options'!$L:$L,'NSE - NIFTY Index Options'!$C:$C,$A65,'NSE - NIFTY Index Options'!$B:$B,B$4,'NSE - NIFTY Index Options'!$H:$H,"Monthly*")+SUMIFS('NSE - Other Index Options'!$L:$L,'NSE - Other Index Options'!$C:$C,$A65,'NSE - Other Index Options'!$B:$B,B$4,'NSE - Other Index Options'!$H:$H,"Monthly*"))</f>
        <v/>
      </c>
      <c r="C65" s="26" t="str">
        <f>IF(SUMIFS('NSE - NIFTY Index Options'!$L:$L,'NSE - NIFTY Index Options'!$C:$C,$A65,'NSE - NIFTY Index Options'!$B:$B,C$4,'NSE - NIFTY Index Options'!$H:$H,"Monthly*")+SUMIFS('NSE - Other Index Options'!$L:$L,'NSE - Other Index Options'!$C:$C,$A65,'NSE - Other Index Options'!$B:$B,C$4,'NSE - Other Index Options'!$H:$H,"Monthly*")=0,"",SUMIFS('NSE - NIFTY Index Options'!$L:$L,'NSE - NIFTY Index Options'!$C:$C,$A65,'NSE - NIFTY Index Options'!$B:$B,C$4,'NSE - NIFTY Index Options'!$H:$H,"Monthly*")+SUMIFS('NSE - Other Index Options'!$L:$L,'NSE - Other Index Options'!$C:$C,$A65,'NSE - Other Index Options'!$B:$B,C$4,'NSE - Other Index Options'!$H:$H,"Monthly*"))</f>
        <v/>
      </c>
      <c r="D65" s="26" t="str">
        <f>IF(SUMIFS('NSE - NIFTY Index Options'!$L:$L,'NSE - NIFTY Index Options'!$C:$C,$A65,'NSE - NIFTY Index Options'!$B:$B,D$4,'NSE - NIFTY Index Options'!$H:$H,"Monthly*")+SUMIFS('NSE - Other Index Options'!$L:$L,'NSE - Other Index Options'!$C:$C,$A65,'NSE - Other Index Options'!$B:$B,D$4,'NSE - Other Index Options'!$H:$H,"Monthly*")=0,"",SUMIFS('NSE - NIFTY Index Options'!$L:$L,'NSE - NIFTY Index Options'!$C:$C,$A65,'NSE - NIFTY Index Options'!$B:$B,D$4,'NSE - NIFTY Index Options'!$H:$H,"Monthly*")+SUMIFS('NSE - Other Index Options'!$L:$L,'NSE - Other Index Options'!$C:$C,$A65,'NSE - Other Index Options'!$B:$B,D$4,'NSE - Other Index Options'!$H:$H,"Monthly*"))</f>
        <v/>
      </c>
      <c r="E65" s="26" t="str">
        <f>IF(SUMIFS('NSE - NIFTY Index Options'!$L:$L,'NSE - NIFTY Index Options'!$C:$C,$A65,'NSE - NIFTY Index Options'!$B:$B,E$4,'NSE - NIFTY Index Options'!$H:$H,"Monthly*")+SUMIFS('NSE - Other Index Options'!$L:$L,'NSE - Other Index Options'!$C:$C,$A65,'NSE - Other Index Options'!$B:$B,E$4,'NSE - Other Index Options'!$H:$H,"Monthly*")=0,"",SUMIFS('NSE - NIFTY Index Options'!$L:$L,'NSE - NIFTY Index Options'!$C:$C,$A65,'NSE - NIFTY Index Options'!$B:$B,E$4,'NSE - NIFTY Index Options'!$H:$H,"Monthly*")+SUMIFS('NSE - Other Index Options'!$L:$L,'NSE - Other Index Options'!$C:$C,$A65,'NSE - Other Index Options'!$B:$B,E$4,'NSE - Other Index Options'!$H:$H,"Monthly*"))</f>
        <v/>
      </c>
      <c r="F65" s="26" t="str">
        <f>IF(SUMIFS('NSE - NIFTY Index Options'!$L:$L,'NSE - NIFTY Index Options'!$C:$C,$A65,'NSE - NIFTY Index Options'!$B:$B,F$4,'NSE - NIFTY Index Options'!$H:$H,"Monthly*")+SUMIFS('NSE - Other Index Options'!$L:$L,'NSE - Other Index Options'!$C:$C,$A65,'NSE - Other Index Options'!$B:$B,F$4,'NSE - Other Index Options'!$H:$H,"Monthly*")=0,"",SUMIFS('NSE - NIFTY Index Options'!$L:$L,'NSE - NIFTY Index Options'!$C:$C,$A65,'NSE - NIFTY Index Options'!$B:$B,F$4,'NSE - NIFTY Index Options'!$H:$H,"Monthly*")+SUMIFS('NSE - Other Index Options'!$L:$L,'NSE - Other Index Options'!$C:$C,$A65,'NSE - Other Index Options'!$B:$B,F$4,'NSE - Other Index Options'!$H:$H,"Monthly*"))</f>
        <v/>
      </c>
      <c r="G65" s="26" t="str">
        <f>IF(SUMIFS('NSE - NIFTY Index Options'!$L:$L,'NSE - NIFTY Index Options'!$C:$C,$A65,'NSE - NIFTY Index Options'!$B:$B,G$4,'NSE - NIFTY Index Options'!$H:$H,"Monthly*")+SUMIFS('NSE - Other Index Options'!$L:$L,'NSE - Other Index Options'!$C:$C,$A65,'NSE - Other Index Options'!$B:$B,G$4,'NSE - Other Index Options'!$H:$H,"Monthly*")=0,"",SUMIFS('NSE - NIFTY Index Options'!$L:$L,'NSE - NIFTY Index Options'!$C:$C,$A65,'NSE - NIFTY Index Options'!$B:$B,G$4,'NSE - NIFTY Index Options'!$H:$H,"Monthly*")+SUMIFS('NSE - Other Index Options'!$L:$L,'NSE - Other Index Options'!$C:$C,$A65,'NSE - Other Index Options'!$B:$B,G$4,'NSE - Other Index Options'!$H:$H,"Monthly*"))</f>
        <v/>
      </c>
      <c r="H65" s="26" t="str">
        <f t="shared" si="1"/>
        <v/>
      </c>
    </row>
    <row r="66" spans="1:8" hidden="1" outlineLevel="1">
      <c r="A66" t="s">
        <v>71</v>
      </c>
      <c r="B66" s="26" t="str">
        <f>IF(SUMIFS('NSE - NIFTY Index Options'!$L:$L,'NSE - NIFTY Index Options'!$C:$C,$A66,'NSE - NIFTY Index Options'!$B:$B,B$4,'NSE - NIFTY Index Options'!$H:$H,"Monthly*")+SUMIFS('NSE - Other Index Options'!$L:$L,'NSE - Other Index Options'!$C:$C,$A66,'NSE - Other Index Options'!$B:$B,B$4,'NSE - Other Index Options'!$H:$H,"Monthly*")=0,"",SUMIFS('NSE - NIFTY Index Options'!$L:$L,'NSE - NIFTY Index Options'!$C:$C,$A66,'NSE - NIFTY Index Options'!$B:$B,B$4,'NSE - NIFTY Index Options'!$H:$H,"Monthly*")+SUMIFS('NSE - Other Index Options'!$L:$L,'NSE - Other Index Options'!$C:$C,$A66,'NSE - Other Index Options'!$B:$B,B$4,'NSE - Other Index Options'!$H:$H,"Monthly*"))</f>
        <v/>
      </c>
      <c r="C66" s="26" t="str">
        <f>IF(SUMIFS('NSE - NIFTY Index Options'!$L:$L,'NSE - NIFTY Index Options'!$C:$C,$A66,'NSE - NIFTY Index Options'!$B:$B,C$4,'NSE - NIFTY Index Options'!$H:$H,"Monthly*")+SUMIFS('NSE - Other Index Options'!$L:$L,'NSE - Other Index Options'!$C:$C,$A66,'NSE - Other Index Options'!$B:$B,C$4,'NSE - Other Index Options'!$H:$H,"Monthly*")=0,"",SUMIFS('NSE - NIFTY Index Options'!$L:$L,'NSE - NIFTY Index Options'!$C:$C,$A66,'NSE - NIFTY Index Options'!$B:$B,C$4,'NSE - NIFTY Index Options'!$H:$H,"Monthly*")+SUMIFS('NSE - Other Index Options'!$L:$L,'NSE - Other Index Options'!$C:$C,$A66,'NSE - Other Index Options'!$B:$B,C$4,'NSE - Other Index Options'!$H:$H,"Monthly*"))</f>
        <v/>
      </c>
      <c r="D66" s="26" t="str">
        <f>IF(SUMIFS('NSE - NIFTY Index Options'!$L:$L,'NSE - NIFTY Index Options'!$C:$C,$A66,'NSE - NIFTY Index Options'!$B:$B,D$4,'NSE - NIFTY Index Options'!$H:$H,"Monthly*")+SUMIFS('NSE - Other Index Options'!$L:$L,'NSE - Other Index Options'!$C:$C,$A66,'NSE - Other Index Options'!$B:$B,D$4,'NSE - Other Index Options'!$H:$H,"Monthly*")=0,"",SUMIFS('NSE - NIFTY Index Options'!$L:$L,'NSE - NIFTY Index Options'!$C:$C,$A66,'NSE - NIFTY Index Options'!$B:$B,D$4,'NSE - NIFTY Index Options'!$H:$H,"Monthly*")+SUMIFS('NSE - Other Index Options'!$L:$L,'NSE - Other Index Options'!$C:$C,$A66,'NSE - Other Index Options'!$B:$B,D$4,'NSE - Other Index Options'!$H:$H,"Monthly*"))</f>
        <v/>
      </c>
      <c r="E66" s="26" t="str">
        <f>IF(SUMIFS('NSE - NIFTY Index Options'!$L:$L,'NSE - NIFTY Index Options'!$C:$C,$A66,'NSE - NIFTY Index Options'!$B:$B,E$4,'NSE - NIFTY Index Options'!$H:$H,"Monthly*")+SUMIFS('NSE - Other Index Options'!$L:$L,'NSE - Other Index Options'!$C:$C,$A66,'NSE - Other Index Options'!$B:$B,E$4,'NSE - Other Index Options'!$H:$H,"Monthly*")=0,"",SUMIFS('NSE - NIFTY Index Options'!$L:$L,'NSE - NIFTY Index Options'!$C:$C,$A66,'NSE - NIFTY Index Options'!$B:$B,E$4,'NSE - NIFTY Index Options'!$H:$H,"Monthly*")+SUMIFS('NSE - Other Index Options'!$L:$L,'NSE - Other Index Options'!$C:$C,$A66,'NSE - Other Index Options'!$B:$B,E$4,'NSE - Other Index Options'!$H:$H,"Monthly*"))</f>
        <v/>
      </c>
      <c r="F66" s="26" t="str">
        <f>IF(SUMIFS('NSE - NIFTY Index Options'!$L:$L,'NSE - NIFTY Index Options'!$C:$C,$A66,'NSE - NIFTY Index Options'!$B:$B,F$4,'NSE - NIFTY Index Options'!$H:$H,"Monthly*")+SUMIFS('NSE - Other Index Options'!$L:$L,'NSE - Other Index Options'!$C:$C,$A66,'NSE - Other Index Options'!$B:$B,F$4,'NSE - Other Index Options'!$H:$H,"Monthly*")=0,"",SUMIFS('NSE - NIFTY Index Options'!$L:$L,'NSE - NIFTY Index Options'!$C:$C,$A66,'NSE - NIFTY Index Options'!$B:$B,F$4,'NSE - NIFTY Index Options'!$H:$H,"Monthly*")+SUMIFS('NSE - Other Index Options'!$L:$L,'NSE - Other Index Options'!$C:$C,$A66,'NSE - Other Index Options'!$B:$B,F$4,'NSE - Other Index Options'!$H:$H,"Monthly*"))</f>
        <v/>
      </c>
      <c r="G66" s="26" t="str">
        <f>IF(SUMIFS('NSE - NIFTY Index Options'!$L:$L,'NSE - NIFTY Index Options'!$C:$C,$A66,'NSE - NIFTY Index Options'!$B:$B,G$4,'NSE - NIFTY Index Options'!$H:$H,"Monthly*")+SUMIFS('NSE - Other Index Options'!$L:$L,'NSE - Other Index Options'!$C:$C,$A66,'NSE - Other Index Options'!$B:$B,G$4,'NSE - Other Index Options'!$H:$H,"Monthly*")=0,"",SUMIFS('NSE - NIFTY Index Options'!$L:$L,'NSE - NIFTY Index Options'!$C:$C,$A66,'NSE - NIFTY Index Options'!$B:$B,G$4,'NSE - NIFTY Index Options'!$H:$H,"Monthly*")+SUMIFS('NSE - Other Index Options'!$L:$L,'NSE - Other Index Options'!$C:$C,$A66,'NSE - Other Index Options'!$B:$B,G$4,'NSE - Other Index Options'!$H:$H,"Monthly*"))</f>
        <v/>
      </c>
      <c r="H66" s="26" t="str">
        <f t="shared" si="1"/>
        <v/>
      </c>
    </row>
    <row r="67" spans="1:8" hidden="1" outlineLevel="1">
      <c r="A67" t="s">
        <v>72</v>
      </c>
      <c r="B67" s="26" t="str">
        <f>IF(SUMIFS('NSE - NIFTY Index Options'!$L:$L,'NSE - NIFTY Index Options'!$C:$C,$A67,'NSE - NIFTY Index Options'!$B:$B,B$4,'NSE - NIFTY Index Options'!$H:$H,"Monthly*")+SUMIFS('NSE - Other Index Options'!$L:$L,'NSE - Other Index Options'!$C:$C,$A67,'NSE - Other Index Options'!$B:$B,B$4,'NSE - Other Index Options'!$H:$H,"Monthly*")=0,"",SUMIFS('NSE - NIFTY Index Options'!$L:$L,'NSE - NIFTY Index Options'!$C:$C,$A67,'NSE - NIFTY Index Options'!$B:$B,B$4,'NSE - NIFTY Index Options'!$H:$H,"Monthly*")+SUMIFS('NSE - Other Index Options'!$L:$L,'NSE - Other Index Options'!$C:$C,$A67,'NSE - Other Index Options'!$B:$B,B$4,'NSE - Other Index Options'!$H:$H,"Monthly*"))</f>
        <v/>
      </c>
      <c r="C67" s="26" t="str">
        <f>IF(SUMIFS('NSE - NIFTY Index Options'!$L:$L,'NSE - NIFTY Index Options'!$C:$C,$A67,'NSE - NIFTY Index Options'!$B:$B,C$4,'NSE - NIFTY Index Options'!$H:$H,"Monthly*")+SUMIFS('NSE - Other Index Options'!$L:$L,'NSE - Other Index Options'!$C:$C,$A67,'NSE - Other Index Options'!$B:$B,C$4,'NSE - Other Index Options'!$H:$H,"Monthly*")=0,"",SUMIFS('NSE - NIFTY Index Options'!$L:$L,'NSE - NIFTY Index Options'!$C:$C,$A67,'NSE - NIFTY Index Options'!$B:$B,C$4,'NSE - NIFTY Index Options'!$H:$H,"Monthly*")+SUMIFS('NSE - Other Index Options'!$L:$L,'NSE - Other Index Options'!$C:$C,$A67,'NSE - Other Index Options'!$B:$B,C$4,'NSE - Other Index Options'!$H:$H,"Monthly*"))</f>
        <v/>
      </c>
      <c r="D67" s="26" t="str">
        <f>IF(SUMIFS('NSE - NIFTY Index Options'!$L:$L,'NSE - NIFTY Index Options'!$C:$C,$A67,'NSE - NIFTY Index Options'!$B:$B,D$4,'NSE - NIFTY Index Options'!$H:$H,"Monthly*")+SUMIFS('NSE - Other Index Options'!$L:$L,'NSE - Other Index Options'!$C:$C,$A67,'NSE - Other Index Options'!$B:$B,D$4,'NSE - Other Index Options'!$H:$H,"Monthly*")=0,"",SUMIFS('NSE - NIFTY Index Options'!$L:$L,'NSE - NIFTY Index Options'!$C:$C,$A67,'NSE - NIFTY Index Options'!$B:$B,D$4,'NSE - NIFTY Index Options'!$H:$H,"Monthly*")+SUMIFS('NSE - Other Index Options'!$L:$L,'NSE - Other Index Options'!$C:$C,$A67,'NSE - Other Index Options'!$B:$B,D$4,'NSE - Other Index Options'!$H:$H,"Monthly*"))</f>
        <v/>
      </c>
      <c r="E67" s="26" t="str">
        <f>IF(SUMIFS('NSE - NIFTY Index Options'!$L:$L,'NSE - NIFTY Index Options'!$C:$C,$A67,'NSE - NIFTY Index Options'!$B:$B,E$4,'NSE - NIFTY Index Options'!$H:$H,"Monthly*")+SUMIFS('NSE - Other Index Options'!$L:$L,'NSE - Other Index Options'!$C:$C,$A67,'NSE - Other Index Options'!$B:$B,E$4,'NSE - Other Index Options'!$H:$H,"Monthly*")=0,"",SUMIFS('NSE - NIFTY Index Options'!$L:$L,'NSE - NIFTY Index Options'!$C:$C,$A67,'NSE - NIFTY Index Options'!$B:$B,E$4,'NSE - NIFTY Index Options'!$H:$H,"Monthly*")+SUMIFS('NSE - Other Index Options'!$L:$L,'NSE - Other Index Options'!$C:$C,$A67,'NSE - Other Index Options'!$B:$B,E$4,'NSE - Other Index Options'!$H:$H,"Monthly*"))</f>
        <v/>
      </c>
      <c r="F67" s="26" t="str">
        <f>IF(SUMIFS('NSE - NIFTY Index Options'!$L:$L,'NSE - NIFTY Index Options'!$C:$C,$A67,'NSE - NIFTY Index Options'!$B:$B,F$4,'NSE - NIFTY Index Options'!$H:$H,"Monthly*")+SUMIFS('NSE - Other Index Options'!$L:$L,'NSE - Other Index Options'!$C:$C,$A67,'NSE - Other Index Options'!$B:$B,F$4,'NSE - Other Index Options'!$H:$H,"Monthly*")=0,"",SUMIFS('NSE - NIFTY Index Options'!$L:$L,'NSE - NIFTY Index Options'!$C:$C,$A67,'NSE - NIFTY Index Options'!$B:$B,F$4,'NSE - NIFTY Index Options'!$H:$H,"Monthly*")+SUMIFS('NSE - Other Index Options'!$L:$L,'NSE - Other Index Options'!$C:$C,$A67,'NSE - Other Index Options'!$B:$B,F$4,'NSE - Other Index Options'!$H:$H,"Monthly*"))</f>
        <v/>
      </c>
      <c r="G67" s="26" t="str">
        <f>IF(SUMIFS('NSE - NIFTY Index Options'!$L:$L,'NSE - NIFTY Index Options'!$C:$C,$A67,'NSE - NIFTY Index Options'!$B:$B,G$4,'NSE - NIFTY Index Options'!$H:$H,"Monthly*")+SUMIFS('NSE - Other Index Options'!$L:$L,'NSE - Other Index Options'!$C:$C,$A67,'NSE - Other Index Options'!$B:$B,G$4,'NSE - Other Index Options'!$H:$H,"Monthly*")=0,"",SUMIFS('NSE - NIFTY Index Options'!$L:$L,'NSE - NIFTY Index Options'!$C:$C,$A67,'NSE - NIFTY Index Options'!$B:$B,G$4,'NSE - NIFTY Index Options'!$H:$H,"Monthly*")+SUMIFS('NSE - Other Index Options'!$L:$L,'NSE - Other Index Options'!$C:$C,$A67,'NSE - Other Index Options'!$B:$B,G$4,'NSE - Other Index Options'!$H:$H,"Monthly*"))</f>
        <v/>
      </c>
      <c r="H67" s="26" t="str">
        <f t="shared" si="1"/>
        <v/>
      </c>
    </row>
    <row r="68" spans="1:8" hidden="1" outlineLevel="1">
      <c r="A68" t="s">
        <v>73</v>
      </c>
      <c r="B68" s="26" t="str">
        <f>IF(SUMIFS('NSE - NIFTY Index Options'!$L:$L,'NSE - NIFTY Index Options'!$C:$C,$A68,'NSE - NIFTY Index Options'!$B:$B,B$4,'NSE - NIFTY Index Options'!$H:$H,"Monthly*")+SUMIFS('NSE - Other Index Options'!$L:$L,'NSE - Other Index Options'!$C:$C,$A68,'NSE - Other Index Options'!$B:$B,B$4,'NSE - Other Index Options'!$H:$H,"Monthly*")=0,"",SUMIFS('NSE - NIFTY Index Options'!$L:$L,'NSE - NIFTY Index Options'!$C:$C,$A68,'NSE - NIFTY Index Options'!$B:$B,B$4,'NSE - NIFTY Index Options'!$H:$H,"Monthly*")+SUMIFS('NSE - Other Index Options'!$L:$L,'NSE - Other Index Options'!$C:$C,$A68,'NSE - Other Index Options'!$B:$B,B$4,'NSE - Other Index Options'!$H:$H,"Monthly*"))</f>
        <v/>
      </c>
      <c r="C68" s="26" t="str">
        <f>IF(SUMIFS('NSE - NIFTY Index Options'!$L:$L,'NSE - NIFTY Index Options'!$C:$C,$A68,'NSE - NIFTY Index Options'!$B:$B,C$4,'NSE - NIFTY Index Options'!$H:$H,"Monthly*")+SUMIFS('NSE - Other Index Options'!$L:$L,'NSE - Other Index Options'!$C:$C,$A68,'NSE - Other Index Options'!$B:$B,C$4,'NSE - Other Index Options'!$H:$H,"Monthly*")=0,"",SUMIFS('NSE - NIFTY Index Options'!$L:$L,'NSE - NIFTY Index Options'!$C:$C,$A68,'NSE - NIFTY Index Options'!$B:$B,C$4,'NSE - NIFTY Index Options'!$H:$H,"Monthly*")+SUMIFS('NSE - Other Index Options'!$L:$L,'NSE - Other Index Options'!$C:$C,$A68,'NSE - Other Index Options'!$B:$B,C$4,'NSE - Other Index Options'!$H:$H,"Monthly*"))</f>
        <v/>
      </c>
      <c r="D68" s="26" t="str">
        <f>IF(SUMIFS('NSE - NIFTY Index Options'!$L:$L,'NSE - NIFTY Index Options'!$C:$C,$A68,'NSE - NIFTY Index Options'!$B:$B,D$4,'NSE - NIFTY Index Options'!$H:$H,"Monthly*")+SUMIFS('NSE - Other Index Options'!$L:$L,'NSE - Other Index Options'!$C:$C,$A68,'NSE - Other Index Options'!$B:$B,D$4,'NSE - Other Index Options'!$H:$H,"Monthly*")=0,"",SUMIFS('NSE - NIFTY Index Options'!$L:$L,'NSE - NIFTY Index Options'!$C:$C,$A68,'NSE - NIFTY Index Options'!$B:$B,D$4,'NSE - NIFTY Index Options'!$H:$H,"Monthly*")+SUMIFS('NSE - Other Index Options'!$L:$L,'NSE - Other Index Options'!$C:$C,$A68,'NSE - Other Index Options'!$B:$B,D$4,'NSE - Other Index Options'!$H:$H,"Monthly*"))</f>
        <v/>
      </c>
      <c r="E68" s="26" t="str">
        <f>IF(SUMIFS('NSE - NIFTY Index Options'!$L:$L,'NSE - NIFTY Index Options'!$C:$C,$A68,'NSE - NIFTY Index Options'!$B:$B,E$4,'NSE - NIFTY Index Options'!$H:$H,"Monthly*")+SUMIFS('NSE - Other Index Options'!$L:$L,'NSE - Other Index Options'!$C:$C,$A68,'NSE - Other Index Options'!$B:$B,E$4,'NSE - Other Index Options'!$H:$H,"Monthly*")=0,"",SUMIFS('NSE - NIFTY Index Options'!$L:$L,'NSE - NIFTY Index Options'!$C:$C,$A68,'NSE - NIFTY Index Options'!$B:$B,E$4,'NSE - NIFTY Index Options'!$H:$H,"Monthly*")+SUMIFS('NSE - Other Index Options'!$L:$L,'NSE - Other Index Options'!$C:$C,$A68,'NSE - Other Index Options'!$B:$B,E$4,'NSE - Other Index Options'!$H:$H,"Monthly*"))</f>
        <v/>
      </c>
      <c r="F68" s="26" t="str">
        <f>IF(SUMIFS('NSE - NIFTY Index Options'!$L:$L,'NSE - NIFTY Index Options'!$C:$C,$A68,'NSE - NIFTY Index Options'!$B:$B,F$4,'NSE - NIFTY Index Options'!$H:$H,"Monthly*")+SUMIFS('NSE - Other Index Options'!$L:$L,'NSE - Other Index Options'!$C:$C,$A68,'NSE - Other Index Options'!$B:$B,F$4,'NSE - Other Index Options'!$H:$H,"Monthly*")=0,"",SUMIFS('NSE - NIFTY Index Options'!$L:$L,'NSE - NIFTY Index Options'!$C:$C,$A68,'NSE - NIFTY Index Options'!$B:$B,F$4,'NSE - NIFTY Index Options'!$H:$H,"Monthly*")+SUMIFS('NSE - Other Index Options'!$L:$L,'NSE - Other Index Options'!$C:$C,$A68,'NSE - Other Index Options'!$B:$B,F$4,'NSE - Other Index Options'!$H:$H,"Monthly*"))</f>
        <v/>
      </c>
      <c r="G68" s="26" t="str">
        <f>IF(SUMIFS('NSE - NIFTY Index Options'!$L:$L,'NSE - NIFTY Index Options'!$C:$C,$A68,'NSE - NIFTY Index Options'!$B:$B,G$4,'NSE - NIFTY Index Options'!$H:$H,"Monthly*")+SUMIFS('NSE - Other Index Options'!$L:$L,'NSE - Other Index Options'!$C:$C,$A68,'NSE - Other Index Options'!$B:$B,G$4,'NSE - Other Index Options'!$H:$H,"Monthly*")=0,"",SUMIFS('NSE - NIFTY Index Options'!$L:$L,'NSE - NIFTY Index Options'!$C:$C,$A68,'NSE - NIFTY Index Options'!$B:$B,G$4,'NSE - NIFTY Index Options'!$H:$H,"Monthly*")+SUMIFS('NSE - Other Index Options'!$L:$L,'NSE - Other Index Options'!$C:$C,$A68,'NSE - Other Index Options'!$B:$B,G$4,'NSE - Other Index Options'!$H:$H,"Monthly*"))</f>
        <v/>
      </c>
      <c r="H68" s="26" t="str">
        <f t="shared" si="1"/>
        <v/>
      </c>
    </row>
    <row r="69" spans="1:8" hidden="1" outlineLevel="1">
      <c r="A69" t="s">
        <v>74</v>
      </c>
      <c r="B69" s="26" t="str">
        <f>IF(SUMIFS('NSE - NIFTY Index Options'!$L:$L,'NSE - NIFTY Index Options'!$C:$C,$A69,'NSE - NIFTY Index Options'!$B:$B,B$4,'NSE - NIFTY Index Options'!$H:$H,"Monthly*")+SUMIFS('NSE - Other Index Options'!$L:$L,'NSE - Other Index Options'!$C:$C,$A69,'NSE - Other Index Options'!$B:$B,B$4,'NSE - Other Index Options'!$H:$H,"Monthly*")=0,"",SUMIFS('NSE - NIFTY Index Options'!$L:$L,'NSE - NIFTY Index Options'!$C:$C,$A69,'NSE - NIFTY Index Options'!$B:$B,B$4,'NSE - NIFTY Index Options'!$H:$H,"Monthly*")+SUMIFS('NSE - Other Index Options'!$L:$L,'NSE - Other Index Options'!$C:$C,$A69,'NSE - Other Index Options'!$B:$B,B$4,'NSE - Other Index Options'!$H:$H,"Monthly*"))</f>
        <v/>
      </c>
      <c r="C69" s="26" t="str">
        <f>IF(SUMIFS('NSE - NIFTY Index Options'!$L:$L,'NSE - NIFTY Index Options'!$C:$C,$A69,'NSE - NIFTY Index Options'!$B:$B,C$4,'NSE - NIFTY Index Options'!$H:$H,"Monthly*")+SUMIFS('NSE - Other Index Options'!$L:$L,'NSE - Other Index Options'!$C:$C,$A69,'NSE - Other Index Options'!$B:$B,C$4,'NSE - Other Index Options'!$H:$H,"Monthly*")=0,"",SUMIFS('NSE - NIFTY Index Options'!$L:$L,'NSE - NIFTY Index Options'!$C:$C,$A69,'NSE - NIFTY Index Options'!$B:$B,C$4,'NSE - NIFTY Index Options'!$H:$H,"Monthly*")+SUMIFS('NSE - Other Index Options'!$L:$L,'NSE - Other Index Options'!$C:$C,$A69,'NSE - Other Index Options'!$B:$B,C$4,'NSE - Other Index Options'!$H:$H,"Monthly*"))</f>
        <v/>
      </c>
      <c r="D69" s="26" t="str">
        <f>IF(SUMIFS('NSE - NIFTY Index Options'!$L:$L,'NSE - NIFTY Index Options'!$C:$C,$A69,'NSE - NIFTY Index Options'!$B:$B,D$4,'NSE - NIFTY Index Options'!$H:$H,"Monthly*")+SUMIFS('NSE - Other Index Options'!$L:$L,'NSE - Other Index Options'!$C:$C,$A69,'NSE - Other Index Options'!$B:$B,D$4,'NSE - Other Index Options'!$H:$H,"Monthly*")=0,"",SUMIFS('NSE - NIFTY Index Options'!$L:$L,'NSE - NIFTY Index Options'!$C:$C,$A69,'NSE - NIFTY Index Options'!$B:$B,D$4,'NSE - NIFTY Index Options'!$H:$H,"Monthly*")+SUMIFS('NSE - Other Index Options'!$L:$L,'NSE - Other Index Options'!$C:$C,$A69,'NSE - Other Index Options'!$B:$B,D$4,'NSE - Other Index Options'!$H:$H,"Monthly*"))</f>
        <v/>
      </c>
      <c r="E69" s="26" t="str">
        <f>IF(SUMIFS('NSE - NIFTY Index Options'!$L:$L,'NSE - NIFTY Index Options'!$C:$C,$A69,'NSE - NIFTY Index Options'!$B:$B,E$4,'NSE - NIFTY Index Options'!$H:$H,"Monthly*")+SUMIFS('NSE - Other Index Options'!$L:$L,'NSE - Other Index Options'!$C:$C,$A69,'NSE - Other Index Options'!$B:$B,E$4,'NSE - Other Index Options'!$H:$H,"Monthly*")=0,"",SUMIFS('NSE - NIFTY Index Options'!$L:$L,'NSE - NIFTY Index Options'!$C:$C,$A69,'NSE - NIFTY Index Options'!$B:$B,E$4,'NSE - NIFTY Index Options'!$H:$H,"Monthly*")+SUMIFS('NSE - Other Index Options'!$L:$L,'NSE - Other Index Options'!$C:$C,$A69,'NSE - Other Index Options'!$B:$B,E$4,'NSE - Other Index Options'!$H:$H,"Monthly*"))</f>
        <v/>
      </c>
      <c r="F69" s="26" t="str">
        <f>IF(SUMIFS('NSE - NIFTY Index Options'!$L:$L,'NSE - NIFTY Index Options'!$C:$C,$A69,'NSE - NIFTY Index Options'!$B:$B,F$4,'NSE - NIFTY Index Options'!$H:$H,"Monthly*")+SUMIFS('NSE - Other Index Options'!$L:$L,'NSE - Other Index Options'!$C:$C,$A69,'NSE - Other Index Options'!$B:$B,F$4,'NSE - Other Index Options'!$H:$H,"Monthly*")=0,"",SUMIFS('NSE - NIFTY Index Options'!$L:$L,'NSE - NIFTY Index Options'!$C:$C,$A69,'NSE - NIFTY Index Options'!$B:$B,F$4,'NSE - NIFTY Index Options'!$H:$H,"Monthly*")+SUMIFS('NSE - Other Index Options'!$L:$L,'NSE - Other Index Options'!$C:$C,$A69,'NSE - Other Index Options'!$B:$B,F$4,'NSE - Other Index Options'!$H:$H,"Monthly*"))</f>
        <v/>
      </c>
      <c r="G69" s="26" t="str">
        <f>IF(SUMIFS('NSE - NIFTY Index Options'!$L:$L,'NSE - NIFTY Index Options'!$C:$C,$A69,'NSE - NIFTY Index Options'!$B:$B,G$4,'NSE - NIFTY Index Options'!$H:$H,"Monthly*")+SUMIFS('NSE - Other Index Options'!$L:$L,'NSE - Other Index Options'!$C:$C,$A69,'NSE - Other Index Options'!$B:$B,G$4,'NSE - Other Index Options'!$H:$H,"Monthly*")=0,"",SUMIFS('NSE - NIFTY Index Options'!$L:$L,'NSE - NIFTY Index Options'!$C:$C,$A69,'NSE - NIFTY Index Options'!$B:$B,G$4,'NSE - NIFTY Index Options'!$H:$H,"Monthly*")+SUMIFS('NSE - Other Index Options'!$L:$L,'NSE - Other Index Options'!$C:$C,$A69,'NSE - Other Index Options'!$B:$B,G$4,'NSE - Other Index Options'!$H:$H,"Monthly*"))</f>
        <v/>
      </c>
      <c r="H69" s="26" t="str">
        <f t="shared" ref="H69:H100" si="2">IF(SUM(B69:G69)=0,"",SUM(B69:G69))</f>
        <v/>
      </c>
    </row>
    <row r="70" spans="1:8" hidden="1" outlineLevel="1">
      <c r="A70" t="s">
        <v>75</v>
      </c>
      <c r="B70" s="26" t="str">
        <f>IF(SUMIFS('NSE - NIFTY Index Options'!$L:$L,'NSE - NIFTY Index Options'!$C:$C,$A70,'NSE - NIFTY Index Options'!$B:$B,B$4,'NSE - NIFTY Index Options'!$H:$H,"Monthly*")+SUMIFS('NSE - Other Index Options'!$L:$L,'NSE - Other Index Options'!$C:$C,$A70,'NSE - Other Index Options'!$B:$B,B$4,'NSE - Other Index Options'!$H:$H,"Monthly*")=0,"",SUMIFS('NSE - NIFTY Index Options'!$L:$L,'NSE - NIFTY Index Options'!$C:$C,$A70,'NSE - NIFTY Index Options'!$B:$B,B$4,'NSE - NIFTY Index Options'!$H:$H,"Monthly*")+SUMIFS('NSE - Other Index Options'!$L:$L,'NSE - Other Index Options'!$C:$C,$A70,'NSE - Other Index Options'!$B:$B,B$4,'NSE - Other Index Options'!$H:$H,"Monthly*"))</f>
        <v/>
      </c>
      <c r="C70" s="26" t="str">
        <f>IF(SUMIFS('NSE - NIFTY Index Options'!$L:$L,'NSE - NIFTY Index Options'!$C:$C,$A70,'NSE - NIFTY Index Options'!$B:$B,C$4,'NSE - NIFTY Index Options'!$H:$H,"Monthly*")+SUMIFS('NSE - Other Index Options'!$L:$L,'NSE - Other Index Options'!$C:$C,$A70,'NSE - Other Index Options'!$B:$B,C$4,'NSE - Other Index Options'!$H:$H,"Monthly*")=0,"",SUMIFS('NSE - NIFTY Index Options'!$L:$L,'NSE - NIFTY Index Options'!$C:$C,$A70,'NSE - NIFTY Index Options'!$B:$B,C$4,'NSE - NIFTY Index Options'!$H:$H,"Monthly*")+SUMIFS('NSE - Other Index Options'!$L:$L,'NSE - Other Index Options'!$C:$C,$A70,'NSE - Other Index Options'!$B:$B,C$4,'NSE - Other Index Options'!$H:$H,"Monthly*"))</f>
        <v/>
      </c>
      <c r="D70" s="26" t="str">
        <f>IF(SUMIFS('NSE - NIFTY Index Options'!$L:$L,'NSE - NIFTY Index Options'!$C:$C,$A70,'NSE - NIFTY Index Options'!$B:$B,D$4,'NSE - NIFTY Index Options'!$H:$H,"Monthly*")+SUMIFS('NSE - Other Index Options'!$L:$L,'NSE - Other Index Options'!$C:$C,$A70,'NSE - Other Index Options'!$B:$B,D$4,'NSE - Other Index Options'!$H:$H,"Monthly*")=0,"",SUMIFS('NSE - NIFTY Index Options'!$L:$L,'NSE - NIFTY Index Options'!$C:$C,$A70,'NSE - NIFTY Index Options'!$B:$B,D$4,'NSE - NIFTY Index Options'!$H:$H,"Monthly*")+SUMIFS('NSE - Other Index Options'!$L:$L,'NSE - Other Index Options'!$C:$C,$A70,'NSE - Other Index Options'!$B:$B,D$4,'NSE - Other Index Options'!$H:$H,"Monthly*"))</f>
        <v/>
      </c>
      <c r="E70" s="26" t="str">
        <f>IF(SUMIFS('NSE - NIFTY Index Options'!$L:$L,'NSE - NIFTY Index Options'!$C:$C,$A70,'NSE - NIFTY Index Options'!$B:$B,E$4,'NSE - NIFTY Index Options'!$H:$H,"Monthly*")+SUMIFS('NSE - Other Index Options'!$L:$L,'NSE - Other Index Options'!$C:$C,$A70,'NSE - Other Index Options'!$B:$B,E$4,'NSE - Other Index Options'!$H:$H,"Monthly*")=0,"",SUMIFS('NSE - NIFTY Index Options'!$L:$L,'NSE - NIFTY Index Options'!$C:$C,$A70,'NSE - NIFTY Index Options'!$B:$B,E$4,'NSE - NIFTY Index Options'!$H:$H,"Monthly*")+SUMIFS('NSE - Other Index Options'!$L:$L,'NSE - Other Index Options'!$C:$C,$A70,'NSE - Other Index Options'!$B:$B,E$4,'NSE - Other Index Options'!$H:$H,"Monthly*"))</f>
        <v/>
      </c>
      <c r="F70" s="26" t="str">
        <f>IF(SUMIFS('NSE - NIFTY Index Options'!$L:$L,'NSE - NIFTY Index Options'!$C:$C,$A70,'NSE - NIFTY Index Options'!$B:$B,F$4,'NSE - NIFTY Index Options'!$H:$H,"Monthly*")+SUMIFS('NSE - Other Index Options'!$L:$L,'NSE - Other Index Options'!$C:$C,$A70,'NSE - Other Index Options'!$B:$B,F$4,'NSE - Other Index Options'!$H:$H,"Monthly*")=0,"",SUMIFS('NSE - NIFTY Index Options'!$L:$L,'NSE - NIFTY Index Options'!$C:$C,$A70,'NSE - NIFTY Index Options'!$B:$B,F$4,'NSE - NIFTY Index Options'!$H:$H,"Monthly*")+SUMIFS('NSE - Other Index Options'!$L:$L,'NSE - Other Index Options'!$C:$C,$A70,'NSE - Other Index Options'!$B:$B,F$4,'NSE - Other Index Options'!$H:$H,"Monthly*"))</f>
        <v/>
      </c>
      <c r="G70" s="26" t="str">
        <f>IF(SUMIFS('NSE - NIFTY Index Options'!$L:$L,'NSE - NIFTY Index Options'!$C:$C,$A70,'NSE - NIFTY Index Options'!$B:$B,G$4,'NSE - NIFTY Index Options'!$H:$H,"Monthly*")+SUMIFS('NSE - Other Index Options'!$L:$L,'NSE - Other Index Options'!$C:$C,$A70,'NSE - Other Index Options'!$B:$B,G$4,'NSE - Other Index Options'!$H:$H,"Monthly*")=0,"",SUMIFS('NSE - NIFTY Index Options'!$L:$L,'NSE - NIFTY Index Options'!$C:$C,$A70,'NSE - NIFTY Index Options'!$B:$B,G$4,'NSE - NIFTY Index Options'!$H:$H,"Monthly*")+SUMIFS('NSE - Other Index Options'!$L:$L,'NSE - Other Index Options'!$C:$C,$A70,'NSE - Other Index Options'!$B:$B,G$4,'NSE - Other Index Options'!$H:$H,"Monthly*"))</f>
        <v/>
      </c>
      <c r="H70" s="26" t="str">
        <f t="shared" si="2"/>
        <v/>
      </c>
    </row>
    <row r="71" spans="1:8" hidden="1" outlineLevel="1">
      <c r="A71" t="s">
        <v>76</v>
      </c>
      <c r="B71" s="26" t="str">
        <f>IF(SUMIFS('NSE - NIFTY Index Options'!$L:$L,'NSE - NIFTY Index Options'!$C:$C,$A71,'NSE - NIFTY Index Options'!$B:$B,B$4,'NSE - NIFTY Index Options'!$H:$H,"Monthly*")+SUMIFS('NSE - Other Index Options'!$L:$L,'NSE - Other Index Options'!$C:$C,$A71,'NSE - Other Index Options'!$B:$B,B$4,'NSE - Other Index Options'!$H:$H,"Monthly*")=0,"",SUMIFS('NSE - NIFTY Index Options'!$L:$L,'NSE - NIFTY Index Options'!$C:$C,$A71,'NSE - NIFTY Index Options'!$B:$B,B$4,'NSE - NIFTY Index Options'!$H:$H,"Monthly*")+SUMIFS('NSE - Other Index Options'!$L:$L,'NSE - Other Index Options'!$C:$C,$A71,'NSE - Other Index Options'!$B:$B,B$4,'NSE - Other Index Options'!$H:$H,"Monthly*"))</f>
        <v/>
      </c>
      <c r="C71" s="26" t="str">
        <f>IF(SUMIFS('NSE - NIFTY Index Options'!$L:$L,'NSE - NIFTY Index Options'!$C:$C,$A71,'NSE - NIFTY Index Options'!$B:$B,C$4,'NSE - NIFTY Index Options'!$H:$H,"Monthly*")+SUMIFS('NSE - Other Index Options'!$L:$L,'NSE - Other Index Options'!$C:$C,$A71,'NSE - Other Index Options'!$B:$B,C$4,'NSE - Other Index Options'!$H:$H,"Monthly*")=0,"",SUMIFS('NSE - NIFTY Index Options'!$L:$L,'NSE - NIFTY Index Options'!$C:$C,$A71,'NSE - NIFTY Index Options'!$B:$B,C$4,'NSE - NIFTY Index Options'!$H:$H,"Monthly*")+SUMIFS('NSE - Other Index Options'!$L:$L,'NSE - Other Index Options'!$C:$C,$A71,'NSE - Other Index Options'!$B:$B,C$4,'NSE - Other Index Options'!$H:$H,"Monthly*"))</f>
        <v/>
      </c>
      <c r="D71" s="26" t="str">
        <f>IF(SUMIFS('NSE - NIFTY Index Options'!$L:$L,'NSE - NIFTY Index Options'!$C:$C,$A71,'NSE - NIFTY Index Options'!$B:$B,D$4,'NSE - NIFTY Index Options'!$H:$H,"Monthly*")+SUMIFS('NSE - Other Index Options'!$L:$L,'NSE - Other Index Options'!$C:$C,$A71,'NSE - Other Index Options'!$B:$B,D$4,'NSE - Other Index Options'!$H:$H,"Monthly*")=0,"",SUMIFS('NSE - NIFTY Index Options'!$L:$L,'NSE - NIFTY Index Options'!$C:$C,$A71,'NSE - NIFTY Index Options'!$B:$B,D$4,'NSE - NIFTY Index Options'!$H:$H,"Monthly*")+SUMIFS('NSE - Other Index Options'!$L:$L,'NSE - Other Index Options'!$C:$C,$A71,'NSE - Other Index Options'!$B:$B,D$4,'NSE - Other Index Options'!$H:$H,"Monthly*"))</f>
        <v/>
      </c>
      <c r="E71" s="26" t="str">
        <f>IF(SUMIFS('NSE - NIFTY Index Options'!$L:$L,'NSE - NIFTY Index Options'!$C:$C,$A71,'NSE - NIFTY Index Options'!$B:$B,E$4,'NSE - NIFTY Index Options'!$H:$H,"Monthly*")+SUMIFS('NSE - Other Index Options'!$L:$L,'NSE - Other Index Options'!$C:$C,$A71,'NSE - Other Index Options'!$B:$B,E$4,'NSE - Other Index Options'!$H:$H,"Monthly*")=0,"",SUMIFS('NSE - NIFTY Index Options'!$L:$L,'NSE - NIFTY Index Options'!$C:$C,$A71,'NSE - NIFTY Index Options'!$B:$B,E$4,'NSE - NIFTY Index Options'!$H:$H,"Monthly*")+SUMIFS('NSE - Other Index Options'!$L:$L,'NSE - Other Index Options'!$C:$C,$A71,'NSE - Other Index Options'!$B:$B,E$4,'NSE - Other Index Options'!$H:$H,"Monthly*"))</f>
        <v/>
      </c>
      <c r="F71" s="26" t="str">
        <f>IF(SUMIFS('NSE - NIFTY Index Options'!$L:$L,'NSE - NIFTY Index Options'!$C:$C,$A71,'NSE - NIFTY Index Options'!$B:$B,F$4,'NSE - NIFTY Index Options'!$H:$H,"Monthly*")+SUMIFS('NSE - Other Index Options'!$L:$L,'NSE - Other Index Options'!$C:$C,$A71,'NSE - Other Index Options'!$B:$B,F$4,'NSE - Other Index Options'!$H:$H,"Monthly*")=0,"",SUMIFS('NSE - NIFTY Index Options'!$L:$L,'NSE - NIFTY Index Options'!$C:$C,$A71,'NSE - NIFTY Index Options'!$B:$B,F$4,'NSE - NIFTY Index Options'!$H:$H,"Monthly*")+SUMIFS('NSE - Other Index Options'!$L:$L,'NSE - Other Index Options'!$C:$C,$A71,'NSE - Other Index Options'!$B:$B,F$4,'NSE - Other Index Options'!$H:$H,"Monthly*"))</f>
        <v/>
      </c>
      <c r="G71" s="26" t="str">
        <f>IF(SUMIFS('NSE - NIFTY Index Options'!$L:$L,'NSE - NIFTY Index Options'!$C:$C,$A71,'NSE - NIFTY Index Options'!$B:$B,G$4,'NSE - NIFTY Index Options'!$H:$H,"Monthly*")+SUMIFS('NSE - Other Index Options'!$L:$L,'NSE - Other Index Options'!$C:$C,$A71,'NSE - Other Index Options'!$B:$B,G$4,'NSE - Other Index Options'!$H:$H,"Monthly*")=0,"",SUMIFS('NSE - NIFTY Index Options'!$L:$L,'NSE - NIFTY Index Options'!$C:$C,$A71,'NSE - NIFTY Index Options'!$B:$B,G$4,'NSE - NIFTY Index Options'!$H:$H,"Monthly*")+SUMIFS('NSE - Other Index Options'!$L:$L,'NSE - Other Index Options'!$C:$C,$A71,'NSE - Other Index Options'!$B:$B,G$4,'NSE - Other Index Options'!$H:$H,"Monthly*"))</f>
        <v/>
      </c>
      <c r="H71" s="26" t="str">
        <f t="shared" si="2"/>
        <v/>
      </c>
    </row>
    <row r="72" spans="1:8" hidden="1" outlineLevel="1">
      <c r="A72" t="s">
        <v>77</v>
      </c>
      <c r="B72" s="26" t="str">
        <f>IF(SUMIFS('NSE - NIFTY Index Options'!$L:$L,'NSE - NIFTY Index Options'!$C:$C,$A72,'NSE - NIFTY Index Options'!$B:$B,B$4,'NSE - NIFTY Index Options'!$H:$H,"Monthly*")+SUMIFS('NSE - Other Index Options'!$L:$L,'NSE - Other Index Options'!$C:$C,$A72,'NSE - Other Index Options'!$B:$B,B$4,'NSE - Other Index Options'!$H:$H,"Monthly*")=0,"",SUMIFS('NSE - NIFTY Index Options'!$L:$L,'NSE - NIFTY Index Options'!$C:$C,$A72,'NSE - NIFTY Index Options'!$B:$B,B$4,'NSE - NIFTY Index Options'!$H:$H,"Monthly*")+SUMIFS('NSE - Other Index Options'!$L:$L,'NSE - Other Index Options'!$C:$C,$A72,'NSE - Other Index Options'!$B:$B,B$4,'NSE - Other Index Options'!$H:$H,"Monthly*"))</f>
        <v/>
      </c>
      <c r="C72" s="26" t="str">
        <f>IF(SUMIFS('NSE - NIFTY Index Options'!$L:$L,'NSE - NIFTY Index Options'!$C:$C,$A72,'NSE - NIFTY Index Options'!$B:$B,C$4,'NSE - NIFTY Index Options'!$H:$H,"Monthly*")+SUMIFS('NSE - Other Index Options'!$L:$L,'NSE - Other Index Options'!$C:$C,$A72,'NSE - Other Index Options'!$B:$B,C$4,'NSE - Other Index Options'!$H:$H,"Monthly*")=0,"",SUMIFS('NSE - NIFTY Index Options'!$L:$L,'NSE - NIFTY Index Options'!$C:$C,$A72,'NSE - NIFTY Index Options'!$B:$B,C$4,'NSE - NIFTY Index Options'!$H:$H,"Monthly*")+SUMIFS('NSE - Other Index Options'!$L:$L,'NSE - Other Index Options'!$C:$C,$A72,'NSE - Other Index Options'!$B:$B,C$4,'NSE - Other Index Options'!$H:$H,"Monthly*"))</f>
        <v/>
      </c>
      <c r="D72" s="26" t="str">
        <f>IF(SUMIFS('NSE - NIFTY Index Options'!$L:$L,'NSE - NIFTY Index Options'!$C:$C,$A72,'NSE - NIFTY Index Options'!$B:$B,D$4,'NSE - NIFTY Index Options'!$H:$H,"Monthly*")+SUMIFS('NSE - Other Index Options'!$L:$L,'NSE - Other Index Options'!$C:$C,$A72,'NSE - Other Index Options'!$B:$B,D$4,'NSE - Other Index Options'!$H:$H,"Monthly*")=0,"",SUMIFS('NSE - NIFTY Index Options'!$L:$L,'NSE - NIFTY Index Options'!$C:$C,$A72,'NSE - NIFTY Index Options'!$B:$B,D$4,'NSE - NIFTY Index Options'!$H:$H,"Monthly*")+SUMIFS('NSE - Other Index Options'!$L:$L,'NSE - Other Index Options'!$C:$C,$A72,'NSE - Other Index Options'!$B:$B,D$4,'NSE - Other Index Options'!$H:$H,"Monthly*"))</f>
        <v/>
      </c>
      <c r="E72" s="26" t="str">
        <f>IF(SUMIFS('NSE - NIFTY Index Options'!$L:$L,'NSE - NIFTY Index Options'!$C:$C,$A72,'NSE - NIFTY Index Options'!$B:$B,E$4,'NSE - NIFTY Index Options'!$H:$H,"Monthly*")+SUMIFS('NSE - Other Index Options'!$L:$L,'NSE - Other Index Options'!$C:$C,$A72,'NSE - Other Index Options'!$B:$B,E$4,'NSE - Other Index Options'!$H:$H,"Monthly*")=0,"",SUMIFS('NSE - NIFTY Index Options'!$L:$L,'NSE - NIFTY Index Options'!$C:$C,$A72,'NSE - NIFTY Index Options'!$B:$B,E$4,'NSE - NIFTY Index Options'!$H:$H,"Monthly*")+SUMIFS('NSE - Other Index Options'!$L:$L,'NSE - Other Index Options'!$C:$C,$A72,'NSE - Other Index Options'!$B:$B,E$4,'NSE - Other Index Options'!$H:$H,"Monthly*"))</f>
        <v/>
      </c>
      <c r="F72" s="26" t="str">
        <f>IF(SUMIFS('NSE - NIFTY Index Options'!$L:$L,'NSE - NIFTY Index Options'!$C:$C,$A72,'NSE - NIFTY Index Options'!$B:$B,F$4,'NSE - NIFTY Index Options'!$H:$H,"Monthly*")+SUMIFS('NSE - Other Index Options'!$L:$L,'NSE - Other Index Options'!$C:$C,$A72,'NSE - Other Index Options'!$B:$B,F$4,'NSE - Other Index Options'!$H:$H,"Monthly*")=0,"",SUMIFS('NSE - NIFTY Index Options'!$L:$L,'NSE - NIFTY Index Options'!$C:$C,$A72,'NSE - NIFTY Index Options'!$B:$B,F$4,'NSE - NIFTY Index Options'!$H:$H,"Monthly*")+SUMIFS('NSE - Other Index Options'!$L:$L,'NSE - Other Index Options'!$C:$C,$A72,'NSE - Other Index Options'!$B:$B,F$4,'NSE - Other Index Options'!$H:$H,"Monthly*"))</f>
        <v/>
      </c>
      <c r="G72" s="26" t="str">
        <f>IF(SUMIFS('NSE - NIFTY Index Options'!$L:$L,'NSE - NIFTY Index Options'!$C:$C,$A72,'NSE - NIFTY Index Options'!$B:$B,G$4,'NSE - NIFTY Index Options'!$H:$H,"Monthly*")+SUMIFS('NSE - Other Index Options'!$L:$L,'NSE - Other Index Options'!$C:$C,$A72,'NSE - Other Index Options'!$B:$B,G$4,'NSE - Other Index Options'!$H:$H,"Monthly*")=0,"",SUMIFS('NSE - NIFTY Index Options'!$L:$L,'NSE - NIFTY Index Options'!$C:$C,$A72,'NSE - NIFTY Index Options'!$B:$B,G$4,'NSE - NIFTY Index Options'!$H:$H,"Monthly*")+SUMIFS('NSE - Other Index Options'!$L:$L,'NSE - Other Index Options'!$C:$C,$A72,'NSE - Other Index Options'!$B:$B,G$4,'NSE - Other Index Options'!$H:$H,"Monthly*"))</f>
        <v/>
      </c>
      <c r="H72" s="26" t="str">
        <f t="shared" si="2"/>
        <v/>
      </c>
    </row>
    <row r="73" spans="1:8" hidden="1" outlineLevel="1">
      <c r="A73" t="s">
        <v>78</v>
      </c>
      <c r="B73" s="26" t="str">
        <f>IF(SUMIFS('NSE - NIFTY Index Options'!$L:$L,'NSE - NIFTY Index Options'!$C:$C,$A73,'NSE - NIFTY Index Options'!$B:$B,B$4,'NSE - NIFTY Index Options'!$H:$H,"Monthly*")+SUMIFS('NSE - Other Index Options'!$L:$L,'NSE - Other Index Options'!$C:$C,$A73,'NSE - Other Index Options'!$B:$B,B$4,'NSE - Other Index Options'!$H:$H,"Monthly*")=0,"",SUMIFS('NSE - NIFTY Index Options'!$L:$L,'NSE - NIFTY Index Options'!$C:$C,$A73,'NSE - NIFTY Index Options'!$B:$B,B$4,'NSE - NIFTY Index Options'!$H:$H,"Monthly*")+SUMIFS('NSE - Other Index Options'!$L:$L,'NSE - Other Index Options'!$C:$C,$A73,'NSE - Other Index Options'!$B:$B,B$4,'NSE - Other Index Options'!$H:$H,"Monthly*"))</f>
        <v/>
      </c>
      <c r="C73" s="26" t="str">
        <f>IF(SUMIFS('NSE - NIFTY Index Options'!$L:$L,'NSE - NIFTY Index Options'!$C:$C,$A73,'NSE - NIFTY Index Options'!$B:$B,C$4,'NSE - NIFTY Index Options'!$H:$H,"Monthly*")+SUMIFS('NSE - Other Index Options'!$L:$L,'NSE - Other Index Options'!$C:$C,$A73,'NSE - Other Index Options'!$B:$B,C$4,'NSE - Other Index Options'!$H:$H,"Monthly*")=0,"",SUMIFS('NSE - NIFTY Index Options'!$L:$L,'NSE - NIFTY Index Options'!$C:$C,$A73,'NSE - NIFTY Index Options'!$B:$B,C$4,'NSE - NIFTY Index Options'!$H:$H,"Monthly*")+SUMIFS('NSE - Other Index Options'!$L:$L,'NSE - Other Index Options'!$C:$C,$A73,'NSE - Other Index Options'!$B:$B,C$4,'NSE - Other Index Options'!$H:$H,"Monthly*"))</f>
        <v/>
      </c>
      <c r="D73" s="26" t="str">
        <f>IF(SUMIFS('NSE - NIFTY Index Options'!$L:$L,'NSE - NIFTY Index Options'!$C:$C,$A73,'NSE - NIFTY Index Options'!$B:$B,D$4,'NSE - NIFTY Index Options'!$H:$H,"Monthly*")+SUMIFS('NSE - Other Index Options'!$L:$L,'NSE - Other Index Options'!$C:$C,$A73,'NSE - Other Index Options'!$B:$B,D$4,'NSE - Other Index Options'!$H:$H,"Monthly*")=0,"",SUMIFS('NSE - NIFTY Index Options'!$L:$L,'NSE - NIFTY Index Options'!$C:$C,$A73,'NSE - NIFTY Index Options'!$B:$B,D$4,'NSE - NIFTY Index Options'!$H:$H,"Monthly*")+SUMIFS('NSE - Other Index Options'!$L:$L,'NSE - Other Index Options'!$C:$C,$A73,'NSE - Other Index Options'!$B:$B,D$4,'NSE - Other Index Options'!$H:$H,"Monthly*"))</f>
        <v/>
      </c>
      <c r="E73" s="26" t="str">
        <f>IF(SUMIFS('NSE - NIFTY Index Options'!$L:$L,'NSE - NIFTY Index Options'!$C:$C,$A73,'NSE - NIFTY Index Options'!$B:$B,E$4,'NSE - NIFTY Index Options'!$H:$H,"Monthly*")+SUMIFS('NSE - Other Index Options'!$L:$L,'NSE - Other Index Options'!$C:$C,$A73,'NSE - Other Index Options'!$B:$B,E$4,'NSE - Other Index Options'!$H:$H,"Monthly*")=0,"",SUMIFS('NSE - NIFTY Index Options'!$L:$L,'NSE - NIFTY Index Options'!$C:$C,$A73,'NSE - NIFTY Index Options'!$B:$B,E$4,'NSE - NIFTY Index Options'!$H:$H,"Monthly*")+SUMIFS('NSE - Other Index Options'!$L:$L,'NSE - Other Index Options'!$C:$C,$A73,'NSE - Other Index Options'!$B:$B,E$4,'NSE - Other Index Options'!$H:$H,"Monthly*"))</f>
        <v/>
      </c>
      <c r="F73" s="26" t="str">
        <f>IF(SUMIFS('NSE - NIFTY Index Options'!$L:$L,'NSE - NIFTY Index Options'!$C:$C,$A73,'NSE - NIFTY Index Options'!$B:$B,F$4,'NSE - NIFTY Index Options'!$H:$H,"Monthly*")+SUMIFS('NSE - Other Index Options'!$L:$L,'NSE - Other Index Options'!$C:$C,$A73,'NSE - Other Index Options'!$B:$B,F$4,'NSE - Other Index Options'!$H:$H,"Monthly*")=0,"",SUMIFS('NSE - NIFTY Index Options'!$L:$L,'NSE - NIFTY Index Options'!$C:$C,$A73,'NSE - NIFTY Index Options'!$B:$B,F$4,'NSE - NIFTY Index Options'!$H:$H,"Monthly*")+SUMIFS('NSE - Other Index Options'!$L:$L,'NSE - Other Index Options'!$C:$C,$A73,'NSE - Other Index Options'!$B:$B,F$4,'NSE - Other Index Options'!$H:$H,"Monthly*"))</f>
        <v/>
      </c>
      <c r="G73" s="26" t="str">
        <f>IF(SUMIFS('NSE - NIFTY Index Options'!$L:$L,'NSE - NIFTY Index Options'!$C:$C,$A73,'NSE - NIFTY Index Options'!$B:$B,G$4,'NSE - NIFTY Index Options'!$H:$H,"Monthly*")+SUMIFS('NSE - Other Index Options'!$L:$L,'NSE - Other Index Options'!$C:$C,$A73,'NSE - Other Index Options'!$B:$B,G$4,'NSE - Other Index Options'!$H:$H,"Monthly*")=0,"",SUMIFS('NSE - NIFTY Index Options'!$L:$L,'NSE - NIFTY Index Options'!$C:$C,$A73,'NSE - NIFTY Index Options'!$B:$B,G$4,'NSE - NIFTY Index Options'!$H:$H,"Monthly*")+SUMIFS('NSE - Other Index Options'!$L:$L,'NSE - Other Index Options'!$C:$C,$A73,'NSE - Other Index Options'!$B:$B,G$4,'NSE - Other Index Options'!$H:$H,"Monthly*"))</f>
        <v/>
      </c>
      <c r="H73" s="26" t="str">
        <f t="shared" si="2"/>
        <v/>
      </c>
    </row>
    <row r="74" spans="1:8" hidden="1" outlineLevel="1">
      <c r="A74" t="s">
        <v>79</v>
      </c>
      <c r="B74" s="26" t="str">
        <f>IF(SUMIFS('NSE - NIFTY Index Options'!$L:$L,'NSE - NIFTY Index Options'!$C:$C,$A74,'NSE - NIFTY Index Options'!$B:$B,B$4,'NSE - NIFTY Index Options'!$H:$H,"Monthly*")+SUMIFS('NSE - Other Index Options'!$L:$L,'NSE - Other Index Options'!$C:$C,$A74,'NSE - Other Index Options'!$B:$B,B$4,'NSE - Other Index Options'!$H:$H,"Monthly*")=0,"",SUMIFS('NSE - NIFTY Index Options'!$L:$L,'NSE - NIFTY Index Options'!$C:$C,$A74,'NSE - NIFTY Index Options'!$B:$B,B$4,'NSE - NIFTY Index Options'!$H:$H,"Monthly*")+SUMIFS('NSE - Other Index Options'!$L:$L,'NSE - Other Index Options'!$C:$C,$A74,'NSE - Other Index Options'!$B:$B,B$4,'NSE - Other Index Options'!$H:$H,"Monthly*"))</f>
        <v/>
      </c>
      <c r="C74" s="26" t="str">
        <f>IF(SUMIFS('NSE - NIFTY Index Options'!$L:$L,'NSE - NIFTY Index Options'!$C:$C,$A74,'NSE - NIFTY Index Options'!$B:$B,C$4,'NSE - NIFTY Index Options'!$H:$H,"Monthly*")+SUMIFS('NSE - Other Index Options'!$L:$L,'NSE - Other Index Options'!$C:$C,$A74,'NSE - Other Index Options'!$B:$B,C$4,'NSE - Other Index Options'!$H:$H,"Monthly*")=0,"",SUMIFS('NSE - NIFTY Index Options'!$L:$L,'NSE - NIFTY Index Options'!$C:$C,$A74,'NSE - NIFTY Index Options'!$B:$B,C$4,'NSE - NIFTY Index Options'!$H:$H,"Monthly*")+SUMIFS('NSE - Other Index Options'!$L:$L,'NSE - Other Index Options'!$C:$C,$A74,'NSE - Other Index Options'!$B:$B,C$4,'NSE - Other Index Options'!$H:$H,"Monthly*"))</f>
        <v/>
      </c>
      <c r="D74" s="26" t="str">
        <f>IF(SUMIFS('NSE - NIFTY Index Options'!$L:$L,'NSE - NIFTY Index Options'!$C:$C,$A74,'NSE - NIFTY Index Options'!$B:$B,D$4,'NSE - NIFTY Index Options'!$H:$H,"Monthly*")+SUMIFS('NSE - Other Index Options'!$L:$L,'NSE - Other Index Options'!$C:$C,$A74,'NSE - Other Index Options'!$B:$B,D$4,'NSE - Other Index Options'!$H:$H,"Monthly*")=0,"",SUMIFS('NSE - NIFTY Index Options'!$L:$L,'NSE - NIFTY Index Options'!$C:$C,$A74,'NSE - NIFTY Index Options'!$B:$B,D$4,'NSE - NIFTY Index Options'!$H:$H,"Monthly*")+SUMIFS('NSE - Other Index Options'!$L:$L,'NSE - Other Index Options'!$C:$C,$A74,'NSE - Other Index Options'!$B:$B,D$4,'NSE - Other Index Options'!$H:$H,"Monthly*"))</f>
        <v/>
      </c>
      <c r="E74" s="26" t="str">
        <f>IF(SUMIFS('NSE - NIFTY Index Options'!$L:$L,'NSE - NIFTY Index Options'!$C:$C,$A74,'NSE - NIFTY Index Options'!$B:$B,E$4,'NSE - NIFTY Index Options'!$H:$H,"Monthly*")+SUMIFS('NSE - Other Index Options'!$L:$L,'NSE - Other Index Options'!$C:$C,$A74,'NSE - Other Index Options'!$B:$B,E$4,'NSE - Other Index Options'!$H:$H,"Monthly*")=0,"",SUMIFS('NSE - NIFTY Index Options'!$L:$L,'NSE - NIFTY Index Options'!$C:$C,$A74,'NSE - NIFTY Index Options'!$B:$B,E$4,'NSE - NIFTY Index Options'!$H:$H,"Monthly*")+SUMIFS('NSE - Other Index Options'!$L:$L,'NSE - Other Index Options'!$C:$C,$A74,'NSE - Other Index Options'!$B:$B,E$4,'NSE - Other Index Options'!$H:$H,"Monthly*"))</f>
        <v/>
      </c>
      <c r="F74" s="26" t="str">
        <f>IF(SUMIFS('NSE - NIFTY Index Options'!$L:$L,'NSE - NIFTY Index Options'!$C:$C,$A74,'NSE - NIFTY Index Options'!$B:$B,F$4,'NSE - NIFTY Index Options'!$H:$H,"Monthly*")+SUMIFS('NSE - Other Index Options'!$L:$L,'NSE - Other Index Options'!$C:$C,$A74,'NSE - Other Index Options'!$B:$B,F$4,'NSE - Other Index Options'!$H:$H,"Monthly*")=0,"",SUMIFS('NSE - NIFTY Index Options'!$L:$L,'NSE - NIFTY Index Options'!$C:$C,$A74,'NSE - NIFTY Index Options'!$B:$B,F$4,'NSE - NIFTY Index Options'!$H:$H,"Monthly*")+SUMIFS('NSE - Other Index Options'!$L:$L,'NSE - Other Index Options'!$C:$C,$A74,'NSE - Other Index Options'!$B:$B,F$4,'NSE - Other Index Options'!$H:$H,"Monthly*"))</f>
        <v/>
      </c>
      <c r="G74" s="26" t="str">
        <f>IF(SUMIFS('NSE - NIFTY Index Options'!$L:$L,'NSE - NIFTY Index Options'!$C:$C,$A74,'NSE - NIFTY Index Options'!$B:$B,G$4,'NSE - NIFTY Index Options'!$H:$H,"Monthly*")+SUMIFS('NSE - Other Index Options'!$L:$L,'NSE - Other Index Options'!$C:$C,$A74,'NSE - Other Index Options'!$B:$B,G$4,'NSE - Other Index Options'!$H:$H,"Monthly*")=0,"",SUMIFS('NSE - NIFTY Index Options'!$L:$L,'NSE - NIFTY Index Options'!$C:$C,$A74,'NSE - NIFTY Index Options'!$B:$B,G$4,'NSE - NIFTY Index Options'!$H:$H,"Monthly*")+SUMIFS('NSE - Other Index Options'!$L:$L,'NSE - Other Index Options'!$C:$C,$A74,'NSE - Other Index Options'!$B:$B,G$4,'NSE - Other Index Options'!$H:$H,"Monthly*"))</f>
        <v/>
      </c>
      <c r="H74" s="26" t="str">
        <f t="shared" si="2"/>
        <v/>
      </c>
    </row>
    <row r="75" spans="1:8" hidden="1" outlineLevel="1">
      <c r="A75" t="s">
        <v>80</v>
      </c>
      <c r="B75" s="26" t="str">
        <f>IF(SUMIFS('NSE - NIFTY Index Options'!$L:$L,'NSE - NIFTY Index Options'!$C:$C,$A75,'NSE - NIFTY Index Options'!$B:$B,B$4,'NSE - NIFTY Index Options'!$H:$H,"Monthly*")+SUMIFS('NSE - Other Index Options'!$L:$L,'NSE - Other Index Options'!$C:$C,$A75,'NSE - Other Index Options'!$B:$B,B$4,'NSE - Other Index Options'!$H:$H,"Monthly*")=0,"",SUMIFS('NSE - NIFTY Index Options'!$L:$L,'NSE - NIFTY Index Options'!$C:$C,$A75,'NSE - NIFTY Index Options'!$B:$B,B$4,'NSE - NIFTY Index Options'!$H:$H,"Monthly*")+SUMIFS('NSE - Other Index Options'!$L:$L,'NSE - Other Index Options'!$C:$C,$A75,'NSE - Other Index Options'!$B:$B,B$4,'NSE - Other Index Options'!$H:$H,"Monthly*"))</f>
        <v/>
      </c>
      <c r="C75" s="26" t="str">
        <f>IF(SUMIFS('NSE - NIFTY Index Options'!$L:$L,'NSE - NIFTY Index Options'!$C:$C,$A75,'NSE - NIFTY Index Options'!$B:$B,C$4,'NSE - NIFTY Index Options'!$H:$H,"Monthly*")+SUMIFS('NSE - Other Index Options'!$L:$L,'NSE - Other Index Options'!$C:$C,$A75,'NSE - Other Index Options'!$B:$B,C$4,'NSE - Other Index Options'!$H:$H,"Monthly*")=0,"",SUMIFS('NSE - NIFTY Index Options'!$L:$L,'NSE - NIFTY Index Options'!$C:$C,$A75,'NSE - NIFTY Index Options'!$B:$B,C$4,'NSE - NIFTY Index Options'!$H:$H,"Monthly*")+SUMIFS('NSE - Other Index Options'!$L:$L,'NSE - Other Index Options'!$C:$C,$A75,'NSE - Other Index Options'!$B:$B,C$4,'NSE - Other Index Options'!$H:$H,"Monthly*"))</f>
        <v/>
      </c>
      <c r="D75" s="26" t="str">
        <f>IF(SUMIFS('NSE - NIFTY Index Options'!$L:$L,'NSE - NIFTY Index Options'!$C:$C,$A75,'NSE - NIFTY Index Options'!$B:$B,D$4,'NSE - NIFTY Index Options'!$H:$H,"Monthly*")+SUMIFS('NSE - Other Index Options'!$L:$L,'NSE - Other Index Options'!$C:$C,$A75,'NSE - Other Index Options'!$B:$B,D$4,'NSE - Other Index Options'!$H:$H,"Monthly*")=0,"",SUMIFS('NSE - NIFTY Index Options'!$L:$L,'NSE - NIFTY Index Options'!$C:$C,$A75,'NSE - NIFTY Index Options'!$B:$B,D$4,'NSE - NIFTY Index Options'!$H:$H,"Monthly*")+SUMIFS('NSE - Other Index Options'!$L:$L,'NSE - Other Index Options'!$C:$C,$A75,'NSE - Other Index Options'!$B:$B,D$4,'NSE - Other Index Options'!$H:$H,"Monthly*"))</f>
        <v/>
      </c>
      <c r="E75" s="26" t="str">
        <f>IF(SUMIFS('NSE - NIFTY Index Options'!$L:$L,'NSE - NIFTY Index Options'!$C:$C,$A75,'NSE - NIFTY Index Options'!$B:$B,E$4,'NSE - NIFTY Index Options'!$H:$H,"Monthly*")+SUMIFS('NSE - Other Index Options'!$L:$L,'NSE - Other Index Options'!$C:$C,$A75,'NSE - Other Index Options'!$B:$B,E$4,'NSE - Other Index Options'!$H:$H,"Monthly*")=0,"",SUMIFS('NSE - NIFTY Index Options'!$L:$L,'NSE - NIFTY Index Options'!$C:$C,$A75,'NSE - NIFTY Index Options'!$B:$B,E$4,'NSE - NIFTY Index Options'!$H:$H,"Monthly*")+SUMIFS('NSE - Other Index Options'!$L:$L,'NSE - Other Index Options'!$C:$C,$A75,'NSE - Other Index Options'!$B:$B,E$4,'NSE - Other Index Options'!$H:$H,"Monthly*"))</f>
        <v/>
      </c>
      <c r="F75" s="26" t="str">
        <f>IF(SUMIFS('NSE - NIFTY Index Options'!$L:$L,'NSE - NIFTY Index Options'!$C:$C,$A75,'NSE - NIFTY Index Options'!$B:$B,F$4,'NSE - NIFTY Index Options'!$H:$H,"Monthly*")+SUMIFS('NSE - Other Index Options'!$L:$L,'NSE - Other Index Options'!$C:$C,$A75,'NSE - Other Index Options'!$B:$B,F$4,'NSE - Other Index Options'!$H:$H,"Monthly*")=0,"",SUMIFS('NSE - NIFTY Index Options'!$L:$L,'NSE - NIFTY Index Options'!$C:$C,$A75,'NSE - NIFTY Index Options'!$B:$B,F$4,'NSE - NIFTY Index Options'!$H:$H,"Monthly*")+SUMIFS('NSE - Other Index Options'!$L:$L,'NSE - Other Index Options'!$C:$C,$A75,'NSE - Other Index Options'!$B:$B,F$4,'NSE - Other Index Options'!$H:$H,"Monthly*"))</f>
        <v/>
      </c>
      <c r="G75" s="26" t="str">
        <f>IF(SUMIFS('NSE - NIFTY Index Options'!$L:$L,'NSE - NIFTY Index Options'!$C:$C,$A75,'NSE - NIFTY Index Options'!$B:$B,G$4,'NSE - NIFTY Index Options'!$H:$H,"Monthly*")+SUMIFS('NSE - Other Index Options'!$L:$L,'NSE - Other Index Options'!$C:$C,$A75,'NSE - Other Index Options'!$B:$B,G$4,'NSE - Other Index Options'!$H:$H,"Monthly*")=0,"",SUMIFS('NSE - NIFTY Index Options'!$L:$L,'NSE - NIFTY Index Options'!$C:$C,$A75,'NSE - NIFTY Index Options'!$B:$B,G$4,'NSE - NIFTY Index Options'!$H:$H,"Monthly*")+SUMIFS('NSE - Other Index Options'!$L:$L,'NSE - Other Index Options'!$C:$C,$A75,'NSE - Other Index Options'!$B:$B,G$4,'NSE - Other Index Options'!$H:$H,"Monthly*"))</f>
        <v/>
      </c>
      <c r="H75" s="26" t="str">
        <f t="shared" si="2"/>
        <v/>
      </c>
    </row>
    <row r="76" spans="1:8" hidden="1" outlineLevel="1">
      <c r="A76" t="s">
        <v>81</v>
      </c>
      <c r="B76" s="26" t="str">
        <f>IF(SUMIFS('NSE - NIFTY Index Options'!$L:$L,'NSE - NIFTY Index Options'!$C:$C,$A76,'NSE - NIFTY Index Options'!$B:$B,B$4,'NSE - NIFTY Index Options'!$H:$H,"Monthly*")+SUMIFS('NSE - Other Index Options'!$L:$L,'NSE - Other Index Options'!$C:$C,$A76,'NSE - Other Index Options'!$B:$B,B$4,'NSE - Other Index Options'!$H:$H,"Monthly*")=0,"",SUMIFS('NSE - NIFTY Index Options'!$L:$L,'NSE - NIFTY Index Options'!$C:$C,$A76,'NSE - NIFTY Index Options'!$B:$B,B$4,'NSE - NIFTY Index Options'!$H:$H,"Monthly*")+SUMIFS('NSE - Other Index Options'!$L:$L,'NSE - Other Index Options'!$C:$C,$A76,'NSE - Other Index Options'!$B:$B,B$4,'NSE - Other Index Options'!$H:$H,"Monthly*"))</f>
        <v/>
      </c>
      <c r="C76" s="26" t="str">
        <f>IF(SUMIFS('NSE - NIFTY Index Options'!$L:$L,'NSE - NIFTY Index Options'!$C:$C,$A76,'NSE - NIFTY Index Options'!$B:$B,C$4,'NSE - NIFTY Index Options'!$H:$H,"Monthly*")+SUMIFS('NSE - Other Index Options'!$L:$L,'NSE - Other Index Options'!$C:$C,$A76,'NSE - Other Index Options'!$B:$B,C$4,'NSE - Other Index Options'!$H:$H,"Monthly*")=0,"",SUMIFS('NSE - NIFTY Index Options'!$L:$L,'NSE - NIFTY Index Options'!$C:$C,$A76,'NSE - NIFTY Index Options'!$B:$B,C$4,'NSE - NIFTY Index Options'!$H:$H,"Monthly*")+SUMIFS('NSE - Other Index Options'!$L:$L,'NSE - Other Index Options'!$C:$C,$A76,'NSE - Other Index Options'!$B:$B,C$4,'NSE - Other Index Options'!$H:$H,"Monthly*"))</f>
        <v/>
      </c>
      <c r="D76" s="26" t="str">
        <f>IF(SUMIFS('NSE - NIFTY Index Options'!$L:$L,'NSE - NIFTY Index Options'!$C:$C,$A76,'NSE - NIFTY Index Options'!$B:$B,D$4,'NSE - NIFTY Index Options'!$H:$H,"Monthly*")+SUMIFS('NSE - Other Index Options'!$L:$L,'NSE - Other Index Options'!$C:$C,$A76,'NSE - Other Index Options'!$B:$B,D$4,'NSE - Other Index Options'!$H:$H,"Monthly*")=0,"",SUMIFS('NSE - NIFTY Index Options'!$L:$L,'NSE - NIFTY Index Options'!$C:$C,$A76,'NSE - NIFTY Index Options'!$B:$B,D$4,'NSE - NIFTY Index Options'!$H:$H,"Monthly*")+SUMIFS('NSE - Other Index Options'!$L:$L,'NSE - Other Index Options'!$C:$C,$A76,'NSE - Other Index Options'!$B:$B,D$4,'NSE - Other Index Options'!$H:$H,"Monthly*"))</f>
        <v/>
      </c>
      <c r="E76" s="26" t="str">
        <f>IF(SUMIFS('NSE - NIFTY Index Options'!$L:$L,'NSE - NIFTY Index Options'!$C:$C,$A76,'NSE - NIFTY Index Options'!$B:$B,E$4,'NSE - NIFTY Index Options'!$H:$H,"Monthly*")+SUMIFS('NSE - Other Index Options'!$L:$L,'NSE - Other Index Options'!$C:$C,$A76,'NSE - Other Index Options'!$B:$B,E$4,'NSE - Other Index Options'!$H:$H,"Monthly*")=0,"",SUMIFS('NSE - NIFTY Index Options'!$L:$L,'NSE - NIFTY Index Options'!$C:$C,$A76,'NSE - NIFTY Index Options'!$B:$B,E$4,'NSE - NIFTY Index Options'!$H:$H,"Monthly*")+SUMIFS('NSE - Other Index Options'!$L:$L,'NSE - Other Index Options'!$C:$C,$A76,'NSE - Other Index Options'!$B:$B,E$4,'NSE - Other Index Options'!$H:$H,"Monthly*"))</f>
        <v/>
      </c>
      <c r="F76" s="26" t="str">
        <f>IF(SUMIFS('NSE - NIFTY Index Options'!$L:$L,'NSE - NIFTY Index Options'!$C:$C,$A76,'NSE - NIFTY Index Options'!$B:$B,F$4,'NSE - NIFTY Index Options'!$H:$H,"Monthly*")+SUMIFS('NSE - Other Index Options'!$L:$L,'NSE - Other Index Options'!$C:$C,$A76,'NSE - Other Index Options'!$B:$B,F$4,'NSE - Other Index Options'!$H:$H,"Monthly*")=0,"",SUMIFS('NSE - NIFTY Index Options'!$L:$L,'NSE - NIFTY Index Options'!$C:$C,$A76,'NSE - NIFTY Index Options'!$B:$B,F$4,'NSE - NIFTY Index Options'!$H:$H,"Monthly*")+SUMIFS('NSE - Other Index Options'!$L:$L,'NSE - Other Index Options'!$C:$C,$A76,'NSE - Other Index Options'!$B:$B,F$4,'NSE - Other Index Options'!$H:$H,"Monthly*"))</f>
        <v/>
      </c>
      <c r="G76" s="26" t="str">
        <f>IF(SUMIFS('NSE - NIFTY Index Options'!$L:$L,'NSE - NIFTY Index Options'!$C:$C,$A76,'NSE - NIFTY Index Options'!$B:$B,G$4,'NSE - NIFTY Index Options'!$H:$H,"Monthly*")+SUMIFS('NSE - Other Index Options'!$L:$L,'NSE - Other Index Options'!$C:$C,$A76,'NSE - Other Index Options'!$B:$B,G$4,'NSE - Other Index Options'!$H:$H,"Monthly*")=0,"",SUMIFS('NSE - NIFTY Index Options'!$L:$L,'NSE - NIFTY Index Options'!$C:$C,$A76,'NSE - NIFTY Index Options'!$B:$B,G$4,'NSE - NIFTY Index Options'!$H:$H,"Monthly*")+SUMIFS('NSE - Other Index Options'!$L:$L,'NSE - Other Index Options'!$C:$C,$A76,'NSE - Other Index Options'!$B:$B,G$4,'NSE - Other Index Options'!$H:$H,"Monthly*"))</f>
        <v/>
      </c>
      <c r="H76" s="26" t="str">
        <f t="shared" si="2"/>
        <v/>
      </c>
    </row>
    <row r="77" spans="1:8" hidden="1" outlineLevel="1">
      <c r="A77" t="s">
        <v>82</v>
      </c>
      <c r="B77" s="26" t="str">
        <f>IF(SUMIFS('NSE - NIFTY Index Options'!$L:$L,'NSE - NIFTY Index Options'!$C:$C,$A77,'NSE - NIFTY Index Options'!$B:$B,B$4,'NSE - NIFTY Index Options'!$H:$H,"Monthly*")+SUMIFS('NSE - Other Index Options'!$L:$L,'NSE - Other Index Options'!$C:$C,$A77,'NSE - Other Index Options'!$B:$B,B$4,'NSE - Other Index Options'!$H:$H,"Monthly*")=0,"",SUMIFS('NSE - NIFTY Index Options'!$L:$L,'NSE - NIFTY Index Options'!$C:$C,$A77,'NSE - NIFTY Index Options'!$B:$B,B$4,'NSE - NIFTY Index Options'!$H:$H,"Monthly*")+SUMIFS('NSE - Other Index Options'!$L:$L,'NSE - Other Index Options'!$C:$C,$A77,'NSE - Other Index Options'!$B:$B,B$4,'NSE - Other Index Options'!$H:$H,"Monthly*"))</f>
        <v/>
      </c>
      <c r="C77" s="26" t="str">
        <f>IF(SUMIFS('NSE - NIFTY Index Options'!$L:$L,'NSE - NIFTY Index Options'!$C:$C,$A77,'NSE - NIFTY Index Options'!$B:$B,C$4,'NSE - NIFTY Index Options'!$H:$H,"Monthly*")+SUMIFS('NSE - Other Index Options'!$L:$L,'NSE - Other Index Options'!$C:$C,$A77,'NSE - Other Index Options'!$B:$B,C$4,'NSE - Other Index Options'!$H:$H,"Monthly*")=0,"",SUMIFS('NSE - NIFTY Index Options'!$L:$L,'NSE - NIFTY Index Options'!$C:$C,$A77,'NSE - NIFTY Index Options'!$B:$B,C$4,'NSE - NIFTY Index Options'!$H:$H,"Monthly*")+SUMIFS('NSE - Other Index Options'!$L:$L,'NSE - Other Index Options'!$C:$C,$A77,'NSE - Other Index Options'!$B:$B,C$4,'NSE - Other Index Options'!$H:$H,"Monthly*"))</f>
        <v/>
      </c>
      <c r="D77" s="26" t="str">
        <f>IF(SUMIFS('NSE - NIFTY Index Options'!$L:$L,'NSE - NIFTY Index Options'!$C:$C,$A77,'NSE - NIFTY Index Options'!$B:$B,D$4,'NSE - NIFTY Index Options'!$H:$H,"Monthly*")+SUMIFS('NSE - Other Index Options'!$L:$L,'NSE - Other Index Options'!$C:$C,$A77,'NSE - Other Index Options'!$B:$B,D$4,'NSE - Other Index Options'!$H:$H,"Monthly*")=0,"",SUMIFS('NSE - NIFTY Index Options'!$L:$L,'NSE - NIFTY Index Options'!$C:$C,$A77,'NSE - NIFTY Index Options'!$B:$B,D$4,'NSE - NIFTY Index Options'!$H:$H,"Monthly*")+SUMIFS('NSE - Other Index Options'!$L:$L,'NSE - Other Index Options'!$C:$C,$A77,'NSE - Other Index Options'!$B:$B,D$4,'NSE - Other Index Options'!$H:$H,"Monthly*"))</f>
        <v/>
      </c>
      <c r="E77" s="26" t="str">
        <f>IF(SUMIFS('NSE - NIFTY Index Options'!$L:$L,'NSE - NIFTY Index Options'!$C:$C,$A77,'NSE - NIFTY Index Options'!$B:$B,E$4,'NSE - NIFTY Index Options'!$H:$H,"Monthly*")+SUMIFS('NSE - Other Index Options'!$L:$L,'NSE - Other Index Options'!$C:$C,$A77,'NSE - Other Index Options'!$B:$B,E$4,'NSE - Other Index Options'!$H:$H,"Monthly*")=0,"",SUMIFS('NSE - NIFTY Index Options'!$L:$L,'NSE - NIFTY Index Options'!$C:$C,$A77,'NSE - NIFTY Index Options'!$B:$B,E$4,'NSE - NIFTY Index Options'!$H:$H,"Monthly*")+SUMIFS('NSE - Other Index Options'!$L:$L,'NSE - Other Index Options'!$C:$C,$A77,'NSE - Other Index Options'!$B:$B,E$4,'NSE - Other Index Options'!$H:$H,"Monthly*"))</f>
        <v/>
      </c>
      <c r="F77" s="26" t="str">
        <f>IF(SUMIFS('NSE - NIFTY Index Options'!$L:$L,'NSE - NIFTY Index Options'!$C:$C,$A77,'NSE - NIFTY Index Options'!$B:$B,F$4,'NSE - NIFTY Index Options'!$H:$H,"Monthly*")+SUMIFS('NSE - Other Index Options'!$L:$L,'NSE - Other Index Options'!$C:$C,$A77,'NSE - Other Index Options'!$B:$B,F$4,'NSE - Other Index Options'!$H:$H,"Monthly*")=0,"",SUMIFS('NSE - NIFTY Index Options'!$L:$L,'NSE - NIFTY Index Options'!$C:$C,$A77,'NSE - NIFTY Index Options'!$B:$B,F$4,'NSE - NIFTY Index Options'!$H:$H,"Monthly*")+SUMIFS('NSE - Other Index Options'!$L:$L,'NSE - Other Index Options'!$C:$C,$A77,'NSE - Other Index Options'!$B:$B,F$4,'NSE - Other Index Options'!$H:$H,"Monthly*"))</f>
        <v/>
      </c>
      <c r="G77" s="26" t="str">
        <f>IF(SUMIFS('NSE - NIFTY Index Options'!$L:$L,'NSE - NIFTY Index Options'!$C:$C,$A77,'NSE - NIFTY Index Options'!$B:$B,G$4,'NSE - NIFTY Index Options'!$H:$H,"Monthly*")+SUMIFS('NSE - Other Index Options'!$L:$L,'NSE - Other Index Options'!$C:$C,$A77,'NSE - Other Index Options'!$B:$B,G$4,'NSE - Other Index Options'!$H:$H,"Monthly*")=0,"",SUMIFS('NSE - NIFTY Index Options'!$L:$L,'NSE - NIFTY Index Options'!$C:$C,$A77,'NSE - NIFTY Index Options'!$B:$B,G$4,'NSE - NIFTY Index Options'!$H:$H,"Monthly*")+SUMIFS('NSE - Other Index Options'!$L:$L,'NSE - Other Index Options'!$C:$C,$A77,'NSE - Other Index Options'!$B:$B,G$4,'NSE - Other Index Options'!$H:$H,"Monthly*"))</f>
        <v/>
      </c>
      <c r="H77" s="26" t="str">
        <f t="shared" si="2"/>
        <v/>
      </c>
    </row>
    <row r="78" spans="1:8" hidden="1" outlineLevel="1">
      <c r="A78" t="s">
        <v>83</v>
      </c>
      <c r="B78" s="26" t="str">
        <f>IF(SUMIFS('NSE - NIFTY Index Options'!$L:$L,'NSE - NIFTY Index Options'!$C:$C,$A78,'NSE - NIFTY Index Options'!$B:$B,B$4,'NSE - NIFTY Index Options'!$H:$H,"Monthly*")+SUMIFS('NSE - Other Index Options'!$L:$L,'NSE - Other Index Options'!$C:$C,$A78,'NSE - Other Index Options'!$B:$B,B$4,'NSE - Other Index Options'!$H:$H,"Monthly*")=0,"",SUMIFS('NSE - NIFTY Index Options'!$L:$L,'NSE - NIFTY Index Options'!$C:$C,$A78,'NSE - NIFTY Index Options'!$B:$B,B$4,'NSE - NIFTY Index Options'!$H:$H,"Monthly*")+SUMIFS('NSE - Other Index Options'!$L:$L,'NSE - Other Index Options'!$C:$C,$A78,'NSE - Other Index Options'!$B:$B,B$4,'NSE - Other Index Options'!$H:$H,"Monthly*"))</f>
        <v/>
      </c>
      <c r="C78" s="26" t="str">
        <f>IF(SUMIFS('NSE - NIFTY Index Options'!$L:$L,'NSE - NIFTY Index Options'!$C:$C,$A78,'NSE - NIFTY Index Options'!$B:$B,C$4,'NSE - NIFTY Index Options'!$H:$H,"Monthly*")+SUMIFS('NSE - Other Index Options'!$L:$L,'NSE - Other Index Options'!$C:$C,$A78,'NSE - Other Index Options'!$B:$B,C$4,'NSE - Other Index Options'!$H:$H,"Monthly*")=0,"",SUMIFS('NSE - NIFTY Index Options'!$L:$L,'NSE - NIFTY Index Options'!$C:$C,$A78,'NSE - NIFTY Index Options'!$B:$B,C$4,'NSE - NIFTY Index Options'!$H:$H,"Monthly*")+SUMIFS('NSE - Other Index Options'!$L:$L,'NSE - Other Index Options'!$C:$C,$A78,'NSE - Other Index Options'!$B:$B,C$4,'NSE - Other Index Options'!$H:$H,"Monthly*"))</f>
        <v/>
      </c>
      <c r="D78" s="26" t="str">
        <f>IF(SUMIFS('NSE - NIFTY Index Options'!$L:$L,'NSE - NIFTY Index Options'!$C:$C,$A78,'NSE - NIFTY Index Options'!$B:$B,D$4,'NSE - NIFTY Index Options'!$H:$H,"Monthly*")+SUMIFS('NSE - Other Index Options'!$L:$L,'NSE - Other Index Options'!$C:$C,$A78,'NSE - Other Index Options'!$B:$B,D$4,'NSE - Other Index Options'!$H:$H,"Monthly*")=0,"",SUMIFS('NSE - NIFTY Index Options'!$L:$L,'NSE - NIFTY Index Options'!$C:$C,$A78,'NSE - NIFTY Index Options'!$B:$B,D$4,'NSE - NIFTY Index Options'!$H:$H,"Monthly*")+SUMIFS('NSE - Other Index Options'!$L:$L,'NSE - Other Index Options'!$C:$C,$A78,'NSE - Other Index Options'!$B:$B,D$4,'NSE - Other Index Options'!$H:$H,"Monthly*"))</f>
        <v/>
      </c>
      <c r="E78" s="26" t="str">
        <f>IF(SUMIFS('NSE - NIFTY Index Options'!$L:$L,'NSE - NIFTY Index Options'!$C:$C,$A78,'NSE - NIFTY Index Options'!$B:$B,E$4,'NSE - NIFTY Index Options'!$H:$H,"Monthly*")+SUMIFS('NSE - Other Index Options'!$L:$L,'NSE - Other Index Options'!$C:$C,$A78,'NSE - Other Index Options'!$B:$B,E$4,'NSE - Other Index Options'!$H:$H,"Monthly*")=0,"",SUMIFS('NSE - NIFTY Index Options'!$L:$L,'NSE - NIFTY Index Options'!$C:$C,$A78,'NSE - NIFTY Index Options'!$B:$B,E$4,'NSE - NIFTY Index Options'!$H:$H,"Monthly*")+SUMIFS('NSE - Other Index Options'!$L:$L,'NSE - Other Index Options'!$C:$C,$A78,'NSE - Other Index Options'!$B:$B,E$4,'NSE - Other Index Options'!$H:$H,"Monthly*"))</f>
        <v/>
      </c>
      <c r="F78" s="26" t="str">
        <f>IF(SUMIFS('NSE - NIFTY Index Options'!$L:$L,'NSE - NIFTY Index Options'!$C:$C,$A78,'NSE - NIFTY Index Options'!$B:$B,F$4,'NSE - NIFTY Index Options'!$H:$H,"Monthly*")+SUMIFS('NSE - Other Index Options'!$L:$L,'NSE - Other Index Options'!$C:$C,$A78,'NSE - Other Index Options'!$B:$B,F$4,'NSE - Other Index Options'!$H:$H,"Monthly*")=0,"",SUMIFS('NSE - NIFTY Index Options'!$L:$L,'NSE - NIFTY Index Options'!$C:$C,$A78,'NSE - NIFTY Index Options'!$B:$B,F$4,'NSE - NIFTY Index Options'!$H:$H,"Monthly*")+SUMIFS('NSE - Other Index Options'!$L:$L,'NSE - Other Index Options'!$C:$C,$A78,'NSE - Other Index Options'!$B:$B,F$4,'NSE - Other Index Options'!$H:$H,"Monthly*"))</f>
        <v/>
      </c>
      <c r="G78" s="26" t="str">
        <f>IF(SUMIFS('NSE - NIFTY Index Options'!$L:$L,'NSE - NIFTY Index Options'!$C:$C,$A78,'NSE - NIFTY Index Options'!$B:$B,G$4,'NSE - NIFTY Index Options'!$H:$H,"Monthly*")+SUMIFS('NSE - Other Index Options'!$L:$L,'NSE - Other Index Options'!$C:$C,$A78,'NSE - Other Index Options'!$B:$B,G$4,'NSE - Other Index Options'!$H:$H,"Monthly*")=0,"",SUMIFS('NSE - NIFTY Index Options'!$L:$L,'NSE - NIFTY Index Options'!$C:$C,$A78,'NSE - NIFTY Index Options'!$B:$B,G$4,'NSE - NIFTY Index Options'!$H:$H,"Monthly*")+SUMIFS('NSE - Other Index Options'!$L:$L,'NSE - Other Index Options'!$C:$C,$A78,'NSE - Other Index Options'!$B:$B,G$4,'NSE - Other Index Options'!$H:$H,"Monthly*"))</f>
        <v/>
      </c>
      <c r="H78" s="26" t="str">
        <f t="shared" si="2"/>
        <v/>
      </c>
    </row>
    <row r="79" spans="1:8" hidden="1" outlineLevel="1">
      <c r="A79" t="s">
        <v>84</v>
      </c>
      <c r="B79" s="26" t="str">
        <f>IF(SUMIFS('NSE - NIFTY Index Options'!$L:$L,'NSE - NIFTY Index Options'!$C:$C,$A79,'NSE - NIFTY Index Options'!$B:$B,B$4,'NSE - NIFTY Index Options'!$H:$H,"Monthly*")+SUMIFS('NSE - Other Index Options'!$L:$L,'NSE - Other Index Options'!$C:$C,$A79,'NSE - Other Index Options'!$B:$B,B$4,'NSE - Other Index Options'!$H:$H,"Monthly*")=0,"",SUMIFS('NSE - NIFTY Index Options'!$L:$L,'NSE - NIFTY Index Options'!$C:$C,$A79,'NSE - NIFTY Index Options'!$B:$B,B$4,'NSE - NIFTY Index Options'!$H:$H,"Monthly*")+SUMIFS('NSE - Other Index Options'!$L:$L,'NSE - Other Index Options'!$C:$C,$A79,'NSE - Other Index Options'!$B:$B,B$4,'NSE - Other Index Options'!$H:$H,"Monthly*"))</f>
        <v/>
      </c>
      <c r="C79" s="26" t="str">
        <f>IF(SUMIFS('NSE - NIFTY Index Options'!$L:$L,'NSE - NIFTY Index Options'!$C:$C,$A79,'NSE - NIFTY Index Options'!$B:$B,C$4,'NSE - NIFTY Index Options'!$H:$H,"Monthly*")+SUMIFS('NSE - Other Index Options'!$L:$L,'NSE - Other Index Options'!$C:$C,$A79,'NSE - Other Index Options'!$B:$B,C$4,'NSE - Other Index Options'!$H:$H,"Monthly*")=0,"",SUMIFS('NSE - NIFTY Index Options'!$L:$L,'NSE - NIFTY Index Options'!$C:$C,$A79,'NSE - NIFTY Index Options'!$B:$B,C$4,'NSE - NIFTY Index Options'!$H:$H,"Monthly*")+SUMIFS('NSE - Other Index Options'!$L:$L,'NSE - Other Index Options'!$C:$C,$A79,'NSE - Other Index Options'!$B:$B,C$4,'NSE - Other Index Options'!$H:$H,"Monthly*"))</f>
        <v/>
      </c>
      <c r="D79" s="26" t="str">
        <f>IF(SUMIFS('NSE - NIFTY Index Options'!$L:$L,'NSE - NIFTY Index Options'!$C:$C,$A79,'NSE - NIFTY Index Options'!$B:$B,D$4,'NSE - NIFTY Index Options'!$H:$H,"Monthly*")+SUMIFS('NSE - Other Index Options'!$L:$L,'NSE - Other Index Options'!$C:$C,$A79,'NSE - Other Index Options'!$B:$B,D$4,'NSE - Other Index Options'!$H:$H,"Monthly*")=0,"",SUMIFS('NSE - NIFTY Index Options'!$L:$L,'NSE - NIFTY Index Options'!$C:$C,$A79,'NSE - NIFTY Index Options'!$B:$B,D$4,'NSE - NIFTY Index Options'!$H:$H,"Monthly*")+SUMIFS('NSE - Other Index Options'!$L:$L,'NSE - Other Index Options'!$C:$C,$A79,'NSE - Other Index Options'!$B:$B,D$4,'NSE - Other Index Options'!$H:$H,"Monthly*"))</f>
        <v/>
      </c>
      <c r="E79" s="26" t="str">
        <f>IF(SUMIFS('NSE - NIFTY Index Options'!$L:$L,'NSE - NIFTY Index Options'!$C:$C,$A79,'NSE - NIFTY Index Options'!$B:$B,E$4,'NSE - NIFTY Index Options'!$H:$H,"Monthly*")+SUMIFS('NSE - Other Index Options'!$L:$L,'NSE - Other Index Options'!$C:$C,$A79,'NSE - Other Index Options'!$B:$B,E$4,'NSE - Other Index Options'!$H:$H,"Monthly*")=0,"",SUMIFS('NSE - NIFTY Index Options'!$L:$L,'NSE - NIFTY Index Options'!$C:$C,$A79,'NSE - NIFTY Index Options'!$B:$B,E$4,'NSE - NIFTY Index Options'!$H:$H,"Monthly*")+SUMIFS('NSE - Other Index Options'!$L:$L,'NSE - Other Index Options'!$C:$C,$A79,'NSE - Other Index Options'!$B:$B,E$4,'NSE - Other Index Options'!$H:$H,"Monthly*"))</f>
        <v/>
      </c>
      <c r="F79" s="26" t="str">
        <f>IF(SUMIFS('NSE - NIFTY Index Options'!$L:$L,'NSE - NIFTY Index Options'!$C:$C,$A79,'NSE - NIFTY Index Options'!$B:$B,F$4,'NSE - NIFTY Index Options'!$H:$H,"Monthly*")+SUMIFS('NSE - Other Index Options'!$L:$L,'NSE - Other Index Options'!$C:$C,$A79,'NSE - Other Index Options'!$B:$B,F$4,'NSE - Other Index Options'!$H:$H,"Monthly*")=0,"",SUMIFS('NSE - NIFTY Index Options'!$L:$L,'NSE - NIFTY Index Options'!$C:$C,$A79,'NSE - NIFTY Index Options'!$B:$B,F$4,'NSE - NIFTY Index Options'!$H:$H,"Monthly*")+SUMIFS('NSE - Other Index Options'!$L:$L,'NSE - Other Index Options'!$C:$C,$A79,'NSE - Other Index Options'!$B:$B,F$4,'NSE - Other Index Options'!$H:$H,"Monthly*"))</f>
        <v/>
      </c>
      <c r="G79" s="26" t="str">
        <f>IF(SUMIFS('NSE - NIFTY Index Options'!$L:$L,'NSE - NIFTY Index Options'!$C:$C,$A79,'NSE - NIFTY Index Options'!$B:$B,G$4,'NSE - NIFTY Index Options'!$H:$H,"Monthly*")+SUMIFS('NSE - Other Index Options'!$L:$L,'NSE - Other Index Options'!$C:$C,$A79,'NSE - Other Index Options'!$B:$B,G$4,'NSE - Other Index Options'!$H:$H,"Monthly*")=0,"",SUMIFS('NSE - NIFTY Index Options'!$L:$L,'NSE - NIFTY Index Options'!$C:$C,$A79,'NSE - NIFTY Index Options'!$B:$B,G$4,'NSE - NIFTY Index Options'!$H:$H,"Monthly*")+SUMIFS('NSE - Other Index Options'!$L:$L,'NSE - Other Index Options'!$C:$C,$A79,'NSE - Other Index Options'!$B:$B,G$4,'NSE - Other Index Options'!$H:$H,"Monthly*"))</f>
        <v/>
      </c>
      <c r="H79" s="26" t="str">
        <f t="shared" si="2"/>
        <v/>
      </c>
    </row>
    <row r="80" spans="1:8" hidden="1" outlineLevel="1">
      <c r="A80" t="s">
        <v>85</v>
      </c>
      <c r="B80" s="26" t="str">
        <f>IF(SUMIFS('NSE - NIFTY Index Options'!$L:$L,'NSE - NIFTY Index Options'!$C:$C,$A80,'NSE - NIFTY Index Options'!$B:$B,B$4,'NSE - NIFTY Index Options'!$H:$H,"Monthly*")+SUMIFS('NSE - Other Index Options'!$L:$L,'NSE - Other Index Options'!$C:$C,$A80,'NSE - Other Index Options'!$B:$B,B$4,'NSE - Other Index Options'!$H:$H,"Monthly*")=0,"",SUMIFS('NSE - NIFTY Index Options'!$L:$L,'NSE - NIFTY Index Options'!$C:$C,$A80,'NSE - NIFTY Index Options'!$B:$B,B$4,'NSE - NIFTY Index Options'!$H:$H,"Monthly*")+SUMIFS('NSE - Other Index Options'!$L:$L,'NSE - Other Index Options'!$C:$C,$A80,'NSE - Other Index Options'!$B:$B,B$4,'NSE - Other Index Options'!$H:$H,"Monthly*"))</f>
        <v/>
      </c>
      <c r="C80" s="26" t="str">
        <f>IF(SUMIFS('NSE - NIFTY Index Options'!$L:$L,'NSE - NIFTY Index Options'!$C:$C,$A80,'NSE - NIFTY Index Options'!$B:$B,C$4,'NSE - NIFTY Index Options'!$H:$H,"Monthly*")+SUMIFS('NSE - Other Index Options'!$L:$L,'NSE - Other Index Options'!$C:$C,$A80,'NSE - Other Index Options'!$B:$B,C$4,'NSE - Other Index Options'!$H:$H,"Monthly*")=0,"",SUMIFS('NSE - NIFTY Index Options'!$L:$L,'NSE - NIFTY Index Options'!$C:$C,$A80,'NSE - NIFTY Index Options'!$B:$B,C$4,'NSE - NIFTY Index Options'!$H:$H,"Monthly*")+SUMIFS('NSE - Other Index Options'!$L:$L,'NSE - Other Index Options'!$C:$C,$A80,'NSE - Other Index Options'!$B:$B,C$4,'NSE - Other Index Options'!$H:$H,"Monthly*"))</f>
        <v/>
      </c>
      <c r="D80" s="26" t="str">
        <f>IF(SUMIFS('NSE - NIFTY Index Options'!$L:$L,'NSE - NIFTY Index Options'!$C:$C,$A80,'NSE - NIFTY Index Options'!$B:$B,D$4,'NSE - NIFTY Index Options'!$H:$H,"Monthly*")+SUMIFS('NSE - Other Index Options'!$L:$L,'NSE - Other Index Options'!$C:$C,$A80,'NSE - Other Index Options'!$B:$B,D$4,'NSE - Other Index Options'!$H:$H,"Monthly*")=0,"",SUMIFS('NSE - NIFTY Index Options'!$L:$L,'NSE - NIFTY Index Options'!$C:$C,$A80,'NSE - NIFTY Index Options'!$B:$B,D$4,'NSE - NIFTY Index Options'!$H:$H,"Monthly*")+SUMIFS('NSE - Other Index Options'!$L:$L,'NSE - Other Index Options'!$C:$C,$A80,'NSE - Other Index Options'!$B:$B,D$4,'NSE - Other Index Options'!$H:$H,"Monthly*"))</f>
        <v/>
      </c>
      <c r="E80" s="26" t="str">
        <f>IF(SUMIFS('NSE - NIFTY Index Options'!$L:$L,'NSE - NIFTY Index Options'!$C:$C,$A80,'NSE - NIFTY Index Options'!$B:$B,E$4,'NSE - NIFTY Index Options'!$H:$H,"Monthly*")+SUMIFS('NSE - Other Index Options'!$L:$L,'NSE - Other Index Options'!$C:$C,$A80,'NSE - Other Index Options'!$B:$B,E$4,'NSE - Other Index Options'!$H:$H,"Monthly*")=0,"",SUMIFS('NSE - NIFTY Index Options'!$L:$L,'NSE - NIFTY Index Options'!$C:$C,$A80,'NSE - NIFTY Index Options'!$B:$B,E$4,'NSE - NIFTY Index Options'!$H:$H,"Monthly*")+SUMIFS('NSE - Other Index Options'!$L:$L,'NSE - Other Index Options'!$C:$C,$A80,'NSE - Other Index Options'!$B:$B,E$4,'NSE - Other Index Options'!$H:$H,"Monthly*"))</f>
        <v/>
      </c>
      <c r="F80" s="26" t="str">
        <f>IF(SUMIFS('NSE - NIFTY Index Options'!$L:$L,'NSE - NIFTY Index Options'!$C:$C,$A80,'NSE - NIFTY Index Options'!$B:$B,F$4,'NSE - NIFTY Index Options'!$H:$H,"Monthly*")+SUMIFS('NSE - Other Index Options'!$L:$L,'NSE - Other Index Options'!$C:$C,$A80,'NSE - Other Index Options'!$B:$B,F$4,'NSE - Other Index Options'!$H:$H,"Monthly*")=0,"",SUMIFS('NSE - NIFTY Index Options'!$L:$L,'NSE - NIFTY Index Options'!$C:$C,$A80,'NSE - NIFTY Index Options'!$B:$B,F$4,'NSE - NIFTY Index Options'!$H:$H,"Monthly*")+SUMIFS('NSE - Other Index Options'!$L:$L,'NSE - Other Index Options'!$C:$C,$A80,'NSE - Other Index Options'!$B:$B,F$4,'NSE - Other Index Options'!$H:$H,"Monthly*"))</f>
        <v/>
      </c>
      <c r="G80" s="26" t="str">
        <f>IF(SUMIFS('NSE - NIFTY Index Options'!$L:$L,'NSE - NIFTY Index Options'!$C:$C,$A80,'NSE - NIFTY Index Options'!$B:$B,G$4,'NSE - NIFTY Index Options'!$H:$H,"Monthly*")+SUMIFS('NSE - Other Index Options'!$L:$L,'NSE - Other Index Options'!$C:$C,$A80,'NSE - Other Index Options'!$B:$B,G$4,'NSE - Other Index Options'!$H:$H,"Monthly*")=0,"",SUMIFS('NSE - NIFTY Index Options'!$L:$L,'NSE - NIFTY Index Options'!$C:$C,$A80,'NSE - NIFTY Index Options'!$B:$B,G$4,'NSE - NIFTY Index Options'!$H:$H,"Monthly*")+SUMIFS('NSE - Other Index Options'!$L:$L,'NSE - Other Index Options'!$C:$C,$A80,'NSE - Other Index Options'!$B:$B,G$4,'NSE - Other Index Options'!$H:$H,"Monthly*"))</f>
        <v/>
      </c>
      <c r="H80" s="26" t="str">
        <f t="shared" si="2"/>
        <v/>
      </c>
    </row>
    <row r="81" spans="1:8" hidden="1" outlineLevel="1">
      <c r="A81" t="s">
        <v>86</v>
      </c>
      <c r="B81" s="26" t="str">
        <f>IF(SUMIFS('NSE - NIFTY Index Options'!$L:$L,'NSE - NIFTY Index Options'!$C:$C,$A81,'NSE - NIFTY Index Options'!$B:$B,B$4,'NSE - NIFTY Index Options'!$H:$H,"Monthly*")+SUMIFS('NSE - Other Index Options'!$L:$L,'NSE - Other Index Options'!$C:$C,$A81,'NSE - Other Index Options'!$B:$B,B$4,'NSE - Other Index Options'!$H:$H,"Monthly*")=0,"",SUMIFS('NSE - NIFTY Index Options'!$L:$L,'NSE - NIFTY Index Options'!$C:$C,$A81,'NSE - NIFTY Index Options'!$B:$B,B$4,'NSE - NIFTY Index Options'!$H:$H,"Monthly*")+SUMIFS('NSE - Other Index Options'!$L:$L,'NSE - Other Index Options'!$C:$C,$A81,'NSE - Other Index Options'!$B:$B,B$4,'NSE - Other Index Options'!$H:$H,"Monthly*"))</f>
        <v/>
      </c>
      <c r="C81" s="26" t="str">
        <f>IF(SUMIFS('NSE - NIFTY Index Options'!$L:$L,'NSE - NIFTY Index Options'!$C:$C,$A81,'NSE - NIFTY Index Options'!$B:$B,C$4,'NSE - NIFTY Index Options'!$H:$H,"Monthly*")+SUMIFS('NSE - Other Index Options'!$L:$L,'NSE - Other Index Options'!$C:$C,$A81,'NSE - Other Index Options'!$B:$B,C$4,'NSE - Other Index Options'!$H:$H,"Monthly*")=0,"",SUMIFS('NSE - NIFTY Index Options'!$L:$L,'NSE - NIFTY Index Options'!$C:$C,$A81,'NSE - NIFTY Index Options'!$B:$B,C$4,'NSE - NIFTY Index Options'!$H:$H,"Monthly*")+SUMIFS('NSE - Other Index Options'!$L:$L,'NSE - Other Index Options'!$C:$C,$A81,'NSE - Other Index Options'!$B:$B,C$4,'NSE - Other Index Options'!$H:$H,"Monthly*"))</f>
        <v/>
      </c>
      <c r="D81" s="26" t="str">
        <f>IF(SUMIFS('NSE - NIFTY Index Options'!$L:$L,'NSE - NIFTY Index Options'!$C:$C,$A81,'NSE - NIFTY Index Options'!$B:$B,D$4,'NSE - NIFTY Index Options'!$H:$H,"Monthly*")+SUMIFS('NSE - Other Index Options'!$L:$L,'NSE - Other Index Options'!$C:$C,$A81,'NSE - Other Index Options'!$B:$B,D$4,'NSE - Other Index Options'!$H:$H,"Monthly*")=0,"",SUMIFS('NSE - NIFTY Index Options'!$L:$L,'NSE - NIFTY Index Options'!$C:$C,$A81,'NSE - NIFTY Index Options'!$B:$B,D$4,'NSE - NIFTY Index Options'!$H:$H,"Monthly*")+SUMIFS('NSE - Other Index Options'!$L:$L,'NSE - Other Index Options'!$C:$C,$A81,'NSE - Other Index Options'!$B:$B,D$4,'NSE - Other Index Options'!$H:$H,"Monthly*"))</f>
        <v/>
      </c>
      <c r="E81" s="26" t="str">
        <f>IF(SUMIFS('NSE - NIFTY Index Options'!$L:$L,'NSE - NIFTY Index Options'!$C:$C,$A81,'NSE - NIFTY Index Options'!$B:$B,E$4,'NSE - NIFTY Index Options'!$H:$H,"Monthly*")+SUMIFS('NSE - Other Index Options'!$L:$L,'NSE - Other Index Options'!$C:$C,$A81,'NSE - Other Index Options'!$B:$B,E$4,'NSE - Other Index Options'!$H:$H,"Monthly*")=0,"",SUMIFS('NSE - NIFTY Index Options'!$L:$L,'NSE - NIFTY Index Options'!$C:$C,$A81,'NSE - NIFTY Index Options'!$B:$B,E$4,'NSE - NIFTY Index Options'!$H:$H,"Monthly*")+SUMIFS('NSE - Other Index Options'!$L:$L,'NSE - Other Index Options'!$C:$C,$A81,'NSE - Other Index Options'!$B:$B,E$4,'NSE - Other Index Options'!$H:$H,"Monthly*"))</f>
        <v/>
      </c>
      <c r="F81" s="26" t="str">
        <f>IF(SUMIFS('NSE - NIFTY Index Options'!$L:$L,'NSE - NIFTY Index Options'!$C:$C,$A81,'NSE - NIFTY Index Options'!$B:$B,F$4,'NSE - NIFTY Index Options'!$H:$H,"Monthly*")+SUMIFS('NSE - Other Index Options'!$L:$L,'NSE - Other Index Options'!$C:$C,$A81,'NSE - Other Index Options'!$B:$B,F$4,'NSE - Other Index Options'!$H:$H,"Monthly*")=0,"",SUMIFS('NSE - NIFTY Index Options'!$L:$L,'NSE - NIFTY Index Options'!$C:$C,$A81,'NSE - NIFTY Index Options'!$B:$B,F$4,'NSE - NIFTY Index Options'!$H:$H,"Monthly*")+SUMIFS('NSE - Other Index Options'!$L:$L,'NSE - Other Index Options'!$C:$C,$A81,'NSE - Other Index Options'!$B:$B,F$4,'NSE - Other Index Options'!$H:$H,"Monthly*"))</f>
        <v/>
      </c>
      <c r="G81" s="26" t="str">
        <f>IF(SUMIFS('NSE - NIFTY Index Options'!$L:$L,'NSE - NIFTY Index Options'!$C:$C,$A81,'NSE - NIFTY Index Options'!$B:$B,G$4,'NSE - NIFTY Index Options'!$H:$H,"Monthly*")+SUMIFS('NSE - Other Index Options'!$L:$L,'NSE - Other Index Options'!$C:$C,$A81,'NSE - Other Index Options'!$B:$B,G$4,'NSE - Other Index Options'!$H:$H,"Monthly*")=0,"",SUMIFS('NSE - NIFTY Index Options'!$L:$L,'NSE - NIFTY Index Options'!$C:$C,$A81,'NSE - NIFTY Index Options'!$B:$B,G$4,'NSE - NIFTY Index Options'!$H:$H,"Monthly*")+SUMIFS('NSE - Other Index Options'!$L:$L,'NSE - Other Index Options'!$C:$C,$A81,'NSE - Other Index Options'!$B:$B,G$4,'NSE - Other Index Options'!$H:$H,"Monthly*"))</f>
        <v/>
      </c>
      <c r="H81" s="26" t="str">
        <f t="shared" si="2"/>
        <v/>
      </c>
    </row>
    <row r="82" spans="1:8" hidden="1" outlineLevel="1">
      <c r="A82" t="s">
        <v>87</v>
      </c>
      <c r="B82" s="26" t="str">
        <f>IF(SUMIFS('NSE - NIFTY Index Options'!$L:$L,'NSE - NIFTY Index Options'!$C:$C,$A82,'NSE - NIFTY Index Options'!$B:$B,B$4,'NSE - NIFTY Index Options'!$H:$H,"Monthly*")+SUMIFS('NSE - Other Index Options'!$L:$L,'NSE - Other Index Options'!$C:$C,$A82,'NSE - Other Index Options'!$B:$B,B$4,'NSE - Other Index Options'!$H:$H,"Monthly*")=0,"",SUMIFS('NSE - NIFTY Index Options'!$L:$L,'NSE - NIFTY Index Options'!$C:$C,$A82,'NSE - NIFTY Index Options'!$B:$B,B$4,'NSE - NIFTY Index Options'!$H:$H,"Monthly*")+SUMIFS('NSE - Other Index Options'!$L:$L,'NSE - Other Index Options'!$C:$C,$A82,'NSE - Other Index Options'!$B:$B,B$4,'NSE - Other Index Options'!$H:$H,"Monthly*"))</f>
        <v/>
      </c>
      <c r="C82" s="26" t="str">
        <f>IF(SUMIFS('NSE - NIFTY Index Options'!$L:$L,'NSE - NIFTY Index Options'!$C:$C,$A82,'NSE - NIFTY Index Options'!$B:$B,C$4,'NSE - NIFTY Index Options'!$H:$H,"Monthly*")+SUMIFS('NSE - Other Index Options'!$L:$L,'NSE - Other Index Options'!$C:$C,$A82,'NSE - Other Index Options'!$B:$B,C$4,'NSE - Other Index Options'!$H:$H,"Monthly*")=0,"",SUMIFS('NSE - NIFTY Index Options'!$L:$L,'NSE - NIFTY Index Options'!$C:$C,$A82,'NSE - NIFTY Index Options'!$B:$B,C$4,'NSE - NIFTY Index Options'!$H:$H,"Monthly*")+SUMIFS('NSE - Other Index Options'!$L:$L,'NSE - Other Index Options'!$C:$C,$A82,'NSE - Other Index Options'!$B:$B,C$4,'NSE - Other Index Options'!$H:$H,"Monthly*"))</f>
        <v/>
      </c>
      <c r="D82" s="26" t="str">
        <f>IF(SUMIFS('NSE - NIFTY Index Options'!$L:$L,'NSE - NIFTY Index Options'!$C:$C,$A82,'NSE - NIFTY Index Options'!$B:$B,D$4,'NSE - NIFTY Index Options'!$H:$H,"Monthly*")+SUMIFS('NSE - Other Index Options'!$L:$L,'NSE - Other Index Options'!$C:$C,$A82,'NSE - Other Index Options'!$B:$B,D$4,'NSE - Other Index Options'!$H:$H,"Monthly*")=0,"",SUMIFS('NSE - NIFTY Index Options'!$L:$L,'NSE - NIFTY Index Options'!$C:$C,$A82,'NSE - NIFTY Index Options'!$B:$B,D$4,'NSE - NIFTY Index Options'!$H:$H,"Monthly*")+SUMIFS('NSE - Other Index Options'!$L:$L,'NSE - Other Index Options'!$C:$C,$A82,'NSE - Other Index Options'!$B:$B,D$4,'NSE - Other Index Options'!$H:$H,"Monthly*"))</f>
        <v/>
      </c>
      <c r="E82" s="26" t="str">
        <f>IF(SUMIFS('NSE - NIFTY Index Options'!$L:$L,'NSE - NIFTY Index Options'!$C:$C,$A82,'NSE - NIFTY Index Options'!$B:$B,E$4,'NSE - NIFTY Index Options'!$H:$H,"Monthly*")+SUMIFS('NSE - Other Index Options'!$L:$L,'NSE - Other Index Options'!$C:$C,$A82,'NSE - Other Index Options'!$B:$B,E$4,'NSE - Other Index Options'!$H:$H,"Monthly*")=0,"",SUMIFS('NSE - NIFTY Index Options'!$L:$L,'NSE - NIFTY Index Options'!$C:$C,$A82,'NSE - NIFTY Index Options'!$B:$B,E$4,'NSE - NIFTY Index Options'!$H:$H,"Monthly*")+SUMIFS('NSE - Other Index Options'!$L:$L,'NSE - Other Index Options'!$C:$C,$A82,'NSE - Other Index Options'!$B:$B,E$4,'NSE - Other Index Options'!$H:$H,"Monthly*"))</f>
        <v/>
      </c>
      <c r="F82" s="26" t="str">
        <f>IF(SUMIFS('NSE - NIFTY Index Options'!$L:$L,'NSE - NIFTY Index Options'!$C:$C,$A82,'NSE - NIFTY Index Options'!$B:$B,F$4,'NSE - NIFTY Index Options'!$H:$H,"Monthly*")+SUMIFS('NSE - Other Index Options'!$L:$L,'NSE - Other Index Options'!$C:$C,$A82,'NSE - Other Index Options'!$B:$B,F$4,'NSE - Other Index Options'!$H:$H,"Monthly*")=0,"",SUMIFS('NSE - NIFTY Index Options'!$L:$L,'NSE - NIFTY Index Options'!$C:$C,$A82,'NSE - NIFTY Index Options'!$B:$B,F$4,'NSE - NIFTY Index Options'!$H:$H,"Monthly*")+SUMIFS('NSE - Other Index Options'!$L:$L,'NSE - Other Index Options'!$C:$C,$A82,'NSE - Other Index Options'!$B:$B,F$4,'NSE - Other Index Options'!$H:$H,"Monthly*"))</f>
        <v/>
      </c>
      <c r="G82" s="26" t="str">
        <f>IF(SUMIFS('NSE - NIFTY Index Options'!$L:$L,'NSE - NIFTY Index Options'!$C:$C,$A82,'NSE - NIFTY Index Options'!$B:$B,G$4,'NSE - NIFTY Index Options'!$H:$H,"Monthly*")+SUMIFS('NSE - Other Index Options'!$L:$L,'NSE - Other Index Options'!$C:$C,$A82,'NSE - Other Index Options'!$B:$B,G$4,'NSE - Other Index Options'!$H:$H,"Monthly*")=0,"",SUMIFS('NSE - NIFTY Index Options'!$L:$L,'NSE - NIFTY Index Options'!$C:$C,$A82,'NSE - NIFTY Index Options'!$B:$B,G$4,'NSE - NIFTY Index Options'!$H:$H,"Monthly*")+SUMIFS('NSE - Other Index Options'!$L:$L,'NSE - Other Index Options'!$C:$C,$A82,'NSE - Other Index Options'!$B:$B,G$4,'NSE - Other Index Options'!$H:$H,"Monthly*"))</f>
        <v/>
      </c>
      <c r="H82" s="26" t="str">
        <f t="shared" si="2"/>
        <v/>
      </c>
    </row>
    <row r="83" spans="1:8" hidden="1" outlineLevel="1">
      <c r="A83" t="s">
        <v>88</v>
      </c>
      <c r="B83" s="26" t="str">
        <f>IF(SUMIFS('NSE - NIFTY Index Options'!$L:$L,'NSE - NIFTY Index Options'!$C:$C,$A83,'NSE - NIFTY Index Options'!$B:$B,B$4,'NSE - NIFTY Index Options'!$H:$H,"Monthly*")+SUMIFS('NSE - Other Index Options'!$L:$L,'NSE - Other Index Options'!$C:$C,$A83,'NSE - Other Index Options'!$B:$B,B$4,'NSE - Other Index Options'!$H:$H,"Monthly*")=0,"",SUMIFS('NSE - NIFTY Index Options'!$L:$L,'NSE - NIFTY Index Options'!$C:$C,$A83,'NSE - NIFTY Index Options'!$B:$B,B$4,'NSE - NIFTY Index Options'!$H:$H,"Monthly*")+SUMIFS('NSE - Other Index Options'!$L:$L,'NSE - Other Index Options'!$C:$C,$A83,'NSE - Other Index Options'!$B:$B,B$4,'NSE - Other Index Options'!$H:$H,"Monthly*"))</f>
        <v/>
      </c>
      <c r="C83" s="26" t="str">
        <f>IF(SUMIFS('NSE - NIFTY Index Options'!$L:$L,'NSE - NIFTY Index Options'!$C:$C,$A83,'NSE - NIFTY Index Options'!$B:$B,C$4,'NSE - NIFTY Index Options'!$H:$H,"Monthly*")+SUMIFS('NSE - Other Index Options'!$L:$L,'NSE - Other Index Options'!$C:$C,$A83,'NSE - Other Index Options'!$B:$B,C$4,'NSE - Other Index Options'!$H:$H,"Monthly*")=0,"",SUMIFS('NSE - NIFTY Index Options'!$L:$L,'NSE - NIFTY Index Options'!$C:$C,$A83,'NSE - NIFTY Index Options'!$B:$B,C$4,'NSE - NIFTY Index Options'!$H:$H,"Monthly*")+SUMIFS('NSE - Other Index Options'!$L:$L,'NSE - Other Index Options'!$C:$C,$A83,'NSE - Other Index Options'!$B:$B,C$4,'NSE - Other Index Options'!$H:$H,"Monthly*"))</f>
        <v/>
      </c>
      <c r="D83" s="26" t="str">
        <f>IF(SUMIFS('NSE - NIFTY Index Options'!$L:$L,'NSE - NIFTY Index Options'!$C:$C,$A83,'NSE - NIFTY Index Options'!$B:$B,D$4,'NSE - NIFTY Index Options'!$H:$H,"Monthly*")+SUMIFS('NSE - Other Index Options'!$L:$L,'NSE - Other Index Options'!$C:$C,$A83,'NSE - Other Index Options'!$B:$B,D$4,'NSE - Other Index Options'!$H:$H,"Monthly*")=0,"",SUMIFS('NSE - NIFTY Index Options'!$L:$L,'NSE - NIFTY Index Options'!$C:$C,$A83,'NSE - NIFTY Index Options'!$B:$B,D$4,'NSE - NIFTY Index Options'!$H:$H,"Monthly*")+SUMIFS('NSE - Other Index Options'!$L:$L,'NSE - Other Index Options'!$C:$C,$A83,'NSE - Other Index Options'!$B:$B,D$4,'NSE - Other Index Options'!$H:$H,"Monthly*"))</f>
        <v/>
      </c>
      <c r="E83" s="26" t="str">
        <f>IF(SUMIFS('NSE - NIFTY Index Options'!$L:$L,'NSE - NIFTY Index Options'!$C:$C,$A83,'NSE - NIFTY Index Options'!$B:$B,E$4,'NSE - NIFTY Index Options'!$H:$H,"Monthly*")+SUMIFS('NSE - Other Index Options'!$L:$L,'NSE - Other Index Options'!$C:$C,$A83,'NSE - Other Index Options'!$B:$B,E$4,'NSE - Other Index Options'!$H:$H,"Monthly*")=0,"",SUMIFS('NSE - NIFTY Index Options'!$L:$L,'NSE - NIFTY Index Options'!$C:$C,$A83,'NSE - NIFTY Index Options'!$B:$B,E$4,'NSE - NIFTY Index Options'!$H:$H,"Monthly*")+SUMIFS('NSE - Other Index Options'!$L:$L,'NSE - Other Index Options'!$C:$C,$A83,'NSE - Other Index Options'!$B:$B,E$4,'NSE - Other Index Options'!$H:$H,"Monthly*"))</f>
        <v/>
      </c>
      <c r="F83" s="26" t="str">
        <f>IF(SUMIFS('NSE - NIFTY Index Options'!$L:$L,'NSE - NIFTY Index Options'!$C:$C,$A83,'NSE - NIFTY Index Options'!$B:$B,F$4,'NSE - NIFTY Index Options'!$H:$H,"Monthly*")+SUMIFS('NSE - Other Index Options'!$L:$L,'NSE - Other Index Options'!$C:$C,$A83,'NSE - Other Index Options'!$B:$B,F$4,'NSE - Other Index Options'!$H:$H,"Monthly*")=0,"",SUMIFS('NSE - NIFTY Index Options'!$L:$L,'NSE - NIFTY Index Options'!$C:$C,$A83,'NSE - NIFTY Index Options'!$B:$B,F$4,'NSE - NIFTY Index Options'!$H:$H,"Monthly*")+SUMIFS('NSE - Other Index Options'!$L:$L,'NSE - Other Index Options'!$C:$C,$A83,'NSE - Other Index Options'!$B:$B,F$4,'NSE - Other Index Options'!$H:$H,"Monthly*"))</f>
        <v/>
      </c>
      <c r="G83" s="26" t="str">
        <f>IF(SUMIFS('NSE - NIFTY Index Options'!$L:$L,'NSE - NIFTY Index Options'!$C:$C,$A83,'NSE - NIFTY Index Options'!$B:$B,G$4,'NSE - NIFTY Index Options'!$H:$H,"Monthly*")+SUMIFS('NSE - Other Index Options'!$L:$L,'NSE - Other Index Options'!$C:$C,$A83,'NSE - Other Index Options'!$B:$B,G$4,'NSE - Other Index Options'!$H:$H,"Monthly*")=0,"",SUMIFS('NSE - NIFTY Index Options'!$L:$L,'NSE - NIFTY Index Options'!$C:$C,$A83,'NSE - NIFTY Index Options'!$B:$B,G$4,'NSE - NIFTY Index Options'!$H:$H,"Monthly*")+SUMIFS('NSE - Other Index Options'!$L:$L,'NSE - Other Index Options'!$C:$C,$A83,'NSE - Other Index Options'!$B:$B,G$4,'NSE - Other Index Options'!$H:$H,"Monthly*"))</f>
        <v/>
      </c>
      <c r="H83" s="26" t="str">
        <f t="shared" si="2"/>
        <v/>
      </c>
    </row>
    <row r="84" spans="1:8" hidden="1" outlineLevel="1">
      <c r="A84" t="s">
        <v>89</v>
      </c>
      <c r="B84" s="26" t="str">
        <f>IF(SUMIFS('NSE - NIFTY Index Options'!$L:$L,'NSE - NIFTY Index Options'!$C:$C,$A84,'NSE - NIFTY Index Options'!$B:$B,B$4,'NSE - NIFTY Index Options'!$H:$H,"Monthly*")+SUMIFS('NSE - Other Index Options'!$L:$L,'NSE - Other Index Options'!$C:$C,$A84,'NSE - Other Index Options'!$B:$B,B$4,'NSE - Other Index Options'!$H:$H,"Monthly*")=0,"",SUMIFS('NSE - NIFTY Index Options'!$L:$L,'NSE - NIFTY Index Options'!$C:$C,$A84,'NSE - NIFTY Index Options'!$B:$B,B$4,'NSE - NIFTY Index Options'!$H:$H,"Monthly*")+SUMIFS('NSE - Other Index Options'!$L:$L,'NSE - Other Index Options'!$C:$C,$A84,'NSE - Other Index Options'!$B:$B,B$4,'NSE - Other Index Options'!$H:$H,"Monthly*"))</f>
        <v/>
      </c>
      <c r="C84" s="26" t="str">
        <f>IF(SUMIFS('NSE - NIFTY Index Options'!$L:$L,'NSE - NIFTY Index Options'!$C:$C,$A84,'NSE - NIFTY Index Options'!$B:$B,C$4,'NSE - NIFTY Index Options'!$H:$H,"Monthly*")+SUMIFS('NSE - Other Index Options'!$L:$L,'NSE - Other Index Options'!$C:$C,$A84,'NSE - Other Index Options'!$B:$B,C$4,'NSE - Other Index Options'!$H:$H,"Monthly*")=0,"",SUMIFS('NSE - NIFTY Index Options'!$L:$L,'NSE - NIFTY Index Options'!$C:$C,$A84,'NSE - NIFTY Index Options'!$B:$B,C$4,'NSE - NIFTY Index Options'!$H:$H,"Monthly*")+SUMIFS('NSE - Other Index Options'!$L:$L,'NSE - Other Index Options'!$C:$C,$A84,'NSE - Other Index Options'!$B:$B,C$4,'NSE - Other Index Options'!$H:$H,"Monthly*"))</f>
        <v/>
      </c>
      <c r="D84" s="26" t="str">
        <f>IF(SUMIFS('NSE - NIFTY Index Options'!$L:$L,'NSE - NIFTY Index Options'!$C:$C,$A84,'NSE - NIFTY Index Options'!$B:$B,D$4,'NSE - NIFTY Index Options'!$H:$H,"Monthly*")+SUMIFS('NSE - Other Index Options'!$L:$L,'NSE - Other Index Options'!$C:$C,$A84,'NSE - Other Index Options'!$B:$B,D$4,'NSE - Other Index Options'!$H:$H,"Monthly*")=0,"",SUMIFS('NSE - NIFTY Index Options'!$L:$L,'NSE - NIFTY Index Options'!$C:$C,$A84,'NSE - NIFTY Index Options'!$B:$B,D$4,'NSE - NIFTY Index Options'!$H:$H,"Monthly*")+SUMIFS('NSE - Other Index Options'!$L:$L,'NSE - Other Index Options'!$C:$C,$A84,'NSE - Other Index Options'!$B:$B,D$4,'NSE - Other Index Options'!$H:$H,"Monthly*"))</f>
        <v/>
      </c>
      <c r="E84" s="26" t="str">
        <f>IF(SUMIFS('NSE - NIFTY Index Options'!$L:$L,'NSE - NIFTY Index Options'!$C:$C,$A84,'NSE - NIFTY Index Options'!$B:$B,E$4,'NSE - NIFTY Index Options'!$H:$H,"Monthly*")+SUMIFS('NSE - Other Index Options'!$L:$L,'NSE - Other Index Options'!$C:$C,$A84,'NSE - Other Index Options'!$B:$B,E$4,'NSE - Other Index Options'!$H:$H,"Monthly*")=0,"",SUMIFS('NSE - NIFTY Index Options'!$L:$L,'NSE - NIFTY Index Options'!$C:$C,$A84,'NSE - NIFTY Index Options'!$B:$B,E$4,'NSE - NIFTY Index Options'!$H:$H,"Monthly*")+SUMIFS('NSE - Other Index Options'!$L:$L,'NSE - Other Index Options'!$C:$C,$A84,'NSE - Other Index Options'!$B:$B,E$4,'NSE - Other Index Options'!$H:$H,"Monthly*"))</f>
        <v/>
      </c>
      <c r="F84" s="26" t="str">
        <f>IF(SUMIFS('NSE - NIFTY Index Options'!$L:$L,'NSE - NIFTY Index Options'!$C:$C,$A84,'NSE - NIFTY Index Options'!$B:$B,F$4,'NSE - NIFTY Index Options'!$H:$H,"Monthly*")+SUMIFS('NSE - Other Index Options'!$L:$L,'NSE - Other Index Options'!$C:$C,$A84,'NSE - Other Index Options'!$B:$B,F$4,'NSE - Other Index Options'!$H:$H,"Monthly*")=0,"",SUMIFS('NSE - NIFTY Index Options'!$L:$L,'NSE - NIFTY Index Options'!$C:$C,$A84,'NSE - NIFTY Index Options'!$B:$B,F$4,'NSE - NIFTY Index Options'!$H:$H,"Monthly*")+SUMIFS('NSE - Other Index Options'!$L:$L,'NSE - Other Index Options'!$C:$C,$A84,'NSE - Other Index Options'!$B:$B,F$4,'NSE - Other Index Options'!$H:$H,"Monthly*"))</f>
        <v/>
      </c>
      <c r="G84" s="26" t="str">
        <f>IF(SUMIFS('NSE - NIFTY Index Options'!$L:$L,'NSE - NIFTY Index Options'!$C:$C,$A84,'NSE - NIFTY Index Options'!$B:$B,G$4,'NSE - NIFTY Index Options'!$H:$H,"Monthly*")+SUMIFS('NSE - Other Index Options'!$L:$L,'NSE - Other Index Options'!$C:$C,$A84,'NSE - Other Index Options'!$B:$B,G$4,'NSE - Other Index Options'!$H:$H,"Monthly*")=0,"",SUMIFS('NSE - NIFTY Index Options'!$L:$L,'NSE - NIFTY Index Options'!$C:$C,$A84,'NSE - NIFTY Index Options'!$B:$B,G$4,'NSE - NIFTY Index Options'!$H:$H,"Monthly*")+SUMIFS('NSE - Other Index Options'!$L:$L,'NSE - Other Index Options'!$C:$C,$A84,'NSE - Other Index Options'!$B:$B,G$4,'NSE - Other Index Options'!$H:$H,"Monthly*"))</f>
        <v/>
      </c>
      <c r="H84" s="26" t="str">
        <f t="shared" si="2"/>
        <v/>
      </c>
    </row>
    <row r="85" spans="1:8" hidden="1" outlineLevel="1">
      <c r="A85" t="s">
        <v>90</v>
      </c>
      <c r="B85" s="26" t="str">
        <f>IF(SUMIFS('NSE - NIFTY Index Options'!$L:$L,'NSE - NIFTY Index Options'!$C:$C,$A85,'NSE - NIFTY Index Options'!$B:$B,B$4,'NSE - NIFTY Index Options'!$H:$H,"Monthly*")+SUMIFS('NSE - Other Index Options'!$L:$L,'NSE - Other Index Options'!$C:$C,$A85,'NSE - Other Index Options'!$B:$B,B$4,'NSE - Other Index Options'!$H:$H,"Monthly*")=0,"",SUMIFS('NSE - NIFTY Index Options'!$L:$L,'NSE - NIFTY Index Options'!$C:$C,$A85,'NSE - NIFTY Index Options'!$B:$B,B$4,'NSE - NIFTY Index Options'!$H:$H,"Monthly*")+SUMIFS('NSE - Other Index Options'!$L:$L,'NSE - Other Index Options'!$C:$C,$A85,'NSE - Other Index Options'!$B:$B,B$4,'NSE - Other Index Options'!$H:$H,"Monthly*"))</f>
        <v/>
      </c>
      <c r="C85" s="26" t="str">
        <f>IF(SUMIFS('NSE - NIFTY Index Options'!$L:$L,'NSE - NIFTY Index Options'!$C:$C,$A85,'NSE - NIFTY Index Options'!$B:$B,C$4,'NSE - NIFTY Index Options'!$H:$H,"Monthly*")+SUMIFS('NSE - Other Index Options'!$L:$L,'NSE - Other Index Options'!$C:$C,$A85,'NSE - Other Index Options'!$B:$B,C$4,'NSE - Other Index Options'!$H:$H,"Monthly*")=0,"",SUMIFS('NSE - NIFTY Index Options'!$L:$L,'NSE - NIFTY Index Options'!$C:$C,$A85,'NSE - NIFTY Index Options'!$B:$B,C$4,'NSE - NIFTY Index Options'!$H:$H,"Monthly*")+SUMIFS('NSE - Other Index Options'!$L:$L,'NSE - Other Index Options'!$C:$C,$A85,'NSE - Other Index Options'!$B:$B,C$4,'NSE - Other Index Options'!$H:$H,"Monthly*"))</f>
        <v/>
      </c>
      <c r="D85" s="26" t="str">
        <f>IF(SUMIFS('NSE - NIFTY Index Options'!$L:$L,'NSE - NIFTY Index Options'!$C:$C,$A85,'NSE - NIFTY Index Options'!$B:$B,D$4,'NSE - NIFTY Index Options'!$H:$H,"Monthly*")+SUMIFS('NSE - Other Index Options'!$L:$L,'NSE - Other Index Options'!$C:$C,$A85,'NSE - Other Index Options'!$B:$B,D$4,'NSE - Other Index Options'!$H:$H,"Monthly*")=0,"",SUMIFS('NSE - NIFTY Index Options'!$L:$L,'NSE - NIFTY Index Options'!$C:$C,$A85,'NSE - NIFTY Index Options'!$B:$B,D$4,'NSE - NIFTY Index Options'!$H:$H,"Monthly*")+SUMIFS('NSE - Other Index Options'!$L:$L,'NSE - Other Index Options'!$C:$C,$A85,'NSE - Other Index Options'!$B:$B,D$4,'NSE - Other Index Options'!$H:$H,"Monthly*"))</f>
        <v/>
      </c>
      <c r="E85" s="26" t="str">
        <f>IF(SUMIFS('NSE - NIFTY Index Options'!$L:$L,'NSE - NIFTY Index Options'!$C:$C,$A85,'NSE - NIFTY Index Options'!$B:$B,E$4,'NSE - NIFTY Index Options'!$H:$H,"Monthly*")+SUMIFS('NSE - Other Index Options'!$L:$L,'NSE - Other Index Options'!$C:$C,$A85,'NSE - Other Index Options'!$B:$B,E$4,'NSE - Other Index Options'!$H:$H,"Monthly*")=0,"",SUMIFS('NSE - NIFTY Index Options'!$L:$L,'NSE - NIFTY Index Options'!$C:$C,$A85,'NSE - NIFTY Index Options'!$B:$B,E$4,'NSE - NIFTY Index Options'!$H:$H,"Monthly*")+SUMIFS('NSE - Other Index Options'!$L:$L,'NSE - Other Index Options'!$C:$C,$A85,'NSE - Other Index Options'!$B:$B,E$4,'NSE - Other Index Options'!$H:$H,"Monthly*"))</f>
        <v/>
      </c>
      <c r="F85" s="26" t="str">
        <f>IF(SUMIFS('NSE - NIFTY Index Options'!$L:$L,'NSE - NIFTY Index Options'!$C:$C,$A85,'NSE - NIFTY Index Options'!$B:$B,F$4,'NSE - NIFTY Index Options'!$H:$H,"Monthly*")+SUMIFS('NSE - Other Index Options'!$L:$L,'NSE - Other Index Options'!$C:$C,$A85,'NSE - Other Index Options'!$B:$B,F$4,'NSE - Other Index Options'!$H:$H,"Monthly*")=0,"",SUMIFS('NSE - NIFTY Index Options'!$L:$L,'NSE - NIFTY Index Options'!$C:$C,$A85,'NSE - NIFTY Index Options'!$B:$B,F$4,'NSE - NIFTY Index Options'!$H:$H,"Monthly*")+SUMIFS('NSE - Other Index Options'!$L:$L,'NSE - Other Index Options'!$C:$C,$A85,'NSE - Other Index Options'!$B:$B,F$4,'NSE - Other Index Options'!$H:$H,"Monthly*"))</f>
        <v/>
      </c>
      <c r="G85" s="26" t="str">
        <f>IF(SUMIFS('NSE - NIFTY Index Options'!$L:$L,'NSE - NIFTY Index Options'!$C:$C,$A85,'NSE - NIFTY Index Options'!$B:$B,G$4,'NSE - NIFTY Index Options'!$H:$H,"Monthly*")+SUMIFS('NSE - Other Index Options'!$L:$L,'NSE - Other Index Options'!$C:$C,$A85,'NSE - Other Index Options'!$B:$B,G$4,'NSE - Other Index Options'!$H:$H,"Monthly*")=0,"",SUMIFS('NSE - NIFTY Index Options'!$L:$L,'NSE - NIFTY Index Options'!$C:$C,$A85,'NSE - NIFTY Index Options'!$B:$B,G$4,'NSE - NIFTY Index Options'!$H:$H,"Monthly*")+SUMIFS('NSE - Other Index Options'!$L:$L,'NSE - Other Index Options'!$C:$C,$A85,'NSE - Other Index Options'!$B:$B,G$4,'NSE - Other Index Options'!$H:$H,"Monthly*"))</f>
        <v/>
      </c>
      <c r="H85" s="26" t="str">
        <f t="shared" si="2"/>
        <v/>
      </c>
    </row>
    <row r="86" spans="1:8" hidden="1" outlineLevel="1">
      <c r="A86" t="s">
        <v>91</v>
      </c>
      <c r="B86" s="26" t="str">
        <f>IF(SUMIFS('NSE - NIFTY Index Options'!$L:$L,'NSE - NIFTY Index Options'!$C:$C,$A86,'NSE - NIFTY Index Options'!$B:$B,B$4,'NSE - NIFTY Index Options'!$H:$H,"Monthly*")+SUMIFS('NSE - Other Index Options'!$L:$L,'NSE - Other Index Options'!$C:$C,$A86,'NSE - Other Index Options'!$B:$B,B$4,'NSE - Other Index Options'!$H:$H,"Monthly*")=0,"",SUMIFS('NSE - NIFTY Index Options'!$L:$L,'NSE - NIFTY Index Options'!$C:$C,$A86,'NSE - NIFTY Index Options'!$B:$B,B$4,'NSE - NIFTY Index Options'!$H:$H,"Monthly*")+SUMIFS('NSE - Other Index Options'!$L:$L,'NSE - Other Index Options'!$C:$C,$A86,'NSE - Other Index Options'!$B:$B,B$4,'NSE - Other Index Options'!$H:$H,"Monthly*"))</f>
        <v/>
      </c>
      <c r="C86" s="26" t="str">
        <f>IF(SUMIFS('NSE - NIFTY Index Options'!$L:$L,'NSE - NIFTY Index Options'!$C:$C,$A86,'NSE - NIFTY Index Options'!$B:$B,C$4,'NSE - NIFTY Index Options'!$H:$H,"Monthly*")+SUMIFS('NSE - Other Index Options'!$L:$L,'NSE - Other Index Options'!$C:$C,$A86,'NSE - Other Index Options'!$B:$B,C$4,'NSE - Other Index Options'!$H:$H,"Monthly*")=0,"",SUMIFS('NSE - NIFTY Index Options'!$L:$L,'NSE - NIFTY Index Options'!$C:$C,$A86,'NSE - NIFTY Index Options'!$B:$B,C$4,'NSE - NIFTY Index Options'!$H:$H,"Monthly*")+SUMIFS('NSE - Other Index Options'!$L:$L,'NSE - Other Index Options'!$C:$C,$A86,'NSE - Other Index Options'!$B:$B,C$4,'NSE - Other Index Options'!$H:$H,"Monthly*"))</f>
        <v/>
      </c>
      <c r="D86" s="26" t="str">
        <f>IF(SUMIFS('NSE - NIFTY Index Options'!$L:$L,'NSE - NIFTY Index Options'!$C:$C,$A86,'NSE - NIFTY Index Options'!$B:$B,D$4,'NSE - NIFTY Index Options'!$H:$H,"Monthly*")+SUMIFS('NSE - Other Index Options'!$L:$L,'NSE - Other Index Options'!$C:$C,$A86,'NSE - Other Index Options'!$B:$B,D$4,'NSE - Other Index Options'!$H:$H,"Monthly*")=0,"",SUMIFS('NSE - NIFTY Index Options'!$L:$L,'NSE - NIFTY Index Options'!$C:$C,$A86,'NSE - NIFTY Index Options'!$B:$B,D$4,'NSE - NIFTY Index Options'!$H:$H,"Monthly*")+SUMIFS('NSE - Other Index Options'!$L:$L,'NSE - Other Index Options'!$C:$C,$A86,'NSE - Other Index Options'!$B:$B,D$4,'NSE - Other Index Options'!$H:$H,"Monthly*"))</f>
        <v/>
      </c>
      <c r="E86" s="26" t="str">
        <f>IF(SUMIFS('NSE - NIFTY Index Options'!$L:$L,'NSE - NIFTY Index Options'!$C:$C,$A86,'NSE - NIFTY Index Options'!$B:$B,E$4,'NSE - NIFTY Index Options'!$H:$H,"Monthly*")+SUMIFS('NSE - Other Index Options'!$L:$L,'NSE - Other Index Options'!$C:$C,$A86,'NSE - Other Index Options'!$B:$B,E$4,'NSE - Other Index Options'!$H:$H,"Monthly*")=0,"",SUMIFS('NSE - NIFTY Index Options'!$L:$L,'NSE - NIFTY Index Options'!$C:$C,$A86,'NSE - NIFTY Index Options'!$B:$B,E$4,'NSE - NIFTY Index Options'!$H:$H,"Monthly*")+SUMIFS('NSE - Other Index Options'!$L:$L,'NSE - Other Index Options'!$C:$C,$A86,'NSE - Other Index Options'!$B:$B,E$4,'NSE - Other Index Options'!$H:$H,"Monthly*"))</f>
        <v/>
      </c>
      <c r="F86" s="26" t="str">
        <f>IF(SUMIFS('NSE - NIFTY Index Options'!$L:$L,'NSE - NIFTY Index Options'!$C:$C,$A86,'NSE - NIFTY Index Options'!$B:$B,F$4,'NSE - NIFTY Index Options'!$H:$H,"Monthly*")+SUMIFS('NSE - Other Index Options'!$L:$L,'NSE - Other Index Options'!$C:$C,$A86,'NSE - Other Index Options'!$B:$B,F$4,'NSE - Other Index Options'!$H:$H,"Monthly*")=0,"",SUMIFS('NSE - NIFTY Index Options'!$L:$L,'NSE - NIFTY Index Options'!$C:$C,$A86,'NSE - NIFTY Index Options'!$B:$B,F$4,'NSE - NIFTY Index Options'!$H:$H,"Monthly*")+SUMIFS('NSE - Other Index Options'!$L:$L,'NSE - Other Index Options'!$C:$C,$A86,'NSE - Other Index Options'!$B:$B,F$4,'NSE - Other Index Options'!$H:$H,"Monthly*"))</f>
        <v/>
      </c>
      <c r="G86" s="26" t="str">
        <f>IF(SUMIFS('NSE - NIFTY Index Options'!$L:$L,'NSE - NIFTY Index Options'!$C:$C,$A86,'NSE - NIFTY Index Options'!$B:$B,G$4,'NSE - NIFTY Index Options'!$H:$H,"Monthly*")+SUMIFS('NSE - Other Index Options'!$L:$L,'NSE - Other Index Options'!$C:$C,$A86,'NSE - Other Index Options'!$B:$B,G$4,'NSE - Other Index Options'!$H:$H,"Monthly*")=0,"",SUMIFS('NSE - NIFTY Index Options'!$L:$L,'NSE - NIFTY Index Options'!$C:$C,$A86,'NSE - NIFTY Index Options'!$B:$B,G$4,'NSE - NIFTY Index Options'!$H:$H,"Monthly*")+SUMIFS('NSE - Other Index Options'!$L:$L,'NSE - Other Index Options'!$C:$C,$A86,'NSE - Other Index Options'!$B:$B,G$4,'NSE - Other Index Options'!$H:$H,"Monthly*"))</f>
        <v/>
      </c>
      <c r="H86" s="26" t="str">
        <f t="shared" si="2"/>
        <v/>
      </c>
    </row>
    <row r="87" spans="1:8" hidden="1" outlineLevel="1">
      <c r="A87" t="s">
        <v>92</v>
      </c>
      <c r="B87" s="26" t="str">
        <f>IF(SUMIFS('NSE - NIFTY Index Options'!$L:$L,'NSE - NIFTY Index Options'!$C:$C,$A87,'NSE - NIFTY Index Options'!$B:$B,B$4,'NSE - NIFTY Index Options'!$H:$H,"Monthly*")+SUMIFS('NSE - Other Index Options'!$L:$L,'NSE - Other Index Options'!$C:$C,$A87,'NSE - Other Index Options'!$B:$B,B$4,'NSE - Other Index Options'!$H:$H,"Monthly*")=0,"",SUMIFS('NSE - NIFTY Index Options'!$L:$L,'NSE - NIFTY Index Options'!$C:$C,$A87,'NSE - NIFTY Index Options'!$B:$B,B$4,'NSE - NIFTY Index Options'!$H:$H,"Monthly*")+SUMIFS('NSE - Other Index Options'!$L:$L,'NSE - Other Index Options'!$C:$C,$A87,'NSE - Other Index Options'!$B:$B,B$4,'NSE - Other Index Options'!$H:$H,"Monthly*"))</f>
        <v/>
      </c>
      <c r="C87" s="26" t="str">
        <f>IF(SUMIFS('NSE - NIFTY Index Options'!$L:$L,'NSE - NIFTY Index Options'!$C:$C,$A87,'NSE - NIFTY Index Options'!$B:$B,C$4,'NSE - NIFTY Index Options'!$H:$H,"Monthly*")+SUMIFS('NSE - Other Index Options'!$L:$L,'NSE - Other Index Options'!$C:$C,$A87,'NSE - Other Index Options'!$B:$B,C$4,'NSE - Other Index Options'!$H:$H,"Monthly*")=0,"",SUMIFS('NSE - NIFTY Index Options'!$L:$L,'NSE - NIFTY Index Options'!$C:$C,$A87,'NSE - NIFTY Index Options'!$B:$B,C$4,'NSE - NIFTY Index Options'!$H:$H,"Monthly*")+SUMIFS('NSE - Other Index Options'!$L:$L,'NSE - Other Index Options'!$C:$C,$A87,'NSE - Other Index Options'!$B:$B,C$4,'NSE - Other Index Options'!$H:$H,"Monthly*"))</f>
        <v/>
      </c>
      <c r="D87" s="26" t="str">
        <f>IF(SUMIFS('NSE - NIFTY Index Options'!$L:$L,'NSE - NIFTY Index Options'!$C:$C,$A87,'NSE - NIFTY Index Options'!$B:$B,D$4,'NSE - NIFTY Index Options'!$H:$H,"Monthly*")+SUMIFS('NSE - Other Index Options'!$L:$L,'NSE - Other Index Options'!$C:$C,$A87,'NSE - Other Index Options'!$B:$B,D$4,'NSE - Other Index Options'!$H:$H,"Monthly*")=0,"",SUMIFS('NSE - NIFTY Index Options'!$L:$L,'NSE - NIFTY Index Options'!$C:$C,$A87,'NSE - NIFTY Index Options'!$B:$B,D$4,'NSE - NIFTY Index Options'!$H:$H,"Monthly*")+SUMIFS('NSE - Other Index Options'!$L:$L,'NSE - Other Index Options'!$C:$C,$A87,'NSE - Other Index Options'!$B:$B,D$4,'NSE - Other Index Options'!$H:$H,"Monthly*"))</f>
        <v/>
      </c>
      <c r="E87" s="26" t="str">
        <f>IF(SUMIFS('NSE - NIFTY Index Options'!$L:$L,'NSE - NIFTY Index Options'!$C:$C,$A87,'NSE - NIFTY Index Options'!$B:$B,E$4,'NSE - NIFTY Index Options'!$H:$H,"Monthly*")+SUMIFS('NSE - Other Index Options'!$L:$L,'NSE - Other Index Options'!$C:$C,$A87,'NSE - Other Index Options'!$B:$B,E$4,'NSE - Other Index Options'!$H:$H,"Monthly*")=0,"",SUMIFS('NSE - NIFTY Index Options'!$L:$L,'NSE - NIFTY Index Options'!$C:$C,$A87,'NSE - NIFTY Index Options'!$B:$B,E$4,'NSE - NIFTY Index Options'!$H:$H,"Monthly*")+SUMIFS('NSE - Other Index Options'!$L:$L,'NSE - Other Index Options'!$C:$C,$A87,'NSE - Other Index Options'!$B:$B,E$4,'NSE - Other Index Options'!$H:$H,"Monthly*"))</f>
        <v/>
      </c>
      <c r="F87" s="26" t="str">
        <f>IF(SUMIFS('NSE - NIFTY Index Options'!$L:$L,'NSE - NIFTY Index Options'!$C:$C,$A87,'NSE - NIFTY Index Options'!$B:$B,F$4,'NSE - NIFTY Index Options'!$H:$H,"Monthly*")+SUMIFS('NSE - Other Index Options'!$L:$L,'NSE - Other Index Options'!$C:$C,$A87,'NSE - Other Index Options'!$B:$B,F$4,'NSE - Other Index Options'!$H:$H,"Monthly*")=0,"",SUMIFS('NSE - NIFTY Index Options'!$L:$L,'NSE - NIFTY Index Options'!$C:$C,$A87,'NSE - NIFTY Index Options'!$B:$B,F$4,'NSE - NIFTY Index Options'!$H:$H,"Monthly*")+SUMIFS('NSE - Other Index Options'!$L:$L,'NSE - Other Index Options'!$C:$C,$A87,'NSE - Other Index Options'!$B:$B,F$4,'NSE - Other Index Options'!$H:$H,"Monthly*"))</f>
        <v/>
      </c>
      <c r="G87" s="26" t="str">
        <f>IF(SUMIFS('NSE - NIFTY Index Options'!$L:$L,'NSE - NIFTY Index Options'!$C:$C,$A87,'NSE - NIFTY Index Options'!$B:$B,G$4,'NSE - NIFTY Index Options'!$H:$H,"Monthly*")+SUMIFS('NSE - Other Index Options'!$L:$L,'NSE - Other Index Options'!$C:$C,$A87,'NSE - Other Index Options'!$B:$B,G$4,'NSE - Other Index Options'!$H:$H,"Monthly*")=0,"",SUMIFS('NSE - NIFTY Index Options'!$L:$L,'NSE - NIFTY Index Options'!$C:$C,$A87,'NSE - NIFTY Index Options'!$B:$B,G$4,'NSE - NIFTY Index Options'!$H:$H,"Monthly*")+SUMIFS('NSE - Other Index Options'!$L:$L,'NSE - Other Index Options'!$C:$C,$A87,'NSE - Other Index Options'!$B:$B,G$4,'NSE - Other Index Options'!$H:$H,"Monthly*"))</f>
        <v/>
      </c>
      <c r="H87" s="26" t="str">
        <f t="shared" si="2"/>
        <v/>
      </c>
    </row>
    <row r="88" spans="1:8" hidden="1" outlineLevel="1">
      <c r="A88" t="s">
        <v>93</v>
      </c>
      <c r="B88" s="26" t="str">
        <f>IF(SUMIFS('NSE - NIFTY Index Options'!$L:$L,'NSE - NIFTY Index Options'!$C:$C,$A88,'NSE - NIFTY Index Options'!$B:$B,B$4,'NSE - NIFTY Index Options'!$H:$H,"Monthly*")+SUMIFS('NSE - Other Index Options'!$L:$L,'NSE - Other Index Options'!$C:$C,$A88,'NSE - Other Index Options'!$B:$B,B$4,'NSE - Other Index Options'!$H:$H,"Monthly*")=0,"",SUMIFS('NSE - NIFTY Index Options'!$L:$L,'NSE - NIFTY Index Options'!$C:$C,$A88,'NSE - NIFTY Index Options'!$B:$B,B$4,'NSE - NIFTY Index Options'!$H:$H,"Monthly*")+SUMIFS('NSE - Other Index Options'!$L:$L,'NSE - Other Index Options'!$C:$C,$A88,'NSE - Other Index Options'!$B:$B,B$4,'NSE - Other Index Options'!$H:$H,"Monthly*"))</f>
        <v/>
      </c>
      <c r="C88" s="26" t="str">
        <f>IF(SUMIFS('NSE - NIFTY Index Options'!$L:$L,'NSE - NIFTY Index Options'!$C:$C,$A88,'NSE - NIFTY Index Options'!$B:$B,C$4,'NSE - NIFTY Index Options'!$H:$H,"Monthly*")+SUMIFS('NSE - Other Index Options'!$L:$L,'NSE - Other Index Options'!$C:$C,$A88,'NSE - Other Index Options'!$B:$B,C$4,'NSE - Other Index Options'!$H:$H,"Monthly*")=0,"",SUMIFS('NSE - NIFTY Index Options'!$L:$L,'NSE - NIFTY Index Options'!$C:$C,$A88,'NSE - NIFTY Index Options'!$B:$B,C$4,'NSE - NIFTY Index Options'!$H:$H,"Monthly*")+SUMIFS('NSE - Other Index Options'!$L:$L,'NSE - Other Index Options'!$C:$C,$A88,'NSE - Other Index Options'!$B:$B,C$4,'NSE - Other Index Options'!$H:$H,"Monthly*"))</f>
        <v/>
      </c>
      <c r="D88" s="26" t="str">
        <f>IF(SUMIFS('NSE - NIFTY Index Options'!$L:$L,'NSE - NIFTY Index Options'!$C:$C,$A88,'NSE - NIFTY Index Options'!$B:$B,D$4,'NSE - NIFTY Index Options'!$H:$H,"Monthly*")+SUMIFS('NSE - Other Index Options'!$L:$L,'NSE - Other Index Options'!$C:$C,$A88,'NSE - Other Index Options'!$B:$B,D$4,'NSE - Other Index Options'!$H:$H,"Monthly*")=0,"",SUMIFS('NSE - NIFTY Index Options'!$L:$L,'NSE - NIFTY Index Options'!$C:$C,$A88,'NSE - NIFTY Index Options'!$B:$B,D$4,'NSE - NIFTY Index Options'!$H:$H,"Monthly*")+SUMIFS('NSE - Other Index Options'!$L:$L,'NSE - Other Index Options'!$C:$C,$A88,'NSE - Other Index Options'!$B:$B,D$4,'NSE - Other Index Options'!$H:$H,"Monthly*"))</f>
        <v/>
      </c>
      <c r="E88" s="26" t="str">
        <f>IF(SUMIFS('NSE - NIFTY Index Options'!$L:$L,'NSE - NIFTY Index Options'!$C:$C,$A88,'NSE - NIFTY Index Options'!$B:$B,E$4,'NSE - NIFTY Index Options'!$H:$H,"Monthly*")+SUMIFS('NSE - Other Index Options'!$L:$L,'NSE - Other Index Options'!$C:$C,$A88,'NSE - Other Index Options'!$B:$B,E$4,'NSE - Other Index Options'!$H:$H,"Monthly*")=0,"",SUMIFS('NSE - NIFTY Index Options'!$L:$L,'NSE - NIFTY Index Options'!$C:$C,$A88,'NSE - NIFTY Index Options'!$B:$B,E$4,'NSE - NIFTY Index Options'!$H:$H,"Monthly*")+SUMIFS('NSE - Other Index Options'!$L:$L,'NSE - Other Index Options'!$C:$C,$A88,'NSE - Other Index Options'!$B:$B,E$4,'NSE - Other Index Options'!$H:$H,"Monthly*"))</f>
        <v/>
      </c>
      <c r="F88" s="26" t="str">
        <f>IF(SUMIFS('NSE - NIFTY Index Options'!$L:$L,'NSE - NIFTY Index Options'!$C:$C,$A88,'NSE - NIFTY Index Options'!$B:$B,F$4,'NSE - NIFTY Index Options'!$H:$H,"Monthly*")+SUMIFS('NSE - Other Index Options'!$L:$L,'NSE - Other Index Options'!$C:$C,$A88,'NSE - Other Index Options'!$B:$B,F$4,'NSE - Other Index Options'!$H:$H,"Monthly*")=0,"",SUMIFS('NSE - NIFTY Index Options'!$L:$L,'NSE - NIFTY Index Options'!$C:$C,$A88,'NSE - NIFTY Index Options'!$B:$B,F$4,'NSE - NIFTY Index Options'!$H:$H,"Monthly*")+SUMIFS('NSE - Other Index Options'!$L:$L,'NSE - Other Index Options'!$C:$C,$A88,'NSE - Other Index Options'!$B:$B,F$4,'NSE - Other Index Options'!$H:$H,"Monthly*"))</f>
        <v/>
      </c>
      <c r="G88" s="26" t="str">
        <f>IF(SUMIFS('NSE - NIFTY Index Options'!$L:$L,'NSE - NIFTY Index Options'!$C:$C,$A88,'NSE - NIFTY Index Options'!$B:$B,G$4,'NSE - NIFTY Index Options'!$H:$H,"Monthly*")+SUMIFS('NSE - Other Index Options'!$L:$L,'NSE - Other Index Options'!$C:$C,$A88,'NSE - Other Index Options'!$B:$B,G$4,'NSE - Other Index Options'!$H:$H,"Monthly*")=0,"",SUMIFS('NSE - NIFTY Index Options'!$L:$L,'NSE - NIFTY Index Options'!$C:$C,$A88,'NSE - NIFTY Index Options'!$B:$B,G$4,'NSE - NIFTY Index Options'!$H:$H,"Monthly*")+SUMIFS('NSE - Other Index Options'!$L:$L,'NSE - Other Index Options'!$C:$C,$A88,'NSE - Other Index Options'!$B:$B,G$4,'NSE - Other Index Options'!$H:$H,"Monthly*"))</f>
        <v/>
      </c>
      <c r="H88" s="26" t="str">
        <f t="shared" si="2"/>
        <v/>
      </c>
    </row>
    <row r="89" spans="1:8" hidden="1" outlineLevel="1">
      <c r="A89" t="s">
        <v>94</v>
      </c>
      <c r="B89" s="26" t="str">
        <f>IF(SUMIFS('NSE - NIFTY Index Options'!$L:$L,'NSE - NIFTY Index Options'!$C:$C,$A89,'NSE - NIFTY Index Options'!$B:$B,B$4,'NSE - NIFTY Index Options'!$H:$H,"Monthly*")+SUMIFS('NSE - Other Index Options'!$L:$L,'NSE - Other Index Options'!$C:$C,$A89,'NSE - Other Index Options'!$B:$B,B$4,'NSE - Other Index Options'!$H:$H,"Monthly*")=0,"",SUMIFS('NSE - NIFTY Index Options'!$L:$L,'NSE - NIFTY Index Options'!$C:$C,$A89,'NSE - NIFTY Index Options'!$B:$B,B$4,'NSE - NIFTY Index Options'!$H:$H,"Monthly*")+SUMIFS('NSE - Other Index Options'!$L:$L,'NSE - Other Index Options'!$C:$C,$A89,'NSE - Other Index Options'!$B:$B,B$4,'NSE - Other Index Options'!$H:$H,"Monthly*"))</f>
        <v/>
      </c>
      <c r="C89" s="26" t="str">
        <f>IF(SUMIFS('NSE - NIFTY Index Options'!$L:$L,'NSE - NIFTY Index Options'!$C:$C,$A89,'NSE - NIFTY Index Options'!$B:$B,C$4,'NSE - NIFTY Index Options'!$H:$H,"Monthly*")+SUMIFS('NSE - Other Index Options'!$L:$L,'NSE - Other Index Options'!$C:$C,$A89,'NSE - Other Index Options'!$B:$B,C$4,'NSE - Other Index Options'!$H:$H,"Monthly*")=0,"",SUMIFS('NSE - NIFTY Index Options'!$L:$L,'NSE - NIFTY Index Options'!$C:$C,$A89,'NSE - NIFTY Index Options'!$B:$B,C$4,'NSE - NIFTY Index Options'!$H:$H,"Monthly*")+SUMIFS('NSE - Other Index Options'!$L:$L,'NSE - Other Index Options'!$C:$C,$A89,'NSE - Other Index Options'!$B:$B,C$4,'NSE - Other Index Options'!$H:$H,"Monthly*"))</f>
        <v/>
      </c>
      <c r="D89" s="26" t="str">
        <f>IF(SUMIFS('NSE - NIFTY Index Options'!$L:$L,'NSE - NIFTY Index Options'!$C:$C,$A89,'NSE - NIFTY Index Options'!$B:$B,D$4,'NSE - NIFTY Index Options'!$H:$H,"Monthly*")+SUMIFS('NSE - Other Index Options'!$L:$L,'NSE - Other Index Options'!$C:$C,$A89,'NSE - Other Index Options'!$B:$B,D$4,'NSE - Other Index Options'!$H:$H,"Monthly*")=0,"",SUMIFS('NSE - NIFTY Index Options'!$L:$L,'NSE - NIFTY Index Options'!$C:$C,$A89,'NSE - NIFTY Index Options'!$B:$B,D$4,'NSE - NIFTY Index Options'!$H:$H,"Monthly*")+SUMIFS('NSE - Other Index Options'!$L:$L,'NSE - Other Index Options'!$C:$C,$A89,'NSE - Other Index Options'!$B:$B,D$4,'NSE - Other Index Options'!$H:$H,"Monthly*"))</f>
        <v/>
      </c>
      <c r="E89" s="26" t="str">
        <f>IF(SUMIFS('NSE - NIFTY Index Options'!$L:$L,'NSE - NIFTY Index Options'!$C:$C,$A89,'NSE - NIFTY Index Options'!$B:$B,E$4,'NSE - NIFTY Index Options'!$H:$H,"Monthly*")+SUMIFS('NSE - Other Index Options'!$L:$L,'NSE - Other Index Options'!$C:$C,$A89,'NSE - Other Index Options'!$B:$B,E$4,'NSE - Other Index Options'!$H:$H,"Monthly*")=0,"",SUMIFS('NSE - NIFTY Index Options'!$L:$L,'NSE - NIFTY Index Options'!$C:$C,$A89,'NSE - NIFTY Index Options'!$B:$B,E$4,'NSE - NIFTY Index Options'!$H:$H,"Monthly*")+SUMIFS('NSE - Other Index Options'!$L:$L,'NSE - Other Index Options'!$C:$C,$A89,'NSE - Other Index Options'!$B:$B,E$4,'NSE - Other Index Options'!$H:$H,"Monthly*"))</f>
        <v/>
      </c>
      <c r="F89" s="26" t="str">
        <f>IF(SUMIFS('NSE - NIFTY Index Options'!$L:$L,'NSE - NIFTY Index Options'!$C:$C,$A89,'NSE - NIFTY Index Options'!$B:$B,F$4,'NSE - NIFTY Index Options'!$H:$H,"Monthly*")+SUMIFS('NSE - Other Index Options'!$L:$L,'NSE - Other Index Options'!$C:$C,$A89,'NSE - Other Index Options'!$B:$B,F$4,'NSE - Other Index Options'!$H:$H,"Monthly*")=0,"",SUMIFS('NSE - NIFTY Index Options'!$L:$L,'NSE - NIFTY Index Options'!$C:$C,$A89,'NSE - NIFTY Index Options'!$B:$B,F$4,'NSE - NIFTY Index Options'!$H:$H,"Monthly*")+SUMIFS('NSE - Other Index Options'!$L:$L,'NSE - Other Index Options'!$C:$C,$A89,'NSE - Other Index Options'!$B:$B,F$4,'NSE - Other Index Options'!$H:$H,"Monthly*"))</f>
        <v/>
      </c>
      <c r="G89" s="26" t="str">
        <f>IF(SUMIFS('NSE - NIFTY Index Options'!$L:$L,'NSE - NIFTY Index Options'!$C:$C,$A89,'NSE - NIFTY Index Options'!$B:$B,G$4,'NSE - NIFTY Index Options'!$H:$H,"Monthly*")+SUMIFS('NSE - Other Index Options'!$L:$L,'NSE - Other Index Options'!$C:$C,$A89,'NSE - Other Index Options'!$B:$B,G$4,'NSE - Other Index Options'!$H:$H,"Monthly*")=0,"",SUMIFS('NSE - NIFTY Index Options'!$L:$L,'NSE - NIFTY Index Options'!$C:$C,$A89,'NSE - NIFTY Index Options'!$B:$B,G$4,'NSE - NIFTY Index Options'!$H:$H,"Monthly*")+SUMIFS('NSE - Other Index Options'!$L:$L,'NSE - Other Index Options'!$C:$C,$A89,'NSE - Other Index Options'!$B:$B,G$4,'NSE - Other Index Options'!$H:$H,"Monthly*"))</f>
        <v/>
      </c>
      <c r="H89" s="26" t="str">
        <f t="shared" si="2"/>
        <v/>
      </c>
    </row>
    <row r="90" spans="1:8" hidden="1" outlineLevel="1">
      <c r="A90" t="s">
        <v>95</v>
      </c>
      <c r="B90" s="26" t="str">
        <f>IF(SUMIFS('NSE - NIFTY Index Options'!$L:$L,'NSE - NIFTY Index Options'!$C:$C,$A90,'NSE - NIFTY Index Options'!$B:$B,B$4,'NSE - NIFTY Index Options'!$H:$H,"Monthly*")+SUMIFS('NSE - Other Index Options'!$L:$L,'NSE - Other Index Options'!$C:$C,$A90,'NSE - Other Index Options'!$B:$B,B$4,'NSE - Other Index Options'!$H:$H,"Monthly*")=0,"",SUMIFS('NSE - NIFTY Index Options'!$L:$L,'NSE - NIFTY Index Options'!$C:$C,$A90,'NSE - NIFTY Index Options'!$B:$B,B$4,'NSE - NIFTY Index Options'!$H:$H,"Monthly*")+SUMIFS('NSE - Other Index Options'!$L:$L,'NSE - Other Index Options'!$C:$C,$A90,'NSE - Other Index Options'!$B:$B,B$4,'NSE - Other Index Options'!$H:$H,"Monthly*"))</f>
        <v/>
      </c>
      <c r="C90" s="26" t="str">
        <f>IF(SUMIFS('NSE - NIFTY Index Options'!$L:$L,'NSE - NIFTY Index Options'!$C:$C,$A90,'NSE - NIFTY Index Options'!$B:$B,C$4,'NSE - NIFTY Index Options'!$H:$H,"Monthly*")+SUMIFS('NSE - Other Index Options'!$L:$L,'NSE - Other Index Options'!$C:$C,$A90,'NSE - Other Index Options'!$B:$B,C$4,'NSE - Other Index Options'!$H:$H,"Monthly*")=0,"",SUMIFS('NSE - NIFTY Index Options'!$L:$L,'NSE - NIFTY Index Options'!$C:$C,$A90,'NSE - NIFTY Index Options'!$B:$B,C$4,'NSE - NIFTY Index Options'!$H:$H,"Monthly*")+SUMIFS('NSE - Other Index Options'!$L:$L,'NSE - Other Index Options'!$C:$C,$A90,'NSE - Other Index Options'!$B:$B,C$4,'NSE - Other Index Options'!$H:$H,"Monthly*"))</f>
        <v/>
      </c>
      <c r="D90" s="26" t="str">
        <f>IF(SUMIFS('NSE - NIFTY Index Options'!$L:$L,'NSE - NIFTY Index Options'!$C:$C,$A90,'NSE - NIFTY Index Options'!$B:$B,D$4,'NSE - NIFTY Index Options'!$H:$H,"Monthly*")+SUMIFS('NSE - Other Index Options'!$L:$L,'NSE - Other Index Options'!$C:$C,$A90,'NSE - Other Index Options'!$B:$B,D$4,'NSE - Other Index Options'!$H:$H,"Monthly*")=0,"",SUMIFS('NSE - NIFTY Index Options'!$L:$L,'NSE - NIFTY Index Options'!$C:$C,$A90,'NSE - NIFTY Index Options'!$B:$B,D$4,'NSE - NIFTY Index Options'!$H:$H,"Monthly*")+SUMIFS('NSE - Other Index Options'!$L:$L,'NSE - Other Index Options'!$C:$C,$A90,'NSE - Other Index Options'!$B:$B,D$4,'NSE - Other Index Options'!$H:$H,"Monthly*"))</f>
        <v/>
      </c>
      <c r="E90" s="26" t="str">
        <f>IF(SUMIFS('NSE - NIFTY Index Options'!$L:$L,'NSE - NIFTY Index Options'!$C:$C,$A90,'NSE - NIFTY Index Options'!$B:$B,E$4,'NSE - NIFTY Index Options'!$H:$H,"Monthly*")+SUMIFS('NSE - Other Index Options'!$L:$L,'NSE - Other Index Options'!$C:$C,$A90,'NSE - Other Index Options'!$B:$B,E$4,'NSE - Other Index Options'!$H:$H,"Monthly*")=0,"",SUMIFS('NSE - NIFTY Index Options'!$L:$L,'NSE - NIFTY Index Options'!$C:$C,$A90,'NSE - NIFTY Index Options'!$B:$B,E$4,'NSE - NIFTY Index Options'!$H:$H,"Monthly*")+SUMIFS('NSE - Other Index Options'!$L:$L,'NSE - Other Index Options'!$C:$C,$A90,'NSE - Other Index Options'!$B:$B,E$4,'NSE - Other Index Options'!$H:$H,"Monthly*"))</f>
        <v/>
      </c>
      <c r="F90" s="26" t="str">
        <f>IF(SUMIFS('NSE - NIFTY Index Options'!$L:$L,'NSE - NIFTY Index Options'!$C:$C,$A90,'NSE - NIFTY Index Options'!$B:$B,F$4,'NSE - NIFTY Index Options'!$H:$H,"Monthly*")+SUMIFS('NSE - Other Index Options'!$L:$L,'NSE - Other Index Options'!$C:$C,$A90,'NSE - Other Index Options'!$B:$B,F$4,'NSE - Other Index Options'!$H:$H,"Monthly*")=0,"",SUMIFS('NSE - NIFTY Index Options'!$L:$L,'NSE - NIFTY Index Options'!$C:$C,$A90,'NSE - NIFTY Index Options'!$B:$B,F$4,'NSE - NIFTY Index Options'!$H:$H,"Monthly*")+SUMIFS('NSE - Other Index Options'!$L:$L,'NSE - Other Index Options'!$C:$C,$A90,'NSE - Other Index Options'!$B:$B,F$4,'NSE - Other Index Options'!$H:$H,"Monthly*"))</f>
        <v/>
      </c>
      <c r="G90" s="26" t="str">
        <f>IF(SUMIFS('NSE - NIFTY Index Options'!$L:$L,'NSE - NIFTY Index Options'!$C:$C,$A90,'NSE - NIFTY Index Options'!$B:$B,G$4,'NSE - NIFTY Index Options'!$H:$H,"Monthly*")+SUMIFS('NSE - Other Index Options'!$L:$L,'NSE - Other Index Options'!$C:$C,$A90,'NSE - Other Index Options'!$B:$B,G$4,'NSE - Other Index Options'!$H:$H,"Monthly*")=0,"",SUMIFS('NSE - NIFTY Index Options'!$L:$L,'NSE - NIFTY Index Options'!$C:$C,$A90,'NSE - NIFTY Index Options'!$B:$B,G$4,'NSE - NIFTY Index Options'!$H:$H,"Monthly*")+SUMIFS('NSE - Other Index Options'!$L:$L,'NSE - Other Index Options'!$C:$C,$A90,'NSE - Other Index Options'!$B:$B,G$4,'NSE - Other Index Options'!$H:$H,"Monthly*"))</f>
        <v/>
      </c>
      <c r="H90" s="26" t="str">
        <f t="shared" si="2"/>
        <v/>
      </c>
    </row>
    <row r="91" spans="1:8" hidden="1" outlineLevel="1">
      <c r="A91" t="s">
        <v>96</v>
      </c>
      <c r="B91" s="26" t="str">
        <f>IF(SUMIFS('NSE - NIFTY Index Options'!$L:$L,'NSE - NIFTY Index Options'!$C:$C,$A91,'NSE - NIFTY Index Options'!$B:$B,B$4,'NSE - NIFTY Index Options'!$H:$H,"Monthly*")+SUMIFS('NSE - Other Index Options'!$L:$L,'NSE - Other Index Options'!$C:$C,$A91,'NSE - Other Index Options'!$B:$B,B$4,'NSE - Other Index Options'!$H:$H,"Monthly*")=0,"",SUMIFS('NSE - NIFTY Index Options'!$L:$L,'NSE - NIFTY Index Options'!$C:$C,$A91,'NSE - NIFTY Index Options'!$B:$B,B$4,'NSE - NIFTY Index Options'!$H:$H,"Monthly*")+SUMIFS('NSE - Other Index Options'!$L:$L,'NSE - Other Index Options'!$C:$C,$A91,'NSE - Other Index Options'!$B:$B,B$4,'NSE - Other Index Options'!$H:$H,"Monthly*"))</f>
        <v/>
      </c>
      <c r="C91" s="26" t="str">
        <f>IF(SUMIFS('NSE - NIFTY Index Options'!$L:$L,'NSE - NIFTY Index Options'!$C:$C,$A91,'NSE - NIFTY Index Options'!$B:$B,C$4,'NSE - NIFTY Index Options'!$H:$H,"Monthly*")+SUMIFS('NSE - Other Index Options'!$L:$L,'NSE - Other Index Options'!$C:$C,$A91,'NSE - Other Index Options'!$B:$B,C$4,'NSE - Other Index Options'!$H:$H,"Monthly*")=0,"",SUMIFS('NSE - NIFTY Index Options'!$L:$L,'NSE - NIFTY Index Options'!$C:$C,$A91,'NSE - NIFTY Index Options'!$B:$B,C$4,'NSE - NIFTY Index Options'!$H:$H,"Monthly*")+SUMIFS('NSE - Other Index Options'!$L:$L,'NSE - Other Index Options'!$C:$C,$A91,'NSE - Other Index Options'!$B:$B,C$4,'NSE - Other Index Options'!$H:$H,"Monthly*"))</f>
        <v/>
      </c>
      <c r="D91" s="26" t="str">
        <f>IF(SUMIFS('NSE - NIFTY Index Options'!$L:$L,'NSE - NIFTY Index Options'!$C:$C,$A91,'NSE - NIFTY Index Options'!$B:$B,D$4,'NSE - NIFTY Index Options'!$H:$H,"Monthly*")+SUMIFS('NSE - Other Index Options'!$L:$L,'NSE - Other Index Options'!$C:$C,$A91,'NSE - Other Index Options'!$B:$B,D$4,'NSE - Other Index Options'!$H:$H,"Monthly*")=0,"",SUMIFS('NSE - NIFTY Index Options'!$L:$L,'NSE - NIFTY Index Options'!$C:$C,$A91,'NSE - NIFTY Index Options'!$B:$B,D$4,'NSE - NIFTY Index Options'!$H:$H,"Monthly*")+SUMIFS('NSE - Other Index Options'!$L:$L,'NSE - Other Index Options'!$C:$C,$A91,'NSE - Other Index Options'!$B:$B,D$4,'NSE - Other Index Options'!$H:$H,"Monthly*"))</f>
        <v/>
      </c>
      <c r="E91" s="26" t="str">
        <f>IF(SUMIFS('NSE - NIFTY Index Options'!$L:$L,'NSE - NIFTY Index Options'!$C:$C,$A91,'NSE - NIFTY Index Options'!$B:$B,E$4,'NSE - NIFTY Index Options'!$H:$H,"Monthly*")+SUMIFS('NSE - Other Index Options'!$L:$L,'NSE - Other Index Options'!$C:$C,$A91,'NSE - Other Index Options'!$B:$B,E$4,'NSE - Other Index Options'!$H:$H,"Monthly*")=0,"",SUMIFS('NSE - NIFTY Index Options'!$L:$L,'NSE - NIFTY Index Options'!$C:$C,$A91,'NSE - NIFTY Index Options'!$B:$B,E$4,'NSE - NIFTY Index Options'!$H:$H,"Monthly*")+SUMIFS('NSE - Other Index Options'!$L:$L,'NSE - Other Index Options'!$C:$C,$A91,'NSE - Other Index Options'!$B:$B,E$4,'NSE - Other Index Options'!$H:$H,"Monthly*"))</f>
        <v/>
      </c>
      <c r="F91" s="26" t="str">
        <f>IF(SUMIFS('NSE - NIFTY Index Options'!$L:$L,'NSE - NIFTY Index Options'!$C:$C,$A91,'NSE - NIFTY Index Options'!$B:$B,F$4,'NSE - NIFTY Index Options'!$H:$H,"Monthly*")+SUMIFS('NSE - Other Index Options'!$L:$L,'NSE - Other Index Options'!$C:$C,$A91,'NSE - Other Index Options'!$B:$B,F$4,'NSE - Other Index Options'!$H:$H,"Monthly*")=0,"",SUMIFS('NSE - NIFTY Index Options'!$L:$L,'NSE - NIFTY Index Options'!$C:$C,$A91,'NSE - NIFTY Index Options'!$B:$B,F$4,'NSE - NIFTY Index Options'!$H:$H,"Monthly*")+SUMIFS('NSE - Other Index Options'!$L:$L,'NSE - Other Index Options'!$C:$C,$A91,'NSE - Other Index Options'!$B:$B,F$4,'NSE - Other Index Options'!$H:$H,"Monthly*"))</f>
        <v/>
      </c>
      <c r="G91" s="26" t="str">
        <f>IF(SUMIFS('NSE - NIFTY Index Options'!$L:$L,'NSE - NIFTY Index Options'!$C:$C,$A91,'NSE - NIFTY Index Options'!$B:$B,G$4,'NSE - NIFTY Index Options'!$H:$H,"Monthly*")+SUMIFS('NSE - Other Index Options'!$L:$L,'NSE - Other Index Options'!$C:$C,$A91,'NSE - Other Index Options'!$B:$B,G$4,'NSE - Other Index Options'!$H:$H,"Monthly*")=0,"",SUMIFS('NSE - NIFTY Index Options'!$L:$L,'NSE - NIFTY Index Options'!$C:$C,$A91,'NSE - NIFTY Index Options'!$B:$B,G$4,'NSE - NIFTY Index Options'!$H:$H,"Monthly*")+SUMIFS('NSE - Other Index Options'!$L:$L,'NSE - Other Index Options'!$C:$C,$A91,'NSE - Other Index Options'!$B:$B,G$4,'NSE - Other Index Options'!$H:$H,"Monthly*"))</f>
        <v/>
      </c>
      <c r="H91" s="26" t="str">
        <f t="shared" si="2"/>
        <v/>
      </c>
    </row>
    <row r="92" spans="1:8" hidden="1" outlineLevel="1">
      <c r="A92" t="s">
        <v>97</v>
      </c>
      <c r="B92" s="26" t="str">
        <f>IF(SUMIFS('NSE - NIFTY Index Options'!$L:$L,'NSE - NIFTY Index Options'!$C:$C,$A92,'NSE - NIFTY Index Options'!$B:$B,B$4,'NSE - NIFTY Index Options'!$H:$H,"Monthly*")+SUMIFS('NSE - Other Index Options'!$L:$L,'NSE - Other Index Options'!$C:$C,$A92,'NSE - Other Index Options'!$B:$B,B$4,'NSE - Other Index Options'!$H:$H,"Monthly*")=0,"",SUMIFS('NSE - NIFTY Index Options'!$L:$L,'NSE - NIFTY Index Options'!$C:$C,$A92,'NSE - NIFTY Index Options'!$B:$B,B$4,'NSE - NIFTY Index Options'!$H:$H,"Monthly*")+SUMIFS('NSE - Other Index Options'!$L:$L,'NSE - Other Index Options'!$C:$C,$A92,'NSE - Other Index Options'!$B:$B,B$4,'NSE - Other Index Options'!$H:$H,"Monthly*"))</f>
        <v/>
      </c>
      <c r="C92" s="26" t="str">
        <f>IF(SUMIFS('NSE - NIFTY Index Options'!$L:$L,'NSE - NIFTY Index Options'!$C:$C,$A92,'NSE - NIFTY Index Options'!$B:$B,C$4,'NSE - NIFTY Index Options'!$H:$H,"Monthly*")+SUMIFS('NSE - Other Index Options'!$L:$L,'NSE - Other Index Options'!$C:$C,$A92,'NSE - Other Index Options'!$B:$B,C$4,'NSE - Other Index Options'!$H:$H,"Monthly*")=0,"",SUMIFS('NSE - NIFTY Index Options'!$L:$L,'NSE - NIFTY Index Options'!$C:$C,$A92,'NSE - NIFTY Index Options'!$B:$B,C$4,'NSE - NIFTY Index Options'!$H:$H,"Monthly*")+SUMIFS('NSE - Other Index Options'!$L:$L,'NSE - Other Index Options'!$C:$C,$A92,'NSE - Other Index Options'!$B:$B,C$4,'NSE - Other Index Options'!$H:$H,"Monthly*"))</f>
        <v/>
      </c>
      <c r="D92" s="26" t="str">
        <f>IF(SUMIFS('NSE - NIFTY Index Options'!$L:$L,'NSE - NIFTY Index Options'!$C:$C,$A92,'NSE - NIFTY Index Options'!$B:$B,D$4,'NSE - NIFTY Index Options'!$H:$H,"Monthly*")+SUMIFS('NSE - Other Index Options'!$L:$L,'NSE - Other Index Options'!$C:$C,$A92,'NSE - Other Index Options'!$B:$B,D$4,'NSE - Other Index Options'!$H:$H,"Monthly*")=0,"",SUMIFS('NSE - NIFTY Index Options'!$L:$L,'NSE - NIFTY Index Options'!$C:$C,$A92,'NSE - NIFTY Index Options'!$B:$B,D$4,'NSE - NIFTY Index Options'!$H:$H,"Monthly*")+SUMIFS('NSE - Other Index Options'!$L:$L,'NSE - Other Index Options'!$C:$C,$A92,'NSE - Other Index Options'!$B:$B,D$4,'NSE - Other Index Options'!$H:$H,"Monthly*"))</f>
        <v/>
      </c>
      <c r="E92" s="26" t="str">
        <f>IF(SUMIFS('NSE - NIFTY Index Options'!$L:$L,'NSE - NIFTY Index Options'!$C:$C,$A92,'NSE - NIFTY Index Options'!$B:$B,E$4,'NSE - NIFTY Index Options'!$H:$H,"Monthly*")+SUMIFS('NSE - Other Index Options'!$L:$L,'NSE - Other Index Options'!$C:$C,$A92,'NSE - Other Index Options'!$B:$B,E$4,'NSE - Other Index Options'!$H:$H,"Monthly*")=0,"",SUMIFS('NSE - NIFTY Index Options'!$L:$L,'NSE - NIFTY Index Options'!$C:$C,$A92,'NSE - NIFTY Index Options'!$B:$B,E$4,'NSE - NIFTY Index Options'!$H:$H,"Monthly*")+SUMIFS('NSE - Other Index Options'!$L:$L,'NSE - Other Index Options'!$C:$C,$A92,'NSE - Other Index Options'!$B:$B,E$4,'NSE - Other Index Options'!$H:$H,"Monthly*"))</f>
        <v/>
      </c>
      <c r="F92" s="26" t="str">
        <f>IF(SUMIFS('NSE - NIFTY Index Options'!$L:$L,'NSE - NIFTY Index Options'!$C:$C,$A92,'NSE - NIFTY Index Options'!$B:$B,F$4,'NSE - NIFTY Index Options'!$H:$H,"Monthly*")+SUMIFS('NSE - Other Index Options'!$L:$L,'NSE - Other Index Options'!$C:$C,$A92,'NSE - Other Index Options'!$B:$B,F$4,'NSE - Other Index Options'!$H:$H,"Monthly*")=0,"",SUMIFS('NSE - NIFTY Index Options'!$L:$L,'NSE - NIFTY Index Options'!$C:$C,$A92,'NSE - NIFTY Index Options'!$B:$B,F$4,'NSE - NIFTY Index Options'!$H:$H,"Monthly*")+SUMIFS('NSE - Other Index Options'!$L:$L,'NSE - Other Index Options'!$C:$C,$A92,'NSE - Other Index Options'!$B:$B,F$4,'NSE - Other Index Options'!$H:$H,"Monthly*"))</f>
        <v/>
      </c>
      <c r="G92" s="26" t="str">
        <f>IF(SUMIFS('NSE - NIFTY Index Options'!$L:$L,'NSE - NIFTY Index Options'!$C:$C,$A92,'NSE - NIFTY Index Options'!$B:$B,G$4,'NSE - NIFTY Index Options'!$H:$H,"Monthly*")+SUMIFS('NSE - Other Index Options'!$L:$L,'NSE - Other Index Options'!$C:$C,$A92,'NSE - Other Index Options'!$B:$B,G$4,'NSE - Other Index Options'!$H:$H,"Monthly*")=0,"",SUMIFS('NSE - NIFTY Index Options'!$L:$L,'NSE - NIFTY Index Options'!$C:$C,$A92,'NSE - NIFTY Index Options'!$B:$B,G$4,'NSE - NIFTY Index Options'!$H:$H,"Monthly*")+SUMIFS('NSE - Other Index Options'!$L:$L,'NSE - Other Index Options'!$C:$C,$A92,'NSE - Other Index Options'!$B:$B,G$4,'NSE - Other Index Options'!$H:$H,"Monthly*"))</f>
        <v/>
      </c>
      <c r="H92" s="26" t="str">
        <f t="shared" si="2"/>
        <v/>
      </c>
    </row>
    <row r="93" spans="1:8" hidden="1" outlineLevel="1">
      <c r="A93" t="s">
        <v>98</v>
      </c>
      <c r="B93" s="26" t="str">
        <f>IF(SUMIFS('NSE - NIFTY Index Options'!$L:$L,'NSE - NIFTY Index Options'!$C:$C,$A93,'NSE - NIFTY Index Options'!$B:$B,B$4,'NSE - NIFTY Index Options'!$H:$H,"Monthly*")+SUMIFS('NSE - Other Index Options'!$L:$L,'NSE - Other Index Options'!$C:$C,$A93,'NSE - Other Index Options'!$B:$B,B$4,'NSE - Other Index Options'!$H:$H,"Monthly*")=0,"",SUMIFS('NSE - NIFTY Index Options'!$L:$L,'NSE - NIFTY Index Options'!$C:$C,$A93,'NSE - NIFTY Index Options'!$B:$B,B$4,'NSE - NIFTY Index Options'!$H:$H,"Monthly*")+SUMIFS('NSE - Other Index Options'!$L:$L,'NSE - Other Index Options'!$C:$C,$A93,'NSE - Other Index Options'!$B:$B,B$4,'NSE - Other Index Options'!$H:$H,"Monthly*"))</f>
        <v/>
      </c>
      <c r="C93" s="26" t="str">
        <f>IF(SUMIFS('NSE - NIFTY Index Options'!$L:$L,'NSE - NIFTY Index Options'!$C:$C,$A93,'NSE - NIFTY Index Options'!$B:$B,C$4,'NSE - NIFTY Index Options'!$H:$H,"Monthly*")+SUMIFS('NSE - Other Index Options'!$L:$L,'NSE - Other Index Options'!$C:$C,$A93,'NSE - Other Index Options'!$B:$B,C$4,'NSE - Other Index Options'!$H:$H,"Monthly*")=0,"",SUMIFS('NSE - NIFTY Index Options'!$L:$L,'NSE - NIFTY Index Options'!$C:$C,$A93,'NSE - NIFTY Index Options'!$B:$B,C$4,'NSE - NIFTY Index Options'!$H:$H,"Monthly*")+SUMIFS('NSE - Other Index Options'!$L:$L,'NSE - Other Index Options'!$C:$C,$A93,'NSE - Other Index Options'!$B:$B,C$4,'NSE - Other Index Options'!$H:$H,"Monthly*"))</f>
        <v/>
      </c>
      <c r="D93" s="26" t="str">
        <f>IF(SUMIFS('NSE - NIFTY Index Options'!$L:$L,'NSE - NIFTY Index Options'!$C:$C,$A93,'NSE - NIFTY Index Options'!$B:$B,D$4,'NSE - NIFTY Index Options'!$H:$H,"Monthly*")+SUMIFS('NSE - Other Index Options'!$L:$L,'NSE - Other Index Options'!$C:$C,$A93,'NSE - Other Index Options'!$B:$B,D$4,'NSE - Other Index Options'!$H:$H,"Monthly*")=0,"",SUMIFS('NSE - NIFTY Index Options'!$L:$L,'NSE - NIFTY Index Options'!$C:$C,$A93,'NSE - NIFTY Index Options'!$B:$B,D$4,'NSE - NIFTY Index Options'!$H:$H,"Monthly*")+SUMIFS('NSE - Other Index Options'!$L:$L,'NSE - Other Index Options'!$C:$C,$A93,'NSE - Other Index Options'!$B:$B,D$4,'NSE - Other Index Options'!$H:$H,"Monthly*"))</f>
        <v/>
      </c>
      <c r="E93" s="26" t="str">
        <f>IF(SUMIFS('NSE - NIFTY Index Options'!$L:$L,'NSE - NIFTY Index Options'!$C:$C,$A93,'NSE - NIFTY Index Options'!$B:$B,E$4,'NSE - NIFTY Index Options'!$H:$H,"Monthly*")+SUMIFS('NSE - Other Index Options'!$L:$L,'NSE - Other Index Options'!$C:$C,$A93,'NSE - Other Index Options'!$B:$B,E$4,'NSE - Other Index Options'!$H:$H,"Monthly*")=0,"",SUMIFS('NSE - NIFTY Index Options'!$L:$L,'NSE - NIFTY Index Options'!$C:$C,$A93,'NSE - NIFTY Index Options'!$B:$B,E$4,'NSE - NIFTY Index Options'!$H:$H,"Monthly*")+SUMIFS('NSE - Other Index Options'!$L:$L,'NSE - Other Index Options'!$C:$C,$A93,'NSE - Other Index Options'!$B:$B,E$4,'NSE - Other Index Options'!$H:$H,"Monthly*"))</f>
        <v/>
      </c>
      <c r="F93" s="26" t="str">
        <f>IF(SUMIFS('NSE - NIFTY Index Options'!$L:$L,'NSE - NIFTY Index Options'!$C:$C,$A93,'NSE - NIFTY Index Options'!$B:$B,F$4,'NSE - NIFTY Index Options'!$H:$H,"Monthly*")+SUMIFS('NSE - Other Index Options'!$L:$L,'NSE - Other Index Options'!$C:$C,$A93,'NSE - Other Index Options'!$B:$B,F$4,'NSE - Other Index Options'!$H:$H,"Monthly*")=0,"",SUMIFS('NSE - NIFTY Index Options'!$L:$L,'NSE - NIFTY Index Options'!$C:$C,$A93,'NSE - NIFTY Index Options'!$B:$B,F$4,'NSE - NIFTY Index Options'!$H:$H,"Monthly*")+SUMIFS('NSE - Other Index Options'!$L:$L,'NSE - Other Index Options'!$C:$C,$A93,'NSE - Other Index Options'!$B:$B,F$4,'NSE - Other Index Options'!$H:$H,"Monthly*"))</f>
        <v/>
      </c>
      <c r="G93" s="26" t="str">
        <f>IF(SUMIFS('NSE - NIFTY Index Options'!$L:$L,'NSE - NIFTY Index Options'!$C:$C,$A93,'NSE - NIFTY Index Options'!$B:$B,G$4,'NSE - NIFTY Index Options'!$H:$H,"Monthly*")+SUMIFS('NSE - Other Index Options'!$L:$L,'NSE - Other Index Options'!$C:$C,$A93,'NSE - Other Index Options'!$B:$B,G$4,'NSE - Other Index Options'!$H:$H,"Monthly*")=0,"",SUMIFS('NSE - NIFTY Index Options'!$L:$L,'NSE - NIFTY Index Options'!$C:$C,$A93,'NSE - NIFTY Index Options'!$B:$B,G$4,'NSE - NIFTY Index Options'!$H:$H,"Monthly*")+SUMIFS('NSE - Other Index Options'!$L:$L,'NSE - Other Index Options'!$C:$C,$A93,'NSE - Other Index Options'!$B:$B,G$4,'NSE - Other Index Options'!$H:$H,"Monthly*"))</f>
        <v/>
      </c>
      <c r="H93" s="26" t="str">
        <f t="shared" si="2"/>
        <v/>
      </c>
    </row>
    <row r="94" spans="1:8" hidden="1" outlineLevel="1">
      <c r="A94" t="s">
        <v>99</v>
      </c>
      <c r="B94" s="26" t="str">
        <f>IF(SUMIFS('NSE - NIFTY Index Options'!$L:$L,'NSE - NIFTY Index Options'!$C:$C,$A94,'NSE - NIFTY Index Options'!$B:$B,B$4,'NSE - NIFTY Index Options'!$H:$H,"Monthly*")+SUMIFS('NSE - Other Index Options'!$L:$L,'NSE - Other Index Options'!$C:$C,$A94,'NSE - Other Index Options'!$B:$B,B$4,'NSE - Other Index Options'!$H:$H,"Monthly*")=0,"",SUMIFS('NSE - NIFTY Index Options'!$L:$L,'NSE - NIFTY Index Options'!$C:$C,$A94,'NSE - NIFTY Index Options'!$B:$B,B$4,'NSE - NIFTY Index Options'!$H:$H,"Monthly*")+SUMIFS('NSE - Other Index Options'!$L:$L,'NSE - Other Index Options'!$C:$C,$A94,'NSE - Other Index Options'!$B:$B,B$4,'NSE - Other Index Options'!$H:$H,"Monthly*"))</f>
        <v/>
      </c>
      <c r="C94" s="26" t="str">
        <f>IF(SUMIFS('NSE - NIFTY Index Options'!$L:$L,'NSE - NIFTY Index Options'!$C:$C,$A94,'NSE - NIFTY Index Options'!$B:$B,C$4,'NSE - NIFTY Index Options'!$H:$H,"Monthly*")+SUMIFS('NSE - Other Index Options'!$L:$L,'NSE - Other Index Options'!$C:$C,$A94,'NSE - Other Index Options'!$B:$B,C$4,'NSE - Other Index Options'!$H:$H,"Monthly*")=0,"",SUMIFS('NSE - NIFTY Index Options'!$L:$L,'NSE - NIFTY Index Options'!$C:$C,$A94,'NSE - NIFTY Index Options'!$B:$B,C$4,'NSE - NIFTY Index Options'!$H:$H,"Monthly*")+SUMIFS('NSE - Other Index Options'!$L:$L,'NSE - Other Index Options'!$C:$C,$A94,'NSE - Other Index Options'!$B:$B,C$4,'NSE - Other Index Options'!$H:$H,"Monthly*"))</f>
        <v/>
      </c>
      <c r="D94" s="26" t="str">
        <f>IF(SUMIFS('NSE - NIFTY Index Options'!$L:$L,'NSE - NIFTY Index Options'!$C:$C,$A94,'NSE - NIFTY Index Options'!$B:$B,D$4,'NSE - NIFTY Index Options'!$H:$H,"Monthly*")+SUMIFS('NSE - Other Index Options'!$L:$L,'NSE - Other Index Options'!$C:$C,$A94,'NSE - Other Index Options'!$B:$B,D$4,'NSE - Other Index Options'!$H:$H,"Monthly*")=0,"",SUMIFS('NSE - NIFTY Index Options'!$L:$L,'NSE - NIFTY Index Options'!$C:$C,$A94,'NSE - NIFTY Index Options'!$B:$B,D$4,'NSE - NIFTY Index Options'!$H:$H,"Monthly*")+SUMIFS('NSE - Other Index Options'!$L:$L,'NSE - Other Index Options'!$C:$C,$A94,'NSE - Other Index Options'!$B:$B,D$4,'NSE - Other Index Options'!$H:$H,"Monthly*"))</f>
        <v/>
      </c>
      <c r="E94" s="26" t="str">
        <f>IF(SUMIFS('NSE - NIFTY Index Options'!$L:$L,'NSE - NIFTY Index Options'!$C:$C,$A94,'NSE - NIFTY Index Options'!$B:$B,E$4,'NSE - NIFTY Index Options'!$H:$H,"Monthly*")+SUMIFS('NSE - Other Index Options'!$L:$L,'NSE - Other Index Options'!$C:$C,$A94,'NSE - Other Index Options'!$B:$B,E$4,'NSE - Other Index Options'!$H:$H,"Monthly*")=0,"",SUMIFS('NSE - NIFTY Index Options'!$L:$L,'NSE - NIFTY Index Options'!$C:$C,$A94,'NSE - NIFTY Index Options'!$B:$B,E$4,'NSE - NIFTY Index Options'!$H:$H,"Monthly*")+SUMIFS('NSE - Other Index Options'!$L:$L,'NSE - Other Index Options'!$C:$C,$A94,'NSE - Other Index Options'!$B:$B,E$4,'NSE - Other Index Options'!$H:$H,"Monthly*"))</f>
        <v/>
      </c>
      <c r="F94" s="26" t="str">
        <f>IF(SUMIFS('NSE - NIFTY Index Options'!$L:$L,'NSE - NIFTY Index Options'!$C:$C,$A94,'NSE - NIFTY Index Options'!$B:$B,F$4,'NSE - NIFTY Index Options'!$H:$H,"Monthly*")+SUMIFS('NSE - Other Index Options'!$L:$L,'NSE - Other Index Options'!$C:$C,$A94,'NSE - Other Index Options'!$B:$B,F$4,'NSE - Other Index Options'!$H:$H,"Monthly*")=0,"",SUMIFS('NSE - NIFTY Index Options'!$L:$L,'NSE - NIFTY Index Options'!$C:$C,$A94,'NSE - NIFTY Index Options'!$B:$B,F$4,'NSE - NIFTY Index Options'!$H:$H,"Monthly*")+SUMIFS('NSE - Other Index Options'!$L:$L,'NSE - Other Index Options'!$C:$C,$A94,'NSE - Other Index Options'!$B:$B,F$4,'NSE - Other Index Options'!$H:$H,"Monthly*"))</f>
        <v/>
      </c>
      <c r="G94" s="26" t="str">
        <f>IF(SUMIFS('NSE - NIFTY Index Options'!$L:$L,'NSE - NIFTY Index Options'!$C:$C,$A94,'NSE - NIFTY Index Options'!$B:$B,G$4,'NSE - NIFTY Index Options'!$H:$H,"Monthly*")+SUMIFS('NSE - Other Index Options'!$L:$L,'NSE - Other Index Options'!$C:$C,$A94,'NSE - Other Index Options'!$B:$B,G$4,'NSE - Other Index Options'!$H:$H,"Monthly*")=0,"",SUMIFS('NSE - NIFTY Index Options'!$L:$L,'NSE - NIFTY Index Options'!$C:$C,$A94,'NSE - NIFTY Index Options'!$B:$B,G$4,'NSE - NIFTY Index Options'!$H:$H,"Monthly*")+SUMIFS('NSE - Other Index Options'!$L:$L,'NSE - Other Index Options'!$C:$C,$A94,'NSE - Other Index Options'!$B:$B,G$4,'NSE - Other Index Options'!$H:$H,"Monthly*"))</f>
        <v/>
      </c>
      <c r="H94" s="26" t="str">
        <f t="shared" si="2"/>
        <v/>
      </c>
    </row>
    <row r="95" spans="1:8" hidden="1" outlineLevel="1">
      <c r="A95" t="s">
        <v>100</v>
      </c>
      <c r="B95" s="26" t="str">
        <f>IF(SUMIFS('NSE - NIFTY Index Options'!$L:$L,'NSE - NIFTY Index Options'!$C:$C,$A95,'NSE - NIFTY Index Options'!$B:$B,B$4,'NSE - NIFTY Index Options'!$H:$H,"Monthly*")+SUMIFS('NSE - Other Index Options'!$L:$L,'NSE - Other Index Options'!$C:$C,$A95,'NSE - Other Index Options'!$B:$B,B$4,'NSE - Other Index Options'!$H:$H,"Monthly*")=0,"",SUMIFS('NSE - NIFTY Index Options'!$L:$L,'NSE - NIFTY Index Options'!$C:$C,$A95,'NSE - NIFTY Index Options'!$B:$B,B$4,'NSE - NIFTY Index Options'!$H:$H,"Monthly*")+SUMIFS('NSE - Other Index Options'!$L:$L,'NSE - Other Index Options'!$C:$C,$A95,'NSE - Other Index Options'!$B:$B,B$4,'NSE - Other Index Options'!$H:$H,"Monthly*"))</f>
        <v/>
      </c>
      <c r="C95" s="26" t="str">
        <f>IF(SUMIFS('NSE - NIFTY Index Options'!$L:$L,'NSE - NIFTY Index Options'!$C:$C,$A95,'NSE - NIFTY Index Options'!$B:$B,C$4,'NSE - NIFTY Index Options'!$H:$H,"Monthly*")+SUMIFS('NSE - Other Index Options'!$L:$L,'NSE - Other Index Options'!$C:$C,$A95,'NSE - Other Index Options'!$B:$B,C$4,'NSE - Other Index Options'!$H:$H,"Monthly*")=0,"",SUMIFS('NSE - NIFTY Index Options'!$L:$L,'NSE - NIFTY Index Options'!$C:$C,$A95,'NSE - NIFTY Index Options'!$B:$B,C$4,'NSE - NIFTY Index Options'!$H:$H,"Monthly*")+SUMIFS('NSE - Other Index Options'!$L:$L,'NSE - Other Index Options'!$C:$C,$A95,'NSE - Other Index Options'!$B:$B,C$4,'NSE - Other Index Options'!$H:$H,"Monthly*"))</f>
        <v/>
      </c>
      <c r="D95" s="26" t="str">
        <f>IF(SUMIFS('NSE - NIFTY Index Options'!$L:$L,'NSE - NIFTY Index Options'!$C:$C,$A95,'NSE - NIFTY Index Options'!$B:$B,D$4,'NSE - NIFTY Index Options'!$H:$H,"Monthly*")+SUMIFS('NSE - Other Index Options'!$L:$L,'NSE - Other Index Options'!$C:$C,$A95,'NSE - Other Index Options'!$B:$B,D$4,'NSE - Other Index Options'!$H:$H,"Monthly*")=0,"",SUMIFS('NSE - NIFTY Index Options'!$L:$L,'NSE - NIFTY Index Options'!$C:$C,$A95,'NSE - NIFTY Index Options'!$B:$B,D$4,'NSE - NIFTY Index Options'!$H:$H,"Monthly*")+SUMIFS('NSE - Other Index Options'!$L:$L,'NSE - Other Index Options'!$C:$C,$A95,'NSE - Other Index Options'!$B:$B,D$4,'NSE - Other Index Options'!$H:$H,"Monthly*"))</f>
        <v/>
      </c>
      <c r="E95" s="26" t="str">
        <f>IF(SUMIFS('NSE - NIFTY Index Options'!$L:$L,'NSE - NIFTY Index Options'!$C:$C,$A95,'NSE - NIFTY Index Options'!$B:$B,E$4,'NSE - NIFTY Index Options'!$H:$H,"Monthly*")+SUMIFS('NSE - Other Index Options'!$L:$L,'NSE - Other Index Options'!$C:$C,$A95,'NSE - Other Index Options'!$B:$B,E$4,'NSE - Other Index Options'!$H:$H,"Monthly*")=0,"",SUMIFS('NSE - NIFTY Index Options'!$L:$L,'NSE - NIFTY Index Options'!$C:$C,$A95,'NSE - NIFTY Index Options'!$B:$B,E$4,'NSE - NIFTY Index Options'!$H:$H,"Monthly*")+SUMIFS('NSE - Other Index Options'!$L:$L,'NSE - Other Index Options'!$C:$C,$A95,'NSE - Other Index Options'!$B:$B,E$4,'NSE - Other Index Options'!$H:$H,"Monthly*"))</f>
        <v/>
      </c>
      <c r="F95" s="26" t="str">
        <f>IF(SUMIFS('NSE - NIFTY Index Options'!$L:$L,'NSE - NIFTY Index Options'!$C:$C,$A95,'NSE - NIFTY Index Options'!$B:$B,F$4,'NSE - NIFTY Index Options'!$H:$H,"Monthly*")+SUMIFS('NSE - Other Index Options'!$L:$L,'NSE - Other Index Options'!$C:$C,$A95,'NSE - Other Index Options'!$B:$B,F$4,'NSE - Other Index Options'!$H:$H,"Monthly*")=0,"",SUMIFS('NSE - NIFTY Index Options'!$L:$L,'NSE - NIFTY Index Options'!$C:$C,$A95,'NSE - NIFTY Index Options'!$B:$B,F$4,'NSE - NIFTY Index Options'!$H:$H,"Monthly*")+SUMIFS('NSE - Other Index Options'!$L:$L,'NSE - Other Index Options'!$C:$C,$A95,'NSE - Other Index Options'!$B:$B,F$4,'NSE - Other Index Options'!$H:$H,"Monthly*"))</f>
        <v/>
      </c>
      <c r="G95" s="26" t="str">
        <f>IF(SUMIFS('NSE - NIFTY Index Options'!$L:$L,'NSE - NIFTY Index Options'!$C:$C,$A95,'NSE - NIFTY Index Options'!$B:$B,G$4,'NSE - NIFTY Index Options'!$H:$H,"Monthly*")+SUMIFS('NSE - Other Index Options'!$L:$L,'NSE - Other Index Options'!$C:$C,$A95,'NSE - Other Index Options'!$B:$B,G$4,'NSE - Other Index Options'!$H:$H,"Monthly*")=0,"",SUMIFS('NSE - NIFTY Index Options'!$L:$L,'NSE - NIFTY Index Options'!$C:$C,$A95,'NSE - NIFTY Index Options'!$B:$B,G$4,'NSE - NIFTY Index Options'!$H:$H,"Monthly*")+SUMIFS('NSE - Other Index Options'!$L:$L,'NSE - Other Index Options'!$C:$C,$A95,'NSE - Other Index Options'!$B:$B,G$4,'NSE - Other Index Options'!$H:$H,"Monthly*"))</f>
        <v/>
      </c>
      <c r="H95" s="26" t="str">
        <f t="shared" si="2"/>
        <v/>
      </c>
    </row>
    <row r="96" spans="1:8" hidden="1" outlineLevel="1">
      <c r="A96" t="s">
        <v>101</v>
      </c>
      <c r="B96" s="26" t="str">
        <f>IF(SUMIFS('NSE - NIFTY Index Options'!$L:$L,'NSE - NIFTY Index Options'!$C:$C,$A96,'NSE - NIFTY Index Options'!$B:$B,B$4,'NSE - NIFTY Index Options'!$H:$H,"Monthly*")+SUMIFS('NSE - Other Index Options'!$L:$L,'NSE - Other Index Options'!$C:$C,$A96,'NSE - Other Index Options'!$B:$B,B$4,'NSE - Other Index Options'!$H:$H,"Monthly*")=0,"",SUMIFS('NSE - NIFTY Index Options'!$L:$L,'NSE - NIFTY Index Options'!$C:$C,$A96,'NSE - NIFTY Index Options'!$B:$B,B$4,'NSE - NIFTY Index Options'!$H:$H,"Monthly*")+SUMIFS('NSE - Other Index Options'!$L:$L,'NSE - Other Index Options'!$C:$C,$A96,'NSE - Other Index Options'!$B:$B,B$4,'NSE - Other Index Options'!$H:$H,"Monthly*"))</f>
        <v/>
      </c>
      <c r="C96" s="26" t="str">
        <f>IF(SUMIFS('NSE - NIFTY Index Options'!$L:$L,'NSE - NIFTY Index Options'!$C:$C,$A96,'NSE - NIFTY Index Options'!$B:$B,C$4,'NSE - NIFTY Index Options'!$H:$H,"Monthly*")+SUMIFS('NSE - Other Index Options'!$L:$L,'NSE - Other Index Options'!$C:$C,$A96,'NSE - Other Index Options'!$B:$B,C$4,'NSE - Other Index Options'!$H:$H,"Monthly*")=0,"",SUMIFS('NSE - NIFTY Index Options'!$L:$L,'NSE - NIFTY Index Options'!$C:$C,$A96,'NSE - NIFTY Index Options'!$B:$B,C$4,'NSE - NIFTY Index Options'!$H:$H,"Monthly*")+SUMIFS('NSE - Other Index Options'!$L:$L,'NSE - Other Index Options'!$C:$C,$A96,'NSE - Other Index Options'!$B:$B,C$4,'NSE - Other Index Options'!$H:$H,"Monthly*"))</f>
        <v/>
      </c>
      <c r="D96" s="26" t="str">
        <f>IF(SUMIFS('NSE - NIFTY Index Options'!$L:$L,'NSE - NIFTY Index Options'!$C:$C,$A96,'NSE - NIFTY Index Options'!$B:$B,D$4,'NSE - NIFTY Index Options'!$H:$H,"Monthly*")+SUMIFS('NSE - Other Index Options'!$L:$L,'NSE - Other Index Options'!$C:$C,$A96,'NSE - Other Index Options'!$B:$B,D$4,'NSE - Other Index Options'!$H:$H,"Monthly*")=0,"",SUMIFS('NSE - NIFTY Index Options'!$L:$L,'NSE - NIFTY Index Options'!$C:$C,$A96,'NSE - NIFTY Index Options'!$B:$B,D$4,'NSE - NIFTY Index Options'!$H:$H,"Monthly*")+SUMIFS('NSE - Other Index Options'!$L:$L,'NSE - Other Index Options'!$C:$C,$A96,'NSE - Other Index Options'!$B:$B,D$4,'NSE - Other Index Options'!$H:$H,"Monthly*"))</f>
        <v/>
      </c>
      <c r="E96" s="26" t="str">
        <f>IF(SUMIFS('NSE - NIFTY Index Options'!$L:$L,'NSE - NIFTY Index Options'!$C:$C,$A96,'NSE - NIFTY Index Options'!$B:$B,E$4,'NSE - NIFTY Index Options'!$H:$H,"Monthly*")+SUMIFS('NSE - Other Index Options'!$L:$L,'NSE - Other Index Options'!$C:$C,$A96,'NSE - Other Index Options'!$B:$B,E$4,'NSE - Other Index Options'!$H:$H,"Monthly*")=0,"",SUMIFS('NSE - NIFTY Index Options'!$L:$L,'NSE - NIFTY Index Options'!$C:$C,$A96,'NSE - NIFTY Index Options'!$B:$B,E$4,'NSE - NIFTY Index Options'!$H:$H,"Monthly*")+SUMIFS('NSE - Other Index Options'!$L:$L,'NSE - Other Index Options'!$C:$C,$A96,'NSE - Other Index Options'!$B:$B,E$4,'NSE - Other Index Options'!$H:$H,"Monthly*"))</f>
        <v/>
      </c>
      <c r="F96" s="26" t="str">
        <f>IF(SUMIFS('NSE - NIFTY Index Options'!$L:$L,'NSE - NIFTY Index Options'!$C:$C,$A96,'NSE - NIFTY Index Options'!$B:$B,F$4,'NSE - NIFTY Index Options'!$H:$H,"Monthly*")+SUMIFS('NSE - Other Index Options'!$L:$L,'NSE - Other Index Options'!$C:$C,$A96,'NSE - Other Index Options'!$B:$B,F$4,'NSE - Other Index Options'!$H:$H,"Monthly*")=0,"",SUMIFS('NSE - NIFTY Index Options'!$L:$L,'NSE - NIFTY Index Options'!$C:$C,$A96,'NSE - NIFTY Index Options'!$B:$B,F$4,'NSE - NIFTY Index Options'!$H:$H,"Monthly*")+SUMIFS('NSE - Other Index Options'!$L:$L,'NSE - Other Index Options'!$C:$C,$A96,'NSE - Other Index Options'!$B:$B,F$4,'NSE - Other Index Options'!$H:$H,"Monthly*"))</f>
        <v/>
      </c>
      <c r="G96" s="26" t="str">
        <f>IF(SUMIFS('NSE - NIFTY Index Options'!$L:$L,'NSE - NIFTY Index Options'!$C:$C,$A96,'NSE - NIFTY Index Options'!$B:$B,G$4,'NSE - NIFTY Index Options'!$H:$H,"Monthly*")+SUMIFS('NSE - Other Index Options'!$L:$L,'NSE - Other Index Options'!$C:$C,$A96,'NSE - Other Index Options'!$B:$B,G$4,'NSE - Other Index Options'!$H:$H,"Monthly*")=0,"",SUMIFS('NSE - NIFTY Index Options'!$L:$L,'NSE - NIFTY Index Options'!$C:$C,$A96,'NSE - NIFTY Index Options'!$B:$B,G$4,'NSE - NIFTY Index Options'!$H:$H,"Monthly*")+SUMIFS('NSE - Other Index Options'!$L:$L,'NSE - Other Index Options'!$C:$C,$A96,'NSE - Other Index Options'!$B:$B,G$4,'NSE - Other Index Options'!$H:$H,"Monthly*"))</f>
        <v/>
      </c>
      <c r="H96" s="26" t="str">
        <f t="shared" si="2"/>
        <v/>
      </c>
    </row>
    <row r="97" spans="1:8" hidden="1" outlineLevel="1">
      <c r="A97" t="s">
        <v>102</v>
      </c>
      <c r="B97" s="26" t="str">
        <f>IF(SUMIFS('NSE - NIFTY Index Options'!$L:$L,'NSE - NIFTY Index Options'!$C:$C,$A97,'NSE - NIFTY Index Options'!$B:$B,B$4,'NSE - NIFTY Index Options'!$H:$H,"Monthly*")+SUMIFS('NSE - Other Index Options'!$L:$L,'NSE - Other Index Options'!$C:$C,$A97,'NSE - Other Index Options'!$B:$B,B$4,'NSE - Other Index Options'!$H:$H,"Monthly*")=0,"",SUMIFS('NSE - NIFTY Index Options'!$L:$L,'NSE - NIFTY Index Options'!$C:$C,$A97,'NSE - NIFTY Index Options'!$B:$B,B$4,'NSE - NIFTY Index Options'!$H:$H,"Monthly*")+SUMIFS('NSE - Other Index Options'!$L:$L,'NSE - Other Index Options'!$C:$C,$A97,'NSE - Other Index Options'!$B:$B,B$4,'NSE - Other Index Options'!$H:$H,"Monthly*"))</f>
        <v/>
      </c>
      <c r="C97" s="26" t="str">
        <f>IF(SUMIFS('NSE - NIFTY Index Options'!$L:$L,'NSE - NIFTY Index Options'!$C:$C,$A97,'NSE - NIFTY Index Options'!$B:$B,C$4,'NSE - NIFTY Index Options'!$H:$H,"Monthly*")+SUMIFS('NSE - Other Index Options'!$L:$L,'NSE - Other Index Options'!$C:$C,$A97,'NSE - Other Index Options'!$B:$B,C$4,'NSE - Other Index Options'!$H:$H,"Monthly*")=0,"",SUMIFS('NSE - NIFTY Index Options'!$L:$L,'NSE - NIFTY Index Options'!$C:$C,$A97,'NSE - NIFTY Index Options'!$B:$B,C$4,'NSE - NIFTY Index Options'!$H:$H,"Monthly*")+SUMIFS('NSE - Other Index Options'!$L:$L,'NSE - Other Index Options'!$C:$C,$A97,'NSE - Other Index Options'!$B:$B,C$4,'NSE - Other Index Options'!$H:$H,"Monthly*"))</f>
        <v/>
      </c>
      <c r="D97" s="26" t="str">
        <f>IF(SUMIFS('NSE - NIFTY Index Options'!$L:$L,'NSE - NIFTY Index Options'!$C:$C,$A97,'NSE - NIFTY Index Options'!$B:$B,D$4,'NSE - NIFTY Index Options'!$H:$H,"Monthly*")+SUMIFS('NSE - Other Index Options'!$L:$L,'NSE - Other Index Options'!$C:$C,$A97,'NSE - Other Index Options'!$B:$B,D$4,'NSE - Other Index Options'!$H:$H,"Monthly*")=0,"",SUMIFS('NSE - NIFTY Index Options'!$L:$L,'NSE - NIFTY Index Options'!$C:$C,$A97,'NSE - NIFTY Index Options'!$B:$B,D$4,'NSE - NIFTY Index Options'!$H:$H,"Monthly*")+SUMIFS('NSE - Other Index Options'!$L:$L,'NSE - Other Index Options'!$C:$C,$A97,'NSE - Other Index Options'!$B:$B,D$4,'NSE - Other Index Options'!$H:$H,"Monthly*"))</f>
        <v/>
      </c>
      <c r="E97" s="26" t="str">
        <f>IF(SUMIFS('NSE - NIFTY Index Options'!$L:$L,'NSE - NIFTY Index Options'!$C:$C,$A97,'NSE - NIFTY Index Options'!$B:$B,E$4,'NSE - NIFTY Index Options'!$H:$H,"Monthly*")+SUMIFS('NSE - Other Index Options'!$L:$L,'NSE - Other Index Options'!$C:$C,$A97,'NSE - Other Index Options'!$B:$B,E$4,'NSE - Other Index Options'!$H:$H,"Monthly*")=0,"",SUMIFS('NSE - NIFTY Index Options'!$L:$L,'NSE - NIFTY Index Options'!$C:$C,$A97,'NSE - NIFTY Index Options'!$B:$B,E$4,'NSE - NIFTY Index Options'!$H:$H,"Monthly*")+SUMIFS('NSE - Other Index Options'!$L:$L,'NSE - Other Index Options'!$C:$C,$A97,'NSE - Other Index Options'!$B:$B,E$4,'NSE - Other Index Options'!$H:$H,"Monthly*"))</f>
        <v/>
      </c>
      <c r="F97" s="26" t="str">
        <f>IF(SUMIFS('NSE - NIFTY Index Options'!$L:$L,'NSE - NIFTY Index Options'!$C:$C,$A97,'NSE - NIFTY Index Options'!$B:$B,F$4,'NSE - NIFTY Index Options'!$H:$H,"Monthly*")+SUMIFS('NSE - Other Index Options'!$L:$L,'NSE - Other Index Options'!$C:$C,$A97,'NSE - Other Index Options'!$B:$B,F$4,'NSE - Other Index Options'!$H:$H,"Monthly*")=0,"",SUMIFS('NSE - NIFTY Index Options'!$L:$L,'NSE - NIFTY Index Options'!$C:$C,$A97,'NSE - NIFTY Index Options'!$B:$B,F$4,'NSE - NIFTY Index Options'!$H:$H,"Monthly*")+SUMIFS('NSE - Other Index Options'!$L:$L,'NSE - Other Index Options'!$C:$C,$A97,'NSE - Other Index Options'!$B:$B,F$4,'NSE - Other Index Options'!$H:$H,"Monthly*"))</f>
        <v/>
      </c>
      <c r="G97" s="26" t="str">
        <f>IF(SUMIFS('NSE - NIFTY Index Options'!$L:$L,'NSE - NIFTY Index Options'!$C:$C,$A97,'NSE - NIFTY Index Options'!$B:$B,G$4,'NSE - NIFTY Index Options'!$H:$H,"Monthly*")+SUMIFS('NSE - Other Index Options'!$L:$L,'NSE - Other Index Options'!$C:$C,$A97,'NSE - Other Index Options'!$B:$B,G$4,'NSE - Other Index Options'!$H:$H,"Monthly*")=0,"",SUMIFS('NSE - NIFTY Index Options'!$L:$L,'NSE - NIFTY Index Options'!$C:$C,$A97,'NSE - NIFTY Index Options'!$B:$B,G$4,'NSE - NIFTY Index Options'!$H:$H,"Monthly*")+SUMIFS('NSE - Other Index Options'!$L:$L,'NSE - Other Index Options'!$C:$C,$A97,'NSE - Other Index Options'!$B:$B,G$4,'NSE - Other Index Options'!$H:$H,"Monthly*"))</f>
        <v/>
      </c>
      <c r="H97" s="26" t="str">
        <f t="shared" si="2"/>
        <v/>
      </c>
    </row>
    <row r="98" spans="1:8" hidden="1" outlineLevel="1">
      <c r="A98" t="s">
        <v>103</v>
      </c>
      <c r="B98" s="26" t="str">
        <f>IF(SUMIFS('NSE - NIFTY Index Options'!$L:$L,'NSE - NIFTY Index Options'!$C:$C,$A98,'NSE - NIFTY Index Options'!$B:$B,B$4,'NSE - NIFTY Index Options'!$H:$H,"Monthly*")+SUMIFS('NSE - Other Index Options'!$L:$L,'NSE - Other Index Options'!$C:$C,$A98,'NSE - Other Index Options'!$B:$B,B$4,'NSE - Other Index Options'!$H:$H,"Monthly*")=0,"",SUMIFS('NSE - NIFTY Index Options'!$L:$L,'NSE - NIFTY Index Options'!$C:$C,$A98,'NSE - NIFTY Index Options'!$B:$B,B$4,'NSE - NIFTY Index Options'!$H:$H,"Monthly*")+SUMIFS('NSE - Other Index Options'!$L:$L,'NSE - Other Index Options'!$C:$C,$A98,'NSE - Other Index Options'!$B:$B,B$4,'NSE - Other Index Options'!$H:$H,"Monthly*"))</f>
        <v/>
      </c>
      <c r="C98" s="26" t="str">
        <f>IF(SUMIFS('NSE - NIFTY Index Options'!$L:$L,'NSE - NIFTY Index Options'!$C:$C,$A98,'NSE - NIFTY Index Options'!$B:$B,C$4,'NSE - NIFTY Index Options'!$H:$H,"Monthly*")+SUMIFS('NSE - Other Index Options'!$L:$L,'NSE - Other Index Options'!$C:$C,$A98,'NSE - Other Index Options'!$B:$B,C$4,'NSE - Other Index Options'!$H:$H,"Monthly*")=0,"",SUMIFS('NSE - NIFTY Index Options'!$L:$L,'NSE - NIFTY Index Options'!$C:$C,$A98,'NSE - NIFTY Index Options'!$B:$B,C$4,'NSE - NIFTY Index Options'!$H:$H,"Monthly*")+SUMIFS('NSE - Other Index Options'!$L:$L,'NSE - Other Index Options'!$C:$C,$A98,'NSE - Other Index Options'!$B:$B,C$4,'NSE - Other Index Options'!$H:$H,"Monthly*"))</f>
        <v/>
      </c>
      <c r="D98" s="26" t="str">
        <f>IF(SUMIFS('NSE - NIFTY Index Options'!$L:$L,'NSE - NIFTY Index Options'!$C:$C,$A98,'NSE - NIFTY Index Options'!$B:$B,D$4,'NSE - NIFTY Index Options'!$H:$H,"Monthly*")+SUMIFS('NSE - Other Index Options'!$L:$L,'NSE - Other Index Options'!$C:$C,$A98,'NSE - Other Index Options'!$B:$B,D$4,'NSE - Other Index Options'!$H:$H,"Monthly*")=0,"",SUMIFS('NSE - NIFTY Index Options'!$L:$L,'NSE - NIFTY Index Options'!$C:$C,$A98,'NSE - NIFTY Index Options'!$B:$B,D$4,'NSE - NIFTY Index Options'!$H:$H,"Monthly*")+SUMIFS('NSE - Other Index Options'!$L:$L,'NSE - Other Index Options'!$C:$C,$A98,'NSE - Other Index Options'!$B:$B,D$4,'NSE - Other Index Options'!$H:$H,"Monthly*"))</f>
        <v/>
      </c>
      <c r="E98" s="26" t="str">
        <f>IF(SUMIFS('NSE - NIFTY Index Options'!$L:$L,'NSE - NIFTY Index Options'!$C:$C,$A98,'NSE - NIFTY Index Options'!$B:$B,E$4,'NSE - NIFTY Index Options'!$H:$H,"Monthly*")+SUMIFS('NSE - Other Index Options'!$L:$L,'NSE - Other Index Options'!$C:$C,$A98,'NSE - Other Index Options'!$B:$B,E$4,'NSE - Other Index Options'!$H:$H,"Monthly*")=0,"",SUMIFS('NSE - NIFTY Index Options'!$L:$L,'NSE - NIFTY Index Options'!$C:$C,$A98,'NSE - NIFTY Index Options'!$B:$B,E$4,'NSE - NIFTY Index Options'!$H:$H,"Monthly*")+SUMIFS('NSE - Other Index Options'!$L:$L,'NSE - Other Index Options'!$C:$C,$A98,'NSE - Other Index Options'!$B:$B,E$4,'NSE - Other Index Options'!$H:$H,"Monthly*"))</f>
        <v/>
      </c>
      <c r="F98" s="26" t="str">
        <f>IF(SUMIFS('NSE - NIFTY Index Options'!$L:$L,'NSE - NIFTY Index Options'!$C:$C,$A98,'NSE - NIFTY Index Options'!$B:$B,F$4,'NSE - NIFTY Index Options'!$H:$H,"Monthly*")+SUMIFS('NSE - Other Index Options'!$L:$L,'NSE - Other Index Options'!$C:$C,$A98,'NSE - Other Index Options'!$B:$B,F$4,'NSE - Other Index Options'!$H:$H,"Monthly*")=0,"",SUMIFS('NSE - NIFTY Index Options'!$L:$L,'NSE - NIFTY Index Options'!$C:$C,$A98,'NSE - NIFTY Index Options'!$B:$B,F$4,'NSE - NIFTY Index Options'!$H:$H,"Monthly*")+SUMIFS('NSE - Other Index Options'!$L:$L,'NSE - Other Index Options'!$C:$C,$A98,'NSE - Other Index Options'!$B:$B,F$4,'NSE - Other Index Options'!$H:$H,"Monthly*"))</f>
        <v/>
      </c>
      <c r="G98" s="26" t="str">
        <f>IF(SUMIFS('NSE - NIFTY Index Options'!$L:$L,'NSE - NIFTY Index Options'!$C:$C,$A98,'NSE - NIFTY Index Options'!$B:$B,G$4,'NSE - NIFTY Index Options'!$H:$H,"Monthly*")+SUMIFS('NSE - Other Index Options'!$L:$L,'NSE - Other Index Options'!$C:$C,$A98,'NSE - Other Index Options'!$B:$B,G$4,'NSE - Other Index Options'!$H:$H,"Monthly*")=0,"",SUMIFS('NSE - NIFTY Index Options'!$L:$L,'NSE - NIFTY Index Options'!$C:$C,$A98,'NSE - NIFTY Index Options'!$B:$B,G$4,'NSE - NIFTY Index Options'!$H:$H,"Monthly*")+SUMIFS('NSE - Other Index Options'!$L:$L,'NSE - Other Index Options'!$C:$C,$A98,'NSE - Other Index Options'!$B:$B,G$4,'NSE - Other Index Options'!$H:$H,"Monthly*"))</f>
        <v/>
      </c>
      <c r="H98" s="26" t="str">
        <f t="shared" si="2"/>
        <v/>
      </c>
    </row>
    <row r="99" spans="1:8" hidden="1" outlineLevel="1">
      <c r="A99" t="s">
        <v>104</v>
      </c>
      <c r="B99" s="26" t="str">
        <f>IF(SUMIFS('NSE - NIFTY Index Options'!$L:$L,'NSE - NIFTY Index Options'!$C:$C,$A99,'NSE - NIFTY Index Options'!$B:$B,B$4,'NSE - NIFTY Index Options'!$H:$H,"Monthly*")+SUMIFS('NSE - Other Index Options'!$L:$L,'NSE - Other Index Options'!$C:$C,$A99,'NSE - Other Index Options'!$B:$B,B$4,'NSE - Other Index Options'!$H:$H,"Monthly*")=0,"",SUMIFS('NSE - NIFTY Index Options'!$L:$L,'NSE - NIFTY Index Options'!$C:$C,$A99,'NSE - NIFTY Index Options'!$B:$B,B$4,'NSE - NIFTY Index Options'!$H:$H,"Monthly*")+SUMIFS('NSE - Other Index Options'!$L:$L,'NSE - Other Index Options'!$C:$C,$A99,'NSE - Other Index Options'!$B:$B,B$4,'NSE - Other Index Options'!$H:$H,"Monthly*"))</f>
        <v/>
      </c>
      <c r="C99" s="26" t="str">
        <f>IF(SUMIFS('NSE - NIFTY Index Options'!$L:$L,'NSE - NIFTY Index Options'!$C:$C,$A99,'NSE - NIFTY Index Options'!$B:$B,C$4,'NSE - NIFTY Index Options'!$H:$H,"Monthly*")+SUMIFS('NSE - Other Index Options'!$L:$L,'NSE - Other Index Options'!$C:$C,$A99,'NSE - Other Index Options'!$B:$B,C$4,'NSE - Other Index Options'!$H:$H,"Monthly*")=0,"",SUMIFS('NSE - NIFTY Index Options'!$L:$L,'NSE - NIFTY Index Options'!$C:$C,$A99,'NSE - NIFTY Index Options'!$B:$B,C$4,'NSE - NIFTY Index Options'!$H:$H,"Monthly*")+SUMIFS('NSE - Other Index Options'!$L:$L,'NSE - Other Index Options'!$C:$C,$A99,'NSE - Other Index Options'!$B:$B,C$4,'NSE - Other Index Options'!$H:$H,"Monthly*"))</f>
        <v/>
      </c>
      <c r="D99" s="26" t="str">
        <f>IF(SUMIFS('NSE - NIFTY Index Options'!$L:$L,'NSE - NIFTY Index Options'!$C:$C,$A99,'NSE - NIFTY Index Options'!$B:$B,D$4,'NSE - NIFTY Index Options'!$H:$H,"Monthly*")+SUMIFS('NSE - Other Index Options'!$L:$L,'NSE - Other Index Options'!$C:$C,$A99,'NSE - Other Index Options'!$B:$B,D$4,'NSE - Other Index Options'!$H:$H,"Monthly*")=0,"",SUMIFS('NSE - NIFTY Index Options'!$L:$L,'NSE - NIFTY Index Options'!$C:$C,$A99,'NSE - NIFTY Index Options'!$B:$B,D$4,'NSE - NIFTY Index Options'!$H:$H,"Monthly*")+SUMIFS('NSE - Other Index Options'!$L:$L,'NSE - Other Index Options'!$C:$C,$A99,'NSE - Other Index Options'!$B:$B,D$4,'NSE - Other Index Options'!$H:$H,"Monthly*"))</f>
        <v/>
      </c>
      <c r="E99" s="26" t="str">
        <f>IF(SUMIFS('NSE - NIFTY Index Options'!$L:$L,'NSE - NIFTY Index Options'!$C:$C,$A99,'NSE - NIFTY Index Options'!$B:$B,E$4,'NSE - NIFTY Index Options'!$H:$H,"Monthly*")+SUMIFS('NSE - Other Index Options'!$L:$L,'NSE - Other Index Options'!$C:$C,$A99,'NSE - Other Index Options'!$B:$B,E$4,'NSE - Other Index Options'!$H:$H,"Monthly*")=0,"",SUMIFS('NSE - NIFTY Index Options'!$L:$L,'NSE - NIFTY Index Options'!$C:$C,$A99,'NSE - NIFTY Index Options'!$B:$B,E$4,'NSE - NIFTY Index Options'!$H:$H,"Monthly*")+SUMIFS('NSE - Other Index Options'!$L:$L,'NSE - Other Index Options'!$C:$C,$A99,'NSE - Other Index Options'!$B:$B,E$4,'NSE - Other Index Options'!$H:$H,"Monthly*"))</f>
        <v/>
      </c>
      <c r="F99" s="26" t="str">
        <f>IF(SUMIFS('NSE - NIFTY Index Options'!$L:$L,'NSE - NIFTY Index Options'!$C:$C,$A99,'NSE - NIFTY Index Options'!$B:$B,F$4,'NSE - NIFTY Index Options'!$H:$H,"Monthly*")+SUMIFS('NSE - Other Index Options'!$L:$L,'NSE - Other Index Options'!$C:$C,$A99,'NSE - Other Index Options'!$B:$B,F$4,'NSE - Other Index Options'!$H:$H,"Monthly*")=0,"",SUMIFS('NSE - NIFTY Index Options'!$L:$L,'NSE - NIFTY Index Options'!$C:$C,$A99,'NSE - NIFTY Index Options'!$B:$B,F$4,'NSE - NIFTY Index Options'!$H:$H,"Monthly*")+SUMIFS('NSE - Other Index Options'!$L:$L,'NSE - Other Index Options'!$C:$C,$A99,'NSE - Other Index Options'!$B:$B,F$4,'NSE - Other Index Options'!$H:$H,"Monthly*"))</f>
        <v/>
      </c>
      <c r="G99" s="26" t="str">
        <f>IF(SUMIFS('NSE - NIFTY Index Options'!$L:$L,'NSE - NIFTY Index Options'!$C:$C,$A99,'NSE - NIFTY Index Options'!$B:$B,G$4,'NSE - NIFTY Index Options'!$H:$H,"Monthly*")+SUMIFS('NSE - Other Index Options'!$L:$L,'NSE - Other Index Options'!$C:$C,$A99,'NSE - Other Index Options'!$B:$B,G$4,'NSE - Other Index Options'!$H:$H,"Monthly*")=0,"",SUMIFS('NSE - NIFTY Index Options'!$L:$L,'NSE - NIFTY Index Options'!$C:$C,$A99,'NSE - NIFTY Index Options'!$B:$B,G$4,'NSE - NIFTY Index Options'!$H:$H,"Monthly*")+SUMIFS('NSE - Other Index Options'!$L:$L,'NSE - Other Index Options'!$C:$C,$A99,'NSE - Other Index Options'!$B:$B,G$4,'NSE - Other Index Options'!$H:$H,"Monthly*"))</f>
        <v/>
      </c>
      <c r="H99" s="26" t="str">
        <f t="shared" si="2"/>
        <v/>
      </c>
    </row>
    <row r="100" spans="1:8" hidden="1" outlineLevel="1">
      <c r="A100" t="s">
        <v>105</v>
      </c>
      <c r="B100" s="26" t="str">
        <f>IF(SUMIFS('NSE - NIFTY Index Options'!$L:$L,'NSE - NIFTY Index Options'!$C:$C,$A100,'NSE - NIFTY Index Options'!$B:$B,B$4,'NSE - NIFTY Index Options'!$H:$H,"Monthly*")+SUMIFS('NSE - Other Index Options'!$L:$L,'NSE - Other Index Options'!$C:$C,$A100,'NSE - Other Index Options'!$B:$B,B$4,'NSE - Other Index Options'!$H:$H,"Monthly*")=0,"",SUMIFS('NSE - NIFTY Index Options'!$L:$L,'NSE - NIFTY Index Options'!$C:$C,$A100,'NSE - NIFTY Index Options'!$B:$B,B$4,'NSE - NIFTY Index Options'!$H:$H,"Monthly*")+SUMIFS('NSE - Other Index Options'!$L:$L,'NSE - Other Index Options'!$C:$C,$A100,'NSE - Other Index Options'!$B:$B,B$4,'NSE - Other Index Options'!$H:$H,"Monthly*"))</f>
        <v/>
      </c>
      <c r="C100" s="26" t="str">
        <f>IF(SUMIFS('NSE - NIFTY Index Options'!$L:$L,'NSE - NIFTY Index Options'!$C:$C,$A100,'NSE - NIFTY Index Options'!$B:$B,C$4,'NSE - NIFTY Index Options'!$H:$H,"Monthly*")+SUMIFS('NSE - Other Index Options'!$L:$L,'NSE - Other Index Options'!$C:$C,$A100,'NSE - Other Index Options'!$B:$B,C$4,'NSE - Other Index Options'!$H:$H,"Monthly*")=0,"",SUMIFS('NSE - NIFTY Index Options'!$L:$L,'NSE - NIFTY Index Options'!$C:$C,$A100,'NSE - NIFTY Index Options'!$B:$B,C$4,'NSE - NIFTY Index Options'!$H:$H,"Monthly*")+SUMIFS('NSE - Other Index Options'!$L:$L,'NSE - Other Index Options'!$C:$C,$A100,'NSE - Other Index Options'!$B:$B,C$4,'NSE - Other Index Options'!$H:$H,"Monthly*"))</f>
        <v/>
      </c>
      <c r="D100" s="26" t="str">
        <f>IF(SUMIFS('NSE - NIFTY Index Options'!$L:$L,'NSE - NIFTY Index Options'!$C:$C,$A100,'NSE - NIFTY Index Options'!$B:$B,D$4,'NSE - NIFTY Index Options'!$H:$H,"Monthly*")+SUMIFS('NSE - Other Index Options'!$L:$L,'NSE - Other Index Options'!$C:$C,$A100,'NSE - Other Index Options'!$B:$B,D$4,'NSE - Other Index Options'!$H:$H,"Monthly*")=0,"",SUMIFS('NSE - NIFTY Index Options'!$L:$L,'NSE - NIFTY Index Options'!$C:$C,$A100,'NSE - NIFTY Index Options'!$B:$B,D$4,'NSE - NIFTY Index Options'!$H:$H,"Monthly*")+SUMIFS('NSE - Other Index Options'!$L:$L,'NSE - Other Index Options'!$C:$C,$A100,'NSE - Other Index Options'!$B:$B,D$4,'NSE - Other Index Options'!$H:$H,"Monthly*"))</f>
        <v/>
      </c>
      <c r="E100" s="26" t="str">
        <f>IF(SUMIFS('NSE - NIFTY Index Options'!$L:$L,'NSE - NIFTY Index Options'!$C:$C,$A100,'NSE - NIFTY Index Options'!$B:$B,E$4,'NSE - NIFTY Index Options'!$H:$H,"Monthly*")+SUMIFS('NSE - Other Index Options'!$L:$L,'NSE - Other Index Options'!$C:$C,$A100,'NSE - Other Index Options'!$B:$B,E$4,'NSE - Other Index Options'!$H:$H,"Monthly*")=0,"",SUMIFS('NSE - NIFTY Index Options'!$L:$L,'NSE - NIFTY Index Options'!$C:$C,$A100,'NSE - NIFTY Index Options'!$B:$B,E$4,'NSE - NIFTY Index Options'!$H:$H,"Monthly*")+SUMIFS('NSE - Other Index Options'!$L:$L,'NSE - Other Index Options'!$C:$C,$A100,'NSE - Other Index Options'!$B:$B,E$4,'NSE - Other Index Options'!$H:$H,"Monthly*"))</f>
        <v/>
      </c>
      <c r="F100" s="26" t="str">
        <f>IF(SUMIFS('NSE - NIFTY Index Options'!$L:$L,'NSE - NIFTY Index Options'!$C:$C,$A100,'NSE - NIFTY Index Options'!$B:$B,F$4,'NSE - NIFTY Index Options'!$H:$H,"Monthly*")+SUMIFS('NSE - Other Index Options'!$L:$L,'NSE - Other Index Options'!$C:$C,$A100,'NSE - Other Index Options'!$B:$B,F$4,'NSE - Other Index Options'!$H:$H,"Monthly*")=0,"",SUMIFS('NSE - NIFTY Index Options'!$L:$L,'NSE - NIFTY Index Options'!$C:$C,$A100,'NSE - NIFTY Index Options'!$B:$B,F$4,'NSE - NIFTY Index Options'!$H:$H,"Monthly*")+SUMIFS('NSE - Other Index Options'!$L:$L,'NSE - Other Index Options'!$C:$C,$A100,'NSE - Other Index Options'!$B:$B,F$4,'NSE - Other Index Options'!$H:$H,"Monthly*"))</f>
        <v/>
      </c>
      <c r="G100" s="26" t="str">
        <f>IF(SUMIFS('NSE - NIFTY Index Options'!$L:$L,'NSE - NIFTY Index Options'!$C:$C,$A100,'NSE - NIFTY Index Options'!$B:$B,G$4,'NSE - NIFTY Index Options'!$H:$H,"Monthly*")+SUMIFS('NSE - Other Index Options'!$L:$L,'NSE - Other Index Options'!$C:$C,$A100,'NSE - Other Index Options'!$B:$B,G$4,'NSE - Other Index Options'!$H:$H,"Monthly*")=0,"",SUMIFS('NSE - NIFTY Index Options'!$L:$L,'NSE - NIFTY Index Options'!$C:$C,$A100,'NSE - NIFTY Index Options'!$B:$B,G$4,'NSE - NIFTY Index Options'!$H:$H,"Monthly*")+SUMIFS('NSE - Other Index Options'!$L:$L,'NSE - Other Index Options'!$C:$C,$A100,'NSE - Other Index Options'!$B:$B,G$4,'NSE - Other Index Options'!$H:$H,"Monthly*"))</f>
        <v/>
      </c>
      <c r="H100" s="26" t="str">
        <f t="shared" si="2"/>
        <v/>
      </c>
    </row>
    <row r="101" spans="1:8" hidden="1" outlineLevel="1">
      <c r="A101" t="s">
        <v>106</v>
      </c>
      <c r="B101" s="26" t="str">
        <f>IF(SUMIFS('NSE - NIFTY Index Options'!$L:$L,'NSE - NIFTY Index Options'!$C:$C,$A101,'NSE - NIFTY Index Options'!$B:$B,B$4,'NSE - NIFTY Index Options'!$H:$H,"Monthly*")+SUMIFS('NSE - Other Index Options'!$L:$L,'NSE - Other Index Options'!$C:$C,$A101,'NSE - Other Index Options'!$B:$B,B$4,'NSE - Other Index Options'!$H:$H,"Monthly*")=0,"",SUMIFS('NSE - NIFTY Index Options'!$L:$L,'NSE - NIFTY Index Options'!$C:$C,$A101,'NSE - NIFTY Index Options'!$B:$B,B$4,'NSE - NIFTY Index Options'!$H:$H,"Monthly*")+SUMIFS('NSE - Other Index Options'!$L:$L,'NSE - Other Index Options'!$C:$C,$A101,'NSE - Other Index Options'!$B:$B,B$4,'NSE - Other Index Options'!$H:$H,"Monthly*"))</f>
        <v/>
      </c>
      <c r="C101" s="26" t="str">
        <f>IF(SUMIFS('NSE - NIFTY Index Options'!$L:$L,'NSE - NIFTY Index Options'!$C:$C,$A101,'NSE - NIFTY Index Options'!$B:$B,C$4,'NSE - NIFTY Index Options'!$H:$H,"Monthly*")+SUMIFS('NSE - Other Index Options'!$L:$L,'NSE - Other Index Options'!$C:$C,$A101,'NSE - Other Index Options'!$B:$B,C$4,'NSE - Other Index Options'!$H:$H,"Monthly*")=0,"",SUMIFS('NSE - NIFTY Index Options'!$L:$L,'NSE - NIFTY Index Options'!$C:$C,$A101,'NSE - NIFTY Index Options'!$B:$B,C$4,'NSE - NIFTY Index Options'!$H:$H,"Monthly*")+SUMIFS('NSE - Other Index Options'!$L:$L,'NSE - Other Index Options'!$C:$C,$A101,'NSE - Other Index Options'!$B:$B,C$4,'NSE - Other Index Options'!$H:$H,"Monthly*"))</f>
        <v/>
      </c>
      <c r="D101" s="26" t="str">
        <f>IF(SUMIFS('NSE - NIFTY Index Options'!$L:$L,'NSE - NIFTY Index Options'!$C:$C,$A101,'NSE - NIFTY Index Options'!$B:$B,D$4,'NSE - NIFTY Index Options'!$H:$H,"Monthly*")+SUMIFS('NSE - Other Index Options'!$L:$L,'NSE - Other Index Options'!$C:$C,$A101,'NSE - Other Index Options'!$B:$B,D$4,'NSE - Other Index Options'!$H:$H,"Monthly*")=0,"",SUMIFS('NSE - NIFTY Index Options'!$L:$L,'NSE - NIFTY Index Options'!$C:$C,$A101,'NSE - NIFTY Index Options'!$B:$B,D$4,'NSE - NIFTY Index Options'!$H:$H,"Monthly*")+SUMIFS('NSE - Other Index Options'!$L:$L,'NSE - Other Index Options'!$C:$C,$A101,'NSE - Other Index Options'!$B:$B,D$4,'NSE - Other Index Options'!$H:$H,"Monthly*"))</f>
        <v/>
      </c>
      <c r="E101" s="26" t="str">
        <f>IF(SUMIFS('NSE - NIFTY Index Options'!$L:$L,'NSE - NIFTY Index Options'!$C:$C,$A101,'NSE - NIFTY Index Options'!$B:$B,E$4,'NSE - NIFTY Index Options'!$H:$H,"Monthly*")+SUMIFS('NSE - Other Index Options'!$L:$L,'NSE - Other Index Options'!$C:$C,$A101,'NSE - Other Index Options'!$B:$B,E$4,'NSE - Other Index Options'!$H:$H,"Monthly*")=0,"",SUMIFS('NSE - NIFTY Index Options'!$L:$L,'NSE - NIFTY Index Options'!$C:$C,$A101,'NSE - NIFTY Index Options'!$B:$B,E$4,'NSE - NIFTY Index Options'!$H:$H,"Monthly*")+SUMIFS('NSE - Other Index Options'!$L:$L,'NSE - Other Index Options'!$C:$C,$A101,'NSE - Other Index Options'!$B:$B,E$4,'NSE - Other Index Options'!$H:$H,"Monthly*"))</f>
        <v/>
      </c>
      <c r="F101" s="26" t="str">
        <f>IF(SUMIFS('NSE - NIFTY Index Options'!$L:$L,'NSE - NIFTY Index Options'!$C:$C,$A101,'NSE - NIFTY Index Options'!$B:$B,F$4,'NSE - NIFTY Index Options'!$H:$H,"Monthly*")+SUMIFS('NSE - Other Index Options'!$L:$L,'NSE - Other Index Options'!$C:$C,$A101,'NSE - Other Index Options'!$B:$B,F$4,'NSE - Other Index Options'!$H:$H,"Monthly*")=0,"",SUMIFS('NSE - NIFTY Index Options'!$L:$L,'NSE - NIFTY Index Options'!$C:$C,$A101,'NSE - NIFTY Index Options'!$B:$B,F$4,'NSE - NIFTY Index Options'!$H:$H,"Monthly*")+SUMIFS('NSE - Other Index Options'!$L:$L,'NSE - Other Index Options'!$C:$C,$A101,'NSE - Other Index Options'!$B:$B,F$4,'NSE - Other Index Options'!$H:$H,"Monthly*"))</f>
        <v/>
      </c>
      <c r="G101" s="26" t="str">
        <f>IF(SUMIFS('NSE - NIFTY Index Options'!$L:$L,'NSE - NIFTY Index Options'!$C:$C,$A101,'NSE - NIFTY Index Options'!$B:$B,G$4,'NSE - NIFTY Index Options'!$H:$H,"Monthly*")+SUMIFS('NSE - Other Index Options'!$L:$L,'NSE - Other Index Options'!$C:$C,$A101,'NSE - Other Index Options'!$B:$B,G$4,'NSE - Other Index Options'!$H:$H,"Monthly*")=0,"",SUMIFS('NSE - NIFTY Index Options'!$L:$L,'NSE - NIFTY Index Options'!$C:$C,$A101,'NSE - NIFTY Index Options'!$B:$B,G$4,'NSE - NIFTY Index Options'!$H:$H,"Monthly*")+SUMIFS('NSE - Other Index Options'!$L:$L,'NSE - Other Index Options'!$C:$C,$A101,'NSE - Other Index Options'!$B:$B,G$4,'NSE - Other Index Options'!$H:$H,"Monthly*"))</f>
        <v/>
      </c>
      <c r="H101" s="26" t="str">
        <f t="shared" ref="H101:H132" si="3">IF(SUM(B101:G101)=0,"",SUM(B101:G101))</f>
        <v/>
      </c>
    </row>
    <row r="102" spans="1:8" hidden="1" outlineLevel="1">
      <c r="A102" t="s">
        <v>107</v>
      </c>
      <c r="B102" s="26" t="str">
        <f>IF(SUMIFS('NSE - NIFTY Index Options'!$L:$L,'NSE - NIFTY Index Options'!$C:$C,$A102,'NSE - NIFTY Index Options'!$B:$B,B$4,'NSE - NIFTY Index Options'!$H:$H,"Monthly*")+SUMIFS('NSE - Other Index Options'!$L:$L,'NSE - Other Index Options'!$C:$C,$A102,'NSE - Other Index Options'!$B:$B,B$4,'NSE - Other Index Options'!$H:$H,"Monthly*")=0,"",SUMIFS('NSE - NIFTY Index Options'!$L:$L,'NSE - NIFTY Index Options'!$C:$C,$A102,'NSE - NIFTY Index Options'!$B:$B,B$4,'NSE - NIFTY Index Options'!$H:$H,"Monthly*")+SUMIFS('NSE - Other Index Options'!$L:$L,'NSE - Other Index Options'!$C:$C,$A102,'NSE - Other Index Options'!$B:$B,B$4,'NSE - Other Index Options'!$H:$H,"Monthly*"))</f>
        <v/>
      </c>
      <c r="C102" s="26" t="str">
        <f>IF(SUMIFS('NSE - NIFTY Index Options'!$L:$L,'NSE - NIFTY Index Options'!$C:$C,$A102,'NSE - NIFTY Index Options'!$B:$B,C$4,'NSE - NIFTY Index Options'!$H:$H,"Monthly*")+SUMIFS('NSE - Other Index Options'!$L:$L,'NSE - Other Index Options'!$C:$C,$A102,'NSE - Other Index Options'!$B:$B,C$4,'NSE - Other Index Options'!$H:$H,"Monthly*")=0,"",SUMIFS('NSE - NIFTY Index Options'!$L:$L,'NSE - NIFTY Index Options'!$C:$C,$A102,'NSE - NIFTY Index Options'!$B:$B,C$4,'NSE - NIFTY Index Options'!$H:$H,"Monthly*")+SUMIFS('NSE - Other Index Options'!$L:$L,'NSE - Other Index Options'!$C:$C,$A102,'NSE - Other Index Options'!$B:$B,C$4,'NSE - Other Index Options'!$H:$H,"Monthly*"))</f>
        <v/>
      </c>
      <c r="D102" s="26" t="str">
        <f>IF(SUMIFS('NSE - NIFTY Index Options'!$L:$L,'NSE - NIFTY Index Options'!$C:$C,$A102,'NSE - NIFTY Index Options'!$B:$B,D$4,'NSE - NIFTY Index Options'!$H:$H,"Monthly*")+SUMIFS('NSE - Other Index Options'!$L:$L,'NSE - Other Index Options'!$C:$C,$A102,'NSE - Other Index Options'!$B:$B,D$4,'NSE - Other Index Options'!$H:$H,"Monthly*")=0,"",SUMIFS('NSE - NIFTY Index Options'!$L:$L,'NSE - NIFTY Index Options'!$C:$C,$A102,'NSE - NIFTY Index Options'!$B:$B,D$4,'NSE - NIFTY Index Options'!$H:$H,"Monthly*")+SUMIFS('NSE - Other Index Options'!$L:$L,'NSE - Other Index Options'!$C:$C,$A102,'NSE - Other Index Options'!$B:$B,D$4,'NSE - Other Index Options'!$H:$H,"Monthly*"))</f>
        <v/>
      </c>
      <c r="E102" s="26" t="str">
        <f>IF(SUMIFS('NSE - NIFTY Index Options'!$L:$L,'NSE - NIFTY Index Options'!$C:$C,$A102,'NSE - NIFTY Index Options'!$B:$B,E$4,'NSE - NIFTY Index Options'!$H:$H,"Monthly*")+SUMIFS('NSE - Other Index Options'!$L:$L,'NSE - Other Index Options'!$C:$C,$A102,'NSE - Other Index Options'!$B:$B,E$4,'NSE - Other Index Options'!$H:$H,"Monthly*")=0,"",SUMIFS('NSE - NIFTY Index Options'!$L:$L,'NSE - NIFTY Index Options'!$C:$C,$A102,'NSE - NIFTY Index Options'!$B:$B,E$4,'NSE - NIFTY Index Options'!$H:$H,"Monthly*")+SUMIFS('NSE - Other Index Options'!$L:$L,'NSE - Other Index Options'!$C:$C,$A102,'NSE - Other Index Options'!$B:$B,E$4,'NSE - Other Index Options'!$H:$H,"Monthly*"))</f>
        <v/>
      </c>
      <c r="F102" s="26" t="str">
        <f>IF(SUMIFS('NSE - NIFTY Index Options'!$L:$L,'NSE - NIFTY Index Options'!$C:$C,$A102,'NSE - NIFTY Index Options'!$B:$B,F$4,'NSE - NIFTY Index Options'!$H:$H,"Monthly*")+SUMIFS('NSE - Other Index Options'!$L:$L,'NSE - Other Index Options'!$C:$C,$A102,'NSE - Other Index Options'!$B:$B,F$4,'NSE - Other Index Options'!$H:$H,"Monthly*")=0,"",SUMIFS('NSE - NIFTY Index Options'!$L:$L,'NSE - NIFTY Index Options'!$C:$C,$A102,'NSE - NIFTY Index Options'!$B:$B,F$4,'NSE - NIFTY Index Options'!$H:$H,"Monthly*")+SUMIFS('NSE - Other Index Options'!$L:$L,'NSE - Other Index Options'!$C:$C,$A102,'NSE - Other Index Options'!$B:$B,F$4,'NSE - Other Index Options'!$H:$H,"Monthly*"))</f>
        <v/>
      </c>
      <c r="G102" s="26" t="str">
        <f>IF(SUMIFS('NSE - NIFTY Index Options'!$L:$L,'NSE - NIFTY Index Options'!$C:$C,$A102,'NSE - NIFTY Index Options'!$B:$B,G$4,'NSE - NIFTY Index Options'!$H:$H,"Monthly*")+SUMIFS('NSE - Other Index Options'!$L:$L,'NSE - Other Index Options'!$C:$C,$A102,'NSE - Other Index Options'!$B:$B,G$4,'NSE - Other Index Options'!$H:$H,"Monthly*")=0,"",SUMIFS('NSE - NIFTY Index Options'!$L:$L,'NSE - NIFTY Index Options'!$C:$C,$A102,'NSE - NIFTY Index Options'!$B:$B,G$4,'NSE - NIFTY Index Options'!$H:$H,"Monthly*")+SUMIFS('NSE - Other Index Options'!$L:$L,'NSE - Other Index Options'!$C:$C,$A102,'NSE - Other Index Options'!$B:$B,G$4,'NSE - Other Index Options'!$H:$H,"Monthly*"))</f>
        <v/>
      </c>
      <c r="H102" s="26" t="str">
        <f t="shared" si="3"/>
        <v/>
      </c>
    </row>
    <row r="103" spans="1:8" hidden="1" outlineLevel="1">
      <c r="A103" t="s">
        <v>108</v>
      </c>
      <c r="B103" s="26" t="str">
        <f>IF(SUMIFS('NSE - NIFTY Index Options'!$L:$L,'NSE - NIFTY Index Options'!$C:$C,$A103,'NSE - NIFTY Index Options'!$B:$B,B$4,'NSE - NIFTY Index Options'!$H:$H,"Monthly*")+SUMIFS('NSE - Other Index Options'!$L:$L,'NSE - Other Index Options'!$C:$C,$A103,'NSE - Other Index Options'!$B:$B,B$4,'NSE - Other Index Options'!$H:$H,"Monthly*")=0,"",SUMIFS('NSE - NIFTY Index Options'!$L:$L,'NSE - NIFTY Index Options'!$C:$C,$A103,'NSE - NIFTY Index Options'!$B:$B,B$4,'NSE - NIFTY Index Options'!$H:$H,"Monthly*")+SUMIFS('NSE - Other Index Options'!$L:$L,'NSE - Other Index Options'!$C:$C,$A103,'NSE - Other Index Options'!$B:$B,B$4,'NSE - Other Index Options'!$H:$H,"Monthly*"))</f>
        <v/>
      </c>
      <c r="C103" s="26" t="str">
        <f>IF(SUMIFS('NSE - NIFTY Index Options'!$L:$L,'NSE - NIFTY Index Options'!$C:$C,$A103,'NSE - NIFTY Index Options'!$B:$B,C$4,'NSE - NIFTY Index Options'!$H:$H,"Monthly*")+SUMIFS('NSE - Other Index Options'!$L:$L,'NSE - Other Index Options'!$C:$C,$A103,'NSE - Other Index Options'!$B:$B,C$4,'NSE - Other Index Options'!$H:$H,"Monthly*")=0,"",SUMIFS('NSE - NIFTY Index Options'!$L:$L,'NSE - NIFTY Index Options'!$C:$C,$A103,'NSE - NIFTY Index Options'!$B:$B,C$4,'NSE - NIFTY Index Options'!$H:$H,"Monthly*")+SUMIFS('NSE - Other Index Options'!$L:$L,'NSE - Other Index Options'!$C:$C,$A103,'NSE - Other Index Options'!$B:$B,C$4,'NSE - Other Index Options'!$H:$H,"Monthly*"))</f>
        <v/>
      </c>
      <c r="D103" s="26" t="str">
        <f>IF(SUMIFS('NSE - NIFTY Index Options'!$L:$L,'NSE - NIFTY Index Options'!$C:$C,$A103,'NSE - NIFTY Index Options'!$B:$B,D$4,'NSE - NIFTY Index Options'!$H:$H,"Monthly*")+SUMIFS('NSE - Other Index Options'!$L:$L,'NSE - Other Index Options'!$C:$C,$A103,'NSE - Other Index Options'!$B:$B,D$4,'NSE - Other Index Options'!$H:$H,"Monthly*")=0,"",SUMIFS('NSE - NIFTY Index Options'!$L:$L,'NSE - NIFTY Index Options'!$C:$C,$A103,'NSE - NIFTY Index Options'!$B:$B,D$4,'NSE - NIFTY Index Options'!$H:$H,"Monthly*")+SUMIFS('NSE - Other Index Options'!$L:$L,'NSE - Other Index Options'!$C:$C,$A103,'NSE - Other Index Options'!$B:$B,D$4,'NSE - Other Index Options'!$H:$H,"Monthly*"))</f>
        <v/>
      </c>
      <c r="E103" s="26" t="str">
        <f>IF(SUMIFS('NSE - NIFTY Index Options'!$L:$L,'NSE - NIFTY Index Options'!$C:$C,$A103,'NSE - NIFTY Index Options'!$B:$B,E$4,'NSE - NIFTY Index Options'!$H:$H,"Monthly*")+SUMIFS('NSE - Other Index Options'!$L:$L,'NSE - Other Index Options'!$C:$C,$A103,'NSE - Other Index Options'!$B:$B,E$4,'NSE - Other Index Options'!$H:$H,"Monthly*")=0,"",SUMIFS('NSE - NIFTY Index Options'!$L:$L,'NSE - NIFTY Index Options'!$C:$C,$A103,'NSE - NIFTY Index Options'!$B:$B,E$4,'NSE - NIFTY Index Options'!$H:$H,"Monthly*")+SUMIFS('NSE - Other Index Options'!$L:$L,'NSE - Other Index Options'!$C:$C,$A103,'NSE - Other Index Options'!$B:$B,E$4,'NSE - Other Index Options'!$H:$H,"Monthly*"))</f>
        <v/>
      </c>
      <c r="F103" s="26" t="str">
        <f>IF(SUMIFS('NSE - NIFTY Index Options'!$L:$L,'NSE - NIFTY Index Options'!$C:$C,$A103,'NSE - NIFTY Index Options'!$B:$B,F$4,'NSE - NIFTY Index Options'!$H:$H,"Monthly*")+SUMIFS('NSE - Other Index Options'!$L:$L,'NSE - Other Index Options'!$C:$C,$A103,'NSE - Other Index Options'!$B:$B,F$4,'NSE - Other Index Options'!$H:$H,"Monthly*")=0,"",SUMIFS('NSE - NIFTY Index Options'!$L:$L,'NSE - NIFTY Index Options'!$C:$C,$A103,'NSE - NIFTY Index Options'!$B:$B,F$4,'NSE - NIFTY Index Options'!$H:$H,"Monthly*")+SUMIFS('NSE - Other Index Options'!$L:$L,'NSE - Other Index Options'!$C:$C,$A103,'NSE - Other Index Options'!$B:$B,F$4,'NSE - Other Index Options'!$H:$H,"Monthly*"))</f>
        <v/>
      </c>
      <c r="G103" s="26" t="str">
        <f>IF(SUMIFS('NSE - NIFTY Index Options'!$L:$L,'NSE - NIFTY Index Options'!$C:$C,$A103,'NSE - NIFTY Index Options'!$B:$B,G$4,'NSE - NIFTY Index Options'!$H:$H,"Monthly*")+SUMIFS('NSE - Other Index Options'!$L:$L,'NSE - Other Index Options'!$C:$C,$A103,'NSE - Other Index Options'!$B:$B,G$4,'NSE - Other Index Options'!$H:$H,"Monthly*")=0,"",SUMIFS('NSE - NIFTY Index Options'!$L:$L,'NSE - NIFTY Index Options'!$C:$C,$A103,'NSE - NIFTY Index Options'!$B:$B,G$4,'NSE - NIFTY Index Options'!$H:$H,"Monthly*")+SUMIFS('NSE - Other Index Options'!$L:$L,'NSE - Other Index Options'!$C:$C,$A103,'NSE - Other Index Options'!$B:$B,G$4,'NSE - Other Index Options'!$H:$H,"Monthly*"))</f>
        <v/>
      </c>
      <c r="H103" s="26" t="str">
        <f t="shared" si="3"/>
        <v/>
      </c>
    </row>
    <row r="104" spans="1:8" hidden="1" outlineLevel="1">
      <c r="A104" t="s">
        <v>109</v>
      </c>
      <c r="B104" s="26" t="str">
        <f>IF(SUMIFS('NSE - NIFTY Index Options'!$L:$L,'NSE - NIFTY Index Options'!$C:$C,$A104,'NSE - NIFTY Index Options'!$B:$B,B$4,'NSE - NIFTY Index Options'!$H:$H,"Monthly*")+SUMIFS('NSE - Other Index Options'!$L:$L,'NSE - Other Index Options'!$C:$C,$A104,'NSE - Other Index Options'!$B:$B,B$4,'NSE - Other Index Options'!$H:$H,"Monthly*")=0,"",SUMIFS('NSE - NIFTY Index Options'!$L:$L,'NSE - NIFTY Index Options'!$C:$C,$A104,'NSE - NIFTY Index Options'!$B:$B,B$4,'NSE - NIFTY Index Options'!$H:$H,"Monthly*")+SUMIFS('NSE - Other Index Options'!$L:$L,'NSE - Other Index Options'!$C:$C,$A104,'NSE - Other Index Options'!$B:$B,B$4,'NSE - Other Index Options'!$H:$H,"Monthly*"))</f>
        <v/>
      </c>
      <c r="C104" s="26" t="str">
        <f>IF(SUMIFS('NSE - NIFTY Index Options'!$L:$L,'NSE - NIFTY Index Options'!$C:$C,$A104,'NSE - NIFTY Index Options'!$B:$B,C$4,'NSE - NIFTY Index Options'!$H:$H,"Monthly*")+SUMIFS('NSE - Other Index Options'!$L:$L,'NSE - Other Index Options'!$C:$C,$A104,'NSE - Other Index Options'!$B:$B,C$4,'NSE - Other Index Options'!$H:$H,"Monthly*")=0,"",SUMIFS('NSE - NIFTY Index Options'!$L:$L,'NSE - NIFTY Index Options'!$C:$C,$A104,'NSE - NIFTY Index Options'!$B:$B,C$4,'NSE - NIFTY Index Options'!$H:$H,"Monthly*")+SUMIFS('NSE - Other Index Options'!$L:$L,'NSE - Other Index Options'!$C:$C,$A104,'NSE - Other Index Options'!$B:$B,C$4,'NSE - Other Index Options'!$H:$H,"Monthly*"))</f>
        <v/>
      </c>
      <c r="D104" s="26" t="str">
        <f>IF(SUMIFS('NSE - NIFTY Index Options'!$L:$L,'NSE - NIFTY Index Options'!$C:$C,$A104,'NSE - NIFTY Index Options'!$B:$B,D$4,'NSE - NIFTY Index Options'!$H:$H,"Monthly*")+SUMIFS('NSE - Other Index Options'!$L:$L,'NSE - Other Index Options'!$C:$C,$A104,'NSE - Other Index Options'!$B:$B,D$4,'NSE - Other Index Options'!$H:$H,"Monthly*")=0,"",SUMIFS('NSE - NIFTY Index Options'!$L:$L,'NSE - NIFTY Index Options'!$C:$C,$A104,'NSE - NIFTY Index Options'!$B:$B,D$4,'NSE - NIFTY Index Options'!$H:$H,"Monthly*")+SUMIFS('NSE - Other Index Options'!$L:$L,'NSE - Other Index Options'!$C:$C,$A104,'NSE - Other Index Options'!$B:$B,D$4,'NSE - Other Index Options'!$H:$H,"Monthly*"))</f>
        <v/>
      </c>
      <c r="E104" s="26" t="str">
        <f>IF(SUMIFS('NSE - NIFTY Index Options'!$L:$L,'NSE - NIFTY Index Options'!$C:$C,$A104,'NSE - NIFTY Index Options'!$B:$B,E$4,'NSE - NIFTY Index Options'!$H:$H,"Monthly*")+SUMIFS('NSE - Other Index Options'!$L:$L,'NSE - Other Index Options'!$C:$C,$A104,'NSE - Other Index Options'!$B:$B,E$4,'NSE - Other Index Options'!$H:$H,"Monthly*")=0,"",SUMIFS('NSE - NIFTY Index Options'!$L:$L,'NSE - NIFTY Index Options'!$C:$C,$A104,'NSE - NIFTY Index Options'!$B:$B,E$4,'NSE - NIFTY Index Options'!$H:$H,"Monthly*")+SUMIFS('NSE - Other Index Options'!$L:$L,'NSE - Other Index Options'!$C:$C,$A104,'NSE - Other Index Options'!$B:$B,E$4,'NSE - Other Index Options'!$H:$H,"Monthly*"))</f>
        <v/>
      </c>
      <c r="F104" s="26" t="str">
        <f>IF(SUMIFS('NSE - NIFTY Index Options'!$L:$L,'NSE - NIFTY Index Options'!$C:$C,$A104,'NSE - NIFTY Index Options'!$B:$B,F$4,'NSE - NIFTY Index Options'!$H:$H,"Monthly*")+SUMIFS('NSE - Other Index Options'!$L:$L,'NSE - Other Index Options'!$C:$C,$A104,'NSE - Other Index Options'!$B:$B,F$4,'NSE - Other Index Options'!$H:$H,"Monthly*")=0,"",SUMIFS('NSE - NIFTY Index Options'!$L:$L,'NSE - NIFTY Index Options'!$C:$C,$A104,'NSE - NIFTY Index Options'!$B:$B,F$4,'NSE - NIFTY Index Options'!$H:$H,"Monthly*")+SUMIFS('NSE - Other Index Options'!$L:$L,'NSE - Other Index Options'!$C:$C,$A104,'NSE - Other Index Options'!$B:$B,F$4,'NSE - Other Index Options'!$H:$H,"Monthly*"))</f>
        <v/>
      </c>
      <c r="G104" s="26" t="str">
        <f>IF(SUMIFS('NSE - NIFTY Index Options'!$L:$L,'NSE - NIFTY Index Options'!$C:$C,$A104,'NSE - NIFTY Index Options'!$B:$B,G$4,'NSE - NIFTY Index Options'!$H:$H,"Monthly*")+SUMIFS('NSE - Other Index Options'!$L:$L,'NSE - Other Index Options'!$C:$C,$A104,'NSE - Other Index Options'!$B:$B,G$4,'NSE - Other Index Options'!$H:$H,"Monthly*")=0,"",SUMIFS('NSE - NIFTY Index Options'!$L:$L,'NSE - NIFTY Index Options'!$C:$C,$A104,'NSE - NIFTY Index Options'!$B:$B,G$4,'NSE - NIFTY Index Options'!$H:$H,"Monthly*")+SUMIFS('NSE - Other Index Options'!$L:$L,'NSE - Other Index Options'!$C:$C,$A104,'NSE - Other Index Options'!$B:$B,G$4,'NSE - Other Index Options'!$H:$H,"Monthly*"))</f>
        <v/>
      </c>
      <c r="H104" s="26" t="str">
        <f t="shared" si="3"/>
        <v/>
      </c>
    </row>
    <row r="105" spans="1:8" hidden="1" outlineLevel="1">
      <c r="A105" t="s">
        <v>110</v>
      </c>
      <c r="B105" s="26" t="str">
        <f>IF(SUMIFS('NSE - NIFTY Index Options'!$L:$L,'NSE - NIFTY Index Options'!$C:$C,$A105,'NSE - NIFTY Index Options'!$B:$B,B$4,'NSE - NIFTY Index Options'!$H:$H,"Monthly*")+SUMIFS('NSE - Other Index Options'!$L:$L,'NSE - Other Index Options'!$C:$C,$A105,'NSE - Other Index Options'!$B:$B,B$4,'NSE - Other Index Options'!$H:$H,"Monthly*")=0,"",SUMIFS('NSE - NIFTY Index Options'!$L:$L,'NSE - NIFTY Index Options'!$C:$C,$A105,'NSE - NIFTY Index Options'!$B:$B,B$4,'NSE - NIFTY Index Options'!$H:$H,"Monthly*")+SUMIFS('NSE - Other Index Options'!$L:$L,'NSE - Other Index Options'!$C:$C,$A105,'NSE - Other Index Options'!$B:$B,B$4,'NSE - Other Index Options'!$H:$H,"Monthly*"))</f>
        <v/>
      </c>
      <c r="C105" s="26" t="str">
        <f>IF(SUMIFS('NSE - NIFTY Index Options'!$L:$L,'NSE - NIFTY Index Options'!$C:$C,$A105,'NSE - NIFTY Index Options'!$B:$B,C$4,'NSE - NIFTY Index Options'!$H:$H,"Monthly*")+SUMIFS('NSE - Other Index Options'!$L:$L,'NSE - Other Index Options'!$C:$C,$A105,'NSE - Other Index Options'!$B:$B,C$4,'NSE - Other Index Options'!$H:$H,"Monthly*")=0,"",SUMIFS('NSE - NIFTY Index Options'!$L:$L,'NSE - NIFTY Index Options'!$C:$C,$A105,'NSE - NIFTY Index Options'!$B:$B,C$4,'NSE - NIFTY Index Options'!$H:$H,"Monthly*")+SUMIFS('NSE - Other Index Options'!$L:$L,'NSE - Other Index Options'!$C:$C,$A105,'NSE - Other Index Options'!$B:$B,C$4,'NSE - Other Index Options'!$H:$H,"Monthly*"))</f>
        <v/>
      </c>
      <c r="D105" s="26" t="str">
        <f>IF(SUMIFS('NSE - NIFTY Index Options'!$L:$L,'NSE - NIFTY Index Options'!$C:$C,$A105,'NSE - NIFTY Index Options'!$B:$B,D$4,'NSE - NIFTY Index Options'!$H:$H,"Monthly*")+SUMIFS('NSE - Other Index Options'!$L:$L,'NSE - Other Index Options'!$C:$C,$A105,'NSE - Other Index Options'!$B:$B,D$4,'NSE - Other Index Options'!$H:$H,"Monthly*")=0,"",SUMIFS('NSE - NIFTY Index Options'!$L:$L,'NSE - NIFTY Index Options'!$C:$C,$A105,'NSE - NIFTY Index Options'!$B:$B,D$4,'NSE - NIFTY Index Options'!$H:$H,"Monthly*")+SUMIFS('NSE - Other Index Options'!$L:$L,'NSE - Other Index Options'!$C:$C,$A105,'NSE - Other Index Options'!$B:$B,D$4,'NSE - Other Index Options'!$H:$H,"Monthly*"))</f>
        <v/>
      </c>
      <c r="E105" s="26" t="str">
        <f>IF(SUMIFS('NSE - NIFTY Index Options'!$L:$L,'NSE - NIFTY Index Options'!$C:$C,$A105,'NSE - NIFTY Index Options'!$B:$B,E$4,'NSE - NIFTY Index Options'!$H:$H,"Monthly*")+SUMIFS('NSE - Other Index Options'!$L:$L,'NSE - Other Index Options'!$C:$C,$A105,'NSE - Other Index Options'!$B:$B,E$4,'NSE - Other Index Options'!$H:$H,"Monthly*")=0,"",SUMIFS('NSE - NIFTY Index Options'!$L:$L,'NSE - NIFTY Index Options'!$C:$C,$A105,'NSE - NIFTY Index Options'!$B:$B,E$4,'NSE - NIFTY Index Options'!$H:$H,"Monthly*")+SUMIFS('NSE - Other Index Options'!$L:$L,'NSE - Other Index Options'!$C:$C,$A105,'NSE - Other Index Options'!$B:$B,E$4,'NSE - Other Index Options'!$H:$H,"Monthly*"))</f>
        <v/>
      </c>
      <c r="F105" s="26" t="str">
        <f>IF(SUMIFS('NSE - NIFTY Index Options'!$L:$L,'NSE - NIFTY Index Options'!$C:$C,$A105,'NSE - NIFTY Index Options'!$B:$B,F$4,'NSE - NIFTY Index Options'!$H:$H,"Monthly*")+SUMIFS('NSE - Other Index Options'!$L:$L,'NSE - Other Index Options'!$C:$C,$A105,'NSE - Other Index Options'!$B:$B,F$4,'NSE - Other Index Options'!$H:$H,"Monthly*")=0,"",SUMIFS('NSE - NIFTY Index Options'!$L:$L,'NSE - NIFTY Index Options'!$C:$C,$A105,'NSE - NIFTY Index Options'!$B:$B,F$4,'NSE - NIFTY Index Options'!$H:$H,"Monthly*")+SUMIFS('NSE - Other Index Options'!$L:$L,'NSE - Other Index Options'!$C:$C,$A105,'NSE - Other Index Options'!$B:$B,F$4,'NSE - Other Index Options'!$H:$H,"Monthly*"))</f>
        <v/>
      </c>
      <c r="G105" s="26" t="str">
        <f>IF(SUMIFS('NSE - NIFTY Index Options'!$L:$L,'NSE - NIFTY Index Options'!$C:$C,$A105,'NSE - NIFTY Index Options'!$B:$B,G$4,'NSE - NIFTY Index Options'!$H:$H,"Monthly*")+SUMIFS('NSE - Other Index Options'!$L:$L,'NSE - Other Index Options'!$C:$C,$A105,'NSE - Other Index Options'!$B:$B,G$4,'NSE - Other Index Options'!$H:$H,"Monthly*")=0,"",SUMIFS('NSE - NIFTY Index Options'!$L:$L,'NSE - NIFTY Index Options'!$C:$C,$A105,'NSE - NIFTY Index Options'!$B:$B,G$4,'NSE - NIFTY Index Options'!$H:$H,"Monthly*")+SUMIFS('NSE - Other Index Options'!$L:$L,'NSE - Other Index Options'!$C:$C,$A105,'NSE - Other Index Options'!$B:$B,G$4,'NSE - Other Index Options'!$H:$H,"Monthly*"))</f>
        <v/>
      </c>
      <c r="H105" s="26" t="str">
        <f t="shared" si="3"/>
        <v/>
      </c>
    </row>
    <row r="106" spans="1:8" hidden="1" outlineLevel="1">
      <c r="A106" t="s">
        <v>111</v>
      </c>
      <c r="B106" s="26" t="str">
        <f>IF(SUMIFS('NSE - NIFTY Index Options'!$L:$L,'NSE - NIFTY Index Options'!$C:$C,$A106,'NSE - NIFTY Index Options'!$B:$B,B$4,'NSE - NIFTY Index Options'!$H:$H,"Monthly*")+SUMIFS('NSE - Other Index Options'!$L:$L,'NSE - Other Index Options'!$C:$C,$A106,'NSE - Other Index Options'!$B:$B,B$4,'NSE - Other Index Options'!$H:$H,"Monthly*")=0,"",SUMIFS('NSE - NIFTY Index Options'!$L:$L,'NSE - NIFTY Index Options'!$C:$C,$A106,'NSE - NIFTY Index Options'!$B:$B,B$4,'NSE - NIFTY Index Options'!$H:$H,"Monthly*")+SUMIFS('NSE - Other Index Options'!$L:$L,'NSE - Other Index Options'!$C:$C,$A106,'NSE - Other Index Options'!$B:$B,B$4,'NSE - Other Index Options'!$H:$H,"Monthly*"))</f>
        <v/>
      </c>
      <c r="C106" s="26" t="str">
        <f>IF(SUMIFS('NSE - NIFTY Index Options'!$L:$L,'NSE - NIFTY Index Options'!$C:$C,$A106,'NSE - NIFTY Index Options'!$B:$B,C$4,'NSE - NIFTY Index Options'!$H:$H,"Monthly*")+SUMIFS('NSE - Other Index Options'!$L:$L,'NSE - Other Index Options'!$C:$C,$A106,'NSE - Other Index Options'!$B:$B,C$4,'NSE - Other Index Options'!$H:$H,"Monthly*")=0,"",SUMIFS('NSE - NIFTY Index Options'!$L:$L,'NSE - NIFTY Index Options'!$C:$C,$A106,'NSE - NIFTY Index Options'!$B:$B,C$4,'NSE - NIFTY Index Options'!$H:$H,"Monthly*")+SUMIFS('NSE - Other Index Options'!$L:$L,'NSE - Other Index Options'!$C:$C,$A106,'NSE - Other Index Options'!$B:$B,C$4,'NSE - Other Index Options'!$H:$H,"Monthly*"))</f>
        <v/>
      </c>
      <c r="D106" s="26" t="str">
        <f>IF(SUMIFS('NSE - NIFTY Index Options'!$L:$L,'NSE - NIFTY Index Options'!$C:$C,$A106,'NSE - NIFTY Index Options'!$B:$B,D$4,'NSE - NIFTY Index Options'!$H:$H,"Monthly*")+SUMIFS('NSE - Other Index Options'!$L:$L,'NSE - Other Index Options'!$C:$C,$A106,'NSE - Other Index Options'!$B:$B,D$4,'NSE - Other Index Options'!$H:$H,"Monthly*")=0,"",SUMIFS('NSE - NIFTY Index Options'!$L:$L,'NSE - NIFTY Index Options'!$C:$C,$A106,'NSE - NIFTY Index Options'!$B:$B,D$4,'NSE - NIFTY Index Options'!$H:$H,"Monthly*")+SUMIFS('NSE - Other Index Options'!$L:$L,'NSE - Other Index Options'!$C:$C,$A106,'NSE - Other Index Options'!$B:$B,D$4,'NSE - Other Index Options'!$H:$H,"Monthly*"))</f>
        <v/>
      </c>
      <c r="E106" s="26" t="str">
        <f>IF(SUMIFS('NSE - NIFTY Index Options'!$L:$L,'NSE - NIFTY Index Options'!$C:$C,$A106,'NSE - NIFTY Index Options'!$B:$B,E$4,'NSE - NIFTY Index Options'!$H:$H,"Monthly*")+SUMIFS('NSE - Other Index Options'!$L:$L,'NSE - Other Index Options'!$C:$C,$A106,'NSE - Other Index Options'!$B:$B,E$4,'NSE - Other Index Options'!$H:$H,"Monthly*")=0,"",SUMIFS('NSE - NIFTY Index Options'!$L:$L,'NSE - NIFTY Index Options'!$C:$C,$A106,'NSE - NIFTY Index Options'!$B:$B,E$4,'NSE - NIFTY Index Options'!$H:$H,"Monthly*")+SUMIFS('NSE - Other Index Options'!$L:$L,'NSE - Other Index Options'!$C:$C,$A106,'NSE - Other Index Options'!$B:$B,E$4,'NSE - Other Index Options'!$H:$H,"Monthly*"))</f>
        <v/>
      </c>
      <c r="F106" s="26" t="str">
        <f>IF(SUMIFS('NSE - NIFTY Index Options'!$L:$L,'NSE - NIFTY Index Options'!$C:$C,$A106,'NSE - NIFTY Index Options'!$B:$B,F$4,'NSE - NIFTY Index Options'!$H:$H,"Monthly*")+SUMIFS('NSE - Other Index Options'!$L:$L,'NSE - Other Index Options'!$C:$C,$A106,'NSE - Other Index Options'!$B:$B,F$4,'NSE - Other Index Options'!$H:$H,"Monthly*")=0,"",SUMIFS('NSE - NIFTY Index Options'!$L:$L,'NSE - NIFTY Index Options'!$C:$C,$A106,'NSE - NIFTY Index Options'!$B:$B,F$4,'NSE - NIFTY Index Options'!$H:$H,"Monthly*")+SUMIFS('NSE - Other Index Options'!$L:$L,'NSE - Other Index Options'!$C:$C,$A106,'NSE - Other Index Options'!$B:$B,F$4,'NSE - Other Index Options'!$H:$H,"Monthly*"))</f>
        <v/>
      </c>
      <c r="G106" s="26" t="str">
        <f>IF(SUMIFS('NSE - NIFTY Index Options'!$L:$L,'NSE - NIFTY Index Options'!$C:$C,$A106,'NSE - NIFTY Index Options'!$B:$B,G$4,'NSE - NIFTY Index Options'!$H:$H,"Monthly*")+SUMIFS('NSE - Other Index Options'!$L:$L,'NSE - Other Index Options'!$C:$C,$A106,'NSE - Other Index Options'!$B:$B,G$4,'NSE - Other Index Options'!$H:$H,"Monthly*")=0,"",SUMIFS('NSE - NIFTY Index Options'!$L:$L,'NSE - NIFTY Index Options'!$C:$C,$A106,'NSE - NIFTY Index Options'!$B:$B,G$4,'NSE - NIFTY Index Options'!$H:$H,"Monthly*")+SUMIFS('NSE - Other Index Options'!$L:$L,'NSE - Other Index Options'!$C:$C,$A106,'NSE - Other Index Options'!$B:$B,G$4,'NSE - Other Index Options'!$H:$H,"Monthly*"))</f>
        <v/>
      </c>
      <c r="H106" s="26" t="str">
        <f t="shared" si="3"/>
        <v/>
      </c>
    </row>
    <row r="107" spans="1:8" hidden="1" outlineLevel="1">
      <c r="A107" t="s">
        <v>112</v>
      </c>
      <c r="B107" s="26" t="str">
        <f>IF(SUMIFS('NSE - NIFTY Index Options'!$L:$L,'NSE - NIFTY Index Options'!$C:$C,$A107,'NSE - NIFTY Index Options'!$B:$B,B$4,'NSE - NIFTY Index Options'!$H:$H,"Monthly*")+SUMIFS('NSE - Other Index Options'!$L:$L,'NSE - Other Index Options'!$C:$C,$A107,'NSE - Other Index Options'!$B:$B,B$4,'NSE - Other Index Options'!$H:$H,"Monthly*")=0,"",SUMIFS('NSE - NIFTY Index Options'!$L:$L,'NSE - NIFTY Index Options'!$C:$C,$A107,'NSE - NIFTY Index Options'!$B:$B,B$4,'NSE - NIFTY Index Options'!$H:$H,"Monthly*")+SUMIFS('NSE - Other Index Options'!$L:$L,'NSE - Other Index Options'!$C:$C,$A107,'NSE - Other Index Options'!$B:$B,B$4,'NSE - Other Index Options'!$H:$H,"Monthly*"))</f>
        <v/>
      </c>
      <c r="C107" s="26" t="str">
        <f>IF(SUMIFS('NSE - NIFTY Index Options'!$L:$L,'NSE - NIFTY Index Options'!$C:$C,$A107,'NSE - NIFTY Index Options'!$B:$B,C$4,'NSE - NIFTY Index Options'!$H:$H,"Monthly*")+SUMIFS('NSE - Other Index Options'!$L:$L,'NSE - Other Index Options'!$C:$C,$A107,'NSE - Other Index Options'!$B:$B,C$4,'NSE - Other Index Options'!$H:$H,"Monthly*")=0,"",SUMIFS('NSE - NIFTY Index Options'!$L:$L,'NSE - NIFTY Index Options'!$C:$C,$A107,'NSE - NIFTY Index Options'!$B:$B,C$4,'NSE - NIFTY Index Options'!$H:$H,"Monthly*")+SUMIFS('NSE - Other Index Options'!$L:$L,'NSE - Other Index Options'!$C:$C,$A107,'NSE - Other Index Options'!$B:$B,C$4,'NSE - Other Index Options'!$H:$H,"Monthly*"))</f>
        <v/>
      </c>
      <c r="D107" s="26" t="str">
        <f>IF(SUMIFS('NSE - NIFTY Index Options'!$L:$L,'NSE - NIFTY Index Options'!$C:$C,$A107,'NSE - NIFTY Index Options'!$B:$B,D$4,'NSE - NIFTY Index Options'!$H:$H,"Monthly*")+SUMIFS('NSE - Other Index Options'!$L:$L,'NSE - Other Index Options'!$C:$C,$A107,'NSE - Other Index Options'!$B:$B,D$4,'NSE - Other Index Options'!$H:$H,"Monthly*")=0,"",SUMIFS('NSE - NIFTY Index Options'!$L:$L,'NSE - NIFTY Index Options'!$C:$C,$A107,'NSE - NIFTY Index Options'!$B:$B,D$4,'NSE - NIFTY Index Options'!$H:$H,"Monthly*")+SUMIFS('NSE - Other Index Options'!$L:$L,'NSE - Other Index Options'!$C:$C,$A107,'NSE - Other Index Options'!$B:$B,D$4,'NSE - Other Index Options'!$H:$H,"Monthly*"))</f>
        <v/>
      </c>
      <c r="E107" s="26" t="str">
        <f>IF(SUMIFS('NSE - NIFTY Index Options'!$L:$L,'NSE - NIFTY Index Options'!$C:$C,$A107,'NSE - NIFTY Index Options'!$B:$B,E$4,'NSE - NIFTY Index Options'!$H:$H,"Monthly*")+SUMIFS('NSE - Other Index Options'!$L:$L,'NSE - Other Index Options'!$C:$C,$A107,'NSE - Other Index Options'!$B:$B,E$4,'NSE - Other Index Options'!$H:$H,"Monthly*")=0,"",SUMIFS('NSE - NIFTY Index Options'!$L:$L,'NSE - NIFTY Index Options'!$C:$C,$A107,'NSE - NIFTY Index Options'!$B:$B,E$4,'NSE - NIFTY Index Options'!$H:$H,"Monthly*")+SUMIFS('NSE - Other Index Options'!$L:$L,'NSE - Other Index Options'!$C:$C,$A107,'NSE - Other Index Options'!$B:$B,E$4,'NSE - Other Index Options'!$H:$H,"Monthly*"))</f>
        <v/>
      </c>
      <c r="F107" s="26" t="str">
        <f>IF(SUMIFS('NSE - NIFTY Index Options'!$L:$L,'NSE - NIFTY Index Options'!$C:$C,$A107,'NSE - NIFTY Index Options'!$B:$B,F$4,'NSE - NIFTY Index Options'!$H:$H,"Monthly*")+SUMIFS('NSE - Other Index Options'!$L:$L,'NSE - Other Index Options'!$C:$C,$A107,'NSE - Other Index Options'!$B:$B,F$4,'NSE - Other Index Options'!$H:$H,"Monthly*")=0,"",SUMIFS('NSE - NIFTY Index Options'!$L:$L,'NSE - NIFTY Index Options'!$C:$C,$A107,'NSE - NIFTY Index Options'!$B:$B,F$4,'NSE - NIFTY Index Options'!$H:$H,"Monthly*")+SUMIFS('NSE - Other Index Options'!$L:$L,'NSE - Other Index Options'!$C:$C,$A107,'NSE - Other Index Options'!$B:$B,F$4,'NSE - Other Index Options'!$H:$H,"Monthly*"))</f>
        <v/>
      </c>
      <c r="G107" s="26" t="str">
        <f>IF(SUMIFS('NSE - NIFTY Index Options'!$L:$L,'NSE - NIFTY Index Options'!$C:$C,$A107,'NSE - NIFTY Index Options'!$B:$B,G$4,'NSE - NIFTY Index Options'!$H:$H,"Monthly*")+SUMIFS('NSE - Other Index Options'!$L:$L,'NSE - Other Index Options'!$C:$C,$A107,'NSE - Other Index Options'!$B:$B,G$4,'NSE - Other Index Options'!$H:$H,"Monthly*")=0,"",SUMIFS('NSE - NIFTY Index Options'!$L:$L,'NSE - NIFTY Index Options'!$C:$C,$A107,'NSE - NIFTY Index Options'!$B:$B,G$4,'NSE - NIFTY Index Options'!$H:$H,"Monthly*")+SUMIFS('NSE - Other Index Options'!$L:$L,'NSE - Other Index Options'!$C:$C,$A107,'NSE - Other Index Options'!$B:$B,G$4,'NSE - Other Index Options'!$H:$H,"Monthly*"))</f>
        <v/>
      </c>
      <c r="H107" s="26" t="str">
        <f t="shared" si="3"/>
        <v/>
      </c>
    </row>
    <row r="108" spans="1:8" hidden="1" outlineLevel="1">
      <c r="A108" t="s">
        <v>113</v>
      </c>
      <c r="B108" s="26" t="str">
        <f>IF(SUMIFS('NSE - NIFTY Index Options'!$L:$L,'NSE - NIFTY Index Options'!$C:$C,$A108,'NSE - NIFTY Index Options'!$B:$B,B$4,'NSE - NIFTY Index Options'!$H:$H,"Monthly*")+SUMIFS('NSE - Other Index Options'!$L:$L,'NSE - Other Index Options'!$C:$C,$A108,'NSE - Other Index Options'!$B:$B,B$4,'NSE - Other Index Options'!$H:$H,"Monthly*")=0,"",SUMIFS('NSE - NIFTY Index Options'!$L:$L,'NSE - NIFTY Index Options'!$C:$C,$A108,'NSE - NIFTY Index Options'!$B:$B,B$4,'NSE - NIFTY Index Options'!$H:$H,"Monthly*")+SUMIFS('NSE - Other Index Options'!$L:$L,'NSE - Other Index Options'!$C:$C,$A108,'NSE - Other Index Options'!$B:$B,B$4,'NSE - Other Index Options'!$H:$H,"Monthly*"))</f>
        <v/>
      </c>
      <c r="C108" s="26" t="str">
        <f>IF(SUMIFS('NSE - NIFTY Index Options'!$L:$L,'NSE - NIFTY Index Options'!$C:$C,$A108,'NSE - NIFTY Index Options'!$B:$B,C$4,'NSE - NIFTY Index Options'!$H:$H,"Monthly*")+SUMIFS('NSE - Other Index Options'!$L:$L,'NSE - Other Index Options'!$C:$C,$A108,'NSE - Other Index Options'!$B:$B,C$4,'NSE - Other Index Options'!$H:$H,"Monthly*")=0,"",SUMIFS('NSE - NIFTY Index Options'!$L:$L,'NSE - NIFTY Index Options'!$C:$C,$A108,'NSE - NIFTY Index Options'!$B:$B,C$4,'NSE - NIFTY Index Options'!$H:$H,"Monthly*")+SUMIFS('NSE - Other Index Options'!$L:$L,'NSE - Other Index Options'!$C:$C,$A108,'NSE - Other Index Options'!$B:$B,C$4,'NSE - Other Index Options'!$H:$H,"Monthly*"))</f>
        <v/>
      </c>
      <c r="D108" s="26" t="str">
        <f>IF(SUMIFS('NSE - NIFTY Index Options'!$L:$L,'NSE - NIFTY Index Options'!$C:$C,$A108,'NSE - NIFTY Index Options'!$B:$B,D$4,'NSE - NIFTY Index Options'!$H:$H,"Monthly*")+SUMIFS('NSE - Other Index Options'!$L:$L,'NSE - Other Index Options'!$C:$C,$A108,'NSE - Other Index Options'!$B:$B,D$4,'NSE - Other Index Options'!$H:$H,"Monthly*")=0,"",SUMIFS('NSE - NIFTY Index Options'!$L:$L,'NSE - NIFTY Index Options'!$C:$C,$A108,'NSE - NIFTY Index Options'!$B:$B,D$4,'NSE - NIFTY Index Options'!$H:$H,"Monthly*")+SUMIFS('NSE - Other Index Options'!$L:$L,'NSE - Other Index Options'!$C:$C,$A108,'NSE - Other Index Options'!$B:$B,D$4,'NSE - Other Index Options'!$H:$H,"Monthly*"))</f>
        <v/>
      </c>
      <c r="E108" s="26" t="str">
        <f>IF(SUMIFS('NSE - NIFTY Index Options'!$L:$L,'NSE - NIFTY Index Options'!$C:$C,$A108,'NSE - NIFTY Index Options'!$B:$B,E$4,'NSE - NIFTY Index Options'!$H:$H,"Monthly*")+SUMIFS('NSE - Other Index Options'!$L:$L,'NSE - Other Index Options'!$C:$C,$A108,'NSE - Other Index Options'!$B:$B,E$4,'NSE - Other Index Options'!$H:$H,"Monthly*")=0,"",SUMIFS('NSE - NIFTY Index Options'!$L:$L,'NSE - NIFTY Index Options'!$C:$C,$A108,'NSE - NIFTY Index Options'!$B:$B,E$4,'NSE - NIFTY Index Options'!$H:$H,"Monthly*")+SUMIFS('NSE - Other Index Options'!$L:$L,'NSE - Other Index Options'!$C:$C,$A108,'NSE - Other Index Options'!$B:$B,E$4,'NSE - Other Index Options'!$H:$H,"Monthly*"))</f>
        <v/>
      </c>
      <c r="F108" s="26" t="str">
        <f>IF(SUMIFS('NSE - NIFTY Index Options'!$L:$L,'NSE - NIFTY Index Options'!$C:$C,$A108,'NSE - NIFTY Index Options'!$B:$B,F$4,'NSE - NIFTY Index Options'!$H:$H,"Monthly*")+SUMIFS('NSE - Other Index Options'!$L:$L,'NSE - Other Index Options'!$C:$C,$A108,'NSE - Other Index Options'!$B:$B,F$4,'NSE - Other Index Options'!$H:$H,"Monthly*")=0,"",SUMIFS('NSE - NIFTY Index Options'!$L:$L,'NSE - NIFTY Index Options'!$C:$C,$A108,'NSE - NIFTY Index Options'!$B:$B,F$4,'NSE - NIFTY Index Options'!$H:$H,"Monthly*")+SUMIFS('NSE - Other Index Options'!$L:$L,'NSE - Other Index Options'!$C:$C,$A108,'NSE - Other Index Options'!$B:$B,F$4,'NSE - Other Index Options'!$H:$H,"Monthly*"))</f>
        <v/>
      </c>
      <c r="G108" s="26" t="str">
        <f>IF(SUMIFS('NSE - NIFTY Index Options'!$L:$L,'NSE - NIFTY Index Options'!$C:$C,$A108,'NSE - NIFTY Index Options'!$B:$B,G$4,'NSE - NIFTY Index Options'!$H:$H,"Monthly*")+SUMIFS('NSE - Other Index Options'!$L:$L,'NSE - Other Index Options'!$C:$C,$A108,'NSE - Other Index Options'!$B:$B,G$4,'NSE - Other Index Options'!$H:$H,"Monthly*")=0,"",SUMIFS('NSE - NIFTY Index Options'!$L:$L,'NSE - NIFTY Index Options'!$C:$C,$A108,'NSE - NIFTY Index Options'!$B:$B,G$4,'NSE - NIFTY Index Options'!$H:$H,"Monthly*")+SUMIFS('NSE - Other Index Options'!$L:$L,'NSE - Other Index Options'!$C:$C,$A108,'NSE - Other Index Options'!$B:$B,G$4,'NSE - Other Index Options'!$H:$H,"Monthly*"))</f>
        <v/>
      </c>
      <c r="H108" s="26" t="str">
        <f t="shared" si="3"/>
        <v/>
      </c>
    </row>
    <row r="109" spans="1:8" hidden="1" outlineLevel="1">
      <c r="A109" t="s">
        <v>114</v>
      </c>
      <c r="B109" s="26" t="str">
        <f>IF(SUMIFS('NSE - NIFTY Index Options'!$L:$L,'NSE - NIFTY Index Options'!$C:$C,$A109,'NSE - NIFTY Index Options'!$B:$B,B$4,'NSE - NIFTY Index Options'!$H:$H,"Monthly*")+SUMIFS('NSE - Other Index Options'!$L:$L,'NSE - Other Index Options'!$C:$C,$A109,'NSE - Other Index Options'!$B:$B,B$4,'NSE - Other Index Options'!$H:$H,"Monthly*")=0,"",SUMIFS('NSE - NIFTY Index Options'!$L:$L,'NSE - NIFTY Index Options'!$C:$C,$A109,'NSE - NIFTY Index Options'!$B:$B,B$4,'NSE - NIFTY Index Options'!$H:$H,"Monthly*")+SUMIFS('NSE - Other Index Options'!$L:$L,'NSE - Other Index Options'!$C:$C,$A109,'NSE - Other Index Options'!$B:$B,B$4,'NSE - Other Index Options'!$H:$H,"Monthly*"))</f>
        <v/>
      </c>
      <c r="C109" s="26" t="str">
        <f>IF(SUMIFS('NSE - NIFTY Index Options'!$L:$L,'NSE - NIFTY Index Options'!$C:$C,$A109,'NSE - NIFTY Index Options'!$B:$B,C$4,'NSE - NIFTY Index Options'!$H:$H,"Monthly*")+SUMIFS('NSE - Other Index Options'!$L:$L,'NSE - Other Index Options'!$C:$C,$A109,'NSE - Other Index Options'!$B:$B,C$4,'NSE - Other Index Options'!$H:$H,"Monthly*")=0,"",SUMIFS('NSE - NIFTY Index Options'!$L:$L,'NSE - NIFTY Index Options'!$C:$C,$A109,'NSE - NIFTY Index Options'!$B:$B,C$4,'NSE - NIFTY Index Options'!$H:$H,"Monthly*")+SUMIFS('NSE - Other Index Options'!$L:$L,'NSE - Other Index Options'!$C:$C,$A109,'NSE - Other Index Options'!$B:$B,C$4,'NSE - Other Index Options'!$H:$H,"Monthly*"))</f>
        <v/>
      </c>
      <c r="D109" s="26" t="str">
        <f>IF(SUMIFS('NSE - NIFTY Index Options'!$L:$L,'NSE - NIFTY Index Options'!$C:$C,$A109,'NSE - NIFTY Index Options'!$B:$B,D$4,'NSE - NIFTY Index Options'!$H:$H,"Monthly*")+SUMIFS('NSE - Other Index Options'!$L:$L,'NSE - Other Index Options'!$C:$C,$A109,'NSE - Other Index Options'!$B:$B,D$4,'NSE - Other Index Options'!$H:$H,"Monthly*")=0,"",SUMIFS('NSE - NIFTY Index Options'!$L:$L,'NSE - NIFTY Index Options'!$C:$C,$A109,'NSE - NIFTY Index Options'!$B:$B,D$4,'NSE - NIFTY Index Options'!$H:$H,"Monthly*")+SUMIFS('NSE - Other Index Options'!$L:$L,'NSE - Other Index Options'!$C:$C,$A109,'NSE - Other Index Options'!$B:$B,D$4,'NSE - Other Index Options'!$H:$H,"Monthly*"))</f>
        <v/>
      </c>
      <c r="E109" s="26" t="str">
        <f>IF(SUMIFS('NSE - NIFTY Index Options'!$L:$L,'NSE - NIFTY Index Options'!$C:$C,$A109,'NSE - NIFTY Index Options'!$B:$B,E$4,'NSE - NIFTY Index Options'!$H:$H,"Monthly*")+SUMIFS('NSE - Other Index Options'!$L:$L,'NSE - Other Index Options'!$C:$C,$A109,'NSE - Other Index Options'!$B:$B,E$4,'NSE - Other Index Options'!$H:$H,"Monthly*")=0,"",SUMIFS('NSE - NIFTY Index Options'!$L:$L,'NSE - NIFTY Index Options'!$C:$C,$A109,'NSE - NIFTY Index Options'!$B:$B,E$4,'NSE - NIFTY Index Options'!$H:$H,"Monthly*")+SUMIFS('NSE - Other Index Options'!$L:$L,'NSE - Other Index Options'!$C:$C,$A109,'NSE - Other Index Options'!$B:$B,E$4,'NSE - Other Index Options'!$H:$H,"Monthly*"))</f>
        <v/>
      </c>
      <c r="F109" s="26" t="str">
        <f>IF(SUMIFS('NSE - NIFTY Index Options'!$L:$L,'NSE - NIFTY Index Options'!$C:$C,$A109,'NSE - NIFTY Index Options'!$B:$B,F$4,'NSE - NIFTY Index Options'!$H:$H,"Monthly*")+SUMIFS('NSE - Other Index Options'!$L:$L,'NSE - Other Index Options'!$C:$C,$A109,'NSE - Other Index Options'!$B:$B,F$4,'NSE - Other Index Options'!$H:$H,"Monthly*")=0,"",SUMIFS('NSE - NIFTY Index Options'!$L:$L,'NSE - NIFTY Index Options'!$C:$C,$A109,'NSE - NIFTY Index Options'!$B:$B,F$4,'NSE - NIFTY Index Options'!$H:$H,"Monthly*")+SUMIFS('NSE - Other Index Options'!$L:$L,'NSE - Other Index Options'!$C:$C,$A109,'NSE - Other Index Options'!$B:$B,F$4,'NSE - Other Index Options'!$H:$H,"Monthly*"))</f>
        <v/>
      </c>
      <c r="G109" s="26" t="str">
        <f>IF(SUMIFS('NSE - NIFTY Index Options'!$L:$L,'NSE - NIFTY Index Options'!$C:$C,$A109,'NSE - NIFTY Index Options'!$B:$B,G$4,'NSE - NIFTY Index Options'!$H:$H,"Monthly*")+SUMIFS('NSE - Other Index Options'!$L:$L,'NSE - Other Index Options'!$C:$C,$A109,'NSE - Other Index Options'!$B:$B,G$4,'NSE - Other Index Options'!$H:$H,"Monthly*")=0,"",SUMIFS('NSE - NIFTY Index Options'!$L:$L,'NSE - NIFTY Index Options'!$C:$C,$A109,'NSE - NIFTY Index Options'!$B:$B,G$4,'NSE - NIFTY Index Options'!$H:$H,"Monthly*")+SUMIFS('NSE - Other Index Options'!$L:$L,'NSE - Other Index Options'!$C:$C,$A109,'NSE - Other Index Options'!$B:$B,G$4,'NSE - Other Index Options'!$H:$H,"Monthly*"))</f>
        <v/>
      </c>
      <c r="H109" s="26" t="str">
        <f t="shared" si="3"/>
        <v/>
      </c>
    </row>
    <row r="110" spans="1:8" hidden="1" outlineLevel="1">
      <c r="A110" t="s">
        <v>115</v>
      </c>
      <c r="B110" s="26" t="str">
        <f>IF(SUMIFS('NSE - NIFTY Index Options'!$L:$L,'NSE - NIFTY Index Options'!$C:$C,$A110,'NSE - NIFTY Index Options'!$B:$B,B$4,'NSE - NIFTY Index Options'!$H:$H,"Monthly*")+SUMIFS('NSE - Other Index Options'!$L:$L,'NSE - Other Index Options'!$C:$C,$A110,'NSE - Other Index Options'!$B:$B,B$4,'NSE - Other Index Options'!$H:$H,"Monthly*")=0,"",SUMIFS('NSE - NIFTY Index Options'!$L:$L,'NSE - NIFTY Index Options'!$C:$C,$A110,'NSE - NIFTY Index Options'!$B:$B,B$4,'NSE - NIFTY Index Options'!$H:$H,"Monthly*")+SUMIFS('NSE - Other Index Options'!$L:$L,'NSE - Other Index Options'!$C:$C,$A110,'NSE - Other Index Options'!$B:$B,B$4,'NSE - Other Index Options'!$H:$H,"Monthly*"))</f>
        <v/>
      </c>
      <c r="C110" s="26" t="str">
        <f>IF(SUMIFS('NSE - NIFTY Index Options'!$L:$L,'NSE - NIFTY Index Options'!$C:$C,$A110,'NSE - NIFTY Index Options'!$B:$B,C$4,'NSE - NIFTY Index Options'!$H:$H,"Monthly*")+SUMIFS('NSE - Other Index Options'!$L:$L,'NSE - Other Index Options'!$C:$C,$A110,'NSE - Other Index Options'!$B:$B,C$4,'NSE - Other Index Options'!$H:$H,"Monthly*")=0,"",SUMIFS('NSE - NIFTY Index Options'!$L:$L,'NSE - NIFTY Index Options'!$C:$C,$A110,'NSE - NIFTY Index Options'!$B:$B,C$4,'NSE - NIFTY Index Options'!$H:$H,"Monthly*")+SUMIFS('NSE - Other Index Options'!$L:$L,'NSE - Other Index Options'!$C:$C,$A110,'NSE - Other Index Options'!$B:$B,C$4,'NSE - Other Index Options'!$H:$H,"Monthly*"))</f>
        <v/>
      </c>
      <c r="D110" s="26" t="str">
        <f>IF(SUMIFS('NSE - NIFTY Index Options'!$L:$L,'NSE - NIFTY Index Options'!$C:$C,$A110,'NSE - NIFTY Index Options'!$B:$B,D$4,'NSE - NIFTY Index Options'!$H:$H,"Monthly*")+SUMIFS('NSE - Other Index Options'!$L:$L,'NSE - Other Index Options'!$C:$C,$A110,'NSE - Other Index Options'!$B:$B,D$4,'NSE - Other Index Options'!$H:$H,"Monthly*")=0,"",SUMIFS('NSE - NIFTY Index Options'!$L:$L,'NSE - NIFTY Index Options'!$C:$C,$A110,'NSE - NIFTY Index Options'!$B:$B,D$4,'NSE - NIFTY Index Options'!$H:$H,"Monthly*")+SUMIFS('NSE - Other Index Options'!$L:$L,'NSE - Other Index Options'!$C:$C,$A110,'NSE - Other Index Options'!$B:$B,D$4,'NSE - Other Index Options'!$H:$H,"Monthly*"))</f>
        <v/>
      </c>
      <c r="E110" s="26" t="str">
        <f>IF(SUMIFS('NSE - NIFTY Index Options'!$L:$L,'NSE - NIFTY Index Options'!$C:$C,$A110,'NSE - NIFTY Index Options'!$B:$B,E$4,'NSE - NIFTY Index Options'!$H:$H,"Monthly*")+SUMIFS('NSE - Other Index Options'!$L:$L,'NSE - Other Index Options'!$C:$C,$A110,'NSE - Other Index Options'!$B:$B,E$4,'NSE - Other Index Options'!$H:$H,"Monthly*")=0,"",SUMIFS('NSE - NIFTY Index Options'!$L:$L,'NSE - NIFTY Index Options'!$C:$C,$A110,'NSE - NIFTY Index Options'!$B:$B,E$4,'NSE - NIFTY Index Options'!$H:$H,"Monthly*")+SUMIFS('NSE - Other Index Options'!$L:$L,'NSE - Other Index Options'!$C:$C,$A110,'NSE - Other Index Options'!$B:$B,E$4,'NSE - Other Index Options'!$H:$H,"Monthly*"))</f>
        <v/>
      </c>
      <c r="F110" s="26" t="str">
        <f>IF(SUMIFS('NSE - NIFTY Index Options'!$L:$L,'NSE - NIFTY Index Options'!$C:$C,$A110,'NSE - NIFTY Index Options'!$B:$B,F$4,'NSE - NIFTY Index Options'!$H:$H,"Monthly*")+SUMIFS('NSE - Other Index Options'!$L:$L,'NSE - Other Index Options'!$C:$C,$A110,'NSE - Other Index Options'!$B:$B,F$4,'NSE - Other Index Options'!$H:$H,"Monthly*")=0,"",SUMIFS('NSE - NIFTY Index Options'!$L:$L,'NSE - NIFTY Index Options'!$C:$C,$A110,'NSE - NIFTY Index Options'!$B:$B,F$4,'NSE - NIFTY Index Options'!$H:$H,"Monthly*")+SUMIFS('NSE - Other Index Options'!$L:$L,'NSE - Other Index Options'!$C:$C,$A110,'NSE - Other Index Options'!$B:$B,F$4,'NSE - Other Index Options'!$H:$H,"Monthly*"))</f>
        <v/>
      </c>
      <c r="G110" s="26" t="str">
        <f>IF(SUMIFS('NSE - NIFTY Index Options'!$L:$L,'NSE - NIFTY Index Options'!$C:$C,$A110,'NSE - NIFTY Index Options'!$B:$B,G$4,'NSE - NIFTY Index Options'!$H:$H,"Monthly*")+SUMIFS('NSE - Other Index Options'!$L:$L,'NSE - Other Index Options'!$C:$C,$A110,'NSE - Other Index Options'!$B:$B,G$4,'NSE - Other Index Options'!$H:$H,"Monthly*")=0,"",SUMIFS('NSE - NIFTY Index Options'!$L:$L,'NSE - NIFTY Index Options'!$C:$C,$A110,'NSE - NIFTY Index Options'!$B:$B,G$4,'NSE - NIFTY Index Options'!$H:$H,"Monthly*")+SUMIFS('NSE - Other Index Options'!$L:$L,'NSE - Other Index Options'!$C:$C,$A110,'NSE - Other Index Options'!$B:$B,G$4,'NSE - Other Index Options'!$H:$H,"Monthly*"))</f>
        <v/>
      </c>
      <c r="H110" s="26" t="str">
        <f t="shared" si="3"/>
        <v/>
      </c>
    </row>
    <row r="111" spans="1:8" hidden="1" outlineLevel="1">
      <c r="A111" t="s">
        <v>116</v>
      </c>
      <c r="B111" s="26" t="str">
        <f>IF(SUMIFS('NSE - NIFTY Index Options'!$L:$L,'NSE - NIFTY Index Options'!$C:$C,$A111,'NSE - NIFTY Index Options'!$B:$B,B$4,'NSE - NIFTY Index Options'!$H:$H,"Monthly*")+SUMIFS('NSE - Other Index Options'!$L:$L,'NSE - Other Index Options'!$C:$C,$A111,'NSE - Other Index Options'!$B:$B,B$4,'NSE - Other Index Options'!$H:$H,"Monthly*")=0,"",SUMIFS('NSE - NIFTY Index Options'!$L:$L,'NSE - NIFTY Index Options'!$C:$C,$A111,'NSE - NIFTY Index Options'!$B:$B,B$4,'NSE - NIFTY Index Options'!$H:$H,"Monthly*")+SUMIFS('NSE - Other Index Options'!$L:$L,'NSE - Other Index Options'!$C:$C,$A111,'NSE - Other Index Options'!$B:$B,B$4,'NSE - Other Index Options'!$H:$H,"Monthly*"))</f>
        <v/>
      </c>
      <c r="C111" s="26" t="str">
        <f>IF(SUMIFS('NSE - NIFTY Index Options'!$L:$L,'NSE - NIFTY Index Options'!$C:$C,$A111,'NSE - NIFTY Index Options'!$B:$B,C$4,'NSE - NIFTY Index Options'!$H:$H,"Monthly*")+SUMIFS('NSE - Other Index Options'!$L:$L,'NSE - Other Index Options'!$C:$C,$A111,'NSE - Other Index Options'!$B:$B,C$4,'NSE - Other Index Options'!$H:$H,"Monthly*")=0,"",SUMIFS('NSE - NIFTY Index Options'!$L:$L,'NSE - NIFTY Index Options'!$C:$C,$A111,'NSE - NIFTY Index Options'!$B:$B,C$4,'NSE - NIFTY Index Options'!$H:$H,"Monthly*")+SUMIFS('NSE - Other Index Options'!$L:$L,'NSE - Other Index Options'!$C:$C,$A111,'NSE - Other Index Options'!$B:$B,C$4,'NSE - Other Index Options'!$H:$H,"Monthly*"))</f>
        <v/>
      </c>
      <c r="D111" s="26" t="str">
        <f>IF(SUMIFS('NSE - NIFTY Index Options'!$L:$L,'NSE - NIFTY Index Options'!$C:$C,$A111,'NSE - NIFTY Index Options'!$B:$B,D$4,'NSE - NIFTY Index Options'!$H:$H,"Monthly*")+SUMIFS('NSE - Other Index Options'!$L:$L,'NSE - Other Index Options'!$C:$C,$A111,'NSE - Other Index Options'!$B:$B,D$4,'NSE - Other Index Options'!$H:$H,"Monthly*")=0,"",SUMIFS('NSE - NIFTY Index Options'!$L:$L,'NSE - NIFTY Index Options'!$C:$C,$A111,'NSE - NIFTY Index Options'!$B:$B,D$4,'NSE - NIFTY Index Options'!$H:$H,"Monthly*")+SUMIFS('NSE - Other Index Options'!$L:$L,'NSE - Other Index Options'!$C:$C,$A111,'NSE - Other Index Options'!$B:$B,D$4,'NSE - Other Index Options'!$H:$H,"Monthly*"))</f>
        <v/>
      </c>
      <c r="E111" s="26" t="str">
        <f>IF(SUMIFS('NSE - NIFTY Index Options'!$L:$L,'NSE - NIFTY Index Options'!$C:$C,$A111,'NSE - NIFTY Index Options'!$B:$B,E$4,'NSE - NIFTY Index Options'!$H:$H,"Monthly*")+SUMIFS('NSE - Other Index Options'!$L:$L,'NSE - Other Index Options'!$C:$C,$A111,'NSE - Other Index Options'!$B:$B,E$4,'NSE - Other Index Options'!$H:$H,"Monthly*")=0,"",SUMIFS('NSE - NIFTY Index Options'!$L:$L,'NSE - NIFTY Index Options'!$C:$C,$A111,'NSE - NIFTY Index Options'!$B:$B,E$4,'NSE - NIFTY Index Options'!$H:$H,"Monthly*")+SUMIFS('NSE - Other Index Options'!$L:$L,'NSE - Other Index Options'!$C:$C,$A111,'NSE - Other Index Options'!$B:$B,E$4,'NSE - Other Index Options'!$H:$H,"Monthly*"))</f>
        <v/>
      </c>
      <c r="F111" s="26" t="str">
        <f>IF(SUMIFS('NSE - NIFTY Index Options'!$L:$L,'NSE - NIFTY Index Options'!$C:$C,$A111,'NSE - NIFTY Index Options'!$B:$B,F$4,'NSE - NIFTY Index Options'!$H:$H,"Monthly*")+SUMIFS('NSE - Other Index Options'!$L:$L,'NSE - Other Index Options'!$C:$C,$A111,'NSE - Other Index Options'!$B:$B,F$4,'NSE - Other Index Options'!$H:$H,"Monthly*")=0,"",SUMIFS('NSE - NIFTY Index Options'!$L:$L,'NSE - NIFTY Index Options'!$C:$C,$A111,'NSE - NIFTY Index Options'!$B:$B,F$4,'NSE - NIFTY Index Options'!$H:$H,"Monthly*")+SUMIFS('NSE - Other Index Options'!$L:$L,'NSE - Other Index Options'!$C:$C,$A111,'NSE - Other Index Options'!$B:$B,F$4,'NSE - Other Index Options'!$H:$H,"Monthly*"))</f>
        <v/>
      </c>
      <c r="G111" s="26" t="str">
        <f>IF(SUMIFS('NSE - NIFTY Index Options'!$L:$L,'NSE - NIFTY Index Options'!$C:$C,$A111,'NSE - NIFTY Index Options'!$B:$B,G$4,'NSE - NIFTY Index Options'!$H:$H,"Monthly*")+SUMIFS('NSE - Other Index Options'!$L:$L,'NSE - Other Index Options'!$C:$C,$A111,'NSE - Other Index Options'!$B:$B,G$4,'NSE - Other Index Options'!$H:$H,"Monthly*")=0,"",SUMIFS('NSE - NIFTY Index Options'!$L:$L,'NSE - NIFTY Index Options'!$C:$C,$A111,'NSE - NIFTY Index Options'!$B:$B,G$4,'NSE - NIFTY Index Options'!$H:$H,"Monthly*")+SUMIFS('NSE - Other Index Options'!$L:$L,'NSE - Other Index Options'!$C:$C,$A111,'NSE - Other Index Options'!$B:$B,G$4,'NSE - Other Index Options'!$H:$H,"Monthly*"))</f>
        <v/>
      </c>
      <c r="H111" s="26" t="str">
        <f t="shared" si="3"/>
        <v/>
      </c>
    </row>
    <row r="112" spans="1:8" hidden="1" outlineLevel="1">
      <c r="A112" t="s">
        <v>117</v>
      </c>
      <c r="B112" s="26" t="str">
        <f>IF(SUMIFS('NSE - NIFTY Index Options'!$L:$L,'NSE - NIFTY Index Options'!$C:$C,$A112,'NSE - NIFTY Index Options'!$B:$B,B$4,'NSE - NIFTY Index Options'!$H:$H,"Monthly*")+SUMIFS('NSE - Other Index Options'!$L:$L,'NSE - Other Index Options'!$C:$C,$A112,'NSE - Other Index Options'!$B:$B,B$4,'NSE - Other Index Options'!$H:$H,"Monthly*")=0,"",SUMIFS('NSE - NIFTY Index Options'!$L:$L,'NSE - NIFTY Index Options'!$C:$C,$A112,'NSE - NIFTY Index Options'!$B:$B,B$4,'NSE - NIFTY Index Options'!$H:$H,"Monthly*")+SUMIFS('NSE - Other Index Options'!$L:$L,'NSE - Other Index Options'!$C:$C,$A112,'NSE - Other Index Options'!$B:$B,B$4,'NSE - Other Index Options'!$H:$H,"Monthly*"))</f>
        <v/>
      </c>
      <c r="C112" s="26" t="str">
        <f>IF(SUMIFS('NSE - NIFTY Index Options'!$L:$L,'NSE - NIFTY Index Options'!$C:$C,$A112,'NSE - NIFTY Index Options'!$B:$B,C$4,'NSE - NIFTY Index Options'!$H:$H,"Monthly*")+SUMIFS('NSE - Other Index Options'!$L:$L,'NSE - Other Index Options'!$C:$C,$A112,'NSE - Other Index Options'!$B:$B,C$4,'NSE - Other Index Options'!$H:$H,"Monthly*")=0,"",SUMIFS('NSE - NIFTY Index Options'!$L:$L,'NSE - NIFTY Index Options'!$C:$C,$A112,'NSE - NIFTY Index Options'!$B:$B,C$4,'NSE - NIFTY Index Options'!$H:$H,"Monthly*")+SUMIFS('NSE - Other Index Options'!$L:$L,'NSE - Other Index Options'!$C:$C,$A112,'NSE - Other Index Options'!$B:$B,C$4,'NSE - Other Index Options'!$H:$H,"Monthly*"))</f>
        <v/>
      </c>
      <c r="D112" s="26" t="str">
        <f>IF(SUMIFS('NSE - NIFTY Index Options'!$L:$L,'NSE - NIFTY Index Options'!$C:$C,$A112,'NSE - NIFTY Index Options'!$B:$B,D$4,'NSE - NIFTY Index Options'!$H:$H,"Monthly*")+SUMIFS('NSE - Other Index Options'!$L:$L,'NSE - Other Index Options'!$C:$C,$A112,'NSE - Other Index Options'!$B:$B,D$4,'NSE - Other Index Options'!$H:$H,"Monthly*")=0,"",SUMIFS('NSE - NIFTY Index Options'!$L:$L,'NSE - NIFTY Index Options'!$C:$C,$A112,'NSE - NIFTY Index Options'!$B:$B,D$4,'NSE - NIFTY Index Options'!$H:$H,"Monthly*")+SUMIFS('NSE - Other Index Options'!$L:$L,'NSE - Other Index Options'!$C:$C,$A112,'NSE - Other Index Options'!$B:$B,D$4,'NSE - Other Index Options'!$H:$H,"Monthly*"))</f>
        <v/>
      </c>
      <c r="E112" s="26" t="str">
        <f>IF(SUMIFS('NSE - NIFTY Index Options'!$L:$L,'NSE - NIFTY Index Options'!$C:$C,$A112,'NSE - NIFTY Index Options'!$B:$B,E$4,'NSE - NIFTY Index Options'!$H:$H,"Monthly*")+SUMIFS('NSE - Other Index Options'!$L:$L,'NSE - Other Index Options'!$C:$C,$A112,'NSE - Other Index Options'!$B:$B,E$4,'NSE - Other Index Options'!$H:$H,"Monthly*")=0,"",SUMIFS('NSE - NIFTY Index Options'!$L:$L,'NSE - NIFTY Index Options'!$C:$C,$A112,'NSE - NIFTY Index Options'!$B:$B,E$4,'NSE - NIFTY Index Options'!$H:$H,"Monthly*")+SUMIFS('NSE - Other Index Options'!$L:$L,'NSE - Other Index Options'!$C:$C,$A112,'NSE - Other Index Options'!$B:$B,E$4,'NSE - Other Index Options'!$H:$H,"Monthly*"))</f>
        <v/>
      </c>
      <c r="F112" s="26" t="str">
        <f>IF(SUMIFS('NSE - NIFTY Index Options'!$L:$L,'NSE - NIFTY Index Options'!$C:$C,$A112,'NSE - NIFTY Index Options'!$B:$B,F$4,'NSE - NIFTY Index Options'!$H:$H,"Monthly*")+SUMIFS('NSE - Other Index Options'!$L:$L,'NSE - Other Index Options'!$C:$C,$A112,'NSE - Other Index Options'!$B:$B,F$4,'NSE - Other Index Options'!$H:$H,"Monthly*")=0,"",SUMIFS('NSE - NIFTY Index Options'!$L:$L,'NSE - NIFTY Index Options'!$C:$C,$A112,'NSE - NIFTY Index Options'!$B:$B,F$4,'NSE - NIFTY Index Options'!$H:$H,"Monthly*")+SUMIFS('NSE - Other Index Options'!$L:$L,'NSE - Other Index Options'!$C:$C,$A112,'NSE - Other Index Options'!$B:$B,F$4,'NSE - Other Index Options'!$H:$H,"Monthly*"))</f>
        <v/>
      </c>
      <c r="G112" s="26" t="str">
        <f>IF(SUMIFS('NSE - NIFTY Index Options'!$L:$L,'NSE - NIFTY Index Options'!$C:$C,$A112,'NSE - NIFTY Index Options'!$B:$B,G$4,'NSE - NIFTY Index Options'!$H:$H,"Monthly*")+SUMIFS('NSE - Other Index Options'!$L:$L,'NSE - Other Index Options'!$C:$C,$A112,'NSE - Other Index Options'!$B:$B,G$4,'NSE - Other Index Options'!$H:$H,"Monthly*")=0,"",SUMIFS('NSE - NIFTY Index Options'!$L:$L,'NSE - NIFTY Index Options'!$C:$C,$A112,'NSE - NIFTY Index Options'!$B:$B,G$4,'NSE - NIFTY Index Options'!$H:$H,"Monthly*")+SUMIFS('NSE - Other Index Options'!$L:$L,'NSE - Other Index Options'!$C:$C,$A112,'NSE - Other Index Options'!$B:$B,G$4,'NSE - Other Index Options'!$H:$H,"Monthly*"))</f>
        <v/>
      </c>
      <c r="H112" s="26" t="str">
        <f t="shared" si="3"/>
        <v/>
      </c>
    </row>
    <row r="113" spans="1:8" hidden="1" outlineLevel="1">
      <c r="A113" t="s">
        <v>118</v>
      </c>
      <c r="B113" s="26" t="str">
        <f>IF(SUMIFS('NSE - NIFTY Index Options'!$L:$L,'NSE - NIFTY Index Options'!$C:$C,$A113,'NSE - NIFTY Index Options'!$B:$B,B$4,'NSE - NIFTY Index Options'!$H:$H,"Monthly*")+SUMIFS('NSE - Other Index Options'!$L:$L,'NSE - Other Index Options'!$C:$C,$A113,'NSE - Other Index Options'!$B:$B,B$4,'NSE - Other Index Options'!$H:$H,"Monthly*")=0,"",SUMIFS('NSE - NIFTY Index Options'!$L:$L,'NSE - NIFTY Index Options'!$C:$C,$A113,'NSE - NIFTY Index Options'!$B:$B,B$4,'NSE - NIFTY Index Options'!$H:$H,"Monthly*")+SUMIFS('NSE - Other Index Options'!$L:$L,'NSE - Other Index Options'!$C:$C,$A113,'NSE - Other Index Options'!$B:$B,B$4,'NSE - Other Index Options'!$H:$H,"Monthly*"))</f>
        <v/>
      </c>
      <c r="C113" s="26" t="str">
        <f>IF(SUMIFS('NSE - NIFTY Index Options'!$L:$L,'NSE - NIFTY Index Options'!$C:$C,$A113,'NSE - NIFTY Index Options'!$B:$B,C$4,'NSE - NIFTY Index Options'!$H:$H,"Monthly*")+SUMIFS('NSE - Other Index Options'!$L:$L,'NSE - Other Index Options'!$C:$C,$A113,'NSE - Other Index Options'!$B:$B,C$4,'NSE - Other Index Options'!$H:$H,"Monthly*")=0,"",SUMIFS('NSE - NIFTY Index Options'!$L:$L,'NSE - NIFTY Index Options'!$C:$C,$A113,'NSE - NIFTY Index Options'!$B:$B,C$4,'NSE - NIFTY Index Options'!$H:$H,"Monthly*")+SUMIFS('NSE - Other Index Options'!$L:$L,'NSE - Other Index Options'!$C:$C,$A113,'NSE - Other Index Options'!$B:$B,C$4,'NSE - Other Index Options'!$H:$H,"Monthly*"))</f>
        <v/>
      </c>
      <c r="D113" s="26" t="str">
        <f>IF(SUMIFS('NSE - NIFTY Index Options'!$L:$L,'NSE - NIFTY Index Options'!$C:$C,$A113,'NSE - NIFTY Index Options'!$B:$B,D$4,'NSE - NIFTY Index Options'!$H:$H,"Monthly*")+SUMIFS('NSE - Other Index Options'!$L:$L,'NSE - Other Index Options'!$C:$C,$A113,'NSE - Other Index Options'!$B:$B,D$4,'NSE - Other Index Options'!$H:$H,"Monthly*")=0,"",SUMIFS('NSE - NIFTY Index Options'!$L:$L,'NSE - NIFTY Index Options'!$C:$C,$A113,'NSE - NIFTY Index Options'!$B:$B,D$4,'NSE - NIFTY Index Options'!$H:$H,"Monthly*")+SUMIFS('NSE - Other Index Options'!$L:$L,'NSE - Other Index Options'!$C:$C,$A113,'NSE - Other Index Options'!$B:$B,D$4,'NSE - Other Index Options'!$H:$H,"Monthly*"))</f>
        <v/>
      </c>
      <c r="E113" s="26" t="str">
        <f>IF(SUMIFS('NSE - NIFTY Index Options'!$L:$L,'NSE - NIFTY Index Options'!$C:$C,$A113,'NSE - NIFTY Index Options'!$B:$B,E$4,'NSE - NIFTY Index Options'!$H:$H,"Monthly*")+SUMIFS('NSE - Other Index Options'!$L:$L,'NSE - Other Index Options'!$C:$C,$A113,'NSE - Other Index Options'!$B:$B,E$4,'NSE - Other Index Options'!$H:$H,"Monthly*")=0,"",SUMIFS('NSE - NIFTY Index Options'!$L:$L,'NSE - NIFTY Index Options'!$C:$C,$A113,'NSE - NIFTY Index Options'!$B:$B,E$4,'NSE - NIFTY Index Options'!$H:$H,"Monthly*")+SUMIFS('NSE - Other Index Options'!$L:$L,'NSE - Other Index Options'!$C:$C,$A113,'NSE - Other Index Options'!$B:$B,E$4,'NSE - Other Index Options'!$H:$H,"Monthly*"))</f>
        <v/>
      </c>
      <c r="F113" s="26" t="str">
        <f>IF(SUMIFS('NSE - NIFTY Index Options'!$L:$L,'NSE - NIFTY Index Options'!$C:$C,$A113,'NSE - NIFTY Index Options'!$B:$B,F$4,'NSE - NIFTY Index Options'!$H:$H,"Monthly*")+SUMIFS('NSE - Other Index Options'!$L:$L,'NSE - Other Index Options'!$C:$C,$A113,'NSE - Other Index Options'!$B:$B,F$4,'NSE - Other Index Options'!$H:$H,"Monthly*")=0,"",SUMIFS('NSE - NIFTY Index Options'!$L:$L,'NSE - NIFTY Index Options'!$C:$C,$A113,'NSE - NIFTY Index Options'!$B:$B,F$4,'NSE - NIFTY Index Options'!$H:$H,"Monthly*")+SUMIFS('NSE - Other Index Options'!$L:$L,'NSE - Other Index Options'!$C:$C,$A113,'NSE - Other Index Options'!$B:$B,F$4,'NSE - Other Index Options'!$H:$H,"Monthly*"))</f>
        <v/>
      </c>
      <c r="G113" s="26" t="str">
        <f>IF(SUMIFS('NSE - NIFTY Index Options'!$L:$L,'NSE - NIFTY Index Options'!$C:$C,$A113,'NSE - NIFTY Index Options'!$B:$B,G$4,'NSE - NIFTY Index Options'!$H:$H,"Monthly*")+SUMIFS('NSE - Other Index Options'!$L:$L,'NSE - Other Index Options'!$C:$C,$A113,'NSE - Other Index Options'!$B:$B,G$4,'NSE - Other Index Options'!$H:$H,"Monthly*")=0,"",SUMIFS('NSE - NIFTY Index Options'!$L:$L,'NSE - NIFTY Index Options'!$C:$C,$A113,'NSE - NIFTY Index Options'!$B:$B,G$4,'NSE - NIFTY Index Options'!$H:$H,"Monthly*")+SUMIFS('NSE - Other Index Options'!$L:$L,'NSE - Other Index Options'!$C:$C,$A113,'NSE - Other Index Options'!$B:$B,G$4,'NSE - Other Index Options'!$H:$H,"Monthly*"))</f>
        <v/>
      </c>
      <c r="H113" s="26" t="str">
        <f t="shared" si="3"/>
        <v/>
      </c>
    </row>
    <row r="114" spans="1:8" hidden="1" outlineLevel="1">
      <c r="A114" t="s">
        <v>119</v>
      </c>
      <c r="B114" s="26" t="str">
        <f>IF(SUMIFS('NSE - NIFTY Index Options'!$L:$L,'NSE - NIFTY Index Options'!$C:$C,$A114,'NSE - NIFTY Index Options'!$B:$B,B$4,'NSE - NIFTY Index Options'!$H:$H,"Monthly*")+SUMIFS('NSE - Other Index Options'!$L:$L,'NSE - Other Index Options'!$C:$C,$A114,'NSE - Other Index Options'!$B:$B,B$4,'NSE - Other Index Options'!$H:$H,"Monthly*")=0,"",SUMIFS('NSE - NIFTY Index Options'!$L:$L,'NSE - NIFTY Index Options'!$C:$C,$A114,'NSE - NIFTY Index Options'!$B:$B,B$4,'NSE - NIFTY Index Options'!$H:$H,"Monthly*")+SUMIFS('NSE - Other Index Options'!$L:$L,'NSE - Other Index Options'!$C:$C,$A114,'NSE - Other Index Options'!$B:$B,B$4,'NSE - Other Index Options'!$H:$H,"Monthly*"))</f>
        <v/>
      </c>
      <c r="C114" s="26" t="str">
        <f>IF(SUMIFS('NSE - NIFTY Index Options'!$L:$L,'NSE - NIFTY Index Options'!$C:$C,$A114,'NSE - NIFTY Index Options'!$B:$B,C$4,'NSE - NIFTY Index Options'!$H:$H,"Monthly*")+SUMIFS('NSE - Other Index Options'!$L:$L,'NSE - Other Index Options'!$C:$C,$A114,'NSE - Other Index Options'!$B:$B,C$4,'NSE - Other Index Options'!$H:$H,"Monthly*")=0,"",SUMIFS('NSE - NIFTY Index Options'!$L:$L,'NSE - NIFTY Index Options'!$C:$C,$A114,'NSE - NIFTY Index Options'!$B:$B,C$4,'NSE - NIFTY Index Options'!$H:$H,"Monthly*")+SUMIFS('NSE - Other Index Options'!$L:$L,'NSE - Other Index Options'!$C:$C,$A114,'NSE - Other Index Options'!$B:$B,C$4,'NSE - Other Index Options'!$H:$H,"Monthly*"))</f>
        <v/>
      </c>
      <c r="D114" s="26" t="str">
        <f>IF(SUMIFS('NSE - NIFTY Index Options'!$L:$L,'NSE - NIFTY Index Options'!$C:$C,$A114,'NSE - NIFTY Index Options'!$B:$B,D$4,'NSE - NIFTY Index Options'!$H:$H,"Monthly*")+SUMIFS('NSE - Other Index Options'!$L:$L,'NSE - Other Index Options'!$C:$C,$A114,'NSE - Other Index Options'!$B:$B,D$4,'NSE - Other Index Options'!$H:$H,"Monthly*")=0,"",SUMIFS('NSE - NIFTY Index Options'!$L:$L,'NSE - NIFTY Index Options'!$C:$C,$A114,'NSE - NIFTY Index Options'!$B:$B,D$4,'NSE - NIFTY Index Options'!$H:$H,"Monthly*")+SUMIFS('NSE - Other Index Options'!$L:$L,'NSE - Other Index Options'!$C:$C,$A114,'NSE - Other Index Options'!$B:$B,D$4,'NSE - Other Index Options'!$H:$H,"Monthly*"))</f>
        <v/>
      </c>
      <c r="E114" s="26" t="str">
        <f>IF(SUMIFS('NSE - NIFTY Index Options'!$L:$L,'NSE - NIFTY Index Options'!$C:$C,$A114,'NSE - NIFTY Index Options'!$B:$B,E$4,'NSE - NIFTY Index Options'!$H:$H,"Monthly*")+SUMIFS('NSE - Other Index Options'!$L:$L,'NSE - Other Index Options'!$C:$C,$A114,'NSE - Other Index Options'!$B:$B,E$4,'NSE - Other Index Options'!$H:$H,"Monthly*")=0,"",SUMIFS('NSE - NIFTY Index Options'!$L:$L,'NSE - NIFTY Index Options'!$C:$C,$A114,'NSE - NIFTY Index Options'!$B:$B,E$4,'NSE - NIFTY Index Options'!$H:$H,"Monthly*")+SUMIFS('NSE - Other Index Options'!$L:$L,'NSE - Other Index Options'!$C:$C,$A114,'NSE - Other Index Options'!$B:$B,E$4,'NSE - Other Index Options'!$H:$H,"Monthly*"))</f>
        <v/>
      </c>
      <c r="F114" s="26" t="str">
        <f>IF(SUMIFS('NSE - NIFTY Index Options'!$L:$L,'NSE - NIFTY Index Options'!$C:$C,$A114,'NSE - NIFTY Index Options'!$B:$B,F$4,'NSE - NIFTY Index Options'!$H:$H,"Monthly*")+SUMIFS('NSE - Other Index Options'!$L:$L,'NSE - Other Index Options'!$C:$C,$A114,'NSE - Other Index Options'!$B:$B,F$4,'NSE - Other Index Options'!$H:$H,"Monthly*")=0,"",SUMIFS('NSE - NIFTY Index Options'!$L:$L,'NSE - NIFTY Index Options'!$C:$C,$A114,'NSE - NIFTY Index Options'!$B:$B,F$4,'NSE - NIFTY Index Options'!$H:$H,"Monthly*")+SUMIFS('NSE - Other Index Options'!$L:$L,'NSE - Other Index Options'!$C:$C,$A114,'NSE - Other Index Options'!$B:$B,F$4,'NSE - Other Index Options'!$H:$H,"Monthly*"))</f>
        <v/>
      </c>
      <c r="G114" s="26" t="str">
        <f>IF(SUMIFS('NSE - NIFTY Index Options'!$L:$L,'NSE - NIFTY Index Options'!$C:$C,$A114,'NSE - NIFTY Index Options'!$B:$B,G$4,'NSE - NIFTY Index Options'!$H:$H,"Monthly*")+SUMIFS('NSE - Other Index Options'!$L:$L,'NSE - Other Index Options'!$C:$C,$A114,'NSE - Other Index Options'!$B:$B,G$4,'NSE - Other Index Options'!$H:$H,"Monthly*")=0,"",SUMIFS('NSE - NIFTY Index Options'!$L:$L,'NSE - NIFTY Index Options'!$C:$C,$A114,'NSE - NIFTY Index Options'!$B:$B,G$4,'NSE - NIFTY Index Options'!$H:$H,"Monthly*")+SUMIFS('NSE - Other Index Options'!$L:$L,'NSE - Other Index Options'!$C:$C,$A114,'NSE - Other Index Options'!$B:$B,G$4,'NSE - Other Index Options'!$H:$H,"Monthly*"))</f>
        <v/>
      </c>
      <c r="H114" s="26" t="str">
        <f t="shared" si="3"/>
        <v/>
      </c>
    </row>
    <row r="115" spans="1:8" hidden="1" outlineLevel="1">
      <c r="A115" t="s">
        <v>120</v>
      </c>
      <c r="B115" s="26" t="str">
        <f>IF(SUMIFS('NSE - NIFTY Index Options'!$L:$L,'NSE - NIFTY Index Options'!$C:$C,$A115,'NSE - NIFTY Index Options'!$B:$B,B$4,'NSE - NIFTY Index Options'!$H:$H,"Monthly*")+SUMIFS('NSE - Other Index Options'!$L:$L,'NSE - Other Index Options'!$C:$C,$A115,'NSE - Other Index Options'!$B:$B,B$4,'NSE - Other Index Options'!$H:$H,"Monthly*")=0,"",SUMIFS('NSE - NIFTY Index Options'!$L:$L,'NSE - NIFTY Index Options'!$C:$C,$A115,'NSE - NIFTY Index Options'!$B:$B,B$4,'NSE - NIFTY Index Options'!$H:$H,"Monthly*")+SUMIFS('NSE - Other Index Options'!$L:$L,'NSE - Other Index Options'!$C:$C,$A115,'NSE - Other Index Options'!$B:$B,B$4,'NSE - Other Index Options'!$H:$H,"Monthly*"))</f>
        <v/>
      </c>
      <c r="C115" s="26" t="str">
        <f>IF(SUMIFS('NSE - NIFTY Index Options'!$L:$L,'NSE - NIFTY Index Options'!$C:$C,$A115,'NSE - NIFTY Index Options'!$B:$B,C$4,'NSE - NIFTY Index Options'!$H:$H,"Monthly*")+SUMIFS('NSE - Other Index Options'!$L:$L,'NSE - Other Index Options'!$C:$C,$A115,'NSE - Other Index Options'!$B:$B,C$4,'NSE - Other Index Options'!$H:$H,"Monthly*")=0,"",SUMIFS('NSE - NIFTY Index Options'!$L:$L,'NSE - NIFTY Index Options'!$C:$C,$A115,'NSE - NIFTY Index Options'!$B:$B,C$4,'NSE - NIFTY Index Options'!$H:$H,"Monthly*")+SUMIFS('NSE - Other Index Options'!$L:$L,'NSE - Other Index Options'!$C:$C,$A115,'NSE - Other Index Options'!$B:$B,C$4,'NSE - Other Index Options'!$H:$H,"Monthly*"))</f>
        <v/>
      </c>
      <c r="D115" s="26" t="str">
        <f>IF(SUMIFS('NSE - NIFTY Index Options'!$L:$L,'NSE - NIFTY Index Options'!$C:$C,$A115,'NSE - NIFTY Index Options'!$B:$B,D$4,'NSE - NIFTY Index Options'!$H:$H,"Monthly*")+SUMIFS('NSE - Other Index Options'!$L:$L,'NSE - Other Index Options'!$C:$C,$A115,'NSE - Other Index Options'!$B:$B,D$4,'NSE - Other Index Options'!$H:$H,"Monthly*")=0,"",SUMIFS('NSE - NIFTY Index Options'!$L:$L,'NSE - NIFTY Index Options'!$C:$C,$A115,'NSE - NIFTY Index Options'!$B:$B,D$4,'NSE - NIFTY Index Options'!$H:$H,"Monthly*")+SUMIFS('NSE - Other Index Options'!$L:$L,'NSE - Other Index Options'!$C:$C,$A115,'NSE - Other Index Options'!$B:$B,D$4,'NSE - Other Index Options'!$H:$H,"Monthly*"))</f>
        <v/>
      </c>
      <c r="E115" s="26" t="str">
        <f>IF(SUMIFS('NSE - NIFTY Index Options'!$L:$L,'NSE - NIFTY Index Options'!$C:$C,$A115,'NSE - NIFTY Index Options'!$B:$B,E$4,'NSE - NIFTY Index Options'!$H:$H,"Monthly*")+SUMIFS('NSE - Other Index Options'!$L:$L,'NSE - Other Index Options'!$C:$C,$A115,'NSE - Other Index Options'!$B:$B,E$4,'NSE - Other Index Options'!$H:$H,"Monthly*")=0,"",SUMIFS('NSE - NIFTY Index Options'!$L:$L,'NSE - NIFTY Index Options'!$C:$C,$A115,'NSE - NIFTY Index Options'!$B:$B,E$4,'NSE - NIFTY Index Options'!$H:$H,"Monthly*")+SUMIFS('NSE - Other Index Options'!$L:$L,'NSE - Other Index Options'!$C:$C,$A115,'NSE - Other Index Options'!$B:$B,E$4,'NSE - Other Index Options'!$H:$H,"Monthly*"))</f>
        <v/>
      </c>
      <c r="F115" s="26" t="str">
        <f>IF(SUMIFS('NSE - NIFTY Index Options'!$L:$L,'NSE - NIFTY Index Options'!$C:$C,$A115,'NSE - NIFTY Index Options'!$B:$B,F$4,'NSE - NIFTY Index Options'!$H:$H,"Monthly*")+SUMIFS('NSE - Other Index Options'!$L:$L,'NSE - Other Index Options'!$C:$C,$A115,'NSE - Other Index Options'!$B:$B,F$4,'NSE - Other Index Options'!$H:$H,"Monthly*")=0,"",SUMIFS('NSE - NIFTY Index Options'!$L:$L,'NSE - NIFTY Index Options'!$C:$C,$A115,'NSE - NIFTY Index Options'!$B:$B,F$4,'NSE - NIFTY Index Options'!$H:$H,"Monthly*")+SUMIFS('NSE - Other Index Options'!$L:$L,'NSE - Other Index Options'!$C:$C,$A115,'NSE - Other Index Options'!$B:$B,F$4,'NSE - Other Index Options'!$H:$H,"Monthly*"))</f>
        <v/>
      </c>
      <c r="G115" s="26" t="str">
        <f>IF(SUMIFS('NSE - NIFTY Index Options'!$L:$L,'NSE - NIFTY Index Options'!$C:$C,$A115,'NSE - NIFTY Index Options'!$B:$B,G$4,'NSE - NIFTY Index Options'!$H:$H,"Monthly*")+SUMIFS('NSE - Other Index Options'!$L:$L,'NSE - Other Index Options'!$C:$C,$A115,'NSE - Other Index Options'!$B:$B,G$4,'NSE - Other Index Options'!$H:$H,"Monthly*")=0,"",SUMIFS('NSE - NIFTY Index Options'!$L:$L,'NSE - NIFTY Index Options'!$C:$C,$A115,'NSE - NIFTY Index Options'!$B:$B,G$4,'NSE - NIFTY Index Options'!$H:$H,"Monthly*")+SUMIFS('NSE - Other Index Options'!$L:$L,'NSE - Other Index Options'!$C:$C,$A115,'NSE - Other Index Options'!$B:$B,G$4,'NSE - Other Index Options'!$H:$H,"Monthly*"))</f>
        <v/>
      </c>
      <c r="H115" s="26" t="str">
        <f t="shared" si="3"/>
        <v/>
      </c>
    </row>
    <row r="116" spans="1:8" hidden="1" outlineLevel="1">
      <c r="A116" t="s">
        <v>121</v>
      </c>
      <c r="B116" s="26" t="str">
        <f>IF(SUMIFS('NSE - NIFTY Index Options'!$L:$L,'NSE - NIFTY Index Options'!$C:$C,$A116,'NSE - NIFTY Index Options'!$B:$B,B$4,'NSE - NIFTY Index Options'!$H:$H,"Monthly*")+SUMIFS('NSE - Other Index Options'!$L:$L,'NSE - Other Index Options'!$C:$C,$A116,'NSE - Other Index Options'!$B:$B,B$4,'NSE - Other Index Options'!$H:$H,"Monthly*")=0,"",SUMIFS('NSE - NIFTY Index Options'!$L:$L,'NSE - NIFTY Index Options'!$C:$C,$A116,'NSE - NIFTY Index Options'!$B:$B,B$4,'NSE - NIFTY Index Options'!$H:$H,"Monthly*")+SUMIFS('NSE - Other Index Options'!$L:$L,'NSE - Other Index Options'!$C:$C,$A116,'NSE - Other Index Options'!$B:$B,B$4,'NSE - Other Index Options'!$H:$H,"Monthly*"))</f>
        <v/>
      </c>
      <c r="C116" s="26" t="str">
        <f>IF(SUMIFS('NSE - NIFTY Index Options'!$L:$L,'NSE - NIFTY Index Options'!$C:$C,$A116,'NSE - NIFTY Index Options'!$B:$B,C$4,'NSE - NIFTY Index Options'!$H:$H,"Monthly*")+SUMIFS('NSE - Other Index Options'!$L:$L,'NSE - Other Index Options'!$C:$C,$A116,'NSE - Other Index Options'!$B:$B,C$4,'NSE - Other Index Options'!$H:$H,"Monthly*")=0,"",SUMIFS('NSE - NIFTY Index Options'!$L:$L,'NSE - NIFTY Index Options'!$C:$C,$A116,'NSE - NIFTY Index Options'!$B:$B,C$4,'NSE - NIFTY Index Options'!$H:$H,"Monthly*")+SUMIFS('NSE - Other Index Options'!$L:$L,'NSE - Other Index Options'!$C:$C,$A116,'NSE - Other Index Options'!$B:$B,C$4,'NSE - Other Index Options'!$H:$H,"Monthly*"))</f>
        <v/>
      </c>
      <c r="D116" s="26" t="str">
        <f>IF(SUMIFS('NSE - NIFTY Index Options'!$L:$L,'NSE - NIFTY Index Options'!$C:$C,$A116,'NSE - NIFTY Index Options'!$B:$B,D$4,'NSE - NIFTY Index Options'!$H:$H,"Monthly*")+SUMIFS('NSE - Other Index Options'!$L:$L,'NSE - Other Index Options'!$C:$C,$A116,'NSE - Other Index Options'!$B:$B,D$4,'NSE - Other Index Options'!$H:$H,"Monthly*")=0,"",SUMIFS('NSE - NIFTY Index Options'!$L:$L,'NSE - NIFTY Index Options'!$C:$C,$A116,'NSE - NIFTY Index Options'!$B:$B,D$4,'NSE - NIFTY Index Options'!$H:$H,"Monthly*")+SUMIFS('NSE - Other Index Options'!$L:$L,'NSE - Other Index Options'!$C:$C,$A116,'NSE - Other Index Options'!$B:$B,D$4,'NSE - Other Index Options'!$H:$H,"Monthly*"))</f>
        <v/>
      </c>
      <c r="E116" s="26" t="str">
        <f>IF(SUMIFS('NSE - NIFTY Index Options'!$L:$L,'NSE - NIFTY Index Options'!$C:$C,$A116,'NSE - NIFTY Index Options'!$B:$B,E$4,'NSE - NIFTY Index Options'!$H:$H,"Monthly*")+SUMIFS('NSE - Other Index Options'!$L:$L,'NSE - Other Index Options'!$C:$C,$A116,'NSE - Other Index Options'!$B:$B,E$4,'NSE - Other Index Options'!$H:$H,"Monthly*")=0,"",SUMIFS('NSE - NIFTY Index Options'!$L:$L,'NSE - NIFTY Index Options'!$C:$C,$A116,'NSE - NIFTY Index Options'!$B:$B,E$4,'NSE - NIFTY Index Options'!$H:$H,"Monthly*")+SUMIFS('NSE - Other Index Options'!$L:$L,'NSE - Other Index Options'!$C:$C,$A116,'NSE - Other Index Options'!$B:$B,E$4,'NSE - Other Index Options'!$H:$H,"Monthly*"))</f>
        <v/>
      </c>
      <c r="F116" s="26" t="str">
        <f>IF(SUMIFS('NSE - NIFTY Index Options'!$L:$L,'NSE - NIFTY Index Options'!$C:$C,$A116,'NSE - NIFTY Index Options'!$B:$B,F$4,'NSE - NIFTY Index Options'!$H:$H,"Monthly*")+SUMIFS('NSE - Other Index Options'!$L:$L,'NSE - Other Index Options'!$C:$C,$A116,'NSE - Other Index Options'!$B:$B,F$4,'NSE - Other Index Options'!$H:$H,"Monthly*")=0,"",SUMIFS('NSE - NIFTY Index Options'!$L:$L,'NSE - NIFTY Index Options'!$C:$C,$A116,'NSE - NIFTY Index Options'!$B:$B,F$4,'NSE - NIFTY Index Options'!$H:$H,"Monthly*")+SUMIFS('NSE - Other Index Options'!$L:$L,'NSE - Other Index Options'!$C:$C,$A116,'NSE - Other Index Options'!$B:$B,F$4,'NSE - Other Index Options'!$H:$H,"Monthly*"))</f>
        <v/>
      </c>
      <c r="G116" s="26" t="str">
        <f>IF(SUMIFS('NSE - NIFTY Index Options'!$L:$L,'NSE - NIFTY Index Options'!$C:$C,$A116,'NSE - NIFTY Index Options'!$B:$B,G$4,'NSE - NIFTY Index Options'!$H:$H,"Monthly*")+SUMIFS('NSE - Other Index Options'!$L:$L,'NSE - Other Index Options'!$C:$C,$A116,'NSE - Other Index Options'!$B:$B,G$4,'NSE - Other Index Options'!$H:$H,"Monthly*")=0,"",SUMIFS('NSE - NIFTY Index Options'!$L:$L,'NSE - NIFTY Index Options'!$C:$C,$A116,'NSE - NIFTY Index Options'!$B:$B,G$4,'NSE - NIFTY Index Options'!$H:$H,"Monthly*")+SUMIFS('NSE - Other Index Options'!$L:$L,'NSE - Other Index Options'!$C:$C,$A116,'NSE - Other Index Options'!$B:$B,G$4,'NSE - Other Index Options'!$H:$H,"Monthly*"))</f>
        <v/>
      </c>
      <c r="H116" s="26" t="str">
        <f t="shared" si="3"/>
        <v/>
      </c>
    </row>
    <row r="117" spans="1:8" hidden="1" outlineLevel="1">
      <c r="A117" t="s">
        <v>122</v>
      </c>
      <c r="B117" s="26" t="str">
        <f>IF(SUMIFS('NSE - NIFTY Index Options'!$L:$L,'NSE - NIFTY Index Options'!$C:$C,$A117,'NSE - NIFTY Index Options'!$B:$B,B$4,'NSE - NIFTY Index Options'!$H:$H,"Monthly*")+SUMIFS('NSE - Other Index Options'!$L:$L,'NSE - Other Index Options'!$C:$C,$A117,'NSE - Other Index Options'!$B:$B,B$4,'NSE - Other Index Options'!$H:$H,"Monthly*")=0,"",SUMIFS('NSE - NIFTY Index Options'!$L:$L,'NSE - NIFTY Index Options'!$C:$C,$A117,'NSE - NIFTY Index Options'!$B:$B,B$4,'NSE - NIFTY Index Options'!$H:$H,"Monthly*")+SUMIFS('NSE - Other Index Options'!$L:$L,'NSE - Other Index Options'!$C:$C,$A117,'NSE - Other Index Options'!$B:$B,B$4,'NSE - Other Index Options'!$H:$H,"Monthly*"))</f>
        <v/>
      </c>
      <c r="C117" s="26" t="str">
        <f>IF(SUMIFS('NSE - NIFTY Index Options'!$L:$L,'NSE - NIFTY Index Options'!$C:$C,$A117,'NSE - NIFTY Index Options'!$B:$B,C$4,'NSE - NIFTY Index Options'!$H:$H,"Monthly*")+SUMIFS('NSE - Other Index Options'!$L:$L,'NSE - Other Index Options'!$C:$C,$A117,'NSE - Other Index Options'!$B:$B,C$4,'NSE - Other Index Options'!$H:$H,"Monthly*")=0,"",SUMIFS('NSE - NIFTY Index Options'!$L:$L,'NSE - NIFTY Index Options'!$C:$C,$A117,'NSE - NIFTY Index Options'!$B:$B,C$4,'NSE - NIFTY Index Options'!$H:$H,"Monthly*")+SUMIFS('NSE - Other Index Options'!$L:$L,'NSE - Other Index Options'!$C:$C,$A117,'NSE - Other Index Options'!$B:$B,C$4,'NSE - Other Index Options'!$H:$H,"Monthly*"))</f>
        <v/>
      </c>
      <c r="D117" s="26" t="str">
        <f>IF(SUMIFS('NSE - NIFTY Index Options'!$L:$L,'NSE - NIFTY Index Options'!$C:$C,$A117,'NSE - NIFTY Index Options'!$B:$B,D$4,'NSE - NIFTY Index Options'!$H:$H,"Monthly*")+SUMIFS('NSE - Other Index Options'!$L:$L,'NSE - Other Index Options'!$C:$C,$A117,'NSE - Other Index Options'!$B:$B,D$4,'NSE - Other Index Options'!$H:$H,"Monthly*")=0,"",SUMIFS('NSE - NIFTY Index Options'!$L:$L,'NSE - NIFTY Index Options'!$C:$C,$A117,'NSE - NIFTY Index Options'!$B:$B,D$4,'NSE - NIFTY Index Options'!$H:$H,"Monthly*")+SUMIFS('NSE - Other Index Options'!$L:$L,'NSE - Other Index Options'!$C:$C,$A117,'NSE - Other Index Options'!$B:$B,D$4,'NSE - Other Index Options'!$H:$H,"Monthly*"))</f>
        <v/>
      </c>
      <c r="E117" s="26" t="str">
        <f>IF(SUMIFS('NSE - NIFTY Index Options'!$L:$L,'NSE - NIFTY Index Options'!$C:$C,$A117,'NSE - NIFTY Index Options'!$B:$B,E$4,'NSE - NIFTY Index Options'!$H:$H,"Monthly*")+SUMIFS('NSE - Other Index Options'!$L:$L,'NSE - Other Index Options'!$C:$C,$A117,'NSE - Other Index Options'!$B:$B,E$4,'NSE - Other Index Options'!$H:$H,"Monthly*")=0,"",SUMIFS('NSE - NIFTY Index Options'!$L:$L,'NSE - NIFTY Index Options'!$C:$C,$A117,'NSE - NIFTY Index Options'!$B:$B,E$4,'NSE - NIFTY Index Options'!$H:$H,"Monthly*")+SUMIFS('NSE - Other Index Options'!$L:$L,'NSE - Other Index Options'!$C:$C,$A117,'NSE - Other Index Options'!$B:$B,E$4,'NSE - Other Index Options'!$H:$H,"Monthly*"))</f>
        <v/>
      </c>
      <c r="F117" s="26" t="str">
        <f>IF(SUMIFS('NSE - NIFTY Index Options'!$L:$L,'NSE - NIFTY Index Options'!$C:$C,$A117,'NSE - NIFTY Index Options'!$B:$B,F$4,'NSE - NIFTY Index Options'!$H:$H,"Monthly*")+SUMIFS('NSE - Other Index Options'!$L:$L,'NSE - Other Index Options'!$C:$C,$A117,'NSE - Other Index Options'!$B:$B,F$4,'NSE - Other Index Options'!$H:$H,"Monthly*")=0,"",SUMIFS('NSE - NIFTY Index Options'!$L:$L,'NSE - NIFTY Index Options'!$C:$C,$A117,'NSE - NIFTY Index Options'!$B:$B,F$4,'NSE - NIFTY Index Options'!$H:$H,"Monthly*")+SUMIFS('NSE - Other Index Options'!$L:$L,'NSE - Other Index Options'!$C:$C,$A117,'NSE - Other Index Options'!$B:$B,F$4,'NSE - Other Index Options'!$H:$H,"Monthly*"))</f>
        <v/>
      </c>
      <c r="G117" s="26" t="str">
        <f>IF(SUMIFS('NSE - NIFTY Index Options'!$L:$L,'NSE - NIFTY Index Options'!$C:$C,$A117,'NSE - NIFTY Index Options'!$B:$B,G$4,'NSE - NIFTY Index Options'!$H:$H,"Monthly*")+SUMIFS('NSE - Other Index Options'!$L:$L,'NSE - Other Index Options'!$C:$C,$A117,'NSE - Other Index Options'!$B:$B,G$4,'NSE - Other Index Options'!$H:$H,"Monthly*")=0,"",SUMIFS('NSE - NIFTY Index Options'!$L:$L,'NSE - NIFTY Index Options'!$C:$C,$A117,'NSE - NIFTY Index Options'!$B:$B,G$4,'NSE - NIFTY Index Options'!$H:$H,"Monthly*")+SUMIFS('NSE - Other Index Options'!$L:$L,'NSE - Other Index Options'!$C:$C,$A117,'NSE - Other Index Options'!$B:$B,G$4,'NSE - Other Index Options'!$H:$H,"Monthly*"))</f>
        <v/>
      </c>
      <c r="H117" s="26" t="str">
        <f t="shared" si="3"/>
        <v/>
      </c>
    </row>
    <row r="118" spans="1:8" hidden="1" outlineLevel="1">
      <c r="A118" t="s">
        <v>123</v>
      </c>
      <c r="B118" s="26" t="str">
        <f>IF(SUMIFS('NSE - NIFTY Index Options'!$L:$L,'NSE - NIFTY Index Options'!$C:$C,$A118,'NSE - NIFTY Index Options'!$B:$B,B$4,'NSE - NIFTY Index Options'!$H:$H,"Monthly*")+SUMIFS('NSE - Other Index Options'!$L:$L,'NSE - Other Index Options'!$C:$C,$A118,'NSE - Other Index Options'!$B:$B,B$4,'NSE - Other Index Options'!$H:$H,"Monthly*")=0,"",SUMIFS('NSE - NIFTY Index Options'!$L:$L,'NSE - NIFTY Index Options'!$C:$C,$A118,'NSE - NIFTY Index Options'!$B:$B,B$4,'NSE - NIFTY Index Options'!$H:$H,"Monthly*")+SUMIFS('NSE - Other Index Options'!$L:$L,'NSE - Other Index Options'!$C:$C,$A118,'NSE - Other Index Options'!$B:$B,B$4,'NSE - Other Index Options'!$H:$H,"Monthly*"))</f>
        <v/>
      </c>
      <c r="C118" s="26" t="str">
        <f>IF(SUMIFS('NSE - NIFTY Index Options'!$L:$L,'NSE - NIFTY Index Options'!$C:$C,$A118,'NSE - NIFTY Index Options'!$B:$B,C$4,'NSE - NIFTY Index Options'!$H:$H,"Monthly*")+SUMIFS('NSE - Other Index Options'!$L:$L,'NSE - Other Index Options'!$C:$C,$A118,'NSE - Other Index Options'!$B:$B,C$4,'NSE - Other Index Options'!$H:$H,"Monthly*")=0,"",SUMIFS('NSE - NIFTY Index Options'!$L:$L,'NSE - NIFTY Index Options'!$C:$C,$A118,'NSE - NIFTY Index Options'!$B:$B,C$4,'NSE - NIFTY Index Options'!$H:$H,"Monthly*")+SUMIFS('NSE - Other Index Options'!$L:$L,'NSE - Other Index Options'!$C:$C,$A118,'NSE - Other Index Options'!$B:$B,C$4,'NSE - Other Index Options'!$H:$H,"Monthly*"))</f>
        <v/>
      </c>
      <c r="D118" s="26" t="str">
        <f>IF(SUMIFS('NSE - NIFTY Index Options'!$L:$L,'NSE - NIFTY Index Options'!$C:$C,$A118,'NSE - NIFTY Index Options'!$B:$B,D$4,'NSE - NIFTY Index Options'!$H:$H,"Monthly*")+SUMIFS('NSE - Other Index Options'!$L:$L,'NSE - Other Index Options'!$C:$C,$A118,'NSE - Other Index Options'!$B:$B,D$4,'NSE - Other Index Options'!$H:$H,"Monthly*")=0,"",SUMIFS('NSE - NIFTY Index Options'!$L:$L,'NSE - NIFTY Index Options'!$C:$C,$A118,'NSE - NIFTY Index Options'!$B:$B,D$4,'NSE - NIFTY Index Options'!$H:$H,"Monthly*")+SUMIFS('NSE - Other Index Options'!$L:$L,'NSE - Other Index Options'!$C:$C,$A118,'NSE - Other Index Options'!$B:$B,D$4,'NSE - Other Index Options'!$H:$H,"Monthly*"))</f>
        <v/>
      </c>
      <c r="E118" s="26" t="str">
        <f>IF(SUMIFS('NSE - NIFTY Index Options'!$L:$L,'NSE - NIFTY Index Options'!$C:$C,$A118,'NSE - NIFTY Index Options'!$B:$B,E$4,'NSE - NIFTY Index Options'!$H:$H,"Monthly*")+SUMIFS('NSE - Other Index Options'!$L:$L,'NSE - Other Index Options'!$C:$C,$A118,'NSE - Other Index Options'!$B:$B,E$4,'NSE - Other Index Options'!$H:$H,"Monthly*")=0,"",SUMIFS('NSE - NIFTY Index Options'!$L:$L,'NSE - NIFTY Index Options'!$C:$C,$A118,'NSE - NIFTY Index Options'!$B:$B,E$4,'NSE - NIFTY Index Options'!$H:$H,"Monthly*")+SUMIFS('NSE - Other Index Options'!$L:$L,'NSE - Other Index Options'!$C:$C,$A118,'NSE - Other Index Options'!$B:$B,E$4,'NSE - Other Index Options'!$H:$H,"Monthly*"))</f>
        <v/>
      </c>
      <c r="F118" s="26" t="str">
        <f>IF(SUMIFS('NSE - NIFTY Index Options'!$L:$L,'NSE - NIFTY Index Options'!$C:$C,$A118,'NSE - NIFTY Index Options'!$B:$B,F$4,'NSE - NIFTY Index Options'!$H:$H,"Monthly*")+SUMIFS('NSE - Other Index Options'!$L:$L,'NSE - Other Index Options'!$C:$C,$A118,'NSE - Other Index Options'!$B:$B,F$4,'NSE - Other Index Options'!$H:$H,"Monthly*")=0,"",SUMIFS('NSE - NIFTY Index Options'!$L:$L,'NSE - NIFTY Index Options'!$C:$C,$A118,'NSE - NIFTY Index Options'!$B:$B,F$4,'NSE - NIFTY Index Options'!$H:$H,"Monthly*")+SUMIFS('NSE - Other Index Options'!$L:$L,'NSE - Other Index Options'!$C:$C,$A118,'NSE - Other Index Options'!$B:$B,F$4,'NSE - Other Index Options'!$H:$H,"Monthly*"))</f>
        <v/>
      </c>
      <c r="G118" s="26" t="str">
        <f>IF(SUMIFS('NSE - NIFTY Index Options'!$L:$L,'NSE - NIFTY Index Options'!$C:$C,$A118,'NSE - NIFTY Index Options'!$B:$B,G$4,'NSE - NIFTY Index Options'!$H:$H,"Monthly*")+SUMIFS('NSE - Other Index Options'!$L:$L,'NSE - Other Index Options'!$C:$C,$A118,'NSE - Other Index Options'!$B:$B,G$4,'NSE - Other Index Options'!$H:$H,"Monthly*")=0,"",SUMIFS('NSE - NIFTY Index Options'!$L:$L,'NSE - NIFTY Index Options'!$C:$C,$A118,'NSE - NIFTY Index Options'!$B:$B,G$4,'NSE - NIFTY Index Options'!$H:$H,"Monthly*")+SUMIFS('NSE - Other Index Options'!$L:$L,'NSE - Other Index Options'!$C:$C,$A118,'NSE - Other Index Options'!$B:$B,G$4,'NSE - Other Index Options'!$H:$H,"Monthly*"))</f>
        <v/>
      </c>
      <c r="H118" s="26" t="str">
        <f t="shared" si="3"/>
        <v/>
      </c>
    </row>
    <row r="119" spans="1:8" hidden="1" outlineLevel="1">
      <c r="A119" t="s">
        <v>124</v>
      </c>
      <c r="B119" s="26" t="str">
        <f>IF(SUMIFS('NSE - NIFTY Index Options'!$L:$L,'NSE - NIFTY Index Options'!$C:$C,$A119,'NSE - NIFTY Index Options'!$B:$B,B$4,'NSE - NIFTY Index Options'!$H:$H,"Monthly*")+SUMIFS('NSE - Other Index Options'!$L:$L,'NSE - Other Index Options'!$C:$C,$A119,'NSE - Other Index Options'!$B:$B,B$4,'NSE - Other Index Options'!$H:$H,"Monthly*")=0,"",SUMIFS('NSE - NIFTY Index Options'!$L:$L,'NSE - NIFTY Index Options'!$C:$C,$A119,'NSE - NIFTY Index Options'!$B:$B,B$4,'NSE - NIFTY Index Options'!$H:$H,"Monthly*")+SUMIFS('NSE - Other Index Options'!$L:$L,'NSE - Other Index Options'!$C:$C,$A119,'NSE - Other Index Options'!$B:$B,B$4,'NSE - Other Index Options'!$H:$H,"Monthly*"))</f>
        <v/>
      </c>
      <c r="C119" s="26" t="str">
        <f>IF(SUMIFS('NSE - NIFTY Index Options'!$L:$L,'NSE - NIFTY Index Options'!$C:$C,$A119,'NSE - NIFTY Index Options'!$B:$B,C$4,'NSE - NIFTY Index Options'!$H:$H,"Monthly*")+SUMIFS('NSE - Other Index Options'!$L:$L,'NSE - Other Index Options'!$C:$C,$A119,'NSE - Other Index Options'!$B:$B,C$4,'NSE - Other Index Options'!$H:$H,"Monthly*")=0,"",SUMIFS('NSE - NIFTY Index Options'!$L:$L,'NSE - NIFTY Index Options'!$C:$C,$A119,'NSE - NIFTY Index Options'!$B:$B,C$4,'NSE - NIFTY Index Options'!$H:$H,"Monthly*")+SUMIFS('NSE - Other Index Options'!$L:$L,'NSE - Other Index Options'!$C:$C,$A119,'NSE - Other Index Options'!$B:$B,C$4,'NSE - Other Index Options'!$H:$H,"Monthly*"))</f>
        <v/>
      </c>
      <c r="D119" s="26" t="str">
        <f>IF(SUMIFS('NSE - NIFTY Index Options'!$L:$L,'NSE - NIFTY Index Options'!$C:$C,$A119,'NSE - NIFTY Index Options'!$B:$B,D$4,'NSE - NIFTY Index Options'!$H:$H,"Monthly*")+SUMIFS('NSE - Other Index Options'!$L:$L,'NSE - Other Index Options'!$C:$C,$A119,'NSE - Other Index Options'!$B:$B,D$4,'NSE - Other Index Options'!$H:$H,"Monthly*")=0,"",SUMIFS('NSE - NIFTY Index Options'!$L:$L,'NSE - NIFTY Index Options'!$C:$C,$A119,'NSE - NIFTY Index Options'!$B:$B,D$4,'NSE - NIFTY Index Options'!$H:$H,"Monthly*")+SUMIFS('NSE - Other Index Options'!$L:$L,'NSE - Other Index Options'!$C:$C,$A119,'NSE - Other Index Options'!$B:$B,D$4,'NSE - Other Index Options'!$H:$H,"Monthly*"))</f>
        <v/>
      </c>
      <c r="E119" s="26" t="str">
        <f>IF(SUMIFS('NSE - NIFTY Index Options'!$L:$L,'NSE - NIFTY Index Options'!$C:$C,$A119,'NSE - NIFTY Index Options'!$B:$B,E$4,'NSE - NIFTY Index Options'!$H:$H,"Monthly*")+SUMIFS('NSE - Other Index Options'!$L:$L,'NSE - Other Index Options'!$C:$C,$A119,'NSE - Other Index Options'!$B:$B,E$4,'NSE - Other Index Options'!$H:$H,"Monthly*")=0,"",SUMIFS('NSE - NIFTY Index Options'!$L:$L,'NSE - NIFTY Index Options'!$C:$C,$A119,'NSE - NIFTY Index Options'!$B:$B,E$4,'NSE - NIFTY Index Options'!$H:$H,"Monthly*")+SUMIFS('NSE - Other Index Options'!$L:$L,'NSE - Other Index Options'!$C:$C,$A119,'NSE - Other Index Options'!$B:$B,E$4,'NSE - Other Index Options'!$H:$H,"Monthly*"))</f>
        <v/>
      </c>
      <c r="F119" s="26" t="str">
        <f>IF(SUMIFS('NSE - NIFTY Index Options'!$L:$L,'NSE - NIFTY Index Options'!$C:$C,$A119,'NSE - NIFTY Index Options'!$B:$B,F$4,'NSE - NIFTY Index Options'!$H:$H,"Monthly*")+SUMIFS('NSE - Other Index Options'!$L:$L,'NSE - Other Index Options'!$C:$C,$A119,'NSE - Other Index Options'!$B:$B,F$4,'NSE - Other Index Options'!$H:$H,"Monthly*")=0,"",SUMIFS('NSE - NIFTY Index Options'!$L:$L,'NSE - NIFTY Index Options'!$C:$C,$A119,'NSE - NIFTY Index Options'!$B:$B,F$4,'NSE - NIFTY Index Options'!$H:$H,"Monthly*")+SUMIFS('NSE - Other Index Options'!$L:$L,'NSE - Other Index Options'!$C:$C,$A119,'NSE - Other Index Options'!$B:$B,F$4,'NSE - Other Index Options'!$H:$H,"Monthly*"))</f>
        <v/>
      </c>
      <c r="G119" s="26" t="str">
        <f>IF(SUMIFS('NSE - NIFTY Index Options'!$L:$L,'NSE - NIFTY Index Options'!$C:$C,$A119,'NSE - NIFTY Index Options'!$B:$B,G$4,'NSE - NIFTY Index Options'!$H:$H,"Monthly*")+SUMIFS('NSE - Other Index Options'!$L:$L,'NSE - Other Index Options'!$C:$C,$A119,'NSE - Other Index Options'!$B:$B,G$4,'NSE - Other Index Options'!$H:$H,"Monthly*")=0,"",SUMIFS('NSE - NIFTY Index Options'!$L:$L,'NSE - NIFTY Index Options'!$C:$C,$A119,'NSE - NIFTY Index Options'!$B:$B,G$4,'NSE - NIFTY Index Options'!$H:$H,"Monthly*")+SUMIFS('NSE - Other Index Options'!$L:$L,'NSE - Other Index Options'!$C:$C,$A119,'NSE - Other Index Options'!$B:$B,G$4,'NSE - Other Index Options'!$H:$H,"Monthly*"))</f>
        <v/>
      </c>
      <c r="H119" s="26" t="str">
        <f t="shared" si="3"/>
        <v/>
      </c>
    </row>
    <row r="120" spans="1:8" hidden="1" outlineLevel="1">
      <c r="A120" t="s">
        <v>125</v>
      </c>
      <c r="B120" s="26" t="str">
        <f>IF(SUMIFS('NSE - NIFTY Index Options'!$L:$L,'NSE - NIFTY Index Options'!$C:$C,$A120,'NSE - NIFTY Index Options'!$B:$B,B$4,'NSE - NIFTY Index Options'!$H:$H,"Monthly*")+SUMIFS('NSE - Other Index Options'!$L:$L,'NSE - Other Index Options'!$C:$C,$A120,'NSE - Other Index Options'!$B:$B,B$4,'NSE - Other Index Options'!$H:$H,"Monthly*")=0,"",SUMIFS('NSE - NIFTY Index Options'!$L:$L,'NSE - NIFTY Index Options'!$C:$C,$A120,'NSE - NIFTY Index Options'!$B:$B,B$4,'NSE - NIFTY Index Options'!$H:$H,"Monthly*")+SUMIFS('NSE - Other Index Options'!$L:$L,'NSE - Other Index Options'!$C:$C,$A120,'NSE - Other Index Options'!$B:$B,B$4,'NSE - Other Index Options'!$H:$H,"Monthly*"))</f>
        <v/>
      </c>
      <c r="C120" s="26" t="str">
        <f>IF(SUMIFS('NSE - NIFTY Index Options'!$L:$L,'NSE - NIFTY Index Options'!$C:$C,$A120,'NSE - NIFTY Index Options'!$B:$B,C$4,'NSE - NIFTY Index Options'!$H:$H,"Monthly*")+SUMIFS('NSE - Other Index Options'!$L:$L,'NSE - Other Index Options'!$C:$C,$A120,'NSE - Other Index Options'!$B:$B,C$4,'NSE - Other Index Options'!$H:$H,"Monthly*")=0,"",SUMIFS('NSE - NIFTY Index Options'!$L:$L,'NSE - NIFTY Index Options'!$C:$C,$A120,'NSE - NIFTY Index Options'!$B:$B,C$4,'NSE - NIFTY Index Options'!$H:$H,"Monthly*")+SUMIFS('NSE - Other Index Options'!$L:$L,'NSE - Other Index Options'!$C:$C,$A120,'NSE - Other Index Options'!$B:$B,C$4,'NSE - Other Index Options'!$H:$H,"Monthly*"))</f>
        <v/>
      </c>
      <c r="D120" s="26" t="str">
        <f>IF(SUMIFS('NSE - NIFTY Index Options'!$L:$L,'NSE - NIFTY Index Options'!$C:$C,$A120,'NSE - NIFTY Index Options'!$B:$B,D$4,'NSE - NIFTY Index Options'!$H:$H,"Monthly*")+SUMIFS('NSE - Other Index Options'!$L:$L,'NSE - Other Index Options'!$C:$C,$A120,'NSE - Other Index Options'!$B:$B,D$4,'NSE - Other Index Options'!$H:$H,"Monthly*")=0,"",SUMIFS('NSE - NIFTY Index Options'!$L:$L,'NSE - NIFTY Index Options'!$C:$C,$A120,'NSE - NIFTY Index Options'!$B:$B,D$4,'NSE - NIFTY Index Options'!$H:$H,"Monthly*")+SUMIFS('NSE - Other Index Options'!$L:$L,'NSE - Other Index Options'!$C:$C,$A120,'NSE - Other Index Options'!$B:$B,D$4,'NSE - Other Index Options'!$H:$H,"Monthly*"))</f>
        <v/>
      </c>
      <c r="E120" s="26" t="str">
        <f>IF(SUMIFS('NSE - NIFTY Index Options'!$L:$L,'NSE - NIFTY Index Options'!$C:$C,$A120,'NSE - NIFTY Index Options'!$B:$B,E$4,'NSE - NIFTY Index Options'!$H:$H,"Monthly*")+SUMIFS('NSE - Other Index Options'!$L:$L,'NSE - Other Index Options'!$C:$C,$A120,'NSE - Other Index Options'!$B:$B,E$4,'NSE - Other Index Options'!$H:$H,"Monthly*")=0,"",SUMIFS('NSE - NIFTY Index Options'!$L:$L,'NSE - NIFTY Index Options'!$C:$C,$A120,'NSE - NIFTY Index Options'!$B:$B,E$4,'NSE - NIFTY Index Options'!$H:$H,"Monthly*")+SUMIFS('NSE - Other Index Options'!$L:$L,'NSE - Other Index Options'!$C:$C,$A120,'NSE - Other Index Options'!$B:$B,E$4,'NSE - Other Index Options'!$H:$H,"Monthly*"))</f>
        <v/>
      </c>
      <c r="F120" s="26" t="str">
        <f>IF(SUMIFS('NSE - NIFTY Index Options'!$L:$L,'NSE - NIFTY Index Options'!$C:$C,$A120,'NSE - NIFTY Index Options'!$B:$B,F$4,'NSE - NIFTY Index Options'!$H:$H,"Monthly*")+SUMIFS('NSE - Other Index Options'!$L:$L,'NSE - Other Index Options'!$C:$C,$A120,'NSE - Other Index Options'!$B:$B,F$4,'NSE - Other Index Options'!$H:$H,"Monthly*")=0,"",SUMIFS('NSE - NIFTY Index Options'!$L:$L,'NSE - NIFTY Index Options'!$C:$C,$A120,'NSE - NIFTY Index Options'!$B:$B,F$4,'NSE - NIFTY Index Options'!$H:$H,"Monthly*")+SUMIFS('NSE - Other Index Options'!$L:$L,'NSE - Other Index Options'!$C:$C,$A120,'NSE - Other Index Options'!$B:$B,F$4,'NSE - Other Index Options'!$H:$H,"Monthly*"))</f>
        <v/>
      </c>
      <c r="G120" s="26" t="str">
        <f>IF(SUMIFS('NSE - NIFTY Index Options'!$L:$L,'NSE - NIFTY Index Options'!$C:$C,$A120,'NSE - NIFTY Index Options'!$B:$B,G$4,'NSE - NIFTY Index Options'!$H:$H,"Monthly*")+SUMIFS('NSE - Other Index Options'!$L:$L,'NSE - Other Index Options'!$C:$C,$A120,'NSE - Other Index Options'!$B:$B,G$4,'NSE - Other Index Options'!$H:$H,"Monthly*")=0,"",SUMIFS('NSE - NIFTY Index Options'!$L:$L,'NSE - NIFTY Index Options'!$C:$C,$A120,'NSE - NIFTY Index Options'!$B:$B,G$4,'NSE - NIFTY Index Options'!$H:$H,"Monthly*")+SUMIFS('NSE - Other Index Options'!$L:$L,'NSE - Other Index Options'!$C:$C,$A120,'NSE - Other Index Options'!$B:$B,G$4,'NSE - Other Index Options'!$H:$H,"Monthly*"))</f>
        <v/>
      </c>
      <c r="H120" s="26" t="str">
        <f t="shared" si="3"/>
        <v/>
      </c>
    </row>
    <row r="121" spans="1:8" hidden="1" outlineLevel="1">
      <c r="A121" t="s">
        <v>126</v>
      </c>
      <c r="B121" s="26" t="str">
        <f>IF(SUMIFS('NSE - NIFTY Index Options'!$L:$L,'NSE - NIFTY Index Options'!$C:$C,$A121,'NSE - NIFTY Index Options'!$B:$B,B$4,'NSE - NIFTY Index Options'!$H:$H,"Monthly*")+SUMIFS('NSE - Other Index Options'!$L:$L,'NSE - Other Index Options'!$C:$C,$A121,'NSE - Other Index Options'!$B:$B,B$4,'NSE - Other Index Options'!$H:$H,"Monthly*")=0,"",SUMIFS('NSE - NIFTY Index Options'!$L:$L,'NSE - NIFTY Index Options'!$C:$C,$A121,'NSE - NIFTY Index Options'!$B:$B,B$4,'NSE - NIFTY Index Options'!$H:$H,"Monthly*")+SUMIFS('NSE - Other Index Options'!$L:$L,'NSE - Other Index Options'!$C:$C,$A121,'NSE - Other Index Options'!$B:$B,B$4,'NSE - Other Index Options'!$H:$H,"Monthly*"))</f>
        <v/>
      </c>
      <c r="C121" s="26" t="str">
        <f>IF(SUMIFS('NSE - NIFTY Index Options'!$L:$L,'NSE - NIFTY Index Options'!$C:$C,$A121,'NSE - NIFTY Index Options'!$B:$B,C$4,'NSE - NIFTY Index Options'!$H:$H,"Monthly*")+SUMIFS('NSE - Other Index Options'!$L:$L,'NSE - Other Index Options'!$C:$C,$A121,'NSE - Other Index Options'!$B:$B,C$4,'NSE - Other Index Options'!$H:$H,"Monthly*")=0,"",SUMIFS('NSE - NIFTY Index Options'!$L:$L,'NSE - NIFTY Index Options'!$C:$C,$A121,'NSE - NIFTY Index Options'!$B:$B,C$4,'NSE - NIFTY Index Options'!$H:$H,"Monthly*")+SUMIFS('NSE - Other Index Options'!$L:$L,'NSE - Other Index Options'!$C:$C,$A121,'NSE - Other Index Options'!$B:$B,C$4,'NSE - Other Index Options'!$H:$H,"Monthly*"))</f>
        <v/>
      </c>
      <c r="D121" s="26" t="str">
        <f>IF(SUMIFS('NSE - NIFTY Index Options'!$L:$L,'NSE - NIFTY Index Options'!$C:$C,$A121,'NSE - NIFTY Index Options'!$B:$B,D$4,'NSE - NIFTY Index Options'!$H:$H,"Monthly*")+SUMIFS('NSE - Other Index Options'!$L:$L,'NSE - Other Index Options'!$C:$C,$A121,'NSE - Other Index Options'!$B:$B,D$4,'NSE - Other Index Options'!$H:$H,"Monthly*")=0,"",SUMIFS('NSE - NIFTY Index Options'!$L:$L,'NSE - NIFTY Index Options'!$C:$C,$A121,'NSE - NIFTY Index Options'!$B:$B,D$4,'NSE - NIFTY Index Options'!$H:$H,"Monthly*")+SUMIFS('NSE - Other Index Options'!$L:$L,'NSE - Other Index Options'!$C:$C,$A121,'NSE - Other Index Options'!$B:$B,D$4,'NSE - Other Index Options'!$H:$H,"Monthly*"))</f>
        <v/>
      </c>
      <c r="E121" s="26" t="str">
        <f>IF(SUMIFS('NSE - NIFTY Index Options'!$L:$L,'NSE - NIFTY Index Options'!$C:$C,$A121,'NSE - NIFTY Index Options'!$B:$B,E$4,'NSE - NIFTY Index Options'!$H:$H,"Monthly*")+SUMIFS('NSE - Other Index Options'!$L:$L,'NSE - Other Index Options'!$C:$C,$A121,'NSE - Other Index Options'!$B:$B,E$4,'NSE - Other Index Options'!$H:$H,"Monthly*")=0,"",SUMIFS('NSE - NIFTY Index Options'!$L:$L,'NSE - NIFTY Index Options'!$C:$C,$A121,'NSE - NIFTY Index Options'!$B:$B,E$4,'NSE - NIFTY Index Options'!$H:$H,"Monthly*")+SUMIFS('NSE - Other Index Options'!$L:$L,'NSE - Other Index Options'!$C:$C,$A121,'NSE - Other Index Options'!$B:$B,E$4,'NSE - Other Index Options'!$H:$H,"Monthly*"))</f>
        <v/>
      </c>
      <c r="F121" s="26" t="str">
        <f>IF(SUMIFS('NSE - NIFTY Index Options'!$L:$L,'NSE - NIFTY Index Options'!$C:$C,$A121,'NSE - NIFTY Index Options'!$B:$B,F$4,'NSE - NIFTY Index Options'!$H:$H,"Monthly*")+SUMIFS('NSE - Other Index Options'!$L:$L,'NSE - Other Index Options'!$C:$C,$A121,'NSE - Other Index Options'!$B:$B,F$4,'NSE - Other Index Options'!$H:$H,"Monthly*")=0,"",SUMIFS('NSE - NIFTY Index Options'!$L:$L,'NSE - NIFTY Index Options'!$C:$C,$A121,'NSE - NIFTY Index Options'!$B:$B,F$4,'NSE - NIFTY Index Options'!$H:$H,"Monthly*")+SUMIFS('NSE - Other Index Options'!$L:$L,'NSE - Other Index Options'!$C:$C,$A121,'NSE - Other Index Options'!$B:$B,F$4,'NSE - Other Index Options'!$H:$H,"Monthly*"))</f>
        <v/>
      </c>
      <c r="G121" s="26" t="str">
        <f>IF(SUMIFS('NSE - NIFTY Index Options'!$L:$L,'NSE - NIFTY Index Options'!$C:$C,$A121,'NSE - NIFTY Index Options'!$B:$B,G$4,'NSE - NIFTY Index Options'!$H:$H,"Monthly*")+SUMIFS('NSE - Other Index Options'!$L:$L,'NSE - Other Index Options'!$C:$C,$A121,'NSE - Other Index Options'!$B:$B,G$4,'NSE - Other Index Options'!$H:$H,"Monthly*")=0,"",SUMIFS('NSE - NIFTY Index Options'!$L:$L,'NSE - NIFTY Index Options'!$C:$C,$A121,'NSE - NIFTY Index Options'!$B:$B,G$4,'NSE - NIFTY Index Options'!$H:$H,"Monthly*")+SUMIFS('NSE - Other Index Options'!$L:$L,'NSE - Other Index Options'!$C:$C,$A121,'NSE - Other Index Options'!$B:$B,G$4,'NSE - Other Index Options'!$H:$H,"Monthly*"))</f>
        <v/>
      </c>
      <c r="H121" s="26" t="str">
        <f t="shared" si="3"/>
        <v/>
      </c>
    </row>
    <row r="122" spans="1:8" hidden="1" outlineLevel="1">
      <c r="A122" t="s">
        <v>127</v>
      </c>
      <c r="B122" s="26" t="str">
        <f>IF(SUMIFS('NSE - NIFTY Index Options'!$L:$L,'NSE - NIFTY Index Options'!$C:$C,$A122,'NSE - NIFTY Index Options'!$B:$B,B$4,'NSE - NIFTY Index Options'!$H:$H,"Monthly*")+SUMIFS('NSE - Other Index Options'!$L:$L,'NSE - Other Index Options'!$C:$C,$A122,'NSE - Other Index Options'!$B:$B,B$4,'NSE - Other Index Options'!$H:$H,"Monthly*")=0,"",SUMIFS('NSE - NIFTY Index Options'!$L:$L,'NSE - NIFTY Index Options'!$C:$C,$A122,'NSE - NIFTY Index Options'!$B:$B,B$4,'NSE - NIFTY Index Options'!$H:$H,"Monthly*")+SUMIFS('NSE - Other Index Options'!$L:$L,'NSE - Other Index Options'!$C:$C,$A122,'NSE - Other Index Options'!$B:$B,B$4,'NSE - Other Index Options'!$H:$H,"Monthly*"))</f>
        <v/>
      </c>
      <c r="C122" s="26" t="str">
        <f>IF(SUMIFS('NSE - NIFTY Index Options'!$L:$L,'NSE - NIFTY Index Options'!$C:$C,$A122,'NSE - NIFTY Index Options'!$B:$B,C$4,'NSE - NIFTY Index Options'!$H:$H,"Monthly*")+SUMIFS('NSE - Other Index Options'!$L:$L,'NSE - Other Index Options'!$C:$C,$A122,'NSE - Other Index Options'!$B:$B,C$4,'NSE - Other Index Options'!$H:$H,"Monthly*")=0,"",SUMIFS('NSE - NIFTY Index Options'!$L:$L,'NSE - NIFTY Index Options'!$C:$C,$A122,'NSE - NIFTY Index Options'!$B:$B,C$4,'NSE - NIFTY Index Options'!$H:$H,"Monthly*")+SUMIFS('NSE - Other Index Options'!$L:$L,'NSE - Other Index Options'!$C:$C,$A122,'NSE - Other Index Options'!$B:$B,C$4,'NSE - Other Index Options'!$H:$H,"Monthly*"))</f>
        <v/>
      </c>
      <c r="D122" s="26" t="str">
        <f>IF(SUMIFS('NSE - NIFTY Index Options'!$L:$L,'NSE - NIFTY Index Options'!$C:$C,$A122,'NSE - NIFTY Index Options'!$B:$B,D$4,'NSE - NIFTY Index Options'!$H:$H,"Monthly*")+SUMIFS('NSE - Other Index Options'!$L:$L,'NSE - Other Index Options'!$C:$C,$A122,'NSE - Other Index Options'!$B:$B,D$4,'NSE - Other Index Options'!$H:$H,"Monthly*")=0,"",SUMIFS('NSE - NIFTY Index Options'!$L:$L,'NSE - NIFTY Index Options'!$C:$C,$A122,'NSE - NIFTY Index Options'!$B:$B,D$4,'NSE - NIFTY Index Options'!$H:$H,"Monthly*")+SUMIFS('NSE - Other Index Options'!$L:$L,'NSE - Other Index Options'!$C:$C,$A122,'NSE - Other Index Options'!$B:$B,D$4,'NSE - Other Index Options'!$H:$H,"Monthly*"))</f>
        <v/>
      </c>
      <c r="E122" s="26" t="str">
        <f>IF(SUMIFS('NSE - NIFTY Index Options'!$L:$L,'NSE - NIFTY Index Options'!$C:$C,$A122,'NSE - NIFTY Index Options'!$B:$B,E$4,'NSE - NIFTY Index Options'!$H:$H,"Monthly*")+SUMIFS('NSE - Other Index Options'!$L:$L,'NSE - Other Index Options'!$C:$C,$A122,'NSE - Other Index Options'!$B:$B,E$4,'NSE - Other Index Options'!$H:$H,"Monthly*")=0,"",SUMIFS('NSE - NIFTY Index Options'!$L:$L,'NSE - NIFTY Index Options'!$C:$C,$A122,'NSE - NIFTY Index Options'!$B:$B,E$4,'NSE - NIFTY Index Options'!$H:$H,"Monthly*")+SUMIFS('NSE - Other Index Options'!$L:$L,'NSE - Other Index Options'!$C:$C,$A122,'NSE - Other Index Options'!$B:$B,E$4,'NSE - Other Index Options'!$H:$H,"Monthly*"))</f>
        <v/>
      </c>
      <c r="F122" s="26" t="str">
        <f>IF(SUMIFS('NSE - NIFTY Index Options'!$L:$L,'NSE - NIFTY Index Options'!$C:$C,$A122,'NSE - NIFTY Index Options'!$B:$B,F$4,'NSE - NIFTY Index Options'!$H:$H,"Monthly*")+SUMIFS('NSE - Other Index Options'!$L:$L,'NSE - Other Index Options'!$C:$C,$A122,'NSE - Other Index Options'!$B:$B,F$4,'NSE - Other Index Options'!$H:$H,"Monthly*")=0,"",SUMIFS('NSE - NIFTY Index Options'!$L:$L,'NSE - NIFTY Index Options'!$C:$C,$A122,'NSE - NIFTY Index Options'!$B:$B,F$4,'NSE - NIFTY Index Options'!$H:$H,"Monthly*")+SUMIFS('NSE - Other Index Options'!$L:$L,'NSE - Other Index Options'!$C:$C,$A122,'NSE - Other Index Options'!$B:$B,F$4,'NSE - Other Index Options'!$H:$H,"Monthly*"))</f>
        <v/>
      </c>
      <c r="G122" s="26" t="str">
        <f>IF(SUMIFS('NSE - NIFTY Index Options'!$L:$L,'NSE - NIFTY Index Options'!$C:$C,$A122,'NSE - NIFTY Index Options'!$B:$B,G$4,'NSE - NIFTY Index Options'!$H:$H,"Monthly*")+SUMIFS('NSE - Other Index Options'!$L:$L,'NSE - Other Index Options'!$C:$C,$A122,'NSE - Other Index Options'!$B:$B,G$4,'NSE - Other Index Options'!$H:$H,"Monthly*")=0,"",SUMIFS('NSE - NIFTY Index Options'!$L:$L,'NSE - NIFTY Index Options'!$C:$C,$A122,'NSE - NIFTY Index Options'!$B:$B,G$4,'NSE - NIFTY Index Options'!$H:$H,"Monthly*")+SUMIFS('NSE - Other Index Options'!$L:$L,'NSE - Other Index Options'!$C:$C,$A122,'NSE - Other Index Options'!$B:$B,G$4,'NSE - Other Index Options'!$H:$H,"Monthly*"))</f>
        <v/>
      </c>
      <c r="H122" s="26" t="str">
        <f t="shared" si="3"/>
        <v/>
      </c>
    </row>
    <row r="123" spans="1:8" hidden="1" outlineLevel="1">
      <c r="A123" t="s">
        <v>128</v>
      </c>
      <c r="B123" s="26" t="str">
        <f>IF(SUMIFS('NSE - NIFTY Index Options'!$L:$L,'NSE - NIFTY Index Options'!$C:$C,$A123,'NSE - NIFTY Index Options'!$B:$B,B$4,'NSE - NIFTY Index Options'!$H:$H,"Monthly*")+SUMIFS('NSE - Other Index Options'!$L:$L,'NSE - Other Index Options'!$C:$C,$A123,'NSE - Other Index Options'!$B:$B,B$4,'NSE - Other Index Options'!$H:$H,"Monthly*")=0,"",SUMIFS('NSE - NIFTY Index Options'!$L:$L,'NSE - NIFTY Index Options'!$C:$C,$A123,'NSE - NIFTY Index Options'!$B:$B,B$4,'NSE - NIFTY Index Options'!$H:$H,"Monthly*")+SUMIFS('NSE - Other Index Options'!$L:$L,'NSE - Other Index Options'!$C:$C,$A123,'NSE - Other Index Options'!$B:$B,B$4,'NSE - Other Index Options'!$H:$H,"Monthly*"))</f>
        <v/>
      </c>
      <c r="C123" s="26" t="str">
        <f>IF(SUMIFS('NSE - NIFTY Index Options'!$L:$L,'NSE - NIFTY Index Options'!$C:$C,$A123,'NSE - NIFTY Index Options'!$B:$B,C$4,'NSE - NIFTY Index Options'!$H:$H,"Monthly*")+SUMIFS('NSE - Other Index Options'!$L:$L,'NSE - Other Index Options'!$C:$C,$A123,'NSE - Other Index Options'!$B:$B,C$4,'NSE - Other Index Options'!$H:$H,"Monthly*")=0,"",SUMIFS('NSE - NIFTY Index Options'!$L:$L,'NSE - NIFTY Index Options'!$C:$C,$A123,'NSE - NIFTY Index Options'!$B:$B,C$4,'NSE - NIFTY Index Options'!$H:$H,"Monthly*")+SUMIFS('NSE - Other Index Options'!$L:$L,'NSE - Other Index Options'!$C:$C,$A123,'NSE - Other Index Options'!$B:$B,C$4,'NSE - Other Index Options'!$H:$H,"Monthly*"))</f>
        <v/>
      </c>
      <c r="D123" s="26" t="str">
        <f>IF(SUMIFS('NSE - NIFTY Index Options'!$L:$L,'NSE - NIFTY Index Options'!$C:$C,$A123,'NSE - NIFTY Index Options'!$B:$B,D$4,'NSE - NIFTY Index Options'!$H:$H,"Monthly*")+SUMIFS('NSE - Other Index Options'!$L:$L,'NSE - Other Index Options'!$C:$C,$A123,'NSE - Other Index Options'!$B:$B,D$4,'NSE - Other Index Options'!$H:$H,"Monthly*")=0,"",SUMIFS('NSE - NIFTY Index Options'!$L:$L,'NSE - NIFTY Index Options'!$C:$C,$A123,'NSE - NIFTY Index Options'!$B:$B,D$4,'NSE - NIFTY Index Options'!$H:$H,"Monthly*")+SUMIFS('NSE - Other Index Options'!$L:$L,'NSE - Other Index Options'!$C:$C,$A123,'NSE - Other Index Options'!$B:$B,D$4,'NSE - Other Index Options'!$H:$H,"Monthly*"))</f>
        <v/>
      </c>
      <c r="E123" s="26" t="str">
        <f>IF(SUMIFS('NSE - NIFTY Index Options'!$L:$L,'NSE - NIFTY Index Options'!$C:$C,$A123,'NSE - NIFTY Index Options'!$B:$B,E$4,'NSE - NIFTY Index Options'!$H:$H,"Monthly*")+SUMIFS('NSE - Other Index Options'!$L:$L,'NSE - Other Index Options'!$C:$C,$A123,'NSE - Other Index Options'!$B:$B,E$4,'NSE - Other Index Options'!$H:$H,"Monthly*")=0,"",SUMIFS('NSE - NIFTY Index Options'!$L:$L,'NSE - NIFTY Index Options'!$C:$C,$A123,'NSE - NIFTY Index Options'!$B:$B,E$4,'NSE - NIFTY Index Options'!$H:$H,"Monthly*")+SUMIFS('NSE - Other Index Options'!$L:$L,'NSE - Other Index Options'!$C:$C,$A123,'NSE - Other Index Options'!$B:$B,E$4,'NSE - Other Index Options'!$H:$H,"Monthly*"))</f>
        <v/>
      </c>
      <c r="F123" s="26" t="str">
        <f>IF(SUMIFS('NSE - NIFTY Index Options'!$L:$L,'NSE - NIFTY Index Options'!$C:$C,$A123,'NSE - NIFTY Index Options'!$B:$B,F$4,'NSE - NIFTY Index Options'!$H:$H,"Monthly*")+SUMIFS('NSE - Other Index Options'!$L:$L,'NSE - Other Index Options'!$C:$C,$A123,'NSE - Other Index Options'!$B:$B,F$4,'NSE - Other Index Options'!$H:$H,"Monthly*")=0,"",SUMIFS('NSE - NIFTY Index Options'!$L:$L,'NSE - NIFTY Index Options'!$C:$C,$A123,'NSE - NIFTY Index Options'!$B:$B,F$4,'NSE - NIFTY Index Options'!$H:$H,"Monthly*")+SUMIFS('NSE - Other Index Options'!$L:$L,'NSE - Other Index Options'!$C:$C,$A123,'NSE - Other Index Options'!$B:$B,F$4,'NSE - Other Index Options'!$H:$H,"Monthly*"))</f>
        <v/>
      </c>
      <c r="G123" s="26" t="str">
        <f>IF(SUMIFS('NSE - NIFTY Index Options'!$L:$L,'NSE - NIFTY Index Options'!$C:$C,$A123,'NSE - NIFTY Index Options'!$B:$B,G$4,'NSE - NIFTY Index Options'!$H:$H,"Monthly*")+SUMIFS('NSE - Other Index Options'!$L:$L,'NSE - Other Index Options'!$C:$C,$A123,'NSE - Other Index Options'!$B:$B,G$4,'NSE - Other Index Options'!$H:$H,"Monthly*")=0,"",SUMIFS('NSE - NIFTY Index Options'!$L:$L,'NSE - NIFTY Index Options'!$C:$C,$A123,'NSE - NIFTY Index Options'!$B:$B,G$4,'NSE - NIFTY Index Options'!$H:$H,"Monthly*")+SUMIFS('NSE - Other Index Options'!$L:$L,'NSE - Other Index Options'!$C:$C,$A123,'NSE - Other Index Options'!$B:$B,G$4,'NSE - Other Index Options'!$H:$H,"Monthly*"))</f>
        <v/>
      </c>
      <c r="H123" s="26" t="str">
        <f t="shared" si="3"/>
        <v/>
      </c>
    </row>
    <row r="124" spans="1:8" hidden="1" outlineLevel="1">
      <c r="A124" t="s">
        <v>129</v>
      </c>
      <c r="B124" s="26" t="str">
        <f>IF(SUMIFS('NSE - NIFTY Index Options'!$L:$L,'NSE - NIFTY Index Options'!$C:$C,$A124,'NSE - NIFTY Index Options'!$B:$B,B$4,'NSE - NIFTY Index Options'!$H:$H,"Monthly*")+SUMIFS('NSE - Other Index Options'!$L:$L,'NSE - Other Index Options'!$C:$C,$A124,'NSE - Other Index Options'!$B:$B,B$4,'NSE - Other Index Options'!$H:$H,"Monthly*")=0,"",SUMIFS('NSE - NIFTY Index Options'!$L:$L,'NSE - NIFTY Index Options'!$C:$C,$A124,'NSE - NIFTY Index Options'!$B:$B,B$4,'NSE - NIFTY Index Options'!$H:$H,"Monthly*")+SUMIFS('NSE - Other Index Options'!$L:$L,'NSE - Other Index Options'!$C:$C,$A124,'NSE - Other Index Options'!$B:$B,B$4,'NSE - Other Index Options'!$H:$H,"Monthly*"))</f>
        <v/>
      </c>
      <c r="C124" s="26" t="str">
        <f>IF(SUMIFS('NSE - NIFTY Index Options'!$L:$L,'NSE - NIFTY Index Options'!$C:$C,$A124,'NSE - NIFTY Index Options'!$B:$B,C$4,'NSE - NIFTY Index Options'!$H:$H,"Monthly*")+SUMIFS('NSE - Other Index Options'!$L:$L,'NSE - Other Index Options'!$C:$C,$A124,'NSE - Other Index Options'!$B:$B,C$4,'NSE - Other Index Options'!$H:$H,"Monthly*")=0,"",SUMIFS('NSE - NIFTY Index Options'!$L:$L,'NSE - NIFTY Index Options'!$C:$C,$A124,'NSE - NIFTY Index Options'!$B:$B,C$4,'NSE - NIFTY Index Options'!$H:$H,"Monthly*")+SUMIFS('NSE - Other Index Options'!$L:$L,'NSE - Other Index Options'!$C:$C,$A124,'NSE - Other Index Options'!$B:$B,C$4,'NSE - Other Index Options'!$H:$H,"Monthly*"))</f>
        <v/>
      </c>
      <c r="D124" s="26" t="str">
        <f>IF(SUMIFS('NSE - NIFTY Index Options'!$L:$L,'NSE - NIFTY Index Options'!$C:$C,$A124,'NSE - NIFTY Index Options'!$B:$B,D$4,'NSE - NIFTY Index Options'!$H:$H,"Monthly*")+SUMIFS('NSE - Other Index Options'!$L:$L,'NSE - Other Index Options'!$C:$C,$A124,'NSE - Other Index Options'!$B:$B,D$4,'NSE - Other Index Options'!$H:$H,"Monthly*")=0,"",SUMIFS('NSE - NIFTY Index Options'!$L:$L,'NSE - NIFTY Index Options'!$C:$C,$A124,'NSE - NIFTY Index Options'!$B:$B,D$4,'NSE - NIFTY Index Options'!$H:$H,"Monthly*")+SUMIFS('NSE - Other Index Options'!$L:$L,'NSE - Other Index Options'!$C:$C,$A124,'NSE - Other Index Options'!$B:$B,D$4,'NSE - Other Index Options'!$H:$H,"Monthly*"))</f>
        <v/>
      </c>
      <c r="E124" s="26" t="str">
        <f>IF(SUMIFS('NSE - NIFTY Index Options'!$L:$L,'NSE - NIFTY Index Options'!$C:$C,$A124,'NSE - NIFTY Index Options'!$B:$B,E$4,'NSE - NIFTY Index Options'!$H:$H,"Monthly*")+SUMIFS('NSE - Other Index Options'!$L:$L,'NSE - Other Index Options'!$C:$C,$A124,'NSE - Other Index Options'!$B:$B,E$4,'NSE - Other Index Options'!$H:$H,"Monthly*")=0,"",SUMIFS('NSE - NIFTY Index Options'!$L:$L,'NSE - NIFTY Index Options'!$C:$C,$A124,'NSE - NIFTY Index Options'!$B:$B,E$4,'NSE - NIFTY Index Options'!$H:$H,"Monthly*")+SUMIFS('NSE - Other Index Options'!$L:$L,'NSE - Other Index Options'!$C:$C,$A124,'NSE - Other Index Options'!$B:$B,E$4,'NSE - Other Index Options'!$H:$H,"Monthly*"))</f>
        <v/>
      </c>
      <c r="F124" s="26" t="str">
        <f>IF(SUMIFS('NSE - NIFTY Index Options'!$L:$L,'NSE - NIFTY Index Options'!$C:$C,$A124,'NSE - NIFTY Index Options'!$B:$B,F$4,'NSE - NIFTY Index Options'!$H:$H,"Monthly*")+SUMIFS('NSE - Other Index Options'!$L:$L,'NSE - Other Index Options'!$C:$C,$A124,'NSE - Other Index Options'!$B:$B,F$4,'NSE - Other Index Options'!$H:$H,"Monthly*")=0,"",SUMIFS('NSE - NIFTY Index Options'!$L:$L,'NSE - NIFTY Index Options'!$C:$C,$A124,'NSE - NIFTY Index Options'!$B:$B,F$4,'NSE - NIFTY Index Options'!$H:$H,"Monthly*")+SUMIFS('NSE - Other Index Options'!$L:$L,'NSE - Other Index Options'!$C:$C,$A124,'NSE - Other Index Options'!$B:$B,F$4,'NSE - Other Index Options'!$H:$H,"Monthly*"))</f>
        <v/>
      </c>
      <c r="G124" s="26" t="str">
        <f>IF(SUMIFS('NSE - NIFTY Index Options'!$L:$L,'NSE - NIFTY Index Options'!$C:$C,$A124,'NSE - NIFTY Index Options'!$B:$B,G$4,'NSE - NIFTY Index Options'!$H:$H,"Monthly*")+SUMIFS('NSE - Other Index Options'!$L:$L,'NSE - Other Index Options'!$C:$C,$A124,'NSE - Other Index Options'!$B:$B,G$4,'NSE - Other Index Options'!$H:$H,"Monthly*")=0,"",SUMIFS('NSE - NIFTY Index Options'!$L:$L,'NSE - NIFTY Index Options'!$C:$C,$A124,'NSE - NIFTY Index Options'!$B:$B,G$4,'NSE - NIFTY Index Options'!$H:$H,"Monthly*")+SUMIFS('NSE - Other Index Options'!$L:$L,'NSE - Other Index Options'!$C:$C,$A124,'NSE - Other Index Options'!$B:$B,G$4,'NSE - Other Index Options'!$H:$H,"Monthly*"))</f>
        <v/>
      </c>
      <c r="H124" s="26" t="str">
        <f t="shared" si="3"/>
        <v/>
      </c>
    </row>
    <row r="125" spans="1:8" hidden="1" outlineLevel="1">
      <c r="A125" t="s">
        <v>130</v>
      </c>
      <c r="B125" s="26" t="str">
        <f>IF(SUMIFS('NSE - NIFTY Index Options'!$L:$L,'NSE - NIFTY Index Options'!$C:$C,$A125,'NSE - NIFTY Index Options'!$B:$B,B$4,'NSE - NIFTY Index Options'!$H:$H,"Monthly*")+SUMIFS('NSE - Other Index Options'!$L:$L,'NSE - Other Index Options'!$C:$C,$A125,'NSE - Other Index Options'!$B:$B,B$4,'NSE - Other Index Options'!$H:$H,"Monthly*")=0,"",SUMIFS('NSE - NIFTY Index Options'!$L:$L,'NSE - NIFTY Index Options'!$C:$C,$A125,'NSE - NIFTY Index Options'!$B:$B,B$4,'NSE - NIFTY Index Options'!$H:$H,"Monthly*")+SUMIFS('NSE - Other Index Options'!$L:$L,'NSE - Other Index Options'!$C:$C,$A125,'NSE - Other Index Options'!$B:$B,B$4,'NSE - Other Index Options'!$H:$H,"Monthly*"))</f>
        <v/>
      </c>
      <c r="C125" s="26" t="str">
        <f>IF(SUMIFS('NSE - NIFTY Index Options'!$L:$L,'NSE - NIFTY Index Options'!$C:$C,$A125,'NSE - NIFTY Index Options'!$B:$B,C$4,'NSE - NIFTY Index Options'!$H:$H,"Monthly*")+SUMIFS('NSE - Other Index Options'!$L:$L,'NSE - Other Index Options'!$C:$C,$A125,'NSE - Other Index Options'!$B:$B,C$4,'NSE - Other Index Options'!$H:$H,"Monthly*")=0,"",SUMIFS('NSE - NIFTY Index Options'!$L:$L,'NSE - NIFTY Index Options'!$C:$C,$A125,'NSE - NIFTY Index Options'!$B:$B,C$4,'NSE - NIFTY Index Options'!$H:$H,"Monthly*")+SUMIFS('NSE - Other Index Options'!$L:$L,'NSE - Other Index Options'!$C:$C,$A125,'NSE - Other Index Options'!$B:$B,C$4,'NSE - Other Index Options'!$H:$H,"Monthly*"))</f>
        <v/>
      </c>
      <c r="D125" s="26" t="str">
        <f>IF(SUMIFS('NSE - NIFTY Index Options'!$L:$L,'NSE - NIFTY Index Options'!$C:$C,$A125,'NSE - NIFTY Index Options'!$B:$B,D$4,'NSE - NIFTY Index Options'!$H:$H,"Monthly*")+SUMIFS('NSE - Other Index Options'!$L:$L,'NSE - Other Index Options'!$C:$C,$A125,'NSE - Other Index Options'!$B:$B,D$4,'NSE - Other Index Options'!$H:$H,"Monthly*")=0,"",SUMIFS('NSE - NIFTY Index Options'!$L:$L,'NSE - NIFTY Index Options'!$C:$C,$A125,'NSE - NIFTY Index Options'!$B:$B,D$4,'NSE - NIFTY Index Options'!$H:$H,"Monthly*")+SUMIFS('NSE - Other Index Options'!$L:$L,'NSE - Other Index Options'!$C:$C,$A125,'NSE - Other Index Options'!$B:$B,D$4,'NSE - Other Index Options'!$H:$H,"Monthly*"))</f>
        <v/>
      </c>
      <c r="E125" s="26" t="str">
        <f>IF(SUMIFS('NSE - NIFTY Index Options'!$L:$L,'NSE - NIFTY Index Options'!$C:$C,$A125,'NSE - NIFTY Index Options'!$B:$B,E$4,'NSE - NIFTY Index Options'!$H:$H,"Monthly*")+SUMIFS('NSE - Other Index Options'!$L:$L,'NSE - Other Index Options'!$C:$C,$A125,'NSE - Other Index Options'!$B:$B,E$4,'NSE - Other Index Options'!$H:$H,"Monthly*")=0,"",SUMIFS('NSE - NIFTY Index Options'!$L:$L,'NSE - NIFTY Index Options'!$C:$C,$A125,'NSE - NIFTY Index Options'!$B:$B,E$4,'NSE - NIFTY Index Options'!$H:$H,"Monthly*")+SUMIFS('NSE - Other Index Options'!$L:$L,'NSE - Other Index Options'!$C:$C,$A125,'NSE - Other Index Options'!$B:$B,E$4,'NSE - Other Index Options'!$H:$H,"Monthly*"))</f>
        <v/>
      </c>
      <c r="F125" s="26" t="str">
        <f>IF(SUMIFS('NSE - NIFTY Index Options'!$L:$L,'NSE - NIFTY Index Options'!$C:$C,$A125,'NSE - NIFTY Index Options'!$B:$B,F$4,'NSE - NIFTY Index Options'!$H:$H,"Monthly*")+SUMIFS('NSE - Other Index Options'!$L:$L,'NSE - Other Index Options'!$C:$C,$A125,'NSE - Other Index Options'!$B:$B,F$4,'NSE - Other Index Options'!$H:$H,"Monthly*")=0,"",SUMIFS('NSE - NIFTY Index Options'!$L:$L,'NSE - NIFTY Index Options'!$C:$C,$A125,'NSE - NIFTY Index Options'!$B:$B,F$4,'NSE - NIFTY Index Options'!$H:$H,"Monthly*")+SUMIFS('NSE - Other Index Options'!$L:$L,'NSE - Other Index Options'!$C:$C,$A125,'NSE - Other Index Options'!$B:$B,F$4,'NSE - Other Index Options'!$H:$H,"Monthly*"))</f>
        <v/>
      </c>
      <c r="G125" s="26" t="str">
        <f>IF(SUMIFS('NSE - NIFTY Index Options'!$L:$L,'NSE - NIFTY Index Options'!$C:$C,$A125,'NSE - NIFTY Index Options'!$B:$B,G$4,'NSE - NIFTY Index Options'!$H:$H,"Monthly*")+SUMIFS('NSE - Other Index Options'!$L:$L,'NSE - Other Index Options'!$C:$C,$A125,'NSE - Other Index Options'!$B:$B,G$4,'NSE - Other Index Options'!$H:$H,"Monthly*")=0,"",SUMIFS('NSE - NIFTY Index Options'!$L:$L,'NSE - NIFTY Index Options'!$C:$C,$A125,'NSE - NIFTY Index Options'!$B:$B,G$4,'NSE - NIFTY Index Options'!$H:$H,"Monthly*")+SUMIFS('NSE - Other Index Options'!$L:$L,'NSE - Other Index Options'!$C:$C,$A125,'NSE - Other Index Options'!$B:$B,G$4,'NSE - Other Index Options'!$H:$H,"Monthly*"))</f>
        <v/>
      </c>
      <c r="H125" s="26" t="str">
        <f t="shared" si="3"/>
        <v/>
      </c>
    </row>
    <row r="126" spans="1:8" hidden="1" outlineLevel="1">
      <c r="A126" t="s">
        <v>131</v>
      </c>
      <c r="B126" s="26" t="str">
        <f>IF(SUMIFS('NSE - NIFTY Index Options'!$L:$L,'NSE - NIFTY Index Options'!$C:$C,$A126,'NSE - NIFTY Index Options'!$B:$B,B$4,'NSE - NIFTY Index Options'!$H:$H,"Monthly*")+SUMIFS('NSE - Other Index Options'!$L:$L,'NSE - Other Index Options'!$C:$C,$A126,'NSE - Other Index Options'!$B:$B,B$4,'NSE - Other Index Options'!$H:$H,"Monthly*")=0,"",SUMIFS('NSE - NIFTY Index Options'!$L:$L,'NSE - NIFTY Index Options'!$C:$C,$A126,'NSE - NIFTY Index Options'!$B:$B,B$4,'NSE - NIFTY Index Options'!$H:$H,"Monthly*")+SUMIFS('NSE - Other Index Options'!$L:$L,'NSE - Other Index Options'!$C:$C,$A126,'NSE - Other Index Options'!$B:$B,B$4,'NSE - Other Index Options'!$H:$H,"Monthly*"))</f>
        <v/>
      </c>
      <c r="C126" s="26" t="str">
        <f>IF(SUMIFS('NSE - NIFTY Index Options'!$L:$L,'NSE - NIFTY Index Options'!$C:$C,$A126,'NSE - NIFTY Index Options'!$B:$B,C$4,'NSE - NIFTY Index Options'!$H:$H,"Monthly*")+SUMIFS('NSE - Other Index Options'!$L:$L,'NSE - Other Index Options'!$C:$C,$A126,'NSE - Other Index Options'!$B:$B,C$4,'NSE - Other Index Options'!$H:$H,"Monthly*")=0,"",SUMIFS('NSE - NIFTY Index Options'!$L:$L,'NSE - NIFTY Index Options'!$C:$C,$A126,'NSE - NIFTY Index Options'!$B:$B,C$4,'NSE - NIFTY Index Options'!$H:$H,"Monthly*")+SUMIFS('NSE - Other Index Options'!$L:$L,'NSE - Other Index Options'!$C:$C,$A126,'NSE - Other Index Options'!$B:$B,C$4,'NSE - Other Index Options'!$H:$H,"Monthly*"))</f>
        <v/>
      </c>
      <c r="D126" s="26" t="str">
        <f>IF(SUMIFS('NSE - NIFTY Index Options'!$L:$L,'NSE - NIFTY Index Options'!$C:$C,$A126,'NSE - NIFTY Index Options'!$B:$B,D$4,'NSE - NIFTY Index Options'!$H:$H,"Monthly*")+SUMIFS('NSE - Other Index Options'!$L:$L,'NSE - Other Index Options'!$C:$C,$A126,'NSE - Other Index Options'!$B:$B,D$4,'NSE - Other Index Options'!$H:$H,"Monthly*")=0,"",SUMIFS('NSE - NIFTY Index Options'!$L:$L,'NSE - NIFTY Index Options'!$C:$C,$A126,'NSE - NIFTY Index Options'!$B:$B,D$4,'NSE - NIFTY Index Options'!$H:$H,"Monthly*")+SUMIFS('NSE - Other Index Options'!$L:$L,'NSE - Other Index Options'!$C:$C,$A126,'NSE - Other Index Options'!$B:$B,D$4,'NSE - Other Index Options'!$H:$H,"Monthly*"))</f>
        <v/>
      </c>
      <c r="E126" s="26" t="str">
        <f>IF(SUMIFS('NSE - NIFTY Index Options'!$L:$L,'NSE - NIFTY Index Options'!$C:$C,$A126,'NSE - NIFTY Index Options'!$B:$B,E$4,'NSE - NIFTY Index Options'!$H:$H,"Monthly*")+SUMIFS('NSE - Other Index Options'!$L:$L,'NSE - Other Index Options'!$C:$C,$A126,'NSE - Other Index Options'!$B:$B,E$4,'NSE - Other Index Options'!$H:$H,"Monthly*")=0,"",SUMIFS('NSE - NIFTY Index Options'!$L:$L,'NSE - NIFTY Index Options'!$C:$C,$A126,'NSE - NIFTY Index Options'!$B:$B,E$4,'NSE - NIFTY Index Options'!$H:$H,"Monthly*")+SUMIFS('NSE - Other Index Options'!$L:$L,'NSE - Other Index Options'!$C:$C,$A126,'NSE - Other Index Options'!$B:$B,E$4,'NSE - Other Index Options'!$H:$H,"Monthly*"))</f>
        <v/>
      </c>
      <c r="F126" s="26" t="str">
        <f>IF(SUMIFS('NSE - NIFTY Index Options'!$L:$L,'NSE - NIFTY Index Options'!$C:$C,$A126,'NSE - NIFTY Index Options'!$B:$B,F$4,'NSE - NIFTY Index Options'!$H:$H,"Monthly*")+SUMIFS('NSE - Other Index Options'!$L:$L,'NSE - Other Index Options'!$C:$C,$A126,'NSE - Other Index Options'!$B:$B,F$4,'NSE - Other Index Options'!$H:$H,"Monthly*")=0,"",SUMIFS('NSE - NIFTY Index Options'!$L:$L,'NSE - NIFTY Index Options'!$C:$C,$A126,'NSE - NIFTY Index Options'!$B:$B,F$4,'NSE - NIFTY Index Options'!$H:$H,"Monthly*")+SUMIFS('NSE - Other Index Options'!$L:$L,'NSE - Other Index Options'!$C:$C,$A126,'NSE - Other Index Options'!$B:$B,F$4,'NSE - Other Index Options'!$H:$H,"Monthly*"))</f>
        <v/>
      </c>
      <c r="G126" s="26" t="str">
        <f>IF(SUMIFS('NSE - NIFTY Index Options'!$L:$L,'NSE - NIFTY Index Options'!$C:$C,$A126,'NSE - NIFTY Index Options'!$B:$B,G$4,'NSE - NIFTY Index Options'!$H:$H,"Monthly*")+SUMIFS('NSE - Other Index Options'!$L:$L,'NSE - Other Index Options'!$C:$C,$A126,'NSE - Other Index Options'!$B:$B,G$4,'NSE - Other Index Options'!$H:$H,"Monthly*")=0,"",SUMIFS('NSE - NIFTY Index Options'!$L:$L,'NSE - NIFTY Index Options'!$C:$C,$A126,'NSE - NIFTY Index Options'!$B:$B,G$4,'NSE - NIFTY Index Options'!$H:$H,"Monthly*")+SUMIFS('NSE - Other Index Options'!$L:$L,'NSE - Other Index Options'!$C:$C,$A126,'NSE - Other Index Options'!$B:$B,G$4,'NSE - Other Index Options'!$H:$H,"Monthly*"))</f>
        <v/>
      </c>
      <c r="H126" s="26" t="str">
        <f t="shared" si="3"/>
        <v/>
      </c>
    </row>
    <row r="127" spans="1:8" hidden="1" outlineLevel="1">
      <c r="A127" t="s">
        <v>132</v>
      </c>
      <c r="B127" s="26" t="str">
        <f>IF(SUMIFS('NSE - NIFTY Index Options'!$L:$L,'NSE - NIFTY Index Options'!$C:$C,$A127,'NSE - NIFTY Index Options'!$B:$B,B$4,'NSE - NIFTY Index Options'!$H:$H,"Monthly*")+SUMIFS('NSE - Other Index Options'!$L:$L,'NSE - Other Index Options'!$C:$C,$A127,'NSE - Other Index Options'!$B:$B,B$4,'NSE - Other Index Options'!$H:$H,"Monthly*")=0,"",SUMIFS('NSE - NIFTY Index Options'!$L:$L,'NSE - NIFTY Index Options'!$C:$C,$A127,'NSE - NIFTY Index Options'!$B:$B,B$4,'NSE - NIFTY Index Options'!$H:$H,"Monthly*")+SUMIFS('NSE - Other Index Options'!$L:$L,'NSE - Other Index Options'!$C:$C,$A127,'NSE - Other Index Options'!$B:$B,B$4,'NSE - Other Index Options'!$H:$H,"Monthly*"))</f>
        <v/>
      </c>
      <c r="C127" s="26" t="str">
        <f>IF(SUMIFS('NSE - NIFTY Index Options'!$L:$L,'NSE - NIFTY Index Options'!$C:$C,$A127,'NSE - NIFTY Index Options'!$B:$B,C$4,'NSE - NIFTY Index Options'!$H:$H,"Monthly*")+SUMIFS('NSE - Other Index Options'!$L:$L,'NSE - Other Index Options'!$C:$C,$A127,'NSE - Other Index Options'!$B:$B,C$4,'NSE - Other Index Options'!$H:$H,"Monthly*")=0,"",SUMIFS('NSE - NIFTY Index Options'!$L:$L,'NSE - NIFTY Index Options'!$C:$C,$A127,'NSE - NIFTY Index Options'!$B:$B,C$4,'NSE - NIFTY Index Options'!$H:$H,"Monthly*")+SUMIFS('NSE - Other Index Options'!$L:$L,'NSE - Other Index Options'!$C:$C,$A127,'NSE - Other Index Options'!$B:$B,C$4,'NSE - Other Index Options'!$H:$H,"Monthly*"))</f>
        <v/>
      </c>
      <c r="D127" s="26" t="str">
        <f>IF(SUMIFS('NSE - NIFTY Index Options'!$L:$L,'NSE - NIFTY Index Options'!$C:$C,$A127,'NSE - NIFTY Index Options'!$B:$B,D$4,'NSE - NIFTY Index Options'!$H:$H,"Monthly*")+SUMIFS('NSE - Other Index Options'!$L:$L,'NSE - Other Index Options'!$C:$C,$A127,'NSE - Other Index Options'!$B:$B,D$4,'NSE - Other Index Options'!$H:$H,"Monthly*")=0,"",SUMIFS('NSE - NIFTY Index Options'!$L:$L,'NSE - NIFTY Index Options'!$C:$C,$A127,'NSE - NIFTY Index Options'!$B:$B,D$4,'NSE - NIFTY Index Options'!$H:$H,"Monthly*")+SUMIFS('NSE - Other Index Options'!$L:$L,'NSE - Other Index Options'!$C:$C,$A127,'NSE - Other Index Options'!$B:$B,D$4,'NSE - Other Index Options'!$H:$H,"Monthly*"))</f>
        <v/>
      </c>
      <c r="E127" s="26" t="str">
        <f>IF(SUMIFS('NSE - NIFTY Index Options'!$L:$L,'NSE - NIFTY Index Options'!$C:$C,$A127,'NSE - NIFTY Index Options'!$B:$B,E$4,'NSE - NIFTY Index Options'!$H:$H,"Monthly*")+SUMIFS('NSE - Other Index Options'!$L:$L,'NSE - Other Index Options'!$C:$C,$A127,'NSE - Other Index Options'!$B:$B,E$4,'NSE - Other Index Options'!$H:$H,"Monthly*")=0,"",SUMIFS('NSE - NIFTY Index Options'!$L:$L,'NSE - NIFTY Index Options'!$C:$C,$A127,'NSE - NIFTY Index Options'!$B:$B,E$4,'NSE - NIFTY Index Options'!$H:$H,"Monthly*")+SUMIFS('NSE - Other Index Options'!$L:$L,'NSE - Other Index Options'!$C:$C,$A127,'NSE - Other Index Options'!$B:$B,E$4,'NSE - Other Index Options'!$H:$H,"Monthly*"))</f>
        <v/>
      </c>
      <c r="F127" s="26" t="str">
        <f>IF(SUMIFS('NSE - NIFTY Index Options'!$L:$L,'NSE - NIFTY Index Options'!$C:$C,$A127,'NSE - NIFTY Index Options'!$B:$B,F$4,'NSE - NIFTY Index Options'!$H:$H,"Monthly*")+SUMIFS('NSE - Other Index Options'!$L:$L,'NSE - Other Index Options'!$C:$C,$A127,'NSE - Other Index Options'!$B:$B,F$4,'NSE - Other Index Options'!$H:$H,"Monthly*")=0,"",SUMIFS('NSE - NIFTY Index Options'!$L:$L,'NSE - NIFTY Index Options'!$C:$C,$A127,'NSE - NIFTY Index Options'!$B:$B,F$4,'NSE - NIFTY Index Options'!$H:$H,"Monthly*")+SUMIFS('NSE - Other Index Options'!$L:$L,'NSE - Other Index Options'!$C:$C,$A127,'NSE - Other Index Options'!$B:$B,F$4,'NSE - Other Index Options'!$H:$H,"Monthly*"))</f>
        <v/>
      </c>
      <c r="G127" s="26" t="str">
        <f>IF(SUMIFS('NSE - NIFTY Index Options'!$L:$L,'NSE - NIFTY Index Options'!$C:$C,$A127,'NSE - NIFTY Index Options'!$B:$B,G$4,'NSE - NIFTY Index Options'!$H:$H,"Monthly*")+SUMIFS('NSE - Other Index Options'!$L:$L,'NSE - Other Index Options'!$C:$C,$A127,'NSE - Other Index Options'!$B:$B,G$4,'NSE - Other Index Options'!$H:$H,"Monthly*")=0,"",SUMIFS('NSE - NIFTY Index Options'!$L:$L,'NSE - NIFTY Index Options'!$C:$C,$A127,'NSE - NIFTY Index Options'!$B:$B,G$4,'NSE - NIFTY Index Options'!$H:$H,"Monthly*")+SUMIFS('NSE - Other Index Options'!$L:$L,'NSE - Other Index Options'!$C:$C,$A127,'NSE - Other Index Options'!$B:$B,G$4,'NSE - Other Index Options'!$H:$H,"Monthly*"))</f>
        <v/>
      </c>
      <c r="H127" s="26" t="str">
        <f t="shared" si="3"/>
        <v/>
      </c>
    </row>
    <row r="128" spans="1:8" hidden="1" outlineLevel="1">
      <c r="A128" t="s">
        <v>133</v>
      </c>
      <c r="B128" s="26" t="str">
        <f>IF(SUMIFS('NSE - NIFTY Index Options'!$L:$L,'NSE - NIFTY Index Options'!$C:$C,$A128,'NSE - NIFTY Index Options'!$B:$B,B$4,'NSE - NIFTY Index Options'!$H:$H,"Monthly*")+SUMIFS('NSE - Other Index Options'!$L:$L,'NSE - Other Index Options'!$C:$C,$A128,'NSE - Other Index Options'!$B:$B,B$4,'NSE - Other Index Options'!$H:$H,"Monthly*")=0,"",SUMIFS('NSE - NIFTY Index Options'!$L:$L,'NSE - NIFTY Index Options'!$C:$C,$A128,'NSE - NIFTY Index Options'!$B:$B,B$4,'NSE - NIFTY Index Options'!$H:$H,"Monthly*")+SUMIFS('NSE - Other Index Options'!$L:$L,'NSE - Other Index Options'!$C:$C,$A128,'NSE - Other Index Options'!$B:$B,B$4,'NSE - Other Index Options'!$H:$H,"Monthly*"))</f>
        <v/>
      </c>
      <c r="C128" s="26" t="str">
        <f>IF(SUMIFS('NSE - NIFTY Index Options'!$L:$L,'NSE - NIFTY Index Options'!$C:$C,$A128,'NSE - NIFTY Index Options'!$B:$B,C$4,'NSE - NIFTY Index Options'!$H:$H,"Monthly*")+SUMIFS('NSE - Other Index Options'!$L:$L,'NSE - Other Index Options'!$C:$C,$A128,'NSE - Other Index Options'!$B:$B,C$4,'NSE - Other Index Options'!$H:$H,"Monthly*")=0,"",SUMIFS('NSE - NIFTY Index Options'!$L:$L,'NSE - NIFTY Index Options'!$C:$C,$A128,'NSE - NIFTY Index Options'!$B:$B,C$4,'NSE - NIFTY Index Options'!$H:$H,"Monthly*")+SUMIFS('NSE - Other Index Options'!$L:$L,'NSE - Other Index Options'!$C:$C,$A128,'NSE - Other Index Options'!$B:$B,C$4,'NSE - Other Index Options'!$H:$H,"Monthly*"))</f>
        <v/>
      </c>
      <c r="D128" s="26" t="str">
        <f>IF(SUMIFS('NSE - NIFTY Index Options'!$L:$L,'NSE - NIFTY Index Options'!$C:$C,$A128,'NSE - NIFTY Index Options'!$B:$B,D$4,'NSE - NIFTY Index Options'!$H:$H,"Monthly*")+SUMIFS('NSE - Other Index Options'!$L:$L,'NSE - Other Index Options'!$C:$C,$A128,'NSE - Other Index Options'!$B:$B,D$4,'NSE - Other Index Options'!$H:$H,"Monthly*")=0,"",SUMIFS('NSE - NIFTY Index Options'!$L:$L,'NSE - NIFTY Index Options'!$C:$C,$A128,'NSE - NIFTY Index Options'!$B:$B,D$4,'NSE - NIFTY Index Options'!$H:$H,"Monthly*")+SUMIFS('NSE - Other Index Options'!$L:$L,'NSE - Other Index Options'!$C:$C,$A128,'NSE - Other Index Options'!$B:$B,D$4,'NSE - Other Index Options'!$H:$H,"Monthly*"))</f>
        <v/>
      </c>
      <c r="E128" s="26" t="str">
        <f>IF(SUMIFS('NSE - NIFTY Index Options'!$L:$L,'NSE - NIFTY Index Options'!$C:$C,$A128,'NSE - NIFTY Index Options'!$B:$B,E$4,'NSE - NIFTY Index Options'!$H:$H,"Monthly*")+SUMIFS('NSE - Other Index Options'!$L:$L,'NSE - Other Index Options'!$C:$C,$A128,'NSE - Other Index Options'!$B:$B,E$4,'NSE - Other Index Options'!$H:$H,"Monthly*")=0,"",SUMIFS('NSE - NIFTY Index Options'!$L:$L,'NSE - NIFTY Index Options'!$C:$C,$A128,'NSE - NIFTY Index Options'!$B:$B,E$4,'NSE - NIFTY Index Options'!$H:$H,"Monthly*")+SUMIFS('NSE - Other Index Options'!$L:$L,'NSE - Other Index Options'!$C:$C,$A128,'NSE - Other Index Options'!$B:$B,E$4,'NSE - Other Index Options'!$H:$H,"Monthly*"))</f>
        <v/>
      </c>
      <c r="F128" s="26" t="str">
        <f>IF(SUMIFS('NSE - NIFTY Index Options'!$L:$L,'NSE - NIFTY Index Options'!$C:$C,$A128,'NSE - NIFTY Index Options'!$B:$B,F$4,'NSE - NIFTY Index Options'!$H:$H,"Monthly*")+SUMIFS('NSE - Other Index Options'!$L:$L,'NSE - Other Index Options'!$C:$C,$A128,'NSE - Other Index Options'!$B:$B,F$4,'NSE - Other Index Options'!$H:$H,"Monthly*")=0,"",SUMIFS('NSE - NIFTY Index Options'!$L:$L,'NSE - NIFTY Index Options'!$C:$C,$A128,'NSE - NIFTY Index Options'!$B:$B,F$4,'NSE - NIFTY Index Options'!$H:$H,"Monthly*")+SUMIFS('NSE - Other Index Options'!$L:$L,'NSE - Other Index Options'!$C:$C,$A128,'NSE - Other Index Options'!$B:$B,F$4,'NSE - Other Index Options'!$H:$H,"Monthly*"))</f>
        <v/>
      </c>
      <c r="G128" s="26" t="str">
        <f>IF(SUMIFS('NSE - NIFTY Index Options'!$L:$L,'NSE - NIFTY Index Options'!$C:$C,$A128,'NSE - NIFTY Index Options'!$B:$B,G$4,'NSE - NIFTY Index Options'!$H:$H,"Monthly*")+SUMIFS('NSE - Other Index Options'!$L:$L,'NSE - Other Index Options'!$C:$C,$A128,'NSE - Other Index Options'!$B:$B,G$4,'NSE - Other Index Options'!$H:$H,"Monthly*")=0,"",SUMIFS('NSE - NIFTY Index Options'!$L:$L,'NSE - NIFTY Index Options'!$C:$C,$A128,'NSE - NIFTY Index Options'!$B:$B,G$4,'NSE - NIFTY Index Options'!$H:$H,"Monthly*")+SUMIFS('NSE - Other Index Options'!$L:$L,'NSE - Other Index Options'!$C:$C,$A128,'NSE - Other Index Options'!$B:$B,G$4,'NSE - Other Index Options'!$H:$H,"Monthly*"))</f>
        <v/>
      </c>
      <c r="H128" s="26" t="str">
        <f t="shared" si="3"/>
        <v/>
      </c>
    </row>
    <row r="129" spans="1:8" hidden="1" outlineLevel="1">
      <c r="A129" t="s">
        <v>134</v>
      </c>
      <c r="B129" s="26" t="str">
        <f>IF(SUMIFS('NSE - NIFTY Index Options'!$L:$L,'NSE - NIFTY Index Options'!$C:$C,$A129,'NSE - NIFTY Index Options'!$B:$B,B$4,'NSE - NIFTY Index Options'!$H:$H,"Monthly*")+SUMIFS('NSE - Other Index Options'!$L:$L,'NSE - Other Index Options'!$C:$C,$A129,'NSE - Other Index Options'!$B:$B,B$4,'NSE - Other Index Options'!$H:$H,"Monthly*")=0,"",SUMIFS('NSE - NIFTY Index Options'!$L:$L,'NSE - NIFTY Index Options'!$C:$C,$A129,'NSE - NIFTY Index Options'!$B:$B,B$4,'NSE - NIFTY Index Options'!$H:$H,"Monthly*")+SUMIFS('NSE - Other Index Options'!$L:$L,'NSE - Other Index Options'!$C:$C,$A129,'NSE - Other Index Options'!$B:$B,B$4,'NSE - Other Index Options'!$H:$H,"Monthly*"))</f>
        <v/>
      </c>
      <c r="C129" s="26" t="str">
        <f>IF(SUMIFS('NSE - NIFTY Index Options'!$L:$L,'NSE - NIFTY Index Options'!$C:$C,$A129,'NSE - NIFTY Index Options'!$B:$B,C$4,'NSE - NIFTY Index Options'!$H:$H,"Monthly*")+SUMIFS('NSE - Other Index Options'!$L:$L,'NSE - Other Index Options'!$C:$C,$A129,'NSE - Other Index Options'!$B:$B,C$4,'NSE - Other Index Options'!$H:$H,"Monthly*")=0,"",SUMIFS('NSE - NIFTY Index Options'!$L:$L,'NSE - NIFTY Index Options'!$C:$C,$A129,'NSE - NIFTY Index Options'!$B:$B,C$4,'NSE - NIFTY Index Options'!$H:$H,"Monthly*")+SUMIFS('NSE - Other Index Options'!$L:$L,'NSE - Other Index Options'!$C:$C,$A129,'NSE - Other Index Options'!$B:$B,C$4,'NSE - Other Index Options'!$H:$H,"Monthly*"))</f>
        <v/>
      </c>
      <c r="D129" s="26" t="str">
        <f>IF(SUMIFS('NSE - NIFTY Index Options'!$L:$L,'NSE - NIFTY Index Options'!$C:$C,$A129,'NSE - NIFTY Index Options'!$B:$B,D$4,'NSE - NIFTY Index Options'!$H:$H,"Monthly*")+SUMIFS('NSE - Other Index Options'!$L:$L,'NSE - Other Index Options'!$C:$C,$A129,'NSE - Other Index Options'!$B:$B,D$4,'NSE - Other Index Options'!$H:$H,"Monthly*")=0,"",SUMIFS('NSE - NIFTY Index Options'!$L:$L,'NSE - NIFTY Index Options'!$C:$C,$A129,'NSE - NIFTY Index Options'!$B:$B,D$4,'NSE - NIFTY Index Options'!$H:$H,"Monthly*")+SUMIFS('NSE - Other Index Options'!$L:$L,'NSE - Other Index Options'!$C:$C,$A129,'NSE - Other Index Options'!$B:$B,D$4,'NSE - Other Index Options'!$H:$H,"Monthly*"))</f>
        <v/>
      </c>
      <c r="E129" s="26" t="str">
        <f>IF(SUMIFS('NSE - NIFTY Index Options'!$L:$L,'NSE - NIFTY Index Options'!$C:$C,$A129,'NSE - NIFTY Index Options'!$B:$B,E$4,'NSE - NIFTY Index Options'!$H:$H,"Monthly*")+SUMIFS('NSE - Other Index Options'!$L:$L,'NSE - Other Index Options'!$C:$C,$A129,'NSE - Other Index Options'!$B:$B,E$4,'NSE - Other Index Options'!$H:$H,"Monthly*")=0,"",SUMIFS('NSE - NIFTY Index Options'!$L:$L,'NSE - NIFTY Index Options'!$C:$C,$A129,'NSE - NIFTY Index Options'!$B:$B,E$4,'NSE - NIFTY Index Options'!$H:$H,"Monthly*")+SUMIFS('NSE - Other Index Options'!$L:$L,'NSE - Other Index Options'!$C:$C,$A129,'NSE - Other Index Options'!$B:$B,E$4,'NSE - Other Index Options'!$H:$H,"Monthly*"))</f>
        <v/>
      </c>
      <c r="F129" s="26" t="str">
        <f>IF(SUMIFS('NSE - NIFTY Index Options'!$L:$L,'NSE - NIFTY Index Options'!$C:$C,$A129,'NSE - NIFTY Index Options'!$B:$B,F$4,'NSE - NIFTY Index Options'!$H:$H,"Monthly*")+SUMIFS('NSE - Other Index Options'!$L:$L,'NSE - Other Index Options'!$C:$C,$A129,'NSE - Other Index Options'!$B:$B,F$4,'NSE - Other Index Options'!$H:$H,"Monthly*")=0,"",SUMIFS('NSE - NIFTY Index Options'!$L:$L,'NSE - NIFTY Index Options'!$C:$C,$A129,'NSE - NIFTY Index Options'!$B:$B,F$4,'NSE - NIFTY Index Options'!$H:$H,"Monthly*")+SUMIFS('NSE - Other Index Options'!$L:$L,'NSE - Other Index Options'!$C:$C,$A129,'NSE - Other Index Options'!$B:$B,F$4,'NSE - Other Index Options'!$H:$H,"Monthly*"))</f>
        <v/>
      </c>
      <c r="G129" s="26" t="str">
        <f>IF(SUMIFS('NSE - NIFTY Index Options'!$L:$L,'NSE - NIFTY Index Options'!$C:$C,$A129,'NSE - NIFTY Index Options'!$B:$B,G$4,'NSE - NIFTY Index Options'!$H:$H,"Monthly*")+SUMIFS('NSE - Other Index Options'!$L:$L,'NSE - Other Index Options'!$C:$C,$A129,'NSE - Other Index Options'!$B:$B,G$4,'NSE - Other Index Options'!$H:$H,"Monthly*")=0,"",SUMIFS('NSE - NIFTY Index Options'!$L:$L,'NSE - NIFTY Index Options'!$C:$C,$A129,'NSE - NIFTY Index Options'!$B:$B,G$4,'NSE - NIFTY Index Options'!$H:$H,"Monthly*")+SUMIFS('NSE - Other Index Options'!$L:$L,'NSE - Other Index Options'!$C:$C,$A129,'NSE - Other Index Options'!$B:$B,G$4,'NSE - Other Index Options'!$H:$H,"Monthly*"))</f>
        <v/>
      </c>
      <c r="H129" s="26" t="str">
        <f t="shared" si="3"/>
        <v/>
      </c>
    </row>
    <row r="130" spans="1:8" hidden="1" outlineLevel="1">
      <c r="A130" t="s">
        <v>135</v>
      </c>
      <c r="B130" s="26" t="str">
        <f>IF(SUMIFS('NSE - NIFTY Index Options'!$L:$L,'NSE - NIFTY Index Options'!$C:$C,$A130,'NSE - NIFTY Index Options'!$B:$B,B$4,'NSE - NIFTY Index Options'!$H:$H,"Monthly*")+SUMIFS('NSE - Other Index Options'!$L:$L,'NSE - Other Index Options'!$C:$C,$A130,'NSE - Other Index Options'!$B:$B,B$4,'NSE - Other Index Options'!$H:$H,"Monthly*")=0,"",SUMIFS('NSE - NIFTY Index Options'!$L:$L,'NSE - NIFTY Index Options'!$C:$C,$A130,'NSE - NIFTY Index Options'!$B:$B,B$4,'NSE - NIFTY Index Options'!$H:$H,"Monthly*")+SUMIFS('NSE - Other Index Options'!$L:$L,'NSE - Other Index Options'!$C:$C,$A130,'NSE - Other Index Options'!$B:$B,B$4,'NSE - Other Index Options'!$H:$H,"Monthly*"))</f>
        <v/>
      </c>
      <c r="C130" s="26" t="str">
        <f>IF(SUMIFS('NSE - NIFTY Index Options'!$L:$L,'NSE - NIFTY Index Options'!$C:$C,$A130,'NSE - NIFTY Index Options'!$B:$B,C$4,'NSE - NIFTY Index Options'!$H:$H,"Monthly*")+SUMIFS('NSE - Other Index Options'!$L:$L,'NSE - Other Index Options'!$C:$C,$A130,'NSE - Other Index Options'!$B:$B,C$4,'NSE - Other Index Options'!$H:$H,"Monthly*")=0,"",SUMIFS('NSE - NIFTY Index Options'!$L:$L,'NSE - NIFTY Index Options'!$C:$C,$A130,'NSE - NIFTY Index Options'!$B:$B,C$4,'NSE - NIFTY Index Options'!$H:$H,"Monthly*")+SUMIFS('NSE - Other Index Options'!$L:$L,'NSE - Other Index Options'!$C:$C,$A130,'NSE - Other Index Options'!$B:$B,C$4,'NSE - Other Index Options'!$H:$H,"Monthly*"))</f>
        <v/>
      </c>
      <c r="D130" s="26" t="str">
        <f>IF(SUMIFS('NSE - NIFTY Index Options'!$L:$L,'NSE - NIFTY Index Options'!$C:$C,$A130,'NSE - NIFTY Index Options'!$B:$B,D$4,'NSE - NIFTY Index Options'!$H:$H,"Monthly*")+SUMIFS('NSE - Other Index Options'!$L:$L,'NSE - Other Index Options'!$C:$C,$A130,'NSE - Other Index Options'!$B:$B,D$4,'NSE - Other Index Options'!$H:$H,"Monthly*")=0,"",SUMIFS('NSE - NIFTY Index Options'!$L:$L,'NSE - NIFTY Index Options'!$C:$C,$A130,'NSE - NIFTY Index Options'!$B:$B,D$4,'NSE - NIFTY Index Options'!$H:$H,"Monthly*")+SUMIFS('NSE - Other Index Options'!$L:$L,'NSE - Other Index Options'!$C:$C,$A130,'NSE - Other Index Options'!$B:$B,D$4,'NSE - Other Index Options'!$H:$H,"Monthly*"))</f>
        <v/>
      </c>
      <c r="E130" s="26" t="str">
        <f>IF(SUMIFS('NSE - NIFTY Index Options'!$L:$L,'NSE - NIFTY Index Options'!$C:$C,$A130,'NSE - NIFTY Index Options'!$B:$B,E$4,'NSE - NIFTY Index Options'!$H:$H,"Monthly*")+SUMIFS('NSE - Other Index Options'!$L:$L,'NSE - Other Index Options'!$C:$C,$A130,'NSE - Other Index Options'!$B:$B,E$4,'NSE - Other Index Options'!$H:$H,"Monthly*")=0,"",SUMIFS('NSE - NIFTY Index Options'!$L:$L,'NSE - NIFTY Index Options'!$C:$C,$A130,'NSE - NIFTY Index Options'!$B:$B,E$4,'NSE - NIFTY Index Options'!$H:$H,"Monthly*")+SUMIFS('NSE - Other Index Options'!$L:$L,'NSE - Other Index Options'!$C:$C,$A130,'NSE - Other Index Options'!$B:$B,E$4,'NSE - Other Index Options'!$H:$H,"Monthly*"))</f>
        <v/>
      </c>
      <c r="F130" s="26" t="str">
        <f>IF(SUMIFS('NSE - NIFTY Index Options'!$L:$L,'NSE - NIFTY Index Options'!$C:$C,$A130,'NSE - NIFTY Index Options'!$B:$B,F$4,'NSE - NIFTY Index Options'!$H:$H,"Monthly*")+SUMIFS('NSE - Other Index Options'!$L:$L,'NSE - Other Index Options'!$C:$C,$A130,'NSE - Other Index Options'!$B:$B,F$4,'NSE - Other Index Options'!$H:$H,"Monthly*")=0,"",SUMIFS('NSE - NIFTY Index Options'!$L:$L,'NSE - NIFTY Index Options'!$C:$C,$A130,'NSE - NIFTY Index Options'!$B:$B,F$4,'NSE - NIFTY Index Options'!$H:$H,"Monthly*")+SUMIFS('NSE - Other Index Options'!$L:$L,'NSE - Other Index Options'!$C:$C,$A130,'NSE - Other Index Options'!$B:$B,F$4,'NSE - Other Index Options'!$H:$H,"Monthly*"))</f>
        <v/>
      </c>
      <c r="G130" s="26" t="str">
        <f>IF(SUMIFS('NSE - NIFTY Index Options'!$L:$L,'NSE - NIFTY Index Options'!$C:$C,$A130,'NSE - NIFTY Index Options'!$B:$B,G$4,'NSE - NIFTY Index Options'!$H:$H,"Monthly*")+SUMIFS('NSE - Other Index Options'!$L:$L,'NSE - Other Index Options'!$C:$C,$A130,'NSE - Other Index Options'!$B:$B,G$4,'NSE - Other Index Options'!$H:$H,"Monthly*")=0,"",SUMIFS('NSE - NIFTY Index Options'!$L:$L,'NSE - NIFTY Index Options'!$C:$C,$A130,'NSE - NIFTY Index Options'!$B:$B,G$4,'NSE - NIFTY Index Options'!$H:$H,"Monthly*")+SUMIFS('NSE - Other Index Options'!$L:$L,'NSE - Other Index Options'!$C:$C,$A130,'NSE - Other Index Options'!$B:$B,G$4,'NSE - Other Index Options'!$H:$H,"Monthly*"))</f>
        <v/>
      </c>
      <c r="H130" s="26" t="str">
        <f t="shared" si="3"/>
        <v/>
      </c>
    </row>
    <row r="131" spans="1:8" hidden="1" outlineLevel="1">
      <c r="A131" t="s">
        <v>136</v>
      </c>
      <c r="B131" s="26" t="str">
        <f>IF(SUMIFS('NSE - NIFTY Index Options'!$L:$L,'NSE - NIFTY Index Options'!$C:$C,$A131,'NSE - NIFTY Index Options'!$B:$B,B$4,'NSE - NIFTY Index Options'!$H:$H,"Monthly*")+SUMIFS('NSE - Other Index Options'!$L:$L,'NSE - Other Index Options'!$C:$C,$A131,'NSE - Other Index Options'!$B:$B,B$4,'NSE - Other Index Options'!$H:$H,"Monthly*")=0,"",SUMIFS('NSE - NIFTY Index Options'!$L:$L,'NSE - NIFTY Index Options'!$C:$C,$A131,'NSE - NIFTY Index Options'!$B:$B,B$4,'NSE - NIFTY Index Options'!$H:$H,"Monthly*")+SUMIFS('NSE - Other Index Options'!$L:$L,'NSE - Other Index Options'!$C:$C,$A131,'NSE - Other Index Options'!$B:$B,B$4,'NSE - Other Index Options'!$H:$H,"Monthly*"))</f>
        <v/>
      </c>
      <c r="C131" s="26" t="str">
        <f>IF(SUMIFS('NSE - NIFTY Index Options'!$L:$L,'NSE - NIFTY Index Options'!$C:$C,$A131,'NSE - NIFTY Index Options'!$B:$B,C$4,'NSE - NIFTY Index Options'!$H:$H,"Monthly*")+SUMIFS('NSE - Other Index Options'!$L:$L,'NSE - Other Index Options'!$C:$C,$A131,'NSE - Other Index Options'!$B:$B,C$4,'NSE - Other Index Options'!$H:$H,"Monthly*")=0,"",SUMIFS('NSE - NIFTY Index Options'!$L:$L,'NSE - NIFTY Index Options'!$C:$C,$A131,'NSE - NIFTY Index Options'!$B:$B,C$4,'NSE - NIFTY Index Options'!$H:$H,"Monthly*")+SUMIFS('NSE - Other Index Options'!$L:$L,'NSE - Other Index Options'!$C:$C,$A131,'NSE - Other Index Options'!$B:$B,C$4,'NSE - Other Index Options'!$H:$H,"Monthly*"))</f>
        <v/>
      </c>
      <c r="D131" s="26" t="str">
        <f>IF(SUMIFS('NSE - NIFTY Index Options'!$L:$L,'NSE - NIFTY Index Options'!$C:$C,$A131,'NSE - NIFTY Index Options'!$B:$B,D$4,'NSE - NIFTY Index Options'!$H:$H,"Monthly*")+SUMIFS('NSE - Other Index Options'!$L:$L,'NSE - Other Index Options'!$C:$C,$A131,'NSE - Other Index Options'!$B:$B,D$4,'NSE - Other Index Options'!$H:$H,"Monthly*")=0,"",SUMIFS('NSE - NIFTY Index Options'!$L:$L,'NSE - NIFTY Index Options'!$C:$C,$A131,'NSE - NIFTY Index Options'!$B:$B,D$4,'NSE - NIFTY Index Options'!$H:$H,"Monthly*")+SUMIFS('NSE - Other Index Options'!$L:$L,'NSE - Other Index Options'!$C:$C,$A131,'NSE - Other Index Options'!$B:$B,D$4,'NSE - Other Index Options'!$H:$H,"Monthly*"))</f>
        <v/>
      </c>
      <c r="E131" s="26" t="str">
        <f>IF(SUMIFS('NSE - NIFTY Index Options'!$L:$L,'NSE - NIFTY Index Options'!$C:$C,$A131,'NSE - NIFTY Index Options'!$B:$B,E$4,'NSE - NIFTY Index Options'!$H:$H,"Monthly*")+SUMIFS('NSE - Other Index Options'!$L:$L,'NSE - Other Index Options'!$C:$C,$A131,'NSE - Other Index Options'!$B:$B,E$4,'NSE - Other Index Options'!$H:$H,"Monthly*")=0,"",SUMIFS('NSE - NIFTY Index Options'!$L:$L,'NSE - NIFTY Index Options'!$C:$C,$A131,'NSE - NIFTY Index Options'!$B:$B,E$4,'NSE - NIFTY Index Options'!$H:$H,"Monthly*")+SUMIFS('NSE - Other Index Options'!$L:$L,'NSE - Other Index Options'!$C:$C,$A131,'NSE - Other Index Options'!$B:$B,E$4,'NSE - Other Index Options'!$H:$H,"Monthly*"))</f>
        <v/>
      </c>
      <c r="F131" s="26" t="str">
        <f>IF(SUMIFS('NSE - NIFTY Index Options'!$L:$L,'NSE - NIFTY Index Options'!$C:$C,$A131,'NSE - NIFTY Index Options'!$B:$B,F$4,'NSE - NIFTY Index Options'!$H:$H,"Monthly*")+SUMIFS('NSE - Other Index Options'!$L:$L,'NSE - Other Index Options'!$C:$C,$A131,'NSE - Other Index Options'!$B:$B,F$4,'NSE - Other Index Options'!$H:$H,"Monthly*")=0,"",SUMIFS('NSE - NIFTY Index Options'!$L:$L,'NSE - NIFTY Index Options'!$C:$C,$A131,'NSE - NIFTY Index Options'!$B:$B,F$4,'NSE - NIFTY Index Options'!$H:$H,"Monthly*")+SUMIFS('NSE - Other Index Options'!$L:$L,'NSE - Other Index Options'!$C:$C,$A131,'NSE - Other Index Options'!$B:$B,F$4,'NSE - Other Index Options'!$H:$H,"Monthly*"))</f>
        <v/>
      </c>
      <c r="G131" s="26" t="str">
        <f>IF(SUMIFS('NSE - NIFTY Index Options'!$L:$L,'NSE - NIFTY Index Options'!$C:$C,$A131,'NSE - NIFTY Index Options'!$B:$B,G$4,'NSE - NIFTY Index Options'!$H:$H,"Monthly*")+SUMIFS('NSE - Other Index Options'!$L:$L,'NSE - Other Index Options'!$C:$C,$A131,'NSE - Other Index Options'!$B:$B,G$4,'NSE - Other Index Options'!$H:$H,"Monthly*")=0,"",SUMIFS('NSE - NIFTY Index Options'!$L:$L,'NSE - NIFTY Index Options'!$C:$C,$A131,'NSE - NIFTY Index Options'!$B:$B,G$4,'NSE - NIFTY Index Options'!$H:$H,"Monthly*")+SUMIFS('NSE - Other Index Options'!$L:$L,'NSE - Other Index Options'!$C:$C,$A131,'NSE - Other Index Options'!$B:$B,G$4,'NSE - Other Index Options'!$H:$H,"Monthly*"))</f>
        <v/>
      </c>
      <c r="H131" s="26" t="str">
        <f t="shared" si="3"/>
        <v/>
      </c>
    </row>
    <row r="132" spans="1:8" hidden="1" outlineLevel="1">
      <c r="A132" t="s">
        <v>137</v>
      </c>
      <c r="B132" s="26" t="str">
        <f>IF(SUMIFS('NSE - NIFTY Index Options'!$L:$L,'NSE - NIFTY Index Options'!$C:$C,$A132,'NSE - NIFTY Index Options'!$B:$B,B$4,'NSE - NIFTY Index Options'!$H:$H,"Monthly*")+SUMIFS('NSE - Other Index Options'!$L:$L,'NSE - Other Index Options'!$C:$C,$A132,'NSE - Other Index Options'!$B:$B,B$4,'NSE - Other Index Options'!$H:$H,"Monthly*")=0,"",SUMIFS('NSE - NIFTY Index Options'!$L:$L,'NSE - NIFTY Index Options'!$C:$C,$A132,'NSE - NIFTY Index Options'!$B:$B,B$4,'NSE - NIFTY Index Options'!$H:$H,"Monthly*")+SUMIFS('NSE - Other Index Options'!$L:$L,'NSE - Other Index Options'!$C:$C,$A132,'NSE - Other Index Options'!$B:$B,B$4,'NSE - Other Index Options'!$H:$H,"Monthly*"))</f>
        <v/>
      </c>
      <c r="C132" s="26" t="str">
        <f>IF(SUMIFS('NSE - NIFTY Index Options'!$L:$L,'NSE - NIFTY Index Options'!$C:$C,$A132,'NSE - NIFTY Index Options'!$B:$B,C$4,'NSE - NIFTY Index Options'!$H:$H,"Monthly*")+SUMIFS('NSE - Other Index Options'!$L:$L,'NSE - Other Index Options'!$C:$C,$A132,'NSE - Other Index Options'!$B:$B,C$4,'NSE - Other Index Options'!$H:$H,"Monthly*")=0,"",SUMIFS('NSE - NIFTY Index Options'!$L:$L,'NSE - NIFTY Index Options'!$C:$C,$A132,'NSE - NIFTY Index Options'!$B:$B,C$4,'NSE - NIFTY Index Options'!$H:$H,"Monthly*")+SUMIFS('NSE - Other Index Options'!$L:$L,'NSE - Other Index Options'!$C:$C,$A132,'NSE - Other Index Options'!$B:$B,C$4,'NSE - Other Index Options'!$H:$H,"Monthly*"))</f>
        <v/>
      </c>
      <c r="D132" s="26" t="str">
        <f>IF(SUMIFS('NSE - NIFTY Index Options'!$L:$L,'NSE - NIFTY Index Options'!$C:$C,$A132,'NSE - NIFTY Index Options'!$B:$B,D$4,'NSE - NIFTY Index Options'!$H:$H,"Monthly*")+SUMIFS('NSE - Other Index Options'!$L:$L,'NSE - Other Index Options'!$C:$C,$A132,'NSE - Other Index Options'!$B:$B,D$4,'NSE - Other Index Options'!$H:$H,"Monthly*")=0,"",SUMIFS('NSE - NIFTY Index Options'!$L:$L,'NSE - NIFTY Index Options'!$C:$C,$A132,'NSE - NIFTY Index Options'!$B:$B,D$4,'NSE - NIFTY Index Options'!$H:$H,"Monthly*")+SUMIFS('NSE - Other Index Options'!$L:$L,'NSE - Other Index Options'!$C:$C,$A132,'NSE - Other Index Options'!$B:$B,D$4,'NSE - Other Index Options'!$H:$H,"Monthly*"))</f>
        <v/>
      </c>
      <c r="E132" s="26" t="str">
        <f>IF(SUMIFS('NSE - NIFTY Index Options'!$L:$L,'NSE - NIFTY Index Options'!$C:$C,$A132,'NSE - NIFTY Index Options'!$B:$B,E$4,'NSE - NIFTY Index Options'!$H:$H,"Monthly*")+SUMIFS('NSE - Other Index Options'!$L:$L,'NSE - Other Index Options'!$C:$C,$A132,'NSE - Other Index Options'!$B:$B,E$4,'NSE - Other Index Options'!$H:$H,"Monthly*")=0,"",SUMIFS('NSE - NIFTY Index Options'!$L:$L,'NSE - NIFTY Index Options'!$C:$C,$A132,'NSE - NIFTY Index Options'!$B:$B,E$4,'NSE - NIFTY Index Options'!$H:$H,"Monthly*")+SUMIFS('NSE - Other Index Options'!$L:$L,'NSE - Other Index Options'!$C:$C,$A132,'NSE - Other Index Options'!$B:$B,E$4,'NSE - Other Index Options'!$H:$H,"Monthly*"))</f>
        <v/>
      </c>
      <c r="F132" s="26" t="str">
        <f>IF(SUMIFS('NSE - NIFTY Index Options'!$L:$L,'NSE - NIFTY Index Options'!$C:$C,$A132,'NSE - NIFTY Index Options'!$B:$B,F$4,'NSE - NIFTY Index Options'!$H:$H,"Monthly*")+SUMIFS('NSE - Other Index Options'!$L:$L,'NSE - Other Index Options'!$C:$C,$A132,'NSE - Other Index Options'!$B:$B,F$4,'NSE - Other Index Options'!$H:$H,"Monthly*")=0,"",SUMIFS('NSE - NIFTY Index Options'!$L:$L,'NSE - NIFTY Index Options'!$C:$C,$A132,'NSE - NIFTY Index Options'!$B:$B,F$4,'NSE - NIFTY Index Options'!$H:$H,"Monthly*")+SUMIFS('NSE - Other Index Options'!$L:$L,'NSE - Other Index Options'!$C:$C,$A132,'NSE - Other Index Options'!$B:$B,F$4,'NSE - Other Index Options'!$H:$H,"Monthly*"))</f>
        <v/>
      </c>
      <c r="G132" s="26" t="str">
        <f>IF(SUMIFS('NSE - NIFTY Index Options'!$L:$L,'NSE - NIFTY Index Options'!$C:$C,$A132,'NSE - NIFTY Index Options'!$B:$B,G$4,'NSE - NIFTY Index Options'!$H:$H,"Monthly*")+SUMIFS('NSE - Other Index Options'!$L:$L,'NSE - Other Index Options'!$C:$C,$A132,'NSE - Other Index Options'!$B:$B,G$4,'NSE - Other Index Options'!$H:$H,"Monthly*")=0,"",SUMIFS('NSE - NIFTY Index Options'!$L:$L,'NSE - NIFTY Index Options'!$C:$C,$A132,'NSE - NIFTY Index Options'!$B:$B,G$4,'NSE - NIFTY Index Options'!$H:$H,"Monthly*")+SUMIFS('NSE - Other Index Options'!$L:$L,'NSE - Other Index Options'!$C:$C,$A132,'NSE - Other Index Options'!$B:$B,G$4,'NSE - Other Index Options'!$H:$H,"Monthly*"))</f>
        <v/>
      </c>
      <c r="H132" s="26" t="str">
        <f t="shared" si="3"/>
        <v/>
      </c>
    </row>
    <row r="133" spans="1:8" hidden="1" outlineLevel="1">
      <c r="A133" t="s">
        <v>138</v>
      </c>
      <c r="B133" s="26" t="str">
        <f>IF(SUMIFS('NSE - NIFTY Index Options'!$L:$L,'NSE - NIFTY Index Options'!$C:$C,$A133,'NSE - NIFTY Index Options'!$B:$B,B$4,'NSE - NIFTY Index Options'!$H:$H,"Monthly*")+SUMIFS('NSE - Other Index Options'!$L:$L,'NSE - Other Index Options'!$C:$C,$A133,'NSE - Other Index Options'!$B:$B,B$4,'NSE - Other Index Options'!$H:$H,"Monthly*")=0,"",SUMIFS('NSE - NIFTY Index Options'!$L:$L,'NSE - NIFTY Index Options'!$C:$C,$A133,'NSE - NIFTY Index Options'!$B:$B,B$4,'NSE - NIFTY Index Options'!$H:$H,"Monthly*")+SUMIFS('NSE - Other Index Options'!$L:$L,'NSE - Other Index Options'!$C:$C,$A133,'NSE - Other Index Options'!$B:$B,B$4,'NSE - Other Index Options'!$H:$H,"Monthly*"))</f>
        <v/>
      </c>
      <c r="C133" s="26" t="str">
        <f>IF(SUMIFS('NSE - NIFTY Index Options'!$L:$L,'NSE - NIFTY Index Options'!$C:$C,$A133,'NSE - NIFTY Index Options'!$B:$B,C$4,'NSE - NIFTY Index Options'!$H:$H,"Monthly*")+SUMIFS('NSE - Other Index Options'!$L:$L,'NSE - Other Index Options'!$C:$C,$A133,'NSE - Other Index Options'!$B:$B,C$4,'NSE - Other Index Options'!$H:$H,"Monthly*")=0,"",SUMIFS('NSE - NIFTY Index Options'!$L:$L,'NSE - NIFTY Index Options'!$C:$C,$A133,'NSE - NIFTY Index Options'!$B:$B,C$4,'NSE - NIFTY Index Options'!$H:$H,"Monthly*")+SUMIFS('NSE - Other Index Options'!$L:$L,'NSE - Other Index Options'!$C:$C,$A133,'NSE - Other Index Options'!$B:$B,C$4,'NSE - Other Index Options'!$H:$H,"Monthly*"))</f>
        <v/>
      </c>
      <c r="D133" s="26" t="str">
        <f>IF(SUMIFS('NSE - NIFTY Index Options'!$L:$L,'NSE - NIFTY Index Options'!$C:$C,$A133,'NSE - NIFTY Index Options'!$B:$B,D$4,'NSE - NIFTY Index Options'!$H:$H,"Monthly*")+SUMIFS('NSE - Other Index Options'!$L:$L,'NSE - Other Index Options'!$C:$C,$A133,'NSE - Other Index Options'!$B:$B,D$4,'NSE - Other Index Options'!$H:$H,"Monthly*")=0,"",SUMIFS('NSE - NIFTY Index Options'!$L:$L,'NSE - NIFTY Index Options'!$C:$C,$A133,'NSE - NIFTY Index Options'!$B:$B,D$4,'NSE - NIFTY Index Options'!$H:$H,"Monthly*")+SUMIFS('NSE - Other Index Options'!$L:$L,'NSE - Other Index Options'!$C:$C,$A133,'NSE - Other Index Options'!$B:$B,D$4,'NSE - Other Index Options'!$H:$H,"Monthly*"))</f>
        <v/>
      </c>
      <c r="E133" s="26" t="str">
        <f>IF(SUMIFS('NSE - NIFTY Index Options'!$L:$L,'NSE - NIFTY Index Options'!$C:$C,$A133,'NSE - NIFTY Index Options'!$B:$B,E$4,'NSE - NIFTY Index Options'!$H:$H,"Monthly*")+SUMIFS('NSE - Other Index Options'!$L:$L,'NSE - Other Index Options'!$C:$C,$A133,'NSE - Other Index Options'!$B:$B,E$4,'NSE - Other Index Options'!$H:$H,"Monthly*")=0,"",SUMIFS('NSE - NIFTY Index Options'!$L:$L,'NSE - NIFTY Index Options'!$C:$C,$A133,'NSE - NIFTY Index Options'!$B:$B,E$4,'NSE - NIFTY Index Options'!$H:$H,"Monthly*")+SUMIFS('NSE - Other Index Options'!$L:$L,'NSE - Other Index Options'!$C:$C,$A133,'NSE - Other Index Options'!$B:$B,E$4,'NSE - Other Index Options'!$H:$H,"Monthly*"))</f>
        <v/>
      </c>
      <c r="F133" s="26" t="str">
        <f>IF(SUMIFS('NSE - NIFTY Index Options'!$L:$L,'NSE - NIFTY Index Options'!$C:$C,$A133,'NSE - NIFTY Index Options'!$B:$B,F$4,'NSE - NIFTY Index Options'!$H:$H,"Monthly*")+SUMIFS('NSE - Other Index Options'!$L:$L,'NSE - Other Index Options'!$C:$C,$A133,'NSE - Other Index Options'!$B:$B,F$4,'NSE - Other Index Options'!$H:$H,"Monthly*")=0,"",SUMIFS('NSE - NIFTY Index Options'!$L:$L,'NSE - NIFTY Index Options'!$C:$C,$A133,'NSE - NIFTY Index Options'!$B:$B,F$4,'NSE - NIFTY Index Options'!$H:$H,"Monthly*")+SUMIFS('NSE - Other Index Options'!$L:$L,'NSE - Other Index Options'!$C:$C,$A133,'NSE - Other Index Options'!$B:$B,F$4,'NSE - Other Index Options'!$H:$H,"Monthly*"))</f>
        <v/>
      </c>
      <c r="G133" s="26" t="str">
        <f>IF(SUMIFS('NSE - NIFTY Index Options'!$L:$L,'NSE - NIFTY Index Options'!$C:$C,$A133,'NSE - NIFTY Index Options'!$B:$B,G$4,'NSE - NIFTY Index Options'!$H:$H,"Monthly*")+SUMIFS('NSE - Other Index Options'!$L:$L,'NSE - Other Index Options'!$C:$C,$A133,'NSE - Other Index Options'!$B:$B,G$4,'NSE - Other Index Options'!$H:$H,"Monthly*")=0,"",SUMIFS('NSE - NIFTY Index Options'!$L:$L,'NSE - NIFTY Index Options'!$C:$C,$A133,'NSE - NIFTY Index Options'!$B:$B,G$4,'NSE - NIFTY Index Options'!$H:$H,"Monthly*")+SUMIFS('NSE - Other Index Options'!$L:$L,'NSE - Other Index Options'!$C:$C,$A133,'NSE - Other Index Options'!$B:$B,G$4,'NSE - Other Index Options'!$H:$H,"Monthly*"))</f>
        <v/>
      </c>
      <c r="H133" s="26" t="str">
        <f t="shared" ref="H133:H164" si="4">IF(SUM(B133:G133)=0,"",SUM(B133:G133))</f>
        <v/>
      </c>
    </row>
    <row r="134" spans="1:8" hidden="1" outlineLevel="1">
      <c r="A134" t="s">
        <v>139</v>
      </c>
      <c r="B134" s="26" t="str">
        <f>IF(SUMIFS('NSE - NIFTY Index Options'!$L:$L,'NSE - NIFTY Index Options'!$C:$C,$A134,'NSE - NIFTY Index Options'!$B:$B,B$4,'NSE - NIFTY Index Options'!$H:$H,"Monthly*")+SUMIFS('NSE - Other Index Options'!$L:$L,'NSE - Other Index Options'!$C:$C,$A134,'NSE - Other Index Options'!$B:$B,B$4,'NSE - Other Index Options'!$H:$H,"Monthly*")=0,"",SUMIFS('NSE - NIFTY Index Options'!$L:$L,'NSE - NIFTY Index Options'!$C:$C,$A134,'NSE - NIFTY Index Options'!$B:$B,B$4,'NSE - NIFTY Index Options'!$H:$H,"Monthly*")+SUMIFS('NSE - Other Index Options'!$L:$L,'NSE - Other Index Options'!$C:$C,$A134,'NSE - Other Index Options'!$B:$B,B$4,'NSE - Other Index Options'!$H:$H,"Monthly*"))</f>
        <v/>
      </c>
      <c r="C134" s="26" t="str">
        <f>IF(SUMIFS('NSE - NIFTY Index Options'!$L:$L,'NSE - NIFTY Index Options'!$C:$C,$A134,'NSE - NIFTY Index Options'!$B:$B,C$4,'NSE - NIFTY Index Options'!$H:$H,"Monthly*")+SUMIFS('NSE - Other Index Options'!$L:$L,'NSE - Other Index Options'!$C:$C,$A134,'NSE - Other Index Options'!$B:$B,C$4,'NSE - Other Index Options'!$H:$H,"Monthly*")=0,"",SUMIFS('NSE - NIFTY Index Options'!$L:$L,'NSE - NIFTY Index Options'!$C:$C,$A134,'NSE - NIFTY Index Options'!$B:$B,C$4,'NSE - NIFTY Index Options'!$H:$H,"Monthly*")+SUMIFS('NSE - Other Index Options'!$L:$L,'NSE - Other Index Options'!$C:$C,$A134,'NSE - Other Index Options'!$B:$B,C$4,'NSE - Other Index Options'!$H:$H,"Monthly*"))</f>
        <v/>
      </c>
      <c r="D134" s="26" t="str">
        <f>IF(SUMIFS('NSE - NIFTY Index Options'!$L:$L,'NSE - NIFTY Index Options'!$C:$C,$A134,'NSE - NIFTY Index Options'!$B:$B,D$4,'NSE - NIFTY Index Options'!$H:$H,"Monthly*")+SUMIFS('NSE - Other Index Options'!$L:$L,'NSE - Other Index Options'!$C:$C,$A134,'NSE - Other Index Options'!$B:$B,D$4,'NSE - Other Index Options'!$H:$H,"Monthly*")=0,"",SUMIFS('NSE - NIFTY Index Options'!$L:$L,'NSE - NIFTY Index Options'!$C:$C,$A134,'NSE - NIFTY Index Options'!$B:$B,D$4,'NSE - NIFTY Index Options'!$H:$H,"Monthly*")+SUMIFS('NSE - Other Index Options'!$L:$L,'NSE - Other Index Options'!$C:$C,$A134,'NSE - Other Index Options'!$B:$B,D$4,'NSE - Other Index Options'!$H:$H,"Monthly*"))</f>
        <v/>
      </c>
      <c r="E134" s="26" t="str">
        <f>IF(SUMIFS('NSE - NIFTY Index Options'!$L:$L,'NSE - NIFTY Index Options'!$C:$C,$A134,'NSE - NIFTY Index Options'!$B:$B,E$4,'NSE - NIFTY Index Options'!$H:$H,"Monthly*")+SUMIFS('NSE - Other Index Options'!$L:$L,'NSE - Other Index Options'!$C:$C,$A134,'NSE - Other Index Options'!$B:$B,E$4,'NSE - Other Index Options'!$H:$H,"Monthly*")=0,"",SUMIFS('NSE - NIFTY Index Options'!$L:$L,'NSE - NIFTY Index Options'!$C:$C,$A134,'NSE - NIFTY Index Options'!$B:$B,E$4,'NSE - NIFTY Index Options'!$H:$H,"Monthly*")+SUMIFS('NSE - Other Index Options'!$L:$L,'NSE - Other Index Options'!$C:$C,$A134,'NSE - Other Index Options'!$B:$B,E$4,'NSE - Other Index Options'!$H:$H,"Monthly*"))</f>
        <v/>
      </c>
      <c r="F134" s="26" t="str">
        <f>IF(SUMIFS('NSE - NIFTY Index Options'!$L:$L,'NSE - NIFTY Index Options'!$C:$C,$A134,'NSE - NIFTY Index Options'!$B:$B,F$4,'NSE - NIFTY Index Options'!$H:$H,"Monthly*")+SUMIFS('NSE - Other Index Options'!$L:$L,'NSE - Other Index Options'!$C:$C,$A134,'NSE - Other Index Options'!$B:$B,F$4,'NSE - Other Index Options'!$H:$H,"Monthly*")=0,"",SUMIFS('NSE - NIFTY Index Options'!$L:$L,'NSE - NIFTY Index Options'!$C:$C,$A134,'NSE - NIFTY Index Options'!$B:$B,F$4,'NSE - NIFTY Index Options'!$H:$H,"Monthly*")+SUMIFS('NSE - Other Index Options'!$L:$L,'NSE - Other Index Options'!$C:$C,$A134,'NSE - Other Index Options'!$B:$B,F$4,'NSE - Other Index Options'!$H:$H,"Monthly*"))</f>
        <v/>
      </c>
      <c r="G134" s="26" t="str">
        <f>IF(SUMIFS('NSE - NIFTY Index Options'!$L:$L,'NSE - NIFTY Index Options'!$C:$C,$A134,'NSE - NIFTY Index Options'!$B:$B,G$4,'NSE - NIFTY Index Options'!$H:$H,"Monthly*")+SUMIFS('NSE - Other Index Options'!$L:$L,'NSE - Other Index Options'!$C:$C,$A134,'NSE - Other Index Options'!$B:$B,G$4,'NSE - Other Index Options'!$H:$H,"Monthly*")=0,"",SUMIFS('NSE - NIFTY Index Options'!$L:$L,'NSE - NIFTY Index Options'!$C:$C,$A134,'NSE - NIFTY Index Options'!$B:$B,G$4,'NSE - NIFTY Index Options'!$H:$H,"Monthly*")+SUMIFS('NSE - Other Index Options'!$L:$L,'NSE - Other Index Options'!$C:$C,$A134,'NSE - Other Index Options'!$B:$B,G$4,'NSE - Other Index Options'!$H:$H,"Monthly*"))</f>
        <v/>
      </c>
      <c r="H134" s="26" t="str">
        <f t="shared" si="4"/>
        <v/>
      </c>
    </row>
    <row r="135" spans="1:8" hidden="1" outlineLevel="1">
      <c r="A135" t="s">
        <v>140</v>
      </c>
      <c r="B135" s="26" t="str">
        <f>IF(SUMIFS('NSE - NIFTY Index Options'!$L:$L,'NSE - NIFTY Index Options'!$C:$C,$A135,'NSE - NIFTY Index Options'!$B:$B,B$4,'NSE - NIFTY Index Options'!$H:$H,"Monthly*")+SUMIFS('NSE - Other Index Options'!$L:$L,'NSE - Other Index Options'!$C:$C,$A135,'NSE - Other Index Options'!$B:$B,B$4,'NSE - Other Index Options'!$H:$H,"Monthly*")=0,"",SUMIFS('NSE - NIFTY Index Options'!$L:$L,'NSE - NIFTY Index Options'!$C:$C,$A135,'NSE - NIFTY Index Options'!$B:$B,B$4,'NSE - NIFTY Index Options'!$H:$H,"Monthly*")+SUMIFS('NSE - Other Index Options'!$L:$L,'NSE - Other Index Options'!$C:$C,$A135,'NSE - Other Index Options'!$B:$B,B$4,'NSE - Other Index Options'!$H:$H,"Monthly*"))</f>
        <v/>
      </c>
      <c r="C135" s="26" t="str">
        <f>IF(SUMIFS('NSE - NIFTY Index Options'!$L:$L,'NSE - NIFTY Index Options'!$C:$C,$A135,'NSE - NIFTY Index Options'!$B:$B,C$4,'NSE - NIFTY Index Options'!$H:$H,"Monthly*")+SUMIFS('NSE - Other Index Options'!$L:$L,'NSE - Other Index Options'!$C:$C,$A135,'NSE - Other Index Options'!$B:$B,C$4,'NSE - Other Index Options'!$H:$H,"Monthly*")=0,"",SUMIFS('NSE - NIFTY Index Options'!$L:$L,'NSE - NIFTY Index Options'!$C:$C,$A135,'NSE - NIFTY Index Options'!$B:$B,C$4,'NSE - NIFTY Index Options'!$H:$H,"Monthly*")+SUMIFS('NSE - Other Index Options'!$L:$L,'NSE - Other Index Options'!$C:$C,$A135,'NSE - Other Index Options'!$B:$B,C$4,'NSE - Other Index Options'!$H:$H,"Monthly*"))</f>
        <v/>
      </c>
      <c r="D135" s="26" t="str">
        <f>IF(SUMIFS('NSE - NIFTY Index Options'!$L:$L,'NSE - NIFTY Index Options'!$C:$C,$A135,'NSE - NIFTY Index Options'!$B:$B,D$4,'NSE - NIFTY Index Options'!$H:$H,"Monthly*")+SUMIFS('NSE - Other Index Options'!$L:$L,'NSE - Other Index Options'!$C:$C,$A135,'NSE - Other Index Options'!$B:$B,D$4,'NSE - Other Index Options'!$H:$H,"Monthly*")=0,"",SUMIFS('NSE - NIFTY Index Options'!$L:$L,'NSE - NIFTY Index Options'!$C:$C,$A135,'NSE - NIFTY Index Options'!$B:$B,D$4,'NSE - NIFTY Index Options'!$H:$H,"Monthly*")+SUMIFS('NSE - Other Index Options'!$L:$L,'NSE - Other Index Options'!$C:$C,$A135,'NSE - Other Index Options'!$B:$B,D$4,'NSE - Other Index Options'!$H:$H,"Monthly*"))</f>
        <v/>
      </c>
      <c r="E135" s="26" t="str">
        <f>IF(SUMIFS('NSE - NIFTY Index Options'!$L:$L,'NSE - NIFTY Index Options'!$C:$C,$A135,'NSE - NIFTY Index Options'!$B:$B,E$4,'NSE - NIFTY Index Options'!$H:$H,"Monthly*")+SUMIFS('NSE - Other Index Options'!$L:$L,'NSE - Other Index Options'!$C:$C,$A135,'NSE - Other Index Options'!$B:$B,E$4,'NSE - Other Index Options'!$H:$H,"Monthly*")=0,"",SUMIFS('NSE - NIFTY Index Options'!$L:$L,'NSE - NIFTY Index Options'!$C:$C,$A135,'NSE - NIFTY Index Options'!$B:$B,E$4,'NSE - NIFTY Index Options'!$H:$H,"Monthly*")+SUMIFS('NSE - Other Index Options'!$L:$L,'NSE - Other Index Options'!$C:$C,$A135,'NSE - Other Index Options'!$B:$B,E$4,'NSE - Other Index Options'!$H:$H,"Monthly*"))</f>
        <v/>
      </c>
      <c r="F135" s="26" t="str">
        <f>IF(SUMIFS('NSE - NIFTY Index Options'!$L:$L,'NSE - NIFTY Index Options'!$C:$C,$A135,'NSE - NIFTY Index Options'!$B:$B,F$4,'NSE - NIFTY Index Options'!$H:$H,"Monthly*")+SUMIFS('NSE - Other Index Options'!$L:$L,'NSE - Other Index Options'!$C:$C,$A135,'NSE - Other Index Options'!$B:$B,F$4,'NSE - Other Index Options'!$H:$H,"Monthly*")=0,"",SUMIFS('NSE - NIFTY Index Options'!$L:$L,'NSE - NIFTY Index Options'!$C:$C,$A135,'NSE - NIFTY Index Options'!$B:$B,F$4,'NSE - NIFTY Index Options'!$H:$H,"Monthly*")+SUMIFS('NSE - Other Index Options'!$L:$L,'NSE - Other Index Options'!$C:$C,$A135,'NSE - Other Index Options'!$B:$B,F$4,'NSE - Other Index Options'!$H:$H,"Monthly*"))</f>
        <v/>
      </c>
      <c r="G135" s="26" t="str">
        <f>IF(SUMIFS('NSE - NIFTY Index Options'!$L:$L,'NSE - NIFTY Index Options'!$C:$C,$A135,'NSE - NIFTY Index Options'!$B:$B,G$4,'NSE - NIFTY Index Options'!$H:$H,"Monthly*")+SUMIFS('NSE - Other Index Options'!$L:$L,'NSE - Other Index Options'!$C:$C,$A135,'NSE - Other Index Options'!$B:$B,G$4,'NSE - Other Index Options'!$H:$H,"Monthly*")=0,"",SUMIFS('NSE - NIFTY Index Options'!$L:$L,'NSE - NIFTY Index Options'!$C:$C,$A135,'NSE - NIFTY Index Options'!$B:$B,G$4,'NSE - NIFTY Index Options'!$H:$H,"Monthly*")+SUMIFS('NSE - Other Index Options'!$L:$L,'NSE - Other Index Options'!$C:$C,$A135,'NSE - Other Index Options'!$B:$B,G$4,'NSE - Other Index Options'!$H:$H,"Monthly*"))</f>
        <v/>
      </c>
      <c r="H135" s="26" t="str">
        <f t="shared" si="4"/>
        <v/>
      </c>
    </row>
    <row r="136" spans="1:8" hidden="1" outlineLevel="1">
      <c r="A136" t="s">
        <v>141</v>
      </c>
      <c r="B136" s="26" t="str">
        <f>IF(SUMIFS('NSE - NIFTY Index Options'!$L:$L,'NSE - NIFTY Index Options'!$C:$C,$A136,'NSE - NIFTY Index Options'!$B:$B,B$4,'NSE - NIFTY Index Options'!$H:$H,"Monthly*")+SUMIFS('NSE - Other Index Options'!$L:$L,'NSE - Other Index Options'!$C:$C,$A136,'NSE - Other Index Options'!$B:$B,B$4,'NSE - Other Index Options'!$H:$H,"Monthly*")=0,"",SUMIFS('NSE - NIFTY Index Options'!$L:$L,'NSE - NIFTY Index Options'!$C:$C,$A136,'NSE - NIFTY Index Options'!$B:$B,B$4,'NSE - NIFTY Index Options'!$H:$H,"Monthly*")+SUMIFS('NSE - Other Index Options'!$L:$L,'NSE - Other Index Options'!$C:$C,$A136,'NSE - Other Index Options'!$B:$B,B$4,'NSE - Other Index Options'!$H:$H,"Monthly*"))</f>
        <v/>
      </c>
      <c r="C136" s="26" t="str">
        <f>IF(SUMIFS('NSE - NIFTY Index Options'!$L:$L,'NSE - NIFTY Index Options'!$C:$C,$A136,'NSE - NIFTY Index Options'!$B:$B,C$4,'NSE - NIFTY Index Options'!$H:$H,"Monthly*")+SUMIFS('NSE - Other Index Options'!$L:$L,'NSE - Other Index Options'!$C:$C,$A136,'NSE - Other Index Options'!$B:$B,C$4,'NSE - Other Index Options'!$H:$H,"Monthly*")=0,"",SUMIFS('NSE - NIFTY Index Options'!$L:$L,'NSE - NIFTY Index Options'!$C:$C,$A136,'NSE - NIFTY Index Options'!$B:$B,C$4,'NSE - NIFTY Index Options'!$H:$H,"Monthly*")+SUMIFS('NSE - Other Index Options'!$L:$L,'NSE - Other Index Options'!$C:$C,$A136,'NSE - Other Index Options'!$B:$B,C$4,'NSE - Other Index Options'!$H:$H,"Monthly*"))</f>
        <v/>
      </c>
      <c r="D136" s="26" t="str">
        <f>IF(SUMIFS('NSE - NIFTY Index Options'!$L:$L,'NSE - NIFTY Index Options'!$C:$C,$A136,'NSE - NIFTY Index Options'!$B:$B,D$4,'NSE - NIFTY Index Options'!$H:$H,"Monthly*")+SUMIFS('NSE - Other Index Options'!$L:$L,'NSE - Other Index Options'!$C:$C,$A136,'NSE - Other Index Options'!$B:$B,D$4,'NSE - Other Index Options'!$H:$H,"Monthly*")=0,"",SUMIFS('NSE - NIFTY Index Options'!$L:$L,'NSE - NIFTY Index Options'!$C:$C,$A136,'NSE - NIFTY Index Options'!$B:$B,D$4,'NSE - NIFTY Index Options'!$H:$H,"Monthly*")+SUMIFS('NSE - Other Index Options'!$L:$L,'NSE - Other Index Options'!$C:$C,$A136,'NSE - Other Index Options'!$B:$B,D$4,'NSE - Other Index Options'!$H:$H,"Monthly*"))</f>
        <v/>
      </c>
      <c r="E136" s="26" t="str">
        <f>IF(SUMIFS('NSE - NIFTY Index Options'!$L:$L,'NSE - NIFTY Index Options'!$C:$C,$A136,'NSE - NIFTY Index Options'!$B:$B,E$4,'NSE - NIFTY Index Options'!$H:$H,"Monthly*")+SUMIFS('NSE - Other Index Options'!$L:$L,'NSE - Other Index Options'!$C:$C,$A136,'NSE - Other Index Options'!$B:$B,E$4,'NSE - Other Index Options'!$H:$H,"Monthly*")=0,"",SUMIFS('NSE - NIFTY Index Options'!$L:$L,'NSE - NIFTY Index Options'!$C:$C,$A136,'NSE - NIFTY Index Options'!$B:$B,E$4,'NSE - NIFTY Index Options'!$H:$H,"Monthly*")+SUMIFS('NSE - Other Index Options'!$L:$L,'NSE - Other Index Options'!$C:$C,$A136,'NSE - Other Index Options'!$B:$B,E$4,'NSE - Other Index Options'!$H:$H,"Monthly*"))</f>
        <v/>
      </c>
      <c r="F136" s="26" t="str">
        <f>IF(SUMIFS('NSE - NIFTY Index Options'!$L:$L,'NSE - NIFTY Index Options'!$C:$C,$A136,'NSE - NIFTY Index Options'!$B:$B,F$4,'NSE - NIFTY Index Options'!$H:$H,"Monthly*")+SUMIFS('NSE - Other Index Options'!$L:$L,'NSE - Other Index Options'!$C:$C,$A136,'NSE - Other Index Options'!$B:$B,F$4,'NSE - Other Index Options'!$H:$H,"Monthly*")=0,"",SUMIFS('NSE - NIFTY Index Options'!$L:$L,'NSE - NIFTY Index Options'!$C:$C,$A136,'NSE - NIFTY Index Options'!$B:$B,F$4,'NSE - NIFTY Index Options'!$H:$H,"Monthly*")+SUMIFS('NSE - Other Index Options'!$L:$L,'NSE - Other Index Options'!$C:$C,$A136,'NSE - Other Index Options'!$B:$B,F$4,'NSE - Other Index Options'!$H:$H,"Monthly*"))</f>
        <v/>
      </c>
      <c r="G136" s="26" t="str">
        <f>IF(SUMIFS('NSE - NIFTY Index Options'!$L:$L,'NSE - NIFTY Index Options'!$C:$C,$A136,'NSE - NIFTY Index Options'!$B:$B,G$4,'NSE - NIFTY Index Options'!$H:$H,"Monthly*")+SUMIFS('NSE - Other Index Options'!$L:$L,'NSE - Other Index Options'!$C:$C,$A136,'NSE - Other Index Options'!$B:$B,G$4,'NSE - Other Index Options'!$H:$H,"Monthly*")=0,"",SUMIFS('NSE - NIFTY Index Options'!$L:$L,'NSE - NIFTY Index Options'!$C:$C,$A136,'NSE - NIFTY Index Options'!$B:$B,G$4,'NSE - NIFTY Index Options'!$H:$H,"Monthly*")+SUMIFS('NSE - Other Index Options'!$L:$L,'NSE - Other Index Options'!$C:$C,$A136,'NSE - Other Index Options'!$B:$B,G$4,'NSE - Other Index Options'!$H:$H,"Monthly*"))</f>
        <v/>
      </c>
      <c r="H136" s="26" t="str">
        <f t="shared" si="4"/>
        <v/>
      </c>
    </row>
    <row r="137" spans="1:8" hidden="1" outlineLevel="1">
      <c r="A137" t="s">
        <v>142</v>
      </c>
      <c r="B137" s="26" t="str">
        <f>IF(SUMIFS('NSE - NIFTY Index Options'!$L:$L,'NSE - NIFTY Index Options'!$C:$C,$A137,'NSE - NIFTY Index Options'!$B:$B,B$4,'NSE - NIFTY Index Options'!$H:$H,"Monthly*")+SUMIFS('NSE - Other Index Options'!$L:$L,'NSE - Other Index Options'!$C:$C,$A137,'NSE - Other Index Options'!$B:$B,B$4,'NSE - Other Index Options'!$H:$H,"Monthly*")=0,"",SUMIFS('NSE - NIFTY Index Options'!$L:$L,'NSE - NIFTY Index Options'!$C:$C,$A137,'NSE - NIFTY Index Options'!$B:$B,B$4,'NSE - NIFTY Index Options'!$H:$H,"Monthly*")+SUMIFS('NSE - Other Index Options'!$L:$L,'NSE - Other Index Options'!$C:$C,$A137,'NSE - Other Index Options'!$B:$B,B$4,'NSE - Other Index Options'!$H:$H,"Monthly*"))</f>
        <v/>
      </c>
      <c r="C137" s="26" t="str">
        <f>IF(SUMIFS('NSE - NIFTY Index Options'!$L:$L,'NSE - NIFTY Index Options'!$C:$C,$A137,'NSE - NIFTY Index Options'!$B:$B,C$4,'NSE - NIFTY Index Options'!$H:$H,"Monthly*")+SUMIFS('NSE - Other Index Options'!$L:$L,'NSE - Other Index Options'!$C:$C,$A137,'NSE - Other Index Options'!$B:$B,C$4,'NSE - Other Index Options'!$H:$H,"Monthly*")=0,"",SUMIFS('NSE - NIFTY Index Options'!$L:$L,'NSE - NIFTY Index Options'!$C:$C,$A137,'NSE - NIFTY Index Options'!$B:$B,C$4,'NSE - NIFTY Index Options'!$H:$H,"Monthly*")+SUMIFS('NSE - Other Index Options'!$L:$L,'NSE - Other Index Options'!$C:$C,$A137,'NSE - Other Index Options'!$B:$B,C$4,'NSE - Other Index Options'!$H:$H,"Monthly*"))</f>
        <v/>
      </c>
      <c r="D137" s="26" t="str">
        <f>IF(SUMIFS('NSE - NIFTY Index Options'!$L:$L,'NSE - NIFTY Index Options'!$C:$C,$A137,'NSE - NIFTY Index Options'!$B:$B,D$4,'NSE - NIFTY Index Options'!$H:$H,"Monthly*")+SUMIFS('NSE - Other Index Options'!$L:$L,'NSE - Other Index Options'!$C:$C,$A137,'NSE - Other Index Options'!$B:$B,D$4,'NSE - Other Index Options'!$H:$H,"Monthly*")=0,"",SUMIFS('NSE - NIFTY Index Options'!$L:$L,'NSE - NIFTY Index Options'!$C:$C,$A137,'NSE - NIFTY Index Options'!$B:$B,D$4,'NSE - NIFTY Index Options'!$H:$H,"Monthly*")+SUMIFS('NSE - Other Index Options'!$L:$L,'NSE - Other Index Options'!$C:$C,$A137,'NSE - Other Index Options'!$B:$B,D$4,'NSE - Other Index Options'!$H:$H,"Monthly*"))</f>
        <v/>
      </c>
      <c r="E137" s="26" t="str">
        <f>IF(SUMIFS('NSE - NIFTY Index Options'!$L:$L,'NSE - NIFTY Index Options'!$C:$C,$A137,'NSE - NIFTY Index Options'!$B:$B,E$4,'NSE - NIFTY Index Options'!$H:$H,"Monthly*")+SUMIFS('NSE - Other Index Options'!$L:$L,'NSE - Other Index Options'!$C:$C,$A137,'NSE - Other Index Options'!$B:$B,E$4,'NSE - Other Index Options'!$H:$H,"Monthly*")=0,"",SUMIFS('NSE - NIFTY Index Options'!$L:$L,'NSE - NIFTY Index Options'!$C:$C,$A137,'NSE - NIFTY Index Options'!$B:$B,E$4,'NSE - NIFTY Index Options'!$H:$H,"Monthly*")+SUMIFS('NSE - Other Index Options'!$L:$L,'NSE - Other Index Options'!$C:$C,$A137,'NSE - Other Index Options'!$B:$B,E$4,'NSE - Other Index Options'!$H:$H,"Monthly*"))</f>
        <v/>
      </c>
      <c r="F137" s="26" t="str">
        <f>IF(SUMIFS('NSE - NIFTY Index Options'!$L:$L,'NSE - NIFTY Index Options'!$C:$C,$A137,'NSE - NIFTY Index Options'!$B:$B,F$4,'NSE - NIFTY Index Options'!$H:$H,"Monthly*")+SUMIFS('NSE - Other Index Options'!$L:$L,'NSE - Other Index Options'!$C:$C,$A137,'NSE - Other Index Options'!$B:$B,F$4,'NSE - Other Index Options'!$H:$H,"Monthly*")=0,"",SUMIFS('NSE - NIFTY Index Options'!$L:$L,'NSE - NIFTY Index Options'!$C:$C,$A137,'NSE - NIFTY Index Options'!$B:$B,F$4,'NSE - NIFTY Index Options'!$H:$H,"Monthly*")+SUMIFS('NSE - Other Index Options'!$L:$L,'NSE - Other Index Options'!$C:$C,$A137,'NSE - Other Index Options'!$B:$B,F$4,'NSE - Other Index Options'!$H:$H,"Monthly*"))</f>
        <v/>
      </c>
      <c r="G137" s="26" t="str">
        <f>IF(SUMIFS('NSE - NIFTY Index Options'!$L:$L,'NSE - NIFTY Index Options'!$C:$C,$A137,'NSE - NIFTY Index Options'!$B:$B,G$4,'NSE - NIFTY Index Options'!$H:$H,"Monthly*")+SUMIFS('NSE - Other Index Options'!$L:$L,'NSE - Other Index Options'!$C:$C,$A137,'NSE - Other Index Options'!$B:$B,G$4,'NSE - Other Index Options'!$H:$H,"Monthly*")=0,"",SUMIFS('NSE - NIFTY Index Options'!$L:$L,'NSE - NIFTY Index Options'!$C:$C,$A137,'NSE - NIFTY Index Options'!$B:$B,G$4,'NSE - NIFTY Index Options'!$H:$H,"Monthly*")+SUMIFS('NSE - Other Index Options'!$L:$L,'NSE - Other Index Options'!$C:$C,$A137,'NSE - Other Index Options'!$B:$B,G$4,'NSE - Other Index Options'!$H:$H,"Monthly*"))</f>
        <v/>
      </c>
      <c r="H137" s="26" t="str">
        <f t="shared" si="4"/>
        <v/>
      </c>
    </row>
    <row r="138" spans="1:8" hidden="1" outlineLevel="1">
      <c r="A138" t="s">
        <v>143</v>
      </c>
      <c r="B138" s="26" t="str">
        <f>IF(SUMIFS('NSE - NIFTY Index Options'!$L:$L,'NSE - NIFTY Index Options'!$C:$C,$A138,'NSE - NIFTY Index Options'!$B:$B,B$4,'NSE - NIFTY Index Options'!$H:$H,"Monthly*")+SUMIFS('NSE - Other Index Options'!$L:$L,'NSE - Other Index Options'!$C:$C,$A138,'NSE - Other Index Options'!$B:$B,B$4,'NSE - Other Index Options'!$H:$H,"Monthly*")=0,"",SUMIFS('NSE - NIFTY Index Options'!$L:$L,'NSE - NIFTY Index Options'!$C:$C,$A138,'NSE - NIFTY Index Options'!$B:$B,B$4,'NSE - NIFTY Index Options'!$H:$H,"Monthly*")+SUMIFS('NSE - Other Index Options'!$L:$L,'NSE - Other Index Options'!$C:$C,$A138,'NSE - Other Index Options'!$B:$B,B$4,'NSE - Other Index Options'!$H:$H,"Monthly*"))</f>
        <v/>
      </c>
      <c r="C138" s="26" t="str">
        <f>IF(SUMIFS('NSE - NIFTY Index Options'!$L:$L,'NSE - NIFTY Index Options'!$C:$C,$A138,'NSE - NIFTY Index Options'!$B:$B,C$4,'NSE - NIFTY Index Options'!$H:$H,"Monthly*")+SUMIFS('NSE - Other Index Options'!$L:$L,'NSE - Other Index Options'!$C:$C,$A138,'NSE - Other Index Options'!$B:$B,C$4,'NSE - Other Index Options'!$H:$H,"Monthly*")=0,"",SUMIFS('NSE - NIFTY Index Options'!$L:$L,'NSE - NIFTY Index Options'!$C:$C,$A138,'NSE - NIFTY Index Options'!$B:$B,C$4,'NSE - NIFTY Index Options'!$H:$H,"Monthly*")+SUMIFS('NSE - Other Index Options'!$L:$L,'NSE - Other Index Options'!$C:$C,$A138,'NSE - Other Index Options'!$B:$B,C$4,'NSE - Other Index Options'!$H:$H,"Monthly*"))</f>
        <v/>
      </c>
      <c r="D138" s="26" t="str">
        <f>IF(SUMIFS('NSE - NIFTY Index Options'!$L:$L,'NSE - NIFTY Index Options'!$C:$C,$A138,'NSE - NIFTY Index Options'!$B:$B,D$4,'NSE - NIFTY Index Options'!$H:$H,"Monthly*")+SUMIFS('NSE - Other Index Options'!$L:$L,'NSE - Other Index Options'!$C:$C,$A138,'NSE - Other Index Options'!$B:$B,D$4,'NSE - Other Index Options'!$H:$H,"Monthly*")=0,"",SUMIFS('NSE - NIFTY Index Options'!$L:$L,'NSE - NIFTY Index Options'!$C:$C,$A138,'NSE - NIFTY Index Options'!$B:$B,D$4,'NSE - NIFTY Index Options'!$H:$H,"Monthly*")+SUMIFS('NSE - Other Index Options'!$L:$L,'NSE - Other Index Options'!$C:$C,$A138,'NSE - Other Index Options'!$B:$B,D$4,'NSE - Other Index Options'!$H:$H,"Monthly*"))</f>
        <v/>
      </c>
      <c r="E138" s="26" t="str">
        <f>IF(SUMIFS('NSE - NIFTY Index Options'!$L:$L,'NSE - NIFTY Index Options'!$C:$C,$A138,'NSE - NIFTY Index Options'!$B:$B,E$4,'NSE - NIFTY Index Options'!$H:$H,"Monthly*")+SUMIFS('NSE - Other Index Options'!$L:$L,'NSE - Other Index Options'!$C:$C,$A138,'NSE - Other Index Options'!$B:$B,E$4,'NSE - Other Index Options'!$H:$H,"Monthly*")=0,"",SUMIFS('NSE - NIFTY Index Options'!$L:$L,'NSE - NIFTY Index Options'!$C:$C,$A138,'NSE - NIFTY Index Options'!$B:$B,E$4,'NSE - NIFTY Index Options'!$H:$H,"Monthly*")+SUMIFS('NSE - Other Index Options'!$L:$L,'NSE - Other Index Options'!$C:$C,$A138,'NSE - Other Index Options'!$B:$B,E$4,'NSE - Other Index Options'!$H:$H,"Monthly*"))</f>
        <v/>
      </c>
      <c r="F138" s="26" t="str">
        <f>IF(SUMIFS('NSE - NIFTY Index Options'!$L:$L,'NSE - NIFTY Index Options'!$C:$C,$A138,'NSE - NIFTY Index Options'!$B:$B,F$4,'NSE - NIFTY Index Options'!$H:$H,"Monthly*")+SUMIFS('NSE - Other Index Options'!$L:$L,'NSE - Other Index Options'!$C:$C,$A138,'NSE - Other Index Options'!$B:$B,F$4,'NSE - Other Index Options'!$H:$H,"Monthly*")=0,"",SUMIFS('NSE - NIFTY Index Options'!$L:$L,'NSE - NIFTY Index Options'!$C:$C,$A138,'NSE - NIFTY Index Options'!$B:$B,F$4,'NSE - NIFTY Index Options'!$H:$H,"Monthly*")+SUMIFS('NSE - Other Index Options'!$L:$L,'NSE - Other Index Options'!$C:$C,$A138,'NSE - Other Index Options'!$B:$B,F$4,'NSE - Other Index Options'!$H:$H,"Monthly*"))</f>
        <v/>
      </c>
      <c r="G138" s="26" t="str">
        <f>IF(SUMIFS('NSE - NIFTY Index Options'!$L:$L,'NSE - NIFTY Index Options'!$C:$C,$A138,'NSE - NIFTY Index Options'!$B:$B,G$4,'NSE - NIFTY Index Options'!$H:$H,"Monthly*")+SUMIFS('NSE - Other Index Options'!$L:$L,'NSE - Other Index Options'!$C:$C,$A138,'NSE - Other Index Options'!$B:$B,G$4,'NSE - Other Index Options'!$H:$H,"Monthly*")=0,"",SUMIFS('NSE - NIFTY Index Options'!$L:$L,'NSE - NIFTY Index Options'!$C:$C,$A138,'NSE - NIFTY Index Options'!$B:$B,G$4,'NSE - NIFTY Index Options'!$H:$H,"Monthly*")+SUMIFS('NSE - Other Index Options'!$L:$L,'NSE - Other Index Options'!$C:$C,$A138,'NSE - Other Index Options'!$B:$B,G$4,'NSE - Other Index Options'!$H:$H,"Monthly*"))</f>
        <v/>
      </c>
      <c r="H138" s="26" t="str">
        <f t="shared" si="4"/>
        <v/>
      </c>
    </row>
    <row r="139" spans="1:8" hidden="1" outlineLevel="1">
      <c r="A139" t="s">
        <v>144</v>
      </c>
      <c r="B139" s="26" t="str">
        <f>IF(SUMIFS('NSE - NIFTY Index Options'!$L:$L,'NSE - NIFTY Index Options'!$C:$C,$A139,'NSE - NIFTY Index Options'!$B:$B,B$4,'NSE - NIFTY Index Options'!$H:$H,"Monthly*")+SUMIFS('NSE - Other Index Options'!$L:$L,'NSE - Other Index Options'!$C:$C,$A139,'NSE - Other Index Options'!$B:$B,B$4,'NSE - Other Index Options'!$H:$H,"Monthly*")=0,"",SUMIFS('NSE - NIFTY Index Options'!$L:$L,'NSE - NIFTY Index Options'!$C:$C,$A139,'NSE - NIFTY Index Options'!$B:$B,B$4,'NSE - NIFTY Index Options'!$H:$H,"Monthly*")+SUMIFS('NSE - Other Index Options'!$L:$L,'NSE - Other Index Options'!$C:$C,$A139,'NSE - Other Index Options'!$B:$B,B$4,'NSE - Other Index Options'!$H:$H,"Monthly*"))</f>
        <v/>
      </c>
      <c r="C139" s="26" t="str">
        <f>IF(SUMIFS('NSE - NIFTY Index Options'!$L:$L,'NSE - NIFTY Index Options'!$C:$C,$A139,'NSE - NIFTY Index Options'!$B:$B,C$4,'NSE - NIFTY Index Options'!$H:$H,"Monthly*")+SUMIFS('NSE - Other Index Options'!$L:$L,'NSE - Other Index Options'!$C:$C,$A139,'NSE - Other Index Options'!$B:$B,C$4,'NSE - Other Index Options'!$H:$H,"Monthly*")=0,"",SUMIFS('NSE - NIFTY Index Options'!$L:$L,'NSE - NIFTY Index Options'!$C:$C,$A139,'NSE - NIFTY Index Options'!$B:$B,C$4,'NSE - NIFTY Index Options'!$H:$H,"Monthly*")+SUMIFS('NSE - Other Index Options'!$L:$L,'NSE - Other Index Options'!$C:$C,$A139,'NSE - Other Index Options'!$B:$B,C$4,'NSE - Other Index Options'!$H:$H,"Monthly*"))</f>
        <v/>
      </c>
      <c r="D139" s="26" t="str">
        <f>IF(SUMIFS('NSE - NIFTY Index Options'!$L:$L,'NSE - NIFTY Index Options'!$C:$C,$A139,'NSE - NIFTY Index Options'!$B:$B,D$4,'NSE - NIFTY Index Options'!$H:$H,"Monthly*")+SUMIFS('NSE - Other Index Options'!$L:$L,'NSE - Other Index Options'!$C:$C,$A139,'NSE - Other Index Options'!$B:$B,D$4,'NSE - Other Index Options'!$H:$H,"Monthly*")=0,"",SUMIFS('NSE - NIFTY Index Options'!$L:$L,'NSE - NIFTY Index Options'!$C:$C,$A139,'NSE - NIFTY Index Options'!$B:$B,D$4,'NSE - NIFTY Index Options'!$H:$H,"Monthly*")+SUMIFS('NSE - Other Index Options'!$L:$L,'NSE - Other Index Options'!$C:$C,$A139,'NSE - Other Index Options'!$B:$B,D$4,'NSE - Other Index Options'!$H:$H,"Monthly*"))</f>
        <v/>
      </c>
      <c r="E139" s="26" t="str">
        <f>IF(SUMIFS('NSE - NIFTY Index Options'!$L:$L,'NSE - NIFTY Index Options'!$C:$C,$A139,'NSE - NIFTY Index Options'!$B:$B,E$4,'NSE - NIFTY Index Options'!$H:$H,"Monthly*")+SUMIFS('NSE - Other Index Options'!$L:$L,'NSE - Other Index Options'!$C:$C,$A139,'NSE - Other Index Options'!$B:$B,E$4,'NSE - Other Index Options'!$H:$H,"Monthly*")=0,"",SUMIFS('NSE - NIFTY Index Options'!$L:$L,'NSE - NIFTY Index Options'!$C:$C,$A139,'NSE - NIFTY Index Options'!$B:$B,E$4,'NSE - NIFTY Index Options'!$H:$H,"Monthly*")+SUMIFS('NSE - Other Index Options'!$L:$L,'NSE - Other Index Options'!$C:$C,$A139,'NSE - Other Index Options'!$B:$B,E$4,'NSE - Other Index Options'!$H:$H,"Monthly*"))</f>
        <v/>
      </c>
      <c r="F139" s="26" t="str">
        <f>IF(SUMIFS('NSE - NIFTY Index Options'!$L:$L,'NSE - NIFTY Index Options'!$C:$C,$A139,'NSE - NIFTY Index Options'!$B:$B,F$4,'NSE - NIFTY Index Options'!$H:$H,"Monthly*")+SUMIFS('NSE - Other Index Options'!$L:$L,'NSE - Other Index Options'!$C:$C,$A139,'NSE - Other Index Options'!$B:$B,F$4,'NSE - Other Index Options'!$H:$H,"Monthly*")=0,"",SUMIFS('NSE - NIFTY Index Options'!$L:$L,'NSE - NIFTY Index Options'!$C:$C,$A139,'NSE - NIFTY Index Options'!$B:$B,F$4,'NSE - NIFTY Index Options'!$H:$H,"Monthly*")+SUMIFS('NSE - Other Index Options'!$L:$L,'NSE - Other Index Options'!$C:$C,$A139,'NSE - Other Index Options'!$B:$B,F$4,'NSE - Other Index Options'!$H:$H,"Monthly*"))</f>
        <v/>
      </c>
      <c r="G139" s="26" t="str">
        <f>IF(SUMIFS('NSE - NIFTY Index Options'!$L:$L,'NSE - NIFTY Index Options'!$C:$C,$A139,'NSE - NIFTY Index Options'!$B:$B,G$4,'NSE - NIFTY Index Options'!$H:$H,"Monthly*")+SUMIFS('NSE - Other Index Options'!$L:$L,'NSE - Other Index Options'!$C:$C,$A139,'NSE - Other Index Options'!$B:$B,G$4,'NSE - Other Index Options'!$H:$H,"Monthly*")=0,"",SUMIFS('NSE - NIFTY Index Options'!$L:$L,'NSE - NIFTY Index Options'!$C:$C,$A139,'NSE - NIFTY Index Options'!$B:$B,G$4,'NSE - NIFTY Index Options'!$H:$H,"Monthly*")+SUMIFS('NSE - Other Index Options'!$L:$L,'NSE - Other Index Options'!$C:$C,$A139,'NSE - Other Index Options'!$B:$B,G$4,'NSE - Other Index Options'!$H:$H,"Monthly*"))</f>
        <v/>
      </c>
      <c r="H139" s="26" t="str">
        <f t="shared" si="4"/>
        <v/>
      </c>
    </row>
    <row r="140" spans="1:8" hidden="1" outlineLevel="1">
      <c r="A140" t="s">
        <v>145</v>
      </c>
      <c r="B140" s="26" t="str">
        <f>IF(SUMIFS('NSE - NIFTY Index Options'!$L:$L,'NSE - NIFTY Index Options'!$C:$C,$A140,'NSE - NIFTY Index Options'!$B:$B,B$4,'NSE - NIFTY Index Options'!$H:$H,"Monthly*")+SUMIFS('NSE - Other Index Options'!$L:$L,'NSE - Other Index Options'!$C:$C,$A140,'NSE - Other Index Options'!$B:$B,B$4,'NSE - Other Index Options'!$H:$H,"Monthly*")=0,"",SUMIFS('NSE - NIFTY Index Options'!$L:$L,'NSE - NIFTY Index Options'!$C:$C,$A140,'NSE - NIFTY Index Options'!$B:$B,B$4,'NSE - NIFTY Index Options'!$H:$H,"Monthly*")+SUMIFS('NSE - Other Index Options'!$L:$L,'NSE - Other Index Options'!$C:$C,$A140,'NSE - Other Index Options'!$B:$B,B$4,'NSE - Other Index Options'!$H:$H,"Monthly*"))</f>
        <v/>
      </c>
      <c r="C140" s="26" t="str">
        <f>IF(SUMIFS('NSE - NIFTY Index Options'!$L:$L,'NSE - NIFTY Index Options'!$C:$C,$A140,'NSE - NIFTY Index Options'!$B:$B,C$4,'NSE - NIFTY Index Options'!$H:$H,"Monthly*")+SUMIFS('NSE - Other Index Options'!$L:$L,'NSE - Other Index Options'!$C:$C,$A140,'NSE - Other Index Options'!$B:$B,C$4,'NSE - Other Index Options'!$H:$H,"Monthly*")=0,"",SUMIFS('NSE - NIFTY Index Options'!$L:$L,'NSE - NIFTY Index Options'!$C:$C,$A140,'NSE - NIFTY Index Options'!$B:$B,C$4,'NSE - NIFTY Index Options'!$H:$H,"Monthly*")+SUMIFS('NSE - Other Index Options'!$L:$L,'NSE - Other Index Options'!$C:$C,$A140,'NSE - Other Index Options'!$B:$B,C$4,'NSE - Other Index Options'!$H:$H,"Monthly*"))</f>
        <v/>
      </c>
      <c r="D140" s="26" t="str">
        <f>IF(SUMIFS('NSE - NIFTY Index Options'!$L:$L,'NSE - NIFTY Index Options'!$C:$C,$A140,'NSE - NIFTY Index Options'!$B:$B,D$4,'NSE - NIFTY Index Options'!$H:$H,"Monthly*")+SUMIFS('NSE - Other Index Options'!$L:$L,'NSE - Other Index Options'!$C:$C,$A140,'NSE - Other Index Options'!$B:$B,D$4,'NSE - Other Index Options'!$H:$H,"Monthly*")=0,"",SUMIFS('NSE - NIFTY Index Options'!$L:$L,'NSE - NIFTY Index Options'!$C:$C,$A140,'NSE - NIFTY Index Options'!$B:$B,D$4,'NSE - NIFTY Index Options'!$H:$H,"Monthly*")+SUMIFS('NSE - Other Index Options'!$L:$L,'NSE - Other Index Options'!$C:$C,$A140,'NSE - Other Index Options'!$B:$B,D$4,'NSE - Other Index Options'!$H:$H,"Monthly*"))</f>
        <v/>
      </c>
      <c r="E140" s="26" t="str">
        <f>IF(SUMIFS('NSE - NIFTY Index Options'!$L:$L,'NSE - NIFTY Index Options'!$C:$C,$A140,'NSE - NIFTY Index Options'!$B:$B,E$4,'NSE - NIFTY Index Options'!$H:$H,"Monthly*")+SUMIFS('NSE - Other Index Options'!$L:$L,'NSE - Other Index Options'!$C:$C,$A140,'NSE - Other Index Options'!$B:$B,E$4,'NSE - Other Index Options'!$H:$H,"Monthly*")=0,"",SUMIFS('NSE - NIFTY Index Options'!$L:$L,'NSE - NIFTY Index Options'!$C:$C,$A140,'NSE - NIFTY Index Options'!$B:$B,E$4,'NSE - NIFTY Index Options'!$H:$H,"Monthly*")+SUMIFS('NSE - Other Index Options'!$L:$L,'NSE - Other Index Options'!$C:$C,$A140,'NSE - Other Index Options'!$B:$B,E$4,'NSE - Other Index Options'!$H:$H,"Monthly*"))</f>
        <v/>
      </c>
      <c r="F140" s="26" t="str">
        <f>IF(SUMIFS('NSE - NIFTY Index Options'!$L:$L,'NSE - NIFTY Index Options'!$C:$C,$A140,'NSE - NIFTY Index Options'!$B:$B,F$4,'NSE - NIFTY Index Options'!$H:$H,"Monthly*")+SUMIFS('NSE - Other Index Options'!$L:$L,'NSE - Other Index Options'!$C:$C,$A140,'NSE - Other Index Options'!$B:$B,F$4,'NSE - Other Index Options'!$H:$H,"Monthly*")=0,"",SUMIFS('NSE - NIFTY Index Options'!$L:$L,'NSE - NIFTY Index Options'!$C:$C,$A140,'NSE - NIFTY Index Options'!$B:$B,F$4,'NSE - NIFTY Index Options'!$H:$H,"Monthly*")+SUMIFS('NSE - Other Index Options'!$L:$L,'NSE - Other Index Options'!$C:$C,$A140,'NSE - Other Index Options'!$B:$B,F$4,'NSE - Other Index Options'!$H:$H,"Monthly*"))</f>
        <v/>
      </c>
      <c r="G140" s="26" t="str">
        <f>IF(SUMIFS('NSE - NIFTY Index Options'!$L:$L,'NSE - NIFTY Index Options'!$C:$C,$A140,'NSE - NIFTY Index Options'!$B:$B,G$4,'NSE - NIFTY Index Options'!$H:$H,"Monthly*")+SUMIFS('NSE - Other Index Options'!$L:$L,'NSE - Other Index Options'!$C:$C,$A140,'NSE - Other Index Options'!$B:$B,G$4,'NSE - Other Index Options'!$H:$H,"Monthly*")=0,"",SUMIFS('NSE - NIFTY Index Options'!$L:$L,'NSE - NIFTY Index Options'!$C:$C,$A140,'NSE - NIFTY Index Options'!$B:$B,G$4,'NSE - NIFTY Index Options'!$H:$H,"Monthly*")+SUMIFS('NSE - Other Index Options'!$L:$L,'NSE - Other Index Options'!$C:$C,$A140,'NSE - Other Index Options'!$B:$B,G$4,'NSE - Other Index Options'!$H:$H,"Monthly*"))</f>
        <v/>
      </c>
      <c r="H140" s="26" t="str">
        <f t="shared" si="4"/>
        <v/>
      </c>
    </row>
    <row r="141" spans="1:8" hidden="1" outlineLevel="1">
      <c r="A141" t="s">
        <v>146</v>
      </c>
      <c r="B141" s="26" t="str">
        <f>IF(SUMIFS('NSE - NIFTY Index Options'!$L:$L,'NSE - NIFTY Index Options'!$C:$C,$A141,'NSE - NIFTY Index Options'!$B:$B,B$4,'NSE - NIFTY Index Options'!$H:$H,"Monthly*")+SUMIFS('NSE - Other Index Options'!$L:$L,'NSE - Other Index Options'!$C:$C,$A141,'NSE - Other Index Options'!$B:$B,B$4,'NSE - Other Index Options'!$H:$H,"Monthly*")=0,"",SUMIFS('NSE - NIFTY Index Options'!$L:$L,'NSE - NIFTY Index Options'!$C:$C,$A141,'NSE - NIFTY Index Options'!$B:$B,B$4,'NSE - NIFTY Index Options'!$H:$H,"Monthly*")+SUMIFS('NSE - Other Index Options'!$L:$L,'NSE - Other Index Options'!$C:$C,$A141,'NSE - Other Index Options'!$B:$B,B$4,'NSE - Other Index Options'!$H:$H,"Monthly*"))</f>
        <v/>
      </c>
      <c r="C141" s="26" t="str">
        <f>IF(SUMIFS('NSE - NIFTY Index Options'!$L:$L,'NSE - NIFTY Index Options'!$C:$C,$A141,'NSE - NIFTY Index Options'!$B:$B,C$4,'NSE - NIFTY Index Options'!$H:$H,"Monthly*")+SUMIFS('NSE - Other Index Options'!$L:$L,'NSE - Other Index Options'!$C:$C,$A141,'NSE - Other Index Options'!$B:$B,C$4,'NSE - Other Index Options'!$H:$H,"Monthly*")=0,"",SUMIFS('NSE - NIFTY Index Options'!$L:$L,'NSE - NIFTY Index Options'!$C:$C,$A141,'NSE - NIFTY Index Options'!$B:$B,C$4,'NSE - NIFTY Index Options'!$H:$H,"Monthly*")+SUMIFS('NSE - Other Index Options'!$L:$L,'NSE - Other Index Options'!$C:$C,$A141,'NSE - Other Index Options'!$B:$B,C$4,'NSE - Other Index Options'!$H:$H,"Monthly*"))</f>
        <v/>
      </c>
      <c r="D141" s="26" t="str">
        <f>IF(SUMIFS('NSE - NIFTY Index Options'!$L:$L,'NSE - NIFTY Index Options'!$C:$C,$A141,'NSE - NIFTY Index Options'!$B:$B,D$4,'NSE - NIFTY Index Options'!$H:$H,"Monthly*")+SUMIFS('NSE - Other Index Options'!$L:$L,'NSE - Other Index Options'!$C:$C,$A141,'NSE - Other Index Options'!$B:$B,D$4,'NSE - Other Index Options'!$H:$H,"Monthly*")=0,"",SUMIFS('NSE - NIFTY Index Options'!$L:$L,'NSE - NIFTY Index Options'!$C:$C,$A141,'NSE - NIFTY Index Options'!$B:$B,D$4,'NSE - NIFTY Index Options'!$H:$H,"Monthly*")+SUMIFS('NSE - Other Index Options'!$L:$L,'NSE - Other Index Options'!$C:$C,$A141,'NSE - Other Index Options'!$B:$B,D$4,'NSE - Other Index Options'!$H:$H,"Monthly*"))</f>
        <v/>
      </c>
      <c r="E141" s="26" t="str">
        <f>IF(SUMIFS('NSE - NIFTY Index Options'!$L:$L,'NSE - NIFTY Index Options'!$C:$C,$A141,'NSE - NIFTY Index Options'!$B:$B,E$4,'NSE - NIFTY Index Options'!$H:$H,"Monthly*")+SUMIFS('NSE - Other Index Options'!$L:$L,'NSE - Other Index Options'!$C:$C,$A141,'NSE - Other Index Options'!$B:$B,E$4,'NSE - Other Index Options'!$H:$H,"Monthly*")=0,"",SUMIFS('NSE - NIFTY Index Options'!$L:$L,'NSE - NIFTY Index Options'!$C:$C,$A141,'NSE - NIFTY Index Options'!$B:$B,E$4,'NSE - NIFTY Index Options'!$H:$H,"Monthly*")+SUMIFS('NSE - Other Index Options'!$L:$L,'NSE - Other Index Options'!$C:$C,$A141,'NSE - Other Index Options'!$B:$B,E$4,'NSE - Other Index Options'!$H:$H,"Monthly*"))</f>
        <v/>
      </c>
      <c r="F141" s="26" t="str">
        <f>IF(SUMIFS('NSE - NIFTY Index Options'!$L:$L,'NSE - NIFTY Index Options'!$C:$C,$A141,'NSE - NIFTY Index Options'!$B:$B,F$4,'NSE - NIFTY Index Options'!$H:$H,"Monthly*")+SUMIFS('NSE - Other Index Options'!$L:$L,'NSE - Other Index Options'!$C:$C,$A141,'NSE - Other Index Options'!$B:$B,F$4,'NSE - Other Index Options'!$H:$H,"Monthly*")=0,"",SUMIFS('NSE - NIFTY Index Options'!$L:$L,'NSE - NIFTY Index Options'!$C:$C,$A141,'NSE - NIFTY Index Options'!$B:$B,F$4,'NSE - NIFTY Index Options'!$H:$H,"Monthly*")+SUMIFS('NSE - Other Index Options'!$L:$L,'NSE - Other Index Options'!$C:$C,$A141,'NSE - Other Index Options'!$B:$B,F$4,'NSE - Other Index Options'!$H:$H,"Monthly*"))</f>
        <v/>
      </c>
      <c r="G141" s="26" t="str">
        <f>IF(SUMIFS('NSE - NIFTY Index Options'!$L:$L,'NSE - NIFTY Index Options'!$C:$C,$A141,'NSE - NIFTY Index Options'!$B:$B,G$4,'NSE - NIFTY Index Options'!$H:$H,"Monthly*")+SUMIFS('NSE - Other Index Options'!$L:$L,'NSE - Other Index Options'!$C:$C,$A141,'NSE - Other Index Options'!$B:$B,G$4,'NSE - Other Index Options'!$H:$H,"Monthly*")=0,"",SUMIFS('NSE - NIFTY Index Options'!$L:$L,'NSE - NIFTY Index Options'!$C:$C,$A141,'NSE - NIFTY Index Options'!$B:$B,G$4,'NSE - NIFTY Index Options'!$H:$H,"Monthly*")+SUMIFS('NSE - Other Index Options'!$L:$L,'NSE - Other Index Options'!$C:$C,$A141,'NSE - Other Index Options'!$B:$B,G$4,'NSE - Other Index Options'!$H:$H,"Monthly*"))</f>
        <v/>
      </c>
      <c r="H141" s="26" t="str">
        <f t="shared" si="4"/>
        <v/>
      </c>
    </row>
    <row r="142" spans="1:8" hidden="1" outlineLevel="1">
      <c r="A142" t="s">
        <v>147</v>
      </c>
      <c r="B142" s="26" t="str">
        <f>IF(SUMIFS('NSE - NIFTY Index Options'!$L:$L,'NSE - NIFTY Index Options'!$C:$C,$A142,'NSE - NIFTY Index Options'!$B:$B,B$4,'NSE - NIFTY Index Options'!$H:$H,"Monthly*")+SUMIFS('NSE - Other Index Options'!$L:$L,'NSE - Other Index Options'!$C:$C,$A142,'NSE - Other Index Options'!$B:$B,B$4,'NSE - Other Index Options'!$H:$H,"Monthly*")=0,"",SUMIFS('NSE - NIFTY Index Options'!$L:$L,'NSE - NIFTY Index Options'!$C:$C,$A142,'NSE - NIFTY Index Options'!$B:$B,B$4,'NSE - NIFTY Index Options'!$H:$H,"Monthly*")+SUMIFS('NSE - Other Index Options'!$L:$L,'NSE - Other Index Options'!$C:$C,$A142,'NSE - Other Index Options'!$B:$B,B$4,'NSE - Other Index Options'!$H:$H,"Monthly*"))</f>
        <v/>
      </c>
      <c r="C142" s="26" t="str">
        <f>IF(SUMIFS('NSE - NIFTY Index Options'!$L:$L,'NSE - NIFTY Index Options'!$C:$C,$A142,'NSE - NIFTY Index Options'!$B:$B,C$4,'NSE - NIFTY Index Options'!$H:$H,"Monthly*")+SUMIFS('NSE - Other Index Options'!$L:$L,'NSE - Other Index Options'!$C:$C,$A142,'NSE - Other Index Options'!$B:$B,C$4,'NSE - Other Index Options'!$H:$H,"Monthly*")=0,"",SUMIFS('NSE - NIFTY Index Options'!$L:$L,'NSE - NIFTY Index Options'!$C:$C,$A142,'NSE - NIFTY Index Options'!$B:$B,C$4,'NSE - NIFTY Index Options'!$H:$H,"Monthly*")+SUMIFS('NSE - Other Index Options'!$L:$L,'NSE - Other Index Options'!$C:$C,$A142,'NSE - Other Index Options'!$B:$B,C$4,'NSE - Other Index Options'!$H:$H,"Monthly*"))</f>
        <v/>
      </c>
      <c r="D142" s="26" t="str">
        <f>IF(SUMIFS('NSE - NIFTY Index Options'!$L:$L,'NSE - NIFTY Index Options'!$C:$C,$A142,'NSE - NIFTY Index Options'!$B:$B,D$4,'NSE - NIFTY Index Options'!$H:$H,"Monthly*")+SUMIFS('NSE - Other Index Options'!$L:$L,'NSE - Other Index Options'!$C:$C,$A142,'NSE - Other Index Options'!$B:$B,D$4,'NSE - Other Index Options'!$H:$H,"Monthly*")=0,"",SUMIFS('NSE - NIFTY Index Options'!$L:$L,'NSE - NIFTY Index Options'!$C:$C,$A142,'NSE - NIFTY Index Options'!$B:$B,D$4,'NSE - NIFTY Index Options'!$H:$H,"Monthly*")+SUMIFS('NSE - Other Index Options'!$L:$L,'NSE - Other Index Options'!$C:$C,$A142,'NSE - Other Index Options'!$B:$B,D$4,'NSE - Other Index Options'!$H:$H,"Monthly*"))</f>
        <v/>
      </c>
      <c r="E142" s="26" t="str">
        <f>IF(SUMIFS('NSE - NIFTY Index Options'!$L:$L,'NSE - NIFTY Index Options'!$C:$C,$A142,'NSE - NIFTY Index Options'!$B:$B,E$4,'NSE - NIFTY Index Options'!$H:$H,"Monthly*")+SUMIFS('NSE - Other Index Options'!$L:$L,'NSE - Other Index Options'!$C:$C,$A142,'NSE - Other Index Options'!$B:$B,E$4,'NSE - Other Index Options'!$H:$H,"Monthly*")=0,"",SUMIFS('NSE - NIFTY Index Options'!$L:$L,'NSE - NIFTY Index Options'!$C:$C,$A142,'NSE - NIFTY Index Options'!$B:$B,E$4,'NSE - NIFTY Index Options'!$H:$H,"Monthly*")+SUMIFS('NSE - Other Index Options'!$L:$L,'NSE - Other Index Options'!$C:$C,$A142,'NSE - Other Index Options'!$B:$B,E$4,'NSE - Other Index Options'!$H:$H,"Monthly*"))</f>
        <v/>
      </c>
      <c r="F142" s="26" t="str">
        <f>IF(SUMIFS('NSE - NIFTY Index Options'!$L:$L,'NSE - NIFTY Index Options'!$C:$C,$A142,'NSE - NIFTY Index Options'!$B:$B,F$4,'NSE - NIFTY Index Options'!$H:$H,"Monthly*")+SUMIFS('NSE - Other Index Options'!$L:$L,'NSE - Other Index Options'!$C:$C,$A142,'NSE - Other Index Options'!$B:$B,F$4,'NSE - Other Index Options'!$H:$H,"Monthly*")=0,"",SUMIFS('NSE - NIFTY Index Options'!$L:$L,'NSE - NIFTY Index Options'!$C:$C,$A142,'NSE - NIFTY Index Options'!$B:$B,F$4,'NSE - NIFTY Index Options'!$H:$H,"Monthly*")+SUMIFS('NSE - Other Index Options'!$L:$L,'NSE - Other Index Options'!$C:$C,$A142,'NSE - Other Index Options'!$B:$B,F$4,'NSE - Other Index Options'!$H:$H,"Monthly*"))</f>
        <v/>
      </c>
      <c r="G142" s="26" t="str">
        <f>IF(SUMIFS('NSE - NIFTY Index Options'!$L:$L,'NSE - NIFTY Index Options'!$C:$C,$A142,'NSE - NIFTY Index Options'!$B:$B,G$4,'NSE - NIFTY Index Options'!$H:$H,"Monthly*")+SUMIFS('NSE - Other Index Options'!$L:$L,'NSE - Other Index Options'!$C:$C,$A142,'NSE - Other Index Options'!$B:$B,G$4,'NSE - Other Index Options'!$H:$H,"Monthly*")=0,"",SUMIFS('NSE - NIFTY Index Options'!$L:$L,'NSE - NIFTY Index Options'!$C:$C,$A142,'NSE - NIFTY Index Options'!$B:$B,G$4,'NSE - NIFTY Index Options'!$H:$H,"Monthly*")+SUMIFS('NSE - Other Index Options'!$L:$L,'NSE - Other Index Options'!$C:$C,$A142,'NSE - Other Index Options'!$B:$B,G$4,'NSE - Other Index Options'!$H:$H,"Monthly*"))</f>
        <v/>
      </c>
      <c r="H142" s="26" t="str">
        <f t="shared" si="4"/>
        <v/>
      </c>
    </row>
    <row r="143" spans="1:8" collapsed="1">
      <c r="A143" s="32" t="s">
        <v>9</v>
      </c>
      <c r="B143" s="33">
        <f t="shared" ref="B143:H143" si="5">IF(SUM(B5:B142)=0,"",SUM(B5:B142))</f>
        <v>414814.2099999999</v>
      </c>
      <c r="C143" s="33">
        <f t="shared" si="5"/>
        <v>448232.37999999995</v>
      </c>
      <c r="D143" s="33">
        <f t="shared" si="5"/>
        <v>313338.69000000012</v>
      </c>
      <c r="E143" s="33">
        <f t="shared" si="5"/>
        <v>273528.34000000003</v>
      </c>
      <c r="F143" s="33">
        <f t="shared" si="5"/>
        <v>347710.83</v>
      </c>
      <c r="G143" s="33">
        <f t="shared" si="5"/>
        <v>12936</v>
      </c>
      <c r="H143" s="33">
        <f t="shared" si="5"/>
        <v>1810560.4500000002</v>
      </c>
    </row>
    <row r="146" spans="1:8">
      <c r="A146" s="32" t="s">
        <v>148</v>
      </c>
    </row>
    <row r="147" spans="1:8">
      <c r="A147" s="32" t="s">
        <v>2</v>
      </c>
      <c r="B147" s="32" t="s">
        <v>3</v>
      </c>
      <c r="C147" s="32" t="s">
        <v>4</v>
      </c>
      <c r="D147" s="32" t="s">
        <v>5</v>
      </c>
      <c r="E147" s="32" t="s">
        <v>6</v>
      </c>
      <c r="F147" s="32" t="s">
        <v>7</v>
      </c>
      <c r="G147" s="32" t="s">
        <v>8</v>
      </c>
      <c r="H147" s="32" t="s">
        <v>9</v>
      </c>
    </row>
    <row r="148" spans="1:8">
      <c r="A148" t="s">
        <v>10</v>
      </c>
      <c r="B148" s="26">
        <f>IF(SUMIFS('BSE - SENSEX Index Options'!$L:$L,'BSE - SENSEX Index Options'!$C:$C,$A148,'BSE - SENSEX Index Options'!$B:$B,B$147,'BSE - SENSEX Index Options'!$H:$H,"Monthly*")+SUMIFS('BSE - Other Index Options'!$L:$L,'BSE - Other Index Options'!$C:$C,$A148,'BSE - Other Index Options'!$B:$B,B$147,'BSE - Other Index Options'!$H:$H,"Monthly*")=0,"",SUMIFS('BSE - SENSEX Index Options'!$L:$L,'BSE - SENSEX Index Options'!$C:$C,$A148,'BSE - SENSEX Index Options'!$B:$B,B$147,'BSE - SENSEX Index Options'!$H:$H,"Monthly*")+SUMIFS('BSE - Other Index Options'!$L:$L,'BSE - Other Index Options'!$C:$C,$A148,'BSE - Other Index Options'!$B:$B,B$147,'BSE - Other Index Options'!$H:$H,"Monthly*"))</f>
        <v>18.72</v>
      </c>
      <c r="C148" s="26">
        <f>IF(SUMIFS('BSE - SENSEX Index Options'!$L:$L,'BSE - SENSEX Index Options'!$C:$C,$A148,'BSE - SENSEX Index Options'!$B:$B,C$147,'BSE - SENSEX Index Options'!$H:$H,"Monthly*")+SUMIFS('BSE - Other Index Options'!$L:$L,'BSE - Other Index Options'!$C:$C,$A148,'BSE - Other Index Options'!$B:$B,C$147,'BSE - Other Index Options'!$H:$H,"Monthly*")=0,"",SUMIFS('BSE - SENSEX Index Options'!$L:$L,'BSE - SENSEX Index Options'!$C:$C,$A148,'BSE - SENSEX Index Options'!$B:$B,C$147,'BSE - SENSEX Index Options'!$H:$H,"Monthly*")+SUMIFS('BSE - Other Index Options'!$L:$L,'BSE - Other Index Options'!$C:$C,$A148,'BSE - Other Index Options'!$B:$B,C$147,'BSE - Other Index Options'!$H:$H,"Monthly*"))</f>
        <v>25.33</v>
      </c>
      <c r="D148" s="26">
        <f>IF(SUMIFS('BSE - SENSEX Index Options'!$L:$L,'BSE - SENSEX Index Options'!$C:$C,$A148,'BSE - SENSEX Index Options'!$B:$B,D$147,'BSE - SENSEX Index Options'!$H:$H,"Monthly*")+SUMIFS('BSE - Other Index Options'!$L:$L,'BSE - Other Index Options'!$C:$C,$A148,'BSE - Other Index Options'!$B:$B,D$147,'BSE - Other Index Options'!$H:$H,"Monthly*")=0,"",SUMIFS('BSE - SENSEX Index Options'!$L:$L,'BSE - SENSEX Index Options'!$C:$C,$A148,'BSE - SENSEX Index Options'!$B:$B,D$147,'BSE - SENSEX Index Options'!$H:$H,"Monthly*")+SUMIFS('BSE - Other Index Options'!$L:$L,'BSE - Other Index Options'!$C:$C,$A148,'BSE - Other Index Options'!$B:$B,D$147,'BSE - Other Index Options'!$H:$H,"Monthly*"))</f>
        <v>24.68</v>
      </c>
      <c r="E148" s="26">
        <f>IF(SUMIFS('BSE - SENSEX Index Options'!$L:$L,'BSE - SENSEX Index Options'!$C:$C,$A148,'BSE - SENSEX Index Options'!$B:$B,E$147,'BSE - SENSEX Index Options'!$H:$H,"Monthly*")+SUMIFS('BSE - Other Index Options'!$L:$L,'BSE - Other Index Options'!$C:$C,$A148,'BSE - Other Index Options'!$B:$B,E$147,'BSE - Other Index Options'!$H:$H,"Monthly*")=0,"",SUMIFS('BSE - SENSEX Index Options'!$L:$L,'BSE - SENSEX Index Options'!$C:$C,$A148,'BSE - SENSEX Index Options'!$B:$B,E$147,'BSE - SENSEX Index Options'!$H:$H,"Monthly*")+SUMIFS('BSE - Other Index Options'!$L:$L,'BSE - Other Index Options'!$C:$C,$A148,'BSE - Other Index Options'!$B:$B,E$147,'BSE - Other Index Options'!$H:$H,"Monthly*"))</f>
        <v>34.370000000000005</v>
      </c>
      <c r="F148" s="26">
        <f>IF(SUMIFS('BSE - SENSEX Index Options'!$L:$L,'BSE - SENSEX Index Options'!$C:$C,$A148,'BSE - SENSEX Index Options'!$B:$B,F$147,'BSE - SENSEX Index Options'!$H:$H,"Monthly*")+SUMIFS('BSE - Other Index Options'!$L:$L,'BSE - Other Index Options'!$C:$C,$A148,'BSE - Other Index Options'!$B:$B,F$147,'BSE - Other Index Options'!$H:$H,"Monthly*")=0,"",SUMIFS('BSE - SENSEX Index Options'!$L:$L,'BSE - SENSEX Index Options'!$C:$C,$A148,'BSE - SENSEX Index Options'!$B:$B,F$147,'BSE - SENSEX Index Options'!$H:$H,"Monthly*")+SUMIFS('BSE - Other Index Options'!$L:$L,'BSE - Other Index Options'!$C:$C,$A148,'BSE - Other Index Options'!$B:$B,F$147,'BSE - Other Index Options'!$H:$H,"Monthly*"))</f>
        <v>31.14</v>
      </c>
      <c r="G148" s="26" t="str">
        <f>IF(SUMIFS('BSE - SENSEX Index Options'!$L:$L,'BSE - SENSEX Index Options'!$C:$C,$A148,'BSE - SENSEX Index Options'!$B:$B,G$147,'BSE - SENSEX Index Options'!$H:$H,"Monthly*")+SUMIFS('BSE - Other Index Options'!$L:$L,'BSE - Other Index Options'!$C:$C,$A148,'BSE - Other Index Options'!$B:$B,G$147,'BSE - Other Index Options'!$H:$H,"Monthly*")=0,"",SUMIFS('BSE - SENSEX Index Options'!$L:$L,'BSE - SENSEX Index Options'!$C:$C,$A148,'BSE - SENSEX Index Options'!$B:$B,G$147,'BSE - SENSEX Index Options'!$H:$H,"Monthly*")+SUMIFS('BSE - Other Index Options'!$L:$L,'BSE - Other Index Options'!$C:$C,$A148,'BSE - Other Index Options'!$B:$B,G$147,'BSE - Other Index Options'!$H:$H,"Monthly*"))</f>
        <v/>
      </c>
      <c r="H148" s="26">
        <f t="shared" ref="H148:H179" si="6">IF(SUM(B148:G148)=0,"",SUM(B148:G148))</f>
        <v>134.24</v>
      </c>
    </row>
    <row r="149" spans="1:8">
      <c r="A149" t="s">
        <v>11</v>
      </c>
      <c r="B149" s="26">
        <f>IF(SUMIFS('BSE - SENSEX Index Options'!$L:$L,'BSE - SENSEX Index Options'!$C:$C,$A149,'BSE - SENSEX Index Options'!$B:$B,B$147,'BSE - SENSEX Index Options'!$H:$H,"Monthly*")+SUMIFS('BSE - Other Index Options'!$L:$L,'BSE - Other Index Options'!$C:$C,$A149,'BSE - Other Index Options'!$B:$B,B$147,'BSE - Other Index Options'!$H:$H,"Monthly*")=0,"",SUMIFS('BSE - SENSEX Index Options'!$L:$L,'BSE - SENSEX Index Options'!$C:$C,$A149,'BSE - SENSEX Index Options'!$B:$B,B$147,'BSE - SENSEX Index Options'!$H:$H,"Monthly*")+SUMIFS('BSE - Other Index Options'!$L:$L,'BSE - Other Index Options'!$C:$C,$A149,'BSE - Other Index Options'!$B:$B,B$147,'BSE - Other Index Options'!$H:$H,"Monthly*"))</f>
        <v>27.45</v>
      </c>
      <c r="C149" s="26">
        <f>IF(SUMIFS('BSE - SENSEX Index Options'!$L:$L,'BSE - SENSEX Index Options'!$C:$C,$A149,'BSE - SENSEX Index Options'!$B:$B,C$147,'BSE - SENSEX Index Options'!$H:$H,"Monthly*")+SUMIFS('BSE - Other Index Options'!$L:$L,'BSE - Other Index Options'!$C:$C,$A149,'BSE - Other Index Options'!$B:$B,C$147,'BSE - Other Index Options'!$H:$H,"Monthly*")=0,"",SUMIFS('BSE - SENSEX Index Options'!$L:$L,'BSE - SENSEX Index Options'!$C:$C,$A149,'BSE - SENSEX Index Options'!$B:$B,C$147,'BSE - SENSEX Index Options'!$H:$H,"Monthly*")+SUMIFS('BSE - Other Index Options'!$L:$L,'BSE - Other Index Options'!$C:$C,$A149,'BSE - Other Index Options'!$B:$B,C$147,'BSE - Other Index Options'!$H:$H,"Monthly*"))</f>
        <v>22.26</v>
      </c>
      <c r="D149" s="26">
        <f>IF(SUMIFS('BSE - SENSEX Index Options'!$L:$L,'BSE - SENSEX Index Options'!$C:$C,$A149,'BSE - SENSEX Index Options'!$B:$B,D$147,'BSE - SENSEX Index Options'!$H:$H,"Monthly*")+SUMIFS('BSE - Other Index Options'!$L:$L,'BSE - Other Index Options'!$C:$C,$A149,'BSE - Other Index Options'!$B:$B,D$147,'BSE - Other Index Options'!$H:$H,"Monthly*")=0,"",SUMIFS('BSE - SENSEX Index Options'!$L:$L,'BSE - SENSEX Index Options'!$C:$C,$A149,'BSE - SENSEX Index Options'!$B:$B,D$147,'BSE - SENSEX Index Options'!$H:$H,"Monthly*")+SUMIFS('BSE - Other Index Options'!$L:$L,'BSE - Other Index Options'!$C:$C,$A149,'BSE - Other Index Options'!$B:$B,D$147,'BSE - Other Index Options'!$H:$H,"Monthly*"))</f>
        <v>38.92</v>
      </c>
      <c r="E149" s="26">
        <f>IF(SUMIFS('BSE - SENSEX Index Options'!$L:$L,'BSE - SENSEX Index Options'!$C:$C,$A149,'BSE - SENSEX Index Options'!$B:$B,E$147,'BSE - SENSEX Index Options'!$H:$H,"Monthly*")+SUMIFS('BSE - Other Index Options'!$L:$L,'BSE - Other Index Options'!$C:$C,$A149,'BSE - Other Index Options'!$B:$B,E$147,'BSE - Other Index Options'!$H:$H,"Monthly*")=0,"",SUMIFS('BSE - SENSEX Index Options'!$L:$L,'BSE - SENSEX Index Options'!$C:$C,$A149,'BSE - SENSEX Index Options'!$B:$B,E$147,'BSE - SENSEX Index Options'!$H:$H,"Monthly*")+SUMIFS('BSE - Other Index Options'!$L:$L,'BSE - Other Index Options'!$C:$C,$A149,'BSE - Other Index Options'!$B:$B,E$147,'BSE - Other Index Options'!$H:$H,"Monthly*"))</f>
        <v>40.119999999999997</v>
      </c>
      <c r="F149" s="26">
        <f>IF(SUMIFS('BSE - SENSEX Index Options'!$L:$L,'BSE - SENSEX Index Options'!$C:$C,$A149,'BSE - SENSEX Index Options'!$B:$B,F$147,'BSE - SENSEX Index Options'!$H:$H,"Monthly*")+SUMIFS('BSE - Other Index Options'!$L:$L,'BSE - Other Index Options'!$C:$C,$A149,'BSE - Other Index Options'!$B:$B,F$147,'BSE - Other Index Options'!$H:$H,"Monthly*")=0,"",SUMIFS('BSE - SENSEX Index Options'!$L:$L,'BSE - SENSEX Index Options'!$C:$C,$A149,'BSE - SENSEX Index Options'!$B:$B,F$147,'BSE - SENSEX Index Options'!$H:$H,"Monthly*")+SUMIFS('BSE - Other Index Options'!$L:$L,'BSE - Other Index Options'!$C:$C,$A149,'BSE - Other Index Options'!$B:$B,F$147,'BSE - Other Index Options'!$H:$H,"Monthly*"))</f>
        <v>58.019999999999996</v>
      </c>
      <c r="G149" s="26" t="str">
        <f>IF(SUMIFS('BSE - SENSEX Index Options'!$L:$L,'BSE - SENSEX Index Options'!$C:$C,$A149,'BSE - SENSEX Index Options'!$B:$B,G$147,'BSE - SENSEX Index Options'!$H:$H,"Monthly*")+SUMIFS('BSE - Other Index Options'!$L:$L,'BSE - Other Index Options'!$C:$C,$A149,'BSE - Other Index Options'!$B:$B,G$147,'BSE - Other Index Options'!$H:$H,"Monthly*")=0,"",SUMIFS('BSE - SENSEX Index Options'!$L:$L,'BSE - SENSEX Index Options'!$C:$C,$A149,'BSE - SENSEX Index Options'!$B:$B,G$147,'BSE - SENSEX Index Options'!$H:$H,"Monthly*")+SUMIFS('BSE - Other Index Options'!$L:$L,'BSE - Other Index Options'!$C:$C,$A149,'BSE - Other Index Options'!$B:$B,G$147,'BSE - Other Index Options'!$H:$H,"Monthly*"))</f>
        <v/>
      </c>
      <c r="H149" s="26">
        <f t="shared" si="6"/>
        <v>186.76999999999998</v>
      </c>
    </row>
    <row r="150" spans="1:8">
      <c r="A150" t="s">
        <v>12</v>
      </c>
      <c r="B150" s="26">
        <f>IF(SUMIFS('BSE - SENSEX Index Options'!$L:$L,'BSE - SENSEX Index Options'!$C:$C,$A150,'BSE - SENSEX Index Options'!$B:$B,B$147,'BSE - SENSEX Index Options'!$H:$H,"Monthly*")+SUMIFS('BSE - Other Index Options'!$L:$L,'BSE - Other Index Options'!$C:$C,$A150,'BSE - Other Index Options'!$B:$B,B$147,'BSE - Other Index Options'!$H:$H,"Monthly*")=0,"",SUMIFS('BSE - SENSEX Index Options'!$L:$L,'BSE - SENSEX Index Options'!$C:$C,$A150,'BSE - SENSEX Index Options'!$B:$B,B$147,'BSE - SENSEX Index Options'!$H:$H,"Monthly*")+SUMIFS('BSE - Other Index Options'!$L:$L,'BSE - Other Index Options'!$C:$C,$A150,'BSE - Other Index Options'!$B:$B,B$147,'BSE - Other Index Options'!$H:$H,"Monthly*"))</f>
        <v>68.52</v>
      </c>
      <c r="C150" s="26">
        <f>IF(SUMIFS('BSE - SENSEX Index Options'!$L:$L,'BSE - SENSEX Index Options'!$C:$C,$A150,'BSE - SENSEX Index Options'!$B:$B,C$147,'BSE - SENSEX Index Options'!$H:$H,"Monthly*")+SUMIFS('BSE - Other Index Options'!$L:$L,'BSE - Other Index Options'!$C:$C,$A150,'BSE - Other Index Options'!$B:$B,C$147,'BSE - Other Index Options'!$H:$H,"Monthly*")=0,"",SUMIFS('BSE - SENSEX Index Options'!$L:$L,'BSE - SENSEX Index Options'!$C:$C,$A150,'BSE - SENSEX Index Options'!$B:$B,C$147,'BSE - SENSEX Index Options'!$H:$H,"Monthly*")+SUMIFS('BSE - Other Index Options'!$L:$L,'BSE - Other Index Options'!$C:$C,$A150,'BSE - Other Index Options'!$B:$B,C$147,'BSE - Other Index Options'!$H:$H,"Monthly*"))</f>
        <v>157.49999999999997</v>
      </c>
      <c r="D150" s="26">
        <f>IF(SUMIFS('BSE - SENSEX Index Options'!$L:$L,'BSE - SENSEX Index Options'!$C:$C,$A150,'BSE - SENSEX Index Options'!$B:$B,D$147,'BSE - SENSEX Index Options'!$H:$H,"Monthly*")+SUMIFS('BSE - Other Index Options'!$L:$L,'BSE - Other Index Options'!$C:$C,$A150,'BSE - Other Index Options'!$B:$B,D$147,'BSE - Other Index Options'!$H:$H,"Monthly*")=0,"",SUMIFS('BSE - SENSEX Index Options'!$L:$L,'BSE - SENSEX Index Options'!$C:$C,$A150,'BSE - SENSEX Index Options'!$B:$B,D$147,'BSE - SENSEX Index Options'!$H:$H,"Monthly*")+SUMIFS('BSE - Other Index Options'!$L:$L,'BSE - Other Index Options'!$C:$C,$A150,'BSE - Other Index Options'!$B:$B,D$147,'BSE - Other Index Options'!$H:$H,"Monthly*"))</f>
        <v>248.16</v>
      </c>
      <c r="E150" s="26">
        <f>IF(SUMIFS('BSE - SENSEX Index Options'!$L:$L,'BSE - SENSEX Index Options'!$C:$C,$A150,'BSE - SENSEX Index Options'!$B:$B,E$147,'BSE - SENSEX Index Options'!$H:$H,"Monthly*")+SUMIFS('BSE - Other Index Options'!$L:$L,'BSE - Other Index Options'!$C:$C,$A150,'BSE - Other Index Options'!$B:$B,E$147,'BSE - Other Index Options'!$H:$H,"Monthly*")=0,"",SUMIFS('BSE - SENSEX Index Options'!$L:$L,'BSE - SENSEX Index Options'!$C:$C,$A150,'BSE - SENSEX Index Options'!$B:$B,E$147,'BSE - SENSEX Index Options'!$H:$H,"Monthly*")+SUMIFS('BSE - Other Index Options'!$L:$L,'BSE - Other Index Options'!$C:$C,$A150,'BSE - Other Index Options'!$B:$B,E$147,'BSE - Other Index Options'!$H:$H,"Monthly*"))</f>
        <v>826.99999999999989</v>
      </c>
      <c r="F150" s="26">
        <f>IF(SUMIFS('BSE - SENSEX Index Options'!$L:$L,'BSE - SENSEX Index Options'!$C:$C,$A150,'BSE - SENSEX Index Options'!$B:$B,F$147,'BSE - SENSEX Index Options'!$H:$H,"Monthly*")+SUMIFS('BSE - Other Index Options'!$L:$L,'BSE - Other Index Options'!$C:$C,$A150,'BSE - Other Index Options'!$B:$B,F$147,'BSE - Other Index Options'!$H:$H,"Monthly*")=0,"",SUMIFS('BSE - SENSEX Index Options'!$L:$L,'BSE - SENSEX Index Options'!$C:$C,$A150,'BSE - SENSEX Index Options'!$B:$B,F$147,'BSE - SENSEX Index Options'!$H:$H,"Monthly*")+SUMIFS('BSE - Other Index Options'!$L:$L,'BSE - Other Index Options'!$C:$C,$A150,'BSE - Other Index Options'!$B:$B,F$147,'BSE - Other Index Options'!$H:$H,"Monthly*"))</f>
        <v>15.4</v>
      </c>
      <c r="G150" s="26" t="str">
        <f>IF(SUMIFS('BSE - SENSEX Index Options'!$L:$L,'BSE - SENSEX Index Options'!$C:$C,$A150,'BSE - SENSEX Index Options'!$B:$B,G$147,'BSE - SENSEX Index Options'!$H:$H,"Monthly*")+SUMIFS('BSE - Other Index Options'!$L:$L,'BSE - Other Index Options'!$C:$C,$A150,'BSE - Other Index Options'!$B:$B,G$147,'BSE - Other Index Options'!$H:$H,"Monthly*")=0,"",SUMIFS('BSE - SENSEX Index Options'!$L:$L,'BSE - SENSEX Index Options'!$C:$C,$A150,'BSE - SENSEX Index Options'!$B:$B,G$147,'BSE - SENSEX Index Options'!$H:$H,"Monthly*")+SUMIFS('BSE - Other Index Options'!$L:$L,'BSE - Other Index Options'!$C:$C,$A150,'BSE - Other Index Options'!$B:$B,G$147,'BSE - Other Index Options'!$H:$H,"Monthly*"))</f>
        <v/>
      </c>
      <c r="H150" s="26">
        <f t="shared" si="6"/>
        <v>1316.58</v>
      </c>
    </row>
    <row r="151" spans="1:8">
      <c r="A151" t="s">
        <v>13</v>
      </c>
      <c r="B151" s="26">
        <f>IF(SUMIFS('BSE - SENSEX Index Options'!$L:$L,'BSE - SENSEX Index Options'!$C:$C,$A151,'BSE - SENSEX Index Options'!$B:$B,B$147,'BSE - SENSEX Index Options'!$H:$H,"Monthly*")+SUMIFS('BSE - Other Index Options'!$L:$L,'BSE - Other Index Options'!$C:$C,$A151,'BSE - Other Index Options'!$B:$B,B$147,'BSE - Other Index Options'!$H:$H,"Monthly*")=0,"",SUMIFS('BSE - SENSEX Index Options'!$L:$L,'BSE - SENSEX Index Options'!$C:$C,$A151,'BSE - SENSEX Index Options'!$B:$B,B$147,'BSE - SENSEX Index Options'!$H:$H,"Monthly*")+SUMIFS('BSE - Other Index Options'!$L:$L,'BSE - Other Index Options'!$C:$C,$A151,'BSE - Other Index Options'!$B:$B,B$147,'BSE - Other Index Options'!$H:$H,"Monthly*"))</f>
        <v>29.360000000000003</v>
      </c>
      <c r="C151" s="26">
        <f>IF(SUMIFS('BSE - SENSEX Index Options'!$L:$L,'BSE - SENSEX Index Options'!$C:$C,$A151,'BSE - SENSEX Index Options'!$B:$B,C$147,'BSE - SENSEX Index Options'!$H:$H,"Monthly*")+SUMIFS('BSE - Other Index Options'!$L:$L,'BSE - Other Index Options'!$C:$C,$A151,'BSE - Other Index Options'!$B:$B,C$147,'BSE - Other Index Options'!$H:$H,"Monthly*")=0,"",SUMIFS('BSE - SENSEX Index Options'!$L:$L,'BSE - SENSEX Index Options'!$C:$C,$A151,'BSE - SENSEX Index Options'!$B:$B,C$147,'BSE - SENSEX Index Options'!$H:$H,"Monthly*")+SUMIFS('BSE - Other Index Options'!$L:$L,'BSE - Other Index Options'!$C:$C,$A151,'BSE - Other Index Options'!$B:$B,C$147,'BSE - Other Index Options'!$H:$H,"Monthly*"))</f>
        <v>33.090000000000003</v>
      </c>
      <c r="D151" s="26">
        <f>IF(SUMIFS('BSE - SENSEX Index Options'!$L:$L,'BSE - SENSEX Index Options'!$C:$C,$A151,'BSE - SENSEX Index Options'!$B:$B,D$147,'BSE - SENSEX Index Options'!$H:$H,"Monthly*")+SUMIFS('BSE - Other Index Options'!$L:$L,'BSE - Other Index Options'!$C:$C,$A151,'BSE - Other Index Options'!$B:$B,D$147,'BSE - Other Index Options'!$H:$H,"Monthly*")=0,"",SUMIFS('BSE - SENSEX Index Options'!$L:$L,'BSE - SENSEX Index Options'!$C:$C,$A151,'BSE - SENSEX Index Options'!$B:$B,D$147,'BSE - SENSEX Index Options'!$H:$H,"Monthly*")+SUMIFS('BSE - Other Index Options'!$L:$L,'BSE - Other Index Options'!$C:$C,$A151,'BSE - Other Index Options'!$B:$B,D$147,'BSE - Other Index Options'!$H:$H,"Monthly*"))</f>
        <v>273.91999999999996</v>
      </c>
      <c r="E151" s="26">
        <f>IF(SUMIFS('BSE - SENSEX Index Options'!$L:$L,'BSE - SENSEX Index Options'!$C:$C,$A151,'BSE - SENSEX Index Options'!$B:$B,E$147,'BSE - SENSEX Index Options'!$H:$H,"Monthly*")+SUMIFS('BSE - Other Index Options'!$L:$L,'BSE - Other Index Options'!$C:$C,$A151,'BSE - Other Index Options'!$B:$B,E$147,'BSE - Other Index Options'!$H:$H,"Monthly*")=0,"",SUMIFS('BSE - SENSEX Index Options'!$L:$L,'BSE - SENSEX Index Options'!$C:$C,$A151,'BSE - SENSEX Index Options'!$B:$B,E$147,'BSE - SENSEX Index Options'!$H:$H,"Monthly*")+SUMIFS('BSE - Other Index Options'!$L:$L,'BSE - Other Index Options'!$C:$C,$A151,'BSE - Other Index Options'!$B:$B,E$147,'BSE - Other Index Options'!$H:$H,"Monthly*"))</f>
        <v>853.36</v>
      </c>
      <c r="F151" s="26">
        <f>IF(SUMIFS('BSE - SENSEX Index Options'!$L:$L,'BSE - SENSEX Index Options'!$C:$C,$A151,'BSE - SENSEX Index Options'!$B:$B,F$147,'BSE - SENSEX Index Options'!$H:$H,"Monthly*")+SUMIFS('BSE - Other Index Options'!$L:$L,'BSE - Other Index Options'!$C:$C,$A151,'BSE - Other Index Options'!$B:$B,F$147,'BSE - Other Index Options'!$H:$H,"Monthly*")=0,"",SUMIFS('BSE - SENSEX Index Options'!$L:$L,'BSE - SENSEX Index Options'!$C:$C,$A151,'BSE - SENSEX Index Options'!$B:$B,F$147,'BSE - SENSEX Index Options'!$H:$H,"Monthly*")+SUMIFS('BSE - Other Index Options'!$L:$L,'BSE - Other Index Options'!$C:$C,$A151,'BSE - Other Index Options'!$B:$B,F$147,'BSE - Other Index Options'!$H:$H,"Monthly*"))</f>
        <v>23.959999999999997</v>
      </c>
      <c r="G151" s="26" t="str">
        <f>IF(SUMIFS('BSE - SENSEX Index Options'!$L:$L,'BSE - SENSEX Index Options'!$C:$C,$A151,'BSE - SENSEX Index Options'!$B:$B,G$147,'BSE - SENSEX Index Options'!$H:$H,"Monthly*")+SUMIFS('BSE - Other Index Options'!$L:$L,'BSE - Other Index Options'!$C:$C,$A151,'BSE - Other Index Options'!$B:$B,G$147,'BSE - Other Index Options'!$H:$H,"Monthly*")=0,"",SUMIFS('BSE - SENSEX Index Options'!$L:$L,'BSE - SENSEX Index Options'!$C:$C,$A151,'BSE - SENSEX Index Options'!$B:$B,G$147,'BSE - SENSEX Index Options'!$H:$H,"Monthly*")+SUMIFS('BSE - Other Index Options'!$L:$L,'BSE - Other Index Options'!$C:$C,$A151,'BSE - Other Index Options'!$B:$B,G$147,'BSE - Other Index Options'!$H:$H,"Monthly*"))</f>
        <v/>
      </c>
      <c r="H151" s="26">
        <f t="shared" si="6"/>
        <v>1213.69</v>
      </c>
    </row>
    <row r="152" spans="1:8">
      <c r="A152" t="s">
        <v>14</v>
      </c>
      <c r="B152" s="26">
        <f>IF(SUMIFS('BSE - SENSEX Index Options'!$L:$L,'BSE - SENSEX Index Options'!$C:$C,$A152,'BSE - SENSEX Index Options'!$B:$B,B$147,'BSE - SENSEX Index Options'!$H:$H,"Monthly*")+SUMIFS('BSE - Other Index Options'!$L:$L,'BSE - Other Index Options'!$C:$C,$A152,'BSE - Other Index Options'!$B:$B,B$147,'BSE - Other Index Options'!$H:$H,"Monthly*")=0,"",SUMIFS('BSE - SENSEX Index Options'!$L:$L,'BSE - SENSEX Index Options'!$C:$C,$A152,'BSE - SENSEX Index Options'!$B:$B,B$147,'BSE - SENSEX Index Options'!$H:$H,"Monthly*")+SUMIFS('BSE - Other Index Options'!$L:$L,'BSE - Other Index Options'!$C:$C,$A152,'BSE - Other Index Options'!$B:$B,B$147,'BSE - Other Index Options'!$H:$H,"Monthly*"))</f>
        <v>19.52</v>
      </c>
      <c r="C152" s="26">
        <f>IF(SUMIFS('BSE - SENSEX Index Options'!$L:$L,'BSE - SENSEX Index Options'!$C:$C,$A152,'BSE - SENSEX Index Options'!$B:$B,C$147,'BSE - SENSEX Index Options'!$H:$H,"Monthly*")+SUMIFS('BSE - Other Index Options'!$L:$L,'BSE - Other Index Options'!$C:$C,$A152,'BSE - Other Index Options'!$B:$B,C$147,'BSE - Other Index Options'!$H:$H,"Monthly*")=0,"",SUMIFS('BSE - SENSEX Index Options'!$L:$L,'BSE - SENSEX Index Options'!$C:$C,$A152,'BSE - SENSEX Index Options'!$B:$B,C$147,'BSE - SENSEX Index Options'!$H:$H,"Monthly*")+SUMIFS('BSE - Other Index Options'!$L:$L,'BSE - Other Index Options'!$C:$C,$A152,'BSE - Other Index Options'!$B:$B,C$147,'BSE - Other Index Options'!$H:$H,"Monthly*"))</f>
        <v>13.46</v>
      </c>
      <c r="D152" s="26" t="str">
        <f>IF(SUMIFS('BSE - SENSEX Index Options'!$L:$L,'BSE - SENSEX Index Options'!$C:$C,$A152,'BSE - SENSEX Index Options'!$B:$B,D$147,'BSE - SENSEX Index Options'!$H:$H,"Monthly*")+SUMIFS('BSE - Other Index Options'!$L:$L,'BSE - Other Index Options'!$C:$C,$A152,'BSE - Other Index Options'!$B:$B,D$147,'BSE - Other Index Options'!$H:$H,"Monthly*")=0,"",SUMIFS('BSE - SENSEX Index Options'!$L:$L,'BSE - SENSEX Index Options'!$C:$C,$A152,'BSE - SENSEX Index Options'!$B:$B,D$147,'BSE - SENSEX Index Options'!$H:$H,"Monthly*")+SUMIFS('BSE - Other Index Options'!$L:$L,'BSE - Other Index Options'!$C:$C,$A152,'BSE - Other Index Options'!$B:$B,D$147,'BSE - Other Index Options'!$H:$H,"Monthly*"))</f>
        <v/>
      </c>
      <c r="E152" s="26" t="str">
        <f>IF(SUMIFS('BSE - SENSEX Index Options'!$L:$L,'BSE - SENSEX Index Options'!$C:$C,$A152,'BSE - SENSEX Index Options'!$B:$B,E$147,'BSE - SENSEX Index Options'!$H:$H,"Monthly*")+SUMIFS('BSE - Other Index Options'!$L:$L,'BSE - Other Index Options'!$C:$C,$A152,'BSE - Other Index Options'!$B:$B,E$147,'BSE - Other Index Options'!$H:$H,"Monthly*")=0,"",SUMIFS('BSE - SENSEX Index Options'!$L:$L,'BSE - SENSEX Index Options'!$C:$C,$A152,'BSE - SENSEX Index Options'!$B:$B,E$147,'BSE - SENSEX Index Options'!$H:$H,"Monthly*")+SUMIFS('BSE - Other Index Options'!$L:$L,'BSE - Other Index Options'!$C:$C,$A152,'BSE - Other Index Options'!$B:$B,E$147,'BSE - Other Index Options'!$H:$H,"Monthly*"))</f>
        <v/>
      </c>
      <c r="F152" s="26" t="str">
        <f>IF(SUMIFS('BSE - SENSEX Index Options'!$L:$L,'BSE - SENSEX Index Options'!$C:$C,$A152,'BSE - SENSEX Index Options'!$B:$B,F$147,'BSE - SENSEX Index Options'!$H:$H,"Monthly*")+SUMIFS('BSE - Other Index Options'!$L:$L,'BSE - Other Index Options'!$C:$C,$A152,'BSE - Other Index Options'!$B:$B,F$147,'BSE - Other Index Options'!$H:$H,"Monthly*")=0,"",SUMIFS('BSE - SENSEX Index Options'!$L:$L,'BSE - SENSEX Index Options'!$C:$C,$A152,'BSE - SENSEX Index Options'!$B:$B,F$147,'BSE - SENSEX Index Options'!$H:$H,"Monthly*")+SUMIFS('BSE - Other Index Options'!$L:$L,'BSE - Other Index Options'!$C:$C,$A152,'BSE - Other Index Options'!$B:$B,F$147,'BSE - Other Index Options'!$H:$H,"Monthly*"))</f>
        <v/>
      </c>
      <c r="G152" s="26" t="str">
        <f>IF(SUMIFS('BSE - SENSEX Index Options'!$L:$L,'BSE - SENSEX Index Options'!$C:$C,$A152,'BSE - SENSEX Index Options'!$B:$B,G$147,'BSE - SENSEX Index Options'!$H:$H,"Monthly*")+SUMIFS('BSE - Other Index Options'!$L:$L,'BSE - Other Index Options'!$C:$C,$A152,'BSE - Other Index Options'!$B:$B,G$147,'BSE - Other Index Options'!$H:$H,"Monthly*")=0,"",SUMIFS('BSE - SENSEX Index Options'!$L:$L,'BSE - SENSEX Index Options'!$C:$C,$A152,'BSE - SENSEX Index Options'!$B:$B,G$147,'BSE - SENSEX Index Options'!$H:$H,"Monthly*")+SUMIFS('BSE - Other Index Options'!$L:$L,'BSE - Other Index Options'!$C:$C,$A152,'BSE - Other Index Options'!$B:$B,G$147,'BSE - Other Index Options'!$H:$H,"Monthly*"))</f>
        <v/>
      </c>
      <c r="H152" s="26">
        <f t="shared" si="6"/>
        <v>32.980000000000004</v>
      </c>
    </row>
    <row r="153" spans="1:8">
      <c r="A153" t="s">
        <v>15</v>
      </c>
      <c r="B153" s="26">
        <f>IF(SUMIFS('BSE - SENSEX Index Options'!$L:$L,'BSE - SENSEX Index Options'!$C:$C,$A153,'BSE - SENSEX Index Options'!$B:$B,B$147,'BSE - SENSEX Index Options'!$H:$H,"Monthly*")+SUMIFS('BSE - Other Index Options'!$L:$L,'BSE - Other Index Options'!$C:$C,$A153,'BSE - Other Index Options'!$B:$B,B$147,'BSE - Other Index Options'!$H:$H,"Monthly*")=0,"",SUMIFS('BSE - SENSEX Index Options'!$L:$L,'BSE - SENSEX Index Options'!$C:$C,$A153,'BSE - SENSEX Index Options'!$B:$B,B$147,'BSE - SENSEX Index Options'!$H:$H,"Monthly*")+SUMIFS('BSE - Other Index Options'!$L:$L,'BSE - Other Index Options'!$C:$C,$A153,'BSE - Other Index Options'!$B:$B,B$147,'BSE - Other Index Options'!$H:$H,"Monthly*"))</f>
        <v>27.46</v>
      </c>
      <c r="C153" s="26">
        <f>IF(SUMIFS('BSE - SENSEX Index Options'!$L:$L,'BSE - SENSEX Index Options'!$C:$C,$A153,'BSE - SENSEX Index Options'!$B:$B,C$147,'BSE - SENSEX Index Options'!$H:$H,"Monthly*")+SUMIFS('BSE - Other Index Options'!$L:$L,'BSE - Other Index Options'!$C:$C,$A153,'BSE - Other Index Options'!$B:$B,C$147,'BSE - Other Index Options'!$H:$H,"Monthly*")=0,"",SUMIFS('BSE - SENSEX Index Options'!$L:$L,'BSE - SENSEX Index Options'!$C:$C,$A153,'BSE - SENSEX Index Options'!$B:$B,C$147,'BSE - SENSEX Index Options'!$H:$H,"Monthly*")+SUMIFS('BSE - Other Index Options'!$L:$L,'BSE - Other Index Options'!$C:$C,$A153,'BSE - Other Index Options'!$B:$B,C$147,'BSE - Other Index Options'!$H:$H,"Monthly*"))</f>
        <v>28.65</v>
      </c>
      <c r="D153" s="26">
        <f>IF(SUMIFS('BSE - SENSEX Index Options'!$L:$L,'BSE - SENSEX Index Options'!$C:$C,$A153,'BSE - SENSEX Index Options'!$B:$B,D$147,'BSE - SENSEX Index Options'!$H:$H,"Monthly*")+SUMIFS('BSE - Other Index Options'!$L:$L,'BSE - Other Index Options'!$C:$C,$A153,'BSE - Other Index Options'!$B:$B,D$147,'BSE - Other Index Options'!$H:$H,"Monthly*")=0,"",SUMIFS('BSE - SENSEX Index Options'!$L:$L,'BSE - SENSEX Index Options'!$C:$C,$A153,'BSE - SENSEX Index Options'!$B:$B,D$147,'BSE - SENSEX Index Options'!$H:$H,"Monthly*")+SUMIFS('BSE - Other Index Options'!$L:$L,'BSE - Other Index Options'!$C:$C,$A153,'BSE - Other Index Options'!$B:$B,D$147,'BSE - Other Index Options'!$H:$H,"Monthly*"))</f>
        <v>35.96</v>
      </c>
      <c r="E153" s="26" t="str">
        <f>IF(SUMIFS('BSE - SENSEX Index Options'!$L:$L,'BSE - SENSEX Index Options'!$C:$C,$A153,'BSE - SENSEX Index Options'!$B:$B,E$147,'BSE - SENSEX Index Options'!$H:$H,"Monthly*")+SUMIFS('BSE - Other Index Options'!$L:$L,'BSE - Other Index Options'!$C:$C,$A153,'BSE - Other Index Options'!$B:$B,E$147,'BSE - Other Index Options'!$H:$H,"Monthly*")=0,"",SUMIFS('BSE - SENSEX Index Options'!$L:$L,'BSE - SENSEX Index Options'!$C:$C,$A153,'BSE - SENSEX Index Options'!$B:$B,E$147,'BSE - SENSEX Index Options'!$H:$H,"Monthly*")+SUMIFS('BSE - Other Index Options'!$L:$L,'BSE - Other Index Options'!$C:$C,$A153,'BSE - Other Index Options'!$B:$B,E$147,'BSE - Other Index Options'!$H:$H,"Monthly*"))</f>
        <v/>
      </c>
      <c r="F153" s="26">
        <f>IF(SUMIFS('BSE - SENSEX Index Options'!$L:$L,'BSE - SENSEX Index Options'!$C:$C,$A153,'BSE - SENSEX Index Options'!$B:$B,F$147,'BSE - SENSEX Index Options'!$H:$H,"Monthly*")+SUMIFS('BSE - Other Index Options'!$L:$L,'BSE - Other Index Options'!$C:$C,$A153,'BSE - Other Index Options'!$B:$B,F$147,'BSE - Other Index Options'!$H:$H,"Monthly*")=0,"",SUMIFS('BSE - SENSEX Index Options'!$L:$L,'BSE - SENSEX Index Options'!$C:$C,$A153,'BSE - SENSEX Index Options'!$B:$B,F$147,'BSE - SENSEX Index Options'!$H:$H,"Monthly*")+SUMIFS('BSE - Other Index Options'!$L:$L,'BSE - Other Index Options'!$C:$C,$A153,'BSE - Other Index Options'!$B:$B,F$147,'BSE - Other Index Options'!$H:$H,"Monthly*"))</f>
        <v>26.2</v>
      </c>
      <c r="G153" s="26" t="str">
        <f>IF(SUMIFS('BSE - SENSEX Index Options'!$L:$L,'BSE - SENSEX Index Options'!$C:$C,$A153,'BSE - SENSEX Index Options'!$B:$B,G$147,'BSE - SENSEX Index Options'!$H:$H,"Monthly*")+SUMIFS('BSE - Other Index Options'!$L:$L,'BSE - Other Index Options'!$C:$C,$A153,'BSE - Other Index Options'!$B:$B,G$147,'BSE - Other Index Options'!$H:$H,"Monthly*")=0,"",SUMIFS('BSE - SENSEX Index Options'!$L:$L,'BSE - SENSEX Index Options'!$C:$C,$A153,'BSE - SENSEX Index Options'!$B:$B,G$147,'BSE - SENSEX Index Options'!$H:$H,"Monthly*")+SUMIFS('BSE - Other Index Options'!$L:$L,'BSE - Other Index Options'!$C:$C,$A153,'BSE - Other Index Options'!$B:$B,G$147,'BSE - Other Index Options'!$H:$H,"Monthly*"))</f>
        <v/>
      </c>
      <c r="H153" s="26">
        <f t="shared" si="6"/>
        <v>118.27</v>
      </c>
    </row>
    <row r="154" spans="1:8">
      <c r="A154" t="s">
        <v>16</v>
      </c>
      <c r="B154" s="26">
        <f>IF(SUMIFS('BSE - SENSEX Index Options'!$L:$L,'BSE - SENSEX Index Options'!$C:$C,$A154,'BSE - SENSEX Index Options'!$B:$B,B$147,'BSE - SENSEX Index Options'!$H:$H,"Monthly*")+SUMIFS('BSE - Other Index Options'!$L:$L,'BSE - Other Index Options'!$C:$C,$A154,'BSE - Other Index Options'!$B:$B,B$147,'BSE - Other Index Options'!$H:$H,"Monthly*")=0,"",SUMIFS('BSE - SENSEX Index Options'!$L:$L,'BSE - SENSEX Index Options'!$C:$C,$A154,'BSE - SENSEX Index Options'!$B:$B,B$147,'BSE - SENSEX Index Options'!$H:$H,"Monthly*")+SUMIFS('BSE - Other Index Options'!$L:$L,'BSE - Other Index Options'!$C:$C,$A154,'BSE - Other Index Options'!$B:$B,B$147,'BSE - Other Index Options'!$H:$H,"Monthly*"))</f>
        <v>35.72</v>
      </c>
      <c r="C154" s="26">
        <f>IF(SUMIFS('BSE - SENSEX Index Options'!$L:$L,'BSE - SENSEX Index Options'!$C:$C,$A154,'BSE - SENSEX Index Options'!$B:$B,C$147,'BSE - SENSEX Index Options'!$H:$H,"Monthly*")+SUMIFS('BSE - Other Index Options'!$L:$L,'BSE - Other Index Options'!$C:$C,$A154,'BSE - Other Index Options'!$B:$B,C$147,'BSE - Other Index Options'!$H:$H,"Monthly*")=0,"",SUMIFS('BSE - SENSEX Index Options'!$L:$L,'BSE - SENSEX Index Options'!$C:$C,$A154,'BSE - SENSEX Index Options'!$B:$B,C$147,'BSE - SENSEX Index Options'!$H:$H,"Monthly*")+SUMIFS('BSE - Other Index Options'!$L:$L,'BSE - Other Index Options'!$C:$C,$A154,'BSE - Other Index Options'!$B:$B,C$147,'BSE - Other Index Options'!$H:$H,"Monthly*"))</f>
        <v>49.180000000000007</v>
      </c>
      <c r="D154" s="26">
        <f>IF(SUMIFS('BSE - SENSEX Index Options'!$L:$L,'BSE - SENSEX Index Options'!$C:$C,$A154,'BSE - SENSEX Index Options'!$B:$B,D$147,'BSE - SENSEX Index Options'!$H:$H,"Monthly*")+SUMIFS('BSE - Other Index Options'!$L:$L,'BSE - Other Index Options'!$C:$C,$A154,'BSE - Other Index Options'!$B:$B,D$147,'BSE - Other Index Options'!$H:$H,"Monthly*")=0,"",SUMIFS('BSE - SENSEX Index Options'!$L:$L,'BSE - SENSEX Index Options'!$C:$C,$A154,'BSE - SENSEX Index Options'!$B:$B,D$147,'BSE - SENSEX Index Options'!$H:$H,"Monthly*")+SUMIFS('BSE - Other Index Options'!$L:$L,'BSE - Other Index Options'!$C:$C,$A154,'BSE - Other Index Options'!$B:$B,D$147,'BSE - Other Index Options'!$H:$H,"Monthly*"))</f>
        <v>26.299999999999997</v>
      </c>
      <c r="E154" s="26">
        <f>IF(SUMIFS('BSE - SENSEX Index Options'!$L:$L,'BSE - SENSEX Index Options'!$C:$C,$A154,'BSE - SENSEX Index Options'!$B:$B,E$147,'BSE - SENSEX Index Options'!$H:$H,"Monthly*")+SUMIFS('BSE - Other Index Options'!$L:$L,'BSE - Other Index Options'!$C:$C,$A154,'BSE - Other Index Options'!$B:$B,E$147,'BSE - Other Index Options'!$H:$H,"Monthly*")=0,"",SUMIFS('BSE - SENSEX Index Options'!$L:$L,'BSE - SENSEX Index Options'!$C:$C,$A154,'BSE - SENSEX Index Options'!$B:$B,E$147,'BSE - SENSEX Index Options'!$H:$H,"Monthly*")+SUMIFS('BSE - Other Index Options'!$L:$L,'BSE - Other Index Options'!$C:$C,$A154,'BSE - Other Index Options'!$B:$B,E$147,'BSE - Other Index Options'!$H:$H,"Monthly*"))</f>
        <v>24.73</v>
      </c>
      <c r="F154" s="26">
        <f>IF(SUMIFS('BSE - SENSEX Index Options'!$L:$L,'BSE - SENSEX Index Options'!$C:$C,$A154,'BSE - SENSEX Index Options'!$B:$B,F$147,'BSE - SENSEX Index Options'!$H:$H,"Monthly*")+SUMIFS('BSE - Other Index Options'!$L:$L,'BSE - Other Index Options'!$C:$C,$A154,'BSE - Other Index Options'!$B:$B,F$147,'BSE - Other Index Options'!$H:$H,"Monthly*")=0,"",SUMIFS('BSE - SENSEX Index Options'!$L:$L,'BSE - SENSEX Index Options'!$C:$C,$A154,'BSE - SENSEX Index Options'!$B:$B,F$147,'BSE - SENSEX Index Options'!$H:$H,"Monthly*")+SUMIFS('BSE - Other Index Options'!$L:$L,'BSE - Other Index Options'!$C:$C,$A154,'BSE - Other Index Options'!$B:$B,F$147,'BSE - Other Index Options'!$H:$H,"Monthly*"))</f>
        <v>40.1</v>
      </c>
      <c r="G154" s="26" t="str">
        <f>IF(SUMIFS('BSE - SENSEX Index Options'!$L:$L,'BSE - SENSEX Index Options'!$C:$C,$A154,'BSE - SENSEX Index Options'!$B:$B,G$147,'BSE - SENSEX Index Options'!$H:$H,"Monthly*")+SUMIFS('BSE - Other Index Options'!$L:$L,'BSE - Other Index Options'!$C:$C,$A154,'BSE - Other Index Options'!$B:$B,G$147,'BSE - Other Index Options'!$H:$H,"Monthly*")=0,"",SUMIFS('BSE - SENSEX Index Options'!$L:$L,'BSE - SENSEX Index Options'!$C:$C,$A154,'BSE - SENSEX Index Options'!$B:$B,G$147,'BSE - SENSEX Index Options'!$H:$H,"Monthly*")+SUMIFS('BSE - Other Index Options'!$L:$L,'BSE - Other Index Options'!$C:$C,$A154,'BSE - Other Index Options'!$B:$B,G$147,'BSE - Other Index Options'!$H:$H,"Monthly*"))</f>
        <v/>
      </c>
      <c r="H154" s="26">
        <f t="shared" si="6"/>
        <v>176.03</v>
      </c>
    </row>
    <row r="155" spans="1:8">
      <c r="A155" t="s">
        <v>17</v>
      </c>
      <c r="B155" s="26">
        <f>IF(SUMIFS('BSE - SENSEX Index Options'!$L:$L,'BSE - SENSEX Index Options'!$C:$C,$A155,'BSE - SENSEX Index Options'!$B:$B,B$147,'BSE - SENSEX Index Options'!$H:$H,"Monthly*")+SUMIFS('BSE - Other Index Options'!$L:$L,'BSE - Other Index Options'!$C:$C,$A155,'BSE - Other Index Options'!$B:$B,B$147,'BSE - Other Index Options'!$H:$H,"Monthly*")=0,"",SUMIFS('BSE - SENSEX Index Options'!$L:$L,'BSE - SENSEX Index Options'!$C:$C,$A155,'BSE - SENSEX Index Options'!$B:$B,B$147,'BSE - SENSEX Index Options'!$H:$H,"Monthly*")+SUMIFS('BSE - Other Index Options'!$L:$L,'BSE - Other Index Options'!$C:$C,$A155,'BSE - Other Index Options'!$B:$B,B$147,'BSE - Other Index Options'!$H:$H,"Monthly*"))</f>
        <v>257.07</v>
      </c>
      <c r="C155" s="26">
        <f>IF(SUMIFS('BSE - SENSEX Index Options'!$L:$L,'BSE - SENSEX Index Options'!$C:$C,$A155,'BSE - SENSEX Index Options'!$B:$B,C$147,'BSE - SENSEX Index Options'!$H:$H,"Monthly*")+SUMIFS('BSE - Other Index Options'!$L:$L,'BSE - Other Index Options'!$C:$C,$A155,'BSE - Other Index Options'!$B:$B,C$147,'BSE - Other Index Options'!$H:$H,"Monthly*")=0,"",SUMIFS('BSE - SENSEX Index Options'!$L:$L,'BSE - SENSEX Index Options'!$C:$C,$A155,'BSE - SENSEX Index Options'!$B:$B,C$147,'BSE - SENSEX Index Options'!$H:$H,"Monthly*")+SUMIFS('BSE - Other Index Options'!$L:$L,'BSE - Other Index Options'!$C:$C,$A155,'BSE - Other Index Options'!$B:$B,C$147,'BSE - Other Index Options'!$H:$H,"Monthly*"))</f>
        <v>69.34</v>
      </c>
      <c r="D155" s="26">
        <f>IF(SUMIFS('BSE - SENSEX Index Options'!$L:$L,'BSE - SENSEX Index Options'!$C:$C,$A155,'BSE - SENSEX Index Options'!$B:$B,D$147,'BSE - SENSEX Index Options'!$H:$H,"Monthly*")+SUMIFS('BSE - Other Index Options'!$L:$L,'BSE - Other Index Options'!$C:$C,$A155,'BSE - Other Index Options'!$B:$B,D$147,'BSE - Other Index Options'!$H:$H,"Monthly*")=0,"",SUMIFS('BSE - SENSEX Index Options'!$L:$L,'BSE - SENSEX Index Options'!$C:$C,$A155,'BSE - SENSEX Index Options'!$B:$B,D$147,'BSE - SENSEX Index Options'!$H:$H,"Monthly*")+SUMIFS('BSE - Other Index Options'!$L:$L,'BSE - Other Index Options'!$C:$C,$A155,'BSE - Other Index Options'!$B:$B,D$147,'BSE - Other Index Options'!$H:$H,"Monthly*"))</f>
        <v>62.76</v>
      </c>
      <c r="E155" s="26">
        <f>IF(SUMIFS('BSE - SENSEX Index Options'!$L:$L,'BSE - SENSEX Index Options'!$C:$C,$A155,'BSE - SENSEX Index Options'!$B:$B,E$147,'BSE - SENSEX Index Options'!$H:$H,"Monthly*")+SUMIFS('BSE - Other Index Options'!$L:$L,'BSE - Other Index Options'!$C:$C,$A155,'BSE - Other Index Options'!$B:$B,E$147,'BSE - Other Index Options'!$H:$H,"Monthly*")=0,"",SUMIFS('BSE - SENSEX Index Options'!$L:$L,'BSE - SENSEX Index Options'!$C:$C,$A155,'BSE - SENSEX Index Options'!$B:$B,E$147,'BSE - SENSEX Index Options'!$H:$H,"Monthly*")+SUMIFS('BSE - Other Index Options'!$L:$L,'BSE - Other Index Options'!$C:$C,$A155,'BSE - Other Index Options'!$B:$B,E$147,'BSE - Other Index Options'!$H:$H,"Monthly*"))</f>
        <v>99.33</v>
      </c>
      <c r="F155" s="26">
        <f>IF(SUMIFS('BSE - SENSEX Index Options'!$L:$L,'BSE - SENSEX Index Options'!$C:$C,$A155,'BSE - SENSEX Index Options'!$B:$B,F$147,'BSE - SENSEX Index Options'!$H:$H,"Monthly*")+SUMIFS('BSE - Other Index Options'!$L:$L,'BSE - Other Index Options'!$C:$C,$A155,'BSE - Other Index Options'!$B:$B,F$147,'BSE - Other Index Options'!$H:$H,"Monthly*")=0,"",SUMIFS('BSE - SENSEX Index Options'!$L:$L,'BSE - SENSEX Index Options'!$C:$C,$A155,'BSE - SENSEX Index Options'!$B:$B,F$147,'BSE - SENSEX Index Options'!$H:$H,"Monthly*")+SUMIFS('BSE - Other Index Options'!$L:$L,'BSE - Other Index Options'!$C:$C,$A155,'BSE - Other Index Options'!$B:$B,F$147,'BSE - Other Index Options'!$H:$H,"Monthly*"))</f>
        <v>220.67</v>
      </c>
      <c r="G155" s="26" t="str">
        <f>IF(SUMIFS('BSE - SENSEX Index Options'!$L:$L,'BSE - SENSEX Index Options'!$C:$C,$A155,'BSE - SENSEX Index Options'!$B:$B,G$147,'BSE - SENSEX Index Options'!$H:$H,"Monthly*")+SUMIFS('BSE - Other Index Options'!$L:$L,'BSE - Other Index Options'!$C:$C,$A155,'BSE - Other Index Options'!$B:$B,G$147,'BSE - Other Index Options'!$H:$H,"Monthly*")=0,"",SUMIFS('BSE - SENSEX Index Options'!$L:$L,'BSE - SENSEX Index Options'!$C:$C,$A155,'BSE - SENSEX Index Options'!$B:$B,G$147,'BSE - SENSEX Index Options'!$H:$H,"Monthly*")+SUMIFS('BSE - Other Index Options'!$L:$L,'BSE - Other Index Options'!$C:$C,$A155,'BSE - Other Index Options'!$B:$B,G$147,'BSE - Other Index Options'!$H:$H,"Monthly*"))</f>
        <v/>
      </c>
      <c r="H155" s="26">
        <f t="shared" si="6"/>
        <v>709.17</v>
      </c>
    </row>
    <row r="156" spans="1:8">
      <c r="A156" t="s">
        <v>18</v>
      </c>
      <c r="B156" s="26">
        <f>IF(SUMIFS('BSE - SENSEX Index Options'!$L:$L,'BSE - SENSEX Index Options'!$C:$C,$A156,'BSE - SENSEX Index Options'!$B:$B,B$147,'BSE - SENSEX Index Options'!$H:$H,"Monthly*")+SUMIFS('BSE - Other Index Options'!$L:$L,'BSE - Other Index Options'!$C:$C,$A156,'BSE - Other Index Options'!$B:$B,B$147,'BSE - Other Index Options'!$H:$H,"Monthly*")=0,"",SUMIFS('BSE - SENSEX Index Options'!$L:$L,'BSE - SENSEX Index Options'!$C:$C,$A156,'BSE - SENSEX Index Options'!$B:$B,B$147,'BSE - SENSEX Index Options'!$H:$H,"Monthly*")+SUMIFS('BSE - Other Index Options'!$L:$L,'BSE - Other Index Options'!$C:$C,$A156,'BSE - Other Index Options'!$B:$B,B$147,'BSE - Other Index Options'!$H:$H,"Monthly*"))</f>
        <v>24.509999999999998</v>
      </c>
      <c r="C156" s="26">
        <f>IF(SUMIFS('BSE - SENSEX Index Options'!$L:$L,'BSE - SENSEX Index Options'!$C:$C,$A156,'BSE - SENSEX Index Options'!$B:$B,C$147,'BSE - SENSEX Index Options'!$H:$H,"Monthly*")+SUMIFS('BSE - Other Index Options'!$L:$L,'BSE - Other Index Options'!$C:$C,$A156,'BSE - Other Index Options'!$B:$B,C$147,'BSE - Other Index Options'!$H:$H,"Monthly*")=0,"",SUMIFS('BSE - SENSEX Index Options'!$L:$L,'BSE - SENSEX Index Options'!$C:$C,$A156,'BSE - SENSEX Index Options'!$B:$B,C$147,'BSE - SENSEX Index Options'!$H:$H,"Monthly*")+SUMIFS('BSE - Other Index Options'!$L:$L,'BSE - Other Index Options'!$C:$C,$A156,'BSE - Other Index Options'!$B:$B,C$147,'BSE - Other Index Options'!$H:$H,"Monthly*"))</f>
        <v>42</v>
      </c>
      <c r="D156" s="26" t="str">
        <f>IF(SUMIFS('BSE - SENSEX Index Options'!$L:$L,'BSE - SENSEX Index Options'!$C:$C,$A156,'BSE - SENSEX Index Options'!$B:$B,D$147,'BSE - SENSEX Index Options'!$H:$H,"Monthly*")+SUMIFS('BSE - Other Index Options'!$L:$L,'BSE - Other Index Options'!$C:$C,$A156,'BSE - Other Index Options'!$B:$B,D$147,'BSE - Other Index Options'!$H:$H,"Monthly*")=0,"",SUMIFS('BSE - SENSEX Index Options'!$L:$L,'BSE - SENSEX Index Options'!$C:$C,$A156,'BSE - SENSEX Index Options'!$B:$B,D$147,'BSE - SENSEX Index Options'!$H:$H,"Monthly*")+SUMIFS('BSE - Other Index Options'!$L:$L,'BSE - Other Index Options'!$C:$C,$A156,'BSE - Other Index Options'!$B:$B,D$147,'BSE - Other Index Options'!$H:$H,"Monthly*"))</f>
        <v/>
      </c>
      <c r="E156" s="26">
        <f>IF(SUMIFS('BSE - SENSEX Index Options'!$L:$L,'BSE - SENSEX Index Options'!$C:$C,$A156,'BSE - SENSEX Index Options'!$B:$B,E$147,'BSE - SENSEX Index Options'!$H:$H,"Monthly*")+SUMIFS('BSE - Other Index Options'!$L:$L,'BSE - Other Index Options'!$C:$C,$A156,'BSE - Other Index Options'!$B:$B,E$147,'BSE - Other Index Options'!$H:$H,"Monthly*")=0,"",SUMIFS('BSE - SENSEX Index Options'!$L:$L,'BSE - SENSEX Index Options'!$C:$C,$A156,'BSE - SENSEX Index Options'!$B:$B,E$147,'BSE - SENSEX Index Options'!$H:$H,"Monthly*")+SUMIFS('BSE - Other Index Options'!$L:$L,'BSE - Other Index Options'!$C:$C,$A156,'BSE - Other Index Options'!$B:$B,E$147,'BSE - Other Index Options'!$H:$H,"Monthly*"))</f>
        <v>1359.8300000000002</v>
      </c>
      <c r="F156" s="26">
        <f>IF(SUMIFS('BSE - SENSEX Index Options'!$L:$L,'BSE - SENSEX Index Options'!$C:$C,$A156,'BSE - SENSEX Index Options'!$B:$B,F$147,'BSE - SENSEX Index Options'!$H:$H,"Monthly*")+SUMIFS('BSE - Other Index Options'!$L:$L,'BSE - Other Index Options'!$C:$C,$A156,'BSE - Other Index Options'!$B:$B,F$147,'BSE - Other Index Options'!$H:$H,"Monthly*")=0,"",SUMIFS('BSE - SENSEX Index Options'!$L:$L,'BSE - SENSEX Index Options'!$C:$C,$A156,'BSE - SENSEX Index Options'!$B:$B,F$147,'BSE - SENSEX Index Options'!$H:$H,"Monthly*")+SUMIFS('BSE - Other Index Options'!$L:$L,'BSE - Other Index Options'!$C:$C,$A156,'BSE - Other Index Options'!$B:$B,F$147,'BSE - Other Index Options'!$H:$H,"Monthly*"))</f>
        <v>23.93</v>
      </c>
      <c r="G156" s="26" t="str">
        <f>IF(SUMIFS('BSE - SENSEX Index Options'!$L:$L,'BSE - SENSEX Index Options'!$C:$C,$A156,'BSE - SENSEX Index Options'!$B:$B,G$147,'BSE - SENSEX Index Options'!$H:$H,"Monthly*")+SUMIFS('BSE - Other Index Options'!$L:$L,'BSE - Other Index Options'!$C:$C,$A156,'BSE - Other Index Options'!$B:$B,G$147,'BSE - Other Index Options'!$H:$H,"Monthly*")=0,"",SUMIFS('BSE - SENSEX Index Options'!$L:$L,'BSE - SENSEX Index Options'!$C:$C,$A156,'BSE - SENSEX Index Options'!$B:$B,G$147,'BSE - SENSEX Index Options'!$H:$H,"Monthly*")+SUMIFS('BSE - Other Index Options'!$L:$L,'BSE - Other Index Options'!$C:$C,$A156,'BSE - Other Index Options'!$B:$B,G$147,'BSE - Other Index Options'!$H:$H,"Monthly*"))</f>
        <v/>
      </c>
      <c r="H156" s="26">
        <f t="shared" si="6"/>
        <v>1450.2700000000002</v>
      </c>
    </row>
    <row r="157" spans="1:8">
      <c r="A157" t="s">
        <v>19</v>
      </c>
      <c r="B157" s="26" t="str">
        <f>IF(SUMIFS('BSE - SENSEX Index Options'!$L:$L,'BSE - SENSEX Index Options'!$C:$C,$A157,'BSE - SENSEX Index Options'!$B:$B,B$147,'BSE - SENSEX Index Options'!$H:$H,"Monthly*")+SUMIFS('BSE - Other Index Options'!$L:$L,'BSE - Other Index Options'!$C:$C,$A157,'BSE - Other Index Options'!$B:$B,B$147,'BSE - Other Index Options'!$H:$H,"Monthly*")=0,"",SUMIFS('BSE - SENSEX Index Options'!$L:$L,'BSE - SENSEX Index Options'!$C:$C,$A157,'BSE - SENSEX Index Options'!$B:$B,B$147,'BSE - SENSEX Index Options'!$H:$H,"Monthly*")+SUMIFS('BSE - Other Index Options'!$L:$L,'BSE - Other Index Options'!$C:$C,$A157,'BSE - Other Index Options'!$B:$B,B$147,'BSE - Other Index Options'!$H:$H,"Monthly*"))</f>
        <v/>
      </c>
      <c r="C157" s="26" t="str">
        <f>IF(SUMIFS('BSE - SENSEX Index Options'!$L:$L,'BSE - SENSEX Index Options'!$C:$C,$A157,'BSE - SENSEX Index Options'!$B:$B,C$147,'BSE - SENSEX Index Options'!$H:$H,"Monthly*")+SUMIFS('BSE - Other Index Options'!$L:$L,'BSE - Other Index Options'!$C:$C,$A157,'BSE - Other Index Options'!$B:$B,C$147,'BSE - Other Index Options'!$H:$H,"Monthly*")=0,"",SUMIFS('BSE - SENSEX Index Options'!$L:$L,'BSE - SENSEX Index Options'!$C:$C,$A157,'BSE - SENSEX Index Options'!$B:$B,C$147,'BSE - SENSEX Index Options'!$H:$H,"Monthly*")+SUMIFS('BSE - Other Index Options'!$L:$L,'BSE - Other Index Options'!$C:$C,$A157,'BSE - Other Index Options'!$B:$B,C$147,'BSE - Other Index Options'!$H:$H,"Monthly*"))</f>
        <v/>
      </c>
      <c r="D157" s="26">
        <f>IF(SUMIFS('BSE - SENSEX Index Options'!$L:$L,'BSE - SENSEX Index Options'!$C:$C,$A157,'BSE - SENSEX Index Options'!$B:$B,D$147,'BSE - SENSEX Index Options'!$H:$H,"Monthly*")+SUMIFS('BSE - Other Index Options'!$L:$L,'BSE - Other Index Options'!$C:$C,$A157,'BSE - Other Index Options'!$B:$B,D$147,'BSE - Other Index Options'!$H:$H,"Monthly*")=0,"",SUMIFS('BSE - SENSEX Index Options'!$L:$L,'BSE - SENSEX Index Options'!$C:$C,$A157,'BSE - SENSEX Index Options'!$B:$B,D$147,'BSE - SENSEX Index Options'!$H:$H,"Monthly*")+SUMIFS('BSE - Other Index Options'!$L:$L,'BSE - Other Index Options'!$C:$C,$A157,'BSE - Other Index Options'!$B:$B,D$147,'BSE - Other Index Options'!$H:$H,"Monthly*"))</f>
        <v>365.28</v>
      </c>
      <c r="E157" s="26">
        <f>IF(SUMIFS('BSE - SENSEX Index Options'!$L:$L,'BSE - SENSEX Index Options'!$C:$C,$A157,'BSE - SENSEX Index Options'!$B:$B,E$147,'BSE - SENSEX Index Options'!$H:$H,"Monthly*")+SUMIFS('BSE - Other Index Options'!$L:$L,'BSE - Other Index Options'!$C:$C,$A157,'BSE - Other Index Options'!$B:$B,E$147,'BSE - Other Index Options'!$H:$H,"Monthly*")=0,"",SUMIFS('BSE - SENSEX Index Options'!$L:$L,'BSE - SENSEX Index Options'!$C:$C,$A157,'BSE - SENSEX Index Options'!$B:$B,E$147,'BSE - SENSEX Index Options'!$H:$H,"Monthly*")+SUMIFS('BSE - Other Index Options'!$L:$L,'BSE - Other Index Options'!$C:$C,$A157,'BSE - Other Index Options'!$B:$B,E$147,'BSE - Other Index Options'!$H:$H,"Monthly*"))</f>
        <v>679.39</v>
      </c>
      <c r="F157" s="26">
        <f>IF(SUMIFS('BSE - SENSEX Index Options'!$L:$L,'BSE - SENSEX Index Options'!$C:$C,$A157,'BSE - SENSEX Index Options'!$B:$B,F$147,'BSE - SENSEX Index Options'!$H:$H,"Monthly*")+SUMIFS('BSE - Other Index Options'!$L:$L,'BSE - Other Index Options'!$C:$C,$A157,'BSE - Other Index Options'!$B:$B,F$147,'BSE - Other Index Options'!$H:$H,"Monthly*")=0,"",SUMIFS('BSE - SENSEX Index Options'!$L:$L,'BSE - SENSEX Index Options'!$C:$C,$A157,'BSE - SENSEX Index Options'!$B:$B,F$147,'BSE - SENSEX Index Options'!$H:$H,"Monthly*")+SUMIFS('BSE - Other Index Options'!$L:$L,'BSE - Other Index Options'!$C:$C,$A157,'BSE - Other Index Options'!$B:$B,F$147,'BSE - Other Index Options'!$H:$H,"Monthly*"))</f>
        <v>21.12</v>
      </c>
      <c r="G157" s="26" t="str">
        <f>IF(SUMIFS('BSE - SENSEX Index Options'!$L:$L,'BSE - SENSEX Index Options'!$C:$C,$A157,'BSE - SENSEX Index Options'!$B:$B,G$147,'BSE - SENSEX Index Options'!$H:$H,"Monthly*")+SUMIFS('BSE - Other Index Options'!$L:$L,'BSE - Other Index Options'!$C:$C,$A157,'BSE - Other Index Options'!$B:$B,G$147,'BSE - Other Index Options'!$H:$H,"Monthly*")=0,"",SUMIFS('BSE - SENSEX Index Options'!$L:$L,'BSE - SENSEX Index Options'!$C:$C,$A157,'BSE - SENSEX Index Options'!$B:$B,G$147,'BSE - SENSEX Index Options'!$H:$H,"Monthly*")+SUMIFS('BSE - Other Index Options'!$L:$L,'BSE - Other Index Options'!$C:$C,$A157,'BSE - Other Index Options'!$B:$B,G$147,'BSE - Other Index Options'!$H:$H,"Monthly*"))</f>
        <v/>
      </c>
      <c r="H157" s="26">
        <f t="shared" si="6"/>
        <v>1065.79</v>
      </c>
    </row>
    <row r="158" spans="1:8">
      <c r="A158" t="s">
        <v>20</v>
      </c>
      <c r="B158" s="26">
        <f>IF(SUMIFS('BSE - SENSEX Index Options'!$L:$L,'BSE - SENSEX Index Options'!$C:$C,$A158,'BSE - SENSEX Index Options'!$B:$B,B$147,'BSE - SENSEX Index Options'!$H:$H,"Monthly*")+SUMIFS('BSE - Other Index Options'!$L:$L,'BSE - Other Index Options'!$C:$C,$A158,'BSE - Other Index Options'!$B:$B,B$147,'BSE - Other Index Options'!$H:$H,"Monthly*")=0,"",SUMIFS('BSE - SENSEX Index Options'!$L:$L,'BSE - SENSEX Index Options'!$C:$C,$A158,'BSE - SENSEX Index Options'!$B:$B,B$147,'BSE - SENSEX Index Options'!$H:$H,"Monthly*")+SUMIFS('BSE - Other Index Options'!$L:$L,'BSE - Other Index Options'!$C:$C,$A158,'BSE - Other Index Options'!$B:$B,B$147,'BSE - Other Index Options'!$H:$H,"Monthly*"))</f>
        <v>21.97</v>
      </c>
      <c r="C158" s="26">
        <f>IF(SUMIFS('BSE - SENSEX Index Options'!$L:$L,'BSE - SENSEX Index Options'!$C:$C,$A158,'BSE - SENSEX Index Options'!$B:$B,C$147,'BSE - SENSEX Index Options'!$H:$H,"Monthly*")+SUMIFS('BSE - Other Index Options'!$L:$L,'BSE - Other Index Options'!$C:$C,$A158,'BSE - Other Index Options'!$B:$B,C$147,'BSE - Other Index Options'!$H:$H,"Monthly*")=0,"",SUMIFS('BSE - SENSEX Index Options'!$L:$L,'BSE - SENSEX Index Options'!$C:$C,$A158,'BSE - SENSEX Index Options'!$B:$B,C$147,'BSE - SENSEX Index Options'!$H:$H,"Monthly*")+SUMIFS('BSE - Other Index Options'!$L:$L,'BSE - Other Index Options'!$C:$C,$A158,'BSE - Other Index Options'!$B:$B,C$147,'BSE - Other Index Options'!$H:$H,"Monthly*"))</f>
        <v>30.18</v>
      </c>
      <c r="D158" s="26" t="str">
        <f>IF(SUMIFS('BSE - SENSEX Index Options'!$L:$L,'BSE - SENSEX Index Options'!$C:$C,$A158,'BSE - SENSEX Index Options'!$B:$B,D$147,'BSE - SENSEX Index Options'!$H:$H,"Monthly*")+SUMIFS('BSE - Other Index Options'!$L:$L,'BSE - Other Index Options'!$C:$C,$A158,'BSE - Other Index Options'!$B:$B,D$147,'BSE - Other Index Options'!$H:$H,"Monthly*")=0,"",SUMIFS('BSE - SENSEX Index Options'!$L:$L,'BSE - SENSEX Index Options'!$C:$C,$A158,'BSE - SENSEX Index Options'!$B:$B,D$147,'BSE - SENSEX Index Options'!$H:$H,"Monthly*")+SUMIFS('BSE - Other Index Options'!$L:$L,'BSE - Other Index Options'!$C:$C,$A158,'BSE - Other Index Options'!$B:$B,D$147,'BSE - Other Index Options'!$H:$H,"Monthly*"))</f>
        <v/>
      </c>
      <c r="E158" s="26">
        <f>IF(SUMIFS('BSE - SENSEX Index Options'!$L:$L,'BSE - SENSEX Index Options'!$C:$C,$A158,'BSE - SENSEX Index Options'!$B:$B,E$147,'BSE - SENSEX Index Options'!$H:$H,"Monthly*")+SUMIFS('BSE - Other Index Options'!$L:$L,'BSE - Other Index Options'!$C:$C,$A158,'BSE - Other Index Options'!$B:$B,E$147,'BSE - Other Index Options'!$H:$H,"Monthly*")=0,"",SUMIFS('BSE - SENSEX Index Options'!$L:$L,'BSE - SENSEX Index Options'!$C:$C,$A158,'BSE - SENSEX Index Options'!$B:$B,E$147,'BSE - SENSEX Index Options'!$H:$H,"Monthly*")+SUMIFS('BSE - Other Index Options'!$L:$L,'BSE - Other Index Options'!$C:$C,$A158,'BSE - Other Index Options'!$B:$B,E$147,'BSE - Other Index Options'!$H:$H,"Monthly*"))</f>
        <v>34.14</v>
      </c>
      <c r="F158" s="26">
        <f>IF(SUMIFS('BSE - SENSEX Index Options'!$L:$L,'BSE - SENSEX Index Options'!$C:$C,$A158,'BSE - SENSEX Index Options'!$B:$B,F$147,'BSE - SENSEX Index Options'!$H:$H,"Monthly*")+SUMIFS('BSE - Other Index Options'!$L:$L,'BSE - Other Index Options'!$C:$C,$A158,'BSE - Other Index Options'!$B:$B,F$147,'BSE - Other Index Options'!$H:$H,"Monthly*")=0,"",SUMIFS('BSE - SENSEX Index Options'!$L:$L,'BSE - SENSEX Index Options'!$C:$C,$A158,'BSE - SENSEX Index Options'!$B:$B,F$147,'BSE - SENSEX Index Options'!$H:$H,"Monthly*")+SUMIFS('BSE - Other Index Options'!$L:$L,'BSE - Other Index Options'!$C:$C,$A158,'BSE - Other Index Options'!$B:$B,F$147,'BSE - Other Index Options'!$H:$H,"Monthly*"))</f>
        <v>38.57</v>
      </c>
      <c r="G158" s="26" t="str">
        <f>IF(SUMIFS('BSE - SENSEX Index Options'!$L:$L,'BSE - SENSEX Index Options'!$C:$C,$A158,'BSE - SENSEX Index Options'!$B:$B,G$147,'BSE - SENSEX Index Options'!$H:$H,"Monthly*")+SUMIFS('BSE - Other Index Options'!$L:$L,'BSE - Other Index Options'!$C:$C,$A158,'BSE - Other Index Options'!$B:$B,G$147,'BSE - Other Index Options'!$H:$H,"Monthly*")=0,"",SUMIFS('BSE - SENSEX Index Options'!$L:$L,'BSE - SENSEX Index Options'!$C:$C,$A158,'BSE - SENSEX Index Options'!$B:$B,G$147,'BSE - SENSEX Index Options'!$H:$H,"Monthly*")+SUMIFS('BSE - Other Index Options'!$L:$L,'BSE - Other Index Options'!$C:$C,$A158,'BSE - Other Index Options'!$B:$B,G$147,'BSE - Other Index Options'!$H:$H,"Monthly*"))</f>
        <v/>
      </c>
      <c r="H158" s="26">
        <f t="shared" si="6"/>
        <v>124.85999999999999</v>
      </c>
    </row>
    <row r="159" spans="1:8">
      <c r="A159" t="s">
        <v>21</v>
      </c>
      <c r="B159" s="26">
        <f>IF(SUMIFS('BSE - SENSEX Index Options'!$L:$L,'BSE - SENSEX Index Options'!$C:$C,$A159,'BSE - SENSEX Index Options'!$B:$B,B$147,'BSE - SENSEX Index Options'!$H:$H,"Monthly*")+SUMIFS('BSE - Other Index Options'!$L:$L,'BSE - Other Index Options'!$C:$C,$A159,'BSE - Other Index Options'!$B:$B,B$147,'BSE - Other Index Options'!$H:$H,"Monthly*")=0,"",SUMIFS('BSE - SENSEX Index Options'!$L:$L,'BSE - SENSEX Index Options'!$C:$C,$A159,'BSE - SENSEX Index Options'!$B:$B,B$147,'BSE - SENSEX Index Options'!$H:$H,"Monthly*")+SUMIFS('BSE - Other Index Options'!$L:$L,'BSE - Other Index Options'!$C:$C,$A159,'BSE - Other Index Options'!$B:$B,B$147,'BSE - Other Index Options'!$H:$H,"Monthly*"))</f>
        <v>21.39</v>
      </c>
      <c r="C159" s="26">
        <f>IF(SUMIFS('BSE - SENSEX Index Options'!$L:$L,'BSE - SENSEX Index Options'!$C:$C,$A159,'BSE - SENSEX Index Options'!$B:$B,C$147,'BSE - SENSEX Index Options'!$H:$H,"Monthly*")+SUMIFS('BSE - Other Index Options'!$L:$L,'BSE - Other Index Options'!$C:$C,$A159,'BSE - Other Index Options'!$B:$B,C$147,'BSE - Other Index Options'!$H:$H,"Monthly*")=0,"",SUMIFS('BSE - SENSEX Index Options'!$L:$L,'BSE - SENSEX Index Options'!$C:$C,$A159,'BSE - SENSEX Index Options'!$B:$B,C$147,'BSE - SENSEX Index Options'!$H:$H,"Monthly*")+SUMIFS('BSE - Other Index Options'!$L:$L,'BSE - Other Index Options'!$C:$C,$A159,'BSE - Other Index Options'!$B:$B,C$147,'BSE - Other Index Options'!$H:$H,"Monthly*"))</f>
        <v>33.21</v>
      </c>
      <c r="D159" s="26">
        <f>IF(SUMIFS('BSE - SENSEX Index Options'!$L:$L,'BSE - SENSEX Index Options'!$C:$C,$A159,'BSE - SENSEX Index Options'!$B:$B,D$147,'BSE - SENSEX Index Options'!$H:$H,"Monthly*")+SUMIFS('BSE - Other Index Options'!$L:$L,'BSE - Other Index Options'!$C:$C,$A159,'BSE - Other Index Options'!$B:$B,D$147,'BSE - Other Index Options'!$H:$H,"Monthly*")=0,"",SUMIFS('BSE - SENSEX Index Options'!$L:$L,'BSE - SENSEX Index Options'!$C:$C,$A159,'BSE - SENSEX Index Options'!$B:$B,D$147,'BSE - SENSEX Index Options'!$H:$H,"Monthly*")+SUMIFS('BSE - Other Index Options'!$L:$L,'BSE - Other Index Options'!$C:$C,$A159,'BSE - Other Index Options'!$B:$B,D$147,'BSE - Other Index Options'!$H:$H,"Monthly*"))</f>
        <v>45.65</v>
      </c>
      <c r="E159" s="26">
        <f>IF(SUMIFS('BSE - SENSEX Index Options'!$L:$L,'BSE - SENSEX Index Options'!$C:$C,$A159,'BSE - SENSEX Index Options'!$B:$B,E$147,'BSE - SENSEX Index Options'!$H:$H,"Monthly*")+SUMIFS('BSE - Other Index Options'!$L:$L,'BSE - Other Index Options'!$C:$C,$A159,'BSE - Other Index Options'!$B:$B,E$147,'BSE - Other Index Options'!$H:$H,"Monthly*")=0,"",SUMIFS('BSE - SENSEX Index Options'!$L:$L,'BSE - SENSEX Index Options'!$C:$C,$A159,'BSE - SENSEX Index Options'!$B:$B,E$147,'BSE - SENSEX Index Options'!$H:$H,"Monthly*")+SUMIFS('BSE - Other Index Options'!$L:$L,'BSE - Other Index Options'!$C:$C,$A159,'BSE - Other Index Options'!$B:$B,E$147,'BSE - Other Index Options'!$H:$H,"Monthly*"))</f>
        <v>56.809999999999995</v>
      </c>
      <c r="F159" s="26">
        <f>IF(SUMIFS('BSE - SENSEX Index Options'!$L:$L,'BSE - SENSEX Index Options'!$C:$C,$A159,'BSE - SENSEX Index Options'!$B:$B,F$147,'BSE - SENSEX Index Options'!$H:$H,"Monthly*")+SUMIFS('BSE - Other Index Options'!$L:$L,'BSE - Other Index Options'!$C:$C,$A159,'BSE - Other Index Options'!$B:$B,F$147,'BSE - Other Index Options'!$H:$H,"Monthly*")=0,"",SUMIFS('BSE - SENSEX Index Options'!$L:$L,'BSE - SENSEX Index Options'!$C:$C,$A159,'BSE - SENSEX Index Options'!$B:$B,F$147,'BSE - SENSEX Index Options'!$H:$H,"Monthly*")+SUMIFS('BSE - Other Index Options'!$L:$L,'BSE - Other Index Options'!$C:$C,$A159,'BSE - Other Index Options'!$B:$B,F$147,'BSE - Other Index Options'!$H:$H,"Monthly*"))</f>
        <v>118.82</v>
      </c>
      <c r="G159" s="26" t="str">
        <f>IF(SUMIFS('BSE - SENSEX Index Options'!$L:$L,'BSE - SENSEX Index Options'!$C:$C,$A159,'BSE - SENSEX Index Options'!$B:$B,G$147,'BSE - SENSEX Index Options'!$H:$H,"Monthly*")+SUMIFS('BSE - Other Index Options'!$L:$L,'BSE - Other Index Options'!$C:$C,$A159,'BSE - Other Index Options'!$B:$B,G$147,'BSE - Other Index Options'!$H:$H,"Monthly*")=0,"",SUMIFS('BSE - SENSEX Index Options'!$L:$L,'BSE - SENSEX Index Options'!$C:$C,$A159,'BSE - SENSEX Index Options'!$B:$B,G$147,'BSE - SENSEX Index Options'!$H:$H,"Monthly*")+SUMIFS('BSE - Other Index Options'!$L:$L,'BSE - Other Index Options'!$C:$C,$A159,'BSE - Other Index Options'!$B:$B,G$147,'BSE - Other Index Options'!$H:$H,"Monthly*"))</f>
        <v/>
      </c>
      <c r="H159" s="26">
        <f t="shared" si="6"/>
        <v>275.88</v>
      </c>
    </row>
    <row r="160" spans="1:8">
      <c r="A160" t="s">
        <v>22</v>
      </c>
      <c r="B160" s="26">
        <f>IF(SUMIFS('BSE - SENSEX Index Options'!$L:$L,'BSE - SENSEX Index Options'!$C:$C,$A160,'BSE - SENSEX Index Options'!$B:$B,B$147,'BSE - SENSEX Index Options'!$H:$H,"Monthly*")+SUMIFS('BSE - Other Index Options'!$L:$L,'BSE - Other Index Options'!$C:$C,$A160,'BSE - Other Index Options'!$B:$B,B$147,'BSE - Other Index Options'!$H:$H,"Monthly*")=0,"",SUMIFS('BSE - SENSEX Index Options'!$L:$L,'BSE - SENSEX Index Options'!$C:$C,$A160,'BSE - SENSEX Index Options'!$B:$B,B$147,'BSE - SENSEX Index Options'!$H:$H,"Monthly*")+SUMIFS('BSE - Other Index Options'!$L:$L,'BSE - Other Index Options'!$C:$C,$A160,'BSE - Other Index Options'!$B:$B,B$147,'BSE - Other Index Options'!$H:$H,"Monthly*"))</f>
        <v>84.92</v>
      </c>
      <c r="C160" s="26">
        <f>IF(SUMIFS('BSE - SENSEX Index Options'!$L:$L,'BSE - SENSEX Index Options'!$C:$C,$A160,'BSE - SENSEX Index Options'!$B:$B,C$147,'BSE - SENSEX Index Options'!$H:$H,"Monthly*")+SUMIFS('BSE - Other Index Options'!$L:$L,'BSE - Other Index Options'!$C:$C,$A160,'BSE - Other Index Options'!$B:$B,C$147,'BSE - Other Index Options'!$H:$H,"Monthly*")=0,"",SUMIFS('BSE - SENSEX Index Options'!$L:$L,'BSE - SENSEX Index Options'!$C:$C,$A160,'BSE - SENSEX Index Options'!$B:$B,C$147,'BSE - SENSEX Index Options'!$H:$H,"Monthly*")+SUMIFS('BSE - Other Index Options'!$L:$L,'BSE - Other Index Options'!$C:$C,$A160,'BSE - Other Index Options'!$B:$B,C$147,'BSE - Other Index Options'!$H:$H,"Monthly*"))</f>
        <v>173.38</v>
      </c>
      <c r="D160" s="26">
        <f>IF(SUMIFS('BSE - SENSEX Index Options'!$L:$L,'BSE - SENSEX Index Options'!$C:$C,$A160,'BSE - SENSEX Index Options'!$B:$B,D$147,'BSE - SENSEX Index Options'!$H:$H,"Monthly*")+SUMIFS('BSE - Other Index Options'!$L:$L,'BSE - Other Index Options'!$C:$C,$A160,'BSE - Other Index Options'!$B:$B,D$147,'BSE - Other Index Options'!$H:$H,"Monthly*")=0,"",SUMIFS('BSE - SENSEX Index Options'!$L:$L,'BSE - SENSEX Index Options'!$C:$C,$A160,'BSE - SENSEX Index Options'!$B:$B,D$147,'BSE - SENSEX Index Options'!$H:$H,"Monthly*")+SUMIFS('BSE - Other Index Options'!$L:$L,'BSE - Other Index Options'!$C:$C,$A160,'BSE - Other Index Options'!$B:$B,D$147,'BSE - Other Index Options'!$H:$H,"Monthly*"))</f>
        <v>401.57</v>
      </c>
      <c r="E160" s="26">
        <f>IF(SUMIFS('BSE - SENSEX Index Options'!$L:$L,'BSE - SENSEX Index Options'!$C:$C,$A160,'BSE - SENSEX Index Options'!$B:$B,E$147,'BSE - SENSEX Index Options'!$H:$H,"Monthly*")+SUMIFS('BSE - Other Index Options'!$L:$L,'BSE - Other Index Options'!$C:$C,$A160,'BSE - Other Index Options'!$B:$B,E$147,'BSE - Other Index Options'!$H:$H,"Monthly*")=0,"",SUMIFS('BSE - SENSEX Index Options'!$L:$L,'BSE - SENSEX Index Options'!$C:$C,$A160,'BSE - SENSEX Index Options'!$B:$B,E$147,'BSE - SENSEX Index Options'!$H:$H,"Monthly*")+SUMIFS('BSE - Other Index Options'!$L:$L,'BSE - Other Index Options'!$C:$C,$A160,'BSE - Other Index Options'!$B:$B,E$147,'BSE - Other Index Options'!$H:$H,"Monthly*"))</f>
        <v>995.83999999999992</v>
      </c>
      <c r="F160" s="26">
        <f>IF(SUMIFS('BSE - SENSEX Index Options'!$L:$L,'BSE - SENSEX Index Options'!$C:$C,$A160,'BSE - SENSEX Index Options'!$B:$B,F$147,'BSE - SENSEX Index Options'!$H:$H,"Monthly*")+SUMIFS('BSE - Other Index Options'!$L:$L,'BSE - Other Index Options'!$C:$C,$A160,'BSE - Other Index Options'!$B:$B,F$147,'BSE - Other Index Options'!$H:$H,"Monthly*")=0,"",SUMIFS('BSE - SENSEX Index Options'!$L:$L,'BSE - SENSEX Index Options'!$C:$C,$A160,'BSE - SENSEX Index Options'!$B:$B,F$147,'BSE - SENSEX Index Options'!$H:$H,"Monthly*")+SUMIFS('BSE - Other Index Options'!$L:$L,'BSE - Other Index Options'!$C:$C,$A160,'BSE - Other Index Options'!$B:$B,F$147,'BSE - Other Index Options'!$H:$H,"Monthly*"))</f>
        <v>6.28</v>
      </c>
      <c r="G160" s="26" t="str">
        <f>IF(SUMIFS('BSE - SENSEX Index Options'!$L:$L,'BSE - SENSEX Index Options'!$C:$C,$A160,'BSE - SENSEX Index Options'!$B:$B,G$147,'BSE - SENSEX Index Options'!$H:$H,"Monthly*")+SUMIFS('BSE - Other Index Options'!$L:$L,'BSE - Other Index Options'!$C:$C,$A160,'BSE - Other Index Options'!$B:$B,G$147,'BSE - Other Index Options'!$H:$H,"Monthly*")=0,"",SUMIFS('BSE - SENSEX Index Options'!$L:$L,'BSE - SENSEX Index Options'!$C:$C,$A160,'BSE - SENSEX Index Options'!$B:$B,G$147,'BSE - SENSEX Index Options'!$H:$H,"Monthly*")+SUMIFS('BSE - Other Index Options'!$L:$L,'BSE - Other Index Options'!$C:$C,$A160,'BSE - Other Index Options'!$B:$B,G$147,'BSE - Other Index Options'!$H:$H,"Monthly*"))</f>
        <v/>
      </c>
      <c r="H160" s="26">
        <f t="shared" si="6"/>
        <v>1661.99</v>
      </c>
    </row>
    <row r="161" spans="1:8">
      <c r="A161" t="s">
        <v>23</v>
      </c>
      <c r="B161" s="26">
        <f>IF(SUMIFS('BSE - SENSEX Index Options'!$L:$L,'BSE - SENSEX Index Options'!$C:$C,$A161,'BSE - SENSEX Index Options'!$B:$B,B$147,'BSE - SENSEX Index Options'!$H:$H,"Monthly*")+SUMIFS('BSE - Other Index Options'!$L:$L,'BSE - Other Index Options'!$C:$C,$A161,'BSE - Other Index Options'!$B:$B,B$147,'BSE - Other Index Options'!$H:$H,"Monthly*")=0,"",SUMIFS('BSE - SENSEX Index Options'!$L:$L,'BSE - SENSEX Index Options'!$C:$C,$A161,'BSE - SENSEX Index Options'!$B:$B,B$147,'BSE - SENSEX Index Options'!$H:$H,"Monthly*")+SUMIFS('BSE - Other Index Options'!$L:$L,'BSE - Other Index Options'!$C:$C,$A161,'BSE - Other Index Options'!$B:$B,B$147,'BSE - Other Index Options'!$H:$H,"Monthly*"))</f>
        <v>11.36</v>
      </c>
      <c r="C161" s="26">
        <f>IF(SUMIFS('BSE - SENSEX Index Options'!$L:$L,'BSE - SENSEX Index Options'!$C:$C,$A161,'BSE - SENSEX Index Options'!$B:$B,C$147,'BSE - SENSEX Index Options'!$H:$H,"Monthly*")+SUMIFS('BSE - Other Index Options'!$L:$L,'BSE - Other Index Options'!$C:$C,$A161,'BSE - Other Index Options'!$B:$B,C$147,'BSE - Other Index Options'!$H:$H,"Monthly*")=0,"",SUMIFS('BSE - SENSEX Index Options'!$L:$L,'BSE - SENSEX Index Options'!$C:$C,$A161,'BSE - SENSEX Index Options'!$B:$B,C$147,'BSE - SENSEX Index Options'!$H:$H,"Monthly*")+SUMIFS('BSE - Other Index Options'!$L:$L,'BSE - Other Index Options'!$C:$C,$A161,'BSE - Other Index Options'!$B:$B,C$147,'BSE - Other Index Options'!$H:$H,"Monthly*"))</f>
        <v>19.13</v>
      </c>
      <c r="D161" s="26">
        <f>IF(SUMIFS('BSE - SENSEX Index Options'!$L:$L,'BSE - SENSEX Index Options'!$C:$C,$A161,'BSE - SENSEX Index Options'!$B:$B,D$147,'BSE - SENSEX Index Options'!$H:$H,"Monthly*")+SUMIFS('BSE - Other Index Options'!$L:$L,'BSE - Other Index Options'!$C:$C,$A161,'BSE - Other Index Options'!$B:$B,D$147,'BSE - Other Index Options'!$H:$H,"Monthly*")=0,"",SUMIFS('BSE - SENSEX Index Options'!$L:$L,'BSE - SENSEX Index Options'!$C:$C,$A161,'BSE - SENSEX Index Options'!$B:$B,D$147,'BSE - SENSEX Index Options'!$H:$H,"Monthly*")+SUMIFS('BSE - Other Index Options'!$L:$L,'BSE - Other Index Options'!$C:$C,$A161,'BSE - Other Index Options'!$B:$B,D$147,'BSE - Other Index Options'!$H:$H,"Monthly*"))</f>
        <v>296.44</v>
      </c>
      <c r="E161" s="26">
        <f>IF(SUMIFS('BSE - SENSEX Index Options'!$L:$L,'BSE - SENSEX Index Options'!$C:$C,$A161,'BSE - SENSEX Index Options'!$B:$B,E$147,'BSE - SENSEX Index Options'!$H:$H,"Monthly*")+SUMIFS('BSE - Other Index Options'!$L:$L,'BSE - Other Index Options'!$C:$C,$A161,'BSE - Other Index Options'!$B:$B,E$147,'BSE - Other Index Options'!$H:$H,"Monthly*")=0,"",SUMIFS('BSE - SENSEX Index Options'!$L:$L,'BSE - SENSEX Index Options'!$C:$C,$A161,'BSE - SENSEX Index Options'!$B:$B,E$147,'BSE - SENSEX Index Options'!$H:$H,"Monthly*")+SUMIFS('BSE - Other Index Options'!$L:$L,'BSE - Other Index Options'!$C:$C,$A161,'BSE - Other Index Options'!$B:$B,E$147,'BSE - Other Index Options'!$H:$H,"Monthly*"))</f>
        <v>892</v>
      </c>
      <c r="F161" s="26" t="str">
        <f>IF(SUMIFS('BSE - SENSEX Index Options'!$L:$L,'BSE - SENSEX Index Options'!$C:$C,$A161,'BSE - SENSEX Index Options'!$B:$B,F$147,'BSE - SENSEX Index Options'!$H:$H,"Monthly*")+SUMIFS('BSE - Other Index Options'!$L:$L,'BSE - Other Index Options'!$C:$C,$A161,'BSE - Other Index Options'!$B:$B,F$147,'BSE - Other Index Options'!$H:$H,"Monthly*")=0,"",SUMIFS('BSE - SENSEX Index Options'!$L:$L,'BSE - SENSEX Index Options'!$C:$C,$A161,'BSE - SENSEX Index Options'!$B:$B,F$147,'BSE - SENSEX Index Options'!$H:$H,"Monthly*")+SUMIFS('BSE - Other Index Options'!$L:$L,'BSE - Other Index Options'!$C:$C,$A161,'BSE - Other Index Options'!$B:$B,F$147,'BSE - Other Index Options'!$H:$H,"Monthly*"))</f>
        <v/>
      </c>
      <c r="G161" s="26" t="str">
        <f>IF(SUMIFS('BSE - SENSEX Index Options'!$L:$L,'BSE - SENSEX Index Options'!$C:$C,$A161,'BSE - SENSEX Index Options'!$B:$B,G$147,'BSE - SENSEX Index Options'!$H:$H,"Monthly*")+SUMIFS('BSE - Other Index Options'!$L:$L,'BSE - Other Index Options'!$C:$C,$A161,'BSE - Other Index Options'!$B:$B,G$147,'BSE - Other Index Options'!$H:$H,"Monthly*")=0,"",SUMIFS('BSE - SENSEX Index Options'!$L:$L,'BSE - SENSEX Index Options'!$C:$C,$A161,'BSE - SENSEX Index Options'!$B:$B,G$147,'BSE - SENSEX Index Options'!$H:$H,"Monthly*")+SUMIFS('BSE - Other Index Options'!$L:$L,'BSE - Other Index Options'!$C:$C,$A161,'BSE - Other Index Options'!$B:$B,G$147,'BSE - Other Index Options'!$H:$H,"Monthly*"))</f>
        <v/>
      </c>
      <c r="H161" s="26">
        <f t="shared" si="6"/>
        <v>1218.93</v>
      </c>
    </row>
    <row r="162" spans="1:8">
      <c r="A162" t="s">
        <v>24</v>
      </c>
      <c r="B162" s="26" t="str">
        <f>IF(SUMIFS('BSE - SENSEX Index Options'!$L:$L,'BSE - SENSEX Index Options'!$C:$C,$A162,'BSE - SENSEX Index Options'!$B:$B,B$147,'BSE - SENSEX Index Options'!$H:$H,"Monthly*")+SUMIFS('BSE - Other Index Options'!$L:$L,'BSE - Other Index Options'!$C:$C,$A162,'BSE - Other Index Options'!$B:$B,B$147,'BSE - Other Index Options'!$H:$H,"Monthly*")=0,"",SUMIFS('BSE - SENSEX Index Options'!$L:$L,'BSE - SENSEX Index Options'!$C:$C,$A162,'BSE - SENSEX Index Options'!$B:$B,B$147,'BSE - SENSEX Index Options'!$H:$H,"Monthly*")+SUMIFS('BSE - Other Index Options'!$L:$L,'BSE - Other Index Options'!$C:$C,$A162,'BSE - Other Index Options'!$B:$B,B$147,'BSE - Other Index Options'!$H:$H,"Monthly*"))</f>
        <v/>
      </c>
      <c r="C162" s="26" t="str">
        <f>IF(SUMIFS('BSE - SENSEX Index Options'!$L:$L,'BSE - SENSEX Index Options'!$C:$C,$A162,'BSE - SENSEX Index Options'!$B:$B,C$147,'BSE - SENSEX Index Options'!$H:$H,"Monthly*")+SUMIFS('BSE - Other Index Options'!$L:$L,'BSE - Other Index Options'!$C:$C,$A162,'BSE - Other Index Options'!$B:$B,C$147,'BSE - Other Index Options'!$H:$H,"Monthly*")=0,"",SUMIFS('BSE - SENSEX Index Options'!$L:$L,'BSE - SENSEX Index Options'!$C:$C,$A162,'BSE - SENSEX Index Options'!$B:$B,C$147,'BSE - SENSEX Index Options'!$H:$H,"Monthly*")+SUMIFS('BSE - Other Index Options'!$L:$L,'BSE - Other Index Options'!$C:$C,$A162,'BSE - Other Index Options'!$B:$B,C$147,'BSE - Other Index Options'!$H:$H,"Monthly*"))</f>
        <v/>
      </c>
      <c r="D162" s="26" t="str">
        <f>IF(SUMIFS('BSE - SENSEX Index Options'!$L:$L,'BSE - SENSEX Index Options'!$C:$C,$A162,'BSE - SENSEX Index Options'!$B:$B,D$147,'BSE - SENSEX Index Options'!$H:$H,"Monthly*")+SUMIFS('BSE - Other Index Options'!$L:$L,'BSE - Other Index Options'!$C:$C,$A162,'BSE - Other Index Options'!$B:$B,D$147,'BSE - Other Index Options'!$H:$H,"Monthly*")=0,"",SUMIFS('BSE - SENSEX Index Options'!$L:$L,'BSE - SENSEX Index Options'!$C:$C,$A162,'BSE - SENSEX Index Options'!$B:$B,D$147,'BSE - SENSEX Index Options'!$H:$H,"Monthly*")+SUMIFS('BSE - Other Index Options'!$L:$L,'BSE - Other Index Options'!$C:$C,$A162,'BSE - Other Index Options'!$B:$B,D$147,'BSE - Other Index Options'!$H:$H,"Monthly*"))</f>
        <v/>
      </c>
      <c r="E162" s="26" t="str">
        <f>IF(SUMIFS('BSE - SENSEX Index Options'!$L:$L,'BSE - SENSEX Index Options'!$C:$C,$A162,'BSE - SENSEX Index Options'!$B:$B,E$147,'BSE - SENSEX Index Options'!$H:$H,"Monthly*")+SUMIFS('BSE - Other Index Options'!$L:$L,'BSE - Other Index Options'!$C:$C,$A162,'BSE - Other Index Options'!$B:$B,E$147,'BSE - Other Index Options'!$H:$H,"Monthly*")=0,"",SUMIFS('BSE - SENSEX Index Options'!$L:$L,'BSE - SENSEX Index Options'!$C:$C,$A162,'BSE - SENSEX Index Options'!$B:$B,E$147,'BSE - SENSEX Index Options'!$H:$H,"Monthly*")+SUMIFS('BSE - Other Index Options'!$L:$L,'BSE - Other Index Options'!$C:$C,$A162,'BSE - Other Index Options'!$B:$B,E$147,'BSE - Other Index Options'!$H:$H,"Monthly*"))</f>
        <v/>
      </c>
      <c r="F162" s="26" t="str">
        <f>IF(SUMIFS('BSE - SENSEX Index Options'!$L:$L,'BSE - SENSEX Index Options'!$C:$C,$A162,'BSE - SENSEX Index Options'!$B:$B,F$147,'BSE - SENSEX Index Options'!$H:$H,"Monthly*")+SUMIFS('BSE - Other Index Options'!$L:$L,'BSE - Other Index Options'!$C:$C,$A162,'BSE - Other Index Options'!$B:$B,F$147,'BSE - Other Index Options'!$H:$H,"Monthly*")=0,"",SUMIFS('BSE - SENSEX Index Options'!$L:$L,'BSE - SENSEX Index Options'!$C:$C,$A162,'BSE - SENSEX Index Options'!$B:$B,F$147,'BSE - SENSEX Index Options'!$H:$H,"Monthly*")+SUMIFS('BSE - Other Index Options'!$L:$L,'BSE - Other Index Options'!$C:$C,$A162,'BSE - Other Index Options'!$B:$B,F$147,'BSE - Other Index Options'!$H:$H,"Monthly*"))</f>
        <v/>
      </c>
      <c r="G162" s="26" t="str">
        <f>IF(SUMIFS('BSE - SENSEX Index Options'!$L:$L,'BSE - SENSEX Index Options'!$C:$C,$A162,'BSE - SENSEX Index Options'!$B:$B,G$147,'BSE - SENSEX Index Options'!$H:$H,"Monthly*")+SUMIFS('BSE - Other Index Options'!$L:$L,'BSE - Other Index Options'!$C:$C,$A162,'BSE - Other Index Options'!$B:$B,G$147,'BSE - Other Index Options'!$H:$H,"Monthly*")=0,"",SUMIFS('BSE - SENSEX Index Options'!$L:$L,'BSE - SENSEX Index Options'!$C:$C,$A162,'BSE - SENSEX Index Options'!$B:$B,G$147,'BSE - SENSEX Index Options'!$H:$H,"Monthly*")+SUMIFS('BSE - Other Index Options'!$L:$L,'BSE - Other Index Options'!$C:$C,$A162,'BSE - Other Index Options'!$B:$B,G$147,'BSE - Other Index Options'!$H:$H,"Monthly*"))</f>
        <v/>
      </c>
      <c r="H162" s="26" t="str">
        <f t="shared" si="6"/>
        <v/>
      </c>
    </row>
    <row r="163" spans="1:8">
      <c r="A163" t="s">
        <v>25</v>
      </c>
      <c r="B163" s="26">
        <f>IF(SUMIFS('BSE - SENSEX Index Options'!$L:$L,'BSE - SENSEX Index Options'!$C:$C,$A163,'BSE - SENSEX Index Options'!$B:$B,B$147,'BSE - SENSEX Index Options'!$H:$H,"Monthly*")+SUMIFS('BSE - Other Index Options'!$L:$L,'BSE - Other Index Options'!$C:$C,$A163,'BSE - Other Index Options'!$B:$B,B$147,'BSE - Other Index Options'!$H:$H,"Monthly*")=0,"",SUMIFS('BSE - SENSEX Index Options'!$L:$L,'BSE - SENSEX Index Options'!$C:$C,$A163,'BSE - SENSEX Index Options'!$B:$B,B$147,'BSE - SENSEX Index Options'!$H:$H,"Monthly*")+SUMIFS('BSE - Other Index Options'!$L:$L,'BSE - Other Index Options'!$C:$C,$A163,'BSE - Other Index Options'!$B:$B,B$147,'BSE - Other Index Options'!$H:$H,"Monthly*"))</f>
        <v>0.02</v>
      </c>
      <c r="C163" s="26">
        <f>IF(SUMIFS('BSE - SENSEX Index Options'!$L:$L,'BSE - SENSEX Index Options'!$C:$C,$A163,'BSE - SENSEX Index Options'!$B:$B,C$147,'BSE - SENSEX Index Options'!$H:$H,"Monthly*")+SUMIFS('BSE - Other Index Options'!$L:$L,'BSE - Other Index Options'!$C:$C,$A163,'BSE - Other Index Options'!$B:$B,C$147,'BSE - Other Index Options'!$H:$H,"Monthly*")=0,"",SUMIFS('BSE - SENSEX Index Options'!$L:$L,'BSE - SENSEX Index Options'!$C:$C,$A163,'BSE - SENSEX Index Options'!$B:$B,C$147,'BSE - SENSEX Index Options'!$H:$H,"Monthly*")+SUMIFS('BSE - Other Index Options'!$L:$L,'BSE - Other Index Options'!$C:$C,$A163,'BSE - Other Index Options'!$B:$B,C$147,'BSE - Other Index Options'!$H:$H,"Monthly*"))</f>
        <v>0.13</v>
      </c>
      <c r="D163" s="26">
        <f>IF(SUMIFS('BSE - SENSEX Index Options'!$L:$L,'BSE - SENSEX Index Options'!$C:$C,$A163,'BSE - SENSEX Index Options'!$B:$B,D$147,'BSE - SENSEX Index Options'!$H:$H,"Monthly*")+SUMIFS('BSE - Other Index Options'!$L:$L,'BSE - Other Index Options'!$C:$C,$A163,'BSE - Other Index Options'!$B:$B,D$147,'BSE - Other Index Options'!$H:$H,"Monthly*")=0,"",SUMIFS('BSE - SENSEX Index Options'!$L:$L,'BSE - SENSEX Index Options'!$C:$C,$A163,'BSE - SENSEX Index Options'!$B:$B,D$147,'BSE - SENSEX Index Options'!$H:$H,"Monthly*")+SUMIFS('BSE - Other Index Options'!$L:$L,'BSE - Other Index Options'!$C:$C,$A163,'BSE - Other Index Options'!$B:$B,D$147,'BSE - Other Index Options'!$H:$H,"Monthly*"))</f>
        <v>7.0000000000000007E-2</v>
      </c>
      <c r="E163" s="26">
        <f>IF(SUMIFS('BSE - SENSEX Index Options'!$L:$L,'BSE - SENSEX Index Options'!$C:$C,$A163,'BSE - SENSEX Index Options'!$B:$B,E$147,'BSE - SENSEX Index Options'!$H:$H,"Monthly*")+SUMIFS('BSE - Other Index Options'!$L:$L,'BSE - Other Index Options'!$C:$C,$A163,'BSE - Other Index Options'!$B:$B,E$147,'BSE - Other Index Options'!$H:$H,"Monthly*")=0,"",SUMIFS('BSE - SENSEX Index Options'!$L:$L,'BSE - SENSEX Index Options'!$C:$C,$A163,'BSE - SENSEX Index Options'!$B:$B,E$147,'BSE - SENSEX Index Options'!$H:$H,"Monthly*")+SUMIFS('BSE - Other Index Options'!$L:$L,'BSE - Other Index Options'!$C:$C,$A163,'BSE - Other Index Options'!$B:$B,E$147,'BSE - Other Index Options'!$H:$H,"Monthly*"))</f>
        <v>0.23</v>
      </c>
      <c r="F163" s="26">
        <f>IF(SUMIFS('BSE - SENSEX Index Options'!$L:$L,'BSE - SENSEX Index Options'!$C:$C,$A163,'BSE - SENSEX Index Options'!$B:$B,F$147,'BSE - SENSEX Index Options'!$H:$H,"Monthly*")+SUMIFS('BSE - Other Index Options'!$L:$L,'BSE - Other Index Options'!$C:$C,$A163,'BSE - Other Index Options'!$B:$B,F$147,'BSE - Other Index Options'!$H:$H,"Monthly*")=0,"",SUMIFS('BSE - SENSEX Index Options'!$L:$L,'BSE - SENSEX Index Options'!$C:$C,$A163,'BSE - SENSEX Index Options'!$B:$B,F$147,'BSE - SENSEX Index Options'!$H:$H,"Monthly*")+SUMIFS('BSE - Other Index Options'!$L:$L,'BSE - Other Index Options'!$C:$C,$A163,'BSE - Other Index Options'!$B:$B,F$147,'BSE - Other Index Options'!$H:$H,"Monthly*"))</f>
        <v>0.33</v>
      </c>
      <c r="G163" s="26" t="str">
        <f>IF(SUMIFS('BSE - SENSEX Index Options'!$L:$L,'BSE - SENSEX Index Options'!$C:$C,$A163,'BSE - SENSEX Index Options'!$B:$B,G$147,'BSE - SENSEX Index Options'!$H:$H,"Monthly*")+SUMIFS('BSE - Other Index Options'!$L:$L,'BSE - Other Index Options'!$C:$C,$A163,'BSE - Other Index Options'!$B:$B,G$147,'BSE - Other Index Options'!$H:$H,"Monthly*")=0,"",SUMIFS('BSE - SENSEX Index Options'!$L:$L,'BSE - SENSEX Index Options'!$C:$C,$A163,'BSE - SENSEX Index Options'!$B:$B,G$147,'BSE - SENSEX Index Options'!$H:$H,"Monthly*")+SUMIFS('BSE - Other Index Options'!$L:$L,'BSE - Other Index Options'!$C:$C,$A163,'BSE - Other Index Options'!$B:$B,G$147,'BSE - Other Index Options'!$H:$H,"Monthly*"))</f>
        <v/>
      </c>
      <c r="H163" s="26">
        <f t="shared" si="6"/>
        <v>0.78</v>
      </c>
    </row>
    <row r="164" spans="1:8">
      <c r="A164" t="s">
        <v>26</v>
      </c>
      <c r="B164" s="26">
        <f>IF(SUMIFS('BSE - SENSEX Index Options'!$L:$L,'BSE - SENSEX Index Options'!$C:$C,$A164,'BSE - SENSEX Index Options'!$B:$B,B$147,'BSE - SENSEX Index Options'!$H:$H,"Monthly*")+SUMIFS('BSE - Other Index Options'!$L:$L,'BSE - Other Index Options'!$C:$C,$A164,'BSE - Other Index Options'!$B:$B,B$147,'BSE - Other Index Options'!$H:$H,"Monthly*")=0,"",SUMIFS('BSE - SENSEX Index Options'!$L:$L,'BSE - SENSEX Index Options'!$C:$C,$A164,'BSE - SENSEX Index Options'!$B:$B,B$147,'BSE - SENSEX Index Options'!$H:$H,"Monthly*")+SUMIFS('BSE - Other Index Options'!$L:$L,'BSE - Other Index Options'!$C:$C,$A164,'BSE - Other Index Options'!$B:$B,B$147,'BSE - Other Index Options'!$H:$H,"Monthly*"))</f>
        <v>0.86</v>
      </c>
      <c r="C164" s="26">
        <f>IF(SUMIFS('BSE - SENSEX Index Options'!$L:$L,'BSE - SENSEX Index Options'!$C:$C,$A164,'BSE - SENSEX Index Options'!$B:$B,C$147,'BSE - SENSEX Index Options'!$H:$H,"Monthly*")+SUMIFS('BSE - Other Index Options'!$L:$L,'BSE - Other Index Options'!$C:$C,$A164,'BSE - Other Index Options'!$B:$B,C$147,'BSE - Other Index Options'!$H:$H,"Monthly*")=0,"",SUMIFS('BSE - SENSEX Index Options'!$L:$L,'BSE - SENSEX Index Options'!$C:$C,$A164,'BSE - SENSEX Index Options'!$B:$B,C$147,'BSE - SENSEX Index Options'!$H:$H,"Monthly*")+SUMIFS('BSE - Other Index Options'!$L:$L,'BSE - Other Index Options'!$C:$C,$A164,'BSE - Other Index Options'!$B:$B,C$147,'BSE - Other Index Options'!$H:$H,"Monthly*"))</f>
        <v>0.7</v>
      </c>
      <c r="D164" s="26">
        <f>IF(SUMIFS('BSE - SENSEX Index Options'!$L:$L,'BSE - SENSEX Index Options'!$C:$C,$A164,'BSE - SENSEX Index Options'!$B:$B,D$147,'BSE - SENSEX Index Options'!$H:$H,"Monthly*")+SUMIFS('BSE - Other Index Options'!$L:$L,'BSE - Other Index Options'!$C:$C,$A164,'BSE - Other Index Options'!$B:$B,D$147,'BSE - Other Index Options'!$H:$H,"Monthly*")=0,"",SUMIFS('BSE - SENSEX Index Options'!$L:$L,'BSE - SENSEX Index Options'!$C:$C,$A164,'BSE - SENSEX Index Options'!$B:$B,D$147,'BSE - SENSEX Index Options'!$H:$H,"Monthly*")+SUMIFS('BSE - Other Index Options'!$L:$L,'BSE - Other Index Options'!$C:$C,$A164,'BSE - Other Index Options'!$B:$B,D$147,'BSE - Other Index Options'!$H:$H,"Monthly*"))</f>
        <v>0.47</v>
      </c>
      <c r="E164" s="26">
        <f>IF(SUMIFS('BSE - SENSEX Index Options'!$L:$L,'BSE - SENSEX Index Options'!$C:$C,$A164,'BSE - SENSEX Index Options'!$B:$B,E$147,'BSE - SENSEX Index Options'!$H:$H,"Monthly*")+SUMIFS('BSE - Other Index Options'!$L:$L,'BSE - Other Index Options'!$C:$C,$A164,'BSE - Other Index Options'!$B:$B,E$147,'BSE - Other Index Options'!$H:$H,"Monthly*")=0,"",SUMIFS('BSE - SENSEX Index Options'!$L:$L,'BSE - SENSEX Index Options'!$C:$C,$A164,'BSE - SENSEX Index Options'!$B:$B,E$147,'BSE - SENSEX Index Options'!$H:$H,"Monthly*")+SUMIFS('BSE - Other Index Options'!$L:$L,'BSE - Other Index Options'!$C:$C,$A164,'BSE - Other Index Options'!$B:$B,E$147,'BSE - Other Index Options'!$H:$H,"Monthly*"))</f>
        <v>0.76</v>
      </c>
      <c r="F164" s="26">
        <f>IF(SUMIFS('BSE - SENSEX Index Options'!$L:$L,'BSE - SENSEX Index Options'!$C:$C,$A164,'BSE - SENSEX Index Options'!$B:$B,F$147,'BSE - SENSEX Index Options'!$H:$H,"Monthly*")+SUMIFS('BSE - Other Index Options'!$L:$L,'BSE - Other Index Options'!$C:$C,$A164,'BSE - Other Index Options'!$B:$B,F$147,'BSE - Other Index Options'!$H:$H,"Monthly*")=0,"",SUMIFS('BSE - SENSEX Index Options'!$L:$L,'BSE - SENSEX Index Options'!$C:$C,$A164,'BSE - SENSEX Index Options'!$B:$B,F$147,'BSE - SENSEX Index Options'!$H:$H,"Monthly*")+SUMIFS('BSE - Other Index Options'!$L:$L,'BSE - Other Index Options'!$C:$C,$A164,'BSE - Other Index Options'!$B:$B,F$147,'BSE - Other Index Options'!$H:$H,"Monthly*"))</f>
        <v>1.1299999999999999</v>
      </c>
      <c r="G164" s="26" t="str">
        <f>IF(SUMIFS('BSE - SENSEX Index Options'!$L:$L,'BSE - SENSEX Index Options'!$C:$C,$A164,'BSE - SENSEX Index Options'!$B:$B,G$147,'BSE - SENSEX Index Options'!$H:$H,"Monthly*")+SUMIFS('BSE - Other Index Options'!$L:$L,'BSE - Other Index Options'!$C:$C,$A164,'BSE - Other Index Options'!$B:$B,G$147,'BSE - Other Index Options'!$H:$H,"Monthly*")=0,"",SUMIFS('BSE - SENSEX Index Options'!$L:$L,'BSE - SENSEX Index Options'!$C:$C,$A164,'BSE - SENSEX Index Options'!$B:$B,G$147,'BSE - SENSEX Index Options'!$H:$H,"Monthly*")+SUMIFS('BSE - Other Index Options'!$L:$L,'BSE - Other Index Options'!$C:$C,$A164,'BSE - Other Index Options'!$B:$B,G$147,'BSE - Other Index Options'!$H:$H,"Monthly*"))</f>
        <v/>
      </c>
      <c r="H164" s="26">
        <f t="shared" si="6"/>
        <v>3.92</v>
      </c>
    </row>
    <row r="165" spans="1:8">
      <c r="A165" t="s">
        <v>27</v>
      </c>
      <c r="B165" s="26">
        <f>IF(SUMIFS('BSE - SENSEX Index Options'!$L:$L,'BSE - SENSEX Index Options'!$C:$C,$A165,'BSE - SENSEX Index Options'!$B:$B,B$147,'BSE - SENSEX Index Options'!$H:$H,"Monthly*")+SUMIFS('BSE - Other Index Options'!$L:$L,'BSE - Other Index Options'!$C:$C,$A165,'BSE - Other Index Options'!$B:$B,B$147,'BSE - Other Index Options'!$H:$H,"Monthly*")=0,"",SUMIFS('BSE - SENSEX Index Options'!$L:$L,'BSE - SENSEX Index Options'!$C:$C,$A165,'BSE - SENSEX Index Options'!$B:$B,B$147,'BSE - SENSEX Index Options'!$H:$H,"Monthly*")+SUMIFS('BSE - Other Index Options'!$L:$L,'BSE - Other Index Options'!$C:$C,$A165,'BSE - Other Index Options'!$B:$B,B$147,'BSE - Other Index Options'!$H:$H,"Monthly*"))</f>
        <v>1.71</v>
      </c>
      <c r="C165" s="26">
        <f>IF(SUMIFS('BSE - SENSEX Index Options'!$L:$L,'BSE - SENSEX Index Options'!$C:$C,$A165,'BSE - SENSEX Index Options'!$B:$B,C$147,'BSE - SENSEX Index Options'!$H:$H,"Monthly*")+SUMIFS('BSE - Other Index Options'!$L:$L,'BSE - Other Index Options'!$C:$C,$A165,'BSE - Other Index Options'!$B:$B,C$147,'BSE - Other Index Options'!$H:$H,"Monthly*")=0,"",SUMIFS('BSE - SENSEX Index Options'!$L:$L,'BSE - SENSEX Index Options'!$C:$C,$A165,'BSE - SENSEX Index Options'!$B:$B,C$147,'BSE - SENSEX Index Options'!$H:$H,"Monthly*")+SUMIFS('BSE - Other Index Options'!$L:$L,'BSE - Other Index Options'!$C:$C,$A165,'BSE - Other Index Options'!$B:$B,C$147,'BSE - Other Index Options'!$H:$H,"Monthly*"))</f>
        <v>1.88</v>
      </c>
      <c r="D165" s="26">
        <f>IF(SUMIFS('BSE - SENSEX Index Options'!$L:$L,'BSE - SENSEX Index Options'!$C:$C,$A165,'BSE - SENSEX Index Options'!$B:$B,D$147,'BSE - SENSEX Index Options'!$H:$H,"Monthly*")+SUMIFS('BSE - Other Index Options'!$L:$L,'BSE - Other Index Options'!$C:$C,$A165,'BSE - Other Index Options'!$B:$B,D$147,'BSE - Other Index Options'!$H:$H,"Monthly*")=0,"",SUMIFS('BSE - SENSEX Index Options'!$L:$L,'BSE - SENSEX Index Options'!$C:$C,$A165,'BSE - SENSEX Index Options'!$B:$B,D$147,'BSE - SENSEX Index Options'!$H:$H,"Monthly*")+SUMIFS('BSE - Other Index Options'!$L:$L,'BSE - Other Index Options'!$C:$C,$A165,'BSE - Other Index Options'!$B:$B,D$147,'BSE - Other Index Options'!$H:$H,"Monthly*"))</f>
        <v>2.4500000000000002</v>
      </c>
      <c r="E165" s="26">
        <f>IF(SUMIFS('BSE - SENSEX Index Options'!$L:$L,'BSE - SENSEX Index Options'!$C:$C,$A165,'BSE - SENSEX Index Options'!$B:$B,E$147,'BSE - SENSEX Index Options'!$H:$H,"Monthly*")+SUMIFS('BSE - Other Index Options'!$L:$L,'BSE - Other Index Options'!$C:$C,$A165,'BSE - Other Index Options'!$B:$B,E$147,'BSE - Other Index Options'!$H:$H,"Monthly*")=0,"",SUMIFS('BSE - SENSEX Index Options'!$L:$L,'BSE - SENSEX Index Options'!$C:$C,$A165,'BSE - SENSEX Index Options'!$B:$B,E$147,'BSE - SENSEX Index Options'!$H:$H,"Monthly*")+SUMIFS('BSE - Other Index Options'!$L:$L,'BSE - Other Index Options'!$C:$C,$A165,'BSE - Other Index Options'!$B:$B,E$147,'BSE - Other Index Options'!$H:$H,"Monthly*"))</f>
        <v>3.9</v>
      </c>
      <c r="F165" s="26">
        <f>IF(SUMIFS('BSE - SENSEX Index Options'!$L:$L,'BSE - SENSEX Index Options'!$C:$C,$A165,'BSE - SENSEX Index Options'!$B:$B,F$147,'BSE - SENSEX Index Options'!$H:$H,"Monthly*")+SUMIFS('BSE - Other Index Options'!$L:$L,'BSE - Other Index Options'!$C:$C,$A165,'BSE - Other Index Options'!$B:$B,F$147,'BSE - Other Index Options'!$H:$H,"Monthly*")=0,"",SUMIFS('BSE - SENSEX Index Options'!$L:$L,'BSE - SENSEX Index Options'!$C:$C,$A165,'BSE - SENSEX Index Options'!$B:$B,F$147,'BSE - SENSEX Index Options'!$H:$H,"Monthly*")+SUMIFS('BSE - Other Index Options'!$L:$L,'BSE - Other Index Options'!$C:$C,$A165,'BSE - Other Index Options'!$B:$B,F$147,'BSE - Other Index Options'!$H:$H,"Monthly*"))</f>
        <v>5.0199999999999996</v>
      </c>
      <c r="G165" s="26" t="str">
        <f>IF(SUMIFS('BSE - SENSEX Index Options'!$L:$L,'BSE - SENSEX Index Options'!$C:$C,$A165,'BSE - SENSEX Index Options'!$B:$B,G$147,'BSE - SENSEX Index Options'!$H:$H,"Monthly*")+SUMIFS('BSE - Other Index Options'!$L:$L,'BSE - Other Index Options'!$C:$C,$A165,'BSE - Other Index Options'!$B:$B,G$147,'BSE - Other Index Options'!$H:$H,"Monthly*")=0,"",SUMIFS('BSE - SENSEX Index Options'!$L:$L,'BSE - SENSEX Index Options'!$C:$C,$A165,'BSE - SENSEX Index Options'!$B:$B,G$147,'BSE - SENSEX Index Options'!$H:$H,"Monthly*")+SUMIFS('BSE - Other Index Options'!$L:$L,'BSE - Other Index Options'!$C:$C,$A165,'BSE - Other Index Options'!$B:$B,G$147,'BSE - Other Index Options'!$H:$H,"Monthly*"))</f>
        <v/>
      </c>
      <c r="H165" s="26">
        <f t="shared" si="6"/>
        <v>14.959999999999999</v>
      </c>
    </row>
    <row r="166" spans="1:8">
      <c r="A166" t="s">
        <v>28</v>
      </c>
      <c r="B166" s="26">
        <f>IF(SUMIFS('BSE - SENSEX Index Options'!$L:$L,'BSE - SENSEX Index Options'!$C:$C,$A166,'BSE - SENSEX Index Options'!$B:$B,B$147,'BSE - SENSEX Index Options'!$H:$H,"Monthly*")+SUMIFS('BSE - Other Index Options'!$L:$L,'BSE - Other Index Options'!$C:$C,$A166,'BSE - Other Index Options'!$B:$B,B$147,'BSE - Other Index Options'!$H:$H,"Monthly*")=0,"",SUMIFS('BSE - SENSEX Index Options'!$L:$L,'BSE - SENSEX Index Options'!$C:$C,$A166,'BSE - SENSEX Index Options'!$B:$B,B$147,'BSE - SENSEX Index Options'!$H:$H,"Monthly*")+SUMIFS('BSE - Other Index Options'!$L:$L,'BSE - Other Index Options'!$C:$C,$A166,'BSE - Other Index Options'!$B:$B,B$147,'BSE - Other Index Options'!$H:$H,"Monthly*"))</f>
        <v>4.22</v>
      </c>
      <c r="C166" s="26">
        <f>IF(SUMIFS('BSE - SENSEX Index Options'!$L:$L,'BSE - SENSEX Index Options'!$C:$C,$A166,'BSE - SENSEX Index Options'!$B:$B,C$147,'BSE - SENSEX Index Options'!$H:$H,"Monthly*")+SUMIFS('BSE - Other Index Options'!$L:$L,'BSE - Other Index Options'!$C:$C,$A166,'BSE - Other Index Options'!$B:$B,C$147,'BSE - Other Index Options'!$H:$H,"Monthly*")=0,"",SUMIFS('BSE - SENSEX Index Options'!$L:$L,'BSE - SENSEX Index Options'!$C:$C,$A166,'BSE - SENSEX Index Options'!$B:$B,C$147,'BSE - SENSEX Index Options'!$H:$H,"Monthly*")+SUMIFS('BSE - Other Index Options'!$L:$L,'BSE - Other Index Options'!$C:$C,$A166,'BSE - Other Index Options'!$B:$B,C$147,'BSE - Other Index Options'!$H:$H,"Monthly*"))</f>
        <v>5.08</v>
      </c>
      <c r="D166" s="26">
        <f>IF(SUMIFS('BSE - SENSEX Index Options'!$L:$L,'BSE - SENSEX Index Options'!$C:$C,$A166,'BSE - SENSEX Index Options'!$B:$B,D$147,'BSE - SENSEX Index Options'!$H:$H,"Monthly*")+SUMIFS('BSE - Other Index Options'!$L:$L,'BSE - Other Index Options'!$C:$C,$A166,'BSE - Other Index Options'!$B:$B,D$147,'BSE - Other Index Options'!$H:$H,"Monthly*")=0,"",SUMIFS('BSE - SENSEX Index Options'!$L:$L,'BSE - SENSEX Index Options'!$C:$C,$A166,'BSE - SENSEX Index Options'!$B:$B,D$147,'BSE - SENSEX Index Options'!$H:$H,"Monthly*")+SUMIFS('BSE - Other Index Options'!$L:$L,'BSE - Other Index Options'!$C:$C,$A166,'BSE - Other Index Options'!$B:$B,D$147,'BSE - Other Index Options'!$H:$H,"Monthly*"))</f>
        <v>5.6</v>
      </c>
      <c r="E166" s="26" t="str">
        <f>IF(SUMIFS('BSE - SENSEX Index Options'!$L:$L,'BSE - SENSEX Index Options'!$C:$C,$A166,'BSE - SENSEX Index Options'!$B:$B,E$147,'BSE - SENSEX Index Options'!$H:$H,"Monthly*")+SUMIFS('BSE - Other Index Options'!$L:$L,'BSE - Other Index Options'!$C:$C,$A166,'BSE - Other Index Options'!$B:$B,E$147,'BSE - Other Index Options'!$H:$H,"Monthly*")=0,"",SUMIFS('BSE - SENSEX Index Options'!$L:$L,'BSE - SENSEX Index Options'!$C:$C,$A166,'BSE - SENSEX Index Options'!$B:$B,E$147,'BSE - SENSEX Index Options'!$H:$H,"Monthly*")+SUMIFS('BSE - Other Index Options'!$L:$L,'BSE - Other Index Options'!$C:$C,$A166,'BSE - Other Index Options'!$B:$B,E$147,'BSE - Other Index Options'!$H:$H,"Monthly*"))</f>
        <v/>
      </c>
      <c r="F166" s="26">
        <f>IF(SUMIFS('BSE - SENSEX Index Options'!$L:$L,'BSE - SENSEX Index Options'!$C:$C,$A166,'BSE - SENSEX Index Options'!$B:$B,F$147,'BSE - SENSEX Index Options'!$H:$H,"Monthly*")+SUMIFS('BSE - Other Index Options'!$L:$L,'BSE - Other Index Options'!$C:$C,$A166,'BSE - Other Index Options'!$B:$B,F$147,'BSE - Other Index Options'!$H:$H,"Monthly*")=0,"",SUMIFS('BSE - SENSEX Index Options'!$L:$L,'BSE - SENSEX Index Options'!$C:$C,$A166,'BSE - SENSEX Index Options'!$B:$B,F$147,'BSE - SENSEX Index Options'!$H:$H,"Monthly*")+SUMIFS('BSE - Other Index Options'!$L:$L,'BSE - Other Index Options'!$C:$C,$A166,'BSE - Other Index Options'!$B:$B,F$147,'BSE - Other Index Options'!$H:$H,"Monthly*"))</f>
        <v>11.219999999999999</v>
      </c>
      <c r="G166" s="26" t="str">
        <f>IF(SUMIFS('BSE - SENSEX Index Options'!$L:$L,'BSE - SENSEX Index Options'!$C:$C,$A166,'BSE - SENSEX Index Options'!$B:$B,G$147,'BSE - SENSEX Index Options'!$H:$H,"Monthly*")+SUMIFS('BSE - Other Index Options'!$L:$L,'BSE - Other Index Options'!$C:$C,$A166,'BSE - Other Index Options'!$B:$B,G$147,'BSE - Other Index Options'!$H:$H,"Monthly*")=0,"",SUMIFS('BSE - SENSEX Index Options'!$L:$L,'BSE - SENSEX Index Options'!$C:$C,$A166,'BSE - SENSEX Index Options'!$B:$B,G$147,'BSE - SENSEX Index Options'!$H:$H,"Monthly*")+SUMIFS('BSE - Other Index Options'!$L:$L,'BSE - Other Index Options'!$C:$C,$A166,'BSE - Other Index Options'!$B:$B,G$147,'BSE - Other Index Options'!$H:$H,"Monthly*"))</f>
        <v/>
      </c>
      <c r="H166" s="26">
        <f t="shared" si="6"/>
        <v>26.119999999999997</v>
      </c>
    </row>
    <row r="167" spans="1:8">
      <c r="A167" t="s">
        <v>29</v>
      </c>
      <c r="B167" s="26">
        <f>IF(SUMIFS('BSE - SENSEX Index Options'!$L:$L,'BSE - SENSEX Index Options'!$C:$C,$A167,'BSE - SENSEX Index Options'!$B:$B,B$147,'BSE - SENSEX Index Options'!$H:$H,"Monthly*")+SUMIFS('BSE - Other Index Options'!$L:$L,'BSE - Other Index Options'!$C:$C,$A167,'BSE - Other Index Options'!$B:$B,B$147,'BSE - Other Index Options'!$H:$H,"Monthly*")=0,"",SUMIFS('BSE - SENSEX Index Options'!$L:$L,'BSE - SENSEX Index Options'!$C:$C,$A167,'BSE - SENSEX Index Options'!$B:$B,B$147,'BSE - SENSEX Index Options'!$H:$H,"Monthly*")+SUMIFS('BSE - Other Index Options'!$L:$L,'BSE - Other Index Options'!$C:$C,$A167,'BSE - Other Index Options'!$B:$B,B$147,'BSE - Other Index Options'!$H:$H,"Monthly*"))</f>
        <v>10.32</v>
      </c>
      <c r="C167" s="26">
        <f>IF(SUMIFS('BSE - SENSEX Index Options'!$L:$L,'BSE - SENSEX Index Options'!$C:$C,$A167,'BSE - SENSEX Index Options'!$B:$B,C$147,'BSE - SENSEX Index Options'!$H:$H,"Monthly*")+SUMIFS('BSE - Other Index Options'!$L:$L,'BSE - Other Index Options'!$C:$C,$A167,'BSE - Other Index Options'!$B:$B,C$147,'BSE - Other Index Options'!$H:$H,"Monthly*")=0,"",SUMIFS('BSE - SENSEX Index Options'!$L:$L,'BSE - SENSEX Index Options'!$C:$C,$A167,'BSE - SENSEX Index Options'!$B:$B,C$147,'BSE - SENSEX Index Options'!$H:$H,"Monthly*")+SUMIFS('BSE - Other Index Options'!$L:$L,'BSE - Other Index Options'!$C:$C,$A167,'BSE - Other Index Options'!$B:$B,C$147,'BSE - Other Index Options'!$H:$H,"Monthly*"))</f>
        <v>9.74</v>
      </c>
      <c r="D167" s="26">
        <f>IF(SUMIFS('BSE - SENSEX Index Options'!$L:$L,'BSE - SENSEX Index Options'!$C:$C,$A167,'BSE - SENSEX Index Options'!$B:$B,D$147,'BSE - SENSEX Index Options'!$H:$H,"Monthly*")+SUMIFS('BSE - Other Index Options'!$L:$L,'BSE - Other Index Options'!$C:$C,$A167,'BSE - Other Index Options'!$B:$B,D$147,'BSE - Other Index Options'!$H:$H,"Monthly*")=0,"",SUMIFS('BSE - SENSEX Index Options'!$L:$L,'BSE - SENSEX Index Options'!$C:$C,$A167,'BSE - SENSEX Index Options'!$B:$B,D$147,'BSE - SENSEX Index Options'!$H:$H,"Monthly*")+SUMIFS('BSE - Other Index Options'!$L:$L,'BSE - Other Index Options'!$C:$C,$A167,'BSE - Other Index Options'!$B:$B,D$147,'BSE - Other Index Options'!$H:$H,"Monthly*"))</f>
        <v>22.459999999999997</v>
      </c>
      <c r="E167" s="26" t="str">
        <f>IF(SUMIFS('BSE - SENSEX Index Options'!$L:$L,'BSE - SENSEX Index Options'!$C:$C,$A167,'BSE - SENSEX Index Options'!$B:$B,E$147,'BSE - SENSEX Index Options'!$H:$H,"Monthly*")+SUMIFS('BSE - Other Index Options'!$L:$L,'BSE - Other Index Options'!$C:$C,$A167,'BSE - Other Index Options'!$B:$B,E$147,'BSE - Other Index Options'!$H:$H,"Monthly*")=0,"",SUMIFS('BSE - SENSEX Index Options'!$L:$L,'BSE - SENSEX Index Options'!$C:$C,$A167,'BSE - SENSEX Index Options'!$B:$B,E$147,'BSE - SENSEX Index Options'!$H:$H,"Monthly*")+SUMIFS('BSE - Other Index Options'!$L:$L,'BSE - Other Index Options'!$C:$C,$A167,'BSE - Other Index Options'!$B:$B,E$147,'BSE - Other Index Options'!$H:$H,"Monthly*"))</f>
        <v/>
      </c>
      <c r="F167" s="26" t="str">
        <f>IF(SUMIFS('BSE - SENSEX Index Options'!$L:$L,'BSE - SENSEX Index Options'!$C:$C,$A167,'BSE - SENSEX Index Options'!$B:$B,F$147,'BSE - SENSEX Index Options'!$H:$H,"Monthly*")+SUMIFS('BSE - Other Index Options'!$L:$L,'BSE - Other Index Options'!$C:$C,$A167,'BSE - Other Index Options'!$B:$B,F$147,'BSE - Other Index Options'!$H:$H,"Monthly*")=0,"",SUMIFS('BSE - SENSEX Index Options'!$L:$L,'BSE - SENSEX Index Options'!$C:$C,$A167,'BSE - SENSEX Index Options'!$B:$B,F$147,'BSE - SENSEX Index Options'!$H:$H,"Monthly*")+SUMIFS('BSE - Other Index Options'!$L:$L,'BSE - Other Index Options'!$C:$C,$A167,'BSE - Other Index Options'!$B:$B,F$147,'BSE - Other Index Options'!$H:$H,"Monthly*"))</f>
        <v/>
      </c>
      <c r="G167" s="26" t="str">
        <f>IF(SUMIFS('BSE - SENSEX Index Options'!$L:$L,'BSE - SENSEX Index Options'!$C:$C,$A167,'BSE - SENSEX Index Options'!$B:$B,G$147,'BSE - SENSEX Index Options'!$H:$H,"Monthly*")+SUMIFS('BSE - Other Index Options'!$L:$L,'BSE - Other Index Options'!$C:$C,$A167,'BSE - Other Index Options'!$B:$B,G$147,'BSE - Other Index Options'!$H:$H,"Monthly*")=0,"",SUMIFS('BSE - SENSEX Index Options'!$L:$L,'BSE - SENSEX Index Options'!$C:$C,$A167,'BSE - SENSEX Index Options'!$B:$B,G$147,'BSE - SENSEX Index Options'!$H:$H,"Monthly*")+SUMIFS('BSE - Other Index Options'!$L:$L,'BSE - Other Index Options'!$C:$C,$A167,'BSE - Other Index Options'!$B:$B,G$147,'BSE - Other Index Options'!$H:$H,"Monthly*"))</f>
        <v/>
      </c>
      <c r="H167" s="26">
        <f t="shared" si="6"/>
        <v>42.519999999999996</v>
      </c>
    </row>
    <row r="168" spans="1:8">
      <c r="A168" t="s">
        <v>30</v>
      </c>
      <c r="B168" s="26">
        <f>IF(SUMIFS('BSE - SENSEX Index Options'!$L:$L,'BSE - SENSEX Index Options'!$C:$C,$A168,'BSE - SENSEX Index Options'!$B:$B,B$147,'BSE - SENSEX Index Options'!$H:$H,"Monthly*")+SUMIFS('BSE - Other Index Options'!$L:$L,'BSE - Other Index Options'!$C:$C,$A168,'BSE - Other Index Options'!$B:$B,B$147,'BSE - Other Index Options'!$H:$H,"Monthly*")=0,"",SUMIFS('BSE - SENSEX Index Options'!$L:$L,'BSE - SENSEX Index Options'!$C:$C,$A168,'BSE - SENSEX Index Options'!$B:$B,B$147,'BSE - SENSEX Index Options'!$H:$H,"Monthly*")+SUMIFS('BSE - Other Index Options'!$L:$L,'BSE - Other Index Options'!$C:$C,$A168,'BSE - Other Index Options'!$B:$B,B$147,'BSE - Other Index Options'!$H:$H,"Monthly*"))</f>
        <v>31.69</v>
      </c>
      <c r="C168" s="26">
        <f>IF(SUMIFS('BSE - SENSEX Index Options'!$L:$L,'BSE - SENSEX Index Options'!$C:$C,$A168,'BSE - SENSEX Index Options'!$B:$B,C$147,'BSE - SENSEX Index Options'!$H:$H,"Monthly*")+SUMIFS('BSE - Other Index Options'!$L:$L,'BSE - Other Index Options'!$C:$C,$A168,'BSE - Other Index Options'!$B:$B,C$147,'BSE - Other Index Options'!$H:$H,"Monthly*")=0,"",SUMIFS('BSE - SENSEX Index Options'!$L:$L,'BSE - SENSEX Index Options'!$C:$C,$A168,'BSE - SENSEX Index Options'!$B:$B,C$147,'BSE - SENSEX Index Options'!$H:$H,"Monthly*")+SUMIFS('BSE - Other Index Options'!$L:$L,'BSE - Other Index Options'!$C:$C,$A168,'BSE - Other Index Options'!$B:$B,C$147,'BSE - Other Index Options'!$H:$H,"Monthly*"))</f>
        <v>25.59</v>
      </c>
      <c r="D168" s="26">
        <f>IF(SUMIFS('BSE - SENSEX Index Options'!$L:$L,'BSE - SENSEX Index Options'!$C:$C,$A168,'BSE - SENSEX Index Options'!$B:$B,D$147,'BSE - SENSEX Index Options'!$H:$H,"Monthly*")+SUMIFS('BSE - Other Index Options'!$L:$L,'BSE - Other Index Options'!$C:$C,$A168,'BSE - Other Index Options'!$B:$B,D$147,'BSE - Other Index Options'!$H:$H,"Monthly*")=0,"",SUMIFS('BSE - SENSEX Index Options'!$L:$L,'BSE - SENSEX Index Options'!$C:$C,$A168,'BSE - SENSEX Index Options'!$B:$B,D$147,'BSE - SENSEX Index Options'!$H:$H,"Monthly*")+SUMIFS('BSE - Other Index Options'!$L:$L,'BSE - Other Index Options'!$C:$C,$A168,'BSE - Other Index Options'!$B:$B,D$147,'BSE - Other Index Options'!$H:$H,"Monthly*"))</f>
        <v>26.49</v>
      </c>
      <c r="E168" s="26">
        <f>IF(SUMIFS('BSE - SENSEX Index Options'!$L:$L,'BSE - SENSEX Index Options'!$C:$C,$A168,'BSE - SENSEX Index Options'!$B:$B,E$147,'BSE - SENSEX Index Options'!$H:$H,"Monthly*")+SUMIFS('BSE - Other Index Options'!$L:$L,'BSE - Other Index Options'!$C:$C,$A168,'BSE - Other Index Options'!$B:$B,E$147,'BSE - Other Index Options'!$H:$H,"Monthly*")=0,"",SUMIFS('BSE - SENSEX Index Options'!$L:$L,'BSE - SENSEX Index Options'!$C:$C,$A168,'BSE - SENSEX Index Options'!$B:$B,E$147,'BSE - SENSEX Index Options'!$H:$H,"Monthly*")+SUMIFS('BSE - Other Index Options'!$L:$L,'BSE - Other Index Options'!$C:$C,$A168,'BSE - Other Index Options'!$B:$B,E$147,'BSE - Other Index Options'!$H:$H,"Monthly*"))</f>
        <v>19.95</v>
      </c>
      <c r="F168" s="26">
        <f>IF(SUMIFS('BSE - SENSEX Index Options'!$L:$L,'BSE - SENSEX Index Options'!$C:$C,$A168,'BSE - SENSEX Index Options'!$B:$B,F$147,'BSE - SENSEX Index Options'!$H:$H,"Monthly*")+SUMIFS('BSE - Other Index Options'!$L:$L,'BSE - Other Index Options'!$C:$C,$A168,'BSE - Other Index Options'!$B:$B,F$147,'BSE - Other Index Options'!$H:$H,"Monthly*")=0,"",SUMIFS('BSE - SENSEX Index Options'!$L:$L,'BSE - SENSEX Index Options'!$C:$C,$A168,'BSE - SENSEX Index Options'!$B:$B,F$147,'BSE - SENSEX Index Options'!$H:$H,"Monthly*")+SUMIFS('BSE - Other Index Options'!$L:$L,'BSE - Other Index Options'!$C:$C,$A168,'BSE - Other Index Options'!$B:$B,F$147,'BSE - Other Index Options'!$H:$H,"Monthly*"))</f>
        <v>20.470000000000002</v>
      </c>
      <c r="G168" s="26" t="str">
        <f>IF(SUMIFS('BSE - SENSEX Index Options'!$L:$L,'BSE - SENSEX Index Options'!$C:$C,$A168,'BSE - SENSEX Index Options'!$B:$B,G$147,'BSE - SENSEX Index Options'!$H:$H,"Monthly*")+SUMIFS('BSE - Other Index Options'!$L:$L,'BSE - Other Index Options'!$C:$C,$A168,'BSE - Other Index Options'!$B:$B,G$147,'BSE - Other Index Options'!$H:$H,"Monthly*")=0,"",SUMIFS('BSE - SENSEX Index Options'!$L:$L,'BSE - SENSEX Index Options'!$C:$C,$A168,'BSE - SENSEX Index Options'!$B:$B,G$147,'BSE - SENSEX Index Options'!$H:$H,"Monthly*")+SUMIFS('BSE - Other Index Options'!$L:$L,'BSE - Other Index Options'!$C:$C,$A168,'BSE - Other Index Options'!$B:$B,G$147,'BSE - Other Index Options'!$H:$H,"Monthly*"))</f>
        <v/>
      </c>
      <c r="H168" s="26">
        <f t="shared" si="6"/>
        <v>124.19</v>
      </c>
    </row>
    <row r="169" spans="1:8">
      <c r="A169" t="s">
        <v>31</v>
      </c>
      <c r="B169" s="26">
        <f>IF(SUMIFS('BSE - SENSEX Index Options'!$L:$L,'BSE - SENSEX Index Options'!$C:$C,$A169,'BSE - SENSEX Index Options'!$B:$B,B$147,'BSE - SENSEX Index Options'!$H:$H,"Monthly*")+SUMIFS('BSE - Other Index Options'!$L:$L,'BSE - Other Index Options'!$C:$C,$A169,'BSE - Other Index Options'!$B:$B,B$147,'BSE - Other Index Options'!$H:$H,"Monthly*")=0,"",SUMIFS('BSE - SENSEX Index Options'!$L:$L,'BSE - SENSEX Index Options'!$C:$C,$A169,'BSE - SENSEX Index Options'!$B:$B,B$147,'BSE - SENSEX Index Options'!$H:$H,"Monthly*")+SUMIFS('BSE - Other Index Options'!$L:$L,'BSE - Other Index Options'!$C:$C,$A169,'BSE - Other Index Options'!$B:$B,B$147,'BSE - Other Index Options'!$H:$H,"Monthly*"))</f>
        <v>90.679999999999993</v>
      </c>
      <c r="C169" s="26">
        <f>IF(SUMIFS('BSE - SENSEX Index Options'!$L:$L,'BSE - SENSEX Index Options'!$C:$C,$A169,'BSE - SENSEX Index Options'!$B:$B,C$147,'BSE - SENSEX Index Options'!$H:$H,"Monthly*")+SUMIFS('BSE - Other Index Options'!$L:$L,'BSE - Other Index Options'!$C:$C,$A169,'BSE - Other Index Options'!$B:$B,C$147,'BSE - Other Index Options'!$H:$H,"Monthly*")=0,"",SUMIFS('BSE - SENSEX Index Options'!$L:$L,'BSE - SENSEX Index Options'!$C:$C,$A169,'BSE - SENSEX Index Options'!$B:$B,C$147,'BSE - SENSEX Index Options'!$H:$H,"Monthly*")+SUMIFS('BSE - Other Index Options'!$L:$L,'BSE - Other Index Options'!$C:$C,$A169,'BSE - Other Index Options'!$B:$B,C$147,'BSE - Other Index Options'!$H:$H,"Monthly*"))</f>
        <v>96.88000000000001</v>
      </c>
      <c r="D169" s="26">
        <f>IF(SUMIFS('BSE - SENSEX Index Options'!$L:$L,'BSE - SENSEX Index Options'!$C:$C,$A169,'BSE - SENSEX Index Options'!$B:$B,D$147,'BSE - SENSEX Index Options'!$H:$H,"Monthly*")+SUMIFS('BSE - Other Index Options'!$L:$L,'BSE - Other Index Options'!$C:$C,$A169,'BSE - Other Index Options'!$B:$B,D$147,'BSE - Other Index Options'!$H:$H,"Monthly*")=0,"",SUMIFS('BSE - SENSEX Index Options'!$L:$L,'BSE - SENSEX Index Options'!$C:$C,$A169,'BSE - SENSEX Index Options'!$B:$B,D$147,'BSE - SENSEX Index Options'!$H:$H,"Monthly*")+SUMIFS('BSE - Other Index Options'!$L:$L,'BSE - Other Index Options'!$C:$C,$A169,'BSE - Other Index Options'!$B:$B,D$147,'BSE - Other Index Options'!$H:$H,"Monthly*"))</f>
        <v>88.899999999999991</v>
      </c>
      <c r="E169" s="26">
        <f>IF(SUMIFS('BSE - SENSEX Index Options'!$L:$L,'BSE - SENSEX Index Options'!$C:$C,$A169,'BSE - SENSEX Index Options'!$B:$B,E$147,'BSE - SENSEX Index Options'!$H:$H,"Monthly*")+SUMIFS('BSE - Other Index Options'!$L:$L,'BSE - Other Index Options'!$C:$C,$A169,'BSE - Other Index Options'!$B:$B,E$147,'BSE - Other Index Options'!$H:$H,"Monthly*")=0,"",SUMIFS('BSE - SENSEX Index Options'!$L:$L,'BSE - SENSEX Index Options'!$C:$C,$A169,'BSE - SENSEX Index Options'!$B:$B,E$147,'BSE - SENSEX Index Options'!$H:$H,"Monthly*")+SUMIFS('BSE - Other Index Options'!$L:$L,'BSE - Other Index Options'!$C:$C,$A169,'BSE - Other Index Options'!$B:$B,E$147,'BSE - Other Index Options'!$H:$H,"Monthly*"))</f>
        <v>55.44</v>
      </c>
      <c r="F169" s="26">
        <f>IF(SUMIFS('BSE - SENSEX Index Options'!$L:$L,'BSE - SENSEX Index Options'!$C:$C,$A169,'BSE - SENSEX Index Options'!$B:$B,F$147,'BSE - SENSEX Index Options'!$H:$H,"Monthly*")+SUMIFS('BSE - Other Index Options'!$L:$L,'BSE - Other Index Options'!$C:$C,$A169,'BSE - Other Index Options'!$B:$B,F$147,'BSE - Other Index Options'!$H:$H,"Monthly*")=0,"",SUMIFS('BSE - SENSEX Index Options'!$L:$L,'BSE - SENSEX Index Options'!$C:$C,$A169,'BSE - SENSEX Index Options'!$B:$B,F$147,'BSE - SENSEX Index Options'!$H:$H,"Monthly*")+SUMIFS('BSE - Other Index Options'!$L:$L,'BSE - Other Index Options'!$C:$C,$A169,'BSE - Other Index Options'!$B:$B,F$147,'BSE - Other Index Options'!$H:$H,"Monthly*"))</f>
        <v>65.12</v>
      </c>
      <c r="G169" s="26" t="str">
        <f>IF(SUMIFS('BSE - SENSEX Index Options'!$L:$L,'BSE - SENSEX Index Options'!$C:$C,$A169,'BSE - SENSEX Index Options'!$B:$B,G$147,'BSE - SENSEX Index Options'!$H:$H,"Monthly*")+SUMIFS('BSE - Other Index Options'!$L:$L,'BSE - Other Index Options'!$C:$C,$A169,'BSE - Other Index Options'!$B:$B,G$147,'BSE - Other Index Options'!$H:$H,"Monthly*")=0,"",SUMIFS('BSE - SENSEX Index Options'!$L:$L,'BSE - SENSEX Index Options'!$C:$C,$A169,'BSE - SENSEX Index Options'!$B:$B,G$147,'BSE - SENSEX Index Options'!$H:$H,"Monthly*")+SUMIFS('BSE - Other Index Options'!$L:$L,'BSE - Other Index Options'!$C:$C,$A169,'BSE - Other Index Options'!$B:$B,G$147,'BSE - Other Index Options'!$H:$H,"Monthly*"))</f>
        <v/>
      </c>
      <c r="H169" s="26">
        <f t="shared" si="6"/>
        <v>397.02</v>
      </c>
    </row>
    <row r="170" spans="1:8">
      <c r="A170" t="s">
        <v>32</v>
      </c>
      <c r="B170" s="26">
        <f>IF(SUMIFS('BSE - SENSEX Index Options'!$L:$L,'BSE - SENSEX Index Options'!$C:$C,$A170,'BSE - SENSEX Index Options'!$B:$B,B$147,'BSE - SENSEX Index Options'!$H:$H,"Monthly*")+SUMIFS('BSE - Other Index Options'!$L:$L,'BSE - Other Index Options'!$C:$C,$A170,'BSE - Other Index Options'!$B:$B,B$147,'BSE - Other Index Options'!$H:$H,"Monthly*")=0,"",SUMIFS('BSE - SENSEX Index Options'!$L:$L,'BSE - SENSEX Index Options'!$C:$C,$A170,'BSE - SENSEX Index Options'!$B:$B,B$147,'BSE - SENSEX Index Options'!$H:$H,"Monthly*")+SUMIFS('BSE - Other Index Options'!$L:$L,'BSE - Other Index Options'!$C:$C,$A170,'BSE - Other Index Options'!$B:$B,B$147,'BSE - Other Index Options'!$H:$H,"Monthly*"))</f>
        <v>222.78</v>
      </c>
      <c r="C170" s="26">
        <f>IF(SUMIFS('BSE - SENSEX Index Options'!$L:$L,'BSE - SENSEX Index Options'!$C:$C,$A170,'BSE - SENSEX Index Options'!$B:$B,C$147,'BSE - SENSEX Index Options'!$H:$H,"Monthly*")+SUMIFS('BSE - Other Index Options'!$L:$L,'BSE - Other Index Options'!$C:$C,$A170,'BSE - Other Index Options'!$B:$B,C$147,'BSE - Other Index Options'!$H:$H,"Monthly*")=0,"",SUMIFS('BSE - SENSEX Index Options'!$L:$L,'BSE - SENSEX Index Options'!$C:$C,$A170,'BSE - SENSEX Index Options'!$B:$B,C$147,'BSE - SENSEX Index Options'!$H:$H,"Monthly*")+SUMIFS('BSE - Other Index Options'!$L:$L,'BSE - Other Index Options'!$C:$C,$A170,'BSE - Other Index Options'!$B:$B,C$147,'BSE - Other Index Options'!$H:$H,"Monthly*"))</f>
        <v>327.85999999999996</v>
      </c>
      <c r="D170" s="26">
        <f>IF(SUMIFS('BSE - SENSEX Index Options'!$L:$L,'BSE - SENSEX Index Options'!$C:$C,$A170,'BSE - SENSEX Index Options'!$B:$B,D$147,'BSE - SENSEX Index Options'!$H:$H,"Monthly*")+SUMIFS('BSE - Other Index Options'!$L:$L,'BSE - Other Index Options'!$C:$C,$A170,'BSE - Other Index Options'!$B:$B,D$147,'BSE - Other Index Options'!$H:$H,"Monthly*")=0,"",SUMIFS('BSE - SENSEX Index Options'!$L:$L,'BSE - SENSEX Index Options'!$C:$C,$A170,'BSE - SENSEX Index Options'!$B:$B,D$147,'BSE - SENSEX Index Options'!$H:$H,"Monthly*")+SUMIFS('BSE - Other Index Options'!$L:$L,'BSE - Other Index Options'!$C:$C,$A170,'BSE - Other Index Options'!$B:$B,D$147,'BSE - Other Index Options'!$H:$H,"Monthly*"))</f>
        <v>838.81999999999994</v>
      </c>
      <c r="E170" s="26" t="str">
        <f>IF(SUMIFS('BSE - SENSEX Index Options'!$L:$L,'BSE - SENSEX Index Options'!$C:$C,$A170,'BSE - SENSEX Index Options'!$B:$B,E$147,'BSE - SENSEX Index Options'!$H:$H,"Monthly*")+SUMIFS('BSE - Other Index Options'!$L:$L,'BSE - Other Index Options'!$C:$C,$A170,'BSE - Other Index Options'!$B:$B,E$147,'BSE - Other Index Options'!$H:$H,"Monthly*")=0,"",SUMIFS('BSE - SENSEX Index Options'!$L:$L,'BSE - SENSEX Index Options'!$C:$C,$A170,'BSE - SENSEX Index Options'!$B:$B,E$147,'BSE - SENSEX Index Options'!$H:$H,"Monthly*")+SUMIFS('BSE - Other Index Options'!$L:$L,'BSE - Other Index Options'!$C:$C,$A170,'BSE - Other Index Options'!$B:$B,E$147,'BSE - Other Index Options'!$H:$H,"Monthly*"))</f>
        <v/>
      </c>
      <c r="F170" s="26">
        <f>IF(SUMIFS('BSE - SENSEX Index Options'!$L:$L,'BSE - SENSEX Index Options'!$C:$C,$A170,'BSE - SENSEX Index Options'!$B:$B,F$147,'BSE - SENSEX Index Options'!$H:$H,"Monthly*")+SUMIFS('BSE - Other Index Options'!$L:$L,'BSE - Other Index Options'!$C:$C,$A170,'BSE - Other Index Options'!$B:$B,F$147,'BSE - Other Index Options'!$H:$H,"Monthly*")=0,"",SUMIFS('BSE - SENSEX Index Options'!$L:$L,'BSE - SENSEX Index Options'!$C:$C,$A170,'BSE - SENSEX Index Options'!$B:$B,F$147,'BSE - SENSEX Index Options'!$H:$H,"Monthly*")+SUMIFS('BSE - Other Index Options'!$L:$L,'BSE - Other Index Options'!$C:$C,$A170,'BSE - Other Index Options'!$B:$B,F$147,'BSE - Other Index Options'!$H:$H,"Monthly*"))</f>
        <v>191.31</v>
      </c>
      <c r="G170" s="26" t="str">
        <f>IF(SUMIFS('BSE - SENSEX Index Options'!$L:$L,'BSE - SENSEX Index Options'!$C:$C,$A170,'BSE - SENSEX Index Options'!$B:$B,G$147,'BSE - SENSEX Index Options'!$H:$H,"Monthly*")+SUMIFS('BSE - Other Index Options'!$L:$L,'BSE - Other Index Options'!$C:$C,$A170,'BSE - Other Index Options'!$B:$B,G$147,'BSE - Other Index Options'!$H:$H,"Monthly*")=0,"",SUMIFS('BSE - SENSEX Index Options'!$L:$L,'BSE - SENSEX Index Options'!$C:$C,$A170,'BSE - SENSEX Index Options'!$B:$B,G$147,'BSE - SENSEX Index Options'!$H:$H,"Monthly*")+SUMIFS('BSE - Other Index Options'!$L:$L,'BSE - Other Index Options'!$C:$C,$A170,'BSE - Other Index Options'!$B:$B,G$147,'BSE - Other Index Options'!$H:$H,"Monthly*"))</f>
        <v/>
      </c>
      <c r="H170" s="26">
        <f t="shared" si="6"/>
        <v>1580.77</v>
      </c>
    </row>
    <row r="171" spans="1:8">
      <c r="A171" t="s">
        <v>33</v>
      </c>
      <c r="B171" s="26" t="str">
        <f>IF(SUMIFS('BSE - SENSEX Index Options'!$L:$L,'BSE - SENSEX Index Options'!$C:$C,$A171,'BSE - SENSEX Index Options'!$B:$B,B$147,'BSE - SENSEX Index Options'!$H:$H,"Monthly*")+SUMIFS('BSE - Other Index Options'!$L:$L,'BSE - Other Index Options'!$C:$C,$A171,'BSE - Other Index Options'!$B:$B,B$147,'BSE - Other Index Options'!$H:$H,"Monthly*")=0,"",SUMIFS('BSE - SENSEX Index Options'!$L:$L,'BSE - SENSEX Index Options'!$C:$C,$A171,'BSE - SENSEX Index Options'!$B:$B,B$147,'BSE - SENSEX Index Options'!$H:$H,"Monthly*")+SUMIFS('BSE - Other Index Options'!$L:$L,'BSE - Other Index Options'!$C:$C,$A171,'BSE - Other Index Options'!$B:$B,B$147,'BSE - Other Index Options'!$H:$H,"Monthly*"))</f>
        <v/>
      </c>
      <c r="C171" s="26">
        <f>IF(SUMIFS('BSE - SENSEX Index Options'!$L:$L,'BSE - SENSEX Index Options'!$C:$C,$A171,'BSE - SENSEX Index Options'!$B:$B,C$147,'BSE - SENSEX Index Options'!$H:$H,"Monthly*")+SUMIFS('BSE - Other Index Options'!$L:$L,'BSE - Other Index Options'!$C:$C,$A171,'BSE - Other Index Options'!$B:$B,C$147,'BSE - Other Index Options'!$H:$H,"Monthly*")=0,"",SUMIFS('BSE - SENSEX Index Options'!$L:$L,'BSE - SENSEX Index Options'!$C:$C,$A171,'BSE - SENSEX Index Options'!$B:$B,C$147,'BSE - SENSEX Index Options'!$H:$H,"Monthly*")+SUMIFS('BSE - Other Index Options'!$L:$L,'BSE - Other Index Options'!$C:$C,$A171,'BSE - Other Index Options'!$B:$B,C$147,'BSE - Other Index Options'!$H:$H,"Monthly*"))</f>
        <v>50.66</v>
      </c>
      <c r="D171" s="26">
        <f>IF(SUMIFS('BSE - SENSEX Index Options'!$L:$L,'BSE - SENSEX Index Options'!$C:$C,$A171,'BSE - SENSEX Index Options'!$B:$B,D$147,'BSE - SENSEX Index Options'!$H:$H,"Monthly*")+SUMIFS('BSE - Other Index Options'!$L:$L,'BSE - Other Index Options'!$C:$C,$A171,'BSE - Other Index Options'!$B:$B,D$147,'BSE - Other Index Options'!$H:$H,"Monthly*")=0,"",SUMIFS('BSE - SENSEX Index Options'!$L:$L,'BSE - SENSEX Index Options'!$C:$C,$A171,'BSE - SENSEX Index Options'!$B:$B,D$147,'BSE - SENSEX Index Options'!$H:$H,"Monthly*")+SUMIFS('BSE - Other Index Options'!$L:$L,'BSE - Other Index Options'!$C:$C,$A171,'BSE - Other Index Options'!$B:$B,D$147,'BSE - Other Index Options'!$H:$H,"Monthly*"))</f>
        <v>400.84</v>
      </c>
      <c r="E171" s="26">
        <f>IF(SUMIFS('BSE - SENSEX Index Options'!$L:$L,'BSE - SENSEX Index Options'!$C:$C,$A171,'BSE - SENSEX Index Options'!$B:$B,E$147,'BSE - SENSEX Index Options'!$H:$H,"Monthly*")+SUMIFS('BSE - Other Index Options'!$L:$L,'BSE - Other Index Options'!$C:$C,$A171,'BSE - Other Index Options'!$B:$B,E$147,'BSE - Other Index Options'!$H:$H,"Monthly*")=0,"",SUMIFS('BSE - SENSEX Index Options'!$L:$L,'BSE - SENSEX Index Options'!$C:$C,$A171,'BSE - SENSEX Index Options'!$B:$B,E$147,'BSE - SENSEX Index Options'!$H:$H,"Monthly*")+SUMIFS('BSE - Other Index Options'!$L:$L,'BSE - Other Index Options'!$C:$C,$A171,'BSE - Other Index Options'!$B:$B,E$147,'BSE - Other Index Options'!$H:$H,"Monthly*"))</f>
        <v>1757.44</v>
      </c>
      <c r="F171" s="26">
        <f>IF(SUMIFS('BSE - SENSEX Index Options'!$L:$L,'BSE - SENSEX Index Options'!$C:$C,$A171,'BSE - SENSEX Index Options'!$B:$B,F$147,'BSE - SENSEX Index Options'!$H:$H,"Monthly*")+SUMIFS('BSE - Other Index Options'!$L:$L,'BSE - Other Index Options'!$C:$C,$A171,'BSE - Other Index Options'!$B:$B,F$147,'BSE - Other Index Options'!$H:$H,"Monthly*")=0,"",SUMIFS('BSE - SENSEX Index Options'!$L:$L,'BSE - SENSEX Index Options'!$C:$C,$A171,'BSE - SENSEX Index Options'!$B:$B,F$147,'BSE - SENSEX Index Options'!$H:$H,"Monthly*")+SUMIFS('BSE - Other Index Options'!$L:$L,'BSE - Other Index Options'!$C:$C,$A171,'BSE - Other Index Options'!$B:$B,F$147,'BSE - Other Index Options'!$H:$H,"Monthly*"))</f>
        <v>45.66</v>
      </c>
      <c r="G171" s="26" t="str">
        <f>IF(SUMIFS('BSE - SENSEX Index Options'!$L:$L,'BSE - SENSEX Index Options'!$C:$C,$A171,'BSE - SENSEX Index Options'!$B:$B,G$147,'BSE - SENSEX Index Options'!$H:$H,"Monthly*")+SUMIFS('BSE - Other Index Options'!$L:$L,'BSE - Other Index Options'!$C:$C,$A171,'BSE - Other Index Options'!$B:$B,G$147,'BSE - Other Index Options'!$H:$H,"Monthly*")=0,"",SUMIFS('BSE - SENSEX Index Options'!$L:$L,'BSE - SENSEX Index Options'!$C:$C,$A171,'BSE - SENSEX Index Options'!$B:$B,G$147,'BSE - SENSEX Index Options'!$H:$H,"Monthly*")+SUMIFS('BSE - Other Index Options'!$L:$L,'BSE - Other Index Options'!$C:$C,$A171,'BSE - Other Index Options'!$B:$B,G$147,'BSE - Other Index Options'!$H:$H,"Monthly*"))</f>
        <v/>
      </c>
      <c r="H171" s="26">
        <f t="shared" si="6"/>
        <v>2254.6</v>
      </c>
    </row>
    <row r="172" spans="1:8">
      <c r="A172" t="s">
        <v>34</v>
      </c>
      <c r="B172" s="26" t="str">
        <f>IF(SUMIFS('BSE - SENSEX Index Options'!$L:$L,'BSE - SENSEX Index Options'!$C:$C,$A172,'BSE - SENSEX Index Options'!$B:$B,B$147,'BSE - SENSEX Index Options'!$H:$H,"Monthly*")+SUMIFS('BSE - Other Index Options'!$L:$L,'BSE - Other Index Options'!$C:$C,$A172,'BSE - Other Index Options'!$B:$B,B$147,'BSE - Other Index Options'!$H:$H,"Monthly*")=0,"",SUMIFS('BSE - SENSEX Index Options'!$L:$L,'BSE - SENSEX Index Options'!$C:$C,$A172,'BSE - SENSEX Index Options'!$B:$B,B$147,'BSE - SENSEX Index Options'!$H:$H,"Monthly*")+SUMIFS('BSE - Other Index Options'!$L:$L,'BSE - Other Index Options'!$C:$C,$A172,'BSE - Other Index Options'!$B:$B,B$147,'BSE - Other Index Options'!$H:$H,"Monthly*"))</f>
        <v/>
      </c>
      <c r="C172" s="26" t="str">
        <f>IF(SUMIFS('BSE - SENSEX Index Options'!$L:$L,'BSE - SENSEX Index Options'!$C:$C,$A172,'BSE - SENSEX Index Options'!$B:$B,C$147,'BSE - SENSEX Index Options'!$H:$H,"Monthly*")+SUMIFS('BSE - Other Index Options'!$L:$L,'BSE - Other Index Options'!$C:$C,$A172,'BSE - Other Index Options'!$B:$B,C$147,'BSE - Other Index Options'!$H:$H,"Monthly*")=0,"",SUMIFS('BSE - SENSEX Index Options'!$L:$L,'BSE - SENSEX Index Options'!$C:$C,$A172,'BSE - SENSEX Index Options'!$B:$B,C$147,'BSE - SENSEX Index Options'!$H:$H,"Monthly*")+SUMIFS('BSE - Other Index Options'!$L:$L,'BSE - Other Index Options'!$C:$C,$A172,'BSE - Other Index Options'!$B:$B,C$147,'BSE - Other Index Options'!$H:$H,"Monthly*"))</f>
        <v/>
      </c>
      <c r="D172" s="26" t="str">
        <f>IF(SUMIFS('BSE - SENSEX Index Options'!$L:$L,'BSE - SENSEX Index Options'!$C:$C,$A172,'BSE - SENSEX Index Options'!$B:$B,D$147,'BSE - SENSEX Index Options'!$H:$H,"Monthly*")+SUMIFS('BSE - Other Index Options'!$L:$L,'BSE - Other Index Options'!$C:$C,$A172,'BSE - Other Index Options'!$B:$B,D$147,'BSE - Other Index Options'!$H:$H,"Monthly*")=0,"",SUMIFS('BSE - SENSEX Index Options'!$L:$L,'BSE - SENSEX Index Options'!$C:$C,$A172,'BSE - SENSEX Index Options'!$B:$B,D$147,'BSE - SENSEX Index Options'!$H:$H,"Monthly*")+SUMIFS('BSE - Other Index Options'!$L:$L,'BSE - Other Index Options'!$C:$C,$A172,'BSE - Other Index Options'!$B:$B,D$147,'BSE - Other Index Options'!$H:$H,"Monthly*"))</f>
        <v/>
      </c>
      <c r="E172" s="26">
        <f>IF(SUMIFS('BSE - SENSEX Index Options'!$L:$L,'BSE - SENSEX Index Options'!$C:$C,$A172,'BSE - SENSEX Index Options'!$B:$B,E$147,'BSE - SENSEX Index Options'!$H:$H,"Monthly*")+SUMIFS('BSE - Other Index Options'!$L:$L,'BSE - Other Index Options'!$C:$C,$A172,'BSE - Other Index Options'!$B:$B,E$147,'BSE - Other Index Options'!$H:$H,"Monthly*")=0,"",SUMIFS('BSE - SENSEX Index Options'!$L:$L,'BSE - SENSEX Index Options'!$C:$C,$A172,'BSE - SENSEX Index Options'!$B:$B,E$147,'BSE - SENSEX Index Options'!$H:$H,"Monthly*")+SUMIFS('BSE - Other Index Options'!$L:$L,'BSE - Other Index Options'!$C:$C,$A172,'BSE - Other Index Options'!$B:$B,E$147,'BSE - Other Index Options'!$H:$H,"Monthly*"))</f>
        <v>1131.6400000000001</v>
      </c>
      <c r="F172" s="26">
        <f>IF(SUMIFS('BSE - SENSEX Index Options'!$L:$L,'BSE - SENSEX Index Options'!$C:$C,$A172,'BSE - SENSEX Index Options'!$B:$B,F$147,'BSE - SENSEX Index Options'!$H:$H,"Monthly*")+SUMIFS('BSE - Other Index Options'!$L:$L,'BSE - Other Index Options'!$C:$C,$A172,'BSE - Other Index Options'!$B:$B,F$147,'BSE - Other Index Options'!$H:$H,"Monthly*")=0,"",SUMIFS('BSE - SENSEX Index Options'!$L:$L,'BSE - SENSEX Index Options'!$C:$C,$A172,'BSE - SENSEX Index Options'!$B:$B,F$147,'BSE - SENSEX Index Options'!$H:$H,"Monthly*")+SUMIFS('BSE - Other Index Options'!$L:$L,'BSE - Other Index Options'!$C:$C,$A172,'BSE - Other Index Options'!$B:$B,F$147,'BSE - Other Index Options'!$H:$H,"Monthly*"))</f>
        <v>29.62</v>
      </c>
      <c r="G172" s="26" t="str">
        <f>IF(SUMIFS('BSE - SENSEX Index Options'!$L:$L,'BSE - SENSEX Index Options'!$C:$C,$A172,'BSE - SENSEX Index Options'!$B:$B,G$147,'BSE - SENSEX Index Options'!$H:$H,"Monthly*")+SUMIFS('BSE - Other Index Options'!$L:$L,'BSE - Other Index Options'!$C:$C,$A172,'BSE - Other Index Options'!$B:$B,G$147,'BSE - Other Index Options'!$H:$H,"Monthly*")=0,"",SUMIFS('BSE - SENSEX Index Options'!$L:$L,'BSE - SENSEX Index Options'!$C:$C,$A172,'BSE - SENSEX Index Options'!$B:$B,G$147,'BSE - SENSEX Index Options'!$H:$H,"Monthly*")+SUMIFS('BSE - Other Index Options'!$L:$L,'BSE - Other Index Options'!$C:$C,$A172,'BSE - Other Index Options'!$B:$B,G$147,'BSE - Other Index Options'!$H:$H,"Monthly*"))</f>
        <v/>
      </c>
      <c r="H172" s="26">
        <f t="shared" si="6"/>
        <v>1161.26</v>
      </c>
    </row>
    <row r="173" spans="1:8">
      <c r="A173" t="s">
        <v>35</v>
      </c>
      <c r="B173" s="26">
        <f>IF(SUMIFS('BSE - SENSEX Index Options'!$L:$L,'BSE - SENSEX Index Options'!$C:$C,$A173,'BSE - SENSEX Index Options'!$B:$B,B$147,'BSE - SENSEX Index Options'!$H:$H,"Monthly*")+SUMIFS('BSE - Other Index Options'!$L:$L,'BSE - Other Index Options'!$C:$C,$A173,'BSE - Other Index Options'!$B:$B,B$147,'BSE - Other Index Options'!$H:$H,"Monthly*")=0,"",SUMIFS('BSE - SENSEX Index Options'!$L:$L,'BSE - SENSEX Index Options'!$C:$C,$A173,'BSE - SENSEX Index Options'!$B:$B,B$147,'BSE - SENSEX Index Options'!$H:$H,"Monthly*")+SUMIFS('BSE - Other Index Options'!$L:$L,'BSE - Other Index Options'!$C:$C,$A173,'BSE - Other Index Options'!$B:$B,B$147,'BSE - Other Index Options'!$H:$H,"Monthly*"))</f>
        <v>35.86</v>
      </c>
      <c r="C173" s="26">
        <f>IF(SUMIFS('BSE - SENSEX Index Options'!$L:$L,'BSE - SENSEX Index Options'!$C:$C,$A173,'BSE - SENSEX Index Options'!$B:$B,C$147,'BSE - SENSEX Index Options'!$H:$H,"Monthly*")+SUMIFS('BSE - Other Index Options'!$L:$L,'BSE - Other Index Options'!$C:$C,$A173,'BSE - Other Index Options'!$B:$B,C$147,'BSE - Other Index Options'!$H:$H,"Monthly*")=0,"",SUMIFS('BSE - SENSEX Index Options'!$L:$L,'BSE - SENSEX Index Options'!$C:$C,$A173,'BSE - SENSEX Index Options'!$B:$B,C$147,'BSE - SENSEX Index Options'!$H:$H,"Monthly*")+SUMIFS('BSE - Other Index Options'!$L:$L,'BSE - Other Index Options'!$C:$C,$A173,'BSE - Other Index Options'!$B:$B,C$147,'BSE - Other Index Options'!$H:$H,"Monthly*"))</f>
        <v>65.97</v>
      </c>
      <c r="D173" s="26">
        <f>IF(SUMIFS('BSE - SENSEX Index Options'!$L:$L,'BSE - SENSEX Index Options'!$C:$C,$A173,'BSE - SENSEX Index Options'!$B:$B,D$147,'BSE - SENSEX Index Options'!$H:$H,"Monthly*")+SUMIFS('BSE - Other Index Options'!$L:$L,'BSE - Other Index Options'!$C:$C,$A173,'BSE - Other Index Options'!$B:$B,D$147,'BSE - Other Index Options'!$H:$H,"Monthly*")=0,"",SUMIFS('BSE - SENSEX Index Options'!$L:$L,'BSE - SENSEX Index Options'!$C:$C,$A173,'BSE - SENSEX Index Options'!$B:$B,D$147,'BSE - SENSEX Index Options'!$H:$H,"Monthly*")+SUMIFS('BSE - Other Index Options'!$L:$L,'BSE - Other Index Options'!$C:$C,$A173,'BSE - Other Index Options'!$B:$B,D$147,'BSE - Other Index Options'!$H:$H,"Monthly*"))</f>
        <v>40.14</v>
      </c>
      <c r="E173" s="26">
        <f>IF(SUMIFS('BSE - SENSEX Index Options'!$L:$L,'BSE - SENSEX Index Options'!$C:$C,$A173,'BSE - SENSEX Index Options'!$B:$B,E$147,'BSE - SENSEX Index Options'!$H:$H,"Monthly*")+SUMIFS('BSE - Other Index Options'!$L:$L,'BSE - Other Index Options'!$C:$C,$A173,'BSE - Other Index Options'!$B:$B,E$147,'BSE - Other Index Options'!$H:$H,"Monthly*")=0,"",SUMIFS('BSE - SENSEX Index Options'!$L:$L,'BSE - SENSEX Index Options'!$C:$C,$A173,'BSE - SENSEX Index Options'!$B:$B,E$147,'BSE - SENSEX Index Options'!$H:$H,"Monthly*")+SUMIFS('BSE - Other Index Options'!$L:$L,'BSE - Other Index Options'!$C:$C,$A173,'BSE - Other Index Options'!$B:$B,E$147,'BSE - Other Index Options'!$H:$H,"Monthly*"))</f>
        <v>30.979999999999997</v>
      </c>
      <c r="F173" s="26">
        <f>IF(SUMIFS('BSE - SENSEX Index Options'!$L:$L,'BSE - SENSEX Index Options'!$C:$C,$A173,'BSE - SENSEX Index Options'!$B:$B,F$147,'BSE - SENSEX Index Options'!$H:$H,"Monthly*")+SUMIFS('BSE - Other Index Options'!$L:$L,'BSE - Other Index Options'!$C:$C,$A173,'BSE - Other Index Options'!$B:$B,F$147,'BSE - Other Index Options'!$H:$H,"Monthly*")=0,"",SUMIFS('BSE - SENSEX Index Options'!$L:$L,'BSE - SENSEX Index Options'!$C:$C,$A173,'BSE - SENSEX Index Options'!$B:$B,F$147,'BSE - SENSEX Index Options'!$H:$H,"Monthly*")+SUMIFS('BSE - Other Index Options'!$L:$L,'BSE - Other Index Options'!$C:$C,$A173,'BSE - Other Index Options'!$B:$B,F$147,'BSE - Other Index Options'!$H:$H,"Monthly*"))</f>
        <v>49.510000000000005</v>
      </c>
      <c r="G173" s="26">
        <f>IF(SUMIFS('BSE - SENSEX Index Options'!$L:$L,'BSE - SENSEX Index Options'!$C:$C,$A173,'BSE - SENSEX Index Options'!$B:$B,G$147,'BSE - SENSEX Index Options'!$H:$H,"Monthly*")+SUMIFS('BSE - Other Index Options'!$L:$L,'BSE - Other Index Options'!$C:$C,$A173,'BSE - Other Index Options'!$B:$B,G$147,'BSE - Other Index Options'!$H:$H,"Monthly*")=0,"",SUMIFS('BSE - SENSEX Index Options'!$L:$L,'BSE - SENSEX Index Options'!$C:$C,$A173,'BSE - SENSEX Index Options'!$B:$B,G$147,'BSE - SENSEX Index Options'!$H:$H,"Monthly*")+SUMIFS('BSE - Other Index Options'!$L:$L,'BSE - Other Index Options'!$C:$C,$A173,'BSE - Other Index Options'!$B:$B,G$147,'BSE - Other Index Options'!$H:$H,"Monthly*"))</f>
        <v>51.81</v>
      </c>
      <c r="H173" s="26">
        <f t="shared" si="6"/>
        <v>274.27</v>
      </c>
    </row>
    <row r="174" spans="1:8">
      <c r="A174" t="s">
        <v>36</v>
      </c>
      <c r="B174" s="26">
        <f>IF(SUMIFS('BSE - SENSEX Index Options'!$L:$L,'BSE - SENSEX Index Options'!$C:$C,$A174,'BSE - SENSEX Index Options'!$B:$B,B$147,'BSE - SENSEX Index Options'!$H:$H,"Monthly*")+SUMIFS('BSE - Other Index Options'!$L:$L,'BSE - Other Index Options'!$C:$C,$A174,'BSE - Other Index Options'!$B:$B,B$147,'BSE - Other Index Options'!$H:$H,"Monthly*")=0,"",SUMIFS('BSE - SENSEX Index Options'!$L:$L,'BSE - SENSEX Index Options'!$C:$C,$A174,'BSE - SENSEX Index Options'!$B:$B,B$147,'BSE - SENSEX Index Options'!$H:$H,"Monthly*")+SUMIFS('BSE - Other Index Options'!$L:$L,'BSE - Other Index Options'!$C:$C,$A174,'BSE - Other Index Options'!$B:$B,B$147,'BSE - Other Index Options'!$H:$H,"Monthly*"))</f>
        <v>55.4</v>
      </c>
      <c r="C174" s="26">
        <f>IF(SUMIFS('BSE - SENSEX Index Options'!$L:$L,'BSE - SENSEX Index Options'!$C:$C,$A174,'BSE - SENSEX Index Options'!$B:$B,C$147,'BSE - SENSEX Index Options'!$H:$H,"Monthly*")+SUMIFS('BSE - Other Index Options'!$L:$L,'BSE - Other Index Options'!$C:$C,$A174,'BSE - Other Index Options'!$B:$B,C$147,'BSE - Other Index Options'!$H:$H,"Monthly*")=0,"",SUMIFS('BSE - SENSEX Index Options'!$L:$L,'BSE - SENSEX Index Options'!$C:$C,$A174,'BSE - SENSEX Index Options'!$B:$B,C$147,'BSE - SENSEX Index Options'!$H:$H,"Monthly*")+SUMIFS('BSE - Other Index Options'!$L:$L,'BSE - Other Index Options'!$C:$C,$A174,'BSE - Other Index Options'!$B:$B,C$147,'BSE - Other Index Options'!$H:$H,"Monthly*"))</f>
        <v>45.3</v>
      </c>
      <c r="D174" s="26">
        <f>IF(SUMIFS('BSE - SENSEX Index Options'!$L:$L,'BSE - SENSEX Index Options'!$C:$C,$A174,'BSE - SENSEX Index Options'!$B:$B,D$147,'BSE - SENSEX Index Options'!$H:$H,"Monthly*")+SUMIFS('BSE - Other Index Options'!$L:$L,'BSE - Other Index Options'!$C:$C,$A174,'BSE - Other Index Options'!$B:$B,D$147,'BSE - Other Index Options'!$H:$H,"Monthly*")=0,"",SUMIFS('BSE - SENSEX Index Options'!$L:$L,'BSE - SENSEX Index Options'!$C:$C,$A174,'BSE - SENSEX Index Options'!$B:$B,D$147,'BSE - SENSEX Index Options'!$H:$H,"Monthly*")+SUMIFS('BSE - Other Index Options'!$L:$L,'BSE - Other Index Options'!$C:$C,$A174,'BSE - Other Index Options'!$B:$B,D$147,'BSE - Other Index Options'!$H:$H,"Monthly*"))</f>
        <v>41.160000000000004</v>
      </c>
      <c r="E174" s="26">
        <f>IF(SUMIFS('BSE - SENSEX Index Options'!$L:$L,'BSE - SENSEX Index Options'!$C:$C,$A174,'BSE - SENSEX Index Options'!$B:$B,E$147,'BSE - SENSEX Index Options'!$H:$H,"Monthly*")+SUMIFS('BSE - Other Index Options'!$L:$L,'BSE - Other Index Options'!$C:$C,$A174,'BSE - Other Index Options'!$B:$B,E$147,'BSE - Other Index Options'!$H:$H,"Monthly*")=0,"",SUMIFS('BSE - SENSEX Index Options'!$L:$L,'BSE - SENSEX Index Options'!$C:$C,$A174,'BSE - SENSEX Index Options'!$B:$B,E$147,'BSE - SENSEX Index Options'!$H:$H,"Monthly*")+SUMIFS('BSE - Other Index Options'!$L:$L,'BSE - Other Index Options'!$C:$C,$A174,'BSE - Other Index Options'!$B:$B,E$147,'BSE - Other Index Options'!$H:$H,"Monthly*"))</f>
        <v>57.91</v>
      </c>
      <c r="F174" s="26">
        <f>IF(SUMIFS('BSE - SENSEX Index Options'!$L:$L,'BSE - SENSEX Index Options'!$C:$C,$A174,'BSE - SENSEX Index Options'!$B:$B,F$147,'BSE - SENSEX Index Options'!$H:$H,"Monthly*")+SUMIFS('BSE - Other Index Options'!$L:$L,'BSE - Other Index Options'!$C:$C,$A174,'BSE - Other Index Options'!$B:$B,F$147,'BSE - Other Index Options'!$H:$H,"Monthly*")=0,"",SUMIFS('BSE - SENSEX Index Options'!$L:$L,'BSE - SENSEX Index Options'!$C:$C,$A174,'BSE - SENSEX Index Options'!$B:$B,F$147,'BSE - SENSEX Index Options'!$H:$H,"Monthly*")+SUMIFS('BSE - Other Index Options'!$L:$L,'BSE - Other Index Options'!$C:$C,$A174,'BSE - Other Index Options'!$B:$B,F$147,'BSE - Other Index Options'!$H:$H,"Monthly*"))</f>
        <v>153.73999999999998</v>
      </c>
      <c r="G174" s="26" t="str">
        <f>IF(SUMIFS('BSE - SENSEX Index Options'!$L:$L,'BSE - SENSEX Index Options'!$C:$C,$A174,'BSE - SENSEX Index Options'!$B:$B,G$147,'BSE - SENSEX Index Options'!$H:$H,"Monthly*")+SUMIFS('BSE - Other Index Options'!$L:$L,'BSE - Other Index Options'!$C:$C,$A174,'BSE - Other Index Options'!$B:$B,G$147,'BSE - Other Index Options'!$H:$H,"Monthly*")=0,"",SUMIFS('BSE - SENSEX Index Options'!$L:$L,'BSE - SENSEX Index Options'!$C:$C,$A174,'BSE - SENSEX Index Options'!$B:$B,G$147,'BSE - SENSEX Index Options'!$H:$H,"Monthly*")+SUMIFS('BSE - Other Index Options'!$L:$L,'BSE - Other Index Options'!$C:$C,$A174,'BSE - Other Index Options'!$B:$B,G$147,'BSE - Other Index Options'!$H:$H,"Monthly*"))</f>
        <v/>
      </c>
      <c r="H174" s="26">
        <f t="shared" si="6"/>
        <v>353.51</v>
      </c>
    </row>
    <row r="175" spans="1:8">
      <c r="A175" t="s">
        <v>37</v>
      </c>
      <c r="B175" s="26">
        <f>IF(SUMIFS('BSE - SENSEX Index Options'!$L:$L,'BSE - SENSEX Index Options'!$C:$C,$A175,'BSE - SENSEX Index Options'!$B:$B,B$147,'BSE - SENSEX Index Options'!$H:$H,"Monthly*")+SUMIFS('BSE - Other Index Options'!$L:$L,'BSE - Other Index Options'!$C:$C,$A175,'BSE - Other Index Options'!$B:$B,B$147,'BSE - Other Index Options'!$H:$H,"Monthly*")=0,"",SUMIFS('BSE - SENSEX Index Options'!$L:$L,'BSE - SENSEX Index Options'!$C:$C,$A175,'BSE - SENSEX Index Options'!$B:$B,B$147,'BSE - SENSEX Index Options'!$H:$H,"Monthly*")+SUMIFS('BSE - Other Index Options'!$L:$L,'BSE - Other Index Options'!$C:$C,$A175,'BSE - Other Index Options'!$B:$B,B$147,'BSE - Other Index Options'!$H:$H,"Monthly*"))</f>
        <v>156.35999999999999</v>
      </c>
      <c r="C175" s="26">
        <f>IF(SUMIFS('BSE - SENSEX Index Options'!$L:$L,'BSE - SENSEX Index Options'!$C:$C,$A175,'BSE - SENSEX Index Options'!$B:$B,C$147,'BSE - SENSEX Index Options'!$H:$H,"Monthly*")+SUMIFS('BSE - Other Index Options'!$L:$L,'BSE - Other Index Options'!$C:$C,$A175,'BSE - Other Index Options'!$B:$B,C$147,'BSE - Other Index Options'!$H:$H,"Monthly*")=0,"",SUMIFS('BSE - SENSEX Index Options'!$L:$L,'BSE - SENSEX Index Options'!$C:$C,$A175,'BSE - SENSEX Index Options'!$B:$B,C$147,'BSE - SENSEX Index Options'!$H:$H,"Monthly*")+SUMIFS('BSE - Other Index Options'!$L:$L,'BSE - Other Index Options'!$C:$C,$A175,'BSE - Other Index Options'!$B:$B,C$147,'BSE - Other Index Options'!$H:$H,"Monthly*"))</f>
        <v>235.04</v>
      </c>
      <c r="D175" s="26">
        <f>IF(SUMIFS('BSE - SENSEX Index Options'!$L:$L,'BSE - SENSEX Index Options'!$C:$C,$A175,'BSE - SENSEX Index Options'!$B:$B,D$147,'BSE - SENSEX Index Options'!$H:$H,"Monthly*")+SUMIFS('BSE - Other Index Options'!$L:$L,'BSE - Other Index Options'!$C:$C,$A175,'BSE - Other Index Options'!$B:$B,D$147,'BSE - Other Index Options'!$H:$H,"Monthly*")=0,"",SUMIFS('BSE - SENSEX Index Options'!$L:$L,'BSE - SENSEX Index Options'!$C:$C,$A175,'BSE - SENSEX Index Options'!$B:$B,D$147,'BSE - SENSEX Index Options'!$H:$H,"Monthly*")+SUMIFS('BSE - Other Index Options'!$L:$L,'BSE - Other Index Options'!$C:$C,$A175,'BSE - Other Index Options'!$B:$B,D$147,'BSE - Other Index Options'!$H:$H,"Monthly*"))</f>
        <v>429.28999999999996</v>
      </c>
      <c r="E175" s="26">
        <f>IF(SUMIFS('BSE - SENSEX Index Options'!$L:$L,'BSE - SENSEX Index Options'!$C:$C,$A175,'BSE - SENSEX Index Options'!$B:$B,E$147,'BSE - SENSEX Index Options'!$H:$H,"Monthly*")+SUMIFS('BSE - Other Index Options'!$L:$L,'BSE - Other Index Options'!$C:$C,$A175,'BSE - Other Index Options'!$B:$B,E$147,'BSE - Other Index Options'!$H:$H,"Monthly*")=0,"",SUMIFS('BSE - SENSEX Index Options'!$L:$L,'BSE - SENSEX Index Options'!$C:$C,$A175,'BSE - SENSEX Index Options'!$B:$B,E$147,'BSE - SENSEX Index Options'!$H:$H,"Monthly*")+SUMIFS('BSE - Other Index Options'!$L:$L,'BSE - Other Index Options'!$C:$C,$A175,'BSE - Other Index Options'!$B:$B,E$147,'BSE - Other Index Options'!$H:$H,"Monthly*"))</f>
        <v>1765.3899999999999</v>
      </c>
      <c r="F175" s="26">
        <f>IF(SUMIFS('BSE - SENSEX Index Options'!$L:$L,'BSE - SENSEX Index Options'!$C:$C,$A175,'BSE - SENSEX Index Options'!$B:$B,F$147,'BSE - SENSEX Index Options'!$H:$H,"Monthly*")+SUMIFS('BSE - Other Index Options'!$L:$L,'BSE - Other Index Options'!$C:$C,$A175,'BSE - Other Index Options'!$B:$B,F$147,'BSE - Other Index Options'!$H:$H,"Monthly*")=0,"",SUMIFS('BSE - SENSEX Index Options'!$L:$L,'BSE - SENSEX Index Options'!$C:$C,$A175,'BSE - SENSEX Index Options'!$B:$B,F$147,'BSE - SENSEX Index Options'!$H:$H,"Monthly*")+SUMIFS('BSE - Other Index Options'!$L:$L,'BSE - Other Index Options'!$C:$C,$A175,'BSE - Other Index Options'!$B:$B,F$147,'BSE - Other Index Options'!$H:$H,"Monthly*"))</f>
        <v>38.47</v>
      </c>
      <c r="G175" s="26" t="str">
        <f>IF(SUMIFS('BSE - SENSEX Index Options'!$L:$L,'BSE - SENSEX Index Options'!$C:$C,$A175,'BSE - SENSEX Index Options'!$B:$B,G$147,'BSE - SENSEX Index Options'!$H:$H,"Monthly*")+SUMIFS('BSE - Other Index Options'!$L:$L,'BSE - Other Index Options'!$C:$C,$A175,'BSE - Other Index Options'!$B:$B,G$147,'BSE - Other Index Options'!$H:$H,"Monthly*")=0,"",SUMIFS('BSE - SENSEX Index Options'!$L:$L,'BSE - SENSEX Index Options'!$C:$C,$A175,'BSE - SENSEX Index Options'!$B:$B,G$147,'BSE - SENSEX Index Options'!$H:$H,"Monthly*")+SUMIFS('BSE - Other Index Options'!$L:$L,'BSE - Other Index Options'!$C:$C,$A175,'BSE - Other Index Options'!$B:$B,G$147,'BSE - Other Index Options'!$H:$H,"Monthly*"))</f>
        <v/>
      </c>
      <c r="H175" s="26">
        <f t="shared" si="6"/>
        <v>2624.5499999999997</v>
      </c>
    </row>
    <row r="176" spans="1:8">
      <c r="A176" t="s">
        <v>38</v>
      </c>
      <c r="B176" s="26">
        <f>IF(SUMIFS('BSE - SENSEX Index Options'!$L:$L,'BSE - SENSEX Index Options'!$C:$C,$A176,'BSE - SENSEX Index Options'!$B:$B,B$147,'BSE - SENSEX Index Options'!$H:$H,"Monthly*")+SUMIFS('BSE - Other Index Options'!$L:$L,'BSE - Other Index Options'!$C:$C,$A176,'BSE - Other Index Options'!$B:$B,B$147,'BSE - Other Index Options'!$H:$H,"Monthly*")=0,"",SUMIFS('BSE - SENSEX Index Options'!$L:$L,'BSE - SENSEX Index Options'!$C:$C,$A176,'BSE - SENSEX Index Options'!$B:$B,B$147,'BSE - SENSEX Index Options'!$H:$H,"Monthly*")+SUMIFS('BSE - Other Index Options'!$L:$L,'BSE - Other Index Options'!$C:$C,$A176,'BSE - Other Index Options'!$B:$B,B$147,'BSE - Other Index Options'!$H:$H,"Monthly*"))</f>
        <v>50.879999999999995</v>
      </c>
      <c r="C176" s="26">
        <f>IF(SUMIFS('BSE - SENSEX Index Options'!$L:$L,'BSE - SENSEX Index Options'!$C:$C,$A176,'BSE - SENSEX Index Options'!$B:$B,C$147,'BSE - SENSEX Index Options'!$H:$H,"Monthly*")+SUMIFS('BSE - Other Index Options'!$L:$L,'BSE - Other Index Options'!$C:$C,$A176,'BSE - Other Index Options'!$B:$B,C$147,'BSE - Other Index Options'!$H:$H,"Monthly*")=0,"",SUMIFS('BSE - SENSEX Index Options'!$L:$L,'BSE - SENSEX Index Options'!$C:$C,$A176,'BSE - SENSEX Index Options'!$B:$B,C$147,'BSE - SENSEX Index Options'!$H:$H,"Monthly*")+SUMIFS('BSE - Other Index Options'!$L:$L,'BSE - Other Index Options'!$C:$C,$A176,'BSE - Other Index Options'!$B:$B,C$147,'BSE - Other Index Options'!$H:$H,"Monthly*"))</f>
        <v>64.039999999999992</v>
      </c>
      <c r="D176" s="26">
        <f>IF(SUMIFS('BSE - SENSEX Index Options'!$L:$L,'BSE - SENSEX Index Options'!$C:$C,$A176,'BSE - SENSEX Index Options'!$B:$B,D$147,'BSE - SENSEX Index Options'!$H:$H,"Monthly*")+SUMIFS('BSE - Other Index Options'!$L:$L,'BSE - Other Index Options'!$C:$C,$A176,'BSE - Other Index Options'!$B:$B,D$147,'BSE - Other Index Options'!$H:$H,"Monthly*")=0,"",SUMIFS('BSE - SENSEX Index Options'!$L:$L,'BSE - SENSEX Index Options'!$C:$C,$A176,'BSE - SENSEX Index Options'!$B:$B,D$147,'BSE - SENSEX Index Options'!$H:$H,"Monthly*")+SUMIFS('BSE - Other Index Options'!$L:$L,'BSE - Other Index Options'!$C:$C,$A176,'BSE - Other Index Options'!$B:$B,D$147,'BSE - Other Index Options'!$H:$H,"Monthly*"))</f>
        <v>348.48999999999995</v>
      </c>
      <c r="E176" s="26">
        <f>IF(SUMIFS('BSE - SENSEX Index Options'!$L:$L,'BSE - SENSEX Index Options'!$C:$C,$A176,'BSE - SENSEX Index Options'!$B:$B,E$147,'BSE - SENSEX Index Options'!$H:$H,"Monthly*")+SUMIFS('BSE - Other Index Options'!$L:$L,'BSE - Other Index Options'!$C:$C,$A176,'BSE - Other Index Options'!$B:$B,E$147,'BSE - Other Index Options'!$H:$H,"Monthly*")=0,"",SUMIFS('BSE - SENSEX Index Options'!$L:$L,'BSE - SENSEX Index Options'!$C:$C,$A176,'BSE - SENSEX Index Options'!$B:$B,E$147,'BSE - SENSEX Index Options'!$H:$H,"Monthly*")+SUMIFS('BSE - Other Index Options'!$L:$L,'BSE - Other Index Options'!$C:$C,$A176,'BSE - Other Index Options'!$B:$B,E$147,'BSE - Other Index Options'!$H:$H,"Monthly*"))</f>
        <v>995.2</v>
      </c>
      <c r="F176" s="26">
        <f>IF(SUMIFS('BSE - SENSEX Index Options'!$L:$L,'BSE - SENSEX Index Options'!$C:$C,$A176,'BSE - SENSEX Index Options'!$B:$B,F$147,'BSE - SENSEX Index Options'!$H:$H,"Monthly*")+SUMIFS('BSE - Other Index Options'!$L:$L,'BSE - Other Index Options'!$C:$C,$A176,'BSE - Other Index Options'!$B:$B,F$147,'BSE - Other Index Options'!$H:$H,"Monthly*")=0,"",SUMIFS('BSE - SENSEX Index Options'!$L:$L,'BSE - SENSEX Index Options'!$C:$C,$A176,'BSE - SENSEX Index Options'!$B:$B,F$147,'BSE - SENSEX Index Options'!$H:$H,"Monthly*")+SUMIFS('BSE - Other Index Options'!$L:$L,'BSE - Other Index Options'!$C:$C,$A176,'BSE - Other Index Options'!$B:$B,F$147,'BSE - Other Index Options'!$H:$H,"Monthly*"))</f>
        <v>77.910000000000011</v>
      </c>
      <c r="G176" s="26" t="str">
        <f>IF(SUMIFS('BSE - SENSEX Index Options'!$L:$L,'BSE - SENSEX Index Options'!$C:$C,$A176,'BSE - SENSEX Index Options'!$B:$B,G$147,'BSE - SENSEX Index Options'!$H:$H,"Monthly*")+SUMIFS('BSE - Other Index Options'!$L:$L,'BSE - Other Index Options'!$C:$C,$A176,'BSE - Other Index Options'!$B:$B,G$147,'BSE - Other Index Options'!$H:$H,"Monthly*")=0,"",SUMIFS('BSE - SENSEX Index Options'!$L:$L,'BSE - SENSEX Index Options'!$C:$C,$A176,'BSE - SENSEX Index Options'!$B:$B,G$147,'BSE - SENSEX Index Options'!$H:$H,"Monthly*")+SUMIFS('BSE - Other Index Options'!$L:$L,'BSE - Other Index Options'!$C:$C,$A176,'BSE - Other Index Options'!$B:$B,G$147,'BSE - Other Index Options'!$H:$H,"Monthly*"))</f>
        <v/>
      </c>
      <c r="H176" s="26">
        <f t="shared" si="6"/>
        <v>1536.5200000000002</v>
      </c>
    </row>
    <row r="177" spans="1:8">
      <c r="A177" t="s">
        <v>39</v>
      </c>
      <c r="B177" s="26">
        <f>IF(SUMIFS('BSE - SENSEX Index Options'!$L:$L,'BSE - SENSEX Index Options'!$C:$C,$A177,'BSE - SENSEX Index Options'!$B:$B,B$147,'BSE - SENSEX Index Options'!$H:$H,"Monthly*")+SUMIFS('BSE - Other Index Options'!$L:$L,'BSE - Other Index Options'!$C:$C,$A177,'BSE - Other Index Options'!$B:$B,B$147,'BSE - Other Index Options'!$H:$H,"Monthly*")=0,"",SUMIFS('BSE - SENSEX Index Options'!$L:$L,'BSE - SENSEX Index Options'!$C:$C,$A177,'BSE - SENSEX Index Options'!$B:$B,B$147,'BSE - SENSEX Index Options'!$H:$H,"Monthly*")+SUMIFS('BSE - Other Index Options'!$L:$L,'BSE - Other Index Options'!$C:$C,$A177,'BSE - Other Index Options'!$B:$B,B$147,'BSE - Other Index Options'!$H:$H,"Monthly*"))</f>
        <v>83.56</v>
      </c>
      <c r="C177" s="26" t="str">
        <f>IF(SUMIFS('BSE - SENSEX Index Options'!$L:$L,'BSE - SENSEX Index Options'!$C:$C,$A177,'BSE - SENSEX Index Options'!$B:$B,C$147,'BSE - SENSEX Index Options'!$H:$H,"Monthly*")+SUMIFS('BSE - Other Index Options'!$L:$L,'BSE - Other Index Options'!$C:$C,$A177,'BSE - Other Index Options'!$B:$B,C$147,'BSE - Other Index Options'!$H:$H,"Monthly*")=0,"",SUMIFS('BSE - SENSEX Index Options'!$L:$L,'BSE - SENSEX Index Options'!$C:$C,$A177,'BSE - SENSEX Index Options'!$B:$B,C$147,'BSE - SENSEX Index Options'!$H:$H,"Monthly*")+SUMIFS('BSE - Other Index Options'!$L:$L,'BSE - Other Index Options'!$C:$C,$A177,'BSE - Other Index Options'!$B:$B,C$147,'BSE - Other Index Options'!$H:$H,"Monthly*"))</f>
        <v/>
      </c>
      <c r="D177" s="26">
        <f>IF(SUMIFS('BSE - SENSEX Index Options'!$L:$L,'BSE - SENSEX Index Options'!$C:$C,$A177,'BSE - SENSEX Index Options'!$B:$B,D$147,'BSE - SENSEX Index Options'!$H:$H,"Monthly*")+SUMIFS('BSE - Other Index Options'!$L:$L,'BSE - Other Index Options'!$C:$C,$A177,'BSE - Other Index Options'!$B:$B,D$147,'BSE - Other Index Options'!$H:$H,"Monthly*")=0,"",SUMIFS('BSE - SENSEX Index Options'!$L:$L,'BSE - SENSEX Index Options'!$C:$C,$A177,'BSE - SENSEX Index Options'!$B:$B,D$147,'BSE - SENSEX Index Options'!$H:$H,"Monthly*")+SUMIFS('BSE - Other Index Options'!$L:$L,'BSE - Other Index Options'!$C:$C,$A177,'BSE - Other Index Options'!$B:$B,D$147,'BSE - Other Index Options'!$H:$H,"Monthly*"))</f>
        <v>88.259999999999991</v>
      </c>
      <c r="E177" s="26">
        <f>IF(SUMIFS('BSE - SENSEX Index Options'!$L:$L,'BSE - SENSEX Index Options'!$C:$C,$A177,'BSE - SENSEX Index Options'!$B:$B,E$147,'BSE - SENSEX Index Options'!$H:$H,"Monthly*")+SUMIFS('BSE - Other Index Options'!$L:$L,'BSE - Other Index Options'!$C:$C,$A177,'BSE - Other Index Options'!$B:$B,E$147,'BSE - Other Index Options'!$H:$H,"Monthly*")=0,"",SUMIFS('BSE - SENSEX Index Options'!$L:$L,'BSE - SENSEX Index Options'!$C:$C,$A177,'BSE - SENSEX Index Options'!$B:$B,E$147,'BSE - SENSEX Index Options'!$H:$H,"Monthly*")+SUMIFS('BSE - Other Index Options'!$L:$L,'BSE - Other Index Options'!$C:$C,$A177,'BSE - Other Index Options'!$B:$B,E$147,'BSE - Other Index Options'!$H:$H,"Monthly*"))</f>
        <v>83.359999999999985</v>
      </c>
      <c r="F177" s="26">
        <f>IF(SUMIFS('BSE - SENSEX Index Options'!$L:$L,'BSE - SENSEX Index Options'!$C:$C,$A177,'BSE - SENSEX Index Options'!$B:$B,F$147,'BSE - SENSEX Index Options'!$H:$H,"Monthly*")+SUMIFS('BSE - Other Index Options'!$L:$L,'BSE - Other Index Options'!$C:$C,$A177,'BSE - Other Index Options'!$B:$B,F$147,'BSE - Other Index Options'!$H:$H,"Monthly*")=0,"",SUMIFS('BSE - SENSEX Index Options'!$L:$L,'BSE - SENSEX Index Options'!$C:$C,$A177,'BSE - SENSEX Index Options'!$B:$B,F$147,'BSE - SENSEX Index Options'!$H:$H,"Monthly*")+SUMIFS('BSE - Other Index Options'!$L:$L,'BSE - Other Index Options'!$C:$C,$A177,'BSE - Other Index Options'!$B:$B,F$147,'BSE - Other Index Options'!$H:$H,"Monthly*"))</f>
        <v>61.089999999999996</v>
      </c>
      <c r="G177" s="26" t="str">
        <f>IF(SUMIFS('BSE - SENSEX Index Options'!$L:$L,'BSE - SENSEX Index Options'!$C:$C,$A177,'BSE - SENSEX Index Options'!$B:$B,G$147,'BSE - SENSEX Index Options'!$H:$H,"Monthly*")+SUMIFS('BSE - Other Index Options'!$L:$L,'BSE - Other Index Options'!$C:$C,$A177,'BSE - Other Index Options'!$B:$B,G$147,'BSE - Other Index Options'!$H:$H,"Monthly*")=0,"",SUMIFS('BSE - SENSEX Index Options'!$L:$L,'BSE - SENSEX Index Options'!$C:$C,$A177,'BSE - SENSEX Index Options'!$B:$B,G$147,'BSE - SENSEX Index Options'!$H:$H,"Monthly*")+SUMIFS('BSE - Other Index Options'!$L:$L,'BSE - Other Index Options'!$C:$C,$A177,'BSE - Other Index Options'!$B:$B,G$147,'BSE - Other Index Options'!$H:$H,"Monthly*"))</f>
        <v/>
      </c>
      <c r="H177" s="26">
        <f t="shared" si="6"/>
        <v>316.27</v>
      </c>
    </row>
    <row r="178" spans="1:8">
      <c r="A178" t="s">
        <v>40</v>
      </c>
      <c r="B178" s="26">
        <f>IF(SUMIFS('BSE - SENSEX Index Options'!$L:$L,'BSE - SENSEX Index Options'!$C:$C,$A178,'BSE - SENSEX Index Options'!$B:$B,B$147,'BSE - SENSEX Index Options'!$H:$H,"Monthly*")+SUMIFS('BSE - Other Index Options'!$L:$L,'BSE - Other Index Options'!$C:$C,$A178,'BSE - Other Index Options'!$B:$B,B$147,'BSE - Other Index Options'!$H:$H,"Monthly*")=0,"",SUMIFS('BSE - SENSEX Index Options'!$L:$L,'BSE - SENSEX Index Options'!$C:$C,$A178,'BSE - SENSEX Index Options'!$B:$B,B$147,'BSE - SENSEX Index Options'!$H:$H,"Monthly*")+SUMIFS('BSE - Other Index Options'!$L:$L,'BSE - Other Index Options'!$C:$C,$A178,'BSE - Other Index Options'!$B:$B,B$147,'BSE - Other Index Options'!$H:$H,"Monthly*"))</f>
        <v>98.15</v>
      </c>
      <c r="C178" s="26">
        <f>IF(SUMIFS('BSE - SENSEX Index Options'!$L:$L,'BSE - SENSEX Index Options'!$C:$C,$A178,'BSE - SENSEX Index Options'!$B:$B,C$147,'BSE - SENSEX Index Options'!$H:$H,"Monthly*")+SUMIFS('BSE - Other Index Options'!$L:$L,'BSE - Other Index Options'!$C:$C,$A178,'BSE - Other Index Options'!$B:$B,C$147,'BSE - Other Index Options'!$H:$H,"Monthly*")=0,"",SUMIFS('BSE - SENSEX Index Options'!$L:$L,'BSE - SENSEX Index Options'!$C:$C,$A178,'BSE - SENSEX Index Options'!$B:$B,C$147,'BSE - SENSEX Index Options'!$H:$H,"Monthly*")+SUMIFS('BSE - Other Index Options'!$L:$L,'BSE - Other Index Options'!$C:$C,$A178,'BSE - Other Index Options'!$B:$B,C$147,'BSE - Other Index Options'!$H:$H,"Monthly*"))</f>
        <v>65.31</v>
      </c>
      <c r="D178" s="26">
        <f>IF(SUMIFS('BSE - SENSEX Index Options'!$L:$L,'BSE - SENSEX Index Options'!$C:$C,$A178,'BSE - SENSEX Index Options'!$B:$B,D$147,'BSE - SENSEX Index Options'!$H:$H,"Monthly*")+SUMIFS('BSE - Other Index Options'!$L:$L,'BSE - Other Index Options'!$C:$C,$A178,'BSE - Other Index Options'!$B:$B,D$147,'BSE - Other Index Options'!$H:$H,"Monthly*")=0,"",SUMIFS('BSE - SENSEX Index Options'!$L:$L,'BSE - SENSEX Index Options'!$C:$C,$A178,'BSE - SENSEX Index Options'!$B:$B,D$147,'BSE - SENSEX Index Options'!$H:$H,"Monthly*")+SUMIFS('BSE - Other Index Options'!$L:$L,'BSE - Other Index Options'!$C:$C,$A178,'BSE - Other Index Options'!$B:$B,D$147,'BSE - Other Index Options'!$H:$H,"Monthly*"))</f>
        <v>99.38000000000001</v>
      </c>
      <c r="E178" s="26">
        <f>IF(SUMIFS('BSE - SENSEX Index Options'!$L:$L,'BSE - SENSEX Index Options'!$C:$C,$A178,'BSE - SENSEX Index Options'!$B:$B,E$147,'BSE - SENSEX Index Options'!$H:$H,"Monthly*")+SUMIFS('BSE - Other Index Options'!$L:$L,'BSE - Other Index Options'!$C:$C,$A178,'BSE - Other Index Options'!$B:$B,E$147,'BSE - Other Index Options'!$H:$H,"Monthly*")=0,"",SUMIFS('BSE - SENSEX Index Options'!$L:$L,'BSE - SENSEX Index Options'!$C:$C,$A178,'BSE - SENSEX Index Options'!$B:$B,E$147,'BSE - SENSEX Index Options'!$H:$H,"Monthly*")+SUMIFS('BSE - Other Index Options'!$L:$L,'BSE - Other Index Options'!$C:$C,$A178,'BSE - Other Index Options'!$B:$B,E$147,'BSE - Other Index Options'!$H:$H,"Monthly*"))</f>
        <v>156.15</v>
      </c>
      <c r="F178" s="26">
        <f>IF(SUMIFS('BSE - SENSEX Index Options'!$L:$L,'BSE - SENSEX Index Options'!$C:$C,$A178,'BSE - SENSEX Index Options'!$B:$B,F$147,'BSE - SENSEX Index Options'!$H:$H,"Monthly*")+SUMIFS('BSE - Other Index Options'!$L:$L,'BSE - Other Index Options'!$C:$C,$A178,'BSE - Other Index Options'!$B:$B,F$147,'BSE - Other Index Options'!$H:$H,"Monthly*")=0,"",SUMIFS('BSE - SENSEX Index Options'!$L:$L,'BSE - SENSEX Index Options'!$C:$C,$A178,'BSE - SENSEX Index Options'!$B:$B,F$147,'BSE - SENSEX Index Options'!$H:$H,"Monthly*")+SUMIFS('BSE - Other Index Options'!$L:$L,'BSE - Other Index Options'!$C:$C,$A178,'BSE - Other Index Options'!$B:$B,F$147,'BSE - Other Index Options'!$H:$H,"Monthly*"))</f>
        <v>269.95999999999998</v>
      </c>
      <c r="G178" s="26" t="str">
        <f>IF(SUMIFS('BSE - SENSEX Index Options'!$L:$L,'BSE - SENSEX Index Options'!$C:$C,$A178,'BSE - SENSEX Index Options'!$B:$B,G$147,'BSE - SENSEX Index Options'!$H:$H,"Monthly*")+SUMIFS('BSE - Other Index Options'!$L:$L,'BSE - Other Index Options'!$C:$C,$A178,'BSE - Other Index Options'!$B:$B,G$147,'BSE - Other Index Options'!$H:$H,"Monthly*")=0,"",SUMIFS('BSE - SENSEX Index Options'!$L:$L,'BSE - SENSEX Index Options'!$C:$C,$A178,'BSE - SENSEX Index Options'!$B:$B,G$147,'BSE - SENSEX Index Options'!$H:$H,"Monthly*")+SUMIFS('BSE - Other Index Options'!$L:$L,'BSE - Other Index Options'!$C:$C,$A178,'BSE - Other Index Options'!$B:$B,G$147,'BSE - Other Index Options'!$H:$H,"Monthly*"))</f>
        <v/>
      </c>
      <c r="H178" s="26">
        <f t="shared" si="6"/>
        <v>688.95</v>
      </c>
    </row>
    <row r="179" spans="1:8">
      <c r="A179" t="s">
        <v>41</v>
      </c>
      <c r="B179" s="26">
        <f>IF(SUMIFS('BSE - SENSEX Index Options'!$L:$L,'BSE - SENSEX Index Options'!$C:$C,$A179,'BSE - SENSEX Index Options'!$B:$B,B$147,'BSE - SENSEX Index Options'!$H:$H,"Monthly*")+SUMIFS('BSE - Other Index Options'!$L:$L,'BSE - Other Index Options'!$C:$C,$A179,'BSE - Other Index Options'!$B:$B,B$147,'BSE - Other Index Options'!$H:$H,"Monthly*")=0,"",SUMIFS('BSE - SENSEX Index Options'!$L:$L,'BSE - SENSEX Index Options'!$C:$C,$A179,'BSE - SENSEX Index Options'!$B:$B,B$147,'BSE - SENSEX Index Options'!$H:$H,"Monthly*")+SUMIFS('BSE - Other Index Options'!$L:$L,'BSE - Other Index Options'!$C:$C,$A179,'BSE - Other Index Options'!$B:$B,B$147,'BSE - Other Index Options'!$H:$H,"Monthly*"))</f>
        <v>313.77000000000004</v>
      </c>
      <c r="C179" s="26">
        <f>IF(SUMIFS('BSE - SENSEX Index Options'!$L:$L,'BSE - SENSEX Index Options'!$C:$C,$A179,'BSE - SENSEX Index Options'!$B:$B,C$147,'BSE - SENSEX Index Options'!$H:$H,"Monthly*")+SUMIFS('BSE - Other Index Options'!$L:$L,'BSE - Other Index Options'!$C:$C,$A179,'BSE - Other Index Options'!$B:$B,C$147,'BSE - Other Index Options'!$H:$H,"Monthly*")=0,"",SUMIFS('BSE - SENSEX Index Options'!$L:$L,'BSE - SENSEX Index Options'!$C:$C,$A179,'BSE - SENSEX Index Options'!$B:$B,C$147,'BSE - SENSEX Index Options'!$H:$H,"Monthly*")+SUMIFS('BSE - Other Index Options'!$L:$L,'BSE - Other Index Options'!$C:$C,$A179,'BSE - Other Index Options'!$B:$B,C$147,'BSE - Other Index Options'!$H:$H,"Monthly*"))</f>
        <v>324.29000000000002</v>
      </c>
      <c r="D179" s="26">
        <f>IF(SUMIFS('BSE - SENSEX Index Options'!$L:$L,'BSE - SENSEX Index Options'!$C:$C,$A179,'BSE - SENSEX Index Options'!$B:$B,D$147,'BSE - SENSEX Index Options'!$H:$H,"Monthly*")+SUMIFS('BSE - Other Index Options'!$L:$L,'BSE - Other Index Options'!$C:$C,$A179,'BSE - Other Index Options'!$B:$B,D$147,'BSE - Other Index Options'!$H:$H,"Monthly*")=0,"",SUMIFS('BSE - SENSEX Index Options'!$L:$L,'BSE - SENSEX Index Options'!$C:$C,$A179,'BSE - SENSEX Index Options'!$B:$B,D$147,'BSE - SENSEX Index Options'!$H:$H,"Monthly*")+SUMIFS('BSE - Other Index Options'!$L:$L,'BSE - Other Index Options'!$C:$C,$A179,'BSE - Other Index Options'!$B:$B,D$147,'BSE - Other Index Options'!$H:$H,"Monthly*"))</f>
        <v>519.66</v>
      </c>
      <c r="E179" s="26">
        <f>IF(SUMIFS('BSE - SENSEX Index Options'!$L:$L,'BSE - SENSEX Index Options'!$C:$C,$A179,'BSE - SENSEX Index Options'!$B:$B,E$147,'BSE - SENSEX Index Options'!$H:$H,"Monthly*")+SUMIFS('BSE - Other Index Options'!$L:$L,'BSE - Other Index Options'!$C:$C,$A179,'BSE - Other Index Options'!$B:$B,E$147,'BSE - Other Index Options'!$H:$H,"Monthly*")=0,"",SUMIFS('BSE - SENSEX Index Options'!$L:$L,'BSE - SENSEX Index Options'!$C:$C,$A179,'BSE - SENSEX Index Options'!$B:$B,E$147,'BSE - SENSEX Index Options'!$H:$H,"Monthly*")+SUMIFS('BSE - Other Index Options'!$L:$L,'BSE - Other Index Options'!$C:$C,$A179,'BSE - Other Index Options'!$B:$B,E$147,'BSE - Other Index Options'!$H:$H,"Monthly*"))</f>
        <v>25.64</v>
      </c>
      <c r="F179" s="26">
        <f>IF(SUMIFS('BSE - SENSEX Index Options'!$L:$L,'BSE - SENSEX Index Options'!$C:$C,$A179,'BSE - SENSEX Index Options'!$B:$B,F$147,'BSE - SENSEX Index Options'!$H:$H,"Monthly*")+SUMIFS('BSE - Other Index Options'!$L:$L,'BSE - Other Index Options'!$C:$C,$A179,'BSE - Other Index Options'!$B:$B,F$147,'BSE - Other Index Options'!$H:$H,"Monthly*")=0,"",SUMIFS('BSE - SENSEX Index Options'!$L:$L,'BSE - SENSEX Index Options'!$C:$C,$A179,'BSE - SENSEX Index Options'!$B:$B,F$147,'BSE - SENSEX Index Options'!$H:$H,"Monthly*")+SUMIFS('BSE - Other Index Options'!$L:$L,'BSE - Other Index Options'!$C:$C,$A179,'BSE - Other Index Options'!$B:$B,F$147,'BSE - Other Index Options'!$H:$H,"Monthly*"))</f>
        <v>58.83</v>
      </c>
      <c r="G179" s="26" t="str">
        <f>IF(SUMIFS('BSE - SENSEX Index Options'!$L:$L,'BSE - SENSEX Index Options'!$C:$C,$A179,'BSE - SENSEX Index Options'!$B:$B,G$147,'BSE - SENSEX Index Options'!$H:$H,"Monthly*")+SUMIFS('BSE - Other Index Options'!$L:$L,'BSE - Other Index Options'!$C:$C,$A179,'BSE - Other Index Options'!$B:$B,G$147,'BSE - Other Index Options'!$H:$H,"Monthly*")=0,"",SUMIFS('BSE - SENSEX Index Options'!$L:$L,'BSE - SENSEX Index Options'!$C:$C,$A179,'BSE - SENSEX Index Options'!$B:$B,G$147,'BSE - SENSEX Index Options'!$H:$H,"Monthly*")+SUMIFS('BSE - Other Index Options'!$L:$L,'BSE - Other Index Options'!$C:$C,$A179,'BSE - Other Index Options'!$B:$B,G$147,'BSE - Other Index Options'!$H:$H,"Monthly*"))</f>
        <v/>
      </c>
      <c r="H179" s="26">
        <f t="shared" si="6"/>
        <v>1242.19</v>
      </c>
    </row>
    <row r="180" spans="1:8">
      <c r="A180" t="s">
        <v>42</v>
      </c>
      <c r="B180" s="26">
        <f>IF(SUMIFS('BSE - SENSEX Index Options'!$L:$L,'BSE - SENSEX Index Options'!$C:$C,$A180,'BSE - SENSEX Index Options'!$B:$B,B$147,'BSE - SENSEX Index Options'!$H:$H,"Monthly*")+SUMIFS('BSE - Other Index Options'!$L:$L,'BSE - Other Index Options'!$C:$C,$A180,'BSE - Other Index Options'!$B:$B,B$147,'BSE - Other Index Options'!$H:$H,"Monthly*")=0,"",SUMIFS('BSE - SENSEX Index Options'!$L:$L,'BSE - SENSEX Index Options'!$C:$C,$A180,'BSE - SENSEX Index Options'!$B:$B,B$147,'BSE - SENSEX Index Options'!$H:$H,"Monthly*")+SUMIFS('BSE - Other Index Options'!$L:$L,'BSE - Other Index Options'!$C:$C,$A180,'BSE - Other Index Options'!$B:$B,B$147,'BSE - Other Index Options'!$H:$H,"Monthly*"))</f>
        <v>49.17</v>
      </c>
      <c r="C180" s="26">
        <f>IF(SUMIFS('BSE - SENSEX Index Options'!$L:$L,'BSE - SENSEX Index Options'!$C:$C,$A180,'BSE - SENSEX Index Options'!$B:$B,C$147,'BSE - SENSEX Index Options'!$H:$H,"Monthly*")+SUMIFS('BSE - Other Index Options'!$L:$L,'BSE - Other Index Options'!$C:$C,$A180,'BSE - Other Index Options'!$B:$B,C$147,'BSE - Other Index Options'!$H:$H,"Monthly*")=0,"",SUMIFS('BSE - SENSEX Index Options'!$L:$L,'BSE - SENSEX Index Options'!$C:$C,$A180,'BSE - SENSEX Index Options'!$B:$B,C$147,'BSE - SENSEX Index Options'!$H:$H,"Monthly*")+SUMIFS('BSE - Other Index Options'!$L:$L,'BSE - Other Index Options'!$C:$C,$A180,'BSE - Other Index Options'!$B:$B,C$147,'BSE - Other Index Options'!$H:$H,"Monthly*"))</f>
        <v>72.25</v>
      </c>
      <c r="D180" s="26">
        <f>IF(SUMIFS('BSE - SENSEX Index Options'!$L:$L,'BSE - SENSEX Index Options'!$C:$C,$A180,'BSE - SENSEX Index Options'!$B:$B,D$147,'BSE - SENSEX Index Options'!$H:$H,"Monthly*")+SUMIFS('BSE - Other Index Options'!$L:$L,'BSE - Other Index Options'!$C:$C,$A180,'BSE - Other Index Options'!$B:$B,D$147,'BSE - Other Index Options'!$H:$H,"Monthly*")=0,"",SUMIFS('BSE - SENSEX Index Options'!$L:$L,'BSE - SENSEX Index Options'!$C:$C,$A180,'BSE - SENSEX Index Options'!$B:$B,D$147,'BSE - SENSEX Index Options'!$H:$H,"Monthly*")+SUMIFS('BSE - Other Index Options'!$L:$L,'BSE - Other Index Options'!$C:$C,$A180,'BSE - Other Index Options'!$B:$B,D$147,'BSE - Other Index Options'!$H:$H,"Monthly*"))</f>
        <v>1167.33</v>
      </c>
      <c r="E180" s="26" t="str">
        <f>IF(SUMIFS('BSE - SENSEX Index Options'!$L:$L,'BSE - SENSEX Index Options'!$C:$C,$A180,'BSE - SENSEX Index Options'!$B:$B,E$147,'BSE - SENSEX Index Options'!$H:$H,"Monthly*")+SUMIFS('BSE - Other Index Options'!$L:$L,'BSE - Other Index Options'!$C:$C,$A180,'BSE - Other Index Options'!$B:$B,E$147,'BSE - Other Index Options'!$H:$H,"Monthly*")=0,"",SUMIFS('BSE - SENSEX Index Options'!$L:$L,'BSE - SENSEX Index Options'!$C:$C,$A180,'BSE - SENSEX Index Options'!$B:$B,E$147,'BSE - SENSEX Index Options'!$H:$H,"Monthly*")+SUMIFS('BSE - Other Index Options'!$L:$L,'BSE - Other Index Options'!$C:$C,$A180,'BSE - Other Index Options'!$B:$B,E$147,'BSE - Other Index Options'!$H:$H,"Monthly*"))</f>
        <v/>
      </c>
      <c r="F180" s="26">
        <f>IF(SUMIFS('BSE - SENSEX Index Options'!$L:$L,'BSE - SENSEX Index Options'!$C:$C,$A180,'BSE - SENSEX Index Options'!$B:$B,F$147,'BSE - SENSEX Index Options'!$H:$H,"Monthly*")+SUMIFS('BSE - Other Index Options'!$L:$L,'BSE - Other Index Options'!$C:$C,$A180,'BSE - Other Index Options'!$B:$B,F$147,'BSE - Other Index Options'!$H:$H,"Monthly*")=0,"",SUMIFS('BSE - SENSEX Index Options'!$L:$L,'BSE - SENSEX Index Options'!$C:$C,$A180,'BSE - SENSEX Index Options'!$B:$B,F$147,'BSE - SENSEX Index Options'!$H:$H,"Monthly*")+SUMIFS('BSE - Other Index Options'!$L:$L,'BSE - Other Index Options'!$C:$C,$A180,'BSE - Other Index Options'!$B:$B,F$147,'BSE - Other Index Options'!$H:$H,"Monthly*"))</f>
        <v>39.309999999999995</v>
      </c>
      <c r="G180" s="26" t="str">
        <f>IF(SUMIFS('BSE - SENSEX Index Options'!$L:$L,'BSE - SENSEX Index Options'!$C:$C,$A180,'BSE - SENSEX Index Options'!$B:$B,G$147,'BSE - SENSEX Index Options'!$H:$H,"Monthly*")+SUMIFS('BSE - Other Index Options'!$L:$L,'BSE - Other Index Options'!$C:$C,$A180,'BSE - Other Index Options'!$B:$B,G$147,'BSE - Other Index Options'!$H:$H,"Monthly*")=0,"",SUMIFS('BSE - SENSEX Index Options'!$L:$L,'BSE - SENSEX Index Options'!$C:$C,$A180,'BSE - SENSEX Index Options'!$B:$B,G$147,'BSE - SENSEX Index Options'!$H:$H,"Monthly*")+SUMIFS('BSE - Other Index Options'!$L:$L,'BSE - Other Index Options'!$C:$C,$A180,'BSE - Other Index Options'!$B:$B,G$147,'BSE - Other Index Options'!$H:$H,"Monthly*"))</f>
        <v/>
      </c>
      <c r="H180" s="26">
        <f t="shared" ref="H180:H211" si="7">IF(SUM(B180:G180)=0,"",SUM(B180:G180))</f>
        <v>1328.06</v>
      </c>
    </row>
    <row r="181" spans="1:8">
      <c r="A181" t="s">
        <v>43</v>
      </c>
      <c r="B181" s="26">
        <f>IF(SUMIFS('BSE - SENSEX Index Options'!$L:$L,'BSE - SENSEX Index Options'!$C:$C,$A181,'BSE - SENSEX Index Options'!$B:$B,B$147,'BSE - SENSEX Index Options'!$H:$H,"Monthly*")+SUMIFS('BSE - Other Index Options'!$L:$L,'BSE - Other Index Options'!$C:$C,$A181,'BSE - Other Index Options'!$B:$B,B$147,'BSE - Other Index Options'!$H:$H,"Monthly*")=0,"",SUMIFS('BSE - SENSEX Index Options'!$L:$L,'BSE - SENSEX Index Options'!$C:$C,$A181,'BSE - SENSEX Index Options'!$B:$B,B$147,'BSE - SENSEX Index Options'!$H:$H,"Monthly*")+SUMIFS('BSE - Other Index Options'!$L:$L,'BSE - Other Index Options'!$C:$C,$A181,'BSE - Other Index Options'!$B:$B,B$147,'BSE - Other Index Options'!$H:$H,"Monthly*"))</f>
        <v>33.450000000000003</v>
      </c>
      <c r="C181" s="26" t="str">
        <f>IF(SUMIFS('BSE - SENSEX Index Options'!$L:$L,'BSE - SENSEX Index Options'!$C:$C,$A181,'BSE - SENSEX Index Options'!$B:$B,C$147,'BSE - SENSEX Index Options'!$H:$H,"Monthly*")+SUMIFS('BSE - Other Index Options'!$L:$L,'BSE - Other Index Options'!$C:$C,$A181,'BSE - Other Index Options'!$B:$B,C$147,'BSE - Other Index Options'!$H:$H,"Monthly*")=0,"",SUMIFS('BSE - SENSEX Index Options'!$L:$L,'BSE - SENSEX Index Options'!$C:$C,$A181,'BSE - SENSEX Index Options'!$B:$B,C$147,'BSE - SENSEX Index Options'!$H:$H,"Monthly*")+SUMIFS('BSE - Other Index Options'!$L:$L,'BSE - Other Index Options'!$C:$C,$A181,'BSE - Other Index Options'!$B:$B,C$147,'BSE - Other Index Options'!$H:$H,"Monthly*"))</f>
        <v/>
      </c>
      <c r="D181" s="26" t="str">
        <f>IF(SUMIFS('BSE - SENSEX Index Options'!$L:$L,'BSE - SENSEX Index Options'!$C:$C,$A181,'BSE - SENSEX Index Options'!$B:$B,D$147,'BSE - SENSEX Index Options'!$H:$H,"Monthly*")+SUMIFS('BSE - Other Index Options'!$L:$L,'BSE - Other Index Options'!$C:$C,$A181,'BSE - Other Index Options'!$B:$B,D$147,'BSE - Other Index Options'!$H:$H,"Monthly*")=0,"",SUMIFS('BSE - SENSEX Index Options'!$L:$L,'BSE - SENSEX Index Options'!$C:$C,$A181,'BSE - SENSEX Index Options'!$B:$B,D$147,'BSE - SENSEX Index Options'!$H:$H,"Monthly*")+SUMIFS('BSE - Other Index Options'!$L:$L,'BSE - Other Index Options'!$C:$C,$A181,'BSE - Other Index Options'!$B:$B,D$147,'BSE - Other Index Options'!$H:$H,"Monthly*"))</f>
        <v/>
      </c>
      <c r="E181" s="26" t="str">
        <f>IF(SUMIFS('BSE - SENSEX Index Options'!$L:$L,'BSE - SENSEX Index Options'!$C:$C,$A181,'BSE - SENSEX Index Options'!$B:$B,E$147,'BSE - SENSEX Index Options'!$H:$H,"Monthly*")+SUMIFS('BSE - Other Index Options'!$L:$L,'BSE - Other Index Options'!$C:$C,$A181,'BSE - Other Index Options'!$B:$B,E$147,'BSE - Other Index Options'!$H:$H,"Monthly*")=0,"",SUMIFS('BSE - SENSEX Index Options'!$L:$L,'BSE - SENSEX Index Options'!$C:$C,$A181,'BSE - SENSEX Index Options'!$B:$B,E$147,'BSE - SENSEX Index Options'!$H:$H,"Monthly*")+SUMIFS('BSE - Other Index Options'!$L:$L,'BSE - Other Index Options'!$C:$C,$A181,'BSE - Other Index Options'!$B:$B,E$147,'BSE - Other Index Options'!$H:$H,"Monthly*"))</f>
        <v/>
      </c>
      <c r="F181" s="26" t="str">
        <f>IF(SUMIFS('BSE - SENSEX Index Options'!$L:$L,'BSE - SENSEX Index Options'!$C:$C,$A181,'BSE - SENSEX Index Options'!$B:$B,F$147,'BSE - SENSEX Index Options'!$H:$H,"Monthly*")+SUMIFS('BSE - Other Index Options'!$L:$L,'BSE - Other Index Options'!$C:$C,$A181,'BSE - Other Index Options'!$B:$B,F$147,'BSE - Other Index Options'!$H:$H,"Monthly*")=0,"",SUMIFS('BSE - SENSEX Index Options'!$L:$L,'BSE - SENSEX Index Options'!$C:$C,$A181,'BSE - SENSEX Index Options'!$B:$B,F$147,'BSE - SENSEX Index Options'!$H:$H,"Monthly*")+SUMIFS('BSE - Other Index Options'!$L:$L,'BSE - Other Index Options'!$C:$C,$A181,'BSE - Other Index Options'!$B:$B,F$147,'BSE - Other Index Options'!$H:$H,"Monthly*"))</f>
        <v/>
      </c>
      <c r="G181" s="26" t="str">
        <f>IF(SUMIFS('BSE - SENSEX Index Options'!$L:$L,'BSE - SENSEX Index Options'!$C:$C,$A181,'BSE - SENSEX Index Options'!$B:$B,G$147,'BSE - SENSEX Index Options'!$H:$H,"Monthly*")+SUMIFS('BSE - Other Index Options'!$L:$L,'BSE - Other Index Options'!$C:$C,$A181,'BSE - Other Index Options'!$B:$B,G$147,'BSE - Other Index Options'!$H:$H,"Monthly*")=0,"",SUMIFS('BSE - SENSEX Index Options'!$L:$L,'BSE - SENSEX Index Options'!$C:$C,$A181,'BSE - SENSEX Index Options'!$B:$B,G$147,'BSE - SENSEX Index Options'!$H:$H,"Monthly*")+SUMIFS('BSE - Other Index Options'!$L:$L,'BSE - Other Index Options'!$C:$C,$A181,'BSE - Other Index Options'!$B:$B,G$147,'BSE - Other Index Options'!$H:$H,"Monthly*"))</f>
        <v/>
      </c>
      <c r="H181" s="26">
        <f t="shared" si="7"/>
        <v>33.450000000000003</v>
      </c>
    </row>
    <row r="182" spans="1:8">
      <c r="A182" t="s">
        <v>44</v>
      </c>
      <c r="B182" s="26">
        <f>IF(SUMIFS('BSE - SENSEX Index Options'!$L:$L,'BSE - SENSEX Index Options'!$C:$C,$A182,'BSE - SENSEX Index Options'!$B:$B,B$147,'BSE - SENSEX Index Options'!$H:$H,"Monthly*")+SUMIFS('BSE - Other Index Options'!$L:$L,'BSE - Other Index Options'!$C:$C,$A182,'BSE - Other Index Options'!$B:$B,B$147,'BSE - Other Index Options'!$H:$H,"Monthly*")=0,"",SUMIFS('BSE - SENSEX Index Options'!$L:$L,'BSE - SENSEX Index Options'!$C:$C,$A182,'BSE - SENSEX Index Options'!$B:$B,B$147,'BSE - SENSEX Index Options'!$H:$H,"Monthly*")+SUMIFS('BSE - Other Index Options'!$L:$L,'BSE - Other Index Options'!$C:$C,$A182,'BSE - Other Index Options'!$B:$B,B$147,'BSE - Other Index Options'!$H:$H,"Monthly*"))</f>
        <v>45.42</v>
      </c>
      <c r="C182" s="26">
        <f>IF(SUMIFS('BSE - SENSEX Index Options'!$L:$L,'BSE - SENSEX Index Options'!$C:$C,$A182,'BSE - SENSEX Index Options'!$B:$B,C$147,'BSE - SENSEX Index Options'!$H:$H,"Monthly*")+SUMIFS('BSE - Other Index Options'!$L:$L,'BSE - Other Index Options'!$C:$C,$A182,'BSE - Other Index Options'!$B:$B,C$147,'BSE - Other Index Options'!$H:$H,"Monthly*")=0,"",SUMIFS('BSE - SENSEX Index Options'!$L:$L,'BSE - SENSEX Index Options'!$C:$C,$A182,'BSE - SENSEX Index Options'!$B:$B,C$147,'BSE - SENSEX Index Options'!$H:$H,"Monthly*")+SUMIFS('BSE - Other Index Options'!$L:$L,'BSE - Other Index Options'!$C:$C,$A182,'BSE - Other Index Options'!$B:$B,C$147,'BSE - Other Index Options'!$H:$H,"Monthly*"))</f>
        <v>38.44</v>
      </c>
      <c r="D182" s="26">
        <f>IF(SUMIFS('BSE - SENSEX Index Options'!$L:$L,'BSE - SENSEX Index Options'!$C:$C,$A182,'BSE - SENSEX Index Options'!$B:$B,D$147,'BSE - SENSEX Index Options'!$H:$H,"Monthly*")+SUMIFS('BSE - Other Index Options'!$L:$L,'BSE - Other Index Options'!$C:$C,$A182,'BSE - Other Index Options'!$B:$B,D$147,'BSE - Other Index Options'!$H:$H,"Monthly*")=0,"",SUMIFS('BSE - SENSEX Index Options'!$L:$L,'BSE - SENSEX Index Options'!$C:$C,$A182,'BSE - SENSEX Index Options'!$B:$B,D$147,'BSE - SENSEX Index Options'!$H:$H,"Monthly*")+SUMIFS('BSE - Other Index Options'!$L:$L,'BSE - Other Index Options'!$C:$C,$A182,'BSE - Other Index Options'!$B:$B,D$147,'BSE - Other Index Options'!$H:$H,"Monthly*"))</f>
        <v>36.14</v>
      </c>
      <c r="E182" s="26">
        <f>IF(SUMIFS('BSE - SENSEX Index Options'!$L:$L,'BSE - SENSEX Index Options'!$C:$C,$A182,'BSE - SENSEX Index Options'!$B:$B,E$147,'BSE - SENSEX Index Options'!$H:$H,"Monthly*")+SUMIFS('BSE - Other Index Options'!$L:$L,'BSE - Other Index Options'!$C:$C,$A182,'BSE - Other Index Options'!$B:$B,E$147,'BSE - Other Index Options'!$H:$H,"Monthly*")=0,"",SUMIFS('BSE - SENSEX Index Options'!$L:$L,'BSE - SENSEX Index Options'!$C:$C,$A182,'BSE - SENSEX Index Options'!$B:$B,E$147,'BSE - SENSEX Index Options'!$H:$H,"Monthly*")+SUMIFS('BSE - Other Index Options'!$L:$L,'BSE - Other Index Options'!$C:$C,$A182,'BSE - Other Index Options'!$B:$B,E$147,'BSE - Other Index Options'!$H:$H,"Monthly*"))</f>
        <v>45.14</v>
      </c>
      <c r="F182" s="26" t="str">
        <f>IF(SUMIFS('BSE - SENSEX Index Options'!$L:$L,'BSE - SENSEX Index Options'!$C:$C,$A182,'BSE - SENSEX Index Options'!$B:$B,F$147,'BSE - SENSEX Index Options'!$H:$H,"Monthly*")+SUMIFS('BSE - Other Index Options'!$L:$L,'BSE - Other Index Options'!$C:$C,$A182,'BSE - Other Index Options'!$B:$B,F$147,'BSE - Other Index Options'!$H:$H,"Monthly*")=0,"",SUMIFS('BSE - SENSEX Index Options'!$L:$L,'BSE - SENSEX Index Options'!$C:$C,$A182,'BSE - SENSEX Index Options'!$B:$B,F$147,'BSE - SENSEX Index Options'!$H:$H,"Monthly*")+SUMIFS('BSE - Other Index Options'!$L:$L,'BSE - Other Index Options'!$C:$C,$A182,'BSE - Other Index Options'!$B:$B,F$147,'BSE - Other Index Options'!$H:$H,"Monthly*"))</f>
        <v/>
      </c>
      <c r="G182" s="26" t="str">
        <f>IF(SUMIFS('BSE - SENSEX Index Options'!$L:$L,'BSE - SENSEX Index Options'!$C:$C,$A182,'BSE - SENSEX Index Options'!$B:$B,G$147,'BSE - SENSEX Index Options'!$H:$H,"Monthly*")+SUMIFS('BSE - Other Index Options'!$L:$L,'BSE - Other Index Options'!$C:$C,$A182,'BSE - Other Index Options'!$B:$B,G$147,'BSE - Other Index Options'!$H:$H,"Monthly*")=0,"",SUMIFS('BSE - SENSEX Index Options'!$L:$L,'BSE - SENSEX Index Options'!$C:$C,$A182,'BSE - SENSEX Index Options'!$B:$B,G$147,'BSE - SENSEX Index Options'!$H:$H,"Monthly*")+SUMIFS('BSE - Other Index Options'!$L:$L,'BSE - Other Index Options'!$C:$C,$A182,'BSE - Other Index Options'!$B:$B,G$147,'BSE - Other Index Options'!$H:$H,"Monthly*"))</f>
        <v/>
      </c>
      <c r="H182" s="26">
        <f t="shared" si="7"/>
        <v>165.14</v>
      </c>
    </row>
    <row r="183" spans="1:8">
      <c r="A183" t="s">
        <v>45</v>
      </c>
      <c r="B183" s="26">
        <f>IF(SUMIFS('BSE - SENSEX Index Options'!$L:$L,'BSE - SENSEX Index Options'!$C:$C,$A183,'BSE - SENSEX Index Options'!$B:$B,B$147,'BSE - SENSEX Index Options'!$H:$H,"Monthly*")+SUMIFS('BSE - Other Index Options'!$L:$L,'BSE - Other Index Options'!$C:$C,$A183,'BSE - Other Index Options'!$B:$B,B$147,'BSE - Other Index Options'!$H:$H,"Monthly*")=0,"",SUMIFS('BSE - SENSEX Index Options'!$L:$L,'BSE - SENSEX Index Options'!$C:$C,$A183,'BSE - SENSEX Index Options'!$B:$B,B$147,'BSE - SENSEX Index Options'!$H:$H,"Monthly*")+SUMIFS('BSE - Other Index Options'!$L:$L,'BSE - Other Index Options'!$C:$C,$A183,'BSE - Other Index Options'!$B:$B,B$147,'BSE - Other Index Options'!$H:$H,"Monthly*"))</f>
        <v>40.83</v>
      </c>
      <c r="C183" s="26" t="str">
        <f>IF(SUMIFS('BSE - SENSEX Index Options'!$L:$L,'BSE - SENSEX Index Options'!$C:$C,$A183,'BSE - SENSEX Index Options'!$B:$B,C$147,'BSE - SENSEX Index Options'!$H:$H,"Monthly*")+SUMIFS('BSE - Other Index Options'!$L:$L,'BSE - Other Index Options'!$C:$C,$A183,'BSE - Other Index Options'!$B:$B,C$147,'BSE - Other Index Options'!$H:$H,"Monthly*")=0,"",SUMIFS('BSE - SENSEX Index Options'!$L:$L,'BSE - SENSEX Index Options'!$C:$C,$A183,'BSE - SENSEX Index Options'!$B:$B,C$147,'BSE - SENSEX Index Options'!$H:$H,"Monthly*")+SUMIFS('BSE - Other Index Options'!$L:$L,'BSE - Other Index Options'!$C:$C,$A183,'BSE - Other Index Options'!$B:$B,C$147,'BSE - Other Index Options'!$H:$H,"Monthly*"))</f>
        <v/>
      </c>
      <c r="D183" s="26">
        <f>IF(SUMIFS('BSE - SENSEX Index Options'!$L:$L,'BSE - SENSEX Index Options'!$C:$C,$A183,'BSE - SENSEX Index Options'!$B:$B,D$147,'BSE - SENSEX Index Options'!$H:$H,"Monthly*")+SUMIFS('BSE - Other Index Options'!$L:$L,'BSE - Other Index Options'!$C:$C,$A183,'BSE - Other Index Options'!$B:$B,D$147,'BSE - Other Index Options'!$H:$H,"Monthly*")=0,"",SUMIFS('BSE - SENSEX Index Options'!$L:$L,'BSE - SENSEX Index Options'!$C:$C,$A183,'BSE - SENSEX Index Options'!$B:$B,D$147,'BSE - SENSEX Index Options'!$H:$H,"Monthly*")+SUMIFS('BSE - Other Index Options'!$L:$L,'BSE - Other Index Options'!$C:$C,$A183,'BSE - Other Index Options'!$B:$B,D$147,'BSE - Other Index Options'!$H:$H,"Monthly*"))</f>
        <v>72.17</v>
      </c>
      <c r="E183" s="26">
        <f>IF(SUMIFS('BSE - SENSEX Index Options'!$L:$L,'BSE - SENSEX Index Options'!$C:$C,$A183,'BSE - SENSEX Index Options'!$B:$B,E$147,'BSE - SENSEX Index Options'!$H:$H,"Monthly*")+SUMIFS('BSE - Other Index Options'!$L:$L,'BSE - Other Index Options'!$C:$C,$A183,'BSE - Other Index Options'!$B:$B,E$147,'BSE - Other Index Options'!$H:$H,"Monthly*")=0,"",SUMIFS('BSE - SENSEX Index Options'!$L:$L,'BSE - SENSEX Index Options'!$C:$C,$A183,'BSE - SENSEX Index Options'!$B:$B,E$147,'BSE - SENSEX Index Options'!$H:$H,"Monthly*")+SUMIFS('BSE - Other Index Options'!$L:$L,'BSE - Other Index Options'!$C:$C,$A183,'BSE - Other Index Options'!$B:$B,E$147,'BSE - Other Index Options'!$H:$H,"Monthly*"))</f>
        <v>75.180000000000007</v>
      </c>
      <c r="F183" s="26">
        <f>IF(SUMIFS('BSE - SENSEX Index Options'!$L:$L,'BSE - SENSEX Index Options'!$C:$C,$A183,'BSE - SENSEX Index Options'!$B:$B,F$147,'BSE - SENSEX Index Options'!$H:$H,"Monthly*")+SUMIFS('BSE - Other Index Options'!$L:$L,'BSE - Other Index Options'!$C:$C,$A183,'BSE - Other Index Options'!$B:$B,F$147,'BSE - Other Index Options'!$H:$H,"Monthly*")=0,"",SUMIFS('BSE - SENSEX Index Options'!$L:$L,'BSE - SENSEX Index Options'!$C:$C,$A183,'BSE - SENSEX Index Options'!$B:$B,F$147,'BSE - SENSEX Index Options'!$H:$H,"Monthly*")+SUMIFS('BSE - Other Index Options'!$L:$L,'BSE - Other Index Options'!$C:$C,$A183,'BSE - Other Index Options'!$B:$B,F$147,'BSE - Other Index Options'!$H:$H,"Monthly*"))</f>
        <v>35.650000000000006</v>
      </c>
      <c r="G183" s="26" t="str">
        <f>IF(SUMIFS('BSE - SENSEX Index Options'!$L:$L,'BSE - SENSEX Index Options'!$C:$C,$A183,'BSE - SENSEX Index Options'!$B:$B,G$147,'BSE - SENSEX Index Options'!$H:$H,"Monthly*")+SUMIFS('BSE - Other Index Options'!$L:$L,'BSE - Other Index Options'!$C:$C,$A183,'BSE - Other Index Options'!$B:$B,G$147,'BSE - Other Index Options'!$H:$H,"Monthly*")=0,"",SUMIFS('BSE - SENSEX Index Options'!$L:$L,'BSE - SENSEX Index Options'!$C:$C,$A183,'BSE - SENSEX Index Options'!$B:$B,G$147,'BSE - SENSEX Index Options'!$H:$H,"Monthly*")+SUMIFS('BSE - Other Index Options'!$L:$L,'BSE - Other Index Options'!$C:$C,$A183,'BSE - Other Index Options'!$B:$B,G$147,'BSE - Other Index Options'!$H:$H,"Monthly*"))</f>
        <v/>
      </c>
      <c r="H183" s="26">
        <f t="shared" si="7"/>
        <v>223.83</v>
      </c>
    </row>
    <row r="184" spans="1:8">
      <c r="A184" t="s">
        <v>46</v>
      </c>
      <c r="B184" s="26">
        <f>IF(SUMIFS('BSE - SENSEX Index Options'!$L:$L,'BSE - SENSEX Index Options'!$C:$C,$A184,'BSE - SENSEX Index Options'!$B:$B,B$147,'BSE - SENSEX Index Options'!$H:$H,"Monthly*")+SUMIFS('BSE - Other Index Options'!$L:$L,'BSE - Other Index Options'!$C:$C,$A184,'BSE - Other Index Options'!$B:$B,B$147,'BSE - Other Index Options'!$H:$H,"Monthly*")=0,"",SUMIFS('BSE - SENSEX Index Options'!$L:$L,'BSE - SENSEX Index Options'!$C:$C,$A184,'BSE - SENSEX Index Options'!$B:$B,B$147,'BSE - SENSEX Index Options'!$H:$H,"Monthly*")+SUMIFS('BSE - Other Index Options'!$L:$L,'BSE - Other Index Options'!$C:$C,$A184,'BSE - Other Index Options'!$B:$B,B$147,'BSE - Other Index Options'!$H:$H,"Monthly*"))</f>
        <v>182.45</v>
      </c>
      <c r="C184" s="26">
        <f>IF(SUMIFS('BSE - SENSEX Index Options'!$L:$L,'BSE - SENSEX Index Options'!$C:$C,$A184,'BSE - SENSEX Index Options'!$B:$B,C$147,'BSE - SENSEX Index Options'!$H:$H,"Monthly*")+SUMIFS('BSE - Other Index Options'!$L:$L,'BSE - Other Index Options'!$C:$C,$A184,'BSE - Other Index Options'!$B:$B,C$147,'BSE - Other Index Options'!$H:$H,"Monthly*")=0,"",SUMIFS('BSE - SENSEX Index Options'!$L:$L,'BSE - SENSEX Index Options'!$C:$C,$A184,'BSE - SENSEX Index Options'!$B:$B,C$147,'BSE - SENSEX Index Options'!$H:$H,"Monthly*")+SUMIFS('BSE - Other Index Options'!$L:$L,'BSE - Other Index Options'!$C:$C,$A184,'BSE - Other Index Options'!$B:$B,C$147,'BSE - Other Index Options'!$H:$H,"Monthly*"))</f>
        <v>177.4</v>
      </c>
      <c r="D184" s="26">
        <f>IF(SUMIFS('BSE - SENSEX Index Options'!$L:$L,'BSE - SENSEX Index Options'!$C:$C,$A184,'BSE - SENSEX Index Options'!$B:$B,D$147,'BSE - SENSEX Index Options'!$H:$H,"Monthly*")+SUMIFS('BSE - Other Index Options'!$L:$L,'BSE - Other Index Options'!$C:$C,$A184,'BSE - Other Index Options'!$B:$B,D$147,'BSE - Other Index Options'!$H:$H,"Monthly*")=0,"",SUMIFS('BSE - SENSEX Index Options'!$L:$L,'BSE - SENSEX Index Options'!$C:$C,$A184,'BSE - SENSEX Index Options'!$B:$B,D$147,'BSE - SENSEX Index Options'!$H:$H,"Monthly*")+SUMIFS('BSE - Other Index Options'!$L:$L,'BSE - Other Index Options'!$C:$C,$A184,'BSE - Other Index Options'!$B:$B,D$147,'BSE - Other Index Options'!$H:$H,"Monthly*"))</f>
        <v>52.12</v>
      </c>
      <c r="E184" s="26">
        <f>IF(SUMIFS('BSE - SENSEX Index Options'!$L:$L,'BSE - SENSEX Index Options'!$C:$C,$A184,'BSE - SENSEX Index Options'!$B:$B,E$147,'BSE - SENSEX Index Options'!$H:$H,"Monthly*")+SUMIFS('BSE - Other Index Options'!$L:$L,'BSE - Other Index Options'!$C:$C,$A184,'BSE - Other Index Options'!$B:$B,E$147,'BSE - Other Index Options'!$H:$H,"Monthly*")=0,"",SUMIFS('BSE - SENSEX Index Options'!$L:$L,'BSE - SENSEX Index Options'!$C:$C,$A184,'BSE - SENSEX Index Options'!$B:$B,E$147,'BSE - SENSEX Index Options'!$H:$H,"Monthly*")+SUMIFS('BSE - Other Index Options'!$L:$L,'BSE - Other Index Options'!$C:$C,$A184,'BSE - Other Index Options'!$B:$B,E$147,'BSE - Other Index Options'!$H:$H,"Monthly*"))</f>
        <v>70.56</v>
      </c>
      <c r="F184" s="26">
        <f>IF(SUMIFS('BSE - SENSEX Index Options'!$L:$L,'BSE - SENSEX Index Options'!$C:$C,$A184,'BSE - SENSEX Index Options'!$B:$B,F$147,'BSE - SENSEX Index Options'!$H:$H,"Monthly*")+SUMIFS('BSE - Other Index Options'!$L:$L,'BSE - Other Index Options'!$C:$C,$A184,'BSE - Other Index Options'!$B:$B,F$147,'BSE - Other Index Options'!$H:$H,"Monthly*")=0,"",SUMIFS('BSE - SENSEX Index Options'!$L:$L,'BSE - SENSEX Index Options'!$C:$C,$A184,'BSE - SENSEX Index Options'!$B:$B,F$147,'BSE - SENSEX Index Options'!$H:$H,"Monthly*")+SUMIFS('BSE - Other Index Options'!$L:$L,'BSE - Other Index Options'!$C:$C,$A184,'BSE - Other Index Options'!$B:$B,F$147,'BSE - Other Index Options'!$H:$H,"Monthly*"))</f>
        <v>99.93</v>
      </c>
      <c r="G184" s="26" t="str">
        <f>IF(SUMIFS('BSE - SENSEX Index Options'!$L:$L,'BSE - SENSEX Index Options'!$C:$C,$A184,'BSE - SENSEX Index Options'!$B:$B,G$147,'BSE - SENSEX Index Options'!$H:$H,"Monthly*")+SUMIFS('BSE - Other Index Options'!$L:$L,'BSE - Other Index Options'!$C:$C,$A184,'BSE - Other Index Options'!$B:$B,G$147,'BSE - Other Index Options'!$H:$H,"Monthly*")=0,"",SUMIFS('BSE - SENSEX Index Options'!$L:$L,'BSE - SENSEX Index Options'!$C:$C,$A184,'BSE - SENSEX Index Options'!$B:$B,G$147,'BSE - SENSEX Index Options'!$H:$H,"Monthly*")+SUMIFS('BSE - Other Index Options'!$L:$L,'BSE - Other Index Options'!$C:$C,$A184,'BSE - Other Index Options'!$B:$B,G$147,'BSE - Other Index Options'!$H:$H,"Monthly*"))</f>
        <v/>
      </c>
      <c r="H184" s="26">
        <f t="shared" si="7"/>
        <v>582.46</v>
      </c>
    </row>
    <row r="185" spans="1:8">
      <c r="A185" t="s">
        <v>47</v>
      </c>
      <c r="B185" s="26">
        <f>IF(SUMIFS('BSE - SENSEX Index Options'!$L:$L,'BSE - SENSEX Index Options'!$C:$C,$A185,'BSE - SENSEX Index Options'!$B:$B,B$147,'BSE - SENSEX Index Options'!$H:$H,"Monthly*")+SUMIFS('BSE - Other Index Options'!$L:$L,'BSE - Other Index Options'!$C:$C,$A185,'BSE - Other Index Options'!$B:$B,B$147,'BSE - Other Index Options'!$H:$H,"Monthly*")=0,"",SUMIFS('BSE - SENSEX Index Options'!$L:$L,'BSE - SENSEX Index Options'!$C:$C,$A185,'BSE - SENSEX Index Options'!$B:$B,B$147,'BSE - SENSEX Index Options'!$H:$H,"Monthly*")+SUMIFS('BSE - Other Index Options'!$L:$L,'BSE - Other Index Options'!$C:$C,$A185,'BSE - Other Index Options'!$B:$B,B$147,'BSE - Other Index Options'!$H:$H,"Monthly*"))</f>
        <v>25.020000000000003</v>
      </c>
      <c r="C185" s="26">
        <f>IF(SUMIFS('BSE - SENSEX Index Options'!$L:$L,'BSE - SENSEX Index Options'!$C:$C,$A185,'BSE - SENSEX Index Options'!$B:$B,C$147,'BSE - SENSEX Index Options'!$H:$H,"Monthly*")+SUMIFS('BSE - Other Index Options'!$L:$L,'BSE - Other Index Options'!$C:$C,$A185,'BSE - Other Index Options'!$B:$B,C$147,'BSE - Other Index Options'!$H:$H,"Monthly*")=0,"",SUMIFS('BSE - SENSEX Index Options'!$L:$L,'BSE - SENSEX Index Options'!$C:$C,$A185,'BSE - SENSEX Index Options'!$B:$B,C$147,'BSE - SENSEX Index Options'!$H:$H,"Monthly*")+SUMIFS('BSE - Other Index Options'!$L:$L,'BSE - Other Index Options'!$C:$C,$A185,'BSE - Other Index Options'!$B:$B,C$147,'BSE - Other Index Options'!$H:$H,"Monthly*"))</f>
        <v>28.009999999999998</v>
      </c>
      <c r="D185" s="26">
        <f>IF(SUMIFS('BSE - SENSEX Index Options'!$L:$L,'BSE - SENSEX Index Options'!$C:$C,$A185,'BSE - SENSEX Index Options'!$B:$B,D$147,'BSE - SENSEX Index Options'!$H:$H,"Monthly*")+SUMIFS('BSE - Other Index Options'!$L:$L,'BSE - Other Index Options'!$C:$C,$A185,'BSE - Other Index Options'!$B:$B,D$147,'BSE - Other Index Options'!$H:$H,"Monthly*")=0,"",SUMIFS('BSE - SENSEX Index Options'!$L:$L,'BSE - SENSEX Index Options'!$C:$C,$A185,'BSE - SENSEX Index Options'!$B:$B,D$147,'BSE - SENSEX Index Options'!$H:$H,"Monthly*")+SUMIFS('BSE - Other Index Options'!$L:$L,'BSE - Other Index Options'!$C:$C,$A185,'BSE - Other Index Options'!$B:$B,D$147,'BSE - Other Index Options'!$H:$H,"Monthly*"))</f>
        <v>414.64</v>
      </c>
      <c r="E185" s="26">
        <f>IF(SUMIFS('BSE - SENSEX Index Options'!$L:$L,'BSE - SENSEX Index Options'!$C:$C,$A185,'BSE - SENSEX Index Options'!$B:$B,E$147,'BSE - SENSEX Index Options'!$H:$H,"Monthly*")+SUMIFS('BSE - Other Index Options'!$L:$L,'BSE - Other Index Options'!$C:$C,$A185,'BSE - Other Index Options'!$B:$B,E$147,'BSE - Other Index Options'!$H:$H,"Monthly*")=0,"",SUMIFS('BSE - SENSEX Index Options'!$L:$L,'BSE - SENSEX Index Options'!$C:$C,$A185,'BSE - SENSEX Index Options'!$B:$B,E$147,'BSE - SENSEX Index Options'!$H:$H,"Monthly*")+SUMIFS('BSE - Other Index Options'!$L:$L,'BSE - Other Index Options'!$C:$C,$A185,'BSE - Other Index Options'!$B:$B,E$147,'BSE - Other Index Options'!$H:$H,"Monthly*"))</f>
        <v>1232.1400000000001</v>
      </c>
      <c r="F185" s="26">
        <f>IF(SUMIFS('BSE - SENSEX Index Options'!$L:$L,'BSE - SENSEX Index Options'!$C:$C,$A185,'BSE - SENSEX Index Options'!$B:$B,F$147,'BSE - SENSEX Index Options'!$H:$H,"Monthly*")+SUMIFS('BSE - Other Index Options'!$L:$L,'BSE - Other Index Options'!$C:$C,$A185,'BSE - Other Index Options'!$B:$B,F$147,'BSE - Other Index Options'!$H:$H,"Monthly*")=0,"",SUMIFS('BSE - SENSEX Index Options'!$L:$L,'BSE - SENSEX Index Options'!$C:$C,$A185,'BSE - SENSEX Index Options'!$B:$B,F$147,'BSE - SENSEX Index Options'!$H:$H,"Monthly*")+SUMIFS('BSE - Other Index Options'!$L:$L,'BSE - Other Index Options'!$C:$C,$A185,'BSE - Other Index Options'!$B:$B,F$147,'BSE - Other Index Options'!$H:$H,"Monthly*"))</f>
        <v>21.29</v>
      </c>
      <c r="G185" s="26" t="str">
        <f>IF(SUMIFS('BSE - SENSEX Index Options'!$L:$L,'BSE - SENSEX Index Options'!$C:$C,$A185,'BSE - SENSEX Index Options'!$B:$B,G$147,'BSE - SENSEX Index Options'!$H:$H,"Monthly*")+SUMIFS('BSE - Other Index Options'!$L:$L,'BSE - Other Index Options'!$C:$C,$A185,'BSE - Other Index Options'!$B:$B,G$147,'BSE - Other Index Options'!$H:$H,"Monthly*")=0,"",SUMIFS('BSE - SENSEX Index Options'!$L:$L,'BSE - SENSEX Index Options'!$C:$C,$A185,'BSE - SENSEX Index Options'!$B:$B,G$147,'BSE - SENSEX Index Options'!$H:$H,"Monthly*")+SUMIFS('BSE - Other Index Options'!$L:$L,'BSE - Other Index Options'!$C:$C,$A185,'BSE - Other Index Options'!$B:$B,G$147,'BSE - Other Index Options'!$H:$H,"Monthly*"))</f>
        <v/>
      </c>
      <c r="H185" s="26">
        <f t="shared" si="7"/>
        <v>1721.1</v>
      </c>
    </row>
    <row r="186" spans="1:8">
      <c r="A186" t="s">
        <v>48</v>
      </c>
      <c r="B186" s="26" t="str">
        <f>IF(SUMIFS('BSE - SENSEX Index Options'!$L:$L,'BSE - SENSEX Index Options'!$C:$C,$A186,'BSE - SENSEX Index Options'!$B:$B,B$147,'BSE - SENSEX Index Options'!$H:$H,"Monthly*")+SUMIFS('BSE - Other Index Options'!$L:$L,'BSE - Other Index Options'!$C:$C,$A186,'BSE - Other Index Options'!$B:$B,B$147,'BSE - Other Index Options'!$H:$H,"Monthly*")=0,"",SUMIFS('BSE - SENSEX Index Options'!$L:$L,'BSE - SENSEX Index Options'!$C:$C,$A186,'BSE - SENSEX Index Options'!$B:$B,B$147,'BSE - SENSEX Index Options'!$H:$H,"Monthly*")+SUMIFS('BSE - Other Index Options'!$L:$L,'BSE - Other Index Options'!$C:$C,$A186,'BSE - Other Index Options'!$B:$B,B$147,'BSE - Other Index Options'!$H:$H,"Monthly*"))</f>
        <v/>
      </c>
      <c r="C186" s="26" t="str">
        <f>IF(SUMIFS('BSE - SENSEX Index Options'!$L:$L,'BSE - SENSEX Index Options'!$C:$C,$A186,'BSE - SENSEX Index Options'!$B:$B,C$147,'BSE - SENSEX Index Options'!$H:$H,"Monthly*")+SUMIFS('BSE - Other Index Options'!$L:$L,'BSE - Other Index Options'!$C:$C,$A186,'BSE - Other Index Options'!$B:$B,C$147,'BSE - Other Index Options'!$H:$H,"Monthly*")=0,"",SUMIFS('BSE - SENSEX Index Options'!$L:$L,'BSE - SENSEX Index Options'!$C:$C,$A186,'BSE - SENSEX Index Options'!$B:$B,C$147,'BSE - SENSEX Index Options'!$H:$H,"Monthly*")+SUMIFS('BSE - Other Index Options'!$L:$L,'BSE - Other Index Options'!$C:$C,$A186,'BSE - Other Index Options'!$B:$B,C$147,'BSE - Other Index Options'!$H:$H,"Monthly*"))</f>
        <v/>
      </c>
      <c r="D186" s="26">
        <f>IF(SUMIFS('BSE - SENSEX Index Options'!$L:$L,'BSE - SENSEX Index Options'!$C:$C,$A186,'BSE - SENSEX Index Options'!$B:$B,D$147,'BSE - SENSEX Index Options'!$H:$H,"Monthly*")+SUMIFS('BSE - Other Index Options'!$L:$L,'BSE - Other Index Options'!$C:$C,$A186,'BSE - Other Index Options'!$B:$B,D$147,'BSE - Other Index Options'!$H:$H,"Monthly*")=0,"",SUMIFS('BSE - SENSEX Index Options'!$L:$L,'BSE - SENSEX Index Options'!$C:$C,$A186,'BSE - SENSEX Index Options'!$B:$B,D$147,'BSE - SENSEX Index Options'!$H:$H,"Monthly*")+SUMIFS('BSE - Other Index Options'!$L:$L,'BSE - Other Index Options'!$C:$C,$A186,'BSE - Other Index Options'!$B:$B,D$147,'BSE - Other Index Options'!$H:$H,"Monthly*"))</f>
        <v>421.95000000000005</v>
      </c>
      <c r="E186" s="26">
        <f>IF(SUMIFS('BSE - SENSEX Index Options'!$L:$L,'BSE - SENSEX Index Options'!$C:$C,$A186,'BSE - SENSEX Index Options'!$B:$B,E$147,'BSE - SENSEX Index Options'!$H:$H,"Monthly*")+SUMIFS('BSE - Other Index Options'!$L:$L,'BSE - Other Index Options'!$C:$C,$A186,'BSE - Other Index Options'!$B:$B,E$147,'BSE - Other Index Options'!$H:$H,"Monthly*")=0,"",SUMIFS('BSE - SENSEX Index Options'!$L:$L,'BSE - SENSEX Index Options'!$C:$C,$A186,'BSE - SENSEX Index Options'!$B:$B,E$147,'BSE - SENSEX Index Options'!$H:$H,"Monthly*")+SUMIFS('BSE - Other Index Options'!$L:$L,'BSE - Other Index Options'!$C:$C,$A186,'BSE - Other Index Options'!$B:$B,E$147,'BSE - Other Index Options'!$H:$H,"Monthly*"))</f>
        <v>1259.1099999999999</v>
      </c>
      <c r="F186" s="26" t="str">
        <f>IF(SUMIFS('BSE - SENSEX Index Options'!$L:$L,'BSE - SENSEX Index Options'!$C:$C,$A186,'BSE - SENSEX Index Options'!$B:$B,F$147,'BSE - SENSEX Index Options'!$H:$H,"Monthly*")+SUMIFS('BSE - Other Index Options'!$L:$L,'BSE - Other Index Options'!$C:$C,$A186,'BSE - Other Index Options'!$B:$B,F$147,'BSE - Other Index Options'!$H:$H,"Monthly*")=0,"",SUMIFS('BSE - SENSEX Index Options'!$L:$L,'BSE - SENSEX Index Options'!$C:$C,$A186,'BSE - SENSEX Index Options'!$B:$B,F$147,'BSE - SENSEX Index Options'!$H:$H,"Monthly*")+SUMIFS('BSE - Other Index Options'!$L:$L,'BSE - Other Index Options'!$C:$C,$A186,'BSE - Other Index Options'!$B:$B,F$147,'BSE - Other Index Options'!$H:$H,"Monthly*"))</f>
        <v/>
      </c>
      <c r="G186" s="26" t="str">
        <f>IF(SUMIFS('BSE - SENSEX Index Options'!$L:$L,'BSE - SENSEX Index Options'!$C:$C,$A186,'BSE - SENSEX Index Options'!$B:$B,G$147,'BSE - SENSEX Index Options'!$H:$H,"Monthly*")+SUMIFS('BSE - Other Index Options'!$L:$L,'BSE - Other Index Options'!$C:$C,$A186,'BSE - Other Index Options'!$B:$B,G$147,'BSE - Other Index Options'!$H:$H,"Monthly*")=0,"",SUMIFS('BSE - SENSEX Index Options'!$L:$L,'BSE - SENSEX Index Options'!$C:$C,$A186,'BSE - SENSEX Index Options'!$B:$B,G$147,'BSE - SENSEX Index Options'!$H:$H,"Monthly*")+SUMIFS('BSE - Other Index Options'!$L:$L,'BSE - Other Index Options'!$C:$C,$A186,'BSE - Other Index Options'!$B:$B,G$147,'BSE - Other Index Options'!$H:$H,"Monthly*"))</f>
        <v/>
      </c>
      <c r="H186" s="26">
        <f t="shared" si="7"/>
        <v>1681.06</v>
      </c>
    </row>
    <row r="187" spans="1:8">
      <c r="A187" t="s">
        <v>49</v>
      </c>
      <c r="B187" s="26">
        <f>IF(SUMIFS('BSE - SENSEX Index Options'!$L:$L,'BSE - SENSEX Index Options'!$C:$C,$A187,'BSE - SENSEX Index Options'!$B:$B,B$147,'BSE - SENSEX Index Options'!$H:$H,"Monthly*")+SUMIFS('BSE - Other Index Options'!$L:$L,'BSE - Other Index Options'!$C:$C,$A187,'BSE - Other Index Options'!$B:$B,B$147,'BSE - Other Index Options'!$H:$H,"Monthly*")=0,"",SUMIFS('BSE - SENSEX Index Options'!$L:$L,'BSE - SENSEX Index Options'!$C:$C,$A187,'BSE - SENSEX Index Options'!$B:$B,B$147,'BSE - SENSEX Index Options'!$H:$H,"Monthly*")+SUMIFS('BSE - Other Index Options'!$L:$L,'BSE - Other Index Options'!$C:$C,$A187,'BSE - Other Index Options'!$B:$B,B$147,'BSE - Other Index Options'!$H:$H,"Monthly*"))</f>
        <v>39.67</v>
      </c>
      <c r="C187" s="26">
        <f>IF(SUMIFS('BSE - SENSEX Index Options'!$L:$L,'BSE - SENSEX Index Options'!$C:$C,$A187,'BSE - SENSEX Index Options'!$B:$B,C$147,'BSE - SENSEX Index Options'!$H:$H,"Monthly*")+SUMIFS('BSE - Other Index Options'!$L:$L,'BSE - Other Index Options'!$C:$C,$A187,'BSE - Other Index Options'!$B:$B,C$147,'BSE - Other Index Options'!$H:$H,"Monthly*")=0,"",SUMIFS('BSE - SENSEX Index Options'!$L:$L,'BSE - SENSEX Index Options'!$C:$C,$A187,'BSE - SENSEX Index Options'!$B:$B,C$147,'BSE - SENSEX Index Options'!$H:$H,"Monthly*")+SUMIFS('BSE - Other Index Options'!$L:$L,'BSE - Other Index Options'!$C:$C,$A187,'BSE - Other Index Options'!$B:$B,C$147,'BSE - Other Index Options'!$H:$H,"Monthly*"))</f>
        <v>38.17</v>
      </c>
      <c r="D187" s="26">
        <f>IF(SUMIFS('BSE - SENSEX Index Options'!$L:$L,'BSE - SENSEX Index Options'!$C:$C,$A187,'BSE - SENSEX Index Options'!$B:$B,D$147,'BSE - SENSEX Index Options'!$H:$H,"Monthly*")+SUMIFS('BSE - Other Index Options'!$L:$L,'BSE - Other Index Options'!$C:$C,$A187,'BSE - Other Index Options'!$B:$B,D$147,'BSE - Other Index Options'!$H:$H,"Monthly*")=0,"",SUMIFS('BSE - SENSEX Index Options'!$L:$L,'BSE - SENSEX Index Options'!$C:$C,$A187,'BSE - SENSEX Index Options'!$B:$B,D$147,'BSE - SENSEX Index Options'!$H:$H,"Monthly*")+SUMIFS('BSE - Other Index Options'!$L:$L,'BSE - Other Index Options'!$C:$C,$A187,'BSE - Other Index Options'!$B:$B,D$147,'BSE - Other Index Options'!$H:$H,"Monthly*"))</f>
        <v>52.09</v>
      </c>
      <c r="E187" s="26">
        <f>IF(SUMIFS('BSE - SENSEX Index Options'!$L:$L,'BSE - SENSEX Index Options'!$C:$C,$A187,'BSE - SENSEX Index Options'!$B:$B,E$147,'BSE - SENSEX Index Options'!$H:$H,"Monthly*")+SUMIFS('BSE - Other Index Options'!$L:$L,'BSE - Other Index Options'!$C:$C,$A187,'BSE - Other Index Options'!$B:$B,E$147,'BSE - Other Index Options'!$H:$H,"Monthly*")=0,"",SUMIFS('BSE - SENSEX Index Options'!$L:$L,'BSE - SENSEX Index Options'!$C:$C,$A187,'BSE - SENSEX Index Options'!$B:$B,E$147,'BSE - SENSEX Index Options'!$H:$H,"Monthly*")+SUMIFS('BSE - Other Index Options'!$L:$L,'BSE - Other Index Options'!$C:$C,$A187,'BSE - Other Index Options'!$B:$B,E$147,'BSE - Other Index Options'!$H:$H,"Monthly*"))</f>
        <v>85.460000000000008</v>
      </c>
      <c r="F187" s="26" t="str">
        <f>IF(SUMIFS('BSE - SENSEX Index Options'!$L:$L,'BSE - SENSEX Index Options'!$C:$C,$A187,'BSE - SENSEX Index Options'!$B:$B,F$147,'BSE - SENSEX Index Options'!$H:$H,"Monthly*")+SUMIFS('BSE - Other Index Options'!$L:$L,'BSE - Other Index Options'!$C:$C,$A187,'BSE - Other Index Options'!$B:$B,F$147,'BSE - Other Index Options'!$H:$H,"Monthly*")=0,"",SUMIFS('BSE - SENSEX Index Options'!$L:$L,'BSE - SENSEX Index Options'!$C:$C,$A187,'BSE - SENSEX Index Options'!$B:$B,F$147,'BSE - SENSEX Index Options'!$H:$H,"Monthly*")+SUMIFS('BSE - Other Index Options'!$L:$L,'BSE - Other Index Options'!$C:$C,$A187,'BSE - Other Index Options'!$B:$B,F$147,'BSE - Other Index Options'!$H:$H,"Monthly*"))</f>
        <v/>
      </c>
      <c r="G187" s="26" t="str">
        <f>IF(SUMIFS('BSE - SENSEX Index Options'!$L:$L,'BSE - SENSEX Index Options'!$C:$C,$A187,'BSE - SENSEX Index Options'!$B:$B,G$147,'BSE - SENSEX Index Options'!$H:$H,"Monthly*")+SUMIFS('BSE - Other Index Options'!$L:$L,'BSE - Other Index Options'!$C:$C,$A187,'BSE - Other Index Options'!$B:$B,G$147,'BSE - Other Index Options'!$H:$H,"Monthly*")=0,"",SUMIFS('BSE - SENSEX Index Options'!$L:$L,'BSE - SENSEX Index Options'!$C:$C,$A187,'BSE - SENSEX Index Options'!$B:$B,G$147,'BSE - SENSEX Index Options'!$H:$H,"Monthly*")+SUMIFS('BSE - Other Index Options'!$L:$L,'BSE - Other Index Options'!$C:$C,$A187,'BSE - Other Index Options'!$B:$B,G$147,'BSE - Other Index Options'!$H:$H,"Monthly*"))</f>
        <v/>
      </c>
      <c r="H187" s="26">
        <f t="shared" si="7"/>
        <v>215.39000000000001</v>
      </c>
    </row>
    <row r="188" spans="1:8">
      <c r="A188" t="s">
        <v>50</v>
      </c>
      <c r="B188" s="26">
        <f>IF(SUMIFS('BSE - SENSEX Index Options'!$L:$L,'BSE - SENSEX Index Options'!$C:$C,$A188,'BSE - SENSEX Index Options'!$B:$B,B$147,'BSE - SENSEX Index Options'!$H:$H,"Monthly*")+SUMIFS('BSE - Other Index Options'!$L:$L,'BSE - Other Index Options'!$C:$C,$A188,'BSE - Other Index Options'!$B:$B,B$147,'BSE - Other Index Options'!$H:$H,"Monthly*")=0,"",SUMIFS('BSE - SENSEX Index Options'!$L:$L,'BSE - SENSEX Index Options'!$C:$C,$A188,'BSE - SENSEX Index Options'!$B:$B,B$147,'BSE - SENSEX Index Options'!$H:$H,"Monthly*")+SUMIFS('BSE - Other Index Options'!$L:$L,'BSE - Other Index Options'!$C:$C,$A188,'BSE - Other Index Options'!$B:$B,B$147,'BSE - Other Index Options'!$H:$H,"Monthly*"))</f>
        <v>42.05</v>
      </c>
      <c r="C188" s="26">
        <f>IF(SUMIFS('BSE - SENSEX Index Options'!$L:$L,'BSE - SENSEX Index Options'!$C:$C,$A188,'BSE - SENSEX Index Options'!$B:$B,C$147,'BSE - SENSEX Index Options'!$H:$H,"Monthly*")+SUMIFS('BSE - Other Index Options'!$L:$L,'BSE - Other Index Options'!$C:$C,$A188,'BSE - Other Index Options'!$B:$B,C$147,'BSE - Other Index Options'!$H:$H,"Monthly*")=0,"",SUMIFS('BSE - SENSEX Index Options'!$L:$L,'BSE - SENSEX Index Options'!$C:$C,$A188,'BSE - SENSEX Index Options'!$B:$B,C$147,'BSE - SENSEX Index Options'!$H:$H,"Monthly*")+SUMIFS('BSE - Other Index Options'!$L:$L,'BSE - Other Index Options'!$C:$C,$A188,'BSE - Other Index Options'!$B:$B,C$147,'BSE - Other Index Options'!$H:$H,"Monthly*"))</f>
        <v>47.98</v>
      </c>
      <c r="D188" s="26">
        <f>IF(SUMIFS('BSE - SENSEX Index Options'!$L:$L,'BSE - SENSEX Index Options'!$C:$C,$A188,'BSE - SENSEX Index Options'!$B:$B,D$147,'BSE - SENSEX Index Options'!$H:$H,"Monthly*")+SUMIFS('BSE - Other Index Options'!$L:$L,'BSE - Other Index Options'!$C:$C,$A188,'BSE - Other Index Options'!$B:$B,D$147,'BSE - Other Index Options'!$H:$H,"Monthly*")=0,"",SUMIFS('BSE - SENSEX Index Options'!$L:$L,'BSE - SENSEX Index Options'!$C:$C,$A188,'BSE - SENSEX Index Options'!$B:$B,D$147,'BSE - SENSEX Index Options'!$H:$H,"Monthly*")+SUMIFS('BSE - Other Index Options'!$L:$L,'BSE - Other Index Options'!$C:$C,$A188,'BSE - Other Index Options'!$B:$B,D$147,'BSE - Other Index Options'!$H:$H,"Monthly*"))</f>
        <v>87.95</v>
      </c>
      <c r="E188" s="26">
        <f>IF(SUMIFS('BSE - SENSEX Index Options'!$L:$L,'BSE - SENSEX Index Options'!$C:$C,$A188,'BSE - SENSEX Index Options'!$B:$B,E$147,'BSE - SENSEX Index Options'!$H:$H,"Monthly*")+SUMIFS('BSE - Other Index Options'!$L:$L,'BSE - Other Index Options'!$C:$C,$A188,'BSE - Other Index Options'!$B:$B,E$147,'BSE - Other Index Options'!$H:$H,"Monthly*")=0,"",SUMIFS('BSE - SENSEX Index Options'!$L:$L,'BSE - SENSEX Index Options'!$C:$C,$A188,'BSE - SENSEX Index Options'!$B:$B,E$147,'BSE - SENSEX Index Options'!$H:$H,"Monthly*")+SUMIFS('BSE - Other Index Options'!$L:$L,'BSE - Other Index Options'!$C:$C,$A188,'BSE - Other Index Options'!$B:$B,E$147,'BSE - Other Index Options'!$H:$H,"Monthly*"))</f>
        <v>72.41</v>
      </c>
      <c r="F188" s="26">
        <f>IF(SUMIFS('BSE - SENSEX Index Options'!$L:$L,'BSE - SENSEX Index Options'!$C:$C,$A188,'BSE - SENSEX Index Options'!$B:$B,F$147,'BSE - SENSEX Index Options'!$H:$H,"Monthly*")+SUMIFS('BSE - Other Index Options'!$L:$L,'BSE - Other Index Options'!$C:$C,$A188,'BSE - Other Index Options'!$B:$B,F$147,'BSE - Other Index Options'!$H:$H,"Monthly*")=0,"",SUMIFS('BSE - SENSEX Index Options'!$L:$L,'BSE - SENSEX Index Options'!$C:$C,$A188,'BSE - SENSEX Index Options'!$B:$B,F$147,'BSE - SENSEX Index Options'!$H:$H,"Monthly*")+SUMIFS('BSE - Other Index Options'!$L:$L,'BSE - Other Index Options'!$C:$C,$A188,'BSE - Other Index Options'!$B:$B,F$147,'BSE - Other Index Options'!$H:$H,"Monthly*"))</f>
        <v>49.54</v>
      </c>
      <c r="G188" s="26" t="str">
        <f>IF(SUMIFS('BSE - SENSEX Index Options'!$L:$L,'BSE - SENSEX Index Options'!$C:$C,$A188,'BSE - SENSEX Index Options'!$B:$B,G$147,'BSE - SENSEX Index Options'!$H:$H,"Monthly*")+SUMIFS('BSE - Other Index Options'!$L:$L,'BSE - Other Index Options'!$C:$C,$A188,'BSE - Other Index Options'!$B:$B,G$147,'BSE - Other Index Options'!$H:$H,"Monthly*")=0,"",SUMIFS('BSE - SENSEX Index Options'!$L:$L,'BSE - SENSEX Index Options'!$C:$C,$A188,'BSE - SENSEX Index Options'!$B:$B,G$147,'BSE - SENSEX Index Options'!$H:$H,"Monthly*")+SUMIFS('BSE - Other Index Options'!$L:$L,'BSE - Other Index Options'!$C:$C,$A188,'BSE - Other Index Options'!$B:$B,G$147,'BSE - Other Index Options'!$H:$H,"Monthly*"))</f>
        <v/>
      </c>
      <c r="H188" s="26">
        <f t="shared" si="7"/>
        <v>299.93</v>
      </c>
    </row>
    <row r="189" spans="1:8">
      <c r="A189" t="s">
        <v>51</v>
      </c>
      <c r="B189" s="26">
        <f>IF(SUMIFS('BSE - SENSEX Index Options'!$L:$L,'BSE - SENSEX Index Options'!$C:$C,$A189,'BSE - SENSEX Index Options'!$B:$B,B$147,'BSE - SENSEX Index Options'!$H:$H,"Monthly*")+SUMIFS('BSE - Other Index Options'!$L:$L,'BSE - Other Index Options'!$C:$C,$A189,'BSE - Other Index Options'!$B:$B,B$147,'BSE - Other Index Options'!$H:$H,"Monthly*")=0,"",SUMIFS('BSE - SENSEX Index Options'!$L:$L,'BSE - SENSEX Index Options'!$C:$C,$A189,'BSE - SENSEX Index Options'!$B:$B,B$147,'BSE - SENSEX Index Options'!$H:$H,"Monthly*")+SUMIFS('BSE - Other Index Options'!$L:$L,'BSE - Other Index Options'!$C:$C,$A189,'BSE - Other Index Options'!$B:$B,B$147,'BSE - Other Index Options'!$H:$H,"Monthly*"))</f>
        <v>169.53</v>
      </c>
      <c r="C189" s="26">
        <f>IF(SUMIFS('BSE - SENSEX Index Options'!$L:$L,'BSE - SENSEX Index Options'!$C:$C,$A189,'BSE - SENSEX Index Options'!$B:$B,C$147,'BSE - SENSEX Index Options'!$H:$H,"Monthly*")+SUMIFS('BSE - Other Index Options'!$L:$L,'BSE - Other Index Options'!$C:$C,$A189,'BSE - Other Index Options'!$B:$B,C$147,'BSE - Other Index Options'!$H:$H,"Monthly*")=0,"",SUMIFS('BSE - SENSEX Index Options'!$L:$L,'BSE - SENSEX Index Options'!$C:$C,$A189,'BSE - SENSEX Index Options'!$B:$B,C$147,'BSE - SENSEX Index Options'!$H:$H,"Monthly*")+SUMIFS('BSE - Other Index Options'!$L:$L,'BSE - Other Index Options'!$C:$C,$A189,'BSE - Other Index Options'!$B:$B,C$147,'BSE - Other Index Options'!$H:$H,"Monthly*"))</f>
        <v>198.5</v>
      </c>
      <c r="D189" s="26">
        <f>IF(SUMIFS('BSE - SENSEX Index Options'!$L:$L,'BSE - SENSEX Index Options'!$C:$C,$A189,'BSE - SENSEX Index Options'!$B:$B,D$147,'BSE - SENSEX Index Options'!$H:$H,"Monthly*")+SUMIFS('BSE - Other Index Options'!$L:$L,'BSE - Other Index Options'!$C:$C,$A189,'BSE - Other Index Options'!$B:$B,D$147,'BSE - Other Index Options'!$H:$H,"Monthly*")=0,"",SUMIFS('BSE - SENSEX Index Options'!$L:$L,'BSE - SENSEX Index Options'!$C:$C,$A189,'BSE - SENSEX Index Options'!$B:$B,D$147,'BSE - SENSEX Index Options'!$H:$H,"Monthly*")+SUMIFS('BSE - Other Index Options'!$L:$L,'BSE - Other Index Options'!$C:$C,$A189,'BSE - Other Index Options'!$B:$B,D$147,'BSE - Other Index Options'!$H:$H,"Monthly*"))</f>
        <v>349.27000000000004</v>
      </c>
      <c r="E189" s="26">
        <f>IF(SUMIFS('BSE - SENSEX Index Options'!$L:$L,'BSE - SENSEX Index Options'!$C:$C,$A189,'BSE - SENSEX Index Options'!$B:$B,E$147,'BSE - SENSEX Index Options'!$H:$H,"Monthly*")+SUMIFS('BSE - Other Index Options'!$L:$L,'BSE - Other Index Options'!$C:$C,$A189,'BSE - Other Index Options'!$B:$B,E$147,'BSE - Other Index Options'!$H:$H,"Monthly*")=0,"",SUMIFS('BSE - SENSEX Index Options'!$L:$L,'BSE - SENSEX Index Options'!$C:$C,$A189,'BSE - SENSEX Index Options'!$B:$B,E$147,'BSE - SENSEX Index Options'!$H:$H,"Monthly*")+SUMIFS('BSE - Other Index Options'!$L:$L,'BSE - Other Index Options'!$C:$C,$A189,'BSE - Other Index Options'!$B:$B,E$147,'BSE - Other Index Options'!$H:$H,"Monthly*"))</f>
        <v>18.939999999999998</v>
      </c>
      <c r="F189" s="26">
        <f>IF(SUMIFS('BSE - SENSEX Index Options'!$L:$L,'BSE - SENSEX Index Options'!$C:$C,$A189,'BSE - SENSEX Index Options'!$B:$B,F$147,'BSE - SENSEX Index Options'!$H:$H,"Monthly*")+SUMIFS('BSE - Other Index Options'!$L:$L,'BSE - Other Index Options'!$C:$C,$A189,'BSE - Other Index Options'!$B:$B,F$147,'BSE - Other Index Options'!$H:$H,"Monthly*")=0,"",SUMIFS('BSE - SENSEX Index Options'!$L:$L,'BSE - SENSEX Index Options'!$C:$C,$A189,'BSE - SENSEX Index Options'!$B:$B,F$147,'BSE - SENSEX Index Options'!$H:$H,"Monthly*")+SUMIFS('BSE - Other Index Options'!$L:$L,'BSE - Other Index Options'!$C:$C,$A189,'BSE - Other Index Options'!$B:$B,F$147,'BSE - Other Index Options'!$H:$H,"Monthly*"))</f>
        <v>105.77</v>
      </c>
      <c r="G189" s="26" t="str">
        <f>IF(SUMIFS('BSE - SENSEX Index Options'!$L:$L,'BSE - SENSEX Index Options'!$C:$C,$A189,'BSE - SENSEX Index Options'!$B:$B,G$147,'BSE - SENSEX Index Options'!$H:$H,"Monthly*")+SUMIFS('BSE - Other Index Options'!$L:$L,'BSE - Other Index Options'!$C:$C,$A189,'BSE - Other Index Options'!$B:$B,G$147,'BSE - Other Index Options'!$H:$H,"Monthly*")=0,"",SUMIFS('BSE - SENSEX Index Options'!$L:$L,'BSE - SENSEX Index Options'!$C:$C,$A189,'BSE - SENSEX Index Options'!$B:$B,G$147,'BSE - SENSEX Index Options'!$H:$H,"Monthly*")+SUMIFS('BSE - Other Index Options'!$L:$L,'BSE - Other Index Options'!$C:$C,$A189,'BSE - Other Index Options'!$B:$B,G$147,'BSE - Other Index Options'!$H:$H,"Monthly*"))</f>
        <v/>
      </c>
      <c r="H189" s="26">
        <f t="shared" si="7"/>
        <v>842.01</v>
      </c>
    </row>
    <row r="190" spans="1:8">
      <c r="A190" t="s">
        <v>52</v>
      </c>
      <c r="B190" s="26">
        <f>IF(SUMIFS('BSE - SENSEX Index Options'!$L:$L,'BSE - SENSEX Index Options'!$C:$C,$A190,'BSE - SENSEX Index Options'!$B:$B,B$147,'BSE - SENSEX Index Options'!$H:$H,"Monthly*")+SUMIFS('BSE - Other Index Options'!$L:$L,'BSE - Other Index Options'!$C:$C,$A190,'BSE - Other Index Options'!$B:$B,B$147,'BSE - Other Index Options'!$H:$H,"Monthly*")=0,"",SUMIFS('BSE - SENSEX Index Options'!$L:$L,'BSE - SENSEX Index Options'!$C:$C,$A190,'BSE - SENSEX Index Options'!$B:$B,B$147,'BSE - SENSEX Index Options'!$H:$H,"Monthly*")+SUMIFS('BSE - Other Index Options'!$L:$L,'BSE - Other Index Options'!$C:$C,$A190,'BSE - Other Index Options'!$B:$B,B$147,'BSE - Other Index Options'!$H:$H,"Monthly*"))</f>
        <v>33.090000000000003</v>
      </c>
      <c r="C190" s="26">
        <f>IF(SUMIFS('BSE - SENSEX Index Options'!$L:$L,'BSE - SENSEX Index Options'!$C:$C,$A190,'BSE - SENSEX Index Options'!$B:$B,C$147,'BSE - SENSEX Index Options'!$H:$H,"Monthly*")+SUMIFS('BSE - Other Index Options'!$L:$L,'BSE - Other Index Options'!$C:$C,$A190,'BSE - Other Index Options'!$B:$B,C$147,'BSE - Other Index Options'!$H:$H,"Monthly*")=0,"",SUMIFS('BSE - SENSEX Index Options'!$L:$L,'BSE - SENSEX Index Options'!$C:$C,$A190,'BSE - SENSEX Index Options'!$B:$B,C$147,'BSE - SENSEX Index Options'!$H:$H,"Monthly*")+SUMIFS('BSE - Other Index Options'!$L:$L,'BSE - Other Index Options'!$C:$C,$A190,'BSE - Other Index Options'!$B:$B,C$147,'BSE - Other Index Options'!$H:$H,"Monthly*"))</f>
        <v>74.97999999999999</v>
      </c>
      <c r="D190" s="26">
        <f>IF(SUMIFS('BSE - SENSEX Index Options'!$L:$L,'BSE - SENSEX Index Options'!$C:$C,$A190,'BSE - SENSEX Index Options'!$B:$B,D$147,'BSE - SENSEX Index Options'!$H:$H,"Monthly*")+SUMIFS('BSE - Other Index Options'!$L:$L,'BSE - Other Index Options'!$C:$C,$A190,'BSE - Other Index Options'!$B:$B,D$147,'BSE - Other Index Options'!$H:$H,"Monthly*")=0,"",SUMIFS('BSE - SENSEX Index Options'!$L:$L,'BSE - SENSEX Index Options'!$C:$C,$A190,'BSE - SENSEX Index Options'!$B:$B,D$147,'BSE - SENSEX Index Options'!$H:$H,"Monthly*")+SUMIFS('BSE - Other Index Options'!$L:$L,'BSE - Other Index Options'!$C:$C,$A190,'BSE - Other Index Options'!$B:$B,D$147,'BSE - Other Index Options'!$H:$H,"Monthly*"))</f>
        <v>1072.52</v>
      </c>
      <c r="E190" s="26" t="str">
        <f>IF(SUMIFS('BSE - SENSEX Index Options'!$L:$L,'BSE - SENSEX Index Options'!$C:$C,$A190,'BSE - SENSEX Index Options'!$B:$B,E$147,'BSE - SENSEX Index Options'!$H:$H,"Monthly*")+SUMIFS('BSE - Other Index Options'!$L:$L,'BSE - Other Index Options'!$C:$C,$A190,'BSE - Other Index Options'!$B:$B,E$147,'BSE - Other Index Options'!$H:$H,"Monthly*")=0,"",SUMIFS('BSE - SENSEX Index Options'!$L:$L,'BSE - SENSEX Index Options'!$C:$C,$A190,'BSE - SENSEX Index Options'!$B:$B,E$147,'BSE - SENSEX Index Options'!$H:$H,"Monthly*")+SUMIFS('BSE - Other Index Options'!$L:$L,'BSE - Other Index Options'!$C:$C,$A190,'BSE - Other Index Options'!$B:$B,E$147,'BSE - Other Index Options'!$H:$H,"Monthly*"))</f>
        <v/>
      </c>
      <c r="F190" s="26">
        <f>IF(SUMIFS('BSE - SENSEX Index Options'!$L:$L,'BSE - SENSEX Index Options'!$C:$C,$A190,'BSE - SENSEX Index Options'!$B:$B,F$147,'BSE - SENSEX Index Options'!$H:$H,"Monthly*")+SUMIFS('BSE - Other Index Options'!$L:$L,'BSE - Other Index Options'!$C:$C,$A190,'BSE - Other Index Options'!$B:$B,F$147,'BSE - Other Index Options'!$H:$H,"Monthly*")=0,"",SUMIFS('BSE - SENSEX Index Options'!$L:$L,'BSE - SENSEX Index Options'!$C:$C,$A190,'BSE - SENSEX Index Options'!$B:$B,F$147,'BSE - SENSEX Index Options'!$H:$H,"Monthly*")+SUMIFS('BSE - Other Index Options'!$L:$L,'BSE - Other Index Options'!$C:$C,$A190,'BSE - Other Index Options'!$B:$B,F$147,'BSE - Other Index Options'!$H:$H,"Monthly*"))</f>
        <v>20.020000000000003</v>
      </c>
      <c r="G190" s="26" t="str">
        <f>IF(SUMIFS('BSE - SENSEX Index Options'!$L:$L,'BSE - SENSEX Index Options'!$C:$C,$A190,'BSE - SENSEX Index Options'!$B:$B,G$147,'BSE - SENSEX Index Options'!$H:$H,"Monthly*")+SUMIFS('BSE - Other Index Options'!$L:$L,'BSE - Other Index Options'!$C:$C,$A190,'BSE - Other Index Options'!$B:$B,G$147,'BSE - Other Index Options'!$H:$H,"Monthly*")=0,"",SUMIFS('BSE - SENSEX Index Options'!$L:$L,'BSE - SENSEX Index Options'!$C:$C,$A190,'BSE - SENSEX Index Options'!$B:$B,G$147,'BSE - SENSEX Index Options'!$H:$H,"Monthly*")+SUMIFS('BSE - Other Index Options'!$L:$L,'BSE - Other Index Options'!$C:$C,$A190,'BSE - Other Index Options'!$B:$B,G$147,'BSE - Other Index Options'!$H:$H,"Monthly*"))</f>
        <v/>
      </c>
      <c r="H190" s="26">
        <f t="shared" si="7"/>
        <v>1200.6099999999999</v>
      </c>
    </row>
    <row r="191" spans="1:8">
      <c r="A191" t="s">
        <v>53</v>
      </c>
      <c r="B191" s="26" t="str">
        <f>IF(SUMIFS('BSE - SENSEX Index Options'!$L:$L,'BSE - SENSEX Index Options'!$C:$C,$A191,'BSE - SENSEX Index Options'!$B:$B,B$147,'BSE - SENSEX Index Options'!$H:$H,"Monthly*")+SUMIFS('BSE - Other Index Options'!$L:$L,'BSE - Other Index Options'!$C:$C,$A191,'BSE - Other Index Options'!$B:$B,B$147,'BSE - Other Index Options'!$H:$H,"Monthly*")=0,"",SUMIFS('BSE - SENSEX Index Options'!$L:$L,'BSE - SENSEX Index Options'!$C:$C,$A191,'BSE - SENSEX Index Options'!$B:$B,B$147,'BSE - SENSEX Index Options'!$H:$H,"Monthly*")+SUMIFS('BSE - Other Index Options'!$L:$L,'BSE - Other Index Options'!$C:$C,$A191,'BSE - Other Index Options'!$B:$B,B$147,'BSE - Other Index Options'!$H:$H,"Monthly*"))</f>
        <v/>
      </c>
      <c r="C191" s="26" t="str">
        <f>IF(SUMIFS('BSE - SENSEX Index Options'!$L:$L,'BSE - SENSEX Index Options'!$C:$C,$A191,'BSE - SENSEX Index Options'!$B:$B,C$147,'BSE - SENSEX Index Options'!$H:$H,"Monthly*")+SUMIFS('BSE - Other Index Options'!$L:$L,'BSE - Other Index Options'!$C:$C,$A191,'BSE - Other Index Options'!$B:$B,C$147,'BSE - Other Index Options'!$H:$H,"Monthly*")=0,"",SUMIFS('BSE - SENSEX Index Options'!$L:$L,'BSE - SENSEX Index Options'!$C:$C,$A191,'BSE - SENSEX Index Options'!$B:$B,C$147,'BSE - SENSEX Index Options'!$H:$H,"Monthly*")+SUMIFS('BSE - Other Index Options'!$L:$L,'BSE - Other Index Options'!$C:$C,$A191,'BSE - Other Index Options'!$B:$B,C$147,'BSE - Other Index Options'!$H:$H,"Monthly*"))</f>
        <v/>
      </c>
      <c r="D191" s="26" t="str">
        <f>IF(SUMIFS('BSE - SENSEX Index Options'!$L:$L,'BSE - SENSEX Index Options'!$C:$C,$A191,'BSE - SENSEX Index Options'!$B:$B,D$147,'BSE - SENSEX Index Options'!$H:$H,"Monthly*")+SUMIFS('BSE - Other Index Options'!$L:$L,'BSE - Other Index Options'!$C:$C,$A191,'BSE - Other Index Options'!$B:$B,D$147,'BSE - Other Index Options'!$H:$H,"Monthly*")=0,"",SUMIFS('BSE - SENSEX Index Options'!$L:$L,'BSE - SENSEX Index Options'!$C:$C,$A191,'BSE - SENSEX Index Options'!$B:$B,D$147,'BSE - SENSEX Index Options'!$H:$H,"Monthly*")+SUMIFS('BSE - Other Index Options'!$L:$L,'BSE - Other Index Options'!$C:$C,$A191,'BSE - Other Index Options'!$B:$B,D$147,'BSE - Other Index Options'!$H:$H,"Monthly*"))</f>
        <v/>
      </c>
      <c r="E191" s="26" t="str">
        <f>IF(SUMIFS('BSE - SENSEX Index Options'!$L:$L,'BSE - SENSEX Index Options'!$C:$C,$A191,'BSE - SENSEX Index Options'!$B:$B,E$147,'BSE - SENSEX Index Options'!$H:$H,"Monthly*")+SUMIFS('BSE - Other Index Options'!$L:$L,'BSE - Other Index Options'!$C:$C,$A191,'BSE - Other Index Options'!$B:$B,E$147,'BSE - Other Index Options'!$H:$H,"Monthly*")=0,"",SUMIFS('BSE - SENSEX Index Options'!$L:$L,'BSE - SENSEX Index Options'!$C:$C,$A191,'BSE - SENSEX Index Options'!$B:$B,E$147,'BSE - SENSEX Index Options'!$H:$H,"Monthly*")+SUMIFS('BSE - Other Index Options'!$L:$L,'BSE - Other Index Options'!$C:$C,$A191,'BSE - Other Index Options'!$B:$B,E$147,'BSE - Other Index Options'!$H:$H,"Monthly*"))</f>
        <v/>
      </c>
      <c r="F191" s="26">
        <f>IF(SUMIFS('BSE - SENSEX Index Options'!$L:$L,'BSE - SENSEX Index Options'!$C:$C,$A191,'BSE - SENSEX Index Options'!$B:$B,F$147,'BSE - SENSEX Index Options'!$H:$H,"Monthly*")+SUMIFS('BSE - Other Index Options'!$L:$L,'BSE - Other Index Options'!$C:$C,$A191,'BSE - Other Index Options'!$B:$B,F$147,'BSE - Other Index Options'!$H:$H,"Monthly*")=0,"",SUMIFS('BSE - SENSEX Index Options'!$L:$L,'BSE - SENSEX Index Options'!$C:$C,$A191,'BSE - SENSEX Index Options'!$B:$B,F$147,'BSE - SENSEX Index Options'!$H:$H,"Monthly*")+SUMIFS('BSE - Other Index Options'!$L:$L,'BSE - Other Index Options'!$C:$C,$A191,'BSE - Other Index Options'!$B:$B,F$147,'BSE - Other Index Options'!$H:$H,"Monthly*"))</f>
        <v>57.59</v>
      </c>
      <c r="G191" s="26" t="str">
        <f>IF(SUMIFS('BSE - SENSEX Index Options'!$L:$L,'BSE - SENSEX Index Options'!$C:$C,$A191,'BSE - SENSEX Index Options'!$B:$B,G$147,'BSE - SENSEX Index Options'!$H:$H,"Monthly*")+SUMIFS('BSE - Other Index Options'!$L:$L,'BSE - Other Index Options'!$C:$C,$A191,'BSE - Other Index Options'!$B:$B,G$147,'BSE - Other Index Options'!$H:$H,"Monthly*")=0,"",SUMIFS('BSE - SENSEX Index Options'!$L:$L,'BSE - SENSEX Index Options'!$C:$C,$A191,'BSE - SENSEX Index Options'!$B:$B,G$147,'BSE - SENSEX Index Options'!$H:$H,"Monthly*")+SUMIFS('BSE - Other Index Options'!$L:$L,'BSE - Other Index Options'!$C:$C,$A191,'BSE - Other Index Options'!$B:$B,G$147,'BSE - Other Index Options'!$H:$H,"Monthly*"))</f>
        <v/>
      </c>
      <c r="H191" s="26">
        <f t="shared" si="7"/>
        <v>57.59</v>
      </c>
    </row>
    <row r="192" spans="1:8">
      <c r="A192" t="s">
        <v>54</v>
      </c>
      <c r="B192" s="26">
        <f>IF(SUMIFS('BSE - SENSEX Index Options'!$L:$L,'BSE - SENSEX Index Options'!$C:$C,$A192,'BSE - SENSEX Index Options'!$B:$B,B$147,'BSE - SENSEX Index Options'!$H:$H,"Monthly*")+SUMIFS('BSE - Other Index Options'!$L:$L,'BSE - Other Index Options'!$C:$C,$A192,'BSE - Other Index Options'!$B:$B,B$147,'BSE - Other Index Options'!$H:$H,"Monthly*")=0,"",SUMIFS('BSE - SENSEX Index Options'!$L:$L,'BSE - SENSEX Index Options'!$C:$C,$A192,'BSE - SENSEX Index Options'!$B:$B,B$147,'BSE - SENSEX Index Options'!$H:$H,"Monthly*")+SUMIFS('BSE - Other Index Options'!$L:$L,'BSE - Other Index Options'!$C:$C,$A192,'BSE - Other Index Options'!$B:$B,B$147,'BSE - Other Index Options'!$H:$H,"Monthly*"))</f>
        <v>27.71</v>
      </c>
      <c r="C192" s="26">
        <f>IF(SUMIFS('BSE - SENSEX Index Options'!$L:$L,'BSE - SENSEX Index Options'!$C:$C,$A192,'BSE - SENSEX Index Options'!$B:$B,C$147,'BSE - SENSEX Index Options'!$H:$H,"Monthly*")+SUMIFS('BSE - Other Index Options'!$L:$L,'BSE - Other Index Options'!$C:$C,$A192,'BSE - Other Index Options'!$B:$B,C$147,'BSE - Other Index Options'!$H:$H,"Monthly*")=0,"",SUMIFS('BSE - SENSEX Index Options'!$L:$L,'BSE - SENSEX Index Options'!$C:$C,$A192,'BSE - SENSEX Index Options'!$B:$B,C$147,'BSE - SENSEX Index Options'!$H:$H,"Monthly*")+SUMIFS('BSE - Other Index Options'!$L:$L,'BSE - Other Index Options'!$C:$C,$A192,'BSE - Other Index Options'!$B:$B,C$147,'BSE - Other Index Options'!$H:$H,"Monthly*"))</f>
        <v>28.71</v>
      </c>
      <c r="D192" s="26">
        <f>IF(SUMIFS('BSE - SENSEX Index Options'!$L:$L,'BSE - SENSEX Index Options'!$C:$C,$A192,'BSE - SENSEX Index Options'!$B:$B,D$147,'BSE - SENSEX Index Options'!$H:$H,"Monthly*")+SUMIFS('BSE - Other Index Options'!$L:$L,'BSE - Other Index Options'!$C:$C,$A192,'BSE - Other Index Options'!$B:$B,D$147,'BSE - Other Index Options'!$H:$H,"Monthly*")=0,"",SUMIFS('BSE - SENSEX Index Options'!$L:$L,'BSE - SENSEX Index Options'!$C:$C,$A192,'BSE - SENSEX Index Options'!$B:$B,D$147,'BSE - SENSEX Index Options'!$H:$H,"Monthly*")+SUMIFS('BSE - Other Index Options'!$L:$L,'BSE - Other Index Options'!$C:$C,$A192,'BSE - Other Index Options'!$B:$B,D$147,'BSE - Other Index Options'!$H:$H,"Monthly*"))</f>
        <v>83.88</v>
      </c>
      <c r="E192" s="26">
        <f>IF(SUMIFS('BSE - SENSEX Index Options'!$L:$L,'BSE - SENSEX Index Options'!$C:$C,$A192,'BSE - SENSEX Index Options'!$B:$B,E$147,'BSE - SENSEX Index Options'!$H:$H,"Monthly*")+SUMIFS('BSE - Other Index Options'!$L:$L,'BSE - Other Index Options'!$C:$C,$A192,'BSE - Other Index Options'!$B:$B,E$147,'BSE - Other Index Options'!$H:$H,"Monthly*")=0,"",SUMIFS('BSE - SENSEX Index Options'!$L:$L,'BSE - SENSEX Index Options'!$C:$C,$A192,'BSE - SENSEX Index Options'!$B:$B,E$147,'BSE - SENSEX Index Options'!$H:$H,"Monthly*")+SUMIFS('BSE - Other Index Options'!$L:$L,'BSE - Other Index Options'!$C:$C,$A192,'BSE - Other Index Options'!$B:$B,E$147,'BSE - Other Index Options'!$H:$H,"Monthly*"))</f>
        <v>71.36</v>
      </c>
      <c r="F192" s="26">
        <f>IF(SUMIFS('BSE - SENSEX Index Options'!$L:$L,'BSE - SENSEX Index Options'!$C:$C,$A192,'BSE - SENSEX Index Options'!$B:$B,F$147,'BSE - SENSEX Index Options'!$H:$H,"Monthly*")+SUMIFS('BSE - Other Index Options'!$L:$L,'BSE - Other Index Options'!$C:$C,$A192,'BSE - Other Index Options'!$B:$B,F$147,'BSE - Other Index Options'!$H:$H,"Monthly*")=0,"",SUMIFS('BSE - SENSEX Index Options'!$L:$L,'BSE - SENSEX Index Options'!$C:$C,$A192,'BSE - SENSEX Index Options'!$B:$B,F$147,'BSE - SENSEX Index Options'!$H:$H,"Monthly*")+SUMIFS('BSE - Other Index Options'!$L:$L,'BSE - Other Index Options'!$C:$C,$A192,'BSE - Other Index Options'!$B:$B,F$147,'BSE - Other Index Options'!$H:$H,"Monthly*"))</f>
        <v>41.58</v>
      </c>
      <c r="G192" s="26" t="str">
        <f>IF(SUMIFS('BSE - SENSEX Index Options'!$L:$L,'BSE - SENSEX Index Options'!$C:$C,$A192,'BSE - SENSEX Index Options'!$B:$B,G$147,'BSE - SENSEX Index Options'!$H:$H,"Monthly*")+SUMIFS('BSE - Other Index Options'!$L:$L,'BSE - Other Index Options'!$C:$C,$A192,'BSE - Other Index Options'!$B:$B,G$147,'BSE - Other Index Options'!$H:$H,"Monthly*")=0,"",SUMIFS('BSE - SENSEX Index Options'!$L:$L,'BSE - SENSEX Index Options'!$C:$C,$A192,'BSE - SENSEX Index Options'!$B:$B,G$147,'BSE - SENSEX Index Options'!$H:$H,"Monthly*")+SUMIFS('BSE - Other Index Options'!$L:$L,'BSE - Other Index Options'!$C:$C,$A192,'BSE - Other Index Options'!$B:$B,G$147,'BSE - Other Index Options'!$H:$H,"Monthly*"))</f>
        <v/>
      </c>
      <c r="H192" s="26">
        <f t="shared" si="7"/>
        <v>253.24</v>
      </c>
    </row>
    <row r="193" spans="1:8">
      <c r="A193" t="s">
        <v>55</v>
      </c>
      <c r="B193" s="26">
        <f>IF(SUMIFS('BSE - SENSEX Index Options'!$L:$L,'BSE - SENSEX Index Options'!$C:$C,$A193,'BSE - SENSEX Index Options'!$B:$B,B$147,'BSE - SENSEX Index Options'!$H:$H,"Monthly*")+SUMIFS('BSE - Other Index Options'!$L:$L,'BSE - Other Index Options'!$C:$C,$A193,'BSE - Other Index Options'!$B:$B,B$147,'BSE - Other Index Options'!$H:$H,"Monthly*")=0,"",SUMIFS('BSE - SENSEX Index Options'!$L:$L,'BSE - SENSEX Index Options'!$C:$C,$A193,'BSE - SENSEX Index Options'!$B:$B,B$147,'BSE - SENSEX Index Options'!$H:$H,"Monthly*")+SUMIFS('BSE - Other Index Options'!$L:$L,'BSE - Other Index Options'!$C:$C,$A193,'BSE - Other Index Options'!$B:$B,B$147,'BSE - Other Index Options'!$H:$H,"Monthly*"))</f>
        <v>38.799999999999997</v>
      </c>
      <c r="C193" s="26">
        <f>IF(SUMIFS('BSE - SENSEX Index Options'!$L:$L,'BSE - SENSEX Index Options'!$C:$C,$A193,'BSE - SENSEX Index Options'!$B:$B,C$147,'BSE - SENSEX Index Options'!$H:$H,"Monthly*")+SUMIFS('BSE - Other Index Options'!$L:$L,'BSE - Other Index Options'!$C:$C,$A193,'BSE - Other Index Options'!$B:$B,C$147,'BSE - Other Index Options'!$H:$H,"Monthly*")=0,"",SUMIFS('BSE - SENSEX Index Options'!$L:$L,'BSE - SENSEX Index Options'!$C:$C,$A193,'BSE - SENSEX Index Options'!$B:$B,C$147,'BSE - SENSEX Index Options'!$H:$H,"Monthly*")+SUMIFS('BSE - Other Index Options'!$L:$L,'BSE - Other Index Options'!$C:$C,$A193,'BSE - Other Index Options'!$B:$B,C$147,'BSE - Other Index Options'!$H:$H,"Monthly*"))</f>
        <v>32.449999999999996</v>
      </c>
      <c r="D193" s="26">
        <f>IF(SUMIFS('BSE - SENSEX Index Options'!$L:$L,'BSE - SENSEX Index Options'!$C:$C,$A193,'BSE - SENSEX Index Options'!$B:$B,D$147,'BSE - SENSEX Index Options'!$H:$H,"Monthly*")+SUMIFS('BSE - Other Index Options'!$L:$L,'BSE - Other Index Options'!$C:$C,$A193,'BSE - Other Index Options'!$B:$B,D$147,'BSE - Other Index Options'!$H:$H,"Monthly*")=0,"",SUMIFS('BSE - SENSEX Index Options'!$L:$L,'BSE - SENSEX Index Options'!$C:$C,$A193,'BSE - SENSEX Index Options'!$B:$B,D$147,'BSE - SENSEX Index Options'!$H:$H,"Monthly*")+SUMIFS('BSE - Other Index Options'!$L:$L,'BSE - Other Index Options'!$C:$C,$A193,'BSE - Other Index Options'!$B:$B,D$147,'BSE - Other Index Options'!$H:$H,"Monthly*"))</f>
        <v>45.98</v>
      </c>
      <c r="E193" s="26">
        <f>IF(SUMIFS('BSE - SENSEX Index Options'!$L:$L,'BSE - SENSEX Index Options'!$C:$C,$A193,'BSE - SENSEX Index Options'!$B:$B,E$147,'BSE - SENSEX Index Options'!$H:$H,"Monthly*")+SUMIFS('BSE - Other Index Options'!$L:$L,'BSE - Other Index Options'!$C:$C,$A193,'BSE - Other Index Options'!$B:$B,E$147,'BSE - Other Index Options'!$H:$H,"Monthly*")=0,"",SUMIFS('BSE - SENSEX Index Options'!$L:$L,'BSE - SENSEX Index Options'!$C:$C,$A193,'BSE - SENSEX Index Options'!$B:$B,E$147,'BSE - SENSEX Index Options'!$H:$H,"Monthly*")+SUMIFS('BSE - Other Index Options'!$L:$L,'BSE - Other Index Options'!$C:$C,$A193,'BSE - Other Index Options'!$B:$B,E$147,'BSE - Other Index Options'!$H:$H,"Monthly*"))</f>
        <v>84.25</v>
      </c>
      <c r="F193" s="26">
        <f>IF(SUMIFS('BSE - SENSEX Index Options'!$L:$L,'BSE - SENSEX Index Options'!$C:$C,$A193,'BSE - SENSEX Index Options'!$B:$B,F$147,'BSE - SENSEX Index Options'!$H:$H,"Monthly*")+SUMIFS('BSE - Other Index Options'!$L:$L,'BSE - Other Index Options'!$C:$C,$A193,'BSE - Other Index Options'!$B:$B,F$147,'BSE - Other Index Options'!$H:$H,"Monthly*")=0,"",SUMIFS('BSE - SENSEX Index Options'!$L:$L,'BSE - SENSEX Index Options'!$C:$C,$A193,'BSE - SENSEX Index Options'!$B:$B,F$147,'BSE - SENSEX Index Options'!$H:$H,"Monthly*")+SUMIFS('BSE - Other Index Options'!$L:$L,'BSE - Other Index Options'!$C:$C,$A193,'BSE - Other Index Options'!$B:$B,F$147,'BSE - Other Index Options'!$H:$H,"Monthly*"))</f>
        <v>154.44999999999999</v>
      </c>
      <c r="G193" s="26" t="str">
        <f>IF(SUMIFS('BSE - SENSEX Index Options'!$L:$L,'BSE - SENSEX Index Options'!$C:$C,$A193,'BSE - SENSEX Index Options'!$B:$B,G$147,'BSE - SENSEX Index Options'!$H:$H,"Monthly*")+SUMIFS('BSE - Other Index Options'!$L:$L,'BSE - Other Index Options'!$C:$C,$A193,'BSE - Other Index Options'!$B:$B,G$147,'BSE - Other Index Options'!$H:$H,"Monthly*")=0,"",SUMIFS('BSE - SENSEX Index Options'!$L:$L,'BSE - SENSEX Index Options'!$C:$C,$A193,'BSE - SENSEX Index Options'!$B:$B,G$147,'BSE - SENSEX Index Options'!$H:$H,"Monthly*")+SUMIFS('BSE - Other Index Options'!$L:$L,'BSE - Other Index Options'!$C:$C,$A193,'BSE - Other Index Options'!$B:$B,G$147,'BSE - Other Index Options'!$H:$H,"Monthly*"))</f>
        <v/>
      </c>
      <c r="H193" s="26">
        <f t="shared" si="7"/>
        <v>355.92999999999995</v>
      </c>
    </row>
    <row r="194" spans="1:8">
      <c r="A194" t="s">
        <v>56</v>
      </c>
      <c r="B194" s="26">
        <f>IF(SUMIFS('BSE - SENSEX Index Options'!$L:$L,'BSE - SENSEX Index Options'!$C:$C,$A194,'BSE - SENSEX Index Options'!$B:$B,B$147,'BSE - SENSEX Index Options'!$H:$H,"Monthly*")+SUMIFS('BSE - Other Index Options'!$L:$L,'BSE - Other Index Options'!$C:$C,$A194,'BSE - Other Index Options'!$B:$B,B$147,'BSE - Other Index Options'!$H:$H,"Monthly*")=0,"",SUMIFS('BSE - SENSEX Index Options'!$L:$L,'BSE - SENSEX Index Options'!$C:$C,$A194,'BSE - SENSEX Index Options'!$B:$B,B$147,'BSE - SENSEX Index Options'!$H:$H,"Monthly*")+SUMIFS('BSE - Other Index Options'!$L:$L,'BSE - Other Index Options'!$C:$C,$A194,'BSE - Other Index Options'!$B:$B,B$147,'BSE - Other Index Options'!$H:$H,"Monthly*"))</f>
        <v>200.6</v>
      </c>
      <c r="C194" s="26">
        <f>IF(SUMIFS('BSE - SENSEX Index Options'!$L:$L,'BSE - SENSEX Index Options'!$C:$C,$A194,'BSE - SENSEX Index Options'!$B:$B,C$147,'BSE - SENSEX Index Options'!$H:$H,"Monthly*")+SUMIFS('BSE - Other Index Options'!$L:$L,'BSE - Other Index Options'!$C:$C,$A194,'BSE - Other Index Options'!$B:$B,C$147,'BSE - Other Index Options'!$H:$H,"Monthly*")=0,"",SUMIFS('BSE - SENSEX Index Options'!$L:$L,'BSE - SENSEX Index Options'!$C:$C,$A194,'BSE - SENSEX Index Options'!$B:$B,C$147,'BSE - SENSEX Index Options'!$H:$H,"Monthly*")+SUMIFS('BSE - Other Index Options'!$L:$L,'BSE - Other Index Options'!$C:$C,$A194,'BSE - Other Index Options'!$B:$B,C$147,'BSE - Other Index Options'!$H:$H,"Monthly*"))</f>
        <v>165.01</v>
      </c>
      <c r="D194" s="26">
        <f>IF(SUMIFS('BSE - SENSEX Index Options'!$L:$L,'BSE - SENSEX Index Options'!$C:$C,$A194,'BSE - SENSEX Index Options'!$B:$B,D$147,'BSE - SENSEX Index Options'!$H:$H,"Monthly*")+SUMIFS('BSE - Other Index Options'!$L:$L,'BSE - Other Index Options'!$C:$C,$A194,'BSE - Other Index Options'!$B:$B,D$147,'BSE - Other Index Options'!$H:$H,"Monthly*")=0,"",SUMIFS('BSE - SENSEX Index Options'!$L:$L,'BSE - SENSEX Index Options'!$C:$C,$A194,'BSE - SENSEX Index Options'!$B:$B,D$147,'BSE - SENSEX Index Options'!$H:$H,"Monthly*")+SUMIFS('BSE - Other Index Options'!$L:$L,'BSE - Other Index Options'!$C:$C,$A194,'BSE - Other Index Options'!$B:$B,D$147,'BSE - Other Index Options'!$H:$H,"Monthly*"))</f>
        <v>313.75000000000006</v>
      </c>
      <c r="E194" s="26">
        <f>IF(SUMIFS('BSE - SENSEX Index Options'!$L:$L,'BSE - SENSEX Index Options'!$C:$C,$A194,'BSE - SENSEX Index Options'!$B:$B,E$147,'BSE - SENSEX Index Options'!$H:$H,"Monthly*")+SUMIFS('BSE - Other Index Options'!$L:$L,'BSE - Other Index Options'!$C:$C,$A194,'BSE - Other Index Options'!$B:$B,E$147,'BSE - Other Index Options'!$H:$H,"Monthly*")=0,"",SUMIFS('BSE - SENSEX Index Options'!$L:$L,'BSE - SENSEX Index Options'!$C:$C,$A194,'BSE - SENSEX Index Options'!$B:$B,E$147,'BSE - SENSEX Index Options'!$H:$H,"Monthly*")+SUMIFS('BSE - Other Index Options'!$L:$L,'BSE - Other Index Options'!$C:$C,$A194,'BSE - Other Index Options'!$B:$B,E$147,'BSE - Other Index Options'!$H:$H,"Monthly*"))</f>
        <v>1221.4899999999998</v>
      </c>
      <c r="F194" s="26">
        <f>IF(SUMIFS('BSE - SENSEX Index Options'!$L:$L,'BSE - SENSEX Index Options'!$C:$C,$A194,'BSE - SENSEX Index Options'!$B:$B,F$147,'BSE - SENSEX Index Options'!$H:$H,"Monthly*")+SUMIFS('BSE - Other Index Options'!$L:$L,'BSE - Other Index Options'!$C:$C,$A194,'BSE - Other Index Options'!$B:$B,F$147,'BSE - Other Index Options'!$H:$H,"Monthly*")=0,"",SUMIFS('BSE - SENSEX Index Options'!$L:$L,'BSE - SENSEX Index Options'!$C:$C,$A194,'BSE - SENSEX Index Options'!$B:$B,F$147,'BSE - SENSEX Index Options'!$H:$H,"Monthly*")+SUMIFS('BSE - Other Index Options'!$L:$L,'BSE - Other Index Options'!$C:$C,$A194,'BSE - Other Index Options'!$B:$B,F$147,'BSE - Other Index Options'!$H:$H,"Monthly*"))</f>
        <v>22.84</v>
      </c>
      <c r="G194" s="26" t="str">
        <f>IF(SUMIFS('BSE - SENSEX Index Options'!$L:$L,'BSE - SENSEX Index Options'!$C:$C,$A194,'BSE - SENSEX Index Options'!$B:$B,G$147,'BSE - SENSEX Index Options'!$H:$H,"Monthly*")+SUMIFS('BSE - Other Index Options'!$L:$L,'BSE - Other Index Options'!$C:$C,$A194,'BSE - Other Index Options'!$B:$B,G$147,'BSE - Other Index Options'!$H:$H,"Monthly*")=0,"",SUMIFS('BSE - SENSEX Index Options'!$L:$L,'BSE - SENSEX Index Options'!$C:$C,$A194,'BSE - SENSEX Index Options'!$B:$B,G$147,'BSE - SENSEX Index Options'!$H:$H,"Monthly*")+SUMIFS('BSE - Other Index Options'!$L:$L,'BSE - Other Index Options'!$C:$C,$A194,'BSE - Other Index Options'!$B:$B,G$147,'BSE - Other Index Options'!$H:$H,"Monthly*"))</f>
        <v/>
      </c>
      <c r="H194" s="26">
        <f t="shared" si="7"/>
        <v>1923.6899999999998</v>
      </c>
    </row>
    <row r="195" spans="1:8">
      <c r="A195" t="s">
        <v>57</v>
      </c>
      <c r="B195" s="26">
        <f>IF(SUMIFS('BSE - SENSEX Index Options'!$L:$L,'BSE - SENSEX Index Options'!$C:$C,$A195,'BSE - SENSEX Index Options'!$B:$B,B$147,'BSE - SENSEX Index Options'!$H:$H,"Monthly*")+SUMIFS('BSE - Other Index Options'!$L:$L,'BSE - Other Index Options'!$C:$C,$A195,'BSE - Other Index Options'!$B:$B,B$147,'BSE - Other Index Options'!$H:$H,"Monthly*")=0,"",SUMIFS('BSE - SENSEX Index Options'!$L:$L,'BSE - SENSEX Index Options'!$C:$C,$A195,'BSE - SENSEX Index Options'!$B:$B,B$147,'BSE - SENSEX Index Options'!$H:$H,"Monthly*")+SUMIFS('BSE - Other Index Options'!$L:$L,'BSE - Other Index Options'!$C:$C,$A195,'BSE - Other Index Options'!$B:$B,B$147,'BSE - Other Index Options'!$H:$H,"Monthly*"))</f>
        <v>17.240000000000002</v>
      </c>
      <c r="C195" s="26">
        <f>IF(SUMIFS('BSE - SENSEX Index Options'!$L:$L,'BSE - SENSEX Index Options'!$C:$C,$A195,'BSE - SENSEX Index Options'!$B:$B,C$147,'BSE - SENSEX Index Options'!$H:$H,"Monthly*")+SUMIFS('BSE - Other Index Options'!$L:$L,'BSE - Other Index Options'!$C:$C,$A195,'BSE - Other Index Options'!$B:$B,C$147,'BSE - Other Index Options'!$H:$H,"Monthly*")=0,"",SUMIFS('BSE - SENSEX Index Options'!$L:$L,'BSE - SENSEX Index Options'!$C:$C,$A195,'BSE - SENSEX Index Options'!$B:$B,C$147,'BSE - SENSEX Index Options'!$H:$H,"Monthly*")+SUMIFS('BSE - Other Index Options'!$L:$L,'BSE - Other Index Options'!$C:$C,$A195,'BSE - Other Index Options'!$B:$B,C$147,'BSE - Other Index Options'!$H:$H,"Monthly*"))</f>
        <v>34.89</v>
      </c>
      <c r="D195" s="26">
        <f>IF(SUMIFS('BSE - SENSEX Index Options'!$L:$L,'BSE - SENSEX Index Options'!$C:$C,$A195,'BSE - SENSEX Index Options'!$B:$B,D$147,'BSE - SENSEX Index Options'!$H:$H,"Monthly*")+SUMIFS('BSE - Other Index Options'!$L:$L,'BSE - Other Index Options'!$C:$C,$A195,'BSE - Other Index Options'!$B:$B,D$147,'BSE - Other Index Options'!$H:$H,"Monthly*")=0,"",SUMIFS('BSE - SENSEX Index Options'!$L:$L,'BSE - SENSEX Index Options'!$C:$C,$A195,'BSE - SENSEX Index Options'!$B:$B,D$147,'BSE - SENSEX Index Options'!$H:$H,"Monthly*")+SUMIFS('BSE - Other Index Options'!$L:$L,'BSE - Other Index Options'!$C:$C,$A195,'BSE - Other Index Options'!$B:$B,D$147,'BSE - Other Index Options'!$H:$H,"Monthly*"))</f>
        <v>286.90999999999997</v>
      </c>
      <c r="E195" s="26">
        <f>IF(SUMIFS('BSE - SENSEX Index Options'!$L:$L,'BSE - SENSEX Index Options'!$C:$C,$A195,'BSE - SENSEX Index Options'!$B:$B,E$147,'BSE - SENSEX Index Options'!$H:$H,"Monthly*")+SUMIFS('BSE - Other Index Options'!$L:$L,'BSE - Other Index Options'!$C:$C,$A195,'BSE - Other Index Options'!$B:$B,E$147,'BSE - Other Index Options'!$H:$H,"Monthly*")=0,"",SUMIFS('BSE - SENSEX Index Options'!$L:$L,'BSE - SENSEX Index Options'!$C:$C,$A195,'BSE - SENSEX Index Options'!$B:$B,E$147,'BSE - SENSEX Index Options'!$H:$H,"Monthly*")+SUMIFS('BSE - Other Index Options'!$L:$L,'BSE - Other Index Options'!$C:$C,$A195,'BSE - Other Index Options'!$B:$B,E$147,'BSE - Other Index Options'!$H:$H,"Monthly*"))</f>
        <v>1109.6499999999999</v>
      </c>
      <c r="F195" s="26" t="str">
        <f>IF(SUMIFS('BSE - SENSEX Index Options'!$L:$L,'BSE - SENSEX Index Options'!$C:$C,$A195,'BSE - SENSEX Index Options'!$B:$B,F$147,'BSE - SENSEX Index Options'!$H:$H,"Monthly*")+SUMIFS('BSE - Other Index Options'!$L:$L,'BSE - Other Index Options'!$C:$C,$A195,'BSE - Other Index Options'!$B:$B,F$147,'BSE - Other Index Options'!$H:$H,"Monthly*")=0,"",SUMIFS('BSE - SENSEX Index Options'!$L:$L,'BSE - SENSEX Index Options'!$C:$C,$A195,'BSE - SENSEX Index Options'!$B:$B,F$147,'BSE - SENSEX Index Options'!$H:$H,"Monthly*")+SUMIFS('BSE - Other Index Options'!$L:$L,'BSE - Other Index Options'!$C:$C,$A195,'BSE - Other Index Options'!$B:$B,F$147,'BSE - Other Index Options'!$H:$H,"Monthly*"))</f>
        <v/>
      </c>
      <c r="G195" s="26" t="str">
        <f>IF(SUMIFS('BSE - SENSEX Index Options'!$L:$L,'BSE - SENSEX Index Options'!$C:$C,$A195,'BSE - SENSEX Index Options'!$B:$B,G$147,'BSE - SENSEX Index Options'!$H:$H,"Monthly*")+SUMIFS('BSE - Other Index Options'!$L:$L,'BSE - Other Index Options'!$C:$C,$A195,'BSE - Other Index Options'!$B:$B,G$147,'BSE - Other Index Options'!$H:$H,"Monthly*")=0,"",SUMIFS('BSE - SENSEX Index Options'!$L:$L,'BSE - SENSEX Index Options'!$C:$C,$A195,'BSE - SENSEX Index Options'!$B:$B,G$147,'BSE - SENSEX Index Options'!$H:$H,"Monthly*")+SUMIFS('BSE - Other Index Options'!$L:$L,'BSE - Other Index Options'!$C:$C,$A195,'BSE - Other Index Options'!$B:$B,G$147,'BSE - Other Index Options'!$H:$H,"Monthly*"))</f>
        <v/>
      </c>
      <c r="H195" s="26">
        <f t="shared" si="7"/>
        <v>1448.6899999999998</v>
      </c>
    </row>
    <row r="196" spans="1:8">
      <c r="A196" t="s">
        <v>58</v>
      </c>
      <c r="B196" s="26">
        <f>IF(SUMIFS('BSE - SENSEX Index Options'!$L:$L,'BSE - SENSEX Index Options'!$C:$C,$A196,'BSE - SENSEX Index Options'!$B:$B,B$147,'BSE - SENSEX Index Options'!$H:$H,"Monthly*")+SUMIFS('BSE - Other Index Options'!$L:$L,'BSE - Other Index Options'!$C:$C,$A196,'BSE - Other Index Options'!$B:$B,B$147,'BSE - Other Index Options'!$H:$H,"Monthly*")=0,"",SUMIFS('BSE - SENSEX Index Options'!$L:$L,'BSE - SENSEX Index Options'!$C:$C,$A196,'BSE - SENSEX Index Options'!$B:$B,B$147,'BSE - SENSEX Index Options'!$H:$H,"Monthly*")+SUMIFS('BSE - Other Index Options'!$L:$L,'BSE - Other Index Options'!$C:$C,$A196,'BSE - Other Index Options'!$B:$B,B$147,'BSE - Other Index Options'!$H:$H,"Monthly*"))</f>
        <v>78.12</v>
      </c>
      <c r="C196" s="26">
        <f>IF(SUMIFS('BSE - SENSEX Index Options'!$L:$L,'BSE - SENSEX Index Options'!$C:$C,$A196,'BSE - SENSEX Index Options'!$B:$B,C$147,'BSE - SENSEX Index Options'!$H:$H,"Monthly*")+SUMIFS('BSE - Other Index Options'!$L:$L,'BSE - Other Index Options'!$C:$C,$A196,'BSE - Other Index Options'!$B:$B,C$147,'BSE - Other Index Options'!$H:$H,"Monthly*")=0,"",SUMIFS('BSE - SENSEX Index Options'!$L:$L,'BSE - SENSEX Index Options'!$C:$C,$A196,'BSE - SENSEX Index Options'!$B:$B,C$147,'BSE - SENSEX Index Options'!$H:$H,"Monthly*")+SUMIFS('BSE - Other Index Options'!$L:$L,'BSE - Other Index Options'!$C:$C,$A196,'BSE - Other Index Options'!$B:$B,C$147,'BSE - Other Index Options'!$H:$H,"Monthly*"))</f>
        <v>19.080000000000002</v>
      </c>
      <c r="D196" s="26" t="str">
        <f>IF(SUMIFS('BSE - SENSEX Index Options'!$L:$L,'BSE - SENSEX Index Options'!$C:$C,$A196,'BSE - SENSEX Index Options'!$B:$B,D$147,'BSE - SENSEX Index Options'!$H:$H,"Monthly*")+SUMIFS('BSE - Other Index Options'!$L:$L,'BSE - Other Index Options'!$C:$C,$A196,'BSE - Other Index Options'!$B:$B,D$147,'BSE - Other Index Options'!$H:$H,"Monthly*")=0,"",SUMIFS('BSE - SENSEX Index Options'!$L:$L,'BSE - SENSEX Index Options'!$C:$C,$A196,'BSE - SENSEX Index Options'!$B:$B,D$147,'BSE - SENSEX Index Options'!$H:$H,"Monthly*")+SUMIFS('BSE - Other Index Options'!$L:$L,'BSE - Other Index Options'!$C:$C,$A196,'BSE - Other Index Options'!$B:$B,D$147,'BSE - Other Index Options'!$H:$H,"Monthly*"))</f>
        <v/>
      </c>
      <c r="E196" s="26" t="str">
        <f>IF(SUMIFS('BSE - SENSEX Index Options'!$L:$L,'BSE - SENSEX Index Options'!$C:$C,$A196,'BSE - SENSEX Index Options'!$B:$B,E$147,'BSE - SENSEX Index Options'!$H:$H,"Monthly*")+SUMIFS('BSE - Other Index Options'!$L:$L,'BSE - Other Index Options'!$C:$C,$A196,'BSE - Other Index Options'!$B:$B,E$147,'BSE - Other Index Options'!$H:$H,"Monthly*")=0,"",SUMIFS('BSE - SENSEX Index Options'!$L:$L,'BSE - SENSEX Index Options'!$C:$C,$A196,'BSE - SENSEX Index Options'!$B:$B,E$147,'BSE - SENSEX Index Options'!$H:$H,"Monthly*")+SUMIFS('BSE - Other Index Options'!$L:$L,'BSE - Other Index Options'!$C:$C,$A196,'BSE - Other Index Options'!$B:$B,E$147,'BSE - Other Index Options'!$H:$H,"Monthly*"))</f>
        <v/>
      </c>
      <c r="F196" s="26" t="str">
        <f>IF(SUMIFS('BSE - SENSEX Index Options'!$L:$L,'BSE - SENSEX Index Options'!$C:$C,$A196,'BSE - SENSEX Index Options'!$B:$B,F$147,'BSE - SENSEX Index Options'!$H:$H,"Monthly*")+SUMIFS('BSE - Other Index Options'!$L:$L,'BSE - Other Index Options'!$C:$C,$A196,'BSE - Other Index Options'!$B:$B,F$147,'BSE - Other Index Options'!$H:$H,"Monthly*")=0,"",SUMIFS('BSE - SENSEX Index Options'!$L:$L,'BSE - SENSEX Index Options'!$C:$C,$A196,'BSE - SENSEX Index Options'!$B:$B,F$147,'BSE - SENSEX Index Options'!$H:$H,"Monthly*")+SUMIFS('BSE - Other Index Options'!$L:$L,'BSE - Other Index Options'!$C:$C,$A196,'BSE - Other Index Options'!$B:$B,F$147,'BSE - Other Index Options'!$H:$H,"Monthly*"))</f>
        <v/>
      </c>
      <c r="G196" s="26" t="str">
        <f>IF(SUMIFS('BSE - SENSEX Index Options'!$L:$L,'BSE - SENSEX Index Options'!$C:$C,$A196,'BSE - SENSEX Index Options'!$B:$B,G$147,'BSE - SENSEX Index Options'!$H:$H,"Monthly*")+SUMIFS('BSE - Other Index Options'!$L:$L,'BSE - Other Index Options'!$C:$C,$A196,'BSE - Other Index Options'!$B:$B,G$147,'BSE - Other Index Options'!$H:$H,"Monthly*")=0,"",SUMIFS('BSE - SENSEX Index Options'!$L:$L,'BSE - SENSEX Index Options'!$C:$C,$A196,'BSE - SENSEX Index Options'!$B:$B,G$147,'BSE - SENSEX Index Options'!$H:$H,"Monthly*")+SUMIFS('BSE - Other Index Options'!$L:$L,'BSE - Other Index Options'!$C:$C,$A196,'BSE - Other Index Options'!$B:$B,G$147,'BSE - Other Index Options'!$H:$H,"Monthly*"))</f>
        <v/>
      </c>
      <c r="H196" s="26">
        <f t="shared" si="7"/>
        <v>97.2</v>
      </c>
    </row>
    <row r="197" spans="1:8">
      <c r="A197" t="s">
        <v>59</v>
      </c>
      <c r="B197" s="26">
        <f>IF(SUMIFS('BSE - SENSEX Index Options'!$L:$L,'BSE - SENSEX Index Options'!$C:$C,$A197,'BSE - SENSEX Index Options'!$B:$B,B$147,'BSE - SENSEX Index Options'!$H:$H,"Monthly*")+SUMIFS('BSE - Other Index Options'!$L:$L,'BSE - Other Index Options'!$C:$C,$A197,'BSE - Other Index Options'!$B:$B,B$147,'BSE - Other Index Options'!$H:$H,"Monthly*")=0,"",SUMIFS('BSE - SENSEX Index Options'!$L:$L,'BSE - SENSEX Index Options'!$C:$C,$A197,'BSE - SENSEX Index Options'!$B:$B,B$147,'BSE - SENSEX Index Options'!$H:$H,"Monthly*")+SUMIFS('BSE - Other Index Options'!$L:$L,'BSE - Other Index Options'!$C:$C,$A197,'BSE - Other Index Options'!$B:$B,B$147,'BSE - Other Index Options'!$H:$H,"Monthly*"))</f>
        <v>17.739999999999998</v>
      </c>
      <c r="C197" s="26">
        <f>IF(SUMIFS('BSE - SENSEX Index Options'!$L:$L,'BSE - SENSEX Index Options'!$C:$C,$A197,'BSE - SENSEX Index Options'!$B:$B,C$147,'BSE - SENSEX Index Options'!$H:$H,"Monthly*")+SUMIFS('BSE - Other Index Options'!$L:$L,'BSE - Other Index Options'!$C:$C,$A197,'BSE - Other Index Options'!$B:$B,C$147,'BSE - Other Index Options'!$H:$H,"Monthly*")=0,"",SUMIFS('BSE - SENSEX Index Options'!$L:$L,'BSE - SENSEX Index Options'!$C:$C,$A197,'BSE - SENSEX Index Options'!$B:$B,C$147,'BSE - SENSEX Index Options'!$H:$H,"Monthly*")+SUMIFS('BSE - Other Index Options'!$L:$L,'BSE - Other Index Options'!$C:$C,$A197,'BSE - Other Index Options'!$B:$B,C$147,'BSE - Other Index Options'!$H:$H,"Monthly*"))</f>
        <v>22.64</v>
      </c>
      <c r="D197" s="26">
        <f>IF(SUMIFS('BSE - SENSEX Index Options'!$L:$L,'BSE - SENSEX Index Options'!$C:$C,$A197,'BSE - SENSEX Index Options'!$B:$B,D$147,'BSE - SENSEX Index Options'!$H:$H,"Monthly*")+SUMIFS('BSE - Other Index Options'!$L:$L,'BSE - Other Index Options'!$C:$C,$A197,'BSE - Other Index Options'!$B:$B,D$147,'BSE - Other Index Options'!$H:$H,"Monthly*")=0,"",SUMIFS('BSE - SENSEX Index Options'!$L:$L,'BSE - SENSEX Index Options'!$C:$C,$A197,'BSE - SENSEX Index Options'!$B:$B,D$147,'BSE - SENSEX Index Options'!$H:$H,"Monthly*")+SUMIFS('BSE - Other Index Options'!$L:$L,'BSE - Other Index Options'!$C:$C,$A197,'BSE - Other Index Options'!$B:$B,D$147,'BSE - Other Index Options'!$H:$H,"Monthly*"))</f>
        <v>25.759999999999998</v>
      </c>
      <c r="E197" s="26">
        <f>IF(SUMIFS('BSE - SENSEX Index Options'!$L:$L,'BSE - SENSEX Index Options'!$C:$C,$A197,'BSE - SENSEX Index Options'!$B:$B,E$147,'BSE - SENSEX Index Options'!$H:$H,"Monthly*")+SUMIFS('BSE - Other Index Options'!$L:$L,'BSE - Other Index Options'!$C:$C,$A197,'BSE - Other Index Options'!$B:$B,E$147,'BSE - Other Index Options'!$H:$H,"Monthly*")=0,"",SUMIFS('BSE - SENSEX Index Options'!$L:$L,'BSE - SENSEX Index Options'!$C:$C,$A197,'BSE - SENSEX Index Options'!$B:$B,E$147,'BSE - SENSEX Index Options'!$H:$H,"Monthly*")+SUMIFS('BSE - Other Index Options'!$L:$L,'BSE - Other Index Options'!$C:$C,$A197,'BSE - Other Index Options'!$B:$B,E$147,'BSE - Other Index Options'!$H:$H,"Monthly*"))</f>
        <v>33.729999999999997</v>
      </c>
      <c r="F197" s="26">
        <f>IF(SUMIFS('BSE - SENSEX Index Options'!$L:$L,'BSE - SENSEX Index Options'!$C:$C,$A197,'BSE - SENSEX Index Options'!$B:$B,F$147,'BSE - SENSEX Index Options'!$H:$H,"Monthly*")+SUMIFS('BSE - Other Index Options'!$L:$L,'BSE - Other Index Options'!$C:$C,$A197,'BSE - Other Index Options'!$B:$B,F$147,'BSE - Other Index Options'!$H:$H,"Monthly*")=0,"",SUMIFS('BSE - SENSEX Index Options'!$L:$L,'BSE - SENSEX Index Options'!$C:$C,$A197,'BSE - SENSEX Index Options'!$B:$B,F$147,'BSE - SENSEX Index Options'!$H:$H,"Monthly*")+SUMIFS('BSE - Other Index Options'!$L:$L,'BSE - Other Index Options'!$C:$C,$A197,'BSE - Other Index Options'!$B:$B,F$147,'BSE - Other Index Options'!$H:$H,"Monthly*"))</f>
        <v>27.79</v>
      </c>
      <c r="G197" s="26" t="str">
        <f>IF(SUMIFS('BSE - SENSEX Index Options'!$L:$L,'BSE - SENSEX Index Options'!$C:$C,$A197,'BSE - SENSEX Index Options'!$B:$B,G$147,'BSE - SENSEX Index Options'!$H:$H,"Monthly*")+SUMIFS('BSE - Other Index Options'!$L:$L,'BSE - Other Index Options'!$C:$C,$A197,'BSE - Other Index Options'!$B:$B,G$147,'BSE - Other Index Options'!$H:$H,"Monthly*")=0,"",SUMIFS('BSE - SENSEX Index Options'!$L:$L,'BSE - SENSEX Index Options'!$C:$C,$A197,'BSE - SENSEX Index Options'!$B:$B,G$147,'BSE - SENSEX Index Options'!$H:$H,"Monthly*")+SUMIFS('BSE - Other Index Options'!$L:$L,'BSE - Other Index Options'!$C:$C,$A197,'BSE - Other Index Options'!$B:$B,G$147,'BSE - Other Index Options'!$H:$H,"Monthly*"))</f>
        <v/>
      </c>
      <c r="H197" s="26">
        <f t="shared" si="7"/>
        <v>127.65999999999997</v>
      </c>
    </row>
    <row r="198" spans="1:8">
      <c r="A198" t="s">
        <v>60</v>
      </c>
      <c r="B198" s="26" t="str">
        <f>IF(SUMIFS('BSE - SENSEX Index Options'!$L:$L,'BSE - SENSEX Index Options'!$C:$C,$A198,'BSE - SENSEX Index Options'!$B:$B,B$147,'BSE - SENSEX Index Options'!$H:$H,"Monthly*")+SUMIFS('BSE - Other Index Options'!$L:$L,'BSE - Other Index Options'!$C:$C,$A198,'BSE - Other Index Options'!$B:$B,B$147,'BSE - Other Index Options'!$H:$H,"Monthly*")=0,"",SUMIFS('BSE - SENSEX Index Options'!$L:$L,'BSE - SENSEX Index Options'!$C:$C,$A198,'BSE - SENSEX Index Options'!$B:$B,B$147,'BSE - SENSEX Index Options'!$H:$H,"Monthly*")+SUMIFS('BSE - Other Index Options'!$L:$L,'BSE - Other Index Options'!$C:$C,$A198,'BSE - Other Index Options'!$B:$B,B$147,'BSE - Other Index Options'!$H:$H,"Monthly*"))</f>
        <v/>
      </c>
      <c r="C198" s="26" t="str">
        <f>IF(SUMIFS('BSE - SENSEX Index Options'!$L:$L,'BSE - SENSEX Index Options'!$C:$C,$A198,'BSE - SENSEX Index Options'!$B:$B,C$147,'BSE - SENSEX Index Options'!$H:$H,"Monthly*")+SUMIFS('BSE - Other Index Options'!$L:$L,'BSE - Other Index Options'!$C:$C,$A198,'BSE - Other Index Options'!$B:$B,C$147,'BSE - Other Index Options'!$H:$H,"Monthly*")=0,"",SUMIFS('BSE - SENSEX Index Options'!$L:$L,'BSE - SENSEX Index Options'!$C:$C,$A198,'BSE - SENSEX Index Options'!$B:$B,C$147,'BSE - SENSEX Index Options'!$H:$H,"Monthly*")+SUMIFS('BSE - Other Index Options'!$L:$L,'BSE - Other Index Options'!$C:$C,$A198,'BSE - Other Index Options'!$B:$B,C$147,'BSE - Other Index Options'!$H:$H,"Monthly*"))</f>
        <v/>
      </c>
      <c r="D198" s="26">
        <f>IF(SUMIFS('BSE - SENSEX Index Options'!$L:$L,'BSE - SENSEX Index Options'!$C:$C,$A198,'BSE - SENSEX Index Options'!$B:$B,D$147,'BSE - SENSEX Index Options'!$H:$H,"Monthly*")+SUMIFS('BSE - Other Index Options'!$L:$L,'BSE - Other Index Options'!$C:$C,$A198,'BSE - Other Index Options'!$B:$B,D$147,'BSE - Other Index Options'!$H:$H,"Monthly*")=0,"",SUMIFS('BSE - SENSEX Index Options'!$L:$L,'BSE - SENSEX Index Options'!$C:$C,$A198,'BSE - SENSEX Index Options'!$B:$B,D$147,'BSE - SENSEX Index Options'!$H:$H,"Monthly*")+SUMIFS('BSE - Other Index Options'!$L:$L,'BSE - Other Index Options'!$C:$C,$A198,'BSE - Other Index Options'!$B:$B,D$147,'BSE - Other Index Options'!$H:$H,"Monthly*"))</f>
        <v>63.64</v>
      </c>
      <c r="E198" s="26" t="str">
        <f>IF(SUMIFS('BSE - SENSEX Index Options'!$L:$L,'BSE - SENSEX Index Options'!$C:$C,$A198,'BSE - SENSEX Index Options'!$B:$B,E$147,'BSE - SENSEX Index Options'!$H:$H,"Monthly*")+SUMIFS('BSE - Other Index Options'!$L:$L,'BSE - Other Index Options'!$C:$C,$A198,'BSE - Other Index Options'!$B:$B,E$147,'BSE - Other Index Options'!$H:$H,"Monthly*")=0,"",SUMIFS('BSE - SENSEX Index Options'!$L:$L,'BSE - SENSEX Index Options'!$C:$C,$A198,'BSE - SENSEX Index Options'!$B:$B,E$147,'BSE - SENSEX Index Options'!$H:$H,"Monthly*")+SUMIFS('BSE - Other Index Options'!$L:$L,'BSE - Other Index Options'!$C:$C,$A198,'BSE - Other Index Options'!$B:$B,E$147,'BSE - Other Index Options'!$H:$H,"Monthly*"))</f>
        <v/>
      </c>
      <c r="F198" s="26" t="str">
        <f>IF(SUMIFS('BSE - SENSEX Index Options'!$L:$L,'BSE - SENSEX Index Options'!$C:$C,$A198,'BSE - SENSEX Index Options'!$B:$B,F$147,'BSE - SENSEX Index Options'!$H:$H,"Monthly*")+SUMIFS('BSE - Other Index Options'!$L:$L,'BSE - Other Index Options'!$C:$C,$A198,'BSE - Other Index Options'!$B:$B,F$147,'BSE - Other Index Options'!$H:$H,"Monthly*")=0,"",SUMIFS('BSE - SENSEX Index Options'!$L:$L,'BSE - SENSEX Index Options'!$C:$C,$A198,'BSE - SENSEX Index Options'!$B:$B,F$147,'BSE - SENSEX Index Options'!$H:$H,"Monthly*")+SUMIFS('BSE - Other Index Options'!$L:$L,'BSE - Other Index Options'!$C:$C,$A198,'BSE - Other Index Options'!$B:$B,F$147,'BSE - Other Index Options'!$H:$H,"Monthly*"))</f>
        <v/>
      </c>
      <c r="G198" s="26" t="str">
        <f>IF(SUMIFS('BSE - SENSEX Index Options'!$L:$L,'BSE - SENSEX Index Options'!$C:$C,$A198,'BSE - SENSEX Index Options'!$B:$B,G$147,'BSE - SENSEX Index Options'!$H:$H,"Monthly*")+SUMIFS('BSE - Other Index Options'!$L:$L,'BSE - Other Index Options'!$C:$C,$A198,'BSE - Other Index Options'!$B:$B,G$147,'BSE - Other Index Options'!$H:$H,"Monthly*")=0,"",SUMIFS('BSE - SENSEX Index Options'!$L:$L,'BSE - SENSEX Index Options'!$C:$C,$A198,'BSE - SENSEX Index Options'!$B:$B,G$147,'BSE - SENSEX Index Options'!$H:$H,"Monthly*")+SUMIFS('BSE - Other Index Options'!$L:$L,'BSE - Other Index Options'!$C:$C,$A198,'BSE - Other Index Options'!$B:$B,G$147,'BSE - Other Index Options'!$H:$H,"Monthly*"))</f>
        <v/>
      </c>
      <c r="H198" s="26">
        <f t="shared" si="7"/>
        <v>63.64</v>
      </c>
    </row>
    <row r="199" spans="1:8">
      <c r="A199" t="s">
        <v>61</v>
      </c>
      <c r="B199" s="26" t="str">
        <f>IF(SUMIFS('BSE - SENSEX Index Options'!$L:$L,'BSE - SENSEX Index Options'!$C:$C,$A199,'BSE - SENSEX Index Options'!$B:$B,B$147,'BSE - SENSEX Index Options'!$H:$H,"Monthly*")+SUMIFS('BSE - Other Index Options'!$L:$L,'BSE - Other Index Options'!$C:$C,$A199,'BSE - Other Index Options'!$B:$B,B$147,'BSE - Other Index Options'!$H:$H,"Monthly*")=0,"",SUMIFS('BSE - SENSEX Index Options'!$L:$L,'BSE - SENSEX Index Options'!$C:$C,$A199,'BSE - SENSEX Index Options'!$B:$B,B$147,'BSE - SENSEX Index Options'!$H:$H,"Monthly*")+SUMIFS('BSE - Other Index Options'!$L:$L,'BSE - Other Index Options'!$C:$C,$A199,'BSE - Other Index Options'!$B:$B,B$147,'BSE - Other Index Options'!$H:$H,"Monthly*"))</f>
        <v/>
      </c>
      <c r="C199" s="26" t="str">
        <f>IF(SUMIFS('BSE - SENSEX Index Options'!$L:$L,'BSE - SENSEX Index Options'!$C:$C,$A199,'BSE - SENSEX Index Options'!$B:$B,C$147,'BSE - SENSEX Index Options'!$H:$H,"Monthly*")+SUMIFS('BSE - Other Index Options'!$L:$L,'BSE - Other Index Options'!$C:$C,$A199,'BSE - Other Index Options'!$B:$B,C$147,'BSE - Other Index Options'!$H:$H,"Monthly*")=0,"",SUMIFS('BSE - SENSEX Index Options'!$L:$L,'BSE - SENSEX Index Options'!$C:$C,$A199,'BSE - SENSEX Index Options'!$B:$B,C$147,'BSE - SENSEX Index Options'!$H:$H,"Monthly*")+SUMIFS('BSE - Other Index Options'!$L:$L,'BSE - Other Index Options'!$C:$C,$A199,'BSE - Other Index Options'!$B:$B,C$147,'BSE - Other Index Options'!$H:$H,"Monthly*"))</f>
        <v/>
      </c>
      <c r="D199" s="26" t="str">
        <f>IF(SUMIFS('BSE - SENSEX Index Options'!$L:$L,'BSE - SENSEX Index Options'!$C:$C,$A199,'BSE - SENSEX Index Options'!$B:$B,D$147,'BSE - SENSEX Index Options'!$H:$H,"Monthly*")+SUMIFS('BSE - Other Index Options'!$L:$L,'BSE - Other Index Options'!$C:$C,$A199,'BSE - Other Index Options'!$B:$B,D$147,'BSE - Other Index Options'!$H:$H,"Monthly*")=0,"",SUMIFS('BSE - SENSEX Index Options'!$L:$L,'BSE - SENSEX Index Options'!$C:$C,$A199,'BSE - SENSEX Index Options'!$B:$B,D$147,'BSE - SENSEX Index Options'!$H:$H,"Monthly*")+SUMIFS('BSE - Other Index Options'!$L:$L,'BSE - Other Index Options'!$C:$C,$A199,'BSE - Other Index Options'!$B:$B,D$147,'BSE - Other Index Options'!$H:$H,"Monthly*"))</f>
        <v/>
      </c>
      <c r="E199" s="26" t="str">
        <f>IF(SUMIFS('BSE - SENSEX Index Options'!$L:$L,'BSE - SENSEX Index Options'!$C:$C,$A199,'BSE - SENSEX Index Options'!$B:$B,E$147,'BSE - SENSEX Index Options'!$H:$H,"Monthly*")+SUMIFS('BSE - Other Index Options'!$L:$L,'BSE - Other Index Options'!$C:$C,$A199,'BSE - Other Index Options'!$B:$B,E$147,'BSE - Other Index Options'!$H:$H,"Monthly*")=0,"",SUMIFS('BSE - SENSEX Index Options'!$L:$L,'BSE - SENSEX Index Options'!$C:$C,$A199,'BSE - SENSEX Index Options'!$B:$B,E$147,'BSE - SENSEX Index Options'!$H:$H,"Monthly*")+SUMIFS('BSE - Other Index Options'!$L:$L,'BSE - Other Index Options'!$C:$C,$A199,'BSE - Other Index Options'!$B:$B,E$147,'BSE - Other Index Options'!$H:$H,"Monthly*"))</f>
        <v/>
      </c>
      <c r="F199" s="26" t="str">
        <f>IF(SUMIFS('BSE - SENSEX Index Options'!$L:$L,'BSE - SENSEX Index Options'!$C:$C,$A199,'BSE - SENSEX Index Options'!$B:$B,F$147,'BSE - SENSEX Index Options'!$H:$H,"Monthly*")+SUMIFS('BSE - Other Index Options'!$L:$L,'BSE - Other Index Options'!$C:$C,$A199,'BSE - Other Index Options'!$B:$B,F$147,'BSE - Other Index Options'!$H:$H,"Monthly*")=0,"",SUMIFS('BSE - SENSEX Index Options'!$L:$L,'BSE - SENSEX Index Options'!$C:$C,$A199,'BSE - SENSEX Index Options'!$B:$B,F$147,'BSE - SENSEX Index Options'!$H:$H,"Monthly*")+SUMIFS('BSE - Other Index Options'!$L:$L,'BSE - Other Index Options'!$C:$C,$A199,'BSE - Other Index Options'!$B:$B,F$147,'BSE - Other Index Options'!$H:$H,"Monthly*"))</f>
        <v/>
      </c>
      <c r="G199" s="26" t="str">
        <f>IF(SUMIFS('BSE - SENSEX Index Options'!$L:$L,'BSE - SENSEX Index Options'!$C:$C,$A199,'BSE - SENSEX Index Options'!$B:$B,G$147,'BSE - SENSEX Index Options'!$H:$H,"Monthly*")+SUMIFS('BSE - Other Index Options'!$L:$L,'BSE - Other Index Options'!$C:$C,$A199,'BSE - Other Index Options'!$B:$B,G$147,'BSE - Other Index Options'!$H:$H,"Monthly*")=0,"",SUMIFS('BSE - SENSEX Index Options'!$L:$L,'BSE - SENSEX Index Options'!$C:$C,$A199,'BSE - SENSEX Index Options'!$B:$B,G$147,'BSE - SENSEX Index Options'!$H:$H,"Monthly*")+SUMIFS('BSE - Other Index Options'!$L:$L,'BSE - Other Index Options'!$C:$C,$A199,'BSE - Other Index Options'!$B:$B,G$147,'BSE - Other Index Options'!$H:$H,"Monthly*"))</f>
        <v/>
      </c>
      <c r="H199" s="26" t="str">
        <f t="shared" si="7"/>
        <v/>
      </c>
    </row>
    <row r="200" spans="1:8">
      <c r="A200" t="s">
        <v>62</v>
      </c>
      <c r="B200" s="26" t="str">
        <f>IF(SUMIFS('BSE - SENSEX Index Options'!$L:$L,'BSE - SENSEX Index Options'!$C:$C,$A200,'BSE - SENSEX Index Options'!$B:$B,B$147,'BSE - SENSEX Index Options'!$H:$H,"Monthly*")+SUMIFS('BSE - Other Index Options'!$L:$L,'BSE - Other Index Options'!$C:$C,$A200,'BSE - Other Index Options'!$B:$B,B$147,'BSE - Other Index Options'!$H:$H,"Monthly*")=0,"",SUMIFS('BSE - SENSEX Index Options'!$L:$L,'BSE - SENSEX Index Options'!$C:$C,$A200,'BSE - SENSEX Index Options'!$B:$B,B$147,'BSE - SENSEX Index Options'!$H:$H,"Monthly*")+SUMIFS('BSE - Other Index Options'!$L:$L,'BSE - Other Index Options'!$C:$C,$A200,'BSE - Other Index Options'!$B:$B,B$147,'BSE - Other Index Options'!$H:$H,"Monthly*"))</f>
        <v/>
      </c>
      <c r="C200" s="26" t="str">
        <f>IF(SUMIFS('BSE - SENSEX Index Options'!$L:$L,'BSE - SENSEX Index Options'!$C:$C,$A200,'BSE - SENSEX Index Options'!$B:$B,C$147,'BSE - SENSEX Index Options'!$H:$H,"Monthly*")+SUMIFS('BSE - Other Index Options'!$L:$L,'BSE - Other Index Options'!$C:$C,$A200,'BSE - Other Index Options'!$B:$B,C$147,'BSE - Other Index Options'!$H:$H,"Monthly*")=0,"",SUMIFS('BSE - SENSEX Index Options'!$L:$L,'BSE - SENSEX Index Options'!$C:$C,$A200,'BSE - SENSEX Index Options'!$B:$B,C$147,'BSE - SENSEX Index Options'!$H:$H,"Monthly*")+SUMIFS('BSE - Other Index Options'!$L:$L,'BSE - Other Index Options'!$C:$C,$A200,'BSE - Other Index Options'!$B:$B,C$147,'BSE - Other Index Options'!$H:$H,"Monthly*"))</f>
        <v/>
      </c>
      <c r="D200" s="26" t="str">
        <f>IF(SUMIFS('BSE - SENSEX Index Options'!$L:$L,'BSE - SENSEX Index Options'!$C:$C,$A200,'BSE - SENSEX Index Options'!$B:$B,D$147,'BSE - SENSEX Index Options'!$H:$H,"Monthly*")+SUMIFS('BSE - Other Index Options'!$L:$L,'BSE - Other Index Options'!$C:$C,$A200,'BSE - Other Index Options'!$B:$B,D$147,'BSE - Other Index Options'!$H:$H,"Monthly*")=0,"",SUMIFS('BSE - SENSEX Index Options'!$L:$L,'BSE - SENSEX Index Options'!$C:$C,$A200,'BSE - SENSEX Index Options'!$B:$B,D$147,'BSE - SENSEX Index Options'!$H:$H,"Monthly*")+SUMIFS('BSE - Other Index Options'!$L:$L,'BSE - Other Index Options'!$C:$C,$A200,'BSE - Other Index Options'!$B:$B,D$147,'BSE - Other Index Options'!$H:$H,"Monthly*"))</f>
        <v/>
      </c>
      <c r="E200" s="26" t="str">
        <f>IF(SUMIFS('BSE - SENSEX Index Options'!$L:$L,'BSE - SENSEX Index Options'!$C:$C,$A200,'BSE - SENSEX Index Options'!$B:$B,E$147,'BSE - SENSEX Index Options'!$H:$H,"Monthly*")+SUMIFS('BSE - Other Index Options'!$L:$L,'BSE - Other Index Options'!$C:$C,$A200,'BSE - Other Index Options'!$B:$B,E$147,'BSE - Other Index Options'!$H:$H,"Monthly*")=0,"",SUMIFS('BSE - SENSEX Index Options'!$L:$L,'BSE - SENSEX Index Options'!$C:$C,$A200,'BSE - SENSEX Index Options'!$B:$B,E$147,'BSE - SENSEX Index Options'!$H:$H,"Monthly*")+SUMIFS('BSE - Other Index Options'!$L:$L,'BSE - Other Index Options'!$C:$C,$A200,'BSE - Other Index Options'!$B:$B,E$147,'BSE - Other Index Options'!$H:$H,"Monthly*"))</f>
        <v/>
      </c>
      <c r="F200" s="26" t="str">
        <f>IF(SUMIFS('BSE - SENSEX Index Options'!$L:$L,'BSE - SENSEX Index Options'!$C:$C,$A200,'BSE - SENSEX Index Options'!$B:$B,F$147,'BSE - SENSEX Index Options'!$H:$H,"Monthly*")+SUMIFS('BSE - Other Index Options'!$L:$L,'BSE - Other Index Options'!$C:$C,$A200,'BSE - Other Index Options'!$B:$B,F$147,'BSE - Other Index Options'!$H:$H,"Monthly*")=0,"",SUMIFS('BSE - SENSEX Index Options'!$L:$L,'BSE - SENSEX Index Options'!$C:$C,$A200,'BSE - SENSEX Index Options'!$B:$B,F$147,'BSE - SENSEX Index Options'!$H:$H,"Monthly*")+SUMIFS('BSE - Other Index Options'!$L:$L,'BSE - Other Index Options'!$C:$C,$A200,'BSE - Other Index Options'!$B:$B,F$147,'BSE - Other Index Options'!$H:$H,"Monthly*"))</f>
        <v/>
      </c>
      <c r="G200" s="26" t="str">
        <f>IF(SUMIFS('BSE - SENSEX Index Options'!$L:$L,'BSE - SENSEX Index Options'!$C:$C,$A200,'BSE - SENSEX Index Options'!$B:$B,G$147,'BSE - SENSEX Index Options'!$H:$H,"Monthly*")+SUMIFS('BSE - Other Index Options'!$L:$L,'BSE - Other Index Options'!$C:$C,$A200,'BSE - Other Index Options'!$B:$B,G$147,'BSE - Other Index Options'!$H:$H,"Monthly*")=0,"",SUMIFS('BSE - SENSEX Index Options'!$L:$L,'BSE - SENSEX Index Options'!$C:$C,$A200,'BSE - SENSEX Index Options'!$B:$B,G$147,'BSE - SENSEX Index Options'!$H:$H,"Monthly*")+SUMIFS('BSE - Other Index Options'!$L:$L,'BSE - Other Index Options'!$C:$C,$A200,'BSE - Other Index Options'!$B:$B,G$147,'BSE - Other Index Options'!$H:$H,"Monthly*"))</f>
        <v/>
      </c>
      <c r="H200" s="26" t="str">
        <f t="shared" si="7"/>
        <v/>
      </c>
    </row>
    <row r="201" spans="1:8">
      <c r="A201" t="s">
        <v>63</v>
      </c>
      <c r="B201" s="26" t="str">
        <f>IF(SUMIFS('BSE - SENSEX Index Options'!$L:$L,'BSE - SENSEX Index Options'!$C:$C,$A201,'BSE - SENSEX Index Options'!$B:$B,B$147,'BSE - SENSEX Index Options'!$H:$H,"Monthly*")+SUMIFS('BSE - Other Index Options'!$L:$L,'BSE - Other Index Options'!$C:$C,$A201,'BSE - Other Index Options'!$B:$B,B$147,'BSE - Other Index Options'!$H:$H,"Monthly*")=0,"",SUMIFS('BSE - SENSEX Index Options'!$L:$L,'BSE - SENSEX Index Options'!$C:$C,$A201,'BSE - SENSEX Index Options'!$B:$B,B$147,'BSE - SENSEX Index Options'!$H:$H,"Monthly*")+SUMIFS('BSE - Other Index Options'!$L:$L,'BSE - Other Index Options'!$C:$C,$A201,'BSE - Other Index Options'!$B:$B,B$147,'BSE - Other Index Options'!$H:$H,"Monthly*"))</f>
        <v/>
      </c>
      <c r="C201" s="26" t="str">
        <f>IF(SUMIFS('BSE - SENSEX Index Options'!$L:$L,'BSE - SENSEX Index Options'!$C:$C,$A201,'BSE - SENSEX Index Options'!$B:$B,C$147,'BSE - SENSEX Index Options'!$H:$H,"Monthly*")+SUMIFS('BSE - Other Index Options'!$L:$L,'BSE - Other Index Options'!$C:$C,$A201,'BSE - Other Index Options'!$B:$B,C$147,'BSE - Other Index Options'!$H:$H,"Monthly*")=0,"",SUMIFS('BSE - SENSEX Index Options'!$L:$L,'BSE - SENSEX Index Options'!$C:$C,$A201,'BSE - SENSEX Index Options'!$B:$B,C$147,'BSE - SENSEX Index Options'!$H:$H,"Monthly*")+SUMIFS('BSE - Other Index Options'!$L:$L,'BSE - Other Index Options'!$C:$C,$A201,'BSE - Other Index Options'!$B:$B,C$147,'BSE - Other Index Options'!$H:$H,"Monthly*"))</f>
        <v/>
      </c>
      <c r="D201" s="26" t="str">
        <f>IF(SUMIFS('BSE - SENSEX Index Options'!$L:$L,'BSE - SENSEX Index Options'!$C:$C,$A201,'BSE - SENSEX Index Options'!$B:$B,D$147,'BSE - SENSEX Index Options'!$H:$H,"Monthly*")+SUMIFS('BSE - Other Index Options'!$L:$L,'BSE - Other Index Options'!$C:$C,$A201,'BSE - Other Index Options'!$B:$B,D$147,'BSE - Other Index Options'!$H:$H,"Monthly*")=0,"",SUMIFS('BSE - SENSEX Index Options'!$L:$L,'BSE - SENSEX Index Options'!$C:$C,$A201,'BSE - SENSEX Index Options'!$B:$B,D$147,'BSE - SENSEX Index Options'!$H:$H,"Monthly*")+SUMIFS('BSE - Other Index Options'!$L:$L,'BSE - Other Index Options'!$C:$C,$A201,'BSE - Other Index Options'!$B:$B,D$147,'BSE - Other Index Options'!$H:$H,"Monthly*"))</f>
        <v/>
      </c>
      <c r="E201" s="26" t="str">
        <f>IF(SUMIFS('BSE - SENSEX Index Options'!$L:$L,'BSE - SENSEX Index Options'!$C:$C,$A201,'BSE - SENSEX Index Options'!$B:$B,E$147,'BSE - SENSEX Index Options'!$H:$H,"Monthly*")+SUMIFS('BSE - Other Index Options'!$L:$L,'BSE - Other Index Options'!$C:$C,$A201,'BSE - Other Index Options'!$B:$B,E$147,'BSE - Other Index Options'!$H:$H,"Monthly*")=0,"",SUMIFS('BSE - SENSEX Index Options'!$L:$L,'BSE - SENSEX Index Options'!$C:$C,$A201,'BSE - SENSEX Index Options'!$B:$B,E$147,'BSE - SENSEX Index Options'!$H:$H,"Monthly*")+SUMIFS('BSE - Other Index Options'!$L:$L,'BSE - Other Index Options'!$C:$C,$A201,'BSE - Other Index Options'!$B:$B,E$147,'BSE - Other Index Options'!$H:$H,"Monthly*"))</f>
        <v/>
      </c>
      <c r="F201" s="26" t="str">
        <f>IF(SUMIFS('BSE - SENSEX Index Options'!$L:$L,'BSE - SENSEX Index Options'!$C:$C,$A201,'BSE - SENSEX Index Options'!$B:$B,F$147,'BSE - SENSEX Index Options'!$H:$H,"Monthly*")+SUMIFS('BSE - Other Index Options'!$L:$L,'BSE - Other Index Options'!$C:$C,$A201,'BSE - Other Index Options'!$B:$B,F$147,'BSE - Other Index Options'!$H:$H,"Monthly*")=0,"",SUMIFS('BSE - SENSEX Index Options'!$L:$L,'BSE - SENSEX Index Options'!$C:$C,$A201,'BSE - SENSEX Index Options'!$B:$B,F$147,'BSE - SENSEX Index Options'!$H:$H,"Monthly*")+SUMIFS('BSE - Other Index Options'!$L:$L,'BSE - Other Index Options'!$C:$C,$A201,'BSE - Other Index Options'!$B:$B,F$147,'BSE - Other Index Options'!$H:$H,"Monthly*"))</f>
        <v/>
      </c>
      <c r="G201" s="26" t="str">
        <f>IF(SUMIFS('BSE - SENSEX Index Options'!$L:$L,'BSE - SENSEX Index Options'!$C:$C,$A201,'BSE - SENSEX Index Options'!$B:$B,G$147,'BSE - SENSEX Index Options'!$H:$H,"Monthly*")+SUMIFS('BSE - Other Index Options'!$L:$L,'BSE - Other Index Options'!$C:$C,$A201,'BSE - Other Index Options'!$B:$B,G$147,'BSE - Other Index Options'!$H:$H,"Monthly*")=0,"",SUMIFS('BSE - SENSEX Index Options'!$L:$L,'BSE - SENSEX Index Options'!$C:$C,$A201,'BSE - SENSEX Index Options'!$B:$B,G$147,'BSE - SENSEX Index Options'!$H:$H,"Monthly*")+SUMIFS('BSE - Other Index Options'!$L:$L,'BSE - Other Index Options'!$C:$C,$A201,'BSE - Other Index Options'!$B:$B,G$147,'BSE - Other Index Options'!$H:$H,"Monthly*"))</f>
        <v/>
      </c>
      <c r="H201" s="26" t="str">
        <f t="shared" si="7"/>
        <v/>
      </c>
    </row>
    <row r="202" spans="1:8" hidden="1" outlineLevel="1">
      <c r="A202" t="s">
        <v>64</v>
      </c>
      <c r="B202" s="26" t="str">
        <f>IF(SUMIFS('BSE - SENSEX Index Options'!$L:$L,'BSE - SENSEX Index Options'!$C:$C,$A202,'BSE - SENSEX Index Options'!$B:$B,B$147,'BSE - SENSEX Index Options'!$H:$H,"Monthly*")+SUMIFS('BSE - Other Index Options'!$L:$L,'BSE - Other Index Options'!$C:$C,$A202,'BSE - Other Index Options'!$B:$B,B$147,'BSE - Other Index Options'!$H:$H,"Monthly*")=0,"",SUMIFS('BSE - SENSEX Index Options'!$L:$L,'BSE - SENSEX Index Options'!$C:$C,$A202,'BSE - SENSEX Index Options'!$B:$B,B$147,'BSE - SENSEX Index Options'!$H:$H,"Monthly*")+SUMIFS('BSE - Other Index Options'!$L:$L,'BSE - Other Index Options'!$C:$C,$A202,'BSE - Other Index Options'!$B:$B,B$147,'BSE - Other Index Options'!$H:$H,"Monthly*"))</f>
        <v/>
      </c>
      <c r="C202" s="26" t="str">
        <f>IF(SUMIFS('BSE - SENSEX Index Options'!$L:$L,'BSE - SENSEX Index Options'!$C:$C,$A202,'BSE - SENSEX Index Options'!$B:$B,C$147,'BSE - SENSEX Index Options'!$H:$H,"Monthly*")+SUMIFS('BSE - Other Index Options'!$L:$L,'BSE - Other Index Options'!$C:$C,$A202,'BSE - Other Index Options'!$B:$B,C$147,'BSE - Other Index Options'!$H:$H,"Monthly*")=0,"",SUMIFS('BSE - SENSEX Index Options'!$L:$L,'BSE - SENSEX Index Options'!$C:$C,$A202,'BSE - SENSEX Index Options'!$B:$B,C$147,'BSE - SENSEX Index Options'!$H:$H,"Monthly*")+SUMIFS('BSE - Other Index Options'!$L:$L,'BSE - Other Index Options'!$C:$C,$A202,'BSE - Other Index Options'!$B:$B,C$147,'BSE - Other Index Options'!$H:$H,"Monthly*"))</f>
        <v/>
      </c>
      <c r="D202" s="26" t="str">
        <f>IF(SUMIFS('BSE - SENSEX Index Options'!$L:$L,'BSE - SENSEX Index Options'!$C:$C,$A202,'BSE - SENSEX Index Options'!$B:$B,D$147,'BSE - SENSEX Index Options'!$H:$H,"Monthly*")+SUMIFS('BSE - Other Index Options'!$L:$L,'BSE - Other Index Options'!$C:$C,$A202,'BSE - Other Index Options'!$B:$B,D$147,'BSE - Other Index Options'!$H:$H,"Monthly*")=0,"",SUMIFS('BSE - SENSEX Index Options'!$L:$L,'BSE - SENSEX Index Options'!$C:$C,$A202,'BSE - SENSEX Index Options'!$B:$B,D$147,'BSE - SENSEX Index Options'!$H:$H,"Monthly*")+SUMIFS('BSE - Other Index Options'!$L:$L,'BSE - Other Index Options'!$C:$C,$A202,'BSE - Other Index Options'!$B:$B,D$147,'BSE - Other Index Options'!$H:$H,"Monthly*"))</f>
        <v/>
      </c>
      <c r="E202" s="26" t="str">
        <f>IF(SUMIFS('BSE - SENSEX Index Options'!$L:$L,'BSE - SENSEX Index Options'!$C:$C,$A202,'BSE - SENSEX Index Options'!$B:$B,E$147,'BSE - SENSEX Index Options'!$H:$H,"Monthly*")+SUMIFS('BSE - Other Index Options'!$L:$L,'BSE - Other Index Options'!$C:$C,$A202,'BSE - Other Index Options'!$B:$B,E$147,'BSE - Other Index Options'!$H:$H,"Monthly*")=0,"",SUMIFS('BSE - SENSEX Index Options'!$L:$L,'BSE - SENSEX Index Options'!$C:$C,$A202,'BSE - SENSEX Index Options'!$B:$B,E$147,'BSE - SENSEX Index Options'!$H:$H,"Monthly*")+SUMIFS('BSE - Other Index Options'!$L:$L,'BSE - Other Index Options'!$C:$C,$A202,'BSE - Other Index Options'!$B:$B,E$147,'BSE - Other Index Options'!$H:$H,"Monthly*"))</f>
        <v/>
      </c>
      <c r="F202" s="26" t="str">
        <f>IF(SUMIFS('BSE - SENSEX Index Options'!$L:$L,'BSE - SENSEX Index Options'!$C:$C,$A202,'BSE - SENSEX Index Options'!$B:$B,F$147,'BSE - SENSEX Index Options'!$H:$H,"Monthly*")+SUMIFS('BSE - Other Index Options'!$L:$L,'BSE - Other Index Options'!$C:$C,$A202,'BSE - Other Index Options'!$B:$B,F$147,'BSE - Other Index Options'!$H:$H,"Monthly*")=0,"",SUMIFS('BSE - SENSEX Index Options'!$L:$L,'BSE - SENSEX Index Options'!$C:$C,$A202,'BSE - SENSEX Index Options'!$B:$B,F$147,'BSE - SENSEX Index Options'!$H:$H,"Monthly*")+SUMIFS('BSE - Other Index Options'!$L:$L,'BSE - Other Index Options'!$C:$C,$A202,'BSE - Other Index Options'!$B:$B,F$147,'BSE - Other Index Options'!$H:$H,"Monthly*"))</f>
        <v/>
      </c>
      <c r="G202" s="26" t="str">
        <f>IF(SUMIFS('BSE - SENSEX Index Options'!$L:$L,'BSE - SENSEX Index Options'!$C:$C,$A202,'BSE - SENSEX Index Options'!$B:$B,G$147,'BSE - SENSEX Index Options'!$H:$H,"Monthly*")+SUMIFS('BSE - Other Index Options'!$L:$L,'BSE - Other Index Options'!$C:$C,$A202,'BSE - Other Index Options'!$B:$B,G$147,'BSE - Other Index Options'!$H:$H,"Monthly*")=0,"",SUMIFS('BSE - SENSEX Index Options'!$L:$L,'BSE - SENSEX Index Options'!$C:$C,$A202,'BSE - SENSEX Index Options'!$B:$B,G$147,'BSE - SENSEX Index Options'!$H:$H,"Monthly*")+SUMIFS('BSE - Other Index Options'!$L:$L,'BSE - Other Index Options'!$C:$C,$A202,'BSE - Other Index Options'!$B:$B,G$147,'BSE - Other Index Options'!$H:$H,"Monthly*"))</f>
        <v/>
      </c>
      <c r="H202" s="26" t="str">
        <f t="shared" si="7"/>
        <v/>
      </c>
    </row>
    <row r="203" spans="1:8" hidden="1" outlineLevel="1">
      <c r="A203" t="s">
        <v>65</v>
      </c>
      <c r="B203" s="26" t="str">
        <f>IF(SUMIFS('BSE - SENSEX Index Options'!$L:$L,'BSE - SENSEX Index Options'!$C:$C,$A203,'BSE - SENSEX Index Options'!$B:$B,B$147,'BSE - SENSEX Index Options'!$H:$H,"Monthly*")+SUMIFS('BSE - Other Index Options'!$L:$L,'BSE - Other Index Options'!$C:$C,$A203,'BSE - Other Index Options'!$B:$B,B$147,'BSE - Other Index Options'!$H:$H,"Monthly*")=0,"",SUMIFS('BSE - SENSEX Index Options'!$L:$L,'BSE - SENSEX Index Options'!$C:$C,$A203,'BSE - SENSEX Index Options'!$B:$B,B$147,'BSE - SENSEX Index Options'!$H:$H,"Monthly*")+SUMIFS('BSE - Other Index Options'!$L:$L,'BSE - Other Index Options'!$C:$C,$A203,'BSE - Other Index Options'!$B:$B,B$147,'BSE - Other Index Options'!$H:$H,"Monthly*"))</f>
        <v/>
      </c>
      <c r="C203" s="26" t="str">
        <f>IF(SUMIFS('BSE - SENSEX Index Options'!$L:$L,'BSE - SENSEX Index Options'!$C:$C,$A203,'BSE - SENSEX Index Options'!$B:$B,C$147,'BSE - SENSEX Index Options'!$H:$H,"Monthly*")+SUMIFS('BSE - Other Index Options'!$L:$L,'BSE - Other Index Options'!$C:$C,$A203,'BSE - Other Index Options'!$B:$B,C$147,'BSE - Other Index Options'!$H:$H,"Monthly*")=0,"",SUMIFS('BSE - SENSEX Index Options'!$L:$L,'BSE - SENSEX Index Options'!$C:$C,$A203,'BSE - SENSEX Index Options'!$B:$B,C$147,'BSE - SENSEX Index Options'!$H:$H,"Monthly*")+SUMIFS('BSE - Other Index Options'!$L:$L,'BSE - Other Index Options'!$C:$C,$A203,'BSE - Other Index Options'!$B:$B,C$147,'BSE - Other Index Options'!$H:$H,"Monthly*"))</f>
        <v/>
      </c>
      <c r="D203" s="26" t="str">
        <f>IF(SUMIFS('BSE - SENSEX Index Options'!$L:$L,'BSE - SENSEX Index Options'!$C:$C,$A203,'BSE - SENSEX Index Options'!$B:$B,D$147,'BSE - SENSEX Index Options'!$H:$H,"Monthly*")+SUMIFS('BSE - Other Index Options'!$L:$L,'BSE - Other Index Options'!$C:$C,$A203,'BSE - Other Index Options'!$B:$B,D$147,'BSE - Other Index Options'!$H:$H,"Monthly*")=0,"",SUMIFS('BSE - SENSEX Index Options'!$L:$L,'BSE - SENSEX Index Options'!$C:$C,$A203,'BSE - SENSEX Index Options'!$B:$B,D$147,'BSE - SENSEX Index Options'!$H:$H,"Monthly*")+SUMIFS('BSE - Other Index Options'!$L:$L,'BSE - Other Index Options'!$C:$C,$A203,'BSE - Other Index Options'!$B:$B,D$147,'BSE - Other Index Options'!$H:$H,"Monthly*"))</f>
        <v/>
      </c>
      <c r="E203" s="26" t="str">
        <f>IF(SUMIFS('BSE - SENSEX Index Options'!$L:$L,'BSE - SENSEX Index Options'!$C:$C,$A203,'BSE - SENSEX Index Options'!$B:$B,E$147,'BSE - SENSEX Index Options'!$H:$H,"Monthly*")+SUMIFS('BSE - Other Index Options'!$L:$L,'BSE - Other Index Options'!$C:$C,$A203,'BSE - Other Index Options'!$B:$B,E$147,'BSE - Other Index Options'!$H:$H,"Monthly*")=0,"",SUMIFS('BSE - SENSEX Index Options'!$L:$L,'BSE - SENSEX Index Options'!$C:$C,$A203,'BSE - SENSEX Index Options'!$B:$B,E$147,'BSE - SENSEX Index Options'!$H:$H,"Monthly*")+SUMIFS('BSE - Other Index Options'!$L:$L,'BSE - Other Index Options'!$C:$C,$A203,'BSE - Other Index Options'!$B:$B,E$147,'BSE - Other Index Options'!$H:$H,"Monthly*"))</f>
        <v/>
      </c>
      <c r="F203" s="26" t="str">
        <f>IF(SUMIFS('BSE - SENSEX Index Options'!$L:$L,'BSE - SENSEX Index Options'!$C:$C,$A203,'BSE - SENSEX Index Options'!$B:$B,F$147,'BSE - SENSEX Index Options'!$H:$H,"Monthly*")+SUMIFS('BSE - Other Index Options'!$L:$L,'BSE - Other Index Options'!$C:$C,$A203,'BSE - Other Index Options'!$B:$B,F$147,'BSE - Other Index Options'!$H:$H,"Monthly*")=0,"",SUMIFS('BSE - SENSEX Index Options'!$L:$L,'BSE - SENSEX Index Options'!$C:$C,$A203,'BSE - SENSEX Index Options'!$B:$B,F$147,'BSE - SENSEX Index Options'!$H:$H,"Monthly*")+SUMIFS('BSE - Other Index Options'!$L:$L,'BSE - Other Index Options'!$C:$C,$A203,'BSE - Other Index Options'!$B:$B,F$147,'BSE - Other Index Options'!$H:$H,"Monthly*"))</f>
        <v/>
      </c>
      <c r="G203" s="26" t="str">
        <f>IF(SUMIFS('BSE - SENSEX Index Options'!$L:$L,'BSE - SENSEX Index Options'!$C:$C,$A203,'BSE - SENSEX Index Options'!$B:$B,G$147,'BSE - SENSEX Index Options'!$H:$H,"Monthly*")+SUMIFS('BSE - Other Index Options'!$L:$L,'BSE - Other Index Options'!$C:$C,$A203,'BSE - Other Index Options'!$B:$B,G$147,'BSE - Other Index Options'!$H:$H,"Monthly*")=0,"",SUMIFS('BSE - SENSEX Index Options'!$L:$L,'BSE - SENSEX Index Options'!$C:$C,$A203,'BSE - SENSEX Index Options'!$B:$B,G$147,'BSE - SENSEX Index Options'!$H:$H,"Monthly*")+SUMIFS('BSE - Other Index Options'!$L:$L,'BSE - Other Index Options'!$C:$C,$A203,'BSE - Other Index Options'!$B:$B,G$147,'BSE - Other Index Options'!$H:$H,"Monthly*"))</f>
        <v/>
      </c>
      <c r="H203" s="26" t="str">
        <f t="shared" si="7"/>
        <v/>
      </c>
    </row>
    <row r="204" spans="1:8" hidden="1" outlineLevel="1">
      <c r="A204" t="s">
        <v>66</v>
      </c>
      <c r="B204" s="26" t="str">
        <f>IF(SUMIFS('BSE - SENSEX Index Options'!$L:$L,'BSE - SENSEX Index Options'!$C:$C,$A204,'BSE - SENSEX Index Options'!$B:$B,B$147,'BSE - SENSEX Index Options'!$H:$H,"Monthly*")+SUMIFS('BSE - Other Index Options'!$L:$L,'BSE - Other Index Options'!$C:$C,$A204,'BSE - Other Index Options'!$B:$B,B$147,'BSE - Other Index Options'!$H:$H,"Monthly*")=0,"",SUMIFS('BSE - SENSEX Index Options'!$L:$L,'BSE - SENSEX Index Options'!$C:$C,$A204,'BSE - SENSEX Index Options'!$B:$B,B$147,'BSE - SENSEX Index Options'!$H:$H,"Monthly*")+SUMIFS('BSE - Other Index Options'!$L:$L,'BSE - Other Index Options'!$C:$C,$A204,'BSE - Other Index Options'!$B:$B,B$147,'BSE - Other Index Options'!$H:$H,"Monthly*"))</f>
        <v/>
      </c>
      <c r="C204" s="26" t="str">
        <f>IF(SUMIFS('BSE - SENSEX Index Options'!$L:$L,'BSE - SENSEX Index Options'!$C:$C,$A204,'BSE - SENSEX Index Options'!$B:$B,C$147,'BSE - SENSEX Index Options'!$H:$H,"Monthly*")+SUMIFS('BSE - Other Index Options'!$L:$L,'BSE - Other Index Options'!$C:$C,$A204,'BSE - Other Index Options'!$B:$B,C$147,'BSE - Other Index Options'!$H:$H,"Monthly*")=0,"",SUMIFS('BSE - SENSEX Index Options'!$L:$L,'BSE - SENSEX Index Options'!$C:$C,$A204,'BSE - SENSEX Index Options'!$B:$B,C$147,'BSE - SENSEX Index Options'!$H:$H,"Monthly*")+SUMIFS('BSE - Other Index Options'!$L:$L,'BSE - Other Index Options'!$C:$C,$A204,'BSE - Other Index Options'!$B:$B,C$147,'BSE - Other Index Options'!$H:$H,"Monthly*"))</f>
        <v/>
      </c>
      <c r="D204" s="26" t="str">
        <f>IF(SUMIFS('BSE - SENSEX Index Options'!$L:$L,'BSE - SENSEX Index Options'!$C:$C,$A204,'BSE - SENSEX Index Options'!$B:$B,D$147,'BSE - SENSEX Index Options'!$H:$H,"Monthly*")+SUMIFS('BSE - Other Index Options'!$L:$L,'BSE - Other Index Options'!$C:$C,$A204,'BSE - Other Index Options'!$B:$B,D$147,'BSE - Other Index Options'!$H:$H,"Monthly*")=0,"",SUMIFS('BSE - SENSEX Index Options'!$L:$L,'BSE - SENSEX Index Options'!$C:$C,$A204,'BSE - SENSEX Index Options'!$B:$B,D$147,'BSE - SENSEX Index Options'!$H:$H,"Monthly*")+SUMIFS('BSE - Other Index Options'!$L:$L,'BSE - Other Index Options'!$C:$C,$A204,'BSE - Other Index Options'!$B:$B,D$147,'BSE - Other Index Options'!$H:$H,"Monthly*"))</f>
        <v/>
      </c>
      <c r="E204" s="26" t="str">
        <f>IF(SUMIFS('BSE - SENSEX Index Options'!$L:$L,'BSE - SENSEX Index Options'!$C:$C,$A204,'BSE - SENSEX Index Options'!$B:$B,E$147,'BSE - SENSEX Index Options'!$H:$H,"Monthly*")+SUMIFS('BSE - Other Index Options'!$L:$L,'BSE - Other Index Options'!$C:$C,$A204,'BSE - Other Index Options'!$B:$B,E$147,'BSE - Other Index Options'!$H:$H,"Monthly*")=0,"",SUMIFS('BSE - SENSEX Index Options'!$L:$L,'BSE - SENSEX Index Options'!$C:$C,$A204,'BSE - SENSEX Index Options'!$B:$B,E$147,'BSE - SENSEX Index Options'!$H:$H,"Monthly*")+SUMIFS('BSE - Other Index Options'!$L:$L,'BSE - Other Index Options'!$C:$C,$A204,'BSE - Other Index Options'!$B:$B,E$147,'BSE - Other Index Options'!$H:$H,"Monthly*"))</f>
        <v/>
      </c>
      <c r="F204" s="26" t="str">
        <f>IF(SUMIFS('BSE - SENSEX Index Options'!$L:$L,'BSE - SENSEX Index Options'!$C:$C,$A204,'BSE - SENSEX Index Options'!$B:$B,F$147,'BSE - SENSEX Index Options'!$H:$H,"Monthly*")+SUMIFS('BSE - Other Index Options'!$L:$L,'BSE - Other Index Options'!$C:$C,$A204,'BSE - Other Index Options'!$B:$B,F$147,'BSE - Other Index Options'!$H:$H,"Monthly*")=0,"",SUMIFS('BSE - SENSEX Index Options'!$L:$L,'BSE - SENSEX Index Options'!$C:$C,$A204,'BSE - SENSEX Index Options'!$B:$B,F$147,'BSE - SENSEX Index Options'!$H:$H,"Monthly*")+SUMIFS('BSE - Other Index Options'!$L:$L,'BSE - Other Index Options'!$C:$C,$A204,'BSE - Other Index Options'!$B:$B,F$147,'BSE - Other Index Options'!$H:$H,"Monthly*"))</f>
        <v/>
      </c>
      <c r="G204" s="26" t="str">
        <f>IF(SUMIFS('BSE - SENSEX Index Options'!$L:$L,'BSE - SENSEX Index Options'!$C:$C,$A204,'BSE - SENSEX Index Options'!$B:$B,G$147,'BSE - SENSEX Index Options'!$H:$H,"Monthly*")+SUMIFS('BSE - Other Index Options'!$L:$L,'BSE - Other Index Options'!$C:$C,$A204,'BSE - Other Index Options'!$B:$B,G$147,'BSE - Other Index Options'!$H:$H,"Monthly*")=0,"",SUMIFS('BSE - SENSEX Index Options'!$L:$L,'BSE - SENSEX Index Options'!$C:$C,$A204,'BSE - SENSEX Index Options'!$B:$B,G$147,'BSE - SENSEX Index Options'!$H:$H,"Monthly*")+SUMIFS('BSE - Other Index Options'!$L:$L,'BSE - Other Index Options'!$C:$C,$A204,'BSE - Other Index Options'!$B:$B,G$147,'BSE - Other Index Options'!$H:$H,"Monthly*"))</f>
        <v/>
      </c>
      <c r="H204" s="26" t="str">
        <f t="shared" si="7"/>
        <v/>
      </c>
    </row>
    <row r="205" spans="1:8" hidden="1" outlineLevel="1">
      <c r="A205" t="s">
        <v>67</v>
      </c>
      <c r="B205" s="26" t="str">
        <f>IF(SUMIFS('BSE - SENSEX Index Options'!$L:$L,'BSE - SENSEX Index Options'!$C:$C,$A205,'BSE - SENSEX Index Options'!$B:$B,B$147,'BSE - SENSEX Index Options'!$H:$H,"Monthly*")+SUMIFS('BSE - Other Index Options'!$L:$L,'BSE - Other Index Options'!$C:$C,$A205,'BSE - Other Index Options'!$B:$B,B$147,'BSE - Other Index Options'!$H:$H,"Monthly*")=0,"",SUMIFS('BSE - SENSEX Index Options'!$L:$L,'BSE - SENSEX Index Options'!$C:$C,$A205,'BSE - SENSEX Index Options'!$B:$B,B$147,'BSE - SENSEX Index Options'!$H:$H,"Monthly*")+SUMIFS('BSE - Other Index Options'!$L:$L,'BSE - Other Index Options'!$C:$C,$A205,'BSE - Other Index Options'!$B:$B,B$147,'BSE - Other Index Options'!$H:$H,"Monthly*"))</f>
        <v/>
      </c>
      <c r="C205" s="26" t="str">
        <f>IF(SUMIFS('BSE - SENSEX Index Options'!$L:$L,'BSE - SENSEX Index Options'!$C:$C,$A205,'BSE - SENSEX Index Options'!$B:$B,C$147,'BSE - SENSEX Index Options'!$H:$H,"Monthly*")+SUMIFS('BSE - Other Index Options'!$L:$L,'BSE - Other Index Options'!$C:$C,$A205,'BSE - Other Index Options'!$B:$B,C$147,'BSE - Other Index Options'!$H:$H,"Monthly*")=0,"",SUMIFS('BSE - SENSEX Index Options'!$L:$L,'BSE - SENSEX Index Options'!$C:$C,$A205,'BSE - SENSEX Index Options'!$B:$B,C$147,'BSE - SENSEX Index Options'!$H:$H,"Monthly*")+SUMIFS('BSE - Other Index Options'!$L:$L,'BSE - Other Index Options'!$C:$C,$A205,'BSE - Other Index Options'!$B:$B,C$147,'BSE - Other Index Options'!$H:$H,"Monthly*"))</f>
        <v/>
      </c>
      <c r="D205" s="26" t="str">
        <f>IF(SUMIFS('BSE - SENSEX Index Options'!$L:$L,'BSE - SENSEX Index Options'!$C:$C,$A205,'BSE - SENSEX Index Options'!$B:$B,D$147,'BSE - SENSEX Index Options'!$H:$H,"Monthly*")+SUMIFS('BSE - Other Index Options'!$L:$L,'BSE - Other Index Options'!$C:$C,$A205,'BSE - Other Index Options'!$B:$B,D$147,'BSE - Other Index Options'!$H:$H,"Monthly*")=0,"",SUMIFS('BSE - SENSEX Index Options'!$L:$L,'BSE - SENSEX Index Options'!$C:$C,$A205,'BSE - SENSEX Index Options'!$B:$B,D$147,'BSE - SENSEX Index Options'!$H:$H,"Monthly*")+SUMIFS('BSE - Other Index Options'!$L:$L,'BSE - Other Index Options'!$C:$C,$A205,'BSE - Other Index Options'!$B:$B,D$147,'BSE - Other Index Options'!$H:$H,"Monthly*"))</f>
        <v/>
      </c>
      <c r="E205" s="26" t="str">
        <f>IF(SUMIFS('BSE - SENSEX Index Options'!$L:$L,'BSE - SENSEX Index Options'!$C:$C,$A205,'BSE - SENSEX Index Options'!$B:$B,E$147,'BSE - SENSEX Index Options'!$H:$H,"Monthly*")+SUMIFS('BSE - Other Index Options'!$L:$L,'BSE - Other Index Options'!$C:$C,$A205,'BSE - Other Index Options'!$B:$B,E$147,'BSE - Other Index Options'!$H:$H,"Monthly*")=0,"",SUMIFS('BSE - SENSEX Index Options'!$L:$L,'BSE - SENSEX Index Options'!$C:$C,$A205,'BSE - SENSEX Index Options'!$B:$B,E$147,'BSE - SENSEX Index Options'!$H:$H,"Monthly*")+SUMIFS('BSE - Other Index Options'!$L:$L,'BSE - Other Index Options'!$C:$C,$A205,'BSE - Other Index Options'!$B:$B,E$147,'BSE - Other Index Options'!$H:$H,"Monthly*"))</f>
        <v/>
      </c>
      <c r="F205" s="26" t="str">
        <f>IF(SUMIFS('BSE - SENSEX Index Options'!$L:$L,'BSE - SENSEX Index Options'!$C:$C,$A205,'BSE - SENSEX Index Options'!$B:$B,F$147,'BSE - SENSEX Index Options'!$H:$H,"Monthly*")+SUMIFS('BSE - Other Index Options'!$L:$L,'BSE - Other Index Options'!$C:$C,$A205,'BSE - Other Index Options'!$B:$B,F$147,'BSE - Other Index Options'!$H:$H,"Monthly*")=0,"",SUMIFS('BSE - SENSEX Index Options'!$L:$L,'BSE - SENSEX Index Options'!$C:$C,$A205,'BSE - SENSEX Index Options'!$B:$B,F$147,'BSE - SENSEX Index Options'!$H:$H,"Monthly*")+SUMIFS('BSE - Other Index Options'!$L:$L,'BSE - Other Index Options'!$C:$C,$A205,'BSE - Other Index Options'!$B:$B,F$147,'BSE - Other Index Options'!$H:$H,"Monthly*"))</f>
        <v/>
      </c>
      <c r="G205" s="26" t="str">
        <f>IF(SUMIFS('BSE - SENSEX Index Options'!$L:$L,'BSE - SENSEX Index Options'!$C:$C,$A205,'BSE - SENSEX Index Options'!$B:$B,G$147,'BSE - SENSEX Index Options'!$H:$H,"Monthly*")+SUMIFS('BSE - Other Index Options'!$L:$L,'BSE - Other Index Options'!$C:$C,$A205,'BSE - Other Index Options'!$B:$B,G$147,'BSE - Other Index Options'!$H:$H,"Monthly*")=0,"",SUMIFS('BSE - SENSEX Index Options'!$L:$L,'BSE - SENSEX Index Options'!$C:$C,$A205,'BSE - SENSEX Index Options'!$B:$B,G$147,'BSE - SENSEX Index Options'!$H:$H,"Monthly*")+SUMIFS('BSE - Other Index Options'!$L:$L,'BSE - Other Index Options'!$C:$C,$A205,'BSE - Other Index Options'!$B:$B,G$147,'BSE - Other Index Options'!$H:$H,"Monthly*"))</f>
        <v/>
      </c>
      <c r="H205" s="26" t="str">
        <f t="shared" si="7"/>
        <v/>
      </c>
    </row>
    <row r="206" spans="1:8" hidden="1" outlineLevel="1">
      <c r="A206" t="s">
        <v>68</v>
      </c>
      <c r="B206" s="26" t="str">
        <f>IF(SUMIFS('BSE - SENSEX Index Options'!$L:$L,'BSE - SENSEX Index Options'!$C:$C,$A206,'BSE - SENSEX Index Options'!$B:$B,B$147,'BSE - SENSEX Index Options'!$H:$H,"Monthly*")+SUMIFS('BSE - Other Index Options'!$L:$L,'BSE - Other Index Options'!$C:$C,$A206,'BSE - Other Index Options'!$B:$B,B$147,'BSE - Other Index Options'!$H:$H,"Monthly*")=0,"",SUMIFS('BSE - SENSEX Index Options'!$L:$L,'BSE - SENSEX Index Options'!$C:$C,$A206,'BSE - SENSEX Index Options'!$B:$B,B$147,'BSE - SENSEX Index Options'!$H:$H,"Monthly*")+SUMIFS('BSE - Other Index Options'!$L:$L,'BSE - Other Index Options'!$C:$C,$A206,'BSE - Other Index Options'!$B:$B,B$147,'BSE - Other Index Options'!$H:$H,"Monthly*"))</f>
        <v/>
      </c>
      <c r="C206" s="26" t="str">
        <f>IF(SUMIFS('BSE - SENSEX Index Options'!$L:$L,'BSE - SENSEX Index Options'!$C:$C,$A206,'BSE - SENSEX Index Options'!$B:$B,C$147,'BSE - SENSEX Index Options'!$H:$H,"Monthly*")+SUMIFS('BSE - Other Index Options'!$L:$L,'BSE - Other Index Options'!$C:$C,$A206,'BSE - Other Index Options'!$B:$B,C$147,'BSE - Other Index Options'!$H:$H,"Monthly*")=0,"",SUMIFS('BSE - SENSEX Index Options'!$L:$L,'BSE - SENSEX Index Options'!$C:$C,$A206,'BSE - SENSEX Index Options'!$B:$B,C$147,'BSE - SENSEX Index Options'!$H:$H,"Monthly*")+SUMIFS('BSE - Other Index Options'!$L:$L,'BSE - Other Index Options'!$C:$C,$A206,'BSE - Other Index Options'!$B:$B,C$147,'BSE - Other Index Options'!$H:$H,"Monthly*"))</f>
        <v/>
      </c>
      <c r="D206" s="26" t="str">
        <f>IF(SUMIFS('BSE - SENSEX Index Options'!$L:$L,'BSE - SENSEX Index Options'!$C:$C,$A206,'BSE - SENSEX Index Options'!$B:$B,D$147,'BSE - SENSEX Index Options'!$H:$H,"Monthly*")+SUMIFS('BSE - Other Index Options'!$L:$L,'BSE - Other Index Options'!$C:$C,$A206,'BSE - Other Index Options'!$B:$B,D$147,'BSE - Other Index Options'!$H:$H,"Monthly*")=0,"",SUMIFS('BSE - SENSEX Index Options'!$L:$L,'BSE - SENSEX Index Options'!$C:$C,$A206,'BSE - SENSEX Index Options'!$B:$B,D$147,'BSE - SENSEX Index Options'!$H:$H,"Monthly*")+SUMIFS('BSE - Other Index Options'!$L:$L,'BSE - Other Index Options'!$C:$C,$A206,'BSE - Other Index Options'!$B:$B,D$147,'BSE - Other Index Options'!$H:$H,"Monthly*"))</f>
        <v/>
      </c>
      <c r="E206" s="26" t="str">
        <f>IF(SUMIFS('BSE - SENSEX Index Options'!$L:$L,'BSE - SENSEX Index Options'!$C:$C,$A206,'BSE - SENSEX Index Options'!$B:$B,E$147,'BSE - SENSEX Index Options'!$H:$H,"Monthly*")+SUMIFS('BSE - Other Index Options'!$L:$L,'BSE - Other Index Options'!$C:$C,$A206,'BSE - Other Index Options'!$B:$B,E$147,'BSE - Other Index Options'!$H:$H,"Monthly*")=0,"",SUMIFS('BSE - SENSEX Index Options'!$L:$L,'BSE - SENSEX Index Options'!$C:$C,$A206,'BSE - SENSEX Index Options'!$B:$B,E$147,'BSE - SENSEX Index Options'!$H:$H,"Monthly*")+SUMIFS('BSE - Other Index Options'!$L:$L,'BSE - Other Index Options'!$C:$C,$A206,'BSE - Other Index Options'!$B:$B,E$147,'BSE - Other Index Options'!$H:$H,"Monthly*"))</f>
        <v/>
      </c>
      <c r="F206" s="26" t="str">
        <f>IF(SUMIFS('BSE - SENSEX Index Options'!$L:$L,'BSE - SENSEX Index Options'!$C:$C,$A206,'BSE - SENSEX Index Options'!$B:$B,F$147,'BSE - SENSEX Index Options'!$H:$H,"Monthly*")+SUMIFS('BSE - Other Index Options'!$L:$L,'BSE - Other Index Options'!$C:$C,$A206,'BSE - Other Index Options'!$B:$B,F$147,'BSE - Other Index Options'!$H:$H,"Monthly*")=0,"",SUMIFS('BSE - SENSEX Index Options'!$L:$L,'BSE - SENSEX Index Options'!$C:$C,$A206,'BSE - SENSEX Index Options'!$B:$B,F$147,'BSE - SENSEX Index Options'!$H:$H,"Monthly*")+SUMIFS('BSE - Other Index Options'!$L:$L,'BSE - Other Index Options'!$C:$C,$A206,'BSE - Other Index Options'!$B:$B,F$147,'BSE - Other Index Options'!$H:$H,"Monthly*"))</f>
        <v/>
      </c>
      <c r="G206" s="26" t="str">
        <f>IF(SUMIFS('BSE - SENSEX Index Options'!$L:$L,'BSE - SENSEX Index Options'!$C:$C,$A206,'BSE - SENSEX Index Options'!$B:$B,G$147,'BSE - SENSEX Index Options'!$H:$H,"Monthly*")+SUMIFS('BSE - Other Index Options'!$L:$L,'BSE - Other Index Options'!$C:$C,$A206,'BSE - Other Index Options'!$B:$B,G$147,'BSE - Other Index Options'!$H:$H,"Monthly*")=0,"",SUMIFS('BSE - SENSEX Index Options'!$L:$L,'BSE - SENSEX Index Options'!$C:$C,$A206,'BSE - SENSEX Index Options'!$B:$B,G$147,'BSE - SENSEX Index Options'!$H:$H,"Monthly*")+SUMIFS('BSE - Other Index Options'!$L:$L,'BSE - Other Index Options'!$C:$C,$A206,'BSE - Other Index Options'!$B:$B,G$147,'BSE - Other Index Options'!$H:$H,"Monthly*"))</f>
        <v/>
      </c>
      <c r="H206" s="26" t="str">
        <f t="shared" si="7"/>
        <v/>
      </c>
    </row>
    <row r="207" spans="1:8" hidden="1" outlineLevel="1">
      <c r="A207" t="s">
        <v>69</v>
      </c>
      <c r="B207" s="26" t="str">
        <f>IF(SUMIFS('BSE - SENSEX Index Options'!$L:$L,'BSE - SENSEX Index Options'!$C:$C,$A207,'BSE - SENSEX Index Options'!$B:$B,B$147,'BSE - SENSEX Index Options'!$H:$H,"Monthly*")+SUMIFS('BSE - Other Index Options'!$L:$L,'BSE - Other Index Options'!$C:$C,$A207,'BSE - Other Index Options'!$B:$B,B$147,'BSE - Other Index Options'!$H:$H,"Monthly*")=0,"",SUMIFS('BSE - SENSEX Index Options'!$L:$L,'BSE - SENSEX Index Options'!$C:$C,$A207,'BSE - SENSEX Index Options'!$B:$B,B$147,'BSE - SENSEX Index Options'!$H:$H,"Monthly*")+SUMIFS('BSE - Other Index Options'!$L:$L,'BSE - Other Index Options'!$C:$C,$A207,'BSE - Other Index Options'!$B:$B,B$147,'BSE - Other Index Options'!$H:$H,"Monthly*"))</f>
        <v/>
      </c>
      <c r="C207" s="26" t="str">
        <f>IF(SUMIFS('BSE - SENSEX Index Options'!$L:$L,'BSE - SENSEX Index Options'!$C:$C,$A207,'BSE - SENSEX Index Options'!$B:$B,C$147,'BSE - SENSEX Index Options'!$H:$H,"Monthly*")+SUMIFS('BSE - Other Index Options'!$L:$L,'BSE - Other Index Options'!$C:$C,$A207,'BSE - Other Index Options'!$B:$B,C$147,'BSE - Other Index Options'!$H:$H,"Monthly*")=0,"",SUMIFS('BSE - SENSEX Index Options'!$L:$L,'BSE - SENSEX Index Options'!$C:$C,$A207,'BSE - SENSEX Index Options'!$B:$B,C$147,'BSE - SENSEX Index Options'!$H:$H,"Monthly*")+SUMIFS('BSE - Other Index Options'!$L:$L,'BSE - Other Index Options'!$C:$C,$A207,'BSE - Other Index Options'!$B:$B,C$147,'BSE - Other Index Options'!$H:$H,"Monthly*"))</f>
        <v/>
      </c>
      <c r="D207" s="26" t="str">
        <f>IF(SUMIFS('BSE - SENSEX Index Options'!$L:$L,'BSE - SENSEX Index Options'!$C:$C,$A207,'BSE - SENSEX Index Options'!$B:$B,D$147,'BSE - SENSEX Index Options'!$H:$H,"Monthly*")+SUMIFS('BSE - Other Index Options'!$L:$L,'BSE - Other Index Options'!$C:$C,$A207,'BSE - Other Index Options'!$B:$B,D$147,'BSE - Other Index Options'!$H:$H,"Monthly*")=0,"",SUMIFS('BSE - SENSEX Index Options'!$L:$L,'BSE - SENSEX Index Options'!$C:$C,$A207,'BSE - SENSEX Index Options'!$B:$B,D$147,'BSE - SENSEX Index Options'!$H:$H,"Monthly*")+SUMIFS('BSE - Other Index Options'!$L:$L,'BSE - Other Index Options'!$C:$C,$A207,'BSE - Other Index Options'!$B:$B,D$147,'BSE - Other Index Options'!$H:$H,"Monthly*"))</f>
        <v/>
      </c>
      <c r="E207" s="26" t="str">
        <f>IF(SUMIFS('BSE - SENSEX Index Options'!$L:$L,'BSE - SENSEX Index Options'!$C:$C,$A207,'BSE - SENSEX Index Options'!$B:$B,E$147,'BSE - SENSEX Index Options'!$H:$H,"Monthly*")+SUMIFS('BSE - Other Index Options'!$L:$L,'BSE - Other Index Options'!$C:$C,$A207,'BSE - Other Index Options'!$B:$B,E$147,'BSE - Other Index Options'!$H:$H,"Monthly*")=0,"",SUMIFS('BSE - SENSEX Index Options'!$L:$L,'BSE - SENSEX Index Options'!$C:$C,$A207,'BSE - SENSEX Index Options'!$B:$B,E$147,'BSE - SENSEX Index Options'!$H:$H,"Monthly*")+SUMIFS('BSE - Other Index Options'!$L:$L,'BSE - Other Index Options'!$C:$C,$A207,'BSE - Other Index Options'!$B:$B,E$147,'BSE - Other Index Options'!$H:$H,"Monthly*"))</f>
        <v/>
      </c>
      <c r="F207" s="26" t="str">
        <f>IF(SUMIFS('BSE - SENSEX Index Options'!$L:$L,'BSE - SENSEX Index Options'!$C:$C,$A207,'BSE - SENSEX Index Options'!$B:$B,F$147,'BSE - SENSEX Index Options'!$H:$H,"Monthly*")+SUMIFS('BSE - Other Index Options'!$L:$L,'BSE - Other Index Options'!$C:$C,$A207,'BSE - Other Index Options'!$B:$B,F$147,'BSE - Other Index Options'!$H:$H,"Monthly*")=0,"",SUMIFS('BSE - SENSEX Index Options'!$L:$L,'BSE - SENSEX Index Options'!$C:$C,$A207,'BSE - SENSEX Index Options'!$B:$B,F$147,'BSE - SENSEX Index Options'!$H:$H,"Monthly*")+SUMIFS('BSE - Other Index Options'!$L:$L,'BSE - Other Index Options'!$C:$C,$A207,'BSE - Other Index Options'!$B:$B,F$147,'BSE - Other Index Options'!$H:$H,"Monthly*"))</f>
        <v/>
      </c>
      <c r="G207" s="26" t="str">
        <f>IF(SUMIFS('BSE - SENSEX Index Options'!$L:$L,'BSE - SENSEX Index Options'!$C:$C,$A207,'BSE - SENSEX Index Options'!$B:$B,G$147,'BSE - SENSEX Index Options'!$H:$H,"Monthly*")+SUMIFS('BSE - Other Index Options'!$L:$L,'BSE - Other Index Options'!$C:$C,$A207,'BSE - Other Index Options'!$B:$B,G$147,'BSE - Other Index Options'!$H:$H,"Monthly*")=0,"",SUMIFS('BSE - SENSEX Index Options'!$L:$L,'BSE - SENSEX Index Options'!$C:$C,$A207,'BSE - SENSEX Index Options'!$B:$B,G$147,'BSE - SENSEX Index Options'!$H:$H,"Monthly*")+SUMIFS('BSE - Other Index Options'!$L:$L,'BSE - Other Index Options'!$C:$C,$A207,'BSE - Other Index Options'!$B:$B,G$147,'BSE - Other Index Options'!$H:$H,"Monthly*"))</f>
        <v/>
      </c>
      <c r="H207" s="26" t="str">
        <f t="shared" si="7"/>
        <v/>
      </c>
    </row>
    <row r="208" spans="1:8" hidden="1" outlineLevel="1">
      <c r="A208" t="s">
        <v>70</v>
      </c>
      <c r="B208" s="26" t="str">
        <f>IF(SUMIFS('BSE - SENSEX Index Options'!$L:$L,'BSE - SENSEX Index Options'!$C:$C,$A208,'BSE - SENSEX Index Options'!$B:$B,B$147,'BSE - SENSEX Index Options'!$H:$H,"Monthly*")+SUMIFS('BSE - Other Index Options'!$L:$L,'BSE - Other Index Options'!$C:$C,$A208,'BSE - Other Index Options'!$B:$B,B$147,'BSE - Other Index Options'!$H:$H,"Monthly*")=0,"",SUMIFS('BSE - SENSEX Index Options'!$L:$L,'BSE - SENSEX Index Options'!$C:$C,$A208,'BSE - SENSEX Index Options'!$B:$B,B$147,'BSE - SENSEX Index Options'!$H:$H,"Monthly*")+SUMIFS('BSE - Other Index Options'!$L:$L,'BSE - Other Index Options'!$C:$C,$A208,'BSE - Other Index Options'!$B:$B,B$147,'BSE - Other Index Options'!$H:$H,"Monthly*"))</f>
        <v/>
      </c>
      <c r="C208" s="26" t="str">
        <f>IF(SUMIFS('BSE - SENSEX Index Options'!$L:$L,'BSE - SENSEX Index Options'!$C:$C,$A208,'BSE - SENSEX Index Options'!$B:$B,C$147,'BSE - SENSEX Index Options'!$H:$H,"Monthly*")+SUMIFS('BSE - Other Index Options'!$L:$L,'BSE - Other Index Options'!$C:$C,$A208,'BSE - Other Index Options'!$B:$B,C$147,'BSE - Other Index Options'!$H:$H,"Monthly*")=0,"",SUMIFS('BSE - SENSEX Index Options'!$L:$L,'BSE - SENSEX Index Options'!$C:$C,$A208,'BSE - SENSEX Index Options'!$B:$B,C$147,'BSE - SENSEX Index Options'!$H:$H,"Monthly*")+SUMIFS('BSE - Other Index Options'!$L:$L,'BSE - Other Index Options'!$C:$C,$A208,'BSE - Other Index Options'!$B:$B,C$147,'BSE - Other Index Options'!$H:$H,"Monthly*"))</f>
        <v/>
      </c>
      <c r="D208" s="26" t="str">
        <f>IF(SUMIFS('BSE - SENSEX Index Options'!$L:$L,'BSE - SENSEX Index Options'!$C:$C,$A208,'BSE - SENSEX Index Options'!$B:$B,D$147,'BSE - SENSEX Index Options'!$H:$H,"Monthly*")+SUMIFS('BSE - Other Index Options'!$L:$L,'BSE - Other Index Options'!$C:$C,$A208,'BSE - Other Index Options'!$B:$B,D$147,'BSE - Other Index Options'!$H:$H,"Monthly*")=0,"",SUMIFS('BSE - SENSEX Index Options'!$L:$L,'BSE - SENSEX Index Options'!$C:$C,$A208,'BSE - SENSEX Index Options'!$B:$B,D$147,'BSE - SENSEX Index Options'!$H:$H,"Monthly*")+SUMIFS('BSE - Other Index Options'!$L:$L,'BSE - Other Index Options'!$C:$C,$A208,'BSE - Other Index Options'!$B:$B,D$147,'BSE - Other Index Options'!$H:$H,"Monthly*"))</f>
        <v/>
      </c>
      <c r="E208" s="26" t="str">
        <f>IF(SUMIFS('BSE - SENSEX Index Options'!$L:$L,'BSE - SENSEX Index Options'!$C:$C,$A208,'BSE - SENSEX Index Options'!$B:$B,E$147,'BSE - SENSEX Index Options'!$H:$H,"Monthly*")+SUMIFS('BSE - Other Index Options'!$L:$L,'BSE - Other Index Options'!$C:$C,$A208,'BSE - Other Index Options'!$B:$B,E$147,'BSE - Other Index Options'!$H:$H,"Monthly*")=0,"",SUMIFS('BSE - SENSEX Index Options'!$L:$L,'BSE - SENSEX Index Options'!$C:$C,$A208,'BSE - SENSEX Index Options'!$B:$B,E$147,'BSE - SENSEX Index Options'!$H:$H,"Monthly*")+SUMIFS('BSE - Other Index Options'!$L:$L,'BSE - Other Index Options'!$C:$C,$A208,'BSE - Other Index Options'!$B:$B,E$147,'BSE - Other Index Options'!$H:$H,"Monthly*"))</f>
        <v/>
      </c>
      <c r="F208" s="26" t="str">
        <f>IF(SUMIFS('BSE - SENSEX Index Options'!$L:$L,'BSE - SENSEX Index Options'!$C:$C,$A208,'BSE - SENSEX Index Options'!$B:$B,F$147,'BSE - SENSEX Index Options'!$H:$H,"Monthly*")+SUMIFS('BSE - Other Index Options'!$L:$L,'BSE - Other Index Options'!$C:$C,$A208,'BSE - Other Index Options'!$B:$B,F$147,'BSE - Other Index Options'!$H:$H,"Monthly*")=0,"",SUMIFS('BSE - SENSEX Index Options'!$L:$L,'BSE - SENSEX Index Options'!$C:$C,$A208,'BSE - SENSEX Index Options'!$B:$B,F$147,'BSE - SENSEX Index Options'!$H:$H,"Monthly*")+SUMIFS('BSE - Other Index Options'!$L:$L,'BSE - Other Index Options'!$C:$C,$A208,'BSE - Other Index Options'!$B:$B,F$147,'BSE - Other Index Options'!$H:$H,"Monthly*"))</f>
        <v/>
      </c>
      <c r="G208" s="26" t="str">
        <f>IF(SUMIFS('BSE - SENSEX Index Options'!$L:$L,'BSE - SENSEX Index Options'!$C:$C,$A208,'BSE - SENSEX Index Options'!$B:$B,G$147,'BSE - SENSEX Index Options'!$H:$H,"Monthly*")+SUMIFS('BSE - Other Index Options'!$L:$L,'BSE - Other Index Options'!$C:$C,$A208,'BSE - Other Index Options'!$B:$B,G$147,'BSE - Other Index Options'!$H:$H,"Monthly*")=0,"",SUMIFS('BSE - SENSEX Index Options'!$L:$L,'BSE - SENSEX Index Options'!$C:$C,$A208,'BSE - SENSEX Index Options'!$B:$B,G$147,'BSE - SENSEX Index Options'!$H:$H,"Monthly*")+SUMIFS('BSE - Other Index Options'!$L:$L,'BSE - Other Index Options'!$C:$C,$A208,'BSE - Other Index Options'!$B:$B,G$147,'BSE - Other Index Options'!$H:$H,"Monthly*"))</f>
        <v/>
      </c>
      <c r="H208" s="26" t="str">
        <f t="shared" si="7"/>
        <v/>
      </c>
    </row>
    <row r="209" spans="1:8" hidden="1" outlineLevel="1">
      <c r="A209" t="s">
        <v>71</v>
      </c>
      <c r="B209" s="26" t="str">
        <f>IF(SUMIFS('BSE - SENSEX Index Options'!$L:$L,'BSE - SENSEX Index Options'!$C:$C,$A209,'BSE - SENSEX Index Options'!$B:$B,B$147,'BSE - SENSEX Index Options'!$H:$H,"Monthly*")+SUMIFS('BSE - Other Index Options'!$L:$L,'BSE - Other Index Options'!$C:$C,$A209,'BSE - Other Index Options'!$B:$B,B$147,'BSE - Other Index Options'!$H:$H,"Monthly*")=0,"",SUMIFS('BSE - SENSEX Index Options'!$L:$L,'BSE - SENSEX Index Options'!$C:$C,$A209,'BSE - SENSEX Index Options'!$B:$B,B$147,'BSE - SENSEX Index Options'!$H:$H,"Monthly*")+SUMIFS('BSE - Other Index Options'!$L:$L,'BSE - Other Index Options'!$C:$C,$A209,'BSE - Other Index Options'!$B:$B,B$147,'BSE - Other Index Options'!$H:$H,"Monthly*"))</f>
        <v/>
      </c>
      <c r="C209" s="26" t="str">
        <f>IF(SUMIFS('BSE - SENSEX Index Options'!$L:$L,'BSE - SENSEX Index Options'!$C:$C,$A209,'BSE - SENSEX Index Options'!$B:$B,C$147,'BSE - SENSEX Index Options'!$H:$H,"Monthly*")+SUMIFS('BSE - Other Index Options'!$L:$L,'BSE - Other Index Options'!$C:$C,$A209,'BSE - Other Index Options'!$B:$B,C$147,'BSE - Other Index Options'!$H:$H,"Monthly*")=0,"",SUMIFS('BSE - SENSEX Index Options'!$L:$L,'BSE - SENSEX Index Options'!$C:$C,$A209,'BSE - SENSEX Index Options'!$B:$B,C$147,'BSE - SENSEX Index Options'!$H:$H,"Monthly*")+SUMIFS('BSE - Other Index Options'!$L:$L,'BSE - Other Index Options'!$C:$C,$A209,'BSE - Other Index Options'!$B:$B,C$147,'BSE - Other Index Options'!$H:$H,"Monthly*"))</f>
        <v/>
      </c>
      <c r="D209" s="26" t="str">
        <f>IF(SUMIFS('BSE - SENSEX Index Options'!$L:$L,'BSE - SENSEX Index Options'!$C:$C,$A209,'BSE - SENSEX Index Options'!$B:$B,D$147,'BSE - SENSEX Index Options'!$H:$H,"Monthly*")+SUMIFS('BSE - Other Index Options'!$L:$L,'BSE - Other Index Options'!$C:$C,$A209,'BSE - Other Index Options'!$B:$B,D$147,'BSE - Other Index Options'!$H:$H,"Monthly*")=0,"",SUMIFS('BSE - SENSEX Index Options'!$L:$L,'BSE - SENSEX Index Options'!$C:$C,$A209,'BSE - SENSEX Index Options'!$B:$B,D$147,'BSE - SENSEX Index Options'!$H:$H,"Monthly*")+SUMIFS('BSE - Other Index Options'!$L:$L,'BSE - Other Index Options'!$C:$C,$A209,'BSE - Other Index Options'!$B:$B,D$147,'BSE - Other Index Options'!$H:$H,"Monthly*"))</f>
        <v/>
      </c>
      <c r="E209" s="26" t="str">
        <f>IF(SUMIFS('BSE - SENSEX Index Options'!$L:$L,'BSE - SENSEX Index Options'!$C:$C,$A209,'BSE - SENSEX Index Options'!$B:$B,E$147,'BSE - SENSEX Index Options'!$H:$H,"Monthly*")+SUMIFS('BSE - Other Index Options'!$L:$L,'BSE - Other Index Options'!$C:$C,$A209,'BSE - Other Index Options'!$B:$B,E$147,'BSE - Other Index Options'!$H:$H,"Monthly*")=0,"",SUMIFS('BSE - SENSEX Index Options'!$L:$L,'BSE - SENSEX Index Options'!$C:$C,$A209,'BSE - SENSEX Index Options'!$B:$B,E$147,'BSE - SENSEX Index Options'!$H:$H,"Monthly*")+SUMIFS('BSE - Other Index Options'!$L:$L,'BSE - Other Index Options'!$C:$C,$A209,'BSE - Other Index Options'!$B:$B,E$147,'BSE - Other Index Options'!$H:$H,"Monthly*"))</f>
        <v/>
      </c>
      <c r="F209" s="26" t="str">
        <f>IF(SUMIFS('BSE - SENSEX Index Options'!$L:$L,'BSE - SENSEX Index Options'!$C:$C,$A209,'BSE - SENSEX Index Options'!$B:$B,F$147,'BSE - SENSEX Index Options'!$H:$H,"Monthly*")+SUMIFS('BSE - Other Index Options'!$L:$L,'BSE - Other Index Options'!$C:$C,$A209,'BSE - Other Index Options'!$B:$B,F$147,'BSE - Other Index Options'!$H:$H,"Monthly*")=0,"",SUMIFS('BSE - SENSEX Index Options'!$L:$L,'BSE - SENSEX Index Options'!$C:$C,$A209,'BSE - SENSEX Index Options'!$B:$B,F$147,'BSE - SENSEX Index Options'!$H:$H,"Monthly*")+SUMIFS('BSE - Other Index Options'!$L:$L,'BSE - Other Index Options'!$C:$C,$A209,'BSE - Other Index Options'!$B:$B,F$147,'BSE - Other Index Options'!$H:$H,"Monthly*"))</f>
        <v/>
      </c>
      <c r="G209" s="26" t="str">
        <f>IF(SUMIFS('BSE - SENSEX Index Options'!$L:$L,'BSE - SENSEX Index Options'!$C:$C,$A209,'BSE - SENSEX Index Options'!$B:$B,G$147,'BSE - SENSEX Index Options'!$H:$H,"Monthly*")+SUMIFS('BSE - Other Index Options'!$L:$L,'BSE - Other Index Options'!$C:$C,$A209,'BSE - Other Index Options'!$B:$B,G$147,'BSE - Other Index Options'!$H:$H,"Monthly*")=0,"",SUMIFS('BSE - SENSEX Index Options'!$L:$L,'BSE - SENSEX Index Options'!$C:$C,$A209,'BSE - SENSEX Index Options'!$B:$B,G$147,'BSE - SENSEX Index Options'!$H:$H,"Monthly*")+SUMIFS('BSE - Other Index Options'!$L:$L,'BSE - Other Index Options'!$C:$C,$A209,'BSE - Other Index Options'!$B:$B,G$147,'BSE - Other Index Options'!$H:$H,"Monthly*"))</f>
        <v/>
      </c>
      <c r="H209" s="26" t="str">
        <f t="shared" si="7"/>
        <v/>
      </c>
    </row>
    <row r="210" spans="1:8" hidden="1" outlineLevel="1">
      <c r="A210" t="s">
        <v>72</v>
      </c>
      <c r="B210" s="26" t="str">
        <f>IF(SUMIFS('BSE - SENSEX Index Options'!$L:$L,'BSE - SENSEX Index Options'!$C:$C,$A210,'BSE - SENSEX Index Options'!$B:$B,B$147,'BSE - SENSEX Index Options'!$H:$H,"Monthly*")+SUMIFS('BSE - Other Index Options'!$L:$L,'BSE - Other Index Options'!$C:$C,$A210,'BSE - Other Index Options'!$B:$B,B$147,'BSE - Other Index Options'!$H:$H,"Monthly*")=0,"",SUMIFS('BSE - SENSEX Index Options'!$L:$L,'BSE - SENSEX Index Options'!$C:$C,$A210,'BSE - SENSEX Index Options'!$B:$B,B$147,'BSE - SENSEX Index Options'!$H:$H,"Monthly*")+SUMIFS('BSE - Other Index Options'!$L:$L,'BSE - Other Index Options'!$C:$C,$A210,'BSE - Other Index Options'!$B:$B,B$147,'BSE - Other Index Options'!$H:$H,"Monthly*"))</f>
        <v/>
      </c>
      <c r="C210" s="26" t="str">
        <f>IF(SUMIFS('BSE - SENSEX Index Options'!$L:$L,'BSE - SENSEX Index Options'!$C:$C,$A210,'BSE - SENSEX Index Options'!$B:$B,C$147,'BSE - SENSEX Index Options'!$H:$H,"Monthly*")+SUMIFS('BSE - Other Index Options'!$L:$L,'BSE - Other Index Options'!$C:$C,$A210,'BSE - Other Index Options'!$B:$B,C$147,'BSE - Other Index Options'!$H:$H,"Monthly*")=0,"",SUMIFS('BSE - SENSEX Index Options'!$L:$L,'BSE - SENSEX Index Options'!$C:$C,$A210,'BSE - SENSEX Index Options'!$B:$B,C$147,'BSE - SENSEX Index Options'!$H:$H,"Monthly*")+SUMIFS('BSE - Other Index Options'!$L:$L,'BSE - Other Index Options'!$C:$C,$A210,'BSE - Other Index Options'!$B:$B,C$147,'BSE - Other Index Options'!$H:$H,"Monthly*"))</f>
        <v/>
      </c>
      <c r="D210" s="26" t="str">
        <f>IF(SUMIFS('BSE - SENSEX Index Options'!$L:$L,'BSE - SENSEX Index Options'!$C:$C,$A210,'BSE - SENSEX Index Options'!$B:$B,D$147,'BSE - SENSEX Index Options'!$H:$H,"Monthly*")+SUMIFS('BSE - Other Index Options'!$L:$L,'BSE - Other Index Options'!$C:$C,$A210,'BSE - Other Index Options'!$B:$B,D$147,'BSE - Other Index Options'!$H:$H,"Monthly*")=0,"",SUMIFS('BSE - SENSEX Index Options'!$L:$L,'BSE - SENSEX Index Options'!$C:$C,$A210,'BSE - SENSEX Index Options'!$B:$B,D$147,'BSE - SENSEX Index Options'!$H:$H,"Monthly*")+SUMIFS('BSE - Other Index Options'!$L:$L,'BSE - Other Index Options'!$C:$C,$A210,'BSE - Other Index Options'!$B:$B,D$147,'BSE - Other Index Options'!$H:$H,"Monthly*"))</f>
        <v/>
      </c>
      <c r="E210" s="26" t="str">
        <f>IF(SUMIFS('BSE - SENSEX Index Options'!$L:$L,'BSE - SENSEX Index Options'!$C:$C,$A210,'BSE - SENSEX Index Options'!$B:$B,E$147,'BSE - SENSEX Index Options'!$H:$H,"Monthly*")+SUMIFS('BSE - Other Index Options'!$L:$L,'BSE - Other Index Options'!$C:$C,$A210,'BSE - Other Index Options'!$B:$B,E$147,'BSE - Other Index Options'!$H:$H,"Monthly*")=0,"",SUMIFS('BSE - SENSEX Index Options'!$L:$L,'BSE - SENSEX Index Options'!$C:$C,$A210,'BSE - SENSEX Index Options'!$B:$B,E$147,'BSE - SENSEX Index Options'!$H:$H,"Monthly*")+SUMIFS('BSE - Other Index Options'!$L:$L,'BSE - Other Index Options'!$C:$C,$A210,'BSE - Other Index Options'!$B:$B,E$147,'BSE - Other Index Options'!$H:$H,"Monthly*"))</f>
        <v/>
      </c>
      <c r="F210" s="26" t="str">
        <f>IF(SUMIFS('BSE - SENSEX Index Options'!$L:$L,'BSE - SENSEX Index Options'!$C:$C,$A210,'BSE - SENSEX Index Options'!$B:$B,F$147,'BSE - SENSEX Index Options'!$H:$H,"Monthly*")+SUMIFS('BSE - Other Index Options'!$L:$L,'BSE - Other Index Options'!$C:$C,$A210,'BSE - Other Index Options'!$B:$B,F$147,'BSE - Other Index Options'!$H:$H,"Monthly*")=0,"",SUMIFS('BSE - SENSEX Index Options'!$L:$L,'BSE - SENSEX Index Options'!$C:$C,$A210,'BSE - SENSEX Index Options'!$B:$B,F$147,'BSE - SENSEX Index Options'!$H:$H,"Monthly*")+SUMIFS('BSE - Other Index Options'!$L:$L,'BSE - Other Index Options'!$C:$C,$A210,'BSE - Other Index Options'!$B:$B,F$147,'BSE - Other Index Options'!$H:$H,"Monthly*"))</f>
        <v/>
      </c>
      <c r="G210" s="26" t="str">
        <f>IF(SUMIFS('BSE - SENSEX Index Options'!$L:$L,'BSE - SENSEX Index Options'!$C:$C,$A210,'BSE - SENSEX Index Options'!$B:$B,G$147,'BSE - SENSEX Index Options'!$H:$H,"Monthly*")+SUMIFS('BSE - Other Index Options'!$L:$L,'BSE - Other Index Options'!$C:$C,$A210,'BSE - Other Index Options'!$B:$B,G$147,'BSE - Other Index Options'!$H:$H,"Monthly*")=0,"",SUMIFS('BSE - SENSEX Index Options'!$L:$L,'BSE - SENSEX Index Options'!$C:$C,$A210,'BSE - SENSEX Index Options'!$B:$B,G$147,'BSE - SENSEX Index Options'!$H:$H,"Monthly*")+SUMIFS('BSE - Other Index Options'!$L:$L,'BSE - Other Index Options'!$C:$C,$A210,'BSE - Other Index Options'!$B:$B,G$147,'BSE - Other Index Options'!$H:$H,"Monthly*"))</f>
        <v/>
      </c>
      <c r="H210" s="26" t="str">
        <f t="shared" si="7"/>
        <v/>
      </c>
    </row>
    <row r="211" spans="1:8" hidden="1" outlineLevel="1">
      <c r="A211" t="s">
        <v>73</v>
      </c>
      <c r="B211" s="26" t="str">
        <f>IF(SUMIFS('BSE - SENSEX Index Options'!$L:$L,'BSE - SENSEX Index Options'!$C:$C,$A211,'BSE - SENSEX Index Options'!$B:$B,B$147,'BSE - SENSEX Index Options'!$H:$H,"Monthly*")+SUMIFS('BSE - Other Index Options'!$L:$L,'BSE - Other Index Options'!$C:$C,$A211,'BSE - Other Index Options'!$B:$B,B$147,'BSE - Other Index Options'!$H:$H,"Monthly*")=0,"",SUMIFS('BSE - SENSEX Index Options'!$L:$L,'BSE - SENSEX Index Options'!$C:$C,$A211,'BSE - SENSEX Index Options'!$B:$B,B$147,'BSE - SENSEX Index Options'!$H:$H,"Monthly*")+SUMIFS('BSE - Other Index Options'!$L:$L,'BSE - Other Index Options'!$C:$C,$A211,'BSE - Other Index Options'!$B:$B,B$147,'BSE - Other Index Options'!$H:$H,"Monthly*"))</f>
        <v/>
      </c>
      <c r="C211" s="26" t="str">
        <f>IF(SUMIFS('BSE - SENSEX Index Options'!$L:$L,'BSE - SENSEX Index Options'!$C:$C,$A211,'BSE - SENSEX Index Options'!$B:$B,C$147,'BSE - SENSEX Index Options'!$H:$H,"Monthly*")+SUMIFS('BSE - Other Index Options'!$L:$L,'BSE - Other Index Options'!$C:$C,$A211,'BSE - Other Index Options'!$B:$B,C$147,'BSE - Other Index Options'!$H:$H,"Monthly*")=0,"",SUMIFS('BSE - SENSEX Index Options'!$L:$L,'BSE - SENSEX Index Options'!$C:$C,$A211,'BSE - SENSEX Index Options'!$B:$B,C$147,'BSE - SENSEX Index Options'!$H:$H,"Monthly*")+SUMIFS('BSE - Other Index Options'!$L:$L,'BSE - Other Index Options'!$C:$C,$A211,'BSE - Other Index Options'!$B:$B,C$147,'BSE - Other Index Options'!$H:$H,"Monthly*"))</f>
        <v/>
      </c>
      <c r="D211" s="26" t="str">
        <f>IF(SUMIFS('BSE - SENSEX Index Options'!$L:$L,'BSE - SENSEX Index Options'!$C:$C,$A211,'BSE - SENSEX Index Options'!$B:$B,D$147,'BSE - SENSEX Index Options'!$H:$H,"Monthly*")+SUMIFS('BSE - Other Index Options'!$L:$L,'BSE - Other Index Options'!$C:$C,$A211,'BSE - Other Index Options'!$B:$B,D$147,'BSE - Other Index Options'!$H:$H,"Monthly*")=0,"",SUMIFS('BSE - SENSEX Index Options'!$L:$L,'BSE - SENSEX Index Options'!$C:$C,$A211,'BSE - SENSEX Index Options'!$B:$B,D$147,'BSE - SENSEX Index Options'!$H:$H,"Monthly*")+SUMIFS('BSE - Other Index Options'!$L:$L,'BSE - Other Index Options'!$C:$C,$A211,'BSE - Other Index Options'!$B:$B,D$147,'BSE - Other Index Options'!$H:$H,"Monthly*"))</f>
        <v/>
      </c>
      <c r="E211" s="26" t="str">
        <f>IF(SUMIFS('BSE - SENSEX Index Options'!$L:$L,'BSE - SENSEX Index Options'!$C:$C,$A211,'BSE - SENSEX Index Options'!$B:$B,E$147,'BSE - SENSEX Index Options'!$H:$H,"Monthly*")+SUMIFS('BSE - Other Index Options'!$L:$L,'BSE - Other Index Options'!$C:$C,$A211,'BSE - Other Index Options'!$B:$B,E$147,'BSE - Other Index Options'!$H:$H,"Monthly*")=0,"",SUMIFS('BSE - SENSEX Index Options'!$L:$L,'BSE - SENSEX Index Options'!$C:$C,$A211,'BSE - SENSEX Index Options'!$B:$B,E$147,'BSE - SENSEX Index Options'!$H:$H,"Monthly*")+SUMIFS('BSE - Other Index Options'!$L:$L,'BSE - Other Index Options'!$C:$C,$A211,'BSE - Other Index Options'!$B:$B,E$147,'BSE - Other Index Options'!$H:$H,"Monthly*"))</f>
        <v/>
      </c>
      <c r="F211" s="26" t="str">
        <f>IF(SUMIFS('BSE - SENSEX Index Options'!$L:$L,'BSE - SENSEX Index Options'!$C:$C,$A211,'BSE - SENSEX Index Options'!$B:$B,F$147,'BSE - SENSEX Index Options'!$H:$H,"Monthly*")+SUMIFS('BSE - Other Index Options'!$L:$L,'BSE - Other Index Options'!$C:$C,$A211,'BSE - Other Index Options'!$B:$B,F$147,'BSE - Other Index Options'!$H:$H,"Monthly*")=0,"",SUMIFS('BSE - SENSEX Index Options'!$L:$L,'BSE - SENSEX Index Options'!$C:$C,$A211,'BSE - SENSEX Index Options'!$B:$B,F$147,'BSE - SENSEX Index Options'!$H:$H,"Monthly*")+SUMIFS('BSE - Other Index Options'!$L:$L,'BSE - Other Index Options'!$C:$C,$A211,'BSE - Other Index Options'!$B:$B,F$147,'BSE - Other Index Options'!$H:$H,"Monthly*"))</f>
        <v/>
      </c>
      <c r="G211" s="26" t="str">
        <f>IF(SUMIFS('BSE - SENSEX Index Options'!$L:$L,'BSE - SENSEX Index Options'!$C:$C,$A211,'BSE - SENSEX Index Options'!$B:$B,G$147,'BSE - SENSEX Index Options'!$H:$H,"Monthly*")+SUMIFS('BSE - Other Index Options'!$L:$L,'BSE - Other Index Options'!$C:$C,$A211,'BSE - Other Index Options'!$B:$B,G$147,'BSE - Other Index Options'!$H:$H,"Monthly*")=0,"",SUMIFS('BSE - SENSEX Index Options'!$L:$L,'BSE - SENSEX Index Options'!$C:$C,$A211,'BSE - SENSEX Index Options'!$B:$B,G$147,'BSE - SENSEX Index Options'!$H:$H,"Monthly*")+SUMIFS('BSE - Other Index Options'!$L:$L,'BSE - Other Index Options'!$C:$C,$A211,'BSE - Other Index Options'!$B:$B,G$147,'BSE - Other Index Options'!$H:$H,"Monthly*"))</f>
        <v/>
      </c>
      <c r="H211" s="26" t="str">
        <f t="shared" si="7"/>
        <v/>
      </c>
    </row>
    <row r="212" spans="1:8" hidden="1" outlineLevel="1">
      <c r="A212" t="s">
        <v>74</v>
      </c>
      <c r="B212" s="26" t="str">
        <f>IF(SUMIFS('BSE - SENSEX Index Options'!$L:$L,'BSE - SENSEX Index Options'!$C:$C,$A212,'BSE - SENSEX Index Options'!$B:$B,B$147,'BSE - SENSEX Index Options'!$H:$H,"Monthly*")+SUMIFS('BSE - Other Index Options'!$L:$L,'BSE - Other Index Options'!$C:$C,$A212,'BSE - Other Index Options'!$B:$B,B$147,'BSE - Other Index Options'!$H:$H,"Monthly*")=0,"",SUMIFS('BSE - SENSEX Index Options'!$L:$L,'BSE - SENSEX Index Options'!$C:$C,$A212,'BSE - SENSEX Index Options'!$B:$B,B$147,'BSE - SENSEX Index Options'!$H:$H,"Monthly*")+SUMIFS('BSE - Other Index Options'!$L:$L,'BSE - Other Index Options'!$C:$C,$A212,'BSE - Other Index Options'!$B:$B,B$147,'BSE - Other Index Options'!$H:$H,"Monthly*"))</f>
        <v/>
      </c>
      <c r="C212" s="26" t="str">
        <f>IF(SUMIFS('BSE - SENSEX Index Options'!$L:$L,'BSE - SENSEX Index Options'!$C:$C,$A212,'BSE - SENSEX Index Options'!$B:$B,C$147,'BSE - SENSEX Index Options'!$H:$H,"Monthly*")+SUMIFS('BSE - Other Index Options'!$L:$L,'BSE - Other Index Options'!$C:$C,$A212,'BSE - Other Index Options'!$B:$B,C$147,'BSE - Other Index Options'!$H:$H,"Monthly*")=0,"",SUMIFS('BSE - SENSEX Index Options'!$L:$L,'BSE - SENSEX Index Options'!$C:$C,$A212,'BSE - SENSEX Index Options'!$B:$B,C$147,'BSE - SENSEX Index Options'!$H:$H,"Monthly*")+SUMIFS('BSE - Other Index Options'!$L:$L,'BSE - Other Index Options'!$C:$C,$A212,'BSE - Other Index Options'!$B:$B,C$147,'BSE - Other Index Options'!$H:$H,"Monthly*"))</f>
        <v/>
      </c>
      <c r="D212" s="26" t="str">
        <f>IF(SUMIFS('BSE - SENSEX Index Options'!$L:$L,'BSE - SENSEX Index Options'!$C:$C,$A212,'BSE - SENSEX Index Options'!$B:$B,D$147,'BSE - SENSEX Index Options'!$H:$H,"Monthly*")+SUMIFS('BSE - Other Index Options'!$L:$L,'BSE - Other Index Options'!$C:$C,$A212,'BSE - Other Index Options'!$B:$B,D$147,'BSE - Other Index Options'!$H:$H,"Monthly*")=0,"",SUMIFS('BSE - SENSEX Index Options'!$L:$L,'BSE - SENSEX Index Options'!$C:$C,$A212,'BSE - SENSEX Index Options'!$B:$B,D$147,'BSE - SENSEX Index Options'!$H:$H,"Monthly*")+SUMIFS('BSE - Other Index Options'!$L:$L,'BSE - Other Index Options'!$C:$C,$A212,'BSE - Other Index Options'!$B:$B,D$147,'BSE - Other Index Options'!$H:$H,"Monthly*"))</f>
        <v/>
      </c>
      <c r="E212" s="26" t="str">
        <f>IF(SUMIFS('BSE - SENSEX Index Options'!$L:$L,'BSE - SENSEX Index Options'!$C:$C,$A212,'BSE - SENSEX Index Options'!$B:$B,E$147,'BSE - SENSEX Index Options'!$H:$H,"Monthly*")+SUMIFS('BSE - Other Index Options'!$L:$L,'BSE - Other Index Options'!$C:$C,$A212,'BSE - Other Index Options'!$B:$B,E$147,'BSE - Other Index Options'!$H:$H,"Monthly*")=0,"",SUMIFS('BSE - SENSEX Index Options'!$L:$L,'BSE - SENSEX Index Options'!$C:$C,$A212,'BSE - SENSEX Index Options'!$B:$B,E$147,'BSE - SENSEX Index Options'!$H:$H,"Monthly*")+SUMIFS('BSE - Other Index Options'!$L:$L,'BSE - Other Index Options'!$C:$C,$A212,'BSE - Other Index Options'!$B:$B,E$147,'BSE - Other Index Options'!$H:$H,"Monthly*"))</f>
        <v/>
      </c>
      <c r="F212" s="26" t="str">
        <f>IF(SUMIFS('BSE - SENSEX Index Options'!$L:$L,'BSE - SENSEX Index Options'!$C:$C,$A212,'BSE - SENSEX Index Options'!$B:$B,F$147,'BSE - SENSEX Index Options'!$H:$H,"Monthly*")+SUMIFS('BSE - Other Index Options'!$L:$L,'BSE - Other Index Options'!$C:$C,$A212,'BSE - Other Index Options'!$B:$B,F$147,'BSE - Other Index Options'!$H:$H,"Monthly*")=0,"",SUMIFS('BSE - SENSEX Index Options'!$L:$L,'BSE - SENSEX Index Options'!$C:$C,$A212,'BSE - SENSEX Index Options'!$B:$B,F$147,'BSE - SENSEX Index Options'!$H:$H,"Monthly*")+SUMIFS('BSE - Other Index Options'!$L:$L,'BSE - Other Index Options'!$C:$C,$A212,'BSE - Other Index Options'!$B:$B,F$147,'BSE - Other Index Options'!$H:$H,"Monthly*"))</f>
        <v/>
      </c>
      <c r="G212" s="26" t="str">
        <f>IF(SUMIFS('BSE - SENSEX Index Options'!$L:$L,'BSE - SENSEX Index Options'!$C:$C,$A212,'BSE - SENSEX Index Options'!$B:$B,G$147,'BSE - SENSEX Index Options'!$H:$H,"Monthly*")+SUMIFS('BSE - Other Index Options'!$L:$L,'BSE - Other Index Options'!$C:$C,$A212,'BSE - Other Index Options'!$B:$B,G$147,'BSE - Other Index Options'!$H:$H,"Monthly*")=0,"",SUMIFS('BSE - SENSEX Index Options'!$L:$L,'BSE - SENSEX Index Options'!$C:$C,$A212,'BSE - SENSEX Index Options'!$B:$B,G$147,'BSE - SENSEX Index Options'!$H:$H,"Monthly*")+SUMIFS('BSE - Other Index Options'!$L:$L,'BSE - Other Index Options'!$C:$C,$A212,'BSE - Other Index Options'!$B:$B,G$147,'BSE - Other Index Options'!$H:$H,"Monthly*"))</f>
        <v/>
      </c>
      <c r="H212" s="26" t="str">
        <f t="shared" ref="H212:H243" si="8">IF(SUM(B212:G212)=0,"",SUM(B212:G212))</f>
        <v/>
      </c>
    </row>
    <row r="213" spans="1:8" hidden="1" outlineLevel="1">
      <c r="A213" t="s">
        <v>75</v>
      </c>
      <c r="B213" s="26" t="str">
        <f>IF(SUMIFS('BSE - SENSEX Index Options'!$L:$L,'BSE - SENSEX Index Options'!$C:$C,$A213,'BSE - SENSEX Index Options'!$B:$B,B$147,'BSE - SENSEX Index Options'!$H:$H,"Monthly*")+SUMIFS('BSE - Other Index Options'!$L:$L,'BSE - Other Index Options'!$C:$C,$A213,'BSE - Other Index Options'!$B:$B,B$147,'BSE - Other Index Options'!$H:$H,"Monthly*")=0,"",SUMIFS('BSE - SENSEX Index Options'!$L:$L,'BSE - SENSEX Index Options'!$C:$C,$A213,'BSE - SENSEX Index Options'!$B:$B,B$147,'BSE - SENSEX Index Options'!$H:$H,"Monthly*")+SUMIFS('BSE - Other Index Options'!$L:$L,'BSE - Other Index Options'!$C:$C,$A213,'BSE - Other Index Options'!$B:$B,B$147,'BSE - Other Index Options'!$H:$H,"Monthly*"))</f>
        <v/>
      </c>
      <c r="C213" s="26" t="str">
        <f>IF(SUMIFS('BSE - SENSEX Index Options'!$L:$L,'BSE - SENSEX Index Options'!$C:$C,$A213,'BSE - SENSEX Index Options'!$B:$B,C$147,'BSE - SENSEX Index Options'!$H:$H,"Monthly*")+SUMIFS('BSE - Other Index Options'!$L:$L,'BSE - Other Index Options'!$C:$C,$A213,'BSE - Other Index Options'!$B:$B,C$147,'BSE - Other Index Options'!$H:$H,"Monthly*")=0,"",SUMIFS('BSE - SENSEX Index Options'!$L:$L,'BSE - SENSEX Index Options'!$C:$C,$A213,'BSE - SENSEX Index Options'!$B:$B,C$147,'BSE - SENSEX Index Options'!$H:$H,"Monthly*")+SUMIFS('BSE - Other Index Options'!$L:$L,'BSE - Other Index Options'!$C:$C,$A213,'BSE - Other Index Options'!$B:$B,C$147,'BSE - Other Index Options'!$H:$H,"Monthly*"))</f>
        <v/>
      </c>
      <c r="D213" s="26" t="str">
        <f>IF(SUMIFS('BSE - SENSEX Index Options'!$L:$L,'BSE - SENSEX Index Options'!$C:$C,$A213,'BSE - SENSEX Index Options'!$B:$B,D$147,'BSE - SENSEX Index Options'!$H:$H,"Monthly*")+SUMIFS('BSE - Other Index Options'!$L:$L,'BSE - Other Index Options'!$C:$C,$A213,'BSE - Other Index Options'!$B:$B,D$147,'BSE - Other Index Options'!$H:$H,"Monthly*")=0,"",SUMIFS('BSE - SENSEX Index Options'!$L:$L,'BSE - SENSEX Index Options'!$C:$C,$A213,'BSE - SENSEX Index Options'!$B:$B,D$147,'BSE - SENSEX Index Options'!$H:$H,"Monthly*")+SUMIFS('BSE - Other Index Options'!$L:$L,'BSE - Other Index Options'!$C:$C,$A213,'BSE - Other Index Options'!$B:$B,D$147,'BSE - Other Index Options'!$H:$H,"Monthly*"))</f>
        <v/>
      </c>
      <c r="E213" s="26" t="str">
        <f>IF(SUMIFS('BSE - SENSEX Index Options'!$L:$L,'BSE - SENSEX Index Options'!$C:$C,$A213,'BSE - SENSEX Index Options'!$B:$B,E$147,'BSE - SENSEX Index Options'!$H:$H,"Monthly*")+SUMIFS('BSE - Other Index Options'!$L:$L,'BSE - Other Index Options'!$C:$C,$A213,'BSE - Other Index Options'!$B:$B,E$147,'BSE - Other Index Options'!$H:$H,"Monthly*")=0,"",SUMIFS('BSE - SENSEX Index Options'!$L:$L,'BSE - SENSEX Index Options'!$C:$C,$A213,'BSE - SENSEX Index Options'!$B:$B,E$147,'BSE - SENSEX Index Options'!$H:$H,"Monthly*")+SUMIFS('BSE - Other Index Options'!$L:$L,'BSE - Other Index Options'!$C:$C,$A213,'BSE - Other Index Options'!$B:$B,E$147,'BSE - Other Index Options'!$H:$H,"Monthly*"))</f>
        <v/>
      </c>
      <c r="F213" s="26" t="str">
        <f>IF(SUMIFS('BSE - SENSEX Index Options'!$L:$L,'BSE - SENSEX Index Options'!$C:$C,$A213,'BSE - SENSEX Index Options'!$B:$B,F$147,'BSE - SENSEX Index Options'!$H:$H,"Monthly*")+SUMIFS('BSE - Other Index Options'!$L:$L,'BSE - Other Index Options'!$C:$C,$A213,'BSE - Other Index Options'!$B:$B,F$147,'BSE - Other Index Options'!$H:$H,"Monthly*")=0,"",SUMIFS('BSE - SENSEX Index Options'!$L:$L,'BSE - SENSEX Index Options'!$C:$C,$A213,'BSE - SENSEX Index Options'!$B:$B,F$147,'BSE - SENSEX Index Options'!$H:$H,"Monthly*")+SUMIFS('BSE - Other Index Options'!$L:$L,'BSE - Other Index Options'!$C:$C,$A213,'BSE - Other Index Options'!$B:$B,F$147,'BSE - Other Index Options'!$H:$H,"Monthly*"))</f>
        <v/>
      </c>
      <c r="G213" s="26" t="str">
        <f>IF(SUMIFS('BSE - SENSEX Index Options'!$L:$L,'BSE - SENSEX Index Options'!$C:$C,$A213,'BSE - SENSEX Index Options'!$B:$B,G$147,'BSE - SENSEX Index Options'!$H:$H,"Monthly*")+SUMIFS('BSE - Other Index Options'!$L:$L,'BSE - Other Index Options'!$C:$C,$A213,'BSE - Other Index Options'!$B:$B,G$147,'BSE - Other Index Options'!$H:$H,"Monthly*")=0,"",SUMIFS('BSE - SENSEX Index Options'!$L:$L,'BSE - SENSEX Index Options'!$C:$C,$A213,'BSE - SENSEX Index Options'!$B:$B,G$147,'BSE - SENSEX Index Options'!$H:$H,"Monthly*")+SUMIFS('BSE - Other Index Options'!$L:$L,'BSE - Other Index Options'!$C:$C,$A213,'BSE - Other Index Options'!$B:$B,G$147,'BSE - Other Index Options'!$H:$H,"Monthly*"))</f>
        <v/>
      </c>
      <c r="H213" s="26" t="str">
        <f t="shared" si="8"/>
        <v/>
      </c>
    </row>
    <row r="214" spans="1:8" hidden="1" outlineLevel="1">
      <c r="A214" t="s">
        <v>76</v>
      </c>
      <c r="B214" s="26" t="str">
        <f>IF(SUMIFS('BSE - SENSEX Index Options'!$L:$L,'BSE - SENSEX Index Options'!$C:$C,$A214,'BSE - SENSEX Index Options'!$B:$B,B$147,'BSE - SENSEX Index Options'!$H:$H,"Monthly*")+SUMIFS('BSE - Other Index Options'!$L:$L,'BSE - Other Index Options'!$C:$C,$A214,'BSE - Other Index Options'!$B:$B,B$147,'BSE - Other Index Options'!$H:$H,"Monthly*")=0,"",SUMIFS('BSE - SENSEX Index Options'!$L:$L,'BSE - SENSEX Index Options'!$C:$C,$A214,'BSE - SENSEX Index Options'!$B:$B,B$147,'BSE - SENSEX Index Options'!$H:$H,"Monthly*")+SUMIFS('BSE - Other Index Options'!$L:$L,'BSE - Other Index Options'!$C:$C,$A214,'BSE - Other Index Options'!$B:$B,B$147,'BSE - Other Index Options'!$H:$H,"Monthly*"))</f>
        <v/>
      </c>
      <c r="C214" s="26" t="str">
        <f>IF(SUMIFS('BSE - SENSEX Index Options'!$L:$L,'BSE - SENSEX Index Options'!$C:$C,$A214,'BSE - SENSEX Index Options'!$B:$B,C$147,'BSE - SENSEX Index Options'!$H:$H,"Monthly*")+SUMIFS('BSE - Other Index Options'!$L:$L,'BSE - Other Index Options'!$C:$C,$A214,'BSE - Other Index Options'!$B:$B,C$147,'BSE - Other Index Options'!$H:$H,"Monthly*")=0,"",SUMIFS('BSE - SENSEX Index Options'!$L:$L,'BSE - SENSEX Index Options'!$C:$C,$A214,'BSE - SENSEX Index Options'!$B:$B,C$147,'BSE - SENSEX Index Options'!$H:$H,"Monthly*")+SUMIFS('BSE - Other Index Options'!$L:$L,'BSE - Other Index Options'!$C:$C,$A214,'BSE - Other Index Options'!$B:$B,C$147,'BSE - Other Index Options'!$H:$H,"Monthly*"))</f>
        <v/>
      </c>
      <c r="D214" s="26" t="str">
        <f>IF(SUMIFS('BSE - SENSEX Index Options'!$L:$L,'BSE - SENSEX Index Options'!$C:$C,$A214,'BSE - SENSEX Index Options'!$B:$B,D$147,'BSE - SENSEX Index Options'!$H:$H,"Monthly*")+SUMIFS('BSE - Other Index Options'!$L:$L,'BSE - Other Index Options'!$C:$C,$A214,'BSE - Other Index Options'!$B:$B,D$147,'BSE - Other Index Options'!$H:$H,"Monthly*")=0,"",SUMIFS('BSE - SENSEX Index Options'!$L:$L,'BSE - SENSEX Index Options'!$C:$C,$A214,'BSE - SENSEX Index Options'!$B:$B,D$147,'BSE - SENSEX Index Options'!$H:$H,"Monthly*")+SUMIFS('BSE - Other Index Options'!$L:$L,'BSE - Other Index Options'!$C:$C,$A214,'BSE - Other Index Options'!$B:$B,D$147,'BSE - Other Index Options'!$H:$H,"Monthly*"))</f>
        <v/>
      </c>
      <c r="E214" s="26" t="str">
        <f>IF(SUMIFS('BSE - SENSEX Index Options'!$L:$L,'BSE - SENSEX Index Options'!$C:$C,$A214,'BSE - SENSEX Index Options'!$B:$B,E$147,'BSE - SENSEX Index Options'!$H:$H,"Monthly*")+SUMIFS('BSE - Other Index Options'!$L:$L,'BSE - Other Index Options'!$C:$C,$A214,'BSE - Other Index Options'!$B:$B,E$147,'BSE - Other Index Options'!$H:$H,"Monthly*")=0,"",SUMIFS('BSE - SENSEX Index Options'!$L:$L,'BSE - SENSEX Index Options'!$C:$C,$A214,'BSE - SENSEX Index Options'!$B:$B,E$147,'BSE - SENSEX Index Options'!$H:$H,"Monthly*")+SUMIFS('BSE - Other Index Options'!$L:$L,'BSE - Other Index Options'!$C:$C,$A214,'BSE - Other Index Options'!$B:$B,E$147,'BSE - Other Index Options'!$H:$H,"Monthly*"))</f>
        <v/>
      </c>
      <c r="F214" s="26" t="str">
        <f>IF(SUMIFS('BSE - SENSEX Index Options'!$L:$L,'BSE - SENSEX Index Options'!$C:$C,$A214,'BSE - SENSEX Index Options'!$B:$B,F$147,'BSE - SENSEX Index Options'!$H:$H,"Monthly*")+SUMIFS('BSE - Other Index Options'!$L:$L,'BSE - Other Index Options'!$C:$C,$A214,'BSE - Other Index Options'!$B:$B,F$147,'BSE - Other Index Options'!$H:$H,"Monthly*")=0,"",SUMIFS('BSE - SENSEX Index Options'!$L:$L,'BSE - SENSEX Index Options'!$C:$C,$A214,'BSE - SENSEX Index Options'!$B:$B,F$147,'BSE - SENSEX Index Options'!$H:$H,"Monthly*")+SUMIFS('BSE - Other Index Options'!$L:$L,'BSE - Other Index Options'!$C:$C,$A214,'BSE - Other Index Options'!$B:$B,F$147,'BSE - Other Index Options'!$H:$H,"Monthly*"))</f>
        <v/>
      </c>
      <c r="G214" s="26" t="str">
        <f>IF(SUMIFS('BSE - SENSEX Index Options'!$L:$L,'BSE - SENSEX Index Options'!$C:$C,$A214,'BSE - SENSEX Index Options'!$B:$B,G$147,'BSE - SENSEX Index Options'!$H:$H,"Monthly*")+SUMIFS('BSE - Other Index Options'!$L:$L,'BSE - Other Index Options'!$C:$C,$A214,'BSE - Other Index Options'!$B:$B,G$147,'BSE - Other Index Options'!$H:$H,"Monthly*")=0,"",SUMIFS('BSE - SENSEX Index Options'!$L:$L,'BSE - SENSEX Index Options'!$C:$C,$A214,'BSE - SENSEX Index Options'!$B:$B,G$147,'BSE - SENSEX Index Options'!$H:$H,"Monthly*")+SUMIFS('BSE - Other Index Options'!$L:$L,'BSE - Other Index Options'!$C:$C,$A214,'BSE - Other Index Options'!$B:$B,G$147,'BSE - Other Index Options'!$H:$H,"Monthly*"))</f>
        <v/>
      </c>
      <c r="H214" s="26" t="str">
        <f t="shared" si="8"/>
        <v/>
      </c>
    </row>
    <row r="215" spans="1:8" hidden="1" outlineLevel="1">
      <c r="A215" t="s">
        <v>77</v>
      </c>
      <c r="B215" s="26" t="str">
        <f>IF(SUMIFS('BSE - SENSEX Index Options'!$L:$L,'BSE - SENSEX Index Options'!$C:$C,$A215,'BSE - SENSEX Index Options'!$B:$B,B$147,'BSE - SENSEX Index Options'!$H:$H,"Monthly*")+SUMIFS('BSE - Other Index Options'!$L:$L,'BSE - Other Index Options'!$C:$C,$A215,'BSE - Other Index Options'!$B:$B,B$147,'BSE - Other Index Options'!$H:$H,"Monthly*")=0,"",SUMIFS('BSE - SENSEX Index Options'!$L:$L,'BSE - SENSEX Index Options'!$C:$C,$A215,'BSE - SENSEX Index Options'!$B:$B,B$147,'BSE - SENSEX Index Options'!$H:$H,"Monthly*")+SUMIFS('BSE - Other Index Options'!$L:$L,'BSE - Other Index Options'!$C:$C,$A215,'BSE - Other Index Options'!$B:$B,B$147,'BSE - Other Index Options'!$H:$H,"Monthly*"))</f>
        <v/>
      </c>
      <c r="C215" s="26" t="str">
        <f>IF(SUMIFS('BSE - SENSEX Index Options'!$L:$L,'BSE - SENSEX Index Options'!$C:$C,$A215,'BSE - SENSEX Index Options'!$B:$B,C$147,'BSE - SENSEX Index Options'!$H:$H,"Monthly*")+SUMIFS('BSE - Other Index Options'!$L:$L,'BSE - Other Index Options'!$C:$C,$A215,'BSE - Other Index Options'!$B:$B,C$147,'BSE - Other Index Options'!$H:$H,"Monthly*")=0,"",SUMIFS('BSE - SENSEX Index Options'!$L:$L,'BSE - SENSEX Index Options'!$C:$C,$A215,'BSE - SENSEX Index Options'!$B:$B,C$147,'BSE - SENSEX Index Options'!$H:$H,"Monthly*")+SUMIFS('BSE - Other Index Options'!$L:$L,'BSE - Other Index Options'!$C:$C,$A215,'BSE - Other Index Options'!$B:$B,C$147,'BSE - Other Index Options'!$H:$H,"Monthly*"))</f>
        <v/>
      </c>
      <c r="D215" s="26" t="str">
        <f>IF(SUMIFS('BSE - SENSEX Index Options'!$L:$L,'BSE - SENSEX Index Options'!$C:$C,$A215,'BSE - SENSEX Index Options'!$B:$B,D$147,'BSE - SENSEX Index Options'!$H:$H,"Monthly*")+SUMIFS('BSE - Other Index Options'!$L:$L,'BSE - Other Index Options'!$C:$C,$A215,'BSE - Other Index Options'!$B:$B,D$147,'BSE - Other Index Options'!$H:$H,"Monthly*")=0,"",SUMIFS('BSE - SENSEX Index Options'!$L:$L,'BSE - SENSEX Index Options'!$C:$C,$A215,'BSE - SENSEX Index Options'!$B:$B,D$147,'BSE - SENSEX Index Options'!$H:$H,"Monthly*")+SUMIFS('BSE - Other Index Options'!$L:$L,'BSE - Other Index Options'!$C:$C,$A215,'BSE - Other Index Options'!$B:$B,D$147,'BSE - Other Index Options'!$H:$H,"Monthly*"))</f>
        <v/>
      </c>
      <c r="E215" s="26" t="str">
        <f>IF(SUMIFS('BSE - SENSEX Index Options'!$L:$L,'BSE - SENSEX Index Options'!$C:$C,$A215,'BSE - SENSEX Index Options'!$B:$B,E$147,'BSE - SENSEX Index Options'!$H:$H,"Monthly*")+SUMIFS('BSE - Other Index Options'!$L:$L,'BSE - Other Index Options'!$C:$C,$A215,'BSE - Other Index Options'!$B:$B,E$147,'BSE - Other Index Options'!$H:$H,"Monthly*")=0,"",SUMIFS('BSE - SENSEX Index Options'!$L:$L,'BSE - SENSEX Index Options'!$C:$C,$A215,'BSE - SENSEX Index Options'!$B:$B,E$147,'BSE - SENSEX Index Options'!$H:$H,"Monthly*")+SUMIFS('BSE - Other Index Options'!$L:$L,'BSE - Other Index Options'!$C:$C,$A215,'BSE - Other Index Options'!$B:$B,E$147,'BSE - Other Index Options'!$H:$H,"Monthly*"))</f>
        <v/>
      </c>
      <c r="F215" s="26" t="str">
        <f>IF(SUMIFS('BSE - SENSEX Index Options'!$L:$L,'BSE - SENSEX Index Options'!$C:$C,$A215,'BSE - SENSEX Index Options'!$B:$B,F$147,'BSE - SENSEX Index Options'!$H:$H,"Monthly*")+SUMIFS('BSE - Other Index Options'!$L:$L,'BSE - Other Index Options'!$C:$C,$A215,'BSE - Other Index Options'!$B:$B,F$147,'BSE - Other Index Options'!$H:$H,"Monthly*")=0,"",SUMIFS('BSE - SENSEX Index Options'!$L:$L,'BSE - SENSEX Index Options'!$C:$C,$A215,'BSE - SENSEX Index Options'!$B:$B,F$147,'BSE - SENSEX Index Options'!$H:$H,"Monthly*")+SUMIFS('BSE - Other Index Options'!$L:$L,'BSE - Other Index Options'!$C:$C,$A215,'BSE - Other Index Options'!$B:$B,F$147,'BSE - Other Index Options'!$H:$H,"Monthly*"))</f>
        <v/>
      </c>
      <c r="G215" s="26" t="str">
        <f>IF(SUMIFS('BSE - SENSEX Index Options'!$L:$L,'BSE - SENSEX Index Options'!$C:$C,$A215,'BSE - SENSEX Index Options'!$B:$B,G$147,'BSE - SENSEX Index Options'!$H:$H,"Monthly*")+SUMIFS('BSE - Other Index Options'!$L:$L,'BSE - Other Index Options'!$C:$C,$A215,'BSE - Other Index Options'!$B:$B,G$147,'BSE - Other Index Options'!$H:$H,"Monthly*")=0,"",SUMIFS('BSE - SENSEX Index Options'!$L:$L,'BSE - SENSEX Index Options'!$C:$C,$A215,'BSE - SENSEX Index Options'!$B:$B,G$147,'BSE - SENSEX Index Options'!$H:$H,"Monthly*")+SUMIFS('BSE - Other Index Options'!$L:$L,'BSE - Other Index Options'!$C:$C,$A215,'BSE - Other Index Options'!$B:$B,G$147,'BSE - Other Index Options'!$H:$H,"Monthly*"))</f>
        <v/>
      </c>
      <c r="H215" s="26" t="str">
        <f t="shared" si="8"/>
        <v/>
      </c>
    </row>
    <row r="216" spans="1:8" hidden="1" outlineLevel="1">
      <c r="A216" t="s">
        <v>78</v>
      </c>
      <c r="B216" s="26" t="str">
        <f>IF(SUMIFS('BSE - SENSEX Index Options'!$L:$L,'BSE - SENSEX Index Options'!$C:$C,$A216,'BSE - SENSEX Index Options'!$B:$B,B$147,'BSE - SENSEX Index Options'!$H:$H,"Monthly*")+SUMIFS('BSE - Other Index Options'!$L:$L,'BSE - Other Index Options'!$C:$C,$A216,'BSE - Other Index Options'!$B:$B,B$147,'BSE - Other Index Options'!$H:$H,"Monthly*")=0,"",SUMIFS('BSE - SENSEX Index Options'!$L:$L,'BSE - SENSEX Index Options'!$C:$C,$A216,'BSE - SENSEX Index Options'!$B:$B,B$147,'BSE - SENSEX Index Options'!$H:$H,"Monthly*")+SUMIFS('BSE - Other Index Options'!$L:$L,'BSE - Other Index Options'!$C:$C,$A216,'BSE - Other Index Options'!$B:$B,B$147,'BSE - Other Index Options'!$H:$H,"Monthly*"))</f>
        <v/>
      </c>
      <c r="C216" s="26" t="str">
        <f>IF(SUMIFS('BSE - SENSEX Index Options'!$L:$L,'BSE - SENSEX Index Options'!$C:$C,$A216,'BSE - SENSEX Index Options'!$B:$B,C$147,'BSE - SENSEX Index Options'!$H:$H,"Monthly*")+SUMIFS('BSE - Other Index Options'!$L:$L,'BSE - Other Index Options'!$C:$C,$A216,'BSE - Other Index Options'!$B:$B,C$147,'BSE - Other Index Options'!$H:$H,"Monthly*")=0,"",SUMIFS('BSE - SENSEX Index Options'!$L:$L,'BSE - SENSEX Index Options'!$C:$C,$A216,'BSE - SENSEX Index Options'!$B:$B,C$147,'BSE - SENSEX Index Options'!$H:$H,"Monthly*")+SUMIFS('BSE - Other Index Options'!$L:$L,'BSE - Other Index Options'!$C:$C,$A216,'BSE - Other Index Options'!$B:$B,C$147,'BSE - Other Index Options'!$H:$H,"Monthly*"))</f>
        <v/>
      </c>
      <c r="D216" s="26" t="str">
        <f>IF(SUMIFS('BSE - SENSEX Index Options'!$L:$L,'BSE - SENSEX Index Options'!$C:$C,$A216,'BSE - SENSEX Index Options'!$B:$B,D$147,'BSE - SENSEX Index Options'!$H:$H,"Monthly*")+SUMIFS('BSE - Other Index Options'!$L:$L,'BSE - Other Index Options'!$C:$C,$A216,'BSE - Other Index Options'!$B:$B,D$147,'BSE - Other Index Options'!$H:$H,"Monthly*")=0,"",SUMIFS('BSE - SENSEX Index Options'!$L:$L,'BSE - SENSEX Index Options'!$C:$C,$A216,'BSE - SENSEX Index Options'!$B:$B,D$147,'BSE - SENSEX Index Options'!$H:$H,"Monthly*")+SUMIFS('BSE - Other Index Options'!$L:$L,'BSE - Other Index Options'!$C:$C,$A216,'BSE - Other Index Options'!$B:$B,D$147,'BSE - Other Index Options'!$H:$H,"Monthly*"))</f>
        <v/>
      </c>
      <c r="E216" s="26" t="str">
        <f>IF(SUMIFS('BSE - SENSEX Index Options'!$L:$L,'BSE - SENSEX Index Options'!$C:$C,$A216,'BSE - SENSEX Index Options'!$B:$B,E$147,'BSE - SENSEX Index Options'!$H:$H,"Monthly*")+SUMIFS('BSE - Other Index Options'!$L:$L,'BSE - Other Index Options'!$C:$C,$A216,'BSE - Other Index Options'!$B:$B,E$147,'BSE - Other Index Options'!$H:$H,"Monthly*")=0,"",SUMIFS('BSE - SENSEX Index Options'!$L:$L,'BSE - SENSEX Index Options'!$C:$C,$A216,'BSE - SENSEX Index Options'!$B:$B,E$147,'BSE - SENSEX Index Options'!$H:$H,"Monthly*")+SUMIFS('BSE - Other Index Options'!$L:$L,'BSE - Other Index Options'!$C:$C,$A216,'BSE - Other Index Options'!$B:$B,E$147,'BSE - Other Index Options'!$H:$H,"Monthly*"))</f>
        <v/>
      </c>
      <c r="F216" s="26" t="str">
        <f>IF(SUMIFS('BSE - SENSEX Index Options'!$L:$L,'BSE - SENSEX Index Options'!$C:$C,$A216,'BSE - SENSEX Index Options'!$B:$B,F$147,'BSE - SENSEX Index Options'!$H:$H,"Monthly*")+SUMIFS('BSE - Other Index Options'!$L:$L,'BSE - Other Index Options'!$C:$C,$A216,'BSE - Other Index Options'!$B:$B,F$147,'BSE - Other Index Options'!$H:$H,"Monthly*")=0,"",SUMIFS('BSE - SENSEX Index Options'!$L:$L,'BSE - SENSEX Index Options'!$C:$C,$A216,'BSE - SENSEX Index Options'!$B:$B,F$147,'BSE - SENSEX Index Options'!$H:$H,"Monthly*")+SUMIFS('BSE - Other Index Options'!$L:$L,'BSE - Other Index Options'!$C:$C,$A216,'BSE - Other Index Options'!$B:$B,F$147,'BSE - Other Index Options'!$H:$H,"Monthly*"))</f>
        <v/>
      </c>
      <c r="G216" s="26" t="str">
        <f>IF(SUMIFS('BSE - SENSEX Index Options'!$L:$L,'BSE - SENSEX Index Options'!$C:$C,$A216,'BSE - SENSEX Index Options'!$B:$B,G$147,'BSE - SENSEX Index Options'!$H:$H,"Monthly*")+SUMIFS('BSE - Other Index Options'!$L:$L,'BSE - Other Index Options'!$C:$C,$A216,'BSE - Other Index Options'!$B:$B,G$147,'BSE - Other Index Options'!$H:$H,"Monthly*")=0,"",SUMIFS('BSE - SENSEX Index Options'!$L:$L,'BSE - SENSEX Index Options'!$C:$C,$A216,'BSE - SENSEX Index Options'!$B:$B,G$147,'BSE - SENSEX Index Options'!$H:$H,"Monthly*")+SUMIFS('BSE - Other Index Options'!$L:$L,'BSE - Other Index Options'!$C:$C,$A216,'BSE - Other Index Options'!$B:$B,G$147,'BSE - Other Index Options'!$H:$H,"Monthly*"))</f>
        <v/>
      </c>
      <c r="H216" s="26" t="str">
        <f t="shared" si="8"/>
        <v/>
      </c>
    </row>
    <row r="217" spans="1:8" hidden="1" outlineLevel="1">
      <c r="A217" t="s">
        <v>79</v>
      </c>
      <c r="B217" s="26" t="str">
        <f>IF(SUMIFS('BSE - SENSEX Index Options'!$L:$L,'BSE - SENSEX Index Options'!$C:$C,$A217,'BSE - SENSEX Index Options'!$B:$B,B$147,'BSE - SENSEX Index Options'!$H:$H,"Monthly*")+SUMIFS('BSE - Other Index Options'!$L:$L,'BSE - Other Index Options'!$C:$C,$A217,'BSE - Other Index Options'!$B:$B,B$147,'BSE - Other Index Options'!$H:$H,"Monthly*")=0,"",SUMIFS('BSE - SENSEX Index Options'!$L:$L,'BSE - SENSEX Index Options'!$C:$C,$A217,'BSE - SENSEX Index Options'!$B:$B,B$147,'BSE - SENSEX Index Options'!$H:$H,"Monthly*")+SUMIFS('BSE - Other Index Options'!$L:$L,'BSE - Other Index Options'!$C:$C,$A217,'BSE - Other Index Options'!$B:$B,B$147,'BSE - Other Index Options'!$H:$H,"Monthly*"))</f>
        <v/>
      </c>
      <c r="C217" s="26" t="str">
        <f>IF(SUMIFS('BSE - SENSEX Index Options'!$L:$L,'BSE - SENSEX Index Options'!$C:$C,$A217,'BSE - SENSEX Index Options'!$B:$B,C$147,'BSE - SENSEX Index Options'!$H:$H,"Monthly*")+SUMIFS('BSE - Other Index Options'!$L:$L,'BSE - Other Index Options'!$C:$C,$A217,'BSE - Other Index Options'!$B:$B,C$147,'BSE - Other Index Options'!$H:$H,"Monthly*")=0,"",SUMIFS('BSE - SENSEX Index Options'!$L:$L,'BSE - SENSEX Index Options'!$C:$C,$A217,'BSE - SENSEX Index Options'!$B:$B,C$147,'BSE - SENSEX Index Options'!$H:$H,"Monthly*")+SUMIFS('BSE - Other Index Options'!$L:$L,'BSE - Other Index Options'!$C:$C,$A217,'BSE - Other Index Options'!$B:$B,C$147,'BSE - Other Index Options'!$H:$H,"Monthly*"))</f>
        <v/>
      </c>
      <c r="D217" s="26" t="str">
        <f>IF(SUMIFS('BSE - SENSEX Index Options'!$L:$L,'BSE - SENSEX Index Options'!$C:$C,$A217,'BSE - SENSEX Index Options'!$B:$B,D$147,'BSE - SENSEX Index Options'!$H:$H,"Monthly*")+SUMIFS('BSE - Other Index Options'!$L:$L,'BSE - Other Index Options'!$C:$C,$A217,'BSE - Other Index Options'!$B:$B,D$147,'BSE - Other Index Options'!$H:$H,"Monthly*")=0,"",SUMIFS('BSE - SENSEX Index Options'!$L:$L,'BSE - SENSEX Index Options'!$C:$C,$A217,'BSE - SENSEX Index Options'!$B:$B,D$147,'BSE - SENSEX Index Options'!$H:$H,"Monthly*")+SUMIFS('BSE - Other Index Options'!$L:$L,'BSE - Other Index Options'!$C:$C,$A217,'BSE - Other Index Options'!$B:$B,D$147,'BSE - Other Index Options'!$H:$H,"Monthly*"))</f>
        <v/>
      </c>
      <c r="E217" s="26" t="str">
        <f>IF(SUMIFS('BSE - SENSEX Index Options'!$L:$L,'BSE - SENSEX Index Options'!$C:$C,$A217,'BSE - SENSEX Index Options'!$B:$B,E$147,'BSE - SENSEX Index Options'!$H:$H,"Monthly*")+SUMIFS('BSE - Other Index Options'!$L:$L,'BSE - Other Index Options'!$C:$C,$A217,'BSE - Other Index Options'!$B:$B,E$147,'BSE - Other Index Options'!$H:$H,"Monthly*")=0,"",SUMIFS('BSE - SENSEX Index Options'!$L:$L,'BSE - SENSEX Index Options'!$C:$C,$A217,'BSE - SENSEX Index Options'!$B:$B,E$147,'BSE - SENSEX Index Options'!$H:$H,"Monthly*")+SUMIFS('BSE - Other Index Options'!$L:$L,'BSE - Other Index Options'!$C:$C,$A217,'BSE - Other Index Options'!$B:$B,E$147,'BSE - Other Index Options'!$H:$H,"Monthly*"))</f>
        <v/>
      </c>
      <c r="F217" s="26" t="str">
        <f>IF(SUMIFS('BSE - SENSEX Index Options'!$L:$L,'BSE - SENSEX Index Options'!$C:$C,$A217,'BSE - SENSEX Index Options'!$B:$B,F$147,'BSE - SENSEX Index Options'!$H:$H,"Monthly*")+SUMIFS('BSE - Other Index Options'!$L:$L,'BSE - Other Index Options'!$C:$C,$A217,'BSE - Other Index Options'!$B:$B,F$147,'BSE - Other Index Options'!$H:$H,"Monthly*")=0,"",SUMIFS('BSE - SENSEX Index Options'!$L:$L,'BSE - SENSEX Index Options'!$C:$C,$A217,'BSE - SENSEX Index Options'!$B:$B,F$147,'BSE - SENSEX Index Options'!$H:$H,"Monthly*")+SUMIFS('BSE - Other Index Options'!$L:$L,'BSE - Other Index Options'!$C:$C,$A217,'BSE - Other Index Options'!$B:$B,F$147,'BSE - Other Index Options'!$H:$H,"Monthly*"))</f>
        <v/>
      </c>
      <c r="G217" s="26" t="str">
        <f>IF(SUMIFS('BSE - SENSEX Index Options'!$L:$L,'BSE - SENSEX Index Options'!$C:$C,$A217,'BSE - SENSEX Index Options'!$B:$B,G$147,'BSE - SENSEX Index Options'!$H:$H,"Monthly*")+SUMIFS('BSE - Other Index Options'!$L:$L,'BSE - Other Index Options'!$C:$C,$A217,'BSE - Other Index Options'!$B:$B,G$147,'BSE - Other Index Options'!$H:$H,"Monthly*")=0,"",SUMIFS('BSE - SENSEX Index Options'!$L:$L,'BSE - SENSEX Index Options'!$C:$C,$A217,'BSE - SENSEX Index Options'!$B:$B,G$147,'BSE - SENSEX Index Options'!$H:$H,"Monthly*")+SUMIFS('BSE - Other Index Options'!$L:$L,'BSE - Other Index Options'!$C:$C,$A217,'BSE - Other Index Options'!$B:$B,G$147,'BSE - Other Index Options'!$H:$H,"Monthly*"))</f>
        <v/>
      </c>
      <c r="H217" s="26" t="str">
        <f t="shared" si="8"/>
        <v/>
      </c>
    </row>
    <row r="218" spans="1:8" hidden="1" outlineLevel="1">
      <c r="A218" t="s">
        <v>80</v>
      </c>
      <c r="B218" s="26" t="str">
        <f>IF(SUMIFS('BSE - SENSEX Index Options'!$L:$L,'BSE - SENSEX Index Options'!$C:$C,$A218,'BSE - SENSEX Index Options'!$B:$B,B$147,'BSE - SENSEX Index Options'!$H:$H,"Monthly*")+SUMIFS('BSE - Other Index Options'!$L:$L,'BSE - Other Index Options'!$C:$C,$A218,'BSE - Other Index Options'!$B:$B,B$147,'BSE - Other Index Options'!$H:$H,"Monthly*")=0,"",SUMIFS('BSE - SENSEX Index Options'!$L:$L,'BSE - SENSEX Index Options'!$C:$C,$A218,'BSE - SENSEX Index Options'!$B:$B,B$147,'BSE - SENSEX Index Options'!$H:$H,"Monthly*")+SUMIFS('BSE - Other Index Options'!$L:$L,'BSE - Other Index Options'!$C:$C,$A218,'BSE - Other Index Options'!$B:$B,B$147,'BSE - Other Index Options'!$H:$H,"Monthly*"))</f>
        <v/>
      </c>
      <c r="C218" s="26" t="str">
        <f>IF(SUMIFS('BSE - SENSEX Index Options'!$L:$L,'BSE - SENSEX Index Options'!$C:$C,$A218,'BSE - SENSEX Index Options'!$B:$B,C$147,'BSE - SENSEX Index Options'!$H:$H,"Monthly*")+SUMIFS('BSE - Other Index Options'!$L:$L,'BSE - Other Index Options'!$C:$C,$A218,'BSE - Other Index Options'!$B:$B,C$147,'BSE - Other Index Options'!$H:$H,"Monthly*")=0,"",SUMIFS('BSE - SENSEX Index Options'!$L:$L,'BSE - SENSEX Index Options'!$C:$C,$A218,'BSE - SENSEX Index Options'!$B:$B,C$147,'BSE - SENSEX Index Options'!$H:$H,"Monthly*")+SUMIFS('BSE - Other Index Options'!$L:$L,'BSE - Other Index Options'!$C:$C,$A218,'BSE - Other Index Options'!$B:$B,C$147,'BSE - Other Index Options'!$H:$H,"Monthly*"))</f>
        <v/>
      </c>
      <c r="D218" s="26" t="str">
        <f>IF(SUMIFS('BSE - SENSEX Index Options'!$L:$L,'BSE - SENSEX Index Options'!$C:$C,$A218,'BSE - SENSEX Index Options'!$B:$B,D$147,'BSE - SENSEX Index Options'!$H:$H,"Monthly*")+SUMIFS('BSE - Other Index Options'!$L:$L,'BSE - Other Index Options'!$C:$C,$A218,'BSE - Other Index Options'!$B:$B,D$147,'BSE - Other Index Options'!$H:$H,"Monthly*")=0,"",SUMIFS('BSE - SENSEX Index Options'!$L:$L,'BSE - SENSEX Index Options'!$C:$C,$A218,'BSE - SENSEX Index Options'!$B:$B,D$147,'BSE - SENSEX Index Options'!$H:$H,"Monthly*")+SUMIFS('BSE - Other Index Options'!$L:$L,'BSE - Other Index Options'!$C:$C,$A218,'BSE - Other Index Options'!$B:$B,D$147,'BSE - Other Index Options'!$H:$H,"Monthly*"))</f>
        <v/>
      </c>
      <c r="E218" s="26" t="str">
        <f>IF(SUMIFS('BSE - SENSEX Index Options'!$L:$L,'BSE - SENSEX Index Options'!$C:$C,$A218,'BSE - SENSEX Index Options'!$B:$B,E$147,'BSE - SENSEX Index Options'!$H:$H,"Monthly*")+SUMIFS('BSE - Other Index Options'!$L:$L,'BSE - Other Index Options'!$C:$C,$A218,'BSE - Other Index Options'!$B:$B,E$147,'BSE - Other Index Options'!$H:$H,"Monthly*")=0,"",SUMIFS('BSE - SENSEX Index Options'!$L:$L,'BSE - SENSEX Index Options'!$C:$C,$A218,'BSE - SENSEX Index Options'!$B:$B,E$147,'BSE - SENSEX Index Options'!$H:$H,"Monthly*")+SUMIFS('BSE - Other Index Options'!$L:$L,'BSE - Other Index Options'!$C:$C,$A218,'BSE - Other Index Options'!$B:$B,E$147,'BSE - Other Index Options'!$H:$H,"Monthly*"))</f>
        <v/>
      </c>
      <c r="F218" s="26" t="str">
        <f>IF(SUMIFS('BSE - SENSEX Index Options'!$L:$L,'BSE - SENSEX Index Options'!$C:$C,$A218,'BSE - SENSEX Index Options'!$B:$B,F$147,'BSE - SENSEX Index Options'!$H:$H,"Monthly*")+SUMIFS('BSE - Other Index Options'!$L:$L,'BSE - Other Index Options'!$C:$C,$A218,'BSE - Other Index Options'!$B:$B,F$147,'BSE - Other Index Options'!$H:$H,"Monthly*")=0,"",SUMIFS('BSE - SENSEX Index Options'!$L:$L,'BSE - SENSEX Index Options'!$C:$C,$A218,'BSE - SENSEX Index Options'!$B:$B,F$147,'BSE - SENSEX Index Options'!$H:$H,"Monthly*")+SUMIFS('BSE - Other Index Options'!$L:$L,'BSE - Other Index Options'!$C:$C,$A218,'BSE - Other Index Options'!$B:$B,F$147,'BSE - Other Index Options'!$H:$H,"Monthly*"))</f>
        <v/>
      </c>
      <c r="G218" s="26" t="str">
        <f>IF(SUMIFS('BSE - SENSEX Index Options'!$L:$L,'BSE - SENSEX Index Options'!$C:$C,$A218,'BSE - SENSEX Index Options'!$B:$B,G$147,'BSE - SENSEX Index Options'!$H:$H,"Monthly*")+SUMIFS('BSE - Other Index Options'!$L:$L,'BSE - Other Index Options'!$C:$C,$A218,'BSE - Other Index Options'!$B:$B,G$147,'BSE - Other Index Options'!$H:$H,"Monthly*")=0,"",SUMIFS('BSE - SENSEX Index Options'!$L:$L,'BSE - SENSEX Index Options'!$C:$C,$A218,'BSE - SENSEX Index Options'!$B:$B,G$147,'BSE - SENSEX Index Options'!$H:$H,"Monthly*")+SUMIFS('BSE - Other Index Options'!$L:$L,'BSE - Other Index Options'!$C:$C,$A218,'BSE - Other Index Options'!$B:$B,G$147,'BSE - Other Index Options'!$H:$H,"Monthly*"))</f>
        <v/>
      </c>
      <c r="H218" s="26" t="str">
        <f t="shared" si="8"/>
        <v/>
      </c>
    </row>
    <row r="219" spans="1:8" hidden="1" outlineLevel="1">
      <c r="A219" t="s">
        <v>81</v>
      </c>
      <c r="B219" s="26" t="str">
        <f>IF(SUMIFS('BSE - SENSEX Index Options'!$L:$L,'BSE - SENSEX Index Options'!$C:$C,$A219,'BSE - SENSEX Index Options'!$B:$B,B$147,'BSE - SENSEX Index Options'!$H:$H,"Monthly*")+SUMIFS('BSE - Other Index Options'!$L:$L,'BSE - Other Index Options'!$C:$C,$A219,'BSE - Other Index Options'!$B:$B,B$147,'BSE - Other Index Options'!$H:$H,"Monthly*")=0,"",SUMIFS('BSE - SENSEX Index Options'!$L:$L,'BSE - SENSEX Index Options'!$C:$C,$A219,'BSE - SENSEX Index Options'!$B:$B,B$147,'BSE - SENSEX Index Options'!$H:$H,"Monthly*")+SUMIFS('BSE - Other Index Options'!$L:$L,'BSE - Other Index Options'!$C:$C,$A219,'BSE - Other Index Options'!$B:$B,B$147,'BSE - Other Index Options'!$H:$H,"Monthly*"))</f>
        <v/>
      </c>
      <c r="C219" s="26" t="str">
        <f>IF(SUMIFS('BSE - SENSEX Index Options'!$L:$L,'BSE - SENSEX Index Options'!$C:$C,$A219,'BSE - SENSEX Index Options'!$B:$B,C$147,'BSE - SENSEX Index Options'!$H:$H,"Monthly*")+SUMIFS('BSE - Other Index Options'!$L:$L,'BSE - Other Index Options'!$C:$C,$A219,'BSE - Other Index Options'!$B:$B,C$147,'BSE - Other Index Options'!$H:$H,"Monthly*")=0,"",SUMIFS('BSE - SENSEX Index Options'!$L:$L,'BSE - SENSEX Index Options'!$C:$C,$A219,'BSE - SENSEX Index Options'!$B:$B,C$147,'BSE - SENSEX Index Options'!$H:$H,"Monthly*")+SUMIFS('BSE - Other Index Options'!$L:$L,'BSE - Other Index Options'!$C:$C,$A219,'BSE - Other Index Options'!$B:$B,C$147,'BSE - Other Index Options'!$H:$H,"Monthly*"))</f>
        <v/>
      </c>
      <c r="D219" s="26" t="str">
        <f>IF(SUMIFS('BSE - SENSEX Index Options'!$L:$L,'BSE - SENSEX Index Options'!$C:$C,$A219,'BSE - SENSEX Index Options'!$B:$B,D$147,'BSE - SENSEX Index Options'!$H:$H,"Monthly*")+SUMIFS('BSE - Other Index Options'!$L:$L,'BSE - Other Index Options'!$C:$C,$A219,'BSE - Other Index Options'!$B:$B,D$147,'BSE - Other Index Options'!$H:$H,"Monthly*")=0,"",SUMIFS('BSE - SENSEX Index Options'!$L:$L,'BSE - SENSEX Index Options'!$C:$C,$A219,'BSE - SENSEX Index Options'!$B:$B,D$147,'BSE - SENSEX Index Options'!$H:$H,"Monthly*")+SUMIFS('BSE - Other Index Options'!$L:$L,'BSE - Other Index Options'!$C:$C,$A219,'BSE - Other Index Options'!$B:$B,D$147,'BSE - Other Index Options'!$H:$H,"Monthly*"))</f>
        <v/>
      </c>
      <c r="E219" s="26" t="str">
        <f>IF(SUMIFS('BSE - SENSEX Index Options'!$L:$L,'BSE - SENSEX Index Options'!$C:$C,$A219,'BSE - SENSEX Index Options'!$B:$B,E$147,'BSE - SENSEX Index Options'!$H:$H,"Monthly*")+SUMIFS('BSE - Other Index Options'!$L:$L,'BSE - Other Index Options'!$C:$C,$A219,'BSE - Other Index Options'!$B:$B,E$147,'BSE - Other Index Options'!$H:$H,"Monthly*")=0,"",SUMIFS('BSE - SENSEX Index Options'!$L:$L,'BSE - SENSEX Index Options'!$C:$C,$A219,'BSE - SENSEX Index Options'!$B:$B,E$147,'BSE - SENSEX Index Options'!$H:$H,"Monthly*")+SUMIFS('BSE - Other Index Options'!$L:$L,'BSE - Other Index Options'!$C:$C,$A219,'BSE - Other Index Options'!$B:$B,E$147,'BSE - Other Index Options'!$H:$H,"Monthly*"))</f>
        <v/>
      </c>
      <c r="F219" s="26" t="str">
        <f>IF(SUMIFS('BSE - SENSEX Index Options'!$L:$L,'BSE - SENSEX Index Options'!$C:$C,$A219,'BSE - SENSEX Index Options'!$B:$B,F$147,'BSE - SENSEX Index Options'!$H:$H,"Monthly*")+SUMIFS('BSE - Other Index Options'!$L:$L,'BSE - Other Index Options'!$C:$C,$A219,'BSE - Other Index Options'!$B:$B,F$147,'BSE - Other Index Options'!$H:$H,"Monthly*")=0,"",SUMIFS('BSE - SENSEX Index Options'!$L:$L,'BSE - SENSEX Index Options'!$C:$C,$A219,'BSE - SENSEX Index Options'!$B:$B,F$147,'BSE - SENSEX Index Options'!$H:$H,"Monthly*")+SUMIFS('BSE - Other Index Options'!$L:$L,'BSE - Other Index Options'!$C:$C,$A219,'BSE - Other Index Options'!$B:$B,F$147,'BSE - Other Index Options'!$H:$H,"Monthly*"))</f>
        <v/>
      </c>
      <c r="G219" s="26" t="str">
        <f>IF(SUMIFS('BSE - SENSEX Index Options'!$L:$L,'BSE - SENSEX Index Options'!$C:$C,$A219,'BSE - SENSEX Index Options'!$B:$B,G$147,'BSE - SENSEX Index Options'!$H:$H,"Monthly*")+SUMIFS('BSE - Other Index Options'!$L:$L,'BSE - Other Index Options'!$C:$C,$A219,'BSE - Other Index Options'!$B:$B,G$147,'BSE - Other Index Options'!$H:$H,"Monthly*")=0,"",SUMIFS('BSE - SENSEX Index Options'!$L:$L,'BSE - SENSEX Index Options'!$C:$C,$A219,'BSE - SENSEX Index Options'!$B:$B,G$147,'BSE - SENSEX Index Options'!$H:$H,"Monthly*")+SUMIFS('BSE - Other Index Options'!$L:$L,'BSE - Other Index Options'!$C:$C,$A219,'BSE - Other Index Options'!$B:$B,G$147,'BSE - Other Index Options'!$H:$H,"Monthly*"))</f>
        <v/>
      </c>
      <c r="H219" s="26" t="str">
        <f t="shared" si="8"/>
        <v/>
      </c>
    </row>
    <row r="220" spans="1:8" hidden="1" outlineLevel="1">
      <c r="A220" t="s">
        <v>82</v>
      </c>
      <c r="B220" s="26" t="str">
        <f>IF(SUMIFS('BSE - SENSEX Index Options'!$L:$L,'BSE - SENSEX Index Options'!$C:$C,$A220,'BSE - SENSEX Index Options'!$B:$B,B$147,'BSE - SENSEX Index Options'!$H:$H,"Monthly*")+SUMIFS('BSE - Other Index Options'!$L:$L,'BSE - Other Index Options'!$C:$C,$A220,'BSE - Other Index Options'!$B:$B,B$147,'BSE - Other Index Options'!$H:$H,"Monthly*")=0,"",SUMIFS('BSE - SENSEX Index Options'!$L:$L,'BSE - SENSEX Index Options'!$C:$C,$A220,'BSE - SENSEX Index Options'!$B:$B,B$147,'BSE - SENSEX Index Options'!$H:$H,"Monthly*")+SUMIFS('BSE - Other Index Options'!$L:$L,'BSE - Other Index Options'!$C:$C,$A220,'BSE - Other Index Options'!$B:$B,B$147,'BSE - Other Index Options'!$H:$H,"Monthly*"))</f>
        <v/>
      </c>
      <c r="C220" s="26" t="str">
        <f>IF(SUMIFS('BSE - SENSEX Index Options'!$L:$L,'BSE - SENSEX Index Options'!$C:$C,$A220,'BSE - SENSEX Index Options'!$B:$B,C$147,'BSE - SENSEX Index Options'!$H:$H,"Monthly*")+SUMIFS('BSE - Other Index Options'!$L:$L,'BSE - Other Index Options'!$C:$C,$A220,'BSE - Other Index Options'!$B:$B,C$147,'BSE - Other Index Options'!$H:$H,"Monthly*")=0,"",SUMIFS('BSE - SENSEX Index Options'!$L:$L,'BSE - SENSEX Index Options'!$C:$C,$A220,'BSE - SENSEX Index Options'!$B:$B,C$147,'BSE - SENSEX Index Options'!$H:$H,"Monthly*")+SUMIFS('BSE - Other Index Options'!$L:$L,'BSE - Other Index Options'!$C:$C,$A220,'BSE - Other Index Options'!$B:$B,C$147,'BSE - Other Index Options'!$H:$H,"Monthly*"))</f>
        <v/>
      </c>
      <c r="D220" s="26" t="str">
        <f>IF(SUMIFS('BSE - SENSEX Index Options'!$L:$L,'BSE - SENSEX Index Options'!$C:$C,$A220,'BSE - SENSEX Index Options'!$B:$B,D$147,'BSE - SENSEX Index Options'!$H:$H,"Monthly*")+SUMIFS('BSE - Other Index Options'!$L:$L,'BSE - Other Index Options'!$C:$C,$A220,'BSE - Other Index Options'!$B:$B,D$147,'BSE - Other Index Options'!$H:$H,"Monthly*")=0,"",SUMIFS('BSE - SENSEX Index Options'!$L:$L,'BSE - SENSEX Index Options'!$C:$C,$A220,'BSE - SENSEX Index Options'!$B:$B,D$147,'BSE - SENSEX Index Options'!$H:$H,"Monthly*")+SUMIFS('BSE - Other Index Options'!$L:$L,'BSE - Other Index Options'!$C:$C,$A220,'BSE - Other Index Options'!$B:$B,D$147,'BSE - Other Index Options'!$H:$H,"Monthly*"))</f>
        <v/>
      </c>
      <c r="E220" s="26" t="str">
        <f>IF(SUMIFS('BSE - SENSEX Index Options'!$L:$L,'BSE - SENSEX Index Options'!$C:$C,$A220,'BSE - SENSEX Index Options'!$B:$B,E$147,'BSE - SENSEX Index Options'!$H:$H,"Monthly*")+SUMIFS('BSE - Other Index Options'!$L:$L,'BSE - Other Index Options'!$C:$C,$A220,'BSE - Other Index Options'!$B:$B,E$147,'BSE - Other Index Options'!$H:$H,"Monthly*")=0,"",SUMIFS('BSE - SENSEX Index Options'!$L:$L,'BSE - SENSEX Index Options'!$C:$C,$A220,'BSE - SENSEX Index Options'!$B:$B,E$147,'BSE - SENSEX Index Options'!$H:$H,"Monthly*")+SUMIFS('BSE - Other Index Options'!$L:$L,'BSE - Other Index Options'!$C:$C,$A220,'BSE - Other Index Options'!$B:$B,E$147,'BSE - Other Index Options'!$H:$H,"Monthly*"))</f>
        <v/>
      </c>
      <c r="F220" s="26" t="str">
        <f>IF(SUMIFS('BSE - SENSEX Index Options'!$L:$L,'BSE - SENSEX Index Options'!$C:$C,$A220,'BSE - SENSEX Index Options'!$B:$B,F$147,'BSE - SENSEX Index Options'!$H:$H,"Monthly*")+SUMIFS('BSE - Other Index Options'!$L:$L,'BSE - Other Index Options'!$C:$C,$A220,'BSE - Other Index Options'!$B:$B,F$147,'BSE - Other Index Options'!$H:$H,"Monthly*")=0,"",SUMIFS('BSE - SENSEX Index Options'!$L:$L,'BSE - SENSEX Index Options'!$C:$C,$A220,'BSE - SENSEX Index Options'!$B:$B,F$147,'BSE - SENSEX Index Options'!$H:$H,"Monthly*")+SUMIFS('BSE - Other Index Options'!$L:$L,'BSE - Other Index Options'!$C:$C,$A220,'BSE - Other Index Options'!$B:$B,F$147,'BSE - Other Index Options'!$H:$H,"Monthly*"))</f>
        <v/>
      </c>
      <c r="G220" s="26" t="str">
        <f>IF(SUMIFS('BSE - SENSEX Index Options'!$L:$L,'BSE - SENSEX Index Options'!$C:$C,$A220,'BSE - SENSEX Index Options'!$B:$B,G$147,'BSE - SENSEX Index Options'!$H:$H,"Monthly*")+SUMIFS('BSE - Other Index Options'!$L:$L,'BSE - Other Index Options'!$C:$C,$A220,'BSE - Other Index Options'!$B:$B,G$147,'BSE - Other Index Options'!$H:$H,"Monthly*")=0,"",SUMIFS('BSE - SENSEX Index Options'!$L:$L,'BSE - SENSEX Index Options'!$C:$C,$A220,'BSE - SENSEX Index Options'!$B:$B,G$147,'BSE - SENSEX Index Options'!$H:$H,"Monthly*")+SUMIFS('BSE - Other Index Options'!$L:$L,'BSE - Other Index Options'!$C:$C,$A220,'BSE - Other Index Options'!$B:$B,G$147,'BSE - Other Index Options'!$H:$H,"Monthly*"))</f>
        <v/>
      </c>
      <c r="H220" s="26" t="str">
        <f t="shared" si="8"/>
        <v/>
      </c>
    </row>
    <row r="221" spans="1:8" hidden="1" outlineLevel="1">
      <c r="A221" t="s">
        <v>83</v>
      </c>
      <c r="B221" s="26" t="str">
        <f>IF(SUMIFS('BSE - SENSEX Index Options'!$L:$L,'BSE - SENSEX Index Options'!$C:$C,$A221,'BSE - SENSEX Index Options'!$B:$B,B$147,'BSE - SENSEX Index Options'!$H:$H,"Monthly*")+SUMIFS('BSE - Other Index Options'!$L:$L,'BSE - Other Index Options'!$C:$C,$A221,'BSE - Other Index Options'!$B:$B,B$147,'BSE - Other Index Options'!$H:$H,"Monthly*")=0,"",SUMIFS('BSE - SENSEX Index Options'!$L:$L,'BSE - SENSEX Index Options'!$C:$C,$A221,'BSE - SENSEX Index Options'!$B:$B,B$147,'BSE - SENSEX Index Options'!$H:$H,"Monthly*")+SUMIFS('BSE - Other Index Options'!$L:$L,'BSE - Other Index Options'!$C:$C,$A221,'BSE - Other Index Options'!$B:$B,B$147,'BSE - Other Index Options'!$H:$H,"Monthly*"))</f>
        <v/>
      </c>
      <c r="C221" s="26" t="str">
        <f>IF(SUMIFS('BSE - SENSEX Index Options'!$L:$L,'BSE - SENSEX Index Options'!$C:$C,$A221,'BSE - SENSEX Index Options'!$B:$B,C$147,'BSE - SENSEX Index Options'!$H:$H,"Monthly*")+SUMIFS('BSE - Other Index Options'!$L:$L,'BSE - Other Index Options'!$C:$C,$A221,'BSE - Other Index Options'!$B:$B,C$147,'BSE - Other Index Options'!$H:$H,"Monthly*")=0,"",SUMIFS('BSE - SENSEX Index Options'!$L:$L,'BSE - SENSEX Index Options'!$C:$C,$A221,'BSE - SENSEX Index Options'!$B:$B,C$147,'BSE - SENSEX Index Options'!$H:$H,"Monthly*")+SUMIFS('BSE - Other Index Options'!$L:$L,'BSE - Other Index Options'!$C:$C,$A221,'BSE - Other Index Options'!$B:$B,C$147,'BSE - Other Index Options'!$H:$H,"Monthly*"))</f>
        <v/>
      </c>
      <c r="D221" s="26" t="str">
        <f>IF(SUMIFS('BSE - SENSEX Index Options'!$L:$L,'BSE - SENSEX Index Options'!$C:$C,$A221,'BSE - SENSEX Index Options'!$B:$B,D$147,'BSE - SENSEX Index Options'!$H:$H,"Monthly*")+SUMIFS('BSE - Other Index Options'!$L:$L,'BSE - Other Index Options'!$C:$C,$A221,'BSE - Other Index Options'!$B:$B,D$147,'BSE - Other Index Options'!$H:$H,"Monthly*")=0,"",SUMIFS('BSE - SENSEX Index Options'!$L:$L,'BSE - SENSEX Index Options'!$C:$C,$A221,'BSE - SENSEX Index Options'!$B:$B,D$147,'BSE - SENSEX Index Options'!$H:$H,"Monthly*")+SUMIFS('BSE - Other Index Options'!$L:$L,'BSE - Other Index Options'!$C:$C,$A221,'BSE - Other Index Options'!$B:$B,D$147,'BSE - Other Index Options'!$H:$H,"Monthly*"))</f>
        <v/>
      </c>
      <c r="E221" s="26" t="str">
        <f>IF(SUMIFS('BSE - SENSEX Index Options'!$L:$L,'BSE - SENSEX Index Options'!$C:$C,$A221,'BSE - SENSEX Index Options'!$B:$B,E$147,'BSE - SENSEX Index Options'!$H:$H,"Monthly*")+SUMIFS('BSE - Other Index Options'!$L:$L,'BSE - Other Index Options'!$C:$C,$A221,'BSE - Other Index Options'!$B:$B,E$147,'BSE - Other Index Options'!$H:$H,"Monthly*")=0,"",SUMIFS('BSE - SENSEX Index Options'!$L:$L,'BSE - SENSEX Index Options'!$C:$C,$A221,'BSE - SENSEX Index Options'!$B:$B,E$147,'BSE - SENSEX Index Options'!$H:$H,"Monthly*")+SUMIFS('BSE - Other Index Options'!$L:$L,'BSE - Other Index Options'!$C:$C,$A221,'BSE - Other Index Options'!$B:$B,E$147,'BSE - Other Index Options'!$H:$H,"Monthly*"))</f>
        <v/>
      </c>
      <c r="F221" s="26" t="str">
        <f>IF(SUMIFS('BSE - SENSEX Index Options'!$L:$L,'BSE - SENSEX Index Options'!$C:$C,$A221,'BSE - SENSEX Index Options'!$B:$B,F$147,'BSE - SENSEX Index Options'!$H:$H,"Monthly*")+SUMIFS('BSE - Other Index Options'!$L:$L,'BSE - Other Index Options'!$C:$C,$A221,'BSE - Other Index Options'!$B:$B,F$147,'BSE - Other Index Options'!$H:$H,"Monthly*")=0,"",SUMIFS('BSE - SENSEX Index Options'!$L:$L,'BSE - SENSEX Index Options'!$C:$C,$A221,'BSE - SENSEX Index Options'!$B:$B,F$147,'BSE - SENSEX Index Options'!$H:$H,"Monthly*")+SUMIFS('BSE - Other Index Options'!$L:$L,'BSE - Other Index Options'!$C:$C,$A221,'BSE - Other Index Options'!$B:$B,F$147,'BSE - Other Index Options'!$H:$H,"Monthly*"))</f>
        <v/>
      </c>
      <c r="G221" s="26" t="str">
        <f>IF(SUMIFS('BSE - SENSEX Index Options'!$L:$L,'BSE - SENSEX Index Options'!$C:$C,$A221,'BSE - SENSEX Index Options'!$B:$B,G$147,'BSE - SENSEX Index Options'!$H:$H,"Monthly*")+SUMIFS('BSE - Other Index Options'!$L:$L,'BSE - Other Index Options'!$C:$C,$A221,'BSE - Other Index Options'!$B:$B,G$147,'BSE - Other Index Options'!$H:$H,"Monthly*")=0,"",SUMIFS('BSE - SENSEX Index Options'!$L:$L,'BSE - SENSEX Index Options'!$C:$C,$A221,'BSE - SENSEX Index Options'!$B:$B,G$147,'BSE - SENSEX Index Options'!$H:$H,"Monthly*")+SUMIFS('BSE - Other Index Options'!$L:$L,'BSE - Other Index Options'!$C:$C,$A221,'BSE - Other Index Options'!$B:$B,G$147,'BSE - Other Index Options'!$H:$H,"Monthly*"))</f>
        <v/>
      </c>
      <c r="H221" s="26" t="str">
        <f t="shared" si="8"/>
        <v/>
      </c>
    </row>
    <row r="222" spans="1:8" hidden="1" outlineLevel="1">
      <c r="A222" t="s">
        <v>84</v>
      </c>
      <c r="B222" s="26" t="str">
        <f>IF(SUMIFS('BSE - SENSEX Index Options'!$L:$L,'BSE - SENSEX Index Options'!$C:$C,$A222,'BSE - SENSEX Index Options'!$B:$B,B$147,'BSE - SENSEX Index Options'!$H:$H,"Monthly*")+SUMIFS('BSE - Other Index Options'!$L:$L,'BSE - Other Index Options'!$C:$C,$A222,'BSE - Other Index Options'!$B:$B,B$147,'BSE - Other Index Options'!$H:$H,"Monthly*")=0,"",SUMIFS('BSE - SENSEX Index Options'!$L:$L,'BSE - SENSEX Index Options'!$C:$C,$A222,'BSE - SENSEX Index Options'!$B:$B,B$147,'BSE - SENSEX Index Options'!$H:$H,"Monthly*")+SUMIFS('BSE - Other Index Options'!$L:$L,'BSE - Other Index Options'!$C:$C,$A222,'BSE - Other Index Options'!$B:$B,B$147,'BSE - Other Index Options'!$H:$H,"Monthly*"))</f>
        <v/>
      </c>
      <c r="C222" s="26" t="str">
        <f>IF(SUMIFS('BSE - SENSEX Index Options'!$L:$L,'BSE - SENSEX Index Options'!$C:$C,$A222,'BSE - SENSEX Index Options'!$B:$B,C$147,'BSE - SENSEX Index Options'!$H:$H,"Monthly*")+SUMIFS('BSE - Other Index Options'!$L:$L,'BSE - Other Index Options'!$C:$C,$A222,'BSE - Other Index Options'!$B:$B,C$147,'BSE - Other Index Options'!$H:$H,"Monthly*")=0,"",SUMIFS('BSE - SENSEX Index Options'!$L:$L,'BSE - SENSEX Index Options'!$C:$C,$A222,'BSE - SENSEX Index Options'!$B:$B,C$147,'BSE - SENSEX Index Options'!$H:$H,"Monthly*")+SUMIFS('BSE - Other Index Options'!$L:$L,'BSE - Other Index Options'!$C:$C,$A222,'BSE - Other Index Options'!$B:$B,C$147,'BSE - Other Index Options'!$H:$H,"Monthly*"))</f>
        <v/>
      </c>
      <c r="D222" s="26" t="str">
        <f>IF(SUMIFS('BSE - SENSEX Index Options'!$L:$L,'BSE - SENSEX Index Options'!$C:$C,$A222,'BSE - SENSEX Index Options'!$B:$B,D$147,'BSE - SENSEX Index Options'!$H:$H,"Monthly*")+SUMIFS('BSE - Other Index Options'!$L:$L,'BSE - Other Index Options'!$C:$C,$A222,'BSE - Other Index Options'!$B:$B,D$147,'BSE - Other Index Options'!$H:$H,"Monthly*")=0,"",SUMIFS('BSE - SENSEX Index Options'!$L:$L,'BSE - SENSEX Index Options'!$C:$C,$A222,'BSE - SENSEX Index Options'!$B:$B,D$147,'BSE - SENSEX Index Options'!$H:$H,"Monthly*")+SUMIFS('BSE - Other Index Options'!$L:$L,'BSE - Other Index Options'!$C:$C,$A222,'BSE - Other Index Options'!$B:$B,D$147,'BSE - Other Index Options'!$H:$H,"Monthly*"))</f>
        <v/>
      </c>
      <c r="E222" s="26" t="str">
        <f>IF(SUMIFS('BSE - SENSEX Index Options'!$L:$L,'BSE - SENSEX Index Options'!$C:$C,$A222,'BSE - SENSEX Index Options'!$B:$B,E$147,'BSE - SENSEX Index Options'!$H:$H,"Monthly*")+SUMIFS('BSE - Other Index Options'!$L:$L,'BSE - Other Index Options'!$C:$C,$A222,'BSE - Other Index Options'!$B:$B,E$147,'BSE - Other Index Options'!$H:$H,"Monthly*")=0,"",SUMIFS('BSE - SENSEX Index Options'!$L:$L,'BSE - SENSEX Index Options'!$C:$C,$A222,'BSE - SENSEX Index Options'!$B:$B,E$147,'BSE - SENSEX Index Options'!$H:$H,"Monthly*")+SUMIFS('BSE - Other Index Options'!$L:$L,'BSE - Other Index Options'!$C:$C,$A222,'BSE - Other Index Options'!$B:$B,E$147,'BSE - Other Index Options'!$H:$H,"Monthly*"))</f>
        <v/>
      </c>
      <c r="F222" s="26" t="str">
        <f>IF(SUMIFS('BSE - SENSEX Index Options'!$L:$L,'BSE - SENSEX Index Options'!$C:$C,$A222,'BSE - SENSEX Index Options'!$B:$B,F$147,'BSE - SENSEX Index Options'!$H:$H,"Monthly*")+SUMIFS('BSE - Other Index Options'!$L:$L,'BSE - Other Index Options'!$C:$C,$A222,'BSE - Other Index Options'!$B:$B,F$147,'BSE - Other Index Options'!$H:$H,"Monthly*")=0,"",SUMIFS('BSE - SENSEX Index Options'!$L:$L,'BSE - SENSEX Index Options'!$C:$C,$A222,'BSE - SENSEX Index Options'!$B:$B,F$147,'BSE - SENSEX Index Options'!$H:$H,"Monthly*")+SUMIFS('BSE - Other Index Options'!$L:$L,'BSE - Other Index Options'!$C:$C,$A222,'BSE - Other Index Options'!$B:$B,F$147,'BSE - Other Index Options'!$H:$H,"Monthly*"))</f>
        <v/>
      </c>
      <c r="G222" s="26" t="str">
        <f>IF(SUMIFS('BSE - SENSEX Index Options'!$L:$L,'BSE - SENSEX Index Options'!$C:$C,$A222,'BSE - SENSEX Index Options'!$B:$B,G$147,'BSE - SENSEX Index Options'!$H:$H,"Monthly*")+SUMIFS('BSE - Other Index Options'!$L:$L,'BSE - Other Index Options'!$C:$C,$A222,'BSE - Other Index Options'!$B:$B,G$147,'BSE - Other Index Options'!$H:$H,"Monthly*")=0,"",SUMIFS('BSE - SENSEX Index Options'!$L:$L,'BSE - SENSEX Index Options'!$C:$C,$A222,'BSE - SENSEX Index Options'!$B:$B,G$147,'BSE - SENSEX Index Options'!$H:$H,"Monthly*")+SUMIFS('BSE - Other Index Options'!$L:$L,'BSE - Other Index Options'!$C:$C,$A222,'BSE - Other Index Options'!$B:$B,G$147,'BSE - Other Index Options'!$H:$H,"Monthly*"))</f>
        <v/>
      </c>
      <c r="H222" s="26" t="str">
        <f t="shared" si="8"/>
        <v/>
      </c>
    </row>
    <row r="223" spans="1:8" hidden="1" outlineLevel="1">
      <c r="A223" t="s">
        <v>85</v>
      </c>
      <c r="B223" s="26" t="str">
        <f>IF(SUMIFS('BSE - SENSEX Index Options'!$L:$L,'BSE - SENSEX Index Options'!$C:$C,$A223,'BSE - SENSEX Index Options'!$B:$B,B$147,'BSE - SENSEX Index Options'!$H:$H,"Monthly*")+SUMIFS('BSE - Other Index Options'!$L:$L,'BSE - Other Index Options'!$C:$C,$A223,'BSE - Other Index Options'!$B:$B,B$147,'BSE - Other Index Options'!$H:$H,"Monthly*")=0,"",SUMIFS('BSE - SENSEX Index Options'!$L:$L,'BSE - SENSEX Index Options'!$C:$C,$A223,'BSE - SENSEX Index Options'!$B:$B,B$147,'BSE - SENSEX Index Options'!$H:$H,"Monthly*")+SUMIFS('BSE - Other Index Options'!$L:$L,'BSE - Other Index Options'!$C:$C,$A223,'BSE - Other Index Options'!$B:$B,B$147,'BSE - Other Index Options'!$H:$H,"Monthly*"))</f>
        <v/>
      </c>
      <c r="C223" s="26" t="str">
        <f>IF(SUMIFS('BSE - SENSEX Index Options'!$L:$L,'BSE - SENSEX Index Options'!$C:$C,$A223,'BSE - SENSEX Index Options'!$B:$B,C$147,'BSE - SENSEX Index Options'!$H:$H,"Monthly*")+SUMIFS('BSE - Other Index Options'!$L:$L,'BSE - Other Index Options'!$C:$C,$A223,'BSE - Other Index Options'!$B:$B,C$147,'BSE - Other Index Options'!$H:$H,"Monthly*")=0,"",SUMIFS('BSE - SENSEX Index Options'!$L:$L,'BSE - SENSEX Index Options'!$C:$C,$A223,'BSE - SENSEX Index Options'!$B:$B,C$147,'BSE - SENSEX Index Options'!$H:$H,"Monthly*")+SUMIFS('BSE - Other Index Options'!$L:$L,'BSE - Other Index Options'!$C:$C,$A223,'BSE - Other Index Options'!$B:$B,C$147,'BSE - Other Index Options'!$H:$H,"Monthly*"))</f>
        <v/>
      </c>
      <c r="D223" s="26" t="str">
        <f>IF(SUMIFS('BSE - SENSEX Index Options'!$L:$L,'BSE - SENSEX Index Options'!$C:$C,$A223,'BSE - SENSEX Index Options'!$B:$B,D$147,'BSE - SENSEX Index Options'!$H:$H,"Monthly*")+SUMIFS('BSE - Other Index Options'!$L:$L,'BSE - Other Index Options'!$C:$C,$A223,'BSE - Other Index Options'!$B:$B,D$147,'BSE - Other Index Options'!$H:$H,"Monthly*")=0,"",SUMIFS('BSE - SENSEX Index Options'!$L:$L,'BSE - SENSEX Index Options'!$C:$C,$A223,'BSE - SENSEX Index Options'!$B:$B,D$147,'BSE - SENSEX Index Options'!$H:$H,"Monthly*")+SUMIFS('BSE - Other Index Options'!$L:$L,'BSE - Other Index Options'!$C:$C,$A223,'BSE - Other Index Options'!$B:$B,D$147,'BSE - Other Index Options'!$H:$H,"Monthly*"))</f>
        <v/>
      </c>
      <c r="E223" s="26" t="str">
        <f>IF(SUMIFS('BSE - SENSEX Index Options'!$L:$L,'BSE - SENSEX Index Options'!$C:$C,$A223,'BSE - SENSEX Index Options'!$B:$B,E$147,'BSE - SENSEX Index Options'!$H:$H,"Monthly*")+SUMIFS('BSE - Other Index Options'!$L:$L,'BSE - Other Index Options'!$C:$C,$A223,'BSE - Other Index Options'!$B:$B,E$147,'BSE - Other Index Options'!$H:$H,"Monthly*")=0,"",SUMIFS('BSE - SENSEX Index Options'!$L:$L,'BSE - SENSEX Index Options'!$C:$C,$A223,'BSE - SENSEX Index Options'!$B:$B,E$147,'BSE - SENSEX Index Options'!$H:$H,"Monthly*")+SUMIFS('BSE - Other Index Options'!$L:$L,'BSE - Other Index Options'!$C:$C,$A223,'BSE - Other Index Options'!$B:$B,E$147,'BSE - Other Index Options'!$H:$H,"Monthly*"))</f>
        <v/>
      </c>
      <c r="F223" s="26" t="str">
        <f>IF(SUMIFS('BSE - SENSEX Index Options'!$L:$L,'BSE - SENSEX Index Options'!$C:$C,$A223,'BSE - SENSEX Index Options'!$B:$B,F$147,'BSE - SENSEX Index Options'!$H:$H,"Monthly*")+SUMIFS('BSE - Other Index Options'!$L:$L,'BSE - Other Index Options'!$C:$C,$A223,'BSE - Other Index Options'!$B:$B,F$147,'BSE - Other Index Options'!$H:$H,"Monthly*")=0,"",SUMIFS('BSE - SENSEX Index Options'!$L:$L,'BSE - SENSEX Index Options'!$C:$C,$A223,'BSE - SENSEX Index Options'!$B:$B,F$147,'BSE - SENSEX Index Options'!$H:$H,"Monthly*")+SUMIFS('BSE - Other Index Options'!$L:$L,'BSE - Other Index Options'!$C:$C,$A223,'BSE - Other Index Options'!$B:$B,F$147,'BSE - Other Index Options'!$H:$H,"Monthly*"))</f>
        <v/>
      </c>
      <c r="G223" s="26" t="str">
        <f>IF(SUMIFS('BSE - SENSEX Index Options'!$L:$L,'BSE - SENSEX Index Options'!$C:$C,$A223,'BSE - SENSEX Index Options'!$B:$B,G$147,'BSE - SENSEX Index Options'!$H:$H,"Monthly*")+SUMIFS('BSE - Other Index Options'!$L:$L,'BSE - Other Index Options'!$C:$C,$A223,'BSE - Other Index Options'!$B:$B,G$147,'BSE - Other Index Options'!$H:$H,"Monthly*")=0,"",SUMIFS('BSE - SENSEX Index Options'!$L:$L,'BSE - SENSEX Index Options'!$C:$C,$A223,'BSE - SENSEX Index Options'!$B:$B,G$147,'BSE - SENSEX Index Options'!$H:$H,"Monthly*")+SUMIFS('BSE - Other Index Options'!$L:$L,'BSE - Other Index Options'!$C:$C,$A223,'BSE - Other Index Options'!$B:$B,G$147,'BSE - Other Index Options'!$H:$H,"Monthly*"))</f>
        <v/>
      </c>
      <c r="H223" s="26" t="str">
        <f t="shared" si="8"/>
        <v/>
      </c>
    </row>
    <row r="224" spans="1:8" hidden="1" outlineLevel="1">
      <c r="A224" t="s">
        <v>86</v>
      </c>
      <c r="B224" s="26" t="str">
        <f>IF(SUMIFS('BSE - SENSEX Index Options'!$L:$L,'BSE - SENSEX Index Options'!$C:$C,$A224,'BSE - SENSEX Index Options'!$B:$B,B$147,'BSE - SENSEX Index Options'!$H:$H,"Monthly*")+SUMIFS('BSE - Other Index Options'!$L:$L,'BSE - Other Index Options'!$C:$C,$A224,'BSE - Other Index Options'!$B:$B,B$147,'BSE - Other Index Options'!$H:$H,"Monthly*")=0,"",SUMIFS('BSE - SENSEX Index Options'!$L:$L,'BSE - SENSEX Index Options'!$C:$C,$A224,'BSE - SENSEX Index Options'!$B:$B,B$147,'BSE - SENSEX Index Options'!$H:$H,"Monthly*")+SUMIFS('BSE - Other Index Options'!$L:$L,'BSE - Other Index Options'!$C:$C,$A224,'BSE - Other Index Options'!$B:$B,B$147,'BSE - Other Index Options'!$H:$H,"Monthly*"))</f>
        <v/>
      </c>
      <c r="C224" s="26" t="str">
        <f>IF(SUMIFS('BSE - SENSEX Index Options'!$L:$L,'BSE - SENSEX Index Options'!$C:$C,$A224,'BSE - SENSEX Index Options'!$B:$B,C$147,'BSE - SENSEX Index Options'!$H:$H,"Monthly*")+SUMIFS('BSE - Other Index Options'!$L:$L,'BSE - Other Index Options'!$C:$C,$A224,'BSE - Other Index Options'!$B:$B,C$147,'BSE - Other Index Options'!$H:$H,"Monthly*")=0,"",SUMIFS('BSE - SENSEX Index Options'!$L:$L,'BSE - SENSEX Index Options'!$C:$C,$A224,'BSE - SENSEX Index Options'!$B:$B,C$147,'BSE - SENSEX Index Options'!$H:$H,"Monthly*")+SUMIFS('BSE - Other Index Options'!$L:$L,'BSE - Other Index Options'!$C:$C,$A224,'BSE - Other Index Options'!$B:$B,C$147,'BSE - Other Index Options'!$H:$H,"Monthly*"))</f>
        <v/>
      </c>
      <c r="D224" s="26" t="str">
        <f>IF(SUMIFS('BSE - SENSEX Index Options'!$L:$L,'BSE - SENSEX Index Options'!$C:$C,$A224,'BSE - SENSEX Index Options'!$B:$B,D$147,'BSE - SENSEX Index Options'!$H:$H,"Monthly*")+SUMIFS('BSE - Other Index Options'!$L:$L,'BSE - Other Index Options'!$C:$C,$A224,'BSE - Other Index Options'!$B:$B,D$147,'BSE - Other Index Options'!$H:$H,"Monthly*")=0,"",SUMIFS('BSE - SENSEX Index Options'!$L:$L,'BSE - SENSEX Index Options'!$C:$C,$A224,'BSE - SENSEX Index Options'!$B:$B,D$147,'BSE - SENSEX Index Options'!$H:$H,"Monthly*")+SUMIFS('BSE - Other Index Options'!$L:$L,'BSE - Other Index Options'!$C:$C,$A224,'BSE - Other Index Options'!$B:$B,D$147,'BSE - Other Index Options'!$H:$H,"Monthly*"))</f>
        <v/>
      </c>
      <c r="E224" s="26" t="str">
        <f>IF(SUMIFS('BSE - SENSEX Index Options'!$L:$L,'BSE - SENSEX Index Options'!$C:$C,$A224,'BSE - SENSEX Index Options'!$B:$B,E$147,'BSE - SENSEX Index Options'!$H:$H,"Monthly*")+SUMIFS('BSE - Other Index Options'!$L:$L,'BSE - Other Index Options'!$C:$C,$A224,'BSE - Other Index Options'!$B:$B,E$147,'BSE - Other Index Options'!$H:$H,"Monthly*")=0,"",SUMIFS('BSE - SENSEX Index Options'!$L:$L,'BSE - SENSEX Index Options'!$C:$C,$A224,'BSE - SENSEX Index Options'!$B:$B,E$147,'BSE - SENSEX Index Options'!$H:$H,"Monthly*")+SUMIFS('BSE - Other Index Options'!$L:$L,'BSE - Other Index Options'!$C:$C,$A224,'BSE - Other Index Options'!$B:$B,E$147,'BSE - Other Index Options'!$H:$H,"Monthly*"))</f>
        <v/>
      </c>
      <c r="F224" s="26" t="str">
        <f>IF(SUMIFS('BSE - SENSEX Index Options'!$L:$L,'BSE - SENSEX Index Options'!$C:$C,$A224,'BSE - SENSEX Index Options'!$B:$B,F$147,'BSE - SENSEX Index Options'!$H:$H,"Monthly*")+SUMIFS('BSE - Other Index Options'!$L:$L,'BSE - Other Index Options'!$C:$C,$A224,'BSE - Other Index Options'!$B:$B,F$147,'BSE - Other Index Options'!$H:$H,"Monthly*")=0,"",SUMIFS('BSE - SENSEX Index Options'!$L:$L,'BSE - SENSEX Index Options'!$C:$C,$A224,'BSE - SENSEX Index Options'!$B:$B,F$147,'BSE - SENSEX Index Options'!$H:$H,"Monthly*")+SUMIFS('BSE - Other Index Options'!$L:$L,'BSE - Other Index Options'!$C:$C,$A224,'BSE - Other Index Options'!$B:$B,F$147,'BSE - Other Index Options'!$H:$H,"Monthly*"))</f>
        <v/>
      </c>
      <c r="G224" s="26" t="str">
        <f>IF(SUMIFS('BSE - SENSEX Index Options'!$L:$L,'BSE - SENSEX Index Options'!$C:$C,$A224,'BSE - SENSEX Index Options'!$B:$B,G$147,'BSE - SENSEX Index Options'!$H:$H,"Monthly*")+SUMIFS('BSE - Other Index Options'!$L:$L,'BSE - Other Index Options'!$C:$C,$A224,'BSE - Other Index Options'!$B:$B,G$147,'BSE - Other Index Options'!$H:$H,"Monthly*")=0,"",SUMIFS('BSE - SENSEX Index Options'!$L:$L,'BSE - SENSEX Index Options'!$C:$C,$A224,'BSE - SENSEX Index Options'!$B:$B,G$147,'BSE - SENSEX Index Options'!$H:$H,"Monthly*")+SUMIFS('BSE - Other Index Options'!$L:$L,'BSE - Other Index Options'!$C:$C,$A224,'BSE - Other Index Options'!$B:$B,G$147,'BSE - Other Index Options'!$H:$H,"Monthly*"))</f>
        <v/>
      </c>
      <c r="H224" s="26" t="str">
        <f t="shared" si="8"/>
        <v/>
      </c>
    </row>
    <row r="225" spans="1:8" hidden="1" outlineLevel="1">
      <c r="A225" t="s">
        <v>87</v>
      </c>
      <c r="B225" s="26" t="str">
        <f>IF(SUMIFS('BSE - SENSEX Index Options'!$L:$L,'BSE - SENSEX Index Options'!$C:$C,$A225,'BSE - SENSEX Index Options'!$B:$B,B$147,'BSE - SENSEX Index Options'!$H:$H,"Monthly*")+SUMIFS('BSE - Other Index Options'!$L:$L,'BSE - Other Index Options'!$C:$C,$A225,'BSE - Other Index Options'!$B:$B,B$147,'BSE - Other Index Options'!$H:$H,"Monthly*")=0,"",SUMIFS('BSE - SENSEX Index Options'!$L:$L,'BSE - SENSEX Index Options'!$C:$C,$A225,'BSE - SENSEX Index Options'!$B:$B,B$147,'BSE - SENSEX Index Options'!$H:$H,"Monthly*")+SUMIFS('BSE - Other Index Options'!$L:$L,'BSE - Other Index Options'!$C:$C,$A225,'BSE - Other Index Options'!$B:$B,B$147,'BSE - Other Index Options'!$H:$H,"Monthly*"))</f>
        <v/>
      </c>
      <c r="C225" s="26" t="str">
        <f>IF(SUMIFS('BSE - SENSEX Index Options'!$L:$L,'BSE - SENSEX Index Options'!$C:$C,$A225,'BSE - SENSEX Index Options'!$B:$B,C$147,'BSE - SENSEX Index Options'!$H:$H,"Monthly*")+SUMIFS('BSE - Other Index Options'!$L:$L,'BSE - Other Index Options'!$C:$C,$A225,'BSE - Other Index Options'!$B:$B,C$147,'BSE - Other Index Options'!$H:$H,"Monthly*")=0,"",SUMIFS('BSE - SENSEX Index Options'!$L:$L,'BSE - SENSEX Index Options'!$C:$C,$A225,'BSE - SENSEX Index Options'!$B:$B,C$147,'BSE - SENSEX Index Options'!$H:$H,"Monthly*")+SUMIFS('BSE - Other Index Options'!$L:$L,'BSE - Other Index Options'!$C:$C,$A225,'BSE - Other Index Options'!$B:$B,C$147,'BSE - Other Index Options'!$H:$H,"Monthly*"))</f>
        <v/>
      </c>
      <c r="D225" s="26" t="str">
        <f>IF(SUMIFS('BSE - SENSEX Index Options'!$L:$L,'BSE - SENSEX Index Options'!$C:$C,$A225,'BSE - SENSEX Index Options'!$B:$B,D$147,'BSE - SENSEX Index Options'!$H:$H,"Monthly*")+SUMIFS('BSE - Other Index Options'!$L:$L,'BSE - Other Index Options'!$C:$C,$A225,'BSE - Other Index Options'!$B:$B,D$147,'BSE - Other Index Options'!$H:$H,"Monthly*")=0,"",SUMIFS('BSE - SENSEX Index Options'!$L:$L,'BSE - SENSEX Index Options'!$C:$C,$A225,'BSE - SENSEX Index Options'!$B:$B,D$147,'BSE - SENSEX Index Options'!$H:$H,"Monthly*")+SUMIFS('BSE - Other Index Options'!$L:$L,'BSE - Other Index Options'!$C:$C,$A225,'BSE - Other Index Options'!$B:$B,D$147,'BSE - Other Index Options'!$H:$H,"Monthly*"))</f>
        <v/>
      </c>
      <c r="E225" s="26" t="str">
        <f>IF(SUMIFS('BSE - SENSEX Index Options'!$L:$L,'BSE - SENSEX Index Options'!$C:$C,$A225,'BSE - SENSEX Index Options'!$B:$B,E$147,'BSE - SENSEX Index Options'!$H:$H,"Monthly*")+SUMIFS('BSE - Other Index Options'!$L:$L,'BSE - Other Index Options'!$C:$C,$A225,'BSE - Other Index Options'!$B:$B,E$147,'BSE - Other Index Options'!$H:$H,"Monthly*")=0,"",SUMIFS('BSE - SENSEX Index Options'!$L:$L,'BSE - SENSEX Index Options'!$C:$C,$A225,'BSE - SENSEX Index Options'!$B:$B,E$147,'BSE - SENSEX Index Options'!$H:$H,"Monthly*")+SUMIFS('BSE - Other Index Options'!$L:$L,'BSE - Other Index Options'!$C:$C,$A225,'BSE - Other Index Options'!$B:$B,E$147,'BSE - Other Index Options'!$H:$H,"Monthly*"))</f>
        <v/>
      </c>
      <c r="F225" s="26" t="str">
        <f>IF(SUMIFS('BSE - SENSEX Index Options'!$L:$L,'BSE - SENSEX Index Options'!$C:$C,$A225,'BSE - SENSEX Index Options'!$B:$B,F$147,'BSE - SENSEX Index Options'!$H:$H,"Monthly*")+SUMIFS('BSE - Other Index Options'!$L:$L,'BSE - Other Index Options'!$C:$C,$A225,'BSE - Other Index Options'!$B:$B,F$147,'BSE - Other Index Options'!$H:$H,"Monthly*")=0,"",SUMIFS('BSE - SENSEX Index Options'!$L:$L,'BSE - SENSEX Index Options'!$C:$C,$A225,'BSE - SENSEX Index Options'!$B:$B,F$147,'BSE - SENSEX Index Options'!$H:$H,"Monthly*")+SUMIFS('BSE - Other Index Options'!$L:$L,'BSE - Other Index Options'!$C:$C,$A225,'BSE - Other Index Options'!$B:$B,F$147,'BSE - Other Index Options'!$H:$H,"Monthly*"))</f>
        <v/>
      </c>
      <c r="G225" s="26" t="str">
        <f>IF(SUMIFS('BSE - SENSEX Index Options'!$L:$L,'BSE - SENSEX Index Options'!$C:$C,$A225,'BSE - SENSEX Index Options'!$B:$B,G$147,'BSE - SENSEX Index Options'!$H:$H,"Monthly*")+SUMIFS('BSE - Other Index Options'!$L:$L,'BSE - Other Index Options'!$C:$C,$A225,'BSE - Other Index Options'!$B:$B,G$147,'BSE - Other Index Options'!$H:$H,"Monthly*")=0,"",SUMIFS('BSE - SENSEX Index Options'!$L:$L,'BSE - SENSEX Index Options'!$C:$C,$A225,'BSE - SENSEX Index Options'!$B:$B,G$147,'BSE - SENSEX Index Options'!$H:$H,"Monthly*")+SUMIFS('BSE - Other Index Options'!$L:$L,'BSE - Other Index Options'!$C:$C,$A225,'BSE - Other Index Options'!$B:$B,G$147,'BSE - Other Index Options'!$H:$H,"Monthly*"))</f>
        <v/>
      </c>
      <c r="H225" s="26" t="str">
        <f t="shared" si="8"/>
        <v/>
      </c>
    </row>
    <row r="226" spans="1:8" hidden="1" outlineLevel="1">
      <c r="A226" t="s">
        <v>88</v>
      </c>
      <c r="B226" s="26" t="str">
        <f>IF(SUMIFS('BSE - SENSEX Index Options'!$L:$L,'BSE - SENSEX Index Options'!$C:$C,$A226,'BSE - SENSEX Index Options'!$B:$B,B$147,'BSE - SENSEX Index Options'!$H:$H,"Monthly*")+SUMIFS('BSE - Other Index Options'!$L:$L,'BSE - Other Index Options'!$C:$C,$A226,'BSE - Other Index Options'!$B:$B,B$147,'BSE - Other Index Options'!$H:$H,"Monthly*")=0,"",SUMIFS('BSE - SENSEX Index Options'!$L:$L,'BSE - SENSEX Index Options'!$C:$C,$A226,'BSE - SENSEX Index Options'!$B:$B,B$147,'BSE - SENSEX Index Options'!$H:$H,"Monthly*")+SUMIFS('BSE - Other Index Options'!$L:$L,'BSE - Other Index Options'!$C:$C,$A226,'BSE - Other Index Options'!$B:$B,B$147,'BSE - Other Index Options'!$H:$H,"Monthly*"))</f>
        <v/>
      </c>
      <c r="C226" s="26" t="str">
        <f>IF(SUMIFS('BSE - SENSEX Index Options'!$L:$L,'BSE - SENSEX Index Options'!$C:$C,$A226,'BSE - SENSEX Index Options'!$B:$B,C$147,'BSE - SENSEX Index Options'!$H:$H,"Monthly*")+SUMIFS('BSE - Other Index Options'!$L:$L,'BSE - Other Index Options'!$C:$C,$A226,'BSE - Other Index Options'!$B:$B,C$147,'BSE - Other Index Options'!$H:$H,"Monthly*")=0,"",SUMIFS('BSE - SENSEX Index Options'!$L:$L,'BSE - SENSEX Index Options'!$C:$C,$A226,'BSE - SENSEX Index Options'!$B:$B,C$147,'BSE - SENSEX Index Options'!$H:$H,"Monthly*")+SUMIFS('BSE - Other Index Options'!$L:$L,'BSE - Other Index Options'!$C:$C,$A226,'BSE - Other Index Options'!$B:$B,C$147,'BSE - Other Index Options'!$H:$H,"Monthly*"))</f>
        <v/>
      </c>
      <c r="D226" s="26" t="str">
        <f>IF(SUMIFS('BSE - SENSEX Index Options'!$L:$L,'BSE - SENSEX Index Options'!$C:$C,$A226,'BSE - SENSEX Index Options'!$B:$B,D$147,'BSE - SENSEX Index Options'!$H:$H,"Monthly*")+SUMIFS('BSE - Other Index Options'!$L:$L,'BSE - Other Index Options'!$C:$C,$A226,'BSE - Other Index Options'!$B:$B,D$147,'BSE - Other Index Options'!$H:$H,"Monthly*")=0,"",SUMIFS('BSE - SENSEX Index Options'!$L:$L,'BSE - SENSEX Index Options'!$C:$C,$A226,'BSE - SENSEX Index Options'!$B:$B,D$147,'BSE - SENSEX Index Options'!$H:$H,"Monthly*")+SUMIFS('BSE - Other Index Options'!$L:$L,'BSE - Other Index Options'!$C:$C,$A226,'BSE - Other Index Options'!$B:$B,D$147,'BSE - Other Index Options'!$H:$H,"Monthly*"))</f>
        <v/>
      </c>
      <c r="E226" s="26" t="str">
        <f>IF(SUMIFS('BSE - SENSEX Index Options'!$L:$L,'BSE - SENSEX Index Options'!$C:$C,$A226,'BSE - SENSEX Index Options'!$B:$B,E$147,'BSE - SENSEX Index Options'!$H:$H,"Monthly*")+SUMIFS('BSE - Other Index Options'!$L:$L,'BSE - Other Index Options'!$C:$C,$A226,'BSE - Other Index Options'!$B:$B,E$147,'BSE - Other Index Options'!$H:$H,"Monthly*")=0,"",SUMIFS('BSE - SENSEX Index Options'!$L:$L,'BSE - SENSEX Index Options'!$C:$C,$A226,'BSE - SENSEX Index Options'!$B:$B,E$147,'BSE - SENSEX Index Options'!$H:$H,"Monthly*")+SUMIFS('BSE - Other Index Options'!$L:$L,'BSE - Other Index Options'!$C:$C,$A226,'BSE - Other Index Options'!$B:$B,E$147,'BSE - Other Index Options'!$H:$H,"Monthly*"))</f>
        <v/>
      </c>
      <c r="F226" s="26" t="str">
        <f>IF(SUMIFS('BSE - SENSEX Index Options'!$L:$L,'BSE - SENSEX Index Options'!$C:$C,$A226,'BSE - SENSEX Index Options'!$B:$B,F$147,'BSE - SENSEX Index Options'!$H:$H,"Monthly*")+SUMIFS('BSE - Other Index Options'!$L:$L,'BSE - Other Index Options'!$C:$C,$A226,'BSE - Other Index Options'!$B:$B,F$147,'BSE - Other Index Options'!$H:$H,"Monthly*")=0,"",SUMIFS('BSE - SENSEX Index Options'!$L:$L,'BSE - SENSEX Index Options'!$C:$C,$A226,'BSE - SENSEX Index Options'!$B:$B,F$147,'BSE - SENSEX Index Options'!$H:$H,"Monthly*")+SUMIFS('BSE - Other Index Options'!$L:$L,'BSE - Other Index Options'!$C:$C,$A226,'BSE - Other Index Options'!$B:$B,F$147,'BSE - Other Index Options'!$H:$H,"Monthly*"))</f>
        <v/>
      </c>
      <c r="G226" s="26" t="str">
        <f>IF(SUMIFS('BSE - SENSEX Index Options'!$L:$L,'BSE - SENSEX Index Options'!$C:$C,$A226,'BSE - SENSEX Index Options'!$B:$B,G$147,'BSE - SENSEX Index Options'!$H:$H,"Monthly*")+SUMIFS('BSE - Other Index Options'!$L:$L,'BSE - Other Index Options'!$C:$C,$A226,'BSE - Other Index Options'!$B:$B,G$147,'BSE - Other Index Options'!$H:$H,"Monthly*")=0,"",SUMIFS('BSE - SENSEX Index Options'!$L:$L,'BSE - SENSEX Index Options'!$C:$C,$A226,'BSE - SENSEX Index Options'!$B:$B,G$147,'BSE - SENSEX Index Options'!$H:$H,"Monthly*")+SUMIFS('BSE - Other Index Options'!$L:$L,'BSE - Other Index Options'!$C:$C,$A226,'BSE - Other Index Options'!$B:$B,G$147,'BSE - Other Index Options'!$H:$H,"Monthly*"))</f>
        <v/>
      </c>
      <c r="H226" s="26" t="str">
        <f t="shared" si="8"/>
        <v/>
      </c>
    </row>
    <row r="227" spans="1:8" hidden="1" outlineLevel="1">
      <c r="A227" t="s">
        <v>89</v>
      </c>
      <c r="B227" s="26" t="str">
        <f>IF(SUMIFS('BSE - SENSEX Index Options'!$L:$L,'BSE - SENSEX Index Options'!$C:$C,$A227,'BSE - SENSEX Index Options'!$B:$B,B$147,'BSE - SENSEX Index Options'!$H:$H,"Monthly*")+SUMIFS('BSE - Other Index Options'!$L:$L,'BSE - Other Index Options'!$C:$C,$A227,'BSE - Other Index Options'!$B:$B,B$147,'BSE - Other Index Options'!$H:$H,"Monthly*")=0,"",SUMIFS('BSE - SENSEX Index Options'!$L:$L,'BSE - SENSEX Index Options'!$C:$C,$A227,'BSE - SENSEX Index Options'!$B:$B,B$147,'BSE - SENSEX Index Options'!$H:$H,"Monthly*")+SUMIFS('BSE - Other Index Options'!$L:$L,'BSE - Other Index Options'!$C:$C,$A227,'BSE - Other Index Options'!$B:$B,B$147,'BSE - Other Index Options'!$H:$H,"Monthly*"))</f>
        <v/>
      </c>
      <c r="C227" s="26" t="str">
        <f>IF(SUMIFS('BSE - SENSEX Index Options'!$L:$L,'BSE - SENSEX Index Options'!$C:$C,$A227,'BSE - SENSEX Index Options'!$B:$B,C$147,'BSE - SENSEX Index Options'!$H:$H,"Monthly*")+SUMIFS('BSE - Other Index Options'!$L:$L,'BSE - Other Index Options'!$C:$C,$A227,'BSE - Other Index Options'!$B:$B,C$147,'BSE - Other Index Options'!$H:$H,"Monthly*")=0,"",SUMIFS('BSE - SENSEX Index Options'!$L:$L,'BSE - SENSEX Index Options'!$C:$C,$A227,'BSE - SENSEX Index Options'!$B:$B,C$147,'BSE - SENSEX Index Options'!$H:$H,"Monthly*")+SUMIFS('BSE - Other Index Options'!$L:$L,'BSE - Other Index Options'!$C:$C,$A227,'BSE - Other Index Options'!$B:$B,C$147,'BSE - Other Index Options'!$H:$H,"Monthly*"))</f>
        <v/>
      </c>
      <c r="D227" s="26" t="str">
        <f>IF(SUMIFS('BSE - SENSEX Index Options'!$L:$L,'BSE - SENSEX Index Options'!$C:$C,$A227,'BSE - SENSEX Index Options'!$B:$B,D$147,'BSE - SENSEX Index Options'!$H:$H,"Monthly*")+SUMIFS('BSE - Other Index Options'!$L:$L,'BSE - Other Index Options'!$C:$C,$A227,'BSE - Other Index Options'!$B:$B,D$147,'BSE - Other Index Options'!$H:$H,"Monthly*")=0,"",SUMIFS('BSE - SENSEX Index Options'!$L:$L,'BSE - SENSEX Index Options'!$C:$C,$A227,'BSE - SENSEX Index Options'!$B:$B,D$147,'BSE - SENSEX Index Options'!$H:$H,"Monthly*")+SUMIFS('BSE - Other Index Options'!$L:$L,'BSE - Other Index Options'!$C:$C,$A227,'BSE - Other Index Options'!$B:$B,D$147,'BSE - Other Index Options'!$H:$H,"Monthly*"))</f>
        <v/>
      </c>
      <c r="E227" s="26" t="str">
        <f>IF(SUMIFS('BSE - SENSEX Index Options'!$L:$L,'BSE - SENSEX Index Options'!$C:$C,$A227,'BSE - SENSEX Index Options'!$B:$B,E$147,'BSE - SENSEX Index Options'!$H:$H,"Monthly*")+SUMIFS('BSE - Other Index Options'!$L:$L,'BSE - Other Index Options'!$C:$C,$A227,'BSE - Other Index Options'!$B:$B,E$147,'BSE - Other Index Options'!$H:$H,"Monthly*")=0,"",SUMIFS('BSE - SENSEX Index Options'!$L:$L,'BSE - SENSEX Index Options'!$C:$C,$A227,'BSE - SENSEX Index Options'!$B:$B,E$147,'BSE - SENSEX Index Options'!$H:$H,"Monthly*")+SUMIFS('BSE - Other Index Options'!$L:$L,'BSE - Other Index Options'!$C:$C,$A227,'BSE - Other Index Options'!$B:$B,E$147,'BSE - Other Index Options'!$H:$H,"Monthly*"))</f>
        <v/>
      </c>
      <c r="F227" s="26" t="str">
        <f>IF(SUMIFS('BSE - SENSEX Index Options'!$L:$L,'BSE - SENSEX Index Options'!$C:$C,$A227,'BSE - SENSEX Index Options'!$B:$B,F$147,'BSE - SENSEX Index Options'!$H:$H,"Monthly*")+SUMIFS('BSE - Other Index Options'!$L:$L,'BSE - Other Index Options'!$C:$C,$A227,'BSE - Other Index Options'!$B:$B,F$147,'BSE - Other Index Options'!$H:$H,"Monthly*")=0,"",SUMIFS('BSE - SENSEX Index Options'!$L:$L,'BSE - SENSEX Index Options'!$C:$C,$A227,'BSE - SENSEX Index Options'!$B:$B,F$147,'BSE - SENSEX Index Options'!$H:$H,"Monthly*")+SUMIFS('BSE - Other Index Options'!$L:$L,'BSE - Other Index Options'!$C:$C,$A227,'BSE - Other Index Options'!$B:$B,F$147,'BSE - Other Index Options'!$H:$H,"Monthly*"))</f>
        <v/>
      </c>
      <c r="G227" s="26" t="str">
        <f>IF(SUMIFS('BSE - SENSEX Index Options'!$L:$L,'BSE - SENSEX Index Options'!$C:$C,$A227,'BSE - SENSEX Index Options'!$B:$B,G$147,'BSE - SENSEX Index Options'!$H:$H,"Monthly*")+SUMIFS('BSE - Other Index Options'!$L:$L,'BSE - Other Index Options'!$C:$C,$A227,'BSE - Other Index Options'!$B:$B,G$147,'BSE - Other Index Options'!$H:$H,"Monthly*")=0,"",SUMIFS('BSE - SENSEX Index Options'!$L:$L,'BSE - SENSEX Index Options'!$C:$C,$A227,'BSE - SENSEX Index Options'!$B:$B,G$147,'BSE - SENSEX Index Options'!$H:$H,"Monthly*")+SUMIFS('BSE - Other Index Options'!$L:$L,'BSE - Other Index Options'!$C:$C,$A227,'BSE - Other Index Options'!$B:$B,G$147,'BSE - Other Index Options'!$H:$H,"Monthly*"))</f>
        <v/>
      </c>
      <c r="H227" s="26" t="str">
        <f t="shared" si="8"/>
        <v/>
      </c>
    </row>
    <row r="228" spans="1:8" hidden="1" outlineLevel="1">
      <c r="A228" t="s">
        <v>90</v>
      </c>
      <c r="B228" s="26" t="str">
        <f>IF(SUMIFS('BSE - SENSEX Index Options'!$L:$L,'BSE - SENSEX Index Options'!$C:$C,$A228,'BSE - SENSEX Index Options'!$B:$B,B$147,'BSE - SENSEX Index Options'!$H:$H,"Monthly*")+SUMIFS('BSE - Other Index Options'!$L:$L,'BSE - Other Index Options'!$C:$C,$A228,'BSE - Other Index Options'!$B:$B,B$147,'BSE - Other Index Options'!$H:$H,"Monthly*")=0,"",SUMIFS('BSE - SENSEX Index Options'!$L:$L,'BSE - SENSEX Index Options'!$C:$C,$A228,'BSE - SENSEX Index Options'!$B:$B,B$147,'BSE - SENSEX Index Options'!$H:$H,"Monthly*")+SUMIFS('BSE - Other Index Options'!$L:$L,'BSE - Other Index Options'!$C:$C,$A228,'BSE - Other Index Options'!$B:$B,B$147,'BSE - Other Index Options'!$H:$H,"Monthly*"))</f>
        <v/>
      </c>
      <c r="C228" s="26" t="str">
        <f>IF(SUMIFS('BSE - SENSEX Index Options'!$L:$L,'BSE - SENSEX Index Options'!$C:$C,$A228,'BSE - SENSEX Index Options'!$B:$B,C$147,'BSE - SENSEX Index Options'!$H:$H,"Monthly*")+SUMIFS('BSE - Other Index Options'!$L:$L,'BSE - Other Index Options'!$C:$C,$A228,'BSE - Other Index Options'!$B:$B,C$147,'BSE - Other Index Options'!$H:$H,"Monthly*")=0,"",SUMIFS('BSE - SENSEX Index Options'!$L:$L,'BSE - SENSEX Index Options'!$C:$C,$A228,'BSE - SENSEX Index Options'!$B:$B,C$147,'BSE - SENSEX Index Options'!$H:$H,"Monthly*")+SUMIFS('BSE - Other Index Options'!$L:$L,'BSE - Other Index Options'!$C:$C,$A228,'BSE - Other Index Options'!$B:$B,C$147,'BSE - Other Index Options'!$H:$H,"Monthly*"))</f>
        <v/>
      </c>
      <c r="D228" s="26" t="str">
        <f>IF(SUMIFS('BSE - SENSEX Index Options'!$L:$L,'BSE - SENSEX Index Options'!$C:$C,$A228,'BSE - SENSEX Index Options'!$B:$B,D$147,'BSE - SENSEX Index Options'!$H:$H,"Monthly*")+SUMIFS('BSE - Other Index Options'!$L:$L,'BSE - Other Index Options'!$C:$C,$A228,'BSE - Other Index Options'!$B:$B,D$147,'BSE - Other Index Options'!$H:$H,"Monthly*")=0,"",SUMIFS('BSE - SENSEX Index Options'!$L:$L,'BSE - SENSEX Index Options'!$C:$C,$A228,'BSE - SENSEX Index Options'!$B:$B,D$147,'BSE - SENSEX Index Options'!$H:$H,"Monthly*")+SUMIFS('BSE - Other Index Options'!$L:$L,'BSE - Other Index Options'!$C:$C,$A228,'BSE - Other Index Options'!$B:$B,D$147,'BSE - Other Index Options'!$H:$H,"Monthly*"))</f>
        <v/>
      </c>
      <c r="E228" s="26" t="str">
        <f>IF(SUMIFS('BSE - SENSEX Index Options'!$L:$L,'BSE - SENSEX Index Options'!$C:$C,$A228,'BSE - SENSEX Index Options'!$B:$B,E$147,'BSE - SENSEX Index Options'!$H:$H,"Monthly*")+SUMIFS('BSE - Other Index Options'!$L:$L,'BSE - Other Index Options'!$C:$C,$A228,'BSE - Other Index Options'!$B:$B,E$147,'BSE - Other Index Options'!$H:$H,"Monthly*")=0,"",SUMIFS('BSE - SENSEX Index Options'!$L:$L,'BSE - SENSEX Index Options'!$C:$C,$A228,'BSE - SENSEX Index Options'!$B:$B,E$147,'BSE - SENSEX Index Options'!$H:$H,"Monthly*")+SUMIFS('BSE - Other Index Options'!$L:$L,'BSE - Other Index Options'!$C:$C,$A228,'BSE - Other Index Options'!$B:$B,E$147,'BSE - Other Index Options'!$H:$H,"Monthly*"))</f>
        <v/>
      </c>
      <c r="F228" s="26" t="str">
        <f>IF(SUMIFS('BSE - SENSEX Index Options'!$L:$L,'BSE - SENSEX Index Options'!$C:$C,$A228,'BSE - SENSEX Index Options'!$B:$B,F$147,'BSE - SENSEX Index Options'!$H:$H,"Monthly*")+SUMIFS('BSE - Other Index Options'!$L:$L,'BSE - Other Index Options'!$C:$C,$A228,'BSE - Other Index Options'!$B:$B,F$147,'BSE - Other Index Options'!$H:$H,"Monthly*")=0,"",SUMIFS('BSE - SENSEX Index Options'!$L:$L,'BSE - SENSEX Index Options'!$C:$C,$A228,'BSE - SENSEX Index Options'!$B:$B,F$147,'BSE - SENSEX Index Options'!$H:$H,"Monthly*")+SUMIFS('BSE - Other Index Options'!$L:$L,'BSE - Other Index Options'!$C:$C,$A228,'BSE - Other Index Options'!$B:$B,F$147,'BSE - Other Index Options'!$H:$H,"Monthly*"))</f>
        <v/>
      </c>
      <c r="G228" s="26" t="str">
        <f>IF(SUMIFS('BSE - SENSEX Index Options'!$L:$L,'BSE - SENSEX Index Options'!$C:$C,$A228,'BSE - SENSEX Index Options'!$B:$B,G$147,'BSE - SENSEX Index Options'!$H:$H,"Monthly*")+SUMIFS('BSE - Other Index Options'!$L:$L,'BSE - Other Index Options'!$C:$C,$A228,'BSE - Other Index Options'!$B:$B,G$147,'BSE - Other Index Options'!$H:$H,"Monthly*")=0,"",SUMIFS('BSE - SENSEX Index Options'!$L:$L,'BSE - SENSEX Index Options'!$C:$C,$A228,'BSE - SENSEX Index Options'!$B:$B,G$147,'BSE - SENSEX Index Options'!$H:$H,"Monthly*")+SUMIFS('BSE - Other Index Options'!$L:$L,'BSE - Other Index Options'!$C:$C,$A228,'BSE - Other Index Options'!$B:$B,G$147,'BSE - Other Index Options'!$H:$H,"Monthly*"))</f>
        <v/>
      </c>
      <c r="H228" s="26" t="str">
        <f t="shared" si="8"/>
        <v/>
      </c>
    </row>
    <row r="229" spans="1:8" hidden="1" outlineLevel="1">
      <c r="A229" t="s">
        <v>91</v>
      </c>
      <c r="B229" s="26" t="str">
        <f>IF(SUMIFS('BSE - SENSEX Index Options'!$L:$L,'BSE - SENSEX Index Options'!$C:$C,$A229,'BSE - SENSEX Index Options'!$B:$B,B$147,'BSE - SENSEX Index Options'!$H:$H,"Monthly*")+SUMIFS('BSE - Other Index Options'!$L:$L,'BSE - Other Index Options'!$C:$C,$A229,'BSE - Other Index Options'!$B:$B,B$147,'BSE - Other Index Options'!$H:$H,"Monthly*")=0,"",SUMIFS('BSE - SENSEX Index Options'!$L:$L,'BSE - SENSEX Index Options'!$C:$C,$A229,'BSE - SENSEX Index Options'!$B:$B,B$147,'BSE - SENSEX Index Options'!$H:$H,"Monthly*")+SUMIFS('BSE - Other Index Options'!$L:$L,'BSE - Other Index Options'!$C:$C,$A229,'BSE - Other Index Options'!$B:$B,B$147,'BSE - Other Index Options'!$H:$H,"Monthly*"))</f>
        <v/>
      </c>
      <c r="C229" s="26" t="str">
        <f>IF(SUMIFS('BSE - SENSEX Index Options'!$L:$L,'BSE - SENSEX Index Options'!$C:$C,$A229,'BSE - SENSEX Index Options'!$B:$B,C$147,'BSE - SENSEX Index Options'!$H:$H,"Monthly*")+SUMIFS('BSE - Other Index Options'!$L:$L,'BSE - Other Index Options'!$C:$C,$A229,'BSE - Other Index Options'!$B:$B,C$147,'BSE - Other Index Options'!$H:$H,"Monthly*")=0,"",SUMIFS('BSE - SENSEX Index Options'!$L:$L,'BSE - SENSEX Index Options'!$C:$C,$A229,'BSE - SENSEX Index Options'!$B:$B,C$147,'BSE - SENSEX Index Options'!$H:$H,"Monthly*")+SUMIFS('BSE - Other Index Options'!$L:$L,'BSE - Other Index Options'!$C:$C,$A229,'BSE - Other Index Options'!$B:$B,C$147,'BSE - Other Index Options'!$H:$H,"Monthly*"))</f>
        <v/>
      </c>
      <c r="D229" s="26" t="str">
        <f>IF(SUMIFS('BSE - SENSEX Index Options'!$L:$L,'BSE - SENSEX Index Options'!$C:$C,$A229,'BSE - SENSEX Index Options'!$B:$B,D$147,'BSE - SENSEX Index Options'!$H:$H,"Monthly*")+SUMIFS('BSE - Other Index Options'!$L:$L,'BSE - Other Index Options'!$C:$C,$A229,'BSE - Other Index Options'!$B:$B,D$147,'BSE - Other Index Options'!$H:$H,"Monthly*")=0,"",SUMIFS('BSE - SENSEX Index Options'!$L:$L,'BSE - SENSEX Index Options'!$C:$C,$A229,'BSE - SENSEX Index Options'!$B:$B,D$147,'BSE - SENSEX Index Options'!$H:$H,"Monthly*")+SUMIFS('BSE - Other Index Options'!$L:$L,'BSE - Other Index Options'!$C:$C,$A229,'BSE - Other Index Options'!$B:$B,D$147,'BSE - Other Index Options'!$H:$H,"Monthly*"))</f>
        <v/>
      </c>
      <c r="E229" s="26" t="str">
        <f>IF(SUMIFS('BSE - SENSEX Index Options'!$L:$L,'BSE - SENSEX Index Options'!$C:$C,$A229,'BSE - SENSEX Index Options'!$B:$B,E$147,'BSE - SENSEX Index Options'!$H:$H,"Monthly*")+SUMIFS('BSE - Other Index Options'!$L:$L,'BSE - Other Index Options'!$C:$C,$A229,'BSE - Other Index Options'!$B:$B,E$147,'BSE - Other Index Options'!$H:$H,"Monthly*")=0,"",SUMIFS('BSE - SENSEX Index Options'!$L:$L,'BSE - SENSEX Index Options'!$C:$C,$A229,'BSE - SENSEX Index Options'!$B:$B,E$147,'BSE - SENSEX Index Options'!$H:$H,"Monthly*")+SUMIFS('BSE - Other Index Options'!$L:$L,'BSE - Other Index Options'!$C:$C,$A229,'BSE - Other Index Options'!$B:$B,E$147,'BSE - Other Index Options'!$H:$H,"Monthly*"))</f>
        <v/>
      </c>
      <c r="F229" s="26" t="str">
        <f>IF(SUMIFS('BSE - SENSEX Index Options'!$L:$L,'BSE - SENSEX Index Options'!$C:$C,$A229,'BSE - SENSEX Index Options'!$B:$B,F$147,'BSE - SENSEX Index Options'!$H:$H,"Monthly*")+SUMIFS('BSE - Other Index Options'!$L:$L,'BSE - Other Index Options'!$C:$C,$A229,'BSE - Other Index Options'!$B:$B,F$147,'BSE - Other Index Options'!$H:$H,"Monthly*")=0,"",SUMIFS('BSE - SENSEX Index Options'!$L:$L,'BSE - SENSEX Index Options'!$C:$C,$A229,'BSE - SENSEX Index Options'!$B:$B,F$147,'BSE - SENSEX Index Options'!$H:$H,"Monthly*")+SUMIFS('BSE - Other Index Options'!$L:$L,'BSE - Other Index Options'!$C:$C,$A229,'BSE - Other Index Options'!$B:$B,F$147,'BSE - Other Index Options'!$H:$H,"Monthly*"))</f>
        <v/>
      </c>
      <c r="G229" s="26" t="str">
        <f>IF(SUMIFS('BSE - SENSEX Index Options'!$L:$L,'BSE - SENSEX Index Options'!$C:$C,$A229,'BSE - SENSEX Index Options'!$B:$B,G$147,'BSE - SENSEX Index Options'!$H:$H,"Monthly*")+SUMIFS('BSE - Other Index Options'!$L:$L,'BSE - Other Index Options'!$C:$C,$A229,'BSE - Other Index Options'!$B:$B,G$147,'BSE - Other Index Options'!$H:$H,"Monthly*")=0,"",SUMIFS('BSE - SENSEX Index Options'!$L:$L,'BSE - SENSEX Index Options'!$C:$C,$A229,'BSE - SENSEX Index Options'!$B:$B,G$147,'BSE - SENSEX Index Options'!$H:$H,"Monthly*")+SUMIFS('BSE - Other Index Options'!$L:$L,'BSE - Other Index Options'!$C:$C,$A229,'BSE - Other Index Options'!$B:$B,G$147,'BSE - Other Index Options'!$H:$H,"Monthly*"))</f>
        <v/>
      </c>
      <c r="H229" s="26" t="str">
        <f t="shared" si="8"/>
        <v/>
      </c>
    </row>
    <row r="230" spans="1:8" hidden="1" outlineLevel="1">
      <c r="A230" t="s">
        <v>92</v>
      </c>
      <c r="B230" s="26" t="str">
        <f>IF(SUMIFS('BSE - SENSEX Index Options'!$L:$L,'BSE - SENSEX Index Options'!$C:$C,$A230,'BSE - SENSEX Index Options'!$B:$B,B$147,'BSE - SENSEX Index Options'!$H:$H,"Monthly*")+SUMIFS('BSE - Other Index Options'!$L:$L,'BSE - Other Index Options'!$C:$C,$A230,'BSE - Other Index Options'!$B:$B,B$147,'BSE - Other Index Options'!$H:$H,"Monthly*")=0,"",SUMIFS('BSE - SENSEX Index Options'!$L:$L,'BSE - SENSEX Index Options'!$C:$C,$A230,'BSE - SENSEX Index Options'!$B:$B,B$147,'BSE - SENSEX Index Options'!$H:$H,"Monthly*")+SUMIFS('BSE - Other Index Options'!$L:$L,'BSE - Other Index Options'!$C:$C,$A230,'BSE - Other Index Options'!$B:$B,B$147,'BSE - Other Index Options'!$H:$H,"Monthly*"))</f>
        <v/>
      </c>
      <c r="C230" s="26" t="str">
        <f>IF(SUMIFS('BSE - SENSEX Index Options'!$L:$L,'BSE - SENSEX Index Options'!$C:$C,$A230,'BSE - SENSEX Index Options'!$B:$B,C$147,'BSE - SENSEX Index Options'!$H:$H,"Monthly*")+SUMIFS('BSE - Other Index Options'!$L:$L,'BSE - Other Index Options'!$C:$C,$A230,'BSE - Other Index Options'!$B:$B,C$147,'BSE - Other Index Options'!$H:$H,"Monthly*")=0,"",SUMIFS('BSE - SENSEX Index Options'!$L:$L,'BSE - SENSEX Index Options'!$C:$C,$A230,'BSE - SENSEX Index Options'!$B:$B,C$147,'BSE - SENSEX Index Options'!$H:$H,"Monthly*")+SUMIFS('BSE - Other Index Options'!$L:$L,'BSE - Other Index Options'!$C:$C,$A230,'BSE - Other Index Options'!$B:$B,C$147,'BSE - Other Index Options'!$H:$H,"Monthly*"))</f>
        <v/>
      </c>
      <c r="D230" s="26" t="str">
        <f>IF(SUMIFS('BSE - SENSEX Index Options'!$L:$L,'BSE - SENSEX Index Options'!$C:$C,$A230,'BSE - SENSEX Index Options'!$B:$B,D$147,'BSE - SENSEX Index Options'!$H:$H,"Monthly*")+SUMIFS('BSE - Other Index Options'!$L:$L,'BSE - Other Index Options'!$C:$C,$A230,'BSE - Other Index Options'!$B:$B,D$147,'BSE - Other Index Options'!$H:$H,"Monthly*")=0,"",SUMIFS('BSE - SENSEX Index Options'!$L:$L,'BSE - SENSEX Index Options'!$C:$C,$A230,'BSE - SENSEX Index Options'!$B:$B,D$147,'BSE - SENSEX Index Options'!$H:$H,"Monthly*")+SUMIFS('BSE - Other Index Options'!$L:$L,'BSE - Other Index Options'!$C:$C,$A230,'BSE - Other Index Options'!$B:$B,D$147,'BSE - Other Index Options'!$H:$H,"Monthly*"))</f>
        <v/>
      </c>
      <c r="E230" s="26" t="str">
        <f>IF(SUMIFS('BSE - SENSEX Index Options'!$L:$L,'BSE - SENSEX Index Options'!$C:$C,$A230,'BSE - SENSEX Index Options'!$B:$B,E$147,'BSE - SENSEX Index Options'!$H:$H,"Monthly*")+SUMIFS('BSE - Other Index Options'!$L:$L,'BSE - Other Index Options'!$C:$C,$A230,'BSE - Other Index Options'!$B:$B,E$147,'BSE - Other Index Options'!$H:$H,"Monthly*")=0,"",SUMIFS('BSE - SENSEX Index Options'!$L:$L,'BSE - SENSEX Index Options'!$C:$C,$A230,'BSE - SENSEX Index Options'!$B:$B,E$147,'BSE - SENSEX Index Options'!$H:$H,"Monthly*")+SUMIFS('BSE - Other Index Options'!$L:$L,'BSE - Other Index Options'!$C:$C,$A230,'BSE - Other Index Options'!$B:$B,E$147,'BSE - Other Index Options'!$H:$H,"Monthly*"))</f>
        <v/>
      </c>
      <c r="F230" s="26" t="str">
        <f>IF(SUMIFS('BSE - SENSEX Index Options'!$L:$L,'BSE - SENSEX Index Options'!$C:$C,$A230,'BSE - SENSEX Index Options'!$B:$B,F$147,'BSE - SENSEX Index Options'!$H:$H,"Monthly*")+SUMIFS('BSE - Other Index Options'!$L:$L,'BSE - Other Index Options'!$C:$C,$A230,'BSE - Other Index Options'!$B:$B,F$147,'BSE - Other Index Options'!$H:$H,"Monthly*")=0,"",SUMIFS('BSE - SENSEX Index Options'!$L:$L,'BSE - SENSEX Index Options'!$C:$C,$A230,'BSE - SENSEX Index Options'!$B:$B,F$147,'BSE - SENSEX Index Options'!$H:$H,"Monthly*")+SUMIFS('BSE - Other Index Options'!$L:$L,'BSE - Other Index Options'!$C:$C,$A230,'BSE - Other Index Options'!$B:$B,F$147,'BSE - Other Index Options'!$H:$H,"Monthly*"))</f>
        <v/>
      </c>
      <c r="G230" s="26" t="str">
        <f>IF(SUMIFS('BSE - SENSEX Index Options'!$L:$L,'BSE - SENSEX Index Options'!$C:$C,$A230,'BSE - SENSEX Index Options'!$B:$B,G$147,'BSE - SENSEX Index Options'!$H:$H,"Monthly*")+SUMIFS('BSE - Other Index Options'!$L:$L,'BSE - Other Index Options'!$C:$C,$A230,'BSE - Other Index Options'!$B:$B,G$147,'BSE - Other Index Options'!$H:$H,"Monthly*")=0,"",SUMIFS('BSE - SENSEX Index Options'!$L:$L,'BSE - SENSEX Index Options'!$C:$C,$A230,'BSE - SENSEX Index Options'!$B:$B,G$147,'BSE - SENSEX Index Options'!$H:$H,"Monthly*")+SUMIFS('BSE - Other Index Options'!$L:$L,'BSE - Other Index Options'!$C:$C,$A230,'BSE - Other Index Options'!$B:$B,G$147,'BSE - Other Index Options'!$H:$H,"Monthly*"))</f>
        <v/>
      </c>
      <c r="H230" s="26" t="str">
        <f t="shared" si="8"/>
        <v/>
      </c>
    </row>
    <row r="231" spans="1:8" hidden="1" outlineLevel="1">
      <c r="A231" t="s">
        <v>93</v>
      </c>
      <c r="B231" s="26" t="str">
        <f>IF(SUMIFS('BSE - SENSEX Index Options'!$L:$L,'BSE - SENSEX Index Options'!$C:$C,$A231,'BSE - SENSEX Index Options'!$B:$B,B$147,'BSE - SENSEX Index Options'!$H:$H,"Monthly*")+SUMIFS('BSE - Other Index Options'!$L:$L,'BSE - Other Index Options'!$C:$C,$A231,'BSE - Other Index Options'!$B:$B,B$147,'BSE - Other Index Options'!$H:$H,"Monthly*")=0,"",SUMIFS('BSE - SENSEX Index Options'!$L:$L,'BSE - SENSEX Index Options'!$C:$C,$A231,'BSE - SENSEX Index Options'!$B:$B,B$147,'BSE - SENSEX Index Options'!$H:$H,"Monthly*")+SUMIFS('BSE - Other Index Options'!$L:$L,'BSE - Other Index Options'!$C:$C,$A231,'BSE - Other Index Options'!$B:$B,B$147,'BSE - Other Index Options'!$H:$H,"Monthly*"))</f>
        <v/>
      </c>
      <c r="C231" s="26" t="str">
        <f>IF(SUMIFS('BSE - SENSEX Index Options'!$L:$L,'BSE - SENSEX Index Options'!$C:$C,$A231,'BSE - SENSEX Index Options'!$B:$B,C$147,'BSE - SENSEX Index Options'!$H:$H,"Monthly*")+SUMIFS('BSE - Other Index Options'!$L:$L,'BSE - Other Index Options'!$C:$C,$A231,'BSE - Other Index Options'!$B:$B,C$147,'BSE - Other Index Options'!$H:$H,"Monthly*")=0,"",SUMIFS('BSE - SENSEX Index Options'!$L:$L,'BSE - SENSEX Index Options'!$C:$C,$A231,'BSE - SENSEX Index Options'!$B:$B,C$147,'BSE - SENSEX Index Options'!$H:$H,"Monthly*")+SUMIFS('BSE - Other Index Options'!$L:$L,'BSE - Other Index Options'!$C:$C,$A231,'BSE - Other Index Options'!$B:$B,C$147,'BSE - Other Index Options'!$H:$H,"Monthly*"))</f>
        <v/>
      </c>
      <c r="D231" s="26" t="str">
        <f>IF(SUMIFS('BSE - SENSEX Index Options'!$L:$L,'BSE - SENSEX Index Options'!$C:$C,$A231,'BSE - SENSEX Index Options'!$B:$B,D$147,'BSE - SENSEX Index Options'!$H:$H,"Monthly*")+SUMIFS('BSE - Other Index Options'!$L:$L,'BSE - Other Index Options'!$C:$C,$A231,'BSE - Other Index Options'!$B:$B,D$147,'BSE - Other Index Options'!$H:$H,"Monthly*")=0,"",SUMIFS('BSE - SENSEX Index Options'!$L:$L,'BSE - SENSEX Index Options'!$C:$C,$A231,'BSE - SENSEX Index Options'!$B:$B,D$147,'BSE - SENSEX Index Options'!$H:$H,"Monthly*")+SUMIFS('BSE - Other Index Options'!$L:$L,'BSE - Other Index Options'!$C:$C,$A231,'BSE - Other Index Options'!$B:$B,D$147,'BSE - Other Index Options'!$H:$H,"Monthly*"))</f>
        <v/>
      </c>
      <c r="E231" s="26" t="str">
        <f>IF(SUMIFS('BSE - SENSEX Index Options'!$L:$L,'BSE - SENSEX Index Options'!$C:$C,$A231,'BSE - SENSEX Index Options'!$B:$B,E$147,'BSE - SENSEX Index Options'!$H:$H,"Monthly*")+SUMIFS('BSE - Other Index Options'!$L:$L,'BSE - Other Index Options'!$C:$C,$A231,'BSE - Other Index Options'!$B:$B,E$147,'BSE - Other Index Options'!$H:$H,"Monthly*")=0,"",SUMIFS('BSE - SENSEX Index Options'!$L:$L,'BSE - SENSEX Index Options'!$C:$C,$A231,'BSE - SENSEX Index Options'!$B:$B,E$147,'BSE - SENSEX Index Options'!$H:$H,"Monthly*")+SUMIFS('BSE - Other Index Options'!$L:$L,'BSE - Other Index Options'!$C:$C,$A231,'BSE - Other Index Options'!$B:$B,E$147,'BSE - Other Index Options'!$H:$H,"Monthly*"))</f>
        <v/>
      </c>
      <c r="F231" s="26" t="str">
        <f>IF(SUMIFS('BSE - SENSEX Index Options'!$L:$L,'BSE - SENSEX Index Options'!$C:$C,$A231,'BSE - SENSEX Index Options'!$B:$B,F$147,'BSE - SENSEX Index Options'!$H:$H,"Monthly*")+SUMIFS('BSE - Other Index Options'!$L:$L,'BSE - Other Index Options'!$C:$C,$A231,'BSE - Other Index Options'!$B:$B,F$147,'BSE - Other Index Options'!$H:$H,"Monthly*")=0,"",SUMIFS('BSE - SENSEX Index Options'!$L:$L,'BSE - SENSEX Index Options'!$C:$C,$A231,'BSE - SENSEX Index Options'!$B:$B,F$147,'BSE - SENSEX Index Options'!$H:$H,"Monthly*")+SUMIFS('BSE - Other Index Options'!$L:$L,'BSE - Other Index Options'!$C:$C,$A231,'BSE - Other Index Options'!$B:$B,F$147,'BSE - Other Index Options'!$H:$H,"Monthly*"))</f>
        <v/>
      </c>
      <c r="G231" s="26" t="str">
        <f>IF(SUMIFS('BSE - SENSEX Index Options'!$L:$L,'BSE - SENSEX Index Options'!$C:$C,$A231,'BSE - SENSEX Index Options'!$B:$B,G$147,'BSE - SENSEX Index Options'!$H:$H,"Monthly*")+SUMIFS('BSE - Other Index Options'!$L:$L,'BSE - Other Index Options'!$C:$C,$A231,'BSE - Other Index Options'!$B:$B,G$147,'BSE - Other Index Options'!$H:$H,"Monthly*")=0,"",SUMIFS('BSE - SENSEX Index Options'!$L:$L,'BSE - SENSEX Index Options'!$C:$C,$A231,'BSE - SENSEX Index Options'!$B:$B,G$147,'BSE - SENSEX Index Options'!$H:$H,"Monthly*")+SUMIFS('BSE - Other Index Options'!$L:$L,'BSE - Other Index Options'!$C:$C,$A231,'BSE - Other Index Options'!$B:$B,G$147,'BSE - Other Index Options'!$H:$H,"Monthly*"))</f>
        <v/>
      </c>
      <c r="H231" s="26" t="str">
        <f t="shared" si="8"/>
        <v/>
      </c>
    </row>
    <row r="232" spans="1:8" hidden="1" outlineLevel="1">
      <c r="A232" t="s">
        <v>94</v>
      </c>
      <c r="B232" s="26" t="str">
        <f>IF(SUMIFS('BSE - SENSEX Index Options'!$L:$L,'BSE - SENSEX Index Options'!$C:$C,$A232,'BSE - SENSEX Index Options'!$B:$B,B$147,'BSE - SENSEX Index Options'!$H:$H,"Monthly*")+SUMIFS('BSE - Other Index Options'!$L:$L,'BSE - Other Index Options'!$C:$C,$A232,'BSE - Other Index Options'!$B:$B,B$147,'BSE - Other Index Options'!$H:$H,"Monthly*")=0,"",SUMIFS('BSE - SENSEX Index Options'!$L:$L,'BSE - SENSEX Index Options'!$C:$C,$A232,'BSE - SENSEX Index Options'!$B:$B,B$147,'BSE - SENSEX Index Options'!$H:$H,"Monthly*")+SUMIFS('BSE - Other Index Options'!$L:$L,'BSE - Other Index Options'!$C:$C,$A232,'BSE - Other Index Options'!$B:$B,B$147,'BSE - Other Index Options'!$H:$H,"Monthly*"))</f>
        <v/>
      </c>
      <c r="C232" s="26" t="str">
        <f>IF(SUMIFS('BSE - SENSEX Index Options'!$L:$L,'BSE - SENSEX Index Options'!$C:$C,$A232,'BSE - SENSEX Index Options'!$B:$B,C$147,'BSE - SENSEX Index Options'!$H:$H,"Monthly*")+SUMIFS('BSE - Other Index Options'!$L:$L,'BSE - Other Index Options'!$C:$C,$A232,'BSE - Other Index Options'!$B:$B,C$147,'BSE - Other Index Options'!$H:$H,"Monthly*")=0,"",SUMIFS('BSE - SENSEX Index Options'!$L:$L,'BSE - SENSEX Index Options'!$C:$C,$A232,'BSE - SENSEX Index Options'!$B:$B,C$147,'BSE - SENSEX Index Options'!$H:$H,"Monthly*")+SUMIFS('BSE - Other Index Options'!$L:$L,'BSE - Other Index Options'!$C:$C,$A232,'BSE - Other Index Options'!$B:$B,C$147,'BSE - Other Index Options'!$H:$H,"Monthly*"))</f>
        <v/>
      </c>
      <c r="D232" s="26" t="str">
        <f>IF(SUMIFS('BSE - SENSEX Index Options'!$L:$L,'BSE - SENSEX Index Options'!$C:$C,$A232,'BSE - SENSEX Index Options'!$B:$B,D$147,'BSE - SENSEX Index Options'!$H:$H,"Monthly*")+SUMIFS('BSE - Other Index Options'!$L:$L,'BSE - Other Index Options'!$C:$C,$A232,'BSE - Other Index Options'!$B:$B,D$147,'BSE - Other Index Options'!$H:$H,"Monthly*")=0,"",SUMIFS('BSE - SENSEX Index Options'!$L:$L,'BSE - SENSEX Index Options'!$C:$C,$A232,'BSE - SENSEX Index Options'!$B:$B,D$147,'BSE - SENSEX Index Options'!$H:$H,"Monthly*")+SUMIFS('BSE - Other Index Options'!$L:$L,'BSE - Other Index Options'!$C:$C,$A232,'BSE - Other Index Options'!$B:$B,D$147,'BSE - Other Index Options'!$H:$H,"Monthly*"))</f>
        <v/>
      </c>
      <c r="E232" s="26" t="str">
        <f>IF(SUMIFS('BSE - SENSEX Index Options'!$L:$L,'BSE - SENSEX Index Options'!$C:$C,$A232,'BSE - SENSEX Index Options'!$B:$B,E$147,'BSE - SENSEX Index Options'!$H:$H,"Monthly*")+SUMIFS('BSE - Other Index Options'!$L:$L,'BSE - Other Index Options'!$C:$C,$A232,'BSE - Other Index Options'!$B:$B,E$147,'BSE - Other Index Options'!$H:$H,"Monthly*")=0,"",SUMIFS('BSE - SENSEX Index Options'!$L:$L,'BSE - SENSEX Index Options'!$C:$C,$A232,'BSE - SENSEX Index Options'!$B:$B,E$147,'BSE - SENSEX Index Options'!$H:$H,"Monthly*")+SUMIFS('BSE - Other Index Options'!$L:$L,'BSE - Other Index Options'!$C:$C,$A232,'BSE - Other Index Options'!$B:$B,E$147,'BSE - Other Index Options'!$H:$H,"Monthly*"))</f>
        <v/>
      </c>
      <c r="F232" s="26" t="str">
        <f>IF(SUMIFS('BSE - SENSEX Index Options'!$L:$L,'BSE - SENSEX Index Options'!$C:$C,$A232,'BSE - SENSEX Index Options'!$B:$B,F$147,'BSE - SENSEX Index Options'!$H:$H,"Monthly*")+SUMIFS('BSE - Other Index Options'!$L:$L,'BSE - Other Index Options'!$C:$C,$A232,'BSE - Other Index Options'!$B:$B,F$147,'BSE - Other Index Options'!$H:$H,"Monthly*")=0,"",SUMIFS('BSE - SENSEX Index Options'!$L:$L,'BSE - SENSEX Index Options'!$C:$C,$A232,'BSE - SENSEX Index Options'!$B:$B,F$147,'BSE - SENSEX Index Options'!$H:$H,"Monthly*")+SUMIFS('BSE - Other Index Options'!$L:$L,'BSE - Other Index Options'!$C:$C,$A232,'BSE - Other Index Options'!$B:$B,F$147,'BSE - Other Index Options'!$H:$H,"Monthly*"))</f>
        <v/>
      </c>
      <c r="G232" s="26" t="str">
        <f>IF(SUMIFS('BSE - SENSEX Index Options'!$L:$L,'BSE - SENSEX Index Options'!$C:$C,$A232,'BSE - SENSEX Index Options'!$B:$B,G$147,'BSE - SENSEX Index Options'!$H:$H,"Monthly*")+SUMIFS('BSE - Other Index Options'!$L:$L,'BSE - Other Index Options'!$C:$C,$A232,'BSE - Other Index Options'!$B:$B,G$147,'BSE - Other Index Options'!$H:$H,"Monthly*")=0,"",SUMIFS('BSE - SENSEX Index Options'!$L:$L,'BSE - SENSEX Index Options'!$C:$C,$A232,'BSE - SENSEX Index Options'!$B:$B,G$147,'BSE - SENSEX Index Options'!$H:$H,"Monthly*")+SUMIFS('BSE - Other Index Options'!$L:$L,'BSE - Other Index Options'!$C:$C,$A232,'BSE - Other Index Options'!$B:$B,G$147,'BSE - Other Index Options'!$H:$H,"Monthly*"))</f>
        <v/>
      </c>
      <c r="H232" s="26" t="str">
        <f t="shared" si="8"/>
        <v/>
      </c>
    </row>
    <row r="233" spans="1:8" hidden="1" outlineLevel="1">
      <c r="A233" t="s">
        <v>95</v>
      </c>
      <c r="B233" s="26" t="str">
        <f>IF(SUMIFS('BSE - SENSEX Index Options'!$L:$L,'BSE - SENSEX Index Options'!$C:$C,$A233,'BSE - SENSEX Index Options'!$B:$B,B$147,'BSE - SENSEX Index Options'!$H:$H,"Monthly*")+SUMIFS('BSE - Other Index Options'!$L:$L,'BSE - Other Index Options'!$C:$C,$A233,'BSE - Other Index Options'!$B:$B,B$147,'BSE - Other Index Options'!$H:$H,"Monthly*")=0,"",SUMIFS('BSE - SENSEX Index Options'!$L:$L,'BSE - SENSEX Index Options'!$C:$C,$A233,'BSE - SENSEX Index Options'!$B:$B,B$147,'BSE - SENSEX Index Options'!$H:$H,"Monthly*")+SUMIFS('BSE - Other Index Options'!$L:$L,'BSE - Other Index Options'!$C:$C,$A233,'BSE - Other Index Options'!$B:$B,B$147,'BSE - Other Index Options'!$H:$H,"Monthly*"))</f>
        <v/>
      </c>
      <c r="C233" s="26" t="str">
        <f>IF(SUMIFS('BSE - SENSEX Index Options'!$L:$L,'BSE - SENSEX Index Options'!$C:$C,$A233,'BSE - SENSEX Index Options'!$B:$B,C$147,'BSE - SENSEX Index Options'!$H:$H,"Monthly*")+SUMIFS('BSE - Other Index Options'!$L:$L,'BSE - Other Index Options'!$C:$C,$A233,'BSE - Other Index Options'!$B:$B,C$147,'BSE - Other Index Options'!$H:$H,"Monthly*")=0,"",SUMIFS('BSE - SENSEX Index Options'!$L:$L,'BSE - SENSEX Index Options'!$C:$C,$A233,'BSE - SENSEX Index Options'!$B:$B,C$147,'BSE - SENSEX Index Options'!$H:$H,"Monthly*")+SUMIFS('BSE - Other Index Options'!$L:$L,'BSE - Other Index Options'!$C:$C,$A233,'BSE - Other Index Options'!$B:$B,C$147,'BSE - Other Index Options'!$H:$H,"Monthly*"))</f>
        <v/>
      </c>
      <c r="D233" s="26" t="str">
        <f>IF(SUMIFS('BSE - SENSEX Index Options'!$L:$L,'BSE - SENSEX Index Options'!$C:$C,$A233,'BSE - SENSEX Index Options'!$B:$B,D$147,'BSE - SENSEX Index Options'!$H:$H,"Monthly*")+SUMIFS('BSE - Other Index Options'!$L:$L,'BSE - Other Index Options'!$C:$C,$A233,'BSE - Other Index Options'!$B:$B,D$147,'BSE - Other Index Options'!$H:$H,"Monthly*")=0,"",SUMIFS('BSE - SENSEX Index Options'!$L:$L,'BSE - SENSEX Index Options'!$C:$C,$A233,'BSE - SENSEX Index Options'!$B:$B,D$147,'BSE - SENSEX Index Options'!$H:$H,"Monthly*")+SUMIFS('BSE - Other Index Options'!$L:$L,'BSE - Other Index Options'!$C:$C,$A233,'BSE - Other Index Options'!$B:$B,D$147,'BSE - Other Index Options'!$H:$H,"Monthly*"))</f>
        <v/>
      </c>
      <c r="E233" s="26" t="str">
        <f>IF(SUMIFS('BSE - SENSEX Index Options'!$L:$L,'BSE - SENSEX Index Options'!$C:$C,$A233,'BSE - SENSEX Index Options'!$B:$B,E$147,'BSE - SENSEX Index Options'!$H:$H,"Monthly*")+SUMIFS('BSE - Other Index Options'!$L:$L,'BSE - Other Index Options'!$C:$C,$A233,'BSE - Other Index Options'!$B:$B,E$147,'BSE - Other Index Options'!$H:$H,"Monthly*")=0,"",SUMIFS('BSE - SENSEX Index Options'!$L:$L,'BSE - SENSEX Index Options'!$C:$C,$A233,'BSE - SENSEX Index Options'!$B:$B,E$147,'BSE - SENSEX Index Options'!$H:$H,"Monthly*")+SUMIFS('BSE - Other Index Options'!$L:$L,'BSE - Other Index Options'!$C:$C,$A233,'BSE - Other Index Options'!$B:$B,E$147,'BSE - Other Index Options'!$H:$H,"Monthly*"))</f>
        <v/>
      </c>
      <c r="F233" s="26" t="str">
        <f>IF(SUMIFS('BSE - SENSEX Index Options'!$L:$L,'BSE - SENSEX Index Options'!$C:$C,$A233,'BSE - SENSEX Index Options'!$B:$B,F$147,'BSE - SENSEX Index Options'!$H:$H,"Monthly*")+SUMIFS('BSE - Other Index Options'!$L:$L,'BSE - Other Index Options'!$C:$C,$A233,'BSE - Other Index Options'!$B:$B,F$147,'BSE - Other Index Options'!$H:$H,"Monthly*")=0,"",SUMIFS('BSE - SENSEX Index Options'!$L:$L,'BSE - SENSEX Index Options'!$C:$C,$A233,'BSE - SENSEX Index Options'!$B:$B,F$147,'BSE - SENSEX Index Options'!$H:$H,"Monthly*")+SUMIFS('BSE - Other Index Options'!$L:$L,'BSE - Other Index Options'!$C:$C,$A233,'BSE - Other Index Options'!$B:$B,F$147,'BSE - Other Index Options'!$H:$H,"Monthly*"))</f>
        <v/>
      </c>
      <c r="G233" s="26" t="str">
        <f>IF(SUMIFS('BSE - SENSEX Index Options'!$L:$L,'BSE - SENSEX Index Options'!$C:$C,$A233,'BSE - SENSEX Index Options'!$B:$B,G$147,'BSE - SENSEX Index Options'!$H:$H,"Monthly*")+SUMIFS('BSE - Other Index Options'!$L:$L,'BSE - Other Index Options'!$C:$C,$A233,'BSE - Other Index Options'!$B:$B,G$147,'BSE - Other Index Options'!$H:$H,"Monthly*")=0,"",SUMIFS('BSE - SENSEX Index Options'!$L:$L,'BSE - SENSEX Index Options'!$C:$C,$A233,'BSE - SENSEX Index Options'!$B:$B,G$147,'BSE - SENSEX Index Options'!$H:$H,"Monthly*")+SUMIFS('BSE - Other Index Options'!$L:$L,'BSE - Other Index Options'!$C:$C,$A233,'BSE - Other Index Options'!$B:$B,G$147,'BSE - Other Index Options'!$H:$H,"Monthly*"))</f>
        <v/>
      </c>
      <c r="H233" s="26" t="str">
        <f t="shared" si="8"/>
        <v/>
      </c>
    </row>
    <row r="234" spans="1:8" hidden="1" outlineLevel="1">
      <c r="A234" t="s">
        <v>96</v>
      </c>
      <c r="B234" s="26" t="str">
        <f>IF(SUMIFS('BSE - SENSEX Index Options'!$L:$L,'BSE - SENSEX Index Options'!$C:$C,$A234,'BSE - SENSEX Index Options'!$B:$B,B$147,'BSE - SENSEX Index Options'!$H:$H,"Monthly*")+SUMIFS('BSE - Other Index Options'!$L:$L,'BSE - Other Index Options'!$C:$C,$A234,'BSE - Other Index Options'!$B:$B,B$147,'BSE - Other Index Options'!$H:$H,"Monthly*")=0,"",SUMIFS('BSE - SENSEX Index Options'!$L:$L,'BSE - SENSEX Index Options'!$C:$C,$A234,'BSE - SENSEX Index Options'!$B:$B,B$147,'BSE - SENSEX Index Options'!$H:$H,"Monthly*")+SUMIFS('BSE - Other Index Options'!$L:$L,'BSE - Other Index Options'!$C:$C,$A234,'BSE - Other Index Options'!$B:$B,B$147,'BSE - Other Index Options'!$H:$H,"Monthly*"))</f>
        <v/>
      </c>
      <c r="C234" s="26" t="str">
        <f>IF(SUMIFS('BSE - SENSEX Index Options'!$L:$L,'BSE - SENSEX Index Options'!$C:$C,$A234,'BSE - SENSEX Index Options'!$B:$B,C$147,'BSE - SENSEX Index Options'!$H:$H,"Monthly*")+SUMIFS('BSE - Other Index Options'!$L:$L,'BSE - Other Index Options'!$C:$C,$A234,'BSE - Other Index Options'!$B:$B,C$147,'BSE - Other Index Options'!$H:$H,"Monthly*")=0,"",SUMIFS('BSE - SENSEX Index Options'!$L:$L,'BSE - SENSEX Index Options'!$C:$C,$A234,'BSE - SENSEX Index Options'!$B:$B,C$147,'BSE - SENSEX Index Options'!$H:$H,"Monthly*")+SUMIFS('BSE - Other Index Options'!$L:$L,'BSE - Other Index Options'!$C:$C,$A234,'BSE - Other Index Options'!$B:$B,C$147,'BSE - Other Index Options'!$H:$H,"Monthly*"))</f>
        <v/>
      </c>
      <c r="D234" s="26" t="str">
        <f>IF(SUMIFS('BSE - SENSEX Index Options'!$L:$L,'BSE - SENSEX Index Options'!$C:$C,$A234,'BSE - SENSEX Index Options'!$B:$B,D$147,'BSE - SENSEX Index Options'!$H:$H,"Monthly*")+SUMIFS('BSE - Other Index Options'!$L:$L,'BSE - Other Index Options'!$C:$C,$A234,'BSE - Other Index Options'!$B:$B,D$147,'BSE - Other Index Options'!$H:$H,"Monthly*")=0,"",SUMIFS('BSE - SENSEX Index Options'!$L:$L,'BSE - SENSEX Index Options'!$C:$C,$A234,'BSE - SENSEX Index Options'!$B:$B,D$147,'BSE - SENSEX Index Options'!$H:$H,"Monthly*")+SUMIFS('BSE - Other Index Options'!$L:$L,'BSE - Other Index Options'!$C:$C,$A234,'BSE - Other Index Options'!$B:$B,D$147,'BSE - Other Index Options'!$H:$H,"Monthly*"))</f>
        <v/>
      </c>
      <c r="E234" s="26" t="str">
        <f>IF(SUMIFS('BSE - SENSEX Index Options'!$L:$L,'BSE - SENSEX Index Options'!$C:$C,$A234,'BSE - SENSEX Index Options'!$B:$B,E$147,'BSE - SENSEX Index Options'!$H:$H,"Monthly*")+SUMIFS('BSE - Other Index Options'!$L:$L,'BSE - Other Index Options'!$C:$C,$A234,'BSE - Other Index Options'!$B:$B,E$147,'BSE - Other Index Options'!$H:$H,"Monthly*")=0,"",SUMIFS('BSE - SENSEX Index Options'!$L:$L,'BSE - SENSEX Index Options'!$C:$C,$A234,'BSE - SENSEX Index Options'!$B:$B,E$147,'BSE - SENSEX Index Options'!$H:$H,"Monthly*")+SUMIFS('BSE - Other Index Options'!$L:$L,'BSE - Other Index Options'!$C:$C,$A234,'BSE - Other Index Options'!$B:$B,E$147,'BSE - Other Index Options'!$H:$H,"Monthly*"))</f>
        <v/>
      </c>
      <c r="F234" s="26" t="str">
        <f>IF(SUMIFS('BSE - SENSEX Index Options'!$L:$L,'BSE - SENSEX Index Options'!$C:$C,$A234,'BSE - SENSEX Index Options'!$B:$B,F$147,'BSE - SENSEX Index Options'!$H:$H,"Monthly*")+SUMIFS('BSE - Other Index Options'!$L:$L,'BSE - Other Index Options'!$C:$C,$A234,'BSE - Other Index Options'!$B:$B,F$147,'BSE - Other Index Options'!$H:$H,"Monthly*")=0,"",SUMIFS('BSE - SENSEX Index Options'!$L:$L,'BSE - SENSEX Index Options'!$C:$C,$A234,'BSE - SENSEX Index Options'!$B:$B,F$147,'BSE - SENSEX Index Options'!$H:$H,"Monthly*")+SUMIFS('BSE - Other Index Options'!$L:$L,'BSE - Other Index Options'!$C:$C,$A234,'BSE - Other Index Options'!$B:$B,F$147,'BSE - Other Index Options'!$H:$H,"Monthly*"))</f>
        <v/>
      </c>
      <c r="G234" s="26" t="str">
        <f>IF(SUMIFS('BSE - SENSEX Index Options'!$L:$L,'BSE - SENSEX Index Options'!$C:$C,$A234,'BSE - SENSEX Index Options'!$B:$B,G$147,'BSE - SENSEX Index Options'!$H:$H,"Monthly*")+SUMIFS('BSE - Other Index Options'!$L:$L,'BSE - Other Index Options'!$C:$C,$A234,'BSE - Other Index Options'!$B:$B,G$147,'BSE - Other Index Options'!$H:$H,"Monthly*")=0,"",SUMIFS('BSE - SENSEX Index Options'!$L:$L,'BSE - SENSEX Index Options'!$C:$C,$A234,'BSE - SENSEX Index Options'!$B:$B,G$147,'BSE - SENSEX Index Options'!$H:$H,"Monthly*")+SUMIFS('BSE - Other Index Options'!$L:$L,'BSE - Other Index Options'!$C:$C,$A234,'BSE - Other Index Options'!$B:$B,G$147,'BSE - Other Index Options'!$H:$H,"Monthly*"))</f>
        <v/>
      </c>
      <c r="H234" s="26" t="str">
        <f t="shared" si="8"/>
        <v/>
      </c>
    </row>
    <row r="235" spans="1:8" hidden="1" outlineLevel="1">
      <c r="A235" t="s">
        <v>97</v>
      </c>
      <c r="B235" s="26" t="str">
        <f>IF(SUMIFS('BSE - SENSEX Index Options'!$L:$L,'BSE - SENSEX Index Options'!$C:$C,$A235,'BSE - SENSEX Index Options'!$B:$B,B$147,'BSE - SENSEX Index Options'!$H:$H,"Monthly*")+SUMIFS('BSE - Other Index Options'!$L:$L,'BSE - Other Index Options'!$C:$C,$A235,'BSE - Other Index Options'!$B:$B,B$147,'BSE - Other Index Options'!$H:$H,"Monthly*")=0,"",SUMIFS('BSE - SENSEX Index Options'!$L:$L,'BSE - SENSEX Index Options'!$C:$C,$A235,'BSE - SENSEX Index Options'!$B:$B,B$147,'BSE - SENSEX Index Options'!$H:$H,"Monthly*")+SUMIFS('BSE - Other Index Options'!$L:$L,'BSE - Other Index Options'!$C:$C,$A235,'BSE - Other Index Options'!$B:$B,B$147,'BSE - Other Index Options'!$H:$H,"Monthly*"))</f>
        <v/>
      </c>
      <c r="C235" s="26" t="str">
        <f>IF(SUMIFS('BSE - SENSEX Index Options'!$L:$L,'BSE - SENSEX Index Options'!$C:$C,$A235,'BSE - SENSEX Index Options'!$B:$B,C$147,'BSE - SENSEX Index Options'!$H:$H,"Monthly*")+SUMIFS('BSE - Other Index Options'!$L:$L,'BSE - Other Index Options'!$C:$C,$A235,'BSE - Other Index Options'!$B:$B,C$147,'BSE - Other Index Options'!$H:$H,"Monthly*")=0,"",SUMIFS('BSE - SENSEX Index Options'!$L:$L,'BSE - SENSEX Index Options'!$C:$C,$A235,'BSE - SENSEX Index Options'!$B:$B,C$147,'BSE - SENSEX Index Options'!$H:$H,"Monthly*")+SUMIFS('BSE - Other Index Options'!$L:$L,'BSE - Other Index Options'!$C:$C,$A235,'BSE - Other Index Options'!$B:$B,C$147,'BSE - Other Index Options'!$H:$H,"Monthly*"))</f>
        <v/>
      </c>
      <c r="D235" s="26" t="str">
        <f>IF(SUMIFS('BSE - SENSEX Index Options'!$L:$L,'BSE - SENSEX Index Options'!$C:$C,$A235,'BSE - SENSEX Index Options'!$B:$B,D$147,'BSE - SENSEX Index Options'!$H:$H,"Monthly*")+SUMIFS('BSE - Other Index Options'!$L:$L,'BSE - Other Index Options'!$C:$C,$A235,'BSE - Other Index Options'!$B:$B,D$147,'BSE - Other Index Options'!$H:$H,"Monthly*")=0,"",SUMIFS('BSE - SENSEX Index Options'!$L:$L,'BSE - SENSEX Index Options'!$C:$C,$A235,'BSE - SENSEX Index Options'!$B:$B,D$147,'BSE - SENSEX Index Options'!$H:$H,"Monthly*")+SUMIFS('BSE - Other Index Options'!$L:$L,'BSE - Other Index Options'!$C:$C,$A235,'BSE - Other Index Options'!$B:$B,D$147,'BSE - Other Index Options'!$H:$H,"Monthly*"))</f>
        <v/>
      </c>
      <c r="E235" s="26" t="str">
        <f>IF(SUMIFS('BSE - SENSEX Index Options'!$L:$L,'BSE - SENSEX Index Options'!$C:$C,$A235,'BSE - SENSEX Index Options'!$B:$B,E$147,'BSE - SENSEX Index Options'!$H:$H,"Monthly*")+SUMIFS('BSE - Other Index Options'!$L:$L,'BSE - Other Index Options'!$C:$C,$A235,'BSE - Other Index Options'!$B:$B,E$147,'BSE - Other Index Options'!$H:$H,"Monthly*")=0,"",SUMIFS('BSE - SENSEX Index Options'!$L:$L,'BSE - SENSEX Index Options'!$C:$C,$A235,'BSE - SENSEX Index Options'!$B:$B,E$147,'BSE - SENSEX Index Options'!$H:$H,"Monthly*")+SUMIFS('BSE - Other Index Options'!$L:$L,'BSE - Other Index Options'!$C:$C,$A235,'BSE - Other Index Options'!$B:$B,E$147,'BSE - Other Index Options'!$H:$H,"Monthly*"))</f>
        <v/>
      </c>
      <c r="F235" s="26" t="str">
        <f>IF(SUMIFS('BSE - SENSEX Index Options'!$L:$L,'BSE - SENSEX Index Options'!$C:$C,$A235,'BSE - SENSEX Index Options'!$B:$B,F$147,'BSE - SENSEX Index Options'!$H:$H,"Monthly*")+SUMIFS('BSE - Other Index Options'!$L:$L,'BSE - Other Index Options'!$C:$C,$A235,'BSE - Other Index Options'!$B:$B,F$147,'BSE - Other Index Options'!$H:$H,"Monthly*")=0,"",SUMIFS('BSE - SENSEX Index Options'!$L:$L,'BSE - SENSEX Index Options'!$C:$C,$A235,'BSE - SENSEX Index Options'!$B:$B,F$147,'BSE - SENSEX Index Options'!$H:$H,"Monthly*")+SUMIFS('BSE - Other Index Options'!$L:$L,'BSE - Other Index Options'!$C:$C,$A235,'BSE - Other Index Options'!$B:$B,F$147,'BSE - Other Index Options'!$H:$H,"Monthly*"))</f>
        <v/>
      </c>
      <c r="G235" s="26" t="str">
        <f>IF(SUMIFS('BSE - SENSEX Index Options'!$L:$L,'BSE - SENSEX Index Options'!$C:$C,$A235,'BSE - SENSEX Index Options'!$B:$B,G$147,'BSE - SENSEX Index Options'!$H:$H,"Monthly*")+SUMIFS('BSE - Other Index Options'!$L:$L,'BSE - Other Index Options'!$C:$C,$A235,'BSE - Other Index Options'!$B:$B,G$147,'BSE - Other Index Options'!$H:$H,"Monthly*")=0,"",SUMIFS('BSE - SENSEX Index Options'!$L:$L,'BSE - SENSEX Index Options'!$C:$C,$A235,'BSE - SENSEX Index Options'!$B:$B,G$147,'BSE - SENSEX Index Options'!$H:$H,"Monthly*")+SUMIFS('BSE - Other Index Options'!$L:$L,'BSE - Other Index Options'!$C:$C,$A235,'BSE - Other Index Options'!$B:$B,G$147,'BSE - Other Index Options'!$H:$H,"Monthly*"))</f>
        <v/>
      </c>
      <c r="H235" s="26" t="str">
        <f t="shared" si="8"/>
        <v/>
      </c>
    </row>
    <row r="236" spans="1:8" hidden="1" outlineLevel="1">
      <c r="A236" t="s">
        <v>98</v>
      </c>
      <c r="B236" s="26" t="str">
        <f>IF(SUMIFS('BSE - SENSEX Index Options'!$L:$L,'BSE - SENSEX Index Options'!$C:$C,$A236,'BSE - SENSEX Index Options'!$B:$B,B$147,'BSE - SENSEX Index Options'!$H:$H,"Monthly*")+SUMIFS('BSE - Other Index Options'!$L:$L,'BSE - Other Index Options'!$C:$C,$A236,'BSE - Other Index Options'!$B:$B,B$147,'BSE - Other Index Options'!$H:$H,"Monthly*")=0,"",SUMIFS('BSE - SENSEX Index Options'!$L:$L,'BSE - SENSEX Index Options'!$C:$C,$A236,'BSE - SENSEX Index Options'!$B:$B,B$147,'BSE - SENSEX Index Options'!$H:$H,"Monthly*")+SUMIFS('BSE - Other Index Options'!$L:$L,'BSE - Other Index Options'!$C:$C,$A236,'BSE - Other Index Options'!$B:$B,B$147,'BSE - Other Index Options'!$H:$H,"Monthly*"))</f>
        <v/>
      </c>
      <c r="C236" s="26" t="str">
        <f>IF(SUMIFS('BSE - SENSEX Index Options'!$L:$L,'BSE - SENSEX Index Options'!$C:$C,$A236,'BSE - SENSEX Index Options'!$B:$B,C$147,'BSE - SENSEX Index Options'!$H:$H,"Monthly*")+SUMIFS('BSE - Other Index Options'!$L:$L,'BSE - Other Index Options'!$C:$C,$A236,'BSE - Other Index Options'!$B:$B,C$147,'BSE - Other Index Options'!$H:$H,"Monthly*")=0,"",SUMIFS('BSE - SENSEX Index Options'!$L:$L,'BSE - SENSEX Index Options'!$C:$C,$A236,'BSE - SENSEX Index Options'!$B:$B,C$147,'BSE - SENSEX Index Options'!$H:$H,"Monthly*")+SUMIFS('BSE - Other Index Options'!$L:$L,'BSE - Other Index Options'!$C:$C,$A236,'BSE - Other Index Options'!$B:$B,C$147,'BSE - Other Index Options'!$H:$H,"Monthly*"))</f>
        <v/>
      </c>
      <c r="D236" s="26" t="str">
        <f>IF(SUMIFS('BSE - SENSEX Index Options'!$L:$L,'BSE - SENSEX Index Options'!$C:$C,$A236,'BSE - SENSEX Index Options'!$B:$B,D$147,'BSE - SENSEX Index Options'!$H:$H,"Monthly*")+SUMIFS('BSE - Other Index Options'!$L:$L,'BSE - Other Index Options'!$C:$C,$A236,'BSE - Other Index Options'!$B:$B,D$147,'BSE - Other Index Options'!$H:$H,"Monthly*")=0,"",SUMIFS('BSE - SENSEX Index Options'!$L:$L,'BSE - SENSEX Index Options'!$C:$C,$A236,'BSE - SENSEX Index Options'!$B:$B,D$147,'BSE - SENSEX Index Options'!$H:$H,"Monthly*")+SUMIFS('BSE - Other Index Options'!$L:$L,'BSE - Other Index Options'!$C:$C,$A236,'BSE - Other Index Options'!$B:$B,D$147,'BSE - Other Index Options'!$H:$H,"Monthly*"))</f>
        <v/>
      </c>
      <c r="E236" s="26" t="str">
        <f>IF(SUMIFS('BSE - SENSEX Index Options'!$L:$L,'BSE - SENSEX Index Options'!$C:$C,$A236,'BSE - SENSEX Index Options'!$B:$B,E$147,'BSE - SENSEX Index Options'!$H:$H,"Monthly*")+SUMIFS('BSE - Other Index Options'!$L:$L,'BSE - Other Index Options'!$C:$C,$A236,'BSE - Other Index Options'!$B:$B,E$147,'BSE - Other Index Options'!$H:$H,"Monthly*")=0,"",SUMIFS('BSE - SENSEX Index Options'!$L:$L,'BSE - SENSEX Index Options'!$C:$C,$A236,'BSE - SENSEX Index Options'!$B:$B,E$147,'BSE - SENSEX Index Options'!$H:$H,"Monthly*")+SUMIFS('BSE - Other Index Options'!$L:$L,'BSE - Other Index Options'!$C:$C,$A236,'BSE - Other Index Options'!$B:$B,E$147,'BSE - Other Index Options'!$H:$H,"Monthly*"))</f>
        <v/>
      </c>
      <c r="F236" s="26" t="str">
        <f>IF(SUMIFS('BSE - SENSEX Index Options'!$L:$L,'BSE - SENSEX Index Options'!$C:$C,$A236,'BSE - SENSEX Index Options'!$B:$B,F$147,'BSE - SENSEX Index Options'!$H:$H,"Monthly*")+SUMIFS('BSE - Other Index Options'!$L:$L,'BSE - Other Index Options'!$C:$C,$A236,'BSE - Other Index Options'!$B:$B,F$147,'BSE - Other Index Options'!$H:$H,"Monthly*")=0,"",SUMIFS('BSE - SENSEX Index Options'!$L:$L,'BSE - SENSEX Index Options'!$C:$C,$A236,'BSE - SENSEX Index Options'!$B:$B,F$147,'BSE - SENSEX Index Options'!$H:$H,"Monthly*")+SUMIFS('BSE - Other Index Options'!$L:$L,'BSE - Other Index Options'!$C:$C,$A236,'BSE - Other Index Options'!$B:$B,F$147,'BSE - Other Index Options'!$H:$H,"Monthly*"))</f>
        <v/>
      </c>
      <c r="G236" s="26" t="str">
        <f>IF(SUMIFS('BSE - SENSEX Index Options'!$L:$L,'BSE - SENSEX Index Options'!$C:$C,$A236,'BSE - SENSEX Index Options'!$B:$B,G$147,'BSE - SENSEX Index Options'!$H:$H,"Monthly*")+SUMIFS('BSE - Other Index Options'!$L:$L,'BSE - Other Index Options'!$C:$C,$A236,'BSE - Other Index Options'!$B:$B,G$147,'BSE - Other Index Options'!$H:$H,"Monthly*")=0,"",SUMIFS('BSE - SENSEX Index Options'!$L:$L,'BSE - SENSEX Index Options'!$C:$C,$A236,'BSE - SENSEX Index Options'!$B:$B,G$147,'BSE - SENSEX Index Options'!$H:$H,"Monthly*")+SUMIFS('BSE - Other Index Options'!$L:$L,'BSE - Other Index Options'!$C:$C,$A236,'BSE - Other Index Options'!$B:$B,G$147,'BSE - Other Index Options'!$H:$H,"Monthly*"))</f>
        <v/>
      </c>
      <c r="H236" s="26" t="str">
        <f t="shared" si="8"/>
        <v/>
      </c>
    </row>
    <row r="237" spans="1:8" hidden="1" outlineLevel="1">
      <c r="A237" t="s">
        <v>99</v>
      </c>
      <c r="B237" s="26" t="str">
        <f>IF(SUMIFS('BSE - SENSEX Index Options'!$L:$L,'BSE - SENSEX Index Options'!$C:$C,$A237,'BSE - SENSEX Index Options'!$B:$B,B$147,'BSE - SENSEX Index Options'!$H:$H,"Monthly*")+SUMIFS('BSE - Other Index Options'!$L:$L,'BSE - Other Index Options'!$C:$C,$A237,'BSE - Other Index Options'!$B:$B,B$147,'BSE - Other Index Options'!$H:$H,"Monthly*")=0,"",SUMIFS('BSE - SENSEX Index Options'!$L:$L,'BSE - SENSEX Index Options'!$C:$C,$A237,'BSE - SENSEX Index Options'!$B:$B,B$147,'BSE - SENSEX Index Options'!$H:$H,"Monthly*")+SUMIFS('BSE - Other Index Options'!$L:$L,'BSE - Other Index Options'!$C:$C,$A237,'BSE - Other Index Options'!$B:$B,B$147,'BSE - Other Index Options'!$H:$H,"Monthly*"))</f>
        <v/>
      </c>
      <c r="C237" s="26" t="str">
        <f>IF(SUMIFS('BSE - SENSEX Index Options'!$L:$L,'BSE - SENSEX Index Options'!$C:$C,$A237,'BSE - SENSEX Index Options'!$B:$B,C$147,'BSE - SENSEX Index Options'!$H:$H,"Monthly*")+SUMIFS('BSE - Other Index Options'!$L:$L,'BSE - Other Index Options'!$C:$C,$A237,'BSE - Other Index Options'!$B:$B,C$147,'BSE - Other Index Options'!$H:$H,"Monthly*")=0,"",SUMIFS('BSE - SENSEX Index Options'!$L:$L,'BSE - SENSEX Index Options'!$C:$C,$A237,'BSE - SENSEX Index Options'!$B:$B,C$147,'BSE - SENSEX Index Options'!$H:$H,"Monthly*")+SUMIFS('BSE - Other Index Options'!$L:$L,'BSE - Other Index Options'!$C:$C,$A237,'BSE - Other Index Options'!$B:$B,C$147,'BSE - Other Index Options'!$H:$H,"Monthly*"))</f>
        <v/>
      </c>
      <c r="D237" s="26" t="str">
        <f>IF(SUMIFS('BSE - SENSEX Index Options'!$L:$L,'BSE - SENSEX Index Options'!$C:$C,$A237,'BSE - SENSEX Index Options'!$B:$B,D$147,'BSE - SENSEX Index Options'!$H:$H,"Monthly*")+SUMIFS('BSE - Other Index Options'!$L:$L,'BSE - Other Index Options'!$C:$C,$A237,'BSE - Other Index Options'!$B:$B,D$147,'BSE - Other Index Options'!$H:$H,"Monthly*")=0,"",SUMIFS('BSE - SENSEX Index Options'!$L:$L,'BSE - SENSEX Index Options'!$C:$C,$A237,'BSE - SENSEX Index Options'!$B:$B,D$147,'BSE - SENSEX Index Options'!$H:$H,"Monthly*")+SUMIFS('BSE - Other Index Options'!$L:$L,'BSE - Other Index Options'!$C:$C,$A237,'BSE - Other Index Options'!$B:$B,D$147,'BSE - Other Index Options'!$H:$H,"Monthly*"))</f>
        <v/>
      </c>
      <c r="E237" s="26" t="str">
        <f>IF(SUMIFS('BSE - SENSEX Index Options'!$L:$L,'BSE - SENSEX Index Options'!$C:$C,$A237,'BSE - SENSEX Index Options'!$B:$B,E$147,'BSE - SENSEX Index Options'!$H:$H,"Monthly*")+SUMIFS('BSE - Other Index Options'!$L:$L,'BSE - Other Index Options'!$C:$C,$A237,'BSE - Other Index Options'!$B:$B,E$147,'BSE - Other Index Options'!$H:$H,"Monthly*")=0,"",SUMIFS('BSE - SENSEX Index Options'!$L:$L,'BSE - SENSEX Index Options'!$C:$C,$A237,'BSE - SENSEX Index Options'!$B:$B,E$147,'BSE - SENSEX Index Options'!$H:$H,"Monthly*")+SUMIFS('BSE - Other Index Options'!$L:$L,'BSE - Other Index Options'!$C:$C,$A237,'BSE - Other Index Options'!$B:$B,E$147,'BSE - Other Index Options'!$H:$H,"Monthly*"))</f>
        <v/>
      </c>
      <c r="F237" s="26" t="str">
        <f>IF(SUMIFS('BSE - SENSEX Index Options'!$L:$L,'BSE - SENSEX Index Options'!$C:$C,$A237,'BSE - SENSEX Index Options'!$B:$B,F$147,'BSE - SENSEX Index Options'!$H:$H,"Monthly*")+SUMIFS('BSE - Other Index Options'!$L:$L,'BSE - Other Index Options'!$C:$C,$A237,'BSE - Other Index Options'!$B:$B,F$147,'BSE - Other Index Options'!$H:$H,"Monthly*")=0,"",SUMIFS('BSE - SENSEX Index Options'!$L:$L,'BSE - SENSEX Index Options'!$C:$C,$A237,'BSE - SENSEX Index Options'!$B:$B,F$147,'BSE - SENSEX Index Options'!$H:$H,"Monthly*")+SUMIFS('BSE - Other Index Options'!$L:$L,'BSE - Other Index Options'!$C:$C,$A237,'BSE - Other Index Options'!$B:$B,F$147,'BSE - Other Index Options'!$H:$H,"Monthly*"))</f>
        <v/>
      </c>
      <c r="G237" s="26" t="str">
        <f>IF(SUMIFS('BSE - SENSEX Index Options'!$L:$L,'BSE - SENSEX Index Options'!$C:$C,$A237,'BSE - SENSEX Index Options'!$B:$B,G$147,'BSE - SENSEX Index Options'!$H:$H,"Monthly*")+SUMIFS('BSE - Other Index Options'!$L:$L,'BSE - Other Index Options'!$C:$C,$A237,'BSE - Other Index Options'!$B:$B,G$147,'BSE - Other Index Options'!$H:$H,"Monthly*")=0,"",SUMIFS('BSE - SENSEX Index Options'!$L:$L,'BSE - SENSEX Index Options'!$C:$C,$A237,'BSE - SENSEX Index Options'!$B:$B,G$147,'BSE - SENSEX Index Options'!$H:$H,"Monthly*")+SUMIFS('BSE - Other Index Options'!$L:$L,'BSE - Other Index Options'!$C:$C,$A237,'BSE - Other Index Options'!$B:$B,G$147,'BSE - Other Index Options'!$H:$H,"Monthly*"))</f>
        <v/>
      </c>
      <c r="H237" s="26" t="str">
        <f t="shared" si="8"/>
        <v/>
      </c>
    </row>
    <row r="238" spans="1:8" hidden="1" outlineLevel="1">
      <c r="A238" t="s">
        <v>100</v>
      </c>
      <c r="B238" s="26" t="str">
        <f>IF(SUMIFS('BSE - SENSEX Index Options'!$L:$L,'BSE - SENSEX Index Options'!$C:$C,$A238,'BSE - SENSEX Index Options'!$B:$B,B$147,'BSE - SENSEX Index Options'!$H:$H,"Monthly*")+SUMIFS('BSE - Other Index Options'!$L:$L,'BSE - Other Index Options'!$C:$C,$A238,'BSE - Other Index Options'!$B:$B,B$147,'BSE - Other Index Options'!$H:$H,"Monthly*")=0,"",SUMIFS('BSE - SENSEX Index Options'!$L:$L,'BSE - SENSEX Index Options'!$C:$C,$A238,'BSE - SENSEX Index Options'!$B:$B,B$147,'BSE - SENSEX Index Options'!$H:$H,"Monthly*")+SUMIFS('BSE - Other Index Options'!$L:$L,'BSE - Other Index Options'!$C:$C,$A238,'BSE - Other Index Options'!$B:$B,B$147,'BSE - Other Index Options'!$H:$H,"Monthly*"))</f>
        <v/>
      </c>
      <c r="C238" s="26" t="str">
        <f>IF(SUMIFS('BSE - SENSEX Index Options'!$L:$L,'BSE - SENSEX Index Options'!$C:$C,$A238,'BSE - SENSEX Index Options'!$B:$B,C$147,'BSE - SENSEX Index Options'!$H:$H,"Monthly*")+SUMIFS('BSE - Other Index Options'!$L:$L,'BSE - Other Index Options'!$C:$C,$A238,'BSE - Other Index Options'!$B:$B,C$147,'BSE - Other Index Options'!$H:$H,"Monthly*")=0,"",SUMIFS('BSE - SENSEX Index Options'!$L:$L,'BSE - SENSEX Index Options'!$C:$C,$A238,'BSE - SENSEX Index Options'!$B:$B,C$147,'BSE - SENSEX Index Options'!$H:$H,"Monthly*")+SUMIFS('BSE - Other Index Options'!$L:$L,'BSE - Other Index Options'!$C:$C,$A238,'BSE - Other Index Options'!$B:$B,C$147,'BSE - Other Index Options'!$H:$H,"Monthly*"))</f>
        <v/>
      </c>
      <c r="D238" s="26" t="str">
        <f>IF(SUMIFS('BSE - SENSEX Index Options'!$L:$L,'BSE - SENSEX Index Options'!$C:$C,$A238,'BSE - SENSEX Index Options'!$B:$B,D$147,'BSE - SENSEX Index Options'!$H:$H,"Monthly*")+SUMIFS('BSE - Other Index Options'!$L:$L,'BSE - Other Index Options'!$C:$C,$A238,'BSE - Other Index Options'!$B:$B,D$147,'BSE - Other Index Options'!$H:$H,"Monthly*")=0,"",SUMIFS('BSE - SENSEX Index Options'!$L:$L,'BSE - SENSEX Index Options'!$C:$C,$A238,'BSE - SENSEX Index Options'!$B:$B,D$147,'BSE - SENSEX Index Options'!$H:$H,"Monthly*")+SUMIFS('BSE - Other Index Options'!$L:$L,'BSE - Other Index Options'!$C:$C,$A238,'BSE - Other Index Options'!$B:$B,D$147,'BSE - Other Index Options'!$H:$H,"Monthly*"))</f>
        <v/>
      </c>
      <c r="E238" s="26" t="str">
        <f>IF(SUMIFS('BSE - SENSEX Index Options'!$L:$L,'BSE - SENSEX Index Options'!$C:$C,$A238,'BSE - SENSEX Index Options'!$B:$B,E$147,'BSE - SENSEX Index Options'!$H:$H,"Monthly*")+SUMIFS('BSE - Other Index Options'!$L:$L,'BSE - Other Index Options'!$C:$C,$A238,'BSE - Other Index Options'!$B:$B,E$147,'BSE - Other Index Options'!$H:$H,"Monthly*")=0,"",SUMIFS('BSE - SENSEX Index Options'!$L:$L,'BSE - SENSEX Index Options'!$C:$C,$A238,'BSE - SENSEX Index Options'!$B:$B,E$147,'BSE - SENSEX Index Options'!$H:$H,"Monthly*")+SUMIFS('BSE - Other Index Options'!$L:$L,'BSE - Other Index Options'!$C:$C,$A238,'BSE - Other Index Options'!$B:$B,E$147,'BSE - Other Index Options'!$H:$H,"Monthly*"))</f>
        <v/>
      </c>
      <c r="F238" s="26" t="str">
        <f>IF(SUMIFS('BSE - SENSEX Index Options'!$L:$L,'BSE - SENSEX Index Options'!$C:$C,$A238,'BSE - SENSEX Index Options'!$B:$B,F$147,'BSE - SENSEX Index Options'!$H:$H,"Monthly*")+SUMIFS('BSE - Other Index Options'!$L:$L,'BSE - Other Index Options'!$C:$C,$A238,'BSE - Other Index Options'!$B:$B,F$147,'BSE - Other Index Options'!$H:$H,"Monthly*")=0,"",SUMIFS('BSE - SENSEX Index Options'!$L:$L,'BSE - SENSEX Index Options'!$C:$C,$A238,'BSE - SENSEX Index Options'!$B:$B,F$147,'BSE - SENSEX Index Options'!$H:$H,"Monthly*")+SUMIFS('BSE - Other Index Options'!$L:$L,'BSE - Other Index Options'!$C:$C,$A238,'BSE - Other Index Options'!$B:$B,F$147,'BSE - Other Index Options'!$H:$H,"Monthly*"))</f>
        <v/>
      </c>
      <c r="G238" s="26" t="str">
        <f>IF(SUMIFS('BSE - SENSEX Index Options'!$L:$L,'BSE - SENSEX Index Options'!$C:$C,$A238,'BSE - SENSEX Index Options'!$B:$B,G$147,'BSE - SENSEX Index Options'!$H:$H,"Monthly*")+SUMIFS('BSE - Other Index Options'!$L:$L,'BSE - Other Index Options'!$C:$C,$A238,'BSE - Other Index Options'!$B:$B,G$147,'BSE - Other Index Options'!$H:$H,"Monthly*")=0,"",SUMIFS('BSE - SENSEX Index Options'!$L:$L,'BSE - SENSEX Index Options'!$C:$C,$A238,'BSE - SENSEX Index Options'!$B:$B,G$147,'BSE - SENSEX Index Options'!$H:$H,"Monthly*")+SUMIFS('BSE - Other Index Options'!$L:$L,'BSE - Other Index Options'!$C:$C,$A238,'BSE - Other Index Options'!$B:$B,G$147,'BSE - Other Index Options'!$H:$H,"Monthly*"))</f>
        <v/>
      </c>
      <c r="H238" s="26" t="str">
        <f t="shared" si="8"/>
        <v/>
      </c>
    </row>
    <row r="239" spans="1:8" hidden="1" outlineLevel="1">
      <c r="A239" t="s">
        <v>101</v>
      </c>
      <c r="B239" s="26" t="str">
        <f>IF(SUMIFS('BSE - SENSEX Index Options'!$L:$L,'BSE - SENSEX Index Options'!$C:$C,$A239,'BSE - SENSEX Index Options'!$B:$B,B$147,'BSE - SENSEX Index Options'!$H:$H,"Monthly*")+SUMIFS('BSE - Other Index Options'!$L:$L,'BSE - Other Index Options'!$C:$C,$A239,'BSE - Other Index Options'!$B:$B,B$147,'BSE - Other Index Options'!$H:$H,"Monthly*")=0,"",SUMIFS('BSE - SENSEX Index Options'!$L:$L,'BSE - SENSEX Index Options'!$C:$C,$A239,'BSE - SENSEX Index Options'!$B:$B,B$147,'BSE - SENSEX Index Options'!$H:$H,"Monthly*")+SUMIFS('BSE - Other Index Options'!$L:$L,'BSE - Other Index Options'!$C:$C,$A239,'BSE - Other Index Options'!$B:$B,B$147,'BSE - Other Index Options'!$H:$H,"Monthly*"))</f>
        <v/>
      </c>
      <c r="C239" s="26" t="str">
        <f>IF(SUMIFS('BSE - SENSEX Index Options'!$L:$L,'BSE - SENSEX Index Options'!$C:$C,$A239,'BSE - SENSEX Index Options'!$B:$B,C$147,'BSE - SENSEX Index Options'!$H:$H,"Monthly*")+SUMIFS('BSE - Other Index Options'!$L:$L,'BSE - Other Index Options'!$C:$C,$A239,'BSE - Other Index Options'!$B:$B,C$147,'BSE - Other Index Options'!$H:$H,"Monthly*")=0,"",SUMIFS('BSE - SENSEX Index Options'!$L:$L,'BSE - SENSEX Index Options'!$C:$C,$A239,'BSE - SENSEX Index Options'!$B:$B,C$147,'BSE - SENSEX Index Options'!$H:$H,"Monthly*")+SUMIFS('BSE - Other Index Options'!$L:$L,'BSE - Other Index Options'!$C:$C,$A239,'BSE - Other Index Options'!$B:$B,C$147,'BSE - Other Index Options'!$H:$H,"Monthly*"))</f>
        <v/>
      </c>
      <c r="D239" s="26" t="str">
        <f>IF(SUMIFS('BSE - SENSEX Index Options'!$L:$L,'BSE - SENSEX Index Options'!$C:$C,$A239,'BSE - SENSEX Index Options'!$B:$B,D$147,'BSE - SENSEX Index Options'!$H:$H,"Monthly*")+SUMIFS('BSE - Other Index Options'!$L:$L,'BSE - Other Index Options'!$C:$C,$A239,'BSE - Other Index Options'!$B:$B,D$147,'BSE - Other Index Options'!$H:$H,"Monthly*")=0,"",SUMIFS('BSE - SENSEX Index Options'!$L:$L,'BSE - SENSEX Index Options'!$C:$C,$A239,'BSE - SENSEX Index Options'!$B:$B,D$147,'BSE - SENSEX Index Options'!$H:$H,"Monthly*")+SUMIFS('BSE - Other Index Options'!$L:$L,'BSE - Other Index Options'!$C:$C,$A239,'BSE - Other Index Options'!$B:$B,D$147,'BSE - Other Index Options'!$H:$H,"Monthly*"))</f>
        <v/>
      </c>
      <c r="E239" s="26" t="str">
        <f>IF(SUMIFS('BSE - SENSEX Index Options'!$L:$L,'BSE - SENSEX Index Options'!$C:$C,$A239,'BSE - SENSEX Index Options'!$B:$B,E$147,'BSE - SENSEX Index Options'!$H:$H,"Monthly*")+SUMIFS('BSE - Other Index Options'!$L:$L,'BSE - Other Index Options'!$C:$C,$A239,'BSE - Other Index Options'!$B:$B,E$147,'BSE - Other Index Options'!$H:$H,"Monthly*")=0,"",SUMIFS('BSE - SENSEX Index Options'!$L:$L,'BSE - SENSEX Index Options'!$C:$C,$A239,'BSE - SENSEX Index Options'!$B:$B,E$147,'BSE - SENSEX Index Options'!$H:$H,"Monthly*")+SUMIFS('BSE - Other Index Options'!$L:$L,'BSE - Other Index Options'!$C:$C,$A239,'BSE - Other Index Options'!$B:$B,E$147,'BSE - Other Index Options'!$H:$H,"Monthly*"))</f>
        <v/>
      </c>
      <c r="F239" s="26" t="str">
        <f>IF(SUMIFS('BSE - SENSEX Index Options'!$L:$L,'BSE - SENSEX Index Options'!$C:$C,$A239,'BSE - SENSEX Index Options'!$B:$B,F$147,'BSE - SENSEX Index Options'!$H:$H,"Monthly*")+SUMIFS('BSE - Other Index Options'!$L:$L,'BSE - Other Index Options'!$C:$C,$A239,'BSE - Other Index Options'!$B:$B,F$147,'BSE - Other Index Options'!$H:$H,"Monthly*")=0,"",SUMIFS('BSE - SENSEX Index Options'!$L:$L,'BSE - SENSEX Index Options'!$C:$C,$A239,'BSE - SENSEX Index Options'!$B:$B,F$147,'BSE - SENSEX Index Options'!$H:$H,"Monthly*")+SUMIFS('BSE - Other Index Options'!$L:$L,'BSE - Other Index Options'!$C:$C,$A239,'BSE - Other Index Options'!$B:$B,F$147,'BSE - Other Index Options'!$H:$H,"Monthly*"))</f>
        <v/>
      </c>
      <c r="G239" s="26" t="str">
        <f>IF(SUMIFS('BSE - SENSEX Index Options'!$L:$L,'BSE - SENSEX Index Options'!$C:$C,$A239,'BSE - SENSEX Index Options'!$B:$B,G$147,'BSE - SENSEX Index Options'!$H:$H,"Monthly*")+SUMIFS('BSE - Other Index Options'!$L:$L,'BSE - Other Index Options'!$C:$C,$A239,'BSE - Other Index Options'!$B:$B,G$147,'BSE - Other Index Options'!$H:$H,"Monthly*")=0,"",SUMIFS('BSE - SENSEX Index Options'!$L:$L,'BSE - SENSEX Index Options'!$C:$C,$A239,'BSE - SENSEX Index Options'!$B:$B,G$147,'BSE - SENSEX Index Options'!$H:$H,"Monthly*")+SUMIFS('BSE - Other Index Options'!$L:$L,'BSE - Other Index Options'!$C:$C,$A239,'BSE - Other Index Options'!$B:$B,G$147,'BSE - Other Index Options'!$H:$H,"Monthly*"))</f>
        <v/>
      </c>
      <c r="H239" s="26" t="str">
        <f t="shared" si="8"/>
        <v/>
      </c>
    </row>
    <row r="240" spans="1:8" hidden="1" outlineLevel="1">
      <c r="A240" t="s">
        <v>102</v>
      </c>
      <c r="B240" s="26" t="str">
        <f>IF(SUMIFS('BSE - SENSEX Index Options'!$L:$L,'BSE - SENSEX Index Options'!$C:$C,$A240,'BSE - SENSEX Index Options'!$B:$B,B$147,'BSE - SENSEX Index Options'!$H:$H,"Monthly*")+SUMIFS('BSE - Other Index Options'!$L:$L,'BSE - Other Index Options'!$C:$C,$A240,'BSE - Other Index Options'!$B:$B,B$147,'BSE - Other Index Options'!$H:$H,"Monthly*")=0,"",SUMIFS('BSE - SENSEX Index Options'!$L:$L,'BSE - SENSEX Index Options'!$C:$C,$A240,'BSE - SENSEX Index Options'!$B:$B,B$147,'BSE - SENSEX Index Options'!$H:$H,"Monthly*")+SUMIFS('BSE - Other Index Options'!$L:$L,'BSE - Other Index Options'!$C:$C,$A240,'BSE - Other Index Options'!$B:$B,B$147,'BSE - Other Index Options'!$H:$H,"Monthly*"))</f>
        <v/>
      </c>
      <c r="C240" s="26" t="str">
        <f>IF(SUMIFS('BSE - SENSEX Index Options'!$L:$L,'BSE - SENSEX Index Options'!$C:$C,$A240,'BSE - SENSEX Index Options'!$B:$B,C$147,'BSE - SENSEX Index Options'!$H:$H,"Monthly*")+SUMIFS('BSE - Other Index Options'!$L:$L,'BSE - Other Index Options'!$C:$C,$A240,'BSE - Other Index Options'!$B:$B,C$147,'BSE - Other Index Options'!$H:$H,"Monthly*")=0,"",SUMIFS('BSE - SENSEX Index Options'!$L:$L,'BSE - SENSEX Index Options'!$C:$C,$A240,'BSE - SENSEX Index Options'!$B:$B,C$147,'BSE - SENSEX Index Options'!$H:$H,"Monthly*")+SUMIFS('BSE - Other Index Options'!$L:$L,'BSE - Other Index Options'!$C:$C,$A240,'BSE - Other Index Options'!$B:$B,C$147,'BSE - Other Index Options'!$H:$H,"Monthly*"))</f>
        <v/>
      </c>
      <c r="D240" s="26" t="str">
        <f>IF(SUMIFS('BSE - SENSEX Index Options'!$L:$L,'BSE - SENSEX Index Options'!$C:$C,$A240,'BSE - SENSEX Index Options'!$B:$B,D$147,'BSE - SENSEX Index Options'!$H:$H,"Monthly*")+SUMIFS('BSE - Other Index Options'!$L:$L,'BSE - Other Index Options'!$C:$C,$A240,'BSE - Other Index Options'!$B:$B,D$147,'BSE - Other Index Options'!$H:$H,"Monthly*")=0,"",SUMIFS('BSE - SENSEX Index Options'!$L:$L,'BSE - SENSEX Index Options'!$C:$C,$A240,'BSE - SENSEX Index Options'!$B:$B,D$147,'BSE - SENSEX Index Options'!$H:$H,"Monthly*")+SUMIFS('BSE - Other Index Options'!$L:$L,'BSE - Other Index Options'!$C:$C,$A240,'BSE - Other Index Options'!$B:$B,D$147,'BSE - Other Index Options'!$H:$H,"Monthly*"))</f>
        <v/>
      </c>
      <c r="E240" s="26" t="str">
        <f>IF(SUMIFS('BSE - SENSEX Index Options'!$L:$L,'BSE - SENSEX Index Options'!$C:$C,$A240,'BSE - SENSEX Index Options'!$B:$B,E$147,'BSE - SENSEX Index Options'!$H:$H,"Monthly*")+SUMIFS('BSE - Other Index Options'!$L:$L,'BSE - Other Index Options'!$C:$C,$A240,'BSE - Other Index Options'!$B:$B,E$147,'BSE - Other Index Options'!$H:$H,"Monthly*")=0,"",SUMIFS('BSE - SENSEX Index Options'!$L:$L,'BSE - SENSEX Index Options'!$C:$C,$A240,'BSE - SENSEX Index Options'!$B:$B,E$147,'BSE - SENSEX Index Options'!$H:$H,"Monthly*")+SUMIFS('BSE - Other Index Options'!$L:$L,'BSE - Other Index Options'!$C:$C,$A240,'BSE - Other Index Options'!$B:$B,E$147,'BSE - Other Index Options'!$H:$H,"Monthly*"))</f>
        <v/>
      </c>
      <c r="F240" s="26" t="str">
        <f>IF(SUMIFS('BSE - SENSEX Index Options'!$L:$L,'BSE - SENSEX Index Options'!$C:$C,$A240,'BSE - SENSEX Index Options'!$B:$B,F$147,'BSE - SENSEX Index Options'!$H:$H,"Monthly*")+SUMIFS('BSE - Other Index Options'!$L:$L,'BSE - Other Index Options'!$C:$C,$A240,'BSE - Other Index Options'!$B:$B,F$147,'BSE - Other Index Options'!$H:$H,"Monthly*")=0,"",SUMIFS('BSE - SENSEX Index Options'!$L:$L,'BSE - SENSEX Index Options'!$C:$C,$A240,'BSE - SENSEX Index Options'!$B:$B,F$147,'BSE - SENSEX Index Options'!$H:$H,"Monthly*")+SUMIFS('BSE - Other Index Options'!$L:$L,'BSE - Other Index Options'!$C:$C,$A240,'BSE - Other Index Options'!$B:$B,F$147,'BSE - Other Index Options'!$H:$H,"Monthly*"))</f>
        <v/>
      </c>
      <c r="G240" s="26" t="str">
        <f>IF(SUMIFS('BSE - SENSEX Index Options'!$L:$L,'BSE - SENSEX Index Options'!$C:$C,$A240,'BSE - SENSEX Index Options'!$B:$B,G$147,'BSE - SENSEX Index Options'!$H:$H,"Monthly*")+SUMIFS('BSE - Other Index Options'!$L:$L,'BSE - Other Index Options'!$C:$C,$A240,'BSE - Other Index Options'!$B:$B,G$147,'BSE - Other Index Options'!$H:$H,"Monthly*")=0,"",SUMIFS('BSE - SENSEX Index Options'!$L:$L,'BSE - SENSEX Index Options'!$C:$C,$A240,'BSE - SENSEX Index Options'!$B:$B,G$147,'BSE - SENSEX Index Options'!$H:$H,"Monthly*")+SUMIFS('BSE - Other Index Options'!$L:$L,'BSE - Other Index Options'!$C:$C,$A240,'BSE - Other Index Options'!$B:$B,G$147,'BSE - Other Index Options'!$H:$H,"Monthly*"))</f>
        <v/>
      </c>
      <c r="H240" s="26" t="str">
        <f t="shared" si="8"/>
        <v/>
      </c>
    </row>
    <row r="241" spans="1:8" hidden="1" outlineLevel="1">
      <c r="A241" t="s">
        <v>103</v>
      </c>
      <c r="B241" s="26" t="str">
        <f>IF(SUMIFS('BSE - SENSEX Index Options'!$L:$L,'BSE - SENSEX Index Options'!$C:$C,$A241,'BSE - SENSEX Index Options'!$B:$B,B$147,'BSE - SENSEX Index Options'!$H:$H,"Monthly*")+SUMIFS('BSE - Other Index Options'!$L:$L,'BSE - Other Index Options'!$C:$C,$A241,'BSE - Other Index Options'!$B:$B,B$147,'BSE - Other Index Options'!$H:$H,"Monthly*")=0,"",SUMIFS('BSE - SENSEX Index Options'!$L:$L,'BSE - SENSEX Index Options'!$C:$C,$A241,'BSE - SENSEX Index Options'!$B:$B,B$147,'BSE - SENSEX Index Options'!$H:$H,"Monthly*")+SUMIFS('BSE - Other Index Options'!$L:$L,'BSE - Other Index Options'!$C:$C,$A241,'BSE - Other Index Options'!$B:$B,B$147,'BSE - Other Index Options'!$H:$H,"Monthly*"))</f>
        <v/>
      </c>
      <c r="C241" s="26" t="str">
        <f>IF(SUMIFS('BSE - SENSEX Index Options'!$L:$L,'BSE - SENSEX Index Options'!$C:$C,$A241,'BSE - SENSEX Index Options'!$B:$B,C$147,'BSE - SENSEX Index Options'!$H:$H,"Monthly*")+SUMIFS('BSE - Other Index Options'!$L:$L,'BSE - Other Index Options'!$C:$C,$A241,'BSE - Other Index Options'!$B:$B,C$147,'BSE - Other Index Options'!$H:$H,"Monthly*")=0,"",SUMIFS('BSE - SENSEX Index Options'!$L:$L,'BSE - SENSEX Index Options'!$C:$C,$A241,'BSE - SENSEX Index Options'!$B:$B,C$147,'BSE - SENSEX Index Options'!$H:$H,"Monthly*")+SUMIFS('BSE - Other Index Options'!$L:$L,'BSE - Other Index Options'!$C:$C,$A241,'BSE - Other Index Options'!$B:$B,C$147,'BSE - Other Index Options'!$H:$H,"Monthly*"))</f>
        <v/>
      </c>
      <c r="D241" s="26" t="str">
        <f>IF(SUMIFS('BSE - SENSEX Index Options'!$L:$L,'BSE - SENSEX Index Options'!$C:$C,$A241,'BSE - SENSEX Index Options'!$B:$B,D$147,'BSE - SENSEX Index Options'!$H:$H,"Monthly*")+SUMIFS('BSE - Other Index Options'!$L:$L,'BSE - Other Index Options'!$C:$C,$A241,'BSE - Other Index Options'!$B:$B,D$147,'BSE - Other Index Options'!$H:$H,"Monthly*")=0,"",SUMIFS('BSE - SENSEX Index Options'!$L:$L,'BSE - SENSEX Index Options'!$C:$C,$A241,'BSE - SENSEX Index Options'!$B:$B,D$147,'BSE - SENSEX Index Options'!$H:$H,"Monthly*")+SUMIFS('BSE - Other Index Options'!$L:$L,'BSE - Other Index Options'!$C:$C,$A241,'BSE - Other Index Options'!$B:$B,D$147,'BSE - Other Index Options'!$H:$H,"Monthly*"))</f>
        <v/>
      </c>
      <c r="E241" s="26" t="str">
        <f>IF(SUMIFS('BSE - SENSEX Index Options'!$L:$L,'BSE - SENSEX Index Options'!$C:$C,$A241,'BSE - SENSEX Index Options'!$B:$B,E$147,'BSE - SENSEX Index Options'!$H:$H,"Monthly*")+SUMIFS('BSE - Other Index Options'!$L:$L,'BSE - Other Index Options'!$C:$C,$A241,'BSE - Other Index Options'!$B:$B,E$147,'BSE - Other Index Options'!$H:$H,"Monthly*")=0,"",SUMIFS('BSE - SENSEX Index Options'!$L:$L,'BSE - SENSEX Index Options'!$C:$C,$A241,'BSE - SENSEX Index Options'!$B:$B,E$147,'BSE - SENSEX Index Options'!$H:$H,"Monthly*")+SUMIFS('BSE - Other Index Options'!$L:$L,'BSE - Other Index Options'!$C:$C,$A241,'BSE - Other Index Options'!$B:$B,E$147,'BSE - Other Index Options'!$H:$H,"Monthly*"))</f>
        <v/>
      </c>
      <c r="F241" s="26" t="str">
        <f>IF(SUMIFS('BSE - SENSEX Index Options'!$L:$L,'BSE - SENSEX Index Options'!$C:$C,$A241,'BSE - SENSEX Index Options'!$B:$B,F$147,'BSE - SENSEX Index Options'!$H:$H,"Monthly*")+SUMIFS('BSE - Other Index Options'!$L:$L,'BSE - Other Index Options'!$C:$C,$A241,'BSE - Other Index Options'!$B:$B,F$147,'BSE - Other Index Options'!$H:$H,"Monthly*")=0,"",SUMIFS('BSE - SENSEX Index Options'!$L:$L,'BSE - SENSEX Index Options'!$C:$C,$A241,'BSE - SENSEX Index Options'!$B:$B,F$147,'BSE - SENSEX Index Options'!$H:$H,"Monthly*")+SUMIFS('BSE - Other Index Options'!$L:$L,'BSE - Other Index Options'!$C:$C,$A241,'BSE - Other Index Options'!$B:$B,F$147,'BSE - Other Index Options'!$H:$H,"Monthly*"))</f>
        <v/>
      </c>
      <c r="G241" s="26" t="str">
        <f>IF(SUMIFS('BSE - SENSEX Index Options'!$L:$L,'BSE - SENSEX Index Options'!$C:$C,$A241,'BSE - SENSEX Index Options'!$B:$B,G$147,'BSE - SENSEX Index Options'!$H:$H,"Monthly*")+SUMIFS('BSE - Other Index Options'!$L:$L,'BSE - Other Index Options'!$C:$C,$A241,'BSE - Other Index Options'!$B:$B,G$147,'BSE - Other Index Options'!$H:$H,"Monthly*")=0,"",SUMIFS('BSE - SENSEX Index Options'!$L:$L,'BSE - SENSEX Index Options'!$C:$C,$A241,'BSE - SENSEX Index Options'!$B:$B,G$147,'BSE - SENSEX Index Options'!$H:$H,"Monthly*")+SUMIFS('BSE - Other Index Options'!$L:$L,'BSE - Other Index Options'!$C:$C,$A241,'BSE - Other Index Options'!$B:$B,G$147,'BSE - Other Index Options'!$H:$H,"Monthly*"))</f>
        <v/>
      </c>
      <c r="H241" s="26" t="str">
        <f t="shared" si="8"/>
        <v/>
      </c>
    </row>
    <row r="242" spans="1:8" hidden="1" outlineLevel="1">
      <c r="A242" t="s">
        <v>104</v>
      </c>
      <c r="B242" s="26" t="str">
        <f>IF(SUMIFS('BSE - SENSEX Index Options'!$L:$L,'BSE - SENSEX Index Options'!$C:$C,$A242,'BSE - SENSEX Index Options'!$B:$B,B$147,'BSE - SENSEX Index Options'!$H:$H,"Monthly*")+SUMIFS('BSE - Other Index Options'!$L:$L,'BSE - Other Index Options'!$C:$C,$A242,'BSE - Other Index Options'!$B:$B,B$147,'BSE - Other Index Options'!$H:$H,"Monthly*")=0,"",SUMIFS('BSE - SENSEX Index Options'!$L:$L,'BSE - SENSEX Index Options'!$C:$C,$A242,'BSE - SENSEX Index Options'!$B:$B,B$147,'BSE - SENSEX Index Options'!$H:$H,"Monthly*")+SUMIFS('BSE - Other Index Options'!$L:$L,'BSE - Other Index Options'!$C:$C,$A242,'BSE - Other Index Options'!$B:$B,B$147,'BSE - Other Index Options'!$H:$H,"Monthly*"))</f>
        <v/>
      </c>
      <c r="C242" s="26" t="str">
        <f>IF(SUMIFS('BSE - SENSEX Index Options'!$L:$L,'BSE - SENSEX Index Options'!$C:$C,$A242,'BSE - SENSEX Index Options'!$B:$B,C$147,'BSE - SENSEX Index Options'!$H:$H,"Monthly*")+SUMIFS('BSE - Other Index Options'!$L:$L,'BSE - Other Index Options'!$C:$C,$A242,'BSE - Other Index Options'!$B:$B,C$147,'BSE - Other Index Options'!$H:$H,"Monthly*")=0,"",SUMIFS('BSE - SENSEX Index Options'!$L:$L,'BSE - SENSEX Index Options'!$C:$C,$A242,'BSE - SENSEX Index Options'!$B:$B,C$147,'BSE - SENSEX Index Options'!$H:$H,"Monthly*")+SUMIFS('BSE - Other Index Options'!$L:$L,'BSE - Other Index Options'!$C:$C,$A242,'BSE - Other Index Options'!$B:$B,C$147,'BSE - Other Index Options'!$H:$H,"Monthly*"))</f>
        <v/>
      </c>
      <c r="D242" s="26" t="str">
        <f>IF(SUMIFS('BSE - SENSEX Index Options'!$L:$L,'BSE - SENSEX Index Options'!$C:$C,$A242,'BSE - SENSEX Index Options'!$B:$B,D$147,'BSE - SENSEX Index Options'!$H:$H,"Monthly*")+SUMIFS('BSE - Other Index Options'!$L:$L,'BSE - Other Index Options'!$C:$C,$A242,'BSE - Other Index Options'!$B:$B,D$147,'BSE - Other Index Options'!$H:$H,"Monthly*")=0,"",SUMIFS('BSE - SENSEX Index Options'!$L:$L,'BSE - SENSEX Index Options'!$C:$C,$A242,'BSE - SENSEX Index Options'!$B:$B,D$147,'BSE - SENSEX Index Options'!$H:$H,"Monthly*")+SUMIFS('BSE - Other Index Options'!$L:$L,'BSE - Other Index Options'!$C:$C,$A242,'BSE - Other Index Options'!$B:$B,D$147,'BSE - Other Index Options'!$H:$H,"Monthly*"))</f>
        <v/>
      </c>
      <c r="E242" s="26" t="str">
        <f>IF(SUMIFS('BSE - SENSEX Index Options'!$L:$L,'BSE - SENSEX Index Options'!$C:$C,$A242,'BSE - SENSEX Index Options'!$B:$B,E$147,'BSE - SENSEX Index Options'!$H:$H,"Monthly*")+SUMIFS('BSE - Other Index Options'!$L:$L,'BSE - Other Index Options'!$C:$C,$A242,'BSE - Other Index Options'!$B:$B,E$147,'BSE - Other Index Options'!$H:$H,"Monthly*")=0,"",SUMIFS('BSE - SENSEX Index Options'!$L:$L,'BSE - SENSEX Index Options'!$C:$C,$A242,'BSE - SENSEX Index Options'!$B:$B,E$147,'BSE - SENSEX Index Options'!$H:$H,"Monthly*")+SUMIFS('BSE - Other Index Options'!$L:$L,'BSE - Other Index Options'!$C:$C,$A242,'BSE - Other Index Options'!$B:$B,E$147,'BSE - Other Index Options'!$H:$H,"Monthly*"))</f>
        <v/>
      </c>
      <c r="F242" s="26" t="str">
        <f>IF(SUMIFS('BSE - SENSEX Index Options'!$L:$L,'BSE - SENSEX Index Options'!$C:$C,$A242,'BSE - SENSEX Index Options'!$B:$B,F$147,'BSE - SENSEX Index Options'!$H:$H,"Monthly*")+SUMIFS('BSE - Other Index Options'!$L:$L,'BSE - Other Index Options'!$C:$C,$A242,'BSE - Other Index Options'!$B:$B,F$147,'BSE - Other Index Options'!$H:$H,"Monthly*")=0,"",SUMIFS('BSE - SENSEX Index Options'!$L:$L,'BSE - SENSEX Index Options'!$C:$C,$A242,'BSE - SENSEX Index Options'!$B:$B,F$147,'BSE - SENSEX Index Options'!$H:$H,"Monthly*")+SUMIFS('BSE - Other Index Options'!$L:$L,'BSE - Other Index Options'!$C:$C,$A242,'BSE - Other Index Options'!$B:$B,F$147,'BSE - Other Index Options'!$H:$H,"Monthly*"))</f>
        <v/>
      </c>
      <c r="G242" s="26" t="str">
        <f>IF(SUMIFS('BSE - SENSEX Index Options'!$L:$L,'BSE - SENSEX Index Options'!$C:$C,$A242,'BSE - SENSEX Index Options'!$B:$B,G$147,'BSE - SENSEX Index Options'!$H:$H,"Monthly*")+SUMIFS('BSE - Other Index Options'!$L:$L,'BSE - Other Index Options'!$C:$C,$A242,'BSE - Other Index Options'!$B:$B,G$147,'BSE - Other Index Options'!$H:$H,"Monthly*")=0,"",SUMIFS('BSE - SENSEX Index Options'!$L:$L,'BSE - SENSEX Index Options'!$C:$C,$A242,'BSE - SENSEX Index Options'!$B:$B,G$147,'BSE - SENSEX Index Options'!$H:$H,"Monthly*")+SUMIFS('BSE - Other Index Options'!$L:$L,'BSE - Other Index Options'!$C:$C,$A242,'BSE - Other Index Options'!$B:$B,G$147,'BSE - Other Index Options'!$H:$H,"Monthly*"))</f>
        <v/>
      </c>
      <c r="H242" s="26" t="str">
        <f t="shared" si="8"/>
        <v/>
      </c>
    </row>
    <row r="243" spans="1:8" hidden="1" outlineLevel="1">
      <c r="A243" t="s">
        <v>105</v>
      </c>
      <c r="B243" s="26" t="str">
        <f>IF(SUMIFS('BSE - SENSEX Index Options'!$L:$L,'BSE - SENSEX Index Options'!$C:$C,$A243,'BSE - SENSEX Index Options'!$B:$B,B$147,'BSE - SENSEX Index Options'!$H:$H,"Monthly*")+SUMIFS('BSE - Other Index Options'!$L:$L,'BSE - Other Index Options'!$C:$C,$A243,'BSE - Other Index Options'!$B:$B,B$147,'BSE - Other Index Options'!$H:$H,"Monthly*")=0,"",SUMIFS('BSE - SENSEX Index Options'!$L:$L,'BSE - SENSEX Index Options'!$C:$C,$A243,'BSE - SENSEX Index Options'!$B:$B,B$147,'BSE - SENSEX Index Options'!$H:$H,"Monthly*")+SUMIFS('BSE - Other Index Options'!$L:$L,'BSE - Other Index Options'!$C:$C,$A243,'BSE - Other Index Options'!$B:$B,B$147,'BSE - Other Index Options'!$H:$H,"Monthly*"))</f>
        <v/>
      </c>
      <c r="C243" s="26" t="str">
        <f>IF(SUMIFS('BSE - SENSEX Index Options'!$L:$L,'BSE - SENSEX Index Options'!$C:$C,$A243,'BSE - SENSEX Index Options'!$B:$B,C$147,'BSE - SENSEX Index Options'!$H:$H,"Monthly*")+SUMIFS('BSE - Other Index Options'!$L:$L,'BSE - Other Index Options'!$C:$C,$A243,'BSE - Other Index Options'!$B:$B,C$147,'BSE - Other Index Options'!$H:$H,"Monthly*")=0,"",SUMIFS('BSE - SENSEX Index Options'!$L:$L,'BSE - SENSEX Index Options'!$C:$C,$A243,'BSE - SENSEX Index Options'!$B:$B,C$147,'BSE - SENSEX Index Options'!$H:$H,"Monthly*")+SUMIFS('BSE - Other Index Options'!$L:$L,'BSE - Other Index Options'!$C:$C,$A243,'BSE - Other Index Options'!$B:$B,C$147,'BSE - Other Index Options'!$H:$H,"Monthly*"))</f>
        <v/>
      </c>
      <c r="D243" s="26" t="str">
        <f>IF(SUMIFS('BSE - SENSEX Index Options'!$L:$L,'BSE - SENSEX Index Options'!$C:$C,$A243,'BSE - SENSEX Index Options'!$B:$B,D$147,'BSE - SENSEX Index Options'!$H:$H,"Monthly*")+SUMIFS('BSE - Other Index Options'!$L:$L,'BSE - Other Index Options'!$C:$C,$A243,'BSE - Other Index Options'!$B:$B,D$147,'BSE - Other Index Options'!$H:$H,"Monthly*")=0,"",SUMIFS('BSE - SENSEX Index Options'!$L:$L,'BSE - SENSEX Index Options'!$C:$C,$A243,'BSE - SENSEX Index Options'!$B:$B,D$147,'BSE - SENSEX Index Options'!$H:$H,"Monthly*")+SUMIFS('BSE - Other Index Options'!$L:$L,'BSE - Other Index Options'!$C:$C,$A243,'BSE - Other Index Options'!$B:$B,D$147,'BSE - Other Index Options'!$H:$H,"Monthly*"))</f>
        <v/>
      </c>
      <c r="E243" s="26" t="str">
        <f>IF(SUMIFS('BSE - SENSEX Index Options'!$L:$L,'BSE - SENSEX Index Options'!$C:$C,$A243,'BSE - SENSEX Index Options'!$B:$B,E$147,'BSE - SENSEX Index Options'!$H:$H,"Monthly*")+SUMIFS('BSE - Other Index Options'!$L:$L,'BSE - Other Index Options'!$C:$C,$A243,'BSE - Other Index Options'!$B:$B,E$147,'BSE - Other Index Options'!$H:$H,"Monthly*")=0,"",SUMIFS('BSE - SENSEX Index Options'!$L:$L,'BSE - SENSEX Index Options'!$C:$C,$A243,'BSE - SENSEX Index Options'!$B:$B,E$147,'BSE - SENSEX Index Options'!$H:$H,"Monthly*")+SUMIFS('BSE - Other Index Options'!$L:$L,'BSE - Other Index Options'!$C:$C,$A243,'BSE - Other Index Options'!$B:$B,E$147,'BSE - Other Index Options'!$H:$H,"Monthly*"))</f>
        <v/>
      </c>
      <c r="F243" s="26" t="str">
        <f>IF(SUMIFS('BSE - SENSEX Index Options'!$L:$L,'BSE - SENSEX Index Options'!$C:$C,$A243,'BSE - SENSEX Index Options'!$B:$B,F$147,'BSE - SENSEX Index Options'!$H:$H,"Monthly*")+SUMIFS('BSE - Other Index Options'!$L:$L,'BSE - Other Index Options'!$C:$C,$A243,'BSE - Other Index Options'!$B:$B,F$147,'BSE - Other Index Options'!$H:$H,"Monthly*")=0,"",SUMIFS('BSE - SENSEX Index Options'!$L:$L,'BSE - SENSEX Index Options'!$C:$C,$A243,'BSE - SENSEX Index Options'!$B:$B,F$147,'BSE - SENSEX Index Options'!$H:$H,"Monthly*")+SUMIFS('BSE - Other Index Options'!$L:$L,'BSE - Other Index Options'!$C:$C,$A243,'BSE - Other Index Options'!$B:$B,F$147,'BSE - Other Index Options'!$H:$H,"Monthly*"))</f>
        <v/>
      </c>
      <c r="G243" s="26" t="str">
        <f>IF(SUMIFS('BSE - SENSEX Index Options'!$L:$L,'BSE - SENSEX Index Options'!$C:$C,$A243,'BSE - SENSEX Index Options'!$B:$B,G$147,'BSE - SENSEX Index Options'!$H:$H,"Monthly*")+SUMIFS('BSE - Other Index Options'!$L:$L,'BSE - Other Index Options'!$C:$C,$A243,'BSE - Other Index Options'!$B:$B,G$147,'BSE - Other Index Options'!$H:$H,"Monthly*")=0,"",SUMIFS('BSE - SENSEX Index Options'!$L:$L,'BSE - SENSEX Index Options'!$C:$C,$A243,'BSE - SENSEX Index Options'!$B:$B,G$147,'BSE - SENSEX Index Options'!$H:$H,"Monthly*")+SUMIFS('BSE - Other Index Options'!$L:$L,'BSE - Other Index Options'!$C:$C,$A243,'BSE - Other Index Options'!$B:$B,G$147,'BSE - Other Index Options'!$H:$H,"Monthly*"))</f>
        <v/>
      </c>
      <c r="H243" s="26" t="str">
        <f t="shared" si="8"/>
        <v/>
      </c>
    </row>
    <row r="244" spans="1:8" hidden="1" outlineLevel="1">
      <c r="A244" t="s">
        <v>106</v>
      </c>
      <c r="B244" s="26" t="str">
        <f>IF(SUMIFS('BSE - SENSEX Index Options'!$L:$L,'BSE - SENSEX Index Options'!$C:$C,$A244,'BSE - SENSEX Index Options'!$B:$B,B$147,'BSE - SENSEX Index Options'!$H:$H,"Monthly*")+SUMIFS('BSE - Other Index Options'!$L:$L,'BSE - Other Index Options'!$C:$C,$A244,'BSE - Other Index Options'!$B:$B,B$147,'BSE - Other Index Options'!$H:$H,"Monthly*")=0,"",SUMIFS('BSE - SENSEX Index Options'!$L:$L,'BSE - SENSEX Index Options'!$C:$C,$A244,'BSE - SENSEX Index Options'!$B:$B,B$147,'BSE - SENSEX Index Options'!$H:$H,"Monthly*")+SUMIFS('BSE - Other Index Options'!$L:$L,'BSE - Other Index Options'!$C:$C,$A244,'BSE - Other Index Options'!$B:$B,B$147,'BSE - Other Index Options'!$H:$H,"Monthly*"))</f>
        <v/>
      </c>
      <c r="C244" s="26" t="str">
        <f>IF(SUMIFS('BSE - SENSEX Index Options'!$L:$L,'BSE - SENSEX Index Options'!$C:$C,$A244,'BSE - SENSEX Index Options'!$B:$B,C$147,'BSE - SENSEX Index Options'!$H:$H,"Monthly*")+SUMIFS('BSE - Other Index Options'!$L:$L,'BSE - Other Index Options'!$C:$C,$A244,'BSE - Other Index Options'!$B:$B,C$147,'BSE - Other Index Options'!$H:$H,"Monthly*")=0,"",SUMIFS('BSE - SENSEX Index Options'!$L:$L,'BSE - SENSEX Index Options'!$C:$C,$A244,'BSE - SENSEX Index Options'!$B:$B,C$147,'BSE - SENSEX Index Options'!$H:$H,"Monthly*")+SUMIFS('BSE - Other Index Options'!$L:$L,'BSE - Other Index Options'!$C:$C,$A244,'BSE - Other Index Options'!$B:$B,C$147,'BSE - Other Index Options'!$H:$H,"Monthly*"))</f>
        <v/>
      </c>
      <c r="D244" s="26" t="str">
        <f>IF(SUMIFS('BSE - SENSEX Index Options'!$L:$L,'BSE - SENSEX Index Options'!$C:$C,$A244,'BSE - SENSEX Index Options'!$B:$B,D$147,'BSE - SENSEX Index Options'!$H:$H,"Monthly*")+SUMIFS('BSE - Other Index Options'!$L:$L,'BSE - Other Index Options'!$C:$C,$A244,'BSE - Other Index Options'!$B:$B,D$147,'BSE - Other Index Options'!$H:$H,"Monthly*")=0,"",SUMIFS('BSE - SENSEX Index Options'!$L:$L,'BSE - SENSEX Index Options'!$C:$C,$A244,'BSE - SENSEX Index Options'!$B:$B,D$147,'BSE - SENSEX Index Options'!$H:$H,"Monthly*")+SUMIFS('BSE - Other Index Options'!$L:$L,'BSE - Other Index Options'!$C:$C,$A244,'BSE - Other Index Options'!$B:$B,D$147,'BSE - Other Index Options'!$H:$H,"Monthly*"))</f>
        <v/>
      </c>
      <c r="E244" s="26" t="str">
        <f>IF(SUMIFS('BSE - SENSEX Index Options'!$L:$L,'BSE - SENSEX Index Options'!$C:$C,$A244,'BSE - SENSEX Index Options'!$B:$B,E$147,'BSE - SENSEX Index Options'!$H:$H,"Monthly*")+SUMIFS('BSE - Other Index Options'!$L:$L,'BSE - Other Index Options'!$C:$C,$A244,'BSE - Other Index Options'!$B:$B,E$147,'BSE - Other Index Options'!$H:$H,"Monthly*")=0,"",SUMIFS('BSE - SENSEX Index Options'!$L:$L,'BSE - SENSEX Index Options'!$C:$C,$A244,'BSE - SENSEX Index Options'!$B:$B,E$147,'BSE - SENSEX Index Options'!$H:$H,"Monthly*")+SUMIFS('BSE - Other Index Options'!$L:$L,'BSE - Other Index Options'!$C:$C,$A244,'BSE - Other Index Options'!$B:$B,E$147,'BSE - Other Index Options'!$H:$H,"Monthly*"))</f>
        <v/>
      </c>
      <c r="F244" s="26" t="str">
        <f>IF(SUMIFS('BSE - SENSEX Index Options'!$L:$L,'BSE - SENSEX Index Options'!$C:$C,$A244,'BSE - SENSEX Index Options'!$B:$B,F$147,'BSE - SENSEX Index Options'!$H:$H,"Monthly*")+SUMIFS('BSE - Other Index Options'!$L:$L,'BSE - Other Index Options'!$C:$C,$A244,'BSE - Other Index Options'!$B:$B,F$147,'BSE - Other Index Options'!$H:$H,"Monthly*")=0,"",SUMIFS('BSE - SENSEX Index Options'!$L:$L,'BSE - SENSEX Index Options'!$C:$C,$A244,'BSE - SENSEX Index Options'!$B:$B,F$147,'BSE - SENSEX Index Options'!$H:$H,"Monthly*")+SUMIFS('BSE - Other Index Options'!$L:$L,'BSE - Other Index Options'!$C:$C,$A244,'BSE - Other Index Options'!$B:$B,F$147,'BSE - Other Index Options'!$H:$H,"Monthly*"))</f>
        <v/>
      </c>
      <c r="G244" s="26" t="str">
        <f>IF(SUMIFS('BSE - SENSEX Index Options'!$L:$L,'BSE - SENSEX Index Options'!$C:$C,$A244,'BSE - SENSEX Index Options'!$B:$B,G$147,'BSE - SENSEX Index Options'!$H:$H,"Monthly*")+SUMIFS('BSE - Other Index Options'!$L:$L,'BSE - Other Index Options'!$C:$C,$A244,'BSE - Other Index Options'!$B:$B,G$147,'BSE - Other Index Options'!$H:$H,"Monthly*")=0,"",SUMIFS('BSE - SENSEX Index Options'!$L:$L,'BSE - SENSEX Index Options'!$C:$C,$A244,'BSE - SENSEX Index Options'!$B:$B,G$147,'BSE - SENSEX Index Options'!$H:$H,"Monthly*")+SUMIFS('BSE - Other Index Options'!$L:$L,'BSE - Other Index Options'!$C:$C,$A244,'BSE - Other Index Options'!$B:$B,G$147,'BSE - Other Index Options'!$H:$H,"Monthly*"))</f>
        <v/>
      </c>
      <c r="H244" s="26" t="str">
        <f t="shared" ref="H244:H275" si="9">IF(SUM(B244:G244)=0,"",SUM(B244:G244))</f>
        <v/>
      </c>
    </row>
    <row r="245" spans="1:8" hidden="1" outlineLevel="1">
      <c r="A245" t="s">
        <v>107</v>
      </c>
      <c r="B245" s="26" t="str">
        <f>IF(SUMIFS('BSE - SENSEX Index Options'!$L:$L,'BSE - SENSEX Index Options'!$C:$C,$A245,'BSE - SENSEX Index Options'!$B:$B,B$147,'BSE - SENSEX Index Options'!$H:$H,"Monthly*")+SUMIFS('BSE - Other Index Options'!$L:$L,'BSE - Other Index Options'!$C:$C,$A245,'BSE - Other Index Options'!$B:$B,B$147,'BSE - Other Index Options'!$H:$H,"Monthly*")=0,"",SUMIFS('BSE - SENSEX Index Options'!$L:$L,'BSE - SENSEX Index Options'!$C:$C,$A245,'BSE - SENSEX Index Options'!$B:$B,B$147,'BSE - SENSEX Index Options'!$H:$H,"Monthly*")+SUMIFS('BSE - Other Index Options'!$L:$L,'BSE - Other Index Options'!$C:$C,$A245,'BSE - Other Index Options'!$B:$B,B$147,'BSE - Other Index Options'!$H:$H,"Monthly*"))</f>
        <v/>
      </c>
      <c r="C245" s="26" t="str">
        <f>IF(SUMIFS('BSE - SENSEX Index Options'!$L:$L,'BSE - SENSEX Index Options'!$C:$C,$A245,'BSE - SENSEX Index Options'!$B:$B,C$147,'BSE - SENSEX Index Options'!$H:$H,"Monthly*")+SUMIFS('BSE - Other Index Options'!$L:$L,'BSE - Other Index Options'!$C:$C,$A245,'BSE - Other Index Options'!$B:$B,C$147,'BSE - Other Index Options'!$H:$H,"Monthly*")=0,"",SUMIFS('BSE - SENSEX Index Options'!$L:$L,'BSE - SENSEX Index Options'!$C:$C,$A245,'BSE - SENSEX Index Options'!$B:$B,C$147,'BSE - SENSEX Index Options'!$H:$H,"Monthly*")+SUMIFS('BSE - Other Index Options'!$L:$L,'BSE - Other Index Options'!$C:$C,$A245,'BSE - Other Index Options'!$B:$B,C$147,'BSE - Other Index Options'!$H:$H,"Monthly*"))</f>
        <v/>
      </c>
      <c r="D245" s="26" t="str">
        <f>IF(SUMIFS('BSE - SENSEX Index Options'!$L:$L,'BSE - SENSEX Index Options'!$C:$C,$A245,'BSE - SENSEX Index Options'!$B:$B,D$147,'BSE - SENSEX Index Options'!$H:$H,"Monthly*")+SUMIFS('BSE - Other Index Options'!$L:$L,'BSE - Other Index Options'!$C:$C,$A245,'BSE - Other Index Options'!$B:$B,D$147,'BSE - Other Index Options'!$H:$H,"Monthly*")=0,"",SUMIFS('BSE - SENSEX Index Options'!$L:$L,'BSE - SENSEX Index Options'!$C:$C,$A245,'BSE - SENSEX Index Options'!$B:$B,D$147,'BSE - SENSEX Index Options'!$H:$H,"Monthly*")+SUMIFS('BSE - Other Index Options'!$L:$L,'BSE - Other Index Options'!$C:$C,$A245,'BSE - Other Index Options'!$B:$B,D$147,'BSE - Other Index Options'!$H:$H,"Monthly*"))</f>
        <v/>
      </c>
      <c r="E245" s="26" t="str">
        <f>IF(SUMIFS('BSE - SENSEX Index Options'!$L:$L,'BSE - SENSEX Index Options'!$C:$C,$A245,'BSE - SENSEX Index Options'!$B:$B,E$147,'BSE - SENSEX Index Options'!$H:$H,"Monthly*")+SUMIFS('BSE - Other Index Options'!$L:$L,'BSE - Other Index Options'!$C:$C,$A245,'BSE - Other Index Options'!$B:$B,E$147,'BSE - Other Index Options'!$H:$H,"Monthly*")=0,"",SUMIFS('BSE - SENSEX Index Options'!$L:$L,'BSE - SENSEX Index Options'!$C:$C,$A245,'BSE - SENSEX Index Options'!$B:$B,E$147,'BSE - SENSEX Index Options'!$H:$H,"Monthly*")+SUMIFS('BSE - Other Index Options'!$L:$L,'BSE - Other Index Options'!$C:$C,$A245,'BSE - Other Index Options'!$B:$B,E$147,'BSE - Other Index Options'!$H:$H,"Monthly*"))</f>
        <v/>
      </c>
      <c r="F245" s="26" t="str">
        <f>IF(SUMIFS('BSE - SENSEX Index Options'!$L:$L,'BSE - SENSEX Index Options'!$C:$C,$A245,'BSE - SENSEX Index Options'!$B:$B,F$147,'BSE - SENSEX Index Options'!$H:$H,"Monthly*")+SUMIFS('BSE - Other Index Options'!$L:$L,'BSE - Other Index Options'!$C:$C,$A245,'BSE - Other Index Options'!$B:$B,F$147,'BSE - Other Index Options'!$H:$H,"Monthly*")=0,"",SUMIFS('BSE - SENSEX Index Options'!$L:$L,'BSE - SENSEX Index Options'!$C:$C,$A245,'BSE - SENSEX Index Options'!$B:$B,F$147,'BSE - SENSEX Index Options'!$H:$H,"Monthly*")+SUMIFS('BSE - Other Index Options'!$L:$L,'BSE - Other Index Options'!$C:$C,$A245,'BSE - Other Index Options'!$B:$B,F$147,'BSE - Other Index Options'!$H:$H,"Monthly*"))</f>
        <v/>
      </c>
      <c r="G245" s="26" t="str">
        <f>IF(SUMIFS('BSE - SENSEX Index Options'!$L:$L,'BSE - SENSEX Index Options'!$C:$C,$A245,'BSE - SENSEX Index Options'!$B:$B,G$147,'BSE - SENSEX Index Options'!$H:$H,"Monthly*")+SUMIFS('BSE - Other Index Options'!$L:$L,'BSE - Other Index Options'!$C:$C,$A245,'BSE - Other Index Options'!$B:$B,G$147,'BSE - Other Index Options'!$H:$H,"Monthly*")=0,"",SUMIFS('BSE - SENSEX Index Options'!$L:$L,'BSE - SENSEX Index Options'!$C:$C,$A245,'BSE - SENSEX Index Options'!$B:$B,G$147,'BSE - SENSEX Index Options'!$H:$H,"Monthly*")+SUMIFS('BSE - Other Index Options'!$L:$L,'BSE - Other Index Options'!$C:$C,$A245,'BSE - Other Index Options'!$B:$B,G$147,'BSE - Other Index Options'!$H:$H,"Monthly*"))</f>
        <v/>
      </c>
      <c r="H245" s="26" t="str">
        <f t="shared" si="9"/>
        <v/>
      </c>
    </row>
    <row r="246" spans="1:8" hidden="1" outlineLevel="1">
      <c r="A246" t="s">
        <v>108</v>
      </c>
      <c r="B246" s="26" t="str">
        <f>IF(SUMIFS('BSE - SENSEX Index Options'!$L:$L,'BSE - SENSEX Index Options'!$C:$C,$A246,'BSE - SENSEX Index Options'!$B:$B,B$147,'BSE - SENSEX Index Options'!$H:$H,"Monthly*")+SUMIFS('BSE - Other Index Options'!$L:$L,'BSE - Other Index Options'!$C:$C,$A246,'BSE - Other Index Options'!$B:$B,B$147,'BSE - Other Index Options'!$H:$H,"Monthly*")=0,"",SUMIFS('BSE - SENSEX Index Options'!$L:$L,'BSE - SENSEX Index Options'!$C:$C,$A246,'BSE - SENSEX Index Options'!$B:$B,B$147,'BSE - SENSEX Index Options'!$H:$H,"Monthly*")+SUMIFS('BSE - Other Index Options'!$L:$L,'BSE - Other Index Options'!$C:$C,$A246,'BSE - Other Index Options'!$B:$B,B$147,'BSE - Other Index Options'!$H:$H,"Monthly*"))</f>
        <v/>
      </c>
      <c r="C246" s="26" t="str">
        <f>IF(SUMIFS('BSE - SENSEX Index Options'!$L:$L,'BSE - SENSEX Index Options'!$C:$C,$A246,'BSE - SENSEX Index Options'!$B:$B,C$147,'BSE - SENSEX Index Options'!$H:$H,"Monthly*")+SUMIFS('BSE - Other Index Options'!$L:$L,'BSE - Other Index Options'!$C:$C,$A246,'BSE - Other Index Options'!$B:$B,C$147,'BSE - Other Index Options'!$H:$H,"Monthly*")=0,"",SUMIFS('BSE - SENSEX Index Options'!$L:$L,'BSE - SENSEX Index Options'!$C:$C,$A246,'BSE - SENSEX Index Options'!$B:$B,C$147,'BSE - SENSEX Index Options'!$H:$H,"Monthly*")+SUMIFS('BSE - Other Index Options'!$L:$L,'BSE - Other Index Options'!$C:$C,$A246,'BSE - Other Index Options'!$B:$B,C$147,'BSE - Other Index Options'!$H:$H,"Monthly*"))</f>
        <v/>
      </c>
      <c r="D246" s="26" t="str">
        <f>IF(SUMIFS('BSE - SENSEX Index Options'!$L:$L,'BSE - SENSEX Index Options'!$C:$C,$A246,'BSE - SENSEX Index Options'!$B:$B,D$147,'BSE - SENSEX Index Options'!$H:$H,"Monthly*")+SUMIFS('BSE - Other Index Options'!$L:$L,'BSE - Other Index Options'!$C:$C,$A246,'BSE - Other Index Options'!$B:$B,D$147,'BSE - Other Index Options'!$H:$H,"Monthly*")=0,"",SUMIFS('BSE - SENSEX Index Options'!$L:$L,'BSE - SENSEX Index Options'!$C:$C,$A246,'BSE - SENSEX Index Options'!$B:$B,D$147,'BSE - SENSEX Index Options'!$H:$H,"Monthly*")+SUMIFS('BSE - Other Index Options'!$L:$L,'BSE - Other Index Options'!$C:$C,$A246,'BSE - Other Index Options'!$B:$B,D$147,'BSE - Other Index Options'!$H:$H,"Monthly*"))</f>
        <v/>
      </c>
      <c r="E246" s="26" t="str">
        <f>IF(SUMIFS('BSE - SENSEX Index Options'!$L:$L,'BSE - SENSEX Index Options'!$C:$C,$A246,'BSE - SENSEX Index Options'!$B:$B,E$147,'BSE - SENSEX Index Options'!$H:$H,"Monthly*")+SUMIFS('BSE - Other Index Options'!$L:$L,'BSE - Other Index Options'!$C:$C,$A246,'BSE - Other Index Options'!$B:$B,E$147,'BSE - Other Index Options'!$H:$H,"Monthly*")=0,"",SUMIFS('BSE - SENSEX Index Options'!$L:$L,'BSE - SENSEX Index Options'!$C:$C,$A246,'BSE - SENSEX Index Options'!$B:$B,E$147,'BSE - SENSEX Index Options'!$H:$H,"Monthly*")+SUMIFS('BSE - Other Index Options'!$L:$L,'BSE - Other Index Options'!$C:$C,$A246,'BSE - Other Index Options'!$B:$B,E$147,'BSE - Other Index Options'!$H:$H,"Monthly*"))</f>
        <v/>
      </c>
      <c r="F246" s="26" t="str">
        <f>IF(SUMIFS('BSE - SENSEX Index Options'!$L:$L,'BSE - SENSEX Index Options'!$C:$C,$A246,'BSE - SENSEX Index Options'!$B:$B,F$147,'BSE - SENSEX Index Options'!$H:$H,"Monthly*")+SUMIFS('BSE - Other Index Options'!$L:$L,'BSE - Other Index Options'!$C:$C,$A246,'BSE - Other Index Options'!$B:$B,F$147,'BSE - Other Index Options'!$H:$H,"Monthly*")=0,"",SUMIFS('BSE - SENSEX Index Options'!$L:$L,'BSE - SENSEX Index Options'!$C:$C,$A246,'BSE - SENSEX Index Options'!$B:$B,F$147,'BSE - SENSEX Index Options'!$H:$H,"Monthly*")+SUMIFS('BSE - Other Index Options'!$L:$L,'BSE - Other Index Options'!$C:$C,$A246,'BSE - Other Index Options'!$B:$B,F$147,'BSE - Other Index Options'!$H:$H,"Monthly*"))</f>
        <v/>
      </c>
      <c r="G246" s="26" t="str">
        <f>IF(SUMIFS('BSE - SENSEX Index Options'!$L:$L,'BSE - SENSEX Index Options'!$C:$C,$A246,'BSE - SENSEX Index Options'!$B:$B,G$147,'BSE - SENSEX Index Options'!$H:$H,"Monthly*")+SUMIFS('BSE - Other Index Options'!$L:$L,'BSE - Other Index Options'!$C:$C,$A246,'BSE - Other Index Options'!$B:$B,G$147,'BSE - Other Index Options'!$H:$H,"Monthly*")=0,"",SUMIFS('BSE - SENSEX Index Options'!$L:$L,'BSE - SENSEX Index Options'!$C:$C,$A246,'BSE - SENSEX Index Options'!$B:$B,G$147,'BSE - SENSEX Index Options'!$H:$H,"Monthly*")+SUMIFS('BSE - Other Index Options'!$L:$L,'BSE - Other Index Options'!$C:$C,$A246,'BSE - Other Index Options'!$B:$B,G$147,'BSE - Other Index Options'!$H:$H,"Monthly*"))</f>
        <v/>
      </c>
      <c r="H246" s="26" t="str">
        <f t="shared" si="9"/>
        <v/>
      </c>
    </row>
    <row r="247" spans="1:8" hidden="1" outlineLevel="1">
      <c r="A247" t="s">
        <v>109</v>
      </c>
      <c r="B247" s="26" t="str">
        <f>IF(SUMIFS('BSE - SENSEX Index Options'!$L:$L,'BSE - SENSEX Index Options'!$C:$C,$A247,'BSE - SENSEX Index Options'!$B:$B,B$147,'BSE - SENSEX Index Options'!$H:$H,"Monthly*")+SUMIFS('BSE - Other Index Options'!$L:$L,'BSE - Other Index Options'!$C:$C,$A247,'BSE - Other Index Options'!$B:$B,B$147,'BSE - Other Index Options'!$H:$H,"Monthly*")=0,"",SUMIFS('BSE - SENSEX Index Options'!$L:$L,'BSE - SENSEX Index Options'!$C:$C,$A247,'BSE - SENSEX Index Options'!$B:$B,B$147,'BSE - SENSEX Index Options'!$H:$H,"Monthly*")+SUMIFS('BSE - Other Index Options'!$L:$L,'BSE - Other Index Options'!$C:$C,$A247,'BSE - Other Index Options'!$B:$B,B$147,'BSE - Other Index Options'!$H:$H,"Monthly*"))</f>
        <v/>
      </c>
      <c r="C247" s="26" t="str">
        <f>IF(SUMIFS('BSE - SENSEX Index Options'!$L:$L,'BSE - SENSEX Index Options'!$C:$C,$A247,'BSE - SENSEX Index Options'!$B:$B,C$147,'BSE - SENSEX Index Options'!$H:$H,"Monthly*")+SUMIFS('BSE - Other Index Options'!$L:$L,'BSE - Other Index Options'!$C:$C,$A247,'BSE - Other Index Options'!$B:$B,C$147,'BSE - Other Index Options'!$H:$H,"Monthly*")=0,"",SUMIFS('BSE - SENSEX Index Options'!$L:$L,'BSE - SENSEX Index Options'!$C:$C,$A247,'BSE - SENSEX Index Options'!$B:$B,C$147,'BSE - SENSEX Index Options'!$H:$H,"Monthly*")+SUMIFS('BSE - Other Index Options'!$L:$L,'BSE - Other Index Options'!$C:$C,$A247,'BSE - Other Index Options'!$B:$B,C$147,'BSE - Other Index Options'!$H:$H,"Monthly*"))</f>
        <v/>
      </c>
      <c r="D247" s="26" t="str">
        <f>IF(SUMIFS('BSE - SENSEX Index Options'!$L:$L,'BSE - SENSEX Index Options'!$C:$C,$A247,'BSE - SENSEX Index Options'!$B:$B,D$147,'BSE - SENSEX Index Options'!$H:$H,"Monthly*")+SUMIFS('BSE - Other Index Options'!$L:$L,'BSE - Other Index Options'!$C:$C,$A247,'BSE - Other Index Options'!$B:$B,D$147,'BSE - Other Index Options'!$H:$H,"Monthly*")=0,"",SUMIFS('BSE - SENSEX Index Options'!$L:$L,'BSE - SENSEX Index Options'!$C:$C,$A247,'BSE - SENSEX Index Options'!$B:$B,D$147,'BSE - SENSEX Index Options'!$H:$H,"Monthly*")+SUMIFS('BSE - Other Index Options'!$L:$L,'BSE - Other Index Options'!$C:$C,$A247,'BSE - Other Index Options'!$B:$B,D$147,'BSE - Other Index Options'!$H:$H,"Monthly*"))</f>
        <v/>
      </c>
      <c r="E247" s="26" t="str">
        <f>IF(SUMIFS('BSE - SENSEX Index Options'!$L:$L,'BSE - SENSEX Index Options'!$C:$C,$A247,'BSE - SENSEX Index Options'!$B:$B,E$147,'BSE - SENSEX Index Options'!$H:$H,"Monthly*")+SUMIFS('BSE - Other Index Options'!$L:$L,'BSE - Other Index Options'!$C:$C,$A247,'BSE - Other Index Options'!$B:$B,E$147,'BSE - Other Index Options'!$H:$H,"Monthly*")=0,"",SUMIFS('BSE - SENSEX Index Options'!$L:$L,'BSE - SENSEX Index Options'!$C:$C,$A247,'BSE - SENSEX Index Options'!$B:$B,E$147,'BSE - SENSEX Index Options'!$H:$H,"Monthly*")+SUMIFS('BSE - Other Index Options'!$L:$L,'BSE - Other Index Options'!$C:$C,$A247,'BSE - Other Index Options'!$B:$B,E$147,'BSE - Other Index Options'!$H:$H,"Monthly*"))</f>
        <v/>
      </c>
      <c r="F247" s="26" t="str">
        <f>IF(SUMIFS('BSE - SENSEX Index Options'!$L:$L,'BSE - SENSEX Index Options'!$C:$C,$A247,'BSE - SENSEX Index Options'!$B:$B,F$147,'BSE - SENSEX Index Options'!$H:$H,"Monthly*")+SUMIFS('BSE - Other Index Options'!$L:$L,'BSE - Other Index Options'!$C:$C,$A247,'BSE - Other Index Options'!$B:$B,F$147,'BSE - Other Index Options'!$H:$H,"Monthly*")=0,"",SUMIFS('BSE - SENSEX Index Options'!$L:$L,'BSE - SENSEX Index Options'!$C:$C,$A247,'BSE - SENSEX Index Options'!$B:$B,F$147,'BSE - SENSEX Index Options'!$H:$H,"Monthly*")+SUMIFS('BSE - Other Index Options'!$L:$L,'BSE - Other Index Options'!$C:$C,$A247,'BSE - Other Index Options'!$B:$B,F$147,'BSE - Other Index Options'!$H:$H,"Monthly*"))</f>
        <v/>
      </c>
      <c r="G247" s="26" t="str">
        <f>IF(SUMIFS('BSE - SENSEX Index Options'!$L:$L,'BSE - SENSEX Index Options'!$C:$C,$A247,'BSE - SENSEX Index Options'!$B:$B,G$147,'BSE - SENSEX Index Options'!$H:$H,"Monthly*")+SUMIFS('BSE - Other Index Options'!$L:$L,'BSE - Other Index Options'!$C:$C,$A247,'BSE - Other Index Options'!$B:$B,G$147,'BSE - Other Index Options'!$H:$H,"Monthly*")=0,"",SUMIFS('BSE - SENSEX Index Options'!$L:$L,'BSE - SENSEX Index Options'!$C:$C,$A247,'BSE - SENSEX Index Options'!$B:$B,G$147,'BSE - SENSEX Index Options'!$H:$H,"Monthly*")+SUMIFS('BSE - Other Index Options'!$L:$L,'BSE - Other Index Options'!$C:$C,$A247,'BSE - Other Index Options'!$B:$B,G$147,'BSE - Other Index Options'!$H:$H,"Monthly*"))</f>
        <v/>
      </c>
      <c r="H247" s="26" t="str">
        <f t="shared" si="9"/>
        <v/>
      </c>
    </row>
    <row r="248" spans="1:8" hidden="1" outlineLevel="1">
      <c r="A248" t="s">
        <v>110</v>
      </c>
      <c r="B248" s="26" t="str">
        <f>IF(SUMIFS('BSE - SENSEX Index Options'!$L:$L,'BSE - SENSEX Index Options'!$C:$C,$A248,'BSE - SENSEX Index Options'!$B:$B,B$147,'BSE - SENSEX Index Options'!$H:$H,"Monthly*")+SUMIFS('BSE - Other Index Options'!$L:$L,'BSE - Other Index Options'!$C:$C,$A248,'BSE - Other Index Options'!$B:$B,B$147,'BSE - Other Index Options'!$H:$H,"Monthly*")=0,"",SUMIFS('BSE - SENSEX Index Options'!$L:$L,'BSE - SENSEX Index Options'!$C:$C,$A248,'BSE - SENSEX Index Options'!$B:$B,B$147,'BSE - SENSEX Index Options'!$H:$H,"Monthly*")+SUMIFS('BSE - Other Index Options'!$L:$L,'BSE - Other Index Options'!$C:$C,$A248,'BSE - Other Index Options'!$B:$B,B$147,'BSE - Other Index Options'!$H:$H,"Monthly*"))</f>
        <v/>
      </c>
      <c r="C248" s="26" t="str">
        <f>IF(SUMIFS('BSE - SENSEX Index Options'!$L:$L,'BSE - SENSEX Index Options'!$C:$C,$A248,'BSE - SENSEX Index Options'!$B:$B,C$147,'BSE - SENSEX Index Options'!$H:$H,"Monthly*")+SUMIFS('BSE - Other Index Options'!$L:$L,'BSE - Other Index Options'!$C:$C,$A248,'BSE - Other Index Options'!$B:$B,C$147,'BSE - Other Index Options'!$H:$H,"Monthly*")=0,"",SUMIFS('BSE - SENSEX Index Options'!$L:$L,'BSE - SENSEX Index Options'!$C:$C,$A248,'BSE - SENSEX Index Options'!$B:$B,C$147,'BSE - SENSEX Index Options'!$H:$H,"Monthly*")+SUMIFS('BSE - Other Index Options'!$L:$L,'BSE - Other Index Options'!$C:$C,$A248,'BSE - Other Index Options'!$B:$B,C$147,'BSE - Other Index Options'!$H:$H,"Monthly*"))</f>
        <v/>
      </c>
      <c r="D248" s="26" t="str">
        <f>IF(SUMIFS('BSE - SENSEX Index Options'!$L:$L,'BSE - SENSEX Index Options'!$C:$C,$A248,'BSE - SENSEX Index Options'!$B:$B,D$147,'BSE - SENSEX Index Options'!$H:$H,"Monthly*")+SUMIFS('BSE - Other Index Options'!$L:$L,'BSE - Other Index Options'!$C:$C,$A248,'BSE - Other Index Options'!$B:$B,D$147,'BSE - Other Index Options'!$H:$H,"Monthly*")=0,"",SUMIFS('BSE - SENSEX Index Options'!$L:$L,'BSE - SENSEX Index Options'!$C:$C,$A248,'BSE - SENSEX Index Options'!$B:$B,D$147,'BSE - SENSEX Index Options'!$H:$H,"Monthly*")+SUMIFS('BSE - Other Index Options'!$L:$L,'BSE - Other Index Options'!$C:$C,$A248,'BSE - Other Index Options'!$B:$B,D$147,'BSE - Other Index Options'!$H:$H,"Monthly*"))</f>
        <v/>
      </c>
      <c r="E248" s="26" t="str">
        <f>IF(SUMIFS('BSE - SENSEX Index Options'!$L:$L,'BSE - SENSEX Index Options'!$C:$C,$A248,'BSE - SENSEX Index Options'!$B:$B,E$147,'BSE - SENSEX Index Options'!$H:$H,"Monthly*")+SUMIFS('BSE - Other Index Options'!$L:$L,'BSE - Other Index Options'!$C:$C,$A248,'BSE - Other Index Options'!$B:$B,E$147,'BSE - Other Index Options'!$H:$H,"Monthly*")=0,"",SUMIFS('BSE - SENSEX Index Options'!$L:$L,'BSE - SENSEX Index Options'!$C:$C,$A248,'BSE - SENSEX Index Options'!$B:$B,E$147,'BSE - SENSEX Index Options'!$H:$H,"Monthly*")+SUMIFS('BSE - Other Index Options'!$L:$L,'BSE - Other Index Options'!$C:$C,$A248,'BSE - Other Index Options'!$B:$B,E$147,'BSE - Other Index Options'!$H:$H,"Monthly*"))</f>
        <v/>
      </c>
      <c r="F248" s="26" t="str">
        <f>IF(SUMIFS('BSE - SENSEX Index Options'!$L:$L,'BSE - SENSEX Index Options'!$C:$C,$A248,'BSE - SENSEX Index Options'!$B:$B,F$147,'BSE - SENSEX Index Options'!$H:$H,"Monthly*")+SUMIFS('BSE - Other Index Options'!$L:$L,'BSE - Other Index Options'!$C:$C,$A248,'BSE - Other Index Options'!$B:$B,F$147,'BSE - Other Index Options'!$H:$H,"Monthly*")=0,"",SUMIFS('BSE - SENSEX Index Options'!$L:$L,'BSE - SENSEX Index Options'!$C:$C,$A248,'BSE - SENSEX Index Options'!$B:$B,F$147,'BSE - SENSEX Index Options'!$H:$H,"Monthly*")+SUMIFS('BSE - Other Index Options'!$L:$L,'BSE - Other Index Options'!$C:$C,$A248,'BSE - Other Index Options'!$B:$B,F$147,'BSE - Other Index Options'!$H:$H,"Monthly*"))</f>
        <v/>
      </c>
      <c r="G248" s="26" t="str">
        <f>IF(SUMIFS('BSE - SENSEX Index Options'!$L:$L,'BSE - SENSEX Index Options'!$C:$C,$A248,'BSE - SENSEX Index Options'!$B:$B,G$147,'BSE - SENSEX Index Options'!$H:$H,"Monthly*")+SUMIFS('BSE - Other Index Options'!$L:$L,'BSE - Other Index Options'!$C:$C,$A248,'BSE - Other Index Options'!$B:$B,G$147,'BSE - Other Index Options'!$H:$H,"Monthly*")=0,"",SUMIFS('BSE - SENSEX Index Options'!$L:$L,'BSE - SENSEX Index Options'!$C:$C,$A248,'BSE - SENSEX Index Options'!$B:$B,G$147,'BSE - SENSEX Index Options'!$H:$H,"Monthly*")+SUMIFS('BSE - Other Index Options'!$L:$L,'BSE - Other Index Options'!$C:$C,$A248,'BSE - Other Index Options'!$B:$B,G$147,'BSE - Other Index Options'!$H:$H,"Monthly*"))</f>
        <v/>
      </c>
      <c r="H248" s="26" t="str">
        <f t="shared" si="9"/>
        <v/>
      </c>
    </row>
    <row r="249" spans="1:8" hidden="1" outlineLevel="1">
      <c r="A249" t="s">
        <v>111</v>
      </c>
      <c r="B249" s="26" t="str">
        <f>IF(SUMIFS('BSE - SENSEX Index Options'!$L:$L,'BSE - SENSEX Index Options'!$C:$C,$A249,'BSE - SENSEX Index Options'!$B:$B,B$147,'BSE - SENSEX Index Options'!$H:$H,"Monthly*")+SUMIFS('BSE - Other Index Options'!$L:$L,'BSE - Other Index Options'!$C:$C,$A249,'BSE - Other Index Options'!$B:$B,B$147,'BSE - Other Index Options'!$H:$H,"Monthly*")=0,"",SUMIFS('BSE - SENSEX Index Options'!$L:$L,'BSE - SENSEX Index Options'!$C:$C,$A249,'BSE - SENSEX Index Options'!$B:$B,B$147,'BSE - SENSEX Index Options'!$H:$H,"Monthly*")+SUMIFS('BSE - Other Index Options'!$L:$L,'BSE - Other Index Options'!$C:$C,$A249,'BSE - Other Index Options'!$B:$B,B$147,'BSE - Other Index Options'!$H:$H,"Monthly*"))</f>
        <v/>
      </c>
      <c r="C249" s="26" t="str">
        <f>IF(SUMIFS('BSE - SENSEX Index Options'!$L:$L,'BSE - SENSEX Index Options'!$C:$C,$A249,'BSE - SENSEX Index Options'!$B:$B,C$147,'BSE - SENSEX Index Options'!$H:$H,"Monthly*")+SUMIFS('BSE - Other Index Options'!$L:$L,'BSE - Other Index Options'!$C:$C,$A249,'BSE - Other Index Options'!$B:$B,C$147,'BSE - Other Index Options'!$H:$H,"Monthly*")=0,"",SUMIFS('BSE - SENSEX Index Options'!$L:$L,'BSE - SENSEX Index Options'!$C:$C,$A249,'BSE - SENSEX Index Options'!$B:$B,C$147,'BSE - SENSEX Index Options'!$H:$H,"Monthly*")+SUMIFS('BSE - Other Index Options'!$L:$L,'BSE - Other Index Options'!$C:$C,$A249,'BSE - Other Index Options'!$B:$B,C$147,'BSE - Other Index Options'!$H:$H,"Monthly*"))</f>
        <v/>
      </c>
      <c r="D249" s="26" t="str">
        <f>IF(SUMIFS('BSE - SENSEX Index Options'!$L:$L,'BSE - SENSEX Index Options'!$C:$C,$A249,'BSE - SENSEX Index Options'!$B:$B,D$147,'BSE - SENSEX Index Options'!$H:$H,"Monthly*")+SUMIFS('BSE - Other Index Options'!$L:$L,'BSE - Other Index Options'!$C:$C,$A249,'BSE - Other Index Options'!$B:$B,D$147,'BSE - Other Index Options'!$H:$H,"Monthly*")=0,"",SUMIFS('BSE - SENSEX Index Options'!$L:$L,'BSE - SENSEX Index Options'!$C:$C,$A249,'BSE - SENSEX Index Options'!$B:$B,D$147,'BSE - SENSEX Index Options'!$H:$H,"Monthly*")+SUMIFS('BSE - Other Index Options'!$L:$L,'BSE - Other Index Options'!$C:$C,$A249,'BSE - Other Index Options'!$B:$B,D$147,'BSE - Other Index Options'!$H:$H,"Monthly*"))</f>
        <v/>
      </c>
      <c r="E249" s="26" t="str">
        <f>IF(SUMIFS('BSE - SENSEX Index Options'!$L:$L,'BSE - SENSEX Index Options'!$C:$C,$A249,'BSE - SENSEX Index Options'!$B:$B,E$147,'BSE - SENSEX Index Options'!$H:$H,"Monthly*")+SUMIFS('BSE - Other Index Options'!$L:$L,'BSE - Other Index Options'!$C:$C,$A249,'BSE - Other Index Options'!$B:$B,E$147,'BSE - Other Index Options'!$H:$H,"Monthly*")=0,"",SUMIFS('BSE - SENSEX Index Options'!$L:$L,'BSE - SENSEX Index Options'!$C:$C,$A249,'BSE - SENSEX Index Options'!$B:$B,E$147,'BSE - SENSEX Index Options'!$H:$H,"Monthly*")+SUMIFS('BSE - Other Index Options'!$L:$L,'BSE - Other Index Options'!$C:$C,$A249,'BSE - Other Index Options'!$B:$B,E$147,'BSE - Other Index Options'!$H:$H,"Monthly*"))</f>
        <v/>
      </c>
      <c r="F249" s="26" t="str">
        <f>IF(SUMIFS('BSE - SENSEX Index Options'!$L:$L,'BSE - SENSEX Index Options'!$C:$C,$A249,'BSE - SENSEX Index Options'!$B:$B,F$147,'BSE - SENSEX Index Options'!$H:$H,"Monthly*")+SUMIFS('BSE - Other Index Options'!$L:$L,'BSE - Other Index Options'!$C:$C,$A249,'BSE - Other Index Options'!$B:$B,F$147,'BSE - Other Index Options'!$H:$H,"Monthly*")=0,"",SUMIFS('BSE - SENSEX Index Options'!$L:$L,'BSE - SENSEX Index Options'!$C:$C,$A249,'BSE - SENSEX Index Options'!$B:$B,F$147,'BSE - SENSEX Index Options'!$H:$H,"Monthly*")+SUMIFS('BSE - Other Index Options'!$L:$L,'BSE - Other Index Options'!$C:$C,$A249,'BSE - Other Index Options'!$B:$B,F$147,'BSE - Other Index Options'!$H:$H,"Monthly*"))</f>
        <v/>
      </c>
      <c r="G249" s="26" t="str">
        <f>IF(SUMIFS('BSE - SENSEX Index Options'!$L:$L,'BSE - SENSEX Index Options'!$C:$C,$A249,'BSE - SENSEX Index Options'!$B:$B,G$147,'BSE - SENSEX Index Options'!$H:$H,"Monthly*")+SUMIFS('BSE - Other Index Options'!$L:$L,'BSE - Other Index Options'!$C:$C,$A249,'BSE - Other Index Options'!$B:$B,G$147,'BSE - Other Index Options'!$H:$H,"Monthly*")=0,"",SUMIFS('BSE - SENSEX Index Options'!$L:$L,'BSE - SENSEX Index Options'!$C:$C,$A249,'BSE - SENSEX Index Options'!$B:$B,G$147,'BSE - SENSEX Index Options'!$H:$H,"Monthly*")+SUMIFS('BSE - Other Index Options'!$L:$L,'BSE - Other Index Options'!$C:$C,$A249,'BSE - Other Index Options'!$B:$B,G$147,'BSE - Other Index Options'!$H:$H,"Monthly*"))</f>
        <v/>
      </c>
      <c r="H249" s="26" t="str">
        <f t="shared" si="9"/>
        <v/>
      </c>
    </row>
    <row r="250" spans="1:8" hidden="1" outlineLevel="1">
      <c r="A250" t="s">
        <v>112</v>
      </c>
      <c r="B250" s="26" t="str">
        <f>IF(SUMIFS('BSE - SENSEX Index Options'!$L:$L,'BSE - SENSEX Index Options'!$C:$C,$A250,'BSE - SENSEX Index Options'!$B:$B,B$147,'BSE - SENSEX Index Options'!$H:$H,"Monthly*")+SUMIFS('BSE - Other Index Options'!$L:$L,'BSE - Other Index Options'!$C:$C,$A250,'BSE - Other Index Options'!$B:$B,B$147,'BSE - Other Index Options'!$H:$H,"Monthly*")=0,"",SUMIFS('BSE - SENSEX Index Options'!$L:$L,'BSE - SENSEX Index Options'!$C:$C,$A250,'BSE - SENSEX Index Options'!$B:$B,B$147,'BSE - SENSEX Index Options'!$H:$H,"Monthly*")+SUMIFS('BSE - Other Index Options'!$L:$L,'BSE - Other Index Options'!$C:$C,$A250,'BSE - Other Index Options'!$B:$B,B$147,'BSE - Other Index Options'!$H:$H,"Monthly*"))</f>
        <v/>
      </c>
      <c r="C250" s="26" t="str">
        <f>IF(SUMIFS('BSE - SENSEX Index Options'!$L:$L,'BSE - SENSEX Index Options'!$C:$C,$A250,'BSE - SENSEX Index Options'!$B:$B,C$147,'BSE - SENSEX Index Options'!$H:$H,"Monthly*")+SUMIFS('BSE - Other Index Options'!$L:$L,'BSE - Other Index Options'!$C:$C,$A250,'BSE - Other Index Options'!$B:$B,C$147,'BSE - Other Index Options'!$H:$H,"Monthly*")=0,"",SUMIFS('BSE - SENSEX Index Options'!$L:$L,'BSE - SENSEX Index Options'!$C:$C,$A250,'BSE - SENSEX Index Options'!$B:$B,C$147,'BSE - SENSEX Index Options'!$H:$H,"Monthly*")+SUMIFS('BSE - Other Index Options'!$L:$L,'BSE - Other Index Options'!$C:$C,$A250,'BSE - Other Index Options'!$B:$B,C$147,'BSE - Other Index Options'!$H:$H,"Monthly*"))</f>
        <v/>
      </c>
      <c r="D250" s="26" t="str">
        <f>IF(SUMIFS('BSE - SENSEX Index Options'!$L:$L,'BSE - SENSEX Index Options'!$C:$C,$A250,'BSE - SENSEX Index Options'!$B:$B,D$147,'BSE - SENSEX Index Options'!$H:$H,"Monthly*")+SUMIFS('BSE - Other Index Options'!$L:$L,'BSE - Other Index Options'!$C:$C,$A250,'BSE - Other Index Options'!$B:$B,D$147,'BSE - Other Index Options'!$H:$H,"Monthly*")=0,"",SUMIFS('BSE - SENSEX Index Options'!$L:$L,'BSE - SENSEX Index Options'!$C:$C,$A250,'BSE - SENSEX Index Options'!$B:$B,D$147,'BSE - SENSEX Index Options'!$H:$H,"Monthly*")+SUMIFS('BSE - Other Index Options'!$L:$L,'BSE - Other Index Options'!$C:$C,$A250,'BSE - Other Index Options'!$B:$B,D$147,'BSE - Other Index Options'!$H:$H,"Monthly*"))</f>
        <v/>
      </c>
      <c r="E250" s="26" t="str">
        <f>IF(SUMIFS('BSE - SENSEX Index Options'!$L:$L,'BSE - SENSEX Index Options'!$C:$C,$A250,'BSE - SENSEX Index Options'!$B:$B,E$147,'BSE - SENSEX Index Options'!$H:$H,"Monthly*")+SUMIFS('BSE - Other Index Options'!$L:$L,'BSE - Other Index Options'!$C:$C,$A250,'BSE - Other Index Options'!$B:$B,E$147,'BSE - Other Index Options'!$H:$H,"Monthly*")=0,"",SUMIFS('BSE - SENSEX Index Options'!$L:$L,'BSE - SENSEX Index Options'!$C:$C,$A250,'BSE - SENSEX Index Options'!$B:$B,E$147,'BSE - SENSEX Index Options'!$H:$H,"Monthly*")+SUMIFS('BSE - Other Index Options'!$L:$L,'BSE - Other Index Options'!$C:$C,$A250,'BSE - Other Index Options'!$B:$B,E$147,'BSE - Other Index Options'!$H:$H,"Monthly*"))</f>
        <v/>
      </c>
      <c r="F250" s="26" t="str">
        <f>IF(SUMIFS('BSE - SENSEX Index Options'!$L:$L,'BSE - SENSEX Index Options'!$C:$C,$A250,'BSE - SENSEX Index Options'!$B:$B,F$147,'BSE - SENSEX Index Options'!$H:$H,"Monthly*")+SUMIFS('BSE - Other Index Options'!$L:$L,'BSE - Other Index Options'!$C:$C,$A250,'BSE - Other Index Options'!$B:$B,F$147,'BSE - Other Index Options'!$H:$H,"Monthly*")=0,"",SUMIFS('BSE - SENSEX Index Options'!$L:$L,'BSE - SENSEX Index Options'!$C:$C,$A250,'BSE - SENSEX Index Options'!$B:$B,F$147,'BSE - SENSEX Index Options'!$H:$H,"Monthly*")+SUMIFS('BSE - Other Index Options'!$L:$L,'BSE - Other Index Options'!$C:$C,$A250,'BSE - Other Index Options'!$B:$B,F$147,'BSE - Other Index Options'!$H:$H,"Monthly*"))</f>
        <v/>
      </c>
      <c r="G250" s="26" t="str">
        <f>IF(SUMIFS('BSE - SENSEX Index Options'!$L:$L,'BSE - SENSEX Index Options'!$C:$C,$A250,'BSE - SENSEX Index Options'!$B:$B,G$147,'BSE - SENSEX Index Options'!$H:$H,"Monthly*")+SUMIFS('BSE - Other Index Options'!$L:$L,'BSE - Other Index Options'!$C:$C,$A250,'BSE - Other Index Options'!$B:$B,G$147,'BSE - Other Index Options'!$H:$H,"Monthly*")=0,"",SUMIFS('BSE - SENSEX Index Options'!$L:$L,'BSE - SENSEX Index Options'!$C:$C,$A250,'BSE - SENSEX Index Options'!$B:$B,G$147,'BSE - SENSEX Index Options'!$H:$H,"Monthly*")+SUMIFS('BSE - Other Index Options'!$L:$L,'BSE - Other Index Options'!$C:$C,$A250,'BSE - Other Index Options'!$B:$B,G$147,'BSE - Other Index Options'!$H:$H,"Monthly*"))</f>
        <v/>
      </c>
      <c r="H250" s="26" t="str">
        <f t="shared" si="9"/>
        <v/>
      </c>
    </row>
    <row r="251" spans="1:8" hidden="1" outlineLevel="1">
      <c r="A251" t="s">
        <v>113</v>
      </c>
      <c r="B251" s="26" t="str">
        <f>IF(SUMIFS('BSE - SENSEX Index Options'!$L:$L,'BSE - SENSEX Index Options'!$C:$C,$A251,'BSE - SENSEX Index Options'!$B:$B,B$147,'BSE - SENSEX Index Options'!$H:$H,"Monthly*")+SUMIFS('BSE - Other Index Options'!$L:$L,'BSE - Other Index Options'!$C:$C,$A251,'BSE - Other Index Options'!$B:$B,B$147,'BSE - Other Index Options'!$H:$H,"Monthly*")=0,"",SUMIFS('BSE - SENSEX Index Options'!$L:$L,'BSE - SENSEX Index Options'!$C:$C,$A251,'BSE - SENSEX Index Options'!$B:$B,B$147,'BSE - SENSEX Index Options'!$H:$H,"Monthly*")+SUMIFS('BSE - Other Index Options'!$L:$L,'BSE - Other Index Options'!$C:$C,$A251,'BSE - Other Index Options'!$B:$B,B$147,'BSE - Other Index Options'!$H:$H,"Monthly*"))</f>
        <v/>
      </c>
      <c r="C251" s="26" t="str">
        <f>IF(SUMIFS('BSE - SENSEX Index Options'!$L:$L,'BSE - SENSEX Index Options'!$C:$C,$A251,'BSE - SENSEX Index Options'!$B:$B,C$147,'BSE - SENSEX Index Options'!$H:$H,"Monthly*")+SUMIFS('BSE - Other Index Options'!$L:$L,'BSE - Other Index Options'!$C:$C,$A251,'BSE - Other Index Options'!$B:$B,C$147,'BSE - Other Index Options'!$H:$H,"Monthly*")=0,"",SUMIFS('BSE - SENSEX Index Options'!$L:$L,'BSE - SENSEX Index Options'!$C:$C,$A251,'BSE - SENSEX Index Options'!$B:$B,C$147,'BSE - SENSEX Index Options'!$H:$H,"Monthly*")+SUMIFS('BSE - Other Index Options'!$L:$L,'BSE - Other Index Options'!$C:$C,$A251,'BSE - Other Index Options'!$B:$B,C$147,'BSE - Other Index Options'!$H:$H,"Monthly*"))</f>
        <v/>
      </c>
      <c r="D251" s="26" t="str">
        <f>IF(SUMIFS('BSE - SENSEX Index Options'!$L:$L,'BSE - SENSEX Index Options'!$C:$C,$A251,'BSE - SENSEX Index Options'!$B:$B,D$147,'BSE - SENSEX Index Options'!$H:$H,"Monthly*")+SUMIFS('BSE - Other Index Options'!$L:$L,'BSE - Other Index Options'!$C:$C,$A251,'BSE - Other Index Options'!$B:$B,D$147,'BSE - Other Index Options'!$H:$H,"Monthly*")=0,"",SUMIFS('BSE - SENSEX Index Options'!$L:$L,'BSE - SENSEX Index Options'!$C:$C,$A251,'BSE - SENSEX Index Options'!$B:$B,D$147,'BSE - SENSEX Index Options'!$H:$H,"Monthly*")+SUMIFS('BSE - Other Index Options'!$L:$L,'BSE - Other Index Options'!$C:$C,$A251,'BSE - Other Index Options'!$B:$B,D$147,'BSE - Other Index Options'!$H:$H,"Monthly*"))</f>
        <v/>
      </c>
      <c r="E251" s="26" t="str">
        <f>IF(SUMIFS('BSE - SENSEX Index Options'!$L:$L,'BSE - SENSEX Index Options'!$C:$C,$A251,'BSE - SENSEX Index Options'!$B:$B,E$147,'BSE - SENSEX Index Options'!$H:$H,"Monthly*")+SUMIFS('BSE - Other Index Options'!$L:$L,'BSE - Other Index Options'!$C:$C,$A251,'BSE - Other Index Options'!$B:$B,E$147,'BSE - Other Index Options'!$H:$H,"Monthly*")=0,"",SUMIFS('BSE - SENSEX Index Options'!$L:$L,'BSE - SENSEX Index Options'!$C:$C,$A251,'BSE - SENSEX Index Options'!$B:$B,E$147,'BSE - SENSEX Index Options'!$H:$H,"Monthly*")+SUMIFS('BSE - Other Index Options'!$L:$L,'BSE - Other Index Options'!$C:$C,$A251,'BSE - Other Index Options'!$B:$B,E$147,'BSE - Other Index Options'!$H:$H,"Monthly*"))</f>
        <v/>
      </c>
      <c r="F251" s="26" t="str">
        <f>IF(SUMIFS('BSE - SENSEX Index Options'!$L:$L,'BSE - SENSEX Index Options'!$C:$C,$A251,'BSE - SENSEX Index Options'!$B:$B,F$147,'BSE - SENSEX Index Options'!$H:$H,"Monthly*")+SUMIFS('BSE - Other Index Options'!$L:$L,'BSE - Other Index Options'!$C:$C,$A251,'BSE - Other Index Options'!$B:$B,F$147,'BSE - Other Index Options'!$H:$H,"Monthly*")=0,"",SUMIFS('BSE - SENSEX Index Options'!$L:$L,'BSE - SENSEX Index Options'!$C:$C,$A251,'BSE - SENSEX Index Options'!$B:$B,F$147,'BSE - SENSEX Index Options'!$H:$H,"Monthly*")+SUMIFS('BSE - Other Index Options'!$L:$L,'BSE - Other Index Options'!$C:$C,$A251,'BSE - Other Index Options'!$B:$B,F$147,'BSE - Other Index Options'!$H:$H,"Monthly*"))</f>
        <v/>
      </c>
      <c r="G251" s="26" t="str">
        <f>IF(SUMIFS('BSE - SENSEX Index Options'!$L:$L,'BSE - SENSEX Index Options'!$C:$C,$A251,'BSE - SENSEX Index Options'!$B:$B,G$147,'BSE - SENSEX Index Options'!$H:$H,"Monthly*")+SUMIFS('BSE - Other Index Options'!$L:$L,'BSE - Other Index Options'!$C:$C,$A251,'BSE - Other Index Options'!$B:$B,G$147,'BSE - Other Index Options'!$H:$H,"Monthly*")=0,"",SUMIFS('BSE - SENSEX Index Options'!$L:$L,'BSE - SENSEX Index Options'!$C:$C,$A251,'BSE - SENSEX Index Options'!$B:$B,G$147,'BSE - SENSEX Index Options'!$H:$H,"Monthly*")+SUMIFS('BSE - Other Index Options'!$L:$L,'BSE - Other Index Options'!$C:$C,$A251,'BSE - Other Index Options'!$B:$B,G$147,'BSE - Other Index Options'!$H:$H,"Monthly*"))</f>
        <v/>
      </c>
      <c r="H251" s="26" t="str">
        <f t="shared" si="9"/>
        <v/>
      </c>
    </row>
    <row r="252" spans="1:8" hidden="1" outlineLevel="1">
      <c r="A252" t="s">
        <v>114</v>
      </c>
      <c r="B252" s="26" t="str">
        <f>IF(SUMIFS('BSE - SENSEX Index Options'!$L:$L,'BSE - SENSEX Index Options'!$C:$C,$A252,'BSE - SENSEX Index Options'!$B:$B,B$147,'BSE - SENSEX Index Options'!$H:$H,"Monthly*")+SUMIFS('BSE - Other Index Options'!$L:$L,'BSE - Other Index Options'!$C:$C,$A252,'BSE - Other Index Options'!$B:$B,B$147,'BSE - Other Index Options'!$H:$H,"Monthly*")=0,"",SUMIFS('BSE - SENSEX Index Options'!$L:$L,'BSE - SENSEX Index Options'!$C:$C,$A252,'BSE - SENSEX Index Options'!$B:$B,B$147,'BSE - SENSEX Index Options'!$H:$H,"Monthly*")+SUMIFS('BSE - Other Index Options'!$L:$L,'BSE - Other Index Options'!$C:$C,$A252,'BSE - Other Index Options'!$B:$B,B$147,'BSE - Other Index Options'!$H:$H,"Monthly*"))</f>
        <v/>
      </c>
      <c r="C252" s="26" t="str">
        <f>IF(SUMIFS('BSE - SENSEX Index Options'!$L:$L,'BSE - SENSEX Index Options'!$C:$C,$A252,'BSE - SENSEX Index Options'!$B:$B,C$147,'BSE - SENSEX Index Options'!$H:$H,"Monthly*")+SUMIFS('BSE - Other Index Options'!$L:$L,'BSE - Other Index Options'!$C:$C,$A252,'BSE - Other Index Options'!$B:$B,C$147,'BSE - Other Index Options'!$H:$H,"Monthly*")=0,"",SUMIFS('BSE - SENSEX Index Options'!$L:$L,'BSE - SENSEX Index Options'!$C:$C,$A252,'BSE - SENSEX Index Options'!$B:$B,C$147,'BSE - SENSEX Index Options'!$H:$H,"Monthly*")+SUMIFS('BSE - Other Index Options'!$L:$L,'BSE - Other Index Options'!$C:$C,$A252,'BSE - Other Index Options'!$B:$B,C$147,'BSE - Other Index Options'!$H:$H,"Monthly*"))</f>
        <v/>
      </c>
      <c r="D252" s="26" t="str">
        <f>IF(SUMIFS('BSE - SENSEX Index Options'!$L:$L,'BSE - SENSEX Index Options'!$C:$C,$A252,'BSE - SENSEX Index Options'!$B:$B,D$147,'BSE - SENSEX Index Options'!$H:$H,"Monthly*")+SUMIFS('BSE - Other Index Options'!$L:$L,'BSE - Other Index Options'!$C:$C,$A252,'BSE - Other Index Options'!$B:$B,D$147,'BSE - Other Index Options'!$H:$H,"Monthly*")=0,"",SUMIFS('BSE - SENSEX Index Options'!$L:$L,'BSE - SENSEX Index Options'!$C:$C,$A252,'BSE - SENSEX Index Options'!$B:$B,D$147,'BSE - SENSEX Index Options'!$H:$H,"Monthly*")+SUMIFS('BSE - Other Index Options'!$L:$L,'BSE - Other Index Options'!$C:$C,$A252,'BSE - Other Index Options'!$B:$B,D$147,'BSE - Other Index Options'!$H:$H,"Monthly*"))</f>
        <v/>
      </c>
      <c r="E252" s="26" t="str">
        <f>IF(SUMIFS('BSE - SENSEX Index Options'!$L:$L,'BSE - SENSEX Index Options'!$C:$C,$A252,'BSE - SENSEX Index Options'!$B:$B,E$147,'BSE - SENSEX Index Options'!$H:$H,"Monthly*")+SUMIFS('BSE - Other Index Options'!$L:$L,'BSE - Other Index Options'!$C:$C,$A252,'BSE - Other Index Options'!$B:$B,E$147,'BSE - Other Index Options'!$H:$H,"Monthly*")=0,"",SUMIFS('BSE - SENSEX Index Options'!$L:$L,'BSE - SENSEX Index Options'!$C:$C,$A252,'BSE - SENSEX Index Options'!$B:$B,E$147,'BSE - SENSEX Index Options'!$H:$H,"Monthly*")+SUMIFS('BSE - Other Index Options'!$L:$L,'BSE - Other Index Options'!$C:$C,$A252,'BSE - Other Index Options'!$B:$B,E$147,'BSE - Other Index Options'!$H:$H,"Monthly*"))</f>
        <v/>
      </c>
      <c r="F252" s="26" t="str">
        <f>IF(SUMIFS('BSE - SENSEX Index Options'!$L:$L,'BSE - SENSEX Index Options'!$C:$C,$A252,'BSE - SENSEX Index Options'!$B:$B,F$147,'BSE - SENSEX Index Options'!$H:$H,"Monthly*")+SUMIFS('BSE - Other Index Options'!$L:$L,'BSE - Other Index Options'!$C:$C,$A252,'BSE - Other Index Options'!$B:$B,F$147,'BSE - Other Index Options'!$H:$H,"Monthly*")=0,"",SUMIFS('BSE - SENSEX Index Options'!$L:$L,'BSE - SENSEX Index Options'!$C:$C,$A252,'BSE - SENSEX Index Options'!$B:$B,F$147,'BSE - SENSEX Index Options'!$H:$H,"Monthly*")+SUMIFS('BSE - Other Index Options'!$L:$L,'BSE - Other Index Options'!$C:$C,$A252,'BSE - Other Index Options'!$B:$B,F$147,'BSE - Other Index Options'!$H:$H,"Monthly*"))</f>
        <v/>
      </c>
      <c r="G252" s="26" t="str">
        <f>IF(SUMIFS('BSE - SENSEX Index Options'!$L:$L,'BSE - SENSEX Index Options'!$C:$C,$A252,'BSE - SENSEX Index Options'!$B:$B,G$147,'BSE - SENSEX Index Options'!$H:$H,"Monthly*")+SUMIFS('BSE - Other Index Options'!$L:$L,'BSE - Other Index Options'!$C:$C,$A252,'BSE - Other Index Options'!$B:$B,G$147,'BSE - Other Index Options'!$H:$H,"Monthly*")=0,"",SUMIFS('BSE - SENSEX Index Options'!$L:$L,'BSE - SENSEX Index Options'!$C:$C,$A252,'BSE - SENSEX Index Options'!$B:$B,G$147,'BSE - SENSEX Index Options'!$H:$H,"Monthly*")+SUMIFS('BSE - Other Index Options'!$L:$L,'BSE - Other Index Options'!$C:$C,$A252,'BSE - Other Index Options'!$B:$B,G$147,'BSE - Other Index Options'!$H:$H,"Monthly*"))</f>
        <v/>
      </c>
      <c r="H252" s="26" t="str">
        <f t="shared" si="9"/>
        <v/>
      </c>
    </row>
    <row r="253" spans="1:8" hidden="1" outlineLevel="1">
      <c r="A253" t="s">
        <v>115</v>
      </c>
      <c r="B253" s="26" t="str">
        <f>IF(SUMIFS('BSE - SENSEX Index Options'!$L:$L,'BSE - SENSEX Index Options'!$C:$C,$A253,'BSE - SENSEX Index Options'!$B:$B,B$147,'BSE - SENSEX Index Options'!$H:$H,"Monthly*")+SUMIFS('BSE - Other Index Options'!$L:$L,'BSE - Other Index Options'!$C:$C,$A253,'BSE - Other Index Options'!$B:$B,B$147,'BSE - Other Index Options'!$H:$H,"Monthly*")=0,"",SUMIFS('BSE - SENSEX Index Options'!$L:$L,'BSE - SENSEX Index Options'!$C:$C,$A253,'BSE - SENSEX Index Options'!$B:$B,B$147,'BSE - SENSEX Index Options'!$H:$H,"Monthly*")+SUMIFS('BSE - Other Index Options'!$L:$L,'BSE - Other Index Options'!$C:$C,$A253,'BSE - Other Index Options'!$B:$B,B$147,'BSE - Other Index Options'!$H:$H,"Monthly*"))</f>
        <v/>
      </c>
      <c r="C253" s="26" t="str">
        <f>IF(SUMIFS('BSE - SENSEX Index Options'!$L:$L,'BSE - SENSEX Index Options'!$C:$C,$A253,'BSE - SENSEX Index Options'!$B:$B,C$147,'BSE - SENSEX Index Options'!$H:$H,"Monthly*")+SUMIFS('BSE - Other Index Options'!$L:$L,'BSE - Other Index Options'!$C:$C,$A253,'BSE - Other Index Options'!$B:$B,C$147,'BSE - Other Index Options'!$H:$H,"Monthly*")=0,"",SUMIFS('BSE - SENSEX Index Options'!$L:$L,'BSE - SENSEX Index Options'!$C:$C,$A253,'BSE - SENSEX Index Options'!$B:$B,C$147,'BSE - SENSEX Index Options'!$H:$H,"Monthly*")+SUMIFS('BSE - Other Index Options'!$L:$L,'BSE - Other Index Options'!$C:$C,$A253,'BSE - Other Index Options'!$B:$B,C$147,'BSE - Other Index Options'!$H:$H,"Monthly*"))</f>
        <v/>
      </c>
      <c r="D253" s="26" t="str">
        <f>IF(SUMIFS('BSE - SENSEX Index Options'!$L:$L,'BSE - SENSEX Index Options'!$C:$C,$A253,'BSE - SENSEX Index Options'!$B:$B,D$147,'BSE - SENSEX Index Options'!$H:$H,"Monthly*")+SUMIFS('BSE - Other Index Options'!$L:$L,'BSE - Other Index Options'!$C:$C,$A253,'BSE - Other Index Options'!$B:$B,D$147,'BSE - Other Index Options'!$H:$H,"Monthly*")=0,"",SUMIFS('BSE - SENSEX Index Options'!$L:$L,'BSE - SENSEX Index Options'!$C:$C,$A253,'BSE - SENSEX Index Options'!$B:$B,D$147,'BSE - SENSEX Index Options'!$H:$H,"Monthly*")+SUMIFS('BSE - Other Index Options'!$L:$L,'BSE - Other Index Options'!$C:$C,$A253,'BSE - Other Index Options'!$B:$B,D$147,'BSE - Other Index Options'!$H:$H,"Monthly*"))</f>
        <v/>
      </c>
      <c r="E253" s="26" t="str">
        <f>IF(SUMIFS('BSE - SENSEX Index Options'!$L:$L,'BSE - SENSEX Index Options'!$C:$C,$A253,'BSE - SENSEX Index Options'!$B:$B,E$147,'BSE - SENSEX Index Options'!$H:$H,"Monthly*")+SUMIFS('BSE - Other Index Options'!$L:$L,'BSE - Other Index Options'!$C:$C,$A253,'BSE - Other Index Options'!$B:$B,E$147,'BSE - Other Index Options'!$H:$H,"Monthly*")=0,"",SUMIFS('BSE - SENSEX Index Options'!$L:$L,'BSE - SENSEX Index Options'!$C:$C,$A253,'BSE - SENSEX Index Options'!$B:$B,E$147,'BSE - SENSEX Index Options'!$H:$H,"Monthly*")+SUMIFS('BSE - Other Index Options'!$L:$L,'BSE - Other Index Options'!$C:$C,$A253,'BSE - Other Index Options'!$B:$B,E$147,'BSE - Other Index Options'!$H:$H,"Monthly*"))</f>
        <v/>
      </c>
      <c r="F253" s="26" t="str">
        <f>IF(SUMIFS('BSE - SENSEX Index Options'!$L:$L,'BSE - SENSEX Index Options'!$C:$C,$A253,'BSE - SENSEX Index Options'!$B:$B,F$147,'BSE - SENSEX Index Options'!$H:$H,"Monthly*")+SUMIFS('BSE - Other Index Options'!$L:$L,'BSE - Other Index Options'!$C:$C,$A253,'BSE - Other Index Options'!$B:$B,F$147,'BSE - Other Index Options'!$H:$H,"Monthly*")=0,"",SUMIFS('BSE - SENSEX Index Options'!$L:$L,'BSE - SENSEX Index Options'!$C:$C,$A253,'BSE - SENSEX Index Options'!$B:$B,F$147,'BSE - SENSEX Index Options'!$H:$H,"Monthly*")+SUMIFS('BSE - Other Index Options'!$L:$L,'BSE - Other Index Options'!$C:$C,$A253,'BSE - Other Index Options'!$B:$B,F$147,'BSE - Other Index Options'!$H:$H,"Monthly*"))</f>
        <v/>
      </c>
      <c r="G253" s="26" t="str">
        <f>IF(SUMIFS('BSE - SENSEX Index Options'!$L:$L,'BSE - SENSEX Index Options'!$C:$C,$A253,'BSE - SENSEX Index Options'!$B:$B,G$147,'BSE - SENSEX Index Options'!$H:$H,"Monthly*")+SUMIFS('BSE - Other Index Options'!$L:$L,'BSE - Other Index Options'!$C:$C,$A253,'BSE - Other Index Options'!$B:$B,G$147,'BSE - Other Index Options'!$H:$H,"Monthly*")=0,"",SUMIFS('BSE - SENSEX Index Options'!$L:$L,'BSE - SENSEX Index Options'!$C:$C,$A253,'BSE - SENSEX Index Options'!$B:$B,G$147,'BSE - SENSEX Index Options'!$H:$H,"Monthly*")+SUMIFS('BSE - Other Index Options'!$L:$L,'BSE - Other Index Options'!$C:$C,$A253,'BSE - Other Index Options'!$B:$B,G$147,'BSE - Other Index Options'!$H:$H,"Monthly*"))</f>
        <v/>
      </c>
      <c r="H253" s="26" t="str">
        <f t="shared" si="9"/>
        <v/>
      </c>
    </row>
    <row r="254" spans="1:8" hidden="1" outlineLevel="1">
      <c r="A254" t="s">
        <v>116</v>
      </c>
      <c r="B254" s="26" t="str">
        <f>IF(SUMIFS('BSE - SENSEX Index Options'!$L:$L,'BSE - SENSEX Index Options'!$C:$C,$A254,'BSE - SENSEX Index Options'!$B:$B,B$147,'BSE - SENSEX Index Options'!$H:$H,"Monthly*")+SUMIFS('BSE - Other Index Options'!$L:$L,'BSE - Other Index Options'!$C:$C,$A254,'BSE - Other Index Options'!$B:$B,B$147,'BSE - Other Index Options'!$H:$H,"Monthly*")=0,"",SUMIFS('BSE - SENSEX Index Options'!$L:$L,'BSE - SENSEX Index Options'!$C:$C,$A254,'BSE - SENSEX Index Options'!$B:$B,B$147,'BSE - SENSEX Index Options'!$H:$H,"Monthly*")+SUMIFS('BSE - Other Index Options'!$L:$L,'BSE - Other Index Options'!$C:$C,$A254,'BSE - Other Index Options'!$B:$B,B$147,'BSE - Other Index Options'!$H:$H,"Monthly*"))</f>
        <v/>
      </c>
      <c r="C254" s="26" t="str">
        <f>IF(SUMIFS('BSE - SENSEX Index Options'!$L:$L,'BSE - SENSEX Index Options'!$C:$C,$A254,'BSE - SENSEX Index Options'!$B:$B,C$147,'BSE - SENSEX Index Options'!$H:$H,"Monthly*")+SUMIFS('BSE - Other Index Options'!$L:$L,'BSE - Other Index Options'!$C:$C,$A254,'BSE - Other Index Options'!$B:$B,C$147,'BSE - Other Index Options'!$H:$H,"Monthly*")=0,"",SUMIFS('BSE - SENSEX Index Options'!$L:$L,'BSE - SENSEX Index Options'!$C:$C,$A254,'BSE - SENSEX Index Options'!$B:$B,C$147,'BSE - SENSEX Index Options'!$H:$H,"Monthly*")+SUMIFS('BSE - Other Index Options'!$L:$L,'BSE - Other Index Options'!$C:$C,$A254,'BSE - Other Index Options'!$B:$B,C$147,'BSE - Other Index Options'!$H:$H,"Monthly*"))</f>
        <v/>
      </c>
      <c r="D254" s="26" t="str">
        <f>IF(SUMIFS('BSE - SENSEX Index Options'!$L:$L,'BSE - SENSEX Index Options'!$C:$C,$A254,'BSE - SENSEX Index Options'!$B:$B,D$147,'BSE - SENSEX Index Options'!$H:$H,"Monthly*")+SUMIFS('BSE - Other Index Options'!$L:$L,'BSE - Other Index Options'!$C:$C,$A254,'BSE - Other Index Options'!$B:$B,D$147,'BSE - Other Index Options'!$H:$H,"Monthly*")=0,"",SUMIFS('BSE - SENSEX Index Options'!$L:$L,'BSE - SENSEX Index Options'!$C:$C,$A254,'BSE - SENSEX Index Options'!$B:$B,D$147,'BSE - SENSEX Index Options'!$H:$H,"Monthly*")+SUMIFS('BSE - Other Index Options'!$L:$L,'BSE - Other Index Options'!$C:$C,$A254,'BSE - Other Index Options'!$B:$B,D$147,'BSE - Other Index Options'!$H:$H,"Monthly*"))</f>
        <v/>
      </c>
      <c r="E254" s="26" t="str">
        <f>IF(SUMIFS('BSE - SENSEX Index Options'!$L:$L,'BSE - SENSEX Index Options'!$C:$C,$A254,'BSE - SENSEX Index Options'!$B:$B,E$147,'BSE - SENSEX Index Options'!$H:$H,"Monthly*")+SUMIFS('BSE - Other Index Options'!$L:$L,'BSE - Other Index Options'!$C:$C,$A254,'BSE - Other Index Options'!$B:$B,E$147,'BSE - Other Index Options'!$H:$H,"Monthly*")=0,"",SUMIFS('BSE - SENSEX Index Options'!$L:$L,'BSE - SENSEX Index Options'!$C:$C,$A254,'BSE - SENSEX Index Options'!$B:$B,E$147,'BSE - SENSEX Index Options'!$H:$H,"Monthly*")+SUMIFS('BSE - Other Index Options'!$L:$L,'BSE - Other Index Options'!$C:$C,$A254,'BSE - Other Index Options'!$B:$B,E$147,'BSE - Other Index Options'!$H:$H,"Monthly*"))</f>
        <v/>
      </c>
      <c r="F254" s="26" t="str">
        <f>IF(SUMIFS('BSE - SENSEX Index Options'!$L:$L,'BSE - SENSEX Index Options'!$C:$C,$A254,'BSE - SENSEX Index Options'!$B:$B,F$147,'BSE - SENSEX Index Options'!$H:$H,"Monthly*")+SUMIFS('BSE - Other Index Options'!$L:$L,'BSE - Other Index Options'!$C:$C,$A254,'BSE - Other Index Options'!$B:$B,F$147,'BSE - Other Index Options'!$H:$H,"Monthly*")=0,"",SUMIFS('BSE - SENSEX Index Options'!$L:$L,'BSE - SENSEX Index Options'!$C:$C,$A254,'BSE - SENSEX Index Options'!$B:$B,F$147,'BSE - SENSEX Index Options'!$H:$H,"Monthly*")+SUMIFS('BSE - Other Index Options'!$L:$L,'BSE - Other Index Options'!$C:$C,$A254,'BSE - Other Index Options'!$B:$B,F$147,'BSE - Other Index Options'!$H:$H,"Monthly*"))</f>
        <v/>
      </c>
      <c r="G254" s="26" t="str">
        <f>IF(SUMIFS('BSE - SENSEX Index Options'!$L:$L,'BSE - SENSEX Index Options'!$C:$C,$A254,'BSE - SENSEX Index Options'!$B:$B,G$147,'BSE - SENSEX Index Options'!$H:$H,"Monthly*")+SUMIFS('BSE - Other Index Options'!$L:$L,'BSE - Other Index Options'!$C:$C,$A254,'BSE - Other Index Options'!$B:$B,G$147,'BSE - Other Index Options'!$H:$H,"Monthly*")=0,"",SUMIFS('BSE - SENSEX Index Options'!$L:$L,'BSE - SENSEX Index Options'!$C:$C,$A254,'BSE - SENSEX Index Options'!$B:$B,G$147,'BSE - SENSEX Index Options'!$H:$H,"Monthly*")+SUMIFS('BSE - Other Index Options'!$L:$L,'BSE - Other Index Options'!$C:$C,$A254,'BSE - Other Index Options'!$B:$B,G$147,'BSE - Other Index Options'!$H:$H,"Monthly*"))</f>
        <v/>
      </c>
      <c r="H254" s="26" t="str">
        <f t="shared" si="9"/>
        <v/>
      </c>
    </row>
    <row r="255" spans="1:8" hidden="1" outlineLevel="1">
      <c r="A255" t="s">
        <v>117</v>
      </c>
      <c r="B255" s="26" t="str">
        <f>IF(SUMIFS('BSE - SENSEX Index Options'!$L:$L,'BSE - SENSEX Index Options'!$C:$C,$A255,'BSE - SENSEX Index Options'!$B:$B,B$147,'BSE - SENSEX Index Options'!$H:$H,"Monthly*")+SUMIFS('BSE - Other Index Options'!$L:$L,'BSE - Other Index Options'!$C:$C,$A255,'BSE - Other Index Options'!$B:$B,B$147,'BSE - Other Index Options'!$H:$H,"Monthly*")=0,"",SUMIFS('BSE - SENSEX Index Options'!$L:$L,'BSE - SENSEX Index Options'!$C:$C,$A255,'BSE - SENSEX Index Options'!$B:$B,B$147,'BSE - SENSEX Index Options'!$H:$H,"Monthly*")+SUMIFS('BSE - Other Index Options'!$L:$L,'BSE - Other Index Options'!$C:$C,$A255,'BSE - Other Index Options'!$B:$B,B$147,'BSE - Other Index Options'!$H:$H,"Monthly*"))</f>
        <v/>
      </c>
      <c r="C255" s="26" t="str">
        <f>IF(SUMIFS('BSE - SENSEX Index Options'!$L:$L,'BSE - SENSEX Index Options'!$C:$C,$A255,'BSE - SENSEX Index Options'!$B:$B,C$147,'BSE - SENSEX Index Options'!$H:$H,"Monthly*")+SUMIFS('BSE - Other Index Options'!$L:$L,'BSE - Other Index Options'!$C:$C,$A255,'BSE - Other Index Options'!$B:$B,C$147,'BSE - Other Index Options'!$H:$H,"Monthly*")=0,"",SUMIFS('BSE - SENSEX Index Options'!$L:$L,'BSE - SENSEX Index Options'!$C:$C,$A255,'BSE - SENSEX Index Options'!$B:$B,C$147,'BSE - SENSEX Index Options'!$H:$H,"Monthly*")+SUMIFS('BSE - Other Index Options'!$L:$L,'BSE - Other Index Options'!$C:$C,$A255,'BSE - Other Index Options'!$B:$B,C$147,'BSE - Other Index Options'!$H:$H,"Monthly*"))</f>
        <v/>
      </c>
      <c r="D255" s="26" t="str">
        <f>IF(SUMIFS('BSE - SENSEX Index Options'!$L:$L,'BSE - SENSEX Index Options'!$C:$C,$A255,'BSE - SENSEX Index Options'!$B:$B,D$147,'BSE - SENSEX Index Options'!$H:$H,"Monthly*")+SUMIFS('BSE - Other Index Options'!$L:$L,'BSE - Other Index Options'!$C:$C,$A255,'BSE - Other Index Options'!$B:$B,D$147,'BSE - Other Index Options'!$H:$H,"Monthly*")=0,"",SUMIFS('BSE - SENSEX Index Options'!$L:$L,'BSE - SENSEX Index Options'!$C:$C,$A255,'BSE - SENSEX Index Options'!$B:$B,D$147,'BSE - SENSEX Index Options'!$H:$H,"Monthly*")+SUMIFS('BSE - Other Index Options'!$L:$L,'BSE - Other Index Options'!$C:$C,$A255,'BSE - Other Index Options'!$B:$B,D$147,'BSE - Other Index Options'!$H:$H,"Monthly*"))</f>
        <v/>
      </c>
      <c r="E255" s="26" t="str">
        <f>IF(SUMIFS('BSE - SENSEX Index Options'!$L:$L,'BSE - SENSEX Index Options'!$C:$C,$A255,'BSE - SENSEX Index Options'!$B:$B,E$147,'BSE - SENSEX Index Options'!$H:$H,"Monthly*")+SUMIFS('BSE - Other Index Options'!$L:$L,'BSE - Other Index Options'!$C:$C,$A255,'BSE - Other Index Options'!$B:$B,E$147,'BSE - Other Index Options'!$H:$H,"Monthly*")=0,"",SUMIFS('BSE - SENSEX Index Options'!$L:$L,'BSE - SENSEX Index Options'!$C:$C,$A255,'BSE - SENSEX Index Options'!$B:$B,E$147,'BSE - SENSEX Index Options'!$H:$H,"Monthly*")+SUMIFS('BSE - Other Index Options'!$L:$L,'BSE - Other Index Options'!$C:$C,$A255,'BSE - Other Index Options'!$B:$B,E$147,'BSE - Other Index Options'!$H:$H,"Monthly*"))</f>
        <v/>
      </c>
      <c r="F255" s="26" t="str">
        <f>IF(SUMIFS('BSE - SENSEX Index Options'!$L:$L,'BSE - SENSEX Index Options'!$C:$C,$A255,'BSE - SENSEX Index Options'!$B:$B,F$147,'BSE - SENSEX Index Options'!$H:$H,"Monthly*")+SUMIFS('BSE - Other Index Options'!$L:$L,'BSE - Other Index Options'!$C:$C,$A255,'BSE - Other Index Options'!$B:$B,F$147,'BSE - Other Index Options'!$H:$H,"Monthly*")=0,"",SUMIFS('BSE - SENSEX Index Options'!$L:$L,'BSE - SENSEX Index Options'!$C:$C,$A255,'BSE - SENSEX Index Options'!$B:$B,F$147,'BSE - SENSEX Index Options'!$H:$H,"Monthly*")+SUMIFS('BSE - Other Index Options'!$L:$L,'BSE - Other Index Options'!$C:$C,$A255,'BSE - Other Index Options'!$B:$B,F$147,'BSE - Other Index Options'!$H:$H,"Monthly*"))</f>
        <v/>
      </c>
      <c r="G255" s="26" t="str">
        <f>IF(SUMIFS('BSE - SENSEX Index Options'!$L:$L,'BSE - SENSEX Index Options'!$C:$C,$A255,'BSE - SENSEX Index Options'!$B:$B,G$147,'BSE - SENSEX Index Options'!$H:$H,"Monthly*")+SUMIFS('BSE - Other Index Options'!$L:$L,'BSE - Other Index Options'!$C:$C,$A255,'BSE - Other Index Options'!$B:$B,G$147,'BSE - Other Index Options'!$H:$H,"Monthly*")=0,"",SUMIFS('BSE - SENSEX Index Options'!$L:$L,'BSE - SENSEX Index Options'!$C:$C,$A255,'BSE - SENSEX Index Options'!$B:$B,G$147,'BSE - SENSEX Index Options'!$H:$H,"Monthly*")+SUMIFS('BSE - Other Index Options'!$L:$L,'BSE - Other Index Options'!$C:$C,$A255,'BSE - Other Index Options'!$B:$B,G$147,'BSE - Other Index Options'!$H:$H,"Monthly*"))</f>
        <v/>
      </c>
      <c r="H255" s="26" t="str">
        <f t="shared" si="9"/>
        <v/>
      </c>
    </row>
    <row r="256" spans="1:8" hidden="1" outlineLevel="1">
      <c r="A256" t="s">
        <v>118</v>
      </c>
      <c r="B256" s="26" t="str">
        <f>IF(SUMIFS('BSE - SENSEX Index Options'!$L:$L,'BSE - SENSEX Index Options'!$C:$C,$A256,'BSE - SENSEX Index Options'!$B:$B,B$147,'BSE - SENSEX Index Options'!$H:$H,"Monthly*")+SUMIFS('BSE - Other Index Options'!$L:$L,'BSE - Other Index Options'!$C:$C,$A256,'BSE - Other Index Options'!$B:$B,B$147,'BSE - Other Index Options'!$H:$H,"Monthly*")=0,"",SUMIFS('BSE - SENSEX Index Options'!$L:$L,'BSE - SENSEX Index Options'!$C:$C,$A256,'BSE - SENSEX Index Options'!$B:$B,B$147,'BSE - SENSEX Index Options'!$H:$H,"Monthly*")+SUMIFS('BSE - Other Index Options'!$L:$L,'BSE - Other Index Options'!$C:$C,$A256,'BSE - Other Index Options'!$B:$B,B$147,'BSE - Other Index Options'!$H:$H,"Monthly*"))</f>
        <v/>
      </c>
      <c r="C256" s="26" t="str">
        <f>IF(SUMIFS('BSE - SENSEX Index Options'!$L:$L,'BSE - SENSEX Index Options'!$C:$C,$A256,'BSE - SENSEX Index Options'!$B:$B,C$147,'BSE - SENSEX Index Options'!$H:$H,"Monthly*")+SUMIFS('BSE - Other Index Options'!$L:$L,'BSE - Other Index Options'!$C:$C,$A256,'BSE - Other Index Options'!$B:$B,C$147,'BSE - Other Index Options'!$H:$H,"Monthly*")=0,"",SUMIFS('BSE - SENSEX Index Options'!$L:$L,'BSE - SENSEX Index Options'!$C:$C,$A256,'BSE - SENSEX Index Options'!$B:$B,C$147,'BSE - SENSEX Index Options'!$H:$H,"Monthly*")+SUMIFS('BSE - Other Index Options'!$L:$L,'BSE - Other Index Options'!$C:$C,$A256,'BSE - Other Index Options'!$B:$B,C$147,'BSE - Other Index Options'!$H:$H,"Monthly*"))</f>
        <v/>
      </c>
      <c r="D256" s="26" t="str">
        <f>IF(SUMIFS('BSE - SENSEX Index Options'!$L:$L,'BSE - SENSEX Index Options'!$C:$C,$A256,'BSE - SENSEX Index Options'!$B:$B,D$147,'BSE - SENSEX Index Options'!$H:$H,"Monthly*")+SUMIFS('BSE - Other Index Options'!$L:$L,'BSE - Other Index Options'!$C:$C,$A256,'BSE - Other Index Options'!$B:$B,D$147,'BSE - Other Index Options'!$H:$H,"Monthly*")=0,"",SUMIFS('BSE - SENSEX Index Options'!$L:$L,'BSE - SENSEX Index Options'!$C:$C,$A256,'BSE - SENSEX Index Options'!$B:$B,D$147,'BSE - SENSEX Index Options'!$H:$H,"Monthly*")+SUMIFS('BSE - Other Index Options'!$L:$L,'BSE - Other Index Options'!$C:$C,$A256,'BSE - Other Index Options'!$B:$B,D$147,'BSE - Other Index Options'!$H:$H,"Monthly*"))</f>
        <v/>
      </c>
      <c r="E256" s="26" t="str">
        <f>IF(SUMIFS('BSE - SENSEX Index Options'!$L:$L,'BSE - SENSEX Index Options'!$C:$C,$A256,'BSE - SENSEX Index Options'!$B:$B,E$147,'BSE - SENSEX Index Options'!$H:$H,"Monthly*")+SUMIFS('BSE - Other Index Options'!$L:$L,'BSE - Other Index Options'!$C:$C,$A256,'BSE - Other Index Options'!$B:$B,E$147,'BSE - Other Index Options'!$H:$H,"Monthly*")=0,"",SUMIFS('BSE - SENSEX Index Options'!$L:$L,'BSE - SENSEX Index Options'!$C:$C,$A256,'BSE - SENSEX Index Options'!$B:$B,E$147,'BSE - SENSEX Index Options'!$H:$H,"Monthly*")+SUMIFS('BSE - Other Index Options'!$L:$L,'BSE - Other Index Options'!$C:$C,$A256,'BSE - Other Index Options'!$B:$B,E$147,'BSE - Other Index Options'!$H:$H,"Monthly*"))</f>
        <v/>
      </c>
      <c r="F256" s="26" t="str">
        <f>IF(SUMIFS('BSE - SENSEX Index Options'!$L:$L,'BSE - SENSEX Index Options'!$C:$C,$A256,'BSE - SENSEX Index Options'!$B:$B,F$147,'BSE - SENSEX Index Options'!$H:$H,"Monthly*")+SUMIFS('BSE - Other Index Options'!$L:$L,'BSE - Other Index Options'!$C:$C,$A256,'BSE - Other Index Options'!$B:$B,F$147,'BSE - Other Index Options'!$H:$H,"Monthly*")=0,"",SUMIFS('BSE - SENSEX Index Options'!$L:$L,'BSE - SENSEX Index Options'!$C:$C,$A256,'BSE - SENSEX Index Options'!$B:$B,F$147,'BSE - SENSEX Index Options'!$H:$H,"Monthly*")+SUMIFS('BSE - Other Index Options'!$L:$L,'BSE - Other Index Options'!$C:$C,$A256,'BSE - Other Index Options'!$B:$B,F$147,'BSE - Other Index Options'!$H:$H,"Monthly*"))</f>
        <v/>
      </c>
      <c r="G256" s="26" t="str">
        <f>IF(SUMIFS('BSE - SENSEX Index Options'!$L:$L,'BSE - SENSEX Index Options'!$C:$C,$A256,'BSE - SENSEX Index Options'!$B:$B,G$147,'BSE - SENSEX Index Options'!$H:$H,"Monthly*")+SUMIFS('BSE - Other Index Options'!$L:$L,'BSE - Other Index Options'!$C:$C,$A256,'BSE - Other Index Options'!$B:$B,G$147,'BSE - Other Index Options'!$H:$H,"Monthly*")=0,"",SUMIFS('BSE - SENSEX Index Options'!$L:$L,'BSE - SENSEX Index Options'!$C:$C,$A256,'BSE - SENSEX Index Options'!$B:$B,G$147,'BSE - SENSEX Index Options'!$H:$H,"Monthly*")+SUMIFS('BSE - Other Index Options'!$L:$L,'BSE - Other Index Options'!$C:$C,$A256,'BSE - Other Index Options'!$B:$B,G$147,'BSE - Other Index Options'!$H:$H,"Monthly*"))</f>
        <v/>
      </c>
      <c r="H256" s="26" t="str">
        <f t="shared" si="9"/>
        <v/>
      </c>
    </row>
    <row r="257" spans="1:8" hidden="1" outlineLevel="1">
      <c r="A257" t="s">
        <v>119</v>
      </c>
      <c r="B257" s="26" t="str">
        <f>IF(SUMIFS('BSE - SENSEX Index Options'!$L:$L,'BSE - SENSEX Index Options'!$C:$C,$A257,'BSE - SENSEX Index Options'!$B:$B,B$147,'BSE - SENSEX Index Options'!$H:$H,"Monthly*")+SUMIFS('BSE - Other Index Options'!$L:$L,'BSE - Other Index Options'!$C:$C,$A257,'BSE - Other Index Options'!$B:$B,B$147,'BSE - Other Index Options'!$H:$H,"Monthly*")=0,"",SUMIFS('BSE - SENSEX Index Options'!$L:$L,'BSE - SENSEX Index Options'!$C:$C,$A257,'BSE - SENSEX Index Options'!$B:$B,B$147,'BSE - SENSEX Index Options'!$H:$H,"Monthly*")+SUMIFS('BSE - Other Index Options'!$L:$L,'BSE - Other Index Options'!$C:$C,$A257,'BSE - Other Index Options'!$B:$B,B$147,'BSE - Other Index Options'!$H:$H,"Monthly*"))</f>
        <v/>
      </c>
      <c r="C257" s="26" t="str">
        <f>IF(SUMIFS('BSE - SENSEX Index Options'!$L:$L,'BSE - SENSEX Index Options'!$C:$C,$A257,'BSE - SENSEX Index Options'!$B:$B,C$147,'BSE - SENSEX Index Options'!$H:$H,"Monthly*")+SUMIFS('BSE - Other Index Options'!$L:$L,'BSE - Other Index Options'!$C:$C,$A257,'BSE - Other Index Options'!$B:$B,C$147,'BSE - Other Index Options'!$H:$H,"Monthly*")=0,"",SUMIFS('BSE - SENSEX Index Options'!$L:$L,'BSE - SENSEX Index Options'!$C:$C,$A257,'BSE - SENSEX Index Options'!$B:$B,C$147,'BSE - SENSEX Index Options'!$H:$H,"Monthly*")+SUMIFS('BSE - Other Index Options'!$L:$L,'BSE - Other Index Options'!$C:$C,$A257,'BSE - Other Index Options'!$B:$B,C$147,'BSE - Other Index Options'!$H:$H,"Monthly*"))</f>
        <v/>
      </c>
      <c r="D257" s="26" t="str">
        <f>IF(SUMIFS('BSE - SENSEX Index Options'!$L:$L,'BSE - SENSEX Index Options'!$C:$C,$A257,'BSE - SENSEX Index Options'!$B:$B,D$147,'BSE - SENSEX Index Options'!$H:$H,"Monthly*")+SUMIFS('BSE - Other Index Options'!$L:$L,'BSE - Other Index Options'!$C:$C,$A257,'BSE - Other Index Options'!$B:$B,D$147,'BSE - Other Index Options'!$H:$H,"Monthly*")=0,"",SUMIFS('BSE - SENSEX Index Options'!$L:$L,'BSE - SENSEX Index Options'!$C:$C,$A257,'BSE - SENSEX Index Options'!$B:$B,D$147,'BSE - SENSEX Index Options'!$H:$H,"Monthly*")+SUMIFS('BSE - Other Index Options'!$L:$L,'BSE - Other Index Options'!$C:$C,$A257,'BSE - Other Index Options'!$B:$B,D$147,'BSE - Other Index Options'!$H:$H,"Monthly*"))</f>
        <v/>
      </c>
      <c r="E257" s="26" t="str">
        <f>IF(SUMIFS('BSE - SENSEX Index Options'!$L:$L,'BSE - SENSEX Index Options'!$C:$C,$A257,'BSE - SENSEX Index Options'!$B:$B,E$147,'BSE - SENSEX Index Options'!$H:$H,"Monthly*")+SUMIFS('BSE - Other Index Options'!$L:$L,'BSE - Other Index Options'!$C:$C,$A257,'BSE - Other Index Options'!$B:$B,E$147,'BSE - Other Index Options'!$H:$H,"Monthly*")=0,"",SUMIFS('BSE - SENSEX Index Options'!$L:$L,'BSE - SENSEX Index Options'!$C:$C,$A257,'BSE - SENSEX Index Options'!$B:$B,E$147,'BSE - SENSEX Index Options'!$H:$H,"Monthly*")+SUMIFS('BSE - Other Index Options'!$L:$L,'BSE - Other Index Options'!$C:$C,$A257,'BSE - Other Index Options'!$B:$B,E$147,'BSE - Other Index Options'!$H:$H,"Monthly*"))</f>
        <v/>
      </c>
      <c r="F257" s="26" t="str">
        <f>IF(SUMIFS('BSE - SENSEX Index Options'!$L:$L,'BSE - SENSEX Index Options'!$C:$C,$A257,'BSE - SENSEX Index Options'!$B:$B,F$147,'BSE - SENSEX Index Options'!$H:$H,"Monthly*")+SUMIFS('BSE - Other Index Options'!$L:$L,'BSE - Other Index Options'!$C:$C,$A257,'BSE - Other Index Options'!$B:$B,F$147,'BSE - Other Index Options'!$H:$H,"Monthly*")=0,"",SUMIFS('BSE - SENSEX Index Options'!$L:$L,'BSE - SENSEX Index Options'!$C:$C,$A257,'BSE - SENSEX Index Options'!$B:$B,F$147,'BSE - SENSEX Index Options'!$H:$H,"Monthly*")+SUMIFS('BSE - Other Index Options'!$L:$L,'BSE - Other Index Options'!$C:$C,$A257,'BSE - Other Index Options'!$B:$B,F$147,'BSE - Other Index Options'!$H:$H,"Monthly*"))</f>
        <v/>
      </c>
      <c r="G257" s="26" t="str">
        <f>IF(SUMIFS('BSE - SENSEX Index Options'!$L:$L,'BSE - SENSEX Index Options'!$C:$C,$A257,'BSE - SENSEX Index Options'!$B:$B,G$147,'BSE - SENSEX Index Options'!$H:$H,"Monthly*")+SUMIFS('BSE - Other Index Options'!$L:$L,'BSE - Other Index Options'!$C:$C,$A257,'BSE - Other Index Options'!$B:$B,G$147,'BSE - Other Index Options'!$H:$H,"Monthly*")=0,"",SUMIFS('BSE - SENSEX Index Options'!$L:$L,'BSE - SENSEX Index Options'!$C:$C,$A257,'BSE - SENSEX Index Options'!$B:$B,G$147,'BSE - SENSEX Index Options'!$H:$H,"Monthly*")+SUMIFS('BSE - Other Index Options'!$L:$L,'BSE - Other Index Options'!$C:$C,$A257,'BSE - Other Index Options'!$B:$B,G$147,'BSE - Other Index Options'!$H:$H,"Monthly*"))</f>
        <v/>
      </c>
      <c r="H257" s="26" t="str">
        <f t="shared" si="9"/>
        <v/>
      </c>
    </row>
    <row r="258" spans="1:8" hidden="1" outlineLevel="1">
      <c r="A258" t="s">
        <v>120</v>
      </c>
      <c r="B258" s="26" t="str">
        <f>IF(SUMIFS('BSE - SENSEX Index Options'!$L:$L,'BSE - SENSEX Index Options'!$C:$C,$A258,'BSE - SENSEX Index Options'!$B:$B,B$147,'BSE - SENSEX Index Options'!$H:$H,"Monthly*")+SUMIFS('BSE - Other Index Options'!$L:$L,'BSE - Other Index Options'!$C:$C,$A258,'BSE - Other Index Options'!$B:$B,B$147,'BSE - Other Index Options'!$H:$H,"Monthly*")=0,"",SUMIFS('BSE - SENSEX Index Options'!$L:$L,'BSE - SENSEX Index Options'!$C:$C,$A258,'BSE - SENSEX Index Options'!$B:$B,B$147,'BSE - SENSEX Index Options'!$H:$H,"Monthly*")+SUMIFS('BSE - Other Index Options'!$L:$L,'BSE - Other Index Options'!$C:$C,$A258,'BSE - Other Index Options'!$B:$B,B$147,'BSE - Other Index Options'!$H:$H,"Monthly*"))</f>
        <v/>
      </c>
      <c r="C258" s="26" t="str">
        <f>IF(SUMIFS('BSE - SENSEX Index Options'!$L:$L,'BSE - SENSEX Index Options'!$C:$C,$A258,'BSE - SENSEX Index Options'!$B:$B,C$147,'BSE - SENSEX Index Options'!$H:$H,"Monthly*")+SUMIFS('BSE - Other Index Options'!$L:$L,'BSE - Other Index Options'!$C:$C,$A258,'BSE - Other Index Options'!$B:$B,C$147,'BSE - Other Index Options'!$H:$H,"Monthly*")=0,"",SUMIFS('BSE - SENSEX Index Options'!$L:$L,'BSE - SENSEX Index Options'!$C:$C,$A258,'BSE - SENSEX Index Options'!$B:$B,C$147,'BSE - SENSEX Index Options'!$H:$H,"Monthly*")+SUMIFS('BSE - Other Index Options'!$L:$L,'BSE - Other Index Options'!$C:$C,$A258,'BSE - Other Index Options'!$B:$B,C$147,'BSE - Other Index Options'!$H:$H,"Monthly*"))</f>
        <v/>
      </c>
      <c r="D258" s="26" t="str">
        <f>IF(SUMIFS('BSE - SENSEX Index Options'!$L:$L,'BSE - SENSEX Index Options'!$C:$C,$A258,'BSE - SENSEX Index Options'!$B:$B,D$147,'BSE - SENSEX Index Options'!$H:$H,"Monthly*")+SUMIFS('BSE - Other Index Options'!$L:$L,'BSE - Other Index Options'!$C:$C,$A258,'BSE - Other Index Options'!$B:$B,D$147,'BSE - Other Index Options'!$H:$H,"Monthly*")=0,"",SUMIFS('BSE - SENSEX Index Options'!$L:$L,'BSE - SENSEX Index Options'!$C:$C,$A258,'BSE - SENSEX Index Options'!$B:$B,D$147,'BSE - SENSEX Index Options'!$H:$H,"Monthly*")+SUMIFS('BSE - Other Index Options'!$L:$L,'BSE - Other Index Options'!$C:$C,$A258,'BSE - Other Index Options'!$B:$B,D$147,'BSE - Other Index Options'!$H:$H,"Monthly*"))</f>
        <v/>
      </c>
      <c r="E258" s="26" t="str">
        <f>IF(SUMIFS('BSE - SENSEX Index Options'!$L:$L,'BSE - SENSEX Index Options'!$C:$C,$A258,'BSE - SENSEX Index Options'!$B:$B,E$147,'BSE - SENSEX Index Options'!$H:$H,"Monthly*")+SUMIFS('BSE - Other Index Options'!$L:$L,'BSE - Other Index Options'!$C:$C,$A258,'BSE - Other Index Options'!$B:$B,E$147,'BSE - Other Index Options'!$H:$H,"Monthly*")=0,"",SUMIFS('BSE - SENSEX Index Options'!$L:$L,'BSE - SENSEX Index Options'!$C:$C,$A258,'BSE - SENSEX Index Options'!$B:$B,E$147,'BSE - SENSEX Index Options'!$H:$H,"Monthly*")+SUMIFS('BSE - Other Index Options'!$L:$L,'BSE - Other Index Options'!$C:$C,$A258,'BSE - Other Index Options'!$B:$B,E$147,'BSE - Other Index Options'!$H:$H,"Monthly*"))</f>
        <v/>
      </c>
      <c r="F258" s="26" t="str">
        <f>IF(SUMIFS('BSE - SENSEX Index Options'!$L:$L,'BSE - SENSEX Index Options'!$C:$C,$A258,'BSE - SENSEX Index Options'!$B:$B,F$147,'BSE - SENSEX Index Options'!$H:$H,"Monthly*")+SUMIFS('BSE - Other Index Options'!$L:$L,'BSE - Other Index Options'!$C:$C,$A258,'BSE - Other Index Options'!$B:$B,F$147,'BSE - Other Index Options'!$H:$H,"Monthly*")=0,"",SUMIFS('BSE - SENSEX Index Options'!$L:$L,'BSE - SENSEX Index Options'!$C:$C,$A258,'BSE - SENSEX Index Options'!$B:$B,F$147,'BSE - SENSEX Index Options'!$H:$H,"Monthly*")+SUMIFS('BSE - Other Index Options'!$L:$L,'BSE - Other Index Options'!$C:$C,$A258,'BSE - Other Index Options'!$B:$B,F$147,'BSE - Other Index Options'!$H:$H,"Monthly*"))</f>
        <v/>
      </c>
      <c r="G258" s="26" t="str">
        <f>IF(SUMIFS('BSE - SENSEX Index Options'!$L:$L,'BSE - SENSEX Index Options'!$C:$C,$A258,'BSE - SENSEX Index Options'!$B:$B,G$147,'BSE - SENSEX Index Options'!$H:$H,"Monthly*")+SUMIFS('BSE - Other Index Options'!$L:$L,'BSE - Other Index Options'!$C:$C,$A258,'BSE - Other Index Options'!$B:$B,G$147,'BSE - Other Index Options'!$H:$H,"Monthly*")=0,"",SUMIFS('BSE - SENSEX Index Options'!$L:$L,'BSE - SENSEX Index Options'!$C:$C,$A258,'BSE - SENSEX Index Options'!$B:$B,G$147,'BSE - SENSEX Index Options'!$H:$H,"Monthly*")+SUMIFS('BSE - Other Index Options'!$L:$L,'BSE - Other Index Options'!$C:$C,$A258,'BSE - Other Index Options'!$B:$B,G$147,'BSE - Other Index Options'!$H:$H,"Monthly*"))</f>
        <v/>
      </c>
      <c r="H258" s="26" t="str">
        <f t="shared" si="9"/>
        <v/>
      </c>
    </row>
    <row r="259" spans="1:8" hidden="1" outlineLevel="1">
      <c r="A259" t="s">
        <v>121</v>
      </c>
      <c r="B259" s="26" t="str">
        <f>IF(SUMIFS('BSE - SENSEX Index Options'!$L:$L,'BSE - SENSEX Index Options'!$C:$C,$A259,'BSE - SENSEX Index Options'!$B:$B,B$147,'BSE - SENSEX Index Options'!$H:$H,"Monthly*")+SUMIFS('BSE - Other Index Options'!$L:$L,'BSE - Other Index Options'!$C:$C,$A259,'BSE - Other Index Options'!$B:$B,B$147,'BSE - Other Index Options'!$H:$H,"Monthly*")=0,"",SUMIFS('BSE - SENSEX Index Options'!$L:$L,'BSE - SENSEX Index Options'!$C:$C,$A259,'BSE - SENSEX Index Options'!$B:$B,B$147,'BSE - SENSEX Index Options'!$H:$H,"Monthly*")+SUMIFS('BSE - Other Index Options'!$L:$L,'BSE - Other Index Options'!$C:$C,$A259,'BSE - Other Index Options'!$B:$B,B$147,'BSE - Other Index Options'!$H:$H,"Monthly*"))</f>
        <v/>
      </c>
      <c r="C259" s="26" t="str">
        <f>IF(SUMIFS('BSE - SENSEX Index Options'!$L:$L,'BSE - SENSEX Index Options'!$C:$C,$A259,'BSE - SENSEX Index Options'!$B:$B,C$147,'BSE - SENSEX Index Options'!$H:$H,"Monthly*")+SUMIFS('BSE - Other Index Options'!$L:$L,'BSE - Other Index Options'!$C:$C,$A259,'BSE - Other Index Options'!$B:$B,C$147,'BSE - Other Index Options'!$H:$H,"Monthly*")=0,"",SUMIFS('BSE - SENSEX Index Options'!$L:$L,'BSE - SENSEX Index Options'!$C:$C,$A259,'BSE - SENSEX Index Options'!$B:$B,C$147,'BSE - SENSEX Index Options'!$H:$H,"Monthly*")+SUMIFS('BSE - Other Index Options'!$L:$L,'BSE - Other Index Options'!$C:$C,$A259,'BSE - Other Index Options'!$B:$B,C$147,'BSE - Other Index Options'!$H:$H,"Monthly*"))</f>
        <v/>
      </c>
      <c r="D259" s="26" t="str">
        <f>IF(SUMIFS('BSE - SENSEX Index Options'!$L:$L,'BSE - SENSEX Index Options'!$C:$C,$A259,'BSE - SENSEX Index Options'!$B:$B,D$147,'BSE - SENSEX Index Options'!$H:$H,"Monthly*")+SUMIFS('BSE - Other Index Options'!$L:$L,'BSE - Other Index Options'!$C:$C,$A259,'BSE - Other Index Options'!$B:$B,D$147,'BSE - Other Index Options'!$H:$H,"Monthly*")=0,"",SUMIFS('BSE - SENSEX Index Options'!$L:$L,'BSE - SENSEX Index Options'!$C:$C,$A259,'BSE - SENSEX Index Options'!$B:$B,D$147,'BSE - SENSEX Index Options'!$H:$H,"Monthly*")+SUMIFS('BSE - Other Index Options'!$L:$L,'BSE - Other Index Options'!$C:$C,$A259,'BSE - Other Index Options'!$B:$B,D$147,'BSE - Other Index Options'!$H:$H,"Monthly*"))</f>
        <v/>
      </c>
      <c r="E259" s="26" t="str">
        <f>IF(SUMIFS('BSE - SENSEX Index Options'!$L:$L,'BSE - SENSEX Index Options'!$C:$C,$A259,'BSE - SENSEX Index Options'!$B:$B,E$147,'BSE - SENSEX Index Options'!$H:$H,"Monthly*")+SUMIFS('BSE - Other Index Options'!$L:$L,'BSE - Other Index Options'!$C:$C,$A259,'BSE - Other Index Options'!$B:$B,E$147,'BSE - Other Index Options'!$H:$H,"Monthly*")=0,"",SUMIFS('BSE - SENSEX Index Options'!$L:$L,'BSE - SENSEX Index Options'!$C:$C,$A259,'BSE - SENSEX Index Options'!$B:$B,E$147,'BSE - SENSEX Index Options'!$H:$H,"Monthly*")+SUMIFS('BSE - Other Index Options'!$L:$L,'BSE - Other Index Options'!$C:$C,$A259,'BSE - Other Index Options'!$B:$B,E$147,'BSE - Other Index Options'!$H:$H,"Monthly*"))</f>
        <v/>
      </c>
      <c r="F259" s="26" t="str">
        <f>IF(SUMIFS('BSE - SENSEX Index Options'!$L:$L,'BSE - SENSEX Index Options'!$C:$C,$A259,'BSE - SENSEX Index Options'!$B:$B,F$147,'BSE - SENSEX Index Options'!$H:$H,"Monthly*")+SUMIFS('BSE - Other Index Options'!$L:$L,'BSE - Other Index Options'!$C:$C,$A259,'BSE - Other Index Options'!$B:$B,F$147,'BSE - Other Index Options'!$H:$H,"Monthly*")=0,"",SUMIFS('BSE - SENSEX Index Options'!$L:$L,'BSE - SENSEX Index Options'!$C:$C,$A259,'BSE - SENSEX Index Options'!$B:$B,F$147,'BSE - SENSEX Index Options'!$H:$H,"Monthly*")+SUMIFS('BSE - Other Index Options'!$L:$L,'BSE - Other Index Options'!$C:$C,$A259,'BSE - Other Index Options'!$B:$B,F$147,'BSE - Other Index Options'!$H:$H,"Monthly*"))</f>
        <v/>
      </c>
      <c r="G259" s="26" t="str">
        <f>IF(SUMIFS('BSE - SENSEX Index Options'!$L:$L,'BSE - SENSEX Index Options'!$C:$C,$A259,'BSE - SENSEX Index Options'!$B:$B,G$147,'BSE - SENSEX Index Options'!$H:$H,"Monthly*")+SUMIFS('BSE - Other Index Options'!$L:$L,'BSE - Other Index Options'!$C:$C,$A259,'BSE - Other Index Options'!$B:$B,G$147,'BSE - Other Index Options'!$H:$H,"Monthly*")=0,"",SUMIFS('BSE - SENSEX Index Options'!$L:$L,'BSE - SENSEX Index Options'!$C:$C,$A259,'BSE - SENSEX Index Options'!$B:$B,G$147,'BSE - SENSEX Index Options'!$H:$H,"Monthly*")+SUMIFS('BSE - Other Index Options'!$L:$L,'BSE - Other Index Options'!$C:$C,$A259,'BSE - Other Index Options'!$B:$B,G$147,'BSE - Other Index Options'!$H:$H,"Monthly*"))</f>
        <v/>
      </c>
      <c r="H259" s="26" t="str">
        <f t="shared" si="9"/>
        <v/>
      </c>
    </row>
    <row r="260" spans="1:8" hidden="1" outlineLevel="1">
      <c r="A260" t="s">
        <v>122</v>
      </c>
      <c r="B260" s="26" t="str">
        <f>IF(SUMIFS('BSE - SENSEX Index Options'!$L:$L,'BSE - SENSEX Index Options'!$C:$C,$A260,'BSE - SENSEX Index Options'!$B:$B,B$147,'BSE - SENSEX Index Options'!$H:$H,"Monthly*")+SUMIFS('BSE - Other Index Options'!$L:$L,'BSE - Other Index Options'!$C:$C,$A260,'BSE - Other Index Options'!$B:$B,B$147,'BSE - Other Index Options'!$H:$H,"Monthly*")=0,"",SUMIFS('BSE - SENSEX Index Options'!$L:$L,'BSE - SENSEX Index Options'!$C:$C,$A260,'BSE - SENSEX Index Options'!$B:$B,B$147,'BSE - SENSEX Index Options'!$H:$H,"Monthly*")+SUMIFS('BSE - Other Index Options'!$L:$L,'BSE - Other Index Options'!$C:$C,$A260,'BSE - Other Index Options'!$B:$B,B$147,'BSE - Other Index Options'!$H:$H,"Monthly*"))</f>
        <v/>
      </c>
      <c r="C260" s="26" t="str">
        <f>IF(SUMIFS('BSE - SENSEX Index Options'!$L:$L,'BSE - SENSEX Index Options'!$C:$C,$A260,'BSE - SENSEX Index Options'!$B:$B,C$147,'BSE - SENSEX Index Options'!$H:$H,"Monthly*")+SUMIFS('BSE - Other Index Options'!$L:$L,'BSE - Other Index Options'!$C:$C,$A260,'BSE - Other Index Options'!$B:$B,C$147,'BSE - Other Index Options'!$H:$H,"Monthly*")=0,"",SUMIFS('BSE - SENSEX Index Options'!$L:$L,'BSE - SENSEX Index Options'!$C:$C,$A260,'BSE - SENSEX Index Options'!$B:$B,C$147,'BSE - SENSEX Index Options'!$H:$H,"Monthly*")+SUMIFS('BSE - Other Index Options'!$L:$L,'BSE - Other Index Options'!$C:$C,$A260,'BSE - Other Index Options'!$B:$B,C$147,'BSE - Other Index Options'!$H:$H,"Monthly*"))</f>
        <v/>
      </c>
      <c r="D260" s="26" t="str">
        <f>IF(SUMIFS('BSE - SENSEX Index Options'!$L:$L,'BSE - SENSEX Index Options'!$C:$C,$A260,'BSE - SENSEX Index Options'!$B:$B,D$147,'BSE - SENSEX Index Options'!$H:$H,"Monthly*")+SUMIFS('BSE - Other Index Options'!$L:$L,'BSE - Other Index Options'!$C:$C,$A260,'BSE - Other Index Options'!$B:$B,D$147,'BSE - Other Index Options'!$H:$H,"Monthly*")=0,"",SUMIFS('BSE - SENSEX Index Options'!$L:$L,'BSE - SENSEX Index Options'!$C:$C,$A260,'BSE - SENSEX Index Options'!$B:$B,D$147,'BSE - SENSEX Index Options'!$H:$H,"Monthly*")+SUMIFS('BSE - Other Index Options'!$L:$L,'BSE - Other Index Options'!$C:$C,$A260,'BSE - Other Index Options'!$B:$B,D$147,'BSE - Other Index Options'!$H:$H,"Monthly*"))</f>
        <v/>
      </c>
      <c r="E260" s="26" t="str">
        <f>IF(SUMIFS('BSE - SENSEX Index Options'!$L:$L,'BSE - SENSEX Index Options'!$C:$C,$A260,'BSE - SENSEX Index Options'!$B:$B,E$147,'BSE - SENSEX Index Options'!$H:$H,"Monthly*")+SUMIFS('BSE - Other Index Options'!$L:$L,'BSE - Other Index Options'!$C:$C,$A260,'BSE - Other Index Options'!$B:$B,E$147,'BSE - Other Index Options'!$H:$H,"Monthly*")=0,"",SUMIFS('BSE - SENSEX Index Options'!$L:$L,'BSE - SENSEX Index Options'!$C:$C,$A260,'BSE - SENSEX Index Options'!$B:$B,E$147,'BSE - SENSEX Index Options'!$H:$H,"Monthly*")+SUMIFS('BSE - Other Index Options'!$L:$L,'BSE - Other Index Options'!$C:$C,$A260,'BSE - Other Index Options'!$B:$B,E$147,'BSE - Other Index Options'!$H:$H,"Monthly*"))</f>
        <v/>
      </c>
      <c r="F260" s="26" t="str">
        <f>IF(SUMIFS('BSE - SENSEX Index Options'!$L:$L,'BSE - SENSEX Index Options'!$C:$C,$A260,'BSE - SENSEX Index Options'!$B:$B,F$147,'BSE - SENSEX Index Options'!$H:$H,"Monthly*")+SUMIFS('BSE - Other Index Options'!$L:$L,'BSE - Other Index Options'!$C:$C,$A260,'BSE - Other Index Options'!$B:$B,F$147,'BSE - Other Index Options'!$H:$H,"Monthly*")=0,"",SUMIFS('BSE - SENSEX Index Options'!$L:$L,'BSE - SENSEX Index Options'!$C:$C,$A260,'BSE - SENSEX Index Options'!$B:$B,F$147,'BSE - SENSEX Index Options'!$H:$H,"Monthly*")+SUMIFS('BSE - Other Index Options'!$L:$L,'BSE - Other Index Options'!$C:$C,$A260,'BSE - Other Index Options'!$B:$B,F$147,'BSE - Other Index Options'!$H:$H,"Monthly*"))</f>
        <v/>
      </c>
      <c r="G260" s="26" t="str">
        <f>IF(SUMIFS('BSE - SENSEX Index Options'!$L:$L,'BSE - SENSEX Index Options'!$C:$C,$A260,'BSE - SENSEX Index Options'!$B:$B,G$147,'BSE - SENSEX Index Options'!$H:$H,"Monthly*")+SUMIFS('BSE - Other Index Options'!$L:$L,'BSE - Other Index Options'!$C:$C,$A260,'BSE - Other Index Options'!$B:$B,G$147,'BSE - Other Index Options'!$H:$H,"Monthly*")=0,"",SUMIFS('BSE - SENSEX Index Options'!$L:$L,'BSE - SENSEX Index Options'!$C:$C,$A260,'BSE - SENSEX Index Options'!$B:$B,G$147,'BSE - SENSEX Index Options'!$H:$H,"Monthly*")+SUMIFS('BSE - Other Index Options'!$L:$L,'BSE - Other Index Options'!$C:$C,$A260,'BSE - Other Index Options'!$B:$B,G$147,'BSE - Other Index Options'!$H:$H,"Monthly*"))</f>
        <v/>
      </c>
      <c r="H260" s="26" t="str">
        <f t="shared" si="9"/>
        <v/>
      </c>
    </row>
    <row r="261" spans="1:8" hidden="1" outlineLevel="1">
      <c r="A261" t="s">
        <v>123</v>
      </c>
      <c r="B261" s="26" t="str">
        <f>IF(SUMIFS('BSE - SENSEX Index Options'!$L:$L,'BSE - SENSEX Index Options'!$C:$C,$A261,'BSE - SENSEX Index Options'!$B:$B,B$147,'BSE - SENSEX Index Options'!$H:$H,"Monthly*")+SUMIFS('BSE - Other Index Options'!$L:$L,'BSE - Other Index Options'!$C:$C,$A261,'BSE - Other Index Options'!$B:$B,B$147,'BSE - Other Index Options'!$H:$H,"Monthly*")=0,"",SUMIFS('BSE - SENSEX Index Options'!$L:$L,'BSE - SENSEX Index Options'!$C:$C,$A261,'BSE - SENSEX Index Options'!$B:$B,B$147,'BSE - SENSEX Index Options'!$H:$H,"Monthly*")+SUMIFS('BSE - Other Index Options'!$L:$L,'BSE - Other Index Options'!$C:$C,$A261,'BSE - Other Index Options'!$B:$B,B$147,'BSE - Other Index Options'!$H:$H,"Monthly*"))</f>
        <v/>
      </c>
      <c r="C261" s="26" t="str">
        <f>IF(SUMIFS('BSE - SENSEX Index Options'!$L:$L,'BSE - SENSEX Index Options'!$C:$C,$A261,'BSE - SENSEX Index Options'!$B:$B,C$147,'BSE - SENSEX Index Options'!$H:$H,"Monthly*")+SUMIFS('BSE - Other Index Options'!$L:$L,'BSE - Other Index Options'!$C:$C,$A261,'BSE - Other Index Options'!$B:$B,C$147,'BSE - Other Index Options'!$H:$H,"Monthly*")=0,"",SUMIFS('BSE - SENSEX Index Options'!$L:$L,'BSE - SENSEX Index Options'!$C:$C,$A261,'BSE - SENSEX Index Options'!$B:$B,C$147,'BSE - SENSEX Index Options'!$H:$H,"Monthly*")+SUMIFS('BSE - Other Index Options'!$L:$L,'BSE - Other Index Options'!$C:$C,$A261,'BSE - Other Index Options'!$B:$B,C$147,'BSE - Other Index Options'!$H:$H,"Monthly*"))</f>
        <v/>
      </c>
      <c r="D261" s="26" t="str">
        <f>IF(SUMIFS('BSE - SENSEX Index Options'!$L:$L,'BSE - SENSEX Index Options'!$C:$C,$A261,'BSE - SENSEX Index Options'!$B:$B,D$147,'BSE - SENSEX Index Options'!$H:$H,"Monthly*")+SUMIFS('BSE - Other Index Options'!$L:$L,'BSE - Other Index Options'!$C:$C,$A261,'BSE - Other Index Options'!$B:$B,D$147,'BSE - Other Index Options'!$H:$H,"Monthly*")=0,"",SUMIFS('BSE - SENSEX Index Options'!$L:$L,'BSE - SENSEX Index Options'!$C:$C,$A261,'BSE - SENSEX Index Options'!$B:$B,D$147,'BSE - SENSEX Index Options'!$H:$H,"Monthly*")+SUMIFS('BSE - Other Index Options'!$L:$L,'BSE - Other Index Options'!$C:$C,$A261,'BSE - Other Index Options'!$B:$B,D$147,'BSE - Other Index Options'!$H:$H,"Monthly*"))</f>
        <v/>
      </c>
      <c r="E261" s="26" t="str">
        <f>IF(SUMIFS('BSE - SENSEX Index Options'!$L:$L,'BSE - SENSEX Index Options'!$C:$C,$A261,'BSE - SENSEX Index Options'!$B:$B,E$147,'BSE - SENSEX Index Options'!$H:$H,"Monthly*")+SUMIFS('BSE - Other Index Options'!$L:$L,'BSE - Other Index Options'!$C:$C,$A261,'BSE - Other Index Options'!$B:$B,E$147,'BSE - Other Index Options'!$H:$H,"Monthly*")=0,"",SUMIFS('BSE - SENSEX Index Options'!$L:$L,'BSE - SENSEX Index Options'!$C:$C,$A261,'BSE - SENSEX Index Options'!$B:$B,E$147,'BSE - SENSEX Index Options'!$H:$H,"Monthly*")+SUMIFS('BSE - Other Index Options'!$L:$L,'BSE - Other Index Options'!$C:$C,$A261,'BSE - Other Index Options'!$B:$B,E$147,'BSE - Other Index Options'!$H:$H,"Monthly*"))</f>
        <v/>
      </c>
      <c r="F261" s="26" t="str">
        <f>IF(SUMIFS('BSE - SENSEX Index Options'!$L:$L,'BSE - SENSEX Index Options'!$C:$C,$A261,'BSE - SENSEX Index Options'!$B:$B,F$147,'BSE - SENSEX Index Options'!$H:$H,"Monthly*")+SUMIFS('BSE - Other Index Options'!$L:$L,'BSE - Other Index Options'!$C:$C,$A261,'BSE - Other Index Options'!$B:$B,F$147,'BSE - Other Index Options'!$H:$H,"Monthly*")=0,"",SUMIFS('BSE - SENSEX Index Options'!$L:$L,'BSE - SENSEX Index Options'!$C:$C,$A261,'BSE - SENSEX Index Options'!$B:$B,F$147,'BSE - SENSEX Index Options'!$H:$H,"Monthly*")+SUMIFS('BSE - Other Index Options'!$L:$L,'BSE - Other Index Options'!$C:$C,$A261,'BSE - Other Index Options'!$B:$B,F$147,'BSE - Other Index Options'!$H:$H,"Monthly*"))</f>
        <v/>
      </c>
      <c r="G261" s="26" t="str">
        <f>IF(SUMIFS('BSE - SENSEX Index Options'!$L:$L,'BSE - SENSEX Index Options'!$C:$C,$A261,'BSE - SENSEX Index Options'!$B:$B,G$147,'BSE - SENSEX Index Options'!$H:$H,"Monthly*")+SUMIFS('BSE - Other Index Options'!$L:$L,'BSE - Other Index Options'!$C:$C,$A261,'BSE - Other Index Options'!$B:$B,G$147,'BSE - Other Index Options'!$H:$H,"Monthly*")=0,"",SUMIFS('BSE - SENSEX Index Options'!$L:$L,'BSE - SENSEX Index Options'!$C:$C,$A261,'BSE - SENSEX Index Options'!$B:$B,G$147,'BSE - SENSEX Index Options'!$H:$H,"Monthly*")+SUMIFS('BSE - Other Index Options'!$L:$L,'BSE - Other Index Options'!$C:$C,$A261,'BSE - Other Index Options'!$B:$B,G$147,'BSE - Other Index Options'!$H:$H,"Monthly*"))</f>
        <v/>
      </c>
      <c r="H261" s="26" t="str">
        <f t="shared" si="9"/>
        <v/>
      </c>
    </row>
    <row r="262" spans="1:8" hidden="1" outlineLevel="1">
      <c r="A262" t="s">
        <v>124</v>
      </c>
      <c r="B262" s="26" t="str">
        <f>IF(SUMIFS('BSE - SENSEX Index Options'!$L:$L,'BSE - SENSEX Index Options'!$C:$C,$A262,'BSE - SENSEX Index Options'!$B:$B,B$147,'BSE - SENSEX Index Options'!$H:$H,"Monthly*")+SUMIFS('BSE - Other Index Options'!$L:$L,'BSE - Other Index Options'!$C:$C,$A262,'BSE - Other Index Options'!$B:$B,B$147,'BSE - Other Index Options'!$H:$H,"Monthly*")=0,"",SUMIFS('BSE - SENSEX Index Options'!$L:$L,'BSE - SENSEX Index Options'!$C:$C,$A262,'BSE - SENSEX Index Options'!$B:$B,B$147,'BSE - SENSEX Index Options'!$H:$H,"Monthly*")+SUMIFS('BSE - Other Index Options'!$L:$L,'BSE - Other Index Options'!$C:$C,$A262,'BSE - Other Index Options'!$B:$B,B$147,'BSE - Other Index Options'!$H:$H,"Monthly*"))</f>
        <v/>
      </c>
      <c r="C262" s="26" t="str">
        <f>IF(SUMIFS('BSE - SENSEX Index Options'!$L:$L,'BSE - SENSEX Index Options'!$C:$C,$A262,'BSE - SENSEX Index Options'!$B:$B,C$147,'BSE - SENSEX Index Options'!$H:$H,"Monthly*")+SUMIFS('BSE - Other Index Options'!$L:$L,'BSE - Other Index Options'!$C:$C,$A262,'BSE - Other Index Options'!$B:$B,C$147,'BSE - Other Index Options'!$H:$H,"Monthly*")=0,"",SUMIFS('BSE - SENSEX Index Options'!$L:$L,'BSE - SENSEX Index Options'!$C:$C,$A262,'BSE - SENSEX Index Options'!$B:$B,C$147,'BSE - SENSEX Index Options'!$H:$H,"Monthly*")+SUMIFS('BSE - Other Index Options'!$L:$L,'BSE - Other Index Options'!$C:$C,$A262,'BSE - Other Index Options'!$B:$B,C$147,'BSE - Other Index Options'!$H:$H,"Monthly*"))</f>
        <v/>
      </c>
      <c r="D262" s="26" t="str">
        <f>IF(SUMIFS('BSE - SENSEX Index Options'!$L:$L,'BSE - SENSEX Index Options'!$C:$C,$A262,'BSE - SENSEX Index Options'!$B:$B,D$147,'BSE - SENSEX Index Options'!$H:$H,"Monthly*")+SUMIFS('BSE - Other Index Options'!$L:$L,'BSE - Other Index Options'!$C:$C,$A262,'BSE - Other Index Options'!$B:$B,D$147,'BSE - Other Index Options'!$H:$H,"Monthly*")=0,"",SUMIFS('BSE - SENSEX Index Options'!$L:$L,'BSE - SENSEX Index Options'!$C:$C,$A262,'BSE - SENSEX Index Options'!$B:$B,D$147,'BSE - SENSEX Index Options'!$H:$H,"Monthly*")+SUMIFS('BSE - Other Index Options'!$L:$L,'BSE - Other Index Options'!$C:$C,$A262,'BSE - Other Index Options'!$B:$B,D$147,'BSE - Other Index Options'!$H:$H,"Monthly*"))</f>
        <v/>
      </c>
      <c r="E262" s="26" t="str">
        <f>IF(SUMIFS('BSE - SENSEX Index Options'!$L:$L,'BSE - SENSEX Index Options'!$C:$C,$A262,'BSE - SENSEX Index Options'!$B:$B,E$147,'BSE - SENSEX Index Options'!$H:$H,"Monthly*")+SUMIFS('BSE - Other Index Options'!$L:$L,'BSE - Other Index Options'!$C:$C,$A262,'BSE - Other Index Options'!$B:$B,E$147,'BSE - Other Index Options'!$H:$H,"Monthly*")=0,"",SUMIFS('BSE - SENSEX Index Options'!$L:$L,'BSE - SENSEX Index Options'!$C:$C,$A262,'BSE - SENSEX Index Options'!$B:$B,E$147,'BSE - SENSEX Index Options'!$H:$H,"Monthly*")+SUMIFS('BSE - Other Index Options'!$L:$L,'BSE - Other Index Options'!$C:$C,$A262,'BSE - Other Index Options'!$B:$B,E$147,'BSE - Other Index Options'!$H:$H,"Monthly*"))</f>
        <v/>
      </c>
      <c r="F262" s="26" t="str">
        <f>IF(SUMIFS('BSE - SENSEX Index Options'!$L:$L,'BSE - SENSEX Index Options'!$C:$C,$A262,'BSE - SENSEX Index Options'!$B:$B,F$147,'BSE - SENSEX Index Options'!$H:$H,"Monthly*")+SUMIFS('BSE - Other Index Options'!$L:$L,'BSE - Other Index Options'!$C:$C,$A262,'BSE - Other Index Options'!$B:$B,F$147,'BSE - Other Index Options'!$H:$H,"Monthly*")=0,"",SUMIFS('BSE - SENSEX Index Options'!$L:$L,'BSE - SENSEX Index Options'!$C:$C,$A262,'BSE - SENSEX Index Options'!$B:$B,F$147,'BSE - SENSEX Index Options'!$H:$H,"Monthly*")+SUMIFS('BSE - Other Index Options'!$L:$L,'BSE - Other Index Options'!$C:$C,$A262,'BSE - Other Index Options'!$B:$B,F$147,'BSE - Other Index Options'!$H:$H,"Monthly*"))</f>
        <v/>
      </c>
      <c r="G262" s="26" t="str">
        <f>IF(SUMIFS('BSE - SENSEX Index Options'!$L:$L,'BSE - SENSEX Index Options'!$C:$C,$A262,'BSE - SENSEX Index Options'!$B:$B,G$147,'BSE - SENSEX Index Options'!$H:$H,"Monthly*")+SUMIFS('BSE - Other Index Options'!$L:$L,'BSE - Other Index Options'!$C:$C,$A262,'BSE - Other Index Options'!$B:$B,G$147,'BSE - Other Index Options'!$H:$H,"Monthly*")=0,"",SUMIFS('BSE - SENSEX Index Options'!$L:$L,'BSE - SENSEX Index Options'!$C:$C,$A262,'BSE - SENSEX Index Options'!$B:$B,G$147,'BSE - SENSEX Index Options'!$H:$H,"Monthly*")+SUMIFS('BSE - Other Index Options'!$L:$L,'BSE - Other Index Options'!$C:$C,$A262,'BSE - Other Index Options'!$B:$B,G$147,'BSE - Other Index Options'!$H:$H,"Monthly*"))</f>
        <v/>
      </c>
      <c r="H262" s="26" t="str">
        <f t="shared" si="9"/>
        <v/>
      </c>
    </row>
    <row r="263" spans="1:8" hidden="1" outlineLevel="1">
      <c r="A263" t="s">
        <v>125</v>
      </c>
      <c r="B263" s="26" t="str">
        <f>IF(SUMIFS('BSE - SENSEX Index Options'!$L:$L,'BSE - SENSEX Index Options'!$C:$C,$A263,'BSE - SENSEX Index Options'!$B:$B,B$147,'BSE - SENSEX Index Options'!$H:$H,"Monthly*")+SUMIFS('BSE - Other Index Options'!$L:$L,'BSE - Other Index Options'!$C:$C,$A263,'BSE - Other Index Options'!$B:$B,B$147,'BSE - Other Index Options'!$H:$H,"Monthly*")=0,"",SUMIFS('BSE - SENSEX Index Options'!$L:$L,'BSE - SENSEX Index Options'!$C:$C,$A263,'BSE - SENSEX Index Options'!$B:$B,B$147,'BSE - SENSEX Index Options'!$H:$H,"Monthly*")+SUMIFS('BSE - Other Index Options'!$L:$L,'BSE - Other Index Options'!$C:$C,$A263,'BSE - Other Index Options'!$B:$B,B$147,'BSE - Other Index Options'!$H:$H,"Monthly*"))</f>
        <v/>
      </c>
      <c r="C263" s="26" t="str">
        <f>IF(SUMIFS('BSE - SENSEX Index Options'!$L:$L,'BSE - SENSEX Index Options'!$C:$C,$A263,'BSE - SENSEX Index Options'!$B:$B,C$147,'BSE - SENSEX Index Options'!$H:$H,"Monthly*")+SUMIFS('BSE - Other Index Options'!$L:$L,'BSE - Other Index Options'!$C:$C,$A263,'BSE - Other Index Options'!$B:$B,C$147,'BSE - Other Index Options'!$H:$H,"Monthly*")=0,"",SUMIFS('BSE - SENSEX Index Options'!$L:$L,'BSE - SENSEX Index Options'!$C:$C,$A263,'BSE - SENSEX Index Options'!$B:$B,C$147,'BSE - SENSEX Index Options'!$H:$H,"Monthly*")+SUMIFS('BSE - Other Index Options'!$L:$L,'BSE - Other Index Options'!$C:$C,$A263,'BSE - Other Index Options'!$B:$B,C$147,'BSE - Other Index Options'!$H:$H,"Monthly*"))</f>
        <v/>
      </c>
      <c r="D263" s="26" t="str">
        <f>IF(SUMIFS('BSE - SENSEX Index Options'!$L:$L,'BSE - SENSEX Index Options'!$C:$C,$A263,'BSE - SENSEX Index Options'!$B:$B,D$147,'BSE - SENSEX Index Options'!$H:$H,"Monthly*")+SUMIFS('BSE - Other Index Options'!$L:$L,'BSE - Other Index Options'!$C:$C,$A263,'BSE - Other Index Options'!$B:$B,D$147,'BSE - Other Index Options'!$H:$H,"Monthly*")=0,"",SUMIFS('BSE - SENSEX Index Options'!$L:$L,'BSE - SENSEX Index Options'!$C:$C,$A263,'BSE - SENSEX Index Options'!$B:$B,D$147,'BSE - SENSEX Index Options'!$H:$H,"Monthly*")+SUMIFS('BSE - Other Index Options'!$L:$L,'BSE - Other Index Options'!$C:$C,$A263,'BSE - Other Index Options'!$B:$B,D$147,'BSE - Other Index Options'!$H:$H,"Monthly*"))</f>
        <v/>
      </c>
      <c r="E263" s="26" t="str">
        <f>IF(SUMIFS('BSE - SENSEX Index Options'!$L:$L,'BSE - SENSEX Index Options'!$C:$C,$A263,'BSE - SENSEX Index Options'!$B:$B,E$147,'BSE - SENSEX Index Options'!$H:$H,"Monthly*")+SUMIFS('BSE - Other Index Options'!$L:$L,'BSE - Other Index Options'!$C:$C,$A263,'BSE - Other Index Options'!$B:$B,E$147,'BSE - Other Index Options'!$H:$H,"Monthly*")=0,"",SUMIFS('BSE - SENSEX Index Options'!$L:$L,'BSE - SENSEX Index Options'!$C:$C,$A263,'BSE - SENSEX Index Options'!$B:$B,E$147,'BSE - SENSEX Index Options'!$H:$H,"Monthly*")+SUMIFS('BSE - Other Index Options'!$L:$L,'BSE - Other Index Options'!$C:$C,$A263,'BSE - Other Index Options'!$B:$B,E$147,'BSE - Other Index Options'!$H:$H,"Monthly*"))</f>
        <v/>
      </c>
      <c r="F263" s="26" t="str">
        <f>IF(SUMIFS('BSE - SENSEX Index Options'!$L:$L,'BSE - SENSEX Index Options'!$C:$C,$A263,'BSE - SENSEX Index Options'!$B:$B,F$147,'BSE - SENSEX Index Options'!$H:$H,"Monthly*")+SUMIFS('BSE - Other Index Options'!$L:$L,'BSE - Other Index Options'!$C:$C,$A263,'BSE - Other Index Options'!$B:$B,F$147,'BSE - Other Index Options'!$H:$H,"Monthly*")=0,"",SUMIFS('BSE - SENSEX Index Options'!$L:$L,'BSE - SENSEX Index Options'!$C:$C,$A263,'BSE - SENSEX Index Options'!$B:$B,F$147,'BSE - SENSEX Index Options'!$H:$H,"Monthly*")+SUMIFS('BSE - Other Index Options'!$L:$L,'BSE - Other Index Options'!$C:$C,$A263,'BSE - Other Index Options'!$B:$B,F$147,'BSE - Other Index Options'!$H:$H,"Monthly*"))</f>
        <v/>
      </c>
      <c r="G263" s="26" t="str">
        <f>IF(SUMIFS('BSE - SENSEX Index Options'!$L:$L,'BSE - SENSEX Index Options'!$C:$C,$A263,'BSE - SENSEX Index Options'!$B:$B,G$147,'BSE - SENSEX Index Options'!$H:$H,"Monthly*")+SUMIFS('BSE - Other Index Options'!$L:$L,'BSE - Other Index Options'!$C:$C,$A263,'BSE - Other Index Options'!$B:$B,G$147,'BSE - Other Index Options'!$H:$H,"Monthly*")=0,"",SUMIFS('BSE - SENSEX Index Options'!$L:$L,'BSE - SENSEX Index Options'!$C:$C,$A263,'BSE - SENSEX Index Options'!$B:$B,G$147,'BSE - SENSEX Index Options'!$H:$H,"Monthly*")+SUMIFS('BSE - Other Index Options'!$L:$L,'BSE - Other Index Options'!$C:$C,$A263,'BSE - Other Index Options'!$B:$B,G$147,'BSE - Other Index Options'!$H:$H,"Monthly*"))</f>
        <v/>
      </c>
      <c r="H263" s="26" t="str">
        <f t="shared" si="9"/>
        <v/>
      </c>
    </row>
    <row r="264" spans="1:8" hidden="1" outlineLevel="1">
      <c r="A264" t="s">
        <v>126</v>
      </c>
      <c r="B264" s="26" t="str">
        <f>IF(SUMIFS('BSE - SENSEX Index Options'!$L:$L,'BSE - SENSEX Index Options'!$C:$C,$A264,'BSE - SENSEX Index Options'!$B:$B,B$147,'BSE - SENSEX Index Options'!$H:$H,"Monthly*")+SUMIFS('BSE - Other Index Options'!$L:$L,'BSE - Other Index Options'!$C:$C,$A264,'BSE - Other Index Options'!$B:$B,B$147,'BSE - Other Index Options'!$H:$H,"Monthly*")=0,"",SUMIFS('BSE - SENSEX Index Options'!$L:$L,'BSE - SENSEX Index Options'!$C:$C,$A264,'BSE - SENSEX Index Options'!$B:$B,B$147,'BSE - SENSEX Index Options'!$H:$H,"Monthly*")+SUMIFS('BSE - Other Index Options'!$L:$L,'BSE - Other Index Options'!$C:$C,$A264,'BSE - Other Index Options'!$B:$B,B$147,'BSE - Other Index Options'!$H:$H,"Monthly*"))</f>
        <v/>
      </c>
      <c r="C264" s="26" t="str">
        <f>IF(SUMIFS('BSE - SENSEX Index Options'!$L:$L,'BSE - SENSEX Index Options'!$C:$C,$A264,'BSE - SENSEX Index Options'!$B:$B,C$147,'BSE - SENSEX Index Options'!$H:$H,"Monthly*")+SUMIFS('BSE - Other Index Options'!$L:$L,'BSE - Other Index Options'!$C:$C,$A264,'BSE - Other Index Options'!$B:$B,C$147,'BSE - Other Index Options'!$H:$H,"Monthly*")=0,"",SUMIFS('BSE - SENSEX Index Options'!$L:$L,'BSE - SENSEX Index Options'!$C:$C,$A264,'BSE - SENSEX Index Options'!$B:$B,C$147,'BSE - SENSEX Index Options'!$H:$H,"Monthly*")+SUMIFS('BSE - Other Index Options'!$L:$L,'BSE - Other Index Options'!$C:$C,$A264,'BSE - Other Index Options'!$B:$B,C$147,'BSE - Other Index Options'!$H:$H,"Monthly*"))</f>
        <v/>
      </c>
      <c r="D264" s="26" t="str">
        <f>IF(SUMIFS('BSE - SENSEX Index Options'!$L:$L,'BSE - SENSEX Index Options'!$C:$C,$A264,'BSE - SENSEX Index Options'!$B:$B,D$147,'BSE - SENSEX Index Options'!$H:$H,"Monthly*")+SUMIFS('BSE - Other Index Options'!$L:$L,'BSE - Other Index Options'!$C:$C,$A264,'BSE - Other Index Options'!$B:$B,D$147,'BSE - Other Index Options'!$H:$H,"Monthly*")=0,"",SUMIFS('BSE - SENSEX Index Options'!$L:$L,'BSE - SENSEX Index Options'!$C:$C,$A264,'BSE - SENSEX Index Options'!$B:$B,D$147,'BSE - SENSEX Index Options'!$H:$H,"Monthly*")+SUMIFS('BSE - Other Index Options'!$L:$L,'BSE - Other Index Options'!$C:$C,$A264,'BSE - Other Index Options'!$B:$B,D$147,'BSE - Other Index Options'!$H:$H,"Monthly*"))</f>
        <v/>
      </c>
      <c r="E264" s="26" t="str">
        <f>IF(SUMIFS('BSE - SENSEX Index Options'!$L:$L,'BSE - SENSEX Index Options'!$C:$C,$A264,'BSE - SENSEX Index Options'!$B:$B,E$147,'BSE - SENSEX Index Options'!$H:$H,"Monthly*")+SUMIFS('BSE - Other Index Options'!$L:$L,'BSE - Other Index Options'!$C:$C,$A264,'BSE - Other Index Options'!$B:$B,E$147,'BSE - Other Index Options'!$H:$H,"Monthly*")=0,"",SUMIFS('BSE - SENSEX Index Options'!$L:$L,'BSE - SENSEX Index Options'!$C:$C,$A264,'BSE - SENSEX Index Options'!$B:$B,E$147,'BSE - SENSEX Index Options'!$H:$H,"Monthly*")+SUMIFS('BSE - Other Index Options'!$L:$L,'BSE - Other Index Options'!$C:$C,$A264,'BSE - Other Index Options'!$B:$B,E$147,'BSE - Other Index Options'!$H:$H,"Monthly*"))</f>
        <v/>
      </c>
      <c r="F264" s="26" t="str">
        <f>IF(SUMIFS('BSE - SENSEX Index Options'!$L:$L,'BSE - SENSEX Index Options'!$C:$C,$A264,'BSE - SENSEX Index Options'!$B:$B,F$147,'BSE - SENSEX Index Options'!$H:$H,"Monthly*")+SUMIFS('BSE - Other Index Options'!$L:$L,'BSE - Other Index Options'!$C:$C,$A264,'BSE - Other Index Options'!$B:$B,F$147,'BSE - Other Index Options'!$H:$H,"Monthly*")=0,"",SUMIFS('BSE - SENSEX Index Options'!$L:$L,'BSE - SENSEX Index Options'!$C:$C,$A264,'BSE - SENSEX Index Options'!$B:$B,F$147,'BSE - SENSEX Index Options'!$H:$H,"Monthly*")+SUMIFS('BSE - Other Index Options'!$L:$L,'BSE - Other Index Options'!$C:$C,$A264,'BSE - Other Index Options'!$B:$B,F$147,'BSE - Other Index Options'!$H:$H,"Monthly*"))</f>
        <v/>
      </c>
      <c r="G264" s="26" t="str">
        <f>IF(SUMIFS('BSE - SENSEX Index Options'!$L:$L,'BSE - SENSEX Index Options'!$C:$C,$A264,'BSE - SENSEX Index Options'!$B:$B,G$147,'BSE - SENSEX Index Options'!$H:$H,"Monthly*")+SUMIFS('BSE - Other Index Options'!$L:$L,'BSE - Other Index Options'!$C:$C,$A264,'BSE - Other Index Options'!$B:$B,G$147,'BSE - Other Index Options'!$H:$H,"Monthly*")=0,"",SUMIFS('BSE - SENSEX Index Options'!$L:$L,'BSE - SENSEX Index Options'!$C:$C,$A264,'BSE - SENSEX Index Options'!$B:$B,G$147,'BSE - SENSEX Index Options'!$H:$H,"Monthly*")+SUMIFS('BSE - Other Index Options'!$L:$L,'BSE - Other Index Options'!$C:$C,$A264,'BSE - Other Index Options'!$B:$B,G$147,'BSE - Other Index Options'!$H:$H,"Monthly*"))</f>
        <v/>
      </c>
      <c r="H264" s="26" t="str">
        <f t="shared" si="9"/>
        <v/>
      </c>
    </row>
    <row r="265" spans="1:8" hidden="1" outlineLevel="1">
      <c r="A265" t="s">
        <v>127</v>
      </c>
      <c r="B265" s="26" t="str">
        <f>IF(SUMIFS('BSE - SENSEX Index Options'!$L:$L,'BSE - SENSEX Index Options'!$C:$C,$A265,'BSE - SENSEX Index Options'!$B:$B,B$147,'BSE - SENSEX Index Options'!$H:$H,"Monthly*")+SUMIFS('BSE - Other Index Options'!$L:$L,'BSE - Other Index Options'!$C:$C,$A265,'BSE - Other Index Options'!$B:$B,B$147,'BSE - Other Index Options'!$H:$H,"Monthly*")=0,"",SUMIFS('BSE - SENSEX Index Options'!$L:$L,'BSE - SENSEX Index Options'!$C:$C,$A265,'BSE - SENSEX Index Options'!$B:$B,B$147,'BSE - SENSEX Index Options'!$H:$H,"Monthly*")+SUMIFS('BSE - Other Index Options'!$L:$L,'BSE - Other Index Options'!$C:$C,$A265,'BSE - Other Index Options'!$B:$B,B$147,'BSE - Other Index Options'!$H:$H,"Monthly*"))</f>
        <v/>
      </c>
      <c r="C265" s="26" t="str">
        <f>IF(SUMIFS('BSE - SENSEX Index Options'!$L:$L,'BSE - SENSEX Index Options'!$C:$C,$A265,'BSE - SENSEX Index Options'!$B:$B,C$147,'BSE - SENSEX Index Options'!$H:$H,"Monthly*")+SUMIFS('BSE - Other Index Options'!$L:$L,'BSE - Other Index Options'!$C:$C,$A265,'BSE - Other Index Options'!$B:$B,C$147,'BSE - Other Index Options'!$H:$H,"Monthly*")=0,"",SUMIFS('BSE - SENSEX Index Options'!$L:$L,'BSE - SENSEX Index Options'!$C:$C,$A265,'BSE - SENSEX Index Options'!$B:$B,C$147,'BSE - SENSEX Index Options'!$H:$H,"Monthly*")+SUMIFS('BSE - Other Index Options'!$L:$L,'BSE - Other Index Options'!$C:$C,$A265,'BSE - Other Index Options'!$B:$B,C$147,'BSE - Other Index Options'!$H:$H,"Monthly*"))</f>
        <v/>
      </c>
      <c r="D265" s="26" t="str">
        <f>IF(SUMIFS('BSE - SENSEX Index Options'!$L:$L,'BSE - SENSEX Index Options'!$C:$C,$A265,'BSE - SENSEX Index Options'!$B:$B,D$147,'BSE - SENSEX Index Options'!$H:$H,"Monthly*")+SUMIFS('BSE - Other Index Options'!$L:$L,'BSE - Other Index Options'!$C:$C,$A265,'BSE - Other Index Options'!$B:$B,D$147,'BSE - Other Index Options'!$H:$H,"Monthly*")=0,"",SUMIFS('BSE - SENSEX Index Options'!$L:$L,'BSE - SENSEX Index Options'!$C:$C,$A265,'BSE - SENSEX Index Options'!$B:$B,D$147,'BSE - SENSEX Index Options'!$H:$H,"Monthly*")+SUMIFS('BSE - Other Index Options'!$L:$L,'BSE - Other Index Options'!$C:$C,$A265,'BSE - Other Index Options'!$B:$B,D$147,'BSE - Other Index Options'!$H:$H,"Monthly*"))</f>
        <v/>
      </c>
      <c r="E265" s="26" t="str">
        <f>IF(SUMIFS('BSE - SENSEX Index Options'!$L:$L,'BSE - SENSEX Index Options'!$C:$C,$A265,'BSE - SENSEX Index Options'!$B:$B,E$147,'BSE - SENSEX Index Options'!$H:$H,"Monthly*")+SUMIFS('BSE - Other Index Options'!$L:$L,'BSE - Other Index Options'!$C:$C,$A265,'BSE - Other Index Options'!$B:$B,E$147,'BSE - Other Index Options'!$H:$H,"Monthly*")=0,"",SUMIFS('BSE - SENSEX Index Options'!$L:$L,'BSE - SENSEX Index Options'!$C:$C,$A265,'BSE - SENSEX Index Options'!$B:$B,E$147,'BSE - SENSEX Index Options'!$H:$H,"Monthly*")+SUMIFS('BSE - Other Index Options'!$L:$L,'BSE - Other Index Options'!$C:$C,$A265,'BSE - Other Index Options'!$B:$B,E$147,'BSE - Other Index Options'!$H:$H,"Monthly*"))</f>
        <v/>
      </c>
      <c r="F265" s="26" t="str">
        <f>IF(SUMIFS('BSE - SENSEX Index Options'!$L:$L,'BSE - SENSEX Index Options'!$C:$C,$A265,'BSE - SENSEX Index Options'!$B:$B,F$147,'BSE - SENSEX Index Options'!$H:$H,"Monthly*")+SUMIFS('BSE - Other Index Options'!$L:$L,'BSE - Other Index Options'!$C:$C,$A265,'BSE - Other Index Options'!$B:$B,F$147,'BSE - Other Index Options'!$H:$H,"Monthly*")=0,"",SUMIFS('BSE - SENSEX Index Options'!$L:$L,'BSE - SENSEX Index Options'!$C:$C,$A265,'BSE - SENSEX Index Options'!$B:$B,F$147,'BSE - SENSEX Index Options'!$H:$H,"Monthly*")+SUMIFS('BSE - Other Index Options'!$L:$L,'BSE - Other Index Options'!$C:$C,$A265,'BSE - Other Index Options'!$B:$B,F$147,'BSE - Other Index Options'!$H:$H,"Monthly*"))</f>
        <v/>
      </c>
      <c r="G265" s="26" t="str">
        <f>IF(SUMIFS('BSE - SENSEX Index Options'!$L:$L,'BSE - SENSEX Index Options'!$C:$C,$A265,'BSE - SENSEX Index Options'!$B:$B,G$147,'BSE - SENSEX Index Options'!$H:$H,"Monthly*")+SUMIFS('BSE - Other Index Options'!$L:$L,'BSE - Other Index Options'!$C:$C,$A265,'BSE - Other Index Options'!$B:$B,G$147,'BSE - Other Index Options'!$H:$H,"Monthly*")=0,"",SUMIFS('BSE - SENSEX Index Options'!$L:$L,'BSE - SENSEX Index Options'!$C:$C,$A265,'BSE - SENSEX Index Options'!$B:$B,G$147,'BSE - SENSEX Index Options'!$H:$H,"Monthly*")+SUMIFS('BSE - Other Index Options'!$L:$L,'BSE - Other Index Options'!$C:$C,$A265,'BSE - Other Index Options'!$B:$B,G$147,'BSE - Other Index Options'!$H:$H,"Monthly*"))</f>
        <v/>
      </c>
      <c r="H265" s="26" t="str">
        <f t="shared" si="9"/>
        <v/>
      </c>
    </row>
    <row r="266" spans="1:8" hidden="1" outlineLevel="1">
      <c r="A266" t="s">
        <v>128</v>
      </c>
      <c r="B266" s="26" t="str">
        <f>IF(SUMIFS('BSE - SENSEX Index Options'!$L:$L,'BSE - SENSEX Index Options'!$C:$C,$A266,'BSE - SENSEX Index Options'!$B:$B,B$147,'BSE - SENSEX Index Options'!$H:$H,"Monthly*")+SUMIFS('BSE - Other Index Options'!$L:$L,'BSE - Other Index Options'!$C:$C,$A266,'BSE - Other Index Options'!$B:$B,B$147,'BSE - Other Index Options'!$H:$H,"Monthly*")=0,"",SUMIFS('BSE - SENSEX Index Options'!$L:$L,'BSE - SENSEX Index Options'!$C:$C,$A266,'BSE - SENSEX Index Options'!$B:$B,B$147,'BSE - SENSEX Index Options'!$H:$H,"Monthly*")+SUMIFS('BSE - Other Index Options'!$L:$L,'BSE - Other Index Options'!$C:$C,$A266,'BSE - Other Index Options'!$B:$B,B$147,'BSE - Other Index Options'!$H:$H,"Monthly*"))</f>
        <v/>
      </c>
      <c r="C266" s="26" t="str">
        <f>IF(SUMIFS('BSE - SENSEX Index Options'!$L:$L,'BSE - SENSEX Index Options'!$C:$C,$A266,'BSE - SENSEX Index Options'!$B:$B,C$147,'BSE - SENSEX Index Options'!$H:$H,"Monthly*")+SUMIFS('BSE - Other Index Options'!$L:$L,'BSE - Other Index Options'!$C:$C,$A266,'BSE - Other Index Options'!$B:$B,C$147,'BSE - Other Index Options'!$H:$H,"Monthly*")=0,"",SUMIFS('BSE - SENSEX Index Options'!$L:$L,'BSE - SENSEX Index Options'!$C:$C,$A266,'BSE - SENSEX Index Options'!$B:$B,C$147,'BSE - SENSEX Index Options'!$H:$H,"Monthly*")+SUMIFS('BSE - Other Index Options'!$L:$L,'BSE - Other Index Options'!$C:$C,$A266,'BSE - Other Index Options'!$B:$B,C$147,'BSE - Other Index Options'!$H:$H,"Monthly*"))</f>
        <v/>
      </c>
      <c r="D266" s="26" t="str">
        <f>IF(SUMIFS('BSE - SENSEX Index Options'!$L:$L,'BSE - SENSEX Index Options'!$C:$C,$A266,'BSE - SENSEX Index Options'!$B:$B,D$147,'BSE - SENSEX Index Options'!$H:$H,"Monthly*")+SUMIFS('BSE - Other Index Options'!$L:$L,'BSE - Other Index Options'!$C:$C,$A266,'BSE - Other Index Options'!$B:$B,D$147,'BSE - Other Index Options'!$H:$H,"Monthly*")=0,"",SUMIFS('BSE - SENSEX Index Options'!$L:$L,'BSE - SENSEX Index Options'!$C:$C,$A266,'BSE - SENSEX Index Options'!$B:$B,D$147,'BSE - SENSEX Index Options'!$H:$H,"Monthly*")+SUMIFS('BSE - Other Index Options'!$L:$L,'BSE - Other Index Options'!$C:$C,$A266,'BSE - Other Index Options'!$B:$B,D$147,'BSE - Other Index Options'!$H:$H,"Monthly*"))</f>
        <v/>
      </c>
      <c r="E266" s="26" t="str">
        <f>IF(SUMIFS('BSE - SENSEX Index Options'!$L:$L,'BSE - SENSEX Index Options'!$C:$C,$A266,'BSE - SENSEX Index Options'!$B:$B,E$147,'BSE - SENSEX Index Options'!$H:$H,"Monthly*")+SUMIFS('BSE - Other Index Options'!$L:$L,'BSE - Other Index Options'!$C:$C,$A266,'BSE - Other Index Options'!$B:$B,E$147,'BSE - Other Index Options'!$H:$H,"Monthly*")=0,"",SUMIFS('BSE - SENSEX Index Options'!$L:$L,'BSE - SENSEX Index Options'!$C:$C,$A266,'BSE - SENSEX Index Options'!$B:$B,E$147,'BSE - SENSEX Index Options'!$H:$H,"Monthly*")+SUMIFS('BSE - Other Index Options'!$L:$L,'BSE - Other Index Options'!$C:$C,$A266,'BSE - Other Index Options'!$B:$B,E$147,'BSE - Other Index Options'!$H:$H,"Monthly*"))</f>
        <v/>
      </c>
      <c r="F266" s="26" t="str">
        <f>IF(SUMIFS('BSE - SENSEX Index Options'!$L:$L,'BSE - SENSEX Index Options'!$C:$C,$A266,'BSE - SENSEX Index Options'!$B:$B,F$147,'BSE - SENSEX Index Options'!$H:$H,"Monthly*")+SUMIFS('BSE - Other Index Options'!$L:$L,'BSE - Other Index Options'!$C:$C,$A266,'BSE - Other Index Options'!$B:$B,F$147,'BSE - Other Index Options'!$H:$H,"Monthly*")=0,"",SUMIFS('BSE - SENSEX Index Options'!$L:$L,'BSE - SENSEX Index Options'!$C:$C,$A266,'BSE - SENSEX Index Options'!$B:$B,F$147,'BSE - SENSEX Index Options'!$H:$H,"Monthly*")+SUMIFS('BSE - Other Index Options'!$L:$L,'BSE - Other Index Options'!$C:$C,$A266,'BSE - Other Index Options'!$B:$B,F$147,'BSE - Other Index Options'!$H:$H,"Monthly*"))</f>
        <v/>
      </c>
      <c r="G266" s="26" t="str">
        <f>IF(SUMIFS('BSE - SENSEX Index Options'!$L:$L,'BSE - SENSEX Index Options'!$C:$C,$A266,'BSE - SENSEX Index Options'!$B:$B,G$147,'BSE - SENSEX Index Options'!$H:$H,"Monthly*")+SUMIFS('BSE - Other Index Options'!$L:$L,'BSE - Other Index Options'!$C:$C,$A266,'BSE - Other Index Options'!$B:$B,G$147,'BSE - Other Index Options'!$H:$H,"Monthly*")=0,"",SUMIFS('BSE - SENSEX Index Options'!$L:$L,'BSE - SENSEX Index Options'!$C:$C,$A266,'BSE - SENSEX Index Options'!$B:$B,G$147,'BSE - SENSEX Index Options'!$H:$H,"Monthly*")+SUMIFS('BSE - Other Index Options'!$L:$L,'BSE - Other Index Options'!$C:$C,$A266,'BSE - Other Index Options'!$B:$B,G$147,'BSE - Other Index Options'!$H:$H,"Monthly*"))</f>
        <v/>
      </c>
      <c r="H266" s="26" t="str">
        <f t="shared" si="9"/>
        <v/>
      </c>
    </row>
    <row r="267" spans="1:8" hidden="1" outlineLevel="1">
      <c r="A267" t="s">
        <v>129</v>
      </c>
      <c r="B267" s="26" t="str">
        <f>IF(SUMIFS('BSE - SENSEX Index Options'!$L:$L,'BSE - SENSEX Index Options'!$C:$C,$A267,'BSE - SENSEX Index Options'!$B:$B,B$147,'BSE - SENSEX Index Options'!$H:$H,"Monthly*")+SUMIFS('BSE - Other Index Options'!$L:$L,'BSE - Other Index Options'!$C:$C,$A267,'BSE - Other Index Options'!$B:$B,B$147,'BSE - Other Index Options'!$H:$H,"Monthly*")=0,"",SUMIFS('BSE - SENSEX Index Options'!$L:$L,'BSE - SENSEX Index Options'!$C:$C,$A267,'BSE - SENSEX Index Options'!$B:$B,B$147,'BSE - SENSEX Index Options'!$H:$H,"Monthly*")+SUMIFS('BSE - Other Index Options'!$L:$L,'BSE - Other Index Options'!$C:$C,$A267,'BSE - Other Index Options'!$B:$B,B$147,'BSE - Other Index Options'!$H:$H,"Monthly*"))</f>
        <v/>
      </c>
      <c r="C267" s="26" t="str">
        <f>IF(SUMIFS('BSE - SENSEX Index Options'!$L:$L,'BSE - SENSEX Index Options'!$C:$C,$A267,'BSE - SENSEX Index Options'!$B:$B,C$147,'BSE - SENSEX Index Options'!$H:$H,"Monthly*")+SUMIFS('BSE - Other Index Options'!$L:$L,'BSE - Other Index Options'!$C:$C,$A267,'BSE - Other Index Options'!$B:$B,C$147,'BSE - Other Index Options'!$H:$H,"Monthly*")=0,"",SUMIFS('BSE - SENSEX Index Options'!$L:$L,'BSE - SENSEX Index Options'!$C:$C,$A267,'BSE - SENSEX Index Options'!$B:$B,C$147,'BSE - SENSEX Index Options'!$H:$H,"Monthly*")+SUMIFS('BSE - Other Index Options'!$L:$L,'BSE - Other Index Options'!$C:$C,$A267,'BSE - Other Index Options'!$B:$B,C$147,'BSE - Other Index Options'!$H:$H,"Monthly*"))</f>
        <v/>
      </c>
      <c r="D267" s="26" t="str">
        <f>IF(SUMIFS('BSE - SENSEX Index Options'!$L:$L,'BSE - SENSEX Index Options'!$C:$C,$A267,'BSE - SENSEX Index Options'!$B:$B,D$147,'BSE - SENSEX Index Options'!$H:$H,"Monthly*")+SUMIFS('BSE - Other Index Options'!$L:$L,'BSE - Other Index Options'!$C:$C,$A267,'BSE - Other Index Options'!$B:$B,D$147,'BSE - Other Index Options'!$H:$H,"Monthly*")=0,"",SUMIFS('BSE - SENSEX Index Options'!$L:$L,'BSE - SENSEX Index Options'!$C:$C,$A267,'BSE - SENSEX Index Options'!$B:$B,D$147,'BSE - SENSEX Index Options'!$H:$H,"Monthly*")+SUMIFS('BSE - Other Index Options'!$L:$L,'BSE - Other Index Options'!$C:$C,$A267,'BSE - Other Index Options'!$B:$B,D$147,'BSE - Other Index Options'!$H:$H,"Monthly*"))</f>
        <v/>
      </c>
      <c r="E267" s="26" t="str">
        <f>IF(SUMIFS('BSE - SENSEX Index Options'!$L:$L,'BSE - SENSEX Index Options'!$C:$C,$A267,'BSE - SENSEX Index Options'!$B:$B,E$147,'BSE - SENSEX Index Options'!$H:$H,"Monthly*")+SUMIFS('BSE - Other Index Options'!$L:$L,'BSE - Other Index Options'!$C:$C,$A267,'BSE - Other Index Options'!$B:$B,E$147,'BSE - Other Index Options'!$H:$H,"Monthly*")=0,"",SUMIFS('BSE - SENSEX Index Options'!$L:$L,'BSE - SENSEX Index Options'!$C:$C,$A267,'BSE - SENSEX Index Options'!$B:$B,E$147,'BSE - SENSEX Index Options'!$H:$H,"Monthly*")+SUMIFS('BSE - Other Index Options'!$L:$L,'BSE - Other Index Options'!$C:$C,$A267,'BSE - Other Index Options'!$B:$B,E$147,'BSE - Other Index Options'!$H:$H,"Monthly*"))</f>
        <v/>
      </c>
      <c r="F267" s="26" t="str">
        <f>IF(SUMIFS('BSE - SENSEX Index Options'!$L:$L,'BSE - SENSEX Index Options'!$C:$C,$A267,'BSE - SENSEX Index Options'!$B:$B,F$147,'BSE - SENSEX Index Options'!$H:$H,"Monthly*")+SUMIFS('BSE - Other Index Options'!$L:$L,'BSE - Other Index Options'!$C:$C,$A267,'BSE - Other Index Options'!$B:$B,F$147,'BSE - Other Index Options'!$H:$H,"Monthly*")=0,"",SUMIFS('BSE - SENSEX Index Options'!$L:$L,'BSE - SENSEX Index Options'!$C:$C,$A267,'BSE - SENSEX Index Options'!$B:$B,F$147,'BSE - SENSEX Index Options'!$H:$H,"Monthly*")+SUMIFS('BSE - Other Index Options'!$L:$L,'BSE - Other Index Options'!$C:$C,$A267,'BSE - Other Index Options'!$B:$B,F$147,'BSE - Other Index Options'!$H:$H,"Monthly*"))</f>
        <v/>
      </c>
      <c r="G267" s="26" t="str">
        <f>IF(SUMIFS('BSE - SENSEX Index Options'!$L:$L,'BSE - SENSEX Index Options'!$C:$C,$A267,'BSE - SENSEX Index Options'!$B:$B,G$147,'BSE - SENSEX Index Options'!$H:$H,"Monthly*")+SUMIFS('BSE - Other Index Options'!$L:$L,'BSE - Other Index Options'!$C:$C,$A267,'BSE - Other Index Options'!$B:$B,G$147,'BSE - Other Index Options'!$H:$H,"Monthly*")=0,"",SUMIFS('BSE - SENSEX Index Options'!$L:$L,'BSE - SENSEX Index Options'!$C:$C,$A267,'BSE - SENSEX Index Options'!$B:$B,G$147,'BSE - SENSEX Index Options'!$H:$H,"Monthly*")+SUMIFS('BSE - Other Index Options'!$L:$L,'BSE - Other Index Options'!$C:$C,$A267,'BSE - Other Index Options'!$B:$B,G$147,'BSE - Other Index Options'!$H:$H,"Monthly*"))</f>
        <v/>
      </c>
      <c r="H267" s="26" t="str">
        <f t="shared" si="9"/>
        <v/>
      </c>
    </row>
    <row r="268" spans="1:8" hidden="1" outlineLevel="1">
      <c r="A268" t="s">
        <v>130</v>
      </c>
      <c r="B268" s="26" t="str">
        <f>IF(SUMIFS('BSE - SENSEX Index Options'!$L:$L,'BSE - SENSEX Index Options'!$C:$C,$A268,'BSE - SENSEX Index Options'!$B:$B,B$147,'BSE - SENSEX Index Options'!$H:$H,"Monthly*")+SUMIFS('BSE - Other Index Options'!$L:$L,'BSE - Other Index Options'!$C:$C,$A268,'BSE - Other Index Options'!$B:$B,B$147,'BSE - Other Index Options'!$H:$H,"Monthly*")=0,"",SUMIFS('BSE - SENSEX Index Options'!$L:$L,'BSE - SENSEX Index Options'!$C:$C,$A268,'BSE - SENSEX Index Options'!$B:$B,B$147,'BSE - SENSEX Index Options'!$H:$H,"Monthly*")+SUMIFS('BSE - Other Index Options'!$L:$L,'BSE - Other Index Options'!$C:$C,$A268,'BSE - Other Index Options'!$B:$B,B$147,'BSE - Other Index Options'!$H:$H,"Monthly*"))</f>
        <v/>
      </c>
      <c r="C268" s="26" t="str">
        <f>IF(SUMIFS('BSE - SENSEX Index Options'!$L:$L,'BSE - SENSEX Index Options'!$C:$C,$A268,'BSE - SENSEX Index Options'!$B:$B,C$147,'BSE - SENSEX Index Options'!$H:$H,"Monthly*")+SUMIFS('BSE - Other Index Options'!$L:$L,'BSE - Other Index Options'!$C:$C,$A268,'BSE - Other Index Options'!$B:$B,C$147,'BSE - Other Index Options'!$H:$H,"Monthly*")=0,"",SUMIFS('BSE - SENSEX Index Options'!$L:$L,'BSE - SENSEX Index Options'!$C:$C,$A268,'BSE - SENSEX Index Options'!$B:$B,C$147,'BSE - SENSEX Index Options'!$H:$H,"Monthly*")+SUMIFS('BSE - Other Index Options'!$L:$L,'BSE - Other Index Options'!$C:$C,$A268,'BSE - Other Index Options'!$B:$B,C$147,'BSE - Other Index Options'!$H:$H,"Monthly*"))</f>
        <v/>
      </c>
      <c r="D268" s="26" t="str">
        <f>IF(SUMIFS('BSE - SENSEX Index Options'!$L:$L,'BSE - SENSEX Index Options'!$C:$C,$A268,'BSE - SENSEX Index Options'!$B:$B,D$147,'BSE - SENSEX Index Options'!$H:$H,"Monthly*")+SUMIFS('BSE - Other Index Options'!$L:$L,'BSE - Other Index Options'!$C:$C,$A268,'BSE - Other Index Options'!$B:$B,D$147,'BSE - Other Index Options'!$H:$H,"Monthly*")=0,"",SUMIFS('BSE - SENSEX Index Options'!$L:$L,'BSE - SENSEX Index Options'!$C:$C,$A268,'BSE - SENSEX Index Options'!$B:$B,D$147,'BSE - SENSEX Index Options'!$H:$H,"Monthly*")+SUMIFS('BSE - Other Index Options'!$L:$L,'BSE - Other Index Options'!$C:$C,$A268,'BSE - Other Index Options'!$B:$B,D$147,'BSE - Other Index Options'!$H:$H,"Monthly*"))</f>
        <v/>
      </c>
      <c r="E268" s="26" t="str">
        <f>IF(SUMIFS('BSE - SENSEX Index Options'!$L:$L,'BSE - SENSEX Index Options'!$C:$C,$A268,'BSE - SENSEX Index Options'!$B:$B,E$147,'BSE - SENSEX Index Options'!$H:$H,"Monthly*")+SUMIFS('BSE - Other Index Options'!$L:$L,'BSE - Other Index Options'!$C:$C,$A268,'BSE - Other Index Options'!$B:$B,E$147,'BSE - Other Index Options'!$H:$H,"Monthly*")=0,"",SUMIFS('BSE - SENSEX Index Options'!$L:$L,'BSE - SENSEX Index Options'!$C:$C,$A268,'BSE - SENSEX Index Options'!$B:$B,E$147,'BSE - SENSEX Index Options'!$H:$H,"Monthly*")+SUMIFS('BSE - Other Index Options'!$L:$L,'BSE - Other Index Options'!$C:$C,$A268,'BSE - Other Index Options'!$B:$B,E$147,'BSE - Other Index Options'!$H:$H,"Monthly*"))</f>
        <v/>
      </c>
      <c r="F268" s="26" t="str">
        <f>IF(SUMIFS('BSE - SENSEX Index Options'!$L:$L,'BSE - SENSEX Index Options'!$C:$C,$A268,'BSE - SENSEX Index Options'!$B:$B,F$147,'BSE - SENSEX Index Options'!$H:$H,"Monthly*")+SUMIFS('BSE - Other Index Options'!$L:$L,'BSE - Other Index Options'!$C:$C,$A268,'BSE - Other Index Options'!$B:$B,F$147,'BSE - Other Index Options'!$H:$H,"Monthly*")=0,"",SUMIFS('BSE - SENSEX Index Options'!$L:$L,'BSE - SENSEX Index Options'!$C:$C,$A268,'BSE - SENSEX Index Options'!$B:$B,F$147,'BSE - SENSEX Index Options'!$H:$H,"Monthly*")+SUMIFS('BSE - Other Index Options'!$L:$L,'BSE - Other Index Options'!$C:$C,$A268,'BSE - Other Index Options'!$B:$B,F$147,'BSE - Other Index Options'!$H:$H,"Monthly*"))</f>
        <v/>
      </c>
      <c r="G268" s="26" t="str">
        <f>IF(SUMIFS('BSE - SENSEX Index Options'!$L:$L,'BSE - SENSEX Index Options'!$C:$C,$A268,'BSE - SENSEX Index Options'!$B:$B,G$147,'BSE - SENSEX Index Options'!$H:$H,"Monthly*")+SUMIFS('BSE - Other Index Options'!$L:$L,'BSE - Other Index Options'!$C:$C,$A268,'BSE - Other Index Options'!$B:$B,G$147,'BSE - Other Index Options'!$H:$H,"Monthly*")=0,"",SUMIFS('BSE - SENSEX Index Options'!$L:$L,'BSE - SENSEX Index Options'!$C:$C,$A268,'BSE - SENSEX Index Options'!$B:$B,G$147,'BSE - SENSEX Index Options'!$H:$H,"Monthly*")+SUMIFS('BSE - Other Index Options'!$L:$L,'BSE - Other Index Options'!$C:$C,$A268,'BSE - Other Index Options'!$B:$B,G$147,'BSE - Other Index Options'!$H:$H,"Monthly*"))</f>
        <v/>
      </c>
      <c r="H268" s="26" t="str">
        <f t="shared" si="9"/>
        <v/>
      </c>
    </row>
    <row r="269" spans="1:8" hidden="1" outlineLevel="1">
      <c r="A269" t="s">
        <v>131</v>
      </c>
      <c r="B269" s="26" t="str">
        <f>IF(SUMIFS('BSE - SENSEX Index Options'!$L:$L,'BSE - SENSEX Index Options'!$C:$C,$A269,'BSE - SENSEX Index Options'!$B:$B,B$147,'BSE - SENSEX Index Options'!$H:$H,"Monthly*")+SUMIFS('BSE - Other Index Options'!$L:$L,'BSE - Other Index Options'!$C:$C,$A269,'BSE - Other Index Options'!$B:$B,B$147,'BSE - Other Index Options'!$H:$H,"Monthly*")=0,"",SUMIFS('BSE - SENSEX Index Options'!$L:$L,'BSE - SENSEX Index Options'!$C:$C,$A269,'BSE - SENSEX Index Options'!$B:$B,B$147,'BSE - SENSEX Index Options'!$H:$H,"Monthly*")+SUMIFS('BSE - Other Index Options'!$L:$L,'BSE - Other Index Options'!$C:$C,$A269,'BSE - Other Index Options'!$B:$B,B$147,'BSE - Other Index Options'!$H:$H,"Monthly*"))</f>
        <v/>
      </c>
      <c r="C269" s="26" t="str">
        <f>IF(SUMIFS('BSE - SENSEX Index Options'!$L:$L,'BSE - SENSEX Index Options'!$C:$C,$A269,'BSE - SENSEX Index Options'!$B:$B,C$147,'BSE - SENSEX Index Options'!$H:$H,"Monthly*")+SUMIFS('BSE - Other Index Options'!$L:$L,'BSE - Other Index Options'!$C:$C,$A269,'BSE - Other Index Options'!$B:$B,C$147,'BSE - Other Index Options'!$H:$H,"Monthly*")=0,"",SUMIFS('BSE - SENSEX Index Options'!$L:$L,'BSE - SENSEX Index Options'!$C:$C,$A269,'BSE - SENSEX Index Options'!$B:$B,C$147,'BSE - SENSEX Index Options'!$H:$H,"Monthly*")+SUMIFS('BSE - Other Index Options'!$L:$L,'BSE - Other Index Options'!$C:$C,$A269,'BSE - Other Index Options'!$B:$B,C$147,'BSE - Other Index Options'!$H:$H,"Monthly*"))</f>
        <v/>
      </c>
      <c r="D269" s="26" t="str">
        <f>IF(SUMIFS('BSE - SENSEX Index Options'!$L:$L,'BSE - SENSEX Index Options'!$C:$C,$A269,'BSE - SENSEX Index Options'!$B:$B,D$147,'BSE - SENSEX Index Options'!$H:$H,"Monthly*")+SUMIFS('BSE - Other Index Options'!$L:$L,'BSE - Other Index Options'!$C:$C,$A269,'BSE - Other Index Options'!$B:$B,D$147,'BSE - Other Index Options'!$H:$H,"Monthly*")=0,"",SUMIFS('BSE - SENSEX Index Options'!$L:$L,'BSE - SENSEX Index Options'!$C:$C,$A269,'BSE - SENSEX Index Options'!$B:$B,D$147,'BSE - SENSEX Index Options'!$H:$H,"Monthly*")+SUMIFS('BSE - Other Index Options'!$L:$L,'BSE - Other Index Options'!$C:$C,$A269,'BSE - Other Index Options'!$B:$B,D$147,'BSE - Other Index Options'!$H:$H,"Monthly*"))</f>
        <v/>
      </c>
      <c r="E269" s="26" t="str">
        <f>IF(SUMIFS('BSE - SENSEX Index Options'!$L:$L,'BSE - SENSEX Index Options'!$C:$C,$A269,'BSE - SENSEX Index Options'!$B:$B,E$147,'BSE - SENSEX Index Options'!$H:$H,"Monthly*")+SUMIFS('BSE - Other Index Options'!$L:$L,'BSE - Other Index Options'!$C:$C,$A269,'BSE - Other Index Options'!$B:$B,E$147,'BSE - Other Index Options'!$H:$H,"Monthly*")=0,"",SUMIFS('BSE - SENSEX Index Options'!$L:$L,'BSE - SENSEX Index Options'!$C:$C,$A269,'BSE - SENSEX Index Options'!$B:$B,E$147,'BSE - SENSEX Index Options'!$H:$H,"Monthly*")+SUMIFS('BSE - Other Index Options'!$L:$L,'BSE - Other Index Options'!$C:$C,$A269,'BSE - Other Index Options'!$B:$B,E$147,'BSE - Other Index Options'!$H:$H,"Monthly*"))</f>
        <v/>
      </c>
      <c r="F269" s="26" t="str">
        <f>IF(SUMIFS('BSE - SENSEX Index Options'!$L:$L,'BSE - SENSEX Index Options'!$C:$C,$A269,'BSE - SENSEX Index Options'!$B:$B,F$147,'BSE - SENSEX Index Options'!$H:$H,"Monthly*")+SUMIFS('BSE - Other Index Options'!$L:$L,'BSE - Other Index Options'!$C:$C,$A269,'BSE - Other Index Options'!$B:$B,F$147,'BSE - Other Index Options'!$H:$H,"Monthly*")=0,"",SUMIFS('BSE - SENSEX Index Options'!$L:$L,'BSE - SENSEX Index Options'!$C:$C,$A269,'BSE - SENSEX Index Options'!$B:$B,F$147,'BSE - SENSEX Index Options'!$H:$H,"Monthly*")+SUMIFS('BSE - Other Index Options'!$L:$L,'BSE - Other Index Options'!$C:$C,$A269,'BSE - Other Index Options'!$B:$B,F$147,'BSE - Other Index Options'!$H:$H,"Monthly*"))</f>
        <v/>
      </c>
      <c r="G269" s="26" t="str">
        <f>IF(SUMIFS('BSE - SENSEX Index Options'!$L:$L,'BSE - SENSEX Index Options'!$C:$C,$A269,'BSE - SENSEX Index Options'!$B:$B,G$147,'BSE - SENSEX Index Options'!$H:$H,"Monthly*")+SUMIFS('BSE - Other Index Options'!$L:$L,'BSE - Other Index Options'!$C:$C,$A269,'BSE - Other Index Options'!$B:$B,G$147,'BSE - Other Index Options'!$H:$H,"Monthly*")=0,"",SUMIFS('BSE - SENSEX Index Options'!$L:$L,'BSE - SENSEX Index Options'!$C:$C,$A269,'BSE - SENSEX Index Options'!$B:$B,G$147,'BSE - SENSEX Index Options'!$H:$H,"Monthly*")+SUMIFS('BSE - Other Index Options'!$L:$L,'BSE - Other Index Options'!$C:$C,$A269,'BSE - Other Index Options'!$B:$B,G$147,'BSE - Other Index Options'!$H:$H,"Monthly*"))</f>
        <v/>
      </c>
      <c r="H269" s="26" t="str">
        <f t="shared" si="9"/>
        <v/>
      </c>
    </row>
    <row r="270" spans="1:8" hidden="1" outlineLevel="1">
      <c r="A270" t="s">
        <v>132</v>
      </c>
      <c r="B270" s="26" t="str">
        <f>IF(SUMIFS('BSE - SENSEX Index Options'!$L:$L,'BSE - SENSEX Index Options'!$C:$C,$A270,'BSE - SENSEX Index Options'!$B:$B,B$147,'BSE - SENSEX Index Options'!$H:$H,"Monthly*")+SUMIFS('BSE - Other Index Options'!$L:$L,'BSE - Other Index Options'!$C:$C,$A270,'BSE - Other Index Options'!$B:$B,B$147,'BSE - Other Index Options'!$H:$H,"Monthly*")=0,"",SUMIFS('BSE - SENSEX Index Options'!$L:$L,'BSE - SENSEX Index Options'!$C:$C,$A270,'BSE - SENSEX Index Options'!$B:$B,B$147,'BSE - SENSEX Index Options'!$H:$H,"Monthly*")+SUMIFS('BSE - Other Index Options'!$L:$L,'BSE - Other Index Options'!$C:$C,$A270,'BSE - Other Index Options'!$B:$B,B$147,'BSE - Other Index Options'!$H:$H,"Monthly*"))</f>
        <v/>
      </c>
      <c r="C270" s="26" t="str">
        <f>IF(SUMIFS('BSE - SENSEX Index Options'!$L:$L,'BSE - SENSEX Index Options'!$C:$C,$A270,'BSE - SENSEX Index Options'!$B:$B,C$147,'BSE - SENSEX Index Options'!$H:$H,"Monthly*")+SUMIFS('BSE - Other Index Options'!$L:$L,'BSE - Other Index Options'!$C:$C,$A270,'BSE - Other Index Options'!$B:$B,C$147,'BSE - Other Index Options'!$H:$H,"Monthly*")=0,"",SUMIFS('BSE - SENSEX Index Options'!$L:$L,'BSE - SENSEX Index Options'!$C:$C,$A270,'BSE - SENSEX Index Options'!$B:$B,C$147,'BSE - SENSEX Index Options'!$H:$H,"Monthly*")+SUMIFS('BSE - Other Index Options'!$L:$L,'BSE - Other Index Options'!$C:$C,$A270,'BSE - Other Index Options'!$B:$B,C$147,'BSE - Other Index Options'!$H:$H,"Monthly*"))</f>
        <v/>
      </c>
      <c r="D270" s="26" t="str">
        <f>IF(SUMIFS('BSE - SENSEX Index Options'!$L:$L,'BSE - SENSEX Index Options'!$C:$C,$A270,'BSE - SENSEX Index Options'!$B:$B,D$147,'BSE - SENSEX Index Options'!$H:$H,"Monthly*")+SUMIFS('BSE - Other Index Options'!$L:$L,'BSE - Other Index Options'!$C:$C,$A270,'BSE - Other Index Options'!$B:$B,D$147,'BSE - Other Index Options'!$H:$H,"Monthly*")=0,"",SUMIFS('BSE - SENSEX Index Options'!$L:$L,'BSE - SENSEX Index Options'!$C:$C,$A270,'BSE - SENSEX Index Options'!$B:$B,D$147,'BSE - SENSEX Index Options'!$H:$H,"Monthly*")+SUMIFS('BSE - Other Index Options'!$L:$L,'BSE - Other Index Options'!$C:$C,$A270,'BSE - Other Index Options'!$B:$B,D$147,'BSE - Other Index Options'!$H:$H,"Monthly*"))</f>
        <v/>
      </c>
      <c r="E270" s="26" t="str">
        <f>IF(SUMIFS('BSE - SENSEX Index Options'!$L:$L,'BSE - SENSEX Index Options'!$C:$C,$A270,'BSE - SENSEX Index Options'!$B:$B,E$147,'BSE - SENSEX Index Options'!$H:$H,"Monthly*")+SUMIFS('BSE - Other Index Options'!$L:$L,'BSE - Other Index Options'!$C:$C,$A270,'BSE - Other Index Options'!$B:$B,E$147,'BSE - Other Index Options'!$H:$H,"Monthly*")=0,"",SUMIFS('BSE - SENSEX Index Options'!$L:$L,'BSE - SENSEX Index Options'!$C:$C,$A270,'BSE - SENSEX Index Options'!$B:$B,E$147,'BSE - SENSEX Index Options'!$H:$H,"Monthly*")+SUMIFS('BSE - Other Index Options'!$L:$L,'BSE - Other Index Options'!$C:$C,$A270,'BSE - Other Index Options'!$B:$B,E$147,'BSE - Other Index Options'!$H:$H,"Monthly*"))</f>
        <v/>
      </c>
      <c r="F270" s="26" t="str">
        <f>IF(SUMIFS('BSE - SENSEX Index Options'!$L:$L,'BSE - SENSEX Index Options'!$C:$C,$A270,'BSE - SENSEX Index Options'!$B:$B,F$147,'BSE - SENSEX Index Options'!$H:$H,"Monthly*")+SUMIFS('BSE - Other Index Options'!$L:$L,'BSE - Other Index Options'!$C:$C,$A270,'BSE - Other Index Options'!$B:$B,F$147,'BSE - Other Index Options'!$H:$H,"Monthly*")=0,"",SUMIFS('BSE - SENSEX Index Options'!$L:$L,'BSE - SENSEX Index Options'!$C:$C,$A270,'BSE - SENSEX Index Options'!$B:$B,F$147,'BSE - SENSEX Index Options'!$H:$H,"Monthly*")+SUMIFS('BSE - Other Index Options'!$L:$L,'BSE - Other Index Options'!$C:$C,$A270,'BSE - Other Index Options'!$B:$B,F$147,'BSE - Other Index Options'!$H:$H,"Monthly*"))</f>
        <v/>
      </c>
      <c r="G270" s="26" t="str">
        <f>IF(SUMIFS('BSE - SENSEX Index Options'!$L:$L,'BSE - SENSEX Index Options'!$C:$C,$A270,'BSE - SENSEX Index Options'!$B:$B,G$147,'BSE - SENSEX Index Options'!$H:$H,"Monthly*")+SUMIFS('BSE - Other Index Options'!$L:$L,'BSE - Other Index Options'!$C:$C,$A270,'BSE - Other Index Options'!$B:$B,G$147,'BSE - Other Index Options'!$H:$H,"Monthly*")=0,"",SUMIFS('BSE - SENSEX Index Options'!$L:$L,'BSE - SENSEX Index Options'!$C:$C,$A270,'BSE - SENSEX Index Options'!$B:$B,G$147,'BSE - SENSEX Index Options'!$H:$H,"Monthly*")+SUMIFS('BSE - Other Index Options'!$L:$L,'BSE - Other Index Options'!$C:$C,$A270,'BSE - Other Index Options'!$B:$B,G$147,'BSE - Other Index Options'!$H:$H,"Monthly*"))</f>
        <v/>
      </c>
      <c r="H270" s="26" t="str">
        <f t="shared" si="9"/>
        <v/>
      </c>
    </row>
    <row r="271" spans="1:8" hidden="1" outlineLevel="1">
      <c r="A271" t="s">
        <v>133</v>
      </c>
      <c r="B271" s="26" t="str">
        <f>IF(SUMIFS('BSE - SENSEX Index Options'!$L:$L,'BSE - SENSEX Index Options'!$C:$C,$A271,'BSE - SENSEX Index Options'!$B:$B,B$147,'BSE - SENSEX Index Options'!$H:$H,"Monthly*")+SUMIFS('BSE - Other Index Options'!$L:$L,'BSE - Other Index Options'!$C:$C,$A271,'BSE - Other Index Options'!$B:$B,B$147,'BSE - Other Index Options'!$H:$H,"Monthly*")=0,"",SUMIFS('BSE - SENSEX Index Options'!$L:$L,'BSE - SENSEX Index Options'!$C:$C,$A271,'BSE - SENSEX Index Options'!$B:$B,B$147,'BSE - SENSEX Index Options'!$H:$H,"Monthly*")+SUMIFS('BSE - Other Index Options'!$L:$L,'BSE - Other Index Options'!$C:$C,$A271,'BSE - Other Index Options'!$B:$B,B$147,'BSE - Other Index Options'!$H:$H,"Monthly*"))</f>
        <v/>
      </c>
      <c r="C271" s="26" t="str">
        <f>IF(SUMIFS('BSE - SENSEX Index Options'!$L:$L,'BSE - SENSEX Index Options'!$C:$C,$A271,'BSE - SENSEX Index Options'!$B:$B,C$147,'BSE - SENSEX Index Options'!$H:$H,"Monthly*")+SUMIFS('BSE - Other Index Options'!$L:$L,'BSE - Other Index Options'!$C:$C,$A271,'BSE - Other Index Options'!$B:$B,C$147,'BSE - Other Index Options'!$H:$H,"Monthly*")=0,"",SUMIFS('BSE - SENSEX Index Options'!$L:$L,'BSE - SENSEX Index Options'!$C:$C,$A271,'BSE - SENSEX Index Options'!$B:$B,C$147,'BSE - SENSEX Index Options'!$H:$H,"Monthly*")+SUMIFS('BSE - Other Index Options'!$L:$L,'BSE - Other Index Options'!$C:$C,$A271,'BSE - Other Index Options'!$B:$B,C$147,'BSE - Other Index Options'!$H:$H,"Monthly*"))</f>
        <v/>
      </c>
      <c r="D271" s="26" t="str">
        <f>IF(SUMIFS('BSE - SENSEX Index Options'!$L:$L,'BSE - SENSEX Index Options'!$C:$C,$A271,'BSE - SENSEX Index Options'!$B:$B,D$147,'BSE - SENSEX Index Options'!$H:$H,"Monthly*")+SUMIFS('BSE - Other Index Options'!$L:$L,'BSE - Other Index Options'!$C:$C,$A271,'BSE - Other Index Options'!$B:$B,D$147,'BSE - Other Index Options'!$H:$H,"Monthly*")=0,"",SUMIFS('BSE - SENSEX Index Options'!$L:$L,'BSE - SENSEX Index Options'!$C:$C,$A271,'BSE - SENSEX Index Options'!$B:$B,D$147,'BSE - SENSEX Index Options'!$H:$H,"Monthly*")+SUMIFS('BSE - Other Index Options'!$L:$L,'BSE - Other Index Options'!$C:$C,$A271,'BSE - Other Index Options'!$B:$B,D$147,'BSE - Other Index Options'!$H:$H,"Monthly*"))</f>
        <v/>
      </c>
      <c r="E271" s="26" t="str">
        <f>IF(SUMIFS('BSE - SENSEX Index Options'!$L:$L,'BSE - SENSEX Index Options'!$C:$C,$A271,'BSE - SENSEX Index Options'!$B:$B,E$147,'BSE - SENSEX Index Options'!$H:$H,"Monthly*")+SUMIFS('BSE - Other Index Options'!$L:$L,'BSE - Other Index Options'!$C:$C,$A271,'BSE - Other Index Options'!$B:$B,E$147,'BSE - Other Index Options'!$H:$H,"Monthly*")=0,"",SUMIFS('BSE - SENSEX Index Options'!$L:$L,'BSE - SENSEX Index Options'!$C:$C,$A271,'BSE - SENSEX Index Options'!$B:$B,E$147,'BSE - SENSEX Index Options'!$H:$H,"Monthly*")+SUMIFS('BSE - Other Index Options'!$L:$L,'BSE - Other Index Options'!$C:$C,$A271,'BSE - Other Index Options'!$B:$B,E$147,'BSE - Other Index Options'!$H:$H,"Monthly*"))</f>
        <v/>
      </c>
      <c r="F271" s="26" t="str">
        <f>IF(SUMIFS('BSE - SENSEX Index Options'!$L:$L,'BSE - SENSEX Index Options'!$C:$C,$A271,'BSE - SENSEX Index Options'!$B:$B,F$147,'BSE - SENSEX Index Options'!$H:$H,"Monthly*")+SUMIFS('BSE - Other Index Options'!$L:$L,'BSE - Other Index Options'!$C:$C,$A271,'BSE - Other Index Options'!$B:$B,F$147,'BSE - Other Index Options'!$H:$H,"Monthly*")=0,"",SUMIFS('BSE - SENSEX Index Options'!$L:$L,'BSE - SENSEX Index Options'!$C:$C,$A271,'BSE - SENSEX Index Options'!$B:$B,F$147,'BSE - SENSEX Index Options'!$H:$H,"Monthly*")+SUMIFS('BSE - Other Index Options'!$L:$L,'BSE - Other Index Options'!$C:$C,$A271,'BSE - Other Index Options'!$B:$B,F$147,'BSE - Other Index Options'!$H:$H,"Monthly*"))</f>
        <v/>
      </c>
      <c r="G271" s="26" t="str">
        <f>IF(SUMIFS('BSE - SENSEX Index Options'!$L:$L,'BSE - SENSEX Index Options'!$C:$C,$A271,'BSE - SENSEX Index Options'!$B:$B,G$147,'BSE - SENSEX Index Options'!$H:$H,"Monthly*")+SUMIFS('BSE - Other Index Options'!$L:$L,'BSE - Other Index Options'!$C:$C,$A271,'BSE - Other Index Options'!$B:$B,G$147,'BSE - Other Index Options'!$H:$H,"Monthly*")=0,"",SUMIFS('BSE - SENSEX Index Options'!$L:$L,'BSE - SENSEX Index Options'!$C:$C,$A271,'BSE - SENSEX Index Options'!$B:$B,G$147,'BSE - SENSEX Index Options'!$H:$H,"Monthly*")+SUMIFS('BSE - Other Index Options'!$L:$L,'BSE - Other Index Options'!$C:$C,$A271,'BSE - Other Index Options'!$B:$B,G$147,'BSE - Other Index Options'!$H:$H,"Monthly*"))</f>
        <v/>
      </c>
      <c r="H271" s="26" t="str">
        <f t="shared" si="9"/>
        <v/>
      </c>
    </row>
    <row r="272" spans="1:8" hidden="1" outlineLevel="1">
      <c r="A272" t="s">
        <v>134</v>
      </c>
      <c r="B272" s="26" t="str">
        <f>IF(SUMIFS('BSE - SENSEX Index Options'!$L:$L,'BSE - SENSEX Index Options'!$C:$C,$A272,'BSE - SENSEX Index Options'!$B:$B,B$147,'BSE - SENSEX Index Options'!$H:$H,"Monthly*")+SUMIFS('BSE - Other Index Options'!$L:$L,'BSE - Other Index Options'!$C:$C,$A272,'BSE - Other Index Options'!$B:$B,B$147,'BSE - Other Index Options'!$H:$H,"Monthly*")=0,"",SUMIFS('BSE - SENSEX Index Options'!$L:$L,'BSE - SENSEX Index Options'!$C:$C,$A272,'BSE - SENSEX Index Options'!$B:$B,B$147,'BSE - SENSEX Index Options'!$H:$H,"Monthly*")+SUMIFS('BSE - Other Index Options'!$L:$L,'BSE - Other Index Options'!$C:$C,$A272,'BSE - Other Index Options'!$B:$B,B$147,'BSE - Other Index Options'!$H:$H,"Monthly*"))</f>
        <v/>
      </c>
      <c r="C272" s="26" t="str">
        <f>IF(SUMIFS('BSE - SENSEX Index Options'!$L:$L,'BSE - SENSEX Index Options'!$C:$C,$A272,'BSE - SENSEX Index Options'!$B:$B,C$147,'BSE - SENSEX Index Options'!$H:$H,"Monthly*")+SUMIFS('BSE - Other Index Options'!$L:$L,'BSE - Other Index Options'!$C:$C,$A272,'BSE - Other Index Options'!$B:$B,C$147,'BSE - Other Index Options'!$H:$H,"Monthly*")=0,"",SUMIFS('BSE - SENSEX Index Options'!$L:$L,'BSE - SENSEX Index Options'!$C:$C,$A272,'BSE - SENSEX Index Options'!$B:$B,C$147,'BSE - SENSEX Index Options'!$H:$H,"Monthly*")+SUMIFS('BSE - Other Index Options'!$L:$L,'BSE - Other Index Options'!$C:$C,$A272,'BSE - Other Index Options'!$B:$B,C$147,'BSE - Other Index Options'!$H:$H,"Monthly*"))</f>
        <v/>
      </c>
      <c r="D272" s="26" t="str">
        <f>IF(SUMIFS('BSE - SENSEX Index Options'!$L:$L,'BSE - SENSEX Index Options'!$C:$C,$A272,'BSE - SENSEX Index Options'!$B:$B,D$147,'BSE - SENSEX Index Options'!$H:$H,"Monthly*")+SUMIFS('BSE - Other Index Options'!$L:$L,'BSE - Other Index Options'!$C:$C,$A272,'BSE - Other Index Options'!$B:$B,D$147,'BSE - Other Index Options'!$H:$H,"Monthly*")=0,"",SUMIFS('BSE - SENSEX Index Options'!$L:$L,'BSE - SENSEX Index Options'!$C:$C,$A272,'BSE - SENSEX Index Options'!$B:$B,D$147,'BSE - SENSEX Index Options'!$H:$H,"Monthly*")+SUMIFS('BSE - Other Index Options'!$L:$L,'BSE - Other Index Options'!$C:$C,$A272,'BSE - Other Index Options'!$B:$B,D$147,'BSE - Other Index Options'!$H:$H,"Monthly*"))</f>
        <v/>
      </c>
      <c r="E272" s="26" t="str">
        <f>IF(SUMIFS('BSE - SENSEX Index Options'!$L:$L,'BSE - SENSEX Index Options'!$C:$C,$A272,'BSE - SENSEX Index Options'!$B:$B,E$147,'BSE - SENSEX Index Options'!$H:$H,"Monthly*")+SUMIFS('BSE - Other Index Options'!$L:$L,'BSE - Other Index Options'!$C:$C,$A272,'BSE - Other Index Options'!$B:$B,E$147,'BSE - Other Index Options'!$H:$H,"Monthly*")=0,"",SUMIFS('BSE - SENSEX Index Options'!$L:$L,'BSE - SENSEX Index Options'!$C:$C,$A272,'BSE - SENSEX Index Options'!$B:$B,E$147,'BSE - SENSEX Index Options'!$H:$H,"Monthly*")+SUMIFS('BSE - Other Index Options'!$L:$L,'BSE - Other Index Options'!$C:$C,$A272,'BSE - Other Index Options'!$B:$B,E$147,'BSE - Other Index Options'!$H:$H,"Monthly*"))</f>
        <v/>
      </c>
      <c r="F272" s="26" t="str">
        <f>IF(SUMIFS('BSE - SENSEX Index Options'!$L:$L,'BSE - SENSEX Index Options'!$C:$C,$A272,'BSE - SENSEX Index Options'!$B:$B,F$147,'BSE - SENSEX Index Options'!$H:$H,"Monthly*")+SUMIFS('BSE - Other Index Options'!$L:$L,'BSE - Other Index Options'!$C:$C,$A272,'BSE - Other Index Options'!$B:$B,F$147,'BSE - Other Index Options'!$H:$H,"Monthly*")=0,"",SUMIFS('BSE - SENSEX Index Options'!$L:$L,'BSE - SENSEX Index Options'!$C:$C,$A272,'BSE - SENSEX Index Options'!$B:$B,F$147,'BSE - SENSEX Index Options'!$H:$H,"Monthly*")+SUMIFS('BSE - Other Index Options'!$L:$L,'BSE - Other Index Options'!$C:$C,$A272,'BSE - Other Index Options'!$B:$B,F$147,'BSE - Other Index Options'!$H:$H,"Monthly*"))</f>
        <v/>
      </c>
      <c r="G272" s="26" t="str">
        <f>IF(SUMIFS('BSE - SENSEX Index Options'!$L:$L,'BSE - SENSEX Index Options'!$C:$C,$A272,'BSE - SENSEX Index Options'!$B:$B,G$147,'BSE - SENSEX Index Options'!$H:$H,"Monthly*")+SUMIFS('BSE - Other Index Options'!$L:$L,'BSE - Other Index Options'!$C:$C,$A272,'BSE - Other Index Options'!$B:$B,G$147,'BSE - Other Index Options'!$H:$H,"Monthly*")=0,"",SUMIFS('BSE - SENSEX Index Options'!$L:$L,'BSE - SENSEX Index Options'!$C:$C,$A272,'BSE - SENSEX Index Options'!$B:$B,G$147,'BSE - SENSEX Index Options'!$H:$H,"Monthly*")+SUMIFS('BSE - Other Index Options'!$L:$L,'BSE - Other Index Options'!$C:$C,$A272,'BSE - Other Index Options'!$B:$B,G$147,'BSE - Other Index Options'!$H:$H,"Monthly*"))</f>
        <v/>
      </c>
      <c r="H272" s="26" t="str">
        <f t="shared" si="9"/>
        <v/>
      </c>
    </row>
    <row r="273" spans="1:8" hidden="1" outlineLevel="1">
      <c r="A273" t="s">
        <v>135</v>
      </c>
      <c r="B273" s="26" t="str">
        <f>IF(SUMIFS('BSE - SENSEX Index Options'!$L:$L,'BSE - SENSEX Index Options'!$C:$C,$A273,'BSE - SENSEX Index Options'!$B:$B,B$147,'BSE - SENSEX Index Options'!$H:$H,"Monthly*")+SUMIFS('BSE - Other Index Options'!$L:$L,'BSE - Other Index Options'!$C:$C,$A273,'BSE - Other Index Options'!$B:$B,B$147,'BSE - Other Index Options'!$H:$H,"Monthly*")=0,"",SUMIFS('BSE - SENSEX Index Options'!$L:$L,'BSE - SENSEX Index Options'!$C:$C,$A273,'BSE - SENSEX Index Options'!$B:$B,B$147,'BSE - SENSEX Index Options'!$H:$H,"Monthly*")+SUMIFS('BSE - Other Index Options'!$L:$L,'BSE - Other Index Options'!$C:$C,$A273,'BSE - Other Index Options'!$B:$B,B$147,'BSE - Other Index Options'!$H:$H,"Monthly*"))</f>
        <v/>
      </c>
      <c r="C273" s="26" t="str">
        <f>IF(SUMIFS('BSE - SENSEX Index Options'!$L:$L,'BSE - SENSEX Index Options'!$C:$C,$A273,'BSE - SENSEX Index Options'!$B:$B,C$147,'BSE - SENSEX Index Options'!$H:$H,"Monthly*")+SUMIFS('BSE - Other Index Options'!$L:$L,'BSE - Other Index Options'!$C:$C,$A273,'BSE - Other Index Options'!$B:$B,C$147,'BSE - Other Index Options'!$H:$H,"Monthly*")=0,"",SUMIFS('BSE - SENSEX Index Options'!$L:$L,'BSE - SENSEX Index Options'!$C:$C,$A273,'BSE - SENSEX Index Options'!$B:$B,C$147,'BSE - SENSEX Index Options'!$H:$H,"Monthly*")+SUMIFS('BSE - Other Index Options'!$L:$L,'BSE - Other Index Options'!$C:$C,$A273,'BSE - Other Index Options'!$B:$B,C$147,'BSE - Other Index Options'!$H:$H,"Monthly*"))</f>
        <v/>
      </c>
      <c r="D273" s="26" t="str">
        <f>IF(SUMIFS('BSE - SENSEX Index Options'!$L:$L,'BSE - SENSEX Index Options'!$C:$C,$A273,'BSE - SENSEX Index Options'!$B:$B,D$147,'BSE - SENSEX Index Options'!$H:$H,"Monthly*")+SUMIFS('BSE - Other Index Options'!$L:$L,'BSE - Other Index Options'!$C:$C,$A273,'BSE - Other Index Options'!$B:$B,D$147,'BSE - Other Index Options'!$H:$H,"Monthly*")=0,"",SUMIFS('BSE - SENSEX Index Options'!$L:$L,'BSE - SENSEX Index Options'!$C:$C,$A273,'BSE - SENSEX Index Options'!$B:$B,D$147,'BSE - SENSEX Index Options'!$H:$H,"Monthly*")+SUMIFS('BSE - Other Index Options'!$L:$L,'BSE - Other Index Options'!$C:$C,$A273,'BSE - Other Index Options'!$B:$B,D$147,'BSE - Other Index Options'!$H:$H,"Monthly*"))</f>
        <v/>
      </c>
      <c r="E273" s="26" t="str">
        <f>IF(SUMIFS('BSE - SENSEX Index Options'!$L:$L,'BSE - SENSEX Index Options'!$C:$C,$A273,'BSE - SENSEX Index Options'!$B:$B,E$147,'BSE - SENSEX Index Options'!$H:$H,"Monthly*")+SUMIFS('BSE - Other Index Options'!$L:$L,'BSE - Other Index Options'!$C:$C,$A273,'BSE - Other Index Options'!$B:$B,E$147,'BSE - Other Index Options'!$H:$H,"Monthly*")=0,"",SUMIFS('BSE - SENSEX Index Options'!$L:$L,'BSE - SENSEX Index Options'!$C:$C,$A273,'BSE - SENSEX Index Options'!$B:$B,E$147,'BSE - SENSEX Index Options'!$H:$H,"Monthly*")+SUMIFS('BSE - Other Index Options'!$L:$L,'BSE - Other Index Options'!$C:$C,$A273,'BSE - Other Index Options'!$B:$B,E$147,'BSE - Other Index Options'!$H:$H,"Monthly*"))</f>
        <v/>
      </c>
      <c r="F273" s="26" t="str">
        <f>IF(SUMIFS('BSE - SENSEX Index Options'!$L:$L,'BSE - SENSEX Index Options'!$C:$C,$A273,'BSE - SENSEX Index Options'!$B:$B,F$147,'BSE - SENSEX Index Options'!$H:$H,"Monthly*")+SUMIFS('BSE - Other Index Options'!$L:$L,'BSE - Other Index Options'!$C:$C,$A273,'BSE - Other Index Options'!$B:$B,F$147,'BSE - Other Index Options'!$H:$H,"Monthly*")=0,"",SUMIFS('BSE - SENSEX Index Options'!$L:$L,'BSE - SENSEX Index Options'!$C:$C,$A273,'BSE - SENSEX Index Options'!$B:$B,F$147,'BSE - SENSEX Index Options'!$H:$H,"Monthly*")+SUMIFS('BSE - Other Index Options'!$L:$L,'BSE - Other Index Options'!$C:$C,$A273,'BSE - Other Index Options'!$B:$B,F$147,'BSE - Other Index Options'!$H:$H,"Monthly*"))</f>
        <v/>
      </c>
      <c r="G273" s="26" t="str">
        <f>IF(SUMIFS('BSE - SENSEX Index Options'!$L:$L,'BSE - SENSEX Index Options'!$C:$C,$A273,'BSE - SENSEX Index Options'!$B:$B,G$147,'BSE - SENSEX Index Options'!$H:$H,"Monthly*")+SUMIFS('BSE - Other Index Options'!$L:$L,'BSE - Other Index Options'!$C:$C,$A273,'BSE - Other Index Options'!$B:$B,G$147,'BSE - Other Index Options'!$H:$H,"Monthly*")=0,"",SUMIFS('BSE - SENSEX Index Options'!$L:$L,'BSE - SENSEX Index Options'!$C:$C,$A273,'BSE - SENSEX Index Options'!$B:$B,G$147,'BSE - SENSEX Index Options'!$H:$H,"Monthly*")+SUMIFS('BSE - Other Index Options'!$L:$L,'BSE - Other Index Options'!$C:$C,$A273,'BSE - Other Index Options'!$B:$B,G$147,'BSE - Other Index Options'!$H:$H,"Monthly*"))</f>
        <v/>
      </c>
      <c r="H273" s="26" t="str">
        <f t="shared" si="9"/>
        <v/>
      </c>
    </row>
    <row r="274" spans="1:8" hidden="1" outlineLevel="1">
      <c r="A274" t="s">
        <v>136</v>
      </c>
      <c r="B274" s="26" t="str">
        <f>IF(SUMIFS('BSE - SENSEX Index Options'!$L:$L,'BSE - SENSEX Index Options'!$C:$C,$A274,'BSE - SENSEX Index Options'!$B:$B,B$147,'BSE - SENSEX Index Options'!$H:$H,"Monthly*")+SUMIFS('BSE - Other Index Options'!$L:$L,'BSE - Other Index Options'!$C:$C,$A274,'BSE - Other Index Options'!$B:$B,B$147,'BSE - Other Index Options'!$H:$H,"Monthly*")=0,"",SUMIFS('BSE - SENSEX Index Options'!$L:$L,'BSE - SENSEX Index Options'!$C:$C,$A274,'BSE - SENSEX Index Options'!$B:$B,B$147,'BSE - SENSEX Index Options'!$H:$H,"Monthly*")+SUMIFS('BSE - Other Index Options'!$L:$L,'BSE - Other Index Options'!$C:$C,$A274,'BSE - Other Index Options'!$B:$B,B$147,'BSE - Other Index Options'!$H:$H,"Monthly*"))</f>
        <v/>
      </c>
      <c r="C274" s="26" t="str">
        <f>IF(SUMIFS('BSE - SENSEX Index Options'!$L:$L,'BSE - SENSEX Index Options'!$C:$C,$A274,'BSE - SENSEX Index Options'!$B:$B,C$147,'BSE - SENSEX Index Options'!$H:$H,"Monthly*")+SUMIFS('BSE - Other Index Options'!$L:$L,'BSE - Other Index Options'!$C:$C,$A274,'BSE - Other Index Options'!$B:$B,C$147,'BSE - Other Index Options'!$H:$H,"Monthly*")=0,"",SUMIFS('BSE - SENSEX Index Options'!$L:$L,'BSE - SENSEX Index Options'!$C:$C,$A274,'BSE - SENSEX Index Options'!$B:$B,C$147,'BSE - SENSEX Index Options'!$H:$H,"Monthly*")+SUMIFS('BSE - Other Index Options'!$L:$L,'BSE - Other Index Options'!$C:$C,$A274,'BSE - Other Index Options'!$B:$B,C$147,'BSE - Other Index Options'!$H:$H,"Monthly*"))</f>
        <v/>
      </c>
      <c r="D274" s="26" t="str">
        <f>IF(SUMIFS('BSE - SENSEX Index Options'!$L:$L,'BSE - SENSEX Index Options'!$C:$C,$A274,'BSE - SENSEX Index Options'!$B:$B,D$147,'BSE - SENSEX Index Options'!$H:$H,"Monthly*")+SUMIFS('BSE - Other Index Options'!$L:$L,'BSE - Other Index Options'!$C:$C,$A274,'BSE - Other Index Options'!$B:$B,D$147,'BSE - Other Index Options'!$H:$H,"Monthly*")=0,"",SUMIFS('BSE - SENSEX Index Options'!$L:$L,'BSE - SENSEX Index Options'!$C:$C,$A274,'BSE - SENSEX Index Options'!$B:$B,D$147,'BSE - SENSEX Index Options'!$H:$H,"Monthly*")+SUMIFS('BSE - Other Index Options'!$L:$L,'BSE - Other Index Options'!$C:$C,$A274,'BSE - Other Index Options'!$B:$B,D$147,'BSE - Other Index Options'!$H:$H,"Monthly*"))</f>
        <v/>
      </c>
      <c r="E274" s="26" t="str">
        <f>IF(SUMIFS('BSE - SENSEX Index Options'!$L:$L,'BSE - SENSEX Index Options'!$C:$C,$A274,'BSE - SENSEX Index Options'!$B:$B,E$147,'BSE - SENSEX Index Options'!$H:$H,"Monthly*")+SUMIFS('BSE - Other Index Options'!$L:$L,'BSE - Other Index Options'!$C:$C,$A274,'BSE - Other Index Options'!$B:$B,E$147,'BSE - Other Index Options'!$H:$H,"Monthly*")=0,"",SUMIFS('BSE - SENSEX Index Options'!$L:$L,'BSE - SENSEX Index Options'!$C:$C,$A274,'BSE - SENSEX Index Options'!$B:$B,E$147,'BSE - SENSEX Index Options'!$H:$H,"Monthly*")+SUMIFS('BSE - Other Index Options'!$L:$L,'BSE - Other Index Options'!$C:$C,$A274,'BSE - Other Index Options'!$B:$B,E$147,'BSE - Other Index Options'!$H:$H,"Monthly*"))</f>
        <v/>
      </c>
      <c r="F274" s="26" t="str">
        <f>IF(SUMIFS('BSE - SENSEX Index Options'!$L:$L,'BSE - SENSEX Index Options'!$C:$C,$A274,'BSE - SENSEX Index Options'!$B:$B,F$147,'BSE - SENSEX Index Options'!$H:$H,"Monthly*")+SUMIFS('BSE - Other Index Options'!$L:$L,'BSE - Other Index Options'!$C:$C,$A274,'BSE - Other Index Options'!$B:$B,F$147,'BSE - Other Index Options'!$H:$H,"Monthly*")=0,"",SUMIFS('BSE - SENSEX Index Options'!$L:$L,'BSE - SENSEX Index Options'!$C:$C,$A274,'BSE - SENSEX Index Options'!$B:$B,F$147,'BSE - SENSEX Index Options'!$H:$H,"Monthly*")+SUMIFS('BSE - Other Index Options'!$L:$L,'BSE - Other Index Options'!$C:$C,$A274,'BSE - Other Index Options'!$B:$B,F$147,'BSE - Other Index Options'!$H:$H,"Monthly*"))</f>
        <v/>
      </c>
      <c r="G274" s="26" t="str">
        <f>IF(SUMIFS('BSE - SENSEX Index Options'!$L:$L,'BSE - SENSEX Index Options'!$C:$C,$A274,'BSE - SENSEX Index Options'!$B:$B,G$147,'BSE - SENSEX Index Options'!$H:$H,"Monthly*")+SUMIFS('BSE - Other Index Options'!$L:$L,'BSE - Other Index Options'!$C:$C,$A274,'BSE - Other Index Options'!$B:$B,G$147,'BSE - Other Index Options'!$H:$H,"Monthly*")=0,"",SUMIFS('BSE - SENSEX Index Options'!$L:$L,'BSE - SENSEX Index Options'!$C:$C,$A274,'BSE - SENSEX Index Options'!$B:$B,G$147,'BSE - SENSEX Index Options'!$H:$H,"Monthly*")+SUMIFS('BSE - Other Index Options'!$L:$L,'BSE - Other Index Options'!$C:$C,$A274,'BSE - Other Index Options'!$B:$B,G$147,'BSE - Other Index Options'!$H:$H,"Monthly*"))</f>
        <v/>
      </c>
      <c r="H274" s="26" t="str">
        <f t="shared" si="9"/>
        <v/>
      </c>
    </row>
    <row r="275" spans="1:8" hidden="1" outlineLevel="1">
      <c r="A275" t="s">
        <v>137</v>
      </c>
      <c r="B275" s="26" t="str">
        <f>IF(SUMIFS('BSE - SENSEX Index Options'!$L:$L,'BSE - SENSEX Index Options'!$C:$C,$A275,'BSE - SENSEX Index Options'!$B:$B,B$147,'BSE - SENSEX Index Options'!$H:$H,"Monthly*")+SUMIFS('BSE - Other Index Options'!$L:$L,'BSE - Other Index Options'!$C:$C,$A275,'BSE - Other Index Options'!$B:$B,B$147,'BSE - Other Index Options'!$H:$H,"Monthly*")=0,"",SUMIFS('BSE - SENSEX Index Options'!$L:$L,'BSE - SENSEX Index Options'!$C:$C,$A275,'BSE - SENSEX Index Options'!$B:$B,B$147,'BSE - SENSEX Index Options'!$H:$H,"Monthly*")+SUMIFS('BSE - Other Index Options'!$L:$L,'BSE - Other Index Options'!$C:$C,$A275,'BSE - Other Index Options'!$B:$B,B$147,'BSE - Other Index Options'!$H:$H,"Monthly*"))</f>
        <v/>
      </c>
      <c r="C275" s="26" t="str">
        <f>IF(SUMIFS('BSE - SENSEX Index Options'!$L:$L,'BSE - SENSEX Index Options'!$C:$C,$A275,'BSE - SENSEX Index Options'!$B:$B,C$147,'BSE - SENSEX Index Options'!$H:$H,"Monthly*")+SUMIFS('BSE - Other Index Options'!$L:$L,'BSE - Other Index Options'!$C:$C,$A275,'BSE - Other Index Options'!$B:$B,C$147,'BSE - Other Index Options'!$H:$H,"Monthly*")=0,"",SUMIFS('BSE - SENSEX Index Options'!$L:$L,'BSE - SENSEX Index Options'!$C:$C,$A275,'BSE - SENSEX Index Options'!$B:$B,C$147,'BSE - SENSEX Index Options'!$H:$H,"Monthly*")+SUMIFS('BSE - Other Index Options'!$L:$L,'BSE - Other Index Options'!$C:$C,$A275,'BSE - Other Index Options'!$B:$B,C$147,'BSE - Other Index Options'!$H:$H,"Monthly*"))</f>
        <v/>
      </c>
      <c r="D275" s="26" t="str">
        <f>IF(SUMIFS('BSE - SENSEX Index Options'!$L:$L,'BSE - SENSEX Index Options'!$C:$C,$A275,'BSE - SENSEX Index Options'!$B:$B,D$147,'BSE - SENSEX Index Options'!$H:$H,"Monthly*")+SUMIFS('BSE - Other Index Options'!$L:$L,'BSE - Other Index Options'!$C:$C,$A275,'BSE - Other Index Options'!$B:$B,D$147,'BSE - Other Index Options'!$H:$H,"Monthly*")=0,"",SUMIFS('BSE - SENSEX Index Options'!$L:$L,'BSE - SENSEX Index Options'!$C:$C,$A275,'BSE - SENSEX Index Options'!$B:$B,D$147,'BSE - SENSEX Index Options'!$H:$H,"Monthly*")+SUMIFS('BSE - Other Index Options'!$L:$L,'BSE - Other Index Options'!$C:$C,$A275,'BSE - Other Index Options'!$B:$B,D$147,'BSE - Other Index Options'!$H:$H,"Monthly*"))</f>
        <v/>
      </c>
      <c r="E275" s="26" t="str">
        <f>IF(SUMIFS('BSE - SENSEX Index Options'!$L:$L,'BSE - SENSEX Index Options'!$C:$C,$A275,'BSE - SENSEX Index Options'!$B:$B,E$147,'BSE - SENSEX Index Options'!$H:$H,"Monthly*")+SUMIFS('BSE - Other Index Options'!$L:$L,'BSE - Other Index Options'!$C:$C,$A275,'BSE - Other Index Options'!$B:$B,E$147,'BSE - Other Index Options'!$H:$H,"Monthly*")=0,"",SUMIFS('BSE - SENSEX Index Options'!$L:$L,'BSE - SENSEX Index Options'!$C:$C,$A275,'BSE - SENSEX Index Options'!$B:$B,E$147,'BSE - SENSEX Index Options'!$H:$H,"Monthly*")+SUMIFS('BSE - Other Index Options'!$L:$L,'BSE - Other Index Options'!$C:$C,$A275,'BSE - Other Index Options'!$B:$B,E$147,'BSE - Other Index Options'!$H:$H,"Monthly*"))</f>
        <v/>
      </c>
      <c r="F275" s="26" t="str">
        <f>IF(SUMIFS('BSE - SENSEX Index Options'!$L:$L,'BSE - SENSEX Index Options'!$C:$C,$A275,'BSE - SENSEX Index Options'!$B:$B,F$147,'BSE - SENSEX Index Options'!$H:$H,"Monthly*")+SUMIFS('BSE - Other Index Options'!$L:$L,'BSE - Other Index Options'!$C:$C,$A275,'BSE - Other Index Options'!$B:$B,F$147,'BSE - Other Index Options'!$H:$H,"Monthly*")=0,"",SUMIFS('BSE - SENSEX Index Options'!$L:$L,'BSE - SENSEX Index Options'!$C:$C,$A275,'BSE - SENSEX Index Options'!$B:$B,F$147,'BSE - SENSEX Index Options'!$H:$H,"Monthly*")+SUMIFS('BSE - Other Index Options'!$L:$L,'BSE - Other Index Options'!$C:$C,$A275,'BSE - Other Index Options'!$B:$B,F$147,'BSE - Other Index Options'!$H:$H,"Monthly*"))</f>
        <v/>
      </c>
      <c r="G275" s="26" t="str">
        <f>IF(SUMIFS('BSE - SENSEX Index Options'!$L:$L,'BSE - SENSEX Index Options'!$C:$C,$A275,'BSE - SENSEX Index Options'!$B:$B,G$147,'BSE - SENSEX Index Options'!$H:$H,"Monthly*")+SUMIFS('BSE - Other Index Options'!$L:$L,'BSE - Other Index Options'!$C:$C,$A275,'BSE - Other Index Options'!$B:$B,G$147,'BSE - Other Index Options'!$H:$H,"Monthly*")=0,"",SUMIFS('BSE - SENSEX Index Options'!$L:$L,'BSE - SENSEX Index Options'!$C:$C,$A275,'BSE - SENSEX Index Options'!$B:$B,G$147,'BSE - SENSEX Index Options'!$H:$H,"Monthly*")+SUMIFS('BSE - Other Index Options'!$L:$L,'BSE - Other Index Options'!$C:$C,$A275,'BSE - Other Index Options'!$B:$B,G$147,'BSE - Other Index Options'!$H:$H,"Monthly*"))</f>
        <v/>
      </c>
      <c r="H275" s="26" t="str">
        <f t="shared" si="9"/>
        <v/>
      </c>
    </row>
    <row r="276" spans="1:8" hidden="1" outlineLevel="1">
      <c r="A276" t="s">
        <v>138</v>
      </c>
      <c r="B276" s="26" t="str">
        <f>IF(SUMIFS('BSE - SENSEX Index Options'!$L:$L,'BSE - SENSEX Index Options'!$C:$C,$A276,'BSE - SENSEX Index Options'!$B:$B,B$147,'BSE - SENSEX Index Options'!$H:$H,"Monthly*")+SUMIFS('BSE - Other Index Options'!$L:$L,'BSE - Other Index Options'!$C:$C,$A276,'BSE - Other Index Options'!$B:$B,B$147,'BSE - Other Index Options'!$H:$H,"Monthly*")=0,"",SUMIFS('BSE - SENSEX Index Options'!$L:$L,'BSE - SENSEX Index Options'!$C:$C,$A276,'BSE - SENSEX Index Options'!$B:$B,B$147,'BSE - SENSEX Index Options'!$H:$H,"Monthly*")+SUMIFS('BSE - Other Index Options'!$L:$L,'BSE - Other Index Options'!$C:$C,$A276,'BSE - Other Index Options'!$B:$B,B$147,'BSE - Other Index Options'!$H:$H,"Monthly*"))</f>
        <v/>
      </c>
      <c r="C276" s="26" t="str">
        <f>IF(SUMIFS('BSE - SENSEX Index Options'!$L:$L,'BSE - SENSEX Index Options'!$C:$C,$A276,'BSE - SENSEX Index Options'!$B:$B,C$147,'BSE - SENSEX Index Options'!$H:$H,"Monthly*")+SUMIFS('BSE - Other Index Options'!$L:$L,'BSE - Other Index Options'!$C:$C,$A276,'BSE - Other Index Options'!$B:$B,C$147,'BSE - Other Index Options'!$H:$H,"Monthly*")=0,"",SUMIFS('BSE - SENSEX Index Options'!$L:$L,'BSE - SENSEX Index Options'!$C:$C,$A276,'BSE - SENSEX Index Options'!$B:$B,C$147,'BSE - SENSEX Index Options'!$H:$H,"Monthly*")+SUMIFS('BSE - Other Index Options'!$L:$L,'BSE - Other Index Options'!$C:$C,$A276,'BSE - Other Index Options'!$B:$B,C$147,'BSE - Other Index Options'!$H:$H,"Monthly*"))</f>
        <v/>
      </c>
      <c r="D276" s="26" t="str">
        <f>IF(SUMIFS('BSE - SENSEX Index Options'!$L:$L,'BSE - SENSEX Index Options'!$C:$C,$A276,'BSE - SENSEX Index Options'!$B:$B,D$147,'BSE - SENSEX Index Options'!$H:$H,"Monthly*")+SUMIFS('BSE - Other Index Options'!$L:$L,'BSE - Other Index Options'!$C:$C,$A276,'BSE - Other Index Options'!$B:$B,D$147,'BSE - Other Index Options'!$H:$H,"Monthly*")=0,"",SUMIFS('BSE - SENSEX Index Options'!$L:$L,'BSE - SENSEX Index Options'!$C:$C,$A276,'BSE - SENSEX Index Options'!$B:$B,D$147,'BSE - SENSEX Index Options'!$H:$H,"Monthly*")+SUMIFS('BSE - Other Index Options'!$L:$L,'BSE - Other Index Options'!$C:$C,$A276,'BSE - Other Index Options'!$B:$B,D$147,'BSE - Other Index Options'!$H:$H,"Monthly*"))</f>
        <v/>
      </c>
      <c r="E276" s="26" t="str">
        <f>IF(SUMIFS('BSE - SENSEX Index Options'!$L:$L,'BSE - SENSEX Index Options'!$C:$C,$A276,'BSE - SENSEX Index Options'!$B:$B,E$147,'BSE - SENSEX Index Options'!$H:$H,"Monthly*")+SUMIFS('BSE - Other Index Options'!$L:$L,'BSE - Other Index Options'!$C:$C,$A276,'BSE - Other Index Options'!$B:$B,E$147,'BSE - Other Index Options'!$H:$H,"Monthly*")=0,"",SUMIFS('BSE - SENSEX Index Options'!$L:$L,'BSE - SENSEX Index Options'!$C:$C,$A276,'BSE - SENSEX Index Options'!$B:$B,E$147,'BSE - SENSEX Index Options'!$H:$H,"Monthly*")+SUMIFS('BSE - Other Index Options'!$L:$L,'BSE - Other Index Options'!$C:$C,$A276,'BSE - Other Index Options'!$B:$B,E$147,'BSE - Other Index Options'!$H:$H,"Monthly*"))</f>
        <v/>
      </c>
      <c r="F276" s="26" t="str">
        <f>IF(SUMIFS('BSE - SENSEX Index Options'!$L:$L,'BSE - SENSEX Index Options'!$C:$C,$A276,'BSE - SENSEX Index Options'!$B:$B,F$147,'BSE - SENSEX Index Options'!$H:$H,"Monthly*")+SUMIFS('BSE - Other Index Options'!$L:$L,'BSE - Other Index Options'!$C:$C,$A276,'BSE - Other Index Options'!$B:$B,F$147,'BSE - Other Index Options'!$H:$H,"Monthly*")=0,"",SUMIFS('BSE - SENSEX Index Options'!$L:$L,'BSE - SENSEX Index Options'!$C:$C,$A276,'BSE - SENSEX Index Options'!$B:$B,F$147,'BSE - SENSEX Index Options'!$H:$H,"Monthly*")+SUMIFS('BSE - Other Index Options'!$L:$L,'BSE - Other Index Options'!$C:$C,$A276,'BSE - Other Index Options'!$B:$B,F$147,'BSE - Other Index Options'!$H:$H,"Monthly*"))</f>
        <v/>
      </c>
      <c r="G276" s="26" t="str">
        <f>IF(SUMIFS('BSE - SENSEX Index Options'!$L:$L,'BSE - SENSEX Index Options'!$C:$C,$A276,'BSE - SENSEX Index Options'!$B:$B,G$147,'BSE - SENSEX Index Options'!$H:$H,"Monthly*")+SUMIFS('BSE - Other Index Options'!$L:$L,'BSE - Other Index Options'!$C:$C,$A276,'BSE - Other Index Options'!$B:$B,G$147,'BSE - Other Index Options'!$H:$H,"Monthly*")=0,"",SUMIFS('BSE - SENSEX Index Options'!$L:$L,'BSE - SENSEX Index Options'!$C:$C,$A276,'BSE - SENSEX Index Options'!$B:$B,G$147,'BSE - SENSEX Index Options'!$H:$H,"Monthly*")+SUMIFS('BSE - Other Index Options'!$L:$L,'BSE - Other Index Options'!$C:$C,$A276,'BSE - Other Index Options'!$B:$B,G$147,'BSE - Other Index Options'!$H:$H,"Monthly*"))</f>
        <v/>
      </c>
      <c r="H276" s="26" t="str">
        <f t="shared" ref="H276:H307" si="10">IF(SUM(B276:G276)=0,"",SUM(B276:G276))</f>
        <v/>
      </c>
    </row>
    <row r="277" spans="1:8" hidden="1" outlineLevel="1">
      <c r="A277" t="s">
        <v>139</v>
      </c>
      <c r="B277" s="26" t="str">
        <f>IF(SUMIFS('BSE - SENSEX Index Options'!$L:$L,'BSE - SENSEX Index Options'!$C:$C,$A277,'BSE - SENSEX Index Options'!$B:$B,B$147,'BSE - SENSEX Index Options'!$H:$H,"Monthly*")+SUMIFS('BSE - Other Index Options'!$L:$L,'BSE - Other Index Options'!$C:$C,$A277,'BSE - Other Index Options'!$B:$B,B$147,'BSE - Other Index Options'!$H:$H,"Monthly*")=0,"",SUMIFS('BSE - SENSEX Index Options'!$L:$L,'BSE - SENSEX Index Options'!$C:$C,$A277,'BSE - SENSEX Index Options'!$B:$B,B$147,'BSE - SENSEX Index Options'!$H:$H,"Monthly*")+SUMIFS('BSE - Other Index Options'!$L:$L,'BSE - Other Index Options'!$C:$C,$A277,'BSE - Other Index Options'!$B:$B,B$147,'BSE - Other Index Options'!$H:$H,"Monthly*"))</f>
        <v/>
      </c>
      <c r="C277" s="26" t="str">
        <f>IF(SUMIFS('BSE - SENSEX Index Options'!$L:$L,'BSE - SENSEX Index Options'!$C:$C,$A277,'BSE - SENSEX Index Options'!$B:$B,C$147,'BSE - SENSEX Index Options'!$H:$H,"Monthly*")+SUMIFS('BSE - Other Index Options'!$L:$L,'BSE - Other Index Options'!$C:$C,$A277,'BSE - Other Index Options'!$B:$B,C$147,'BSE - Other Index Options'!$H:$H,"Monthly*")=0,"",SUMIFS('BSE - SENSEX Index Options'!$L:$L,'BSE - SENSEX Index Options'!$C:$C,$A277,'BSE - SENSEX Index Options'!$B:$B,C$147,'BSE - SENSEX Index Options'!$H:$H,"Monthly*")+SUMIFS('BSE - Other Index Options'!$L:$L,'BSE - Other Index Options'!$C:$C,$A277,'BSE - Other Index Options'!$B:$B,C$147,'BSE - Other Index Options'!$H:$H,"Monthly*"))</f>
        <v/>
      </c>
      <c r="D277" s="26" t="str">
        <f>IF(SUMIFS('BSE - SENSEX Index Options'!$L:$L,'BSE - SENSEX Index Options'!$C:$C,$A277,'BSE - SENSEX Index Options'!$B:$B,D$147,'BSE - SENSEX Index Options'!$H:$H,"Monthly*")+SUMIFS('BSE - Other Index Options'!$L:$L,'BSE - Other Index Options'!$C:$C,$A277,'BSE - Other Index Options'!$B:$B,D$147,'BSE - Other Index Options'!$H:$H,"Monthly*")=0,"",SUMIFS('BSE - SENSEX Index Options'!$L:$L,'BSE - SENSEX Index Options'!$C:$C,$A277,'BSE - SENSEX Index Options'!$B:$B,D$147,'BSE - SENSEX Index Options'!$H:$H,"Monthly*")+SUMIFS('BSE - Other Index Options'!$L:$L,'BSE - Other Index Options'!$C:$C,$A277,'BSE - Other Index Options'!$B:$B,D$147,'BSE - Other Index Options'!$H:$H,"Monthly*"))</f>
        <v/>
      </c>
      <c r="E277" s="26" t="str">
        <f>IF(SUMIFS('BSE - SENSEX Index Options'!$L:$L,'BSE - SENSEX Index Options'!$C:$C,$A277,'BSE - SENSEX Index Options'!$B:$B,E$147,'BSE - SENSEX Index Options'!$H:$H,"Monthly*")+SUMIFS('BSE - Other Index Options'!$L:$L,'BSE - Other Index Options'!$C:$C,$A277,'BSE - Other Index Options'!$B:$B,E$147,'BSE - Other Index Options'!$H:$H,"Monthly*")=0,"",SUMIFS('BSE - SENSEX Index Options'!$L:$L,'BSE - SENSEX Index Options'!$C:$C,$A277,'BSE - SENSEX Index Options'!$B:$B,E$147,'BSE - SENSEX Index Options'!$H:$H,"Monthly*")+SUMIFS('BSE - Other Index Options'!$L:$L,'BSE - Other Index Options'!$C:$C,$A277,'BSE - Other Index Options'!$B:$B,E$147,'BSE - Other Index Options'!$H:$H,"Monthly*"))</f>
        <v/>
      </c>
      <c r="F277" s="26" t="str">
        <f>IF(SUMIFS('BSE - SENSEX Index Options'!$L:$L,'BSE - SENSEX Index Options'!$C:$C,$A277,'BSE - SENSEX Index Options'!$B:$B,F$147,'BSE - SENSEX Index Options'!$H:$H,"Monthly*")+SUMIFS('BSE - Other Index Options'!$L:$L,'BSE - Other Index Options'!$C:$C,$A277,'BSE - Other Index Options'!$B:$B,F$147,'BSE - Other Index Options'!$H:$H,"Monthly*")=0,"",SUMIFS('BSE - SENSEX Index Options'!$L:$L,'BSE - SENSEX Index Options'!$C:$C,$A277,'BSE - SENSEX Index Options'!$B:$B,F$147,'BSE - SENSEX Index Options'!$H:$H,"Monthly*")+SUMIFS('BSE - Other Index Options'!$L:$L,'BSE - Other Index Options'!$C:$C,$A277,'BSE - Other Index Options'!$B:$B,F$147,'BSE - Other Index Options'!$H:$H,"Monthly*"))</f>
        <v/>
      </c>
      <c r="G277" s="26" t="str">
        <f>IF(SUMIFS('BSE - SENSEX Index Options'!$L:$L,'BSE - SENSEX Index Options'!$C:$C,$A277,'BSE - SENSEX Index Options'!$B:$B,G$147,'BSE - SENSEX Index Options'!$H:$H,"Monthly*")+SUMIFS('BSE - Other Index Options'!$L:$L,'BSE - Other Index Options'!$C:$C,$A277,'BSE - Other Index Options'!$B:$B,G$147,'BSE - Other Index Options'!$H:$H,"Monthly*")=0,"",SUMIFS('BSE - SENSEX Index Options'!$L:$L,'BSE - SENSEX Index Options'!$C:$C,$A277,'BSE - SENSEX Index Options'!$B:$B,G$147,'BSE - SENSEX Index Options'!$H:$H,"Monthly*")+SUMIFS('BSE - Other Index Options'!$L:$L,'BSE - Other Index Options'!$C:$C,$A277,'BSE - Other Index Options'!$B:$B,G$147,'BSE - Other Index Options'!$H:$H,"Monthly*"))</f>
        <v/>
      </c>
      <c r="H277" s="26" t="str">
        <f t="shared" si="10"/>
        <v/>
      </c>
    </row>
    <row r="278" spans="1:8" hidden="1" outlineLevel="1">
      <c r="A278" t="s">
        <v>140</v>
      </c>
      <c r="B278" s="26" t="str">
        <f>IF(SUMIFS('BSE - SENSEX Index Options'!$L:$L,'BSE - SENSEX Index Options'!$C:$C,$A278,'BSE - SENSEX Index Options'!$B:$B,B$147,'BSE - SENSEX Index Options'!$H:$H,"Monthly*")+SUMIFS('BSE - Other Index Options'!$L:$L,'BSE - Other Index Options'!$C:$C,$A278,'BSE - Other Index Options'!$B:$B,B$147,'BSE - Other Index Options'!$H:$H,"Monthly*")=0,"",SUMIFS('BSE - SENSEX Index Options'!$L:$L,'BSE - SENSEX Index Options'!$C:$C,$A278,'BSE - SENSEX Index Options'!$B:$B,B$147,'BSE - SENSEX Index Options'!$H:$H,"Monthly*")+SUMIFS('BSE - Other Index Options'!$L:$L,'BSE - Other Index Options'!$C:$C,$A278,'BSE - Other Index Options'!$B:$B,B$147,'BSE - Other Index Options'!$H:$H,"Monthly*"))</f>
        <v/>
      </c>
      <c r="C278" s="26" t="str">
        <f>IF(SUMIFS('BSE - SENSEX Index Options'!$L:$L,'BSE - SENSEX Index Options'!$C:$C,$A278,'BSE - SENSEX Index Options'!$B:$B,C$147,'BSE - SENSEX Index Options'!$H:$H,"Monthly*")+SUMIFS('BSE - Other Index Options'!$L:$L,'BSE - Other Index Options'!$C:$C,$A278,'BSE - Other Index Options'!$B:$B,C$147,'BSE - Other Index Options'!$H:$H,"Monthly*")=0,"",SUMIFS('BSE - SENSEX Index Options'!$L:$L,'BSE - SENSEX Index Options'!$C:$C,$A278,'BSE - SENSEX Index Options'!$B:$B,C$147,'BSE - SENSEX Index Options'!$H:$H,"Monthly*")+SUMIFS('BSE - Other Index Options'!$L:$L,'BSE - Other Index Options'!$C:$C,$A278,'BSE - Other Index Options'!$B:$B,C$147,'BSE - Other Index Options'!$H:$H,"Monthly*"))</f>
        <v/>
      </c>
      <c r="D278" s="26" t="str">
        <f>IF(SUMIFS('BSE - SENSEX Index Options'!$L:$L,'BSE - SENSEX Index Options'!$C:$C,$A278,'BSE - SENSEX Index Options'!$B:$B,D$147,'BSE - SENSEX Index Options'!$H:$H,"Monthly*")+SUMIFS('BSE - Other Index Options'!$L:$L,'BSE - Other Index Options'!$C:$C,$A278,'BSE - Other Index Options'!$B:$B,D$147,'BSE - Other Index Options'!$H:$H,"Monthly*")=0,"",SUMIFS('BSE - SENSEX Index Options'!$L:$L,'BSE - SENSEX Index Options'!$C:$C,$A278,'BSE - SENSEX Index Options'!$B:$B,D$147,'BSE - SENSEX Index Options'!$H:$H,"Monthly*")+SUMIFS('BSE - Other Index Options'!$L:$L,'BSE - Other Index Options'!$C:$C,$A278,'BSE - Other Index Options'!$B:$B,D$147,'BSE - Other Index Options'!$H:$H,"Monthly*"))</f>
        <v/>
      </c>
      <c r="E278" s="26" t="str">
        <f>IF(SUMIFS('BSE - SENSEX Index Options'!$L:$L,'BSE - SENSEX Index Options'!$C:$C,$A278,'BSE - SENSEX Index Options'!$B:$B,E$147,'BSE - SENSEX Index Options'!$H:$H,"Monthly*")+SUMIFS('BSE - Other Index Options'!$L:$L,'BSE - Other Index Options'!$C:$C,$A278,'BSE - Other Index Options'!$B:$B,E$147,'BSE - Other Index Options'!$H:$H,"Monthly*")=0,"",SUMIFS('BSE - SENSEX Index Options'!$L:$L,'BSE - SENSEX Index Options'!$C:$C,$A278,'BSE - SENSEX Index Options'!$B:$B,E$147,'BSE - SENSEX Index Options'!$H:$H,"Monthly*")+SUMIFS('BSE - Other Index Options'!$L:$L,'BSE - Other Index Options'!$C:$C,$A278,'BSE - Other Index Options'!$B:$B,E$147,'BSE - Other Index Options'!$H:$H,"Monthly*"))</f>
        <v/>
      </c>
      <c r="F278" s="26" t="str">
        <f>IF(SUMIFS('BSE - SENSEX Index Options'!$L:$L,'BSE - SENSEX Index Options'!$C:$C,$A278,'BSE - SENSEX Index Options'!$B:$B,F$147,'BSE - SENSEX Index Options'!$H:$H,"Monthly*")+SUMIFS('BSE - Other Index Options'!$L:$L,'BSE - Other Index Options'!$C:$C,$A278,'BSE - Other Index Options'!$B:$B,F$147,'BSE - Other Index Options'!$H:$H,"Monthly*")=0,"",SUMIFS('BSE - SENSEX Index Options'!$L:$L,'BSE - SENSEX Index Options'!$C:$C,$A278,'BSE - SENSEX Index Options'!$B:$B,F$147,'BSE - SENSEX Index Options'!$H:$H,"Monthly*")+SUMIFS('BSE - Other Index Options'!$L:$L,'BSE - Other Index Options'!$C:$C,$A278,'BSE - Other Index Options'!$B:$B,F$147,'BSE - Other Index Options'!$H:$H,"Monthly*"))</f>
        <v/>
      </c>
      <c r="G278" s="26" t="str">
        <f>IF(SUMIFS('BSE - SENSEX Index Options'!$L:$L,'BSE - SENSEX Index Options'!$C:$C,$A278,'BSE - SENSEX Index Options'!$B:$B,G$147,'BSE - SENSEX Index Options'!$H:$H,"Monthly*")+SUMIFS('BSE - Other Index Options'!$L:$L,'BSE - Other Index Options'!$C:$C,$A278,'BSE - Other Index Options'!$B:$B,G$147,'BSE - Other Index Options'!$H:$H,"Monthly*")=0,"",SUMIFS('BSE - SENSEX Index Options'!$L:$L,'BSE - SENSEX Index Options'!$C:$C,$A278,'BSE - SENSEX Index Options'!$B:$B,G$147,'BSE - SENSEX Index Options'!$H:$H,"Monthly*")+SUMIFS('BSE - Other Index Options'!$L:$L,'BSE - Other Index Options'!$C:$C,$A278,'BSE - Other Index Options'!$B:$B,G$147,'BSE - Other Index Options'!$H:$H,"Monthly*"))</f>
        <v/>
      </c>
      <c r="H278" s="26" t="str">
        <f t="shared" si="10"/>
        <v/>
      </c>
    </row>
    <row r="279" spans="1:8" hidden="1" outlineLevel="1">
      <c r="A279" t="s">
        <v>141</v>
      </c>
      <c r="B279" s="26" t="str">
        <f>IF(SUMIFS('BSE - SENSEX Index Options'!$L:$L,'BSE - SENSEX Index Options'!$C:$C,$A279,'BSE - SENSEX Index Options'!$B:$B,B$147,'BSE - SENSEX Index Options'!$H:$H,"Monthly*")+SUMIFS('BSE - Other Index Options'!$L:$L,'BSE - Other Index Options'!$C:$C,$A279,'BSE - Other Index Options'!$B:$B,B$147,'BSE - Other Index Options'!$H:$H,"Monthly*")=0,"",SUMIFS('BSE - SENSEX Index Options'!$L:$L,'BSE - SENSEX Index Options'!$C:$C,$A279,'BSE - SENSEX Index Options'!$B:$B,B$147,'BSE - SENSEX Index Options'!$H:$H,"Monthly*")+SUMIFS('BSE - Other Index Options'!$L:$L,'BSE - Other Index Options'!$C:$C,$A279,'BSE - Other Index Options'!$B:$B,B$147,'BSE - Other Index Options'!$H:$H,"Monthly*"))</f>
        <v/>
      </c>
      <c r="C279" s="26" t="str">
        <f>IF(SUMIFS('BSE - SENSEX Index Options'!$L:$L,'BSE - SENSEX Index Options'!$C:$C,$A279,'BSE - SENSEX Index Options'!$B:$B,C$147,'BSE - SENSEX Index Options'!$H:$H,"Monthly*")+SUMIFS('BSE - Other Index Options'!$L:$L,'BSE - Other Index Options'!$C:$C,$A279,'BSE - Other Index Options'!$B:$B,C$147,'BSE - Other Index Options'!$H:$H,"Monthly*")=0,"",SUMIFS('BSE - SENSEX Index Options'!$L:$L,'BSE - SENSEX Index Options'!$C:$C,$A279,'BSE - SENSEX Index Options'!$B:$B,C$147,'BSE - SENSEX Index Options'!$H:$H,"Monthly*")+SUMIFS('BSE - Other Index Options'!$L:$L,'BSE - Other Index Options'!$C:$C,$A279,'BSE - Other Index Options'!$B:$B,C$147,'BSE - Other Index Options'!$H:$H,"Monthly*"))</f>
        <v/>
      </c>
      <c r="D279" s="26" t="str">
        <f>IF(SUMIFS('BSE - SENSEX Index Options'!$L:$L,'BSE - SENSEX Index Options'!$C:$C,$A279,'BSE - SENSEX Index Options'!$B:$B,D$147,'BSE - SENSEX Index Options'!$H:$H,"Monthly*")+SUMIFS('BSE - Other Index Options'!$L:$L,'BSE - Other Index Options'!$C:$C,$A279,'BSE - Other Index Options'!$B:$B,D$147,'BSE - Other Index Options'!$H:$H,"Monthly*")=0,"",SUMIFS('BSE - SENSEX Index Options'!$L:$L,'BSE - SENSEX Index Options'!$C:$C,$A279,'BSE - SENSEX Index Options'!$B:$B,D$147,'BSE - SENSEX Index Options'!$H:$H,"Monthly*")+SUMIFS('BSE - Other Index Options'!$L:$L,'BSE - Other Index Options'!$C:$C,$A279,'BSE - Other Index Options'!$B:$B,D$147,'BSE - Other Index Options'!$H:$H,"Monthly*"))</f>
        <v/>
      </c>
      <c r="E279" s="26" t="str">
        <f>IF(SUMIFS('BSE - SENSEX Index Options'!$L:$L,'BSE - SENSEX Index Options'!$C:$C,$A279,'BSE - SENSEX Index Options'!$B:$B,E$147,'BSE - SENSEX Index Options'!$H:$H,"Monthly*")+SUMIFS('BSE - Other Index Options'!$L:$L,'BSE - Other Index Options'!$C:$C,$A279,'BSE - Other Index Options'!$B:$B,E$147,'BSE - Other Index Options'!$H:$H,"Monthly*")=0,"",SUMIFS('BSE - SENSEX Index Options'!$L:$L,'BSE - SENSEX Index Options'!$C:$C,$A279,'BSE - SENSEX Index Options'!$B:$B,E$147,'BSE - SENSEX Index Options'!$H:$H,"Monthly*")+SUMIFS('BSE - Other Index Options'!$L:$L,'BSE - Other Index Options'!$C:$C,$A279,'BSE - Other Index Options'!$B:$B,E$147,'BSE - Other Index Options'!$H:$H,"Monthly*"))</f>
        <v/>
      </c>
      <c r="F279" s="26" t="str">
        <f>IF(SUMIFS('BSE - SENSEX Index Options'!$L:$L,'BSE - SENSEX Index Options'!$C:$C,$A279,'BSE - SENSEX Index Options'!$B:$B,F$147,'BSE - SENSEX Index Options'!$H:$H,"Monthly*")+SUMIFS('BSE - Other Index Options'!$L:$L,'BSE - Other Index Options'!$C:$C,$A279,'BSE - Other Index Options'!$B:$B,F$147,'BSE - Other Index Options'!$H:$H,"Monthly*")=0,"",SUMIFS('BSE - SENSEX Index Options'!$L:$L,'BSE - SENSEX Index Options'!$C:$C,$A279,'BSE - SENSEX Index Options'!$B:$B,F$147,'BSE - SENSEX Index Options'!$H:$H,"Monthly*")+SUMIFS('BSE - Other Index Options'!$L:$L,'BSE - Other Index Options'!$C:$C,$A279,'BSE - Other Index Options'!$B:$B,F$147,'BSE - Other Index Options'!$H:$H,"Monthly*"))</f>
        <v/>
      </c>
      <c r="G279" s="26" t="str">
        <f>IF(SUMIFS('BSE - SENSEX Index Options'!$L:$L,'BSE - SENSEX Index Options'!$C:$C,$A279,'BSE - SENSEX Index Options'!$B:$B,G$147,'BSE - SENSEX Index Options'!$H:$H,"Monthly*")+SUMIFS('BSE - Other Index Options'!$L:$L,'BSE - Other Index Options'!$C:$C,$A279,'BSE - Other Index Options'!$B:$B,G$147,'BSE - Other Index Options'!$H:$H,"Monthly*")=0,"",SUMIFS('BSE - SENSEX Index Options'!$L:$L,'BSE - SENSEX Index Options'!$C:$C,$A279,'BSE - SENSEX Index Options'!$B:$B,G$147,'BSE - SENSEX Index Options'!$H:$H,"Monthly*")+SUMIFS('BSE - Other Index Options'!$L:$L,'BSE - Other Index Options'!$C:$C,$A279,'BSE - Other Index Options'!$B:$B,G$147,'BSE - Other Index Options'!$H:$H,"Monthly*"))</f>
        <v/>
      </c>
      <c r="H279" s="26" t="str">
        <f t="shared" si="10"/>
        <v/>
      </c>
    </row>
    <row r="280" spans="1:8" hidden="1" outlineLevel="1">
      <c r="A280" t="s">
        <v>142</v>
      </c>
      <c r="B280" s="26" t="str">
        <f>IF(SUMIFS('BSE - SENSEX Index Options'!$L:$L,'BSE - SENSEX Index Options'!$C:$C,$A280,'BSE - SENSEX Index Options'!$B:$B,B$147,'BSE - SENSEX Index Options'!$H:$H,"Monthly*")+SUMIFS('BSE - Other Index Options'!$L:$L,'BSE - Other Index Options'!$C:$C,$A280,'BSE - Other Index Options'!$B:$B,B$147,'BSE - Other Index Options'!$H:$H,"Monthly*")=0,"",SUMIFS('BSE - SENSEX Index Options'!$L:$L,'BSE - SENSEX Index Options'!$C:$C,$A280,'BSE - SENSEX Index Options'!$B:$B,B$147,'BSE - SENSEX Index Options'!$H:$H,"Monthly*")+SUMIFS('BSE - Other Index Options'!$L:$L,'BSE - Other Index Options'!$C:$C,$A280,'BSE - Other Index Options'!$B:$B,B$147,'BSE - Other Index Options'!$H:$H,"Monthly*"))</f>
        <v/>
      </c>
      <c r="C280" s="26" t="str">
        <f>IF(SUMIFS('BSE - SENSEX Index Options'!$L:$L,'BSE - SENSEX Index Options'!$C:$C,$A280,'BSE - SENSEX Index Options'!$B:$B,C$147,'BSE - SENSEX Index Options'!$H:$H,"Monthly*")+SUMIFS('BSE - Other Index Options'!$L:$L,'BSE - Other Index Options'!$C:$C,$A280,'BSE - Other Index Options'!$B:$B,C$147,'BSE - Other Index Options'!$H:$H,"Monthly*")=0,"",SUMIFS('BSE - SENSEX Index Options'!$L:$L,'BSE - SENSEX Index Options'!$C:$C,$A280,'BSE - SENSEX Index Options'!$B:$B,C$147,'BSE - SENSEX Index Options'!$H:$H,"Monthly*")+SUMIFS('BSE - Other Index Options'!$L:$L,'BSE - Other Index Options'!$C:$C,$A280,'BSE - Other Index Options'!$B:$B,C$147,'BSE - Other Index Options'!$H:$H,"Monthly*"))</f>
        <v/>
      </c>
      <c r="D280" s="26" t="str">
        <f>IF(SUMIFS('BSE - SENSEX Index Options'!$L:$L,'BSE - SENSEX Index Options'!$C:$C,$A280,'BSE - SENSEX Index Options'!$B:$B,D$147,'BSE - SENSEX Index Options'!$H:$H,"Monthly*")+SUMIFS('BSE - Other Index Options'!$L:$L,'BSE - Other Index Options'!$C:$C,$A280,'BSE - Other Index Options'!$B:$B,D$147,'BSE - Other Index Options'!$H:$H,"Monthly*")=0,"",SUMIFS('BSE - SENSEX Index Options'!$L:$L,'BSE - SENSEX Index Options'!$C:$C,$A280,'BSE - SENSEX Index Options'!$B:$B,D$147,'BSE - SENSEX Index Options'!$H:$H,"Monthly*")+SUMIFS('BSE - Other Index Options'!$L:$L,'BSE - Other Index Options'!$C:$C,$A280,'BSE - Other Index Options'!$B:$B,D$147,'BSE - Other Index Options'!$H:$H,"Monthly*"))</f>
        <v/>
      </c>
      <c r="E280" s="26" t="str">
        <f>IF(SUMIFS('BSE - SENSEX Index Options'!$L:$L,'BSE - SENSEX Index Options'!$C:$C,$A280,'BSE - SENSEX Index Options'!$B:$B,E$147,'BSE - SENSEX Index Options'!$H:$H,"Monthly*")+SUMIFS('BSE - Other Index Options'!$L:$L,'BSE - Other Index Options'!$C:$C,$A280,'BSE - Other Index Options'!$B:$B,E$147,'BSE - Other Index Options'!$H:$H,"Monthly*")=0,"",SUMIFS('BSE - SENSEX Index Options'!$L:$L,'BSE - SENSEX Index Options'!$C:$C,$A280,'BSE - SENSEX Index Options'!$B:$B,E$147,'BSE - SENSEX Index Options'!$H:$H,"Monthly*")+SUMIFS('BSE - Other Index Options'!$L:$L,'BSE - Other Index Options'!$C:$C,$A280,'BSE - Other Index Options'!$B:$B,E$147,'BSE - Other Index Options'!$H:$H,"Monthly*"))</f>
        <v/>
      </c>
      <c r="F280" s="26" t="str">
        <f>IF(SUMIFS('BSE - SENSEX Index Options'!$L:$L,'BSE - SENSEX Index Options'!$C:$C,$A280,'BSE - SENSEX Index Options'!$B:$B,F$147,'BSE - SENSEX Index Options'!$H:$H,"Monthly*")+SUMIFS('BSE - Other Index Options'!$L:$L,'BSE - Other Index Options'!$C:$C,$A280,'BSE - Other Index Options'!$B:$B,F$147,'BSE - Other Index Options'!$H:$H,"Monthly*")=0,"",SUMIFS('BSE - SENSEX Index Options'!$L:$L,'BSE - SENSEX Index Options'!$C:$C,$A280,'BSE - SENSEX Index Options'!$B:$B,F$147,'BSE - SENSEX Index Options'!$H:$H,"Monthly*")+SUMIFS('BSE - Other Index Options'!$L:$L,'BSE - Other Index Options'!$C:$C,$A280,'BSE - Other Index Options'!$B:$B,F$147,'BSE - Other Index Options'!$H:$H,"Monthly*"))</f>
        <v/>
      </c>
      <c r="G280" s="26" t="str">
        <f>IF(SUMIFS('BSE - SENSEX Index Options'!$L:$L,'BSE - SENSEX Index Options'!$C:$C,$A280,'BSE - SENSEX Index Options'!$B:$B,G$147,'BSE - SENSEX Index Options'!$H:$H,"Monthly*")+SUMIFS('BSE - Other Index Options'!$L:$L,'BSE - Other Index Options'!$C:$C,$A280,'BSE - Other Index Options'!$B:$B,G$147,'BSE - Other Index Options'!$H:$H,"Monthly*")=0,"",SUMIFS('BSE - SENSEX Index Options'!$L:$L,'BSE - SENSEX Index Options'!$C:$C,$A280,'BSE - SENSEX Index Options'!$B:$B,G$147,'BSE - SENSEX Index Options'!$H:$H,"Monthly*")+SUMIFS('BSE - Other Index Options'!$L:$L,'BSE - Other Index Options'!$C:$C,$A280,'BSE - Other Index Options'!$B:$B,G$147,'BSE - Other Index Options'!$H:$H,"Monthly*"))</f>
        <v/>
      </c>
      <c r="H280" s="26" t="str">
        <f t="shared" si="10"/>
        <v/>
      </c>
    </row>
    <row r="281" spans="1:8" hidden="1" outlineLevel="1">
      <c r="A281" t="s">
        <v>143</v>
      </c>
      <c r="B281" s="26" t="str">
        <f>IF(SUMIFS('BSE - SENSEX Index Options'!$L:$L,'BSE - SENSEX Index Options'!$C:$C,$A281,'BSE - SENSEX Index Options'!$B:$B,B$147,'BSE - SENSEX Index Options'!$H:$H,"Monthly*")+SUMIFS('BSE - Other Index Options'!$L:$L,'BSE - Other Index Options'!$C:$C,$A281,'BSE - Other Index Options'!$B:$B,B$147,'BSE - Other Index Options'!$H:$H,"Monthly*")=0,"",SUMIFS('BSE - SENSEX Index Options'!$L:$L,'BSE - SENSEX Index Options'!$C:$C,$A281,'BSE - SENSEX Index Options'!$B:$B,B$147,'BSE - SENSEX Index Options'!$H:$H,"Monthly*")+SUMIFS('BSE - Other Index Options'!$L:$L,'BSE - Other Index Options'!$C:$C,$A281,'BSE - Other Index Options'!$B:$B,B$147,'BSE - Other Index Options'!$H:$H,"Monthly*"))</f>
        <v/>
      </c>
      <c r="C281" s="26" t="str">
        <f>IF(SUMIFS('BSE - SENSEX Index Options'!$L:$L,'BSE - SENSEX Index Options'!$C:$C,$A281,'BSE - SENSEX Index Options'!$B:$B,C$147,'BSE - SENSEX Index Options'!$H:$H,"Monthly*")+SUMIFS('BSE - Other Index Options'!$L:$L,'BSE - Other Index Options'!$C:$C,$A281,'BSE - Other Index Options'!$B:$B,C$147,'BSE - Other Index Options'!$H:$H,"Monthly*")=0,"",SUMIFS('BSE - SENSEX Index Options'!$L:$L,'BSE - SENSEX Index Options'!$C:$C,$A281,'BSE - SENSEX Index Options'!$B:$B,C$147,'BSE - SENSEX Index Options'!$H:$H,"Monthly*")+SUMIFS('BSE - Other Index Options'!$L:$L,'BSE - Other Index Options'!$C:$C,$A281,'BSE - Other Index Options'!$B:$B,C$147,'BSE - Other Index Options'!$H:$H,"Monthly*"))</f>
        <v/>
      </c>
      <c r="D281" s="26" t="str">
        <f>IF(SUMIFS('BSE - SENSEX Index Options'!$L:$L,'BSE - SENSEX Index Options'!$C:$C,$A281,'BSE - SENSEX Index Options'!$B:$B,D$147,'BSE - SENSEX Index Options'!$H:$H,"Monthly*")+SUMIFS('BSE - Other Index Options'!$L:$L,'BSE - Other Index Options'!$C:$C,$A281,'BSE - Other Index Options'!$B:$B,D$147,'BSE - Other Index Options'!$H:$H,"Monthly*")=0,"",SUMIFS('BSE - SENSEX Index Options'!$L:$L,'BSE - SENSEX Index Options'!$C:$C,$A281,'BSE - SENSEX Index Options'!$B:$B,D$147,'BSE - SENSEX Index Options'!$H:$H,"Monthly*")+SUMIFS('BSE - Other Index Options'!$L:$L,'BSE - Other Index Options'!$C:$C,$A281,'BSE - Other Index Options'!$B:$B,D$147,'BSE - Other Index Options'!$H:$H,"Monthly*"))</f>
        <v/>
      </c>
      <c r="E281" s="26" t="str">
        <f>IF(SUMIFS('BSE - SENSEX Index Options'!$L:$L,'BSE - SENSEX Index Options'!$C:$C,$A281,'BSE - SENSEX Index Options'!$B:$B,E$147,'BSE - SENSEX Index Options'!$H:$H,"Monthly*")+SUMIFS('BSE - Other Index Options'!$L:$L,'BSE - Other Index Options'!$C:$C,$A281,'BSE - Other Index Options'!$B:$B,E$147,'BSE - Other Index Options'!$H:$H,"Monthly*")=0,"",SUMIFS('BSE - SENSEX Index Options'!$L:$L,'BSE - SENSEX Index Options'!$C:$C,$A281,'BSE - SENSEX Index Options'!$B:$B,E$147,'BSE - SENSEX Index Options'!$H:$H,"Monthly*")+SUMIFS('BSE - Other Index Options'!$L:$L,'BSE - Other Index Options'!$C:$C,$A281,'BSE - Other Index Options'!$B:$B,E$147,'BSE - Other Index Options'!$H:$H,"Monthly*"))</f>
        <v/>
      </c>
      <c r="F281" s="26" t="str">
        <f>IF(SUMIFS('BSE - SENSEX Index Options'!$L:$L,'BSE - SENSEX Index Options'!$C:$C,$A281,'BSE - SENSEX Index Options'!$B:$B,F$147,'BSE - SENSEX Index Options'!$H:$H,"Monthly*")+SUMIFS('BSE - Other Index Options'!$L:$L,'BSE - Other Index Options'!$C:$C,$A281,'BSE - Other Index Options'!$B:$B,F$147,'BSE - Other Index Options'!$H:$H,"Monthly*")=0,"",SUMIFS('BSE - SENSEX Index Options'!$L:$L,'BSE - SENSEX Index Options'!$C:$C,$A281,'BSE - SENSEX Index Options'!$B:$B,F$147,'BSE - SENSEX Index Options'!$H:$H,"Monthly*")+SUMIFS('BSE - Other Index Options'!$L:$L,'BSE - Other Index Options'!$C:$C,$A281,'BSE - Other Index Options'!$B:$B,F$147,'BSE - Other Index Options'!$H:$H,"Monthly*"))</f>
        <v/>
      </c>
      <c r="G281" s="26" t="str">
        <f>IF(SUMIFS('BSE - SENSEX Index Options'!$L:$L,'BSE - SENSEX Index Options'!$C:$C,$A281,'BSE - SENSEX Index Options'!$B:$B,G$147,'BSE - SENSEX Index Options'!$H:$H,"Monthly*")+SUMIFS('BSE - Other Index Options'!$L:$L,'BSE - Other Index Options'!$C:$C,$A281,'BSE - Other Index Options'!$B:$B,G$147,'BSE - Other Index Options'!$H:$H,"Monthly*")=0,"",SUMIFS('BSE - SENSEX Index Options'!$L:$L,'BSE - SENSEX Index Options'!$C:$C,$A281,'BSE - SENSEX Index Options'!$B:$B,G$147,'BSE - SENSEX Index Options'!$H:$H,"Monthly*")+SUMIFS('BSE - Other Index Options'!$L:$L,'BSE - Other Index Options'!$C:$C,$A281,'BSE - Other Index Options'!$B:$B,G$147,'BSE - Other Index Options'!$H:$H,"Monthly*"))</f>
        <v/>
      </c>
      <c r="H281" s="26" t="str">
        <f t="shared" si="10"/>
        <v/>
      </c>
    </row>
    <row r="282" spans="1:8" hidden="1" outlineLevel="1">
      <c r="A282" t="s">
        <v>144</v>
      </c>
      <c r="B282" s="26" t="str">
        <f>IF(SUMIFS('BSE - SENSEX Index Options'!$L:$L,'BSE - SENSEX Index Options'!$C:$C,$A282,'BSE - SENSEX Index Options'!$B:$B,B$147,'BSE - SENSEX Index Options'!$H:$H,"Monthly*")+SUMIFS('BSE - Other Index Options'!$L:$L,'BSE - Other Index Options'!$C:$C,$A282,'BSE - Other Index Options'!$B:$B,B$147,'BSE - Other Index Options'!$H:$H,"Monthly*")=0,"",SUMIFS('BSE - SENSEX Index Options'!$L:$L,'BSE - SENSEX Index Options'!$C:$C,$A282,'BSE - SENSEX Index Options'!$B:$B,B$147,'BSE - SENSEX Index Options'!$H:$H,"Monthly*")+SUMIFS('BSE - Other Index Options'!$L:$L,'BSE - Other Index Options'!$C:$C,$A282,'BSE - Other Index Options'!$B:$B,B$147,'BSE - Other Index Options'!$H:$H,"Monthly*"))</f>
        <v/>
      </c>
      <c r="C282" s="26" t="str">
        <f>IF(SUMIFS('BSE - SENSEX Index Options'!$L:$L,'BSE - SENSEX Index Options'!$C:$C,$A282,'BSE - SENSEX Index Options'!$B:$B,C$147,'BSE - SENSEX Index Options'!$H:$H,"Monthly*")+SUMIFS('BSE - Other Index Options'!$L:$L,'BSE - Other Index Options'!$C:$C,$A282,'BSE - Other Index Options'!$B:$B,C$147,'BSE - Other Index Options'!$H:$H,"Monthly*")=0,"",SUMIFS('BSE - SENSEX Index Options'!$L:$L,'BSE - SENSEX Index Options'!$C:$C,$A282,'BSE - SENSEX Index Options'!$B:$B,C$147,'BSE - SENSEX Index Options'!$H:$H,"Monthly*")+SUMIFS('BSE - Other Index Options'!$L:$L,'BSE - Other Index Options'!$C:$C,$A282,'BSE - Other Index Options'!$B:$B,C$147,'BSE - Other Index Options'!$H:$H,"Monthly*"))</f>
        <v/>
      </c>
      <c r="D282" s="26" t="str">
        <f>IF(SUMIFS('BSE - SENSEX Index Options'!$L:$L,'BSE - SENSEX Index Options'!$C:$C,$A282,'BSE - SENSEX Index Options'!$B:$B,D$147,'BSE - SENSEX Index Options'!$H:$H,"Monthly*")+SUMIFS('BSE - Other Index Options'!$L:$L,'BSE - Other Index Options'!$C:$C,$A282,'BSE - Other Index Options'!$B:$B,D$147,'BSE - Other Index Options'!$H:$H,"Monthly*")=0,"",SUMIFS('BSE - SENSEX Index Options'!$L:$L,'BSE - SENSEX Index Options'!$C:$C,$A282,'BSE - SENSEX Index Options'!$B:$B,D$147,'BSE - SENSEX Index Options'!$H:$H,"Monthly*")+SUMIFS('BSE - Other Index Options'!$L:$L,'BSE - Other Index Options'!$C:$C,$A282,'BSE - Other Index Options'!$B:$B,D$147,'BSE - Other Index Options'!$H:$H,"Monthly*"))</f>
        <v/>
      </c>
      <c r="E282" s="26" t="str">
        <f>IF(SUMIFS('BSE - SENSEX Index Options'!$L:$L,'BSE - SENSEX Index Options'!$C:$C,$A282,'BSE - SENSEX Index Options'!$B:$B,E$147,'BSE - SENSEX Index Options'!$H:$H,"Monthly*")+SUMIFS('BSE - Other Index Options'!$L:$L,'BSE - Other Index Options'!$C:$C,$A282,'BSE - Other Index Options'!$B:$B,E$147,'BSE - Other Index Options'!$H:$H,"Monthly*")=0,"",SUMIFS('BSE - SENSEX Index Options'!$L:$L,'BSE - SENSEX Index Options'!$C:$C,$A282,'BSE - SENSEX Index Options'!$B:$B,E$147,'BSE - SENSEX Index Options'!$H:$H,"Monthly*")+SUMIFS('BSE - Other Index Options'!$L:$L,'BSE - Other Index Options'!$C:$C,$A282,'BSE - Other Index Options'!$B:$B,E$147,'BSE - Other Index Options'!$H:$H,"Monthly*"))</f>
        <v/>
      </c>
      <c r="F282" s="26" t="str">
        <f>IF(SUMIFS('BSE - SENSEX Index Options'!$L:$L,'BSE - SENSEX Index Options'!$C:$C,$A282,'BSE - SENSEX Index Options'!$B:$B,F$147,'BSE - SENSEX Index Options'!$H:$H,"Monthly*")+SUMIFS('BSE - Other Index Options'!$L:$L,'BSE - Other Index Options'!$C:$C,$A282,'BSE - Other Index Options'!$B:$B,F$147,'BSE - Other Index Options'!$H:$H,"Monthly*")=0,"",SUMIFS('BSE - SENSEX Index Options'!$L:$L,'BSE - SENSEX Index Options'!$C:$C,$A282,'BSE - SENSEX Index Options'!$B:$B,F$147,'BSE - SENSEX Index Options'!$H:$H,"Monthly*")+SUMIFS('BSE - Other Index Options'!$L:$L,'BSE - Other Index Options'!$C:$C,$A282,'BSE - Other Index Options'!$B:$B,F$147,'BSE - Other Index Options'!$H:$H,"Monthly*"))</f>
        <v/>
      </c>
      <c r="G282" s="26" t="str">
        <f>IF(SUMIFS('BSE - SENSEX Index Options'!$L:$L,'BSE - SENSEX Index Options'!$C:$C,$A282,'BSE - SENSEX Index Options'!$B:$B,G$147,'BSE - SENSEX Index Options'!$H:$H,"Monthly*")+SUMIFS('BSE - Other Index Options'!$L:$L,'BSE - Other Index Options'!$C:$C,$A282,'BSE - Other Index Options'!$B:$B,G$147,'BSE - Other Index Options'!$H:$H,"Monthly*")=0,"",SUMIFS('BSE - SENSEX Index Options'!$L:$L,'BSE - SENSEX Index Options'!$C:$C,$A282,'BSE - SENSEX Index Options'!$B:$B,G$147,'BSE - SENSEX Index Options'!$H:$H,"Monthly*")+SUMIFS('BSE - Other Index Options'!$L:$L,'BSE - Other Index Options'!$C:$C,$A282,'BSE - Other Index Options'!$B:$B,G$147,'BSE - Other Index Options'!$H:$H,"Monthly*"))</f>
        <v/>
      </c>
      <c r="H282" s="26" t="str">
        <f t="shared" si="10"/>
        <v/>
      </c>
    </row>
    <row r="283" spans="1:8" hidden="1" outlineLevel="1">
      <c r="A283" t="s">
        <v>145</v>
      </c>
      <c r="B283" s="26" t="str">
        <f>IF(SUMIFS('BSE - SENSEX Index Options'!$L:$L,'BSE - SENSEX Index Options'!$C:$C,$A283,'BSE - SENSEX Index Options'!$B:$B,B$147,'BSE - SENSEX Index Options'!$H:$H,"Monthly*")+SUMIFS('BSE - Other Index Options'!$L:$L,'BSE - Other Index Options'!$C:$C,$A283,'BSE - Other Index Options'!$B:$B,B$147,'BSE - Other Index Options'!$H:$H,"Monthly*")=0,"",SUMIFS('BSE - SENSEX Index Options'!$L:$L,'BSE - SENSEX Index Options'!$C:$C,$A283,'BSE - SENSEX Index Options'!$B:$B,B$147,'BSE - SENSEX Index Options'!$H:$H,"Monthly*")+SUMIFS('BSE - Other Index Options'!$L:$L,'BSE - Other Index Options'!$C:$C,$A283,'BSE - Other Index Options'!$B:$B,B$147,'BSE - Other Index Options'!$H:$H,"Monthly*"))</f>
        <v/>
      </c>
      <c r="C283" s="26" t="str">
        <f>IF(SUMIFS('BSE - SENSEX Index Options'!$L:$L,'BSE - SENSEX Index Options'!$C:$C,$A283,'BSE - SENSEX Index Options'!$B:$B,C$147,'BSE - SENSEX Index Options'!$H:$H,"Monthly*")+SUMIFS('BSE - Other Index Options'!$L:$L,'BSE - Other Index Options'!$C:$C,$A283,'BSE - Other Index Options'!$B:$B,C$147,'BSE - Other Index Options'!$H:$H,"Monthly*")=0,"",SUMIFS('BSE - SENSEX Index Options'!$L:$L,'BSE - SENSEX Index Options'!$C:$C,$A283,'BSE - SENSEX Index Options'!$B:$B,C$147,'BSE - SENSEX Index Options'!$H:$H,"Monthly*")+SUMIFS('BSE - Other Index Options'!$L:$L,'BSE - Other Index Options'!$C:$C,$A283,'BSE - Other Index Options'!$B:$B,C$147,'BSE - Other Index Options'!$H:$H,"Monthly*"))</f>
        <v/>
      </c>
      <c r="D283" s="26" t="str">
        <f>IF(SUMIFS('BSE - SENSEX Index Options'!$L:$L,'BSE - SENSEX Index Options'!$C:$C,$A283,'BSE - SENSEX Index Options'!$B:$B,D$147,'BSE - SENSEX Index Options'!$H:$H,"Monthly*")+SUMIFS('BSE - Other Index Options'!$L:$L,'BSE - Other Index Options'!$C:$C,$A283,'BSE - Other Index Options'!$B:$B,D$147,'BSE - Other Index Options'!$H:$H,"Monthly*")=0,"",SUMIFS('BSE - SENSEX Index Options'!$L:$L,'BSE - SENSEX Index Options'!$C:$C,$A283,'BSE - SENSEX Index Options'!$B:$B,D$147,'BSE - SENSEX Index Options'!$H:$H,"Monthly*")+SUMIFS('BSE - Other Index Options'!$L:$L,'BSE - Other Index Options'!$C:$C,$A283,'BSE - Other Index Options'!$B:$B,D$147,'BSE - Other Index Options'!$H:$H,"Monthly*"))</f>
        <v/>
      </c>
      <c r="E283" s="26" t="str">
        <f>IF(SUMIFS('BSE - SENSEX Index Options'!$L:$L,'BSE - SENSEX Index Options'!$C:$C,$A283,'BSE - SENSEX Index Options'!$B:$B,E$147,'BSE - SENSEX Index Options'!$H:$H,"Monthly*")+SUMIFS('BSE - Other Index Options'!$L:$L,'BSE - Other Index Options'!$C:$C,$A283,'BSE - Other Index Options'!$B:$B,E$147,'BSE - Other Index Options'!$H:$H,"Monthly*")=0,"",SUMIFS('BSE - SENSEX Index Options'!$L:$L,'BSE - SENSEX Index Options'!$C:$C,$A283,'BSE - SENSEX Index Options'!$B:$B,E$147,'BSE - SENSEX Index Options'!$H:$H,"Monthly*")+SUMIFS('BSE - Other Index Options'!$L:$L,'BSE - Other Index Options'!$C:$C,$A283,'BSE - Other Index Options'!$B:$B,E$147,'BSE - Other Index Options'!$H:$H,"Monthly*"))</f>
        <v/>
      </c>
      <c r="F283" s="26" t="str">
        <f>IF(SUMIFS('BSE - SENSEX Index Options'!$L:$L,'BSE - SENSEX Index Options'!$C:$C,$A283,'BSE - SENSEX Index Options'!$B:$B,F$147,'BSE - SENSEX Index Options'!$H:$H,"Monthly*")+SUMIFS('BSE - Other Index Options'!$L:$L,'BSE - Other Index Options'!$C:$C,$A283,'BSE - Other Index Options'!$B:$B,F$147,'BSE - Other Index Options'!$H:$H,"Monthly*")=0,"",SUMIFS('BSE - SENSEX Index Options'!$L:$L,'BSE - SENSEX Index Options'!$C:$C,$A283,'BSE - SENSEX Index Options'!$B:$B,F$147,'BSE - SENSEX Index Options'!$H:$H,"Monthly*")+SUMIFS('BSE - Other Index Options'!$L:$L,'BSE - Other Index Options'!$C:$C,$A283,'BSE - Other Index Options'!$B:$B,F$147,'BSE - Other Index Options'!$H:$H,"Monthly*"))</f>
        <v/>
      </c>
      <c r="G283" s="26" t="str">
        <f>IF(SUMIFS('BSE - SENSEX Index Options'!$L:$L,'BSE - SENSEX Index Options'!$C:$C,$A283,'BSE - SENSEX Index Options'!$B:$B,G$147,'BSE - SENSEX Index Options'!$H:$H,"Monthly*")+SUMIFS('BSE - Other Index Options'!$L:$L,'BSE - Other Index Options'!$C:$C,$A283,'BSE - Other Index Options'!$B:$B,G$147,'BSE - Other Index Options'!$H:$H,"Monthly*")=0,"",SUMIFS('BSE - SENSEX Index Options'!$L:$L,'BSE - SENSEX Index Options'!$C:$C,$A283,'BSE - SENSEX Index Options'!$B:$B,G$147,'BSE - SENSEX Index Options'!$H:$H,"Monthly*")+SUMIFS('BSE - Other Index Options'!$L:$L,'BSE - Other Index Options'!$C:$C,$A283,'BSE - Other Index Options'!$B:$B,G$147,'BSE - Other Index Options'!$H:$H,"Monthly*"))</f>
        <v/>
      </c>
      <c r="H283" s="26" t="str">
        <f t="shared" si="10"/>
        <v/>
      </c>
    </row>
    <row r="284" spans="1:8" hidden="1" outlineLevel="1">
      <c r="A284" t="s">
        <v>146</v>
      </c>
      <c r="B284" s="26" t="str">
        <f>IF(SUMIFS('BSE - SENSEX Index Options'!$L:$L,'BSE - SENSEX Index Options'!$C:$C,$A284,'BSE - SENSEX Index Options'!$B:$B,B$147,'BSE - SENSEX Index Options'!$H:$H,"Monthly*")+SUMIFS('BSE - Other Index Options'!$L:$L,'BSE - Other Index Options'!$C:$C,$A284,'BSE - Other Index Options'!$B:$B,B$147,'BSE - Other Index Options'!$H:$H,"Monthly*")=0,"",SUMIFS('BSE - SENSEX Index Options'!$L:$L,'BSE - SENSEX Index Options'!$C:$C,$A284,'BSE - SENSEX Index Options'!$B:$B,B$147,'BSE - SENSEX Index Options'!$H:$H,"Monthly*")+SUMIFS('BSE - Other Index Options'!$L:$L,'BSE - Other Index Options'!$C:$C,$A284,'BSE - Other Index Options'!$B:$B,B$147,'BSE - Other Index Options'!$H:$H,"Monthly*"))</f>
        <v/>
      </c>
      <c r="C284" s="26" t="str">
        <f>IF(SUMIFS('BSE - SENSEX Index Options'!$L:$L,'BSE - SENSEX Index Options'!$C:$C,$A284,'BSE - SENSEX Index Options'!$B:$B,C$147,'BSE - SENSEX Index Options'!$H:$H,"Monthly*")+SUMIFS('BSE - Other Index Options'!$L:$L,'BSE - Other Index Options'!$C:$C,$A284,'BSE - Other Index Options'!$B:$B,C$147,'BSE - Other Index Options'!$H:$H,"Monthly*")=0,"",SUMIFS('BSE - SENSEX Index Options'!$L:$L,'BSE - SENSEX Index Options'!$C:$C,$A284,'BSE - SENSEX Index Options'!$B:$B,C$147,'BSE - SENSEX Index Options'!$H:$H,"Monthly*")+SUMIFS('BSE - Other Index Options'!$L:$L,'BSE - Other Index Options'!$C:$C,$A284,'BSE - Other Index Options'!$B:$B,C$147,'BSE - Other Index Options'!$H:$H,"Monthly*"))</f>
        <v/>
      </c>
      <c r="D284" s="26" t="str">
        <f>IF(SUMIFS('BSE - SENSEX Index Options'!$L:$L,'BSE - SENSEX Index Options'!$C:$C,$A284,'BSE - SENSEX Index Options'!$B:$B,D$147,'BSE - SENSEX Index Options'!$H:$H,"Monthly*")+SUMIFS('BSE - Other Index Options'!$L:$L,'BSE - Other Index Options'!$C:$C,$A284,'BSE - Other Index Options'!$B:$B,D$147,'BSE - Other Index Options'!$H:$H,"Monthly*")=0,"",SUMIFS('BSE - SENSEX Index Options'!$L:$L,'BSE - SENSEX Index Options'!$C:$C,$A284,'BSE - SENSEX Index Options'!$B:$B,D$147,'BSE - SENSEX Index Options'!$H:$H,"Monthly*")+SUMIFS('BSE - Other Index Options'!$L:$L,'BSE - Other Index Options'!$C:$C,$A284,'BSE - Other Index Options'!$B:$B,D$147,'BSE - Other Index Options'!$H:$H,"Monthly*"))</f>
        <v/>
      </c>
      <c r="E284" s="26" t="str">
        <f>IF(SUMIFS('BSE - SENSEX Index Options'!$L:$L,'BSE - SENSEX Index Options'!$C:$C,$A284,'BSE - SENSEX Index Options'!$B:$B,E$147,'BSE - SENSEX Index Options'!$H:$H,"Monthly*")+SUMIFS('BSE - Other Index Options'!$L:$L,'BSE - Other Index Options'!$C:$C,$A284,'BSE - Other Index Options'!$B:$B,E$147,'BSE - Other Index Options'!$H:$H,"Monthly*")=0,"",SUMIFS('BSE - SENSEX Index Options'!$L:$L,'BSE - SENSEX Index Options'!$C:$C,$A284,'BSE - SENSEX Index Options'!$B:$B,E$147,'BSE - SENSEX Index Options'!$H:$H,"Monthly*")+SUMIFS('BSE - Other Index Options'!$L:$L,'BSE - Other Index Options'!$C:$C,$A284,'BSE - Other Index Options'!$B:$B,E$147,'BSE - Other Index Options'!$H:$H,"Monthly*"))</f>
        <v/>
      </c>
      <c r="F284" s="26" t="str">
        <f>IF(SUMIFS('BSE - SENSEX Index Options'!$L:$L,'BSE - SENSEX Index Options'!$C:$C,$A284,'BSE - SENSEX Index Options'!$B:$B,F$147,'BSE - SENSEX Index Options'!$H:$H,"Monthly*")+SUMIFS('BSE - Other Index Options'!$L:$L,'BSE - Other Index Options'!$C:$C,$A284,'BSE - Other Index Options'!$B:$B,F$147,'BSE - Other Index Options'!$H:$H,"Monthly*")=0,"",SUMIFS('BSE - SENSEX Index Options'!$L:$L,'BSE - SENSEX Index Options'!$C:$C,$A284,'BSE - SENSEX Index Options'!$B:$B,F$147,'BSE - SENSEX Index Options'!$H:$H,"Monthly*")+SUMIFS('BSE - Other Index Options'!$L:$L,'BSE - Other Index Options'!$C:$C,$A284,'BSE - Other Index Options'!$B:$B,F$147,'BSE - Other Index Options'!$H:$H,"Monthly*"))</f>
        <v/>
      </c>
      <c r="G284" s="26" t="str">
        <f>IF(SUMIFS('BSE - SENSEX Index Options'!$L:$L,'BSE - SENSEX Index Options'!$C:$C,$A284,'BSE - SENSEX Index Options'!$B:$B,G$147,'BSE - SENSEX Index Options'!$H:$H,"Monthly*")+SUMIFS('BSE - Other Index Options'!$L:$L,'BSE - Other Index Options'!$C:$C,$A284,'BSE - Other Index Options'!$B:$B,G$147,'BSE - Other Index Options'!$H:$H,"Monthly*")=0,"",SUMIFS('BSE - SENSEX Index Options'!$L:$L,'BSE - SENSEX Index Options'!$C:$C,$A284,'BSE - SENSEX Index Options'!$B:$B,G$147,'BSE - SENSEX Index Options'!$H:$H,"Monthly*")+SUMIFS('BSE - Other Index Options'!$L:$L,'BSE - Other Index Options'!$C:$C,$A284,'BSE - Other Index Options'!$B:$B,G$147,'BSE - Other Index Options'!$H:$H,"Monthly*"))</f>
        <v/>
      </c>
      <c r="H284" s="26" t="str">
        <f t="shared" si="10"/>
        <v/>
      </c>
    </row>
    <row r="285" spans="1:8" hidden="1" outlineLevel="1">
      <c r="A285" t="s">
        <v>147</v>
      </c>
      <c r="B285" s="26" t="str">
        <f>IF(SUMIFS('BSE - SENSEX Index Options'!$L:$L,'BSE - SENSEX Index Options'!$C:$C,$A285,'BSE - SENSEX Index Options'!$B:$B,B$147,'BSE - SENSEX Index Options'!$H:$H,"Monthly*")+SUMIFS('BSE - Other Index Options'!$L:$L,'BSE - Other Index Options'!$C:$C,$A285,'BSE - Other Index Options'!$B:$B,B$147,'BSE - Other Index Options'!$H:$H,"Monthly*")=0,"",SUMIFS('BSE - SENSEX Index Options'!$L:$L,'BSE - SENSEX Index Options'!$C:$C,$A285,'BSE - SENSEX Index Options'!$B:$B,B$147,'BSE - SENSEX Index Options'!$H:$H,"Monthly*")+SUMIFS('BSE - Other Index Options'!$L:$L,'BSE - Other Index Options'!$C:$C,$A285,'BSE - Other Index Options'!$B:$B,B$147,'BSE - Other Index Options'!$H:$H,"Monthly*"))</f>
        <v/>
      </c>
      <c r="C285" s="26" t="str">
        <f>IF(SUMIFS('BSE - SENSEX Index Options'!$L:$L,'BSE - SENSEX Index Options'!$C:$C,$A285,'BSE - SENSEX Index Options'!$B:$B,C$147,'BSE - SENSEX Index Options'!$H:$H,"Monthly*")+SUMIFS('BSE - Other Index Options'!$L:$L,'BSE - Other Index Options'!$C:$C,$A285,'BSE - Other Index Options'!$B:$B,C$147,'BSE - Other Index Options'!$H:$H,"Monthly*")=0,"",SUMIFS('BSE - SENSEX Index Options'!$L:$L,'BSE - SENSEX Index Options'!$C:$C,$A285,'BSE - SENSEX Index Options'!$B:$B,C$147,'BSE - SENSEX Index Options'!$H:$H,"Monthly*")+SUMIFS('BSE - Other Index Options'!$L:$L,'BSE - Other Index Options'!$C:$C,$A285,'BSE - Other Index Options'!$B:$B,C$147,'BSE - Other Index Options'!$H:$H,"Monthly*"))</f>
        <v/>
      </c>
      <c r="D285" s="26" t="str">
        <f>IF(SUMIFS('BSE - SENSEX Index Options'!$L:$L,'BSE - SENSEX Index Options'!$C:$C,$A285,'BSE - SENSEX Index Options'!$B:$B,D$147,'BSE - SENSEX Index Options'!$H:$H,"Monthly*")+SUMIFS('BSE - Other Index Options'!$L:$L,'BSE - Other Index Options'!$C:$C,$A285,'BSE - Other Index Options'!$B:$B,D$147,'BSE - Other Index Options'!$H:$H,"Monthly*")=0,"",SUMIFS('BSE - SENSEX Index Options'!$L:$L,'BSE - SENSEX Index Options'!$C:$C,$A285,'BSE - SENSEX Index Options'!$B:$B,D$147,'BSE - SENSEX Index Options'!$H:$H,"Monthly*")+SUMIFS('BSE - Other Index Options'!$L:$L,'BSE - Other Index Options'!$C:$C,$A285,'BSE - Other Index Options'!$B:$B,D$147,'BSE - Other Index Options'!$H:$H,"Monthly*"))</f>
        <v/>
      </c>
      <c r="E285" s="26" t="str">
        <f>IF(SUMIFS('BSE - SENSEX Index Options'!$L:$L,'BSE - SENSEX Index Options'!$C:$C,$A285,'BSE - SENSEX Index Options'!$B:$B,E$147,'BSE - SENSEX Index Options'!$H:$H,"Monthly*")+SUMIFS('BSE - Other Index Options'!$L:$L,'BSE - Other Index Options'!$C:$C,$A285,'BSE - Other Index Options'!$B:$B,E$147,'BSE - Other Index Options'!$H:$H,"Monthly*")=0,"",SUMIFS('BSE - SENSEX Index Options'!$L:$L,'BSE - SENSEX Index Options'!$C:$C,$A285,'BSE - SENSEX Index Options'!$B:$B,E$147,'BSE - SENSEX Index Options'!$H:$H,"Monthly*")+SUMIFS('BSE - Other Index Options'!$L:$L,'BSE - Other Index Options'!$C:$C,$A285,'BSE - Other Index Options'!$B:$B,E$147,'BSE - Other Index Options'!$H:$H,"Monthly*"))</f>
        <v/>
      </c>
      <c r="F285" s="26" t="str">
        <f>IF(SUMIFS('BSE - SENSEX Index Options'!$L:$L,'BSE - SENSEX Index Options'!$C:$C,$A285,'BSE - SENSEX Index Options'!$B:$B,F$147,'BSE - SENSEX Index Options'!$H:$H,"Monthly*")+SUMIFS('BSE - Other Index Options'!$L:$L,'BSE - Other Index Options'!$C:$C,$A285,'BSE - Other Index Options'!$B:$B,F$147,'BSE - Other Index Options'!$H:$H,"Monthly*")=0,"",SUMIFS('BSE - SENSEX Index Options'!$L:$L,'BSE - SENSEX Index Options'!$C:$C,$A285,'BSE - SENSEX Index Options'!$B:$B,F$147,'BSE - SENSEX Index Options'!$H:$H,"Monthly*")+SUMIFS('BSE - Other Index Options'!$L:$L,'BSE - Other Index Options'!$C:$C,$A285,'BSE - Other Index Options'!$B:$B,F$147,'BSE - Other Index Options'!$H:$H,"Monthly*"))</f>
        <v/>
      </c>
      <c r="G285" s="26" t="str">
        <f>IF(SUMIFS('BSE - SENSEX Index Options'!$L:$L,'BSE - SENSEX Index Options'!$C:$C,$A285,'BSE - SENSEX Index Options'!$B:$B,G$147,'BSE - SENSEX Index Options'!$H:$H,"Monthly*")+SUMIFS('BSE - Other Index Options'!$L:$L,'BSE - Other Index Options'!$C:$C,$A285,'BSE - Other Index Options'!$B:$B,G$147,'BSE - Other Index Options'!$H:$H,"Monthly*")=0,"",SUMIFS('BSE - SENSEX Index Options'!$L:$L,'BSE - SENSEX Index Options'!$C:$C,$A285,'BSE - SENSEX Index Options'!$B:$B,G$147,'BSE - SENSEX Index Options'!$H:$H,"Monthly*")+SUMIFS('BSE - Other Index Options'!$L:$L,'BSE - Other Index Options'!$C:$C,$A285,'BSE - Other Index Options'!$B:$B,G$147,'BSE - Other Index Options'!$H:$H,"Monthly*"))</f>
        <v/>
      </c>
      <c r="H285" s="26" t="str">
        <f t="shared" si="10"/>
        <v/>
      </c>
    </row>
    <row r="286" spans="1:8" collapsed="1">
      <c r="A286" s="32" t="s">
        <v>9</v>
      </c>
      <c r="B286" s="33">
        <f t="shared" ref="B286:H286" si="11">IF(SUM(B148:B285)=0,"",SUM(B148:B285))</f>
        <v>2845.1200000000003</v>
      </c>
      <c r="C286" s="33">
        <f t="shared" si="11"/>
        <v>2993.6899999999996</v>
      </c>
      <c r="D286" s="33">
        <f t="shared" si="11"/>
        <v>9318.2199999999993</v>
      </c>
      <c r="E286" s="33">
        <f t="shared" si="11"/>
        <v>17360.329999999994</v>
      </c>
      <c r="F286" s="33">
        <f t="shared" si="11"/>
        <v>2379.36</v>
      </c>
      <c r="G286" s="33">
        <f t="shared" si="11"/>
        <v>51.81</v>
      </c>
      <c r="H286" s="33">
        <f t="shared" si="11"/>
        <v>34948.530000000013</v>
      </c>
    </row>
    <row r="289" spans="1:8">
      <c r="A289" s="32" t="s">
        <v>149</v>
      </c>
    </row>
    <row r="290" spans="1:8">
      <c r="A290" s="32" t="s">
        <v>2</v>
      </c>
      <c r="B290" s="32" t="s">
        <v>3</v>
      </c>
      <c r="C290" s="32" t="s">
        <v>4</v>
      </c>
      <c r="D290" s="32" t="s">
        <v>5</v>
      </c>
      <c r="E290" s="32" t="s">
        <v>6</v>
      </c>
      <c r="F290" s="32" t="s">
        <v>7</v>
      </c>
      <c r="G290" s="32" t="s">
        <v>8</v>
      </c>
      <c r="H290" s="32" t="s">
        <v>9</v>
      </c>
    </row>
    <row r="291" spans="1:8">
      <c r="A291" t="s">
        <v>10</v>
      </c>
      <c r="B291" s="27">
        <f t="shared" ref="B291:H300" si="12">IF(SUM(B5,B148)=0,"",SUM(B5)/SUM(B5,B148))</f>
        <v>0.99615769067357396</v>
      </c>
      <c r="C291" s="27">
        <f t="shared" si="12"/>
        <v>0.99570182583316369</v>
      </c>
      <c r="D291" s="27">
        <f t="shared" si="12"/>
        <v>0.99560413724068764</v>
      </c>
      <c r="E291" s="27">
        <f t="shared" si="12"/>
        <v>0.99425394007178813</v>
      </c>
      <c r="F291" s="27">
        <f t="shared" si="12"/>
        <v>0.99499134664256161</v>
      </c>
      <c r="G291" s="27" t="str">
        <f t="shared" si="12"/>
        <v/>
      </c>
      <c r="H291" s="27">
        <f t="shared" si="12"/>
        <v>0.99530274119902562</v>
      </c>
    </row>
    <row r="292" spans="1:8">
      <c r="A292" t="s">
        <v>11</v>
      </c>
      <c r="B292" s="27">
        <f t="shared" si="12"/>
        <v>0.99485650684674831</v>
      </c>
      <c r="C292" s="27">
        <f t="shared" si="12"/>
        <v>0.99463569216680925</v>
      </c>
      <c r="D292" s="27">
        <f t="shared" si="12"/>
        <v>0.99356285642457365</v>
      </c>
      <c r="E292" s="27">
        <f t="shared" si="12"/>
        <v>0.9901713400980906</v>
      </c>
      <c r="F292" s="27">
        <f t="shared" si="12"/>
        <v>0.98814144424210082</v>
      </c>
      <c r="G292" s="27" t="str">
        <f t="shared" si="12"/>
        <v/>
      </c>
      <c r="H292" s="27">
        <f t="shared" si="12"/>
        <v>0.99237899300044152</v>
      </c>
    </row>
    <row r="293" spans="1:8">
      <c r="A293" t="s">
        <v>12</v>
      </c>
      <c r="B293" s="27">
        <f t="shared" si="12"/>
        <v>0.98317962112415713</v>
      </c>
      <c r="C293" s="27">
        <f t="shared" si="12"/>
        <v>0.97179355388684829</v>
      </c>
      <c r="D293" s="27">
        <f t="shared" si="12"/>
        <v>0.96355979242473633</v>
      </c>
      <c r="E293" s="27">
        <f t="shared" si="12"/>
        <v>0.89533447406522426</v>
      </c>
      <c r="F293" s="27">
        <f t="shared" si="12"/>
        <v>0.99776512639371218</v>
      </c>
      <c r="G293" s="27" t="str">
        <f t="shared" si="12"/>
        <v/>
      </c>
      <c r="H293" s="27">
        <f t="shared" si="12"/>
        <v>0.95788244590070581</v>
      </c>
    </row>
    <row r="294" spans="1:8">
      <c r="A294" t="s">
        <v>13</v>
      </c>
      <c r="B294" s="27">
        <f t="shared" si="12"/>
        <v>0.99631140023568854</v>
      </c>
      <c r="C294" s="27">
        <f t="shared" si="12"/>
        <v>0.99716606645056027</v>
      </c>
      <c r="D294" s="27">
        <f t="shared" si="12"/>
        <v>0.96085050673382144</v>
      </c>
      <c r="E294" s="27">
        <f t="shared" si="12"/>
        <v>0.88869396448839744</v>
      </c>
      <c r="F294" s="27">
        <f t="shared" si="12"/>
        <v>0.99782596268749491</v>
      </c>
      <c r="G294" s="27" t="str">
        <f t="shared" si="12"/>
        <v/>
      </c>
      <c r="H294" s="27">
        <f t="shared" si="12"/>
        <v>0.9732198689600785</v>
      </c>
    </row>
    <row r="295" spans="1:8">
      <c r="A295" t="s">
        <v>14</v>
      </c>
      <c r="B295" s="27">
        <f t="shared" si="12"/>
        <v>0.99860496594959147</v>
      </c>
      <c r="C295" s="27">
        <f t="shared" si="12"/>
        <v>0.99924894134767606</v>
      </c>
      <c r="D295" s="27" t="str">
        <f t="shared" si="12"/>
        <v/>
      </c>
      <c r="E295" s="27" t="str">
        <f t="shared" si="12"/>
        <v/>
      </c>
      <c r="F295" s="27" t="str">
        <f t="shared" si="12"/>
        <v/>
      </c>
      <c r="G295" s="27" t="str">
        <f t="shared" si="12"/>
        <v/>
      </c>
      <c r="H295" s="27">
        <f t="shared" si="12"/>
        <v>0.99896659319806502</v>
      </c>
    </row>
    <row r="296" spans="1:8">
      <c r="A296" t="s">
        <v>15</v>
      </c>
      <c r="B296" s="27">
        <f t="shared" si="12"/>
        <v>0.99526529683278364</v>
      </c>
      <c r="C296" s="27">
        <f t="shared" si="12"/>
        <v>0.99520251579067232</v>
      </c>
      <c r="D296" s="27">
        <f t="shared" si="12"/>
        <v>0.99518084560345976</v>
      </c>
      <c r="E296" s="27" t="str">
        <f t="shared" si="12"/>
        <v/>
      </c>
      <c r="F296" s="27">
        <f t="shared" si="12"/>
        <v>0.99479321926111408</v>
      </c>
      <c r="G296" s="27" t="str">
        <f t="shared" si="12"/>
        <v/>
      </c>
      <c r="H296" s="27">
        <f t="shared" si="12"/>
        <v>0.995125981850701</v>
      </c>
    </row>
    <row r="297" spans="1:8">
      <c r="A297" t="s">
        <v>16</v>
      </c>
      <c r="B297" s="27">
        <f t="shared" si="12"/>
        <v>0.99449192987542079</v>
      </c>
      <c r="C297" s="27">
        <f t="shared" si="12"/>
        <v>0.99296214037939756</v>
      </c>
      <c r="D297" s="27">
        <f t="shared" si="12"/>
        <v>0.99600676572317015</v>
      </c>
      <c r="E297" s="27">
        <f t="shared" si="12"/>
        <v>0.99540225183686837</v>
      </c>
      <c r="F297" s="27">
        <f t="shared" si="12"/>
        <v>0.9941891889933675</v>
      </c>
      <c r="G297" s="27" t="str">
        <f t="shared" si="12"/>
        <v/>
      </c>
      <c r="H297" s="27">
        <f t="shared" si="12"/>
        <v>0.99455668340819714</v>
      </c>
    </row>
    <row r="298" spans="1:8">
      <c r="A298" t="s">
        <v>17</v>
      </c>
      <c r="B298" s="27">
        <f t="shared" si="12"/>
        <v>0.98211354735105583</v>
      </c>
      <c r="C298" s="27">
        <f t="shared" si="12"/>
        <v>0.98952530001087646</v>
      </c>
      <c r="D298" s="27">
        <f t="shared" si="12"/>
        <v>0.9917264617441135</v>
      </c>
      <c r="E298" s="27">
        <f t="shared" si="12"/>
        <v>0.98984835384511616</v>
      </c>
      <c r="F298" s="27">
        <f t="shared" si="12"/>
        <v>0.98500090401040763</v>
      </c>
      <c r="G298" s="27" t="str">
        <f t="shared" si="12"/>
        <v/>
      </c>
      <c r="H298" s="27">
        <f t="shared" si="12"/>
        <v>0.98663823119777161</v>
      </c>
    </row>
    <row r="299" spans="1:8">
      <c r="A299" t="s">
        <v>18</v>
      </c>
      <c r="B299" s="27">
        <f t="shared" si="12"/>
        <v>0.99803453792395558</v>
      </c>
      <c r="C299" s="27">
        <f t="shared" si="12"/>
        <v>0.99812050767772609</v>
      </c>
      <c r="D299" s="27" t="str">
        <f t="shared" si="12"/>
        <v/>
      </c>
      <c r="E299" s="27">
        <f t="shared" si="12"/>
        <v>0.86547338513255501</v>
      </c>
      <c r="F299" s="27">
        <f t="shared" si="12"/>
        <v>0.99791873046907276</v>
      </c>
      <c r="G299" s="27" t="str">
        <f t="shared" si="12"/>
        <v/>
      </c>
      <c r="H299" s="27">
        <f t="shared" si="12"/>
        <v>0.97429641106459342</v>
      </c>
    </row>
    <row r="300" spans="1:8">
      <c r="A300" t="s">
        <v>19</v>
      </c>
      <c r="B300" s="27" t="str">
        <f t="shared" si="12"/>
        <v/>
      </c>
      <c r="C300" s="27" t="str">
        <f t="shared" si="12"/>
        <v/>
      </c>
      <c r="D300" s="27">
        <f t="shared" si="12"/>
        <v>0.94675606734203055</v>
      </c>
      <c r="E300" s="27">
        <f t="shared" si="12"/>
        <v>0.89428304675951131</v>
      </c>
      <c r="F300" s="27">
        <f t="shared" si="12"/>
        <v>0.99685970836325677</v>
      </c>
      <c r="G300" s="27" t="str">
        <f t="shared" si="12"/>
        <v/>
      </c>
      <c r="H300" s="27">
        <f t="shared" si="12"/>
        <v>0.94674375852280246</v>
      </c>
    </row>
    <row r="301" spans="1:8">
      <c r="A301" t="s">
        <v>20</v>
      </c>
      <c r="B301" s="27">
        <f t="shared" ref="B301:H310" si="13">IF(SUM(B15,B158)=0,"",SUM(B15)/SUM(B15,B158))</f>
        <v>0.99610248149698766</v>
      </c>
      <c r="C301" s="27">
        <f t="shared" si="13"/>
        <v>0.99438926039743658</v>
      </c>
      <c r="D301" s="27" t="str">
        <f t="shared" si="13"/>
        <v/>
      </c>
      <c r="E301" s="27">
        <f t="shared" si="13"/>
        <v>0.99402416589503606</v>
      </c>
      <c r="F301" s="27">
        <f t="shared" si="13"/>
        <v>0.99544027852485861</v>
      </c>
      <c r="G301" s="27" t="str">
        <f t="shared" si="13"/>
        <v/>
      </c>
      <c r="H301" s="27">
        <f t="shared" si="13"/>
        <v>0.99504282835902369</v>
      </c>
    </row>
    <row r="302" spans="1:8">
      <c r="A302" t="s">
        <v>21</v>
      </c>
      <c r="B302" s="27">
        <f t="shared" si="13"/>
        <v>0.99572286398147569</v>
      </c>
      <c r="C302" s="27">
        <f t="shared" si="13"/>
        <v>0.99542124289610179</v>
      </c>
      <c r="D302" s="27">
        <f t="shared" si="13"/>
        <v>0.9934736020426983</v>
      </c>
      <c r="E302" s="27">
        <f t="shared" si="13"/>
        <v>0.99274388639539368</v>
      </c>
      <c r="F302" s="27">
        <f t="shared" si="13"/>
        <v>0.98810595132869594</v>
      </c>
      <c r="G302" s="27" t="str">
        <f t="shared" si="13"/>
        <v/>
      </c>
      <c r="H302" s="27">
        <f t="shared" si="13"/>
        <v>0.99255743586022083</v>
      </c>
    </row>
    <row r="303" spans="1:8">
      <c r="A303" t="s">
        <v>22</v>
      </c>
      <c r="B303" s="27">
        <f t="shared" si="13"/>
        <v>0.99010436330923512</v>
      </c>
      <c r="C303" s="27">
        <f t="shared" si="13"/>
        <v>0.98566691660142747</v>
      </c>
      <c r="D303" s="27">
        <f t="shared" si="13"/>
        <v>0.94284555333366549</v>
      </c>
      <c r="E303" s="27">
        <f t="shared" si="13"/>
        <v>0.85784436881894799</v>
      </c>
      <c r="F303" s="27">
        <f t="shared" si="13"/>
        <v>0.99929441611247993</v>
      </c>
      <c r="G303" s="27" t="str">
        <f t="shared" si="13"/>
        <v/>
      </c>
      <c r="H303" s="27">
        <f t="shared" si="13"/>
        <v>0.96188953815666711</v>
      </c>
    </row>
    <row r="304" spans="1:8">
      <c r="A304" t="s">
        <v>23</v>
      </c>
      <c r="B304" s="27">
        <f t="shared" si="13"/>
        <v>0.99899429065177225</v>
      </c>
      <c r="C304" s="27">
        <f t="shared" si="13"/>
        <v>0.99897387319153863</v>
      </c>
      <c r="D304" s="27">
        <f t="shared" si="13"/>
        <v>0.95712944899107277</v>
      </c>
      <c r="E304" s="27">
        <f t="shared" si="13"/>
        <v>0.87474513724675207</v>
      </c>
      <c r="F304" s="27">
        <f t="shared" si="13"/>
        <v>1</v>
      </c>
      <c r="G304" s="27" t="str">
        <f t="shared" si="13"/>
        <v/>
      </c>
      <c r="H304" s="27">
        <f t="shared" si="13"/>
        <v>0.97485126526650934</v>
      </c>
    </row>
    <row r="305" spans="1:8">
      <c r="A305" t="s">
        <v>24</v>
      </c>
      <c r="B305" s="27" t="str">
        <f t="shared" si="13"/>
        <v/>
      </c>
      <c r="C305" s="27" t="str">
        <f t="shared" si="13"/>
        <v/>
      </c>
      <c r="D305" s="27" t="str">
        <f t="shared" si="13"/>
        <v/>
      </c>
      <c r="E305" s="27" t="str">
        <f t="shared" si="13"/>
        <v/>
      </c>
      <c r="F305" s="27" t="str">
        <f t="shared" si="13"/>
        <v/>
      </c>
      <c r="G305" s="27" t="str">
        <f t="shared" si="13"/>
        <v/>
      </c>
      <c r="H305" s="27" t="str">
        <f t="shared" si="13"/>
        <v/>
      </c>
    </row>
    <row r="306" spans="1:8">
      <c r="A306" t="s">
        <v>25</v>
      </c>
      <c r="B306" s="27">
        <f t="shared" si="13"/>
        <v>0.99999655547154731</v>
      </c>
      <c r="C306" s="27">
        <f t="shared" si="13"/>
        <v>0.99997539332818486</v>
      </c>
      <c r="D306" s="27">
        <f t="shared" si="13"/>
        <v>0.99998849216069552</v>
      </c>
      <c r="E306" s="27">
        <f t="shared" si="13"/>
        <v>0.9999537957773359</v>
      </c>
      <c r="F306" s="27">
        <f t="shared" si="13"/>
        <v>0.9999533353224741</v>
      </c>
      <c r="G306" s="27" t="str">
        <f t="shared" si="13"/>
        <v/>
      </c>
      <c r="H306" s="27">
        <f t="shared" si="13"/>
        <v>0.99997330766306203</v>
      </c>
    </row>
    <row r="307" spans="1:8">
      <c r="A307" t="s">
        <v>26</v>
      </c>
      <c r="B307" s="27">
        <f t="shared" si="13"/>
        <v>0.99987467429890475</v>
      </c>
      <c r="C307" s="27">
        <f t="shared" si="13"/>
        <v>0.99990082653995138</v>
      </c>
      <c r="D307" s="27">
        <f t="shared" si="13"/>
        <v>0.99992740696120908</v>
      </c>
      <c r="E307" s="27">
        <f t="shared" si="13"/>
        <v>0.99988551837580697</v>
      </c>
      <c r="F307" s="27">
        <f t="shared" si="13"/>
        <v>0.99981026770722792</v>
      </c>
      <c r="G307" s="27" t="str">
        <f t="shared" si="13"/>
        <v/>
      </c>
      <c r="H307" s="27">
        <f t="shared" si="13"/>
        <v>0.99988117355663009</v>
      </c>
    </row>
    <row r="308" spans="1:8">
      <c r="A308" t="s">
        <v>27</v>
      </c>
      <c r="B308" s="27">
        <f t="shared" si="13"/>
        <v>0.99967119241781255</v>
      </c>
      <c r="C308" s="27">
        <f t="shared" si="13"/>
        <v>0.99966239330820439</v>
      </c>
      <c r="D308" s="27">
        <f t="shared" si="13"/>
        <v>0.99958152849705539</v>
      </c>
      <c r="E308" s="27">
        <f t="shared" si="13"/>
        <v>0.99944580388278326</v>
      </c>
      <c r="F308" s="27">
        <f t="shared" si="13"/>
        <v>0.99926678185883933</v>
      </c>
      <c r="G308" s="27" t="str">
        <f t="shared" si="13"/>
        <v/>
      </c>
      <c r="H308" s="27">
        <f t="shared" si="13"/>
        <v>0.99950963054791908</v>
      </c>
    </row>
    <row r="309" spans="1:8">
      <c r="A309" t="s">
        <v>28</v>
      </c>
      <c r="B309" s="27">
        <f t="shared" si="13"/>
        <v>0.99935539353835479</v>
      </c>
      <c r="C309" s="27">
        <f t="shared" si="13"/>
        <v>0.99939351466608084</v>
      </c>
      <c r="D309" s="27">
        <f t="shared" si="13"/>
        <v>0.9988085689423708</v>
      </c>
      <c r="E309" s="27" t="str">
        <f t="shared" si="13"/>
        <v/>
      </c>
      <c r="F309" s="27">
        <f t="shared" si="13"/>
        <v>0.99807597663048975</v>
      </c>
      <c r="G309" s="27" t="str">
        <f t="shared" si="13"/>
        <v/>
      </c>
      <c r="H309" s="27">
        <f t="shared" si="13"/>
        <v>0.9989738561167133</v>
      </c>
    </row>
    <row r="310" spans="1:8">
      <c r="A310" t="s">
        <v>29</v>
      </c>
      <c r="B310" s="27">
        <f t="shared" si="13"/>
        <v>0.99877329199929632</v>
      </c>
      <c r="C310" s="27">
        <f t="shared" si="13"/>
        <v>0.99940346005417857</v>
      </c>
      <c r="D310" s="27">
        <f t="shared" si="13"/>
        <v>0.99571584982966399</v>
      </c>
      <c r="E310" s="27" t="str">
        <f t="shared" si="13"/>
        <v/>
      </c>
      <c r="F310" s="27" t="str">
        <f t="shared" si="13"/>
        <v/>
      </c>
      <c r="G310" s="27" t="str">
        <f t="shared" si="13"/>
        <v/>
      </c>
      <c r="H310" s="27">
        <f t="shared" si="13"/>
        <v>0.99858185501502028</v>
      </c>
    </row>
    <row r="311" spans="1:8">
      <c r="A311" t="s">
        <v>30</v>
      </c>
      <c r="B311" s="27">
        <f t="shared" ref="B311:H320" si="14">IF(SUM(B25,B168)=0,"",SUM(B25)/SUM(B25,B168))</f>
        <v>0.9940166002054257</v>
      </c>
      <c r="C311" s="27">
        <f t="shared" si="14"/>
        <v>0.9940285063565254</v>
      </c>
      <c r="D311" s="27">
        <f t="shared" si="14"/>
        <v>0.9940746473643477</v>
      </c>
      <c r="E311" s="27">
        <f t="shared" si="14"/>
        <v>0.99268904052360407</v>
      </c>
      <c r="F311" s="27">
        <f t="shared" si="14"/>
        <v>0.99584540945143973</v>
      </c>
      <c r="G311" s="27" t="str">
        <f t="shared" si="14"/>
        <v/>
      </c>
      <c r="H311" s="27">
        <f t="shared" si="14"/>
        <v>0.99427910979097267</v>
      </c>
    </row>
    <row r="312" spans="1:8">
      <c r="A312" t="s">
        <v>31</v>
      </c>
      <c r="B312" s="27">
        <f t="shared" si="14"/>
        <v>0.9897811419923167</v>
      </c>
      <c r="C312" s="27">
        <f t="shared" si="14"/>
        <v>0.98590114502261517</v>
      </c>
      <c r="D312" s="27">
        <f t="shared" si="14"/>
        <v>0.98640381733092719</v>
      </c>
      <c r="E312" s="27">
        <f t="shared" si="14"/>
        <v>0.9916659150356274</v>
      </c>
      <c r="F312" s="27">
        <f t="shared" si="14"/>
        <v>0.99128970427529461</v>
      </c>
      <c r="G312" s="27" t="str">
        <f t="shared" si="14"/>
        <v/>
      </c>
      <c r="H312" s="27">
        <f t="shared" si="14"/>
        <v>0.9890965355643756</v>
      </c>
    </row>
    <row r="313" spans="1:8">
      <c r="A313" t="s">
        <v>32</v>
      </c>
      <c r="B313" s="27">
        <f t="shared" si="14"/>
        <v>0.97727337645114554</v>
      </c>
      <c r="C313" s="27">
        <f t="shared" si="14"/>
        <v>0.97868839991393719</v>
      </c>
      <c r="D313" s="27">
        <f t="shared" si="14"/>
        <v>0.93769252424682026</v>
      </c>
      <c r="E313" s="27" t="str">
        <f t="shared" si="14"/>
        <v/>
      </c>
      <c r="F313" s="27">
        <f t="shared" si="14"/>
        <v>0.97836491159819883</v>
      </c>
      <c r="G313" s="27" t="str">
        <f t="shared" si="14"/>
        <v/>
      </c>
      <c r="H313" s="27">
        <f t="shared" si="14"/>
        <v>0.96671494158580373</v>
      </c>
    </row>
    <row r="314" spans="1:8">
      <c r="A314" t="s">
        <v>33</v>
      </c>
      <c r="B314" s="27" t="str">
        <f t="shared" si="14"/>
        <v/>
      </c>
      <c r="C314" s="27">
        <f t="shared" si="14"/>
        <v>0.99786151516673727</v>
      </c>
      <c r="D314" s="27">
        <f t="shared" si="14"/>
        <v>0.94106169524820571</v>
      </c>
      <c r="E314" s="27">
        <f t="shared" si="14"/>
        <v>0.83610251053829221</v>
      </c>
      <c r="F314" s="27">
        <f t="shared" si="14"/>
        <v>0.99662947972483684</v>
      </c>
      <c r="G314" s="27" t="str">
        <f t="shared" si="14"/>
        <v/>
      </c>
      <c r="H314" s="27">
        <f t="shared" si="14"/>
        <v>0.95882787454791651</v>
      </c>
    </row>
    <row r="315" spans="1:8">
      <c r="A315" t="s">
        <v>34</v>
      </c>
      <c r="B315" s="27" t="str">
        <f t="shared" si="14"/>
        <v/>
      </c>
      <c r="C315" s="27" t="str">
        <f t="shared" si="14"/>
        <v/>
      </c>
      <c r="D315" s="27" t="str">
        <f t="shared" si="14"/>
        <v/>
      </c>
      <c r="E315" s="27">
        <f t="shared" si="14"/>
        <v>0.84343966774301549</v>
      </c>
      <c r="F315" s="27">
        <f t="shared" si="14"/>
        <v>0.99576754354628982</v>
      </c>
      <c r="G315" s="27" t="str">
        <f t="shared" si="14"/>
        <v/>
      </c>
      <c r="H315" s="27">
        <f t="shared" si="14"/>
        <v>0.91837311372346142</v>
      </c>
    </row>
    <row r="316" spans="1:8">
      <c r="A316" t="s">
        <v>35</v>
      </c>
      <c r="B316" s="27">
        <f t="shared" si="14"/>
        <v>0.99620345098470997</v>
      </c>
      <c r="C316" s="27">
        <f t="shared" si="14"/>
        <v>0.99497956667655996</v>
      </c>
      <c r="D316" s="27">
        <f t="shared" si="14"/>
        <v>0.99324416438190155</v>
      </c>
      <c r="E316" s="27">
        <f t="shared" si="14"/>
        <v>0.99370737037954848</v>
      </c>
      <c r="F316" s="27">
        <f t="shared" si="14"/>
        <v>0.99273015071244819</v>
      </c>
      <c r="G316" s="27">
        <f t="shared" si="14"/>
        <v>0.99601087481261275</v>
      </c>
      <c r="H316" s="27">
        <f t="shared" si="14"/>
        <v>0.99484925425269399</v>
      </c>
    </row>
    <row r="317" spans="1:8">
      <c r="A317" t="s">
        <v>36</v>
      </c>
      <c r="B317" s="27">
        <f t="shared" si="14"/>
        <v>0.98941325750626807</v>
      </c>
      <c r="C317" s="27">
        <f t="shared" si="14"/>
        <v>0.99027410701058682</v>
      </c>
      <c r="D317" s="27">
        <f t="shared" si="14"/>
        <v>0.99129583380033293</v>
      </c>
      <c r="E317" s="27">
        <f t="shared" si="14"/>
        <v>0.98871614209360281</v>
      </c>
      <c r="F317" s="27">
        <f t="shared" si="14"/>
        <v>0.9813837806158342</v>
      </c>
      <c r="G317" s="27" t="str">
        <f t="shared" si="14"/>
        <v/>
      </c>
      <c r="H317" s="27">
        <f t="shared" si="14"/>
        <v>0.98737910524493133</v>
      </c>
    </row>
    <row r="318" spans="1:8">
      <c r="A318" t="s">
        <v>37</v>
      </c>
      <c r="B318" s="27">
        <f t="shared" si="14"/>
        <v>0.98354612735230074</v>
      </c>
      <c r="C318" s="27">
        <f t="shared" si="14"/>
        <v>0.98122727189226444</v>
      </c>
      <c r="D318" s="27">
        <f t="shared" si="14"/>
        <v>0.9294252454062869</v>
      </c>
      <c r="E318" s="27">
        <f t="shared" si="14"/>
        <v>0.81308418141546079</v>
      </c>
      <c r="F318" s="27">
        <f t="shared" si="14"/>
        <v>0.99660298252306478</v>
      </c>
      <c r="G318" s="27" t="str">
        <f t="shared" si="14"/>
        <v/>
      </c>
      <c r="H318" s="27">
        <f t="shared" si="14"/>
        <v>0.94630128365005994</v>
      </c>
    </row>
    <row r="319" spans="1:8">
      <c r="A319" t="s">
        <v>38</v>
      </c>
      <c r="B319" s="27">
        <f t="shared" si="14"/>
        <v>0.99602326950086884</v>
      </c>
      <c r="C319" s="27">
        <f t="shared" si="14"/>
        <v>0.99705692443088201</v>
      </c>
      <c r="D319" s="27">
        <f t="shared" si="14"/>
        <v>0.94458702233755665</v>
      </c>
      <c r="E319" s="27">
        <f t="shared" si="14"/>
        <v>0.82722612163267151</v>
      </c>
      <c r="F319" s="27">
        <f t="shared" si="14"/>
        <v>0.98856880432422278</v>
      </c>
      <c r="G319" s="27" t="str">
        <f t="shared" si="14"/>
        <v/>
      </c>
      <c r="H319" s="27">
        <f t="shared" si="14"/>
        <v>0.97123625222136922</v>
      </c>
    </row>
    <row r="320" spans="1:8">
      <c r="A320" t="s">
        <v>39</v>
      </c>
      <c r="B320" s="27">
        <f t="shared" si="14"/>
        <v>0.99307466941823419</v>
      </c>
      <c r="C320" s="27" t="str">
        <f t="shared" si="14"/>
        <v/>
      </c>
      <c r="D320" s="27">
        <f t="shared" si="14"/>
        <v>0.99337870066190481</v>
      </c>
      <c r="E320" s="27">
        <f t="shared" si="14"/>
        <v>0.9915167822389751</v>
      </c>
      <c r="F320" s="27">
        <f t="shared" si="14"/>
        <v>0.99349622058980092</v>
      </c>
      <c r="G320" s="27" t="str">
        <f t="shared" si="14"/>
        <v/>
      </c>
      <c r="H320" s="27">
        <f t="shared" si="14"/>
        <v>0.99291113172200762</v>
      </c>
    </row>
    <row r="321" spans="1:8">
      <c r="A321" t="s">
        <v>40</v>
      </c>
      <c r="B321" s="27">
        <f t="shared" ref="B321:H330" si="15">IF(SUM(B35,B178)=0,"",SUM(B35)/SUM(B35,B178))</f>
        <v>0.99389528248079795</v>
      </c>
      <c r="C321" s="27">
        <f t="shared" si="15"/>
        <v>0.99325634560222043</v>
      </c>
      <c r="D321" s="27">
        <f t="shared" si="15"/>
        <v>0.99044826270449304</v>
      </c>
      <c r="E321" s="27">
        <f t="shared" si="15"/>
        <v>0.98647780333365664</v>
      </c>
      <c r="F321" s="27">
        <f t="shared" si="15"/>
        <v>0.98375591267088158</v>
      </c>
      <c r="G321" s="27" t="str">
        <f t="shared" si="15"/>
        <v/>
      </c>
      <c r="H321" s="27">
        <f t="shared" si="15"/>
        <v>0.98929094873380763</v>
      </c>
    </row>
    <row r="322" spans="1:8">
      <c r="A322" t="s">
        <v>41</v>
      </c>
      <c r="B322" s="27">
        <f t="shared" si="15"/>
        <v>0.97823256201156461</v>
      </c>
      <c r="C322" s="27">
        <f t="shared" si="15"/>
        <v>0.97176529383544996</v>
      </c>
      <c r="D322" s="27">
        <f t="shared" si="15"/>
        <v>0.95381723655268946</v>
      </c>
      <c r="E322" s="27">
        <f t="shared" si="15"/>
        <v>0.99837355569017638</v>
      </c>
      <c r="F322" s="27">
        <f t="shared" si="15"/>
        <v>0.99594624205682569</v>
      </c>
      <c r="G322" s="27" t="str">
        <f t="shared" si="15"/>
        <v/>
      </c>
      <c r="H322" s="27">
        <f t="shared" si="15"/>
        <v>0.9815778951945533</v>
      </c>
    </row>
    <row r="323" spans="1:8">
      <c r="A323" t="s">
        <v>42</v>
      </c>
      <c r="B323" s="27">
        <f t="shared" si="15"/>
        <v>0.9978279461214018</v>
      </c>
      <c r="C323" s="27">
        <f t="shared" si="15"/>
        <v>0.99418793132990591</v>
      </c>
      <c r="D323" s="27">
        <f t="shared" si="15"/>
        <v>0.90557614623390115</v>
      </c>
      <c r="E323" s="27" t="str">
        <f t="shared" si="15"/>
        <v/>
      </c>
      <c r="F323" s="27">
        <f t="shared" si="15"/>
        <v>0.99753735471426486</v>
      </c>
      <c r="G323" s="27" t="str">
        <f t="shared" si="15"/>
        <v/>
      </c>
      <c r="H323" s="27">
        <f t="shared" si="15"/>
        <v>0.97905061949314887</v>
      </c>
    </row>
    <row r="324" spans="1:8">
      <c r="A324" t="s">
        <v>43</v>
      </c>
      <c r="B324" s="27">
        <f t="shared" si="15"/>
        <v>0.99881852510254454</v>
      </c>
      <c r="C324" s="27" t="str">
        <f t="shared" si="15"/>
        <v/>
      </c>
      <c r="D324" s="27" t="str">
        <f t="shared" si="15"/>
        <v/>
      </c>
      <c r="E324" s="27" t="str">
        <f t="shared" si="15"/>
        <v/>
      </c>
      <c r="F324" s="27" t="str">
        <f t="shared" si="15"/>
        <v/>
      </c>
      <c r="G324" s="27" t="str">
        <f t="shared" si="15"/>
        <v/>
      </c>
      <c r="H324" s="27">
        <f t="shared" si="15"/>
        <v>0.99881852510254454</v>
      </c>
    </row>
    <row r="325" spans="1:8">
      <c r="A325" t="s">
        <v>44</v>
      </c>
      <c r="B325" s="27">
        <f t="shared" si="15"/>
        <v>0.99502203478438134</v>
      </c>
      <c r="C325" s="27">
        <f t="shared" si="15"/>
        <v>0.99470228612065126</v>
      </c>
      <c r="D325" s="27">
        <f t="shared" si="15"/>
        <v>0.99621517177820951</v>
      </c>
      <c r="E325" s="27">
        <f t="shared" si="15"/>
        <v>0.99554521302842625</v>
      </c>
      <c r="F325" s="27" t="str">
        <f t="shared" si="15"/>
        <v/>
      </c>
      <c r="G325" s="27" t="str">
        <f t="shared" si="15"/>
        <v/>
      </c>
      <c r="H325" s="27">
        <f t="shared" si="15"/>
        <v>0.99542063139493553</v>
      </c>
    </row>
    <row r="326" spans="1:8">
      <c r="A326" t="s">
        <v>45</v>
      </c>
      <c r="B326" s="27">
        <f t="shared" si="15"/>
        <v>0.99512389696530357</v>
      </c>
      <c r="C326" s="27" t="str">
        <f t="shared" si="15"/>
        <v/>
      </c>
      <c r="D326" s="27">
        <f t="shared" si="15"/>
        <v>0.99374276043364573</v>
      </c>
      <c r="E326" s="27">
        <f t="shared" si="15"/>
        <v>0.99132554809543971</v>
      </c>
      <c r="F326" s="27">
        <f t="shared" si="15"/>
        <v>0.99547616962904595</v>
      </c>
      <c r="G326" s="27" t="str">
        <f t="shared" si="15"/>
        <v/>
      </c>
      <c r="H326" s="27">
        <f t="shared" si="15"/>
        <v>0.99386004254601257</v>
      </c>
    </row>
    <row r="327" spans="1:8">
      <c r="A327" t="s">
        <v>46</v>
      </c>
      <c r="B327" s="27">
        <f t="shared" si="15"/>
        <v>0.98312839894100523</v>
      </c>
      <c r="C327" s="27">
        <f t="shared" si="15"/>
        <v>0.98439107141128823</v>
      </c>
      <c r="D327" s="27">
        <f t="shared" si="15"/>
        <v>0.99388612377666752</v>
      </c>
      <c r="E327" s="27">
        <f t="shared" si="15"/>
        <v>0.99154332010978352</v>
      </c>
      <c r="F327" s="27">
        <f t="shared" si="15"/>
        <v>0.98692186886533173</v>
      </c>
      <c r="G327" s="27" t="str">
        <f t="shared" si="15"/>
        <v/>
      </c>
      <c r="H327" s="27">
        <f t="shared" si="15"/>
        <v>0.98752465522311628</v>
      </c>
    </row>
    <row r="328" spans="1:8">
      <c r="A328" t="s">
        <v>47</v>
      </c>
      <c r="B328" s="27">
        <f t="shared" si="15"/>
        <v>0.99788408292500586</v>
      </c>
      <c r="C328" s="27">
        <f t="shared" si="15"/>
        <v>0.9985098384709592</v>
      </c>
      <c r="D328" s="27">
        <f t="shared" si="15"/>
        <v>0.93522606204325964</v>
      </c>
      <c r="E328" s="27">
        <f t="shared" si="15"/>
        <v>0.83101137526298607</v>
      </c>
      <c r="F328" s="27">
        <f t="shared" si="15"/>
        <v>0.99778646740367904</v>
      </c>
      <c r="G328" s="27" t="str">
        <f t="shared" si="15"/>
        <v/>
      </c>
      <c r="H328" s="27">
        <f t="shared" si="15"/>
        <v>0.96808758586508681</v>
      </c>
    </row>
    <row r="329" spans="1:8">
      <c r="A329" t="s">
        <v>48</v>
      </c>
      <c r="B329" s="27" t="str">
        <f t="shared" si="15"/>
        <v/>
      </c>
      <c r="C329" s="27" t="str">
        <f t="shared" si="15"/>
        <v/>
      </c>
      <c r="D329" s="27">
        <f t="shared" si="15"/>
        <v>0.94145088576435765</v>
      </c>
      <c r="E329" s="27">
        <f t="shared" si="15"/>
        <v>0.84782771589898287</v>
      </c>
      <c r="F329" s="27" t="str">
        <f t="shared" si="15"/>
        <v/>
      </c>
      <c r="G329" s="27" t="str">
        <f t="shared" si="15"/>
        <v/>
      </c>
      <c r="H329" s="27">
        <f t="shared" si="15"/>
        <v>0.89141147767490625</v>
      </c>
    </row>
    <row r="330" spans="1:8">
      <c r="A330" t="s">
        <v>49</v>
      </c>
      <c r="B330" s="27">
        <f t="shared" si="15"/>
        <v>0.99349417230685466</v>
      </c>
      <c r="C330" s="27">
        <f t="shared" si="15"/>
        <v>0.99342229973082607</v>
      </c>
      <c r="D330" s="27">
        <f t="shared" si="15"/>
        <v>0.99398508569145527</v>
      </c>
      <c r="E330" s="27">
        <f t="shared" si="15"/>
        <v>0.98628373693536375</v>
      </c>
      <c r="F330" s="27" t="str">
        <f t="shared" si="15"/>
        <v/>
      </c>
      <c r="G330" s="27" t="str">
        <f t="shared" si="15"/>
        <v/>
      </c>
      <c r="H330" s="27">
        <f t="shared" si="15"/>
        <v>0.99196043484346574</v>
      </c>
    </row>
    <row r="331" spans="1:8">
      <c r="A331" t="s">
        <v>50</v>
      </c>
      <c r="B331" s="27">
        <f t="shared" ref="B331:H340" si="16">IF(SUM(B45,B188)=0,"",SUM(B45)/SUM(B45,B188))</f>
        <v>0.99449088145896658</v>
      </c>
      <c r="C331" s="27">
        <f t="shared" si="16"/>
        <v>0.99429724679918419</v>
      </c>
      <c r="D331" s="27">
        <f t="shared" si="16"/>
        <v>0.9901806996879482</v>
      </c>
      <c r="E331" s="27">
        <f t="shared" si="16"/>
        <v>0.99209104095488587</v>
      </c>
      <c r="F331" s="27">
        <f t="shared" si="16"/>
        <v>0.99165542321692368</v>
      </c>
      <c r="G331" s="27" t="str">
        <f t="shared" si="16"/>
        <v/>
      </c>
      <c r="H331" s="27">
        <f t="shared" si="16"/>
        <v>0.99251958331338086</v>
      </c>
    </row>
    <row r="332" spans="1:8">
      <c r="A332" t="s">
        <v>51</v>
      </c>
      <c r="B332" s="27">
        <f t="shared" si="16"/>
        <v>0.98637711438788211</v>
      </c>
      <c r="C332" s="27">
        <f t="shared" si="16"/>
        <v>0.98335710291179435</v>
      </c>
      <c r="D332" s="27">
        <f t="shared" si="16"/>
        <v>0.95407091806878774</v>
      </c>
      <c r="E332" s="27">
        <f t="shared" si="16"/>
        <v>0.99721462395952831</v>
      </c>
      <c r="F332" s="27">
        <f t="shared" si="16"/>
        <v>0.98799583707387595</v>
      </c>
      <c r="G332" s="27" t="str">
        <f t="shared" si="16"/>
        <v/>
      </c>
      <c r="H332" s="27">
        <f t="shared" si="16"/>
        <v>0.98230587070368203</v>
      </c>
    </row>
    <row r="333" spans="1:8">
      <c r="A333" t="s">
        <v>52</v>
      </c>
      <c r="B333" s="27">
        <f t="shared" si="16"/>
        <v>0.99720332794677446</v>
      </c>
      <c r="C333" s="27">
        <f t="shared" si="16"/>
        <v>0.99652318587090993</v>
      </c>
      <c r="D333" s="27">
        <f t="shared" si="16"/>
        <v>0.81969756827408824</v>
      </c>
      <c r="E333" s="27" t="str">
        <f t="shared" si="16"/>
        <v/>
      </c>
      <c r="F333" s="27">
        <f t="shared" si="16"/>
        <v>0.99789109096539996</v>
      </c>
      <c r="G333" s="27" t="str">
        <f t="shared" si="16"/>
        <v/>
      </c>
      <c r="H333" s="27">
        <f t="shared" si="16"/>
        <v>0.97541705783167809</v>
      </c>
    </row>
    <row r="334" spans="1:8">
      <c r="A334" t="s">
        <v>53</v>
      </c>
      <c r="B334" s="27" t="str">
        <f t="shared" si="16"/>
        <v/>
      </c>
      <c r="C334" s="27" t="str">
        <f t="shared" si="16"/>
        <v/>
      </c>
      <c r="D334" s="27" t="str">
        <f t="shared" si="16"/>
        <v/>
      </c>
      <c r="E334" s="27" t="str">
        <f t="shared" si="16"/>
        <v/>
      </c>
      <c r="F334" s="27">
        <f t="shared" si="16"/>
        <v>0.99202585401178878</v>
      </c>
      <c r="G334" s="27" t="str">
        <f t="shared" si="16"/>
        <v/>
      </c>
      <c r="H334" s="27">
        <f t="shared" si="16"/>
        <v>0.99202585401178878</v>
      </c>
    </row>
    <row r="335" spans="1:8">
      <c r="A335" t="s">
        <v>54</v>
      </c>
      <c r="B335" s="27">
        <f t="shared" si="16"/>
        <v>0.9960005484632205</v>
      </c>
      <c r="C335" s="27">
        <f t="shared" si="16"/>
        <v>0.99579236470276156</v>
      </c>
      <c r="D335" s="27">
        <f t="shared" si="16"/>
        <v>0.99071347277147714</v>
      </c>
      <c r="E335" s="27">
        <f t="shared" si="16"/>
        <v>0.98744042297050894</v>
      </c>
      <c r="F335" s="27">
        <f t="shared" si="16"/>
        <v>0.99487448150042834</v>
      </c>
      <c r="G335" s="27" t="str">
        <f t="shared" si="16"/>
        <v/>
      </c>
      <c r="H335" s="27">
        <f t="shared" si="16"/>
        <v>0.99307676388194421</v>
      </c>
    </row>
    <row r="336" spans="1:8">
      <c r="A336" t="s">
        <v>55</v>
      </c>
      <c r="B336" s="27">
        <f t="shared" si="16"/>
        <v>0.99471137463368087</v>
      </c>
      <c r="C336" s="27">
        <f t="shared" si="16"/>
        <v>0.99537736776351504</v>
      </c>
      <c r="D336" s="27">
        <f t="shared" si="16"/>
        <v>0.99303061949880489</v>
      </c>
      <c r="E336" s="27">
        <f t="shared" si="16"/>
        <v>0.98729923750199744</v>
      </c>
      <c r="F336" s="27">
        <f t="shared" si="16"/>
        <v>0.98443281315041753</v>
      </c>
      <c r="G336" s="27" t="str">
        <f t="shared" si="16"/>
        <v/>
      </c>
      <c r="H336" s="27">
        <f t="shared" si="16"/>
        <v>0.99051073737273287</v>
      </c>
    </row>
    <row r="337" spans="1:8">
      <c r="A337" t="s">
        <v>56</v>
      </c>
      <c r="B337" s="27">
        <f t="shared" si="16"/>
        <v>0.97472918275487175</v>
      </c>
      <c r="C337" s="27">
        <f t="shared" si="16"/>
        <v>0.96777891032926</v>
      </c>
      <c r="D337" s="27">
        <f t="shared" si="16"/>
        <v>0.94628451487426724</v>
      </c>
      <c r="E337" s="27">
        <f t="shared" si="16"/>
        <v>0.83974279919077</v>
      </c>
      <c r="F337" s="27">
        <f t="shared" si="16"/>
        <v>0.99697756063735887</v>
      </c>
      <c r="G337" s="27" t="str">
        <f t="shared" si="16"/>
        <v/>
      </c>
      <c r="H337" s="27">
        <f t="shared" si="16"/>
        <v>0.94355207397395813</v>
      </c>
    </row>
    <row r="338" spans="1:8">
      <c r="A338" t="s">
        <v>57</v>
      </c>
      <c r="B338" s="27">
        <f t="shared" si="16"/>
        <v>0.99717173042850582</v>
      </c>
      <c r="C338" s="27">
        <f t="shared" si="16"/>
        <v>0.99737391558293964</v>
      </c>
      <c r="D338" s="27">
        <f t="shared" si="16"/>
        <v>0.96463385170648974</v>
      </c>
      <c r="E338" s="27">
        <f t="shared" si="16"/>
        <v>0.86316733131595635</v>
      </c>
      <c r="F338" s="27" t="str">
        <f t="shared" si="16"/>
        <v/>
      </c>
      <c r="G338" s="27" t="str">
        <f t="shared" si="16"/>
        <v/>
      </c>
      <c r="H338" s="27">
        <f t="shared" si="16"/>
        <v>0.959310621048859</v>
      </c>
    </row>
    <row r="339" spans="1:8">
      <c r="A339" t="s">
        <v>58</v>
      </c>
      <c r="B339" s="27">
        <f t="shared" si="16"/>
        <v>0.994273193310515</v>
      </c>
      <c r="C339" s="27">
        <f t="shared" si="16"/>
        <v>0.99908073400595199</v>
      </c>
      <c r="D339" s="27" t="str">
        <f t="shared" si="16"/>
        <v/>
      </c>
      <c r="E339" s="27" t="str">
        <f t="shared" si="16"/>
        <v/>
      </c>
      <c r="F339" s="27" t="str">
        <f t="shared" si="16"/>
        <v/>
      </c>
      <c r="G339" s="27" t="str">
        <f t="shared" si="16"/>
        <v/>
      </c>
      <c r="H339" s="27">
        <f t="shared" si="16"/>
        <v>0.99717415573541734</v>
      </c>
    </row>
    <row r="340" spans="1:8">
      <c r="A340" t="s">
        <v>59</v>
      </c>
      <c r="B340" s="27">
        <f t="shared" si="16"/>
        <v>0.99598148857080082</v>
      </c>
      <c r="C340" s="27">
        <f t="shared" si="16"/>
        <v>0.99440703172477851</v>
      </c>
      <c r="D340" s="27">
        <f t="shared" si="16"/>
        <v>0.99428890682227322</v>
      </c>
      <c r="E340" s="27">
        <f t="shared" si="16"/>
        <v>0.99260935870355937</v>
      </c>
      <c r="F340" s="27">
        <f t="shared" si="16"/>
        <v>0.99440973297875335</v>
      </c>
      <c r="G340" s="27" t="str">
        <f t="shared" si="16"/>
        <v/>
      </c>
      <c r="H340" s="27">
        <f t="shared" si="16"/>
        <v>0.99432825144781534</v>
      </c>
    </row>
    <row r="341" spans="1:8">
      <c r="A341" t="s">
        <v>60</v>
      </c>
      <c r="B341" s="27" t="str">
        <f t="shared" ref="B341:H350" si="17">IF(SUM(B55,B198)=0,"",SUM(B55)/SUM(B55,B198))</f>
        <v/>
      </c>
      <c r="C341" s="27" t="str">
        <f t="shared" si="17"/>
        <v/>
      </c>
      <c r="D341" s="27">
        <f t="shared" si="17"/>
        <v>0.99312888416706624</v>
      </c>
      <c r="E341" s="27" t="str">
        <f t="shared" si="17"/>
        <v/>
      </c>
      <c r="F341" s="27" t="str">
        <f t="shared" si="17"/>
        <v/>
      </c>
      <c r="G341" s="27" t="str">
        <f t="shared" si="17"/>
        <v/>
      </c>
      <c r="H341" s="27">
        <f t="shared" si="17"/>
        <v>0.99312888416706624</v>
      </c>
    </row>
    <row r="342" spans="1:8">
      <c r="A342" t="s">
        <v>61</v>
      </c>
      <c r="B342" s="27" t="str">
        <f t="shared" si="17"/>
        <v/>
      </c>
      <c r="C342" s="27" t="str">
        <f t="shared" si="17"/>
        <v/>
      </c>
      <c r="D342" s="27" t="str">
        <f t="shared" si="17"/>
        <v/>
      </c>
      <c r="E342" s="27" t="str">
        <f t="shared" si="17"/>
        <v/>
      </c>
      <c r="F342" s="27" t="str">
        <f t="shared" si="17"/>
        <v/>
      </c>
      <c r="G342" s="27" t="str">
        <f t="shared" si="17"/>
        <v/>
      </c>
      <c r="H342" s="27" t="str">
        <f t="shared" si="17"/>
        <v/>
      </c>
    </row>
    <row r="343" spans="1:8">
      <c r="A343" t="s">
        <v>62</v>
      </c>
      <c r="B343" s="27" t="str">
        <f t="shared" si="17"/>
        <v/>
      </c>
      <c r="C343" s="27" t="str">
        <f t="shared" si="17"/>
        <v/>
      </c>
      <c r="D343" s="27" t="str">
        <f t="shared" si="17"/>
        <v/>
      </c>
      <c r="E343" s="27" t="str">
        <f t="shared" si="17"/>
        <v/>
      </c>
      <c r="F343" s="27" t="str">
        <f t="shared" si="17"/>
        <v/>
      </c>
      <c r="G343" s="27" t="str">
        <f t="shared" si="17"/>
        <v/>
      </c>
      <c r="H343" s="27" t="str">
        <f t="shared" si="17"/>
        <v/>
      </c>
    </row>
    <row r="344" spans="1:8">
      <c r="A344" t="s">
        <v>63</v>
      </c>
      <c r="B344" s="27" t="str">
        <f t="shared" si="17"/>
        <v/>
      </c>
      <c r="C344" s="27" t="str">
        <f t="shared" si="17"/>
        <v/>
      </c>
      <c r="D344" s="27" t="str">
        <f t="shared" si="17"/>
        <v/>
      </c>
      <c r="E344" s="27" t="str">
        <f t="shared" si="17"/>
        <v/>
      </c>
      <c r="F344" s="27" t="str">
        <f t="shared" si="17"/>
        <v/>
      </c>
      <c r="G344" s="27" t="str">
        <f t="shared" si="17"/>
        <v/>
      </c>
      <c r="H344" s="27" t="str">
        <f t="shared" si="17"/>
        <v/>
      </c>
    </row>
    <row r="345" spans="1:8" hidden="1" outlineLevel="1">
      <c r="A345" t="s">
        <v>64</v>
      </c>
      <c r="B345" s="27" t="str">
        <f t="shared" si="17"/>
        <v/>
      </c>
      <c r="C345" s="27" t="str">
        <f t="shared" si="17"/>
        <v/>
      </c>
      <c r="D345" s="27" t="str">
        <f t="shared" si="17"/>
        <v/>
      </c>
      <c r="E345" s="27" t="str">
        <f t="shared" si="17"/>
        <v/>
      </c>
      <c r="F345" s="27" t="str">
        <f t="shared" si="17"/>
        <v/>
      </c>
      <c r="G345" s="27" t="str">
        <f t="shared" si="17"/>
        <v/>
      </c>
      <c r="H345" s="27" t="str">
        <f t="shared" si="17"/>
        <v/>
      </c>
    </row>
    <row r="346" spans="1:8" hidden="1" outlineLevel="1">
      <c r="A346" t="s">
        <v>65</v>
      </c>
      <c r="B346" s="27" t="str">
        <f t="shared" si="17"/>
        <v/>
      </c>
      <c r="C346" s="27" t="str">
        <f t="shared" si="17"/>
        <v/>
      </c>
      <c r="D346" s="27" t="str">
        <f t="shared" si="17"/>
        <v/>
      </c>
      <c r="E346" s="27" t="str">
        <f t="shared" si="17"/>
        <v/>
      </c>
      <c r="F346" s="27" t="str">
        <f t="shared" si="17"/>
        <v/>
      </c>
      <c r="G346" s="27" t="str">
        <f t="shared" si="17"/>
        <v/>
      </c>
      <c r="H346" s="27" t="str">
        <f t="shared" si="17"/>
        <v/>
      </c>
    </row>
    <row r="347" spans="1:8" hidden="1" outlineLevel="1">
      <c r="A347" t="s">
        <v>66</v>
      </c>
      <c r="B347" s="27" t="str">
        <f t="shared" si="17"/>
        <v/>
      </c>
      <c r="C347" s="27" t="str">
        <f t="shared" si="17"/>
        <v/>
      </c>
      <c r="D347" s="27" t="str">
        <f t="shared" si="17"/>
        <v/>
      </c>
      <c r="E347" s="27" t="str">
        <f t="shared" si="17"/>
        <v/>
      </c>
      <c r="F347" s="27" t="str">
        <f t="shared" si="17"/>
        <v/>
      </c>
      <c r="G347" s="27" t="str">
        <f t="shared" si="17"/>
        <v/>
      </c>
      <c r="H347" s="27" t="str">
        <f t="shared" si="17"/>
        <v/>
      </c>
    </row>
    <row r="348" spans="1:8" hidden="1" outlineLevel="1">
      <c r="A348" t="s">
        <v>67</v>
      </c>
      <c r="B348" s="27" t="str">
        <f t="shared" si="17"/>
        <v/>
      </c>
      <c r="C348" s="27" t="str">
        <f t="shared" si="17"/>
        <v/>
      </c>
      <c r="D348" s="27" t="str">
        <f t="shared" si="17"/>
        <v/>
      </c>
      <c r="E348" s="27" t="str">
        <f t="shared" si="17"/>
        <v/>
      </c>
      <c r="F348" s="27" t="str">
        <f t="shared" si="17"/>
        <v/>
      </c>
      <c r="G348" s="27" t="str">
        <f t="shared" si="17"/>
        <v/>
      </c>
      <c r="H348" s="27" t="str">
        <f t="shared" si="17"/>
        <v/>
      </c>
    </row>
    <row r="349" spans="1:8" hidden="1" outlineLevel="1">
      <c r="A349" t="s">
        <v>68</v>
      </c>
      <c r="B349" s="27" t="str">
        <f t="shared" si="17"/>
        <v/>
      </c>
      <c r="C349" s="27" t="str">
        <f t="shared" si="17"/>
        <v/>
      </c>
      <c r="D349" s="27" t="str">
        <f t="shared" si="17"/>
        <v/>
      </c>
      <c r="E349" s="27" t="str">
        <f t="shared" si="17"/>
        <v/>
      </c>
      <c r="F349" s="27" t="str">
        <f t="shared" si="17"/>
        <v/>
      </c>
      <c r="G349" s="27" t="str">
        <f t="shared" si="17"/>
        <v/>
      </c>
      <c r="H349" s="27" t="str">
        <f t="shared" si="17"/>
        <v/>
      </c>
    </row>
    <row r="350" spans="1:8" hidden="1" outlineLevel="1">
      <c r="A350" t="s">
        <v>69</v>
      </c>
      <c r="B350" s="27" t="str">
        <f t="shared" si="17"/>
        <v/>
      </c>
      <c r="C350" s="27" t="str">
        <f t="shared" si="17"/>
        <v/>
      </c>
      <c r="D350" s="27" t="str">
        <f t="shared" si="17"/>
        <v/>
      </c>
      <c r="E350" s="27" t="str">
        <f t="shared" si="17"/>
        <v/>
      </c>
      <c r="F350" s="27" t="str">
        <f t="shared" si="17"/>
        <v/>
      </c>
      <c r="G350" s="27" t="str">
        <f t="shared" si="17"/>
        <v/>
      </c>
      <c r="H350" s="27" t="str">
        <f t="shared" si="17"/>
        <v/>
      </c>
    </row>
    <row r="351" spans="1:8" hidden="1" outlineLevel="1">
      <c r="A351" t="s">
        <v>70</v>
      </c>
      <c r="B351" s="27" t="str">
        <f t="shared" ref="B351:H360" si="18">IF(SUM(B65,B208)=0,"",SUM(B65)/SUM(B65,B208))</f>
        <v/>
      </c>
      <c r="C351" s="27" t="str">
        <f t="shared" si="18"/>
        <v/>
      </c>
      <c r="D351" s="27" t="str">
        <f t="shared" si="18"/>
        <v/>
      </c>
      <c r="E351" s="27" t="str">
        <f t="shared" si="18"/>
        <v/>
      </c>
      <c r="F351" s="27" t="str">
        <f t="shared" si="18"/>
        <v/>
      </c>
      <c r="G351" s="27" t="str">
        <f t="shared" si="18"/>
        <v/>
      </c>
      <c r="H351" s="27" t="str">
        <f t="shared" si="18"/>
        <v/>
      </c>
    </row>
    <row r="352" spans="1:8" hidden="1" outlineLevel="1">
      <c r="A352" t="s">
        <v>71</v>
      </c>
      <c r="B352" s="27" t="str">
        <f t="shared" si="18"/>
        <v/>
      </c>
      <c r="C352" s="27" t="str">
        <f t="shared" si="18"/>
        <v/>
      </c>
      <c r="D352" s="27" t="str">
        <f t="shared" si="18"/>
        <v/>
      </c>
      <c r="E352" s="27" t="str">
        <f t="shared" si="18"/>
        <v/>
      </c>
      <c r="F352" s="27" t="str">
        <f t="shared" si="18"/>
        <v/>
      </c>
      <c r="G352" s="27" t="str">
        <f t="shared" si="18"/>
        <v/>
      </c>
      <c r="H352" s="27" t="str">
        <f t="shared" si="18"/>
        <v/>
      </c>
    </row>
    <row r="353" spans="1:8" hidden="1" outlineLevel="1">
      <c r="A353" t="s">
        <v>72</v>
      </c>
      <c r="B353" s="27" t="str">
        <f t="shared" si="18"/>
        <v/>
      </c>
      <c r="C353" s="27" t="str">
        <f t="shared" si="18"/>
        <v/>
      </c>
      <c r="D353" s="27" t="str">
        <f t="shared" si="18"/>
        <v/>
      </c>
      <c r="E353" s="27" t="str">
        <f t="shared" si="18"/>
        <v/>
      </c>
      <c r="F353" s="27" t="str">
        <f t="shared" si="18"/>
        <v/>
      </c>
      <c r="G353" s="27" t="str">
        <f t="shared" si="18"/>
        <v/>
      </c>
      <c r="H353" s="27" t="str">
        <f t="shared" si="18"/>
        <v/>
      </c>
    </row>
    <row r="354" spans="1:8" hidden="1" outlineLevel="1">
      <c r="A354" t="s">
        <v>73</v>
      </c>
      <c r="B354" s="27" t="str">
        <f t="shared" si="18"/>
        <v/>
      </c>
      <c r="C354" s="27" t="str">
        <f t="shared" si="18"/>
        <v/>
      </c>
      <c r="D354" s="27" t="str">
        <f t="shared" si="18"/>
        <v/>
      </c>
      <c r="E354" s="27" t="str">
        <f t="shared" si="18"/>
        <v/>
      </c>
      <c r="F354" s="27" t="str">
        <f t="shared" si="18"/>
        <v/>
      </c>
      <c r="G354" s="27" t="str">
        <f t="shared" si="18"/>
        <v/>
      </c>
      <c r="H354" s="27" t="str">
        <f t="shared" si="18"/>
        <v/>
      </c>
    </row>
    <row r="355" spans="1:8" hidden="1" outlineLevel="1">
      <c r="A355" t="s">
        <v>74</v>
      </c>
      <c r="B355" s="27" t="str">
        <f t="shared" si="18"/>
        <v/>
      </c>
      <c r="C355" s="27" t="str">
        <f t="shared" si="18"/>
        <v/>
      </c>
      <c r="D355" s="27" t="str">
        <f t="shared" si="18"/>
        <v/>
      </c>
      <c r="E355" s="27" t="str">
        <f t="shared" si="18"/>
        <v/>
      </c>
      <c r="F355" s="27" t="str">
        <f t="shared" si="18"/>
        <v/>
      </c>
      <c r="G355" s="27" t="str">
        <f t="shared" si="18"/>
        <v/>
      </c>
      <c r="H355" s="27" t="str">
        <f t="shared" si="18"/>
        <v/>
      </c>
    </row>
    <row r="356" spans="1:8" hidden="1" outlineLevel="1">
      <c r="A356" t="s">
        <v>75</v>
      </c>
      <c r="B356" s="27" t="str">
        <f t="shared" si="18"/>
        <v/>
      </c>
      <c r="C356" s="27" t="str">
        <f t="shared" si="18"/>
        <v/>
      </c>
      <c r="D356" s="27" t="str">
        <f t="shared" si="18"/>
        <v/>
      </c>
      <c r="E356" s="27" t="str">
        <f t="shared" si="18"/>
        <v/>
      </c>
      <c r="F356" s="27" t="str">
        <f t="shared" si="18"/>
        <v/>
      </c>
      <c r="G356" s="27" t="str">
        <f t="shared" si="18"/>
        <v/>
      </c>
      <c r="H356" s="27" t="str">
        <f t="shared" si="18"/>
        <v/>
      </c>
    </row>
    <row r="357" spans="1:8" hidden="1" outlineLevel="1">
      <c r="A357" t="s">
        <v>76</v>
      </c>
      <c r="B357" s="27" t="str">
        <f t="shared" si="18"/>
        <v/>
      </c>
      <c r="C357" s="27" t="str">
        <f t="shared" si="18"/>
        <v/>
      </c>
      <c r="D357" s="27" t="str">
        <f t="shared" si="18"/>
        <v/>
      </c>
      <c r="E357" s="27" t="str">
        <f t="shared" si="18"/>
        <v/>
      </c>
      <c r="F357" s="27" t="str">
        <f t="shared" si="18"/>
        <v/>
      </c>
      <c r="G357" s="27" t="str">
        <f t="shared" si="18"/>
        <v/>
      </c>
      <c r="H357" s="27" t="str">
        <f t="shared" si="18"/>
        <v/>
      </c>
    </row>
    <row r="358" spans="1:8" hidden="1" outlineLevel="1">
      <c r="A358" t="s">
        <v>77</v>
      </c>
      <c r="B358" s="27" t="str">
        <f t="shared" si="18"/>
        <v/>
      </c>
      <c r="C358" s="27" t="str">
        <f t="shared" si="18"/>
        <v/>
      </c>
      <c r="D358" s="27" t="str">
        <f t="shared" si="18"/>
        <v/>
      </c>
      <c r="E358" s="27" t="str">
        <f t="shared" si="18"/>
        <v/>
      </c>
      <c r="F358" s="27" t="str">
        <f t="shared" si="18"/>
        <v/>
      </c>
      <c r="G358" s="27" t="str">
        <f t="shared" si="18"/>
        <v/>
      </c>
      <c r="H358" s="27" t="str">
        <f t="shared" si="18"/>
        <v/>
      </c>
    </row>
    <row r="359" spans="1:8" hidden="1" outlineLevel="1">
      <c r="A359" t="s">
        <v>78</v>
      </c>
      <c r="B359" s="27" t="str">
        <f t="shared" si="18"/>
        <v/>
      </c>
      <c r="C359" s="27" t="str">
        <f t="shared" si="18"/>
        <v/>
      </c>
      <c r="D359" s="27" t="str">
        <f t="shared" si="18"/>
        <v/>
      </c>
      <c r="E359" s="27" t="str">
        <f t="shared" si="18"/>
        <v/>
      </c>
      <c r="F359" s="27" t="str">
        <f t="shared" si="18"/>
        <v/>
      </c>
      <c r="G359" s="27" t="str">
        <f t="shared" si="18"/>
        <v/>
      </c>
      <c r="H359" s="27" t="str">
        <f t="shared" si="18"/>
        <v/>
      </c>
    </row>
    <row r="360" spans="1:8" hidden="1" outlineLevel="1">
      <c r="A360" t="s">
        <v>79</v>
      </c>
      <c r="B360" s="27" t="str">
        <f t="shared" si="18"/>
        <v/>
      </c>
      <c r="C360" s="27" t="str">
        <f t="shared" si="18"/>
        <v/>
      </c>
      <c r="D360" s="27" t="str">
        <f t="shared" si="18"/>
        <v/>
      </c>
      <c r="E360" s="27" t="str">
        <f t="shared" si="18"/>
        <v/>
      </c>
      <c r="F360" s="27" t="str">
        <f t="shared" si="18"/>
        <v/>
      </c>
      <c r="G360" s="27" t="str">
        <f t="shared" si="18"/>
        <v/>
      </c>
      <c r="H360" s="27" t="str">
        <f t="shared" si="18"/>
        <v/>
      </c>
    </row>
    <row r="361" spans="1:8" hidden="1" outlineLevel="1">
      <c r="A361" t="s">
        <v>80</v>
      </c>
      <c r="B361" s="27" t="str">
        <f t="shared" ref="B361:H370" si="19">IF(SUM(B75,B218)=0,"",SUM(B75)/SUM(B75,B218))</f>
        <v/>
      </c>
      <c r="C361" s="27" t="str">
        <f t="shared" si="19"/>
        <v/>
      </c>
      <c r="D361" s="27" t="str">
        <f t="shared" si="19"/>
        <v/>
      </c>
      <c r="E361" s="27" t="str">
        <f t="shared" si="19"/>
        <v/>
      </c>
      <c r="F361" s="27" t="str">
        <f t="shared" si="19"/>
        <v/>
      </c>
      <c r="G361" s="27" t="str">
        <f t="shared" si="19"/>
        <v/>
      </c>
      <c r="H361" s="27" t="str">
        <f t="shared" si="19"/>
        <v/>
      </c>
    </row>
    <row r="362" spans="1:8" hidden="1" outlineLevel="1">
      <c r="A362" t="s">
        <v>81</v>
      </c>
      <c r="B362" s="27" t="str">
        <f t="shared" si="19"/>
        <v/>
      </c>
      <c r="C362" s="27" t="str">
        <f t="shared" si="19"/>
        <v/>
      </c>
      <c r="D362" s="27" t="str">
        <f t="shared" si="19"/>
        <v/>
      </c>
      <c r="E362" s="27" t="str">
        <f t="shared" si="19"/>
        <v/>
      </c>
      <c r="F362" s="27" t="str">
        <f t="shared" si="19"/>
        <v/>
      </c>
      <c r="G362" s="27" t="str">
        <f t="shared" si="19"/>
        <v/>
      </c>
      <c r="H362" s="27" t="str">
        <f t="shared" si="19"/>
        <v/>
      </c>
    </row>
    <row r="363" spans="1:8" hidden="1" outlineLevel="1">
      <c r="A363" t="s">
        <v>82</v>
      </c>
      <c r="B363" s="27" t="str">
        <f t="shared" si="19"/>
        <v/>
      </c>
      <c r="C363" s="27" t="str">
        <f t="shared" si="19"/>
        <v/>
      </c>
      <c r="D363" s="27" t="str">
        <f t="shared" si="19"/>
        <v/>
      </c>
      <c r="E363" s="27" t="str">
        <f t="shared" si="19"/>
        <v/>
      </c>
      <c r="F363" s="27" t="str">
        <f t="shared" si="19"/>
        <v/>
      </c>
      <c r="G363" s="27" t="str">
        <f t="shared" si="19"/>
        <v/>
      </c>
      <c r="H363" s="27" t="str">
        <f t="shared" si="19"/>
        <v/>
      </c>
    </row>
    <row r="364" spans="1:8" hidden="1" outlineLevel="1">
      <c r="A364" t="s">
        <v>83</v>
      </c>
      <c r="B364" s="27" t="str">
        <f t="shared" si="19"/>
        <v/>
      </c>
      <c r="C364" s="27" t="str">
        <f t="shared" si="19"/>
        <v/>
      </c>
      <c r="D364" s="27" t="str">
        <f t="shared" si="19"/>
        <v/>
      </c>
      <c r="E364" s="27" t="str">
        <f t="shared" si="19"/>
        <v/>
      </c>
      <c r="F364" s="27" t="str">
        <f t="shared" si="19"/>
        <v/>
      </c>
      <c r="G364" s="27" t="str">
        <f t="shared" si="19"/>
        <v/>
      </c>
      <c r="H364" s="27" t="str">
        <f t="shared" si="19"/>
        <v/>
      </c>
    </row>
    <row r="365" spans="1:8" hidden="1" outlineLevel="1">
      <c r="A365" t="s">
        <v>84</v>
      </c>
      <c r="B365" s="27" t="str">
        <f t="shared" si="19"/>
        <v/>
      </c>
      <c r="C365" s="27" t="str">
        <f t="shared" si="19"/>
        <v/>
      </c>
      <c r="D365" s="27" t="str">
        <f t="shared" si="19"/>
        <v/>
      </c>
      <c r="E365" s="27" t="str">
        <f t="shared" si="19"/>
        <v/>
      </c>
      <c r="F365" s="27" t="str">
        <f t="shared" si="19"/>
        <v/>
      </c>
      <c r="G365" s="27" t="str">
        <f t="shared" si="19"/>
        <v/>
      </c>
      <c r="H365" s="27" t="str">
        <f t="shared" si="19"/>
        <v/>
      </c>
    </row>
    <row r="366" spans="1:8" hidden="1" outlineLevel="1">
      <c r="A366" t="s">
        <v>85</v>
      </c>
      <c r="B366" s="27" t="str">
        <f t="shared" si="19"/>
        <v/>
      </c>
      <c r="C366" s="27" t="str">
        <f t="shared" si="19"/>
        <v/>
      </c>
      <c r="D366" s="27" t="str">
        <f t="shared" si="19"/>
        <v/>
      </c>
      <c r="E366" s="27" t="str">
        <f t="shared" si="19"/>
        <v/>
      </c>
      <c r="F366" s="27" t="str">
        <f t="shared" si="19"/>
        <v/>
      </c>
      <c r="G366" s="27" t="str">
        <f t="shared" si="19"/>
        <v/>
      </c>
      <c r="H366" s="27" t="str">
        <f t="shared" si="19"/>
        <v/>
      </c>
    </row>
    <row r="367" spans="1:8" hidden="1" outlineLevel="1">
      <c r="A367" t="s">
        <v>86</v>
      </c>
      <c r="B367" s="27" t="str">
        <f t="shared" si="19"/>
        <v/>
      </c>
      <c r="C367" s="27" t="str">
        <f t="shared" si="19"/>
        <v/>
      </c>
      <c r="D367" s="27" t="str">
        <f t="shared" si="19"/>
        <v/>
      </c>
      <c r="E367" s="27" t="str">
        <f t="shared" si="19"/>
        <v/>
      </c>
      <c r="F367" s="27" t="str">
        <f t="shared" si="19"/>
        <v/>
      </c>
      <c r="G367" s="27" t="str">
        <f t="shared" si="19"/>
        <v/>
      </c>
      <c r="H367" s="27" t="str">
        <f t="shared" si="19"/>
        <v/>
      </c>
    </row>
    <row r="368" spans="1:8" hidden="1" outlineLevel="1">
      <c r="A368" t="s">
        <v>87</v>
      </c>
      <c r="B368" s="27" t="str">
        <f t="shared" si="19"/>
        <v/>
      </c>
      <c r="C368" s="27" t="str">
        <f t="shared" si="19"/>
        <v/>
      </c>
      <c r="D368" s="27" t="str">
        <f t="shared" si="19"/>
        <v/>
      </c>
      <c r="E368" s="27" t="str">
        <f t="shared" si="19"/>
        <v/>
      </c>
      <c r="F368" s="27" t="str">
        <f t="shared" si="19"/>
        <v/>
      </c>
      <c r="G368" s="27" t="str">
        <f t="shared" si="19"/>
        <v/>
      </c>
      <c r="H368" s="27" t="str">
        <f t="shared" si="19"/>
        <v/>
      </c>
    </row>
    <row r="369" spans="1:8" hidden="1" outlineLevel="1">
      <c r="A369" t="s">
        <v>88</v>
      </c>
      <c r="B369" s="27" t="str">
        <f t="shared" si="19"/>
        <v/>
      </c>
      <c r="C369" s="27" t="str">
        <f t="shared" si="19"/>
        <v/>
      </c>
      <c r="D369" s="27" t="str">
        <f t="shared" si="19"/>
        <v/>
      </c>
      <c r="E369" s="27" t="str">
        <f t="shared" si="19"/>
        <v/>
      </c>
      <c r="F369" s="27" t="str">
        <f t="shared" si="19"/>
        <v/>
      </c>
      <c r="G369" s="27" t="str">
        <f t="shared" si="19"/>
        <v/>
      </c>
      <c r="H369" s="27" t="str">
        <f t="shared" si="19"/>
        <v/>
      </c>
    </row>
    <row r="370" spans="1:8" hidden="1" outlineLevel="1">
      <c r="A370" t="s">
        <v>89</v>
      </c>
      <c r="B370" s="27" t="str">
        <f t="shared" si="19"/>
        <v/>
      </c>
      <c r="C370" s="27" t="str">
        <f t="shared" si="19"/>
        <v/>
      </c>
      <c r="D370" s="27" t="str">
        <f t="shared" si="19"/>
        <v/>
      </c>
      <c r="E370" s="27" t="str">
        <f t="shared" si="19"/>
        <v/>
      </c>
      <c r="F370" s="27" t="str">
        <f t="shared" si="19"/>
        <v/>
      </c>
      <c r="G370" s="27" t="str">
        <f t="shared" si="19"/>
        <v/>
      </c>
      <c r="H370" s="27" t="str">
        <f t="shared" si="19"/>
        <v/>
      </c>
    </row>
    <row r="371" spans="1:8" hidden="1" outlineLevel="1">
      <c r="A371" t="s">
        <v>90</v>
      </c>
      <c r="B371" s="27" t="str">
        <f t="shared" ref="B371:H380" si="20">IF(SUM(B85,B228)=0,"",SUM(B85)/SUM(B85,B228))</f>
        <v/>
      </c>
      <c r="C371" s="27" t="str">
        <f t="shared" si="20"/>
        <v/>
      </c>
      <c r="D371" s="27" t="str">
        <f t="shared" si="20"/>
        <v/>
      </c>
      <c r="E371" s="27" t="str">
        <f t="shared" si="20"/>
        <v/>
      </c>
      <c r="F371" s="27" t="str">
        <f t="shared" si="20"/>
        <v/>
      </c>
      <c r="G371" s="27" t="str">
        <f t="shared" si="20"/>
        <v/>
      </c>
      <c r="H371" s="27" t="str">
        <f t="shared" si="20"/>
        <v/>
      </c>
    </row>
    <row r="372" spans="1:8" hidden="1" outlineLevel="1">
      <c r="A372" t="s">
        <v>91</v>
      </c>
      <c r="B372" s="27" t="str">
        <f t="shared" si="20"/>
        <v/>
      </c>
      <c r="C372" s="27" t="str">
        <f t="shared" si="20"/>
        <v/>
      </c>
      <c r="D372" s="27" t="str">
        <f t="shared" si="20"/>
        <v/>
      </c>
      <c r="E372" s="27" t="str">
        <f t="shared" si="20"/>
        <v/>
      </c>
      <c r="F372" s="27" t="str">
        <f t="shared" si="20"/>
        <v/>
      </c>
      <c r="G372" s="27" t="str">
        <f t="shared" si="20"/>
        <v/>
      </c>
      <c r="H372" s="27" t="str">
        <f t="shared" si="20"/>
        <v/>
      </c>
    </row>
    <row r="373" spans="1:8" hidden="1" outlineLevel="1">
      <c r="A373" t="s">
        <v>92</v>
      </c>
      <c r="B373" s="27" t="str">
        <f t="shared" si="20"/>
        <v/>
      </c>
      <c r="C373" s="27" t="str">
        <f t="shared" si="20"/>
        <v/>
      </c>
      <c r="D373" s="27" t="str">
        <f t="shared" si="20"/>
        <v/>
      </c>
      <c r="E373" s="27" t="str">
        <f t="shared" si="20"/>
        <v/>
      </c>
      <c r="F373" s="27" t="str">
        <f t="shared" si="20"/>
        <v/>
      </c>
      <c r="G373" s="27" t="str">
        <f t="shared" si="20"/>
        <v/>
      </c>
      <c r="H373" s="27" t="str">
        <f t="shared" si="20"/>
        <v/>
      </c>
    </row>
    <row r="374" spans="1:8" hidden="1" outlineLevel="1">
      <c r="A374" t="s">
        <v>93</v>
      </c>
      <c r="B374" s="27" t="str">
        <f t="shared" si="20"/>
        <v/>
      </c>
      <c r="C374" s="27" t="str">
        <f t="shared" si="20"/>
        <v/>
      </c>
      <c r="D374" s="27" t="str">
        <f t="shared" si="20"/>
        <v/>
      </c>
      <c r="E374" s="27" t="str">
        <f t="shared" si="20"/>
        <v/>
      </c>
      <c r="F374" s="27" t="str">
        <f t="shared" si="20"/>
        <v/>
      </c>
      <c r="G374" s="27" t="str">
        <f t="shared" si="20"/>
        <v/>
      </c>
      <c r="H374" s="27" t="str">
        <f t="shared" si="20"/>
        <v/>
      </c>
    </row>
    <row r="375" spans="1:8" hidden="1" outlineLevel="1">
      <c r="A375" t="s">
        <v>94</v>
      </c>
      <c r="B375" s="27" t="str">
        <f t="shared" si="20"/>
        <v/>
      </c>
      <c r="C375" s="27" t="str">
        <f t="shared" si="20"/>
        <v/>
      </c>
      <c r="D375" s="27" t="str">
        <f t="shared" si="20"/>
        <v/>
      </c>
      <c r="E375" s="27" t="str">
        <f t="shared" si="20"/>
        <v/>
      </c>
      <c r="F375" s="27" t="str">
        <f t="shared" si="20"/>
        <v/>
      </c>
      <c r="G375" s="27" t="str">
        <f t="shared" si="20"/>
        <v/>
      </c>
      <c r="H375" s="27" t="str">
        <f t="shared" si="20"/>
        <v/>
      </c>
    </row>
    <row r="376" spans="1:8" hidden="1" outlineLevel="1">
      <c r="A376" t="s">
        <v>95</v>
      </c>
      <c r="B376" s="27" t="str">
        <f t="shared" si="20"/>
        <v/>
      </c>
      <c r="C376" s="27" t="str">
        <f t="shared" si="20"/>
        <v/>
      </c>
      <c r="D376" s="27" t="str">
        <f t="shared" si="20"/>
        <v/>
      </c>
      <c r="E376" s="27" t="str">
        <f t="shared" si="20"/>
        <v/>
      </c>
      <c r="F376" s="27" t="str">
        <f t="shared" si="20"/>
        <v/>
      </c>
      <c r="G376" s="27" t="str">
        <f t="shared" si="20"/>
        <v/>
      </c>
      <c r="H376" s="27" t="str">
        <f t="shared" si="20"/>
        <v/>
      </c>
    </row>
    <row r="377" spans="1:8" hidden="1" outlineLevel="1">
      <c r="A377" t="s">
        <v>96</v>
      </c>
      <c r="B377" s="27" t="str">
        <f t="shared" si="20"/>
        <v/>
      </c>
      <c r="C377" s="27" t="str">
        <f t="shared" si="20"/>
        <v/>
      </c>
      <c r="D377" s="27" t="str">
        <f t="shared" si="20"/>
        <v/>
      </c>
      <c r="E377" s="27" t="str">
        <f t="shared" si="20"/>
        <v/>
      </c>
      <c r="F377" s="27" t="str">
        <f t="shared" si="20"/>
        <v/>
      </c>
      <c r="G377" s="27" t="str">
        <f t="shared" si="20"/>
        <v/>
      </c>
      <c r="H377" s="27" t="str">
        <f t="shared" si="20"/>
        <v/>
      </c>
    </row>
    <row r="378" spans="1:8" hidden="1" outlineLevel="1">
      <c r="A378" t="s">
        <v>97</v>
      </c>
      <c r="B378" s="27" t="str">
        <f t="shared" si="20"/>
        <v/>
      </c>
      <c r="C378" s="27" t="str">
        <f t="shared" si="20"/>
        <v/>
      </c>
      <c r="D378" s="27" t="str">
        <f t="shared" si="20"/>
        <v/>
      </c>
      <c r="E378" s="27" t="str">
        <f t="shared" si="20"/>
        <v/>
      </c>
      <c r="F378" s="27" t="str">
        <f t="shared" si="20"/>
        <v/>
      </c>
      <c r="G378" s="27" t="str">
        <f t="shared" si="20"/>
        <v/>
      </c>
      <c r="H378" s="27" t="str">
        <f t="shared" si="20"/>
        <v/>
      </c>
    </row>
    <row r="379" spans="1:8" hidden="1" outlineLevel="1">
      <c r="A379" t="s">
        <v>98</v>
      </c>
      <c r="B379" s="27" t="str">
        <f t="shared" si="20"/>
        <v/>
      </c>
      <c r="C379" s="27" t="str">
        <f t="shared" si="20"/>
        <v/>
      </c>
      <c r="D379" s="27" t="str">
        <f t="shared" si="20"/>
        <v/>
      </c>
      <c r="E379" s="27" t="str">
        <f t="shared" si="20"/>
        <v/>
      </c>
      <c r="F379" s="27" t="str">
        <f t="shared" si="20"/>
        <v/>
      </c>
      <c r="G379" s="27" t="str">
        <f t="shared" si="20"/>
        <v/>
      </c>
      <c r="H379" s="27" t="str">
        <f t="shared" si="20"/>
        <v/>
      </c>
    </row>
    <row r="380" spans="1:8" hidden="1" outlineLevel="1">
      <c r="A380" t="s">
        <v>99</v>
      </c>
      <c r="B380" s="27" t="str">
        <f t="shared" si="20"/>
        <v/>
      </c>
      <c r="C380" s="27" t="str">
        <f t="shared" si="20"/>
        <v/>
      </c>
      <c r="D380" s="27" t="str">
        <f t="shared" si="20"/>
        <v/>
      </c>
      <c r="E380" s="27" t="str">
        <f t="shared" si="20"/>
        <v/>
      </c>
      <c r="F380" s="27" t="str">
        <f t="shared" si="20"/>
        <v/>
      </c>
      <c r="G380" s="27" t="str">
        <f t="shared" si="20"/>
        <v/>
      </c>
      <c r="H380" s="27" t="str">
        <f t="shared" si="20"/>
        <v/>
      </c>
    </row>
    <row r="381" spans="1:8" hidden="1" outlineLevel="1">
      <c r="A381" t="s">
        <v>100</v>
      </c>
      <c r="B381" s="27" t="str">
        <f t="shared" ref="B381:H390" si="21">IF(SUM(B95,B238)=0,"",SUM(B95)/SUM(B95,B238))</f>
        <v/>
      </c>
      <c r="C381" s="27" t="str">
        <f t="shared" si="21"/>
        <v/>
      </c>
      <c r="D381" s="27" t="str">
        <f t="shared" si="21"/>
        <v/>
      </c>
      <c r="E381" s="27" t="str">
        <f t="shared" si="21"/>
        <v/>
      </c>
      <c r="F381" s="27" t="str">
        <f t="shared" si="21"/>
        <v/>
      </c>
      <c r="G381" s="27" t="str">
        <f t="shared" si="21"/>
        <v/>
      </c>
      <c r="H381" s="27" t="str">
        <f t="shared" si="21"/>
        <v/>
      </c>
    </row>
    <row r="382" spans="1:8" hidden="1" outlineLevel="1">
      <c r="A382" t="s">
        <v>101</v>
      </c>
      <c r="B382" s="27" t="str">
        <f t="shared" si="21"/>
        <v/>
      </c>
      <c r="C382" s="27" t="str">
        <f t="shared" si="21"/>
        <v/>
      </c>
      <c r="D382" s="27" t="str">
        <f t="shared" si="21"/>
        <v/>
      </c>
      <c r="E382" s="27" t="str">
        <f t="shared" si="21"/>
        <v/>
      </c>
      <c r="F382" s="27" t="str">
        <f t="shared" si="21"/>
        <v/>
      </c>
      <c r="G382" s="27" t="str">
        <f t="shared" si="21"/>
        <v/>
      </c>
      <c r="H382" s="27" t="str">
        <f t="shared" si="21"/>
        <v/>
      </c>
    </row>
    <row r="383" spans="1:8" hidden="1" outlineLevel="1">
      <c r="A383" t="s">
        <v>102</v>
      </c>
      <c r="B383" s="27" t="str">
        <f t="shared" si="21"/>
        <v/>
      </c>
      <c r="C383" s="27" t="str">
        <f t="shared" si="21"/>
        <v/>
      </c>
      <c r="D383" s="27" t="str">
        <f t="shared" si="21"/>
        <v/>
      </c>
      <c r="E383" s="27" t="str">
        <f t="shared" si="21"/>
        <v/>
      </c>
      <c r="F383" s="27" t="str">
        <f t="shared" si="21"/>
        <v/>
      </c>
      <c r="G383" s="27" t="str">
        <f t="shared" si="21"/>
        <v/>
      </c>
      <c r="H383" s="27" t="str">
        <f t="shared" si="21"/>
        <v/>
      </c>
    </row>
    <row r="384" spans="1:8" hidden="1" outlineLevel="1">
      <c r="A384" t="s">
        <v>103</v>
      </c>
      <c r="B384" s="27" t="str">
        <f t="shared" si="21"/>
        <v/>
      </c>
      <c r="C384" s="27" t="str">
        <f t="shared" si="21"/>
        <v/>
      </c>
      <c r="D384" s="27" t="str">
        <f t="shared" si="21"/>
        <v/>
      </c>
      <c r="E384" s="27" t="str">
        <f t="shared" si="21"/>
        <v/>
      </c>
      <c r="F384" s="27" t="str">
        <f t="shared" si="21"/>
        <v/>
      </c>
      <c r="G384" s="27" t="str">
        <f t="shared" si="21"/>
        <v/>
      </c>
      <c r="H384" s="27" t="str">
        <f t="shared" si="21"/>
        <v/>
      </c>
    </row>
    <row r="385" spans="1:8" hidden="1" outlineLevel="1">
      <c r="A385" t="s">
        <v>104</v>
      </c>
      <c r="B385" s="27" t="str">
        <f t="shared" si="21"/>
        <v/>
      </c>
      <c r="C385" s="27" t="str">
        <f t="shared" si="21"/>
        <v/>
      </c>
      <c r="D385" s="27" t="str">
        <f t="shared" si="21"/>
        <v/>
      </c>
      <c r="E385" s="27" t="str">
        <f t="shared" si="21"/>
        <v/>
      </c>
      <c r="F385" s="27" t="str">
        <f t="shared" si="21"/>
        <v/>
      </c>
      <c r="G385" s="27" t="str">
        <f t="shared" si="21"/>
        <v/>
      </c>
      <c r="H385" s="27" t="str">
        <f t="shared" si="21"/>
        <v/>
      </c>
    </row>
    <row r="386" spans="1:8" hidden="1" outlineLevel="1">
      <c r="A386" t="s">
        <v>105</v>
      </c>
      <c r="B386" s="27" t="str">
        <f t="shared" si="21"/>
        <v/>
      </c>
      <c r="C386" s="27" t="str">
        <f t="shared" si="21"/>
        <v/>
      </c>
      <c r="D386" s="27" t="str">
        <f t="shared" si="21"/>
        <v/>
      </c>
      <c r="E386" s="27" t="str">
        <f t="shared" si="21"/>
        <v/>
      </c>
      <c r="F386" s="27" t="str">
        <f t="shared" si="21"/>
        <v/>
      </c>
      <c r="G386" s="27" t="str">
        <f t="shared" si="21"/>
        <v/>
      </c>
      <c r="H386" s="27" t="str">
        <f t="shared" si="21"/>
        <v/>
      </c>
    </row>
    <row r="387" spans="1:8" hidden="1" outlineLevel="1">
      <c r="A387" t="s">
        <v>106</v>
      </c>
      <c r="B387" s="27" t="str">
        <f t="shared" si="21"/>
        <v/>
      </c>
      <c r="C387" s="27" t="str">
        <f t="shared" si="21"/>
        <v/>
      </c>
      <c r="D387" s="27" t="str">
        <f t="shared" si="21"/>
        <v/>
      </c>
      <c r="E387" s="27" t="str">
        <f t="shared" si="21"/>
        <v/>
      </c>
      <c r="F387" s="27" t="str">
        <f t="shared" si="21"/>
        <v/>
      </c>
      <c r="G387" s="27" t="str">
        <f t="shared" si="21"/>
        <v/>
      </c>
      <c r="H387" s="27" t="str">
        <f t="shared" si="21"/>
        <v/>
      </c>
    </row>
    <row r="388" spans="1:8" hidden="1" outlineLevel="1">
      <c r="A388" t="s">
        <v>107</v>
      </c>
      <c r="B388" s="27" t="str">
        <f t="shared" si="21"/>
        <v/>
      </c>
      <c r="C388" s="27" t="str">
        <f t="shared" si="21"/>
        <v/>
      </c>
      <c r="D388" s="27" t="str">
        <f t="shared" si="21"/>
        <v/>
      </c>
      <c r="E388" s="27" t="str">
        <f t="shared" si="21"/>
        <v/>
      </c>
      <c r="F388" s="27" t="str">
        <f t="shared" si="21"/>
        <v/>
      </c>
      <c r="G388" s="27" t="str">
        <f t="shared" si="21"/>
        <v/>
      </c>
      <c r="H388" s="27" t="str">
        <f t="shared" si="21"/>
        <v/>
      </c>
    </row>
    <row r="389" spans="1:8" hidden="1" outlineLevel="1">
      <c r="A389" t="s">
        <v>108</v>
      </c>
      <c r="B389" s="27" t="str">
        <f t="shared" si="21"/>
        <v/>
      </c>
      <c r="C389" s="27" t="str">
        <f t="shared" si="21"/>
        <v/>
      </c>
      <c r="D389" s="27" t="str">
        <f t="shared" si="21"/>
        <v/>
      </c>
      <c r="E389" s="27" t="str">
        <f t="shared" si="21"/>
        <v/>
      </c>
      <c r="F389" s="27" t="str">
        <f t="shared" si="21"/>
        <v/>
      </c>
      <c r="G389" s="27" t="str">
        <f t="shared" si="21"/>
        <v/>
      </c>
      <c r="H389" s="27" t="str">
        <f t="shared" si="21"/>
        <v/>
      </c>
    </row>
    <row r="390" spans="1:8" hidden="1" outlineLevel="1">
      <c r="A390" t="s">
        <v>109</v>
      </c>
      <c r="B390" s="27" t="str">
        <f t="shared" si="21"/>
        <v/>
      </c>
      <c r="C390" s="27" t="str">
        <f t="shared" si="21"/>
        <v/>
      </c>
      <c r="D390" s="27" t="str">
        <f t="shared" si="21"/>
        <v/>
      </c>
      <c r="E390" s="27" t="str">
        <f t="shared" si="21"/>
        <v/>
      </c>
      <c r="F390" s="27" t="str">
        <f t="shared" si="21"/>
        <v/>
      </c>
      <c r="G390" s="27" t="str">
        <f t="shared" si="21"/>
        <v/>
      </c>
      <c r="H390" s="27" t="str">
        <f t="shared" si="21"/>
        <v/>
      </c>
    </row>
    <row r="391" spans="1:8" hidden="1" outlineLevel="1">
      <c r="A391" t="s">
        <v>110</v>
      </c>
      <c r="B391" s="27" t="str">
        <f t="shared" ref="B391:H400" si="22">IF(SUM(B105,B248)=0,"",SUM(B105)/SUM(B105,B248))</f>
        <v/>
      </c>
      <c r="C391" s="27" t="str">
        <f t="shared" si="22"/>
        <v/>
      </c>
      <c r="D391" s="27" t="str">
        <f t="shared" si="22"/>
        <v/>
      </c>
      <c r="E391" s="27" t="str">
        <f t="shared" si="22"/>
        <v/>
      </c>
      <c r="F391" s="27" t="str">
        <f t="shared" si="22"/>
        <v/>
      </c>
      <c r="G391" s="27" t="str">
        <f t="shared" si="22"/>
        <v/>
      </c>
      <c r="H391" s="27" t="str">
        <f t="shared" si="22"/>
        <v/>
      </c>
    </row>
    <row r="392" spans="1:8" hidden="1" outlineLevel="1">
      <c r="A392" t="s">
        <v>111</v>
      </c>
      <c r="B392" s="27" t="str">
        <f t="shared" si="22"/>
        <v/>
      </c>
      <c r="C392" s="27" t="str">
        <f t="shared" si="22"/>
        <v/>
      </c>
      <c r="D392" s="27" t="str">
        <f t="shared" si="22"/>
        <v/>
      </c>
      <c r="E392" s="27" t="str">
        <f t="shared" si="22"/>
        <v/>
      </c>
      <c r="F392" s="27" t="str">
        <f t="shared" si="22"/>
        <v/>
      </c>
      <c r="G392" s="27" t="str">
        <f t="shared" si="22"/>
        <v/>
      </c>
      <c r="H392" s="27" t="str">
        <f t="shared" si="22"/>
        <v/>
      </c>
    </row>
    <row r="393" spans="1:8" hidden="1" outlineLevel="1">
      <c r="A393" t="s">
        <v>112</v>
      </c>
      <c r="B393" s="27" t="str">
        <f t="shared" si="22"/>
        <v/>
      </c>
      <c r="C393" s="27" t="str">
        <f t="shared" si="22"/>
        <v/>
      </c>
      <c r="D393" s="27" t="str">
        <f t="shared" si="22"/>
        <v/>
      </c>
      <c r="E393" s="27" t="str">
        <f t="shared" si="22"/>
        <v/>
      </c>
      <c r="F393" s="27" t="str">
        <f t="shared" si="22"/>
        <v/>
      </c>
      <c r="G393" s="27" t="str">
        <f t="shared" si="22"/>
        <v/>
      </c>
      <c r="H393" s="27" t="str">
        <f t="shared" si="22"/>
        <v/>
      </c>
    </row>
    <row r="394" spans="1:8" hidden="1" outlineLevel="1">
      <c r="A394" t="s">
        <v>113</v>
      </c>
      <c r="B394" s="27" t="str">
        <f t="shared" si="22"/>
        <v/>
      </c>
      <c r="C394" s="27" t="str">
        <f t="shared" si="22"/>
        <v/>
      </c>
      <c r="D394" s="27" t="str">
        <f t="shared" si="22"/>
        <v/>
      </c>
      <c r="E394" s="27" t="str">
        <f t="shared" si="22"/>
        <v/>
      </c>
      <c r="F394" s="27" t="str">
        <f t="shared" si="22"/>
        <v/>
      </c>
      <c r="G394" s="27" t="str">
        <f t="shared" si="22"/>
        <v/>
      </c>
      <c r="H394" s="27" t="str">
        <f t="shared" si="22"/>
        <v/>
      </c>
    </row>
    <row r="395" spans="1:8" hidden="1" outlineLevel="1">
      <c r="A395" t="s">
        <v>114</v>
      </c>
      <c r="B395" s="27" t="str">
        <f t="shared" si="22"/>
        <v/>
      </c>
      <c r="C395" s="27" t="str">
        <f t="shared" si="22"/>
        <v/>
      </c>
      <c r="D395" s="27" t="str">
        <f t="shared" si="22"/>
        <v/>
      </c>
      <c r="E395" s="27" t="str">
        <f t="shared" si="22"/>
        <v/>
      </c>
      <c r="F395" s="27" t="str">
        <f t="shared" si="22"/>
        <v/>
      </c>
      <c r="G395" s="27" t="str">
        <f t="shared" si="22"/>
        <v/>
      </c>
      <c r="H395" s="27" t="str">
        <f t="shared" si="22"/>
        <v/>
      </c>
    </row>
    <row r="396" spans="1:8" hidden="1" outlineLevel="1">
      <c r="A396" t="s">
        <v>115</v>
      </c>
      <c r="B396" s="27" t="str">
        <f t="shared" si="22"/>
        <v/>
      </c>
      <c r="C396" s="27" t="str">
        <f t="shared" si="22"/>
        <v/>
      </c>
      <c r="D396" s="27" t="str">
        <f t="shared" si="22"/>
        <v/>
      </c>
      <c r="E396" s="27" t="str">
        <f t="shared" si="22"/>
        <v/>
      </c>
      <c r="F396" s="27" t="str">
        <f t="shared" si="22"/>
        <v/>
      </c>
      <c r="G396" s="27" t="str">
        <f t="shared" si="22"/>
        <v/>
      </c>
      <c r="H396" s="27" t="str">
        <f t="shared" si="22"/>
        <v/>
      </c>
    </row>
    <row r="397" spans="1:8" hidden="1" outlineLevel="1">
      <c r="A397" t="s">
        <v>116</v>
      </c>
      <c r="B397" s="27" t="str">
        <f t="shared" si="22"/>
        <v/>
      </c>
      <c r="C397" s="27" t="str">
        <f t="shared" si="22"/>
        <v/>
      </c>
      <c r="D397" s="27" t="str">
        <f t="shared" si="22"/>
        <v/>
      </c>
      <c r="E397" s="27" t="str">
        <f t="shared" si="22"/>
        <v/>
      </c>
      <c r="F397" s="27" t="str">
        <f t="shared" si="22"/>
        <v/>
      </c>
      <c r="G397" s="27" t="str">
        <f t="shared" si="22"/>
        <v/>
      </c>
      <c r="H397" s="27" t="str">
        <f t="shared" si="22"/>
        <v/>
      </c>
    </row>
    <row r="398" spans="1:8" hidden="1" outlineLevel="1">
      <c r="A398" t="s">
        <v>117</v>
      </c>
      <c r="B398" s="27" t="str">
        <f t="shared" si="22"/>
        <v/>
      </c>
      <c r="C398" s="27" t="str">
        <f t="shared" si="22"/>
        <v/>
      </c>
      <c r="D398" s="27" t="str">
        <f t="shared" si="22"/>
        <v/>
      </c>
      <c r="E398" s="27" t="str">
        <f t="shared" si="22"/>
        <v/>
      </c>
      <c r="F398" s="27" t="str">
        <f t="shared" si="22"/>
        <v/>
      </c>
      <c r="G398" s="27" t="str">
        <f t="shared" si="22"/>
        <v/>
      </c>
      <c r="H398" s="27" t="str">
        <f t="shared" si="22"/>
        <v/>
      </c>
    </row>
    <row r="399" spans="1:8" hidden="1" outlineLevel="1">
      <c r="A399" t="s">
        <v>118</v>
      </c>
      <c r="B399" s="27" t="str">
        <f t="shared" si="22"/>
        <v/>
      </c>
      <c r="C399" s="27" t="str">
        <f t="shared" si="22"/>
        <v/>
      </c>
      <c r="D399" s="27" t="str">
        <f t="shared" si="22"/>
        <v/>
      </c>
      <c r="E399" s="27" t="str">
        <f t="shared" si="22"/>
        <v/>
      </c>
      <c r="F399" s="27" t="str">
        <f t="shared" si="22"/>
        <v/>
      </c>
      <c r="G399" s="27" t="str">
        <f t="shared" si="22"/>
        <v/>
      </c>
      <c r="H399" s="27" t="str">
        <f t="shared" si="22"/>
        <v/>
      </c>
    </row>
    <row r="400" spans="1:8" hidden="1" outlineLevel="1">
      <c r="A400" t="s">
        <v>119</v>
      </c>
      <c r="B400" s="27" t="str">
        <f t="shared" si="22"/>
        <v/>
      </c>
      <c r="C400" s="27" t="str">
        <f t="shared" si="22"/>
        <v/>
      </c>
      <c r="D400" s="27" t="str">
        <f t="shared" si="22"/>
        <v/>
      </c>
      <c r="E400" s="27" t="str">
        <f t="shared" si="22"/>
        <v/>
      </c>
      <c r="F400" s="27" t="str">
        <f t="shared" si="22"/>
        <v/>
      </c>
      <c r="G400" s="27" t="str">
        <f t="shared" si="22"/>
        <v/>
      </c>
      <c r="H400" s="27" t="str">
        <f t="shared" si="22"/>
        <v/>
      </c>
    </row>
    <row r="401" spans="1:8" hidden="1" outlineLevel="1">
      <c r="A401" t="s">
        <v>120</v>
      </c>
      <c r="B401" s="27" t="str">
        <f t="shared" ref="B401:H410" si="23">IF(SUM(B115,B258)=0,"",SUM(B115)/SUM(B115,B258))</f>
        <v/>
      </c>
      <c r="C401" s="27" t="str">
        <f t="shared" si="23"/>
        <v/>
      </c>
      <c r="D401" s="27" t="str">
        <f t="shared" si="23"/>
        <v/>
      </c>
      <c r="E401" s="27" t="str">
        <f t="shared" si="23"/>
        <v/>
      </c>
      <c r="F401" s="27" t="str">
        <f t="shared" si="23"/>
        <v/>
      </c>
      <c r="G401" s="27" t="str">
        <f t="shared" si="23"/>
        <v/>
      </c>
      <c r="H401" s="27" t="str">
        <f t="shared" si="23"/>
        <v/>
      </c>
    </row>
    <row r="402" spans="1:8" hidden="1" outlineLevel="1">
      <c r="A402" t="s">
        <v>121</v>
      </c>
      <c r="B402" s="27" t="str">
        <f t="shared" si="23"/>
        <v/>
      </c>
      <c r="C402" s="27" t="str">
        <f t="shared" si="23"/>
        <v/>
      </c>
      <c r="D402" s="27" t="str">
        <f t="shared" si="23"/>
        <v/>
      </c>
      <c r="E402" s="27" t="str">
        <f t="shared" si="23"/>
        <v/>
      </c>
      <c r="F402" s="27" t="str">
        <f t="shared" si="23"/>
        <v/>
      </c>
      <c r="G402" s="27" t="str">
        <f t="shared" si="23"/>
        <v/>
      </c>
      <c r="H402" s="27" t="str">
        <f t="shared" si="23"/>
        <v/>
      </c>
    </row>
    <row r="403" spans="1:8" hidden="1" outlineLevel="1">
      <c r="A403" t="s">
        <v>122</v>
      </c>
      <c r="B403" s="27" t="str">
        <f t="shared" si="23"/>
        <v/>
      </c>
      <c r="C403" s="27" t="str">
        <f t="shared" si="23"/>
        <v/>
      </c>
      <c r="D403" s="27" t="str">
        <f t="shared" si="23"/>
        <v/>
      </c>
      <c r="E403" s="27" t="str">
        <f t="shared" si="23"/>
        <v/>
      </c>
      <c r="F403" s="27" t="str">
        <f t="shared" si="23"/>
        <v/>
      </c>
      <c r="G403" s="27" t="str">
        <f t="shared" si="23"/>
        <v/>
      </c>
      <c r="H403" s="27" t="str">
        <f t="shared" si="23"/>
        <v/>
      </c>
    </row>
    <row r="404" spans="1:8" hidden="1" outlineLevel="1">
      <c r="A404" t="s">
        <v>123</v>
      </c>
      <c r="B404" s="27" t="str">
        <f t="shared" si="23"/>
        <v/>
      </c>
      <c r="C404" s="27" t="str">
        <f t="shared" si="23"/>
        <v/>
      </c>
      <c r="D404" s="27" t="str">
        <f t="shared" si="23"/>
        <v/>
      </c>
      <c r="E404" s="27" t="str">
        <f t="shared" si="23"/>
        <v/>
      </c>
      <c r="F404" s="27" t="str">
        <f t="shared" si="23"/>
        <v/>
      </c>
      <c r="G404" s="27" t="str">
        <f t="shared" si="23"/>
        <v/>
      </c>
      <c r="H404" s="27" t="str">
        <f t="shared" si="23"/>
        <v/>
      </c>
    </row>
    <row r="405" spans="1:8" hidden="1" outlineLevel="1">
      <c r="A405" t="s">
        <v>124</v>
      </c>
      <c r="B405" s="27" t="str">
        <f t="shared" si="23"/>
        <v/>
      </c>
      <c r="C405" s="27" t="str">
        <f t="shared" si="23"/>
        <v/>
      </c>
      <c r="D405" s="27" t="str">
        <f t="shared" si="23"/>
        <v/>
      </c>
      <c r="E405" s="27" t="str">
        <f t="shared" si="23"/>
        <v/>
      </c>
      <c r="F405" s="27" t="str">
        <f t="shared" si="23"/>
        <v/>
      </c>
      <c r="G405" s="27" t="str">
        <f t="shared" si="23"/>
        <v/>
      </c>
      <c r="H405" s="27" t="str">
        <f t="shared" si="23"/>
        <v/>
      </c>
    </row>
    <row r="406" spans="1:8" hidden="1" outlineLevel="1">
      <c r="A406" t="s">
        <v>125</v>
      </c>
      <c r="B406" s="27" t="str">
        <f t="shared" si="23"/>
        <v/>
      </c>
      <c r="C406" s="27" t="str">
        <f t="shared" si="23"/>
        <v/>
      </c>
      <c r="D406" s="27" t="str">
        <f t="shared" si="23"/>
        <v/>
      </c>
      <c r="E406" s="27" t="str">
        <f t="shared" si="23"/>
        <v/>
      </c>
      <c r="F406" s="27" t="str">
        <f t="shared" si="23"/>
        <v/>
      </c>
      <c r="G406" s="27" t="str">
        <f t="shared" si="23"/>
        <v/>
      </c>
      <c r="H406" s="27" t="str">
        <f t="shared" si="23"/>
        <v/>
      </c>
    </row>
    <row r="407" spans="1:8" hidden="1" outlineLevel="1">
      <c r="A407" t="s">
        <v>126</v>
      </c>
      <c r="B407" s="27" t="str">
        <f t="shared" si="23"/>
        <v/>
      </c>
      <c r="C407" s="27" t="str">
        <f t="shared" si="23"/>
        <v/>
      </c>
      <c r="D407" s="27" t="str">
        <f t="shared" si="23"/>
        <v/>
      </c>
      <c r="E407" s="27" t="str">
        <f t="shared" si="23"/>
        <v/>
      </c>
      <c r="F407" s="27" t="str">
        <f t="shared" si="23"/>
        <v/>
      </c>
      <c r="G407" s="27" t="str">
        <f t="shared" si="23"/>
        <v/>
      </c>
      <c r="H407" s="27" t="str">
        <f t="shared" si="23"/>
        <v/>
      </c>
    </row>
    <row r="408" spans="1:8" hidden="1" outlineLevel="1">
      <c r="A408" t="s">
        <v>127</v>
      </c>
      <c r="B408" s="27" t="str">
        <f t="shared" si="23"/>
        <v/>
      </c>
      <c r="C408" s="27" t="str">
        <f t="shared" si="23"/>
        <v/>
      </c>
      <c r="D408" s="27" t="str">
        <f t="shared" si="23"/>
        <v/>
      </c>
      <c r="E408" s="27" t="str">
        <f t="shared" si="23"/>
        <v/>
      </c>
      <c r="F408" s="27" t="str">
        <f t="shared" si="23"/>
        <v/>
      </c>
      <c r="G408" s="27" t="str">
        <f t="shared" si="23"/>
        <v/>
      </c>
      <c r="H408" s="27" t="str">
        <f t="shared" si="23"/>
        <v/>
      </c>
    </row>
    <row r="409" spans="1:8" hidden="1" outlineLevel="1">
      <c r="A409" t="s">
        <v>128</v>
      </c>
      <c r="B409" s="27" t="str">
        <f t="shared" si="23"/>
        <v/>
      </c>
      <c r="C409" s="27" t="str">
        <f t="shared" si="23"/>
        <v/>
      </c>
      <c r="D409" s="27" t="str">
        <f t="shared" si="23"/>
        <v/>
      </c>
      <c r="E409" s="27" t="str">
        <f t="shared" si="23"/>
        <v/>
      </c>
      <c r="F409" s="27" t="str">
        <f t="shared" si="23"/>
        <v/>
      </c>
      <c r="G409" s="27" t="str">
        <f t="shared" si="23"/>
        <v/>
      </c>
      <c r="H409" s="27" t="str">
        <f t="shared" si="23"/>
        <v/>
      </c>
    </row>
    <row r="410" spans="1:8" hidden="1" outlineLevel="1">
      <c r="A410" t="s">
        <v>129</v>
      </c>
      <c r="B410" s="27" t="str">
        <f t="shared" si="23"/>
        <v/>
      </c>
      <c r="C410" s="27" t="str">
        <f t="shared" si="23"/>
        <v/>
      </c>
      <c r="D410" s="27" t="str">
        <f t="shared" si="23"/>
        <v/>
      </c>
      <c r="E410" s="27" t="str">
        <f t="shared" si="23"/>
        <v/>
      </c>
      <c r="F410" s="27" t="str">
        <f t="shared" si="23"/>
        <v/>
      </c>
      <c r="G410" s="27" t="str">
        <f t="shared" si="23"/>
        <v/>
      </c>
      <c r="H410" s="27" t="str">
        <f t="shared" si="23"/>
        <v/>
      </c>
    </row>
    <row r="411" spans="1:8" hidden="1" outlineLevel="1">
      <c r="A411" t="s">
        <v>130</v>
      </c>
      <c r="B411" s="27" t="str">
        <f t="shared" ref="B411:H420" si="24">IF(SUM(B125,B268)=0,"",SUM(B125)/SUM(B125,B268))</f>
        <v/>
      </c>
      <c r="C411" s="27" t="str">
        <f t="shared" si="24"/>
        <v/>
      </c>
      <c r="D411" s="27" t="str">
        <f t="shared" si="24"/>
        <v/>
      </c>
      <c r="E411" s="27" t="str">
        <f t="shared" si="24"/>
        <v/>
      </c>
      <c r="F411" s="27" t="str">
        <f t="shared" si="24"/>
        <v/>
      </c>
      <c r="G411" s="27" t="str">
        <f t="shared" si="24"/>
        <v/>
      </c>
      <c r="H411" s="27" t="str">
        <f t="shared" si="24"/>
        <v/>
      </c>
    </row>
    <row r="412" spans="1:8" hidden="1" outlineLevel="1">
      <c r="A412" t="s">
        <v>131</v>
      </c>
      <c r="B412" s="27" t="str">
        <f t="shared" si="24"/>
        <v/>
      </c>
      <c r="C412" s="27" t="str">
        <f t="shared" si="24"/>
        <v/>
      </c>
      <c r="D412" s="27" t="str">
        <f t="shared" si="24"/>
        <v/>
      </c>
      <c r="E412" s="27" t="str">
        <f t="shared" si="24"/>
        <v/>
      </c>
      <c r="F412" s="27" t="str">
        <f t="shared" si="24"/>
        <v/>
      </c>
      <c r="G412" s="27" t="str">
        <f t="shared" si="24"/>
        <v/>
      </c>
      <c r="H412" s="27" t="str">
        <f t="shared" si="24"/>
        <v/>
      </c>
    </row>
    <row r="413" spans="1:8" hidden="1" outlineLevel="1">
      <c r="A413" t="s">
        <v>132</v>
      </c>
      <c r="B413" s="27" t="str">
        <f t="shared" si="24"/>
        <v/>
      </c>
      <c r="C413" s="27" t="str">
        <f t="shared" si="24"/>
        <v/>
      </c>
      <c r="D413" s="27" t="str">
        <f t="shared" si="24"/>
        <v/>
      </c>
      <c r="E413" s="27" t="str">
        <f t="shared" si="24"/>
        <v/>
      </c>
      <c r="F413" s="27" t="str">
        <f t="shared" si="24"/>
        <v/>
      </c>
      <c r="G413" s="27" t="str">
        <f t="shared" si="24"/>
        <v/>
      </c>
      <c r="H413" s="27" t="str">
        <f t="shared" si="24"/>
        <v/>
      </c>
    </row>
    <row r="414" spans="1:8" hidden="1" outlineLevel="1">
      <c r="A414" t="s">
        <v>133</v>
      </c>
      <c r="B414" s="27" t="str">
        <f t="shared" si="24"/>
        <v/>
      </c>
      <c r="C414" s="27" t="str">
        <f t="shared" si="24"/>
        <v/>
      </c>
      <c r="D414" s="27" t="str">
        <f t="shared" si="24"/>
        <v/>
      </c>
      <c r="E414" s="27" t="str">
        <f t="shared" si="24"/>
        <v/>
      </c>
      <c r="F414" s="27" t="str">
        <f t="shared" si="24"/>
        <v/>
      </c>
      <c r="G414" s="27" t="str">
        <f t="shared" si="24"/>
        <v/>
      </c>
      <c r="H414" s="27" t="str">
        <f t="shared" si="24"/>
        <v/>
      </c>
    </row>
    <row r="415" spans="1:8" hidden="1" outlineLevel="1">
      <c r="A415" t="s">
        <v>134</v>
      </c>
      <c r="B415" s="27" t="str">
        <f t="shared" si="24"/>
        <v/>
      </c>
      <c r="C415" s="27" t="str">
        <f t="shared" si="24"/>
        <v/>
      </c>
      <c r="D415" s="27" t="str">
        <f t="shared" si="24"/>
        <v/>
      </c>
      <c r="E415" s="27" t="str">
        <f t="shared" si="24"/>
        <v/>
      </c>
      <c r="F415" s="27" t="str">
        <f t="shared" si="24"/>
        <v/>
      </c>
      <c r="G415" s="27" t="str">
        <f t="shared" si="24"/>
        <v/>
      </c>
      <c r="H415" s="27" t="str">
        <f t="shared" si="24"/>
        <v/>
      </c>
    </row>
    <row r="416" spans="1:8" hidden="1" outlineLevel="1">
      <c r="A416" t="s">
        <v>135</v>
      </c>
      <c r="B416" s="27" t="str">
        <f t="shared" si="24"/>
        <v/>
      </c>
      <c r="C416" s="27" t="str">
        <f t="shared" si="24"/>
        <v/>
      </c>
      <c r="D416" s="27" t="str">
        <f t="shared" si="24"/>
        <v/>
      </c>
      <c r="E416" s="27" t="str">
        <f t="shared" si="24"/>
        <v/>
      </c>
      <c r="F416" s="27" t="str">
        <f t="shared" si="24"/>
        <v/>
      </c>
      <c r="G416" s="27" t="str">
        <f t="shared" si="24"/>
        <v/>
      </c>
      <c r="H416" s="27" t="str">
        <f t="shared" si="24"/>
        <v/>
      </c>
    </row>
    <row r="417" spans="1:8" hidden="1" outlineLevel="1">
      <c r="A417" t="s">
        <v>136</v>
      </c>
      <c r="B417" s="27" t="str">
        <f t="shared" si="24"/>
        <v/>
      </c>
      <c r="C417" s="27" t="str">
        <f t="shared" si="24"/>
        <v/>
      </c>
      <c r="D417" s="27" t="str">
        <f t="shared" si="24"/>
        <v/>
      </c>
      <c r="E417" s="27" t="str">
        <f t="shared" si="24"/>
        <v/>
      </c>
      <c r="F417" s="27" t="str">
        <f t="shared" si="24"/>
        <v/>
      </c>
      <c r="G417" s="27" t="str">
        <f t="shared" si="24"/>
        <v/>
      </c>
      <c r="H417" s="27" t="str">
        <f t="shared" si="24"/>
        <v/>
      </c>
    </row>
    <row r="418" spans="1:8" hidden="1" outlineLevel="1">
      <c r="A418" t="s">
        <v>137</v>
      </c>
      <c r="B418" s="27" t="str">
        <f t="shared" si="24"/>
        <v/>
      </c>
      <c r="C418" s="27" t="str">
        <f t="shared" si="24"/>
        <v/>
      </c>
      <c r="D418" s="27" t="str">
        <f t="shared" si="24"/>
        <v/>
      </c>
      <c r="E418" s="27" t="str">
        <f t="shared" si="24"/>
        <v/>
      </c>
      <c r="F418" s="27" t="str">
        <f t="shared" si="24"/>
        <v/>
      </c>
      <c r="G418" s="27" t="str">
        <f t="shared" si="24"/>
        <v/>
      </c>
      <c r="H418" s="27" t="str">
        <f t="shared" si="24"/>
        <v/>
      </c>
    </row>
    <row r="419" spans="1:8" hidden="1" outlineLevel="1">
      <c r="A419" t="s">
        <v>138</v>
      </c>
      <c r="B419" s="27" t="str">
        <f t="shared" si="24"/>
        <v/>
      </c>
      <c r="C419" s="27" t="str">
        <f t="shared" si="24"/>
        <v/>
      </c>
      <c r="D419" s="27" t="str">
        <f t="shared" si="24"/>
        <v/>
      </c>
      <c r="E419" s="27" t="str">
        <f t="shared" si="24"/>
        <v/>
      </c>
      <c r="F419" s="27" t="str">
        <f t="shared" si="24"/>
        <v/>
      </c>
      <c r="G419" s="27" t="str">
        <f t="shared" si="24"/>
        <v/>
      </c>
      <c r="H419" s="27" t="str">
        <f t="shared" si="24"/>
        <v/>
      </c>
    </row>
    <row r="420" spans="1:8" hidden="1" outlineLevel="1">
      <c r="A420" t="s">
        <v>139</v>
      </c>
      <c r="B420" s="27" t="str">
        <f t="shared" si="24"/>
        <v/>
      </c>
      <c r="C420" s="27" t="str">
        <f t="shared" si="24"/>
        <v/>
      </c>
      <c r="D420" s="27" t="str">
        <f t="shared" si="24"/>
        <v/>
      </c>
      <c r="E420" s="27" t="str">
        <f t="shared" si="24"/>
        <v/>
      </c>
      <c r="F420" s="27" t="str">
        <f t="shared" si="24"/>
        <v/>
      </c>
      <c r="G420" s="27" t="str">
        <f t="shared" si="24"/>
        <v/>
      </c>
      <c r="H420" s="27" t="str">
        <f t="shared" si="24"/>
        <v/>
      </c>
    </row>
    <row r="421" spans="1:8" hidden="1" outlineLevel="1">
      <c r="A421" t="s">
        <v>140</v>
      </c>
      <c r="B421" s="27" t="str">
        <f t="shared" ref="B421:H430" si="25">IF(SUM(B135,B278)=0,"",SUM(B135)/SUM(B135,B278))</f>
        <v/>
      </c>
      <c r="C421" s="27" t="str">
        <f t="shared" si="25"/>
        <v/>
      </c>
      <c r="D421" s="27" t="str">
        <f t="shared" si="25"/>
        <v/>
      </c>
      <c r="E421" s="27" t="str">
        <f t="shared" si="25"/>
        <v/>
      </c>
      <c r="F421" s="27" t="str">
        <f t="shared" si="25"/>
        <v/>
      </c>
      <c r="G421" s="27" t="str">
        <f t="shared" si="25"/>
        <v/>
      </c>
      <c r="H421" s="27" t="str">
        <f t="shared" si="25"/>
        <v/>
      </c>
    </row>
    <row r="422" spans="1:8" hidden="1" outlineLevel="1">
      <c r="A422" t="s">
        <v>141</v>
      </c>
      <c r="B422" s="27" t="str">
        <f t="shared" si="25"/>
        <v/>
      </c>
      <c r="C422" s="27" t="str">
        <f t="shared" si="25"/>
        <v/>
      </c>
      <c r="D422" s="27" t="str">
        <f t="shared" si="25"/>
        <v/>
      </c>
      <c r="E422" s="27" t="str">
        <f t="shared" si="25"/>
        <v/>
      </c>
      <c r="F422" s="27" t="str">
        <f t="shared" si="25"/>
        <v/>
      </c>
      <c r="G422" s="27" t="str">
        <f t="shared" si="25"/>
        <v/>
      </c>
      <c r="H422" s="27" t="str">
        <f t="shared" si="25"/>
        <v/>
      </c>
    </row>
    <row r="423" spans="1:8" hidden="1" outlineLevel="1">
      <c r="A423" t="s">
        <v>142</v>
      </c>
      <c r="B423" s="27" t="str">
        <f t="shared" si="25"/>
        <v/>
      </c>
      <c r="C423" s="27" t="str">
        <f t="shared" si="25"/>
        <v/>
      </c>
      <c r="D423" s="27" t="str">
        <f t="shared" si="25"/>
        <v/>
      </c>
      <c r="E423" s="27" t="str">
        <f t="shared" si="25"/>
        <v/>
      </c>
      <c r="F423" s="27" t="str">
        <f t="shared" si="25"/>
        <v/>
      </c>
      <c r="G423" s="27" t="str">
        <f t="shared" si="25"/>
        <v/>
      </c>
      <c r="H423" s="27" t="str">
        <f t="shared" si="25"/>
        <v/>
      </c>
    </row>
    <row r="424" spans="1:8" hidden="1" outlineLevel="1">
      <c r="A424" t="s">
        <v>143</v>
      </c>
      <c r="B424" s="27" t="str">
        <f t="shared" si="25"/>
        <v/>
      </c>
      <c r="C424" s="27" t="str">
        <f t="shared" si="25"/>
        <v/>
      </c>
      <c r="D424" s="27" t="str">
        <f t="shared" si="25"/>
        <v/>
      </c>
      <c r="E424" s="27" t="str">
        <f t="shared" si="25"/>
        <v/>
      </c>
      <c r="F424" s="27" t="str">
        <f t="shared" si="25"/>
        <v/>
      </c>
      <c r="G424" s="27" t="str">
        <f t="shared" si="25"/>
        <v/>
      </c>
      <c r="H424" s="27" t="str">
        <f t="shared" si="25"/>
        <v/>
      </c>
    </row>
    <row r="425" spans="1:8" hidden="1" outlineLevel="1">
      <c r="A425" t="s">
        <v>144</v>
      </c>
      <c r="B425" s="27" t="str">
        <f t="shared" si="25"/>
        <v/>
      </c>
      <c r="C425" s="27" t="str">
        <f t="shared" si="25"/>
        <v/>
      </c>
      <c r="D425" s="27" t="str">
        <f t="shared" si="25"/>
        <v/>
      </c>
      <c r="E425" s="27" t="str">
        <f t="shared" si="25"/>
        <v/>
      </c>
      <c r="F425" s="27" t="str">
        <f t="shared" si="25"/>
        <v/>
      </c>
      <c r="G425" s="27" t="str">
        <f t="shared" si="25"/>
        <v/>
      </c>
      <c r="H425" s="27" t="str">
        <f t="shared" si="25"/>
        <v/>
      </c>
    </row>
    <row r="426" spans="1:8" hidden="1" outlineLevel="1">
      <c r="A426" t="s">
        <v>145</v>
      </c>
      <c r="B426" s="27" t="str">
        <f t="shared" si="25"/>
        <v/>
      </c>
      <c r="C426" s="27" t="str">
        <f t="shared" si="25"/>
        <v/>
      </c>
      <c r="D426" s="27" t="str">
        <f t="shared" si="25"/>
        <v/>
      </c>
      <c r="E426" s="27" t="str">
        <f t="shared" si="25"/>
        <v/>
      </c>
      <c r="F426" s="27" t="str">
        <f t="shared" si="25"/>
        <v/>
      </c>
      <c r="G426" s="27" t="str">
        <f t="shared" si="25"/>
        <v/>
      </c>
      <c r="H426" s="27" t="str">
        <f t="shared" si="25"/>
        <v/>
      </c>
    </row>
    <row r="427" spans="1:8" hidden="1" outlineLevel="1">
      <c r="A427" t="s">
        <v>146</v>
      </c>
      <c r="B427" s="27" t="str">
        <f t="shared" si="25"/>
        <v/>
      </c>
      <c r="C427" s="27" t="str">
        <f t="shared" si="25"/>
        <v/>
      </c>
      <c r="D427" s="27" t="str">
        <f t="shared" si="25"/>
        <v/>
      </c>
      <c r="E427" s="27" t="str">
        <f t="shared" si="25"/>
        <v/>
      </c>
      <c r="F427" s="27" t="str">
        <f t="shared" si="25"/>
        <v/>
      </c>
      <c r="G427" s="27" t="str">
        <f t="shared" si="25"/>
        <v/>
      </c>
      <c r="H427" s="27" t="str">
        <f t="shared" si="25"/>
        <v/>
      </c>
    </row>
    <row r="428" spans="1:8" hidden="1" outlineLevel="1">
      <c r="A428" t="s">
        <v>147</v>
      </c>
      <c r="B428" s="27" t="str">
        <f t="shared" si="25"/>
        <v/>
      </c>
      <c r="C428" s="27" t="str">
        <f t="shared" si="25"/>
        <v/>
      </c>
      <c r="D428" s="27" t="str">
        <f t="shared" si="25"/>
        <v/>
      </c>
      <c r="E428" s="27" t="str">
        <f t="shared" si="25"/>
        <v/>
      </c>
      <c r="F428" s="27" t="str">
        <f t="shared" si="25"/>
        <v/>
      </c>
      <c r="G428" s="27" t="str">
        <f t="shared" si="25"/>
        <v/>
      </c>
      <c r="H428" s="27" t="str">
        <f t="shared" si="25"/>
        <v/>
      </c>
    </row>
    <row r="429" spans="1:8" collapsed="1">
      <c r="A429" s="32" t="s">
        <v>9</v>
      </c>
      <c r="B429" s="34">
        <f t="shared" si="25"/>
        <v>0.99318794099487739</v>
      </c>
      <c r="C429" s="34">
        <f t="shared" si="25"/>
        <v>0.99336543209925787</v>
      </c>
      <c r="D429" s="34">
        <f t="shared" si="25"/>
        <v>0.97112034575673589</v>
      </c>
      <c r="E429" s="34">
        <f t="shared" si="25"/>
        <v>0.94031967625277391</v>
      </c>
      <c r="F429" s="34">
        <f t="shared" si="25"/>
        <v>0.99320357991179364</v>
      </c>
      <c r="G429" s="34">
        <f t="shared" si="25"/>
        <v>0.99601087481261275</v>
      </c>
      <c r="H429" s="34">
        <f t="shared" si="25"/>
        <v>0.98106293148462487</v>
      </c>
    </row>
    <row r="432" spans="1:8">
      <c r="A432" s="32" t="s">
        <v>150</v>
      </c>
    </row>
    <row r="433" spans="1:8">
      <c r="A433" s="32" t="s">
        <v>2</v>
      </c>
      <c r="B433" s="32" t="s">
        <v>3</v>
      </c>
      <c r="C433" s="32" t="s">
        <v>4</v>
      </c>
      <c r="D433" s="32" t="s">
        <v>5</v>
      </c>
      <c r="E433" s="32" t="s">
        <v>6</v>
      </c>
      <c r="F433" s="32" t="s">
        <v>7</v>
      </c>
      <c r="G433" s="32" t="s">
        <v>8</v>
      </c>
      <c r="H433" s="32" t="s">
        <v>9</v>
      </c>
    </row>
    <row r="434" spans="1:8">
      <c r="A434" t="s">
        <v>10</v>
      </c>
      <c r="B434" s="27">
        <f t="shared" ref="B434:H443" si="26">IF(SUM(B5,B148)=0,"",SUM(B148)/SUM(B5,B148))</f>
        <v>3.8423093264259331E-3</v>
      </c>
      <c r="C434" s="27">
        <f t="shared" si="26"/>
        <v>4.2981741668363539E-3</v>
      </c>
      <c r="D434" s="27">
        <f t="shared" si="26"/>
        <v>4.3958627593122645E-3</v>
      </c>
      <c r="E434" s="27">
        <f t="shared" si="26"/>
        <v>5.7460599282118689E-3</v>
      </c>
      <c r="F434" s="27">
        <f t="shared" si="26"/>
        <v>5.0086533574383481E-3</v>
      </c>
      <c r="G434" s="27" t="str">
        <f t="shared" si="26"/>
        <v/>
      </c>
      <c r="H434" s="27">
        <f t="shared" si="26"/>
        <v>4.6972588009743035E-3</v>
      </c>
    </row>
    <row r="435" spans="1:8">
      <c r="A435" t="s">
        <v>11</v>
      </c>
      <c r="B435" s="27">
        <f t="shared" si="26"/>
        <v>5.1434931532517367E-3</v>
      </c>
      <c r="C435" s="27">
        <f t="shared" si="26"/>
        <v>5.3643078331907521E-3</v>
      </c>
      <c r="D435" s="27">
        <f t="shared" si="26"/>
        <v>6.4371435754263856E-3</v>
      </c>
      <c r="E435" s="27">
        <f t="shared" si="26"/>
        <v>9.8286599019093857E-3</v>
      </c>
      <c r="F435" s="27">
        <f t="shared" si="26"/>
        <v>1.1858555757899061E-2</v>
      </c>
      <c r="G435" s="27" t="str">
        <f t="shared" si="26"/>
        <v/>
      </c>
      <c r="H435" s="27">
        <f t="shared" si="26"/>
        <v>7.6210069995584981E-3</v>
      </c>
    </row>
    <row r="436" spans="1:8">
      <c r="A436" t="s">
        <v>12</v>
      </c>
      <c r="B436" s="27">
        <f t="shared" si="26"/>
        <v>1.6820378875842923E-2</v>
      </c>
      <c r="C436" s="27">
        <f t="shared" si="26"/>
        <v>2.820644611315172E-2</v>
      </c>
      <c r="D436" s="27">
        <f t="shared" si="26"/>
        <v>3.6440207575263658E-2</v>
      </c>
      <c r="E436" s="27">
        <f t="shared" si="26"/>
        <v>0.10466552593477577</v>
      </c>
      <c r="F436" s="27">
        <f t="shared" si="26"/>
        <v>2.2348736062878312E-3</v>
      </c>
      <c r="G436" s="27" t="str">
        <f t="shared" si="26"/>
        <v/>
      </c>
      <c r="H436" s="27">
        <f t="shared" si="26"/>
        <v>4.2117554099294137E-2</v>
      </c>
    </row>
    <row r="437" spans="1:8">
      <c r="A437" t="s">
        <v>13</v>
      </c>
      <c r="B437" s="27">
        <f t="shared" si="26"/>
        <v>3.6885997643115419E-3</v>
      </c>
      <c r="C437" s="27">
        <f t="shared" si="26"/>
        <v>2.8339335494396798E-3</v>
      </c>
      <c r="D437" s="27">
        <f t="shared" si="26"/>
        <v>3.9149493266178531E-2</v>
      </c>
      <c r="E437" s="27">
        <f t="shared" si="26"/>
        <v>0.11130603551160263</v>
      </c>
      <c r="F437" s="27">
        <f t="shared" si="26"/>
        <v>2.1740373125051608E-3</v>
      </c>
      <c r="G437" s="27" t="str">
        <f t="shared" si="26"/>
        <v/>
      </c>
      <c r="H437" s="27">
        <f t="shared" si="26"/>
        <v>2.6780131039921419E-2</v>
      </c>
    </row>
    <row r="438" spans="1:8">
      <c r="A438" t="s">
        <v>14</v>
      </c>
      <c r="B438" s="27">
        <f t="shared" si="26"/>
        <v>1.3950340504084691E-3</v>
      </c>
      <c r="C438" s="27">
        <f t="shared" si="26"/>
        <v>7.5105865232401325E-4</v>
      </c>
      <c r="D438" s="27" t="str">
        <f t="shared" si="26"/>
        <v/>
      </c>
      <c r="E438" s="27" t="str">
        <f t="shared" si="26"/>
        <v/>
      </c>
      <c r="F438" s="27" t="str">
        <f t="shared" si="26"/>
        <v/>
      </c>
      <c r="G438" s="27" t="str">
        <f t="shared" si="26"/>
        <v/>
      </c>
      <c r="H438" s="27">
        <f t="shared" si="26"/>
        <v>1.0334068019349589E-3</v>
      </c>
    </row>
    <row r="439" spans="1:8">
      <c r="A439" t="s">
        <v>15</v>
      </c>
      <c r="B439" s="27">
        <f t="shared" si="26"/>
        <v>4.7347031672164046E-3</v>
      </c>
      <c r="C439" s="27">
        <f t="shared" si="26"/>
        <v>4.797484209327716E-3</v>
      </c>
      <c r="D439" s="27">
        <f t="shared" si="26"/>
        <v>4.8191543965402867E-3</v>
      </c>
      <c r="E439" s="27" t="str">
        <f t="shared" si="26"/>
        <v/>
      </c>
      <c r="F439" s="27">
        <f t="shared" si="26"/>
        <v>5.2067807388859084E-3</v>
      </c>
      <c r="G439" s="27" t="str">
        <f t="shared" si="26"/>
        <v/>
      </c>
      <c r="H439" s="27">
        <f t="shared" si="26"/>
        <v>4.874018149299001E-3</v>
      </c>
    </row>
    <row r="440" spans="1:8">
      <c r="A440" t="s">
        <v>16</v>
      </c>
      <c r="B440" s="27">
        <f t="shared" si="26"/>
        <v>5.5080701245792231E-3</v>
      </c>
      <c r="C440" s="27">
        <f t="shared" si="26"/>
        <v>7.037859620602412E-3</v>
      </c>
      <c r="D440" s="27">
        <f t="shared" si="26"/>
        <v>3.9932342768298264E-3</v>
      </c>
      <c r="E440" s="27">
        <f t="shared" si="26"/>
        <v>4.5977481631317499E-3</v>
      </c>
      <c r="F440" s="27">
        <f t="shared" si="26"/>
        <v>5.8108110066324393E-3</v>
      </c>
      <c r="G440" s="27" t="str">
        <f t="shared" si="26"/>
        <v/>
      </c>
      <c r="H440" s="27">
        <f t="shared" si="26"/>
        <v>5.4433165918028967E-3</v>
      </c>
    </row>
    <row r="441" spans="1:8">
      <c r="A441" t="s">
        <v>17</v>
      </c>
      <c r="B441" s="27">
        <f t="shared" si="26"/>
        <v>1.7886452648944184E-2</v>
      </c>
      <c r="C441" s="27">
        <f t="shared" si="26"/>
        <v>1.0474699989123473E-2</v>
      </c>
      <c r="D441" s="27">
        <f t="shared" si="26"/>
        <v>8.2735382558864583E-3</v>
      </c>
      <c r="E441" s="27">
        <f t="shared" si="26"/>
        <v>1.0151646154883889E-2</v>
      </c>
      <c r="F441" s="27">
        <f t="shared" si="26"/>
        <v>1.4999095989592323E-2</v>
      </c>
      <c r="G441" s="27" t="str">
        <f t="shared" si="26"/>
        <v/>
      </c>
      <c r="H441" s="27">
        <f t="shared" si="26"/>
        <v>1.3361768802228412E-2</v>
      </c>
    </row>
    <row r="442" spans="1:8">
      <c r="A442" t="s">
        <v>18</v>
      </c>
      <c r="B442" s="27">
        <f t="shared" si="26"/>
        <v>1.9654620760443772E-3</v>
      </c>
      <c r="C442" s="27">
        <f t="shared" si="26"/>
        <v>1.8794923222738634E-3</v>
      </c>
      <c r="D442" s="27" t="str">
        <f t="shared" si="26"/>
        <v/>
      </c>
      <c r="E442" s="27">
        <f t="shared" si="26"/>
        <v>0.13452661486744505</v>
      </c>
      <c r="F442" s="27">
        <f t="shared" si="26"/>
        <v>2.0812695309272477E-3</v>
      </c>
      <c r="G442" s="27" t="str">
        <f t="shared" si="26"/>
        <v/>
      </c>
      <c r="H442" s="27">
        <f t="shared" si="26"/>
        <v>2.5703588935406682E-2</v>
      </c>
    </row>
    <row r="443" spans="1:8">
      <c r="A443" t="s">
        <v>19</v>
      </c>
      <c r="B443" s="27" t="str">
        <f t="shared" si="26"/>
        <v/>
      </c>
      <c r="C443" s="27" t="str">
        <f t="shared" si="26"/>
        <v/>
      </c>
      <c r="D443" s="27">
        <f t="shared" si="26"/>
        <v>5.3243932657969527E-2</v>
      </c>
      <c r="E443" s="27">
        <f t="shared" si="26"/>
        <v>0.1057169532404886</v>
      </c>
      <c r="F443" s="27">
        <f t="shared" si="26"/>
        <v>3.1402916367431963E-3</v>
      </c>
      <c r="G443" s="27" t="str">
        <f t="shared" si="26"/>
        <v/>
      </c>
      <c r="H443" s="27">
        <f t="shared" si="26"/>
        <v>5.3256241477197472E-2</v>
      </c>
    </row>
    <row r="444" spans="1:8">
      <c r="A444" t="s">
        <v>20</v>
      </c>
      <c r="B444" s="27">
        <f t="shared" ref="B444:H453" si="27">IF(SUM(B15,B158)=0,"",SUM(B158)/SUM(B15,B158))</f>
        <v>3.8975185030122824E-3</v>
      </c>
      <c r="C444" s="27">
        <f t="shared" si="27"/>
        <v>5.6107396025633144E-3</v>
      </c>
      <c r="D444" s="27" t="str">
        <f t="shared" si="27"/>
        <v/>
      </c>
      <c r="E444" s="27">
        <f t="shared" si="27"/>
        <v>5.9758341049639318E-3</v>
      </c>
      <c r="F444" s="27">
        <f t="shared" si="27"/>
        <v>4.5597214751414194E-3</v>
      </c>
      <c r="G444" s="27" t="str">
        <f t="shared" si="27"/>
        <v/>
      </c>
      <c r="H444" s="27">
        <f t="shared" si="27"/>
        <v>4.9571716409762675E-3</v>
      </c>
    </row>
    <row r="445" spans="1:8">
      <c r="A445" t="s">
        <v>21</v>
      </c>
      <c r="B445" s="27">
        <f t="shared" si="27"/>
        <v>4.2771360185242576E-3</v>
      </c>
      <c r="C445" s="27">
        <f t="shared" si="27"/>
        <v>4.5787571038982174E-3</v>
      </c>
      <c r="D445" s="27">
        <f t="shared" si="27"/>
        <v>6.5263979573017749E-3</v>
      </c>
      <c r="E445" s="27">
        <f t="shared" si="27"/>
        <v>7.2561136046063093E-3</v>
      </c>
      <c r="F445" s="27">
        <f t="shared" si="27"/>
        <v>1.1894048671304032E-2</v>
      </c>
      <c r="G445" s="27" t="str">
        <f t="shared" si="27"/>
        <v/>
      </c>
      <c r="H445" s="27">
        <f t="shared" si="27"/>
        <v>7.4425641397792763E-3</v>
      </c>
    </row>
    <row r="446" spans="1:8">
      <c r="A446" t="s">
        <v>22</v>
      </c>
      <c r="B446" s="27">
        <f t="shared" si="27"/>
        <v>9.8956366907648509E-3</v>
      </c>
      <c r="C446" s="27">
        <f t="shared" si="27"/>
        <v>1.4333083398572644E-2</v>
      </c>
      <c r="D446" s="27">
        <f t="shared" si="27"/>
        <v>5.7154446666334568E-2</v>
      </c>
      <c r="E446" s="27">
        <f t="shared" si="27"/>
        <v>0.14215563118105198</v>
      </c>
      <c r="F446" s="27">
        <f t="shared" si="27"/>
        <v>7.0558388752004115E-4</v>
      </c>
      <c r="G446" s="27" t="str">
        <f t="shared" si="27"/>
        <v/>
      </c>
      <c r="H446" s="27">
        <f t="shared" si="27"/>
        <v>3.8110461843332957E-2</v>
      </c>
    </row>
    <row r="447" spans="1:8">
      <c r="A447" t="s">
        <v>23</v>
      </c>
      <c r="B447" s="27">
        <f t="shared" si="27"/>
        <v>1.005709348227747E-3</v>
      </c>
      <c r="C447" s="27">
        <f t="shared" si="27"/>
        <v>1.0261268084613352E-3</v>
      </c>
      <c r="D447" s="27">
        <f t="shared" si="27"/>
        <v>4.2870551008927268E-2</v>
      </c>
      <c r="E447" s="27">
        <f t="shared" si="27"/>
        <v>0.1252548627532479</v>
      </c>
      <c r="F447" s="27">
        <f t="shared" si="27"/>
        <v>0</v>
      </c>
      <c r="G447" s="27" t="str">
        <f t="shared" si="27"/>
        <v/>
      </c>
      <c r="H447" s="27">
        <f t="shared" si="27"/>
        <v>2.5148734733490628E-2</v>
      </c>
    </row>
    <row r="448" spans="1:8">
      <c r="A448" t="s">
        <v>24</v>
      </c>
      <c r="B448" s="27" t="str">
        <f t="shared" si="27"/>
        <v/>
      </c>
      <c r="C448" s="27" t="str">
        <f t="shared" si="27"/>
        <v/>
      </c>
      <c r="D448" s="27" t="str">
        <f t="shared" si="27"/>
        <v/>
      </c>
      <c r="E448" s="27" t="str">
        <f t="shared" si="27"/>
        <v/>
      </c>
      <c r="F448" s="27" t="str">
        <f t="shared" si="27"/>
        <v/>
      </c>
      <c r="G448" s="27" t="str">
        <f t="shared" si="27"/>
        <v/>
      </c>
      <c r="H448" s="27" t="str">
        <f t="shared" si="27"/>
        <v/>
      </c>
    </row>
    <row r="449" spans="1:8">
      <c r="A449" t="s">
        <v>25</v>
      </c>
      <c r="B449" s="27">
        <f t="shared" si="27"/>
        <v>3.4445284526661509E-6</v>
      </c>
      <c r="C449" s="27">
        <f t="shared" si="27"/>
        <v>2.4606671815139541E-5</v>
      </c>
      <c r="D449" s="27">
        <f t="shared" si="27"/>
        <v>1.1507839304531953E-5</v>
      </c>
      <c r="E449" s="27">
        <f t="shared" si="27"/>
        <v>4.6204222664175652E-5</v>
      </c>
      <c r="F449" s="27">
        <f t="shared" si="27"/>
        <v>4.6664677525867074E-5</v>
      </c>
      <c r="G449" s="27" t="str">
        <f t="shared" si="27"/>
        <v/>
      </c>
      <c r="H449" s="27">
        <f t="shared" si="27"/>
        <v>2.669233693805359E-5</v>
      </c>
    </row>
    <row r="450" spans="1:8">
      <c r="A450" t="s">
        <v>26</v>
      </c>
      <c r="B450" s="27">
        <f t="shared" si="27"/>
        <v>1.2532570109528832E-4</v>
      </c>
      <c r="C450" s="27">
        <f t="shared" si="27"/>
        <v>9.9173460048679999E-5</v>
      </c>
      <c r="D450" s="27">
        <f t="shared" si="27"/>
        <v>7.2593038790939767E-5</v>
      </c>
      <c r="E450" s="27">
        <f t="shared" si="27"/>
        <v>1.1448162419297989E-4</v>
      </c>
      <c r="F450" s="27">
        <f t="shared" si="27"/>
        <v>1.8973229277203911E-4</v>
      </c>
      <c r="G450" s="27" t="str">
        <f t="shared" si="27"/>
        <v/>
      </c>
      <c r="H450" s="27">
        <f t="shared" si="27"/>
        <v>1.1882644336995433E-4</v>
      </c>
    </row>
    <row r="451" spans="1:8">
      <c r="A451" t="s">
        <v>27</v>
      </c>
      <c r="B451" s="27">
        <f t="shared" si="27"/>
        <v>3.288075821874742E-4</v>
      </c>
      <c r="C451" s="27">
        <f t="shared" si="27"/>
        <v>3.3760669179561863E-4</v>
      </c>
      <c r="D451" s="27">
        <f t="shared" si="27"/>
        <v>4.1847150294467301E-4</v>
      </c>
      <c r="E451" s="27">
        <f t="shared" si="27"/>
        <v>5.5419611721674192E-4</v>
      </c>
      <c r="F451" s="27">
        <f t="shared" si="27"/>
        <v>7.3321814116055861E-4</v>
      </c>
      <c r="G451" s="27" t="str">
        <f t="shared" si="27"/>
        <v/>
      </c>
      <c r="H451" s="27">
        <f t="shared" si="27"/>
        <v>4.9036945208097253E-4</v>
      </c>
    </row>
    <row r="452" spans="1:8">
      <c r="A452" t="s">
        <v>28</v>
      </c>
      <c r="B452" s="27">
        <f t="shared" si="27"/>
        <v>6.4460646164515173E-4</v>
      </c>
      <c r="C452" s="27">
        <f t="shared" si="27"/>
        <v>6.0648533391912491E-4</v>
      </c>
      <c r="D452" s="27">
        <f t="shared" si="27"/>
        <v>1.1914310576290946E-3</v>
      </c>
      <c r="E452" s="27" t="str">
        <f t="shared" si="27"/>
        <v/>
      </c>
      <c r="F452" s="27">
        <f t="shared" si="27"/>
        <v>1.9240233695102314E-3</v>
      </c>
      <c r="G452" s="27" t="str">
        <f t="shared" si="27"/>
        <v/>
      </c>
      <c r="H452" s="27">
        <f t="shared" si="27"/>
        <v>1.0261438832867404E-3</v>
      </c>
    </row>
    <row r="453" spans="1:8">
      <c r="A453" t="s">
        <v>29</v>
      </c>
      <c r="B453" s="27">
        <f t="shared" si="27"/>
        <v>1.2267080007036929E-3</v>
      </c>
      <c r="C453" s="27">
        <f t="shared" si="27"/>
        <v>5.9653994582143364E-4</v>
      </c>
      <c r="D453" s="27">
        <f t="shared" si="27"/>
        <v>4.2841501703359784E-3</v>
      </c>
      <c r="E453" s="27" t="str">
        <f t="shared" si="27"/>
        <v/>
      </c>
      <c r="F453" s="27" t="str">
        <f t="shared" si="27"/>
        <v/>
      </c>
      <c r="G453" s="27" t="str">
        <f t="shared" si="27"/>
        <v/>
      </c>
      <c r="H453" s="27">
        <f t="shared" si="27"/>
        <v>1.4181449849797363E-3</v>
      </c>
    </row>
    <row r="454" spans="1:8">
      <c r="A454" t="s">
        <v>30</v>
      </c>
      <c r="B454" s="27">
        <f t="shared" ref="B454:H463" si="28">IF(SUM(B25,B168)=0,"",SUM(B168)/SUM(B25,B168))</f>
        <v>5.9833997945743468E-3</v>
      </c>
      <c r="C454" s="27">
        <f t="shared" si="28"/>
        <v>5.9714936434745267E-3</v>
      </c>
      <c r="D454" s="27">
        <f t="shared" si="28"/>
        <v>5.9253526356523251E-3</v>
      </c>
      <c r="E454" s="27">
        <f t="shared" si="28"/>
        <v>7.3109594763960456E-3</v>
      </c>
      <c r="F454" s="27">
        <f t="shared" si="28"/>
        <v>4.1545905485602021E-3</v>
      </c>
      <c r="G454" s="27" t="str">
        <f t="shared" si="28"/>
        <v/>
      </c>
      <c r="H454" s="27">
        <f t="shared" si="28"/>
        <v>5.7208902090273885E-3</v>
      </c>
    </row>
    <row r="455" spans="1:8">
      <c r="A455" t="s">
        <v>31</v>
      </c>
      <c r="B455" s="27">
        <f t="shared" si="28"/>
        <v>1.0218858007683299E-2</v>
      </c>
      <c r="C455" s="27">
        <f t="shared" si="28"/>
        <v>1.4098854977384785E-2</v>
      </c>
      <c r="D455" s="27">
        <f t="shared" si="28"/>
        <v>1.3596182669072887E-2</v>
      </c>
      <c r="E455" s="27">
        <f t="shared" si="28"/>
        <v>8.3340849643726879E-3</v>
      </c>
      <c r="F455" s="27">
        <f t="shared" si="28"/>
        <v>8.7102957247054327E-3</v>
      </c>
      <c r="G455" s="27" t="str">
        <f t="shared" si="28"/>
        <v/>
      </c>
      <c r="H455" s="27">
        <f t="shared" si="28"/>
        <v>1.0903464435624463E-2</v>
      </c>
    </row>
    <row r="456" spans="1:8">
      <c r="A456" t="s">
        <v>32</v>
      </c>
      <c r="B456" s="27">
        <f t="shared" si="28"/>
        <v>2.2726623548854383E-2</v>
      </c>
      <c r="C456" s="27">
        <f t="shared" si="28"/>
        <v>2.131160008606282E-2</v>
      </c>
      <c r="D456" s="27">
        <f t="shared" si="28"/>
        <v>6.2307475753179735E-2</v>
      </c>
      <c r="E456" s="27" t="str">
        <f t="shared" si="28"/>
        <v/>
      </c>
      <c r="F456" s="27">
        <f t="shared" si="28"/>
        <v>2.1635088401801283E-2</v>
      </c>
      <c r="G456" s="27" t="str">
        <f t="shared" si="28"/>
        <v/>
      </c>
      <c r="H456" s="27">
        <f t="shared" si="28"/>
        <v>3.3285058414196281E-2</v>
      </c>
    </row>
    <row r="457" spans="1:8">
      <c r="A457" t="s">
        <v>33</v>
      </c>
      <c r="B457" s="27" t="str">
        <f t="shared" si="28"/>
        <v/>
      </c>
      <c r="C457" s="27">
        <f t="shared" si="28"/>
        <v>2.1384848332627682E-3</v>
      </c>
      <c r="D457" s="27">
        <f t="shared" si="28"/>
        <v>5.8938304751794214E-2</v>
      </c>
      <c r="E457" s="27">
        <f t="shared" si="28"/>
        <v>0.16389748946170776</v>
      </c>
      <c r="F457" s="27">
        <f t="shared" si="28"/>
        <v>3.3705202751631927E-3</v>
      </c>
      <c r="G457" s="27" t="str">
        <f t="shared" si="28"/>
        <v/>
      </c>
      <c r="H457" s="27">
        <f t="shared" si="28"/>
        <v>4.1172125452083486E-2</v>
      </c>
    </row>
    <row r="458" spans="1:8">
      <c r="A458" t="s">
        <v>34</v>
      </c>
      <c r="B458" s="27" t="str">
        <f t="shared" si="28"/>
        <v/>
      </c>
      <c r="C458" s="27" t="str">
        <f t="shared" si="28"/>
        <v/>
      </c>
      <c r="D458" s="27" t="str">
        <f t="shared" si="28"/>
        <v/>
      </c>
      <c r="E458" s="27">
        <f t="shared" si="28"/>
        <v>0.15656033225698449</v>
      </c>
      <c r="F458" s="27">
        <f t="shared" si="28"/>
        <v>4.2324564537101865E-3</v>
      </c>
      <c r="G458" s="27" t="str">
        <f t="shared" si="28"/>
        <v/>
      </c>
      <c r="H458" s="27">
        <f t="shared" si="28"/>
        <v>8.1626886276538607E-2</v>
      </c>
    </row>
    <row r="459" spans="1:8">
      <c r="A459" t="s">
        <v>35</v>
      </c>
      <c r="B459" s="27">
        <f t="shared" si="28"/>
        <v>3.7965490152899501E-3</v>
      </c>
      <c r="C459" s="27">
        <f t="shared" si="28"/>
        <v>5.0204333234401049E-3</v>
      </c>
      <c r="D459" s="27">
        <f t="shared" si="28"/>
        <v>6.7558356180983676E-3</v>
      </c>
      <c r="E459" s="27">
        <f t="shared" si="28"/>
        <v>6.2926296204516554E-3</v>
      </c>
      <c r="F459" s="27">
        <f t="shared" si="28"/>
        <v>7.2698492875518331E-3</v>
      </c>
      <c r="G459" s="27">
        <f t="shared" si="28"/>
        <v>3.9891251873872503E-3</v>
      </c>
      <c r="H459" s="27">
        <f t="shared" si="28"/>
        <v>5.150745747306033E-3</v>
      </c>
    </row>
    <row r="460" spans="1:8">
      <c r="A460" t="s">
        <v>36</v>
      </c>
      <c r="B460" s="27">
        <f t="shared" si="28"/>
        <v>1.0586742493732038E-2</v>
      </c>
      <c r="C460" s="27">
        <f t="shared" si="28"/>
        <v>9.7258929894131624E-3</v>
      </c>
      <c r="D460" s="27">
        <f t="shared" si="28"/>
        <v>8.7041661996671432E-3</v>
      </c>
      <c r="E460" s="27">
        <f t="shared" si="28"/>
        <v>1.1283857906397174E-2</v>
      </c>
      <c r="F460" s="27">
        <f t="shared" si="28"/>
        <v>1.8616219384165675E-2</v>
      </c>
      <c r="G460" s="27" t="str">
        <f t="shared" si="28"/>
        <v/>
      </c>
      <c r="H460" s="27">
        <f t="shared" si="28"/>
        <v>1.2620894755068744E-2</v>
      </c>
    </row>
    <row r="461" spans="1:8">
      <c r="A461" t="s">
        <v>37</v>
      </c>
      <c r="B461" s="27">
        <f t="shared" si="28"/>
        <v>1.6453872647699177E-2</v>
      </c>
      <c r="C461" s="27">
        <f t="shared" si="28"/>
        <v>1.8772728107735521E-2</v>
      </c>
      <c r="D461" s="27">
        <f t="shared" si="28"/>
        <v>7.0574754593713054E-2</v>
      </c>
      <c r="E461" s="27">
        <f t="shared" si="28"/>
        <v>0.18691581858453926</v>
      </c>
      <c r="F461" s="27">
        <f t="shared" si="28"/>
        <v>3.39701747693525E-3</v>
      </c>
      <c r="G461" s="27" t="str">
        <f t="shared" si="28"/>
        <v/>
      </c>
      <c r="H461" s="27">
        <f t="shared" si="28"/>
        <v>5.3698716349939953E-2</v>
      </c>
    </row>
    <row r="462" spans="1:8">
      <c r="A462" t="s">
        <v>38</v>
      </c>
      <c r="B462" s="27">
        <f t="shared" si="28"/>
        <v>3.9767304991312627E-3</v>
      </c>
      <c r="C462" s="27">
        <f t="shared" si="28"/>
        <v>2.9430755691179271E-3</v>
      </c>
      <c r="D462" s="27">
        <f t="shared" si="28"/>
        <v>5.5412977662443394E-2</v>
      </c>
      <c r="E462" s="27">
        <f t="shared" si="28"/>
        <v>0.17277387836732852</v>
      </c>
      <c r="F462" s="27">
        <f t="shared" si="28"/>
        <v>1.1431195675777195E-2</v>
      </c>
      <c r="G462" s="27" t="str">
        <f t="shared" si="28"/>
        <v/>
      </c>
      <c r="H462" s="27">
        <f t="shared" si="28"/>
        <v>2.8763747778630794E-2</v>
      </c>
    </row>
    <row r="463" spans="1:8">
      <c r="A463" t="s">
        <v>39</v>
      </c>
      <c r="B463" s="27">
        <f t="shared" si="28"/>
        <v>6.9253305817658928E-3</v>
      </c>
      <c r="C463" s="27" t="str">
        <f t="shared" si="28"/>
        <v/>
      </c>
      <c r="D463" s="27">
        <f t="shared" si="28"/>
        <v>6.6212993380951263E-3</v>
      </c>
      <c r="E463" s="27">
        <f t="shared" si="28"/>
        <v>8.4832177610248242E-3</v>
      </c>
      <c r="F463" s="27">
        <f t="shared" si="28"/>
        <v>6.5037794101990842E-3</v>
      </c>
      <c r="G463" s="27" t="str">
        <f t="shared" si="28"/>
        <v/>
      </c>
      <c r="H463" s="27">
        <f t="shared" si="28"/>
        <v>7.0888682779924788E-3</v>
      </c>
    </row>
    <row r="464" spans="1:8">
      <c r="A464" t="s">
        <v>40</v>
      </c>
      <c r="B464" s="27">
        <f t="shared" ref="B464:H473" si="29">IF(SUM(B35,B178)=0,"",SUM(B178)/SUM(B35,B178))</f>
        <v>6.1047175192020268E-3</v>
      </c>
      <c r="C464" s="27">
        <f t="shared" si="29"/>
        <v>6.7436543977795818E-3</v>
      </c>
      <c r="D464" s="27">
        <f t="shared" si="29"/>
        <v>9.5517372955069933E-3</v>
      </c>
      <c r="E464" s="27">
        <f t="shared" si="29"/>
        <v>1.352219666634337E-2</v>
      </c>
      <c r="F464" s="27">
        <f t="shared" si="29"/>
        <v>1.6244087329118473E-2</v>
      </c>
      <c r="G464" s="27" t="str">
        <f t="shared" si="29"/>
        <v/>
      </c>
      <c r="H464" s="27">
        <f t="shared" si="29"/>
        <v>1.07090512661924E-2</v>
      </c>
    </row>
    <row r="465" spans="1:8">
      <c r="A465" t="s">
        <v>41</v>
      </c>
      <c r="B465" s="27">
        <f t="shared" si="29"/>
        <v>2.1767437988435376E-2</v>
      </c>
      <c r="C465" s="27">
        <f t="shared" si="29"/>
        <v>2.8234706164549938E-2</v>
      </c>
      <c r="D465" s="27">
        <f t="shared" si="29"/>
        <v>4.6182763447310538E-2</v>
      </c>
      <c r="E465" s="27">
        <f t="shared" si="29"/>
        <v>1.6264443098236857E-3</v>
      </c>
      <c r="F465" s="27">
        <f t="shared" si="29"/>
        <v>4.0537579431743475E-3</v>
      </c>
      <c r="G465" s="27" t="str">
        <f t="shared" si="29"/>
        <v/>
      </c>
      <c r="H465" s="27">
        <f t="shared" si="29"/>
        <v>1.8422104805446652E-2</v>
      </c>
    </row>
    <row r="466" spans="1:8">
      <c r="A466" t="s">
        <v>42</v>
      </c>
      <c r="B466" s="27">
        <f t="shared" si="29"/>
        <v>2.1720538785982239E-3</v>
      </c>
      <c r="C466" s="27">
        <f t="shared" si="29"/>
        <v>5.8120686700941105E-3</v>
      </c>
      <c r="D466" s="27">
        <f t="shared" si="29"/>
        <v>9.4423853766098881E-2</v>
      </c>
      <c r="E466" s="27" t="str">
        <f t="shared" si="29"/>
        <v/>
      </c>
      <c r="F466" s="27">
        <f t="shared" si="29"/>
        <v>2.4626452857351377E-3</v>
      </c>
      <c r="G466" s="27" t="str">
        <f t="shared" si="29"/>
        <v/>
      </c>
      <c r="H466" s="27">
        <f t="shared" si="29"/>
        <v>2.0949380506851148E-2</v>
      </c>
    </row>
    <row r="467" spans="1:8">
      <c r="A467" t="s">
        <v>43</v>
      </c>
      <c r="B467" s="27">
        <f t="shared" si="29"/>
        <v>1.1814748974553961E-3</v>
      </c>
      <c r="C467" s="27" t="str">
        <f t="shared" si="29"/>
        <v/>
      </c>
      <c r="D467" s="27" t="str">
        <f t="shared" si="29"/>
        <v/>
      </c>
      <c r="E467" s="27" t="str">
        <f t="shared" si="29"/>
        <v/>
      </c>
      <c r="F467" s="27" t="str">
        <f t="shared" si="29"/>
        <v/>
      </c>
      <c r="G467" s="27" t="str">
        <f t="shared" si="29"/>
        <v/>
      </c>
      <c r="H467" s="27">
        <f t="shared" si="29"/>
        <v>1.1814748974553961E-3</v>
      </c>
    </row>
    <row r="468" spans="1:8">
      <c r="A468" t="s">
        <v>44</v>
      </c>
      <c r="B468" s="27">
        <f t="shared" si="29"/>
        <v>4.977965215618667E-3</v>
      </c>
      <c r="C468" s="27">
        <f t="shared" si="29"/>
        <v>5.2977138793488393E-3</v>
      </c>
      <c r="D468" s="27">
        <f t="shared" si="29"/>
        <v>3.7848282217905153E-3</v>
      </c>
      <c r="E468" s="27">
        <f t="shared" si="29"/>
        <v>4.454786971573841E-3</v>
      </c>
      <c r="F468" s="27" t="str">
        <f t="shared" si="29"/>
        <v/>
      </c>
      <c r="G468" s="27" t="str">
        <f t="shared" si="29"/>
        <v/>
      </c>
      <c r="H468" s="27">
        <f t="shared" si="29"/>
        <v>4.5793686050645361E-3</v>
      </c>
    </row>
    <row r="469" spans="1:8">
      <c r="A469" t="s">
        <v>45</v>
      </c>
      <c r="B469" s="27">
        <f t="shared" si="29"/>
        <v>4.8761030346964052E-3</v>
      </c>
      <c r="C469" s="27" t="str">
        <f t="shared" si="29"/>
        <v/>
      </c>
      <c r="D469" s="27">
        <f t="shared" si="29"/>
        <v>6.2572395663543119E-3</v>
      </c>
      <c r="E469" s="27">
        <f t="shared" si="29"/>
        <v>8.6744519045602597E-3</v>
      </c>
      <c r="F469" s="27">
        <f t="shared" si="29"/>
        <v>4.5238303709540916E-3</v>
      </c>
      <c r="G469" s="27" t="str">
        <f t="shared" si="29"/>
        <v/>
      </c>
      <c r="H469" s="27">
        <f t="shared" si="29"/>
        <v>6.1399574539873518E-3</v>
      </c>
    </row>
    <row r="470" spans="1:8">
      <c r="A470" t="s">
        <v>46</v>
      </c>
      <c r="B470" s="27">
        <f t="shared" si="29"/>
        <v>1.6871601058994653E-2</v>
      </c>
      <c r="C470" s="27">
        <f t="shared" si="29"/>
        <v>1.5608928588711773E-2</v>
      </c>
      <c r="D470" s="27">
        <f t="shared" si="29"/>
        <v>6.1138762233324375E-3</v>
      </c>
      <c r="E470" s="27">
        <f t="shared" si="29"/>
        <v>8.4566798902165705E-3</v>
      </c>
      <c r="F470" s="27">
        <f t="shared" si="29"/>
        <v>1.3078131134668236E-2</v>
      </c>
      <c r="G470" s="27" t="str">
        <f t="shared" si="29"/>
        <v/>
      </c>
      <c r="H470" s="27">
        <f t="shared" si="29"/>
        <v>1.2475344776883753E-2</v>
      </c>
    </row>
    <row r="471" spans="1:8">
      <c r="A471" t="s">
        <v>47</v>
      </c>
      <c r="B471" s="27">
        <f t="shared" si="29"/>
        <v>2.1159170749941226E-3</v>
      </c>
      <c r="C471" s="27">
        <f t="shared" si="29"/>
        <v>1.4901615290408593E-3</v>
      </c>
      <c r="D471" s="27">
        <f t="shared" si="29"/>
        <v>6.4773937956740302E-2</v>
      </c>
      <c r="E471" s="27">
        <f t="shared" si="29"/>
        <v>0.16898862473701393</v>
      </c>
      <c r="F471" s="27">
        <f t="shared" si="29"/>
        <v>2.2135325963208987E-3</v>
      </c>
      <c r="G471" s="27" t="str">
        <f t="shared" si="29"/>
        <v/>
      </c>
      <c r="H471" s="27">
        <f t="shared" si="29"/>
        <v>3.1912414134913247E-2</v>
      </c>
    </row>
    <row r="472" spans="1:8">
      <c r="A472" t="s">
        <v>48</v>
      </c>
      <c r="B472" s="27" t="str">
        <f t="shared" si="29"/>
        <v/>
      </c>
      <c r="C472" s="27" t="str">
        <f t="shared" si="29"/>
        <v/>
      </c>
      <c r="D472" s="27">
        <f t="shared" si="29"/>
        <v>5.8549114235642331E-2</v>
      </c>
      <c r="E472" s="27">
        <f t="shared" si="29"/>
        <v>0.15217228410101713</v>
      </c>
      <c r="F472" s="27" t="str">
        <f t="shared" si="29"/>
        <v/>
      </c>
      <c r="G472" s="27" t="str">
        <f t="shared" si="29"/>
        <v/>
      </c>
      <c r="H472" s="27">
        <f t="shared" si="29"/>
        <v>0.10858852232509376</v>
      </c>
    </row>
    <row r="473" spans="1:8">
      <c r="A473" t="s">
        <v>49</v>
      </c>
      <c r="B473" s="27">
        <f t="shared" si="29"/>
        <v>6.5058276931453472E-3</v>
      </c>
      <c r="C473" s="27">
        <f t="shared" si="29"/>
        <v>6.5777002691739016E-3</v>
      </c>
      <c r="D473" s="27">
        <f t="shared" si="29"/>
        <v>6.0149143085446652E-3</v>
      </c>
      <c r="E473" s="27">
        <f t="shared" si="29"/>
        <v>1.3716263064636247E-2</v>
      </c>
      <c r="F473" s="27" t="str">
        <f t="shared" si="29"/>
        <v/>
      </c>
      <c r="G473" s="27" t="str">
        <f t="shared" si="29"/>
        <v/>
      </c>
      <c r="H473" s="27">
        <f t="shared" si="29"/>
        <v>8.039565156534317E-3</v>
      </c>
    </row>
    <row r="474" spans="1:8">
      <c r="A474" t="s">
        <v>50</v>
      </c>
      <c r="B474" s="27">
        <f t="shared" ref="B474:H483" si="30">IF(SUM(B45,B188)=0,"",SUM(B188)/SUM(B45,B188))</f>
        <v>5.5091185410334345E-3</v>
      </c>
      <c r="C474" s="27">
        <f t="shared" si="30"/>
        <v>5.7027532008158332E-3</v>
      </c>
      <c r="D474" s="27">
        <f t="shared" si="30"/>
        <v>9.819300312051667E-3</v>
      </c>
      <c r="E474" s="27">
        <f t="shared" si="30"/>
        <v>7.9089590451141608E-3</v>
      </c>
      <c r="F474" s="27">
        <f t="shared" si="30"/>
        <v>8.3445767830763757E-3</v>
      </c>
      <c r="G474" s="27" t="str">
        <f t="shared" si="30"/>
        <v/>
      </c>
      <c r="H474" s="27">
        <f t="shared" si="30"/>
        <v>7.4804166866191003E-3</v>
      </c>
    </row>
    <row r="475" spans="1:8">
      <c r="A475" t="s">
        <v>51</v>
      </c>
      <c r="B475" s="27">
        <f t="shared" si="30"/>
        <v>1.3622885612117804E-2</v>
      </c>
      <c r="C475" s="27">
        <f t="shared" si="30"/>
        <v>1.6642897088205679E-2</v>
      </c>
      <c r="D475" s="27">
        <f t="shared" si="30"/>
        <v>4.5929081931212236E-2</v>
      </c>
      <c r="E475" s="27">
        <f t="shared" si="30"/>
        <v>2.7853760404717787E-3</v>
      </c>
      <c r="F475" s="27">
        <f t="shared" si="30"/>
        <v>1.2004162926123949E-2</v>
      </c>
      <c r="G475" s="27" t="str">
        <f t="shared" si="30"/>
        <v/>
      </c>
      <c r="H475" s="27">
        <f t="shared" si="30"/>
        <v>1.7694129296317876E-2</v>
      </c>
    </row>
    <row r="476" spans="1:8">
      <c r="A476" t="s">
        <v>52</v>
      </c>
      <c r="B476" s="27">
        <f t="shared" si="30"/>
        <v>2.7966720532255126E-3</v>
      </c>
      <c r="C476" s="27">
        <f t="shared" si="30"/>
        <v>3.4768141290900554E-3</v>
      </c>
      <c r="D476" s="27">
        <f t="shared" si="30"/>
        <v>0.18030243172591182</v>
      </c>
      <c r="E476" s="27" t="str">
        <f t="shared" si="30"/>
        <v/>
      </c>
      <c r="F476" s="27">
        <f t="shared" si="30"/>
        <v>2.1089090346000129E-3</v>
      </c>
      <c r="G476" s="27" t="str">
        <f t="shared" si="30"/>
        <v/>
      </c>
      <c r="H476" s="27">
        <f t="shared" si="30"/>
        <v>2.4582942168321926E-2</v>
      </c>
    </row>
    <row r="477" spans="1:8">
      <c r="A477" t="s">
        <v>53</v>
      </c>
      <c r="B477" s="27" t="str">
        <f t="shared" si="30"/>
        <v/>
      </c>
      <c r="C477" s="27" t="str">
        <f t="shared" si="30"/>
        <v/>
      </c>
      <c r="D477" s="27" t="str">
        <f t="shared" si="30"/>
        <v/>
      </c>
      <c r="E477" s="27" t="str">
        <f t="shared" si="30"/>
        <v/>
      </c>
      <c r="F477" s="27">
        <f t="shared" si="30"/>
        <v>7.9741459882111676E-3</v>
      </c>
      <c r="G477" s="27" t="str">
        <f t="shared" si="30"/>
        <v/>
      </c>
      <c r="H477" s="27">
        <f t="shared" si="30"/>
        <v>7.9741459882111676E-3</v>
      </c>
    </row>
    <row r="478" spans="1:8">
      <c r="A478" t="s">
        <v>54</v>
      </c>
      <c r="B478" s="27">
        <f t="shared" si="30"/>
        <v>3.9994515367795108E-3</v>
      </c>
      <c r="C478" s="27">
        <f t="shared" si="30"/>
        <v>4.2076352972384374E-3</v>
      </c>
      <c r="D478" s="27">
        <f t="shared" si="30"/>
        <v>9.2865272285229689E-3</v>
      </c>
      <c r="E478" s="27">
        <f t="shared" si="30"/>
        <v>1.2559577029491068E-2</v>
      </c>
      <c r="F478" s="27">
        <f t="shared" si="30"/>
        <v>5.12551849957164E-3</v>
      </c>
      <c r="G478" s="27" t="str">
        <f t="shared" si="30"/>
        <v/>
      </c>
      <c r="H478" s="27">
        <f t="shared" si="30"/>
        <v>6.9232361180558847E-3</v>
      </c>
    </row>
    <row r="479" spans="1:8">
      <c r="A479" t="s">
        <v>55</v>
      </c>
      <c r="B479" s="27">
        <f t="shared" si="30"/>
        <v>5.2886253663190896E-3</v>
      </c>
      <c r="C479" s="27">
        <f t="shared" si="30"/>
        <v>4.6226322364850319E-3</v>
      </c>
      <c r="D479" s="27">
        <f t="shared" si="30"/>
        <v>6.9693805011951633E-3</v>
      </c>
      <c r="E479" s="27">
        <f t="shared" si="30"/>
        <v>1.2700762498002548E-2</v>
      </c>
      <c r="F479" s="27">
        <f t="shared" si="30"/>
        <v>1.556718684958237E-2</v>
      </c>
      <c r="G479" s="27" t="str">
        <f t="shared" si="30"/>
        <v/>
      </c>
      <c r="H479" s="27">
        <f t="shared" si="30"/>
        <v>9.4892626272671064E-3</v>
      </c>
    </row>
    <row r="480" spans="1:8">
      <c r="A480" t="s">
        <v>56</v>
      </c>
      <c r="B480" s="27">
        <f t="shared" si="30"/>
        <v>2.5270817245128183E-2</v>
      </c>
      <c r="C480" s="27">
        <f t="shared" si="30"/>
        <v>3.2221089670739944E-2</v>
      </c>
      <c r="D480" s="27">
        <f t="shared" si="30"/>
        <v>5.3715485125732758E-2</v>
      </c>
      <c r="E480" s="27">
        <f t="shared" si="30"/>
        <v>0.16025720080923003</v>
      </c>
      <c r="F480" s="27">
        <f t="shared" si="30"/>
        <v>3.0224393626411142E-3</v>
      </c>
      <c r="G480" s="27" t="str">
        <f t="shared" si="30"/>
        <v/>
      </c>
      <c r="H480" s="27">
        <f t="shared" si="30"/>
        <v>5.6447926026041817E-2</v>
      </c>
    </row>
    <row r="481" spans="1:8">
      <c r="A481" t="s">
        <v>57</v>
      </c>
      <c r="B481" s="27">
        <f t="shared" si="30"/>
        <v>2.8282695714941936E-3</v>
      </c>
      <c r="C481" s="27">
        <f t="shared" si="30"/>
        <v>2.6260844170604416E-3</v>
      </c>
      <c r="D481" s="27">
        <f t="shared" si="30"/>
        <v>3.5366148293510306E-2</v>
      </c>
      <c r="E481" s="27">
        <f t="shared" si="30"/>
        <v>0.1368326686840437</v>
      </c>
      <c r="F481" s="27" t="str">
        <f t="shared" si="30"/>
        <v/>
      </c>
      <c r="G481" s="27" t="str">
        <f t="shared" si="30"/>
        <v/>
      </c>
      <c r="H481" s="27">
        <f t="shared" si="30"/>
        <v>4.0689378951140949E-2</v>
      </c>
    </row>
    <row r="482" spans="1:8">
      <c r="A482" t="s">
        <v>58</v>
      </c>
      <c r="B482" s="27">
        <f t="shared" si="30"/>
        <v>5.7268066894849475E-3</v>
      </c>
      <c r="C482" s="27">
        <f t="shared" si="30"/>
        <v>9.1926599404789722E-4</v>
      </c>
      <c r="D482" s="27" t="str">
        <f t="shared" si="30"/>
        <v/>
      </c>
      <c r="E482" s="27" t="str">
        <f t="shared" si="30"/>
        <v/>
      </c>
      <c r="F482" s="27" t="str">
        <f t="shared" si="30"/>
        <v/>
      </c>
      <c r="G482" s="27" t="str">
        <f t="shared" si="30"/>
        <v/>
      </c>
      <c r="H482" s="27">
        <f t="shared" si="30"/>
        <v>2.8258442645827525E-3</v>
      </c>
    </row>
    <row r="483" spans="1:8">
      <c r="A483" t="s">
        <v>59</v>
      </c>
      <c r="B483" s="27">
        <f t="shared" si="30"/>
        <v>4.0185114291992194E-3</v>
      </c>
      <c r="C483" s="27">
        <f t="shared" si="30"/>
        <v>5.5929682752214717E-3</v>
      </c>
      <c r="D483" s="27">
        <f t="shared" si="30"/>
        <v>5.7110931777267357E-3</v>
      </c>
      <c r="E483" s="27">
        <f t="shared" si="30"/>
        <v>7.3906412964407468E-3</v>
      </c>
      <c r="F483" s="27">
        <f t="shared" si="30"/>
        <v>5.590267021246635E-3</v>
      </c>
      <c r="G483" s="27" t="str">
        <f t="shared" si="30"/>
        <v/>
      </c>
      <c r="H483" s="27">
        <f t="shared" si="30"/>
        <v>5.6717485521846616E-3</v>
      </c>
    </row>
    <row r="484" spans="1:8">
      <c r="A484" t="s">
        <v>60</v>
      </c>
      <c r="B484" s="27" t="str">
        <f t="shared" ref="B484:H493" si="31">IF(SUM(B55,B198)=0,"",SUM(B198)/SUM(B55,B198))</f>
        <v/>
      </c>
      <c r="C484" s="27" t="str">
        <f t="shared" si="31"/>
        <v/>
      </c>
      <c r="D484" s="27">
        <f t="shared" si="31"/>
        <v>6.8711158329338509E-3</v>
      </c>
      <c r="E484" s="27" t="str">
        <f t="shared" si="31"/>
        <v/>
      </c>
      <c r="F484" s="27" t="str">
        <f t="shared" si="31"/>
        <v/>
      </c>
      <c r="G484" s="27" t="str">
        <f t="shared" si="31"/>
        <v/>
      </c>
      <c r="H484" s="27">
        <f t="shared" si="31"/>
        <v>6.8711158329338509E-3</v>
      </c>
    </row>
    <row r="485" spans="1:8">
      <c r="A485" t="s">
        <v>61</v>
      </c>
      <c r="B485" s="27" t="str">
        <f t="shared" si="31"/>
        <v/>
      </c>
      <c r="C485" s="27" t="str">
        <f t="shared" si="31"/>
        <v/>
      </c>
      <c r="D485" s="27" t="str">
        <f t="shared" si="31"/>
        <v/>
      </c>
      <c r="E485" s="27" t="str">
        <f t="shared" si="31"/>
        <v/>
      </c>
      <c r="F485" s="27" t="str">
        <f t="shared" si="31"/>
        <v/>
      </c>
      <c r="G485" s="27" t="str">
        <f t="shared" si="31"/>
        <v/>
      </c>
      <c r="H485" s="27" t="str">
        <f t="shared" si="31"/>
        <v/>
      </c>
    </row>
    <row r="486" spans="1:8">
      <c r="A486" t="s">
        <v>62</v>
      </c>
      <c r="B486" s="27" t="str">
        <f t="shared" si="31"/>
        <v/>
      </c>
      <c r="C486" s="27" t="str">
        <f t="shared" si="31"/>
        <v/>
      </c>
      <c r="D486" s="27" t="str">
        <f t="shared" si="31"/>
        <v/>
      </c>
      <c r="E486" s="27" t="str">
        <f t="shared" si="31"/>
        <v/>
      </c>
      <c r="F486" s="27" t="str">
        <f t="shared" si="31"/>
        <v/>
      </c>
      <c r="G486" s="27" t="str">
        <f t="shared" si="31"/>
        <v/>
      </c>
      <c r="H486" s="27" t="str">
        <f t="shared" si="31"/>
        <v/>
      </c>
    </row>
    <row r="487" spans="1:8">
      <c r="A487" t="s">
        <v>63</v>
      </c>
      <c r="B487" s="27" t="str">
        <f t="shared" si="31"/>
        <v/>
      </c>
      <c r="C487" s="27" t="str">
        <f t="shared" si="31"/>
        <v/>
      </c>
      <c r="D487" s="27" t="str">
        <f t="shared" si="31"/>
        <v/>
      </c>
      <c r="E487" s="27" t="str">
        <f t="shared" si="31"/>
        <v/>
      </c>
      <c r="F487" s="27" t="str">
        <f t="shared" si="31"/>
        <v/>
      </c>
      <c r="G487" s="27" t="str">
        <f t="shared" si="31"/>
        <v/>
      </c>
      <c r="H487" s="27" t="str">
        <f t="shared" si="31"/>
        <v/>
      </c>
    </row>
    <row r="488" spans="1:8" hidden="1" outlineLevel="1">
      <c r="A488" t="s">
        <v>64</v>
      </c>
      <c r="B488" s="27" t="str">
        <f t="shared" si="31"/>
        <v/>
      </c>
      <c r="C488" s="27" t="str">
        <f t="shared" si="31"/>
        <v/>
      </c>
      <c r="D488" s="27" t="str">
        <f t="shared" si="31"/>
        <v/>
      </c>
      <c r="E488" s="27" t="str">
        <f t="shared" si="31"/>
        <v/>
      </c>
      <c r="F488" s="27" t="str">
        <f t="shared" si="31"/>
        <v/>
      </c>
      <c r="G488" s="27" t="str">
        <f t="shared" si="31"/>
        <v/>
      </c>
      <c r="H488" s="27" t="str">
        <f t="shared" si="31"/>
        <v/>
      </c>
    </row>
    <row r="489" spans="1:8" hidden="1" outlineLevel="1">
      <c r="A489" t="s">
        <v>65</v>
      </c>
      <c r="B489" s="27" t="str">
        <f t="shared" si="31"/>
        <v/>
      </c>
      <c r="C489" s="27" t="str">
        <f t="shared" si="31"/>
        <v/>
      </c>
      <c r="D489" s="27" t="str">
        <f t="shared" si="31"/>
        <v/>
      </c>
      <c r="E489" s="27" t="str">
        <f t="shared" si="31"/>
        <v/>
      </c>
      <c r="F489" s="27" t="str">
        <f t="shared" si="31"/>
        <v/>
      </c>
      <c r="G489" s="27" t="str">
        <f t="shared" si="31"/>
        <v/>
      </c>
      <c r="H489" s="27" t="str">
        <f t="shared" si="31"/>
        <v/>
      </c>
    </row>
    <row r="490" spans="1:8" hidden="1" outlineLevel="1">
      <c r="A490" t="s">
        <v>66</v>
      </c>
      <c r="B490" s="27" t="str">
        <f t="shared" si="31"/>
        <v/>
      </c>
      <c r="C490" s="27" t="str">
        <f t="shared" si="31"/>
        <v/>
      </c>
      <c r="D490" s="27" t="str">
        <f t="shared" si="31"/>
        <v/>
      </c>
      <c r="E490" s="27" t="str">
        <f t="shared" si="31"/>
        <v/>
      </c>
      <c r="F490" s="27" t="str">
        <f t="shared" si="31"/>
        <v/>
      </c>
      <c r="G490" s="27" t="str">
        <f t="shared" si="31"/>
        <v/>
      </c>
      <c r="H490" s="27" t="str">
        <f t="shared" si="31"/>
        <v/>
      </c>
    </row>
    <row r="491" spans="1:8" hidden="1" outlineLevel="1">
      <c r="A491" t="s">
        <v>67</v>
      </c>
      <c r="B491" s="27" t="str">
        <f t="shared" si="31"/>
        <v/>
      </c>
      <c r="C491" s="27" t="str">
        <f t="shared" si="31"/>
        <v/>
      </c>
      <c r="D491" s="27" t="str">
        <f t="shared" si="31"/>
        <v/>
      </c>
      <c r="E491" s="27" t="str">
        <f t="shared" si="31"/>
        <v/>
      </c>
      <c r="F491" s="27" t="str">
        <f t="shared" si="31"/>
        <v/>
      </c>
      <c r="G491" s="27" t="str">
        <f t="shared" si="31"/>
        <v/>
      </c>
      <c r="H491" s="27" t="str">
        <f t="shared" si="31"/>
        <v/>
      </c>
    </row>
    <row r="492" spans="1:8" hidden="1" outlineLevel="1">
      <c r="A492" t="s">
        <v>68</v>
      </c>
      <c r="B492" s="27" t="str">
        <f t="shared" si="31"/>
        <v/>
      </c>
      <c r="C492" s="27" t="str">
        <f t="shared" si="31"/>
        <v/>
      </c>
      <c r="D492" s="27" t="str">
        <f t="shared" si="31"/>
        <v/>
      </c>
      <c r="E492" s="27" t="str">
        <f t="shared" si="31"/>
        <v/>
      </c>
      <c r="F492" s="27" t="str">
        <f t="shared" si="31"/>
        <v/>
      </c>
      <c r="G492" s="27" t="str">
        <f t="shared" si="31"/>
        <v/>
      </c>
      <c r="H492" s="27" t="str">
        <f t="shared" si="31"/>
        <v/>
      </c>
    </row>
    <row r="493" spans="1:8" hidden="1" outlineLevel="1">
      <c r="A493" t="s">
        <v>69</v>
      </c>
      <c r="B493" s="27" t="str">
        <f t="shared" si="31"/>
        <v/>
      </c>
      <c r="C493" s="27" t="str">
        <f t="shared" si="31"/>
        <v/>
      </c>
      <c r="D493" s="27" t="str">
        <f t="shared" si="31"/>
        <v/>
      </c>
      <c r="E493" s="27" t="str">
        <f t="shared" si="31"/>
        <v/>
      </c>
      <c r="F493" s="27" t="str">
        <f t="shared" si="31"/>
        <v/>
      </c>
      <c r="G493" s="27" t="str">
        <f t="shared" si="31"/>
        <v/>
      </c>
      <c r="H493" s="27" t="str">
        <f t="shared" si="31"/>
        <v/>
      </c>
    </row>
    <row r="494" spans="1:8" hidden="1" outlineLevel="1">
      <c r="A494" t="s">
        <v>70</v>
      </c>
      <c r="B494" s="27" t="str">
        <f t="shared" ref="B494:H503" si="32">IF(SUM(B65,B208)=0,"",SUM(B208)/SUM(B65,B208))</f>
        <v/>
      </c>
      <c r="C494" s="27" t="str">
        <f t="shared" si="32"/>
        <v/>
      </c>
      <c r="D494" s="27" t="str">
        <f t="shared" si="32"/>
        <v/>
      </c>
      <c r="E494" s="27" t="str">
        <f t="shared" si="32"/>
        <v/>
      </c>
      <c r="F494" s="27" t="str">
        <f t="shared" si="32"/>
        <v/>
      </c>
      <c r="G494" s="27" t="str">
        <f t="shared" si="32"/>
        <v/>
      </c>
      <c r="H494" s="27" t="str">
        <f t="shared" si="32"/>
        <v/>
      </c>
    </row>
    <row r="495" spans="1:8" hidden="1" outlineLevel="1">
      <c r="A495" t="s">
        <v>71</v>
      </c>
      <c r="B495" s="27" t="str">
        <f t="shared" si="32"/>
        <v/>
      </c>
      <c r="C495" s="27" t="str">
        <f t="shared" si="32"/>
        <v/>
      </c>
      <c r="D495" s="27" t="str">
        <f t="shared" si="32"/>
        <v/>
      </c>
      <c r="E495" s="27" t="str">
        <f t="shared" si="32"/>
        <v/>
      </c>
      <c r="F495" s="27" t="str">
        <f t="shared" si="32"/>
        <v/>
      </c>
      <c r="G495" s="27" t="str">
        <f t="shared" si="32"/>
        <v/>
      </c>
      <c r="H495" s="27" t="str">
        <f t="shared" si="32"/>
        <v/>
      </c>
    </row>
    <row r="496" spans="1:8" hidden="1" outlineLevel="1">
      <c r="A496" t="s">
        <v>72</v>
      </c>
      <c r="B496" s="27" t="str">
        <f t="shared" si="32"/>
        <v/>
      </c>
      <c r="C496" s="27" t="str">
        <f t="shared" si="32"/>
        <v/>
      </c>
      <c r="D496" s="27" t="str">
        <f t="shared" si="32"/>
        <v/>
      </c>
      <c r="E496" s="27" t="str">
        <f t="shared" si="32"/>
        <v/>
      </c>
      <c r="F496" s="27" t="str">
        <f t="shared" si="32"/>
        <v/>
      </c>
      <c r="G496" s="27" t="str">
        <f t="shared" si="32"/>
        <v/>
      </c>
      <c r="H496" s="27" t="str">
        <f t="shared" si="32"/>
        <v/>
      </c>
    </row>
    <row r="497" spans="1:8" hidden="1" outlineLevel="1">
      <c r="A497" t="s">
        <v>73</v>
      </c>
      <c r="B497" s="27" t="str">
        <f t="shared" si="32"/>
        <v/>
      </c>
      <c r="C497" s="27" t="str">
        <f t="shared" si="32"/>
        <v/>
      </c>
      <c r="D497" s="27" t="str">
        <f t="shared" si="32"/>
        <v/>
      </c>
      <c r="E497" s="27" t="str">
        <f t="shared" si="32"/>
        <v/>
      </c>
      <c r="F497" s="27" t="str">
        <f t="shared" si="32"/>
        <v/>
      </c>
      <c r="G497" s="27" t="str">
        <f t="shared" si="32"/>
        <v/>
      </c>
      <c r="H497" s="27" t="str">
        <f t="shared" si="32"/>
        <v/>
      </c>
    </row>
    <row r="498" spans="1:8" hidden="1" outlineLevel="1">
      <c r="A498" t="s">
        <v>74</v>
      </c>
      <c r="B498" s="27" t="str">
        <f t="shared" si="32"/>
        <v/>
      </c>
      <c r="C498" s="27" t="str">
        <f t="shared" si="32"/>
        <v/>
      </c>
      <c r="D498" s="27" t="str">
        <f t="shared" si="32"/>
        <v/>
      </c>
      <c r="E498" s="27" t="str">
        <f t="shared" si="32"/>
        <v/>
      </c>
      <c r="F498" s="27" t="str">
        <f t="shared" si="32"/>
        <v/>
      </c>
      <c r="G498" s="27" t="str">
        <f t="shared" si="32"/>
        <v/>
      </c>
      <c r="H498" s="27" t="str">
        <f t="shared" si="32"/>
        <v/>
      </c>
    </row>
    <row r="499" spans="1:8" hidden="1" outlineLevel="1">
      <c r="A499" t="s">
        <v>75</v>
      </c>
      <c r="B499" s="27" t="str">
        <f t="shared" si="32"/>
        <v/>
      </c>
      <c r="C499" s="27" t="str">
        <f t="shared" si="32"/>
        <v/>
      </c>
      <c r="D499" s="27" t="str">
        <f t="shared" si="32"/>
        <v/>
      </c>
      <c r="E499" s="27" t="str">
        <f t="shared" si="32"/>
        <v/>
      </c>
      <c r="F499" s="27" t="str">
        <f t="shared" si="32"/>
        <v/>
      </c>
      <c r="G499" s="27" t="str">
        <f t="shared" si="32"/>
        <v/>
      </c>
      <c r="H499" s="27" t="str">
        <f t="shared" si="32"/>
        <v/>
      </c>
    </row>
    <row r="500" spans="1:8" hidden="1" outlineLevel="1">
      <c r="A500" t="s">
        <v>76</v>
      </c>
      <c r="B500" s="27" t="str">
        <f t="shared" si="32"/>
        <v/>
      </c>
      <c r="C500" s="27" t="str">
        <f t="shared" si="32"/>
        <v/>
      </c>
      <c r="D500" s="27" t="str">
        <f t="shared" si="32"/>
        <v/>
      </c>
      <c r="E500" s="27" t="str">
        <f t="shared" si="32"/>
        <v/>
      </c>
      <c r="F500" s="27" t="str">
        <f t="shared" si="32"/>
        <v/>
      </c>
      <c r="G500" s="27" t="str">
        <f t="shared" si="32"/>
        <v/>
      </c>
      <c r="H500" s="27" t="str">
        <f t="shared" si="32"/>
        <v/>
      </c>
    </row>
    <row r="501" spans="1:8" hidden="1" outlineLevel="1">
      <c r="A501" t="s">
        <v>77</v>
      </c>
      <c r="B501" s="27" t="str">
        <f t="shared" si="32"/>
        <v/>
      </c>
      <c r="C501" s="27" t="str">
        <f t="shared" si="32"/>
        <v/>
      </c>
      <c r="D501" s="27" t="str">
        <f t="shared" si="32"/>
        <v/>
      </c>
      <c r="E501" s="27" t="str">
        <f t="shared" si="32"/>
        <v/>
      </c>
      <c r="F501" s="27" t="str">
        <f t="shared" si="32"/>
        <v/>
      </c>
      <c r="G501" s="27" t="str">
        <f t="shared" si="32"/>
        <v/>
      </c>
      <c r="H501" s="27" t="str">
        <f t="shared" si="32"/>
        <v/>
      </c>
    </row>
    <row r="502" spans="1:8" hidden="1" outlineLevel="1">
      <c r="A502" t="s">
        <v>78</v>
      </c>
      <c r="B502" s="27" t="str">
        <f t="shared" si="32"/>
        <v/>
      </c>
      <c r="C502" s="27" t="str">
        <f t="shared" si="32"/>
        <v/>
      </c>
      <c r="D502" s="27" t="str">
        <f t="shared" si="32"/>
        <v/>
      </c>
      <c r="E502" s="27" t="str">
        <f t="shared" si="32"/>
        <v/>
      </c>
      <c r="F502" s="27" t="str">
        <f t="shared" si="32"/>
        <v/>
      </c>
      <c r="G502" s="27" t="str">
        <f t="shared" si="32"/>
        <v/>
      </c>
      <c r="H502" s="27" t="str">
        <f t="shared" si="32"/>
        <v/>
      </c>
    </row>
    <row r="503" spans="1:8" hidden="1" outlineLevel="1">
      <c r="A503" t="s">
        <v>79</v>
      </c>
      <c r="B503" s="27" t="str">
        <f t="shared" si="32"/>
        <v/>
      </c>
      <c r="C503" s="27" t="str">
        <f t="shared" si="32"/>
        <v/>
      </c>
      <c r="D503" s="27" t="str">
        <f t="shared" si="32"/>
        <v/>
      </c>
      <c r="E503" s="27" t="str">
        <f t="shared" si="32"/>
        <v/>
      </c>
      <c r="F503" s="27" t="str">
        <f t="shared" si="32"/>
        <v/>
      </c>
      <c r="G503" s="27" t="str">
        <f t="shared" si="32"/>
        <v/>
      </c>
      <c r="H503" s="27" t="str">
        <f t="shared" si="32"/>
        <v/>
      </c>
    </row>
    <row r="504" spans="1:8" hidden="1" outlineLevel="1">
      <c r="A504" t="s">
        <v>80</v>
      </c>
      <c r="B504" s="27" t="str">
        <f t="shared" ref="B504:H513" si="33">IF(SUM(B75,B218)=0,"",SUM(B218)/SUM(B75,B218))</f>
        <v/>
      </c>
      <c r="C504" s="27" t="str">
        <f t="shared" si="33"/>
        <v/>
      </c>
      <c r="D504" s="27" t="str">
        <f t="shared" si="33"/>
        <v/>
      </c>
      <c r="E504" s="27" t="str">
        <f t="shared" si="33"/>
        <v/>
      </c>
      <c r="F504" s="27" t="str">
        <f t="shared" si="33"/>
        <v/>
      </c>
      <c r="G504" s="27" t="str">
        <f t="shared" si="33"/>
        <v/>
      </c>
      <c r="H504" s="27" t="str">
        <f t="shared" si="33"/>
        <v/>
      </c>
    </row>
    <row r="505" spans="1:8" hidden="1" outlineLevel="1">
      <c r="A505" t="s">
        <v>81</v>
      </c>
      <c r="B505" s="27" t="str">
        <f t="shared" si="33"/>
        <v/>
      </c>
      <c r="C505" s="27" t="str">
        <f t="shared" si="33"/>
        <v/>
      </c>
      <c r="D505" s="27" t="str">
        <f t="shared" si="33"/>
        <v/>
      </c>
      <c r="E505" s="27" t="str">
        <f t="shared" si="33"/>
        <v/>
      </c>
      <c r="F505" s="27" t="str">
        <f t="shared" si="33"/>
        <v/>
      </c>
      <c r="G505" s="27" t="str">
        <f t="shared" si="33"/>
        <v/>
      </c>
      <c r="H505" s="27" t="str">
        <f t="shared" si="33"/>
        <v/>
      </c>
    </row>
    <row r="506" spans="1:8" hidden="1" outlineLevel="1">
      <c r="A506" t="s">
        <v>82</v>
      </c>
      <c r="B506" s="27" t="str">
        <f t="shared" si="33"/>
        <v/>
      </c>
      <c r="C506" s="27" t="str">
        <f t="shared" si="33"/>
        <v/>
      </c>
      <c r="D506" s="27" t="str">
        <f t="shared" si="33"/>
        <v/>
      </c>
      <c r="E506" s="27" t="str">
        <f t="shared" si="33"/>
        <v/>
      </c>
      <c r="F506" s="27" t="str">
        <f t="shared" si="33"/>
        <v/>
      </c>
      <c r="G506" s="27" t="str">
        <f t="shared" si="33"/>
        <v/>
      </c>
      <c r="H506" s="27" t="str">
        <f t="shared" si="33"/>
        <v/>
      </c>
    </row>
    <row r="507" spans="1:8" hidden="1" outlineLevel="1">
      <c r="A507" t="s">
        <v>83</v>
      </c>
      <c r="B507" s="27" t="str">
        <f t="shared" si="33"/>
        <v/>
      </c>
      <c r="C507" s="27" t="str">
        <f t="shared" si="33"/>
        <v/>
      </c>
      <c r="D507" s="27" t="str">
        <f t="shared" si="33"/>
        <v/>
      </c>
      <c r="E507" s="27" t="str">
        <f t="shared" si="33"/>
        <v/>
      </c>
      <c r="F507" s="27" t="str">
        <f t="shared" si="33"/>
        <v/>
      </c>
      <c r="G507" s="27" t="str">
        <f t="shared" si="33"/>
        <v/>
      </c>
      <c r="H507" s="27" t="str">
        <f t="shared" si="33"/>
        <v/>
      </c>
    </row>
    <row r="508" spans="1:8" hidden="1" outlineLevel="1">
      <c r="A508" t="s">
        <v>84</v>
      </c>
      <c r="B508" s="27" t="str">
        <f t="shared" si="33"/>
        <v/>
      </c>
      <c r="C508" s="27" t="str">
        <f t="shared" si="33"/>
        <v/>
      </c>
      <c r="D508" s="27" t="str">
        <f t="shared" si="33"/>
        <v/>
      </c>
      <c r="E508" s="27" t="str">
        <f t="shared" si="33"/>
        <v/>
      </c>
      <c r="F508" s="27" t="str">
        <f t="shared" si="33"/>
        <v/>
      </c>
      <c r="G508" s="27" t="str">
        <f t="shared" si="33"/>
        <v/>
      </c>
      <c r="H508" s="27" t="str">
        <f t="shared" si="33"/>
        <v/>
      </c>
    </row>
    <row r="509" spans="1:8" hidden="1" outlineLevel="1">
      <c r="A509" t="s">
        <v>85</v>
      </c>
      <c r="B509" s="27" t="str">
        <f t="shared" si="33"/>
        <v/>
      </c>
      <c r="C509" s="27" t="str">
        <f t="shared" si="33"/>
        <v/>
      </c>
      <c r="D509" s="27" t="str">
        <f t="shared" si="33"/>
        <v/>
      </c>
      <c r="E509" s="27" t="str">
        <f t="shared" si="33"/>
        <v/>
      </c>
      <c r="F509" s="27" t="str">
        <f t="shared" si="33"/>
        <v/>
      </c>
      <c r="G509" s="27" t="str">
        <f t="shared" si="33"/>
        <v/>
      </c>
      <c r="H509" s="27" t="str">
        <f t="shared" si="33"/>
        <v/>
      </c>
    </row>
    <row r="510" spans="1:8" hidden="1" outlineLevel="1">
      <c r="A510" t="s">
        <v>86</v>
      </c>
      <c r="B510" s="27" t="str">
        <f t="shared" si="33"/>
        <v/>
      </c>
      <c r="C510" s="27" t="str">
        <f t="shared" si="33"/>
        <v/>
      </c>
      <c r="D510" s="27" t="str">
        <f t="shared" si="33"/>
        <v/>
      </c>
      <c r="E510" s="27" t="str">
        <f t="shared" si="33"/>
        <v/>
      </c>
      <c r="F510" s="27" t="str">
        <f t="shared" si="33"/>
        <v/>
      </c>
      <c r="G510" s="27" t="str">
        <f t="shared" si="33"/>
        <v/>
      </c>
      <c r="H510" s="27" t="str">
        <f t="shared" si="33"/>
        <v/>
      </c>
    </row>
    <row r="511" spans="1:8" hidden="1" outlineLevel="1">
      <c r="A511" t="s">
        <v>87</v>
      </c>
      <c r="B511" s="27" t="str">
        <f t="shared" si="33"/>
        <v/>
      </c>
      <c r="C511" s="27" t="str">
        <f t="shared" si="33"/>
        <v/>
      </c>
      <c r="D511" s="27" t="str">
        <f t="shared" si="33"/>
        <v/>
      </c>
      <c r="E511" s="27" t="str">
        <f t="shared" si="33"/>
        <v/>
      </c>
      <c r="F511" s="27" t="str">
        <f t="shared" si="33"/>
        <v/>
      </c>
      <c r="G511" s="27" t="str">
        <f t="shared" si="33"/>
        <v/>
      </c>
      <c r="H511" s="27" t="str">
        <f t="shared" si="33"/>
        <v/>
      </c>
    </row>
    <row r="512" spans="1:8" hidden="1" outlineLevel="1">
      <c r="A512" t="s">
        <v>88</v>
      </c>
      <c r="B512" s="27" t="str">
        <f t="shared" si="33"/>
        <v/>
      </c>
      <c r="C512" s="27" t="str">
        <f t="shared" si="33"/>
        <v/>
      </c>
      <c r="D512" s="27" t="str">
        <f t="shared" si="33"/>
        <v/>
      </c>
      <c r="E512" s="27" t="str">
        <f t="shared" si="33"/>
        <v/>
      </c>
      <c r="F512" s="27" t="str">
        <f t="shared" si="33"/>
        <v/>
      </c>
      <c r="G512" s="27" t="str">
        <f t="shared" si="33"/>
        <v/>
      </c>
      <c r="H512" s="27" t="str">
        <f t="shared" si="33"/>
        <v/>
      </c>
    </row>
    <row r="513" spans="1:8" hidden="1" outlineLevel="1">
      <c r="A513" t="s">
        <v>89</v>
      </c>
      <c r="B513" s="27" t="str">
        <f t="shared" si="33"/>
        <v/>
      </c>
      <c r="C513" s="27" t="str">
        <f t="shared" si="33"/>
        <v/>
      </c>
      <c r="D513" s="27" t="str">
        <f t="shared" si="33"/>
        <v/>
      </c>
      <c r="E513" s="27" t="str">
        <f t="shared" si="33"/>
        <v/>
      </c>
      <c r="F513" s="27" t="str">
        <f t="shared" si="33"/>
        <v/>
      </c>
      <c r="G513" s="27" t="str">
        <f t="shared" si="33"/>
        <v/>
      </c>
      <c r="H513" s="27" t="str">
        <f t="shared" si="33"/>
        <v/>
      </c>
    </row>
    <row r="514" spans="1:8" hidden="1" outlineLevel="1">
      <c r="A514" t="s">
        <v>90</v>
      </c>
      <c r="B514" s="27" t="str">
        <f t="shared" ref="B514:H523" si="34">IF(SUM(B85,B228)=0,"",SUM(B228)/SUM(B85,B228))</f>
        <v/>
      </c>
      <c r="C514" s="27" t="str">
        <f t="shared" si="34"/>
        <v/>
      </c>
      <c r="D514" s="27" t="str">
        <f t="shared" si="34"/>
        <v/>
      </c>
      <c r="E514" s="27" t="str">
        <f t="shared" si="34"/>
        <v/>
      </c>
      <c r="F514" s="27" t="str">
        <f t="shared" si="34"/>
        <v/>
      </c>
      <c r="G514" s="27" t="str">
        <f t="shared" si="34"/>
        <v/>
      </c>
      <c r="H514" s="27" t="str">
        <f t="shared" si="34"/>
        <v/>
      </c>
    </row>
    <row r="515" spans="1:8" hidden="1" outlineLevel="1">
      <c r="A515" t="s">
        <v>91</v>
      </c>
      <c r="B515" s="27" t="str">
        <f t="shared" si="34"/>
        <v/>
      </c>
      <c r="C515" s="27" t="str">
        <f t="shared" si="34"/>
        <v/>
      </c>
      <c r="D515" s="27" t="str">
        <f t="shared" si="34"/>
        <v/>
      </c>
      <c r="E515" s="27" t="str">
        <f t="shared" si="34"/>
        <v/>
      </c>
      <c r="F515" s="27" t="str">
        <f t="shared" si="34"/>
        <v/>
      </c>
      <c r="G515" s="27" t="str">
        <f t="shared" si="34"/>
        <v/>
      </c>
      <c r="H515" s="27" t="str">
        <f t="shared" si="34"/>
        <v/>
      </c>
    </row>
    <row r="516" spans="1:8" hidden="1" outlineLevel="1">
      <c r="A516" t="s">
        <v>92</v>
      </c>
      <c r="B516" s="27" t="str">
        <f t="shared" si="34"/>
        <v/>
      </c>
      <c r="C516" s="27" t="str">
        <f t="shared" si="34"/>
        <v/>
      </c>
      <c r="D516" s="27" t="str">
        <f t="shared" si="34"/>
        <v/>
      </c>
      <c r="E516" s="27" t="str">
        <f t="shared" si="34"/>
        <v/>
      </c>
      <c r="F516" s="27" t="str">
        <f t="shared" si="34"/>
        <v/>
      </c>
      <c r="G516" s="27" t="str">
        <f t="shared" si="34"/>
        <v/>
      </c>
      <c r="H516" s="27" t="str">
        <f t="shared" si="34"/>
        <v/>
      </c>
    </row>
    <row r="517" spans="1:8" hidden="1" outlineLevel="1">
      <c r="A517" t="s">
        <v>93</v>
      </c>
      <c r="B517" s="27" t="str">
        <f t="shared" si="34"/>
        <v/>
      </c>
      <c r="C517" s="27" t="str">
        <f t="shared" si="34"/>
        <v/>
      </c>
      <c r="D517" s="27" t="str">
        <f t="shared" si="34"/>
        <v/>
      </c>
      <c r="E517" s="27" t="str">
        <f t="shared" si="34"/>
        <v/>
      </c>
      <c r="F517" s="27" t="str">
        <f t="shared" si="34"/>
        <v/>
      </c>
      <c r="G517" s="27" t="str">
        <f t="shared" si="34"/>
        <v/>
      </c>
      <c r="H517" s="27" t="str">
        <f t="shared" si="34"/>
        <v/>
      </c>
    </row>
    <row r="518" spans="1:8" hidden="1" outlineLevel="1">
      <c r="A518" t="s">
        <v>94</v>
      </c>
      <c r="B518" s="27" t="str">
        <f t="shared" si="34"/>
        <v/>
      </c>
      <c r="C518" s="27" t="str">
        <f t="shared" si="34"/>
        <v/>
      </c>
      <c r="D518" s="27" t="str">
        <f t="shared" si="34"/>
        <v/>
      </c>
      <c r="E518" s="27" t="str">
        <f t="shared" si="34"/>
        <v/>
      </c>
      <c r="F518" s="27" t="str">
        <f t="shared" si="34"/>
        <v/>
      </c>
      <c r="G518" s="27" t="str">
        <f t="shared" si="34"/>
        <v/>
      </c>
      <c r="H518" s="27" t="str">
        <f t="shared" si="34"/>
        <v/>
      </c>
    </row>
    <row r="519" spans="1:8" hidden="1" outlineLevel="1">
      <c r="A519" t="s">
        <v>95</v>
      </c>
      <c r="B519" s="27" t="str">
        <f t="shared" si="34"/>
        <v/>
      </c>
      <c r="C519" s="27" t="str">
        <f t="shared" si="34"/>
        <v/>
      </c>
      <c r="D519" s="27" t="str">
        <f t="shared" si="34"/>
        <v/>
      </c>
      <c r="E519" s="27" t="str">
        <f t="shared" si="34"/>
        <v/>
      </c>
      <c r="F519" s="27" t="str">
        <f t="shared" si="34"/>
        <v/>
      </c>
      <c r="G519" s="27" t="str">
        <f t="shared" si="34"/>
        <v/>
      </c>
      <c r="H519" s="27" t="str">
        <f t="shared" si="34"/>
        <v/>
      </c>
    </row>
    <row r="520" spans="1:8" hidden="1" outlineLevel="1">
      <c r="A520" t="s">
        <v>96</v>
      </c>
      <c r="B520" s="27" t="str">
        <f t="shared" si="34"/>
        <v/>
      </c>
      <c r="C520" s="27" t="str">
        <f t="shared" si="34"/>
        <v/>
      </c>
      <c r="D520" s="27" t="str">
        <f t="shared" si="34"/>
        <v/>
      </c>
      <c r="E520" s="27" t="str">
        <f t="shared" si="34"/>
        <v/>
      </c>
      <c r="F520" s="27" t="str">
        <f t="shared" si="34"/>
        <v/>
      </c>
      <c r="G520" s="27" t="str">
        <f t="shared" si="34"/>
        <v/>
      </c>
      <c r="H520" s="27" t="str">
        <f t="shared" si="34"/>
        <v/>
      </c>
    </row>
    <row r="521" spans="1:8" hidden="1" outlineLevel="1">
      <c r="A521" t="s">
        <v>97</v>
      </c>
      <c r="B521" s="27" t="str">
        <f t="shared" si="34"/>
        <v/>
      </c>
      <c r="C521" s="27" t="str">
        <f t="shared" si="34"/>
        <v/>
      </c>
      <c r="D521" s="27" t="str">
        <f t="shared" si="34"/>
        <v/>
      </c>
      <c r="E521" s="27" t="str">
        <f t="shared" si="34"/>
        <v/>
      </c>
      <c r="F521" s="27" t="str">
        <f t="shared" si="34"/>
        <v/>
      </c>
      <c r="G521" s="27" t="str">
        <f t="shared" si="34"/>
        <v/>
      </c>
      <c r="H521" s="27" t="str">
        <f t="shared" si="34"/>
        <v/>
      </c>
    </row>
    <row r="522" spans="1:8" hidden="1" outlineLevel="1">
      <c r="A522" t="s">
        <v>98</v>
      </c>
      <c r="B522" s="27" t="str">
        <f t="shared" si="34"/>
        <v/>
      </c>
      <c r="C522" s="27" t="str">
        <f t="shared" si="34"/>
        <v/>
      </c>
      <c r="D522" s="27" t="str">
        <f t="shared" si="34"/>
        <v/>
      </c>
      <c r="E522" s="27" t="str">
        <f t="shared" si="34"/>
        <v/>
      </c>
      <c r="F522" s="27" t="str">
        <f t="shared" si="34"/>
        <v/>
      </c>
      <c r="G522" s="27" t="str">
        <f t="shared" si="34"/>
        <v/>
      </c>
      <c r="H522" s="27" t="str">
        <f t="shared" si="34"/>
        <v/>
      </c>
    </row>
    <row r="523" spans="1:8" hidden="1" outlineLevel="1">
      <c r="A523" t="s">
        <v>99</v>
      </c>
      <c r="B523" s="27" t="str">
        <f t="shared" si="34"/>
        <v/>
      </c>
      <c r="C523" s="27" t="str">
        <f t="shared" si="34"/>
        <v/>
      </c>
      <c r="D523" s="27" t="str">
        <f t="shared" si="34"/>
        <v/>
      </c>
      <c r="E523" s="27" t="str">
        <f t="shared" si="34"/>
        <v/>
      </c>
      <c r="F523" s="27" t="str">
        <f t="shared" si="34"/>
        <v/>
      </c>
      <c r="G523" s="27" t="str">
        <f t="shared" si="34"/>
        <v/>
      </c>
      <c r="H523" s="27" t="str">
        <f t="shared" si="34"/>
        <v/>
      </c>
    </row>
    <row r="524" spans="1:8" hidden="1" outlineLevel="1">
      <c r="A524" t="s">
        <v>100</v>
      </c>
      <c r="B524" s="27" t="str">
        <f t="shared" ref="B524:H533" si="35">IF(SUM(B95,B238)=0,"",SUM(B238)/SUM(B95,B238))</f>
        <v/>
      </c>
      <c r="C524" s="27" t="str">
        <f t="shared" si="35"/>
        <v/>
      </c>
      <c r="D524" s="27" t="str">
        <f t="shared" si="35"/>
        <v/>
      </c>
      <c r="E524" s="27" t="str">
        <f t="shared" si="35"/>
        <v/>
      </c>
      <c r="F524" s="27" t="str">
        <f t="shared" si="35"/>
        <v/>
      </c>
      <c r="G524" s="27" t="str">
        <f t="shared" si="35"/>
        <v/>
      </c>
      <c r="H524" s="27" t="str">
        <f t="shared" si="35"/>
        <v/>
      </c>
    </row>
    <row r="525" spans="1:8" hidden="1" outlineLevel="1">
      <c r="A525" t="s">
        <v>101</v>
      </c>
      <c r="B525" s="27" t="str">
        <f t="shared" si="35"/>
        <v/>
      </c>
      <c r="C525" s="27" t="str">
        <f t="shared" si="35"/>
        <v/>
      </c>
      <c r="D525" s="27" t="str">
        <f t="shared" si="35"/>
        <v/>
      </c>
      <c r="E525" s="27" t="str">
        <f t="shared" si="35"/>
        <v/>
      </c>
      <c r="F525" s="27" t="str">
        <f t="shared" si="35"/>
        <v/>
      </c>
      <c r="G525" s="27" t="str">
        <f t="shared" si="35"/>
        <v/>
      </c>
      <c r="H525" s="27" t="str">
        <f t="shared" si="35"/>
        <v/>
      </c>
    </row>
    <row r="526" spans="1:8" hidden="1" outlineLevel="1">
      <c r="A526" t="s">
        <v>102</v>
      </c>
      <c r="B526" s="27" t="str">
        <f t="shared" si="35"/>
        <v/>
      </c>
      <c r="C526" s="27" t="str">
        <f t="shared" si="35"/>
        <v/>
      </c>
      <c r="D526" s="27" t="str">
        <f t="shared" si="35"/>
        <v/>
      </c>
      <c r="E526" s="27" t="str">
        <f t="shared" si="35"/>
        <v/>
      </c>
      <c r="F526" s="27" t="str">
        <f t="shared" si="35"/>
        <v/>
      </c>
      <c r="G526" s="27" t="str">
        <f t="shared" si="35"/>
        <v/>
      </c>
      <c r="H526" s="27" t="str">
        <f t="shared" si="35"/>
        <v/>
      </c>
    </row>
    <row r="527" spans="1:8" hidden="1" outlineLevel="1">
      <c r="A527" t="s">
        <v>103</v>
      </c>
      <c r="B527" s="27" t="str">
        <f t="shared" si="35"/>
        <v/>
      </c>
      <c r="C527" s="27" t="str">
        <f t="shared" si="35"/>
        <v/>
      </c>
      <c r="D527" s="27" t="str">
        <f t="shared" si="35"/>
        <v/>
      </c>
      <c r="E527" s="27" t="str">
        <f t="shared" si="35"/>
        <v/>
      </c>
      <c r="F527" s="27" t="str">
        <f t="shared" si="35"/>
        <v/>
      </c>
      <c r="G527" s="27" t="str">
        <f t="shared" si="35"/>
        <v/>
      </c>
      <c r="H527" s="27" t="str">
        <f t="shared" si="35"/>
        <v/>
      </c>
    </row>
    <row r="528" spans="1:8" hidden="1" outlineLevel="1">
      <c r="A528" t="s">
        <v>104</v>
      </c>
      <c r="B528" s="27" t="str">
        <f t="shared" si="35"/>
        <v/>
      </c>
      <c r="C528" s="27" t="str">
        <f t="shared" si="35"/>
        <v/>
      </c>
      <c r="D528" s="27" t="str">
        <f t="shared" si="35"/>
        <v/>
      </c>
      <c r="E528" s="27" t="str">
        <f t="shared" si="35"/>
        <v/>
      </c>
      <c r="F528" s="27" t="str">
        <f t="shared" si="35"/>
        <v/>
      </c>
      <c r="G528" s="27" t="str">
        <f t="shared" si="35"/>
        <v/>
      </c>
      <c r="H528" s="27" t="str">
        <f t="shared" si="35"/>
        <v/>
      </c>
    </row>
    <row r="529" spans="1:8" hidden="1" outlineLevel="1">
      <c r="A529" t="s">
        <v>105</v>
      </c>
      <c r="B529" s="27" t="str">
        <f t="shared" si="35"/>
        <v/>
      </c>
      <c r="C529" s="27" t="str">
        <f t="shared" si="35"/>
        <v/>
      </c>
      <c r="D529" s="27" t="str">
        <f t="shared" si="35"/>
        <v/>
      </c>
      <c r="E529" s="27" t="str">
        <f t="shared" si="35"/>
        <v/>
      </c>
      <c r="F529" s="27" t="str">
        <f t="shared" si="35"/>
        <v/>
      </c>
      <c r="G529" s="27" t="str">
        <f t="shared" si="35"/>
        <v/>
      </c>
      <c r="H529" s="27" t="str">
        <f t="shared" si="35"/>
        <v/>
      </c>
    </row>
    <row r="530" spans="1:8" hidden="1" outlineLevel="1">
      <c r="A530" t="s">
        <v>106</v>
      </c>
      <c r="B530" s="27" t="str">
        <f t="shared" si="35"/>
        <v/>
      </c>
      <c r="C530" s="27" t="str">
        <f t="shared" si="35"/>
        <v/>
      </c>
      <c r="D530" s="27" t="str">
        <f t="shared" si="35"/>
        <v/>
      </c>
      <c r="E530" s="27" t="str">
        <f t="shared" si="35"/>
        <v/>
      </c>
      <c r="F530" s="27" t="str">
        <f t="shared" si="35"/>
        <v/>
      </c>
      <c r="G530" s="27" t="str">
        <f t="shared" si="35"/>
        <v/>
      </c>
      <c r="H530" s="27" t="str">
        <f t="shared" si="35"/>
        <v/>
      </c>
    </row>
    <row r="531" spans="1:8" hidden="1" outlineLevel="1">
      <c r="A531" t="s">
        <v>107</v>
      </c>
      <c r="B531" s="27" t="str">
        <f t="shared" si="35"/>
        <v/>
      </c>
      <c r="C531" s="27" t="str">
        <f t="shared" si="35"/>
        <v/>
      </c>
      <c r="D531" s="27" t="str">
        <f t="shared" si="35"/>
        <v/>
      </c>
      <c r="E531" s="27" t="str">
        <f t="shared" si="35"/>
        <v/>
      </c>
      <c r="F531" s="27" t="str">
        <f t="shared" si="35"/>
        <v/>
      </c>
      <c r="G531" s="27" t="str">
        <f t="shared" si="35"/>
        <v/>
      </c>
      <c r="H531" s="27" t="str">
        <f t="shared" si="35"/>
        <v/>
      </c>
    </row>
    <row r="532" spans="1:8" hidden="1" outlineLevel="1">
      <c r="A532" t="s">
        <v>108</v>
      </c>
      <c r="B532" s="27" t="str">
        <f t="shared" si="35"/>
        <v/>
      </c>
      <c r="C532" s="27" t="str">
        <f t="shared" si="35"/>
        <v/>
      </c>
      <c r="D532" s="27" t="str">
        <f t="shared" si="35"/>
        <v/>
      </c>
      <c r="E532" s="27" t="str">
        <f t="shared" si="35"/>
        <v/>
      </c>
      <c r="F532" s="27" t="str">
        <f t="shared" si="35"/>
        <v/>
      </c>
      <c r="G532" s="27" t="str">
        <f t="shared" si="35"/>
        <v/>
      </c>
      <c r="H532" s="27" t="str">
        <f t="shared" si="35"/>
        <v/>
      </c>
    </row>
    <row r="533" spans="1:8" hidden="1" outlineLevel="1">
      <c r="A533" t="s">
        <v>109</v>
      </c>
      <c r="B533" s="27" t="str">
        <f t="shared" si="35"/>
        <v/>
      </c>
      <c r="C533" s="27" t="str">
        <f t="shared" si="35"/>
        <v/>
      </c>
      <c r="D533" s="27" t="str">
        <f t="shared" si="35"/>
        <v/>
      </c>
      <c r="E533" s="27" t="str">
        <f t="shared" si="35"/>
        <v/>
      </c>
      <c r="F533" s="27" t="str">
        <f t="shared" si="35"/>
        <v/>
      </c>
      <c r="G533" s="27" t="str">
        <f t="shared" si="35"/>
        <v/>
      </c>
      <c r="H533" s="27" t="str">
        <f t="shared" si="35"/>
        <v/>
      </c>
    </row>
    <row r="534" spans="1:8" hidden="1" outlineLevel="1">
      <c r="A534" t="s">
        <v>110</v>
      </c>
      <c r="B534" s="27" t="str">
        <f t="shared" ref="B534:H543" si="36">IF(SUM(B105,B248)=0,"",SUM(B248)/SUM(B105,B248))</f>
        <v/>
      </c>
      <c r="C534" s="27" t="str">
        <f t="shared" si="36"/>
        <v/>
      </c>
      <c r="D534" s="27" t="str">
        <f t="shared" si="36"/>
        <v/>
      </c>
      <c r="E534" s="27" t="str">
        <f t="shared" si="36"/>
        <v/>
      </c>
      <c r="F534" s="27" t="str">
        <f t="shared" si="36"/>
        <v/>
      </c>
      <c r="G534" s="27" t="str">
        <f t="shared" si="36"/>
        <v/>
      </c>
      <c r="H534" s="27" t="str">
        <f t="shared" si="36"/>
        <v/>
      </c>
    </row>
    <row r="535" spans="1:8" hidden="1" outlineLevel="1">
      <c r="A535" t="s">
        <v>111</v>
      </c>
      <c r="B535" s="27" t="str">
        <f t="shared" si="36"/>
        <v/>
      </c>
      <c r="C535" s="27" t="str">
        <f t="shared" si="36"/>
        <v/>
      </c>
      <c r="D535" s="27" t="str">
        <f t="shared" si="36"/>
        <v/>
      </c>
      <c r="E535" s="27" t="str">
        <f t="shared" si="36"/>
        <v/>
      </c>
      <c r="F535" s="27" t="str">
        <f t="shared" si="36"/>
        <v/>
      </c>
      <c r="G535" s="27" t="str">
        <f t="shared" si="36"/>
        <v/>
      </c>
      <c r="H535" s="27" t="str">
        <f t="shared" si="36"/>
        <v/>
      </c>
    </row>
    <row r="536" spans="1:8" hidden="1" outlineLevel="1">
      <c r="A536" t="s">
        <v>112</v>
      </c>
      <c r="B536" s="27" t="str">
        <f t="shared" si="36"/>
        <v/>
      </c>
      <c r="C536" s="27" t="str">
        <f t="shared" si="36"/>
        <v/>
      </c>
      <c r="D536" s="27" t="str">
        <f t="shared" si="36"/>
        <v/>
      </c>
      <c r="E536" s="27" t="str">
        <f t="shared" si="36"/>
        <v/>
      </c>
      <c r="F536" s="27" t="str">
        <f t="shared" si="36"/>
        <v/>
      </c>
      <c r="G536" s="27" t="str">
        <f t="shared" si="36"/>
        <v/>
      </c>
      <c r="H536" s="27" t="str">
        <f t="shared" si="36"/>
        <v/>
      </c>
    </row>
    <row r="537" spans="1:8" hidden="1" outlineLevel="1">
      <c r="A537" t="s">
        <v>113</v>
      </c>
      <c r="B537" s="27" t="str">
        <f t="shared" si="36"/>
        <v/>
      </c>
      <c r="C537" s="27" t="str">
        <f t="shared" si="36"/>
        <v/>
      </c>
      <c r="D537" s="27" t="str">
        <f t="shared" si="36"/>
        <v/>
      </c>
      <c r="E537" s="27" t="str">
        <f t="shared" si="36"/>
        <v/>
      </c>
      <c r="F537" s="27" t="str">
        <f t="shared" si="36"/>
        <v/>
      </c>
      <c r="G537" s="27" t="str">
        <f t="shared" si="36"/>
        <v/>
      </c>
      <c r="H537" s="27" t="str">
        <f t="shared" si="36"/>
        <v/>
      </c>
    </row>
    <row r="538" spans="1:8" hidden="1" outlineLevel="1">
      <c r="A538" t="s">
        <v>114</v>
      </c>
      <c r="B538" s="27" t="str">
        <f t="shared" si="36"/>
        <v/>
      </c>
      <c r="C538" s="27" t="str">
        <f t="shared" si="36"/>
        <v/>
      </c>
      <c r="D538" s="27" t="str">
        <f t="shared" si="36"/>
        <v/>
      </c>
      <c r="E538" s="27" t="str">
        <f t="shared" si="36"/>
        <v/>
      </c>
      <c r="F538" s="27" t="str">
        <f t="shared" si="36"/>
        <v/>
      </c>
      <c r="G538" s="27" t="str">
        <f t="shared" si="36"/>
        <v/>
      </c>
      <c r="H538" s="27" t="str">
        <f t="shared" si="36"/>
        <v/>
      </c>
    </row>
    <row r="539" spans="1:8" hidden="1" outlineLevel="1">
      <c r="A539" t="s">
        <v>115</v>
      </c>
      <c r="B539" s="27" t="str">
        <f t="shared" si="36"/>
        <v/>
      </c>
      <c r="C539" s="27" t="str">
        <f t="shared" si="36"/>
        <v/>
      </c>
      <c r="D539" s="27" t="str">
        <f t="shared" si="36"/>
        <v/>
      </c>
      <c r="E539" s="27" t="str">
        <f t="shared" si="36"/>
        <v/>
      </c>
      <c r="F539" s="27" t="str">
        <f t="shared" si="36"/>
        <v/>
      </c>
      <c r="G539" s="27" t="str">
        <f t="shared" si="36"/>
        <v/>
      </c>
      <c r="H539" s="27" t="str">
        <f t="shared" si="36"/>
        <v/>
      </c>
    </row>
    <row r="540" spans="1:8" hidden="1" outlineLevel="1">
      <c r="A540" t="s">
        <v>116</v>
      </c>
      <c r="B540" s="27" t="str">
        <f t="shared" si="36"/>
        <v/>
      </c>
      <c r="C540" s="27" t="str">
        <f t="shared" si="36"/>
        <v/>
      </c>
      <c r="D540" s="27" t="str">
        <f t="shared" si="36"/>
        <v/>
      </c>
      <c r="E540" s="27" t="str">
        <f t="shared" si="36"/>
        <v/>
      </c>
      <c r="F540" s="27" t="str">
        <f t="shared" si="36"/>
        <v/>
      </c>
      <c r="G540" s="27" t="str">
        <f t="shared" si="36"/>
        <v/>
      </c>
      <c r="H540" s="27" t="str">
        <f t="shared" si="36"/>
        <v/>
      </c>
    </row>
    <row r="541" spans="1:8" hidden="1" outlineLevel="1">
      <c r="A541" t="s">
        <v>117</v>
      </c>
      <c r="B541" s="27" t="str">
        <f t="shared" si="36"/>
        <v/>
      </c>
      <c r="C541" s="27" t="str">
        <f t="shared" si="36"/>
        <v/>
      </c>
      <c r="D541" s="27" t="str">
        <f t="shared" si="36"/>
        <v/>
      </c>
      <c r="E541" s="27" t="str">
        <f t="shared" si="36"/>
        <v/>
      </c>
      <c r="F541" s="27" t="str">
        <f t="shared" si="36"/>
        <v/>
      </c>
      <c r="G541" s="27" t="str">
        <f t="shared" si="36"/>
        <v/>
      </c>
      <c r="H541" s="27" t="str">
        <f t="shared" si="36"/>
        <v/>
      </c>
    </row>
    <row r="542" spans="1:8" hidden="1" outlineLevel="1">
      <c r="A542" t="s">
        <v>118</v>
      </c>
      <c r="B542" s="27" t="str">
        <f t="shared" si="36"/>
        <v/>
      </c>
      <c r="C542" s="27" t="str">
        <f t="shared" si="36"/>
        <v/>
      </c>
      <c r="D542" s="27" t="str">
        <f t="shared" si="36"/>
        <v/>
      </c>
      <c r="E542" s="27" t="str">
        <f t="shared" si="36"/>
        <v/>
      </c>
      <c r="F542" s="27" t="str">
        <f t="shared" si="36"/>
        <v/>
      </c>
      <c r="G542" s="27" t="str">
        <f t="shared" si="36"/>
        <v/>
      </c>
      <c r="H542" s="27" t="str">
        <f t="shared" si="36"/>
        <v/>
      </c>
    </row>
    <row r="543" spans="1:8" hidden="1" outlineLevel="1">
      <c r="A543" t="s">
        <v>119</v>
      </c>
      <c r="B543" s="27" t="str">
        <f t="shared" si="36"/>
        <v/>
      </c>
      <c r="C543" s="27" t="str">
        <f t="shared" si="36"/>
        <v/>
      </c>
      <c r="D543" s="27" t="str">
        <f t="shared" si="36"/>
        <v/>
      </c>
      <c r="E543" s="27" t="str">
        <f t="shared" si="36"/>
        <v/>
      </c>
      <c r="F543" s="27" t="str">
        <f t="shared" si="36"/>
        <v/>
      </c>
      <c r="G543" s="27" t="str">
        <f t="shared" si="36"/>
        <v/>
      </c>
      <c r="H543" s="27" t="str">
        <f t="shared" si="36"/>
        <v/>
      </c>
    </row>
    <row r="544" spans="1:8" hidden="1" outlineLevel="1">
      <c r="A544" t="s">
        <v>120</v>
      </c>
      <c r="B544" s="27" t="str">
        <f t="shared" ref="B544:H553" si="37">IF(SUM(B115,B258)=0,"",SUM(B258)/SUM(B115,B258))</f>
        <v/>
      </c>
      <c r="C544" s="27" t="str">
        <f t="shared" si="37"/>
        <v/>
      </c>
      <c r="D544" s="27" t="str">
        <f t="shared" si="37"/>
        <v/>
      </c>
      <c r="E544" s="27" t="str">
        <f t="shared" si="37"/>
        <v/>
      </c>
      <c r="F544" s="27" t="str">
        <f t="shared" si="37"/>
        <v/>
      </c>
      <c r="G544" s="27" t="str">
        <f t="shared" si="37"/>
        <v/>
      </c>
      <c r="H544" s="27" t="str">
        <f t="shared" si="37"/>
        <v/>
      </c>
    </row>
    <row r="545" spans="1:8" hidden="1" outlineLevel="1">
      <c r="A545" t="s">
        <v>121</v>
      </c>
      <c r="B545" s="27" t="str">
        <f t="shared" si="37"/>
        <v/>
      </c>
      <c r="C545" s="27" t="str">
        <f t="shared" si="37"/>
        <v/>
      </c>
      <c r="D545" s="27" t="str">
        <f t="shared" si="37"/>
        <v/>
      </c>
      <c r="E545" s="27" t="str">
        <f t="shared" si="37"/>
        <v/>
      </c>
      <c r="F545" s="27" t="str">
        <f t="shared" si="37"/>
        <v/>
      </c>
      <c r="G545" s="27" t="str">
        <f t="shared" si="37"/>
        <v/>
      </c>
      <c r="H545" s="27" t="str">
        <f t="shared" si="37"/>
        <v/>
      </c>
    </row>
    <row r="546" spans="1:8" hidden="1" outlineLevel="1">
      <c r="A546" t="s">
        <v>122</v>
      </c>
      <c r="B546" s="27" t="str">
        <f t="shared" si="37"/>
        <v/>
      </c>
      <c r="C546" s="27" t="str">
        <f t="shared" si="37"/>
        <v/>
      </c>
      <c r="D546" s="27" t="str">
        <f t="shared" si="37"/>
        <v/>
      </c>
      <c r="E546" s="27" t="str">
        <f t="shared" si="37"/>
        <v/>
      </c>
      <c r="F546" s="27" t="str">
        <f t="shared" si="37"/>
        <v/>
      </c>
      <c r="G546" s="27" t="str">
        <f t="shared" si="37"/>
        <v/>
      </c>
      <c r="H546" s="27" t="str">
        <f t="shared" si="37"/>
        <v/>
      </c>
    </row>
    <row r="547" spans="1:8" hidden="1" outlineLevel="1">
      <c r="A547" t="s">
        <v>123</v>
      </c>
      <c r="B547" s="27" t="str">
        <f t="shared" si="37"/>
        <v/>
      </c>
      <c r="C547" s="27" t="str">
        <f t="shared" si="37"/>
        <v/>
      </c>
      <c r="D547" s="27" t="str">
        <f t="shared" si="37"/>
        <v/>
      </c>
      <c r="E547" s="27" t="str">
        <f t="shared" si="37"/>
        <v/>
      </c>
      <c r="F547" s="27" t="str">
        <f t="shared" si="37"/>
        <v/>
      </c>
      <c r="G547" s="27" t="str">
        <f t="shared" si="37"/>
        <v/>
      </c>
      <c r="H547" s="27" t="str">
        <f t="shared" si="37"/>
        <v/>
      </c>
    </row>
    <row r="548" spans="1:8" hidden="1" outlineLevel="1">
      <c r="A548" t="s">
        <v>124</v>
      </c>
      <c r="B548" s="27" t="str">
        <f t="shared" si="37"/>
        <v/>
      </c>
      <c r="C548" s="27" t="str">
        <f t="shared" si="37"/>
        <v/>
      </c>
      <c r="D548" s="27" t="str">
        <f t="shared" si="37"/>
        <v/>
      </c>
      <c r="E548" s="27" t="str">
        <f t="shared" si="37"/>
        <v/>
      </c>
      <c r="F548" s="27" t="str">
        <f t="shared" si="37"/>
        <v/>
      </c>
      <c r="G548" s="27" t="str">
        <f t="shared" si="37"/>
        <v/>
      </c>
      <c r="H548" s="27" t="str">
        <f t="shared" si="37"/>
        <v/>
      </c>
    </row>
    <row r="549" spans="1:8" hidden="1" outlineLevel="1">
      <c r="A549" t="s">
        <v>125</v>
      </c>
      <c r="B549" s="27" t="str">
        <f t="shared" si="37"/>
        <v/>
      </c>
      <c r="C549" s="27" t="str">
        <f t="shared" si="37"/>
        <v/>
      </c>
      <c r="D549" s="27" t="str">
        <f t="shared" si="37"/>
        <v/>
      </c>
      <c r="E549" s="27" t="str">
        <f t="shared" si="37"/>
        <v/>
      </c>
      <c r="F549" s="27" t="str">
        <f t="shared" si="37"/>
        <v/>
      </c>
      <c r="G549" s="27" t="str">
        <f t="shared" si="37"/>
        <v/>
      </c>
      <c r="H549" s="27" t="str">
        <f t="shared" si="37"/>
        <v/>
      </c>
    </row>
    <row r="550" spans="1:8" hidden="1" outlineLevel="1">
      <c r="A550" t="s">
        <v>126</v>
      </c>
      <c r="B550" s="27" t="str">
        <f t="shared" si="37"/>
        <v/>
      </c>
      <c r="C550" s="27" t="str">
        <f t="shared" si="37"/>
        <v/>
      </c>
      <c r="D550" s="27" t="str">
        <f t="shared" si="37"/>
        <v/>
      </c>
      <c r="E550" s="27" t="str">
        <f t="shared" si="37"/>
        <v/>
      </c>
      <c r="F550" s="27" t="str">
        <f t="shared" si="37"/>
        <v/>
      </c>
      <c r="G550" s="27" t="str">
        <f t="shared" si="37"/>
        <v/>
      </c>
      <c r="H550" s="27" t="str">
        <f t="shared" si="37"/>
        <v/>
      </c>
    </row>
    <row r="551" spans="1:8" hidden="1" outlineLevel="1">
      <c r="A551" t="s">
        <v>127</v>
      </c>
      <c r="B551" s="27" t="str">
        <f t="shared" si="37"/>
        <v/>
      </c>
      <c r="C551" s="27" t="str">
        <f t="shared" si="37"/>
        <v/>
      </c>
      <c r="D551" s="27" t="str">
        <f t="shared" si="37"/>
        <v/>
      </c>
      <c r="E551" s="27" t="str">
        <f t="shared" si="37"/>
        <v/>
      </c>
      <c r="F551" s="27" t="str">
        <f t="shared" si="37"/>
        <v/>
      </c>
      <c r="G551" s="27" t="str">
        <f t="shared" si="37"/>
        <v/>
      </c>
      <c r="H551" s="27" t="str">
        <f t="shared" si="37"/>
        <v/>
      </c>
    </row>
    <row r="552" spans="1:8" hidden="1" outlineLevel="1">
      <c r="A552" t="s">
        <v>128</v>
      </c>
      <c r="B552" s="27" t="str">
        <f t="shared" si="37"/>
        <v/>
      </c>
      <c r="C552" s="27" t="str">
        <f t="shared" si="37"/>
        <v/>
      </c>
      <c r="D552" s="27" t="str">
        <f t="shared" si="37"/>
        <v/>
      </c>
      <c r="E552" s="27" t="str">
        <f t="shared" si="37"/>
        <v/>
      </c>
      <c r="F552" s="27" t="str">
        <f t="shared" si="37"/>
        <v/>
      </c>
      <c r="G552" s="27" t="str">
        <f t="shared" si="37"/>
        <v/>
      </c>
      <c r="H552" s="27" t="str">
        <f t="shared" si="37"/>
        <v/>
      </c>
    </row>
    <row r="553" spans="1:8" hidden="1" outlineLevel="1">
      <c r="A553" t="s">
        <v>129</v>
      </c>
      <c r="B553" s="27" t="str">
        <f t="shared" si="37"/>
        <v/>
      </c>
      <c r="C553" s="27" t="str">
        <f t="shared" si="37"/>
        <v/>
      </c>
      <c r="D553" s="27" t="str">
        <f t="shared" si="37"/>
        <v/>
      </c>
      <c r="E553" s="27" t="str">
        <f t="shared" si="37"/>
        <v/>
      </c>
      <c r="F553" s="27" t="str">
        <f t="shared" si="37"/>
        <v/>
      </c>
      <c r="G553" s="27" t="str">
        <f t="shared" si="37"/>
        <v/>
      </c>
      <c r="H553" s="27" t="str">
        <f t="shared" si="37"/>
        <v/>
      </c>
    </row>
    <row r="554" spans="1:8" hidden="1" outlineLevel="1">
      <c r="A554" t="s">
        <v>130</v>
      </c>
      <c r="B554" s="27" t="str">
        <f t="shared" ref="B554:H563" si="38">IF(SUM(B125,B268)=0,"",SUM(B268)/SUM(B125,B268))</f>
        <v/>
      </c>
      <c r="C554" s="27" t="str">
        <f t="shared" si="38"/>
        <v/>
      </c>
      <c r="D554" s="27" t="str">
        <f t="shared" si="38"/>
        <v/>
      </c>
      <c r="E554" s="27" t="str">
        <f t="shared" si="38"/>
        <v/>
      </c>
      <c r="F554" s="27" t="str">
        <f t="shared" si="38"/>
        <v/>
      </c>
      <c r="G554" s="27" t="str">
        <f t="shared" si="38"/>
        <v/>
      </c>
      <c r="H554" s="27" t="str">
        <f t="shared" si="38"/>
        <v/>
      </c>
    </row>
    <row r="555" spans="1:8" hidden="1" outlineLevel="1">
      <c r="A555" t="s">
        <v>131</v>
      </c>
      <c r="B555" s="27" t="str">
        <f t="shared" si="38"/>
        <v/>
      </c>
      <c r="C555" s="27" t="str">
        <f t="shared" si="38"/>
        <v/>
      </c>
      <c r="D555" s="27" t="str">
        <f t="shared" si="38"/>
        <v/>
      </c>
      <c r="E555" s="27" t="str">
        <f t="shared" si="38"/>
        <v/>
      </c>
      <c r="F555" s="27" t="str">
        <f t="shared" si="38"/>
        <v/>
      </c>
      <c r="G555" s="27" t="str">
        <f t="shared" si="38"/>
        <v/>
      </c>
      <c r="H555" s="27" t="str">
        <f t="shared" si="38"/>
        <v/>
      </c>
    </row>
    <row r="556" spans="1:8" hidden="1" outlineLevel="1">
      <c r="A556" t="s">
        <v>132</v>
      </c>
      <c r="B556" s="27" t="str">
        <f t="shared" si="38"/>
        <v/>
      </c>
      <c r="C556" s="27" t="str">
        <f t="shared" si="38"/>
        <v/>
      </c>
      <c r="D556" s="27" t="str">
        <f t="shared" si="38"/>
        <v/>
      </c>
      <c r="E556" s="27" t="str">
        <f t="shared" si="38"/>
        <v/>
      </c>
      <c r="F556" s="27" t="str">
        <f t="shared" si="38"/>
        <v/>
      </c>
      <c r="G556" s="27" t="str">
        <f t="shared" si="38"/>
        <v/>
      </c>
      <c r="H556" s="27" t="str">
        <f t="shared" si="38"/>
        <v/>
      </c>
    </row>
    <row r="557" spans="1:8" hidden="1" outlineLevel="1">
      <c r="A557" t="s">
        <v>133</v>
      </c>
      <c r="B557" s="27" t="str">
        <f t="shared" si="38"/>
        <v/>
      </c>
      <c r="C557" s="27" t="str">
        <f t="shared" si="38"/>
        <v/>
      </c>
      <c r="D557" s="27" t="str">
        <f t="shared" si="38"/>
        <v/>
      </c>
      <c r="E557" s="27" t="str">
        <f t="shared" si="38"/>
        <v/>
      </c>
      <c r="F557" s="27" t="str">
        <f t="shared" si="38"/>
        <v/>
      </c>
      <c r="G557" s="27" t="str">
        <f t="shared" si="38"/>
        <v/>
      </c>
      <c r="H557" s="27" t="str">
        <f t="shared" si="38"/>
        <v/>
      </c>
    </row>
    <row r="558" spans="1:8" hidden="1" outlineLevel="1">
      <c r="A558" t="s">
        <v>134</v>
      </c>
      <c r="B558" s="27" t="str">
        <f t="shared" si="38"/>
        <v/>
      </c>
      <c r="C558" s="27" t="str">
        <f t="shared" si="38"/>
        <v/>
      </c>
      <c r="D558" s="27" t="str">
        <f t="shared" si="38"/>
        <v/>
      </c>
      <c r="E558" s="27" t="str">
        <f t="shared" si="38"/>
        <v/>
      </c>
      <c r="F558" s="27" t="str">
        <f t="shared" si="38"/>
        <v/>
      </c>
      <c r="G558" s="27" t="str">
        <f t="shared" si="38"/>
        <v/>
      </c>
      <c r="H558" s="27" t="str">
        <f t="shared" si="38"/>
        <v/>
      </c>
    </row>
    <row r="559" spans="1:8" hidden="1" outlineLevel="1">
      <c r="A559" t="s">
        <v>135</v>
      </c>
      <c r="B559" s="27" t="str">
        <f t="shared" si="38"/>
        <v/>
      </c>
      <c r="C559" s="27" t="str">
        <f t="shared" si="38"/>
        <v/>
      </c>
      <c r="D559" s="27" t="str">
        <f t="shared" si="38"/>
        <v/>
      </c>
      <c r="E559" s="27" t="str">
        <f t="shared" si="38"/>
        <v/>
      </c>
      <c r="F559" s="27" t="str">
        <f t="shared" si="38"/>
        <v/>
      </c>
      <c r="G559" s="27" t="str">
        <f t="shared" si="38"/>
        <v/>
      </c>
      <c r="H559" s="27" t="str">
        <f t="shared" si="38"/>
        <v/>
      </c>
    </row>
    <row r="560" spans="1:8" hidden="1" outlineLevel="1">
      <c r="A560" t="s">
        <v>136</v>
      </c>
      <c r="B560" s="27" t="str">
        <f t="shared" si="38"/>
        <v/>
      </c>
      <c r="C560" s="27" t="str">
        <f t="shared" si="38"/>
        <v/>
      </c>
      <c r="D560" s="27" t="str">
        <f t="shared" si="38"/>
        <v/>
      </c>
      <c r="E560" s="27" t="str">
        <f t="shared" si="38"/>
        <v/>
      </c>
      <c r="F560" s="27" t="str">
        <f t="shared" si="38"/>
        <v/>
      </c>
      <c r="G560" s="27" t="str">
        <f t="shared" si="38"/>
        <v/>
      </c>
      <c r="H560" s="27" t="str">
        <f t="shared" si="38"/>
        <v/>
      </c>
    </row>
    <row r="561" spans="1:8" hidden="1" outlineLevel="1">
      <c r="A561" t="s">
        <v>137</v>
      </c>
      <c r="B561" s="27" t="str">
        <f t="shared" si="38"/>
        <v/>
      </c>
      <c r="C561" s="27" t="str">
        <f t="shared" si="38"/>
        <v/>
      </c>
      <c r="D561" s="27" t="str">
        <f t="shared" si="38"/>
        <v/>
      </c>
      <c r="E561" s="27" t="str">
        <f t="shared" si="38"/>
        <v/>
      </c>
      <c r="F561" s="27" t="str">
        <f t="shared" si="38"/>
        <v/>
      </c>
      <c r="G561" s="27" t="str">
        <f t="shared" si="38"/>
        <v/>
      </c>
      <c r="H561" s="27" t="str">
        <f t="shared" si="38"/>
        <v/>
      </c>
    </row>
    <row r="562" spans="1:8" hidden="1" outlineLevel="1">
      <c r="A562" t="s">
        <v>138</v>
      </c>
      <c r="B562" s="27" t="str">
        <f t="shared" si="38"/>
        <v/>
      </c>
      <c r="C562" s="27" t="str">
        <f t="shared" si="38"/>
        <v/>
      </c>
      <c r="D562" s="27" t="str">
        <f t="shared" si="38"/>
        <v/>
      </c>
      <c r="E562" s="27" t="str">
        <f t="shared" si="38"/>
        <v/>
      </c>
      <c r="F562" s="27" t="str">
        <f t="shared" si="38"/>
        <v/>
      </c>
      <c r="G562" s="27" t="str">
        <f t="shared" si="38"/>
        <v/>
      </c>
      <c r="H562" s="27" t="str">
        <f t="shared" si="38"/>
        <v/>
      </c>
    </row>
    <row r="563" spans="1:8" hidden="1" outlineLevel="1">
      <c r="A563" t="s">
        <v>139</v>
      </c>
      <c r="B563" s="27" t="str">
        <f t="shared" si="38"/>
        <v/>
      </c>
      <c r="C563" s="27" t="str">
        <f t="shared" si="38"/>
        <v/>
      </c>
      <c r="D563" s="27" t="str">
        <f t="shared" si="38"/>
        <v/>
      </c>
      <c r="E563" s="27" t="str">
        <f t="shared" si="38"/>
        <v/>
      </c>
      <c r="F563" s="27" t="str">
        <f t="shared" si="38"/>
        <v/>
      </c>
      <c r="G563" s="27" t="str">
        <f t="shared" si="38"/>
        <v/>
      </c>
      <c r="H563" s="27" t="str">
        <f t="shared" si="38"/>
        <v/>
      </c>
    </row>
    <row r="564" spans="1:8" hidden="1" outlineLevel="1">
      <c r="A564" t="s">
        <v>140</v>
      </c>
      <c r="B564" s="27" t="str">
        <f t="shared" ref="B564:H573" si="39">IF(SUM(B135,B278)=0,"",SUM(B278)/SUM(B135,B278))</f>
        <v/>
      </c>
      <c r="C564" s="27" t="str">
        <f t="shared" si="39"/>
        <v/>
      </c>
      <c r="D564" s="27" t="str">
        <f t="shared" si="39"/>
        <v/>
      </c>
      <c r="E564" s="27" t="str">
        <f t="shared" si="39"/>
        <v/>
      </c>
      <c r="F564" s="27" t="str">
        <f t="shared" si="39"/>
        <v/>
      </c>
      <c r="G564" s="27" t="str">
        <f t="shared" si="39"/>
        <v/>
      </c>
      <c r="H564" s="27" t="str">
        <f t="shared" si="39"/>
        <v/>
      </c>
    </row>
    <row r="565" spans="1:8" hidden="1" outlineLevel="1">
      <c r="A565" t="s">
        <v>141</v>
      </c>
      <c r="B565" s="27" t="str">
        <f t="shared" si="39"/>
        <v/>
      </c>
      <c r="C565" s="27" t="str">
        <f t="shared" si="39"/>
        <v/>
      </c>
      <c r="D565" s="27" t="str">
        <f t="shared" si="39"/>
        <v/>
      </c>
      <c r="E565" s="27" t="str">
        <f t="shared" si="39"/>
        <v/>
      </c>
      <c r="F565" s="27" t="str">
        <f t="shared" si="39"/>
        <v/>
      </c>
      <c r="G565" s="27" t="str">
        <f t="shared" si="39"/>
        <v/>
      </c>
      <c r="H565" s="27" t="str">
        <f t="shared" si="39"/>
        <v/>
      </c>
    </row>
    <row r="566" spans="1:8" hidden="1" outlineLevel="1">
      <c r="A566" t="s">
        <v>142</v>
      </c>
      <c r="B566" s="27" t="str">
        <f t="shared" si="39"/>
        <v/>
      </c>
      <c r="C566" s="27" t="str">
        <f t="shared" si="39"/>
        <v/>
      </c>
      <c r="D566" s="27" t="str">
        <f t="shared" si="39"/>
        <v/>
      </c>
      <c r="E566" s="27" t="str">
        <f t="shared" si="39"/>
        <v/>
      </c>
      <c r="F566" s="27" t="str">
        <f t="shared" si="39"/>
        <v/>
      </c>
      <c r="G566" s="27" t="str">
        <f t="shared" si="39"/>
        <v/>
      </c>
      <c r="H566" s="27" t="str">
        <f t="shared" si="39"/>
        <v/>
      </c>
    </row>
    <row r="567" spans="1:8" hidden="1" outlineLevel="1">
      <c r="A567" t="s">
        <v>143</v>
      </c>
      <c r="B567" s="27" t="str">
        <f t="shared" si="39"/>
        <v/>
      </c>
      <c r="C567" s="27" t="str">
        <f t="shared" si="39"/>
        <v/>
      </c>
      <c r="D567" s="27" t="str">
        <f t="shared" si="39"/>
        <v/>
      </c>
      <c r="E567" s="27" t="str">
        <f t="shared" si="39"/>
        <v/>
      </c>
      <c r="F567" s="27" t="str">
        <f t="shared" si="39"/>
        <v/>
      </c>
      <c r="G567" s="27" t="str">
        <f t="shared" si="39"/>
        <v/>
      </c>
      <c r="H567" s="27" t="str">
        <f t="shared" si="39"/>
        <v/>
      </c>
    </row>
    <row r="568" spans="1:8" hidden="1" outlineLevel="1">
      <c r="A568" t="s">
        <v>144</v>
      </c>
      <c r="B568" s="27" t="str">
        <f t="shared" si="39"/>
        <v/>
      </c>
      <c r="C568" s="27" t="str">
        <f t="shared" si="39"/>
        <v/>
      </c>
      <c r="D568" s="27" t="str">
        <f t="shared" si="39"/>
        <v/>
      </c>
      <c r="E568" s="27" t="str">
        <f t="shared" si="39"/>
        <v/>
      </c>
      <c r="F568" s="27" t="str">
        <f t="shared" si="39"/>
        <v/>
      </c>
      <c r="G568" s="27" t="str">
        <f t="shared" si="39"/>
        <v/>
      </c>
      <c r="H568" s="27" t="str">
        <f t="shared" si="39"/>
        <v/>
      </c>
    </row>
    <row r="569" spans="1:8" hidden="1" outlineLevel="1">
      <c r="A569" t="s">
        <v>145</v>
      </c>
      <c r="B569" s="27" t="str">
        <f t="shared" si="39"/>
        <v/>
      </c>
      <c r="C569" s="27" t="str">
        <f t="shared" si="39"/>
        <v/>
      </c>
      <c r="D569" s="27" t="str">
        <f t="shared" si="39"/>
        <v/>
      </c>
      <c r="E569" s="27" t="str">
        <f t="shared" si="39"/>
        <v/>
      </c>
      <c r="F569" s="27" t="str">
        <f t="shared" si="39"/>
        <v/>
      </c>
      <c r="G569" s="27" t="str">
        <f t="shared" si="39"/>
        <v/>
      </c>
      <c r="H569" s="27" t="str">
        <f t="shared" si="39"/>
        <v/>
      </c>
    </row>
    <row r="570" spans="1:8" hidden="1" outlineLevel="1">
      <c r="A570" t="s">
        <v>146</v>
      </c>
      <c r="B570" s="27" t="str">
        <f t="shared" si="39"/>
        <v/>
      </c>
      <c r="C570" s="27" t="str">
        <f t="shared" si="39"/>
        <v/>
      </c>
      <c r="D570" s="27" t="str">
        <f t="shared" si="39"/>
        <v/>
      </c>
      <c r="E570" s="27" t="str">
        <f t="shared" si="39"/>
        <v/>
      </c>
      <c r="F570" s="27" t="str">
        <f t="shared" si="39"/>
        <v/>
      </c>
      <c r="G570" s="27" t="str">
        <f t="shared" si="39"/>
        <v/>
      </c>
      <c r="H570" s="27" t="str">
        <f t="shared" si="39"/>
        <v/>
      </c>
    </row>
    <row r="571" spans="1:8" hidden="1" outlineLevel="1">
      <c r="A571" t="s">
        <v>147</v>
      </c>
      <c r="B571" s="27" t="str">
        <f t="shared" si="39"/>
        <v/>
      </c>
      <c r="C571" s="27" t="str">
        <f t="shared" si="39"/>
        <v/>
      </c>
      <c r="D571" s="27" t="str">
        <f t="shared" si="39"/>
        <v/>
      </c>
      <c r="E571" s="27" t="str">
        <f t="shared" si="39"/>
        <v/>
      </c>
      <c r="F571" s="27" t="str">
        <f t="shared" si="39"/>
        <v/>
      </c>
      <c r="G571" s="27" t="str">
        <f t="shared" si="39"/>
        <v/>
      </c>
      <c r="H571" s="27" t="str">
        <f t="shared" si="39"/>
        <v/>
      </c>
    </row>
    <row r="572" spans="1:8" collapsed="1">
      <c r="A572" s="32" t="s">
        <v>9</v>
      </c>
      <c r="B572" s="34">
        <f t="shared" si="39"/>
        <v>6.8120590051226702E-3</v>
      </c>
      <c r="C572" s="34">
        <f t="shared" si="39"/>
        <v>6.6345679007420826E-3</v>
      </c>
      <c r="D572" s="34">
        <f t="shared" si="39"/>
        <v>2.8879654243264143E-2</v>
      </c>
      <c r="E572" s="34">
        <f t="shared" si="39"/>
        <v>5.9680323747226018E-2</v>
      </c>
      <c r="F572" s="34">
        <f t="shared" si="39"/>
        <v>6.7964200882064136E-3</v>
      </c>
      <c r="G572" s="34">
        <f t="shared" si="39"/>
        <v>3.9891251873872503E-3</v>
      </c>
      <c r="H572" s="34">
        <f t="shared" si="39"/>
        <v>1.8937068515375098E-2</v>
      </c>
    </row>
  </sheetData>
  <conditionalFormatting sqref="B291:B4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4:B57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1:C4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4:C57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1:D4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4:D57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1:E4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4:E57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1:F4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4:F57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1:G4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4:G57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1:H4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4:H57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9"/>
  <sheetViews>
    <sheetView topLeftCell="A5" workbookViewId="0">
      <selection activeCell="F43" sqref="F43"/>
    </sheetView>
  </sheetViews>
  <sheetFormatPr baseColWidth="10" defaultColWidth="8.83203125" defaultRowHeight="16" outlineLevelRow="1"/>
  <cols>
    <col min="1" max="1" width="12" customWidth="1"/>
    <col min="2" max="3" width="30" customWidth="1"/>
    <col min="4" max="5" width="16" customWidth="1"/>
  </cols>
  <sheetData>
    <row r="1" spans="1:5">
      <c r="A1" s="32" t="s">
        <v>186</v>
      </c>
    </row>
    <row r="3" spans="1:5">
      <c r="A3" s="32" t="s">
        <v>187</v>
      </c>
    </row>
    <row r="4" spans="1:5">
      <c r="A4" s="32" t="s">
        <v>169</v>
      </c>
      <c r="B4" s="32" t="s">
        <v>1</v>
      </c>
      <c r="C4" s="32" t="s">
        <v>148</v>
      </c>
      <c r="D4" s="32" t="s">
        <v>149</v>
      </c>
      <c r="E4" s="32" t="s">
        <v>150</v>
      </c>
    </row>
    <row r="5" spans="1:5">
      <c r="A5" s="24">
        <v>45901</v>
      </c>
      <c r="B5" s="26">
        <f>IF(SUMIFS('NSE - NIFTY Index Options'!$L:$L,'NSE - NIFTY Index Options'!$D:$D,$A5,'NSE - NIFTY Index Options'!$H:$H,"*")+SUMIFS('NSE - Other Index Options'!$L:$L,'NSE - Other Index Options'!$D:$D,$A5,'NSE - Other Index Options'!$H:$H,"*")=0,"",SUMIFS('NSE - NIFTY Index Options'!$L:$L,'NSE - NIFTY Index Options'!$D:$D,$A5,'NSE - NIFTY Index Options'!$H:$H,"*")+SUMIFS('NSE - Other Index Options'!$L:$L,'NSE - Other Index Options'!$D:$D,$A5,'NSE - Other Index Options'!$H:$H,"*"))</f>
        <v>933317.57999999961</v>
      </c>
      <c r="C5" s="26">
        <f>IF(SUMIFS('BSE - SENSEX Index Options'!$L:$L,'BSE - SENSEX Index Options'!$D:$D,$A5,'BSE - SENSEX Index Options'!$H:$H,"*")+SUMIFS('BSE - Other Index Options'!$L:$L,'BSE - Other Index Options'!$D:$D,$A5,'BSE - Other Index Options'!$H:$H,"*")=0,"",SUMIFS('BSE - SENSEX Index Options'!$L:$L,'BSE - SENSEX Index Options'!$D:$D,$A5,'BSE - SENSEX Index Options'!$H:$H,"*")+SUMIFS('BSE - Other Index Options'!$L:$L,'BSE - Other Index Options'!$D:$D,$A5,'BSE - Other Index Options'!$H:$H,"*"))</f>
        <v>346224.72000000015</v>
      </c>
      <c r="D5" s="27">
        <f t="shared" ref="D5:D33" si="0">IF(SUM(B5:C5)=0,"",SUM(B5)/SUM(B5:C5))</f>
        <v>0.72941518228822899</v>
      </c>
      <c r="E5" s="27">
        <f t="shared" ref="E5:E33" si="1">IF(SUM(B5:C5)=0,"",SUM(C5)/SUM(B5:C5))</f>
        <v>0.27058481771177101</v>
      </c>
    </row>
    <row r="6" spans="1:5">
      <c r="A6" s="24">
        <v>45931</v>
      </c>
      <c r="B6" s="26">
        <f>IF(SUMIFS('NSE - NIFTY Index Options'!$L:$L,'NSE - NIFTY Index Options'!$D:$D,$A6,'NSE - NIFTY Index Options'!$H:$H,"*")+SUMIFS('NSE - Other Index Options'!$L:$L,'NSE - Other Index Options'!$D:$D,$A6,'NSE - Other Index Options'!$H:$H,"*")=0,"",SUMIFS('NSE - NIFTY Index Options'!$L:$L,'NSE - NIFTY Index Options'!$D:$D,$A6,'NSE - NIFTY Index Options'!$H:$H,"*")+SUMIFS('NSE - Other Index Options'!$L:$L,'NSE - Other Index Options'!$D:$D,$A6,'NSE - Other Index Options'!$H:$H,"*"))</f>
        <v>1041799.0300000006</v>
      </c>
      <c r="C6" s="26">
        <f>IF(SUMIFS('BSE - SENSEX Index Options'!$L:$L,'BSE - SENSEX Index Options'!$D:$D,$A6,'BSE - SENSEX Index Options'!$H:$H,"*")+SUMIFS('BSE - Other Index Options'!$L:$L,'BSE - Other Index Options'!$D:$D,$A6,'BSE - Other Index Options'!$H:$H,"*")=0,"",SUMIFS('BSE - SENSEX Index Options'!$L:$L,'BSE - SENSEX Index Options'!$D:$D,$A6,'BSE - SENSEX Index Options'!$H:$H,"*")+SUMIFS('BSE - Other Index Options'!$L:$L,'BSE - Other Index Options'!$D:$D,$A6,'BSE - Other Index Options'!$H:$H,"*"))</f>
        <v>430427.39000000007</v>
      </c>
      <c r="D6" s="27">
        <f t="shared" si="0"/>
        <v>0.70763505928660086</v>
      </c>
      <c r="E6" s="27">
        <f t="shared" si="1"/>
        <v>0.29236494071339914</v>
      </c>
    </row>
    <row r="7" spans="1:5">
      <c r="A7" s="24">
        <v>45962</v>
      </c>
      <c r="B7" s="26">
        <f>IF(SUMIFS('NSE - NIFTY Index Options'!$L:$L,'NSE - NIFTY Index Options'!$D:$D,$A7,'NSE - NIFTY Index Options'!$H:$H,"*")+SUMIFS('NSE - Other Index Options'!$L:$L,'NSE - Other Index Options'!$D:$D,$A7,'NSE - Other Index Options'!$H:$H,"*")=0,"",SUMIFS('NSE - NIFTY Index Options'!$L:$L,'NSE - NIFTY Index Options'!$D:$D,$A7,'NSE - NIFTY Index Options'!$H:$H,"*")+SUMIFS('NSE - Other Index Options'!$L:$L,'NSE - Other Index Options'!$D:$D,$A7,'NSE - Other Index Options'!$H:$H,"*"))</f>
        <v>913277.33000000054</v>
      </c>
      <c r="C7" s="26">
        <f>IF(SUMIFS('BSE - SENSEX Index Options'!$L:$L,'BSE - SENSEX Index Options'!$D:$D,$A7,'BSE - SENSEX Index Options'!$H:$H,"*")+SUMIFS('BSE - Other Index Options'!$L:$L,'BSE - Other Index Options'!$D:$D,$A7,'BSE - Other Index Options'!$H:$H,"*")=0,"",SUMIFS('BSE - SENSEX Index Options'!$L:$L,'BSE - SENSEX Index Options'!$D:$D,$A7,'BSE - SENSEX Index Options'!$H:$H,"*")+SUMIFS('BSE - Other Index Options'!$L:$L,'BSE - Other Index Options'!$D:$D,$A7,'BSE - Other Index Options'!$H:$H,"*"))</f>
        <v>363132.10999999987</v>
      </c>
      <c r="D7" s="27">
        <f t="shared" si="0"/>
        <v>0.71550499501163223</v>
      </c>
      <c r="E7" s="27">
        <f t="shared" si="1"/>
        <v>0.28449500498836783</v>
      </c>
    </row>
    <row r="8" spans="1:5">
      <c r="A8" s="24">
        <v>45992</v>
      </c>
      <c r="B8" s="26">
        <f>IF(SUMIFS('NSE - NIFTY Index Options'!$L:$L,'NSE - NIFTY Index Options'!$D:$D,$A8,'NSE - NIFTY Index Options'!$H:$H,"*")+SUMIFS('NSE - Other Index Options'!$L:$L,'NSE - Other Index Options'!$D:$D,$A8,'NSE - Other Index Options'!$H:$H,"*")=0,"",SUMIFS('NSE - NIFTY Index Options'!$L:$L,'NSE - NIFTY Index Options'!$D:$D,$A8,'NSE - NIFTY Index Options'!$H:$H,"*")+SUMIFS('NSE - Other Index Options'!$L:$L,'NSE - Other Index Options'!$D:$D,$A8,'NSE - Other Index Options'!$H:$H,"*"))</f>
        <v>946922.96000000008</v>
      </c>
      <c r="C8" s="26">
        <f>IF(SUMIFS('BSE - SENSEX Index Options'!$L:$L,'BSE - SENSEX Index Options'!$D:$D,$A8,'BSE - SENSEX Index Options'!$H:$H,"*")+SUMIFS('BSE - Other Index Options'!$L:$L,'BSE - Other Index Options'!$D:$D,$A8,'BSE - Other Index Options'!$H:$H,"*")=0,"",SUMIFS('BSE - SENSEX Index Options'!$L:$L,'BSE - SENSEX Index Options'!$D:$D,$A8,'BSE - SENSEX Index Options'!$H:$H,"*")+SUMIFS('BSE - Other Index Options'!$L:$L,'BSE - Other Index Options'!$D:$D,$A8,'BSE - Other Index Options'!$H:$H,"*"))</f>
        <v>412902.50000000006</v>
      </c>
      <c r="D8" s="27">
        <f t="shared" si="0"/>
        <v>0.69635625148539282</v>
      </c>
      <c r="E8" s="27">
        <f t="shared" si="1"/>
        <v>0.30364374851460718</v>
      </c>
    </row>
    <row r="9" spans="1:5">
      <c r="A9" s="24">
        <v>46023</v>
      </c>
      <c r="B9" s="26">
        <f>IF(SUMIFS('NSE - NIFTY Index Options'!$L:$L,'NSE - NIFTY Index Options'!$D:$D,$A9,'NSE - NIFTY Index Options'!$H:$H,"*")+SUMIFS('NSE - Other Index Options'!$L:$L,'NSE - Other Index Options'!$D:$D,$A9,'NSE - Other Index Options'!$H:$H,"*")=0,"",SUMIFS('NSE - NIFTY Index Options'!$L:$L,'NSE - NIFTY Index Options'!$D:$D,$A9,'NSE - NIFTY Index Options'!$H:$H,"*")+SUMIFS('NSE - Other Index Options'!$L:$L,'NSE - Other Index Options'!$D:$D,$A9,'NSE - Other Index Options'!$H:$H,"*"))</f>
        <v>1153153.9899999998</v>
      </c>
      <c r="C9" s="26">
        <f>IF(SUMIFS('BSE - SENSEX Index Options'!$L:$L,'BSE - SENSEX Index Options'!$D:$D,$A9,'BSE - SENSEX Index Options'!$H:$H,"*")+SUMIFS('BSE - Other Index Options'!$L:$L,'BSE - Other Index Options'!$D:$D,$A9,'BSE - Other Index Options'!$H:$H,"*")=0,"",SUMIFS('BSE - SENSEX Index Options'!$L:$L,'BSE - SENSEX Index Options'!$D:$D,$A9,'BSE - SENSEX Index Options'!$H:$H,"*")+SUMIFS('BSE - Other Index Options'!$L:$L,'BSE - Other Index Options'!$D:$D,$A9,'BSE - Other Index Options'!$H:$H,"*"))</f>
        <v>575377.84000000032</v>
      </c>
      <c r="D9" s="27">
        <f t="shared" si="0"/>
        <v>0.66712916128365407</v>
      </c>
      <c r="E9" s="27">
        <f t="shared" si="1"/>
        <v>0.33287083871634593</v>
      </c>
    </row>
    <row r="10" spans="1:5">
      <c r="A10" s="24">
        <v>46054</v>
      </c>
      <c r="B10" s="26">
        <f>IF(SUMIFS('NSE - NIFTY Index Options'!$L:$L,'NSE - NIFTY Index Options'!$D:$D,$A10,'NSE - NIFTY Index Options'!$H:$H,"*")+SUMIFS('NSE - Other Index Options'!$L:$L,'NSE - Other Index Options'!$D:$D,$A10,'NSE - Other Index Options'!$H:$H,"*")=0,"",SUMIFS('NSE - NIFTY Index Options'!$L:$L,'NSE - NIFTY Index Options'!$D:$D,$A10,'NSE - NIFTY Index Options'!$H:$H,"*")+SUMIFS('NSE - Other Index Options'!$L:$L,'NSE - Other Index Options'!$D:$D,$A10,'NSE - Other Index Options'!$H:$H,"*"))</f>
        <v>1283969.2800000005</v>
      </c>
      <c r="C10" s="26">
        <f>IF(SUMIFS('BSE - SENSEX Index Options'!$L:$L,'BSE - SENSEX Index Options'!$D:$D,$A10,'BSE - SENSEX Index Options'!$H:$H,"*")+SUMIFS('BSE - Other Index Options'!$L:$L,'BSE - Other Index Options'!$D:$D,$A10,'BSE - Other Index Options'!$H:$H,"*")=0,"",SUMIFS('BSE - SENSEX Index Options'!$L:$L,'BSE - SENSEX Index Options'!$D:$D,$A10,'BSE - SENSEX Index Options'!$H:$H,"*")+SUMIFS('BSE - Other Index Options'!$L:$L,'BSE - Other Index Options'!$D:$D,$A10,'BSE - Other Index Options'!$H:$H,"*"))</f>
        <v>532063.59000000008</v>
      </c>
      <c r="D10" s="27">
        <f t="shared" si="0"/>
        <v>0.70701874465521108</v>
      </c>
      <c r="E10" s="27">
        <f t="shared" si="1"/>
        <v>0.29298125534478897</v>
      </c>
    </row>
    <row r="11" spans="1:5">
      <c r="A11" s="24">
        <v>46082</v>
      </c>
      <c r="B11" s="26">
        <f>IF(SUMIFS('NSE - NIFTY Index Options'!$L:$L,'NSE - NIFTY Index Options'!$D:$D,$A11,'NSE - NIFTY Index Options'!$H:$H,"*")+SUMIFS('NSE - Other Index Options'!$L:$L,'NSE - Other Index Options'!$D:$D,$A11,'NSE - Other Index Options'!$H:$H,"*")=0,"",SUMIFS('NSE - NIFTY Index Options'!$L:$L,'NSE - NIFTY Index Options'!$D:$D,$A11,'NSE - NIFTY Index Options'!$H:$H,"*")+SUMIFS('NSE - Other Index Options'!$L:$L,'NSE - Other Index Options'!$D:$D,$A11,'NSE - Other Index Options'!$H:$H,"*"))</f>
        <v>1624667.9400000009</v>
      </c>
      <c r="C11" s="26">
        <f>IF(SUMIFS('BSE - SENSEX Index Options'!$L:$L,'BSE - SENSEX Index Options'!$D:$D,$A11,'BSE - SENSEX Index Options'!$H:$H,"*")+SUMIFS('BSE - Other Index Options'!$L:$L,'BSE - Other Index Options'!$D:$D,$A11,'BSE - Other Index Options'!$H:$H,"*")=0,"",SUMIFS('BSE - SENSEX Index Options'!$L:$L,'BSE - SENSEX Index Options'!$D:$D,$A11,'BSE - SENSEX Index Options'!$H:$H,"*")+SUMIFS('BSE - Other Index Options'!$L:$L,'BSE - Other Index Options'!$D:$D,$A11,'BSE - Other Index Options'!$H:$H,"*"))</f>
        <v>627803.99000000022</v>
      </c>
      <c r="D11" s="27">
        <f t="shared" si="0"/>
        <v>0.72128221371442358</v>
      </c>
      <c r="E11" s="27">
        <f t="shared" si="1"/>
        <v>0.27871778628557647</v>
      </c>
    </row>
    <row r="12" spans="1:5">
      <c r="A12" s="24">
        <v>46113</v>
      </c>
      <c r="B12" s="26">
        <f>IF(SUMIFS('NSE - NIFTY Index Options'!$L:$L,'NSE - NIFTY Index Options'!$D:$D,$A12,'NSE - NIFTY Index Options'!$H:$H,"*")+SUMIFS('NSE - Other Index Options'!$L:$L,'NSE - Other Index Options'!$D:$D,$A12,'NSE - Other Index Options'!$H:$H,"*")=0,"",SUMIFS('NSE - NIFTY Index Options'!$L:$L,'NSE - NIFTY Index Options'!$D:$D,$A12,'NSE - NIFTY Index Options'!$H:$H,"*")+SUMIFS('NSE - Other Index Options'!$L:$L,'NSE - Other Index Options'!$D:$D,$A12,'NSE - Other Index Options'!$H:$H,"*"))</f>
        <v>1124391.4600000002</v>
      </c>
      <c r="C12" s="26">
        <f>IF(SUMIFS('BSE - SENSEX Index Options'!$L:$L,'BSE - SENSEX Index Options'!$D:$D,$A12,'BSE - SENSEX Index Options'!$H:$H,"*")+SUMIFS('BSE - Other Index Options'!$L:$L,'BSE - Other Index Options'!$D:$D,$A12,'BSE - Other Index Options'!$H:$H,"*")=0,"",SUMIFS('BSE - SENSEX Index Options'!$L:$L,'BSE - SENSEX Index Options'!$D:$D,$A12,'BSE - SENSEX Index Options'!$H:$H,"*")+SUMIFS('BSE - Other Index Options'!$L:$L,'BSE - Other Index Options'!$D:$D,$A12,'BSE - Other Index Options'!$H:$H,"*"))</f>
        <v>662899.6100000001</v>
      </c>
      <c r="D12" s="27">
        <f t="shared" si="0"/>
        <v>0.62910371951894772</v>
      </c>
      <c r="E12" s="27">
        <f t="shared" si="1"/>
        <v>0.37089628048105228</v>
      </c>
    </row>
    <row r="13" spans="1:5">
      <c r="A13" s="24">
        <v>46143</v>
      </c>
      <c r="B13" s="26">
        <f>IF(SUMIFS('NSE - NIFTY Index Options'!$L:$L,'NSE - NIFTY Index Options'!$D:$D,$A13,'NSE - NIFTY Index Options'!$H:$H,"*")+SUMIFS('NSE - Other Index Options'!$L:$L,'NSE - Other Index Options'!$D:$D,$A13,'NSE - Other Index Options'!$H:$H,"*")=0,"",SUMIFS('NSE - NIFTY Index Options'!$L:$L,'NSE - NIFTY Index Options'!$D:$D,$A13,'NSE - NIFTY Index Options'!$H:$H,"*")+SUMIFS('NSE - Other Index Options'!$L:$L,'NSE - Other Index Options'!$D:$D,$A13,'NSE - Other Index Options'!$H:$H,"*"))</f>
        <v>1112871.6200000006</v>
      </c>
      <c r="C13" s="26">
        <f>IF(SUMIFS('BSE - SENSEX Index Options'!$L:$L,'BSE - SENSEX Index Options'!$D:$D,$A13,'BSE - SENSEX Index Options'!$H:$H,"*")+SUMIFS('BSE - Other Index Options'!$L:$L,'BSE - Other Index Options'!$D:$D,$A13,'BSE - Other Index Options'!$H:$H,"*")=0,"",SUMIFS('BSE - SENSEX Index Options'!$L:$L,'BSE - SENSEX Index Options'!$D:$D,$A13,'BSE - SENSEX Index Options'!$H:$H,"*")+SUMIFS('BSE - Other Index Options'!$L:$L,'BSE - Other Index Options'!$D:$D,$A13,'BSE - Other Index Options'!$H:$H,"*"))</f>
        <v>563688.26000000013</v>
      </c>
      <c r="D13" s="27">
        <f t="shared" si="0"/>
        <v>0.66378280506151677</v>
      </c>
      <c r="E13" s="27">
        <f t="shared" si="1"/>
        <v>0.33621719493848312</v>
      </c>
    </row>
    <row r="14" spans="1:5">
      <c r="A14" s="24">
        <v>46174</v>
      </c>
      <c r="B14" s="26">
        <f>IF(SUMIFS('NSE - NIFTY Index Options'!$L:$L,'NSE - NIFTY Index Options'!$D:$D,$A14,'NSE - NIFTY Index Options'!$H:$H,"*")+SUMIFS('NSE - Other Index Options'!$L:$L,'NSE - Other Index Options'!$D:$D,$A14,'NSE - Other Index Options'!$H:$H,"*")=0,"",SUMIFS('NSE - NIFTY Index Options'!$L:$L,'NSE - NIFTY Index Options'!$D:$D,$A14,'NSE - NIFTY Index Options'!$H:$H,"*")+SUMIFS('NSE - Other Index Options'!$L:$L,'NSE - Other Index Options'!$D:$D,$A14,'NSE - Other Index Options'!$H:$H,"*"))</f>
        <v>1148733.7200000002</v>
      </c>
      <c r="C14" s="26">
        <f>IF(SUMIFS('BSE - SENSEX Index Options'!$L:$L,'BSE - SENSEX Index Options'!$D:$D,$A14,'BSE - SENSEX Index Options'!$H:$H,"*")+SUMIFS('BSE - Other Index Options'!$L:$L,'BSE - Other Index Options'!$D:$D,$A14,'BSE - Other Index Options'!$H:$H,"*")=0,"",SUMIFS('BSE - SENSEX Index Options'!$L:$L,'BSE - SENSEX Index Options'!$D:$D,$A14,'BSE - SENSEX Index Options'!$H:$H,"*")+SUMIFS('BSE - Other Index Options'!$L:$L,'BSE - Other Index Options'!$D:$D,$A14,'BSE - Other Index Options'!$H:$H,"*"))</f>
        <v>550333.89</v>
      </c>
      <c r="D14" s="27">
        <f t="shared" si="0"/>
        <v>0.67609653273303227</v>
      </c>
      <c r="E14" s="27">
        <f t="shared" si="1"/>
        <v>0.32390346726696762</v>
      </c>
    </row>
    <row r="15" spans="1:5">
      <c r="A15" s="24">
        <v>46204</v>
      </c>
      <c r="B15" s="26">
        <f>IF(SUMIFS('NSE - NIFTY Index Options'!$L:$L,'NSE - NIFTY Index Options'!$D:$D,$A15,'NSE - NIFTY Index Options'!$H:$H,"*")+SUMIFS('NSE - Other Index Options'!$L:$L,'NSE - Other Index Options'!$D:$D,$A15,'NSE - Other Index Options'!$H:$H,"*")=0,"",SUMIFS('NSE - NIFTY Index Options'!$L:$L,'NSE - NIFTY Index Options'!$D:$D,$A15,'NSE - NIFTY Index Options'!$H:$H,"*")+SUMIFS('NSE - Other Index Options'!$L:$L,'NSE - Other Index Options'!$D:$D,$A15,'NSE - Other Index Options'!$H:$H,"*"))</f>
        <v>242778.79000000004</v>
      </c>
      <c r="C15" s="26">
        <f>IF(SUMIFS('BSE - SENSEX Index Options'!$L:$L,'BSE - SENSEX Index Options'!$D:$D,$A15,'BSE - SENSEX Index Options'!$H:$H,"*")+SUMIFS('BSE - Other Index Options'!$L:$L,'BSE - Other Index Options'!$D:$D,$A15,'BSE - Other Index Options'!$H:$H,"*")=0,"",SUMIFS('BSE - SENSEX Index Options'!$L:$L,'BSE - SENSEX Index Options'!$D:$D,$A15,'BSE - SENSEX Index Options'!$H:$H,"*")+SUMIFS('BSE - Other Index Options'!$L:$L,'BSE - Other Index Options'!$D:$D,$A15,'BSE - Other Index Options'!$H:$H,"*"))</f>
        <v>168229.26999999996</v>
      </c>
      <c r="D15" s="27">
        <f t="shared" si="0"/>
        <v>0.59069106819948991</v>
      </c>
      <c r="E15" s="27">
        <f t="shared" si="1"/>
        <v>0.40930893180051009</v>
      </c>
    </row>
    <row r="16" spans="1:5" hidden="1" outlineLevel="1">
      <c r="A16" s="24">
        <v>46235</v>
      </c>
      <c r="B16" s="26" t="str">
        <f>IF(SUMIFS('NSE - NIFTY Index Options'!$L:$L,'NSE - NIFTY Index Options'!$D:$D,$A16,'NSE - NIFTY Index Options'!$H:$H,"*")+SUMIFS('NSE - Other Index Options'!$L:$L,'NSE - Other Index Options'!$D:$D,$A16,'NSE - Other Index Options'!$H:$H,"*")=0,"",SUMIFS('NSE - NIFTY Index Options'!$L:$L,'NSE - NIFTY Index Options'!$D:$D,$A16,'NSE - NIFTY Index Options'!$H:$H,"*")+SUMIFS('NSE - Other Index Options'!$L:$L,'NSE - Other Index Options'!$D:$D,$A16,'NSE - Other Index Options'!$H:$H,"*"))</f>
        <v/>
      </c>
      <c r="C16" s="26" t="str">
        <f>IF(SUMIFS('BSE - SENSEX Index Options'!$L:$L,'BSE - SENSEX Index Options'!$D:$D,$A16,'BSE - SENSEX Index Options'!$H:$H,"*")+SUMIFS('BSE - Other Index Options'!$L:$L,'BSE - Other Index Options'!$D:$D,$A16,'BSE - Other Index Options'!$H:$H,"*")=0,"",SUMIFS('BSE - SENSEX Index Options'!$L:$L,'BSE - SENSEX Index Options'!$D:$D,$A16,'BSE - SENSEX Index Options'!$H:$H,"*")+SUMIFS('BSE - Other Index Options'!$L:$L,'BSE - Other Index Options'!$D:$D,$A16,'BSE - Other Index Options'!$H:$H,"*"))</f>
        <v/>
      </c>
      <c r="D16" s="27" t="str">
        <f t="shared" si="0"/>
        <v/>
      </c>
      <c r="E16" s="27" t="str">
        <f t="shared" si="1"/>
        <v/>
      </c>
    </row>
    <row r="17" spans="1:5" hidden="1" outlineLevel="1">
      <c r="A17" s="24">
        <v>46266</v>
      </c>
      <c r="B17" s="26" t="str">
        <f>IF(SUMIFS('NSE - NIFTY Index Options'!$L:$L,'NSE - NIFTY Index Options'!$D:$D,$A17,'NSE - NIFTY Index Options'!$H:$H,"*")+SUMIFS('NSE - Other Index Options'!$L:$L,'NSE - Other Index Options'!$D:$D,$A17,'NSE - Other Index Options'!$H:$H,"*")=0,"",SUMIFS('NSE - NIFTY Index Options'!$L:$L,'NSE - NIFTY Index Options'!$D:$D,$A17,'NSE - NIFTY Index Options'!$H:$H,"*")+SUMIFS('NSE - Other Index Options'!$L:$L,'NSE - Other Index Options'!$D:$D,$A17,'NSE - Other Index Options'!$H:$H,"*"))</f>
        <v/>
      </c>
      <c r="C17" s="26" t="str">
        <f>IF(SUMIFS('BSE - SENSEX Index Options'!$L:$L,'BSE - SENSEX Index Options'!$D:$D,$A17,'BSE - SENSEX Index Options'!$H:$H,"*")+SUMIFS('BSE - Other Index Options'!$L:$L,'BSE - Other Index Options'!$D:$D,$A17,'BSE - Other Index Options'!$H:$H,"*")=0,"",SUMIFS('BSE - SENSEX Index Options'!$L:$L,'BSE - SENSEX Index Options'!$D:$D,$A17,'BSE - SENSEX Index Options'!$H:$H,"*")+SUMIFS('BSE - Other Index Options'!$L:$L,'BSE - Other Index Options'!$D:$D,$A17,'BSE - Other Index Options'!$H:$H,"*"))</f>
        <v/>
      </c>
      <c r="D17" s="27" t="str">
        <f t="shared" si="0"/>
        <v/>
      </c>
      <c r="E17" s="27" t="str">
        <f t="shared" si="1"/>
        <v/>
      </c>
    </row>
    <row r="18" spans="1:5" hidden="1" outlineLevel="1">
      <c r="A18" s="24">
        <v>46296</v>
      </c>
      <c r="B18" s="26" t="str">
        <f>IF(SUMIFS('NSE - NIFTY Index Options'!$L:$L,'NSE - NIFTY Index Options'!$D:$D,$A18,'NSE - NIFTY Index Options'!$H:$H,"*")+SUMIFS('NSE - Other Index Options'!$L:$L,'NSE - Other Index Options'!$D:$D,$A18,'NSE - Other Index Options'!$H:$H,"*")=0,"",SUMIFS('NSE - NIFTY Index Options'!$L:$L,'NSE - NIFTY Index Options'!$D:$D,$A18,'NSE - NIFTY Index Options'!$H:$H,"*")+SUMIFS('NSE - Other Index Options'!$L:$L,'NSE - Other Index Options'!$D:$D,$A18,'NSE - Other Index Options'!$H:$H,"*"))</f>
        <v/>
      </c>
      <c r="C18" s="26" t="str">
        <f>IF(SUMIFS('BSE - SENSEX Index Options'!$L:$L,'BSE - SENSEX Index Options'!$D:$D,$A18,'BSE - SENSEX Index Options'!$H:$H,"*")+SUMIFS('BSE - Other Index Options'!$L:$L,'BSE - Other Index Options'!$D:$D,$A18,'BSE - Other Index Options'!$H:$H,"*")=0,"",SUMIFS('BSE - SENSEX Index Options'!$L:$L,'BSE - SENSEX Index Options'!$D:$D,$A18,'BSE - SENSEX Index Options'!$H:$H,"*")+SUMIFS('BSE - Other Index Options'!$L:$L,'BSE - Other Index Options'!$D:$D,$A18,'BSE - Other Index Options'!$H:$H,"*"))</f>
        <v/>
      </c>
      <c r="D18" s="27" t="str">
        <f t="shared" si="0"/>
        <v/>
      </c>
      <c r="E18" s="27" t="str">
        <f t="shared" si="1"/>
        <v/>
      </c>
    </row>
    <row r="19" spans="1:5" hidden="1" outlineLevel="1">
      <c r="A19" s="24">
        <v>46327</v>
      </c>
      <c r="B19" s="26" t="str">
        <f>IF(SUMIFS('NSE - NIFTY Index Options'!$L:$L,'NSE - NIFTY Index Options'!$D:$D,$A19,'NSE - NIFTY Index Options'!$H:$H,"*")+SUMIFS('NSE - Other Index Options'!$L:$L,'NSE - Other Index Options'!$D:$D,$A19,'NSE - Other Index Options'!$H:$H,"*")=0,"",SUMIFS('NSE - NIFTY Index Options'!$L:$L,'NSE - NIFTY Index Options'!$D:$D,$A19,'NSE - NIFTY Index Options'!$H:$H,"*")+SUMIFS('NSE - Other Index Options'!$L:$L,'NSE - Other Index Options'!$D:$D,$A19,'NSE - Other Index Options'!$H:$H,"*"))</f>
        <v/>
      </c>
      <c r="C19" s="26" t="str">
        <f>IF(SUMIFS('BSE - SENSEX Index Options'!$L:$L,'BSE - SENSEX Index Options'!$D:$D,$A19,'BSE - SENSEX Index Options'!$H:$H,"*")+SUMIFS('BSE - Other Index Options'!$L:$L,'BSE - Other Index Options'!$D:$D,$A19,'BSE - Other Index Options'!$H:$H,"*")=0,"",SUMIFS('BSE - SENSEX Index Options'!$L:$L,'BSE - SENSEX Index Options'!$D:$D,$A19,'BSE - SENSEX Index Options'!$H:$H,"*")+SUMIFS('BSE - Other Index Options'!$L:$L,'BSE - Other Index Options'!$D:$D,$A19,'BSE - Other Index Options'!$H:$H,"*"))</f>
        <v/>
      </c>
      <c r="D19" s="27" t="str">
        <f t="shared" si="0"/>
        <v/>
      </c>
      <c r="E19" s="27" t="str">
        <f t="shared" si="1"/>
        <v/>
      </c>
    </row>
    <row r="20" spans="1:5" hidden="1" outlineLevel="1">
      <c r="A20" s="24">
        <v>46357</v>
      </c>
      <c r="B20" s="26" t="str">
        <f>IF(SUMIFS('NSE - NIFTY Index Options'!$L:$L,'NSE - NIFTY Index Options'!$D:$D,$A20,'NSE - NIFTY Index Options'!$H:$H,"*")+SUMIFS('NSE - Other Index Options'!$L:$L,'NSE - Other Index Options'!$D:$D,$A20,'NSE - Other Index Options'!$H:$H,"*")=0,"",SUMIFS('NSE - NIFTY Index Options'!$L:$L,'NSE - NIFTY Index Options'!$D:$D,$A20,'NSE - NIFTY Index Options'!$H:$H,"*")+SUMIFS('NSE - Other Index Options'!$L:$L,'NSE - Other Index Options'!$D:$D,$A20,'NSE - Other Index Options'!$H:$H,"*"))</f>
        <v/>
      </c>
      <c r="C20" s="26" t="str">
        <f>IF(SUMIFS('BSE - SENSEX Index Options'!$L:$L,'BSE - SENSEX Index Options'!$D:$D,$A20,'BSE - SENSEX Index Options'!$H:$H,"*")+SUMIFS('BSE - Other Index Options'!$L:$L,'BSE - Other Index Options'!$D:$D,$A20,'BSE - Other Index Options'!$H:$H,"*")=0,"",SUMIFS('BSE - SENSEX Index Options'!$L:$L,'BSE - SENSEX Index Options'!$D:$D,$A20,'BSE - SENSEX Index Options'!$H:$H,"*")+SUMIFS('BSE - Other Index Options'!$L:$L,'BSE - Other Index Options'!$D:$D,$A20,'BSE - Other Index Options'!$H:$H,"*"))</f>
        <v/>
      </c>
      <c r="D20" s="27" t="str">
        <f t="shared" si="0"/>
        <v/>
      </c>
      <c r="E20" s="27" t="str">
        <f t="shared" si="1"/>
        <v/>
      </c>
    </row>
    <row r="21" spans="1:5" hidden="1" outlineLevel="1">
      <c r="A21" s="24">
        <v>46388</v>
      </c>
      <c r="B21" s="26" t="str">
        <f>IF(SUMIFS('NSE - NIFTY Index Options'!$L:$L,'NSE - NIFTY Index Options'!$D:$D,$A21,'NSE - NIFTY Index Options'!$H:$H,"*")+SUMIFS('NSE - Other Index Options'!$L:$L,'NSE - Other Index Options'!$D:$D,$A21,'NSE - Other Index Options'!$H:$H,"*")=0,"",SUMIFS('NSE - NIFTY Index Options'!$L:$L,'NSE - NIFTY Index Options'!$D:$D,$A21,'NSE - NIFTY Index Options'!$H:$H,"*")+SUMIFS('NSE - Other Index Options'!$L:$L,'NSE - Other Index Options'!$D:$D,$A21,'NSE - Other Index Options'!$H:$H,"*"))</f>
        <v/>
      </c>
      <c r="C21" s="26" t="str">
        <f>IF(SUMIFS('BSE - SENSEX Index Options'!$L:$L,'BSE - SENSEX Index Options'!$D:$D,$A21,'BSE - SENSEX Index Options'!$H:$H,"*")+SUMIFS('BSE - Other Index Options'!$L:$L,'BSE - Other Index Options'!$D:$D,$A21,'BSE - Other Index Options'!$H:$H,"*")=0,"",SUMIFS('BSE - SENSEX Index Options'!$L:$L,'BSE - SENSEX Index Options'!$D:$D,$A21,'BSE - SENSEX Index Options'!$H:$H,"*")+SUMIFS('BSE - Other Index Options'!$L:$L,'BSE - Other Index Options'!$D:$D,$A21,'BSE - Other Index Options'!$H:$H,"*"))</f>
        <v/>
      </c>
      <c r="D21" s="27" t="str">
        <f t="shared" si="0"/>
        <v/>
      </c>
      <c r="E21" s="27" t="str">
        <f t="shared" si="1"/>
        <v/>
      </c>
    </row>
    <row r="22" spans="1:5" hidden="1" outlineLevel="1">
      <c r="A22" s="24">
        <v>46419</v>
      </c>
      <c r="B22" s="26" t="str">
        <f>IF(SUMIFS('NSE - NIFTY Index Options'!$L:$L,'NSE - NIFTY Index Options'!$D:$D,$A22,'NSE - NIFTY Index Options'!$H:$H,"*")+SUMIFS('NSE - Other Index Options'!$L:$L,'NSE - Other Index Options'!$D:$D,$A22,'NSE - Other Index Options'!$H:$H,"*")=0,"",SUMIFS('NSE - NIFTY Index Options'!$L:$L,'NSE - NIFTY Index Options'!$D:$D,$A22,'NSE - NIFTY Index Options'!$H:$H,"*")+SUMIFS('NSE - Other Index Options'!$L:$L,'NSE - Other Index Options'!$D:$D,$A22,'NSE - Other Index Options'!$H:$H,"*"))</f>
        <v/>
      </c>
      <c r="C22" s="26" t="str">
        <f>IF(SUMIFS('BSE - SENSEX Index Options'!$L:$L,'BSE - SENSEX Index Options'!$D:$D,$A22,'BSE - SENSEX Index Options'!$H:$H,"*")+SUMIFS('BSE - Other Index Options'!$L:$L,'BSE - Other Index Options'!$D:$D,$A22,'BSE - Other Index Options'!$H:$H,"*")=0,"",SUMIFS('BSE - SENSEX Index Options'!$L:$L,'BSE - SENSEX Index Options'!$D:$D,$A22,'BSE - SENSEX Index Options'!$H:$H,"*")+SUMIFS('BSE - Other Index Options'!$L:$L,'BSE - Other Index Options'!$D:$D,$A22,'BSE - Other Index Options'!$H:$H,"*"))</f>
        <v/>
      </c>
      <c r="D22" s="27" t="str">
        <f t="shared" si="0"/>
        <v/>
      </c>
      <c r="E22" s="27" t="str">
        <f t="shared" si="1"/>
        <v/>
      </c>
    </row>
    <row r="23" spans="1:5" hidden="1" outlineLevel="1">
      <c r="A23" s="24">
        <v>46447</v>
      </c>
      <c r="B23" s="26" t="str">
        <f>IF(SUMIFS('NSE - NIFTY Index Options'!$L:$L,'NSE - NIFTY Index Options'!$D:$D,$A23,'NSE - NIFTY Index Options'!$H:$H,"*")+SUMIFS('NSE - Other Index Options'!$L:$L,'NSE - Other Index Options'!$D:$D,$A23,'NSE - Other Index Options'!$H:$H,"*")=0,"",SUMIFS('NSE - NIFTY Index Options'!$L:$L,'NSE - NIFTY Index Options'!$D:$D,$A23,'NSE - NIFTY Index Options'!$H:$H,"*")+SUMIFS('NSE - Other Index Options'!$L:$L,'NSE - Other Index Options'!$D:$D,$A23,'NSE - Other Index Options'!$H:$H,"*"))</f>
        <v/>
      </c>
      <c r="C23" s="26" t="str">
        <f>IF(SUMIFS('BSE - SENSEX Index Options'!$L:$L,'BSE - SENSEX Index Options'!$D:$D,$A23,'BSE - SENSEX Index Options'!$H:$H,"*")+SUMIFS('BSE - Other Index Options'!$L:$L,'BSE - Other Index Options'!$D:$D,$A23,'BSE - Other Index Options'!$H:$H,"*")=0,"",SUMIFS('BSE - SENSEX Index Options'!$L:$L,'BSE - SENSEX Index Options'!$D:$D,$A23,'BSE - SENSEX Index Options'!$H:$H,"*")+SUMIFS('BSE - Other Index Options'!$L:$L,'BSE - Other Index Options'!$D:$D,$A23,'BSE - Other Index Options'!$H:$H,"*"))</f>
        <v/>
      </c>
      <c r="D23" s="27" t="str">
        <f t="shared" si="0"/>
        <v/>
      </c>
      <c r="E23" s="27" t="str">
        <f t="shared" si="1"/>
        <v/>
      </c>
    </row>
    <row r="24" spans="1:5" hidden="1" outlineLevel="1">
      <c r="A24" s="24">
        <v>46478</v>
      </c>
      <c r="B24" s="26" t="str">
        <f>IF(SUMIFS('NSE - NIFTY Index Options'!$L:$L,'NSE - NIFTY Index Options'!$D:$D,$A24,'NSE - NIFTY Index Options'!$H:$H,"*")+SUMIFS('NSE - Other Index Options'!$L:$L,'NSE - Other Index Options'!$D:$D,$A24,'NSE - Other Index Options'!$H:$H,"*")=0,"",SUMIFS('NSE - NIFTY Index Options'!$L:$L,'NSE - NIFTY Index Options'!$D:$D,$A24,'NSE - NIFTY Index Options'!$H:$H,"*")+SUMIFS('NSE - Other Index Options'!$L:$L,'NSE - Other Index Options'!$D:$D,$A24,'NSE - Other Index Options'!$H:$H,"*"))</f>
        <v/>
      </c>
      <c r="C24" s="26" t="str">
        <f>IF(SUMIFS('BSE - SENSEX Index Options'!$L:$L,'BSE - SENSEX Index Options'!$D:$D,$A24,'BSE - SENSEX Index Options'!$H:$H,"*")+SUMIFS('BSE - Other Index Options'!$L:$L,'BSE - Other Index Options'!$D:$D,$A24,'BSE - Other Index Options'!$H:$H,"*")=0,"",SUMIFS('BSE - SENSEX Index Options'!$L:$L,'BSE - SENSEX Index Options'!$D:$D,$A24,'BSE - SENSEX Index Options'!$H:$H,"*")+SUMIFS('BSE - Other Index Options'!$L:$L,'BSE - Other Index Options'!$D:$D,$A24,'BSE - Other Index Options'!$H:$H,"*"))</f>
        <v/>
      </c>
      <c r="D24" s="27" t="str">
        <f t="shared" si="0"/>
        <v/>
      </c>
      <c r="E24" s="27" t="str">
        <f t="shared" si="1"/>
        <v/>
      </c>
    </row>
    <row r="25" spans="1:5" hidden="1" outlineLevel="1">
      <c r="A25" s="24">
        <v>46508</v>
      </c>
      <c r="B25" s="26" t="str">
        <f>IF(SUMIFS('NSE - NIFTY Index Options'!$L:$L,'NSE - NIFTY Index Options'!$D:$D,$A25,'NSE - NIFTY Index Options'!$H:$H,"*")+SUMIFS('NSE - Other Index Options'!$L:$L,'NSE - Other Index Options'!$D:$D,$A25,'NSE - Other Index Options'!$H:$H,"*")=0,"",SUMIFS('NSE - NIFTY Index Options'!$L:$L,'NSE - NIFTY Index Options'!$D:$D,$A25,'NSE - NIFTY Index Options'!$H:$H,"*")+SUMIFS('NSE - Other Index Options'!$L:$L,'NSE - Other Index Options'!$D:$D,$A25,'NSE - Other Index Options'!$H:$H,"*"))</f>
        <v/>
      </c>
      <c r="C25" s="26" t="str">
        <f>IF(SUMIFS('BSE - SENSEX Index Options'!$L:$L,'BSE - SENSEX Index Options'!$D:$D,$A25,'BSE - SENSEX Index Options'!$H:$H,"*")+SUMIFS('BSE - Other Index Options'!$L:$L,'BSE - Other Index Options'!$D:$D,$A25,'BSE - Other Index Options'!$H:$H,"*")=0,"",SUMIFS('BSE - SENSEX Index Options'!$L:$L,'BSE - SENSEX Index Options'!$D:$D,$A25,'BSE - SENSEX Index Options'!$H:$H,"*")+SUMIFS('BSE - Other Index Options'!$L:$L,'BSE - Other Index Options'!$D:$D,$A25,'BSE - Other Index Options'!$H:$H,"*"))</f>
        <v/>
      </c>
      <c r="D25" s="27" t="str">
        <f t="shared" si="0"/>
        <v/>
      </c>
      <c r="E25" s="27" t="str">
        <f t="shared" si="1"/>
        <v/>
      </c>
    </row>
    <row r="26" spans="1:5" hidden="1" outlineLevel="1">
      <c r="A26" s="24">
        <v>46539</v>
      </c>
      <c r="B26" s="26" t="str">
        <f>IF(SUMIFS('NSE - NIFTY Index Options'!$L:$L,'NSE - NIFTY Index Options'!$D:$D,$A26,'NSE - NIFTY Index Options'!$H:$H,"*")+SUMIFS('NSE - Other Index Options'!$L:$L,'NSE - Other Index Options'!$D:$D,$A26,'NSE - Other Index Options'!$H:$H,"*")=0,"",SUMIFS('NSE - NIFTY Index Options'!$L:$L,'NSE - NIFTY Index Options'!$D:$D,$A26,'NSE - NIFTY Index Options'!$H:$H,"*")+SUMIFS('NSE - Other Index Options'!$L:$L,'NSE - Other Index Options'!$D:$D,$A26,'NSE - Other Index Options'!$H:$H,"*"))</f>
        <v/>
      </c>
      <c r="C26" s="26" t="str">
        <f>IF(SUMIFS('BSE - SENSEX Index Options'!$L:$L,'BSE - SENSEX Index Options'!$D:$D,$A26,'BSE - SENSEX Index Options'!$H:$H,"*")+SUMIFS('BSE - Other Index Options'!$L:$L,'BSE - Other Index Options'!$D:$D,$A26,'BSE - Other Index Options'!$H:$H,"*")=0,"",SUMIFS('BSE - SENSEX Index Options'!$L:$L,'BSE - SENSEX Index Options'!$D:$D,$A26,'BSE - SENSEX Index Options'!$H:$H,"*")+SUMIFS('BSE - Other Index Options'!$L:$L,'BSE - Other Index Options'!$D:$D,$A26,'BSE - Other Index Options'!$H:$H,"*"))</f>
        <v/>
      </c>
      <c r="D26" s="27" t="str">
        <f t="shared" si="0"/>
        <v/>
      </c>
      <c r="E26" s="27" t="str">
        <f t="shared" si="1"/>
        <v/>
      </c>
    </row>
    <row r="27" spans="1:5" hidden="1" outlineLevel="1">
      <c r="A27" s="24">
        <v>46569</v>
      </c>
      <c r="B27" s="26" t="str">
        <f>IF(SUMIFS('NSE - NIFTY Index Options'!$L:$L,'NSE - NIFTY Index Options'!$D:$D,$A27,'NSE - NIFTY Index Options'!$H:$H,"*")+SUMIFS('NSE - Other Index Options'!$L:$L,'NSE - Other Index Options'!$D:$D,$A27,'NSE - Other Index Options'!$H:$H,"*")=0,"",SUMIFS('NSE - NIFTY Index Options'!$L:$L,'NSE - NIFTY Index Options'!$D:$D,$A27,'NSE - NIFTY Index Options'!$H:$H,"*")+SUMIFS('NSE - Other Index Options'!$L:$L,'NSE - Other Index Options'!$D:$D,$A27,'NSE - Other Index Options'!$H:$H,"*"))</f>
        <v/>
      </c>
      <c r="C27" s="26" t="str">
        <f>IF(SUMIFS('BSE - SENSEX Index Options'!$L:$L,'BSE - SENSEX Index Options'!$D:$D,$A27,'BSE - SENSEX Index Options'!$H:$H,"*")+SUMIFS('BSE - Other Index Options'!$L:$L,'BSE - Other Index Options'!$D:$D,$A27,'BSE - Other Index Options'!$H:$H,"*")=0,"",SUMIFS('BSE - SENSEX Index Options'!$L:$L,'BSE - SENSEX Index Options'!$D:$D,$A27,'BSE - SENSEX Index Options'!$H:$H,"*")+SUMIFS('BSE - Other Index Options'!$L:$L,'BSE - Other Index Options'!$D:$D,$A27,'BSE - Other Index Options'!$H:$H,"*"))</f>
        <v/>
      </c>
      <c r="D27" s="27" t="str">
        <f t="shared" si="0"/>
        <v/>
      </c>
      <c r="E27" s="27" t="str">
        <f t="shared" si="1"/>
        <v/>
      </c>
    </row>
    <row r="28" spans="1:5" hidden="1" outlineLevel="1">
      <c r="A28" s="24">
        <v>46600</v>
      </c>
      <c r="B28" s="26" t="str">
        <f>IF(SUMIFS('NSE - NIFTY Index Options'!$L:$L,'NSE - NIFTY Index Options'!$D:$D,$A28,'NSE - NIFTY Index Options'!$H:$H,"*")+SUMIFS('NSE - Other Index Options'!$L:$L,'NSE - Other Index Options'!$D:$D,$A28,'NSE - Other Index Options'!$H:$H,"*")=0,"",SUMIFS('NSE - NIFTY Index Options'!$L:$L,'NSE - NIFTY Index Options'!$D:$D,$A28,'NSE - NIFTY Index Options'!$H:$H,"*")+SUMIFS('NSE - Other Index Options'!$L:$L,'NSE - Other Index Options'!$D:$D,$A28,'NSE - Other Index Options'!$H:$H,"*"))</f>
        <v/>
      </c>
      <c r="C28" s="26" t="str">
        <f>IF(SUMIFS('BSE - SENSEX Index Options'!$L:$L,'BSE - SENSEX Index Options'!$D:$D,$A28,'BSE - SENSEX Index Options'!$H:$H,"*")+SUMIFS('BSE - Other Index Options'!$L:$L,'BSE - Other Index Options'!$D:$D,$A28,'BSE - Other Index Options'!$H:$H,"*")=0,"",SUMIFS('BSE - SENSEX Index Options'!$L:$L,'BSE - SENSEX Index Options'!$D:$D,$A28,'BSE - SENSEX Index Options'!$H:$H,"*")+SUMIFS('BSE - Other Index Options'!$L:$L,'BSE - Other Index Options'!$D:$D,$A28,'BSE - Other Index Options'!$H:$H,"*"))</f>
        <v/>
      </c>
      <c r="D28" s="27" t="str">
        <f t="shared" si="0"/>
        <v/>
      </c>
      <c r="E28" s="27" t="str">
        <f t="shared" si="1"/>
        <v/>
      </c>
    </row>
    <row r="29" spans="1:5" hidden="1" outlineLevel="1">
      <c r="A29" s="24">
        <v>46631</v>
      </c>
      <c r="B29" s="26" t="str">
        <f>IF(SUMIFS('NSE - NIFTY Index Options'!$L:$L,'NSE - NIFTY Index Options'!$D:$D,$A29,'NSE - NIFTY Index Options'!$H:$H,"*")+SUMIFS('NSE - Other Index Options'!$L:$L,'NSE - Other Index Options'!$D:$D,$A29,'NSE - Other Index Options'!$H:$H,"*")=0,"",SUMIFS('NSE - NIFTY Index Options'!$L:$L,'NSE - NIFTY Index Options'!$D:$D,$A29,'NSE - NIFTY Index Options'!$H:$H,"*")+SUMIFS('NSE - Other Index Options'!$L:$L,'NSE - Other Index Options'!$D:$D,$A29,'NSE - Other Index Options'!$H:$H,"*"))</f>
        <v/>
      </c>
      <c r="C29" s="26" t="str">
        <f>IF(SUMIFS('BSE - SENSEX Index Options'!$L:$L,'BSE - SENSEX Index Options'!$D:$D,$A29,'BSE - SENSEX Index Options'!$H:$H,"*")+SUMIFS('BSE - Other Index Options'!$L:$L,'BSE - Other Index Options'!$D:$D,$A29,'BSE - Other Index Options'!$H:$H,"*")=0,"",SUMIFS('BSE - SENSEX Index Options'!$L:$L,'BSE - SENSEX Index Options'!$D:$D,$A29,'BSE - SENSEX Index Options'!$H:$H,"*")+SUMIFS('BSE - Other Index Options'!$L:$L,'BSE - Other Index Options'!$D:$D,$A29,'BSE - Other Index Options'!$H:$H,"*"))</f>
        <v/>
      </c>
      <c r="D29" s="27" t="str">
        <f t="shared" si="0"/>
        <v/>
      </c>
      <c r="E29" s="27" t="str">
        <f t="shared" si="1"/>
        <v/>
      </c>
    </row>
    <row r="30" spans="1:5" hidden="1" outlineLevel="1">
      <c r="A30" s="24">
        <v>46661</v>
      </c>
      <c r="B30" s="26" t="str">
        <f>IF(SUMIFS('NSE - NIFTY Index Options'!$L:$L,'NSE - NIFTY Index Options'!$D:$D,$A30,'NSE - NIFTY Index Options'!$H:$H,"*")+SUMIFS('NSE - Other Index Options'!$L:$L,'NSE - Other Index Options'!$D:$D,$A30,'NSE - Other Index Options'!$H:$H,"*")=0,"",SUMIFS('NSE - NIFTY Index Options'!$L:$L,'NSE - NIFTY Index Options'!$D:$D,$A30,'NSE - NIFTY Index Options'!$H:$H,"*")+SUMIFS('NSE - Other Index Options'!$L:$L,'NSE - Other Index Options'!$D:$D,$A30,'NSE - Other Index Options'!$H:$H,"*"))</f>
        <v/>
      </c>
      <c r="C30" s="26" t="str">
        <f>IF(SUMIFS('BSE - SENSEX Index Options'!$L:$L,'BSE - SENSEX Index Options'!$D:$D,$A30,'BSE - SENSEX Index Options'!$H:$H,"*")+SUMIFS('BSE - Other Index Options'!$L:$L,'BSE - Other Index Options'!$D:$D,$A30,'BSE - Other Index Options'!$H:$H,"*")=0,"",SUMIFS('BSE - SENSEX Index Options'!$L:$L,'BSE - SENSEX Index Options'!$D:$D,$A30,'BSE - SENSEX Index Options'!$H:$H,"*")+SUMIFS('BSE - Other Index Options'!$L:$L,'BSE - Other Index Options'!$D:$D,$A30,'BSE - Other Index Options'!$H:$H,"*"))</f>
        <v/>
      </c>
      <c r="D30" s="27" t="str">
        <f t="shared" si="0"/>
        <v/>
      </c>
      <c r="E30" s="27" t="str">
        <f t="shared" si="1"/>
        <v/>
      </c>
    </row>
    <row r="31" spans="1:5" hidden="1" outlineLevel="1">
      <c r="A31" s="24">
        <v>46692</v>
      </c>
      <c r="B31" s="26" t="str">
        <f>IF(SUMIFS('NSE - NIFTY Index Options'!$L:$L,'NSE - NIFTY Index Options'!$D:$D,$A31,'NSE - NIFTY Index Options'!$H:$H,"*")+SUMIFS('NSE - Other Index Options'!$L:$L,'NSE - Other Index Options'!$D:$D,$A31,'NSE - Other Index Options'!$H:$H,"*")=0,"",SUMIFS('NSE - NIFTY Index Options'!$L:$L,'NSE - NIFTY Index Options'!$D:$D,$A31,'NSE - NIFTY Index Options'!$H:$H,"*")+SUMIFS('NSE - Other Index Options'!$L:$L,'NSE - Other Index Options'!$D:$D,$A31,'NSE - Other Index Options'!$H:$H,"*"))</f>
        <v/>
      </c>
      <c r="C31" s="26" t="str">
        <f>IF(SUMIFS('BSE - SENSEX Index Options'!$L:$L,'BSE - SENSEX Index Options'!$D:$D,$A31,'BSE - SENSEX Index Options'!$H:$H,"*")+SUMIFS('BSE - Other Index Options'!$L:$L,'BSE - Other Index Options'!$D:$D,$A31,'BSE - Other Index Options'!$H:$H,"*")=0,"",SUMIFS('BSE - SENSEX Index Options'!$L:$L,'BSE - SENSEX Index Options'!$D:$D,$A31,'BSE - SENSEX Index Options'!$H:$H,"*")+SUMIFS('BSE - Other Index Options'!$L:$L,'BSE - Other Index Options'!$D:$D,$A31,'BSE - Other Index Options'!$H:$H,"*"))</f>
        <v/>
      </c>
      <c r="D31" s="27" t="str">
        <f t="shared" si="0"/>
        <v/>
      </c>
      <c r="E31" s="27" t="str">
        <f t="shared" si="1"/>
        <v/>
      </c>
    </row>
    <row r="32" spans="1:5" hidden="1" outlineLevel="1">
      <c r="A32" s="24">
        <v>46722</v>
      </c>
      <c r="B32" s="26" t="str">
        <f>IF(SUMIFS('NSE - NIFTY Index Options'!$L:$L,'NSE - NIFTY Index Options'!$D:$D,$A32,'NSE - NIFTY Index Options'!$H:$H,"*")+SUMIFS('NSE - Other Index Options'!$L:$L,'NSE - Other Index Options'!$D:$D,$A32,'NSE - Other Index Options'!$H:$H,"*")=0,"",SUMIFS('NSE - NIFTY Index Options'!$L:$L,'NSE - NIFTY Index Options'!$D:$D,$A32,'NSE - NIFTY Index Options'!$H:$H,"*")+SUMIFS('NSE - Other Index Options'!$L:$L,'NSE - Other Index Options'!$D:$D,$A32,'NSE - Other Index Options'!$H:$H,"*"))</f>
        <v/>
      </c>
      <c r="C32" s="26" t="str">
        <f>IF(SUMIFS('BSE - SENSEX Index Options'!$L:$L,'BSE - SENSEX Index Options'!$D:$D,$A32,'BSE - SENSEX Index Options'!$H:$H,"*")+SUMIFS('BSE - Other Index Options'!$L:$L,'BSE - Other Index Options'!$D:$D,$A32,'BSE - Other Index Options'!$H:$H,"*")=0,"",SUMIFS('BSE - SENSEX Index Options'!$L:$L,'BSE - SENSEX Index Options'!$D:$D,$A32,'BSE - SENSEX Index Options'!$H:$H,"*")+SUMIFS('BSE - Other Index Options'!$L:$L,'BSE - Other Index Options'!$D:$D,$A32,'BSE - Other Index Options'!$H:$H,"*"))</f>
        <v/>
      </c>
      <c r="D32" s="27" t="str">
        <f t="shared" si="0"/>
        <v/>
      </c>
      <c r="E32" s="27" t="str">
        <f t="shared" si="1"/>
        <v/>
      </c>
    </row>
    <row r="33" spans="1:5" collapsed="1">
      <c r="A33" s="32" t="s">
        <v>9</v>
      </c>
      <c r="B33" s="33">
        <f>IF(SUM(B5:B32)=0,"",SUM(B5:B32))</f>
        <v>11525883.700000003</v>
      </c>
      <c r="C33" s="33">
        <f>IF(SUM(C5:C32)=0,"",SUM(C5:C32))</f>
        <v>5233083.17</v>
      </c>
      <c r="D33" s="34">
        <f t="shared" si="0"/>
        <v>0.68774428575500857</v>
      </c>
      <c r="E33" s="34">
        <f t="shared" si="1"/>
        <v>0.31225571424499149</v>
      </c>
    </row>
    <row r="36" spans="1:5">
      <c r="A36" s="32" t="s">
        <v>188</v>
      </c>
    </row>
    <row r="37" spans="1:5">
      <c r="A37" s="32" t="s">
        <v>169</v>
      </c>
      <c r="B37" s="32" t="s">
        <v>1</v>
      </c>
      <c r="C37" s="32" t="s">
        <v>148</v>
      </c>
      <c r="D37" s="32" t="s">
        <v>149</v>
      </c>
      <c r="E37" s="32" t="s">
        <v>150</v>
      </c>
    </row>
    <row r="38" spans="1:5">
      <c r="A38" s="24">
        <v>45901</v>
      </c>
      <c r="B38" s="26">
        <f>IF(SUMIFS('NSE - NIFTY Index Options'!$L:$L,'NSE - NIFTY Index Options'!$D:$D,$A38,'NSE - NIFTY Index Options'!$H:$H,"Weekly*")+SUMIFS('NSE - NIFTY Index Options'!$L:$L,'NSE - NIFTY Index Options'!$D:$D,$A38,'NSE - NIFTY Index Options'!$H:$H,"MDAW*")+SUMIFS('NSE - Other Index Options'!$L:$L,'NSE - Other Index Options'!$D:$D,$A38,'NSE - Other Index Options'!$H:$H,"Weekly*")+SUMIFS('NSE - Other Index Options'!$L:$L,'NSE - Other Index Options'!$D:$D,$A38,'NSE - Other Index Options'!$H:$H,"MDAW*")=0,"",SUMIFS('NSE - NIFTY Index Options'!$L:$L,'NSE - NIFTY Index Options'!$D:$D,$A38,'NSE - NIFTY Index Options'!$H:$H,"Weekly*")+SUMIFS('NSE - NIFTY Index Options'!$L:$L,'NSE - NIFTY Index Options'!$D:$D,$A38,'NSE - NIFTY Index Options'!$H:$H,"MDAW*")+SUMIFS('NSE - Other Index Options'!$L:$L,'NSE - Other Index Options'!$D:$D,$A38,'NSE - Other Index Options'!$H:$H,"Weekly*")+SUMIFS('NSE - Other Index Options'!$L:$L,'NSE - Other Index Options'!$D:$D,$A38,'NSE - Other Index Options'!$H:$H,"MDAW*"))</f>
        <v>774622.1599999998</v>
      </c>
      <c r="C38" s="26">
        <f>IF(SUMIFS('BSE - SENSEX Index Options'!$L:$L,'BSE - SENSEX Index Options'!$D:$D,$A38,'BSE - SENSEX Index Options'!$H:$H,"Weekly*")+SUMIFS('BSE - SENSEX Index Options'!$L:$L,'BSE - SENSEX Index Options'!$D:$D,$A38,'BSE - SENSEX Index Options'!$H:$H,"MDAW*")+SUMIFS('BSE - Other Index Options'!$L:$L,'BSE - Other Index Options'!$D:$D,$A38,'BSE - Other Index Options'!$H:$H,"Weekly*")+SUMIFS('BSE - Other Index Options'!$L:$L,'BSE - Other Index Options'!$D:$D,$A38,'BSE - Other Index Options'!$H:$H,"MDAW*")=0,"",SUMIFS('BSE - SENSEX Index Options'!$L:$L,'BSE - SENSEX Index Options'!$D:$D,$A38,'BSE - SENSEX Index Options'!$H:$H,"Weekly*")+SUMIFS('BSE - SENSEX Index Options'!$L:$L,'BSE - SENSEX Index Options'!$D:$D,$A38,'BSE - SENSEX Index Options'!$H:$H,"MDAW*")+SUMIFS('BSE - Other Index Options'!$L:$L,'BSE - Other Index Options'!$D:$D,$A38,'BSE - Other Index Options'!$H:$H,"Weekly*")+SUMIFS('BSE - Other Index Options'!$L:$L,'BSE - Other Index Options'!$D:$D,$A38,'BSE - Other Index Options'!$H:$H,"MDAW*"))</f>
        <v>343340.46</v>
      </c>
      <c r="D38" s="27">
        <f t="shared" ref="D38:D66" si="2">IF(SUM(B38:C38)=0,"",SUM(B38)/SUM(B38:C38))</f>
        <v>0.69288735253062383</v>
      </c>
      <c r="E38" s="27">
        <f t="shared" ref="E38:E66" si="3">IF(SUM(B38:C38)=0,"",SUM(C38)/SUM(B38:C38))</f>
        <v>0.30711264746937611</v>
      </c>
    </row>
    <row r="39" spans="1:5">
      <c r="A39" s="24">
        <v>45931</v>
      </c>
      <c r="B39" s="26">
        <f>IF(SUMIFS('NSE - NIFTY Index Options'!$L:$L,'NSE - NIFTY Index Options'!$D:$D,$A39,'NSE - NIFTY Index Options'!$H:$H,"Weekly*")+SUMIFS('NSE - NIFTY Index Options'!$L:$L,'NSE - NIFTY Index Options'!$D:$D,$A39,'NSE - NIFTY Index Options'!$H:$H,"MDAW*")+SUMIFS('NSE - Other Index Options'!$L:$L,'NSE - Other Index Options'!$D:$D,$A39,'NSE - Other Index Options'!$H:$H,"Weekly*")+SUMIFS('NSE - Other Index Options'!$L:$L,'NSE - Other Index Options'!$D:$D,$A39,'NSE - Other Index Options'!$H:$H,"MDAW*")=0,"",SUMIFS('NSE - NIFTY Index Options'!$L:$L,'NSE - NIFTY Index Options'!$D:$D,$A39,'NSE - NIFTY Index Options'!$H:$H,"Weekly*")+SUMIFS('NSE - NIFTY Index Options'!$L:$L,'NSE - NIFTY Index Options'!$D:$D,$A39,'NSE - NIFTY Index Options'!$H:$H,"MDAW*")+SUMIFS('NSE - Other Index Options'!$L:$L,'NSE - Other Index Options'!$D:$D,$A39,'NSE - Other Index Options'!$H:$H,"Weekly*")+SUMIFS('NSE - Other Index Options'!$L:$L,'NSE - Other Index Options'!$D:$D,$A39,'NSE - Other Index Options'!$H:$H,"MDAW*"))</f>
        <v>859204.51000000024</v>
      </c>
      <c r="C39" s="26">
        <f>IF(SUMIFS('BSE - SENSEX Index Options'!$L:$L,'BSE - SENSEX Index Options'!$D:$D,$A39,'BSE - SENSEX Index Options'!$H:$H,"Weekly*")+SUMIFS('BSE - SENSEX Index Options'!$L:$L,'BSE - SENSEX Index Options'!$D:$D,$A39,'BSE - SENSEX Index Options'!$H:$H,"MDAW*")+SUMIFS('BSE - Other Index Options'!$L:$L,'BSE - Other Index Options'!$D:$D,$A39,'BSE - Other Index Options'!$H:$H,"Weekly*")+SUMIFS('BSE - Other Index Options'!$L:$L,'BSE - Other Index Options'!$D:$D,$A39,'BSE - Other Index Options'!$H:$H,"MDAW*")=0,"",SUMIFS('BSE - SENSEX Index Options'!$L:$L,'BSE - SENSEX Index Options'!$D:$D,$A39,'BSE - SENSEX Index Options'!$H:$H,"Weekly*")+SUMIFS('BSE - SENSEX Index Options'!$L:$L,'BSE - SENSEX Index Options'!$D:$D,$A39,'BSE - SENSEX Index Options'!$H:$H,"MDAW*")+SUMIFS('BSE - Other Index Options'!$L:$L,'BSE - Other Index Options'!$D:$D,$A39,'BSE - Other Index Options'!$H:$H,"Weekly*")+SUMIFS('BSE - Other Index Options'!$L:$L,'BSE - Other Index Options'!$D:$D,$A39,'BSE - Other Index Options'!$H:$H,"MDAW*"))</f>
        <v>426907.8600000001</v>
      </c>
      <c r="D39" s="27">
        <f t="shared" si="2"/>
        <v>0.66806332793455681</v>
      </c>
      <c r="E39" s="27">
        <f t="shared" si="3"/>
        <v>0.33193667206544325</v>
      </c>
    </row>
    <row r="40" spans="1:5">
      <c r="A40" s="24">
        <v>45962</v>
      </c>
      <c r="B40" s="26">
        <f>IF(SUMIFS('NSE - NIFTY Index Options'!$L:$L,'NSE - NIFTY Index Options'!$D:$D,$A40,'NSE - NIFTY Index Options'!$H:$H,"Weekly*")+SUMIFS('NSE - NIFTY Index Options'!$L:$L,'NSE - NIFTY Index Options'!$D:$D,$A40,'NSE - NIFTY Index Options'!$H:$H,"MDAW*")+SUMIFS('NSE - Other Index Options'!$L:$L,'NSE - Other Index Options'!$D:$D,$A40,'NSE - Other Index Options'!$H:$H,"Weekly*")+SUMIFS('NSE - Other Index Options'!$L:$L,'NSE - Other Index Options'!$D:$D,$A40,'NSE - Other Index Options'!$H:$H,"MDAW*")=0,"",SUMIFS('NSE - NIFTY Index Options'!$L:$L,'NSE - NIFTY Index Options'!$D:$D,$A40,'NSE - NIFTY Index Options'!$H:$H,"Weekly*")+SUMIFS('NSE - NIFTY Index Options'!$L:$L,'NSE - NIFTY Index Options'!$D:$D,$A40,'NSE - NIFTY Index Options'!$H:$H,"MDAW*")+SUMIFS('NSE - Other Index Options'!$L:$L,'NSE - Other Index Options'!$D:$D,$A40,'NSE - Other Index Options'!$H:$H,"Weekly*")+SUMIFS('NSE - Other Index Options'!$L:$L,'NSE - Other Index Options'!$D:$D,$A40,'NSE - Other Index Options'!$H:$H,"MDAW*"))</f>
        <v>762224.7200000002</v>
      </c>
      <c r="C40" s="26">
        <f>IF(SUMIFS('BSE - SENSEX Index Options'!$L:$L,'BSE - SENSEX Index Options'!$D:$D,$A40,'BSE - SENSEX Index Options'!$H:$H,"Weekly*")+SUMIFS('BSE - SENSEX Index Options'!$L:$L,'BSE - SENSEX Index Options'!$D:$D,$A40,'BSE - SENSEX Index Options'!$H:$H,"MDAW*")+SUMIFS('BSE - Other Index Options'!$L:$L,'BSE - Other Index Options'!$D:$D,$A40,'BSE - Other Index Options'!$H:$H,"Weekly*")+SUMIFS('BSE - Other Index Options'!$L:$L,'BSE - Other Index Options'!$D:$D,$A40,'BSE - Other Index Options'!$H:$H,"MDAW*")=0,"",SUMIFS('BSE - SENSEX Index Options'!$L:$L,'BSE - SENSEX Index Options'!$D:$D,$A40,'BSE - SENSEX Index Options'!$H:$H,"Weekly*")+SUMIFS('BSE - SENSEX Index Options'!$L:$L,'BSE - SENSEX Index Options'!$D:$D,$A40,'BSE - SENSEX Index Options'!$H:$H,"MDAW*")+SUMIFS('BSE - Other Index Options'!$L:$L,'BSE - Other Index Options'!$D:$D,$A40,'BSE - Other Index Options'!$H:$H,"Weekly*")+SUMIFS('BSE - Other Index Options'!$L:$L,'BSE - Other Index Options'!$D:$D,$A40,'BSE - Other Index Options'!$H:$H,"MDAW*"))</f>
        <v>359850.44999999995</v>
      </c>
      <c r="D40" s="27">
        <f t="shared" si="2"/>
        <v>0.67929915960977916</v>
      </c>
      <c r="E40" s="27">
        <f t="shared" si="3"/>
        <v>0.32070084039022084</v>
      </c>
    </row>
    <row r="41" spans="1:5">
      <c r="A41" s="24">
        <v>45992</v>
      </c>
      <c r="B41" s="26">
        <f>IF(SUMIFS('NSE - NIFTY Index Options'!$L:$L,'NSE - NIFTY Index Options'!$D:$D,$A41,'NSE - NIFTY Index Options'!$H:$H,"Weekly*")+SUMIFS('NSE - NIFTY Index Options'!$L:$L,'NSE - NIFTY Index Options'!$D:$D,$A41,'NSE - NIFTY Index Options'!$H:$H,"MDAW*")+SUMIFS('NSE - Other Index Options'!$L:$L,'NSE - Other Index Options'!$D:$D,$A41,'NSE - Other Index Options'!$H:$H,"Weekly*")+SUMIFS('NSE - Other Index Options'!$L:$L,'NSE - Other Index Options'!$D:$D,$A41,'NSE - Other Index Options'!$H:$H,"MDAW*")=0,"",SUMIFS('NSE - NIFTY Index Options'!$L:$L,'NSE - NIFTY Index Options'!$D:$D,$A41,'NSE - NIFTY Index Options'!$H:$H,"Weekly*")+SUMIFS('NSE - NIFTY Index Options'!$L:$L,'NSE - NIFTY Index Options'!$D:$D,$A41,'NSE - NIFTY Index Options'!$H:$H,"MDAW*")+SUMIFS('NSE - Other Index Options'!$L:$L,'NSE - Other Index Options'!$D:$D,$A41,'NSE - Other Index Options'!$H:$H,"Weekly*")+SUMIFS('NSE - Other Index Options'!$L:$L,'NSE - Other Index Options'!$D:$D,$A41,'NSE - Other Index Options'!$H:$H,"MDAW*"))</f>
        <v>798855.1399999999</v>
      </c>
      <c r="C41" s="26">
        <f>IF(SUMIFS('BSE - SENSEX Index Options'!$L:$L,'BSE - SENSEX Index Options'!$D:$D,$A41,'BSE - SENSEX Index Options'!$H:$H,"Weekly*")+SUMIFS('BSE - SENSEX Index Options'!$L:$L,'BSE - SENSEX Index Options'!$D:$D,$A41,'BSE - SENSEX Index Options'!$H:$H,"MDAW*")+SUMIFS('BSE - Other Index Options'!$L:$L,'BSE - Other Index Options'!$D:$D,$A41,'BSE - Other Index Options'!$H:$H,"Weekly*")+SUMIFS('BSE - Other Index Options'!$L:$L,'BSE - Other Index Options'!$D:$D,$A41,'BSE - Other Index Options'!$H:$H,"MDAW*")=0,"",SUMIFS('BSE - SENSEX Index Options'!$L:$L,'BSE - SENSEX Index Options'!$D:$D,$A41,'BSE - SENSEX Index Options'!$H:$H,"Weekly*")+SUMIFS('BSE - SENSEX Index Options'!$L:$L,'BSE - SENSEX Index Options'!$D:$D,$A41,'BSE - SENSEX Index Options'!$H:$H,"MDAW*")+SUMIFS('BSE - Other Index Options'!$L:$L,'BSE - Other Index Options'!$D:$D,$A41,'BSE - Other Index Options'!$H:$H,"Weekly*")+SUMIFS('BSE - Other Index Options'!$L:$L,'BSE - Other Index Options'!$D:$D,$A41,'BSE - Other Index Options'!$H:$H,"MDAW*"))</f>
        <v>412814.2</v>
      </c>
      <c r="D41" s="27">
        <f t="shared" si="2"/>
        <v>0.65930127438893515</v>
      </c>
      <c r="E41" s="27">
        <f t="shared" si="3"/>
        <v>0.34069872561106485</v>
      </c>
    </row>
    <row r="42" spans="1:5">
      <c r="A42" s="24">
        <v>46023</v>
      </c>
      <c r="B42" s="26">
        <f>IF(SUMIFS('NSE - NIFTY Index Options'!$L:$L,'NSE - NIFTY Index Options'!$D:$D,$A42,'NSE - NIFTY Index Options'!$H:$H,"Weekly*")+SUMIFS('NSE - NIFTY Index Options'!$L:$L,'NSE - NIFTY Index Options'!$D:$D,$A42,'NSE - NIFTY Index Options'!$H:$H,"MDAW*")+SUMIFS('NSE - Other Index Options'!$L:$L,'NSE - Other Index Options'!$D:$D,$A42,'NSE - Other Index Options'!$H:$H,"Weekly*")+SUMIFS('NSE - Other Index Options'!$L:$L,'NSE - Other Index Options'!$D:$D,$A42,'NSE - Other Index Options'!$H:$H,"MDAW*")=0,"",SUMIFS('NSE - NIFTY Index Options'!$L:$L,'NSE - NIFTY Index Options'!$D:$D,$A42,'NSE - NIFTY Index Options'!$H:$H,"Weekly*")+SUMIFS('NSE - NIFTY Index Options'!$L:$L,'NSE - NIFTY Index Options'!$D:$D,$A42,'NSE - NIFTY Index Options'!$H:$H,"MDAW*")+SUMIFS('NSE - Other Index Options'!$L:$L,'NSE - Other Index Options'!$D:$D,$A42,'NSE - Other Index Options'!$H:$H,"Weekly*")+SUMIFS('NSE - Other Index Options'!$L:$L,'NSE - Other Index Options'!$D:$D,$A42,'NSE - Other Index Options'!$H:$H,"MDAW*"))</f>
        <v>984072.72</v>
      </c>
      <c r="C42" s="26">
        <f>IF(SUMIFS('BSE - SENSEX Index Options'!$L:$L,'BSE - SENSEX Index Options'!$D:$D,$A42,'BSE - SENSEX Index Options'!$H:$H,"Weekly*")+SUMIFS('BSE - SENSEX Index Options'!$L:$L,'BSE - SENSEX Index Options'!$D:$D,$A42,'BSE - SENSEX Index Options'!$H:$H,"MDAW*")+SUMIFS('BSE - Other Index Options'!$L:$L,'BSE - Other Index Options'!$D:$D,$A42,'BSE - Other Index Options'!$H:$H,"Weekly*")+SUMIFS('BSE - Other Index Options'!$L:$L,'BSE - Other Index Options'!$D:$D,$A42,'BSE - Other Index Options'!$H:$H,"MDAW*")=0,"",SUMIFS('BSE - SENSEX Index Options'!$L:$L,'BSE - SENSEX Index Options'!$D:$D,$A42,'BSE - SENSEX Index Options'!$H:$H,"Weekly*")+SUMIFS('BSE - SENSEX Index Options'!$L:$L,'BSE - SENSEX Index Options'!$D:$D,$A42,'BSE - SENSEX Index Options'!$H:$H,"MDAW*")+SUMIFS('BSE - Other Index Options'!$L:$L,'BSE - Other Index Options'!$D:$D,$A42,'BSE - Other Index Options'!$H:$H,"Weekly*")+SUMIFS('BSE - Other Index Options'!$L:$L,'BSE - Other Index Options'!$D:$D,$A42,'BSE - Other Index Options'!$H:$H,"MDAW*"))</f>
        <v>569860</v>
      </c>
      <c r="D42" s="27">
        <f t="shared" si="2"/>
        <v>0.63327884620384334</v>
      </c>
      <c r="E42" s="27">
        <f t="shared" si="3"/>
        <v>0.36672115379615666</v>
      </c>
    </row>
    <row r="43" spans="1:5">
      <c r="A43" s="24">
        <v>46054</v>
      </c>
      <c r="B43" s="26">
        <f>IF(SUMIFS('NSE - NIFTY Index Options'!$L:$L,'NSE - NIFTY Index Options'!$D:$D,$A43,'NSE - NIFTY Index Options'!$H:$H,"Weekly*")+SUMIFS('NSE - NIFTY Index Options'!$L:$L,'NSE - NIFTY Index Options'!$D:$D,$A43,'NSE - NIFTY Index Options'!$H:$H,"MDAW*")+SUMIFS('NSE - Other Index Options'!$L:$L,'NSE - Other Index Options'!$D:$D,$A43,'NSE - Other Index Options'!$H:$H,"Weekly*")+SUMIFS('NSE - Other Index Options'!$L:$L,'NSE - Other Index Options'!$D:$D,$A43,'NSE - Other Index Options'!$H:$H,"MDAW*")=0,"",SUMIFS('NSE - NIFTY Index Options'!$L:$L,'NSE - NIFTY Index Options'!$D:$D,$A43,'NSE - NIFTY Index Options'!$H:$H,"Weekly*")+SUMIFS('NSE - NIFTY Index Options'!$L:$L,'NSE - NIFTY Index Options'!$D:$D,$A43,'NSE - NIFTY Index Options'!$H:$H,"MDAW*")+SUMIFS('NSE - Other Index Options'!$L:$L,'NSE - Other Index Options'!$D:$D,$A43,'NSE - Other Index Options'!$H:$H,"Weekly*")+SUMIFS('NSE - Other Index Options'!$L:$L,'NSE - Other Index Options'!$D:$D,$A43,'NSE - Other Index Options'!$H:$H,"MDAW*"))</f>
        <v>1105205.53</v>
      </c>
      <c r="C43" s="26">
        <f>IF(SUMIFS('BSE - SENSEX Index Options'!$L:$L,'BSE - SENSEX Index Options'!$D:$D,$A43,'BSE - SENSEX Index Options'!$H:$H,"Weekly*")+SUMIFS('BSE - SENSEX Index Options'!$L:$L,'BSE - SENSEX Index Options'!$D:$D,$A43,'BSE - SENSEX Index Options'!$H:$H,"MDAW*")+SUMIFS('BSE - Other Index Options'!$L:$L,'BSE - Other Index Options'!$D:$D,$A43,'BSE - Other Index Options'!$H:$H,"Weekly*")+SUMIFS('BSE - Other Index Options'!$L:$L,'BSE - Other Index Options'!$D:$D,$A43,'BSE - Other Index Options'!$H:$H,"MDAW*")=0,"",SUMIFS('BSE - SENSEX Index Options'!$L:$L,'BSE - SENSEX Index Options'!$D:$D,$A43,'BSE - SENSEX Index Options'!$H:$H,"Weekly*")+SUMIFS('BSE - SENSEX Index Options'!$L:$L,'BSE - SENSEX Index Options'!$D:$D,$A43,'BSE - SENSEX Index Options'!$H:$H,"MDAW*")+SUMIFS('BSE - Other Index Options'!$L:$L,'BSE - Other Index Options'!$D:$D,$A43,'BSE - Other Index Options'!$H:$H,"Weekly*")+SUMIFS('BSE - Other Index Options'!$L:$L,'BSE - Other Index Options'!$D:$D,$A43,'BSE - Other Index Options'!$H:$H,"MDAW*"))</f>
        <v>527274.74</v>
      </c>
      <c r="D43" s="27">
        <f t="shared" si="2"/>
        <v>0.67701003822851713</v>
      </c>
      <c r="E43" s="27">
        <f t="shared" si="3"/>
        <v>0.32298996177148281</v>
      </c>
    </row>
    <row r="44" spans="1:5">
      <c r="A44" s="24">
        <v>46082</v>
      </c>
      <c r="B44" s="26">
        <f>IF(SUMIFS('NSE - NIFTY Index Options'!$L:$L,'NSE - NIFTY Index Options'!$D:$D,$A44,'NSE - NIFTY Index Options'!$H:$H,"Weekly*")+SUMIFS('NSE - NIFTY Index Options'!$L:$L,'NSE - NIFTY Index Options'!$D:$D,$A44,'NSE - NIFTY Index Options'!$H:$H,"MDAW*")+SUMIFS('NSE - Other Index Options'!$L:$L,'NSE - Other Index Options'!$D:$D,$A44,'NSE - Other Index Options'!$H:$H,"Weekly*")+SUMIFS('NSE - Other Index Options'!$L:$L,'NSE - Other Index Options'!$D:$D,$A44,'NSE - Other Index Options'!$H:$H,"MDAW*")=0,"",SUMIFS('NSE - NIFTY Index Options'!$L:$L,'NSE - NIFTY Index Options'!$D:$D,$A44,'NSE - NIFTY Index Options'!$H:$H,"Weekly*")+SUMIFS('NSE - NIFTY Index Options'!$L:$L,'NSE - NIFTY Index Options'!$D:$D,$A44,'NSE - NIFTY Index Options'!$H:$H,"MDAW*")+SUMIFS('NSE - Other Index Options'!$L:$L,'NSE - Other Index Options'!$D:$D,$A44,'NSE - Other Index Options'!$H:$H,"Weekly*")+SUMIFS('NSE - Other Index Options'!$L:$L,'NSE - Other Index Options'!$D:$D,$A44,'NSE - Other Index Options'!$H:$H,"MDAW*"))</f>
        <v>1360193.2600000002</v>
      </c>
      <c r="C44" s="26">
        <f>IF(SUMIFS('BSE - SENSEX Index Options'!$L:$L,'BSE - SENSEX Index Options'!$D:$D,$A44,'BSE - SENSEX Index Options'!$H:$H,"Weekly*")+SUMIFS('BSE - SENSEX Index Options'!$L:$L,'BSE - SENSEX Index Options'!$D:$D,$A44,'BSE - SENSEX Index Options'!$H:$H,"MDAW*")+SUMIFS('BSE - Other Index Options'!$L:$L,'BSE - Other Index Options'!$D:$D,$A44,'BSE - Other Index Options'!$H:$H,"Weekly*")+SUMIFS('BSE - Other Index Options'!$L:$L,'BSE - Other Index Options'!$D:$D,$A44,'BSE - Other Index Options'!$H:$H,"MDAW*")=0,"",SUMIFS('BSE - SENSEX Index Options'!$L:$L,'BSE - SENSEX Index Options'!$D:$D,$A44,'BSE - SENSEX Index Options'!$H:$H,"Weekly*")+SUMIFS('BSE - SENSEX Index Options'!$L:$L,'BSE - SENSEX Index Options'!$D:$D,$A44,'BSE - SENSEX Index Options'!$H:$H,"MDAW*")+SUMIFS('BSE - Other Index Options'!$L:$L,'BSE - Other Index Options'!$D:$D,$A44,'BSE - Other Index Options'!$H:$H,"Weekly*")+SUMIFS('BSE - Other Index Options'!$L:$L,'BSE - Other Index Options'!$D:$D,$A44,'BSE - Other Index Options'!$H:$H,"MDAW*"))</f>
        <v>624195.06999999983</v>
      </c>
      <c r="D44" s="27">
        <f t="shared" si="2"/>
        <v>0.68544711709728723</v>
      </c>
      <c r="E44" s="27">
        <f t="shared" si="3"/>
        <v>0.31455288290271283</v>
      </c>
    </row>
    <row r="45" spans="1:5">
      <c r="A45" s="24">
        <v>46113</v>
      </c>
      <c r="B45" s="26">
        <f>IF(SUMIFS('NSE - NIFTY Index Options'!$L:$L,'NSE - NIFTY Index Options'!$D:$D,$A45,'NSE - NIFTY Index Options'!$H:$H,"Weekly*")+SUMIFS('NSE - NIFTY Index Options'!$L:$L,'NSE - NIFTY Index Options'!$D:$D,$A45,'NSE - NIFTY Index Options'!$H:$H,"MDAW*")+SUMIFS('NSE - Other Index Options'!$L:$L,'NSE - Other Index Options'!$D:$D,$A45,'NSE - Other Index Options'!$H:$H,"Weekly*")+SUMIFS('NSE - Other Index Options'!$L:$L,'NSE - Other Index Options'!$D:$D,$A45,'NSE - Other Index Options'!$H:$H,"MDAW*")=0,"",SUMIFS('NSE - NIFTY Index Options'!$L:$L,'NSE - NIFTY Index Options'!$D:$D,$A45,'NSE - NIFTY Index Options'!$H:$H,"Weekly*")+SUMIFS('NSE - NIFTY Index Options'!$L:$L,'NSE - NIFTY Index Options'!$D:$D,$A45,'NSE - NIFTY Index Options'!$H:$H,"MDAW*")+SUMIFS('NSE - Other Index Options'!$L:$L,'NSE - Other Index Options'!$D:$D,$A45,'NSE - Other Index Options'!$H:$H,"Weekly*")+SUMIFS('NSE - Other Index Options'!$L:$L,'NSE - Other Index Options'!$D:$D,$A45,'NSE - Other Index Options'!$H:$H,"MDAW*"))</f>
        <v>940146.7699999999</v>
      </c>
      <c r="C45" s="26">
        <f>IF(SUMIFS('BSE - SENSEX Index Options'!$L:$L,'BSE - SENSEX Index Options'!$D:$D,$A45,'BSE - SENSEX Index Options'!$H:$H,"Weekly*")+SUMIFS('BSE - SENSEX Index Options'!$L:$L,'BSE - SENSEX Index Options'!$D:$D,$A45,'BSE - SENSEX Index Options'!$H:$H,"MDAW*")+SUMIFS('BSE - Other Index Options'!$L:$L,'BSE - Other Index Options'!$D:$D,$A45,'BSE - Other Index Options'!$H:$H,"Weekly*")+SUMIFS('BSE - Other Index Options'!$L:$L,'BSE - Other Index Options'!$D:$D,$A45,'BSE - Other Index Options'!$H:$H,"MDAW*")=0,"",SUMIFS('BSE - SENSEX Index Options'!$L:$L,'BSE - SENSEX Index Options'!$D:$D,$A45,'BSE - SENSEX Index Options'!$H:$H,"Weekly*")+SUMIFS('BSE - SENSEX Index Options'!$L:$L,'BSE - SENSEX Index Options'!$D:$D,$A45,'BSE - SENSEX Index Options'!$H:$H,"MDAW*")+SUMIFS('BSE - Other Index Options'!$L:$L,'BSE - Other Index Options'!$D:$D,$A45,'BSE - Other Index Options'!$H:$H,"Weekly*")+SUMIFS('BSE - Other Index Options'!$L:$L,'BSE - Other Index Options'!$D:$D,$A45,'BSE - Other Index Options'!$H:$H,"MDAW*"))</f>
        <v>658526.02000000025</v>
      </c>
      <c r="D45" s="27">
        <f t="shared" si="2"/>
        <v>0.58807954690965869</v>
      </c>
      <c r="E45" s="27">
        <f t="shared" si="3"/>
        <v>0.41192045309034142</v>
      </c>
    </row>
    <row r="46" spans="1:5">
      <c r="A46" s="24">
        <v>46143</v>
      </c>
      <c r="B46" s="26">
        <f>IF(SUMIFS('NSE - NIFTY Index Options'!$L:$L,'NSE - NIFTY Index Options'!$D:$D,$A46,'NSE - NIFTY Index Options'!$H:$H,"Weekly*")+SUMIFS('NSE - NIFTY Index Options'!$L:$L,'NSE - NIFTY Index Options'!$D:$D,$A46,'NSE - NIFTY Index Options'!$H:$H,"MDAW*")+SUMIFS('NSE - Other Index Options'!$L:$L,'NSE - Other Index Options'!$D:$D,$A46,'NSE - Other Index Options'!$H:$H,"Weekly*")+SUMIFS('NSE - Other Index Options'!$L:$L,'NSE - Other Index Options'!$D:$D,$A46,'NSE - Other Index Options'!$H:$H,"MDAW*")=0,"",SUMIFS('NSE - NIFTY Index Options'!$L:$L,'NSE - NIFTY Index Options'!$D:$D,$A46,'NSE - NIFTY Index Options'!$H:$H,"Weekly*")+SUMIFS('NSE - NIFTY Index Options'!$L:$L,'NSE - NIFTY Index Options'!$D:$D,$A46,'NSE - NIFTY Index Options'!$H:$H,"MDAW*")+SUMIFS('NSE - Other Index Options'!$L:$L,'NSE - Other Index Options'!$D:$D,$A46,'NSE - Other Index Options'!$H:$H,"Weekly*")+SUMIFS('NSE - Other Index Options'!$L:$L,'NSE - Other Index Options'!$D:$D,$A46,'NSE - Other Index Options'!$H:$H,"MDAW*"))</f>
        <v>944952.33000000007</v>
      </c>
      <c r="C46" s="26">
        <f>IF(SUMIFS('BSE - SENSEX Index Options'!$L:$L,'BSE - SENSEX Index Options'!$D:$D,$A46,'BSE - SENSEX Index Options'!$H:$H,"Weekly*")+SUMIFS('BSE - SENSEX Index Options'!$L:$L,'BSE - SENSEX Index Options'!$D:$D,$A46,'BSE - SENSEX Index Options'!$H:$H,"MDAW*")+SUMIFS('BSE - Other Index Options'!$L:$L,'BSE - Other Index Options'!$D:$D,$A46,'BSE - Other Index Options'!$H:$H,"Weekly*")+SUMIFS('BSE - Other Index Options'!$L:$L,'BSE - Other Index Options'!$D:$D,$A46,'BSE - Other Index Options'!$H:$H,"MDAW*")=0,"",SUMIFS('BSE - SENSEX Index Options'!$L:$L,'BSE - SENSEX Index Options'!$D:$D,$A46,'BSE - SENSEX Index Options'!$H:$H,"Weekly*")+SUMIFS('BSE - SENSEX Index Options'!$L:$L,'BSE - SENSEX Index Options'!$D:$D,$A46,'BSE - SENSEX Index Options'!$H:$H,"MDAW*")+SUMIFS('BSE - Other Index Options'!$L:$L,'BSE - Other Index Options'!$D:$D,$A46,'BSE - Other Index Options'!$H:$H,"Weekly*")+SUMIFS('BSE - Other Index Options'!$L:$L,'BSE - Other Index Options'!$D:$D,$A46,'BSE - Other Index Options'!$H:$H,"MDAW*"))</f>
        <v>561072.7300000001</v>
      </c>
      <c r="D46" s="27">
        <f t="shared" si="2"/>
        <v>0.62744794565370643</v>
      </c>
      <c r="E46" s="27">
        <f t="shared" si="3"/>
        <v>0.37255205434629357</v>
      </c>
    </row>
    <row r="47" spans="1:5">
      <c r="A47" s="24">
        <v>46174</v>
      </c>
      <c r="B47" s="26">
        <f>IF(SUMIFS('NSE - NIFTY Index Options'!$L:$L,'NSE - NIFTY Index Options'!$D:$D,$A47,'NSE - NIFTY Index Options'!$H:$H,"Weekly*")+SUMIFS('NSE - NIFTY Index Options'!$L:$L,'NSE - NIFTY Index Options'!$D:$D,$A47,'NSE - NIFTY Index Options'!$H:$H,"MDAW*")+SUMIFS('NSE - Other Index Options'!$L:$L,'NSE - Other Index Options'!$D:$D,$A47,'NSE - Other Index Options'!$H:$H,"Weekly*")+SUMIFS('NSE - Other Index Options'!$L:$L,'NSE - Other Index Options'!$D:$D,$A47,'NSE - Other Index Options'!$H:$H,"MDAW*")=0,"",SUMIFS('NSE - NIFTY Index Options'!$L:$L,'NSE - NIFTY Index Options'!$D:$D,$A47,'NSE - NIFTY Index Options'!$H:$H,"Weekly*")+SUMIFS('NSE - NIFTY Index Options'!$L:$L,'NSE - NIFTY Index Options'!$D:$D,$A47,'NSE - NIFTY Index Options'!$H:$H,"MDAW*")+SUMIFS('NSE - Other Index Options'!$L:$L,'NSE - Other Index Options'!$D:$D,$A47,'NSE - Other Index Options'!$H:$H,"Weekly*")+SUMIFS('NSE - Other Index Options'!$L:$L,'NSE - Other Index Options'!$D:$D,$A47,'NSE - Other Index Options'!$H:$H,"MDAW*"))</f>
        <v>974646.0299999998</v>
      </c>
      <c r="C47" s="26">
        <f>IF(SUMIFS('BSE - SENSEX Index Options'!$L:$L,'BSE - SENSEX Index Options'!$D:$D,$A47,'BSE - SENSEX Index Options'!$H:$H,"Weekly*")+SUMIFS('BSE - SENSEX Index Options'!$L:$L,'BSE - SENSEX Index Options'!$D:$D,$A47,'BSE - SENSEX Index Options'!$H:$H,"MDAW*")+SUMIFS('BSE - Other Index Options'!$L:$L,'BSE - Other Index Options'!$D:$D,$A47,'BSE - Other Index Options'!$H:$H,"Weekly*")+SUMIFS('BSE - Other Index Options'!$L:$L,'BSE - Other Index Options'!$D:$D,$A47,'BSE - Other Index Options'!$H:$H,"MDAW*")=0,"",SUMIFS('BSE - SENSEX Index Options'!$L:$L,'BSE - SENSEX Index Options'!$D:$D,$A47,'BSE - SENSEX Index Options'!$H:$H,"Weekly*")+SUMIFS('BSE - SENSEX Index Options'!$L:$L,'BSE - SENSEX Index Options'!$D:$D,$A47,'BSE - SENSEX Index Options'!$H:$H,"MDAW*")+SUMIFS('BSE - Other Index Options'!$L:$L,'BSE - Other Index Options'!$D:$D,$A47,'BSE - Other Index Options'!$H:$H,"Weekly*")+SUMIFS('BSE - Other Index Options'!$L:$L,'BSE - Other Index Options'!$D:$D,$A47,'BSE - Other Index Options'!$H:$H,"MDAW*"))</f>
        <v>546255.1399999999</v>
      </c>
      <c r="D47" s="27">
        <f t="shared" si="2"/>
        <v>0.64083455863210359</v>
      </c>
      <c r="E47" s="27">
        <f t="shared" si="3"/>
        <v>0.35916544136789641</v>
      </c>
    </row>
    <row r="48" spans="1:5">
      <c r="A48" s="24">
        <v>46204</v>
      </c>
      <c r="B48" s="26">
        <f>IF(SUMIFS('NSE - NIFTY Index Options'!$L:$L,'NSE - NIFTY Index Options'!$D:$D,$A48,'NSE - NIFTY Index Options'!$H:$H,"Weekly*")+SUMIFS('NSE - NIFTY Index Options'!$L:$L,'NSE - NIFTY Index Options'!$D:$D,$A48,'NSE - NIFTY Index Options'!$H:$H,"MDAW*")+SUMIFS('NSE - Other Index Options'!$L:$L,'NSE - Other Index Options'!$D:$D,$A48,'NSE - Other Index Options'!$H:$H,"Weekly*")+SUMIFS('NSE - Other Index Options'!$L:$L,'NSE - Other Index Options'!$D:$D,$A48,'NSE - Other Index Options'!$H:$H,"MDAW*")=0,"",SUMIFS('NSE - NIFTY Index Options'!$L:$L,'NSE - NIFTY Index Options'!$D:$D,$A48,'NSE - NIFTY Index Options'!$H:$H,"Weekly*")+SUMIFS('NSE - NIFTY Index Options'!$L:$L,'NSE - NIFTY Index Options'!$D:$D,$A48,'NSE - NIFTY Index Options'!$H:$H,"MDAW*")+SUMIFS('NSE - Other Index Options'!$L:$L,'NSE - Other Index Options'!$D:$D,$A48,'NSE - Other Index Options'!$H:$H,"Weekly*")+SUMIFS('NSE - Other Index Options'!$L:$L,'NSE - Other Index Options'!$D:$D,$A48,'NSE - Other Index Options'!$H:$H,"MDAW*"))</f>
        <v>211200.08000000005</v>
      </c>
      <c r="C48" s="26">
        <f>IF(SUMIFS('BSE - SENSEX Index Options'!$L:$L,'BSE - SENSEX Index Options'!$D:$D,$A48,'BSE - SENSEX Index Options'!$H:$H,"Weekly*")+SUMIFS('BSE - SENSEX Index Options'!$L:$L,'BSE - SENSEX Index Options'!$D:$D,$A48,'BSE - SENSEX Index Options'!$H:$H,"MDAW*")+SUMIFS('BSE - Other Index Options'!$L:$L,'BSE - Other Index Options'!$D:$D,$A48,'BSE - Other Index Options'!$H:$H,"Weekly*")+SUMIFS('BSE - Other Index Options'!$L:$L,'BSE - Other Index Options'!$D:$D,$A48,'BSE - Other Index Options'!$H:$H,"MDAW*")=0,"",SUMIFS('BSE - SENSEX Index Options'!$L:$L,'BSE - SENSEX Index Options'!$D:$D,$A48,'BSE - SENSEX Index Options'!$H:$H,"Weekly*")+SUMIFS('BSE - SENSEX Index Options'!$L:$L,'BSE - SENSEX Index Options'!$D:$D,$A48,'BSE - SENSEX Index Options'!$H:$H,"MDAW*")+SUMIFS('BSE - Other Index Options'!$L:$L,'BSE - Other Index Options'!$D:$D,$A48,'BSE - Other Index Options'!$H:$H,"Weekly*")+SUMIFS('BSE - Other Index Options'!$L:$L,'BSE - Other Index Options'!$D:$D,$A48,'BSE - Other Index Options'!$H:$H,"MDAW*"))</f>
        <v>168037.96999999997</v>
      </c>
      <c r="D48" s="27">
        <f t="shared" si="2"/>
        <v>0.55690635472890981</v>
      </c>
      <c r="E48" s="27">
        <f t="shared" si="3"/>
        <v>0.44309364527109013</v>
      </c>
    </row>
    <row r="49" spans="1:5" hidden="1" outlineLevel="1">
      <c r="A49" s="24">
        <v>46235</v>
      </c>
      <c r="B49" s="26" t="str">
        <f>IF(SUMIFS('NSE - NIFTY Index Options'!$L:$L,'NSE - NIFTY Index Options'!$D:$D,$A49,'NSE - NIFTY Index Options'!$H:$H,"Weekly*")+SUMIFS('NSE - NIFTY Index Options'!$L:$L,'NSE - NIFTY Index Options'!$D:$D,$A49,'NSE - NIFTY Index Options'!$H:$H,"MDAW*")+SUMIFS('NSE - Other Index Options'!$L:$L,'NSE - Other Index Options'!$D:$D,$A49,'NSE - Other Index Options'!$H:$H,"Weekly*")+SUMIFS('NSE - Other Index Options'!$L:$L,'NSE - Other Index Options'!$D:$D,$A49,'NSE - Other Index Options'!$H:$H,"MDAW*")=0,"",SUMIFS('NSE - NIFTY Index Options'!$L:$L,'NSE - NIFTY Index Options'!$D:$D,$A49,'NSE - NIFTY Index Options'!$H:$H,"Weekly*")+SUMIFS('NSE - NIFTY Index Options'!$L:$L,'NSE - NIFTY Index Options'!$D:$D,$A49,'NSE - NIFTY Index Options'!$H:$H,"MDAW*")+SUMIFS('NSE - Other Index Options'!$L:$L,'NSE - Other Index Options'!$D:$D,$A49,'NSE - Other Index Options'!$H:$H,"Weekly*")+SUMIFS('NSE - Other Index Options'!$L:$L,'NSE - Other Index Options'!$D:$D,$A49,'NSE - Other Index Options'!$H:$H,"MDAW*"))</f>
        <v/>
      </c>
      <c r="C49" s="26" t="str">
        <f>IF(SUMIFS('BSE - SENSEX Index Options'!$L:$L,'BSE - SENSEX Index Options'!$D:$D,$A49,'BSE - SENSEX Index Options'!$H:$H,"Weekly*")+SUMIFS('BSE - SENSEX Index Options'!$L:$L,'BSE - SENSEX Index Options'!$D:$D,$A49,'BSE - SENSEX Index Options'!$H:$H,"MDAW*")+SUMIFS('BSE - Other Index Options'!$L:$L,'BSE - Other Index Options'!$D:$D,$A49,'BSE - Other Index Options'!$H:$H,"Weekly*")+SUMIFS('BSE - Other Index Options'!$L:$L,'BSE - Other Index Options'!$D:$D,$A49,'BSE - Other Index Options'!$H:$H,"MDAW*")=0,"",SUMIFS('BSE - SENSEX Index Options'!$L:$L,'BSE - SENSEX Index Options'!$D:$D,$A49,'BSE - SENSEX Index Options'!$H:$H,"Weekly*")+SUMIFS('BSE - SENSEX Index Options'!$L:$L,'BSE - SENSEX Index Options'!$D:$D,$A49,'BSE - SENSEX Index Options'!$H:$H,"MDAW*")+SUMIFS('BSE - Other Index Options'!$L:$L,'BSE - Other Index Options'!$D:$D,$A49,'BSE - Other Index Options'!$H:$H,"Weekly*")+SUMIFS('BSE - Other Index Options'!$L:$L,'BSE - Other Index Options'!$D:$D,$A49,'BSE - Other Index Options'!$H:$H,"MDAW*"))</f>
        <v/>
      </c>
      <c r="D49" s="27" t="str">
        <f t="shared" si="2"/>
        <v/>
      </c>
      <c r="E49" s="27" t="str">
        <f t="shared" si="3"/>
        <v/>
      </c>
    </row>
    <row r="50" spans="1:5" hidden="1" outlineLevel="1">
      <c r="A50" s="24">
        <v>46266</v>
      </c>
      <c r="B50" s="26" t="str">
        <f>IF(SUMIFS('NSE - NIFTY Index Options'!$L:$L,'NSE - NIFTY Index Options'!$D:$D,$A50,'NSE - NIFTY Index Options'!$H:$H,"Weekly*")+SUMIFS('NSE - NIFTY Index Options'!$L:$L,'NSE - NIFTY Index Options'!$D:$D,$A50,'NSE - NIFTY Index Options'!$H:$H,"MDAW*")+SUMIFS('NSE - Other Index Options'!$L:$L,'NSE - Other Index Options'!$D:$D,$A50,'NSE - Other Index Options'!$H:$H,"Weekly*")+SUMIFS('NSE - Other Index Options'!$L:$L,'NSE - Other Index Options'!$D:$D,$A50,'NSE - Other Index Options'!$H:$H,"MDAW*")=0,"",SUMIFS('NSE - NIFTY Index Options'!$L:$L,'NSE - NIFTY Index Options'!$D:$D,$A50,'NSE - NIFTY Index Options'!$H:$H,"Weekly*")+SUMIFS('NSE - NIFTY Index Options'!$L:$L,'NSE - NIFTY Index Options'!$D:$D,$A50,'NSE - NIFTY Index Options'!$H:$H,"MDAW*")+SUMIFS('NSE - Other Index Options'!$L:$L,'NSE - Other Index Options'!$D:$D,$A50,'NSE - Other Index Options'!$H:$H,"Weekly*")+SUMIFS('NSE - Other Index Options'!$L:$L,'NSE - Other Index Options'!$D:$D,$A50,'NSE - Other Index Options'!$H:$H,"MDAW*"))</f>
        <v/>
      </c>
      <c r="C50" s="26" t="str">
        <f>IF(SUMIFS('BSE - SENSEX Index Options'!$L:$L,'BSE - SENSEX Index Options'!$D:$D,$A50,'BSE - SENSEX Index Options'!$H:$H,"Weekly*")+SUMIFS('BSE - SENSEX Index Options'!$L:$L,'BSE - SENSEX Index Options'!$D:$D,$A50,'BSE - SENSEX Index Options'!$H:$H,"MDAW*")+SUMIFS('BSE - Other Index Options'!$L:$L,'BSE - Other Index Options'!$D:$D,$A50,'BSE - Other Index Options'!$H:$H,"Weekly*")+SUMIFS('BSE - Other Index Options'!$L:$L,'BSE - Other Index Options'!$D:$D,$A50,'BSE - Other Index Options'!$H:$H,"MDAW*")=0,"",SUMIFS('BSE - SENSEX Index Options'!$L:$L,'BSE - SENSEX Index Options'!$D:$D,$A50,'BSE - SENSEX Index Options'!$H:$H,"Weekly*")+SUMIFS('BSE - SENSEX Index Options'!$L:$L,'BSE - SENSEX Index Options'!$D:$D,$A50,'BSE - SENSEX Index Options'!$H:$H,"MDAW*")+SUMIFS('BSE - Other Index Options'!$L:$L,'BSE - Other Index Options'!$D:$D,$A50,'BSE - Other Index Options'!$H:$H,"Weekly*")+SUMIFS('BSE - Other Index Options'!$L:$L,'BSE - Other Index Options'!$D:$D,$A50,'BSE - Other Index Options'!$H:$H,"MDAW*"))</f>
        <v/>
      </c>
      <c r="D50" s="27" t="str">
        <f t="shared" si="2"/>
        <v/>
      </c>
      <c r="E50" s="27" t="str">
        <f t="shared" si="3"/>
        <v/>
      </c>
    </row>
    <row r="51" spans="1:5" hidden="1" outlineLevel="1">
      <c r="A51" s="24">
        <v>46296</v>
      </c>
      <c r="B51" s="26" t="str">
        <f>IF(SUMIFS('NSE - NIFTY Index Options'!$L:$L,'NSE - NIFTY Index Options'!$D:$D,$A51,'NSE - NIFTY Index Options'!$H:$H,"Weekly*")+SUMIFS('NSE - NIFTY Index Options'!$L:$L,'NSE - NIFTY Index Options'!$D:$D,$A51,'NSE - NIFTY Index Options'!$H:$H,"MDAW*")+SUMIFS('NSE - Other Index Options'!$L:$L,'NSE - Other Index Options'!$D:$D,$A51,'NSE - Other Index Options'!$H:$H,"Weekly*")+SUMIFS('NSE - Other Index Options'!$L:$L,'NSE - Other Index Options'!$D:$D,$A51,'NSE - Other Index Options'!$H:$H,"MDAW*")=0,"",SUMIFS('NSE - NIFTY Index Options'!$L:$L,'NSE - NIFTY Index Options'!$D:$D,$A51,'NSE - NIFTY Index Options'!$H:$H,"Weekly*")+SUMIFS('NSE - NIFTY Index Options'!$L:$L,'NSE - NIFTY Index Options'!$D:$D,$A51,'NSE - NIFTY Index Options'!$H:$H,"MDAW*")+SUMIFS('NSE - Other Index Options'!$L:$L,'NSE - Other Index Options'!$D:$D,$A51,'NSE - Other Index Options'!$H:$H,"Weekly*")+SUMIFS('NSE - Other Index Options'!$L:$L,'NSE - Other Index Options'!$D:$D,$A51,'NSE - Other Index Options'!$H:$H,"MDAW*"))</f>
        <v/>
      </c>
      <c r="C51" s="26" t="str">
        <f>IF(SUMIFS('BSE - SENSEX Index Options'!$L:$L,'BSE - SENSEX Index Options'!$D:$D,$A51,'BSE - SENSEX Index Options'!$H:$H,"Weekly*")+SUMIFS('BSE - SENSEX Index Options'!$L:$L,'BSE - SENSEX Index Options'!$D:$D,$A51,'BSE - SENSEX Index Options'!$H:$H,"MDAW*")+SUMIFS('BSE - Other Index Options'!$L:$L,'BSE - Other Index Options'!$D:$D,$A51,'BSE - Other Index Options'!$H:$H,"Weekly*")+SUMIFS('BSE - Other Index Options'!$L:$L,'BSE - Other Index Options'!$D:$D,$A51,'BSE - Other Index Options'!$H:$H,"MDAW*")=0,"",SUMIFS('BSE - SENSEX Index Options'!$L:$L,'BSE - SENSEX Index Options'!$D:$D,$A51,'BSE - SENSEX Index Options'!$H:$H,"Weekly*")+SUMIFS('BSE - SENSEX Index Options'!$L:$L,'BSE - SENSEX Index Options'!$D:$D,$A51,'BSE - SENSEX Index Options'!$H:$H,"MDAW*")+SUMIFS('BSE - Other Index Options'!$L:$L,'BSE - Other Index Options'!$D:$D,$A51,'BSE - Other Index Options'!$H:$H,"Weekly*")+SUMIFS('BSE - Other Index Options'!$L:$L,'BSE - Other Index Options'!$D:$D,$A51,'BSE - Other Index Options'!$H:$H,"MDAW*"))</f>
        <v/>
      </c>
      <c r="D51" s="27" t="str">
        <f t="shared" si="2"/>
        <v/>
      </c>
      <c r="E51" s="27" t="str">
        <f t="shared" si="3"/>
        <v/>
      </c>
    </row>
    <row r="52" spans="1:5" hidden="1" outlineLevel="1">
      <c r="A52" s="24">
        <v>46327</v>
      </c>
      <c r="B52" s="26" t="str">
        <f>IF(SUMIFS('NSE - NIFTY Index Options'!$L:$L,'NSE - NIFTY Index Options'!$D:$D,$A52,'NSE - NIFTY Index Options'!$H:$H,"Weekly*")+SUMIFS('NSE - NIFTY Index Options'!$L:$L,'NSE - NIFTY Index Options'!$D:$D,$A52,'NSE - NIFTY Index Options'!$H:$H,"MDAW*")+SUMIFS('NSE - Other Index Options'!$L:$L,'NSE - Other Index Options'!$D:$D,$A52,'NSE - Other Index Options'!$H:$H,"Weekly*")+SUMIFS('NSE - Other Index Options'!$L:$L,'NSE - Other Index Options'!$D:$D,$A52,'NSE - Other Index Options'!$H:$H,"MDAW*")=0,"",SUMIFS('NSE - NIFTY Index Options'!$L:$L,'NSE - NIFTY Index Options'!$D:$D,$A52,'NSE - NIFTY Index Options'!$H:$H,"Weekly*")+SUMIFS('NSE - NIFTY Index Options'!$L:$L,'NSE - NIFTY Index Options'!$D:$D,$A52,'NSE - NIFTY Index Options'!$H:$H,"MDAW*")+SUMIFS('NSE - Other Index Options'!$L:$L,'NSE - Other Index Options'!$D:$D,$A52,'NSE - Other Index Options'!$H:$H,"Weekly*")+SUMIFS('NSE - Other Index Options'!$L:$L,'NSE - Other Index Options'!$D:$D,$A52,'NSE - Other Index Options'!$H:$H,"MDAW*"))</f>
        <v/>
      </c>
      <c r="C52" s="26" t="str">
        <f>IF(SUMIFS('BSE - SENSEX Index Options'!$L:$L,'BSE - SENSEX Index Options'!$D:$D,$A52,'BSE - SENSEX Index Options'!$H:$H,"Weekly*")+SUMIFS('BSE - SENSEX Index Options'!$L:$L,'BSE - SENSEX Index Options'!$D:$D,$A52,'BSE - SENSEX Index Options'!$H:$H,"MDAW*")+SUMIFS('BSE - Other Index Options'!$L:$L,'BSE - Other Index Options'!$D:$D,$A52,'BSE - Other Index Options'!$H:$H,"Weekly*")+SUMIFS('BSE - Other Index Options'!$L:$L,'BSE - Other Index Options'!$D:$D,$A52,'BSE - Other Index Options'!$H:$H,"MDAW*")=0,"",SUMIFS('BSE - SENSEX Index Options'!$L:$L,'BSE - SENSEX Index Options'!$D:$D,$A52,'BSE - SENSEX Index Options'!$H:$H,"Weekly*")+SUMIFS('BSE - SENSEX Index Options'!$L:$L,'BSE - SENSEX Index Options'!$D:$D,$A52,'BSE - SENSEX Index Options'!$H:$H,"MDAW*")+SUMIFS('BSE - Other Index Options'!$L:$L,'BSE - Other Index Options'!$D:$D,$A52,'BSE - Other Index Options'!$H:$H,"Weekly*")+SUMIFS('BSE - Other Index Options'!$L:$L,'BSE - Other Index Options'!$D:$D,$A52,'BSE - Other Index Options'!$H:$H,"MDAW*"))</f>
        <v/>
      </c>
      <c r="D52" s="27" t="str">
        <f t="shared" si="2"/>
        <v/>
      </c>
      <c r="E52" s="27" t="str">
        <f t="shared" si="3"/>
        <v/>
      </c>
    </row>
    <row r="53" spans="1:5" hidden="1" outlineLevel="1">
      <c r="A53" s="24">
        <v>46357</v>
      </c>
      <c r="B53" s="26" t="str">
        <f>IF(SUMIFS('NSE - NIFTY Index Options'!$L:$L,'NSE - NIFTY Index Options'!$D:$D,$A53,'NSE - NIFTY Index Options'!$H:$H,"Weekly*")+SUMIFS('NSE - NIFTY Index Options'!$L:$L,'NSE - NIFTY Index Options'!$D:$D,$A53,'NSE - NIFTY Index Options'!$H:$H,"MDAW*")+SUMIFS('NSE - Other Index Options'!$L:$L,'NSE - Other Index Options'!$D:$D,$A53,'NSE - Other Index Options'!$H:$H,"Weekly*")+SUMIFS('NSE - Other Index Options'!$L:$L,'NSE - Other Index Options'!$D:$D,$A53,'NSE - Other Index Options'!$H:$H,"MDAW*")=0,"",SUMIFS('NSE - NIFTY Index Options'!$L:$L,'NSE - NIFTY Index Options'!$D:$D,$A53,'NSE - NIFTY Index Options'!$H:$H,"Weekly*")+SUMIFS('NSE - NIFTY Index Options'!$L:$L,'NSE - NIFTY Index Options'!$D:$D,$A53,'NSE - NIFTY Index Options'!$H:$H,"MDAW*")+SUMIFS('NSE - Other Index Options'!$L:$L,'NSE - Other Index Options'!$D:$D,$A53,'NSE - Other Index Options'!$H:$H,"Weekly*")+SUMIFS('NSE - Other Index Options'!$L:$L,'NSE - Other Index Options'!$D:$D,$A53,'NSE - Other Index Options'!$H:$H,"MDAW*"))</f>
        <v/>
      </c>
      <c r="C53" s="26" t="str">
        <f>IF(SUMIFS('BSE - SENSEX Index Options'!$L:$L,'BSE - SENSEX Index Options'!$D:$D,$A53,'BSE - SENSEX Index Options'!$H:$H,"Weekly*")+SUMIFS('BSE - SENSEX Index Options'!$L:$L,'BSE - SENSEX Index Options'!$D:$D,$A53,'BSE - SENSEX Index Options'!$H:$H,"MDAW*")+SUMIFS('BSE - Other Index Options'!$L:$L,'BSE - Other Index Options'!$D:$D,$A53,'BSE - Other Index Options'!$H:$H,"Weekly*")+SUMIFS('BSE - Other Index Options'!$L:$L,'BSE - Other Index Options'!$D:$D,$A53,'BSE - Other Index Options'!$H:$H,"MDAW*")=0,"",SUMIFS('BSE - SENSEX Index Options'!$L:$L,'BSE - SENSEX Index Options'!$D:$D,$A53,'BSE - SENSEX Index Options'!$H:$H,"Weekly*")+SUMIFS('BSE - SENSEX Index Options'!$L:$L,'BSE - SENSEX Index Options'!$D:$D,$A53,'BSE - SENSEX Index Options'!$H:$H,"MDAW*")+SUMIFS('BSE - Other Index Options'!$L:$L,'BSE - Other Index Options'!$D:$D,$A53,'BSE - Other Index Options'!$H:$H,"Weekly*")+SUMIFS('BSE - Other Index Options'!$L:$L,'BSE - Other Index Options'!$D:$D,$A53,'BSE - Other Index Options'!$H:$H,"MDAW*"))</f>
        <v/>
      </c>
      <c r="D53" s="27" t="str">
        <f t="shared" si="2"/>
        <v/>
      </c>
      <c r="E53" s="27" t="str">
        <f t="shared" si="3"/>
        <v/>
      </c>
    </row>
    <row r="54" spans="1:5" hidden="1" outlineLevel="1">
      <c r="A54" s="24">
        <v>46388</v>
      </c>
      <c r="B54" s="26" t="str">
        <f>IF(SUMIFS('NSE - NIFTY Index Options'!$L:$L,'NSE - NIFTY Index Options'!$D:$D,$A54,'NSE - NIFTY Index Options'!$H:$H,"Weekly*")+SUMIFS('NSE - NIFTY Index Options'!$L:$L,'NSE - NIFTY Index Options'!$D:$D,$A54,'NSE - NIFTY Index Options'!$H:$H,"MDAW*")+SUMIFS('NSE - Other Index Options'!$L:$L,'NSE - Other Index Options'!$D:$D,$A54,'NSE - Other Index Options'!$H:$H,"Weekly*")+SUMIFS('NSE - Other Index Options'!$L:$L,'NSE - Other Index Options'!$D:$D,$A54,'NSE - Other Index Options'!$H:$H,"MDAW*")=0,"",SUMIFS('NSE - NIFTY Index Options'!$L:$L,'NSE - NIFTY Index Options'!$D:$D,$A54,'NSE - NIFTY Index Options'!$H:$H,"Weekly*")+SUMIFS('NSE - NIFTY Index Options'!$L:$L,'NSE - NIFTY Index Options'!$D:$D,$A54,'NSE - NIFTY Index Options'!$H:$H,"MDAW*")+SUMIFS('NSE - Other Index Options'!$L:$L,'NSE - Other Index Options'!$D:$D,$A54,'NSE - Other Index Options'!$H:$H,"Weekly*")+SUMIFS('NSE - Other Index Options'!$L:$L,'NSE - Other Index Options'!$D:$D,$A54,'NSE - Other Index Options'!$H:$H,"MDAW*"))</f>
        <v/>
      </c>
      <c r="C54" s="26" t="str">
        <f>IF(SUMIFS('BSE - SENSEX Index Options'!$L:$L,'BSE - SENSEX Index Options'!$D:$D,$A54,'BSE - SENSEX Index Options'!$H:$H,"Weekly*")+SUMIFS('BSE - SENSEX Index Options'!$L:$L,'BSE - SENSEX Index Options'!$D:$D,$A54,'BSE - SENSEX Index Options'!$H:$H,"MDAW*")+SUMIFS('BSE - Other Index Options'!$L:$L,'BSE - Other Index Options'!$D:$D,$A54,'BSE - Other Index Options'!$H:$H,"Weekly*")+SUMIFS('BSE - Other Index Options'!$L:$L,'BSE - Other Index Options'!$D:$D,$A54,'BSE - Other Index Options'!$H:$H,"MDAW*")=0,"",SUMIFS('BSE - SENSEX Index Options'!$L:$L,'BSE - SENSEX Index Options'!$D:$D,$A54,'BSE - SENSEX Index Options'!$H:$H,"Weekly*")+SUMIFS('BSE - SENSEX Index Options'!$L:$L,'BSE - SENSEX Index Options'!$D:$D,$A54,'BSE - SENSEX Index Options'!$H:$H,"MDAW*")+SUMIFS('BSE - Other Index Options'!$L:$L,'BSE - Other Index Options'!$D:$D,$A54,'BSE - Other Index Options'!$H:$H,"Weekly*")+SUMIFS('BSE - Other Index Options'!$L:$L,'BSE - Other Index Options'!$D:$D,$A54,'BSE - Other Index Options'!$H:$H,"MDAW*"))</f>
        <v/>
      </c>
      <c r="D54" s="27" t="str">
        <f t="shared" si="2"/>
        <v/>
      </c>
      <c r="E54" s="27" t="str">
        <f t="shared" si="3"/>
        <v/>
      </c>
    </row>
    <row r="55" spans="1:5" hidden="1" outlineLevel="1">
      <c r="A55" s="24">
        <v>46419</v>
      </c>
      <c r="B55" s="26" t="str">
        <f>IF(SUMIFS('NSE - NIFTY Index Options'!$L:$L,'NSE - NIFTY Index Options'!$D:$D,$A55,'NSE - NIFTY Index Options'!$H:$H,"Weekly*")+SUMIFS('NSE - NIFTY Index Options'!$L:$L,'NSE - NIFTY Index Options'!$D:$D,$A55,'NSE - NIFTY Index Options'!$H:$H,"MDAW*")+SUMIFS('NSE - Other Index Options'!$L:$L,'NSE - Other Index Options'!$D:$D,$A55,'NSE - Other Index Options'!$H:$H,"Weekly*")+SUMIFS('NSE - Other Index Options'!$L:$L,'NSE - Other Index Options'!$D:$D,$A55,'NSE - Other Index Options'!$H:$H,"MDAW*")=0,"",SUMIFS('NSE - NIFTY Index Options'!$L:$L,'NSE - NIFTY Index Options'!$D:$D,$A55,'NSE - NIFTY Index Options'!$H:$H,"Weekly*")+SUMIFS('NSE - NIFTY Index Options'!$L:$L,'NSE - NIFTY Index Options'!$D:$D,$A55,'NSE - NIFTY Index Options'!$H:$H,"MDAW*")+SUMIFS('NSE - Other Index Options'!$L:$L,'NSE - Other Index Options'!$D:$D,$A55,'NSE - Other Index Options'!$H:$H,"Weekly*")+SUMIFS('NSE - Other Index Options'!$L:$L,'NSE - Other Index Options'!$D:$D,$A55,'NSE - Other Index Options'!$H:$H,"MDAW*"))</f>
        <v/>
      </c>
      <c r="C55" s="26" t="str">
        <f>IF(SUMIFS('BSE - SENSEX Index Options'!$L:$L,'BSE - SENSEX Index Options'!$D:$D,$A55,'BSE - SENSEX Index Options'!$H:$H,"Weekly*")+SUMIFS('BSE - SENSEX Index Options'!$L:$L,'BSE - SENSEX Index Options'!$D:$D,$A55,'BSE - SENSEX Index Options'!$H:$H,"MDAW*")+SUMIFS('BSE - Other Index Options'!$L:$L,'BSE - Other Index Options'!$D:$D,$A55,'BSE - Other Index Options'!$H:$H,"Weekly*")+SUMIFS('BSE - Other Index Options'!$L:$L,'BSE - Other Index Options'!$D:$D,$A55,'BSE - Other Index Options'!$H:$H,"MDAW*")=0,"",SUMIFS('BSE - SENSEX Index Options'!$L:$L,'BSE - SENSEX Index Options'!$D:$D,$A55,'BSE - SENSEX Index Options'!$H:$H,"Weekly*")+SUMIFS('BSE - SENSEX Index Options'!$L:$L,'BSE - SENSEX Index Options'!$D:$D,$A55,'BSE - SENSEX Index Options'!$H:$H,"MDAW*")+SUMIFS('BSE - Other Index Options'!$L:$L,'BSE - Other Index Options'!$D:$D,$A55,'BSE - Other Index Options'!$H:$H,"Weekly*")+SUMIFS('BSE - Other Index Options'!$L:$L,'BSE - Other Index Options'!$D:$D,$A55,'BSE - Other Index Options'!$H:$H,"MDAW*"))</f>
        <v/>
      </c>
      <c r="D55" s="27" t="str">
        <f t="shared" si="2"/>
        <v/>
      </c>
      <c r="E55" s="27" t="str">
        <f t="shared" si="3"/>
        <v/>
      </c>
    </row>
    <row r="56" spans="1:5" hidden="1" outlineLevel="1">
      <c r="A56" s="24">
        <v>46447</v>
      </c>
      <c r="B56" s="26" t="str">
        <f>IF(SUMIFS('NSE - NIFTY Index Options'!$L:$L,'NSE - NIFTY Index Options'!$D:$D,$A56,'NSE - NIFTY Index Options'!$H:$H,"Weekly*")+SUMIFS('NSE - NIFTY Index Options'!$L:$L,'NSE - NIFTY Index Options'!$D:$D,$A56,'NSE - NIFTY Index Options'!$H:$H,"MDAW*")+SUMIFS('NSE - Other Index Options'!$L:$L,'NSE - Other Index Options'!$D:$D,$A56,'NSE - Other Index Options'!$H:$H,"Weekly*")+SUMIFS('NSE - Other Index Options'!$L:$L,'NSE - Other Index Options'!$D:$D,$A56,'NSE - Other Index Options'!$H:$H,"MDAW*")=0,"",SUMIFS('NSE - NIFTY Index Options'!$L:$L,'NSE - NIFTY Index Options'!$D:$D,$A56,'NSE - NIFTY Index Options'!$H:$H,"Weekly*")+SUMIFS('NSE - NIFTY Index Options'!$L:$L,'NSE - NIFTY Index Options'!$D:$D,$A56,'NSE - NIFTY Index Options'!$H:$H,"MDAW*")+SUMIFS('NSE - Other Index Options'!$L:$L,'NSE - Other Index Options'!$D:$D,$A56,'NSE - Other Index Options'!$H:$H,"Weekly*")+SUMIFS('NSE - Other Index Options'!$L:$L,'NSE - Other Index Options'!$D:$D,$A56,'NSE - Other Index Options'!$H:$H,"MDAW*"))</f>
        <v/>
      </c>
      <c r="C56" s="26" t="str">
        <f>IF(SUMIFS('BSE - SENSEX Index Options'!$L:$L,'BSE - SENSEX Index Options'!$D:$D,$A56,'BSE - SENSEX Index Options'!$H:$H,"Weekly*")+SUMIFS('BSE - SENSEX Index Options'!$L:$L,'BSE - SENSEX Index Options'!$D:$D,$A56,'BSE - SENSEX Index Options'!$H:$H,"MDAW*")+SUMIFS('BSE - Other Index Options'!$L:$L,'BSE - Other Index Options'!$D:$D,$A56,'BSE - Other Index Options'!$H:$H,"Weekly*")+SUMIFS('BSE - Other Index Options'!$L:$L,'BSE - Other Index Options'!$D:$D,$A56,'BSE - Other Index Options'!$H:$H,"MDAW*")=0,"",SUMIFS('BSE - SENSEX Index Options'!$L:$L,'BSE - SENSEX Index Options'!$D:$D,$A56,'BSE - SENSEX Index Options'!$H:$H,"Weekly*")+SUMIFS('BSE - SENSEX Index Options'!$L:$L,'BSE - SENSEX Index Options'!$D:$D,$A56,'BSE - SENSEX Index Options'!$H:$H,"MDAW*")+SUMIFS('BSE - Other Index Options'!$L:$L,'BSE - Other Index Options'!$D:$D,$A56,'BSE - Other Index Options'!$H:$H,"Weekly*")+SUMIFS('BSE - Other Index Options'!$L:$L,'BSE - Other Index Options'!$D:$D,$A56,'BSE - Other Index Options'!$H:$H,"MDAW*"))</f>
        <v/>
      </c>
      <c r="D56" s="27" t="str">
        <f t="shared" si="2"/>
        <v/>
      </c>
      <c r="E56" s="27" t="str">
        <f t="shared" si="3"/>
        <v/>
      </c>
    </row>
    <row r="57" spans="1:5" hidden="1" outlineLevel="1">
      <c r="A57" s="24">
        <v>46478</v>
      </c>
      <c r="B57" s="26" t="str">
        <f>IF(SUMIFS('NSE - NIFTY Index Options'!$L:$L,'NSE - NIFTY Index Options'!$D:$D,$A57,'NSE - NIFTY Index Options'!$H:$H,"Weekly*")+SUMIFS('NSE - NIFTY Index Options'!$L:$L,'NSE - NIFTY Index Options'!$D:$D,$A57,'NSE - NIFTY Index Options'!$H:$H,"MDAW*")+SUMIFS('NSE - Other Index Options'!$L:$L,'NSE - Other Index Options'!$D:$D,$A57,'NSE - Other Index Options'!$H:$H,"Weekly*")+SUMIFS('NSE - Other Index Options'!$L:$L,'NSE - Other Index Options'!$D:$D,$A57,'NSE - Other Index Options'!$H:$H,"MDAW*")=0,"",SUMIFS('NSE - NIFTY Index Options'!$L:$L,'NSE - NIFTY Index Options'!$D:$D,$A57,'NSE - NIFTY Index Options'!$H:$H,"Weekly*")+SUMIFS('NSE - NIFTY Index Options'!$L:$L,'NSE - NIFTY Index Options'!$D:$D,$A57,'NSE - NIFTY Index Options'!$H:$H,"MDAW*")+SUMIFS('NSE - Other Index Options'!$L:$L,'NSE - Other Index Options'!$D:$D,$A57,'NSE - Other Index Options'!$H:$H,"Weekly*")+SUMIFS('NSE - Other Index Options'!$L:$L,'NSE - Other Index Options'!$D:$D,$A57,'NSE - Other Index Options'!$H:$H,"MDAW*"))</f>
        <v/>
      </c>
      <c r="C57" s="26" t="str">
        <f>IF(SUMIFS('BSE - SENSEX Index Options'!$L:$L,'BSE - SENSEX Index Options'!$D:$D,$A57,'BSE - SENSEX Index Options'!$H:$H,"Weekly*")+SUMIFS('BSE - SENSEX Index Options'!$L:$L,'BSE - SENSEX Index Options'!$D:$D,$A57,'BSE - SENSEX Index Options'!$H:$H,"MDAW*")+SUMIFS('BSE - Other Index Options'!$L:$L,'BSE - Other Index Options'!$D:$D,$A57,'BSE - Other Index Options'!$H:$H,"Weekly*")+SUMIFS('BSE - Other Index Options'!$L:$L,'BSE - Other Index Options'!$D:$D,$A57,'BSE - Other Index Options'!$H:$H,"MDAW*")=0,"",SUMIFS('BSE - SENSEX Index Options'!$L:$L,'BSE - SENSEX Index Options'!$D:$D,$A57,'BSE - SENSEX Index Options'!$H:$H,"Weekly*")+SUMIFS('BSE - SENSEX Index Options'!$L:$L,'BSE - SENSEX Index Options'!$D:$D,$A57,'BSE - SENSEX Index Options'!$H:$H,"MDAW*")+SUMIFS('BSE - Other Index Options'!$L:$L,'BSE - Other Index Options'!$D:$D,$A57,'BSE - Other Index Options'!$H:$H,"Weekly*")+SUMIFS('BSE - Other Index Options'!$L:$L,'BSE - Other Index Options'!$D:$D,$A57,'BSE - Other Index Options'!$H:$H,"MDAW*"))</f>
        <v/>
      </c>
      <c r="D57" s="27" t="str">
        <f t="shared" si="2"/>
        <v/>
      </c>
      <c r="E57" s="27" t="str">
        <f t="shared" si="3"/>
        <v/>
      </c>
    </row>
    <row r="58" spans="1:5" hidden="1" outlineLevel="1">
      <c r="A58" s="24">
        <v>46508</v>
      </c>
      <c r="B58" s="26" t="str">
        <f>IF(SUMIFS('NSE - NIFTY Index Options'!$L:$L,'NSE - NIFTY Index Options'!$D:$D,$A58,'NSE - NIFTY Index Options'!$H:$H,"Weekly*")+SUMIFS('NSE - NIFTY Index Options'!$L:$L,'NSE - NIFTY Index Options'!$D:$D,$A58,'NSE - NIFTY Index Options'!$H:$H,"MDAW*")+SUMIFS('NSE - Other Index Options'!$L:$L,'NSE - Other Index Options'!$D:$D,$A58,'NSE - Other Index Options'!$H:$H,"Weekly*")+SUMIFS('NSE - Other Index Options'!$L:$L,'NSE - Other Index Options'!$D:$D,$A58,'NSE - Other Index Options'!$H:$H,"MDAW*")=0,"",SUMIFS('NSE - NIFTY Index Options'!$L:$L,'NSE - NIFTY Index Options'!$D:$D,$A58,'NSE - NIFTY Index Options'!$H:$H,"Weekly*")+SUMIFS('NSE - NIFTY Index Options'!$L:$L,'NSE - NIFTY Index Options'!$D:$D,$A58,'NSE - NIFTY Index Options'!$H:$H,"MDAW*")+SUMIFS('NSE - Other Index Options'!$L:$L,'NSE - Other Index Options'!$D:$D,$A58,'NSE - Other Index Options'!$H:$H,"Weekly*")+SUMIFS('NSE - Other Index Options'!$L:$L,'NSE - Other Index Options'!$D:$D,$A58,'NSE - Other Index Options'!$H:$H,"MDAW*"))</f>
        <v/>
      </c>
      <c r="C58" s="26" t="str">
        <f>IF(SUMIFS('BSE - SENSEX Index Options'!$L:$L,'BSE - SENSEX Index Options'!$D:$D,$A58,'BSE - SENSEX Index Options'!$H:$H,"Weekly*")+SUMIFS('BSE - SENSEX Index Options'!$L:$L,'BSE - SENSEX Index Options'!$D:$D,$A58,'BSE - SENSEX Index Options'!$H:$H,"MDAW*")+SUMIFS('BSE - Other Index Options'!$L:$L,'BSE - Other Index Options'!$D:$D,$A58,'BSE - Other Index Options'!$H:$H,"Weekly*")+SUMIFS('BSE - Other Index Options'!$L:$L,'BSE - Other Index Options'!$D:$D,$A58,'BSE - Other Index Options'!$H:$H,"MDAW*")=0,"",SUMIFS('BSE - SENSEX Index Options'!$L:$L,'BSE - SENSEX Index Options'!$D:$D,$A58,'BSE - SENSEX Index Options'!$H:$H,"Weekly*")+SUMIFS('BSE - SENSEX Index Options'!$L:$L,'BSE - SENSEX Index Options'!$D:$D,$A58,'BSE - SENSEX Index Options'!$H:$H,"MDAW*")+SUMIFS('BSE - Other Index Options'!$L:$L,'BSE - Other Index Options'!$D:$D,$A58,'BSE - Other Index Options'!$H:$H,"Weekly*")+SUMIFS('BSE - Other Index Options'!$L:$L,'BSE - Other Index Options'!$D:$D,$A58,'BSE - Other Index Options'!$H:$H,"MDAW*"))</f>
        <v/>
      </c>
      <c r="D58" s="27" t="str">
        <f t="shared" si="2"/>
        <v/>
      </c>
      <c r="E58" s="27" t="str">
        <f t="shared" si="3"/>
        <v/>
      </c>
    </row>
    <row r="59" spans="1:5" hidden="1" outlineLevel="1">
      <c r="A59" s="24">
        <v>46539</v>
      </c>
      <c r="B59" s="26" t="str">
        <f>IF(SUMIFS('NSE - NIFTY Index Options'!$L:$L,'NSE - NIFTY Index Options'!$D:$D,$A59,'NSE - NIFTY Index Options'!$H:$H,"Weekly*")+SUMIFS('NSE - NIFTY Index Options'!$L:$L,'NSE - NIFTY Index Options'!$D:$D,$A59,'NSE - NIFTY Index Options'!$H:$H,"MDAW*")+SUMIFS('NSE - Other Index Options'!$L:$L,'NSE - Other Index Options'!$D:$D,$A59,'NSE - Other Index Options'!$H:$H,"Weekly*")+SUMIFS('NSE - Other Index Options'!$L:$L,'NSE - Other Index Options'!$D:$D,$A59,'NSE - Other Index Options'!$H:$H,"MDAW*")=0,"",SUMIFS('NSE - NIFTY Index Options'!$L:$L,'NSE - NIFTY Index Options'!$D:$D,$A59,'NSE - NIFTY Index Options'!$H:$H,"Weekly*")+SUMIFS('NSE - NIFTY Index Options'!$L:$L,'NSE - NIFTY Index Options'!$D:$D,$A59,'NSE - NIFTY Index Options'!$H:$H,"MDAW*")+SUMIFS('NSE - Other Index Options'!$L:$L,'NSE - Other Index Options'!$D:$D,$A59,'NSE - Other Index Options'!$H:$H,"Weekly*")+SUMIFS('NSE - Other Index Options'!$L:$L,'NSE - Other Index Options'!$D:$D,$A59,'NSE - Other Index Options'!$H:$H,"MDAW*"))</f>
        <v/>
      </c>
      <c r="C59" s="26" t="str">
        <f>IF(SUMIFS('BSE - SENSEX Index Options'!$L:$L,'BSE - SENSEX Index Options'!$D:$D,$A59,'BSE - SENSEX Index Options'!$H:$H,"Weekly*")+SUMIFS('BSE - SENSEX Index Options'!$L:$L,'BSE - SENSEX Index Options'!$D:$D,$A59,'BSE - SENSEX Index Options'!$H:$H,"MDAW*")+SUMIFS('BSE - Other Index Options'!$L:$L,'BSE - Other Index Options'!$D:$D,$A59,'BSE - Other Index Options'!$H:$H,"Weekly*")+SUMIFS('BSE - Other Index Options'!$L:$L,'BSE - Other Index Options'!$D:$D,$A59,'BSE - Other Index Options'!$H:$H,"MDAW*")=0,"",SUMIFS('BSE - SENSEX Index Options'!$L:$L,'BSE - SENSEX Index Options'!$D:$D,$A59,'BSE - SENSEX Index Options'!$H:$H,"Weekly*")+SUMIFS('BSE - SENSEX Index Options'!$L:$L,'BSE - SENSEX Index Options'!$D:$D,$A59,'BSE - SENSEX Index Options'!$H:$H,"MDAW*")+SUMIFS('BSE - Other Index Options'!$L:$L,'BSE - Other Index Options'!$D:$D,$A59,'BSE - Other Index Options'!$H:$H,"Weekly*")+SUMIFS('BSE - Other Index Options'!$L:$L,'BSE - Other Index Options'!$D:$D,$A59,'BSE - Other Index Options'!$H:$H,"MDAW*"))</f>
        <v/>
      </c>
      <c r="D59" s="27" t="str">
        <f t="shared" si="2"/>
        <v/>
      </c>
      <c r="E59" s="27" t="str">
        <f t="shared" si="3"/>
        <v/>
      </c>
    </row>
    <row r="60" spans="1:5" hidden="1" outlineLevel="1">
      <c r="A60" s="24">
        <v>46569</v>
      </c>
      <c r="B60" s="26" t="str">
        <f>IF(SUMIFS('NSE - NIFTY Index Options'!$L:$L,'NSE - NIFTY Index Options'!$D:$D,$A60,'NSE - NIFTY Index Options'!$H:$H,"Weekly*")+SUMIFS('NSE - NIFTY Index Options'!$L:$L,'NSE - NIFTY Index Options'!$D:$D,$A60,'NSE - NIFTY Index Options'!$H:$H,"MDAW*")+SUMIFS('NSE - Other Index Options'!$L:$L,'NSE - Other Index Options'!$D:$D,$A60,'NSE - Other Index Options'!$H:$H,"Weekly*")+SUMIFS('NSE - Other Index Options'!$L:$L,'NSE - Other Index Options'!$D:$D,$A60,'NSE - Other Index Options'!$H:$H,"MDAW*")=0,"",SUMIFS('NSE - NIFTY Index Options'!$L:$L,'NSE - NIFTY Index Options'!$D:$D,$A60,'NSE - NIFTY Index Options'!$H:$H,"Weekly*")+SUMIFS('NSE - NIFTY Index Options'!$L:$L,'NSE - NIFTY Index Options'!$D:$D,$A60,'NSE - NIFTY Index Options'!$H:$H,"MDAW*")+SUMIFS('NSE - Other Index Options'!$L:$L,'NSE - Other Index Options'!$D:$D,$A60,'NSE - Other Index Options'!$H:$H,"Weekly*")+SUMIFS('NSE - Other Index Options'!$L:$L,'NSE - Other Index Options'!$D:$D,$A60,'NSE - Other Index Options'!$H:$H,"MDAW*"))</f>
        <v/>
      </c>
      <c r="C60" s="26" t="str">
        <f>IF(SUMIFS('BSE - SENSEX Index Options'!$L:$L,'BSE - SENSEX Index Options'!$D:$D,$A60,'BSE - SENSEX Index Options'!$H:$H,"Weekly*")+SUMIFS('BSE - SENSEX Index Options'!$L:$L,'BSE - SENSEX Index Options'!$D:$D,$A60,'BSE - SENSEX Index Options'!$H:$H,"MDAW*")+SUMIFS('BSE - Other Index Options'!$L:$L,'BSE - Other Index Options'!$D:$D,$A60,'BSE - Other Index Options'!$H:$H,"Weekly*")+SUMIFS('BSE - Other Index Options'!$L:$L,'BSE - Other Index Options'!$D:$D,$A60,'BSE - Other Index Options'!$H:$H,"MDAW*")=0,"",SUMIFS('BSE - SENSEX Index Options'!$L:$L,'BSE - SENSEX Index Options'!$D:$D,$A60,'BSE - SENSEX Index Options'!$H:$H,"Weekly*")+SUMIFS('BSE - SENSEX Index Options'!$L:$L,'BSE - SENSEX Index Options'!$D:$D,$A60,'BSE - SENSEX Index Options'!$H:$H,"MDAW*")+SUMIFS('BSE - Other Index Options'!$L:$L,'BSE - Other Index Options'!$D:$D,$A60,'BSE - Other Index Options'!$H:$H,"Weekly*")+SUMIFS('BSE - Other Index Options'!$L:$L,'BSE - Other Index Options'!$D:$D,$A60,'BSE - Other Index Options'!$H:$H,"MDAW*"))</f>
        <v/>
      </c>
      <c r="D60" s="27" t="str">
        <f t="shared" si="2"/>
        <v/>
      </c>
      <c r="E60" s="27" t="str">
        <f t="shared" si="3"/>
        <v/>
      </c>
    </row>
    <row r="61" spans="1:5" hidden="1" outlineLevel="1">
      <c r="A61" s="24">
        <v>46600</v>
      </c>
      <c r="B61" s="26" t="str">
        <f>IF(SUMIFS('NSE - NIFTY Index Options'!$L:$L,'NSE - NIFTY Index Options'!$D:$D,$A61,'NSE - NIFTY Index Options'!$H:$H,"Weekly*")+SUMIFS('NSE - NIFTY Index Options'!$L:$L,'NSE - NIFTY Index Options'!$D:$D,$A61,'NSE - NIFTY Index Options'!$H:$H,"MDAW*")+SUMIFS('NSE - Other Index Options'!$L:$L,'NSE - Other Index Options'!$D:$D,$A61,'NSE - Other Index Options'!$H:$H,"Weekly*")+SUMIFS('NSE - Other Index Options'!$L:$L,'NSE - Other Index Options'!$D:$D,$A61,'NSE - Other Index Options'!$H:$H,"MDAW*")=0,"",SUMIFS('NSE - NIFTY Index Options'!$L:$L,'NSE - NIFTY Index Options'!$D:$D,$A61,'NSE - NIFTY Index Options'!$H:$H,"Weekly*")+SUMIFS('NSE - NIFTY Index Options'!$L:$L,'NSE - NIFTY Index Options'!$D:$D,$A61,'NSE - NIFTY Index Options'!$H:$H,"MDAW*")+SUMIFS('NSE - Other Index Options'!$L:$L,'NSE - Other Index Options'!$D:$D,$A61,'NSE - Other Index Options'!$H:$H,"Weekly*")+SUMIFS('NSE - Other Index Options'!$L:$L,'NSE - Other Index Options'!$D:$D,$A61,'NSE - Other Index Options'!$H:$H,"MDAW*"))</f>
        <v/>
      </c>
      <c r="C61" s="26" t="str">
        <f>IF(SUMIFS('BSE - SENSEX Index Options'!$L:$L,'BSE - SENSEX Index Options'!$D:$D,$A61,'BSE - SENSEX Index Options'!$H:$H,"Weekly*")+SUMIFS('BSE - SENSEX Index Options'!$L:$L,'BSE - SENSEX Index Options'!$D:$D,$A61,'BSE - SENSEX Index Options'!$H:$H,"MDAW*")+SUMIFS('BSE - Other Index Options'!$L:$L,'BSE - Other Index Options'!$D:$D,$A61,'BSE - Other Index Options'!$H:$H,"Weekly*")+SUMIFS('BSE - Other Index Options'!$L:$L,'BSE - Other Index Options'!$D:$D,$A61,'BSE - Other Index Options'!$H:$H,"MDAW*")=0,"",SUMIFS('BSE - SENSEX Index Options'!$L:$L,'BSE - SENSEX Index Options'!$D:$D,$A61,'BSE - SENSEX Index Options'!$H:$H,"Weekly*")+SUMIFS('BSE - SENSEX Index Options'!$L:$L,'BSE - SENSEX Index Options'!$D:$D,$A61,'BSE - SENSEX Index Options'!$H:$H,"MDAW*")+SUMIFS('BSE - Other Index Options'!$L:$L,'BSE - Other Index Options'!$D:$D,$A61,'BSE - Other Index Options'!$H:$H,"Weekly*")+SUMIFS('BSE - Other Index Options'!$L:$L,'BSE - Other Index Options'!$D:$D,$A61,'BSE - Other Index Options'!$H:$H,"MDAW*"))</f>
        <v/>
      </c>
      <c r="D61" s="27" t="str">
        <f t="shared" si="2"/>
        <v/>
      </c>
      <c r="E61" s="27" t="str">
        <f t="shared" si="3"/>
        <v/>
      </c>
    </row>
    <row r="62" spans="1:5" hidden="1" outlineLevel="1">
      <c r="A62" s="24">
        <v>46631</v>
      </c>
      <c r="B62" s="26" t="str">
        <f>IF(SUMIFS('NSE - NIFTY Index Options'!$L:$L,'NSE - NIFTY Index Options'!$D:$D,$A62,'NSE - NIFTY Index Options'!$H:$H,"Weekly*")+SUMIFS('NSE - NIFTY Index Options'!$L:$L,'NSE - NIFTY Index Options'!$D:$D,$A62,'NSE - NIFTY Index Options'!$H:$H,"MDAW*")+SUMIFS('NSE - Other Index Options'!$L:$L,'NSE - Other Index Options'!$D:$D,$A62,'NSE - Other Index Options'!$H:$H,"Weekly*")+SUMIFS('NSE - Other Index Options'!$L:$L,'NSE - Other Index Options'!$D:$D,$A62,'NSE - Other Index Options'!$H:$H,"MDAW*")=0,"",SUMIFS('NSE - NIFTY Index Options'!$L:$L,'NSE - NIFTY Index Options'!$D:$D,$A62,'NSE - NIFTY Index Options'!$H:$H,"Weekly*")+SUMIFS('NSE - NIFTY Index Options'!$L:$L,'NSE - NIFTY Index Options'!$D:$D,$A62,'NSE - NIFTY Index Options'!$H:$H,"MDAW*")+SUMIFS('NSE - Other Index Options'!$L:$L,'NSE - Other Index Options'!$D:$D,$A62,'NSE - Other Index Options'!$H:$H,"Weekly*")+SUMIFS('NSE - Other Index Options'!$L:$L,'NSE - Other Index Options'!$D:$D,$A62,'NSE - Other Index Options'!$H:$H,"MDAW*"))</f>
        <v/>
      </c>
      <c r="C62" s="26" t="str">
        <f>IF(SUMIFS('BSE - SENSEX Index Options'!$L:$L,'BSE - SENSEX Index Options'!$D:$D,$A62,'BSE - SENSEX Index Options'!$H:$H,"Weekly*")+SUMIFS('BSE - SENSEX Index Options'!$L:$L,'BSE - SENSEX Index Options'!$D:$D,$A62,'BSE - SENSEX Index Options'!$H:$H,"MDAW*")+SUMIFS('BSE - Other Index Options'!$L:$L,'BSE - Other Index Options'!$D:$D,$A62,'BSE - Other Index Options'!$H:$H,"Weekly*")+SUMIFS('BSE - Other Index Options'!$L:$L,'BSE - Other Index Options'!$D:$D,$A62,'BSE - Other Index Options'!$H:$H,"MDAW*")=0,"",SUMIFS('BSE - SENSEX Index Options'!$L:$L,'BSE - SENSEX Index Options'!$D:$D,$A62,'BSE - SENSEX Index Options'!$H:$H,"Weekly*")+SUMIFS('BSE - SENSEX Index Options'!$L:$L,'BSE - SENSEX Index Options'!$D:$D,$A62,'BSE - SENSEX Index Options'!$H:$H,"MDAW*")+SUMIFS('BSE - Other Index Options'!$L:$L,'BSE - Other Index Options'!$D:$D,$A62,'BSE - Other Index Options'!$H:$H,"Weekly*")+SUMIFS('BSE - Other Index Options'!$L:$L,'BSE - Other Index Options'!$D:$D,$A62,'BSE - Other Index Options'!$H:$H,"MDAW*"))</f>
        <v/>
      </c>
      <c r="D62" s="27" t="str">
        <f t="shared" si="2"/>
        <v/>
      </c>
      <c r="E62" s="27" t="str">
        <f t="shared" si="3"/>
        <v/>
      </c>
    </row>
    <row r="63" spans="1:5" hidden="1" outlineLevel="1">
      <c r="A63" s="24">
        <v>46661</v>
      </c>
      <c r="B63" s="26" t="str">
        <f>IF(SUMIFS('NSE - NIFTY Index Options'!$L:$L,'NSE - NIFTY Index Options'!$D:$D,$A63,'NSE - NIFTY Index Options'!$H:$H,"Weekly*")+SUMIFS('NSE - NIFTY Index Options'!$L:$L,'NSE - NIFTY Index Options'!$D:$D,$A63,'NSE - NIFTY Index Options'!$H:$H,"MDAW*")+SUMIFS('NSE - Other Index Options'!$L:$L,'NSE - Other Index Options'!$D:$D,$A63,'NSE - Other Index Options'!$H:$H,"Weekly*")+SUMIFS('NSE - Other Index Options'!$L:$L,'NSE - Other Index Options'!$D:$D,$A63,'NSE - Other Index Options'!$H:$H,"MDAW*")=0,"",SUMIFS('NSE - NIFTY Index Options'!$L:$L,'NSE - NIFTY Index Options'!$D:$D,$A63,'NSE - NIFTY Index Options'!$H:$H,"Weekly*")+SUMIFS('NSE - NIFTY Index Options'!$L:$L,'NSE - NIFTY Index Options'!$D:$D,$A63,'NSE - NIFTY Index Options'!$H:$H,"MDAW*")+SUMIFS('NSE - Other Index Options'!$L:$L,'NSE - Other Index Options'!$D:$D,$A63,'NSE - Other Index Options'!$H:$H,"Weekly*")+SUMIFS('NSE - Other Index Options'!$L:$L,'NSE - Other Index Options'!$D:$D,$A63,'NSE - Other Index Options'!$H:$H,"MDAW*"))</f>
        <v/>
      </c>
      <c r="C63" s="26" t="str">
        <f>IF(SUMIFS('BSE - SENSEX Index Options'!$L:$L,'BSE - SENSEX Index Options'!$D:$D,$A63,'BSE - SENSEX Index Options'!$H:$H,"Weekly*")+SUMIFS('BSE - SENSEX Index Options'!$L:$L,'BSE - SENSEX Index Options'!$D:$D,$A63,'BSE - SENSEX Index Options'!$H:$H,"MDAW*")+SUMIFS('BSE - Other Index Options'!$L:$L,'BSE - Other Index Options'!$D:$D,$A63,'BSE - Other Index Options'!$H:$H,"Weekly*")+SUMIFS('BSE - Other Index Options'!$L:$L,'BSE - Other Index Options'!$D:$D,$A63,'BSE - Other Index Options'!$H:$H,"MDAW*")=0,"",SUMIFS('BSE - SENSEX Index Options'!$L:$L,'BSE - SENSEX Index Options'!$D:$D,$A63,'BSE - SENSEX Index Options'!$H:$H,"Weekly*")+SUMIFS('BSE - SENSEX Index Options'!$L:$L,'BSE - SENSEX Index Options'!$D:$D,$A63,'BSE - SENSEX Index Options'!$H:$H,"MDAW*")+SUMIFS('BSE - Other Index Options'!$L:$L,'BSE - Other Index Options'!$D:$D,$A63,'BSE - Other Index Options'!$H:$H,"Weekly*")+SUMIFS('BSE - Other Index Options'!$L:$L,'BSE - Other Index Options'!$D:$D,$A63,'BSE - Other Index Options'!$H:$H,"MDAW*"))</f>
        <v/>
      </c>
      <c r="D63" s="27" t="str">
        <f t="shared" si="2"/>
        <v/>
      </c>
      <c r="E63" s="27" t="str">
        <f t="shared" si="3"/>
        <v/>
      </c>
    </row>
    <row r="64" spans="1:5" hidden="1" outlineLevel="1">
      <c r="A64" s="24">
        <v>46692</v>
      </c>
      <c r="B64" s="26" t="str">
        <f>IF(SUMIFS('NSE - NIFTY Index Options'!$L:$L,'NSE - NIFTY Index Options'!$D:$D,$A64,'NSE - NIFTY Index Options'!$H:$H,"Weekly*")+SUMIFS('NSE - NIFTY Index Options'!$L:$L,'NSE - NIFTY Index Options'!$D:$D,$A64,'NSE - NIFTY Index Options'!$H:$H,"MDAW*")+SUMIFS('NSE - Other Index Options'!$L:$L,'NSE - Other Index Options'!$D:$D,$A64,'NSE - Other Index Options'!$H:$H,"Weekly*")+SUMIFS('NSE - Other Index Options'!$L:$L,'NSE - Other Index Options'!$D:$D,$A64,'NSE - Other Index Options'!$H:$H,"MDAW*")=0,"",SUMIFS('NSE - NIFTY Index Options'!$L:$L,'NSE - NIFTY Index Options'!$D:$D,$A64,'NSE - NIFTY Index Options'!$H:$H,"Weekly*")+SUMIFS('NSE - NIFTY Index Options'!$L:$L,'NSE - NIFTY Index Options'!$D:$D,$A64,'NSE - NIFTY Index Options'!$H:$H,"MDAW*")+SUMIFS('NSE - Other Index Options'!$L:$L,'NSE - Other Index Options'!$D:$D,$A64,'NSE - Other Index Options'!$H:$H,"Weekly*")+SUMIFS('NSE - Other Index Options'!$L:$L,'NSE - Other Index Options'!$D:$D,$A64,'NSE - Other Index Options'!$H:$H,"MDAW*"))</f>
        <v/>
      </c>
      <c r="C64" s="26" t="str">
        <f>IF(SUMIFS('BSE - SENSEX Index Options'!$L:$L,'BSE - SENSEX Index Options'!$D:$D,$A64,'BSE - SENSEX Index Options'!$H:$H,"Weekly*")+SUMIFS('BSE - SENSEX Index Options'!$L:$L,'BSE - SENSEX Index Options'!$D:$D,$A64,'BSE - SENSEX Index Options'!$H:$H,"MDAW*")+SUMIFS('BSE - Other Index Options'!$L:$L,'BSE - Other Index Options'!$D:$D,$A64,'BSE - Other Index Options'!$H:$H,"Weekly*")+SUMIFS('BSE - Other Index Options'!$L:$L,'BSE - Other Index Options'!$D:$D,$A64,'BSE - Other Index Options'!$H:$H,"MDAW*")=0,"",SUMIFS('BSE - SENSEX Index Options'!$L:$L,'BSE - SENSEX Index Options'!$D:$D,$A64,'BSE - SENSEX Index Options'!$H:$H,"Weekly*")+SUMIFS('BSE - SENSEX Index Options'!$L:$L,'BSE - SENSEX Index Options'!$D:$D,$A64,'BSE - SENSEX Index Options'!$H:$H,"MDAW*")+SUMIFS('BSE - Other Index Options'!$L:$L,'BSE - Other Index Options'!$D:$D,$A64,'BSE - Other Index Options'!$H:$H,"Weekly*")+SUMIFS('BSE - Other Index Options'!$L:$L,'BSE - Other Index Options'!$D:$D,$A64,'BSE - Other Index Options'!$H:$H,"MDAW*"))</f>
        <v/>
      </c>
      <c r="D64" s="27" t="str">
        <f t="shared" si="2"/>
        <v/>
      </c>
      <c r="E64" s="27" t="str">
        <f t="shared" si="3"/>
        <v/>
      </c>
    </row>
    <row r="65" spans="1:5" hidden="1" outlineLevel="1">
      <c r="A65" s="24">
        <v>46722</v>
      </c>
      <c r="B65" s="26" t="str">
        <f>IF(SUMIFS('NSE - NIFTY Index Options'!$L:$L,'NSE - NIFTY Index Options'!$D:$D,$A65,'NSE - NIFTY Index Options'!$H:$H,"Weekly*")+SUMIFS('NSE - NIFTY Index Options'!$L:$L,'NSE - NIFTY Index Options'!$D:$D,$A65,'NSE - NIFTY Index Options'!$H:$H,"MDAW*")+SUMIFS('NSE - Other Index Options'!$L:$L,'NSE - Other Index Options'!$D:$D,$A65,'NSE - Other Index Options'!$H:$H,"Weekly*")+SUMIFS('NSE - Other Index Options'!$L:$L,'NSE - Other Index Options'!$D:$D,$A65,'NSE - Other Index Options'!$H:$H,"MDAW*")=0,"",SUMIFS('NSE - NIFTY Index Options'!$L:$L,'NSE - NIFTY Index Options'!$D:$D,$A65,'NSE - NIFTY Index Options'!$H:$H,"Weekly*")+SUMIFS('NSE - NIFTY Index Options'!$L:$L,'NSE - NIFTY Index Options'!$D:$D,$A65,'NSE - NIFTY Index Options'!$H:$H,"MDAW*")+SUMIFS('NSE - Other Index Options'!$L:$L,'NSE - Other Index Options'!$D:$D,$A65,'NSE - Other Index Options'!$H:$H,"Weekly*")+SUMIFS('NSE - Other Index Options'!$L:$L,'NSE - Other Index Options'!$D:$D,$A65,'NSE - Other Index Options'!$H:$H,"MDAW*"))</f>
        <v/>
      </c>
      <c r="C65" s="26" t="str">
        <f>IF(SUMIFS('BSE - SENSEX Index Options'!$L:$L,'BSE - SENSEX Index Options'!$D:$D,$A65,'BSE - SENSEX Index Options'!$H:$H,"Weekly*")+SUMIFS('BSE - SENSEX Index Options'!$L:$L,'BSE - SENSEX Index Options'!$D:$D,$A65,'BSE - SENSEX Index Options'!$H:$H,"MDAW*")+SUMIFS('BSE - Other Index Options'!$L:$L,'BSE - Other Index Options'!$D:$D,$A65,'BSE - Other Index Options'!$H:$H,"Weekly*")+SUMIFS('BSE - Other Index Options'!$L:$L,'BSE - Other Index Options'!$D:$D,$A65,'BSE - Other Index Options'!$H:$H,"MDAW*")=0,"",SUMIFS('BSE - SENSEX Index Options'!$L:$L,'BSE - SENSEX Index Options'!$D:$D,$A65,'BSE - SENSEX Index Options'!$H:$H,"Weekly*")+SUMIFS('BSE - SENSEX Index Options'!$L:$L,'BSE - SENSEX Index Options'!$D:$D,$A65,'BSE - SENSEX Index Options'!$H:$H,"MDAW*")+SUMIFS('BSE - Other Index Options'!$L:$L,'BSE - Other Index Options'!$D:$D,$A65,'BSE - Other Index Options'!$H:$H,"Weekly*")+SUMIFS('BSE - Other Index Options'!$L:$L,'BSE - Other Index Options'!$D:$D,$A65,'BSE - Other Index Options'!$H:$H,"MDAW*"))</f>
        <v/>
      </c>
      <c r="D65" s="27" t="str">
        <f t="shared" si="2"/>
        <v/>
      </c>
      <c r="E65" s="27" t="str">
        <f t="shared" si="3"/>
        <v/>
      </c>
    </row>
    <row r="66" spans="1:5" collapsed="1">
      <c r="A66" s="32" t="s">
        <v>9</v>
      </c>
      <c r="B66" s="33">
        <f>IF(SUM(B38:B65)=0,"",SUM(B38:B65))</f>
        <v>9715323.25</v>
      </c>
      <c r="C66" s="33">
        <f>IF(SUM(C38:C65)=0,"",SUM(C38:C65))</f>
        <v>5198134.6399999997</v>
      </c>
      <c r="D66" s="34">
        <f t="shared" si="2"/>
        <v>0.65144672158926109</v>
      </c>
      <c r="E66" s="34">
        <f t="shared" si="3"/>
        <v>0.3485532784107388</v>
      </c>
    </row>
    <row r="69" spans="1:5">
      <c r="A69" s="32" t="s">
        <v>189</v>
      </c>
    </row>
    <row r="70" spans="1:5">
      <c r="A70" s="32" t="s">
        <v>169</v>
      </c>
      <c r="B70" s="32" t="s">
        <v>1</v>
      </c>
      <c r="C70" s="32" t="s">
        <v>148</v>
      </c>
      <c r="D70" s="32" t="s">
        <v>149</v>
      </c>
      <c r="E70" s="32" t="s">
        <v>150</v>
      </c>
    </row>
    <row r="71" spans="1:5">
      <c r="A71" s="24">
        <v>45901</v>
      </c>
      <c r="B71" s="26">
        <f>IF(SUMIFS('NSE - NIFTY Index Options'!$L:$L,'NSE - NIFTY Index Options'!$D:$D,$A71,'NSE - NIFTY Index Options'!$H:$H,"Monthly*")+SUMIFS('NSE - Other Index Options'!$L:$L,'NSE - Other Index Options'!$D:$D,$A71,'NSE - Other Index Options'!$H:$H,"Monthly*")=0,"",SUMIFS('NSE - NIFTY Index Options'!$L:$L,'NSE - NIFTY Index Options'!$D:$D,$A71,'NSE - NIFTY Index Options'!$H:$H,"Monthly*")+SUMIFS('NSE - Other Index Options'!$L:$L,'NSE - Other Index Options'!$D:$D,$A71,'NSE - Other Index Options'!$H:$H,"Monthly*"))</f>
        <v>158695.41999999998</v>
      </c>
      <c r="C71" s="26">
        <f>IF(SUMIFS('BSE - SENSEX Index Options'!$L:$L,'BSE - SENSEX Index Options'!$D:$D,$A71,'BSE - SENSEX Index Options'!$H:$H,"Monthly*")+SUMIFS('BSE - Other Index Options'!$L:$L,'BSE - Other Index Options'!$D:$D,$A71,'BSE - Other Index Options'!$H:$H,"Monthly*")=0,"",SUMIFS('BSE - SENSEX Index Options'!$L:$L,'BSE - SENSEX Index Options'!$D:$D,$A71,'BSE - SENSEX Index Options'!$H:$H,"Monthly*")+SUMIFS('BSE - Other Index Options'!$L:$L,'BSE - Other Index Options'!$D:$D,$A71,'BSE - Other Index Options'!$H:$H,"Monthly*"))</f>
        <v>2884.2599999999998</v>
      </c>
      <c r="D71" s="27">
        <f t="shared" ref="D71:D99" si="4">IF(SUM(B71:C71)=0,"",SUM(B71)/SUM(B71:C71))</f>
        <v>0.98214961188189009</v>
      </c>
      <c r="E71" s="27">
        <f t="shared" ref="E71:E99" si="5">IF(SUM(B71:C71)=0,"",SUM(C71)/SUM(B71:C71))</f>
        <v>1.7850388118109899E-2</v>
      </c>
    </row>
    <row r="72" spans="1:5">
      <c r="A72" s="24">
        <v>45931</v>
      </c>
      <c r="B72" s="26">
        <f>IF(SUMIFS('NSE - NIFTY Index Options'!$L:$L,'NSE - NIFTY Index Options'!$D:$D,$A72,'NSE - NIFTY Index Options'!$H:$H,"Monthly*")+SUMIFS('NSE - Other Index Options'!$L:$L,'NSE - Other Index Options'!$D:$D,$A72,'NSE - Other Index Options'!$H:$H,"Monthly*")=0,"",SUMIFS('NSE - NIFTY Index Options'!$L:$L,'NSE - NIFTY Index Options'!$D:$D,$A72,'NSE - NIFTY Index Options'!$H:$H,"Monthly*")+SUMIFS('NSE - Other Index Options'!$L:$L,'NSE - Other Index Options'!$D:$D,$A72,'NSE - Other Index Options'!$H:$H,"Monthly*"))</f>
        <v>182594.52</v>
      </c>
      <c r="C72" s="26">
        <f>IF(SUMIFS('BSE - SENSEX Index Options'!$L:$L,'BSE - SENSEX Index Options'!$D:$D,$A72,'BSE - SENSEX Index Options'!$H:$H,"Monthly*")+SUMIFS('BSE - Other Index Options'!$L:$L,'BSE - Other Index Options'!$D:$D,$A72,'BSE - Other Index Options'!$H:$H,"Monthly*")=0,"",SUMIFS('BSE - SENSEX Index Options'!$L:$L,'BSE - SENSEX Index Options'!$D:$D,$A72,'BSE - SENSEX Index Options'!$H:$H,"Monthly*")+SUMIFS('BSE - Other Index Options'!$L:$L,'BSE - Other Index Options'!$D:$D,$A72,'BSE - Other Index Options'!$H:$H,"Monthly*"))</f>
        <v>3519.5299999999997</v>
      </c>
      <c r="D72" s="27">
        <f t="shared" si="4"/>
        <v>0.98108939115558447</v>
      </c>
      <c r="E72" s="27">
        <f t="shared" si="5"/>
        <v>1.8910608844415561E-2</v>
      </c>
    </row>
    <row r="73" spans="1:5">
      <c r="A73" s="24">
        <v>45962</v>
      </c>
      <c r="B73" s="26">
        <f>IF(SUMIFS('NSE - NIFTY Index Options'!$L:$L,'NSE - NIFTY Index Options'!$D:$D,$A73,'NSE - NIFTY Index Options'!$H:$H,"Monthly*")+SUMIFS('NSE - Other Index Options'!$L:$L,'NSE - Other Index Options'!$D:$D,$A73,'NSE - Other Index Options'!$H:$H,"Monthly*")=0,"",SUMIFS('NSE - NIFTY Index Options'!$L:$L,'NSE - NIFTY Index Options'!$D:$D,$A73,'NSE - NIFTY Index Options'!$H:$H,"Monthly*")+SUMIFS('NSE - Other Index Options'!$L:$L,'NSE - Other Index Options'!$D:$D,$A73,'NSE - Other Index Options'!$H:$H,"Monthly*"))</f>
        <v>151052.61000000002</v>
      </c>
      <c r="C73" s="26">
        <f>IF(SUMIFS('BSE - SENSEX Index Options'!$L:$L,'BSE - SENSEX Index Options'!$D:$D,$A73,'BSE - SENSEX Index Options'!$H:$H,"Monthly*")+SUMIFS('BSE - Other Index Options'!$L:$L,'BSE - Other Index Options'!$D:$D,$A73,'BSE - Other Index Options'!$H:$H,"Monthly*")=0,"",SUMIFS('BSE - SENSEX Index Options'!$L:$L,'BSE - SENSEX Index Options'!$D:$D,$A73,'BSE - SENSEX Index Options'!$H:$H,"Monthly*")+SUMIFS('BSE - Other Index Options'!$L:$L,'BSE - Other Index Options'!$D:$D,$A73,'BSE - Other Index Options'!$H:$H,"Monthly*"))</f>
        <v>3281.66</v>
      </c>
      <c r="D73" s="27">
        <f t="shared" si="4"/>
        <v>0.97873667332602143</v>
      </c>
      <c r="E73" s="27">
        <f t="shared" si="5"/>
        <v>2.1263326673978497E-2</v>
      </c>
    </row>
    <row r="74" spans="1:5">
      <c r="A74" s="24">
        <v>45992</v>
      </c>
      <c r="B74" s="26">
        <f>IF(SUMIFS('NSE - NIFTY Index Options'!$L:$L,'NSE - NIFTY Index Options'!$D:$D,$A74,'NSE - NIFTY Index Options'!$H:$H,"Monthly*")+SUMIFS('NSE - Other Index Options'!$L:$L,'NSE - Other Index Options'!$D:$D,$A74,'NSE - Other Index Options'!$H:$H,"Monthly*")=0,"",SUMIFS('NSE - NIFTY Index Options'!$L:$L,'NSE - NIFTY Index Options'!$D:$D,$A74,'NSE - NIFTY Index Options'!$H:$H,"Monthly*")+SUMIFS('NSE - Other Index Options'!$L:$L,'NSE - Other Index Options'!$D:$D,$A74,'NSE - Other Index Options'!$H:$H,"Monthly*"))</f>
        <v>148067.81999999998</v>
      </c>
      <c r="C74" s="26">
        <f>IF(SUMIFS('BSE - SENSEX Index Options'!$L:$L,'BSE - SENSEX Index Options'!$D:$D,$A74,'BSE - SENSEX Index Options'!$H:$H,"Monthly*")+SUMIFS('BSE - Other Index Options'!$L:$L,'BSE - Other Index Options'!$D:$D,$A74,'BSE - Other Index Options'!$H:$H,"Monthly*")=0,"",SUMIFS('BSE - SENSEX Index Options'!$L:$L,'BSE - SENSEX Index Options'!$D:$D,$A74,'BSE - SENSEX Index Options'!$H:$H,"Monthly*")+SUMIFS('BSE - Other Index Options'!$L:$L,'BSE - Other Index Options'!$D:$D,$A74,'BSE - Other Index Options'!$H:$H,"Monthly*"))</f>
        <v>88.300000000000011</v>
      </c>
      <c r="D74" s="27">
        <f t="shared" si="4"/>
        <v>0.99940400707037957</v>
      </c>
      <c r="E74" s="27">
        <f t="shared" si="5"/>
        <v>5.9599292962045738E-4</v>
      </c>
    </row>
    <row r="75" spans="1:5">
      <c r="A75" s="24">
        <v>46023</v>
      </c>
      <c r="B75" s="26">
        <f>IF(SUMIFS('NSE - NIFTY Index Options'!$L:$L,'NSE - NIFTY Index Options'!$D:$D,$A75,'NSE - NIFTY Index Options'!$H:$H,"Monthly*")+SUMIFS('NSE - Other Index Options'!$L:$L,'NSE - Other Index Options'!$D:$D,$A75,'NSE - Other Index Options'!$H:$H,"Monthly*")=0,"",SUMIFS('NSE - NIFTY Index Options'!$L:$L,'NSE - NIFTY Index Options'!$D:$D,$A75,'NSE - NIFTY Index Options'!$H:$H,"Monthly*")+SUMIFS('NSE - Other Index Options'!$L:$L,'NSE - Other Index Options'!$D:$D,$A75,'NSE - Other Index Options'!$H:$H,"Monthly*"))</f>
        <v>169081.26999999996</v>
      </c>
      <c r="C75" s="26">
        <f>IF(SUMIFS('BSE - SENSEX Index Options'!$L:$L,'BSE - SENSEX Index Options'!$D:$D,$A75,'BSE - SENSEX Index Options'!$H:$H,"Monthly*")+SUMIFS('BSE - Other Index Options'!$L:$L,'BSE - Other Index Options'!$D:$D,$A75,'BSE - Other Index Options'!$H:$H,"Monthly*")=0,"",SUMIFS('BSE - SENSEX Index Options'!$L:$L,'BSE - SENSEX Index Options'!$D:$D,$A75,'BSE - SENSEX Index Options'!$H:$H,"Monthly*")+SUMIFS('BSE - Other Index Options'!$L:$L,'BSE - Other Index Options'!$D:$D,$A75,'BSE - Other Index Options'!$H:$H,"Monthly*"))</f>
        <v>5517.84</v>
      </c>
      <c r="D75" s="27">
        <f t="shared" si="4"/>
        <v>0.96839708976752514</v>
      </c>
      <c r="E75" s="27">
        <f t="shared" si="5"/>
        <v>3.160291023247485E-2</v>
      </c>
    </row>
    <row r="76" spans="1:5">
      <c r="A76" s="24">
        <v>46054</v>
      </c>
      <c r="B76" s="26">
        <f>IF(SUMIFS('NSE - NIFTY Index Options'!$L:$L,'NSE - NIFTY Index Options'!$D:$D,$A76,'NSE - NIFTY Index Options'!$H:$H,"Monthly*")+SUMIFS('NSE - Other Index Options'!$L:$L,'NSE - Other Index Options'!$D:$D,$A76,'NSE - Other Index Options'!$H:$H,"Monthly*")=0,"",SUMIFS('NSE - NIFTY Index Options'!$L:$L,'NSE - NIFTY Index Options'!$D:$D,$A76,'NSE - NIFTY Index Options'!$H:$H,"Monthly*")+SUMIFS('NSE - Other Index Options'!$L:$L,'NSE - Other Index Options'!$D:$D,$A76,'NSE - Other Index Options'!$H:$H,"Monthly*"))</f>
        <v>178763.75000000006</v>
      </c>
      <c r="C76" s="26">
        <f>IF(SUMIFS('BSE - SENSEX Index Options'!$L:$L,'BSE - SENSEX Index Options'!$D:$D,$A76,'BSE - SENSEX Index Options'!$H:$H,"Monthly*")+SUMIFS('BSE - Other Index Options'!$L:$L,'BSE - Other Index Options'!$D:$D,$A76,'BSE - Other Index Options'!$H:$H,"Monthly*")=0,"",SUMIFS('BSE - SENSEX Index Options'!$L:$L,'BSE - SENSEX Index Options'!$D:$D,$A76,'BSE - SENSEX Index Options'!$H:$H,"Monthly*")+SUMIFS('BSE - Other Index Options'!$L:$L,'BSE - Other Index Options'!$D:$D,$A76,'BSE - Other Index Options'!$H:$H,"Monthly*"))</f>
        <v>4788.8499999999995</v>
      </c>
      <c r="D76" s="27">
        <f t="shared" si="4"/>
        <v>0.97391020339673751</v>
      </c>
      <c r="E76" s="27">
        <f t="shared" si="5"/>
        <v>2.6089796603262487E-2</v>
      </c>
    </row>
    <row r="77" spans="1:5">
      <c r="A77" s="24">
        <v>46082</v>
      </c>
      <c r="B77" s="26">
        <f>IF(SUMIFS('NSE - NIFTY Index Options'!$L:$L,'NSE - NIFTY Index Options'!$D:$D,$A77,'NSE - NIFTY Index Options'!$H:$H,"Monthly*")+SUMIFS('NSE - Other Index Options'!$L:$L,'NSE - Other Index Options'!$D:$D,$A77,'NSE - Other Index Options'!$H:$H,"Monthly*")=0,"",SUMIFS('NSE - NIFTY Index Options'!$L:$L,'NSE - NIFTY Index Options'!$D:$D,$A77,'NSE - NIFTY Index Options'!$H:$H,"Monthly*")+SUMIFS('NSE - Other Index Options'!$L:$L,'NSE - Other Index Options'!$D:$D,$A77,'NSE - Other Index Options'!$H:$H,"Monthly*"))</f>
        <v>264474.68</v>
      </c>
      <c r="C77" s="26">
        <f>IF(SUMIFS('BSE - SENSEX Index Options'!$L:$L,'BSE - SENSEX Index Options'!$D:$D,$A77,'BSE - SENSEX Index Options'!$H:$H,"Monthly*")+SUMIFS('BSE - Other Index Options'!$L:$L,'BSE - Other Index Options'!$D:$D,$A77,'BSE - Other Index Options'!$H:$H,"Monthly*")=0,"",SUMIFS('BSE - SENSEX Index Options'!$L:$L,'BSE - SENSEX Index Options'!$D:$D,$A77,'BSE - SENSEX Index Options'!$H:$H,"Monthly*")+SUMIFS('BSE - Other Index Options'!$L:$L,'BSE - Other Index Options'!$D:$D,$A77,'BSE - Other Index Options'!$H:$H,"Monthly*"))</f>
        <v>3608.92</v>
      </c>
      <c r="D77" s="27">
        <f t="shared" si="4"/>
        <v>0.98653807991238562</v>
      </c>
      <c r="E77" s="27">
        <f t="shared" si="5"/>
        <v>1.3461920087614461E-2</v>
      </c>
    </row>
    <row r="78" spans="1:5">
      <c r="A78" s="24">
        <v>46113</v>
      </c>
      <c r="B78" s="26">
        <f>IF(SUMIFS('NSE - NIFTY Index Options'!$L:$L,'NSE - NIFTY Index Options'!$D:$D,$A78,'NSE - NIFTY Index Options'!$H:$H,"Monthly*")+SUMIFS('NSE - Other Index Options'!$L:$L,'NSE - Other Index Options'!$D:$D,$A78,'NSE - Other Index Options'!$H:$H,"Monthly*")=0,"",SUMIFS('NSE - NIFTY Index Options'!$L:$L,'NSE - NIFTY Index Options'!$D:$D,$A78,'NSE - NIFTY Index Options'!$H:$H,"Monthly*")+SUMIFS('NSE - Other Index Options'!$L:$L,'NSE - Other Index Options'!$D:$D,$A78,'NSE - Other Index Options'!$H:$H,"Monthly*"))</f>
        <v>184244.68999999997</v>
      </c>
      <c r="C78" s="26">
        <f>IF(SUMIFS('BSE - SENSEX Index Options'!$L:$L,'BSE - SENSEX Index Options'!$D:$D,$A78,'BSE - SENSEX Index Options'!$H:$H,"Monthly*")+SUMIFS('BSE - Other Index Options'!$L:$L,'BSE - Other Index Options'!$D:$D,$A78,'BSE - Other Index Options'!$H:$H,"Monthly*")=0,"",SUMIFS('BSE - SENSEX Index Options'!$L:$L,'BSE - SENSEX Index Options'!$D:$D,$A78,'BSE - SENSEX Index Options'!$H:$H,"Monthly*")+SUMIFS('BSE - Other Index Options'!$L:$L,'BSE - Other Index Options'!$D:$D,$A78,'BSE - Other Index Options'!$H:$H,"Monthly*"))</f>
        <v>4373.59</v>
      </c>
      <c r="D78" s="27">
        <f t="shared" si="4"/>
        <v>0.97681248074152727</v>
      </c>
      <c r="E78" s="27">
        <f t="shared" si="5"/>
        <v>2.3187519258472726E-2</v>
      </c>
    </row>
    <row r="79" spans="1:5">
      <c r="A79" s="24">
        <v>46143</v>
      </c>
      <c r="B79" s="26">
        <f>IF(SUMIFS('NSE - NIFTY Index Options'!$L:$L,'NSE - NIFTY Index Options'!$D:$D,$A79,'NSE - NIFTY Index Options'!$H:$H,"Monthly*")+SUMIFS('NSE - Other Index Options'!$L:$L,'NSE - Other Index Options'!$D:$D,$A79,'NSE - Other Index Options'!$H:$H,"Monthly*")=0,"",SUMIFS('NSE - NIFTY Index Options'!$L:$L,'NSE - NIFTY Index Options'!$D:$D,$A79,'NSE - NIFTY Index Options'!$H:$H,"Monthly*")+SUMIFS('NSE - Other Index Options'!$L:$L,'NSE - Other Index Options'!$D:$D,$A79,'NSE - Other Index Options'!$H:$H,"Monthly*"))</f>
        <v>167919.28999999998</v>
      </c>
      <c r="C79" s="26">
        <f>IF(SUMIFS('BSE - SENSEX Index Options'!$L:$L,'BSE - SENSEX Index Options'!$D:$D,$A79,'BSE - SENSEX Index Options'!$H:$H,"Monthly*")+SUMIFS('BSE - Other Index Options'!$L:$L,'BSE - Other Index Options'!$D:$D,$A79,'BSE - Other Index Options'!$H:$H,"Monthly*")=0,"",SUMIFS('BSE - SENSEX Index Options'!$L:$L,'BSE - SENSEX Index Options'!$D:$D,$A79,'BSE - SENSEX Index Options'!$H:$H,"Monthly*")+SUMIFS('BSE - Other Index Options'!$L:$L,'BSE - Other Index Options'!$D:$D,$A79,'BSE - Other Index Options'!$H:$H,"Monthly*"))</f>
        <v>2615.5299999999993</v>
      </c>
      <c r="D79" s="27">
        <f t="shared" si="4"/>
        <v>0.98466278030492538</v>
      </c>
      <c r="E79" s="27">
        <f t="shared" si="5"/>
        <v>1.5337219695074587E-2</v>
      </c>
    </row>
    <row r="80" spans="1:5">
      <c r="A80" s="24">
        <v>46174</v>
      </c>
      <c r="B80" s="26">
        <f>IF(SUMIFS('NSE - NIFTY Index Options'!$L:$L,'NSE - NIFTY Index Options'!$D:$D,$A80,'NSE - NIFTY Index Options'!$H:$H,"Monthly*")+SUMIFS('NSE - Other Index Options'!$L:$L,'NSE - Other Index Options'!$D:$D,$A80,'NSE - Other Index Options'!$H:$H,"Monthly*")=0,"",SUMIFS('NSE - NIFTY Index Options'!$L:$L,'NSE - NIFTY Index Options'!$D:$D,$A80,'NSE - NIFTY Index Options'!$H:$H,"Monthly*")+SUMIFS('NSE - Other Index Options'!$L:$L,'NSE - Other Index Options'!$D:$D,$A80,'NSE - Other Index Options'!$H:$H,"Monthly*"))</f>
        <v>174087.69</v>
      </c>
      <c r="C80" s="26">
        <f>IF(SUMIFS('BSE - SENSEX Index Options'!$L:$L,'BSE - SENSEX Index Options'!$D:$D,$A80,'BSE - SENSEX Index Options'!$H:$H,"Monthly*")+SUMIFS('BSE - Other Index Options'!$L:$L,'BSE - Other Index Options'!$D:$D,$A80,'BSE - Other Index Options'!$H:$H,"Monthly*")=0,"",SUMIFS('BSE - SENSEX Index Options'!$L:$L,'BSE - SENSEX Index Options'!$D:$D,$A80,'BSE - SENSEX Index Options'!$H:$H,"Monthly*")+SUMIFS('BSE - Other Index Options'!$L:$L,'BSE - Other Index Options'!$D:$D,$A80,'BSE - Other Index Options'!$H:$H,"Monthly*"))</f>
        <v>4078.7500000000005</v>
      </c>
      <c r="D80" s="27">
        <f t="shared" si="4"/>
        <v>0.97710708032332017</v>
      </c>
      <c r="E80" s="27">
        <f t="shared" si="5"/>
        <v>2.2892919676679852E-2</v>
      </c>
    </row>
    <row r="81" spans="1:5">
      <c r="A81" s="24">
        <v>46204</v>
      </c>
      <c r="B81" s="26">
        <f>IF(SUMIFS('NSE - NIFTY Index Options'!$L:$L,'NSE - NIFTY Index Options'!$D:$D,$A81,'NSE - NIFTY Index Options'!$H:$H,"Monthly*")+SUMIFS('NSE - Other Index Options'!$L:$L,'NSE - Other Index Options'!$D:$D,$A81,'NSE - Other Index Options'!$H:$H,"Monthly*")=0,"",SUMIFS('NSE - NIFTY Index Options'!$L:$L,'NSE - NIFTY Index Options'!$D:$D,$A81,'NSE - NIFTY Index Options'!$H:$H,"Monthly*")+SUMIFS('NSE - Other Index Options'!$L:$L,'NSE - Other Index Options'!$D:$D,$A81,'NSE - Other Index Options'!$H:$H,"Monthly*"))</f>
        <v>31578.710000000003</v>
      </c>
      <c r="C81" s="26">
        <f>IF(SUMIFS('BSE - SENSEX Index Options'!$L:$L,'BSE - SENSEX Index Options'!$D:$D,$A81,'BSE - SENSEX Index Options'!$H:$H,"Monthly*")+SUMIFS('BSE - Other Index Options'!$L:$L,'BSE - Other Index Options'!$D:$D,$A81,'BSE - Other Index Options'!$H:$H,"Monthly*")=0,"",SUMIFS('BSE - SENSEX Index Options'!$L:$L,'BSE - SENSEX Index Options'!$D:$D,$A81,'BSE - SENSEX Index Options'!$H:$H,"Monthly*")+SUMIFS('BSE - Other Index Options'!$L:$L,'BSE - Other Index Options'!$D:$D,$A81,'BSE - Other Index Options'!$H:$H,"Monthly*"))</f>
        <v>191.3</v>
      </c>
      <c r="D81" s="27">
        <f t="shared" si="4"/>
        <v>0.99397859805520994</v>
      </c>
      <c r="E81" s="27">
        <f t="shared" si="5"/>
        <v>6.0214019447900708E-3</v>
      </c>
    </row>
    <row r="82" spans="1:5" hidden="1" outlineLevel="1">
      <c r="A82" s="24">
        <v>46235</v>
      </c>
      <c r="B82" s="26" t="str">
        <f>IF(SUMIFS('NSE - NIFTY Index Options'!$L:$L,'NSE - NIFTY Index Options'!$D:$D,$A82,'NSE - NIFTY Index Options'!$H:$H,"Monthly*")+SUMIFS('NSE - Other Index Options'!$L:$L,'NSE - Other Index Options'!$D:$D,$A82,'NSE - Other Index Options'!$H:$H,"Monthly*")=0,"",SUMIFS('NSE - NIFTY Index Options'!$L:$L,'NSE - NIFTY Index Options'!$D:$D,$A82,'NSE - NIFTY Index Options'!$H:$H,"Monthly*")+SUMIFS('NSE - Other Index Options'!$L:$L,'NSE - Other Index Options'!$D:$D,$A82,'NSE - Other Index Options'!$H:$H,"Monthly*"))</f>
        <v/>
      </c>
      <c r="C82" s="26" t="str">
        <f>IF(SUMIFS('BSE - SENSEX Index Options'!$L:$L,'BSE - SENSEX Index Options'!$D:$D,$A82,'BSE - SENSEX Index Options'!$H:$H,"Monthly*")+SUMIFS('BSE - Other Index Options'!$L:$L,'BSE - Other Index Options'!$D:$D,$A82,'BSE - Other Index Options'!$H:$H,"Monthly*")=0,"",SUMIFS('BSE - SENSEX Index Options'!$L:$L,'BSE - SENSEX Index Options'!$D:$D,$A82,'BSE - SENSEX Index Options'!$H:$H,"Monthly*")+SUMIFS('BSE - Other Index Options'!$L:$L,'BSE - Other Index Options'!$D:$D,$A82,'BSE - Other Index Options'!$H:$H,"Monthly*"))</f>
        <v/>
      </c>
      <c r="D82" s="27" t="str">
        <f t="shared" si="4"/>
        <v/>
      </c>
      <c r="E82" s="27" t="str">
        <f t="shared" si="5"/>
        <v/>
      </c>
    </row>
    <row r="83" spans="1:5" hidden="1" outlineLevel="1">
      <c r="A83" s="24">
        <v>46266</v>
      </c>
      <c r="B83" s="26" t="str">
        <f>IF(SUMIFS('NSE - NIFTY Index Options'!$L:$L,'NSE - NIFTY Index Options'!$D:$D,$A83,'NSE - NIFTY Index Options'!$H:$H,"Monthly*")+SUMIFS('NSE - Other Index Options'!$L:$L,'NSE - Other Index Options'!$D:$D,$A83,'NSE - Other Index Options'!$H:$H,"Monthly*")=0,"",SUMIFS('NSE - NIFTY Index Options'!$L:$L,'NSE - NIFTY Index Options'!$D:$D,$A83,'NSE - NIFTY Index Options'!$H:$H,"Monthly*")+SUMIFS('NSE - Other Index Options'!$L:$L,'NSE - Other Index Options'!$D:$D,$A83,'NSE - Other Index Options'!$H:$H,"Monthly*"))</f>
        <v/>
      </c>
      <c r="C83" s="26" t="str">
        <f>IF(SUMIFS('BSE - SENSEX Index Options'!$L:$L,'BSE - SENSEX Index Options'!$D:$D,$A83,'BSE - SENSEX Index Options'!$H:$H,"Monthly*")+SUMIFS('BSE - Other Index Options'!$L:$L,'BSE - Other Index Options'!$D:$D,$A83,'BSE - Other Index Options'!$H:$H,"Monthly*")=0,"",SUMIFS('BSE - SENSEX Index Options'!$L:$L,'BSE - SENSEX Index Options'!$D:$D,$A83,'BSE - SENSEX Index Options'!$H:$H,"Monthly*")+SUMIFS('BSE - Other Index Options'!$L:$L,'BSE - Other Index Options'!$D:$D,$A83,'BSE - Other Index Options'!$H:$H,"Monthly*"))</f>
        <v/>
      </c>
      <c r="D83" s="27" t="str">
        <f t="shared" si="4"/>
        <v/>
      </c>
      <c r="E83" s="27" t="str">
        <f t="shared" si="5"/>
        <v/>
      </c>
    </row>
    <row r="84" spans="1:5" hidden="1" outlineLevel="1">
      <c r="A84" s="24">
        <v>46296</v>
      </c>
      <c r="B84" s="26" t="str">
        <f>IF(SUMIFS('NSE - NIFTY Index Options'!$L:$L,'NSE - NIFTY Index Options'!$D:$D,$A84,'NSE - NIFTY Index Options'!$H:$H,"Monthly*")+SUMIFS('NSE - Other Index Options'!$L:$L,'NSE - Other Index Options'!$D:$D,$A84,'NSE - Other Index Options'!$H:$H,"Monthly*")=0,"",SUMIFS('NSE - NIFTY Index Options'!$L:$L,'NSE - NIFTY Index Options'!$D:$D,$A84,'NSE - NIFTY Index Options'!$H:$H,"Monthly*")+SUMIFS('NSE - Other Index Options'!$L:$L,'NSE - Other Index Options'!$D:$D,$A84,'NSE - Other Index Options'!$H:$H,"Monthly*"))</f>
        <v/>
      </c>
      <c r="C84" s="26" t="str">
        <f>IF(SUMIFS('BSE - SENSEX Index Options'!$L:$L,'BSE - SENSEX Index Options'!$D:$D,$A84,'BSE - SENSEX Index Options'!$H:$H,"Monthly*")+SUMIFS('BSE - Other Index Options'!$L:$L,'BSE - Other Index Options'!$D:$D,$A84,'BSE - Other Index Options'!$H:$H,"Monthly*")=0,"",SUMIFS('BSE - SENSEX Index Options'!$L:$L,'BSE - SENSEX Index Options'!$D:$D,$A84,'BSE - SENSEX Index Options'!$H:$H,"Monthly*")+SUMIFS('BSE - Other Index Options'!$L:$L,'BSE - Other Index Options'!$D:$D,$A84,'BSE - Other Index Options'!$H:$H,"Monthly*"))</f>
        <v/>
      </c>
      <c r="D84" s="27" t="str">
        <f t="shared" si="4"/>
        <v/>
      </c>
      <c r="E84" s="27" t="str">
        <f t="shared" si="5"/>
        <v/>
      </c>
    </row>
    <row r="85" spans="1:5" hidden="1" outlineLevel="1">
      <c r="A85" s="24">
        <v>46327</v>
      </c>
      <c r="B85" s="26" t="str">
        <f>IF(SUMIFS('NSE - NIFTY Index Options'!$L:$L,'NSE - NIFTY Index Options'!$D:$D,$A85,'NSE - NIFTY Index Options'!$H:$H,"Monthly*")+SUMIFS('NSE - Other Index Options'!$L:$L,'NSE - Other Index Options'!$D:$D,$A85,'NSE - Other Index Options'!$H:$H,"Monthly*")=0,"",SUMIFS('NSE - NIFTY Index Options'!$L:$L,'NSE - NIFTY Index Options'!$D:$D,$A85,'NSE - NIFTY Index Options'!$H:$H,"Monthly*")+SUMIFS('NSE - Other Index Options'!$L:$L,'NSE - Other Index Options'!$D:$D,$A85,'NSE - Other Index Options'!$H:$H,"Monthly*"))</f>
        <v/>
      </c>
      <c r="C85" s="26" t="str">
        <f>IF(SUMIFS('BSE - SENSEX Index Options'!$L:$L,'BSE - SENSEX Index Options'!$D:$D,$A85,'BSE - SENSEX Index Options'!$H:$H,"Monthly*")+SUMIFS('BSE - Other Index Options'!$L:$L,'BSE - Other Index Options'!$D:$D,$A85,'BSE - Other Index Options'!$H:$H,"Monthly*")=0,"",SUMIFS('BSE - SENSEX Index Options'!$L:$L,'BSE - SENSEX Index Options'!$D:$D,$A85,'BSE - SENSEX Index Options'!$H:$H,"Monthly*")+SUMIFS('BSE - Other Index Options'!$L:$L,'BSE - Other Index Options'!$D:$D,$A85,'BSE - Other Index Options'!$H:$H,"Monthly*"))</f>
        <v/>
      </c>
      <c r="D85" s="27" t="str">
        <f t="shared" si="4"/>
        <v/>
      </c>
      <c r="E85" s="27" t="str">
        <f t="shared" si="5"/>
        <v/>
      </c>
    </row>
    <row r="86" spans="1:5" hidden="1" outlineLevel="1">
      <c r="A86" s="24">
        <v>46357</v>
      </c>
      <c r="B86" s="26" t="str">
        <f>IF(SUMIFS('NSE - NIFTY Index Options'!$L:$L,'NSE - NIFTY Index Options'!$D:$D,$A86,'NSE - NIFTY Index Options'!$H:$H,"Monthly*")+SUMIFS('NSE - Other Index Options'!$L:$L,'NSE - Other Index Options'!$D:$D,$A86,'NSE - Other Index Options'!$H:$H,"Monthly*")=0,"",SUMIFS('NSE - NIFTY Index Options'!$L:$L,'NSE - NIFTY Index Options'!$D:$D,$A86,'NSE - NIFTY Index Options'!$H:$H,"Monthly*")+SUMIFS('NSE - Other Index Options'!$L:$L,'NSE - Other Index Options'!$D:$D,$A86,'NSE - Other Index Options'!$H:$H,"Monthly*"))</f>
        <v/>
      </c>
      <c r="C86" s="26" t="str">
        <f>IF(SUMIFS('BSE - SENSEX Index Options'!$L:$L,'BSE - SENSEX Index Options'!$D:$D,$A86,'BSE - SENSEX Index Options'!$H:$H,"Monthly*")+SUMIFS('BSE - Other Index Options'!$L:$L,'BSE - Other Index Options'!$D:$D,$A86,'BSE - Other Index Options'!$H:$H,"Monthly*")=0,"",SUMIFS('BSE - SENSEX Index Options'!$L:$L,'BSE - SENSEX Index Options'!$D:$D,$A86,'BSE - SENSEX Index Options'!$H:$H,"Monthly*")+SUMIFS('BSE - Other Index Options'!$L:$L,'BSE - Other Index Options'!$D:$D,$A86,'BSE - Other Index Options'!$H:$H,"Monthly*"))</f>
        <v/>
      </c>
      <c r="D86" s="27" t="str">
        <f t="shared" si="4"/>
        <v/>
      </c>
      <c r="E86" s="27" t="str">
        <f t="shared" si="5"/>
        <v/>
      </c>
    </row>
    <row r="87" spans="1:5" hidden="1" outlineLevel="1">
      <c r="A87" s="24">
        <v>46388</v>
      </c>
      <c r="B87" s="26" t="str">
        <f>IF(SUMIFS('NSE - NIFTY Index Options'!$L:$L,'NSE - NIFTY Index Options'!$D:$D,$A87,'NSE - NIFTY Index Options'!$H:$H,"Monthly*")+SUMIFS('NSE - Other Index Options'!$L:$L,'NSE - Other Index Options'!$D:$D,$A87,'NSE - Other Index Options'!$H:$H,"Monthly*")=0,"",SUMIFS('NSE - NIFTY Index Options'!$L:$L,'NSE - NIFTY Index Options'!$D:$D,$A87,'NSE - NIFTY Index Options'!$H:$H,"Monthly*")+SUMIFS('NSE - Other Index Options'!$L:$L,'NSE - Other Index Options'!$D:$D,$A87,'NSE - Other Index Options'!$H:$H,"Monthly*"))</f>
        <v/>
      </c>
      <c r="C87" s="26" t="str">
        <f>IF(SUMIFS('BSE - SENSEX Index Options'!$L:$L,'BSE - SENSEX Index Options'!$D:$D,$A87,'BSE - SENSEX Index Options'!$H:$H,"Monthly*")+SUMIFS('BSE - Other Index Options'!$L:$L,'BSE - Other Index Options'!$D:$D,$A87,'BSE - Other Index Options'!$H:$H,"Monthly*")=0,"",SUMIFS('BSE - SENSEX Index Options'!$L:$L,'BSE - SENSEX Index Options'!$D:$D,$A87,'BSE - SENSEX Index Options'!$H:$H,"Monthly*")+SUMIFS('BSE - Other Index Options'!$L:$L,'BSE - Other Index Options'!$D:$D,$A87,'BSE - Other Index Options'!$H:$H,"Monthly*"))</f>
        <v/>
      </c>
      <c r="D87" s="27" t="str">
        <f t="shared" si="4"/>
        <v/>
      </c>
      <c r="E87" s="27" t="str">
        <f t="shared" si="5"/>
        <v/>
      </c>
    </row>
    <row r="88" spans="1:5" hidden="1" outlineLevel="1">
      <c r="A88" s="24">
        <v>46419</v>
      </c>
      <c r="B88" s="26" t="str">
        <f>IF(SUMIFS('NSE - NIFTY Index Options'!$L:$L,'NSE - NIFTY Index Options'!$D:$D,$A88,'NSE - NIFTY Index Options'!$H:$H,"Monthly*")+SUMIFS('NSE - Other Index Options'!$L:$L,'NSE - Other Index Options'!$D:$D,$A88,'NSE - Other Index Options'!$H:$H,"Monthly*")=0,"",SUMIFS('NSE - NIFTY Index Options'!$L:$L,'NSE - NIFTY Index Options'!$D:$D,$A88,'NSE - NIFTY Index Options'!$H:$H,"Monthly*")+SUMIFS('NSE - Other Index Options'!$L:$L,'NSE - Other Index Options'!$D:$D,$A88,'NSE - Other Index Options'!$H:$H,"Monthly*"))</f>
        <v/>
      </c>
      <c r="C88" s="26" t="str">
        <f>IF(SUMIFS('BSE - SENSEX Index Options'!$L:$L,'BSE - SENSEX Index Options'!$D:$D,$A88,'BSE - SENSEX Index Options'!$H:$H,"Monthly*")+SUMIFS('BSE - Other Index Options'!$L:$L,'BSE - Other Index Options'!$D:$D,$A88,'BSE - Other Index Options'!$H:$H,"Monthly*")=0,"",SUMIFS('BSE - SENSEX Index Options'!$L:$L,'BSE - SENSEX Index Options'!$D:$D,$A88,'BSE - SENSEX Index Options'!$H:$H,"Monthly*")+SUMIFS('BSE - Other Index Options'!$L:$L,'BSE - Other Index Options'!$D:$D,$A88,'BSE - Other Index Options'!$H:$H,"Monthly*"))</f>
        <v/>
      </c>
      <c r="D88" s="27" t="str">
        <f t="shared" si="4"/>
        <v/>
      </c>
      <c r="E88" s="27" t="str">
        <f t="shared" si="5"/>
        <v/>
      </c>
    </row>
    <row r="89" spans="1:5" hidden="1" outlineLevel="1">
      <c r="A89" s="24">
        <v>46447</v>
      </c>
      <c r="B89" s="26" t="str">
        <f>IF(SUMIFS('NSE - NIFTY Index Options'!$L:$L,'NSE - NIFTY Index Options'!$D:$D,$A89,'NSE - NIFTY Index Options'!$H:$H,"Monthly*")+SUMIFS('NSE - Other Index Options'!$L:$L,'NSE - Other Index Options'!$D:$D,$A89,'NSE - Other Index Options'!$H:$H,"Monthly*")=0,"",SUMIFS('NSE - NIFTY Index Options'!$L:$L,'NSE - NIFTY Index Options'!$D:$D,$A89,'NSE - NIFTY Index Options'!$H:$H,"Monthly*")+SUMIFS('NSE - Other Index Options'!$L:$L,'NSE - Other Index Options'!$D:$D,$A89,'NSE - Other Index Options'!$H:$H,"Monthly*"))</f>
        <v/>
      </c>
      <c r="C89" s="26" t="str">
        <f>IF(SUMIFS('BSE - SENSEX Index Options'!$L:$L,'BSE - SENSEX Index Options'!$D:$D,$A89,'BSE - SENSEX Index Options'!$H:$H,"Monthly*")+SUMIFS('BSE - Other Index Options'!$L:$L,'BSE - Other Index Options'!$D:$D,$A89,'BSE - Other Index Options'!$H:$H,"Monthly*")=0,"",SUMIFS('BSE - SENSEX Index Options'!$L:$L,'BSE - SENSEX Index Options'!$D:$D,$A89,'BSE - SENSEX Index Options'!$H:$H,"Monthly*")+SUMIFS('BSE - Other Index Options'!$L:$L,'BSE - Other Index Options'!$D:$D,$A89,'BSE - Other Index Options'!$H:$H,"Monthly*"))</f>
        <v/>
      </c>
      <c r="D89" s="27" t="str">
        <f t="shared" si="4"/>
        <v/>
      </c>
      <c r="E89" s="27" t="str">
        <f t="shared" si="5"/>
        <v/>
      </c>
    </row>
    <row r="90" spans="1:5" hidden="1" outlineLevel="1">
      <c r="A90" s="24">
        <v>46478</v>
      </c>
      <c r="B90" s="26" t="str">
        <f>IF(SUMIFS('NSE - NIFTY Index Options'!$L:$L,'NSE - NIFTY Index Options'!$D:$D,$A90,'NSE - NIFTY Index Options'!$H:$H,"Monthly*")+SUMIFS('NSE - Other Index Options'!$L:$L,'NSE - Other Index Options'!$D:$D,$A90,'NSE - Other Index Options'!$H:$H,"Monthly*")=0,"",SUMIFS('NSE - NIFTY Index Options'!$L:$L,'NSE - NIFTY Index Options'!$D:$D,$A90,'NSE - NIFTY Index Options'!$H:$H,"Monthly*")+SUMIFS('NSE - Other Index Options'!$L:$L,'NSE - Other Index Options'!$D:$D,$A90,'NSE - Other Index Options'!$H:$H,"Monthly*"))</f>
        <v/>
      </c>
      <c r="C90" s="26" t="str">
        <f>IF(SUMIFS('BSE - SENSEX Index Options'!$L:$L,'BSE - SENSEX Index Options'!$D:$D,$A90,'BSE - SENSEX Index Options'!$H:$H,"Monthly*")+SUMIFS('BSE - Other Index Options'!$L:$L,'BSE - Other Index Options'!$D:$D,$A90,'BSE - Other Index Options'!$H:$H,"Monthly*")=0,"",SUMIFS('BSE - SENSEX Index Options'!$L:$L,'BSE - SENSEX Index Options'!$D:$D,$A90,'BSE - SENSEX Index Options'!$H:$H,"Monthly*")+SUMIFS('BSE - Other Index Options'!$L:$L,'BSE - Other Index Options'!$D:$D,$A90,'BSE - Other Index Options'!$H:$H,"Monthly*"))</f>
        <v/>
      </c>
      <c r="D90" s="27" t="str">
        <f t="shared" si="4"/>
        <v/>
      </c>
      <c r="E90" s="27" t="str">
        <f t="shared" si="5"/>
        <v/>
      </c>
    </row>
    <row r="91" spans="1:5" hidden="1" outlineLevel="1">
      <c r="A91" s="24">
        <v>46508</v>
      </c>
      <c r="B91" s="26" t="str">
        <f>IF(SUMIFS('NSE - NIFTY Index Options'!$L:$L,'NSE - NIFTY Index Options'!$D:$D,$A91,'NSE - NIFTY Index Options'!$H:$H,"Monthly*")+SUMIFS('NSE - Other Index Options'!$L:$L,'NSE - Other Index Options'!$D:$D,$A91,'NSE - Other Index Options'!$H:$H,"Monthly*")=0,"",SUMIFS('NSE - NIFTY Index Options'!$L:$L,'NSE - NIFTY Index Options'!$D:$D,$A91,'NSE - NIFTY Index Options'!$H:$H,"Monthly*")+SUMIFS('NSE - Other Index Options'!$L:$L,'NSE - Other Index Options'!$D:$D,$A91,'NSE - Other Index Options'!$H:$H,"Monthly*"))</f>
        <v/>
      </c>
      <c r="C91" s="26" t="str">
        <f>IF(SUMIFS('BSE - SENSEX Index Options'!$L:$L,'BSE - SENSEX Index Options'!$D:$D,$A91,'BSE - SENSEX Index Options'!$H:$H,"Monthly*")+SUMIFS('BSE - Other Index Options'!$L:$L,'BSE - Other Index Options'!$D:$D,$A91,'BSE - Other Index Options'!$H:$H,"Monthly*")=0,"",SUMIFS('BSE - SENSEX Index Options'!$L:$L,'BSE - SENSEX Index Options'!$D:$D,$A91,'BSE - SENSEX Index Options'!$H:$H,"Monthly*")+SUMIFS('BSE - Other Index Options'!$L:$L,'BSE - Other Index Options'!$D:$D,$A91,'BSE - Other Index Options'!$H:$H,"Monthly*"))</f>
        <v/>
      </c>
      <c r="D91" s="27" t="str">
        <f t="shared" si="4"/>
        <v/>
      </c>
      <c r="E91" s="27" t="str">
        <f t="shared" si="5"/>
        <v/>
      </c>
    </row>
    <row r="92" spans="1:5" hidden="1" outlineLevel="1">
      <c r="A92" s="24">
        <v>46539</v>
      </c>
      <c r="B92" s="26" t="str">
        <f>IF(SUMIFS('NSE - NIFTY Index Options'!$L:$L,'NSE - NIFTY Index Options'!$D:$D,$A92,'NSE - NIFTY Index Options'!$H:$H,"Monthly*")+SUMIFS('NSE - Other Index Options'!$L:$L,'NSE - Other Index Options'!$D:$D,$A92,'NSE - Other Index Options'!$H:$H,"Monthly*")=0,"",SUMIFS('NSE - NIFTY Index Options'!$L:$L,'NSE - NIFTY Index Options'!$D:$D,$A92,'NSE - NIFTY Index Options'!$H:$H,"Monthly*")+SUMIFS('NSE - Other Index Options'!$L:$L,'NSE - Other Index Options'!$D:$D,$A92,'NSE - Other Index Options'!$H:$H,"Monthly*"))</f>
        <v/>
      </c>
      <c r="C92" s="26" t="str">
        <f>IF(SUMIFS('BSE - SENSEX Index Options'!$L:$L,'BSE - SENSEX Index Options'!$D:$D,$A92,'BSE - SENSEX Index Options'!$H:$H,"Monthly*")+SUMIFS('BSE - Other Index Options'!$L:$L,'BSE - Other Index Options'!$D:$D,$A92,'BSE - Other Index Options'!$H:$H,"Monthly*")=0,"",SUMIFS('BSE - SENSEX Index Options'!$L:$L,'BSE - SENSEX Index Options'!$D:$D,$A92,'BSE - SENSEX Index Options'!$H:$H,"Monthly*")+SUMIFS('BSE - Other Index Options'!$L:$L,'BSE - Other Index Options'!$D:$D,$A92,'BSE - Other Index Options'!$H:$H,"Monthly*"))</f>
        <v/>
      </c>
      <c r="D92" s="27" t="str">
        <f t="shared" si="4"/>
        <v/>
      </c>
      <c r="E92" s="27" t="str">
        <f t="shared" si="5"/>
        <v/>
      </c>
    </row>
    <row r="93" spans="1:5" hidden="1" outlineLevel="1">
      <c r="A93" s="24">
        <v>46569</v>
      </c>
      <c r="B93" s="26" t="str">
        <f>IF(SUMIFS('NSE - NIFTY Index Options'!$L:$L,'NSE - NIFTY Index Options'!$D:$D,$A93,'NSE - NIFTY Index Options'!$H:$H,"Monthly*")+SUMIFS('NSE - Other Index Options'!$L:$L,'NSE - Other Index Options'!$D:$D,$A93,'NSE - Other Index Options'!$H:$H,"Monthly*")=0,"",SUMIFS('NSE - NIFTY Index Options'!$L:$L,'NSE - NIFTY Index Options'!$D:$D,$A93,'NSE - NIFTY Index Options'!$H:$H,"Monthly*")+SUMIFS('NSE - Other Index Options'!$L:$L,'NSE - Other Index Options'!$D:$D,$A93,'NSE - Other Index Options'!$H:$H,"Monthly*"))</f>
        <v/>
      </c>
      <c r="C93" s="26" t="str">
        <f>IF(SUMIFS('BSE - SENSEX Index Options'!$L:$L,'BSE - SENSEX Index Options'!$D:$D,$A93,'BSE - SENSEX Index Options'!$H:$H,"Monthly*")+SUMIFS('BSE - Other Index Options'!$L:$L,'BSE - Other Index Options'!$D:$D,$A93,'BSE - Other Index Options'!$H:$H,"Monthly*")=0,"",SUMIFS('BSE - SENSEX Index Options'!$L:$L,'BSE - SENSEX Index Options'!$D:$D,$A93,'BSE - SENSEX Index Options'!$H:$H,"Monthly*")+SUMIFS('BSE - Other Index Options'!$L:$L,'BSE - Other Index Options'!$D:$D,$A93,'BSE - Other Index Options'!$H:$H,"Monthly*"))</f>
        <v/>
      </c>
      <c r="D93" s="27" t="str">
        <f t="shared" si="4"/>
        <v/>
      </c>
      <c r="E93" s="27" t="str">
        <f t="shared" si="5"/>
        <v/>
      </c>
    </row>
    <row r="94" spans="1:5" hidden="1" outlineLevel="1">
      <c r="A94" s="24">
        <v>46600</v>
      </c>
      <c r="B94" s="26" t="str">
        <f>IF(SUMIFS('NSE - NIFTY Index Options'!$L:$L,'NSE - NIFTY Index Options'!$D:$D,$A94,'NSE - NIFTY Index Options'!$H:$H,"Monthly*")+SUMIFS('NSE - Other Index Options'!$L:$L,'NSE - Other Index Options'!$D:$D,$A94,'NSE - Other Index Options'!$H:$H,"Monthly*")=0,"",SUMIFS('NSE - NIFTY Index Options'!$L:$L,'NSE - NIFTY Index Options'!$D:$D,$A94,'NSE - NIFTY Index Options'!$H:$H,"Monthly*")+SUMIFS('NSE - Other Index Options'!$L:$L,'NSE - Other Index Options'!$D:$D,$A94,'NSE - Other Index Options'!$H:$H,"Monthly*"))</f>
        <v/>
      </c>
      <c r="C94" s="26" t="str">
        <f>IF(SUMIFS('BSE - SENSEX Index Options'!$L:$L,'BSE - SENSEX Index Options'!$D:$D,$A94,'BSE - SENSEX Index Options'!$H:$H,"Monthly*")+SUMIFS('BSE - Other Index Options'!$L:$L,'BSE - Other Index Options'!$D:$D,$A94,'BSE - Other Index Options'!$H:$H,"Monthly*")=0,"",SUMIFS('BSE - SENSEX Index Options'!$L:$L,'BSE - SENSEX Index Options'!$D:$D,$A94,'BSE - SENSEX Index Options'!$H:$H,"Monthly*")+SUMIFS('BSE - Other Index Options'!$L:$L,'BSE - Other Index Options'!$D:$D,$A94,'BSE - Other Index Options'!$H:$H,"Monthly*"))</f>
        <v/>
      </c>
      <c r="D94" s="27" t="str">
        <f t="shared" si="4"/>
        <v/>
      </c>
      <c r="E94" s="27" t="str">
        <f t="shared" si="5"/>
        <v/>
      </c>
    </row>
    <row r="95" spans="1:5" hidden="1" outlineLevel="1">
      <c r="A95" s="24">
        <v>46631</v>
      </c>
      <c r="B95" s="26" t="str">
        <f>IF(SUMIFS('NSE - NIFTY Index Options'!$L:$L,'NSE - NIFTY Index Options'!$D:$D,$A95,'NSE - NIFTY Index Options'!$H:$H,"Monthly*")+SUMIFS('NSE - Other Index Options'!$L:$L,'NSE - Other Index Options'!$D:$D,$A95,'NSE - Other Index Options'!$H:$H,"Monthly*")=0,"",SUMIFS('NSE - NIFTY Index Options'!$L:$L,'NSE - NIFTY Index Options'!$D:$D,$A95,'NSE - NIFTY Index Options'!$H:$H,"Monthly*")+SUMIFS('NSE - Other Index Options'!$L:$L,'NSE - Other Index Options'!$D:$D,$A95,'NSE - Other Index Options'!$H:$H,"Monthly*"))</f>
        <v/>
      </c>
      <c r="C95" s="26" t="str">
        <f>IF(SUMIFS('BSE - SENSEX Index Options'!$L:$L,'BSE - SENSEX Index Options'!$D:$D,$A95,'BSE - SENSEX Index Options'!$H:$H,"Monthly*")+SUMIFS('BSE - Other Index Options'!$L:$L,'BSE - Other Index Options'!$D:$D,$A95,'BSE - Other Index Options'!$H:$H,"Monthly*")=0,"",SUMIFS('BSE - SENSEX Index Options'!$L:$L,'BSE - SENSEX Index Options'!$D:$D,$A95,'BSE - SENSEX Index Options'!$H:$H,"Monthly*")+SUMIFS('BSE - Other Index Options'!$L:$L,'BSE - Other Index Options'!$D:$D,$A95,'BSE - Other Index Options'!$H:$H,"Monthly*"))</f>
        <v/>
      </c>
      <c r="D95" s="27" t="str">
        <f t="shared" si="4"/>
        <v/>
      </c>
      <c r="E95" s="27" t="str">
        <f t="shared" si="5"/>
        <v/>
      </c>
    </row>
    <row r="96" spans="1:5" hidden="1" outlineLevel="1">
      <c r="A96" s="24">
        <v>46661</v>
      </c>
      <c r="B96" s="26" t="str">
        <f>IF(SUMIFS('NSE - NIFTY Index Options'!$L:$L,'NSE - NIFTY Index Options'!$D:$D,$A96,'NSE - NIFTY Index Options'!$H:$H,"Monthly*")+SUMIFS('NSE - Other Index Options'!$L:$L,'NSE - Other Index Options'!$D:$D,$A96,'NSE - Other Index Options'!$H:$H,"Monthly*")=0,"",SUMIFS('NSE - NIFTY Index Options'!$L:$L,'NSE - NIFTY Index Options'!$D:$D,$A96,'NSE - NIFTY Index Options'!$H:$H,"Monthly*")+SUMIFS('NSE - Other Index Options'!$L:$L,'NSE - Other Index Options'!$D:$D,$A96,'NSE - Other Index Options'!$H:$H,"Monthly*"))</f>
        <v/>
      </c>
      <c r="C96" s="26" t="str">
        <f>IF(SUMIFS('BSE - SENSEX Index Options'!$L:$L,'BSE - SENSEX Index Options'!$D:$D,$A96,'BSE - SENSEX Index Options'!$H:$H,"Monthly*")+SUMIFS('BSE - Other Index Options'!$L:$L,'BSE - Other Index Options'!$D:$D,$A96,'BSE - Other Index Options'!$H:$H,"Monthly*")=0,"",SUMIFS('BSE - SENSEX Index Options'!$L:$L,'BSE - SENSEX Index Options'!$D:$D,$A96,'BSE - SENSEX Index Options'!$H:$H,"Monthly*")+SUMIFS('BSE - Other Index Options'!$L:$L,'BSE - Other Index Options'!$D:$D,$A96,'BSE - Other Index Options'!$H:$H,"Monthly*"))</f>
        <v/>
      </c>
      <c r="D96" s="27" t="str">
        <f t="shared" si="4"/>
        <v/>
      </c>
      <c r="E96" s="27" t="str">
        <f t="shared" si="5"/>
        <v/>
      </c>
    </row>
    <row r="97" spans="1:5" hidden="1" outlineLevel="1">
      <c r="A97" s="24">
        <v>46692</v>
      </c>
      <c r="B97" s="26" t="str">
        <f>IF(SUMIFS('NSE - NIFTY Index Options'!$L:$L,'NSE - NIFTY Index Options'!$D:$D,$A97,'NSE - NIFTY Index Options'!$H:$H,"Monthly*")+SUMIFS('NSE - Other Index Options'!$L:$L,'NSE - Other Index Options'!$D:$D,$A97,'NSE - Other Index Options'!$H:$H,"Monthly*")=0,"",SUMIFS('NSE - NIFTY Index Options'!$L:$L,'NSE - NIFTY Index Options'!$D:$D,$A97,'NSE - NIFTY Index Options'!$H:$H,"Monthly*")+SUMIFS('NSE - Other Index Options'!$L:$L,'NSE - Other Index Options'!$D:$D,$A97,'NSE - Other Index Options'!$H:$H,"Monthly*"))</f>
        <v/>
      </c>
      <c r="C97" s="26" t="str">
        <f>IF(SUMIFS('BSE - SENSEX Index Options'!$L:$L,'BSE - SENSEX Index Options'!$D:$D,$A97,'BSE - SENSEX Index Options'!$H:$H,"Monthly*")+SUMIFS('BSE - Other Index Options'!$L:$L,'BSE - Other Index Options'!$D:$D,$A97,'BSE - Other Index Options'!$H:$H,"Monthly*")=0,"",SUMIFS('BSE - SENSEX Index Options'!$L:$L,'BSE - SENSEX Index Options'!$D:$D,$A97,'BSE - SENSEX Index Options'!$H:$H,"Monthly*")+SUMIFS('BSE - Other Index Options'!$L:$L,'BSE - Other Index Options'!$D:$D,$A97,'BSE - Other Index Options'!$H:$H,"Monthly*"))</f>
        <v/>
      </c>
      <c r="D97" s="27" t="str">
        <f t="shared" si="4"/>
        <v/>
      </c>
      <c r="E97" s="27" t="str">
        <f t="shared" si="5"/>
        <v/>
      </c>
    </row>
    <row r="98" spans="1:5" hidden="1" outlineLevel="1">
      <c r="A98" s="24">
        <v>46722</v>
      </c>
      <c r="B98" s="26" t="str">
        <f>IF(SUMIFS('NSE - NIFTY Index Options'!$L:$L,'NSE - NIFTY Index Options'!$D:$D,$A98,'NSE - NIFTY Index Options'!$H:$H,"Monthly*")+SUMIFS('NSE - Other Index Options'!$L:$L,'NSE - Other Index Options'!$D:$D,$A98,'NSE - Other Index Options'!$H:$H,"Monthly*")=0,"",SUMIFS('NSE - NIFTY Index Options'!$L:$L,'NSE - NIFTY Index Options'!$D:$D,$A98,'NSE - NIFTY Index Options'!$H:$H,"Monthly*")+SUMIFS('NSE - Other Index Options'!$L:$L,'NSE - Other Index Options'!$D:$D,$A98,'NSE - Other Index Options'!$H:$H,"Monthly*"))</f>
        <v/>
      </c>
      <c r="C98" s="26" t="str">
        <f>IF(SUMIFS('BSE - SENSEX Index Options'!$L:$L,'BSE - SENSEX Index Options'!$D:$D,$A98,'BSE - SENSEX Index Options'!$H:$H,"Monthly*")+SUMIFS('BSE - Other Index Options'!$L:$L,'BSE - Other Index Options'!$D:$D,$A98,'BSE - Other Index Options'!$H:$H,"Monthly*")=0,"",SUMIFS('BSE - SENSEX Index Options'!$L:$L,'BSE - SENSEX Index Options'!$D:$D,$A98,'BSE - SENSEX Index Options'!$H:$H,"Monthly*")+SUMIFS('BSE - Other Index Options'!$L:$L,'BSE - Other Index Options'!$D:$D,$A98,'BSE - Other Index Options'!$H:$H,"Monthly*"))</f>
        <v/>
      </c>
      <c r="D98" s="27" t="str">
        <f t="shared" si="4"/>
        <v/>
      </c>
      <c r="E98" s="27" t="str">
        <f t="shared" si="5"/>
        <v/>
      </c>
    </row>
    <row r="99" spans="1:5" collapsed="1">
      <c r="A99" s="32" t="s">
        <v>9</v>
      </c>
      <c r="B99" s="33">
        <f>IF(SUM(B71:B98)=0,"",SUM(B71:B98))</f>
        <v>1810560.4499999997</v>
      </c>
      <c r="C99" s="33">
        <f>IF(SUM(C71:C98)=0,"",SUM(C71:C98))</f>
        <v>34948.530000000006</v>
      </c>
      <c r="D99" s="34">
        <f t="shared" si="4"/>
        <v>0.98106293148462487</v>
      </c>
      <c r="E99" s="34">
        <f t="shared" si="5"/>
        <v>1.8937068515375098E-2</v>
      </c>
    </row>
  </sheetData>
  <conditionalFormatting sqref="D5:D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3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D4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D6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D8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D9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E4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E6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:E8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:E9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11"/>
  <sheetViews>
    <sheetView zoomScale="190" workbookViewId="0">
      <selection activeCell="B12" sqref="B12"/>
    </sheetView>
  </sheetViews>
  <sheetFormatPr baseColWidth="10" defaultRowHeight="16"/>
  <cols>
    <col min="1" max="1" width="10.83203125" style="17" customWidth="1"/>
    <col min="2" max="3" width="13" style="17" bestFit="1" customWidth="1"/>
    <col min="4" max="20" width="10.83203125" style="17" customWidth="1"/>
    <col min="21" max="16384" width="10.83203125" style="17"/>
  </cols>
  <sheetData>
    <row r="2" spans="1:6" s="16" customFormat="1">
      <c r="A2" s="23">
        <v>46143</v>
      </c>
      <c r="B2" s="16" t="s">
        <v>158</v>
      </c>
      <c r="C2" s="16" t="s">
        <v>161</v>
      </c>
      <c r="E2" s="16" t="s">
        <v>158</v>
      </c>
      <c r="F2" s="16" t="s">
        <v>161</v>
      </c>
    </row>
    <row r="3" spans="1:6">
      <c r="A3" s="17" t="s">
        <v>8</v>
      </c>
      <c r="B3" s="18">
        <f>IFERROR('NSE Summary'!B10,0)</f>
        <v>0</v>
      </c>
      <c r="C3" s="18">
        <f>'BSE Summary'!B3</f>
        <v>0</v>
      </c>
      <c r="E3" s="21" t="e">
        <f t="shared" ref="E3:E9" si="0">B3/SUM(B3:C3)</f>
        <v>#DIV/0!</v>
      </c>
      <c r="F3" s="20" t="e">
        <f t="shared" ref="F3:F9" si="1">1-E3</f>
        <v>#DIV/0!</v>
      </c>
    </row>
    <row r="4" spans="1:6">
      <c r="A4" s="17" t="s">
        <v>3</v>
      </c>
      <c r="B4" s="18">
        <f>'NSE Summary'!B5</f>
        <v>275956.83</v>
      </c>
      <c r="C4" s="18">
        <f>'BSE Summary'!B4</f>
        <v>51821.24</v>
      </c>
      <c r="E4" s="21">
        <f t="shared" si="0"/>
        <v>0.84190144264379863</v>
      </c>
      <c r="F4" s="20">
        <f t="shared" si="1"/>
        <v>0.15809855735620137</v>
      </c>
    </row>
    <row r="5" spans="1:6">
      <c r="A5" s="17" t="s">
        <v>4</v>
      </c>
      <c r="B5" s="18">
        <f>'NSE Summary'!B6</f>
        <v>319647.90999999997</v>
      </c>
      <c r="C5" s="18">
        <f>'BSE Summary'!B5</f>
        <v>46010.85</v>
      </c>
      <c r="E5" s="21">
        <f t="shared" si="0"/>
        <v>0.87416997749486436</v>
      </c>
      <c r="F5" s="20">
        <f t="shared" si="1"/>
        <v>0.12583002250513564</v>
      </c>
    </row>
    <row r="6" spans="1:6">
      <c r="A6" s="17" t="s">
        <v>5</v>
      </c>
      <c r="B6" s="18">
        <f>'NSE Summary'!B7</f>
        <v>168047.3</v>
      </c>
      <c r="C6" s="18">
        <f>'BSE Summary'!B6</f>
        <v>198376.37</v>
      </c>
      <c r="E6" s="20">
        <f t="shared" si="0"/>
        <v>0.45861475051543477</v>
      </c>
      <c r="F6" s="21">
        <f t="shared" si="1"/>
        <v>0.54138524948456523</v>
      </c>
    </row>
    <row r="7" spans="1:6">
      <c r="A7" s="17" t="s">
        <v>6</v>
      </c>
      <c r="B7" s="18">
        <f>'NSE Summary'!B8</f>
        <v>115977.27999999997</v>
      </c>
      <c r="C7" s="18">
        <f>'BSE Summary'!B7</f>
        <v>221754.71000000002</v>
      </c>
      <c r="E7" s="20">
        <f t="shared" si="0"/>
        <v>0.34340033942298442</v>
      </c>
      <c r="F7" s="21">
        <f t="shared" si="1"/>
        <v>0.65659966057701558</v>
      </c>
    </row>
    <row r="8" spans="1:6">
      <c r="A8" s="17" t="s">
        <v>7</v>
      </c>
      <c r="B8" s="18">
        <f>'NSE Summary'!B9</f>
        <v>233242.3</v>
      </c>
      <c r="C8" s="18">
        <f>'BSE Summary'!B8</f>
        <v>45725.090000000004</v>
      </c>
      <c r="E8" s="21">
        <f t="shared" si="0"/>
        <v>0.83609163063826197</v>
      </c>
      <c r="F8" s="20">
        <f t="shared" si="1"/>
        <v>0.16390836936173803</v>
      </c>
    </row>
    <row r="9" spans="1:6" s="16" customFormat="1">
      <c r="B9" s="19">
        <f>SUM(B3:B8)</f>
        <v>1112871.6200000001</v>
      </c>
      <c r="C9" s="19">
        <f>SUM(C3:C8)</f>
        <v>563688.26</v>
      </c>
      <c r="E9" s="21">
        <f t="shared" si="0"/>
        <v>0.66378280506151677</v>
      </c>
      <c r="F9" s="20">
        <f t="shared" si="1"/>
        <v>0.33621719493848323</v>
      </c>
    </row>
    <row r="11" spans="1:6">
      <c r="C11" s="1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I26"/>
  <sheetViews>
    <sheetView topLeftCell="A2" workbookViewId="0">
      <selection activeCell="B5" sqref="B5:B10"/>
    </sheetView>
  </sheetViews>
  <sheetFormatPr baseColWidth="10" defaultRowHeight="15"/>
  <cols>
    <col min="1" max="1" width="28.33203125" style="4" bestFit="1" customWidth="1"/>
    <col min="2" max="2" width="15.33203125" style="4" bestFit="1" customWidth="1"/>
    <col min="3" max="3" width="14.6640625" style="4" bestFit="1" customWidth="1"/>
    <col min="4" max="4" width="14.5" style="4" bestFit="1" customWidth="1"/>
    <col min="5" max="5" width="12.83203125" style="4" bestFit="1" customWidth="1"/>
    <col min="6" max="6" width="14" style="4" bestFit="1" customWidth="1"/>
    <col min="7" max="7" width="11.6640625" style="4" customWidth="1"/>
    <col min="8" max="8" width="28.33203125" style="4" bestFit="1" customWidth="1"/>
    <col min="9" max="9" width="15.33203125" style="4" bestFit="1" customWidth="1"/>
    <col min="10" max="10" width="11.5" style="4" bestFit="1" customWidth="1"/>
    <col min="11" max="28" width="10.83203125" style="4" customWidth="1"/>
    <col min="29" max="16384" width="10.83203125" style="4"/>
  </cols>
  <sheetData>
    <row r="4" spans="1:9" s="1" customFormat="1">
      <c r="A4" s="1" t="s">
        <v>190</v>
      </c>
      <c r="B4" s="1" t="s">
        <v>191</v>
      </c>
    </row>
    <row r="5" spans="1:9" ht="16" customHeight="1">
      <c r="A5" s="2" t="s">
        <v>3</v>
      </c>
      <c r="B5" s="3">
        <f t="shared" ref="B5:B10" si="0">IFERROR(VLOOKUP(A5,$A$19:$F$28,2,0),0)+IFERROR(VLOOKUP(A5,$H$19:$K$28,2,0),0)</f>
        <v>275956.83</v>
      </c>
    </row>
    <row r="6" spans="1:9" ht="16" customHeight="1">
      <c r="A6" s="2" t="s">
        <v>4</v>
      </c>
      <c r="B6" s="3">
        <f t="shared" si="0"/>
        <v>319647.90999999997</v>
      </c>
    </row>
    <row r="7" spans="1:9" ht="16" customHeight="1">
      <c r="A7" s="2" t="s">
        <v>5</v>
      </c>
      <c r="B7" s="3">
        <f t="shared" si="0"/>
        <v>168047.3</v>
      </c>
    </row>
    <row r="8" spans="1:9" ht="16" customHeight="1">
      <c r="A8" s="2" t="s">
        <v>6</v>
      </c>
      <c r="B8" s="3">
        <f t="shared" si="0"/>
        <v>115977.27999999997</v>
      </c>
    </row>
    <row r="9" spans="1:9" ht="16" customHeight="1">
      <c r="A9" s="2" t="s">
        <v>7</v>
      </c>
      <c r="B9" s="3">
        <f t="shared" si="0"/>
        <v>233242.3</v>
      </c>
    </row>
    <row r="10" spans="1:9" ht="16" customHeight="1">
      <c r="A10" s="2" t="s">
        <v>8</v>
      </c>
      <c r="B10" s="3">
        <f t="shared" si="0"/>
        <v>0</v>
      </c>
    </row>
    <row r="11" spans="1:9" s="1" customFormat="1">
      <c r="A11" s="5" t="s">
        <v>9</v>
      </c>
      <c r="B11" s="6">
        <f>SUM(B5:B10)</f>
        <v>1112871.6200000001</v>
      </c>
    </row>
    <row r="12" spans="1:9" s="1" customFormat="1">
      <c r="A12" s="5"/>
      <c r="B12" s="6"/>
    </row>
    <row r="13" spans="1:9" s="1" customFormat="1">
      <c r="A13" s="5"/>
      <c r="B13" s="6"/>
    </row>
    <row r="14" spans="1:9" s="1" customFormat="1">
      <c r="A14" s="5"/>
      <c r="B14" s="6"/>
    </row>
    <row r="16" spans="1:9" ht="16" customHeight="1">
      <c r="A16" s="12" t="s">
        <v>192</v>
      </c>
      <c r="B16" s="22">
        <v>46143</v>
      </c>
      <c r="H16" s="12" t="s">
        <v>192</v>
      </c>
      <c r="I16" s="22">
        <v>46143</v>
      </c>
    </row>
    <row r="17" spans="1:9" s="1" customFormat="1">
      <c r="A17" s="1" t="s">
        <v>193</v>
      </c>
      <c r="H17" s="1" t="s">
        <v>194</v>
      </c>
    </row>
    <row r="18" spans="1:9" ht="16" customHeight="1">
      <c r="A18" s="12" t="s">
        <v>195</v>
      </c>
      <c r="B18" t="s">
        <v>196</v>
      </c>
      <c r="H18" s="12" t="s">
        <v>195</v>
      </c>
      <c r="I18" t="s">
        <v>196</v>
      </c>
    </row>
    <row r="19" spans="1:9" ht="16" customHeight="1">
      <c r="A19" s="13" t="s">
        <v>3</v>
      </c>
      <c r="B19" s="14">
        <v>252813</v>
      </c>
      <c r="H19" s="13" t="s">
        <v>3</v>
      </c>
      <c r="I19" s="14">
        <v>23143.83</v>
      </c>
    </row>
    <row r="20" spans="1:9" ht="16" customHeight="1">
      <c r="A20" s="13" t="s">
        <v>4</v>
      </c>
      <c r="B20" s="14">
        <v>288369.03999999998</v>
      </c>
      <c r="G20" s="7"/>
      <c r="H20" s="13" t="s">
        <v>4</v>
      </c>
      <c r="I20" s="14">
        <v>31278.870000000006</v>
      </c>
    </row>
    <row r="21" spans="1:9" ht="16" customHeight="1">
      <c r="A21" s="13" t="s">
        <v>5</v>
      </c>
      <c r="B21" s="14">
        <v>147983.60999999999</v>
      </c>
      <c r="G21" s="7"/>
      <c r="H21" s="13" t="s">
        <v>5</v>
      </c>
      <c r="I21" s="14">
        <v>20063.690000000002</v>
      </c>
    </row>
    <row r="22" spans="1:9" ht="16" customHeight="1">
      <c r="A22" s="13" t="s">
        <v>6</v>
      </c>
      <c r="B22" s="14">
        <v>101434.73999999998</v>
      </c>
      <c r="G22" s="7"/>
      <c r="H22" s="13" t="s">
        <v>6</v>
      </c>
      <c r="I22" s="14">
        <v>14542.539999999999</v>
      </c>
    </row>
    <row r="23" spans="1:9" ht="16" customHeight="1">
      <c r="A23" s="13" t="s">
        <v>7</v>
      </c>
      <c r="B23" s="14">
        <v>212169.8</v>
      </c>
      <c r="G23" s="7"/>
      <c r="H23" s="13" t="s">
        <v>7</v>
      </c>
      <c r="I23" s="14">
        <v>21072.5</v>
      </c>
    </row>
    <row r="24" spans="1:9" ht="16" customHeight="1">
      <c r="A24" s="13" t="s">
        <v>197</v>
      </c>
      <c r="B24" s="14">
        <v>1002770.19</v>
      </c>
      <c r="G24" s="7"/>
      <c r="H24" s="13" t="s">
        <v>197</v>
      </c>
      <c r="I24" s="14">
        <v>110101.43000000001</v>
      </c>
    </row>
    <row r="25" spans="1:9" ht="16" customHeight="1">
      <c r="G25" s="7"/>
    </row>
    <row r="26" spans="1:9" ht="16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23"/>
  <sheetViews>
    <sheetView workbookViewId="0">
      <selection activeCell="B9" sqref="B9"/>
    </sheetView>
  </sheetViews>
  <sheetFormatPr baseColWidth="10" defaultRowHeight="15"/>
  <cols>
    <col min="1" max="1" width="16.33203125" style="4" bestFit="1" customWidth="1"/>
    <col min="2" max="2" width="30.6640625" style="4" bestFit="1" customWidth="1"/>
    <col min="3" max="9" width="10.83203125" style="4" customWidth="1"/>
    <col min="10" max="10" width="16.83203125" style="4" bestFit="1" customWidth="1"/>
    <col min="11" max="11" width="30.6640625" style="4" bestFit="1" customWidth="1"/>
    <col min="12" max="29" width="10.83203125" style="4" customWidth="1"/>
    <col min="30" max="16384" width="10.83203125" style="4"/>
  </cols>
  <sheetData>
    <row r="2" spans="1:11" s="1" customFormat="1">
      <c r="A2" s="1" t="s">
        <v>190</v>
      </c>
    </row>
    <row r="3" spans="1:11">
      <c r="A3" s="2" t="s">
        <v>8</v>
      </c>
      <c r="B3" s="8">
        <f t="shared" ref="B3:B8" si="0">IFERROR(VLOOKUP(A3,$A$16:$B$23,2,0),0)+IFERROR(VLOOKUP(A3,$J$16:$K$23,2,0),0)</f>
        <v>0</v>
      </c>
    </row>
    <row r="4" spans="1:11">
      <c r="A4" s="2" t="s">
        <v>3</v>
      </c>
      <c r="B4" s="8">
        <f t="shared" si="0"/>
        <v>51821.24</v>
      </c>
    </row>
    <row r="5" spans="1:11">
      <c r="A5" s="2" t="s">
        <v>4</v>
      </c>
      <c r="B5" s="8">
        <f t="shared" si="0"/>
        <v>46010.85</v>
      </c>
    </row>
    <row r="6" spans="1:11">
      <c r="A6" s="2" t="s">
        <v>5</v>
      </c>
      <c r="B6" s="8">
        <f t="shared" si="0"/>
        <v>198376.37</v>
      </c>
    </row>
    <row r="7" spans="1:11">
      <c r="A7" s="2" t="s">
        <v>6</v>
      </c>
      <c r="B7" s="8">
        <f t="shared" si="0"/>
        <v>221754.71000000002</v>
      </c>
    </row>
    <row r="8" spans="1:11">
      <c r="A8" s="2" t="s">
        <v>7</v>
      </c>
      <c r="B8" s="8">
        <f t="shared" si="0"/>
        <v>45725.090000000004</v>
      </c>
    </row>
    <row r="9" spans="1:11" s="1" customFormat="1">
      <c r="B9" s="9">
        <f>SUM(B3:B8)</f>
        <v>563688.26</v>
      </c>
    </row>
    <row r="13" spans="1:11" ht="16" customHeight="1">
      <c r="A13" s="12" t="s">
        <v>192</v>
      </c>
      <c r="B13" s="22">
        <v>46143</v>
      </c>
      <c r="J13" s="12" t="s">
        <v>192</v>
      </c>
      <c r="K13" s="22">
        <v>46143</v>
      </c>
    </row>
    <row r="14" spans="1:11" s="15" customFormat="1">
      <c r="A14" s="15" t="s">
        <v>198</v>
      </c>
      <c r="J14" s="15" t="s">
        <v>199</v>
      </c>
    </row>
    <row r="15" spans="1:11" ht="16" customHeight="1">
      <c r="A15" s="12" t="s">
        <v>195</v>
      </c>
      <c r="B15" t="s">
        <v>196</v>
      </c>
      <c r="J15" s="12" t="s">
        <v>195</v>
      </c>
      <c r="K15" t="s">
        <v>196</v>
      </c>
    </row>
    <row r="16" spans="1:11" ht="16" customHeight="1">
      <c r="A16" s="13" t="s">
        <v>3</v>
      </c>
      <c r="B16" s="14">
        <v>51797.65</v>
      </c>
      <c r="J16" s="13" t="s">
        <v>3</v>
      </c>
      <c r="K16" s="14">
        <v>23.59</v>
      </c>
    </row>
    <row r="17" spans="1:11" ht="16" customHeight="1">
      <c r="A17" s="13" t="s">
        <v>4</v>
      </c>
      <c r="B17" s="14">
        <v>45965.29</v>
      </c>
      <c r="J17" s="13" t="s">
        <v>4</v>
      </c>
      <c r="K17" s="14">
        <v>45.56</v>
      </c>
    </row>
    <row r="18" spans="1:11" ht="16" customHeight="1">
      <c r="A18" s="13" t="s">
        <v>5</v>
      </c>
      <c r="B18" s="14">
        <v>197337.71</v>
      </c>
      <c r="J18" s="13" t="s">
        <v>5</v>
      </c>
      <c r="K18" s="14">
        <v>1038.6600000000001</v>
      </c>
    </row>
    <row r="19" spans="1:11" ht="16" customHeight="1">
      <c r="A19" s="13" t="s">
        <v>6</v>
      </c>
      <c r="B19" s="14">
        <v>221728.28000000003</v>
      </c>
      <c r="J19" s="13" t="s">
        <v>6</v>
      </c>
      <c r="K19" s="14">
        <v>26.430000000000003</v>
      </c>
    </row>
    <row r="20" spans="1:11" ht="16" customHeight="1">
      <c r="A20" s="13" t="s">
        <v>7</v>
      </c>
      <c r="B20" s="14">
        <v>45691.72</v>
      </c>
      <c r="J20" s="13" t="s">
        <v>7</v>
      </c>
      <c r="K20" s="14">
        <v>33.370000000000005</v>
      </c>
    </row>
    <row r="21" spans="1:11" ht="16" customHeight="1">
      <c r="A21" s="13" t="s">
        <v>197</v>
      </c>
      <c r="B21" s="14">
        <v>562520.65</v>
      </c>
      <c r="J21" s="13" t="s">
        <v>197</v>
      </c>
      <c r="K21" s="14">
        <v>1167.6100000000001</v>
      </c>
    </row>
    <row r="22" spans="1:11" ht="16" customHeight="1"/>
    <row r="23" spans="1:11" ht="16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781"/>
  <sheetViews>
    <sheetView zoomScale="150" workbookViewId="0">
      <pane ySplit="1" topLeftCell="A629" activePane="bottomLeft" state="frozen"/>
      <selection pane="bottomLeft" activeCell="A632" sqref="A632"/>
    </sheetView>
  </sheetViews>
  <sheetFormatPr baseColWidth="10" defaultColWidth="8.83203125" defaultRowHeight="15"/>
  <cols>
    <col min="1" max="1" width="12" style="4" customWidth="1"/>
    <col min="2" max="2" width="11" style="4" customWidth="1"/>
    <col min="3" max="3" width="18.83203125" style="4" customWidth="1"/>
    <col min="4" max="4" width="17.5" style="4" customWidth="1"/>
    <col min="5" max="5" width="11.1640625" style="4" bestFit="1" customWidth="1"/>
    <col min="6" max="6" width="11" style="4" customWidth="1"/>
    <col min="7" max="7" width="20" style="4" customWidth="1"/>
    <col min="8" max="8" width="20.83203125" style="4" customWidth="1"/>
    <col min="9" max="9" width="18" style="4" customWidth="1"/>
    <col min="10" max="10" width="20" style="4" customWidth="1"/>
    <col min="11" max="12" width="26" style="4" customWidth="1"/>
    <col min="13" max="30" width="8.83203125" style="4" customWidth="1"/>
    <col min="31" max="16384" width="8.83203125" style="4"/>
  </cols>
  <sheetData>
    <row r="1" spans="1:12" ht="16" customHeight="1">
      <c r="A1" s="35" t="s">
        <v>200</v>
      </c>
      <c r="B1" s="35" t="s">
        <v>201</v>
      </c>
      <c r="C1" s="35" t="s">
        <v>2</v>
      </c>
      <c r="D1" s="35" t="s">
        <v>192</v>
      </c>
      <c r="E1" s="35" t="s">
        <v>202</v>
      </c>
      <c r="F1" s="35" t="s">
        <v>203</v>
      </c>
      <c r="G1" s="35" t="s">
        <v>204</v>
      </c>
      <c r="H1" s="35" t="s">
        <v>205</v>
      </c>
      <c r="I1" s="35" t="s">
        <v>206</v>
      </c>
      <c r="J1" s="35" t="s">
        <v>207</v>
      </c>
      <c r="K1" s="35" t="s">
        <v>208</v>
      </c>
      <c r="L1" s="35" t="s">
        <v>157</v>
      </c>
    </row>
    <row r="2" spans="1:12" ht="16" customHeight="1">
      <c r="A2" t="s">
        <v>209</v>
      </c>
      <c r="B2" t="s">
        <v>3</v>
      </c>
      <c r="C2" t="s">
        <v>10</v>
      </c>
      <c r="D2" s="24">
        <v>45901</v>
      </c>
      <c r="E2" t="s">
        <v>210</v>
      </c>
      <c r="F2" t="s">
        <v>4</v>
      </c>
      <c r="G2" t="s">
        <v>211</v>
      </c>
      <c r="H2" t="s">
        <v>211</v>
      </c>
      <c r="I2" t="s">
        <v>212</v>
      </c>
      <c r="J2" s="25">
        <v>106028868</v>
      </c>
      <c r="K2" s="26">
        <v>19561132.379999999</v>
      </c>
      <c r="L2" s="26">
        <v>32047.47</v>
      </c>
    </row>
    <row r="3" spans="1:12" ht="16" customHeight="1">
      <c r="A3" t="s">
        <v>209</v>
      </c>
      <c r="B3" t="s">
        <v>3</v>
      </c>
      <c r="C3" t="s">
        <v>10</v>
      </c>
      <c r="D3" s="24">
        <v>45901</v>
      </c>
      <c r="E3" t="s">
        <v>213</v>
      </c>
      <c r="F3" t="s">
        <v>4</v>
      </c>
      <c r="G3" t="s">
        <v>211</v>
      </c>
      <c r="H3" t="s">
        <v>211</v>
      </c>
      <c r="I3" t="s">
        <v>212</v>
      </c>
      <c r="J3" s="25">
        <v>4029784</v>
      </c>
      <c r="K3" s="26">
        <v>745215.97</v>
      </c>
      <c r="L3" s="26">
        <v>2051.34</v>
      </c>
    </row>
    <row r="4" spans="1:12" ht="16" customHeight="1">
      <c r="A4" t="s">
        <v>209</v>
      </c>
      <c r="B4" t="s">
        <v>3</v>
      </c>
      <c r="C4" t="s">
        <v>10</v>
      </c>
      <c r="D4" s="24">
        <v>45901</v>
      </c>
      <c r="E4" t="s">
        <v>214</v>
      </c>
      <c r="F4" t="s">
        <v>4</v>
      </c>
      <c r="G4" t="s">
        <v>211</v>
      </c>
      <c r="H4" t="s">
        <v>211</v>
      </c>
      <c r="I4" t="s">
        <v>212</v>
      </c>
      <c r="J4" s="25">
        <v>180472</v>
      </c>
      <c r="K4" s="26">
        <v>33483.64</v>
      </c>
      <c r="L4" s="26">
        <v>129.27000000000001</v>
      </c>
    </row>
    <row r="5" spans="1:12" ht="16" customHeight="1">
      <c r="A5" t="s">
        <v>209</v>
      </c>
      <c r="B5" t="s">
        <v>3</v>
      </c>
      <c r="C5" t="s">
        <v>10</v>
      </c>
      <c r="D5" s="24">
        <v>45901</v>
      </c>
      <c r="E5" t="s">
        <v>215</v>
      </c>
      <c r="F5" t="s">
        <v>4</v>
      </c>
      <c r="G5" t="s">
        <v>211</v>
      </c>
      <c r="H5" t="s">
        <v>211</v>
      </c>
      <c r="I5" t="s">
        <v>212</v>
      </c>
      <c r="J5" s="25">
        <v>12809</v>
      </c>
      <c r="K5" s="26">
        <v>2379.25</v>
      </c>
      <c r="L5" s="26">
        <v>12.22</v>
      </c>
    </row>
    <row r="6" spans="1:12" ht="16" customHeight="1">
      <c r="A6" t="s">
        <v>209</v>
      </c>
      <c r="B6" t="s">
        <v>3</v>
      </c>
      <c r="C6" t="s">
        <v>10</v>
      </c>
      <c r="D6" s="24">
        <v>45901</v>
      </c>
      <c r="E6" t="s">
        <v>216</v>
      </c>
      <c r="F6" t="s">
        <v>4</v>
      </c>
      <c r="G6" t="s">
        <v>217</v>
      </c>
      <c r="H6" t="s">
        <v>217</v>
      </c>
      <c r="I6" t="s">
        <v>212</v>
      </c>
      <c r="J6" s="25">
        <v>937540</v>
      </c>
      <c r="K6" s="26">
        <v>174544.6</v>
      </c>
      <c r="L6" s="26">
        <v>1174.28</v>
      </c>
    </row>
    <row r="7" spans="1:12" ht="16" customHeight="1">
      <c r="A7" t="s">
        <v>209</v>
      </c>
      <c r="B7" t="s">
        <v>3</v>
      </c>
      <c r="C7" t="s">
        <v>10</v>
      </c>
      <c r="D7" s="24">
        <v>45901</v>
      </c>
      <c r="E7" t="s">
        <v>218</v>
      </c>
      <c r="F7" t="s">
        <v>4</v>
      </c>
      <c r="G7" t="s">
        <v>217</v>
      </c>
      <c r="H7" t="s">
        <v>217</v>
      </c>
      <c r="I7" t="s">
        <v>219</v>
      </c>
      <c r="J7" s="25">
        <v>92526</v>
      </c>
      <c r="K7" s="26">
        <v>17313.330000000002</v>
      </c>
      <c r="L7" s="26">
        <v>159.34</v>
      </c>
    </row>
    <row r="8" spans="1:12" ht="16" customHeight="1">
      <c r="A8" t="s">
        <v>209</v>
      </c>
      <c r="B8" t="s">
        <v>3</v>
      </c>
      <c r="C8" t="s">
        <v>10</v>
      </c>
      <c r="D8" s="24">
        <v>45901</v>
      </c>
      <c r="E8" t="s">
        <v>220</v>
      </c>
      <c r="F8" t="s">
        <v>4</v>
      </c>
      <c r="G8" t="s">
        <v>217</v>
      </c>
      <c r="H8" t="s">
        <v>217</v>
      </c>
      <c r="I8" t="s">
        <v>221</v>
      </c>
      <c r="J8" s="25">
        <v>12947</v>
      </c>
      <c r="K8" s="26">
        <v>2416.4699999999998</v>
      </c>
      <c r="L8" s="26">
        <v>31.38</v>
      </c>
    </row>
    <row r="9" spans="1:12" ht="16" customHeight="1">
      <c r="A9" t="s">
        <v>209</v>
      </c>
      <c r="B9" t="s">
        <v>3</v>
      </c>
      <c r="C9" t="s">
        <v>10</v>
      </c>
      <c r="D9" s="24">
        <v>45901</v>
      </c>
      <c r="E9" t="s">
        <v>222</v>
      </c>
      <c r="F9" t="s">
        <v>4</v>
      </c>
      <c r="G9" t="s">
        <v>217</v>
      </c>
      <c r="H9" t="s">
        <v>217</v>
      </c>
      <c r="I9" t="s">
        <v>223</v>
      </c>
      <c r="J9" s="25">
        <v>47888</v>
      </c>
      <c r="K9" s="26">
        <v>9183.7199999999993</v>
      </c>
      <c r="L9" s="26">
        <v>154.43</v>
      </c>
    </row>
    <row r="10" spans="1:12" ht="16" customHeight="1">
      <c r="A10" t="s">
        <v>209</v>
      </c>
      <c r="B10" t="s">
        <v>3</v>
      </c>
      <c r="C10" t="s">
        <v>10</v>
      </c>
      <c r="D10" s="24">
        <v>45901</v>
      </c>
      <c r="E10" t="s">
        <v>224</v>
      </c>
      <c r="F10" t="s">
        <v>4</v>
      </c>
      <c r="G10" t="s">
        <v>217</v>
      </c>
      <c r="H10" t="s">
        <v>217</v>
      </c>
      <c r="I10" t="s">
        <v>225</v>
      </c>
      <c r="J10" s="25">
        <v>7389</v>
      </c>
      <c r="K10" s="26">
        <v>1434.11</v>
      </c>
      <c r="L10" s="26">
        <v>26.84</v>
      </c>
    </row>
    <row r="11" spans="1:12" ht="16" customHeight="1">
      <c r="A11" t="s">
        <v>209</v>
      </c>
      <c r="B11" t="s">
        <v>3</v>
      </c>
      <c r="C11" t="s">
        <v>10</v>
      </c>
      <c r="D11" s="24">
        <v>45901</v>
      </c>
      <c r="E11" t="s">
        <v>226</v>
      </c>
      <c r="F11" t="s">
        <v>4</v>
      </c>
      <c r="G11" t="s">
        <v>217</v>
      </c>
      <c r="H11" t="s">
        <v>217</v>
      </c>
      <c r="I11" t="s">
        <v>227</v>
      </c>
      <c r="J11" s="25">
        <v>98</v>
      </c>
      <c r="K11" s="26">
        <v>18.39</v>
      </c>
      <c r="L11" s="26">
        <v>0.49</v>
      </c>
    </row>
    <row r="12" spans="1:12" ht="16" customHeight="1">
      <c r="A12" t="s">
        <v>209</v>
      </c>
      <c r="B12" t="s">
        <v>3</v>
      </c>
      <c r="C12" t="s">
        <v>10</v>
      </c>
      <c r="D12" s="24">
        <v>45901</v>
      </c>
      <c r="E12" t="s">
        <v>228</v>
      </c>
      <c r="F12" t="s">
        <v>4</v>
      </c>
      <c r="G12" t="s">
        <v>217</v>
      </c>
      <c r="H12" t="s">
        <v>217</v>
      </c>
      <c r="I12" t="s">
        <v>229</v>
      </c>
      <c r="J12" s="25">
        <v>625</v>
      </c>
      <c r="K12" s="26">
        <v>126.43</v>
      </c>
      <c r="L12" s="26">
        <v>5.13</v>
      </c>
    </row>
    <row r="13" spans="1:12" ht="16" customHeight="1">
      <c r="A13" t="s">
        <v>209</v>
      </c>
      <c r="B13" t="s">
        <v>3</v>
      </c>
      <c r="C13" t="s">
        <v>10</v>
      </c>
      <c r="D13" s="24">
        <v>45901</v>
      </c>
      <c r="E13" t="s">
        <v>230</v>
      </c>
      <c r="F13" t="s">
        <v>4</v>
      </c>
      <c r="G13" t="s">
        <v>217</v>
      </c>
      <c r="H13" t="s">
        <v>217</v>
      </c>
      <c r="I13" t="s">
        <v>231</v>
      </c>
      <c r="J13" s="25">
        <v>0</v>
      </c>
      <c r="K13" s="26">
        <v>0</v>
      </c>
      <c r="L13" s="26">
        <v>0</v>
      </c>
    </row>
    <row r="14" spans="1:12" ht="16" customHeight="1">
      <c r="A14" t="s">
        <v>209</v>
      </c>
      <c r="B14" t="s">
        <v>3</v>
      </c>
      <c r="C14" t="s">
        <v>10</v>
      </c>
      <c r="D14" s="24">
        <v>45901</v>
      </c>
      <c r="E14" t="s">
        <v>232</v>
      </c>
      <c r="F14" t="s">
        <v>4</v>
      </c>
      <c r="G14" t="s">
        <v>217</v>
      </c>
      <c r="H14" t="s">
        <v>217</v>
      </c>
      <c r="I14" t="s">
        <v>233</v>
      </c>
      <c r="J14" s="25">
        <v>1</v>
      </c>
      <c r="K14" s="26">
        <v>0.18</v>
      </c>
      <c r="L14" s="26">
        <v>0</v>
      </c>
    </row>
    <row r="15" spans="1:12" ht="16" customHeight="1">
      <c r="A15" t="s">
        <v>209</v>
      </c>
      <c r="B15" t="s">
        <v>3</v>
      </c>
      <c r="C15" t="s">
        <v>10</v>
      </c>
      <c r="D15" s="24">
        <v>45901</v>
      </c>
      <c r="E15" t="s">
        <v>234</v>
      </c>
      <c r="F15" t="s">
        <v>4</v>
      </c>
      <c r="G15" t="s">
        <v>217</v>
      </c>
      <c r="H15" t="s">
        <v>217</v>
      </c>
      <c r="I15" t="s">
        <v>235</v>
      </c>
      <c r="J15" s="25">
        <v>4</v>
      </c>
      <c r="K15" s="26">
        <v>0.67</v>
      </c>
      <c r="L15" s="26">
        <v>0.01</v>
      </c>
    </row>
    <row r="16" spans="1:12" ht="16" customHeight="1">
      <c r="A16" t="s">
        <v>209</v>
      </c>
      <c r="B16" t="s">
        <v>3</v>
      </c>
      <c r="C16" t="s">
        <v>10</v>
      </c>
      <c r="D16" s="24">
        <v>45901</v>
      </c>
      <c r="E16" t="s">
        <v>236</v>
      </c>
      <c r="F16" t="s">
        <v>4</v>
      </c>
      <c r="G16" t="s">
        <v>217</v>
      </c>
      <c r="H16" t="s">
        <v>217</v>
      </c>
      <c r="I16" t="s">
        <v>237</v>
      </c>
      <c r="J16" s="25">
        <v>14</v>
      </c>
      <c r="K16" s="26">
        <v>2.52</v>
      </c>
      <c r="L16" s="26">
        <v>7.0000000000000007E-2</v>
      </c>
    </row>
    <row r="17" spans="1:12" ht="16" customHeight="1">
      <c r="A17" t="s">
        <v>209</v>
      </c>
      <c r="B17" t="s">
        <v>3</v>
      </c>
      <c r="C17" t="s">
        <v>10</v>
      </c>
      <c r="D17" s="24">
        <v>45901</v>
      </c>
      <c r="E17" t="s">
        <v>238</v>
      </c>
      <c r="F17" t="s">
        <v>4</v>
      </c>
      <c r="G17" t="s">
        <v>217</v>
      </c>
      <c r="H17" t="s">
        <v>217</v>
      </c>
      <c r="I17" t="s">
        <v>239</v>
      </c>
      <c r="J17" s="25">
        <v>0</v>
      </c>
      <c r="K17" s="26">
        <v>0</v>
      </c>
      <c r="L17" s="26">
        <v>0</v>
      </c>
    </row>
    <row r="18" spans="1:12" ht="16" customHeight="1">
      <c r="A18" t="s">
        <v>209</v>
      </c>
      <c r="B18" t="s">
        <v>3</v>
      </c>
      <c r="C18" t="s">
        <v>10</v>
      </c>
      <c r="D18" s="24">
        <v>45901</v>
      </c>
      <c r="E18" t="s">
        <v>240</v>
      </c>
      <c r="F18" t="s">
        <v>3</v>
      </c>
      <c r="G18" t="s">
        <v>241</v>
      </c>
      <c r="H18" t="s">
        <v>241</v>
      </c>
      <c r="I18" t="s">
        <v>242</v>
      </c>
      <c r="J18" s="25">
        <v>0</v>
      </c>
      <c r="K18" s="26">
        <v>0</v>
      </c>
      <c r="L18" s="26">
        <v>0</v>
      </c>
    </row>
    <row r="19" spans="1:12" ht="16" customHeight="1">
      <c r="A19" t="s">
        <v>209</v>
      </c>
      <c r="B19" t="s">
        <v>3</v>
      </c>
      <c r="C19" t="s">
        <v>10</v>
      </c>
      <c r="D19" s="24">
        <v>45901</v>
      </c>
      <c r="E19" t="s">
        <v>243</v>
      </c>
      <c r="F19" t="s">
        <v>4</v>
      </c>
      <c r="G19" t="s">
        <v>217</v>
      </c>
      <c r="H19" t="s">
        <v>217</v>
      </c>
      <c r="I19" t="s">
        <v>244</v>
      </c>
      <c r="J19" s="25">
        <v>0</v>
      </c>
      <c r="K19" s="26">
        <v>0</v>
      </c>
      <c r="L19" s="26">
        <v>0</v>
      </c>
    </row>
    <row r="20" spans="1:12" ht="16" customHeight="1">
      <c r="A20" t="s">
        <v>210</v>
      </c>
      <c r="B20" t="s">
        <v>4</v>
      </c>
      <c r="C20" t="s">
        <v>10</v>
      </c>
      <c r="D20" s="24">
        <v>45901</v>
      </c>
      <c r="E20" t="s">
        <v>210</v>
      </c>
      <c r="F20" t="s">
        <v>4</v>
      </c>
      <c r="G20" t="s">
        <v>211</v>
      </c>
      <c r="H20" t="s">
        <v>211</v>
      </c>
      <c r="I20" t="s">
        <v>212</v>
      </c>
      <c r="J20" s="25">
        <v>345607365</v>
      </c>
      <c r="K20" s="26">
        <v>63912905.609999999</v>
      </c>
      <c r="L20" s="26">
        <v>56361.8</v>
      </c>
    </row>
    <row r="21" spans="1:12" ht="16" customHeight="1">
      <c r="A21" t="s">
        <v>210</v>
      </c>
      <c r="B21" t="s">
        <v>4</v>
      </c>
      <c r="C21" t="s">
        <v>10</v>
      </c>
      <c r="D21" s="24">
        <v>45901</v>
      </c>
      <c r="E21" t="s">
        <v>213</v>
      </c>
      <c r="F21" t="s">
        <v>4</v>
      </c>
      <c r="G21" t="s">
        <v>211</v>
      </c>
      <c r="H21" t="s">
        <v>211</v>
      </c>
      <c r="I21" t="s">
        <v>212</v>
      </c>
      <c r="J21" s="25">
        <v>11437491</v>
      </c>
      <c r="K21" s="26">
        <v>2120571.39</v>
      </c>
      <c r="L21" s="26">
        <v>6159.92</v>
      </c>
    </row>
    <row r="22" spans="1:12" ht="16" customHeight="1">
      <c r="A22" t="s">
        <v>210</v>
      </c>
      <c r="B22" t="s">
        <v>4</v>
      </c>
      <c r="C22" t="s">
        <v>10</v>
      </c>
      <c r="D22" s="24">
        <v>45901</v>
      </c>
      <c r="E22" t="s">
        <v>214</v>
      </c>
      <c r="F22" t="s">
        <v>4</v>
      </c>
      <c r="G22" t="s">
        <v>211</v>
      </c>
      <c r="H22" t="s">
        <v>211</v>
      </c>
      <c r="I22" t="s">
        <v>212</v>
      </c>
      <c r="J22" s="25">
        <v>407592</v>
      </c>
      <c r="K22" s="26">
        <v>75621.95</v>
      </c>
      <c r="L22" s="26">
        <v>298.27999999999997</v>
      </c>
    </row>
    <row r="23" spans="1:12" ht="16" customHeight="1">
      <c r="A23" t="s">
        <v>210</v>
      </c>
      <c r="B23" t="s">
        <v>4</v>
      </c>
      <c r="C23" t="s">
        <v>10</v>
      </c>
      <c r="D23" s="24">
        <v>45901</v>
      </c>
      <c r="E23" t="s">
        <v>215</v>
      </c>
      <c r="F23" t="s">
        <v>4</v>
      </c>
      <c r="G23" t="s">
        <v>211</v>
      </c>
      <c r="H23" t="s">
        <v>211</v>
      </c>
      <c r="I23" t="s">
        <v>212</v>
      </c>
      <c r="J23" s="25">
        <v>23137</v>
      </c>
      <c r="K23" s="26">
        <v>4299.07</v>
      </c>
      <c r="L23" s="26">
        <v>23.09</v>
      </c>
    </row>
    <row r="24" spans="1:12" ht="16" customHeight="1">
      <c r="A24" t="s">
        <v>210</v>
      </c>
      <c r="B24" t="s">
        <v>4</v>
      </c>
      <c r="C24" t="s">
        <v>10</v>
      </c>
      <c r="D24" s="24">
        <v>45901</v>
      </c>
      <c r="E24" t="s">
        <v>216</v>
      </c>
      <c r="F24" t="s">
        <v>4</v>
      </c>
      <c r="G24" t="s">
        <v>217</v>
      </c>
      <c r="H24" t="s">
        <v>217</v>
      </c>
      <c r="I24" t="s">
        <v>212</v>
      </c>
      <c r="J24" s="25">
        <v>1258468</v>
      </c>
      <c r="K24" s="26">
        <v>234873.95</v>
      </c>
      <c r="L24" s="26">
        <v>1626.04</v>
      </c>
    </row>
    <row r="25" spans="1:12" ht="16" customHeight="1">
      <c r="A25" t="s">
        <v>210</v>
      </c>
      <c r="B25" t="s">
        <v>4</v>
      </c>
      <c r="C25" t="s">
        <v>10</v>
      </c>
      <c r="D25" s="24">
        <v>45901</v>
      </c>
      <c r="E25" t="s">
        <v>218</v>
      </c>
      <c r="F25" t="s">
        <v>4</v>
      </c>
      <c r="G25" t="s">
        <v>217</v>
      </c>
      <c r="H25" t="s">
        <v>217</v>
      </c>
      <c r="I25" t="s">
        <v>219</v>
      </c>
      <c r="J25" s="25">
        <v>142317</v>
      </c>
      <c r="K25" s="26">
        <v>26583.24</v>
      </c>
      <c r="L25" s="26">
        <v>201.35</v>
      </c>
    </row>
    <row r="26" spans="1:12" ht="16" customHeight="1">
      <c r="A26" t="s">
        <v>210</v>
      </c>
      <c r="B26" t="s">
        <v>4</v>
      </c>
      <c r="C26" t="s">
        <v>10</v>
      </c>
      <c r="D26" s="24">
        <v>45901</v>
      </c>
      <c r="E26" t="s">
        <v>220</v>
      </c>
      <c r="F26" t="s">
        <v>4</v>
      </c>
      <c r="G26" t="s">
        <v>217</v>
      </c>
      <c r="H26" t="s">
        <v>217</v>
      </c>
      <c r="I26" t="s">
        <v>221</v>
      </c>
      <c r="J26" s="25">
        <v>32847</v>
      </c>
      <c r="K26" s="26">
        <v>6100.75</v>
      </c>
      <c r="L26" s="26">
        <v>59.43</v>
      </c>
    </row>
    <row r="27" spans="1:12" ht="16" customHeight="1">
      <c r="A27" t="s">
        <v>210</v>
      </c>
      <c r="B27" t="s">
        <v>4</v>
      </c>
      <c r="C27" t="s">
        <v>10</v>
      </c>
      <c r="D27" s="24">
        <v>45901</v>
      </c>
      <c r="E27" t="s">
        <v>222</v>
      </c>
      <c r="F27" t="s">
        <v>4</v>
      </c>
      <c r="G27" t="s">
        <v>217</v>
      </c>
      <c r="H27" t="s">
        <v>217</v>
      </c>
      <c r="I27" t="s">
        <v>223</v>
      </c>
      <c r="J27" s="25">
        <v>50509</v>
      </c>
      <c r="K27" s="26">
        <v>9557.0499999999993</v>
      </c>
      <c r="L27" s="26">
        <v>146.88</v>
      </c>
    </row>
    <row r="28" spans="1:12" ht="16" customHeight="1">
      <c r="A28" t="s">
        <v>210</v>
      </c>
      <c r="B28" t="s">
        <v>4</v>
      </c>
      <c r="C28" t="s">
        <v>10</v>
      </c>
      <c r="D28" s="24">
        <v>45901</v>
      </c>
      <c r="E28" t="s">
        <v>224</v>
      </c>
      <c r="F28" t="s">
        <v>4</v>
      </c>
      <c r="G28" t="s">
        <v>217</v>
      </c>
      <c r="H28" t="s">
        <v>217</v>
      </c>
      <c r="I28" t="s">
        <v>225</v>
      </c>
      <c r="J28" s="25">
        <v>8237</v>
      </c>
      <c r="K28" s="26">
        <v>1607.25</v>
      </c>
      <c r="L28" s="26">
        <v>32.229999999999997</v>
      </c>
    </row>
    <row r="29" spans="1:12" ht="16" customHeight="1">
      <c r="A29" t="s">
        <v>210</v>
      </c>
      <c r="B29" t="s">
        <v>4</v>
      </c>
      <c r="C29" t="s">
        <v>10</v>
      </c>
      <c r="D29" s="24">
        <v>45901</v>
      </c>
      <c r="E29" t="s">
        <v>226</v>
      </c>
      <c r="F29" t="s">
        <v>4</v>
      </c>
      <c r="G29" t="s">
        <v>217</v>
      </c>
      <c r="H29" t="s">
        <v>217</v>
      </c>
      <c r="I29" t="s">
        <v>227</v>
      </c>
      <c r="J29" s="25">
        <v>64</v>
      </c>
      <c r="K29" s="26">
        <v>12.17</v>
      </c>
      <c r="L29" s="26">
        <v>0.35</v>
      </c>
    </row>
    <row r="30" spans="1:12" ht="16" customHeight="1">
      <c r="A30" t="s">
        <v>210</v>
      </c>
      <c r="B30" t="s">
        <v>4</v>
      </c>
      <c r="C30" t="s">
        <v>10</v>
      </c>
      <c r="D30" s="24">
        <v>45901</v>
      </c>
      <c r="E30" t="s">
        <v>228</v>
      </c>
      <c r="F30" t="s">
        <v>4</v>
      </c>
      <c r="G30" t="s">
        <v>217</v>
      </c>
      <c r="H30" t="s">
        <v>217</v>
      </c>
      <c r="I30" t="s">
        <v>229</v>
      </c>
      <c r="J30" s="25">
        <v>425</v>
      </c>
      <c r="K30" s="26">
        <v>81.7</v>
      </c>
      <c r="L30" s="26">
        <v>2.65</v>
      </c>
    </row>
    <row r="31" spans="1:12" ht="16" customHeight="1">
      <c r="A31" t="s">
        <v>210</v>
      </c>
      <c r="B31" t="s">
        <v>4</v>
      </c>
      <c r="C31" t="s">
        <v>10</v>
      </c>
      <c r="D31" s="24">
        <v>45901</v>
      </c>
      <c r="E31" t="s">
        <v>230</v>
      </c>
      <c r="F31" t="s">
        <v>4</v>
      </c>
      <c r="G31" t="s">
        <v>217</v>
      </c>
      <c r="H31" t="s">
        <v>217</v>
      </c>
      <c r="I31" t="s">
        <v>231</v>
      </c>
      <c r="J31" s="25">
        <v>0</v>
      </c>
      <c r="K31" s="26">
        <v>0</v>
      </c>
      <c r="L31" s="26">
        <v>0</v>
      </c>
    </row>
    <row r="32" spans="1:12" ht="16" customHeight="1">
      <c r="A32" t="s">
        <v>210</v>
      </c>
      <c r="B32" t="s">
        <v>4</v>
      </c>
      <c r="C32" t="s">
        <v>10</v>
      </c>
      <c r="D32" s="24">
        <v>45901</v>
      </c>
      <c r="E32" t="s">
        <v>232</v>
      </c>
      <c r="F32" t="s">
        <v>4</v>
      </c>
      <c r="G32" t="s">
        <v>217</v>
      </c>
      <c r="H32" t="s">
        <v>217</v>
      </c>
      <c r="I32" t="s">
        <v>233</v>
      </c>
      <c r="J32" s="25">
        <v>1</v>
      </c>
      <c r="K32" s="26">
        <v>0.22</v>
      </c>
      <c r="L32" s="26">
        <v>0.02</v>
      </c>
    </row>
    <row r="33" spans="1:12" ht="16" customHeight="1">
      <c r="A33" t="s">
        <v>210</v>
      </c>
      <c r="B33" t="s">
        <v>4</v>
      </c>
      <c r="C33" t="s">
        <v>10</v>
      </c>
      <c r="D33" s="24">
        <v>45901</v>
      </c>
      <c r="E33" t="s">
        <v>234</v>
      </c>
      <c r="F33" t="s">
        <v>4</v>
      </c>
      <c r="G33" t="s">
        <v>217</v>
      </c>
      <c r="H33" t="s">
        <v>217</v>
      </c>
      <c r="I33" t="s">
        <v>235</v>
      </c>
      <c r="J33" s="25">
        <v>0</v>
      </c>
      <c r="K33" s="26">
        <v>0</v>
      </c>
      <c r="L33" s="26">
        <v>0</v>
      </c>
    </row>
    <row r="34" spans="1:12" ht="16" customHeight="1">
      <c r="A34" t="s">
        <v>210</v>
      </c>
      <c r="B34" t="s">
        <v>4</v>
      </c>
      <c r="C34" t="s">
        <v>10</v>
      </c>
      <c r="D34" s="24">
        <v>45901</v>
      </c>
      <c r="E34" t="s">
        <v>236</v>
      </c>
      <c r="F34" t="s">
        <v>4</v>
      </c>
      <c r="G34" t="s">
        <v>217</v>
      </c>
      <c r="H34" t="s">
        <v>217</v>
      </c>
      <c r="I34" t="s">
        <v>237</v>
      </c>
      <c r="J34" s="25">
        <v>0</v>
      </c>
      <c r="K34" s="26">
        <v>0</v>
      </c>
      <c r="L34" s="26">
        <v>0</v>
      </c>
    </row>
    <row r="35" spans="1:12" ht="16" customHeight="1">
      <c r="A35" t="s">
        <v>210</v>
      </c>
      <c r="B35" t="s">
        <v>4</v>
      </c>
      <c r="C35" t="s">
        <v>10</v>
      </c>
      <c r="D35" s="24">
        <v>45901</v>
      </c>
      <c r="E35" t="s">
        <v>238</v>
      </c>
      <c r="F35" t="s">
        <v>4</v>
      </c>
      <c r="G35" t="s">
        <v>217</v>
      </c>
      <c r="H35" t="s">
        <v>217</v>
      </c>
      <c r="I35" t="s">
        <v>239</v>
      </c>
      <c r="J35" s="25">
        <v>0</v>
      </c>
      <c r="K35" s="26">
        <v>0</v>
      </c>
      <c r="L35" s="26">
        <v>0</v>
      </c>
    </row>
    <row r="36" spans="1:12" ht="16" customHeight="1">
      <c r="A36" t="s">
        <v>210</v>
      </c>
      <c r="B36" t="s">
        <v>4</v>
      </c>
      <c r="C36" t="s">
        <v>10</v>
      </c>
      <c r="D36" s="24">
        <v>45901</v>
      </c>
      <c r="E36" t="s">
        <v>240</v>
      </c>
      <c r="F36" t="s">
        <v>3</v>
      </c>
      <c r="G36" t="s">
        <v>241</v>
      </c>
      <c r="H36" t="s">
        <v>241</v>
      </c>
      <c r="I36" t="s">
        <v>242</v>
      </c>
      <c r="J36" s="25">
        <v>0</v>
      </c>
      <c r="K36" s="26">
        <v>0</v>
      </c>
      <c r="L36" s="26">
        <v>0</v>
      </c>
    </row>
    <row r="37" spans="1:12" ht="16" customHeight="1">
      <c r="A37" t="s">
        <v>210</v>
      </c>
      <c r="B37" t="s">
        <v>4</v>
      </c>
      <c r="C37" t="s">
        <v>10</v>
      </c>
      <c r="D37" s="24">
        <v>45901</v>
      </c>
      <c r="E37" t="s">
        <v>243</v>
      </c>
      <c r="F37" t="s">
        <v>4</v>
      </c>
      <c r="G37" t="s">
        <v>217</v>
      </c>
      <c r="H37" t="s">
        <v>217</v>
      </c>
      <c r="I37" t="s">
        <v>244</v>
      </c>
      <c r="J37" s="25">
        <v>0</v>
      </c>
      <c r="K37" s="26">
        <v>0</v>
      </c>
      <c r="L37" s="26">
        <v>0</v>
      </c>
    </row>
    <row r="38" spans="1:12" ht="16" customHeight="1">
      <c r="A38" t="s">
        <v>245</v>
      </c>
      <c r="B38" t="s">
        <v>5</v>
      </c>
      <c r="C38" t="s">
        <v>10</v>
      </c>
      <c r="D38" s="24">
        <v>45901</v>
      </c>
      <c r="E38" t="s">
        <v>213</v>
      </c>
      <c r="F38" t="s">
        <v>4</v>
      </c>
      <c r="G38" t="s">
        <v>211</v>
      </c>
      <c r="H38" t="s">
        <v>211</v>
      </c>
      <c r="I38" t="s">
        <v>212</v>
      </c>
      <c r="J38" s="25">
        <v>58381775</v>
      </c>
      <c r="K38" s="26">
        <v>10809450.119999999</v>
      </c>
      <c r="L38" s="26">
        <v>30937.33</v>
      </c>
    </row>
    <row r="39" spans="1:12" ht="16" customHeight="1">
      <c r="A39" t="s">
        <v>245</v>
      </c>
      <c r="B39" t="s">
        <v>5</v>
      </c>
      <c r="C39" t="s">
        <v>10</v>
      </c>
      <c r="D39" s="24">
        <v>45901</v>
      </c>
      <c r="E39" t="s">
        <v>214</v>
      </c>
      <c r="F39" t="s">
        <v>4</v>
      </c>
      <c r="G39" t="s">
        <v>211</v>
      </c>
      <c r="H39" t="s">
        <v>211</v>
      </c>
      <c r="I39" t="s">
        <v>212</v>
      </c>
      <c r="J39" s="25">
        <v>944724</v>
      </c>
      <c r="K39" s="26">
        <v>175293.38</v>
      </c>
      <c r="L39" s="26">
        <v>603.77</v>
      </c>
    </row>
    <row r="40" spans="1:12" ht="16" customHeight="1">
      <c r="A40" t="s">
        <v>245</v>
      </c>
      <c r="B40" t="s">
        <v>5</v>
      </c>
      <c r="C40" t="s">
        <v>10</v>
      </c>
      <c r="D40" s="24">
        <v>45901</v>
      </c>
      <c r="E40" t="s">
        <v>215</v>
      </c>
      <c r="F40" t="s">
        <v>4</v>
      </c>
      <c r="G40" t="s">
        <v>211</v>
      </c>
      <c r="H40" t="s">
        <v>211</v>
      </c>
      <c r="I40" t="s">
        <v>212</v>
      </c>
      <c r="J40" s="25">
        <v>45649</v>
      </c>
      <c r="K40" s="26">
        <v>8533.83</v>
      </c>
      <c r="L40" s="26">
        <v>41.17</v>
      </c>
    </row>
    <row r="41" spans="1:12" ht="16" customHeight="1">
      <c r="A41" t="s">
        <v>245</v>
      </c>
      <c r="B41" t="s">
        <v>5</v>
      </c>
      <c r="C41" t="s">
        <v>10</v>
      </c>
      <c r="D41" s="24">
        <v>45901</v>
      </c>
      <c r="E41" t="s">
        <v>216</v>
      </c>
      <c r="F41" t="s">
        <v>4</v>
      </c>
      <c r="G41" t="s">
        <v>217</v>
      </c>
      <c r="H41" t="s">
        <v>217</v>
      </c>
      <c r="I41" t="s">
        <v>212</v>
      </c>
      <c r="J41" s="25">
        <v>970036</v>
      </c>
      <c r="K41" s="26">
        <v>181101.63</v>
      </c>
      <c r="L41" s="26">
        <v>1160.74</v>
      </c>
    </row>
    <row r="42" spans="1:12" ht="16" customHeight="1">
      <c r="A42" t="s">
        <v>245</v>
      </c>
      <c r="B42" t="s">
        <v>5</v>
      </c>
      <c r="C42" t="s">
        <v>10</v>
      </c>
      <c r="D42" s="24">
        <v>45901</v>
      </c>
      <c r="E42" t="s">
        <v>246</v>
      </c>
      <c r="F42" t="s">
        <v>4</v>
      </c>
      <c r="G42" t="s">
        <v>211</v>
      </c>
      <c r="H42" t="s">
        <v>211</v>
      </c>
      <c r="I42" t="s">
        <v>219</v>
      </c>
      <c r="J42" s="25">
        <v>928</v>
      </c>
      <c r="K42" s="26">
        <v>172.2</v>
      </c>
      <c r="L42" s="26">
        <v>2.2000000000000002</v>
      </c>
    </row>
    <row r="43" spans="1:12" ht="16" customHeight="1">
      <c r="A43" t="s">
        <v>245</v>
      </c>
      <c r="B43" t="s">
        <v>5</v>
      </c>
      <c r="C43" t="s">
        <v>10</v>
      </c>
      <c r="D43" s="24">
        <v>45901</v>
      </c>
      <c r="E43" t="s">
        <v>218</v>
      </c>
      <c r="F43" t="s">
        <v>4</v>
      </c>
      <c r="G43" t="s">
        <v>217</v>
      </c>
      <c r="H43" t="s">
        <v>217</v>
      </c>
      <c r="I43" t="s">
        <v>219</v>
      </c>
      <c r="J43" s="25">
        <v>131634</v>
      </c>
      <c r="K43" s="26">
        <v>24621.67</v>
      </c>
      <c r="L43" s="26">
        <v>166.84</v>
      </c>
    </row>
    <row r="44" spans="1:12" ht="16" customHeight="1">
      <c r="A44" t="s">
        <v>245</v>
      </c>
      <c r="B44" t="s">
        <v>5</v>
      </c>
      <c r="C44" t="s">
        <v>10</v>
      </c>
      <c r="D44" s="24">
        <v>45901</v>
      </c>
      <c r="E44" t="s">
        <v>220</v>
      </c>
      <c r="F44" t="s">
        <v>4</v>
      </c>
      <c r="G44" t="s">
        <v>217</v>
      </c>
      <c r="H44" t="s">
        <v>217</v>
      </c>
      <c r="I44" t="s">
        <v>221</v>
      </c>
      <c r="J44" s="25">
        <v>20810</v>
      </c>
      <c r="K44" s="26">
        <v>3912.96</v>
      </c>
      <c r="L44" s="26">
        <v>36.25</v>
      </c>
    </row>
    <row r="45" spans="1:12" ht="16" customHeight="1">
      <c r="A45" t="s">
        <v>245</v>
      </c>
      <c r="B45" t="s">
        <v>5</v>
      </c>
      <c r="C45" t="s">
        <v>10</v>
      </c>
      <c r="D45" s="24">
        <v>45901</v>
      </c>
      <c r="E45" t="s">
        <v>222</v>
      </c>
      <c r="F45" t="s">
        <v>4</v>
      </c>
      <c r="G45" t="s">
        <v>217</v>
      </c>
      <c r="H45" t="s">
        <v>217</v>
      </c>
      <c r="I45" t="s">
        <v>223</v>
      </c>
      <c r="J45" s="25">
        <v>40731</v>
      </c>
      <c r="K45" s="26">
        <v>7734.48</v>
      </c>
      <c r="L45" s="26">
        <v>101.03</v>
      </c>
    </row>
    <row r="46" spans="1:12" ht="16" customHeight="1">
      <c r="A46" t="s">
        <v>245</v>
      </c>
      <c r="B46" t="s">
        <v>5</v>
      </c>
      <c r="C46" t="s">
        <v>10</v>
      </c>
      <c r="D46" s="24">
        <v>45901</v>
      </c>
      <c r="E46" t="s">
        <v>224</v>
      </c>
      <c r="F46" t="s">
        <v>4</v>
      </c>
      <c r="G46" t="s">
        <v>217</v>
      </c>
      <c r="H46" t="s">
        <v>217</v>
      </c>
      <c r="I46" t="s">
        <v>225</v>
      </c>
      <c r="J46" s="25">
        <v>5689</v>
      </c>
      <c r="K46" s="26">
        <v>1102.3800000000001</v>
      </c>
      <c r="L46" s="26">
        <v>18.78</v>
      </c>
    </row>
    <row r="47" spans="1:12" ht="16" customHeight="1">
      <c r="A47" t="s">
        <v>245</v>
      </c>
      <c r="B47" t="s">
        <v>5</v>
      </c>
      <c r="C47" t="s">
        <v>10</v>
      </c>
      <c r="D47" s="24">
        <v>45901</v>
      </c>
      <c r="E47" t="s">
        <v>226</v>
      </c>
      <c r="F47" t="s">
        <v>4</v>
      </c>
      <c r="G47" t="s">
        <v>217</v>
      </c>
      <c r="H47" t="s">
        <v>217</v>
      </c>
      <c r="I47" t="s">
        <v>227</v>
      </c>
      <c r="J47" s="25">
        <v>4722</v>
      </c>
      <c r="K47" s="26">
        <v>710.75</v>
      </c>
      <c r="L47" s="26">
        <v>1.56</v>
      </c>
    </row>
    <row r="48" spans="1:12" ht="16" customHeight="1">
      <c r="A48" t="s">
        <v>245</v>
      </c>
      <c r="B48" t="s">
        <v>5</v>
      </c>
      <c r="C48" t="s">
        <v>10</v>
      </c>
      <c r="D48" s="24">
        <v>45901</v>
      </c>
      <c r="E48" t="s">
        <v>228</v>
      </c>
      <c r="F48" t="s">
        <v>4</v>
      </c>
      <c r="G48" t="s">
        <v>217</v>
      </c>
      <c r="H48" t="s">
        <v>217</v>
      </c>
      <c r="I48" t="s">
        <v>229</v>
      </c>
      <c r="J48" s="25">
        <v>437</v>
      </c>
      <c r="K48" s="26">
        <v>87.82</v>
      </c>
      <c r="L48" s="26">
        <v>3.13</v>
      </c>
    </row>
    <row r="49" spans="1:12" ht="16" customHeight="1">
      <c r="A49" t="s">
        <v>245</v>
      </c>
      <c r="B49" t="s">
        <v>5</v>
      </c>
      <c r="C49" t="s">
        <v>10</v>
      </c>
      <c r="D49" s="24">
        <v>45901</v>
      </c>
      <c r="E49" t="s">
        <v>230</v>
      </c>
      <c r="F49" t="s">
        <v>4</v>
      </c>
      <c r="G49" t="s">
        <v>217</v>
      </c>
      <c r="H49" t="s">
        <v>217</v>
      </c>
      <c r="I49" t="s">
        <v>231</v>
      </c>
      <c r="J49" s="25">
        <v>0</v>
      </c>
      <c r="K49" s="26">
        <v>0</v>
      </c>
      <c r="L49" s="26">
        <v>0</v>
      </c>
    </row>
    <row r="50" spans="1:12" ht="16" customHeight="1">
      <c r="A50" t="s">
        <v>245</v>
      </c>
      <c r="B50" t="s">
        <v>5</v>
      </c>
      <c r="C50" t="s">
        <v>10</v>
      </c>
      <c r="D50" s="24">
        <v>45901</v>
      </c>
      <c r="E50" t="s">
        <v>232</v>
      </c>
      <c r="F50" t="s">
        <v>4</v>
      </c>
      <c r="G50" t="s">
        <v>217</v>
      </c>
      <c r="H50" t="s">
        <v>217</v>
      </c>
      <c r="I50" t="s">
        <v>233</v>
      </c>
      <c r="J50" s="25">
        <v>16</v>
      </c>
      <c r="K50" s="26">
        <v>2.9</v>
      </c>
      <c r="L50" s="26">
        <v>0.1</v>
      </c>
    </row>
    <row r="51" spans="1:12" ht="16" customHeight="1">
      <c r="A51" t="s">
        <v>245</v>
      </c>
      <c r="B51" t="s">
        <v>5</v>
      </c>
      <c r="C51" t="s">
        <v>10</v>
      </c>
      <c r="D51" s="24">
        <v>45901</v>
      </c>
      <c r="E51" t="s">
        <v>234</v>
      </c>
      <c r="F51" t="s">
        <v>4</v>
      </c>
      <c r="G51" t="s">
        <v>217</v>
      </c>
      <c r="H51" t="s">
        <v>217</v>
      </c>
      <c r="I51" t="s">
        <v>235</v>
      </c>
      <c r="J51" s="25">
        <v>0</v>
      </c>
      <c r="K51" s="26">
        <v>0</v>
      </c>
      <c r="L51" s="26">
        <v>0</v>
      </c>
    </row>
    <row r="52" spans="1:12" ht="16" customHeight="1">
      <c r="A52" t="s">
        <v>245</v>
      </c>
      <c r="B52" t="s">
        <v>5</v>
      </c>
      <c r="C52" t="s">
        <v>10</v>
      </c>
      <c r="D52" s="24">
        <v>45901</v>
      </c>
      <c r="E52" t="s">
        <v>236</v>
      </c>
      <c r="F52" t="s">
        <v>4</v>
      </c>
      <c r="G52" t="s">
        <v>217</v>
      </c>
      <c r="H52" t="s">
        <v>217</v>
      </c>
      <c r="I52" t="s">
        <v>237</v>
      </c>
      <c r="J52" s="25">
        <v>1</v>
      </c>
      <c r="K52" s="26">
        <v>0.2</v>
      </c>
      <c r="L52" s="26">
        <v>0.01</v>
      </c>
    </row>
    <row r="53" spans="1:12" ht="16" customHeight="1">
      <c r="A53" t="s">
        <v>245</v>
      </c>
      <c r="B53" t="s">
        <v>5</v>
      </c>
      <c r="C53" t="s">
        <v>10</v>
      </c>
      <c r="D53" s="24">
        <v>45901</v>
      </c>
      <c r="E53" t="s">
        <v>238</v>
      </c>
      <c r="F53" t="s">
        <v>4</v>
      </c>
      <c r="G53" t="s">
        <v>217</v>
      </c>
      <c r="H53" t="s">
        <v>217</v>
      </c>
      <c r="I53" t="s">
        <v>239</v>
      </c>
      <c r="J53" s="25">
        <v>0</v>
      </c>
      <c r="K53" s="26">
        <v>0</v>
      </c>
      <c r="L53" s="26">
        <v>0</v>
      </c>
    </row>
    <row r="54" spans="1:12" ht="16" customHeight="1">
      <c r="A54" t="s">
        <v>245</v>
      </c>
      <c r="B54" t="s">
        <v>5</v>
      </c>
      <c r="C54" t="s">
        <v>10</v>
      </c>
      <c r="D54" s="24">
        <v>45901</v>
      </c>
      <c r="E54" t="s">
        <v>240</v>
      </c>
      <c r="F54" t="s">
        <v>3</v>
      </c>
      <c r="G54" t="s">
        <v>241</v>
      </c>
      <c r="H54" t="s">
        <v>241</v>
      </c>
      <c r="I54" t="s">
        <v>242</v>
      </c>
      <c r="J54" s="25">
        <v>0</v>
      </c>
      <c r="K54" s="26">
        <v>0</v>
      </c>
      <c r="L54" s="26">
        <v>0</v>
      </c>
    </row>
    <row r="55" spans="1:12" ht="16" customHeight="1">
      <c r="A55" t="s">
        <v>245</v>
      </c>
      <c r="B55" t="s">
        <v>5</v>
      </c>
      <c r="C55" t="s">
        <v>10</v>
      </c>
      <c r="D55" s="24">
        <v>45901</v>
      </c>
      <c r="E55" t="s">
        <v>243</v>
      </c>
      <c r="F55" t="s">
        <v>4</v>
      </c>
      <c r="G55" t="s">
        <v>217</v>
      </c>
      <c r="H55" t="s">
        <v>217</v>
      </c>
      <c r="I55" t="s">
        <v>244</v>
      </c>
      <c r="J55" s="25">
        <v>0</v>
      </c>
      <c r="K55" s="26">
        <v>0</v>
      </c>
      <c r="L55" s="26">
        <v>0</v>
      </c>
    </row>
    <row r="56" spans="1:12" ht="16" customHeight="1">
      <c r="A56" t="s">
        <v>247</v>
      </c>
      <c r="B56" t="s">
        <v>6</v>
      </c>
      <c r="C56" t="s">
        <v>10</v>
      </c>
      <c r="D56" s="24">
        <v>45901</v>
      </c>
      <c r="E56" t="s">
        <v>213</v>
      </c>
      <c r="F56" t="s">
        <v>4</v>
      </c>
      <c r="G56" t="s">
        <v>211</v>
      </c>
      <c r="H56" t="s">
        <v>211</v>
      </c>
      <c r="I56" t="s">
        <v>212</v>
      </c>
      <c r="J56" s="25">
        <v>69893914</v>
      </c>
      <c r="K56" s="26">
        <v>13037423.59</v>
      </c>
      <c r="L56" s="26">
        <v>31514.06</v>
      </c>
    </row>
    <row r="57" spans="1:12" ht="16" customHeight="1">
      <c r="A57" t="s">
        <v>247</v>
      </c>
      <c r="B57" t="s">
        <v>6</v>
      </c>
      <c r="C57" t="s">
        <v>10</v>
      </c>
      <c r="D57" s="24">
        <v>45901</v>
      </c>
      <c r="E57" t="s">
        <v>214</v>
      </c>
      <c r="F57" t="s">
        <v>4</v>
      </c>
      <c r="G57" t="s">
        <v>211</v>
      </c>
      <c r="H57" t="s">
        <v>211</v>
      </c>
      <c r="I57" t="s">
        <v>212</v>
      </c>
      <c r="J57" s="25">
        <v>1970946</v>
      </c>
      <c r="K57" s="26">
        <v>368832.04</v>
      </c>
      <c r="L57" s="26">
        <v>1268.94</v>
      </c>
    </row>
    <row r="58" spans="1:12" ht="16" customHeight="1">
      <c r="A58" t="s">
        <v>247</v>
      </c>
      <c r="B58" t="s">
        <v>6</v>
      </c>
      <c r="C58" t="s">
        <v>10</v>
      </c>
      <c r="D58" s="24">
        <v>45901</v>
      </c>
      <c r="E58" t="s">
        <v>215</v>
      </c>
      <c r="F58" t="s">
        <v>4</v>
      </c>
      <c r="G58" t="s">
        <v>211</v>
      </c>
      <c r="H58" t="s">
        <v>211</v>
      </c>
      <c r="I58" t="s">
        <v>212</v>
      </c>
      <c r="J58" s="25">
        <v>81233</v>
      </c>
      <c r="K58" s="26">
        <v>15235.91</v>
      </c>
      <c r="L58" s="26">
        <v>74.73</v>
      </c>
    </row>
    <row r="59" spans="1:12" ht="16" customHeight="1">
      <c r="A59" t="s">
        <v>247</v>
      </c>
      <c r="B59" t="s">
        <v>6</v>
      </c>
      <c r="C59" t="s">
        <v>10</v>
      </c>
      <c r="D59" s="24">
        <v>45901</v>
      </c>
      <c r="E59" t="s">
        <v>216</v>
      </c>
      <c r="F59" t="s">
        <v>4</v>
      </c>
      <c r="G59" t="s">
        <v>217</v>
      </c>
      <c r="H59" t="s">
        <v>217</v>
      </c>
      <c r="I59" t="s">
        <v>212</v>
      </c>
      <c r="J59" s="25">
        <v>1438666</v>
      </c>
      <c r="K59" s="26">
        <v>269252.88</v>
      </c>
      <c r="L59" s="26">
        <v>1642.58</v>
      </c>
    </row>
    <row r="60" spans="1:12" ht="16" customHeight="1">
      <c r="A60" t="s">
        <v>247</v>
      </c>
      <c r="B60" t="s">
        <v>6</v>
      </c>
      <c r="C60" t="s">
        <v>10</v>
      </c>
      <c r="D60" s="24">
        <v>45901</v>
      </c>
      <c r="E60" t="s">
        <v>246</v>
      </c>
      <c r="F60" t="s">
        <v>4</v>
      </c>
      <c r="G60" t="s">
        <v>211</v>
      </c>
      <c r="H60" t="s">
        <v>211</v>
      </c>
      <c r="I60" t="s">
        <v>219</v>
      </c>
      <c r="J60" s="25">
        <v>2435</v>
      </c>
      <c r="K60" s="26">
        <v>460.03</v>
      </c>
      <c r="L60" s="26">
        <v>3.66</v>
      </c>
    </row>
    <row r="61" spans="1:12" ht="16" customHeight="1">
      <c r="A61" t="s">
        <v>247</v>
      </c>
      <c r="B61" t="s">
        <v>6</v>
      </c>
      <c r="C61" t="s">
        <v>10</v>
      </c>
      <c r="D61" s="24">
        <v>45901</v>
      </c>
      <c r="E61" t="s">
        <v>218</v>
      </c>
      <c r="F61" t="s">
        <v>4</v>
      </c>
      <c r="G61" t="s">
        <v>217</v>
      </c>
      <c r="H61" t="s">
        <v>217</v>
      </c>
      <c r="I61" t="s">
        <v>219</v>
      </c>
      <c r="J61" s="25">
        <v>173860</v>
      </c>
      <c r="K61" s="26">
        <v>32568.54</v>
      </c>
      <c r="L61" s="26">
        <v>274.25</v>
      </c>
    </row>
    <row r="62" spans="1:12" ht="16" customHeight="1">
      <c r="A62" t="s">
        <v>247</v>
      </c>
      <c r="B62" t="s">
        <v>6</v>
      </c>
      <c r="C62" t="s">
        <v>10</v>
      </c>
      <c r="D62" s="24">
        <v>45901</v>
      </c>
      <c r="E62" t="s">
        <v>220</v>
      </c>
      <c r="F62" t="s">
        <v>4</v>
      </c>
      <c r="G62" t="s">
        <v>217</v>
      </c>
      <c r="H62" t="s">
        <v>217</v>
      </c>
      <c r="I62" t="s">
        <v>221</v>
      </c>
      <c r="J62" s="25">
        <v>22847</v>
      </c>
      <c r="K62" s="26">
        <v>4272.57</v>
      </c>
      <c r="L62" s="26">
        <v>44.99</v>
      </c>
    </row>
    <row r="63" spans="1:12" ht="16" customHeight="1">
      <c r="A63" t="s">
        <v>247</v>
      </c>
      <c r="B63" t="s">
        <v>6</v>
      </c>
      <c r="C63" t="s">
        <v>10</v>
      </c>
      <c r="D63" s="24">
        <v>45901</v>
      </c>
      <c r="E63" t="s">
        <v>222</v>
      </c>
      <c r="F63" t="s">
        <v>4</v>
      </c>
      <c r="G63" t="s">
        <v>217</v>
      </c>
      <c r="H63" t="s">
        <v>217</v>
      </c>
      <c r="I63" t="s">
        <v>223</v>
      </c>
      <c r="J63" s="25">
        <v>60015</v>
      </c>
      <c r="K63" s="26">
        <v>11304.29</v>
      </c>
      <c r="L63" s="26">
        <v>150.56</v>
      </c>
    </row>
    <row r="64" spans="1:12" ht="16" customHeight="1">
      <c r="A64" t="s">
        <v>247</v>
      </c>
      <c r="B64" t="s">
        <v>6</v>
      </c>
      <c r="C64" t="s">
        <v>10</v>
      </c>
      <c r="D64" s="24">
        <v>45901</v>
      </c>
      <c r="E64" t="s">
        <v>224</v>
      </c>
      <c r="F64" t="s">
        <v>4</v>
      </c>
      <c r="G64" t="s">
        <v>217</v>
      </c>
      <c r="H64" t="s">
        <v>217</v>
      </c>
      <c r="I64" t="s">
        <v>225</v>
      </c>
      <c r="J64" s="25">
        <v>8607</v>
      </c>
      <c r="K64" s="26">
        <v>1685.36</v>
      </c>
      <c r="L64" s="26">
        <v>28.99</v>
      </c>
    </row>
    <row r="65" spans="1:12" ht="16" customHeight="1">
      <c r="A65" t="s">
        <v>247</v>
      </c>
      <c r="B65" t="s">
        <v>6</v>
      </c>
      <c r="C65" t="s">
        <v>10</v>
      </c>
      <c r="D65" s="24">
        <v>45901</v>
      </c>
      <c r="E65" t="s">
        <v>226</v>
      </c>
      <c r="F65" t="s">
        <v>4</v>
      </c>
      <c r="G65" t="s">
        <v>217</v>
      </c>
      <c r="H65" t="s">
        <v>217</v>
      </c>
      <c r="I65" t="s">
        <v>227</v>
      </c>
      <c r="J65" s="25">
        <v>91</v>
      </c>
      <c r="K65" s="26">
        <v>16.87</v>
      </c>
      <c r="L65" s="26">
        <v>0.45</v>
      </c>
    </row>
    <row r="66" spans="1:12" ht="16" customHeight="1">
      <c r="A66" t="s">
        <v>247</v>
      </c>
      <c r="B66" t="s">
        <v>6</v>
      </c>
      <c r="C66" t="s">
        <v>10</v>
      </c>
      <c r="D66" s="24">
        <v>45901</v>
      </c>
      <c r="E66" t="s">
        <v>228</v>
      </c>
      <c r="F66" t="s">
        <v>4</v>
      </c>
      <c r="G66" t="s">
        <v>217</v>
      </c>
      <c r="H66" t="s">
        <v>217</v>
      </c>
      <c r="I66" t="s">
        <v>229</v>
      </c>
      <c r="J66" s="25">
        <v>520</v>
      </c>
      <c r="K66" s="26">
        <v>101.5</v>
      </c>
      <c r="L66" s="26">
        <v>3.56</v>
      </c>
    </row>
    <row r="67" spans="1:12" ht="16" customHeight="1">
      <c r="A67" t="s">
        <v>247</v>
      </c>
      <c r="B67" t="s">
        <v>6</v>
      </c>
      <c r="C67" t="s">
        <v>10</v>
      </c>
      <c r="D67" s="24">
        <v>45901</v>
      </c>
      <c r="E67" t="s">
        <v>230</v>
      </c>
      <c r="F67" t="s">
        <v>4</v>
      </c>
      <c r="G67" t="s">
        <v>217</v>
      </c>
      <c r="H67" t="s">
        <v>217</v>
      </c>
      <c r="I67" t="s">
        <v>231</v>
      </c>
      <c r="J67" s="25">
        <v>0</v>
      </c>
      <c r="K67" s="26">
        <v>0</v>
      </c>
      <c r="L67" s="26">
        <v>0</v>
      </c>
    </row>
    <row r="68" spans="1:12" ht="16" customHeight="1">
      <c r="A68" t="s">
        <v>247</v>
      </c>
      <c r="B68" t="s">
        <v>6</v>
      </c>
      <c r="C68" t="s">
        <v>10</v>
      </c>
      <c r="D68" s="24">
        <v>45901</v>
      </c>
      <c r="E68" t="s">
        <v>232</v>
      </c>
      <c r="F68" t="s">
        <v>4</v>
      </c>
      <c r="G68" t="s">
        <v>217</v>
      </c>
      <c r="H68" t="s">
        <v>217</v>
      </c>
      <c r="I68" t="s">
        <v>233</v>
      </c>
      <c r="J68" s="25">
        <v>1</v>
      </c>
      <c r="K68" s="26">
        <v>0.16</v>
      </c>
      <c r="L68" s="26">
        <v>0</v>
      </c>
    </row>
    <row r="69" spans="1:12" ht="16" customHeight="1">
      <c r="A69" t="s">
        <v>247</v>
      </c>
      <c r="B69" t="s">
        <v>6</v>
      </c>
      <c r="C69" t="s">
        <v>10</v>
      </c>
      <c r="D69" s="24">
        <v>45901</v>
      </c>
      <c r="E69" t="s">
        <v>234</v>
      </c>
      <c r="F69" t="s">
        <v>4</v>
      </c>
      <c r="G69" t="s">
        <v>217</v>
      </c>
      <c r="H69" t="s">
        <v>217</v>
      </c>
      <c r="I69" t="s">
        <v>235</v>
      </c>
      <c r="J69" s="25">
        <v>0</v>
      </c>
      <c r="K69" s="26">
        <v>0</v>
      </c>
      <c r="L69" s="26">
        <v>0</v>
      </c>
    </row>
    <row r="70" spans="1:12" ht="16" customHeight="1">
      <c r="A70" t="s">
        <v>247</v>
      </c>
      <c r="B70" t="s">
        <v>6</v>
      </c>
      <c r="C70" t="s">
        <v>10</v>
      </c>
      <c r="D70" s="24">
        <v>45901</v>
      </c>
      <c r="E70" t="s">
        <v>236</v>
      </c>
      <c r="F70" t="s">
        <v>4</v>
      </c>
      <c r="G70" t="s">
        <v>217</v>
      </c>
      <c r="H70" t="s">
        <v>217</v>
      </c>
      <c r="I70" t="s">
        <v>237</v>
      </c>
      <c r="J70" s="25">
        <v>1</v>
      </c>
      <c r="K70" s="26">
        <v>0.2</v>
      </c>
      <c r="L70" s="26">
        <v>0.01</v>
      </c>
    </row>
    <row r="71" spans="1:12" ht="16" customHeight="1">
      <c r="A71" t="s">
        <v>247</v>
      </c>
      <c r="B71" t="s">
        <v>6</v>
      </c>
      <c r="C71" t="s">
        <v>10</v>
      </c>
      <c r="D71" s="24">
        <v>45901</v>
      </c>
      <c r="E71" t="s">
        <v>238</v>
      </c>
      <c r="F71" t="s">
        <v>4</v>
      </c>
      <c r="G71" t="s">
        <v>217</v>
      </c>
      <c r="H71" t="s">
        <v>217</v>
      </c>
      <c r="I71" t="s">
        <v>239</v>
      </c>
      <c r="J71" s="25">
        <v>0</v>
      </c>
      <c r="K71" s="26">
        <v>0</v>
      </c>
      <c r="L71" s="26">
        <v>0</v>
      </c>
    </row>
    <row r="72" spans="1:12" ht="16" customHeight="1">
      <c r="A72" t="s">
        <v>247</v>
      </c>
      <c r="B72" t="s">
        <v>6</v>
      </c>
      <c r="C72" t="s">
        <v>10</v>
      </c>
      <c r="D72" s="24">
        <v>45901</v>
      </c>
      <c r="E72" t="s">
        <v>240</v>
      </c>
      <c r="F72" t="s">
        <v>3</v>
      </c>
      <c r="G72" t="s">
        <v>241</v>
      </c>
      <c r="H72" t="s">
        <v>241</v>
      </c>
      <c r="I72" t="s">
        <v>242</v>
      </c>
      <c r="J72" s="25">
        <v>0</v>
      </c>
      <c r="K72" s="26">
        <v>0</v>
      </c>
      <c r="L72" s="26">
        <v>0</v>
      </c>
    </row>
    <row r="73" spans="1:12" ht="16" customHeight="1">
      <c r="A73" t="s">
        <v>247</v>
      </c>
      <c r="B73" t="s">
        <v>6</v>
      </c>
      <c r="C73" t="s">
        <v>10</v>
      </c>
      <c r="D73" s="24">
        <v>45901</v>
      </c>
      <c r="E73" t="s">
        <v>243</v>
      </c>
      <c r="F73" t="s">
        <v>4</v>
      </c>
      <c r="G73" t="s">
        <v>217</v>
      </c>
      <c r="H73" t="s">
        <v>217</v>
      </c>
      <c r="I73" t="s">
        <v>244</v>
      </c>
      <c r="J73" s="25">
        <v>0</v>
      </c>
      <c r="K73" s="26">
        <v>0</v>
      </c>
      <c r="L73" s="26">
        <v>0</v>
      </c>
    </row>
    <row r="74" spans="1:12" ht="16" customHeight="1">
      <c r="A74" t="s">
        <v>248</v>
      </c>
      <c r="B74" t="s">
        <v>7</v>
      </c>
      <c r="C74" t="s">
        <v>10</v>
      </c>
      <c r="D74" s="24">
        <v>45901</v>
      </c>
      <c r="E74" t="s">
        <v>213</v>
      </c>
      <c r="F74" t="s">
        <v>4</v>
      </c>
      <c r="G74" t="s">
        <v>211</v>
      </c>
      <c r="H74" t="s">
        <v>211</v>
      </c>
      <c r="I74" t="s">
        <v>212</v>
      </c>
      <c r="J74" s="25">
        <v>120034823</v>
      </c>
      <c r="K74" s="26">
        <v>22314709.899999999</v>
      </c>
      <c r="L74" s="26">
        <v>45008.84</v>
      </c>
    </row>
    <row r="75" spans="1:12" ht="16" customHeight="1">
      <c r="A75" t="s">
        <v>248</v>
      </c>
      <c r="B75" t="s">
        <v>7</v>
      </c>
      <c r="C75" t="s">
        <v>10</v>
      </c>
      <c r="D75" s="24">
        <v>45901</v>
      </c>
      <c r="E75" t="s">
        <v>214</v>
      </c>
      <c r="F75" t="s">
        <v>4</v>
      </c>
      <c r="G75" t="s">
        <v>211</v>
      </c>
      <c r="H75" t="s">
        <v>211</v>
      </c>
      <c r="I75" t="s">
        <v>212</v>
      </c>
      <c r="J75" s="25">
        <v>3091445</v>
      </c>
      <c r="K75" s="26">
        <v>575599.77</v>
      </c>
      <c r="L75" s="26">
        <v>1858.99</v>
      </c>
    </row>
    <row r="76" spans="1:12" ht="16" customHeight="1">
      <c r="A76" t="s">
        <v>248</v>
      </c>
      <c r="B76" t="s">
        <v>7</v>
      </c>
      <c r="C76" t="s">
        <v>10</v>
      </c>
      <c r="D76" s="24">
        <v>45901</v>
      </c>
      <c r="E76" t="s">
        <v>215</v>
      </c>
      <c r="F76" t="s">
        <v>4</v>
      </c>
      <c r="G76" t="s">
        <v>211</v>
      </c>
      <c r="H76" t="s">
        <v>211</v>
      </c>
      <c r="I76" t="s">
        <v>212</v>
      </c>
      <c r="J76" s="25">
        <v>103549</v>
      </c>
      <c r="K76" s="26">
        <v>19294.919999999998</v>
      </c>
      <c r="L76" s="26">
        <v>96.38</v>
      </c>
    </row>
    <row r="77" spans="1:12" ht="16" customHeight="1">
      <c r="A77" t="s">
        <v>248</v>
      </c>
      <c r="B77" t="s">
        <v>7</v>
      </c>
      <c r="C77" t="s">
        <v>10</v>
      </c>
      <c r="D77" s="24">
        <v>45901</v>
      </c>
      <c r="E77" t="s">
        <v>216</v>
      </c>
      <c r="F77" t="s">
        <v>4</v>
      </c>
      <c r="G77" t="s">
        <v>217</v>
      </c>
      <c r="H77" t="s">
        <v>217</v>
      </c>
      <c r="I77" t="s">
        <v>212</v>
      </c>
      <c r="J77" s="25">
        <v>1320053</v>
      </c>
      <c r="K77" s="26">
        <v>246714.45</v>
      </c>
      <c r="L77" s="26">
        <v>1462.44</v>
      </c>
    </row>
    <row r="78" spans="1:12" ht="16" customHeight="1">
      <c r="A78" t="s">
        <v>248</v>
      </c>
      <c r="B78" t="s">
        <v>7</v>
      </c>
      <c r="C78" t="s">
        <v>10</v>
      </c>
      <c r="D78" s="24">
        <v>45901</v>
      </c>
      <c r="E78" t="s">
        <v>246</v>
      </c>
      <c r="F78" t="s">
        <v>4</v>
      </c>
      <c r="G78" t="s">
        <v>211</v>
      </c>
      <c r="H78" t="s">
        <v>211</v>
      </c>
      <c r="I78" t="s">
        <v>219</v>
      </c>
      <c r="J78" s="25">
        <v>4045</v>
      </c>
      <c r="K78" s="26">
        <v>775.25</v>
      </c>
      <c r="L78" s="26">
        <v>3.44</v>
      </c>
    </row>
    <row r="79" spans="1:12" ht="16" customHeight="1">
      <c r="A79" t="s">
        <v>248</v>
      </c>
      <c r="B79" t="s">
        <v>7</v>
      </c>
      <c r="C79" t="s">
        <v>10</v>
      </c>
      <c r="D79" s="24">
        <v>45901</v>
      </c>
      <c r="E79" t="s">
        <v>218</v>
      </c>
      <c r="F79" t="s">
        <v>4</v>
      </c>
      <c r="G79" t="s">
        <v>217</v>
      </c>
      <c r="H79" t="s">
        <v>217</v>
      </c>
      <c r="I79" t="s">
        <v>219</v>
      </c>
      <c r="J79" s="25">
        <v>158050</v>
      </c>
      <c r="K79" s="26">
        <v>29759.1</v>
      </c>
      <c r="L79" s="26">
        <v>225.62</v>
      </c>
    </row>
    <row r="80" spans="1:12" ht="16" customHeight="1">
      <c r="A80" t="s">
        <v>248</v>
      </c>
      <c r="B80" t="s">
        <v>7</v>
      </c>
      <c r="C80" t="s">
        <v>10</v>
      </c>
      <c r="D80" s="24">
        <v>45901</v>
      </c>
      <c r="E80" t="s">
        <v>220</v>
      </c>
      <c r="F80" t="s">
        <v>4</v>
      </c>
      <c r="G80" t="s">
        <v>217</v>
      </c>
      <c r="H80" t="s">
        <v>217</v>
      </c>
      <c r="I80" t="s">
        <v>221</v>
      </c>
      <c r="J80" s="25">
        <v>19933</v>
      </c>
      <c r="K80" s="26">
        <v>3715.05</v>
      </c>
      <c r="L80" s="26">
        <v>36.880000000000003</v>
      </c>
    </row>
    <row r="81" spans="1:12" ht="16" customHeight="1">
      <c r="A81" t="s">
        <v>248</v>
      </c>
      <c r="B81" t="s">
        <v>7</v>
      </c>
      <c r="C81" t="s">
        <v>10</v>
      </c>
      <c r="D81" s="24">
        <v>45901</v>
      </c>
      <c r="E81" t="s">
        <v>222</v>
      </c>
      <c r="F81" t="s">
        <v>4</v>
      </c>
      <c r="G81" t="s">
        <v>217</v>
      </c>
      <c r="H81" t="s">
        <v>217</v>
      </c>
      <c r="I81" t="s">
        <v>223</v>
      </c>
      <c r="J81" s="25">
        <v>51322</v>
      </c>
      <c r="K81" s="26">
        <v>9642.91</v>
      </c>
      <c r="L81" s="26">
        <v>121.53</v>
      </c>
    </row>
    <row r="82" spans="1:12" ht="16" customHeight="1">
      <c r="A82" t="s">
        <v>248</v>
      </c>
      <c r="B82" t="s">
        <v>7</v>
      </c>
      <c r="C82" t="s">
        <v>10</v>
      </c>
      <c r="D82" s="24">
        <v>45901</v>
      </c>
      <c r="E82" t="s">
        <v>224</v>
      </c>
      <c r="F82" t="s">
        <v>4</v>
      </c>
      <c r="G82" t="s">
        <v>217</v>
      </c>
      <c r="H82" t="s">
        <v>217</v>
      </c>
      <c r="I82" t="s">
        <v>225</v>
      </c>
      <c r="J82" s="25">
        <v>7751</v>
      </c>
      <c r="K82" s="26">
        <v>1521.4</v>
      </c>
      <c r="L82" s="26">
        <v>24.8</v>
      </c>
    </row>
    <row r="83" spans="1:12" ht="16" customHeight="1">
      <c r="A83" t="s">
        <v>248</v>
      </c>
      <c r="B83" t="s">
        <v>7</v>
      </c>
      <c r="C83" t="s">
        <v>10</v>
      </c>
      <c r="D83" s="24">
        <v>45901</v>
      </c>
      <c r="E83" t="s">
        <v>226</v>
      </c>
      <c r="F83" t="s">
        <v>4</v>
      </c>
      <c r="G83" t="s">
        <v>217</v>
      </c>
      <c r="H83" t="s">
        <v>217</v>
      </c>
      <c r="I83" t="s">
        <v>227</v>
      </c>
      <c r="J83" s="25">
        <v>57</v>
      </c>
      <c r="K83" s="26">
        <v>10.63</v>
      </c>
      <c r="L83" s="26">
        <v>0.3</v>
      </c>
    </row>
    <row r="84" spans="1:12" ht="16" customHeight="1">
      <c r="A84" t="s">
        <v>248</v>
      </c>
      <c r="B84" t="s">
        <v>7</v>
      </c>
      <c r="C84" t="s">
        <v>10</v>
      </c>
      <c r="D84" s="24">
        <v>45901</v>
      </c>
      <c r="E84" t="s">
        <v>228</v>
      </c>
      <c r="F84" t="s">
        <v>4</v>
      </c>
      <c r="G84" t="s">
        <v>217</v>
      </c>
      <c r="H84" t="s">
        <v>217</v>
      </c>
      <c r="I84" t="s">
        <v>229</v>
      </c>
      <c r="J84" s="25">
        <v>486</v>
      </c>
      <c r="K84" s="26">
        <v>93.34</v>
      </c>
      <c r="L84" s="26">
        <v>3.17</v>
      </c>
    </row>
    <row r="85" spans="1:12" ht="16" customHeight="1">
      <c r="A85" t="s">
        <v>248</v>
      </c>
      <c r="B85" t="s">
        <v>7</v>
      </c>
      <c r="C85" t="s">
        <v>10</v>
      </c>
      <c r="D85" s="24">
        <v>45901</v>
      </c>
      <c r="E85" t="s">
        <v>230</v>
      </c>
      <c r="F85" t="s">
        <v>4</v>
      </c>
      <c r="G85" t="s">
        <v>217</v>
      </c>
      <c r="H85" t="s">
        <v>217</v>
      </c>
      <c r="I85" t="s">
        <v>231</v>
      </c>
      <c r="J85" s="25">
        <v>0</v>
      </c>
      <c r="K85" s="26">
        <v>0</v>
      </c>
      <c r="L85" s="26">
        <v>0</v>
      </c>
    </row>
    <row r="86" spans="1:12" ht="16" customHeight="1">
      <c r="A86" t="s">
        <v>248</v>
      </c>
      <c r="B86" t="s">
        <v>7</v>
      </c>
      <c r="C86" t="s">
        <v>10</v>
      </c>
      <c r="D86" s="24">
        <v>45901</v>
      </c>
      <c r="E86" t="s">
        <v>232</v>
      </c>
      <c r="F86" t="s">
        <v>4</v>
      </c>
      <c r="G86" t="s">
        <v>217</v>
      </c>
      <c r="H86" t="s">
        <v>217</v>
      </c>
      <c r="I86" t="s">
        <v>233</v>
      </c>
      <c r="J86" s="25">
        <v>0</v>
      </c>
      <c r="K86" s="26">
        <v>0</v>
      </c>
      <c r="L86" s="26">
        <v>0</v>
      </c>
    </row>
    <row r="87" spans="1:12" ht="16" customHeight="1">
      <c r="A87" t="s">
        <v>248</v>
      </c>
      <c r="B87" t="s">
        <v>7</v>
      </c>
      <c r="C87" t="s">
        <v>10</v>
      </c>
      <c r="D87" s="24">
        <v>45901</v>
      </c>
      <c r="E87" t="s">
        <v>234</v>
      </c>
      <c r="F87" t="s">
        <v>4</v>
      </c>
      <c r="G87" t="s">
        <v>217</v>
      </c>
      <c r="H87" t="s">
        <v>217</v>
      </c>
      <c r="I87" t="s">
        <v>235</v>
      </c>
      <c r="J87" s="25">
        <v>0</v>
      </c>
      <c r="K87" s="26">
        <v>0</v>
      </c>
      <c r="L87" s="26">
        <v>0</v>
      </c>
    </row>
    <row r="88" spans="1:12" ht="16" customHeight="1">
      <c r="A88" t="s">
        <v>248</v>
      </c>
      <c r="B88" t="s">
        <v>7</v>
      </c>
      <c r="C88" t="s">
        <v>10</v>
      </c>
      <c r="D88" s="24">
        <v>45901</v>
      </c>
      <c r="E88" t="s">
        <v>236</v>
      </c>
      <c r="F88" t="s">
        <v>4</v>
      </c>
      <c r="G88" t="s">
        <v>217</v>
      </c>
      <c r="H88" t="s">
        <v>217</v>
      </c>
      <c r="I88" t="s">
        <v>237</v>
      </c>
      <c r="J88" s="25">
        <v>1</v>
      </c>
      <c r="K88" s="26">
        <v>0.2</v>
      </c>
      <c r="L88" s="26">
        <v>0.01</v>
      </c>
    </row>
    <row r="89" spans="1:12" ht="16" customHeight="1">
      <c r="A89" t="s">
        <v>248</v>
      </c>
      <c r="B89" t="s">
        <v>7</v>
      </c>
      <c r="C89" t="s">
        <v>10</v>
      </c>
      <c r="D89" s="24">
        <v>45901</v>
      </c>
      <c r="E89" t="s">
        <v>238</v>
      </c>
      <c r="F89" t="s">
        <v>4</v>
      </c>
      <c r="G89" t="s">
        <v>217</v>
      </c>
      <c r="H89" t="s">
        <v>217</v>
      </c>
      <c r="I89" t="s">
        <v>239</v>
      </c>
      <c r="J89" s="25">
        <v>0</v>
      </c>
      <c r="K89" s="26">
        <v>0</v>
      </c>
      <c r="L89" s="26">
        <v>0</v>
      </c>
    </row>
    <row r="90" spans="1:12" ht="16" customHeight="1">
      <c r="A90" t="s">
        <v>248</v>
      </c>
      <c r="B90" t="s">
        <v>7</v>
      </c>
      <c r="C90" t="s">
        <v>10</v>
      </c>
      <c r="D90" s="24">
        <v>45901</v>
      </c>
      <c r="E90" t="s">
        <v>240</v>
      </c>
      <c r="F90" t="s">
        <v>3</v>
      </c>
      <c r="G90" t="s">
        <v>241</v>
      </c>
      <c r="H90" t="s">
        <v>241</v>
      </c>
      <c r="I90" t="s">
        <v>242</v>
      </c>
      <c r="J90" s="25">
        <v>4</v>
      </c>
      <c r="K90" s="26">
        <v>0.71</v>
      </c>
      <c r="L90" s="26">
        <v>0.02</v>
      </c>
    </row>
    <row r="91" spans="1:12" ht="16" customHeight="1">
      <c r="A91" t="s">
        <v>248</v>
      </c>
      <c r="B91" t="s">
        <v>7</v>
      </c>
      <c r="C91" t="s">
        <v>10</v>
      </c>
      <c r="D91" s="24">
        <v>45901</v>
      </c>
      <c r="E91" t="s">
        <v>243</v>
      </c>
      <c r="F91" t="s">
        <v>4</v>
      </c>
      <c r="G91" t="s">
        <v>217</v>
      </c>
      <c r="H91" t="s">
        <v>217</v>
      </c>
      <c r="I91" t="s">
        <v>244</v>
      </c>
      <c r="J91" s="25">
        <v>0</v>
      </c>
      <c r="K91" s="26">
        <v>0</v>
      </c>
      <c r="L91" s="26">
        <v>0</v>
      </c>
    </row>
    <row r="92" spans="1:12" ht="16" customHeight="1">
      <c r="A92" t="s">
        <v>249</v>
      </c>
      <c r="B92" t="s">
        <v>3</v>
      </c>
      <c r="C92" t="s">
        <v>11</v>
      </c>
      <c r="D92" s="24">
        <v>45901</v>
      </c>
      <c r="E92" t="s">
        <v>213</v>
      </c>
      <c r="F92" t="s">
        <v>4</v>
      </c>
      <c r="G92" t="s">
        <v>211</v>
      </c>
      <c r="H92" t="s">
        <v>211</v>
      </c>
      <c r="I92" t="s">
        <v>212</v>
      </c>
      <c r="J92" s="25">
        <v>130935873</v>
      </c>
      <c r="K92" s="26">
        <v>24400169.760000002</v>
      </c>
      <c r="L92" s="26">
        <v>39110.65</v>
      </c>
    </row>
    <row r="93" spans="1:12" ht="16" customHeight="1">
      <c r="A93" t="s">
        <v>249</v>
      </c>
      <c r="B93" t="s">
        <v>3</v>
      </c>
      <c r="C93" t="s">
        <v>11</v>
      </c>
      <c r="D93" s="24">
        <v>45901</v>
      </c>
      <c r="E93" t="s">
        <v>214</v>
      </c>
      <c r="F93" t="s">
        <v>4</v>
      </c>
      <c r="G93" t="s">
        <v>211</v>
      </c>
      <c r="H93" t="s">
        <v>211</v>
      </c>
      <c r="I93" t="s">
        <v>212</v>
      </c>
      <c r="J93" s="25">
        <v>4524032</v>
      </c>
      <c r="K93" s="26">
        <v>843509.73</v>
      </c>
      <c r="L93" s="26">
        <v>2319.81</v>
      </c>
    </row>
    <row r="94" spans="1:12" ht="16" customHeight="1">
      <c r="A94" t="s">
        <v>249</v>
      </c>
      <c r="B94" t="s">
        <v>3</v>
      </c>
      <c r="C94" t="s">
        <v>11</v>
      </c>
      <c r="D94" s="24">
        <v>45901</v>
      </c>
      <c r="E94" t="s">
        <v>215</v>
      </c>
      <c r="F94" t="s">
        <v>4</v>
      </c>
      <c r="G94" t="s">
        <v>211</v>
      </c>
      <c r="H94" t="s">
        <v>211</v>
      </c>
      <c r="I94" t="s">
        <v>212</v>
      </c>
      <c r="J94" s="25">
        <v>184275</v>
      </c>
      <c r="K94" s="26">
        <v>34415.769999999997</v>
      </c>
      <c r="L94" s="26">
        <v>142.91</v>
      </c>
    </row>
    <row r="95" spans="1:12" ht="16" customHeight="1">
      <c r="A95" t="s">
        <v>249</v>
      </c>
      <c r="B95" t="s">
        <v>3</v>
      </c>
      <c r="C95" t="s">
        <v>11</v>
      </c>
      <c r="D95" s="24">
        <v>45901</v>
      </c>
      <c r="E95" t="s">
        <v>216</v>
      </c>
      <c r="F95" t="s">
        <v>4</v>
      </c>
      <c r="G95" t="s">
        <v>217</v>
      </c>
      <c r="H95" t="s">
        <v>217</v>
      </c>
      <c r="I95" t="s">
        <v>212</v>
      </c>
      <c r="J95" s="25">
        <v>1103535</v>
      </c>
      <c r="K95" s="26">
        <v>206296.52</v>
      </c>
      <c r="L95" s="26">
        <v>1184.1600000000001</v>
      </c>
    </row>
    <row r="96" spans="1:12" ht="16" customHeight="1">
      <c r="A96" t="s">
        <v>249</v>
      </c>
      <c r="B96" t="s">
        <v>3</v>
      </c>
      <c r="C96" t="s">
        <v>11</v>
      </c>
      <c r="D96" s="24">
        <v>45901</v>
      </c>
      <c r="E96" t="s">
        <v>246</v>
      </c>
      <c r="F96" t="s">
        <v>4</v>
      </c>
      <c r="G96" t="s">
        <v>211</v>
      </c>
      <c r="H96" t="s">
        <v>211</v>
      </c>
      <c r="I96" t="s">
        <v>219</v>
      </c>
      <c r="J96" s="25">
        <v>5457</v>
      </c>
      <c r="K96" s="26">
        <v>1038.52</v>
      </c>
      <c r="L96" s="26">
        <v>7.32</v>
      </c>
    </row>
    <row r="97" spans="1:12" ht="16" customHeight="1">
      <c r="A97" t="s">
        <v>249</v>
      </c>
      <c r="B97" t="s">
        <v>3</v>
      </c>
      <c r="C97" t="s">
        <v>11</v>
      </c>
      <c r="D97" s="24">
        <v>45901</v>
      </c>
      <c r="E97" t="s">
        <v>218</v>
      </c>
      <c r="F97" t="s">
        <v>4</v>
      </c>
      <c r="G97" t="s">
        <v>217</v>
      </c>
      <c r="H97" t="s">
        <v>217</v>
      </c>
      <c r="I97" t="s">
        <v>219</v>
      </c>
      <c r="J97" s="25">
        <v>133776</v>
      </c>
      <c r="K97" s="26">
        <v>24971.67</v>
      </c>
      <c r="L97" s="26">
        <v>157.38999999999999</v>
      </c>
    </row>
    <row r="98" spans="1:12" ht="16" customHeight="1">
      <c r="A98" t="s">
        <v>249</v>
      </c>
      <c r="B98" t="s">
        <v>3</v>
      </c>
      <c r="C98" t="s">
        <v>11</v>
      </c>
      <c r="D98" s="24">
        <v>45901</v>
      </c>
      <c r="E98" t="s">
        <v>220</v>
      </c>
      <c r="F98" t="s">
        <v>4</v>
      </c>
      <c r="G98" t="s">
        <v>217</v>
      </c>
      <c r="H98" t="s">
        <v>217</v>
      </c>
      <c r="I98" t="s">
        <v>221</v>
      </c>
      <c r="J98" s="25">
        <v>23514</v>
      </c>
      <c r="K98" s="26">
        <v>4385.1000000000004</v>
      </c>
      <c r="L98" s="26">
        <v>40.18</v>
      </c>
    </row>
    <row r="99" spans="1:12" ht="16" customHeight="1">
      <c r="A99" t="s">
        <v>249</v>
      </c>
      <c r="B99" t="s">
        <v>3</v>
      </c>
      <c r="C99" t="s">
        <v>11</v>
      </c>
      <c r="D99" s="24">
        <v>45901</v>
      </c>
      <c r="E99" t="s">
        <v>222</v>
      </c>
      <c r="F99" t="s">
        <v>4</v>
      </c>
      <c r="G99" t="s">
        <v>217</v>
      </c>
      <c r="H99" t="s">
        <v>217</v>
      </c>
      <c r="I99" t="s">
        <v>223</v>
      </c>
      <c r="J99" s="25">
        <v>44818</v>
      </c>
      <c r="K99" s="26">
        <v>8403.07</v>
      </c>
      <c r="L99" s="26">
        <v>109.65</v>
      </c>
    </row>
    <row r="100" spans="1:12" ht="16" customHeight="1">
      <c r="A100" t="s">
        <v>249</v>
      </c>
      <c r="B100" t="s">
        <v>3</v>
      </c>
      <c r="C100" t="s">
        <v>11</v>
      </c>
      <c r="D100" s="24">
        <v>45901</v>
      </c>
      <c r="E100" t="s">
        <v>224</v>
      </c>
      <c r="F100" t="s">
        <v>4</v>
      </c>
      <c r="G100" t="s">
        <v>217</v>
      </c>
      <c r="H100" t="s">
        <v>217</v>
      </c>
      <c r="I100" t="s">
        <v>225</v>
      </c>
      <c r="J100" s="25">
        <v>7598</v>
      </c>
      <c r="K100" s="26">
        <v>1458.56</v>
      </c>
      <c r="L100" s="26">
        <v>24.87</v>
      </c>
    </row>
    <row r="101" spans="1:12" ht="16" customHeight="1">
      <c r="A101" t="s">
        <v>249</v>
      </c>
      <c r="B101" t="s">
        <v>3</v>
      </c>
      <c r="C101" t="s">
        <v>11</v>
      </c>
      <c r="D101" s="24">
        <v>45901</v>
      </c>
      <c r="E101" t="s">
        <v>226</v>
      </c>
      <c r="F101" t="s">
        <v>4</v>
      </c>
      <c r="G101" t="s">
        <v>217</v>
      </c>
      <c r="H101" t="s">
        <v>217</v>
      </c>
      <c r="I101" t="s">
        <v>227</v>
      </c>
      <c r="J101" s="25">
        <v>165</v>
      </c>
      <c r="K101" s="26">
        <v>31.08</v>
      </c>
      <c r="L101" s="26">
        <v>0.94</v>
      </c>
    </row>
    <row r="102" spans="1:12" ht="16" customHeight="1">
      <c r="A102" t="s">
        <v>249</v>
      </c>
      <c r="B102" t="s">
        <v>3</v>
      </c>
      <c r="C102" t="s">
        <v>11</v>
      </c>
      <c r="D102" s="24">
        <v>45901</v>
      </c>
      <c r="E102" t="s">
        <v>228</v>
      </c>
      <c r="F102" t="s">
        <v>4</v>
      </c>
      <c r="G102" t="s">
        <v>217</v>
      </c>
      <c r="H102" t="s">
        <v>217</v>
      </c>
      <c r="I102" t="s">
        <v>229</v>
      </c>
      <c r="J102" s="25">
        <v>692</v>
      </c>
      <c r="K102" s="26">
        <v>141.04</v>
      </c>
      <c r="L102" s="26">
        <v>4.9400000000000004</v>
      </c>
    </row>
    <row r="103" spans="1:12" ht="16" customHeight="1">
      <c r="A103" t="s">
        <v>249</v>
      </c>
      <c r="B103" t="s">
        <v>3</v>
      </c>
      <c r="C103" t="s">
        <v>11</v>
      </c>
      <c r="D103" s="24">
        <v>45901</v>
      </c>
      <c r="E103" t="s">
        <v>230</v>
      </c>
      <c r="F103" t="s">
        <v>4</v>
      </c>
      <c r="G103" t="s">
        <v>217</v>
      </c>
      <c r="H103" t="s">
        <v>217</v>
      </c>
      <c r="I103" t="s">
        <v>231</v>
      </c>
      <c r="J103" s="25">
        <v>0</v>
      </c>
      <c r="K103" s="26">
        <v>0</v>
      </c>
      <c r="L103" s="26">
        <v>0</v>
      </c>
    </row>
    <row r="104" spans="1:12" ht="16" customHeight="1">
      <c r="A104" t="s">
        <v>249</v>
      </c>
      <c r="B104" t="s">
        <v>3</v>
      </c>
      <c r="C104" t="s">
        <v>11</v>
      </c>
      <c r="D104" s="24">
        <v>45901</v>
      </c>
      <c r="E104" t="s">
        <v>232</v>
      </c>
      <c r="F104" t="s">
        <v>4</v>
      </c>
      <c r="G104" t="s">
        <v>217</v>
      </c>
      <c r="H104" t="s">
        <v>217</v>
      </c>
      <c r="I104" t="s">
        <v>233</v>
      </c>
      <c r="J104" s="25">
        <v>18</v>
      </c>
      <c r="K104" s="26">
        <v>3.41</v>
      </c>
      <c r="L104" s="26">
        <v>0.12</v>
      </c>
    </row>
    <row r="105" spans="1:12" ht="16" customHeight="1">
      <c r="A105" t="s">
        <v>249</v>
      </c>
      <c r="B105" t="s">
        <v>3</v>
      </c>
      <c r="C105" t="s">
        <v>11</v>
      </c>
      <c r="D105" s="24">
        <v>45901</v>
      </c>
      <c r="E105" t="s">
        <v>234</v>
      </c>
      <c r="F105" t="s">
        <v>4</v>
      </c>
      <c r="G105" t="s">
        <v>217</v>
      </c>
      <c r="H105" t="s">
        <v>217</v>
      </c>
      <c r="I105" t="s">
        <v>235</v>
      </c>
      <c r="J105" s="25">
        <v>0</v>
      </c>
      <c r="K105" s="26">
        <v>0</v>
      </c>
      <c r="L105" s="26">
        <v>0</v>
      </c>
    </row>
    <row r="106" spans="1:12" ht="16" customHeight="1">
      <c r="A106" t="s">
        <v>249</v>
      </c>
      <c r="B106" t="s">
        <v>3</v>
      </c>
      <c r="C106" t="s">
        <v>11</v>
      </c>
      <c r="D106" s="24">
        <v>45901</v>
      </c>
      <c r="E106" t="s">
        <v>236</v>
      </c>
      <c r="F106" t="s">
        <v>4</v>
      </c>
      <c r="G106" t="s">
        <v>217</v>
      </c>
      <c r="H106" t="s">
        <v>217</v>
      </c>
      <c r="I106" t="s">
        <v>237</v>
      </c>
      <c r="J106" s="25">
        <v>0</v>
      </c>
      <c r="K106" s="26">
        <v>0</v>
      </c>
      <c r="L106" s="26">
        <v>0</v>
      </c>
    </row>
    <row r="107" spans="1:12" ht="16" customHeight="1">
      <c r="A107" t="s">
        <v>249</v>
      </c>
      <c r="B107" t="s">
        <v>3</v>
      </c>
      <c r="C107" t="s">
        <v>11</v>
      </c>
      <c r="D107" s="24">
        <v>45901</v>
      </c>
      <c r="E107" t="s">
        <v>238</v>
      </c>
      <c r="F107" t="s">
        <v>4</v>
      </c>
      <c r="G107" t="s">
        <v>217</v>
      </c>
      <c r="H107" t="s">
        <v>217</v>
      </c>
      <c r="I107" t="s">
        <v>239</v>
      </c>
      <c r="J107" s="25">
        <v>0</v>
      </c>
      <c r="K107" s="26">
        <v>0</v>
      </c>
      <c r="L107" s="26">
        <v>0</v>
      </c>
    </row>
    <row r="108" spans="1:12" ht="16" customHeight="1">
      <c r="A108" t="s">
        <v>249</v>
      </c>
      <c r="B108" t="s">
        <v>3</v>
      </c>
      <c r="C108" t="s">
        <v>11</v>
      </c>
      <c r="D108" s="24">
        <v>45901</v>
      </c>
      <c r="E108" t="s">
        <v>240</v>
      </c>
      <c r="F108" t="s">
        <v>3</v>
      </c>
      <c r="G108" t="s">
        <v>241</v>
      </c>
      <c r="H108" t="s">
        <v>241</v>
      </c>
      <c r="I108" t="s">
        <v>242</v>
      </c>
      <c r="J108" s="25">
        <v>0</v>
      </c>
      <c r="K108" s="26">
        <v>0</v>
      </c>
      <c r="L108" s="26">
        <v>0</v>
      </c>
    </row>
    <row r="109" spans="1:12" ht="16" customHeight="1">
      <c r="A109" t="s">
        <v>249</v>
      </c>
      <c r="B109" t="s">
        <v>3</v>
      </c>
      <c r="C109" t="s">
        <v>11</v>
      </c>
      <c r="D109" s="24">
        <v>45901</v>
      </c>
      <c r="E109" t="s">
        <v>243</v>
      </c>
      <c r="F109" t="s">
        <v>4</v>
      </c>
      <c r="G109" t="s">
        <v>217</v>
      </c>
      <c r="H109" t="s">
        <v>217</v>
      </c>
      <c r="I109" t="s">
        <v>244</v>
      </c>
      <c r="J109" s="25">
        <v>0</v>
      </c>
      <c r="K109" s="26">
        <v>0</v>
      </c>
      <c r="L109" s="26">
        <v>0</v>
      </c>
    </row>
    <row r="110" spans="1:12" ht="16" customHeight="1">
      <c r="A110" t="s">
        <v>213</v>
      </c>
      <c r="B110" t="s">
        <v>4</v>
      </c>
      <c r="C110" t="s">
        <v>11</v>
      </c>
      <c r="D110" s="24">
        <v>45901</v>
      </c>
      <c r="E110" t="s">
        <v>213</v>
      </c>
      <c r="F110" t="s">
        <v>4</v>
      </c>
      <c r="G110" t="s">
        <v>211</v>
      </c>
      <c r="H110" t="s">
        <v>211</v>
      </c>
      <c r="I110" t="s">
        <v>212</v>
      </c>
      <c r="J110" s="25">
        <v>261389801</v>
      </c>
      <c r="K110" s="26">
        <v>48726762.619999997</v>
      </c>
      <c r="L110" s="26">
        <v>43403.199999999997</v>
      </c>
    </row>
    <row r="111" spans="1:12" ht="16" customHeight="1">
      <c r="A111" t="s">
        <v>213</v>
      </c>
      <c r="B111" t="s">
        <v>4</v>
      </c>
      <c r="C111" t="s">
        <v>11</v>
      </c>
      <c r="D111" s="24">
        <v>45901</v>
      </c>
      <c r="E111" t="s">
        <v>214</v>
      </c>
      <c r="F111" t="s">
        <v>4</v>
      </c>
      <c r="G111" t="s">
        <v>211</v>
      </c>
      <c r="H111" t="s">
        <v>211</v>
      </c>
      <c r="I111" t="s">
        <v>212</v>
      </c>
      <c r="J111" s="25">
        <v>7566681</v>
      </c>
      <c r="K111" s="26">
        <v>1414584.71</v>
      </c>
      <c r="L111" s="26">
        <v>4042.73</v>
      </c>
    </row>
    <row r="112" spans="1:12" ht="16" customHeight="1">
      <c r="A112" t="s">
        <v>213</v>
      </c>
      <c r="B112" t="s">
        <v>4</v>
      </c>
      <c r="C112" t="s">
        <v>11</v>
      </c>
      <c r="D112" s="24">
        <v>45901</v>
      </c>
      <c r="E112" t="s">
        <v>215</v>
      </c>
      <c r="F112" t="s">
        <v>4</v>
      </c>
      <c r="G112" t="s">
        <v>211</v>
      </c>
      <c r="H112" t="s">
        <v>211</v>
      </c>
      <c r="I112" t="s">
        <v>212</v>
      </c>
      <c r="J112" s="25">
        <v>217221</v>
      </c>
      <c r="K112" s="26">
        <v>40652.49</v>
      </c>
      <c r="L112" s="26">
        <v>167</v>
      </c>
    </row>
    <row r="113" spans="1:12" ht="16" customHeight="1">
      <c r="A113" t="s">
        <v>213</v>
      </c>
      <c r="B113" t="s">
        <v>4</v>
      </c>
      <c r="C113" t="s">
        <v>11</v>
      </c>
      <c r="D113" s="24">
        <v>45901</v>
      </c>
      <c r="E113" t="s">
        <v>216</v>
      </c>
      <c r="F113" t="s">
        <v>4</v>
      </c>
      <c r="G113" t="s">
        <v>217</v>
      </c>
      <c r="H113" t="s">
        <v>217</v>
      </c>
      <c r="I113" t="s">
        <v>212</v>
      </c>
      <c r="J113" s="25">
        <v>803333</v>
      </c>
      <c r="K113" s="26">
        <v>150264.78</v>
      </c>
      <c r="L113" s="26">
        <v>867.23</v>
      </c>
    </row>
    <row r="114" spans="1:12" ht="16" customHeight="1">
      <c r="A114" t="s">
        <v>213</v>
      </c>
      <c r="B114" t="s">
        <v>4</v>
      </c>
      <c r="C114" t="s">
        <v>11</v>
      </c>
      <c r="D114" s="24">
        <v>45901</v>
      </c>
      <c r="E114" t="s">
        <v>246</v>
      </c>
      <c r="F114" t="s">
        <v>4</v>
      </c>
      <c r="G114" t="s">
        <v>211</v>
      </c>
      <c r="H114" t="s">
        <v>211</v>
      </c>
      <c r="I114" t="s">
        <v>219</v>
      </c>
      <c r="J114" s="25">
        <v>3236</v>
      </c>
      <c r="K114" s="26">
        <v>610.74</v>
      </c>
      <c r="L114" s="26">
        <v>4.04</v>
      </c>
    </row>
    <row r="115" spans="1:12" ht="16" customHeight="1">
      <c r="A115" t="s">
        <v>213</v>
      </c>
      <c r="B115" t="s">
        <v>4</v>
      </c>
      <c r="C115" t="s">
        <v>11</v>
      </c>
      <c r="D115" s="24">
        <v>45901</v>
      </c>
      <c r="E115" t="s">
        <v>218</v>
      </c>
      <c r="F115" t="s">
        <v>4</v>
      </c>
      <c r="G115" t="s">
        <v>217</v>
      </c>
      <c r="H115" t="s">
        <v>217</v>
      </c>
      <c r="I115" t="s">
        <v>219</v>
      </c>
      <c r="J115" s="25">
        <v>103493</v>
      </c>
      <c r="K115" s="26">
        <v>19559.990000000002</v>
      </c>
      <c r="L115" s="26">
        <v>117.82</v>
      </c>
    </row>
    <row r="116" spans="1:12" ht="16" customHeight="1">
      <c r="A116" t="s">
        <v>213</v>
      </c>
      <c r="B116" t="s">
        <v>4</v>
      </c>
      <c r="C116" t="s">
        <v>11</v>
      </c>
      <c r="D116" s="24">
        <v>45901</v>
      </c>
      <c r="E116" t="s">
        <v>220</v>
      </c>
      <c r="F116" t="s">
        <v>4</v>
      </c>
      <c r="G116" t="s">
        <v>217</v>
      </c>
      <c r="H116" t="s">
        <v>217</v>
      </c>
      <c r="I116" t="s">
        <v>221</v>
      </c>
      <c r="J116" s="25">
        <v>18191</v>
      </c>
      <c r="K116" s="26">
        <v>3370.36</v>
      </c>
      <c r="L116" s="26">
        <v>25.26</v>
      </c>
    </row>
    <row r="117" spans="1:12" ht="16" customHeight="1">
      <c r="A117" t="s">
        <v>213</v>
      </c>
      <c r="B117" t="s">
        <v>4</v>
      </c>
      <c r="C117" t="s">
        <v>11</v>
      </c>
      <c r="D117" s="24">
        <v>45901</v>
      </c>
      <c r="E117" t="s">
        <v>222</v>
      </c>
      <c r="F117" t="s">
        <v>4</v>
      </c>
      <c r="G117" t="s">
        <v>217</v>
      </c>
      <c r="H117" t="s">
        <v>217</v>
      </c>
      <c r="I117" t="s">
        <v>223</v>
      </c>
      <c r="J117" s="25">
        <v>34213</v>
      </c>
      <c r="K117" s="26">
        <v>6387.54</v>
      </c>
      <c r="L117" s="26">
        <v>98.35</v>
      </c>
    </row>
    <row r="118" spans="1:12" ht="16" customHeight="1">
      <c r="A118" t="s">
        <v>213</v>
      </c>
      <c r="B118" t="s">
        <v>4</v>
      </c>
      <c r="C118" t="s">
        <v>11</v>
      </c>
      <c r="D118" s="24">
        <v>45901</v>
      </c>
      <c r="E118" t="s">
        <v>224</v>
      </c>
      <c r="F118" t="s">
        <v>4</v>
      </c>
      <c r="G118" t="s">
        <v>217</v>
      </c>
      <c r="H118" t="s">
        <v>217</v>
      </c>
      <c r="I118" t="s">
        <v>225</v>
      </c>
      <c r="J118" s="25">
        <v>6404</v>
      </c>
      <c r="K118" s="26">
        <v>1230.33</v>
      </c>
      <c r="L118" s="26">
        <v>20.99</v>
      </c>
    </row>
    <row r="119" spans="1:12" ht="16" customHeight="1">
      <c r="A119" t="s">
        <v>213</v>
      </c>
      <c r="B119" t="s">
        <v>4</v>
      </c>
      <c r="C119" t="s">
        <v>11</v>
      </c>
      <c r="D119" s="24">
        <v>45901</v>
      </c>
      <c r="E119" t="s">
        <v>226</v>
      </c>
      <c r="F119" t="s">
        <v>4</v>
      </c>
      <c r="G119" t="s">
        <v>217</v>
      </c>
      <c r="H119" t="s">
        <v>217</v>
      </c>
      <c r="I119" t="s">
        <v>227</v>
      </c>
      <c r="J119" s="25">
        <v>60</v>
      </c>
      <c r="K119" s="26">
        <v>11.68</v>
      </c>
      <c r="L119" s="26">
        <v>0.38</v>
      </c>
    </row>
    <row r="120" spans="1:12" ht="16" customHeight="1">
      <c r="A120" t="s">
        <v>213</v>
      </c>
      <c r="B120" t="s">
        <v>4</v>
      </c>
      <c r="C120" t="s">
        <v>11</v>
      </c>
      <c r="D120" s="24">
        <v>45901</v>
      </c>
      <c r="E120" t="s">
        <v>228</v>
      </c>
      <c r="F120" t="s">
        <v>4</v>
      </c>
      <c r="G120" t="s">
        <v>217</v>
      </c>
      <c r="H120" t="s">
        <v>217</v>
      </c>
      <c r="I120" t="s">
        <v>229</v>
      </c>
      <c r="J120" s="25">
        <v>424</v>
      </c>
      <c r="K120" s="26">
        <v>85.98</v>
      </c>
      <c r="L120" s="26">
        <v>3.05</v>
      </c>
    </row>
    <row r="121" spans="1:12" ht="16" customHeight="1">
      <c r="A121" t="s">
        <v>213</v>
      </c>
      <c r="B121" t="s">
        <v>4</v>
      </c>
      <c r="C121" t="s">
        <v>11</v>
      </c>
      <c r="D121" s="24">
        <v>45901</v>
      </c>
      <c r="E121" t="s">
        <v>230</v>
      </c>
      <c r="F121" t="s">
        <v>4</v>
      </c>
      <c r="G121" t="s">
        <v>217</v>
      </c>
      <c r="H121" t="s">
        <v>217</v>
      </c>
      <c r="I121" t="s">
        <v>231</v>
      </c>
      <c r="J121" s="25">
        <v>0</v>
      </c>
      <c r="K121" s="26">
        <v>0</v>
      </c>
      <c r="L121" s="26">
        <v>0</v>
      </c>
    </row>
    <row r="122" spans="1:12" ht="16" customHeight="1">
      <c r="A122" t="s">
        <v>213</v>
      </c>
      <c r="B122" t="s">
        <v>4</v>
      </c>
      <c r="C122" t="s">
        <v>11</v>
      </c>
      <c r="D122" s="24">
        <v>45901</v>
      </c>
      <c r="E122" t="s">
        <v>232</v>
      </c>
      <c r="F122" t="s">
        <v>4</v>
      </c>
      <c r="G122" t="s">
        <v>217</v>
      </c>
      <c r="H122" t="s">
        <v>217</v>
      </c>
      <c r="I122" t="s">
        <v>233</v>
      </c>
      <c r="J122" s="25">
        <v>3</v>
      </c>
      <c r="K122" s="26">
        <v>0.56000000000000005</v>
      </c>
      <c r="L122" s="26">
        <v>0.02</v>
      </c>
    </row>
    <row r="123" spans="1:12" ht="16" customHeight="1">
      <c r="A123" t="s">
        <v>213</v>
      </c>
      <c r="B123" t="s">
        <v>4</v>
      </c>
      <c r="C123" t="s">
        <v>11</v>
      </c>
      <c r="D123" s="24">
        <v>45901</v>
      </c>
      <c r="E123" t="s">
        <v>234</v>
      </c>
      <c r="F123" t="s">
        <v>4</v>
      </c>
      <c r="G123" t="s">
        <v>217</v>
      </c>
      <c r="H123" t="s">
        <v>217</v>
      </c>
      <c r="I123" t="s">
        <v>235</v>
      </c>
      <c r="J123" s="25">
        <v>0</v>
      </c>
      <c r="K123" s="26">
        <v>0</v>
      </c>
      <c r="L123" s="26">
        <v>0</v>
      </c>
    </row>
    <row r="124" spans="1:12" ht="16" customHeight="1">
      <c r="A124" t="s">
        <v>213</v>
      </c>
      <c r="B124" t="s">
        <v>4</v>
      </c>
      <c r="C124" t="s">
        <v>11</v>
      </c>
      <c r="D124" s="24">
        <v>45901</v>
      </c>
      <c r="E124" t="s">
        <v>236</v>
      </c>
      <c r="F124" t="s">
        <v>4</v>
      </c>
      <c r="G124" t="s">
        <v>217</v>
      </c>
      <c r="H124" t="s">
        <v>217</v>
      </c>
      <c r="I124" t="s">
        <v>237</v>
      </c>
      <c r="J124" s="25">
        <v>0</v>
      </c>
      <c r="K124" s="26">
        <v>0</v>
      </c>
      <c r="L124" s="26">
        <v>0</v>
      </c>
    </row>
    <row r="125" spans="1:12" ht="16" customHeight="1">
      <c r="A125" t="s">
        <v>213</v>
      </c>
      <c r="B125" t="s">
        <v>4</v>
      </c>
      <c r="C125" t="s">
        <v>11</v>
      </c>
      <c r="D125" s="24">
        <v>45901</v>
      </c>
      <c r="E125" t="s">
        <v>238</v>
      </c>
      <c r="F125" t="s">
        <v>4</v>
      </c>
      <c r="G125" t="s">
        <v>217</v>
      </c>
      <c r="H125" t="s">
        <v>217</v>
      </c>
      <c r="I125" t="s">
        <v>239</v>
      </c>
      <c r="J125" s="25">
        <v>0</v>
      </c>
      <c r="K125" s="26">
        <v>0</v>
      </c>
      <c r="L125" s="26">
        <v>0</v>
      </c>
    </row>
    <row r="126" spans="1:12" ht="16" customHeight="1">
      <c r="A126" t="s">
        <v>213</v>
      </c>
      <c r="B126" t="s">
        <v>4</v>
      </c>
      <c r="C126" t="s">
        <v>11</v>
      </c>
      <c r="D126" s="24">
        <v>45901</v>
      </c>
      <c r="E126" t="s">
        <v>240</v>
      </c>
      <c r="F126" t="s">
        <v>3</v>
      </c>
      <c r="G126" t="s">
        <v>241</v>
      </c>
      <c r="H126" t="s">
        <v>241</v>
      </c>
      <c r="I126" t="s">
        <v>242</v>
      </c>
      <c r="J126" s="25">
        <v>0</v>
      </c>
      <c r="K126" s="26">
        <v>0</v>
      </c>
      <c r="L126" s="26">
        <v>0</v>
      </c>
    </row>
    <row r="127" spans="1:12" ht="16" customHeight="1">
      <c r="A127" t="s">
        <v>213</v>
      </c>
      <c r="B127" t="s">
        <v>4</v>
      </c>
      <c r="C127" t="s">
        <v>11</v>
      </c>
      <c r="D127" s="24">
        <v>45901</v>
      </c>
      <c r="E127" t="s">
        <v>243</v>
      </c>
      <c r="F127" t="s">
        <v>4</v>
      </c>
      <c r="G127" t="s">
        <v>217</v>
      </c>
      <c r="H127" t="s">
        <v>217</v>
      </c>
      <c r="I127" t="s">
        <v>244</v>
      </c>
      <c r="J127" s="25">
        <v>0</v>
      </c>
      <c r="K127" s="26">
        <v>0</v>
      </c>
      <c r="L127" s="26">
        <v>0</v>
      </c>
    </row>
    <row r="128" spans="1:12" ht="16" customHeight="1">
      <c r="A128" t="s">
        <v>250</v>
      </c>
      <c r="B128" t="s">
        <v>5</v>
      </c>
      <c r="C128" t="s">
        <v>11</v>
      </c>
      <c r="D128" s="24">
        <v>45901</v>
      </c>
      <c r="E128" t="s">
        <v>214</v>
      </c>
      <c r="F128" t="s">
        <v>4</v>
      </c>
      <c r="G128" t="s">
        <v>211</v>
      </c>
      <c r="H128" t="s">
        <v>211</v>
      </c>
      <c r="I128" t="s">
        <v>212</v>
      </c>
      <c r="J128" s="25">
        <v>48764604</v>
      </c>
      <c r="K128" s="26">
        <v>9166071.2300000004</v>
      </c>
      <c r="L128" s="26">
        <v>25818.75</v>
      </c>
    </row>
    <row r="129" spans="1:12" ht="16" customHeight="1">
      <c r="A129" t="s">
        <v>250</v>
      </c>
      <c r="B129" t="s">
        <v>5</v>
      </c>
      <c r="C129" t="s">
        <v>11</v>
      </c>
      <c r="D129" s="24">
        <v>45901</v>
      </c>
      <c r="E129" t="s">
        <v>215</v>
      </c>
      <c r="F129" t="s">
        <v>4</v>
      </c>
      <c r="G129" t="s">
        <v>211</v>
      </c>
      <c r="H129" t="s">
        <v>211</v>
      </c>
      <c r="I129" t="s">
        <v>212</v>
      </c>
      <c r="J129" s="25">
        <v>860660</v>
      </c>
      <c r="K129" s="26">
        <v>161764.22</v>
      </c>
      <c r="L129" s="26">
        <v>595.19000000000005</v>
      </c>
    </row>
    <row r="130" spans="1:12" ht="16" customHeight="1">
      <c r="A130" t="s">
        <v>250</v>
      </c>
      <c r="B130" t="s">
        <v>5</v>
      </c>
      <c r="C130" t="s">
        <v>11</v>
      </c>
      <c r="D130" s="24">
        <v>45901</v>
      </c>
      <c r="E130" t="s">
        <v>216</v>
      </c>
      <c r="F130" t="s">
        <v>4</v>
      </c>
      <c r="G130" t="s">
        <v>217</v>
      </c>
      <c r="H130" t="s">
        <v>217</v>
      </c>
      <c r="I130" t="s">
        <v>212</v>
      </c>
      <c r="J130" s="25">
        <v>1405153</v>
      </c>
      <c r="K130" s="26">
        <v>263566.44</v>
      </c>
      <c r="L130" s="26">
        <v>1418.82</v>
      </c>
    </row>
    <row r="131" spans="1:12" ht="16" customHeight="1">
      <c r="A131" t="s">
        <v>250</v>
      </c>
      <c r="B131" t="s">
        <v>5</v>
      </c>
      <c r="C131" t="s">
        <v>11</v>
      </c>
      <c r="D131" s="24">
        <v>45901</v>
      </c>
      <c r="E131" t="s">
        <v>246</v>
      </c>
      <c r="F131" t="s">
        <v>4</v>
      </c>
      <c r="G131" t="s">
        <v>211</v>
      </c>
      <c r="H131" t="s">
        <v>211</v>
      </c>
      <c r="I131" t="s">
        <v>219</v>
      </c>
      <c r="J131" s="25">
        <v>11846</v>
      </c>
      <c r="K131" s="26">
        <v>2252.41</v>
      </c>
      <c r="L131" s="26">
        <v>15.7</v>
      </c>
    </row>
    <row r="132" spans="1:12" ht="16" customHeight="1">
      <c r="A132" t="s">
        <v>250</v>
      </c>
      <c r="B132" t="s">
        <v>5</v>
      </c>
      <c r="C132" t="s">
        <v>11</v>
      </c>
      <c r="D132" s="24">
        <v>45901</v>
      </c>
      <c r="E132" t="s">
        <v>251</v>
      </c>
      <c r="F132" t="s">
        <v>4</v>
      </c>
      <c r="G132" t="s">
        <v>211</v>
      </c>
      <c r="H132" t="s">
        <v>211</v>
      </c>
      <c r="I132" t="s">
        <v>219</v>
      </c>
      <c r="J132" s="25">
        <v>441</v>
      </c>
      <c r="K132" s="26">
        <v>83.97</v>
      </c>
      <c r="L132" s="26">
        <v>0.82</v>
      </c>
    </row>
    <row r="133" spans="1:12" ht="16" customHeight="1">
      <c r="A133" t="s">
        <v>250</v>
      </c>
      <c r="B133" t="s">
        <v>5</v>
      </c>
      <c r="C133" t="s">
        <v>11</v>
      </c>
      <c r="D133" s="24">
        <v>45901</v>
      </c>
      <c r="E133" t="s">
        <v>218</v>
      </c>
      <c r="F133" t="s">
        <v>4</v>
      </c>
      <c r="G133" t="s">
        <v>217</v>
      </c>
      <c r="H133" t="s">
        <v>217</v>
      </c>
      <c r="I133" t="s">
        <v>219</v>
      </c>
      <c r="J133" s="25">
        <v>176317</v>
      </c>
      <c r="K133" s="26">
        <v>33067.160000000003</v>
      </c>
      <c r="L133" s="26">
        <v>242</v>
      </c>
    </row>
    <row r="134" spans="1:12" ht="16" customHeight="1">
      <c r="A134" t="s">
        <v>250</v>
      </c>
      <c r="B134" t="s">
        <v>5</v>
      </c>
      <c r="C134" t="s">
        <v>11</v>
      </c>
      <c r="D134" s="24">
        <v>45901</v>
      </c>
      <c r="E134" t="s">
        <v>220</v>
      </c>
      <c r="F134" t="s">
        <v>4</v>
      </c>
      <c r="G134" t="s">
        <v>217</v>
      </c>
      <c r="H134" t="s">
        <v>217</v>
      </c>
      <c r="I134" t="s">
        <v>221</v>
      </c>
      <c r="J134" s="25">
        <v>36969</v>
      </c>
      <c r="K134" s="26">
        <v>6975</v>
      </c>
      <c r="L134" s="26">
        <v>76.569999999999993</v>
      </c>
    </row>
    <row r="135" spans="1:12" ht="16" customHeight="1">
      <c r="A135" t="s">
        <v>250</v>
      </c>
      <c r="B135" t="s">
        <v>5</v>
      </c>
      <c r="C135" t="s">
        <v>11</v>
      </c>
      <c r="D135" s="24">
        <v>45901</v>
      </c>
      <c r="E135" t="s">
        <v>222</v>
      </c>
      <c r="F135" t="s">
        <v>4</v>
      </c>
      <c r="G135" t="s">
        <v>217</v>
      </c>
      <c r="H135" t="s">
        <v>217</v>
      </c>
      <c r="I135" t="s">
        <v>223</v>
      </c>
      <c r="J135" s="25">
        <v>63476</v>
      </c>
      <c r="K135" s="26">
        <v>12055.57</v>
      </c>
      <c r="L135" s="26">
        <v>173.68</v>
      </c>
    </row>
    <row r="136" spans="1:12" ht="16" customHeight="1">
      <c r="A136" t="s">
        <v>250</v>
      </c>
      <c r="B136" t="s">
        <v>5</v>
      </c>
      <c r="C136" t="s">
        <v>11</v>
      </c>
      <c r="D136" s="24">
        <v>45901</v>
      </c>
      <c r="E136" t="s">
        <v>224</v>
      </c>
      <c r="F136" t="s">
        <v>4</v>
      </c>
      <c r="G136" t="s">
        <v>217</v>
      </c>
      <c r="H136" t="s">
        <v>217</v>
      </c>
      <c r="I136" t="s">
        <v>225</v>
      </c>
      <c r="J136" s="25">
        <v>21994</v>
      </c>
      <c r="K136" s="26">
        <v>4215.51</v>
      </c>
      <c r="L136" s="26">
        <v>58.47</v>
      </c>
    </row>
    <row r="137" spans="1:12" ht="16" customHeight="1">
      <c r="A137" t="s">
        <v>250</v>
      </c>
      <c r="B137" t="s">
        <v>5</v>
      </c>
      <c r="C137" t="s">
        <v>11</v>
      </c>
      <c r="D137" s="24">
        <v>45901</v>
      </c>
      <c r="E137" t="s">
        <v>226</v>
      </c>
      <c r="F137" t="s">
        <v>4</v>
      </c>
      <c r="G137" t="s">
        <v>217</v>
      </c>
      <c r="H137" t="s">
        <v>217</v>
      </c>
      <c r="I137" t="s">
        <v>227</v>
      </c>
      <c r="J137" s="25">
        <v>150</v>
      </c>
      <c r="K137" s="26">
        <v>29.02</v>
      </c>
      <c r="L137" s="26">
        <v>0.88</v>
      </c>
    </row>
    <row r="138" spans="1:12" ht="16" customHeight="1">
      <c r="A138" t="s">
        <v>250</v>
      </c>
      <c r="B138" t="s">
        <v>5</v>
      </c>
      <c r="C138" t="s">
        <v>11</v>
      </c>
      <c r="D138" s="24">
        <v>45901</v>
      </c>
      <c r="E138" t="s">
        <v>228</v>
      </c>
      <c r="F138" t="s">
        <v>4</v>
      </c>
      <c r="G138" t="s">
        <v>217</v>
      </c>
      <c r="H138" t="s">
        <v>217</v>
      </c>
      <c r="I138" t="s">
        <v>229</v>
      </c>
      <c r="J138" s="25">
        <v>847</v>
      </c>
      <c r="K138" s="26">
        <v>170.79</v>
      </c>
      <c r="L138" s="26">
        <v>5.69</v>
      </c>
    </row>
    <row r="139" spans="1:12" ht="16" customHeight="1">
      <c r="A139" t="s">
        <v>250</v>
      </c>
      <c r="B139" t="s">
        <v>5</v>
      </c>
      <c r="C139" t="s">
        <v>11</v>
      </c>
      <c r="D139" s="24">
        <v>45901</v>
      </c>
      <c r="E139" t="s">
        <v>230</v>
      </c>
      <c r="F139" t="s">
        <v>4</v>
      </c>
      <c r="G139" t="s">
        <v>217</v>
      </c>
      <c r="H139" t="s">
        <v>217</v>
      </c>
      <c r="I139" t="s">
        <v>231</v>
      </c>
      <c r="J139" s="25">
        <v>0</v>
      </c>
      <c r="K139" s="26">
        <v>0</v>
      </c>
      <c r="L139" s="26">
        <v>0</v>
      </c>
    </row>
    <row r="140" spans="1:12" ht="16" customHeight="1">
      <c r="A140" t="s">
        <v>250</v>
      </c>
      <c r="B140" t="s">
        <v>5</v>
      </c>
      <c r="C140" t="s">
        <v>11</v>
      </c>
      <c r="D140" s="24">
        <v>45901</v>
      </c>
      <c r="E140" t="s">
        <v>232</v>
      </c>
      <c r="F140" t="s">
        <v>4</v>
      </c>
      <c r="G140" t="s">
        <v>217</v>
      </c>
      <c r="H140" t="s">
        <v>217</v>
      </c>
      <c r="I140" t="s">
        <v>233</v>
      </c>
      <c r="J140" s="25">
        <v>24</v>
      </c>
      <c r="K140" s="26">
        <v>4.4000000000000004</v>
      </c>
      <c r="L140" s="26">
        <v>0.14000000000000001</v>
      </c>
    </row>
    <row r="141" spans="1:12" ht="16" customHeight="1">
      <c r="A141" t="s">
        <v>250</v>
      </c>
      <c r="B141" t="s">
        <v>5</v>
      </c>
      <c r="C141" t="s">
        <v>11</v>
      </c>
      <c r="D141" s="24">
        <v>45901</v>
      </c>
      <c r="E141" t="s">
        <v>234</v>
      </c>
      <c r="F141" t="s">
        <v>4</v>
      </c>
      <c r="G141" t="s">
        <v>217</v>
      </c>
      <c r="H141" t="s">
        <v>217</v>
      </c>
      <c r="I141" t="s">
        <v>235</v>
      </c>
      <c r="J141" s="25">
        <v>0</v>
      </c>
      <c r="K141" s="26">
        <v>0</v>
      </c>
      <c r="L141" s="26">
        <v>0</v>
      </c>
    </row>
    <row r="142" spans="1:12" ht="16" customHeight="1">
      <c r="A142" t="s">
        <v>250</v>
      </c>
      <c r="B142" t="s">
        <v>5</v>
      </c>
      <c r="C142" t="s">
        <v>11</v>
      </c>
      <c r="D142" s="24">
        <v>45901</v>
      </c>
      <c r="E142" t="s">
        <v>236</v>
      </c>
      <c r="F142" t="s">
        <v>4</v>
      </c>
      <c r="G142" t="s">
        <v>217</v>
      </c>
      <c r="H142" t="s">
        <v>217</v>
      </c>
      <c r="I142" t="s">
        <v>237</v>
      </c>
      <c r="J142" s="25">
        <v>0</v>
      </c>
      <c r="K142" s="26">
        <v>0</v>
      </c>
      <c r="L142" s="26">
        <v>0</v>
      </c>
    </row>
    <row r="143" spans="1:12" ht="16" customHeight="1">
      <c r="A143" t="s">
        <v>250</v>
      </c>
      <c r="B143" t="s">
        <v>5</v>
      </c>
      <c r="C143" t="s">
        <v>11</v>
      </c>
      <c r="D143" s="24">
        <v>45901</v>
      </c>
      <c r="E143" t="s">
        <v>238</v>
      </c>
      <c r="F143" t="s">
        <v>4</v>
      </c>
      <c r="G143" t="s">
        <v>217</v>
      </c>
      <c r="H143" t="s">
        <v>217</v>
      </c>
      <c r="I143" t="s">
        <v>239</v>
      </c>
      <c r="J143" s="25">
        <v>0</v>
      </c>
      <c r="K143" s="26">
        <v>0</v>
      </c>
      <c r="L143" s="26">
        <v>0</v>
      </c>
    </row>
    <row r="144" spans="1:12" ht="16" customHeight="1">
      <c r="A144" t="s">
        <v>250</v>
      </c>
      <c r="B144" t="s">
        <v>5</v>
      </c>
      <c r="C144" t="s">
        <v>11</v>
      </c>
      <c r="D144" s="24">
        <v>45901</v>
      </c>
      <c r="E144" t="s">
        <v>240</v>
      </c>
      <c r="F144" t="s">
        <v>3</v>
      </c>
      <c r="G144" t="s">
        <v>241</v>
      </c>
      <c r="H144" t="s">
        <v>241</v>
      </c>
      <c r="I144" t="s">
        <v>242</v>
      </c>
      <c r="J144" s="25">
        <v>3</v>
      </c>
      <c r="K144" s="26">
        <v>0.53</v>
      </c>
      <c r="L144" s="26">
        <v>0.02</v>
      </c>
    </row>
    <row r="145" spans="1:12" ht="16" customHeight="1">
      <c r="A145" t="s">
        <v>250</v>
      </c>
      <c r="B145" t="s">
        <v>5</v>
      </c>
      <c r="C145" t="s">
        <v>11</v>
      </c>
      <c r="D145" s="24">
        <v>45901</v>
      </c>
      <c r="E145" t="s">
        <v>243</v>
      </c>
      <c r="F145" t="s">
        <v>4</v>
      </c>
      <c r="G145" t="s">
        <v>217</v>
      </c>
      <c r="H145" t="s">
        <v>217</v>
      </c>
      <c r="I145" t="s">
        <v>244</v>
      </c>
      <c r="J145" s="25">
        <v>0</v>
      </c>
      <c r="K145" s="26">
        <v>0</v>
      </c>
      <c r="L145" s="26">
        <v>0</v>
      </c>
    </row>
    <row r="146" spans="1:12" ht="16" customHeight="1">
      <c r="A146" t="s">
        <v>252</v>
      </c>
      <c r="B146" t="s">
        <v>6</v>
      </c>
      <c r="C146" t="s">
        <v>11</v>
      </c>
      <c r="D146" s="24">
        <v>45901</v>
      </c>
      <c r="E146" t="s">
        <v>214</v>
      </c>
      <c r="F146" t="s">
        <v>4</v>
      </c>
      <c r="G146" t="s">
        <v>211</v>
      </c>
      <c r="H146" t="s">
        <v>211</v>
      </c>
      <c r="I146" t="s">
        <v>212</v>
      </c>
      <c r="J146" s="25">
        <v>39565538</v>
      </c>
      <c r="K146" s="26">
        <v>7428784.7999999998</v>
      </c>
      <c r="L146" s="26">
        <v>16953.53</v>
      </c>
    </row>
    <row r="147" spans="1:12" ht="16" customHeight="1">
      <c r="A147" t="s">
        <v>252</v>
      </c>
      <c r="B147" t="s">
        <v>6</v>
      </c>
      <c r="C147" t="s">
        <v>11</v>
      </c>
      <c r="D147" s="24">
        <v>45901</v>
      </c>
      <c r="E147" t="s">
        <v>215</v>
      </c>
      <c r="F147" t="s">
        <v>4</v>
      </c>
      <c r="G147" t="s">
        <v>211</v>
      </c>
      <c r="H147" t="s">
        <v>211</v>
      </c>
      <c r="I147" t="s">
        <v>212</v>
      </c>
      <c r="J147" s="25">
        <v>849629</v>
      </c>
      <c r="K147" s="26">
        <v>159492.35999999999</v>
      </c>
      <c r="L147" s="26">
        <v>541.95000000000005</v>
      </c>
    </row>
    <row r="148" spans="1:12" ht="16" customHeight="1">
      <c r="A148" t="s">
        <v>252</v>
      </c>
      <c r="B148" t="s">
        <v>6</v>
      </c>
      <c r="C148" t="s">
        <v>11</v>
      </c>
      <c r="D148" s="24">
        <v>45901</v>
      </c>
      <c r="E148" t="s">
        <v>216</v>
      </c>
      <c r="F148" t="s">
        <v>4</v>
      </c>
      <c r="G148" t="s">
        <v>217</v>
      </c>
      <c r="H148" t="s">
        <v>217</v>
      </c>
      <c r="I148" t="s">
        <v>212</v>
      </c>
      <c r="J148" s="25">
        <v>799508</v>
      </c>
      <c r="K148" s="26">
        <v>149912.51999999999</v>
      </c>
      <c r="L148" s="26">
        <v>756.92</v>
      </c>
    </row>
    <row r="149" spans="1:12" ht="16" customHeight="1">
      <c r="A149" t="s">
        <v>252</v>
      </c>
      <c r="B149" t="s">
        <v>6</v>
      </c>
      <c r="C149" t="s">
        <v>11</v>
      </c>
      <c r="D149" s="24">
        <v>45901</v>
      </c>
      <c r="E149" t="s">
        <v>246</v>
      </c>
      <c r="F149" t="s">
        <v>4</v>
      </c>
      <c r="G149" t="s">
        <v>211</v>
      </c>
      <c r="H149" t="s">
        <v>211</v>
      </c>
      <c r="I149" t="s">
        <v>219</v>
      </c>
      <c r="J149" s="25">
        <v>9729</v>
      </c>
      <c r="K149" s="26">
        <v>1859.27</v>
      </c>
      <c r="L149" s="26">
        <v>9.6199999999999992</v>
      </c>
    </row>
    <row r="150" spans="1:12" ht="16" customHeight="1">
      <c r="A150" t="s">
        <v>252</v>
      </c>
      <c r="B150" t="s">
        <v>6</v>
      </c>
      <c r="C150" t="s">
        <v>11</v>
      </c>
      <c r="D150" s="24">
        <v>45901</v>
      </c>
      <c r="E150" t="s">
        <v>251</v>
      </c>
      <c r="F150" t="s">
        <v>4</v>
      </c>
      <c r="G150" t="s">
        <v>211</v>
      </c>
      <c r="H150" t="s">
        <v>211</v>
      </c>
      <c r="I150" t="s">
        <v>219</v>
      </c>
      <c r="J150" s="25">
        <v>913</v>
      </c>
      <c r="K150" s="26">
        <v>173.16</v>
      </c>
      <c r="L150" s="26">
        <v>1.81</v>
      </c>
    </row>
    <row r="151" spans="1:12" ht="16" customHeight="1">
      <c r="A151" t="s">
        <v>252</v>
      </c>
      <c r="B151" t="s">
        <v>6</v>
      </c>
      <c r="C151" t="s">
        <v>11</v>
      </c>
      <c r="D151" s="24">
        <v>45901</v>
      </c>
      <c r="E151" t="s">
        <v>218</v>
      </c>
      <c r="F151" t="s">
        <v>4</v>
      </c>
      <c r="G151" t="s">
        <v>217</v>
      </c>
      <c r="H151" t="s">
        <v>217</v>
      </c>
      <c r="I151" t="s">
        <v>219</v>
      </c>
      <c r="J151" s="25">
        <v>107810</v>
      </c>
      <c r="K151" s="26">
        <v>20300.16</v>
      </c>
      <c r="L151" s="26">
        <v>147.32</v>
      </c>
    </row>
    <row r="152" spans="1:12" ht="16" customHeight="1">
      <c r="A152" t="s">
        <v>252</v>
      </c>
      <c r="B152" t="s">
        <v>6</v>
      </c>
      <c r="C152" t="s">
        <v>11</v>
      </c>
      <c r="D152" s="24">
        <v>45901</v>
      </c>
      <c r="E152" t="s">
        <v>220</v>
      </c>
      <c r="F152" t="s">
        <v>4</v>
      </c>
      <c r="G152" t="s">
        <v>217</v>
      </c>
      <c r="H152" t="s">
        <v>217</v>
      </c>
      <c r="I152" t="s">
        <v>221</v>
      </c>
      <c r="J152" s="25">
        <v>19263</v>
      </c>
      <c r="K152" s="26">
        <v>3596.4</v>
      </c>
      <c r="L152" s="26">
        <v>34.25</v>
      </c>
    </row>
    <row r="153" spans="1:12" ht="16" customHeight="1">
      <c r="A153" t="s">
        <v>252</v>
      </c>
      <c r="B153" t="s">
        <v>6</v>
      </c>
      <c r="C153" t="s">
        <v>11</v>
      </c>
      <c r="D153" s="24">
        <v>45901</v>
      </c>
      <c r="E153" t="s">
        <v>222</v>
      </c>
      <c r="F153" t="s">
        <v>4</v>
      </c>
      <c r="G153" t="s">
        <v>217</v>
      </c>
      <c r="H153" t="s">
        <v>217</v>
      </c>
      <c r="I153" t="s">
        <v>223</v>
      </c>
      <c r="J153" s="25">
        <v>36831</v>
      </c>
      <c r="K153" s="26">
        <v>6899.51</v>
      </c>
      <c r="L153" s="26">
        <v>89.9</v>
      </c>
    </row>
    <row r="154" spans="1:12" ht="16" customHeight="1">
      <c r="A154" t="s">
        <v>252</v>
      </c>
      <c r="B154" t="s">
        <v>6</v>
      </c>
      <c r="C154" t="s">
        <v>11</v>
      </c>
      <c r="D154" s="24">
        <v>45901</v>
      </c>
      <c r="E154" t="s">
        <v>224</v>
      </c>
      <c r="F154" t="s">
        <v>4</v>
      </c>
      <c r="G154" t="s">
        <v>217</v>
      </c>
      <c r="H154" t="s">
        <v>217</v>
      </c>
      <c r="I154" t="s">
        <v>225</v>
      </c>
      <c r="J154" s="25">
        <v>9470</v>
      </c>
      <c r="K154" s="26">
        <v>1771.23</v>
      </c>
      <c r="L154" s="26">
        <v>22.44</v>
      </c>
    </row>
    <row r="155" spans="1:12" ht="16" customHeight="1">
      <c r="A155" t="s">
        <v>252</v>
      </c>
      <c r="B155" t="s">
        <v>6</v>
      </c>
      <c r="C155" t="s">
        <v>11</v>
      </c>
      <c r="D155" s="24">
        <v>45901</v>
      </c>
      <c r="E155" t="s">
        <v>226</v>
      </c>
      <c r="F155" t="s">
        <v>4</v>
      </c>
      <c r="G155" t="s">
        <v>217</v>
      </c>
      <c r="H155" t="s">
        <v>217</v>
      </c>
      <c r="I155" t="s">
        <v>227</v>
      </c>
      <c r="J155" s="25">
        <v>192</v>
      </c>
      <c r="K155" s="26">
        <v>33.36</v>
      </c>
      <c r="L155" s="26">
        <v>0.47</v>
      </c>
    </row>
    <row r="156" spans="1:12" ht="16" customHeight="1">
      <c r="A156" t="s">
        <v>252</v>
      </c>
      <c r="B156" t="s">
        <v>6</v>
      </c>
      <c r="C156" t="s">
        <v>11</v>
      </c>
      <c r="D156" s="24">
        <v>45901</v>
      </c>
      <c r="E156" t="s">
        <v>228</v>
      </c>
      <c r="F156" t="s">
        <v>4</v>
      </c>
      <c r="G156" t="s">
        <v>217</v>
      </c>
      <c r="H156" t="s">
        <v>217</v>
      </c>
      <c r="I156" t="s">
        <v>229</v>
      </c>
      <c r="J156" s="25">
        <v>892</v>
      </c>
      <c r="K156" s="26">
        <v>180.41</v>
      </c>
      <c r="L156" s="26">
        <v>5.12</v>
      </c>
    </row>
    <row r="157" spans="1:12" ht="16" customHeight="1">
      <c r="A157" t="s">
        <v>252</v>
      </c>
      <c r="B157" t="s">
        <v>6</v>
      </c>
      <c r="C157" t="s">
        <v>11</v>
      </c>
      <c r="D157" s="24">
        <v>45901</v>
      </c>
      <c r="E157" t="s">
        <v>230</v>
      </c>
      <c r="F157" t="s">
        <v>4</v>
      </c>
      <c r="G157" t="s">
        <v>217</v>
      </c>
      <c r="H157" t="s">
        <v>217</v>
      </c>
      <c r="I157" t="s">
        <v>231</v>
      </c>
      <c r="J157" s="25">
        <v>4</v>
      </c>
      <c r="K157" s="26">
        <v>0.64</v>
      </c>
      <c r="L157" s="26">
        <v>0.01</v>
      </c>
    </row>
    <row r="158" spans="1:12" ht="16" customHeight="1">
      <c r="A158" t="s">
        <v>252</v>
      </c>
      <c r="B158" t="s">
        <v>6</v>
      </c>
      <c r="C158" t="s">
        <v>11</v>
      </c>
      <c r="D158" s="24">
        <v>45901</v>
      </c>
      <c r="E158" t="s">
        <v>232</v>
      </c>
      <c r="F158" t="s">
        <v>4</v>
      </c>
      <c r="G158" t="s">
        <v>217</v>
      </c>
      <c r="H158" t="s">
        <v>217</v>
      </c>
      <c r="I158" t="s">
        <v>233</v>
      </c>
      <c r="J158" s="25">
        <v>30</v>
      </c>
      <c r="K158" s="26">
        <v>4.5</v>
      </c>
      <c r="L158" s="26">
        <v>7.0000000000000007E-2</v>
      </c>
    </row>
    <row r="159" spans="1:12" ht="16" customHeight="1">
      <c r="A159" t="s">
        <v>252</v>
      </c>
      <c r="B159" t="s">
        <v>6</v>
      </c>
      <c r="C159" t="s">
        <v>11</v>
      </c>
      <c r="D159" s="24">
        <v>45901</v>
      </c>
      <c r="E159" t="s">
        <v>234</v>
      </c>
      <c r="F159" t="s">
        <v>4</v>
      </c>
      <c r="G159" t="s">
        <v>217</v>
      </c>
      <c r="H159" t="s">
        <v>217</v>
      </c>
      <c r="I159" t="s">
        <v>235</v>
      </c>
      <c r="J159" s="25">
        <v>0</v>
      </c>
      <c r="K159" s="26">
        <v>0</v>
      </c>
      <c r="L159" s="26">
        <v>0</v>
      </c>
    </row>
    <row r="160" spans="1:12" ht="16" customHeight="1">
      <c r="A160" t="s">
        <v>252</v>
      </c>
      <c r="B160" t="s">
        <v>6</v>
      </c>
      <c r="C160" t="s">
        <v>11</v>
      </c>
      <c r="D160" s="24">
        <v>45901</v>
      </c>
      <c r="E160" t="s">
        <v>236</v>
      </c>
      <c r="F160" t="s">
        <v>4</v>
      </c>
      <c r="G160" t="s">
        <v>217</v>
      </c>
      <c r="H160" t="s">
        <v>217</v>
      </c>
      <c r="I160" t="s">
        <v>237</v>
      </c>
      <c r="J160" s="25">
        <v>3</v>
      </c>
      <c r="K160" s="26">
        <v>0.47</v>
      </c>
      <c r="L160" s="26">
        <v>0.01</v>
      </c>
    </row>
    <row r="161" spans="1:12" ht="16" customHeight="1">
      <c r="A161" t="s">
        <v>252</v>
      </c>
      <c r="B161" t="s">
        <v>6</v>
      </c>
      <c r="C161" t="s">
        <v>11</v>
      </c>
      <c r="D161" s="24">
        <v>45901</v>
      </c>
      <c r="E161" t="s">
        <v>238</v>
      </c>
      <c r="F161" t="s">
        <v>4</v>
      </c>
      <c r="G161" t="s">
        <v>217</v>
      </c>
      <c r="H161" t="s">
        <v>217</v>
      </c>
      <c r="I161" t="s">
        <v>239</v>
      </c>
      <c r="J161" s="25">
        <v>0</v>
      </c>
      <c r="K161" s="26">
        <v>0</v>
      </c>
      <c r="L161" s="26">
        <v>0</v>
      </c>
    </row>
    <row r="162" spans="1:12" ht="16" customHeight="1">
      <c r="A162" t="s">
        <v>252</v>
      </c>
      <c r="B162" t="s">
        <v>6</v>
      </c>
      <c r="C162" t="s">
        <v>11</v>
      </c>
      <c r="D162" s="24">
        <v>45901</v>
      </c>
      <c r="E162" t="s">
        <v>240</v>
      </c>
      <c r="F162" t="s">
        <v>3</v>
      </c>
      <c r="G162" t="s">
        <v>241</v>
      </c>
      <c r="H162" t="s">
        <v>241</v>
      </c>
      <c r="I162" t="s">
        <v>242</v>
      </c>
      <c r="J162" s="25">
        <v>0</v>
      </c>
      <c r="K162" s="26">
        <v>0</v>
      </c>
      <c r="L162" s="26">
        <v>0</v>
      </c>
    </row>
    <row r="163" spans="1:12" ht="16" customHeight="1">
      <c r="A163" t="s">
        <v>252</v>
      </c>
      <c r="B163" t="s">
        <v>6</v>
      </c>
      <c r="C163" t="s">
        <v>11</v>
      </c>
      <c r="D163" s="24">
        <v>45901</v>
      </c>
      <c r="E163" t="s">
        <v>243</v>
      </c>
      <c r="F163" t="s">
        <v>4</v>
      </c>
      <c r="G163" t="s">
        <v>217</v>
      </c>
      <c r="H163" t="s">
        <v>217</v>
      </c>
      <c r="I163" t="s">
        <v>244</v>
      </c>
      <c r="J163" s="25">
        <v>0</v>
      </c>
      <c r="K163" s="26">
        <v>0</v>
      </c>
      <c r="L163" s="26">
        <v>0</v>
      </c>
    </row>
    <row r="164" spans="1:12" ht="16" customHeight="1">
      <c r="A164" t="s">
        <v>253</v>
      </c>
      <c r="B164" t="s">
        <v>7</v>
      </c>
      <c r="C164" t="s">
        <v>11</v>
      </c>
      <c r="D164" s="24">
        <v>45901</v>
      </c>
      <c r="E164" t="s">
        <v>214</v>
      </c>
      <c r="F164" t="s">
        <v>4</v>
      </c>
      <c r="G164" t="s">
        <v>211</v>
      </c>
      <c r="H164" t="s">
        <v>211</v>
      </c>
      <c r="I164" t="s">
        <v>212</v>
      </c>
      <c r="J164" s="25">
        <v>63575606</v>
      </c>
      <c r="K164" s="26">
        <v>11962454.369999999</v>
      </c>
      <c r="L164" s="26">
        <v>23216.62</v>
      </c>
    </row>
    <row r="165" spans="1:12" ht="16" customHeight="1">
      <c r="A165" t="s">
        <v>253</v>
      </c>
      <c r="B165" t="s">
        <v>7</v>
      </c>
      <c r="C165" t="s">
        <v>11</v>
      </c>
      <c r="D165" s="24">
        <v>45901</v>
      </c>
      <c r="E165" t="s">
        <v>215</v>
      </c>
      <c r="F165" t="s">
        <v>4</v>
      </c>
      <c r="G165" t="s">
        <v>211</v>
      </c>
      <c r="H165" t="s">
        <v>211</v>
      </c>
      <c r="I165" t="s">
        <v>212</v>
      </c>
      <c r="J165" s="25">
        <v>1601449</v>
      </c>
      <c r="K165" s="26">
        <v>302074.48</v>
      </c>
      <c r="L165" s="26">
        <v>946.05</v>
      </c>
    </row>
    <row r="166" spans="1:12" ht="16" customHeight="1">
      <c r="A166" t="s">
        <v>253</v>
      </c>
      <c r="B166" t="s">
        <v>7</v>
      </c>
      <c r="C166" t="s">
        <v>11</v>
      </c>
      <c r="D166" s="24">
        <v>45901</v>
      </c>
      <c r="E166" t="s">
        <v>216</v>
      </c>
      <c r="F166" t="s">
        <v>4</v>
      </c>
      <c r="G166" t="s">
        <v>217</v>
      </c>
      <c r="H166" t="s">
        <v>217</v>
      </c>
      <c r="I166" t="s">
        <v>212</v>
      </c>
      <c r="J166" s="25">
        <v>1308003</v>
      </c>
      <c r="K166" s="26">
        <v>246027.31</v>
      </c>
      <c r="L166" s="26">
        <v>1174.4100000000001</v>
      </c>
    </row>
    <row r="167" spans="1:12" ht="16" customHeight="1">
      <c r="A167" t="s">
        <v>253</v>
      </c>
      <c r="B167" t="s">
        <v>7</v>
      </c>
      <c r="C167" t="s">
        <v>11</v>
      </c>
      <c r="D167" s="24">
        <v>45901</v>
      </c>
      <c r="E167" t="s">
        <v>246</v>
      </c>
      <c r="F167" t="s">
        <v>4</v>
      </c>
      <c r="G167" t="s">
        <v>211</v>
      </c>
      <c r="H167" t="s">
        <v>211</v>
      </c>
      <c r="I167" t="s">
        <v>219</v>
      </c>
      <c r="J167" s="25">
        <v>14879</v>
      </c>
      <c r="K167" s="26">
        <v>2832.9</v>
      </c>
      <c r="L167" s="26">
        <v>14.59</v>
      </c>
    </row>
    <row r="168" spans="1:12" ht="16" customHeight="1">
      <c r="A168" t="s">
        <v>253</v>
      </c>
      <c r="B168" t="s">
        <v>7</v>
      </c>
      <c r="C168" t="s">
        <v>11</v>
      </c>
      <c r="D168" s="24">
        <v>45901</v>
      </c>
      <c r="E168" t="s">
        <v>251</v>
      </c>
      <c r="F168" t="s">
        <v>4</v>
      </c>
      <c r="G168" t="s">
        <v>211</v>
      </c>
      <c r="H168" t="s">
        <v>211</v>
      </c>
      <c r="I168" t="s">
        <v>219</v>
      </c>
      <c r="J168" s="25">
        <v>1097</v>
      </c>
      <c r="K168" s="26">
        <v>209.53</v>
      </c>
      <c r="L168" s="26">
        <v>1.79</v>
      </c>
    </row>
    <row r="169" spans="1:12" ht="16" customHeight="1">
      <c r="A169" t="s">
        <v>253</v>
      </c>
      <c r="B169" t="s">
        <v>7</v>
      </c>
      <c r="C169" t="s">
        <v>11</v>
      </c>
      <c r="D169" s="24">
        <v>45901</v>
      </c>
      <c r="E169" t="s">
        <v>218</v>
      </c>
      <c r="F169" t="s">
        <v>4</v>
      </c>
      <c r="G169" t="s">
        <v>217</v>
      </c>
      <c r="H169" t="s">
        <v>217</v>
      </c>
      <c r="I169" t="s">
        <v>219</v>
      </c>
      <c r="J169" s="25">
        <v>203404</v>
      </c>
      <c r="K169" s="26">
        <v>38254.160000000003</v>
      </c>
      <c r="L169" s="26">
        <v>249.72</v>
      </c>
    </row>
    <row r="170" spans="1:12" ht="16" customHeight="1">
      <c r="A170" t="s">
        <v>253</v>
      </c>
      <c r="B170" t="s">
        <v>7</v>
      </c>
      <c r="C170" t="s">
        <v>11</v>
      </c>
      <c r="D170" s="24">
        <v>45901</v>
      </c>
      <c r="E170" t="s">
        <v>220</v>
      </c>
      <c r="F170" t="s">
        <v>4</v>
      </c>
      <c r="G170" t="s">
        <v>217</v>
      </c>
      <c r="H170" t="s">
        <v>217</v>
      </c>
      <c r="I170" t="s">
        <v>221</v>
      </c>
      <c r="J170" s="25">
        <v>42937</v>
      </c>
      <c r="K170" s="26">
        <v>8138.47</v>
      </c>
      <c r="L170" s="26">
        <v>81.86</v>
      </c>
    </row>
    <row r="171" spans="1:12" ht="16" customHeight="1">
      <c r="A171" t="s">
        <v>253</v>
      </c>
      <c r="B171" t="s">
        <v>7</v>
      </c>
      <c r="C171" t="s">
        <v>11</v>
      </c>
      <c r="D171" s="24">
        <v>45901</v>
      </c>
      <c r="E171" t="s">
        <v>222</v>
      </c>
      <c r="F171" t="s">
        <v>4</v>
      </c>
      <c r="G171" t="s">
        <v>217</v>
      </c>
      <c r="H171" t="s">
        <v>217</v>
      </c>
      <c r="I171" t="s">
        <v>223</v>
      </c>
      <c r="J171" s="25">
        <v>49135</v>
      </c>
      <c r="K171" s="26">
        <v>9252.56</v>
      </c>
      <c r="L171" s="26">
        <v>133.36000000000001</v>
      </c>
    </row>
    <row r="172" spans="1:12" ht="16" customHeight="1">
      <c r="A172" t="s">
        <v>253</v>
      </c>
      <c r="B172" t="s">
        <v>7</v>
      </c>
      <c r="C172" t="s">
        <v>11</v>
      </c>
      <c r="D172" s="24">
        <v>45901</v>
      </c>
      <c r="E172" t="s">
        <v>224</v>
      </c>
      <c r="F172" t="s">
        <v>4</v>
      </c>
      <c r="G172" t="s">
        <v>217</v>
      </c>
      <c r="H172" t="s">
        <v>217</v>
      </c>
      <c r="I172" t="s">
        <v>225</v>
      </c>
      <c r="J172" s="25">
        <v>15010</v>
      </c>
      <c r="K172" s="26">
        <v>2885.98</v>
      </c>
      <c r="L172" s="26">
        <v>40.57</v>
      </c>
    </row>
    <row r="173" spans="1:12" ht="16" customHeight="1">
      <c r="A173" t="s">
        <v>253</v>
      </c>
      <c r="B173" t="s">
        <v>7</v>
      </c>
      <c r="C173" t="s">
        <v>11</v>
      </c>
      <c r="D173" s="24">
        <v>45901</v>
      </c>
      <c r="E173" t="s">
        <v>226</v>
      </c>
      <c r="F173" t="s">
        <v>4</v>
      </c>
      <c r="G173" t="s">
        <v>217</v>
      </c>
      <c r="H173" t="s">
        <v>217</v>
      </c>
      <c r="I173" t="s">
        <v>227</v>
      </c>
      <c r="J173" s="25">
        <v>371</v>
      </c>
      <c r="K173" s="26">
        <v>68.790000000000006</v>
      </c>
      <c r="L173" s="26">
        <v>1.28</v>
      </c>
    </row>
    <row r="174" spans="1:12" ht="16" customHeight="1">
      <c r="A174" t="s">
        <v>253</v>
      </c>
      <c r="B174" t="s">
        <v>7</v>
      </c>
      <c r="C174" t="s">
        <v>11</v>
      </c>
      <c r="D174" s="24">
        <v>45901</v>
      </c>
      <c r="E174" t="s">
        <v>228</v>
      </c>
      <c r="F174" t="s">
        <v>4</v>
      </c>
      <c r="G174" t="s">
        <v>217</v>
      </c>
      <c r="H174" t="s">
        <v>217</v>
      </c>
      <c r="I174" t="s">
        <v>229</v>
      </c>
      <c r="J174" s="25">
        <v>1083</v>
      </c>
      <c r="K174" s="26">
        <v>220.52</v>
      </c>
      <c r="L174" s="26">
        <v>6.95</v>
      </c>
    </row>
    <row r="175" spans="1:12" ht="16" customHeight="1">
      <c r="A175" t="s">
        <v>253</v>
      </c>
      <c r="B175" t="s">
        <v>7</v>
      </c>
      <c r="C175" t="s">
        <v>11</v>
      </c>
      <c r="D175" s="24">
        <v>45901</v>
      </c>
      <c r="E175" t="s">
        <v>230</v>
      </c>
      <c r="F175" t="s">
        <v>4</v>
      </c>
      <c r="G175" t="s">
        <v>217</v>
      </c>
      <c r="H175" t="s">
        <v>217</v>
      </c>
      <c r="I175" t="s">
        <v>231</v>
      </c>
      <c r="J175" s="25">
        <v>0</v>
      </c>
      <c r="K175" s="26">
        <v>0</v>
      </c>
      <c r="L175" s="26">
        <v>0</v>
      </c>
    </row>
    <row r="176" spans="1:12" ht="16" customHeight="1">
      <c r="A176" t="s">
        <v>253</v>
      </c>
      <c r="B176" t="s">
        <v>7</v>
      </c>
      <c r="C176" t="s">
        <v>11</v>
      </c>
      <c r="D176" s="24">
        <v>45901</v>
      </c>
      <c r="E176" t="s">
        <v>232</v>
      </c>
      <c r="F176" t="s">
        <v>4</v>
      </c>
      <c r="G176" t="s">
        <v>217</v>
      </c>
      <c r="H176" t="s">
        <v>217</v>
      </c>
      <c r="I176" t="s">
        <v>233</v>
      </c>
      <c r="J176" s="25">
        <v>12</v>
      </c>
      <c r="K176" s="26">
        <v>2.3199999999999998</v>
      </c>
      <c r="L176" s="26">
        <v>0.09</v>
      </c>
    </row>
    <row r="177" spans="1:12" ht="16" customHeight="1">
      <c r="A177" t="s">
        <v>253</v>
      </c>
      <c r="B177" t="s">
        <v>7</v>
      </c>
      <c r="C177" t="s">
        <v>11</v>
      </c>
      <c r="D177" s="24">
        <v>45901</v>
      </c>
      <c r="E177" t="s">
        <v>234</v>
      </c>
      <c r="F177" t="s">
        <v>4</v>
      </c>
      <c r="G177" t="s">
        <v>217</v>
      </c>
      <c r="H177" t="s">
        <v>217</v>
      </c>
      <c r="I177" t="s">
        <v>235</v>
      </c>
      <c r="J177" s="25">
        <v>0</v>
      </c>
      <c r="K177" s="26">
        <v>0</v>
      </c>
      <c r="L177" s="26">
        <v>0</v>
      </c>
    </row>
    <row r="178" spans="1:12" ht="16" customHeight="1">
      <c r="A178" t="s">
        <v>253</v>
      </c>
      <c r="B178" t="s">
        <v>7</v>
      </c>
      <c r="C178" t="s">
        <v>11</v>
      </c>
      <c r="D178" s="24">
        <v>45901</v>
      </c>
      <c r="E178" t="s">
        <v>236</v>
      </c>
      <c r="F178" t="s">
        <v>4</v>
      </c>
      <c r="G178" t="s">
        <v>217</v>
      </c>
      <c r="H178" t="s">
        <v>217</v>
      </c>
      <c r="I178" t="s">
        <v>237</v>
      </c>
      <c r="J178" s="25">
        <v>1</v>
      </c>
      <c r="K178" s="26">
        <v>0.2</v>
      </c>
      <c r="L178" s="26">
        <v>0.01</v>
      </c>
    </row>
    <row r="179" spans="1:12" ht="16" customHeight="1">
      <c r="A179" t="s">
        <v>253</v>
      </c>
      <c r="B179" t="s">
        <v>7</v>
      </c>
      <c r="C179" t="s">
        <v>11</v>
      </c>
      <c r="D179" s="24">
        <v>45901</v>
      </c>
      <c r="E179" t="s">
        <v>238</v>
      </c>
      <c r="F179" t="s">
        <v>4</v>
      </c>
      <c r="G179" t="s">
        <v>217</v>
      </c>
      <c r="H179" t="s">
        <v>217</v>
      </c>
      <c r="I179" t="s">
        <v>239</v>
      </c>
      <c r="J179" s="25">
        <v>0</v>
      </c>
      <c r="K179" s="26">
        <v>0</v>
      </c>
      <c r="L179" s="26">
        <v>0</v>
      </c>
    </row>
    <row r="180" spans="1:12" ht="16" customHeight="1">
      <c r="A180" t="s">
        <v>253</v>
      </c>
      <c r="B180" t="s">
        <v>7</v>
      </c>
      <c r="C180" t="s">
        <v>11</v>
      </c>
      <c r="D180" s="24">
        <v>45901</v>
      </c>
      <c r="E180" t="s">
        <v>240</v>
      </c>
      <c r="F180" t="s">
        <v>3</v>
      </c>
      <c r="G180" t="s">
        <v>241</v>
      </c>
      <c r="H180" t="s">
        <v>241</v>
      </c>
      <c r="I180" t="s">
        <v>242</v>
      </c>
      <c r="J180" s="25">
        <v>0</v>
      </c>
      <c r="K180" s="26">
        <v>0</v>
      </c>
      <c r="L180" s="26">
        <v>0</v>
      </c>
    </row>
    <row r="181" spans="1:12" ht="16" customHeight="1">
      <c r="A181" t="s">
        <v>253</v>
      </c>
      <c r="B181" t="s">
        <v>7</v>
      </c>
      <c r="C181" t="s">
        <v>11</v>
      </c>
      <c r="D181" s="24">
        <v>45901</v>
      </c>
      <c r="E181" t="s">
        <v>243</v>
      </c>
      <c r="F181" t="s">
        <v>4</v>
      </c>
      <c r="G181" t="s">
        <v>217</v>
      </c>
      <c r="H181" t="s">
        <v>217</v>
      </c>
      <c r="I181" t="s">
        <v>244</v>
      </c>
      <c r="J181" s="25">
        <v>0</v>
      </c>
      <c r="K181" s="26">
        <v>0</v>
      </c>
      <c r="L181" s="26">
        <v>0</v>
      </c>
    </row>
    <row r="182" spans="1:12" ht="16" customHeight="1">
      <c r="A182" t="s">
        <v>254</v>
      </c>
      <c r="B182" t="s">
        <v>3</v>
      </c>
      <c r="C182" t="s">
        <v>12</v>
      </c>
      <c r="D182" s="24">
        <v>45901</v>
      </c>
      <c r="E182" t="s">
        <v>214</v>
      </c>
      <c r="F182" t="s">
        <v>4</v>
      </c>
      <c r="G182" t="s">
        <v>211</v>
      </c>
      <c r="H182" t="s">
        <v>211</v>
      </c>
      <c r="I182" t="s">
        <v>212</v>
      </c>
      <c r="J182" s="25">
        <v>86803783</v>
      </c>
      <c r="K182" s="26">
        <v>16346230.57</v>
      </c>
      <c r="L182" s="26">
        <v>23949.94</v>
      </c>
    </row>
    <row r="183" spans="1:12" ht="16" customHeight="1">
      <c r="A183" t="s">
        <v>254</v>
      </c>
      <c r="B183" t="s">
        <v>3</v>
      </c>
      <c r="C183" t="s">
        <v>12</v>
      </c>
      <c r="D183" s="24">
        <v>45901</v>
      </c>
      <c r="E183" t="s">
        <v>215</v>
      </c>
      <c r="F183" t="s">
        <v>4</v>
      </c>
      <c r="G183" t="s">
        <v>211</v>
      </c>
      <c r="H183" t="s">
        <v>211</v>
      </c>
      <c r="I183" t="s">
        <v>212</v>
      </c>
      <c r="J183" s="25">
        <v>3165579</v>
      </c>
      <c r="K183" s="26">
        <v>597031.22</v>
      </c>
      <c r="L183" s="26">
        <v>1486.7</v>
      </c>
    </row>
    <row r="184" spans="1:12" ht="16" customHeight="1">
      <c r="A184" t="s">
        <v>254</v>
      </c>
      <c r="B184" t="s">
        <v>3</v>
      </c>
      <c r="C184" t="s">
        <v>12</v>
      </c>
      <c r="D184" s="24">
        <v>45901</v>
      </c>
      <c r="E184" t="s">
        <v>216</v>
      </c>
      <c r="F184" t="s">
        <v>4</v>
      </c>
      <c r="G184" t="s">
        <v>217</v>
      </c>
      <c r="H184" t="s">
        <v>217</v>
      </c>
      <c r="I184" t="s">
        <v>212</v>
      </c>
      <c r="J184" s="25">
        <v>952976</v>
      </c>
      <c r="K184" s="26">
        <v>179158.52</v>
      </c>
      <c r="L184" s="26">
        <v>797.65</v>
      </c>
    </row>
    <row r="185" spans="1:12" ht="16" customHeight="1">
      <c r="A185" t="s">
        <v>254</v>
      </c>
      <c r="B185" t="s">
        <v>3</v>
      </c>
      <c r="C185" t="s">
        <v>12</v>
      </c>
      <c r="D185" s="24">
        <v>45901</v>
      </c>
      <c r="E185" t="s">
        <v>246</v>
      </c>
      <c r="F185" t="s">
        <v>4</v>
      </c>
      <c r="G185" t="s">
        <v>211</v>
      </c>
      <c r="H185" t="s">
        <v>211</v>
      </c>
      <c r="I185" t="s">
        <v>219</v>
      </c>
      <c r="J185" s="25">
        <v>12129</v>
      </c>
      <c r="K185" s="26">
        <v>2307.54</v>
      </c>
      <c r="L185" s="26">
        <v>11.11</v>
      </c>
    </row>
    <row r="186" spans="1:12" ht="16" customHeight="1">
      <c r="A186" t="s">
        <v>254</v>
      </c>
      <c r="B186" t="s">
        <v>3</v>
      </c>
      <c r="C186" t="s">
        <v>12</v>
      </c>
      <c r="D186" s="24">
        <v>45901</v>
      </c>
      <c r="E186" t="s">
        <v>251</v>
      </c>
      <c r="F186" t="s">
        <v>4</v>
      </c>
      <c r="G186" t="s">
        <v>211</v>
      </c>
      <c r="H186" t="s">
        <v>211</v>
      </c>
      <c r="I186" t="s">
        <v>219</v>
      </c>
      <c r="J186" s="25">
        <v>1131</v>
      </c>
      <c r="K186" s="26">
        <v>216.13</v>
      </c>
      <c r="L186" s="26">
        <v>1.64</v>
      </c>
    </row>
    <row r="187" spans="1:12" ht="16" customHeight="1">
      <c r="A187" t="s">
        <v>254</v>
      </c>
      <c r="B187" t="s">
        <v>3</v>
      </c>
      <c r="C187" t="s">
        <v>12</v>
      </c>
      <c r="D187" s="24">
        <v>45901</v>
      </c>
      <c r="E187" t="s">
        <v>218</v>
      </c>
      <c r="F187" t="s">
        <v>4</v>
      </c>
      <c r="G187" t="s">
        <v>217</v>
      </c>
      <c r="H187" t="s">
        <v>217</v>
      </c>
      <c r="I187" t="s">
        <v>219</v>
      </c>
      <c r="J187" s="25">
        <v>141320</v>
      </c>
      <c r="K187" s="26">
        <v>26747.4</v>
      </c>
      <c r="L187" s="26">
        <v>186.97</v>
      </c>
    </row>
    <row r="188" spans="1:12" ht="16" customHeight="1">
      <c r="A188" t="s">
        <v>254</v>
      </c>
      <c r="B188" t="s">
        <v>3</v>
      </c>
      <c r="C188" t="s">
        <v>12</v>
      </c>
      <c r="D188" s="24">
        <v>45901</v>
      </c>
      <c r="E188" t="s">
        <v>220</v>
      </c>
      <c r="F188" t="s">
        <v>4</v>
      </c>
      <c r="G188" t="s">
        <v>217</v>
      </c>
      <c r="H188" t="s">
        <v>217</v>
      </c>
      <c r="I188" t="s">
        <v>221</v>
      </c>
      <c r="J188" s="25">
        <v>23786</v>
      </c>
      <c r="K188" s="26">
        <v>4483.6499999999996</v>
      </c>
      <c r="L188" s="26">
        <v>44.65</v>
      </c>
    </row>
    <row r="189" spans="1:12" ht="16" customHeight="1">
      <c r="A189" t="s">
        <v>254</v>
      </c>
      <c r="B189" t="s">
        <v>3</v>
      </c>
      <c r="C189" t="s">
        <v>12</v>
      </c>
      <c r="D189" s="24">
        <v>45901</v>
      </c>
      <c r="E189" t="s">
        <v>222</v>
      </c>
      <c r="F189" t="s">
        <v>4</v>
      </c>
      <c r="G189" t="s">
        <v>217</v>
      </c>
      <c r="H189" t="s">
        <v>217</v>
      </c>
      <c r="I189" t="s">
        <v>223</v>
      </c>
      <c r="J189" s="25">
        <v>32834</v>
      </c>
      <c r="K189" s="26">
        <v>6190.01</v>
      </c>
      <c r="L189" s="26">
        <v>91.98</v>
      </c>
    </row>
    <row r="190" spans="1:12" ht="16" customHeight="1">
      <c r="A190" t="s">
        <v>254</v>
      </c>
      <c r="B190" t="s">
        <v>3</v>
      </c>
      <c r="C190" t="s">
        <v>12</v>
      </c>
      <c r="D190" s="24">
        <v>45901</v>
      </c>
      <c r="E190" t="s">
        <v>224</v>
      </c>
      <c r="F190" t="s">
        <v>4</v>
      </c>
      <c r="G190" t="s">
        <v>217</v>
      </c>
      <c r="H190" t="s">
        <v>217</v>
      </c>
      <c r="I190" t="s">
        <v>225</v>
      </c>
      <c r="J190" s="25">
        <v>10002</v>
      </c>
      <c r="K190" s="26">
        <v>1971.54</v>
      </c>
      <c r="L190" s="26">
        <v>32.049999999999997</v>
      </c>
    </row>
    <row r="191" spans="1:12" ht="16" customHeight="1">
      <c r="A191" t="s">
        <v>254</v>
      </c>
      <c r="B191" t="s">
        <v>3</v>
      </c>
      <c r="C191" t="s">
        <v>12</v>
      </c>
      <c r="D191" s="24">
        <v>45901</v>
      </c>
      <c r="E191" t="s">
        <v>226</v>
      </c>
      <c r="F191" t="s">
        <v>4</v>
      </c>
      <c r="G191" t="s">
        <v>217</v>
      </c>
      <c r="H191" t="s">
        <v>217</v>
      </c>
      <c r="I191" t="s">
        <v>227</v>
      </c>
      <c r="J191" s="25">
        <v>253</v>
      </c>
      <c r="K191" s="26">
        <v>47.9</v>
      </c>
      <c r="L191" s="26">
        <v>1.03</v>
      </c>
    </row>
    <row r="192" spans="1:12" ht="16" customHeight="1">
      <c r="A192" t="s">
        <v>254</v>
      </c>
      <c r="B192" t="s">
        <v>3</v>
      </c>
      <c r="C192" t="s">
        <v>12</v>
      </c>
      <c r="D192" s="24">
        <v>45901</v>
      </c>
      <c r="E192" t="s">
        <v>228</v>
      </c>
      <c r="F192" t="s">
        <v>4</v>
      </c>
      <c r="G192" t="s">
        <v>217</v>
      </c>
      <c r="H192" t="s">
        <v>217</v>
      </c>
      <c r="I192" t="s">
        <v>229</v>
      </c>
      <c r="J192" s="25">
        <v>916</v>
      </c>
      <c r="K192" s="26">
        <v>182.58</v>
      </c>
      <c r="L192" s="26">
        <v>5.57</v>
      </c>
    </row>
    <row r="193" spans="1:12" ht="16" customHeight="1">
      <c r="A193" t="s">
        <v>254</v>
      </c>
      <c r="B193" t="s">
        <v>3</v>
      </c>
      <c r="C193" t="s">
        <v>12</v>
      </c>
      <c r="D193" s="24">
        <v>45901</v>
      </c>
      <c r="E193" t="s">
        <v>230</v>
      </c>
      <c r="F193" t="s">
        <v>4</v>
      </c>
      <c r="G193" t="s">
        <v>217</v>
      </c>
      <c r="H193" t="s">
        <v>217</v>
      </c>
      <c r="I193" t="s">
        <v>231</v>
      </c>
      <c r="J193" s="25">
        <v>0</v>
      </c>
      <c r="K193" s="26">
        <v>0</v>
      </c>
      <c r="L193" s="26">
        <v>0</v>
      </c>
    </row>
    <row r="194" spans="1:12" ht="16" customHeight="1">
      <c r="A194" t="s">
        <v>254</v>
      </c>
      <c r="B194" t="s">
        <v>3</v>
      </c>
      <c r="C194" t="s">
        <v>12</v>
      </c>
      <c r="D194" s="24">
        <v>45901</v>
      </c>
      <c r="E194" t="s">
        <v>232</v>
      </c>
      <c r="F194" t="s">
        <v>4</v>
      </c>
      <c r="G194" t="s">
        <v>217</v>
      </c>
      <c r="H194" t="s">
        <v>217</v>
      </c>
      <c r="I194" t="s">
        <v>233</v>
      </c>
      <c r="J194" s="25">
        <v>3</v>
      </c>
      <c r="K194" s="26">
        <v>0.57999999999999996</v>
      </c>
      <c r="L194" s="26">
        <v>0.02</v>
      </c>
    </row>
    <row r="195" spans="1:12" ht="16" customHeight="1">
      <c r="A195" t="s">
        <v>254</v>
      </c>
      <c r="B195" t="s">
        <v>3</v>
      </c>
      <c r="C195" t="s">
        <v>12</v>
      </c>
      <c r="D195" s="24">
        <v>45901</v>
      </c>
      <c r="E195" t="s">
        <v>234</v>
      </c>
      <c r="F195" t="s">
        <v>4</v>
      </c>
      <c r="G195" t="s">
        <v>217</v>
      </c>
      <c r="H195" t="s">
        <v>217</v>
      </c>
      <c r="I195" t="s">
        <v>235</v>
      </c>
      <c r="J195" s="25">
        <v>0</v>
      </c>
      <c r="K195" s="26">
        <v>0</v>
      </c>
      <c r="L195" s="26">
        <v>0</v>
      </c>
    </row>
    <row r="196" spans="1:12" ht="16" customHeight="1">
      <c r="A196" t="s">
        <v>254</v>
      </c>
      <c r="B196" t="s">
        <v>3</v>
      </c>
      <c r="C196" t="s">
        <v>12</v>
      </c>
      <c r="D196" s="24">
        <v>45901</v>
      </c>
      <c r="E196" t="s">
        <v>236</v>
      </c>
      <c r="F196" t="s">
        <v>4</v>
      </c>
      <c r="G196" t="s">
        <v>217</v>
      </c>
      <c r="H196" t="s">
        <v>217</v>
      </c>
      <c r="I196" t="s">
        <v>237</v>
      </c>
      <c r="J196" s="25">
        <v>1</v>
      </c>
      <c r="K196" s="26">
        <v>0.2</v>
      </c>
      <c r="L196" s="26">
        <v>0.01</v>
      </c>
    </row>
    <row r="197" spans="1:12" ht="16" customHeight="1">
      <c r="A197" t="s">
        <v>254</v>
      </c>
      <c r="B197" t="s">
        <v>3</v>
      </c>
      <c r="C197" t="s">
        <v>12</v>
      </c>
      <c r="D197" s="24">
        <v>45901</v>
      </c>
      <c r="E197" t="s">
        <v>238</v>
      </c>
      <c r="F197" t="s">
        <v>4</v>
      </c>
      <c r="G197" t="s">
        <v>217</v>
      </c>
      <c r="H197" t="s">
        <v>217</v>
      </c>
      <c r="I197" t="s">
        <v>239</v>
      </c>
      <c r="J197" s="25">
        <v>0</v>
      </c>
      <c r="K197" s="26">
        <v>0</v>
      </c>
      <c r="L197" s="26">
        <v>0</v>
      </c>
    </row>
    <row r="198" spans="1:12" ht="16" customHeight="1">
      <c r="A198" t="s">
        <v>254</v>
      </c>
      <c r="B198" t="s">
        <v>3</v>
      </c>
      <c r="C198" t="s">
        <v>12</v>
      </c>
      <c r="D198" s="24">
        <v>45901</v>
      </c>
      <c r="E198" t="s">
        <v>240</v>
      </c>
      <c r="F198" t="s">
        <v>3</v>
      </c>
      <c r="G198" t="s">
        <v>241</v>
      </c>
      <c r="H198" t="s">
        <v>241</v>
      </c>
      <c r="I198" t="s">
        <v>242</v>
      </c>
      <c r="J198" s="25">
        <v>0</v>
      </c>
      <c r="K198" s="26">
        <v>0</v>
      </c>
      <c r="L198" s="26">
        <v>0</v>
      </c>
    </row>
    <row r="199" spans="1:12" ht="16" customHeight="1">
      <c r="A199" t="s">
        <v>254</v>
      </c>
      <c r="B199" t="s">
        <v>3</v>
      </c>
      <c r="C199" t="s">
        <v>12</v>
      </c>
      <c r="D199" s="24">
        <v>45901</v>
      </c>
      <c r="E199" t="s">
        <v>243</v>
      </c>
      <c r="F199" t="s">
        <v>4</v>
      </c>
      <c r="G199" t="s">
        <v>217</v>
      </c>
      <c r="H199" t="s">
        <v>217</v>
      </c>
      <c r="I199" t="s">
        <v>244</v>
      </c>
      <c r="J199" s="25">
        <v>0</v>
      </c>
      <c r="K199" s="26">
        <v>0</v>
      </c>
      <c r="L199" s="26">
        <v>0</v>
      </c>
    </row>
    <row r="200" spans="1:12" ht="16" customHeight="1">
      <c r="A200" t="s">
        <v>214</v>
      </c>
      <c r="B200" t="s">
        <v>4</v>
      </c>
      <c r="C200" t="s">
        <v>12</v>
      </c>
      <c r="D200" s="24">
        <v>45901</v>
      </c>
      <c r="E200" t="s">
        <v>214</v>
      </c>
      <c r="F200" t="s">
        <v>4</v>
      </c>
      <c r="G200" t="s">
        <v>211</v>
      </c>
      <c r="H200" t="s">
        <v>211</v>
      </c>
      <c r="I200" t="s">
        <v>212</v>
      </c>
      <c r="J200" s="25">
        <v>233518289</v>
      </c>
      <c r="K200" s="26">
        <v>44068875.969999999</v>
      </c>
      <c r="L200" s="26">
        <v>34516.35</v>
      </c>
    </row>
    <row r="201" spans="1:12" ht="16" customHeight="1">
      <c r="A201" t="s">
        <v>214</v>
      </c>
      <c r="B201" t="s">
        <v>4</v>
      </c>
      <c r="C201" t="s">
        <v>12</v>
      </c>
      <c r="D201" s="24">
        <v>45901</v>
      </c>
      <c r="E201" t="s">
        <v>215</v>
      </c>
      <c r="F201" t="s">
        <v>4</v>
      </c>
      <c r="G201" t="s">
        <v>211</v>
      </c>
      <c r="H201" t="s">
        <v>211</v>
      </c>
      <c r="I201" t="s">
        <v>212</v>
      </c>
      <c r="J201" s="25">
        <v>8233050</v>
      </c>
      <c r="K201" s="26">
        <v>1553473.91</v>
      </c>
      <c r="L201" s="26">
        <v>4227.8100000000004</v>
      </c>
    </row>
    <row r="202" spans="1:12" ht="16" customHeight="1">
      <c r="A202" t="s">
        <v>214</v>
      </c>
      <c r="B202" t="s">
        <v>4</v>
      </c>
      <c r="C202" t="s">
        <v>12</v>
      </c>
      <c r="D202" s="24">
        <v>45901</v>
      </c>
      <c r="E202" t="s">
        <v>216</v>
      </c>
      <c r="F202" t="s">
        <v>4</v>
      </c>
      <c r="G202" t="s">
        <v>217</v>
      </c>
      <c r="H202" t="s">
        <v>217</v>
      </c>
      <c r="I202" t="s">
        <v>212</v>
      </c>
      <c r="J202" s="25">
        <v>1784357</v>
      </c>
      <c r="K202" s="26">
        <v>337158.97</v>
      </c>
      <c r="L202" s="26">
        <v>1533.68</v>
      </c>
    </row>
    <row r="203" spans="1:12" ht="16" customHeight="1">
      <c r="A203" t="s">
        <v>214</v>
      </c>
      <c r="B203" t="s">
        <v>4</v>
      </c>
      <c r="C203" t="s">
        <v>12</v>
      </c>
      <c r="D203" s="24">
        <v>45901</v>
      </c>
      <c r="E203" t="s">
        <v>246</v>
      </c>
      <c r="F203" t="s">
        <v>4</v>
      </c>
      <c r="G203" t="s">
        <v>211</v>
      </c>
      <c r="H203" t="s">
        <v>211</v>
      </c>
      <c r="I203" t="s">
        <v>219</v>
      </c>
      <c r="J203" s="25">
        <v>30608</v>
      </c>
      <c r="K203" s="26">
        <v>5806.46</v>
      </c>
      <c r="L203" s="26">
        <v>28.96</v>
      </c>
    </row>
    <row r="204" spans="1:12" ht="16" customHeight="1">
      <c r="A204" t="s">
        <v>214</v>
      </c>
      <c r="B204" t="s">
        <v>4</v>
      </c>
      <c r="C204" t="s">
        <v>12</v>
      </c>
      <c r="D204" s="24">
        <v>45901</v>
      </c>
      <c r="E204" t="s">
        <v>251</v>
      </c>
      <c r="F204" t="s">
        <v>4</v>
      </c>
      <c r="G204" t="s">
        <v>211</v>
      </c>
      <c r="H204" t="s">
        <v>211</v>
      </c>
      <c r="I204" t="s">
        <v>219</v>
      </c>
      <c r="J204" s="25">
        <v>4362</v>
      </c>
      <c r="K204" s="26">
        <v>830.53</v>
      </c>
      <c r="L204" s="26">
        <v>6.31</v>
      </c>
    </row>
    <row r="205" spans="1:12" ht="16" customHeight="1">
      <c r="A205" t="s">
        <v>214</v>
      </c>
      <c r="B205" t="s">
        <v>4</v>
      </c>
      <c r="C205" t="s">
        <v>12</v>
      </c>
      <c r="D205" s="24">
        <v>45901</v>
      </c>
      <c r="E205" t="s">
        <v>218</v>
      </c>
      <c r="F205" t="s">
        <v>4</v>
      </c>
      <c r="G205" t="s">
        <v>217</v>
      </c>
      <c r="H205" t="s">
        <v>217</v>
      </c>
      <c r="I205" t="s">
        <v>219</v>
      </c>
      <c r="J205" s="25">
        <v>232397</v>
      </c>
      <c r="K205" s="26">
        <v>43889.71</v>
      </c>
      <c r="L205" s="26">
        <v>320.37</v>
      </c>
    </row>
    <row r="206" spans="1:12" ht="16" customHeight="1">
      <c r="A206" t="s">
        <v>214</v>
      </c>
      <c r="B206" t="s">
        <v>4</v>
      </c>
      <c r="C206" t="s">
        <v>12</v>
      </c>
      <c r="D206" s="24">
        <v>45901</v>
      </c>
      <c r="E206" t="s">
        <v>220</v>
      </c>
      <c r="F206" t="s">
        <v>4</v>
      </c>
      <c r="G206" t="s">
        <v>217</v>
      </c>
      <c r="H206" t="s">
        <v>217</v>
      </c>
      <c r="I206" t="s">
        <v>221</v>
      </c>
      <c r="J206" s="25">
        <v>39790</v>
      </c>
      <c r="K206" s="26">
        <v>7455.69</v>
      </c>
      <c r="L206" s="26">
        <v>65.14</v>
      </c>
    </row>
    <row r="207" spans="1:12" ht="16" customHeight="1">
      <c r="A207" t="s">
        <v>214</v>
      </c>
      <c r="B207" t="s">
        <v>4</v>
      </c>
      <c r="C207" t="s">
        <v>12</v>
      </c>
      <c r="D207" s="24">
        <v>45901</v>
      </c>
      <c r="E207" t="s">
        <v>222</v>
      </c>
      <c r="F207" t="s">
        <v>4</v>
      </c>
      <c r="G207" t="s">
        <v>217</v>
      </c>
      <c r="H207" t="s">
        <v>217</v>
      </c>
      <c r="I207" t="s">
        <v>223</v>
      </c>
      <c r="J207" s="25">
        <v>58754</v>
      </c>
      <c r="K207" s="26">
        <v>11063.12</v>
      </c>
      <c r="L207" s="26">
        <v>156.27000000000001</v>
      </c>
    </row>
    <row r="208" spans="1:12" ht="16" customHeight="1">
      <c r="A208" t="s">
        <v>214</v>
      </c>
      <c r="B208" t="s">
        <v>4</v>
      </c>
      <c r="C208" t="s">
        <v>12</v>
      </c>
      <c r="D208" s="24">
        <v>45901</v>
      </c>
      <c r="E208" t="s">
        <v>224</v>
      </c>
      <c r="F208" t="s">
        <v>4</v>
      </c>
      <c r="G208" t="s">
        <v>217</v>
      </c>
      <c r="H208" t="s">
        <v>217</v>
      </c>
      <c r="I208" t="s">
        <v>225</v>
      </c>
      <c r="J208" s="25">
        <v>11081</v>
      </c>
      <c r="K208" s="26">
        <v>2159.35</v>
      </c>
      <c r="L208" s="26">
        <v>42.29</v>
      </c>
    </row>
    <row r="209" spans="1:12" ht="16" customHeight="1">
      <c r="A209" t="s">
        <v>214</v>
      </c>
      <c r="B209" t="s">
        <v>4</v>
      </c>
      <c r="C209" t="s">
        <v>12</v>
      </c>
      <c r="D209" s="24">
        <v>45901</v>
      </c>
      <c r="E209" t="s">
        <v>226</v>
      </c>
      <c r="F209" t="s">
        <v>4</v>
      </c>
      <c r="G209" t="s">
        <v>217</v>
      </c>
      <c r="H209" t="s">
        <v>217</v>
      </c>
      <c r="I209" t="s">
        <v>227</v>
      </c>
      <c r="J209" s="25">
        <v>370</v>
      </c>
      <c r="K209" s="26">
        <v>71.98</v>
      </c>
      <c r="L209" s="26">
        <v>1.36</v>
      </c>
    </row>
    <row r="210" spans="1:12" ht="16" customHeight="1">
      <c r="A210" t="s">
        <v>214</v>
      </c>
      <c r="B210" t="s">
        <v>4</v>
      </c>
      <c r="C210" t="s">
        <v>12</v>
      </c>
      <c r="D210" s="24">
        <v>45901</v>
      </c>
      <c r="E210" t="s">
        <v>228</v>
      </c>
      <c r="F210" t="s">
        <v>4</v>
      </c>
      <c r="G210" t="s">
        <v>217</v>
      </c>
      <c r="H210" t="s">
        <v>217</v>
      </c>
      <c r="I210" t="s">
        <v>229</v>
      </c>
      <c r="J210" s="25">
        <v>1653</v>
      </c>
      <c r="K210" s="26">
        <v>330.63</v>
      </c>
      <c r="L210" s="26">
        <v>11.68</v>
      </c>
    </row>
    <row r="211" spans="1:12" ht="16" customHeight="1">
      <c r="A211" t="s">
        <v>214</v>
      </c>
      <c r="B211" t="s">
        <v>4</v>
      </c>
      <c r="C211" t="s">
        <v>12</v>
      </c>
      <c r="D211" s="24">
        <v>45901</v>
      </c>
      <c r="E211" t="s">
        <v>230</v>
      </c>
      <c r="F211" t="s">
        <v>4</v>
      </c>
      <c r="G211" t="s">
        <v>217</v>
      </c>
      <c r="H211" t="s">
        <v>217</v>
      </c>
      <c r="I211" t="s">
        <v>231</v>
      </c>
      <c r="J211" s="25">
        <v>0</v>
      </c>
      <c r="K211" s="26">
        <v>0</v>
      </c>
      <c r="L211" s="26">
        <v>0</v>
      </c>
    </row>
    <row r="212" spans="1:12" ht="16" customHeight="1">
      <c r="A212" t="s">
        <v>214</v>
      </c>
      <c r="B212" t="s">
        <v>4</v>
      </c>
      <c r="C212" t="s">
        <v>12</v>
      </c>
      <c r="D212" s="24">
        <v>45901</v>
      </c>
      <c r="E212" t="s">
        <v>232</v>
      </c>
      <c r="F212" t="s">
        <v>4</v>
      </c>
      <c r="G212" t="s">
        <v>217</v>
      </c>
      <c r="H212" t="s">
        <v>217</v>
      </c>
      <c r="I212" t="s">
        <v>233</v>
      </c>
      <c r="J212" s="25">
        <v>6</v>
      </c>
      <c r="K212" s="26">
        <v>1.2</v>
      </c>
      <c r="L212" s="26">
        <v>0.05</v>
      </c>
    </row>
    <row r="213" spans="1:12" ht="16" customHeight="1">
      <c r="A213" t="s">
        <v>214</v>
      </c>
      <c r="B213" t="s">
        <v>4</v>
      </c>
      <c r="C213" t="s">
        <v>12</v>
      </c>
      <c r="D213" s="24">
        <v>45901</v>
      </c>
      <c r="E213" t="s">
        <v>234</v>
      </c>
      <c r="F213" t="s">
        <v>4</v>
      </c>
      <c r="G213" t="s">
        <v>217</v>
      </c>
      <c r="H213" t="s">
        <v>217</v>
      </c>
      <c r="I213" t="s">
        <v>235</v>
      </c>
      <c r="J213" s="25">
        <v>0</v>
      </c>
      <c r="K213" s="26">
        <v>0</v>
      </c>
      <c r="L213" s="26">
        <v>0</v>
      </c>
    </row>
    <row r="214" spans="1:12" ht="16" customHeight="1">
      <c r="A214" t="s">
        <v>214</v>
      </c>
      <c r="B214" t="s">
        <v>4</v>
      </c>
      <c r="C214" t="s">
        <v>12</v>
      </c>
      <c r="D214" s="24">
        <v>45901</v>
      </c>
      <c r="E214" t="s">
        <v>236</v>
      </c>
      <c r="F214" t="s">
        <v>4</v>
      </c>
      <c r="G214" t="s">
        <v>217</v>
      </c>
      <c r="H214" t="s">
        <v>217</v>
      </c>
      <c r="I214" t="s">
        <v>237</v>
      </c>
      <c r="J214" s="25">
        <v>106</v>
      </c>
      <c r="K214" s="26">
        <v>25.83</v>
      </c>
      <c r="L214" s="26">
        <v>1.98</v>
      </c>
    </row>
    <row r="215" spans="1:12" ht="16" customHeight="1">
      <c r="A215" t="s">
        <v>214</v>
      </c>
      <c r="B215" t="s">
        <v>4</v>
      </c>
      <c r="C215" t="s">
        <v>12</v>
      </c>
      <c r="D215" s="24">
        <v>45901</v>
      </c>
      <c r="E215" t="s">
        <v>238</v>
      </c>
      <c r="F215" t="s">
        <v>4</v>
      </c>
      <c r="G215" t="s">
        <v>217</v>
      </c>
      <c r="H215" t="s">
        <v>217</v>
      </c>
      <c r="I215" t="s">
        <v>239</v>
      </c>
      <c r="J215" s="25">
        <v>0</v>
      </c>
      <c r="K215" s="26">
        <v>0</v>
      </c>
      <c r="L215" s="26">
        <v>0</v>
      </c>
    </row>
    <row r="216" spans="1:12" ht="16" customHeight="1">
      <c r="A216" t="s">
        <v>214</v>
      </c>
      <c r="B216" t="s">
        <v>4</v>
      </c>
      <c r="C216" t="s">
        <v>12</v>
      </c>
      <c r="D216" s="24">
        <v>45901</v>
      </c>
      <c r="E216" t="s">
        <v>240</v>
      </c>
      <c r="F216" t="s">
        <v>3</v>
      </c>
      <c r="G216" t="s">
        <v>241</v>
      </c>
      <c r="H216" t="s">
        <v>241</v>
      </c>
      <c r="I216" t="s">
        <v>242</v>
      </c>
      <c r="J216" s="25">
        <v>0</v>
      </c>
      <c r="K216" s="26">
        <v>0</v>
      </c>
      <c r="L216" s="26">
        <v>0</v>
      </c>
    </row>
    <row r="217" spans="1:12" ht="16" customHeight="1">
      <c r="A217" t="s">
        <v>214</v>
      </c>
      <c r="B217" t="s">
        <v>4</v>
      </c>
      <c r="C217" t="s">
        <v>12</v>
      </c>
      <c r="D217" s="24">
        <v>45901</v>
      </c>
      <c r="E217" t="s">
        <v>243</v>
      </c>
      <c r="F217" t="s">
        <v>4</v>
      </c>
      <c r="G217" t="s">
        <v>217</v>
      </c>
      <c r="H217" t="s">
        <v>217</v>
      </c>
      <c r="I217" t="s">
        <v>244</v>
      </c>
      <c r="J217" s="25">
        <v>0</v>
      </c>
      <c r="K217" s="26">
        <v>0</v>
      </c>
      <c r="L217" s="26">
        <v>0</v>
      </c>
    </row>
    <row r="218" spans="1:12" ht="16" customHeight="1">
      <c r="A218" t="s">
        <v>255</v>
      </c>
      <c r="B218" t="s">
        <v>5</v>
      </c>
      <c r="C218" t="s">
        <v>12</v>
      </c>
      <c r="D218" s="24">
        <v>45901</v>
      </c>
      <c r="E218" t="s">
        <v>215</v>
      </c>
      <c r="F218" t="s">
        <v>4</v>
      </c>
      <c r="G218" t="s">
        <v>211</v>
      </c>
      <c r="H218" t="s">
        <v>211</v>
      </c>
      <c r="I218" t="s">
        <v>212</v>
      </c>
      <c r="J218" s="25">
        <v>38570402</v>
      </c>
      <c r="K218" s="26">
        <v>7337460.46</v>
      </c>
      <c r="L218" s="26">
        <v>19411.46</v>
      </c>
    </row>
    <row r="219" spans="1:12" ht="16" customHeight="1">
      <c r="A219" t="s">
        <v>255</v>
      </c>
      <c r="B219" t="s">
        <v>5</v>
      </c>
      <c r="C219" t="s">
        <v>12</v>
      </c>
      <c r="D219" s="24">
        <v>45901</v>
      </c>
      <c r="E219" t="s">
        <v>216</v>
      </c>
      <c r="F219" t="s">
        <v>4</v>
      </c>
      <c r="G219" t="s">
        <v>217</v>
      </c>
      <c r="H219" t="s">
        <v>217</v>
      </c>
      <c r="I219" t="s">
        <v>212</v>
      </c>
      <c r="J219" s="25">
        <v>2322510</v>
      </c>
      <c r="K219" s="26">
        <v>440967.21</v>
      </c>
      <c r="L219" s="26">
        <v>1718.42</v>
      </c>
    </row>
    <row r="220" spans="1:12" ht="16" customHeight="1">
      <c r="A220" t="s">
        <v>255</v>
      </c>
      <c r="B220" t="s">
        <v>5</v>
      </c>
      <c r="C220" t="s">
        <v>12</v>
      </c>
      <c r="D220" s="24">
        <v>45901</v>
      </c>
      <c r="E220" t="s">
        <v>246</v>
      </c>
      <c r="F220" t="s">
        <v>4</v>
      </c>
      <c r="G220" t="s">
        <v>211</v>
      </c>
      <c r="H220" t="s">
        <v>211</v>
      </c>
      <c r="I220" t="s">
        <v>219</v>
      </c>
      <c r="J220" s="25">
        <v>70322</v>
      </c>
      <c r="K220" s="26">
        <v>13473.71</v>
      </c>
      <c r="L220" s="26">
        <v>58.91</v>
      </c>
    </row>
    <row r="221" spans="1:12" ht="16" customHeight="1">
      <c r="A221" t="s">
        <v>255</v>
      </c>
      <c r="B221" t="s">
        <v>5</v>
      </c>
      <c r="C221" t="s">
        <v>12</v>
      </c>
      <c r="D221" s="24">
        <v>45901</v>
      </c>
      <c r="E221" t="s">
        <v>251</v>
      </c>
      <c r="F221" t="s">
        <v>4</v>
      </c>
      <c r="G221" t="s">
        <v>211</v>
      </c>
      <c r="H221" t="s">
        <v>211</v>
      </c>
      <c r="I221" t="s">
        <v>219</v>
      </c>
      <c r="J221" s="25">
        <v>6116</v>
      </c>
      <c r="K221" s="26">
        <v>1173.54</v>
      </c>
      <c r="L221" s="26">
        <v>7.61</v>
      </c>
    </row>
    <row r="222" spans="1:12" ht="16" customHeight="1">
      <c r="A222" t="s">
        <v>255</v>
      </c>
      <c r="B222" t="s">
        <v>5</v>
      </c>
      <c r="C222" t="s">
        <v>12</v>
      </c>
      <c r="D222" s="24">
        <v>45901</v>
      </c>
      <c r="E222" t="s">
        <v>256</v>
      </c>
      <c r="F222" t="s">
        <v>3</v>
      </c>
      <c r="G222" t="s">
        <v>241</v>
      </c>
      <c r="H222" t="s">
        <v>241</v>
      </c>
      <c r="I222" t="s">
        <v>219</v>
      </c>
      <c r="J222" s="25">
        <v>119</v>
      </c>
      <c r="K222" s="26">
        <v>23.06</v>
      </c>
      <c r="L222" s="26">
        <v>0.33</v>
      </c>
    </row>
    <row r="223" spans="1:12" ht="16" customHeight="1">
      <c r="A223" t="s">
        <v>255</v>
      </c>
      <c r="B223" t="s">
        <v>5</v>
      </c>
      <c r="C223" t="s">
        <v>12</v>
      </c>
      <c r="D223" s="24">
        <v>45901</v>
      </c>
      <c r="E223" t="s">
        <v>218</v>
      </c>
      <c r="F223" t="s">
        <v>4</v>
      </c>
      <c r="G223" t="s">
        <v>217</v>
      </c>
      <c r="H223" t="s">
        <v>217</v>
      </c>
      <c r="I223" t="s">
        <v>219</v>
      </c>
      <c r="J223" s="25">
        <v>328795</v>
      </c>
      <c r="K223" s="26">
        <v>62396.33</v>
      </c>
      <c r="L223" s="26">
        <v>411.52</v>
      </c>
    </row>
    <row r="224" spans="1:12" ht="16" customHeight="1">
      <c r="A224" t="s">
        <v>255</v>
      </c>
      <c r="B224" t="s">
        <v>5</v>
      </c>
      <c r="C224" t="s">
        <v>12</v>
      </c>
      <c r="D224" s="24">
        <v>45901</v>
      </c>
      <c r="E224" t="s">
        <v>220</v>
      </c>
      <c r="F224" t="s">
        <v>4</v>
      </c>
      <c r="G224" t="s">
        <v>217</v>
      </c>
      <c r="H224" t="s">
        <v>217</v>
      </c>
      <c r="I224" t="s">
        <v>221</v>
      </c>
      <c r="J224" s="25">
        <v>50854</v>
      </c>
      <c r="K224" s="26">
        <v>9629.27</v>
      </c>
      <c r="L224" s="26">
        <v>94.73</v>
      </c>
    </row>
    <row r="225" spans="1:12" ht="16" customHeight="1">
      <c r="A225" t="s">
        <v>255</v>
      </c>
      <c r="B225" t="s">
        <v>5</v>
      </c>
      <c r="C225" t="s">
        <v>12</v>
      </c>
      <c r="D225" s="24">
        <v>45901</v>
      </c>
      <c r="E225" t="s">
        <v>222</v>
      </c>
      <c r="F225" t="s">
        <v>4</v>
      </c>
      <c r="G225" t="s">
        <v>217</v>
      </c>
      <c r="H225" t="s">
        <v>217</v>
      </c>
      <c r="I225" t="s">
        <v>223</v>
      </c>
      <c r="J225" s="25">
        <v>69100</v>
      </c>
      <c r="K225" s="26">
        <v>13148.64</v>
      </c>
      <c r="L225" s="26">
        <v>179.47</v>
      </c>
    </row>
    <row r="226" spans="1:12" ht="16" customHeight="1">
      <c r="A226" t="s">
        <v>255</v>
      </c>
      <c r="B226" t="s">
        <v>5</v>
      </c>
      <c r="C226" t="s">
        <v>12</v>
      </c>
      <c r="D226" s="24">
        <v>45901</v>
      </c>
      <c r="E226" t="s">
        <v>224</v>
      </c>
      <c r="F226" t="s">
        <v>4</v>
      </c>
      <c r="G226" t="s">
        <v>217</v>
      </c>
      <c r="H226" t="s">
        <v>217</v>
      </c>
      <c r="I226" t="s">
        <v>225</v>
      </c>
      <c r="J226" s="25">
        <v>15640</v>
      </c>
      <c r="K226" s="26">
        <v>3014.42</v>
      </c>
      <c r="L226" s="26">
        <v>59.35</v>
      </c>
    </row>
    <row r="227" spans="1:12" ht="16" customHeight="1">
      <c r="A227" t="s">
        <v>255</v>
      </c>
      <c r="B227" t="s">
        <v>5</v>
      </c>
      <c r="C227" t="s">
        <v>12</v>
      </c>
      <c r="D227" s="24">
        <v>45901</v>
      </c>
      <c r="E227" t="s">
        <v>226</v>
      </c>
      <c r="F227" t="s">
        <v>4</v>
      </c>
      <c r="G227" t="s">
        <v>217</v>
      </c>
      <c r="H227" t="s">
        <v>217</v>
      </c>
      <c r="I227" t="s">
        <v>227</v>
      </c>
      <c r="J227" s="25">
        <v>292</v>
      </c>
      <c r="K227" s="26">
        <v>55.23</v>
      </c>
      <c r="L227" s="26">
        <v>1.37</v>
      </c>
    </row>
    <row r="228" spans="1:12" ht="16" customHeight="1">
      <c r="A228" t="s">
        <v>255</v>
      </c>
      <c r="B228" t="s">
        <v>5</v>
      </c>
      <c r="C228" t="s">
        <v>12</v>
      </c>
      <c r="D228" s="24">
        <v>45901</v>
      </c>
      <c r="E228" t="s">
        <v>228</v>
      </c>
      <c r="F228" t="s">
        <v>4</v>
      </c>
      <c r="G228" t="s">
        <v>217</v>
      </c>
      <c r="H228" t="s">
        <v>217</v>
      </c>
      <c r="I228" t="s">
        <v>229</v>
      </c>
      <c r="J228" s="25">
        <v>1364</v>
      </c>
      <c r="K228" s="26">
        <v>270.16000000000003</v>
      </c>
      <c r="L228" s="26">
        <v>8.74</v>
      </c>
    </row>
    <row r="229" spans="1:12" ht="16" customHeight="1">
      <c r="A229" t="s">
        <v>255</v>
      </c>
      <c r="B229" t="s">
        <v>5</v>
      </c>
      <c r="C229" t="s">
        <v>12</v>
      </c>
      <c r="D229" s="24">
        <v>45901</v>
      </c>
      <c r="E229" t="s">
        <v>230</v>
      </c>
      <c r="F229" t="s">
        <v>4</v>
      </c>
      <c r="G229" t="s">
        <v>217</v>
      </c>
      <c r="H229" t="s">
        <v>217</v>
      </c>
      <c r="I229" t="s">
        <v>231</v>
      </c>
      <c r="J229" s="25">
        <v>0</v>
      </c>
      <c r="K229" s="26">
        <v>0</v>
      </c>
      <c r="L229" s="26">
        <v>0</v>
      </c>
    </row>
    <row r="230" spans="1:12" ht="16" customHeight="1">
      <c r="A230" t="s">
        <v>255</v>
      </c>
      <c r="B230" t="s">
        <v>5</v>
      </c>
      <c r="C230" t="s">
        <v>12</v>
      </c>
      <c r="D230" s="24">
        <v>45901</v>
      </c>
      <c r="E230" t="s">
        <v>232</v>
      </c>
      <c r="F230" t="s">
        <v>4</v>
      </c>
      <c r="G230" t="s">
        <v>217</v>
      </c>
      <c r="H230" t="s">
        <v>217</v>
      </c>
      <c r="I230" t="s">
        <v>233</v>
      </c>
      <c r="J230" s="25">
        <v>11</v>
      </c>
      <c r="K230" s="26">
        <v>2.15</v>
      </c>
      <c r="L230" s="26">
        <v>0.08</v>
      </c>
    </row>
    <row r="231" spans="1:12" ht="16" customHeight="1">
      <c r="A231" t="s">
        <v>255</v>
      </c>
      <c r="B231" t="s">
        <v>5</v>
      </c>
      <c r="C231" t="s">
        <v>12</v>
      </c>
      <c r="D231" s="24">
        <v>45901</v>
      </c>
      <c r="E231" t="s">
        <v>234</v>
      </c>
      <c r="F231" t="s">
        <v>4</v>
      </c>
      <c r="G231" t="s">
        <v>217</v>
      </c>
      <c r="H231" t="s">
        <v>217</v>
      </c>
      <c r="I231" t="s">
        <v>235</v>
      </c>
      <c r="J231" s="25">
        <v>0</v>
      </c>
      <c r="K231" s="26">
        <v>0</v>
      </c>
      <c r="L231" s="26">
        <v>0</v>
      </c>
    </row>
    <row r="232" spans="1:12" ht="16" customHeight="1">
      <c r="A232" t="s">
        <v>255</v>
      </c>
      <c r="B232" t="s">
        <v>5</v>
      </c>
      <c r="C232" t="s">
        <v>12</v>
      </c>
      <c r="D232" s="24">
        <v>45901</v>
      </c>
      <c r="E232" t="s">
        <v>236</v>
      </c>
      <c r="F232" t="s">
        <v>4</v>
      </c>
      <c r="G232" t="s">
        <v>217</v>
      </c>
      <c r="H232" t="s">
        <v>217</v>
      </c>
      <c r="I232" t="s">
        <v>237</v>
      </c>
      <c r="J232" s="25">
        <v>213</v>
      </c>
      <c r="K232" s="26">
        <v>51.94</v>
      </c>
      <c r="L232" s="26">
        <v>4.05</v>
      </c>
    </row>
    <row r="233" spans="1:12" ht="16" customHeight="1">
      <c r="A233" t="s">
        <v>255</v>
      </c>
      <c r="B233" t="s">
        <v>5</v>
      </c>
      <c r="C233" t="s">
        <v>12</v>
      </c>
      <c r="D233" s="24">
        <v>45901</v>
      </c>
      <c r="E233" t="s">
        <v>238</v>
      </c>
      <c r="F233" t="s">
        <v>4</v>
      </c>
      <c r="G233" t="s">
        <v>217</v>
      </c>
      <c r="H233" t="s">
        <v>217</v>
      </c>
      <c r="I233" t="s">
        <v>239</v>
      </c>
      <c r="J233" s="25">
        <v>0</v>
      </c>
      <c r="K233" s="26">
        <v>0</v>
      </c>
      <c r="L233" s="26">
        <v>0</v>
      </c>
    </row>
    <row r="234" spans="1:12" ht="16" customHeight="1">
      <c r="A234" t="s">
        <v>255</v>
      </c>
      <c r="B234" t="s">
        <v>5</v>
      </c>
      <c r="C234" t="s">
        <v>12</v>
      </c>
      <c r="D234" s="24">
        <v>45901</v>
      </c>
      <c r="E234" t="s">
        <v>240</v>
      </c>
      <c r="F234" t="s">
        <v>3</v>
      </c>
      <c r="G234" t="s">
        <v>241</v>
      </c>
      <c r="H234" t="s">
        <v>241</v>
      </c>
      <c r="I234" t="s">
        <v>242</v>
      </c>
      <c r="J234" s="25">
        <v>0</v>
      </c>
      <c r="K234" s="26">
        <v>0</v>
      </c>
      <c r="L234" s="26">
        <v>0</v>
      </c>
    </row>
    <row r="235" spans="1:12" ht="16" customHeight="1">
      <c r="A235" t="s">
        <v>255</v>
      </c>
      <c r="B235" t="s">
        <v>5</v>
      </c>
      <c r="C235" t="s">
        <v>12</v>
      </c>
      <c r="D235" s="24">
        <v>45901</v>
      </c>
      <c r="E235" t="s">
        <v>243</v>
      </c>
      <c r="F235" t="s">
        <v>4</v>
      </c>
      <c r="G235" t="s">
        <v>217</v>
      </c>
      <c r="H235" t="s">
        <v>217</v>
      </c>
      <c r="I235" t="s">
        <v>244</v>
      </c>
      <c r="J235" s="25">
        <v>0</v>
      </c>
      <c r="K235" s="26">
        <v>0</v>
      </c>
      <c r="L235" s="26">
        <v>0</v>
      </c>
    </row>
    <row r="236" spans="1:12" ht="16" customHeight="1">
      <c r="A236" t="s">
        <v>257</v>
      </c>
      <c r="B236" t="s">
        <v>6</v>
      </c>
      <c r="C236" t="s">
        <v>12</v>
      </c>
      <c r="D236" s="24">
        <v>45901</v>
      </c>
      <c r="E236" t="s">
        <v>215</v>
      </c>
      <c r="F236" t="s">
        <v>4</v>
      </c>
      <c r="G236" t="s">
        <v>211</v>
      </c>
      <c r="H236" t="s">
        <v>211</v>
      </c>
      <c r="I236" t="s">
        <v>212</v>
      </c>
      <c r="J236" s="25">
        <v>48837235</v>
      </c>
      <c r="K236" s="26">
        <v>9302657.0199999996</v>
      </c>
      <c r="L236" s="26">
        <v>18870.64</v>
      </c>
    </row>
    <row r="237" spans="1:12" ht="16" customHeight="1">
      <c r="A237" t="s">
        <v>257</v>
      </c>
      <c r="B237" t="s">
        <v>6</v>
      </c>
      <c r="C237" t="s">
        <v>12</v>
      </c>
      <c r="D237" s="24">
        <v>45901</v>
      </c>
      <c r="E237" t="s">
        <v>216</v>
      </c>
      <c r="F237" t="s">
        <v>4</v>
      </c>
      <c r="G237" t="s">
        <v>217</v>
      </c>
      <c r="H237" t="s">
        <v>217</v>
      </c>
      <c r="I237" t="s">
        <v>212</v>
      </c>
      <c r="J237" s="25">
        <v>2866624</v>
      </c>
      <c r="K237" s="26">
        <v>545723.57999999996</v>
      </c>
      <c r="L237" s="26">
        <v>1917.03</v>
      </c>
    </row>
    <row r="238" spans="1:12" ht="16" customHeight="1">
      <c r="A238" t="s">
        <v>257</v>
      </c>
      <c r="B238" t="s">
        <v>6</v>
      </c>
      <c r="C238" t="s">
        <v>12</v>
      </c>
      <c r="D238" s="24">
        <v>45901</v>
      </c>
      <c r="E238" t="s">
        <v>246</v>
      </c>
      <c r="F238" t="s">
        <v>4</v>
      </c>
      <c r="G238" t="s">
        <v>211</v>
      </c>
      <c r="H238" t="s">
        <v>211</v>
      </c>
      <c r="I238" t="s">
        <v>219</v>
      </c>
      <c r="J238" s="25">
        <v>88457</v>
      </c>
      <c r="K238" s="26">
        <v>16929.150000000001</v>
      </c>
      <c r="L238" s="26">
        <v>75.73</v>
      </c>
    </row>
    <row r="239" spans="1:12" ht="16" customHeight="1">
      <c r="A239" t="s">
        <v>257</v>
      </c>
      <c r="B239" t="s">
        <v>6</v>
      </c>
      <c r="C239" t="s">
        <v>12</v>
      </c>
      <c r="D239" s="24">
        <v>45901</v>
      </c>
      <c r="E239" t="s">
        <v>251</v>
      </c>
      <c r="F239" t="s">
        <v>4</v>
      </c>
      <c r="G239" t="s">
        <v>211</v>
      </c>
      <c r="H239" t="s">
        <v>211</v>
      </c>
      <c r="I239" t="s">
        <v>219</v>
      </c>
      <c r="J239" s="25">
        <v>7676</v>
      </c>
      <c r="K239" s="26">
        <v>1461.9</v>
      </c>
      <c r="L239" s="26">
        <v>7.99</v>
      </c>
    </row>
    <row r="240" spans="1:12" ht="16" customHeight="1">
      <c r="A240" t="s">
        <v>257</v>
      </c>
      <c r="B240" t="s">
        <v>6</v>
      </c>
      <c r="C240" t="s">
        <v>12</v>
      </c>
      <c r="D240" s="24">
        <v>45901</v>
      </c>
      <c r="E240" t="s">
        <v>256</v>
      </c>
      <c r="F240" t="s">
        <v>3</v>
      </c>
      <c r="G240" t="s">
        <v>241</v>
      </c>
      <c r="H240" t="s">
        <v>241</v>
      </c>
      <c r="I240" t="s">
        <v>219</v>
      </c>
      <c r="J240" s="25">
        <v>494</v>
      </c>
      <c r="K240" s="26">
        <v>95.21</v>
      </c>
      <c r="L240" s="26">
        <v>0.78</v>
      </c>
    </row>
    <row r="241" spans="1:12" ht="16" customHeight="1">
      <c r="A241" t="s">
        <v>257</v>
      </c>
      <c r="B241" t="s">
        <v>6</v>
      </c>
      <c r="C241" t="s">
        <v>12</v>
      </c>
      <c r="D241" s="24">
        <v>45901</v>
      </c>
      <c r="E241" t="s">
        <v>218</v>
      </c>
      <c r="F241" t="s">
        <v>4</v>
      </c>
      <c r="G241" t="s">
        <v>217</v>
      </c>
      <c r="H241" t="s">
        <v>217</v>
      </c>
      <c r="I241" t="s">
        <v>219</v>
      </c>
      <c r="J241" s="25">
        <v>308709</v>
      </c>
      <c r="K241" s="26">
        <v>58978.54</v>
      </c>
      <c r="L241" s="26">
        <v>410.4</v>
      </c>
    </row>
    <row r="242" spans="1:12" ht="16" customHeight="1">
      <c r="A242" t="s">
        <v>257</v>
      </c>
      <c r="B242" t="s">
        <v>6</v>
      </c>
      <c r="C242" t="s">
        <v>12</v>
      </c>
      <c r="D242" s="24">
        <v>45901</v>
      </c>
      <c r="E242" t="s">
        <v>220</v>
      </c>
      <c r="F242" t="s">
        <v>4</v>
      </c>
      <c r="G242" t="s">
        <v>217</v>
      </c>
      <c r="H242" t="s">
        <v>217</v>
      </c>
      <c r="I242" t="s">
        <v>221</v>
      </c>
      <c r="J242" s="25">
        <v>59149</v>
      </c>
      <c r="K242" s="26">
        <v>11252.04</v>
      </c>
      <c r="L242" s="26">
        <v>98.32</v>
      </c>
    </row>
    <row r="243" spans="1:12" ht="16" customHeight="1">
      <c r="A243" t="s">
        <v>257</v>
      </c>
      <c r="B243" t="s">
        <v>6</v>
      </c>
      <c r="C243" t="s">
        <v>12</v>
      </c>
      <c r="D243" s="24">
        <v>45901</v>
      </c>
      <c r="E243" t="s">
        <v>222</v>
      </c>
      <c r="F243" t="s">
        <v>4</v>
      </c>
      <c r="G243" t="s">
        <v>217</v>
      </c>
      <c r="H243" t="s">
        <v>217</v>
      </c>
      <c r="I243" t="s">
        <v>223</v>
      </c>
      <c r="J243" s="25">
        <v>55098</v>
      </c>
      <c r="K243" s="26">
        <v>10532.17</v>
      </c>
      <c r="L243" s="26">
        <v>137.05000000000001</v>
      </c>
    </row>
    <row r="244" spans="1:12" ht="16" customHeight="1">
      <c r="A244" t="s">
        <v>257</v>
      </c>
      <c r="B244" t="s">
        <v>6</v>
      </c>
      <c r="C244" t="s">
        <v>12</v>
      </c>
      <c r="D244" s="24">
        <v>45901</v>
      </c>
      <c r="E244" t="s">
        <v>224</v>
      </c>
      <c r="F244" t="s">
        <v>4</v>
      </c>
      <c r="G244" t="s">
        <v>217</v>
      </c>
      <c r="H244" t="s">
        <v>217</v>
      </c>
      <c r="I244" t="s">
        <v>225</v>
      </c>
      <c r="J244" s="25">
        <v>12826</v>
      </c>
      <c r="K244" s="26">
        <v>2471.69</v>
      </c>
      <c r="L244" s="26">
        <v>41.77</v>
      </c>
    </row>
    <row r="245" spans="1:12" ht="16" customHeight="1">
      <c r="A245" t="s">
        <v>257</v>
      </c>
      <c r="B245" t="s">
        <v>6</v>
      </c>
      <c r="C245" t="s">
        <v>12</v>
      </c>
      <c r="D245" s="24">
        <v>45901</v>
      </c>
      <c r="E245" t="s">
        <v>226</v>
      </c>
      <c r="F245" t="s">
        <v>4</v>
      </c>
      <c r="G245" t="s">
        <v>217</v>
      </c>
      <c r="H245" t="s">
        <v>217</v>
      </c>
      <c r="I245" t="s">
        <v>227</v>
      </c>
      <c r="J245" s="25">
        <v>391</v>
      </c>
      <c r="K245" s="26">
        <v>73.59</v>
      </c>
      <c r="L245" s="26">
        <v>1.52</v>
      </c>
    </row>
    <row r="246" spans="1:12" ht="16" customHeight="1">
      <c r="A246" t="s">
        <v>257</v>
      </c>
      <c r="B246" t="s">
        <v>6</v>
      </c>
      <c r="C246" t="s">
        <v>12</v>
      </c>
      <c r="D246" s="24">
        <v>45901</v>
      </c>
      <c r="E246" t="s">
        <v>228</v>
      </c>
      <c r="F246" t="s">
        <v>4</v>
      </c>
      <c r="G246" t="s">
        <v>217</v>
      </c>
      <c r="H246" t="s">
        <v>217</v>
      </c>
      <c r="I246" t="s">
        <v>229</v>
      </c>
      <c r="J246" s="25">
        <v>1207</v>
      </c>
      <c r="K246" s="26">
        <v>243.98</v>
      </c>
      <c r="L246" s="26">
        <v>7.83</v>
      </c>
    </row>
    <row r="247" spans="1:12" ht="16" customHeight="1">
      <c r="A247" t="s">
        <v>257</v>
      </c>
      <c r="B247" t="s">
        <v>6</v>
      </c>
      <c r="C247" t="s">
        <v>12</v>
      </c>
      <c r="D247" s="24">
        <v>45901</v>
      </c>
      <c r="E247" t="s">
        <v>230</v>
      </c>
      <c r="F247" t="s">
        <v>4</v>
      </c>
      <c r="G247" t="s">
        <v>217</v>
      </c>
      <c r="H247" t="s">
        <v>217</v>
      </c>
      <c r="I247" t="s">
        <v>231</v>
      </c>
      <c r="J247" s="25">
        <v>0</v>
      </c>
      <c r="K247" s="26">
        <v>0</v>
      </c>
      <c r="L247" s="26">
        <v>0</v>
      </c>
    </row>
    <row r="248" spans="1:12" ht="16" customHeight="1">
      <c r="A248" t="s">
        <v>257</v>
      </c>
      <c r="B248" t="s">
        <v>6</v>
      </c>
      <c r="C248" t="s">
        <v>12</v>
      </c>
      <c r="D248" s="24">
        <v>45901</v>
      </c>
      <c r="E248" t="s">
        <v>232</v>
      </c>
      <c r="F248" t="s">
        <v>4</v>
      </c>
      <c r="G248" t="s">
        <v>217</v>
      </c>
      <c r="H248" t="s">
        <v>217</v>
      </c>
      <c r="I248" t="s">
        <v>233</v>
      </c>
      <c r="J248" s="25">
        <v>8</v>
      </c>
      <c r="K248" s="26">
        <v>1.56</v>
      </c>
      <c r="L248" s="26">
        <v>0.06</v>
      </c>
    </row>
    <row r="249" spans="1:12" ht="16" customHeight="1">
      <c r="A249" t="s">
        <v>257</v>
      </c>
      <c r="B249" t="s">
        <v>6</v>
      </c>
      <c r="C249" t="s">
        <v>12</v>
      </c>
      <c r="D249" s="24">
        <v>45901</v>
      </c>
      <c r="E249" t="s">
        <v>234</v>
      </c>
      <c r="F249" t="s">
        <v>4</v>
      </c>
      <c r="G249" t="s">
        <v>217</v>
      </c>
      <c r="H249" t="s">
        <v>217</v>
      </c>
      <c r="I249" t="s">
        <v>235</v>
      </c>
      <c r="J249" s="25">
        <v>0</v>
      </c>
      <c r="K249" s="26">
        <v>0</v>
      </c>
      <c r="L249" s="26">
        <v>0</v>
      </c>
    </row>
    <row r="250" spans="1:12" ht="16" customHeight="1">
      <c r="A250" t="s">
        <v>257</v>
      </c>
      <c r="B250" t="s">
        <v>6</v>
      </c>
      <c r="C250" t="s">
        <v>12</v>
      </c>
      <c r="D250" s="24">
        <v>45901</v>
      </c>
      <c r="E250" t="s">
        <v>236</v>
      </c>
      <c r="F250" t="s">
        <v>4</v>
      </c>
      <c r="G250" t="s">
        <v>217</v>
      </c>
      <c r="H250" t="s">
        <v>217</v>
      </c>
      <c r="I250" t="s">
        <v>237</v>
      </c>
      <c r="J250" s="25">
        <v>2</v>
      </c>
      <c r="K250" s="26">
        <v>0.39</v>
      </c>
      <c r="L250" s="26">
        <v>0.02</v>
      </c>
    </row>
    <row r="251" spans="1:12" ht="16" customHeight="1">
      <c r="A251" t="s">
        <v>257</v>
      </c>
      <c r="B251" t="s">
        <v>6</v>
      </c>
      <c r="C251" t="s">
        <v>12</v>
      </c>
      <c r="D251" s="24">
        <v>45901</v>
      </c>
      <c r="E251" t="s">
        <v>238</v>
      </c>
      <c r="F251" t="s">
        <v>4</v>
      </c>
      <c r="G251" t="s">
        <v>217</v>
      </c>
      <c r="H251" t="s">
        <v>217</v>
      </c>
      <c r="I251" t="s">
        <v>239</v>
      </c>
      <c r="J251" s="25">
        <v>0</v>
      </c>
      <c r="K251" s="26">
        <v>0</v>
      </c>
      <c r="L251" s="26">
        <v>0</v>
      </c>
    </row>
    <row r="252" spans="1:12" ht="16" customHeight="1">
      <c r="A252" t="s">
        <v>257</v>
      </c>
      <c r="B252" t="s">
        <v>6</v>
      </c>
      <c r="C252" t="s">
        <v>12</v>
      </c>
      <c r="D252" s="24">
        <v>45901</v>
      </c>
      <c r="E252" t="s">
        <v>240</v>
      </c>
      <c r="F252" t="s">
        <v>3</v>
      </c>
      <c r="G252" t="s">
        <v>241</v>
      </c>
      <c r="H252" t="s">
        <v>241</v>
      </c>
      <c r="I252" t="s">
        <v>242</v>
      </c>
      <c r="J252" s="25">
        <v>3</v>
      </c>
      <c r="K252" s="26">
        <v>0.6</v>
      </c>
      <c r="L252" s="26">
        <v>0.03</v>
      </c>
    </row>
    <row r="253" spans="1:12" ht="16" customHeight="1">
      <c r="A253" t="s">
        <v>257</v>
      </c>
      <c r="B253" t="s">
        <v>6</v>
      </c>
      <c r="C253" t="s">
        <v>12</v>
      </c>
      <c r="D253" s="24">
        <v>45901</v>
      </c>
      <c r="E253" t="s">
        <v>243</v>
      </c>
      <c r="F253" t="s">
        <v>4</v>
      </c>
      <c r="G253" t="s">
        <v>217</v>
      </c>
      <c r="H253" t="s">
        <v>217</v>
      </c>
      <c r="I253" t="s">
        <v>244</v>
      </c>
      <c r="J253" s="25">
        <v>0</v>
      </c>
      <c r="K253" s="26">
        <v>0</v>
      </c>
      <c r="L253" s="26">
        <v>0</v>
      </c>
    </row>
    <row r="254" spans="1:12" ht="16" customHeight="1">
      <c r="A254" t="s">
        <v>258</v>
      </c>
      <c r="B254" t="s">
        <v>7</v>
      </c>
      <c r="C254" t="s">
        <v>12</v>
      </c>
      <c r="D254" s="24">
        <v>45901</v>
      </c>
      <c r="E254" t="s">
        <v>215</v>
      </c>
      <c r="F254" t="s">
        <v>4</v>
      </c>
      <c r="G254" t="s">
        <v>211</v>
      </c>
      <c r="H254" t="s">
        <v>211</v>
      </c>
      <c r="I254" t="s">
        <v>212</v>
      </c>
      <c r="J254" s="25">
        <v>86606410</v>
      </c>
      <c r="K254" s="26">
        <v>16486572.52</v>
      </c>
      <c r="L254" s="26">
        <v>30471.69</v>
      </c>
    </row>
    <row r="255" spans="1:12" ht="16" customHeight="1">
      <c r="A255" t="s">
        <v>258</v>
      </c>
      <c r="B255" t="s">
        <v>7</v>
      </c>
      <c r="C255" t="s">
        <v>12</v>
      </c>
      <c r="D255" s="24">
        <v>45901</v>
      </c>
      <c r="E255" t="s">
        <v>216</v>
      </c>
      <c r="F255" t="s">
        <v>4</v>
      </c>
      <c r="G255" t="s">
        <v>217</v>
      </c>
      <c r="H255" t="s">
        <v>217</v>
      </c>
      <c r="I255" t="s">
        <v>212</v>
      </c>
      <c r="J255" s="25">
        <v>3690004</v>
      </c>
      <c r="K255" s="26">
        <v>703779.94</v>
      </c>
      <c r="L255" s="26">
        <v>2373.83</v>
      </c>
    </row>
    <row r="256" spans="1:12" ht="16" customHeight="1">
      <c r="A256" t="s">
        <v>258</v>
      </c>
      <c r="B256" t="s">
        <v>7</v>
      </c>
      <c r="C256" t="s">
        <v>12</v>
      </c>
      <c r="D256" s="24">
        <v>45901</v>
      </c>
      <c r="E256" t="s">
        <v>246</v>
      </c>
      <c r="F256" t="s">
        <v>4</v>
      </c>
      <c r="G256" t="s">
        <v>211</v>
      </c>
      <c r="H256" t="s">
        <v>211</v>
      </c>
      <c r="I256" t="s">
        <v>219</v>
      </c>
      <c r="J256" s="25">
        <v>136603</v>
      </c>
      <c r="K256" s="26">
        <v>26147.58</v>
      </c>
      <c r="L256" s="26">
        <v>112.69</v>
      </c>
    </row>
    <row r="257" spans="1:12" ht="16" customHeight="1">
      <c r="A257" t="s">
        <v>258</v>
      </c>
      <c r="B257" t="s">
        <v>7</v>
      </c>
      <c r="C257" t="s">
        <v>12</v>
      </c>
      <c r="D257" s="24">
        <v>45901</v>
      </c>
      <c r="E257" t="s">
        <v>251</v>
      </c>
      <c r="F257" t="s">
        <v>4</v>
      </c>
      <c r="G257" t="s">
        <v>211</v>
      </c>
      <c r="H257" t="s">
        <v>211</v>
      </c>
      <c r="I257" t="s">
        <v>219</v>
      </c>
      <c r="J257" s="25">
        <v>9002</v>
      </c>
      <c r="K257" s="26">
        <v>1731.6</v>
      </c>
      <c r="L257" s="26">
        <v>10.45</v>
      </c>
    </row>
    <row r="258" spans="1:12" ht="16" customHeight="1">
      <c r="A258" t="s">
        <v>258</v>
      </c>
      <c r="B258" t="s">
        <v>7</v>
      </c>
      <c r="C258" t="s">
        <v>12</v>
      </c>
      <c r="D258" s="24">
        <v>45901</v>
      </c>
      <c r="E258" t="s">
        <v>256</v>
      </c>
      <c r="F258" t="s">
        <v>3</v>
      </c>
      <c r="G258" t="s">
        <v>241</v>
      </c>
      <c r="H258" t="s">
        <v>241</v>
      </c>
      <c r="I258" t="s">
        <v>219</v>
      </c>
      <c r="J258" s="25">
        <v>1736</v>
      </c>
      <c r="K258" s="26">
        <v>339.21</v>
      </c>
      <c r="L258" s="26">
        <v>1.79</v>
      </c>
    </row>
    <row r="259" spans="1:12" ht="16" customHeight="1">
      <c r="A259" t="s">
        <v>258</v>
      </c>
      <c r="B259" t="s">
        <v>7</v>
      </c>
      <c r="C259" t="s">
        <v>12</v>
      </c>
      <c r="D259" s="24">
        <v>45901</v>
      </c>
      <c r="E259" t="s">
        <v>218</v>
      </c>
      <c r="F259" t="s">
        <v>4</v>
      </c>
      <c r="G259" t="s">
        <v>217</v>
      </c>
      <c r="H259" t="s">
        <v>217</v>
      </c>
      <c r="I259" t="s">
        <v>219</v>
      </c>
      <c r="J259" s="25">
        <v>282571</v>
      </c>
      <c r="K259" s="26">
        <v>53999.81</v>
      </c>
      <c r="L259" s="26">
        <v>371.87</v>
      </c>
    </row>
    <row r="260" spans="1:12" ht="16" customHeight="1">
      <c r="A260" t="s">
        <v>258</v>
      </c>
      <c r="B260" t="s">
        <v>7</v>
      </c>
      <c r="C260" t="s">
        <v>12</v>
      </c>
      <c r="D260" s="24">
        <v>45901</v>
      </c>
      <c r="E260" t="s">
        <v>220</v>
      </c>
      <c r="F260" t="s">
        <v>4</v>
      </c>
      <c r="G260" t="s">
        <v>217</v>
      </c>
      <c r="H260" t="s">
        <v>217</v>
      </c>
      <c r="I260" t="s">
        <v>221</v>
      </c>
      <c r="J260" s="25">
        <v>41072</v>
      </c>
      <c r="K260" s="26">
        <v>7812.9</v>
      </c>
      <c r="L260" s="26">
        <v>68.33</v>
      </c>
    </row>
    <row r="261" spans="1:12" ht="16" customHeight="1">
      <c r="A261" t="s">
        <v>258</v>
      </c>
      <c r="B261" t="s">
        <v>7</v>
      </c>
      <c r="C261" t="s">
        <v>12</v>
      </c>
      <c r="D261" s="24">
        <v>45901</v>
      </c>
      <c r="E261" t="s">
        <v>222</v>
      </c>
      <c r="F261" t="s">
        <v>4</v>
      </c>
      <c r="G261" t="s">
        <v>217</v>
      </c>
      <c r="H261" t="s">
        <v>217</v>
      </c>
      <c r="I261" t="s">
        <v>223</v>
      </c>
      <c r="J261" s="25">
        <v>40537</v>
      </c>
      <c r="K261" s="26">
        <v>7634.44</v>
      </c>
      <c r="L261" s="26">
        <v>94.1</v>
      </c>
    </row>
    <row r="262" spans="1:12" ht="16" customHeight="1">
      <c r="A262" t="s">
        <v>258</v>
      </c>
      <c r="B262" t="s">
        <v>7</v>
      </c>
      <c r="C262" t="s">
        <v>12</v>
      </c>
      <c r="D262" s="24">
        <v>45901</v>
      </c>
      <c r="E262" t="s">
        <v>224</v>
      </c>
      <c r="F262" t="s">
        <v>4</v>
      </c>
      <c r="G262" t="s">
        <v>217</v>
      </c>
      <c r="H262" t="s">
        <v>217</v>
      </c>
      <c r="I262" t="s">
        <v>225</v>
      </c>
      <c r="J262" s="25">
        <v>8262</v>
      </c>
      <c r="K262" s="26">
        <v>1564.45</v>
      </c>
      <c r="L262" s="26">
        <v>25.92</v>
      </c>
    </row>
    <row r="263" spans="1:12" ht="16" customHeight="1">
      <c r="A263" t="s">
        <v>258</v>
      </c>
      <c r="B263" t="s">
        <v>7</v>
      </c>
      <c r="C263" t="s">
        <v>12</v>
      </c>
      <c r="D263" s="24">
        <v>45901</v>
      </c>
      <c r="E263" t="s">
        <v>226</v>
      </c>
      <c r="F263" t="s">
        <v>4</v>
      </c>
      <c r="G263" t="s">
        <v>217</v>
      </c>
      <c r="H263" t="s">
        <v>217</v>
      </c>
      <c r="I263" t="s">
        <v>227</v>
      </c>
      <c r="J263" s="25">
        <v>243</v>
      </c>
      <c r="K263" s="26">
        <v>45.88</v>
      </c>
      <c r="L263" s="26">
        <v>0.78</v>
      </c>
    </row>
    <row r="264" spans="1:12" ht="16" customHeight="1">
      <c r="A264" t="s">
        <v>258</v>
      </c>
      <c r="B264" t="s">
        <v>7</v>
      </c>
      <c r="C264" t="s">
        <v>12</v>
      </c>
      <c r="D264" s="24">
        <v>45901</v>
      </c>
      <c r="E264" t="s">
        <v>228</v>
      </c>
      <c r="F264" t="s">
        <v>4</v>
      </c>
      <c r="G264" t="s">
        <v>217</v>
      </c>
      <c r="H264" t="s">
        <v>217</v>
      </c>
      <c r="I264" t="s">
        <v>229</v>
      </c>
      <c r="J264" s="25">
        <v>895</v>
      </c>
      <c r="K264" s="26">
        <v>174.86</v>
      </c>
      <c r="L264" s="26">
        <v>5.29</v>
      </c>
    </row>
    <row r="265" spans="1:12" ht="16" customHeight="1">
      <c r="A265" t="s">
        <v>258</v>
      </c>
      <c r="B265" t="s">
        <v>7</v>
      </c>
      <c r="C265" t="s">
        <v>12</v>
      </c>
      <c r="D265" s="24">
        <v>45901</v>
      </c>
      <c r="E265" t="s">
        <v>230</v>
      </c>
      <c r="F265" t="s">
        <v>4</v>
      </c>
      <c r="G265" t="s">
        <v>217</v>
      </c>
      <c r="H265" t="s">
        <v>217</v>
      </c>
      <c r="I265" t="s">
        <v>231</v>
      </c>
      <c r="J265" s="25">
        <v>0</v>
      </c>
      <c r="K265" s="26">
        <v>0</v>
      </c>
      <c r="L265" s="26">
        <v>0</v>
      </c>
    </row>
    <row r="266" spans="1:12" ht="16" customHeight="1">
      <c r="A266" t="s">
        <v>258</v>
      </c>
      <c r="B266" t="s">
        <v>7</v>
      </c>
      <c r="C266" t="s">
        <v>12</v>
      </c>
      <c r="D266" s="24">
        <v>45901</v>
      </c>
      <c r="E266" t="s">
        <v>232</v>
      </c>
      <c r="F266" t="s">
        <v>4</v>
      </c>
      <c r="G266" t="s">
        <v>217</v>
      </c>
      <c r="H266" t="s">
        <v>217</v>
      </c>
      <c r="I266" t="s">
        <v>233</v>
      </c>
      <c r="J266" s="25">
        <v>3</v>
      </c>
      <c r="K266" s="26">
        <v>0.61</v>
      </c>
      <c r="L266" s="26">
        <v>0.03</v>
      </c>
    </row>
    <row r="267" spans="1:12" ht="16" customHeight="1">
      <c r="A267" t="s">
        <v>258</v>
      </c>
      <c r="B267" t="s">
        <v>7</v>
      </c>
      <c r="C267" t="s">
        <v>12</v>
      </c>
      <c r="D267" s="24">
        <v>45901</v>
      </c>
      <c r="E267" t="s">
        <v>234</v>
      </c>
      <c r="F267" t="s">
        <v>4</v>
      </c>
      <c r="G267" t="s">
        <v>217</v>
      </c>
      <c r="H267" t="s">
        <v>217</v>
      </c>
      <c r="I267" t="s">
        <v>235</v>
      </c>
      <c r="J267" s="25">
        <v>0</v>
      </c>
      <c r="K267" s="26">
        <v>0</v>
      </c>
      <c r="L267" s="26">
        <v>0</v>
      </c>
    </row>
    <row r="268" spans="1:12" ht="16" customHeight="1">
      <c r="A268" t="s">
        <v>258</v>
      </c>
      <c r="B268" t="s">
        <v>7</v>
      </c>
      <c r="C268" t="s">
        <v>12</v>
      </c>
      <c r="D268" s="24">
        <v>45901</v>
      </c>
      <c r="E268" t="s">
        <v>236</v>
      </c>
      <c r="F268" t="s">
        <v>4</v>
      </c>
      <c r="G268" t="s">
        <v>217</v>
      </c>
      <c r="H268" t="s">
        <v>217</v>
      </c>
      <c r="I268" t="s">
        <v>237</v>
      </c>
      <c r="J268" s="25">
        <v>1</v>
      </c>
      <c r="K268" s="26">
        <v>0.2</v>
      </c>
      <c r="L268" s="26">
        <v>0.01</v>
      </c>
    </row>
    <row r="269" spans="1:12" ht="16" customHeight="1">
      <c r="A269" t="s">
        <v>258</v>
      </c>
      <c r="B269" t="s">
        <v>7</v>
      </c>
      <c r="C269" t="s">
        <v>12</v>
      </c>
      <c r="D269" s="24">
        <v>45901</v>
      </c>
      <c r="E269" t="s">
        <v>238</v>
      </c>
      <c r="F269" t="s">
        <v>4</v>
      </c>
      <c r="G269" t="s">
        <v>217</v>
      </c>
      <c r="H269" t="s">
        <v>217</v>
      </c>
      <c r="I269" t="s">
        <v>239</v>
      </c>
      <c r="J269" s="25">
        <v>1</v>
      </c>
      <c r="K269" s="26">
        <v>0.2</v>
      </c>
      <c r="L269" s="26">
        <v>0.01</v>
      </c>
    </row>
    <row r="270" spans="1:12" ht="16" customHeight="1">
      <c r="A270" t="s">
        <v>258</v>
      </c>
      <c r="B270" t="s">
        <v>7</v>
      </c>
      <c r="C270" t="s">
        <v>12</v>
      </c>
      <c r="D270" s="24">
        <v>45901</v>
      </c>
      <c r="E270" t="s">
        <v>240</v>
      </c>
      <c r="F270" t="s">
        <v>3</v>
      </c>
      <c r="G270" t="s">
        <v>241</v>
      </c>
      <c r="H270" t="s">
        <v>241</v>
      </c>
      <c r="I270" t="s">
        <v>242</v>
      </c>
      <c r="J270" s="25">
        <v>1</v>
      </c>
      <c r="K270" s="26">
        <v>0.2</v>
      </c>
      <c r="L270" s="26">
        <v>0.01</v>
      </c>
    </row>
    <row r="271" spans="1:12" ht="16" customHeight="1">
      <c r="A271" t="s">
        <v>258</v>
      </c>
      <c r="B271" t="s">
        <v>7</v>
      </c>
      <c r="C271" t="s">
        <v>12</v>
      </c>
      <c r="D271" s="24">
        <v>45901</v>
      </c>
      <c r="E271" t="s">
        <v>243</v>
      </c>
      <c r="F271" t="s">
        <v>4</v>
      </c>
      <c r="G271" t="s">
        <v>217</v>
      </c>
      <c r="H271" t="s">
        <v>217</v>
      </c>
      <c r="I271" t="s">
        <v>244</v>
      </c>
      <c r="J271" s="25">
        <v>0</v>
      </c>
      <c r="K271" s="26">
        <v>0</v>
      </c>
      <c r="L271" s="26">
        <v>0</v>
      </c>
    </row>
    <row r="272" spans="1:12" ht="16" customHeight="1">
      <c r="A272" t="s">
        <v>259</v>
      </c>
      <c r="B272" t="s">
        <v>3</v>
      </c>
      <c r="C272" t="s">
        <v>13</v>
      </c>
      <c r="D272" s="24">
        <v>45901</v>
      </c>
      <c r="E272" t="s">
        <v>215</v>
      </c>
      <c r="F272" t="s">
        <v>4</v>
      </c>
      <c r="G272" t="s">
        <v>211</v>
      </c>
      <c r="H272" t="s">
        <v>211</v>
      </c>
      <c r="I272" t="s">
        <v>212</v>
      </c>
      <c r="J272" s="25">
        <v>121193325</v>
      </c>
      <c r="K272" s="26">
        <v>23010819.300000001</v>
      </c>
      <c r="L272" s="26">
        <v>32109.91</v>
      </c>
    </row>
    <row r="273" spans="1:12" ht="16" customHeight="1">
      <c r="A273" t="s">
        <v>259</v>
      </c>
      <c r="B273" t="s">
        <v>3</v>
      </c>
      <c r="C273" t="s">
        <v>13</v>
      </c>
      <c r="D273" s="24">
        <v>45901</v>
      </c>
      <c r="E273" t="s">
        <v>216</v>
      </c>
      <c r="F273" t="s">
        <v>4</v>
      </c>
      <c r="G273" t="s">
        <v>217</v>
      </c>
      <c r="H273" t="s">
        <v>217</v>
      </c>
      <c r="I273" t="s">
        <v>212</v>
      </c>
      <c r="J273" s="25">
        <v>6090352</v>
      </c>
      <c r="K273" s="26">
        <v>1160754.92</v>
      </c>
      <c r="L273" s="26">
        <v>3107.46</v>
      </c>
    </row>
    <row r="274" spans="1:12" ht="16" customHeight="1">
      <c r="A274" t="s">
        <v>259</v>
      </c>
      <c r="B274" t="s">
        <v>3</v>
      </c>
      <c r="C274" t="s">
        <v>13</v>
      </c>
      <c r="D274" s="24">
        <v>45901</v>
      </c>
      <c r="E274" t="s">
        <v>246</v>
      </c>
      <c r="F274" t="s">
        <v>4</v>
      </c>
      <c r="G274" t="s">
        <v>211</v>
      </c>
      <c r="H274" t="s">
        <v>211</v>
      </c>
      <c r="I274" t="s">
        <v>219</v>
      </c>
      <c r="J274" s="25">
        <v>253425</v>
      </c>
      <c r="K274" s="26">
        <v>48371.67</v>
      </c>
      <c r="L274" s="26">
        <v>210.78</v>
      </c>
    </row>
    <row r="275" spans="1:12" ht="16" customHeight="1">
      <c r="A275" t="s">
        <v>259</v>
      </c>
      <c r="B275" t="s">
        <v>3</v>
      </c>
      <c r="C275" t="s">
        <v>13</v>
      </c>
      <c r="D275" s="24">
        <v>45901</v>
      </c>
      <c r="E275" t="s">
        <v>251</v>
      </c>
      <c r="F275" t="s">
        <v>4</v>
      </c>
      <c r="G275" t="s">
        <v>211</v>
      </c>
      <c r="H275" t="s">
        <v>211</v>
      </c>
      <c r="I275" t="s">
        <v>219</v>
      </c>
      <c r="J275" s="25">
        <v>18706</v>
      </c>
      <c r="K275" s="26">
        <v>3585.36</v>
      </c>
      <c r="L275" s="26">
        <v>23.33</v>
      </c>
    </row>
    <row r="276" spans="1:12" ht="16" customHeight="1">
      <c r="A276" t="s">
        <v>259</v>
      </c>
      <c r="B276" t="s">
        <v>3</v>
      </c>
      <c r="C276" t="s">
        <v>13</v>
      </c>
      <c r="D276" s="24">
        <v>45901</v>
      </c>
      <c r="E276" t="s">
        <v>256</v>
      </c>
      <c r="F276" t="s">
        <v>3</v>
      </c>
      <c r="G276" t="s">
        <v>241</v>
      </c>
      <c r="H276" t="s">
        <v>241</v>
      </c>
      <c r="I276" t="s">
        <v>219</v>
      </c>
      <c r="J276" s="25">
        <v>2965</v>
      </c>
      <c r="K276" s="26">
        <v>570.32000000000005</v>
      </c>
      <c r="L276" s="26">
        <v>3.13</v>
      </c>
    </row>
    <row r="277" spans="1:12" ht="16" customHeight="1">
      <c r="A277" t="s">
        <v>259</v>
      </c>
      <c r="B277" t="s">
        <v>3</v>
      </c>
      <c r="C277" t="s">
        <v>13</v>
      </c>
      <c r="D277" s="24">
        <v>45901</v>
      </c>
      <c r="E277" t="s">
        <v>218</v>
      </c>
      <c r="F277" t="s">
        <v>4</v>
      </c>
      <c r="G277" t="s">
        <v>217</v>
      </c>
      <c r="H277" t="s">
        <v>217</v>
      </c>
      <c r="I277" t="s">
        <v>219</v>
      </c>
      <c r="J277" s="25">
        <v>363209</v>
      </c>
      <c r="K277" s="26">
        <v>69528.600000000006</v>
      </c>
      <c r="L277" s="26">
        <v>437.11</v>
      </c>
    </row>
    <row r="278" spans="1:12" ht="16" customHeight="1">
      <c r="A278" t="s">
        <v>259</v>
      </c>
      <c r="B278" t="s">
        <v>3</v>
      </c>
      <c r="C278" t="s">
        <v>13</v>
      </c>
      <c r="D278" s="24">
        <v>45901</v>
      </c>
      <c r="E278" t="s">
        <v>220</v>
      </c>
      <c r="F278" t="s">
        <v>4</v>
      </c>
      <c r="G278" t="s">
        <v>217</v>
      </c>
      <c r="H278" t="s">
        <v>217</v>
      </c>
      <c r="I278" t="s">
        <v>221</v>
      </c>
      <c r="J278" s="25">
        <v>48895</v>
      </c>
      <c r="K278" s="26">
        <v>9336.75</v>
      </c>
      <c r="L278" s="26">
        <v>69.64</v>
      </c>
    </row>
    <row r="279" spans="1:12" ht="16" customHeight="1">
      <c r="A279" t="s">
        <v>259</v>
      </c>
      <c r="B279" t="s">
        <v>3</v>
      </c>
      <c r="C279" t="s">
        <v>13</v>
      </c>
      <c r="D279" s="24">
        <v>45901</v>
      </c>
      <c r="E279" t="s">
        <v>222</v>
      </c>
      <c r="F279" t="s">
        <v>4</v>
      </c>
      <c r="G279" t="s">
        <v>217</v>
      </c>
      <c r="H279" t="s">
        <v>217</v>
      </c>
      <c r="I279" t="s">
        <v>223</v>
      </c>
      <c r="J279" s="25">
        <v>49161</v>
      </c>
      <c r="K279" s="26">
        <v>9312.0300000000007</v>
      </c>
      <c r="L279" s="26">
        <v>179.76</v>
      </c>
    </row>
    <row r="280" spans="1:12" ht="16" customHeight="1">
      <c r="A280" t="s">
        <v>259</v>
      </c>
      <c r="B280" t="s">
        <v>3</v>
      </c>
      <c r="C280" t="s">
        <v>13</v>
      </c>
      <c r="D280" s="24">
        <v>45901</v>
      </c>
      <c r="E280" t="s">
        <v>224</v>
      </c>
      <c r="F280" t="s">
        <v>4</v>
      </c>
      <c r="G280" t="s">
        <v>217</v>
      </c>
      <c r="H280" t="s">
        <v>217</v>
      </c>
      <c r="I280" t="s">
        <v>225</v>
      </c>
      <c r="J280" s="25">
        <v>11515</v>
      </c>
      <c r="K280" s="26">
        <v>2221.5700000000002</v>
      </c>
      <c r="L280" s="26">
        <v>50.67</v>
      </c>
    </row>
    <row r="281" spans="1:12" ht="16" customHeight="1">
      <c r="A281" t="s">
        <v>259</v>
      </c>
      <c r="B281" t="s">
        <v>3</v>
      </c>
      <c r="C281" t="s">
        <v>13</v>
      </c>
      <c r="D281" s="24">
        <v>45901</v>
      </c>
      <c r="E281" t="s">
        <v>226</v>
      </c>
      <c r="F281" t="s">
        <v>4</v>
      </c>
      <c r="G281" t="s">
        <v>217</v>
      </c>
      <c r="H281" t="s">
        <v>217</v>
      </c>
      <c r="I281" t="s">
        <v>227</v>
      </c>
      <c r="J281" s="25">
        <v>243</v>
      </c>
      <c r="K281" s="26">
        <v>46.14</v>
      </c>
      <c r="L281" s="26">
        <v>0.74</v>
      </c>
    </row>
    <row r="282" spans="1:12" ht="16" customHeight="1">
      <c r="A282" t="s">
        <v>259</v>
      </c>
      <c r="B282" t="s">
        <v>3</v>
      </c>
      <c r="C282" t="s">
        <v>13</v>
      </c>
      <c r="D282" s="24">
        <v>45901</v>
      </c>
      <c r="E282" t="s">
        <v>228</v>
      </c>
      <c r="F282" t="s">
        <v>4</v>
      </c>
      <c r="G282" t="s">
        <v>217</v>
      </c>
      <c r="H282" t="s">
        <v>217</v>
      </c>
      <c r="I282" t="s">
        <v>229</v>
      </c>
      <c r="J282" s="25">
        <v>628</v>
      </c>
      <c r="K282" s="26">
        <v>124.47</v>
      </c>
      <c r="L282" s="26">
        <v>4.49</v>
      </c>
    </row>
    <row r="283" spans="1:12" ht="16" customHeight="1">
      <c r="A283" t="s">
        <v>259</v>
      </c>
      <c r="B283" t="s">
        <v>3</v>
      </c>
      <c r="C283" t="s">
        <v>13</v>
      </c>
      <c r="D283" s="24">
        <v>45901</v>
      </c>
      <c r="E283" t="s">
        <v>230</v>
      </c>
      <c r="F283" t="s">
        <v>4</v>
      </c>
      <c r="G283" t="s">
        <v>217</v>
      </c>
      <c r="H283" t="s">
        <v>217</v>
      </c>
      <c r="I283" t="s">
        <v>231</v>
      </c>
      <c r="J283" s="25">
        <v>0</v>
      </c>
      <c r="K283" s="26">
        <v>0</v>
      </c>
      <c r="L283" s="26">
        <v>0</v>
      </c>
    </row>
    <row r="284" spans="1:12" ht="16" customHeight="1">
      <c r="A284" t="s">
        <v>259</v>
      </c>
      <c r="B284" t="s">
        <v>3</v>
      </c>
      <c r="C284" t="s">
        <v>13</v>
      </c>
      <c r="D284" s="24">
        <v>45901</v>
      </c>
      <c r="E284" t="s">
        <v>232</v>
      </c>
      <c r="F284" t="s">
        <v>4</v>
      </c>
      <c r="G284" t="s">
        <v>217</v>
      </c>
      <c r="H284" t="s">
        <v>217</v>
      </c>
      <c r="I284" t="s">
        <v>233</v>
      </c>
      <c r="J284" s="25">
        <v>0</v>
      </c>
      <c r="K284" s="26">
        <v>0</v>
      </c>
      <c r="L284" s="26">
        <v>0</v>
      </c>
    </row>
    <row r="285" spans="1:12" ht="16" customHeight="1">
      <c r="A285" t="s">
        <v>259</v>
      </c>
      <c r="B285" t="s">
        <v>3</v>
      </c>
      <c r="C285" t="s">
        <v>13</v>
      </c>
      <c r="D285" s="24">
        <v>45901</v>
      </c>
      <c r="E285" t="s">
        <v>234</v>
      </c>
      <c r="F285" t="s">
        <v>4</v>
      </c>
      <c r="G285" t="s">
        <v>217</v>
      </c>
      <c r="H285" t="s">
        <v>217</v>
      </c>
      <c r="I285" t="s">
        <v>235</v>
      </c>
      <c r="J285" s="25">
        <v>0</v>
      </c>
      <c r="K285" s="26">
        <v>0</v>
      </c>
      <c r="L285" s="26">
        <v>0</v>
      </c>
    </row>
    <row r="286" spans="1:12" ht="16" customHeight="1">
      <c r="A286" t="s">
        <v>259</v>
      </c>
      <c r="B286" t="s">
        <v>3</v>
      </c>
      <c r="C286" t="s">
        <v>13</v>
      </c>
      <c r="D286" s="24">
        <v>45901</v>
      </c>
      <c r="E286" t="s">
        <v>236</v>
      </c>
      <c r="F286" t="s">
        <v>4</v>
      </c>
      <c r="G286" t="s">
        <v>217</v>
      </c>
      <c r="H286" t="s">
        <v>217</v>
      </c>
      <c r="I286" t="s">
        <v>237</v>
      </c>
      <c r="J286" s="25">
        <v>0</v>
      </c>
      <c r="K286" s="26">
        <v>0</v>
      </c>
      <c r="L286" s="26">
        <v>0</v>
      </c>
    </row>
    <row r="287" spans="1:12" ht="16" customHeight="1">
      <c r="A287" t="s">
        <v>259</v>
      </c>
      <c r="B287" t="s">
        <v>3</v>
      </c>
      <c r="C287" t="s">
        <v>13</v>
      </c>
      <c r="D287" s="24">
        <v>45901</v>
      </c>
      <c r="E287" t="s">
        <v>238</v>
      </c>
      <c r="F287" t="s">
        <v>4</v>
      </c>
      <c r="G287" t="s">
        <v>217</v>
      </c>
      <c r="H287" t="s">
        <v>217</v>
      </c>
      <c r="I287" t="s">
        <v>239</v>
      </c>
      <c r="J287" s="25">
        <v>0</v>
      </c>
      <c r="K287" s="26">
        <v>0</v>
      </c>
      <c r="L287" s="26">
        <v>0</v>
      </c>
    </row>
    <row r="288" spans="1:12" ht="16" customHeight="1">
      <c r="A288" t="s">
        <v>259</v>
      </c>
      <c r="B288" t="s">
        <v>3</v>
      </c>
      <c r="C288" t="s">
        <v>13</v>
      </c>
      <c r="D288" s="24">
        <v>45901</v>
      </c>
      <c r="E288" t="s">
        <v>240</v>
      </c>
      <c r="F288" t="s">
        <v>3</v>
      </c>
      <c r="G288" t="s">
        <v>241</v>
      </c>
      <c r="H288" t="s">
        <v>241</v>
      </c>
      <c r="I288" t="s">
        <v>242</v>
      </c>
      <c r="J288" s="25">
        <v>0</v>
      </c>
      <c r="K288" s="26">
        <v>0</v>
      </c>
      <c r="L288" s="26">
        <v>0</v>
      </c>
    </row>
    <row r="289" spans="1:12" ht="16" customHeight="1">
      <c r="A289" t="s">
        <v>259</v>
      </c>
      <c r="B289" t="s">
        <v>3</v>
      </c>
      <c r="C289" t="s">
        <v>13</v>
      </c>
      <c r="D289" s="24">
        <v>45901</v>
      </c>
      <c r="E289" t="s">
        <v>243</v>
      </c>
      <c r="F289" t="s">
        <v>4</v>
      </c>
      <c r="G289" t="s">
        <v>217</v>
      </c>
      <c r="H289" t="s">
        <v>217</v>
      </c>
      <c r="I289" t="s">
        <v>244</v>
      </c>
      <c r="J289" s="25">
        <v>0</v>
      </c>
      <c r="K289" s="26">
        <v>0</v>
      </c>
      <c r="L289" s="26">
        <v>0</v>
      </c>
    </row>
    <row r="290" spans="1:12" ht="16" customHeight="1">
      <c r="A290" t="s">
        <v>215</v>
      </c>
      <c r="B290" t="s">
        <v>4</v>
      </c>
      <c r="C290" t="s">
        <v>13</v>
      </c>
      <c r="D290" s="24">
        <v>45901</v>
      </c>
      <c r="E290" t="s">
        <v>215</v>
      </c>
      <c r="F290" t="s">
        <v>4</v>
      </c>
      <c r="G290" t="s">
        <v>211</v>
      </c>
      <c r="H290" t="s">
        <v>211</v>
      </c>
      <c r="I290" t="s">
        <v>212</v>
      </c>
      <c r="J290" s="25">
        <v>308437541</v>
      </c>
      <c r="K290" s="26">
        <v>58359516.119999997</v>
      </c>
      <c r="L290" s="26">
        <v>49783.65</v>
      </c>
    </row>
    <row r="291" spans="1:12" ht="16" customHeight="1">
      <c r="A291" t="s">
        <v>215</v>
      </c>
      <c r="B291" t="s">
        <v>4</v>
      </c>
      <c r="C291" t="s">
        <v>13</v>
      </c>
      <c r="D291" s="24">
        <v>45901</v>
      </c>
      <c r="E291" t="s">
        <v>216</v>
      </c>
      <c r="F291" t="s">
        <v>4</v>
      </c>
      <c r="G291" t="s">
        <v>217</v>
      </c>
      <c r="H291" t="s">
        <v>217</v>
      </c>
      <c r="I291" t="s">
        <v>212</v>
      </c>
      <c r="J291" s="25">
        <v>11870233</v>
      </c>
      <c r="K291" s="26">
        <v>2253980.29</v>
      </c>
      <c r="L291" s="26">
        <v>6388.94</v>
      </c>
    </row>
    <row r="292" spans="1:12" ht="16" customHeight="1">
      <c r="A292" t="s">
        <v>215</v>
      </c>
      <c r="B292" t="s">
        <v>4</v>
      </c>
      <c r="C292" t="s">
        <v>13</v>
      </c>
      <c r="D292" s="24">
        <v>45901</v>
      </c>
      <c r="E292" t="s">
        <v>246</v>
      </c>
      <c r="F292" t="s">
        <v>4</v>
      </c>
      <c r="G292" t="s">
        <v>211</v>
      </c>
      <c r="H292" t="s">
        <v>211</v>
      </c>
      <c r="I292" t="s">
        <v>219</v>
      </c>
      <c r="J292" s="25">
        <v>470301</v>
      </c>
      <c r="K292" s="26">
        <v>89567.1</v>
      </c>
      <c r="L292" s="26">
        <v>411.61</v>
      </c>
    </row>
    <row r="293" spans="1:12" ht="16" customHeight="1">
      <c r="A293" t="s">
        <v>215</v>
      </c>
      <c r="B293" t="s">
        <v>4</v>
      </c>
      <c r="C293" t="s">
        <v>13</v>
      </c>
      <c r="D293" s="24">
        <v>45901</v>
      </c>
      <c r="E293" t="s">
        <v>251</v>
      </c>
      <c r="F293" t="s">
        <v>4</v>
      </c>
      <c r="G293" t="s">
        <v>211</v>
      </c>
      <c r="H293" t="s">
        <v>211</v>
      </c>
      <c r="I293" t="s">
        <v>219</v>
      </c>
      <c r="J293" s="25">
        <v>27345</v>
      </c>
      <c r="K293" s="26">
        <v>5229.03</v>
      </c>
      <c r="L293" s="26">
        <v>27.85</v>
      </c>
    </row>
    <row r="294" spans="1:12" ht="16" customHeight="1">
      <c r="A294" t="s">
        <v>215</v>
      </c>
      <c r="B294" t="s">
        <v>4</v>
      </c>
      <c r="C294" t="s">
        <v>13</v>
      </c>
      <c r="D294" s="24">
        <v>45901</v>
      </c>
      <c r="E294" t="s">
        <v>256</v>
      </c>
      <c r="F294" t="s">
        <v>3</v>
      </c>
      <c r="G294" t="s">
        <v>241</v>
      </c>
      <c r="H294" t="s">
        <v>241</v>
      </c>
      <c r="I294" t="s">
        <v>219</v>
      </c>
      <c r="J294" s="25">
        <v>3652</v>
      </c>
      <c r="K294" s="26">
        <v>703.58</v>
      </c>
      <c r="L294" s="26">
        <v>4.59</v>
      </c>
    </row>
    <row r="295" spans="1:12" ht="16" customHeight="1">
      <c r="A295" t="s">
        <v>215</v>
      </c>
      <c r="B295" t="s">
        <v>4</v>
      </c>
      <c r="C295" t="s">
        <v>13</v>
      </c>
      <c r="D295" s="24">
        <v>45901</v>
      </c>
      <c r="E295" t="s">
        <v>218</v>
      </c>
      <c r="F295" t="s">
        <v>4</v>
      </c>
      <c r="G295" t="s">
        <v>217</v>
      </c>
      <c r="H295" t="s">
        <v>217</v>
      </c>
      <c r="I295" t="s">
        <v>219</v>
      </c>
      <c r="J295" s="25">
        <v>488602</v>
      </c>
      <c r="K295" s="26">
        <v>93178.76</v>
      </c>
      <c r="L295" s="26">
        <v>668.91</v>
      </c>
    </row>
    <row r="296" spans="1:12" ht="16" customHeight="1">
      <c r="A296" t="s">
        <v>215</v>
      </c>
      <c r="B296" t="s">
        <v>4</v>
      </c>
      <c r="C296" t="s">
        <v>13</v>
      </c>
      <c r="D296" s="24">
        <v>45901</v>
      </c>
      <c r="E296" t="s">
        <v>220</v>
      </c>
      <c r="F296" t="s">
        <v>4</v>
      </c>
      <c r="G296" t="s">
        <v>217</v>
      </c>
      <c r="H296" t="s">
        <v>217</v>
      </c>
      <c r="I296" t="s">
        <v>221</v>
      </c>
      <c r="J296" s="25">
        <v>51888</v>
      </c>
      <c r="K296" s="26">
        <v>9905.61</v>
      </c>
      <c r="L296" s="26">
        <v>76.67</v>
      </c>
    </row>
    <row r="297" spans="1:12" ht="16" customHeight="1">
      <c r="A297" t="s">
        <v>215</v>
      </c>
      <c r="B297" t="s">
        <v>4</v>
      </c>
      <c r="C297" t="s">
        <v>13</v>
      </c>
      <c r="D297" s="24">
        <v>45901</v>
      </c>
      <c r="E297" t="s">
        <v>222</v>
      </c>
      <c r="F297" t="s">
        <v>4</v>
      </c>
      <c r="G297" t="s">
        <v>217</v>
      </c>
      <c r="H297" t="s">
        <v>217</v>
      </c>
      <c r="I297" t="s">
        <v>223</v>
      </c>
      <c r="J297" s="25">
        <v>48230</v>
      </c>
      <c r="K297" s="26">
        <v>9286.9699999999993</v>
      </c>
      <c r="L297" s="26">
        <v>183.91</v>
      </c>
    </row>
    <row r="298" spans="1:12" ht="16" customHeight="1">
      <c r="A298" t="s">
        <v>215</v>
      </c>
      <c r="B298" t="s">
        <v>4</v>
      </c>
      <c r="C298" t="s">
        <v>13</v>
      </c>
      <c r="D298" s="24">
        <v>45901</v>
      </c>
      <c r="E298" t="s">
        <v>224</v>
      </c>
      <c r="F298" t="s">
        <v>4</v>
      </c>
      <c r="G298" t="s">
        <v>217</v>
      </c>
      <c r="H298" t="s">
        <v>217</v>
      </c>
      <c r="I298" t="s">
        <v>225</v>
      </c>
      <c r="J298" s="25">
        <v>14337</v>
      </c>
      <c r="K298" s="26">
        <v>2784.03</v>
      </c>
      <c r="L298" s="26">
        <v>60.95</v>
      </c>
    </row>
    <row r="299" spans="1:12" ht="16" customHeight="1">
      <c r="A299" t="s">
        <v>215</v>
      </c>
      <c r="B299" t="s">
        <v>4</v>
      </c>
      <c r="C299" t="s">
        <v>13</v>
      </c>
      <c r="D299" s="24">
        <v>45901</v>
      </c>
      <c r="E299" t="s">
        <v>226</v>
      </c>
      <c r="F299" t="s">
        <v>4</v>
      </c>
      <c r="G299" t="s">
        <v>217</v>
      </c>
      <c r="H299" t="s">
        <v>217</v>
      </c>
      <c r="I299" t="s">
        <v>227</v>
      </c>
      <c r="J299" s="25">
        <v>240</v>
      </c>
      <c r="K299" s="26">
        <v>45.04</v>
      </c>
      <c r="L299" s="26">
        <v>0.78</v>
      </c>
    </row>
    <row r="300" spans="1:12" ht="16" customHeight="1">
      <c r="A300" t="s">
        <v>215</v>
      </c>
      <c r="B300" t="s">
        <v>4</v>
      </c>
      <c r="C300" t="s">
        <v>13</v>
      </c>
      <c r="D300" s="24">
        <v>45901</v>
      </c>
      <c r="E300" t="s">
        <v>228</v>
      </c>
      <c r="F300" t="s">
        <v>4</v>
      </c>
      <c r="G300" t="s">
        <v>217</v>
      </c>
      <c r="H300" t="s">
        <v>217</v>
      </c>
      <c r="I300" t="s">
        <v>229</v>
      </c>
      <c r="J300" s="25">
        <v>657</v>
      </c>
      <c r="K300" s="26">
        <v>132.21</v>
      </c>
      <c r="L300" s="26">
        <v>4.5999999999999996</v>
      </c>
    </row>
    <row r="301" spans="1:12" ht="16" customHeight="1">
      <c r="A301" t="s">
        <v>215</v>
      </c>
      <c r="B301" t="s">
        <v>4</v>
      </c>
      <c r="C301" t="s">
        <v>13</v>
      </c>
      <c r="D301" s="24">
        <v>45901</v>
      </c>
      <c r="E301" t="s">
        <v>230</v>
      </c>
      <c r="F301" t="s">
        <v>4</v>
      </c>
      <c r="G301" t="s">
        <v>217</v>
      </c>
      <c r="H301" t="s">
        <v>217</v>
      </c>
      <c r="I301" t="s">
        <v>231</v>
      </c>
      <c r="J301" s="25">
        <v>2</v>
      </c>
      <c r="K301" s="26">
        <v>0.32</v>
      </c>
      <c r="L301" s="26">
        <v>0</v>
      </c>
    </row>
    <row r="302" spans="1:12" ht="16" customHeight="1">
      <c r="A302" t="s">
        <v>215</v>
      </c>
      <c r="B302" t="s">
        <v>4</v>
      </c>
      <c r="C302" t="s">
        <v>13</v>
      </c>
      <c r="D302" s="24">
        <v>45901</v>
      </c>
      <c r="E302" t="s">
        <v>232</v>
      </c>
      <c r="F302" t="s">
        <v>4</v>
      </c>
      <c r="G302" t="s">
        <v>217</v>
      </c>
      <c r="H302" t="s">
        <v>217</v>
      </c>
      <c r="I302" t="s">
        <v>233</v>
      </c>
      <c r="J302" s="25">
        <v>2</v>
      </c>
      <c r="K302" s="26">
        <v>0.37</v>
      </c>
      <c r="L302" s="26">
        <v>0.01</v>
      </c>
    </row>
    <row r="303" spans="1:12" ht="16" customHeight="1">
      <c r="A303" t="s">
        <v>215</v>
      </c>
      <c r="B303" t="s">
        <v>4</v>
      </c>
      <c r="C303" t="s">
        <v>13</v>
      </c>
      <c r="D303" s="24">
        <v>45901</v>
      </c>
      <c r="E303" t="s">
        <v>234</v>
      </c>
      <c r="F303" t="s">
        <v>4</v>
      </c>
      <c r="G303" t="s">
        <v>217</v>
      </c>
      <c r="H303" t="s">
        <v>217</v>
      </c>
      <c r="I303" t="s">
        <v>235</v>
      </c>
      <c r="J303" s="25">
        <v>0</v>
      </c>
      <c r="K303" s="26">
        <v>0</v>
      </c>
      <c r="L303" s="26">
        <v>0</v>
      </c>
    </row>
    <row r="304" spans="1:12" ht="16" customHeight="1">
      <c r="A304" t="s">
        <v>215</v>
      </c>
      <c r="B304" t="s">
        <v>4</v>
      </c>
      <c r="C304" t="s">
        <v>13</v>
      </c>
      <c r="D304" s="24">
        <v>45901</v>
      </c>
      <c r="E304" t="s">
        <v>236</v>
      </c>
      <c r="F304" t="s">
        <v>4</v>
      </c>
      <c r="G304" t="s">
        <v>217</v>
      </c>
      <c r="H304" t="s">
        <v>217</v>
      </c>
      <c r="I304" t="s">
        <v>237</v>
      </c>
      <c r="J304" s="25">
        <v>0</v>
      </c>
      <c r="K304" s="26">
        <v>0</v>
      </c>
      <c r="L304" s="26">
        <v>0</v>
      </c>
    </row>
    <row r="305" spans="1:12" ht="16" customHeight="1">
      <c r="A305" t="s">
        <v>215</v>
      </c>
      <c r="B305" t="s">
        <v>4</v>
      </c>
      <c r="C305" t="s">
        <v>13</v>
      </c>
      <c r="D305" s="24">
        <v>45901</v>
      </c>
      <c r="E305" t="s">
        <v>238</v>
      </c>
      <c r="F305" t="s">
        <v>4</v>
      </c>
      <c r="G305" t="s">
        <v>217</v>
      </c>
      <c r="H305" t="s">
        <v>217</v>
      </c>
      <c r="I305" t="s">
        <v>239</v>
      </c>
      <c r="J305" s="25">
        <v>0</v>
      </c>
      <c r="K305" s="26">
        <v>0</v>
      </c>
      <c r="L305" s="26">
        <v>0</v>
      </c>
    </row>
    <row r="306" spans="1:12" ht="16" customHeight="1">
      <c r="A306" t="s">
        <v>215</v>
      </c>
      <c r="B306" t="s">
        <v>4</v>
      </c>
      <c r="C306" t="s">
        <v>13</v>
      </c>
      <c r="D306" s="24">
        <v>45901</v>
      </c>
      <c r="E306" t="s">
        <v>240</v>
      </c>
      <c r="F306" t="s">
        <v>3</v>
      </c>
      <c r="G306" t="s">
        <v>241</v>
      </c>
      <c r="H306" t="s">
        <v>241</v>
      </c>
      <c r="I306" t="s">
        <v>242</v>
      </c>
      <c r="J306" s="25">
        <v>0</v>
      </c>
      <c r="K306" s="26">
        <v>0</v>
      </c>
      <c r="L306" s="26">
        <v>0</v>
      </c>
    </row>
    <row r="307" spans="1:12" ht="16" customHeight="1">
      <c r="A307" t="s">
        <v>215</v>
      </c>
      <c r="B307" t="s">
        <v>4</v>
      </c>
      <c r="C307" t="s">
        <v>13</v>
      </c>
      <c r="D307" s="24">
        <v>45901</v>
      </c>
      <c r="E307" t="s">
        <v>243</v>
      </c>
      <c r="F307" t="s">
        <v>4</v>
      </c>
      <c r="G307" t="s">
        <v>217</v>
      </c>
      <c r="H307" t="s">
        <v>217</v>
      </c>
      <c r="I307" t="s">
        <v>244</v>
      </c>
      <c r="J307" s="25">
        <v>0</v>
      </c>
      <c r="K307" s="26">
        <v>0</v>
      </c>
      <c r="L307" s="26">
        <v>0</v>
      </c>
    </row>
    <row r="308" spans="1:12" ht="16" customHeight="1">
      <c r="A308" t="s">
        <v>260</v>
      </c>
      <c r="B308" t="s">
        <v>5</v>
      </c>
      <c r="C308" t="s">
        <v>13</v>
      </c>
      <c r="D308" s="24">
        <v>45901</v>
      </c>
      <c r="E308" t="s">
        <v>216</v>
      </c>
      <c r="F308" t="s">
        <v>4</v>
      </c>
      <c r="G308" t="s">
        <v>217</v>
      </c>
      <c r="H308" t="s">
        <v>261</v>
      </c>
      <c r="I308" t="s">
        <v>212</v>
      </c>
      <c r="J308" s="25">
        <v>52030968</v>
      </c>
      <c r="K308" s="26">
        <v>9838488.4600000009</v>
      </c>
      <c r="L308" s="26">
        <v>26206.799999999999</v>
      </c>
    </row>
    <row r="309" spans="1:12" ht="16" customHeight="1">
      <c r="A309" t="s">
        <v>260</v>
      </c>
      <c r="B309" t="s">
        <v>5</v>
      </c>
      <c r="C309" t="s">
        <v>13</v>
      </c>
      <c r="D309" s="24">
        <v>45901</v>
      </c>
      <c r="E309" t="s">
        <v>246</v>
      </c>
      <c r="F309" t="s">
        <v>4</v>
      </c>
      <c r="G309" t="s">
        <v>211</v>
      </c>
      <c r="H309" t="s">
        <v>211</v>
      </c>
      <c r="I309" t="s">
        <v>219</v>
      </c>
      <c r="J309" s="25">
        <v>1304519</v>
      </c>
      <c r="K309" s="26">
        <v>247433.13</v>
      </c>
      <c r="L309" s="26">
        <v>990.6</v>
      </c>
    </row>
    <row r="310" spans="1:12" ht="16" customHeight="1">
      <c r="A310" t="s">
        <v>260</v>
      </c>
      <c r="B310" t="s">
        <v>5</v>
      </c>
      <c r="C310" t="s">
        <v>13</v>
      </c>
      <c r="D310" s="24">
        <v>45901</v>
      </c>
      <c r="E310" t="s">
        <v>251</v>
      </c>
      <c r="F310" t="s">
        <v>4</v>
      </c>
      <c r="G310" t="s">
        <v>211</v>
      </c>
      <c r="H310" t="s">
        <v>211</v>
      </c>
      <c r="I310" t="s">
        <v>219</v>
      </c>
      <c r="J310" s="25">
        <v>67639</v>
      </c>
      <c r="K310" s="26">
        <v>12892.05</v>
      </c>
      <c r="L310" s="26">
        <v>66.42</v>
      </c>
    </row>
    <row r="311" spans="1:12" ht="16" customHeight="1">
      <c r="A311" t="s">
        <v>260</v>
      </c>
      <c r="B311" t="s">
        <v>5</v>
      </c>
      <c r="C311" t="s">
        <v>13</v>
      </c>
      <c r="D311" s="24">
        <v>45901</v>
      </c>
      <c r="E311" t="s">
        <v>256</v>
      </c>
      <c r="F311" t="s">
        <v>3</v>
      </c>
      <c r="G311" t="s">
        <v>241</v>
      </c>
      <c r="H311" t="s">
        <v>241</v>
      </c>
      <c r="I311" t="s">
        <v>219</v>
      </c>
      <c r="J311" s="25">
        <v>8196</v>
      </c>
      <c r="K311" s="26">
        <v>1573.87</v>
      </c>
      <c r="L311" s="26">
        <v>9.15</v>
      </c>
    </row>
    <row r="312" spans="1:12" ht="16" customHeight="1">
      <c r="A312" t="s">
        <v>260</v>
      </c>
      <c r="B312" t="s">
        <v>5</v>
      </c>
      <c r="C312" t="s">
        <v>13</v>
      </c>
      <c r="D312" s="24">
        <v>45901</v>
      </c>
      <c r="E312" t="s">
        <v>218</v>
      </c>
      <c r="F312" t="s">
        <v>4</v>
      </c>
      <c r="G312" t="s">
        <v>217</v>
      </c>
      <c r="H312" t="s">
        <v>217</v>
      </c>
      <c r="I312" t="s">
        <v>219</v>
      </c>
      <c r="J312" s="25">
        <v>512105</v>
      </c>
      <c r="K312" s="26">
        <v>97514.28</v>
      </c>
      <c r="L312" s="26">
        <v>715.95</v>
      </c>
    </row>
    <row r="313" spans="1:12" ht="16" customHeight="1">
      <c r="A313" t="s">
        <v>260</v>
      </c>
      <c r="B313" t="s">
        <v>5</v>
      </c>
      <c r="C313" t="s">
        <v>13</v>
      </c>
      <c r="D313" s="24">
        <v>45901</v>
      </c>
      <c r="E313" t="s">
        <v>262</v>
      </c>
      <c r="F313" t="s">
        <v>4</v>
      </c>
      <c r="G313" t="s">
        <v>211</v>
      </c>
      <c r="H313" t="s">
        <v>211</v>
      </c>
      <c r="I313" t="s">
        <v>221</v>
      </c>
      <c r="J313" s="25">
        <v>206</v>
      </c>
      <c r="K313" s="26">
        <v>40.14</v>
      </c>
      <c r="L313" s="26">
        <v>0.21</v>
      </c>
    </row>
    <row r="314" spans="1:12" ht="16" customHeight="1">
      <c r="A314" t="s">
        <v>260</v>
      </c>
      <c r="B314" t="s">
        <v>5</v>
      </c>
      <c r="C314" t="s">
        <v>13</v>
      </c>
      <c r="D314" s="24">
        <v>45901</v>
      </c>
      <c r="E314" t="s">
        <v>220</v>
      </c>
      <c r="F314" t="s">
        <v>4</v>
      </c>
      <c r="G314" t="s">
        <v>217</v>
      </c>
      <c r="H314" t="s">
        <v>217</v>
      </c>
      <c r="I314" t="s">
        <v>221</v>
      </c>
      <c r="J314" s="25">
        <v>46704</v>
      </c>
      <c r="K314" s="26">
        <v>8955.39</v>
      </c>
      <c r="L314" s="26">
        <v>67.34</v>
      </c>
    </row>
    <row r="315" spans="1:12" ht="16" customHeight="1">
      <c r="A315" t="s">
        <v>260</v>
      </c>
      <c r="B315" t="s">
        <v>5</v>
      </c>
      <c r="C315" t="s">
        <v>13</v>
      </c>
      <c r="D315" s="24">
        <v>45901</v>
      </c>
      <c r="E315" t="s">
        <v>222</v>
      </c>
      <c r="F315" t="s">
        <v>4</v>
      </c>
      <c r="G315" t="s">
        <v>217</v>
      </c>
      <c r="H315" t="s">
        <v>217</v>
      </c>
      <c r="I315" t="s">
        <v>223</v>
      </c>
      <c r="J315" s="25">
        <v>48983</v>
      </c>
      <c r="K315" s="26">
        <v>9503.2000000000007</v>
      </c>
      <c r="L315" s="26">
        <v>196.82</v>
      </c>
    </row>
    <row r="316" spans="1:12" ht="16" customHeight="1">
      <c r="A316" t="s">
        <v>260</v>
      </c>
      <c r="B316" t="s">
        <v>5</v>
      </c>
      <c r="C316" t="s">
        <v>13</v>
      </c>
      <c r="D316" s="24">
        <v>45901</v>
      </c>
      <c r="E316" t="s">
        <v>224</v>
      </c>
      <c r="F316" t="s">
        <v>4</v>
      </c>
      <c r="G316" t="s">
        <v>217</v>
      </c>
      <c r="H316" t="s">
        <v>217</v>
      </c>
      <c r="I316" t="s">
        <v>225</v>
      </c>
      <c r="J316" s="25">
        <v>12196</v>
      </c>
      <c r="K316" s="26">
        <v>2448.23</v>
      </c>
      <c r="L316" s="26">
        <v>49.75</v>
      </c>
    </row>
    <row r="317" spans="1:12" ht="16" customHeight="1">
      <c r="A317" t="s">
        <v>260</v>
      </c>
      <c r="B317" t="s">
        <v>5</v>
      </c>
      <c r="C317" t="s">
        <v>13</v>
      </c>
      <c r="D317" s="24">
        <v>45901</v>
      </c>
      <c r="E317" t="s">
        <v>226</v>
      </c>
      <c r="F317" t="s">
        <v>4</v>
      </c>
      <c r="G317" t="s">
        <v>217</v>
      </c>
      <c r="H317" t="s">
        <v>217</v>
      </c>
      <c r="I317" t="s">
        <v>227</v>
      </c>
      <c r="J317" s="25">
        <v>169</v>
      </c>
      <c r="K317" s="26">
        <v>32.47</v>
      </c>
      <c r="L317" s="26">
        <v>0.7</v>
      </c>
    </row>
    <row r="318" spans="1:12" ht="16" customHeight="1">
      <c r="A318" t="s">
        <v>260</v>
      </c>
      <c r="B318" t="s">
        <v>5</v>
      </c>
      <c r="C318" t="s">
        <v>13</v>
      </c>
      <c r="D318" s="24">
        <v>45901</v>
      </c>
      <c r="E318" t="s">
        <v>228</v>
      </c>
      <c r="F318" t="s">
        <v>4</v>
      </c>
      <c r="G318" t="s">
        <v>217</v>
      </c>
      <c r="H318" t="s">
        <v>217</v>
      </c>
      <c r="I318" t="s">
        <v>229</v>
      </c>
      <c r="J318" s="25">
        <v>986</v>
      </c>
      <c r="K318" s="26">
        <v>197.23</v>
      </c>
      <c r="L318" s="26">
        <v>7.35</v>
      </c>
    </row>
    <row r="319" spans="1:12" ht="16" customHeight="1">
      <c r="A319" t="s">
        <v>260</v>
      </c>
      <c r="B319" t="s">
        <v>5</v>
      </c>
      <c r="C319" t="s">
        <v>13</v>
      </c>
      <c r="D319" s="24">
        <v>45901</v>
      </c>
      <c r="E319" t="s">
        <v>230</v>
      </c>
      <c r="F319" t="s">
        <v>4</v>
      </c>
      <c r="G319" t="s">
        <v>217</v>
      </c>
      <c r="H319" t="s">
        <v>217</v>
      </c>
      <c r="I319" t="s">
        <v>231</v>
      </c>
      <c r="J319" s="25">
        <v>0</v>
      </c>
      <c r="K319" s="26">
        <v>0</v>
      </c>
      <c r="L319" s="26">
        <v>0</v>
      </c>
    </row>
    <row r="320" spans="1:12" ht="16" customHeight="1">
      <c r="A320" t="s">
        <v>260</v>
      </c>
      <c r="B320" t="s">
        <v>5</v>
      </c>
      <c r="C320" t="s">
        <v>13</v>
      </c>
      <c r="D320" s="24">
        <v>45901</v>
      </c>
      <c r="E320" t="s">
        <v>232</v>
      </c>
      <c r="F320" t="s">
        <v>4</v>
      </c>
      <c r="G320" t="s">
        <v>217</v>
      </c>
      <c r="H320" t="s">
        <v>217</v>
      </c>
      <c r="I320" t="s">
        <v>233</v>
      </c>
      <c r="J320" s="25">
        <v>5</v>
      </c>
      <c r="K320" s="26">
        <v>0.96</v>
      </c>
      <c r="L320" s="26">
        <v>0.03</v>
      </c>
    </row>
    <row r="321" spans="1:12" ht="16" customHeight="1">
      <c r="A321" t="s">
        <v>260</v>
      </c>
      <c r="B321" t="s">
        <v>5</v>
      </c>
      <c r="C321" t="s">
        <v>13</v>
      </c>
      <c r="D321" s="24">
        <v>45901</v>
      </c>
      <c r="E321" t="s">
        <v>234</v>
      </c>
      <c r="F321" t="s">
        <v>4</v>
      </c>
      <c r="G321" t="s">
        <v>217</v>
      </c>
      <c r="H321" t="s">
        <v>217</v>
      </c>
      <c r="I321" t="s">
        <v>235</v>
      </c>
      <c r="J321" s="25">
        <v>0</v>
      </c>
      <c r="K321" s="26">
        <v>0</v>
      </c>
      <c r="L321" s="26">
        <v>0</v>
      </c>
    </row>
    <row r="322" spans="1:12" ht="16" customHeight="1">
      <c r="A322" t="s">
        <v>260</v>
      </c>
      <c r="B322" t="s">
        <v>5</v>
      </c>
      <c r="C322" t="s">
        <v>13</v>
      </c>
      <c r="D322" s="24">
        <v>45901</v>
      </c>
      <c r="E322" t="s">
        <v>236</v>
      </c>
      <c r="F322" t="s">
        <v>4</v>
      </c>
      <c r="G322" t="s">
        <v>217</v>
      </c>
      <c r="H322" t="s">
        <v>217</v>
      </c>
      <c r="I322" t="s">
        <v>237</v>
      </c>
      <c r="J322" s="25">
        <v>1</v>
      </c>
      <c r="K322" s="26">
        <v>0.2</v>
      </c>
      <c r="L322" s="26">
        <v>0.01</v>
      </c>
    </row>
    <row r="323" spans="1:12" ht="16" customHeight="1">
      <c r="A323" t="s">
        <v>260</v>
      </c>
      <c r="B323" t="s">
        <v>5</v>
      </c>
      <c r="C323" t="s">
        <v>13</v>
      </c>
      <c r="D323" s="24">
        <v>45901</v>
      </c>
      <c r="E323" t="s">
        <v>238</v>
      </c>
      <c r="F323" t="s">
        <v>4</v>
      </c>
      <c r="G323" t="s">
        <v>217</v>
      </c>
      <c r="H323" t="s">
        <v>217</v>
      </c>
      <c r="I323" t="s">
        <v>239</v>
      </c>
      <c r="J323" s="25">
        <v>0</v>
      </c>
      <c r="K323" s="26">
        <v>0</v>
      </c>
      <c r="L323" s="26">
        <v>0</v>
      </c>
    </row>
    <row r="324" spans="1:12" ht="16" customHeight="1">
      <c r="A324" t="s">
        <v>260</v>
      </c>
      <c r="B324" t="s">
        <v>5</v>
      </c>
      <c r="C324" t="s">
        <v>13</v>
      </c>
      <c r="D324" s="24">
        <v>45901</v>
      </c>
      <c r="E324" t="s">
        <v>240</v>
      </c>
      <c r="F324" t="s">
        <v>3</v>
      </c>
      <c r="G324" t="s">
        <v>241</v>
      </c>
      <c r="H324" t="s">
        <v>241</v>
      </c>
      <c r="I324" t="s">
        <v>242</v>
      </c>
      <c r="J324" s="25">
        <v>0</v>
      </c>
      <c r="K324" s="26">
        <v>0</v>
      </c>
      <c r="L324" s="26">
        <v>0</v>
      </c>
    </row>
    <row r="325" spans="1:12" ht="16" customHeight="1">
      <c r="A325" t="s">
        <v>260</v>
      </c>
      <c r="B325" t="s">
        <v>5</v>
      </c>
      <c r="C325" t="s">
        <v>13</v>
      </c>
      <c r="D325" s="24">
        <v>45901</v>
      </c>
      <c r="E325" t="s">
        <v>243</v>
      </c>
      <c r="F325" t="s">
        <v>4</v>
      </c>
      <c r="G325" t="s">
        <v>217</v>
      </c>
      <c r="H325" t="s">
        <v>217</v>
      </c>
      <c r="I325" t="s">
        <v>244</v>
      </c>
      <c r="J325" s="25">
        <v>0</v>
      </c>
      <c r="K325" s="26">
        <v>0</v>
      </c>
      <c r="L325" s="26">
        <v>0</v>
      </c>
    </row>
    <row r="326" spans="1:12" ht="16" customHeight="1">
      <c r="A326" t="s">
        <v>263</v>
      </c>
      <c r="B326" t="s">
        <v>6</v>
      </c>
      <c r="C326" t="s">
        <v>13</v>
      </c>
      <c r="D326" s="24">
        <v>45901</v>
      </c>
      <c r="E326" t="s">
        <v>216</v>
      </c>
      <c r="F326" t="s">
        <v>4</v>
      </c>
      <c r="G326" t="s">
        <v>217</v>
      </c>
      <c r="H326" t="s">
        <v>261</v>
      </c>
      <c r="I326" t="s">
        <v>212</v>
      </c>
      <c r="J326" s="25">
        <v>53729065</v>
      </c>
      <c r="K326" s="26">
        <v>10140836.960000001</v>
      </c>
      <c r="L326" s="26">
        <v>23245.34</v>
      </c>
    </row>
    <row r="327" spans="1:12" ht="16" customHeight="1">
      <c r="A327" t="s">
        <v>263</v>
      </c>
      <c r="B327" t="s">
        <v>6</v>
      </c>
      <c r="C327" t="s">
        <v>13</v>
      </c>
      <c r="D327" s="24">
        <v>45901</v>
      </c>
      <c r="E327" t="s">
        <v>246</v>
      </c>
      <c r="F327" t="s">
        <v>4</v>
      </c>
      <c r="G327" t="s">
        <v>211</v>
      </c>
      <c r="H327" t="s">
        <v>211</v>
      </c>
      <c r="I327" t="s">
        <v>219</v>
      </c>
      <c r="J327" s="25">
        <v>1747807</v>
      </c>
      <c r="K327" s="26">
        <v>330744.46999999997</v>
      </c>
      <c r="L327" s="26">
        <v>1327.47</v>
      </c>
    </row>
    <row r="328" spans="1:12" ht="16" customHeight="1">
      <c r="A328" t="s">
        <v>263</v>
      </c>
      <c r="B328" t="s">
        <v>6</v>
      </c>
      <c r="C328" t="s">
        <v>13</v>
      </c>
      <c r="D328" s="24">
        <v>45901</v>
      </c>
      <c r="E328" t="s">
        <v>251</v>
      </c>
      <c r="F328" t="s">
        <v>4</v>
      </c>
      <c r="G328" t="s">
        <v>211</v>
      </c>
      <c r="H328" t="s">
        <v>211</v>
      </c>
      <c r="I328" t="s">
        <v>219</v>
      </c>
      <c r="J328" s="25">
        <v>95792</v>
      </c>
      <c r="K328" s="26">
        <v>18162.5</v>
      </c>
      <c r="L328" s="26">
        <v>94.08</v>
      </c>
    </row>
    <row r="329" spans="1:12" ht="16" customHeight="1">
      <c r="A329" t="s">
        <v>263</v>
      </c>
      <c r="B329" t="s">
        <v>6</v>
      </c>
      <c r="C329" t="s">
        <v>13</v>
      </c>
      <c r="D329" s="24">
        <v>45901</v>
      </c>
      <c r="E329" t="s">
        <v>256</v>
      </c>
      <c r="F329" t="s">
        <v>3</v>
      </c>
      <c r="G329" t="s">
        <v>241</v>
      </c>
      <c r="H329" t="s">
        <v>241</v>
      </c>
      <c r="I329" t="s">
        <v>219</v>
      </c>
      <c r="J329" s="25">
        <v>12189</v>
      </c>
      <c r="K329" s="26">
        <v>2330.71</v>
      </c>
      <c r="L329" s="26">
        <v>12.61</v>
      </c>
    </row>
    <row r="330" spans="1:12" ht="16" customHeight="1">
      <c r="A330" t="s">
        <v>263</v>
      </c>
      <c r="B330" t="s">
        <v>6</v>
      </c>
      <c r="C330" t="s">
        <v>13</v>
      </c>
      <c r="D330" s="24">
        <v>45901</v>
      </c>
      <c r="E330" t="s">
        <v>218</v>
      </c>
      <c r="F330" t="s">
        <v>4</v>
      </c>
      <c r="G330" t="s">
        <v>217</v>
      </c>
      <c r="H330" t="s">
        <v>217</v>
      </c>
      <c r="I330" t="s">
        <v>219</v>
      </c>
      <c r="J330" s="25">
        <v>630100</v>
      </c>
      <c r="K330" s="26">
        <v>120014.32</v>
      </c>
      <c r="L330" s="26">
        <v>831.69</v>
      </c>
    </row>
    <row r="331" spans="1:12" ht="16" customHeight="1">
      <c r="A331" t="s">
        <v>263</v>
      </c>
      <c r="B331" t="s">
        <v>6</v>
      </c>
      <c r="C331" t="s">
        <v>13</v>
      </c>
      <c r="D331" s="24">
        <v>45901</v>
      </c>
      <c r="E331" t="s">
        <v>262</v>
      </c>
      <c r="F331" t="s">
        <v>4</v>
      </c>
      <c r="G331" t="s">
        <v>211</v>
      </c>
      <c r="H331" t="s">
        <v>211</v>
      </c>
      <c r="I331" t="s">
        <v>221</v>
      </c>
      <c r="J331" s="25">
        <v>189</v>
      </c>
      <c r="K331" s="26">
        <v>36.6</v>
      </c>
      <c r="L331" s="26">
        <v>0.22</v>
      </c>
    </row>
    <row r="332" spans="1:12" ht="16" customHeight="1">
      <c r="A332" t="s">
        <v>263</v>
      </c>
      <c r="B332" t="s">
        <v>6</v>
      </c>
      <c r="C332" t="s">
        <v>13</v>
      </c>
      <c r="D332" s="24">
        <v>45901</v>
      </c>
      <c r="E332" t="s">
        <v>220</v>
      </c>
      <c r="F332" t="s">
        <v>4</v>
      </c>
      <c r="G332" t="s">
        <v>217</v>
      </c>
      <c r="H332" t="s">
        <v>217</v>
      </c>
      <c r="I332" t="s">
        <v>221</v>
      </c>
      <c r="J332" s="25">
        <v>63297</v>
      </c>
      <c r="K332" s="26">
        <v>12117.14</v>
      </c>
      <c r="L332" s="26">
        <v>105.87</v>
      </c>
    </row>
    <row r="333" spans="1:12" ht="16" customHeight="1">
      <c r="A333" t="s">
        <v>263</v>
      </c>
      <c r="B333" t="s">
        <v>6</v>
      </c>
      <c r="C333" t="s">
        <v>13</v>
      </c>
      <c r="D333" s="24">
        <v>45901</v>
      </c>
      <c r="E333" t="s">
        <v>222</v>
      </c>
      <c r="F333" t="s">
        <v>4</v>
      </c>
      <c r="G333" t="s">
        <v>217</v>
      </c>
      <c r="H333" t="s">
        <v>217</v>
      </c>
      <c r="I333" t="s">
        <v>223</v>
      </c>
      <c r="J333" s="25">
        <v>73200</v>
      </c>
      <c r="K333" s="26">
        <v>14096.67</v>
      </c>
      <c r="L333" s="26">
        <v>312.23</v>
      </c>
    </row>
    <row r="334" spans="1:12" ht="16" customHeight="1">
      <c r="A334" t="s">
        <v>263</v>
      </c>
      <c r="B334" t="s">
        <v>6</v>
      </c>
      <c r="C334" t="s">
        <v>13</v>
      </c>
      <c r="D334" s="24">
        <v>45901</v>
      </c>
      <c r="E334" t="s">
        <v>224</v>
      </c>
      <c r="F334" t="s">
        <v>4</v>
      </c>
      <c r="G334" t="s">
        <v>217</v>
      </c>
      <c r="H334" t="s">
        <v>217</v>
      </c>
      <c r="I334" t="s">
        <v>225</v>
      </c>
      <c r="J334" s="25">
        <v>14701</v>
      </c>
      <c r="K334" s="26">
        <v>2895.32</v>
      </c>
      <c r="L334" s="26">
        <v>58.39</v>
      </c>
    </row>
    <row r="335" spans="1:12" ht="16" customHeight="1">
      <c r="A335" t="s">
        <v>263</v>
      </c>
      <c r="B335" t="s">
        <v>6</v>
      </c>
      <c r="C335" t="s">
        <v>13</v>
      </c>
      <c r="D335" s="24">
        <v>45901</v>
      </c>
      <c r="E335" t="s">
        <v>226</v>
      </c>
      <c r="F335" t="s">
        <v>4</v>
      </c>
      <c r="G335" t="s">
        <v>217</v>
      </c>
      <c r="H335" t="s">
        <v>217</v>
      </c>
      <c r="I335" t="s">
        <v>227</v>
      </c>
      <c r="J335" s="25">
        <v>592</v>
      </c>
      <c r="K335" s="26">
        <v>110.68</v>
      </c>
      <c r="L335" s="26">
        <v>2.06</v>
      </c>
    </row>
    <row r="336" spans="1:12" ht="16" customHeight="1">
      <c r="A336" t="s">
        <v>263</v>
      </c>
      <c r="B336" t="s">
        <v>6</v>
      </c>
      <c r="C336" t="s">
        <v>13</v>
      </c>
      <c r="D336" s="24">
        <v>45901</v>
      </c>
      <c r="E336" t="s">
        <v>228</v>
      </c>
      <c r="F336" t="s">
        <v>4</v>
      </c>
      <c r="G336" t="s">
        <v>217</v>
      </c>
      <c r="H336" t="s">
        <v>217</v>
      </c>
      <c r="I336" t="s">
        <v>229</v>
      </c>
      <c r="J336" s="25">
        <v>1576</v>
      </c>
      <c r="K336" s="26">
        <v>298.36</v>
      </c>
      <c r="L336" s="26">
        <v>8.2100000000000009</v>
      </c>
    </row>
    <row r="337" spans="1:12" ht="16" customHeight="1">
      <c r="A337" t="s">
        <v>263</v>
      </c>
      <c r="B337" t="s">
        <v>6</v>
      </c>
      <c r="C337" t="s">
        <v>13</v>
      </c>
      <c r="D337" s="24">
        <v>45901</v>
      </c>
      <c r="E337" t="s">
        <v>230</v>
      </c>
      <c r="F337" t="s">
        <v>4</v>
      </c>
      <c r="G337" t="s">
        <v>217</v>
      </c>
      <c r="H337" t="s">
        <v>217</v>
      </c>
      <c r="I337" t="s">
        <v>231</v>
      </c>
      <c r="J337" s="25">
        <v>0</v>
      </c>
      <c r="K337" s="26">
        <v>0</v>
      </c>
      <c r="L337" s="26">
        <v>0</v>
      </c>
    </row>
    <row r="338" spans="1:12" ht="16" customHeight="1">
      <c r="A338" t="s">
        <v>263</v>
      </c>
      <c r="B338" t="s">
        <v>6</v>
      </c>
      <c r="C338" t="s">
        <v>13</v>
      </c>
      <c r="D338" s="24">
        <v>45901</v>
      </c>
      <c r="E338" t="s">
        <v>232</v>
      </c>
      <c r="F338" t="s">
        <v>4</v>
      </c>
      <c r="G338" t="s">
        <v>217</v>
      </c>
      <c r="H338" t="s">
        <v>217</v>
      </c>
      <c r="I338" t="s">
        <v>233</v>
      </c>
      <c r="J338" s="25">
        <v>9</v>
      </c>
      <c r="K338" s="26">
        <v>1.65</v>
      </c>
      <c r="L338" s="26">
        <v>0.05</v>
      </c>
    </row>
    <row r="339" spans="1:12" ht="16" customHeight="1">
      <c r="A339" t="s">
        <v>263</v>
      </c>
      <c r="B339" t="s">
        <v>6</v>
      </c>
      <c r="C339" t="s">
        <v>13</v>
      </c>
      <c r="D339" s="24">
        <v>45901</v>
      </c>
      <c r="E339" t="s">
        <v>234</v>
      </c>
      <c r="F339" t="s">
        <v>4</v>
      </c>
      <c r="G339" t="s">
        <v>217</v>
      </c>
      <c r="H339" t="s">
        <v>217</v>
      </c>
      <c r="I339" t="s">
        <v>235</v>
      </c>
      <c r="J339" s="25">
        <v>0</v>
      </c>
      <c r="K339" s="26">
        <v>0</v>
      </c>
      <c r="L339" s="26">
        <v>0</v>
      </c>
    </row>
    <row r="340" spans="1:12" ht="16" customHeight="1">
      <c r="A340" t="s">
        <v>263</v>
      </c>
      <c r="B340" t="s">
        <v>6</v>
      </c>
      <c r="C340" t="s">
        <v>13</v>
      </c>
      <c r="D340" s="24">
        <v>45901</v>
      </c>
      <c r="E340" t="s">
        <v>236</v>
      </c>
      <c r="F340" t="s">
        <v>4</v>
      </c>
      <c r="G340" t="s">
        <v>217</v>
      </c>
      <c r="H340" t="s">
        <v>217</v>
      </c>
      <c r="I340" t="s">
        <v>237</v>
      </c>
      <c r="J340" s="25">
        <v>0</v>
      </c>
      <c r="K340" s="26">
        <v>0</v>
      </c>
      <c r="L340" s="26">
        <v>0</v>
      </c>
    </row>
    <row r="341" spans="1:12" ht="16" customHeight="1">
      <c r="A341" t="s">
        <v>263</v>
      </c>
      <c r="B341" t="s">
        <v>6</v>
      </c>
      <c r="C341" t="s">
        <v>13</v>
      </c>
      <c r="D341" s="24">
        <v>45901</v>
      </c>
      <c r="E341" t="s">
        <v>238</v>
      </c>
      <c r="F341" t="s">
        <v>4</v>
      </c>
      <c r="G341" t="s">
        <v>217</v>
      </c>
      <c r="H341" t="s">
        <v>217</v>
      </c>
      <c r="I341" t="s">
        <v>239</v>
      </c>
      <c r="J341" s="25">
        <v>0</v>
      </c>
      <c r="K341" s="26">
        <v>0</v>
      </c>
      <c r="L341" s="26">
        <v>0</v>
      </c>
    </row>
    <row r="342" spans="1:12" ht="16" customHeight="1">
      <c r="A342" t="s">
        <v>263</v>
      </c>
      <c r="B342" t="s">
        <v>6</v>
      </c>
      <c r="C342" t="s">
        <v>13</v>
      </c>
      <c r="D342" s="24">
        <v>45901</v>
      </c>
      <c r="E342" t="s">
        <v>240</v>
      </c>
      <c r="F342" t="s">
        <v>3</v>
      </c>
      <c r="G342" t="s">
        <v>241</v>
      </c>
      <c r="H342" t="s">
        <v>241</v>
      </c>
      <c r="I342" t="s">
        <v>242</v>
      </c>
      <c r="J342" s="25">
        <v>0</v>
      </c>
      <c r="K342" s="26">
        <v>0</v>
      </c>
      <c r="L342" s="26">
        <v>0</v>
      </c>
    </row>
    <row r="343" spans="1:12" ht="16" customHeight="1">
      <c r="A343" t="s">
        <v>263</v>
      </c>
      <c r="B343" t="s">
        <v>6</v>
      </c>
      <c r="C343" t="s">
        <v>13</v>
      </c>
      <c r="D343" s="24">
        <v>45901</v>
      </c>
      <c r="E343" t="s">
        <v>243</v>
      </c>
      <c r="F343" t="s">
        <v>4</v>
      </c>
      <c r="G343" t="s">
        <v>217</v>
      </c>
      <c r="H343" t="s">
        <v>217</v>
      </c>
      <c r="I343" t="s">
        <v>244</v>
      </c>
      <c r="J343" s="25">
        <v>0</v>
      </c>
      <c r="K343" s="26">
        <v>0</v>
      </c>
      <c r="L343" s="26">
        <v>0</v>
      </c>
    </row>
    <row r="344" spans="1:12" ht="16" customHeight="1">
      <c r="A344" t="s">
        <v>264</v>
      </c>
      <c r="B344" t="s">
        <v>7</v>
      </c>
      <c r="C344" t="s">
        <v>13</v>
      </c>
      <c r="D344" s="24">
        <v>45901</v>
      </c>
      <c r="E344" t="s">
        <v>216</v>
      </c>
      <c r="F344" t="s">
        <v>4</v>
      </c>
      <c r="G344" t="s">
        <v>217</v>
      </c>
      <c r="H344" t="s">
        <v>261</v>
      </c>
      <c r="I344" t="s">
        <v>212</v>
      </c>
      <c r="J344" s="25">
        <v>99902311</v>
      </c>
      <c r="K344" s="26">
        <v>18660655.59</v>
      </c>
      <c r="L344" s="26">
        <v>39279.480000000003</v>
      </c>
    </row>
    <row r="345" spans="1:12" ht="16" customHeight="1">
      <c r="A345" t="s">
        <v>264</v>
      </c>
      <c r="B345" t="s">
        <v>7</v>
      </c>
      <c r="C345" t="s">
        <v>13</v>
      </c>
      <c r="D345" s="24">
        <v>45901</v>
      </c>
      <c r="E345" t="s">
        <v>246</v>
      </c>
      <c r="F345" t="s">
        <v>4</v>
      </c>
      <c r="G345" t="s">
        <v>211</v>
      </c>
      <c r="H345" t="s">
        <v>211</v>
      </c>
      <c r="I345" t="s">
        <v>219</v>
      </c>
      <c r="J345" s="25">
        <v>3007115</v>
      </c>
      <c r="K345" s="26">
        <v>563645.18000000005</v>
      </c>
      <c r="L345" s="26">
        <v>2157.25</v>
      </c>
    </row>
    <row r="346" spans="1:12" ht="16" customHeight="1">
      <c r="A346" t="s">
        <v>264</v>
      </c>
      <c r="B346" t="s">
        <v>7</v>
      </c>
      <c r="C346" t="s">
        <v>13</v>
      </c>
      <c r="D346" s="24">
        <v>45901</v>
      </c>
      <c r="E346" t="s">
        <v>251</v>
      </c>
      <c r="F346" t="s">
        <v>4</v>
      </c>
      <c r="G346" t="s">
        <v>211</v>
      </c>
      <c r="H346" t="s">
        <v>211</v>
      </c>
      <c r="I346" t="s">
        <v>219</v>
      </c>
      <c r="J346" s="25">
        <v>192790</v>
      </c>
      <c r="K346" s="26">
        <v>36296.870000000003</v>
      </c>
      <c r="L346" s="26">
        <v>204.04</v>
      </c>
    </row>
    <row r="347" spans="1:12" ht="16" customHeight="1">
      <c r="A347" t="s">
        <v>264</v>
      </c>
      <c r="B347" t="s">
        <v>7</v>
      </c>
      <c r="C347" t="s">
        <v>13</v>
      </c>
      <c r="D347" s="24">
        <v>45901</v>
      </c>
      <c r="E347" t="s">
        <v>256</v>
      </c>
      <c r="F347" t="s">
        <v>3</v>
      </c>
      <c r="G347" t="s">
        <v>241</v>
      </c>
      <c r="H347" t="s">
        <v>241</v>
      </c>
      <c r="I347" t="s">
        <v>219</v>
      </c>
      <c r="J347" s="25">
        <v>22364</v>
      </c>
      <c r="K347" s="26">
        <v>4227.45</v>
      </c>
      <c r="L347" s="26">
        <v>24.44</v>
      </c>
    </row>
    <row r="348" spans="1:12" ht="16" customHeight="1">
      <c r="A348" t="s">
        <v>264</v>
      </c>
      <c r="B348" t="s">
        <v>7</v>
      </c>
      <c r="C348" t="s">
        <v>13</v>
      </c>
      <c r="D348" s="24">
        <v>45901</v>
      </c>
      <c r="E348" t="s">
        <v>218</v>
      </c>
      <c r="F348" t="s">
        <v>4</v>
      </c>
      <c r="G348" t="s">
        <v>217</v>
      </c>
      <c r="H348" t="s">
        <v>217</v>
      </c>
      <c r="I348" t="s">
        <v>219</v>
      </c>
      <c r="J348" s="25">
        <v>1011986</v>
      </c>
      <c r="K348" s="26">
        <v>190810.63</v>
      </c>
      <c r="L348" s="26">
        <v>1396.74</v>
      </c>
    </row>
    <row r="349" spans="1:12" ht="16" customHeight="1">
      <c r="A349" t="s">
        <v>264</v>
      </c>
      <c r="B349" t="s">
        <v>7</v>
      </c>
      <c r="C349" t="s">
        <v>13</v>
      </c>
      <c r="D349" s="24">
        <v>45901</v>
      </c>
      <c r="E349" t="s">
        <v>262</v>
      </c>
      <c r="F349" t="s">
        <v>4</v>
      </c>
      <c r="G349" t="s">
        <v>211</v>
      </c>
      <c r="H349" t="s">
        <v>211</v>
      </c>
      <c r="I349" t="s">
        <v>221</v>
      </c>
      <c r="J349" s="25">
        <v>532</v>
      </c>
      <c r="K349" s="26">
        <v>101.88</v>
      </c>
      <c r="L349" s="26">
        <v>0.46</v>
      </c>
    </row>
    <row r="350" spans="1:12" ht="16" customHeight="1">
      <c r="A350" t="s">
        <v>264</v>
      </c>
      <c r="B350" t="s">
        <v>7</v>
      </c>
      <c r="C350" t="s">
        <v>13</v>
      </c>
      <c r="D350" s="24">
        <v>45901</v>
      </c>
      <c r="E350" t="s">
        <v>220</v>
      </c>
      <c r="F350" t="s">
        <v>4</v>
      </c>
      <c r="G350" t="s">
        <v>217</v>
      </c>
      <c r="H350" t="s">
        <v>217</v>
      </c>
      <c r="I350" t="s">
        <v>221</v>
      </c>
      <c r="J350" s="25">
        <v>132012</v>
      </c>
      <c r="K350" s="26">
        <v>25059.759999999998</v>
      </c>
      <c r="L350" s="26">
        <v>209.04</v>
      </c>
    </row>
    <row r="351" spans="1:12" ht="16" customHeight="1">
      <c r="A351" t="s">
        <v>264</v>
      </c>
      <c r="B351" t="s">
        <v>7</v>
      </c>
      <c r="C351" t="s">
        <v>13</v>
      </c>
      <c r="D351" s="24">
        <v>45901</v>
      </c>
      <c r="E351" t="s">
        <v>222</v>
      </c>
      <c r="F351" t="s">
        <v>4</v>
      </c>
      <c r="G351" t="s">
        <v>217</v>
      </c>
      <c r="H351" t="s">
        <v>217</v>
      </c>
      <c r="I351" t="s">
        <v>223</v>
      </c>
      <c r="J351" s="25">
        <v>106942</v>
      </c>
      <c r="K351" s="26">
        <v>20478.87</v>
      </c>
      <c r="L351" s="26">
        <v>467.64</v>
      </c>
    </row>
    <row r="352" spans="1:12" ht="16" customHeight="1">
      <c r="A352" t="s">
        <v>264</v>
      </c>
      <c r="B352" t="s">
        <v>7</v>
      </c>
      <c r="C352" t="s">
        <v>13</v>
      </c>
      <c r="D352" s="24">
        <v>45901</v>
      </c>
      <c r="E352" t="s">
        <v>224</v>
      </c>
      <c r="F352" t="s">
        <v>4</v>
      </c>
      <c r="G352" t="s">
        <v>217</v>
      </c>
      <c r="H352" t="s">
        <v>217</v>
      </c>
      <c r="I352" t="s">
        <v>225</v>
      </c>
      <c r="J352" s="25">
        <v>22082</v>
      </c>
      <c r="K352" s="26">
        <v>4269.08</v>
      </c>
      <c r="L352" s="26">
        <v>84.95</v>
      </c>
    </row>
    <row r="353" spans="1:12" ht="16" customHeight="1">
      <c r="A353" t="s">
        <v>264</v>
      </c>
      <c r="B353" t="s">
        <v>7</v>
      </c>
      <c r="C353" t="s">
        <v>13</v>
      </c>
      <c r="D353" s="24">
        <v>45901</v>
      </c>
      <c r="E353" t="s">
        <v>226</v>
      </c>
      <c r="F353" t="s">
        <v>4</v>
      </c>
      <c r="G353" t="s">
        <v>217</v>
      </c>
      <c r="H353" t="s">
        <v>217</v>
      </c>
      <c r="I353" t="s">
        <v>227</v>
      </c>
      <c r="J353" s="25">
        <v>753</v>
      </c>
      <c r="K353" s="26">
        <v>142.76</v>
      </c>
      <c r="L353" s="26">
        <v>3.52</v>
      </c>
    </row>
    <row r="354" spans="1:12" ht="16" customHeight="1">
      <c r="A354" t="s">
        <v>264</v>
      </c>
      <c r="B354" t="s">
        <v>7</v>
      </c>
      <c r="C354" t="s">
        <v>13</v>
      </c>
      <c r="D354" s="24">
        <v>45901</v>
      </c>
      <c r="E354" t="s">
        <v>228</v>
      </c>
      <c r="F354" t="s">
        <v>4</v>
      </c>
      <c r="G354" t="s">
        <v>217</v>
      </c>
      <c r="H354" t="s">
        <v>217</v>
      </c>
      <c r="I354" t="s">
        <v>229</v>
      </c>
      <c r="J354" s="25">
        <v>1488</v>
      </c>
      <c r="K354" s="26">
        <v>295.08999999999997</v>
      </c>
      <c r="L354" s="26">
        <v>10.44</v>
      </c>
    </row>
    <row r="355" spans="1:12" ht="16" customHeight="1">
      <c r="A355" t="s">
        <v>264</v>
      </c>
      <c r="B355" t="s">
        <v>7</v>
      </c>
      <c r="C355" t="s">
        <v>13</v>
      </c>
      <c r="D355" s="24">
        <v>45901</v>
      </c>
      <c r="E355" t="s">
        <v>230</v>
      </c>
      <c r="F355" t="s">
        <v>4</v>
      </c>
      <c r="G355" t="s">
        <v>217</v>
      </c>
      <c r="H355" t="s">
        <v>217</v>
      </c>
      <c r="I355" t="s">
        <v>231</v>
      </c>
      <c r="J355" s="25">
        <v>0</v>
      </c>
      <c r="K355" s="26">
        <v>0</v>
      </c>
      <c r="L355" s="26">
        <v>0</v>
      </c>
    </row>
    <row r="356" spans="1:12" ht="16" customHeight="1">
      <c r="A356" t="s">
        <v>264</v>
      </c>
      <c r="B356" t="s">
        <v>7</v>
      </c>
      <c r="C356" t="s">
        <v>13</v>
      </c>
      <c r="D356" s="24">
        <v>45901</v>
      </c>
      <c r="E356" t="s">
        <v>232</v>
      </c>
      <c r="F356" t="s">
        <v>4</v>
      </c>
      <c r="G356" t="s">
        <v>217</v>
      </c>
      <c r="H356" t="s">
        <v>217</v>
      </c>
      <c r="I356" t="s">
        <v>233</v>
      </c>
      <c r="J356" s="25">
        <v>8</v>
      </c>
      <c r="K356" s="26">
        <v>1.52</v>
      </c>
      <c r="L356" s="26">
        <v>7.0000000000000007E-2</v>
      </c>
    </row>
    <row r="357" spans="1:12" ht="16" customHeight="1">
      <c r="A357" t="s">
        <v>264</v>
      </c>
      <c r="B357" t="s">
        <v>7</v>
      </c>
      <c r="C357" t="s">
        <v>13</v>
      </c>
      <c r="D357" s="24">
        <v>45901</v>
      </c>
      <c r="E357" t="s">
        <v>234</v>
      </c>
      <c r="F357" t="s">
        <v>4</v>
      </c>
      <c r="G357" t="s">
        <v>217</v>
      </c>
      <c r="H357" t="s">
        <v>217</v>
      </c>
      <c r="I357" t="s">
        <v>235</v>
      </c>
      <c r="J357" s="25">
        <v>0</v>
      </c>
      <c r="K357" s="26">
        <v>0</v>
      </c>
      <c r="L357" s="26">
        <v>0</v>
      </c>
    </row>
    <row r="358" spans="1:12" ht="16" customHeight="1">
      <c r="A358" t="s">
        <v>264</v>
      </c>
      <c r="B358" t="s">
        <v>7</v>
      </c>
      <c r="C358" t="s">
        <v>13</v>
      </c>
      <c r="D358" s="24">
        <v>45901</v>
      </c>
      <c r="E358" t="s">
        <v>236</v>
      </c>
      <c r="F358" t="s">
        <v>4</v>
      </c>
      <c r="G358" t="s">
        <v>217</v>
      </c>
      <c r="H358" t="s">
        <v>217</v>
      </c>
      <c r="I358" t="s">
        <v>237</v>
      </c>
      <c r="J358" s="25">
        <v>5</v>
      </c>
      <c r="K358" s="26">
        <v>0.92</v>
      </c>
      <c r="L358" s="26">
        <v>0.03</v>
      </c>
    </row>
    <row r="359" spans="1:12" ht="16" customHeight="1">
      <c r="A359" t="s">
        <v>264</v>
      </c>
      <c r="B359" t="s">
        <v>7</v>
      </c>
      <c r="C359" t="s">
        <v>13</v>
      </c>
      <c r="D359" s="24">
        <v>45901</v>
      </c>
      <c r="E359" t="s">
        <v>238</v>
      </c>
      <c r="F359" t="s">
        <v>4</v>
      </c>
      <c r="G359" t="s">
        <v>217</v>
      </c>
      <c r="H359" t="s">
        <v>217</v>
      </c>
      <c r="I359" t="s">
        <v>239</v>
      </c>
      <c r="J359" s="25">
        <v>0</v>
      </c>
      <c r="K359" s="26">
        <v>0</v>
      </c>
      <c r="L359" s="26">
        <v>0</v>
      </c>
    </row>
    <row r="360" spans="1:12" ht="16" customHeight="1">
      <c r="A360" t="s">
        <v>264</v>
      </c>
      <c r="B360" t="s">
        <v>7</v>
      </c>
      <c r="C360" t="s">
        <v>13</v>
      </c>
      <c r="D360" s="24">
        <v>45901</v>
      </c>
      <c r="E360" t="s">
        <v>240</v>
      </c>
      <c r="F360" t="s">
        <v>3</v>
      </c>
      <c r="G360" t="s">
        <v>241</v>
      </c>
      <c r="H360" t="s">
        <v>241</v>
      </c>
      <c r="I360" t="s">
        <v>242</v>
      </c>
      <c r="J360" s="25">
        <v>2</v>
      </c>
      <c r="K360" s="26">
        <v>0.36</v>
      </c>
      <c r="L360" s="26">
        <v>0.01</v>
      </c>
    </row>
    <row r="361" spans="1:12" ht="16" customHeight="1">
      <c r="A361" t="s">
        <v>264</v>
      </c>
      <c r="B361" t="s">
        <v>7</v>
      </c>
      <c r="C361" t="s">
        <v>13</v>
      </c>
      <c r="D361" s="24">
        <v>45901</v>
      </c>
      <c r="E361" t="s">
        <v>243</v>
      </c>
      <c r="F361" t="s">
        <v>4</v>
      </c>
      <c r="G361" t="s">
        <v>217</v>
      </c>
      <c r="H361" t="s">
        <v>217</v>
      </c>
      <c r="I361" t="s">
        <v>244</v>
      </c>
      <c r="J361" s="25">
        <v>0</v>
      </c>
      <c r="K361" s="26">
        <v>0</v>
      </c>
      <c r="L361" s="26">
        <v>0</v>
      </c>
    </row>
    <row r="362" spans="1:12" ht="16" customHeight="1">
      <c r="A362" t="s">
        <v>265</v>
      </c>
      <c r="B362" t="s">
        <v>3</v>
      </c>
      <c r="C362" t="s">
        <v>14</v>
      </c>
      <c r="D362" s="24">
        <v>45901</v>
      </c>
      <c r="E362" t="s">
        <v>216</v>
      </c>
      <c r="F362" t="s">
        <v>4</v>
      </c>
      <c r="G362" t="s">
        <v>217</v>
      </c>
      <c r="H362" t="s">
        <v>261</v>
      </c>
      <c r="I362" t="s">
        <v>212</v>
      </c>
      <c r="J362" s="25">
        <v>147916079</v>
      </c>
      <c r="K362" s="26">
        <v>27483291.170000002</v>
      </c>
      <c r="L362" s="26">
        <v>44734.36</v>
      </c>
    </row>
    <row r="363" spans="1:12" ht="16" customHeight="1">
      <c r="A363" t="s">
        <v>265</v>
      </c>
      <c r="B363" t="s">
        <v>3</v>
      </c>
      <c r="C363" t="s">
        <v>14</v>
      </c>
      <c r="D363" s="24">
        <v>45901</v>
      </c>
      <c r="E363" t="s">
        <v>246</v>
      </c>
      <c r="F363" t="s">
        <v>4</v>
      </c>
      <c r="G363" t="s">
        <v>211</v>
      </c>
      <c r="H363" t="s">
        <v>211</v>
      </c>
      <c r="I363" t="s">
        <v>219</v>
      </c>
      <c r="J363" s="25">
        <v>5759231</v>
      </c>
      <c r="K363" s="26">
        <v>1075955.33</v>
      </c>
      <c r="L363" s="26">
        <v>3542.21</v>
      </c>
    </row>
    <row r="364" spans="1:12" ht="16" customHeight="1">
      <c r="A364" t="s">
        <v>265</v>
      </c>
      <c r="B364" t="s">
        <v>3</v>
      </c>
      <c r="C364" t="s">
        <v>14</v>
      </c>
      <c r="D364" s="24">
        <v>45901</v>
      </c>
      <c r="E364" t="s">
        <v>251</v>
      </c>
      <c r="F364" t="s">
        <v>4</v>
      </c>
      <c r="G364" t="s">
        <v>211</v>
      </c>
      <c r="H364" t="s">
        <v>211</v>
      </c>
      <c r="I364" t="s">
        <v>219</v>
      </c>
      <c r="J364" s="25">
        <v>269709</v>
      </c>
      <c r="K364" s="26">
        <v>50516.68</v>
      </c>
      <c r="L364" s="26">
        <v>254.28</v>
      </c>
    </row>
    <row r="365" spans="1:12" ht="16" customHeight="1">
      <c r="A365" t="s">
        <v>265</v>
      </c>
      <c r="B365" t="s">
        <v>3</v>
      </c>
      <c r="C365" t="s">
        <v>14</v>
      </c>
      <c r="D365" s="24">
        <v>45901</v>
      </c>
      <c r="E365" t="s">
        <v>256</v>
      </c>
      <c r="F365" t="s">
        <v>3</v>
      </c>
      <c r="G365" t="s">
        <v>241</v>
      </c>
      <c r="H365" t="s">
        <v>241</v>
      </c>
      <c r="I365" t="s">
        <v>219</v>
      </c>
      <c r="J365" s="25">
        <v>23648</v>
      </c>
      <c r="K365" s="26">
        <v>4465.6400000000003</v>
      </c>
      <c r="L365" s="26">
        <v>22.67</v>
      </c>
    </row>
    <row r="366" spans="1:12" ht="16" customHeight="1">
      <c r="A366" t="s">
        <v>265</v>
      </c>
      <c r="B366" t="s">
        <v>3</v>
      </c>
      <c r="C366" t="s">
        <v>14</v>
      </c>
      <c r="D366" s="24">
        <v>45901</v>
      </c>
      <c r="E366" t="s">
        <v>218</v>
      </c>
      <c r="F366" t="s">
        <v>4</v>
      </c>
      <c r="G366" t="s">
        <v>217</v>
      </c>
      <c r="H366" t="s">
        <v>217</v>
      </c>
      <c r="I366" t="s">
        <v>219</v>
      </c>
      <c r="J366" s="25">
        <v>945288</v>
      </c>
      <c r="K366" s="26">
        <v>178118.71</v>
      </c>
      <c r="L366" s="26">
        <v>1556.83</v>
      </c>
    </row>
    <row r="367" spans="1:12" ht="16" customHeight="1">
      <c r="A367" t="s">
        <v>265</v>
      </c>
      <c r="B367" t="s">
        <v>3</v>
      </c>
      <c r="C367" t="s">
        <v>14</v>
      </c>
      <c r="D367" s="24">
        <v>45901</v>
      </c>
      <c r="E367" t="s">
        <v>262</v>
      </c>
      <c r="F367" t="s">
        <v>4</v>
      </c>
      <c r="G367" t="s">
        <v>211</v>
      </c>
      <c r="H367" t="s">
        <v>211</v>
      </c>
      <c r="I367" t="s">
        <v>221</v>
      </c>
      <c r="J367" s="25">
        <v>588</v>
      </c>
      <c r="K367" s="26">
        <v>110.23</v>
      </c>
      <c r="L367" s="26">
        <v>0.72</v>
      </c>
    </row>
    <row r="368" spans="1:12" ht="16" customHeight="1">
      <c r="A368" t="s">
        <v>265</v>
      </c>
      <c r="B368" t="s">
        <v>3</v>
      </c>
      <c r="C368" t="s">
        <v>14</v>
      </c>
      <c r="D368" s="24">
        <v>45901</v>
      </c>
      <c r="E368" t="s">
        <v>220</v>
      </c>
      <c r="F368" t="s">
        <v>4</v>
      </c>
      <c r="G368" t="s">
        <v>217</v>
      </c>
      <c r="H368" t="s">
        <v>217</v>
      </c>
      <c r="I368" t="s">
        <v>221</v>
      </c>
      <c r="J368" s="25">
        <v>97441</v>
      </c>
      <c r="K368" s="26">
        <v>18455.41</v>
      </c>
      <c r="L368" s="26">
        <v>153.88999999999999</v>
      </c>
    </row>
    <row r="369" spans="1:12" ht="16" customHeight="1">
      <c r="A369" t="s">
        <v>265</v>
      </c>
      <c r="B369" t="s">
        <v>3</v>
      </c>
      <c r="C369" t="s">
        <v>14</v>
      </c>
      <c r="D369" s="24">
        <v>45901</v>
      </c>
      <c r="E369" t="s">
        <v>222</v>
      </c>
      <c r="F369" t="s">
        <v>4</v>
      </c>
      <c r="G369" t="s">
        <v>217</v>
      </c>
      <c r="H369" t="s">
        <v>217</v>
      </c>
      <c r="I369" t="s">
        <v>223</v>
      </c>
      <c r="J369" s="25">
        <v>86763</v>
      </c>
      <c r="K369" s="26">
        <v>16690.3</v>
      </c>
      <c r="L369" s="26">
        <v>428.9</v>
      </c>
    </row>
    <row r="370" spans="1:12" ht="16" customHeight="1">
      <c r="A370" t="s">
        <v>265</v>
      </c>
      <c r="B370" t="s">
        <v>3</v>
      </c>
      <c r="C370" t="s">
        <v>14</v>
      </c>
      <c r="D370" s="24">
        <v>45901</v>
      </c>
      <c r="E370" t="s">
        <v>224</v>
      </c>
      <c r="F370" t="s">
        <v>4</v>
      </c>
      <c r="G370" t="s">
        <v>217</v>
      </c>
      <c r="H370" t="s">
        <v>217</v>
      </c>
      <c r="I370" t="s">
        <v>225</v>
      </c>
      <c r="J370" s="25">
        <v>13958</v>
      </c>
      <c r="K370" s="26">
        <v>2697.19</v>
      </c>
      <c r="L370" s="26">
        <v>51.61</v>
      </c>
    </row>
    <row r="371" spans="1:12" ht="16" customHeight="1">
      <c r="A371" t="s">
        <v>265</v>
      </c>
      <c r="B371" t="s">
        <v>3</v>
      </c>
      <c r="C371" t="s">
        <v>14</v>
      </c>
      <c r="D371" s="24">
        <v>45901</v>
      </c>
      <c r="E371" t="s">
        <v>226</v>
      </c>
      <c r="F371" t="s">
        <v>4</v>
      </c>
      <c r="G371" t="s">
        <v>217</v>
      </c>
      <c r="H371" t="s">
        <v>217</v>
      </c>
      <c r="I371" t="s">
        <v>227</v>
      </c>
      <c r="J371" s="25">
        <v>491</v>
      </c>
      <c r="K371" s="26">
        <v>95.76</v>
      </c>
      <c r="L371" s="26">
        <v>2.5299999999999998</v>
      </c>
    </row>
    <row r="372" spans="1:12" ht="16" customHeight="1">
      <c r="A372" t="s">
        <v>265</v>
      </c>
      <c r="B372" t="s">
        <v>3</v>
      </c>
      <c r="C372" t="s">
        <v>14</v>
      </c>
      <c r="D372" s="24">
        <v>45901</v>
      </c>
      <c r="E372" t="s">
        <v>228</v>
      </c>
      <c r="F372" t="s">
        <v>4</v>
      </c>
      <c r="G372" t="s">
        <v>217</v>
      </c>
      <c r="H372" t="s">
        <v>217</v>
      </c>
      <c r="I372" t="s">
        <v>229</v>
      </c>
      <c r="J372" s="25">
        <v>719</v>
      </c>
      <c r="K372" s="26">
        <v>141.47999999999999</v>
      </c>
      <c r="L372" s="26">
        <v>4.88</v>
      </c>
    </row>
    <row r="373" spans="1:12" ht="16" customHeight="1">
      <c r="A373" t="s">
        <v>265</v>
      </c>
      <c r="B373" t="s">
        <v>3</v>
      </c>
      <c r="C373" t="s">
        <v>14</v>
      </c>
      <c r="D373" s="24">
        <v>45901</v>
      </c>
      <c r="E373" t="s">
        <v>230</v>
      </c>
      <c r="F373" t="s">
        <v>4</v>
      </c>
      <c r="G373" t="s">
        <v>217</v>
      </c>
      <c r="H373" t="s">
        <v>217</v>
      </c>
      <c r="I373" t="s">
        <v>231</v>
      </c>
      <c r="J373" s="25">
        <v>0</v>
      </c>
      <c r="K373" s="26">
        <v>0</v>
      </c>
      <c r="L373" s="26">
        <v>0</v>
      </c>
    </row>
    <row r="374" spans="1:12" ht="16" customHeight="1">
      <c r="A374" t="s">
        <v>265</v>
      </c>
      <c r="B374" t="s">
        <v>3</v>
      </c>
      <c r="C374" t="s">
        <v>14</v>
      </c>
      <c r="D374" s="24">
        <v>45901</v>
      </c>
      <c r="E374" t="s">
        <v>232</v>
      </c>
      <c r="F374" t="s">
        <v>4</v>
      </c>
      <c r="G374" t="s">
        <v>217</v>
      </c>
      <c r="H374" t="s">
        <v>217</v>
      </c>
      <c r="I374" t="s">
        <v>233</v>
      </c>
      <c r="J374" s="25">
        <v>19</v>
      </c>
      <c r="K374" s="26">
        <v>3.55</v>
      </c>
      <c r="L374" s="26">
        <v>0.12</v>
      </c>
    </row>
    <row r="375" spans="1:12" ht="16" customHeight="1">
      <c r="A375" t="s">
        <v>265</v>
      </c>
      <c r="B375" t="s">
        <v>3</v>
      </c>
      <c r="C375" t="s">
        <v>14</v>
      </c>
      <c r="D375" s="24">
        <v>45901</v>
      </c>
      <c r="E375" t="s">
        <v>234</v>
      </c>
      <c r="F375" t="s">
        <v>4</v>
      </c>
      <c r="G375" t="s">
        <v>217</v>
      </c>
      <c r="H375" t="s">
        <v>217</v>
      </c>
      <c r="I375" t="s">
        <v>235</v>
      </c>
      <c r="J375" s="25">
        <v>0</v>
      </c>
      <c r="K375" s="26">
        <v>0</v>
      </c>
      <c r="L375" s="26">
        <v>0</v>
      </c>
    </row>
    <row r="376" spans="1:12" ht="16" customHeight="1">
      <c r="A376" t="s">
        <v>265</v>
      </c>
      <c r="B376" t="s">
        <v>3</v>
      </c>
      <c r="C376" t="s">
        <v>14</v>
      </c>
      <c r="D376" s="24">
        <v>45901</v>
      </c>
      <c r="E376" t="s">
        <v>236</v>
      </c>
      <c r="F376" t="s">
        <v>4</v>
      </c>
      <c r="G376" t="s">
        <v>217</v>
      </c>
      <c r="H376" t="s">
        <v>217</v>
      </c>
      <c r="I376" t="s">
        <v>237</v>
      </c>
      <c r="J376" s="25">
        <v>0</v>
      </c>
      <c r="K376" s="26">
        <v>0</v>
      </c>
      <c r="L376" s="26">
        <v>0</v>
      </c>
    </row>
    <row r="377" spans="1:12" ht="16" customHeight="1">
      <c r="A377" t="s">
        <v>265</v>
      </c>
      <c r="B377" t="s">
        <v>3</v>
      </c>
      <c r="C377" t="s">
        <v>14</v>
      </c>
      <c r="D377" s="24">
        <v>45901</v>
      </c>
      <c r="E377" t="s">
        <v>238</v>
      </c>
      <c r="F377" t="s">
        <v>4</v>
      </c>
      <c r="G377" t="s">
        <v>217</v>
      </c>
      <c r="H377" t="s">
        <v>217</v>
      </c>
      <c r="I377" t="s">
        <v>239</v>
      </c>
      <c r="J377" s="25">
        <v>0</v>
      </c>
      <c r="K377" s="26">
        <v>0</v>
      </c>
      <c r="L377" s="26">
        <v>0</v>
      </c>
    </row>
    <row r="378" spans="1:12" ht="16" customHeight="1">
      <c r="A378" t="s">
        <v>265</v>
      </c>
      <c r="B378" t="s">
        <v>3</v>
      </c>
      <c r="C378" t="s">
        <v>14</v>
      </c>
      <c r="D378" s="24">
        <v>45901</v>
      </c>
      <c r="E378" t="s">
        <v>240</v>
      </c>
      <c r="F378" t="s">
        <v>3</v>
      </c>
      <c r="G378" t="s">
        <v>241</v>
      </c>
      <c r="H378" t="s">
        <v>241</v>
      </c>
      <c r="I378" t="s">
        <v>242</v>
      </c>
      <c r="J378" s="25">
        <v>0</v>
      </c>
      <c r="K378" s="26">
        <v>0</v>
      </c>
      <c r="L378" s="26">
        <v>0</v>
      </c>
    </row>
    <row r="379" spans="1:12" ht="16" customHeight="1">
      <c r="A379" t="s">
        <v>265</v>
      </c>
      <c r="B379" t="s">
        <v>3</v>
      </c>
      <c r="C379" t="s">
        <v>14</v>
      </c>
      <c r="D379" s="24">
        <v>45901</v>
      </c>
      <c r="E379" t="s">
        <v>243</v>
      </c>
      <c r="F379" t="s">
        <v>4</v>
      </c>
      <c r="G379" t="s">
        <v>217</v>
      </c>
      <c r="H379" t="s">
        <v>217</v>
      </c>
      <c r="I379" t="s">
        <v>244</v>
      </c>
      <c r="J379" s="25">
        <v>0</v>
      </c>
      <c r="K379" s="26">
        <v>0</v>
      </c>
      <c r="L379" s="26">
        <v>0</v>
      </c>
    </row>
    <row r="380" spans="1:12" ht="16" customHeight="1">
      <c r="A380" t="s">
        <v>216</v>
      </c>
      <c r="B380" t="s">
        <v>4</v>
      </c>
      <c r="C380" t="s">
        <v>14</v>
      </c>
      <c r="D380" s="24">
        <v>45901</v>
      </c>
      <c r="E380" t="s">
        <v>216</v>
      </c>
      <c r="F380" t="s">
        <v>4</v>
      </c>
      <c r="G380" t="s">
        <v>217</v>
      </c>
      <c r="H380" t="s">
        <v>261</v>
      </c>
      <c r="I380" t="s">
        <v>212</v>
      </c>
      <c r="J380" s="25">
        <v>259531734</v>
      </c>
      <c r="K380" s="26">
        <v>48063694.899999999</v>
      </c>
      <c r="L380" s="26">
        <v>44638.91</v>
      </c>
    </row>
    <row r="381" spans="1:12" ht="16" customHeight="1">
      <c r="A381" t="s">
        <v>216</v>
      </c>
      <c r="B381" t="s">
        <v>4</v>
      </c>
      <c r="C381" t="s">
        <v>14</v>
      </c>
      <c r="D381" s="24">
        <v>45901</v>
      </c>
      <c r="E381" t="s">
        <v>246</v>
      </c>
      <c r="F381" t="s">
        <v>4</v>
      </c>
      <c r="G381" t="s">
        <v>211</v>
      </c>
      <c r="H381" t="s">
        <v>211</v>
      </c>
      <c r="I381" t="s">
        <v>219</v>
      </c>
      <c r="J381" s="25">
        <v>9735243</v>
      </c>
      <c r="K381" s="26">
        <v>1814528.37</v>
      </c>
      <c r="L381" s="26">
        <v>5782.83</v>
      </c>
    </row>
    <row r="382" spans="1:12" ht="16" customHeight="1">
      <c r="A382" t="s">
        <v>216</v>
      </c>
      <c r="B382" t="s">
        <v>4</v>
      </c>
      <c r="C382" t="s">
        <v>14</v>
      </c>
      <c r="D382" s="24">
        <v>45901</v>
      </c>
      <c r="E382" t="s">
        <v>251</v>
      </c>
      <c r="F382" t="s">
        <v>4</v>
      </c>
      <c r="G382" t="s">
        <v>211</v>
      </c>
      <c r="H382" t="s">
        <v>211</v>
      </c>
      <c r="I382" t="s">
        <v>219</v>
      </c>
      <c r="J382" s="25">
        <v>384164</v>
      </c>
      <c r="K382" s="26">
        <v>71732.45</v>
      </c>
      <c r="L382" s="26">
        <v>354.66</v>
      </c>
    </row>
    <row r="383" spans="1:12" ht="16" customHeight="1">
      <c r="A383" t="s">
        <v>216</v>
      </c>
      <c r="B383" t="s">
        <v>4</v>
      </c>
      <c r="C383" t="s">
        <v>14</v>
      </c>
      <c r="D383" s="24">
        <v>45901</v>
      </c>
      <c r="E383" t="s">
        <v>256</v>
      </c>
      <c r="F383" t="s">
        <v>3</v>
      </c>
      <c r="G383" t="s">
        <v>241</v>
      </c>
      <c r="H383" t="s">
        <v>241</v>
      </c>
      <c r="I383" t="s">
        <v>219</v>
      </c>
      <c r="J383" s="25">
        <v>28319</v>
      </c>
      <c r="K383" s="26">
        <v>5308.32</v>
      </c>
      <c r="L383" s="26">
        <v>27.53</v>
      </c>
    </row>
    <row r="384" spans="1:12" ht="16" customHeight="1">
      <c r="A384" t="s">
        <v>216</v>
      </c>
      <c r="B384" t="s">
        <v>4</v>
      </c>
      <c r="C384" t="s">
        <v>14</v>
      </c>
      <c r="D384" s="24">
        <v>45901</v>
      </c>
      <c r="E384" t="s">
        <v>218</v>
      </c>
      <c r="F384" t="s">
        <v>4</v>
      </c>
      <c r="G384" t="s">
        <v>217</v>
      </c>
      <c r="H384" t="s">
        <v>217</v>
      </c>
      <c r="I384" t="s">
        <v>219</v>
      </c>
      <c r="J384" s="25">
        <v>1144811</v>
      </c>
      <c r="K384" s="26">
        <v>215149.76</v>
      </c>
      <c r="L384" s="26">
        <v>1767.81</v>
      </c>
    </row>
    <row r="385" spans="1:12" ht="16" customHeight="1">
      <c r="A385" t="s">
        <v>216</v>
      </c>
      <c r="B385" t="s">
        <v>4</v>
      </c>
      <c r="C385" t="s">
        <v>14</v>
      </c>
      <c r="D385" s="24">
        <v>45901</v>
      </c>
      <c r="E385" t="s">
        <v>262</v>
      </c>
      <c r="F385" t="s">
        <v>4</v>
      </c>
      <c r="G385" t="s">
        <v>211</v>
      </c>
      <c r="H385" t="s">
        <v>211</v>
      </c>
      <c r="I385" t="s">
        <v>221</v>
      </c>
      <c r="J385" s="25">
        <v>501</v>
      </c>
      <c r="K385" s="26">
        <v>94.17</v>
      </c>
      <c r="L385" s="26">
        <v>0.6</v>
      </c>
    </row>
    <row r="386" spans="1:12" ht="16" customHeight="1">
      <c r="A386" t="s">
        <v>216</v>
      </c>
      <c r="B386" t="s">
        <v>4</v>
      </c>
      <c r="C386" t="s">
        <v>14</v>
      </c>
      <c r="D386" s="24">
        <v>45901</v>
      </c>
      <c r="E386" t="s">
        <v>220</v>
      </c>
      <c r="F386" t="s">
        <v>4</v>
      </c>
      <c r="G386" t="s">
        <v>217</v>
      </c>
      <c r="H386" t="s">
        <v>217</v>
      </c>
      <c r="I386" t="s">
        <v>221</v>
      </c>
      <c r="J386" s="25">
        <v>87430</v>
      </c>
      <c r="K386" s="26">
        <v>16693.32</v>
      </c>
      <c r="L386" s="26">
        <v>131.69999999999999</v>
      </c>
    </row>
    <row r="387" spans="1:12" ht="16" customHeight="1">
      <c r="A387" t="s">
        <v>216</v>
      </c>
      <c r="B387" t="s">
        <v>4</v>
      </c>
      <c r="C387" t="s">
        <v>14</v>
      </c>
      <c r="D387" s="24">
        <v>45901</v>
      </c>
      <c r="E387" t="s">
        <v>222</v>
      </c>
      <c r="F387" t="s">
        <v>4</v>
      </c>
      <c r="G387" t="s">
        <v>217</v>
      </c>
      <c r="H387" t="s">
        <v>217</v>
      </c>
      <c r="I387" t="s">
        <v>223</v>
      </c>
      <c r="J387" s="25">
        <v>71868</v>
      </c>
      <c r="K387" s="26">
        <v>13800.28</v>
      </c>
      <c r="L387" s="26">
        <v>283.58</v>
      </c>
    </row>
    <row r="388" spans="1:12" ht="16" customHeight="1">
      <c r="A388" t="s">
        <v>216</v>
      </c>
      <c r="B388" t="s">
        <v>4</v>
      </c>
      <c r="C388" t="s">
        <v>14</v>
      </c>
      <c r="D388" s="24">
        <v>45901</v>
      </c>
      <c r="E388" t="s">
        <v>224</v>
      </c>
      <c r="F388" t="s">
        <v>4</v>
      </c>
      <c r="G388" t="s">
        <v>217</v>
      </c>
      <c r="H388" t="s">
        <v>217</v>
      </c>
      <c r="I388" t="s">
        <v>225</v>
      </c>
      <c r="J388" s="25">
        <v>11478</v>
      </c>
      <c r="K388" s="26">
        <v>2228.83</v>
      </c>
      <c r="L388" s="26">
        <v>40.5</v>
      </c>
    </row>
    <row r="389" spans="1:12" ht="16" customHeight="1">
      <c r="A389" t="s">
        <v>216</v>
      </c>
      <c r="B389" t="s">
        <v>4</v>
      </c>
      <c r="C389" t="s">
        <v>14</v>
      </c>
      <c r="D389" s="24">
        <v>45901</v>
      </c>
      <c r="E389" t="s">
        <v>226</v>
      </c>
      <c r="F389" t="s">
        <v>4</v>
      </c>
      <c r="G389" t="s">
        <v>217</v>
      </c>
      <c r="H389" t="s">
        <v>217</v>
      </c>
      <c r="I389" t="s">
        <v>227</v>
      </c>
      <c r="J389" s="25">
        <v>450</v>
      </c>
      <c r="K389" s="26">
        <v>88.22</v>
      </c>
      <c r="L389" s="26">
        <v>2.5</v>
      </c>
    </row>
    <row r="390" spans="1:12" ht="16" customHeight="1">
      <c r="A390" t="s">
        <v>216</v>
      </c>
      <c r="B390" t="s">
        <v>4</v>
      </c>
      <c r="C390" t="s">
        <v>14</v>
      </c>
      <c r="D390" s="24">
        <v>45901</v>
      </c>
      <c r="E390" t="s">
        <v>228</v>
      </c>
      <c r="F390" t="s">
        <v>4</v>
      </c>
      <c r="G390" t="s">
        <v>217</v>
      </c>
      <c r="H390" t="s">
        <v>217</v>
      </c>
      <c r="I390" t="s">
        <v>229</v>
      </c>
      <c r="J390" s="25">
        <v>854</v>
      </c>
      <c r="K390" s="26">
        <v>173.73</v>
      </c>
      <c r="L390" s="26">
        <v>6.71</v>
      </c>
    </row>
    <row r="391" spans="1:12" ht="16" customHeight="1">
      <c r="A391" t="s">
        <v>216</v>
      </c>
      <c r="B391" t="s">
        <v>4</v>
      </c>
      <c r="C391" t="s">
        <v>14</v>
      </c>
      <c r="D391" s="24">
        <v>45901</v>
      </c>
      <c r="E391" t="s">
        <v>230</v>
      </c>
      <c r="F391" t="s">
        <v>4</v>
      </c>
      <c r="G391" t="s">
        <v>217</v>
      </c>
      <c r="H391" t="s">
        <v>217</v>
      </c>
      <c r="I391" t="s">
        <v>231</v>
      </c>
      <c r="J391" s="25">
        <v>0</v>
      </c>
      <c r="K391" s="26">
        <v>0</v>
      </c>
      <c r="L391" s="26">
        <v>0</v>
      </c>
    </row>
    <row r="392" spans="1:12" ht="16" customHeight="1">
      <c r="A392" t="s">
        <v>216</v>
      </c>
      <c r="B392" t="s">
        <v>4</v>
      </c>
      <c r="C392" t="s">
        <v>14</v>
      </c>
      <c r="D392" s="24">
        <v>45901</v>
      </c>
      <c r="E392" t="s">
        <v>232</v>
      </c>
      <c r="F392" t="s">
        <v>4</v>
      </c>
      <c r="G392" t="s">
        <v>217</v>
      </c>
      <c r="H392" t="s">
        <v>217</v>
      </c>
      <c r="I392" t="s">
        <v>233</v>
      </c>
      <c r="J392" s="25">
        <v>19</v>
      </c>
      <c r="K392" s="26">
        <v>2.9</v>
      </c>
      <c r="L392" s="26">
        <v>0.05</v>
      </c>
    </row>
    <row r="393" spans="1:12" ht="16" customHeight="1">
      <c r="A393" t="s">
        <v>216</v>
      </c>
      <c r="B393" t="s">
        <v>4</v>
      </c>
      <c r="C393" t="s">
        <v>14</v>
      </c>
      <c r="D393" s="24">
        <v>45901</v>
      </c>
      <c r="E393" t="s">
        <v>234</v>
      </c>
      <c r="F393" t="s">
        <v>4</v>
      </c>
      <c r="G393" t="s">
        <v>217</v>
      </c>
      <c r="H393" t="s">
        <v>217</v>
      </c>
      <c r="I393" t="s">
        <v>235</v>
      </c>
      <c r="J393" s="25">
        <v>0</v>
      </c>
      <c r="K393" s="26">
        <v>0</v>
      </c>
      <c r="L393" s="26">
        <v>0</v>
      </c>
    </row>
    <row r="394" spans="1:12" ht="16" customHeight="1">
      <c r="A394" t="s">
        <v>216</v>
      </c>
      <c r="B394" t="s">
        <v>4</v>
      </c>
      <c r="C394" t="s">
        <v>14</v>
      </c>
      <c r="D394" s="24">
        <v>45901</v>
      </c>
      <c r="E394" t="s">
        <v>236</v>
      </c>
      <c r="F394" t="s">
        <v>4</v>
      </c>
      <c r="G394" t="s">
        <v>217</v>
      </c>
      <c r="H394" t="s">
        <v>217</v>
      </c>
      <c r="I394" t="s">
        <v>237</v>
      </c>
      <c r="J394" s="25">
        <v>11</v>
      </c>
      <c r="K394" s="26">
        <v>2.16</v>
      </c>
      <c r="L394" s="26">
        <v>0.09</v>
      </c>
    </row>
    <row r="395" spans="1:12" ht="16" customHeight="1">
      <c r="A395" t="s">
        <v>216</v>
      </c>
      <c r="B395" t="s">
        <v>4</v>
      </c>
      <c r="C395" t="s">
        <v>14</v>
      </c>
      <c r="D395" s="24">
        <v>45901</v>
      </c>
      <c r="E395" t="s">
        <v>238</v>
      </c>
      <c r="F395" t="s">
        <v>4</v>
      </c>
      <c r="G395" t="s">
        <v>217</v>
      </c>
      <c r="H395" t="s">
        <v>217</v>
      </c>
      <c r="I395" t="s">
        <v>239</v>
      </c>
      <c r="J395" s="25">
        <v>0</v>
      </c>
      <c r="K395" s="26">
        <v>0</v>
      </c>
      <c r="L395" s="26">
        <v>0</v>
      </c>
    </row>
    <row r="396" spans="1:12" ht="16" customHeight="1">
      <c r="A396" t="s">
        <v>216</v>
      </c>
      <c r="B396" t="s">
        <v>4</v>
      </c>
      <c r="C396" t="s">
        <v>14</v>
      </c>
      <c r="D396" s="24">
        <v>45901</v>
      </c>
      <c r="E396" t="s">
        <v>240</v>
      </c>
      <c r="F396" t="s">
        <v>3</v>
      </c>
      <c r="G396" t="s">
        <v>241</v>
      </c>
      <c r="H396" t="s">
        <v>241</v>
      </c>
      <c r="I396" t="s">
        <v>242</v>
      </c>
      <c r="J396" s="25">
        <v>1</v>
      </c>
      <c r="K396" s="26">
        <v>0.21</v>
      </c>
      <c r="L396" s="26">
        <v>0.01</v>
      </c>
    </row>
    <row r="397" spans="1:12" ht="16" customHeight="1">
      <c r="A397" t="s">
        <v>216</v>
      </c>
      <c r="B397" t="s">
        <v>4</v>
      </c>
      <c r="C397" t="s">
        <v>14</v>
      </c>
      <c r="D397" s="24">
        <v>45901</v>
      </c>
      <c r="E397" t="s">
        <v>243</v>
      </c>
      <c r="F397" t="s">
        <v>4</v>
      </c>
      <c r="G397" t="s">
        <v>217</v>
      </c>
      <c r="H397" t="s">
        <v>217</v>
      </c>
      <c r="I397" t="s">
        <v>244</v>
      </c>
      <c r="J397" s="25">
        <v>0</v>
      </c>
      <c r="K397" s="26">
        <v>0</v>
      </c>
      <c r="L397" s="26">
        <v>0</v>
      </c>
    </row>
    <row r="398" spans="1:12" ht="16" customHeight="1">
      <c r="A398" t="s">
        <v>266</v>
      </c>
      <c r="B398" t="s">
        <v>5</v>
      </c>
      <c r="C398" t="s">
        <v>15</v>
      </c>
      <c r="D398" s="24">
        <v>45931</v>
      </c>
      <c r="E398" t="s">
        <v>246</v>
      </c>
      <c r="F398" t="s">
        <v>4</v>
      </c>
      <c r="G398" t="s">
        <v>211</v>
      </c>
      <c r="H398" t="s">
        <v>211</v>
      </c>
      <c r="I398" t="s">
        <v>212</v>
      </c>
      <c r="J398" s="25">
        <v>57093533</v>
      </c>
      <c r="K398" s="26">
        <v>10616116.32</v>
      </c>
      <c r="L398" s="26">
        <v>27050.69</v>
      </c>
    </row>
    <row r="399" spans="1:12" ht="16" customHeight="1">
      <c r="A399" t="s">
        <v>266</v>
      </c>
      <c r="B399" t="s">
        <v>5</v>
      </c>
      <c r="C399" t="s">
        <v>15</v>
      </c>
      <c r="D399" s="24">
        <v>45931</v>
      </c>
      <c r="E399" t="s">
        <v>251</v>
      </c>
      <c r="F399" t="s">
        <v>4</v>
      </c>
      <c r="G399" t="s">
        <v>211</v>
      </c>
      <c r="H399" t="s">
        <v>211</v>
      </c>
      <c r="I399" t="s">
        <v>212</v>
      </c>
      <c r="J399" s="25">
        <v>1562101</v>
      </c>
      <c r="K399" s="26">
        <v>291421.15000000002</v>
      </c>
      <c r="L399" s="26">
        <v>1143.58</v>
      </c>
    </row>
    <row r="400" spans="1:12" ht="16" customHeight="1">
      <c r="A400" t="s">
        <v>266</v>
      </c>
      <c r="B400" t="s">
        <v>5</v>
      </c>
      <c r="C400" t="s">
        <v>15</v>
      </c>
      <c r="D400" s="24">
        <v>45931</v>
      </c>
      <c r="E400" t="s">
        <v>256</v>
      </c>
      <c r="F400" t="s">
        <v>3</v>
      </c>
      <c r="G400" t="s">
        <v>241</v>
      </c>
      <c r="H400" t="s">
        <v>241</v>
      </c>
      <c r="I400" t="s">
        <v>212</v>
      </c>
      <c r="J400" s="25">
        <v>69968</v>
      </c>
      <c r="K400" s="26">
        <v>13114.95</v>
      </c>
      <c r="L400" s="26">
        <v>67.5</v>
      </c>
    </row>
    <row r="401" spans="1:12" ht="16" customHeight="1">
      <c r="A401" t="s">
        <v>266</v>
      </c>
      <c r="B401" t="s">
        <v>5</v>
      </c>
      <c r="C401" t="s">
        <v>15</v>
      </c>
      <c r="D401" s="24">
        <v>45931</v>
      </c>
      <c r="E401" t="s">
        <v>218</v>
      </c>
      <c r="F401" t="s">
        <v>4</v>
      </c>
      <c r="G401" t="s">
        <v>217</v>
      </c>
      <c r="H401" t="s">
        <v>217</v>
      </c>
      <c r="I401" t="s">
        <v>212</v>
      </c>
      <c r="J401" s="25">
        <v>1476361</v>
      </c>
      <c r="K401" s="26">
        <v>276609.61</v>
      </c>
      <c r="L401" s="26">
        <v>1798.66</v>
      </c>
    </row>
    <row r="402" spans="1:12" ht="16" customHeight="1">
      <c r="A402" t="s">
        <v>266</v>
      </c>
      <c r="B402" t="s">
        <v>5</v>
      </c>
      <c r="C402" t="s">
        <v>15</v>
      </c>
      <c r="D402" s="24">
        <v>45931</v>
      </c>
      <c r="E402" t="s">
        <v>262</v>
      </c>
      <c r="F402" t="s">
        <v>4</v>
      </c>
      <c r="G402" t="s">
        <v>211</v>
      </c>
      <c r="H402" t="s">
        <v>211</v>
      </c>
      <c r="I402" t="s">
        <v>219</v>
      </c>
      <c r="J402" s="25">
        <v>1722</v>
      </c>
      <c r="K402" s="26">
        <v>323.51</v>
      </c>
      <c r="L402" s="26">
        <v>2.0299999999999998</v>
      </c>
    </row>
    <row r="403" spans="1:12" ht="16" customHeight="1">
      <c r="A403" t="s">
        <v>266</v>
      </c>
      <c r="B403" t="s">
        <v>5</v>
      </c>
      <c r="C403" t="s">
        <v>15</v>
      </c>
      <c r="D403" s="24">
        <v>45931</v>
      </c>
      <c r="E403" t="s">
        <v>220</v>
      </c>
      <c r="F403" t="s">
        <v>4</v>
      </c>
      <c r="G403" t="s">
        <v>217</v>
      </c>
      <c r="H403" t="s">
        <v>217</v>
      </c>
      <c r="I403" t="s">
        <v>219</v>
      </c>
      <c r="J403" s="25">
        <v>131267</v>
      </c>
      <c r="K403" s="26">
        <v>24794.27</v>
      </c>
      <c r="L403" s="26">
        <v>175.85</v>
      </c>
    </row>
    <row r="404" spans="1:12" ht="16" customHeight="1">
      <c r="A404" t="s">
        <v>266</v>
      </c>
      <c r="B404" t="s">
        <v>5</v>
      </c>
      <c r="C404" t="s">
        <v>15</v>
      </c>
      <c r="D404" s="24">
        <v>45931</v>
      </c>
      <c r="E404" t="s">
        <v>222</v>
      </c>
      <c r="F404" t="s">
        <v>4</v>
      </c>
      <c r="G404" t="s">
        <v>217</v>
      </c>
      <c r="H404" t="s">
        <v>217</v>
      </c>
      <c r="I404" t="s">
        <v>221</v>
      </c>
      <c r="J404" s="25">
        <v>104980</v>
      </c>
      <c r="K404" s="26">
        <v>19931.82</v>
      </c>
      <c r="L404" s="26">
        <v>270.06</v>
      </c>
    </row>
    <row r="405" spans="1:12" ht="16" customHeight="1">
      <c r="A405" t="s">
        <v>266</v>
      </c>
      <c r="B405" t="s">
        <v>5</v>
      </c>
      <c r="C405" t="s">
        <v>15</v>
      </c>
      <c r="D405" s="24">
        <v>45931</v>
      </c>
      <c r="E405" t="s">
        <v>224</v>
      </c>
      <c r="F405" t="s">
        <v>4</v>
      </c>
      <c r="G405" t="s">
        <v>217</v>
      </c>
      <c r="H405" t="s">
        <v>217</v>
      </c>
      <c r="I405" t="s">
        <v>267</v>
      </c>
      <c r="J405" s="25">
        <v>17572</v>
      </c>
      <c r="K405" s="26">
        <v>3390.13</v>
      </c>
      <c r="L405" s="26">
        <v>59.66</v>
      </c>
    </row>
    <row r="406" spans="1:12" ht="16" customHeight="1">
      <c r="A406" t="s">
        <v>266</v>
      </c>
      <c r="B406" t="s">
        <v>5</v>
      </c>
      <c r="C406" t="s">
        <v>15</v>
      </c>
      <c r="D406" s="24">
        <v>45931</v>
      </c>
      <c r="E406" t="s">
        <v>226</v>
      </c>
      <c r="F406" t="s">
        <v>4</v>
      </c>
      <c r="G406" t="s">
        <v>217</v>
      </c>
      <c r="H406" t="s">
        <v>217</v>
      </c>
      <c r="I406" t="s">
        <v>268</v>
      </c>
      <c r="J406" s="25">
        <v>1395</v>
      </c>
      <c r="K406" s="26">
        <v>271.64999999999998</v>
      </c>
      <c r="L406" s="26">
        <v>7.39</v>
      </c>
    </row>
    <row r="407" spans="1:12" ht="16" customHeight="1">
      <c r="A407" t="s">
        <v>266</v>
      </c>
      <c r="B407" t="s">
        <v>5</v>
      </c>
      <c r="C407" t="s">
        <v>15</v>
      </c>
      <c r="D407" s="24">
        <v>45931</v>
      </c>
      <c r="E407" t="s">
        <v>269</v>
      </c>
      <c r="F407" t="s">
        <v>4</v>
      </c>
      <c r="G407" t="s">
        <v>217</v>
      </c>
      <c r="H407" t="s">
        <v>217</v>
      </c>
      <c r="I407" t="s">
        <v>270</v>
      </c>
      <c r="J407" s="25">
        <v>0</v>
      </c>
      <c r="K407" s="26">
        <v>0</v>
      </c>
      <c r="L407" s="26">
        <v>0</v>
      </c>
    </row>
    <row r="408" spans="1:12" ht="16" customHeight="1">
      <c r="A408" t="s">
        <v>266</v>
      </c>
      <c r="B408" t="s">
        <v>5</v>
      </c>
      <c r="C408" t="s">
        <v>15</v>
      </c>
      <c r="D408" s="24">
        <v>45931</v>
      </c>
      <c r="E408" t="s">
        <v>228</v>
      </c>
      <c r="F408" t="s">
        <v>4</v>
      </c>
      <c r="G408" t="s">
        <v>217</v>
      </c>
      <c r="H408" t="s">
        <v>217</v>
      </c>
      <c r="I408" t="s">
        <v>271</v>
      </c>
      <c r="J408" s="25">
        <v>1044</v>
      </c>
      <c r="K408" s="26">
        <v>207.05</v>
      </c>
      <c r="L408" s="26">
        <v>7.26</v>
      </c>
    </row>
    <row r="409" spans="1:12" ht="16" customHeight="1">
      <c r="A409" t="s">
        <v>266</v>
      </c>
      <c r="B409" t="s">
        <v>5</v>
      </c>
      <c r="C409" t="s">
        <v>15</v>
      </c>
      <c r="D409" s="24">
        <v>45931</v>
      </c>
      <c r="E409" t="s">
        <v>230</v>
      </c>
      <c r="F409" t="s">
        <v>4</v>
      </c>
      <c r="G409" t="s">
        <v>217</v>
      </c>
      <c r="H409" t="s">
        <v>217</v>
      </c>
      <c r="I409" t="s">
        <v>272</v>
      </c>
      <c r="J409" s="25">
        <v>2</v>
      </c>
      <c r="K409" s="26">
        <v>0.32</v>
      </c>
      <c r="L409" s="26">
        <v>0</v>
      </c>
    </row>
    <row r="410" spans="1:12" ht="16" customHeight="1">
      <c r="A410" t="s">
        <v>266</v>
      </c>
      <c r="B410" t="s">
        <v>5</v>
      </c>
      <c r="C410" t="s">
        <v>15</v>
      </c>
      <c r="D410" s="24">
        <v>45931</v>
      </c>
      <c r="E410" t="s">
        <v>232</v>
      </c>
      <c r="F410" t="s">
        <v>4</v>
      </c>
      <c r="G410" t="s">
        <v>217</v>
      </c>
      <c r="H410" t="s">
        <v>217</v>
      </c>
      <c r="I410" t="s">
        <v>273</v>
      </c>
      <c r="J410" s="25">
        <v>11</v>
      </c>
      <c r="K410" s="26">
        <v>1.97</v>
      </c>
      <c r="L410" s="26">
        <v>0.05</v>
      </c>
    </row>
    <row r="411" spans="1:12" ht="16" customHeight="1">
      <c r="A411" t="s">
        <v>266</v>
      </c>
      <c r="B411" t="s">
        <v>5</v>
      </c>
      <c r="C411" t="s">
        <v>15</v>
      </c>
      <c r="D411" s="24">
        <v>45931</v>
      </c>
      <c r="E411" t="s">
        <v>234</v>
      </c>
      <c r="F411" t="s">
        <v>4</v>
      </c>
      <c r="G411" t="s">
        <v>217</v>
      </c>
      <c r="H411" t="s">
        <v>217</v>
      </c>
      <c r="I411" t="s">
        <v>274</v>
      </c>
      <c r="J411" s="25">
        <v>0</v>
      </c>
      <c r="K411" s="26">
        <v>0</v>
      </c>
      <c r="L411" s="26">
        <v>0</v>
      </c>
    </row>
    <row r="412" spans="1:12" ht="16" customHeight="1">
      <c r="A412" t="s">
        <v>266</v>
      </c>
      <c r="B412" t="s">
        <v>5</v>
      </c>
      <c r="C412" t="s">
        <v>15</v>
      </c>
      <c r="D412" s="24">
        <v>45931</v>
      </c>
      <c r="E412" t="s">
        <v>236</v>
      </c>
      <c r="F412" t="s">
        <v>4</v>
      </c>
      <c r="G412" t="s">
        <v>217</v>
      </c>
      <c r="H412" t="s">
        <v>217</v>
      </c>
      <c r="I412" t="s">
        <v>275</v>
      </c>
      <c r="J412" s="25">
        <v>5</v>
      </c>
      <c r="K412" s="26">
        <v>1.01</v>
      </c>
      <c r="L412" s="26">
        <v>0.05</v>
      </c>
    </row>
    <row r="413" spans="1:12" ht="16" customHeight="1">
      <c r="A413" t="s">
        <v>266</v>
      </c>
      <c r="B413" t="s">
        <v>5</v>
      </c>
      <c r="C413" t="s">
        <v>15</v>
      </c>
      <c r="D413" s="24">
        <v>45931</v>
      </c>
      <c r="E413" t="s">
        <v>238</v>
      </c>
      <c r="F413" t="s">
        <v>4</v>
      </c>
      <c r="G413" t="s">
        <v>217</v>
      </c>
      <c r="H413" t="s">
        <v>217</v>
      </c>
      <c r="I413" t="s">
        <v>276</v>
      </c>
      <c r="J413" s="25">
        <v>0</v>
      </c>
      <c r="K413" s="26">
        <v>0</v>
      </c>
      <c r="L413" s="26">
        <v>0</v>
      </c>
    </row>
    <row r="414" spans="1:12" ht="16" customHeight="1">
      <c r="A414" t="s">
        <v>266</v>
      </c>
      <c r="B414" t="s">
        <v>5</v>
      </c>
      <c r="C414" t="s">
        <v>15</v>
      </c>
      <c r="D414" s="24">
        <v>45931</v>
      </c>
      <c r="E414" t="s">
        <v>240</v>
      </c>
      <c r="F414" t="s">
        <v>3</v>
      </c>
      <c r="G414" t="s">
        <v>241</v>
      </c>
      <c r="H414" t="s">
        <v>241</v>
      </c>
      <c r="I414" t="s">
        <v>277</v>
      </c>
      <c r="J414" s="25">
        <v>0</v>
      </c>
      <c r="K414" s="26">
        <v>0</v>
      </c>
      <c r="L414" s="26">
        <v>0</v>
      </c>
    </row>
    <row r="415" spans="1:12" ht="16" customHeight="1">
      <c r="A415" t="s">
        <v>266</v>
      </c>
      <c r="B415" t="s">
        <v>5</v>
      </c>
      <c r="C415" t="s">
        <v>15</v>
      </c>
      <c r="D415" s="24">
        <v>45931</v>
      </c>
      <c r="E415" t="s">
        <v>243</v>
      </c>
      <c r="F415" t="s">
        <v>4</v>
      </c>
      <c r="G415" t="s">
        <v>217</v>
      </c>
      <c r="H415" t="s">
        <v>217</v>
      </c>
      <c r="I415" t="s">
        <v>278</v>
      </c>
      <c r="J415" s="25">
        <v>0</v>
      </c>
      <c r="K415" s="26">
        <v>0</v>
      </c>
      <c r="L415" s="26">
        <v>0</v>
      </c>
    </row>
    <row r="416" spans="1:12" ht="16" customHeight="1">
      <c r="A416" t="s">
        <v>279</v>
      </c>
      <c r="B416" t="s">
        <v>7</v>
      </c>
      <c r="C416" t="s">
        <v>15</v>
      </c>
      <c r="D416" s="24">
        <v>45931</v>
      </c>
      <c r="E416" t="s">
        <v>246</v>
      </c>
      <c r="F416" t="s">
        <v>4</v>
      </c>
      <c r="G416" t="s">
        <v>211</v>
      </c>
      <c r="H416" t="s">
        <v>211</v>
      </c>
      <c r="I416" t="s">
        <v>212</v>
      </c>
      <c r="J416" s="25">
        <v>96091988</v>
      </c>
      <c r="K416" s="26">
        <v>17916622.039999999</v>
      </c>
      <c r="L416" s="26">
        <v>36099.769999999997</v>
      </c>
    </row>
    <row r="417" spans="1:12" ht="16" customHeight="1">
      <c r="A417" t="s">
        <v>279</v>
      </c>
      <c r="B417" t="s">
        <v>7</v>
      </c>
      <c r="C417" t="s">
        <v>15</v>
      </c>
      <c r="D417" s="24">
        <v>45931</v>
      </c>
      <c r="E417" t="s">
        <v>251</v>
      </c>
      <c r="F417" t="s">
        <v>4</v>
      </c>
      <c r="G417" t="s">
        <v>211</v>
      </c>
      <c r="H417" t="s">
        <v>211</v>
      </c>
      <c r="I417" t="s">
        <v>212</v>
      </c>
      <c r="J417" s="25">
        <v>1998875</v>
      </c>
      <c r="K417" s="26">
        <v>373816.54</v>
      </c>
      <c r="L417" s="26">
        <v>1220.08</v>
      </c>
    </row>
    <row r="418" spans="1:12" ht="16" customHeight="1">
      <c r="A418" t="s">
        <v>279</v>
      </c>
      <c r="B418" t="s">
        <v>7</v>
      </c>
      <c r="C418" t="s">
        <v>15</v>
      </c>
      <c r="D418" s="24">
        <v>45931</v>
      </c>
      <c r="E418" t="s">
        <v>256</v>
      </c>
      <c r="F418" t="s">
        <v>3</v>
      </c>
      <c r="G418" t="s">
        <v>241</v>
      </c>
      <c r="H418" t="s">
        <v>241</v>
      </c>
      <c r="I418" t="s">
        <v>212</v>
      </c>
      <c r="J418" s="25">
        <v>107954</v>
      </c>
      <c r="K418" s="26">
        <v>20249.13</v>
      </c>
      <c r="L418" s="26">
        <v>85.08</v>
      </c>
    </row>
    <row r="419" spans="1:12" ht="16" customHeight="1">
      <c r="A419" t="s">
        <v>279</v>
      </c>
      <c r="B419" t="s">
        <v>7</v>
      </c>
      <c r="C419" t="s">
        <v>15</v>
      </c>
      <c r="D419" s="24">
        <v>45931</v>
      </c>
      <c r="E419" t="s">
        <v>218</v>
      </c>
      <c r="F419" t="s">
        <v>4</v>
      </c>
      <c r="G419" t="s">
        <v>217</v>
      </c>
      <c r="H419" t="s">
        <v>217</v>
      </c>
      <c r="I419" t="s">
        <v>212</v>
      </c>
      <c r="J419" s="25">
        <v>1055430</v>
      </c>
      <c r="K419" s="26">
        <v>198016.04</v>
      </c>
      <c r="L419" s="26">
        <v>1080.71</v>
      </c>
    </row>
    <row r="420" spans="1:12" ht="16" customHeight="1">
      <c r="A420" t="s">
        <v>279</v>
      </c>
      <c r="B420" t="s">
        <v>7</v>
      </c>
      <c r="C420" t="s">
        <v>15</v>
      </c>
      <c r="D420" s="24">
        <v>45931</v>
      </c>
      <c r="E420" t="s">
        <v>262</v>
      </c>
      <c r="F420" t="s">
        <v>4</v>
      </c>
      <c r="G420" t="s">
        <v>211</v>
      </c>
      <c r="H420" t="s">
        <v>211</v>
      </c>
      <c r="I420" t="s">
        <v>219</v>
      </c>
      <c r="J420" s="25">
        <v>3288</v>
      </c>
      <c r="K420" s="26">
        <v>620.53</v>
      </c>
      <c r="L420" s="26">
        <v>3.27</v>
      </c>
    </row>
    <row r="421" spans="1:12" ht="16" customHeight="1">
      <c r="A421" t="s">
        <v>279</v>
      </c>
      <c r="B421" t="s">
        <v>7</v>
      </c>
      <c r="C421" t="s">
        <v>15</v>
      </c>
      <c r="D421" s="24">
        <v>45931</v>
      </c>
      <c r="E421" t="s">
        <v>220</v>
      </c>
      <c r="F421" t="s">
        <v>4</v>
      </c>
      <c r="G421" t="s">
        <v>217</v>
      </c>
      <c r="H421" t="s">
        <v>217</v>
      </c>
      <c r="I421" t="s">
        <v>219</v>
      </c>
      <c r="J421" s="25">
        <v>102465</v>
      </c>
      <c r="K421" s="26">
        <v>19431.669999999998</v>
      </c>
      <c r="L421" s="26">
        <v>114.61</v>
      </c>
    </row>
    <row r="422" spans="1:12" ht="16" customHeight="1">
      <c r="A422" t="s">
        <v>279</v>
      </c>
      <c r="B422" t="s">
        <v>7</v>
      </c>
      <c r="C422" t="s">
        <v>15</v>
      </c>
      <c r="D422" s="24">
        <v>45931</v>
      </c>
      <c r="E422" t="s">
        <v>222</v>
      </c>
      <c r="F422" t="s">
        <v>4</v>
      </c>
      <c r="G422" t="s">
        <v>217</v>
      </c>
      <c r="H422" t="s">
        <v>217</v>
      </c>
      <c r="I422" t="s">
        <v>221</v>
      </c>
      <c r="J422" s="25">
        <v>66987</v>
      </c>
      <c r="K422" s="26">
        <v>12484.32</v>
      </c>
      <c r="L422" s="26">
        <v>130.96</v>
      </c>
    </row>
    <row r="423" spans="1:12" ht="16" customHeight="1">
      <c r="A423" t="s">
        <v>279</v>
      </c>
      <c r="B423" t="s">
        <v>7</v>
      </c>
      <c r="C423" t="s">
        <v>15</v>
      </c>
      <c r="D423" s="24">
        <v>45931</v>
      </c>
      <c r="E423" t="s">
        <v>224</v>
      </c>
      <c r="F423" t="s">
        <v>4</v>
      </c>
      <c r="G423" t="s">
        <v>217</v>
      </c>
      <c r="H423" t="s">
        <v>217</v>
      </c>
      <c r="I423" t="s">
        <v>267</v>
      </c>
      <c r="J423" s="25">
        <v>14897</v>
      </c>
      <c r="K423" s="26">
        <v>2902.5</v>
      </c>
      <c r="L423" s="26">
        <v>52.52</v>
      </c>
    </row>
    <row r="424" spans="1:12" ht="16" customHeight="1">
      <c r="A424" t="s">
        <v>279</v>
      </c>
      <c r="B424" t="s">
        <v>7</v>
      </c>
      <c r="C424" t="s">
        <v>15</v>
      </c>
      <c r="D424" s="24">
        <v>45931</v>
      </c>
      <c r="E424" t="s">
        <v>226</v>
      </c>
      <c r="F424" t="s">
        <v>4</v>
      </c>
      <c r="G424" t="s">
        <v>217</v>
      </c>
      <c r="H424" t="s">
        <v>217</v>
      </c>
      <c r="I424" t="s">
        <v>268</v>
      </c>
      <c r="J424" s="25">
        <v>1207</v>
      </c>
      <c r="K424" s="26">
        <v>235.02</v>
      </c>
      <c r="L424" s="26">
        <v>5.5</v>
      </c>
    </row>
    <row r="425" spans="1:12" ht="16" customHeight="1">
      <c r="A425" t="s">
        <v>279</v>
      </c>
      <c r="B425" t="s">
        <v>7</v>
      </c>
      <c r="C425" t="s">
        <v>15</v>
      </c>
      <c r="D425" s="24">
        <v>45931</v>
      </c>
      <c r="E425" t="s">
        <v>269</v>
      </c>
      <c r="F425" t="s">
        <v>4</v>
      </c>
      <c r="G425" t="s">
        <v>217</v>
      </c>
      <c r="H425" t="s">
        <v>217</v>
      </c>
      <c r="I425" t="s">
        <v>270</v>
      </c>
      <c r="J425" s="25">
        <v>0</v>
      </c>
      <c r="K425" s="26">
        <v>0</v>
      </c>
      <c r="L425" s="26">
        <v>0</v>
      </c>
    </row>
    <row r="426" spans="1:12" ht="16" customHeight="1">
      <c r="A426" t="s">
        <v>279</v>
      </c>
      <c r="B426" t="s">
        <v>7</v>
      </c>
      <c r="C426" t="s">
        <v>15</v>
      </c>
      <c r="D426" s="24">
        <v>45931</v>
      </c>
      <c r="E426" t="s">
        <v>228</v>
      </c>
      <c r="F426" t="s">
        <v>4</v>
      </c>
      <c r="G426" t="s">
        <v>217</v>
      </c>
      <c r="H426" t="s">
        <v>217</v>
      </c>
      <c r="I426" t="s">
        <v>271</v>
      </c>
      <c r="J426" s="25">
        <v>725</v>
      </c>
      <c r="K426" s="26">
        <v>145.51</v>
      </c>
      <c r="L426" s="26">
        <v>4.83</v>
      </c>
    </row>
    <row r="427" spans="1:12" ht="16" customHeight="1">
      <c r="A427" t="s">
        <v>279</v>
      </c>
      <c r="B427" t="s">
        <v>7</v>
      </c>
      <c r="C427" t="s">
        <v>15</v>
      </c>
      <c r="D427" s="24">
        <v>45931</v>
      </c>
      <c r="E427" t="s">
        <v>230</v>
      </c>
      <c r="F427" t="s">
        <v>4</v>
      </c>
      <c r="G427" t="s">
        <v>217</v>
      </c>
      <c r="H427" t="s">
        <v>217</v>
      </c>
      <c r="I427" t="s">
        <v>272</v>
      </c>
      <c r="J427" s="25">
        <v>0</v>
      </c>
      <c r="K427" s="26">
        <v>0</v>
      </c>
      <c r="L427" s="26">
        <v>0</v>
      </c>
    </row>
    <row r="428" spans="1:12" ht="16" customHeight="1">
      <c r="A428" t="s">
        <v>279</v>
      </c>
      <c r="B428" t="s">
        <v>7</v>
      </c>
      <c r="C428" t="s">
        <v>15</v>
      </c>
      <c r="D428" s="24">
        <v>45931</v>
      </c>
      <c r="E428" t="s">
        <v>232</v>
      </c>
      <c r="F428" t="s">
        <v>4</v>
      </c>
      <c r="G428" t="s">
        <v>217</v>
      </c>
      <c r="H428" t="s">
        <v>217</v>
      </c>
      <c r="I428" t="s">
        <v>273</v>
      </c>
      <c r="J428" s="25">
        <v>4</v>
      </c>
      <c r="K428" s="26">
        <v>0.75</v>
      </c>
      <c r="L428" s="26">
        <v>0.03</v>
      </c>
    </row>
    <row r="429" spans="1:12" ht="16" customHeight="1">
      <c r="A429" t="s">
        <v>279</v>
      </c>
      <c r="B429" t="s">
        <v>7</v>
      </c>
      <c r="C429" t="s">
        <v>15</v>
      </c>
      <c r="D429" s="24">
        <v>45931</v>
      </c>
      <c r="E429" t="s">
        <v>234</v>
      </c>
      <c r="F429" t="s">
        <v>4</v>
      </c>
      <c r="G429" t="s">
        <v>217</v>
      </c>
      <c r="H429" t="s">
        <v>217</v>
      </c>
      <c r="I429" t="s">
        <v>274</v>
      </c>
      <c r="J429" s="25">
        <v>0</v>
      </c>
      <c r="K429" s="26">
        <v>0</v>
      </c>
      <c r="L429" s="26">
        <v>0</v>
      </c>
    </row>
    <row r="430" spans="1:12" ht="16" customHeight="1">
      <c r="A430" t="s">
        <v>279</v>
      </c>
      <c r="B430" t="s">
        <v>7</v>
      </c>
      <c r="C430" t="s">
        <v>15</v>
      </c>
      <c r="D430" s="24">
        <v>45931</v>
      </c>
      <c r="E430" t="s">
        <v>236</v>
      </c>
      <c r="F430" t="s">
        <v>4</v>
      </c>
      <c r="G430" t="s">
        <v>217</v>
      </c>
      <c r="H430" t="s">
        <v>217</v>
      </c>
      <c r="I430" t="s">
        <v>275</v>
      </c>
      <c r="J430" s="25">
        <v>0</v>
      </c>
      <c r="K430" s="26">
        <v>0</v>
      </c>
      <c r="L430" s="26">
        <v>0</v>
      </c>
    </row>
    <row r="431" spans="1:12" ht="16" customHeight="1">
      <c r="A431" t="s">
        <v>279</v>
      </c>
      <c r="B431" t="s">
        <v>7</v>
      </c>
      <c r="C431" t="s">
        <v>15</v>
      </c>
      <c r="D431" s="24">
        <v>45931</v>
      </c>
      <c r="E431" t="s">
        <v>238</v>
      </c>
      <c r="F431" t="s">
        <v>4</v>
      </c>
      <c r="G431" t="s">
        <v>217</v>
      </c>
      <c r="H431" t="s">
        <v>217</v>
      </c>
      <c r="I431" t="s">
        <v>276</v>
      </c>
      <c r="J431" s="25">
        <v>0</v>
      </c>
      <c r="K431" s="26">
        <v>0</v>
      </c>
      <c r="L431" s="26">
        <v>0</v>
      </c>
    </row>
    <row r="432" spans="1:12" ht="16" customHeight="1">
      <c r="A432" t="s">
        <v>279</v>
      </c>
      <c r="B432" t="s">
        <v>7</v>
      </c>
      <c r="C432" t="s">
        <v>15</v>
      </c>
      <c r="D432" s="24">
        <v>45931</v>
      </c>
      <c r="E432" t="s">
        <v>240</v>
      </c>
      <c r="F432" t="s">
        <v>3</v>
      </c>
      <c r="G432" t="s">
        <v>241</v>
      </c>
      <c r="H432" t="s">
        <v>241</v>
      </c>
      <c r="I432" t="s">
        <v>277</v>
      </c>
      <c r="J432" s="25">
        <v>0</v>
      </c>
      <c r="K432" s="26">
        <v>0</v>
      </c>
      <c r="L432" s="26">
        <v>0</v>
      </c>
    </row>
    <row r="433" spans="1:12" ht="16" customHeight="1">
      <c r="A433" t="s">
        <v>279</v>
      </c>
      <c r="B433" t="s">
        <v>7</v>
      </c>
      <c r="C433" t="s">
        <v>15</v>
      </c>
      <c r="D433" s="24">
        <v>45931</v>
      </c>
      <c r="E433" t="s">
        <v>243</v>
      </c>
      <c r="F433" t="s">
        <v>4</v>
      </c>
      <c r="G433" t="s">
        <v>217</v>
      </c>
      <c r="H433" t="s">
        <v>217</v>
      </c>
      <c r="I433" t="s">
        <v>278</v>
      </c>
      <c r="J433" s="25">
        <v>0</v>
      </c>
      <c r="K433" s="26">
        <v>0</v>
      </c>
      <c r="L433" s="26">
        <v>0</v>
      </c>
    </row>
    <row r="434" spans="1:12" ht="16" customHeight="1">
      <c r="A434" t="s">
        <v>280</v>
      </c>
      <c r="B434" t="s">
        <v>3</v>
      </c>
      <c r="C434" t="s">
        <v>15</v>
      </c>
      <c r="D434" s="24">
        <v>45931</v>
      </c>
      <c r="E434" t="s">
        <v>246</v>
      </c>
      <c r="F434" t="s">
        <v>4</v>
      </c>
      <c r="G434" t="s">
        <v>211</v>
      </c>
      <c r="H434" t="s">
        <v>211</v>
      </c>
      <c r="I434" t="s">
        <v>212</v>
      </c>
      <c r="J434" s="25">
        <v>139433590</v>
      </c>
      <c r="K434" s="26">
        <v>26120781.960000001</v>
      </c>
      <c r="L434" s="26">
        <v>36810.44</v>
      </c>
    </row>
    <row r="435" spans="1:12" ht="16" customHeight="1">
      <c r="A435" t="s">
        <v>280</v>
      </c>
      <c r="B435" t="s">
        <v>3</v>
      </c>
      <c r="C435" t="s">
        <v>15</v>
      </c>
      <c r="D435" s="24">
        <v>45931</v>
      </c>
      <c r="E435" t="s">
        <v>251</v>
      </c>
      <c r="F435" t="s">
        <v>4</v>
      </c>
      <c r="G435" t="s">
        <v>211</v>
      </c>
      <c r="H435" t="s">
        <v>211</v>
      </c>
      <c r="I435" t="s">
        <v>212</v>
      </c>
      <c r="J435" s="25">
        <v>4572736</v>
      </c>
      <c r="K435" s="26">
        <v>859255.25</v>
      </c>
      <c r="L435" s="26">
        <v>2402.4299999999998</v>
      </c>
    </row>
    <row r="436" spans="1:12" ht="16" customHeight="1">
      <c r="A436" t="s">
        <v>280</v>
      </c>
      <c r="B436" t="s">
        <v>3</v>
      </c>
      <c r="C436" t="s">
        <v>15</v>
      </c>
      <c r="D436" s="24">
        <v>45931</v>
      </c>
      <c r="E436" t="s">
        <v>256</v>
      </c>
      <c r="F436" t="s">
        <v>3</v>
      </c>
      <c r="G436" t="s">
        <v>241</v>
      </c>
      <c r="H436" t="s">
        <v>241</v>
      </c>
      <c r="I436" t="s">
        <v>212</v>
      </c>
      <c r="J436" s="25">
        <v>241272</v>
      </c>
      <c r="K436" s="26">
        <v>45449.02</v>
      </c>
      <c r="L436" s="26">
        <v>175.31</v>
      </c>
    </row>
    <row r="437" spans="1:12" ht="16" customHeight="1">
      <c r="A437" t="s">
        <v>280</v>
      </c>
      <c r="B437" t="s">
        <v>3</v>
      </c>
      <c r="C437" t="s">
        <v>15</v>
      </c>
      <c r="D437" s="24">
        <v>45931</v>
      </c>
      <c r="E437" t="s">
        <v>218</v>
      </c>
      <c r="F437" t="s">
        <v>4</v>
      </c>
      <c r="G437" t="s">
        <v>217</v>
      </c>
      <c r="H437" t="s">
        <v>217</v>
      </c>
      <c r="I437" t="s">
        <v>212</v>
      </c>
      <c r="J437" s="25">
        <v>1611903</v>
      </c>
      <c r="K437" s="26">
        <v>303423.43</v>
      </c>
      <c r="L437" s="26">
        <v>1619.67</v>
      </c>
    </row>
    <row r="438" spans="1:12" ht="16" customHeight="1">
      <c r="A438" t="s">
        <v>280</v>
      </c>
      <c r="B438" t="s">
        <v>3</v>
      </c>
      <c r="C438" t="s">
        <v>15</v>
      </c>
      <c r="D438" s="24">
        <v>45931</v>
      </c>
      <c r="E438" t="s">
        <v>262</v>
      </c>
      <c r="F438" t="s">
        <v>4</v>
      </c>
      <c r="G438" t="s">
        <v>211</v>
      </c>
      <c r="H438" t="s">
        <v>211</v>
      </c>
      <c r="I438" t="s">
        <v>219</v>
      </c>
      <c r="J438" s="25">
        <v>5546</v>
      </c>
      <c r="K438" s="26">
        <v>1047.3900000000001</v>
      </c>
      <c r="L438" s="26">
        <v>6.72</v>
      </c>
    </row>
    <row r="439" spans="1:12" ht="16" customHeight="1">
      <c r="A439" t="s">
        <v>280</v>
      </c>
      <c r="B439" t="s">
        <v>3</v>
      </c>
      <c r="C439" t="s">
        <v>15</v>
      </c>
      <c r="D439" s="24">
        <v>45931</v>
      </c>
      <c r="E439" t="s">
        <v>220</v>
      </c>
      <c r="F439" t="s">
        <v>4</v>
      </c>
      <c r="G439" t="s">
        <v>217</v>
      </c>
      <c r="H439" t="s">
        <v>217</v>
      </c>
      <c r="I439" t="s">
        <v>219</v>
      </c>
      <c r="J439" s="25">
        <v>147420</v>
      </c>
      <c r="K439" s="26">
        <v>27824.1</v>
      </c>
      <c r="L439" s="26">
        <v>191.95</v>
      </c>
    </row>
    <row r="440" spans="1:12" ht="16" customHeight="1">
      <c r="A440" t="s">
        <v>280</v>
      </c>
      <c r="B440" t="s">
        <v>3</v>
      </c>
      <c r="C440" t="s">
        <v>15</v>
      </c>
      <c r="D440" s="24">
        <v>45931</v>
      </c>
      <c r="E440" t="s">
        <v>222</v>
      </c>
      <c r="F440" t="s">
        <v>4</v>
      </c>
      <c r="G440" t="s">
        <v>217</v>
      </c>
      <c r="H440" t="s">
        <v>217</v>
      </c>
      <c r="I440" t="s">
        <v>221</v>
      </c>
      <c r="J440" s="25">
        <v>107070</v>
      </c>
      <c r="K440" s="26">
        <v>19922.78</v>
      </c>
      <c r="L440" s="26">
        <v>196.14</v>
      </c>
    </row>
    <row r="441" spans="1:12" ht="16" customHeight="1">
      <c r="A441" t="s">
        <v>280</v>
      </c>
      <c r="B441" t="s">
        <v>3</v>
      </c>
      <c r="C441" t="s">
        <v>15</v>
      </c>
      <c r="D441" s="24">
        <v>45931</v>
      </c>
      <c r="E441" t="s">
        <v>224</v>
      </c>
      <c r="F441" t="s">
        <v>4</v>
      </c>
      <c r="G441" t="s">
        <v>217</v>
      </c>
      <c r="H441" t="s">
        <v>217</v>
      </c>
      <c r="I441" t="s">
        <v>267</v>
      </c>
      <c r="J441" s="25">
        <v>15433</v>
      </c>
      <c r="K441" s="26">
        <v>2961.03</v>
      </c>
      <c r="L441" s="26">
        <v>49.21</v>
      </c>
    </row>
    <row r="442" spans="1:12" ht="16" customHeight="1">
      <c r="A442" t="s">
        <v>280</v>
      </c>
      <c r="B442" t="s">
        <v>3</v>
      </c>
      <c r="C442" t="s">
        <v>15</v>
      </c>
      <c r="D442" s="24">
        <v>45931</v>
      </c>
      <c r="E442" t="s">
        <v>226</v>
      </c>
      <c r="F442" t="s">
        <v>4</v>
      </c>
      <c r="G442" t="s">
        <v>217</v>
      </c>
      <c r="H442" t="s">
        <v>217</v>
      </c>
      <c r="I442" t="s">
        <v>268</v>
      </c>
      <c r="J442" s="25">
        <v>2105</v>
      </c>
      <c r="K442" s="26">
        <v>409.66</v>
      </c>
      <c r="L442" s="26">
        <v>9.3699999999999992</v>
      </c>
    </row>
    <row r="443" spans="1:12" ht="16" customHeight="1">
      <c r="A443" t="s">
        <v>280</v>
      </c>
      <c r="B443" t="s">
        <v>3</v>
      </c>
      <c r="C443" t="s">
        <v>15</v>
      </c>
      <c r="D443" s="24">
        <v>45931</v>
      </c>
      <c r="E443" t="s">
        <v>269</v>
      </c>
      <c r="F443" t="s">
        <v>4</v>
      </c>
      <c r="G443" t="s">
        <v>217</v>
      </c>
      <c r="H443" t="s">
        <v>217</v>
      </c>
      <c r="I443" t="s">
        <v>270</v>
      </c>
      <c r="J443" s="25">
        <v>0</v>
      </c>
      <c r="K443" s="26">
        <v>0</v>
      </c>
      <c r="L443" s="26">
        <v>0</v>
      </c>
    </row>
    <row r="444" spans="1:12" ht="16" customHeight="1">
      <c r="A444" t="s">
        <v>280</v>
      </c>
      <c r="B444" t="s">
        <v>3</v>
      </c>
      <c r="C444" t="s">
        <v>15</v>
      </c>
      <c r="D444" s="24">
        <v>45931</v>
      </c>
      <c r="E444" t="s">
        <v>228</v>
      </c>
      <c r="F444" t="s">
        <v>4</v>
      </c>
      <c r="G444" t="s">
        <v>217</v>
      </c>
      <c r="H444" t="s">
        <v>217</v>
      </c>
      <c r="I444" t="s">
        <v>271</v>
      </c>
      <c r="J444" s="25">
        <v>1044</v>
      </c>
      <c r="K444" s="26">
        <v>208.59</v>
      </c>
      <c r="L444" s="26">
        <v>6.75</v>
      </c>
    </row>
    <row r="445" spans="1:12" ht="16" customHeight="1">
      <c r="A445" t="s">
        <v>280</v>
      </c>
      <c r="B445" t="s">
        <v>3</v>
      </c>
      <c r="C445" t="s">
        <v>15</v>
      </c>
      <c r="D445" s="24">
        <v>45931</v>
      </c>
      <c r="E445" t="s">
        <v>230</v>
      </c>
      <c r="F445" t="s">
        <v>4</v>
      </c>
      <c r="G445" t="s">
        <v>217</v>
      </c>
      <c r="H445" t="s">
        <v>217</v>
      </c>
      <c r="I445" t="s">
        <v>272</v>
      </c>
      <c r="J445" s="25">
        <v>0</v>
      </c>
      <c r="K445" s="26">
        <v>0</v>
      </c>
      <c r="L445" s="26">
        <v>0</v>
      </c>
    </row>
    <row r="446" spans="1:12" ht="16" customHeight="1">
      <c r="A446" t="s">
        <v>280</v>
      </c>
      <c r="B446" t="s">
        <v>3</v>
      </c>
      <c r="C446" t="s">
        <v>15</v>
      </c>
      <c r="D446" s="24">
        <v>45931</v>
      </c>
      <c r="E446" t="s">
        <v>232</v>
      </c>
      <c r="F446" t="s">
        <v>4</v>
      </c>
      <c r="G446" t="s">
        <v>217</v>
      </c>
      <c r="H446" t="s">
        <v>217</v>
      </c>
      <c r="I446" t="s">
        <v>273</v>
      </c>
      <c r="J446" s="25">
        <v>0</v>
      </c>
      <c r="K446" s="26">
        <v>0</v>
      </c>
      <c r="L446" s="26">
        <v>0</v>
      </c>
    </row>
    <row r="447" spans="1:12" ht="16" customHeight="1">
      <c r="A447" t="s">
        <v>280</v>
      </c>
      <c r="B447" t="s">
        <v>3</v>
      </c>
      <c r="C447" t="s">
        <v>15</v>
      </c>
      <c r="D447" s="24">
        <v>45931</v>
      </c>
      <c r="E447" t="s">
        <v>234</v>
      </c>
      <c r="F447" t="s">
        <v>4</v>
      </c>
      <c r="G447" t="s">
        <v>217</v>
      </c>
      <c r="H447" t="s">
        <v>217</v>
      </c>
      <c r="I447" t="s">
        <v>274</v>
      </c>
      <c r="J447" s="25">
        <v>0</v>
      </c>
      <c r="K447" s="26">
        <v>0</v>
      </c>
      <c r="L447" s="26">
        <v>0</v>
      </c>
    </row>
    <row r="448" spans="1:12" ht="16" customHeight="1">
      <c r="A448" t="s">
        <v>280</v>
      </c>
      <c r="B448" t="s">
        <v>3</v>
      </c>
      <c r="C448" t="s">
        <v>15</v>
      </c>
      <c r="D448" s="24">
        <v>45931</v>
      </c>
      <c r="E448" t="s">
        <v>236</v>
      </c>
      <c r="F448" t="s">
        <v>4</v>
      </c>
      <c r="G448" t="s">
        <v>217</v>
      </c>
      <c r="H448" t="s">
        <v>217</v>
      </c>
      <c r="I448" t="s">
        <v>275</v>
      </c>
      <c r="J448" s="25">
        <v>2</v>
      </c>
      <c r="K448" s="26">
        <v>0.34</v>
      </c>
      <c r="L448" s="26">
        <v>0.01</v>
      </c>
    </row>
    <row r="449" spans="1:12" ht="16" customHeight="1">
      <c r="A449" t="s">
        <v>280</v>
      </c>
      <c r="B449" t="s">
        <v>3</v>
      </c>
      <c r="C449" t="s">
        <v>15</v>
      </c>
      <c r="D449" s="24">
        <v>45931</v>
      </c>
      <c r="E449" t="s">
        <v>238</v>
      </c>
      <c r="F449" t="s">
        <v>4</v>
      </c>
      <c r="G449" t="s">
        <v>217</v>
      </c>
      <c r="H449" t="s">
        <v>217</v>
      </c>
      <c r="I449" t="s">
        <v>276</v>
      </c>
      <c r="J449" s="25">
        <v>0</v>
      </c>
      <c r="K449" s="26">
        <v>0</v>
      </c>
      <c r="L449" s="26">
        <v>0</v>
      </c>
    </row>
    <row r="450" spans="1:12" ht="16" customHeight="1">
      <c r="A450" t="s">
        <v>280</v>
      </c>
      <c r="B450" t="s">
        <v>3</v>
      </c>
      <c r="C450" t="s">
        <v>15</v>
      </c>
      <c r="D450" s="24">
        <v>45931</v>
      </c>
      <c r="E450" t="s">
        <v>240</v>
      </c>
      <c r="F450" t="s">
        <v>3</v>
      </c>
      <c r="G450" t="s">
        <v>241</v>
      </c>
      <c r="H450" t="s">
        <v>241</v>
      </c>
      <c r="I450" t="s">
        <v>277</v>
      </c>
      <c r="J450" s="25">
        <v>0</v>
      </c>
      <c r="K450" s="26">
        <v>0</v>
      </c>
      <c r="L450" s="26">
        <v>0</v>
      </c>
    </row>
    <row r="451" spans="1:12" ht="16" customHeight="1">
      <c r="A451" t="s">
        <v>280</v>
      </c>
      <c r="B451" t="s">
        <v>3</v>
      </c>
      <c r="C451" t="s">
        <v>15</v>
      </c>
      <c r="D451" s="24">
        <v>45931</v>
      </c>
      <c r="E451" t="s">
        <v>243</v>
      </c>
      <c r="F451" t="s">
        <v>4</v>
      </c>
      <c r="G451" t="s">
        <v>217</v>
      </c>
      <c r="H451" t="s">
        <v>217</v>
      </c>
      <c r="I451" t="s">
        <v>278</v>
      </c>
      <c r="J451" s="25">
        <v>0</v>
      </c>
      <c r="K451" s="26">
        <v>0</v>
      </c>
      <c r="L451" s="26">
        <v>0</v>
      </c>
    </row>
    <row r="452" spans="1:12" ht="16" customHeight="1">
      <c r="A452" t="s">
        <v>246</v>
      </c>
      <c r="B452" t="s">
        <v>4</v>
      </c>
      <c r="C452" t="s">
        <v>15</v>
      </c>
      <c r="D452" s="24">
        <v>45931</v>
      </c>
      <c r="E452" t="s">
        <v>246</v>
      </c>
      <c r="F452" t="s">
        <v>4</v>
      </c>
      <c r="G452" t="s">
        <v>211</v>
      </c>
      <c r="H452" t="s">
        <v>211</v>
      </c>
      <c r="I452" t="s">
        <v>212</v>
      </c>
      <c r="J452" s="25">
        <v>331806540</v>
      </c>
      <c r="K452" s="26">
        <v>62607677.789999999</v>
      </c>
      <c r="L452" s="26">
        <v>52478.33</v>
      </c>
    </row>
    <row r="453" spans="1:12" ht="16" customHeight="1">
      <c r="A453" t="s">
        <v>246</v>
      </c>
      <c r="B453" t="s">
        <v>4</v>
      </c>
      <c r="C453" t="s">
        <v>15</v>
      </c>
      <c r="D453" s="24">
        <v>45931</v>
      </c>
      <c r="E453" t="s">
        <v>251</v>
      </c>
      <c r="F453" t="s">
        <v>4</v>
      </c>
      <c r="G453" t="s">
        <v>211</v>
      </c>
      <c r="H453" t="s">
        <v>211</v>
      </c>
      <c r="I453" t="s">
        <v>212</v>
      </c>
      <c r="J453" s="25">
        <v>11375836</v>
      </c>
      <c r="K453" s="26">
        <v>2149607.23</v>
      </c>
      <c r="L453" s="26">
        <v>5567.39</v>
      </c>
    </row>
    <row r="454" spans="1:12" ht="16" customHeight="1">
      <c r="A454" t="s">
        <v>246</v>
      </c>
      <c r="B454" t="s">
        <v>4</v>
      </c>
      <c r="C454" t="s">
        <v>15</v>
      </c>
      <c r="D454" s="24">
        <v>45931</v>
      </c>
      <c r="E454" t="s">
        <v>256</v>
      </c>
      <c r="F454" t="s">
        <v>3</v>
      </c>
      <c r="G454" t="s">
        <v>241</v>
      </c>
      <c r="H454" t="s">
        <v>241</v>
      </c>
      <c r="I454" t="s">
        <v>212</v>
      </c>
      <c r="J454" s="25">
        <v>416113</v>
      </c>
      <c r="K454" s="26">
        <v>78833.61</v>
      </c>
      <c r="L454" s="26">
        <v>283.3</v>
      </c>
    </row>
    <row r="455" spans="1:12" ht="16" customHeight="1">
      <c r="A455" t="s">
        <v>246</v>
      </c>
      <c r="B455" t="s">
        <v>4</v>
      </c>
      <c r="C455" t="s">
        <v>15</v>
      </c>
      <c r="D455" s="24">
        <v>45931</v>
      </c>
      <c r="E455" t="s">
        <v>218</v>
      </c>
      <c r="F455" t="s">
        <v>4</v>
      </c>
      <c r="G455" t="s">
        <v>217</v>
      </c>
      <c r="H455" t="s">
        <v>217</v>
      </c>
      <c r="I455" t="s">
        <v>212</v>
      </c>
      <c r="J455" s="25">
        <v>1588259</v>
      </c>
      <c r="K455" s="26">
        <v>300466.2</v>
      </c>
      <c r="L455" s="26">
        <v>1632.95</v>
      </c>
    </row>
    <row r="456" spans="1:12" ht="16" customHeight="1">
      <c r="A456" t="s">
        <v>246</v>
      </c>
      <c r="B456" t="s">
        <v>4</v>
      </c>
      <c r="C456" t="s">
        <v>15</v>
      </c>
      <c r="D456" s="24">
        <v>45931</v>
      </c>
      <c r="E456" t="s">
        <v>262</v>
      </c>
      <c r="F456" t="s">
        <v>4</v>
      </c>
      <c r="G456" t="s">
        <v>211</v>
      </c>
      <c r="H456" t="s">
        <v>211</v>
      </c>
      <c r="I456" t="s">
        <v>219</v>
      </c>
      <c r="J456" s="25">
        <v>6550</v>
      </c>
      <c r="K456" s="26">
        <v>1238.2</v>
      </c>
      <c r="L456" s="26">
        <v>6.15</v>
      </c>
    </row>
    <row r="457" spans="1:12" ht="16" customHeight="1">
      <c r="A457" t="s">
        <v>246</v>
      </c>
      <c r="B457" t="s">
        <v>4</v>
      </c>
      <c r="C457" t="s">
        <v>15</v>
      </c>
      <c r="D457" s="24">
        <v>45931</v>
      </c>
      <c r="E457" t="s">
        <v>220</v>
      </c>
      <c r="F457" t="s">
        <v>4</v>
      </c>
      <c r="G457" t="s">
        <v>217</v>
      </c>
      <c r="H457" t="s">
        <v>217</v>
      </c>
      <c r="I457" t="s">
        <v>219</v>
      </c>
      <c r="J457" s="25">
        <v>160788</v>
      </c>
      <c r="K457" s="26">
        <v>30469.88</v>
      </c>
      <c r="L457" s="26">
        <v>201.76</v>
      </c>
    </row>
    <row r="458" spans="1:12" ht="16" customHeight="1">
      <c r="A458" t="s">
        <v>246</v>
      </c>
      <c r="B458" t="s">
        <v>4</v>
      </c>
      <c r="C458" t="s">
        <v>15</v>
      </c>
      <c r="D458" s="24">
        <v>45931</v>
      </c>
      <c r="E458" t="s">
        <v>222</v>
      </c>
      <c r="F458" t="s">
        <v>4</v>
      </c>
      <c r="G458" t="s">
        <v>217</v>
      </c>
      <c r="H458" t="s">
        <v>217</v>
      </c>
      <c r="I458" t="s">
        <v>221</v>
      </c>
      <c r="J458" s="25">
        <v>86974</v>
      </c>
      <c r="K458" s="26">
        <v>16482.21</v>
      </c>
      <c r="L458" s="26">
        <v>190.78</v>
      </c>
    </row>
    <row r="459" spans="1:12" ht="16" customHeight="1">
      <c r="A459" t="s">
        <v>246</v>
      </c>
      <c r="B459" t="s">
        <v>4</v>
      </c>
      <c r="C459" t="s">
        <v>15</v>
      </c>
      <c r="D459" s="24">
        <v>45931</v>
      </c>
      <c r="E459" t="s">
        <v>224</v>
      </c>
      <c r="F459" t="s">
        <v>4</v>
      </c>
      <c r="G459" t="s">
        <v>217</v>
      </c>
      <c r="H459" t="s">
        <v>217</v>
      </c>
      <c r="I459" t="s">
        <v>267</v>
      </c>
      <c r="J459" s="25">
        <v>13577</v>
      </c>
      <c r="K459" s="26">
        <v>2617.64</v>
      </c>
      <c r="L459" s="26">
        <v>45.86</v>
      </c>
    </row>
    <row r="460" spans="1:12" ht="16" customHeight="1">
      <c r="A460" t="s">
        <v>246</v>
      </c>
      <c r="B460" t="s">
        <v>4</v>
      </c>
      <c r="C460" t="s">
        <v>15</v>
      </c>
      <c r="D460" s="24">
        <v>45931</v>
      </c>
      <c r="E460" t="s">
        <v>226</v>
      </c>
      <c r="F460" t="s">
        <v>4</v>
      </c>
      <c r="G460" t="s">
        <v>217</v>
      </c>
      <c r="H460" t="s">
        <v>217</v>
      </c>
      <c r="I460" t="s">
        <v>268</v>
      </c>
      <c r="J460" s="25">
        <v>1089</v>
      </c>
      <c r="K460" s="26">
        <v>208.54</v>
      </c>
      <c r="L460" s="26">
        <v>4.3899999999999997</v>
      </c>
    </row>
    <row r="461" spans="1:12" ht="16" customHeight="1">
      <c r="A461" t="s">
        <v>246</v>
      </c>
      <c r="B461" t="s">
        <v>4</v>
      </c>
      <c r="C461" t="s">
        <v>15</v>
      </c>
      <c r="D461" s="24">
        <v>45931</v>
      </c>
      <c r="E461" t="s">
        <v>269</v>
      </c>
      <c r="F461" t="s">
        <v>4</v>
      </c>
      <c r="G461" t="s">
        <v>217</v>
      </c>
      <c r="H461" t="s">
        <v>217</v>
      </c>
      <c r="I461" t="s">
        <v>270</v>
      </c>
      <c r="J461" s="25">
        <v>0</v>
      </c>
      <c r="K461" s="26">
        <v>0</v>
      </c>
      <c r="L461" s="26">
        <v>0</v>
      </c>
    </row>
    <row r="462" spans="1:12" ht="16" customHeight="1">
      <c r="A462" t="s">
        <v>246</v>
      </c>
      <c r="B462" t="s">
        <v>4</v>
      </c>
      <c r="C462" t="s">
        <v>15</v>
      </c>
      <c r="D462" s="24">
        <v>45931</v>
      </c>
      <c r="E462" t="s">
        <v>228</v>
      </c>
      <c r="F462" t="s">
        <v>4</v>
      </c>
      <c r="G462" t="s">
        <v>217</v>
      </c>
      <c r="H462" t="s">
        <v>217</v>
      </c>
      <c r="I462" t="s">
        <v>271</v>
      </c>
      <c r="J462" s="25">
        <v>811</v>
      </c>
      <c r="K462" s="26">
        <v>162.19</v>
      </c>
      <c r="L462" s="26">
        <v>5.93</v>
      </c>
    </row>
    <row r="463" spans="1:12" ht="16" customHeight="1">
      <c r="A463" t="s">
        <v>246</v>
      </c>
      <c r="B463" t="s">
        <v>4</v>
      </c>
      <c r="C463" t="s">
        <v>15</v>
      </c>
      <c r="D463" s="24">
        <v>45931</v>
      </c>
      <c r="E463" t="s">
        <v>230</v>
      </c>
      <c r="F463" t="s">
        <v>4</v>
      </c>
      <c r="G463" t="s">
        <v>217</v>
      </c>
      <c r="H463" t="s">
        <v>217</v>
      </c>
      <c r="I463" t="s">
        <v>272</v>
      </c>
      <c r="J463" s="25">
        <v>0</v>
      </c>
      <c r="K463" s="26">
        <v>0</v>
      </c>
      <c r="L463" s="26">
        <v>0</v>
      </c>
    </row>
    <row r="464" spans="1:12" ht="16" customHeight="1">
      <c r="A464" t="s">
        <v>246</v>
      </c>
      <c r="B464" t="s">
        <v>4</v>
      </c>
      <c r="C464" t="s">
        <v>15</v>
      </c>
      <c r="D464" s="24">
        <v>45931</v>
      </c>
      <c r="E464" t="s">
        <v>232</v>
      </c>
      <c r="F464" t="s">
        <v>4</v>
      </c>
      <c r="G464" t="s">
        <v>217</v>
      </c>
      <c r="H464" t="s">
        <v>217</v>
      </c>
      <c r="I464" t="s">
        <v>273</v>
      </c>
      <c r="J464" s="25">
        <v>2</v>
      </c>
      <c r="K464" s="26">
        <v>0.39</v>
      </c>
      <c r="L464" s="26">
        <v>0.01</v>
      </c>
    </row>
    <row r="465" spans="1:12" ht="16" customHeight="1">
      <c r="A465" t="s">
        <v>246</v>
      </c>
      <c r="B465" t="s">
        <v>4</v>
      </c>
      <c r="C465" t="s">
        <v>15</v>
      </c>
      <c r="D465" s="24">
        <v>45931</v>
      </c>
      <c r="E465" t="s">
        <v>234</v>
      </c>
      <c r="F465" t="s">
        <v>4</v>
      </c>
      <c r="G465" t="s">
        <v>217</v>
      </c>
      <c r="H465" t="s">
        <v>217</v>
      </c>
      <c r="I465" t="s">
        <v>274</v>
      </c>
      <c r="J465" s="25">
        <v>0</v>
      </c>
      <c r="K465" s="26">
        <v>0</v>
      </c>
      <c r="L465" s="26">
        <v>0</v>
      </c>
    </row>
    <row r="466" spans="1:12" ht="16" customHeight="1">
      <c r="A466" t="s">
        <v>246</v>
      </c>
      <c r="B466" t="s">
        <v>4</v>
      </c>
      <c r="C466" t="s">
        <v>15</v>
      </c>
      <c r="D466" s="24">
        <v>45931</v>
      </c>
      <c r="E466" t="s">
        <v>236</v>
      </c>
      <c r="F466" t="s">
        <v>4</v>
      </c>
      <c r="G466" t="s">
        <v>217</v>
      </c>
      <c r="H466" t="s">
        <v>217</v>
      </c>
      <c r="I466" t="s">
        <v>275</v>
      </c>
      <c r="J466" s="25">
        <v>1</v>
      </c>
      <c r="K466" s="26">
        <v>0.18</v>
      </c>
      <c r="L466" s="26">
        <v>0</v>
      </c>
    </row>
    <row r="467" spans="1:12" ht="16" customHeight="1">
      <c r="A467" t="s">
        <v>246</v>
      </c>
      <c r="B467" t="s">
        <v>4</v>
      </c>
      <c r="C467" t="s">
        <v>15</v>
      </c>
      <c r="D467" s="24">
        <v>45931</v>
      </c>
      <c r="E467" t="s">
        <v>238</v>
      </c>
      <c r="F467" t="s">
        <v>4</v>
      </c>
      <c r="G467" t="s">
        <v>217</v>
      </c>
      <c r="H467" t="s">
        <v>217</v>
      </c>
      <c r="I467" t="s">
        <v>276</v>
      </c>
      <c r="J467" s="25">
        <v>0</v>
      </c>
      <c r="K467" s="26">
        <v>0</v>
      </c>
      <c r="L467" s="26">
        <v>0</v>
      </c>
    </row>
    <row r="468" spans="1:12" ht="16" customHeight="1">
      <c r="A468" t="s">
        <v>246</v>
      </c>
      <c r="B468" t="s">
        <v>4</v>
      </c>
      <c r="C468" t="s">
        <v>15</v>
      </c>
      <c r="D468" s="24">
        <v>45931</v>
      </c>
      <c r="E468" t="s">
        <v>240</v>
      </c>
      <c r="F468" t="s">
        <v>3</v>
      </c>
      <c r="G468" t="s">
        <v>241</v>
      </c>
      <c r="H468" t="s">
        <v>241</v>
      </c>
      <c r="I468" t="s">
        <v>277</v>
      </c>
      <c r="J468" s="25">
        <v>0</v>
      </c>
      <c r="K468" s="26">
        <v>0</v>
      </c>
      <c r="L468" s="26">
        <v>0</v>
      </c>
    </row>
    <row r="469" spans="1:12" ht="16" customHeight="1">
      <c r="A469" t="s">
        <v>246</v>
      </c>
      <c r="B469" t="s">
        <v>4</v>
      </c>
      <c r="C469" t="s">
        <v>15</v>
      </c>
      <c r="D469" s="24">
        <v>45931</v>
      </c>
      <c r="E469" t="s">
        <v>243</v>
      </c>
      <c r="F469" t="s">
        <v>4</v>
      </c>
      <c r="G469" t="s">
        <v>217</v>
      </c>
      <c r="H469" t="s">
        <v>217</v>
      </c>
      <c r="I469" t="s">
        <v>278</v>
      </c>
      <c r="J469" s="25">
        <v>0</v>
      </c>
      <c r="K469" s="26">
        <v>0</v>
      </c>
      <c r="L469" s="26">
        <v>0</v>
      </c>
    </row>
    <row r="470" spans="1:12" ht="16" customHeight="1">
      <c r="A470" t="s">
        <v>281</v>
      </c>
      <c r="B470" t="s">
        <v>5</v>
      </c>
      <c r="C470" t="s">
        <v>16</v>
      </c>
      <c r="D470" s="24">
        <v>45931</v>
      </c>
      <c r="E470" t="s">
        <v>251</v>
      </c>
      <c r="F470" t="s">
        <v>4</v>
      </c>
      <c r="G470" t="s">
        <v>211</v>
      </c>
      <c r="H470" t="s">
        <v>211</v>
      </c>
      <c r="I470" t="s">
        <v>212</v>
      </c>
      <c r="J470" s="25">
        <v>73976004</v>
      </c>
      <c r="K470" s="26">
        <v>13978284.43</v>
      </c>
      <c r="L470" s="26">
        <v>35121.64</v>
      </c>
    </row>
    <row r="471" spans="1:12" ht="16" customHeight="1">
      <c r="A471" t="s">
        <v>281</v>
      </c>
      <c r="B471" t="s">
        <v>5</v>
      </c>
      <c r="C471" t="s">
        <v>16</v>
      </c>
      <c r="D471" s="24">
        <v>45931</v>
      </c>
      <c r="E471" t="s">
        <v>256</v>
      </c>
      <c r="F471" t="s">
        <v>3</v>
      </c>
      <c r="G471" t="s">
        <v>241</v>
      </c>
      <c r="H471" t="s">
        <v>241</v>
      </c>
      <c r="I471" t="s">
        <v>212</v>
      </c>
      <c r="J471" s="25">
        <v>1234466</v>
      </c>
      <c r="K471" s="26">
        <v>233747.12</v>
      </c>
      <c r="L471" s="26">
        <v>828.69</v>
      </c>
    </row>
    <row r="472" spans="1:12" ht="16" customHeight="1">
      <c r="A472" t="s">
        <v>281</v>
      </c>
      <c r="B472" t="s">
        <v>5</v>
      </c>
      <c r="C472" t="s">
        <v>16</v>
      </c>
      <c r="D472" s="24">
        <v>45931</v>
      </c>
      <c r="E472" t="s">
        <v>218</v>
      </c>
      <c r="F472" t="s">
        <v>4</v>
      </c>
      <c r="G472" t="s">
        <v>217</v>
      </c>
      <c r="H472" t="s">
        <v>217</v>
      </c>
      <c r="I472" t="s">
        <v>212</v>
      </c>
      <c r="J472" s="25">
        <v>1675658</v>
      </c>
      <c r="K472" s="26">
        <v>317834.3</v>
      </c>
      <c r="L472" s="26">
        <v>1596.16</v>
      </c>
    </row>
    <row r="473" spans="1:12" ht="16" customHeight="1">
      <c r="A473" t="s">
        <v>281</v>
      </c>
      <c r="B473" t="s">
        <v>5</v>
      </c>
      <c r="C473" t="s">
        <v>16</v>
      </c>
      <c r="D473" s="24">
        <v>45931</v>
      </c>
      <c r="E473" t="s">
        <v>262</v>
      </c>
      <c r="F473" t="s">
        <v>4</v>
      </c>
      <c r="G473" t="s">
        <v>211</v>
      </c>
      <c r="H473" t="s">
        <v>211</v>
      </c>
      <c r="I473" t="s">
        <v>219</v>
      </c>
      <c r="J473" s="25">
        <v>10938</v>
      </c>
      <c r="K473" s="26">
        <v>2070.59</v>
      </c>
      <c r="L473" s="26">
        <v>13.79</v>
      </c>
    </row>
    <row r="474" spans="1:12" ht="16" customHeight="1">
      <c r="A474" t="s">
        <v>281</v>
      </c>
      <c r="B474" t="s">
        <v>5</v>
      </c>
      <c r="C474" t="s">
        <v>16</v>
      </c>
      <c r="D474" s="24">
        <v>45931</v>
      </c>
      <c r="E474" t="s">
        <v>282</v>
      </c>
      <c r="F474" t="s">
        <v>4</v>
      </c>
      <c r="G474" t="s">
        <v>211</v>
      </c>
      <c r="H474" t="s">
        <v>211</v>
      </c>
      <c r="I474" t="s">
        <v>219</v>
      </c>
      <c r="J474" s="25">
        <v>436</v>
      </c>
      <c r="K474" s="26">
        <v>82.7</v>
      </c>
      <c r="L474" s="26">
        <v>0.74</v>
      </c>
    </row>
    <row r="475" spans="1:12" ht="16" customHeight="1">
      <c r="A475" t="s">
        <v>281</v>
      </c>
      <c r="B475" t="s">
        <v>5</v>
      </c>
      <c r="C475" t="s">
        <v>16</v>
      </c>
      <c r="D475" s="24">
        <v>45931</v>
      </c>
      <c r="E475" t="s">
        <v>220</v>
      </c>
      <c r="F475" t="s">
        <v>4</v>
      </c>
      <c r="G475" t="s">
        <v>217</v>
      </c>
      <c r="H475" t="s">
        <v>217</v>
      </c>
      <c r="I475" t="s">
        <v>219</v>
      </c>
      <c r="J475" s="25">
        <v>168690</v>
      </c>
      <c r="K475" s="26">
        <v>32037.78</v>
      </c>
      <c r="L475" s="26">
        <v>223.96</v>
      </c>
    </row>
    <row r="476" spans="1:12" ht="16" customHeight="1">
      <c r="A476" t="s">
        <v>281</v>
      </c>
      <c r="B476" t="s">
        <v>5</v>
      </c>
      <c r="C476" t="s">
        <v>16</v>
      </c>
      <c r="D476" s="24">
        <v>45931</v>
      </c>
      <c r="E476" t="s">
        <v>222</v>
      </c>
      <c r="F476" t="s">
        <v>4</v>
      </c>
      <c r="G476" t="s">
        <v>217</v>
      </c>
      <c r="H476" t="s">
        <v>217</v>
      </c>
      <c r="I476" t="s">
        <v>221</v>
      </c>
      <c r="J476" s="25">
        <v>89038</v>
      </c>
      <c r="K476" s="26">
        <v>16764.11</v>
      </c>
      <c r="L476" s="26">
        <v>162.12</v>
      </c>
    </row>
    <row r="477" spans="1:12" ht="16" customHeight="1">
      <c r="A477" t="s">
        <v>281</v>
      </c>
      <c r="B477" t="s">
        <v>5</v>
      </c>
      <c r="C477" t="s">
        <v>16</v>
      </c>
      <c r="D477" s="24">
        <v>45931</v>
      </c>
      <c r="E477" t="s">
        <v>224</v>
      </c>
      <c r="F477" t="s">
        <v>4</v>
      </c>
      <c r="G477" t="s">
        <v>217</v>
      </c>
      <c r="H477" t="s">
        <v>217</v>
      </c>
      <c r="I477" t="s">
        <v>267</v>
      </c>
      <c r="J477" s="25">
        <v>10703</v>
      </c>
      <c r="K477" s="26">
        <v>2074.85</v>
      </c>
      <c r="L477" s="26">
        <v>32.47</v>
      </c>
    </row>
    <row r="478" spans="1:12" ht="16" customHeight="1">
      <c r="A478" t="s">
        <v>281</v>
      </c>
      <c r="B478" t="s">
        <v>5</v>
      </c>
      <c r="C478" t="s">
        <v>16</v>
      </c>
      <c r="D478" s="24">
        <v>45931</v>
      </c>
      <c r="E478" t="s">
        <v>226</v>
      </c>
      <c r="F478" t="s">
        <v>4</v>
      </c>
      <c r="G478" t="s">
        <v>217</v>
      </c>
      <c r="H478" t="s">
        <v>217</v>
      </c>
      <c r="I478" t="s">
        <v>268</v>
      </c>
      <c r="J478" s="25">
        <v>2033</v>
      </c>
      <c r="K478" s="26">
        <v>400.16</v>
      </c>
      <c r="L478" s="26">
        <v>11.06</v>
      </c>
    </row>
    <row r="479" spans="1:12" ht="16" customHeight="1">
      <c r="A479" t="s">
        <v>281</v>
      </c>
      <c r="B479" t="s">
        <v>5</v>
      </c>
      <c r="C479" t="s">
        <v>16</v>
      </c>
      <c r="D479" s="24">
        <v>45931</v>
      </c>
      <c r="E479" t="s">
        <v>269</v>
      </c>
      <c r="F479" t="s">
        <v>4</v>
      </c>
      <c r="G479" t="s">
        <v>217</v>
      </c>
      <c r="H479" t="s">
        <v>217</v>
      </c>
      <c r="I479" t="s">
        <v>270</v>
      </c>
      <c r="J479" s="25">
        <v>0</v>
      </c>
      <c r="K479" s="26">
        <v>0</v>
      </c>
      <c r="L479" s="26">
        <v>0</v>
      </c>
    </row>
    <row r="480" spans="1:12" ht="16" customHeight="1">
      <c r="A480" t="s">
        <v>281</v>
      </c>
      <c r="B480" t="s">
        <v>5</v>
      </c>
      <c r="C480" t="s">
        <v>16</v>
      </c>
      <c r="D480" s="24">
        <v>45931</v>
      </c>
      <c r="E480" t="s">
        <v>228</v>
      </c>
      <c r="F480" t="s">
        <v>4</v>
      </c>
      <c r="G480" t="s">
        <v>217</v>
      </c>
      <c r="H480" t="s">
        <v>217</v>
      </c>
      <c r="I480" t="s">
        <v>271</v>
      </c>
      <c r="J480" s="25">
        <v>1918</v>
      </c>
      <c r="K480" s="26">
        <v>387.36</v>
      </c>
      <c r="L480" s="26">
        <v>16.11</v>
      </c>
    </row>
    <row r="481" spans="1:12" ht="16" customHeight="1">
      <c r="A481" t="s">
        <v>281</v>
      </c>
      <c r="B481" t="s">
        <v>5</v>
      </c>
      <c r="C481" t="s">
        <v>16</v>
      </c>
      <c r="D481" s="24">
        <v>45931</v>
      </c>
      <c r="E481" t="s">
        <v>230</v>
      </c>
      <c r="F481" t="s">
        <v>4</v>
      </c>
      <c r="G481" t="s">
        <v>217</v>
      </c>
      <c r="H481" t="s">
        <v>217</v>
      </c>
      <c r="I481" t="s">
        <v>272</v>
      </c>
      <c r="J481" s="25">
        <v>0</v>
      </c>
      <c r="K481" s="26">
        <v>0</v>
      </c>
      <c r="L481" s="26">
        <v>0</v>
      </c>
    </row>
    <row r="482" spans="1:12" ht="16" customHeight="1">
      <c r="A482" t="s">
        <v>281</v>
      </c>
      <c r="B482" t="s">
        <v>5</v>
      </c>
      <c r="C482" t="s">
        <v>16</v>
      </c>
      <c r="D482" s="24">
        <v>45931</v>
      </c>
      <c r="E482" t="s">
        <v>232</v>
      </c>
      <c r="F482" t="s">
        <v>4</v>
      </c>
      <c r="G482" t="s">
        <v>217</v>
      </c>
      <c r="H482" t="s">
        <v>217</v>
      </c>
      <c r="I482" t="s">
        <v>273</v>
      </c>
      <c r="J482" s="25">
        <v>0</v>
      </c>
      <c r="K482" s="26">
        <v>0</v>
      </c>
      <c r="L482" s="26">
        <v>0</v>
      </c>
    </row>
    <row r="483" spans="1:12" ht="16" customHeight="1">
      <c r="A483" t="s">
        <v>281</v>
      </c>
      <c r="B483" t="s">
        <v>5</v>
      </c>
      <c r="C483" t="s">
        <v>16</v>
      </c>
      <c r="D483" s="24">
        <v>45931</v>
      </c>
      <c r="E483" t="s">
        <v>234</v>
      </c>
      <c r="F483" t="s">
        <v>4</v>
      </c>
      <c r="G483" t="s">
        <v>217</v>
      </c>
      <c r="H483" t="s">
        <v>217</v>
      </c>
      <c r="I483" t="s">
        <v>274</v>
      </c>
      <c r="J483" s="25">
        <v>0</v>
      </c>
      <c r="K483" s="26">
        <v>0</v>
      </c>
      <c r="L483" s="26">
        <v>0</v>
      </c>
    </row>
    <row r="484" spans="1:12" ht="16" customHeight="1">
      <c r="A484" t="s">
        <v>281</v>
      </c>
      <c r="B484" t="s">
        <v>5</v>
      </c>
      <c r="C484" t="s">
        <v>16</v>
      </c>
      <c r="D484" s="24">
        <v>45931</v>
      </c>
      <c r="E484" t="s">
        <v>236</v>
      </c>
      <c r="F484" t="s">
        <v>4</v>
      </c>
      <c r="G484" t="s">
        <v>217</v>
      </c>
      <c r="H484" t="s">
        <v>217</v>
      </c>
      <c r="I484" t="s">
        <v>275</v>
      </c>
      <c r="J484" s="25">
        <v>0</v>
      </c>
      <c r="K484" s="26">
        <v>0</v>
      </c>
      <c r="L484" s="26">
        <v>0</v>
      </c>
    </row>
    <row r="485" spans="1:12" ht="16" customHeight="1">
      <c r="A485" t="s">
        <v>281</v>
      </c>
      <c r="B485" t="s">
        <v>5</v>
      </c>
      <c r="C485" t="s">
        <v>16</v>
      </c>
      <c r="D485" s="24">
        <v>45931</v>
      </c>
      <c r="E485" t="s">
        <v>238</v>
      </c>
      <c r="F485" t="s">
        <v>4</v>
      </c>
      <c r="G485" t="s">
        <v>217</v>
      </c>
      <c r="H485" t="s">
        <v>217</v>
      </c>
      <c r="I485" t="s">
        <v>276</v>
      </c>
      <c r="J485" s="25">
        <v>0</v>
      </c>
      <c r="K485" s="26">
        <v>0</v>
      </c>
      <c r="L485" s="26">
        <v>0</v>
      </c>
    </row>
    <row r="486" spans="1:12" ht="16" customHeight="1">
      <c r="A486" t="s">
        <v>281</v>
      </c>
      <c r="B486" t="s">
        <v>5</v>
      </c>
      <c r="C486" t="s">
        <v>16</v>
      </c>
      <c r="D486" s="24">
        <v>45931</v>
      </c>
      <c r="E486" t="s">
        <v>240</v>
      </c>
      <c r="F486" t="s">
        <v>3</v>
      </c>
      <c r="G486" t="s">
        <v>241</v>
      </c>
      <c r="H486" t="s">
        <v>241</v>
      </c>
      <c r="I486" t="s">
        <v>277</v>
      </c>
      <c r="J486" s="25">
        <v>0</v>
      </c>
      <c r="K486" s="26">
        <v>0</v>
      </c>
      <c r="L486" s="26">
        <v>0</v>
      </c>
    </row>
    <row r="487" spans="1:12" ht="16" customHeight="1">
      <c r="A487" t="s">
        <v>281</v>
      </c>
      <c r="B487" t="s">
        <v>5</v>
      </c>
      <c r="C487" t="s">
        <v>16</v>
      </c>
      <c r="D487" s="24">
        <v>45931</v>
      </c>
      <c r="E487" t="s">
        <v>243</v>
      </c>
      <c r="F487" t="s">
        <v>4</v>
      </c>
      <c r="G487" t="s">
        <v>217</v>
      </c>
      <c r="H487" t="s">
        <v>217</v>
      </c>
      <c r="I487" t="s">
        <v>278</v>
      </c>
      <c r="J487" s="25">
        <v>0</v>
      </c>
      <c r="K487" s="26">
        <v>0</v>
      </c>
      <c r="L487" s="26">
        <v>0</v>
      </c>
    </row>
    <row r="488" spans="1:12" ht="16" customHeight="1">
      <c r="A488" t="s">
        <v>283</v>
      </c>
      <c r="B488" t="s">
        <v>6</v>
      </c>
      <c r="C488" t="s">
        <v>16</v>
      </c>
      <c r="D488" s="24">
        <v>45931</v>
      </c>
      <c r="E488" t="s">
        <v>251</v>
      </c>
      <c r="F488" t="s">
        <v>4</v>
      </c>
      <c r="G488" t="s">
        <v>211</v>
      </c>
      <c r="H488" t="s">
        <v>211</v>
      </c>
      <c r="I488" t="s">
        <v>212</v>
      </c>
      <c r="J488" s="25">
        <v>64315398</v>
      </c>
      <c r="K488" s="26">
        <v>12143000.25</v>
      </c>
      <c r="L488" s="26">
        <v>27453.96</v>
      </c>
    </row>
    <row r="489" spans="1:12" ht="16" customHeight="1">
      <c r="A489" t="s">
        <v>283</v>
      </c>
      <c r="B489" t="s">
        <v>6</v>
      </c>
      <c r="C489" t="s">
        <v>16</v>
      </c>
      <c r="D489" s="24">
        <v>45931</v>
      </c>
      <c r="E489" t="s">
        <v>256</v>
      </c>
      <c r="F489" t="s">
        <v>3</v>
      </c>
      <c r="G489" t="s">
        <v>241</v>
      </c>
      <c r="H489" t="s">
        <v>241</v>
      </c>
      <c r="I489" t="s">
        <v>212</v>
      </c>
      <c r="J489" s="25">
        <v>1418930</v>
      </c>
      <c r="K489" s="26">
        <v>268743.12</v>
      </c>
      <c r="L489" s="26">
        <v>887.11</v>
      </c>
    </row>
    <row r="490" spans="1:12" ht="16" customHeight="1">
      <c r="A490" t="s">
        <v>283</v>
      </c>
      <c r="B490" t="s">
        <v>6</v>
      </c>
      <c r="C490" t="s">
        <v>16</v>
      </c>
      <c r="D490" s="24">
        <v>45931</v>
      </c>
      <c r="E490" t="s">
        <v>218</v>
      </c>
      <c r="F490" t="s">
        <v>4</v>
      </c>
      <c r="G490" t="s">
        <v>217</v>
      </c>
      <c r="H490" t="s">
        <v>217</v>
      </c>
      <c r="I490" t="s">
        <v>212</v>
      </c>
      <c r="J490" s="25">
        <v>1460975</v>
      </c>
      <c r="K490" s="26">
        <v>276705.57</v>
      </c>
      <c r="L490" s="26">
        <v>1422.93</v>
      </c>
    </row>
    <row r="491" spans="1:12" ht="16" customHeight="1">
      <c r="A491" t="s">
        <v>283</v>
      </c>
      <c r="B491" t="s">
        <v>6</v>
      </c>
      <c r="C491" t="s">
        <v>16</v>
      </c>
      <c r="D491" s="24">
        <v>45931</v>
      </c>
      <c r="E491" t="s">
        <v>262</v>
      </c>
      <c r="F491" t="s">
        <v>4</v>
      </c>
      <c r="G491" t="s">
        <v>211</v>
      </c>
      <c r="H491" t="s">
        <v>211</v>
      </c>
      <c r="I491" t="s">
        <v>219</v>
      </c>
      <c r="J491" s="25">
        <v>12400</v>
      </c>
      <c r="K491" s="26">
        <v>2369.6799999999998</v>
      </c>
      <c r="L491" s="26">
        <v>13.26</v>
      </c>
    </row>
    <row r="492" spans="1:12" ht="16" customHeight="1">
      <c r="A492" t="s">
        <v>283</v>
      </c>
      <c r="B492" t="s">
        <v>6</v>
      </c>
      <c r="C492" t="s">
        <v>16</v>
      </c>
      <c r="D492" s="24">
        <v>45931</v>
      </c>
      <c r="E492" t="s">
        <v>282</v>
      </c>
      <c r="F492" t="s">
        <v>4</v>
      </c>
      <c r="G492" t="s">
        <v>211</v>
      </c>
      <c r="H492" t="s">
        <v>211</v>
      </c>
      <c r="I492" t="s">
        <v>219</v>
      </c>
      <c r="J492" s="25">
        <v>1549</v>
      </c>
      <c r="K492" s="26">
        <v>293.70999999999998</v>
      </c>
      <c r="L492" s="26">
        <v>2.13</v>
      </c>
    </row>
    <row r="493" spans="1:12" ht="16" customHeight="1">
      <c r="A493" t="s">
        <v>283</v>
      </c>
      <c r="B493" t="s">
        <v>6</v>
      </c>
      <c r="C493" t="s">
        <v>16</v>
      </c>
      <c r="D493" s="24">
        <v>45931</v>
      </c>
      <c r="E493" t="s">
        <v>220</v>
      </c>
      <c r="F493" t="s">
        <v>4</v>
      </c>
      <c r="G493" t="s">
        <v>217</v>
      </c>
      <c r="H493" t="s">
        <v>217</v>
      </c>
      <c r="I493" t="s">
        <v>219</v>
      </c>
      <c r="J493" s="25">
        <v>184524</v>
      </c>
      <c r="K493" s="26">
        <v>35110.550000000003</v>
      </c>
      <c r="L493" s="26">
        <v>233.56</v>
      </c>
    </row>
    <row r="494" spans="1:12" ht="16" customHeight="1">
      <c r="A494" t="s">
        <v>283</v>
      </c>
      <c r="B494" t="s">
        <v>6</v>
      </c>
      <c r="C494" t="s">
        <v>16</v>
      </c>
      <c r="D494" s="24">
        <v>45931</v>
      </c>
      <c r="E494" t="s">
        <v>222</v>
      </c>
      <c r="F494" t="s">
        <v>4</v>
      </c>
      <c r="G494" t="s">
        <v>217</v>
      </c>
      <c r="H494" t="s">
        <v>217</v>
      </c>
      <c r="I494" t="s">
        <v>221</v>
      </c>
      <c r="J494" s="25">
        <v>81705</v>
      </c>
      <c r="K494" s="26">
        <v>15500.28</v>
      </c>
      <c r="L494" s="26">
        <v>183.43</v>
      </c>
    </row>
    <row r="495" spans="1:12" ht="16" customHeight="1">
      <c r="A495" t="s">
        <v>283</v>
      </c>
      <c r="B495" t="s">
        <v>6</v>
      </c>
      <c r="C495" t="s">
        <v>16</v>
      </c>
      <c r="D495" s="24">
        <v>45931</v>
      </c>
      <c r="E495" t="s">
        <v>224</v>
      </c>
      <c r="F495" t="s">
        <v>4</v>
      </c>
      <c r="G495" t="s">
        <v>217</v>
      </c>
      <c r="H495" t="s">
        <v>217</v>
      </c>
      <c r="I495" t="s">
        <v>267</v>
      </c>
      <c r="J495" s="25">
        <v>10263</v>
      </c>
      <c r="K495" s="26">
        <v>1966.47</v>
      </c>
      <c r="L495" s="26">
        <v>26.44</v>
      </c>
    </row>
    <row r="496" spans="1:12" ht="16" customHeight="1">
      <c r="A496" t="s">
        <v>283</v>
      </c>
      <c r="B496" t="s">
        <v>6</v>
      </c>
      <c r="C496" t="s">
        <v>16</v>
      </c>
      <c r="D496" s="24">
        <v>45931</v>
      </c>
      <c r="E496" t="s">
        <v>226</v>
      </c>
      <c r="F496" t="s">
        <v>4</v>
      </c>
      <c r="G496" t="s">
        <v>217</v>
      </c>
      <c r="H496" t="s">
        <v>217</v>
      </c>
      <c r="I496" t="s">
        <v>268</v>
      </c>
      <c r="J496" s="25">
        <v>1286</v>
      </c>
      <c r="K496" s="26">
        <v>245.37</v>
      </c>
      <c r="L496" s="26">
        <v>5.53</v>
      </c>
    </row>
    <row r="497" spans="1:12" ht="16" customHeight="1">
      <c r="A497" t="s">
        <v>283</v>
      </c>
      <c r="B497" t="s">
        <v>6</v>
      </c>
      <c r="C497" t="s">
        <v>16</v>
      </c>
      <c r="D497" s="24">
        <v>45931</v>
      </c>
      <c r="E497" t="s">
        <v>269</v>
      </c>
      <c r="F497" t="s">
        <v>4</v>
      </c>
      <c r="G497" t="s">
        <v>217</v>
      </c>
      <c r="H497" t="s">
        <v>217</v>
      </c>
      <c r="I497" t="s">
        <v>270</v>
      </c>
      <c r="J497" s="25">
        <v>0</v>
      </c>
      <c r="K497" s="26">
        <v>0</v>
      </c>
      <c r="L497" s="26">
        <v>0</v>
      </c>
    </row>
    <row r="498" spans="1:12" ht="16" customHeight="1">
      <c r="A498" t="s">
        <v>283</v>
      </c>
      <c r="B498" t="s">
        <v>6</v>
      </c>
      <c r="C498" t="s">
        <v>16</v>
      </c>
      <c r="D498" s="24">
        <v>45931</v>
      </c>
      <c r="E498" t="s">
        <v>228</v>
      </c>
      <c r="F498" t="s">
        <v>4</v>
      </c>
      <c r="G498" t="s">
        <v>217</v>
      </c>
      <c r="H498" t="s">
        <v>217</v>
      </c>
      <c r="I498" t="s">
        <v>271</v>
      </c>
      <c r="J498" s="25">
        <v>1339</v>
      </c>
      <c r="K498" s="26">
        <v>271.49</v>
      </c>
      <c r="L498" s="26">
        <v>11.17</v>
      </c>
    </row>
    <row r="499" spans="1:12" ht="16" customHeight="1">
      <c r="A499" t="s">
        <v>283</v>
      </c>
      <c r="B499" t="s">
        <v>6</v>
      </c>
      <c r="C499" t="s">
        <v>16</v>
      </c>
      <c r="D499" s="24">
        <v>45931</v>
      </c>
      <c r="E499" t="s">
        <v>230</v>
      </c>
      <c r="F499" t="s">
        <v>4</v>
      </c>
      <c r="G499" t="s">
        <v>217</v>
      </c>
      <c r="H499" t="s">
        <v>217</v>
      </c>
      <c r="I499" t="s">
        <v>272</v>
      </c>
      <c r="J499" s="25">
        <v>0</v>
      </c>
      <c r="K499" s="26">
        <v>0</v>
      </c>
      <c r="L499" s="26">
        <v>0</v>
      </c>
    </row>
    <row r="500" spans="1:12" ht="16" customHeight="1">
      <c r="A500" t="s">
        <v>283</v>
      </c>
      <c r="B500" t="s">
        <v>6</v>
      </c>
      <c r="C500" t="s">
        <v>16</v>
      </c>
      <c r="D500" s="24">
        <v>45931</v>
      </c>
      <c r="E500" t="s">
        <v>232</v>
      </c>
      <c r="F500" t="s">
        <v>4</v>
      </c>
      <c r="G500" t="s">
        <v>217</v>
      </c>
      <c r="H500" t="s">
        <v>217</v>
      </c>
      <c r="I500" t="s">
        <v>273</v>
      </c>
      <c r="J500" s="25">
        <v>0</v>
      </c>
      <c r="K500" s="26">
        <v>0</v>
      </c>
      <c r="L500" s="26">
        <v>0</v>
      </c>
    </row>
    <row r="501" spans="1:12" ht="16" customHeight="1">
      <c r="A501" t="s">
        <v>283</v>
      </c>
      <c r="B501" t="s">
        <v>6</v>
      </c>
      <c r="C501" t="s">
        <v>16</v>
      </c>
      <c r="D501" s="24">
        <v>45931</v>
      </c>
      <c r="E501" t="s">
        <v>234</v>
      </c>
      <c r="F501" t="s">
        <v>4</v>
      </c>
      <c r="G501" t="s">
        <v>217</v>
      </c>
      <c r="H501" t="s">
        <v>217</v>
      </c>
      <c r="I501" t="s">
        <v>274</v>
      </c>
      <c r="J501" s="25">
        <v>0</v>
      </c>
      <c r="K501" s="26">
        <v>0</v>
      </c>
      <c r="L501" s="26">
        <v>0</v>
      </c>
    </row>
    <row r="502" spans="1:12" ht="16" customHeight="1">
      <c r="A502" t="s">
        <v>283</v>
      </c>
      <c r="B502" t="s">
        <v>6</v>
      </c>
      <c r="C502" t="s">
        <v>16</v>
      </c>
      <c r="D502" s="24">
        <v>45931</v>
      </c>
      <c r="E502" t="s">
        <v>236</v>
      </c>
      <c r="F502" t="s">
        <v>4</v>
      </c>
      <c r="G502" t="s">
        <v>217</v>
      </c>
      <c r="H502" t="s">
        <v>217</v>
      </c>
      <c r="I502" t="s">
        <v>275</v>
      </c>
      <c r="J502" s="25">
        <v>0</v>
      </c>
      <c r="K502" s="26">
        <v>0</v>
      </c>
      <c r="L502" s="26">
        <v>0</v>
      </c>
    </row>
    <row r="503" spans="1:12" ht="16" customHeight="1">
      <c r="A503" t="s">
        <v>283</v>
      </c>
      <c r="B503" t="s">
        <v>6</v>
      </c>
      <c r="C503" t="s">
        <v>16</v>
      </c>
      <c r="D503" s="24">
        <v>45931</v>
      </c>
      <c r="E503" t="s">
        <v>238</v>
      </c>
      <c r="F503" t="s">
        <v>4</v>
      </c>
      <c r="G503" t="s">
        <v>217</v>
      </c>
      <c r="H503" t="s">
        <v>217</v>
      </c>
      <c r="I503" t="s">
        <v>276</v>
      </c>
      <c r="J503" s="25">
        <v>0</v>
      </c>
      <c r="K503" s="26">
        <v>0</v>
      </c>
      <c r="L503" s="26">
        <v>0</v>
      </c>
    </row>
    <row r="504" spans="1:12" ht="16" customHeight="1">
      <c r="A504" t="s">
        <v>283</v>
      </c>
      <c r="B504" t="s">
        <v>6</v>
      </c>
      <c r="C504" t="s">
        <v>16</v>
      </c>
      <c r="D504" s="24">
        <v>45931</v>
      </c>
      <c r="E504" t="s">
        <v>240</v>
      </c>
      <c r="F504" t="s">
        <v>3</v>
      </c>
      <c r="G504" t="s">
        <v>241</v>
      </c>
      <c r="H504" t="s">
        <v>241</v>
      </c>
      <c r="I504" t="s">
        <v>277</v>
      </c>
      <c r="J504" s="25">
        <v>0</v>
      </c>
      <c r="K504" s="26">
        <v>0</v>
      </c>
      <c r="L504" s="26">
        <v>0</v>
      </c>
    </row>
    <row r="505" spans="1:12" ht="16" customHeight="1">
      <c r="A505" t="s">
        <v>283</v>
      </c>
      <c r="B505" t="s">
        <v>6</v>
      </c>
      <c r="C505" t="s">
        <v>16</v>
      </c>
      <c r="D505" s="24">
        <v>45931</v>
      </c>
      <c r="E505" t="s">
        <v>243</v>
      </c>
      <c r="F505" t="s">
        <v>4</v>
      </c>
      <c r="G505" t="s">
        <v>217</v>
      </c>
      <c r="H505" t="s">
        <v>217</v>
      </c>
      <c r="I505" t="s">
        <v>278</v>
      </c>
      <c r="J505" s="25">
        <v>0</v>
      </c>
      <c r="K505" s="26">
        <v>0</v>
      </c>
      <c r="L505" s="26">
        <v>0</v>
      </c>
    </row>
    <row r="506" spans="1:12" ht="16" customHeight="1">
      <c r="A506" t="s">
        <v>284</v>
      </c>
      <c r="B506" t="s">
        <v>7</v>
      </c>
      <c r="C506" t="s">
        <v>16</v>
      </c>
      <c r="D506" s="24">
        <v>45931</v>
      </c>
      <c r="E506" t="s">
        <v>251</v>
      </c>
      <c r="F506" t="s">
        <v>4</v>
      </c>
      <c r="G506" t="s">
        <v>211</v>
      </c>
      <c r="H506" t="s">
        <v>211</v>
      </c>
      <c r="I506" t="s">
        <v>212</v>
      </c>
      <c r="J506" s="25">
        <v>93724570</v>
      </c>
      <c r="K506" s="26">
        <v>17758210.98</v>
      </c>
      <c r="L506" s="26">
        <v>36685.269999999997</v>
      </c>
    </row>
    <row r="507" spans="1:12" ht="16" customHeight="1">
      <c r="A507" t="s">
        <v>284</v>
      </c>
      <c r="B507" t="s">
        <v>7</v>
      </c>
      <c r="C507" t="s">
        <v>16</v>
      </c>
      <c r="D507" s="24">
        <v>45931</v>
      </c>
      <c r="E507" t="s">
        <v>256</v>
      </c>
      <c r="F507" t="s">
        <v>3</v>
      </c>
      <c r="G507" t="s">
        <v>241</v>
      </c>
      <c r="H507" t="s">
        <v>241</v>
      </c>
      <c r="I507" t="s">
        <v>212</v>
      </c>
      <c r="J507" s="25">
        <v>2263147</v>
      </c>
      <c r="K507" s="26">
        <v>430758.06</v>
      </c>
      <c r="L507" s="26">
        <v>1343.45</v>
      </c>
    </row>
    <row r="508" spans="1:12" ht="16" customHeight="1">
      <c r="A508" t="s">
        <v>284</v>
      </c>
      <c r="B508" t="s">
        <v>7</v>
      </c>
      <c r="C508" t="s">
        <v>16</v>
      </c>
      <c r="D508" s="24">
        <v>45931</v>
      </c>
      <c r="E508" t="s">
        <v>218</v>
      </c>
      <c r="F508" t="s">
        <v>4</v>
      </c>
      <c r="G508" t="s">
        <v>217</v>
      </c>
      <c r="H508" t="s">
        <v>217</v>
      </c>
      <c r="I508" t="s">
        <v>212</v>
      </c>
      <c r="J508" s="25">
        <v>1847985</v>
      </c>
      <c r="K508" s="26">
        <v>351495.46</v>
      </c>
      <c r="L508" s="26">
        <v>1775.74</v>
      </c>
    </row>
    <row r="509" spans="1:12" ht="16" customHeight="1">
      <c r="A509" t="s">
        <v>284</v>
      </c>
      <c r="B509" t="s">
        <v>7</v>
      </c>
      <c r="C509" t="s">
        <v>16</v>
      </c>
      <c r="D509" s="24">
        <v>45931</v>
      </c>
      <c r="E509" t="s">
        <v>262</v>
      </c>
      <c r="F509" t="s">
        <v>4</v>
      </c>
      <c r="G509" t="s">
        <v>211</v>
      </c>
      <c r="H509" t="s">
        <v>211</v>
      </c>
      <c r="I509" t="s">
        <v>219</v>
      </c>
      <c r="J509" s="25">
        <v>23117</v>
      </c>
      <c r="K509" s="26">
        <v>4416</v>
      </c>
      <c r="L509" s="26">
        <v>21.85</v>
      </c>
    </row>
    <row r="510" spans="1:12" ht="16" customHeight="1">
      <c r="A510" t="s">
        <v>284</v>
      </c>
      <c r="B510" t="s">
        <v>7</v>
      </c>
      <c r="C510" t="s">
        <v>16</v>
      </c>
      <c r="D510" s="24">
        <v>45931</v>
      </c>
      <c r="E510" t="s">
        <v>282</v>
      </c>
      <c r="F510" t="s">
        <v>4</v>
      </c>
      <c r="G510" t="s">
        <v>211</v>
      </c>
      <c r="H510" t="s">
        <v>211</v>
      </c>
      <c r="I510" t="s">
        <v>219</v>
      </c>
      <c r="J510" s="25">
        <v>2614</v>
      </c>
      <c r="K510" s="26">
        <v>499.54</v>
      </c>
      <c r="L510" s="26">
        <v>3.59</v>
      </c>
    </row>
    <row r="511" spans="1:12" ht="16" customHeight="1">
      <c r="A511" t="s">
        <v>284</v>
      </c>
      <c r="B511" t="s">
        <v>7</v>
      </c>
      <c r="C511" t="s">
        <v>16</v>
      </c>
      <c r="D511" s="24">
        <v>45931</v>
      </c>
      <c r="E511" t="s">
        <v>220</v>
      </c>
      <c r="F511" t="s">
        <v>4</v>
      </c>
      <c r="G511" t="s">
        <v>217</v>
      </c>
      <c r="H511" t="s">
        <v>217</v>
      </c>
      <c r="I511" t="s">
        <v>219</v>
      </c>
      <c r="J511" s="25">
        <v>241260</v>
      </c>
      <c r="K511" s="26">
        <v>45895.91</v>
      </c>
      <c r="L511" s="26">
        <v>343.63</v>
      </c>
    </row>
    <row r="512" spans="1:12" ht="16" customHeight="1">
      <c r="A512" t="s">
        <v>284</v>
      </c>
      <c r="B512" t="s">
        <v>7</v>
      </c>
      <c r="C512" t="s">
        <v>16</v>
      </c>
      <c r="D512" s="24">
        <v>45931</v>
      </c>
      <c r="E512" t="s">
        <v>222</v>
      </c>
      <c r="F512" t="s">
        <v>4</v>
      </c>
      <c r="G512" t="s">
        <v>217</v>
      </c>
      <c r="H512" t="s">
        <v>217</v>
      </c>
      <c r="I512" t="s">
        <v>221</v>
      </c>
      <c r="J512" s="25">
        <v>128509</v>
      </c>
      <c r="K512" s="26">
        <v>24444.93</v>
      </c>
      <c r="L512" s="26">
        <v>292.37</v>
      </c>
    </row>
    <row r="513" spans="1:12" ht="16" customHeight="1">
      <c r="A513" t="s">
        <v>284</v>
      </c>
      <c r="B513" t="s">
        <v>7</v>
      </c>
      <c r="C513" t="s">
        <v>16</v>
      </c>
      <c r="D513" s="24">
        <v>45931</v>
      </c>
      <c r="E513" t="s">
        <v>224</v>
      </c>
      <c r="F513" t="s">
        <v>4</v>
      </c>
      <c r="G513" t="s">
        <v>217</v>
      </c>
      <c r="H513" t="s">
        <v>217</v>
      </c>
      <c r="I513" t="s">
        <v>267</v>
      </c>
      <c r="J513" s="25">
        <v>15312</v>
      </c>
      <c r="K513" s="26">
        <v>2947.33</v>
      </c>
      <c r="L513" s="26">
        <v>45.49</v>
      </c>
    </row>
    <row r="514" spans="1:12" ht="16" customHeight="1">
      <c r="A514" t="s">
        <v>284</v>
      </c>
      <c r="B514" t="s">
        <v>7</v>
      </c>
      <c r="C514" t="s">
        <v>16</v>
      </c>
      <c r="D514" s="24">
        <v>45931</v>
      </c>
      <c r="E514" t="s">
        <v>226</v>
      </c>
      <c r="F514" t="s">
        <v>4</v>
      </c>
      <c r="G514" t="s">
        <v>217</v>
      </c>
      <c r="H514" t="s">
        <v>217</v>
      </c>
      <c r="I514" t="s">
        <v>268</v>
      </c>
      <c r="J514" s="25">
        <v>1789</v>
      </c>
      <c r="K514" s="26">
        <v>346.02</v>
      </c>
      <c r="L514" s="26">
        <v>7.77</v>
      </c>
    </row>
    <row r="515" spans="1:12" ht="16" customHeight="1">
      <c r="A515" t="s">
        <v>284</v>
      </c>
      <c r="B515" t="s">
        <v>7</v>
      </c>
      <c r="C515" t="s">
        <v>16</v>
      </c>
      <c r="D515" s="24">
        <v>45931</v>
      </c>
      <c r="E515" t="s">
        <v>269</v>
      </c>
      <c r="F515" t="s">
        <v>4</v>
      </c>
      <c r="G515" t="s">
        <v>217</v>
      </c>
      <c r="H515" t="s">
        <v>217</v>
      </c>
      <c r="I515" t="s">
        <v>270</v>
      </c>
      <c r="J515" s="25">
        <v>0</v>
      </c>
      <c r="K515" s="26">
        <v>0</v>
      </c>
      <c r="L515" s="26">
        <v>0</v>
      </c>
    </row>
    <row r="516" spans="1:12" ht="16" customHeight="1">
      <c r="A516" t="s">
        <v>284</v>
      </c>
      <c r="B516" t="s">
        <v>7</v>
      </c>
      <c r="C516" t="s">
        <v>16</v>
      </c>
      <c r="D516" s="24">
        <v>45931</v>
      </c>
      <c r="E516" t="s">
        <v>228</v>
      </c>
      <c r="F516" t="s">
        <v>4</v>
      </c>
      <c r="G516" t="s">
        <v>217</v>
      </c>
      <c r="H516" t="s">
        <v>217</v>
      </c>
      <c r="I516" t="s">
        <v>271</v>
      </c>
      <c r="J516" s="25">
        <v>1218</v>
      </c>
      <c r="K516" s="26">
        <v>244.36</v>
      </c>
      <c r="L516" s="26">
        <v>8.14</v>
      </c>
    </row>
    <row r="517" spans="1:12" ht="16" customHeight="1">
      <c r="A517" t="s">
        <v>284</v>
      </c>
      <c r="B517" t="s">
        <v>7</v>
      </c>
      <c r="C517" t="s">
        <v>16</v>
      </c>
      <c r="D517" s="24">
        <v>45931</v>
      </c>
      <c r="E517" t="s">
        <v>230</v>
      </c>
      <c r="F517" t="s">
        <v>4</v>
      </c>
      <c r="G517" t="s">
        <v>217</v>
      </c>
      <c r="H517" t="s">
        <v>217</v>
      </c>
      <c r="I517" t="s">
        <v>272</v>
      </c>
      <c r="J517" s="25">
        <v>0</v>
      </c>
      <c r="K517" s="26">
        <v>0</v>
      </c>
      <c r="L517" s="26">
        <v>0</v>
      </c>
    </row>
    <row r="518" spans="1:12" ht="16" customHeight="1">
      <c r="A518" t="s">
        <v>284</v>
      </c>
      <c r="B518" t="s">
        <v>7</v>
      </c>
      <c r="C518" t="s">
        <v>16</v>
      </c>
      <c r="D518" s="24">
        <v>45931</v>
      </c>
      <c r="E518" t="s">
        <v>232</v>
      </c>
      <c r="F518" t="s">
        <v>4</v>
      </c>
      <c r="G518" t="s">
        <v>217</v>
      </c>
      <c r="H518" t="s">
        <v>217</v>
      </c>
      <c r="I518" t="s">
        <v>273</v>
      </c>
      <c r="J518" s="25">
        <v>8</v>
      </c>
      <c r="K518" s="26">
        <v>1.55</v>
      </c>
      <c r="L518" s="26">
        <v>0.06</v>
      </c>
    </row>
    <row r="519" spans="1:12" ht="16" customHeight="1">
      <c r="A519" t="s">
        <v>284</v>
      </c>
      <c r="B519" t="s">
        <v>7</v>
      </c>
      <c r="C519" t="s">
        <v>16</v>
      </c>
      <c r="D519" s="24">
        <v>45931</v>
      </c>
      <c r="E519" t="s">
        <v>234</v>
      </c>
      <c r="F519" t="s">
        <v>4</v>
      </c>
      <c r="G519" t="s">
        <v>217</v>
      </c>
      <c r="H519" t="s">
        <v>217</v>
      </c>
      <c r="I519" t="s">
        <v>274</v>
      </c>
      <c r="J519" s="25">
        <v>0</v>
      </c>
      <c r="K519" s="26">
        <v>0</v>
      </c>
      <c r="L519" s="26">
        <v>0</v>
      </c>
    </row>
    <row r="520" spans="1:12" ht="16" customHeight="1">
      <c r="A520" t="s">
        <v>284</v>
      </c>
      <c r="B520" t="s">
        <v>7</v>
      </c>
      <c r="C520" t="s">
        <v>16</v>
      </c>
      <c r="D520" s="24">
        <v>45931</v>
      </c>
      <c r="E520" t="s">
        <v>236</v>
      </c>
      <c r="F520" t="s">
        <v>4</v>
      </c>
      <c r="G520" t="s">
        <v>217</v>
      </c>
      <c r="H520" t="s">
        <v>217</v>
      </c>
      <c r="I520" t="s">
        <v>275</v>
      </c>
      <c r="J520" s="25">
        <v>1</v>
      </c>
      <c r="K520" s="26">
        <v>0.23</v>
      </c>
      <c r="L520" s="26">
        <v>0.02</v>
      </c>
    </row>
    <row r="521" spans="1:12" ht="16" customHeight="1">
      <c r="A521" t="s">
        <v>284</v>
      </c>
      <c r="B521" t="s">
        <v>7</v>
      </c>
      <c r="C521" t="s">
        <v>16</v>
      </c>
      <c r="D521" s="24">
        <v>45931</v>
      </c>
      <c r="E521" t="s">
        <v>238</v>
      </c>
      <c r="F521" t="s">
        <v>4</v>
      </c>
      <c r="G521" t="s">
        <v>217</v>
      </c>
      <c r="H521" t="s">
        <v>217</v>
      </c>
      <c r="I521" t="s">
        <v>276</v>
      </c>
      <c r="J521" s="25">
        <v>0</v>
      </c>
      <c r="K521" s="26">
        <v>0</v>
      </c>
      <c r="L521" s="26">
        <v>0</v>
      </c>
    </row>
    <row r="522" spans="1:12" ht="16" customHeight="1">
      <c r="A522" t="s">
        <v>284</v>
      </c>
      <c r="B522" t="s">
        <v>7</v>
      </c>
      <c r="C522" t="s">
        <v>16</v>
      </c>
      <c r="D522" s="24">
        <v>45931</v>
      </c>
      <c r="E522" t="s">
        <v>240</v>
      </c>
      <c r="F522" t="s">
        <v>3</v>
      </c>
      <c r="G522" t="s">
        <v>241</v>
      </c>
      <c r="H522" t="s">
        <v>241</v>
      </c>
      <c r="I522" t="s">
        <v>277</v>
      </c>
      <c r="J522" s="25">
        <v>0</v>
      </c>
      <c r="K522" s="26">
        <v>0</v>
      </c>
      <c r="L522" s="26">
        <v>0</v>
      </c>
    </row>
    <row r="523" spans="1:12" ht="16" customHeight="1">
      <c r="A523" t="s">
        <v>284</v>
      </c>
      <c r="B523" t="s">
        <v>7</v>
      </c>
      <c r="C523" t="s">
        <v>16</v>
      </c>
      <c r="D523" s="24">
        <v>45931</v>
      </c>
      <c r="E523" t="s">
        <v>243</v>
      </c>
      <c r="F523" t="s">
        <v>4</v>
      </c>
      <c r="G523" t="s">
        <v>217</v>
      </c>
      <c r="H523" t="s">
        <v>217</v>
      </c>
      <c r="I523" t="s">
        <v>278</v>
      </c>
      <c r="J523" s="25">
        <v>0</v>
      </c>
      <c r="K523" s="26">
        <v>0</v>
      </c>
      <c r="L523" s="26">
        <v>0</v>
      </c>
    </row>
    <row r="524" spans="1:12" ht="16" customHeight="1">
      <c r="A524" t="s">
        <v>285</v>
      </c>
      <c r="B524" t="s">
        <v>3</v>
      </c>
      <c r="C524" t="s">
        <v>16</v>
      </c>
      <c r="D524" s="24">
        <v>45931</v>
      </c>
      <c r="E524" t="s">
        <v>251</v>
      </c>
      <c r="F524" t="s">
        <v>4</v>
      </c>
      <c r="G524" t="s">
        <v>211</v>
      </c>
      <c r="H524" t="s">
        <v>211</v>
      </c>
      <c r="I524" t="s">
        <v>212</v>
      </c>
      <c r="J524" s="25">
        <v>128912031</v>
      </c>
      <c r="K524" s="26">
        <v>24391640.420000002</v>
      </c>
      <c r="L524" s="26">
        <v>40289.25</v>
      </c>
    </row>
    <row r="525" spans="1:12" ht="16" customHeight="1">
      <c r="A525" t="s">
        <v>285</v>
      </c>
      <c r="B525" t="s">
        <v>3</v>
      </c>
      <c r="C525" t="s">
        <v>16</v>
      </c>
      <c r="D525" s="24">
        <v>45931</v>
      </c>
      <c r="E525" t="s">
        <v>256</v>
      </c>
      <c r="F525" t="s">
        <v>3</v>
      </c>
      <c r="G525" t="s">
        <v>241</v>
      </c>
      <c r="H525" t="s">
        <v>241</v>
      </c>
      <c r="I525" t="s">
        <v>212</v>
      </c>
      <c r="J525" s="25">
        <v>4326911</v>
      </c>
      <c r="K525" s="26">
        <v>821178.07</v>
      </c>
      <c r="L525" s="26">
        <v>2535.19</v>
      </c>
    </row>
    <row r="526" spans="1:12" ht="16" customHeight="1">
      <c r="A526" t="s">
        <v>285</v>
      </c>
      <c r="B526" t="s">
        <v>3</v>
      </c>
      <c r="C526" t="s">
        <v>16</v>
      </c>
      <c r="D526" s="24">
        <v>45931</v>
      </c>
      <c r="E526" t="s">
        <v>218</v>
      </c>
      <c r="F526" t="s">
        <v>4</v>
      </c>
      <c r="G526" t="s">
        <v>217</v>
      </c>
      <c r="H526" t="s">
        <v>217</v>
      </c>
      <c r="I526" t="s">
        <v>212</v>
      </c>
      <c r="J526" s="25">
        <v>1830186</v>
      </c>
      <c r="K526" s="26">
        <v>347741.45</v>
      </c>
      <c r="L526" s="26">
        <v>1768.47</v>
      </c>
    </row>
    <row r="527" spans="1:12" ht="16" customHeight="1">
      <c r="A527" t="s">
        <v>285</v>
      </c>
      <c r="B527" t="s">
        <v>3</v>
      </c>
      <c r="C527" t="s">
        <v>16</v>
      </c>
      <c r="D527" s="24">
        <v>45931</v>
      </c>
      <c r="E527" t="s">
        <v>262</v>
      </c>
      <c r="F527" t="s">
        <v>4</v>
      </c>
      <c r="G527" t="s">
        <v>211</v>
      </c>
      <c r="H527" t="s">
        <v>211</v>
      </c>
      <c r="I527" t="s">
        <v>219</v>
      </c>
      <c r="J527" s="25">
        <v>30856</v>
      </c>
      <c r="K527" s="26">
        <v>5872.25</v>
      </c>
      <c r="L527" s="26">
        <v>32.75</v>
      </c>
    </row>
    <row r="528" spans="1:12" ht="16" customHeight="1">
      <c r="A528" t="s">
        <v>285</v>
      </c>
      <c r="B528" t="s">
        <v>3</v>
      </c>
      <c r="C528" t="s">
        <v>16</v>
      </c>
      <c r="D528" s="24">
        <v>45931</v>
      </c>
      <c r="E528" t="s">
        <v>282</v>
      </c>
      <c r="F528" t="s">
        <v>4</v>
      </c>
      <c r="G528" t="s">
        <v>211</v>
      </c>
      <c r="H528" t="s">
        <v>211</v>
      </c>
      <c r="I528" t="s">
        <v>219</v>
      </c>
      <c r="J528" s="25">
        <v>4406</v>
      </c>
      <c r="K528" s="26">
        <v>842.87</v>
      </c>
      <c r="L528" s="26">
        <v>5.49</v>
      </c>
    </row>
    <row r="529" spans="1:12" ht="16" customHeight="1">
      <c r="A529" t="s">
        <v>285</v>
      </c>
      <c r="B529" t="s">
        <v>3</v>
      </c>
      <c r="C529" t="s">
        <v>16</v>
      </c>
      <c r="D529" s="24">
        <v>45931</v>
      </c>
      <c r="E529" t="s">
        <v>220</v>
      </c>
      <c r="F529" t="s">
        <v>4</v>
      </c>
      <c r="G529" t="s">
        <v>217</v>
      </c>
      <c r="H529" t="s">
        <v>217</v>
      </c>
      <c r="I529" t="s">
        <v>219</v>
      </c>
      <c r="J529" s="25">
        <v>177422</v>
      </c>
      <c r="K529" s="26">
        <v>33680.25</v>
      </c>
      <c r="L529" s="26">
        <v>216.83</v>
      </c>
    </row>
    <row r="530" spans="1:12" ht="16" customHeight="1">
      <c r="A530" t="s">
        <v>285</v>
      </c>
      <c r="B530" t="s">
        <v>3</v>
      </c>
      <c r="C530" t="s">
        <v>16</v>
      </c>
      <c r="D530" s="24">
        <v>45931</v>
      </c>
      <c r="E530" t="s">
        <v>222</v>
      </c>
      <c r="F530" t="s">
        <v>4</v>
      </c>
      <c r="G530" t="s">
        <v>217</v>
      </c>
      <c r="H530" t="s">
        <v>217</v>
      </c>
      <c r="I530" t="s">
        <v>221</v>
      </c>
      <c r="J530" s="25">
        <v>89829</v>
      </c>
      <c r="K530" s="26">
        <v>16945.61</v>
      </c>
      <c r="L530" s="26">
        <v>175.15</v>
      </c>
    </row>
    <row r="531" spans="1:12" ht="16" customHeight="1">
      <c r="A531" t="s">
        <v>285</v>
      </c>
      <c r="B531" t="s">
        <v>3</v>
      </c>
      <c r="C531" t="s">
        <v>16</v>
      </c>
      <c r="D531" s="24">
        <v>45931</v>
      </c>
      <c r="E531" t="s">
        <v>224</v>
      </c>
      <c r="F531" t="s">
        <v>4</v>
      </c>
      <c r="G531" t="s">
        <v>217</v>
      </c>
      <c r="H531" t="s">
        <v>217</v>
      </c>
      <c r="I531" t="s">
        <v>267</v>
      </c>
      <c r="J531" s="25">
        <v>10943</v>
      </c>
      <c r="K531" s="26">
        <v>2120.09</v>
      </c>
      <c r="L531" s="26">
        <v>35.93</v>
      </c>
    </row>
    <row r="532" spans="1:12" ht="16" customHeight="1">
      <c r="A532" t="s">
        <v>285</v>
      </c>
      <c r="B532" t="s">
        <v>3</v>
      </c>
      <c r="C532" t="s">
        <v>16</v>
      </c>
      <c r="D532" s="24">
        <v>45931</v>
      </c>
      <c r="E532" t="s">
        <v>226</v>
      </c>
      <c r="F532" t="s">
        <v>4</v>
      </c>
      <c r="G532" t="s">
        <v>217</v>
      </c>
      <c r="H532" t="s">
        <v>217</v>
      </c>
      <c r="I532" t="s">
        <v>268</v>
      </c>
      <c r="J532" s="25">
        <v>1020</v>
      </c>
      <c r="K532" s="26">
        <v>196.96</v>
      </c>
      <c r="L532" s="26">
        <v>4.37</v>
      </c>
    </row>
    <row r="533" spans="1:12" ht="16" customHeight="1">
      <c r="A533" t="s">
        <v>285</v>
      </c>
      <c r="B533" t="s">
        <v>3</v>
      </c>
      <c r="C533" t="s">
        <v>16</v>
      </c>
      <c r="D533" s="24">
        <v>45931</v>
      </c>
      <c r="E533" t="s">
        <v>269</v>
      </c>
      <c r="F533" t="s">
        <v>4</v>
      </c>
      <c r="G533" t="s">
        <v>217</v>
      </c>
      <c r="H533" t="s">
        <v>217</v>
      </c>
      <c r="I533" t="s">
        <v>270</v>
      </c>
      <c r="J533" s="25">
        <v>0</v>
      </c>
      <c r="K533" s="26">
        <v>0</v>
      </c>
      <c r="L533" s="26">
        <v>0</v>
      </c>
    </row>
    <row r="534" spans="1:12" ht="16" customHeight="1">
      <c r="A534" t="s">
        <v>285</v>
      </c>
      <c r="B534" t="s">
        <v>3</v>
      </c>
      <c r="C534" t="s">
        <v>16</v>
      </c>
      <c r="D534" s="24">
        <v>45931</v>
      </c>
      <c r="E534" t="s">
        <v>228</v>
      </c>
      <c r="F534" t="s">
        <v>4</v>
      </c>
      <c r="G534" t="s">
        <v>217</v>
      </c>
      <c r="H534" t="s">
        <v>217</v>
      </c>
      <c r="I534" t="s">
        <v>271</v>
      </c>
      <c r="J534" s="25">
        <v>867</v>
      </c>
      <c r="K534" s="26">
        <v>174.88</v>
      </c>
      <c r="L534" s="26">
        <v>6.72</v>
      </c>
    </row>
    <row r="535" spans="1:12" ht="16" customHeight="1">
      <c r="A535" t="s">
        <v>285</v>
      </c>
      <c r="B535" t="s">
        <v>3</v>
      </c>
      <c r="C535" t="s">
        <v>16</v>
      </c>
      <c r="D535" s="24">
        <v>45931</v>
      </c>
      <c r="E535" t="s">
        <v>230</v>
      </c>
      <c r="F535" t="s">
        <v>4</v>
      </c>
      <c r="G535" t="s">
        <v>217</v>
      </c>
      <c r="H535" t="s">
        <v>217</v>
      </c>
      <c r="I535" t="s">
        <v>272</v>
      </c>
      <c r="J535" s="25">
        <v>0</v>
      </c>
      <c r="K535" s="26">
        <v>0</v>
      </c>
      <c r="L535" s="26">
        <v>0</v>
      </c>
    </row>
    <row r="536" spans="1:12" ht="16" customHeight="1">
      <c r="A536" t="s">
        <v>285</v>
      </c>
      <c r="B536" t="s">
        <v>3</v>
      </c>
      <c r="C536" t="s">
        <v>16</v>
      </c>
      <c r="D536" s="24">
        <v>45931</v>
      </c>
      <c r="E536" t="s">
        <v>232</v>
      </c>
      <c r="F536" t="s">
        <v>4</v>
      </c>
      <c r="G536" t="s">
        <v>217</v>
      </c>
      <c r="H536" t="s">
        <v>217</v>
      </c>
      <c r="I536" t="s">
        <v>273</v>
      </c>
      <c r="J536" s="25">
        <v>0</v>
      </c>
      <c r="K536" s="26">
        <v>0</v>
      </c>
      <c r="L536" s="26">
        <v>0</v>
      </c>
    </row>
    <row r="537" spans="1:12" ht="16" customHeight="1">
      <c r="A537" t="s">
        <v>285</v>
      </c>
      <c r="B537" t="s">
        <v>3</v>
      </c>
      <c r="C537" t="s">
        <v>16</v>
      </c>
      <c r="D537" s="24">
        <v>45931</v>
      </c>
      <c r="E537" t="s">
        <v>234</v>
      </c>
      <c r="F537" t="s">
        <v>4</v>
      </c>
      <c r="G537" t="s">
        <v>217</v>
      </c>
      <c r="H537" t="s">
        <v>217</v>
      </c>
      <c r="I537" t="s">
        <v>274</v>
      </c>
      <c r="J537" s="25">
        <v>0</v>
      </c>
      <c r="K537" s="26">
        <v>0</v>
      </c>
      <c r="L537" s="26">
        <v>0</v>
      </c>
    </row>
    <row r="538" spans="1:12" ht="16" customHeight="1">
      <c r="A538" t="s">
        <v>285</v>
      </c>
      <c r="B538" t="s">
        <v>3</v>
      </c>
      <c r="C538" t="s">
        <v>16</v>
      </c>
      <c r="D538" s="24">
        <v>45931</v>
      </c>
      <c r="E538" t="s">
        <v>236</v>
      </c>
      <c r="F538" t="s">
        <v>4</v>
      </c>
      <c r="G538" t="s">
        <v>217</v>
      </c>
      <c r="H538" t="s">
        <v>217</v>
      </c>
      <c r="I538" t="s">
        <v>275</v>
      </c>
      <c r="J538" s="25">
        <v>0</v>
      </c>
      <c r="K538" s="26">
        <v>0</v>
      </c>
      <c r="L538" s="26">
        <v>0</v>
      </c>
    </row>
    <row r="539" spans="1:12" ht="16" customHeight="1">
      <c r="A539" t="s">
        <v>285</v>
      </c>
      <c r="B539" t="s">
        <v>3</v>
      </c>
      <c r="C539" t="s">
        <v>16</v>
      </c>
      <c r="D539" s="24">
        <v>45931</v>
      </c>
      <c r="E539" t="s">
        <v>238</v>
      </c>
      <c r="F539" t="s">
        <v>4</v>
      </c>
      <c r="G539" t="s">
        <v>217</v>
      </c>
      <c r="H539" t="s">
        <v>217</v>
      </c>
      <c r="I539" t="s">
        <v>276</v>
      </c>
      <c r="J539" s="25">
        <v>0</v>
      </c>
      <c r="K539" s="26">
        <v>0</v>
      </c>
      <c r="L539" s="26">
        <v>0</v>
      </c>
    </row>
    <row r="540" spans="1:12" ht="16" customHeight="1">
      <c r="A540" t="s">
        <v>285</v>
      </c>
      <c r="B540" t="s">
        <v>3</v>
      </c>
      <c r="C540" t="s">
        <v>16</v>
      </c>
      <c r="D540" s="24">
        <v>45931</v>
      </c>
      <c r="E540" t="s">
        <v>240</v>
      </c>
      <c r="F540" t="s">
        <v>3</v>
      </c>
      <c r="G540" t="s">
        <v>241</v>
      </c>
      <c r="H540" t="s">
        <v>241</v>
      </c>
      <c r="I540" t="s">
        <v>277</v>
      </c>
      <c r="J540" s="25">
        <v>0</v>
      </c>
      <c r="K540" s="26">
        <v>0</v>
      </c>
      <c r="L540" s="26">
        <v>0</v>
      </c>
    </row>
    <row r="541" spans="1:12" ht="16" customHeight="1">
      <c r="A541" t="s">
        <v>285</v>
      </c>
      <c r="B541" t="s">
        <v>3</v>
      </c>
      <c r="C541" t="s">
        <v>16</v>
      </c>
      <c r="D541" s="24">
        <v>45931</v>
      </c>
      <c r="E541" t="s">
        <v>243</v>
      </c>
      <c r="F541" t="s">
        <v>4</v>
      </c>
      <c r="G541" t="s">
        <v>217</v>
      </c>
      <c r="H541" t="s">
        <v>217</v>
      </c>
      <c r="I541" t="s">
        <v>278</v>
      </c>
      <c r="J541" s="25">
        <v>0</v>
      </c>
      <c r="K541" s="26">
        <v>0</v>
      </c>
      <c r="L541" s="26">
        <v>0</v>
      </c>
    </row>
    <row r="542" spans="1:12" ht="16" customHeight="1">
      <c r="A542" t="s">
        <v>251</v>
      </c>
      <c r="B542" t="s">
        <v>4</v>
      </c>
      <c r="C542" t="s">
        <v>16</v>
      </c>
      <c r="D542" s="24">
        <v>45931</v>
      </c>
      <c r="E542" t="s">
        <v>251</v>
      </c>
      <c r="F542" t="s">
        <v>4</v>
      </c>
      <c r="G542" t="s">
        <v>211</v>
      </c>
      <c r="H542" t="s">
        <v>211</v>
      </c>
      <c r="I542" t="s">
        <v>212</v>
      </c>
      <c r="J542" s="25">
        <v>344063307</v>
      </c>
      <c r="K542" s="26">
        <v>65013553.380000003</v>
      </c>
      <c r="L542" s="26">
        <v>58607.6</v>
      </c>
    </row>
    <row r="543" spans="1:12" ht="16" customHeight="1">
      <c r="A543" t="s">
        <v>251</v>
      </c>
      <c r="B543" t="s">
        <v>4</v>
      </c>
      <c r="C543" t="s">
        <v>16</v>
      </c>
      <c r="D543" s="24">
        <v>45931</v>
      </c>
      <c r="E543" t="s">
        <v>256</v>
      </c>
      <c r="F543" t="s">
        <v>3</v>
      </c>
      <c r="G543" t="s">
        <v>241</v>
      </c>
      <c r="H543" t="s">
        <v>241</v>
      </c>
      <c r="I543" t="s">
        <v>212</v>
      </c>
      <c r="J543" s="25">
        <v>12826860</v>
      </c>
      <c r="K543" s="26">
        <v>2433871.65</v>
      </c>
      <c r="L543" s="26">
        <v>6879.44</v>
      </c>
    </row>
    <row r="544" spans="1:12" ht="16" customHeight="1">
      <c r="A544" t="s">
        <v>251</v>
      </c>
      <c r="B544" t="s">
        <v>4</v>
      </c>
      <c r="C544" t="s">
        <v>16</v>
      </c>
      <c r="D544" s="24">
        <v>45931</v>
      </c>
      <c r="E544" t="s">
        <v>218</v>
      </c>
      <c r="F544" t="s">
        <v>4</v>
      </c>
      <c r="G544" t="s">
        <v>217</v>
      </c>
      <c r="H544" t="s">
        <v>217</v>
      </c>
      <c r="I544" t="s">
        <v>212</v>
      </c>
      <c r="J544" s="25">
        <v>2379900</v>
      </c>
      <c r="K544" s="26">
        <v>452164.4</v>
      </c>
      <c r="L544" s="26">
        <v>2212.81</v>
      </c>
    </row>
    <row r="545" spans="1:12" ht="16" customHeight="1">
      <c r="A545" t="s">
        <v>251</v>
      </c>
      <c r="B545" t="s">
        <v>4</v>
      </c>
      <c r="C545" t="s">
        <v>16</v>
      </c>
      <c r="D545" s="24">
        <v>45931</v>
      </c>
      <c r="E545" t="s">
        <v>262</v>
      </c>
      <c r="F545" t="s">
        <v>4</v>
      </c>
      <c r="G545" t="s">
        <v>211</v>
      </c>
      <c r="H545" t="s">
        <v>211</v>
      </c>
      <c r="I545" t="s">
        <v>219</v>
      </c>
      <c r="J545" s="25">
        <v>53967</v>
      </c>
      <c r="K545" s="26">
        <v>10310.18</v>
      </c>
      <c r="L545" s="26">
        <v>64.66</v>
      </c>
    </row>
    <row r="546" spans="1:12" ht="16" customHeight="1">
      <c r="A546" t="s">
        <v>251</v>
      </c>
      <c r="B546" t="s">
        <v>4</v>
      </c>
      <c r="C546" t="s">
        <v>16</v>
      </c>
      <c r="D546" s="24">
        <v>45931</v>
      </c>
      <c r="E546" t="s">
        <v>282</v>
      </c>
      <c r="F546" t="s">
        <v>4</v>
      </c>
      <c r="G546" t="s">
        <v>211</v>
      </c>
      <c r="H546" t="s">
        <v>211</v>
      </c>
      <c r="I546" t="s">
        <v>219</v>
      </c>
      <c r="J546" s="25">
        <v>5727</v>
      </c>
      <c r="K546" s="26">
        <v>1095.6600000000001</v>
      </c>
      <c r="L546" s="26">
        <v>7.8</v>
      </c>
    </row>
    <row r="547" spans="1:12" ht="16" customHeight="1">
      <c r="A547" t="s">
        <v>251</v>
      </c>
      <c r="B547" t="s">
        <v>4</v>
      </c>
      <c r="C547" t="s">
        <v>16</v>
      </c>
      <c r="D547" s="24">
        <v>45931</v>
      </c>
      <c r="E547" t="s">
        <v>220</v>
      </c>
      <c r="F547" t="s">
        <v>4</v>
      </c>
      <c r="G547" t="s">
        <v>217</v>
      </c>
      <c r="H547" t="s">
        <v>217</v>
      </c>
      <c r="I547" t="s">
        <v>219</v>
      </c>
      <c r="J547" s="25">
        <v>253773</v>
      </c>
      <c r="K547" s="26">
        <v>48459.93</v>
      </c>
      <c r="L547" s="26">
        <v>352.13</v>
      </c>
    </row>
    <row r="548" spans="1:12" ht="16" customHeight="1">
      <c r="A548" t="s">
        <v>251</v>
      </c>
      <c r="B548" t="s">
        <v>4</v>
      </c>
      <c r="C548" t="s">
        <v>16</v>
      </c>
      <c r="D548" s="24">
        <v>45931</v>
      </c>
      <c r="E548" t="s">
        <v>222</v>
      </c>
      <c r="F548" t="s">
        <v>4</v>
      </c>
      <c r="G548" t="s">
        <v>217</v>
      </c>
      <c r="H548" t="s">
        <v>217</v>
      </c>
      <c r="I548" t="s">
        <v>221</v>
      </c>
      <c r="J548" s="25">
        <v>122704</v>
      </c>
      <c r="K548" s="26">
        <v>23331.200000000001</v>
      </c>
      <c r="L548" s="26">
        <v>252.15</v>
      </c>
    </row>
    <row r="549" spans="1:12" ht="16" customHeight="1">
      <c r="A549" t="s">
        <v>251</v>
      </c>
      <c r="B549" t="s">
        <v>4</v>
      </c>
      <c r="C549" t="s">
        <v>16</v>
      </c>
      <c r="D549" s="24">
        <v>45931</v>
      </c>
      <c r="E549" t="s">
        <v>224</v>
      </c>
      <c r="F549" t="s">
        <v>4</v>
      </c>
      <c r="G549" t="s">
        <v>217</v>
      </c>
      <c r="H549" t="s">
        <v>217</v>
      </c>
      <c r="I549" t="s">
        <v>267</v>
      </c>
      <c r="J549" s="25">
        <v>18052</v>
      </c>
      <c r="K549" s="26">
        <v>3488.2</v>
      </c>
      <c r="L549" s="26">
        <v>66.739999999999995</v>
      </c>
    </row>
    <row r="550" spans="1:12" ht="16" customHeight="1">
      <c r="A550" t="s">
        <v>251</v>
      </c>
      <c r="B550" t="s">
        <v>4</v>
      </c>
      <c r="C550" t="s">
        <v>16</v>
      </c>
      <c r="D550" s="24">
        <v>45931</v>
      </c>
      <c r="E550" t="s">
        <v>226</v>
      </c>
      <c r="F550" t="s">
        <v>4</v>
      </c>
      <c r="G550" t="s">
        <v>217</v>
      </c>
      <c r="H550" t="s">
        <v>217</v>
      </c>
      <c r="I550" t="s">
        <v>268</v>
      </c>
      <c r="J550" s="25">
        <v>1599</v>
      </c>
      <c r="K550" s="26">
        <v>314.61</v>
      </c>
      <c r="L550" s="26">
        <v>7.46</v>
      </c>
    </row>
    <row r="551" spans="1:12" ht="16" customHeight="1">
      <c r="A551" t="s">
        <v>251</v>
      </c>
      <c r="B551" t="s">
        <v>4</v>
      </c>
      <c r="C551" t="s">
        <v>16</v>
      </c>
      <c r="D551" s="24">
        <v>45931</v>
      </c>
      <c r="E551" t="s">
        <v>269</v>
      </c>
      <c r="F551" t="s">
        <v>4</v>
      </c>
      <c r="G551" t="s">
        <v>217</v>
      </c>
      <c r="H551" t="s">
        <v>217</v>
      </c>
      <c r="I551" t="s">
        <v>270</v>
      </c>
      <c r="J551" s="25">
        <v>0</v>
      </c>
      <c r="K551" s="26">
        <v>0</v>
      </c>
      <c r="L551" s="26">
        <v>0</v>
      </c>
    </row>
    <row r="552" spans="1:12" ht="16" customHeight="1">
      <c r="A552" t="s">
        <v>251</v>
      </c>
      <c r="B552" t="s">
        <v>4</v>
      </c>
      <c r="C552" t="s">
        <v>16</v>
      </c>
      <c r="D552" s="24">
        <v>45931</v>
      </c>
      <c r="E552" t="s">
        <v>228</v>
      </c>
      <c r="F552" t="s">
        <v>4</v>
      </c>
      <c r="G552" t="s">
        <v>217</v>
      </c>
      <c r="H552" t="s">
        <v>217</v>
      </c>
      <c r="I552" t="s">
        <v>271</v>
      </c>
      <c r="J552" s="25">
        <v>732</v>
      </c>
      <c r="K552" s="26">
        <v>146.85</v>
      </c>
      <c r="L552" s="26">
        <v>5.52</v>
      </c>
    </row>
    <row r="553" spans="1:12" ht="16" customHeight="1">
      <c r="A553" t="s">
        <v>251</v>
      </c>
      <c r="B553" t="s">
        <v>4</v>
      </c>
      <c r="C553" t="s">
        <v>16</v>
      </c>
      <c r="D553" s="24">
        <v>45931</v>
      </c>
      <c r="E553" t="s">
        <v>230</v>
      </c>
      <c r="F553" t="s">
        <v>4</v>
      </c>
      <c r="G553" t="s">
        <v>217</v>
      </c>
      <c r="H553" t="s">
        <v>217</v>
      </c>
      <c r="I553" t="s">
        <v>272</v>
      </c>
      <c r="J553" s="25">
        <v>0</v>
      </c>
      <c r="K553" s="26">
        <v>0</v>
      </c>
      <c r="L553" s="26">
        <v>0</v>
      </c>
    </row>
    <row r="554" spans="1:12" ht="16" customHeight="1">
      <c r="A554" t="s">
        <v>251</v>
      </c>
      <c r="B554" t="s">
        <v>4</v>
      </c>
      <c r="C554" t="s">
        <v>16</v>
      </c>
      <c r="D554" s="24">
        <v>45931</v>
      </c>
      <c r="E554" t="s">
        <v>232</v>
      </c>
      <c r="F554" t="s">
        <v>4</v>
      </c>
      <c r="G554" t="s">
        <v>217</v>
      </c>
      <c r="H554" t="s">
        <v>217</v>
      </c>
      <c r="I554" t="s">
        <v>273</v>
      </c>
      <c r="J554" s="25">
        <v>0</v>
      </c>
      <c r="K554" s="26">
        <v>0</v>
      </c>
      <c r="L554" s="26">
        <v>0</v>
      </c>
    </row>
    <row r="555" spans="1:12" ht="16" customHeight="1">
      <c r="A555" t="s">
        <v>251</v>
      </c>
      <c r="B555" t="s">
        <v>4</v>
      </c>
      <c r="C555" t="s">
        <v>16</v>
      </c>
      <c r="D555" s="24">
        <v>45931</v>
      </c>
      <c r="E555" t="s">
        <v>234</v>
      </c>
      <c r="F555" t="s">
        <v>4</v>
      </c>
      <c r="G555" t="s">
        <v>217</v>
      </c>
      <c r="H555" t="s">
        <v>217</v>
      </c>
      <c r="I555" t="s">
        <v>274</v>
      </c>
      <c r="J555" s="25">
        <v>0</v>
      </c>
      <c r="K555" s="26">
        <v>0</v>
      </c>
      <c r="L555" s="26">
        <v>0</v>
      </c>
    </row>
    <row r="556" spans="1:12" ht="16" customHeight="1">
      <c r="A556" t="s">
        <v>251</v>
      </c>
      <c r="B556" t="s">
        <v>4</v>
      </c>
      <c r="C556" t="s">
        <v>16</v>
      </c>
      <c r="D556" s="24">
        <v>45931</v>
      </c>
      <c r="E556" t="s">
        <v>236</v>
      </c>
      <c r="F556" t="s">
        <v>4</v>
      </c>
      <c r="G556" t="s">
        <v>217</v>
      </c>
      <c r="H556" t="s">
        <v>217</v>
      </c>
      <c r="I556" t="s">
        <v>275</v>
      </c>
      <c r="J556" s="25">
        <v>0</v>
      </c>
      <c r="K556" s="26">
        <v>0</v>
      </c>
      <c r="L556" s="26">
        <v>0</v>
      </c>
    </row>
    <row r="557" spans="1:12" ht="16" customHeight="1">
      <c r="A557" t="s">
        <v>251</v>
      </c>
      <c r="B557" t="s">
        <v>4</v>
      </c>
      <c r="C557" t="s">
        <v>16</v>
      </c>
      <c r="D557" s="24">
        <v>45931</v>
      </c>
      <c r="E557" t="s">
        <v>238</v>
      </c>
      <c r="F557" t="s">
        <v>4</v>
      </c>
      <c r="G557" t="s">
        <v>217</v>
      </c>
      <c r="H557" t="s">
        <v>217</v>
      </c>
      <c r="I557" t="s">
        <v>276</v>
      </c>
      <c r="J557" s="25">
        <v>0</v>
      </c>
      <c r="K557" s="26">
        <v>0</v>
      </c>
      <c r="L557" s="26">
        <v>0</v>
      </c>
    </row>
    <row r="558" spans="1:12" ht="16" customHeight="1">
      <c r="A558" t="s">
        <v>251</v>
      </c>
      <c r="B558" t="s">
        <v>4</v>
      </c>
      <c r="C558" t="s">
        <v>16</v>
      </c>
      <c r="D558" s="24">
        <v>45931</v>
      </c>
      <c r="E558" t="s">
        <v>240</v>
      </c>
      <c r="F558" t="s">
        <v>3</v>
      </c>
      <c r="G558" t="s">
        <v>241</v>
      </c>
      <c r="H558" t="s">
        <v>241</v>
      </c>
      <c r="I558" t="s">
        <v>277</v>
      </c>
      <c r="J558" s="25">
        <v>0</v>
      </c>
      <c r="K558" s="26">
        <v>0</v>
      </c>
      <c r="L558" s="26">
        <v>0</v>
      </c>
    </row>
    <row r="559" spans="1:12" ht="16" customHeight="1">
      <c r="A559" t="s">
        <v>251</v>
      </c>
      <c r="B559" t="s">
        <v>4</v>
      </c>
      <c r="C559" t="s">
        <v>16</v>
      </c>
      <c r="D559" s="24">
        <v>45931</v>
      </c>
      <c r="E559" t="s">
        <v>243</v>
      </c>
      <c r="F559" t="s">
        <v>4</v>
      </c>
      <c r="G559" t="s">
        <v>217</v>
      </c>
      <c r="H559" t="s">
        <v>217</v>
      </c>
      <c r="I559" t="s">
        <v>278</v>
      </c>
      <c r="J559" s="25">
        <v>0</v>
      </c>
      <c r="K559" s="26">
        <v>0</v>
      </c>
      <c r="L559" s="26">
        <v>0</v>
      </c>
    </row>
    <row r="560" spans="1:12" ht="16" customHeight="1">
      <c r="A560" t="s">
        <v>286</v>
      </c>
      <c r="B560" t="s">
        <v>5</v>
      </c>
      <c r="C560" t="s">
        <v>17</v>
      </c>
      <c r="D560" s="24">
        <v>45931</v>
      </c>
      <c r="E560" t="s">
        <v>256</v>
      </c>
      <c r="F560" t="s">
        <v>3</v>
      </c>
      <c r="G560" t="s">
        <v>241</v>
      </c>
      <c r="H560" t="s">
        <v>241</v>
      </c>
      <c r="I560" t="s">
        <v>212</v>
      </c>
      <c r="J560" s="25">
        <v>57350473</v>
      </c>
      <c r="K560" s="26">
        <v>10899720.210000001</v>
      </c>
      <c r="L560" s="26">
        <v>28639.48</v>
      </c>
    </row>
    <row r="561" spans="1:12" ht="16" customHeight="1">
      <c r="A561" t="s">
        <v>286</v>
      </c>
      <c r="B561" t="s">
        <v>5</v>
      </c>
      <c r="C561" t="s">
        <v>17</v>
      </c>
      <c r="D561" s="24">
        <v>45931</v>
      </c>
      <c r="E561" t="s">
        <v>218</v>
      </c>
      <c r="F561" t="s">
        <v>4</v>
      </c>
      <c r="G561" t="s">
        <v>217</v>
      </c>
      <c r="H561" t="s">
        <v>217</v>
      </c>
      <c r="I561" t="s">
        <v>212</v>
      </c>
      <c r="J561" s="25">
        <v>3191824</v>
      </c>
      <c r="K561" s="26">
        <v>606781.69999999995</v>
      </c>
      <c r="L561" s="26">
        <v>2595.6999999999998</v>
      </c>
    </row>
    <row r="562" spans="1:12" ht="16" customHeight="1">
      <c r="A562" t="s">
        <v>286</v>
      </c>
      <c r="B562" t="s">
        <v>5</v>
      </c>
      <c r="C562" t="s">
        <v>17</v>
      </c>
      <c r="D562" s="24">
        <v>45931</v>
      </c>
      <c r="E562" t="s">
        <v>262</v>
      </c>
      <c r="F562" t="s">
        <v>4</v>
      </c>
      <c r="G562" t="s">
        <v>211</v>
      </c>
      <c r="H562" t="s">
        <v>211</v>
      </c>
      <c r="I562" t="s">
        <v>219</v>
      </c>
      <c r="J562" s="25">
        <v>109413</v>
      </c>
      <c r="K562" s="26">
        <v>20922.830000000002</v>
      </c>
      <c r="L562" s="26">
        <v>115.26</v>
      </c>
    </row>
    <row r="563" spans="1:12" ht="16" customHeight="1">
      <c r="A563" t="s">
        <v>286</v>
      </c>
      <c r="B563" t="s">
        <v>5</v>
      </c>
      <c r="C563" t="s">
        <v>17</v>
      </c>
      <c r="D563" s="24">
        <v>45931</v>
      </c>
      <c r="E563" t="s">
        <v>282</v>
      </c>
      <c r="F563" t="s">
        <v>4</v>
      </c>
      <c r="G563" t="s">
        <v>211</v>
      </c>
      <c r="H563" t="s">
        <v>211</v>
      </c>
      <c r="I563" t="s">
        <v>219</v>
      </c>
      <c r="J563" s="25">
        <v>10526</v>
      </c>
      <c r="K563" s="26">
        <v>2011.4</v>
      </c>
      <c r="L563" s="26">
        <v>13.68</v>
      </c>
    </row>
    <row r="564" spans="1:12" ht="16" customHeight="1">
      <c r="A564" t="s">
        <v>286</v>
      </c>
      <c r="B564" t="s">
        <v>5</v>
      </c>
      <c r="C564" t="s">
        <v>17</v>
      </c>
      <c r="D564" s="24">
        <v>45931</v>
      </c>
      <c r="E564" t="s">
        <v>287</v>
      </c>
      <c r="F564" t="s">
        <v>4</v>
      </c>
      <c r="G564" t="s">
        <v>211</v>
      </c>
      <c r="H564" t="s">
        <v>211</v>
      </c>
      <c r="I564" t="s">
        <v>219</v>
      </c>
      <c r="J564" s="25">
        <v>98</v>
      </c>
      <c r="K564" s="26">
        <v>18.940000000000001</v>
      </c>
      <c r="L564" s="26">
        <v>0.15</v>
      </c>
    </row>
    <row r="565" spans="1:12" ht="16" customHeight="1">
      <c r="A565" t="s">
        <v>286</v>
      </c>
      <c r="B565" t="s">
        <v>5</v>
      </c>
      <c r="C565" t="s">
        <v>17</v>
      </c>
      <c r="D565" s="24">
        <v>45931</v>
      </c>
      <c r="E565" t="s">
        <v>220</v>
      </c>
      <c r="F565" t="s">
        <v>4</v>
      </c>
      <c r="G565" t="s">
        <v>217</v>
      </c>
      <c r="H565" t="s">
        <v>217</v>
      </c>
      <c r="I565" t="s">
        <v>219</v>
      </c>
      <c r="J565" s="25">
        <v>356992</v>
      </c>
      <c r="K565" s="26">
        <v>68171.33</v>
      </c>
      <c r="L565" s="26">
        <v>484.35</v>
      </c>
    </row>
    <row r="566" spans="1:12" ht="16" customHeight="1">
      <c r="A566" t="s">
        <v>286</v>
      </c>
      <c r="B566" t="s">
        <v>5</v>
      </c>
      <c r="C566" t="s">
        <v>17</v>
      </c>
      <c r="D566" s="24">
        <v>45931</v>
      </c>
      <c r="E566" t="s">
        <v>222</v>
      </c>
      <c r="F566" t="s">
        <v>4</v>
      </c>
      <c r="G566" t="s">
        <v>217</v>
      </c>
      <c r="H566" t="s">
        <v>217</v>
      </c>
      <c r="I566" t="s">
        <v>221</v>
      </c>
      <c r="J566" s="25">
        <v>121328</v>
      </c>
      <c r="K566" s="26">
        <v>22962.78</v>
      </c>
      <c r="L566" s="26">
        <v>238.38</v>
      </c>
    </row>
    <row r="567" spans="1:12" ht="16" customHeight="1">
      <c r="A567" t="s">
        <v>286</v>
      </c>
      <c r="B567" t="s">
        <v>5</v>
      </c>
      <c r="C567" t="s">
        <v>17</v>
      </c>
      <c r="D567" s="24">
        <v>45931</v>
      </c>
      <c r="E567" t="s">
        <v>224</v>
      </c>
      <c r="F567" t="s">
        <v>4</v>
      </c>
      <c r="G567" t="s">
        <v>217</v>
      </c>
      <c r="H567" t="s">
        <v>217</v>
      </c>
      <c r="I567" t="s">
        <v>267</v>
      </c>
      <c r="J567" s="25">
        <v>16265</v>
      </c>
      <c r="K567" s="26">
        <v>3130.51</v>
      </c>
      <c r="L567" s="26">
        <v>54.18</v>
      </c>
    </row>
    <row r="568" spans="1:12" ht="16" customHeight="1">
      <c r="A568" t="s">
        <v>286</v>
      </c>
      <c r="B568" t="s">
        <v>5</v>
      </c>
      <c r="C568" t="s">
        <v>17</v>
      </c>
      <c r="D568" s="24">
        <v>45931</v>
      </c>
      <c r="E568" t="s">
        <v>226</v>
      </c>
      <c r="F568" t="s">
        <v>4</v>
      </c>
      <c r="G568" t="s">
        <v>217</v>
      </c>
      <c r="H568" t="s">
        <v>217</v>
      </c>
      <c r="I568" t="s">
        <v>268</v>
      </c>
      <c r="J568" s="25">
        <v>6349</v>
      </c>
      <c r="K568" s="26">
        <v>1235.1600000000001</v>
      </c>
      <c r="L568" s="26">
        <v>25.11</v>
      </c>
    </row>
    <row r="569" spans="1:12" ht="16" customHeight="1">
      <c r="A569" t="s">
        <v>286</v>
      </c>
      <c r="B569" t="s">
        <v>5</v>
      </c>
      <c r="C569" t="s">
        <v>17</v>
      </c>
      <c r="D569" s="24">
        <v>45931</v>
      </c>
      <c r="E569" t="s">
        <v>269</v>
      </c>
      <c r="F569" t="s">
        <v>4</v>
      </c>
      <c r="G569" t="s">
        <v>217</v>
      </c>
      <c r="H569" t="s">
        <v>217</v>
      </c>
      <c r="I569" t="s">
        <v>270</v>
      </c>
      <c r="J569" s="25">
        <v>0</v>
      </c>
      <c r="K569" s="26">
        <v>0</v>
      </c>
      <c r="L569" s="26">
        <v>0</v>
      </c>
    </row>
    <row r="570" spans="1:12" ht="16" customHeight="1">
      <c r="A570" t="s">
        <v>286</v>
      </c>
      <c r="B570" t="s">
        <v>5</v>
      </c>
      <c r="C570" t="s">
        <v>17</v>
      </c>
      <c r="D570" s="24">
        <v>45931</v>
      </c>
      <c r="E570" t="s">
        <v>228</v>
      </c>
      <c r="F570" t="s">
        <v>4</v>
      </c>
      <c r="G570" t="s">
        <v>217</v>
      </c>
      <c r="H570" t="s">
        <v>217</v>
      </c>
      <c r="I570" t="s">
        <v>271</v>
      </c>
      <c r="J570" s="25">
        <v>1528</v>
      </c>
      <c r="K570" s="26">
        <v>307.99</v>
      </c>
      <c r="L570" s="26">
        <v>11.16</v>
      </c>
    </row>
    <row r="571" spans="1:12" ht="16" customHeight="1">
      <c r="A571" t="s">
        <v>286</v>
      </c>
      <c r="B571" t="s">
        <v>5</v>
      </c>
      <c r="C571" t="s">
        <v>17</v>
      </c>
      <c r="D571" s="24">
        <v>45931</v>
      </c>
      <c r="E571" t="s">
        <v>230</v>
      </c>
      <c r="F571" t="s">
        <v>4</v>
      </c>
      <c r="G571" t="s">
        <v>217</v>
      </c>
      <c r="H571" t="s">
        <v>217</v>
      </c>
      <c r="I571" t="s">
        <v>272</v>
      </c>
      <c r="J571" s="25">
        <v>0</v>
      </c>
      <c r="K571" s="26">
        <v>0</v>
      </c>
      <c r="L571" s="26">
        <v>0</v>
      </c>
    </row>
    <row r="572" spans="1:12" ht="16" customHeight="1">
      <c r="A572" t="s">
        <v>286</v>
      </c>
      <c r="B572" t="s">
        <v>5</v>
      </c>
      <c r="C572" t="s">
        <v>17</v>
      </c>
      <c r="D572" s="24">
        <v>45931</v>
      </c>
      <c r="E572" t="s">
        <v>232</v>
      </c>
      <c r="F572" t="s">
        <v>4</v>
      </c>
      <c r="G572" t="s">
        <v>217</v>
      </c>
      <c r="H572" t="s">
        <v>217</v>
      </c>
      <c r="I572" t="s">
        <v>273</v>
      </c>
      <c r="J572" s="25">
        <v>7</v>
      </c>
      <c r="K572" s="26">
        <v>1.24</v>
      </c>
      <c r="L572" s="26">
        <v>0.03</v>
      </c>
    </row>
    <row r="573" spans="1:12" ht="16" customHeight="1">
      <c r="A573" t="s">
        <v>286</v>
      </c>
      <c r="B573" t="s">
        <v>5</v>
      </c>
      <c r="C573" t="s">
        <v>17</v>
      </c>
      <c r="D573" s="24">
        <v>45931</v>
      </c>
      <c r="E573" t="s">
        <v>234</v>
      </c>
      <c r="F573" t="s">
        <v>4</v>
      </c>
      <c r="G573" t="s">
        <v>217</v>
      </c>
      <c r="H573" t="s">
        <v>217</v>
      </c>
      <c r="I573" t="s">
        <v>274</v>
      </c>
      <c r="J573" s="25">
        <v>0</v>
      </c>
      <c r="K573" s="26">
        <v>0</v>
      </c>
      <c r="L573" s="26">
        <v>0</v>
      </c>
    </row>
    <row r="574" spans="1:12" ht="16" customHeight="1">
      <c r="A574" t="s">
        <v>286</v>
      </c>
      <c r="B574" t="s">
        <v>5</v>
      </c>
      <c r="C574" t="s">
        <v>17</v>
      </c>
      <c r="D574" s="24">
        <v>45931</v>
      </c>
      <c r="E574" t="s">
        <v>236</v>
      </c>
      <c r="F574" t="s">
        <v>4</v>
      </c>
      <c r="G574" t="s">
        <v>217</v>
      </c>
      <c r="H574" t="s">
        <v>217</v>
      </c>
      <c r="I574" t="s">
        <v>275</v>
      </c>
      <c r="J574" s="25">
        <v>0</v>
      </c>
      <c r="K574" s="26">
        <v>0</v>
      </c>
      <c r="L574" s="26">
        <v>0</v>
      </c>
    </row>
    <row r="575" spans="1:12" ht="16" customHeight="1">
      <c r="A575" t="s">
        <v>286</v>
      </c>
      <c r="B575" t="s">
        <v>5</v>
      </c>
      <c r="C575" t="s">
        <v>17</v>
      </c>
      <c r="D575" s="24">
        <v>45931</v>
      </c>
      <c r="E575" t="s">
        <v>238</v>
      </c>
      <c r="F575" t="s">
        <v>4</v>
      </c>
      <c r="G575" t="s">
        <v>217</v>
      </c>
      <c r="H575" t="s">
        <v>217</v>
      </c>
      <c r="I575" t="s">
        <v>276</v>
      </c>
      <c r="J575" s="25">
        <v>0</v>
      </c>
      <c r="K575" s="26">
        <v>0</v>
      </c>
      <c r="L575" s="26">
        <v>0</v>
      </c>
    </row>
    <row r="576" spans="1:12" ht="16" customHeight="1">
      <c r="A576" t="s">
        <v>286</v>
      </c>
      <c r="B576" t="s">
        <v>5</v>
      </c>
      <c r="C576" t="s">
        <v>17</v>
      </c>
      <c r="D576" s="24">
        <v>45931</v>
      </c>
      <c r="E576" t="s">
        <v>240</v>
      </c>
      <c r="F576" t="s">
        <v>3</v>
      </c>
      <c r="G576" t="s">
        <v>241</v>
      </c>
      <c r="H576" t="s">
        <v>241</v>
      </c>
      <c r="I576" t="s">
        <v>277</v>
      </c>
      <c r="J576" s="25">
        <v>0</v>
      </c>
      <c r="K576" s="26">
        <v>0</v>
      </c>
      <c r="L576" s="26">
        <v>0</v>
      </c>
    </row>
    <row r="577" spans="1:12" ht="16" customHeight="1">
      <c r="A577" t="s">
        <v>286</v>
      </c>
      <c r="B577" t="s">
        <v>5</v>
      </c>
      <c r="C577" t="s">
        <v>17</v>
      </c>
      <c r="D577" s="24">
        <v>45931</v>
      </c>
      <c r="E577" t="s">
        <v>243</v>
      </c>
      <c r="F577" t="s">
        <v>4</v>
      </c>
      <c r="G577" t="s">
        <v>217</v>
      </c>
      <c r="H577" t="s">
        <v>217</v>
      </c>
      <c r="I577" t="s">
        <v>278</v>
      </c>
      <c r="J577" s="25">
        <v>0</v>
      </c>
      <c r="K577" s="26">
        <v>0</v>
      </c>
      <c r="L577" s="26">
        <v>0</v>
      </c>
    </row>
    <row r="578" spans="1:12" ht="16" customHeight="1">
      <c r="A578" t="s">
        <v>288</v>
      </c>
      <c r="B578" t="s">
        <v>6</v>
      </c>
      <c r="C578" t="s">
        <v>17</v>
      </c>
      <c r="D578" s="24">
        <v>45931</v>
      </c>
      <c r="E578" t="s">
        <v>256</v>
      </c>
      <c r="F578" t="s">
        <v>3</v>
      </c>
      <c r="G578" t="s">
        <v>241</v>
      </c>
      <c r="H578" t="s">
        <v>241</v>
      </c>
      <c r="I578" t="s">
        <v>212</v>
      </c>
      <c r="J578" s="25">
        <v>60901085</v>
      </c>
      <c r="K578" s="26">
        <v>11637702.01</v>
      </c>
      <c r="L578" s="26">
        <v>25494.51</v>
      </c>
    </row>
    <row r="579" spans="1:12" ht="16" customHeight="1">
      <c r="A579" t="s">
        <v>288</v>
      </c>
      <c r="B579" t="s">
        <v>6</v>
      </c>
      <c r="C579" t="s">
        <v>17</v>
      </c>
      <c r="D579" s="24">
        <v>45931</v>
      </c>
      <c r="E579" t="s">
        <v>218</v>
      </c>
      <c r="F579" t="s">
        <v>4</v>
      </c>
      <c r="G579" t="s">
        <v>217</v>
      </c>
      <c r="H579" t="s">
        <v>217</v>
      </c>
      <c r="I579" t="s">
        <v>212</v>
      </c>
      <c r="J579" s="25">
        <v>4708456</v>
      </c>
      <c r="K579" s="26">
        <v>901435.24</v>
      </c>
      <c r="L579" s="26">
        <v>3568.95</v>
      </c>
    </row>
    <row r="580" spans="1:12" ht="16" customHeight="1">
      <c r="A580" t="s">
        <v>288</v>
      </c>
      <c r="B580" t="s">
        <v>6</v>
      </c>
      <c r="C580" t="s">
        <v>17</v>
      </c>
      <c r="D580" s="24">
        <v>45931</v>
      </c>
      <c r="E580" t="s">
        <v>262</v>
      </c>
      <c r="F580" t="s">
        <v>4</v>
      </c>
      <c r="G580" t="s">
        <v>211</v>
      </c>
      <c r="H580" t="s">
        <v>211</v>
      </c>
      <c r="I580" t="s">
        <v>219</v>
      </c>
      <c r="J580" s="25">
        <v>174904</v>
      </c>
      <c r="K580" s="26">
        <v>33618.93</v>
      </c>
      <c r="L580" s="26">
        <v>181.24</v>
      </c>
    </row>
    <row r="581" spans="1:12" ht="16" customHeight="1">
      <c r="A581" t="s">
        <v>288</v>
      </c>
      <c r="B581" t="s">
        <v>6</v>
      </c>
      <c r="C581" t="s">
        <v>17</v>
      </c>
      <c r="D581" s="24">
        <v>45931</v>
      </c>
      <c r="E581" t="s">
        <v>282</v>
      </c>
      <c r="F581" t="s">
        <v>4</v>
      </c>
      <c r="G581" t="s">
        <v>211</v>
      </c>
      <c r="H581" t="s">
        <v>211</v>
      </c>
      <c r="I581" t="s">
        <v>219</v>
      </c>
      <c r="J581" s="25">
        <v>23423</v>
      </c>
      <c r="K581" s="26">
        <v>4518.37</v>
      </c>
      <c r="L581" s="26">
        <v>30.3</v>
      </c>
    </row>
    <row r="582" spans="1:12" ht="16" customHeight="1">
      <c r="A582" t="s">
        <v>288</v>
      </c>
      <c r="B582" t="s">
        <v>6</v>
      </c>
      <c r="C582" t="s">
        <v>17</v>
      </c>
      <c r="D582" s="24">
        <v>45931</v>
      </c>
      <c r="E582" t="s">
        <v>287</v>
      </c>
      <c r="F582" t="s">
        <v>4</v>
      </c>
      <c r="G582" t="s">
        <v>211</v>
      </c>
      <c r="H582" t="s">
        <v>211</v>
      </c>
      <c r="I582" t="s">
        <v>219</v>
      </c>
      <c r="J582" s="25">
        <v>1957</v>
      </c>
      <c r="K582" s="26">
        <v>380.14</v>
      </c>
      <c r="L582" s="26">
        <v>2.74</v>
      </c>
    </row>
    <row r="583" spans="1:12" ht="16" customHeight="1">
      <c r="A583" t="s">
        <v>288</v>
      </c>
      <c r="B583" t="s">
        <v>6</v>
      </c>
      <c r="C583" t="s">
        <v>17</v>
      </c>
      <c r="D583" s="24">
        <v>45931</v>
      </c>
      <c r="E583" t="s">
        <v>220</v>
      </c>
      <c r="F583" t="s">
        <v>4</v>
      </c>
      <c r="G583" t="s">
        <v>217</v>
      </c>
      <c r="H583" t="s">
        <v>217</v>
      </c>
      <c r="I583" t="s">
        <v>219</v>
      </c>
      <c r="J583" s="25">
        <v>489711</v>
      </c>
      <c r="K583" s="26">
        <v>94032.36</v>
      </c>
      <c r="L583" s="26">
        <v>728.03</v>
      </c>
    </row>
    <row r="584" spans="1:12" ht="16" customHeight="1">
      <c r="A584" t="s">
        <v>288</v>
      </c>
      <c r="B584" t="s">
        <v>6</v>
      </c>
      <c r="C584" t="s">
        <v>17</v>
      </c>
      <c r="D584" s="24">
        <v>45931</v>
      </c>
      <c r="E584" t="s">
        <v>222</v>
      </c>
      <c r="F584" t="s">
        <v>4</v>
      </c>
      <c r="G584" t="s">
        <v>217</v>
      </c>
      <c r="H584" t="s">
        <v>217</v>
      </c>
      <c r="I584" t="s">
        <v>221</v>
      </c>
      <c r="J584" s="25">
        <v>166754</v>
      </c>
      <c r="K584" s="26">
        <v>32051.02</v>
      </c>
      <c r="L584" s="26">
        <v>386.01</v>
      </c>
    </row>
    <row r="585" spans="1:12" ht="16" customHeight="1">
      <c r="A585" t="s">
        <v>288</v>
      </c>
      <c r="B585" t="s">
        <v>6</v>
      </c>
      <c r="C585" t="s">
        <v>17</v>
      </c>
      <c r="D585" s="24">
        <v>45931</v>
      </c>
      <c r="E585" t="s">
        <v>224</v>
      </c>
      <c r="F585" t="s">
        <v>4</v>
      </c>
      <c r="G585" t="s">
        <v>217</v>
      </c>
      <c r="H585" t="s">
        <v>217</v>
      </c>
      <c r="I585" t="s">
        <v>267</v>
      </c>
      <c r="J585" s="25">
        <v>32304</v>
      </c>
      <c r="K585" s="26">
        <v>6418.1</v>
      </c>
      <c r="L585" s="26">
        <v>95.89</v>
      </c>
    </row>
    <row r="586" spans="1:12" ht="16" customHeight="1">
      <c r="A586" t="s">
        <v>288</v>
      </c>
      <c r="B586" t="s">
        <v>6</v>
      </c>
      <c r="C586" t="s">
        <v>17</v>
      </c>
      <c r="D586" s="24">
        <v>45931</v>
      </c>
      <c r="E586" t="s">
        <v>226</v>
      </c>
      <c r="F586" t="s">
        <v>4</v>
      </c>
      <c r="G586" t="s">
        <v>217</v>
      </c>
      <c r="H586" t="s">
        <v>217</v>
      </c>
      <c r="I586" t="s">
        <v>268</v>
      </c>
      <c r="J586" s="25">
        <v>7851</v>
      </c>
      <c r="K586" s="26">
        <v>1555.62</v>
      </c>
      <c r="L586" s="26">
        <v>39.51</v>
      </c>
    </row>
    <row r="587" spans="1:12" ht="16" customHeight="1">
      <c r="A587" t="s">
        <v>288</v>
      </c>
      <c r="B587" t="s">
        <v>6</v>
      </c>
      <c r="C587" t="s">
        <v>17</v>
      </c>
      <c r="D587" s="24">
        <v>45931</v>
      </c>
      <c r="E587" t="s">
        <v>269</v>
      </c>
      <c r="F587" t="s">
        <v>4</v>
      </c>
      <c r="G587" t="s">
        <v>217</v>
      </c>
      <c r="H587" t="s">
        <v>217</v>
      </c>
      <c r="I587" t="s">
        <v>270</v>
      </c>
      <c r="J587" s="25">
        <v>0</v>
      </c>
      <c r="K587" s="26">
        <v>0</v>
      </c>
      <c r="L587" s="26">
        <v>0</v>
      </c>
    </row>
    <row r="588" spans="1:12" ht="16" customHeight="1">
      <c r="A588" t="s">
        <v>288</v>
      </c>
      <c r="B588" t="s">
        <v>6</v>
      </c>
      <c r="C588" t="s">
        <v>17</v>
      </c>
      <c r="D588" s="24">
        <v>45931</v>
      </c>
      <c r="E588" t="s">
        <v>228</v>
      </c>
      <c r="F588" t="s">
        <v>4</v>
      </c>
      <c r="G588" t="s">
        <v>217</v>
      </c>
      <c r="H588" t="s">
        <v>217</v>
      </c>
      <c r="I588" t="s">
        <v>271</v>
      </c>
      <c r="J588" s="25">
        <v>1843</v>
      </c>
      <c r="K588" s="26">
        <v>370.02</v>
      </c>
      <c r="L588" s="26">
        <v>12.2</v>
      </c>
    </row>
    <row r="589" spans="1:12" ht="16" customHeight="1">
      <c r="A589" t="s">
        <v>288</v>
      </c>
      <c r="B589" t="s">
        <v>6</v>
      </c>
      <c r="C589" t="s">
        <v>17</v>
      </c>
      <c r="D589" s="24">
        <v>45931</v>
      </c>
      <c r="E589" t="s">
        <v>230</v>
      </c>
      <c r="F589" t="s">
        <v>4</v>
      </c>
      <c r="G589" t="s">
        <v>217</v>
      </c>
      <c r="H589" t="s">
        <v>217</v>
      </c>
      <c r="I589" t="s">
        <v>272</v>
      </c>
      <c r="J589" s="25">
        <v>2</v>
      </c>
      <c r="K589" s="26">
        <v>0.32</v>
      </c>
      <c r="L589" s="26">
        <v>0</v>
      </c>
    </row>
    <row r="590" spans="1:12" ht="16" customHeight="1">
      <c r="A590" t="s">
        <v>288</v>
      </c>
      <c r="B590" t="s">
        <v>6</v>
      </c>
      <c r="C590" t="s">
        <v>17</v>
      </c>
      <c r="D590" s="24">
        <v>45931</v>
      </c>
      <c r="E590" t="s">
        <v>232</v>
      </c>
      <c r="F590" t="s">
        <v>4</v>
      </c>
      <c r="G590" t="s">
        <v>217</v>
      </c>
      <c r="H590" t="s">
        <v>217</v>
      </c>
      <c r="I590" t="s">
        <v>273</v>
      </c>
      <c r="J590" s="25">
        <v>20</v>
      </c>
      <c r="K590" s="26">
        <v>3.61</v>
      </c>
      <c r="L590" s="26">
        <v>0.09</v>
      </c>
    </row>
    <row r="591" spans="1:12" ht="16" customHeight="1">
      <c r="A591" t="s">
        <v>288</v>
      </c>
      <c r="B591" t="s">
        <v>6</v>
      </c>
      <c r="C591" t="s">
        <v>17</v>
      </c>
      <c r="D591" s="24">
        <v>45931</v>
      </c>
      <c r="E591" t="s">
        <v>234</v>
      </c>
      <c r="F591" t="s">
        <v>4</v>
      </c>
      <c r="G591" t="s">
        <v>217</v>
      </c>
      <c r="H591" t="s">
        <v>217</v>
      </c>
      <c r="I591" t="s">
        <v>274</v>
      </c>
      <c r="J591" s="25">
        <v>0</v>
      </c>
      <c r="K591" s="26">
        <v>0</v>
      </c>
      <c r="L591" s="26">
        <v>0</v>
      </c>
    </row>
    <row r="592" spans="1:12" ht="16" customHeight="1">
      <c r="A592" t="s">
        <v>288</v>
      </c>
      <c r="B592" t="s">
        <v>6</v>
      </c>
      <c r="C592" t="s">
        <v>17</v>
      </c>
      <c r="D592" s="24">
        <v>45931</v>
      </c>
      <c r="E592" t="s">
        <v>236</v>
      </c>
      <c r="F592" t="s">
        <v>4</v>
      </c>
      <c r="G592" t="s">
        <v>217</v>
      </c>
      <c r="H592" t="s">
        <v>217</v>
      </c>
      <c r="I592" t="s">
        <v>275</v>
      </c>
      <c r="J592" s="25">
        <v>1</v>
      </c>
      <c r="K592" s="26">
        <v>0.2</v>
      </c>
      <c r="L592" s="26">
        <v>0.01</v>
      </c>
    </row>
    <row r="593" spans="1:12" ht="16" customHeight="1">
      <c r="A593" t="s">
        <v>288</v>
      </c>
      <c r="B593" t="s">
        <v>6</v>
      </c>
      <c r="C593" t="s">
        <v>17</v>
      </c>
      <c r="D593" s="24">
        <v>45931</v>
      </c>
      <c r="E593" t="s">
        <v>238</v>
      </c>
      <c r="F593" t="s">
        <v>4</v>
      </c>
      <c r="G593" t="s">
        <v>217</v>
      </c>
      <c r="H593" t="s">
        <v>217</v>
      </c>
      <c r="I593" t="s">
        <v>276</v>
      </c>
      <c r="J593" s="25">
        <v>0</v>
      </c>
      <c r="K593" s="26">
        <v>0</v>
      </c>
      <c r="L593" s="26">
        <v>0</v>
      </c>
    </row>
    <row r="594" spans="1:12" ht="16" customHeight="1">
      <c r="A594" t="s">
        <v>288</v>
      </c>
      <c r="B594" t="s">
        <v>6</v>
      </c>
      <c r="C594" t="s">
        <v>17</v>
      </c>
      <c r="D594" s="24">
        <v>45931</v>
      </c>
      <c r="E594" t="s">
        <v>240</v>
      </c>
      <c r="F594" t="s">
        <v>3</v>
      </c>
      <c r="G594" t="s">
        <v>241</v>
      </c>
      <c r="H594" t="s">
        <v>241</v>
      </c>
      <c r="I594" t="s">
        <v>277</v>
      </c>
      <c r="J594" s="25">
        <v>106</v>
      </c>
      <c r="K594" s="26">
        <v>26.78</v>
      </c>
      <c r="L594" s="26">
        <v>2.93</v>
      </c>
    </row>
    <row r="595" spans="1:12" ht="16" customHeight="1">
      <c r="A595" t="s">
        <v>288</v>
      </c>
      <c r="B595" t="s">
        <v>6</v>
      </c>
      <c r="C595" t="s">
        <v>17</v>
      </c>
      <c r="D595" s="24">
        <v>45931</v>
      </c>
      <c r="E595" t="s">
        <v>243</v>
      </c>
      <c r="F595" t="s">
        <v>4</v>
      </c>
      <c r="G595" t="s">
        <v>217</v>
      </c>
      <c r="H595" t="s">
        <v>217</v>
      </c>
      <c r="I595" t="s">
        <v>278</v>
      </c>
      <c r="J595" s="25">
        <v>0</v>
      </c>
      <c r="K595" s="26">
        <v>0</v>
      </c>
      <c r="L595" s="26">
        <v>0</v>
      </c>
    </row>
    <row r="596" spans="1:12" ht="16" customHeight="1">
      <c r="A596" t="s">
        <v>289</v>
      </c>
      <c r="B596" t="s">
        <v>7</v>
      </c>
      <c r="C596" t="s">
        <v>17</v>
      </c>
      <c r="D596" s="24">
        <v>45931</v>
      </c>
      <c r="E596" t="s">
        <v>256</v>
      </c>
      <c r="F596" t="s">
        <v>3</v>
      </c>
      <c r="G596" t="s">
        <v>241</v>
      </c>
      <c r="H596" t="s">
        <v>241</v>
      </c>
      <c r="I596" t="s">
        <v>212</v>
      </c>
      <c r="J596" s="25">
        <v>147465614</v>
      </c>
      <c r="K596" s="26">
        <v>28430139.640000001</v>
      </c>
      <c r="L596" s="26">
        <v>57854.39</v>
      </c>
    </row>
    <row r="597" spans="1:12" ht="16" customHeight="1">
      <c r="A597" t="s">
        <v>289</v>
      </c>
      <c r="B597" t="s">
        <v>7</v>
      </c>
      <c r="C597" t="s">
        <v>17</v>
      </c>
      <c r="D597" s="24">
        <v>45931</v>
      </c>
      <c r="E597" t="s">
        <v>218</v>
      </c>
      <c r="F597" t="s">
        <v>4</v>
      </c>
      <c r="G597" t="s">
        <v>217</v>
      </c>
      <c r="H597" t="s">
        <v>217</v>
      </c>
      <c r="I597" t="s">
        <v>212</v>
      </c>
      <c r="J597" s="25">
        <v>7867428</v>
      </c>
      <c r="K597" s="26">
        <v>1519087.99</v>
      </c>
      <c r="L597" s="26">
        <v>5745.51</v>
      </c>
    </row>
    <row r="598" spans="1:12" ht="16" customHeight="1">
      <c r="A598" t="s">
        <v>289</v>
      </c>
      <c r="B598" t="s">
        <v>7</v>
      </c>
      <c r="C598" t="s">
        <v>17</v>
      </c>
      <c r="D598" s="24">
        <v>45931</v>
      </c>
      <c r="E598" t="s">
        <v>262</v>
      </c>
      <c r="F598" t="s">
        <v>4</v>
      </c>
      <c r="G598" t="s">
        <v>211</v>
      </c>
      <c r="H598" t="s">
        <v>211</v>
      </c>
      <c r="I598" t="s">
        <v>219</v>
      </c>
      <c r="J598" s="25">
        <v>363357</v>
      </c>
      <c r="K598" s="26">
        <v>70429.789999999994</v>
      </c>
      <c r="L598" s="26">
        <v>403.69</v>
      </c>
    </row>
    <row r="599" spans="1:12" ht="16" customHeight="1">
      <c r="A599" t="s">
        <v>289</v>
      </c>
      <c r="B599" t="s">
        <v>7</v>
      </c>
      <c r="C599" t="s">
        <v>17</v>
      </c>
      <c r="D599" s="24">
        <v>45931</v>
      </c>
      <c r="E599" t="s">
        <v>282</v>
      </c>
      <c r="F599" t="s">
        <v>4</v>
      </c>
      <c r="G599" t="s">
        <v>211</v>
      </c>
      <c r="H599" t="s">
        <v>211</v>
      </c>
      <c r="I599" t="s">
        <v>219</v>
      </c>
      <c r="J599" s="25">
        <v>42802</v>
      </c>
      <c r="K599" s="26">
        <v>8304.65</v>
      </c>
      <c r="L599" s="26">
        <v>56.58</v>
      </c>
    </row>
    <row r="600" spans="1:12" ht="16" customHeight="1">
      <c r="A600" t="s">
        <v>289</v>
      </c>
      <c r="B600" t="s">
        <v>7</v>
      </c>
      <c r="C600" t="s">
        <v>17</v>
      </c>
      <c r="D600" s="24">
        <v>45931</v>
      </c>
      <c r="E600" t="s">
        <v>287</v>
      </c>
      <c r="F600" t="s">
        <v>4</v>
      </c>
      <c r="G600" t="s">
        <v>211</v>
      </c>
      <c r="H600" t="s">
        <v>211</v>
      </c>
      <c r="I600" t="s">
        <v>219</v>
      </c>
      <c r="J600" s="25">
        <v>5185</v>
      </c>
      <c r="K600" s="26">
        <v>1010.6</v>
      </c>
      <c r="L600" s="26">
        <v>7.53</v>
      </c>
    </row>
    <row r="601" spans="1:12" ht="16" customHeight="1">
      <c r="A601" t="s">
        <v>289</v>
      </c>
      <c r="B601" t="s">
        <v>7</v>
      </c>
      <c r="C601" t="s">
        <v>17</v>
      </c>
      <c r="D601" s="24">
        <v>45931</v>
      </c>
      <c r="E601" t="s">
        <v>220</v>
      </c>
      <c r="F601" t="s">
        <v>4</v>
      </c>
      <c r="G601" t="s">
        <v>217</v>
      </c>
      <c r="H601" t="s">
        <v>217</v>
      </c>
      <c r="I601" t="s">
        <v>219</v>
      </c>
      <c r="J601" s="25">
        <v>677364</v>
      </c>
      <c r="K601" s="26">
        <v>130910.78</v>
      </c>
      <c r="L601" s="26">
        <v>1097.95</v>
      </c>
    </row>
    <row r="602" spans="1:12" ht="16" customHeight="1">
      <c r="A602" t="s">
        <v>289</v>
      </c>
      <c r="B602" t="s">
        <v>7</v>
      </c>
      <c r="C602" t="s">
        <v>17</v>
      </c>
      <c r="D602" s="24">
        <v>45931</v>
      </c>
      <c r="E602" t="s">
        <v>222</v>
      </c>
      <c r="F602" t="s">
        <v>4</v>
      </c>
      <c r="G602" t="s">
        <v>217</v>
      </c>
      <c r="H602" t="s">
        <v>217</v>
      </c>
      <c r="I602" t="s">
        <v>221</v>
      </c>
      <c r="J602" s="25">
        <v>221702</v>
      </c>
      <c r="K602" s="26">
        <v>42711.03</v>
      </c>
      <c r="L602" s="26">
        <v>453.06</v>
      </c>
    </row>
    <row r="603" spans="1:12" ht="16" customHeight="1">
      <c r="A603" t="s">
        <v>289</v>
      </c>
      <c r="B603" t="s">
        <v>7</v>
      </c>
      <c r="C603" t="s">
        <v>17</v>
      </c>
      <c r="D603" s="24">
        <v>45931</v>
      </c>
      <c r="E603" t="s">
        <v>224</v>
      </c>
      <c r="F603" t="s">
        <v>4</v>
      </c>
      <c r="G603" t="s">
        <v>217</v>
      </c>
      <c r="H603" t="s">
        <v>217</v>
      </c>
      <c r="I603" t="s">
        <v>267</v>
      </c>
      <c r="J603" s="25">
        <v>33762</v>
      </c>
      <c r="K603" s="26">
        <v>6696.67</v>
      </c>
      <c r="L603" s="26">
        <v>129.99</v>
      </c>
    </row>
    <row r="604" spans="1:12" ht="16" customHeight="1">
      <c r="A604" t="s">
        <v>289</v>
      </c>
      <c r="B604" t="s">
        <v>7</v>
      </c>
      <c r="C604" t="s">
        <v>17</v>
      </c>
      <c r="D604" s="24">
        <v>45931</v>
      </c>
      <c r="E604" t="s">
        <v>226</v>
      </c>
      <c r="F604" t="s">
        <v>4</v>
      </c>
      <c r="G604" t="s">
        <v>217</v>
      </c>
      <c r="H604" t="s">
        <v>217</v>
      </c>
      <c r="I604" t="s">
        <v>268</v>
      </c>
      <c r="J604" s="25">
        <v>5715</v>
      </c>
      <c r="K604" s="26">
        <v>1150.3800000000001</v>
      </c>
      <c r="L604" s="26">
        <v>31.64</v>
      </c>
    </row>
    <row r="605" spans="1:12" ht="16" customHeight="1">
      <c r="A605" t="s">
        <v>289</v>
      </c>
      <c r="B605" t="s">
        <v>7</v>
      </c>
      <c r="C605" t="s">
        <v>17</v>
      </c>
      <c r="D605" s="24">
        <v>45931</v>
      </c>
      <c r="E605" t="s">
        <v>269</v>
      </c>
      <c r="F605" t="s">
        <v>4</v>
      </c>
      <c r="G605" t="s">
        <v>217</v>
      </c>
      <c r="H605" t="s">
        <v>217</v>
      </c>
      <c r="I605" t="s">
        <v>270</v>
      </c>
      <c r="J605" s="25">
        <v>0</v>
      </c>
      <c r="K605" s="26">
        <v>0</v>
      </c>
      <c r="L605" s="26">
        <v>0</v>
      </c>
    </row>
    <row r="606" spans="1:12" ht="16" customHeight="1">
      <c r="A606" t="s">
        <v>289</v>
      </c>
      <c r="B606" t="s">
        <v>7</v>
      </c>
      <c r="C606" t="s">
        <v>17</v>
      </c>
      <c r="D606" s="24">
        <v>45931</v>
      </c>
      <c r="E606" t="s">
        <v>228</v>
      </c>
      <c r="F606" t="s">
        <v>4</v>
      </c>
      <c r="G606" t="s">
        <v>217</v>
      </c>
      <c r="H606" t="s">
        <v>217</v>
      </c>
      <c r="I606" t="s">
        <v>271</v>
      </c>
      <c r="J606" s="25">
        <v>2143</v>
      </c>
      <c r="K606" s="26">
        <v>430.35</v>
      </c>
      <c r="L606" s="26">
        <v>15.09</v>
      </c>
    </row>
    <row r="607" spans="1:12" ht="16" customHeight="1">
      <c r="A607" t="s">
        <v>289</v>
      </c>
      <c r="B607" t="s">
        <v>7</v>
      </c>
      <c r="C607" t="s">
        <v>17</v>
      </c>
      <c r="D607" s="24">
        <v>45931</v>
      </c>
      <c r="E607" t="s">
        <v>230</v>
      </c>
      <c r="F607" t="s">
        <v>4</v>
      </c>
      <c r="G607" t="s">
        <v>217</v>
      </c>
      <c r="H607" t="s">
        <v>217</v>
      </c>
      <c r="I607" t="s">
        <v>272</v>
      </c>
      <c r="J607" s="25">
        <v>2</v>
      </c>
      <c r="K607" s="26">
        <v>0.32</v>
      </c>
      <c r="L607" s="26">
        <v>0</v>
      </c>
    </row>
    <row r="608" spans="1:12" ht="16" customHeight="1">
      <c r="A608" t="s">
        <v>289</v>
      </c>
      <c r="B608" t="s">
        <v>7</v>
      </c>
      <c r="C608" t="s">
        <v>17</v>
      </c>
      <c r="D608" s="24">
        <v>45931</v>
      </c>
      <c r="E608" t="s">
        <v>232</v>
      </c>
      <c r="F608" t="s">
        <v>4</v>
      </c>
      <c r="G608" t="s">
        <v>217</v>
      </c>
      <c r="H608" t="s">
        <v>217</v>
      </c>
      <c r="I608" t="s">
        <v>273</v>
      </c>
      <c r="J608" s="25">
        <v>2</v>
      </c>
      <c r="K608" s="26">
        <v>0.23</v>
      </c>
      <c r="L608" s="26">
        <v>0</v>
      </c>
    </row>
    <row r="609" spans="1:12" ht="16" customHeight="1">
      <c r="A609" t="s">
        <v>289</v>
      </c>
      <c r="B609" t="s">
        <v>7</v>
      </c>
      <c r="C609" t="s">
        <v>17</v>
      </c>
      <c r="D609" s="24">
        <v>45931</v>
      </c>
      <c r="E609" t="s">
        <v>234</v>
      </c>
      <c r="F609" t="s">
        <v>4</v>
      </c>
      <c r="G609" t="s">
        <v>217</v>
      </c>
      <c r="H609" t="s">
        <v>217</v>
      </c>
      <c r="I609" t="s">
        <v>274</v>
      </c>
      <c r="J609" s="25">
        <v>0</v>
      </c>
      <c r="K609" s="26">
        <v>0</v>
      </c>
      <c r="L609" s="26">
        <v>0</v>
      </c>
    </row>
    <row r="610" spans="1:12" ht="16" customHeight="1">
      <c r="A610" t="s">
        <v>289</v>
      </c>
      <c r="B610" t="s">
        <v>7</v>
      </c>
      <c r="C610" t="s">
        <v>17</v>
      </c>
      <c r="D610" s="24">
        <v>45931</v>
      </c>
      <c r="E610" t="s">
        <v>236</v>
      </c>
      <c r="F610" t="s">
        <v>4</v>
      </c>
      <c r="G610" t="s">
        <v>217</v>
      </c>
      <c r="H610" t="s">
        <v>217</v>
      </c>
      <c r="I610" t="s">
        <v>275</v>
      </c>
      <c r="J610" s="25">
        <v>0</v>
      </c>
      <c r="K610" s="26">
        <v>0</v>
      </c>
      <c r="L610" s="26">
        <v>0</v>
      </c>
    </row>
    <row r="611" spans="1:12" ht="16" customHeight="1">
      <c r="A611" t="s">
        <v>289</v>
      </c>
      <c r="B611" t="s">
        <v>7</v>
      </c>
      <c r="C611" t="s">
        <v>17</v>
      </c>
      <c r="D611" s="24">
        <v>45931</v>
      </c>
      <c r="E611" t="s">
        <v>238</v>
      </c>
      <c r="F611" t="s">
        <v>4</v>
      </c>
      <c r="G611" t="s">
        <v>217</v>
      </c>
      <c r="H611" t="s">
        <v>217</v>
      </c>
      <c r="I611" t="s">
        <v>276</v>
      </c>
      <c r="J611" s="25">
        <v>0</v>
      </c>
      <c r="K611" s="26">
        <v>0</v>
      </c>
      <c r="L611" s="26">
        <v>0</v>
      </c>
    </row>
    <row r="612" spans="1:12" ht="16" customHeight="1">
      <c r="A612" t="s">
        <v>289</v>
      </c>
      <c r="B612" t="s">
        <v>7</v>
      </c>
      <c r="C612" t="s">
        <v>17</v>
      </c>
      <c r="D612" s="24">
        <v>45931</v>
      </c>
      <c r="E612" t="s">
        <v>240</v>
      </c>
      <c r="F612" t="s">
        <v>3</v>
      </c>
      <c r="G612" t="s">
        <v>241</v>
      </c>
      <c r="H612" t="s">
        <v>241</v>
      </c>
      <c r="I612" t="s">
        <v>277</v>
      </c>
      <c r="J612" s="25">
        <v>0</v>
      </c>
      <c r="K612" s="26">
        <v>0</v>
      </c>
      <c r="L612" s="26">
        <v>0</v>
      </c>
    </row>
    <row r="613" spans="1:12" ht="16" customHeight="1">
      <c r="A613" t="s">
        <v>289</v>
      </c>
      <c r="B613" t="s">
        <v>7</v>
      </c>
      <c r="C613" t="s">
        <v>17</v>
      </c>
      <c r="D613" s="24">
        <v>45931</v>
      </c>
      <c r="E613" t="s">
        <v>243</v>
      </c>
      <c r="F613" t="s">
        <v>4</v>
      </c>
      <c r="G613" t="s">
        <v>217</v>
      </c>
      <c r="H613" t="s">
        <v>217</v>
      </c>
      <c r="I613" t="s">
        <v>278</v>
      </c>
      <c r="J613" s="25">
        <v>0</v>
      </c>
      <c r="K613" s="26">
        <v>0</v>
      </c>
      <c r="L613" s="26">
        <v>0</v>
      </c>
    </row>
    <row r="614" spans="1:12" ht="16" customHeight="1">
      <c r="A614" t="s">
        <v>256</v>
      </c>
      <c r="B614" t="s">
        <v>3</v>
      </c>
      <c r="C614" t="s">
        <v>17</v>
      </c>
      <c r="D614" s="24">
        <v>45931</v>
      </c>
      <c r="E614" t="s">
        <v>256</v>
      </c>
      <c r="F614" t="s">
        <v>3</v>
      </c>
      <c r="G614" t="s">
        <v>241</v>
      </c>
      <c r="H614" t="s">
        <v>241</v>
      </c>
      <c r="I614" t="s">
        <v>212</v>
      </c>
      <c r="J614" s="25">
        <v>311031142</v>
      </c>
      <c r="K614" s="26">
        <v>60324255.590000004</v>
      </c>
      <c r="L614" s="26">
        <v>53824.800000000003</v>
      </c>
    </row>
    <row r="615" spans="1:12" ht="16" customHeight="1">
      <c r="A615" t="s">
        <v>256</v>
      </c>
      <c r="B615" t="s">
        <v>3</v>
      </c>
      <c r="C615" t="s">
        <v>17</v>
      </c>
      <c r="D615" s="24">
        <v>45931</v>
      </c>
      <c r="E615" t="s">
        <v>218</v>
      </c>
      <c r="F615" t="s">
        <v>4</v>
      </c>
      <c r="G615" t="s">
        <v>217</v>
      </c>
      <c r="H615" t="s">
        <v>217</v>
      </c>
      <c r="I615" t="s">
        <v>212</v>
      </c>
      <c r="J615" s="25">
        <v>12681176</v>
      </c>
      <c r="K615" s="26">
        <v>2450352.02</v>
      </c>
      <c r="L615" s="26">
        <v>7679.01</v>
      </c>
    </row>
    <row r="616" spans="1:12" ht="16" customHeight="1">
      <c r="A616" t="s">
        <v>256</v>
      </c>
      <c r="B616" t="s">
        <v>3</v>
      </c>
      <c r="C616" t="s">
        <v>17</v>
      </c>
      <c r="D616" s="24">
        <v>45931</v>
      </c>
      <c r="E616" t="s">
        <v>262</v>
      </c>
      <c r="F616" t="s">
        <v>4</v>
      </c>
      <c r="G616" t="s">
        <v>211</v>
      </c>
      <c r="H616" t="s">
        <v>211</v>
      </c>
      <c r="I616" t="s">
        <v>219</v>
      </c>
      <c r="J616" s="25">
        <v>518155</v>
      </c>
      <c r="K616" s="26">
        <v>100611.68</v>
      </c>
      <c r="L616" s="26">
        <v>481.25</v>
      </c>
    </row>
    <row r="617" spans="1:12" ht="16" customHeight="1">
      <c r="A617" t="s">
        <v>256</v>
      </c>
      <c r="B617" t="s">
        <v>3</v>
      </c>
      <c r="C617" t="s">
        <v>17</v>
      </c>
      <c r="D617" s="24">
        <v>45931</v>
      </c>
      <c r="E617" t="s">
        <v>282</v>
      </c>
      <c r="F617" t="s">
        <v>4</v>
      </c>
      <c r="G617" t="s">
        <v>211</v>
      </c>
      <c r="H617" t="s">
        <v>211</v>
      </c>
      <c r="I617" t="s">
        <v>219</v>
      </c>
      <c r="J617" s="25">
        <v>54089</v>
      </c>
      <c r="K617" s="26">
        <v>10534.14</v>
      </c>
      <c r="L617" s="26">
        <v>65.930000000000007</v>
      </c>
    </row>
    <row r="618" spans="1:12" ht="16" customHeight="1">
      <c r="A618" t="s">
        <v>256</v>
      </c>
      <c r="B618" t="s">
        <v>3</v>
      </c>
      <c r="C618" t="s">
        <v>17</v>
      </c>
      <c r="D618" s="24">
        <v>45931</v>
      </c>
      <c r="E618" t="s">
        <v>287</v>
      </c>
      <c r="F618" t="s">
        <v>4</v>
      </c>
      <c r="G618" t="s">
        <v>211</v>
      </c>
      <c r="H618" t="s">
        <v>211</v>
      </c>
      <c r="I618" t="s">
        <v>219</v>
      </c>
      <c r="J618" s="25">
        <v>7350</v>
      </c>
      <c r="K618" s="26">
        <v>1427.21</v>
      </c>
      <c r="L618" s="26">
        <v>9.2799999999999994</v>
      </c>
    </row>
    <row r="619" spans="1:12" ht="16" customHeight="1">
      <c r="A619" t="s">
        <v>256</v>
      </c>
      <c r="B619" t="s">
        <v>3</v>
      </c>
      <c r="C619" t="s">
        <v>17</v>
      </c>
      <c r="D619" s="24">
        <v>45931</v>
      </c>
      <c r="E619" t="s">
        <v>220</v>
      </c>
      <c r="F619" t="s">
        <v>4</v>
      </c>
      <c r="G619" t="s">
        <v>217</v>
      </c>
      <c r="H619" t="s">
        <v>217</v>
      </c>
      <c r="I619" t="s">
        <v>219</v>
      </c>
      <c r="J619" s="25">
        <v>566262</v>
      </c>
      <c r="K619" s="26">
        <v>109552.2</v>
      </c>
      <c r="L619" s="26">
        <v>880.95</v>
      </c>
    </row>
    <row r="620" spans="1:12" ht="16" customHeight="1">
      <c r="A620" t="s">
        <v>256</v>
      </c>
      <c r="B620" t="s">
        <v>3</v>
      </c>
      <c r="C620" t="s">
        <v>17</v>
      </c>
      <c r="D620" s="24">
        <v>45931</v>
      </c>
      <c r="E620" t="s">
        <v>222</v>
      </c>
      <c r="F620" t="s">
        <v>4</v>
      </c>
      <c r="G620" t="s">
        <v>217</v>
      </c>
      <c r="H620" t="s">
        <v>217</v>
      </c>
      <c r="I620" t="s">
        <v>221</v>
      </c>
      <c r="J620" s="25">
        <v>206805</v>
      </c>
      <c r="K620" s="26">
        <v>39841.18</v>
      </c>
      <c r="L620" s="26">
        <v>442.95</v>
      </c>
    </row>
    <row r="621" spans="1:12" ht="16" customHeight="1">
      <c r="A621" t="s">
        <v>256</v>
      </c>
      <c r="B621" t="s">
        <v>3</v>
      </c>
      <c r="C621" t="s">
        <v>17</v>
      </c>
      <c r="D621" s="24">
        <v>45931</v>
      </c>
      <c r="E621" t="s">
        <v>224</v>
      </c>
      <c r="F621" t="s">
        <v>4</v>
      </c>
      <c r="G621" t="s">
        <v>217</v>
      </c>
      <c r="H621" t="s">
        <v>217</v>
      </c>
      <c r="I621" t="s">
        <v>267</v>
      </c>
      <c r="J621" s="25">
        <v>27904</v>
      </c>
      <c r="K621" s="26">
        <v>5545.71</v>
      </c>
      <c r="L621" s="26">
        <v>99.23</v>
      </c>
    </row>
    <row r="622" spans="1:12" ht="16" customHeight="1">
      <c r="A622" t="s">
        <v>256</v>
      </c>
      <c r="B622" t="s">
        <v>3</v>
      </c>
      <c r="C622" t="s">
        <v>17</v>
      </c>
      <c r="D622" s="24">
        <v>45931</v>
      </c>
      <c r="E622" t="s">
        <v>226</v>
      </c>
      <c r="F622" t="s">
        <v>4</v>
      </c>
      <c r="G622" t="s">
        <v>217</v>
      </c>
      <c r="H622" t="s">
        <v>217</v>
      </c>
      <c r="I622" t="s">
        <v>268</v>
      </c>
      <c r="J622" s="25">
        <v>6572</v>
      </c>
      <c r="K622" s="26">
        <v>1305.57</v>
      </c>
      <c r="L622" s="26">
        <v>35.08</v>
      </c>
    </row>
    <row r="623" spans="1:12" ht="16" customHeight="1">
      <c r="A623" t="s">
        <v>256</v>
      </c>
      <c r="B623" t="s">
        <v>3</v>
      </c>
      <c r="C623" t="s">
        <v>17</v>
      </c>
      <c r="D623" s="24">
        <v>45931</v>
      </c>
      <c r="E623" t="s">
        <v>269</v>
      </c>
      <c r="F623" t="s">
        <v>4</v>
      </c>
      <c r="G623" t="s">
        <v>217</v>
      </c>
      <c r="H623" t="s">
        <v>217</v>
      </c>
      <c r="I623" t="s">
        <v>270</v>
      </c>
      <c r="J623" s="25">
        <v>0</v>
      </c>
      <c r="K623" s="26">
        <v>0</v>
      </c>
      <c r="L623" s="26">
        <v>0</v>
      </c>
    </row>
    <row r="624" spans="1:12" ht="16" customHeight="1">
      <c r="A624" t="s">
        <v>256</v>
      </c>
      <c r="B624" t="s">
        <v>3</v>
      </c>
      <c r="C624" t="s">
        <v>17</v>
      </c>
      <c r="D624" s="24">
        <v>45931</v>
      </c>
      <c r="E624" t="s">
        <v>228</v>
      </c>
      <c r="F624" t="s">
        <v>4</v>
      </c>
      <c r="G624" t="s">
        <v>217</v>
      </c>
      <c r="H624" t="s">
        <v>217</v>
      </c>
      <c r="I624" t="s">
        <v>271</v>
      </c>
      <c r="J624" s="25">
        <v>1764</v>
      </c>
      <c r="K624" s="26">
        <v>352.43</v>
      </c>
      <c r="L624" s="26">
        <v>11.41</v>
      </c>
    </row>
    <row r="625" spans="1:12" ht="16" customHeight="1">
      <c r="A625" t="s">
        <v>256</v>
      </c>
      <c r="B625" t="s">
        <v>3</v>
      </c>
      <c r="C625" t="s">
        <v>17</v>
      </c>
      <c r="D625" s="24">
        <v>45931</v>
      </c>
      <c r="E625" t="s">
        <v>230</v>
      </c>
      <c r="F625" t="s">
        <v>4</v>
      </c>
      <c r="G625" t="s">
        <v>217</v>
      </c>
      <c r="H625" t="s">
        <v>217</v>
      </c>
      <c r="I625" t="s">
        <v>272</v>
      </c>
      <c r="J625" s="25">
        <v>0</v>
      </c>
      <c r="K625" s="26">
        <v>0</v>
      </c>
      <c r="L625" s="26">
        <v>0</v>
      </c>
    </row>
    <row r="626" spans="1:12" ht="16" customHeight="1">
      <c r="A626" t="s">
        <v>256</v>
      </c>
      <c r="B626" t="s">
        <v>3</v>
      </c>
      <c r="C626" t="s">
        <v>17</v>
      </c>
      <c r="D626" s="24">
        <v>45931</v>
      </c>
      <c r="E626" t="s">
        <v>232</v>
      </c>
      <c r="F626" t="s">
        <v>4</v>
      </c>
      <c r="G626" t="s">
        <v>217</v>
      </c>
      <c r="H626" t="s">
        <v>217</v>
      </c>
      <c r="I626" t="s">
        <v>273</v>
      </c>
      <c r="J626" s="25">
        <v>0</v>
      </c>
      <c r="K626" s="26">
        <v>0</v>
      </c>
      <c r="L626" s="26">
        <v>0</v>
      </c>
    </row>
    <row r="627" spans="1:12" ht="16" customHeight="1">
      <c r="A627" t="s">
        <v>256</v>
      </c>
      <c r="B627" t="s">
        <v>3</v>
      </c>
      <c r="C627" t="s">
        <v>17</v>
      </c>
      <c r="D627" s="24">
        <v>45931</v>
      </c>
      <c r="E627" t="s">
        <v>234</v>
      </c>
      <c r="F627" t="s">
        <v>4</v>
      </c>
      <c r="G627" t="s">
        <v>217</v>
      </c>
      <c r="H627" t="s">
        <v>217</v>
      </c>
      <c r="I627" t="s">
        <v>274</v>
      </c>
      <c r="J627" s="25">
        <v>0</v>
      </c>
      <c r="K627" s="26">
        <v>0</v>
      </c>
      <c r="L627" s="26">
        <v>0</v>
      </c>
    </row>
    <row r="628" spans="1:12" ht="16" customHeight="1">
      <c r="A628" t="s">
        <v>256</v>
      </c>
      <c r="B628" t="s">
        <v>3</v>
      </c>
      <c r="C628" t="s">
        <v>17</v>
      </c>
      <c r="D628" s="24">
        <v>45931</v>
      </c>
      <c r="E628" t="s">
        <v>236</v>
      </c>
      <c r="F628" t="s">
        <v>4</v>
      </c>
      <c r="G628" t="s">
        <v>217</v>
      </c>
      <c r="H628" t="s">
        <v>217</v>
      </c>
      <c r="I628" t="s">
        <v>275</v>
      </c>
      <c r="J628" s="25">
        <v>5</v>
      </c>
      <c r="K628" s="26">
        <v>1.01</v>
      </c>
      <c r="L628" s="26">
        <v>0.04</v>
      </c>
    </row>
    <row r="629" spans="1:12" ht="16" customHeight="1">
      <c r="A629" t="s">
        <v>256</v>
      </c>
      <c r="B629" t="s">
        <v>3</v>
      </c>
      <c r="C629" t="s">
        <v>17</v>
      </c>
      <c r="D629" s="24">
        <v>45931</v>
      </c>
      <c r="E629" t="s">
        <v>238</v>
      </c>
      <c r="F629" t="s">
        <v>4</v>
      </c>
      <c r="G629" t="s">
        <v>217</v>
      </c>
      <c r="H629" t="s">
        <v>217</v>
      </c>
      <c r="I629" t="s">
        <v>276</v>
      </c>
      <c r="J629" s="25">
        <v>0</v>
      </c>
      <c r="K629" s="26">
        <v>0</v>
      </c>
      <c r="L629" s="26">
        <v>0</v>
      </c>
    </row>
    <row r="630" spans="1:12" ht="16" customHeight="1">
      <c r="A630" t="s">
        <v>256</v>
      </c>
      <c r="B630" t="s">
        <v>3</v>
      </c>
      <c r="C630" t="s">
        <v>17</v>
      </c>
      <c r="D630" s="24">
        <v>45931</v>
      </c>
      <c r="E630" t="s">
        <v>240</v>
      </c>
      <c r="F630" t="s">
        <v>3</v>
      </c>
      <c r="G630" t="s">
        <v>241</v>
      </c>
      <c r="H630" t="s">
        <v>241</v>
      </c>
      <c r="I630" t="s">
        <v>277</v>
      </c>
      <c r="J630" s="25">
        <v>0</v>
      </c>
      <c r="K630" s="26">
        <v>0</v>
      </c>
      <c r="L630" s="26">
        <v>0</v>
      </c>
    </row>
    <row r="631" spans="1:12" ht="16" customHeight="1">
      <c r="A631" t="s">
        <v>256</v>
      </c>
      <c r="B631" t="s">
        <v>3</v>
      </c>
      <c r="C631" t="s">
        <v>17</v>
      </c>
      <c r="D631" s="24">
        <v>45931</v>
      </c>
      <c r="E631" t="s">
        <v>243</v>
      </c>
      <c r="F631" t="s">
        <v>4</v>
      </c>
      <c r="G631" t="s">
        <v>217</v>
      </c>
      <c r="H631" t="s">
        <v>217</v>
      </c>
      <c r="I631" t="s">
        <v>278</v>
      </c>
      <c r="J631" s="25">
        <v>0</v>
      </c>
      <c r="K631" s="26">
        <v>0</v>
      </c>
      <c r="L631" s="26">
        <v>0</v>
      </c>
    </row>
    <row r="632" spans="1:12" ht="16" customHeight="1">
      <c r="A632" t="s">
        <v>290</v>
      </c>
      <c r="B632" t="s">
        <v>4</v>
      </c>
      <c r="C632" t="s">
        <v>17</v>
      </c>
      <c r="D632" s="24">
        <v>45931</v>
      </c>
      <c r="E632" t="s">
        <v>218</v>
      </c>
      <c r="F632" t="s">
        <v>4</v>
      </c>
      <c r="G632" t="s">
        <v>217</v>
      </c>
      <c r="H632" t="s">
        <v>217</v>
      </c>
      <c r="I632" t="s">
        <v>212</v>
      </c>
      <c r="J632" s="25">
        <v>11563142</v>
      </c>
      <c r="K632" s="26">
        <v>2250242.71</v>
      </c>
      <c r="L632" s="26">
        <v>5433.21</v>
      </c>
    </row>
    <row r="633" spans="1:12" ht="16" customHeight="1">
      <c r="A633" t="s">
        <v>290</v>
      </c>
      <c r="B633" t="s">
        <v>4</v>
      </c>
      <c r="C633" t="s">
        <v>17</v>
      </c>
      <c r="D633" s="24">
        <v>45931</v>
      </c>
      <c r="E633" t="s">
        <v>262</v>
      </c>
      <c r="F633" t="s">
        <v>4</v>
      </c>
      <c r="G633" t="s">
        <v>211</v>
      </c>
      <c r="H633" t="s">
        <v>211</v>
      </c>
      <c r="I633" t="s">
        <v>219</v>
      </c>
      <c r="J633" s="25">
        <v>293585</v>
      </c>
      <c r="K633" s="26">
        <v>57323.21</v>
      </c>
      <c r="L633" s="26">
        <v>269.08</v>
      </c>
    </row>
    <row r="634" spans="1:12" ht="16" customHeight="1">
      <c r="A634" t="s">
        <v>290</v>
      </c>
      <c r="B634" t="s">
        <v>4</v>
      </c>
      <c r="C634" t="s">
        <v>17</v>
      </c>
      <c r="D634" s="24">
        <v>45931</v>
      </c>
      <c r="E634" t="s">
        <v>282</v>
      </c>
      <c r="F634" t="s">
        <v>4</v>
      </c>
      <c r="G634" t="s">
        <v>211</v>
      </c>
      <c r="H634" t="s">
        <v>211</v>
      </c>
      <c r="I634" t="s">
        <v>219</v>
      </c>
      <c r="J634" s="25">
        <v>19983</v>
      </c>
      <c r="K634" s="26">
        <v>3899.38</v>
      </c>
      <c r="L634" s="26">
        <v>20.5</v>
      </c>
    </row>
    <row r="635" spans="1:12" ht="16" customHeight="1">
      <c r="A635" t="s">
        <v>290</v>
      </c>
      <c r="B635" t="s">
        <v>4</v>
      </c>
      <c r="C635" t="s">
        <v>17</v>
      </c>
      <c r="D635" s="24">
        <v>45931</v>
      </c>
      <c r="E635" t="s">
        <v>287</v>
      </c>
      <c r="F635" t="s">
        <v>4</v>
      </c>
      <c r="G635" t="s">
        <v>211</v>
      </c>
      <c r="H635" t="s">
        <v>211</v>
      </c>
      <c r="I635" t="s">
        <v>219</v>
      </c>
      <c r="J635" s="25">
        <v>2113</v>
      </c>
      <c r="K635" s="26">
        <v>410.28</v>
      </c>
      <c r="L635" s="26">
        <v>2.4</v>
      </c>
    </row>
    <row r="636" spans="1:12" ht="16" customHeight="1">
      <c r="A636" t="s">
        <v>290</v>
      </c>
      <c r="B636" t="s">
        <v>4</v>
      </c>
      <c r="C636" t="s">
        <v>17</v>
      </c>
      <c r="D636" s="24">
        <v>45931</v>
      </c>
      <c r="E636" t="s">
        <v>220</v>
      </c>
      <c r="F636" t="s">
        <v>4</v>
      </c>
      <c r="G636" t="s">
        <v>217</v>
      </c>
      <c r="H636" t="s">
        <v>217</v>
      </c>
      <c r="I636" t="s">
        <v>219</v>
      </c>
      <c r="J636" s="25">
        <v>118482</v>
      </c>
      <c r="K636" s="26">
        <v>23044.04</v>
      </c>
      <c r="L636" s="26">
        <v>174.19</v>
      </c>
    </row>
    <row r="637" spans="1:12" ht="16" customHeight="1">
      <c r="A637" t="s">
        <v>290</v>
      </c>
      <c r="B637" t="s">
        <v>4</v>
      </c>
      <c r="C637" t="s">
        <v>17</v>
      </c>
      <c r="D637" s="24">
        <v>45931</v>
      </c>
      <c r="E637" t="s">
        <v>291</v>
      </c>
      <c r="F637" t="s">
        <v>4</v>
      </c>
      <c r="G637" t="s">
        <v>211</v>
      </c>
      <c r="H637" t="s">
        <v>211</v>
      </c>
      <c r="I637" t="s">
        <v>221</v>
      </c>
      <c r="J637" s="25">
        <v>6</v>
      </c>
      <c r="K637" s="26">
        <v>1.1499999999999999</v>
      </c>
      <c r="L637" s="26">
        <v>0.01</v>
      </c>
    </row>
    <row r="638" spans="1:12" ht="16" customHeight="1">
      <c r="A638" t="s">
        <v>290</v>
      </c>
      <c r="B638" t="s">
        <v>4</v>
      </c>
      <c r="C638" t="s">
        <v>17</v>
      </c>
      <c r="D638" s="24">
        <v>45931</v>
      </c>
      <c r="E638" t="s">
        <v>222</v>
      </c>
      <c r="F638" t="s">
        <v>4</v>
      </c>
      <c r="G638" t="s">
        <v>217</v>
      </c>
      <c r="H638" t="s">
        <v>217</v>
      </c>
      <c r="I638" t="s">
        <v>221</v>
      </c>
      <c r="J638" s="25">
        <v>32684</v>
      </c>
      <c r="K638" s="26">
        <v>6345.87</v>
      </c>
      <c r="L638" s="26">
        <v>64.84</v>
      </c>
    </row>
    <row r="639" spans="1:12" ht="16" customHeight="1">
      <c r="A639" t="s">
        <v>290</v>
      </c>
      <c r="B639" t="s">
        <v>4</v>
      </c>
      <c r="C639" t="s">
        <v>17</v>
      </c>
      <c r="D639" s="24">
        <v>45931</v>
      </c>
      <c r="E639" t="s">
        <v>224</v>
      </c>
      <c r="F639" t="s">
        <v>4</v>
      </c>
      <c r="G639" t="s">
        <v>217</v>
      </c>
      <c r="H639" t="s">
        <v>217</v>
      </c>
      <c r="I639" t="s">
        <v>267</v>
      </c>
      <c r="J639" s="25">
        <v>4482</v>
      </c>
      <c r="K639" s="26">
        <v>902.26</v>
      </c>
      <c r="L639" s="26">
        <v>13.83</v>
      </c>
    </row>
    <row r="640" spans="1:12" ht="16" customHeight="1">
      <c r="A640" t="s">
        <v>290</v>
      </c>
      <c r="B640" t="s">
        <v>4</v>
      </c>
      <c r="C640" t="s">
        <v>17</v>
      </c>
      <c r="D640" s="24">
        <v>45931</v>
      </c>
      <c r="E640" t="s">
        <v>226</v>
      </c>
      <c r="F640" t="s">
        <v>4</v>
      </c>
      <c r="G640" t="s">
        <v>217</v>
      </c>
      <c r="H640" t="s">
        <v>217</v>
      </c>
      <c r="I640" t="s">
        <v>268</v>
      </c>
      <c r="J640" s="25">
        <v>966</v>
      </c>
      <c r="K640" s="26">
        <v>190.48</v>
      </c>
      <c r="L640" s="26">
        <v>3.29</v>
      </c>
    </row>
    <row r="641" spans="1:12" ht="16" customHeight="1">
      <c r="A641" t="s">
        <v>290</v>
      </c>
      <c r="B641" t="s">
        <v>4</v>
      </c>
      <c r="C641" t="s">
        <v>17</v>
      </c>
      <c r="D641" s="24">
        <v>45931</v>
      </c>
      <c r="E641" t="s">
        <v>269</v>
      </c>
      <c r="F641" t="s">
        <v>4</v>
      </c>
      <c r="G641" t="s">
        <v>217</v>
      </c>
      <c r="H641" t="s">
        <v>217</v>
      </c>
      <c r="I641" t="s">
        <v>270</v>
      </c>
      <c r="J641" s="25">
        <v>0</v>
      </c>
      <c r="K641" s="26">
        <v>0</v>
      </c>
      <c r="L641" s="26">
        <v>0</v>
      </c>
    </row>
    <row r="642" spans="1:12" ht="16" customHeight="1">
      <c r="A642" t="s">
        <v>290</v>
      </c>
      <c r="B642" t="s">
        <v>4</v>
      </c>
      <c r="C642" t="s">
        <v>17</v>
      </c>
      <c r="D642" s="24">
        <v>45931</v>
      </c>
      <c r="E642" t="s">
        <v>228</v>
      </c>
      <c r="F642" t="s">
        <v>4</v>
      </c>
      <c r="G642" t="s">
        <v>217</v>
      </c>
      <c r="H642" t="s">
        <v>217</v>
      </c>
      <c r="I642" t="s">
        <v>271</v>
      </c>
      <c r="J642" s="25">
        <v>325</v>
      </c>
      <c r="K642" s="26">
        <v>67.45</v>
      </c>
      <c r="L642" s="26">
        <v>2.31</v>
      </c>
    </row>
    <row r="643" spans="1:12" ht="16" customHeight="1">
      <c r="A643" t="s">
        <v>290</v>
      </c>
      <c r="B643" t="s">
        <v>4</v>
      </c>
      <c r="C643" t="s">
        <v>17</v>
      </c>
      <c r="D643" s="24">
        <v>45931</v>
      </c>
      <c r="E643" t="s">
        <v>230</v>
      </c>
      <c r="F643" t="s">
        <v>4</v>
      </c>
      <c r="G643" t="s">
        <v>217</v>
      </c>
      <c r="H643" t="s">
        <v>217</v>
      </c>
      <c r="I643" t="s">
        <v>272</v>
      </c>
      <c r="J643" s="25">
        <v>0</v>
      </c>
      <c r="K643" s="26">
        <v>0</v>
      </c>
      <c r="L643" s="26">
        <v>0</v>
      </c>
    </row>
    <row r="644" spans="1:12" ht="16" customHeight="1">
      <c r="A644" t="s">
        <v>290</v>
      </c>
      <c r="B644" t="s">
        <v>4</v>
      </c>
      <c r="C644" t="s">
        <v>17</v>
      </c>
      <c r="D644" s="24">
        <v>45931</v>
      </c>
      <c r="E644" t="s">
        <v>232</v>
      </c>
      <c r="F644" t="s">
        <v>4</v>
      </c>
      <c r="G644" t="s">
        <v>217</v>
      </c>
      <c r="H644" t="s">
        <v>217</v>
      </c>
      <c r="I644" t="s">
        <v>273</v>
      </c>
      <c r="J644" s="25">
        <v>0</v>
      </c>
      <c r="K644" s="26">
        <v>0</v>
      </c>
      <c r="L644" s="26">
        <v>0</v>
      </c>
    </row>
    <row r="645" spans="1:12" ht="16" customHeight="1">
      <c r="A645" t="s">
        <v>290</v>
      </c>
      <c r="B645" t="s">
        <v>4</v>
      </c>
      <c r="C645" t="s">
        <v>17</v>
      </c>
      <c r="D645" s="24">
        <v>45931</v>
      </c>
      <c r="E645" t="s">
        <v>234</v>
      </c>
      <c r="F645" t="s">
        <v>4</v>
      </c>
      <c r="G645" t="s">
        <v>217</v>
      </c>
      <c r="H645" t="s">
        <v>217</v>
      </c>
      <c r="I645" t="s">
        <v>274</v>
      </c>
      <c r="J645" s="25">
        <v>0</v>
      </c>
      <c r="K645" s="26">
        <v>0</v>
      </c>
      <c r="L645" s="26">
        <v>0</v>
      </c>
    </row>
    <row r="646" spans="1:12" ht="16" customHeight="1">
      <c r="A646" t="s">
        <v>290</v>
      </c>
      <c r="B646" t="s">
        <v>4</v>
      </c>
      <c r="C646" t="s">
        <v>17</v>
      </c>
      <c r="D646" s="24">
        <v>45931</v>
      </c>
      <c r="E646" t="s">
        <v>236</v>
      </c>
      <c r="F646" t="s">
        <v>4</v>
      </c>
      <c r="G646" t="s">
        <v>217</v>
      </c>
      <c r="H646" t="s">
        <v>217</v>
      </c>
      <c r="I646" t="s">
        <v>275</v>
      </c>
      <c r="J646" s="25">
        <v>0</v>
      </c>
      <c r="K646" s="26">
        <v>0</v>
      </c>
      <c r="L646" s="26">
        <v>0</v>
      </c>
    </row>
    <row r="647" spans="1:12" ht="16" customHeight="1">
      <c r="A647" t="s">
        <v>290</v>
      </c>
      <c r="B647" t="s">
        <v>4</v>
      </c>
      <c r="C647" t="s">
        <v>17</v>
      </c>
      <c r="D647" s="24">
        <v>45931</v>
      </c>
      <c r="E647" t="s">
        <v>238</v>
      </c>
      <c r="F647" t="s">
        <v>4</v>
      </c>
      <c r="G647" t="s">
        <v>217</v>
      </c>
      <c r="H647" t="s">
        <v>217</v>
      </c>
      <c r="I647" t="s">
        <v>276</v>
      </c>
      <c r="J647" s="25">
        <v>0</v>
      </c>
      <c r="K647" s="26">
        <v>0</v>
      </c>
      <c r="L647" s="26">
        <v>0</v>
      </c>
    </row>
    <row r="648" spans="1:12" ht="16" customHeight="1">
      <c r="A648" t="s">
        <v>290</v>
      </c>
      <c r="B648" t="s">
        <v>4</v>
      </c>
      <c r="C648" t="s">
        <v>17</v>
      </c>
      <c r="D648" s="24">
        <v>45931</v>
      </c>
      <c r="E648" t="s">
        <v>240</v>
      </c>
      <c r="F648" t="s">
        <v>3</v>
      </c>
      <c r="G648" t="s">
        <v>241</v>
      </c>
      <c r="H648" t="s">
        <v>241</v>
      </c>
      <c r="I648" t="s">
        <v>277</v>
      </c>
      <c r="J648" s="25">
        <v>0</v>
      </c>
      <c r="K648" s="26">
        <v>0</v>
      </c>
      <c r="L648" s="26">
        <v>0</v>
      </c>
    </row>
    <row r="649" spans="1:12" ht="16" customHeight="1">
      <c r="A649" t="s">
        <v>290</v>
      </c>
      <c r="B649" t="s">
        <v>4</v>
      </c>
      <c r="C649" t="s">
        <v>17</v>
      </c>
      <c r="D649" s="24">
        <v>45931</v>
      </c>
      <c r="E649" t="s">
        <v>243</v>
      </c>
      <c r="F649" t="s">
        <v>4</v>
      </c>
      <c r="G649" t="s">
        <v>217</v>
      </c>
      <c r="H649" t="s">
        <v>217</v>
      </c>
      <c r="I649" t="s">
        <v>278</v>
      </c>
      <c r="J649" s="25">
        <v>0</v>
      </c>
      <c r="K649" s="26">
        <v>0</v>
      </c>
      <c r="L649" s="26">
        <v>0</v>
      </c>
    </row>
    <row r="650" spans="1:12" ht="16" customHeight="1">
      <c r="A650" t="s">
        <v>292</v>
      </c>
      <c r="B650" t="s">
        <v>6</v>
      </c>
      <c r="C650" t="s">
        <v>18</v>
      </c>
      <c r="D650" s="24">
        <v>45931</v>
      </c>
      <c r="E650" t="s">
        <v>218</v>
      </c>
      <c r="F650" t="s">
        <v>4</v>
      </c>
      <c r="G650" t="s">
        <v>217</v>
      </c>
      <c r="H650" t="s">
        <v>261</v>
      </c>
      <c r="I650" t="s">
        <v>212</v>
      </c>
      <c r="J650" s="25">
        <v>63610577</v>
      </c>
      <c r="K650" s="26">
        <v>12416321.77</v>
      </c>
      <c r="L650" s="26">
        <v>32036.55</v>
      </c>
    </row>
    <row r="651" spans="1:12" ht="16" customHeight="1">
      <c r="A651" t="s">
        <v>292</v>
      </c>
      <c r="B651" t="s">
        <v>6</v>
      </c>
      <c r="C651" t="s">
        <v>18</v>
      </c>
      <c r="D651" s="24">
        <v>45931</v>
      </c>
      <c r="E651" t="s">
        <v>262</v>
      </c>
      <c r="F651" t="s">
        <v>4</v>
      </c>
      <c r="G651" t="s">
        <v>211</v>
      </c>
      <c r="H651" t="s">
        <v>211</v>
      </c>
      <c r="I651" t="s">
        <v>219</v>
      </c>
      <c r="J651" s="25">
        <v>2560294</v>
      </c>
      <c r="K651" s="26">
        <v>503176.3</v>
      </c>
      <c r="L651" s="26">
        <v>2199.31</v>
      </c>
    </row>
    <row r="652" spans="1:12" ht="16" customHeight="1">
      <c r="A652" t="s">
        <v>292</v>
      </c>
      <c r="B652" t="s">
        <v>6</v>
      </c>
      <c r="C652" t="s">
        <v>18</v>
      </c>
      <c r="D652" s="24">
        <v>45931</v>
      </c>
      <c r="E652" t="s">
        <v>282</v>
      </c>
      <c r="F652" t="s">
        <v>4</v>
      </c>
      <c r="G652" t="s">
        <v>211</v>
      </c>
      <c r="H652" t="s">
        <v>211</v>
      </c>
      <c r="I652" t="s">
        <v>219</v>
      </c>
      <c r="J652" s="25">
        <v>180008</v>
      </c>
      <c r="K652" s="26">
        <v>35464.36</v>
      </c>
      <c r="L652" s="26">
        <v>219.26</v>
      </c>
    </row>
    <row r="653" spans="1:12" ht="16" customHeight="1">
      <c r="A653" t="s">
        <v>292</v>
      </c>
      <c r="B653" t="s">
        <v>6</v>
      </c>
      <c r="C653" t="s">
        <v>18</v>
      </c>
      <c r="D653" s="24">
        <v>45931</v>
      </c>
      <c r="E653" t="s">
        <v>287</v>
      </c>
      <c r="F653" t="s">
        <v>4</v>
      </c>
      <c r="G653" t="s">
        <v>211</v>
      </c>
      <c r="H653" t="s">
        <v>211</v>
      </c>
      <c r="I653" t="s">
        <v>219</v>
      </c>
      <c r="J653" s="25">
        <v>19548</v>
      </c>
      <c r="K653" s="26">
        <v>3835.66</v>
      </c>
      <c r="L653" s="26">
        <v>24.58</v>
      </c>
    </row>
    <row r="654" spans="1:12" ht="16" customHeight="1">
      <c r="A654" t="s">
        <v>292</v>
      </c>
      <c r="B654" t="s">
        <v>6</v>
      </c>
      <c r="C654" t="s">
        <v>18</v>
      </c>
      <c r="D654" s="24">
        <v>45931</v>
      </c>
      <c r="E654" t="s">
        <v>220</v>
      </c>
      <c r="F654" t="s">
        <v>4</v>
      </c>
      <c r="G654" t="s">
        <v>217</v>
      </c>
      <c r="H654" t="s">
        <v>217</v>
      </c>
      <c r="I654" t="s">
        <v>219</v>
      </c>
      <c r="J654" s="25">
        <v>911423</v>
      </c>
      <c r="K654" s="26">
        <v>177498.31</v>
      </c>
      <c r="L654" s="26">
        <v>1371.44</v>
      </c>
    </row>
    <row r="655" spans="1:12" ht="16" customHeight="1">
      <c r="A655" t="s">
        <v>292</v>
      </c>
      <c r="B655" t="s">
        <v>6</v>
      </c>
      <c r="C655" t="s">
        <v>18</v>
      </c>
      <c r="D655" s="24">
        <v>45931</v>
      </c>
      <c r="E655" t="s">
        <v>291</v>
      </c>
      <c r="F655" t="s">
        <v>4</v>
      </c>
      <c r="G655" t="s">
        <v>211</v>
      </c>
      <c r="H655" t="s">
        <v>211</v>
      </c>
      <c r="I655" t="s">
        <v>221</v>
      </c>
      <c r="J655" s="25">
        <v>823</v>
      </c>
      <c r="K655" s="26">
        <v>161.52000000000001</v>
      </c>
      <c r="L655" s="26">
        <v>1.56</v>
      </c>
    </row>
    <row r="656" spans="1:12" ht="16" customHeight="1">
      <c r="A656" t="s">
        <v>292</v>
      </c>
      <c r="B656" t="s">
        <v>6</v>
      </c>
      <c r="C656" t="s">
        <v>18</v>
      </c>
      <c r="D656" s="24">
        <v>45931</v>
      </c>
      <c r="E656" t="s">
        <v>222</v>
      </c>
      <c r="F656" t="s">
        <v>4</v>
      </c>
      <c r="G656" t="s">
        <v>217</v>
      </c>
      <c r="H656" t="s">
        <v>217</v>
      </c>
      <c r="I656" t="s">
        <v>221</v>
      </c>
      <c r="J656" s="25">
        <v>278799</v>
      </c>
      <c r="K656" s="26">
        <v>54046.16</v>
      </c>
      <c r="L656" s="26">
        <v>553.6</v>
      </c>
    </row>
    <row r="657" spans="1:12" ht="16" customHeight="1">
      <c r="A657" t="s">
        <v>292</v>
      </c>
      <c r="B657" t="s">
        <v>6</v>
      </c>
      <c r="C657" t="s">
        <v>18</v>
      </c>
      <c r="D657" s="24">
        <v>45931</v>
      </c>
      <c r="E657" t="s">
        <v>224</v>
      </c>
      <c r="F657" t="s">
        <v>4</v>
      </c>
      <c r="G657" t="s">
        <v>217</v>
      </c>
      <c r="H657" t="s">
        <v>217</v>
      </c>
      <c r="I657" t="s">
        <v>267</v>
      </c>
      <c r="J657" s="25">
        <v>33216</v>
      </c>
      <c r="K657" s="26">
        <v>6555.13</v>
      </c>
      <c r="L657" s="26">
        <v>101.08</v>
      </c>
    </row>
    <row r="658" spans="1:12" ht="16" customHeight="1">
      <c r="A658" t="s">
        <v>292</v>
      </c>
      <c r="B658" t="s">
        <v>6</v>
      </c>
      <c r="C658" t="s">
        <v>18</v>
      </c>
      <c r="D658" s="24">
        <v>45931</v>
      </c>
      <c r="E658" t="s">
        <v>226</v>
      </c>
      <c r="F658" t="s">
        <v>4</v>
      </c>
      <c r="G658" t="s">
        <v>217</v>
      </c>
      <c r="H658" t="s">
        <v>217</v>
      </c>
      <c r="I658" t="s">
        <v>268</v>
      </c>
      <c r="J658" s="25">
        <v>7074</v>
      </c>
      <c r="K658" s="26">
        <v>1431.34</v>
      </c>
      <c r="L658" s="26">
        <v>43.04</v>
      </c>
    </row>
    <row r="659" spans="1:12" ht="16" customHeight="1">
      <c r="A659" t="s">
        <v>292</v>
      </c>
      <c r="B659" t="s">
        <v>6</v>
      </c>
      <c r="C659" t="s">
        <v>18</v>
      </c>
      <c r="D659" s="24">
        <v>45931</v>
      </c>
      <c r="E659" t="s">
        <v>269</v>
      </c>
      <c r="F659" t="s">
        <v>4</v>
      </c>
      <c r="G659" t="s">
        <v>217</v>
      </c>
      <c r="H659" t="s">
        <v>217</v>
      </c>
      <c r="I659" t="s">
        <v>270</v>
      </c>
      <c r="J659" s="25">
        <v>0</v>
      </c>
      <c r="K659" s="26">
        <v>0</v>
      </c>
      <c r="L659" s="26">
        <v>0</v>
      </c>
    </row>
    <row r="660" spans="1:12" ht="16" customHeight="1">
      <c r="A660" t="s">
        <v>292</v>
      </c>
      <c r="B660" t="s">
        <v>6</v>
      </c>
      <c r="C660" t="s">
        <v>18</v>
      </c>
      <c r="D660" s="24">
        <v>45931</v>
      </c>
      <c r="E660" t="s">
        <v>228</v>
      </c>
      <c r="F660" t="s">
        <v>4</v>
      </c>
      <c r="G660" t="s">
        <v>217</v>
      </c>
      <c r="H660" t="s">
        <v>217</v>
      </c>
      <c r="I660" t="s">
        <v>271</v>
      </c>
      <c r="J660" s="25">
        <v>3413</v>
      </c>
      <c r="K660" s="26">
        <v>686.46</v>
      </c>
      <c r="L660" s="26">
        <v>20.51</v>
      </c>
    </row>
    <row r="661" spans="1:12" ht="16" customHeight="1">
      <c r="A661" t="s">
        <v>292</v>
      </c>
      <c r="B661" t="s">
        <v>6</v>
      </c>
      <c r="C661" t="s">
        <v>18</v>
      </c>
      <c r="D661" s="24">
        <v>45931</v>
      </c>
      <c r="E661" t="s">
        <v>230</v>
      </c>
      <c r="F661" t="s">
        <v>4</v>
      </c>
      <c r="G661" t="s">
        <v>217</v>
      </c>
      <c r="H661" t="s">
        <v>217</v>
      </c>
      <c r="I661" t="s">
        <v>272</v>
      </c>
      <c r="J661" s="25">
        <v>0</v>
      </c>
      <c r="K661" s="26">
        <v>0</v>
      </c>
      <c r="L661" s="26">
        <v>0</v>
      </c>
    </row>
    <row r="662" spans="1:12" ht="16" customHeight="1">
      <c r="A662" t="s">
        <v>292</v>
      </c>
      <c r="B662" t="s">
        <v>6</v>
      </c>
      <c r="C662" t="s">
        <v>18</v>
      </c>
      <c r="D662" s="24">
        <v>45931</v>
      </c>
      <c r="E662" t="s">
        <v>232</v>
      </c>
      <c r="F662" t="s">
        <v>4</v>
      </c>
      <c r="G662" t="s">
        <v>217</v>
      </c>
      <c r="H662" t="s">
        <v>217</v>
      </c>
      <c r="I662" t="s">
        <v>273</v>
      </c>
      <c r="J662" s="25">
        <v>1</v>
      </c>
      <c r="K662" s="26">
        <v>0.2</v>
      </c>
      <c r="L662" s="26">
        <v>0.01</v>
      </c>
    </row>
    <row r="663" spans="1:12" ht="16" customHeight="1">
      <c r="A663" t="s">
        <v>292</v>
      </c>
      <c r="B663" t="s">
        <v>6</v>
      </c>
      <c r="C663" t="s">
        <v>18</v>
      </c>
      <c r="D663" s="24">
        <v>45931</v>
      </c>
      <c r="E663" t="s">
        <v>234</v>
      </c>
      <c r="F663" t="s">
        <v>4</v>
      </c>
      <c r="G663" t="s">
        <v>217</v>
      </c>
      <c r="H663" t="s">
        <v>217</v>
      </c>
      <c r="I663" t="s">
        <v>274</v>
      </c>
      <c r="J663" s="25">
        <v>0</v>
      </c>
      <c r="K663" s="26">
        <v>0</v>
      </c>
      <c r="L663" s="26">
        <v>0</v>
      </c>
    </row>
    <row r="664" spans="1:12" ht="16" customHeight="1">
      <c r="A664" t="s">
        <v>292</v>
      </c>
      <c r="B664" t="s">
        <v>6</v>
      </c>
      <c r="C664" t="s">
        <v>18</v>
      </c>
      <c r="D664" s="24">
        <v>45931</v>
      </c>
      <c r="E664" t="s">
        <v>236</v>
      </c>
      <c r="F664" t="s">
        <v>4</v>
      </c>
      <c r="G664" t="s">
        <v>217</v>
      </c>
      <c r="H664" t="s">
        <v>217</v>
      </c>
      <c r="I664" t="s">
        <v>275</v>
      </c>
      <c r="J664" s="25">
        <v>2</v>
      </c>
      <c r="K664" s="26">
        <v>0.41</v>
      </c>
      <c r="L664" s="26">
        <v>0.02</v>
      </c>
    </row>
    <row r="665" spans="1:12" ht="16" customHeight="1">
      <c r="A665" t="s">
        <v>292</v>
      </c>
      <c r="B665" t="s">
        <v>6</v>
      </c>
      <c r="C665" t="s">
        <v>18</v>
      </c>
      <c r="D665" s="24">
        <v>45931</v>
      </c>
      <c r="E665" t="s">
        <v>238</v>
      </c>
      <c r="F665" t="s">
        <v>4</v>
      </c>
      <c r="G665" t="s">
        <v>217</v>
      </c>
      <c r="H665" t="s">
        <v>217</v>
      </c>
      <c r="I665" t="s">
        <v>276</v>
      </c>
      <c r="J665" s="25">
        <v>0</v>
      </c>
      <c r="K665" s="26">
        <v>0</v>
      </c>
      <c r="L665" s="26">
        <v>0</v>
      </c>
    </row>
    <row r="666" spans="1:12" ht="16" customHeight="1">
      <c r="A666" t="s">
        <v>292</v>
      </c>
      <c r="B666" t="s">
        <v>6</v>
      </c>
      <c r="C666" t="s">
        <v>18</v>
      </c>
      <c r="D666" s="24">
        <v>45931</v>
      </c>
      <c r="E666" t="s">
        <v>240</v>
      </c>
      <c r="F666" t="s">
        <v>3</v>
      </c>
      <c r="G666" t="s">
        <v>241</v>
      </c>
      <c r="H666" t="s">
        <v>241</v>
      </c>
      <c r="I666" t="s">
        <v>277</v>
      </c>
      <c r="J666" s="25">
        <v>0</v>
      </c>
      <c r="K666" s="26">
        <v>0</v>
      </c>
      <c r="L666" s="26">
        <v>0</v>
      </c>
    </row>
    <row r="667" spans="1:12" ht="16" customHeight="1">
      <c r="A667" t="s">
        <v>292</v>
      </c>
      <c r="B667" t="s">
        <v>6</v>
      </c>
      <c r="C667" t="s">
        <v>18</v>
      </c>
      <c r="D667" s="24">
        <v>45931</v>
      </c>
      <c r="E667" t="s">
        <v>243</v>
      </c>
      <c r="F667" t="s">
        <v>4</v>
      </c>
      <c r="G667" t="s">
        <v>217</v>
      </c>
      <c r="H667" t="s">
        <v>217</v>
      </c>
      <c r="I667" t="s">
        <v>278</v>
      </c>
      <c r="J667" s="25">
        <v>0</v>
      </c>
      <c r="K667" s="26">
        <v>0</v>
      </c>
      <c r="L667" s="26">
        <v>0</v>
      </c>
    </row>
    <row r="668" spans="1:12" ht="16" customHeight="1">
      <c r="A668" t="s">
        <v>293</v>
      </c>
      <c r="B668" t="s">
        <v>7</v>
      </c>
      <c r="C668" t="s">
        <v>18</v>
      </c>
      <c r="D668" s="24">
        <v>45931</v>
      </c>
      <c r="E668" t="s">
        <v>218</v>
      </c>
      <c r="F668" t="s">
        <v>4</v>
      </c>
      <c r="G668" t="s">
        <v>217</v>
      </c>
      <c r="H668" t="s">
        <v>261</v>
      </c>
      <c r="I668" t="s">
        <v>212</v>
      </c>
      <c r="J668" s="25">
        <v>116718152</v>
      </c>
      <c r="K668" s="26">
        <v>22689150.84</v>
      </c>
      <c r="L668" s="26">
        <v>51233.05</v>
      </c>
    </row>
    <row r="669" spans="1:12" ht="16" customHeight="1">
      <c r="A669" t="s">
        <v>293</v>
      </c>
      <c r="B669" t="s">
        <v>7</v>
      </c>
      <c r="C669" t="s">
        <v>18</v>
      </c>
      <c r="D669" s="24">
        <v>45931</v>
      </c>
      <c r="E669" t="s">
        <v>262</v>
      </c>
      <c r="F669" t="s">
        <v>4</v>
      </c>
      <c r="G669" t="s">
        <v>211</v>
      </c>
      <c r="H669" t="s">
        <v>211</v>
      </c>
      <c r="I669" t="s">
        <v>219</v>
      </c>
      <c r="J669" s="25">
        <v>3354263</v>
      </c>
      <c r="K669" s="26">
        <v>655858.76</v>
      </c>
      <c r="L669" s="26">
        <v>2585.77</v>
      </c>
    </row>
    <row r="670" spans="1:12" ht="16" customHeight="1">
      <c r="A670" t="s">
        <v>293</v>
      </c>
      <c r="B670" t="s">
        <v>7</v>
      </c>
      <c r="C670" t="s">
        <v>18</v>
      </c>
      <c r="D670" s="24">
        <v>45931</v>
      </c>
      <c r="E670" t="s">
        <v>282</v>
      </c>
      <c r="F670" t="s">
        <v>4</v>
      </c>
      <c r="G670" t="s">
        <v>211</v>
      </c>
      <c r="H670" t="s">
        <v>211</v>
      </c>
      <c r="I670" t="s">
        <v>219</v>
      </c>
      <c r="J670" s="25">
        <v>206646</v>
      </c>
      <c r="K670" s="26">
        <v>40521.93</v>
      </c>
      <c r="L670" s="26">
        <v>224.49</v>
      </c>
    </row>
    <row r="671" spans="1:12" ht="16" customHeight="1">
      <c r="A671" t="s">
        <v>293</v>
      </c>
      <c r="B671" t="s">
        <v>7</v>
      </c>
      <c r="C671" t="s">
        <v>18</v>
      </c>
      <c r="D671" s="24">
        <v>45931</v>
      </c>
      <c r="E671" t="s">
        <v>287</v>
      </c>
      <c r="F671" t="s">
        <v>4</v>
      </c>
      <c r="G671" t="s">
        <v>211</v>
      </c>
      <c r="H671" t="s">
        <v>211</v>
      </c>
      <c r="I671" t="s">
        <v>219</v>
      </c>
      <c r="J671" s="25">
        <v>20023</v>
      </c>
      <c r="K671" s="26">
        <v>3917.16</v>
      </c>
      <c r="L671" s="26">
        <v>26.27</v>
      </c>
    </row>
    <row r="672" spans="1:12" ht="16" customHeight="1">
      <c r="A672" t="s">
        <v>293</v>
      </c>
      <c r="B672" t="s">
        <v>7</v>
      </c>
      <c r="C672" t="s">
        <v>18</v>
      </c>
      <c r="D672" s="24">
        <v>45931</v>
      </c>
      <c r="E672" t="s">
        <v>220</v>
      </c>
      <c r="F672" t="s">
        <v>4</v>
      </c>
      <c r="G672" t="s">
        <v>217</v>
      </c>
      <c r="H672" t="s">
        <v>217</v>
      </c>
      <c r="I672" t="s">
        <v>219</v>
      </c>
      <c r="J672" s="25">
        <v>823504</v>
      </c>
      <c r="K672" s="26">
        <v>160862.18</v>
      </c>
      <c r="L672" s="26">
        <v>1288.3900000000001</v>
      </c>
    </row>
    <row r="673" spans="1:12" ht="16" customHeight="1">
      <c r="A673" t="s">
        <v>293</v>
      </c>
      <c r="B673" t="s">
        <v>7</v>
      </c>
      <c r="C673" t="s">
        <v>18</v>
      </c>
      <c r="D673" s="24">
        <v>45931</v>
      </c>
      <c r="E673" t="s">
        <v>291</v>
      </c>
      <c r="F673" t="s">
        <v>4</v>
      </c>
      <c r="G673" t="s">
        <v>211</v>
      </c>
      <c r="H673" t="s">
        <v>211</v>
      </c>
      <c r="I673" t="s">
        <v>221</v>
      </c>
      <c r="J673" s="25">
        <v>1280</v>
      </c>
      <c r="K673" s="26">
        <v>251.74</v>
      </c>
      <c r="L673" s="26">
        <v>2.17</v>
      </c>
    </row>
    <row r="674" spans="1:12" ht="16" customHeight="1">
      <c r="A674" t="s">
        <v>293</v>
      </c>
      <c r="B674" t="s">
        <v>7</v>
      </c>
      <c r="C674" t="s">
        <v>18</v>
      </c>
      <c r="D674" s="24">
        <v>45931</v>
      </c>
      <c r="E674" t="s">
        <v>222</v>
      </c>
      <c r="F674" t="s">
        <v>4</v>
      </c>
      <c r="G674" t="s">
        <v>217</v>
      </c>
      <c r="H674" t="s">
        <v>217</v>
      </c>
      <c r="I674" t="s">
        <v>221</v>
      </c>
      <c r="J674" s="25">
        <v>188476</v>
      </c>
      <c r="K674" s="26">
        <v>36874.61</v>
      </c>
      <c r="L674" s="26">
        <v>358.99</v>
      </c>
    </row>
    <row r="675" spans="1:12" ht="16" customHeight="1">
      <c r="A675" t="s">
        <v>293</v>
      </c>
      <c r="B675" t="s">
        <v>7</v>
      </c>
      <c r="C675" t="s">
        <v>18</v>
      </c>
      <c r="D675" s="24">
        <v>45931</v>
      </c>
      <c r="E675" t="s">
        <v>224</v>
      </c>
      <c r="F675" t="s">
        <v>4</v>
      </c>
      <c r="G675" t="s">
        <v>217</v>
      </c>
      <c r="H675" t="s">
        <v>217</v>
      </c>
      <c r="I675" t="s">
        <v>267</v>
      </c>
      <c r="J675" s="25">
        <v>20954</v>
      </c>
      <c r="K675" s="26">
        <v>4146.5</v>
      </c>
      <c r="L675" s="26">
        <v>58.55</v>
      </c>
    </row>
    <row r="676" spans="1:12" ht="16" customHeight="1">
      <c r="A676" t="s">
        <v>293</v>
      </c>
      <c r="B676" t="s">
        <v>7</v>
      </c>
      <c r="C676" t="s">
        <v>18</v>
      </c>
      <c r="D676" s="24">
        <v>45931</v>
      </c>
      <c r="E676" t="s">
        <v>226</v>
      </c>
      <c r="F676" t="s">
        <v>4</v>
      </c>
      <c r="G676" t="s">
        <v>217</v>
      </c>
      <c r="H676" t="s">
        <v>217</v>
      </c>
      <c r="I676" t="s">
        <v>268</v>
      </c>
      <c r="J676" s="25">
        <v>7618</v>
      </c>
      <c r="K676" s="26">
        <v>1438.71</v>
      </c>
      <c r="L676" s="26">
        <v>20.2</v>
      </c>
    </row>
    <row r="677" spans="1:12" ht="16" customHeight="1">
      <c r="A677" t="s">
        <v>293</v>
      </c>
      <c r="B677" t="s">
        <v>7</v>
      </c>
      <c r="C677" t="s">
        <v>18</v>
      </c>
      <c r="D677" s="24">
        <v>45931</v>
      </c>
      <c r="E677" t="s">
        <v>269</v>
      </c>
      <c r="F677" t="s">
        <v>4</v>
      </c>
      <c r="G677" t="s">
        <v>217</v>
      </c>
      <c r="H677" t="s">
        <v>217</v>
      </c>
      <c r="I677" t="s">
        <v>270</v>
      </c>
      <c r="J677" s="25">
        <v>0</v>
      </c>
      <c r="K677" s="26">
        <v>0</v>
      </c>
      <c r="L677" s="26">
        <v>0</v>
      </c>
    </row>
    <row r="678" spans="1:12" ht="16" customHeight="1">
      <c r="A678" t="s">
        <v>293</v>
      </c>
      <c r="B678" t="s">
        <v>7</v>
      </c>
      <c r="C678" t="s">
        <v>18</v>
      </c>
      <c r="D678" s="24">
        <v>45931</v>
      </c>
      <c r="E678" t="s">
        <v>228</v>
      </c>
      <c r="F678" t="s">
        <v>4</v>
      </c>
      <c r="G678" t="s">
        <v>217</v>
      </c>
      <c r="H678" t="s">
        <v>217</v>
      </c>
      <c r="I678" t="s">
        <v>271</v>
      </c>
      <c r="J678" s="25">
        <v>2067</v>
      </c>
      <c r="K678" s="26">
        <v>410.74</v>
      </c>
      <c r="L678" s="26">
        <v>11.81</v>
      </c>
    </row>
    <row r="679" spans="1:12" ht="16" customHeight="1">
      <c r="A679" t="s">
        <v>293</v>
      </c>
      <c r="B679" t="s">
        <v>7</v>
      </c>
      <c r="C679" t="s">
        <v>18</v>
      </c>
      <c r="D679" s="24">
        <v>45931</v>
      </c>
      <c r="E679" t="s">
        <v>230</v>
      </c>
      <c r="F679" t="s">
        <v>4</v>
      </c>
      <c r="G679" t="s">
        <v>217</v>
      </c>
      <c r="H679" t="s">
        <v>217</v>
      </c>
      <c r="I679" t="s">
        <v>272</v>
      </c>
      <c r="J679" s="25">
        <v>0</v>
      </c>
      <c r="K679" s="26">
        <v>0</v>
      </c>
      <c r="L679" s="26">
        <v>0</v>
      </c>
    </row>
    <row r="680" spans="1:12" ht="16" customHeight="1">
      <c r="A680" t="s">
        <v>293</v>
      </c>
      <c r="B680" t="s">
        <v>7</v>
      </c>
      <c r="C680" t="s">
        <v>18</v>
      </c>
      <c r="D680" s="24">
        <v>45931</v>
      </c>
      <c r="E680" t="s">
        <v>232</v>
      </c>
      <c r="F680" t="s">
        <v>4</v>
      </c>
      <c r="G680" t="s">
        <v>217</v>
      </c>
      <c r="H680" t="s">
        <v>217</v>
      </c>
      <c r="I680" t="s">
        <v>273</v>
      </c>
      <c r="J680" s="25">
        <v>1</v>
      </c>
      <c r="K680" s="26">
        <v>0.18</v>
      </c>
      <c r="L680" s="26">
        <v>0.01</v>
      </c>
    </row>
    <row r="681" spans="1:12" ht="16" customHeight="1">
      <c r="A681" t="s">
        <v>293</v>
      </c>
      <c r="B681" t="s">
        <v>7</v>
      </c>
      <c r="C681" t="s">
        <v>18</v>
      </c>
      <c r="D681" s="24">
        <v>45931</v>
      </c>
      <c r="E681" t="s">
        <v>234</v>
      </c>
      <c r="F681" t="s">
        <v>4</v>
      </c>
      <c r="G681" t="s">
        <v>217</v>
      </c>
      <c r="H681" t="s">
        <v>217</v>
      </c>
      <c r="I681" t="s">
        <v>274</v>
      </c>
      <c r="J681" s="25">
        <v>0</v>
      </c>
      <c r="K681" s="26">
        <v>0</v>
      </c>
      <c r="L681" s="26">
        <v>0</v>
      </c>
    </row>
    <row r="682" spans="1:12" ht="16" customHeight="1">
      <c r="A682" t="s">
        <v>293</v>
      </c>
      <c r="B682" t="s">
        <v>7</v>
      </c>
      <c r="C682" t="s">
        <v>18</v>
      </c>
      <c r="D682" s="24">
        <v>45931</v>
      </c>
      <c r="E682" t="s">
        <v>236</v>
      </c>
      <c r="F682" t="s">
        <v>4</v>
      </c>
      <c r="G682" t="s">
        <v>217</v>
      </c>
      <c r="H682" t="s">
        <v>217</v>
      </c>
      <c r="I682" t="s">
        <v>275</v>
      </c>
      <c r="J682" s="25">
        <v>0</v>
      </c>
      <c r="K682" s="26">
        <v>0</v>
      </c>
      <c r="L682" s="26">
        <v>0</v>
      </c>
    </row>
    <row r="683" spans="1:12" ht="16" customHeight="1">
      <c r="A683" t="s">
        <v>293</v>
      </c>
      <c r="B683" t="s">
        <v>7</v>
      </c>
      <c r="C683" t="s">
        <v>18</v>
      </c>
      <c r="D683" s="24">
        <v>45931</v>
      </c>
      <c r="E683" t="s">
        <v>238</v>
      </c>
      <c r="F683" t="s">
        <v>4</v>
      </c>
      <c r="G683" t="s">
        <v>217</v>
      </c>
      <c r="H683" t="s">
        <v>217</v>
      </c>
      <c r="I683" t="s">
        <v>276</v>
      </c>
      <c r="J683" s="25">
        <v>0</v>
      </c>
      <c r="K683" s="26">
        <v>0</v>
      </c>
      <c r="L683" s="26">
        <v>0</v>
      </c>
    </row>
    <row r="684" spans="1:12" ht="16" customHeight="1">
      <c r="A684" t="s">
        <v>293</v>
      </c>
      <c r="B684" t="s">
        <v>7</v>
      </c>
      <c r="C684" t="s">
        <v>18</v>
      </c>
      <c r="D684" s="24">
        <v>45931</v>
      </c>
      <c r="E684" t="s">
        <v>240</v>
      </c>
      <c r="F684" t="s">
        <v>3</v>
      </c>
      <c r="G684" t="s">
        <v>241</v>
      </c>
      <c r="H684" t="s">
        <v>241</v>
      </c>
      <c r="I684" t="s">
        <v>277</v>
      </c>
      <c r="J684" s="25">
        <v>0</v>
      </c>
      <c r="K684" s="26">
        <v>0</v>
      </c>
      <c r="L684" s="26">
        <v>0</v>
      </c>
    </row>
    <row r="685" spans="1:12" ht="16" customHeight="1">
      <c r="A685" t="s">
        <v>293</v>
      </c>
      <c r="B685" t="s">
        <v>7</v>
      </c>
      <c r="C685" t="s">
        <v>18</v>
      </c>
      <c r="D685" s="24">
        <v>45931</v>
      </c>
      <c r="E685" t="s">
        <v>243</v>
      </c>
      <c r="F685" t="s">
        <v>4</v>
      </c>
      <c r="G685" t="s">
        <v>217</v>
      </c>
      <c r="H685" t="s">
        <v>217</v>
      </c>
      <c r="I685" t="s">
        <v>278</v>
      </c>
      <c r="J685" s="25">
        <v>0</v>
      </c>
      <c r="K685" s="26">
        <v>0</v>
      </c>
      <c r="L685" s="26">
        <v>0</v>
      </c>
    </row>
    <row r="686" spans="1:12" ht="16" customHeight="1">
      <c r="A686" t="s">
        <v>294</v>
      </c>
      <c r="B686" t="s">
        <v>3</v>
      </c>
      <c r="C686" t="s">
        <v>18</v>
      </c>
      <c r="D686" s="24">
        <v>45931</v>
      </c>
      <c r="E686" t="s">
        <v>218</v>
      </c>
      <c r="F686" t="s">
        <v>4</v>
      </c>
      <c r="G686" t="s">
        <v>217</v>
      </c>
      <c r="H686" t="s">
        <v>261</v>
      </c>
      <c r="I686" t="s">
        <v>212</v>
      </c>
      <c r="J686" s="25">
        <v>124384858</v>
      </c>
      <c r="K686" s="26">
        <v>24219332.100000001</v>
      </c>
      <c r="L686" s="26">
        <v>45347.040000000001</v>
      </c>
    </row>
    <row r="687" spans="1:12" ht="16" customHeight="1">
      <c r="A687" t="s">
        <v>294</v>
      </c>
      <c r="B687" t="s">
        <v>3</v>
      </c>
      <c r="C687" t="s">
        <v>18</v>
      </c>
      <c r="D687" s="24">
        <v>45931</v>
      </c>
      <c r="E687" t="s">
        <v>262</v>
      </c>
      <c r="F687" t="s">
        <v>4</v>
      </c>
      <c r="G687" t="s">
        <v>211</v>
      </c>
      <c r="H687" t="s">
        <v>211</v>
      </c>
      <c r="I687" t="s">
        <v>219</v>
      </c>
      <c r="J687" s="25">
        <v>4989759</v>
      </c>
      <c r="K687" s="26">
        <v>977684.74</v>
      </c>
      <c r="L687" s="26">
        <v>3582.32</v>
      </c>
    </row>
    <row r="688" spans="1:12" ht="16" customHeight="1">
      <c r="A688" t="s">
        <v>294</v>
      </c>
      <c r="B688" t="s">
        <v>3</v>
      </c>
      <c r="C688" t="s">
        <v>18</v>
      </c>
      <c r="D688" s="24">
        <v>45931</v>
      </c>
      <c r="E688" t="s">
        <v>282</v>
      </c>
      <c r="F688" t="s">
        <v>4</v>
      </c>
      <c r="G688" t="s">
        <v>211</v>
      </c>
      <c r="H688" t="s">
        <v>211</v>
      </c>
      <c r="I688" t="s">
        <v>219</v>
      </c>
      <c r="J688" s="25">
        <v>287074</v>
      </c>
      <c r="K688" s="26">
        <v>56427.22</v>
      </c>
      <c r="L688" s="26">
        <v>294.92</v>
      </c>
    </row>
    <row r="689" spans="1:12" ht="16" customHeight="1">
      <c r="A689" t="s">
        <v>294</v>
      </c>
      <c r="B689" t="s">
        <v>3</v>
      </c>
      <c r="C689" t="s">
        <v>18</v>
      </c>
      <c r="D689" s="24">
        <v>45931</v>
      </c>
      <c r="E689" t="s">
        <v>287</v>
      </c>
      <c r="F689" t="s">
        <v>4</v>
      </c>
      <c r="G689" t="s">
        <v>211</v>
      </c>
      <c r="H689" t="s">
        <v>211</v>
      </c>
      <c r="I689" t="s">
        <v>219</v>
      </c>
      <c r="J689" s="25">
        <v>30684</v>
      </c>
      <c r="K689" s="26">
        <v>6056.84</v>
      </c>
      <c r="L689" s="26">
        <v>35.75</v>
      </c>
    </row>
    <row r="690" spans="1:12" ht="16" customHeight="1">
      <c r="A690" t="s">
        <v>294</v>
      </c>
      <c r="B690" t="s">
        <v>3</v>
      </c>
      <c r="C690" t="s">
        <v>18</v>
      </c>
      <c r="D690" s="24">
        <v>45931</v>
      </c>
      <c r="E690" t="s">
        <v>220</v>
      </c>
      <c r="F690" t="s">
        <v>4</v>
      </c>
      <c r="G690" t="s">
        <v>217</v>
      </c>
      <c r="H690" t="s">
        <v>217</v>
      </c>
      <c r="I690" t="s">
        <v>219</v>
      </c>
      <c r="J690" s="25">
        <v>1027928</v>
      </c>
      <c r="K690" s="26">
        <v>201461.02</v>
      </c>
      <c r="L690" s="26">
        <v>1656.05</v>
      </c>
    </row>
    <row r="691" spans="1:12" ht="16" customHeight="1">
      <c r="A691" t="s">
        <v>294</v>
      </c>
      <c r="B691" t="s">
        <v>3</v>
      </c>
      <c r="C691" t="s">
        <v>18</v>
      </c>
      <c r="D691" s="24">
        <v>45931</v>
      </c>
      <c r="E691" t="s">
        <v>291</v>
      </c>
      <c r="F691" t="s">
        <v>4</v>
      </c>
      <c r="G691" t="s">
        <v>211</v>
      </c>
      <c r="H691" t="s">
        <v>211</v>
      </c>
      <c r="I691" t="s">
        <v>221</v>
      </c>
      <c r="J691" s="25">
        <v>2000</v>
      </c>
      <c r="K691" s="26">
        <v>395.14</v>
      </c>
      <c r="L691" s="26">
        <v>3.47</v>
      </c>
    </row>
    <row r="692" spans="1:12" ht="16" customHeight="1">
      <c r="A692" t="s">
        <v>294</v>
      </c>
      <c r="B692" t="s">
        <v>3</v>
      </c>
      <c r="C692" t="s">
        <v>18</v>
      </c>
      <c r="D692" s="24">
        <v>45931</v>
      </c>
      <c r="E692" t="s">
        <v>222</v>
      </c>
      <c r="F692" t="s">
        <v>4</v>
      </c>
      <c r="G692" t="s">
        <v>217</v>
      </c>
      <c r="H692" t="s">
        <v>217</v>
      </c>
      <c r="I692" t="s">
        <v>221</v>
      </c>
      <c r="J692" s="25">
        <v>156428</v>
      </c>
      <c r="K692" s="26">
        <v>30566.92</v>
      </c>
      <c r="L692" s="26">
        <v>334.79</v>
      </c>
    </row>
    <row r="693" spans="1:12" ht="16" customHeight="1">
      <c r="A693" t="s">
        <v>294</v>
      </c>
      <c r="B693" t="s">
        <v>3</v>
      </c>
      <c r="C693" t="s">
        <v>18</v>
      </c>
      <c r="D693" s="24">
        <v>45931</v>
      </c>
      <c r="E693" t="s">
        <v>224</v>
      </c>
      <c r="F693" t="s">
        <v>4</v>
      </c>
      <c r="G693" t="s">
        <v>217</v>
      </c>
      <c r="H693" t="s">
        <v>217</v>
      </c>
      <c r="I693" t="s">
        <v>267</v>
      </c>
      <c r="J693" s="25">
        <v>25329</v>
      </c>
      <c r="K693" s="26">
        <v>4973.3</v>
      </c>
      <c r="L693" s="26">
        <v>72.27</v>
      </c>
    </row>
    <row r="694" spans="1:12" ht="16" customHeight="1">
      <c r="A694" t="s">
        <v>294</v>
      </c>
      <c r="B694" t="s">
        <v>3</v>
      </c>
      <c r="C694" t="s">
        <v>18</v>
      </c>
      <c r="D694" s="24">
        <v>45931</v>
      </c>
      <c r="E694" t="s">
        <v>226</v>
      </c>
      <c r="F694" t="s">
        <v>4</v>
      </c>
      <c r="G694" t="s">
        <v>217</v>
      </c>
      <c r="H694" t="s">
        <v>217</v>
      </c>
      <c r="I694" t="s">
        <v>268</v>
      </c>
      <c r="J694" s="25">
        <v>3914</v>
      </c>
      <c r="K694" s="26">
        <v>757.38</v>
      </c>
      <c r="L694" s="26">
        <v>13.42</v>
      </c>
    </row>
    <row r="695" spans="1:12" ht="16" customHeight="1">
      <c r="A695" t="s">
        <v>294</v>
      </c>
      <c r="B695" t="s">
        <v>3</v>
      </c>
      <c r="C695" t="s">
        <v>18</v>
      </c>
      <c r="D695" s="24">
        <v>45931</v>
      </c>
      <c r="E695" t="s">
        <v>269</v>
      </c>
      <c r="F695" t="s">
        <v>4</v>
      </c>
      <c r="G695" t="s">
        <v>217</v>
      </c>
      <c r="H695" t="s">
        <v>217</v>
      </c>
      <c r="I695" t="s">
        <v>270</v>
      </c>
      <c r="J695" s="25">
        <v>0</v>
      </c>
      <c r="K695" s="26">
        <v>0</v>
      </c>
      <c r="L695" s="26">
        <v>0</v>
      </c>
    </row>
    <row r="696" spans="1:12" ht="16" customHeight="1">
      <c r="A696" t="s">
        <v>294</v>
      </c>
      <c r="B696" t="s">
        <v>3</v>
      </c>
      <c r="C696" t="s">
        <v>18</v>
      </c>
      <c r="D696" s="24">
        <v>45931</v>
      </c>
      <c r="E696" t="s">
        <v>228</v>
      </c>
      <c r="F696" t="s">
        <v>4</v>
      </c>
      <c r="G696" t="s">
        <v>217</v>
      </c>
      <c r="H696" t="s">
        <v>217</v>
      </c>
      <c r="I696" t="s">
        <v>271</v>
      </c>
      <c r="J696" s="25">
        <v>2988</v>
      </c>
      <c r="K696" s="26">
        <v>590.71</v>
      </c>
      <c r="L696" s="26">
        <v>15.91</v>
      </c>
    </row>
    <row r="697" spans="1:12" ht="16" customHeight="1">
      <c r="A697" t="s">
        <v>294</v>
      </c>
      <c r="B697" t="s">
        <v>3</v>
      </c>
      <c r="C697" t="s">
        <v>18</v>
      </c>
      <c r="D697" s="24">
        <v>45931</v>
      </c>
      <c r="E697" t="s">
        <v>230</v>
      </c>
      <c r="F697" t="s">
        <v>4</v>
      </c>
      <c r="G697" t="s">
        <v>217</v>
      </c>
      <c r="H697" t="s">
        <v>217</v>
      </c>
      <c r="I697" t="s">
        <v>272</v>
      </c>
      <c r="J697" s="25">
        <v>0</v>
      </c>
      <c r="K697" s="26">
        <v>0</v>
      </c>
      <c r="L697" s="26">
        <v>0</v>
      </c>
    </row>
    <row r="698" spans="1:12" ht="16" customHeight="1">
      <c r="A698" t="s">
        <v>294</v>
      </c>
      <c r="B698" t="s">
        <v>3</v>
      </c>
      <c r="C698" t="s">
        <v>18</v>
      </c>
      <c r="D698" s="24">
        <v>45931</v>
      </c>
      <c r="E698" t="s">
        <v>232</v>
      </c>
      <c r="F698" t="s">
        <v>4</v>
      </c>
      <c r="G698" t="s">
        <v>217</v>
      </c>
      <c r="H698" t="s">
        <v>217</v>
      </c>
      <c r="I698" t="s">
        <v>273</v>
      </c>
      <c r="J698" s="25">
        <v>45</v>
      </c>
      <c r="K698" s="26">
        <v>8.0500000000000007</v>
      </c>
      <c r="L698" s="26">
        <v>0.19</v>
      </c>
    </row>
    <row r="699" spans="1:12" ht="16" customHeight="1">
      <c r="A699" t="s">
        <v>294</v>
      </c>
      <c r="B699" t="s">
        <v>3</v>
      </c>
      <c r="C699" t="s">
        <v>18</v>
      </c>
      <c r="D699" s="24">
        <v>45931</v>
      </c>
      <c r="E699" t="s">
        <v>234</v>
      </c>
      <c r="F699" t="s">
        <v>4</v>
      </c>
      <c r="G699" t="s">
        <v>217</v>
      </c>
      <c r="H699" t="s">
        <v>217</v>
      </c>
      <c r="I699" t="s">
        <v>274</v>
      </c>
      <c r="J699" s="25">
        <v>0</v>
      </c>
      <c r="K699" s="26">
        <v>0</v>
      </c>
      <c r="L699" s="26">
        <v>0</v>
      </c>
    </row>
    <row r="700" spans="1:12" ht="16" customHeight="1">
      <c r="A700" t="s">
        <v>294</v>
      </c>
      <c r="B700" t="s">
        <v>3</v>
      </c>
      <c r="C700" t="s">
        <v>18</v>
      </c>
      <c r="D700" s="24">
        <v>45931</v>
      </c>
      <c r="E700" t="s">
        <v>236</v>
      </c>
      <c r="F700" t="s">
        <v>4</v>
      </c>
      <c r="G700" t="s">
        <v>217</v>
      </c>
      <c r="H700" t="s">
        <v>217</v>
      </c>
      <c r="I700" t="s">
        <v>275</v>
      </c>
      <c r="J700" s="25">
        <v>6</v>
      </c>
      <c r="K700" s="26">
        <v>1.21</v>
      </c>
      <c r="L700" s="26">
        <v>0.04</v>
      </c>
    </row>
    <row r="701" spans="1:12" ht="16" customHeight="1">
      <c r="A701" t="s">
        <v>294</v>
      </c>
      <c r="B701" t="s">
        <v>3</v>
      </c>
      <c r="C701" t="s">
        <v>18</v>
      </c>
      <c r="D701" s="24">
        <v>45931</v>
      </c>
      <c r="E701" t="s">
        <v>238</v>
      </c>
      <c r="F701" t="s">
        <v>4</v>
      </c>
      <c r="G701" t="s">
        <v>217</v>
      </c>
      <c r="H701" t="s">
        <v>217</v>
      </c>
      <c r="I701" t="s">
        <v>276</v>
      </c>
      <c r="J701" s="25">
        <v>0</v>
      </c>
      <c r="K701" s="26">
        <v>0</v>
      </c>
      <c r="L701" s="26">
        <v>0</v>
      </c>
    </row>
    <row r="702" spans="1:12" ht="16" customHeight="1">
      <c r="A702" t="s">
        <v>294</v>
      </c>
      <c r="B702" t="s">
        <v>3</v>
      </c>
      <c r="C702" t="s">
        <v>18</v>
      </c>
      <c r="D702" s="24">
        <v>45931</v>
      </c>
      <c r="E702" t="s">
        <v>240</v>
      </c>
      <c r="F702" t="s">
        <v>3</v>
      </c>
      <c r="G702" t="s">
        <v>241</v>
      </c>
      <c r="H702" t="s">
        <v>241</v>
      </c>
      <c r="I702" t="s">
        <v>277</v>
      </c>
      <c r="J702" s="25">
        <v>1</v>
      </c>
      <c r="K702" s="26">
        <v>0.18</v>
      </c>
      <c r="L702" s="26">
        <v>0</v>
      </c>
    </row>
    <row r="703" spans="1:12" ht="16" customHeight="1">
      <c r="A703" t="s">
        <v>294</v>
      </c>
      <c r="B703" t="s">
        <v>3</v>
      </c>
      <c r="C703" t="s">
        <v>18</v>
      </c>
      <c r="D703" s="24">
        <v>45931</v>
      </c>
      <c r="E703" t="s">
        <v>243</v>
      </c>
      <c r="F703" t="s">
        <v>4</v>
      </c>
      <c r="G703" t="s">
        <v>217</v>
      </c>
      <c r="H703" t="s">
        <v>217</v>
      </c>
      <c r="I703" t="s">
        <v>278</v>
      </c>
      <c r="J703" s="25">
        <v>0</v>
      </c>
      <c r="K703" s="26">
        <v>0</v>
      </c>
      <c r="L703" s="26">
        <v>0</v>
      </c>
    </row>
    <row r="704" spans="1:12" ht="16" customHeight="1">
      <c r="A704" t="s">
        <v>218</v>
      </c>
      <c r="B704" t="s">
        <v>4</v>
      </c>
      <c r="C704" t="s">
        <v>18</v>
      </c>
      <c r="D704" s="24">
        <v>45931</v>
      </c>
      <c r="E704" t="s">
        <v>218</v>
      </c>
      <c r="F704" t="s">
        <v>4</v>
      </c>
      <c r="G704" t="s">
        <v>217</v>
      </c>
      <c r="H704" t="s">
        <v>261</v>
      </c>
      <c r="I704" t="s">
        <v>212</v>
      </c>
      <c r="J704" s="25">
        <v>307497252</v>
      </c>
      <c r="K704" s="26">
        <v>59819492.409999996</v>
      </c>
      <c r="L704" s="26">
        <v>60693.93</v>
      </c>
    </row>
    <row r="705" spans="1:12" ht="16" customHeight="1">
      <c r="A705" t="s">
        <v>218</v>
      </c>
      <c r="B705" t="s">
        <v>4</v>
      </c>
      <c r="C705" t="s">
        <v>18</v>
      </c>
      <c r="D705" s="24">
        <v>45931</v>
      </c>
      <c r="E705" t="s">
        <v>262</v>
      </c>
      <c r="F705" t="s">
        <v>4</v>
      </c>
      <c r="G705" t="s">
        <v>211</v>
      </c>
      <c r="H705" t="s">
        <v>211</v>
      </c>
      <c r="I705" t="s">
        <v>219</v>
      </c>
      <c r="J705" s="25">
        <v>11689763</v>
      </c>
      <c r="K705" s="26">
        <v>2284001.48</v>
      </c>
      <c r="L705" s="26">
        <v>8084.83</v>
      </c>
    </row>
    <row r="706" spans="1:12" ht="16" customHeight="1">
      <c r="A706" t="s">
        <v>218</v>
      </c>
      <c r="B706" t="s">
        <v>4</v>
      </c>
      <c r="C706" t="s">
        <v>18</v>
      </c>
      <c r="D706" s="24">
        <v>45931</v>
      </c>
      <c r="E706" t="s">
        <v>282</v>
      </c>
      <c r="F706" t="s">
        <v>4</v>
      </c>
      <c r="G706" t="s">
        <v>211</v>
      </c>
      <c r="H706" t="s">
        <v>211</v>
      </c>
      <c r="I706" t="s">
        <v>219</v>
      </c>
      <c r="J706" s="25">
        <v>513420</v>
      </c>
      <c r="K706" s="26">
        <v>100636.04</v>
      </c>
      <c r="L706" s="26">
        <v>518.29</v>
      </c>
    </row>
    <row r="707" spans="1:12" ht="16" customHeight="1">
      <c r="A707" t="s">
        <v>218</v>
      </c>
      <c r="B707" t="s">
        <v>4</v>
      </c>
      <c r="C707" t="s">
        <v>18</v>
      </c>
      <c r="D707" s="24">
        <v>45931</v>
      </c>
      <c r="E707" t="s">
        <v>287</v>
      </c>
      <c r="F707" t="s">
        <v>4</v>
      </c>
      <c r="G707" t="s">
        <v>211</v>
      </c>
      <c r="H707" t="s">
        <v>211</v>
      </c>
      <c r="I707" t="s">
        <v>219</v>
      </c>
      <c r="J707" s="25">
        <v>42332</v>
      </c>
      <c r="K707" s="26">
        <v>8327.56</v>
      </c>
      <c r="L707" s="26">
        <v>48.74</v>
      </c>
    </row>
    <row r="708" spans="1:12" ht="16" customHeight="1">
      <c r="A708" t="s">
        <v>218</v>
      </c>
      <c r="B708" t="s">
        <v>4</v>
      </c>
      <c r="C708" t="s">
        <v>18</v>
      </c>
      <c r="D708" s="24">
        <v>45931</v>
      </c>
      <c r="E708" t="s">
        <v>220</v>
      </c>
      <c r="F708" t="s">
        <v>4</v>
      </c>
      <c r="G708" t="s">
        <v>217</v>
      </c>
      <c r="H708" t="s">
        <v>217</v>
      </c>
      <c r="I708" t="s">
        <v>219</v>
      </c>
      <c r="J708" s="25">
        <v>1235485</v>
      </c>
      <c r="K708" s="26">
        <v>242968.17</v>
      </c>
      <c r="L708" s="26">
        <v>2139.42</v>
      </c>
    </row>
    <row r="709" spans="1:12" ht="16" customHeight="1">
      <c r="A709" t="s">
        <v>218</v>
      </c>
      <c r="B709" t="s">
        <v>4</v>
      </c>
      <c r="C709" t="s">
        <v>18</v>
      </c>
      <c r="D709" s="24">
        <v>45931</v>
      </c>
      <c r="E709" t="s">
        <v>291</v>
      </c>
      <c r="F709" t="s">
        <v>4</v>
      </c>
      <c r="G709" t="s">
        <v>211</v>
      </c>
      <c r="H709" t="s">
        <v>211</v>
      </c>
      <c r="I709" t="s">
        <v>221</v>
      </c>
      <c r="J709" s="25">
        <v>2343</v>
      </c>
      <c r="K709" s="26">
        <v>462.67</v>
      </c>
      <c r="L709" s="26">
        <v>4.46</v>
      </c>
    </row>
    <row r="710" spans="1:12" ht="16" customHeight="1">
      <c r="A710" t="s">
        <v>218</v>
      </c>
      <c r="B710" t="s">
        <v>4</v>
      </c>
      <c r="C710" t="s">
        <v>18</v>
      </c>
      <c r="D710" s="24">
        <v>45931</v>
      </c>
      <c r="E710" t="s">
        <v>222</v>
      </c>
      <c r="F710" t="s">
        <v>4</v>
      </c>
      <c r="G710" t="s">
        <v>217</v>
      </c>
      <c r="H710" t="s">
        <v>217</v>
      </c>
      <c r="I710" t="s">
        <v>221</v>
      </c>
      <c r="J710" s="25">
        <v>188460</v>
      </c>
      <c r="K710" s="26">
        <v>36702.629999999997</v>
      </c>
      <c r="L710" s="26">
        <v>380.92</v>
      </c>
    </row>
    <row r="711" spans="1:12" ht="16" customHeight="1">
      <c r="A711" t="s">
        <v>218</v>
      </c>
      <c r="B711" t="s">
        <v>4</v>
      </c>
      <c r="C711" t="s">
        <v>18</v>
      </c>
      <c r="D711" s="24">
        <v>45931</v>
      </c>
      <c r="E711" t="s">
        <v>224</v>
      </c>
      <c r="F711" t="s">
        <v>4</v>
      </c>
      <c r="G711" t="s">
        <v>217</v>
      </c>
      <c r="H711" t="s">
        <v>217</v>
      </c>
      <c r="I711" t="s">
        <v>267</v>
      </c>
      <c r="J711" s="25">
        <v>25313</v>
      </c>
      <c r="K711" s="26">
        <v>4889.1899999999996</v>
      </c>
      <c r="L711" s="26">
        <v>65.28</v>
      </c>
    </row>
    <row r="712" spans="1:12" ht="16" customHeight="1">
      <c r="A712" t="s">
        <v>218</v>
      </c>
      <c r="B712" t="s">
        <v>4</v>
      </c>
      <c r="C712" t="s">
        <v>18</v>
      </c>
      <c r="D712" s="24">
        <v>45931</v>
      </c>
      <c r="E712" t="s">
        <v>226</v>
      </c>
      <c r="F712" t="s">
        <v>4</v>
      </c>
      <c r="G712" t="s">
        <v>217</v>
      </c>
      <c r="H712" t="s">
        <v>217</v>
      </c>
      <c r="I712" t="s">
        <v>268</v>
      </c>
      <c r="J712" s="25">
        <v>6268</v>
      </c>
      <c r="K712" s="26">
        <v>1171.51</v>
      </c>
      <c r="L712" s="26">
        <v>16.63</v>
      </c>
    </row>
    <row r="713" spans="1:12" ht="16" customHeight="1">
      <c r="A713" t="s">
        <v>218</v>
      </c>
      <c r="B713" t="s">
        <v>4</v>
      </c>
      <c r="C713" t="s">
        <v>18</v>
      </c>
      <c r="D713" s="24">
        <v>45931</v>
      </c>
      <c r="E713" t="s">
        <v>269</v>
      </c>
      <c r="F713" t="s">
        <v>4</v>
      </c>
      <c r="G713" t="s">
        <v>217</v>
      </c>
      <c r="H713" t="s">
        <v>217</v>
      </c>
      <c r="I713" t="s">
        <v>270</v>
      </c>
      <c r="J713" s="25">
        <v>0</v>
      </c>
      <c r="K713" s="26">
        <v>0</v>
      </c>
      <c r="L713" s="26">
        <v>0</v>
      </c>
    </row>
    <row r="714" spans="1:12" ht="16" customHeight="1">
      <c r="A714" t="s">
        <v>218</v>
      </c>
      <c r="B714" t="s">
        <v>4</v>
      </c>
      <c r="C714" t="s">
        <v>18</v>
      </c>
      <c r="D714" s="24">
        <v>45931</v>
      </c>
      <c r="E714" t="s">
        <v>228</v>
      </c>
      <c r="F714" t="s">
        <v>4</v>
      </c>
      <c r="G714" t="s">
        <v>217</v>
      </c>
      <c r="H714" t="s">
        <v>217</v>
      </c>
      <c r="I714" t="s">
        <v>271</v>
      </c>
      <c r="J714" s="25">
        <v>1741</v>
      </c>
      <c r="K714" s="26">
        <v>342.94</v>
      </c>
      <c r="L714" s="26">
        <v>9.32</v>
      </c>
    </row>
    <row r="715" spans="1:12" ht="16" customHeight="1">
      <c r="A715" t="s">
        <v>218</v>
      </c>
      <c r="B715" t="s">
        <v>4</v>
      </c>
      <c r="C715" t="s">
        <v>18</v>
      </c>
      <c r="D715" s="24">
        <v>45931</v>
      </c>
      <c r="E715" t="s">
        <v>230</v>
      </c>
      <c r="F715" t="s">
        <v>4</v>
      </c>
      <c r="G715" t="s">
        <v>217</v>
      </c>
      <c r="H715" t="s">
        <v>217</v>
      </c>
      <c r="I715" t="s">
        <v>272</v>
      </c>
      <c r="J715" s="25">
        <v>0</v>
      </c>
      <c r="K715" s="26">
        <v>0</v>
      </c>
      <c r="L715" s="26">
        <v>0</v>
      </c>
    </row>
    <row r="716" spans="1:12" ht="16" customHeight="1">
      <c r="A716" t="s">
        <v>218</v>
      </c>
      <c r="B716" t="s">
        <v>4</v>
      </c>
      <c r="C716" t="s">
        <v>18</v>
      </c>
      <c r="D716" s="24">
        <v>45931</v>
      </c>
      <c r="E716" t="s">
        <v>232</v>
      </c>
      <c r="F716" t="s">
        <v>4</v>
      </c>
      <c r="G716" t="s">
        <v>217</v>
      </c>
      <c r="H716" t="s">
        <v>217</v>
      </c>
      <c r="I716" t="s">
        <v>273</v>
      </c>
      <c r="J716" s="25">
        <v>30</v>
      </c>
      <c r="K716" s="26">
        <v>5.41</v>
      </c>
      <c r="L716" s="26">
        <v>0.13</v>
      </c>
    </row>
    <row r="717" spans="1:12" ht="16" customHeight="1">
      <c r="A717" t="s">
        <v>218</v>
      </c>
      <c r="B717" t="s">
        <v>4</v>
      </c>
      <c r="C717" t="s">
        <v>18</v>
      </c>
      <c r="D717" s="24">
        <v>45931</v>
      </c>
      <c r="E717" t="s">
        <v>234</v>
      </c>
      <c r="F717" t="s">
        <v>4</v>
      </c>
      <c r="G717" t="s">
        <v>217</v>
      </c>
      <c r="H717" t="s">
        <v>217</v>
      </c>
      <c r="I717" t="s">
        <v>274</v>
      </c>
      <c r="J717" s="25">
        <v>0</v>
      </c>
      <c r="K717" s="26">
        <v>0</v>
      </c>
      <c r="L717" s="26">
        <v>0</v>
      </c>
    </row>
    <row r="718" spans="1:12" ht="16" customHeight="1">
      <c r="A718" t="s">
        <v>218</v>
      </c>
      <c r="B718" t="s">
        <v>4</v>
      </c>
      <c r="C718" t="s">
        <v>18</v>
      </c>
      <c r="D718" s="24">
        <v>45931</v>
      </c>
      <c r="E718" t="s">
        <v>236</v>
      </c>
      <c r="F718" t="s">
        <v>4</v>
      </c>
      <c r="G718" t="s">
        <v>217</v>
      </c>
      <c r="H718" t="s">
        <v>217</v>
      </c>
      <c r="I718" t="s">
        <v>275</v>
      </c>
      <c r="J718" s="25">
        <v>3</v>
      </c>
      <c r="K718" s="26">
        <v>0.61</v>
      </c>
      <c r="L718" s="26">
        <v>0.02</v>
      </c>
    </row>
    <row r="719" spans="1:12" ht="16" customHeight="1">
      <c r="A719" t="s">
        <v>218</v>
      </c>
      <c r="B719" t="s">
        <v>4</v>
      </c>
      <c r="C719" t="s">
        <v>18</v>
      </c>
      <c r="D719" s="24">
        <v>45931</v>
      </c>
      <c r="E719" t="s">
        <v>238</v>
      </c>
      <c r="F719" t="s">
        <v>4</v>
      </c>
      <c r="G719" t="s">
        <v>217</v>
      </c>
      <c r="H719" t="s">
        <v>217</v>
      </c>
      <c r="I719" t="s">
        <v>276</v>
      </c>
      <c r="J719" s="25">
        <v>0</v>
      </c>
      <c r="K719" s="26">
        <v>0</v>
      </c>
      <c r="L719" s="26">
        <v>0</v>
      </c>
    </row>
    <row r="720" spans="1:12" ht="16" customHeight="1">
      <c r="A720" t="s">
        <v>218</v>
      </c>
      <c r="B720" t="s">
        <v>4</v>
      </c>
      <c r="C720" t="s">
        <v>18</v>
      </c>
      <c r="D720" s="24">
        <v>45931</v>
      </c>
      <c r="E720" t="s">
        <v>240</v>
      </c>
      <c r="F720" t="s">
        <v>3</v>
      </c>
      <c r="G720" t="s">
        <v>241</v>
      </c>
      <c r="H720" t="s">
        <v>241</v>
      </c>
      <c r="I720" t="s">
        <v>277</v>
      </c>
      <c r="J720" s="25">
        <v>1</v>
      </c>
      <c r="K720" s="26">
        <v>0.18</v>
      </c>
      <c r="L720" s="26">
        <v>0</v>
      </c>
    </row>
    <row r="721" spans="1:12" ht="16" customHeight="1">
      <c r="A721" t="s">
        <v>218</v>
      </c>
      <c r="B721" t="s">
        <v>4</v>
      </c>
      <c r="C721" t="s">
        <v>18</v>
      </c>
      <c r="D721" s="24">
        <v>45931</v>
      </c>
      <c r="E721" t="s">
        <v>243</v>
      </c>
      <c r="F721" t="s">
        <v>4</v>
      </c>
      <c r="G721" t="s">
        <v>217</v>
      </c>
      <c r="H721" t="s">
        <v>217</v>
      </c>
      <c r="I721" t="s">
        <v>278</v>
      </c>
      <c r="J721" s="25">
        <v>0</v>
      </c>
      <c r="K721" s="26">
        <v>0</v>
      </c>
      <c r="L721" s="26">
        <v>0</v>
      </c>
    </row>
    <row r="722" spans="1:12" ht="16" customHeight="1">
      <c r="A722" t="s">
        <v>295</v>
      </c>
      <c r="B722" t="s">
        <v>5</v>
      </c>
      <c r="C722" t="s">
        <v>19</v>
      </c>
      <c r="D722" s="24">
        <v>45931</v>
      </c>
      <c r="E722" t="s">
        <v>262</v>
      </c>
      <c r="F722" t="s">
        <v>4</v>
      </c>
      <c r="G722" t="s">
        <v>211</v>
      </c>
      <c r="H722" t="s">
        <v>211</v>
      </c>
      <c r="I722" t="s">
        <v>219</v>
      </c>
      <c r="J722" s="25">
        <v>48510836</v>
      </c>
      <c r="K722" s="26">
        <v>9512703.5999999996</v>
      </c>
      <c r="L722" s="26">
        <v>32385.34</v>
      </c>
    </row>
    <row r="723" spans="1:12" ht="16" customHeight="1">
      <c r="A723" t="s">
        <v>295</v>
      </c>
      <c r="B723" t="s">
        <v>5</v>
      </c>
      <c r="C723" t="s">
        <v>19</v>
      </c>
      <c r="D723" s="24">
        <v>45931</v>
      </c>
      <c r="E723" t="s">
        <v>282</v>
      </c>
      <c r="F723" t="s">
        <v>4</v>
      </c>
      <c r="G723" t="s">
        <v>211</v>
      </c>
      <c r="H723" t="s">
        <v>211</v>
      </c>
      <c r="I723" t="s">
        <v>219</v>
      </c>
      <c r="J723" s="25">
        <v>1082960</v>
      </c>
      <c r="K723" s="26">
        <v>212752.52</v>
      </c>
      <c r="L723" s="26">
        <v>1055.26</v>
      </c>
    </row>
    <row r="724" spans="1:12" ht="16" customHeight="1">
      <c r="A724" t="s">
        <v>295</v>
      </c>
      <c r="B724" t="s">
        <v>5</v>
      </c>
      <c r="C724" t="s">
        <v>19</v>
      </c>
      <c r="D724" s="24">
        <v>45931</v>
      </c>
      <c r="E724" t="s">
        <v>287</v>
      </c>
      <c r="F724" t="s">
        <v>4</v>
      </c>
      <c r="G724" t="s">
        <v>211</v>
      </c>
      <c r="H724" t="s">
        <v>211</v>
      </c>
      <c r="I724" t="s">
        <v>219</v>
      </c>
      <c r="J724" s="25">
        <v>71069</v>
      </c>
      <c r="K724" s="26">
        <v>14007.94</v>
      </c>
      <c r="L724" s="26">
        <v>89.3</v>
      </c>
    </row>
    <row r="725" spans="1:12" ht="16" customHeight="1">
      <c r="A725" t="s">
        <v>295</v>
      </c>
      <c r="B725" t="s">
        <v>5</v>
      </c>
      <c r="C725" t="s">
        <v>19</v>
      </c>
      <c r="D725" s="24">
        <v>45931</v>
      </c>
      <c r="E725" t="s">
        <v>220</v>
      </c>
      <c r="F725" t="s">
        <v>4</v>
      </c>
      <c r="G725" t="s">
        <v>217</v>
      </c>
      <c r="H725" t="s">
        <v>217</v>
      </c>
      <c r="I725" t="s">
        <v>219</v>
      </c>
      <c r="J725" s="25">
        <v>1256875</v>
      </c>
      <c r="K725" s="26">
        <v>246862.47</v>
      </c>
      <c r="L725" s="26">
        <v>1912.13</v>
      </c>
    </row>
    <row r="726" spans="1:12" ht="16" customHeight="1">
      <c r="A726" t="s">
        <v>295</v>
      </c>
      <c r="B726" t="s">
        <v>5</v>
      </c>
      <c r="C726" t="s">
        <v>19</v>
      </c>
      <c r="D726" s="24">
        <v>45931</v>
      </c>
      <c r="E726" t="s">
        <v>291</v>
      </c>
      <c r="F726" t="s">
        <v>4</v>
      </c>
      <c r="G726" t="s">
        <v>211</v>
      </c>
      <c r="H726" t="s">
        <v>211</v>
      </c>
      <c r="I726" t="s">
        <v>221</v>
      </c>
      <c r="J726" s="25">
        <v>7380</v>
      </c>
      <c r="K726" s="26">
        <v>1469.23</v>
      </c>
      <c r="L726" s="26">
        <v>12.81</v>
      </c>
    </row>
    <row r="727" spans="1:12" ht="16" customHeight="1">
      <c r="A727" t="s">
        <v>295</v>
      </c>
      <c r="B727" t="s">
        <v>5</v>
      </c>
      <c r="C727" t="s">
        <v>19</v>
      </c>
      <c r="D727" s="24">
        <v>45931</v>
      </c>
      <c r="E727" t="s">
        <v>222</v>
      </c>
      <c r="F727" t="s">
        <v>4</v>
      </c>
      <c r="G727" t="s">
        <v>217</v>
      </c>
      <c r="H727" t="s">
        <v>217</v>
      </c>
      <c r="I727" t="s">
        <v>221</v>
      </c>
      <c r="J727" s="25">
        <v>212059</v>
      </c>
      <c r="K727" s="26">
        <v>41340.300000000003</v>
      </c>
      <c r="L727" s="26">
        <v>382.99</v>
      </c>
    </row>
    <row r="728" spans="1:12" ht="16" customHeight="1">
      <c r="A728" t="s">
        <v>295</v>
      </c>
      <c r="B728" t="s">
        <v>5</v>
      </c>
      <c r="C728" t="s">
        <v>19</v>
      </c>
      <c r="D728" s="24">
        <v>45931</v>
      </c>
      <c r="E728" t="s">
        <v>296</v>
      </c>
      <c r="F728" t="s">
        <v>4</v>
      </c>
      <c r="G728" t="s">
        <v>217</v>
      </c>
      <c r="H728" t="s">
        <v>217</v>
      </c>
      <c r="I728" t="s">
        <v>223</v>
      </c>
      <c r="J728" s="25">
        <v>18355</v>
      </c>
      <c r="K728" s="26">
        <v>3100.66</v>
      </c>
      <c r="L728" s="26">
        <v>32.71</v>
      </c>
    </row>
    <row r="729" spans="1:12" ht="16" customHeight="1">
      <c r="A729" t="s">
        <v>295</v>
      </c>
      <c r="B729" t="s">
        <v>5</v>
      </c>
      <c r="C729" t="s">
        <v>19</v>
      </c>
      <c r="D729" s="24">
        <v>45931</v>
      </c>
      <c r="E729" t="s">
        <v>224</v>
      </c>
      <c r="F729" t="s">
        <v>4</v>
      </c>
      <c r="G729" t="s">
        <v>217</v>
      </c>
      <c r="H729" t="s">
        <v>217</v>
      </c>
      <c r="I729" t="s">
        <v>267</v>
      </c>
      <c r="J729" s="25">
        <v>28487</v>
      </c>
      <c r="K729" s="26">
        <v>5532.95</v>
      </c>
      <c r="L729" s="26">
        <v>76.94</v>
      </c>
    </row>
    <row r="730" spans="1:12" ht="16" customHeight="1">
      <c r="A730" t="s">
        <v>295</v>
      </c>
      <c r="B730" t="s">
        <v>5</v>
      </c>
      <c r="C730" t="s">
        <v>19</v>
      </c>
      <c r="D730" s="24">
        <v>45931</v>
      </c>
      <c r="E730" t="s">
        <v>226</v>
      </c>
      <c r="F730" t="s">
        <v>4</v>
      </c>
      <c r="G730" t="s">
        <v>217</v>
      </c>
      <c r="H730" t="s">
        <v>217</v>
      </c>
      <c r="I730" t="s">
        <v>268</v>
      </c>
      <c r="J730" s="25">
        <v>5588</v>
      </c>
      <c r="K730" s="26">
        <v>1112.47</v>
      </c>
      <c r="L730" s="26">
        <v>20.25</v>
      </c>
    </row>
    <row r="731" spans="1:12" ht="16" customHeight="1">
      <c r="A731" t="s">
        <v>295</v>
      </c>
      <c r="B731" t="s">
        <v>5</v>
      </c>
      <c r="C731" t="s">
        <v>19</v>
      </c>
      <c r="D731" s="24">
        <v>45931</v>
      </c>
      <c r="E731" t="s">
        <v>269</v>
      </c>
      <c r="F731" t="s">
        <v>4</v>
      </c>
      <c r="G731" t="s">
        <v>217</v>
      </c>
      <c r="H731" t="s">
        <v>217</v>
      </c>
      <c r="I731" t="s">
        <v>270</v>
      </c>
      <c r="J731" s="25">
        <v>54</v>
      </c>
      <c r="K731" s="26">
        <v>9.7899999999999991</v>
      </c>
      <c r="L731" s="26">
        <v>0.1</v>
      </c>
    </row>
    <row r="732" spans="1:12" ht="16" customHeight="1">
      <c r="A732" t="s">
        <v>295</v>
      </c>
      <c r="B732" t="s">
        <v>5</v>
      </c>
      <c r="C732" t="s">
        <v>19</v>
      </c>
      <c r="D732" s="24">
        <v>45931</v>
      </c>
      <c r="E732" t="s">
        <v>228</v>
      </c>
      <c r="F732" t="s">
        <v>4</v>
      </c>
      <c r="G732" t="s">
        <v>217</v>
      </c>
      <c r="H732" t="s">
        <v>217</v>
      </c>
      <c r="I732" t="s">
        <v>271</v>
      </c>
      <c r="J732" s="25">
        <v>2689</v>
      </c>
      <c r="K732" s="26">
        <v>517.44000000000005</v>
      </c>
      <c r="L732" s="26">
        <v>16.350000000000001</v>
      </c>
    </row>
    <row r="733" spans="1:12" ht="16" customHeight="1">
      <c r="A733" t="s">
        <v>295</v>
      </c>
      <c r="B733" t="s">
        <v>5</v>
      </c>
      <c r="C733" t="s">
        <v>19</v>
      </c>
      <c r="D733" s="24">
        <v>45931</v>
      </c>
      <c r="E733" t="s">
        <v>230</v>
      </c>
      <c r="F733" t="s">
        <v>4</v>
      </c>
      <c r="G733" t="s">
        <v>217</v>
      </c>
      <c r="H733" t="s">
        <v>217</v>
      </c>
      <c r="I733" t="s">
        <v>272</v>
      </c>
      <c r="J733" s="25">
        <v>0</v>
      </c>
      <c r="K733" s="26">
        <v>0</v>
      </c>
      <c r="L733" s="26">
        <v>0</v>
      </c>
    </row>
    <row r="734" spans="1:12" ht="16" customHeight="1">
      <c r="A734" t="s">
        <v>295</v>
      </c>
      <c r="B734" t="s">
        <v>5</v>
      </c>
      <c r="C734" t="s">
        <v>19</v>
      </c>
      <c r="D734" s="24">
        <v>45931</v>
      </c>
      <c r="E734" t="s">
        <v>232</v>
      </c>
      <c r="F734" t="s">
        <v>4</v>
      </c>
      <c r="G734" t="s">
        <v>217</v>
      </c>
      <c r="H734" t="s">
        <v>217</v>
      </c>
      <c r="I734" t="s">
        <v>273</v>
      </c>
      <c r="J734" s="25">
        <v>10</v>
      </c>
      <c r="K734" s="26">
        <v>1.54</v>
      </c>
      <c r="L734" s="26">
        <v>0.03</v>
      </c>
    </row>
    <row r="735" spans="1:12" ht="16" customHeight="1">
      <c r="A735" t="s">
        <v>295</v>
      </c>
      <c r="B735" t="s">
        <v>5</v>
      </c>
      <c r="C735" t="s">
        <v>19</v>
      </c>
      <c r="D735" s="24">
        <v>45931</v>
      </c>
      <c r="E735" t="s">
        <v>234</v>
      </c>
      <c r="F735" t="s">
        <v>4</v>
      </c>
      <c r="G735" t="s">
        <v>217</v>
      </c>
      <c r="H735" t="s">
        <v>217</v>
      </c>
      <c r="I735" t="s">
        <v>274</v>
      </c>
      <c r="J735" s="25">
        <v>0</v>
      </c>
      <c r="K735" s="26">
        <v>0</v>
      </c>
      <c r="L735" s="26">
        <v>0</v>
      </c>
    </row>
    <row r="736" spans="1:12" ht="16" customHeight="1">
      <c r="A736" t="s">
        <v>295</v>
      </c>
      <c r="B736" t="s">
        <v>5</v>
      </c>
      <c r="C736" t="s">
        <v>19</v>
      </c>
      <c r="D736" s="24">
        <v>45931</v>
      </c>
      <c r="E736" t="s">
        <v>236</v>
      </c>
      <c r="F736" t="s">
        <v>4</v>
      </c>
      <c r="G736" t="s">
        <v>217</v>
      </c>
      <c r="H736" t="s">
        <v>217</v>
      </c>
      <c r="I736" t="s">
        <v>275</v>
      </c>
      <c r="J736" s="25">
        <v>1</v>
      </c>
      <c r="K736" s="26">
        <v>0.2</v>
      </c>
      <c r="L736" s="26">
        <v>0.01</v>
      </c>
    </row>
    <row r="737" spans="1:12" ht="16" customHeight="1">
      <c r="A737" t="s">
        <v>295</v>
      </c>
      <c r="B737" t="s">
        <v>5</v>
      </c>
      <c r="C737" t="s">
        <v>19</v>
      </c>
      <c r="D737" s="24">
        <v>45931</v>
      </c>
      <c r="E737" t="s">
        <v>238</v>
      </c>
      <c r="F737" t="s">
        <v>4</v>
      </c>
      <c r="G737" t="s">
        <v>217</v>
      </c>
      <c r="H737" t="s">
        <v>217</v>
      </c>
      <c r="I737" t="s">
        <v>276</v>
      </c>
      <c r="J737" s="25">
        <v>0</v>
      </c>
      <c r="K737" s="26">
        <v>0</v>
      </c>
      <c r="L737" s="26">
        <v>0</v>
      </c>
    </row>
    <row r="738" spans="1:12" ht="16" customHeight="1">
      <c r="A738" t="s">
        <v>295</v>
      </c>
      <c r="B738" t="s">
        <v>5</v>
      </c>
      <c r="C738" t="s">
        <v>19</v>
      </c>
      <c r="D738" s="24">
        <v>45931</v>
      </c>
      <c r="E738" t="s">
        <v>240</v>
      </c>
      <c r="F738" t="s">
        <v>3</v>
      </c>
      <c r="G738" t="s">
        <v>241</v>
      </c>
      <c r="H738" t="s">
        <v>241</v>
      </c>
      <c r="I738" t="s">
        <v>277</v>
      </c>
      <c r="J738" s="25">
        <v>0</v>
      </c>
      <c r="K738" s="26">
        <v>0</v>
      </c>
      <c r="L738" s="26">
        <v>0</v>
      </c>
    </row>
    <row r="739" spans="1:12" ht="16" customHeight="1">
      <c r="A739" t="s">
        <v>295</v>
      </c>
      <c r="B739" t="s">
        <v>5</v>
      </c>
      <c r="C739" t="s">
        <v>19</v>
      </c>
      <c r="D739" s="24">
        <v>45931</v>
      </c>
      <c r="E739" t="s">
        <v>243</v>
      </c>
      <c r="F739" t="s">
        <v>4</v>
      </c>
      <c r="G739" t="s">
        <v>217</v>
      </c>
      <c r="H739" t="s">
        <v>217</v>
      </c>
      <c r="I739" t="s">
        <v>278</v>
      </c>
      <c r="J739" s="25">
        <v>0</v>
      </c>
      <c r="K739" s="26">
        <v>0</v>
      </c>
      <c r="L739" s="26">
        <v>0</v>
      </c>
    </row>
    <row r="740" spans="1:12" ht="16" customHeight="1">
      <c r="A740" t="s">
        <v>297</v>
      </c>
      <c r="B740" t="s">
        <v>6</v>
      </c>
      <c r="C740" t="s">
        <v>19</v>
      </c>
      <c r="D740" s="24">
        <v>45931</v>
      </c>
      <c r="E740" t="s">
        <v>262</v>
      </c>
      <c r="F740" t="s">
        <v>4</v>
      </c>
      <c r="G740" t="s">
        <v>211</v>
      </c>
      <c r="H740" t="s">
        <v>211</v>
      </c>
      <c r="I740" t="s">
        <v>219</v>
      </c>
      <c r="J740" s="25">
        <v>52560220</v>
      </c>
      <c r="K740" s="26">
        <v>10283082.42</v>
      </c>
      <c r="L740" s="26">
        <v>28665.68</v>
      </c>
    </row>
    <row r="741" spans="1:12" ht="16" customHeight="1">
      <c r="A741" t="s">
        <v>297</v>
      </c>
      <c r="B741" t="s">
        <v>6</v>
      </c>
      <c r="C741" t="s">
        <v>19</v>
      </c>
      <c r="D741" s="24">
        <v>45931</v>
      </c>
      <c r="E741" t="s">
        <v>282</v>
      </c>
      <c r="F741" t="s">
        <v>4</v>
      </c>
      <c r="G741" t="s">
        <v>211</v>
      </c>
      <c r="H741" t="s">
        <v>211</v>
      </c>
      <c r="I741" t="s">
        <v>219</v>
      </c>
      <c r="J741" s="25">
        <v>1449290</v>
      </c>
      <c r="K741" s="26">
        <v>284454.90999999997</v>
      </c>
      <c r="L741" s="26">
        <v>1248.9000000000001</v>
      </c>
    </row>
    <row r="742" spans="1:12" ht="16" customHeight="1">
      <c r="A742" t="s">
        <v>297</v>
      </c>
      <c r="B742" t="s">
        <v>6</v>
      </c>
      <c r="C742" t="s">
        <v>19</v>
      </c>
      <c r="D742" s="24">
        <v>45931</v>
      </c>
      <c r="E742" t="s">
        <v>287</v>
      </c>
      <c r="F742" t="s">
        <v>4</v>
      </c>
      <c r="G742" t="s">
        <v>211</v>
      </c>
      <c r="H742" t="s">
        <v>211</v>
      </c>
      <c r="I742" t="s">
        <v>219</v>
      </c>
      <c r="J742" s="25">
        <v>84113</v>
      </c>
      <c r="K742" s="26">
        <v>16565.59</v>
      </c>
      <c r="L742" s="26">
        <v>92.45</v>
      </c>
    </row>
    <row r="743" spans="1:12" ht="16" customHeight="1">
      <c r="A743" t="s">
        <v>297</v>
      </c>
      <c r="B743" t="s">
        <v>6</v>
      </c>
      <c r="C743" t="s">
        <v>19</v>
      </c>
      <c r="D743" s="24">
        <v>45931</v>
      </c>
      <c r="E743" t="s">
        <v>220</v>
      </c>
      <c r="F743" t="s">
        <v>4</v>
      </c>
      <c r="G743" t="s">
        <v>217</v>
      </c>
      <c r="H743" t="s">
        <v>217</v>
      </c>
      <c r="I743" t="s">
        <v>219</v>
      </c>
      <c r="J743" s="25">
        <v>1206538</v>
      </c>
      <c r="K743" s="26">
        <v>237266.58</v>
      </c>
      <c r="L743" s="26">
        <v>1809.03</v>
      </c>
    </row>
    <row r="744" spans="1:12" ht="16" customHeight="1">
      <c r="A744" t="s">
        <v>297</v>
      </c>
      <c r="B744" t="s">
        <v>6</v>
      </c>
      <c r="C744" t="s">
        <v>19</v>
      </c>
      <c r="D744" s="24">
        <v>45931</v>
      </c>
      <c r="E744" t="s">
        <v>291</v>
      </c>
      <c r="F744" t="s">
        <v>4</v>
      </c>
      <c r="G744" t="s">
        <v>211</v>
      </c>
      <c r="H744" t="s">
        <v>211</v>
      </c>
      <c r="I744" t="s">
        <v>221</v>
      </c>
      <c r="J744" s="25">
        <v>5354</v>
      </c>
      <c r="K744" s="26">
        <v>1063.75</v>
      </c>
      <c r="L744" s="26">
        <v>9.07</v>
      </c>
    </row>
    <row r="745" spans="1:12" ht="16" customHeight="1">
      <c r="A745" t="s">
        <v>297</v>
      </c>
      <c r="B745" t="s">
        <v>6</v>
      </c>
      <c r="C745" t="s">
        <v>19</v>
      </c>
      <c r="D745" s="24">
        <v>45931</v>
      </c>
      <c r="E745" t="s">
        <v>222</v>
      </c>
      <c r="F745" t="s">
        <v>4</v>
      </c>
      <c r="G745" t="s">
        <v>217</v>
      </c>
      <c r="H745" t="s">
        <v>217</v>
      </c>
      <c r="I745" t="s">
        <v>221</v>
      </c>
      <c r="J745" s="25">
        <v>160602</v>
      </c>
      <c r="K745" s="26">
        <v>31617.81</v>
      </c>
      <c r="L745" s="26">
        <v>317.25</v>
      </c>
    </row>
    <row r="746" spans="1:12" ht="16" customHeight="1">
      <c r="A746" t="s">
        <v>297</v>
      </c>
      <c r="B746" t="s">
        <v>6</v>
      </c>
      <c r="C746" t="s">
        <v>19</v>
      </c>
      <c r="D746" s="24">
        <v>45931</v>
      </c>
      <c r="E746" t="s">
        <v>296</v>
      </c>
      <c r="F746" t="s">
        <v>4</v>
      </c>
      <c r="G746" t="s">
        <v>217</v>
      </c>
      <c r="H746" t="s">
        <v>217</v>
      </c>
      <c r="I746" t="s">
        <v>223</v>
      </c>
      <c r="J746" s="25">
        <v>14161</v>
      </c>
      <c r="K746" s="26">
        <v>2401.81</v>
      </c>
      <c r="L746" s="26">
        <v>27.25</v>
      </c>
    </row>
    <row r="747" spans="1:12" ht="16" customHeight="1">
      <c r="A747" t="s">
        <v>297</v>
      </c>
      <c r="B747" t="s">
        <v>6</v>
      </c>
      <c r="C747" t="s">
        <v>19</v>
      </c>
      <c r="D747" s="24">
        <v>45931</v>
      </c>
      <c r="E747" t="s">
        <v>224</v>
      </c>
      <c r="F747" t="s">
        <v>4</v>
      </c>
      <c r="G747" t="s">
        <v>217</v>
      </c>
      <c r="H747" t="s">
        <v>217</v>
      </c>
      <c r="I747" t="s">
        <v>267</v>
      </c>
      <c r="J747" s="25">
        <v>22497</v>
      </c>
      <c r="K747" s="26">
        <v>4396.88</v>
      </c>
      <c r="L747" s="26">
        <v>59.92</v>
      </c>
    </row>
    <row r="748" spans="1:12" ht="16" customHeight="1">
      <c r="A748" t="s">
        <v>297</v>
      </c>
      <c r="B748" t="s">
        <v>6</v>
      </c>
      <c r="C748" t="s">
        <v>19</v>
      </c>
      <c r="D748" s="24">
        <v>45931</v>
      </c>
      <c r="E748" t="s">
        <v>226</v>
      </c>
      <c r="F748" t="s">
        <v>4</v>
      </c>
      <c r="G748" t="s">
        <v>217</v>
      </c>
      <c r="H748" t="s">
        <v>217</v>
      </c>
      <c r="I748" t="s">
        <v>268</v>
      </c>
      <c r="J748" s="25">
        <v>4283</v>
      </c>
      <c r="K748" s="26">
        <v>868.97</v>
      </c>
      <c r="L748" s="26">
        <v>19.68</v>
      </c>
    </row>
    <row r="749" spans="1:12" ht="16" customHeight="1">
      <c r="A749" t="s">
        <v>297</v>
      </c>
      <c r="B749" t="s">
        <v>6</v>
      </c>
      <c r="C749" t="s">
        <v>19</v>
      </c>
      <c r="D749" s="24">
        <v>45931</v>
      </c>
      <c r="E749" t="s">
        <v>269</v>
      </c>
      <c r="F749" t="s">
        <v>4</v>
      </c>
      <c r="G749" t="s">
        <v>217</v>
      </c>
      <c r="H749" t="s">
        <v>217</v>
      </c>
      <c r="I749" t="s">
        <v>270</v>
      </c>
      <c r="J749" s="25">
        <v>80</v>
      </c>
      <c r="K749" s="26">
        <v>14.99</v>
      </c>
      <c r="L749" s="26">
        <v>0.21</v>
      </c>
    </row>
    <row r="750" spans="1:12" ht="16" customHeight="1">
      <c r="A750" t="s">
        <v>297</v>
      </c>
      <c r="B750" t="s">
        <v>6</v>
      </c>
      <c r="C750" t="s">
        <v>19</v>
      </c>
      <c r="D750" s="24">
        <v>45931</v>
      </c>
      <c r="E750" t="s">
        <v>228</v>
      </c>
      <c r="F750" t="s">
        <v>4</v>
      </c>
      <c r="G750" t="s">
        <v>217</v>
      </c>
      <c r="H750" t="s">
        <v>217</v>
      </c>
      <c r="I750" t="s">
        <v>271</v>
      </c>
      <c r="J750" s="25">
        <v>1746</v>
      </c>
      <c r="K750" s="26">
        <v>351.78</v>
      </c>
      <c r="L750" s="26">
        <v>11.55</v>
      </c>
    </row>
    <row r="751" spans="1:12" ht="16" customHeight="1">
      <c r="A751" t="s">
        <v>297</v>
      </c>
      <c r="B751" t="s">
        <v>6</v>
      </c>
      <c r="C751" t="s">
        <v>19</v>
      </c>
      <c r="D751" s="24">
        <v>45931</v>
      </c>
      <c r="E751" t="s">
        <v>230</v>
      </c>
      <c r="F751" t="s">
        <v>4</v>
      </c>
      <c r="G751" t="s">
        <v>217</v>
      </c>
      <c r="H751" t="s">
        <v>217</v>
      </c>
      <c r="I751" t="s">
        <v>272</v>
      </c>
      <c r="J751" s="25">
        <v>0</v>
      </c>
      <c r="K751" s="26">
        <v>0</v>
      </c>
      <c r="L751" s="26">
        <v>0</v>
      </c>
    </row>
    <row r="752" spans="1:12" ht="16" customHeight="1">
      <c r="A752" t="s">
        <v>297</v>
      </c>
      <c r="B752" t="s">
        <v>6</v>
      </c>
      <c r="C752" t="s">
        <v>19</v>
      </c>
      <c r="D752" s="24">
        <v>45931</v>
      </c>
      <c r="E752" t="s">
        <v>232</v>
      </c>
      <c r="F752" t="s">
        <v>4</v>
      </c>
      <c r="G752" t="s">
        <v>217</v>
      </c>
      <c r="H752" t="s">
        <v>217</v>
      </c>
      <c r="I752" t="s">
        <v>273</v>
      </c>
      <c r="J752" s="25">
        <v>9</v>
      </c>
      <c r="K752" s="26">
        <v>1.57</v>
      </c>
      <c r="L752" s="26">
        <v>0.04</v>
      </c>
    </row>
    <row r="753" spans="1:12" ht="16" customHeight="1">
      <c r="A753" t="s">
        <v>297</v>
      </c>
      <c r="B753" t="s">
        <v>6</v>
      </c>
      <c r="C753" t="s">
        <v>19</v>
      </c>
      <c r="D753" s="24">
        <v>45931</v>
      </c>
      <c r="E753" t="s">
        <v>234</v>
      </c>
      <c r="F753" t="s">
        <v>4</v>
      </c>
      <c r="G753" t="s">
        <v>217</v>
      </c>
      <c r="H753" t="s">
        <v>217</v>
      </c>
      <c r="I753" t="s">
        <v>274</v>
      </c>
      <c r="J753" s="25">
        <v>0</v>
      </c>
      <c r="K753" s="26">
        <v>0</v>
      </c>
      <c r="L753" s="26">
        <v>0</v>
      </c>
    </row>
    <row r="754" spans="1:12" ht="16" customHeight="1">
      <c r="A754" t="s">
        <v>297</v>
      </c>
      <c r="B754" t="s">
        <v>6</v>
      </c>
      <c r="C754" t="s">
        <v>19</v>
      </c>
      <c r="D754" s="24">
        <v>45931</v>
      </c>
      <c r="E754" t="s">
        <v>236</v>
      </c>
      <c r="F754" t="s">
        <v>4</v>
      </c>
      <c r="G754" t="s">
        <v>217</v>
      </c>
      <c r="H754" t="s">
        <v>217</v>
      </c>
      <c r="I754" t="s">
        <v>275</v>
      </c>
      <c r="J754" s="25">
        <v>3</v>
      </c>
      <c r="K754" s="26">
        <v>0.61</v>
      </c>
      <c r="L754" s="26">
        <v>0.02</v>
      </c>
    </row>
    <row r="755" spans="1:12" ht="16" customHeight="1">
      <c r="A755" t="s">
        <v>297</v>
      </c>
      <c r="B755" t="s">
        <v>6</v>
      </c>
      <c r="C755" t="s">
        <v>19</v>
      </c>
      <c r="D755" s="24">
        <v>45931</v>
      </c>
      <c r="E755" t="s">
        <v>238</v>
      </c>
      <c r="F755" t="s">
        <v>4</v>
      </c>
      <c r="G755" t="s">
        <v>217</v>
      </c>
      <c r="H755" t="s">
        <v>217</v>
      </c>
      <c r="I755" t="s">
        <v>276</v>
      </c>
      <c r="J755" s="25">
        <v>0</v>
      </c>
      <c r="K755" s="26">
        <v>0</v>
      </c>
      <c r="L755" s="26">
        <v>0</v>
      </c>
    </row>
    <row r="756" spans="1:12" ht="16" customHeight="1">
      <c r="A756" t="s">
        <v>297</v>
      </c>
      <c r="B756" t="s">
        <v>6</v>
      </c>
      <c r="C756" t="s">
        <v>19</v>
      </c>
      <c r="D756" s="24">
        <v>45931</v>
      </c>
      <c r="E756" t="s">
        <v>240</v>
      </c>
      <c r="F756" t="s">
        <v>3</v>
      </c>
      <c r="G756" t="s">
        <v>241</v>
      </c>
      <c r="H756" t="s">
        <v>241</v>
      </c>
      <c r="I756" t="s">
        <v>277</v>
      </c>
      <c r="J756" s="25">
        <v>0</v>
      </c>
      <c r="K756" s="26">
        <v>0</v>
      </c>
      <c r="L756" s="26">
        <v>0</v>
      </c>
    </row>
    <row r="757" spans="1:12" ht="16" customHeight="1">
      <c r="A757" t="s">
        <v>297</v>
      </c>
      <c r="B757" t="s">
        <v>6</v>
      </c>
      <c r="C757" t="s">
        <v>19</v>
      </c>
      <c r="D757" s="24">
        <v>45931</v>
      </c>
      <c r="E757" t="s">
        <v>243</v>
      </c>
      <c r="F757" t="s">
        <v>4</v>
      </c>
      <c r="G757" t="s">
        <v>217</v>
      </c>
      <c r="H757" t="s">
        <v>217</v>
      </c>
      <c r="I757" t="s">
        <v>278</v>
      </c>
      <c r="J757" s="25">
        <v>0</v>
      </c>
      <c r="K757" s="26">
        <v>0</v>
      </c>
      <c r="L757" s="26">
        <v>0</v>
      </c>
    </row>
    <row r="758" spans="1:12" ht="16" customHeight="1">
      <c r="A758" t="s">
        <v>298</v>
      </c>
      <c r="B758" t="s">
        <v>7</v>
      </c>
      <c r="C758" t="s">
        <v>19</v>
      </c>
      <c r="D758" s="24">
        <v>45931</v>
      </c>
      <c r="E758" t="s">
        <v>262</v>
      </c>
      <c r="F758" t="s">
        <v>4</v>
      </c>
      <c r="G758" t="s">
        <v>211</v>
      </c>
      <c r="H758" t="s">
        <v>211</v>
      </c>
      <c r="I758" t="s">
        <v>219</v>
      </c>
      <c r="J758" s="25">
        <v>99361213</v>
      </c>
      <c r="K758" s="26">
        <v>19359067.809999999</v>
      </c>
      <c r="L758" s="26">
        <v>44892.46</v>
      </c>
    </row>
    <row r="759" spans="1:12" ht="16" customHeight="1">
      <c r="A759" t="s">
        <v>298</v>
      </c>
      <c r="B759" t="s">
        <v>7</v>
      </c>
      <c r="C759" t="s">
        <v>19</v>
      </c>
      <c r="D759" s="24">
        <v>45931</v>
      </c>
      <c r="E759" t="s">
        <v>282</v>
      </c>
      <c r="F759" t="s">
        <v>4</v>
      </c>
      <c r="G759" t="s">
        <v>211</v>
      </c>
      <c r="H759" t="s">
        <v>211</v>
      </c>
      <c r="I759" t="s">
        <v>219</v>
      </c>
      <c r="J759" s="25">
        <v>2325416</v>
      </c>
      <c r="K759" s="26">
        <v>454925.7</v>
      </c>
      <c r="L759" s="26">
        <v>1765.55</v>
      </c>
    </row>
    <row r="760" spans="1:12" ht="16" customHeight="1">
      <c r="A760" t="s">
        <v>298</v>
      </c>
      <c r="B760" t="s">
        <v>7</v>
      </c>
      <c r="C760" t="s">
        <v>19</v>
      </c>
      <c r="D760" s="24">
        <v>45931</v>
      </c>
      <c r="E760" t="s">
        <v>287</v>
      </c>
      <c r="F760" t="s">
        <v>4</v>
      </c>
      <c r="G760" t="s">
        <v>211</v>
      </c>
      <c r="H760" t="s">
        <v>211</v>
      </c>
      <c r="I760" t="s">
        <v>219</v>
      </c>
      <c r="J760" s="25">
        <v>132718</v>
      </c>
      <c r="K760" s="26">
        <v>26063.93</v>
      </c>
      <c r="L760" s="26">
        <v>135.85</v>
      </c>
    </row>
    <row r="761" spans="1:12" ht="16" customHeight="1">
      <c r="A761" t="s">
        <v>298</v>
      </c>
      <c r="B761" t="s">
        <v>7</v>
      </c>
      <c r="C761" t="s">
        <v>19</v>
      </c>
      <c r="D761" s="24">
        <v>45931</v>
      </c>
      <c r="E761" t="s">
        <v>220</v>
      </c>
      <c r="F761" t="s">
        <v>4</v>
      </c>
      <c r="G761" t="s">
        <v>217</v>
      </c>
      <c r="H761" t="s">
        <v>217</v>
      </c>
      <c r="I761" t="s">
        <v>219</v>
      </c>
      <c r="J761" s="25">
        <v>1231944</v>
      </c>
      <c r="K761" s="26">
        <v>241771.07</v>
      </c>
      <c r="L761" s="26">
        <v>1737.39</v>
      </c>
    </row>
    <row r="762" spans="1:12" ht="16" customHeight="1">
      <c r="A762" t="s">
        <v>298</v>
      </c>
      <c r="B762" t="s">
        <v>7</v>
      </c>
      <c r="C762" t="s">
        <v>19</v>
      </c>
      <c r="D762" s="24">
        <v>45931</v>
      </c>
      <c r="E762" t="s">
        <v>291</v>
      </c>
      <c r="F762" t="s">
        <v>4</v>
      </c>
      <c r="G762" t="s">
        <v>211</v>
      </c>
      <c r="H762" t="s">
        <v>211</v>
      </c>
      <c r="I762" t="s">
        <v>221</v>
      </c>
      <c r="J762" s="25">
        <v>6204</v>
      </c>
      <c r="K762" s="26">
        <v>1223.6099999999999</v>
      </c>
      <c r="L762" s="26">
        <v>9.6199999999999992</v>
      </c>
    </row>
    <row r="763" spans="1:12" ht="16" customHeight="1">
      <c r="A763" t="s">
        <v>298</v>
      </c>
      <c r="B763" t="s">
        <v>7</v>
      </c>
      <c r="C763" t="s">
        <v>19</v>
      </c>
      <c r="D763" s="24">
        <v>45931</v>
      </c>
      <c r="E763" t="s">
        <v>222</v>
      </c>
      <c r="F763" t="s">
        <v>4</v>
      </c>
      <c r="G763" t="s">
        <v>217</v>
      </c>
      <c r="H763" t="s">
        <v>217</v>
      </c>
      <c r="I763" t="s">
        <v>221</v>
      </c>
      <c r="J763" s="25">
        <v>154754</v>
      </c>
      <c r="K763" s="26">
        <v>30402.98</v>
      </c>
      <c r="L763" s="26">
        <v>284.95999999999998</v>
      </c>
    </row>
    <row r="764" spans="1:12" ht="16" customHeight="1">
      <c r="A764" t="s">
        <v>298</v>
      </c>
      <c r="B764" t="s">
        <v>7</v>
      </c>
      <c r="C764" t="s">
        <v>19</v>
      </c>
      <c r="D764" s="24">
        <v>45931</v>
      </c>
      <c r="E764" t="s">
        <v>296</v>
      </c>
      <c r="F764" t="s">
        <v>4</v>
      </c>
      <c r="G764" t="s">
        <v>217</v>
      </c>
      <c r="H764" t="s">
        <v>217</v>
      </c>
      <c r="I764" t="s">
        <v>223</v>
      </c>
      <c r="J764" s="25">
        <v>14522</v>
      </c>
      <c r="K764" s="26">
        <v>2461.29</v>
      </c>
      <c r="L764" s="26">
        <v>28.51</v>
      </c>
    </row>
    <row r="765" spans="1:12" ht="16" customHeight="1">
      <c r="A765" t="s">
        <v>298</v>
      </c>
      <c r="B765" t="s">
        <v>7</v>
      </c>
      <c r="C765" t="s">
        <v>19</v>
      </c>
      <c r="D765" s="24">
        <v>45931</v>
      </c>
      <c r="E765" t="s">
        <v>224</v>
      </c>
      <c r="F765" t="s">
        <v>4</v>
      </c>
      <c r="G765" t="s">
        <v>217</v>
      </c>
      <c r="H765" t="s">
        <v>217</v>
      </c>
      <c r="I765" t="s">
        <v>267</v>
      </c>
      <c r="J765" s="25">
        <v>13524</v>
      </c>
      <c r="K765" s="26">
        <v>2660.63</v>
      </c>
      <c r="L765" s="26">
        <v>38.94</v>
      </c>
    </row>
    <row r="766" spans="1:12" ht="16" customHeight="1">
      <c r="A766" t="s">
        <v>298</v>
      </c>
      <c r="B766" t="s">
        <v>7</v>
      </c>
      <c r="C766" t="s">
        <v>19</v>
      </c>
      <c r="D766" s="24">
        <v>45931</v>
      </c>
      <c r="E766" t="s">
        <v>226</v>
      </c>
      <c r="F766" t="s">
        <v>4</v>
      </c>
      <c r="G766" t="s">
        <v>217</v>
      </c>
      <c r="H766" t="s">
        <v>217</v>
      </c>
      <c r="I766" t="s">
        <v>268</v>
      </c>
      <c r="J766" s="25">
        <v>7676</v>
      </c>
      <c r="K766" s="26">
        <v>1478.14</v>
      </c>
      <c r="L766" s="26">
        <v>31.09</v>
      </c>
    </row>
    <row r="767" spans="1:12" ht="16" customHeight="1">
      <c r="A767" t="s">
        <v>298</v>
      </c>
      <c r="B767" t="s">
        <v>7</v>
      </c>
      <c r="C767" t="s">
        <v>19</v>
      </c>
      <c r="D767" s="24">
        <v>45931</v>
      </c>
      <c r="E767" t="s">
        <v>269</v>
      </c>
      <c r="F767" t="s">
        <v>4</v>
      </c>
      <c r="G767" t="s">
        <v>217</v>
      </c>
      <c r="H767" t="s">
        <v>217</v>
      </c>
      <c r="I767" t="s">
        <v>270</v>
      </c>
      <c r="J767" s="25">
        <v>25</v>
      </c>
      <c r="K767" s="26">
        <v>4.6900000000000004</v>
      </c>
      <c r="L767" s="26">
        <v>7.0000000000000007E-2</v>
      </c>
    </row>
    <row r="768" spans="1:12" ht="16" customHeight="1">
      <c r="A768" t="s">
        <v>298</v>
      </c>
      <c r="B768" t="s">
        <v>7</v>
      </c>
      <c r="C768" t="s">
        <v>19</v>
      </c>
      <c r="D768" s="24">
        <v>45931</v>
      </c>
      <c r="E768" t="s">
        <v>228</v>
      </c>
      <c r="F768" t="s">
        <v>4</v>
      </c>
      <c r="G768" t="s">
        <v>217</v>
      </c>
      <c r="H768" t="s">
        <v>217</v>
      </c>
      <c r="I768" t="s">
        <v>271</v>
      </c>
      <c r="J768" s="25">
        <v>2630</v>
      </c>
      <c r="K768" s="26">
        <v>534.17999999999995</v>
      </c>
      <c r="L768" s="26">
        <v>16.52</v>
      </c>
    </row>
    <row r="769" spans="1:12" ht="16" customHeight="1">
      <c r="A769" t="s">
        <v>298</v>
      </c>
      <c r="B769" t="s">
        <v>7</v>
      </c>
      <c r="C769" t="s">
        <v>19</v>
      </c>
      <c r="D769" s="24">
        <v>45931</v>
      </c>
      <c r="E769" t="s">
        <v>230</v>
      </c>
      <c r="F769" t="s">
        <v>4</v>
      </c>
      <c r="G769" t="s">
        <v>217</v>
      </c>
      <c r="H769" t="s">
        <v>217</v>
      </c>
      <c r="I769" t="s">
        <v>272</v>
      </c>
      <c r="J769" s="25">
        <v>0</v>
      </c>
      <c r="K769" s="26">
        <v>0</v>
      </c>
      <c r="L769" s="26">
        <v>0</v>
      </c>
    </row>
    <row r="770" spans="1:12" ht="16" customHeight="1">
      <c r="A770" t="s">
        <v>298</v>
      </c>
      <c r="B770" t="s">
        <v>7</v>
      </c>
      <c r="C770" t="s">
        <v>19</v>
      </c>
      <c r="D770" s="24">
        <v>45931</v>
      </c>
      <c r="E770" t="s">
        <v>232</v>
      </c>
      <c r="F770" t="s">
        <v>4</v>
      </c>
      <c r="G770" t="s">
        <v>217</v>
      </c>
      <c r="H770" t="s">
        <v>217</v>
      </c>
      <c r="I770" t="s">
        <v>273</v>
      </c>
      <c r="J770" s="25">
        <v>46</v>
      </c>
      <c r="K770" s="26">
        <v>9.27</v>
      </c>
      <c r="L770" s="26">
        <v>0.34</v>
      </c>
    </row>
    <row r="771" spans="1:12" ht="16" customHeight="1">
      <c r="A771" t="s">
        <v>298</v>
      </c>
      <c r="B771" t="s">
        <v>7</v>
      </c>
      <c r="C771" t="s">
        <v>19</v>
      </c>
      <c r="D771" s="24">
        <v>45931</v>
      </c>
      <c r="E771" t="s">
        <v>234</v>
      </c>
      <c r="F771" t="s">
        <v>4</v>
      </c>
      <c r="G771" t="s">
        <v>217</v>
      </c>
      <c r="H771" t="s">
        <v>217</v>
      </c>
      <c r="I771" t="s">
        <v>274</v>
      </c>
      <c r="J771" s="25">
        <v>0</v>
      </c>
      <c r="K771" s="26">
        <v>0</v>
      </c>
      <c r="L771" s="26">
        <v>0</v>
      </c>
    </row>
    <row r="772" spans="1:12" ht="16" customHeight="1">
      <c r="A772" t="s">
        <v>298</v>
      </c>
      <c r="B772" t="s">
        <v>7</v>
      </c>
      <c r="C772" t="s">
        <v>19</v>
      </c>
      <c r="D772" s="24">
        <v>45931</v>
      </c>
      <c r="E772" t="s">
        <v>236</v>
      </c>
      <c r="F772" t="s">
        <v>4</v>
      </c>
      <c r="G772" t="s">
        <v>217</v>
      </c>
      <c r="H772" t="s">
        <v>217</v>
      </c>
      <c r="I772" t="s">
        <v>275</v>
      </c>
      <c r="J772" s="25">
        <v>1</v>
      </c>
      <c r="K772" s="26">
        <v>0.25</v>
      </c>
      <c r="L772" s="26">
        <v>0.02</v>
      </c>
    </row>
    <row r="773" spans="1:12" ht="16" customHeight="1">
      <c r="A773" t="s">
        <v>298</v>
      </c>
      <c r="B773" t="s">
        <v>7</v>
      </c>
      <c r="C773" t="s">
        <v>19</v>
      </c>
      <c r="D773" s="24">
        <v>45931</v>
      </c>
      <c r="E773" t="s">
        <v>238</v>
      </c>
      <c r="F773" t="s">
        <v>4</v>
      </c>
      <c r="G773" t="s">
        <v>217</v>
      </c>
      <c r="H773" t="s">
        <v>217</v>
      </c>
      <c r="I773" t="s">
        <v>276</v>
      </c>
      <c r="J773" s="25">
        <v>0</v>
      </c>
      <c r="K773" s="26">
        <v>0</v>
      </c>
      <c r="L773" s="26">
        <v>0</v>
      </c>
    </row>
    <row r="774" spans="1:12" ht="16" customHeight="1">
      <c r="A774" t="s">
        <v>298</v>
      </c>
      <c r="B774" t="s">
        <v>7</v>
      </c>
      <c r="C774" t="s">
        <v>19</v>
      </c>
      <c r="D774" s="24">
        <v>45931</v>
      </c>
      <c r="E774" t="s">
        <v>240</v>
      </c>
      <c r="F774" t="s">
        <v>3</v>
      </c>
      <c r="G774" t="s">
        <v>241</v>
      </c>
      <c r="H774" t="s">
        <v>241</v>
      </c>
      <c r="I774" t="s">
        <v>277</v>
      </c>
      <c r="J774" s="25">
        <v>0</v>
      </c>
      <c r="K774" s="26">
        <v>0</v>
      </c>
      <c r="L774" s="26">
        <v>0</v>
      </c>
    </row>
    <row r="775" spans="1:12" ht="16" customHeight="1">
      <c r="A775" t="s">
        <v>298</v>
      </c>
      <c r="B775" t="s">
        <v>7</v>
      </c>
      <c r="C775" t="s">
        <v>19</v>
      </c>
      <c r="D775" s="24">
        <v>45931</v>
      </c>
      <c r="E775" t="s">
        <v>243</v>
      </c>
      <c r="F775" t="s">
        <v>4</v>
      </c>
      <c r="G775" t="s">
        <v>217</v>
      </c>
      <c r="H775" t="s">
        <v>217</v>
      </c>
      <c r="I775" t="s">
        <v>278</v>
      </c>
      <c r="J775" s="25">
        <v>0</v>
      </c>
      <c r="K775" s="26">
        <v>0</v>
      </c>
      <c r="L775" s="26">
        <v>0</v>
      </c>
    </row>
    <row r="776" spans="1:12" ht="16" customHeight="1">
      <c r="A776" t="s">
        <v>299</v>
      </c>
      <c r="B776" t="s">
        <v>3</v>
      </c>
      <c r="C776" t="s">
        <v>20</v>
      </c>
      <c r="D776" s="24">
        <v>45962</v>
      </c>
      <c r="E776" t="s">
        <v>262</v>
      </c>
      <c r="F776" t="s">
        <v>4</v>
      </c>
      <c r="G776" t="s">
        <v>211</v>
      </c>
      <c r="H776" t="s">
        <v>211</v>
      </c>
      <c r="I776" t="s">
        <v>212</v>
      </c>
      <c r="J776" s="25">
        <v>123061875</v>
      </c>
      <c r="K776" s="26">
        <v>23844914.559999999</v>
      </c>
      <c r="L776" s="26">
        <v>42696.31</v>
      </c>
    </row>
    <row r="777" spans="1:12" ht="16" customHeight="1">
      <c r="A777" t="s">
        <v>299</v>
      </c>
      <c r="B777" t="s">
        <v>3</v>
      </c>
      <c r="C777" t="s">
        <v>20</v>
      </c>
      <c r="D777" s="24">
        <v>45962</v>
      </c>
      <c r="E777" t="s">
        <v>282</v>
      </c>
      <c r="F777" t="s">
        <v>4</v>
      </c>
      <c r="G777" t="s">
        <v>211</v>
      </c>
      <c r="H777" t="s">
        <v>211</v>
      </c>
      <c r="I777" t="s">
        <v>212</v>
      </c>
      <c r="J777" s="25">
        <v>4528472</v>
      </c>
      <c r="K777" s="26">
        <v>883332.92</v>
      </c>
      <c r="L777" s="26">
        <v>2862.85</v>
      </c>
    </row>
    <row r="778" spans="1:12" ht="16" customHeight="1">
      <c r="A778" t="s">
        <v>299</v>
      </c>
      <c r="B778" t="s">
        <v>3</v>
      </c>
      <c r="C778" t="s">
        <v>20</v>
      </c>
      <c r="D778" s="24">
        <v>45962</v>
      </c>
      <c r="E778" t="s">
        <v>287</v>
      </c>
      <c r="F778" t="s">
        <v>4</v>
      </c>
      <c r="G778" t="s">
        <v>211</v>
      </c>
      <c r="H778" t="s">
        <v>211</v>
      </c>
      <c r="I778" t="s">
        <v>212</v>
      </c>
      <c r="J778" s="25">
        <v>179949</v>
      </c>
      <c r="K778" s="26">
        <v>35191.85</v>
      </c>
      <c r="L778" s="26">
        <v>199.04</v>
      </c>
    </row>
    <row r="779" spans="1:12" ht="16" customHeight="1">
      <c r="A779" t="s">
        <v>299</v>
      </c>
      <c r="B779" t="s">
        <v>3</v>
      </c>
      <c r="C779" t="s">
        <v>20</v>
      </c>
      <c r="D779" s="24">
        <v>45962</v>
      </c>
      <c r="E779" t="s">
        <v>220</v>
      </c>
      <c r="F779" t="s">
        <v>4</v>
      </c>
      <c r="G779" t="s">
        <v>217</v>
      </c>
      <c r="H779" t="s">
        <v>217</v>
      </c>
      <c r="I779" t="s">
        <v>212</v>
      </c>
      <c r="J779" s="25">
        <v>1015423</v>
      </c>
      <c r="K779" s="26">
        <v>198189.78</v>
      </c>
      <c r="L779" s="26">
        <v>1375.35</v>
      </c>
    </row>
    <row r="780" spans="1:12" ht="16" customHeight="1">
      <c r="A780" t="s">
        <v>299</v>
      </c>
      <c r="B780" t="s">
        <v>3</v>
      </c>
      <c r="C780" t="s">
        <v>20</v>
      </c>
      <c r="D780" s="24">
        <v>45962</v>
      </c>
      <c r="E780" t="s">
        <v>291</v>
      </c>
      <c r="F780" t="s">
        <v>4</v>
      </c>
      <c r="G780" t="s">
        <v>211</v>
      </c>
      <c r="H780" t="s">
        <v>211</v>
      </c>
      <c r="I780" t="s">
        <v>219</v>
      </c>
      <c r="J780" s="25">
        <v>6510</v>
      </c>
      <c r="K780" s="26">
        <v>1280.76</v>
      </c>
      <c r="L780" s="26">
        <v>8.92</v>
      </c>
    </row>
    <row r="781" spans="1:12" ht="16" customHeight="1">
      <c r="A781" t="s">
        <v>299</v>
      </c>
      <c r="B781" t="s">
        <v>3</v>
      </c>
      <c r="C781" t="s">
        <v>20</v>
      </c>
      <c r="D781" s="24">
        <v>45962</v>
      </c>
      <c r="E781" t="s">
        <v>222</v>
      </c>
      <c r="F781" t="s">
        <v>4</v>
      </c>
      <c r="G781" t="s">
        <v>217</v>
      </c>
      <c r="H781" t="s">
        <v>217</v>
      </c>
      <c r="I781" t="s">
        <v>219</v>
      </c>
      <c r="J781" s="25">
        <v>150322</v>
      </c>
      <c r="K781" s="26">
        <v>29175.279999999999</v>
      </c>
      <c r="L781" s="26">
        <v>280.01</v>
      </c>
    </row>
    <row r="782" spans="1:12" ht="16" customHeight="1">
      <c r="A782" t="s">
        <v>299</v>
      </c>
      <c r="B782" t="s">
        <v>3</v>
      </c>
      <c r="C782" t="s">
        <v>20</v>
      </c>
      <c r="D782" s="24">
        <v>45962</v>
      </c>
      <c r="E782" t="s">
        <v>296</v>
      </c>
      <c r="F782" t="s">
        <v>4</v>
      </c>
      <c r="G782" t="s">
        <v>217</v>
      </c>
      <c r="H782" t="s">
        <v>217</v>
      </c>
      <c r="I782" t="s">
        <v>221</v>
      </c>
      <c r="J782" s="25">
        <v>20428</v>
      </c>
      <c r="K782" s="26">
        <v>3444.2</v>
      </c>
      <c r="L782" s="26">
        <v>35.729999999999997</v>
      </c>
    </row>
    <row r="783" spans="1:12" ht="16" customHeight="1">
      <c r="A783" t="s">
        <v>299</v>
      </c>
      <c r="B783" t="s">
        <v>3</v>
      </c>
      <c r="C783" t="s">
        <v>20</v>
      </c>
      <c r="D783" s="24">
        <v>45962</v>
      </c>
      <c r="E783" t="s">
        <v>224</v>
      </c>
      <c r="F783" t="s">
        <v>4</v>
      </c>
      <c r="G783" t="s">
        <v>217</v>
      </c>
      <c r="H783" t="s">
        <v>217</v>
      </c>
      <c r="I783" t="s">
        <v>300</v>
      </c>
      <c r="J783" s="25">
        <v>18142</v>
      </c>
      <c r="K783" s="26">
        <v>3539.4</v>
      </c>
      <c r="L783" s="26">
        <v>51.24</v>
      </c>
    </row>
    <row r="784" spans="1:12" ht="16" customHeight="1">
      <c r="A784" t="s">
        <v>299</v>
      </c>
      <c r="B784" t="s">
        <v>3</v>
      </c>
      <c r="C784" t="s">
        <v>20</v>
      </c>
      <c r="D784" s="24">
        <v>45962</v>
      </c>
      <c r="E784" t="s">
        <v>226</v>
      </c>
      <c r="F784" t="s">
        <v>4</v>
      </c>
      <c r="G784" t="s">
        <v>217</v>
      </c>
      <c r="H784" t="s">
        <v>217</v>
      </c>
      <c r="I784" t="s">
        <v>301</v>
      </c>
      <c r="J784" s="25">
        <v>5771</v>
      </c>
      <c r="K784" s="26">
        <v>1171.27</v>
      </c>
      <c r="L784" s="26">
        <v>32.89</v>
      </c>
    </row>
    <row r="785" spans="1:12" ht="16" customHeight="1">
      <c r="A785" t="s">
        <v>299</v>
      </c>
      <c r="B785" t="s">
        <v>3</v>
      </c>
      <c r="C785" t="s">
        <v>20</v>
      </c>
      <c r="D785" s="24">
        <v>45962</v>
      </c>
      <c r="E785" t="s">
        <v>269</v>
      </c>
      <c r="F785" t="s">
        <v>4</v>
      </c>
      <c r="G785" t="s">
        <v>217</v>
      </c>
      <c r="H785" t="s">
        <v>217</v>
      </c>
      <c r="I785" t="s">
        <v>302</v>
      </c>
      <c r="J785" s="25">
        <v>4</v>
      </c>
      <c r="K785" s="26">
        <v>0.73</v>
      </c>
      <c r="L785" s="26">
        <v>0.01</v>
      </c>
    </row>
    <row r="786" spans="1:12" ht="16" customHeight="1">
      <c r="A786" t="s">
        <v>299</v>
      </c>
      <c r="B786" t="s">
        <v>3</v>
      </c>
      <c r="C786" t="s">
        <v>20</v>
      </c>
      <c r="D786" s="24">
        <v>45962</v>
      </c>
      <c r="E786" t="s">
        <v>228</v>
      </c>
      <c r="F786" t="s">
        <v>4</v>
      </c>
      <c r="G786" t="s">
        <v>217</v>
      </c>
      <c r="H786" t="s">
        <v>217</v>
      </c>
      <c r="I786" t="s">
        <v>303</v>
      </c>
      <c r="J786" s="25">
        <v>1832</v>
      </c>
      <c r="K786" s="26">
        <v>375.15</v>
      </c>
      <c r="L786" s="26">
        <v>14.44</v>
      </c>
    </row>
    <row r="787" spans="1:12" ht="16" customHeight="1">
      <c r="A787" t="s">
        <v>299</v>
      </c>
      <c r="B787" t="s">
        <v>3</v>
      </c>
      <c r="C787" t="s">
        <v>20</v>
      </c>
      <c r="D787" s="24">
        <v>45962</v>
      </c>
      <c r="E787" t="s">
        <v>230</v>
      </c>
      <c r="F787" t="s">
        <v>4</v>
      </c>
      <c r="G787" t="s">
        <v>217</v>
      </c>
      <c r="H787" t="s">
        <v>217</v>
      </c>
      <c r="I787" t="s">
        <v>304</v>
      </c>
      <c r="J787" s="25">
        <v>0</v>
      </c>
      <c r="K787" s="26">
        <v>0</v>
      </c>
      <c r="L787" s="26">
        <v>0</v>
      </c>
    </row>
    <row r="788" spans="1:12" ht="16" customHeight="1">
      <c r="A788" t="s">
        <v>299</v>
      </c>
      <c r="B788" t="s">
        <v>3</v>
      </c>
      <c r="C788" t="s">
        <v>20</v>
      </c>
      <c r="D788" s="24">
        <v>45962</v>
      </c>
      <c r="E788" t="s">
        <v>232</v>
      </c>
      <c r="F788" t="s">
        <v>4</v>
      </c>
      <c r="G788" t="s">
        <v>217</v>
      </c>
      <c r="H788" t="s">
        <v>217</v>
      </c>
      <c r="I788" t="s">
        <v>305</v>
      </c>
      <c r="J788" s="25">
        <v>0</v>
      </c>
      <c r="K788" s="26">
        <v>0</v>
      </c>
      <c r="L788" s="26">
        <v>0</v>
      </c>
    </row>
    <row r="789" spans="1:12" ht="16" customHeight="1">
      <c r="A789" t="s">
        <v>299</v>
      </c>
      <c r="B789" t="s">
        <v>3</v>
      </c>
      <c r="C789" t="s">
        <v>20</v>
      </c>
      <c r="D789" s="24">
        <v>45962</v>
      </c>
      <c r="E789" t="s">
        <v>234</v>
      </c>
      <c r="F789" t="s">
        <v>4</v>
      </c>
      <c r="G789" t="s">
        <v>217</v>
      </c>
      <c r="H789" t="s">
        <v>217</v>
      </c>
      <c r="I789" t="s">
        <v>306</v>
      </c>
      <c r="J789" s="25">
        <v>0</v>
      </c>
      <c r="K789" s="26">
        <v>0</v>
      </c>
      <c r="L789" s="26">
        <v>0</v>
      </c>
    </row>
    <row r="790" spans="1:12" ht="16" customHeight="1">
      <c r="A790" t="s">
        <v>299</v>
      </c>
      <c r="B790" t="s">
        <v>3</v>
      </c>
      <c r="C790" t="s">
        <v>20</v>
      </c>
      <c r="D790" s="24">
        <v>45962</v>
      </c>
      <c r="E790" t="s">
        <v>236</v>
      </c>
      <c r="F790" t="s">
        <v>4</v>
      </c>
      <c r="G790" t="s">
        <v>217</v>
      </c>
      <c r="H790" t="s">
        <v>217</v>
      </c>
      <c r="I790" t="s">
        <v>307</v>
      </c>
      <c r="J790" s="25">
        <v>1</v>
      </c>
      <c r="K790" s="26">
        <v>0.19</v>
      </c>
      <c r="L790" s="26">
        <v>0.01</v>
      </c>
    </row>
    <row r="791" spans="1:12" ht="16" customHeight="1">
      <c r="A791" t="s">
        <v>299</v>
      </c>
      <c r="B791" t="s">
        <v>3</v>
      </c>
      <c r="C791" t="s">
        <v>20</v>
      </c>
      <c r="D791" s="24">
        <v>45962</v>
      </c>
      <c r="E791" t="s">
        <v>238</v>
      </c>
      <c r="F791" t="s">
        <v>4</v>
      </c>
      <c r="G791" t="s">
        <v>217</v>
      </c>
      <c r="H791" t="s">
        <v>217</v>
      </c>
      <c r="I791" t="s">
        <v>308</v>
      </c>
      <c r="J791" s="25">
        <v>0</v>
      </c>
      <c r="K791" s="26">
        <v>0</v>
      </c>
      <c r="L791" s="26">
        <v>0</v>
      </c>
    </row>
    <row r="792" spans="1:12" ht="16" customHeight="1">
      <c r="A792" t="s">
        <v>299</v>
      </c>
      <c r="B792" t="s">
        <v>3</v>
      </c>
      <c r="C792" t="s">
        <v>20</v>
      </c>
      <c r="D792" s="24">
        <v>45962</v>
      </c>
      <c r="E792" t="s">
        <v>240</v>
      </c>
      <c r="F792" t="s">
        <v>3</v>
      </c>
      <c r="G792" t="s">
        <v>241</v>
      </c>
      <c r="H792" t="s">
        <v>241</v>
      </c>
      <c r="I792" t="s">
        <v>309</v>
      </c>
      <c r="J792" s="25">
        <v>0</v>
      </c>
      <c r="K792" s="26">
        <v>0</v>
      </c>
      <c r="L792" s="26">
        <v>0</v>
      </c>
    </row>
    <row r="793" spans="1:12" ht="16" customHeight="1">
      <c r="A793" t="s">
        <v>299</v>
      </c>
      <c r="B793" t="s">
        <v>3</v>
      </c>
      <c r="C793" t="s">
        <v>20</v>
      </c>
      <c r="D793" s="24">
        <v>45962</v>
      </c>
      <c r="E793" t="s">
        <v>243</v>
      </c>
      <c r="F793" t="s">
        <v>4</v>
      </c>
      <c r="G793" t="s">
        <v>217</v>
      </c>
      <c r="H793" t="s">
        <v>217</v>
      </c>
      <c r="I793" t="s">
        <v>310</v>
      </c>
      <c r="J793" s="25">
        <v>0</v>
      </c>
      <c r="K793" s="26">
        <v>0</v>
      </c>
      <c r="L793" s="26">
        <v>0</v>
      </c>
    </row>
    <row r="794" spans="1:12" ht="16" customHeight="1">
      <c r="A794" t="s">
        <v>262</v>
      </c>
      <c r="B794" t="s">
        <v>4</v>
      </c>
      <c r="C794" t="s">
        <v>20</v>
      </c>
      <c r="D794" s="24">
        <v>45962</v>
      </c>
      <c r="E794" t="s">
        <v>262</v>
      </c>
      <c r="F794" t="s">
        <v>4</v>
      </c>
      <c r="G794" t="s">
        <v>211</v>
      </c>
      <c r="H794" t="s">
        <v>211</v>
      </c>
      <c r="I794" t="s">
        <v>212</v>
      </c>
      <c r="J794" s="25">
        <v>268817188</v>
      </c>
      <c r="K794" s="26">
        <v>51874769.43</v>
      </c>
      <c r="L794" s="26">
        <v>45420.84</v>
      </c>
    </row>
    <row r="795" spans="1:12" ht="16" customHeight="1">
      <c r="A795" t="s">
        <v>262</v>
      </c>
      <c r="B795" t="s">
        <v>4</v>
      </c>
      <c r="C795" t="s">
        <v>20</v>
      </c>
      <c r="D795" s="24">
        <v>45962</v>
      </c>
      <c r="E795" t="s">
        <v>282</v>
      </c>
      <c r="F795" t="s">
        <v>4</v>
      </c>
      <c r="G795" t="s">
        <v>211</v>
      </c>
      <c r="H795" t="s">
        <v>211</v>
      </c>
      <c r="I795" t="s">
        <v>212</v>
      </c>
      <c r="J795" s="25">
        <v>10235910</v>
      </c>
      <c r="K795" s="26">
        <v>1987402.16</v>
      </c>
      <c r="L795" s="26">
        <v>5269.86</v>
      </c>
    </row>
    <row r="796" spans="1:12" ht="16" customHeight="1">
      <c r="A796" t="s">
        <v>262</v>
      </c>
      <c r="B796" t="s">
        <v>4</v>
      </c>
      <c r="C796" t="s">
        <v>20</v>
      </c>
      <c r="D796" s="24">
        <v>45962</v>
      </c>
      <c r="E796" t="s">
        <v>287</v>
      </c>
      <c r="F796" t="s">
        <v>4</v>
      </c>
      <c r="G796" t="s">
        <v>211</v>
      </c>
      <c r="H796" t="s">
        <v>211</v>
      </c>
      <c r="I796" t="s">
        <v>212</v>
      </c>
      <c r="J796" s="25">
        <v>407155</v>
      </c>
      <c r="K796" s="26">
        <v>79521.09</v>
      </c>
      <c r="L796" s="26">
        <v>321.58</v>
      </c>
    </row>
    <row r="797" spans="1:12" ht="16" customHeight="1">
      <c r="A797" t="s">
        <v>262</v>
      </c>
      <c r="B797" t="s">
        <v>4</v>
      </c>
      <c r="C797" t="s">
        <v>20</v>
      </c>
      <c r="D797" s="24">
        <v>45962</v>
      </c>
      <c r="E797" t="s">
        <v>220</v>
      </c>
      <c r="F797" t="s">
        <v>4</v>
      </c>
      <c r="G797" t="s">
        <v>217</v>
      </c>
      <c r="H797" t="s">
        <v>217</v>
      </c>
      <c r="I797" t="s">
        <v>212</v>
      </c>
      <c r="J797" s="25">
        <v>1272407</v>
      </c>
      <c r="K797" s="26">
        <v>248324.77</v>
      </c>
      <c r="L797" s="26">
        <v>1589.82</v>
      </c>
    </row>
    <row r="798" spans="1:12" ht="16" customHeight="1">
      <c r="A798" t="s">
        <v>262</v>
      </c>
      <c r="B798" t="s">
        <v>4</v>
      </c>
      <c r="C798" t="s">
        <v>20</v>
      </c>
      <c r="D798" s="24">
        <v>45962</v>
      </c>
      <c r="E798" t="s">
        <v>291</v>
      </c>
      <c r="F798" t="s">
        <v>4</v>
      </c>
      <c r="G798" t="s">
        <v>211</v>
      </c>
      <c r="H798" t="s">
        <v>211</v>
      </c>
      <c r="I798" t="s">
        <v>219</v>
      </c>
      <c r="J798" s="25">
        <v>15013</v>
      </c>
      <c r="K798" s="26">
        <v>2951.78</v>
      </c>
      <c r="L798" s="26">
        <v>20.38</v>
      </c>
    </row>
    <row r="799" spans="1:12" ht="16" customHeight="1">
      <c r="A799" t="s">
        <v>262</v>
      </c>
      <c r="B799" t="s">
        <v>4</v>
      </c>
      <c r="C799" t="s">
        <v>20</v>
      </c>
      <c r="D799" s="24">
        <v>45962</v>
      </c>
      <c r="E799" t="s">
        <v>222</v>
      </c>
      <c r="F799" t="s">
        <v>4</v>
      </c>
      <c r="G799" t="s">
        <v>217</v>
      </c>
      <c r="H799" t="s">
        <v>217</v>
      </c>
      <c r="I799" t="s">
        <v>219</v>
      </c>
      <c r="J799" s="25">
        <v>203788</v>
      </c>
      <c r="K799" s="26">
        <v>39974.57</v>
      </c>
      <c r="L799" s="26">
        <v>363.6</v>
      </c>
    </row>
    <row r="800" spans="1:12" ht="16" customHeight="1">
      <c r="A800" t="s">
        <v>262</v>
      </c>
      <c r="B800" t="s">
        <v>4</v>
      </c>
      <c r="C800" t="s">
        <v>20</v>
      </c>
      <c r="D800" s="24">
        <v>45962</v>
      </c>
      <c r="E800" t="s">
        <v>296</v>
      </c>
      <c r="F800" t="s">
        <v>4</v>
      </c>
      <c r="G800" t="s">
        <v>217</v>
      </c>
      <c r="H800" t="s">
        <v>217</v>
      </c>
      <c r="I800" t="s">
        <v>221</v>
      </c>
      <c r="J800" s="25">
        <v>32251</v>
      </c>
      <c r="K800" s="26">
        <v>5506.75</v>
      </c>
      <c r="L800" s="26">
        <v>76.08</v>
      </c>
    </row>
    <row r="801" spans="1:12" ht="16" customHeight="1">
      <c r="A801" t="s">
        <v>262</v>
      </c>
      <c r="B801" t="s">
        <v>4</v>
      </c>
      <c r="C801" t="s">
        <v>20</v>
      </c>
      <c r="D801" s="24">
        <v>45962</v>
      </c>
      <c r="E801" t="s">
        <v>224</v>
      </c>
      <c r="F801" t="s">
        <v>4</v>
      </c>
      <c r="G801" t="s">
        <v>217</v>
      </c>
      <c r="H801" t="s">
        <v>217</v>
      </c>
      <c r="I801" t="s">
        <v>300</v>
      </c>
      <c r="J801" s="25">
        <v>23947</v>
      </c>
      <c r="K801" s="26">
        <v>4827.92</v>
      </c>
      <c r="L801" s="26">
        <v>64.430000000000007</v>
      </c>
    </row>
    <row r="802" spans="1:12" ht="16" customHeight="1">
      <c r="A802" t="s">
        <v>262</v>
      </c>
      <c r="B802" t="s">
        <v>4</v>
      </c>
      <c r="C802" t="s">
        <v>20</v>
      </c>
      <c r="D802" s="24">
        <v>45962</v>
      </c>
      <c r="E802" t="s">
        <v>226</v>
      </c>
      <c r="F802" t="s">
        <v>4</v>
      </c>
      <c r="G802" t="s">
        <v>217</v>
      </c>
      <c r="H802" t="s">
        <v>217</v>
      </c>
      <c r="I802" t="s">
        <v>301</v>
      </c>
      <c r="J802" s="25">
        <v>8552</v>
      </c>
      <c r="K802" s="26">
        <v>1787.63</v>
      </c>
      <c r="L802" s="26">
        <v>34.72</v>
      </c>
    </row>
    <row r="803" spans="1:12" ht="16" customHeight="1">
      <c r="A803" t="s">
        <v>262</v>
      </c>
      <c r="B803" t="s">
        <v>4</v>
      </c>
      <c r="C803" t="s">
        <v>20</v>
      </c>
      <c r="D803" s="24">
        <v>45962</v>
      </c>
      <c r="E803" t="s">
        <v>269</v>
      </c>
      <c r="F803" t="s">
        <v>4</v>
      </c>
      <c r="G803" t="s">
        <v>217</v>
      </c>
      <c r="H803" t="s">
        <v>217</v>
      </c>
      <c r="I803" t="s">
        <v>302</v>
      </c>
      <c r="J803" s="25">
        <v>10</v>
      </c>
      <c r="K803" s="26">
        <v>1.81</v>
      </c>
      <c r="L803" s="26">
        <v>0.02</v>
      </c>
    </row>
    <row r="804" spans="1:12" ht="16" customHeight="1">
      <c r="A804" t="s">
        <v>262</v>
      </c>
      <c r="B804" t="s">
        <v>4</v>
      </c>
      <c r="C804" t="s">
        <v>20</v>
      </c>
      <c r="D804" s="24">
        <v>45962</v>
      </c>
      <c r="E804" t="s">
        <v>228</v>
      </c>
      <c r="F804" t="s">
        <v>4</v>
      </c>
      <c r="G804" t="s">
        <v>217</v>
      </c>
      <c r="H804" t="s">
        <v>217</v>
      </c>
      <c r="I804" t="s">
        <v>303</v>
      </c>
      <c r="J804" s="25">
        <v>1833</v>
      </c>
      <c r="K804" s="26">
        <v>375.56</v>
      </c>
      <c r="L804" s="26">
        <v>13.36</v>
      </c>
    </row>
    <row r="805" spans="1:12" ht="16" customHeight="1">
      <c r="A805" t="s">
        <v>262</v>
      </c>
      <c r="B805" t="s">
        <v>4</v>
      </c>
      <c r="C805" t="s">
        <v>20</v>
      </c>
      <c r="D805" s="24">
        <v>45962</v>
      </c>
      <c r="E805" t="s">
        <v>230</v>
      </c>
      <c r="F805" t="s">
        <v>4</v>
      </c>
      <c r="G805" t="s">
        <v>217</v>
      </c>
      <c r="H805" t="s">
        <v>217</v>
      </c>
      <c r="I805" t="s">
        <v>304</v>
      </c>
      <c r="J805" s="25">
        <v>0</v>
      </c>
      <c r="K805" s="26">
        <v>0</v>
      </c>
      <c r="L805" s="26">
        <v>0</v>
      </c>
    </row>
    <row r="806" spans="1:12" ht="16" customHeight="1">
      <c r="A806" t="s">
        <v>262</v>
      </c>
      <c r="B806" t="s">
        <v>4</v>
      </c>
      <c r="C806" t="s">
        <v>20</v>
      </c>
      <c r="D806" s="24">
        <v>45962</v>
      </c>
      <c r="E806" t="s">
        <v>232</v>
      </c>
      <c r="F806" t="s">
        <v>4</v>
      </c>
      <c r="G806" t="s">
        <v>217</v>
      </c>
      <c r="H806" t="s">
        <v>217</v>
      </c>
      <c r="I806" t="s">
        <v>305</v>
      </c>
      <c r="J806" s="25">
        <v>7</v>
      </c>
      <c r="K806" s="26">
        <v>1.34</v>
      </c>
      <c r="L806" s="26">
        <v>0.05</v>
      </c>
    </row>
    <row r="807" spans="1:12" ht="16" customHeight="1">
      <c r="A807" t="s">
        <v>262</v>
      </c>
      <c r="B807" t="s">
        <v>4</v>
      </c>
      <c r="C807" t="s">
        <v>20</v>
      </c>
      <c r="D807" s="24">
        <v>45962</v>
      </c>
      <c r="E807" t="s">
        <v>234</v>
      </c>
      <c r="F807" t="s">
        <v>4</v>
      </c>
      <c r="G807" t="s">
        <v>217</v>
      </c>
      <c r="H807" t="s">
        <v>217</v>
      </c>
      <c r="I807" t="s">
        <v>306</v>
      </c>
      <c r="J807" s="25">
        <v>0</v>
      </c>
      <c r="K807" s="26">
        <v>0</v>
      </c>
      <c r="L807" s="26">
        <v>0</v>
      </c>
    </row>
    <row r="808" spans="1:12" ht="16" customHeight="1">
      <c r="A808" t="s">
        <v>262</v>
      </c>
      <c r="B808" t="s">
        <v>4</v>
      </c>
      <c r="C808" t="s">
        <v>20</v>
      </c>
      <c r="D808" s="24">
        <v>45962</v>
      </c>
      <c r="E808" t="s">
        <v>236</v>
      </c>
      <c r="F808" t="s">
        <v>4</v>
      </c>
      <c r="G808" t="s">
        <v>217</v>
      </c>
      <c r="H808" t="s">
        <v>217</v>
      </c>
      <c r="I808" t="s">
        <v>307</v>
      </c>
      <c r="J808" s="25">
        <v>4</v>
      </c>
      <c r="K808" s="26">
        <v>0.78</v>
      </c>
      <c r="L808" s="26">
        <v>0.03</v>
      </c>
    </row>
    <row r="809" spans="1:12" ht="16" customHeight="1">
      <c r="A809" t="s">
        <v>262</v>
      </c>
      <c r="B809" t="s">
        <v>4</v>
      </c>
      <c r="C809" t="s">
        <v>20</v>
      </c>
      <c r="D809" s="24">
        <v>45962</v>
      </c>
      <c r="E809" t="s">
        <v>238</v>
      </c>
      <c r="F809" t="s">
        <v>4</v>
      </c>
      <c r="G809" t="s">
        <v>217</v>
      </c>
      <c r="H809" t="s">
        <v>217</v>
      </c>
      <c r="I809" t="s">
        <v>308</v>
      </c>
      <c r="J809" s="25">
        <v>0</v>
      </c>
      <c r="K809" s="26">
        <v>0</v>
      </c>
      <c r="L809" s="26">
        <v>0</v>
      </c>
    </row>
    <row r="810" spans="1:12" ht="16" customHeight="1">
      <c r="A810" t="s">
        <v>262</v>
      </c>
      <c r="B810" t="s">
        <v>4</v>
      </c>
      <c r="C810" t="s">
        <v>20</v>
      </c>
      <c r="D810" s="24">
        <v>45962</v>
      </c>
      <c r="E810" t="s">
        <v>240</v>
      </c>
      <c r="F810" t="s">
        <v>3</v>
      </c>
      <c r="G810" t="s">
        <v>241</v>
      </c>
      <c r="H810" t="s">
        <v>241</v>
      </c>
      <c r="I810" t="s">
        <v>309</v>
      </c>
      <c r="J810" s="25">
        <v>0</v>
      </c>
      <c r="K810" s="26">
        <v>0</v>
      </c>
      <c r="L810" s="26">
        <v>0</v>
      </c>
    </row>
    <row r="811" spans="1:12" ht="16" customHeight="1">
      <c r="A811" t="s">
        <v>262</v>
      </c>
      <c r="B811" t="s">
        <v>4</v>
      </c>
      <c r="C811" t="s">
        <v>20</v>
      </c>
      <c r="D811" s="24">
        <v>45962</v>
      </c>
      <c r="E811" t="s">
        <v>243</v>
      </c>
      <c r="F811" t="s">
        <v>4</v>
      </c>
      <c r="G811" t="s">
        <v>217</v>
      </c>
      <c r="H811" t="s">
        <v>217</v>
      </c>
      <c r="I811" t="s">
        <v>310</v>
      </c>
      <c r="J811" s="25">
        <v>0</v>
      </c>
      <c r="K811" s="26">
        <v>0</v>
      </c>
      <c r="L811" s="26">
        <v>0</v>
      </c>
    </row>
    <row r="812" spans="1:12" ht="16" customHeight="1">
      <c r="A812" t="s">
        <v>311</v>
      </c>
      <c r="B812" t="s">
        <v>6</v>
      </c>
      <c r="C812" t="s">
        <v>20</v>
      </c>
      <c r="D812" s="24">
        <v>45962</v>
      </c>
      <c r="E812" t="s">
        <v>282</v>
      </c>
      <c r="F812" t="s">
        <v>4</v>
      </c>
      <c r="G812" t="s">
        <v>211</v>
      </c>
      <c r="H812" t="s">
        <v>211</v>
      </c>
      <c r="I812" t="s">
        <v>212</v>
      </c>
      <c r="J812" s="25">
        <v>54181826</v>
      </c>
      <c r="K812" s="26">
        <v>10458064.279999999</v>
      </c>
      <c r="L812" s="26">
        <v>26374.59</v>
      </c>
    </row>
    <row r="813" spans="1:12" ht="16" customHeight="1">
      <c r="A813" t="s">
        <v>311</v>
      </c>
      <c r="B813" t="s">
        <v>6</v>
      </c>
      <c r="C813" t="s">
        <v>20</v>
      </c>
      <c r="D813" s="24">
        <v>45962</v>
      </c>
      <c r="E813" t="s">
        <v>287</v>
      </c>
      <c r="F813" t="s">
        <v>4</v>
      </c>
      <c r="G813" t="s">
        <v>211</v>
      </c>
      <c r="H813" t="s">
        <v>211</v>
      </c>
      <c r="I813" t="s">
        <v>212</v>
      </c>
      <c r="J813" s="25">
        <v>1313434</v>
      </c>
      <c r="K813" s="26">
        <v>254952.89</v>
      </c>
      <c r="L813" s="26">
        <v>955.47</v>
      </c>
    </row>
    <row r="814" spans="1:12" ht="16" customHeight="1">
      <c r="A814" t="s">
        <v>311</v>
      </c>
      <c r="B814" t="s">
        <v>6</v>
      </c>
      <c r="C814" t="s">
        <v>20</v>
      </c>
      <c r="D814" s="24">
        <v>45962</v>
      </c>
      <c r="E814" t="s">
        <v>220</v>
      </c>
      <c r="F814" t="s">
        <v>4</v>
      </c>
      <c r="G814" t="s">
        <v>217</v>
      </c>
      <c r="H814" t="s">
        <v>217</v>
      </c>
      <c r="I814" t="s">
        <v>212</v>
      </c>
      <c r="J814" s="25">
        <v>1379802</v>
      </c>
      <c r="K814" s="26">
        <v>268264.92</v>
      </c>
      <c r="L814" s="26">
        <v>1603.13</v>
      </c>
    </row>
    <row r="815" spans="1:12" ht="16" customHeight="1">
      <c r="A815" t="s">
        <v>311</v>
      </c>
      <c r="B815" t="s">
        <v>6</v>
      </c>
      <c r="C815" t="s">
        <v>20</v>
      </c>
      <c r="D815" s="24">
        <v>45962</v>
      </c>
      <c r="E815" t="s">
        <v>291</v>
      </c>
      <c r="F815" t="s">
        <v>4</v>
      </c>
      <c r="G815" t="s">
        <v>211</v>
      </c>
      <c r="H815" t="s">
        <v>211</v>
      </c>
      <c r="I815" t="s">
        <v>219</v>
      </c>
      <c r="J815" s="25">
        <v>19510</v>
      </c>
      <c r="K815" s="26">
        <v>3804.24</v>
      </c>
      <c r="L815" s="26">
        <v>23.16</v>
      </c>
    </row>
    <row r="816" spans="1:12" ht="16" customHeight="1">
      <c r="A816" t="s">
        <v>311</v>
      </c>
      <c r="B816" t="s">
        <v>6</v>
      </c>
      <c r="C816" t="s">
        <v>20</v>
      </c>
      <c r="D816" s="24">
        <v>45962</v>
      </c>
      <c r="E816" t="s">
        <v>312</v>
      </c>
      <c r="F816" t="s">
        <v>4</v>
      </c>
      <c r="G816" t="s">
        <v>211</v>
      </c>
      <c r="H816" t="s">
        <v>211</v>
      </c>
      <c r="I816" t="s">
        <v>219</v>
      </c>
      <c r="J816" s="25">
        <v>893</v>
      </c>
      <c r="K816" s="26">
        <v>173.55</v>
      </c>
      <c r="L816" s="26">
        <v>1.78</v>
      </c>
    </row>
    <row r="817" spans="1:12" ht="16" customHeight="1">
      <c r="A817" t="s">
        <v>311</v>
      </c>
      <c r="B817" t="s">
        <v>6</v>
      </c>
      <c r="C817" t="s">
        <v>20</v>
      </c>
      <c r="D817" s="24">
        <v>45962</v>
      </c>
      <c r="E817" t="s">
        <v>222</v>
      </c>
      <c r="F817" t="s">
        <v>4</v>
      </c>
      <c r="G817" t="s">
        <v>217</v>
      </c>
      <c r="H817" t="s">
        <v>217</v>
      </c>
      <c r="I817" t="s">
        <v>219</v>
      </c>
      <c r="J817" s="25">
        <v>256233</v>
      </c>
      <c r="K817" s="26">
        <v>50022.02</v>
      </c>
      <c r="L817" s="26">
        <v>505.15</v>
      </c>
    </row>
    <row r="818" spans="1:12" ht="16" customHeight="1">
      <c r="A818" t="s">
        <v>311</v>
      </c>
      <c r="B818" t="s">
        <v>6</v>
      </c>
      <c r="C818" t="s">
        <v>20</v>
      </c>
      <c r="D818" s="24">
        <v>45962</v>
      </c>
      <c r="E818" t="s">
        <v>296</v>
      </c>
      <c r="F818" t="s">
        <v>4</v>
      </c>
      <c r="G818" t="s">
        <v>217</v>
      </c>
      <c r="H818" t="s">
        <v>217</v>
      </c>
      <c r="I818" t="s">
        <v>221</v>
      </c>
      <c r="J818" s="25">
        <v>24861</v>
      </c>
      <c r="K818" s="26">
        <v>4217.6000000000004</v>
      </c>
      <c r="L818" s="26">
        <v>49.32</v>
      </c>
    </row>
    <row r="819" spans="1:12" ht="16" customHeight="1">
      <c r="A819" t="s">
        <v>311</v>
      </c>
      <c r="B819" t="s">
        <v>6</v>
      </c>
      <c r="C819" t="s">
        <v>20</v>
      </c>
      <c r="D819" s="24">
        <v>45962</v>
      </c>
      <c r="E819" t="s">
        <v>224</v>
      </c>
      <c r="F819" t="s">
        <v>4</v>
      </c>
      <c r="G819" t="s">
        <v>217</v>
      </c>
      <c r="H819" t="s">
        <v>217</v>
      </c>
      <c r="I819" t="s">
        <v>300</v>
      </c>
      <c r="J819" s="25">
        <v>19340</v>
      </c>
      <c r="K819" s="26">
        <v>3863.3</v>
      </c>
      <c r="L819" s="26">
        <v>60.25</v>
      </c>
    </row>
    <row r="820" spans="1:12" ht="16" customHeight="1">
      <c r="A820" t="s">
        <v>311</v>
      </c>
      <c r="B820" t="s">
        <v>6</v>
      </c>
      <c r="C820" t="s">
        <v>20</v>
      </c>
      <c r="D820" s="24">
        <v>45962</v>
      </c>
      <c r="E820" t="s">
        <v>226</v>
      </c>
      <c r="F820" t="s">
        <v>4</v>
      </c>
      <c r="G820" t="s">
        <v>217</v>
      </c>
      <c r="H820" t="s">
        <v>217</v>
      </c>
      <c r="I820" t="s">
        <v>301</v>
      </c>
      <c r="J820" s="25">
        <v>5578</v>
      </c>
      <c r="K820" s="26">
        <v>1087.04</v>
      </c>
      <c r="L820" s="26">
        <v>22.54</v>
      </c>
    </row>
    <row r="821" spans="1:12" ht="16" customHeight="1">
      <c r="A821" t="s">
        <v>311</v>
      </c>
      <c r="B821" t="s">
        <v>6</v>
      </c>
      <c r="C821" t="s">
        <v>20</v>
      </c>
      <c r="D821" s="24">
        <v>45962</v>
      </c>
      <c r="E821" t="s">
        <v>269</v>
      </c>
      <c r="F821" t="s">
        <v>4</v>
      </c>
      <c r="G821" t="s">
        <v>217</v>
      </c>
      <c r="H821" t="s">
        <v>217</v>
      </c>
      <c r="I821" t="s">
        <v>302</v>
      </c>
      <c r="J821" s="25">
        <v>79</v>
      </c>
      <c r="K821" s="26">
        <v>15.15</v>
      </c>
      <c r="L821" s="26">
        <v>0.4</v>
      </c>
    </row>
    <row r="822" spans="1:12" ht="16" customHeight="1">
      <c r="A822" t="s">
        <v>311</v>
      </c>
      <c r="B822" t="s">
        <v>6</v>
      </c>
      <c r="C822" t="s">
        <v>20</v>
      </c>
      <c r="D822" s="24">
        <v>45962</v>
      </c>
      <c r="E822" t="s">
        <v>228</v>
      </c>
      <c r="F822" t="s">
        <v>4</v>
      </c>
      <c r="G822" t="s">
        <v>217</v>
      </c>
      <c r="H822" t="s">
        <v>217</v>
      </c>
      <c r="I822" t="s">
        <v>303</v>
      </c>
      <c r="J822" s="25">
        <v>2302</v>
      </c>
      <c r="K822" s="26">
        <v>463.3</v>
      </c>
      <c r="L822" s="26">
        <v>15.52</v>
      </c>
    </row>
    <row r="823" spans="1:12" ht="16" customHeight="1">
      <c r="A823" t="s">
        <v>311</v>
      </c>
      <c r="B823" t="s">
        <v>6</v>
      </c>
      <c r="C823" t="s">
        <v>20</v>
      </c>
      <c r="D823" s="24">
        <v>45962</v>
      </c>
      <c r="E823" t="s">
        <v>230</v>
      </c>
      <c r="F823" t="s">
        <v>4</v>
      </c>
      <c r="G823" t="s">
        <v>217</v>
      </c>
      <c r="H823" t="s">
        <v>217</v>
      </c>
      <c r="I823" t="s">
        <v>304</v>
      </c>
      <c r="J823" s="25">
        <v>1</v>
      </c>
      <c r="K823" s="26">
        <v>0.16</v>
      </c>
      <c r="L823" s="26">
        <v>0</v>
      </c>
    </row>
    <row r="824" spans="1:12" ht="16" customHeight="1">
      <c r="A824" t="s">
        <v>311</v>
      </c>
      <c r="B824" t="s">
        <v>6</v>
      </c>
      <c r="C824" t="s">
        <v>20</v>
      </c>
      <c r="D824" s="24">
        <v>45962</v>
      </c>
      <c r="E824" t="s">
        <v>232</v>
      </c>
      <c r="F824" t="s">
        <v>4</v>
      </c>
      <c r="G824" t="s">
        <v>217</v>
      </c>
      <c r="H824" t="s">
        <v>217</v>
      </c>
      <c r="I824" t="s">
        <v>305</v>
      </c>
      <c r="J824" s="25">
        <v>20</v>
      </c>
      <c r="K824" s="26">
        <v>3.71</v>
      </c>
      <c r="L824" s="26">
        <v>0.12</v>
      </c>
    </row>
    <row r="825" spans="1:12" ht="16" customHeight="1">
      <c r="A825" t="s">
        <v>311</v>
      </c>
      <c r="B825" t="s">
        <v>6</v>
      </c>
      <c r="C825" t="s">
        <v>20</v>
      </c>
      <c r="D825" s="24">
        <v>45962</v>
      </c>
      <c r="E825" t="s">
        <v>234</v>
      </c>
      <c r="F825" t="s">
        <v>4</v>
      </c>
      <c r="G825" t="s">
        <v>217</v>
      </c>
      <c r="H825" t="s">
        <v>217</v>
      </c>
      <c r="I825" t="s">
        <v>306</v>
      </c>
      <c r="J825" s="25">
        <v>0</v>
      </c>
      <c r="K825" s="26">
        <v>0</v>
      </c>
      <c r="L825" s="26">
        <v>0</v>
      </c>
    </row>
    <row r="826" spans="1:12" ht="16" customHeight="1">
      <c r="A826" t="s">
        <v>311</v>
      </c>
      <c r="B826" t="s">
        <v>6</v>
      </c>
      <c r="C826" t="s">
        <v>20</v>
      </c>
      <c r="D826" s="24">
        <v>45962</v>
      </c>
      <c r="E826" t="s">
        <v>236</v>
      </c>
      <c r="F826" t="s">
        <v>4</v>
      </c>
      <c r="G826" t="s">
        <v>217</v>
      </c>
      <c r="H826" t="s">
        <v>217</v>
      </c>
      <c r="I826" t="s">
        <v>307</v>
      </c>
      <c r="J826" s="25">
        <v>1</v>
      </c>
      <c r="K826" s="26">
        <v>0.21</v>
      </c>
      <c r="L826" s="26">
        <v>0.01</v>
      </c>
    </row>
    <row r="827" spans="1:12" ht="16" customHeight="1">
      <c r="A827" t="s">
        <v>311</v>
      </c>
      <c r="B827" t="s">
        <v>6</v>
      </c>
      <c r="C827" t="s">
        <v>20</v>
      </c>
      <c r="D827" s="24">
        <v>45962</v>
      </c>
      <c r="E827" t="s">
        <v>238</v>
      </c>
      <c r="F827" t="s">
        <v>4</v>
      </c>
      <c r="G827" t="s">
        <v>217</v>
      </c>
      <c r="H827" t="s">
        <v>217</v>
      </c>
      <c r="I827" t="s">
        <v>308</v>
      </c>
      <c r="J827" s="25">
        <v>0</v>
      </c>
      <c r="K827" s="26">
        <v>0</v>
      </c>
      <c r="L827" s="26">
        <v>0</v>
      </c>
    </row>
    <row r="828" spans="1:12" ht="16" customHeight="1">
      <c r="A828" t="s">
        <v>311</v>
      </c>
      <c r="B828" t="s">
        <v>6</v>
      </c>
      <c r="C828" t="s">
        <v>20</v>
      </c>
      <c r="D828" s="24">
        <v>45962</v>
      </c>
      <c r="E828" t="s">
        <v>240</v>
      </c>
      <c r="F828" t="s">
        <v>3</v>
      </c>
      <c r="G828" t="s">
        <v>241</v>
      </c>
      <c r="H828" t="s">
        <v>241</v>
      </c>
      <c r="I828" t="s">
        <v>309</v>
      </c>
      <c r="J828" s="25">
        <v>0</v>
      </c>
      <c r="K828" s="26">
        <v>0</v>
      </c>
      <c r="L828" s="26">
        <v>0</v>
      </c>
    </row>
    <row r="829" spans="1:12" ht="16" customHeight="1">
      <c r="A829" t="s">
        <v>311</v>
      </c>
      <c r="B829" t="s">
        <v>6</v>
      </c>
      <c r="C829" t="s">
        <v>20</v>
      </c>
      <c r="D829" s="24">
        <v>45962</v>
      </c>
      <c r="E829" t="s">
        <v>243</v>
      </c>
      <c r="F829" t="s">
        <v>4</v>
      </c>
      <c r="G829" t="s">
        <v>217</v>
      </c>
      <c r="H829" t="s">
        <v>217</v>
      </c>
      <c r="I829" t="s">
        <v>310</v>
      </c>
      <c r="J829" s="25">
        <v>0</v>
      </c>
      <c r="K829" s="26">
        <v>0</v>
      </c>
      <c r="L829" s="26">
        <v>0</v>
      </c>
    </row>
    <row r="830" spans="1:12" ht="16" customHeight="1">
      <c r="A830" t="s">
        <v>313</v>
      </c>
      <c r="B830" t="s">
        <v>7</v>
      </c>
      <c r="C830" t="s">
        <v>20</v>
      </c>
      <c r="D830" s="24">
        <v>45962</v>
      </c>
      <c r="E830" t="s">
        <v>282</v>
      </c>
      <c r="F830" t="s">
        <v>4</v>
      </c>
      <c r="G830" t="s">
        <v>211</v>
      </c>
      <c r="H830" t="s">
        <v>211</v>
      </c>
      <c r="I830" t="s">
        <v>212</v>
      </c>
      <c r="J830" s="25">
        <v>110646410</v>
      </c>
      <c r="K830" s="26">
        <v>21198206.109999999</v>
      </c>
      <c r="L830" s="26">
        <v>45390.75</v>
      </c>
    </row>
    <row r="831" spans="1:12" ht="16" customHeight="1">
      <c r="A831" t="s">
        <v>313</v>
      </c>
      <c r="B831" t="s">
        <v>7</v>
      </c>
      <c r="C831" t="s">
        <v>20</v>
      </c>
      <c r="D831" s="24">
        <v>45962</v>
      </c>
      <c r="E831" t="s">
        <v>287</v>
      </c>
      <c r="F831" t="s">
        <v>4</v>
      </c>
      <c r="G831" t="s">
        <v>211</v>
      </c>
      <c r="H831" t="s">
        <v>211</v>
      </c>
      <c r="I831" t="s">
        <v>212</v>
      </c>
      <c r="J831" s="25">
        <v>2318818</v>
      </c>
      <c r="K831" s="26">
        <v>446607.52</v>
      </c>
      <c r="L831" s="26">
        <v>1597.89</v>
      </c>
    </row>
    <row r="832" spans="1:12" ht="16" customHeight="1">
      <c r="A832" t="s">
        <v>313</v>
      </c>
      <c r="B832" t="s">
        <v>7</v>
      </c>
      <c r="C832" t="s">
        <v>20</v>
      </c>
      <c r="D832" s="24">
        <v>45962</v>
      </c>
      <c r="E832" t="s">
        <v>220</v>
      </c>
      <c r="F832" t="s">
        <v>4</v>
      </c>
      <c r="G832" t="s">
        <v>217</v>
      </c>
      <c r="H832" t="s">
        <v>217</v>
      </c>
      <c r="I832" t="s">
        <v>212</v>
      </c>
      <c r="J832" s="25">
        <v>1940295</v>
      </c>
      <c r="K832" s="26">
        <v>375073.26</v>
      </c>
      <c r="L832" s="26">
        <v>2180.3200000000002</v>
      </c>
    </row>
    <row r="833" spans="1:12" ht="16" customHeight="1">
      <c r="A833" t="s">
        <v>313</v>
      </c>
      <c r="B833" t="s">
        <v>7</v>
      </c>
      <c r="C833" t="s">
        <v>20</v>
      </c>
      <c r="D833" s="24">
        <v>45962</v>
      </c>
      <c r="E833" t="s">
        <v>291</v>
      </c>
      <c r="F833" t="s">
        <v>4</v>
      </c>
      <c r="G833" t="s">
        <v>211</v>
      </c>
      <c r="H833" t="s">
        <v>211</v>
      </c>
      <c r="I833" t="s">
        <v>219</v>
      </c>
      <c r="J833" s="25">
        <v>32635</v>
      </c>
      <c r="K833" s="26">
        <v>6347.81</v>
      </c>
      <c r="L833" s="26">
        <v>35.71</v>
      </c>
    </row>
    <row r="834" spans="1:12" ht="16" customHeight="1">
      <c r="A834" t="s">
        <v>313</v>
      </c>
      <c r="B834" t="s">
        <v>7</v>
      </c>
      <c r="C834" t="s">
        <v>20</v>
      </c>
      <c r="D834" s="24">
        <v>45962</v>
      </c>
      <c r="E834" t="s">
        <v>312</v>
      </c>
      <c r="F834" t="s">
        <v>4</v>
      </c>
      <c r="G834" t="s">
        <v>211</v>
      </c>
      <c r="H834" t="s">
        <v>211</v>
      </c>
      <c r="I834" t="s">
        <v>219</v>
      </c>
      <c r="J834" s="25">
        <v>3826</v>
      </c>
      <c r="K834" s="26">
        <v>741.39</v>
      </c>
      <c r="L834" s="26">
        <v>6.06</v>
      </c>
    </row>
    <row r="835" spans="1:12" ht="16" customHeight="1">
      <c r="A835" t="s">
        <v>313</v>
      </c>
      <c r="B835" t="s">
        <v>7</v>
      </c>
      <c r="C835" t="s">
        <v>20</v>
      </c>
      <c r="D835" s="24">
        <v>45962</v>
      </c>
      <c r="E835" t="s">
        <v>222</v>
      </c>
      <c r="F835" t="s">
        <v>4</v>
      </c>
      <c r="G835" t="s">
        <v>217</v>
      </c>
      <c r="H835" t="s">
        <v>217</v>
      </c>
      <c r="I835" t="s">
        <v>219</v>
      </c>
      <c r="J835" s="25">
        <v>344384</v>
      </c>
      <c r="K835" s="26">
        <v>67085.88</v>
      </c>
      <c r="L835" s="26">
        <v>624.16</v>
      </c>
    </row>
    <row r="836" spans="1:12" ht="16" customHeight="1">
      <c r="A836" t="s">
        <v>313</v>
      </c>
      <c r="B836" t="s">
        <v>7</v>
      </c>
      <c r="C836" t="s">
        <v>20</v>
      </c>
      <c r="D836" s="24">
        <v>45962</v>
      </c>
      <c r="E836" t="s">
        <v>296</v>
      </c>
      <c r="F836" t="s">
        <v>4</v>
      </c>
      <c r="G836" t="s">
        <v>217</v>
      </c>
      <c r="H836" t="s">
        <v>217</v>
      </c>
      <c r="I836" t="s">
        <v>221</v>
      </c>
      <c r="J836" s="25">
        <v>34430</v>
      </c>
      <c r="K836" s="26">
        <v>5842.76</v>
      </c>
      <c r="L836" s="26">
        <v>58.83</v>
      </c>
    </row>
    <row r="837" spans="1:12" ht="16" customHeight="1">
      <c r="A837" t="s">
        <v>313</v>
      </c>
      <c r="B837" t="s">
        <v>7</v>
      </c>
      <c r="C837" t="s">
        <v>20</v>
      </c>
      <c r="D837" s="24">
        <v>45962</v>
      </c>
      <c r="E837" t="s">
        <v>224</v>
      </c>
      <c r="F837" t="s">
        <v>4</v>
      </c>
      <c r="G837" t="s">
        <v>217</v>
      </c>
      <c r="H837" t="s">
        <v>217</v>
      </c>
      <c r="I837" t="s">
        <v>300</v>
      </c>
      <c r="J837" s="25">
        <v>27874</v>
      </c>
      <c r="K837" s="26">
        <v>5562.93</v>
      </c>
      <c r="L837" s="26">
        <v>89.4</v>
      </c>
    </row>
    <row r="838" spans="1:12" ht="16" customHeight="1">
      <c r="A838" t="s">
        <v>313</v>
      </c>
      <c r="B838" t="s">
        <v>7</v>
      </c>
      <c r="C838" t="s">
        <v>20</v>
      </c>
      <c r="D838" s="24">
        <v>45962</v>
      </c>
      <c r="E838" t="s">
        <v>226</v>
      </c>
      <c r="F838" t="s">
        <v>4</v>
      </c>
      <c r="G838" t="s">
        <v>217</v>
      </c>
      <c r="H838" t="s">
        <v>217</v>
      </c>
      <c r="I838" t="s">
        <v>301</v>
      </c>
      <c r="J838" s="25">
        <v>5549</v>
      </c>
      <c r="K838" s="26">
        <v>1100.8599999999999</v>
      </c>
      <c r="L838" s="26">
        <v>25.69</v>
      </c>
    </row>
    <row r="839" spans="1:12" ht="16" customHeight="1">
      <c r="A839" t="s">
        <v>313</v>
      </c>
      <c r="B839" t="s">
        <v>7</v>
      </c>
      <c r="C839" t="s">
        <v>20</v>
      </c>
      <c r="D839" s="24">
        <v>45962</v>
      </c>
      <c r="E839" t="s">
        <v>269</v>
      </c>
      <c r="F839" t="s">
        <v>4</v>
      </c>
      <c r="G839" t="s">
        <v>217</v>
      </c>
      <c r="H839" t="s">
        <v>217</v>
      </c>
      <c r="I839" t="s">
        <v>302</v>
      </c>
      <c r="J839" s="25">
        <v>36</v>
      </c>
      <c r="K839" s="26">
        <v>6.87</v>
      </c>
      <c r="L839" s="26">
        <v>0.13</v>
      </c>
    </row>
    <row r="840" spans="1:12" ht="16" customHeight="1">
      <c r="A840" t="s">
        <v>313</v>
      </c>
      <c r="B840" t="s">
        <v>7</v>
      </c>
      <c r="C840" t="s">
        <v>20</v>
      </c>
      <c r="D840" s="24">
        <v>45962</v>
      </c>
      <c r="E840" t="s">
        <v>228</v>
      </c>
      <c r="F840" t="s">
        <v>4</v>
      </c>
      <c r="G840" t="s">
        <v>217</v>
      </c>
      <c r="H840" t="s">
        <v>217</v>
      </c>
      <c r="I840" t="s">
        <v>303</v>
      </c>
      <c r="J840" s="25">
        <v>2675</v>
      </c>
      <c r="K840" s="26">
        <v>537.74</v>
      </c>
      <c r="L840" s="26">
        <v>18.32</v>
      </c>
    </row>
    <row r="841" spans="1:12" ht="16" customHeight="1">
      <c r="A841" t="s">
        <v>313</v>
      </c>
      <c r="B841" t="s">
        <v>7</v>
      </c>
      <c r="C841" t="s">
        <v>20</v>
      </c>
      <c r="D841" s="24">
        <v>45962</v>
      </c>
      <c r="E841" t="s">
        <v>230</v>
      </c>
      <c r="F841" t="s">
        <v>4</v>
      </c>
      <c r="G841" t="s">
        <v>217</v>
      </c>
      <c r="H841" t="s">
        <v>217</v>
      </c>
      <c r="I841" t="s">
        <v>304</v>
      </c>
      <c r="J841" s="25">
        <v>0</v>
      </c>
      <c r="K841" s="26">
        <v>0</v>
      </c>
      <c r="L841" s="26">
        <v>0</v>
      </c>
    </row>
    <row r="842" spans="1:12" ht="16" customHeight="1">
      <c r="A842" t="s">
        <v>313</v>
      </c>
      <c r="B842" t="s">
        <v>7</v>
      </c>
      <c r="C842" t="s">
        <v>20</v>
      </c>
      <c r="D842" s="24">
        <v>45962</v>
      </c>
      <c r="E842" t="s">
        <v>232</v>
      </c>
      <c r="F842" t="s">
        <v>4</v>
      </c>
      <c r="G842" t="s">
        <v>217</v>
      </c>
      <c r="H842" t="s">
        <v>217</v>
      </c>
      <c r="I842" t="s">
        <v>305</v>
      </c>
      <c r="J842" s="25">
        <v>10</v>
      </c>
      <c r="K842" s="26">
        <v>1.9</v>
      </c>
      <c r="L842" s="26">
        <v>0.08</v>
      </c>
    </row>
    <row r="843" spans="1:12" ht="16" customHeight="1">
      <c r="A843" t="s">
        <v>313</v>
      </c>
      <c r="B843" t="s">
        <v>7</v>
      </c>
      <c r="C843" t="s">
        <v>20</v>
      </c>
      <c r="D843" s="24">
        <v>45962</v>
      </c>
      <c r="E843" t="s">
        <v>234</v>
      </c>
      <c r="F843" t="s">
        <v>4</v>
      </c>
      <c r="G843" t="s">
        <v>217</v>
      </c>
      <c r="H843" t="s">
        <v>217</v>
      </c>
      <c r="I843" t="s">
        <v>306</v>
      </c>
      <c r="J843" s="25">
        <v>0</v>
      </c>
      <c r="K843" s="26">
        <v>0</v>
      </c>
      <c r="L843" s="26">
        <v>0</v>
      </c>
    </row>
    <row r="844" spans="1:12" ht="16" customHeight="1">
      <c r="A844" t="s">
        <v>313</v>
      </c>
      <c r="B844" t="s">
        <v>7</v>
      </c>
      <c r="C844" t="s">
        <v>20</v>
      </c>
      <c r="D844" s="24">
        <v>45962</v>
      </c>
      <c r="E844" t="s">
        <v>236</v>
      </c>
      <c r="F844" t="s">
        <v>4</v>
      </c>
      <c r="G844" t="s">
        <v>217</v>
      </c>
      <c r="H844" t="s">
        <v>217</v>
      </c>
      <c r="I844" t="s">
        <v>307</v>
      </c>
      <c r="J844" s="25">
        <v>2</v>
      </c>
      <c r="K844" s="26">
        <v>0.4</v>
      </c>
      <c r="L844" s="26">
        <v>0.02</v>
      </c>
    </row>
    <row r="845" spans="1:12" ht="16" customHeight="1">
      <c r="A845" t="s">
        <v>313</v>
      </c>
      <c r="B845" t="s">
        <v>7</v>
      </c>
      <c r="C845" t="s">
        <v>20</v>
      </c>
      <c r="D845" s="24">
        <v>45962</v>
      </c>
      <c r="E845" t="s">
        <v>238</v>
      </c>
      <c r="F845" t="s">
        <v>4</v>
      </c>
      <c r="G845" t="s">
        <v>217</v>
      </c>
      <c r="H845" t="s">
        <v>217</v>
      </c>
      <c r="I845" t="s">
        <v>308</v>
      </c>
      <c r="J845" s="25">
        <v>0</v>
      </c>
      <c r="K845" s="26">
        <v>0</v>
      </c>
      <c r="L845" s="26">
        <v>0</v>
      </c>
    </row>
    <row r="846" spans="1:12" ht="16" customHeight="1">
      <c r="A846" t="s">
        <v>313</v>
      </c>
      <c r="B846" t="s">
        <v>7</v>
      </c>
      <c r="C846" t="s">
        <v>20</v>
      </c>
      <c r="D846" s="24">
        <v>45962</v>
      </c>
      <c r="E846" t="s">
        <v>240</v>
      </c>
      <c r="F846" t="s">
        <v>3</v>
      </c>
      <c r="G846" t="s">
        <v>241</v>
      </c>
      <c r="H846" t="s">
        <v>241</v>
      </c>
      <c r="I846" t="s">
        <v>309</v>
      </c>
      <c r="J846" s="25">
        <v>0</v>
      </c>
      <c r="K846" s="26">
        <v>0</v>
      </c>
      <c r="L846" s="26">
        <v>0</v>
      </c>
    </row>
    <row r="847" spans="1:12" ht="16" customHeight="1">
      <c r="A847" t="s">
        <v>313</v>
      </c>
      <c r="B847" t="s">
        <v>7</v>
      </c>
      <c r="C847" t="s">
        <v>20</v>
      </c>
      <c r="D847" s="24">
        <v>45962</v>
      </c>
      <c r="E847" t="s">
        <v>243</v>
      </c>
      <c r="F847" t="s">
        <v>4</v>
      </c>
      <c r="G847" t="s">
        <v>217</v>
      </c>
      <c r="H847" t="s">
        <v>217</v>
      </c>
      <c r="I847" t="s">
        <v>310</v>
      </c>
      <c r="J847" s="25">
        <v>0</v>
      </c>
      <c r="K847" s="26">
        <v>0</v>
      </c>
      <c r="L847" s="26">
        <v>0</v>
      </c>
    </row>
    <row r="848" spans="1:12" ht="16" customHeight="1">
      <c r="A848" t="s">
        <v>314</v>
      </c>
      <c r="B848" t="s">
        <v>3</v>
      </c>
      <c r="C848" t="s">
        <v>21</v>
      </c>
      <c r="D848" s="24">
        <v>45962</v>
      </c>
      <c r="E848" t="s">
        <v>282</v>
      </c>
      <c r="F848" t="s">
        <v>4</v>
      </c>
      <c r="G848" t="s">
        <v>211</v>
      </c>
      <c r="H848" t="s">
        <v>211</v>
      </c>
      <c r="I848" t="s">
        <v>212</v>
      </c>
      <c r="J848" s="25">
        <v>117487933</v>
      </c>
      <c r="K848" s="26">
        <v>22566023.59</v>
      </c>
      <c r="L848" s="26">
        <v>37618.15</v>
      </c>
    </row>
    <row r="849" spans="1:12" ht="16" customHeight="1">
      <c r="A849" t="s">
        <v>314</v>
      </c>
      <c r="B849" t="s">
        <v>3</v>
      </c>
      <c r="C849" t="s">
        <v>21</v>
      </c>
      <c r="D849" s="24">
        <v>45962</v>
      </c>
      <c r="E849" t="s">
        <v>287</v>
      </c>
      <c r="F849" t="s">
        <v>4</v>
      </c>
      <c r="G849" t="s">
        <v>211</v>
      </c>
      <c r="H849" t="s">
        <v>211</v>
      </c>
      <c r="I849" t="s">
        <v>212</v>
      </c>
      <c r="J849" s="25">
        <v>3858805</v>
      </c>
      <c r="K849" s="26">
        <v>744772.41</v>
      </c>
      <c r="L849" s="26">
        <v>2276.58</v>
      </c>
    </row>
    <row r="850" spans="1:12" ht="16" customHeight="1">
      <c r="A850" t="s">
        <v>314</v>
      </c>
      <c r="B850" t="s">
        <v>3</v>
      </c>
      <c r="C850" t="s">
        <v>21</v>
      </c>
      <c r="D850" s="24">
        <v>45962</v>
      </c>
      <c r="E850" t="s">
        <v>220</v>
      </c>
      <c r="F850" t="s">
        <v>4</v>
      </c>
      <c r="G850" t="s">
        <v>217</v>
      </c>
      <c r="H850" t="s">
        <v>217</v>
      </c>
      <c r="I850" t="s">
        <v>212</v>
      </c>
      <c r="J850" s="25">
        <v>1311066</v>
      </c>
      <c r="K850" s="26">
        <v>254086.72</v>
      </c>
      <c r="L850" s="26">
        <v>1324.22</v>
      </c>
    </row>
    <row r="851" spans="1:12" ht="16" customHeight="1">
      <c r="A851" t="s">
        <v>314</v>
      </c>
      <c r="B851" t="s">
        <v>3</v>
      </c>
      <c r="C851" t="s">
        <v>21</v>
      </c>
      <c r="D851" s="24">
        <v>45962</v>
      </c>
      <c r="E851" t="s">
        <v>291</v>
      </c>
      <c r="F851" t="s">
        <v>4</v>
      </c>
      <c r="G851" t="s">
        <v>211</v>
      </c>
      <c r="H851" t="s">
        <v>211</v>
      </c>
      <c r="I851" t="s">
        <v>219</v>
      </c>
      <c r="J851" s="25">
        <v>31373</v>
      </c>
      <c r="K851" s="26">
        <v>6099.84</v>
      </c>
      <c r="L851" s="26">
        <v>31.6</v>
      </c>
    </row>
    <row r="852" spans="1:12" ht="16" customHeight="1">
      <c r="A852" t="s">
        <v>314</v>
      </c>
      <c r="B852" t="s">
        <v>3</v>
      </c>
      <c r="C852" t="s">
        <v>21</v>
      </c>
      <c r="D852" s="24">
        <v>45962</v>
      </c>
      <c r="E852" t="s">
        <v>312</v>
      </c>
      <c r="F852" t="s">
        <v>4</v>
      </c>
      <c r="G852" t="s">
        <v>211</v>
      </c>
      <c r="H852" t="s">
        <v>211</v>
      </c>
      <c r="I852" t="s">
        <v>219</v>
      </c>
      <c r="J852" s="25">
        <v>4741</v>
      </c>
      <c r="K852" s="26">
        <v>914.57</v>
      </c>
      <c r="L852" s="26">
        <v>6.8</v>
      </c>
    </row>
    <row r="853" spans="1:12" ht="16" customHeight="1">
      <c r="A853" t="s">
        <v>314</v>
      </c>
      <c r="B853" t="s">
        <v>3</v>
      </c>
      <c r="C853" t="s">
        <v>21</v>
      </c>
      <c r="D853" s="24">
        <v>45962</v>
      </c>
      <c r="E853" t="s">
        <v>222</v>
      </c>
      <c r="F853" t="s">
        <v>4</v>
      </c>
      <c r="G853" t="s">
        <v>217</v>
      </c>
      <c r="H853" t="s">
        <v>217</v>
      </c>
      <c r="I853" t="s">
        <v>219</v>
      </c>
      <c r="J853" s="25">
        <v>211381</v>
      </c>
      <c r="K853" s="26">
        <v>40897.79</v>
      </c>
      <c r="L853" s="26">
        <v>319.64</v>
      </c>
    </row>
    <row r="854" spans="1:12" ht="16" customHeight="1">
      <c r="A854" t="s">
        <v>314</v>
      </c>
      <c r="B854" t="s">
        <v>3</v>
      </c>
      <c r="C854" t="s">
        <v>21</v>
      </c>
      <c r="D854" s="24">
        <v>45962</v>
      </c>
      <c r="E854" t="s">
        <v>296</v>
      </c>
      <c r="F854" t="s">
        <v>4</v>
      </c>
      <c r="G854" t="s">
        <v>217</v>
      </c>
      <c r="H854" t="s">
        <v>217</v>
      </c>
      <c r="I854" t="s">
        <v>221</v>
      </c>
      <c r="J854" s="25">
        <v>19543</v>
      </c>
      <c r="K854" s="26">
        <v>3306.05</v>
      </c>
      <c r="L854" s="26">
        <v>28.64</v>
      </c>
    </row>
    <row r="855" spans="1:12" ht="16" customHeight="1">
      <c r="A855" t="s">
        <v>314</v>
      </c>
      <c r="B855" t="s">
        <v>3</v>
      </c>
      <c r="C855" t="s">
        <v>21</v>
      </c>
      <c r="D855" s="24">
        <v>45962</v>
      </c>
      <c r="E855" t="s">
        <v>224</v>
      </c>
      <c r="F855" t="s">
        <v>4</v>
      </c>
      <c r="G855" t="s">
        <v>217</v>
      </c>
      <c r="H855" t="s">
        <v>217</v>
      </c>
      <c r="I855" t="s">
        <v>300</v>
      </c>
      <c r="J855" s="25">
        <v>16598</v>
      </c>
      <c r="K855" s="26">
        <v>3243.01</v>
      </c>
      <c r="L855" s="26">
        <v>40.6</v>
      </c>
    </row>
    <row r="856" spans="1:12" ht="16" customHeight="1">
      <c r="A856" t="s">
        <v>314</v>
      </c>
      <c r="B856" t="s">
        <v>3</v>
      </c>
      <c r="C856" t="s">
        <v>21</v>
      </c>
      <c r="D856" s="24">
        <v>45962</v>
      </c>
      <c r="E856" t="s">
        <v>226</v>
      </c>
      <c r="F856" t="s">
        <v>4</v>
      </c>
      <c r="G856" t="s">
        <v>217</v>
      </c>
      <c r="H856" t="s">
        <v>217</v>
      </c>
      <c r="I856" t="s">
        <v>301</v>
      </c>
      <c r="J856" s="25">
        <v>5196</v>
      </c>
      <c r="K856" s="26">
        <v>997.57</v>
      </c>
      <c r="L856" s="26">
        <v>17.809999999999999</v>
      </c>
    </row>
    <row r="857" spans="1:12" ht="16" customHeight="1">
      <c r="A857" t="s">
        <v>314</v>
      </c>
      <c r="B857" t="s">
        <v>3</v>
      </c>
      <c r="C857" t="s">
        <v>21</v>
      </c>
      <c r="D857" s="24">
        <v>45962</v>
      </c>
      <c r="E857" t="s">
        <v>269</v>
      </c>
      <c r="F857" t="s">
        <v>4</v>
      </c>
      <c r="G857" t="s">
        <v>217</v>
      </c>
      <c r="H857" t="s">
        <v>217</v>
      </c>
      <c r="I857" t="s">
        <v>302</v>
      </c>
      <c r="J857" s="25">
        <v>111</v>
      </c>
      <c r="K857" s="26">
        <v>20.85</v>
      </c>
      <c r="L857" s="26">
        <v>0.33</v>
      </c>
    </row>
    <row r="858" spans="1:12" ht="16" customHeight="1">
      <c r="A858" t="s">
        <v>314</v>
      </c>
      <c r="B858" t="s">
        <v>3</v>
      </c>
      <c r="C858" t="s">
        <v>21</v>
      </c>
      <c r="D858" s="24">
        <v>45962</v>
      </c>
      <c r="E858" t="s">
        <v>228</v>
      </c>
      <c r="F858" t="s">
        <v>4</v>
      </c>
      <c r="G858" t="s">
        <v>217</v>
      </c>
      <c r="H858" t="s">
        <v>217</v>
      </c>
      <c r="I858" t="s">
        <v>303</v>
      </c>
      <c r="J858" s="25">
        <v>6584</v>
      </c>
      <c r="K858" s="26">
        <v>1179.01</v>
      </c>
      <c r="L858" s="26">
        <v>20.61</v>
      </c>
    </row>
    <row r="859" spans="1:12" ht="16" customHeight="1">
      <c r="A859" t="s">
        <v>314</v>
      </c>
      <c r="B859" t="s">
        <v>3</v>
      </c>
      <c r="C859" t="s">
        <v>21</v>
      </c>
      <c r="D859" s="24">
        <v>45962</v>
      </c>
      <c r="E859" t="s">
        <v>230</v>
      </c>
      <c r="F859" t="s">
        <v>4</v>
      </c>
      <c r="G859" t="s">
        <v>217</v>
      </c>
      <c r="H859" t="s">
        <v>217</v>
      </c>
      <c r="I859" t="s">
        <v>304</v>
      </c>
      <c r="J859" s="25">
        <v>0</v>
      </c>
      <c r="K859" s="26">
        <v>0</v>
      </c>
      <c r="L859" s="26">
        <v>0</v>
      </c>
    </row>
    <row r="860" spans="1:12" ht="16" customHeight="1">
      <c r="A860" t="s">
        <v>314</v>
      </c>
      <c r="B860" t="s">
        <v>3</v>
      </c>
      <c r="C860" t="s">
        <v>21</v>
      </c>
      <c r="D860" s="24">
        <v>45962</v>
      </c>
      <c r="E860" t="s">
        <v>232</v>
      </c>
      <c r="F860" t="s">
        <v>4</v>
      </c>
      <c r="G860" t="s">
        <v>217</v>
      </c>
      <c r="H860" t="s">
        <v>217</v>
      </c>
      <c r="I860" t="s">
        <v>305</v>
      </c>
      <c r="J860" s="25">
        <v>22</v>
      </c>
      <c r="K860" s="26">
        <v>4.07</v>
      </c>
      <c r="L860" s="26">
        <v>0.1</v>
      </c>
    </row>
    <row r="861" spans="1:12" ht="16" customHeight="1">
      <c r="A861" t="s">
        <v>314</v>
      </c>
      <c r="B861" t="s">
        <v>3</v>
      </c>
      <c r="C861" t="s">
        <v>21</v>
      </c>
      <c r="D861" s="24">
        <v>45962</v>
      </c>
      <c r="E861" t="s">
        <v>234</v>
      </c>
      <c r="F861" t="s">
        <v>4</v>
      </c>
      <c r="G861" t="s">
        <v>217</v>
      </c>
      <c r="H861" t="s">
        <v>217</v>
      </c>
      <c r="I861" t="s">
        <v>306</v>
      </c>
      <c r="J861" s="25">
        <v>0</v>
      </c>
      <c r="K861" s="26">
        <v>0</v>
      </c>
      <c r="L861" s="26">
        <v>0</v>
      </c>
    </row>
    <row r="862" spans="1:12" ht="16" customHeight="1">
      <c r="A862" t="s">
        <v>314</v>
      </c>
      <c r="B862" t="s">
        <v>3</v>
      </c>
      <c r="C862" t="s">
        <v>21</v>
      </c>
      <c r="D862" s="24">
        <v>45962</v>
      </c>
      <c r="E862" t="s">
        <v>236</v>
      </c>
      <c r="F862" t="s">
        <v>4</v>
      </c>
      <c r="G862" t="s">
        <v>217</v>
      </c>
      <c r="H862" t="s">
        <v>217</v>
      </c>
      <c r="I862" t="s">
        <v>307</v>
      </c>
      <c r="J862" s="25">
        <v>2</v>
      </c>
      <c r="K862" s="26">
        <v>0.39</v>
      </c>
      <c r="L862" s="26">
        <v>0.01</v>
      </c>
    </row>
    <row r="863" spans="1:12" ht="16" customHeight="1">
      <c r="A863" t="s">
        <v>314</v>
      </c>
      <c r="B863" t="s">
        <v>3</v>
      </c>
      <c r="C863" t="s">
        <v>21</v>
      </c>
      <c r="D863" s="24">
        <v>45962</v>
      </c>
      <c r="E863" t="s">
        <v>238</v>
      </c>
      <c r="F863" t="s">
        <v>4</v>
      </c>
      <c r="G863" t="s">
        <v>217</v>
      </c>
      <c r="H863" t="s">
        <v>217</v>
      </c>
      <c r="I863" t="s">
        <v>308</v>
      </c>
      <c r="J863" s="25">
        <v>0</v>
      </c>
      <c r="K863" s="26">
        <v>0</v>
      </c>
      <c r="L863" s="26">
        <v>0</v>
      </c>
    </row>
    <row r="864" spans="1:12" ht="16" customHeight="1">
      <c r="A864" t="s">
        <v>314</v>
      </c>
      <c r="B864" t="s">
        <v>3</v>
      </c>
      <c r="C864" t="s">
        <v>21</v>
      </c>
      <c r="D864" s="24">
        <v>45962</v>
      </c>
      <c r="E864" t="s">
        <v>240</v>
      </c>
      <c r="F864" t="s">
        <v>3</v>
      </c>
      <c r="G864" t="s">
        <v>241</v>
      </c>
      <c r="H864" t="s">
        <v>241</v>
      </c>
      <c r="I864" t="s">
        <v>309</v>
      </c>
      <c r="J864" s="25">
        <v>0</v>
      </c>
      <c r="K864" s="26">
        <v>0</v>
      </c>
      <c r="L864" s="26">
        <v>0</v>
      </c>
    </row>
    <row r="865" spans="1:12" ht="16" customHeight="1">
      <c r="A865" t="s">
        <v>314</v>
      </c>
      <c r="B865" t="s">
        <v>3</v>
      </c>
      <c r="C865" t="s">
        <v>21</v>
      </c>
      <c r="D865" s="24">
        <v>45962</v>
      </c>
      <c r="E865" t="s">
        <v>243</v>
      </c>
      <c r="F865" t="s">
        <v>4</v>
      </c>
      <c r="G865" t="s">
        <v>217</v>
      </c>
      <c r="H865" t="s">
        <v>217</v>
      </c>
      <c r="I865" t="s">
        <v>310</v>
      </c>
      <c r="J865" s="25">
        <v>0</v>
      </c>
      <c r="K865" s="26">
        <v>0</v>
      </c>
      <c r="L865" s="26">
        <v>0</v>
      </c>
    </row>
    <row r="866" spans="1:12" ht="16" customHeight="1">
      <c r="A866" t="s">
        <v>282</v>
      </c>
      <c r="B866" t="s">
        <v>4</v>
      </c>
      <c r="C866" t="s">
        <v>21</v>
      </c>
      <c r="D866" s="24">
        <v>45962</v>
      </c>
      <c r="E866" t="s">
        <v>282</v>
      </c>
      <c r="F866" t="s">
        <v>4</v>
      </c>
      <c r="G866" t="s">
        <v>211</v>
      </c>
      <c r="H866" t="s">
        <v>211</v>
      </c>
      <c r="I866" t="s">
        <v>212</v>
      </c>
      <c r="J866" s="25">
        <v>324263669</v>
      </c>
      <c r="K866" s="26">
        <v>62299460.909999996</v>
      </c>
      <c r="L866" s="26">
        <v>56363.85</v>
      </c>
    </row>
    <row r="867" spans="1:12" ht="16" customHeight="1">
      <c r="A867" t="s">
        <v>282</v>
      </c>
      <c r="B867" t="s">
        <v>4</v>
      </c>
      <c r="C867" t="s">
        <v>21</v>
      </c>
      <c r="D867" s="24">
        <v>45962</v>
      </c>
      <c r="E867" t="s">
        <v>287</v>
      </c>
      <c r="F867" t="s">
        <v>4</v>
      </c>
      <c r="G867" t="s">
        <v>211</v>
      </c>
      <c r="H867" t="s">
        <v>211</v>
      </c>
      <c r="I867" t="s">
        <v>212</v>
      </c>
      <c r="J867" s="25">
        <v>11300056</v>
      </c>
      <c r="K867" s="26">
        <v>2180683.48</v>
      </c>
      <c r="L867" s="26">
        <v>6975.19</v>
      </c>
    </row>
    <row r="868" spans="1:12" ht="16" customHeight="1">
      <c r="A868" t="s">
        <v>282</v>
      </c>
      <c r="B868" t="s">
        <v>4</v>
      </c>
      <c r="C868" t="s">
        <v>21</v>
      </c>
      <c r="D868" s="24">
        <v>45962</v>
      </c>
      <c r="E868" t="s">
        <v>220</v>
      </c>
      <c r="F868" t="s">
        <v>4</v>
      </c>
      <c r="G868" t="s">
        <v>217</v>
      </c>
      <c r="H868" t="s">
        <v>217</v>
      </c>
      <c r="I868" t="s">
        <v>212</v>
      </c>
      <c r="J868" s="25">
        <v>2182678</v>
      </c>
      <c r="K868" s="26">
        <v>422962.63</v>
      </c>
      <c r="L868" s="26">
        <v>2339.02</v>
      </c>
    </row>
    <row r="869" spans="1:12" ht="16" customHeight="1">
      <c r="A869" t="s">
        <v>282</v>
      </c>
      <c r="B869" t="s">
        <v>4</v>
      </c>
      <c r="C869" t="s">
        <v>21</v>
      </c>
      <c r="D869" s="24">
        <v>45962</v>
      </c>
      <c r="E869" t="s">
        <v>291</v>
      </c>
      <c r="F869" t="s">
        <v>4</v>
      </c>
      <c r="G869" t="s">
        <v>211</v>
      </c>
      <c r="H869" t="s">
        <v>211</v>
      </c>
      <c r="I869" t="s">
        <v>219</v>
      </c>
      <c r="J869" s="25">
        <v>49899</v>
      </c>
      <c r="K869" s="26">
        <v>9723.89</v>
      </c>
      <c r="L869" s="26">
        <v>50.44</v>
      </c>
    </row>
    <row r="870" spans="1:12" ht="16" customHeight="1">
      <c r="A870" t="s">
        <v>282</v>
      </c>
      <c r="B870" t="s">
        <v>4</v>
      </c>
      <c r="C870" t="s">
        <v>21</v>
      </c>
      <c r="D870" s="24">
        <v>45962</v>
      </c>
      <c r="E870" t="s">
        <v>312</v>
      </c>
      <c r="F870" t="s">
        <v>4</v>
      </c>
      <c r="G870" t="s">
        <v>211</v>
      </c>
      <c r="H870" t="s">
        <v>211</v>
      </c>
      <c r="I870" t="s">
        <v>219</v>
      </c>
      <c r="J870" s="25">
        <v>7701</v>
      </c>
      <c r="K870" s="26">
        <v>1489.41</v>
      </c>
      <c r="L870" s="26">
        <v>12.17</v>
      </c>
    </row>
    <row r="871" spans="1:12" ht="16" customHeight="1">
      <c r="A871" t="s">
        <v>282</v>
      </c>
      <c r="B871" t="s">
        <v>4</v>
      </c>
      <c r="C871" t="s">
        <v>21</v>
      </c>
      <c r="D871" s="24">
        <v>45962</v>
      </c>
      <c r="E871" t="s">
        <v>222</v>
      </c>
      <c r="F871" t="s">
        <v>4</v>
      </c>
      <c r="G871" t="s">
        <v>217</v>
      </c>
      <c r="H871" t="s">
        <v>217</v>
      </c>
      <c r="I871" t="s">
        <v>219</v>
      </c>
      <c r="J871" s="25">
        <v>353681</v>
      </c>
      <c r="K871" s="26">
        <v>68438.539999999994</v>
      </c>
      <c r="L871" s="26">
        <v>536.35</v>
      </c>
    </row>
    <row r="872" spans="1:12" ht="16" customHeight="1">
      <c r="A872" t="s">
        <v>282</v>
      </c>
      <c r="B872" t="s">
        <v>4</v>
      </c>
      <c r="C872" t="s">
        <v>21</v>
      </c>
      <c r="D872" s="24">
        <v>45962</v>
      </c>
      <c r="E872" t="s">
        <v>296</v>
      </c>
      <c r="F872" t="s">
        <v>4</v>
      </c>
      <c r="G872" t="s">
        <v>217</v>
      </c>
      <c r="H872" t="s">
        <v>217</v>
      </c>
      <c r="I872" t="s">
        <v>221</v>
      </c>
      <c r="J872" s="25">
        <v>32541</v>
      </c>
      <c r="K872" s="26">
        <v>5511.07</v>
      </c>
      <c r="L872" s="26">
        <v>51.87</v>
      </c>
    </row>
    <row r="873" spans="1:12" ht="16" customHeight="1">
      <c r="A873" t="s">
        <v>282</v>
      </c>
      <c r="B873" t="s">
        <v>4</v>
      </c>
      <c r="C873" t="s">
        <v>21</v>
      </c>
      <c r="D873" s="24">
        <v>45962</v>
      </c>
      <c r="E873" t="s">
        <v>224</v>
      </c>
      <c r="F873" t="s">
        <v>4</v>
      </c>
      <c r="G873" t="s">
        <v>217</v>
      </c>
      <c r="H873" t="s">
        <v>217</v>
      </c>
      <c r="I873" t="s">
        <v>300</v>
      </c>
      <c r="J873" s="25">
        <v>26575</v>
      </c>
      <c r="K873" s="26">
        <v>5257.76</v>
      </c>
      <c r="L873" s="26">
        <v>74.77</v>
      </c>
    </row>
    <row r="874" spans="1:12" ht="16" customHeight="1">
      <c r="A874" t="s">
        <v>282</v>
      </c>
      <c r="B874" t="s">
        <v>4</v>
      </c>
      <c r="C874" t="s">
        <v>21</v>
      </c>
      <c r="D874" s="24">
        <v>45962</v>
      </c>
      <c r="E874" t="s">
        <v>226</v>
      </c>
      <c r="F874" t="s">
        <v>4</v>
      </c>
      <c r="G874" t="s">
        <v>217</v>
      </c>
      <c r="H874" t="s">
        <v>217</v>
      </c>
      <c r="I874" t="s">
        <v>301</v>
      </c>
      <c r="J874" s="25">
        <v>7936</v>
      </c>
      <c r="K874" s="26">
        <v>1652.29</v>
      </c>
      <c r="L874" s="26">
        <v>25.06</v>
      </c>
    </row>
    <row r="875" spans="1:12" ht="16" customHeight="1">
      <c r="A875" t="s">
        <v>282</v>
      </c>
      <c r="B875" t="s">
        <v>4</v>
      </c>
      <c r="C875" t="s">
        <v>21</v>
      </c>
      <c r="D875" s="24">
        <v>45962</v>
      </c>
      <c r="E875" t="s">
        <v>269</v>
      </c>
      <c r="F875" t="s">
        <v>4</v>
      </c>
      <c r="G875" t="s">
        <v>217</v>
      </c>
      <c r="H875" t="s">
        <v>217</v>
      </c>
      <c r="I875" t="s">
        <v>302</v>
      </c>
      <c r="J875" s="25">
        <v>66</v>
      </c>
      <c r="K875" s="26">
        <v>12.4</v>
      </c>
      <c r="L875" s="26">
        <v>0.19</v>
      </c>
    </row>
    <row r="876" spans="1:12" ht="16" customHeight="1">
      <c r="A876" t="s">
        <v>282</v>
      </c>
      <c r="B876" t="s">
        <v>4</v>
      </c>
      <c r="C876" t="s">
        <v>21</v>
      </c>
      <c r="D876" s="24">
        <v>45962</v>
      </c>
      <c r="E876" t="s">
        <v>228</v>
      </c>
      <c r="F876" t="s">
        <v>4</v>
      </c>
      <c r="G876" t="s">
        <v>217</v>
      </c>
      <c r="H876" t="s">
        <v>217</v>
      </c>
      <c r="I876" t="s">
        <v>303</v>
      </c>
      <c r="J876" s="25">
        <v>6306</v>
      </c>
      <c r="K876" s="26">
        <v>1361.29</v>
      </c>
      <c r="L876" s="26">
        <v>37.119999999999997</v>
      </c>
    </row>
    <row r="877" spans="1:12" ht="16" customHeight="1">
      <c r="A877" t="s">
        <v>282</v>
      </c>
      <c r="B877" t="s">
        <v>4</v>
      </c>
      <c r="C877" t="s">
        <v>21</v>
      </c>
      <c r="D877" s="24">
        <v>45962</v>
      </c>
      <c r="E877" t="s">
        <v>230</v>
      </c>
      <c r="F877" t="s">
        <v>4</v>
      </c>
      <c r="G877" t="s">
        <v>217</v>
      </c>
      <c r="H877" t="s">
        <v>217</v>
      </c>
      <c r="I877" t="s">
        <v>304</v>
      </c>
      <c r="J877" s="25">
        <v>0</v>
      </c>
      <c r="K877" s="26">
        <v>0</v>
      </c>
      <c r="L877" s="26">
        <v>0</v>
      </c>
    </row>
    <row r="878" spans="1:12" ht="16" customHeight="1">
      <c r="A878" t="s">
        <v>282</v>
      </c>
      <c r="B878" t="s">
        <v>4</v>
      </c>
      <c r="C878" t="s">
        <v>21</v>
      </c>
      <c r="D878" s="24">
        <v>45962</v>
      </c>
      <c r="E878" t="s">
        <v>232</v>
      </c>
      <c r="F878" t="s">
        <v>4</v>
      </c>
      <c r="G878" t="s">
        <v>217</v>
      </c>
      <c r="H878" t="s">
        <v>217</v>
      </c>
      <c r="I878" t="s">
        <v>305</v>
      </c>
      <c r="J878" s="25">
        <v>9</v>
      </c>
      <c r="K878" s="26">
        <v>1.65</v>
      </c>
      <c r="L878" s="26">
        <v>0.04</v>
      </c>
    </row>
    <row r="879" spans="1:12" ht="16" customHeight="1">
      <c r="A879" t="s">
        <v>282</v>
      </c>
      <c r="B879" t="s">
        <v>4</v>
      </c>
      <c r="C879" t="s">
        <v>21</v>
      </c>
      <c r="D879" s="24">
        <v>45962</v>
      </c>
      <c r="E879" t="s">
        <v>234</v>
      </c>
      <c r="F879" t="s">
        <v>4</v>
      </c>
      <c r="G879" t="s">
        <v>217</v>
      </c>
      <c r="H879" t="s">
        <v>217</v>
      </c>
      <c r="I879" t="s">
        <v>306</v>
      </c>
      <c r="J879" s="25">
        <v>0</v>
      </c>
      <c r="K879" s="26">
        <v>0</v>
      </c>
      <c r="L879" s="26">
        <v>0</v>
      </c>
    </row>
    <row r="880" spans="1:12" ht="16" customHeight="1">
      <c r="A880" t="s">
        <v>282</v>
      </c>
      <c r="B880" t="s">
        <v>4</v>
      </c>
      <c r="C880" t="s">
        <v>21</v>
      </c>
      <c r="D880" s="24">
        <v>45962</v>
      </c>
      <c r="E880" t="s">
        <v>236</v>
      </c>
      <c r="F880" t="s">
        <v>4</v>
      </c>
      <c r="G880" t="s">
        <v>217</v>
      </c>
      <c r="H880" t="s">
        <v>217</v>
      </c>
      <c r="I880" t="s">
        <v>307</v>
      </c>
      <c r="J880" s="25">
        <v>3</v>
      </c>
      <c r="K880" s="26">
        <v>0.57999999999999996</v>
      </c>
      <c r="L880" s="26">
        <v>0.02</v>
      </c>
    </row>
    <row r="881" spans="1:12" ht="16" customHeight="1">
      <c r="A881" t="s">
        <v>282</v>
      </c>
      <c r="B881" t="s">
        <v>4</v>
      </c>
      <c r="C881" t="s">
        <v>21</v>
      </c>
      <c r="D881" s="24">
        <v>45962</v>
      </c>
      <c r="E881" t="s">
        <v>238</v>
      </c>
      <c r="F881" t="s">
        <v>4</v>
      </c>
      <c r="G881" t="s">
        <v>217</v>
      </c>
      <c r="H881" t="s">
        <v>217</v>
      </c>
      <c r="I881" t="s">
        <v>308</v>
      </c>
      <c r="J881" s="25">
        <v>0</v>
      </c>
      <c r="K881" s="26">
        <v>0</v>
      </c>
      <c r="L881" s="26">
        <v>0</v>
      </c>
    </row>
    <row r="882" spans="1:12" ht="16" customHeight="1">
      <c r="A882" t="s">
        <v>282</v>
      </c>
      <c r="B882" t="s">
        <v>4</v>
      </c>
      <c r="C882" t="s">
        <v>21</v>
      </c>
      <c r="D882" s="24">
        <v>45962</v>
      </c>
      <c r="E882" t="s">
        <v>240</v>
      </c>
      <c r="F882" t="s">
        <v>3</v>
      </c>
      <c r="G882" t="s">
        <v>241</v>
      </c>
      <c r="H882" t="s">
        <v>241</v>
      </c>
      <c r="I882" t="s">
        <v>309</v>
      </c>
      <c r="J882" s="25">
        <v>0</v>
      </c>
      <c r="K882" s="26">
        <v>0</v>
      </c>
      <c r="L882" s="26">
        <v>0</v>
      </c>
    </row>
    <row r="883" spans="1:12" ht="16" customHeight="1">
      <c r="A883" t="s">
        <v>282</v>
      </c>
      <c r="B883" t="s">
        <v>4</v>
      </c>
      <c r="C883" t="s">
        <v>21</v>
      </c>
      <c r="D883" s="24">
        <v>45962</v>
      </c>
      <c r="E883" t="s">
        <v>243</v>
      </c>
      <c r="F883" t="s">
        <v>4</v>
      </c>
      <c r="G883" t="s">
        <v>217</v>
      </c>
      <c r="H883" t="s">
        <v>217</v>
      </c>
      <c r="I883" t="s">
        <v>310</v>
      </c>
      <c r="J883" s="25">
        <v>0</v>
      </c>
      <c r="K883" s="26">
        <v>0</v>
      </c>
      <c r="L883" s="26">
        <v>0</v>
      </c>
    </row>
    <row r="884" spans="1:12" ht="16" customHeight="1">
      <c r="A884" t="s">
        <v>315</v>
      </c>
      <c r="B884" t="s">
        <v>5</v>
      </c>
      <c r="C884" t="s">
        <v>21</v>
      </c>
      <c r="D884" s="24">
        <v>45962</v>
      </c>
      <c r="E884" t="s">
        <v>287</v>
      </c>
      <c r="F884" t="s">
        <v>4</v>
      </c>
      <c r="G884" t="s">
        <v>211</v>
      </c>
      <c r="H884" t="s">
        <v>211</v>
      </c>
      <c r="I884" t="s">
        <v>212</v>
      </c>
      <c r="J884" s="25">
        <v>41848047</v>
      </c>
      <c r="K884" s="26">
        <v>8133264.4900000002</v>
      </c>
      <c r="L884" s="26">
        <v>25090.91</v>
      </c>
    </row>
    <row r="885" spans="1:12" ht="16" customHeight="1">
      <c r="A885" t="s">
        <v>315</v>
      </c>
      <c r="B885" t="s">
        <v>5</v>
      </c>
      <c r="C885" t="s">
        <v>21</v>
      </c>
      <c r="D885" s="24">
        <v>45962</v>
      </c>
      <c r="E885" t="s">
        <v>220</v>
      </c>
      <c r="F885" t="s">
        <v>4</v>
      </c>
      <c r="G885" t="s">
        <v>217</v>
      </c>
      <c r="H885" t="s">
        <v>217</v>
      </c>
      <c r="I885" t="s">
        <v>212</v>
      </c>
      <c r="J885" s="25">
        <v>2420254</v>
      </c>
      <c r="K885" s="26">
        <v>470485.94</v>
      </c>
      <c r="L885" s="26">
        <v>2246.1999999999998</v>
      </c>
    </row>
    <row r="886" spans="1:12" ht="16" customHeight="1">
      <c r="A886" t="s">
        <v>315</v>
      </c>
      <c r="B886" t="s">
        <v>5</v>
      </c>
      <c r="C886" t="s">
        <v>21</v>
      </c>
      <c r="D886" s="24">
        <v>45962</v>
      </c>
      <c r="E886" t="s">
        <v>291</v>
      </c>
      <c r="F886" t="s">
        <v>4</v>
      </c>
      <c r="G886" t="s">
        <v>211</v>
      </c>
      <c r="H886" t="s">
        <v>211</v>
      </c>
      <c r="I886" t="s">
        <v>219</v>
      </c>
      <c r="J886" s="25">
        <v>92101</v>
      </c>
      <c r="K886" s="26">
        <v>18013.98</v>
      </c>
      <c r="L886" s="26">
        <v>86.13</v>
      </c>
    </row>
    <row r="887" spans="1:12" ht="16" customHeight="1">
      <c r="A887" t="s">
        <v>315</v>
      </c>
      <c r="B887" t="s">
        <v>5</v>
      </c>
      <c r="C887" t="s">
        <v>21</v>
      </c>
      <c r="D887" s="24">
        <v>45962</v>
      </c>
      <c r="E887" t="s">
        <v>312</v>
      </c>
      <c r="F887" t="s">
        <v>4</v>
      </c>
      <c r="G887" t="s">
        <v>211</v>
      </c>
      <c r="H887" t="s">
        <v>211</v>
      </c>
      <c r="I887" t="s">
        <v>219</v>
      </c>
      <c r="J887" s="25">
        <v>14692</v>
      </c>
      <c r="K887" s="26">
        <v>2864.01</v>
      </c>
      <c r="L887" s="26">
        <v>20.02</v>
      </c>
    </row>
    <row r="888" spans="1:12" ht="16" customHeight="1">
      <c r="A888" t="s">
        <v>315</v>
      </c>
      <c r="B888" t="s">
        <v>5</v>
      </c>
      <c r="C888" t="s">
        <v>21</v>
      </c>
      <c r="D888" s="24">
        <v>45962</v>
      </c>
      <c r="E888" t="s">
        <v>316</v>
      </c>
      <c r="F888" t="s">
        <v>4</v>
      </c>
      <c r="G888" t="s">
        <v>211</v>
      </c>
      <c r="H888" t="s">
        <v>211</v>
      </c>
      <c r="I888" t="s">
        <v>219</v>
      </c>
      <c r="J888" s="25">
        <v>1756</v>
      </c>
      <c r="K888" s="26">
        <v>343.64</v>
      </c>
      <c r="L888" s="26">
        <v>3.18</v>
      </c>
    </row>
    <row r="889" spans="1:12" ht="16" customHeight="1">
      <c r="A889" t="s">
        <v>315</v>
      </c>
      <c r="B889" t="s">
        <v>5</v>
      </c>
      <c r="C889" t="s">
        <v>21</v>
      </c>
      <c r="D889" s="24">
        <v>45962</v>
      </c>
      <c r="E889" t="s">
        <v>222</v>
      </c>
      <c r="F889" t="s">
        <v>4</v>
      </c>
      <c r="G889" t="s">
        <v>217</v>
      </c>
      <c r="H889" t="s">
        <v>217</v>
      </c>
      <c r="I889" t="s">
        <v>219</v>
      </c>
      <c r="J889" s="25">
        <v>464933</v>
      </c>
      <c r="K889" s="26">
        <v>90159.51</v>
      </c>
      <c r="L889" s="26">
        <v>678.1</v>
      </c>
    </row>
    <row r="890" spans="1:12" ht="16" customHeight="1">
      <c r="A890" t="s">
        <v>315</v>
      </c>
      <c r="B890" t="s">
        <v>5</v>
      </c>
      <c r="C890" t="s">
        <v>21</v>
      </c>
      <c r="D890" s="24">
        <v>45962</v>
      </c>
      <c r="E890" t="s">
        <v>296</v>
      </c>
      <c r="F890" t="s">
        <v>4</v>
      </c>
      <c r="G890" t="s">
        <v>217</v>
      </c>
      <c r="H890" t="s">
        <v>217</v>
      </c>
      <c r="I890" t="s">
        <v>221</v>
      </c>
      <c r="J890" s="25">
        <v>39669</v>
      </c>
      <c r="K890" s="26">
        <v>6701.2</v>
      </c>
      <c r="L890" s="26">
        <v>76.040000000000006</v>
      </c>
    </row>
    <row r="891" spans="1:12" ht="16" customHeight="1">
      <c r="A891" t="s">
        <v>315</v>
      </c>
      <c r="B891" t="s">
        <v>5</v>
      </c>
      <c r="C891" t="s">
        <v>21</v>
      </c>
      <c r="D891" s="24">
        <v>45962</v>
      </c>
      <c r="E891" t="s">
        <v>224</v>
      </c>
      <c r="F891" t="s">
        <v>4</v>
      </c>
      <c r="G891" t="s">
        <v>217</v>
      </c>
      <c r="H891" t="s">
        <v>217</v>
      </c>
      <c r="I891" t="s">
        <v>300</v>
      </c>
      <c r="J891" s="25">
        <v>25658</v>
      </c>
      <c r="K891" s="26">
        <v>5032.6400000000003</v>
      </c>
      <c r="L891" s="26">
        <v>74.739999999999995</v>
      </c>
    </row>
    <row r="892" spans="1:12" ht="16" customHeight="1">
      <c r="A892" t="s">
        <v>315</v>
      </c>
      <c r="B892" t="s">
        <v>5</v>
      </c>
      <c r="C892" t="s">
        <v>21</v>
      </c>
      <c r="D892" s="24">
        <v>45962</v>
      </c>
      <c r="E892" t="s">
        <v>226</v>
      </c>
      <c r="F892" t="s">
        <v>4</v>
      </c>
      <c r="G892" t="s">
        <v>217</v>
      </c>
      <c r="H892" t="s">
        <v>217</v>
      </c>
      <c r="I892" t="s">
        <v>301</v>
      </c>
      <c r="J892" s="25">
        <v>6312</v>
      </c>
      <c r="K892" s="26">
        <v>1254.93</v>
      </c>
      <c r="L892" s="26">
        <v>23.68</v>
      </c>
    </row>
    <row r="893" spans="1:12" ht="16" customHeight="1">
      <c r="A893" t="s">
        <v>315</v>
      </c>
      <c r="B893" t="s">
        <v>5</v>
      </c>
      <c r="C893" t="s">
        <v>21</v>
      </c>
      <c r="D893" s="24">
        <v>45962</v>
      </c>
      <c r="E893" t="s">
        <v>269</v>
      </c>
      <c r="F893" t="s">
        <v>4</v>
      </c>
      <c r="G893" t="s">
        <v>217</v>
      </c>
      <c r="H893" t="s">
        <v>217</v>
      </c>
      <c r="I893" t="s">
        <v>302</v>
      </c>
      <c r="J893" s="25">
        <v>77</v>
      </c>
      <c r="K893" s="26">
        <v>14.45</v>
      </c>
      <c r="L893" s="26">
        <v>0.2</v>
      </c>
    </row>
    <row r="894" spans="1:12" ht="16" customHeight="1">
      <c r="A894" t="s">
        <v>315</v>
      </c>
      <c r="B894" t="s">
        <v>5</v>
      </c>
      <c r="C894" t="s">
        <v>21</v>
      </c>
      <c r="D894" s="24">
        <v>45962</v>
      </c>
      <c r="E894" t="s">
        <v>228</v>
      </c>
      <c r="F894" t="s">
        <v>4</v>
      </c>
      <c r="G894" t="s">
        <v>217</v>
      </c>
      <c r="H894" t="s">
        <v>217</v>
      </c>
      <c r="I894" t="s">
        <v>303</v>
      </c>
      <c r="J894" s="25">
        <v>4249</v>
      </c>
      <c r="K894" s="26">
        <v>847.58</v>
      </c>
      <c r="L894" s="26">
        <v>22.84</v>
      </c>
    </row>
    <row r="895" spans="1:12" ht="16" customHeight="1">
      <c r="A895" t="s">
        <v>315</v>
      </c>
      <c r="B895" t="s">
        <v>5</v>
      </c>
      <c r="C895" t="s">
        <v>21</v>
      </c>
      <c r="D895" s="24">
        <v>45962</v>
      </c>
      <c r="E895" t="s">
        <v>230</v>
      </c>
      <c r="F895" t="s">
        <v>4</v>
      </c>
      <c r="G895" t="s">
        <v>217</v>
      </c>
      <c r="H895" t="s">
        <v>217</v>
      </c>
      <c r="I895" t="s">
        <v>304</v>
      </c>
      <c r="J895" s="25">
        <v>0</v>
      </c>
      <c r="K895" s="26">
        <v>0</v>
      </c>
      <c r="L895" s="26">
        <v>0</v>
      </c>
    </row>
    <row r="896" spans="1:12" ht="16" customHeight="1">
      <c r="A896" t="s">
        <v>315</v>
      </c>
      <c r="B896" t="s">
        <v>5</v>
      </c>
      <c r="C896" t="s">
        <v>21</v>
      </c>
      <c r="D896" s="24">
        <v>45962</v>
      </c>
      <c r="E896" t="s">
        <v>232</v>
      </c>
      <c r="F896" t="s">
        <v>4</v>
      </c>
      <c r="G896" t="s">
        <v>217</v>
      </c>
      <c r="H896" t="s">
        <v>217</v>
      </c>
      <c r="I896" t="s">
        <v>305</v>
      </c>
      <c r="J896" s="25">
        <v>20</v>
      </c>
      <c r="K896" s="26">
        <v>3.74</v>
      </c>
      <c r="L896" s="26">
        <v>0.09</v>
      </c>
    </row>
    <row r="897" spans="1:12" ht="16" customHeight="1">
      <c r="A897" t="s">
        <v>315</v>
      </c>
      <c r="B897" t="s">
        <v>5</v>
      </c>
      <c r="C897" t="s">
        <v>21</v>
      </c>
      <c r="D897" s="24">
        <v>45962</v>
      </c>
      <c r="E897" t="s">
        <v>234</v>
      </c>
      <c r="F897" t="s">
        <v>4</v>
      </c>
      <c r="G897" t="s">
        <v>217</v>
      </c>
      <c r="H897" t="s">
        <v>217</v>
      </c>
      <c r="I897" t="s">
        <v>306</v>
      </c>
      <c r="J897" s="25">
        <v>0</v>
      </c>
      <c r="K897" s="26">
        <v>0</v>
      </c>
      <c r="L897" s="26">
        <v>0</v>
      </c>
    </row>
    <row r="898" spans="1:12" ht="16" customHeight="1">
      <c r="A898" t="s">
        <v>315</v>
      </c>
      <c r="B898" t="s">
        <v>5</v>
      </c>
      <c r="C898" t="s">
        <v>21</v>
      </c>
      <c r="D898" s="24">
        <v>45962</v>
      </c>
      <c r="E898" t="s">
        <v>236</v>
      </c>
      <c r="F898" t="s">
        <v>4</v>
      </c>
      <c r="G898" t="s">
        <v>217</v>
      </c>
      <c r="H898" t="s">
        <v>217</v>
      </c>
      <c r="I898" t="s">
        <v>307</v>
      </c>
      <c r="J898" s="25">
        <v>1</v>
      </c>
      <c r="K898" s="26">
        <v>0.2</v>
      </c>
      <c r="L898" s="26">
        <v>0.01</v>
      </c>
    </row>
    <row r="899" spans="1:12" ht="16" customHeight="1">
      <c r="A899" t="s">
        <v>315</v>
      </c>
      <c r="B899" t="s">
        <v>5</v>
      </c>
      <c r="C899" t="s">
        <v>21</v>
      </c>
      <c r="D899" s="24">
        <v>45962</v>
      </c>
      <c r="E899" t="s">
        <v>238</v>
      </c>
      <c r="F899" t="s">
        <v>4</v>
      </c>
      <c r="G899" t="s">
        <v>217</v>
      </c>
      <c r="H899" t="s">
        <v>217</v>
      </c>
      <c r="I899" t="s">
        <v>308</v>
      </c>
      <c r="J899" s="25">
        <v>0</v>
      </c>
      <c r="K899" s="26">
        <v>0</v>
      </c>
      <c r="L899" s="26">
        <v>0</v>
      </c>
    </row>
    <row r="900" spans="1:12" ht="16" customHeight="1">
      <c r="A900" t="s">
        <v>315</v>
      </c>
      <c r="B900" t="s">
        <v>5</v>
      </c>
      <c r="C900" t="s">
        <v>21</v>
      </c>
      <c r="D900" s="24">
        <v>45962</v>
      </c>
      <c r="E900" t="s">
        <v>240</v>
      </c>
      <c r="F900" t="s">
        <v>3</v>
      </c>
      <c r="G900" t="s">
        <v>241</v>
      </c>
      <c r="H900" t="s">
        <v>241</v>
      </c>
      <c r="I900" t="s">
        <v>309</v>
      </c>
      <c r="J900" s="25">
        <v>0</v>
      </c>
      <c r="K900" s="26">
        <v>0</v>
      </c>
      <c r="L900" s="26">
        <v>0</v>
      </c>
    </row>
    <row r="901" spans="1:12" ht="16" customHeight="1">
      <c r="A901" t="s">
        <v>315</v>
      </c>
      <c r="B901" t="s">
        <v>5</v>
      </c>
      <c r="C901" t="s">
        <v>21</v>
      </c>
      <c r="D901" s="24">
        <v>45962</v>
      </c>
      <c r="E901" t="s">
        <v>243</v>
      </c>
      <c r="F901" t="s">
        <v>4</v>
      </c>
      <c r="G901" t="s">
        <v>217</v>
      </c>
      <c r="H901" t="s">
        <v>217</v>
      </c>
      <c r="I901" t="s">
        <v>310</v>
      </c>
      <c r="J901" s="25">
        <v>0</v>
      </c>
      <c r="K901" s="26">
        <v>0</v>
      </c>
      <c r="L901" s="26">
        <v>0</v>
      </c>
    </row>
    <row r="902" spans="1:12" ht="16" customHeight="1">
      <c r="A902" t="s">
        <v>317</v>
      </c>
      <c r="B902" t="s">
        <v>6</v>
      </c>
      <c r="C902" t="s">
        <v>21</v>
      </c>
      <c r="D902" s="24">
        <v>45962</v>
      </c>
      <c r="E902" t="s">
        <v>287</v>
      </c>
      <c r="F902" t="s">
        <v>4</v>
      </c>
      <c r="G902" t="s">
        <v>211</v>
      </c>
      <c r="H902" t="s">
        <v>211</v>
      </c>
      <c r="I902" t="s">
        <v>212</v>
      </c>
      <c r="J902" s="25">
        <v>51081339</v>
      </c>
      <c r="K902" s="26">
        <v>9944889.3499999996</v>
      </c>
      <c r="L902" s="26">
        <v>27931.31</v>
      </c>
    </row>
    <row r="903" spans="1:12" ht="16" customHeight="1">
      <c r="A903" t="s">
        <v>317</v>
      </c>
      <c r="B903" t="s">
        <v>6</v>
      </c>
      <c r="C903" t="s">
        <v>21</v>
      </c>
      <c r="D903" s="24">
        <v>45962</v>
      </c>
      <c r="E903" t="s">
        <v>220</v>
      </c>
      <c r="F903" t="s">
        <v>4</v>
      </c>
      <c r="G903" t="s">
        <v>217</v>
      </c>
      <c r="H903" t="s">
        <v>217</v>
      </c>
      <c r="I903" t="s">
        <v>212</v>
      </c>
      <c r="J903" s="25">
        <v>3213467</v>
      </c>
      <c r="K903" s="26">
        <v>627000.64</v>
      </c>
      <c r="L903" s="26">
        <v>2895.85</v>
      </c>
    </row>
    <row r="904" spans="1:12" ht="16" customHeight="1">
      <c r="A904" t="s">
        <v>317</v>
      </c>
      <c r="B904" t="s">
        <v>6</v>
      </c>
      <c r="C904" t="s">
        <v>21</v>
      </c>
      <c r="D904" s="24">
        <v>45962</v>
      </c>
      <c r="E904" t="s">
        <v>291</v>
      </c>
      <c r="F904" t="s">
        <v>4</v>
      </c>
      <c r="G904" t="s">
        <v>211</v>
      </c>
      <c r="H904" t="s">
        <v>211</v>
      </c>
      <c r="I904" t="s">
        <v>219</v>
      </c>
      <c r="J904" s="25">
        <v>109416</v>
      </c>
      <c r="K904" s="26">
        <v>21495.41</v>
      </c>
      <c r="L904" s="26">
        <v>117.71</v>
      </c>
    </row>
    <row r="905" spans="1:12" ht="16" customHeight="1">
      <c r="A905" t="s">
        <v>317</v>
      </c>
      <c r="B905" t="s">
        <v>6</v>
      </c>
      <c r="C905" t="s">
        <v>21</v>
      </c>
      <c r="D905" s="24">
        <v>45962</v>
      </c>
      <c r="E905" t="s">
        <v>312</v>
      </c>
      <c r="F905" t="s">
        <v>4</v>
      </c>
      <c r="G905" t="s">
        <v>211</v>
      </c>
      <c r="H905" t="s">
        <v>211</v>
      </c>
      <c r="I905" t="s">
        <v>219</v>
      </c>
      <c r="J905" s="25">
        <v>14653</v>
      </c>
      <c r="K905" s="26">
        <v>2866.38</v>
      </c>
      <c r="L905" s="26">
        <v>20.3</v>
      </c>
    </row>
    <row r="906" spans="1:12" ht="16" customHeight="1">
      <c r="A906" t="s">
        <v>317</v>
      </c>
      <c r="B906" t="s">
        <v>6</v>
      </c>
      <c r="C906" t="s">
        <v>21</v>
      </c>
      <c r="D906" s="24">
        <v>45962</v>
      </c>
      <c r="E906" t="s">
        <v>316</v>
      </c>
      <c r="F906" t="s">
        <v>4</v>
      </c>
      <c r="G906" t="s">
        <v>211</v>
      </c>
      <c r="H906" t="s">
        <v>211</v>
      </c>
      <c r="I906" t="s">
        <v>219</v>
      </c>
      <c r="J906" s="25">
        <v>3249</v>
      </c>
      <c r="K906" s="26">
        <v>638.34</v>
      </c>
      <c r="L906" s="26">
        <v>5.76</v>
      </c>
    </row>
    <row r="907" spans="1:12" ht="16" customHeight="1">
      <c r="A907" t="s">
        <v>317</v>
      </c>
      <c r="B907" t="s">
        <v>6</v>
      </c>
      <c r="C907" t="s">
        <v>21</v>
      </c>
      <c r="D907" s="24">
        <v>45962</v>
      </c>
      <c r="E907" t="s">
        <v>222</v>
      </c>
      <c r="F907" t="s">
        <v>4</v>
      </c>
      <c r="G907" t="s">
        <v>217</v>
      </c>
      <c r="H907" t="s">
        <v>217</v>
      </c>
      <c r="I907" t="s">
        <v>219</v>
      </c>
      <c r="J907" s="25">
        <v>361809</v>
      </c>
      <c r="K907" s="26">
        <v>70561.759999999995</v>
      </c>
      <c r="L907" s="26">
        <v>567.57000000000005</v>
      </c>
    </row>
    <row r="908" spans="1:12" ht="16" customHeight="1">
      <c r="A908" t="s">
        <v>317</v>
      </c>
      <c r="B908" t="s">
        <v>6</v>
      </c>
      <c r="C908" t="s">
        <v>21</v>
      </c>
      <c r="D908" s="24">
        <v>45962</v>
      </c>
      <c r="E908" t="s">
        <v>296</v>
      </c>
      <c r="F908" t="s">
        <v>4</v>
      </c>
      <c r="G908" t="s">
        <v>217</v>
      </c>
      <c r="H908" t="s">
        <v>217</v>
      </c>
      <c r="I908" t="s">
        <v>221</v>
      </c>
      <c r="J908" s="25">
        <v>31296</v>
      </c>
      <c r="K908" s="26">
        <v>5314.95</v>
      </c>
      <c r="L908" s="26">
        <v>61.21</v>
      </c>
    </row>
    <row r="909" spans="1:12" ht="16" customHeight="1">
      <c r="A909" t="s">
        <v>317</v>
      </c>
      <c r="B909" t="s">
        <v>6</v>
      </c>
      <c r="C909" t="s">
        <v>21</v>
      </c>
      <c r="D909" s="24">
        <v>45962</v>
      </c>
      <c r="E909" t="s">
        <v>224</v>
      </c>
      <c r="F909" t="s">
        <v>4</v>
      </c>
      <c r="G909" t="s">
        <v>217</v>
      </c>
      <c r="H909" t="s">
        <v>217</v>
      </c>
      <c r="I909" t="s">
        <v>300</v>
      </c>
      <c r="J909" s="25">
        <v>22765</v>
      </c>
      <c r="K909" s="26">
        <v>4595.32</v>
      </c>
      <c r="L909" s="26">
        <v>78.099999999999994</v>
      </c>
    </row>
    <row r="910" spans="1:12" ht="16" customHeight="1">
      <c r="A910" t="s">
        <v>317</v>
      </c>
      <c r="B910" t="s">
        <v>6</v>
      </c>
      <c r="C910" t="s">
        <v>21</v>
      </c>
      <c r="D910" s="24">
        <v>45962</v>
      </c>
      <c r="E910" t="s">
        <v>226</v>
      </c>
      <c r="F910" t="s">
        <v>4</v>
      </c>
      <c r="G910" t="s">
        <v>217</v>
      </c>
      <c r="H910" t="s">
        <v>217</v>
      </c>
      <c r="I910" t="s">
        <v>301</v>
      </c>
      <c r="J910" s="25">
        <v>4855</v>
      </c>
      <c r="K910" s="26">
        <v>991.61</v>
      </c>
      <c r="L910" s="26">
        <v>23.72</v>
      </c>
    </row>
    <row r="911" spans="1:12" ht="16" customHeight="1">
      <c r="A911" t="s">
        <v>317</v>
      </c>
      <c r="B911" t="s">
        <v>6</v>
      </c>
      <c r="C911" t="s">
        <v>21</v>
      </c>
      <c r="D911" s="24">
        <v>45962</v>
      </c>
      <c r="E911" t="s">
        <v>269</v>
      </c>
      <c r="F911" t="s">
        <v>4</v>
      </c>
      <c r="G911" t="s">
        <v>217</v>
      </c>
      <c r="H911" t="s">
        <v>217</v>
      </c>
      <c r="I911" t="s">
        <v>302</v>
      </c>
      <c r="J911" s="25">
        <v>20</v>
      </c>
      <c r="K911" s="26">
        <v>3.76</v>
      </c>
      <c r="L911" s="26">
        <v>0.05</v>
      </c>
    </row>
    <row r="912" spans="1:12" ht="16" customHeight="1">
      <c r="A912" t="s">
        <v>317</v>
      </c>
      <c r="B912" t="s">
        <v>6</v>
      </c>
      <c r="C912" t="s">
        <v>21</v>
      </c>
      <c r="D912" s="24">
        <v>45962</v>
      </c>
      <c r="E912" t="s">
        <v>228</v>
      </c>
      <c r="F912" t="s">
        <v>4</v>
      </c>
      <c r="G912" t="s">
        <v>217</v>
      </c>
      <c r="H912" t="s">
        <v>217</v>
      </c>
      <c r="I912" t="s">
        <v>303</v>
      </c>
      <c r="J912" s="25">
        <v>4193</v>
      </c>
      <c r="K912" s="26">
        <v>875.19</v>
      </c>
      <c r="L912" s="26">
        <v>33.75</v>
      </c>
    </row>
    <row r="913" spans="1:12" ht="16" customHeight="1">
      <c r="A913" t="s">
        <v>317</v>
      </c>
      <c r="B913" t="s">
        <v>6</v>
      </c>
      <c r="C913" t="s">
        <v>21</v>
      </c>
      <c r="D913" s="24">
        <v>45962</v>
      </c>
      <c r="E913" t="s">
        <v>230</v>
      </c>
      <c r="F913" t="s">
        <v>4</v>
      </c>
      <c r="G913" t="s">
        <v>217</v>
      </c>
      <c r="H913" t="s">
        <v>217</v>
      </c>
      <c r="I913" t="s">
        <v>304</v>
      </c>
      <c r="J913" s="25">
        <v>0</v>
      </c>
      <c r="K913" s="26">
        <v>0</v>
      </c>
      <c r="L913" s="26">
        <v>0</v>
      </c>
    </row>
    <row r="914" spans="1:12" ht="16" customHeight="1">
      <c r="A914" t="s">
        <v>317</v>
      </c>
      <c r="B914" t="s">
        <v>6</v>
      </c>
      <c r="C914" t="s">
        <v>21</v>
      </c>
      <c r="D914" s="24">
        <v>45962</v>
      </c>
      <c r="E914" t="s">
        <v>232</v>
      </c>
      <c r="F914" t="s">
        <v>4</v>
      </c>
      <c r="G914" t="s">
        <v>217</v>
      </c>
      <c r="H914" t="s">
        <v>217</v>
      </c>
      <c r="I914" t="s">
        <v>305</v>
      </c>
      <c r="J914" s="25">
        <v>2</v>
      </c>
      <c r="K914" s="26">
        <v>0.4</v>
      </c>
      <c r="L914" s="26">
        <v>0.01</v>
      </c>
    </row>
    <row r="915" spans="1:12" ht="16" customHeight="1">
      <c r="A915" t="s">
        <v>317</v>
      </c>
      <c r="B915" t="s">
        <v>6</v>
      </c>
      <c r="C915" t="s">
        <v>21</v>
      </c>
      <c r="D915" s="24">
        <v>45962</v>
      </c>
      <c r="E915" t="s">
        <v>234</v>
      </c>
      <c r="F915" t="s">
        <v>4</v>
      </c>
      <c r="G915" t="s">
        <v>217</v>
      </c>
      <c r="H915" t="s">
        <v>217</v>
      </c>
      <c r="I915" t="s">
        <v>306</v>
      </c>
      <c r="J915" s="25">
        <v>0</v>
      </c>
      <c r="K915" s="26">
        <v>0</v>
      </c>
      <c r="L915" s="26">
        <v>0</v>
      </c>
    </row>
    <row r="916" spans="1:12" ht="16" customHeight="1">
      <c r="A916" t="s">
        <v>317</v>
      </c>
      <c r="B916" t="s">
        <v>6</v>
      </c>
      <c r="C916" t="s">
        <v>21</v>
      </c>
      <c r="D916" s="24">
        <v>45962</v>
      </c>
      <c r="E916" t="s">
        <v>236</v>
      </c>
      <c r="F916" t="s">
        <v>4</v>
      </c>
      <c r="G916" t="s">
        <v>217</v>
      </c>
      <c r="H916" t="s">
        <v>217</v>
      </c>
      <c r="I916" t="s">
        <v>307</v>
      </c>
      <c r="J916" s="25">
        <v>0</v>
      </c>
      <c r="K916" s="26">
        <v>0</v>
      </c>
      <c r="L916" s="26">
        <v>0</v>
      </c>
    </row>
    <row r="917" spans="1:12" ht="16" customHeight="1">
      <c r="A917" t="s">
        <v>317</v>
      </c>
      <c r="B917" t="s">
        <v>6</v>
      </c>
      <c r="C917" t="s">
        <v>21</v>
      </c>
      <c r="D917" s="24">
        <v>45962</v>
      </c>
      <c r="E917" t="s">
        <v>238</v>
      </c>
      <c r="F917" t="s">
        <v>4</v>
      </c>
      <c r="G917" t="s">
        <v>217</v>
      </c>
      <c r="H917" t="s">
        <v>217</v>
      </c>
      <c r="I917" t="s">
        <v>308</v>
      </c>
      <c r="J917" s="25">
        <v>0</v>
      </c>
      <c r="K917" s="26">
        <v>0</v>
      </c>
      <c r="L917" s="26">
        <v>0</v>
      </c>
    </row>
    <row r="918" spans="1:12" ht="16" customHeight="1">
      <c r="A918" t="s">
        <v>317</v>
      </c>
      <c r="B918" t="s">
        <v>6</v>
      </c>
      <c r="C918" t="s">
        <v>21</v>
      </c>
      <c r="D918" s="24">
        <v>45962</v>
      </c>
      <c r="E918" t="s">
        <v>240</v>
      </c>
      <c r="F918" t="s">
        <v>3</v>
      </c>
      <c r="G918" t="s">
        <v>241</v>
      </c>
      <c r="H918" t="s">
        <v>241</v>
      </c>
      <c r="I918" t="s">
        <v>309</v>
      </c>
      <c r="J918" s="25">
        <v>0</v>
      </c>
      <c r="K918" s="26">
        <v>0</v>
      </c>
      <c r="L918" s="26">
        <v>0</v>
      </c>
    </row>
    <row r="919" spans="1:12" ht="16" customHeight="1">
      <c r="A919" t="s">
        <v>317</v>
      </c>
      <c r="B919" t="s">
        <v>6</v>
      </c>
      <c r="C919" t="s">
        <v>21</v>
      </c>
      <c r="D919" s="24">
        <v>45962</v>
      </c>
      <c r="E919" t="s">
        <v>243</v>
      </c>
      <c r="F919" t="s">
        <v>4</v>
      </c>
      <c r="G919" t="s">
        <v>217</v>
      </c>
      <c r="H919" t="s">
        <v>217</v>
      </c>
      <c r="I919" t="s">
        <v>310</v>
      </c>
      <c r="J919" s="25">
        <v>0</v>
      </c>
      <c r="K919" s="26">
        <v>0</v>
      </c>
      <c r="L919" s="26">
        <v>0</v>
      </c>
    </row>
    <row r="920" spans="1:12" ht="16" customHeight="1">
      <c r="A920" t="s">
        <v>318</v>
      </c>
      <c r="B920" t="s">
        <v>7</v>
      </c>
      <c r="C920" t="s">
        <v>21</v>
      </c>
      <c r="D920" s="24">
        <v>45962</v>
      </c>
      <c r="E920" t="s">
        <v>287</v>
      </c>
      <c r="F920" t="s">
        <v>4</v>
      </c>
      <c r="G920" t="s">
        <v>211</v>
      </c>
      <c r="H920" t="s">
        <v>211</v>
      </c>
      <c r="I920" t="s">
        <v>212</v>
      </c>
      <c r="J920" s="25">
        <v>114475041</v>
      </c>
      <c r="K920" s="26">
        <v>22260670.530000001</v>
      </c>
      <c r="L920" s="26">
        <v>55377.77</v>
      </c>
    </row>
    <row r="921" spans="1:12" ht="16" customHeight="1">
      <c r="A921" t="s">
        <v>318</v>
      </c>
      <c r="B921" t="s">
        <v>7</v>
      </c>
      <c r="C921" t="s">
        <v>21</v>
      </c>
      <c r="D921" s="24">
        <v>45962</v>
      </c>
      <c r="E921" t="s">
        <v>220</v>
      </c>
      <c r="F921" t="s">
        <v>4</v>
      </c>
      <c r="G921" t="s">
        <v>217</v>
      </c>
      <c r="H921" t="s">
        <v>217</v>
      </c>
      <c r="I921" t="s">
        <v>212</v>
      </c>
      <c r="J921" s="25">
        <v>5240099</v>
      </c>
      <c r="K921" s="26">
        <v>1019525.35</v>
      </c>
      <c r="L921" s="26">
        <v>4629.78</v>
      </c>
    </row>
    <row r="922" spans="1:12" ht="16" customHeight="1">
      <c r="A922" t="s">
        <v>318</v>
      </c>
      <c r="B922" t="s">
        <v>7</v>
      </c>
      <c r="C922" t="s">
        <v>21</v>
      </c>
      <c r="D922" s="24">
        <v>45962</v>
      </c>
      <c r="E922" t="s">
        <v>291</v>
      </c>
      <c r="F922" t="s">
        <v>4</v>
      </c>
      <c r="G922" t="s">
        <v>211</v>
      </c>
      <c r="H922" t="s">
        <v>211</v>
      </c>
      <c r="I922" t="s">
        <v>219</v>
      </c>
      <c r="J922" s="25">
        <v>217583</v>
      </c>
      <c r="K922" s="26">
        <v>42619.47</v>
      </c>
      <c r="L922" s="26">
        <v>236.02</v>
      </c>
    </row>
    <row r="923" spans="1:12" ht="16" customHeight="1">
      <c r="A923" t="s">
        <v>318</v>
      </c>
      <c r="B923" t="s">
        <v>7</v>
      </c>
      <c r="C923" t="s">
        <v>21</v>
      </c>
      <c r="D923" s="24">
        <v>45962</v>
      </c>
      <c r="E923" t="s">
        <v>312</v>
      </c>
      <c r="F923" t="s">
        <v>4</v>
      </c>
      <c r="G923" t="s">
        <v>211</v>
      </c>
      <c r="H923" t="s">
        <v>211</v>
      </c>
      <c r="I923" t="s">
        <v>219</v>
      </c>
      <c r="J923" s="25">
        <v>26311</v>
      </c>
      <c r="K923" s="26">
        <v>5156.49</v>
      </c>
      <c r="L923" s="26">
        <v>38.54</v>
      </c>
    </row>
    <row r="924" spans="1:12" ht="16" customHeight="1">
      <c r="A924" t="s">
        <v>318</v>
      </c>
      <c r="B924" t="s">
        <v>7</v>
      </c>
      <c r="C924" t="s">
        <v>21</v>
      </c>
      <c r="D924" s="24">
        <v>45962</v>
      </c>
      <c r="E924" t="s">
        <v>316</v>
      </c>
      <c r="F924" t="s">
        <v>4</v>
      </c>
      <c r="G924" t="s">
        <v>211</v>
      </c>
      <c r="H924" t="s">
        <v>211</v>
      </c>
      <c r="I924" t="s">
        <v>219</v>
      </c>
      <c r="J924" s="25">
        <v>4042</v>
      </c>
      <c r="K924" s="26">
        <v>797.68</v>
      </c>
      <c r="L924" s="26">
        <v>7.16</v>
      </c>
    </row>
    <row r="925" spans="1:12" ht="16" customHeight="1">
      <c r="A925" t="s">
        <v>318</v>
      </c>
      <c r="B925" t="s">
        <v>7</v>
      </c>
      <c r="C925" t="s">
        <v>21</v>
      </c>
      <c r="D925" s="24">
        <v>45962</v>
      </c>
      <c r="E925" t="s">
        <v>222</v>
      </c>
      <c r="F925" t="s">
        <v>4</v>
      </c>
      <c r="G925" t="s">
        <v>217</v>
      </c>
      <c r="H925" t="s">
        <v>217</v>
      </c>
      <c r="I925" t="s">
        <v>219</v>
      </c>
      <c r="J925" s="25">
        <v>490525</v>
      </c>
      <c r="K925" s="26">
        <v>95578.2</v>
      </c>
      <c r="L925" s="26">
        <v>772.58</v>
      </c>
    </row>
    <row r="926" spans="1:12" ht="16" customHeight="1">
      <c r="A926" t="s">
        <v>318</v>
      </c>
      <c r="B926" t="s">
        <v>7</v>
      </c>
      <c r="C926" t="s">
        <v>21</v>
      </c>
      <c r="D926" s="24">
        <v>45962</v>
      </c>
      <c r="E926" t="s">
        <v>296</v>
      </c>
      <c r="F926" t="s">
        <v>4</v>
      </c>
      <c r="G926" t="s">
        <v>217</v>
      </c>
      <c r="H926" t="s">
        <v>217</v>
      </c>
      <c r="I926" t="s">
        <v>221</v>
      </c>
      <c r="J926" s="25">
        <v>39481</v>
      </c>
      <c r="K926" s="26">
        <v>6700.03</v>
      </c>
      <c r="L926" s="26">
        <v>75.25</v>
      </c>
    </row>
    <row r="927" spans="1:12" ht="16" customHeight="1">
      <c r="A927" t="s">
        <v>318</v>
      </c>
      <c r="B927" t="s">
        <v>7</v>
      </c>
      <c r="C927" t="s">
        <v>21</v>
      </c>
      <c r="D927" s="24">
        <v>45962</v>
      </c>
      <c r="E927" t="s">
        <v>224</v>
      </c>
      <c r="F927" t="s">
        <v>4</v>
      </c>
      <c r="G927" t="s">
        <v>217</v>
      </c>
      <c r="H927" t="s">
        <v>217</v>
      </c>
      <c r="I927" t="s">
        <v>300</v>
      </c>
      <c r="J927" s="25">
        <v>21613</v>
      </c>
      <c r="K927" s="26">
        <v>4240.8999999999996</v>
      </c>
      <c r="L927" s="26">
        <v>62.77</v>
      </c>
    </row>
    <row r="928" spans="1:12" ht="16" customHeight="1">
      <c r="A928" t="s">
        <v>318</v>
      </c>
      <c r="B928" t="s">
        <v>7</v>
      </c>
      <c r="C928" t="s">
        <v>21</v>
      </c>
      <c r="D928" s="24">
        <v>45962</v>
      </c>
      <c r="E928" t="s">
        <v>226</v>
      </c>
      <c r="F928" t="s">
        <v>4</v>
      </c>
      <c r="G928" t="s">
        <v>217</v>
      </c>
      <c r="H928" t="s">
        <v>217</v>
      </c>
      <c r="I928" t="s">
        <v>301</v>
      </c>
      <c r="J928" s="25">
        <v>4110</v>
      </c>
      <c r="K928" s="26">
        <v>813.78</v>
      </c>
      <c r="L928" s="26">
        <v>18.37</v>
      </c>
    </row>
    <row r="929" spans="1:12" ht="16" customHeight="1">
      <c r="A929" t="s">
        <v>318</v>
      </c>
      <c r="B929" t="s">
        <v>7</v>
      </c>
      <c r="C929" t="s">
        <v>21</v>
      </c>
      <c r="D929" s="24">
        <v>45962</v>
      </c>
      <c r="E929" t="s">
        <v>269</v>
      </c>
      <c r="F929" t="s">
        <v>4</v>
      </c>
      <c r="G929" t="s">
        <v>217</v>
      </c>
      <c r="H929" t="s">
        <v>217</v>
      </c>
      <c r="I929" t="s">
        <v>302</v>
      </c>
      <c r="J929" s="25">
        <v>31</v>
      </c>
      <c r="K929" s="26">
        <v>5.75</v>
      </c>
      <c r="L929" s="26">
        <v>7.0000000000000007E-2</v>
      </c>
    </row>
    <row r="930" spans="1:12" ht="16" customHeight="1">
      <c r="A930" t="s">
        <v>318</v>
      </c>
      <c r="B930" t="s">
        <v>7</v>
      </c>
      <c r="C930" t="s">
        <v>21</v>
      </c>
      <c r="D930" s="24">
        <v>45962</v>
      </c>
      <c r="E930" t="s">
        <v>228</v>
      </c>
      <c r="F930" t="s">
        <v>4</v>
      </c>
      <c r="G930" t="s">
        <v>217</v>
      </c>
      <c r="H930" t="s">
        <v>217</v>
      </c>
      <c r="I930" t="s">
        <v>303</v>
      </c>
      <c r="J930" s="25">
        <v>3669</v>
      </c>
      <c r="K930" s="26">
        <v>746.48</v>
      </c>
      <c r="L930" s="26">
        <v>25.38</v>
      </c>
    </row>
    <row r="931" spans="1:12" ht="16" customHeight="1">
      <c r="A931" t="s">
        <v>318</v>
      </c>
      <c r="B931" t="s">
        <v>7</v>
      </c>
      <c r="C931" t="s">
        <v>21</v>
      </c>
      <c r="D931" s="24">
        <v>45962</v>
      </c>
      <c r="E931" t="s">
        <v>230</v>
      </c>
      <c r="F931" t="s">
        <v>4</v>
      </c>
      <c r="G931" t="s">
        <v>217</v>
      </c>
      <c r="H931" t="s">
        <v>217</v>
      </c>
      <c r="I931" t="s">
        <v>304</v>
      </c>
      <c r="J931" s="25">
        <v>0</v>
      </c>
      <c r="K931" s="26">
        <v>0</v>
      </c>
      <c r="L931" s="26">
        <v>0</v>
      </c>
    </row>
    <row r="932" spans="1:12" ht="16" customHeight="1">
      <c r="A932" t="s">
        <v>318</v>
      </c>
      <c r="B932" t="s">
        <v>7</v>
      </c>
      <c r="C932" t="s">
        <v>21</v>
      </c>
      <c r="D932" s="24">
        <v>45962</v>
      </c>
      <c r="E932" t="s">
        <v>232</v>
      </c>
      <c r="F932" t="s">
        <v>4</v>
      </c>
      <c r="G932" t="s">
        <v>217</v>
      </c>
      <c r="H932" t="s">
        <v>217</v>
      </c>
      <c r="I932" t="s">
        <v>305</v>
      </c>
      <c r="J932" s="25">
        <v>7</v>
      </c>
      <c r="K932" s="26">
        <v>1.4</v>
      </c>
      <c r="L932" s="26">
        <v>7.0000000000000007E-2</v>
      </c>
    </row>
    <row r="933" spans="1:12" ht="16" customHeight="1">
      <c r="A933" t="s">
        <v>318</v>
      </c>
      <c r="B933" t="s">
        <v>7</v>
      </c>
      <c r="C933" t="s">
        <v>21</v>
      </c>
      <c r="D933" s="24">
        <v>45962</v>
      </c>
      <c r="E933" t="s">
        <v>234</v>
      </c>
      <c r="F933" t="s">
        <v>4</v>
      </c>
      <c r="G933" t="s">
        <v>217</v>
      </c>
      <c r="H933" t="s">
        <v>217</v>
      </c>
      <c r="I933" t="s">
        <v>306</v>
      </c>
      <c r="J933" s="25">
        <v>0</v>
      </c>
      <c r="K933" s="26">
        <v>0</v>
      </c>
      <c r="L933" s="26">
        <v>0</v>
      </c>
    </row>
    <row r="934" spans="1:12" ht="16" customHeight="1">
      <c r="A934" t="s">
        <v>318</v>
      </c>
      <c r="B934" t="s">
        <v>7</v>
      </c>
      <c r="C934" t="s">
        <v>21</v>
      </c>
      <c r="D934" s="24">
        <v>45962</v>
      </c>
      <c r="E934" t="s">
        <v>236</v>
      </c>
      <c r="F934" t="s">
        <v>4</v>
      </c>
      <c r="G934" t="s">
        <v>217</v>
      </c>
      <c r="H934" t="s">
        <v>217</v>
      </c>
      <c r="I934" t="s">
        <v>307</v>
      </c>
      <c r="J934" s="25">
        <v>0</v>
      </c>
      <c r="K934" s="26">
        <v>0</v>
      </c>
      <c r="L934" s="26">
        <v>0</v>
      </c>
    </row>
    <row r="935" spans="1:12" ht="16" customHeight="1">
      <c r="A935" t="s">
        <v>318</v>
      </c>
      <c r="B935" t="s">
        <v>7</v>
      </c>
      <c r="C935" t="s">
        <v>21</v>
      </c>
      <c r="D935" s="24">
        <v>45962</v>
      </c>
      <c r="E935" t="s">
        <v>238</v>
      </c>
      <c r="F935" t="s">
        <v>4</v>
      </c>
      <c r="G935" t="s">
        <v>217</v>
      </c>
      <c r="H935" t="s">
        <v>217</v>
      </c>
      <c r="I935" t="s">
        <v>308</v>
      </c>
      <c r="J935" s="25">
        <v>0</v>
      </c>
      <c r="K935" s="26">
        <v>0</v>
      </c>
      <c r="L935" s="26">
        <v>0</v>
      </c>
    </row>
    <row r="936" spans="1:12" ht="16" customHeight="1">
      <c r="A936" t="s">
        <v>318</v>
      </c>
      <c r="B936" t="s">
        <v>7</v>
      </c>
      <c r="C936" t="s">
        <v>21</v>
      </c>
      <c r="D936" s="24">
        <v>45962</v>
      </c>
      <c r="E936" t="s">
        <v>240</v>
      </c>
      <c r="F936" t="s">
        <v>3</v>
      </c>
      <c r="G936" t="s">
        <v>241</v>
      </c>
      <c r="H936" t="s">
        <v>241</v>
      </c>
      <c r="I936" t="s">
        <v>309</v>
      </c>
      <c r="J936" s="25">
        <v>0</v>
      </c>
      <c r="K936" s="26">
        <v>0</v>
      </c>
      <c r="L936" s="26">
        <v>0</v>
      </c>
    </row>
    <row r="937" spans="1:12" ht="16" customHeight="1">
      <c r="A937" t="s">
        <v>318</v>
      </c>
      <c r="B937" t="s">
        <v>7</v>
      </c>
      <c r="C937" t="s">
        <v>21</v>
      </c>
      <c r="D937" s="24">
        <v>45962</v>
      </c>
      <c r="E937" t="s">
        <v>243</v>
      </c>
      <c r="F937" t="s">
        <v>4</v>
      </c>
      <c r="G937" t="s">
        <v>217</v>
      </c>
      <c r="H937" t="s">
        <v>217</v>
      </c>
      <c r="I937" t="s">
        <v>310</v>
      </c>
      <c r="J937" s="25">
        <v>0</v>
      </c>
      <c r="K937" s="26">
        <v>0</v>
      </c>
      <c r="L937" s="26">
        <v>0</v>
      </c>
    </row>
    <row r="938" spans="1:12" ht="16" customHeight="1">
      <c r="A938" t="s">
        <v>319</v>
      </c>
      <c r="B938" t="s">
        <v>3</v>
      </c>
      <c r="C938" t="s">
        <v>22</v>
      </c>
      <c r="D938" s="24">
        <v>45962</v>
      </c>
      <c r="E938" t="s">
        <v>287</v>
      </c>
      <c r="F938" t="s">
        <v>4</v>
      </c>
      <c r="G938" t="s">
        <v>211</v>
      </c>
      <c r="H938" t="s">
        <v>211</v>
      </c>
      <c r="I938" t="s">
        <v>212</v>
      </c>
      <c r="J938" s="25">
        <v>107771286</v>
      </c>
      <c r="K938" s="26">
        <v>20993550.190000001</v>
      </c>
      <c r="L938" s="26">
        <v>37510.07</v>
      </c>
    </row>
    <row r="939" spans="1:12" ht="16" customHeight="1">
      <c r="A939" t="s">
        <v>319</v>
      </c>
      <c r="B939" t="s">
        <v>3</v>
      </c>
      <c r="C939" t="s">
        <v>22</v>
      </c>
      <c r="D939" s="24">
        <v>45962</v>
      </c>
      <c r="E939" t="s">
        <v>220</v>
      </c>
      <c r="F939" t="s">
        <v>4</v>
      </c>
      <c r="G939" t="s">
        <v>217</v>
      </c>
      <c r="H939" t="s">
        <v>217</v>
      </c>
      <c r="I939" t="s">
        <v>212</v>
      </c>
      <c r="J939" s="25">
        <v>5331308</v>
      </c>
      <c r="K939" s="26">
        <v>1038723.03</v>
      </c>
      <c r="L939" s="26">
        <v>3501.74</v>
      </c>
    </row>
    <row r="940" spans="1:12" ht="16" customHeight="1">
      <c r="A940" t="s">
        <v>319</v>
      </c>
      <c r="B940" t="s">
        <v>3</v>
      </c>
      <c r="C940" t="s">
        <v>22</v>
      </c>
      <c r="D940" s="24">
        <v>45962</v>
      </c>
      <c r="E940" t="s">
        <v>291</v>
      </c>
      <c r="F940" t="s">
        <v>4</v>
      </c>
      <c r="G940" t="s">
        <v>211</v>
      </c>
      <c r="H940" t="s">
        <v>211</v>
      </c>
      <c r="I940" t="s">
        <v>219</v>
      </c>
      <c r="J940" s="25">
        <v>242786</v>
      </c>
      <c r="K940" s="26">
        <v>47556.82</v>
      </c>
      <c r="L940" s="26">
        <v>230.96</v>
      </c>
    </row>
    <row r="941" spans="1:12" ht="16" customHeight="1">
      <c r="A941" t="s">
        <v>319</v>
      </c>
      <c r="B941" t="s">
        <v>3</v>
      </c>
      <c r="C941" t="s">
        <v>22</v>
      </c>
      <c r="D941" s="24">
        <v>45962</v>
      </c>
      <c r="E941" t="s">
        <v>312</v>
      </c>
      <c r="F941" t="s">
        <v>4</v>
      </c>
      <c r="G941" t="s">
        <v>211</v>
      </c>
      <c r="H941" t="s">
        <v>211</v>
      </c>
      <c r="I941" t="s">
        <v>219</v>
      </c>
      <c r="J941" s="25">
        <v>35900</v>
      </c>
      <c r="K941" s="26">
        <v>7081.69</v>
      </c>
      <c r="L941" s="26">
        <v>37.06</v>
      </c>
    </row>
    <row r="942" spans="1:12" ht="16" customHeight="1">
      <c r="A942" t="s">
        <v>319</v>
      </c>
      <c r="B942" t="s">
        <v>3</v>
      </c>
      <c r="C942" t="s">
        <v>22</v>
      </c>
      <c r="D942" s="24">
        <v>45962</v>
      </c>
      <c r="E942" t="s">
        <v>316</v>
      </c>
      <c r="F942" t="s">
        <v>4</v>
      </c>
      <c r="G942" t="s">
        <v>211</v>
      </c>
      <c r="H942" t="s">
        <v>211</v>
      </c>
      <c r="I942" t="s">
        <v>219</v>
      </c>
      <c r="J942" s="25">
        <v>6519</v>
      </c>
      <c r="K942" s="26">
        <v>1286.49</v>
      </c>
      <c r="L942" s="26">
        <v>10.16</v>
      </c>
    </row>
    <row r="943" spans="1:12" ht="16" customHeight="1">
      <c r="A943" t="s">
        <v>319</v>
      </c>
      <c r="B943" t="s">
        <v>3</v>
      </c>
      <c r="C943" t="s">
        <v>22</v>
      </c>
      <c r="D943" s="24">
        <v>45962</v>
      </c>
      <c r="E943" t="s">
        <v>222</v>
      </c>
      <c r="F943" t="s">
        <v>4</v>
      </c>
      <c r="G943" t="s">
        <v>217</v>
      </c>
      <c r="H943" t="s">
        <v>217</v>
      </c>
      <c r="I943" t="s">
        <v>219</v>
      </c>
      <c r="J943" s="25">
        <v>449443</v>
      </c>
      <c r="K943" s="26">
        <v>87617.17</v>
      </c>
      <c r="L943" s="26">
        <v>676.96</v>
      </c>
    </row>
    <row r="944" spans="1:12" ht="16" customHeight="1">
      <c r="A944" t="s">
        <v>319</v>
      </c>
      <c r="B944" t="s">
        <v>3</v>
      </c>
      <c r="C944" t="s">
        <v>22</v>
      </c>
      <c r="D944" s="24">
        <v>45962</v>
      </c>
      <c r="E944" t="s">
        <v>296</v>
      </c>
      <c r="F944" t="s">
        <v>4</v>
      </c>
      <c r="G944" t="s">
        <v>217</v>
      </c>
      <c r="H944" t="s">
        <v>217</v>
      </c>
      <c r="I944" t="s">
        <v>221</v>
      </c>
      <c r="J944" s="25">
        <v>34297</v>
      </c>
      <c r="K944" s="26">
        <v>5807.33</v>
      </c>
      <c r="L944" s="26">
        <v>54.69</v>
      </c>
    </row>
    <row r="945" spans="1:12" ht="16" customHeight="1">
      <c r="A945" t="s">
        <v>319</v>
      </c>
      <c r="B945" t="s">
        <v>3</v>
      </c>
      <c r="C945" t="s">
        <v>22</v>
      </c>
      <c r="D945" s="24">
        <v>45962</v>
      </c>
      <c r="E945" t="s">
        <v>224</v>
      </c>
      <c r="F945" t="s">
        <v>4</v>
      </c>
      <c r="G945" t="s">
        <v>217</v>
      </c>
      <c r="H945" t="s">
        <v>217</v>
      </c>
      <c r="I945" t="s">
        <v>300</v>
      </c>
      <c r="J945" s="25">
        <v>18206</v>
      </c>
      <c r="K945" s="26">
        <v>3547.22</v>
      </c>
      <c r="L945" s="26">
        <v>49.5</v>
      </c>
    </row>
    <row r="946" spans="1:12" ht="16" customHeight="1">
      <c r="A946" t="s">
        <v>319</v>
      </c>
      <c r="B946" t="s">
        <v>3</v>
      </c>
      <c r="C946" t="s">
        <v>22</v>
      </c>
      <c r="D946" s="24">
        <v>45962</v>
      </c>
      <c r="E946" t="s">
        <v>226</v>
      </c>
      <c r="F946" t="s">
        <v>4</v>
      </c>
      <c r="G946" t="s">
        <v>217</v>
      </c>
      <c r="H946" t="s">
        <v>217</v>
      </c>
      <c r="I946" t="s">
        <v>301</v>
      </c>
      <c r="J946" s="25">
        <v>6583</v>
      </c>
      <c r="K946" s="26">
        <v>1257.9000000000001</v>
      </c>
      <c r="L946" s="26">
        <v>23.66</v>
      </c>
    </row>
    <row r="947" spans="1:12" ht="16" customHeight="1">
      <c r="A947" t="s">
        <v>319</v>
      </c>
      <c r="B947" t="s">
        <v>3</v>
      </c>
      <c r="C947" t="s">
        <v>22</v>
      </c>
      <c r="D947" s="24">
        <v>45962</v>
      </c>
      <c r="E947" t="s">
        <v>269</v>
      </c>
      <c r="F947" t="s">
        <v>4</v>
      </c>
      <c r="G947" t="s">
        <v>217</v>
      </c>
      <c r="H947" t="s">
        <v>217</v>
      </c>
      <c r="I947" t="s">
        <v>302</v>
      </c>
      <c r="J947" s="25">
        <v>31</v>
      </c>
      <c r="K947" s="26">
        <v>5.57</v>
      </c>
      <c r="L947" s="26">
        <v>0.05</v>
      </c>
    </row>
    <row r="948" spans="1:12" ht="16" customHeight="1">
      <c r="A948" t="s">
        <v>319</v>
      </c>
      <c r="B948" t="s">
        <v>3</v>
      </c>
      <c r="C948" t="s">
        <v>22</v>
      </c>
      <c r="D948" s="24">
        <v>45962</v>
      </c>
      <c r="E948" t="s">
        <v>228</v>
      </c>
      <c r="F948" t="s">
        <v>4</v>
      </c>
      <c r="G948" t="s">
        <v>217</v>
      </c>
      <c r="H948" t="s">
        <v>217</v>
      </c>
      <c r="I948" t="s">
        <v>303</v>
      </c>
      <c r="J948" s="25">
        <v>6631</v>
      </c>
      <c r="K948" s="26">
        <v>1364.08</v>
      </c>
      <c r="L948" s="26">
        <v>32.619999999999997</v>
      </c>
    </row>
    <row r="949" spans="1:12" ht="16" customHeight="1">
      <c r="A949" t="s">
        <v>319</v>
      </c>
      <c r="B949" t="s">
        <v>3</v>
      </c>
      <c r="C949" t="s">
        <v>22</v>
      </c>
      <c r="D949" s="24">
        <v>45962</v>
      </c>
      <c r="E949" t="s">
        <v>230</v>
      </c>
      <c r="F949" t="s">
        <v>4</v>
      </c>
      <c r="G949" t="s">
        <v>217</v>
      </c>
      <c r="H949" t="s">
        <v>217</v>
      </c>
      <c r="I949" t="s">
        <v>304</v>
      </c>
      <c r="J949" s="25">
        <v>0</v>
      </c>
      <c r="K949" s="26">
        <v>0</v>
      </c>
      <c r="L949" s="26">
        <v>0</v>
      </c>
    </row>
    <row r="950" spans="1:12" ht="16" customHeight="1">
      <c r="A950" t="s">
        <v>319</v>
      </c>
      <c r="B950" t="s">
        <v>3</v>
      </c>
      <c r="C950" t="s">
        <v>22</v>
      </c>
      <c r="D950" s="24">
        <v>45962</v>
      </c>
      <c r="E950" t="s">
        <v>232</v>
      </c>
      <c r="F950" t="s">
        <v>4</v>
      </c>
      <c r="G950" t="s">
        <v>217</v>
      </c>
      <c r="H950" t="s">
        <v>217</v>
      </c>
      <c r="I950" t="s">
        <v>305</v>
      </c>
      <c r="J950" s="25">
        <v>10</v>
      </c>
      <c r="K950" s="26">
        <v>2.0299999999999998</v>
      </c>
      <c r="L950" s="26">
        <v>0.16</v>
      </c>
    </row>
    <row r="951" spans="1:12" ht="16" customHeight="1">
      <c r="A951" t="s">
        <v>319</v>
      </c>
      <c r="B951" t="s">
        <v>3</v>
      </c>
      <c r="C951" t="s">
        <v>22</v>
      </c>
      <c r="D951" s="24">
        <v>45962</v>
      </c>
      <c r="E951" t="s">
        <v>234</v>
      </c>
      <c r="F951" t="s">
        <v>4</v>
      </c>
      <c r="G951" t="s">
        <v>217</v>
      </c>
      <c r="H951" t="s">
        <v>217</v>
      </c>
      <c r="I951" t="s">
        <v>306</v>
      </c>
      <c r="J951" s="25">
        <v>0</v>
      </c>
      <c r="K951" s="26">
        <v>0</v>
      </c>
      <c r="L951" s="26">
        <v>0</v>
      </c>
    </row>
    <row r="952" spans="1:12" ht="16" customHeight="1">
      <c r="A952" t="s">
        <v>319</v>
      </c>
      <c r="B952" t="s">
        <v>3</v>
      </c>
      <c r="C952" t="s">
        <v>22</v>
      </c>
      <c r="D952" s="24">
        <v>45962</v>
      </c>
      <c r="E952" t="s">
        <v>236</v>
      </c>
      <c r="F952" t="s">
        <v>4</v>
      </c>
      <c r="G952" t="s">
        <v>217</v>
      </c>
      <c r="H952" t="s">
        <v>217</v>
      </c>
      <c r="I952" t="s">
        <v>307</v>
      </c>
      <c r="J952" s="25">
        <v>0</v>
      </c>
      <c r="K952" s="26">
        <v>0</v>
      </c>
      <c r="L952" s="26">
        <v>0</v>
      </c>
    </row>
    <row r="953" spans="1:12" ht="16" customHeight="1">
      <c r="A953" t="s">
        <v>319</v>
      </c>
      <c r="B953" t="s">
        <v>3</v>
      </c>
      <c r="C953" t="s">
        <v>22</v>
      </c>
      <c r="D953" s="24">
        <v>45962</v>
      </c>
      <c r="E953" t="s">
        <v>238</v>
      </c>
      <c r="F953" t="s">
        <v>4</v>
      </c>
      <c r="G953" t="s">
        <v>217</v>
      </c>
      <c r="H953" t="s">
        <v>217</v>
      </c>
      <c r="I953" t="s">
        <v>308</v>
      </c>
      <c r="J953" s="25">
        <v>0</v>
      </c>
      <c r="K953" s="26">
        <v>0</v>
      </c>
      <c r="L953" s="26">
        <v>0</v>
      </c>
    </row>
    <row r="954" spans="1:12" ht="16" customHeight="1">
      <c r="A954" t="s">
        <v>319</v>
      </c>
      <c r="B954" t="s">
        <v>3</v>
      </c>
      <c r="C954" t="s">
        <v>22</v>
      </c>
      <c r="D954" s="24">
        <v>45962</v>
      </c>
      <c r="E954" t="s">
        <v>240</v>
      </c>
      <c r="F954" t="s">
        <v>3</v>
      </c>
      <c r="G954" t="s">
        <v>241</v>
      </c>
      <c r="H954" t="s">
        <v>241</v>
      </c>
      <c r="I954" t="s">
        <v>309</v>
      </c>
      <c r="J954" s="25">
        <v>0</v>
      </c>
      <c r="K954" s="26">
        <v>0</v>
      </c>
      <c r="L954" s="26">
        <v>0</v>
      </c>
    </row>
    <row r="955" spans="1:12" ht="16" customHeight="1">
      <c r="A955" t="s">
        <v>319</v>
      </c>
      <c r="B955" t="s">
        <v>3</v>
      </c>
      <c r="C955" t="s">
        <v>22</v>
      </c>
      <c r="D955" s="24">
        <v>45962</v>
      </c>
      <c r="E955" t="s">
        <v>243</v>
      </c>
      <c r="F955" t="s">
        <v>4</v>
      </c>
      <c r="G955" t="s">
        <v>217</v>
      </c>
      <c r="H955" t="s">
        <v>217</v>
      </c>
      <c r="I955" t="s">
        <v>310</v>
      </c>
      <c r="J955" s="25">
        <v>0</v>
      </c>
      <c r="K955" s="26">
        <v>0</v>
      </c>
      <c r="L955" s="26">
        <v>0</v>
      </c>
    </row>
    <row r="956" spans="1:12" ht="16" customHeight="1">
      <c r="A956" t="s">
        <v>287</v>
      </c>
      <c r="B956" t="s">
        <v>4</v>
      </c>
      <c r="C956" t="s">
        <v>22</v>
      </c>
      <c r="D956" s="24">
        <v>45962</v>
      </c>
      <c r="E956" t="s">
        <v>287</v>
      </c>
      <c r="F956" t="s">
        <v>4</v>
      </c>
      <c r="G956" t="s">
        <v>211</v>
      </c>
      <c r="H956" t="s">
        <v>211</v>
      </c>
      <c r="I956" t="s">
        <v>212</v>
      </c>
      <c r="J956" s="25">
        <v>272098953</v>
      </c>
      <c r="K956" s="26">
        <v>53004660.039999999</v>
      </c>
      <c r="L956" s="26">
        <v>48978.65</v>
      </c>
    </row>
    <row r="957" spans="1:12" ht="16" customHeight="1">
      <c r="A957" t="s">
        <v>287</v>
      </c>
      <c r="B957" t="s">
        <v>4</v>
      </c>
      <c r="C957" t="s">
        <v>22</v>
      </c>
      <c r="D957" s="24">
        <v>45962</v>
      </c>
      <c r="E957" t="s">
        <v>220</v>
      </c>
      <c r="F957" t="s">
        <v>4</v>
      </c>
      <c r="G957" t="s">
        <v>217</v>
      </c>
      <c r="H957" t="s">
        <v>217</v>
      </c>
      <c r="I957" t="s">
        <v>212</v>
      </c>
      <c r="J957" s="25">
        <v>11016416</v>
      </c>
      <c r="K957" s="26">
        <v>2150141.14</v>
      </c>
      <c r="L957" s="26">
        <v>7097.41</v>
      </c>
    </row>
    <row r="958" spans="1:12" ht="16" customHeight="1">
      <c r="A958" t="s">
        <v>287</v>
      </c>
      <c r="B958" t="s">
        <v>4</v>
      </c>
      <c r="C958" t="s">
        <v>22</v>
      </c>
      <c r="D958" s="24">
        <v>45962</v>
      </c>
      <c r="E958" t="s">
        <v>291</v>
      </c>
      <c r="F958" t="s">
        <v>4</v>
      </c>
      <c r="G958" t="s">
        <v>211</v>
      </c>
      <c r="H958" t="s">
        <v>211</v>
      </c>
      <c r="I958" t="s">
        <v>219</v>
      </c>
      <c r="J958" s="25">
        <v>432620</v>
      </c>
      <c r="K958" s="26">
        <v>84752.04</v>
      </c>
      <c r="L958" s="26">
        <v>446.64</v>
      </c>
    </row>
    <row r="959" spans="1:12" ht="16" customHeight="1">
      <c r="A959" t="s">
        <v>287</v>
      </c>
      <c r="B959" t="s">
        <v>4</v>
      </c>
      <c r="C959" t="s">
        <v>22</v>
      </c>
      <c r="D959" s="24">
        <v>45962</v>
      </c>
      <c r="E959" t="s">
        <v>312</v>
      </c>
      <c r="F959" t="s">
        <v>4</v>
      </c>
      <c r="G959" t="s">
        <v>211</v>
      </c>
      <c r="H959" t="s">
        <v>211</v>
      </c>
      <c r="I959" t="s">
        <v>219</v>
      </c>
      <c r="J959" s="25">
        <v>38063</v>
      </c>
      <c r="K959" s="26">
        <v>7464.53</v>
      </c>
      <c r="L959" s="26">
        <v>44.38</v>
      </c>
    </row>
    <row r="960" spans="1:12" ht="16" customHeight="1">
      <c r="A960" t="s">
        <v>287</v>
      </c>
      <c r="B960" t="s">
        <v>4</v>
      </c>
      <c r="C960" t="s">
        <v>22</v>
      </c>
      <c r="D960" s="24">
        <v>45962</v>
      </c>
      <c r="E960" t="s">
        <v>316</v>
      </c>
      <c r="F960" t="s">
        <v>4</v>
      </c>
      <c r="G960" t="s">
        <v>211</v>
      </c>
      <c r="H960" t="s">
        <v>211</v>
      </c>
      <c r="I960" t="s">
        <v>219</v>
      </c>
      <c r="J960" s="25">
        <v>8106</v>
      </c>
      <c r="K960" s="26">
        <v>1595.43</v>
      </c>
      <c r="L960" s="26">
        <v>12.18</v>
      </c>
    </row>
    <row r="961" spans="1:12" ht="16" customHeight="1">
      <c r="A961" t="s">
        <v>287</v>
      </c>
      <c r="B961" t="s">
        <v>4</v>
      </c>
      <c r="C961" t="s">
        <v>22</v>
      </c>
      <c r="D961" s="24">
        <v>45962</v>
      </c>
      <c r="E961" t="s">
        <v>222</v>
      </c>
      <c r="F961" t="s">
        <v>4</v>
      </c>
      <c r="G961" t="s">
        <v>217</v>
      </c>
      <c r="H961" t="s">
        <v>217</v>
      </c>
      <c r="I961" t="s">
        <v>219</v>
      </c>
      <c r="J961" s="25">
        <v>410036</v>
      </c>
      <c r="K961" s="26">
        <v>80151.05</v>
      </c>
      <c r="L961" s="26">
        <v>668.34</v>
      </c>
    </row>
    <row r="962" spans="1:12" ht="16" customHeight="1">
      <c r="A962" t="s">
        <v>287</v>
      </c>
      <c r="B962" t="s">
        <v>4</v>
      </c>
      <c r="C962" t="s">
        <v>22</v>
      </c>
      <c r="D962" s="24">
        <v>45962</v>
      </c>
      <c r="E962" t="s">
        <v>296</v>
      </c>
      <c r="F962" t="s">
        <v>4</v>
      </c>
      <c r="G962" t="s">
        <v>217</v>
      </c>
      <c r="H962" t="s">
        <v>217</v>
      </c>
      <c r="I962" t="s">
        <v>221</v>
      </c>
      <c r="J962" s="25">
        <v>34059</v>
      </c>
      <c r="K962" s="26">
        <v>5766.07</v>
      </c>
      <c r="L962" s="26">
        <v>62.03</v>
      </c>
    </row>
    <row r="963" spans="1:12" ht="16" customHeight="1">
      <c r="A963" t="s">
        <v>287</v>
      </c>
      <c r="B963" t="s">
        <v>4</v>
      </c>
      <c r="C963" t="s">
        <v>22</v>
      </c>
      <c r="D963" s="24">
        <v>45962</v>
      </c>
      <c r="E963" t="s">
        <v>224</v>
      </c>
      <c r="F963" t="s">
        <v>4</v>
      </c>
      <c r="G963" t="s">
        <v>217</v>
      </c>
      <c r="H963" t="s">
        <v>217</v>
      </c>
      <c r="I963" t="s">
        <v>300</v>
      </c>
      <c r="J963" s="25">
        <v>20885</v>
      </c>
      <c r="K963" s="26">
        <v>4176.2700000000004</v>
      </c>
      <c r="L963" s="26">
        <v>55.63</v>
      </c>
    </row>
    <row r="964" spans="1:12" ht="16" customHeight="1">
      <c r="A964" t="s">
        <v>287</v>
      </c>
      <c r="B964" t="s">
        <v>4</v>
      </c>
      <c r="C964" t="s">
        <v>22</v>
      </c>
      <c r="D964" s="24">
        <v>45962</v>
      </c>
      <c r="E964" t="s">
        <v>226</v>
      </c>
      <c r="F964" t="s">
        <v>4</v>
      </c>
      <c r="G964" t="s">
        <v>217</v>
      </c>
      <c r="H964" t="s">
        <v>217</v>
      </c>
      <c r="I964" t="s">
        <v>301</v>
      </c>
      <c r="J964" s="25">
        <v>3708</v>
      </c>
      <c r="K964" s="26">
        <v>730.26</v>
      </c>
      <c r="L964" s="26">
        <v>15.36</v>
      </c>
    </row>
    <row r="965" spans="1:12" ht="16" customHeight="1">
      <c r="A965" t="s">
        <v>287</v>
      </c>
      <c r="B965" t="s">
        <v>4</v>
      </c>
      <c r="C965" t="s">
        <v>22</v>
      </c>
      <c r="D965" s="24">
        <v>45962</v>
      </c>
      <c r="E965" t="s">
        <v>269</v>
      </c>
      <c r="F965" t="s">
        <v>4</v>
      </c>
      <c r="G965" t="s">
        <v>217</v>
      </c>
      <c r="H965" t="s">
        <v>217</v>
      </c>
      <c r="I965" t="s">
        <v>302</v>
      </c>
      <c r="J965" s="25">
        <v>26</v>
      </c>
      <c r="K965" s="26">
        <v>4.66</v>
      </c>
      <c r="L965" s="26">
        <v>0.05</v>
      </c>
    </row>
    <row r="966" spans="1:12" ht="16" customHeight="1">
      <c r="A966" t="s">
        <v>287</v>
      </c>
      <c r="B966" t="s">
        <v>4</v>
      </c>
      <c r="C966" t="s">
        <v>22</v>
      </c>
      <c r="D966" s="24">
        <v>45962</v>
      </c>
      <c r="E966" t="s">
        <v>228</v>
      </c>
      <c r="F966" t="s">
        <v>4</v>
      </c>
      <c r="G966" t="s">
        <v>217</v>
      </c>
      <c r="H966" t="s">
        <v>217</v>
      </c>
      <c r="I966" t="s">
        <v>303</v>
      </c>
      <c r="J966" s="25">
        <v>3588</v>
      </c>
      <c r="K966" s="26">
        <v>724.6</v>
      </c>
      <c r="L966" s="26">
        <v>24.2</v>
      </c>
    </row>
    <row r="967" spans="1:12" ht="16" customHeight="1">
      <c r="A967" t="s">
        <v>287</v>
      </c>
      <c r="B967" t="s">
        <v>4</v>
      </c>
      <c r="C967" t="s">
        <v>22</v>
      </c>
      <c r="D967" s="24">
        <v>45962</v>
      </c>
      <c r="E967" t="s">
        <v>230</v>
      </c>
      <c r="F967" t="s">
        <v>4</v>
      </c>
      <c r="G967" t="s">
        <v>217</v>
      </c>
      <c r="H967" t="s">
        <v>217</v>
      </c>
      <c r="I967" t="s">
        <v>304</v>
      </c>
      <c r="J967" s="25">
        <v>0</v>
      </c>
      <c r="K967" s="26">
        <v>0</v>
      </c>
      <c r="L967" s="26">
        <v>0</v>
      </c>
    </row>
    <row r="968" spans="1:12" ht="16" customHeight="1">
      <c r="A968" t="s">
        <v>287</v>
      </c>
      <c r="B968" t="s">
        <v>4</v>
      </c>
      <c r="C968" t="s">
        <v>22</v>
      </c>
      <c r="D968" s="24">
        <v>45962</v>
      </c>
      <c r="E968" t="s">
        <v>232</v>
      </c>
      <c r="F968" t="s">
        <v>4</v>
      </c>
      <c r="G968" t="s">
        <v>217</v>
      </c>
      <c r="H968" t="s">
        <v>217</v>
      </c>
      <c r="I968" t="s">
        <v>305</v>
      </c>
      <c r="J968" s="25">
        <v>2</v>
      </c>
      <c r="K968" s="26">
        <v>0.43</v>
      </c>
      <c r="L968" s="26">
        <v>0.03</v>
      </c>
    </row>
    <row r="969" spans="1:12" ht="16" customHeight="1">
      <c r="A969" t="s">
        <v>287</v>
      </c>
      <c r="B969" t="s">
        <v>4</v>
      </c>
      <c r="C969" t="s">
        <v>22</v>
      </c>
      <c r="D969" s="24">
        <v>45962</v>
      </c>
      <c r="E969" t="s">
        <v>234</v>
      </c>
      <c r="F969" t="s">
        <v>4</v>
      </c>
      <c r="G969" t="s">
        <v>217</v>
      </c>
      <c r="H969" t="s">
        <v>217</v>
      </c>
      <c r="I969" t="s">
        <v>306</v>
      </c>
      <c r="J969" s="25">
        <v>0</v>
      </c>
      <c r="K969" s="26">
        <v>0</v>
      </c>
      <c r="L969" s="26">
        <v>0</v>
      </c>
    </row>
    <row r="970" spans="1:12" ht="16" customHeight="1">
      <c r="A970" t="s">
        <v>287</v>
      </c>
      <c r="B970" t="s">
        <v>4</v>
      </c>
      <c r="C970" t="s">
        <v>22</v>
      </c>
      <c r="D970" s="24">
        <v>45962</v>
      </c>
      <c r="E970" t="s">
        <v>236</v>
      </c>
      <c r="F970" t="s">
        <v>4</v>
      </c>
      <c r="G970" t="s">
        <v>217</v>
      </c>
      <c r="H970" t="s">
        <v>217</v>
      </c>
      <c r="I970" t="s">
        <v>307</v>
      </c>
      <c r="J970" s="25">
        <v>0</v>
      </c>
      <c r="K970" s="26">
        <v>0</v>
      </c>
      <c r="L970" s="26">
        <v>0</v>
      </c>
    </row>
    <row r="971" spans="1:12" ht="16" customHeight="1">
      <c r="A971" t="s">
        <v>287</v>
      </c>
      <c r="B971" t="s">
        <v>4</v>
      </c>
      <c r="C971" t="s">
        <v>22</v>
      </c>
      <c r="D971" s="24">
        <v>45962</v>
      </c>
      <c r="E971" t="s">
        <v>238</v>
      </c>
      <c r="F971" t="s">
        <v>4</v>
      </c>
      <c r="G971" t="s">
        <v>217</v>
      </c>
      <c r="H971" t="s">
        <v>217</v>
      </c>
      <c r="I971" t="s">
        <v>308</v>
      </c>
      <c r="J971" s="25">
        <v>0</v>
      </c>
      <c r="K971" s="26">
        <v>0</v>
      </c>
      <c r="L971" s="26">
        <v>0</v>
      </c>
    </row>
    <row r="972" spans="1:12" ht="16" customHeight="1">
      <c r="A972" t="s">
        <v>287</v>
      </c>
      <c r="B972" t="s">
        <v>4</v>
      </c>
      <c r="C972" t="s">
        <v>22</v>
      </c>
      <c r="D972" s="24">
        <v>45962</v>
      </c>
      <c r="E972" t="s">
        <v>240</v>
      </c>
      <c r="F972" t="s">
        <v>3</v>
      </c>
      <c r="G972" t="s">
        <v>241</v>
      </c>
      <c r="H972" t="s">
        <v>241</v>
      </c>
      <c r="I972" t="s">
        <v>309</v>
      </c>
      <c r="J972" s="25">
        <v>0</v>
      </c>
      <c r="K972" s="26">
        <v>0</v>
      </c>
      <c r="L972" s="26">
        <v>0</v>
      </c>
    </row>
    <row r="973" spans="1:12" ht="16" customHeight="1">
      <c r="A973" t="s">
        <v>287</v>
      </c>
      <c r="B973" t="s">
        <v>4</v>
      </c>
      <c r="C973" t="s">
        <v>22</v>
      </c>
      <c r="D973" s="24">
        <v>45962</v>
      </c>
      <c r="E973" t="s">
        <v>243</v>
      </c>
      <c r="F973" t="s">
        <v>4</v>
      </c>
      <c r="G973" t="s">
        <v>217</v>
      </c>
      <c r="H973" t="s">
        <v>217</v>
      </c>
      <c r="I973" t="s">
        <v>310</v>
      </c>
      <c r="J973" s="25">
        <v>0</v>
      </c>
      <c r="K973" s="26">
        <v>0</v>
      </c>
      <c r="L973" s="26">
        <v>0</v>
      </c>
    </row>
    <row r="974" spans="1:12" ht="16" customHeight="1">
      <c r="A974" t="s">
        <v>320</v>
      </c>
      <c r="B974" t="s">
        <v>5</v>
      </c>
      <c r="C974" t="s">
        <v>22</v>
      </c>
      <c r="D974" s="24">
        <v>45962</v>
      </c>
      <c r="E974" t="s">
        <v>220</v>
      </c>
      <c r="F974" t="s">
        <v>4</v>
      </c>
      <c r="G974" t="s">
        <v>217</v>
      </c>
      <c r="H974" t="s">
        <v>261</v>
      </c>
      <c r="I974" t="s">
        <v>212</v>
      </c>
      <c r="J974" s="25">
        <v>46914263</v>
      </c>
      <c r="K974" s="26">
        <v>9156452.8000000007</v>
      </c>
      <c r="L974" s="26">
        <v>29451</v>
      </c>
    </row>
    <row r="975" spans="1:12" ht="16" customHeight="1">
      <c r="A975" t="s">
        <v>320</v>
      </c>
      <c r="B975" t="s">
        <v>5</v>
      </c>
      <c r="C975" t="s">
        <v>22</v>
      </c>
      <c r="D975" s="24">
        <v>45962</v>
      </c>
      <c r="E975" t="s">
        <v>291</v>
      </c>
      <c r="F975" t="s">
        <v>4</v>
      </c>
      <c r="G975" t="s">
        <v>211</v>
      </c>
      <c r="H975" t="s">
        <v>211</v>
      </c>
      <c r="I975" t="s">
        <v>219</v>
      </c>
      <c r="J975" s="25">
        <v>1223527</v>
      </c>
      <c r="K975" s="26">
        <v>240083.84</v>
      </c>
      <c r="L975" s="26">
        <v>1108.74</v>
      </c>
    </row>
    <row r="976" spans="1:12" ht="16" customHeight="1">
      <c r="A976" t="s">
        <v>320</v>
      </c>
      <c r="B976" t="s">
        <v>5</v>
      </c>
      <c r="C976" t="s">
        <v>22</v>
      </c>
      <c r="D976" s="24">
        <v>45962</v>
      </c>
      <c r="E976" t="s">
        <v>312</v>
      </c>
      <c r="F976" t="s">
        <v>4</v>
      </c>
      <c r="G976" t="s">
        <v>211</v>
      </c>
      <c r="H976" t="s">
        <v>211</v>
      </c>
      <c r="I976" t="s">
        <v>219</v>
      </c>
      <c r="J976" s="25">
        <v>78762</v>
      </c>
      <c r="K976" s="26">
        <v>15457.75</v>
      </c>
      <c r="L976" s="26">
        <v>90.03</v>
      </c>
    </row>
    <row r="977" spans="1:12" ht="16" customHeight="1">
      <c r="A977" t="s">
        <v>320</v>
      </c>
      <c r="B977" t="s">
        <v>5</v>
      </c>
      <c r="C977" t="s">
        <v>22</v>
      </c>
      <c r="D977" s="24">
        <v>45962</v>
      </c>
      <c r="E977" t="s">
        <v>316</v>
      </c>
      <c r="F977" t="s">
        <v>4</v>
      </c>
      <c r="G977" t="s">
        <v>211</v>
      </c>
      <c r="H977" t="s">
        <v>211</v>
      </c>
      <c r="I977" t="s">
        <v>219</v>
      </c>
      <c r="J977" s="25">
        <v>13648</v>
      </c>
      <c r="K977" s="26">
        <v>2685.11</v>
      </c>
      <c r="L977" s="26">
        <v>19.350000000000001</v>
      </c>
    </row>
    <row r="978" spans="1:12" ht="16" customHeight="1">
      <c r="A978" t="s">
        <v>320</v>
      </c>
      <c r="B978" t="s">
        <v>5</v>
      </c>
      <c r="C978" t="s">
        <v>22</v>
      </c>
      <c r="D978" s="24">
        <v>45962</v>
      </c>
      <c r="E978" t="s">
        <v>321</v>
      </c>
      <c r="F978" t="s">
        <v>4</v>
      </c>
      <c r="G978" t="s">
        <v>211</v>
      </c>
      <c r="H978" t="s">
        <v>211</v>
      </c>
      <c r="I978" t="s">
        <v>219</v>
      </c>
      <c r="J978" s="25">
        <v>3442</v>
      </c>
      <c r="K978" s="26">
        <v>680.61</v>
      </c>
      <c r="L978" s="26">
        <v>5.81</v>
      </c>
    </row>
    <row r="979" spans="1:12" ht="16" customHeight="1">
      <c r="A979" t="s">
        <v>320</v>
      </c>
      <c r="B979" t="s">
        <v>5</v>
      </c>
      <c r="C979" t="s">
        <v>22</v>
      </c>
      <c r="D979" s="24">
        <v>45962</v>
      </c>
      <c r="E979" t="s">
        <v>222</v>
      </c>
      <c r="F979" t="s">
        <v>4</v>
      </c>
      <c r="G979" t="s">
        <v>217</v>
      </c>
      <c r="H979" t="s">
        <v>217</v>
      </c>
      <c r="I979" t="s">
        <v>219</v>
      </c>
      <c r="J979" s="25">
        <v>581222</v>
      </c>
      <c r="K979" s="26">
        <v>113638.57</v>
      </c>
      <c r="L979" s="26">
        <v>890.82</v>
      </c>
    </row>
    <row r="980" spans="1:12" ht="16" customHeight="1">
      <c r="A980" t="s">
        <v>320</v>
      </c>
      <c r="B980" t="s">
        <v>5</v>
      </c>
      <c r="C980" t="s">
        <v>22</v>
      </c>
      <c r="D980" s="24">
        <v>45962</v>
      </c>
      <c r="E980" t="s">
        <v>296</v>
      </c>
      <c r="F980" t="s">
        <v>4</v>
      </c>
      <c r="G980" t="s">
        <v>217</v>
      </c>
      <c r="H980" t="s">
        <v>217</v>
      </c>
      <c r="I980" t="s">
        <v>221</v>
      </c>
      <c r="J980" s="25">
        <v>46895</v>
      </c>
      <c r="K980" s="26">
        <v>7987.77</v>
      </c>
      <c r="L980" s="26">
        <v>82.19</v>
      </c>
    </row>
    <row r="981" spans="1:12" ht="16" customHeight="1">
      <c r="A981" t="s">
        <v>320</v>
      </c>
      <c r="B981" t="s">
        <v>5</v>
      </c>
      <c r="C981" t="s">
        <v>22</v>
      </c>
      <c r="D981" s="24">
        <v>45962</v>
      </c>
      <c r="E981" t="s">
        <v>224</v>
      </c>
      <c r="F981" t="s">
        <v>4</v>
      </c>
      <c r="G981" t="s">
        <v>217</v>
      </c>
      <c r="H981" t="s">
        <v>217</v>
      </c>
      <c r="I981" t="s">
        <v>300</v>
      </c>
      <c r="J981" s="25">
        <v>25872</v>
      </c>
      <c r="K981" s="26">
        <v>5065.95</v>
      </c>
      <c r="L981" s="26">
        <v>75.48</v>
      </c>
    </row>
    <row r="982" spans="1:12" ht="16" customHeight="1">
      <c r="A982" t="s">
        <v>320</v>
      </c>
      <c r="B982" t="s">
        <v>5</v>
      </c>
      <c r="C982" t="s">
        <v>22</v>
      </c>
      <c r="D982" s="24">
        <v>45962</v>
      </c>
      <c r="E982" t="s">
        <v>226</v>
      </c>
      <c r="F982" t="s">
        <v>4</v>
      </c>
      <c r="G982" t="s">
        <v>217</v>
      </c>
      <c r="H982" t="s">
        <v>217</v>
      </c>
      <c r="I982" t="s">
        <v>301</v>
      </c>
      <c r="J982" s="25">
        <v>4389</v>
      </c>
      <c r="K982" s="26">
        <v>860.72</v>
      </c>
      <c r="L982" s="26">
        <v>16.27</v>
      </c>
    </row>
    <row r="983" spans="1:12" ht="16" customHeight="1">
      <c r="A983" t="s">
        <v>320</v>
      </c>
      <c r="B983" t="s">
        <v>5</v>
      </c>
      <c r="C983" t="s">
        <v>22</v>
      </c>
      <c r="D983" s="24">
        <v>45962</v>
      </c>
      <c r="E983" t="s">
        <v>269</v>
      </c>
      <c r="F983" t="s">
        <v>4</v>
      </c>
      <c r="G983" t="s">
        <v>217</v>
      </c>
      <c r="H983" t="s">
        <v>217</v>
      </c>
      <c r="I983" t="s">
        <v>302</v>
      </c>
      <c r="J983" s="25">
        <v>77</v>
      </c>
      <c r="K983" s="26">
        <v>14.23</v>
      </c>
      <c r="L983" s="26">
        <v>0.17</v>
      </c>
    </row>
    <row r="984" spans="1:12" ht="16" customHeight="1">
      <c r="A984" t="s">
        <v>320</v>
      </c>
      <c r="B984" t="s">
        <v>5</v>
      </c>
      <c r="C984" t="s">
        <v>22</v>
      </c>
      <c r="D984" s="24">
        <v>45962</v>
      </c>
      <c r="E984" t="s">
        <v>228</v>
      </c>
      <c r="F984" t="s">
        <v>4</v>
      </c>
      <c r="G984" t="s">
        <v>217</v>
      </c>
      <c r="H984" t="s">
        <v>217</v>
      </c>
      <c r="I984" t="s">
        <v>303</v>
      </c>
      <c r="J984" s="25">
        <v>2667</v>
      </c>
      <c r="K984" s="26">
        <v>551.05999999999995</v>
      </c>
      <c r="L984" s="26">
        <v>19.82</v>
      </c>
    </row>
    <row r="985" spans="1:12" ht="16" customHeight="1">
      <c r="A985" t="s">
        <v>320</v>
      </c>
      <c r="B985" t="s">
        <v>5</v>
      </c>
      <c r="C985" t="s">
        <v>22</v>
      </c>
      <c r="D985" s="24">
        <v>45962</v>
      </c>
      <c r="E985" t="s">
        <v>230</v>
      </c>
      <c r="F985" t="s">
        <v>4</v>
      </c>
      <c r="G985" t="s">
        <v>217</v>
      </c>
      <c r="H985" t="s">
        <v>217</v>
      </c>
      <c r="I985" t="s">
        <v>304</v>
      </c>
      <c r="J985" s="25">
        <v>0</v>
      </c>
      <c r="K985" s="26">
        <v>0</v>
      </c>
      <c r="L985" s="26">
        <v>0</v>
      </c>
    </row>
    <row r="986" spans="1:12" ht="16" customHeight="1">
      <c r="A986" t="s">
        <v>320</v>
      </c>
      <c r="B986" t="s">
        <v>5</v>
      </c>
      <c r="C986" t="s">
        <v>22</v>
      </c>
      <c r="D986" s="24">
        <v>45962</v>
      </c>
      <c r="E986" t="s">
        <v>232</v>
      </c>
      <c r="F986" t="s">
        <v>4</v>
      </c>
      <c r="G986" t="s">
        <v>217</v>
      </c>
      <c r="H986" t="s">
        <v>217</v>
      </c>
      <c r="I986" t="s">
        <v>305</v>
      </c>
      <c r="J986" s="25">
        <v>3</v>
      </c>
      <c r="K986" s="26">
        <v>0.55000000000000004</v>
      </c>
      <c r="L986" s="26">
        <v>0.01</v>
      </c>
    </row>
    <row r="987" spans="1:12" ht="16" customHeight="1">
      <c r="A987" t="s">
        <v>320</v>
      </c>
      <c r="B987" t="s">
        <v>5</v>
      </c>
      <c r="C987" t="s">
        <v>22</v>
      </c>
      <c r="D987" s="24">
        <v>45962</v>
      </c>
      <c r="E987" t="s">
        <v>234</v>
      </c>
      <c r="F987" t="s">
        <v>4</v>
      </c>
      <c r="G987" t="s">
        <v>217</v>
      </c>
      <c r="H987" t="s">
        <v>217</v>
      </c>
      <c r="I987" t="s">
        <v>306</v>
      </c>
      <c r="J987" s="25">
        <v>0</v>
      </c>
      <c r="K987" s="26">
        <v>0</v>
      </c>
      <c r="L987" s="26">
        <v>0</v>
      </c>
    </row>
    <row r="988" spans="1:12" ht="16" customHeight="1">
      <c r="A988" t="s">
        <v>320</v>
      </c>
      <c r="B988" t="s">
        <v>5</v>
      </c>
      <c r="C988" t="s">
        <v>22</v>
      </c>
      <c r="D988" s="24">
        <v>45962</v>
      </c>
      <c r="E988" t="s">
        <v>236</v>
      </c>
      <c r="F988" t="s">
        <v>4</v>
      </c>
      <c r="G988" t="s">
        <v>217</v>
      </c>
      <c r="H988" t="s">
        <v>217</v>
      </c>
      <c r="I988" t="s">
        <v>307</v>
      </c>
      <c r="J988" s="25">
        <v>0</v>
      </c>
      <c r="K988" s="26">
        <v>0</v>
      </c>
      <c r="L988" s="26">
        <v>0</v>
      </c>
    </row>
    <row r="989" spans="1:12" ht="16" customHeight="1">
      <c r="A989" t="s">
        <v>320</v>
      </c>
      <c r="B989" t="s">
        <v>5</v>
      </c>
      <c r="C989" t="s">
        <v>22</v>
      </c>
      <c r="D989" s="24">
        <v>45962</v>
      </c>
      <c r="E989" t="s">
        <v>238</v>
      </c>
      <c r="F989" t="s">
        <v>4</v>
      </c>
      <c r="G989" t="s">
        <v>217</v>
      </c>
      <c r="H989" t="s">
        <v>217</v>
      </c>
      <c r="I989" t="s">
        <v>308</v>
      </c>
      <c r="J989" s="25">
        <v>0</v>
      </c>
      <c r="K989" s="26">
        <v>0</v>
      </c>
      <c r="L989" s="26">
        <v>0</v>
      </c>
    </row>
    <row r="990" spans="1:12" ht="16" customHeight="1">
      <c r="A990" t="s">
        <v>320</v>
      </c>
      <c r="B990" t="s">
        <v>5</v>
      </c>
      <c r="C990" t="s">
        <v>22</v>
      </c>
      <c r="D990" s="24">
        <v>45962</v>
      </c>
      <c r="E990" t="s">
        <v>240</v>
      </c>
      <c r="F990" t="s">
        <v>3</v>
      </c>
      <c r="G990" t="s">
        <v>241</v>
      </c>
      <c r="H990" t="s">
        <v>241</v>
      </c>
      <c r="I990" t="s">
        <v>309</v>
      </c>
      <c r="J990" s="25">
        <v>0</v>
      </c>
      <c r="K990" s="26">
        <v>0</v>
      </c>
      <c r="L990" s="26">
        <v>0</v>
      </c>
    </row>
    <row r="991" spans="1:12" ht="16" customHeight="1">
      <c r="A991" t="s">
        <v>320</v>
      </c>
      <c r="B991" t="s">
        <v>5</v>
      </c>
      <c r="C991" t="s">
        <v>22</v>
      </c>
      <c r="D991" s="24">
        <v>45962</v>
      </c>
      <c r="E991" t="s">
        <v>243</v>
      </c>
      <c r="F991" t="s">
        <v>4</v>
      </c>
      <c r="G991" t="s">
        <v>217</v>
      </c>
      <c r="H991" t="s">
        <v>217</v>
      </c>
      <c r="I991" t="s">
        <v>310</v>
      </c>
      <c r="J991" s="25">
        <v>0</v>
      </c>
      <c r="K991" s="26">
        <v>0</v>
      </c>
      <c r="L991" s="26">
        <v>0</v>
      </c>
    </row>
    <row r="992" spans="1:12" ht="16" customHeight="1">
      <c r="A992" t="s">
        <v>322</v>
      </c>
      <c r="B992" t="s">
        <v>6</v>
      </c>
      <c r="C992" t="s">
        <v>22</v>
      </c>
      <c r="D992" s="24">
        <v>45962</v>
      </c>
      <c r="E992" t="s">
        <v>220</v>
      </c>
      <c r="F992" t="s">
        <v>4</v>
      </c>
      <c r="G992" t="s">
        <v>217</v>
      </c>
      <c r="H992" t="s">
        <v>261</v>
      </c>
      <c r="I992" t="s">
        <v>212</v>
      </c>
      <c r="J992" s="25">
        <v>46727999</v>
      </c>
      <c r="K992" s="26">
        <v>9144439.0899999999</v>
      </c>
      <c r="L992" s="26">
        <v>23668.3</v>
      </c>
    </row>
    <row r="993" spans="1:12" ht="16" customHeight="1">
      <c r="A993" t="s">
        <v>322</v>
      </c>
      <c r="B993" t="s">
        <v>6</v>
      </c>
      <c r="C993" t="s">
        <v>22</v>
      </c>
      <c r="D993" s="24">
        <v>45962</v>
      </c>
      <c r="E993" t="s">
        <v>291</v>
      </c>
      <c r="F993" t="s">
        <v>4</v>
      </c>
      <c r="G993" t="s">
        <v>211</v>
      </c>
      <c r="H993" t="s">
        <v>211</v>
      </c>
      <c r="I993" t="s">
        <v>219</v>
      </c>
      <c r="J993" s="25">
        <v>1797677</v>
      </c>
      <c r="K993" s="26">
        <v>355243.38</v>
      </c>
      <c r="L993" s="26">
        <v>1569.47</v>
      </c>
    </row>
    <row r="994" spans="1:12" ht="16" customHeight="1">
      <c r="A994" t="s">
        <v>322</v>
      </c>
      <c r="B994" t="s">
        <v>6</v>
      </c>
      <c r="C994" t="s">
        <v>22</v>
      </c>
      <c r="D994" s="24">
        <v>45962</v>
      </c>
      <c r="E994" t="s">
        <v>312</v>
      </c>
      <c r="F994" t="s">
        <v>4</v>
      </c>
      <c r="G994" t="s">
        <v>211</v>
      </c>
      <c r="H994" t="s">
        <v>211</v>
      </c>
      <c r="I994" t="s">
        <v>219</v>
      </c>
      <c r="J994" s="25">
        <v>127811</v>
      </c>
      <c r="K994" s="26">
        <v>25218.880000000001</v>
      </c>
      <c r="L994" s="26">
        <v>148.06</v>
      </c>
    </row>
    <row r="995" spans="1:12" ht="16" customHeight="1">
      <c r="A995" t="s">
        <v>322</v>
      </c>
      <c r="B995" t="s">
        <v>6</v>
      </c>
      <c r="C995" t="s">
        <v>22</v>
      </c>
      <c r="D995" s="24">
        <v>45962</v>
      </c>
      <c r="E995" t="s">
        <v>316</v>
      </c>
      <c r="F995" t="s">
        <v>4</v>
      </c>
      <c r="G995" t="s">
        <v>211</v>
      </c>
      <c r="H995" t="s">
        <v>211</v>
      </c>
      <c r="I995" t="s">
        <v>219</v>
      </c>
      <c r="J995" s="25">
        <v>18590</v>
      </c>
      <c r="K995" s="26">
        <v>3664.88</v>
      </c>
      <c r="L995" s="26">
        <v>24.14</v>
      </c>
    </row>
    <row r="996" spans="1:12" ht="16" customHeight="1">
      <c r="A996" t="s">
        <v>322</v>
      </c>
      <c r="B996" t="s">
        <v>6</v>
      </c>
      <c r="C996" t="s">
        <v>22</v>
      </c>
      <c r="D996" s="24">
        <v>45962</v>
      </c>
      <c r="E996" t="s">
        <v>321</v>
      </c>
      <c r="F996" t="s">
        <v>4</v>
      </c>
      <c r="G996" t="s">
        <v>211</v>
      </c>
      <c r="H996" t="s">
        <v>211</v>
      </c>
      <c r="I996" t="s">
        <v>219</v>
      </c>
      <c r="J996" s="25">
        <v>4861</v>
      </c>
      <c r="K996" s="26">
        <v>961.85</v>
      </c>
      <c r="L996" s="26">
        <v>7.64</v>
      </c>
    </row>
    <row r="997" spans="1:12" ht="16" customHeight="1">
      <c r="A997" t="s">
        <v>322</v>
      </c>
      <c r="B997" t="s">
        <v>6</v>
      </c>
      <c r="C997" t="s">
        <v>22</v>
      </c>
      <c r="D997" s="24">
        <v>45962</v>
      </c>
      <c r="E997" t="s">
        <v>222</v>
      </c>
      <c r="F997" t="s">
        <v>4</v>
      </c>
      <c r="G997" t="s">
        <v>217</v>
      </c>
      <c r="H997" t="s">
        <v>217</v>
      </c>
      <c r="I997" t="s">
        <v>219</v>
      </c>
      <c r="J997" s="25">
        <v>767805</v>
      </c>
      <c r="K997" s="26">
        <v>151180.19</v>
      </c>
      <c r="L997" s="26">
        <v>1247.99</v>
      </c>
    </row>
    <row r="998" spans="1:12" ht="16" customHeight="1">
      <c r="A998" t="s">
        <v>322</v>
      </c>
      <c r="B998" t="s">
        <v>6</v>
      </c>
      <c r="C998" t="s">
        <v>22</v>
      </c>
      <c r="D998" s="24">
        <v>45962</v>
      </c>
      <c r="E998" t="s">
        <v>296</v>
      </c>
      <c r="F998" t="s">
        <v>4</v>
      </c>
      <c r="G998" t="s">
        <v>217</v>
      </c>
      <c r="H998" t="s">
        <v>217</v>
      </c>
      <c r="I998" t="s">
        <v>221</v>
      </c>
      <c r="J998" s="25">
        <v>62334</v>
      </c>
      <c r="K998" s="26">
        <v>10689.89</v>
      </c>
      <c r="L998" s="26">
        <v>116.73</v>
      </c>
    </row>
    <row r="999" spans="1:12" ht="16" customHeight="1">
      <c r="A999" t="s">
        <v>322</v>
      </c>
      <c r="B999" t="s">
        <v>6</v>
      </c>
      <c r="C999" t="s">
        <v>22</v>
      </c>
      <c r="D999" s="24">
        <v>45962</v>
      </c>
      <c r="E999" t="s">
        <v>224</v>
      </c>
      <c r="F999" t="s">
        <v>4</v>
      </c>
      <c r="G999" t="s">
        <v>217</v>
      </c>
      <c r="H999" t="s">
        <v>217</v>
      </c>
      <c r="I999" t="s">
        <v>300</v>
      </c>
      <c r="J999" s="25">
        <v>32246</v>
      </c>
      <c r="K999" s="26">
        <v>6384.22</v>
      </c>
      <c r="L999" s="26">
        <v>97.12</v>
      </c>
    </row>
    <row r="1000" spans="1:12" ht="16" customHeight="1">
      <c r="A1000" t="s">
        <v>322</v>
      </c>
      <c r="B1000" t="s">
        <v>6</v>
      </c>
      <c r="C1000" t="s">
        <v>22</v>
      </c>
      <c r="D1000" s="24">
        <v>45962</v>
      </c>
      <c r="E1000" t="s">
        <v>226</v>
      </c>
      <c r="F1000" t="s">
        <v>4</v>
      </c>
      <c r="G1000" t="s">
        <v>217</v>
      </c>
      <c r="H1000" t="s">
        <v>217</v>
      </c>
      <c r="I1000" t="s">
        <v>301</v>
      </c>
      <c r="J1000" s="25">
        <v>17237</v>
      </c>
      <c r="K1000" s="26">
        <v>3378.06</v>
      </c>
      <c r="L1000" s="26">
        <v>57.12</v>
      </c>
    </row>
    <row r="1001" spans="1:12" ht="16" customHeight="1">
      <c r="A1001" t="s">
        <v>322</v>
      </c>
      <c r="B1001" t="s">
        <v>6</v>
      </c>
      <c r="C1001" t="s">
        <v>22</v>
      </c>
      <c r="D1001" s="24">
        <v>45962</v>
      </c>
      <c r="E1001" t="s">
        <v>269</v>
      </c>
      <c r="F1001" t="s">
        <v>4</v>
      </c>
      <c r="G1001" t="s">
        <v>217</v>
      </c>
      <c r="H1001" t="s">
        <v>217</v>
      </c>
      <c r="I1001" t="s">
        <v>302</v>
      </c>
      <c r="J1001" s="25">
        <v>160</v>
      </c>
      <c r="K1001" s="26">
        <v>29.95</v>
      </c>
      <c r="L1001" s="26">
        <v>0.38</v>
      </c>
    </row>
    <row r="1002" spans="1:12" ht="16" customHeight="1">
      <c r="A1002" t="s">
        <v>322</v>
      </c>
      <c r="B1002" t="s">
        <v>6</v>
      </c>
      <c r="C1002" t="s">
        <v>22</v>
      </c>
      <c r="D1002" s="24">
        <v>45962</v>
      </c>
      <c r="E1002" t="s">
        <v>228</v>
      </c>
      <c r="F1002" t="s">
        <v>4</v>
      </c>
      <c r="G1002" t="s">
        <v>217</v>
      </c>
      <c r="H1002" t="s">
        <v>217</v>
      </c>
      <c r="I1002" t="s">
        <v>303</v>
      </c>
      <c r="J1002" s="25">
        <v>7030</v>
      </c>
      <c r="K1002" s="26">
        <v>1428.67</v>
      </c>
      <c r="L1002" s="26">
        <v>44.52</v>
      </c>
    </row>
    <row r="1003" spans="1:12" ht="16" customHeight="1">
      <c r="A1003" t="s">
        <v>322</v>
      </c>
      <c r="B1003" t="s">
        <v>6</v>
      </c>
      <c r="C1003" t="s">
        <v>22</v>
      </c>
      <c r="D1003" s="24">
        <v>45962</v>
      </c>
      <c r="E1003" t="s">
        <v>230</v>
      </c>
      <c r="F1003" t="s">
        <v>4</v>
      </c>
      <c r="G1003" t="s">
        <v>217</v>
      </c>
      <c r="H1003" t="s">
        <v>217</v>
      </c>
      <c r="I1003" t="s">
        <v>304</v>
      </c>
      <c r="J1003" s="25">
        <v>0</v>
      </c>
      <c r="K1003" s="26">
        <v>0</v>
      </c>
      <c r="L1003" s="26">
        <v>0</v>
      </c>
    </row>
    <row r="1004" spans="1:12" ht="16" customHeight="1">
      <c r="A1004" t="s">
        <v>322</v>
      </c>
      <c r="B1004" t="s">
        <v>6</v>
      </c>
      <c r="C1004" t="s">
        <v>22</v>
      </c>
      <c r="D1004" s="24">
        <v>45962</v>
      </c>
      <c r="E1004" t="s">
        <v>232</v>
      </c>
      <c r="F1004" t="s">
        <v>4</v>
      </c>
      <c r="G1004" t="s">
        <v>217</v>
      </c>
      <c r="H1004" t="s">
        <v>217</v>
      </c>
      <c r="I1004" t="s">
        <v>305</v>
      </c>
      <c r="J1004" s="25">
        <v>6</v>
      </c>
      <c r="K1004" s="26">
        <v>1.21</v>
      </c>
      <c r="L1004" s="26">
        <v>7.0000000000000007E-2</v>
      </c>
    </row>
    <row r="1005" spans="1:12" ht="16" customHeight="1">
      <c r="A1005" t="s">
        <v>322</v>
      </c>
      <c r="B1005" t="s">
        <v>6</v>
      </c>
      <c r="C1005" t="s">
        <v>22</v>
      </c>
      <c r="D1005" s="24">
        <v>45962</v>
      </c>
      <c r="E1005" t="s">
        <v>234</v>
      </c>
      <c r="F1005" t="s">
        <v>4</v>
      </c>
      <c r="G1005" t="s">
        <v>217</v>
      </c>
      <c r="H1005" t="s">
        <v>217</v>
      </c>
      <c r="I1005" t="s">
        <v>306</v>
      </c>
      <c r="J1005" s="25">
        <v>0</v>
      </c>
      <c r="K1005" s="26">
        <v>0</v>
      </c>
      <c r="L1005" s="26">
        <v>0</v>
      </c>
    </row>
    <row r="1006" spans="1:12" ht="16" customHeight="1">
      <c r="A1006" t="s">
        <v>322</v>
      </c>
      <c r="B1006" t="s">
        <v>6</v>
      </c>
      <c r="C1006" t="s">
        <v>22</v>
      </c>
      <c r="D1006" s="24">
        <v>45962</v>
      </c>
      <c r="E1006" t="s">
        <v>236</v>
      </c>
      <c r="F1006" t="s">
        <v>4</v>
      </c>
      <c r="G1006" t="s">
        <v>217</v>
      </c>
      <c r="H1006" t="s">
        <v>217</v>
      </c>
      <c r="I1006" t="s">
        <v>307</v>
      </c>
      <c r="J1006" s="25">
        <v>7</v>
      </c>
      <c r="K1006" s="26">
        <v>1.42</v>
      </c>
      <c r="L1006" s="26">
        <v>0.05</v>
      </c>
    </row>
    <row r="1007" spans="1:12" ht="16" customHeight="1">
      <c r="A1007" t="s">
        <v>322</v>
      </c>
      <c r="B1007" t="s">
        <v>6</v>
      </c>
      <c r="C1007" t="s">
        <v>22</v>
      </c>
      <c r="D1007" s="24">
        <v>45962</v>
      </c>
      <c r="E1007" t="s">
        <v>238</v>
      </c>
      <c r="F1007" t="s">
        <v>4</v>
      </c>
      <c r="G1007" t="s">
        <v>217</v>
      </c>
      <c r="H1007" t="s">
        <v>217</v>
      </c>
      <c r="I1007" t="s">
        <v>308</v>
      </c>
      <c r="J1007" s="25">
        <v>0</v>
      </c>
      <c r="K1007" s="26">
        <v>0</v>
      </c>
      <c r="L1007" s="26">
        <v>0</v>
      </c>
    </row>
    <row r="1008" spans="1:12" ht="16" customHeight="1">
      <c r="A1008" t="s">
        <v>322</v>
      </c>
      <c r="B1008" t="s">
        <v>6</v>
      </c>
      <c r="C1008" t="s">
        <v>22</v>
      </c>
      <c r="D1008" s="24">
        <v>45962</v>
      </c>
      <c r="E1008" t="s">
        <v>240</v>
      </c>
      <c r="F1008" t="s">
        <v>3</v>
      </c>
      <c r="G1008" t="s">
        <v>241</v>
      </c>
      <c r="H1008" t="s">
        <v>241</v>
      </c>
      <c r="I1008" t="s">
        <v>309</v>
      </c>
      <c r="J1008" s="25">
        <v>1</v>
      </c>
      <c r="K1008" s="26">
        <v>0.2</v>
      </c>
      <c r="L1008" s="26">
        <v>0.01</v>
      </c>
    </row>
    <row r="1009" spans="1:12" ht="16" customHeight="1">
      <c r="A1009" t="s">
        <v>322</v>
      </c>
      <c r="B1009" t="s">
        <v>6</v>
      </c>
      <c r="C1009" t="s">
        <v>22</v>
      </c>
      <c r="D1009" s="24">
        <v>45962</v>
      </c>
      <c r="E1009" t="s">
        <v>243</v>
      </c>
      <c r="F1009" t="s">
        <v>4</v>
      </c>
      <c r="G1009" t="s">
        <v>217</v>
      </c>
      <c r="H1009" t="s">
        <v>217</v>
      </c>
      <c r="I1009" t="s">
        <v>310</v>
      </c>
      <c r="J1009" s="25">
        <v>0</v>
      </c>
      <c r="K1009" s="26">
        <v>0</v>
      </c>
      <c r="L1009" s="26">
        <v>0</v>
      </c>
    </row>
    <row r="1010" spans="1:12" ht="16" customHeight="1">
      <c r="A1010" t="s">
        <v>323</v>
      </c>
      <c r="B1010" t="s">
        <v>7</v>
      </c>
      <c r="C1010" t="s">
        <v>22</v>
      </c>
      <c r="D1010" s="24">
        <v>45962</v>
      </c>
      <c r="E1010" t="s">
        <v>220</v>
      </c>
      <c r="F1010" t="s">
        <v>4</v>
      </c>
      <c r="G1010" t="s">
        <v>217</v>
      </c>
      <c r="H1010" t="s">
        <v>261</v>
      </c>
      <c r="I1010" t="s">
        <v>212</v>
      </c>
      <c r="J1010" s="25">
        <v>88544488</v>
      </c>
      <c r="K1010" s="26">
        <v>17359842.719999999</v>
      </c>
      <c r="L1010" s="26">
        <v>43179.54</v>
      </c>
    </row>
    <row r="1011" spans="1:12" ht="16" customHeight="1">
      <c r="A1011" t="s">
        <v>323</v>
      </c>
      <c r="B1011" t="s">
        <v>7</v>
      </c>
      <c r="C1011" t="s">
        <v>22</v>
      </c>
      <c r="D1011" s="24">
        <v>45962</v>
      </c>
      <c r="E1011" t="s">
        <v>291</v>
      </c>
      <c r="F1011" t="s">
        <v>4</v>
      </c>
      <c r="G1011" t="s">
        <v>211</v>
      </c>
      <c r="H1011" t="s">
        <v>211</v>
      </c>
      <c r="I1011" t="s">
        <v>219</v>
      </c>
      <c r="J1011" s="25">
        <v>2640719</v>
      </c>
      <c r="K1011" s="26">
        <v>520675.4</v>
      </c>
      <c r="L1011" s="26">
        <v>2239.6</v>
      </c>
    </row>
    <row r="1012" spans="1:12" ht="16" customHeight="1">
      <c r="A1012" t="s">
        <v>323</v>
      </c>
      <c r="B1012" t="s">
        <v>7</v>
      </c>
      <c r="C1012" t="s">
        <v>22</v>
      </c>
      <c r="D1012" s="24">
        <v>45962</v>
      </c>
      <c r="E1012" t="s">
        <v>312</v>
      </c>
      <c r="F1012" t="s">
        <v>4</v>
      </c>
      <c r="G1012" t="s">
        <v>211</v>
      </c>
      <c r="H1012" t="s">
        <v>211</v>
      </c>
      <c r="I1012" t="s">
        <v>219</v>
      </c>
      <c r="J1012" s="25">
        <v>167294</v>
      </c>
      <c r="K1012" s="26">
        <v>32988.99</v>
      </c>
      <c r="L1012" s="26">
        <v>199.89</v>
      </c>
    </row>
    <row r="1013" spans="1:12" ht="16" customHeight="1">
      <c r="A1013" t="s">
        <v>323</v>
      </c>
      <c r="B1013" t="s">
        <v>7</v>
      </c>
      <c r="C1013" t="s">
        <v>22</v>
      </c>
      <c r="D1013" s="24">
        <v>45962</v>
      </c>
      <c r="E1013" t="s">
        <v>316</v>
      </c>
      <c r="F1013" t="s">
        <v>4</v>
      </c>
      <c r="G1013" t="s">
        <v>211</v>
      </c>
      <c r="H1013" t="s">
        <v>211</v>
      </c>
      <c r="I1013" t="s">
        <v>219</v>
      </c>
      <c r="J1013" s="25">
        <v>21531</v>
      </c>
      <c r="K1013" s="26">
        <v>4248.09</v>
      </c>
      <c r="L1013" s="26">
        <v>30.39</v>
      </c>
    </row>
    <row r="1014" spans="1:12" ht="16" customHeight="1">
      <c r="A1014" t="s">
        <v>323</v>
      </c>
      <c r="B1014" t="s">
        <v>7</v>
      </c>
      <c r="C1014" t="s">
        <v>22</v>
      </c>
      <c r="D1014" s="24">
        <v>45962</v>
      </c>
      <c r="E1014" t="s">
        <v>321</v>
      </c>
      <c r="F1014" t="s">
        <v>4</v>
      </c>
      <c r="G1014" t="s">
        <v>211</v>
      </c>
      <c r="H1014" t="s">
        <v>211</v>
      </c>
      <c r="I1014" t="s">
        <v>219</v>
      </c>
      <c r="J1014" s="25">
        <v>8321</v>
      </c>
      <c r="K1014" s="26">
        <v>1649.54</v>
      </c>
      <c r="L1014" s="26">
        <v>13.83</v>
      </c>
    </row>
    <row r="1015" spans="1:12" ht="16" customHeight="1">
      <c r="A1015" t="s">
        <v>323</v>
      </c>
      <c r="B1015" t="s">
        <v>7</v>
      </c>
      <c r="C1015" t="s">
        <v>22</v>
      </c>
      <c r="D1015" s="24">
        <v>45962</v>
      </c>
      <c r="E1015" t="s">
        <v>222</v>
      </c>
      <c r="F1015" t="s">
        <v>4</v>
      </c>
      <c r="G1015" t="s">
        <v>217</v>
      </c>
      <c r="H1015" t="s">
        <v>217</v>
      </c>
      <c r="I1015" t="s">
        <v>219</v>
      </c>
      <c r="J1015" s="25">
        <v>755227</v>
      </c>
      <c r="K1015" s="26">
        <v>148865.46</v>
      </c>
      <c r="L1015" s="26">
        <v>1335.18</v>
      </c>
    </row>
    <row r="1016" spans="1:12" ht="16" customHeight="1">
      <c r="A1016" t="s">
        <v>323</v>
      </c>
      <c r="B1016" t="s">
        <v>7</v>
      </c>
      <c r="C1016" t="s">
        <v>22</v>
      </c>
      <c r="D1016" s="24">
        <v>45962</v>
      </c>
      <c r="E1016" t="s">
        <v>296</v>
      </c>
      <c r="F1016" t="s">
        <v>4</v>
      </c>
      <c r="G1016" t="s">
        <v>217</v>
      </c>
      <c r="H1016" t="s">
        <v>217</v>
      </c>
      <c r="I1016" t="s">
        <v>221</v>
      </c>
      <c r="J1016" s="25">
        <v>49802</v>
      </c>
      <c r="K1016" s="26">
        <v>8546.1299999999992</v>
      </c>
      <c r="L1016" s="26">
        <v>99.84</v>
      </c>
    </row>
    <row r="1017" spans="1:12" ht="16" customHeight="1">
      <c r="A1017" t="s">
        <v>323</v>
      </c>
      <c r="B1017" t="s">
        <v>7</v>
      </c>
      <c r="C1017" t="s">
        <v>22</v>
      </c>
      <c r="D1017" s="24">
        <v>45962</v>
      </c>
      <c r="E1017" t="s">
        <v>224</v>
      </c>
      <c r="F1017" t="s">
        <v>4</v>
      </c>
      <c r="G1017" t="s">
        <v>217</v>
      </c>
      <c r="H1017" t="s">
        <v>217</v>
      </c>
      <c r="I1017" t="s">
        <v>300</v>
      </c>
      <c r="J1017" s="25">
        <v>25376</v>
      </c>
      <c r="K1017" s="26">
        <v>5072.5</v>
      </c>
      <c r="L1017" s="26">
        <v>91.38</v>
      </c>
    </row>
    <row r="1018" spans="1:12" ht="16" customHeight="1">
      <c r="A1018" t="s">
        <v>323</v>
      </c>
      <c r="B1018" t="s">
        <v>7</v>
      </c>
      <c r="C1018" t="s">
        <v>22</v>
      </c>
      <c r="D1018" s="24">
        <v>45962</v>
      </c>
      <c r="E1018" t="s">
        <v>226</v>
      </c>
      <c r="F1018" t="s">
        <v>4</v>
      </c>
      <c r="G1018" t="s">
        <v>217</v>
      </c>
      <c r="H1018" t="s">
        <v>217</v>
      </c>
      <c r="I1018" t="s">
        <v>301</v>
      </c>
      <c r="J1018" s="25">
        <v>6637</v>
      </c>
      <c r="K1018" s="26">
        <v>1338.38</v>
      </c>
      <c r="L1018" s="26">
        <v>30.47</v>
      </c>
    </row>
    <row r="1019" spans="1:12" ht="16" customHeight="1">
      <c r="A1019" t="s">
        <v>323</v>
      </c>
      <c r="B1019" t="s">
        <v>7</v>
      </c>
      <c r="C1019" t="s">
        <v>22</v>
      </c>
      <c r="D1019" s="24">
        <v>45962</v>
      </c>
      <c r="E1019" t="s">
        <v>269</v>
      </c>
      <c r="F1019" t="s">
        <v>4</v>
      </c>
      <c r="G1019" t="s">
        <v>217</v>
      </c>
      <c r="H1019" t="s">
        <v>217</v>
      </c>
      <c r="I1019" t="s">
        <v>302</v>
      </c>
      <c r="J1019" s="25">
        <v>61</v>
      </c>
      <c r="K1019" s="26">
        <v>11.36</v>
      </c>
      <c r="L1019" s="26">
        <v>0.12</v>
      </c>
    </row>
    <row r="1020" spans="1:12" ht="16" customHeight="1">
      <c r="A1020" t="s">
        <v>323</v>
      </c>
      <c r="B1020" t="s">
        <v>7</v>
      </c>
      <c r="C1020" t="s">
        <v>22</v>
      </c>
      <c r="D1020" s="24">
        <v>45962</v>
      </c>
      <c r="E1020" t="s">
        <v>228</v>
      </c>
      <c r="F1020" t="s">
        <v>4</v>
      </c>
      <c r="G1020" t="s">
        <v>217</v>
      </c>
      <c r="H1020" t="s">
        <v>217</v>
      </c>
      <c r="I1020" t="s">
        <v>303</v>
      </c>
      <c r="J1020" s="25">
        <v>3243</v>
      </c>
      <c r="K1020" s="26">
        <v>662.81</v>
      </c>
      <c r="L1020" s="26">
        <v>21.49</v>
      </c>
    </row>
    <row r="1021" spans="1:12" ht="16" customHeight="1">
      <c r="A1021" t="s">
        <v>323</v>
      </c>
      <c r="B1021" t="s">
        <v>7</v>
      </c>
      <c r="C1021" t="s">
        <v>22</v>
      </c>
      <c r="D1021" s="24">
        <v>45962</v>
      </c>
      <c r="E1021" t="s">
        <v>230</v>
      </c>
      <c r="F1021" t="s">
        <v>4</v>
      </c>
      <c r="G1021" t="s">
        <v>217</v>
      </c>
      <c r="H1021" t="s">
        <v>217</v>
      </c>
      <c r="I1021" t="s">
        <v>304</v>
      </c>
      <c r="J1021" s="25">
        <v>0</v>
      </c>
      <c r="K1021" s="26">
        <v>0</v>
      </c>
      <c r="L1021" s="26">
        <v>0</v>
      </c>
    </row>
    <row r="1022" spans="1:12" ht="16" customHeight="1">
      <c r="A1022" t="s">
        <v>323</v>
      </c>
      <c r="B1022" t="s">
        <v>7</v>
      </c>
      <c r="C1022" t="s">
        <v>22</v>
      </c>
      <c r="D1022" s="24">
        <v>45962</v>
      </c>
      <c r="E1022" t="s">
        <v>232</v>
      </c>
      <c r="F1022" t="s">
        <v>4</v>
      </c>
      <c r="G1022" t="s">
        <v>217</v>
      </c>
      <c r="H1022" t="s">
        <v>217</v>
      </c>
      <c r="I1022" t="s">
        <v>305</v>
      </c>
      <c r="J1022" s="25">
        <v>3</v>
      </c>
      <c r="K1022" s="26">
        <v>0.56000000000000005</v>
      </c>
      <c r="L1022" s="26">
        <v>0.04</v>
      </c>
    </row>
    <row r="1023" spans="1:12" ht="16" customHeight="1">
      <c r="A1023" t="s">
        <v>323</v>
      </c>
      <c r="B1023" t="s">
        <v>7</v>
      </c>
      <c r="C1023" t="s">
        <v>22</v>
      </c>
      <c r="D1023" s="24">
        <v>45962</v>
      </c>
      <c r="E1023" t="s">
        <v>234</v>
      </c>
      <c r="F1023" t="s">
        <v>4</v>
      </c>
      <c r="G1023" t="s">
        <v>217</v>
      </c>
      <c r="H1023" t="s">
        <v>217</v>
      </c>
      <c r="I1023" t="s">
        <v>306</v>
      </c>
      <c r="J1023" s="25">
        <v>0</v>
      </c>
      <c r="K1023" s="26">
        <v>0</v>
      </c>
      <c r="L1023" s="26">
        <v>0</v>
      </c>
    </row>
    <row r="1024" spans="1:12" ht="16" customHeight="1">
      <c r="A1024" t="s">
        <v>323</v>
      </c>
      <c r="B1024" t="s">
        <v>7</v>
      </c>
      <c r="C1024" t="s">
        <v>22</v>
      </c>
      <c r="D1024" s="24">
        <v>45962</v>
      </c>
      <c r="E1024" t="s">
        <v>236</v>
      </c>
      <c r="F1024" t="s">
        <v>4</v>
      </c>
      <c r="G1024" t="s">
        <v>217</v>
      </c>
      <c r="H1024" t="s">
        <v>217</v>
      </c>
      <c r="I1024" t="s">
        <v>307</v>
      </c>
      <c r="J1024" s="25">
        <v>18</v>
      </c>
      <c r="K1024" s="26">
        <v>3.63</v>
      </c>
      <c r="L1024" s="26">
        <v>0.12</v>
      </c>
    </row>
    <row r="1025" spans="1:12" ht="16" customHeight="1">
      <c r="A1025" t="s">
        <v>323</v>
      </c>
      <c r="B1025" t="s">
        <v>7</v>
      </c>
      <c r="C1025" t="s">
        <v>22</v>
      </c>
      <c r="D1025" s="24">
        <v>45962</v>
      </c>
      <c r="E1025" t="s">
        <v>238</v>
      </c>
      <c r="F1025" t="s">
        <v>4</v>
      </c>
      <c r="G1025" t="s">
        <v>217</v>
      </c>
      <c r="H1025" t="s">
        <v>217</v>
      </c>
      <c r="I1025" t="s">
        <v>308</v>
      </c>
      <c r="J1025" s="25">
        <v>0</v>
      </c>
      <c r="K1025" s="26">
        <v>0</v>
      </c>
      <c r="L1025" s="26">
        <v>0</v>
      </c>
    </row>
    <row r="1026" spans="1:12" ht="16" customHeight="1">
      <c r="A1026" t="s">
        <v>323</v>
      </c>
      <c r="B1026" t="s">
        <v>7</v>
      </c>
      <c r="C1026" t="s">
        <v>22</v>
      </c>
      <c r="D1026" s="24">
        <v>45962</v>
      </c>
      <c r="E1026" t="s">
        <v>240</v>
      </c>
      <c r="F1026" t="s">
        <v>3</v>
      </c>
      <c r="G1026" t="s">
        <v>241</v>
      </c>
      <c r="H1026" t="s">
        <v>241</v>
      </c>
      <c r="I1026" t="s">
        <v>309</v>
      </c>
      <c r="J1026" s="25">
        <v>0</v>
      </c>
      <c r="K1026" s="26">
        <v>0</v>
      </c>
      <c r="L1026" s="26">
        <v>0</v>
      </c>
    </row>
    <row r="1027" spans="1:12" ht="16" customHeight="1">
      <c r="A1027" t="s">
        <v>323</v>
      </c>
      <c r="B1027" t="s">
        <v>7</v>
      </c>
      <c r="C1027" t="s">
        <v>22</v>
      </c>
      <c r="D1027" s="24">
        <v>45962</v>
      </c>
      <c r="E1027" t="s">
        <v>243</v>
      </c>
      <c r="F1027" t="s">
        <v>4</v>
      </c>
      <c r="G1027" t="s">
        <v>217</v>
      </c>
      <c r="H1027" t="s">
        <v>217</v>
      </c>
      <c r="I1027" t="s">
        <v>310</v>
      </c>
      <c r="J1027" s="25">
        <v>0</v>
      </c>
      <c r="K1027" s="26">
        <v>0</v>
      </c>
      <c r="L1027" s="26">
        <v>0</v>
      </c>
    </row>
    <row r="1028" spans="1:12" ht="16" customHeight="1">
      <c r="A1028" t="s">
        <v>324</v>
      </c>
      <c r="B1028" t="s">
        <v>3</v>
      </c>
      <c r="C1028" t="s">
        <v>23</v>
      </c>
      <c r="D1028" s="24">
        <v>45962</v>
      </c>
      <c r="E1028" t="s">
        <v>220</v>
      </c>
      <c r="F1028" t="s">
        <v>4</v>
      </c>
      <c r="G1028" t="s">
        <v>217</v>
      </c>
      <c r="H1028" t="s">
        <v>261</v>
      </c>
      <c r="I1028" t="s">
        <v>212</v>
      </c>
      <c r="J1028" s="25">
        <v>109636860</v>
      </c>
      <c r="K1028" s="26">
        <v>21473301.73</v>
      </c>
      <c r="L1028" s="26">
        <v>39443.040000000001</v>
      </c>
    </row>
    <row r="1029" spans="1:12" ht="16" customHeight="1">
      <c r="A1029" t="s">
        <v>324</v>
      </c>
      <c r="B1029" t="s">
        <v>3</v>
      </c>
      <c r="C1029" t="s">
        <v>23</v>
      </c>
      <c r="D1029" s="24">
        <v>45962</v>
      </c>
      <c r="E1029" t="s">
        <v>291</v>
      </c>
      <c r="F1029" t="s">
        <v>4</v>
      </c>
      <c r="G1029" t="s">
        <v>211</v>
      </c>
      <c r="H1029" t="s">
        <v>211</v>
      </c>
      <c r="I1029" t="s">
        <v>219</v>
      </c>
      <c r="J1029" s="25">
        <v>4946387</v>
      </c>
      <c r="K1029" s="26">
        <v>973444.11</v>
      </c>
      <c r="L1029" s="26">
        <v>3208.25</v>
      </c>
    </row>
    <row r="1030" spans="1:12" ht="16" customHeight="1">
      <c r="A1030" t="s">
        <v>324</v>
      </c>
      <c r="B1030" t="s">
        <v>3</v>
      </c>
      <c r="C1030" t="s">
        <v>23</v>
      </c>
      <c r="D1030" s="24">
        <v>45962</v>
      </c>
      <c r="E1030" t="s">
        <v>312</v>
      </c>
      <c r="F1030" t="s">
        <v>4</v>
      </c>
      <c r="G1030" t="s">
        <v>211</v>
      </c>
      <c r="H1030" t="s">
        <v>211</v>
      </c>
      <c r="I1030" t="s">
        <v>219</v>
      </c>
      <c r="J1030" s="25">
        <v>286816</v>
      </c>
      <c r="K1030" s="26">
        <v>56555.61</v>
      </c>
      <c r="L1030" s="26">
        <v>273.69</v>
      </c>
    </row>
    <row r="1031" spans="1:12" ht="16" customHeight="1">
      <c r="A1031" t="s">
        <v>324</v>
      </c>
      <c r="B1031" t="s">
        <v>3</v>
      </c>
      <c r="C1031" t="s">
        <v>23</v>
      </c>
      <c r="D1031" s="24">
        <v>45962</v>
      </c>
      <c r="E1031" t="s">
        <v>316</v>
      </c>
      <c r="F1031" t="s">
        <v>4</v>
      </c>
      <c r="G1031" t="s">
        <v>211</v>
      </c>
      <c r="H1031" t="s">
        <v>211</v>
      </c>
      <c r="I1031" t="s">
        <v>219</v>
      </c>
      <c r="J1031" s="25">
        <v>27914</v>
      </c>
      <c r="K1031" s="26">
        <v>5517.74</v>
      </c>
      <c r="L1031" s="26">
        <v>31.3</v>
      </c>
    </row>
    <row r="1032" spans="1:12" ht="16" customHeight="1">
      <c r="A1032" t="s">
        <v>324</v>
      </c>
      <c r="B1032" t="s">
        <v>3</v>
      </c>
      <c r="C1032" t="s">
        <v>23</v>
      </c>
      <c r="D1032" s="24">
        <v>45962</v>
      </c>
      <c r="E1032" t="s">
        <v>321</v>
      </c>
      <c r="F1032" t="s">
        <v>4</v>
      </c>
      <c r="G1032" t="s">
        <v>211</v>
      </c>
      <c r="H1032" t="s">
        <v>211</v>
      </c>
      <c r="I1032" t="s">
        <v>219</v>
      </c>
      <c r="J1032" s="25">
        <v>8441</v>
      </c>
      <c r="K1032" s="26">
        <v>1667.9</v>
      </c>
      <c r="L1032" s="26">
        <v>12.01</v>
      </c>
    </row>
    <row r="1033" spans="1:12" ht="16" customHeight="1">
      <c r="A1033" t="s">
        <v>324</v>
      </c>
      <c r="B1033" t="s">
        <v>3</v>
      </c>
      <c r="C1033" t="s">
        <v>23</v>
      </c>
      <c r="D1033" s="24">
        <v>45962</v>
      </c>
      <c r="E1033" t="s">
        <v>222</v>
      </c>
      <c r="F1033" t="s">
        <v>4</v>
      </c>
      <c r="G1033" t="s">
        <v>217</v>
      </c>
      <c r="H1033" t="s">
        <v>217</v>
      </c>
      <c r="I1033" t="s">
        <v>219</v>
      </c>
      <c r="J1033" s="25">
        <v>800864</v>
      </c>
      <c r="K1033" s="26">
        <v>157701.88</v>
      </c>
      <c r="L1033" s="26">
        <v>1458.04</v>
      </c>
    </row>
    <row r="1034" spans="1:12" ht="16" customHeight="1">
      <c r="A1034" t="s">
        <v>324</v>
      </c>
      <c r="B1034" t="s">
        <v>3</v>
      </c>
      <c r="C1034" t="s">
        <v>23</v>
      </c>
      <c r="D1034" s="24">
        <v>45962</v>
      </c>
      <c r="E1034" t="s">
        <v>296</v>
      </c>
      <c r="F1034" t="s">
        <v>4</v>
      </c>
      <c r="G1034" t="s">
        <v>217</v>
      </c>
      <c r="H1034" t="s">
        <v>217</v>
      </c>
      <c r="I1034" t="s">
        <v>221</v>
      </c>
      <c r="J1034" s="25">
        <v>50116</v>
      </c>
      <c r="K1034" s="26">
        <v>8593.42</v>
      </c>
      <c r="L1034" s="26">
        <v>95.03</v>
      </c>
    </row>
    <row r="1035" spans="1:12" ht="16" customHeight="1">
      <c r="A1035" t="s">
        <v>324</v>
      </c>
      <c r="B1035" t="s">
        <v>3</v>
      </c>
      <c r="C1035" t="s">
        <v>23</v>
      </c>
      <c r="D1035" s="24">
        <v>45962</v>
      </c>
      <c r="E1035" t="s">
        <v>224</v>
      </c>
      <c r="F1035" t="s">
        <v>4</v>
      </c>
      <c r="G1035" t="s">
        <v>217</v>
      </c>
      <c r="H1035" t="s">
        <v>217</v>
      </c>
      <c r="I1035" t="s">
        <v>300</v>
      </c>
      <c r="J1035" s="25">
        <v>24274</v>
      </c>
      <c r="K1035" s="26">
        <v>4833.91</v>
      </c>
      <c r="L1035" s="26">
        <v>103.04</v>
      </c>
    </row>
    <row r="1036" spans="1:12" ht="16" customHeight="1">
      <c r="A1036" t="s">
        <v>324</v>
      </c>
      <c r="B1036" t="s">
        <v>3</v>
      </c>
      <c r="C1036" t="s">
        <v>23</v>
      </c>
      <c r="D1036" s="24">
        <v>45962</v>
      </c>
      <c r="E1036" t="s">
        <v>226</v>
      </c>
      <c r="F1036" t="s">
        <v>4</v>
      </c>
      <c r="G1036" t="s">
        <v>217</v>
      </c>
      <c r="H1036" t="s">
        <v>217</v>
      </c>
      <c r="I1036" t="s">
        <v>301</v>
      </c>
      <c r="J1036" s="25">
        <v>6662</v>
      </c>
      <c r="K1036" s="26">
        <v>1310.1099999999999</v>
      </c>
      <c r="L1036" s="26">
        <v>22.64</v>
      </c>
    </row>
    <row r="1037" spans="1:12" ht="16" customHeight="1">
      <c r="A1037" t="s">
        <v>324</v>
      </c>
      <c r="B1037" t="s">
        <v>3</v>
      </c>
      <c r="C1037" t="s">
        <v>23</v>
      </c>
      <c r="D1037" s="24">
        <v>45962</v>
      </c>
      <c r="E1037" t="s">
        <v>269</v>
      </c>
      <c r="F1037" t="s">
        <v>4</v>
      </c>
      <c r="G1037" t="s">
        <v>217</v>
      </c>
      <c r="H1037" t="s">
        <v>217</v>
      </c>
      <c r="I1037" t="s">
        <v>302</v>
      </c>
      <c r="J1037" s="25">
        <v>58</v>
      </c>
      <c r="K1037" s="26">
        <v>10.85</v>
      </c>
      <c r="L1037" s="26">
        <v>0.14000000000000001</v>
      </c>
    </row>
    <row r="1038" spans="1:12" ht="16" customHeight="1">
      <c r="A1038" t="s">
        <v>324</v>
      </c>
      <c r="B1038" t="s">
        <v>3</v>
      </c>
      <c r="C1038" t="s">
        <v>23</v>
      </c>
      <c r="D1038" s="24">
        <v>45962</v>
      </c>
      <c r="E1038" t="s">
        <v>228</v>
      </c>
      <c r="F1038" t="s">
        <v>4</v>
      </c>
      <c r="G1038" t="s">
        <v>217</v>
      </c>
      <c r="H1038" t="s">
        <v>217</v>
      </c>
      <c r="I1038" t="s">
        <v>303</v>
      </c>
      <c r="J1038" s="25">
        <v>3039</v>
      </c>
      <c r="K1038" s="26">
        <v>622.36</v>
      </c>
      <c r="L1038" s="26">
        <v>19.23</v>
      </c>
    </row>
    <row r="1039" spans="1:12" ht="16" customHeight="1">
      <c r="A1039" t="s">
        <v>324</v>
      </c>
      <c r="B1039" t="s">
        <v>3</v>
      </c>
      <c r="C1039" t="s">
        <v>23</v>
      </c>
      <c r="D1039" s="24">
        <v>45962</v>
      </c>
      <c r="E1039" t="s">
        <v>230</v>
      </c>
      <c r="F1039" t="s">
        <v>4</v>
      </c>
      <c r="G1039" t="s">
        <v>217</v>
      </c>
      <c r="H1039" t="s">
        <v>217</v>
      </c>
      <c r="I1039" t="s">
        <v>304</v>
      </c>
      <c r="J1039" s="25">
        <v>0</v>
      </c>
      <c r="K1039" s="26">
        <v>0</v>
      </c>
      <c r="L1039" s="26">
        <v>0</v>
      </c>
    </row>
    <row r="1040" spans="1:12" ht="16" customHeight="1">
      <c r="A1040" t="s">
        <v>324</v>
      </c>
      <c r="B1040" t="s">
        <v>3</v>
      </c>
      <c r="C1040" t="s">
        <v>23</v>
      </c>
      <c r="D1040" s="24">
        <v>45962</v>
      </c>
      <c r="E1040" t="s">
        <v>232</v>
      </c>
      <c r="F1040" t="s">
        <v>4</v>
      </c>
      <c r="G1040" t="s">
        <v>217</v>
      </c>
      <c r="H1040" t="s">
        <v>217</v>
      </c>
      <c r="I1040" t="s">
        <v>305</v>
      </c>
      <c r="J1040" s="25">
        <v>3</v>
      </c>
      <c r="K1040" s="26">
        <v>0.56999999999999995</v>
      </c>
      <c r="L1040" s="26">
        <v>0.01</v>
      </c>
    </row>
    <row r="1041" spans="1:12" ht="16" customHeight="1">
      <c r="A1041" t="s">
        <v>324</v>
      </c>
      <c r="B1041" t="s">
        <v>3</v>
      </c>
      <c r="C1041" t="s">
        <v>23</v>
      </c>
      <c r="D1041" s="24">
        <v>45962</v>
      </c>
      <c r="E1041" t="s">
        <v>234</v>
      </c>
      <c r="F1041" t="s">
        <v>4</v>
      </c>
      <c r="G1041" t="s">
        <v>217</v>
      </c>
      <c r="H1041" t="s">
        <v>217</v>
      </c>
      <c r="I1041" t="s">
        <v>306</v>
      </c>
      <c r="J1041" s="25">
        <v>0</v>
      </c>
      <c r="K1041" s="26">
        <v>0</v>
      </c>
      <c r="L1041" s="26">
        <v>0</v>
      </c>
    </row>
    <row r="1042" spans="1:12" ht="16" customHeight="1">
      <c r="A1042" t="s">
        <v>324</v>
      </c>
      <c r="B1042" t="s">
        <v>3</v>
      </c>
      <c r="C1042" t="s">
        <v>23</v>
      </c>
      <c r="D1042" s="24">
        <v>45962</v>
      </c>
      <c r="E1042" t="s">
        <v>236</v>
      </c>
      <c r="F1042" t="s">
        <v>4</v>
      </c>
      <c r="G1042" t="s">
        <v>217</v>
      </c>
      <c r="H1042" t="s">
        <v>217</v>
      </c>
      <c r="I1042" t="s">
        <v>307</v>
      </c>
      <c r="J1042" s="25">
        <v>4</v>
      </c>
      <c r="K1042" s="26">
        <v>0.82</v>
      </c>
      <c r="L1042" s="26">
        <v>0.03</v>
      </c>
    </row>
    <row r="1043" spans="1:12" ht="16" customHeight="1">
      <c r="A1043" t="s">
        <v>324</v>
      </c>
      <c r="B1043" t="s">
        <v>3</v>
      </c>
      <c r="C1043" t="s">
        <v>23</v>
      </c>
      <c r="D1043" s="24">
        <v>45962</v>
      </c>
      <c r="E1043" t="s">
        <v>238</v>
      </c>
      <c r="F1043" t="s">
        <v>4</v>
      </c>
      <c r="G1043" t="s">
        <v>217</v>
      </c>
      <c r="H1043" t="s">
        <v>217</v>
      </c>
      <c r="I1043" t="s">
        <v>308</v>
      </c>
      <c r="J1043" s="25">
        <v>0</v>
      </c>
      <c r="K1043" s="26">
        <v>0</v>
      </c>
      <c r="L1043" s="26">
        <v>0</v>
      </c>
    </row>
    <row r="1044" spans="1:12" ht="16" customHeight="1">
      <c r="A1044" t="s">
        <v>324</v>
      </c>
      <c r="B1044" t="s">
        <v>3</v>
      </c>
      <c r="C1044" t="s">
        <v>23</v>
      </c>
      <c r="D1044" s="24">
        <v>45962</v>
      </c>
      <c r="E1044" t="s">
        <v>240</v>
      </c>
      <c r="F1044" t="s">
        <v>3</v>
      </c>
      <c r="G1044" t="s">
        <v>241</v>
      </c>
      <c r="H1044" t="s">
        <v>241</v>
      </c>
      <c r="I1044" t="s">
        <v>309</v>
      </c>
      <c r="J1044" s="25">
        <v>0</v>
      </c>
      <c r="K1044" s="26">
        <v>0</v>
      </c>
      <c r="L1044" s="26">
        <v>0</v>
      </c>
    </row>
    <row r="1045" spans="1:12" ht="16" customHeight="1">
      <c r="A1045" t="s">
        <v>324</v>
      </c>
      <c r="B1045" t="s">
        <v>3</v>
      </c>
      <c r="C1045" t="s">
        <v>23</v>
      </c>
      <c r="D1045" s="24">
        <v>45962</v>
      </c>
      <c r="E1045" t="s">
        <v>243</v>
      </c>
      <c r="F1045" t="s">
        <v>4</v>
      </c>
      <c r="G1045" t="s">
        <v>217</v>
      </c>
      <c r="H1045" t="s">
        <v>217</v>
      </c>
      <c r="I1045" t="s">
        <v>310</v>
      </c>
      <c r="J1045" s="25">
        <v>0</v>
      </c>
      <c r="K1045" s="26">
        <v>0</v>
      </c>
      <c r="L1045" s="26">
        <v>0</v>
      </c>
    </row>
    <row r="1046" spans="1:12" ht="16" customHeight="1">
      <c r="A1046" t="s">
        <v>220</v>
      </c>
      <c r="B1046" t="s">
        <v>4</v>
      </c>
      <c r="C1046" t="s">
        <v>23</v>
      </c>
      <c r="D1046" s="24">
        <v>45962</v>
      </c>
      <c r="E1046" t="s">
        <v>220</v>
      </c>
      <c r="F1046" t="s">
        <v>4</v>
      </c>
      <c r="G1046" t="s">
        <v>217</v>
      </c>
      <c r="H1046" t="s">
        <v>261</v>
      </c>
      <c r="I1046" t="s">
        <v>212</v>
      </c>
      <c r="J1046" s="25">
        <v>255047333</v>
      </c>
      <c r="K1046" s="26">
        <v>49741173.140000001</v>
      </c>
      <c r="L1046" s="26">
        <v>45082.04</v>
      </c>
    </row>
    <row r="1047" spans="1:12" ht="16" customHeight="1">
      <c r="A1047" t="s">
        <v>220</v>
      </c>
      <c r="B1047" t="s">
        <v>4</v>
      </c>
      <c r="C1047" t="s">
        <v>23</v>
      </c>
      <c r="D1047" s="24">
        <v>45962</v>
      </c>
      <c r="E1047" t="s">
        <v>291</v>
      </c>
      <c r="F1047" t="s">
        <v>4</v>
      </c>
      <c r="G1047" t="s">
        <v>211</v>
      </c>
      <c r="H1047" t="s">
        <v>211</v>
      </c>
      <c r="I1047" t="s">
        <v>219</v>
      </c>
      <c r="J1047" s="25">
        <v>10102726</v>
      </c>
      <c r="K1047" s="26">
        <v>1981650.59</v>
      </c>
      <c r="L1047" s="26">
        <v>6121.9</v>
      </c>
    </row>
    <row r="1048" spans="1:12" ht="16" customHeight="1">
      <c r="A1048" t="s">
        <v>220</v>
      </c>
      <c r="B1048" t="s">
        <v>4</v>
      </c>
      <c r="C1048" t="s">
        <v>23</v>
      </c>
      <c r="D1048" s="24">
        <v>45962</v>
      </c>
      <c r="E1048" t="s">
        <v>312</v>
      </c>
      <c r="F1048" t="s">
        <v>4</v>
      </c>
      <c r="G1048" t="s">
        <v>211</v>
      </c>
      <c r="H1048" t="s">
        <v>211</v>
      </c>
      <c r="I1048" t="s">
        <v>219</v>
      </c>
      <c r="J1048" s="25">
        <v>547642</v>
      </c>
      <c r="K1048" s="26">
        <v>107728.63</v>
      </c>
      <c r="L1048" s="26">
        <v>460.24</v>
      </c>
    </row>
    <row r="1049" spans="1:12" ht="16" customHeight="1">
      <c r="A1049" t="s">
        <v>220</v>
      </c>
      <c r="B1049" t="s">
        <v>4</v>
      </c>
      <c r="C1049" t="s">
        <v>23</v>
      </c>
      <c r="D1049" s="24">
        <v>45962</v>
      </c>
      <c r="E1049" t="s">
        <v>316</v>
      </c>
      <c r="F1049" t="s">
        <v>4</v>
      </c>
      <c r="G1049" t="s">
        <v>211</v>
      </c>
      <c r="H1049" t="s">
        <v>211</v>
      </c>
      <c r="I1049" t="s">
        <v>219</v>
      </c>
      <c r="J1049" s="25">
        <v>36281</v>
      </c>
      <c r="K1049" s="26">
        <v>7138.94</v>
      </c>
      <c r="L1049" s="26">
        <v>36.65</v>
      </c>
    </row>
    <row r="1050" spans="1:12" ht="16" customHeight="1">
      <c r="A1050" t="s">
        <v>220</v>
      </c>
      <c r="B1050" t="s">
        <v>4</v>
      </c>
      <c r="C1050" t="s">
        <v>23</v>
      </c>
      <c r="D1050" s="24">
        <v>45962</v>
      </c>
      <c r="E1050" t="s">
        <v>321</v>
      </c>
      <c r="F1050" t="s">
        <v>4</v>
      </c>
      <c r="G1050" t="s">
        <v>211</v>
      </c>
      <c r="H1050" t="s">
        <v>211</v>
      </c>
      <c r="I1050" t="s">
        <v>219</v>
      </c>
      <c r="J1050" s="25">
        <v>13356</v>
      </c>
      <c r="K1050" s="26">
        <v>2634.24</v>
      </c>
      <c r="L1050" s="26">
        <v>20.84</v>
      </c>
    </row>
    <row r="1051" spans="1:12" ht="16" customHeight="1">
      <c r="A1051" t="s">
        <v>220</v>
      </c>
      <c r="B1051" t="s">
        <v>4</v>
      </c>
      <c r="C1051" t="s">
        <v>23</v>
      </c>
      <c r="D1051" s="24">
        <v>45962</v>
      </c>
      <c r="E1051" t="s">
        <v>222</v>
      </c>
      <c r="F1051" t="s">
        <v>4</v>
      </c>
      <c r="G1051" t="s">
        <v>217</v>
      </c>
      <c r="H1051" t="s">
        <v>217</v>
      </c>
      <c r="I1051" t="s">
        <v>219</v>
      </c>
      <c r="J1051" s="25">
        <v>1018659</v>
      </c>
      <c r="K1051" s="26">
        <v>201203.34</v>
      </c>
      <c r="L1051" s="26">
        <v>1687.9</v>
      </c>
    </row>
    <row r="1052" spans="1:12" ht="16" customHeight="1">
      <c r="A1052" t="s">
        <v>220</v>
      </c>
      <c r="B1052" t="s">
        <v>4</v>
      </c>
      <c r="C1052" t="s">
        <v>23</v>
      </c>
      <c r="D1052" s="24">
        <v>45962</v>
      </c>
      <c r="E1052" t="s">
        <v>296</v>
      </c>
      <c r="F1052" t="s">
        <v>4</v>
      </c>
      <c r="G1052" t="s">
        <v>217</v>
      </c>
      <c r="H1052" t="s">
        <v>217</v>
      </c>
      <c r="I1052" t="s">
        <v>221</v>
      </c>
      <c r="J1052" s="25">
        <v>69739</v>
      </c>
      <c r="K1052" s="26">
        <v>11937.96</v>
      </c>
      <c r="L1052" s="26">
        <v>111.46</v>
      </c>
    </row>
    <row r="1053" spans="1:12" ht="16" customHeight="1">
      <c r="A1053" t="s">
        <v>220</v>
      </c>
      <c r="B1053" t="s">
        <v>4</v>
      </c>
      <c r="C1053" t="s">
        <v>23</v>
      </c>
      <c r="D1053" s="24">
        <v>45962</v>
      </c>
      <c r="E1053" t="s">
        <v>224</v>
      </c>
      <c r="F1053" t="s">
        <v>4</v>
      </c>
      <c r="G1053" t="s">
        <v>217</v>
      </c>
      <c r="H1053" t="s">
        <v>217</v>
      </c>
      <c r="I1053" t="s">
        <v>300</v>
      </c>
      <c r="J1053" s="25">
        <v>20734</v>
      </c>
      <c r="K1053" s="26">
        <v>4117.62</v>
      </c>
      <c r="L1053" s="26">
        <v>60.39</v>
      </c>
    </row>
    <row r="1054" spans="1:12" ht="16" customHeight="1">
      <c r="A1054" t="s">
        <v>220</v>
      </c>
      <c r="B1054" t="s">
        <v>4</v>
      </c>
      <c r="C1054" t="s">
        <v>23</v>
      </c>
      <c r="D1054" s="24">
        <v>45962</v>
      </c>
      <c r="E1054" t="s">
        <v>226</v>
      </c>
      <c r="F1054" t="s">
        <v>4</v>
      </c>
      <c r="G1054" t="s">
        <v>217</v>
      </c>
      <c r="H1054" t="s">
        <v>217</v>
      </c>
      <c r="I1054" t="s">
        <v>301</v>
      </c>
      <c r="J1054" s="25">
        <v>5437</v>
      </c>
      <c r="K1054" s="26">
        <v>1070.55</v>
      </c>
      <c r="L1054" s="26">
        <v>21.71</v>
      </c>
    </row>
    <row r="1055" spans="1:12" ht="16" customHeight="1">
      <c r="A1055" t="s">
        <v>220</v>
      </c>
      <c r="B1055" t="s">
        <v>4</v>
      </c>
      <c r="C1055" t="s">
        <v>23</v>
      </c>
      <c r="D1055" s="24">
        <v>45962</v>
      </c>
      <c r="E1055" t="s">
        <v>269</v>
      </c>
      <c r="F1055" t="s">
        <v>4</v>
      </c>
      <c r="G1055" t="s">
        <v>217</v>
      </c>
      <c r="H1055" t="s">
        <v>217</v>
      </c>
      <c r="I1055" t="s">
        <v>302</v>
      </c>
      <c r="J1055" s="25">
        <v>40</v>
      </c>
      <c r="K1055" s="26">
        <v>7.36</v>
      </c>
      <c r="L1055" s="26">
        <v>0.09</v>
      </c>
    </row>
    <row r="1056" spans="1:12" ht="16" customHeight="1">
      <c r="A1056" t="s">
        <v>220</v>
      </c>
      <c r="B1056" t="s">
        <v>4</v>
      </c>
      <c r="C1056" t="s">
        <v>23</v>
      </c>
      <c r="D1056" s="24">
        <v>45962</v>
      </c>
      <c r="E1056" t="s">
        <v>228</v>
      </c>
      <c r="F1056" t="s">
        <v>4</v>
      </c>
      <c r="G1056" t="s">
        <v>217</v>
      </c>
      <c r="H1056" t="s">
        <v>217</v>
      </c>
      <c r="I1056" t="s">
        <v>303</v>
      </c>
      <c r="J1056" s="25">
        <v>7435</v>
      </c>
      <c r="K1056" s="26">
        <v>1499.99</v>
      </c>
      <c r="L1056" s="26">
        <v>56.03</v>
      </c>
    </row>
    <row r="1057" spans="1:12" ht="16" customHeight="1">
      <c r="A1057" t="s">
        <v>220</v>
      </c>
      <c r="B1057" t="s">
        <v>4</v>
      </c>
      <c r="C1057" t="s">
        <v>23</v>
      </c>
      <c r="D1057" s="24">
        <v>45962</v>
      </c>
      <c r="E1057" t="s">
        <v>230</v>
      </c>
      <c r="F1057" t="s">
        <v>4</v>
      </c>
      <c r="G1057" t="s">
        <v>217</v>
      </c>
      <c r="H1057" t="s">
        <v>217</v>
      </c>
      <c r="I1057" t="s">
        <v>304</v>
      </c>
      <c r="J1057" s="25">
        <v>0</v>
      </c>
      <c r="K1057" s="26">
        <v>0</v>
      </c>
      <c r="L1057" s="26">
        <v>0</v>
      </c>
    </row>
    <row r="1058" spans="1:12" ht="16" customHeight="1">
      <c r="A1058" t="s">
        <v>220</v>
      </c>
      <c r="B1058" t="s">
        <v>4</v>
      </c>
      <c r="C1058" t="s">
        <v>23</v>
      </c>
      <c r="D1058" s="24">
        <v>45962</v>
      </c>
      <c r="E1058" t="s">
        <v>232</v>
      </c>
      <c r="F1058" t="s">
        <v>4</v>
      </c>
      <c r="G1058" t="s">
        <v>217</v>
      </c>
      <c r="H1058" t="s">
        <v>217</v>
      </c>
      <c r="I1058" t="s">
        <v>305</v>
      </c>
      <c r="J1058" s="25">
        <v>0</v>
      </c>
      <c r="K1058" s="26">
        <v>0</v>
      </c>
      <c r="L1058" s="26">
        <v>0</v>
      </c>
    </row>
    <row r="1059" spans="1:12" ht="16" customHeight="1">
      <c r="A1059" t="s">
        <v>220</v>
      </c>
      <c r="B1059" t="s">
        <v>4</v>
      </c>
      <c r="C1059" t="s">
        <v>23</v>
      </c>
      <c r="D1059" s="24">
        <v>45962</v>
      </c>
      <c r="E1059" t="s">
        <v>234</v>
      </c>
      <c r="F1059" t="s">
        <v>4</v>
      </c>
      <c r="G1059" t="s">
        <v>217</v>
      </c>
      <c r="H1059" t="s">
        <v>217</v>
      </c>
      <c r="I1059" t="s">
        <v>306</v>
      </c>
      <c r="J1059" s="25">
        <v>0</v>
      </c>
      <c r="K1059" s="26">
        <v>0</v>
      </c>
      <c r="L1059" s="26">
        <v>0</v>
      </c>
    </row>
    <row r="1060" spans="1:12" ht="16" customHeight="1">
      <c r="A1060" t="s">
        <v>220</v>
      </c>
      <c r="B1060" t="s">
        <v>4</v>
      </c>
      <c r="C1060" t="s">
        <v>23</v>
      </c>
      <c r="D1060" s="24">
        <v>45962</v>
      </c>
      <c r="E1060" t="s">
        <v>236</v>
      </c>
      <c r="F1060" t="s">
        <v>4</v>
      </c>
      <c r="G1060" t="s">
        <v>217</v>
      </c>
      <c r="H1060" t="s">
        <v>217</v>
      </c>
      <c r="I1060" t="s">
        <v>307</v>
      </c>
      <c r="J1060" s="25">
        <v>2</v>
      </c>
      <c r="K1060" s="26">
        <v>0.4</v>
      </c>
      <c r="L1060" s="26">
        <v>0.01</v>
      </c>
    </row>
    <row r="1061" spans="1:12" ht="16" customHeight="1">
      <c r="A1061" t="s">
        <v>220</v>
      </c>
      <c r="B1061" t="s">
        <v>4</v>
      </c>
      <c r="C1061" t="s">
        <v>23</v>
      </c>
      <c r="D1061" s="24">
        <v>45962</v>
      </c>
      <c r="E1061" t="s">
        <v>238</v>
      </c>
      <c r="F1061" t="s">
        <v>4</v>
      </c>
      <c r="G1061" t="s">
        <v>217</v>
      </c>
      <c r="H1061" t="s">
        <v>217</v>
      </c>
      <c r="I1061" t="s">
        <v>308</v>
      </c>
      <c r="J1061" s="25">
        <v>0</v>
      </c>
      <c r="K1061" s="26">
        <v>0</v>
      </c>
      <c r="L1061" s="26">
        <v>0</v>
      </c>
    </row>
    <row r="1062" spans="1:12" ht="16" customHeight="1">
      <c r="A1062" t="s">
        <v>220</v>
      </c>
      <c r="B1062" t="s">
        <v>4</v>
      </c>
      <c r="C1062" t="s">
        <v>23</v>
      </c>
      <c r="D1062" s="24">
        <v>45962</v>
      </c>
      <c r="E1062" t="s">
        <v>240</v>
      </c>
      <c r="F1062" t="s">
        <v>3</v>
      </c>
      <c r="G1062" t="s">
        <v>241</v>
      </c>
      <c r="H1062" t="s">
        <v>241</v>
      </c>
      <c r="I1062" t="s">
        <v>309</v>
      </c>
      <c r="J1062" s="25">
        <v>0</v>
      </c>
      <c r="K1062" s="26">
        <v>0</v>
      </c>
      <c r="L1062" s="26">
        <v>0</v>
      </c>
    </row>
    <row r="1063" spans="1:12" ht="16" customHeight="1">
      <c r="A1063" t="s">
        <v>220</v>
      </c>
      <c r="B1063" t="s">
        <v>4</v>
      </c>
      <c r="C1063" t="s">
        <v>23</v>
      </c>
      <c r="D1063" s="24">
        <v>45962</v>
      </c>
      <c r="E1063" t="s">
        <v>243</v>
      </c>
      <c r="F1063" t="s">
        <v>4</v>
      </c>
      <c r="G1063" t="s">
        <v>217</v>
      </c>
      <c r="H1063" t="s">
        <v>217</v>
      </c>
      <c r="I1063" t="s">
        <v>310</v>
      </c>
      <c r="J1063" s="25">
        <v>0</v>
      </c>
      <c r="K1063" s="26">
        <v>0</v>
      </c>
      <c r="L1063" s="26">
        <v>0</v>
      </c>
    </row>
    <row r="1064" spans="1:12" ht="16" customHeight="1">
      <c r="A1064" t="s">
        <v>325</v>
      </c>
      <c r="B1064" t="s">
        <v>5</v>
      </c>
      <c r="C1064" t="s">
        <v>23</v>
      </c>
      <c r="D1064" s="24">
        <v>45962</v>
      </c>
      <c r="E1064" t="s">
        <v>291</v>
      </c>
      <c r="F1064" t="s">
        <v>4</v>
      </c>
      <c r="G1064" t="s">
        <v>211</v>
      </c>
      <c r="H1064" t="s">
        <v>211</v>
      </c>
      <c r="I1064" t="s">
        <v>219</v>
      </c>
      <c r="J1064" s="25">
        <v>47884736</v>
      </c>
      <c r="K1064" s="26">
        <v>9401776.7599999998</v>
      </c>
      <c r="L1064" s="26">
        <v>27731.05</v>
      </c>
    </row>
    <row r="1065" spans="1:12" ht="16" customHeight="1">
      <c r="A1065" t="s">
        <v>325</v>
      </c>
      <c r="B1065" t="s">
        <v>5</v>
      </c>
      <c r="C1065" t="s">
        <v>23</v>
      </c>
      <c r="D1065" s="24">
        <v>45962</v>
      </c>
      <c r="E1065" t="s">
        <v>312</v>
      </c>
      <c r="F1065" t="s">
        <v>4</v>
      </c>
      <c r="G1065" t="s">
        <v>211</v>
      </c>
      <c r="H1065" t="s">
        <v>211</v>
      </c>
      <c r="I1065" t="s">
        <v>219</v>
      </c>
      <c r="J1065" s="25">
        <v>1366420</v>
      </c>
      <c r="K1065" s="26">
        <v>268491.81</v>
      </c>
      <c r="L1065" s="26">
        <v>1049.3599999999999</v>
      </c>
    </row>
    <row r="1066" spans="1:12" ht="16" customHeight="1">
      <c r="A1066" t="s">
        <v>325</v>
      </c>
      <c r="B1066" t="s">
        <v>5</v>
      </c>
      <c r="C1066" t="s">
        <v>23</v>
      </c>
      <c r="D1066" s="24">
        <v>45962</v>
      </c>
      <c r="E1066" t="s">
        <v>316</v>
      </c>
      <c r="F1066" t="s">
        <v>4</v>
      </c>
      <c r="G1066" t="s">
        <v>211</v>
      </c>
      <c r="H1066" t="s">
        <v>211</v>
      </c>
      <c r="I1066" t="s">
        <v>219</v>
      </c>
      <c r="J1066" s="25">
        <v>78250</v>
      </c>
      <c r="K1066" s="26">
        <v>15429.35</v>
      </c>
      <c r="L1066" s="26">
        <v>83.15</v>
      </c>
    </row>
    <row r="1067" spans="1:12" ht="16" customHeight="1">
      <c r="A1067" t="s">
        <v>325</v>
      </c>
      <c r="B1067" t="s">
        <v>5</v>
      </c>
      <c r="C1067" t="s">
        <v>23</v>
      </c>
      <c r="D1067" s="24">
        <v>45962</v>
      </c>
      <c r="E1067" t="s">
        <v>321</v>
      </c>
      <c r="F1067" t="s">
        <v>4</v>
      </c>
      <c r="G1067" t="s">
        <v>211</v>
      </c>
      <c r="H1067" t="s">
        <v>211</v>
      </c>
      <c r="I1067" t="s">
        <v>219</v>
      </c>
      <c r="J1067" s="25">
        <v>19871</v>
      </c>
      <c r="K1067" s="26">
        <v>3926.26</v>
      </c>
      <c r="L1067" s="26">
        <v>27.81</v>
      </c>
    </row>
    <row r="1068" spans="1:12" ht="16" customHeight="1">
      <c r="A1068" t="s">
        <v>325</v>
      </c>
      <c r="B1068" t="s">
        <v>5</v>
      </c>
      <c r="C1068" t="s">
        <v>23</v>
      </c>
      <c r="D1068" s="24">
        <v>45962</v>
      </c>
      <c r="E1068" t="s">
        <v>222</v>
      </c>
      <c r="F1068" t="s">
        <v>4</v>
      </c>
      <c r="G1068" t="s">
        <v>217</v>
      </c>
      <c r="H1068" t="s">
        <v>217</v>
      </c>
      <c r="I1068" t="s">
        <v>219</v>
      </c>
      <c r="J1068" s="25">
        <v>1482545</v>
      </c>
      <c r="K1068" s="26">
        <v>291891.24</v>
      </c>
      <c r="L1068" s="26">
        <v>2276.5300000000002</v>
      </c>
    </row>
    <row r="1069" spans="1:12" ht="16" customHeight="1">
      <c r="A1069" t="s">
        <v>325</v>
      </c>
      <c r="B1069" t="s">
        <v>5</v>
      </c>
      <c r="C1069" t="s">
        <v>23</v>
      </c>
      <c r="D1069" s="24">
        <v>45962</v>
      </c>
      <c r="E1069" t="s">
        <v>296</v>
      </c>
      <c r="F1069" t="s">
        <v>4</v>
      </c>
      <c r="G1069" t="s">
        <v>217</v>
      </c>
      <c r="H1069" t="s">
        <v>217</v>
      </c>
      <c r="I1069" t="s">
        <v>221</v>
      </c>
      <c r="J1069" s="25">
        <v>119692</v>
      </c>
      <c r="K1069" s="26">
        <v>20504.3</v>
      </c>
      <c r="L1069" s="26">
        <v>202.04</v>
      </c>
    </row>
    <row r="1070" spans="1:12" ht="16" customHeight="1">
      <c r="A1070" t="s">
        <v>325</v>
      </c>
      <c r="B1070" t="s">
        <v>5</v>
      </c>
      <c r="C1070" t="s">
        <v>23</v>
      </c>
      <c r="D1070" s="24">
        <v>45962</v>
      </c>
      <c r="E1070" t="s">
        <v>326</v>
      </c>
      <c r="F1070" t="s">
        <v>4</v>
      </c>
      <c r="G1070" t="s">
        <v>217</v>
      </c>
      <c r="H1070" t="s">
        <v>217</v>
      </c>
      <c r="I1070" t="s">
        <v>223</v>
      </c>
      <c r="J1070" s="25">
        <v>8015</v>
      </c>
      <c r="K1070" s="26">
        <v>1358.73</v>
      </c>
      <c r="L1070" s="26">
        <v>15.65</v>
      </c>
    </row>
    <row r="1071" spans="1:12" ht="16" customHeight="1">
      <c r="A1071" t="s">
        <v>325</v>
      </c>
      <c r="B1071" t="s">
        <v>5</v>
      </c>
      <c r="C1071" t="s">
        <v>23</v>
      </c>
      <c r="D1071" s="24">
        <v>45962</v>
      </c>
      <c r="E1071" t="s">
        <v>224</v>
      </c>
      <c r="F1071" t="s">
        <v>4</v>
      </c>
      <c r="G1071" t="s">
        <v>217</v>
      </c>
      <c r="H1071" t="s">
        <v>217</v>
      </c>
      <c r="I1071" t="s">
        <v>300</v>
      </c>
      <c r="J1071" s="25">
        <v>30755</v>
      </c>
      <c r="K1071" s="26">
        <v>5983.16</v>
      </c>
      <c r="L1071" s="26">
        <v>84.04</v>
      </c>
    </row>
    <row r="1072" spans="1:12" ht="16" customHeight="1">
      <c r="A1072" t="s">
        <v>325</v>
      </c>
      <c r="B1072" t="s">
        <v>5</v>
      </c>
      <c r="C1072" t="s">
        <v>23</v>
      </c>
      <c r="D1072" s="24">
        <v>45962</v>
      </c>
      <c r="E1072" t="s">
        <v>226</v>
      </c>
      <c r="F1072" t="s">
        <v>4</v>
      </c>
      <c r="G1072" t="s">
        <v>217</v>
      </c>
      <c r="H1072" t="s">
        <v>217</v>
      </c>
      <c r="I1072" t="s">
        <v>301</v>
      </c>
      <c r="J1072" s="25">
        <v>8140</v>
      </c>
      <c r="K1072" s="26">
        <v>1599.11</v>
      </c>
      <c r="L1072" s="26">
        <v>32.08</v>
      </c>
    </row>
    <row r="1073" spans="1:12" ht="16" customHeight="1">
      <c r="A1073" t="s">
        <v>325</v>
      </c>
      <c r="B1073" t="s">
        <v>5</v>
      </c>
      <c r="C1073" t="s">
        <v>23</v>
      </c>
      <c r="D1073" s="24">
        <v>45962</v>
      </c>
      <c r="E1073" t="s">
        <v>269</v>
      </c>
      <c r="F1073" t="s">
        <v>4</v>
      </c>
      <c r="G1073" t="s">
        <v>217</v>
      </c>
      <c r="H1073" t="s">
        <v>217</v>
      </c>
      <c r="I1073" t="s">
        <v>302</v>
      </c>
      <c r="J1073" s="25">
        <v>47</v>
      </c>
      <c r="K1073" s="26">
        <v>9.26</v>
      </c>
      <c r="L1073" s="26">
        <v>0.2</v>
      </c>
    </row>
    <row r="1074" spans="1:12" ht="16" customHeight="1">
      <c r="A1074" t="s">
        <v>325</v>
      </c>
      <c r="B1074" t="s">
        <v>5</v>
      </c>
      <c r="C1074" t="s">
        <v>23</v>
      </c>
      <c r="D1074" s="24">
        <v>45962</v>
      </c>
      <c r="E1074" t="s">
        <v>228</v>
      </c>
      <c r="F1074" t="s">
        <v>4</v>
      </c>
      <c r="G1074" t="s">
        <v>217</v>
      </c>
      <c r="H1074" t="s">
        <v>217</v>
      </c>
      <c r="I1074" t="s">
        <v>303</v>
      </c>
      <c r="J1074" s="25">
        <v>5293</v>
      </c>
      <c r="K1074" s="26">
        <v>1086.0999999999999</v>
      </c>
      <c r="L1074" s="26">
        <v>38.61</v>
      </c>
    </row>
    <row r="1075" spans="1:12" ht="16" customHeight="1">
      <c r="A1075" t="s">
        <v>325</v>
      </c>
      <c r="B1075" t="s">
        <v>5</v>
      </c>
      <c r="C1075" t="s">
        <v>23</v>
      </c>
      <c r="D1075" s="24">
        <v>45962</v>
      </c>
      <c r="E1075" t="s">
        <v>230</v>
      </c>
      <c r="F1075" t="s">
        <v>4</v>
      </c>
      <c r="G1075" t="s">
        <v>217</v>
      </c>
      <c r="H1075" t="s">
        <v>217</v>
      </c>
      <c r="I1075" t="s">
        <v>304</v>
      </c>
      <c r="J1075" s="25">
        <v>1</v>
      </c>
      <c r="K1075" s="26">
        <v>0.2</v>
      </c>
      <c r="L1075" s="26">
        <v>0.02</v>
      </c>
    </row>
    <row r="1076" spans="1:12" ht="16" customHeight="1">
      <c r="A1076" t="s">
        <v>325</v>
      </c>
      <c r="B1076" t="s">
        <v>5</v>
      </c>
      <c r="C1076" t="s">
        <v>23</v>
      </c>
      <c r="D1076" s="24">
        <v>45962</v>
      </c>
      <c r="E1076" t="s">
        <v>232</v>
      </c>
      <c r="F1076" t="s">
        <v>4</v>
      </c>
      <c r="G1076" t="s">
        <v>217</v>
      </c>
      <c r="H1076" t="s">
        <v>217</v>
      </c>
      <c r="I1076" t="s">
        <v>305</v>
      </c>
      <c r="J1076" s="25">
        <v>12</v>
      </c>
      <c r="K1076" s="26">
        <v>2.36</v>
      </c>
      <c r="L1076" s="26">
        <v>7.0000000000000007E-2</v>
      </c>
    </row>
    <row r="1077" spans="1:12" ht="16" customHeight="1">
      <c r="A1077" t="s">
        <v>325</v>
      </c>
      <c r="B1077" t="s">
        <v>5</v>
      </c>
      <c r="C1077" t="s">
        <v>23</v>
      </c>
      <c r="D1077" s="24">
        <v>45962</v>
      </c>
      <c r="E1077" t="s">
        <v>234</v>
      </c>
      <c r="F1077" t="s">
        <v>4</v>
      </c>
      <c r="G1077" t="s">
        <v>217</v>
      </c>
      <c r="H1077" t="s">
        <v>217</v>
      </c>
      <c r="I1077" t="s">
        <v>306</v>
      </c>
      <c r="J1077" s="25">
        <v>0</v>
      </c>
      <c r="K1077" s="26">
        <v>0</v>
      </c>
      <c r="L1077" s="26">
        <v>0</v>
      </c>
    </row>
    <row r="1078" spans="1:12" ht="16" customHeight="1">
      <c r="A1078" t="s">
        <v>325</v>
      </c>
      <c r="B1078" t="s">
        <v>5</v>
      </c>
      <c r="C1078" t="s">
        <v>23</v>
      </c>
      <c r="D1078" s="24">
        <v>45962</v>
      </c>
      <c r="E1078" t="s">
        <v>236</v>
      </c>
      <c r="F1078" t="s">
        <v>4</v>
      </c>
      <c r="G1078" t="s">
        <v>217</v>
      </c>
      <c r="H1078" t="s">
        <v>217</v>
      </c>
      <c r="I1078" t="s">
        <v>307</v>
      </c>
      <c r="J1078" s="25">
        <v>0</v>
      </c>
      <c r="K1078" s="26">
        <v>0</v>
      </c>
      <c r="L1078" s="26">
        <v>0</v>
      </c>
    </row>
    <row r="1079" spans="1:12" ht="16" customHeight="1">
      <c r="A1079" t="s">
        <v>325</v>
      </c>
      <c r="B1079" t="s">
        <v>5</v>
      </c>
      <c r="C1079" t="s">
        <v>23</v>
      </c>
      <c r="D1079" s="24">
        <v>45962</v>
      </c>
      <c r="E1079" t="s">
        <v>238</v>
      </c>
      <c r="F1079" t="s">
        <v>4</v>
      </c>
      <c r="G1079" t="s">
        <v>217</v>
      </c>
      <c r="H1079" t="s">
        <v>217</v>
      </c>
      <c r="I1079" t="s">
        <v>308</v>
      </c>
      <c r="J1079" s="25">
        <v>0</v>
      </c>
      <c r="K1079" s="26">
        <v>0</v>
      </c>
      <c r="L1079" s="26">
        <v>0</v>
      </c>
    </row>
    <row r="1080" spans="1:12" ht="16" customHeight="1">
      <c r="A1080" t="s">
        <v>325</v>
      </c>
      <c r="B1080" t="s">
        <v>5</v>
      </c>
      <c r="C1080" t="s">
        <v>23</v>
      </c>
      <c r="D1080" s="24">
        <v>45962</v>
      </c>
      <c r="E1080" t="s">
        <v>240</v>
      </c>
      <c r="F1080" t="s">
        <v>3</v>
      </c>
      <c r="G1080" t="s">
        <v>241</v>
      </c>
      <c r="H1080" t="s">
        <v>241</v>
      </c>
      <c r="I1080" t="s">
        <v>309</v>
      </c>
      <c r="J1080" s="25">
        <v>0</v>
      </c>
      <c r="K1080" s="26">
        <v>0</v>
      </c>
      <c r="L1080" s="26">
        <v>0</v>
      </c>
    </row>
    <row r="1081" spans="1:12" ht="16" customHeight="1">
      <c r="A1081" t="s">
        <v>325</v>
      </c>
      <c r="B1081" t="s">
        <v>5</v>
      </c>
      <c r="C1081" t="s">
        <v>23</v>
      </c>
      <c r="D1081" s="24">
        <v>45962</v>
      </c>
      <c r="E1081" t="s">
        <v>243</v>
      </c>
      <c r="F1081" t="s">
        <v>4</v>
      </c>
      <c r="G1081" t="s">
        <v>217</v>
      </c>
      <c r="H1081" t="s">
        <v>217</v>
      </c>
      <c r="I1081" t="s">
        <v>310</v>
      </c>
      <c r="J1081" s="25">
        <v>0</v>
      </c>
      <c r="K1081" s="26">
        <v>0</v>
      </c>
      <c r="L1081" s="26">
        <v>0</v>
      </c>
    </row>
    <row r="1082" spans="1:12" ht="16" customHeight="1">
      <c r="A1082" t="s">
        <v>327</v>
      </c>
      <c r="B1082" t="s">
        <v>6</v>
      </c>
      <c r="C1082" t="s">
        <v>23</v>
      </c>
      <c r="D1082" s="24">
        <v>45962</v>
      </c>
      <c r="E1082" t="s">
        <v>291</v>
      </c>
      <c r="F1082" t="s">
        <v>4</v>
      </c>
      <c r="G1082" t="s">
        <v>211</v>
      </c>
      <c r="H1082" t="s">
        <v>211</v>
      </c>
      <c r="I1082" t="s">
        <v>219</v>
      </c>
      <c r="J1082" s="25">
        <v>55918264</v>
      </c>
      <c r="K1082" s="26">
        <v>11011592.779999999</v>
      </c>
      <c r="L1082" s="26">
        <v>28319.5</v>
      </c>
    </row>
    <row r="1083" spans="1:12" ht="16" customHeight="1">
      <c r="A1083" t="s">
        <v>327</v>
      </c>
      <c r="B1083" t="s">
        <v>6</v>
      </c>
      <c r="C1083" t="s">
        <v>23</v>
      </c>
      <c r="D1083" s="24">
        <v>45962</v>
      </c>
      <c r="E1083" t="s">
        <v>312</v>
      </c>
      <c r="F1083" t="s">
        <v>4</v>
      </c>
      <c r="G1083" t="s">
        <v>211</v>
      </c>
      <c r="H1083" t="s">
        <v>211</v>
      </c>
      <c r="I1083" t="s">
        <v>219</v>
      </c>
      <c r="J1083" s="25">
        <v>1797566</v>
      </c>
      <c r="K1083" s="26">
        <v>355402.23999999999</v>
      </c>
      <c r="L1083" s="26">
        <v>1287.94</v>
      </c>
    </row>
    <row r="1084" spans="1:12" ht="16" customHeight="1">
      <c r="A1084" t="s">
        <v>327</v>
      </c>
      <c r="B1084" t="s">
        <v>6</v>
      </c>
      <c r="C1084" t="s">
        <v>23</v>
      </c>
      <c r="D1084" s="24">
        <v>45962</v>
      </c>
      <c r="E1084" t="s">
        <v>316</v>
      </c>
      <c r="F1084" t="s">
        <v>4</v>
      </c>
      <c r="G1084" t="s">
        <v>211</v>
      </c>
      <c r="H1084" t="s">
        <v>211</v>
      </c>
      <c r="I1084" t="s">
        <v>219</v>
      </c>
      <c r="J1084" s="25">
        <v>103668</v>
      </c>
      <c r="K1084" s="26">
        <v>20561.88</v>
      </c>
      <c r="L1084" s="26">
        <v>106.66</v>
      </c>
    </row>
    <row r="1085" spans="1:12" ht="16" customHeight="1">
      <c r="A1085" t="s">
        <v>327</v>
      </c>
      <c r="B1085" t="s">
        <v>6</v>
      </c>
      <c r="C1085" t="s">
        <v>23</v>
      </c>
      <c r="D1085" s="24">
        <v>45962</v>
      </c>
      <c r="E1085" t="s">
        <v>321</v>
      </c>
      <c r="F1085" t="s">
        <v>4</v>
      </c>
      <c r="G1085" t="s">
        <v>211</v>
      </c>
      <c r="H1085" t="s">
        <v>211</v>
      </c>
      <c r="I1085" t="s">
        <v>219</v>
      </c>
      <c r="J1085" s="25">
        <v>22212</v>
      </c>
      <c r="K1085" s="26">
        <v>4412.92</v>
      </c>
      <c r="L1085" s="26">
        <v>29.38</v>
      </c>
    </row>
    <row r="1086" spans="1:12" ht="16" customHeight="1">
      <c r="A1086" t="s">
        <v>327</v>
      </c>
      <c r="B1086" t="s">
        <v>6</v>
      </c>
      <c r="C1086" t="s">
        <v>23</v>
      </c>
      <c r="D1086" s="24">
        <v>45962</v>
      </c>
      <c r="E1086" t="s">
        <v>222</v>
      </c>
      <c r="F1086" t="s">
        <v>4</v>
      </c>
      <c r="G1086" t="s">
        <v>217</v>
      </c>
      <c r="H1086" t="s">
        <v>217</v>
      </c>
      <c r="I1086" t="s">
        <v>219</v>
      </c>
      <c r="J1086" s="25">
        <v>1252510</v>
      </c>
      <c r="K1086" s="26">
        <v>246666.53</v>
      </c>
      <c r="L1086" s="26">
        <v>1756.74</v>
      </c>
    </row>
    <row r="1087" spans="1:12" ht="16" customHeight="1">
      <c r="A1087" t="s">
        <v>327</v>
      </c>
      <c r="B1087" t="s">
        <v>6</v>
      </c>
      <c r="C1087" t="s">
        <v>23</v>
      </c>
      <c r="D1087" s="24">
        <v>45962</v>
      </c>
      <c r="E1087" t="s">
        <v>296</v>
      </c>
      <c r="F1087" t="s">
        <v>4</v>
      </c>
      <c r="G1087" t="s">
        <v>217</v>
      </c>
      <c r="H1087" t="s">
        <v>217</v>
      </c>
      <c r="I1087" t="s">
        <v>221</v>
      </c>
      <c r="J1087" s="25">
        <v>107355</v>
      </c>
      <c r="K1087" s="26">
        <v>18377.07</v>
      </c>
      <c r="L1087" s="26">
        <v>177.59</v>
      </c>
    </row>
    <row r="1088" spans="1:12" ht="16" customHeight="1">
      <c r="A1088" t="s">
        <v>327</v>
      </c>
      <c r="B1088" t="s">
        <v>6</v>
      </c>
      <c r="C1088" t="s">
        <v>23</v>
      </c>
      <c r="D1088" s="24">
        <v>45962</v>
      </c>
      <c r="E1088" t="s">
        <v>326</v>
      </c>
      <c r="F1088" t="s">
        <v>4</v>
      </c>
      <c r="G1088" t="s">
        <v>217</v>
      </c>
      <c r="H1088" t="s">
        <v>217</v>
      </c>
      <c r="I1088" t="s">
        <v>223</v>
      </c>
      <c r="J1088" s="25">
        <v>13533</v>
      </c>
      <c r="K1088" s="26">
        <v>2286.31</v>
      </c>
      <c r="L1088" s="26">
        <v>21.08</v>
      </c>
    </row>
    <row r="1089" spans="1:12" ht="16" customHeight="1">
      <c r="A1089" t="s">
        <v>327</v>
      </c>
      <c r="B1089" t="s">
        <v>6</v>
      </c>
      <c r="C1089" t="s">
        <v>23</v>
      </c>
      <c r="D1089" s="24">
        <v>45962</v>
      </c>
      <c r="E1089" t="s">
        <v>224</v>
      </c>
      <c r="F1089" t="s">
        <v>4</v>
      </c>
      <c r="G1089" t="s">
        <v>217</v>
      </c>
      <c r="H1089" t="s">
        <v>217</v>
      </c>
      <c r="I1089" t="s">
        <v>300</v>
      </c>
      <c r="J1089" s="25">
        <v>33193</v>
      </c>
      <c r="K1089" s="26">
        <v>6508.59</v>
      </c>
      <c r="L1089" s="26">
        <v>98.33</v>
      </c>
    </row>
    <row r="1090" spans="1:12" ht="16" customHeight="1">
      <c r="A1090" t="s">
        <v>327</v>
      </c>
      <c r="B1090" t="s">
        <v>6</v>
      </c>
      <c r="C1090" t="s">
        <v>23</v>
      </c>
      <c r="D1090" s="24">
        <v>45962</v>
      </c>
      <c r="E1090" t="s">
        <v>226</v>
      </c>
      <c r="F1090" t="s">
        <v>4</v>
      </c>
      <c r="G1090" t="s">
        <v>217</v>
      </c>
      <c r="H1090" t="s">
        <v>217</v>
      </c>
      <c r="I1090" t="s">
        <v>301</v>
      </c>
      <c r="J1090" s="25">
        <v>9984</v>
      </c>
      <c r="K1090" s="26">
        <v>1975.4</v>
      </c>
      <c r="L1090" s="26">
        <v>40.86</v>
      </c>
    </row>
    <row r="1091" spans="1:12" ht="16" customHeight="1">
      <c r="A1091" t="s">
        <v>327</v>
      </c>
      <c r="B1091" t="s">
        <v>6</v>
      </c>
      <c r="C1091" t="s">
        <v>23</v>
      </c>
      <c r="D1091" s="24">
        <v>45962</v>
      </c>
      <c r="E1091" t="s">
        <v>269</v>
      </c>
      <c r="F1091" t="s">
        <v>4</v>
      </c>
      <c r="G1091" t="s">
        <v>217</v>
      </c>
      <c r="H1091" t="s">
        <v>217</v>
      </c>
      <c r="I1091" t="s">
        <v>302</v>
      </c>
      <c r="J1091" s="25">
        <v>64</v>
      </c>
      <c r="K1091" s="26">
        <v>12.34</v>
      </c>
      <c r="L1091" s="26">
        <v>0.21</v>
      </c>
    </row>
    <row r="1092" spans="1:12" ht="16" customHeight="1">
      <c r="A1092" t="s">
        <v>327</v>
      </c>
      <c r="B1092" t="s">
        <v>6</v>
      </c>
      <c r="C1092" t="s">
        <v>23</v>
      </c>
      <c r="D1092" s="24">
        <v>45962</v>
      </c>
      <c r="E1092" t="s">
        <v>228</v>
      </c>
      <c r="F1092" t="s">
        <v>4</v>
      </c>
      <c r="G1092" t="s">
        <v>217</v>
      </c>
      <c r="H1092" t="s">
        <v>217</v>
      </c>
      <c r="I1092" t="s">
        <v>303</v>
      </c>
      <c r="J1092" s="25">
        <v>4620</v>
      </c>
      <c r="K1092" s="26">
        <v>925.19</v>
      </c>
      <c r="L1092" s="26">
        <v>29.4</v>
      </c>
    </row>
    <row r="1093" spans="1:12" ht="16" customHeight="1">
      <c r="A1093" t="s">
        <v>327</v>
      </c>
      <c r="B1093" t="s">
        <v>6</v>
      </c>
      <c r="C1093" t="s">
        <v>23</v>
      </c>
      <c r="D1093" s="24">
        <v>45962</v>
      </c>
      <c r="E1093" t="s">
        <v>230</v>
      </c>
      <c r="F1093" t="s">
        <v>4</v>
      </c>
      <c r="G1093" t="s">
        <v>217</v>
      </c>
      <c r="H1093" t="s">
        <v>217</v>
      </c>
      <c r="I1093" t="s">
        <v>304</v>
      </c>
      <c r="J1093" s="25">
        <v>0</v>
      </c>
      <c r="K1093" s="26">
        <v>0</v>
      </c>
      <c r="L1093" s="26">
        <v>0</v>
      </c>
    </row>
    <row r="1094" spans="1:12" ht="16" customHeight="1">
      <c r="A1094" t="s">
        <v>327</v>
      </c>
      <c r="B1094" t="s">
        <v>6</v>
      </c>
      <c r="C1094" t="s">
        <v>23</v>
      </c>
      <c r="D1094" s="24">
        <v>45962</v>
      </c>
      <c r="E1094" t="s">
        <v>232</v>
      </c>
      <c r="F1094" t="s">
        <v>4</v>
      </c>
      <c r="G1094" t="s">
        <v>217</v>
      </c>
      <c r="H1094" t="s">
        <v>217</v>
      </c>
      <c r="I1094" t="s">
        <v>305</v>
      </c>
      <c r="J1094" s="25">
        <v>9</v>
      </c>
      <c r="K1094" s="26">
        <v>1.77</v>
      </c>
      <c r="L1094" s="26">
        <v>0.05</v>
      </c>
    </row>
    <row r="1095" spans="1:12" ht="16" customHeight="1">
      <c r="A1095" t="s">
        <v>327</v>
      </c>
      <c r="B1095" t="s">
        <v>6</v>
      </c>
      <c r="C1095" t="s">
        <v>23</v>
      </c>
      <c r="D1095" s="24">
        <v>45962</v>
      </c>
      <c r="E1095" t="s">
        <v>234</v>
      </c>
      <c r="F1095" t="s">
        <v>4</v>
      </c>
      <c r="G1095" t="s">
        <v>217</v>
      </c>
      <c r="H1095" t="s">
        <v>217</v>
      </c>
      <c r="I1095" t="s">
        <v>306</v>
      </c>
      <c r="J1095" s="25">
        <v>0</v>
      </c>
      <c r="K1095" s="26">
        <v>0</v>
      </c>
      <c r="L1095" s="26">
        <v>0</v>
      </c>
    </row>
    <row r="1096" spans="1:12" ht="16" customHeight="1">
      <c r="A1096" t="s">
        <v>327</v>
      </c>
      <c r="B1096" t="s">
        <v>6</v>
      </c>
      <c r="C1096" t="s">
        <v>23</v>
      </c>
      <c r="D1096" s="24">
        <v>45962</v>
      </c>
      <c r="E1096" t="s">
        <v>236</v>
      </c>
      <c r="F1096" t="s">
        <v>4</v>
      </c>
      <c r="G1096" t="s">
        <v>217</v>
      </c>
      <c r="H1096" t="s">
        <v>217</v>
      </c>
      <c r="I1096" t="s">
        <v>307</v>
      </c>
      <c r="J1096" s="25">
        <v>5</v>
      </c>
      <c r="K1096" s="26">
        <v>1.01</v>
      </c>
      <c r="L1096" s="26">
        <v>0.03</v>
      </c>
    </row>
    <row r="1097" spans="1:12" ht="16" customHeight="1">
      <c r="A1097" t="s">
        <v>327</v>
      </c>
      <c r="B1097" t="s">
        <v>6</v>
      </c>
      <c r="C1097" t="s">
        <v>23</v>
      </c>
      <c r="D1097" s="24">
        <v>45962</v>
      </c>
      <c r="E1097" t="s">
        <v>238</v>
      </c>
      <c r="F1097" t="s">
        <v>4</v>
      </c>
      <c r="G1097" t="s">
        <v>217</v>
      </c>
      <c r="H1097" t="s">
        <v>217</v>
      </c>
      <c r="I1097" t="s">
        <v>308</v>
      </c>
      <c r="J1097" s="25">
        <v>0</v>
      </c>
      <c r="K1097" s="26">
        <v>0</v>
      </c>
      <c r="L1097" s="26">
        <v>0</v>
      </c>
    </row>
    <row r="1098" spans="1:12" ht="16" customHeight="1">
      <c r="A1098" t="s">
        <v>327</v>
      </c>
      <c r="B1098" t="s">
        <v>6</v>
      </c>
      <c r="C1098" t="s">
        <v>23</v>
      </c>
      <c r="D1098" s="24">
        <v>45962</v>
      </c>
      <c r="E1098" t="s">
        <v>240</v>
      </c>
      <c r="F1098" t="s">
        <v>3</v>
      </c>
      <c r="G1098" t="s">
        <v>241</v>
      </c>
      <c r="H1098" t="s">
        <v>241</v>
      </c>
      <c r="I1098" t="s">
        <v>309</v>
      </c>
      <c r="J1098" s="25">
        <v>0</v>
      </c>
      <c r="K1098" s="26">
        <v>0</v>
      </c>
      <c r="L1098" s="26">
        <v>0</v>
      </c>
    </row>
    <row r="1099" spans="1:12" ht="16" customHeight="1">
      <c r="A1099" t="s">
        <v>327</v>
      </c>
      <c r="B1099" t="s">
        <v>6</v>
      </c>
      <c r="C1099" t="s">
        <v>23</v>
      </c>
      <c r="D1099" s="24">
        <v>45962</v>
      </c>
      <c r="E1099" t="s">
        <v>243</v>
      </c>
      <c r="F1099" t="s">
        <v>4</v>
      </c>
      <c r="G1099" t="s">
        <v>217</v>
      </c>
      <c r="H1099" t="s">
        <v>217</v>
      </c>
      <c r="I1099" t="s">
        <v>310</v>
      </c>
      <c r="J1099" s="25">
        <v>0</v>
      </c>
      <c r="K1099" s="26">
        <v>0</v>
      </c>
      <c r="L1099" s="26">
        <v>0</v>
      </c>
    </row>
    <row r="1100" spans="1:12" ht="16" customHeight="1">
      <c r="A1100" t="s">
        <v>328</v>
      </c>
      <c r="B1100" t="s">
        <v>7</v>
      </c>
      <c r="C1100" t="s">
        <v>23</v>
      </c>
      <c r="D1100" s="24">
        <v>45962</v>
      </c>
      <c r="E1100" t="s">
        <v>291</v>
      </c>
      <c r="F1100" t="s">
        <v>4</v>
      </c>
      <c r="G1100" t="s">
        <v>211</v>
      </c>
      <c r="H1100" t="s">
        <v>211</v>
      </c>
      <c r="I1100" t="s">
        <v>219</v>
      </c>
      <c r="J1100" s="25">
        <v>77102046</v>
      </c>
      <c r="K1100" s="26">
        <v>15181540.09</v>
      </c>
      <c r="L1100" s="26">
        <v>35052.93</v>
      </c>
    </row>
    <row r="1101" spans="1:12" ht="16" customHeight="1">
      <c r="A1101" t="s">
        <v>328</v>
      </c>
      <c r="B1101" t="s">
        <v>7</v>
      </c>
      <c r="C1101" t="s">
        <v>23</v>
      </c>
      <c r="D1101" s="24">
        <v>45962</v>
      </c>
      <c r="E1101" t="s">
        <v>312</v>
      </c>
      <c r="F1101" t="s">
        <v>4</v>
      </c>
      <c r="G1101" t="s">
        <v>211</v>
      </c>
      <c r="H1101" t="s">
        <v>211</v>
      </c>
      <c r="I1101" t="s">
        <v>219</v>
      </c>
      <c r="J1101" s="25">
        <v>1979306</v>
      </c>
      <c r="K1101" s="26">
        <v>390931.02</v>
      </c>
      <c r="L1101" s="26">
        <v>1244.06</v>
      </c>
    </row>
    <row r="1102" spans="1:12" ht="16" customHeight="1">
      <c r="A1102" t="s">
        <v>328</v>
      </c>
      <c r="B1102" t="s">
        <v>7</v>
      </c>
      <c r="C1102" t="s">
        <v>23</v>
      </c>
      <c r="D1102" s="24">
        <v>45962</v>
      </c>
      <c r="E1102" t="s">
        <v>316</v>
      </c>
      <c r="F1102" t="s">
        <v>4</v>
      </c>
      <c r="G1102" t="s">
        <v>211</v>
      </c>
      <c r="H1102" t="s">
        <v>211</v>
      </c>
      <c r="I1102" t="s">
        <v>219</v>
      </c>
      <c r="J1102" s="25">
        <v>116529</v>
      </c>
      <c r="K1102" s="26">
        <v>23066.31</v>
      </c>
      <c r="L1102" s="26">
        <v>107.13</v>
      </c>
    </row>
    <row r="1103" spans="1:12" ht="16" customHeight="1">
      <c r="A1103" t="s">
        <v>328</v>
      </c>
      <c r="B1103" t="s">
        <v>7</v>
      </c>
      <c r="C1103" t="s">
        <v>23</v>
      </c>
      <c r="D1103" s="24">
        <v>45962</v>
      </c>
      <c r="E1103" t="s">
        <v>321</v>
      </c>
      <c r="F1103" t="s">
        <v>4</v>
      </c>
      <c r="G1103" t="s">
        <v>211</v>
      </c>
      <c r="H1103" t="s">
        <v>211</v>
      </c>
      <c r="I1103" t="s">
        <v>219</v>
      </c>
      <c r="J1103" s="25">
        <v>17610</v>
      </c>
      <c r="K1103" s="26">
        <v>3478.92</v>
      </c>
      <c r="L1103" s="26">
        <v>15.11</v>
      </c>
    </row>
    <row r="1104" spans="1:12" ht="16" customHeight="1">
      <c r="A1104" t="s">
        <v>328</v>
      </c>
      <c r="B1104" t="s">
        <v>7</v>
      </c>
      <c r="C1104" t="s">
        <v>23</v>
      </c>
      <c r="D1104" s="24">
        <v>45962</v>
      </c>
      <c r="E1104" t="s">
        <v>222</v>
      </c>
      <c r="F1104" t="s">
        <v>4</v>
      </c>
      <c r="G1104" t="s">
        <v>217</v>
      </c>
      <c r="H1104" t="s">
        <v>217</v>
      </c>
      <c r="I1104" t="s">
        <v>219</v>
      </c>
      <c r="J1104" s="25">
        <v>835820</v>
      </c>
      <c r="K1104" s="26">
        <v>163611.87</v>
      </c>
      <c r="L1104" s="26">
        <v>1068.27</v>
      </c>
    </row>
    <row r="1105" spans="1:12" ht="16" customHeight="1">
      <c r="A1105" t="s">
        <v>328</v>
      </c>
      <c r="B1105" t="s">
        <v>7</v>
      </c>
      <c r="C1105" t="s">
        <v>23</v>
      </c>
      <c r="D1105" s="24">
        <v>45962</v>
      </c>
      <c r="E1105" t="s">
        <v>296</v>
      </c>
      <c r="F1105" t="s">
        <v>4</v>
      </c>
      <c r="G1105" t="s">
        <v>217</v>
      </c>
      <c r="H1105" t="s">
        <v>217</v>
      </c>
      <c r="I1105" t="s">
        <v>221</v>
      </c>
      <c r="J1105" s="25">
        <v>59376</v>
      </c>
      <c r="K1105" s="26">
        <v>10166.879999999999</v>
      </c>
      <c r="L1105" s="26">
        <v>97.39</v>
      </c>
    </row>
    <row r="1106" spans="1:12" ht="16" customHeight="1">
      <c r="A1106" t="s">
        <v>328</v>
      </c>
      <c r="B1106" t="s">
        <v>7</v>
      </c>
      <c r="C1106" t="s">
        <v>23</v>
      </c>
      <c r="D1106" s="24">
        <v>45962</v>
      </c>
      <c r="E1106" t="s">
        <v>326</v>
      </c>
      <c r="F1106" t="s">
        <v>4</v>
      </c>
      <c r="G1106" t="s">
        <v>217</v>
      </c>
      <c r="H1106" t="s">
        <v>217</v>
      </c>
      <c r="I1106" t="s">
        <v>223</v>
      </c>
      <c r="J1106" s="25">
        <v>9533</v>
      </c>
      <c r="K1106" s="26">
        <v>1619.55</v>
      </c>
      <c r="L1106" s="26">
        <v>15.47</v>
      </c>
    </row>
    <row r="1107" spans="1:12" ht="16" customHeight="1">
      <c r="A1107" t="s">
        <v>328</v>
      </c>
      <c r="B1107" t="s">
        <v>7</v>
      </c>
      <c r="C1107" t="s">
        <v>23</v>
      </c>
      <c r="D1107" s="24">
        <v>45962</v>
      </c>
      <c r="E1107" t="s">
        <v>224</v>
      </c>
      <c r="F1107" t="s">
        <v>4</v>
      </c>
      <c r="G1107" t="s">
        <v>217</v>
      </c>
      <c r="H1107" t="s">
        <v>217</v>
      </c>
      <c r="I1107" t="s">
        <v>300</v>
      </c>
      <c r="J1107" s="25">
        <v>18808</v>
      </c>
      <c r="K1107" s="26">
        <v>3746.49</v>
      </c>
      <c r="L1107" s="26">
        <v>61.12</v>
      </c>
    </row>
    <row r="1108" spans="1:12" ht="16" customHeight="1">
      <c r="A1108" t="s">
        <v>328</v>
      </c>
      <c r="B1108" t="s">
        <v>7</v>
      </c>
      <c r="C1108" t="s">
        <v>23</v>
      </c>
      <c r="D1108" s="24">
        <v>45962</v>
      </c>
      <c r="E1108" t="s">
        <v>226</v>
      </c>
      <c r="F1108" t="s">
        <v>4</v>
      </c>
      <c r="G1108" t="s">
        <v>217</v>
      </c>
      <c r="H1108" t="s">
        <v>217</v>
      </c>
      <c r="I1108" t="s">
        <v>301</v>
      </c>
      <c r="J1108" s="25">
        <v>10106</v>
      </c>
      <c r="K1108" s="26">
        <v>1967.16</v>
      </c>
      <c r="L1108" s="26">
        <v>30.98</v>
      </c>
    </row>
    <row r="1109" spans="1:12" ht="16" customHeight="1">
      <c r="A1109" t="s">
        <v>328</v>
      </c>
      <c r="B1109" t="s">
        <v>7</v>
      </c>
      <c r="C1109" t="s">
        <v>23</v>
      </c>
      <c r="D1109" s="24">
        <v>45962</v>
      </c>
      <c r="E1109" t="s">
        <v>269</v>
      </c>
      <c r="F1109" t="s">
        <v>4</v>
      </c>
      <c r="G1109" t="s">
        <v>217</v>
      </c>
      <c r="H1109" t="s">
        <v>217</v>
      </c>
      <c r="I1109" t="s">
        <v>302</v>
      </c>
      <c r="J1109" s="25">
        <v>54</v>
      </c>
      <c r="K1109" s="26">
        <v>10.29</v>
      </c>
      <c r="L1109" s="26">
        <v>0.15</v>
      </c>
    </row>
    <row r="1110" spans="1:12" ht="16" customHeight="1">
      <c r="A1110" t="s">
        <v>328</v>
      </c>
      <c r="B1110" t="s">
        <v>7</v>
      </c>
      <c r="C1110" t="s">
        <v>23</v>
      </c>
      <c r="D1110" s="24">
        <v>45962</v>
      </c>
      <c r="E1110" t="s">
        <v>228</v>
      </c>
      <c r="F1110" t="s">
        <v>4</v>
      </c>
      <c r="G1110" t="s">
        <v>217</v>
      </c>
      <c r="H1110" t="s">
        <v>217</v>
      </c>
      <c r="I1110" t="s">
        <v>303</v>
      </c>
      <c r="J1110" s="25">
        <v>4893</v>
      </c>
      <c r="K1110" s="26">
        <v>909.89</v>
      </c>
      <c r="L1110" s="26">
        <v>18.22</v>
      </c>
    </row>
    <row r="1111" spans="1:12" ht="16" customHeight="1">
      <c r="A1111" t="s">
        <v>328</v>
      </c>
      <c r="B1111" t="s">
        <v>7</v>
      </c>
      <c r="C1111" t="s">
        <v>23</v>
      </c>
      <c r="D1111" s="24">
        <v>45962</v>
      </c>
      <c r="E1111" t="s">
        <v>230</v>
      </c>
      <c r="F1111" t="s">
        <v>4</v>
      </c>
      <c r="G1111" t="s">
        <v>217</v>
      </c>
      <c r="H1111" t="s">
        <v>217</v>
      </c>
      <c r="I1111" t="s">
        <v>304</v>
      </c>
      <c r="J1111" s="25">
        <v>1</v>
      </c>
      <c r="K1111" s="26">
        <v>0.21</v>
      </c>
      <c r="L1111" s="26">
        <v>0.03</v>
      </c>
    </row>
    <row r="1112" spans="1:12" ht="16" customHeight="1">
      <c r="A1112" t="s">
        <v>328</v>
      </c>
      <c r="B1112" t="s">
        <v>7</v>
      </c>
      <c r="C1112" t="s">
        <v>23</v>
      </c>
      <c r="D1112" s="24">
        <v>45962</v>
      </c>
      <c r="E1112" t="s">
        <v>232</v>
      </c>
      <c r="F1112" t="s">
        <v>4</v>
      </c>
      <c r="G1112" t="s">
        <v>217</v>
      </c>
      <c r="H1112" t="s">
        <v>217</v>
      </c>
      <c r="I1112" t="s">
        <v>305</v>
      </c>
      <c r="J1112" s="25">
        <v>4</v>
      </c>
      <c r="K1112" s="26">
        <v>0.8</v>
      </c>
      <c r="L1112" s="26">
        <v>0.02</v>
      </c>
    </row>
    <row r="1113" spans="1:12" ht="16" customHeight="1">
      <c r="A1113" t="s">
        <v>328</v>
      </c>
      <c r="B1113" t="s">
        <v>7</v>
      </c>
      <c r="C1113" t="s">
        <v>23</v>
      </c>
      <c r="D1113" s="24">
        <v>45962</v>
      </c>
      <c r="E1113" t="s">
        <v>234</v>
      </c>
      <c r="F1113" t="s">
        <v>4</v>
      </c>
      <c r="G1113" t="s">
        <v>217</v>
      </c>
      <c r="H1113" t="s">
        <v>217</v>
      </c>
      <c r="I1113" t="s">
        <v>306</v>
      </c>
      <c r="J1113" s="25">
        <v>0</v>
      </c>
      <c r="K1113" s="26">
        <v>0</v>
      </c>
      <c r="L1113" s="26">
        <v>0</v>
      </c>
    </row>
    <row r="1114" spans="1:12" ht="16" customHeight="1">
      <c r="A1114" t="s">
        <v>328</v>
      </c>
      <c r="B1114" t="s">
        <v>7</v>
      </c>
      <c r="C1114" t="s">
        <v>23</v>
      </c>
      <c r="D1114" s="24">
        <v>45962</v>
      </c>
      <c r="E1114" t="s">
        <v>236</v>
      </c>
      <c r="F1114" t="s">
        <v>4</v>
      </c>
      <c r="G1114" t="s">
        <v>217</v>
      </c>
      <c r="H1114" t="s">
        <v>217</v>
      </c>
      <c r="I1114" t="s">
        <v>307</v>
      </c>
      <c r="J1114" s="25">
        <v>4</v>
      </c>
      <c r="K1114" s="26">
        <v>0.81</v>
      </c>
      <c r="L1114" s="26">
        <v>0.03</v>
      </c>
    </row>
    <row r="1115" spans="1:12" ht="16" customHeight="1">
      <c r="A1115" t="s">
        <v>328</v>
      </c>
      <c r="B1115" t="s">
        <v>7</v>
      </c>
      <c r="C1115" t="s">
        <v>23</v>
      </c>
      <c r="D1115" s="24">
        <v>45962</v>
      </c>
      <c r="E1115" t="s">
        <v>238</v>
      </c>
      <c r="F1115" t="s">
        <v>4</v>
      </c>
      <c r="G1115" t="s">
        <v>217</v>
      </c>
      <c r="H1115" t="s">
        <v>217</v>
      </c>
      <c r="I1115" t="s">
        <v>308</v>
      </c>
      <c r="J1115" s="25">
        <v>0</v>
      </c>
      <c r="K1115" s="26">
        <v>0</v>
      </c>
      <c r="L1115" s="26">
        <v>0</v>
      </c>
    </row>
    <row r="1116" spans="1:12" ht="16" customHeight="1">
      <c r="A1116" t="s">
        <v>328</v>
      </c>
      <c r="B1116" t="s">
        <v>7</v>
      </c>
      <c r="C1116" t="s">
        <v>23</v>
      </c>
      <c r="D1116" s="24">
        <v>45962</v>
      </c>
      <c r="E1116" t="s">
        <v>240</v>
      </c>
      <c r="F1116" t="s">
        <v>3</v>
      </c>
      <c r="G1116" t="s">
        <v>241</v>
      </c>
      <c r="H1116" t="s">
        <v>241</v>
      </c>
      <c r="I1116" t="s">
        <v>309</v>
      </c>
      <c r="J1116" s="25">
        <v>0</v>
      </c>
      <c r="K1116" s="26">
        <v>0</v>
      </c>
      <c r="L1116" s="26">
        <v>0</v>
      </c>
    </row>
    <row r="1117" spans="1:12" ht="16" customHeight="1">
      <c r="A1117" t="s">
        <v>328</v>
      </c>
      <c r="B1117" t="s">
        <v>7</v>
      </c>
      <c r="C1117" t="s">
        <v>23</v>
      </c>
      <c r="D1117" s="24">
        <v>45962</v>
      </c>
      <c r="E1117" t="s">
        <v>243</v>
      </c>
      <c r="F1117" t="s">
        <v>4</v>
      </c>
      <c r="G1117" t="s">
        <v>217</v>
      </c>
      <c r="H1117" t="s">
        <v>217</v>
      </c>
      <c r="I1117" t="s">
        <v>310</v>
      </c>
      <c r="J1117" s="25">
        <v>0</v>
      </c>
      <c r="K1117" s="26">
        <v>0</v>
      </c>
      <c r="L1117" s="26">
        <v>0</v>
      </c>
    </row>
    <row r="1118" spans="1:12" ht="16" customHeight="1">
      <c r="A1118" t="s">
        <v>329</v>
      </c>
      <c r="B1118" t="s">
        <v>3</v>
      </c>
      <c r="C1118" t="s">
        <v>25</v>
      </c>
      <c r="D1118" s="24">
        <v>45992</v>
      </c>
      <c r="E1118" t="s">
        <v>291</v>
      </c>
      <c r="F1118" t="s">
        <v>4</v>
      </c>
      <c r="G1118" t="s">
        <v>211</v>
      </c>
      <c r="H1118" t="s">
        <v>211</v>
      </c>
      <c r="I1118" t="s">
        <v>212</v>
      </c>
      <c r="J1118" s="25">
        <v>129196931</v>
      </c>
      <c r="K1118" s="26">
        <v>25436857.710000001</v>
      </c>
      <c r="L1118" s="26">
        <v>43618.86</v>
      </c>
    </row>
    <row r="1119" spans="1:12" ht="16" customHeight="1">
      <c r="A1119" t="s">
        <v>329</v>
      </c>
      <c r="B1119" t="s">
        <v>3</v>
      </c>
      <c r="C1119" t="s">
        <v>25</v>
      </c>
      <c r="D1119" s="24">
        <v>45992</v>
      </c>
      <c r="E1119" t="s">
        <v>312</v>
      </c>
      <c r="F1119" t="s">
        <v>4</v>
      </c>
      <c r="G1119" t="s">
        <v>211</v>
      </c>
      <c r="H1119" t="s">
        <v>211</v>
      </c>
      <c r="I1119" t="s">
        <v>212</v>
      </c>
      <c r="J1119" s="25">
        <v>4831528</v>
      </c>
      <c r="K1119" s="26">
        <v>953590.52</v>
      </c>
      <c r="L1119" s="26">
        <v>2931.09</v>
      </c>
    </row>
    <row r="1120" spans="1:12" ht="16" customHeight="1">
      <c r="A1120" t="s">
        <v>329</v>
      </c>
      <c r="B1120" t="s">
        <v>3</v>
      </c>
      <c r="C1120" t="s">
        <v>25</v>
      </c>
      <c r="D1120" s="24">
        <v>45992</v>
      </c>
      <c r="E1120" t="s">
        <v>316</v>
      </c>
      <c r="F1120" t="s">
        <v>4</v>
      </c>
      <c r="G1120" t="s">
        <v>211</v>
      </c>
      <c r="H1120" t="s">
        <v>211</v>
      </c>
      <c r="I1120" t="s">
        <v>212</v>
      </c>
      <c r="J1120" s="25">
        <v>302747</v>
      </c>
      <c r="K1120" s="26">
        <v>59954.91</v>
      </c>
      <c r="L1120" s="26">
        <v>254.93</v>
      </c>
    </row>
    <row r="1121" spans="1:12" ht="16" customHeight="1">
      <c r="A1121" t="s">
        <v>329</v>
      </c>
      <c r="B1121" t="s">
        <v>3</v>
      </c>
      <c r="C1121" t="s">
        <v>25</v>
      </c>
      <c r="D1121" s="24">
        <v>45992</v>
      </c>
      <c r="E1121" t="s">
        <v>321</v>
      </c>
      <c r="F1121" t="s">
        <v>4</v>
      </c>
      <c r="G1121" t="s">
        <v>211</v>
      </c>
      <c r="H1121" t="s">
        <v>211</v>
      </c>
      <c r="I1121" t="s">
        <v>212</v>
      </c>
      <c r="J1121" s="25">
        <v>30125</v>
      </c>
      <c r="K1121" s="26">
        <v>5958.18</v>
      </c>
      <c r="L1121" s="26">
        <v>26.84</v>
      </c>
    </row>
    <row r="1122" spans="1:12" ht="16" customHeight="1">
      <c r="A1122" t="s">
        <v>329</v>
      </c>
      <c r="B1122" t="s">
        <v>3</v>
      </c>
      <c r="C1122" t="s">
        <v>25</v>
      </c>
      <c r="D1122" s="24">
        <v>45992</v>
      </c>
      <c r="E1122" t="s">
        <v>222</v>
      </c>
      <c r="F1122" t="s">
        <v>4</v>
      </c>
      <c r="G1122" t="s">
        <v>217</v>
      </c>
      <c r="H1122" t="s">
        <v>217</v>
      </c>
      <c r="I1122" t="s">
        <v>212</v>
      </c>
      <c r="J1122" s="25">
        <v>1096531</v>
      </c>
      <c r="K1122" s="26">
        <v>215903.02</v>
      </c>
      <c r="L1122" s="26">
        <v>1462.69</v>
      </c>
    </row>
    <row r="1123" spans="1:12" ht="16" customHeight="1">
      <c r="A1123" t="s">
        <v>329</v>
      </c>
      <c r="B1123" t="s">
        <v>3</v>
      </c>
      <c r="C1123" t="s">
        <v>25</v>
      </c>
      <c r="D1123" s="24">
        <v>45992</v>
      </c>
      <c r="E1123" t="s">
        <v>296</v>
      </c>
      <c r="F1123" t="s">
        <v>4</v>
      </c>
      <c r="G1123" t="s">
        <v>217</v>
      </c>
      <c r="H1123" t="s">
        <v>217</v>
      </c>
      <c r="I1123" t="s">
        <v>219</v>
      </c>
      <c r="J1123" s="25">
        <v>80007</v>
      </c>
      <c r="K1123" s="26">
        <v>13679.69</v>
      </c>
      <c r="L1123" s="26">
        <v>126.94</v>
      </c>
    </row>
    <row r="1124" spans="1:12" ht="16" customHeight="1">
      <c r="A1124" t="s">
        <v>329</v>
      </c>
      <c r="B1124" t="s">
        <v>3</v>
      </c>
      <c r="C1124" t="s">
        <v>25</v>
      </c>
      <c r="D1124" s="24">
        <v>45992</v>
      </c>
      <c r="E1124" t="s">
        <v>326</v>
      </c>
      <c r="F1124" t="s">
        <v>4</v>
      </c>
      <c r="G1124" t="s">
        <v>217</v>
      </c>
      <c r="H1124" t="s">
        <v>217</v>
      </c>
      <c r="I1124" t="s">
        <v>221</v>
      </c>
      <c r="J1124" s="25">
        <v>15249</v>
      </c>
      <c r="K1124" s="26">
        <v>2572.2399999999998</v>
      </c>
      <c r="L1124" s="26">
        <v>24.59</v>
      </c>
    </row>
    <row r="1125" spans="1:12" ht="16" customHeight="1">
      <c r="A1125" t="s">
        <v>329</v>
      </c>
      <c r="B1125" t="s">
        <v>3</v>
      </c>
      <c r="C1125" t="s">
        <v>25</v>
      </c>
      <c r="D1125" s="24">
        <v>45992</v>
      </c>
      <c r="E1125" t="s">
        <v>224</v>
      </c>
      <c r="F1125" t="s">
        <v>4</v>
      </c>
      <c r="G1125" t="s">
        <v>217</v>
      </c>
      <c r="H1125" t="s">
        <v>217</v>
      </c>
      <c r="I1125" t="s">
        <v>223</v>
      </c>
      <c r="J1125" s="25">
        <v>29194</v>
      </c>
      <c r="K1125" s="26">
        <v>5734.15</v>
      </c>
      <c r="L1125" s="26">
        <v>75.150000000000006</v>
      </c>
    </row>
    <row r="1126" spans="1:12" ht="16" customHeight="1">
      <c r="A1126" t="s">
        <v>329</v>
      </c>
      <c r="B1126" t="s">
        <v>3</v>
      </c>
      <c r="C1126" t="s">
        <v>25</v>
      </c>
      <c r="D1126" s="24">
        <v>45992</v>
      </c>
      <c r="E1126" t="s">
        <v>226</v>
      </c>
      <c r="F1126" t="s">
        <v>4</v>
      </c>
      <c r="G1126" t="s">
        <v>217</v>
      </c>
      <c r="H1126" t="s">
        <v>217</v>
      </c>
      <c r="I1126" t="s">
        <v>225</v>
      </c>
      <c r="J1126" s="25">
        <v>5278</v>
      </c>
      <c r="K1126" s="26">
        <v>1056.97</v>
      </c>
      <c r="L1126" s="26">
        <v>20.7</v>
      </c>
    </row>
    <row r="1127" spans="1:12" ht="16" customHeight="1">
      <c r="A1127" t="s">
        <v>329</v>
      </c>
      <c r="B1127" t="s">
        <v>3</v>
      </c>
      <c r="C1127" t="s">
        <v>25</v>
      </c>
      <c r="D1127" s="24">
        <v>45992</v>
      </c>
      <c r="E1127" t="s">
        <v>269</v>
      </c>
      <c r="F1127" t="s">
        <v>4</v>
      </c>
      <c r="G1127" t="s">
        <v>217</v>
      </c>
      <c r="H1127" t="s">
        <v>217</v>
      </c>
      <c r="I1127" t="s">
        <v>227</v>
      </c>
      <c r="J1127" s="25">
        <v>42</v>
      </c>
      <c r="K1127" s="26">
        <v>7.93</v>
      </c>
      <c r="L1127" s="26">
        <v>0.11</v>
      </c>
    </row>
    <row r="1128" spans="1:12" ht="16" customHeight="1">
      <c r="A1128" t="s">
        <v>329</v>
      </c>
      <c r="B1128" t="s">
        <v>3</v>
      </c>
      <c r="C1128" t="s">
        <v>25</v>
      </c>
      <c r="D1128" s="24">
        <v>45992</v>
      </c>
      <c r="E1128" t="s">
        <v>228</v>
      </c>
      <c r="F1128" t="s">
        <v>4</v>
      </c>
      <c r="G1128" t="s">
        <v>217</v>
      </c>
      <c r="H1128" t="s">
        <v>217</v>
      </c>
      <c r="I1128" t="s">
        <v>330</v>
      </c>
      <c r="J1128" s="25">
        <v>2868</v>
      </c>
      <c r="K1128" s="26">
        <v>595.13</v>
      </c>
      <c r="L1128" s="26">
        <v>20.260000000000002</v>
      </c>
    </row>
    <row r="1129" spans="1:12" ht="16" customHeight="1">
      <c r="A1129" t="s">
        <v>329</v>
      </c>
      <c r="B1129" t="s">
        <v>3</v>
      </c>
      <c r="C1129" t="s">
        <v>25</v>
      </c>
      <c r="D1129" s="24">
        <v>45992</v>
      </c>
      <c r="E1129" t="s">
        <v>230</v>
      </c>
      <c r="F1129" t="s">
        <v>4</v>
      </c>
      <c r="G1129" t="s">
        <v>217</v>
      </c>
      <c r="H1129" t="s">
        <v>217</v>
      </c>
      <c r="I1129" t="s">
        <v>331</v>
      </c>
      <c r="J1129" s="25">
        <v>1</v>
      </c>
      <c r="K1129" s="26">
        <v>0.22</v>
      </c>
      <c r="L1129" s="26">
        <v>0.04</v>
      </c>
    </row>
    <row r="1130" spans="1:12" ht="16" customHeight="1">
      <c r="A1130" t="s">
        <v>329</v>
      </c>
      <c r="B1130" t="s">
        <v>3</v>
      </c>
      <c r="C1130" t="s">
        <v>25</v>
      </c>
      <c r="D1130" s="24">
        <v>45992</v>
      </c>
      <c r="E1130" t="s">
        <v>232</v>
      </c>
      <c r="F1130" t="s">
        <v>4</v>
      </c>
      <c r="G1130" t="s">
        <v>217</v>
      </c>
      <c r="H1130" t="s">
        <v>217</v>
      </c>
      <c r="I1130" t="s">
        <v>332</v>
      </c>
      <c r="J1130" s="25">
        <v>12</v>
      </c>
      <c r="K1130" s="26">
        <v>2.58</v>
      </c>
      <c r="L1130" s="26">
        <v>0.24</v>
      </c>
    </row>
    <row r="1131" spans="1:12" ht="16" customHeight="1">
      <c r="A1131" t="s">
        <v>329</v>
      </c>
      <c r="B1131" t="s">
        <v>3</v>
      </c>
      <c r="C1131" t="s">
        <v>25</v>
      </c>
      <c r="D1131" s="24">
        <v>45992</v>
      </c>
      <c r="E1131" t="s">
        <v>234</v>
      </c>
      <c r="F1131" t="s">
        <v>4</v>
      </c>
      <c r="G1131" t="s">
        <v>217</v>
      </c>
      <c r="H1131" t="s">
        <v>217</v>
      </c>
      <c r="I1131" t="s">
        <v>333</v>
      </c>
      <c r="J1131" s="25">
        <v>0</v>
      </c>
      <c r="K1131" s="26">
        <v>0</v>
      </c>
      <c r="L1131" s="26">
        <v>0</v>
      </c>
    </row>
    <row r="1132" spans="1:12" ht="16" customHeight="1">
      <c r="A1132" t="s">
        <v>329</v>
      </c>
      <c r="B1132" t="s">
        <v>3</v>
      </c>
      <c r="C1132" t="s">
        <v>25</v>
      </c>
      <c r="D1132" s="24">
        <v>45992</v>
      </c>
      <c r="E1132" t="s">
        <v>236</v>
      </c>
      <c r="F1132" t="s">
        <v>4</v>
      </c>
      <c r="G1132" t="s">
        <v>217</v>
      </c>
      <c r="H1132" t="s">
        <v>217</v>
      </c>
      <c r="I1132" t="s">
        <v>334</v>
      </c>
      <c r="J1132" s="25">
        <v>3</v>
      </c>
      <c r="K1132" s="26">
        <v>0.61</v>
      </c>
      <c r="L1132" s="26">
        <v>0.02</v>
      </c>
    </row>
    <row r="1133" spans="1:12" ht="16" customHeight="1">
      <c r="A1133" t="s">
        <v>329</v>
      </c>
      <c r="B1133" t="s">
        <v>3</v>
      </c>
      <c r="C1133" t="s">
        <v>25</v>
      </c>
      <c r="D1133" s="24">
        <v>45992</v>
      </c>
      <c r="E1133" t="s">
        <v>238</v>
      </c>
      <c r="F1133" t="s">
        <v>4</v>
      </c>
      <c r="G1133" t="s">
        <v>217</v>
      </c>
      <c r="H1133" t="s">
        <v>217</v>
      </c>
      <c r="I1133" t="s">
        <v>335</v>
      </c>
      <c r="J1133" s="25">
        <v>0</v>
      </c>
      <c r="K1133" s="26">
        <v>0</v>
      </c>
      <c r="L1133" s="26">
        <v>0</v>
      </c>
    </row>
    <row r="1134" spans="1:12" ht="16" customHeight="1">
      <c r="A1134" t="s">
        <v>329</v>
      </c>
      <c r="B1134" t="s">
        <v>3</v>
      </c>
      <c r="C1134" t="s">
        <v>25</v>
      </c>
      <c r="D1134" s="24">
        <v>45992</v>
      </c>
      <c r="E1134" t="s">
        <v>240</v>
      </c>
      <c r="F1134" t="s">
        <v>3</v>
      </c>
      <c r="G1134" t="s">
        <v>241</v>
      </c>
      <c r="H1134" t="s">
        <v>241</v>
      </c>
      <c r="I1134" t="s">
        <v>336</v>
      </c>
      <c r="J1134" s="25">
        <v>0</v>
      </c>
      <c r="K1134" s="26">
        <v>0</v>
      </c>
      <c r="L1134" s="26">
        <v>0</v>
      </c>
    </row>
    <row r="1135" spans="1:12" ht="16" customHeight="1">
      <c r="A1135" t="s">
        <v>329</v>
      </c>
      <c r="B1135" t="s">
        <v>3</v>
      </c>
      <c r="C1135" t="s">
        <v>25</v>
      </c>
      <c r="D1135" s="24">
        <v>45992</v>
      </c>
      <c r="E1135" t="s">
        <v>243</v>
      </c>
      <c r="F1135" t="s">
        <v>4</v>
      </c>
      <c r="G1135" t="s">
        <v>217</v>
      </c>
      <c r="H1135" t="s">
        <v>217</v>
      </c>
      <c r="I1135" t="s">
        <v>337</v>
      </c>
      <c r="J1135" s="25">
        <v>0</v>
      </c>
      <c r="K1135" s="26">
        <v>0</v>
      </c>
      <c r="L1135" s="26">
        <v>0</v>
      </c>
    </row>
    <row r="1136" spans="1:12" ht="16" customHeight="1">
      <c r="A1136" t="s">
        <v>291</v>
      </c>
      <c r="B1136" t="s">
        <v>4</v>
      </c>
      <c r="C1136" t="s">
        <v>25</v>
      </c>
      <c r="D1136" s="24">
        <v>45992</v>
      </c>
      <c r="E1136" t="s">
        <v>291</v>
      </c>
      <c r="F1136" t="s">
        <v>4</v>
      </c>
      <c r="G1136" t="s">
        <v>211</v>
      </c>
      <c r="H1136" t="s">
        <v>211</v>
      </c>
      <c r="I1136" t="s">
        <v>212</v>
      </c>
      <c r="J1136" s="25">
        <v>275149286</v>
      </c>
      <c r="K1136" s="26">
        <v>53883027.560000002</v>
      </c>
      <c r="L1136" s="26">
        <v>48333.94</v>
      </c>
    </row>
    <row r="1137" spans="1:12" ht="16" customHeight="1">
      <c r="A1137" t="s">
        <v>291</v>
      </c>
      <c r="B1137" t="s">
        <v>4</v>
      </c>
      <c r="C1137" t="s">
        <v>25</v>
      </c>
      <c r="D1137" s="24">
        <v>45992</v>
      </c>
      <c r="E1137" t="s">
        <v>312</v>
      </c>
      <c r="F1137" t="s">
        <v>4</v>
      </c>
      <c r="G1137" t="s">
        <v>211</v>
      </c>
      <c r="H1137" t="s">
        <v>211</v>
      </c>
      <c r="I1137" t="s">
        <v>212</v>
      </c>
      <c r="J1137" s="25">
        <v>9411796</v>
      </c>
      <c r="K1137" s="26">
        <v>1855949.53</v>
      </c>
      <c r="L1137" s="26">
        <v>5201.17</v>
      </c>
    </row>
    <row r="1138" spans="1:12" ht="16" customHeight="1">
      <c r="A1138" t="s">
        <v>291</v>
      </c>
      <c r="B1138" t="s">
        <v>4</v>
      </c>
      <c r="C1138" t="s">
        <v>25</v>
      </c>
      <c r="D1138" s="24">
        <v>45992</v>
      </c>
      <c r="E1138" t="s">
        <v>316</v>
      </c>
      <c r="F1138" t="s">
        <v>4</v>
      </c>
      <c r="G1138" t="s">
        <v>211</v>
      </c>
      <c r="H1138" t="s">
        <v>211</v>
      </c>
      <c r="I1138" t="s">
        <v>212</v>
      </c>
      <c r="J1138" s="25">
        <v>412929</v>
      </c>
      <c r="K1138" s="26">
        <v>81627.789999999994</v>
      </c>
      <c r="L1138" s="26">
        <v>324.24</v>
      </c>
    </row>
    <row r="1139" spans="1:12" ht="16" customHeight="1">
      <c r="A1139" t="s">
        <v>291</v>
      </c>
      <c r="B1139" t="s">
        <v>4</v>
      </c>
      <c r="C1139" t="s">
        <v>25</v>
      </c>
      <c r="D1139" s="24">
        <v>45992</v>
      </c>
      <c r="E1139" t="s">
        <v>321</v>
      </c>
      <c r="F1139" t="s">
        <v>4</v>
      </c>
      <c r="G1139" t="s">
        <v>211</v>
      </c>
      <c r="H1139" t="s">
        <v>211</v>
      </c>
      <c r="I1139" t="s">
        <v>212</v>
      </c>
      <c r="J1139" s="25">
        <v>35666</v>
      </c>
      <c r="K1139" s="26">
        <v>7064.11</v>
      </c>
      <c r="L1139" s="26">
        <v>36.979999999999997</v>
      </c>
    </row>
    <row r="1140" spans="1:12" ht="16" customHeight="1">
      <c r="A1140" t="s">
        <v>291</v>
      </c>
      <c r="B1140" t="s">
        <v>4</v>
      </c>
      <c r="C1140" t="s">
        <v>25</v>
      </c>
      <c r="D1140" s="24">
        <v>45992</v>
      </c>
      <c r="E1140" t="s">
        <v>222</v>
      </c>
      <c r="F1140" t="s">
        <v>4</v>
      </c>
      <c r="G1140" t="s">
        <v>217</v>
      </c>
      <c r="H1140" t="s">
        <v>217</v>
      </c>
      <c r="I1140" t="s">
        <v>212</v>
      </c>
      <c r="J1140" s="25">
        <v>1163052</v>
      </c>
      <c r="K1140" s="26">
        <v>229646.62</v>
      </c>
      <c r="L1140" s="26">
        <v>1543.22</v>
      </c>
    </row>
    <row r="1141" spans="1:12" ht="16" customHeight="1">
      <c r="A1141" t="s">
        <v>291</v>
      </c>
      <c r="B1141" t="s">
        <v>4</v>
      </c>
      <c r="C1141" t="s">
        <v>25</v>
      </c>
      <c r="D1141" s="24">
        <v>45992</v>
      </c>
      <c r="E1141" t="s">
        <v>296</v>
      </c>
      <c r="F1141" t="s">
        <v>4</v>
      </c>
      <c r="G1141" t="s">
        <v>217</v>
      </c>
      <c r="H1141" t="s">
        <v>217</v>
      </c>
      <c r="I1141" t="s">
        <v>219</v>
      </c>
      <c r="J1141" s="25">
        <v>83168</v>
      </c>
      <c r="K1141" s="26">
        <v>14359.53</v>
      </c>
      <c r="L1141" s="26">
        <v>127.41</v>
      </c>
    </row>
    <row r="1142" spans="1:12" ht="16" customHeight="1">
      <c r="A1142" t="s">
        <v>291</v>
      </c>
      <c r="B1142" t="s">
        <v>4</v>
      </c>
      <c r="C1142" t="s">
        <v>25</v>
      </c>
      <c r="D1142" s="24">
        <v>45992</v>
      </c>
      <c r="E1142" t="s">
        <v>326</v>
      </c>
      <c r="F1142" t="s">
        <v>4</v>
      </c>
      <c r="G1142" t="s">
        <v>217</v>
      </c>
      <c r="H1142" t="s">
        <v>217</v>
      </c>
      <c r="I1142" t="s">
        <v>221</v>
      </c>
      <c r="J1142" s="25">
        <v>15653</v>
      </c>
      <c r="K1142" s="26">
        <v>2672.78</v>
      </c>
      <c r="L1142" s="26">
        <v>30.13</v>
      </c>
    </row>
    <row r="1143" spans="1:12" ht="16" customHeight="1">
      <c r="A1143" t="s">
        <v>291</v>
      </c>
      <c r="B1143" t="s">
        <v>4</v>
      </c>
      <c r="C1143" t="s">
        <v>25</v>
      </c>
      <c r="D1143" s="24">
        <v>45992</v>
      </c>
      <c r="E1143" t="s">
        <v>224</v>
      </c>
      <c r="F1143" t="s">
        <v>4</v>
      </c>
      <c r="G1143" t="s">
        <v>217</v>
      </c>
      <c r="H1143" t="s">
        <v>217</v>
      </c>
      <c r="I1143" t="s">
        <v>223</v>
      </c>
      <c r="J1143" s="25">
        <v>21426</v>
      </c>
      <c r="K1143" s="26">
        <v>4249.0200000000004</v>
      </c>
      <c r="L1143" s="26">
        <v>68.22</v>
      </c>
    </row>
    <row r="1144" spans="1:12" ht="16" customHeight="1">
      <c r="A1144" t="s">
        <v>291</v>
      </c>
      <c r="B1144" t="s">
        <v>4</v>
      </c>
      <c r="C1144" t="s">
        <v>25</v>
      </c>
      <c r="D1144" s="24">
        <v>45992</v>
      </c>
      <c r="E1144" t="s">
        <v>226</v>
      </c>
      <c r="F1144" t="s">
        <v>4</v>
      </c>
      <c r="G1144" t="s">
        <v>217</v>
      </c>
      <c r="H1144" t="s">
        <v>217</v>
      </c>
      <c r="I1144" t="s">
        <v>225</v>
      </c>
      <c r="J1144" s="25">
        <v>10393</v>
      </c>
      <c r="K1144" s="26">
        <v>2114.6999999999998</v>
      </c>
      <c r="L1144" s="26">
        <v>33.31</v>
      </c>
    </row>
    <row r="1145" spans="1:12" ht="16" customHeight="1">
      <c r="A1145" t="s">
        <v>291</v>
      </c>
      <c r="B1145" t="s">
        <v>4</v>
      </c>
      <c r="C1145" t="s">
        <v>25</v>
      </c>
      <c r="D1145" s="24">
        <v>45992</v>
      </c>
      <c r="E1145" t="s">
        <v>269</v>
      </c>
      <c r="F1145" t="s">
        <v>4</v>
      </c>
      <c r="G1145" t="s">
        <v>217</v>
      </c>
      <c r="H1145" t="s">
        <v>217</v>
      </c>
      <c r="I1145" t="s">
        <v>227</v>
      </c>
      <c r="J1145" s="25">
        <v>3</v>
      </c>
      <c r="K1145" s="26">
        <v>0.59</v>
      </c>
      <c r="L1145" s="26">
        <v>0.01</v>
      </c>
    </row>
    <row r="1146" spans="1:12" ht="16" customHeight="1">
      <c r="A1146" t="s">
        <v>291</v>
      </c>
      <c r="B1146" t="s">
        <v>4</v>
      </c>
      <c r="C1146" t="s">
        <v>25</v>
      </c>
      <c r="D1146" s="24">
        <v>45992</v>
      </c>
      <c r="E1146" t="s">
        <v>228</v>
      </c>
      <c r="F1146" t="s">
        <v>4</v>
      </c>
      <c r="G1146" t="s">
        <v>217</v>
      </c>
      <c r="H1146" t="s">
        <v>217</v>
      </c>
      <c r="I1146" t="s">
        <v>330</v>
      </c>
      <c r="J1146" s="25">
        <v>2023</v>
      </c>
      <c r="K1146" s="26">
        <v>413.28</v>
      </c>
      <c r="L1146" s="26">
        <v>13.95</v>
      </c>
    </row>
    <row r="1147" spans="1:12" ht="16" customHeight="1">
      <c r="A1147" t="s">
        <v>291</v>
      </c>
      <c r="B1147" t="s">
        <v>4</v>
      </c>
      <c r="C1147" t="s">
        <v>25</v>
      </c>
      <c r="D1147" s="24">
        <v>45992</v>
      </c>
      <c r="E1147" t="s">
        <v>230</v>
      </c>
      <c r="F1147" t="s">
        <v>4</v>
      </c>
      <c r="G1147" t="s">
        <v>217</v>
      </c>
      <c r="H1147" t="s">
        <v>217</v>
      </c>
      <c r="I1147" t="s">
        <v>331</v>
      </c>
      <c r="J1147" s="25">
        <v>9</v>
      </c>
      <c r="K1147" s="26">
        <v>1.93</v>
      </c>
      <c r="L1147" s="26">
        <v>0.31</v>
      </c>
    </row>
    <row r="1148" spans="1:12" ht="16" customHeight="1">
      <c r="A1148" t="s">
        <v>291</v>
      </c>
      <c r="B1148" t="s">
        <v>4</v>
      </c>
      <c r="C1148" t="s">
        <v>25</v>
      </c>
      <c r="D1148" s="24">
        <v>45992</v>
      </c>
      <c r="E1148" t="s">
        <v>232</v>
      </c>
      <c r="F1148" t="s">
        <v>4</v>
      </c>
      <c r="G1148" t="s">
        <v>217</v>
      </c>
      <c r="H1148" t="s">
        <v>217</v>
      </c>
      <c r="I1148" t="s">
        <v>332</v>
      </c>
      <c r="J1148" s="25">
        <v>10</v>
      </c>
      <c r="K1148" s="26">
        <v>1.99</v>
      </c>
      <c r="L1148" s="26">
        <v>0.12</v>
      </c>
    </row>
    <row r="1149" spans="1:12" ht="16" customHeight="1">
      <c r="A1149" t="s">
        <v>291</v>
      </c>
      <c r="B1149" t="s">
        <v>4</v>
      </c>
      <c r="C1149" t="s">
        <v>25</v>
      </c>
      <c r="D1149" s="24">
        <v>45992</v>
      </c>
      <c r="E1149" t="s">
        <v>234</v>
      </c>
      <c r="F1149" t="s">
        <v>4</v>
      </c>
      <c r="G1149" t="s">
        <v>217</v>
      </c>
      <c r="H1149" t="s">
        <v>217</v>
      </c>
      <c r="I1149" t="s">
        <v>333</v>
      </c>
      <c r="J1149" s="25">
        <v>0</v>
      </c>
      <c r="K1149" s="26">
        <v>0</v>
      </c>
      <c r="L1149" s="26">
        <v>0</v>
      </c>
    </row>
    <row r="1150" spans="1:12" ht="16" customHeight="1">
      <c r="A1150" t="s">
        <v>291</v>
      </c>
      <c r="B1150" t="s">
        <v>4</v>
      </c>
      <c r="C1150" t="s">
        <v>25</v>
      </c>
      <c r="D1150" s="24">
        <v>45992</v>
      </c>
      <c r="E1150" t="s">
        <v>236</v>
      </c>
      <c r="F1150" t="s">
        <v>4</v>
      </c>
      <c r="G1150" t="s">
        <v>217</v>
      </c>
      <c r="H1150" t="s">
        <v>217</v>
      </c>
      <c r="I1150" t="s">
        <v>334</v>
      </c>
      <c r="J1150" s="25">
        <v>15</v>
      </c>
      <c r="K1150" s="26">
        <v>3.07</v>
      </c>
      <c r="L1150" s="26">
        <v>0.11</v>
      </c>
    </row>
    <row r="1151" spans="1:12" ht="16" customHeight="1">
      <c r="A1151" t="s">
        <v>291</v>
      </c>
      <c r="B1151" t="s">
        <v>4</v>
      </c>
      <c r="C1151" t="s">
        <v>25</v>
      </c>
      <c r="D1151" s="24">
        <v>45992</v>
      </c>
      <c r="E1151" t="s">
        <v>238</v>
      </c>
      <c r="F1151" t="s">
        <v>4</v>
      </c>
      <c r="G1151" t="s">
        <v>217</v>
      </c>
      <c r="H1151" t="s">
        <v>217</v>
      </c>
      <c r="I1151" t="s">
        <v>335</v>
      </c>
      <c r="J1151" s="25">
        <v>0</v>
      </c>
      <c r="K1151" s="26">
        <v>0</v>
      </c>
      <c r="L1151" s="26">
        <v>0</v>
      </c>
    </row>
    <row r="1152" spans="1:12" ht="16" customHeight="1">
      <c r="A1152" t="s">
        <v>291</v>
      </c>
      <c r="B1152" t="s">
        <v>4</v>
      </c>
      <c r="C1152" t="s">
        <v>25</v>
      </c>
      <c r="D1152" s="24">
        <v>45992</v>
      </c>
      <c r="E1152" t="s">
        <v>240</v>
      </c>
      <c r="F1152" t="s">
        <v>3</v>
      </c>
      <c r="G1152" t="s">
        <v>241</v>
      </c>
      <c r="H1152" t="s">
        <v>241</v>
      </c>
      <c r="I1152" t="s">
        <v>336</v>
      </c>
      <c r="J1152" s="25">
        <v>20</v>
      </c>
      <c r="K1152" s="26">
        <v>4.05</v>
      </c>
      <c r="L1152" s="26">
        <v>0.15</v>
      </c>
    </row>
    <row r="1153" spans="1:12" ht="16" customHeight="1">
      <c r="A1153" t="s">
        <v>291</v>
      </c>
      <c r="B1153" t="s">
        <v>4</v>
      </c>
      <c r="C1153" t="s">
        <v>25</v>
      </c>
      <c r="D1153" s="24">
        <v>45992</v>
      </c>
      <c r="E1153" t="s">
        <v>243</v>
      </c>
      <c r="F1153" t="s">
        <v>4</v>
      </c>
      <c r="G1153" t="s">
        <v>217</v>
      </c>
      <c r="H1153" t="s">
        <v>217</v>
      </c>
      <c r="I1153" t="s">
        <v>337</v>
      </c>
      <c r="J1153" s="25">
        <v>0</v>
      </c>
      <c r="K1153" s="26">
        <v>0</v>
      </c>
      <c r="L1153" s="26">
        <v>0</v>
      </c>
    </row>
    <row r="1154" spans="1:12" ht="16" customHeight="1">
      <c r="A1154" t="s">
        <v>338</v>
      </c>
      <c r="B1154" t="s">
        <v>5</v>
      </c>
      <c r="C1154" t="s">
        <v>25</v>
      </c>
      <c r="D1154" s="24">
        <v>45992</v>
      </c>
      <c r="E1154" t="s">
        <v>312</v>
      </c>
      <c r="F1154" t="s">
        <v>4</v>
      </c>
      <c r="G1154" t="s">
        <v>211</v>
      </c>
      <c r="H1154" t="s">
        <v>211</v>
      </c>
      <c r="I1154" t="s">
        <v>212</v>
      </c>
      <c r="J1154" s="25">
        <v>47350874</v>
      </c>
      <c r="K1154" s="26">
        <v>9272636.1099999994</v>
      </c>
      <c r="L1154" s="26">
        <v>26652.44</v>
      </c>
    </row>
    <row r="1155" spans="1:12" ht="16" customHeight="1">
      <c r="A1155" t="s">
        <v>338</v>
      </c>
      <c r="B1155" t="s">
        <v>5</v>
      </c>
      <c r="C1155" t="s">
        <v>25</v>
      </c>
      <c r="D1155" s="24">
        <v>45992</v>
      </c>
      <c r="E1155" t="s">
        <v>316</v>
      </c>
      <c r="F1155" t="s">
        <v>4</v>
      </c>
      <c r="G1155" t="s">
        <v>211</v>
      </c>
      <c r="H1155" t="s">
        <v>211</v>
      </c>
      <c r="I1155" t="s">
        <v>212</v>
      </c>
      <c r="J1155" s="25">
        <v>1020209</v>
      </c>
      <c r="K1155" s="26">
        <v>200615.91</v>
      </c>
      <c r="L1155" s="26">
        <v>763.81</v>
      </c>
    </row>
    <row r="1156" spans="1:12" ht="16" customHeight="1">
      <c r="A1156" t="s">
        <v>338</v>
      </c>
      <c r="B1156" t="s">
        <v>5</v>
      </c>
      <c r="C1156" t="s">
        <v>25</v>
      </c>
      <c r="D1156" s="24">
        <v>45992</v>
      </c>
      <c r="E1156" t="s">
        <v>321</v>
      </c>
      <c r="F1156" t="s">
        <v>4</v>
      </c>
      <c r="G1156" t="s">
        <v>211</v>
      </c>
      <c r="H1156" t="s">
        <v>211</v>
      </c>
      <c r="I1156" t="s">
        <v>212</v>
      </c>
      <c r="J1156" s="25">
        <v>69841</v>
      </c>
      <c r="K1156" s="26">
        <v>13763.41</v>
      </c>
      <c r="L1156" s="26">
        <v>73.650000000000006</v>
      </c>
    </row>
    <row r="1157" spans="1:12" ht="16" customHeight="1">
      <c r="A1157" t="s">
        <v>338</v>
      </c>
      <c r="B1157" t="s">
        <v>5</v>
      </c>
      <c r="C1157" t="s">
        <v>25</v>
      </c>
      <c r="D1157" s="24">
        <v>45992</v>
      </c>
      <c r="E1157" t="s">
        <v>222</v>
      </c>
      <c r="F1157" t="s">
        <v>4</v>
      </c>
      <c r="G1157" t="s">
        <v>217</v>
      </c>
      <c r="H1157" t="s">
        <v>217</v>
      </c>
      <c r="I1157" t="s">
        <v>212</v>
      </c>
      <c r="J1157" s="25">
        <v>1316491</v>
      </c>
      <c r="K1157" s="26">
        <v>259713.28</v>
      </c>
      <c r="L1157" s="26">
        <v>1653.36</v>
      </c>
    </row>
    <row r="1158" spans="1:12" ht="16" customHeight="1">
      <c r="A1158" t="s">
        <v>338</v>
      </c>
      <c r="B1158" t="s">
        <v>5</v>
      </c>
      <c r="C1158" t="s">
        <v>25</v>
      </c>
      <c r="D1158" s="24">
        <v>45992</v>
      </c>
      <c r="E1158" t="s">
        <v>339</v>
      </c>
      <c r="F1158" t="s">
        <v>4</v>
      </c>
      <c r="G1158" t="s">
        <v>211</v>
      </c>
      <c r="H1158" t="s">
        <v>211</v>
      </c>
      <c r="I1158" t="s">
        <v>219</v>
      </c>
      <c r="J1158" s="25">
        <v>575</v>
      </c>
      <c r="K1158" s="26">
        <v>98.68</v>
      </c>
      <c r="L1158" s="26">
        <v>0.88</v>
      </c>
    </row>
    <row r="1159" spans="1:12" ht="16" customHeight="1">
      <c r="A1159" t="s">
        <v>338</v>
      </c>
      <c r="B1159" t="s">
        <v>5</v>
      </c>
      <c r="C1159" t="s">
        <v>25</v>
      </c>
      <c r="D1159" s="24">
        <v>45992</v>
      </c>
      <c r="E1159" t="s">
        <v>296</v>
      </c>
      <c r="F1159" t="s">
        <v>4</v>
      </c>
      <c r="G1159" t="s">
        <v>217</v>
      </c>
      <c r="H1159" t="s">
        <v>217</v>
      </c>
      <c r="I1159" t="s">
        <v>219</v>
      </c>
      <c r="J1159" s="25">
        <v>102681</v>
      </c>
      <c r="K1159" s="26">
        <v>17667.71</v>
      </c>
      <c r="L1159" s="26">
        <v>155.93</v>
      </c>
    </row>
    <row r="1160" spans="1:12" ht="16" customHeight="1">
      <c r="A1160" t="s">
        <v>338</v>
      </c>
      <c r="B1160" t="s">
        <v>5</v>
      </c>
      <c r="C1160" t="s">
        <v>25</v>
      </c>
      <c r="D1160" s="24">
        <v>45992</v>
      </c>
      <c r="E1160" t="s">
        <v>326</v>
      </c>
      <c r="F1160" t="s">
        <v>4</v>
      </c>
      <c r="G1160" t="s">
        <v>217</v>
      </c>
      <c r="H1160" t="s">
        <v>217</v>
      </c>
      <c r="I1160" t="s">
        <v>221</v>
      </c>
      <c r="J1160" s="25">
        <v>18888</v>
      </c>
      <c r="K1160" s="26">
        <v>3241.61</v>
      </c>
      <c r="L1160" s="26">
        <v>37.659999999999997</v>
      </c>
    </row>
    <row r="1161" spans="1:12" ht="16" customHeight="1">
      <c r="A1161" t="s">
        <v>338</v>
      </c>
      <c r="B1161" t="s">
        <v>5</v>
      </c>
      <c r="C1161" t="s">
        <v>25</v>
      </c>
      <c r="D1161" s="24">
        <v>45992</v>
      </c>
      <c r="E1161" t="s">
        <v>224</v>
      </c>
      <c r="F1161" t="s">
        <v>4</v>
      </c>
      <c r="G1161" t="s">
        <v>217</v>
      </c>
      <c r="H1161" t="s">
        <v>217</v>
      </c>
      <c r="I1161" t="s">
        <v>223</v>
      </c>
      <c r="J1161" s="25">
        <v>23875</v>
      </c>
      <c r="K1161" s="26">
        <v>4751.1400000000003</v>
      </c>
      <c r="L1161" s="26">
        <v>89.26</v>
      </c>
    </row>
    <row r="1162" spans="1:12" ht="16" customHeight="1">
      <c r="A1162" t="s">
        <v>338</v>
      </c>
      <c r="B1162" t="s">
        <v>5</v>
      </c>
      <c r="C1162" t="s">
        <v>25</v>
      </c>
      <c r="D1162" s="24">
        <v>45992</v>
      </c>
      <c r="E1162" t="s">
        <v>226</v>
      </c>
      <c r="F1162" t="s">
        <v>4</v>
      </c>
      <c r="G1162" t="s">
        <v>217</v>
      </c>
      <c r="H1162" t="s">
        <v>217</v>
      </c>
      <c r="I1162" t="s">
        <v>225</v>
      </c>
      <c r="J1162" s="25">
        <v>8879</v>
      </c>
      <c r="K1162" s="26">
        <v>1784.7</v>
      </c>
      <c r="L1162" s="26">
        <v>34.36</v>
      </c>
    </row>
    <row r="1163" spans="1:12" ht="16" customHeight="1">
      <c r="A1163" t="s">
        <v>338</v>
      </c>
      <c r="B1163" t="s">
        <v>5</v>
      </c>
      <c r="C1163" t="s">
        <v>25</v>
      </c>
      <c r="D1163" s="24">
        <v>45992</v>
      </c>
      <c r="E1163" t="s">
        <v>269</v>
      </c>
      <c r="F1163" t="s">
        <v>4</v>
      </c>
      <c r="G1163" t="s">
        <v>217</v>
      </c>
      <c r="H1163" t="s">
        <v>217</v>
      </c>
      <c r="I1163" t="s">
        <v>227</v>
      </c>
      <c r="J1163" s="25">
        <v>17</v>
      </c>
      <c r="K1163" s="26">
        <v>3.19</v>
      </c>
      <c r="L1163" s="26">
        <v>0.05</v>
      </c>
    </row>
    <row r="1164" spans="1:12" ht="16" customHeight="1">
      <c r="A1164" t="s">
        <v>338</v>
      </c>
      <c r="B1164" t="s">
        <v>5</v>
      </c>
      <c r="C1164" t="s">
        <v>25</v>
      </c>
      <c r="D1164" s="24">
        <v>45992</v>
      </c>
      <c r="E1164" t="s">
        <v>228</v>
      </c>
      <c r="F1164" t="s">
        <v>4</v>
      </c>
      <c r="G1164" t="s">
        <v>217</v>
      </c>
      <c r="H1164" t="s">
        <v>217</v>
      </c>
      <c r="I1164" t="s">
        <v>330</v>
      </c>
      <c r="J1164" s="25">
        <v>3444</v>
      </c>
      <c r="K1164" s="26">
        <v>698.06</v>
      </c>
      <c r="L1164" s="26">
        <v>20.81</v>
      </c>
    </row>
    <row r="1165" spans="1:12" ht="16" customHeight="1">
      <c r="A1165" t="s">
        <v>338</v>
      </c>
      <c r="B1165" t="s">
        <v>5</v>
      </c>
      <c r="C1165" t="s">
        <v>25</v>
      </c>
      <c r="D1165" s="24">
        <v>45992</v>
      </c>
      <c r="E1165" t="s">
        <v>230</v>
      </c>
      <c r="F1165" t="s">
        <v>4</v>
      </c>
      <c r="G1165" t="s">
        <v>217</v>
      </c>
      <c r="H1165" t="s">
        <v>217</v>
      </c>
      <c r="I1165" t="s">
        <v>331</v>
      </c>
      <c r="J1165" s="25">
        <v>0</v>
      </c>
      <c r="K1165" s="26">
        <v>0</v>
      </c>
      <c r="L1165" s="26">
        <v>0</v>
      </c>
    </row>
    <row r="1166" spans="1:12" ht="16" customHeight="1">
      <c r="A1166" t="s">
        <v>338</v>
      </c>
      <c r="B1166" t="s">
        <v>5</v>
      </c>
      <c r="C1166" t="s">
        <v>25</v>
      </c>
      <c r="D1166" s="24">
        <v>45992</v>
      </c>
      <c r="E1166" t="s">
        <v>232</v>
      </c>
      <c r="F1166" t="s">
        <v>4</v>
      </c>
      <c r="G1166" t="s">
        <v>217</v>
      </c>
      <c r="H1166" t="s">
        <v>217</v>
      </c>
      <c r="I1166" t="s">
        <v>332</v>
      </c>
      <c r="J1166" s="25">
        <v>14</v>
      </c>
      <c r="K1166" s="26">
        <v>2.85</v>
      </c>
      <c r="L1166" s="26">
        <v>0.11</v>
      </c>
    </row>
    <row r="1167" spans="1:12" ht="16" customHeight="1">
      <c r="A1167" t="s">
        <v>338</v>
      </c>
      <c r="B1167" t="s">
        <v>5</v>
      </c>
      <c r="C1167" t="s">
        <v>25</v>
      </c>
      <c r="D1167" s="24">
        <v>45992</v>
      </c>
      <c r="E1167" t="s">
        <v>234</v>
      </c>
      <c r="F1167" t="s">
        <v>4</v>
      </c>
      <c r="G1167" t="s">
        <v>217</v>
      </c>
      <c r="H1167" t="s">
        <v>217</v>
      </c>
      <c r="I1167" t="s">
        <v>333</v>
      </c>
      <c r="J1167" s="25">
        <v>0</v>
      </c>
      <c r="K1167" s="26">
        <v>0</v>
      </c>
      <c r="L1167" s="26">
        <v>0</v>
      </c>
    </row>
    <row r="1168" spans="1:12" ht="16" customHeight="1">
      <c r="A1168" t="s">
        <v>338</v>
      </c>
      <c r="B1168" t="s">
        <v>5</v>
      </c>
      <c r="C1168" t="s">
        <v>25</v>
      </c>
      <c r="D1168" s="24">
        <v>45992</v>
      </c>
      <c r="E1168" t="s">
        <v>236</v>
      </c>
      <c r="F1168" t="s">
        <v>4</v>
      </c>
      <c r="G1168" t="s">
        <v>217</v>
      </c>
      <c r="H1168" t="s">
        <v>217</v>
      </c>
      <c r="I1168" t="s">
        <v>334</v>
      </c>
      <c r="J1168" s="25">
        <v>9</v>
      </c>
      <c r="K1168" s="26">
        <v>1.82</v>
      </c>
      <c r="L1168" s="26">
        <v>0.06</v>
      </c>
    </row>
    <row r="1169" spans="1:12" ht="16" customHeight="1">
      <c r="A1169" t="s">
        <v>338</v>
      </c>
      <c r="B1169" t="s">
        <v>5</v>
      </c>
      <c r="C1169" t="s">
        <v>25</v>
      </c>
      <c r="D1169" s="24">
        <v>45992</v>
      </c>
      <c r="E1169" t="s">
        <v>238</v>
      </c>
      <c r="F1169" t="s">
        <v>4</v>
      </c>
      <c r="G1169" t="s">
        <v>217</v>
      </c>
      <c r="H1169" t="s">
        <v>217</v>
      </c>
      <c r="I1169" t="s">
        <v>335</v>
      </c>
      <c r="J1169" s="25">
        <v>0</v>
      </c>
      <c r="K1169" s="26">
        <v>0</v>
      </c>
      <c r="L1169" s="26">
        <v>0</v>
      </c>
    </row>
    <row r="1170" spans="1:12" ht="16" customHeight="1">
      <c r="A1170" t="s">
        <v>338</v>
      </c>
      <c r="B1170" t="s">
        <v>5</v>
      </c>
      <c r="C1170" t="s">
        <v>25</v>
      </c>
      <c r="D1170" s="24">
        <v>45992</v>
      </c>
      <c r="E1170" t="s">
        <v>240</v>
      </c>
      <c r="F1170" t="s">
        <v>3</v>
      </c>
      <c r="G1170" t="s">
        <v>241</v>
      </c>
      <c r="H1170" t="s">
        <v>241</v>
      </c>
      <c r="I1170" t="s">
        <v>336</v>
      </c>
      <c r="J1170" s="25">
        <v>0</v>
      </c>
      <c r="K1170" s="26">
        <v>0</v>
      </c>
      <c r="L1170" s="26">
        <v>0</v>
      </c>
    </row>
    <row r="1171" spans="1:12" ht="16" customHeight="1">
      <c r="A1171" t="s">
        <v>338</v>
      </c>
      <c r="B1171" t="s">
        <v>5</v>
      </c>
      <c r="C1171" t="s">
        <v>25</v>
      </c>
      <c r="D1171" s="24">
        <v>45992</v>
      </c>
      <c r="E1171" t="s">
        <v>243</v>
      </c>
      <c r="F1171" t="s">
        <v>4</v>
      </c>
      <c r="G1171" t="s">
        <v>217</v>
      </c>
      <c r="H1171" t="s">
        <v>217</v>
      </c>
      <c r="I1171" t="s">
        <v>337</v>
      </c>
      <c r="J1171" s="25">
        <v>0</v>
      </c>
      <c r="K1171" s="26">
        <v>0</v>
      </c>
      <c r="L1171" s="26">
        <v>0</v>
      </c>
    </row>
    <row r="1172" spans="1:12" ht="16" customHeight="1">
      <c r="A1172" t="s">
        <v>340</v>
      </c>
      <c r="B1172" t="s">
        <v>6</v>
      </c>
      <c r="C1172" t="s">
        <v>25</v>
      </c>
      <c r="D1172" s="24">
        <v>45992</v>
      </c>
      <c r="E1172" t="s">
        <v>312</v>
      </c>
      <c r="F1172" t="s">
        <v>4</v>
      </c>
      <c r="G1172" t="s">
        <v>211</v>
      </c>
      <c r="H1172" t="s">
        <v>211</v>
      </c>
      <c r="I1172" t="s">
        <v>212</v>
      </c>
      <c r="J1172" s="25">
        <v>50710932</v>
      </c>
      <c r="K1172" s="26">
        <v>9921042.0199999996</v>
      </c>
      <c r="L1172" s="26">
        <v>24942.720000000001</v>
      </c>
    </row>
    <row r="1173" spans="1:12" ht="16" customHeight="1">
      <c r="A1173" t="s">
        <v>340</v>
      </c>
      <c r="B1173" t="s">
        <v>6</v>
      </c>
      <c r="C1173" t="s">
        <v>25</v>
      </c>
      <c r="D1173" s="24">
        <v>45992</v>
      </c>
      <c r="E1173" t="s">
        <v>316</v>
      </c>
      <c r="F1173" t="s">
        <v>4</v>
      </c>
      <c r="G1173" t="s">
        <v>211</v>
      </c>
      <c r="H1173" t="s">
        <v>211</v>
      </c>
      <c r="I1173" t="s">
        <v>212</v>
      </c>
      <c r="J1173" s="25">
        <v>1376176</v>
      </c>
      <c r="K1173" s="26">
        <v>270317.53999999998</v>
      </c>
      <c r="L1173" s="26">
        <v>1033.21</v>
      </c>
    </row>
    <row r="1174" spans="1:12" ht="16" customHeight="1">
      <c r="A1174" t="s">
        <v>340</v>
      </c>
      <c r="B1174" t="s">
        <v>6</v>
      </c>
      <c r="C1174" t="s">
        <v>25</v>
      </c>
      <c r="D1174" s="24">
        <v>45992</v>
      </c>
      <c r="E1174" t="s">
        <v>321</v>
      </c>
      <c r="F1174" t="s">
        <v>4</v>
      </c>
      <c r="G1174" t="s">
        <v>211</v>
      </c>
      <c r="H1174" t="s">
        <v>211</v>
      </c>
      <c r="I1174" t="s">
        <v>212</v>
      </c>
      <c r="J1174" s="25">
        <v>77956</v>
      </c>
      <c r="K1174" s="26">
        <v>15352.8</v>
      </c>
      <c r="L1174" s="26">
        <v>80.37</v>
      </c>
    </row>
    <row r="1175" spans="1:12" ht="16" customHeight="1">
      <c r="A1175" t="s">
        <v>340</v>
      </c>
      <c r="B1175" t="s">
        <v>6</v>
      </c>
      <c r="C1175" t="s">
        <v>25</v>
      </c>
      <c r="D1175" s="24">
        <v>45992</v>
      </c>
      <c r="E1175" t="s">
        <v>222</v>
      </c>
      <c r="F1175" t="s">
        <v>4</v>
      </c>
      <c r="G1175" t="s">
        <v>217</v>
      </c>
      <c r="H1175" t="s">
        <v>217</v>
      </c>
      <c r="I1175" t="s">
        <v>212</v>
      </c>
      <c r="J1175" s="25">
        <v>1070620</v>
      </c>
      <c r="K1175" s="26">
        <v>210614.52</v>
      </c>
      <c r="L1175" s="26">
        <v>1368</v>
      </c>
    </row>
    <row r="1176" spans="1:12" ht="16" customHeight="1">
      <c r="A1176" t="s">
        <v>340</v>
      </c>
      <c r="B1176" t="s">
        <v>6</v>
      </c>
      <c r="C1176" t="s">
        <v>25</v>
      </c>
      <c r="D1176" s="24">
        <v>45992</v>
      </c>
      <c r="E1176" t="s">
        <v>339</v>
      </c>
      <c r="F1176" t="s">
        <v>4</v>
      </c>
      <c r="G1176" t="s">
        <v>211</v>
      </c>
      <c r="H1176" t="s">
        <v>211</v>
      </c>
      <c r="I1176" t="s">
        <v>219</v>
      </c>
      <c r="J1176" s="25">
        <v>1138</v>
      </c>
      <c r="K1176" s="26">
        <v>196.11</v>
      </c>
      <c r="L1176" s="26">
        <v>1.36</v>
      </c>
    </row>
    <row r="1177" spans="1:12" ht="16" customHeight="1">
      <c r="A1177" t="s">
        <v>340</v>
      </c>
      <c r="B1177" t="s">
        <v>6</v>
      </c>
      <c r="C1177" t="s">
        <v>25</v>
      </c>
      <c r="D1177" s="24">
        <v>45992</v>
      </c>
      <c r="E1177" t="s">
        <v>296</v>
      </c>
      <c r="F1177" t="s">
        <v>4</v>
      </c>
      <c r="G1177" t="s">
        <v>217</v>
      </c>
      <c r="H1177" t="s">
        <v>217</v>
      </c>
      <c r="I1177" t="s">
        <v>219</v>
      </c>
      <c r="J1177" s="25">
        <v>88251</v>
      </c>
      <c r="K1177" s="26">
        <v>15075.68</v>
      </c>
      <c r="L1177" s="26">
        <v>129.94999999999999</v>
      </c>
    </row>
    <row r="1178" spans="1:12" ht="16" customHeight="1">
      <c r="A1178" t="s">
        <v>340</v>
      </c>
      <c r="B1178" t="s">
        <v>6</v>
      </c>
      <c r="C1178" t="s">
        <v>25</v>
      </c>
      <c r="D1178" s="24">
        <v>45992</v>
      </c>
      <c r="E1178" t="s">
        <v>326</v>
      </c>
      <c r="F1178" t="s">
        <v>4</v>
      </c>
      <c r="G1178" t="s">
        <v>217</v>
      </c>
      <c r="H1178" t="s">
        <v>217</v>
      </c>
      <c r="I1178" t="s">
        <v>221</v>
      </c>
      <c r="J1178" s="25">
        <v>18637</v>
      </c>
      <c r="K1178" s="26">
        <v>3185.11</v>
      </c>
      <c r="L1178" s="26">
        <v>32.979999999999997</v>
      </c>
    </row>
    <row r="1179" spans="1:12" ht="16" customHeight="1">
      <c r="A1179" t="s">
        <v>340</v>
      </c>
      <c r="B1179" t="s">
        <v>6</v>
      </c>
      <c r="C1179" t="s">
        <v>25</v>
      </c>
      <c r="D1179" s="24">
        <v>45992</v>
      </c>
      <c r="E1179" t="s">
        <v>224</v>
      </c>
      <c r="F1179" t="s">
        <v>4</v>
      </c>
      <c r="G1179" t="s">
        <v>217</v>
      </c>
      <c r="H1179" t="s">
        <v>217</v>
      </c>
      <c r="I1179" t="s">
        <v>223</v>
      </c>
      <c r="J1179" s="25">
        <v>22406</v>
      </c>
      <c r="K1179" s="26">
        <v>4473.8999999999996</v>
      </c>
      <c r="L1179" s="26">
        <v>70.17</v>
      </c>
    </row>
    <row r="1180" spans="1:12" ht="16" customHeight="1">
      <c r="A1180" t="s">
        <v>340</v>
      </c>
      <c r="B1180" t="s">
        <v>6</v>
      </c>
      <c r="C1180" t="s">
        <v>25</v>
      </c>
      <c r="D1180" s="24">
        <v>45992</v>
      </c>
      <c r="E1180" t="s">
        <v>226</v>
      </c>
      <c r="F1180" t="s">
        <v>4</v>
      </c>
      <c r="G1180" t="s">
        <v>217</v>
      </c>
      <c r="H1180" t="s">
        <v>217</v>
      </c>
      <c r="I1180" t="s">
        <v>225</v>
      </c>
      <c r="J1180" s="25">
        <v>6417</v>
      </c>
      <c r="K1180" s="26">
        <v>1282.47</v>
      </c>
      <c r="L1180" s="26">
        <v>21.39</v>
      </c>
    </row>
    <row r="1181" spans="1:12" ht="16" customHeight="1">
      <c r="A1181" t="s">
        <v>340</v>
      </c>
      <c r="B1181" t="s">
        <v>6</v>
      </c>
      <c r="C1181" t="s">
        <v>25</v>
      </c>
      <c r="D1181" s="24">
        <v>45992</v>
      </c>
      <c r="E1181" t="s">
        <v>269</v>
      </c>
      <c r="F1181" t="s">
        <v>4</v>
      </c>
      <c r="G1181" t="s">
        <v>217</v>
      </c>
      <c r="H1181" t="s">
        <v>217</v>
      </c>
      <c r="I1181" t="s">
        <v>227</v>
      </c>
      <c r="J1181" s="25">
        <v>51</v>
      </c>
      <c r="K1181" s="26">
        <v>9.69</v>
      </c>
      <c r="L1181" s="26">
        <v>0.15</v>
      </c>
    </row>
    <row r="1182" spans="1:12" ht="16" customHeight="1">
      <c r="A1182" t="s">
        <v>340</v>
      </c>
      <c r="B1182" t="s">
        <v>6</v>
      </c>
      <c r="C1182" t="s">
        <v>25</v>
      </c>
      <c r="D1182" s="24">
        <v>45992</v>
      </c>
      <c r="E1182" t="s">
        <v>228</v>
      </c>
      <c r="F1182" t="s">
        <v>4</v>
      </c>
      <c r="G1182" t="s">
        <v>217</v>
      </c>
      <c r="H1182" t="s">
        <v>217</v>
      </c>
      <c r="I1182" t="s">
        <v>330</v>
      </c>
      <c r="J1182" s="25">
        <v>2192</v>
      </c>
      <c r="K1182" s="26">
        <v>459.33</v>
      </c>
      <c r="L1182" s="26">
        <v>17.809999999999999</v>
      </c>
    </row>
    <row r="1183" spans="1:12" ht="16" customHeight="1">
      <c r="A1183" t="s">
        <v>340</v>
      </c>
      <c r="B1183" t="s">
        <v>6</v>
      </c>
      <c r="C1183" t="s">
        <v>25</v>
      </c>
      <c r="D1183" s="24">
        <v>45992</v>
      </c>
      <c r="E1183" t="s">
        <v>230</v>
      </c>
      <c r="F1183" t="s">
        <v>4</v>
      </c>
      <c r="G1183" t="s">
        <v>217</v>
      </c>
      <c r="H1183" t="s">
        <v>217</v>
      </c>
      <c r="I1183" t="s">
        <v>331</v>
      </c>
      <c r="J1183" s="25">
        <v>1</v>
      </c>
      <c r="K1183" s="26">
        <v>0.21</v>
      </c>
      <c r="L1183" s="26">
        <v>0.03</v>
      </c>
    </row>
    <row r="1184" spans="1:12" ht="16" customHeight="1">
      <c r="A1184" t="s">
        <v>340</v>
      </c>
      <c r="B1184" t="s">
        <v>6</v>
      </c>
      <c r="C1184" t="s">
        <v>25</v>
      </c>
      <c r="D1184" s="24">
        <v>45992</v>
      </c>
      <c r="E1184" t="s">
        <v>232</v>
      </c>
      <c r="F1184" t="s">
        <v>4</v>
      </c>
      <c r="G1184" t="s">
        <v>217</v>
      </c>
      <c r="H1184" t="s">
        <v>217</v>
      </c>
      <c r="I1184" t="s">
        <v>332</v>
      </c>
      <c r="J1184" s="25">
        <v>8</v>
      </c>
      <c r="K1184" s="26">
        <v>1.73</v>
      </c>
      <c r="L1184" s="26">
        <v>0.16</v>
      </c>
    </row>
    <row r="1185" spans="1:12" ht="16" customHeight="1">
      <c r="A1185" t="s">
        <v>340</v>
      </c>
      <c r="B1185" t="s">
        <v>6</v>
      </c>
      <c r="C1185" t="s">
        <v>25</v>
      </c>
      <c r="D1185" s="24">
        <v>45992</v>
      </c>
      <c r="E1185" t="s">
        <v>234</v>
      </c>
      <c r="F1185" t="s">
        <v>4</v>
      </c>
      <c r="G1185" t="s">
        <v>217</v>
      </c>
      <c r="H1185" t="s">
        <v>217</v>
      </c>
      <c r="I1185" t="s">
        <v>333</v>
      </c>
      <c r="J1185" s="25">
        <v>0</v>
      </c>
      <c r="K1185" s="26">
        <v>0</v>
      </c>
      <c r="L1185" s="26">
        <v>0</v>
      </c>
    </row>
    <row r="1186" spans="1:12" ht="16" customHeight="1">
      <c r="A1186" t="s">
        <v>340</v>
      </c>
      <c r="B1186" t="s">
        <v>6</v>
      </c>
      <c r="C1186" t="s">
        <v>25</v>
      </c>
      <c r="D1186" s="24">
        <v>45992</v>
      </c>
      <c r="E1186" t="s">
        <v>236</v>
      </c>
      <c r="F1186" t="s">
        <v>4</v>
      </c>
      <c r="G1186" t="s">
        <v>217</v>
      </c>
      <c r="H1186" t="s">
        <v>217</v>
      </c>
      <c r="I1186" t="s">
        <v>334</v>
      </c>
      <c r="J1186" s="25">
        <v>2</v>
      </c>
      <c r="K1186" s="26">
        <v>0.39</v>
      </c>
      <c r="L1186" s="26">
        <v>0.01</v>
      </c>
    </row>
    <row r="1187" spans="1:12" ht="16" customHeight="1">
      <c r="A1187" t="s">
        <v>340</v>
      </c>
      <c r="B1187" t="s">
        <v>6</v>
      </c>
      <c r="C1187" t="s">
        <v>25</v>
      </c>
      <c r="D1187" s="24">
        <v>45992</v>
      </c>
      <c r="E1187" t="s">
        <v>238</v>
      </c>
      <c r="F1187" t="s">
        <v>4</v>
      </c>
      <c r="G1187" t="s">
        <v>217</v>
      </c>
      <c r="H1187" t="s">
        <v>217</v>
      </c>
      <c r="I1187" t="s">
        <v>335</v>
      </c>
      <c r="J1187" s="25">
        <v>0</v>
      </c>
      <c r="K1187" s="26">
        <v>0</v>
      </c>
      <c r="L1187" s="26">
        <v>0</v>
      </c>
    </row>
    <row r="1188" spans="1:12" ht="16" customHeight="1">
      <c r="A1188" t="s">
        <v>340</v>
      </c>
      <c r="B1188" t="s">
        <v>6</v>
      </c>
      <c r="C1188" t="s">
        <v>25</v>
      </c>
      <c r="D1188" s="24">
        <v>45992</v>
      </c>
      <c r="E1188" t="s">
        <v>240</v>
      </c>
      <c r="F1188" t="s">
        <v>3</v>
      </c>
      <c r="G1188" t="s">
        <v>241</v>
      </c>
      <c r="H1188" t="s">
        <v>241</v>
      </c>
      <c r="I1188" t="s">
        <v>336</v>
      </c>
      <c r="J1188" s="25">
        <v>0</v>
      </c>
      <c r="K1188" s="26">
        <v>0</v>
      </c>
      <c r="L1188" s="26">
        <v>0</v>
      </c>
    </row>
    <row r="1189" spans="1:12" ht="16" customHeight="1">
      <c r="A1189" t="s">
        <v>340</v>
      </c>
      <c r="B1189" t="s">
        <v>6</v>
      </c>
      <c r="C1189" t="s">
        <v>25</v>
      </c>
      <c r="D1189" s="24">
        <v>45992</v>
      </c>
      <c r="E1189" t="s">
        <v>243</v>
      </c>
      <c r="F1189" t="s">
        <v>4</v>
      </c>
      <c r="G1189" t="s">
        <v>217</v>
      </c>
      <c r="H1189" t="s">
        <v>217</v>
      </c>
      <c r="I1189" t="s">
        <v>337</v>
      </c>
      <c r="J1189" s="25">
        <v>0</v>
      </c>
      <c r="K1189" s="26">
        <v>0</v>
      </c>
      <c r="L1189" s="26">
        <v>0</v>
      </c>
    </row>
    <row r="1190" spans="1:12" ht="16" customHeight="1">
      <c r="A1190" t="s">
        <v>341</v>
      </c>
      <c r="B1190" t="s">
        <v>7</v>
      </c>
      <c r="C1190" t="s">
        <v>25</v>
      </c>
      <c r="D1190" s="24">
        <v>45992</v>
      </c>
      <c r="E1190" t="s">
        <v>312</v>
      </c>
      <c r="F1190" t="s">
        <v>4</v>
      </c>
      <c r="G1190" t="s">
        <v>211</v>
      </c>
      <c r="H1190" t="s">
        <v>211</v>
      </c>
      <c r="I1190" t="s">
        <v>212</v>
      </c>
      <c r="J1190" s="25">
        <v>104321653</v>
      </c>
      <c r="K1190" s="26">
        <v>20455293.260000002</v>
      </c>
      <c r="L1190" s="26">
        <v>41664.19</v>
      </c>
    </row>
    <row r="1191" spans="1:12" ht="16" customHeight="1">
      <c r="A1191" t="s">
        <v>341</v>
      </c>
      <c r="B1191" t="s">
        <v>7</v>
      </c>
      <c r="C1191" t="s">
        <v>25</v>
      </c>
      <c r="D1191" s="24">
        <v>45992</v>
      </c>
      <c r="E1191" t="s">
        <v>316</v>
      </c>
      <c r="F1191" t="s">
        <v>4</v>
      </c>
      <c r="G1191" t="s">
        <v>211</v>
      </c>
      <c r="H1191" t="s">
        <v>211</v>
      </c>
      <c r="I1191" t="s">
        <v>212</v>
      </c>
      <c r="J1191" s="25">
        <v>2802860</v>
      </c>
      <c r="K1191" s="26">
        <v>551273.26</v>
      </c>
      <c r="L1191" s="26">
        <v>1839.27</v>
      </c>
    </row>
    <row r="1192" spans="1:12" ht="16" customHeight="1">
      <c r="A1192" t="s">
        <v>341</v>
      </c>
      <c r="B1192" t="s">
        <v>7</v>
      </c>
      <c r="C1192" t="s">
        <v>25</v>
      </c>
      <c r="D1192" s="24">
        <v>45992</v>
      </c>
      <c r="E1192" t="s">
        <v>321</v>
      </c>
      <c r="F1192" t="s">
        <v>4</v>
      </c>
      <c r="G1192" t="s">
        <v>211</v>
      </c>
      <c r="H1192" t="s">
        <v>211</v>
      </c>
      <c r="I1192" t="s">
        <v>212</v>
      </c>
      <c r="J1192" s="25">
        <v>192601</v>
      </c>
      <c r="K1192" s="26">
        <v>38015.660000000003</v>
      </c>
      <c r="L1192" s="26">
        <v>175.25</v>
      </c>
    </row>
    <row r="1193" spans="1:12" ht="16" customHeight="1">
      <c r="A1193" t="s">
        <v>341</v>
      </c>
      <c r="B1193" t="s">
        <v>7</v>
      </c>
      <c r="C1193" t="s">
        <v>25</v>
      </c>
      <c r="D1193" s="24">
        <v>45992</v>
      </c>
      <c r="E1193" t="s">
        <v>222</v>
      </c>
      <c r="F1193" t="s">
        <v>4</v>
      </c>
      <c r="G1193" t="s">
        <v>217</v>
      </c>
      <c r="H1193" t="s">
        <v>217</v>
      </c>
      <c r="I1193" t="s">
        <v>212</v>
      </c>
      <c r="J1193" s="25">
        <v>1577388</v>
      </c>
      <c r="K1193" s="26">
        <v>310568.63</v>
      </c>
      <c r="L1193" s="26">
        <v>1869.61</v>
      </c>
    </row>
    <row r="1194" spans="1:12" ht="16" customHeight="1">
      <c r="A1194" t="s">
        <v>341</v>
      </c>
      <c r="B1194" t="s">
        <v>7</v>
      </c>
      <c r="C1194" t="s">
        <v>25</v>
      </c>
      <c r="D1194" s="24">
        <v>45992</v>
      </c>
      <c r="E1194" t="s">
        <v>339</v>
      </c>
      <c r="F1194" t="s">
        <v>4</v>
      </c>
      <c r="G1194" t="s">
        <v>211</v>
      </c>
      <c r="H1194" t="s">
        <v>211</v>
      </c>
      <c r="I1194" t="s">
        <v>219</v>
      </c>
      <c r="J1194" s="25">
        <v>2814</v>
      </c>
      <c r="K1194" s="26">
        <v>485.64</v>
      </c>
      <c r="L1194" s="26">
        <v>3.83</v>
      </c>
    </row>
    <row r="1195" spans="1:12" ht="16" customHeight="1">
      <c r="A1195" t="s">
        <v>341</v>
      </c>
      <c r="B1195" t="s">
        <v>7</v>
      </c>
      <c r="C1195" t="s">
        <v>25</v>
      </c>
      <c r="D1195" s="24">
        <v>45992</v>
      </c>
      <c r="E1195" t="s">
        <v>296</v>
      </c>
      <c r="F1195" t="s">
        <v>4</v>
      </c>
      <c r="G1195" t="s">
        <v>217</v>
      </c>
      <c r="H1195" t="s">
        <v>217</v>
      </c>
      <c r="I1195" t="s">
        <v>219</v>
      </c>
      <c r="J1195" s="25">
        <v>171357</v>
      </c>
      <c r="K1195" s="26">
        <v>29219.09</v>
      </c>
      <c r="L1195" s="26">
        <v>222.79</v>
      </c>
    </row>
    <row r="1196" spans="1:12" ht="16" customHeight="1">
      <c r="A1196" t="s">
        <v>341</v>
      </c>
      <c r="B1196" t="s">
        <v>7</v>
      </c>
      <c r="C1196" t="s">
        <v>25</v>
      </c>
      <c r="D1196" s="24">
        <v>45992</v>
      </c>
      <c r="E1196" t="s">
        <v>326</v>
      </c>
      <c r="F1196" t="s">
        <v>4</v>
      </c>
      <c r="G1196" t="s">
        <v>217</v>
      </c>
      <c r="H1196" t="s">
        <v>217</v>
      </c>
      <c r="I1196" t="s">
        <v>221</v>
      </c>
      <c r="J1196" s="25">
        <v>21432</v>
      </c>
      <c r="K1196" s="26">
        <v>3667.3</v>
      </c>
      <c r="L1196" s="26">
        <v>39.03</v>
      </c>
    </row>
    <row r="1197" spans="1:12" ht="16" customHeight="1">
      <c r="A1197" t="s">
        <v>341</v>
      </c>
      <c r="B1197" t="s">
        <v>7</v>
      </c>
      <c r="C1197" t="s">
        <v>25</v>
      </c>
      <c r="D1197" s="24">
        <v>45992</v>
      </c>
      <c r="E1197" t="s">
        <v>224</v>
      </c>
      <c r="F1197" t="s">
        <v>4</v>
      </c>
      <c r="G1197" t="s">
        <v>217</v>
      </c>
      <c r="H1197" t="s">
        <v>217</v>
      </c>
      <c r="I1197" t="s">
        <v>223</v>
      </c>
      <c r="J1197" s="25">
        <v>27572</v>
      </c>
      <c r="K1197" s="26">
        <v>5442.15</v>
      </c>
      <c r="L1197" s="26">
        <v>76.569999999999993</v>
      </c>
    </row>
    <row r="1198" spans="1:12" ht="16" customHeight="1">
      <c r="A1198" t="s">
        <v>341</v>
      </c>
      <c r="B1198" t="s">
        <v>7</v>
      </c>
      <c r="C1198" t="s">
        <v>25</v>
      </c>
      <c r="D1198" s="24">
        <v>45992</v>
      </c>
      <c r="E1198" t="s">
        <v>226</v>
      </c>
      <c r="F1198" t="s">
        <v>4</v>
      </c>
      <c r="G1198" t="s">
        <v>217</v>
      </c>
      <c r="H1198" t="s">
        <v>217</v>
      </c>
      <c r="I1198" t="s">
        <v>225</v>
      </c>
      <c r="J1198" s="25">
        <v>12922</v>
      </c>
      <c r="K1198" s="26">
        <v>2582.5500000000002</v>
      </c>
      <c r="L1198" s="26">
        <v>38.409999999999997</v>
      </c>
    </row>
    <row r="1199" spans="1:12" ht="16" customHeight="1">
      <c r="A1199" t="s">
        <v>341</v>
      </c>
      <c r="B1199" t="s">
        <v>7</v>
      </c>
      <c r="C1199" t="s">
        <v>25</v>
      </c>
      <c r="D1199" s="24">
        <v>45992</v>
      </c>
      <c r="E1199" t="s">
        <v>269</v>
      </c>
      <c r="F1199" t="s">
        <v>4</v>
      </c>
      <c r="G1199" t="s">
        <v>217</v>
      </c>
      <c r="H1199" t="s">
        <v>217</v>
      </c>
      <c r="I1199" t="s">
        <v>227</v>
      </c>
      <c r="J1199" s="25">
        <v>82</v>
      </c>
      <c r="K1199" s="26">
        <v>15.69</v>
      </c>
      <c r="L1199" s="26">
        <v>0.28000000000000003</v>
      </c>
    </row>
    <row r="1200" spans="1:12" ht="16" customHeight="1">
      <c r="A1200" t="s">
        <v>341</v>
      </c>
      <c r="B1200" t="s">
        <v>7</v>
      </c>
      <c r="C1200" t="s">
        <v>25</v>
      </c>
      <c r="D1200" s="24">
        <v>45992</v>
      </c>
      <c r="E1200" t="s">
        <v>228</v>
      </c>
      <c r="F1200" t="s">
        <v>4</v>
      </c>
      <c r="G1200" t="s">
        <v>217</v>
      </c>
      <c r="H1200" t="s">
        <v>217</v>
      </c>
      <c r="I1200" t="s">
        <v>330</v>
      </c>
      <c r="J1200" s="25">
        <v>6298</v>
      </c>
      <c r="K1200" s="26">
        <v>1210.31</v>
      </c>
      <c r="L1200" s="26">
        <v>29.18</v>
      </c>
    </row>
    <row r="1201" spans="1:12" ht="16" customHeight="1">
      <c r="A1201" t="s">
        <v>341</v>
      </c>
      <c r="B1201" t="s">
        <v>7</v>
      </c>
      <c r="C1201" t="s">
        <v>25</v>
      </c>
      <c r="D1201" s="24">
        <v>45992</v>
      </c>
      <c r="E1201" t="s">
        <v>230</v>
      </c>
      <c r="F1201" t="s">
        <v>4</v>
      </c>
      <c r="G1201" t="s">
        <v>217</v>
      </c>
      <c r="H1201" t="s">
        <v>217</v>
      </c>
      <c r="I1201" t="s">
        <v>331</v>
      </c>
      <c r="J1201" s="25">
        <v>0</v>
      </c>
      <c r="K1201" s="26">
        <v>0</v>
      </c>
      <c r="L1201" s="26">
        <v>0</v>
      </c>
    </row>
    <row r="1202" spans="1:12" ht="16" customHeight="1">
      <c r="A1202" t="s">
        <v>341</v>
      </c>
      <c r="B1202" t="s">
        <v>7</v>
      </c>
      <c r="C1202" t="s">
        <v>25</v>
      </c>
      <c r="D1202" s="24">
        <v>45992</v>
      </c>
      <c r="E1202" t="s">
        <v>232</v>
      </c>
      <c r="F1202" t="s">
        <v>4</v>
      </c>
      <c r="G1202" t="s">
        <v>217</v>
      </c>
      <c r="H1202" t="s">
        <v>217</v>
      </c>
      <c r="I1202" t="s">
        <v>332</v>
      </c>
      <c r="J1202" s="25">
        <v>2</v>
      </c>
      <c r="K1202" s="26">
        <v>0.4</v>
      </c>
      <c r="L1202" s="26">
        <v>0.01</v>
      </c>
    </row>
    <row r="1203" spans="1:12" ht="16" customHeight="1">
      <c r="A1203" t="s">
        <v>341</v>
      </c>
      <c r="B1203" t="s">
        <v>7</v>
      </c>
      <c r="C1203" t="s">
        <v>25</v>
      </c>
      <c r="D1203" s="24">
        <v>45992</v>
      </c>
      <c r="E1203" t="s">
        <v>234</v>
      </c>
      <c r="F1203" t="s">
        <v>4</v>
      </c>
      <c r="G1203" t="s">
        <v>217</v>
      </c>
      <c r="H1203" t="s">
        <v>217</v>
      </c>
      <c r="I1203" t="s">
        <v>333</v>
      </c>
      <c r="J1203" s="25">
        <v>0</v>
      </c>
      <c r="K1203" s="26">
        <v>0</v>
      </c>
      <c r="L1203" s="26">
        <v>0</v>
      </c>
    </row>
    <row r="1204" spans="1:12" ht="16" customHeight="1">
      <c r="A1204" t="s">
        <v>341</v>
      </c>
      <c r="B1204" t="s">
        <v>7</v>
      </c>
      <c r="C1204" t="s">
        <v>25</v>
      </c>
      <c r="D1204" s="24">
        <v>45992</v>
      </c>
      <c r="E1204" t="s">
        <v>236</v>
      </c>
      <c r="F1204" t="s">
        <v>4</v>
      </c>
      <c r="G1204" t="s">
        <v>217</v>
      </c>
      <c r="H1204" t="s">
        <v>217</v>
      </c>
      <c r="I1204" t="s">
        <v>334</v>
      </c>
      <c r="J1204" s="25">
        <v>2</v>
      </c>
      <c r="K1204" s="26">
        <v>0.41</v>
      </c>
      <c r="L1204" s="26">
        <v>0.01</v>
      </c>
    </row>
    <row r="1205" spans="1:12" ht="16" customHeight="1">
      <c r="A1205" t="s">
        <v>341</v>
      </c>
      <c r="B1205" t="s">
        <v>7</v>
      </c>
      <c r="C1205" t="s">
        <v>25</v>
      </c>
      <c r="D1205" s="24">
        <v>45992</v>
      </c>
      <c r="E1205" t="s">
        <v>238</v>
      </c>
      <c r="F1205" t="s">
        <v>4</v>
      </c>
      <c r="G1205" t="s">
        <v>217</v>
      </c>
      <c r="H1205" t="s">
        <v>217</v>
      </c>
      <c r="I1205" t="s">
        <v>335</v>
      </c>
      <c r="J1205" s="25">
        <v>0</v>
      </c>
      <c r="K1205" s="26">
        <v>0</v>
      </c>
      <c r="L1205" s="26">
        <v>0</v>
      </c>
    </row>
    <row r="1206" spans="1:12" ht="16" customHeight="1">
      <c r="A1206" t="s">
        <v>341</v>
      </c>
      <c r="B1206" t="s">
        <v>7</v>
      </c>
      <c r="C1206" t="s">
        <v>25</v>
      </c>
      <c r="D1206" s="24">
        <v>45992</v>
      </c>
      <c r="E1206" t="s">
        <v>240</v>
      </c>
      <c r="F1206" t="s">
        <v>3</v>
      </c>
      <c r="G1206" t="s">
        <v>241</v>
      </c>
      <c r="H1206" t="s">
        <v>241</v>
      </c>
      <c r="I1206" t="s">
        <v>336</v>
      </c>
      <c r="J1206" s="25">
        <v>0</v>
      </c>
      <c r="K1206" s="26">
        <v>0</v>
      </c>
      <c r="L1206" s="26">
        <v>0</v>
      </c>
    </row>
    <row r="1207" spans="1:12" ht="16" customHeight="1">
      <c r="A1207" t="s">
        <v>341</v>
      </c>
      <c r="B1207" t="s">
        <v>7</v>
      </c>
      <c r="C1207" t="s">
        <v>25</v>
      </c>
      <c r="D1207" s="24">
        <v>45992</v>
      </c>
      <c r="E1207" t="s">
        <v>243</v>
      </c>
      <c r="F1207" t="s">
        <v>4</v>
      </c>
      <c r="G1207" t="s">
        <v>217</v>
      </c>
      <c r="H1207" t="s">
        <v>217</v>
      </c>
      <c r="I1207" t="s">
        <v>337</v>
      </c>
      <c r="J1207" s="25">
        <v>0</v>
      </c>
      <c r="K1207" s="26">
        <v>0</v>
      </c>
      <c r="L1207" s="26">
        <v>0</v>
      </c>
    </row>
    <row r="1208" spans="1:12" ht="16" customHeight="1">
      <c r="A1208" t="s">
        <v>342</v>
      </c>
      <c r="B1208" t="s">
        <v>3</v>
      </c>
      <c r="C1208" t="s">
        <v>26</v>
      </c>
      <c r="D1208" s="24">
        <v>45992</v>
      </c>
      <c r="E1208" t="s">
        <v>312</v>
      </c>
      <c r="F1208" t="s">
        <v>4</v>
      </c>
      <c r="G1208" t="s">
        <v>211</v>
      </c>
      <c r="H1208" t="s">
        <v>211</v>
      </c>
      <c r="I1208" t="s">
        <v>212</v>
      </c>
      <c r="J1208" s="25">
        <v>149462521</v>
      </c>
      <c r="K1208" s="26">
        <v>29274316.309999999</v>
      </c>
      <c r="L1208" s="26">
        <v>45670.26</v>
      </c>
    </row>
    <row r="1209" spans="1:12" ht="16" customHeight="1">
      <c r="A1209" t="s">
        <v>342</v>
      </c>
      <c r="B1209" t="s">
        <v>3</v>
      </c>
      <c r="C1209" t="s">
        <v>26</v>
      </c>
      <c r="D1209" s="24">
        <v>45992</v>
      </c>
      <c r="E1209" t="s">
        <v>316</v>
      </c>
      <c r="F1209" t="s">
        <v>4</v>
      </c>
      <c r="G1209" t="s">
        <v>211</v>
      </c>
      <c r="H1209" t="s">
        <v>211</v>
      </c>
      <c r="I1209" t="s">
        <v>212</v>
      </c>
      <c r="J1209" s="25">
        <v>5761246</v>
      </c>
      <c r="K1209" s="26">
        <v>1132965.3600000001</v>
      </c>
      <c r="L1209" s="26">
        <v>3271.7</v>
      </c>
    </row>
    <row r="1210" spans="1:12" ht="16" customHeight="1">
      <c r="A1210" t="s">
        <v>342</v>
      </c>
      <c r="B1210" t="s">
        <v>3</v>
      </c>
      <c r="C1210" t="s">
        <v>26</v>
      </c>
      <c r="D1210" s="24">
        <v>45992</v>
      </c>
      <c r="E1210" t="s">
        <v>321</v>
      </c>
      <c r="F1210" t="s">
        <v>4</v>
      </c>
      <c r="G1210" t="s">
        <v>211</v>
      </c>
      <c r="H1210" t="s">
        <v>211</v>
      </c>
      <c r="I1210" t="s">
        <v>212</v>
      </c>
      <c r="J1210" s="25">
        <v>334349</v>
      </c>
      <c r="K1210" s="26">
        <v>65925.36</v>
      </c>
      <c r="L1210" s="26">
        <v>292.27999999999997</v>
      </c>
    </row>
    <row r="1211" spans="1:12" ht="16" customHeight="1">
      <c r="A1211" t="s">
        <v>342</v>
      </c>
      <c r="B1211" t="s">
        <v>3</v>
      </c>
      <c r="C1211" t="s">
        <v>26</v>
      </c>
      <c r="D1211" s="24">
        <v>45992</v>
      </c>
      <c r="E1211" t="s">
        <v>222</v>
      </c>
      <c r="F1211" t="s">
        <v>4</v>
      </c>
      <c r="G1211" t="s">
        <v>217</v>
      </c>
      <c r="H1211" t="s">
        <v>217</v>
      </c>
      <c r="I1211" t="s">
        <v>212</v>
      </c>
      <c r="J1211" s="25">
        <v>1751787</v>
      </c>
      <c r="K1211" s="26">
        <v>344634.41</v>
      </c>
      <c r="L1211" s="26">
        <v>1985.51</v>
      </c>
    </row>
    <row r="1212" spans="1:12" ht="16" customHeight="1">
      <c r="A1212" t="s">
        <v>342</v>
      </c>
      <c r="B1212" t="s">
        <v>3</v>
      </c>
      <c r="C1212" t="s">
        <v>26</v>
      </c>
      <c r="D1212" s="24">
        <v>45992</v>
      </c>
      <c r="E1212" t="s">
        <v>339</v>
      </c>
      <c r="F1212" t="s">
        <v>4</v>
      </c>
      <c r="G1212" t="s">
        <v>211</v>
      </c>
      <c r="H1212" t="s">
        <v>211</v>
      </c>
      <c r="I1212" t="s">
        <v>219</v>
      </c>
      <c r="J1212" s="25">
        <v>6798</v>
      </c>
      <c r="K1212" s="26">
        <v>1166.7</v>
      </c>
      <c r="L1212" s="26">
        <v>6.91</v>
      </c>
    </row>
    <row r="1213" spans="1:12" ht="16" customHeight="1">
      <c r="A1213" t="s">
        <v>342</v>
      </c>
      <c r="B1213" t="s">
        <v>3</v>
      </c>
      <c r="C1213" t="s">
        <v>26</v>
      </c>
      <c r="D1213" s="24">
        <v>45992</v>
      </c>
      <c r="E1213" t="s">
        <v>296</v>
      </c>
      <c r="F1213" t="s">
        <v>4</v>
      </c>
      <c r="G1213" t="s">
        <v>217</v>
      </c>
      <c r="H1213" t="s">
        <v>217</v>
      </c>
      <c r="I1213" t="s">
        <v>219</v>
      </c>
      <c r="J1213" s="25">
        <v>182712</v>
      </c>
      <c r="K1213" s="26">
        <v>31276</v>
      </c>
      <c r="L1213" s="26">
        <v>235.96</v>
      </c>
    </row>
    <row r="1214" spans="1:12" ht="16" customHeight="1">
      <c r="A1214" t="s">
        <v>342</v>
      </c>
      <c r="B1214" t="s">
        <v>3</v>
      </c>
      <c r="C1214" t="s">
        <v>26</v>
      </c>
      <c r="D1214" s="24">
        <v>45992</v>
      </c>
      <c r="E1214" t="s">
        <v>326</v>
      </c>
      <c r="F1214" t="s">
        <v>4</v>
      </c>
      <c r="G1214" t="s">
        <v>217</v>
      </c>
      <c r="H1214" t="s">
        <v>217</v>
      </c>
      <c r="I1214" t="s">
        <v>221</v>
      </c>
      <c r="J1214" s="25">
        <v>30043</v>
      </c>
      <c r="K1214" s="26">
        <v>5157.0200000000004</v>
      </c>
      <c r="L1214" s="26">
        <v>53.59</v>
      </c>
    </row>
    <row r="1215" spans="1:12" ht="16" customHeight="1">
      <c r="A1215" t="s">
        <v>342</v>
      </c>
      <c r="B1215" t="s">
        <v>3</v>
      </c>
      <c r="C1215" t="s">
        <v>26</v>
      </c>
      <c r="D1215" s="24">
        <v>45992</v>
      </c>
      <c r="E1215" t="s">
        <v>224</v>
      </c>
      <c r="F1215" t="s">
        <v>4</v>
      </c>
      <c r="G1215" t="s">
        <v>217</v>
      </c>
      <c r="H1215" t="s">
        <v>217</v>
      </c>
      <c r="I1215" t="s">
        <v>223</v>
      </c>
      <c r="J1215" s="25">
        <v>31516</v>
      </c>
      <c r="K1215" s="26">
        <v>6238.66</v>
      </c>
      <c r="L1215" s="26">
        <v>80.900000000000006</v>
      </c>
    </row>
    <row r="1216" spans="1:12" ht="16" customHeight="1">
      <c r="A1216" t="s">
        <v>342</v>
      </c>
      <c r="B1216" t="s">
        <v>3</v>
      </c>
      <c r="C1216" t="s">
        <v>26</v>
      </c>
      <c r="D1216" s="24">
        <v>45992</v>
      </c>
      <c r="E1216" t="s">
        <v>226</v>
      </c>
      <c r="F1216" t="s">
        <v>4</v>
      </c>
      <c r="G1216" t="s">
        <v>217</v>
      </c>
      <c r="H1216" t="s">
        <v>217</v>
      </c>
      <c r="I1216" t="s">
        <v>225</v>
      </c>
      <c r="J1216" s="25">
        <v>6713</v>
      </c>
      <c r="K1216" s="26">
        <v>1338.55</v>
      </c>
      <c r="L1216" s="26">
        <v>24.57</v>
      </c>
    </row>
    <row r="1217" spans="1:12" ht="16" customHeight="1">
      <c r="A1217" t="s">
        <v>342</v>
      </c>
      <c r="B1217" t="s">
        <v>3</v>
      </c>
      <c r="C1217" t="s">
        <v>26</v>
      </c>
      <c r="D1217" s="24">
        <v>45992</v>
      </c>
      <c r="E1217" t="s">
        <v>269</v>
      </c>
      <c r="F1217" t="s">
        <v>4</v>
      </c>
      <c r="G1217" t="s">
        <v>217</v>
      </c>
      <c r="H1217" t="s">
        <v>217</v>
      </c>
      <c r="I1217" t="s">
        <v>227</v>
      </c>
      <c r="J1217" s="25">
        <v>117</v>
      </c>
      <c r="K1217" s="26">
        <v>22.48</v>
      </c>
      <c r="L1217" s="26">
        <v>0.33</v>
      </c>
    </row>
    <row r="1218" spans="1:12" ht="16" customHeight="1">
      <c r="A1218" t="s">
        <v>342</v>
      </c>
      <c r="B1218" t="s">
        <v>3</v>
      </c>
      <c r="C1218" t="s">
        <v>26</v>
      </c>
      <c r="D1218" s="24">
        <v>45992</v>
      </c>
      <c r="E1218" t="s">
        <v>228</v>
      </c>
      <c r="F1218" t="s">
        <v>4</v>
      </c>
      <c r="G1218" t="s">
        <v>217</v>
      </c>
      <c r="H1218" t="s">
        <v>217</v>
      </c>
      <c r="I1218" t="s">
        <v>330</v>
      </c>
      <c r="J1218" s="25">
        <v>3251</v>
      </c>
      <c r="K1218" s="26">
        <v>658.64</v>
      </c>
      <c r="L1218" s="26">
        <v>21.04</v>
      </c>
    </row>
    <row r="1219" spans="1:12" ht="16" customHeight="1">
      <c r="A1219" t="s">
        <v>342</v>
      </c>
      <c r="B1219" t="s">
        <v>3</v>
      </c>
      <c r="C1219" t="s">
        <v>26</v>
      </c>
      <c r="D1219" s="24">
        <v>45992</v>
      </c>
      <c r="E1219" t="s">
        <v>230</v>
      </c>
      <c r="F1219" t="s">
        <v>4</v>
      </c>
      <c r="G1219" t="s">
        <v>217</v>
      </c>
      <c r="H1219" t="s">
        <v>217</v>
      </c>
      <c r="I1219" t="s">
        <v>331</v>
      </c>
      <c r="J1219" s="25">
        <v>0</v>
      </c>
      <c r="K1219" s="26">
        <v>0</v>
      </c>
      <c r="L1219" s="26">
        <v>0</v>
      </c>
    </row>
    <row r="1220" spans="1:12" ht="16" customHeight="1">
      <c r="A1220" t="s">
        <v>342</v>
      </c>
      <c r="B1220" t="s">
        <v>3</v>
      </c>
      <c r="C1220" t="s">
        <v>26</v>
      </c>
      <c r="D1220" s="24">
        <v>45992</v>
      </c>
      <c r="E1220" t="s">
        <v>232</v>
      </c>
      <c r="F1220" t="s">
        <v>4</v>
      </c>
      <c r="G1220" t="s">
        <v>217</v>
      </c>
      <c r="H1220" t="s">
        <v>217</v>
      </c>
      <c r="I1220" t="s">
        <v>332</v>
      </c>
      <c r="J1220" s="25">
        <v>23</v>
      </c>
      <c r="K1220" s="26">
        <v>4.46</v>
      </c>
      <c r="L1220" s="26">
        <v>0.15</v>
      </c>
    </row>
    <row r="1221" spans="1:12" ht="16" customHeight="1">
      <c r="A1221" t="s">
        <v>342</v>
      </c>
      <c r="B1221" t="s">
        <v>3</v>
      </c>
      <c r="C1221" t="s">
        <v>26</v>
      </c>
      <c r="D1221" s="24">
        <v>45992</v>
      </c>
      <c r="E1221" t="s">
        <v>234</v>
      </c>
      <c r="F1221" t="s">
        <v>4</v>
      </c>
      <c r="G1221" t="s">
        <v>217</v>
      </c>
      <c r="H1221" t="s">
        <v>217</v>
      </c>
      <c r="I1221" t="s">
        <v>333</v>
      </c>
      <c r="J1221" s="25">
        <v>0</v>
      </c>
      <c r="K1221" s="26">
        <v>0</v>
      </c>
      <c r="L1221" s="26">
        <v>0</v>
      </c>
    </row>
    <row r="1222" spans="1:12" ht="16" customHeight="1">
      <c r="A1222" t="s">
        <v>342</v>
      </c>
      <c r="B1222" t="s">
        <v>3</v>
      </c>
      <c r="C1222" t="s">
        <v>26</v>
      </c>
      <c r="D1222" s="24">
        <v>45992</v>
      </c>
      <c r="E1222" t="s">
        <v>236</v>
      </c>
      <c r="F1222" t="s">
        <v>4</v>
      </c>
      <c r="G1222" t="s">
        <v>217</v>
      </c>
      <c r="H1222" t="s">
        <v>217</v>
      </c>
      <c r="I1222" t="s">
        <v>334</v>
      </c>
      <c r="J1222" s="25">
        <v>1</v>
      </c>
      <c r="K1222" s="26">
        <v>0.19</v>
      </c>
      <c r="L1222" s="26">
        <v>0.01</v>
      </c>
    </row>
    <row r="1223" spans="1:12" ht="16" customHeight="1">
      <c r="A1223" t="s">
        <v>342</v>
      </c>
      <c r="B1223" t="s">
        <v>3</v>
      </c>
      <c r="C1223" t="s">
        <v>26</v>
      </c>
      <c r="D1223" s="24">
        <v>45992</v>
      </c>
      <c r="E1223" t="s">
        <v>238</v>
      </c>
      <c r="F1223" t="s">
        <v>4</v>
      </c>
      <c r="G1223" t="s">
        <v>217</v>
      </c>
      <c r="H1223" t="s">
        <v>217</v>
      </c>
      <c r="I1223" t="s">
        <v>335</v>
      </c>
      <c r="J1223" s="25">
        <v>0</v>
      </c>
      <c r="K1223" s="26">
        <v>0</v>
      </c>
      <c r="L1223" s="26">
        <v>0</v>
      </c>
    </row>
    <row r="1224" spans="1:12" ht="16" customHeight="1">
      <c r="A1224" t="s">
        <v>342</v>
      </c>
      <c r="B1224" t="s">
        <v>3</v>
      </c>
      <c r="C1224" t="s">
        <v>26</v>
      </c>
      <c r="D1224" s="24">
        <v>45992</v>
      </c>
      <c r="E1224" t="s">
        <v>240</v>
      </c>
      <c r="F1224" t="s">
        <v>3</v>
      </c>
      <c r="G1224" t="s">
        <v>241</v>
      </c>
      <c r="H1224" t="s">
        <v>241</v>
      </c>
      <c r="I1224" t="s">
        <v>336</v>
      </c>
      <c r="J1224" s="25">
        <v>0</v>
      </c>
      <c r="K1224" s="26">
        <v>0</v>
      </c>
      <c r="L1224" s="26">
        <v>0</v>
      </c>
    </row>
    <row r="1225" spans="1:12" ht="16" customHeight="1">
      <c r="A1225" t="s">
        <v>342</v>
      </c>
      <c r="B1225" t="s">
        <v>3</v>
      </c>
      <c r="C1225" t="s">
        <v>26</v>
      </c>
      <c r="D1225" s="24">
        <v>45992</v>
      </c>
      <c r="E1225" t="s">
        <v>243</v>
      </c>
      <c r="F1225" t="s">
        <v>4</v>
      </c>
      <c r="G1225" t="s">
        <v>217</v>
      </c>
      <c r="H1225" t="s">
        <v>217</v>
      </c>
      <c r="I1225" t="s">
        <v>337</v>
      </c>
      <c r="J1225" s="25">
        <v>0</v>
      </c>
      <c r="K1225" s="26">
        <v>0</v>
      </c>
      <c r="L1225" s="26">
        <v>0</v>
      </c>
    </row>
    <row r="1226" spans="1:12" ht="16" customHeight="1">
      <c r="A1226" t="s">
        <v>312</v>
      </c>
      <c r="B1226" t="s">
        <v>4</v>
      </c>
      <c r="C1226" t="s">
        <v>26</v>
      </c>
      <c r="D1226" s="24">
        <v>45992</v>
      </c>
      <c r="E1226" t="s">
        <v>312</v>
      </c>
      <c r="F1226" t="s">
        <v>4</v>
      </c>
      <c r="G1226" t="s">
        <v>211</v>
      </c>
      <c r="H1226" t="s">
        <v>211</v>
      </c>
      <c r="I1226" t="s">
        <v>212</v>
      </c>
      <c r="J1226" s="25">
        <v>351882123</v>
      </c>
      <c r="K1226" s="26">
        <v>68349824.569999993</v>
      </c>
      <c r="L1226" s="26">
        <v>62982.97</v>
      </c>
    </row>
    <row r="1227" spans="1:12" ht="16" customHeight="1">
      <c r="A1227" t="s">
        <v>312</v>
      </c>
      <c r="B1227" t="s">
        <v>4</v>
      </c>
      <c r="C1227" t="s">
        <v>26</v>
      </c>
      <c r="D1227" s="24">
        <v>45992</v>
      </c>
      <c r="E1227" t="s">
        <v>316</v>
      </c>
      <c r="F1227" t="s">
        <v>4</v>
      </c>
      <c r="G1227" t="s">
        <v>211</v>
      </c>
      <c r="H1227" t="s">
        <v>211</v>
      </c>
      <c r="I1227" t="s">
        <v>212</v>
      </c>
      <c r="J1227" s="25">
        <v>12780373</v>
      </c>
      <c r="K1227" s="26">
        <v>2497846.7400000002</v>
      </c>
      <c r="L1227" s="26">
        <v>6949.76</v>
      </c>
    </row>
    <row r="1228" spans="1:12" ht="16" customHeight="1">
      <c r="A1228" t="s">
        <v>312</v>
      </c>
      <c r="B1228" t="s">
        <v>4</v>
      </c>
      <c r="C1228" t="s">
        <v>26</v>
      </c>
      <c r="D1228" s="24">
        <v>45992</v>
      </c>
      <c r="E1228" t="s">
        <v>321</v>
      </c>
      <c r="F1228" t="s">
        <v>4</v>
      </c>
      <c r="G1228" t="s">
        <v>211</v>
      </c>
      <c r="H1228" t="s">
        <v>211</v>
      </c>
      <c r="I1228" t="s">
        <v>212</v>
      </c>
      <c r="J1228" s="25">
        <v>459859</v>
      </c>
      <c r="K1228" s="26">
        <v>90166.97</v>
      </c>
      <c r="L1228" s="26">
        <v>374.44</v>
      </c>
    </row>
    <row r="1229" spans="1:12" ht="16" customHeight="1">
      <c r="A1229" t="s">
        <v>312</v>
      </c>
      <c r="B1229" t="s">
        <v>4</v>
      </c>
      <c r="C1229" t="s">
        <v>26</v>
      </c>
      <c r="D1229" s="24">
        <v>45992</v>
      </c>
      <c r="E1229" t="s">
        <v>222</v>
      </c>
      <c r="F1229" t="s">
        <v>4</v>
      </c>
      <c r="G1229" t="s">
        <v>217</v>
      </c>
      <c r="H1229" t="s">
        <v>217</v>
      </c>
      <c r="I1229" t="s">
        <v>212</v>
      </c>
      <c r="J1229" s="25">
        <v>1918113</v>
      </c>
      <c r="K1229" s="26">
        <v>375399.31</v>
      </c>
      <c r="L1229" s="26">
        <v>2166.92</v>
      </c>
    </row>
    <row r="1230" spans="1:12" ht="16" customHeight="1">
      <c r="A1230" t="s">
        <v>312</v>
      </c>
      <c r="B1230" t="s">
        <v>4</v>
      </c>
      <c r="C1230" t="s">
        <v>26</v>
      </c>
      <c r="D1230" s="24">
        <v>45992</v>
      </c>
      <c r="E1230" t="s">
        <v>339</v>
      </c>
      <c r="F1230" t="s">
        <v>4</v>
      </c>
      <c r="G1230" t="s">
        <v>211</v>
      </c>
      <c r="H1230" t="s">
        <v>211</v>
      </c>
      <c r="I1230" t="s">
        <v>219</v>
      </c>
      <c r="J1230" s="25">
        <v>11914</v>
      </c>
      <c r="K1230" s="26">
        <v>2042.29</v>
      </c>
      <c r="L1230" s="26">
        <v>14.43</v>
      </c>
    </row>
    <row r="1231" spans="1:12" ht="16" customHeight="1">
      <c r="A1231" t="s">
        <v>312</v>
      </c>
      <c r="B1231" t="s">
        <v>4</v>
      </c>
      <c r="C1231" t="s">
        <v>26</v>
      </c>
      <c r="D1231" s="24">
        <v>45992</v>
      </c>
      <c r="E1231" t="s">
        <v>296</v>
      </c>
      <c r="F1231" t="s">
        <v>4</v>
      </c>
      <c r="G1231" t="s">
        <v>217</v>
      </c>
      <c r="H1231" t="s">
        <v>217</v>
      </c>
      <c r="I1231" t="s">
        <v>219</v>
      </c>
      <c r="J1231" s="25">
        <v>233704</v>
      </c>
      <c r="K1231" s="26">
        <v>40023.18</v>
      </c>
      <c r="L1231" s="26">
        <v>364.32</v>
      </c>
    </row>
    <row r="1232" spans="1:12" ht="16" customHeight="1">
      <c r="A1232" t="s">
        <v>312</v>
      </c>
      <c r="B1232" t="s">
        <v>4</v>
      </c>
      <c r="C1232" t="s">
        <v>26</v>
      </c>
      <c r="D1232" s="24">
        <v>45992</v>
      </c>
      <c r="E1232" t="s">
        <v>326</v>
      </c>
      <c r="F1232" t="s">
        <v>4</v>
      </c>
      <c r="G1232" t="s">
        <v>217</v>
      </c>
      <c r="H1232" t="s">
        <v>217</v>
      </c>
      <c r="I1232" t="s">
        <v>221</v>
      </c>
      <c r="J1232" s="25">
        <v>36864</v>
      </c>
      <c r="K1232" s="26">
        <v>6307.63</v>
      </c>
      <c r="L1232" s="26">
        <v>68.31</v>
      </c>
    </row>
    <row r="1233" spans="1:12" ht="16" customHeight="1">
      <c r="A1233" t="s">
        <v>312</v>
      </c>
      <c r="B1233" t="s">
        <v>4</v>
      </c>
      <c r="C1233" t="s">
        <v>26</v>
      </c>
      <c r="D1233" s="24">
        <v>45992</v>
      </c>
      <c r="E1233" t="s">
        <v>224</v>
      </c>
      <c r="F1233" t="s">
        <v>4</v>
      </c>
      <c r="G1233" t="s">
        <v>217</v>
      </c>
      <c r="H1233" t="s">
        <v>217</v>
      </c>
      <c r="I1233" t="s">
        <v>223</v>
      </c>
      <c r="J1233" s="25">
        <v>34555</v>
      </c>
      <c r="K1233" s="26">
        <v>6876.74</v>
      </c>
      <c r="L1233" s="26">
        <v>101.14</v>
      </c>
    </row>
    <row r="1234" spans="1:12" ht="16" customHeight="1">
      <c r="A1234" t="s">
        <v>312</v>
      </c>
      <c r="B1234" t="s">
        <v>4</v>
      </c>
      <c r="C1234" t="s">
        <v>26</v>
      </c>
      <c r="D1234" s="24">
        <v>45992</v>
      </c>
      <c r="E1234" t="s">
        <v>226</v>
      </c>
      <c r="F1234" t="s">
        <v>4</v>
      </c>
      <c r="G1234" t="s">
        <v>217</v>
      </c>
      <c r="H1234" t="s">
        <v>217</v>
      </c>
      <c r="I1234" t="s">
        <v>225</v>
      </c>
      <c r="J1234" s="25">
        <v>7864</v>
      </c>
      <c r="K1234" s="26">
        <v>1579.45</v>
      </c>
      <c r="L1234" s="26">
        <v>33.5</v>
      </c>
    </row>
    <row r="1235" spans="1:12" ht="16" customHeight="1">
      <c r="A1235" t="s">
        <v>312</v>
      </c>
      <c r="B1235" t="s">
        <v>4</v>
      </c>
      <c r="C1235" t="s">
        <v>26</v>
      </c>
      <c r="D1235" s="24">
        <v>45992</v>
      </c>
      <c r="E1235" t="s">
        <v>269</v>
      </c>
      <c r="F1235" t="s">
        <v>4</v>
      </c>
      <c r="G1235" t="s">
        <v>217</v>
      </c>
      <c r="H1235" t="s">
        <v>217</v>
      </c>
      <c r="I1235" t="s">
        <v>227</v>
      </c>
      <c r="J1235" s="25">
        <v>62</v>
      </c>
      <c r="K1235" s="26">
        <v>12.07</v>
      </c>
      <c r="L1235" s="26">
        <v>0.21</v>
      </c>
    </row>
    <row r="1236" spans="1:12" ht="16" customHeight="1">
      <c r="A1236" t="s">
        <v>312</v>
      </c>
      <c r="B1236" t="s">
        <v>4</v>
      </c>
      <c r="C1236" t="s">
        <v>26</v>
      </c>
      <c r="D1236" s="24">
        <v>45992</v>
      </c>
      <c r="E1236" t="s">
        <v>228</v>
      </c>
      <c r="F1236" t="s">
        <v>4</v>
      </c>
      <c r="G1236" t="s">
        <v>217</v>
      </c>
      <c r="H1236" t="s">
        <v>217</v>
      </c>
      <c r="I1236" t="s">
        <v>330</v>
      </c>
      <c r="J1236" s="25">
        <v>6471</v>
      </c>
      <c r="K1236" s="26">
        <v>1273.02</v>
      </c>
      <c r="L1236" s="26">
        <v>32.21</v>
      </c>
    </row>
    <row r="1237" spans="1:12" ht="16" customHeight="1">
      <c r="A1237" t="s">
        <v>312</v>
      </c>
      <c r="B1237" t="s">
        <v>4</v>
      </c>
      <c r="C1237" t="s">
        <v>26</v>
      </c>
      <c r="D1237" s="24">
        <v>45992</v>
      </c>
      <c r="E1237" t="s">
        <v>230</v>
      </c>
      <c r="F1237" t="s">
        <v>4</v>
      </c>
      <c r="G1237" t="s">
        <v>217</v>
      </c>
      <c r="H1237" t="s">
        <v>217</v>
      </c>
      <c r="I1237" t="s">
        <v>331</v>
      </c>
      <c r="J1237" s="25">
        <v>0</v>
      </c>
      <c r="K1237" s="26">
        <v>0</v>
      </c>
      <c r="L1237" s="26">
        <v>0</v>
      </c>
    </row>
    <row r="1238" spans="1:12" ht="16" customHeight="1">
      <c r="A1238" t="s">
        <v>312</v>
      </c>
      <c r="B1238" t="s">
        <v>4</v>
      </c>
      <c r="C1238" t="s">
        <v>26</v>
      </c>
      <c r="D1238" s="24">
        <v>45992</v>
      </c>
      <c r="E1238" t="s">
        <v>232</v>
      </c>
      <c r="F1238" t="s">
        <v>4</v>
      </c>
      <c r="G1238" t="s">
        <v>217</v>
      </c>
      <c r="H1238" t="s">
        <v>217</v>
      </c>
      <c r="I1238" t="s">
        <v>332</v>
      </c>
      <c r="J1238" s="25">
        <v>8</v>
      </c>
      <c r="K1238" s="26">
        <v>1.64</v>
      </c>
      <c r="L1238" s="26">
        <v>0.08</v>
      </c>
    </row>
    <row r="1239" spans="1:12" ht="16" customHeight="1">
      <c r="A1239" t="s">
        <v>312</v>
      </c>
      <c r="B1239" t="s">
        <v>4</v>
      </c>
      <c r="C1239" t="s">
        <v>26</v>
      </c>
      <c r="D1239" s="24">
        <v>45992</v>
      </c>
      <c r="E1239" t="s">
        <v>234</v>
      </c>
      <c r="F1239" t="s">
        <v>4</v>
      </c>
      <c r="G1239" t="s">
        <v>217</v>
      </c>
      <c r="H1239" t="s">
        <v>217</v>
      </c>
      <c r="I1239" t="s">
        <v>333</v>
      </c>
      <c r="J1239" s="25">
        <v>0</v>
      </c>
      <c r="K1239" s="26">
        <v>0</v>
      </c>
      <c r="L1239" s="26">
        <v>0</v>
      </c>
    </row>
    <row r="1240" spans="1:12" ht="16" customHeight="1">
      <c r="A1240" t="s">
        <v>312</v>
      </c>
      <c r="B1240" t="s">
        <v>4</v>
      </c>
      <c r="C1240" t="s">
        <v>26</v>
      </c>
      <c r="D1240" s="24">
        <v>45992</v>
      </c>
      <c r="E1240" t="s">
        <v>236</v>
      </c>
      <c r="F1240" t="s">
        <v>4</v>
      </c>
      <c r="G1240" t="s">
        <v>217</v>
      </c>
      <c r="H1240" t="s">
        <v>217</v>
      </c>
      <c r="I1240" t="s">
        <v>334</v>
      </c>
      <c r="J1240" s="25">
        <v>10</v>
      </c>
      <c r="K1240" s="26">
        <v>2.06</v>
      </c>
      <c r="L1240" s="26">
        <v>7.0000000000000007E-2</v>
      </c>
    </row>
    <row r="1241" spans="1:12" ht="16" customHeight="1">
      <c r="A1241" t="s">
        <v>312</v>
      </c>
      <c r="B1241" t="s">
        <v>4</v>
      </c>
      <c r="C1241" t="s">
        <v>26</v>
      </c>
      <c r="D1241" s="24">
        <v>45992</v>
      </c>
      <c r="E1241" t="s">
        <v>238</v>
      </c>
      <c r="F1241" t="s">
        <v>4</v>
      </c>
      <c r="G1241" t="s">
        <v>217</v>
      </c>
      <c r="H1241" t="s">
        <v>217</v>
      </c>
      <c r="I1241" t="s">
        <v>335</v>
      </c>
      <c r="J1241" s="25">
        <v>0</v>
      </c>
      <c r="K1241" s="26">
        <v>0</v>
      </c>
      <c r="L1241" s="26">
        <v>0</v>
      </c>
    </row>
    <row r="1242" spans="1:12" ht="16" customHeight="1">
      <c r="A1242" t="s">
        <v>312</v>
      </c>
      <c r="B1242" t="s">
        <v>4</v>
      </c>
      <c r="C1242" t="s">
        <v>26</v>
      </c>
      <c r="D1242" s="24">
        <v>45992</v>
      </c>
      <c r="E1242" t="s">
        <v>240</v>
      </c>
      <c r="F1242" t="s">
        <v>3</v>
      </c>
      <c r="G1242" t="s">
        <v>241</v>
      </c>
      <c r="H1242" t="s">
        <v>241</v>
      </c>
      <c r="I1242" t="s">
        <v>336</v>
      </c>
      <c r="J1242" s="25">
        <v>0</v>
      </c>
      <c r="K1242" s="26">
        <v>0</v>
      </c>
      <c r="L1242" s="26">
        <v>0</v>
      </c>
    </row>
    <row r="1243" spans="1:12" ht="16" customHeight="1">
      <c r="A1243" t="s">
        <v>312</v>
      </c>
      <c r="B1243" t="s">
        <v>4</v>
      </c>
      <c r="C1243" t="s">
        <v>26</v>
      </c>
      <c r="D1243" s="24">
        <v>45992</v>
      </c>
      <c r="E1243" t="s">
        <v>243</v>
      </c>
      <c r="F1243" t="s">
        <v>4</v>
      </c>
      <c r="G1243" t="s">
        <v>217</v>
      </c>
      <c r="H1243" t="s">
        <v>217</v>
      </c>
      <c r="I1243" t="s">
        <v>337</v>
      </c>
      <c r="J1243" s="25">
        <v>0</v>
      </c>
      <c r="K1243" s="26">
        <v>0</v>
      </c>
      <c r="L1243" s="26">
        <v>0</v>
      </c>
    </row>
    <row r="1244" spans="1:12" ht="16" customHeight="1">
      <c r="A1244" t="s">
        <v>343</v>
      </c>
      <c r="B1244" t="s">
        <v>5</v>
      </c>
      <c r="C1244" t="s">
        <v>26</v>
      </c>
      <c r="D1244" s="24">
        <v>45992</v>
      </c>
      <c r="E1244" t="s">
        <v>316</v>
      </c>
      <c r="F1244" t="s">
        <v>4</v>
      </c>
      <c r="G1244" t="s">
        <v>211</v>
      </c>
      <c r="H1244" t="s">
        <v>211</v>
      </c>
      <c r="I1244" t="s">
        <v>212</v>
      </c>
      <c r="J1244" s="25">
        <v>62017240</v>
      </c>
      <c r="K1244" s="26">
        <v>12082256.91</v>
      </c>
      <c r="L1244" s="26">
        <v>34816.81</v>
      </c>
    </row>
    <row r="1245" spans="1:12" ht="16" customHeight="1">
      <c r="A1245" t="s">
        <v>343</v>
      </c>
      <c r="B1245" t="s">
        <v>5</v>
      </c>
      <c r="C1245" t="s">
        <v>26</v>
      </c>
      <c r="D1245" s="24">
        <v>45992</v>
      </c>
      <c r="E1245" t="s">
        <v>321</v>
      </c>
      <c r="F1245" t="s">
        <v>4</v>
      </c>
      <c r="G1245" t="s">
        <v>211</v>
      </c>
      <c r="H1245" t="s">
        <v>211</v>
      </c>
      <c r="I1245" t="s">
        <v>212</v>
      </c>
      <c r="J1245" s="25">
        <v>1088506</v>
      </c>
      <c r="K1245" s="26">
        <v>212511.73</v>
      </c>
      <c r="L1245" s="26">
        <v>790.11</v>
      </c>
    </row>
    <row r="1246" spans="1:12" ht="16" customHeight="1">
      <c r="A1246" t="s">
        <v>343</v>
      </c>
      <c r="B1246" t="s">
        <v>5</v>
      </c>
      <c r="C1246" t="s">
        <v>26</v>
      </c>
      <c r="D1246" s="24">
        <v>45992</v>
      </c>
      <c r="E1246" t="s">
        <v>222</v>
      </c>
      <c r="F1246" t="s">
        <v>4</v>
      </c>
      <c r="G1246" t="s">
        <v>217</v>
      </c>
      <c r="H1246" t="s">
        <v>217</v>
      </c>
      <c r="I1246" t="s">
        <v>212</v>
      </c>
      <c r="J1246" s="25">
        <v>1628557</v>
      </c>
      <c r="K1246" s="26">
        <v>319117.81</v>
      </c>
      <c r="L1246" s="26">
        <v>1741.29</v>
      </c>
    </row>
    <row r="1247" spans="1:12" ht="16" customHeight="1">
      <c r="A1247" t="s">
        <v>343</v>
      </c>
      <c r="B1247" t="s">
        <v>5</v>
      </c>
      <c r="C1247" t="s">
        <v>26</v>
      </c>
      <c r="D1247" s="24">
        <v>45992</v>
      </c>
      <c r="E1247" t="s">
        <v>339</v>
      </c>
      <c r="F1247" t="s">
        <v>4</v>
      </c>
      <c r="G1247" t="s">
        <v>211</v>
      </c>
      <c r="H1247" t="s">
        <v>211</v>
      </c>
      <c r="I1247" t="s">
        <v>219</v>
      </c>
      <c r="J1247" s="25">
        <v>27470</v>
      </c>
      <c r="K1247" s="26">
        <v>4686.6400000000003</v>
      </c>
      <c r="L1247" s="26">
        <v>33.46</v>
      </c>
    </row>
    <row r="1248" spans="1:12" ht="16" customHeight="1">
      <c r="A1248" t="s">
        <v>343</v>
      </c>
      <c r="B1248" t="s">
        <v>5</v>
      </c>
      <c r="C1248" t="s">
        <v>26</v>
      </c>
      <c r="D1248" s="24">
        <v>45992</v>
      </c>
      <c r="E1248" t="s">
        <v>344</v>
      </c>
      <c r="F1248" t="s">
        <v>4</v>
      </c>
      <c r="G1248" t="s">
        <v>211</v>
      </c>
      <c r="H1248" t="s">
        <v>211</v>
      </c>
      <c r="I1248" t="s">
        <v>219</v>
      </c>
      <c r="J1248" s="25">
        <v>152</v>
      </c>
      <c r="K1248" s="26">
        <v>26.2</v>
      </c>
      <c r="L1248" s="26">
        <v>0.2</v>
      </c>
    </row>
    <row r="1249" spans="1:12" ht="16" customHeight="1">
      <c r="A1249" t="s">
        <v>343</v>
      </c>
      <c r="B1249" t="s">
        <v>5</v>
      </c>
      <c r="C1249" t="s">
        <v>26</v>
      </c>
      <c r="D1249" s="24">
        <v>45992</v>
      </c>
      <c r="E1249" t="s">
        <v>296</v>
      </c>
      <c r="F1249" t="s">
        <v>4</v>
      </c>
      <c r="G1249" t="s">
        <v>217</v>
      </c>
      <c r="H1249" t="s">
        <v>217</v>
      </c>
      <c r="I1249" t="s">
        <v>219</v>
      </c>
      <c r="J1249" s="25">
        <v>194871</v>
      </c>
      <c r="K1249" s="26">
        <v>33320.82</v>
      </c>
      <c r="L1249" s="26">
        <v>249.88</v>
      </c>
    </row>
    <row r="1250" spans="1:12" ht="16" customHeight="1">
      <c r="A1250" t="s">
        <v>343</v>
      </c>
      <c r="B1250" t="s">
        <v>5</v>
      </c>
      <c r="C1250" t="s">
        <v>26</v>
      </c>
      <c r="D1250" s="24">
        <v>45992</v>
      </c>
      <c r="E1250" t="s">
        <v>326</v>
      </c>
      <c r="F1250" t="s">
        <v>4</v>
      </c>
      <c r="G1250" t="s">
        <v>217</v>
      </c>
      <c r="H1250" t="s">
        <v>217</v>
      </c>
      <c r="I1250" t="s">
        <v>221</v>
      </c>
      <c r="J1250" s="25">
        <v>40153</v>
      </c>
      <c r="K1250" s="26">
        <v>6892.64</v>
      </c>
      <c r="L1250" s="26">
        <v>83.1</v>
      </c>
    </row>
    <row r="1251" spans="1:12" ht="16" customHeight="1">
      <c r="A1251" t="s">
        <v>343</v>
      </c>
      <c r="B1251" t="s">
        <v>5</v>
      </c>
      <c r="C1251" t="s">
        <v>26</v>
      </c>
      <c r="D1251" s="24">
        <v>45992</v>
      </c>
      <c r="E1251" t="s">
        <v>224</v>
      </c>
      <c r="F1251" t="s">
        <v>4</v>
      </c>
      <c r="G1251" t="s">
        <v>217</v>
      </c>
      <c r="H1251" t="s">
        <v>217</v>
      </c>
      <c r="I1251" t="s">
        <v>223</v>
      </c>
      <c r="J1251" s="25">
        <v>35246</v>
      </c>
      <c r="K1251" s="26">
        <v>7185.77</v>
      </c>
      <c r="L1251" s="26">
        <v>85.39</v>
      </c>
    </row>
    <row r="1252" spans="1:12" ht="16" customHeight="1">
      <c r="A1252" t="s">
        <v>343</v>
      </c>
      <c r="B1252" t="s">
        <v>5</v>
      </c>
      <c r="C1252" t="s">
        <v>26</v>
      </c>
      <c r="D1252" s="24">
        <v>45992</v>
      </c>
      <c r="E1252" t="s">
        <v>226</v>
      </c>
      <c r="F1252" t="s">
        <v>4</v>
      </c>
      <c r="G1252" t="s">
        <v>217</v>
      </c>
      <c r="H1252" t="s">
        <v>217</v>
      </c>
      <c r="I1252" t="s">
        <v>225</v>
      </c>
      <c r="J1252" s="25">
        <v>7069</v>
      </c>
      <c r="K1252" s="26">
        <v>1446.69</v>
      </c>
      <c r="L1252" s="26">
        <v>30.35</v>
      </c>
    </row>
    <row r="1253" spans="1:12" ht="16" customHeight="1">
      <c r="A1253" t="s">
        <v>343</v>
      </c>
      <c r="B1253" t="s">
        <v>5</v>
      </c>
      <c r="C1253" t="s">
        <v>26</v>
      </c>
      <c r="D1253" s="24">
        <v>45992</v>
      </c>
      <c r="E1253" t="s">
        <v>269</v>
      </c>
      <c r="F1253" t="s">
        <v>4</v>
      </c>
      <c r="G1253" t="s">
        <v>217</v>
      </c>
      <c r="H1253" t="s">
        <v>217</v>
      </c>
      <c r="I1253" t="s">
        <v>227</v>
      </c>
      <c r="J1253" s="25">
        <v>91</v>
      </c>
      <c r="K1253" s="26">
        <v>17.38</v>
      </c>
      <c r="L1253" s="26">
        <v>0.24</v>
      </c>
    </row>
    <row r="1254" spans="1:12" ht="16" customHeight="1">
      <c r="A1254" t="s">
        <v>343</v>
      </c>
      <c r="B1254" t="s">
        <v>5</v>
      </c>
      <c r="C1254" t="s">
        <v>26</v>
      </c>
      <c r="D1254" s="24">
        <v>45992</v>
      </c>
      <c r="E1254" t="s">
        <v>228</v>
      </c>
      <c r="F1254" t="s">
        <v>4</v>
      </c>
      <c r="G1254" t="s">
        <v>217</v>
      </c>
      <c r="H1254" t="s">
        <v>217</v>
      </c>
      <c r="I1254" t="s">
        <v>330</v>
      </c>
      <c r="J1254" s="25">
        <v>2905</v>
      </c>
      <c r="K1254" s="26">
        <v>595.12</v>
      </c>
      <c r="L1254" s="26">
        <v>20.32</v>
      </c>
    </row>
    <row r="1255" spans="1:12" ht="16" customHeight="1">
      <c r="A1255" t="s">
        <v>343</v>
      </c>
      <c r="B1255" t="s">
        <v>5</v>
      </c>
      <c r="C1255" t="s">
        <v>26</v>
      </c>
      <c r="D1255" s="24">
        <v>45992</v>
      </c>
      <c r="E1255" t="s">
        <v>230</v>
      </c>
      <c r="F1255" t="s">
        <v>4</v>
      </c>
      <c r="G1255" t="s">
        <v>217</v>
      </c>
      <c r="H1255" t="s">
        <v>217</v>
      </c>
      <c r="I1255" t="s">
        <v>331</v>
      </c>
      <c r="J1255" s="25">
        <v>0</v>
      </c>
      <c r="K1255" s="26">
        <v>0</v>
      </c>
      <c r="L1255" s="26">
        <v>0</v>
      </c>
    </row>
    <row r="1256" spans="1:12" ht="16" customHeight="1">
      <c r="A1256" t="s">
        <v>343</v>
      </c>
      <c r="B1256" t="s">
        <v>5</v>
      </c>
      <c r="C1256" t="s">
        <v>26</v>
      </c>
      <c r="D1256" s="24">
        <v>45992</v>
      </c>
      <c r="E1256" t="s">
        <v>232</v>
      </c>
      <c r="F1256" t="s">
        <v>4</v>
      </c>
      <c r="G1256" t="s">
        <v>217</v>
      </c>
      <c r="H1256" t="s">
        <v>217</v>
      </c>
      <c r="I1256" t="s">
        <v>332</v>
      </c>
      <c r="J1256" s="25">
        <v>4</v>
      </c>
      <c r="K1256" s="26">
        <v>0.8</v>
      </c>
      <c r="L1256" s="26">
        <v>0.02</v>
      </c>
    </row>
    <row r="1257" spans="1:12" ht="16" customHeight="1">
      <c r="A1257" t="s">
        <v>343</v>
      </c>
      <c r="B1257" t="s">
        <v>5</v>
      </c>
      <c r="C1257" t="s">
        <v>26</v>
      </c>
      <c r="D1257" s="24">
        <v>45992</v>
      </c>
      <c r="E1257" t="s">
        <v>234</v>
      </c>
      <c r="F1257" t="s">
        <v>4</v>
      </c>
      <c r="G1257" t="s">
        <v>217</v>
      </c>
      <c r="H1257" t="s">
        <v>217</v>
      </c>
      <c r="I1257" t="s">
        <v>333</v>
      </c>
      <c r="J1257" s="25">
        <v>0</v>
      </c>
      <c r="K1257" s="26">
        <v>0</v>
      </c>
      <c r="L1257" s="26">
        <v>0</v>
      </c>
    </row>
    <row r="1258" spans="1:12" ht="16" customHeight="1">
      <c r="A1258" t="s">
        <v>343</v>
      </c>
      <c r="B1258" t="s">
        <v>5</v>
      </c>
      <c r="C1258" t="s">
        <v>26</v>
      </c>
      <c r="D1258" s="24">
        <v>45992</v>
      </c>
      <c r="E1258" t="s">
        <v>236</v>
      </c>
      <c r="F1258" t="s">
        <v>4</v>
      </c>
      <c r="G1258" t="s">
        <v>217</v>
      </c>
      <c r="H1258" t="s">
        <v>217</v>
      </c>
      <c r="I1258" t="s">
        <v>334</v>
      </c>
      <c r="J1258" s="25">
        <v>0</v>
      </c>
      <c r="K1258" s="26">
        <v>0</v>
      </c>
      <c r="L1258" s="26">
        <v>0</v>
      </c>
    </row>
    <row r="1259" spans="1:12" ht="16" customHeight="1">
      <c r="A1259" t="s">
        <v>343</v>
      </c>
      <c r="B1259" t="s">
        <v>5</v>
      </c>
      <c r="C1259" t="s">
        <v>26</v>
      </c>
      <c r="D1259" s="24">
        <v>45992</v>
      </c>
      <c r="E1259" t="s">
        <v>238</v>
      </c>
      <c r="F1259" t="s">
        <v>4</v>
      </c>
      <c r="G1259" t="s">
        <v>217</v>
      </c>
      <c r="H1259" t="s">
        <v>217</v>
      </c>
      <c r="I1259" t="s">
        <v>335</v>
      </c>
      <c r="J1259" s="25">
        <v>0</v>
      </c>
      <c r="K1259" s="26">
        <v>0</v>
      </c>
      <c r="L1259" s="26">
        <v>0</v>
      </c>
    </row>
    <row r="1260" spans="1:12" ht="16" customHeight="1">
      <c r="A1260" t="s">
        <v>343</v>
      </c>
      <c r="B1260" t="s">
        <v>5</v>
      </c>
      <c r="C1260" t="s">
        <v>26</v>
      </c>
      <c r="D1260" s="24">
        <v>45992</v>
      </c>
      <c r="E1260" t="s">
        <v>240</v>
      </c>
      <c r="F1260" t="s">
        <v>3</v>
      </c>
      <c r="G1260" t="s">
        <v>241</v>
      </c>
      <c r="H1260" t="s">
        <v>241</v>
      </c>
      <c r="I1260" t="s">
        <v>336</v>
      </c>
      <c r="J1260" s="25">
        <v>0</v>
      </c>
      <c r="K1260" s="26">
        <v>0</v>
      </c>
      <c r="L1260" s="26">
        <v>0</v>
      </c>
    </row>
    <row r="1261" spans="1:12" ht="16" customHeight="1">
      <c r="A1261" t="s">
        <v>343</v>
      </c>
      <c r="B1261" t="s">
        <v>5</v>
      </c>
      <c r="C1261" t="s">
        <v>26</v>
      </c>
      <c r="D1261" s="24">
        <v>45992</v>
      </c>
      <c r="E1261" t="s">
        <v>243</v>
      </c>
      <c r="F1261" t="s">
        <v>4</v>
      </c>
      <c r="G1261" t="s">
        <v>217</v>
      </c>
      <c r="H1261" t="s">
        <v>217</v>
      </c>
      <c r="I1261" t="s">
        <v>337</v>
      </c>
      <c r="J1261" s="25">
        <v>0</v>
      </c>
      <c r="K1261" s="26">
        <v>0</v>
      </c>
      <c r="L1261" s="26">
        <v>0</v>
      </c>
    </row>
    <row r="1262" spans="1:12" ht="16" customHeight="1">
      <c r="A1262" t="s">
        <v>345</v>
      </c>
      <c r="B1262" t="s">
        <v>6</v>
      </c>
      <c r="C1262" t="s">
        <v>26</v>
      </c>
      <c r="D1262" s="24">
        <v>45992</v>
      </c>
      <c r="E1262" t="s">
        <v>316</v>
      </c>
      <c r="F1262" t="s">
        <v>4</v>
      </c>
      <c r="G1262" t="s">
        <v>211</v>
      </c>
      <c r="H1262" t="s">
        <v>211</v>
      </c>
      <c r="I1262" t="s">
        <v>212</v>
      </c>
      <c r="J1262" s="25">
        <v>64159868</v>
      </c>
      <c r="K1262" s="26">
        <v>12480017.6</v>
      </c>
      <c r="L1262" s="26">
        <v>31490.42</v>
      </c>
    </row>
    <row r="1263" spans="1:12" ht="16" customHeight="1">
      <c r="A1263" t="s">
        <v>345</v>
      </c>
      <c r="B1263" t="s">
        <v>6</v>
      </c>
      <c r="C1263" t="s">
        <v>26</v>
      </c>
      <c r="D1263" s="24">
        <v>45992</v>
      </c>
      <c r="E1263" t="s">
        <v>321</v>
      </c>
      <c r="F1263" t="s">
        <v>4</v>
      </c>
      <c r="G1263" t="s">
        <v>211</v>
      </c>
      <c r="H1263" t="s">
        <v>211</v>
      </c>
      <c r="I1263" t="s">
        <v>212</v>
      </c>
      <c r="J1263" s="25">
        <v>1578651</v>
      </c>
      <c r="K1263" s="26">
        <v>308003.06</v>
      </c>
      <c r="L1263" s="26">
        <v>1193.4100000000001</v>
      </c>
    </row>
    <row r="1264" spans="1:12" ht="16" customHeight="1">
      <c r="A1264" t="s">
        <v>345</v>
      </c>
      <c r="B1264" t="s">
        <v>6</v>
      </c>
      <c r="C1264" t="s">
        <v>26</v>
      </c>
      <c r="D1264" s="24">
        <v>45992</v>
      </c>
      <c r="E1264" t="s">
        <v>222</v>
      </c>
      <c r="F1264" t="s">
        <v>4</v>
      </c>
      <c r="G1264" t="s">
        <v>217</v>
      </c>
      <c r="H1264" t="s">
        <v>217</v>
      </c>
      <c r="I1264" t="s">
        <v>212</v>
      </c>
      <c r="J1264" s="25">
        <v>1738617</v>
      </c>
      <c r="K1264" s="26">
        <v>339804.35</v>
      </c>
      <c r="L1264" s="26">
        <v>1875.99</v>
      </c>
    </row>
    <row r="1265" spans="1:12" ht="16" customHeight="1">
      <c r="A1265" t="s">
        <v>345</v>
      </c>
      <c r="B1265" t="s">
        <v>6</v>
      </c>
      <c r="C1265" t="s">
        <v>26</v>
      </c>
      <c r="D1265" s="24">
        <v>45992</v>
      </c>
      <c r="E1265" t="s">
        <v>339</v>
      </c>
      <c r="F1265" t="s">
        <v>4</v>
      </c>
      <c r="G1265" t="s">
        <v>211</v>
      </c>
      <c r="H1265" t="s">
        <v>211</v>
      </c>
      <c r="I1265" t="s">
        <v>219</v>
      </c>
      <c r="J1265" s="25">
        <v>18042</v>
      </c>
      <c r="K1265" s="26">
        <v>3079.17</v>
      </c>
      <c r="L1265" s="26">
        <v>20.22</v>
      </c>
    </row>
    <row r="1266" spans="1:12" ht="16" customHeight="1">
      <c r="A1266" t="s">
        <v>345</v>
      </c>
      <c r="B1266" t="s">
        <v>6</v>
      </c>
      <c r="C1266" t="s">
        <v>26</v>
      </c>
      <c r="D1266" s="24">
        <v>45992</v>
      </c>
      <c r="E1266" t="s">
        <v>344</v>
      </c>
      <c r="F1266" t="s">
        <v>4</v>
      </c>
      <c r="G1266" t="s">
        <v>211</v>
      </c>
      <c r="H1266" t="s">
        <v>211</v>
      </c>
      <c r="I1266" t="s">
        <v>219</v>
      </c>
      <c r="J1266" s="25">
        <v>604</v>
      </c>
      <c r="K1266" s="26">
        <v>103.62</v>
      </c>
      <c r="L1266" s="26">
        <v>0.55000000000000004</v>
      </c>
    </row>
    <row r="1267" spans="1:12" ht="16" customHeight="1">
      <c r="A1267" t="s">
        <v>345</v>
      </c>
      <c r="B1267" t="s">
        <v>6</v>
      </c>
      <c r="C1267" t="s">
        <v>26</v>
      </c>
      <c r="D1267" s="24">
        <v>45992</v>
      </c>
      <c r="E1267" t="s">
        <v>296</v>
      </c>
      <c r="F1267" t="s">
        <v>4</v>
      </c>
      <c r="G1267" t="s">
        <v>217</v>
      </c>
      <c r="H1267" t="s">
        <v>217</v>
      </c>
      <c r="I1267" t="s">
        <v>219</v>
      </c>
      <c r="J1267" s="25">
        <v>181926</v>
      </c>
      <c r="K1267" s="26">
        <v>31028.67</v>
      </c>
      <c r="L1267" s="26">
        <v>245.84</v>
      </c>
    </row>
    <row r="1268" spans="1:12" ht="16" customHeight="1">
      <c r="A1268" t="s">
        <v>345</v>
      </c>
      <c r="B1268" t="s">
        <v>6</v>
      </c>
      <c r="C1268" t="s">
        <v>26</v>
      </c>
      <c r="D1268" s="24">
        <v>45992</v>
      </c>
      <c r="E1268" t="s">
        <v>326</v>
      </c>
      <c r="F1268" t="s">
        <v>4</v>
      </c>
      <c r="G1268" t="s">
        <v>217</v>
      </c>
      <c r="H1268" t="s">
        <v>217</v>
      </c>
      <c r="I1268" t="s">
        <v>221</v>
      </c>
      <c r="J1268" s="25">
        <v>35641</v>
      </c>
      <c r="K1268" s="26">
        <v>6139.32</v>
      </c>
      <c r="L1268" s="26">
        <v>72.64</v>
      </c>
    </row>
    <row r="1269" spans="1:12" ht="16" customHeight="1">
      <c r="A1269" t="s">
        <v>345</v>
      </c>
      <c r="B1269" t="s">
        <v>6</v>
      </c>
      <c r="C1269" t="s">
        <v>26</v>
      </c>
      <c r="D1269" s="24">
        <v>45992</v>
      </c>
      <c r="E1269" t="s">
        <v>224</v>
      </c>
      <c r="F1269" t="s">
        <v>4</v>
      </c>
      <c r="G1269" t="s">
        <v>217</v>
      </c>
      <c r="H1269" t="s">
        <v>217</v>
      </c>
      <c r="I1269" t="s">
        <v>223</v>
      </c>
      <c r="J1269" s="25">
        <v>22995</v>
      </c>
      <c r="K1269" s="26">
        <v>4582.6400000000003</v>
      </c>
      <c r="L1269" s="26">
        <v>76.14</v>
      </c>
    </row>
    <row r="1270" spans="1:12" ht="16" customHeight="1">
      <c r="A1270" t="s">
        <v>345</v>
      </c>
      <c r="B1270" t="s">
        <v>6</v>
      </c>
      <c r="C1270" t="s">
        <v>26</v>
      </c>
      <c r="D1270" s="24">
        <v>45992</v>
      </c>
      <c r="E1270" t="s">
        <v>226</v>
      </c>
      <c r="F1270" t="s">
        <v>4</v>
      </c>
      <c r="G1270" t="s">
        <v>217</v>
      </c>
      <c r="H1270" t="s">
        <v>217</v>
      </c>
      <c r="I1270" t="s">
        <v>225</v>
      </c>
      <c r="J1270" s="25">
        <v>10882</v>
      </c>
      <c r="K1270" s="26">
        <v>2186.08</v>
      </c>
      <c r="L1270" s="26">
        <v>39.200000000000003</v>
      </c>
    </row>
    <row r="1271" spans="1:12" ht="16" customHeight="1">
      <c r="A1271" t="s">
        <v>345</v>
      </c>
      <c r="B1271" t="s">
        <v>6</v>
      </c>
      <c r="C1271" t="s">
        <v>26</v>
      </c>
      <c r="D1271" s="24">
        <v>45992</v>
      </c>
      <c r="E1271" t="s">
        <v>269</v>
      </c>
      <c r="F1271" t="s">
        <v>4</v>
      </c>
      <c r="G1271" t="s">
        <v>217</v>
      </c>
      <c r="H1271" t="s">
        <v>217</v>
      </c>
      <c r="I1271" t="s">
        <v>227</v>
      </c>
      <c r="J1271" s="25">
        <v>48</v>
      </c>
      <c r="K1271" s="26">
        <v>9.56</v>
      </c>
      <c r="L1271" s="26">
        <v>0.12</v>
      </c>
    </row>
    <row r="1272" spans="1:12" ht="16" customHeight="1">
      <c r="A1272" t="s">
        <v>345</v>
      </c>
      <c r="B1272" t="s">
        <v>6</v>
      </c>
      <c r="C1272" t="s">
        <v>26</v>
      </c>
      <c r="D1272" s="24">
        <v>45992</v>
      </c>
      <c r="E1272" t="s">
        <v>228</v>
      </c>
      <c r="F1272" t="s">
        <v>4</v>
      </c>
      <c r="G1272" t="s">
        <v>217</v>
      </c>
      <c r="H1272" t="s">
        <v>217</v>
      </c>
      <c r="I1272" t="s">
        <v>330</v>
      </c>
      <c r="J1272" s="25">
        <v>6113</v>
      </c>
      <c r="K1272" s="26">
        <v>1255.22</v>
      </c>
      <c r="L1272" s="26">
        <v>40.32</v>
      </c>
    </row>
    <row r="1273" spans="1:12" ht="16" customHeight="1">
      <c r="A1273" t="s">
        <v>345</v>
      </c>
      <c r="B1273" t="s">
        <v>6</v>
      </c>
      <c r="C1273" t="s">
        <v>26</v>
      </c>
      <c r="D1273" s="24">
        <v>45992</v>
      </c>
      <c r="E1273" t="s">
        <v>230</v>
      </c>
      <c r="F1273" t="s">
        <v>4</v>
      </c>
      <c r="G1273" t="s">
        <v>217</v>
      </c>
      <c r="H1273" t="s">
        <v>217</v>
      </c>
      <c r="I1273" t="s">
        <v>331</v>
      </c>
      <c r="J1273" s="25">
        <v>0</v>
      </c>
      <c r="K1273" s="26">
        <v>0</v>
      </c>
      <c r="L1273" s="26">
        <v>0</v>
      </c>
    </row>
    <row r="1274" spans="1:12" ht="16" customHeight="1">
      <c r="A1274" t="s">
        <v>345</v>
      </c>
      <c r="B1274" t="s">
        <v>6</v>
      </c>
      <c r="C1274" t="s">
        <v>26</v>
      </c>
      <c r="D1274" s="24">
        <v>45992</v>
      </c>
      <c r="E1274" t="s">
        <v>232</v>
      </c>
      <c r="F1274" t="s">
        <v>4</v>
      </c>
      <c r="G1274" t="s">
        <v>217</v>
      </c>
      <c r="H1274" t="s">
        <v>217</v>
      </c>
      <c r="I1274" t="s">
        <v>332</v>
      </c>
      <c r="J1274" s="25">
        <v>9</v>
      </c>
      <c r="K1274" s="26">
        <v>1.61</v>
      </c>
      <c r="L1274" s="26">
        <v>0.03</v>
      </c>
    </row>
    <row r="1275" spans="1:12" ht="16" customHeight="1">
      <c r="A1275" t="s">
        <v>345</v>
      </c>
      <c r="B1275" t="s">
        <v>6</v>
      </c>
      <c r="C1275" t="s">
        <v>26</v>
      </c>
      <c r="D1275" s="24">
        <v>45992</v>
      </c>
      <c r="E1275" t="s">
        <v>234</v>
      </c>
      <c r="F1275" t="s">
        <v>4</v>
      </c>
      <c r="G1275" t="s">
        <v>217</v>
      </c>
      <c r="H1275" t="s">
        <v>217</v>
      </c>
      <c r="I1275" t="s">
        <v>333</v>
      </c>
      <c r="J1275" s="25">
        <v>0</v>
      </c>
      <c r="K1275" s="26">
        <v>0</v>
      </c>
      <c r="L1275" s="26">
        <v>0</v>
      </c>
    </row>
    <row r="1276" spans="1:12" ht="16" customHeight="1">
      <c r="A1276" t="s">
        <v>345</v>
      </c>
      <c r="B1276" t="s">
        <v>6</v>
      </c>
      <c r="C1276" t="s">
        <v>26</v>
      </c>
      <c r="D1276" s="24">
        <v>45992</v>
      </c>
      <c r="E1276" t="s">
        <v>236</v>
      </c>
      <c r="F1276" t="s">
        <v>4</v>
      </c>
      <c r="G1276" t="s">
        <v>217</v>
      </c>
      <c r="H1276" t="s">
        <v>217</v>
      </c>
      <c r="I1276" t="s">
        <v>334</v>
      </c>
      <c r="J1276" s="25">
        <v>72</v>
      </c>
      <c r="K1276" s="26">
        <v>12.6</v>
      </c>
      <c r="L1276" s="26">
        <v>0.31</v>
      </c>
    </row>
    <row r="1277" spans="1:12" ht="16" customHeight="1">
      <c r="A1277" t="s">
        <v>345</v>
      </c>
      <c r="B1277" t="s">
        <v>6</v>
      </c>
      <c r="C1277" t="s">
        <v>26</v>
      </c>
      <c r="D1277" s="24">
        <v>45992</v>
      </c>
      <c r="E1277" t="s">
        <v>238</v>
      </c>
      <c r="F1277" t="s">
        <v>4</v>
      </c>
      <c r="G1277" t="s">
        <v>217</v>
      </c>
      <c r="H1277" t="s">
        <v>217</v>
      </c>
      <c r="I1277" t="s">
        <v>335</v>
      </c>
      <c r="J1277" s="25">
        <v>0</v>
      </c>
      <c r="K1277" s="26">
        <v>0</v>
      </c>
      <c r="L1277" s="26">
        <v>0</v>
      </c>
    </row>
    <row r="1278" spans="1:12" ht="16" customHeight="1">
      <c r="A1278" t="s">
        <v>345</v>
      </c>
      <c r="B1278" t="s">
        <v>6</v>
      </c>
      <c r="C1278" t="s">
        <v>26</v>
      </c>
      <c r="D1278" s="24">
        <v>45992</v>
      </c>
      <c r="E1278" t="s">
        <v>240</v>
      </c>
      <c r="F1278" t="s">
        <v>3</v>
      </c>
      <c r="G1278" t="s">
        <v>241</v>
      </c>
      <c r="H1278" t="s">
        <v>241</v>
      </c>
      <c r="I1278" t="s">
        <v>336</v>
      </c>
      <c r="J1278" s="25">
        <v>33</v>
      </c>
      <c r="K1278" s="26">
        <v>5.85</v>
      </c>
      <c r="L1278" s="26">
        <v>0.16</v>
      </c>
    </row>
    <row r="1279" spans="1:12" ht="16" customHeight="1">
      <c r="A1279" t="s">
        <v>345</v>
      </c>
      <c r="B1279" t="s">
        <v>6</v>
      </c>
      <c r="C1279" t="s">
        <v>26</v>
      </c>
      <c r="D1279" s="24">
        <v>45992</v>
      </c>
      <c r="E1279" t="s">
        <v>243</v>
      </c>
      <c r="F1279" t="s">
        <v>4</v>
      </c>
      <c r="G1279" t="s">
        <v>217</v>
      </c>
      <c r="H1279" t="s">
        <v>217</v>
      </c>
      <c r="I1279" t="s">
        <v>337</v>
      </c>
      <c r="J1279" s="25">
        <v>0</v>
      </c>
      <c r="K1279" s="26">
        <v>0</v>
      </c>
      <c r="L1279" s="26">
        <v>0</v>
      </c>
    </row>
    <row r="1280" spans="1:12" ht="16" customHeight="1">
      <c r="A1280" t="s">
        <v>346</v>
      </c>
      <c r="B1280" t="s">
        <v>7</v>
      </c>
      <c r="C1280" t="s">
        <v>26</v>
      </c>
      <c r="D1280" s="24">
        <v>45992</v>
      </c>
      <c r="E1280" t="s">
        <v>316</v>
      </c>
      <c r="F1280" t="s">
        <v>4</v>
      </c>
      <c r="G1280" t="s">
        <v>211</v>
      </c>
      <c r="H1280" t="s">
        <v>211</v>
      </c>
      <c r="I1280" t="s">
        <v>212</v>
      </c>
      <c r="J1280" s="25">
        <v>94717457</v>
      </c>
      <c r="K1280" s="26">
        <v>18492628.809999999</v>
      </c>
      <c r="L1280" s="26">
        <v>40484.339999999997</v>
      </c>
    </row>
    <row r="1281" spans="1:12" ht="16" customHeight="1">
      <c r="A1281" t="s">
        <v>346</v>
      </c>
      <c r="B1281" t="s">
        <v>7</v>
      </c>
      <c r="C1281" t="s">
        <v>26</v>
      </c>
      <c r="D1281" s="24">
        <v>45992</v>
      </c>
      <c r="E1281" t="s">
        <v>321</v>
      </c>
      <c r="F1281" t="s">
        <v>4</v>
      </c>
      <c r="G1281" t="s">
        <v>211</v>
      </c>
      <c r="H1281" t="s">
        <v>211</v>
      </c>
      <c r="I1281" t="s">
        <v>212</v>
      </c>
      <c r="J1281" s="25">
        <v>2186608</v>
      </c>
      <c r="K1281" s="26">
        <v>427982.56</v>
      </c>
      <c r="L1281" s="26">
        <v>1396.03</v>
      </c>
    </row>
    <row r="1282" spans="1:12" ht="16" customHeight="1">
      <c r="A1282" t="s">
        <v>346</v>
      </c>
      <c r="B1282" t="s">
        <v>7</v>
      </c>
      <c r="C1282" t="s">
        <v>26</v>
      </c>
      <c r="D1282" s="24">
        <v>45992</v>
      </c>
      <c r="E1282" t="s">
        <v>222</v>
      </c>
      <c r="F1282" t="s">
        <v>4</v>
      </c>
      <c r="G1282" t="s">
        <v>217</v>
      </c>
      <c r="H1282" t="s">
        <v>217</v>
      </c>
      <c r="I1282" t="s">
        <v>212</v>
      </c>
      <c r="J1282" s="25">
        <v>1785413</v>
      </c>
      <c r="K1282" s="26">
        <v>349897.72</v>
      </c>
      <c r="L1282" s="26">
        <v>1747.23</v>
      </c>
    </row>
    <row r="1283" spans="1:12" ht="16" customHeight="1">
      <c r="A1283" t="s">
        <v>346</v>
      </c>
      <c r="B1283" t="s">
        <v>7</v>
      </c>
      <c r="C1283" t="s">
        <v>26</v>
      </c>
      <c r="D1283" s="24">
        <v>45992</v>
      </c>
      <c r="E1283" t="s">
        <v>339</v>
      </c>
      <c r="F1283" t="s">
        <v>4</v>
      </c>
      <c r="G1283" t="s">
        <v>211</v>
      </c>
      <c r="H1283" t="s">
        <v>211</v>
      </c>
      <c r="I1283" t="s">
        <v>219</v>
      </c>
      <c r="J1283" s="25">
        <v>28781</v>
      </c>
      <c r="K1283" s="26">
        <v>4914.07</v>
      </c>
      <c r="L1283" s="26">
        <v>31.09</v>
      </c>
    </row>
    <row r="1284" spans="1:12" ht="16" customHeight="1">
      <c r="A1284" t="s">
        <v>346</v>
      </c>
      <c r="B1284" t="s">
        <v>7</v>
      </c>
      <c r="C1284" t="s">
        <v>26</v>
      </c>
      <c r="D1284" s="24">
        <v>45992</v>
      </c>
      <c r="E1284" t="s">
        <v>344</v>
      </c>
      <c r="F1284" t="s">
        <v>4</v>
      </c>
      <c r="G1284" t="s">
        <v>211</v>
      </c>
      <c r="H1284" t="s">
        <v>211</v>
      </c>
      <c r="I1284" t="s">
        <v>219</v>
      </c>
      <c r="J1284" s="25">
        <v>1275</v>
      </c>
      <c r="K1284" s="26">
        <v>217.83</v>
      </c>
      <c r="L1284" s="26">
        <v>1.48</v>
      </c>
    </row>
    <row r="1285" spans="1:12" ht="16" customHeight="1">
      <c r="A1285" t="s">
        <v>346</v>
      </c>
      <c r="B1285" t="s">
        <v>7</v>
      </c>
      <c r="C1285" t="s">
        <v>26</v>
      </c>
      <c r="D1285" s="24">
        <v>45992</v>
      </c>
      <c r="E1285" t="s">
        <v>296</v>
      </c>
      <c r="F1285" t="s">
        <v>4</v>
      </c>
      <c r="G1285" t="s">
        <v>217</v>
      </c>
      <c r="H1285" t="s">
        <v>217</v>
      </c>
      <c r="I1285" t="s">
        <v>219</v>
      </c>
      <c r="J1285" s="25">
        <v>204610</v>
      </c>
      <c r="K1285" s="26">
        <v>34831.26</v>
      </c>
      <c r="L1285" s="26">
        <v>247.96</v>
      </c>
    </row>
    <row r="1286" spans="1:12" ht="16" customHeight="1">
      <c r="A1286" t="s">
        <v>346</v>
      </c>
      <c r="B1286" t="s">
        <v>7</v>
      </c>
      <c r="C1286" t="s">
        <v>26</v>
      </c>
      <c r="D1286" s="24">
        <v>45992</v>
      </c>
      <c r="E1286" t="s">
        <v>326</v>
      </c>
      <c r="F1286" t="s">
        <v>4</v>
      </c>
      <c r="G1286" t="s">
        <v>217</v>
      </c>
      <c r="H1286" t="s">
        <v>217</v>
      </c>
      <c r="I1286" t="s">
        <v>221</v>
      </c>
      <c r="J1286" s="25">
        <v>35355</v>
      </c>
      <c r="K1286" s="26">
        <v>6029.17</v>
      </c>
      <c r="L1286" s="26">
        <v>58.67</v>
      </c>
    </row>
    <row r="1287" spans="1:12" ht="16" customHeight="1">
      <c r="A1287" t="s">
        <v>346</v>
      </c>
      <c r="B1287" t="s">
        <v>7</v>
      </c>
      <c r="C1287" t="s">
        <v>26</v>
      </c>
      <c r="D1287" s="24">
        <v>45992</v>
      </c>
      <c r="E1287" t="s">
        <v>224</v>
      </c>
      <c r="F1287" t="s">
        <v>4</v>
      </c>
      <c r="G1287" t="s">
        <v>217</v>
      </c>
      <c r="H1287" t="s">
        <v>217</v>
      </c>
      <c r="I1287" t="s">
        <v>223</v>
      </c>
      <c r="J1287" s="25">
        <v>27932</v>
      </c>
      <c r="K1287" s="26">
        <v>5378.42</v>
      </c>
      <c r="L1287" s="26">
        <v>68.400000000000006</v>
      </c>
    </row>
    <row r="1288" spans="1:12" ht="16" customHeight="1">
      <c r="A1288" t="s">
        <v>346</v>
      </c>
      <c r="B1288" t="s">
        <v>7</v>
      </c>
      <c r="C1288" t="s">
        <v>26</v>
      </c>
      <c r="D1288" s="24">
        <v>45992</v>
      </c>
      <c r="E1288" t="s">
        <v>226</v>
      </c>
      <c r="F1288" t="s">
        <v>4</v>
      </c>
      <c r="G1288" t="s">
        <v>217</v>
      </c>
      <c r="H1288" t="s">
        <v>217</v>
      </c>
      <c r="I1288" t="s">
        <v>225</v>
      </c>
      <c r="J1288" s="25">
        <v>6698</v>
      </c>
      <c r="K1288" s="26">
        <v>1329.74</v>
      </c>
      <c r="L1288" s="26">
        <v>21.19</v>
      </c>
    </row>
    <row r="1289" spans="1:12" ht="16" customHeight="1">
      <c r="A1289" t="s">
        <v>346</v>
      </c>
      <c r="B1289" t="s">
        <v>7</v>
      </c>
      <c r="C1289" t="s">
        <v>26</v>
      </c>
      <c r="D1289" s="24">
        <v>45992</v>
      </c>
      <c r="E1289" t="s">
        <v>269</v>
      </c>
      <c r="F1289" t="s">
        <v>4</v>
      </c>
      <c r="G1289" t="s">
        <v>217</v>
      </c>
      <c r="H1289" t="s">
        <v>217</v>
      </c>
      <c r="I1289" t="s">
        <v>227</v>
      </c>
      <c r="J1289" s="25">
        <v>368</v>
      </c>
      <c r="K1289" s="26">
        <v>74.680000000000007</v>
      </c>
      <c r="L1289" s="26">
        <v>0.78</v>
      </c>
    </row>
    <row r="1290" spans="1:12" ht="16" customHeight="1">
      <c r="A1290" t="s">
        <v>346</v>
      </c>
      <c r="B1290" t="s">
        <v>7</v>
      </c>
      <c r="C1290" t="s">
        <v>26</v>
      </c>
      <c r="D1290" s="24">
        <v>45992</v>
      </c>
      <c r="E1290" t="s">
        <v>228</v>
      </c>
      <c r="F1290" t="s">
        <v>4</v>
      </c>
      <c r="G1290" t="s">
        <v>217</v>
      </c>
      <c r="H1290" t="s">
        <v>217</v>
      </c>
      <c r="I1290" t="s">
        <v>330</v>
      </c>
      <c r="J1290" s="25">
        <v>3351</v>
      </c>
      <c r="K1290" s="26">
        <v>673.88</v>
      </c>
      <c r="L1290" s="26">
        <v>18.77</v>
      </c>
    </row>
    <row r="1291" spans="1:12" ht="16" customHeight="1">
      <c r="A1291" t="s">
        <v>346</v>
      </c>
      <c r="B1291" t="s">
        <v>7</v>
      </c>
      <c r="C1291" t="s">
        <v>26</v>
      </c>
      <c r="D1291" s="24">
        <v>45992</v>
      </c>
      <c r="E1291" t="s">
        <v>230</v>
      </c>
      <c r="F1291" t="s">
        <v>4</v>
      </c>
      <c r="G1291" t="s">
        <v>217</v>
      </c>
      <c r="H1291" t="s">
        <v>217</v>
      </c>
      <c r="I1291" t="s">
        <v>331</v>
      </c>
      <c r="J1291" s="25">
        <v>0</v>
      </c>
      <c r="K1291" s="26">
        <v>0</v>
      </c>
      <c r="L1291" s="26">
        <v>0</v>
      </c>
    </row>
    <row r="1292" spans="1:12" ht="16" customHeight="1">
      <c r="A1292" t="s">
        <v>346</v>
      </c>
      <c r="B1292" t="s">
        <v>7</v>
      </c>
      <c r="C1292" t="s">
        <v>26</v>
      </c>
      <c r="D1292" s="24">
        <v>45992</v>
      </c>
      <c r="E1292" t="s">
        <v>232</v>
      </c>
      <c r="F1292" t="s">
        <v>4</v>
      </c>
      <c r="G1292" t="s">
        <v>217</v>
      </c>
      <c r="H1292" t="s">
        <v>217</v>
      </c>
      <c r="I1292" t="s">
        <v>332</v>
      </c>
      <c r="J1292" s="25">
        <v>18</v>
      </c>
      <c r="K1292" s="26">
        <v>3.32</v>
      </c>
      <c r="L1292" s="26">
        <v>0.11</v>
      </c>
    </row>
    <row r="1293" spans="1:12" ht="16" customHeight="1">
      <c r="A1293" t="s">
        <v>346</v>
      </c>
      <c r="B1293" t="s">
        <v>7</v>
      </c>
      <c r="C1293" t="s">
        <v>26</v>
      </c>
      <c r="D1293" s="24">
        <v>45992</v>
      </c>
      <c r="E1293" t="s">
        <v>234</v>
      </c>
      <c r="F1293" t="s">
        <v>4</v>
      </c>
      <c r="G1293" t="s">
        <v>217</v>
      </c>
      <c r="H1293" t="s">
        <v>217</v>
      </c>
      <c r="I1293" t="s">
        <v>333</v>
      </c>
      <c r="J1293" s="25">
        <v>0</v>
      </c>
      <c r="K1293" s="26">
        <v>0</v>
      </c>
      <c r="L1293" s="26">
        <v>0</v>
      </c>
    </row>
    <row r="1294" spans="1:12" ht="16" customHeight="1">
      <c r="A1294" t="s">
        <v>346</v>
      </c>
      <c r="B1294" t="s">
        <v>7</v>
      </c>
      <c r="C1294" t="s">
        <v>26</v>
      </c>
      <c r="D1294" s="24">
        <v>45992</v>
      </c>
      <c r="E1294" t="s">
        <v>236</v>
      </c>
      <c r="F1294" t="s">
        <v>4</v>
      </c>
      <c r="G1294" t="s">
        <v>217</v>
      </c>
      <c r="H1294" t="s">
        <v>217</v>
      </c>
      <c r="I1294" t="s">
        <v>334</v>
      </c>
      <c r="J1294" s="25">
        <v>4</v>
      </c>
      <c r="K1294" s="26">
        <v>0.66</v>
      </c>
      <c r="L1294" s="26">
        <v>0.01</v>
      </c>
    </row>
    <row r="1295" spans="1:12" ht="16" customHeight="1">
      <c r="A1295" t="s">
        <v>346</v>
      </c>
      <c r="B1295" t="s">
        <v>7</v>
      </c>
      <c r="C1295" t="s">
        <v>26</v>
      </c>
      <c r="D1295" s="24">
        <v>45992</v>
      </c>
      <c r="E1295" t="s">
        <v>238</v>
      </c>
      <c r="F1295" t="s">
        <v>4</v>
      </c>
      <c r="G1295" t="s">
        <v>217</v>
      </c>
      <c r="H1295" t="s">
        <v>217</v>
      </c>
      <c r="I1295" t="s">
        <v>335</v>
      </c>
      <c r="J1295" s="25">
        <v>0</v>
      </c>
      <c r="K1295" s="26">
        <v>0</v>
      </c>
      <c r="L1295" s="26">
        <v>0</v>
      </c>
    </row>
    <row r="1296" spans="1:12" ht="16" customHeight="1">
      <c r="A1296" t="s">
        <v>346</v>
      </c>
      <c r="B1296" t="s">
        <v>7</v>
      </c>
      <c r="C1296" t="s">
        <v>26</v>
      </c>
      <c r="D1296" s="24">
        <v>45992</v>
      </c>
      <c r="E1296" t="s">
        <v>240</v>
      </c>
      <c r="F1296" t="s">
        <v>3</v>
      </c>
      <c r="G1296" t="s">
        <v>241</v>
      </c>
      <c r="H1296" t="s">
        <v>241</v>
      </c>
      <c r="I1296" t="s">
        <v>336</v>
      </c>
      <c r="J1296" s="25">
        <v>0</v>
      </c>
      <c r="K1296" s="26">
        <v>0</v>
      </c>
      <c r="L1296" s="26">
        <v>0</v>
      </c>
    </row>
    <row r="1297" spans="1:12" ht="16" customHeight="1">
      <c r="A1297" t="s">
        <v>346</v>
      </c>
      <c r="B1297" t="s">
        <v>7</v>
      </c>
      <c r="C1297" t="s">
        <v>26</v>
      </c>
      <c r="D1297" s="24">
        <v>45992</v>
      </c>
      <c r="E1297" t="s">
        <v>243</v>
      </c>
      <c r="F1297" t="s">
        <v>4</v>
      </c>
      <c r="G1297" t="s">
        <v>217</v>
      </c>
      <c r="H1297" t="s">
        <v>217</v>
      </c>
      <c r="I1297" t="s">
        <v>337</v>
      </c>
      <c r="J1297" s="25">
        <v>0</v>
      </c>
      <c r="K1297" s="26">
        <v>0</v>
      </c>
      <c r="L1297" s="26">
        <v>0</v>
      </c>
    </row>
    <row r="1298" spans="1:12" ht="16" customHeight="1">
      <c r="A1298" t="s">
        <v>347</v>
      </c>
      <c r="B1298" t="s">
        <v>3</v>
      </c>
      <c r="C1298" t="s">
        <v>27</v>
      </c>
      <c r="D1298" s="24">
        <v>45992</v>
      </c>
      <c r="E1298" t="s">
        <v>316</v>
      </c>
      <c r="F1298" t="s">
        <v>4</v>
      </c>
      <c r="G1298" t="s">
        <v>211</v>
      </c>
      <c r="H1298" t="s">
        <v>211</v>
      </c>
      <c r="I1298" t="s">
        <v>212</v>
      </c>
      <c r="J1298" s="25">
        <v>126198933</v>
      </c>
      <c r="K1298" s="26">
        <v>24612870.600000001</v>
      </c>
      <c r="L1298" s="26">
        <v>40731.129999999997</v>
      </c>
    </row>
    <row r="1299" spans="1:12" ht="16" customHeight="1">
      <c r="A1299" t="s">
        <v>347</v>
      </c>
      <c r="B1299" t="s">
        <v>3</v>
      </c>
      <c r="C1299" t="s">
        <v>27</v>
      </c>
      <c r="D1299" s="24">
        <v>45992</v>
      </c>
      <c r="E1299" t="s">
        <v>321</v>
      </c>
      <c r="F1299" t="s">
        <v>4</v>
      </c>
      <c r="G1299" t="s">
        <v>211</v>
      </c>
      <c r="H1299" t="s">
        <v>211</v>
      </c>
      <c r="I1299" t="s">
        <v>212</v>
      </c>
      <c r="J1299" s="25">
        <v>4346404</v>
      </c>
      <c r="K1299" s="26">
        <v>850784.8</v>
      </c>
      <c r="L1299" s="26">
        <v>2422.23</v>
      </c>
    </row>
    <row r="1300" spans="1:12" ht="16" customHeight="1">
      <c r="A1300" t="s">
        <v>347</v>
      </c>
      <c r="B1300" t="s">
        <v>3</v>
      </c>
      <c r="C1300" t="s">
        <v>27</v>
      </c>
      <c r="D1300" s="24">
        <v>45992</v>
      </c>
      <c r="E1300" t="s">
        <v>222</v>
      </c>
      <c r="F1300" t="s">
        <v>4</v>
      </c>
      <c r="G1300" t="s">
        <v>217</v>
      </c>
      <c r="H1300" t="s">
        <v>217</v>
      </c>
      <c r="I1300" t="s">
        <v>212</v>
      </c>
      <c r="J1300" s="25">
        <v>1709878</v>
      </c>
      <c r="K1300" s="26">
        <v>334846.08000000002</v>
      </c>
      <c r="L1300" s="26">
        <v>1526.01</v>
      </c>
    </row>
    <row r="1301" spans="1:12" ht="16" customHeight="1">
      <c r="A1301" t="s">
        <v>347</v>
      </c>
      <c r="B1301" t="s">
        <v>3</v>
      </c>
      <c r="C1301" t="s">
        <v>27</v>
      </c>
      <c r="D1301" s="24">
        <v>45992</v>
      </c>
      <c r="E1301" t="s">
        <v>339</v>
      </c>
      <c r="F1301" t="s">
        <v>4</v>
      </c>
      <c r="G1301" t="s">
        <v>211</v>
      </c>
      <c r="H1301" t="s">
        <v>211</v>
      </c>
      <c r="I1301" t="s">
        <v>219</v>
      </c>
      <c r="J1301" s="25">
        <v>34132</v>
      </c>
      <c r="K1301" s="26">
        <v>5828.18</v>
      </c>
      <c r="L1301" s="26">
        <v>33.729999999999997</v>
      </c>
    </row>
    <row r="1302" spans="1:12" ht="16" customHeight="1">
      <c r="A1302" t="s">
        <v>347</v>
      </c>
      <c r="B1302" t="s">
        <v>3</v>
      </c>
      <c r="C1302" t="s">
        <v>27</v>
      </c>
      <c r="D1302" s="24">
        <v>45992</v>
      </c>
      <c r="E1302" t="s">
        <v>344</v>
      </c>
      <c r="F1302" t="s">
        <v>4</v>
      </c>
      <c r="G1302" t="s">
        <v>211</v>
      </c>
      <c r="H1302" t="s">
        <v>211</v>
      </c>
      <c r="I1302" t="s">
        <v>219</v>
      </c>
      <c r="J1302" s="25">
        <v>3229</v>
      </c>
      <c r="K1302" s="26">
        <v>552.75</v>
      </c>
      <c r="L1302" s="26">
        <v>4.26</v>
      </c>
    </row>
    <row r="1303" spans="1:12" ht="16" customHeight="1">
      <c r="A1303" t="s">
        <v>347</v>
      </c>
      <c r="B1303" t="s">
        <v>3</v>
      </c>
      <c r="C1303" t="s">
        <v>27</v>
      </c>
      <c r="D1303" s="24">
        <v>45992</v>
      </c>
      <c r="E1303" t="s">
        <v>296</v>
      </c>
      <c r="F1303" t="s">
        <v>4</v>
      </c>
      <c r="G1303" t="s">
        <v>217</v>
      </c>
      <c r="H1303" t="s">
        <v>217</v>
      </c>
      <c r="I1303" t="s">
        <v>219</v>
      </c>
      <c r="J1303" s="25">
        <v>219718</v>
      </c>
      <c r="K1303" s="26">
        <v>37429.81</v>
      </c>
      <c r="L1303" s="26">
        <v>234.56</v>
      </c>
    </row>
    <row r="1304" spans="1:12" ht="16" customHeight="1">
      <c r="A1304" t="s">
        <v>347</v>
      </c>
      <c r="B1304" t="s">
        <v>3</v>
      </c>
      <c r="C1304" t="s">
        <v>27</v>
      </c>
      <c r="D1304" s="24">
        <v>45992</v>
      </c>
      <c r="E1304" t="s">
        <v>326</v>
      </c>
      <c r="F1304" t="s">
        <v>4</v>
      </c>
      <c r="G1304" t="s">
        <v>217</v>
      </c>
      <c r="H1304" t="s">
        <v>217</v>
      </c>
      <c r="I1304" t="s">
        <v>221</v>
      </c>
      <c r="J1304" s="25">
        <v>32776</v>
      </c>
      <c r="K1304" s="26">
        <v>5612.44</v>
      </c>
      <c r="L1304" s="26">
        <v>54.67</v>
      </c>
    </row>
    <row r="1305" spans="1:12" ht="16" customHeight="1">
      <c r="A1305" t="s">
        <v>347</v>
      </c>
      <c r="B1305" t="s">
        <v>3</v>
      </c>
      <c r="C1305" t="s">
        <v>27</v>
      </c>
      <c r="D1305" s="24">
        <v>45992</v>
      </c>
      <c r="E1305" t="s">
        <v>224</v>
      </c>
      <c r="F1305" t="s">
        <v>4</v>
      </c>
      <c r="G1305" t="s">
        <v>217</v>
      </c>
      <c r="H1305" t="s">
        <v>217</v>
      </c>
      <c r="I1305" t="s">
        <v>223</v>
      </c>
      <c r="J1305" s="25">
        <v>18120</v>
      </c>
      <c r="K1305" s="26">
        <v>3556.07</v>
      </c>
      <c r="L1305" s="26">
        <v>49.53</v>
      </c>
    </row>
    <row r="1306" spans="1:12" ht="16" customHeight="1">
      <c r="A1306" t="s">
        <v>347</v>
      </c>
      <c r="B1306" t="s">
        <v>3</v>
      </c>
      <c r="C1306" t="s">
        <v>27</v>
      </c>
      <c r="D1306" s="24">
        <v>45992</v>
      </c>
      <c r="E1306" t="s">
        <v>226</v>
      </c>
      <c r="F1306" t="s">
        <v>4</v>
      </c>
      <c r="G1306" t="s">
        <v>217</v>
      </c>
      <c r="H1306" t="s">
        <v>217</v>
      </c>
      <c r="I1306" t="s">
        <v>225</v>
      </c>
      <c r="J1306" s="25">
        <v>4693</v>
      </c>
      <c r="K1306" s="26">
        <v>936.47</v>
      </c>
      <c r="L1306" s="26">
        <v>17.309999999999999</v>
      </c>
    </row>
    <row r="1307" spans="1:12" ht="16" customHeight="1">
      <c r="A1307" t="s">
        <v>347</v>
      </c>
      <c r="B1307" t="s">
        <v>3</v>
      </c>
      <c r="C1307" t="s">
        <v>27</v>
      </c>
      <c r="D1307" s="24">
        <v>45992</v>
      </c>
      <c r="E1307" t="s">
        <v>269</v>
      </c>
      <c r="F1307" t="s">
        <v>4</v>
      </c>
      <c r="G1307" t="s">
        <v>217</v>
      </c>
      <c r="H1307" t="s">
        <v>217</v>
      </c>
      <c r="I1307" t="s">
        <v>227</v>
      </c>
      <c r="J1307" s="25">
        <v>102</v>
      </c>
      <c r="K1307" s="26">
        <v>19.64</v>
      </c>
      <c r="L1307" s="26">
        <v>0.27</v>
      </c>
    </row>
    <row r="1308" spans="1:12" ht="16" customHeight="1">
      <c r="A1308" t="s">
        <v>347</v>
      </c>
      <c r="B1308" t="s">
        <v>3</v>
      </c>
      <c r="C1308" t="s">
        <v>27</v>
      </c>
      <c r="D1308" s="24">
        <v>45992</v>
      </c>
      <c r="E1308" t="s">
        <v>228</v>
      </c>
      <c r="F1308" t="s">
        <v>4</v>
      </c>
      <c r="G1308" t="s">
        <v>217</v>
      </c>
      <c r="H1308" t="s">
        <v>217</v>
      </c>
      <c r="I1308" t="s">
        <v>330</v>
      </c>
      <c r="J1308" s="25">
        <v>1855</v>
      </c>
      <c r="K1308" s="26">
        <v>387.8</v>
      </c>
      <c r="L1308" s="26">
        <v>13.22</v>
      </c>
    </row>
    <row r="1309" spans="1:12" ht="16" customHeight="1">
      <c r="A1309" t="s">
        <v>347</v>
      </c>
      <c r="B1309" t="s">
        <v>3</v>
      </c>
      <c r="C1309" t="s">
        <v>27</v>
      </c>
      <c r="D1309" s="24">
        <v>45992</v>
      </c>
      <c r="E1309" t="s">
        <v>230</v>
      </c>
      <c r="F1309" t="s">
        <v>4</v>
      </c>
      <c r="G1309" t="s">
        <v>217</v>
      </c>
      <c r="H1309" t="s">
        <v>217</v>
      </c>
      <c r="I1309" t="s">
        <v>331</v>
      </c>
      <c r="J1309" s="25">
        <v>0</v>
      </c>
      <c r="K1309" s="26">
        <v>0</v>
      </c>
      <c r="L1309" s="26">
        <v>0</v>
      </c>
    </row>
    <row r="1310" spans="1:12" ht="16" customHeight="1">
      <c r="A1310" t="s">
        <v>347</v>
      </c>
      <c r="B1310" t="s">
        <v>3</v>
      </c>
      <c r="C1310" t="s">
        <v>27</v>
      </c>
      <c r="D1310" s="24">
        <v>45992</v>
      </c>
      <c r="E1310" t="s">
        <v>232</v>
      </c>
      <c r="F1310" t="s">
        <v>4</v>
      </c>
      <c r="G1310" t="s">
        <v>217</v>
      </c>
      <c r="H1310" t="s">
        <v>217</v>
      </c>
      <c r="I1310" t="s">
        <v>332</v>
      </c>
      <c r="J1310" s="25">
        <v>2</v>
      </c>
      <c r="K1310" s="26">
        <v>0.4</v>
      </c>
      <c r="L1310" s="26">
        <v>0.01</v>
      </c>
    </row>
    <row r="1311" spans="1:12" ht="16" customHeight="1">
      <c r="A1311" t="s">
        <v>347</v>
      </c>
      <c r="B1311" t="s">
        <v>3</v>
      </c>
      <c r="C1311" t="s">
        <v>27</v>
      </c>
      <c r="D1311" s="24">
        <v>45992</v>
      </c>
      <c r="E1311" t="s">
        <v>234</v>
      </c>
      <c r="F1311" t="s">
        <v>4</v>
      </c>
      <c r="G1311" t="s">
        <v>217</v>
      </c>
      <c r="H1311" t="s">
        <v>217</v>
      </c>
      <c r="I1311" t="s">
        <v>333</v>
      </c>
      <c r="J1311" s="25">
        <v>0</v>
      </c>
      <c r="K1311" s="26">
        <v>0</v>
      </c>
      <c r="L1311" s="26">
        <v>0</v>
      </c>
    </row>
    <row r="1312" spans="1:12" ht="16" customHeight="1">
      <c r="A1312" t="s">
        <v>347</v>
      </c>
      <c r="B1312" t="s">
        <v>3</v>
      </c>
      <c r="C1312" t="s">
        <v>27</v>
      </c>
      <c r="D1312" s="24">
        <v>45992</v>
      </c>
      <c r="E1312" t="s">
        <v>236</v>
      </c>
      <c r="F1312" t="s">
        <v>4</v>
      </c>
      <c r="G1312" t="s">
        <v>217</v>
      </c>
      <c r="H1312" t="s">
        <v>217</v>
      </c>
      <c r="I1312" t="s">
        <v>334</v>
      </c>
      <c r="J1312" s="25">
        <v>2</v>
      </c>
      <c r="K1312" s="26">
        <v>0.42</v>
      </c>
      <c r="L1312" s="26">
        <v>0.02</v>
      </c>
    </row>
    <row r="1313" spans="1:12" ht="16" customHeight="1">
      <c r="A1313" t="s">
        <v>347</v>
      </c>
      <c r="B1313" t="s">
        <v>3</v>
      </c>
      <c r="C1313" t="s">
        <v>27</v>
      </c>
      <c r="D1313" s="24">
        <v>45992</v>
      </c>
      <c r="E1313" t="s">
        <v>238</v>
      </c>
      <c r="F1313" t="s">
        <v>4</v>
      </c>
      <c r="G1313" t="s">
        <v>217</v>
      </c>
      <c r="H1313" t="s">
        <v>217</v>
      </c>
      <c r="I1313" t="s">
        <v>335</v>
      </c>
      <c r="J1313" s="25">
        <v>0</v>
      </c>
      <c r="K1313" s="26">
        <v>0</v>
      </c>
      <c r="L1313" s="26">
        <v>0</v>
      </c>
    </row>
    <row r="1314" spans="1:12" ht="16" customHeight="1">
      <c r="A1314" t="s">
        <v>347</v>
      </c>
      <c r="B1314" t="s">
        <v>3</v>
      </c>
      <c r="C1314" t="s">
        <v>27</v>
      </c>
      <c r="D1314" s="24">
        <v>45992</v>
      </c>
      <c r="E1314" t="s">
        <v>240</v>
      </c>
      <c r="F1314" t="s">
        <v>3</v>
      </c>
      <c r="G1314" t="s">
        <v>241</v>
      </c>
      <c r="H1314" t="s">
        <v>241</v>
      </c>
      <c r="I1314" t="s">
        <v>336</v>
      </c>
      <c r="J1314" s="25">
        <v>0</v>
      </c>
      <c r="K1314" s="26">
        <v>0</v>
      </c>
      <c r="L1314" s="26">
        <v>0</v>
      </c>
    </row>
    <row r="1315" spans="1:12" ht="16" customHeight="1">
      <c r="A1315" t="s">
        <v>347</v>
      </c>
      <c r="B1315" t="s">
        <v>3</v>
      </c>
      <c r="C1315" t="s">
        <v>27</v>
      </c>
      <c r="D1315" s="24">
        <v>45992</v>
      </c>
      <c r="E1315" t="s">
        <v>243</v>
      </c>
      <c r="F1315" t="s">
        <v>4</v>
      </c>
      <c r="G1315" t="s">
        <v>217</v>
      </c>
      <c r="H1315" t="s">
        <v>217</v>
      </c>
      <c r="I1315" t="s">
        <v>337</v>
      </c>
      <c r="J1315" s="25">
        <v>0</v>
      </c>
      <c r="K1315" s="26">
        <v>0</v>
      </c>
      <c r="L1315" s="26">
        <v>0</v>
      </c>
    </row>
    <row r="1316" spans="1:12" ht="16" customHeight="1">
      <c r="A1316" t="s">
        <v>316</v>
      </c>
      <c r="B1316" t="s">
        <v>4</v>
      </c>
      <c r="C1316" t="s">
        <v>27</v>
      </c>
      <c r="D1316" s="24">
        <v>45992</v>
      </c>
      <c r="E1316" t="s">
        <v>316</v>
      </c>
      <c r="F1316" t="s">
        <v>4</v>
      </c>
      <c r="G1316" t="s">
        <v>211</v>
      </c>
      <c r="H1316" t="s">
        <v>211</v>
      </c>
      <c r="I1316" t="s">
        <v>212</v>
      </c>
      <c r="J1316" s="25">
        <v>253082263</v>
      </c>
      <c r="K1316" s="26">
        <v>49240171.5</v>
      </c>
      <c r="L1316" s="26">
        <v>43245.1</v>
      </c>
    </row>
    <row r="1317" spans="1:12" ht="16" customHeight="1">
      <c r="A1317" t="s">
        <v>316</v>
      </c>
      <c r="B1317" t="s">
        <v>4</v>
      </c>
      <c r="C1317" t="s">
        <v>27</v>
      </c>
      <c r="D1317" s="24">
        <v>45992</v>
      </c>
      <c r="E1317" t="s">
        <v>321</v>
      </c>
      <c r="F1317" t="s">
        <v>4</v>
      </c>
      <c r="G1317" t="s">
        <v>211</v>
      </c>
      <c r="H1317" t="s">
        <v>211</v>
      </c>
      <c r="I1317" t="s">
        <v>212</v>
      </c>
      <c r="J1317" s="25">
        <v>9484122</v>
      </c>
      <c r="K1317" s="26">
        <v>1857114.21</v>
      </c>
      <c r="L1317" s="26">
        <v>4768.1499999999996</v>
      </c>
    </row>
    <row r="1318" spans="1:12" ht="16" customHeight="1">
      <c r="A1318" t="s">
        <v>316</v>
      </c>
      <c r="B1318" t="s">
        <v>4</v>
      </c>
      <c r="C1318" t="s">
        <v>27</v>
      </c>
      <c r="D1318" s="24">
        <v>45992</v>
      </c>
      <c r="E1318" t="s">
        <v>222</v>
      </c>
      <c r="F1318" t="s">
        <v>4</v>
      </c>
      <c r="G1318" t="s">
        <v>217</v>
      </c>
      <c r="H1318" t="s">
        <v>217</v>
      </c>
      <c r="I1318" t="s">
        <v>212</v>
      </c>
      <c r="J1318" s="25">
        <v>2006012</v>
      </c>
      <c r="K1318" s="26">
        <v>392559.32</v>
      </c>
      <c r="L1318" s="26">
        <v>1727.34</v>
      </c>
    </row>
    <row r="1319" spans="1:12" ht="16" customHeight="1">
      <c r="A1319" t="s">
        <v>316</v>
      </c>
      <c r="B1319" t="s">
        <v>4</v>
      </c>
      <c r="C1319" t="s">
        <v>27</v>
      </c>
      <c r="D1319" s="24">
        <v>45992</v>
      </c>
      <c r="E1319" t="s">
        <v>339</v>
      </c>
      <c r="F1319" t="s">
        <v>4</v>
      </c>
      <c r="G1319" t="s">
        <v>211</v>
      </c>
      <c r="H1319" t="s">
        <v>211</v>
      </c>
      <c r="I1319" t="s">
        <v>219</v>
      </c>
      <c r="J1319" s="25">
        <v>54419</v>
      </c>
      <c r="K1319" s="26">
        <v>9270.81</v>
      </c>
      <c r="L1319" s="26">
        <v>47.63</v>
      </c>
    </row>
    <row r="1320" spans="1:12" ht="16" customHeight="1">
      <c r="A1320" t="s">
        <v>316</v>
      </c>
      <c r="B1320" t="s">
        <v>4</v>
      </c>
      <c r="C1320" t="s">
        <v>27</v>
      </c>
      <c r="D1320" s="24">
        <v>45992</v>
      </c>
      <c r="E1320" t="s">
        <v>344</v>
      </c>
      <c r="F1320" t="s">
        <v>4</v>
      </c>
      <c r="G1320" t="s">
        <v>211</v>
      </c>
      <c r="H1320" t="s">
        <v>211</v>
      </c>
      <c r="I1320" t="s">
        <v>219</v>
      </c>
      <c r="J1320" s="25">
        <v>3910</v>
      </c>
      <c r="K1320" s="26">
        <v>664.94</v>
      </c>
      <c r="L1320" s="26">
        <v>4.5599999999999996</v>
      </c>
    </row>
    <row r="1321" spans="1:12" ht="16" customHeight="1">
      <c r="A1321" t="s">
        <v>316</v>
      </c>
      <c r="B1321" t="s">
        <v>4</v>
      </c>
      <c r="C1321" t="s">
        <v>27</v>
      </c>
      <c r="D1321" s="24">
        <v>45992</v>
      </c>
      <c r="E1321" t="s">
        <v>296</v>
      </c>
      <c r="F1321" t="s">
        <v>4</v>
      </c>
      <c r="G1321" t="s">
        <v>217</v>
      </c>
      <c r="H1321" t="s">
        <v>217</v>
      </c>
      <c r="I1321" t="s">
        <v>219</v>
      </c>
      <c r="J1321" s="25">
        <v>247571</v>
      </c>
      <c r="K1321" s="26">
        <v>42270.65</v>
      </c>
      <c r="L1321" s="26">
        <v>275.52</v>
      </c>
    </row>
    <row r="1322" spans="1:12" ht="16" customHeight="1">
      <c r="A1322" t="s">
        <v>316</v>
      </c>
      <c r="B1322" t="s">
        <v>4</v>
      </c>
      <c r="C1322" t="s">
        <v>27</v>
      </c>
      <c r="D1322" s="24">
        <v>45992</v>
      </c>
      <c r="E1322" t="s">
        <v>326</v>
      </c>
      <c r="F1322" t="s">
        <v>4</v>
      </c>
      <c r="G1322" t="s">
        <v>217</v>
      </c>
      <c r="H1322" t="s">
        <v>217</v>
      </c>
      <c r="I1322" t="s">
        <v>221</v>
      </c>
      <c r="J1322" s="25">
        <v>45086</v>
      </c>
      <c r="K1322" s="26">
        <v>7699.2</v>
      </c>
      <c r="L1322" s="26">
        <v>71.16</v>
      </c>
    </row>
    <row r="1323" spans="1:12" ht="16" customHeight="1">
      <c r="A1323" t="s">
        <v>316</v>
      </c>
      <c r="B1323" t="s">
        <v>4</v>
      </c>
      <c r="C1323" t="s">
        <v>27</v>
      </c>
      <c r="D1323" s="24">
        <v>45992</v>
      </c>
      <c r="E1323" t="s">
        <v>224</v>
      </c>
      <c r="F1323" t="s">
        <v>4</v>
      </c>
      <c r="G1323" t="s">
        <v>217</v>
      </c>
      <c r="H1323" t="s">
        <v>217</v>
      </c>
      <c r="I1323" t="s">
        <v>223</v>
      </c>
      <c r="J1323" s="25">
        <v>23387</v>
      </c>
      <c r="K1323" s="26">
        <v>4602.17</v>
      </c>
      <c r="L1323" s="26">
        <v>75.540000000000006</v>
      </c>
    </row>
    <row r="1324" spans="1:12" ht="16" customHeight="1">
      <c r="A1324" t="s">
        <v>316</v>
      </c>
      <c r="B1324" t="s">
        <v>4</v>
      </c>
      <c r="C1324" t="s">
        <v>27</v>
      </c>
      <c r="D1324" s="24">
        <v>45992</v>
      </c>
      <c r="E1324" t="s">
        <v>226</v>
      </c>
      <c r="F1324" t="s">
        <v>4</v>
      </c>
      <c r="G1324" t="s">
        <v>217</v>
      </c>
      <c r="H1324" t="s">
        <v>217</v>
      </c>
      <c r="I1324" t="s">
        <v>225</v>
      </c>
      <c r="J1324" s="25">
        <v>5884</v>
      </c>
      <c r="K1324" s="26">
        <v>1169.26</v>
      </c>
      <c r="L1324" s="26">
        <v>19.87</v>
      </c>
    </row>
    <row r="1325" spans="1:12" ht="16" customHeight="1">
      <c r="A1325" t="s">
        <v>316</v>
      </c>
      <c r="B1325" t="s">
        <v>4</v>
      </c>
      <c r="C1325" t="s">
        <v>27</v>
      </c>
      <c r="D1325" s="24">
        <v>45992</v>
      </c>
      <c r="E1325" t="s">
        <v>269</v>
      </c>
      <c r="F1325" t="s">
        <v>4</v>
      </c>
      <c r="G1325" t="s">
        <v>217</v>
      </c>
      <c r="H1325" t="s">
        <v>217</v>
      </c>
      <c r="I1325" t="s">
        <v>227</v>
      </c>
      <c r="J1325" s="25">
        <v>54</v>
      </c>
      <c r="K1325" s="26">
        <v>10.38</v>
      </c>
      <c r="L1325" s="26">
        <v>0.21</v>
      </c>
    </row>
    <row r="1326" spans="1:12" ht="16" customHeight="1">
      <c r="A1326" t="s">
        <v>316</v>
      </c>
      <c r="B1326" t="s">
        <v>4</v>
      </c>
      <c r="C1326" t="s">
        <v>27</v>
      </c>
      <c r="D1326" s="24">
        <v>45992</v>
      </c>
      <c r="E1326" t="s">
        <v>228</v>
      </c>
      <c r="F1326" t="s">
        <v>4</v>
      </c>
      <c r="G1326" t="s">
        <v>217</v>
      </c>
      <c r="H1326" t="s">
        <v>217</v>
      </c>
      <c r="I1326" t="s">
        <v>330</v>
      </c>
      <c r="J1326" s="25">
        <v>2252</v>
      </c>
      <c r="K1326" s="26">
        <v>463.72</v>
      </c>
      <c r="L1326" s="26">
        <v>15.08</v>
      </c>
    </row>
    <row r="1327" spans="1:12" ht="16" customHeight="1">
      <c r="A1327" t="s">
        <v>316</v>
      </c>
      <c r="B1327" t="s">
        <v>4</v>
      </c>
      <c r="C1327" t="s">
        <v>27</v>
      </c>
      <c r="D1327" s="24">
        <v>45992</v>
      </c>
      <c r="E1327" t="s">
        <v>230</v>
      </c>
      <c r="F1327" t="s">
        <v>4</v>
      </c>
      <c r="G1327" t="s">
        <v>217</v>
      </c>
      <c r="H1327" t="s">
        <v>217</v>
      </c>
      <c r="I1327" t="s">
        <v>331</v>
      </c>
      <c r="J1327" s="25">
        <v>0</v>
      </c>
      <c r="K1327" s="26">
        <v>0</v>
      </c>
      <c r="L1327" s="26">
        <v>0</v>
      </c>
    </row>
    <row r="1328" spans="1:12" ht="16" customHeight="1">
      <c r="A1328" t="s">
        <v>316</v>
      </c>
      <c r="B1328" t="s">
        <v>4</v>
      </c>
      <c r="C1328" t="s">
        <v>27</v>
      </c>
      <c r="D1328" s="24">
        <v>45992</v>
      </c>
      <c r="E1328" t="s">
        <v>232</v>
      </c>
      <c r="F1328" t="s">
        <v>4</v>
      </c>
      <c r="G1328" t="s">
        <v>217</v>
      </c>
      <c r="H1328" t="s">
        <v>217</v>
      </c>
      <c r="I1328" t="s">
        <v>332</v>
      </c>
      <c r="J1328" s="25">
        <v>12</v>
      </c>
      <c r="K1328" s="26">
        <v>2.35</v>
      </c>
      <c r="L1328" s="26">
        <v>7.0000000000000007E-2</v>
      </c>
    </row>
    <row r="1329" spans="1:12" ht="16" customHeight="1">
      <c r="A1329" t="s">
        <v>316</v>
      </c>
      <c r="B1329" t="s">
        <v>4</v>
      </c>
      <c r="C1329" t="s">
        <v>27</v>
      </c>
      <c r="D1329" s="24">
        <v>45992</v>
      </c>
      <c r="E1329" t="s">
        <v>234</v>
      </c>
      <c r="F1329" t="s">
        <v>4</v>
      </c>
      <c r="G1329" t="s">
        <v>217</v>
      </c>
      <c r="H1329" t="s">
        <v>217</v>
      </c>
      <c r="I1329" t="s">
        <v>333</v>
      </c>
      <c r="J1329" s="25">
        <v>0</v>
      </c>
      <c r="K1329" s="26">
        <v>0</v>
      </c>
      <c r="L1329" s="26">
        <v>0</v>
      </c>
    </row>
    <row r="1330" spans="1:12" ht="16" customHeight="1">
      <c r="A1330" t="s">
        <v>316</v>
      </c>
      <c r="B1330" t="s">
        <v>4</v>
      </c>
      <c r="C1330" t="s">
        <v>27</v>
      </c>
      <c r="D1330" s="24">
        <v>45992</v>
      </c>
      <c r="E1330" t="s">
        <v>236</v>
      </c>
      <c r="F1330" t="s">
        <v>4</v>
      </c>
      <c r="G1330" t="s">
        <v>217</v>
      </c>
      <c r="H1330" t="s">
        <v>217</v>
      </c>
      <c r="I1330" t="s">
        <v>334</v>
      </c>
      <c r="J1330" s="25">
        <v>6</v>
      </c>
      <c r="K1330" s="26">
        <v>1.22</v>
      </c>
      <c r="L1330" s="26">
        <v>0.05</v>
      </c>
    </row>
    <row r="1331" spans="1:12" ht="16" customHeight="1">
      <c r="A1331" t="s">
        <v>316</v>
      </c>
      <c r="B1331" t="s">
        <v>4</v>
      </c>
      <c r="C1331" t="s">
        <v>27</v>
      </c>
      <c r="D1331" s="24">
        <v>45992</v>
      </c>
      <c r="E1331" t="s">
        <v>238</v>
      </c>
      <c r="F1331" t="s">
        <v>4</v>
      </c>
      <c r="G1331" t="s">
        <v>217</v>
      </c>
      <c r="H1331" t="s">
        <v>217</v>
      </c>
      <c r="I1331" t="s">
        <v>335</v>
      </c>
      <c r="J1331" s="25">
        <v>0</v>
      </c>
      <c r="K1331" s="26">
        <v>0</v>
      </c>
      <c r="L1331" s="26">
        <v>0</v>
      </c>
    </row>
    <row r="1332" spans="1:12" ht="16" customHeight="1">
      <c r="A1332" t="s">
        <v>316</v>
      </c>
      <c r="B1332" t="s">
        <v>4</v>
      </c>
      <c r="C1332" t="s">
        <v>27</v>
      </c>
      <c r="D1332" s="24">
        <v>45992</v>
      </c>
      <c r="E1332" t="s">
        <v>240</v>
      </c>
      <c r="F1332" t="s">
        <v>3</v>
      </c>
      <c r="G1332" t="s">
        <v>241</v>
      </c>
      <c r="H1332" t="s">
        <v>241</v>
      </c>
      <c r="I1332" t="s">
        <v>336</v>
      </c>
      <c r="J1332" s="25">
        <v>0</v>
      </c>
      <c r="K1332" s="26">
        <v>0</v>
      </c>
      <c r="L1332" s="26">
        <v>0</v>
      </c>
    </row>
    <row r="1333" spans="1:12" ht="16" customHeight="1">
      <c r="A1333" t="s">
        <v>316</v>
      </c>
      <c r="B1333" t="s">
        <v>4</v>
      </c>
      <c r="C1333" t="s">
        <v>27</v>
      </c>
      <c r="D1333" s="24">
        <v>45992</v>
      </c>
      <c r="E1333" t="s">
        <v>243</v>
      </c>
      <c r="F1333" t="s">
        <v>4</v>
      </c>
      <c r="G1333" t="s">
        <v>217</v>
      </c>
      <c r="H1333" t="s">
        <v>217</v>
      </c>
      <c r="I1333" t="s">
        <v>337</v>
      </c>
      <c r="J1333" s="25">
        <v>0</v>
      </c>
      <c r="K1333" s="26">
        <v>0</v>
      </c>
      <c r="L1333" s="26">
        <v>0</v>
      </c>
    </row>
    <row r="1334" spans="1:12" ht="16" customHeight="1">
      <c r="A1334" t="s">
        <v>348</v>
      </c>
      <c r="B1334" t="s">
        <v>5</v>
      </c>
      <c r="C1334" t="s">
        <v>27</v>
      </c>
      <c r="D1334" s="24">
        <v>45992</v>
      </c>
      <c r="E1334" t="s">
        <v>321</v>
      </c>
      <c r="F1334" t="s">
        <v>4</v>
      </c>
      <c r="G1334" t="s">
        <v>211</v>
      </c>
      <c r="H1334" t="s">
        <v>211</v>
      </c>
      <c r="I1334" t="s">
        <v>212</v>
      </c>
      <c r="J1334" s="25">
        <v>44362053</v>
      </c>
      <c r="K1334" s="26">
        <v>8647400.4199999999</v>
      </c>
      <c r="L1334" s="26">
        <v>25229.14</v>
      </c>
    </row>
    <row r="1335" spans="1:12" ht="16" customHeight="1">
      <c r="A1335" t="s">
        <v>348</v>
      </c>
      <c r="B1335" t="s">
        <v>5</v>
      </c>
      <c r="C1335" t="s">
        <v>27</v>
      </c>
      <c r="D1335" s="24">
        <v>45992</v>
      </c>
      <c r="E1335" t="s">
        <v>222</v>
      </c>
      <c r="F1335" t="s">
        <v>4</v>
      </c>
      <c r="G1335" t="s">
        <v>217</v>
      </c>
      <c r="H1335" t="s">
        <v>217</v>
      </c>
      <c r="I1335" t="s">
        <v>212</v>
      </c>
      <c r="J1335" s="25">
        <v>2323562</v>
      </c>
      <c r="K1335" s="26">
        <v>453741.95</v>
      </c>
      <c r="L1335" s="26">
        <v>1807.73</v>
      </c>
    </row>
    <row r="1336" spans="1:12" ht="16" customHeight="1">
      <c r="A1336" t="s">
        <v>348</v>
      </c>
      <c r="B1336" t="s">
        <v>5</v>
      </c>
      <c r="C1336" t="s">
        <v>27</v>
      </c>
      <c r="D1336" s="24">
        <v>45992</v>
      </c>
      <c r="E1336" t="s">
        <v>339</v>
      </c>
      <c r="F1336" t="s">
        <v>4</v>
      </c>
      <c r="G1336" t="s">
        <v>211</v>
      </c>
      <c r="H1336" t="s">
        <v>211</v>
      </c>
      <c r="I1336" t="s">
        <v>219</v>
      </c>
      <c r="J1336" s="25">
        <v>97994</v>
      </c>
      <c r="K1336" s="26">
        <v>16674.89</v>
      </c>
      <c r="L1336" s="26">
        <v>77.319999999999993</v>
      </c>
    </row>
    <row r="1337" spans="1:12" ht="16" customHeight="1">
      <c r="A1337" t="s">
        <v>348</v>
      </c>
      <c r="B1337" t="s">
        <v>5</v>
      </c>
      <c r="C1337" t="s">
        <v>27</v>
      </c>
      <c r="D1337" s="24">
        <v>45992</v>
      </c>
      <c r="E1337" t="s">
        <v>344</v>
      </c>
      <c r="F1337" t="s">
        <v>4</v>
      </c>
      <c r="G1337" t="s">
        <v>211</v>
      </c>
      <c r="H1337" t="s">
        <v>211</v>
      </c>
      <c r="I1337" t="s">
        <v>219</v>
      </c>
      <c r="J1337" s="25">
        <v>8453</v>
      </c>
      <c r="K1337" s="26">
        <v>1435.95</v>
      </c>
      <c r="L1337" s="26">
        <v>9.07</v>
      </c>
    </row>
    <row r="1338" spans="1:12" ht="16" customHeight="1">
      <c r="A1338" t="s">
        <v>348</v>
      </c>
      <c r="B1338" t="s">
        <v>5</v>
      </c>
      <c r="C1338" t="s">
        <v>27</v>
      </c>
      <c r="D1338" s="24">
        <v>45992</v>
      </c>
      <c r="E1338" t="s">
        <v>349</v>
      </c>
      <c r="F1338" t="s">
        <v>4</v>
      </c>
      <c r="G1338" t="s">
        <v>211</v>
      </c>
      <c r="H1338" t="s">
        <v>211</v>
      </c>
      <c r="I1338" t="s">
        <v>219</v>
      </c>
      <c r="J1338" s="25">
        <v>48</v>
      </c>
      <c r="K1338" s="26">
        <v>8.23</v>
      </c>
      <c r="L1338" s="26">
        <v>0.11</v>
      </c>
    </row>
    <row r="1339" spans="1:12" ht="16" customHeight="1">
      <c r="A1339" t="s">
        <v>348</v>
      </c>
      <c r="B1339" t="s">
        <v>5</v>
      </c>
      <c r="C1339" t="s">
        <v>27</v>
      </c>
      <c r="D1339" s="24">
        <v>45992</v>
      </c>
      <c r="E1339" t="s">
        <v>296</v>
      </c>
      <c r="F1339" t="s">
        <v>4</v>
      </c>
      <c r="G1339" t="s">
        <v>217</v>
      </c>
      <c r="H1339" t="s">
        <v>217</v>
      </c>
      <c r="I1339" t="s">
        <v>219</v>
      </c>
      <c r="J1339" s="25">
        <v>320377</v>
      </c>
      <c r="K1339" s="26">
        <v>54783.360000000001</v>
      </c>
      <c r="L1339" s="26">
        <v>332.69</v>
      </c>
    </row>
    <row r="1340" spans="1:12" ht="16" customHeight="1">
      <c r="A1340" t="s">
        <v>348</v>
      </c>
      <c r="B1340" t="s">
        <v>5</v>
      </c>
      <c r="C1340" t="s">
        <v>27</v>
      </c>
      <c r="D1340" s="24">
        <v>45992</v>
      </c>
      <c r="E1340" t="s">
        <v>326</v>
      </c>
      <c r="F1340" t="s">
        <v>4</v>
      </c>
      <c r="G1340" t="s">
        <v>217</v>
      </c>
      <c r="H1340" t="s">
        <v>217</v>
      </c>
      <c r="I1340" t="s">
        <v>221</v>
      </c>
      <c r="J1340" s="25">
        <v>46486</v>
      </c>
      <c r="K1340" s="26">
        <v>8005.84</v>
      </c>
      <c r="L1340" s="26">
        <v>72.58</v>
      </c>
    </row>
    <row r="1341" spans="1:12" ht="16" customHeight="1">
      <c r="A1341" t="s">
        <v>348</v>
      </c>
      <c r="B1341" t="s">
        <v>5</v>
      </c>
      <c r="C1341" t="s">
        <v>27</v>
      </c>
      <c r="D1341" s="24">
        <v>45992</v>
      </c>
      <c r="E1341" t="s">
        <v>224</v>
      </c>
      <c r="F1341" t="s">
        <v>4</v>
      </c>
      <c r="G1341" t="s">
        <v>217</v>
      </c>
      <c r="H1341" t="s">
        <v>217</v>
      </c>
      <c r="I1341" t="s">
        <v>223</v>
      </c>
      <c r="J1341" s="25">
        <v>25940</v>
      </c>
      <c r="K1341" s="26">
        <v>5194.99</v>
      </c>
      <c r="L1341" s="26">
        <v>82.83</v>
      </c>
    </row>
    <row r="1342" spans="1:12" ht="16" customHeight="1">
      <c r="A1342" t="s">
        <v>348</v>
      </c>
      <c r="B1342" t="s">
        <v>5</v>
      </c>
      <c r="C1342" t="s">
        <v>27</v>
      </c>
      <c r="D1342" s="24">
        <v>45992</v>
      </c>
      <c r="E1342" t="s">
        <v>226</v>
      </c>
      <c r="F1342" t="s">
        <v>4</v>
      </c>
      <c r="G1342" t="s">
        <v>217</v>
      </c>
      <c r="H1342" t="s">
        <v>217</v>
      </c>
      <c r="I1342" t="s">
        <v>225</v>
      </c>
      <c r="J1342" s="25">
        <v>7368</v>
      </c>
      <c r="K1342" s="26">
        <v>1484.3</v>
      </c>
      <c r="L1342" s="26">
        <v>25.7</v>
      </c>
    </row>
    <row r="1343" spans="1:12" ht="16" customHeight="1">
      <c r="A1343" t="s">
        <v>348</v>
      </c>
      <c r="B1343" t="s">
        <v>5</v>
      </c>
      <c r="C1343" t="s">
        <v>27</v>
      </c>
      <c r="D1343" s="24">
        <v>45992</v>
      </c>
      <c r="E1343" t="s">
        <v>269</v>
      </c>
      <c r="F1343" t="s">
        <v>4</v>
      </c>
      <c r="G1343" t="s">
        <v>217</v>
      </c>
      <c r="H1343" t="s">
        <v>217</v>
      </c>
      <c r="I1343" t="s">
        <v>227</v>
      </c>
      <c r="J1343" s="25">
        <v>76</v>
      </c>
      <c r="K1343" s="26">
        <v>14.53</v>
      </c>
      <c r="L1343" s="26">
        <v>0.24</v>
      </c>
    </row>
    <row r="1344" spans="1:12" ht="16" customHeight="1">
      <c r="A1344" t="s">
        <v>348</v>
      </c>
      <c r="B1344" t="s">
        <v>5</v>
      </c>
      <c r="C1344" t="s">
        <v>27</v>
      </c>
      <c r="D1344" s="24">
        <v>45992</v>
      </c>
      <c r="E1344" t="s">
        <v>228</v>
      </c>
      <c r="F1344" t="s">
        <v>4</v>
      </c>
      <c r="G1344" t="s">
        <v>217</v>
      </c>
      <c r="H1344" t="s">
        <v>217</v>
      </c>
      <c r="I1344" t="s">
        <v>330</v>
      </c>
      <c r="J1344" s="25">
        <v>2412</v>
      </c>
      <c r="K1344" s="26">
        <v>498.73</v>
      </c>
      <c r="L1344" s="26">
        <v>17.29</v>
      </c>
    </row>
    <row r="1345" spans="1:12" ht="16" customHeight="1">
      <c r="A1345" t="s">
        <v>348</v>
      </c>
      <c r="B1345" t="s">
        <v>5</v>
      </c>
      <c r="C1345" t="s">
        <v>27</v>
      </c>
      <c r="D1345" s="24">
        <v>45992</v>
      </c>
      <c r="E1345" t="s">
        <v>230</v>
      </c>
      <c r="F1345" t="s">
        <v>4</v>
      </c>
      <c r="G1345" t="s">
        <v>217</v>
      </c>
      <c r="H1345" t="s">
        <v>217</v>
      </c>
      <c r="I1345" t="s">
        <v>331</v>
      </c>
      <c r="J1345" s="25">
        <v>0</v>
      </c>
      <c r="K1345" s="26">
        <v>0</v>
      </c>
      <c r="L1345" s="26">
        <v>0</v>
      </c>
    </row>
    <row r="1346" spans="1:12" ht="16" customHeight="1">
      <c r="A1346" t="s">
        <v>348</v>
      </c>
      <c r="B1346" t="s">
        <v>5</v>
      </c>
      <c r="C1346" t="s">
        <v>27</v>
      </c>
      <c r="D1346" s="24">
        <v>45992</v>
      </c>
      <c r="E1346" t="s">
        <v>232</v>
      </c>
      <c r="F1346" t="s">
        <v>4</v>
      </c>
      <c r="G1346" t="s">
        <v>217</v>
      </c>
      <c r="H1346" t="s">
        <v>217</v>
      </c>
      <c r="I1346" t="s">
        <v>332</v>
      </c>
      <c r="J1346" s="25">
        <v>2</v>
      </c>
      <c r="K1346" s="26">
        <v>0.39</v>
      </c>
      <c r="L1346" s="26">
        <v>0.03</v>
      </c>
    </row>
    <row r="1347" spans="1:12" ht="16" customHeight="1">
      <c r="A1347" t="s">
        <v>348</v>
      </c>
      <c r="B1347" t="s">
        <v>5</v>
      </c>
      <c r="C1347" t="s">
        <v>27</v>
      </c>
      <c r="D1347" s="24">
        <v>45992</v>
      </c>
      <c r="E1347" t="s">
        <v>234</v>
      </c>
      <c r="F1347" t="s">
        <v>4</v>
      </c>
      <c r="G1347" t="s">
        <v>217</v>
      </c>
      <c r="H1347" t="s">
        <v>217</v>
      </c>
      <c r="I1347" t="s">
        <v>333</v>
      </c>
      <c r="J1347" s="25">
        <v>0</v>
      </c>
      <c r="K1347" s="26">
        <v>0</v>
      </c>
      <c r="L1347" s="26">
        <v>0</v>
      </c>
    </row>
    <row r="1348" spans="1:12" ht="16" customHeight="1">
      <c r="A1348" t="s">
        <v>348</v>
      </c>
      <c r="B1348" t="s">
        <v>5</v>
      </c>
      <c r="C1348" t="s">
        <v>27</v>
      </c>
      <c r="D1348" s="24">
        <v>45992</v>
      </c>
      <c r="E1348" t="s">
        <v>236</v>
      </c>
      <c r="F1348" t="s">
        <v>4</v>
      </c>
      <c r="G1348" t="s">
        <v>217</v>
      </c>
      <c r="H1348" t="s">
        <v>217</v>
      </c>
      <c r="I1348" t="s">
        <v>334</v>
      </c>
      <c r="J1348" s="25">
        <v>7</v>
      </c>
      <c r="K1348" s="26">
        <v>1.43</v>
      </c>
      <c r="L1348" s="26">
        <v>0.06</v>
      </c>
    </row>
    <row r="1349" spans="1:12" ht="16" customHeight="1">
      <c r="A1349" t="s">
        <v>348</v>
      </c>
      <c r="B1349" t="s">
        <v>5</v>
      </c>
      <c r="C1349" t="s">
        <v>27</v>
      </c>
      <c r="D1349" s="24">
        <v>45992</v>
      </c>
      <c r="E1349" t="s">
        <v>238</v>
      </c>
      <c r="F1349" t="s">
        <v>4</v>
      </c>
      <c r="G1349" t="s">
        <v>217</v>
      </c>
      <c r="H1349" t="s">
        <v>217</v>
      </c>
      <c r="I1349" t="s">
        <v>335</v>
      </c>
      <c r="J1349" s="25">
        <v>0</v>
      </c>
      <c r="K1349" s="26">
        <v>0</v>
      </c>
      <c r="L1349" s="26">
        <v>0</v>
      </c>
    </row>
    <row r="1350" spans="1:12" ht="16" customHeight="1">
      <c r="A1350" t="s">
        <v>348</v>
      </c>
      <c r="B1350" t="s">
        <v>5</v>
      </c>
      <c r="C1350" t="s">
        <v>27</v>
      </c>
      <c r="D1350" s="24">
        <v>45992</v>
      </c>
      <c r="E1350" t="s">
        <v>240</v>
      </c>
      <c r="F1350" t="s">
        <v>3</v>
      </c>
      <c r="G1350" t="s">
        <v>241</v>
      </c>
      <c r="H1350" t="s">
        <v>241</v>
      </c>
      <c r="I1350" t="s">
        <v>336</v>
      </c>
      <c r="J1350" s="25">
        <v>0</v>
      </c>
      <c r="K1350" s="26">
        <v>0</v>
      </c>
      <c r="L1350" s="26">
        <v>0</v>
      </c>
    </row>
    <row r="1351" spans="1:12" ht="16" customHeight="1">
      <c r="A1351" t="s">
        <v>348</v>
      </c>
      <c r="B1351" t="s">
        <v>5</v>
      </c>
      <c r="C1351" t="s">
        <v>27</v>
      </c>
      <c r="D1351" s="24">
        <v>45992</v>
      </c>
      <c r="E1351" t="s">
        <v>243</v>
      </c>
      <c r="F1351" t="s">
        <v>4</v>
      </c>
      <c r="G1351" t="s">
        <v>217</v>
      </c>
      <c r="H1351" t="s">
        <v>217</v>
      </c>
      <c r="I1351" t="s">
        <v>337</v>
      </c>
      <c r="J1351" s="25">
        <v>0</v>
      </c>
      <c r="K1351" s="26">
        <v>0</v>
      </c>
      <c r="L1351" s="26">
        <v>0</v>
      </c>
    </row>
    <row r="1352" spans="1:12" ht="16" customHeight="1">
      <c r="A1352" t="s">
        <v>350</v>
      </c>
      <c r="B1352" t="s">
        <v>6</v>
      </c>
      <c r="C1352" t="s">
        <v>27</v>
      </c>
      <c r="D1352" s="24">
        <v>45992</v>
      </c>
      <c r="E1352" t="s">
        <v>321</v>
      </c>
      <c r="F1352" t="s">
        <v>4</v>
      </c>
      <c r="G1352" t="s">
        <v>211</v>
      </c>
      <c r="H1352" t="s">
        <v>211</v>
      </c>
      <c r="I1352" t="s">
        <v>212</v>
      </c>
      <c r="J1352" s="25">
        <v>51955629</v>
      </c>
      <c r="K1352" s="26">
        <v>10108884.890000001</v>
      </c>
      <c r="L1352" s="26">
        <v>24716.13</v>
      </c>
    </row>
    <row r="1353" spans="1:12" ht="16" customHeight="1">
      <c r="A1353" t="s">
        <v>350</v>
      </c>
      <c r="B1353" t="s">
        <v>6</v>
      </c>
      <c r="C1353" t="s">
        <v>27</v>
      </c>
      <c r="D1353" s="24">
        <v>45992</v>
      </c>
      <c r="E1353" t="s">
        <v>222</v>
      </c>
      <c r="F1353" t="s">
        <v>4</v>
      </c>
      <c r="G1353" t="s">
        <v>217</v>
      </c>
      <c r="H1353" t="s">
        <v>217</v>
      </c>
      <c r="I1353" t="s">
        <v>212</v>
      </c>
      <c r="J1353" s="25">
        <v>3239924</v>
      </c>
      <c r="K1353" s="26">
        <v>632378.98</v>
      </c>
      <c r="L1353" s="26">
        <v>2368.94</v>
      </c>
    </row>
    <row r="1354" spans="1:12" ht="16" customHeight="1">
      <c r="A1354" t="s">
        <v>350</v>
      </c>
      <c r="B1354" t="s">
        <v>6</v>
      </c>
      <c r="C1354" t="s">
        <v>27</v>
      </c>
      <c r="D1354" s="24">
        <v>45992</v>
      </c>
      <c r="E1354" t="s">
        <v>339</v>
      </c>
      <c r="F1354" t="s">
        <v>4</v>
      </c>
      <c r="G1354" t="s">
        <v>211</v>
      </c>
      <c r="H1354" t="s">
        <v>211</v>
      </c>
      <c r="I1354" t="s">
        <v>219</v>
      </c>
      <c r="J1354" s="25">
        <v>132433</v>
      </c>
      <c r="K1354" s="26">
        <v>22501.47</v>
      </c>
      <c r="L1354" s="26">
        <v>113.3</v>
      </c>
    </row>
    <row r="1355" spans="1:12" ht="16" customHeight="1">
      <c r="A1355" t="s">
        <v>350</v>
      </c>
      <c r="B1355" t="s">
        <v>6</v>
      </c>
      <c r="C1355" t="s">
        <v>27</v>
      </c>
      <c r="D1355" s="24">
        <v>45992</v>
      </c>
      <c r="E1355" t="s">
        <v>344</v>
      </c>
      <c r="F1355" t="s">
        <v>4</v>
      </c>
      <c r="G1355" t="s">
        <v>211</v>
      </c>
      <c r="H1355" t="s">
        <v>211</v>
      </c>
      <c r="I1355" t="s">
        <v>219</v>
      </c>
      <c r="J1355" s="25">
        <v>12250</v>
      </c>
      <c r="K1355" s="26">
        <v>2085.87</v>
      </c>
      <c r="L1355" s="26">
        <v>11.68</v>
      </c>
    </row>
    <row r="1356" spans="1:12" ht="16" customHeight="1">
      <c r="A1356" t="s">
        <v>350</v>
      </c>
      <c r="B1356" t="s">
        <v>6</v>
      </c>
      <c r="C1356" t="s">
        <v>27</v>
      </c>
      <c r="D1356" s="24">
        <v>45992</v>
      </c>
      <c r="E1356" t="s">
        <v>349</v>
      </c>
      <c r="F1356" t="s">
        <v>4</v>
      </c>
      <c r="G1356" t="s">
        <v>211</v>
      </c>
      <c r="H1356" t="s">
        <v>211</v>
      </c>
      <c r="I1356" t="s">
        <v>219</v>
      </c>
      <c r="J1356" s="25">
        <v>634</v>
      </c>
      <c r="K1356" s="26">
        <v>107.74</v>
      </c>
      <c r="L1356" s="26">
        <v>1.18</v>
      </c>
    </row>
    <row r="1357" spans="1:12" ht="16" customHeight="1">
      <c r="A1357" t="s">
        <v>350</v>
      </c>
      <c r="B1357" t="s">
        <v>6</v>
      </c>
      <c r="C1357" t="s">
        <v>27</v>
      </c>
      <c r="D1357" s="24">
        <v>45992</v>
      </c>
      <c r="E1357" t="s">
        <v>296</v>
      </c>
      <c r="F1357" t="s">
        <v>4</v>
      </c>
      <c r="G1357" t="s">
        <v>217</v>
      </c>
      <c r="H1357" t="s">
        <v>217</v>
      </c>
      <c r="I1357" t="s">
        <v>219</v>
      </c>
      <c r="J1357" s="25">
        <v>377937</v>
      </c>
      <c r="K1357" s="26">
        <v>64359.72</v>
      </c>
      <c r="L1357" s="26">
        <v>414.75</v>
      </c>
    </row>
    <row r="1358" spans="1:12" ht="16" customHeight="1">
      <c r="A1358" t="s">
        <v>350</v>
      </c>
      <c r="B1358" t="s">
        <v>6</v>
      </c>
      <c r="C1358" t="s">
        <v>27</v>
      </c>
      <c r="D1358" s="24">
        <v>45992</v>
      </c>
      <c r="E1358" t="s">
        <v>326</v>
      </c>
      <c r="F1358" t="s">
        <v>4</v>
      </c>
      <c r="G1358" t="s">
        <v>217</v>
      </c>
      <c r="H1358" t="s">
        <v>217</v>
      </c>
      <c r="I1358" t="s">
        <v>221</v>
      </c>
      <c r="J1358" s="25">
        <v>54614</v>
      </c>
      <c r="K1358" s="26">
        <v>9388.98</v>
      </c>
      <c r="L1358" s="26">
        <v>97.71</v>
      </c>
    </row>
    <row r="1359" spans="1:12" ht="16" customHeight="1">
      <c r="A1359" t="s">
        <v>350</v>
      </c>
      <c r="B1359" t="s">
        <v>6</v>
      </c>
      <c r="C1359" t="s">
        <v>27</v>
      </c>
      <c r="D1359" s="24">
        <v>45992</v>
      </c>
      <c r="E1359" t="s">
        <v>224</v>
      </c>
      <c r="F1359" t="s">
        <v>4</v>
      </c>
      <c r="G1359" t="s">
        <v>217</v>
      </c>
      <c r="H1359" t="s">
        <v>217</v>
      </c>
      <c r="I1359" t="s">
        <v>223</v>
      </c>
      <c r="J1359" s="25">
        <v>40194</v>
      </c>
      <c r="K1359" s="26">
        <v>7879.5</v>
      </c>
      <c r="L1359" s="26">
        <v>109.49</v>
      </c>
    </row>
    <row r="1360" spans="1:12" ht="16" customHeight="1">
      <c r="A1360" t="s">
        <v>350</v>
      </c>
      <c r="B1360" t="s">
        <v>6</v>
      </c>
      <c r="C1360" t="s">
        <v>27</v>
      </c>
      <c r="D1360" s="24">
        <v>45992</v>
      </c>
      <c r="E1360" t="s">
        <v>226</v>
      </c>
      <c r="F1360" t="s">
        <v>4</v>
      </c>
      <c r="G1360" t="s">
        <v>217</v>
      </c>
      <c r="H1360" t="s">
        <v>217</v>
      </c>
      <c r="I1360" t="s">
        <v>225</v>
      </c>
      <c r="J1360" s="25">
        <v>10340</v>
      </c>
      <c r="K1360" s="26">
        <v>2070.96</v>
      </c>
      <c r="L1360" s="26">
        <v>33.229999999999997</v>
      </c>
    </row>
    <row r="1361" spans="1:12" ht="16" customHeight="1">
      <c r="A1361" t="s">
        <v>350</v>
      </c>
      <c r="B1361" t="s">
        <v>6</v>
      </c>
      <c r="C1361" t="s">
        <v>27</v>
      </c>
      <c r="D1361" s="24">
        <v>45992</v>
      </c>
      <c r="E1361" t="s">
        <v>269</v>
      </c>
      <c r="F1361" t="s">
        <v>4</v>
      </c>
      <c r="G1361" t="s">
        <v>217</v>
      </c>
      <c r="H1361" t="s">
        <v>217</v>
      </c>
      <c r="I1361" t="s">
        <v>227</v>
      </c>
      <c r="J1361" s="25">
        <v>84</v>
      </c>
      <c r="K1361" s="26">
        <v>16.05</v>
      </c>
      <c r="L1361" s="26">
        <v>0.23</v>
      </c>
    </row>
    <row r="1362" spans="1:12" ht="16" customHeight="1">
      <c r="A1362" t="s">
        <v>350</v>
      </c>
      <c r="B1362" t="s">
        <v>6</v>
      </c>
      <c r="C1362" t="s">
        <v>27</v>
      </c>
      <c r="D1362" s="24">
        <v>45992</v>
      </c>
      <c r="E1362" t="s">
        <v>228</v>
      </c>
      <c r="F1362" t="s">
        <v>4</v>
      </c>
      <c r="G1362" t="s">
        <v>217</v>
      </c>
      <c r="H1362" t="s">
        <v>217</v>
      </c>
      <c r="I1362" t="s">
        <v>330</v>
      </c>
      <c r="J1362" s="25">
        <v>4261</v>
      </c>
      <c r="K1362" s="26">
        <v>888.16</v>
      </c>
      <c r="L1362" s="26">
        <v>28.81</v>
      </c>
    </row>
    <row r="1363" spans="1:12" ht="16" customHeight="1">
      <c r="A1363" t="s">
        <v>350</v>
      </c>
      <c r="B1363" t="s">
        <v>6</v>
      </c>
      <c r="C1363" t="s">
        <v>27</v>
      </c>
      <c r="D1363" s="24">
        <v>45992</v>
      </c>
      <c r="E1363" t="s">
        <v>230</v>
      </c>
      <c r="F1363" t="s">
        <v>4</v>
      </c>
      <c r="G1363" t="s">
        <v>217</v>
      </c>
      <c r="H1363" t="s">
        <v>217</v>
      </c>
      <c r="I1363" t="s">
        <v>331</v>
      </c>
      <c r="J1363" s="25">
        <v>0</v>
      </c>
      <c r="K1363" s="26">
        <v>0</v>
      </c>
      <c r="L1363" s="26">
        <v>0</v>
      </c>
    </row>
    <row r="1364" spans="1:12" ht="16" customHeight="1">
      <c r="A1364" t="s">
        <v>350</v>
      </c>
      <c r="B1364" t="s">
        <v>6</v>
      </c>
      <c r="C1364" t="s">
        <v>27</v>
      </c>
      <c r="D1364" s="24">
        <v>45992</v>
      </c>
      <c r="E1364" t="s">
        <v>232</v>
      </c>
      <c r="F1364" t="s">
        <v>4</v>
      </c>
      <c r="G1364" t="s">
        <v>217</v>
      </c>
      <c r="H1364" t="s">
        <v>217</v>
      </c>
      <c r="I1364" t="s">
        <v>332</v>
      </c>
      <c r="J1364" s="25">
        <v>29</v>
      </c>
      <c r="K1364" s="26">
        <v>5.23</v>
      </c>
      <c r="L1364" s="26">
        <v>0.12</v>
      </c>
    </row>
    <row r="1365" spans="1:12" ht="16" customHeight="1">
      <c r="A1365" t="s">
        <v>350</v>
      </c>
      <c r="B1365" t="s">
        <v>6</v>
      </c>
      <c r="C1365" t="s">
        <v>27</v>
      </c>
      <c r="D1365" s="24">
        <v>45992</v>
      </c>
      <c r="E1365" t="s">
        <v>234</v>
      </c>
      <c r="F1365" t="s">
        <v>4</v>
      </c>
      <c r="G1365" t="s">
        <v>217</v>
      </c>
      <c r="H1365" t="s">
        <v>217</v>
      </c>
      <c r="I1365" t="s">
        <v>333</v>
      </c>
      <c r="J1365" s="25">
        <v>0</v>
      </c>
      <c r="K1365" s="26">
        <v>0</v>
      </c>
      <c r="L1365" s="26">
        <v>0</v>
      </c>
    </row>
    <row r="1366" spans="1:12" ht="16" customHeight="1">
      <c r="A1366" t="s">
        <v>350</v>
      </c>
      <c r="B1366" t="s">
        <v>6</v>
      </c>
      <c r="C1366" t="s">
        <v>27</v>
      </c>
      <c r="D1366" s="24">
        <v>45992</v>
      </c>
      <c r="E1366" t="s">
        <v>236</v>
      </c>
      <c r="F1366" t="s">
        <v>4</v>
      </c>
      <c r="G1366" t="s">
        <v>217</v>
      </c>
      <c r="H1366" t="s">
        <v>217</v>
      </c>
      <c r="I1366" t="s">
        <v>334</v>
      </c>
      <c r="J1366" s="25">
        <v>0</v>
      </c>
      <c r="K1366" s="26">
        <v>0</v>
      </c>
      <c r="L1366" s="26">
        <v>0</v>
      </c>
    </row>
    <row r="1367" spans="1:12" ht="16" customHeight="1">
      <c r="A1367" t="s">
        <v>350</v>
      </c>
      <c r="B1367" t="s">
        <v>6</v>
      </c>
      <c r="C1367" t="s">
        <v>27</v>
      </c>
      <c r="D1367" s="24">
        <v>45992</v>
      </c>
      <c r="E1367" t="s">
        <v>238</v>
      </c>
      <c r="F1367" t="s">
        <v>4</v>
      </c>
      <c r="G1367" t="s">
        <v>217</v>
      </c>
      <c r="H1367" t="s">
        <v>217</v>
      </c>
      <c r="I1367" t="s">
        <v>335</v>
      </c>
      <c r="J1367" s="25">
        <v>0</v>
      </c>
      <c r="K1367" s="26">
        <v>0</v>
      </c>
      <c r="L1367" s="26">
        <v>0</v>
      </c>
    </row>
    <row r="1368" spans="1:12" ht="16" customHeight="1">
      <c r="A1368" t="s">
        <v>350</v>
      </c>
      <c r="B1368" t="s">
        <v>6</v>
      </c>
      <c r="C1368" t="s">
        <v>27</v>
      </c>
      <c r="D1368" s="24">
        <v>45992</v>
      </c>
      <c r="E1368" t="s">
        <v>240</v>
      </c>
      <c r="F1368" t="s">
        <v>3</v>
      </c>
      <c r="G1368" t="s">
        <v>241</v>
      </c>
      <c r="H1368" t="s">
        <v>241</v>
      </c>
      <c r="I1368" t="s">
        <v>336</v>
      </c>
      <c r="J1368" s="25">
        <v>0</v>
      </c>
      <c r="K1368" s="26">
        <v>0</v>
      </c>
      <c r="L1368" s="26">
        <v>0</v>
      </c>
    </row>
    <row r="1369" spans="1:12" ht="16" customHeight="1">
      <c r="A1369" t="s">
        <v>350</v>
      </c>
      <c r="B1369" t="s">
        <v>6</v>
      </c>
      <c r="C1369" t="s">
        <v>27</v>
      </c>
      <c r="D1369" s="24">
        <v>45992</v>
      </c>
      <c r="E1369" t="s">
        <v>243</v>
      </c>
      <c r="F1369" t="s">
        <v>4</v>
      </c>
      <c r="G1369" t="s">
        <v>217</v>
      </c>
      <c r="H1369" t="s">
        <v>217</v>
      </c>
      <c r="I1369" t="s">
        <v>337</v>
      </c>
      <c r="J1369" s="25">
        <v>0</v>
      </c>
      <c r="K1369" s="26">
        <v>0</v>
      </c>
      <c r="L1369" s="26">
        <v>0</v>
      </c>
    </row>
    <row r="1370" spans="1:12" ht="16" customHeight="1">
      <c r="A1370" t="s">
        <v>351</v>
      </c>
      <c r="B1370" t="s">
        <v>7</v>
      </c>
      <c r="C1370" t="s">
        <v>27</v>
      </c>
      <c r="D1370" s="24">
        <v>45992</v>
      </c>
      <c r="E1370" t="s">
        <v>321</v>
      </c>
      <c r="F1370" t="s">
        <v>4</v>
      </c>
      <c r="G1370" t="s">
        <v>211</v>
      </c>
      <c r="H1370" t="s">
        <v>211</v>
      </c>
      <c r="I1370" t="s">
        <v>212</v>
      </c>
      <c r="J1370" s="25">
        <v>78946464</v>
      </c>
      <c r="K1370" s="26">
        <v>15371848.83</v>
      </c>
      <c r="L1370" s="26">
        <v>32714.15</v>
      </c>
    </row>
    <row r="1371" spans="1:12" ht="16" customHeight="1">
      <c r="A1371" t="s">
        <v>351</v>
      </c>
      <c r="B1371" t="s">
        <v>7</v>
      </c>
      <c r="C1371" t="s">
        <v>27</v>
      </c>
      <c r="D1371" s="24">
        <v>45992</v>
      </c>
      <c r="E1371" t="s">
        <v>222</v>
      </c>
      <c r="F1371" t="s">
        <v>4</v>
      </c>
      <c r="G1371" t="s">
        <v>217</v>
      </c>
      <c r="H1371" t="s">
        <v>217</v>
      </c>
      <c r="I1371" t="s">
        <v>212</v>
      </c>
      <c r="J1371" s="25">
        <v>3708164</v>
      </c>
      <c r="K1371" s="26">
        <v>723318.16</v>
      </c>
      <c r="L1371" s="26">
        <v>2498.16</v>
      </c>
    </row>
    <row r="1372" spans="1:12" ht="16" customHeight="1">
      <c r="A1372" t="s">
        <v>351</v>
      </c>
      <c r="B1372" t="s">
        <v>7</v>
      </c>
      <c r="C1372" t="s">
        <v>27</v>
      </c>
      <c r="D1372" s="24">
        <v>45992</v>
      </c>
      <c r="E1372" t="s">
        <v>339</v>
      </c>
      <c r="F1372" t="s">
        <v>4</v>
      </c>
      <c r="G1372" t="s">
        <v>211</v>
      </c>
      <c r="H1372" t="s">
        <v>211</v>
      </c>
      <c r="I1372" t="s">
        <v>219</v>
      </c>
      <c r="J1372" s="25">
        <v>211809</v>
      </c>
      <c r="K1372" s="26">
        <v>36036.93</v>
      </c>
      <c r="L1372" s="26">
        <v>160.69</v>
      </c>
    </row>
    <row r="1373" spans="1:12" ht="16" customHeight="1">
      <c r="A1373" t="s">
        <v>351</v>
      </c>
      <c r="B1373" t="s">
        <v>7</v>
      </c>
      <c r="C1373" t="s">
        <v>27</v>
      </c>
      <c r="D1373" s="24">
        <v>45992</v>
      </c>
      <c r="E1373" t="s">
        <v>344</v>
      </c>
      <c r="F1373" t="s">
        <v>4</v>
      </c>
      <c r="G1373" t="s">
        <v>211</v>
      </c>
      <c r="H1373" t="s">
        <v>211</v>
      </c>
      <c r="I1373" t="s">
        <v>219</v>
      </c>
      <c r="J1373" s="25">
        <v>16901</v>
      </c>
      <c r="K1373" s="26">
        <v>2877.29</v>
      </c>
      <c r="L1373" s="26">
        <v>17.22</v>
      </c>
    </row>
    <row r="1374" spans="1:12" ht="16" customHeight="1">
      <c r="A1374" t="s">
        <v>351</v>
      </c>
      <c r="B1374" t="s">
        <v>7</v>
      </c>
      <c r="C1374" t="s">
        <v>27</v>
      </c>
      <c r="D1374" s="24">
        <v>45992</v>
      </c>
      <c r="E1374" t="s">
        <v>349</v>
      </c>
      <c r="F1374" t="s">
        <v>4</v>
      </c>
      <c r="G1374" t="s">
        <v>211</v>
      </c>
      <c r="H1374" t="s">
        <v>211</v>
      </c>
      <c r="I1374" t="s">
        <v>219</v>
      </c>
      <c r="J1374" s="25">
        <v>1080</v>
      </c>
      <c r="K1374" s="26">
        <v>184.48</v>
      </c>
      <c r="L1374" s="26">
        <v>1.82</v>
      </c>
    </row>
    <row r="1375" spans="1:12" ht="16" customHeight="1">
      <c r="A1375" t="s">
        <v>351</v>
      </c>
      <c r="B1375" t="s">
        <v>7</v>
      </c>
      <c r="C1375" t="s">
        <v>27</v>
      </c>
      <c r="D1375" s="24">
        <v>45992</v>
      </c>
      <c r="E1375" t="s">
        <v>296</v>
      </c>
      <c r="F1375" t="s">
        <v>4</v>
      </c>
      <c r="G1375" t="s">
        <v>217</v>
      </c>
      <c r="H1375" t="s">
        <v>217</v>
      </c>
      <c r="I1375" t="s">
        <v>219</v>
      </c>
      <c r="J1375" s="25">
        <v>408119</v>
      </c>
      <c r="K1375" s="26">
        <v>69313.94</v>
      </c>
      <c r="L1375" s="26">
        <v>450.79</v>
      </c>
    </row>
    <row r="1376" spans="1:12" ht="16" customHeight="1">
      <c r="A1376" t="s">
        <v>351</v>
      </c>
      <c r="B1376" t="s">
        <v>7</v>
      </c>
      <c r="C1376" t="s">
        <v>27</v>
      </c>
      <c r="D1376" s="24">
        <v>45992</v>
      </c>
      <c r="E1376" t="s">
        <v>326</v>
      </c>
      <c r="F1376" t="s">
        <v>4</v>
      </c>
      <c r="G1376" t="s">
        <v>217</v>
      </c>
      <c r="H1376" t="s">
        <v>217</v>
      </c>
      <c r="I1376" t="s">
        <v>221</v>
      </c>
      <c r="J1376" s="25">
        <v>43013</v>
      </c>
      <c r="K1376" s="26">
        <v>7321.49</v>
      </c>
      <c r="L1376" s="26">
        <v>71.62</v>
      </c>
    </row>
    <row r="1377" spans="1:12" ht="16" customHeight="1">
      <c r="A1377" t="s">
        <v>351</v>
      </c>
      <c r="B1377" t="s">
        <v>7</v>
      </c>
      <c r="C1377" t="s">
        <v>27</v>
      </c>
      <c r="D1377" s="24">
        <v>45992</v>
      </c>
      <c r="E1377" t="s">
        <v>224</v>
      </c>
      <c r="F1377" t="s">
        <v>4</v>
      </c>
      <c r="G1377" t="s">
        <v>217</v>
      </c>
      <c r="H1377" t="s">
        <v>217</v>
      </c>
      <c r="I1377" t="s">
        <v>223</v>
      </c>
      <c r="J1377" s="25">
        <v>25179</v>
      </c>
      <c r="K1377" s="26">
        <v>5012.05</v>
      </c>
      <c r="L1377" s="26">
        <v>94.49</v>
      </c>
    </row>
    <row r="1378" spans="1:12" ht="16" customHeight="1">
      <c r="A1378" t="s">
        <v>351</v>
      </c>
      <c r="B1378" t="s">
        <v>7</v>
      </c>
      <c r="C1378" t="s">
        <v>27</v>
      </c>
      <c r="D1378" s="24">
        <v>45992</v>
      </c>
      <c r="E1378" t="s">
        <v>226</v>
      </c>
      <c r="F1378" t="s">
        <v>4</v>
      </c>
      <c r="G1378" t="s">
        <v>217</v>
      </c>
      <c r="H1378" t="s">
        <v>217</v>
      </c>
      <c r="I1378" t="s">
        <v>225</v>
      </c>
      <c r="J1378" s="25">
        <v>8385</v>
      </c>
      <c r="K1378" s="26">
        <v>1687.06</v>
      </c>
      <c r="L1378" s="26">
        <v>29.26</v>
      </c>
    </row>
    <row r="1379" spans="1:12" ht="16" customHeight="1">
      <c r="A1379" t="s">
        <v>351</v>
      </c>
      <c r="B1379" t="s">
        <v>7</v>
      </c>
      <c r="C1379" t="s">
        <v>27</v>
      </c>
      <c r="D1379" s="24">
        <v>45992</v>
      </c>
      <c r="E1379" t="s">
        <v>269</v>
      </c>
      <c r="F1379" t="s">
        <v>4</v>
      </c>
      <c r="G1379" t="s">
        <v>217</v>
      </c>
      <c r="H1379" t="s">
        <v>217</v>
      </c>
      <c r="I1379" t="s">
        <v>227</v>
      </c>
      <c r="J1379" s="25">
        <v>106</v>
      </c>
      <c r="K1379" s="26">
        <v>20.23</v>
      </c>
      <c r="L1379" s="26">
        <v>0.28000000000000003</v>
      </c>
    </row>
    <row r="1380" spans="1:12" ht="16" customHeight="1">
      <c r="A1380" t="s">
        <v>351</v>
      </c>
      <c r="B1380" t="s">
        <v>7</v>
      </c>
      <c r="C1380" t="s">
        <v>27</v>
      </c>
      <c r="D1380" s="24">
        <v>45992</v>
      </c>
      <c r="E1380" t="s">
        <v>228</v>
      </c>
      <c r="F1380" t="s">
        <v>4</v>
      </c>
      <c r="G1380" t="s">
        <v>217</v>
      </c>
      <c r="H1380" t="s">
        <v>217</v>
      </c>
      <c r="I1380" t="s">
        <v>330</v>
      </c>
      <c r="J1380" s="25">
        <v>5017</v>
      </c>
      <c r="K1380" s="26">
        <v>1039.06</v>
      </c>
      <c r="L1380" s="26">
        <v>32.5</v>
      </c>
    </row>
    <row r="1381" spans="1:12" ht="16" customHeight="1">
      <c r="A1381" t="s">
        <v>351</v>
      </c>
      <c r="B1381" t="s">
        <v>7</v>
      </c>
      <c r="C1381" t="s">
        <v>27</v>
      </c>
      <c r="D1381" s="24">
        <v>45992</v>
      </c>
      <c r="E1381" t="s">
        <v>230</v>
      </c>
      <c r="F1381" t="s">
        <v>4</v>
      </c>
      <c r="G1381" t="s">
        <v>217</v>
      </c>
      <c r="H1381" t="s">
        <v>217</v>
      </c>
      <c r="I1381" t="s">
        <v>331</v>
      </c>
      <c r="J1381" s="25">
        <v>0</v>
      </c>
      <c r="K1381" s="26">
        <v>0</v>
      </c>
      <c r="L1381" s="26">
        <v>0</v>
      </c>
    </row>
    <row r="1382" spans="1:12" ht="16" customHeight="1">
      <c r="A1382" t="s">
        <v>351</v>
      </c>
      <c r="B1382" t="s">
        <v>7</v>
      </c>
      <c r="C1382" t="s">
        <v>27</v>
      </c>
      <c r="D1382" s="24">
        <v>45992</v>
      </c>
      <c r="E1382" t="s">
        <v>232</v>
      </c>
      <c r="F1382" t="s">
        <v>4</v>
      </c>
      <c r="G1382" t="s">
        <v>217</v>
      </c>
      <c r="H1382" t="s">
        <v>217</v>
      </c>
      <c r="I1382" t="s">
        <v>332</v>
      </c>
      <c r="J1382" s="25">
        <v>7</v>
      </c>
      <c r="K1382" s="26">
        <v>1.47</v>
      </c>
      <c r="L1382" s="26">
        <v>0.12</v>
      </c>
    </row>
    <row r="1383" spans="1:12" ht="16" customHeight="1">
      <c r="A1383" t="s">
        <v>351</v>
      </c>
      <c r="B1383" t="s">
        <v>7</v>
      </c>
      <c r="C1383" t="s">
        <v>27</v>
      </c>
      <c r="D1383" s="24">
        <v>45992</v>
      </c>
      <c r="E1383" t="s">
        <v>234</v>
      </c>
      <c r="F1383" t="s">
        <v>4</v>
      </c>
      <c r="G1383" t="s">
        <v>217</v>
      </c>
      <c r="H1383" t="s">
        <v>217</v>
      </c>
      <c r="I1383" t="s">
        <v>333</v>
      </c>
      <c r="J1383" s="25">
        <v>0</v>
      </c>
      <c r="K1383" s="26">
        <v>0</v>
      </c>
      <c r="L1383" s="26">
        <v>0</v>
      </c>
    </row>
    <row r="1384" spans="1:12" ht="16" customHeight="1">
      <c r="A1384" t="s">
        <v>351</v>
      </c>
      <c r="B1384" t="s">
        <v>7</v>
      </c>
      <c r="C1384" t="s">
        <v>27</v>
      </c>
      <c r="D1384" s="24">
        <v>45992</v>
      </c>
      <c r="E1384" t="s">
        <v>236</v>
      </c>
      <c r="F1384" t="s">
        <v>4</v>
      </c>
      <c r="G1384" t="s">
        <v>217</v>
      </c>
      <c r="H1384" t="s">
        <v>217</v>
      </c>
      <c r="I1384" t="s">
        <v>334</v>
      </c>
      <c r="J1384" s="25">
        <v>6</v>
      </c>
      <c r="K1384" s="26">
        <v>1.21</v>
      </c>
      <c r="L1384" s="26">
        <v>0.05</v>
      </c>
    </row>
    <row r="1385" spans="1:12" ht="16" customHeight="1">
      <c r="A1385" t="s">
        <v>351</v>
      </c>
      <c r="B1385" t="s">
        <v>7</v>
      </c>
      <c r="C1385" t="s">
        <v>27</v>
      </c>
      <c r="D1385" s="24">
        <v>45992</v>
      </c>
      <c r="E1385" t="s">
        <v>238</v>
      </c>
      <c r="F1385" t="s">
        <v>4</v>
      </c>
      <c r="G1385" t="s">
        <v>217</v>
      </c>
      <c r="H1385" t="s">
        <v>217</v>
      </c>
      <c r="I1385" t="s">
        <v>335</v>
      </c>
      <c r="J1385" s="25">
        <v>0</v>
      </c>
      <c r="K1385" s="26">
        <v>0</v>
      </c>
      <c r="L1385" s="26">
        <v>0</v>
      </c>
    </row>
    <row r="1386" spans="1:12" ht="16" customHeight="1">
      <c r="A1386" t="s">
        <v>351</v>
      </c>
      <c r="B1386" t="s">
        <v>7</v>
      </c>
      <c r="C1386" t="s">
        <v>27</v>
      </c>
      <c r="D1386" s="24">
        <v>45992</v>
      </c>
      <c r="E1386" t="s">
        <v>240</v>
      </c>
      <c r="F1386" t="s">
        <v>3</v>
      </c>
      <c r="G1386" t="s">
        <v>241</v>
      </c>
      <c r="H1386" t="s">
        <v>241</v>
      </c>
      <c r="I1386" t="s">
        <v>336</v>
      </c>
      <c r="J1386" s="25">
        <v>0</v>
      </c>
      <c r="K1386" s="26">
        <v>0</v>
      </c>
      <c r="L1386" s="26">
        <v>0</v>
      </c>
    </row>
    <row r="1387" spans="1:12" ht="16" customHeight="1">
      <c r="A1387" t="s">
        <v>351</v>
      </c>
      <c r="B1387" t="s">
        <v>7</v>
      </c>
      <c r="C1387" t="s">
        <v>27</v>
      </c>
      <c r="D1387" s="24">
        <v>45992</v>
      </c>
      <c r="E1387" t="s">
        <v>243</v>
      </c>
      <c r="F1387" t="s">
        <v>4</v>
      </c>
      <c r="G1387" t="s">
        <v>217</v>
      </c>
      <c r="H1387" t="s">
        <v>217</v>
      </c>
      <c r="I1387" t="s">
        <v>337</v>
      </c>
      <c r="J1387" s="25">
        <v>0</v>
      </c>
      <c r="K1387" s="26">
        <v>0</v>
      </c>
      <c r="L1387" s="26">
        <v>0</v>
      </c>
    </row>
    <row r="1388" spans="1:12" ht="16" customHeight="1">
      <c r="A1388" t="s">
        <v>352</v>
      </c>
      <c r="B1388" t="s">
        <v>3</v>
      </c>
      <c r="C1388" t="s">
        <v>28</v>
      </c>
      <c r="D1388" s="24">
        <v>45992</v>
      </c>
      <c r="E1388" t="s">
        <v>321</v>
      </c>
      <c r="F1388" t="s">
        <v>4</v>
      </c>
      <c r="G1388" t="s">
        <v>211</v>
      </c>
      <c r="H1388" t="s">
        <v>211</v>
      </c>
      <c r="I1388" t="s">
        <v>212</v>
      </c>
      <c r="J1388" s="25">
        <v>76937483</v>
      </c>
      <c r="K1388" s="26">
        <v>15044287.58</v>
      </c>
      <c r="L1388" s="26">
        <v>22931.85</v>
      </c>
    </row>
    <row r="1389" spans="1:12" ht="16" customHeight="1">
      <c r="A1389" t="s">
        <v>352</v>
      </c>
      <c r="B1389" t="s">
        <v>3</v>
      </c>
      <c r="C1389" t="s">
        <v>28</v>
      </c>
      <c r="D1389" s="24">
        <v>45992</v>
      </c>
      <c r="E1389" t="s">
        <v>222</v>
      </c>
      <c r="F1389" t="s">
        <v>4</v>
      </c>
      <c r="G1389" t="s">
        <v>217</v>
      </c>
      <c r="H1389" t="s">
        <v>217</v>
      </c>
      <c r="I1389" t="s">
        <v>212</v>
      </c>
      <c r="J1389" s="25">
        <v>4819612</v>
      </c>
      <c r="K1389" s="26">
        <v>942414.77</v>
      </c>
      <c r="L1389" s="26">
        <v>2796.77</v>
      </c>
    </row>
    <row r="1390" spans="1:12" ht="16" customHeight="1">
      <c r="A1390" t="s">
        <v>352</v>
      </c>
      <c r="B1390" t="s">
        <v>3</v>
      </c>
      <c r="C1390" t="s">
        <v>28</v>
      </c>
      <c r="D1390" s="24">
        <v>45992</v>
      </c>
      <c r="E1390" t="s">
        <v>339</v>
      </c>
      <c r="F1390" t="s">
        <v>4</v>
      </c>
      <c r="G1390" t="s">
        <v>211</v>
      </c>
      <c r="H1390" t="s">
        <v>211</v>
      </c>
      <c r="I1390" t="s">
        <v>219</v>
      </c>
      <c r="J1390" s="25">
        <v>426880</v>
      </c>
      <c r="K1390" s="26">
        <v>72927.62</v>
      </c>
      <c r="L1390" s="26">
        <v>347.72</v>
      </c>
    </row>
    <row r="1391" spans="1:12" ht="16" customHeight="1">
      <c r="A1391" t="s">
        <v>352</v>
      </c>
      <c r="B1391" t="s">
        <v>3</v>
      </c>
      <c r="C1391" t="s">
        <v>28</v>
      </c>
      <c r="D1391" s="24">
        <v>45992</v>
      </c>
      <c r="E1391" t="s">
        <v>344</v>
      </c>
      <c r="F1391" t="s">
        <v>4</v>
      </c>
      <c r="G1391" t="s">
        <v>211</v>
      </c>
      <c r="H1391" t="s">
        <v>211</v>
      </c>
      <c r="I1391" t="s">
        <v>219</v>
      </c>
      <c r="J1391" s="25">
        <v>27521</v>
      </c>
      <c r="K1391" s="26">
        <v>4704.9799999999996</v>
      </c>
      <c r="L1391" s="26">
        <v>25.19</v>
      </c>
    </row>
    <row r="1392" spans="1:12" ht="16" customHeight="1">
      <c r="A1392" t="s">
        <v>352</v>
      </c>
      <c r="B1392" t="s">
        <v>3</v>
      </c>
      <c r="C1392" t="s">
        <v>28</v>
      </c>
      <c r="D1392" s="24">
        <v>45992</v>
      </c>
      <c r="E1392" t="s">
        <v>349</v>
      </c>
      <c r="F1392" t="s">
        <v>4</v>
      </c>
      <c r="G1392" t="s">
        <v>211</v>
      </c>
      <c r="H1392" t="s">
        <v>211</v>
      </c>
      <c r="I1392" t="s">
        <v>219</v>
      </c>
      <c r="J1392" s="25">
        <v>1882</v>
      </c>
      <c r="K1392" s="26">
        <v>321.04000000000002</v>
      </c>
      <c r="L1392" s="26">
        <v>2.79</v>
      </c>
    </row>
    <row r="1393" spans="1:12" ht="16" customHeight="1">
      <c r="A1393" t="s">
        <v>352</v>
      </c>
      <c r="B1393" t="s">
        <v>3</v>
      </c>
      <c r="C1393" t="s">
        <v>28</v>
      </c>
      <c r="D1393" s="24">
        <v>45992</v>
      </c>
      <c r="E1393" t="s">
        <v>296</v>
      </c>
      <c r="F1393" t="s">
        <v>4</v>
      </c>
      <c r="G1393" t="s">
        <v>217</v>
      </c>
      <c r="H1393" t="s">
        <v>217</v>
      </c>
      <c r="I1393" t="s">
        <v>219</v>
      </c>
      <c r="J1393" s="25">
        <v>506514</v>
      </c>
      <c r="K1393" s="26">
        <v>86431.38</v>
      </c>
      <c r="L1393" s="26">
        <v>593.24</v>
      </c>
    </row>
    <row r="1394" spans="1:12" ht="16" customHeight="1">
      <c r="A1394" t="s">
        <v>352</v>
      </c>
      <c r="B1394" t="s">
        <v>3</v>
      </c>
      <c r="C1394" t="s">
        <v>28</v>
      </c>
      <c r="D1394" s="24">
        <v>45992</v>
      </c>
      <c r="E1394" t="s">
        <v>326</v>
      </c>
      <c r="F1394" t="s">
        <v>4</v>
      </c>
      <c r="G1394" t="s">
        <v>217</v>
      </c>
      <c r="H1394" t="s">
        <v>217</v>
      </c>
      <c r="I1394" t="s">
        <v>221</v>
      </c>
      <c r="J1394" s="25">
        <v>70128</v>
      </c>
      <c r="K1394" s="26">
        <v>11998.11</v>
      </c>
      <c r="L1394" s="26">
        <v>110.73</v>
      </c>
    </row>
    <row r="1395" spans="1:12" ht="16" customHeight="1">
      <c r="A1395" t="s">
        <v>352</v>
      </c>
      <c r="B1395" t="s">
        <v>3</v>
      </c>
      <c r="C1395" t="s">
        <v>28</v>
      </c>
      <c r="D1395" s="24">
        <v>45992</v>
      </c>
      <c r="E1395" t="s">
        <v>224</v>
      </c>
      <c r="F1395" t="s">
        <v>4</v>
      </c>
      <c r="G1395" t="s">
        <v>217</v>
      </c>
      <c r="H1395" t="s">
        <v>217</v>
      </c>
      <c r="I1395" t="s">
        <v>223</v>
      </c>
      <c r="J1395" s="25">
        <v>48242</v>
      </c>
      <c r="K1395" s="26">
        <v>9488.2000000000007</v>
      </c>
      <c r="L1395" s="26">
        <v>163.03</v>
      </c>
    </row>
    <row r="1396" spans="1:12" ht="16" customHeight="1">
      <c r="A1396" t="s">
        <v>352</v>
      </c>
      <c r="B1396" t="s">
        <v>3</v>
      </c>
      <c r="C1396" t="s">
        <v>28</v>
      </c>
      <c r="D1396" s="24">
        <v>45992</v>
      </c>
      <c r="E1396" t="s">
        <v>226</v>
      </c>
      <c r="F1396" t="s">
        <v>4</v>
      </c>
      <c r="G1396" t="s">
        <v>217</v>
      </c>
      <c r="H1396" t="s">
        <v>217</v>
      </c>
      <c r="I1396" t="s">
        <v>225</v>
      </c>
      <c r="J1396" s="25">
        <v>16647</v>
      </c>
      <c r="K1396" s="26">
        <v>3324.92</v>
      </c>
      <c r="L1396" s="26">
        <v>55.1</v>
      </c>
    </row>
    <row r="1397" spans="1:12" ht="16" customHeight="1">
      <c r="A1397" t="s">
        <v>352</v>
      </c>
      <c r="B1397" t="s">
        <v>3</v>
      </c>
      <c r="C1397" t="s">
        <v>28</v>
      </c>
      <c r="D1397" s="24">
        <v>45992</v>
      </c>
      <c r="E1397" t="s">
        <v>269</v>
      </c>
      <c r="F1397" t="s">
        <v>4</v>
      </c>
      <c r="G1397" t="s">
        <v>217</v>
      </c>
      <c r="H1397" t="s">
        <v>217</v>
      </c>
      <c r="I1397" t="s">
        <v>227</v>
      </c>
      <c r="J1397" s="25">
        <v>280</v>
      </c>
      <c r="K1397" s="26">
        <v>53.39</v>
      </c>
      <c r="L1397" s="26">
        <v>0.7</v>
      </c>
    </row>
    <row r="1398" spans="1:12" ht="16" customHeight="1">
      <c r="A1398" t="s">
        <v>352</v>
      </c>
      <c r="B1398" t="s">
        <v>3</v>
      </c>
      <c r="C1398" t="s">
        <v>28</v>
      </c>
      <c r="D1398" s="24">
        <v>45992</v>
      </c>
      <c r="E1398" t="s">
        <v>228</v>
      </c>
      <c r="F1398" t="s">
        <v>4</v>
      </c>
      <c r="G1398" t="s">
        <v>217</v>
      </c>
      <c r="H1398" t="s">
        <v>217</v>
      </c>
      <c r="I1398" t="s">
        <v>330</v>
      </c>
      <c r="J1398" s="25">
        <v>4681</v>
      </c>
      <c r="K1398" s="26">
        <v>964.39</v>
      </c>
      <c r="L1398" s="26">
        <v>30.38</v>
      </c>
    </row>
    <row r="1399" spans="1:12" ht="16" customHeight="1">
      <c r="A1399" t="s">
        <v>352</v>
      </c>
      <c r="B1399" t="s">
        <v>3</v>
      </c>
      <c r="C1399" t="s">
        <v>28</v>
      </c>
      <c r="D1399" s="24">
        <v>45992</v>
      </c>
      <c r="E1399" t="s">
        <v>230</v>
      </c>
      <c r="F1399" t="s">
        <v>4</v>
      </c>
      <c r="G1399" t="s">
        <v>217</v>
      </c>
      <c r="H1399" t="s">
        <v>217</v>
      </c>
      <c r="I1399" t="s">
        <v>331</v>
      </c>
      <c r="J1399" s="25">
        <v>0</v>
      </c>
      <c r="K1399" s="26">
        <v>0</v>
      </c>
      <c r="L1399" s="26">
        <v>0</v>
      </c>
    </row>
    <row r="1400" spans="1:12" ht="16" customHeight="1">
      <c r="A1400" t="s">
        <v>352</v>
      </c>
      <c r="B1400" t="s">
        <v>3</v>
      </c>
      <c r="C1400" t="s">
        <v>28</v>
      </c>
      <c r="D1400" s="24">
        <v>45992</v>
      </c>
      <c r="E1400" t="s">
        <v>232</v>
      </c>
      <c r="F1400" t="s">
        <v>4</v>
      </c>
      <c r="G1400" t="s">
        <v>217</v>
      </c>
      <c r="H1400" t="s">
        <v>217</v>
      </c>
      <c r="I1400" t="s">
        <v>332</v>
      </c>
      <c r="J1400" s="25">
        <v>17</v>
      </c>
      <c r="K1400" s="26">
        <v>3.24</v>
      </c>
      <c r="L1400" s="26">
        <v>0.11</v>
      </c>
    </row>
    <row r="1401" spans="1:12" ht="16" customHeight="1">
      <c r="A1401" t="s">
        <v>352</v>
      </c>
      <c r="B1401" t="s">
        <v>3</v>
      </c>
      <c r="C1401" t="s">
        <v>28</v>
      </c>
      <c r="D1401" s="24">
        <v>45992</v>
      </c>
      <c r="E1401" t="s">
        <v>234</v>
      </c>
      <c r="F1401" t="s">
        <v>4</v>
      </c>
      <c r="G1401" t="s">
        <v>217</v>
      </c>
      <c r="H1401" t="s">
        <v>217</v>
      </c>
      <c r="I1401" t="s">
        <v>333</v>
      </c>
      <c r="J1401" s="25">
        <v>0</v>
      </c>
      <c r="K1401" s="26">
        <v>0</v>
      </c>
      <c r="L1401" s="26">
        <v>0</v>
      </c>
    </row>
    <row r="1402" spans="1:12" ht="16" customHeight="1">
      <c r="A1402" t="s">
        <v>352</v>
      </c>
      <c r="B1402" t="s">
        <v>3</v>
      </c>
      <c r="C1402" t="s">
        <v>28</v>
      </c>
      <c r="D1402" s="24">
        <v>45992</v>
      </c>
      <c r="E1402" t="s">
        <v>236</v>
      </c>
      <c r="F1402" t="s">
        <v>4</v>
      </c>
      <c r="G1402" t="s">
        <v>217</v>
      </c>
      <c r="H1402" t="s">
        <v>217</v>
      </c>
      <c r="I1402" t="s">
        <v>334</v>
      </c>
      <c r="J1402" s="25">
        <v>19</v>
      </c>
      <c r="K1402" s="26">
        <v>3.94</v>
      </c>
      <c r="L1402" s="26">
        <v>0.13</v>
      </c>
    </row>
    <row r="1403" spans="1:12" ht="16" customHeight="1">
      <c r="A1403" t="s">
        <v>352</v>
      </c>
      <c r="B1403" t="s">
        <v>3</v>
      </c>
      <c r="C1403" t="s">
        <v>28</v>
      </c>
      <c r="D1403" s="24">
        <v>45992</v>
      </c>
      <c r="E1403" t="s">
        <v>238</v>
      </c>
      <c r="F1403" t="s">
        <v>4</v>
      </c>
      <c r="G1403" t="s">
        <v>217</v>
      </c>
      <c r="H1403" t="s">
        <v>217</v>
      </c>
      <c r="I1403" t="s">
        <v>335</v>
      </c>
      <c r="J1403" s="25">
        <v>0</v>
      </c>
      <c r="K1403" s="26">
        <v>0</v>
      </c>
      <c r="L1403" s="26">
        <v>0</v>
      </c>
    </row>
    <row r="1404" spans="1:12" ht="16" customHeight="1">
      <c r="A1404" t="s">
        <v>352</v>
      </c>
      <c r="B1404" t="s">
        <v>3</v>
      </c>
      <c r="C1404" t="s">
        <v>28</v>
      </c>
      <c r="D1404" s="24">
        <v>45992</v>
      </c>
      <c r="E1404" t="s">
        <v>240</v>
      </c>
      <c r="F1404" t="s">
        <v>3</v>
      </c>
      <c r="G1404" t="s">
        <v>241</v>
      </c>
      <c r="H1404" t="s">
        <v>241</v>
      </c>
      <c r="I1404" t="s">
        <v>336</v>
      </c>
      <c r="J1404" s="25">
        <v>0</v>
      </c>
      <c r="K1404" s="26">
        <v>0</v>
      </c>
      <c r="L1404" s="26">
        <v>0</v>
      </c>
    </row>
    <row r="1405" spans="1:12" ht="16" customHeight="1">
      <c r="A1405" t="s">
        <v>352</v>
      </c>
      <c r="B1405" t="s">
        <v>3</v>
      </c>
      <c r="C1405" t="s">
        <v>28</v>
      </c>
      <c r="D1405" s="24">
        <v>45992</v>
      </c>
      <c r="E1405" t="s">
        <v>243</v>
      </c>
      <c r="F1405" t="s">
        <v>4</v>
      </c>
      <c r="G1405" t="s">
        <v>217</v>
      </c>
      <c r="H1405" t="s">
        <v>217</v>
      </c>
      <c r="I1405" t="s">
        <v>337</v>
      </c>
      <c r="J1405" s="25">
        <v>0</v>
      </c>
      <c r="K1405" s="26">
        <v>0</v>
      </c>
      <c r="L1405" s="26">
        <v>0</v>
      </c>
    </row>
    <row r="1406" spans="1:12" ht="16" customHeight="1">
      <c r="A1406" t="s">
        <v>321</v>
      </c>
      <c r="B1406" t="s">
        <v>4</v>
      </c>
      <c r="C1406" t="s">
        <v>28</v>
      </c>
      <c r="D1406" s="24">
        <v>45992</v>
      </c>
      <c r="E1406" t="s">
        <v>321</v>
      </c>
      <c r="F1406" t="s">
        <v>4</v>
      </c>
      <c r="G1406" t="s">
        <v>211</v>
      </c>
      <c r="H1406" t="s">
        <v>211</v>
      </c>
      <c r="I1406" t="s">
        <v>212</v>
      </c>
      <c r="J1406" s="25">
        <v>237318907</v>
      </c>
      <c r="K1406" s="26">
        <v>46584226.740000002</v>
      </c>
      <c r="L1406" s="26">
        <v>37071.69</v>
      </c>
    </row>
    <row r="1407" spans="1:12" ht="16" customHeight="1">
      <c r="A1407" t="s">
        <v>321</v>
      </c>
      <c r="B1407" t="s">
        <v>4</v>
      </c>
      <c r="C1407" t="s">
        <v>28</v>
      </c>
      <c r="D1407" s="24">
        <v>45992</v>
      </c>
      <c r="E1407" t="s">
        <v>222</v>
      </c>
      <c r="F1407" t="s">
        <v>4</v>
      </c>
      <c r="G1407" t="s">
        <v>217</v>
      </c>
      <c r="H1407" t="s">
        <v>217</v>
      </c>
      <c r="I1407" t="s">
        <v>212</v>
      </c>
      <c r="J1407" s="25">
        <v>9823880</v>
      </c>
      <c r="K1407" s="26">
        <v>1927854.55</v>
      </c>
      <c r="L1407" s="26">
        <v>4804.42</v>
      </c>
    </row>
    <row r="1408" spans="1:12" ht="16" customHeight="1">
      <c r="A1408" t="s">
        <v>321</v>
      </c>
      <c r="B1408" t="s">
        <v>4</v>
      </c>
      <c r="C1408" t="s">
        <v>28</v>
      </c>
      <c r="D1408" s="24">
        <v>45992</v>
      </c>
      <c r="E1408" t="s">
        <v>339</v>
      </c>
      <c r="F1408" t="s">
        <v>4</v>
      </c>
      <c r="G1408" t="s">
        <v>211</v>
      </c>
      <c r="H1408" t="s">
        <v>211</v>
      </c>
      <c r="I1408" t="s">
        <v>219</v>
      </c>
      <c r="J1408" s="25">
        <v>539904</v>
      </c>
      <c r="K1408" s="26">
        <v>92373.34</v>
      </c>
      <c r="L1408" s="26">
        <v>392.84</v>
      </c>
    </row>
    <row r="1409" spans="1:12" ht="16" customHeight="1">
      <c r="A1409" t="s">
        <v>321</v>
      </c>
      <c r="B1409" t="s">
        <v>4</v>
      </c>
      <c r="C1409" t="s">
        <v>28</v>
      </c>
      <c r="D1409" s="24">
        <v>45992</v>
      </c>
      <c r="E1409" t="s">
        <v>344</v>
      </c>
      <c r="F1409" t="s">
        <v>4</v>
      </c>
      <c r="G1409" t="s">
        <v>211</v>
      </c>
      <c r="H1409" t="s">
        <v>211</v>
      </c>
      <c r="I1409" t="s">
        <v>219</v>
      </c>
      <c r="J1409" s="25">
        <v>32980</v>
      </c>
      <c r="K1409" s="26">
        <v>5645.81</v>
      </c>
      <c r="L1409" s="26">
        <v>30.43</v>
      </c>
    </row>
    <row r="1410" spans="1:12" ht="16" customHeight="1">
      <c r="A1410" t="s">
        <v>321</v>
      </c>
      <c r="B1410" t="s">
        <v>4</v>
      </c>
      <c r="C1410" t="s">
        <v>28</v>
      </c>
      <c r="D1410" s="24">
        <v>45992</v>
      </c>
      <c r="E1410" t="s">
        <v>349</v>
      </c>
      <c r="F1410" t="s">
        <v>4</v>
      </c>
      <c r="G1410" t="s">
        <v>211</v>
      </c>
      <c r="H1410" t="s">
        <v>211</v>
      </c>
      <c r="I1410" t="s">
        <v>219</v>
      </c>
      <c r="J1410" s="25">
        <v>2422</v>
      </c>
      <c r="K1410" s="26">
        <v>413.78</v>
      </c>
      <c r="L1410" s="26">
        <v>2.98</v>
      </c>
    </row>
    <row r="1411" spans="1:12" ht="16" customHeight="1">
      <c r="A1411" t="s">
        <v>321</v>
      </c>
      <c r="B1411" t="s">
        <v>4</v>
      </c>
      <c r="C1411" t="s">
        <v>28</v>
      </c>
      <c r="D1411" s="24">
        <v>45992</v>
      </c>
      <c r="E1411" t="s">
        <v>296</v>
      </c>
      <c r="F1411" t="s">
        <v>4</v>
      </c>
      <c r="G1411" t="s">
        <v>217</v>
      </c>
      <c r="H1411" t="s">
        <v>217</v>
      </c>
      <c r="I1411" t="s">
        <v>219</v>
      </c>
      <c r="J1411" s="25">
        <v>524719</v>
      </c>
      <c r="K1411" s="26">
        <v>89717.88</v>
      </c>
      <c r="L1411" s="26">
        <v>619.04</v>
      </c>
    </row>
    <row r="1412" spans="1:12" ht="16" customHeight="1">
      <c r="A1412" t="s">
        <v>321</v>
      </c>
      <c r="B1412" t="s">
        <v>4</v>
      </c>
      <c r="C1412" t="s">
        <v>28</v>
      </c>
      <c r="D1412" s="24">
        <v>45992</v>
      </c>
      <c r="E1412" t="s">
        <v>326</v>
      </c>
      <c r="F1412" t="s">
        <v>4</v>
      </c>
      <c r="G1412" t="s">
        <v>217</v>
      </c>
      <c r="H1412" t="s">
        <v>217</v>
      </c>
      <c r="I1412" t="s">
        <v>221</v>
      </c>
      <c r="J1412" s="25">
        <v>69529</v>
      </c>
      <c r="K1412" s="26">
        <v>11904.33</v>
      </c>
      <c r="L1412" s="26">
        <v>118.5</v>
      </c>
    </row>
    <row r="1413" spans="1:12" ht="16" customHeight="1">
      <c r="A1413" t="s">
        <v>321</v>
      </c>
      <c r="B1413" t="s">
        <v>4</v>
      </c>
      <c r="C1413" t="s">
        <v>28</v>
      </c>
      <c r="D1413" s="24">
        <v>45992</v>
      </c>
      <c r="E1413" t="s">
        <v>224</v>
      </c>
      <c r="F1413" t="s">
        <v>4</v>
      </c>
      <c r="G1413" t="s">
        <v>217</v>
      </c>
      <c r="H1413" t="s">
        <v>217</v>
      </c>
      <c r="I1413" t="s">
        <v>223</v>
      </c>
      <c r="J1413" s="25">
        <v>47999</v>
      </c>
      <c r="K1413" s="26">
        <v>9620.56</v>
      </c>
      <c r="L1413" s="26">
        <v>263.98</v>
      </c>
    </row>
    <row r="1414" spans="1:12" ht="16" customHeight="1">
      <c r="A1414" t="s">
        <v>321</v>
      </c>
      <c r="B1414" t="s">
        <v>4</v>
      </c>
      <c r="C1414" t="s">
        <v>28</v>
      </c>
      <c r="D1414" s="24">
        <v>45992</v>
      </c>
      <c r="E1414" t="s">
        <v>226</v>
      </c>
      <c r="F1414" t="s">
        <v>4</v>
      </c>
      <c r="G1414" t="s">
        <v>217</v>
      </c>
      <c r="H1414" t="s">
        <v>217</v>
      </c>
      <c r="I1414" t="s">
        <v>225</v>
      </c>
      <c r="J1414" s="25">
        <v>11215</v>
      </c>
      <c r="K1414" s="26">
        <v>2260.31</v>
      </c>
      <c r="L1414" s="26">
        <v>39.99</v>
      </c>
    </row>
    <row r="1415" spans="1:12" ht="16" customHeight="1">
      <c r="A1415" t="s">
        <v>321</v>
      </c>
      <c r="B1415" t="s">
        <v>4</v>
      </c>
      <c r="C1415" t="s">
        <v>28</v>
      </c>
      <c r="D1415" s="24">
        <v>45992</v>
      </c>
      <c r="E1415" t="s">
        <v>269</v>
      </c>
      <c r="F1415" t="s">
        <v>4</v>
      </c>
      <c r="G1415" t="s">
        <v>217</v>
      </c>
      <c r="H1415" t="s">
        <v>217</v>
      </c>
      <c r="I1415" t="s">
        <v>227</v>
      </c>
      <c r="J1415" s="25">
        <v>134</v>
      </c>
      <c r="K1415" s="26">
        <v>26.1</v>
      </c>
      <c r="L1415" s="26">
        <v>0.31</v>
      </c>
    </row>
    <row r="1416" spans="1:12" ht="16" customHeight="1">
      <c r="A1416" t="s">
        <v>321</v>
      </c>
      <c r="B1416" t="s">
        <v>4</v>
      </c>
      <c r="C1416" t="s">
        <v>28</v>
      </c>
      <c r="D1416" s="24">
        <v>45992</v>
      </c>
      <c r="E1416" t="s">
        <v>228</v>
      </c>
      <c r="F1416" t="s">
        <v>4</v>
      </c>
      <c r="G1416" t="s">
        <v>217</v>
      </c>
      <c r="H1416" t="s">
        <v>217</v>
      </c>
      <c r="I1416" t="s">
        <v>330</v>
      </c>
      <c r="J1416" s="25">
        <v>3732</v>
      </c>
      <c r="K1416" s="26">
        <v>781.41</v>
      </c>
      <c r="L1416" s="26">
        <v>24.72</v>
      </c>
    </row>
    <row r="1417" spans="1:12" ht="16" customHeight="1">
      <c r="A1417" t="s">
        <v>321</v>
      </c>
      <c r="B1417" t="s">
        <v>4</v>
      </c>
      <c r="C1417" t="s">
        <v>28</v>
      </c>
      <c r="D1417" s="24">
        <v>45992</v>
      </c>
      <c r="E1417" t="s">
        <v>230</v>
      </c>
      <c r="F1417" t="s">
        <v>4</v>
      </c>
      <c r="G1417" t="s">
        <v>217</v>
      </c>
      <c r="H1417" t="s">
        <v>217</v>
      </c>
      <c r="I1417" t="s">
        <v>331</v>
      </c>
      <c r="J1417" s="25">
        <v>0</v>
      </c>
      <c r="K1417" s="26">
        <v>0</v>
      </c>
      <c r="L1417" s="26">
        <v>0</v>
      </c>
    </row>
    <row r="1418" spans="1:12" ht="16" customHeight="1">
      <c r="A1418" t="s">
        <v>321</v>
      </c>
      <c r="B1418" t="s">
        <v>4</v>
      </c>
      <c r="C1418" t="s">
        <v>28</v>
      </c>
      <c r="D1418" s="24">
        <v>45992</v>
      </c>
      <c r="E1418" t="s">
        <v>232</v>
      </c>
      <c r="F1418" t="s">
        <v>4</v>
      </c>
      <c r="G1418" t="s">
        <v>217</v>
      </c>
      <c r="H1418" t="s">
        <v>217</v>
      </c>
      <c r="I1418" t="s">
        <v>332</v>
      </c>
      <c r="J1418" s="25">
        <v>11</v>
      </c>
      <c r="K1418" s="26">
        <v>2.14</v>
      </c>
      <c r="L1418" s="26">
        <v>0.15</v>
      </c>
    </row>
    <row r="1419" spans="1:12" ht="16" customHeight="1">
      <c r="A1419" t="s">
        <v>321</v>
      </c>
      <c r="B1419" t="s">
        <v>4</v>
      </c>
      <c r="C1419" t="s">
        <v>28</v>
      </c>
      <c r="D1419" s="24">
        <v>45992</v>
      </c>
      <c r="E1419" t="s">
        <v>234</v>
      </c>
      <c r="F1419" t="s">
        <v>4</v>
      </c>
      <c r="G1419" t="s">
        <v>217</v>
      </c>
      <c r="H1419" t="s">
        <v>217</v>
      </c>
      <c r="I1419" t="s">
        <v>333</v>
      </c>
      <c r="J1419" s="25">
        <v>0</v>
      </c>
      <c r="K1419" s="26">
        <v>0</v>
      </c>
      <c r="L1419" s="26">
        <v>0</v>
      </c>
    </row>
    <row r="1420" spans="1:12" ht="16" customHeight="1">
      <c r="A1420" t="s">
        <v>321</v>
      </c>
      <c r="B1420" t="s">
        <v>4</v>
      </c>
      <c r="C1420" t="s">
        <v>28</v>
      </c>
      <c r="D1420" s="24">
        <v>45992</v>
      </c>
      <c r="E1420" t="s">
        <v>236</v>
      </c>
      <c r="F1420" t="s">
        <v>4</v>
      </c>
      <c r="G1420" t="s">
        <v>217</v>
      </c>
      <c r="H1420" t="s">
        <v>217</v>
      </c>
      <c r="I1420" t="s">
        <v>334</v>
      </c>
      <c r="J1420" s="25">
        <v>6</v>
      </c>
      <c r="K1420" s="26">
        <v>1.23</v>
      </c>
      <c r="L1420" s="26">
        <v>0.05</v>
      </c>
    </row>
    <row r="1421" spans="1:12" ht="16" customHeight="1">
      <c r="A1421" t="s">
        <v>321</v>
      </c>
      <c r="B1421" t="s">
        <v>4</v>
      </c>
      <c r="C1421" t="s">
        <v>28</v>
      </c>
      <c r="D1421" s="24">
        <v>45992</v>
      </c>
      <c r="E1421" t="s">
        <v>238</v>
      </c>
      <c r="F1421" t="s">
        <v>4</v>
      </c>
      <c r="G1421" t="s">
        <v>217</v>
      </c>
      <c r="H1421" t="s">
        <v>217</v>
      </c>
      <c r="I1421" t="s">
        <v>335</v>
      </c>
      <c r="J1421" s="25">
        <v>0</v>
      </c>
      <c r="K1421" s="26">
        <v>0</v>
      </c>
      <c r="L1421" s="26">
        <v>0</v>
      </c>
    </row>
    <row r="1422" spans="1:12" ht="16" customHeight="1">
      <c r="A1422" t="s">
        <v>321</v>
      </c>
      <c r="B1422" t="s">
        <v>4</v>
      </c>
      <c r="C1422" t="s">
        <v>28</v>
      </c>
      <c r="D1422" s="24">
        <v>45992</v>
      </c>
      <c r="E1422" t="s">
        <v>240</v>
      </c>
      <c r="F1422" t="s">
        <v>3</v>
      </c>
      <c r="G1422" t="s">
        <v>241</v>
      </c>
      <c r="H1422" t="s">
        <v>241</v>
      </c>
      <c r="I1422" t="s">
        <v>336</v>
      </c>
      <c r="J1422" s="25">
        <v>0</v>
      </c>
      <c r="K1422" s="26">
        <v>0</v>
      </c>
      <c r="L1422" s="26">
        <v>0</v>
      </c>
    </row>
    <row r="1423" spans="1:12" ht="16" customHeight="1">
      <c r="A1423" t="s">
        <v>321</v>
      </c>
      <c r="B1423" t="s">
        <v>4</v>
      </c>
      <c r="C1423" t="s">
        <v>28</v>
      </c>
      <c r="D1423" s="24">
        <v>45992</v>
      </c>
      <c r="E1423" t="s">
        <v>243</v>
      </c>
      <c r="F1423" t="s">
        <v>4</v>
      </c>
      <c r="G1423" t="s">
        <v>217</v>
      </c>
      <c r="H1423" t="s">
        <v>217</v>
      </c>
      <c r="I1423" t="s">
        <v>337</v>
      </c>
      <c r="J1423" s="25">
        <v>0</v>
      </c>
      <c r="K1423" s="26">
        <v>0</v>
      </c>
      <c r="L1423" s="26">
        <v>0</v>
      </c>
    </row>
    <row r="1424" spans="1:12" ht="16" customHeight="1">
      <c r="A1424" t="s">
        <v>353</v>
      </c>
      <c r="B1424" t="s">
        <v>5</v>
      </c>
      <c r="C1424" t="s">
        <v>28</v>
      </c>
      <c r="D1424" s="24">
        <v>45992</v>
      </c>
      <c r="E1424" t="s">
        <v>222</v>
      </c>
      <c r="F1424" t="s">
        <v>4</v>
      </c>
      <c r="G1424" t="s">
        <v>217</v>
      </c>
      <c r="H1424" t="s">
        <v>261</v>
      </c>
      <c r="I1424" t="s">
        <v>212</v>
      </c>
      <c r="J1424" s="25">
        <v>39281815</v>
      </c>
      <c r="K1424" s="26">
        <v>7725512.8700000001</v>
      </c>
      <c r="L1424" s="26">
        <v>17628.830000000002</v>
      </c>
    </row>
    <row r="1425" spans="1:12" ht="16" customHeight="1">
      <c r="A1425" t="s">
        <v>353</v>
      </c>
      <c r="B1425" t="s">
        <v>5</v>
      </c>
      <c r="C1425" t="s">
        <v>28</v>
      </c>
      <c r="D1425" s="24">
        <v>45992</v>
      </c>
      <c r="E1425" t="s">
        <v>339</v>
      </c>
      <c r="F1425" t="s">
        <v>4</v>
      </c>
      <c r="G1425" t="s">
        <v>211</v>
      </c>
      <c r="H1425" t="s">
        <v>211</v>
      </c>
      <c r="I1425" t="s">
        <v>219</v>
      </c>
      <c r="J1425" s="25">
        <v>1494493</v>
      </c>
      <c r="K1425" s="26">
        <v>255519.43</v>
      </c>
      <c r="L1425" s="26">
        <v>861.83</v>
      </c>
    </row>
    <row r="1426" spans="1:12" ht="16" customHeight="1">
      <c r="A1426" t="s">
        <v>353</v>
      </c>
      <c r="B1426" t="s">
        <v>5</v>
      </c>
      <c r="C1426" t="s">
        <v>28</v>
      </c>
      <c r="D1426" s="24">
        <v>45992</v>
      </c>
      <c r="E1426" t="s">
        <v>344</v>
      </c>
      <c r="F1426" t="s">
        <v>4</v>
      </c>
      <c r="G1426" t="s">
        <v>211</v>
      </c>
      <c r="H1426" t="s">
        <v>211</v>
      </c>
      <c r="I1426" t="s">
        <v>219</v>
      </c>
      <c r="J1426" s="25">
        <v>81889</v>
      </c>
      <c r="K1426" s="26">
        <v>14009.44</v>
      </c>
      <c r="L1426" s="26">
        <v>64.95</v>
      </c>
    </row>
    <row r="1427" spans="1:12" ht="16" customHeight="1">
      <c r="A1427" t="s">
        <v>353</v>
      </c>
      <c r="B1427" t="s">
        <v>5</v>
      </c>
      <c r="C1427" t="s">
        <v>28</v>
      </c>
      <c r="D1427" s="24">
        <v>45992</v>
      </c>
      <c r="E1427" t="s">
        <v>349</v>
      </c>
      <c r="F1427" t="s">
        <v>4</v>
      </c>
      <c r="G1427" t="s">
        <v>211</v>
      </c>
      <c r="H1427" t="s">
        <v>211</v>
      </c>
      <c r="I1427" t="s">
        <v>219</v>
      </c>
      <c r="J1427" s="25">
        <v>7856</v>
      </c>
      <c r="K1427" s="26">
        <v>1347.3</v>
      </c>
      <c r="L1427" s="26">
        <v>7.93</v>
      </c>
    </row>
    <row r="1428" spans="1:12" ht="16" customHeight="1">
      <c r="A1428" t="s">
        <v>353</v>
      </c>
      <c r="B1428" t="s">
        <v>5</v>
      </c>
      <c r="C1428" t="s">
        <v>28</v>
      </c>
      <c r="D1428" s="24">
        <v>45992</v>
      </c>
      <c r="E1428" t="s">
        <v>296</v>
      </c>
      <c r="F1428" t="s">
        <v>4</v>
      </c>
      <c r="G1428" t="s">
        <v>217</v>
      </c>
      <c r="H1428" t="s">
        <v>217</v>
      </c>
      <c r="I1428" t="s">
        <v>219</v>
      </c>
      <c r="J1428" s="25">
        <v>547456</v>
      </c>
      <c r="K1428" s="26">
        <v>93601.85</v>
      </c>
      <c r="L1428" s="26">
        <v>631.64</v>
      </c>
    </row>
    <row r="1429" spans="1:12" ht="16" customHeight="1">
      <c r="A1429" t="s">
        <v>353</v>
      </c>
      <c r="B1429" t="s">
        <v>5</v>
      </c>
      <c r="C1429" t="s">
        <v>28</v>
      </c>
      <c r="D1429" s="24">
        <v>45992</v>
      </c>
      <c r="E1429" t="s">
        <v>354</v>
      </c>
      <c r="F1429" t="s">
        <v>4</v>
      </c>
      <c r="G1429" t="s">
        <v>211</v>
      </c>
      <c r="H1429" t="s">
        <v>211</v>
      </c>
      <c r="I1429" t="s">
        <v>221</v>
      </c>
      <c r="J1429" s="25">
        <v>180</v>
      </c>
      <c r="K1429" s="26">
        <v>29.52</v>
      </c>
      <c r="L1429" s="26">
        <v>0.11</v>
      </c>
    </row>
    <row r="1430" spans="1:12" ht="16" customHeight="1">
      <c r="A1430" t="s">
        <v>353</v>
      </c>
      <c r="B1430" t="s">
        <v>5</v>
      </c>
      <c r="C1430" t="s">
        <v>28</v>
      </c>
      <c r="D1430" s="24">
        <v>45992</v>
      </c>
      <c r="E1430" t="s">
        <v>326</v>
      </c>
      <c r="F1430" t="s">
        <v>4</v>
      </c>
      <c r="G1430" t="s">
        <v>217</v>
      </c>
      <c r="H1430" t="s">
        <v>217</v>
      </c>
      <c r="I1430" t="s">
        <v>221</v>
      </c>
      <c r="J1430" s="25">
        <v>65411</v>
      </c>
      <c r="K1430" s="26">
        <v>11233.78</v>
      </c>
      <c r="L1430" s="26">
        <v>123.49</v>
      </c>
    </row>
    <row r="1431" spans="1:12" ht="16" customHeight="1">
      <c r="A1431" t="s">
        <v>353</v>
      </c>
      <c r="B1431" t="s">
        <v>5</v>
      </c>
      <c r="C1431" t="s">
        <v>28</v>
      </c>
      <c r="D1431" s="24">
        <v>45992</v>
      </c>
      <c r="E1431" t="s">
        <v>224</v>
      </c>
      <c r="F1431" t="s">
        <v>4</v>
      </c>
      <c r="G1431" t="s">
        <v>217</v>
      </c>
      <c r="H1431" t="s">
        <v>217</v>
      </c>
      <c r="I1431" t="s">
        <v>223</v>
      </c>
      <c r="J1431" s="25">
        <v>50282</v>
      </c>
      <c r="K1431" s="26">
        <v>10111.799999999999</v>
      </c>
      <c r="L1431" s="26">
        <v>330.02</v>
      </c>
    </row>
    <row r="1432" spans="1:12" ht="16" customHeight="1">
      <c r="A1432" t="s">
        <v>353</v>
      </c>
      <c r="B1432" t="s">
        <v>5</v>
      </c>
      <c r="C1432" t="s">
        <v>28</v>
      </c>
      <c r="D1432" s="24">
        <v>45992</v>
      </c>
      <c r="E1432" t="s">
        <v>226</v>
      </c>
      <c r="F1432" t="s">
        <v>4</v>
      </c>
      <c r="G1432" t="s">
        <v>217</v>
      </c>
      <c r="H1432" t="s">
        <v>217</v>
      </c>
      <c r="I1432" t="s">
        <v>225</v>
      </c>
      <c r="J1432" s="25">
        <v>8161</v>
      </c>
      <c r="K1432" s="26">
        <v>1607.05</v>
      </c>
      <c r="L1432" s="26">
        <v>28.84</v>
      </c>
    </row>
    <row r="1433" spans="1:12" ht="16" customHeight="1">
      <c r="A1433" t="s">
        <v>353</v>
      </c>
      <c r="B1433" t="s">
        <v>5</v>
      </c>
      <c r="C1433" t="s">
        <v>28</v>
      </c>
      <c r="D1433" s="24">
        <v>45992</v>
      </c>
      <c r="E1433" t="s">
        <v>269</v>
      </c>
      <c r="F1433" t="s">
        <v>4</v>
      </c>
      <c r="G1433" t="s">
        <v>217</v>
      </c>
      <c r="H1433" t="s">
        <v>217</v>
      </c>
      <c r="I1433" t="s">
        <v>227</v>
      </c>
      <c r="J1433" s="25">
        <v>187</v>
      </c>
      <c r="K1433" s="26">
        <v>36.92</v>
      </c>
      <c r="L1433" s="26">
        <v>0.55000000000000004</v>
      </c>
    </row>
    <row r="1434" spans="1:12" ht="16" customHeight="1">
      <c r="A1434" t="s">
        <v>353</v>
      </c>
      <c r="B1434" t="s">
        <v>5</v>
      </c>
      <c r="C1434" t="s">
        <v>28</v>
      </c>
      <c r="D1434" s="24">
        <v>45992</v>
      </c>
      <c r="E1434" t="s">
        <v>228</v>
      </c>
      <c r="F1434" t="s">
        <v>4</v>
      </c>
      <c r="G1434" t="s">
        <v>217</v>
      </c>
      <c r="H1434" t="s">
        <v>217</v>
      </c>
      <c r="I1434" t="s">
        <v>330</v>
      </c>
      <c r="J1434" s="25">
        <v>3743</v>
      </c>
      <c r="K1434" s="26">
        <v>782.94</v>
      </c>
      <c r="L1434" s="26">
        <v>25.26</v>
      </c>
    </row>
    <row r="1435" spans="1:12" ht="16" customHeight="1">
      <c r="A1435" t="s">
        <v>353</v>
      </c>
      <c r="B1435" t="s">
        <v>5</v>
      </c>
      <c r="C1435" t="s">
        <v>28</v>
      </c>
      <c r="D1435" s="24">
        <v>45992</v>
      </c>
      <c r="E1435" t="s">
        <v>230</v>
      </c>
      <c r="F1435" t="s">
        <v>4</v>
      </c>
      <c r="G1435" t="s">
        <v>217</v>
      </c>
      <c r="H1435" t="s">
        <v>217</v>
      </c>
      <c r="I1435" t="s">
        <v>331</v>
      </c>
      <c r="J1435" s="25">
        <v>0</v>
      </c>
      <c r="K1435" s="26">
        <v>0</v>
      </c>
      <c r="L1435" s="26">
        <v>0</v>
      </c>
    </row>
    <row r="1436" spans="1:12" ht="16" customHeight="1">
      <c r="A1436" t="s">
        <v>353</v>
      </c>
      <c r="B1436" t="s">
        <v>5</v>
      </c>
      <c r="C1436" t="s">
        <v>28</v>
      </c>
      <c r="D1436" s="24">
        <v>45992</v>
      </c>
      <c r="E1436" t="s">
        <v>232</v>
      </c>
      <c r="F1436" t="s">
        <v>4</v>
      </c>
      <c r="G1436" t="s">
        <v>217</v>
      </c>
      <c r="H1436" t="s">
        <v>217</v>
      </c>
      <c r="I1436" t="s">
        <v>332</v>
      </c>
      <c r="J1436" s="25">
        <v>9</v>
      </c>
      <c r="K1436" s="26">
        <v>1.67</v>
      </c>
      <c r="L1436" s="26">
        <v>7.0000000000000007E-2</v>
      </c>
    </row>
    <row r="1437" spans="1:12" ht="16" customHeight="1">
      <c r="A1437" t="s">
        <v>353</v>
      </c>
      <c r="B1437" t="s">
        <v>5</v>
      </c>
      <c r="C1437" t="s">
        <v>28</v>
      </c>
      <c r="D1437" s="24">
        <v>45992</v>
      </c>
      <c r="E1437" t="s">
        <v>234</v>
      </c>
      <c r="F1437" t="s">
        <v>4</v>
      </c>
      <c r="G1437" t="s">
        <v>217</v>
      </c>
      <c r="H1437" t="s">
        <v>217</v>
      </c>
      <c r="I1437" t="s">
        <v>333</v>
      </c>
      <c r="J1437" s="25">
        <v>0</v>
      </c>
      <c r="K1437" s="26">
        <v>0</v>
      </c>
      <c r="L1437" s="26">
        <v>0</v>
      </c>
    </row>
    <row r="1438" spans="1:12" ht="16" customHeight="1">
      <c r="A1438" t="s">
        <v>353</v>
      </c>
      <c r="B1438" t="s">
        <v>5</v>
      </c>
      <c r="C1438" t="s">
        <v>28</v>
      </c>
      <c r="D1438" s="24">
        <v>45992</v>
      </c>
      <c r="E1438" t="s">
        <v>236</v>
      </c>
      <c r="F1438" t="s">
        <v>4</v>
      </c>
      <c r="G1438" t="s">
        <v>217</v>
      </c>
      <c r="H1438" t="s">
        <v>217</v>
      </c>
      <c r="I1438" t="s">
        <v>334</v>
      </c>
      <c r="J1438" s="25">
        <v>5</v>
      </c>
      <c r="K1438" s="26">
        <v>1.02</v>
      </c>
      <c r="L1438" s="26">
        <v>0.03</v>
      </c>
    </row>
    <row r="1439" spans="1:12" ht="16" customHeight="1">
      <c r="A1439" t="s">
        <v>353</v>
      </c>
      <c r="B1439" t="s">
        <v>5</v>
      </c>
      <c r="C1439" t="s">
        <v>28</v>
      </c>
      <c r="D1439" s="24">
        <v>45992</v>
      </c>
      <c r="E1439" t="s">
        <v>238</v>
      </c>
      <c r="F1439" t="s">
        <v>4</v>
      </c>
      <c r="G1439" t="s">
        <v>217</v>
      </c>
      <c r="H1439" t="s">
        <v>217</v>
      </c>
      <c r="I1439" t="s">
        <v>335</v>
      </c>
      <c r="J1439" s="25">
        <v>0</v>
      </c>
      <c r="K1439" s="26">
        <v>0</v>
      </c>
      <c r="L1439" s="26">
        <v>0</v>
      </c>
    </row>
    <row r="1440" spans="1:12" ht="16" customHeight="1">
      <c r="A1440" t="s">
        <v>353</v>
      </c>
      <c r="B1440" t="s">
        <v>5</v>
      </c>
      <c r="C1440" t="s">
        <v>28</v>
      </c>
      <c r="D1440" s="24">
        <v>45992</v>
      </c>
      <c r="E1440" t="s">
        <v>240</v>
      </c>
      <c r="F1440" t="s">
        <v>3</v>
      </c>
      <c r="G1440" t="s">
        <v>241</v>
      </c>
      <c r="H1440" t="s">
        <v>241</v>
      </c>
      <c r="I1440" t="s">
        <v>336</v>
      </c>
      <c r="J1440" s="25">
        <v>0</v>
      </c>
      <c r="K1440" s="26">
        <v>0</v>
      </c>
      <c r="L1440" s="26">
        <v>0</v>
      </c>
    </row>
    <row r="1441" spans="1:12" ht="16" customHeight="1">
      <c r="A1441" t="s">
        <v>353</v>
      </c>
      <c r="B1441" t="s">
        <v>5</v>
      </c>
      <c r="C1441" t="s">
        <v>28</v>
      </c>
      <c r="D1441" s="24">
        <v>45992</v>
      </c>
      <c r="E1441" t="s">
        <v>243</v>
      </c>
      <c r="F1441" t="s">
        <v>4</v>
      </c>
      <c r="G1441" t="s">
        <v>217</v>
      </c>
      <c r="H1441" t="s">
        <v>217</v>
      </c>
      <c r="I1441" t="s">
        <v>337</v>
      </c>
      <c r="J1441" s="25">
        <v>0</v>
      </c>
      <c r="K1441" s="26">
        <v>0</v>
      </c>
      <c r="L1441" s="26">
        <v>0</v>
      </c>
    </row>
    <row r="1442" spans="1:12" ht="16" customHeight="1">
      <c r="A1442" t="s">
        <v>355</v>
      </c>
      <c r="B1442" t="s">
        <v>7</v>
      </c>
      <c r="C1442" t="s">
        <v>28</v>
      </c>
      <c r="D1442" s="24">
        <v>45992</v>
      </c>
      <c r="E1442" t="s">
        <v>222</v>
      </c>
      <c r="F1442" t="s">
        <v>4</v>
      </c>
      <c r="G1442" t="s">
        <v>217</v>
      </c>
      <c r="H1442" t="s">
        <v>261</v>
      </c>
      <c r="I1442" t="s">
        <v>212</v>
      </c>
      <c r="J1442" s="25">
        <v>58640372</v>
      </c>
      <c r="K1442" s="26">
        <v>11506439.449999999</v>
      </c>
      <c r="L1442" s="26">
        <v>21140.2</v>
      </c>
    </row>
    <row r="1443" spans="1:12" ht="16" customHeight="1">
      <c r="A1443" t="s">
        <v>355</v>
      </c>
      <c r="B1443" t="s">
        <v>7</v>
      </c>
      <c r="C1443" t="s">
        <v>28</v>
      </c>
      <c r="D1443" s="24">
        <v>45992</v>
      </c>
      <c r="E1443" t="s">
        <v>339</v>
      </c>
      <c r="F1443" t="s">
        <v>4</v>
      </c>
      <c r="G1443" t="s">
        <v>211</v>
      </c>
      <c r="H1443" t="s">
        <v>211</v>
      </c>
      <c r="I1443" t="s">
        <v>219</v>
      </c>
      <c r="J1443" s="25">
        <v>2489699</v>
      </c>
      <c r="K1443" s="26">
        <v>424477.27</v>
      </c>
      <c r="L1443" s="26">
        <v>1161.8399999999999</v>
      </c>
    </row>
    <row r="1444" spans="1:12" ht="16" customHeight="1">
      <c r="A1444" t="s">
        <v>355</v>
      </c>
      <c r="B1444" t="s">
        <v>7</v>
      </c>
      <c r="C1444" t="s">
        <v>28</v>
      </c>
      <c r="D1444" s="24">
        <v>45992</v>
      </c>
      <c r="E1444" t="s">
        <v>344</v>
      </c>
      <c r="F1444" t="s">
        <v>4</v>
      </c>
      <c r="G1444" t="s">
        <v>211</v>
      </c>
      <c r="H1444" t="s">
        <v>211</v>
      </c>
      <c r="I1444" t="s">
        <v>219</v>
      </c>
      <c r="J1444" s="25">
        <v>165830</v>
      </c>
      <c r="K1444" s="26">
        <v>28286.26</v>
      </c>
      <c r="L1444" s="26">
        <v>129.04</v>
      </c>
    </row>
    <row r="1445" spans="1:12" ht="16" customHeight="1">
      <c r="A1445" t="s">
        <v>355</v>
      </c>
      <c r="B1445" t="s">
        <v>7</v>
      </c>
      <c r="C1445" t="s">
        <v>28</v>
      </c>
      <c r="D1445" s="24">
        <v>45992</v>
      </c>
      <c r="E1445" t="s">
        <v>349</v>
      </c>
      <c r="F1445" t="s">
        <v>4</v>
      </c>
      <c r="G1445" t="s">
        <v>211</v>
      </c>
      <c r="H1445" t="s">
        <v>211</v>
      </c>
      <c r="I1445" t="s">
        <v>219</v>
      </c>
      <c r="J1445" s="25">
        <v>11369</v>
      </c>
      <c r="K1445" s="26">
        <v>1946.19</v>
      </c>
      <c r="L1445" s="26">
        <v>10.54</v>
      </c>
    </row>
    <row r="1446" spans="1:12" ht="16" customHeight="1">
      <c r="A1446" t="s">
        <v>355</v>
      </c>
      <c r="B1446" t="s">
        <v>7</v>
      </c>
      <c r="C1446" t="s">
        <v>28</v>
      </c>
      <c r="D1446" s="24">
        <v>45992</v>
      </c>
      <c r="E1446" t="s">
        <v>296</v>
      </c>
      <c r="F1446" t="s">
        <v>4</v>
      </c>
      <c r="G1446" t="s">
        <v>217</v>
      </c>
      <c r="H1446" t="s">
        <v>217</v>
      </c>
      <c r="I1446" t="s">
        <v>219</v>
      </c>
      <c r="J1446" s="25">
        <v>695552</v>
      </c>
      <c r="K1446" s="26">
        <v>119308.14</v>
      </c>
      <c r="L1446" s="26">
        <v>805.71</v>
      </c>
    </row>
    <row r="1447" spans="1:12" ht="16" customHeight="1">
      <c r="A1447" t="s">
        <v>355</v>
      </c>
      <c r="B1447" t="s">
        <v>7</v>
      </c>
      <c r="C1447" t="s">
        <v>28</v>
      </c>
      <c r="D1447" s="24">
        <v>45992</v>
      </c>
      <c r="E1447" t="s">
        <v>354</v>
      </c>
      <c r="F1447" t="s">
        <v>4</v>
      </c>
      <c r="G1447" t="s">
        <v>211</v>
      </c>
      <c r="H1447" t="s">
        <v>211</v>
      </c>
      <c r="I1447" t="s">
        <v>221</v>
      </c>
      <c r="J1447" s="25">
        <v>920</v>
      </c>
      <c r="K1447" s="26">
        <v>155.79</v>
      </c>
      <c r="L1447" s="26">
        <v>1.01</v>
      </c>
    </row>
    <row r="1448" spans="1:12" ht="16" customHeight="1">
      <c r="A1448" t="s">
        <v>355</v>
      </c>
      <c r="B1448" t="s">
        <v>7</v>
      </c>
      <c r="C1448" t="s">
        <v>28</v>
      </c>
      <c r="D1448" s="24">
        <v>45992</v>
      </c>
      <c r="E1448" t="s">
        <v>326</v>
      </c>
      <c r="F1448" t="s">
        <v>4</v>
      </c>
      <c r="G1448" t="s">
        <v>217</v>
      </c>
      <c r="H1448" t="s">
        <v>217</v>
      </c>
      <c r="I1448" t="s">
        <v>221</v>
      </c>
      <c r="J1448" s="25">
        <v>77348</v>
      </c>
      <c r="K1448" s="26">
        <v>13287.15</v>
      </c>
      <c r="L1448" s="26">
        <v>135.18</v>
      </c>
    </row>
    <row r="1449" spans="1:12" ht="16" customHeight="1">
      <c r="A1449" t="s">
        <v>355</v>
      </c>
      <c r="B1449" t="s">
        <v>7</v>
      </c>
      <c r="C1449" t="s">
        <v>28</v>
      </c>
      <c r="D1449" s="24">
        <v>45992</v>
      </c>
      <c r="E1449" t="s">
        <v>224</v>
      </c>
      <c r="F1449" t="s">
        <v>4</v>
      </c>
      <c r="G1449" t="s">
        <v>217</v>
      </c>
      <c r="H1449" t="s">
        <v>217</v>
      </c>
      <c r="I1449" t="s">
        <v>223</v>
      </c>
      <c r="J1449" s="25">
        <v>55862</v>
      </c>
      <c r="K1449" s="26">
        <v>11381.4</v>
      </c>
      <c r="L1449" s="26">
        <v>306.95</v>
      </c>
    </row>
    <row r="1450" spans="1:12" ht="16" customHeight="1">
      <c r="A1450" t="s">
        <v>355</v>
      </c>
      <c r="B1450" t="s">
        <v>7</v>
      </c>
      <c r="C1450" t="s">
        <v>28</v>
      </c>
      <c r="D1450" s="24">
        <v>45992</v>
      </c>
      <c r="E1450" t="s">
        <v>226</v>
      </c>
      <c r="F1450" t="s">
        <v>4</v>
      </c>
      <c r="G1450" t="s">
        <v>217</v>
      </c>
      <c r="H1450" t="s">
        <v>217</v>
      </c>
      <c r="I1450" t="s">
        <v>225</v>
      </c>
      <c r="J1450" s="25">
        <v>11859</v>
      </c>
      <c r="K1450" s="26">
        <v>2385.59</v>
      </c>
      <c r="L1450" s="26">
        <v>40.22</v>
      </c>
    </row>
    <row r="1451" spans="1:12" ht="16" customHeight="1">
      <c r="A1451" t="s">
        <v>355</v>
      </c>
      <c r="B1451" t="s">
        <v>7</v>
      </c>
      <c r="C1451" t="s">
        <v>28</v>
      </c>
      <c r="D1451" s="24">
        <v>45992</v>
      </c>
      <c r="E1451" t="s">
        <v>269</v>
      </c>
      <c r="F1451" t="s">
        <v>4</v>
      </c>
      <c r="G1451" t="s">
        <v>217</v>
      </c>
      <c r="H1451" t="s">
        <v>217</v>
      </c>
      <c r="I1451" t="s">
        <v>227</v>
      </c>
      <c r="J1451" s="25">
        <v>768</v>
      </c>
      <c r="K1451" s="26">
        <v>147.51</v>
      </c>
      <c r="L1451" s="26">
        <v>1.89</v>
      </c>
    </row>
    <row r="1452" spans="1:12" ht="16" customHeight="1">
      <c r="A1452" t="s">
        <v>355</v>
      </c>
      <c r="B1452" t="s">
        <v>7</v>
      </c>
      <c r="C1452" t="s">
        <v>28</v>
      </c>
      <c r="D1452" s="24">
        <v>45992</v>
      </c>
      <c r="E1452" t="s">
        <v>228</v>
      </c>
      <c r="F1452" t="s">
        <v>4</v>
      </c>
      <c r="G1452" t="s">
        <v>217</v>
      </c>
      <c r="H1452" t="s">
        <v>217</v>
      </c>
      <c r="I1452" t="s">
        <v>330</v>
      </c>
      <c r="J1452" s="25">
        <v>4577</v>
      </c>
      <c r="K1452" s="26">
        <v>951.67</v>
      </c>
      <c r="L1452" s="26">
        <v>32.42</v>
      </c>
    </row>
    <row r="1453" spans="1:12" ht="16" customHeight="1">
      <c r="A1453" t="s">
        <v>355</v>
      </c>
      <c r="B1453" t="s">
        <v>7</v>
      </c>
      <c r="C1453" t="s">
        <v>28</v>
      </c>
      <c r="D1453" s="24">
        <v>45992</v>
      </c>
      <c r="E1453" t="s">
        <v>230</v>
      </c>
      <c r="F1453" t="s">
        <v>4</v>
      </c>
      <c r="G1453" t="s">
        <v>217</v>
      </c>
      <c r="H1453" t="s">
        <v>217</v>
      </c>
      <c r="I1453" t="s">
        <v>331</v>
      </c>
      <c r="J1453" s="25">
        <v>1</v>
      </c>
      <c r="K1453" s="26">
        <v>0.21</v>
      </c>
      <c r="L1453" s="26">
        <v>0.03</v>
      </c>
    </row>
    <row r="1454" spans="1:12" ht="16" customHeight="1">
      <c r="A1454" t="s">
        <v>355</v>
      </c>
      <c r="B1454" t="s">
        <v>7</v>
      </c>
      <c r="C1454" t="s">
        <v>28</v>
      </c>
      <c r="D1454" s="24">
        <v>45992</v>
      </c>
      <c r="E1454" t="s">
        <v>232</v>
      </c>
      <c r="F1454" t="s">
        <v>4</v>
      </c>
      <c r="G1454" t="s">
        <v>217</v>
      </c>
      <c r="H1454" t="s">
        <v>217</v>
      </c>
      <c r="I1454" t="s">
        <v>332</v>
      </c>
      <c r="J1454" s="25">
        <v>11</v>
      </c>
      <c r="K1454" s="26">
        <v>2.09</v>
      </c>
      <c r="L1454" s="26">
        <v>0.05</v>
      </c>
    </row>
    <row r="1455" spans="1:12" ht="16" customHeight="1">
      <c r="A1455" t="s">
        <v>355</v>
      </c>
      <c r="B1455" t="s">
        <v>7</v>
      </c>
      <c r="C1455" t="s">
        <v>28</v>
      </c>
      <c r="D1455" s="24">
        <v>45992</v>
      </c>
      <c r="E1455" t="s">
        <v>234</v>
      </c>
      <c r="F1455" t="s">
        <v>4</v>
      </c>
      <c r="G1455" t="s">
        <v>217</v>
      </c>
      <c r="H1455" t="s">
        <v>217</v>
      </c>
      <c r="I1455" t="s">
        <v>333</v>
      </c>
      <c r="J1455" s="25">
        <v>0</v>
      </c>
      <c r="K1455" s="26">
        <v>0</v>
      </c>
      <c r="L1455" s="26">
        <v>0</v>
      </c>
    </row>
    <row r="1456" spans="1:12" ht="16" customHeight="1">
      <c r="A1456" t="s">
        <v>355</v>
      </c>
      <c r="B1456" t="s">
        <v>7</v>
      </c>
      <c r="C1456" t="s">
        <v>28</v>
      </c>
      <c r="D1456" s="24">
        <v>45992</v>
      </c>
      <c r="E1456" t="s">
        <v>236</v>
      </c>
      <c r="F1456" t="s">
        <v>4</v>
      </c>
      <c r="G1456" t="s">
        <v>217</v>
      </c>
      <c r="H1456" t="s">
        <v>217</v>
      </c>
      <c r="I1456" t="s">
        <v>334</v>
      </c>
      <c r="J1456" s="25">
        <v>1</v>
      </c>
      <c r="K1456" s="26">
        <v>0.21</v>
      </c>
      <c r="L1456" s="26">
        <v>0.01</v>
      </c>
    </row>
    <row r="1457" spans="1:12" ht="16" customHeight="1">
      <c r="A1457" t="s">
        <v>355</v>
      </c>
      <c r="B1457" t="s">
        <v>7</v>
      </c>
      <c r="C1457" t="s">
        <v>28</v>
      </c>
      <c r="D1457" s="24">
        <v>45992</v>
      </c>
      <c r="E1457" t="s">
        <v>238</v>
      </c>
      <c r="F1457" t="s">
        <v>4</v>
      </c>
      <c r="G1457" t="s">
        <v>217</v>
      </c>
      <c r="H1457" t="s">
        <v>217</v>
      </c>
      <c r="I1457" t="s">
        <v>335</v>
      </c>
      <c r="J1457" s="25">
        <v>0</v>
      </c>
      <c r="K1457" s="26">
        <v>0</v>
      </c>
      <c r="L1457" s="26">
        <v>0</v>
      </c>
    </row>
    <row r="1458" spans="1:12" ht="16" customHeight="1">
      <c r="A1458" t="s">
        <v>355</v>
      </c>
      <c r="B1458" t="s">
        <v>7</v>
      </c>
      <c r="C1458" t="s">
        <v>28</v>
      </c>
      <c r="D1458" s="24">
        <v>45992</v>
      </c>
      <c r="E1458" t="s">
        <v>240</v>
      </c>
      <c r="F1458" t="s">
        <v>3</v>
      </c>
      <c r="G1458" t="s">
        <v>241</v>
      </c>
      <c r="H1458" t="s">
        <v>241</v>
      </c>
      <c r="I1458" t="s">
        <v>336</v>
      </c>
      <c r="J1458" s="25">
        <v>0</v>
      </c>
      <c r="K1458" s="26">
        <v>0</v>
      </c>
      <c r="L1458" s="26">
        <v>0</v>
      </c>
    </row>
    <row r="1459" spans="1:12" ht="16" customHeight="1">
      <c r="A1459" t="s">
        <v>355</v>
      </c>
      <c r="B1459" t="s">
        <v>7</v>
      </c>
      <c r="C1459" t="s">
        <v>28</v>
      </c>
      <c r="D1459" s="24">
        <v>45992</v>
      </c>
      <c r="E1459" t="s">
        <v>243</v>
      </c>
      <c r="F1459" t="s">
        <v>4</v>
      </c>
      <c r="G1459" t="s">
        <v>217</v>
      </c>
      <c r="H1459" t="s">
        <v>217</v>
      </c>
      <c r="I1459" t="s">
        <v>337</v>
      </c>
      <c r="J1459" s="25">
        <v>0</v>
      </c>
      <c r="K1459" s="26">
        <v>0</v>
      </c>
      <c r="L1459" s="26">
        <v>0</v>
      </c>
    </row>
    <row r="1460" spans="1:12" ht="16" customHeight="1">
      <c r="A1460" t="s">
        <v>356</v>
      </c>
      <c r="B1460" t="s">
        <v>3</v>
      </c>
      <c r="C1460" t="s">
        <v>29</v>
      </c>
      <c r="D1460" s="24">
        <v>45992</v>
      </c>
      <c r="E1460" t="s">
        <v>222</v>
      </c>
      <c r="F1460" t="s">
        <v>4</v>
      </c>
      <c r="G1460" t="s">
        <v>217</v>
      </c>
      <c r="H1460" t="s">
        <v>261</v>
      </c>
      <c r="I1460" t="s">
        <v>212</v>
      </c>
      <c r="J1460" s="25">
        <v>95807647</v>
      </c>
      <c r="K1460" s="26">
        <v>18730825.02</v>
      </c>
      <c r="L1460" s="26">
        <v>26901.38</v>
      </c>
    </row>
    <row r="1461" spans="1:12" ht="16" customHeight="1">
      <c r="A1461" t="s">
        <v>356</v>
      </c>
      <c r="B1461" t="s">
        <v>3</v>
      </c>
      <c r="C1461" t="s">
        <v>29</v>
      </c>
      <c r="D1461" s="24">
        <v>45992</v>
      </c>
      <c r="E1461" t="s">
        <v>339</v>
      </c>
      <c r="F1461" t="s">
        <v>4</v>
      </c>
      <c r="G1461" t="s">
        <v>211</v>
      </c>
      <c r="H1461" t="s">
        <v>211</v>
      </c>
      <c r="I1461" t="s">
        <v>219</v>
      </c>
      <c r="J1461" s="25">
        <v>4991299</v>
      </c>
      <c r="K1461" s="26">
        <v>849721.47</v>
      </c>
      <c r="L1461" s="26">
        <v>2129.84</v>
      </c>
    </row>
    <row r="1462" spans="1:12" ht="16" customHeight="1">
      <c r="A1462" t="s">
        <v>356</v>
      </c>
      <c r="B1462" t="s">
        <v>3</v>
      </c>
      <c r="C1462" t="s">
        <v>29</v>
      </c>
      <c r="D1462" s="24">
        <v>45992</v>
      </c>
      <c r="E1462" t="s">
        <v>344</v>
      </c>
      <c r="F1462" t="s">
        <v>4</v>
      </c>
      <c r="G1462" t="s">
        <v>211</v>
      </c>
      <c r="H1462" t="s">
        <v>211</v>
      </c>
      <c r="I1462" t="s">
        <v>219</v>
      </c>
      <c r="J1462" s="25">
        <v>331508</v>
      </c>
      <c r="K1462" s="26">
        <v>56400.47</v>
      </c>
      <c r="L1462" s="26">
        <v>225.02</v>
      </c>
    </row>
    <row r="1463" spans="1:12" ht="16" customHeight="1">
      <c r="A1463" t="s">
        <v>356</v>
      </c>
      <c r="B1463" t="s">
        <v>3</v>
      </c>
      <c r="C1463" t="s">
        <v>29</v>
      </c>
      <c r="D1463" s="24">
        <v>45992</v>
      </c>
      <c r="E1463" t="s">
        <v>349</v>
      </c>
      <c r="F1463" t="s">
        <v>4</v>
      </c>
      <c r="G1463" t="s">
        <v>211</v>
      </c>
      <c r="H1463" t="s">
        <v>211</v>
      </c>
      <c r="I1463" t="s">
        <v>219</v>
      </c>
      <c r="J1463" s="25">
        <v>21848</v>
      </c>
      <c r="K1463" s="26">
        <v>3723.46</v>
      </c>
      <c r="L1463" s="26">
        <v>20.34</v>
      </c>
    </row>
    <row r="1464" spans="1:12" ht="16" customHeight="1">
      <c r="A1464" t="s">
        <v>356</v>
      </c>
      <c r="B1464" t="s">
        <v>3</v>
      </c>
      <c r="C1464" t="s">
        <v>29</v>
      </c>
      <c r="D1464" s="24">
        <v>45992</v>
      </c>
      <c r="E1464" t="s">
        <v>296</v>
      </c>
      <c r="F1464" t="s">
        <v>4</v>
      </c>
      <c r="G1464" t="s">
        <v>217</v>
      </c>
      <c r="H1464" t="s">
        <v>217</v>
      </c>
      <c r="I1464" t="s">
        <v>219</v>
      </c>
      <c r="J1464" s="25">
        <v>985190</v>
      </c>
      <c r="K1464" s="26">
        <v>168889.38</v>
      </c>
      <c r="L1464" s="26">
        <v>1266.05</v>
      </c>
    </row>
    <row r="1465" spans="1:12" ht="16" customHeight="1">
      <c r="A1465" t="s">
        <v>356</v>
      </c>
      <c r="B1465" t="s">
        <v>3</v>
      </c>
      <c r="C1465" t="s">
        <v>29</v>
      </c>
      <c r="D1465" s="24">
        <v>45992</v>
      </c>
      <c r="E1465" t="s">
        <v>354</v>
      </c>
      <c r="F1465" t="s">
        <v>4</v>
      </c>
      <c r="G1465" t="s">
        <v>211</v>
      </c>
      <c r="H1465" t="s">
        <v>211</v>
      </c>
      <c r="I1465" t="s">
        <v>221</v>
      </c>
      <c r="J1465" s="25">
        <v>2259</v>
      </c>
      <c r="K1465" s="26">
        <v>386.44</v>
      </c>
      <c r="L1465" s="26">
        <v>2.42</v>
      </c>
    </row>
    <row r="1466" spans="1:12" ht="16" customHeight="1">
      <c r="A1466" t="s">
        <v>356</v>
      </c>
      <c r="B1466" t="s">
        <v>3</v>
      </c>
      <c r="C1466" t="s">
        <v>29</v>
      </c>
      <c r="D1466" s="24">
        <v>45992</v>
      </c>
      <c r="E1466" t="s">
        <v>326</v>
      </c>
      <c r="F1466" t="s">
        <v>4</v>
      </c>
      <c r="G1466" t="s">
        <v>217</v>
      </c>
      <c r="H1466" t="s">
        <v>217</v>
      </c>
      <c r="I1466" t="s">
        <v>221</v>
      </c>
      <c r="J1466" s="25">
        <v>105935</v>
      </c>
      <c r="K1466" s="26">
        <v>18108.32</v>
      </c>
      <c r="L1466" s="26">
        <v>170.98</v>
      </c>
    </row>
    <row r="1467" spans="1:12" ht="16" customHeight="1">
      <c r="A1467" t="s">
        <v>356</v>
      </c>
      <c r="B1467" t="s">
        <v>3</v>
      </c>
      <c r="C1467" t="s">
        <v>29</v>
      </c>
      <c r="D1467" s="24">
        <v>45992</v>
      </c>
      <c r="E1467" t="s">
        <v>357</v>
      </c>
      <c r="F1467" t="s">
        <v>3</v>
      </c>
      <c r="G1467" t="s">
        <v>358</v>
      </c>
      <c r="H1467" t="s">
        <v>358</v>
      </c>
      <c r="I1467" t="s">
        <v>223</v>
      </c>
      <c r="J1467" s="25">
        <v>67799</v>
      </c>
      <c r="K1467" s="26">
        <v>13618.09</v>
      </c>
      <c r="L1467" s="26">
        <v>492.59</v>
      </c>
    </row>
    <row r="1468" spans="1:12" ht="16" customHeight="1">
      <c r="A1468" t="s">
        <v>356</v>
      </c>
      <c r="B1468" t="s">
        <v>3</v>
      </c>
      <c r="C1468" t="s">
        <v>29</v>
      </c>
      <c r="D1468" s="24">
        <v>45992</v>
      </c>
      <c r="E1468" t="s">
        <v>226</v>
      </c>
      <c r="F1468" t="s">
        <v>4</v>
      </c>
      <c r="G1468" t="s">
        <v>217</v>
      </c>
      <c r="H1468" t="s">
        <v>217</v>
      </c>
      <c r="I1468" t="s">
        <v>225</v>
      </c>
      <c r="J1468" s="25">
        <v>15873</v>
      </c>
      <c r="K1468" s="26">
        <v>3232.25</v>
      </c>
      <c r="L1468" s="26">
        <v>92.71</v>
      </c>
    </row>
    <row r="1469" spans="1:12" ht="16" customHeight="1">
      <c r="A1469" t="s">
        <v>356</v>
      </c>
      <c r="B1469" t="s">
        <v>3</v>
      </c>
      <c r="C1469" t="s">
        <v>29</v>
      </c>
      <c r="D1469" s="24">
        <v>45992</v>
      </c>
      <c r="E1469" t="s">
        <v>269</v>
      </c>
      <c r="F1469" t="s">
        <v>4</v>
      </c>
      <c r="G1469" t="s">
        <v>217</v>
      </c>
      <c r="H1469" t="s">
        <v>217</v>
      </c>
      <c r="I1469" t="s">
        <v>227</v>
      </c>
      <c r="J1469" s="25">
        <v>446</v>
      </c>
      <c r="K1469" s="26">
        <v>88.85</v>
      </c>
      <c r="L1469" s="26">
        <v>1.05</v>
      </c>
    </row>
    <row r="1470" spans="1:12" ht="16" customHeight="1">
      <c r="A1470" t="s">
        <v>356</v>
      </c>
      <c r="B1470" t="s">
        <v>3</v>
      </c>
      <c r="C1470" t="s">
        <v>29</v>
      </c>
      <c r="D1470" s="24">
        <v>45992</v>
      </c>
      <c r="E1470" t="s">
        <v>228</v>
      </c>
      <c r="F1470" t="s">
        <v>4</v>
      </c>
      <c r="G1470" t="s">
        <v>217</v>
      </c>
      <c r="H1470" t="s">
        <v>217</v>
      </c>
      <c r="I1470" t="s">
        <v>330</v>
      </c>
      <c r="J1470" s="25">
        <v>6324</v>
      </c>
      <c r="K1470" s="26">
        <v>1275.3499999999999</v>
      </c>
      <c r="L1470" s="26">
        <v>38.880000000000003</v>
      </c>
    </row>
    <row r="1471" spans="1:12" ht="16" customHeight="1">
      <c r="A1471" t="s">
        <v>356</v>
      </c>
      <c r="B1471" t="s">
        <v>3</v>
      </c>
      <c r="C1471" t="s">
        <v>29</v>
      </c>
      <c r="D1471" s="24">
        <v>45992</v>
      </c>
      <c r="E1471" t="s">
        <v>230</v>
      </c>
      <c r="F1471" t="s">
        <v>4</v>
      </c>
      <c r="G1471" t="s">
        <v>217</v>
      </c>
      <c r="H1471" t="s">
        <v>217</v>
      </c>
      <c r="I1471" t="s">
        <v>331</v>
      </c>
      <c r="J1471" s="25">
        <v>0</v>
      </c>
      <c r="K1471" s="26">
        <v>0</v>
      </c>
      <c r="L1471" s="26">
        <v>0</v>
      </c>
    </row>
    <row r="1472" spans="1:12" ht="16" customHeight="1">
      <c r="A1472" t="s">
        <v>356</v>
      </c>
      <c r="B1472" t="s">
        <v>3</v>
      </c>
      <c r="C1472" t="s">
        <v>29</v>
      </c>
      <c r="D1472" s="24">
        <v>45992</v>
      </c>
      <c r="E1472" t="s">
        <v>232</v>
      </c>
      <c r="F1472" t="s">
        <v>4</v>
      </c>
      <c r="G1472" t="s">
        <v>217</v>
      </c>
      <c r="H1472" t="s">
        <v>217</v>
      </c>
      <c r="I1472" t="s">
        <v>332</v>
      </c>
      <c r="J1472" s="25">
        <v>9</v>
      </c>
      <c r="K1472" s="26">
        <v>1.82</v>
      </c>
      <c r="L1472" s="26">
        <v>0.09</v>
      </c>
    </row>
    <row r="1473" spans="1:12" ht="16" customHeight="1">
      <c r="A1473" t="s">
        <v>356</v>
      </c>
      <c r="B1473" t="s">
        <v>3</v>
      </c>
      <c r="C1473" t="s">
        <v>29</v>
      </c>
      <c r="D1473" s="24">
        <v>45992</v>
      </c>
      <c r="E1473" t="s">
        <v>234</v>
      </c>
      <c r="F1473" t="s">
        <v>4</v>
      </c>
      <c r="G1473" t="s">
        <v>217</v>
      </c>
      <c r="H1473" t="s">
        <v>217</v>
      </c>
      <c r="I1473" t="s">
        <v>333</v>
      </c>
      <c r="J1473" s="25">
        <v>0</v>
      </c>
      <c r="K1473" s="26">
        <v>0</v>
      </c>
      <c r="L1473" s="26">
        <v>0</v>
      </c>
    </row>
    <row r="1474" spans="1:12" ht="16" customHeight="1">
      <c r="A1474" t="s">
        <v>356</v>
      </c>
      <c r="B1474" t="s">
        <v>3</v>
      </c>
      <c r="C1474" t="s">
        <v>29</v>
      </c>
      <c r="D1474" s="24">
        <v>45992</v>
      </c>
      <c r="E1474" t="s">
        <v>236</v>
      </c>
      <c r="F1474" t="s">
        <v>4</v>
      </c>
      <c r="G1474" t="s">
        <v>217</v>
      </c>
      <c r="H1474" t="s">
        <v>217</v>
      </c>
      <c r="I1474" t="s">
        <v>334</v>
      </c>
      <c r="J1474" s="25">
        <v>2</v>
      </c>
      <c r="K1474" s="26">
        <v>0.39</v>
      </c>
      <c r="L1474" s="26">
        <v>0.01</v>
      </c>
    </row>
    <row r="1475" spans="1:12" ht="16" customHeight="1">
      <c r="A1475" t="s">
        <v>356</v>
      </c>
      <c r="B1475" t="s">
        <v>3</v>
      </c>
      <c r="C1475" t="s">
        <v>29</v>
      </c>
      <c r="D1475" s="24">
        <v>45992</v>
      </c>
      <c r="E1475" t="s">
        <v>238</v>
      </c>
      <c r="F1475" t="s">
        <v>4</v>
      </c>
      <c r="G1475" t="s">
        <v>217</v>
      </c>
      <c r="H1475" t="s">
        <v>217</v>
      </c>
      <c r="I1475" t="s">
        <v>335</v>
      </c>
      <c r="J1475" s="25">
        <v>0</v>
      </c>
      <c r="K1475" s="26">
        <v>0</v>
      </c>
      <c r="L1475" s="26">
        <v>0</v>
      </c>
    </row>
    <row r="1476" spans="1:12" ht="16" customHeight="1">
      <c r="A1476" t="s">
        <v>356</v>
      </c>
      <c r="B1476" t="s">
        <v>3</v>
      </c>
      <c r="C1476" t="s">
        <v>29</v>
      </c>
      <c r="D1476" s="24">
        <v>45992</v>
      </c>
      <c r="E1476" t="s">
        <v>240</v>
      </c>
      <c r="F1476" t="s">
        <v>3</v>
      </c>
      <c r="G1476" t="s">
        <v>241</v>
      </c>
      <c r="H1476" t="s">
        <v>241</v>
      </c>
      <c r="I1476" t="s">
        <v>336</v>
      </c>
      <c r="J1476" s="25">
        <v>6</v>
      </c>
      <c r="K1476" s="26">
        <v>1.06</v>
      </c>
      <c r="L1476" s="26">
        <v>0.02</v>
      </c>
    </row>
    <row r="1477" spans="1:12" ht="16" customHeight="1">
      <c r="A1477" t="s">
        <v>356</v>
      </c>
      <c r="B1477" t="s">
        <v>3</v>
      </c>
      <c r="C1477" t="s">
        <v>29</v>
      </c>
      <c r="D1477" s="24">
        <v>45992</v>
      </c>
      <c r="E1477" t="s">
        <v>243</v>
      </c>
      <c r="F1477" t="s">
        <v>4</v>
      </c>
      <c r="G1477" t="s">
        <v>217</v>
      </c>
      <c r="H1477" t="s">
        <v>217</v>
      </c>
      <c r="I1477" t="s">
        <v>337</v>
      </c>
      <c r="J1477" s="25">
        <v>0</v>
      </c>
      <c r="K1477" s="26">
        <v>0</v>
      </c>
      <c r="L1477" s="26">
        <v>0</v>
      </c>
    </row>
    <row r="1478" spans="1:12" ht="16" customHeight="1">
      <c r="A1478" t="s">
        <v>222</v>
      </c>
      <c r="B1478" t="s">
        <v>4</v>
      </c>
      <c r="C1478" t="s">
        <v>29</v>
      </c>
      <c r="D1478" s="24">
        <v>45992</v>
      </c>
      <c r="E1478" t="s">
        <v>222</v>
      </c>
      <c r="F1478" t="s">
        <v>4</v>
      </c>
      <c r="G1478" t="s">
        <v>217</v>
      </c>
      <c r="H1478" t="s">
        <v>261</v>
      </c>
      <c r="I1478" t="s">
        <v>212</v>
      </c>
      <c r="J1478" s="25">
        <v>243334731</v>
      </c>
      <c r="K1478" s="26">
        <v>47389142.079999998</v>
      </c>
      <c r="L1478" s="26">
        <v>37528.58</v>
      </c>
    </row>
    <row r="1479" spans="1:12" ht="16" customHeight="1">
      <c r="A1479" t="s">
        <v>222</v>
      </c>
      <c r="B1479" t="s">
        <v>4</v>
      </c>
      <c r="C1479" t="s">
        <v>29</v>
      </c>
      <c r="D1479" s="24">
        <v>45992</v>
      </c>
      <c r="E1479" t="s">
        <v>339</v>
      </c>
      <c r="F1479" t="s">
        <v>4</v>
      </c>
      <c r="G1479" t="s">
        <v>211</v>
      </c>
      <c r="H1479" t="s">
        <v>211</v>
      </c>
      <c r="I1479" t="s">
        <v>219</v>
      </c>
      <c r="J1479" s="25">
        <v>9718548</v>
      </c>
      <c r="K1479" s="26">
        <v>1651079.9</v>
      </c>
      <c r="L1479" s="26">
        <v>4134.78</v>
      </c>
    </row>
    <row r="1480" spans="1:12" ht="16" customHeight="1">
      <c r="A1480" t="s">
        <v>222</v>
      </c>
      <c r="B1480" t="s">
        <v>4</v>
      </c>
      <c r="C1480" t="s">
        <v>29</v>
      </c>
      <c r="D1480" s="24">
        <v>45992</v>
      </c>
      <c r="E1480" t="s">
        <v>344</v>
      </c>
      <c r="F1480" t="s">
        <v>4</v>
      </c>
      <c r="G1480" t="s">
        <v>211</v>
      </c>
      <c r="H1480" t="s">
        <v>211</v>
      </c>
      <c r="I1480" t="s">
        <v>219</v>
      </c>
      <c r="J1480" s="25">
        <v>441624</v>
      </c>
      <c r="K1480" s="26">
        <v>75055.460000000006</v>
      </c>
      <c r="L1480" s="26">
        <v>296.2</v>
      </c>
    </row>
    <row r="1481" spans="1:12" ht="16" customHeight="1">
      <c r="A1481" t="s">
        <v>222</v>
      </c>
      <c r="B1481" t="s">
        <v>4</v>
      </c>
      <c r="C1481" t="s">
        <v>29</v>
      </c>
      <c r="D1481" s="24">
        <v>45992</v>
      </c>
      <c r="E1481" t="s">
        <v>349</v>
      </c>
      <c r="F1481" t="s">
        <v>4</v>
      </c>
      <c r="G1481" t="s">
        <v>211</v>
      </c>
      <c r="H1481" t="s">
        <v>211</v>
      </c>
      <c r="I1481" t="s">
        <v>219</v>
      </c>
      <c r="J1481" s="25">
        <v>30847</v>
      </c>
      <c r="K1481" s="26">
        <v>5253.71</v>
      </c>
      <c r="L1481" s="26">
        <v>28.04</v>
      </c>
    </row>
    <row r="1482" spans="1:12" ht="16" customHeight="1">
      <c r="A1482" t="s">
        <v>222</v>
      </c>
      <c r="B1482" t="s">
        <v>4</v>
      </c>
      <c r="C1482" t="s">
        <v>29</v>
      </c>
      <c r="D1482" s="24">
        <v>45992</v>
      </c>
      <c r="E1482" t="s">
        <v>296</v>
      </c>
      <c r="F1482" t="s">
        <v>4</v>
      </c>
      <c r="G1482" t="s">
        <v>217</v>
      </c>
      <c r="H1482" t="s">
        <v>217</v>
      </c>
      <c r="I1482" t="s">
        <v>219</v>
      </c>
      <c r="J1482" s="25">
        <v>1123901</v>
      </c>
      <c r="K1482" s="26">
        <v>192171.33</v>
      </c>
      <c r="L1482" s="26">
        <v>1486.54</v>
      </c>
    </row>
    <row r="1483" spans="1:12" ht="16" customHeight="1">
      <c r="A1483" t="s">
        <v>222</v>
      </c>
      <c r="B1483" t="s">
        <v>4</v>
      </c>
      <c r="C1483" t="s">
        <v>29</v>
      </c>
      <c r="D1483" s="24">
        <v>45992</v>
      </c>
      <c r="E1483" t="s">
        <v>354</v>
      </c>
      <c r="F1483" t="s">
        <v>4</v>
      </c>
      <c r="G1483" t="s">
        <v>211</v>
      </c>
      <c r="H1483" t="s">
        <v>211</v>
      </c>
      <c r="I1483" t="s">
        <v>221</v>
      </c>
      <c r="J1483" s="25">
        <v>3078</v>
      </c>
      <c r="K1483" s="26">
        <v>528.21</v>
      </c>
      <c r="L1483" s="26">
        <v>3.47</v>
      </c>
    </row>
    <row r="1484" spans="1:12" ht="16" customHeight="1">
      <c r="A1484" t="s">
        <v>222</v>
      </c>
      <c r="B1484" t="s">
        <v>4</v>
      </c>
      <c r="C1484" t="s">
        <v>29</v>
      </c>
      <c r="D1484" s="24">
        <v>45992</v>
      </c>
      <c r="E1484" t="s">
        <v>326</v>
      </c>
      <c r="F1484" t="s">
        <v>4</v>
      </c>
      <c r="G1484" t="s">
        <v>217</v>
      </c>
      <c r="H1484" t="s">
        <v>217</v>
      </c>
      <c r="I1484" t="s">
        <v>221</v>
      </c>
      <c r="J1484" s="25">
        <v>89977</v>
      </c>
      <c r="K1484" s="26">
        <v>15457.5</v>
      </c>
      <c r="L1484" s="26">
        <v>148.58000000000001</v>
      </c>
    </row>
    <row r="1485" spans="1:12" ht="16" customHeight="1">
      <c r="A1485" t="s">
        <v>222</v>
      </c>
      <c r="B1485" t="s">
        <v>4</v>
      </c>
      <c r="C1485" t="s">
        <v>29</v>
      </c>
      <c r="D1485" s="24">
        <v>45992</v>
      </c>
      <c r="E1485" t="s">
        <v>357</v>
      </c>
      <c r="F1485" t="s">
        <v>3</v>
      </c>
      <c r="G1485" t="s">
        <v>358</v>
      </c>
      <c r="H1485" t="s">
        <v>358</v>
      </c>
      <c r="I1485" t="s">
        <v>223</v>
      </c>
      <c r="J1485" s="25">
        <v>66375</v>
      </c>
      <c r="K1485" s="26">
        <v>13131.08</v>
      </c>
      <c r="L1485" s="26">
        <v>251</v>
      </c>
    </row>
    <row r="1486" spans="1:12" ht="16" customHeight="1">
      <c r="A1486" t="s">
        <v>222</v>
      </c>
      <c r="B1486" t="s">
        <v>4</v>
      </c>
      <c r="C1486" t="s">
        <v>29</v>
      </c>
      <c r="D1486" s="24">
        <v>45992</v>
      </c>
      <c r="E1486" t="s">
        <v>226</v>
      </c>
      <c r="F1486" t="s">
        <v>4</v>
      </c>
      <c r="G1486" t="s">
        <v>217</v>
      </c>
      <c r="H1486" t="s">
        <v>217</v>
      </c>
      <c r="I1486" t="s">
        <v>225</v>
      </c>
      <c r="J1486" s="25">
        <v>12370</v>
      </c>
      <c r="K1486" s="26">
        <v>2475.6999999999998</v>
      </c>
      <c r="L1486" s="26">
        <v>40.89</v>
      </c>
    </row>
    <row r="1487" spans="1:12" ht="16" customHeight="1">
      <c r="A1487" t="s">
        <v>222</v>
      </c>
      <c r="B1487" t="s">
        <v>4</v>
      </c>
      <c r="C1487" t="s">
        <v>29</v>
      </c>
      <c r="D1487" s="24">
        <v>45992</v>
      </c>
      <c r="E1487" t="s">
        <v>269</v>
      </c>
      <c r="F1487" t="s">
        <v>4</v>
      </c>
      <c r="G1487" t="s">
        <v>217</v>
      </c>
      <c r="H1487" t="s">
        <v>217</v>
      </c>
      <c r="I1487" t="s">
        <v>227</v>
      </c>
      <c r="J1487" s="25">
        <v>313</v>
      </c>
      <c r="K1487" s="26">
        <v>62.72</v>
      </c>
      <c r="L1487" s="26">
        <v>1.1599999999999999</v>
      </c>
    </row>
    <row r="1488" spans="1:12" ht="16" customHeight="1">
      <c r="A1488" t="s">
        <v>222</v>
      </c>
      <c r="B1488" t="s">
        <v>4</v>
      </c>
      <c r="C1488" t="s">
        <v>29</v>
      </c>
      <c r="D1488" s="24">
        <v>45992</v>
      </c>
      <c r="E1488" t="s">
        <v>228</v>
      </c>
      <c r="F1488" t="s">
        <v>4</v>
      </c>
      <c r="G1488" t="s">
        <v>217</v>
      </c>
      <c r="H1488" t="s">
        <v>217</v>
      </c>
      <c r="I1488" t="s">
        <v>330</v>
      </c>
      <c r="J1488" s="25">
        <v>6574</v>
      </c>
      <c r="K1488" s="26">
        <v>1335.26</v>
      </c>
      <c r="L1488" s="26">
        <v>42.39</v>
      </c>
    </row>
    <row r="1489" spans="1:12" ht="16" customHeight="1">
      <c r="A1489" t="s">
        <v>222</v>
      </c>
      <c r="B1489" t="s">
        <v>4</v>
      </c>
      <c r="C1489" t="s">
        <v>29</v>
      </c>
      <c r="D1489" s="24">
        <v>45992</v>
      </c>
      <c r="E1489" t="s">
        <v>230</v>
      </c>
      <c r="F1489" t="s">
        <v>4</v>
      </c>
      <c r="G1489" t="s">
        <v>217</v>
      </c>
      <c r="H1489" t="s">
        <v>217</v>
      </c>
      <c r="I1489" t="s">
        <v>331</v>
      </c>
      <c r="J1489" s="25">
        <v>0</v>
      </c>
      <c r="K1489" s="26">
        <v>0</v>
      </c>
      <c r="L1489" s="26">
        <v>0</v>
      </c>
    </row>
    <row r="1490" spans="1:12" ht="16" customHeight="1">
      <c r="A1490" t="s">
        <v>222</v>
      </c>
      <c r="B1490" t="s">
        <v>4</v>
      </c>
      <c r="C1490" t="s">
        <v>29</v>
      </c>
      <c r="D1490" s="24">
        <v>45992</v>
      </c>
      <c r="E1490" t="s">
        <v>232</v>
      </c>
      <c r="F1490" t="s">
        <v>4</v>
      </c>
      <c r="G1490" t="s">
        <v>217</v>
      </c>
      <c r="H1490" t="s">
        <v>217</v>
      </c>
      <c r="I1490" t="s">
        <v>332</v>
      </c>
      <c r="J1490" s="25">
        <v>22</v>
      </c>
      <c r="K1490" s="26">
        <v>4.5999999999999996</v>
      </c>
      <c r="L1490" s="26">
        <v>0.34</v>
      </c>
    </row>
    <row r="1491" spans="1:12" ht="16" customHeight="1">
      <c r="A1491" t="s">
        <v>222</v>
      </c>
      <c r="B1491" t="s">
        <v>4</v>
      </c>
      <c r="C1491" t="s">
        <v>29</v>
      </c>
      <c r="D1491" s="24">
        <v>45992</v>
      </c>
      <c r="E1491" t="s">
        <v>234</v>
      </c>
      <c r="F1491" t="s">
        <v>4</v>
      </c>
      <c r="G1491" t="s">
        <v>217</v>
      </c>
      <c r="H1491" t="s">
        <v>217</v>
      </c>
      <c r="I1491" t="s">
        <v>333</v>
      </c>
      <c r="J1491" s="25">
        <v>0</v>
      </c>
      <c r="K1491" s="26">
        <v>0</v>
      </c>
      <c r="L1491" s="26">
        <v>0</v>
      </c>
    </row>
    <row r="1492" spans="1:12" ht="16" customHeight="1">
      <c r="A1492" t="s">
        <v>222</v>
      </c>
      <c r="B1492" t="s">
        <v>4</v>
      </c>
      <c r="C1492" t="s">
        <v>29</v>
      </c>
      <c r="D1492" s="24">
        <v>45992</v>
      </c>
      <c r="E1492" t="s">
        <v>236</v>
      </c>
      <c r="F1492" t="s">
        <v>4</v>
      </c>
      <c r="G1492" t="s">
        <v>217</v>
      </c>
      <c r="H1492" t="s">
        <v>217</v>
      </c>
      <c r="I1492" t="s">
        <v>334</v>
      </c>
      <c r="J1492" s="25">
        <v>6</v>
      </c>
      <c r="K1492" s="26">
        <v>1.22</v>
      </c>
      <c r="L1492" s="26">
        <v>0.04</v>
      </c>
    </row>
    <row r="1493" spans="1:12" ht="16" customHeight="1">
      <c r="A1493" t="s">
        <v>222</v>
      </c>
      <c r="B1493" t="s">
        <v>4</v>
      </c>
      <c r="C1493" t="s">
        <v>29</v>
      </c>
      <c r="D1493" s="24">
        <v>45992</v>
      </c>
      <c r="E1493" t="s">
        <v>238</v>
      </c>
      <c r="F1493" t="s">
        <v>4</v>
      </c>
      <c r="G1493" t="s">
        <v>217</v>
      </c>
      <c r="H1493" t="s">
        <v>217</v>
      </c>
      <c r="I1493" t="s">
        <v>335</v>
      </c>
      <c r="J1493" s="25">
        <v>0</v>
      </c>
      <c r="K1493" s="26">
        <v>0</v>
      </c>
      <c r="L1493" s="26">
        <v>0</v>
      </c>
    </row>
    <row r="1494" spans="1:12" ht="16" customHeight="1">
      <c r="A1494" t="s">
        <v>222</v>
      </c>
      <c r="B1494" t="s">
        <v>4</v>
      </c>
      <c r="C1494" t="s">
        <v>29</v>
      </c>
      <c r="D1494" s="24">
        <v>45992</v>
      </c>
      <c r="E1494" t="s">
        <v>240</v>
      </c>
      <c r="F1494" t="s">
        <v>3</v>
      </c>
      <c r="G1494" t="s">
        <v>241</v>
      </c>
      <c r="H1494" t="s">
        <v>241</v>
      </c>
      <c r="I1494" t="s">
        <v>336</v>
      </c>
      <c r="J1494" s="25">
        <v>0</v>
      </c>
      <c r="K1494" s="26">
        <v>0</v>
      </c>
      <c r="L1494" s="26">
        <v>0</v>
      </c>
    </row>
    <row r="1495" spans="1:12" ht="16" customHeight="1">
      <c r="A1495" t="s">
        <v>222</v>
      </c>
      <c r="B1495" t="s">
        <v>4</v>
      </c>
      <c r="C1495" t="s">
        <v>29</v>
      </c>
      <c r="D1495" s="24">
        <v>45992</v>
      </c>
      <c r="E1495" t="s">
        <v>243</v>
      </c>
      <c r="F1495" t="s">
        <v>4</v>
      </c>
      <c r="G1495" t="s">
        <v>217</v>
      </c>
      <c r="H1495" t="s">
        <v>217</v>
      </c>
      <c r="I1495" t="s">
        <v>337</v>
      </c>
      <c r="J1495" s="25">
        <v>0</v>
      </c>
      <c r="K1495" s="26">
        <v>0</v>
      </c>
      <c r="L1495" s="26">
        <v>0</v>
      </c>
    </row>
    <row r="1496" spans="1:12" ht="16" customHeight="1">
      <c r="A1496" t="s">
        <v>359</v>
      </c>
      <c r="B1496" t="s">
        <v>5</v>
      </c>
      <c r="C1496" t="s">
        <v>29</v>
      </c>
      <c r="D1496" s="24">
        <v>45992</v>
      </c>
      <c r="E1496" t="s">
        <v>339</v>
      </c>
      <c r="F1496" t="s">
        <v>4</v>
      </c>
      <c r="G1496" t="s">
        <v>211</v>
      </c>
      <c r="H1496" t="s">
        <v>211</v>
      </c>
      <c r="I1496" t="s">
        <v>219</v>
      </c>
      <c r="J1496" s="25">
        <v>55665963</v>
      </c>
      <c r="K1496" s="26">
        <v>9456999.1600000001</v>
      </c>
      <c r="L1496" s="26">
        <v>22789.03</v>
      </c>
    </row>
    <row r="1497" spans="1:12" ht="16" customHeight="1">
      <c r="A1497" t="s">
        <v>359</v>
      </c>
      <c r="B1497" t="s">
        <v>5</v>
      </c>
      <c r="C1497" t="s">
        <v>29</v>
      </c>
      <c r="D1497" s="24">
        <v>45992</v>
      </c>
      <c r="E1497" t="s">
        <v>344</v>
      </c>
      <c r="F1497" t="s">
        <v>4</v>
      </c>
      <c r="G1497" t="s">
        <v>211</v>
      </c>
      <c r="H1497" t="s">
        <v>211</v>
      </c>
      <c r="I1497" t="s">
        <v>219</v>
      </c>
      <c r="J1497" s="25">
        <v>1469049</v>
      </c>
      <c r="K1497" s="26">
        <v>250428.02</v>
      </c>
      <c r="L1497" s="26">
        <v>828.28</v>
      </c>
    </row>
    <row r="1498" spans="1:12" ht="16" customHeight="1">
      <c r="A1498" t="s">
        <v>359</v>
      </c>
      <c r="B1498" t="s">
        <v>5</v>
      </c>
      <c r="C1498" t="s">
        <v>29</v>
      </c>
      <c r="D1498" s="24">
        <v>45992</v>
      </c>
      <c r="E1498" t="s">
        <v>349</v>
      </c>
      <c r="F1498" t="s">
        <v>4</v>
      </c>
      <c r="G1498" t="s">
        <v>211</v>
      </c>
      <c r="H1498" t="s">
        <v>211</v>
      </c>
      <c r="I1498" t="s">
        <v>219</v>
      </c>
      <c r="J1498" s="25">
        <v>65509</v>
      </c>
      <c r="K1498" s="26">
        <v>11161.84</v>
      </c>
      <c r="L1498" s="26">
        <v>58.01</v>
      </c>
    </row>
    <row r="1499" spans="1:12" ht="16" customHeight="1">
      <c r="A1499" t="s">
        <v>359</v>
      </c>
      <c r="B1499" t="s">
        <v>5</v>
      </c>
      <c r="C1499" t="s">
        <v>29</v>
      </c>
      <c r="D1499" s="24">
        <v>45992</v>
      </c>
      <c r="E1499" t="s">
        <v>296</v>
      </c>
      <c r="F1499" t="s">
        <v>4</v>
      </c>
      <c r="G1499" t="s">
        <v>217</v>
      </c>
      <c r="H1499" t="s">
        <v>217</v>
      </c>
      <c r="I1499" t="s">
        <v>219</v>
      </c>
      <c r="J1499" s="25">
        <v>1555271</v>
      </c>
      <c r="K1499" s="26">
        <v>265706.8</v>
      </c>
      <c r="L1499" s="26">
        <v>1615.08</v>
      </c>
    </row>
    <row r="1500" spans="1:12" ht="16" customHeight="1">
      <c r="A1500" t="s">
        <v>359</v>
      </c>
      <c r="B1500" t="s">
        <v>5</v>
      </c>
      <c r="C1500" t="s">
        <v>29</v>
      </c>
      <c r="D1500" s="24">
        <v>45992</v>
      </c>
      <c r="E1500" t="s">
        <v>354</v>
      </c>
      <c r="F1500" t="s">
        <v>4</v>
      </c>
      <c r="G1500" t="s">
        <v>211</v>
      </c>
      <c r="H1500" t="s">
        <v>211</v>
      </c>
      <c r="I1500" t="s">
        <v>221</v>
      </c>
      <c r="J1500" s="25">
        <v>7514</v>
      </c>
      <c r="K1500" s="26">
        <v>1292</v>
      </c>
      <c r="L1500" s="26">
        <v>9.15</v>
      </c>
    </row>
    <row r="1501" spans="1:12" ht="16" customHeight="1">
      <c r="A1501" t="s">
        <v>359</v>
      </c>
      <c r="B1501" t="s">
        <v>5</v>
      </c>
      <c r="C1501" t="s">
        <v>29</v>
      </c>
      <c r="D1501" s="24">
        <v>45992</v>
      </c>
      <c r="E1501" t="s">
        <v>326</v>
      </c>
      <c r="F1501" t="s">
        <v>4</v>
      </c>
      <c r="G1501" t="s">
        <v>217</v>
      </c>
      <c r="H1501" t="s">
        <v>217</v>
      </c>
      <c r="I1501" t="s">
        <v>221</v>
      </c>
      <c r="J1501" s="25">
        <v>189708</v>
      </c>
      <c r="K1501" s="26">
        <v>32526.2</v>
      </c>
      <c r="L1501" s="26">
        <v>279.07</v>
      </c>
    </row>
    <row r="1502" spans="1:12" ht="16" customHeight="1">
      <c r="A1502" t="s">
        <v>359</v>
      </c>
      <c r="B1502" t="s">
        <v>5</v>
      </c>
      <c r="C1502" t="s">
        <v>29</v>
      </c>
      <c r="D1502" s="24">
        <v>45992</v>
      </c>
      <c r="E1502" t="s">
        <v>357</v>
      </c>
      <c r="F1502" t="s">
        <v>3</v>
      </c>
      <c r="G1502" t="s">
        <v>358</v>
      </c>
      <c r="H1502" t="s">
        <v>358</v>
      </c>
      <c r="I1502" t="s">
        <v>223</v>
      </c>
      <c r="J1502" s="25">
        <v>92372</v>
      </c>
      <c r="K1502" s="26">
        <v>15788.55</v>
      </c>
      <c r="L1502" s="26">
        <v>233.39</v>
      </c>
    </row>
    <row r="1503" spans="1:12" ht="16" customHeight="1">
      <c r="A1503" t="s">
        <v>359</v>
      </c>
      <c r="B1503" t="s">
        <v>5</v>
      </c>
      <c r="C1503" t="s">
        <v>29</v>
      </c>
      <c r="D1503" s="24">
        <v>45992</v>
      </c>
      <c r="E1503" t="s">
        <v>226</v>
      </c>
      <c r="F1503" t="s">
        <v>4</v>
      </c>
      <c r="G1503" t="s">
        <v>217</v>
      </c>
      <c r="H1503" t="s">
        <v>217</v>
      </c>
      <c r="I1503" t="s">
        <v>225</v>
      </c>
      <c r="J1503" s="25">
        <v>29976</v>
      </c>
      <c r="K1503" s="26">
        <v>5268.36</v>
      </c>
      <c r="L1503" s="26">
        <v>96.52</v>
      </c>
    </row>
    <row r="1504" spans="1:12" ht="16" customHeight="1">
      <c r="A1504" t="s">
        <v>359</v>
      </c>
      <c r="B1504" t="s">
        <v>5</v>
      </c>
      <c r="C1504" t="s">
        <v>29</v>
      </c>
      <c r="D1504" s="24">
        <v>45992</v>
      </c>
      <c r="E1504" t="s">
        <v>269</v>
      </c>
      <c r="F1504" t="s">
        <v>4</v>
      </c>
      <c r="G1504" t="s">
        <v>217</v>
      </c>
      <c r="H1504" t="s">
        <v>217</v>
      </c>
      <c r="I1504" t="s">
        <v>227</v>
      </c>
      <c r="J1504" s="25">
        <v>1950</v>
      </c>
      <c r="K1504" s="26">
        <v>338.72</v>
      </c>
      <c r="L1504" s="26">
        <v>6.28</v>
      </c>
    </row>
    <row r="1505" spans="1:12" ht="16" customHeight="1">
      <c r="A1505" t="s">
        <v>359</v>
      </c>
      <c r="B1505" t="s">
        <v>5</v>
      </c>
      <c r="C1505" t="s">
        <v>29</v>
      </c>
      <c r="D1505" s="24">
        <v>45992</v>
      </c>
      <c r="E1505" t="s">
        <v>228</v>
      </c>
      <c r="F1505" t="s">
        <v>4</v>
      </c>
      <c r="G1505" t="s">
        <v>217</v>
      </c>
      <c r="H1505" t="s">
        <v>217</v>
      </c>
      <c r="I1505" t="s">
        <v>330</v>
      </c>
      <c r="J1505" s="25">
        <v>12883</v>
      </c>
      <c r="K1505" s="26">
        <v>2281.0100000000002</v>
      </c>
      <c r="L1505" s="26">
        <v>65.510000000000005</v>
      </c>
    </row>
    <row r="1506" spans="1:12" ht="16" customHeight="1">
      <c r="A1506" t="s">
        <v>359</v>
      </c>
      <c r="B1506" t="s">
        <v>5</v>
      </c>
      <c r="C1506" t="s">
        <v>29</v>
      </c>
      <c r="D1506" s="24">
        <v>45992</v>
      </c>
      <c r="E1506" t="s">
        <v>230</v>
      </c>
      <c r="F1506" t="s">
        <v>4</v>
      </c>
      <c r="G1506" t="s">
        <v>217</v>
      </c>
      <c r="H1506" t="s">
        <v>217</v>
      </c>
      <c r="I1506" t="s">
        <v>331</v>
      </c>
      <c r="J1506" s="25">
        <v>0</v>
      </c>
      <c r="K1506" s="26">
        <v>0</v>
      </c>
      <c r="L1506" s="26">
        <v>0</v>
      </c>
    </row>
    <row r="1507" spans="1:12" ht="16" customHeight="1">
      <c r="A1507" t="s">
        <v>359</v>
      </c>
      <c r="B1507" t="s">
        <v>5</v>
      </c>
      <c r="C1507" t="s">
        <v>29</v>
      </c>
      <c r="D1507" s="24">
        <v>45992</v>
      </c>
      <c r="E1507" t="s">
        <v>232</v>
      </c>
      <c r="F1507" t="s">
        <v>4</v>
      </c>
      <c r="G1507" t="s">
        <v>217</v>
      </c>
      <c r="H1507" t="s">
        <v>217</v>
      </c>
      <c r="I1507" t="s">
        <v>332</v>
      </c>
      <c r="J1507" s="25">
        <v>139</v>
      </c>
      <c r="K1507" s="26">
        <v>22.23</v>
      </c>
      <c r="L1507" s="26">
        <v>0.57999999999999996</v>
      </c>
    </row>
    <row r="1508" spans="1:12" ht="16" customHeight="1">
      <c r="A1508" t="s">
        <v>359</v>
      </c>
      <c r="B1508" t="s">
        <v>5</v>
      </c>
      <c r="C1508" t="s">
        <v>29</v>
      </c>
      <c r="D1508" s="24">
        <v>45992</v>
      </c>
      <c r="E1508" t="s">
        <v>234</v>
      </c>
      <c r="F1508" t="s">
        <v>4</v>
      </c>
      <c r="G1508" t="s">
        <v>217</v>
      </c>
      <c r="H1508" t="s">
        <v>217</v>
      </c>
      <c r="I1508" t="s">
        <v>333</v>
      </c>
      <c r="J1508" s="25">
        <v>0</v>
      </c>
      <c r="K1508" s="26">
        <v>0</v>
      </c>
      <c r="L1508" s="26">
        <v>0</v>
      </c>
    </row>
    <row r="1509" spans="1:12" ht="16" customHeight="1">
      <c r="A1509" t="s">
        <v>359</v>
      </c>
      <c r="B1509" t="s">
        <v>5</v>
      </c>
      <c r="C1509" t="s">
        <v>29</v>
      </c>
      <c r="D1509" s="24">
        <v>45992</v>
      </c>
      <c r="E1509" t="s">
        <v>236</v>
      </c>
      <c r="F1509" t="s">
        <v>4</v>
      </c>
      <c r="G1509" t="s">
        <v>217</v>
      </c>
      <c r="H1509" t="s">
        <v>217</v>
      </c>
      <c r="I1509" t="s">
        <v>334</v>
      </c>
      <c r="J1509" s="25">
        <v>8</v>
      </c>
      <c r="K1509" s="26">
        <v>1.49</v>
      </c>
      <c r="L1509" s="26">
        <v>0.08</v>
      </c>
    </row>
    <row r="1510" spans="1:12" ht="16" customHeight="1">
      <c r="A1510" t="s">
        <v>359</v>
      </c>
      <c r="B1510" t="s">
        <v>5</v>
      </c>
      <c r="C1510" t="s">
        <v>29</v>
      </c>
      <c r="D1510" s="24">
        <v>45992</v>
      </c>
      <c r="E1510" t="s">
        <v>238</v>
      </c>
      <c r="F1510" t="s">
        <v>4</v>
      </c>
      <c r="G1510" t="s">
        <v>217</v>
      </c>
      <c r="H1510" t="s">
        <v>217</v>
      </c>
      <c r="I1510" t="s">
        <v>335</v>
      </c>
      <c r="J1510" s="25">
        <v>0</v>
      </c>
      <c r="K1510" s="26">
        <v>0</v>
      </c>
      <c r="L1510" s="26">
        <v>0</v>
      </c>
    </row>
    <row r="1511" spans="1:12" ht="16" customHeight="1">
      <c r="A1511" t="s">
        <v>359</v>
      </c>
      <c r="B1511" t="s">
        <v>5</v>
      </c>
      <c r="C1511" t="s">
        <v>29</v>
      </c>
      <c r="D1511" s="24">
        <v>45992</v>
      </c>
      <c r="E1511" t="s">
        <v>240</v>
      </c>
      <c r="F1511" t="s">
        <v>3</v>
      </c>
      <c r="G1511" t="s">
        <v>241</v>
      </c>
      <c r="H1511" t="s">
        <v>241</v>
      </c>
      <c r="I1511" t="s">
        <v>336</v>
      </c>
      <c r="J1511" s="25">
        <v>0</v>
      </c>
      <c r="K1511" s="26">
        <v>0</v>
      </c>
      <c r="L1511" s="26">
        <v>0</v>
      </c>
    </row>
    <row r="1512" spans="1:12" ht="16" customHeight="1">
      <c r="A1512" t="s">
        <v>359</v>
      </c>
      <c r="B1512" t="s">
        <v>5</v>
      </c>
      <c r="C1512" t="s">
        <v>29</v>
      </c>
      <c r="D1512" s="24">
        <v>45992</v>
      </c>
      <c r="E1512" t="s">
        <v>243</v>
      </c>
      <c r="F1512" t="s">
        <v>4</v>
      </c>
      <c r="G1512" t="s">
        <v>217</v>
      </c>
      <c r="H1512" t="s">
        <v>217</v>
      </c>
      <c r="I1512" t="s">
        <v>337</v>
      </c>
      <c r="J1512" s="25">
        <v>0</v>
      </c>
      <c r="K1512" s="26">
        <v>0</v>
      </c>
      <c r="L1512" s="26">
        <v>0</v>
      </c>
    </row>
    <row r="1513" spans="1:12" ht="16" customHeight="1">
      <c r="A1513" t="s">
        <v>359</v>
      </c>
      <c r="B1513" t="s">
        <v>5</v>
      </c>
      <c r="C1513" t="s">
        <v>29</v>
      </c>
      <c r="D1513" s="24">
        <v>45992</v>
      </c>
      <c r="E1513" t="s">
        <v>360</v>
      </c>
      <c r="F1513" t="s">
        <v>4</v>
      </c>
      <c r="G1513" t="s">
        <v>217</v>
      </c>
      <c r="H1513" t="s">
        <v>217</v>
      </c>
      <c r="I1513" t="s">
        <v>361</v>
      </c>
      <c r="J1513" s="25">
        <v>0</v>
      </c>
      <c r="K1513" s="26">
        <v>0</v>
      </c>
      <c r="L1513" s="26">
        <v>0</v>
      </c>
    </row>
    <row r="1514" spans="1:12" ht="16" customHeight="1">
      <c r="A1514" t="s">
        <v>362</v>
      </c>
      <c r="B1514" t="s">
        <v>6</v>
      </c>
      <c r="C1514" t="s">
        <v>30</v>
      </c>
      <c r="D1514" s="24">
        <v>46023</v>
      </c>
      <c r="E1514" t="s">
        <v>339</v>
      </c>
      <c r="F1514" t="s">
        <v>4</v>
      </c>
      <c r="G1514" t="s">
        <v>211</v>
      </c>
      <c r="H1514" t="s">
        <v>211</v>
      </c>
      <c r="I1514" t="s">
        <v>212</v>
      </c>
      <c r="J1514" s="25">
        <v>46697117</v>
      </c>
      <c r="K1514" s="26">
        <v>7943695.5700000003</v>
      </c>
      <c r="L1514" s="26">
        <v>16327.06</v>
      </c>
    </row>
    <row r="1515" spans="1:12" ht="16" customHeight="1">
      <c r="A1515" t="s">
        <v>362</v>
      </c>
      <c r="B1515" t="s">
        <v>6</v>
      </c>
      <c r="C1515" t="s">
        <v>30</v>
      </c>
      <c r="D1515" s="24">
        <v>46023</v>
      </c>
      <c r="E1515" t="s">
        <v>344</v>
      </c>
      <c r="F1515" t="s">
        <v>4</v>
      </c>
      <c r="G1515" t="s">
        <v>211</v>
      </c>
      <c r="H1515" t="s">
        <v>211</v>
      </c>
      <c r="I1515" t="s">
        <v>212</v>
      </c>
      <c r="J1515" s="25">
        <v>1326700</v>
      </c>
      <c r="K1515" s="26">
        <v>226460.9</v>
      </c>
      <c r="L1515" s="26">
        <v>650.49</v>
      </c>
    </row>
    <row r="1516" spans="1:12" ht="16" customHeight="1">
      <c r="A1516" t="s">
        <v>362</v>
      </c>
      <c r="B1516" t="s">
        <v>6</v>
      </c>
      <c r="C1516" t="s">
        <v>30</v>
      </c>
      <c r="D1516" s="24">
        <v>46023</v>
      </c>
      <c r="E1516" t="s">
        <v>349</v>
      </c>
      <c r="F1516" t="s">
        <v>4</v>
      </c>
      <c r="G1516" t="s">
        <v>211</v>
      </c>
      <c r="H1516" t="s">
        <v>211</v>
      </c>
      <c r="I1516" t="s">
        <v>212</v>
      </c>
      <c r="J1516" s="25">
        <v>68305</v>
      </c>
      <c r="K1516" s="26">
        <v>11656.51</v>
      </c>
      <c r="L1516" s="26">
        <v>55.23</v>
      </c>
    </row>
    <row r="1517" spans="1:12" ht="16" customHeight="1">
      <c r="A1517" t="s">
        <v>362</v>
      </c>
      <c r="B1517" t="s">
        <v>6</v>
      </c>
      <c r="C1517" t="s">
        <v>30</v>
      </c>
      <c r="D1517" s="24">
        <v>46023</v>
      </c>
      <c r="E1517" t="s">
        <v>296</v>
      </c>
      <c r="F1517" t="s">
        <v>4</v>
      </c>
      <c r="G1517" t="s">
        <v>217</v>
      </c>
      <c r="H1517" t="s">
        <v>217</v>
      </c>
      <c r="I1517" t="s">
        <v>212</v>
      </c>
      <c r="J1517" s="25">
        <v>711849</v>
      </c>
      <c r="K1517" s="26">
        <v>121646.08</v>
      </c>
      <c r="L1517" s="26">
        <v>682.67</v>
      </c>
    </row>
    <row r="1518" spans="1:12" ht="16" customHeight="1">
      <c r="A1518" t="s">
        <v>362</v>
      </c>
      <c r="B1518" t="s">
        <v>6</v>
      </c>
      <c r="C1518" t="s">
        <v>30</v>
      </c>
      <c r="D1518" s="24">
        <v>46023</v>
      </c>
      <c r="E1518" t="s">
        <v>354</v>
      </c>
      <c r="F1518" t="s">
        <v>4</v>
      </c>
      <c r="G1518" t="s">
        <v>211</v>
      </c>
      <c r="H1518" t="s">
        <v>211</v>
      </c>
      <c r="I1518" t="s">
        <v>219</v>
      </c>
      <c r="J1518" s="25">
        <v>4347</v>
      </c>
      <c r="K1518" s="26">
        <v>747.58</v>
      </c>
      <c r="L1518" s="26">
        <v>4.6500000000000004</v>
      </c>
    </row>
    <row r="1519" spans="1:12" ht="16" customHeight="1">
      <c r="A1519" t="s">
        <v>362</v>
      </c>
      <c r="B1519" t="s">
        <v>6</v>
      </c>
      <c r="C1519" t="s">
        <v>30</v>
      </c>
      <c r="D1519" s="24">
        <v>46023</v>
      </c>
      <c r="E1519" t="s">
        <v>326</v>
      </c>
      <c r="F1519" t="s">
        <v>4</v>
      </c>
      <c r="G1519" t="s">
        <v>217</v>
      </c>
      <c r="H1519" t="s">
        <v>217</v>
      </c>
      <c r="I1519" t="s">
        <v>219</v>
      </c>
      <c r="J1519" s="25">
        <v>107575</v>
      </c>
      <c r="K1519" s="26">
        <v>18471.240000000002</v>
      </c>
      <c r="L1519" s="26">
        <v>182.04</v>
      </c>
    </row>
    <row r="1520" spans="1:12" ht="16" customHeight="1">
      <c r="A1520" t="s">
        <v>362</v>
      </c>
      <c r="B1520" t="s">
        <v>6</v>
      </c>
      <c r="C1520" t="s">
        <v>30</v>
      </c>
      <c r="D1520" s="24">
        <v>46023</v>
      </c>
      <c r="E1520" t="s">
        <v>357</v>
      </c>
      <c r="F1520" t="s">
        <v>3</v>
      </c>
      <c r="G1520" t="s">
        <v>358</v>
      </c>
      <c r="H1520" t="s">
        <v>358</v>
      </c>
      <c r="I1520" t="s">
        <v>221</v>
      </c>
      <c r="J1520" s="25">
        <v>62427</v>
      </c>
      <c r="K1520" s="26">
        <v>10714.69</v>
      </c>
      <c r="L1520" s="26">
        <v>133.66</v>
      </c>
    </row>
    <row r="1521" spans="1:12" ht="16" customHeight="1">
      <c r="A1521" t="s">
        <v>362</v>
      </c>
      <c r="B1521" t="s">
        <v>6</v>
      </c>
      <c r="C1521" t="s">
        <v>30</v>
      </c>
      <c r="D1521" s="24">
        <v>46023</v>
      </c>
      <c r="E1521" t="s">
        <v>226</v>
      </c>
      <c r="F1521" t="s">
        <v>4</v>
      </c>
      <c r="G1521" t="s">
        <v>217</v>
      </c>
      <c r="H1521" t="s">
        <v>217</v>
      </c>
      <c r="I1521" t="s">
        <v>267</v>
      </c>
      <c r="J1521" s="25">
        <v>18155</v>
      </c>
      <c r="K1521" s="26">
        <v>3173.89</v>
      </c>
      <c r="L1521" s="26">
        <v>57.68</v>
      </c>
    </row>
    <row r="1522" spans="1:12" ht="16" customHeight="1">
      <c r="A1522" t="s">
        <v>362</v>
      </c>
      <c r="B1522" t="s">
        <v>6</v>
      </c>
      <c r="C1522" t="s">
        <v>30</v>
      </c>
      <c r="D1522" s="24">
        <v>46023</v>
      </c>
      <c r="E1522" t="s">
        <v>269</v>
      </c>
      <c r="F1522" t="s">
        <v>4</v>
      </c>
      <c r="G1522" t="s">
        <v>217</v>
      </c>
      <c r="H1522" t="s">
        <v>217</v>
      </c>
      <c r="I1522" t="s">
        <v>268</v>
      </c>
      <c r="J1522" s="25">
        <v>532</v>
      </c>
      <c r="K1522" s="26">
        <v>95.64</v>
      </c>
      <c r="L1522" s="26">
        <v>1.68</v>
      </c>
    </row>
    <row r="1523" spans="1:12" ht="16" customHeight="1">
      <c r="A1523" t="s">
        <v>362</v>
      </c>
      <c r="B1523" t="s">
        <v>6</v>
      </c>
      <c r="C1523" t="s">
        <v>30</v>
      </c>
      <c r="D1523" s="24">
        <v>46023</v>
      </c>
      <c r="E1523" t="s">
        <v>228</v>
      </c>
      <c r="F1523" t="s">
        <v>4</v>
      </c>
      <c r="G1523" t="s">
        <v>217</v>
      </c>
      <c r="H1523" t="s">
        <v>217</v>
      </c>
      <c r="I1523" t="s">
        <v>270</v>
      </c>
      <c r="J1523" s="25">
        <v>6440</v>
      </c>
      <c r="K1523" s="26">
        <v>1150.74</v>
      </c>
      <c r="L1523" s="26">
        <v>34.26</v>
      </c>
    </row>
    <row r="1524" spans="1:12" ht="16" customHeight="1">
      <c r="A1524" t="s">
        <v>362</v>
      </c>
      <c r="B1524" t="s">
        <v>6</v>
      </c>
      <c r="C1524" t="s">
        <v>30</v>
      </c>
      <c r="D1524" s="24">
        <v>46023</v>
      </c>
      <c r="E1524" t="s">
        <v>230</v>
      </c>
      <c r="F1524" t="s">
        <v>4</v>
      </c>
      <c r="G1524" t="s">
        <v>217</v>
      </c>
      <c r="H1524" t="s">
        <v>217</v>
      </c>
      <c r="I1524" t="s">
        <v>363</v>
      </c>
      <c r="J1524" s="25">
        <v>0</v>
      </c>
      <c r="K1524" s="26">
        <v>0</v>
      </c>
      <c r="L1524" s="26">
        <v>0</v>
      </c>
    </row>
    <row r="1525" spans="1:12" ht="16" customHeight="1">
      <c r="A1525" t="s">
        <v>362</v>
      </c>
      <c r="B1525" t="s">
        <v>6</v>
      </c>
      <c r="C1525" t="s">
        <v>30</v>
      </c>
      <c r="D1525" s="24">
        <v>46023</v>
      </c>
      <c r="E1525" t="s">
        <v>232</v>
      </c>
      <c r="F1525" t="s">
        <v>4</v>
      </c>
      <c r="G1525" t="s">
        <v>217</v>
      </c>
      <c r="H1525" t="s">
        <v>217</v>
      </c>
      <c r="I1525" t="s">
        <v>364</v>
      </c>
      <c r="J1525" s="25">
        <v>35</v>
      </c>
      <c r="K1525" s="26">
        <v>6.13</v>
      </c>
      <c r="L1525" s="26">
        <v>0.2</v>
      </c>
    </row>
    <row r="1526" spans="1:12" ht="16" customHeight="1">
      <c r="A1526" t="s">
        <v>362</v>
      </c>
      <c r="B1526" t="s">
        <v>6</v>
      </c>
      <c r="C1526" t="s">
        <v>30</v>
      </c>
      <c r="D1526" s="24">
        <v>46023</v>
      </c>
      <c r="E1526" t="s">
        <v>234</v>
      </c>
      <c r="F1526" t="s">
        <v>4</v>
      </c>
      <c r="G1526" t="s">
        <v>217</v>
      </c>
      <c r="H1526" t="s">
        <v>217</v>
      </c>
      <c r="I1526" t="s">
        <v>365</v>
      </c>
      <c r="J1526" s="25">
        <v>0</v>
      </c>
      <c r="K1526" s="26">
        <v>0</v>
      </c>
      <c r="L1526" s="26">
        <v>0</v>
      </c>
    </row>
    <row r="1527" spans="1:12" ht="16" customHeight="1">
      <c r="A1527" t="s">
        <v>362</v>
      </c>
      <c r="B1527" t="s">
        <v>6</v>
      </c>
      <c r="C1527" t="s">
        <v>30</v>
      </c>
      <c r="D1527" s="24">
        <v>46023</v>
      </c>
      <c r="E1527" t="s">
        <v>236</v>
      </c>
      <c r="F1527" t="s">
        <v>4</v>
      </c>
      <c r="G1527" t="s">
        <v>217</v>
      </c>
      <c r="H1527" t="s">
        <v>217</v>
      </c>
      <c r="I1527" t="s">
        <v>366</v>
      </c>
      <c r="J1527" s="25">
        <v>44</v>
      </c>
      <c r="K1527" s="26">
        <v>7.74</v>
      </c>
      <c r="L1527" s="26">
        <v>0.28999999999999998</v>
      </c>
    </row>
    <row r="1528" spans="1:12" ht="16" customHeight="1">
      <c r="A1528" t="s">
        <v>362</v>
      </c>
      <c r="B1528" t="s">
        <v>6</v>
      </c>
      <c r="C1528" t="s">
        <v>30</v>
      </c>
      <c r="D1528" s="24">
        <v>46023</v>
      </c>
      <c r="E1528" t="s">
        <v>238</v>
      </c>
      <c r="F1528" t="s">
        <v>4</v>
      </c>
      <c r="G1528" t="s">
        <v>217</v>
      </c>
      <c r="H1528" t="s">
        <v>217</v>
      </c>
      <c r="I1528" t="s">
        <v>367</v>
      </c>
      <c r="J1528" s="25">
        <v>0</v>
      </c>
      <c r="K1528" s="26">
        <v>0</v>
      </c>
      <c r="L1528" s="26">
        <v>0</v>
      </c>
    </row>
    <row r="1529" spans="1:12" ht="16" customHeight="1">
      <c r="A1529" t="s">
        <v>362</v>
      </c>
      <c r="B1529" t="s">
        <v>6</v>
      </c>
      <c r="C1529" t="s">
        <v>30</v>
      </c>
      <c r="D1529" s="24">
        <v>46023</v>
      </c>
      <c r="E1529" t="s">
        <v>240</v>
      </c>
      <c r="F1529" t="s">
        <v>3</v>
      </c>
      <c r="G1529" t="s">
        <v>241</v>
      </c>
      <c r="H1529" t="s">
        <v>241</v>
      </c>
      <c r="I1529" t="s">
        <v>368</v>
      </c>
      <c r="J1529" s="25">
        <v>10</v>
      </c>
      <c r="K1529" s="26">
        <v>1.75</v>
      </c>
      <c r="L1529" s="26">
        <v>0.06</v>
      </c>
    </row>
    <row r="1530" spans="1:12" ht="16" customHeight="1">
      <c r="A1530" t="s">
        <v>362</v>
      </c>
      <c r="B1530" t="s">
        <v>6</v>
      </c>
      <c r="C1530" t="s">
        <v>30</v>
      </c>
      <c r="D1530" s="24">
        <v>46023</v>
      </c>
      <c r="E1530" t="s">
        <v>243</v>
      </c>
      <c r="F1530" t="s">
        <v>4</v>
      </c>
      <c r="G1530" t="s">
        <v>217</v>
      </c>
      <c r="H1530" t="s">
        <v>217</v>
      </c>
      <c r="I1530" t="s">
        <v>369</v>
      </c>
      <c r="J1530" s="25">
        <v>0</v>
      </c>
      <c r="K1530" s="26">
        <v>0</v>
      </c>
      <c r="L1530" s="26">
        <v>0</v>
      </c>
    </row>
    <row r="1531" spans="1:12" ht="16" customHeight="1">
      <c r="A1531" t="s">
        <v>362</v>
      </c>
      <c r="B1531" t="s">
        <v>6</v>
      </c>
      <c r="C1531" t="s">
        <v>30</v>
      </c>
      <c r="D1531" s="24">
        <v>46023</v>
      </c>
      <c r="E1531" t="s">
        <v>360</v>
      </c>
      <c r="F1531" t="s">
        <v>4</v>
      </c>
      <c r="G1531" t="s">
        <v>217</v>
      </c>
      <c r="H1531" t="s">
        <v>217</v>
      </c>
      <c r="I1531" t="s">
        <v>370</v>
      </c>
      <c r="J1531" s="25">
        <v>0</v>
      </c>
      <c r="K1531" s="26">
        <v>0</v>
      </c>
      <c r="L1531" s="26">
        <v>0</v>
      </c>
    </row>
    <row r="1532" spans="1:12" ht="16" customHeight="1">
      <c r="A1532" t="s">
        <v>371</v>
      </c>
      <c r="B1532" t="s">
        <v>7</v>
      </c>
      <c r="C1532" t="s">
        <v>30</v>
      </c>
      <c r="D1532" s="24">
        <v>46023</v>
      </c>
      <c r="E1532" t="s">
        <v>339</v>
      </c>
      <c r="F1532" t="s">
        <v>4</v>
      </c>
      <c r="G1532" t="s">
        <v>211</v>
      </c>
      <c r="H1532" t="s">
        <v>211</v>
      </c>
      <c r="I1532" t="s">
        <v>212</v>
      </c>
      <c r="J1532" s="25">
        <v>85360743</v>
      </c>
      <c r="K1532" s="26">
        <v>14562132.26</v>
      </c>
      <c r="L1532" s="26">
        <v>25583.19</v>
      </c>
    </row>
    <row r="1533" spans="1:12" ht="16" customHeight="1">
      <c r="A1533" t="s">
        <v>371</v>
      </c>
      <c r="B1533" t="s">
        <v>7</v>
      </c>
      <c r="C1533" t="s">
        <v>30</v>
      </c>
      <c r="D1533" s="24">
        <v>46023</v>
      </c>
      <c r="E1533" t="s">
        <v>344</v>
      </c>
      <c r="F1533" t="s">
        <v>4</v>
      </c>
      <c r="G1533" t="s">
        <v>211</v>
      </c>
      <c r="H1533" t="s">
        <v>211</v>
      </c>
      <c r="I1533" t="s">
        <v>212</v>
      </c>
      <c r="J1533" s="25">
        <v>2629288</v>
      </c>
      <c r="K1533" s="26">
        <v>451008.1</v>
      </c>
      <c r="L1533" s="26">
        <v>1171.3499999999999</v>
      </c>
    </row>
    <row r="1534" spans="1:12" ht="16" customHeight="1">
      <c r="A1534" t="s">
        <v>371</v>
      </c>
      <c r="B1534" t="s">
        <v>7</v>
      </c>
      <c r="C1534" t="s">
        <v>30</v>
      </c>
      <c r="D1534" s="24">
        <v>46023</v>
      </c>
      <c r="E1534" t="s">
        <v>349</v>
      </c>
      <c r="F1534" t="s">
        <v>4</v>
      </c>
      <c r="G1534" t="s">
        <v>211</v>
      </c>
      <c r="H1534" t="s">
        <v>211</v>
      </c>
      <c r="I1534" t="s">
        <v>212</v>
      </c>
      <c r="J1534" s="25">
        <v>157765</v>
      </c>
      <c r="K1534" s="26">
        <v>27027.17</v>
      </c>
      <c r="L1534" s="26">
        <v>113.35</v>
      </c>
    </row>
    <row r="1535" spans="1:12" ht="16" customHeight="1">
      <c r="A1535" t="s">
        <v>371</v>
      </c>
      <c r="B1535" t="s">
        <v>7</v>
      </c>
      <c r="C1535" t="s">
        <v>30</v>
      </c>
      <c r="D1535" s="24">
        <v>46023</v>
      </c>
      <c r="E1535" t="s">
        <v>296</v>
      </c>
      <c r="F1535" t="s">
        <v>4</v>
      </c>
      <c r="G1535" t="s">
        <v>217</v>
      </c>
      <c r="H1535" t="s">
        <v>217</v>
      </c>
      <c r="I1535" t="s">
        <v>212</v>
      </c>
      <c r="J1535" s="25">
        <v>1433586</v>
      </c>
      <c r="K1535" s="26">
        <v>245598.66</v>
      </c>
      <c r="L1535" s="26">
        <v>1361.7</v>
      </c>
    </row>
    <row r="1536" spans="1:12" ht="16" customHeight="1">
      <c r="A1536" t="s">
        <v>371</v>
      </c>
      <c r="B1536" t="s">
        <v>7</v>
      </c>
      <c r="C1536" t="s">
        <v>30</v>
      </c>
      <c r="D1536" s="24">
        <v>46023</v>
      </c>
      <c r="E1536" t="s">
        <v>354</v>
      </c>
      <c r="F1536" t="s">
        <v>4</v>
      </c>
      <c r="G1536" t="s">
        <v>211</v>
      </c>
      <c r="H1536" t="s">
        <v>211</v>
      </c>
      <c r="I1536" t="s">
        <v>219</v>
      </c>
      <c r="J1536" s="25">
        <v>10409</v>
      </c>
      <c r="K1536" s="26">
        <v>1794.28</v>
      </c>
      <c r="L1536" s="26">
        <v>11.5</v>
      </c>
    </row>
    <row r="1537" spans="1:12" ht="16" customHeight="1">
      <c r="A1537" t="s">
        <v>371</v>
      </c>
      <c r="B1537" t="s">
        <v>7</v>
      </c>
      <c r="C1537" t="s">
        <v>30</v>
      </c>
      <c r="D1537" s="24">
        <v>46023</v>
      </c>
      <c r="E1537" t="s">
        <v>326</v>
      </c>
      <c r="F1537" t="s">
        <v>4</v>
      </c>
      <c r="G1537" t="s">
        <v>217</v>
      </c>
      <c r="H1537" t="s">
        <v>217</v>
      </c>
      <c r="I1537" t="s">
        <v>219</v>
      </c>
      <c r="J1537" s="25">
        <v>177264</v>
      </c>
      <c r="K1537" s="26">
        <v>30547.37</v>
      </c>
      <c r="L1537" s="26">
        <v>297.45</v>
      </c>
    </row>
    <row r="1538" spans="1:12" ht="16" customHeight="1">
      <c r="A1538" t="s">
        <v>371</v>
      </c>
      <c r="B1538" t="s">
        <v>7</v>
      </c>
      <c r="C1538" t="s">
        <v>30</v>
      </c>
      <c r="D1538" s="24">
        <v>46023</v>
      </c>
      <c r="E1538" t="s">
        <v>357</v>
      </c>
      <c r="F1538" t="s">
        <v>3</v>
      </c>
      <c r="G1538" t="s">
        <v>358</v>
      </c>
      <c r="H1538" t="s">
        <v>358</v>
      </c>
      <c r="I1538" t="s">
        <v>221</v>
      </c>
      <c r="J1538" s="25">
        <v>87709</v>
      </c>
      <c r="K1538" s="26">
        <v>15217.8</v>
      </c>
      <c r="L1538" s="26">
        <v>224.92</v>
      </c>
    </row>
    <row r="1539" spans="1:12" ht="16" customHeight="1">
      <c r="A1539" t="s">
        <v>371</v>
      </c>
      <c r="B1539" t="s">
        <v>7</v>
      </c>
      <c r="C1539" t="s">
        <v>30</v>
      </c>
      <c r="D1539" s="24">
        <v>46023</v>
      </c>
      <c r="E1539" t="s">
        <v>226</v>
      </c>
      <c r="F1539" t="s">
        <v>4</v>
      </c>
      <c r="G1539" t="s">
        <v>217</v>
      </c>
      <c r="H1539" t="s">
        <v>217</v>
      </c>
      <c r="I1539" t="s">
        <v>267</v>
      </c>
      <c r="J1539" s="25">
        <v>29432</v>
      </c>
      <c r="K1539" s="26">
        <v>5241.12</v>
      </c>
      <c r="L1539" s="26">
        <v>102.87</v>
      </c>
    </row>
    <row r="1540" spans="1:12" ht="16" customHeight="1">
      <c r="A1540" t="s">
        <v>371</v>
      </c>
      <c r="B1540" t="s">
        <v>7</v>
      </c>
      <c r="C1540" t="s">
        <v>30</v>
      </c>
      <c r="D1540" s="24">
        <v>46023</v>
      </c>
      <c r="E1540" t="s">
        <v>269</v>
      </c>
      <c r="F1540" t="s">
        <v>4</v>
      </c>
      <c r="G1540" t="s">
        <v>217</v>
      </c>
      <c r="H1540" t="s">
        <v>217</v>
      </c>
      <c r="I1540" t="s">
        <v>268</v>
      </c>
      <c r="J1540" s="25">
        <v>736</v>
      </c>
      <c r="K1540" s="26">
        <v>130.57</v>
      </c>
      <c r="L1540" s="26">
        <v>2.15</v>
      </c>
    </row>
    <row r="1541" spans="1:12" ht="16" customHeight="1">
      <c r="A1541" t="s">
        <v>371</v>
      </c>
      <c r="B1541" t="s">
        <v>7</v>
      </c>
      <c r="C1541" t="s">
        <v>30</v>
      </c>
      <c r="D1541" s="24">
        <v>46023</v>
      </c>
      <c r="E1541" t="s">
        <v>228</v>
      </c>
      <c r="F1541" t="s">
        <v>4</v>
      </c>
      <c r="G1541" t="s">
        <v>217</v>
      </c>
      <c r="H1541" t="s">
        <v>217</v>
      </c>
      <c r="I1541" t="s">
        <v>270</v>
      </c>
      <c r="J1541" s="25">
        <v>8201</v>
      </c>
      <c r="K1541" s="26">
        <v>1457.03</v>
      </c>
      <c r="L1541" s="26">
        <v>39.880000000000003</v>
      </c>
    </row>
    <row r="1542" spans="1:12" ht="16" customHeight="1">
      <c r="A1542" t="s">
        <v>371</v>
      </c>
      <c r="B1542" t="s">
        <v>7</v>
      </c>
      <c r="C1542" t="s">
        <v>30</v>
      </c>
      <c r="D1542" s="24">
        <v>46023</v>
      </c>
      <c r="E1542" t="s">
        <v>230</v>
      </c>
      <c r="F1542" t="s">
        <v>4</v>
      </c>
      <c r="G1542" t="s">
        <v>217</v>
      </c>
      <c r="H1542" t="s">
        <v>217</v>
      </c>
      <c r="I1542" t="s">
        <v>363</v>
      </c>
      <c r="J1542" s="25">
        <v>0</v>
      </c>
      <c r="K1542" s="26">
        <v>0</v>
      </c>
      <c r="L1542" s="26">
        <v>0</v>
      </c>
    </row>
    <row r="1543" spans="1:12" ht="16" customHeight="1">
      <c r="A1543" t="s">
        <v>371</v>
      </c>
      <c r="B1543" t="s">
        <v>7</v>
      </c>
      <c r="C1543" t="s">
        <v>30</v>
      </c>
      <c r="D1543" s="24">
        <v>46023</v>
      </c>
      <c r="E1543" t="s">
        <v>232</v>
      </c>
      <c r="F1543" t="s">
        <v>4</v>
      </c>
      <c r="G1543" t="s">
        <v>217</v>
      </c>
      <c r="H1543" t="s">
        <v>217</v>
      </c>
      <c r="I1543" t="s">
        <v>364</v>
      </c>
      <c r="J1543" s="25">
        <v>60</v>
      </c>
      <c r="K1543" s="26">
        <v>10.72</v>
      </c>
      <c r="L1543" s="26">
        <v>0.55000000000000004</v>
      </c>
    </row>
    <row r="1544" spans="1:12" ht="16" customHeight="1">
      <c r="A1544" t="s">
        <v>371</v>
      </c>
      <c r="B1544" t="s">
        <v>7</v>
      </c>
      <c r="C1544" t="s">
        <v>30</v>
      </c>
      <c r="D1544" s="24">
        <v>46023</v>
      </c>
      <c r="E1544" t="s">
        <v>234</v>
      </c>
      <c r="F1544" t="s">
        <v>4</v>
      </c>
      <c r="G1544" t="s">
        <v>217</v>
      </c>
      <c r="H1544" t="s">
        <v>217</v>
      </c>
      <c r="I1544" t="s">
        <v>365</v>
      </c>
      <c r="J1544" s="25">
        <v>0</v>
      </c>
      <c r="K1544" s="26">
        <v>0</v>
      </c>
      <c r="L1544" s="26">
        <v>0</v>
      </c>
    </row>
    <row r="1545" spans="1:12" ht="16" customHeight="1">
      <c r="A1545" t="s">
        <v>371</v>
      </c>
      <c r="B1545" t="s">
        <v>7</v>
      </c>
      <c r="C1545" t="s">
        <v>30</v>
      </c>
      <c r="D1545" s="24">
        <v>46023</v>
      </c>
      <c r="E1545" t="s">
        <v>236</v>
      </c>
      <c r="F1545" t="s">
        <v>4</v>
      </c>
      <c r="G1545" t="s">
        <v>217</v>
      </c>
      <c r="H1545" t="s">
        <v>217</v>
      </c>
      <c r="I1545" t="s">
        <v>366</v>
      </c>
      <c r="J1545" s="25">
        <v>2</v>
      </c>
      <c r="K1545" s="26">
        <v>0.34</v>
      </c>
      <c r="L1545" s="26">
        <v>0.01</v>
      </c>
    </row>
    <row r="1546" spans="1:12" ht="16" customHeight="1">
      <c r="A1546" t="s">
        <v>371</v>
      </c>
      <c r="B1546" t="s">
        <v>7</v>
      </c>
      <c r="C1546" t="s">
        <v>30</v>
      </c>
      <c r="D1546" s="24">
        <v>46023</v>
      </c>
      <c r="E1546" t="s">
        <v>238</v>
      </c>
      <c r="F1546" t="s">
        <v>4</v>
      </c>
      <c r="G1546" t="s">
        <v>217</v>
      </c>
      <c r="H1546" t="s">
        <v>217</v>
      </c>
      <c r="I1546" t="s">
        <v>367</v>
      </c>
      <c r="J1546" s="25">
        <v>0</v>
      </c>
      <c r="K1546" s="26">
        <v>0</v>
      </c>
      <c r="L1546" s="26">
        <v>0</v>
      </c>
    </row>
    <row r="1547" spans="1:12" ht="16" customHeight="1">
      <c r="A1547" t="s">
        <v>371</v>
      </c>
      <c r="B1547" t="s">
        <v>7</v>
      </c>
      <c r="C1547" t="s">
        <v>30</v>
      </c>
      <c r="D1547" s="24">
        <v>46023</v>
      </c>
      <c r="E1547" t="s">
        <v>240</v>
      </c>
      <c r="F1547" t="s">
        <v>3</v>
      </c>
      <c r="G1547" t="s">
        <v>241</v>
      </c>
      <c r="H1547" t="s">
        <v>241</v>
      </c>
      <c r="I1547" t="s">
        <v>368</v>
      </c>
      <c r="J1547" s="25">
        <v>0</v>
      </c>
      <c r="K1547" s="26">
        <v>0</v>
      </c>
      <c r="L1547" s="26">
        <v>0</v>
      </c>
    </row>
    <row r="1548" spans="1:12" ht="16" customHeight="1">
      <c r="A1548" t="s">
        <v>371</v>
      </c>
      <c r="B1548" t="s">
        <v>7</v>
      </c>
      <c r="C1548" t="s">
        <v>30</v>
      </c>
      <c r="D1548" s="24">
        <v>46023</v>
      </c>
      <c r="E1548" t="s">
        <v>243</v>
      </c>
      <c r="F1548" t="s">
        <v>4</v>
      </c>
      <c r="G1548" t="s">
        <v>217</v>
      </c>
      <c r="H1548" t="s">
        <v>217</v>
      </c>
      <c r="I1548" t="s">
        <v>369</v>
      </c>
      <c r="J1548" s="25">
        <v>0</v>
      </c>
      <c r="K1548" s="26">
        <v>0</v>
      </c>
      <c r="L1548" s="26">
        <v>0</v>
      </c>
    </row>
    <row r="1549" spans="1:12" ht="16" customHeight="1">
      <c r="A1549" t="s">
        <v>371</v>
      </c>
      <c r="B1549" t="s">
        <v>7</v>
      </c>
      <c r="C1549" t="s">
        <v>30</v>
      </c>
      <c r="D1549" s="24">
        <v>46023</v>
      </c>
      <c r="E1549" t="s">
        <v>360</v>
      </c>
      <c r="F1549" t="s">
        <v>4</v>
      </c>
      <c r="G1549" t="s">
        <v>217</v>
      </c>
      <c r="H1549" t="s">
        <v>217</v>
      </c>
      <c r="I1549" t="s">
        <v>370</v>
      </c>
      <c r="J1549" s="25">
        <v>0</v>
      </c>
      <c r="K1549" s="26">
        <v>0</v>
      </c>
      <c r="L1549" s="26">
        <v>0</v>
      </c>
    </row>
    <row r="1550" spans="1:12" ht="16" customHeight="1">
      <c r="A1550" t="s">
        <v>372</v>
      </c>
      <c r="B1550" t="s">
        <v>3</v>
      </c>
      <c r="C1550" t="s">
        <v>30</v>
      </c>
      <c r="D1550" s="24">
        <v>46023</v>
      </c>
      <c r="E1550" t="s">
        <v>339</v>
      </c>
      <c r="F1550" t="s">
        <v>4</v>
      </c>
      <c r="G1550" t="s">
        <v>211</v>
      </c>
      <c r="H1550" t="s">
        <v>211</v>
      </c>
      <c r="I1550" t="s">
        <v>212</v>
      </c>
      <c r="J1550" s="25">
        <v>163137061</v>
      </c>
      <c r="K1550" s="26">
        <v>27901246.030000001</v>
      </c>
      <c r="L1550" s="26">
        <v>40469.33</v>
      </c>
    </row>
    <row r="1551" spans="1:12" ht="16" customHeight="1">
      <c r="A1551" t="s">
        <v>372</v>
      </c>
      <c r="B1551" t="s">
        <v>3</v>
      </c>
      <c r="C1551" t="s">
        <v>30</v>
      </c>
      <c r="D1551" s="24">
        <v>46023</v>
      </c>
      <c r="E1551" t="s">
        <v>344</v>
      </c>
      <c r="F1551" t="s">
        <v>4</v>
      </c>
      <c r="G1551" t="s">
        <v>211</v>
      </c>
      <c r="H1551" t="s">
        <v>211</v>
      </c>
      <c r="I1551" t="s">
        <v>212</v>
      </c>
      <c r="J1551" s="25">
        <v>5963166</v>
      </c>
      <c r="K1551" s="26">
        <v>1022971.44</v>
      </c>
      <c r="L1551" s="26">
        <v>2896.22</v>
      </c>
    </row>
    <row r="1552" spans="1:12" ht="16" customHeight="1">
      <c r="A1552" t="s">
        <v>372</v>
      </c>
      <c r="B1552" t="s">
        <v>3</v>
      </c>
      <c r="C1552" t="s">
        <v>30</v>
      </c>
      <c r="D1552" s="24">
        <v>46023</v>
      </c>
      <c r="E1552" t="s">
        <v>349</v>
      </c>
      <c r="F1552" t="s">
        <v>4</v>
      </c>
      <c r="G1552" t="s">
        <v>211</v>
      </c>
      <c r="H1552" t="s">
        <v>211</v>
      </c>
      <c r="I1552" t="s">
        <v>212</v>
      </c>
      <c r="J1552" s="25">
        <v>330846</v>
      </c>
      <c r="K1552" s="26">
        <v>56792.08</v>
      </c>
      <c r="L1552" s="26">
        <v>245.33</v>
      </c>
    </row>
    <row r="1553" spans="1:12" ht="16" customHeight="1">
      <c r="A1553" t="s">
        <v>372</v>
      </c>
      <c r="B1553" t="s">
        <v>3</v>
      </c>
      <c r="C1553" t="s">
        <v>30</v>
      </c>
      <c r="D1553" s="24">
        <v>46023</v>
      </c>
      <c r="E1553" t="s">
        <v>296</v>
      </c>
      <c r="F1553" t="s">
        <v>4</v>
      </c>
      <c r="G1553" t="s">
        <v>217</v>
      </c>
      <c r="H1553" t="s">
        <v>217</v>
      </c>
      <c r="I1553" t="s">
        <v>212</v>
      </c>
      <c r="J1553" s="25">
        <v>1563958</v>
      </c>
      <c r="K1553" s="26">
        <v>269007.67</v>
      </c>
      <c r="L1553" s="26">
        <v>1544.14</v>
      </c>
    </row>
    <row r="1554" spans="1:12" ht="16" customHeight="1">
      <c r="A1554" t="s">
        <v>372</v>
      </c>
      <c r="B1554" t="s">
        <v>3</v>
      </c>
      <c r="C1554" t="s">
        <v>30</v>
      </c>
      <c r="D1554" s="24">
        <v>46023</v>
      </c>
      <c r="E1554" t="s">
        <v>354</v>
      </c>
      <c r="F1554" t="s">
        <v>4</v>
      </c>
      <c r="G1554" t="s">
        <v>211</v>
      </c>
      <c r="H1554" t="s">
        <v>211</v>
      </c>
      <c r="I1554" t="s">
        <v>219</v>
      </c>
      <c r="J1554" s="25">
        <v>13190</v>
      </c>
      <c r="K1554" s="26">
        <v>2278.81</v>
      </c>
      <c r="L1554" s="26">
        <v>14.89</v>
      </c>
    </row>
    <row r="1555" spans="1:12" ht="16" customHeight="1">
      <c r="A1555" t="s">
        <v>372</v>
      </c>
      <c r="B1555" t="s">
        <v>3</v>
      </c>
      <c r="C1555" t="s">
        <v>30</v>
      </c>
      <c r="D1555" s="24">
        <v>46023</v>
      </c>
      <c r="E1555" t="s">
        <v>326</v>
      </c>
      <c r="F1555" t="s">
        <v>4</v>
      </c>
      <c r="G1555" t="s">
        <v>217</v>
      </c>
      <c r="H1555" t="s">
        <v>217</v>
      </c>
      <c r="I1555" t="s">
        <v>219</v>
      </c>
      <c r="J1555" s="25">
        <v>174277</v>
      </c>
      <c r="K1555" s="26">
        <v>29975.58</v>
      </c>
      <c r="L1555" s="26">
        <v>266.57</v>
      </c>
    </row>
    <row r="1556" spans="1:12" ht="16" customHeight="1">
      <c r="A1556" t="s">
        <v>372</v>
      </c>
      <c r="B1556" t="s">
        <v>3</v>
      </c>
      <c r="C1556" t="s">
        <v>30</v>
      </c>
      <c r="D1556" s="24">
        <v>46023</v>
      </c>
      <c r="E1556" t="s">
        <v>357</v>
      </c>
      <c r="F1556" t="s">
        <v>3</v>
      </c>
      <c r="G1556" t="s">
        <v>358</v>
      </c>
      <c r="H1556" t="s">
        <v>358</v>
      </c>
      <c r="I1556" t="s">
        <v>221</v>
      </c>
      <c r="J1556" s="25">
        <v>76783</v>
      </c>
      <c r="K1556" s="26">
        <v>13452.91</v>
      </c>
      <c r="L1556" s="26">
        <v>181.43</v>
      </c>
    </row>
    <row r="1557" spans="1:12" ht="16" customHeight="1">
      <c r="A1557" t="s">
        <v>372</v>
      </c>
      <c r="B1557" t="s">
        <v>3</v>
      </c>
      <c r="C1557" t="s">
        <v>30</v>
      </c>
      <c r="D1557" s="24">
        <v>46023</v>
      </c>
      <c r="E1557" t="s">
        <v>226</v>
      </c>
      <c r="F1557" t="s">
        <v>4</v>
      </c>
      <c r="G1557" t="s">
        <v>217</v>
      </c>
      <c r="H1557" t="s">
        <v>217</v>
      </c>
      <c r="I1557" t="s">
        <v>267</v>
      </c>
      <c r="J1557" s="25">
        <v>19290</v>
      </c>
      <c r="K1557" s="26">
        <v>3420.87</v>
      </c>
      <c r="L1557" s="26">
        <v>58.09</v>
      </c>
    </row>
    <row r="1558" spans="1:12" ht="16" customHeight="1">
      <c r="A1558" t="s">
        <v>372</v>
      </c>
      <c r="B1558" t="s">
        <v>3</v>
      </c>
      <c r="C1558" t="s">
        <v>30</v>
      </c>
      <c r="D1558" s="24">
        <v>46023</v>
      </c>
      <c r="E1558" t="s">
        <v>269</v>
      </c>
      <c r="F1558" t="s">
        <v>4</v>
      </c>
      <c r="G1558" t="s">
        <v>217</v>
      </c>
      <c r="H1558" t="s">
        <v>217</v>
      </c>
      <c r="I1558" t="s">
        <v>268</v>
      </c>
      <c r="J1558" s="25">
        <v>784</v>
      </c>
      <c r="K1558" s="26">
        <v>137.36000000000001</v>
      </c>
      <c r="L1558" s="26">
        <v>1.8</v>
      </c>
    </row>
    <row r="1559" spans="1:12" ht="16" customHeight="1">
      <c r="A1559" t="s">
        <v>372</v>
      </c>
      <c r="B1559" t="s">
        <v>3</v>
      </c>
      <c r="C1559" t="s">
        <v>30</v>
      </c>
      <c r="D1559" s="24">
        <v>46023</v>
      </c>
      <c r="E1559" t="s">
        <v>228</v>
      </c>
      <c r="F1559" t="s">
        <v>4</v>
      </c>
      <c r="G1559" t="s">
        <v>217</v>
      </c>
      <c r="H1559" t="s">
        <v>217</v>
      </c>
      <c r="I1559" t="s">
        <v>270</v>
      </c>
      <c r="J1559" s="25">
        <v>6144</v>
      </c>
      <c r="K1559" s="26">
        <v>1098.1199999999999</v>
      </c>
      <c r="L1559" s="26">
        <v>30.71</v>
      </c>
    </row>
    <row r="1560" spans="1:12" ht="16" customHeight="1">
      <c r="A1560" t="s">
        <v>372</v>
      </c>
      <c r="B1560" t="s">
        <v>3</v>
      </c>
      <c r="C1560" t="s">
        <v>30</v>
      </c>
      <c r="D1560" s="24">
        <v>46023</v>
      </c>
      <c r="E1560" t="s">
        <v>230</v>
      </c>
      <c r="F1560" t="s">
        <v>4</v>
      </c>
      <c r="G1560" t="s">
        <v>217</v>
      </c>
      <c r="H1560" t="s">
        <v>217</v>
      </c>
      <c r="I1560" t="s">
        <v>363</v>
      </c>
      <c r="J1560" s="25">
        <v>0</v>
      </c>
      <c r="K1560" s="26">
        <v>0</v>
      </c>
      <c r="L1560" s="26">
        <v>0</v>
      </c>
    </row>
    <row r="1561" spans="1:12" ht="16" customHeight="1">
      <c r="A1561" t="s">
        <v>372</v>
      </c>
      <c r="B1561" t="s">
        <v>3</v>
      </c>
      <c r="C1561" t="s">
        <v>30</v>
      </c>
      <c r="D1561" s="24">
        <v>46023</v>
      </c>
      <c r="E1561" t="s">
        <v>232</v>
      </c>
      <c r="F1561" t="s">
        <v>4</v>
      </c>
      <c r="G1561" t="s">
        <v>217</v>
      </c>
      <c r="H1561" t="s">
        <v>217</v>
      </c>
      <c r="I1561" t="s">
        <v>364</v>
      </c>
      <c r="J1561" s="25">
        <v>90</v>
      </c>
      <c r="K1561" s="26">
        <v>14.76</v>
      </c>
      <c r="L1561" s="26">
        <v>0.57999999999999996</v>
      </c>
    </row>
    <row r="1562" spans="1:12" ht="16" customHeight="1">
      <c r="A1562" t="s">
        <v>372</v>
      </c>
      <c r="B1562" t="s">
        <v>3</v>
      </c>
      <c r="C1562" t="s">
        <v>30</v>
      </c>
      <c r="D1562" s="24">
        <v>46023</v>
      </c>
      <c r="E1562" t="s">
        <v>234</v>
      </c>
      <c r="F1562" t="s">
        <v>4</v>
      </c>
      <c r="G1562" t="s">
        <v>217</v>
      </c>
      <c r="H1562" t="s">
        <v>217</v>
      </c>
      <c r="I1562" t="s">
        <v>365</v>
      </c>
      <c r="J1562" s="25">
        <v>0</v>
      </c>
      <c r="K1562" s="26">
        <v>0</v>
      </c>
      <c r="L1562" s="26">
        <v>0</v>
      </c>
    </row>
    <row r="1563" spans="1:12" ht="16" customHeight="1">
      <c r="A1563" t="s">
        <v>372</v>
      </c>
      <c r="B1563" t="s">
        <v>3</v>
      </c>
      <c r="C1563" t="s">
        <v>30</v>
      </c>
      <c r="D1563" s="24">
        <v>46023</v>
      </c>
      <c r="E1563" t="s">
        <v>236</v>
      </c>
      <c r="F1563" t="s">
        <v>4</v>
      </c>
      <c r="G1563" t="s">
        <v>217</v>
      </c>
      <c r="H1563" t="s">
        <v>217</v>
      </c>
      <c r="I1563" t="s">
        <v>366</v>
      </c>
      <c r="J1563" s="25">
        <v>3</v>
      </c>
      <c r="K1563" s="26">
        <v>0.6</v>
      </c>
      <c r="L1563" s="26">
        <v>0.04</v>
      </c>
    </row>
    <row r="1564" spans="1:12" ht="16" customHeight="1">
      <c r="A1564" t="s">
        <v>372</v>
      </c>
      <c r="B1564" t="s">
        <v>3</v>
      </c>
      <c r="C1564" t="s">
        <v>30</v>
      </c>
      <c r="D1564" s="24">
        <v>46023</v>
      </c>
      <c r="E1564" t="s">
        <v>238</v>
      </c>
      <c r="F1564" t="s">
        <v>4</v>
      </c>
      <c r="G1564" t="s">
        <v>217</v>
      </c>
      <c r="H1564" t="s">
        <v>217</v>
      </c>
      <c r="I1564" t="s">
        <v>367</v>
      </c>
      <c r="J1564" s="25">
        <v>0</v>
      </c>
      <c r="K1564" s="26">
        <v>0</v>
      </c>
      <c r="L1564" s="26">
        <v>0</v>
      </c>
    </row>
    <row r="1565" spans="1:12" ht="16" customHeight="1">
      <c r="A1565" t="s">
        <v>372</v>
      </c>
      <c r="B1565" t="s">
        <v>3</v>
      </c>
      <c r="C1565" t="s">
        <v>30</v>
      </c>
      <c r="D1565" s="24">
        <v>46023</v>
      </c>
      <c r="E1565" t="s">
        <v>240</v>
      </c>
      <c r="F1565" t="s">
        <v>3</v>
      </c>
      <c r="G1565" t="s">
        <v>241</v>
      </c>
      <c r="H1565" t="s">
        <v>241</v>
      </c>
      <c r="I1565" t="s">
        <v>368</v>
      </c>
      <c r="J1565" s="25">
        <v>0</v>
      </c>
      <c r="K1565" s="26">
        <v>0</v>
      </c>
      <c r="L1565" s="26">
        <v>0</v>
      </c>
    </row>
    <row r="1566" spans="1:12" ht="16" customHeight="1">
      <c r="A1566" t="s">
        <v>372</v>
      </c>
      <c r="B1566" t="s">
        <v>3</v>
      </c>
      <c r="C1566" t="s">
        <v>30</v>
      </c>
      <c r="D1566" s="24">
        <v>46023</v>
      </c>
      <c r="E1566" t="s">
        <v>243</v>
      </c>
      <c r="F1566" t="s">
        <v>4</v>
      </c>
      <c r="G1566" t="s">
        <v>217</v>
      </c>
      <c r="H1566" t="s">
        <v>217</v>
      </c>
      <c r="I1566" t="s">
        <v>369</v>
      </c>
      <c r="J1566" s="25">
        <v>0</v>
      </c>
      <c r="K1566" s="26">
        <v>0</v>
      </c>
      <c r="L1566" s="26">
        <v>0</v>
      </c>
    </row>
    <row r="1567" spans="1:12" ht="16" customHeight="1">
      <c r="A1567" t="s">
        <v>372</v>
      </c>
      <c r="B1567" t="s">
        <v>3</v>
      </c>
      <c r="C1567" t="s">
        <v>30</v>
      </c>
      <c r="D1567" s="24">
        <v>46023</v>
      </c>
      <c r="E1567" t="s">
        <v>360</v>
      </c>
      <c r="F1567" t="s">
        <v>4</v>
      </c>
      <c r="G1567" t="s">
        <v>217</v>
      </c>
      <c r="H1567" t="s">
        <v>217</v>
      </c>
      <c r="I1567" t="s">
        <v>370</v>
      </c>
      <c r="J1567" s="25">
        <v>0</v>
      </c>
      <c r="K1567" s="26">
        <v>0</v>
      </c>
      <c r="L1567" s="26">
        <v>0</v>
      </c>
    </row>
    <row r="1568" spans="1:12" ht="16" customHeight="1">
      <c r="A1568" t="s">
        <v>339</v>
      </c>
      <c r="B1568" t="s">
        <v>4</v>
      </c>
      <c r="C1568" t="s">
        <v>30</v>
      </c>
      <c r="D1568" s="24">
        <v>46023</v>
      </c>
      <c r="E1568" t="s">
        <v>339</v>
      </c>
      <c r="F1568" t="s">
        <v>4</v>
      </c>
      <c r="G1568" t="s">
        <v>211</v>
      </c>
      <c r="H1568" t="s">
        <v>211</v>
      </c>
      <c r="I1568" t="s">
        <v>212</v>
      </c>
      <c r="J1568" s="25">
        <v>321920482</v>
      </c>
      <c r="K1568" s="26">
        <v>54845024.810000002</v>
      </c>
      <c r="L1568" s="26">
        <v>45420.68</v>
      </c>
    </row>
    <row r="1569" spans="1:12" ht="16" customHeight="1">
      <c r="A1569" t="s">
        <v>339</v>
      </c>
      <c r="B1569" t="s">
        <v>4</v>
      </c>
      <c r="C1569" t="s">
        <v>30</v>
      </c>
      <c r="D1569" s="24">
        <v>46023</v>
      </c>
      <c r="E1569" t="s">
        <v>344</v>
      </c>
      <c r="F1569" t="s">
        <v>4</v>
      </c>
      <c r="G1569" t="s">
        <v>211</v>
      </c>
      <c r="H1569" t="s">
        <v>211</v>
      </c>
      <c r="I1569" t="s">
        <v>212</v>
      </c>
      <c r="J1569" s="25">
        <v>12248934</v>
      </c>
      <c r="K1569" s="26">
        <v>2095670.09</v>
      </c>
      <c r="L1569" s="26">
        <v>4944.9399999999996</v>
      </c>
    </row>
    <row r="1570" spans="1:12" ht="16" customHeight="1">
      <c r="A1570" t="s">
        <v>339</v>
      </c>
      <c r="B1570" t="s">
        <v>4</v>
      </c>
      <c r="C1570" t="s">
        <v>30</v>
      </c>
      <c r="D1570" s="24">
        <v>46023</v>
      </c>
      <c r="E1570" t="s">
        <v>349</v>
      </c>
      <c r="F1570" t="s">
        <v>4</v>
      </c>
      <c r="G1570" t="s">
        <v>211</v>
      </c>
      <c r="H1570" t="s">
        <v>211</v>
      </c>
      <c r="I1570" t="s">
        <v>212</v>
      </c>
      <c r="J1570" s="25">
        <v>397266</v>
      </c>
      <c r="K1570" s="26">
        <v>68065.09</v>
      </c>
      <c r="L1570" s="26">
        <v>260.83999999999997</v>
      </c>
    </row>
    <row r="1571" spans="1:12" ht="16" customHeight="1">
      <c r="A1571" t="s">
        <v>339</v>
      </c>
      <c r="B1571" t="s">
        <v>4</v>
      </c>
      <c r="C1571" t="s">
        <v>30</v>
      </c>
      <c r="D1571" s="24">
        <v>46023</v>
      </c>
      <c r="E1571" t="s">
        <v>296</v>
      </c>
      <c r="F1571" t="s">
        <v>4</v>
      </c>
      <c r="G1571" t="s">
        <v>217</v>
      </c>
      <c r="H1571" t="s">
        <v>217</v>
      </c>
      <c r="I1571" t="s">
        <v>212</v>
      </c>
      <c r="J1571" s="25">
        <v>1290079</v>
      </c>
      <c r="K1571" s="26">
        <v>221490.18</v>
      </c>
      <c r="L1571" s="26">
        <v>1209.3399999999999</v>
      </c>
    </row>
    <row r="1572" spans="1:12" ht="16" customHeight="1">
      <c r="A1572" t="s">
        <v>339</v>
      </c>
      <c r="B1572" t="s">
        <v>4</v>
      </c>
      <c r="C1572" t="s">
        <v>30</v>
      </c>
      <c r="D1572" s="24">
        <v>46023</v>
      </c>
      <c r="E1572" t="s">
        <v>354</v>
      </c>
      <c r="F1572" t="s">
        <v>4</v>
      </c>
      <c r="G1572" t="s">
        <v>211</v>
      </c>
      <c r="H1572" t="s">
        <v>211</v>
      </c>
      <c r="I1572" t="s">
        <v>219</v>
      </c>
      <c r="J1572" s="25">
        <v>17605</v>
      </c>
      <c r="K1572" s="26">
        <v>3045.55</v>
      </c>
      <c r="L1572" s="26">
        <v>18.14</v>
      </c>
    </row>
    <row r="1573" spans="1:12" ht="16" customHeight="1">
      <c r="A1573" t="s">
        <v>339</v>
      </c>
      <c r="B1573" t="s">
        <v>4</v>
      </c>
      <c r="C1573" t="s">
        <v>30</v>
      </c>
      <c r="D1573" s="24">
        <v>46023</v>
      </c>
      <c r="E1573" t="s">
        <v>326</v>
      </c>
      <c r="F1573" t="s">
        <v>4</v>
      </c>
      <c r="G1573" t="s">
        <v>217</v>
      </c>
      <c r="H1573" t="s">
        <v>217</v>
      </c>
      <c r="I1573" t="s">
        <v>219</v>
      </c>
      <c r="J1573" s="25">
        <v>143865</v>
      </c>
      <c r="K1573" s="26">
        <v>24785.38</v>
      </c>
      <c r="L1573" s="26">
        <v>213.93</v>
      </c>
    </row>
    <row r="1574" spans="1:12" ht="16" customHeight="1">
      <c r="A1574" t="s">
        <v>339</v>
      </c>
      <c r="B1574" t="s">
        <v>4</v>
      </c>
      <c r="C1574" t="s">
        <v>30</v>
      </c>
      <c r="D1574" s="24">
        <v>46023</v>
      </c>
      <c r="E1574" t="s">
        <v>357</v>
      </c>
      <c r="F1574" t="s">
        <v>3</v>
      </c>
      <c r="G1574" t="s">
        <v>358</v>
      </c>
      <c r="H1574" t="s">
        <v>358</v>
      </c>
      <c r="I1574" t="s">
        <v>221</v>
      </c>
      <c r="J1574" s="25">
        <v>71060</v>
      </c>
      <c r="K1574" s="26">
        <v>12314.4</v>
      </c>
      <c r="L1574" s="26">
        <v>137.34</v>
      </c>
    </row>
    <row r="1575" spans="1:12" ht="16" customHeight="1">
      <c r="A1575" t="s">
        <v>339</v>
      </c>
      <c r="B1575" t="s">
        <v>4</v>
      </c>
      <c r="C1575" t="s">
        <v>30</v>
      </c>
      <c r="D1575" s="24">
        <v>46023</v>
      </c>
      <c r="E1575" t="s">
        <v>226</v>
      </c>
      <c r="F1575" t="s">
        <v>4</v>
      </c>
      <c r="G1575" t="s">
        <v>217</v>
      </c>
      <c r="H1575" t="s">
        <v>217</v>
      </c>
      <c r="I1575" t="s">
        <v>267</v>
      </c>
      <c r="J1575" s="25">
        <v>16121</v>
      </c>
      <c r="K1575" s="26">
        <v>2870.89</v>
      </c>
      <c r="L1575" s="26">
        <v>48.64</v>
      </c>
    </row>
    <row r="1576" spans="1:12" ht="16" customHeight="1">
      <c r="A1576" t="s">
        <v>339</v>
      </c>
      <c r="B1576" t="s">
        <v>4</v>
      </c>
      <c r="C1576" t="s">
        <v>30</v>
      </c>
      <c r="D1576" s="24">
        <v>46023</v>
      </c>
      <c r="E1576" t="s">
        <v>269</v>
      </c>
      <c r="F1576" t="s">
        <v>4</v>
      </c>
      <c r="G1576" t="s">
        <v>217</v>
      </c>
      <c r="H1576" t="s">
        <v>217</v>
      </c>
      <c r="I1576" t="s">
        <v>268</v>
      </c>
      <c r="J1576" s="25">
        <v>751</v>
      </c>
      <c r="K1576" s="26">
        <v>134.41</v>
      </c>
      <c r="L1576" s="26">
        <v>1.6</v>
      </c>
    </row>
    <row r="1577" spans="1:12" ht="16" customHeight="1">
      <c r="A1577" t="s">
        <v>339</v>
      </c>
      <c r="B1577" t="s">
        <v>4</v>
      </c>
      <c r="C1577" t="s">
        <v>30</v>
      </c>
      <c r="D1577" s="24">
        <v>46023</v>
      </c>
      <c r="E1577" t="s">
        <v>228</v>
      </c>
      <c r="F1577" t="s">
        <v>4</v>
      </c>
      <c r="G1577" t="s">
        <v>217</v>
      </c>
      <c r="H1577" t="s">
        <v>217</v>
      </c>
      <c r="I1577" t="s">
        <v>270</v>
      </c>
      <c r="J1577" s="25">
        <v>5845</v>
      </c>
      <c r="K1577" s="26">
        <v>1066.6199999999999</v>
      </c>
      <c r="L1577" s="26">
        <v>26.39</v>
      </c>
    </row>
    <row r="1578" spans="1:12" ht="16" customHeight="1">
      <c r="A1578" t="s">
        <v>339</v>
      </c>
      <c r="B1578" t="s">
        <v>4</v>
      </c>
      <c r="C1578" t="s">
        <v>30</v>
      </c>
      <c r="D1578" s="24">
        <v>46023</v>
      </c>
      <c r="E1578" t="s">
        <v>230</v>
      </c>
      <c r="F1578" t="s">
        <v>4</v>
      </c>
      <c r="G1578" t="s">
        <v>217</v>
      </c>
      <c r="H1578" t="s">
        <v>217</v>
      </c>
      <c r="I1578" t="s">
        <v>363</v>
      </c>
      <c r="J1578" s="25">
        <v>0</v>
      </c>
      <c r="K1578" s="26">
        <v>0</v>
      </c>
      <c r="L1578" s="26">
        <v>0</v>
      </c>
    </row>
    <row r="1579" spans="1:12" ht="16" customHeight="1">
      <c r="A1579" t="s">
        <v>339</v>
      </c>
      <c r="B1579" t="s">
        <v>4</v>
      </c>
      <c r="C1579" t="s">
        <v>30</v>
      </c>
      <c r="D1579" s="24">
        <v>46023</v>
      </c>
      <c r="E1579" t="s">
        <v>232</v>
      </c>
      <c r="F1579" t="s">
        <v>4</v>
      </c>
      <c r="G1579" t="s">
        <v>217</v>
      </c>
      <c r="H1579" t="s">
        <v>217</v>
      </c>
      <c r="I1579" t="s">
        <v>364</v>
      </c>
      <c r="J1579" s="25">
        <v>56</v>
      </c>
      <c r="K1579" s="26">
        <v>9.36</v>
      </c>
      <c r="L1579" s="26">
        <v>0.42</v>
      </c>
    </row>
    <row r="1580" spans="1:12" ht="16" customHeight="1">
      <c r="A1580" t="s">
        <v>339</v>
      </c>
      <c r="B1580" t="s">
        <v>4</v>
      </c>
      <c r="C1580" t="s">
        <v>30</v>
      </c>
      <c r="D1580" s="24">
        <v>46023</v>
      </c>
      <c r="E1580" t="s">
        <v>234</v>
      </c>
      <c r="F1580" t="s">
        <v>4</v>
      </c>
      <c r="G1580" t="s">
        <v>217</v>
      </c>
      <c r="H1580" t="s">
        <v>217</v>
      </c>
      <c r="I1580" t="s">
        <v>365</v>
      </c>
      <c r="J1580" s="25">
        <v>0</v>
      </c>
      <c r="K1580" s="26">
        <v>0</v>
      </c>
      <c r="L1580" s="26">
        <v>0</v>
      </c>
    </row>
    <row r="1581" spans="1:12" ht="16" customHeight="1">
      <c r="A1581" t="s">
        <v>339</v>
      </c>
      <c r="B1581" t="s">
        <v>4</v>
      </c>
      <c r="C1581" t="s">
        <v>30</v>
      </c>
      <c r="D1581" s="24">
        <v>46023</v>
      </c>
      <c r="E1581" t="s">
        <v>236</v>
      </c>
      <c r="F1581" t="s">
        <v>4</v>
      </c>
      <c r="G1581" t="s">
        <v>217</v>
      </c>
      <c r="H1581" t="s">
        <v>217</v>
      </c>
      <c r="I1581" t="s">
        <v>366</v>
      </c>
      <c r="J1581" s="25">
        <v>1</v>
      </c>
      <c r="K1581" s="26">
        <v>0.18</v>
      </c>
      <c r="L1581" s="26">
        <v>0.01</v>
      </c>
    </row>
    <row r="1582" spans="1:12" ht="16" customHeight="1">
      <c r="A1582" t="s">
        <v>339</v>
      </c>
      <c r="B1582" t="s">
        <v>4</v>
      </c>
      <c r="C1582" t="s">
        <v>30</v>
      </c>
      <c r="D1582" s="24">
        <v>46023</v>
      </c>
      <c r="E1582" t="s">
        <v>238</v>
      </c>
      <c r="F1582" t="s">
        <v>4</v>
      </c>
      <c r="G1582" t="s">
        <v>217</v>
      </c>
      <c r="H1582" t="s">
        <v>217</v>
      </c>
      <c r="I1582" t="s">
        <v>367</v>
      </c>
      <c r="J1582" s="25">
        <v>0</v>
      </c>
      <c r="K1582" s="26">
        <v>0</v>
      </c>
      <c r="L1582" s="26">
        <v>0</v>
      </c>
    </row>
    <row r="1583" spans="1:12" ht="16" customHeight="1">
      <c r="A1583" t="s">
        <v>339</v>
      </c>
      <c r="B1583" t="s">
        <v>4</v>
      </c>
      <c r="C1583" t="s">
        <v>30</v>
      </c>
      <c r="D1583" s="24">
        <v>46023</v>
      </c>
      <c r="E1583" t="s">
        <v>240</v>
      </c>
      <c r="F1583" t="s">
        <v>3</v>
      </c>
      <c r="G1583" t="s">
        <v>241</v>
      </c>
      <c r="H1583" t="s">
        <v>241</v>
      </c>
      <c r="I1583" t="s">
        <v>368</v>
      </c>
      <c r="J1583" s="25">
        <v>0</v>
      </c>
      <c r="K1583" s="26">
        <v>0</v>
      </c>
      <c r="L1583" s="26">
        <v>0</v>
      </c>
    </row>
    <row r="1584" spans="1:12" ht="16" customHeight="1">
      <c r="A1584" t="s">
        <v>339</v>
      </c>
      <c r="B1584" t="s">
        <v>4</v>
      </c>
      <c r="C1584" t="s">
        <v>30</v>
      </c>
      <c r="D1584" s="24">
        <v>46023</v>
      </c>
      <c r="E1584" t="s">
        <v>243</v>
      </c>
      <c r="F1584" t="s">
        <v>4</v>
      </c>
      <c r="G1584" t="s">
        <v>217</v>
      </c>
      <c r="H1584" t="s">
        <v>217</v>
      </c>
      <c r="I1584" t="s">
        <v>369</v>
      </c>
      <c r="J1584" s="25">
        <v>0</v>
      </c>
      <c r="K1584" s="26">
        <v>0</v>
      </c>
      <c r="L1584" s="26">
        <v>0</v>
      </c>
    </row>
    <row r="1585" spans="1:12" ht="16" customHeight="1">
      <c r="A1585" t="s">
        <v>339</v>
      </c>
      <c r="B1585" t="s">
        <v>4</v>
      </c>
      <c r="C1585" t="s">
        <v>30</v>
      </c>
      <c r="D1585" s="24">
        <v>46023</v>
      </c>
      <c r="E1585" t="s">
        <v>360</v>
      </c>
      <c r="F1585" t="s">
        <v>4</v>
      </c>
      <c r="G1585" t="s">
        <v>217</v>
      </c>
      <c r="H1585" t="s">
        <v>217</v>
      </c>
      <c r="I1585" t="s">
        <v>370</v>
      </c>
      <c r="J1585" s="25">
        <v>0</v>
      </c>
      <c r="K1585" s="26">
        <v>0</v>
      </c>
      <c r="L1585" s="26">
        <v>0</v>
      </c>
    </row>
    <row r="1586" spans="1:12" ht="16" customHeight="1">
      <c r="A1586" t="s">
        <v>373</v>
      </c>
      <c r="B1586" t="s">
        <v>5</v>
      </c>
      <c r="C1586" t="s">
        <v>30</v>
      </c>
      <c r="D1586" s="24">
        <v>46023</v>
      </c>
      <c r="E1586" t="s">
        <v>344</v>
      </c>
      <c r="F1586" t="s">
        <v>4</v>
      </c>
      <c r="G1586" t="s">
        <v>211</v>
      </c>
      <c r="H1586" t="s">
        <v>211</v>
      </c>
      <c r="I1586" t="s">
        <v>212</v>
      </c>
      <c r="J1586" s="25">
        <v>64224686</v>
      </c>
      <c r="K1586" s="26">
        <v>10951303.07</v>
      </c>
      <c r="L1586" s="26">
        <v>26981.360000000001</v>
      </c>
    </row>
    <row r="1587" spans="1:12" ht="16" customHeight="1">
      <c r="A1587" t="s">
        <v>373</v>
      </c>
      <c r="B1587" t="s">
        <v>5</v>
      </c>
      <c r="C1587" t="s">
        <v>30</v>
      </c>
      <c r="D1587" s="24">
        <v>46023</v>
      </c>
      <c r="E1587" t="s">
        <v>349</v>
      </c>
      <c r="F1587" t="s">
        <v>4</v>
      </c>
      <c r="G1587" t="s">
        <v>211</v>
      </c>
      <c r="H1587" t="s">
        <v>211</v>
      </c>
      <c r="I1587" t="s">
        <v>212</v>
      </c>
      <c r="J1587" s="25">
        <v>1199643</v>
      </c>
      <c r="K1587" s="26">
        <v>205108.7</v>
      </c>
      <c r="L1587" s="26">
        <v>675.71</v>
      </c>
    </row>
    <row r="1588" spans="1:12" ht="16" customHeight="1">
      <c r="A1588" t="s">
        <v>373</v>
      </c>
      <c r="B1588" t="s">
        <v>5</v>
      </c>
      <c r="C1588" t="s">
        <v>30</v>
      </c>
      <c r="D1588" s="24">
        <v>46023</v>
      </c>
      <c r="E1588" t="s">
        <v>296</v>
      </c>
      <c r="F1588" t="s">
        <v>4</v>
      </c>
      <c r="G1588" t="s">
        <v>217</v>
      </c>
      <c r="H1588" t="s">
        <v>217</v>
      </c>
      <c r="I1588" t="s">
        <v>212</v>
      </c>
      <c r="J1588" s="25">
        <v>1501010</v>
      </c>
      <c r="K1588" s="26">
        <v>257461.42</v>
      </c>
      <c r="L1588" s="26">
        <v>1195.48</v>
      </c>
    </row>
    <row r="1589" spans="1:12" ht="16" customHeight="1">
      <c r="A1589" t="s">
        <v>373</v>
      </c>
      <c r="B1589" t="s">
        <v>5</v>
      </c>
      <c r="C1589" t="s">
        <v>30</v>
      </c>
      <c r="D1589" s="24">
        <v>46023</v>
      </c>
      <c r="E1589" t="s">
        <v>354</v>
      </c>
      <c r="F1589" t="s">
        <v>4</v>
      </c>
      <c r="G1589" t="s">
        <v>211</v>
      </c>
      <c r="H1589" t="s">
        <v>211</v>
      </c>
      <c r="I1589" t="s">
        <v>219</v>
      </c>
      <c r="J1589" s="25">
        <v>24274</v>
      </c>
      <c r="K1589" s="26">
        <v>4198.55</v>
      </c>
      <c r="L1589" s="26">
        <v>25.85</v>
      </c>
    </row>
    <row r="1590" spans="1:12" ht="16" customHeight="1">
      <c r="A1590" t="s">
        <v>373</v>
      </c>
      <c r="B1590" t="s">
        <v>5</v>
      </c>
      <c r="C1590" t="s">
        <v>30</v>
      </c>
      <c r="D1590" s="24">
        <v>46023</v>
      </c>
      <c r="E1590" t="s">
        <v>374</v>
      </c>
      <c r="F1590" t="s">
        <v>4</v>
      </c>
      <c r="G1590" t="s">
        <v>211</v>
      </c>
      <c r="H1590" t="s">
        <v>211</v>
      </c>
      <c r="I1590" t="s">
        <v>219</v>
      </c>
      <c r="J1590" s="25">
        <v>862</v>
      </c>
      <c r="K1590" s="26">
        <v>148.22</v>
      </c>
      <c r="L1590" s="26">
        <v>1.4</v>
      </c>
    </row>
    <row r="1591" spans="1:12" ht="16" customHeight="1">
      <c r="A1591" t="s">
        <v>373</v>
      </c>
      <c r="B1591" t="s">
        <v>5</v>
      </c>
      <c r="C1591" t="s">
        <v>30</v>
      </c>
      <c r="D1591" s="24">
        <v>46023</v>
      </c>
      <c r="E1591" t="s">
        <v>326</v>
      </c>
      <c r="F1591" t="s">
        <v>4</v>
      </c>
      <c r="G1591" t="s">
        <v>217</v>
      </c>
      <c r="H1591" t="s">
        <v>217</v>
      </c>
      <c r="I1591" t="s">
        <v>219</v>
      </c>
      <c r="J1591" s="25">
        <v>160541</v>
      </c>
      <c r="K1591" s="26">
        <v>27675.55</v>
      </c>
      <c r="L1591" s="26">
        <v>215.65</v>
      </c>
    </row>
    <row r="1592" spans="1:12" ht="16" customHeight="1">
      <c r="A1592" t="s">
        <v>373</v>
      </c>
      <c r="B1592" t="s">
        <v>5</v>
      </c>
      <c r="C1592" t="s">
        <v>30</v>
      </c>
      <c r="D1592" s="24">
        <v>46023</v>
      </c>
      <c r="E1592" t="s">
        <v>357</v>
      </c>
      <c r="F1592" t="s">
        <v>3</v>
      </c>
      <c r="G1592" t="s">
        <v>358</v>
      </c>
      <c r="H1592" t="s">
        <v>358</v>
      </c>
      <c r="I1592" t="s">
        <v>221</v>
      </c>
      <c r="J1592" s="25">
        <v>72672</v>
      </c>
      <c r="K1592" s="26">
        <v>12546.59</v>
      </c>
      <c r="L1592" s="26">
        <v>157.22999999999999</v>
      </c>
    </row>
    <row r="1593" spans="1:12" ht="16" customHeight="1">
      <c r="A1593" t="s">
        <v>373</v>
      </c>
      <c r="B1593" t="s">
        <v>5</v>
      </c>
      <c r="C1593" t="s">
        <v>30</v>
      </c>
      <c r="D1593" s="24">
        <v>46023</v>
      </c>
      <c r="E1593" t="s">
        <v>226</v>
      </c>
      <c r="F1593" t="s">
        <v>4</v>
      </c>
      <c r="G1593" t="s">
        <v>217</v>
      </c>
      <c r="H1593" t="s">
        <v>217</v>
      </c>
      <c r="I1593" t="s">
        <v>267</v>
      </c>
      <c r="J1593" s="25">
        <v>14755</v>
      </c>
      <c r="K1593" s="26">
        <v>2546.0300000000002</v>
      </c>
      <c r="L1593" s="26">
        <v>44.41</v>
      </c>
    </row>
    <row r="1594" spans="1:12" ht="16" customHeight="1">
      <c r="A1594" t="s">
        <v>373</v>
      </c>
      <c r="B1594" t="s">
        <v>5</v>
      </c>
      <c r="C1594" t="s">
        <v>30</v>
      </c>
      <c r="D1594" s="24">
        <v>46023</v>
      </c>
      <c r="E1594" t="s">
        <v>269</v>
      </c>
      <c r="F1594" t="s">
        <v>4</v>
      </c>
      <c r="G1594" t="s">
        <v>217</v>
      </c>
      <c r="H1594" t="s">
        <v>217</v>
      </c>
      <c r="I1594" t="s">
        <v>268</v>
      </c>
      <c r="J1594" s="25">
        <v>591</v>
      </c>
      <c r="K1594" s="26">
        <v>104.54</v>
      </c>
      <c r="L1594" s="26">
        <v>1.32</v>
      </c>
    </row>
    <row r="1595" spans="1:12" ht="16" customHeight="1">
      <c r="A1595" t="s">
        <v>373</v>
      </c>
      <c r="B1595" t="s">
        <v>5</v>
      </c>
      <c r="C1595" t="s">
        <v>30</v>
      </c>
      <c r="D1595" s="24">
        <v>46023</v>
      </c>
      <c r="E1595" t="s">
        <v>228</v>
      </c>
      <c r="F1595" t="s">
        <v>4</v>
      </c>
      <c r="G1595" t="s">
        <v>217</v>
      </c>
      <c r="H1595" t="s">
        <v>217</v>
      </c>
      <c r="I1595" t="s">
        <v>270</v>
      </c>
      <c r="J1595" s="25">
        <v>3954</v>
      </c>
      <c r="K1595" s="26">
        <v>705.09</v>
      </c>
      <c r="L1595" s="26">
        <v>20.64</v>
      </c>
    </row>
    <row r="1596" spans="1:12" ht="16" customHeight="1">
      <c r="A1596" t="s">
        <v>373</v>
      </c>
      <c r="B1596" t="s">
        <v>5</v>
      </c>
      <c r="C1596" t="s">
        <v>30</v>
      </c>
      <c r="D1596" s="24">
        <v>46023</v>
      </c>
      <c r="E1596" t="s">
        <v>230</v>
      </c>
      <c r="F1596" t="s">
        <v>4</v>
      </c>
      <c r="G1596" t="s">
        <v>217</v>
      </c>
      <c r="H1596" t="s">
        <v>217</v>
      </c>
      <c r="I1596" t="s">
        <v>363</v>
      </c>
      <c r="J1596" s="25">
        <v>0</v>
      </c>
      <c r="K1596" s="26">
        <v>0</v>
      </c>
      <c r="L1596" s="26">
        <v>0</v>
      </c>
    </row>
    <row r="1597" spans="1:12" ht="16" customHeight="1">
      <c r="A1597" t="s">
        <v>373</v>
      </c>
      <c r="B1597" t="s">
        <v>5</v>
      </c>
      <c r="C1597" t="s">
        <v>30</v>
      </c>
      <c r="D1597" s="24">
        <v>46023</v>
      </c>
      <c r="E1597" t="s">
        <v>232</v>
      </c>
      <c r="F1597" t="s">
        <v>4</v>
      </c>
      <c r="G1597" t="s">
        <v>217</v>
      </c>
      <c r="H1597" t="s">
        <v>217</v>
      </c>
      <c r="I1597" t="s">
        <v>364</v>
      </c>
      <c r="J1597" s="25">
        <v>49</v>
      </c>
      <c r="K1597" s="26">
        <v>8.23</v>
      </c>
      <c r="L1597" s="26">
        <v>0.24</v>
      </c>
    </row>
    <row r="1598" spans="1:12" ht="16" customHeight="1">
      <c r="A1598" t="s">
        <v>373</v>
      </c>
      <c r="B1598" t="s">
        <v>5</v>
      </c>
      <c r="C1598" t="s">
        <v>30</v>
      </c>
      <c r="D1598" s="24">
        <v>46023</v>
      </c>
      <c r="E1598" t="s">
        <v>234</v>
      </c>
      <c r="F1598" t="s">
        <v>4</v>
      </c>
      <c r="G1598" t="s">
        <v>217</v>
      </c>
      <c r="H1598" t="s">
        <v>217</v>
      </c>
      <c r="I1598" t="s">
        <v>365</v>
      </c>
      <c r="J1598" s="25">
        <v>0</v>
      </c>
      <c r="K1598" s="26">
        <v>0</v>
      </c>
      <c r="L1598" s="26">
        <v>0</v>
      </c>
    </row>
    <row r="1599" spans="1:12" ht="16" customHeight="1">
      <c r="A1599" t="s">
        <v>373</v>
      </c>
      <c r="B1599" t="s">
        <v>5</v>
      </c>
      <c r="C1599" t="s">
        <v>30</v>
      </c>
      <c r="D1599" s="24">
        <v>46023</v>
      </c>
      <c r="E1599" t="s">
        <v>236</v>
      </c>
      <c r="F1599" t="s">
        <v>4</v>
      </c>
      <c r="G1599" t="s">
        <v>217</v>
      </c>
      <c r="H1599" t="s">
        <v>217</v>
      </c>
      <c r="I1599" t="s">
        <v>366</v>
      </c>
      <c r="J1599" s="25">
        <v>62</v>
      </c>
      <c r="K1599" s="26">
        <v>9.02</v>
      </c>
      <c r="L1599" s="26">
        <v>0.1</v>
      </c>
    </row>
    <row r="1600" spans="1:12" ht="16" customHeight="1">
      <c r="A1600" t="s">
        <v>373</v>
      </c>
      <c r="B1600" t="s">
        <v>5</v>
      </c>
      <c r="C1600" t="s">
        <v>30</v>
      </c>
      <c r="D1600" s="24">
        <v>46023</v>
      </c>
      <c r="E1600" t="s">
        <v>238</v>
      </c>
      <c r="F1600" t="s">
        <v>4</v>
      </c>
      <c r="G1600" t="s">
        <v>217</v>
      </c>
      <c r="H1600" t="s">
        <v>217</v>
      </c>
      <c r="I1600" t="s">
        <v>367</v>
      </c>
      <c r="J1600" s="25">
        <v>0</v>
      </c>
      <c r="K1600" s="26">
        <v>0</v>
      </c>
      <c r="L1600" s="26">
        <v>0</v>
      </c>
    </row>
    <row r="1601" spans="1:12" ht="16" customHeight="1">
      <c r="A1601" t="s">
        <v>373</v>
      </c>
      <c r="B1601" t="s">
        <v>5</v>
      </c>
      <c r="C1601" t="s">
        <v>30</v>
      </c>
      <c r="D1601" s="24">
        <v>46023</v>
      </c>
      <c r="E1601" t="s">
        <v>240</v>
      </c>
      <c r="F1601" t="s">
        <v>3</v>
      </c>
      <c r="G1601" t="s">
        <v>241</v>
      </c>
      <c r="H1601" t="s">
        <v>241</v>
      </c>
      <c r="I1601" t="s">
        <v>368</v>
      </c>
      <c r="J1601" s="25">
        <v>0</v>
      </c>
      <c r="K1601" s="26">
        <v>0</v>
      </c>
      <c r="L1601" s="26">
        <v>0</v>
      </c>
    </row>
    <row r="1602" spans="1:12" ht="16" customHeight="1">
      <c r="A1602" t="s">
        <v>373</v>
      </c>
      <c r="B1602" t="s">
        <v>5</v>
      </c>
      <c r="C1602" t="s">
        <v>30</v>
      </c>
      <c r="D1602" s="24">
        <v>46023</v>
      </c>
      <c r="E1602" t="s">
        <v>243</v>
      </c>
      <c r="F1602" t="s">
        <v>4</v>
      </c>
      <c r="G1602" t="s">
        <v>217</v>
      </c>
      <c r="H1602" t="s">
        <v>217</v>
      </c>
      <c r="I1602" t="s">
        <v>369</v>
      </c>
      <c r="J1602" s="25">
        <v>0</v>
      </c>
      <c r="K1602" s="26">
        <v>0</v>
      </c>
      <c r="L1602" s="26">
        <v>0</v>
      </c>
    </row>
    <row r="1603" spans="1:12" ht="16" customHeight="1">
      <c r="A1603" t="s">
        <v>373</v>
      </c>
      <c r="B1603" t="s">
        <v>5</v>
      </c>
      <c r="C1603" t="s">
        <v>30</v>
      </c>
      <c r="D1603" s="24">
        <v>46023</v>
      </c>
      <c r="E1603" t="s">
        <v>360</v>
      </c>
      <c r="F1603" t="s">
        <v>4</v>
      </c>
      <c r="G1603" t="s">
        <v>217</v>
      </c>
      <c r="H1603" t="s">
        <v>217</v>
      </c>
      <c r="I1603" t="s">
        <v>370</v>
      </c>
      <c r="J1603" s="25">
        <v>0</v>
      </c>
      <c r="K1603" s="26">
        <v>0</v>
      </c>
      <c r="L1603" s="26">
        <v>0</v>
      </c>
    </row>
    <row r="1604" spans="1:12" ht="16" customHeight="1">
      <c r="A1604" t="s">
        <v>375</v>
      </c>
      <c r="B1604" t="s">
        <v>6</v>
      </c>
      <c r="C1604" t="s">
        <v>31</v>
      </c>
      <c r="D1604" s="24">
        <v>46023</v>
      </c>
      <c r="E1604" t="s">
        <v>344</v>
      </c>
      <c r="F1604" t="s">
        <v>4</v>
      </c>
      <c r="G1604" t="s">
        <v>211</v>
      </c>
      <c r="H1604" t="s">
        <v>211</v>
      </c>
      <c r="I1604" t="s">
        <v>212</v>
      </c>
      <c r="J1604" s="25">
        <v>74981240</v>
      </c>
      <c r="K1604" s="26">
        <v>12737329.48</v>
      </c>
      <c r="L1604" s="26">
        <v>25869.1</v>
      </c>
    </row>
    <row r="1605" spans="1:12" ht="16" customHeight="1">
      <c r="A1605" t="s">
        <v>375</v>
      </c>
      <c r="B1605" t="s">
        <v>6</v>
      </c>
      <c r="C1605" t="s">
        <v>31</v>
      </c>
      <c r="D1605" s="24">
        <v>46023</v>
      </c>
      <c r="E1605" t="s">
        <v>349</v>
      </c>
      <c r="F1605" t="s">
        <v>4</v>
      </c>
      <c r="G1605" t="s">
        <v>211</v>
      </c>
      <c r="H1605" t="s">
        <v>211</v>
      </c>
      <c r="I1605" t="s">
        <v>212</v>
      </c>
      <c r="J1605" s="25">
        <v>2239650</v>
      </c>
      <c r="K1605" s="26">
        <v>381003.75</v>
      </c>
      <c r="L1605" s="26">
        <v>1205.48</v>
      </c>
    </row>
    <row r="1606" spans="1:12" ht="16" customHeight="1">
      <c r="A1606" t="s">
        <v>375</v>
      </c>
      <c r="B1606" t="s">
        <v>6</v>
      </c>
      <c r="C1606" t="s">
        <v>31</v>
      </c>
      <c r="D1606" s="24">
        <v>46023</v>
      </c>
      <c r="E1606" t="s">
        <v>296</v>
      </c>
      <c r="F1606" t="s">
        <v>4</v>
      </c>
      <c r="G1606" t="s">
        <v>217</v>
      </c>
      <c r="H1606" t="s">
        <v>217</v>
      </c>
      <c r="I1606" t="s">
        <v>212</v>
      </c>
      <c r="J1606" s="25">
        <v>2423651</v>
      </c>
      <c r="K1606" s="26">
        <v>413455.28</v>
      </c>
      <c r="L1606" s="26">
        <v>2004.9</v>
      </c>
    </row>
    <row r="1607" spans="1:12" ht="16" customHeight="1">
      <c r="A1607" t="s">
        <v>375</v>
      </c>
      <c r="B1607" t="s">
        <v>6</v>
      </c>
      <c r="C1607" t="s">
        <v>31</v>
      </c>
      <c r="D1607" s="24">
        <v>46023</v>
      </c>
      <c r="E1607" t="s">
        <v>354</v>
      </c>
      <c r="F1607" t="s">
        <v>4</v>
      </c>
      <c r="G1607" t="s">
        <v>211</v>
      </c>
      <c r="H1607" t="s">
        <v>211</v>
      </c>
      <c r="I1607" t="s">
        <v>219</v>
      </c>
      <c r="J1607" s="25">
        <v>64629</v>
      </c>
      <c r="K1607" s="26">
        <v>11087.16</v>
      </c>
      <c r="L1607" s="26">
        <v>83.38</v>
      </c>
    </row>
    <row r="1608" spans="1:12" ht="16" customHeight="1">
      <c r="A1608" t="s">
        <v>375</v>
      </c>
      <c r="B1608" t="s">
        <v>6</v>
      </c>
      <c r="C1608" t="s">
        <v>31</v>
      </c>
      <c r="D1608" s="24">
        <v>46023</v>
      </c>
      <c r="E1608" t="s">
        <v>374</v>
      </c>
      <c r="F1608" t="s">
        <v>4</v>
      </c>
      <c r="G1608" t="s">
        <v>211</v>
      </c>
      <c r="H1608" t="s">
        <v>211</v>
      </c>
      <c r="I1608" t="s">
        <v>219</v>
      </c>
      <c r="J1608" s="25">
        <v>3701</v>
      </c>
      <c r="K1608" s="26">
        <v>634.75</v>
      </c>
      <c r="L1608" s="26">
        <v>5.36</v>
      </c>
    </row>
    <row r="1609" spans="1:12" ht="16" customHeight="1">
      <c r="A1609" t="s">
        <v>375</v>
      </c>
      <c r="B1609" t="s">
        <v>6</v>
      </c>
      <c r="C1609" t="s">
        <v>31</v>
      </c>
      <c r="D1609" s="24">
        <v>46023</v>
      </c>
      <c r="E1609" t="s">
        <v>326</v>
      </c>
      <c r="F1609" t="s">
        <v>4</v>
      </c>
      <c r="G1609" t="s">
        <v>217</v>
      </c>
      <c r="H1609" t="s">
        <v>217</v>
      </c>
      <c r="I1609" t="s">
        <v>219</v>
      </c>
      <c r="J1609" s="25">
        <v>311840</v>
      </c>
      <c r="K1609" s="26">
        <v>53582.66</v>
      </c>
      <c r="L1609" s="26">
        <v>447.45</v>
      </c>
    </row>
    <row r="1610" spans="1:12" ht="16" customHeight="1">
      <c r="A1610" t="s">
        <v>375</v>
      </c>
      <c r="B1610" t="s">
        <v>6</v>
      </c>
      <c r="C1610" t="s">
        <v>31</v>
      </c>
      <c r="D1610" s="24">
        <v>46023</v>
      </c>
      <c r="E1610" t="s">
        <v>357</v>
      </c>
      <c r="F1610" t="s">
        <v>3</v>
      </c>
      <c r="G1610" t="s">
        <v>358</v>
      </c>
      <c r="H1610" t="s">
        <v>358</v>
      </c>
      <c r="I1610" t="s">
        <v>221</v>
      </c>
      <c r="J1610" s="25">
        <v>159853</v>
      </c>
      <c r="K1610" s="26">
        <v>27153.75</v>
      </c>
      <c r="L1610" s="26">
        <v>331.8</v>
      </c>
    </row>
    <row r="1611" spans="1:12" ht="16" customHeight="1">
      <c r="A1611" t="s">
        <v>375</v>
      </c>
      <c r="B1611" t="s">
        <v>6</v>
      </c>
      <c r="C1611" t="s">
        <v>31</v>
      </c>
      <c r="D1611" s="24">
        <v>46023</v>
      </c>
      <c r="E1611" t="s">
        <v>226</v>
      </c>
      <c r="F1611" t="s">
        <v>4</v>
      </c>
      <c r="G1611" t="s">
        <v>217</v>
      </c>
      <c r="H1611" t="s">
        <v>217</v>
      </c>
      <c r="I1611" t="s">
        <v>267</v>
      </c>
      <c r="J1611" s="25">
        <v>25554</v>
      </c>
      <c r="K1611" s="26">
        <v>4406.3500000000004</v>
      </c>
      <c r="L1611" s="26">
        <v>80.2</v>
      </c>
    </row>
    <row r="1612" spans="1:12" ht="16" customHeight="1">
      <c r="A1612" t="s">
        <v>375</v>
      </c>
      <c r="B1612" t="s">
        <v>6</v>
      </c>
      <c r="C1612" t="s">
        <v>31</v>
      </c>
      <c r="D1612" s="24">
        <v>46023</v>
      </c>
      <c r="E1612" t="s">
        <v>269</v>
      </c>
      <c r="F1612" t="s">
        <v>4</v>
      </c>
      <c r="G1612" t="s">
        <v>217</v>
      </c>
      <c r="H1612" t="s">
        <v>217</v>
      </c>
      <c r="I1612" t="s">
        <v>268</v>
      </c>
      <c r="J1612" s="25">
        <v>1251</v>
      </c>
      <c r="K1612" s="26">
        <v>213.18</v>
      </c>
      <c r="L1612" s="26">
        <v>3.17</v>
      </c>
    </row>
    <row r="1613" spans="1:12" ht="16" customHeight="1">
      <c r="A1613" t="s">
        <v>375</v>
      </c>
      <c r="B1613" t="s">
        <v>6</v>
      </c>
      <c r="C1613" t="s">
        <v>31</v>
      </c>
      <c r="D1613" s="24">
        <v>46023</v>
      </c>
      <c r="E1613" t="s">
        <v>228</v>
      </c>
      <c r="F1613" t="s">
        <v>4</v>
      </c>
      <c r="G1613" t="s">
        <v>217</v>
      </c>
      <c r="H1613" t="s">
        <v>217</v>
      </c>
      <c r="I1613" t="s">
        <v>270</v>
      </c>
      <c r="J1613" s="25">
        <v>7376</v>
      </c>
      <c r="K1613" s="26">
        <v>1298.25</v>
      </c>
      <c r="L1613" s="26">
        <v>34.36</v>
      </c>
    </row>
    <row r="1614" spans="1:12" ht="16" customHeight="1">
      <c r="A1614" t="s">
        <v>375</v>
      </c>
      <c r="B1614" t="s">
        <v>6</v>
      </c>
      <c r="C1614" t="s">
        <v>31</v>
      </c>
      <c r="D1614" s="24">
        <v>46023</v>
      </c>
      <c r="E1614" t="s">
        <v>230</v>
      </c>
      <c r="F1614" t="s">
        <v>4</v>
      </c>
      <c r="G1614" t="s">
        <v>217</v>
      </c>
      <c r="H1614" t="s">
        <v>217</v>
      </c>
      <c r="I1614" t="s">
        <v>363</v>
      </c>
      <c r="J1614" s="25">
        <v>0</v>
      </c>
      <c r="K1614" s="26">
        <v>0</v>
      </c>
      <c r="L1614" s="26">
        <v>0</v>
      </c>
    </row>
    <row r="1615" spans="1:12" ht="16" customHeight="1">
      <c r="A1615" t="s">
        <v>375</v>
      </c>
      <c r="B1615" t="s">
        <v>6</v>
      </c>
      <c r="C1615" t="s">
        <v>31</v>
      </c>
      <c r="D1615" s="24">
        <v>46023</v>
      </c>
      <c r="E1615" t="s">
        <v>232</v>
      </c>
      <c r="F1615" t="s">
        <v>4</v>
      </c>
      <c r="G1615" t="s">
        <v>217</v>
      </c>
      <c r="H1615" t="s">
        <v>217</v>
      </c>
      <c r="I1615" t="s">
        <v>364</v>
      </c>
      <c r="J1615" s="25">
        <v>137</v>
      </c>
      <c r="K1615" s="26">
        <v>21.84</v>
      </c>
      <c r="L1615" s="26">
        <v>0.75</v>
      </c>
    </row>
    <row r="1616" spans="1:12" ht="16" customHeight="1">
      <c r="A1616" t="s">
        <v>375</v>
      </c>
      <c r="B1616" t="s">
        <v>6</v>
      </c>
      <c r="C1616" t="s">
        <v>31</v>
      </c>
      <c r="D1616" s="24">
        <v>46023</v>
      </c>
      <c r="E1616" t="s">
        <v>234</v>
      </c>
      <c r="F1616" t="s">
        <v>4</v>
      </c>
      <c r="G1616" t="s">
        <v>217</v>
      </c>
      <c r="H1616" t="s">
        <v>217</v>
      </c>
      <c r="I1616" t="s">
        <v>365</v>
      </c>
      <c r="J1616" s="25">
        <v>0</v>
      </c>
      <c r="K1616" s="26">
        <v>0</v>
      </c>
      <c r="L1616" s="26">
        <v>0</v>
      </c>
    </row>
    <row r="1617" spans="1:12" ht="16" customHeight="1">
      <c r="A1617" t="s">
        <v>375</v>
      </c>
      <c r="B1617" t="s">
        <v>6</v>
      </c>
      <c r="C1617" t="s">
        <v>31</v>
      </c>
      <c r="D1617" s="24">
        <v>46023</v>
      </c>
      <c r="E1617" t="s">
        <v>236</v>
      </c>
      <c r="F1617" t="s">
        <v>4</v>
      </c>
      <c r="G1617" t="s">
        <v>217</v>
      </c>
      <c r="H1617" t="s">
        <v>217</v>
      </c>
      <c r="I1617" t="s">
        <v>366</v>
      </c>
      <c r="J1617" s="25">
        <v>42</v>
      </c>
      <c r="K1617" s="26">
        <v>6.25</v>
      </c>
      <c r="L1617" s="26">
        <v>0.1</v>
      </c>
    </row>
    <row r="1618" spans="1:12" ht="16" customHeight="1">
      <c r="A1618" t="s">
        <v>375</v>
      </c>
      <c r="B1618" t="s">
        <v>6</v>
      </c>
      <c r="C1618" t="s">
        <v>31</v>
      </c>
      <c r="D1618" s="24">
        <v>46023</v>
      </c>
      <c r="E1618" t="s">
        <v>238</v>
      </c>
      <c r="F1618" t="s">
        <v>4</v>
      </c>
      <c r="G1618" t="s">
        <v>217</v>
      </c>
      <c r="H1618" t="s">
        <v>217</v>
      </c>
      <c r="I1618" t="s">
        <v>367</v>
      </c>
      <c r="J1618" s="25">
        <v>0</v>
      </c>
      <c r="K1618" s="26">
        <v>0</v>
      </c>
      <c r="L1618" s="26">
        <v>0</v>
      </c>
    </row>
    <row r="1619" spans="1:12" ht="16" customHeight="1">
      <c r="A1619" t="s">
        <v>375</v>
      </c>
      <c r="B1619" t="s">
        <v>6</v>
      </c>
      <c r="C1619" t="s">
        <v>31</v>
      </c>
      <c r="D1619" s="24">
        <v>46023</v>
      </c>
      <c r="E1619" t="s">
        <v>240</v>
      </c>
      <c r="F1619" t="s">
        <v>3</v>
      </c>
      <c r="G1619" t="s">
        <v>241</v>
      </c>
      <c r="H1619" t="s">
        <v>241</v>
      </c>
      <c r="I1619" t="s">
        <v>368</v>
      </c>
      <c r="J1619" s="25">
        <v>0</v>
      </c>
      <c r="K1619" s="26">
        <v>0</v>
      </c>
      <c r="L1619" s="26">
        <v>0</v>
      </c>
    </row>
    <row r="1620" spans="1:12" ht="16" customHeight="1">
      <c r="A1620" t="s">
        <v>375</v>
      </c>
      <c r="B1620" t="s">
        <v>6</v>
      </c>
      <c r="C1620" t="s">
        <v>31</v>
      </c>
      <c r="D1620" s="24">
        <v>46023</v>
      </c>
      <c r="E1620" t="s">
        <v>243</v>
      </c>
      <c r="F1620" t="s">
        <v>4</v>
      </c>
      <c r="G1620" t="s">
        <v>217</v>
      </c>
      <c r="H1620" t="s">
        <v>217</v>
      </c>
      <c r="I1620" t="s">
        <v>369</v>
      </c>
      <c r="J1620" s="25">
        <v>0</v>
      </c>
      <c r="K1620" s="26">
        <v>0</v>
      </c>
      <c r="L1620" s="26">
        <v>0</v>
      </c>
    </row>
    <row r="1621" spans="1:12" ht="16" customHeight="1">
      <c r="A1621" t="s">
        <v>375</v>
      </c>
      <c r="B1621" t="s">
        <v>6</v>
      </c>
      <c r="C1621" t="s">
        <v>31</v>
      </c>
      <c r="D1621" s="24">
        <v>46023</v>
      </c>
      <c r="E1621" t="s">
        <v>360</v>
      </c>
      <c r="F1621" t="s">
        <v>4</v>
      </c>
      <c r="G1621" t="s">
        <v>217</v>
      </c>
      <c r="H1621" t="s">
        <v>217</v>
      </c>
      <c r="I1621" t="s">
        <v>370</v>
      </c>
      <c r="J1621" s="25">
        <v>0</v>
      </c>
      <c r="K1621" s="26">
        <v>0</v>
      </c>
      <c r="L1621" s="26">
        <v>0</v>
      </c>
    </row>
    <row r="1622" spans="1:12" ht="16" customHeight="1">
      <c r="A1622" t="s">
        <v>376</v>
      </c>
      <c r="B1622" t="s">
        <v>7</v>
      </c>
      <c r="C1622" t="s">
        <v>31</v>
      </c>
      <c r="D1622" s="24">
        <v>46023</v>
      </c>
      <c r="E1622" t="s">
        <v>344</v>
      </c>
      <c r="F1622" t="s">
        <v>4</v>
      </c>
      <c r="G1622" t="s">
        <v>211</v>
      </c>
      <c r="H1622" t="s">
        <v>211</v>
      </c>
      <c r="I1622" t="s">
        <v>212</v>
      </c>
      <c r="J1622" s="25">
        <v>137247651</v>
      </c>
      <c r="K1622" s="26">
        <v>23107188.620000001</v>
      </c>
      <c r="L1622" s="26">
        <v>48821.68</v>
      </c>
    </row>
    <row r="1623" spans="1:12" ht="16" customHeight="1">
      <c r="A1623" t="s">
        <v>376</v>
      </c>
      <c r="B1623" t="s">
        <v>7</v>
      </c>
      <c r="C1623" t="s">
        <v>31</v>
      </c>
      <c r="D1623" s="24">
        <v>46023</v>
      </c>
      <c r="E1623" t="s">
        <v>349</v>
      </c>
      <c r="F1623" t="s">
        <v>4</v>
      </c>
      <c r="G1623" t="s">
        <v>211</v>
      </c>
      <c r="H1623" t="s">
        <v>211</v>
      </c>
      <c r="I1623" t="s">
        <v>212</v>
      </c>
      <c r="J1623" s="25">
        <v>3900359</v>
      </c>
      <c r="K1623" s="26">
        <v>660428.93000000005</v>
      </c>
      <c r="L1623" s="26">
        <v>2027.44</v>
      </c>
    </row>
    <row r="1624" spans="1:12" ht="16" customHeight="1">
      <c r="A1624" t="s">
        <v>376</v>
      </c>
      <c r="B1624" t="s">
        <v>7</v>
      </c>
      <c r="C1624" t="s">
        <v>31</v>
      </c>
      <c r="D1624" s="24">
        <v>46023</v>
      </c>
      <c r="E1624" t="s">
        <v>296</v>
      </c>
      <c r="F1624" t="s">
        <v>4</v>
      </c>
      <c r="G1624" t="s">
        <v>217</v>
      </c>
      <c r="H1624" t="s">
        <v>217</v>
      </c>
      <c r="I1624" t="s">
        <v>212</v>
      </c>
      <c r="J1624" s="25">
        <v>2891414</v>
      </c>
      <c r="K1624" s="26">
        <v>490286.91</v>
      </c>
      <c r="L1624" s="26">
        <v>2444.6999999999998</v>
      </c>
    </row>
    <row r="1625" spans="1:12" ht="16" customHeight="1">
      <c r="A1625" t="s">
        <v>376</v>
      </c>
      <c r="B1625" t="s">
        <v>7</v>
      </c>
      <c r="C1625" t="s">
        <v>31</v>
      </c>
      <c r="D1625" s="24">
        <v>46023</v>
      </c>
      <c r="E1625" t="s">
        <v>354</v>
      </c>
      <c r="F1625" t="s">
        <v>4</v>
      </c>
      <c r="G1625" t="s">
        <v>211</v>
      </c>
      <c r="H1625" t="s">
        <v>211</v>
      </c>
      <c r="I1625" t="s">
        <v>219</v>
      </c>
      <c r="J1625" s="25">
        <v>69758</v>
      </c>
      <c r="K1625" s="26">
        <v>11909.9</v>
      </c>
      <c r="L1625" s="26">
        <v>71.81</v>
      </c>
    </row>
    <row r="1626" spans="1:12" ht="16" customHeight="1">
      <c r="A1626" t="s">
        <v>376</v>
      </c>
      <c r="B1626" t="s">
        <v>7</v>
      </c>
      <c r="C1626" t="s">
        <v>31</v>
      </c>
      <c r="D1626" s="24">
        <v>46023</v>
      </c>
      <c r="E1626" t="s">
        <v>374</v>
      </c>
      <c r="F1626" t="s">
        <v>4</v>
      </c>
      <c r="G1626" t="s">
        <v>211</v>
      </c>
      <c r="H1626" t="s">
        <v>211</v>
      </c>
      <c r="I1626" t="s">
        <v>219</v>
      </c>
      <c r="J1626" s="25">
        <v>6982</v>
      </c>
      <c r="K1626" s="26">
        <v>1193.6199999999999</v>
      </c>
      <c r="L1626" s="26">
        <v>9.0299999999999994</v>
      </c>
    </row>
    <row r="1627" spans="1:12" ht="16" customHeight="1">
      <c r="A1627" t="s">
        <v>376</v>
      </c>
      <c r="B1627" t="s">
        <v>7</v>
      </c>
      <c r="C1627" t="s">
        <v>31</v>
      </c>
      <c r="D1627" s="24">
        <v>46023</v>
      </c>
      <c r="E1627" t="s">
        <v>326</v>
      </c>
      <c r="F1627" t="s">
        <v>4</v>
      </c>
      <c r="G1627" t="s">
        <v>217</v>
      </c>
      <c r="H1627" t="s">
        <v>217</v>
      </c>
      <c r="I1627" t="s">
        <v>219</v>
      </c>
      <c r="J1627" s="25">
        <v>387106</v>
      </c>
      <c r="K1627" s="26">
        <v>66317.88</v>
      </c>
      <c r="L1627" s="26">
        <v>502.47</v>
      </c>
    </row>
    <row r="1628" spans="1:12" ht="16" customHeight="1">
      <c r="A1628" t="s">
        <v>376</v>
      </c>
      <c r="B1628" t="s">
        <v>7</v>
      </c>
      <c r="C1628" t="s">
        <v>31</v>
      </c>
      <c r="D1628" s="24">
        <v>46023</v>
      </c>
      <c r="E1628" t="s">
        <v>357</v>
      </c>
      <c r="F1628" t="s">
        <v>3</v>
      </c>
      <c r="G1628" t="s">
        <v>358</v>
      </c>
      <c r="H1628" t="s">
        <v>358</v>
      </c>
      <c r="I1628" t="s">
        <v>221</v>
      </c>
      <c r="J1628" s="25">
        <v>178225</v>
      </c>
      <c r="K1628" s="26">
        <v>30447.02</v>
      </c>
      <c r="L1628" s="26">
        <v>352.21</v>
      </c>
    </row>
    <row r="1629" spans="1:12" ht="16" customHeight="1">
      <c r="A1629" t="s">
        <v>376</v>
      </c>
      <c r="B1629" t="s">
        <v>7</v>
      </c>
      <c r="C1629" t="s">
        <v>31</v>
      </c>
      <c r="D1629" s="24">
        <v>46023</v>
      </c>
      <c r="E1629" t="s">
        <v>226</v>
      </c>
      <c r="F1629" t="s">
        <v>4</v>
      </c>
      <c r="G1629" t="s">
        <v>217</v>
      </c>
      <c r="H1629" t="s">
        <v>217</v>
      </c>
      <c r="I1629" t="s">
        <v>267</v>
      </c>
      <c r="J1629" s="25">
        <v>30535</v>
      </c>
      <c r="K1629" s="26">
        <v>5330.83</v>
      </c>
      <c r="L1629" s="26">
        <v>87.62</v>
      </c>
    </row>
    <row r="1630" spans="1:12" ht="16" customHeight="1">
      <c r="A1630" t="s">
        <v>376</v>
      </c>
      <c r="B1630" t="s">
        <v>7</v>
      </c>
      <c r="C1630" t="s">
        <v>31</v>
      </c>
      <c r="D1630" s="24">
        <v>46023</v>
      </c>
      <c r="E1630" t="s">
        <v>269</v>
      </c>
      <c r="F1630" t="s">
        <v>4</v>
      </c>
      <c r="G1630" t="s">
        <v>217</v>
      </c>
      <c r="H1630" t="s">
        <v>217</v>
      </c>
      <c r="I1630" t="s">
        <v>268</v>
      </c>
      <c r="J1630" s="25">
        <v>1348</v>
      </c>
      <c r="K1630" s="26">
        <v>231.71</v>
      </c>
      <c r="L1630" s="26">
        <v>4.6500000000000004</v>
      </c>
    </row>
    <row r="1631" spans="1:12" ht="16" customHeight="1">
      <c r="A1631" t="s">
        <v>376</v>
      </c>
      <c r="B1631" t="s">
        <v>7</v>
      </c>
      <c r="C1631" t="s">
        <v>31</v>
      </c>
      <c r="D1631" s="24">
        <v>46023</v>
      </c>
      <c r="E1631" t="s">
        <v>228</v>
      </c>
      <c r="F1631" t="s">
        <v>4</v>
      </c>
      <c r="G1631" t="s">
        <v>217</v>
      </c>
      <c r="H1631" t="s">
        <v>217</v>
      </c>
      <c r="I1631" t="s">
        <v>270</v>
      </c>
      <c r="J1631" s="25">
        <v>12265</v>
      </c>
      <c r="K1631" s="26">
        <v>2239.98</v>
      </c>
      <c r="L1631" s="26">
        <v>67.13</v>
      </c>
    </row>
    <row r="1632" spans="1:12" ht="16" customHeight="1">
      <c r="A1632" t="s">
        <v>376</v>
      </c>
      <c r="B1632" t="s">
        <v>7</v>
      </c>
      <c r="C1632" t="s">
        <v>31</v>
      </c>
      <c r="D1632" s="24">
        <v>46023</v>
      </c>
      <c r="E1632" t="s">
        <v>230</v>
      </c>
      <c r="F1632" t="s">
        <v>4</v>
      </c>
      <c r="G1632" t="s">
        <v>217</v>
      </c>
      <c r="H1632" t="s">
        <v>217</v>
      </c>
      <c r="I1632" t="s">
        <v>363</v>
      </c>
      <c r="J1632" s="25">
        <v>0</v>
      </c>
      <c r="K1632" s="26">
        <v>0</v>
      </c>
      <c r="L1632" s="26">
        <v>0</v>
      </c>
    </row>
    <row r="1633" spans="1:12" ht="16" customHeight="1">
      <c r="A1633" t="s">
        <v>376</v>
      </c>
      <c r="B1633" t="s">
        <v>7</v>
      </c>
      <c r="C1633" t="s">
        <v>31</v>
      </c>
      <c r="D1633" s="24">
        <v>46023</v>
      </c>
      <c r="E1633" t="s">
        <v>232</v>
      </c>
      <c r="F1633" t="s">
        <v>4</v>
      </c>
      <c r="G1633" t="s">
        <v>217</v>
      </c>
      <c r="H1633" t="s">
        <v>217</v>
      </c>
      <c r="I1633" t="s">
        <v>364</v>
      </c>
      <c r="J1633" s="25">
        <v>70</v>
      </c>
      <c r="K1633" s="26">
        <v>12.28</v>
      </c>
      <c r="L1633" s="26">
        <v>0.62</v>
      </c>
    </row>
    <row r="1634" spans="1:12" ht="16" customHeight="1">
      <c r="A1634" t="s">
        <v>376</v>
      </c>
      <c r="B1634" t="s">
        <v>7</v>
      </c>
      <c r="C1634" t="s">
        <v>31</v>
      </c>
      <c r="D1634" s="24">
        <v>46023</v>
      </c>
      <c r="E1634" t="s">
        <v>234</v>
      </c>
      <c r="F1634" t="s">
        <v>4</v>
      </c>
      <c r="G1634" t="s">
        <v>217</v>
      </c>
      <c r="H1634" t="s">
        <v>217</v>
      </c>
      <c r="I1634" t="s">
        <v>365</v>
      </c>
      <c r="J1634" s="25">
        <v>0</v>
      </c>
      <c r="K1634" s="26">
        <v>0</v>
      </c>
      <c r="L1634" s="26">
        <v>0</v>
      </c>
    </row>
    <row r="1635" spans="1:12" ht="16" customHeight="1">
      <c r="A1635" t="s">
        <v>376</v>
      </c>
      <c r="B1635" t="s">
        <v>7</v>
      </c>
      <c r="C1635" t="s">
        <v>31</v>
      </c>
      <c r="D1635" s="24">
        <v>46023</v>
      </c>
      <c r="E1635" t="s">
        <v>236</v>
      </c>
      <c r="F1635" t="s">
        <v>4</v>
      </c>
      <c r="G1635" t="s">
        <v>217</v>
      </c>
      <c r="H1635" t="s">
        <v>217</v>
      </c>
      <c r="I1635" t="s">
        <v>366</v>
      </c>
      <c r="J1635" s="25">
        <v>24</v>
      </c>
      <c r="K1635" s="26">
        <v>3.92</v>
      </c>
      <c r="L1635" s="26">
        <v>0.13</v>
      </c>
    </row>
    <row r="1636" spans="1:12" ht="16" customHeight="1">
      <c r="A1636" t="s">
        <v>376</v>
      </c>
      <c r="B1636" t="s">
        <v>7</v>
      </c>
      <c r="C1636" t="s">
        <v>31</v>
      </c>
      <c r="D1636" s="24">
        <v>46023</v>
      </c>
      <c r="E1636" t="s">
        <v>238</v>
      </c>
      <c r="F1636" t="s">
        <v>4</v>
      </c>
      <c r="G1636" t="s">
        <v>217</v>
      </c>
      <c r="H1636" t="s">
        <v>217</v>
      </c>
      <c r="I1636" t="s">
        <v>367</v>
      </c>
      <c r="J1636" s="25">
        <v>0</v>
      </c>
      <c r="K1636" s="26">
        <v>0</v>
      </c>
      <c r="L1636" s="26">
        <v>0</v>
      </c>
    </row>
    <row r="1637" spans="1:12" ht="16" customHeight="1">
      <c r="A1637" t="s">
        <v>376</v>
      </c>
      <c r="B1637" t="s">
        <v>7</v>
      </c>
      <c r="C1637" t="s">
        <v>31</v>
      </c>
      <c r="D1637" s="24">
        <v>46023</v>
      </c>
      <c r="E1637" t="s">
        <v>240</v>
      </c>
      <c r="F1637" t="s">
        <v>3</v>
      </c>
      <c r="G1637" t="s">
        <v>241</v>
      </c>
      <c r="H1637" t="s">
        <v>241</v>
      </c>
      <c r="I1637" t="s">
        <v>368</v>
      </c>
      <c r="J1637" s="25">
        <v>3</v>
      </c>
      <c r="K1637" s="26">
        <v>0.53</v>
      </c>
      <c r="L1637" s="26">
        <v>0.02</v>
      </c>
    </row>
    <row r="1638" spans="1:12" ht="16" customHeight="1">
      <c r="A1638" t="s">
        <v>376</v>
      </c>
      <c r="B1638" t="s">
        <v>7</v>
      </c>
      <c r="C1638" t="s">
        <v>31</v>
      </c>
      <c r="D1638" s="24">
        <v>46023</v>
      </c>
      <c r="E1638" t="s">
        <v>243</v>
      </c>
      <c r="F1638" t="s">
        <v>4</v>
      </c>
      <c r="G1638" t="s">
        <v>217</v>
      </c>
      <c r="H1638" t="s">
        <v>217</v>
      </c>
      <c r="I1638" t="s">
        <v>369</v>
      </c>
      <c r="J1638" s="25">
        <v>0</v>
      </c>
      <c r="K1638" s="26">
        <v>0</v>
      </c>
      <c r="L1638" s="26">
        <v>0</v>
      </c>
    </row>
    <row r="1639" spans="1:12" ht="16" customHeight="1">
      <c r="A1639" t="s">
        <v>376</v>
      </c>
      <c r="B1639" t="s">
        <v>7</v>
      </c>
      <c r="C1639" t="s">
        <v>31</v>
      </c>
      <c r="D1639" s="24">
        <v>46023</v>
      </c>
      <c r="E1639" t="s">
        <v>360</v>
      </c>
      <c r="F1639" t="s">
        <v>4</v>
      </c>
      <c r="G1639" t="s">
        <v>217</v>
      </c>
      <c r="H1639" t="s">
        <v>217</v>
      </c>
      <c r="I1639" t="s">
        <v>370</v>
      </c>
      <c r="J1639" s="25">
        <v>0</v>
      </c>
      <c r="K1639" s="26">
        <v>0</v>
      </c>
      <c r="L1639" s="26">
        <v>0</v>
      </c>
    </row>
    <row r="1640" spans="1:12" ht="16" customHeight="1">
      <c r="A1640" t="s">
        <v>377</v>
      </c>
      <c r="B1640" t="s">
        <v>3</v>
      </c>
      <c r="C1640" t="s">
        <v>31</v>
      </c>
      <c r="D1640" s="24">
        <v>46023</v>
      </c>
      <c r="E1640" t="s">
        <v>344</v>
      </c>
      <c r="F1640" t="s">
        <v>4</v>
      </c>
      <c r="G1640" t="s">
        <v>211</v>
      </c>
      <c r="H1640" t="s">
        <v>211</v>
      </c>
      <c r="I1640" t="s">
        <v>212</v>
      </c>
      <c r="J1640" s="25">
        <v>219185433</v>
      </c>
      <c r="K1640" s="26">
        <v>36675374.600000001</v>
      </c>
      <c r="L1640" s="26">
        <v>63918.71</v>
      </c>
    </row>
    <row r="1641" spans="1:12" ht="16" customHeight="1">
      <c r="A1641" t="s">
        <v>377</v>
      </c>
      <c r="B1641" t="s">
        <v>3</v>
      </c>
      <c r="C1641" t="s">
        <v>31</v>
      </c>
      <c r="D1641" s="24">
        <v>46023</v>
      </c>
      <c r="E1641" t="s">
        <v>349</v>
      </c>
      <c r="F1641" t="s">
        <v>4</v>
      </c>
      <c r="G1641" t="s">
        <v>211</v>
      </c>
      <c r="H1641" t="s">
        <v>211</v>
      </c>
      <c r="I1641" t="s">
        <v>212</v>
      </c>
      <c r="J1641" s="25">
        <v>8147709</v>
      </c>
      <c r="K1641" s="26">
        <v>1373485.57</v>
      </c>
      <c r="L1641" s="26">
        <v>4511.6499999999996</v>
      </c>
    </row>
    <row r="1642" spans="1:12" ht="16" customHeight="1">
      <c r="A1642" t="s">
        <v>377</v>
      </c>
      <c r="B1642" t="s">
        <v>3</v>
      </c>
      <c r="C1642" t="s">
        <v>31</v>
      </c>
      <c r="D1642" s="24">
        <v>46023</v>
      </c>
      <c r="E1642" t="s">
        <v>296</v>
      </c>
      <c r="F1642" t="s">
        <v>4</v>
      </c>
      <c r="G1642" t="s">
        <v>217</v>
      </c>
      <c r="H1642" t="s">
        <v>217</v>
      </c>
      <c r="I1642" t="s">
        <v>212</v>
      </c>
      <c r="J1642" s="25">
        <v>3635420</v>
      </c>
      <c r="K1642" s="26">
        <v>612612.96</v>
      </c>
      <c r="L1642" s="26">
        <v>3133.88</v>
      </c>
    </row>
    <row r="1643" spans="1:12" ht="16" customHeight="1">
      <c r="A1643" t="s">
        <v>377</v>
      </c>
      <c r="B1643" t="s">
        <v>3</v>
      </c>
      <c r="C1643" t="s">
        <v>31</v>
      </c>
      <c r="D1643" s="24">
        <v>46023</v>
      </c>
      <c r="E1643" t="s">
        <v>354</v>
      </c>
      <c r="F1643" t="s">
        <v>4</v>
      </c>
      <c r="G1643" t="s">
        <v>211</v>
      </c>
      <c r="H1643" t="s">
        <v>211</v>
      </c>
      <c r="I1643" t="s">
        <v>219</v>
      </c>
      <c r="J1643" s="25">
        <v>114284</v>
      </c>
      <c r="K1643" s="26">
        <v>19428.810000000001</v>
      </c>
      <c r="L1643" s="26">
        <v>122.06</v>
      </c>
    </row>
    <row r="1644" spans="1:12" ht="16" customHeight="1">
      <c r="A1644" t="s">
        <v>377</v>
      </c>
      <c r="B1644" t="s">
        <v>3</v>
      </c>
      <c r="C1644" t="s">
        <v>31</v>
      </c>
      <c r="D1644" s="24">
        <v>46023</v>
      </c>
      <c r="E1644" t="s">
        <v>374</v>
      </c>
      <c r="F1644" t="s">
        <v>4</v>
      </c>
      <c r="G1644" t="s">
        <v>211</v>
      </c>
      <c r="H1644" t="s">
        <v>211</v>
      </c>
      <c r="I1644" t="s">
        <v>219</v>
      </c>
      <c r="J1644" s="25">
        <v>11878</v>
      </c>
      <c r="K1644" s="26">
        <v>2021.37</v>
      </c>
      <c r="L1644" s="26">
        <v>14.35</v>
      </c>
    </row>
    <row r="1645" spans="1:12" ht="16" customHeight="1">
      <c r="A1645" t="s">
        <v>377</v>
      </c>
      <c r="B1645" t="s">
        <v>3</v>
      </c>
      <c r="C1645" t="s">
        <v>31</v>
      </c>
      <c r="D1645" s="24">
        <v>46023</v>
      </c>
      <c r="E1645" t="s">
        <v>326</v>
      </c>
      <c r="F1645" t="s">
        <v>4</v>
      </c>
      <c r="G1645" t="s">
        <v>217</v>
      </c>
      <c r="H1645" t="s">
        <v>217</v>
      </c>
      <c r="I1645" t="s">
        <v>219</v>
      </c>
      <c r="J1645" s="25">
        <v>507688</v>
      </c>
      <c r="K1645" s="26">
        <v>86465.16</v>
      </c>
      <c r="L1645" s="26">
        <v>677.61</v>
      </c>
    </row>
    <row r="1646" spans="1:12" ht="16" customHeight="1">
      <c r="A1646" t="s">
        <v>377</v>
      </c>
      <c r="B1646" t="s">
        <v>3</v>
      </c>
      <c r="C1646" t="s">
        <v>31</v>
      </c>
      <c r="D1646" s="24">
        <v>46023</v>
      </c>
      <c r="E1646" t="s">
        <v>357</v>
      </c>
      <c r="F1646" t="s">
        <v>3</v>
      </c>
      <c r="G1646" t="s">
        <v>358</v>
      </c>
      <c r="H1646" t="s">
        <v>358</v>
      </c>
      <c r="I1646" t="s">
        <v>221</v>
      </c>
      <c r="J1646" s="25">
        <v>208048</v>
      </c>
      <c r="K1646" s="26">
        <v>35450.5</v>
      </c>
      <c r="L1646" s="26">
        <v>417.21</v>
      </c>
    </row>
    <row r="1647" spans="1:12" ht="16" customHeight="1">
      <c r="A1647" t="s">
        <v>377</v>
      </c>
      <c r="B1647" t="s">
        <v>3</v>
      </c>
      <c r="C1647" t="s">
        <v>31</v>
      </c>
      <c r="D1647" s="24">
        <v>46023</v>
      </c>
      <c r="E1647" t="s">
        <v>226</v>
      </c>
      <c r="F1647" t="s">
        <v>4</v>
      </c>
      <c r="G1647" t="s">
        <v>217</v>
      </c>
      <c r="H1647" t="s">
        <v>217</v>
      </c>
      <c r="I1647" t="s">
        <v>267</v>
      </c>
      <c r="J1647" s="25">
        <v>32938</v>
      </c>
      <c r="K1647" s="26">
        <v>5710.09</v>
      </c>
      <c r="L1647" s="26">
        <v>98.37</v>
      </c>
    </row>
    <row r="1648" spans="1:12" ht="16" customHeight="1">
      <c r="A1648" t="s">
        <v>377</v>
      </c>
      <c r="B1648" t="s">
        <v>3</v>
      </c>
      <c r="C1648" t="s">
        <v>31</v>
      </c>
      <c r="D1648" s="24">
        <v>46023</v>
      </c>
      <c r="E1648" t="s">
        <v>269</v>
      </c>
      <c r="F1648" t="s">
        <v>4</v>
      </c>
      <c r="G1648" t="s">
        <v>217</v>
      </c>
      <c r="H1648" t="s">
        <v>217</v>
      </c>
      <c r="I1648" t="s">
        <v>268</v>
      </c>
      <c r="J1648" s="25">
        <v>1329</v>
      </c>
      <c r="K1648" s="26">
        <v>233.14</v>
      </c>
      <c r="L1648" s="26">
        <v>4.68</v>
      </c>
    </row>
    <row r="1649" spans="1:12" ht="16" customHeight="1">
      <c r="A1649" t="s">
        <v>377</v>
      </c>
      <c r="B1649" t="s">
        <v>3</v>
      </c>
      <c r="C1649" t="s">
        <v>31</v>
      </c>
      <c r="D1649" s="24">
        <v>46023</v>
      </c>
      <c r="E1649" t="s">
        <v>228</v>
      </c>
      <c r="F1649" t="s">
        <v>4</v>
      </c>
      <c r="G1649" t="s">
        <v>217</v>
      </c>
      <c r="H1649" t="s">
        <v>217</v>
      </c>
      <c r="I1649" t="s">
        <v>270</v>
      </c>
      <c r="J1649" s="25">
        <v>11714</v>
      </c>
      <c r="K1649" s="26">
        <v>2097.25</v>
      </c>
      <c r="L1649" s="26">
        <v>62.29</v>
      </c>
    </row>
    <row r="1650" spans="1:12" ht="16" customHeight="1">
      <c r="A1650" t="s">
        <v>377</v>
      </c>
      <c r="B1650" t="s">
        <v>3</v>
      </c>
      <c r="C1650" t="s">
        <v>31</v>
      </c>
      <c r="D1650" s="24">
        <v>46023</v>
      </c>
      <c r="E1650" t="s">
        <v>230</v>
      </c>
      <c r="F1650" t="s">
        <v>4</v>
      </c>
      <c r="G1650" t="s">
        <v>217</v>
      </c>
      <c r="H1650" t="s">
        <v>217</v>
      </c>
      <c r="I1650" t="s">
        <v>363</v>
      </c>
      <c r="J1650" s="25">
        <v>0</v>
      </c>
      <c r="K1650" s="26">
        <v>0</v>
      </c>
      <c r="L1650" s="26">
        <v>0</v>
      </c>
    </row>
    <row r="1651" spans="1:12" ht="16" customHeight="1">
      <c r="A1651" t="s">
        <v>377</v>
      </c>
      <c r="B1651" t="s">
        <v>3</v>
      </c>
      <c r="C1651" t="s">
        <v>31</v>
      </c>
      <c r="D1651" s="24">
        <v>46023</v>
      </c>
      <c r="E1651" t="s">
        <v>232</v>
      </c>
      <c r="F1651" t="s">
        <v>4</v>
      </c>
      <c r="G1651" t="s">
        <v>217</v>
      </c>
      <c r="H1651" t="s">
        <v>217</v>
      </c>
      <c r="I1651" t="s">
        <v>364</v>
      </c>
      <c r="J1651" s="25">
        <v>88</v>
      </c>
      <c r="K1651" s="26">
        <v>15.96</v>
      </c>
      <c r="L1651" s="26">
        <v>1.31</v>
      </c>
    </row>
    <row r="1652" spans="1:12" ht="16" customHeight="1">
      <c r="A1652" t="s">
        <v>377</v>
      </c>
      <c r="B1652" t="s">
        <v>3</v>
      </c>
      <c r="C1652" t="s">
        <v>31</v>
      </c>
      <c r="D1652" s="24">
        <v>46023</v>
      </c>
      <c r="E1652" t="s">
        <v>234</v>
      </c>
      <c r="F1652" t="s">
        <v>4</v>
      </c>
      <c r="G1652" t="s">
        <v>217</v>
      </c>
      <c r="H1652" t="s">
        <v>217</v>
      </c>
      <c r="I1652" t="s">
        <v>365</v>
      </c>
      <c r="J1652" s="25">
        <v>0</v>
      </c>
      <c r="K1652" s="26">
        <v>0</v>
      </c>
      <c r="L1652" s="26">
        <v>0</v>
      </c>
    </row>
    <row r="1653" spans="1:12" ht="16" customHeight="1">
      <c r="A1653" t="s">
        <v>377</v>
      </c>
      <c r="B1653" t="s">
        <v>3</v>
      </c>
      <c r="C1653" t="s">
        <v>31</v>
      </c>
      <c r="D1653" s="24">
        <v>46023</v>
      </c>
      <c r="E1653" t="s">
        <v>236</v>
      </c>
      <c r="F1653" t="s">
        <v>4</v>
      </c>
      <c r="G1653" t="s">
        <v>217</v>
      </c>
      <c r="H1653" t="s">
        <v>217</v>
      </c>
      <c r="I1653" t="s">
        <v>366</v>
      </c>
      <c r="J1653" s="25">
        <v>108</v>
      </c>
      <c r="K1653" s="26">
        <v>16.28</v>
      </c>
      <c r="L1653" s="26">
        <v>0.33</v>
      </c>
    </row>
    <row r="1654" spans="1:12" ht="16" customHeight="1">
      <c r="A1654" t="s">
        <v>377</v>
      </c>
      <c r="B1654" t="s">
        <v>3</v>
      </c>
      <c r="C1654" t="s">
        <v>31</v>
      </c>
      <c r="D1654" s="24">
        <v>46023</v>
      </c>
      <c r="E1654" t="s">
        <v>238</v>
      </c>
      <c r="F1654" t="s">
        <v>4</v>
      </c>
      <c r="G1654" t="s">
        <v>217</v>
      </c>
      <c r="H1654" t="s">
        <v>217</v>
      </c>
      <c r="I1654" t="s">
        <v>367</v>
      </c>
      <c r="J1654" s="25">
        <v>0</v>
      </c>
      <c r="K1654" s="26">
        <v>0</v>
      </c>
      <c r="L1654" s="26">
        <v>0</v>
      </c>
    </row>
    <row r="1655" spans="1:12" ht="16" customHeight="1">
      <c r="A1655" t="s">
        <v>377</v>
      </c>
      <c r="B1655" t="s">
        <v>3</v>
      </c>
      <c r="C1655" t="s">
        <v>31</v>
      </c>
      <c r="D1655" s="24">
        <v>46023</v>
      </c>
      <c r="E1655" t="s">
        <v>240</v>
      </c>
      <c r="F1655" t="s">
        <v>3</v>
      </c>
      <c r="G1655" t="s">
        <v>241</v>
      </c>
      <c r="H1655" t="s">
        <v>241</v>
      </c>
      <c r="I1655" t="s">
        <v>368</v>
      </c>
      <c r="J1655" s="25">
        <v>20</v>
      </c>
      <c r="K1655" s="26">
        <v>3.51</v>
      </c>
      <c r="L1655" s="26">
        <v>0.13</v>
      </c>
    </row>
    <row r="1656" spans="1:12" ht="16" customHeight="1">
      <c r="A1656" t="s">
        <v>377</v>
      </c>
      <c r="B1656" t="s">
        <v>3</v>
      </c>
      <c r="C1656" t="s">
        <v>31</v>
      </c>
      <c r="D1656" s="24">
        <v>46023</v>
      </c>
      <c r="E1656" t="s">
        <v>243</v>
      </c>
      <c r="F1656" t="s">
        <v>4</v>
      </c>
      <c r="G1656" t="s">
        <v>217</v>
      </c>
      <c r="H1656" t="s">
        <v>217</v>
      </c>
      <c r="I1656" t="s">
        <v>369</v>
      </c>
      <c r="J1656" s="25">
        <v>0</v>
      </c>
      <c r="K1656" s="26">
        <v>0</v>
      </c>
      <c r="L1656" s="26">
        <v>0</v>
      </c>
    </row>
    <row r="1657" spans="1:12" ht="16" customHeight="1">
      <c r="A1657" t="s">
        <v>377</v>
      </c>
      <c r="B1657" t="s">
        <v>3</v>
      </c>
      <c r="C1657" t="s">
        <v>31</v>
      </c>
      <c r="D1657" s="24">
        <v>46023</v>
      </c>
      <c r="E1657" t="s">
        <v>360</v>
      </c>
      <c r="F1657" t="s">
        <v>4</v>
      </c>
      <c r="G1657" t="s">
        <v>217</v>
      </c>
      <c r="H1657" t="s">
        <v>217</v>
      </c>
      <c r="I1657" t="s">
        <v>370</v>
      </c>
      <c r="J1657" s="25">
        <v>0</v>
      </c>
      <c r="K1657" s="26">
        <v>0</v>
      </c>
      <c r="L1657" s="26">
        <v>0</v>
      </c>
    </row>
    <row r="1658" spans="1:12" ht="16" customHeight="1">
      <c r="A1658" t="s">
        <v>344</v>
      </c>
      <c r="B1658" t="s">
        <v>4</v>
      </c>
      <c r="C1658" t="s">
        <v>31</v>
      </c>
      <c r="D1658" s="24">
        <v>46023</v>
      </c>
      <c r="E1658" t="s">
        <v>344</v>
      </c>
      <c r="F1658" t="s">
        <v>4</v>
      </c>
      <c r="G1658" t="s">
        <v>211</v>
      </c>
      <c r="H1658" t="s">
        <v>211</v>
      </c>
      <c r="I1658" t="s">
        <v>212</v>
      </c>
      <c r="J1658" s="25">
        <v>455624308</v>
      </c>
      <c r="K1658" s="26">
        <v>76310941.829999998</v>
      </c>
      <c r="L1658" s="26">
        <v>71246.8</v>
      </c>
    </row>
    <row r="1659" spans="1:12" ht="16" customHeight="1">
      <c r="A1659" t="s">
        <v>344</v>
      </c>
      <c r="B1659" t="s">
        <v>4</v>
      </c>
      <c r="C1659" t="s">
        <v>31</v>
      </c>
      <c r="D1659" s="24">
        <v>46023</v>
      </c>
      <c r="E1659" t="s">
        <v>349</v>
      </c>
      <c r="F1659" t="s">
        <v>4</v>
      </c>
      <c r="G1659" t="s">
        <v>211</v>
      </c>
      <c r="H1659" t="s">
        <v>211</v>
      </c>
      <c r="I1659" t="s">
        <v>212</v>
      </c>
      <c r="J1659" s="25">
        <v>14626395</v>
      </c>
      <c r="K1659" s="26">
        <v>2465540.16</v>
      </c>
      <c r="L1659" s="26">
        <v>7725.53</v>
      </c>
    </row>
    <row r="1660" spans="1:12" ht="16" customHeight="1">
      <c r="A1660" t="s">
        <v>344</v>
      </c>
      <c r="B1660" t="s">
        <v>4</v>
      </c>
      <c r="C1660" t="s">
        <v>31</v>
      </c>
      <c r="D1660" s="24">
        <v>46023</v>
      </c>
      <c r="E1660" t="s">
        <v>296</v>
      </c>
      <c r="F1660" t="s">
        <v>4</v>
      </c>
      <c r="G1660" t="s">
        <v>217</v>
      </c>
      <c r="H1660" t="s">
        <v>217</v>
      </c>
      <c r="I1660" t="s">
        <v>212</v>
      </c>
      <c r="J1660" s="25">
        <v>2669250</v>
      </c>
      <c r="K1660" s="26">
        <v>450520.06</v>
      </c>
      <c r="L1660" s="26">
        <v>2263.94</v>
      </c>
    </row>
    <row r="1661" spans="1:12" ht="16" customHeight="1">
      <c r="A1661" t="s">
        <v>344</v>
      </c>
      <c r="B1661" t="s">
        <v>4</v>
      </c>
      <c r="C1661" t="s">
        <v>31</v>
      </c>
      <c r="D1661" s="24">
        <v>46023</v>
      </c>
      <c r="E1661" t="s">
        <v>354</v>
      </c>
      <c r="F1661" t="s">
        <v>4</v>
      </c>
      <c r="G1661" t="s">
        <v>211</v>
      </c>
      <c r="H1661" t="s">
        <v>211</v>
      </c>
      <c r="I1661" t="s">
        <v>219</v>
      </c>
      <c r="J1661" s="25">
        <v>84811</v>
      </c>
      <c r="K1661" s="26">
        <v>14402.74</v>
      </c>
      <c r="L1661" s="26">
        <v>96.46</v>
      </c>
    </row>
    <row r="1662" spans="1:12" ht="16" customHeight="1">
      <c r="A1662" t="s">
        <v>344</v>
      </c>
      <c r="B1662" t="s">
        <v>4</v>
      </c>
      <c r="C1662" t="s">
        <v>31</v>
      </c>
      <c r="D1662" s="24">
        <v>46023</v>
      </c>
      <c r="E1662" t="s">
        <v>374</v>
      </c>
      <c r="F1662" t="s">
        <v>4</v>
      </c>
      <c r="G1662" t="s">
        <v>211</v>
      </c>
      <c r="H1662" t="s">
        <v>211</v>
      </c>
      <c r="I1662" t="s">
        <v>219</v>
      </c>
      <c r="J1662" s="25">
        <v>10324</v>
      </c>
      <c r="K1662" s="26">
        <v>1761.76</v>
      </c>
      <c r="L1662" s="26">
        <v>10.66</v>
      </c>
    </row>
    <row r="1663" spans="1:12" ht="16" customHeight="1">
      <c r="A1663" t="s">
        <v>344</v>
      </c>
      <c r="B1663" t="s">
        <v>4</v>
      </c>
      <c r="C1663" t="s">
        <v>31</v>
      </c>
      <c r="D1663" s="24">
        <v>46023</v>
      </c>
      <c r="E1663" t="s">
        <v>326</v>
      </c>
      <c r="F1663" t="s">
        <v>4</v>
      </c>
      <c r="G1663" t="s">
        <v>217</v>
      </c>
      <c r="H1663" t="s">
        <v>217</v>
      </c>
      <c r="I1663" t="s">
        <v>219</v>
      </c>
      <c r="J1663" s="25">
        <v>275292</v>
      </c>
      <c r="K1663" s="26">
        <v>46903.66</v>
      </c>
      <c r="L1663" s="26">
        <v>367.95</v>
      </c>
    </row>
    <row r="1664" spans="1:12" ht="16" customHeight="1">
      <c r="A1664" t="s">
        <v>344</v>
      </c>
      <c r="B1664" t="s">
        <v>4</v>
      </c>
      <c r="C1664" t="s">
        <v>31</v>
      </c>
      <c r="D1664" s="24">
        <v>46023</v>
      </c>
      <c r="E1664" t="s">
        <v>357</v>
      </c>
      <c r="F1664" t="s">
        <v>3</v>
      </c>
      <c r="G1664" t="s">
        <v>358</v>
      </c>
      <c r="H1664" t="s">
        <v>358</v>
      </c>
      <c r="I1664" t="s">
        <v>221</v>
      </c>
      <c r="J1664" s="25">
        <v>103890</v>
      </c>
      <c r="K1664" s="26">
        <v>17739.63</v>
      </c>
      <c r="L1664" s="26">
        <v>220.93</v>
      </c>
    </row>
    <row r="1665" spans="1:12" ht="16" customHeight="1">
      <c r="A1665" t="s">
        <v>344</v>
      </c>
      <c r="B1665" t="s">
        <v>4</v>
      </c>
      <c r="C1665" t="s">
        <v>31</v>
      </c>
      <c r="D1665" s="24">
        <v>46023</v>
      </c>
      <c r="E1665" t="s">
        <v>226</v>
      </c>
      <c r="F1665" t="s">
        <v>4</v>
      </c>
      <c r="G1665" t="s">
        <v>217</v>
      </c>
      <c r="H1665" t="s">
        <v>217</v>
      </c>
      <c r="I1665" t="s">
        <v>267</v>
      </c>
      <c r="J1665" s="25">
        <v>15976</v>
      </c>
      <c r="K1665" s="26">
        <v>2749.44</v>
      </c>
      <c r="L1665" s="26">
        <v>49.12</v>
      </c>
    </row>
    <row r="1666" spans="1:12" ht="16" customHeight="1">
      <c r="A1666" t="s">
        <v>344</v>
      </c>
      <c r="B1666" t="s">
        <v>4</v>
      </c>
      <c r="C1666" t="s">
        <v>31</v>
      </c>
      <c r="D1666" s="24">
        <v>46023</v>
      </c>
      <c r="E1666" t="s">
        <v>269</v>
      </c>
      <c r="F1666" t="s">
        <v>4</v>
      </c>
      <c r="G1666" t="s">
        <v>217</v>
      </c>
      <c r="H1666" t="s">
        <v>217</v>
      </c>
      <c r="I1666" t="s">
        <v>268</v>
      </c>
      <c r="J1666" s="25">
        <v>713</v>
      </c>
      <c r="K1666" s="26">
        <v>123.35</v>
      </c>
      <c r="L1666" s="26">
        <v>2.5499999999999998</v>
      </c>
    </row>
    <row r="1667" spans="1:12" ht="16" customHeight="1">
      <c r="A1667" t="s">
        <v>344</v>
      </c>
      <c r="B1667" t="s">
        <v>4</v>
      </c>
      <c r="C1667" t="s">
        <v>31</v>
      </c>
      <c r="D1667" s="24">
        <v>46023</v>
      </c>
      <c r="E1667" t="s">
        <v>228</v>
      </c>
      <c r="F1667" t="s">
        <v>4</v>
      </c>
      <c r="G1667" t="s">
        <v>217</v>
      </c>
      <c r="H1667" t="s">
        <v>217</v>
      </c>
      <c r="I1667" t="s">
        <v>270</v>
      </c>
      <c r="J1667" s="25">
        <v>6930</v>
      </c>
      <c r="K1667" s="26">
        <v>1237.1600000000001</v>
      </c>
      <c r="L1667" s="26">
        <v>38.96</v>
      </c>
    </row>
    <row r="1668" spans="1:12" ht="16" customHeight="1">
      <c r="A1668" t="s">
        <v>344</v>
      </c>
      <c r="B1668" t="s">
        <v>4</v>
      </c>
      <c r="C1668" t="s">
        <v>31</v>
      </c>
      <c r="D1668" s="24">
        <v>46023</v>
      </c>
      <c r="E1668" t="s">
        <v>230</v>
      </c>
      <c r="F1668" t="s">
        <v>4</v>
      </c>
      <c r="G1668" t="s">
        <v>217</v>
      </c>
      <c r="H1668" t="s">
        <v>217</v>
      </c>
      <c r="I1668" t="s">
        <v>363</v>
      </c>
      <c r="J1668" s="25">
        <v>0</v>
      </c>
      <c r="K1668" s="26">
        <v>0</v>
      </c>
      <c r="L1668" s="26">
        <v>0</v>
      </c>
    </row>
    <row r="1669" spans="1:12" ht="16" customHeight="1">
      <c r="A1669" t="s">
        <v>344</v>
      </c>
      <c r="B1669" t="s">
        <v>4</v>
      </c>
      <c r="C1669" t="s">
        <v>31</v>
      </c>
      <c r="D1669" s="24">
        <v>46023</v>
      </c>
      <c r="E1669" t="s">
        <v>232</v>
      </c>
      <c r="F1669" t="s">
        <v>4</v>
      </c>
      <c r="G1669" t="s">
        <v>217</v>
      </c>
      <c r="H1669" t="s">
        <v>217</v>
      </c>
      <c r="I1669" t="s">
        <v>364</v>
      </c>
      <c r="J1669" s="25">
        <v>83</v>
      </c>
      <c r="K1669" s="26">
        <v>13.28</v>
      </c>
      <c r="L1669" s="26">
        <v>0.33</v>
      </c>
    </row>
    <row r="1670" spans="1:12" ht="16" customHeight="1">
      <c r="A1670" t="s">
        <v>344</v>
      </c>
      <c r="B1670" t="s">
        <v>4</v>
      </c>
      <c r="C1670" t="s">
        <v>31</v>
      </c>
      <c r="D1670" s="24">
        <v>46023</v>
      </c>
      <c r="E1670" t="s">
        <v>234</v>
      </c>
      <c r="F1670" t="s">
        <v>4</v>
      </c>
      <c r="G1670" t="s">
        <v>217</v>
      </c>
      <c r="H1670" t="s">
        <v>217</v>
      </c>
      <c r="I1670" t="s">
        <v>365</v>
      </c>
      <c r="J1670" s="25">
        <v>0</v>
      </c>
      <c r="K1670" s="26">
        <v>0</v>
      </c>
      <c r="L1670" s="26">
        <v>0</v>
      </c>
    </row>
    <row r="1671" spans="1:12" ht="16" customHeight="1">
      <c r="A1671" t="s">
        <v>344</v>
      </c>
      <c r="B1671" t="s">
        <v>4</v>
      </c>
      <c r="C1671" t="s">
        <v>31</v>
      </c>
      <c r="D1671" s="24">
        <v>46023</v>
      </c>
      <c r="E1671" t="s">
        <v>236</v>
      </c>
      <c r="F1671" t="s">
        <v>4</v>
      </c>
      <c r="G1671" t="s">
        <v>217</v>
      </c>
      <c r="H1671" t="s">
        <v>217</v>
      </c>
      <c r="I1671" t="s">
        <v>366</v>
      </c>
      <c r="J1671" s="25">
        <v>122</v>
      </c>
      <c r="K1671" s="26">
        <v>18.32</v>
      </c>
      <c r="L1671" s="26">
        <v>0.35</v>
      </c>
    </row>
    <row r="1672" spans="1:12" ht="16" customHeight="1">
      <c r="A1672" t="s">
        <v>344</v>
      </c>
      <c r="B1672" t="s">
        <v>4</v>
      </c>
      <c r="C1672" t="s">
        <v>31</v>
      </c>
      <c r="D1672" s="24">
        <v>46023</v>
      </c>
      <c r="E1672" t="s">
        <v>238</v>
      </c>
      <c r="F1672" t="s">
        <v>4</v>
      </c>
      <c r="G1672" t="s">
        <v>217</v>
      </c>
      <c r="H1672" t="s">
        <v>217</v>
      </c>
      <c r="I1672" t="s">
        <v>367</v>
      </c>
      <c r="J1672" s="25">
        <v>0</v>
      </c>
      <c r="K1672" s="26">
        <v>0</v>
      </c>
      <c r="L1672" s="26">
        <v>0</v>
      </c>
    </row>
    <row r="1673" spans="1:12" ht="16" customHeight="1">
      <c r="A1673" t="s">
        <v>344</v>
      </c>
      <c r="B1673" t="s">
        <v>4</v>
      </c>
      <c r="C1673" t="s">
        <v>31</v>
      </c>
      <c r="D1673" s="24">
        <v>46023</v>
      </c>
      <c r="E1673" t="s">
        <v>240</v>
      </c>
      <c r="F1673" t="s">
        <v>3</v>
      </c>
      <c r="G1673" t="s">
        <v>241</v>
      </c>
      <c r="H1673" t="s">
        <v>241</v>
      </c>
      <c r="I1673" t="s">
        <v>368</v>
      </c>
      <c r="J1673" s="25">
        <v>2</v>
      </c>
      <c r="K1673" s="26">
        <v>0.35</v>
      </c>
      <c r="L1673" s="26">
        <v>0.01</v>
      </c>
    </row>
    <row r="1674" spans="1:12" ht="16" customHeight="1">
      <c r="A1674" t="s">
        <v>344</v>
      </c>
      <c r="B1674" t="s">
        <v>4</v>
      </c>
      <c r="C1674" t="s">
        <v>31</v>
      </c>
      <c r="D1674" s="24">
        <v>46023</v>
      </c>
      <c r="E1674" t="s">
        <v>243</v>
      </c>
      <c r="F1674" t="s">
        <v>4</v>
      </c>
      <c r="G1674" t="s">
        <v>217</v>
      </c>
      <c r="H1674" t="s">
        <v>217</v>
      </c>
      <c r="I1674" t="s">
        <v>369</v>
      </c>
      <c r="J1674" s="25">
        <v>0</v>
      </c>
      <c r="K1674" s="26">
        <v>0</v>
      </c>
      <c r="L1674" s="26">
        <v>0</v>
      </c>
    </row>
    <row r="1675" spans="1:12" ht="16" customHeight="1">
      <c r="A1675" t="s">
        <v>344</v>
      </c>
      <c r="B1675" t="s">
        <v>4</v>
      </c>
      <c r="C1675" t="s">
        <v>31</v>
      </c>
      <c r="D1675" s="24">
        <v>46023</v>
      </c>
      <c r="E1675" t="s">
        <v>360</v>
      </c>
      <c r="F1675" t="s">
        <v>4</v>
      </c>
      <c r="G1675" t="s">
        <v>217</v>
      </c>
      <c r="H1675" t="s">
        <v>217</v>
      </c>
      <c r="I1675" t="s">
        <v>370</v>
      </c>
      <c r="J1675" s="25">
        <v>0</v>
      </c>
      <c r="K1675" s="26">
        <v>0</v>
      </c>
      <c r="L1675" s="26">
        <v>0</v>
      </c>
    </row>
    <row r="1676" spans="1:12" ht="16" customHeight="1">
      <c r="A1676" t="s">
        <v>378</v>
      </c>
      <c r="B1676" t="s">
        <v>5</v>
      </c>
      <c r="C1676" t="s">
        <v>31</v>
      </c>
      <c r="D1676" s="24">
        <v>46023</v>
      </c>
      <c r="E1676" t="s">
        <v>349</v>
      </c>
      <c r="F1676" t="s">
        <v>4</v>
      </c>
      <c r="G1676" t="s">
        <v>211</v>
      </c>
      <c r="H1676" t="s">
        <v>211</v>
      </c>
      <c r="I1676" t="s">
        <v>212</v>
      </c>
      <c r="J1676" s="25">
        <v>63584049</v>
      </c>
      <c r="K1676" s="26">
        <v>10678136.33</v>
      </c>
      <c r="L1676" s="26">
        <v>31978.71</v>
      </c>
    </row>
    <row r="1677" spans="1:12" ht="16" customHeight="1">
      <c r="A1677" t="s">
        <v>378</v>
      </c>
      <c r="B1677" t="s">
        <v>5</v>
      </c>
      <c r="C1677" t="s">
        <v>31</v>
      </c>
      <c r="D1677" s="24">
        <v>46023</v>
      </c>
      <c r="E1677" t="s">
        <v>296</v>
      </c>
      <c r="F1677" t="s">
        <v>4</v>
      </c>
      <c r="G1677" t="s">
        <v>217</v>
      </c>
      <c r="H1677" t="s">
        <v>217</v>
      </c>
      <c r="I1677" t="s">
        <v>212</v>
      </c>
      <c r="J1677" s="25">
        <v>3256351</v>
      </c>
      <c r="K1677" s="26">
        <v>549230.66</v>
      </c>
      <c r="L1677" s="26">
        <v>2420.34</v>
      </c>
    </row>
    <row r="1678" spans="1:12" ht="16" customHeight="1">
      <c r="A1678" t="s">
        <v>378</v>
      </c>
      <c r="B1678" t="s">
        <v>5</v>
      </c>
      <c r="C1678" t="s">
        <v>31</v>
      </c>
      <c r="D1678" s="24">
        <v>46023</v>
      </c>
      <c r="E1678" t="s">
        <v>354</v>
      </c>
      <c r="F1678" t="s">
        <v>4</v>
      </c>
      <c r="G1678" t="s">
        <v>211</v>
      </c>
      <c r="H1678" t="s">
        <v>211</v>
      </c>
      <c r="I1678" t="s">
        <v>219</v>
      </c>
      <c r="J1678" s="25">
        <v>147036</v>
      </c>
      <c r="K1678" s="26">
        <v>24935.14</v>
      </c>
      <c r="L1678" s="26">
        <v>156.76</v>
      </c>
    </row>
    <row r="1679" spans="1:12" ht="16" customHeight="1">
      <c r="A1679" t="s">
        <v>378</v>
      </c>
      <c r="B1679" t="s">
        <v>5</v>
      </c>
      <c r="C1679" t="s">
        <v>31</v>
      </c>
      <c r="D1679" s="24">
        <v>46023</v>
      </c>
      <c r="E1679" t="s">
        <v>374</v>
      </c>
      <c r="F1679" t="s">
        <v>4</v>
      </c>
      <c r="G1679" t="s">
        <v>211</v>
      </c>
      <c r="H1679" t="s">
        <v>211</v>
      </c>
      <c r="I1679" t="s">
        <v>219</v>
      </c>
      <c r="J1679" s="25">
        <v>14543</v>
      </c>
      <c r="K1679" s="26">
        <v>2465.21</v>
      </c>
      <c r="L1679" s="26">
        <v>18.48</v>
      </c>
    </row>
    <row r="1680" spans="1:12" ht="16" customHeight="1">
      <c r="A1680" t="s">
        <v>378</v>
      </c>
      <c r="B1680" t="s">
        <v>5</v>
      </c>
      <c r="C1680" t="s">
        <v>31</v>
      </c>
      <c r="D1680" s="24">
        <v>46023</v>
      </c>
      <c r="E1680" t="s">
        <v>379</v>
      </c>
      <c r="F1680" t="s">
        <v>4</v>
      </c>
      <c r="G1680" t="s">
        <v>211</v>
      </c>
      <c r="H1680" t="s">
        <v>211</v>
      </c>
      <c r="I1680" t="s">
        <v>219</v>
      </c>
      <c r="J1680" s="25">
        <v>247</v>
      </c>
      <c r="K1680" s="26">
        <v>41.79</v>
      </c>
      <c r="L1680" s="26">
        <v>0.51</v>
      </c>
    </row>
    <row r="1681" spans="1:12" ht="16" customHeight="1">
      <c r="A1681" t="s">
        <v>378</v>
      </c>
      <c r="B1681" t="s">
        <v>5</v>
      </c>
      <c r="C1681" t="s">
        <v>31</v>
      </c>
      <c r="D1681" s="24">
        <v>46023</v>
      </c>
      <c r="E1681" t="s">
        <v>326</v>
      </c>
      <c r="F1681" t="s">
        <v>4</v>
      </c>
      <c r="G1681" t="s">
        <v>217</v>
      </c>
      <c r="H1681" t="s">
        <v>217</v>
      </c>
      <c r="I1681" t="s">
        <v>219</v>
      </c>
      <c r="J1681" s="25">
        <v>320113</v>
      </c>
      <c r="K1681" s="26">
        <v>54536.89</v>
      </c>
      <c r="L1681" s="26">
        <v>409.3</v>
      </c>
    </row>
    <row r="1682" spans="1:12" ht="16" customHeight="1">
      <c r="A1682" t="s">
        <v>378</v>
      </c>
      <c r="B1682" t="s">
        <v>5</v>
      </c>
      <c r="C1682" t="s">
        <v>31</v>
      </c>
      <c r="D1682" s="24">
        <v>46023</v>
      </c>
      <c r="E1682" t="s">
        <v>357</v>
      </c>
      <c r="F1682" t="s">
        <v>3</v>
      </c>
      <c r="G1682" t="s">
        <v>358</v>
      </c>
      <c r="H1682" t="s">
        <v>358</v>
      </c>
      <c r="I1682" t="s">
        <v>221</v>
      </c>
      <c r="J1682" s="25">
        <v>87801</v>
      </c>
      <c r="K1682" s="26">
        <v>14929.43</v>
      </c>
      <c r="L1682" s="26">
        <v>178.6</v>
      </c>
    </row>
    <row r="1683" spans="1:12" ht="16" customHeight="1">
      <c r="A1683" t="s">
        <v>378</v>
      </c>
      <c r="B1683" t="s">
        <v>5</v>
      </c>
      <c r="C1683" t="s">
        <v>31</v>
      </c>
      <c r="D1683" s="24">
        <v>46023</v>
      </c>
      <c r="E1683" t="s">
        <v>226</v>
      </c>
      <c r="F1683" t="s">
        <v>4</v>
      </c>
      <c r="G1683" t="s">
        <v>217</v>
      </c>
      <c r="H1683" t="s">
        <v>217</v>
      </c>
      <c r="I1683" t="s">
        <v>267</v>
      </c>
      <c r="J1683" s="25">
        <v>14742</v>
      </c>
      <c r="K1683" s="26">
        <v>2531.23</v>
      </c>
      <c r="L1683" s="26">
        <v>47.92</v>
      </c>
    </row>
    <row r="1684" spans="1:12" ht="16" customHeight="1">
      <c r="A1684" t="s">
        <v>378</v>
      </c>
      <c r="B1684" t="s">
        <v>5</v>
      </c>
      <c r="C1684" t="s">
        <v>31</v>
      </c>
      <c r="D1684" s="24">
        <v>46023</v>
      </c>
      <c r="E1684" t="s">
        <v>269</v>
      </c>
      <c r="F1684" t="s">
        <v>4</v>
      </c>
      <c r="G1684" t="s">
        <v>217</v>
      </c>
      <c r="H1684" t="s">
        <v>217</v>
      </c>
      <c r="I1684" t="s">
        <v>268</v>
      </c>
      <c r="J1684" s="25">
        <v>793</v>
      </c>
      <c r="K1684" s="26">
        <v>137.96</v>
      </c>
      <c r="L1684" s="26">
        <v>3.21</v>
      </c>
    </row>
    <row r="1685" spans="1:12" ht="16" customHeight="1">
      <c r="A1685" t="s">
        <v>378</v>
      </c>
      <c r="B1685" t="s">
        <v>5</v>
      </c>
      <c r="C1685" t="s">
        <v>31</v>
      </c>
      <c r="D1685" s="24">
        <v>46023</v>
      </c>
      <c r="E1685" t="s">
        <v>228</v>
      </c>
      <c r="F1685" t="s">
        <v>4</v>
      </c>
      <c r="G1685" t="s">
        <v>217</v>
      </c>
      <c r="H1685" t="s">
        <v>217</v>
      </c>
      <c r="I1685" t="s">
        <v>270</v>
      </c>
      <c r="J1685" s="25">
        <v>6629</v>
      </c>
      <c r="K1685" s="26">
        <v>1191.82</v>
      </c>
      <c r="L1685" s="26">
        <v>34.909999999999997</v>
      </c>
    </row>
    <row r="1686" spans="1:12" ht="16" customHeight="1">
      <c r="A1686" t="s">
        <v>378</v>
      </c>
      <c r="B1686" t="s">
        <v>5</v>
      </c>
      <c r="C1686" t="s">
        <v>31</v>
      </c>
      <c r="D1686" s="24">
        <v>46023</v>
      </c>
      <c r="E1686" t="s">
        <v>230</v>
      </c>
      <c r="F1686" t="s">
        <v>4</v>
      </c>
      <c r="G1686" t="s">
        <v>217</v>
      </c>
      <c r="H1686" t="s">
        <v>217</v>
      </c>
      <c r="I1686" t="s">
        <v>363</v>
      </c>
      <c r="J1686" s="25">
        <v>0</v>
      </c>
      <c r="K1686" s="26">
        <v>0</v>
      </c>
      <c r="L1686" s="26">
        <v>0</v>
      </c>
    </row>
    <row r="1687" spans="1:12" ht="16" customHeight="1">
      <c r="A1687" t="s">
        <v>378</v>
      </c>
      <c r="B1687" t="s">
        <v>5</v>
      </c>
      <c r="C1687" t="s">
        <v>31</v>
      </c>
      <c r="D1687" s="24">
        <v>46023</v>
      </c>
      <c r="E1687" t="s">
        <v>232</v>
      </c>
      <c r="F1687" t="s">
        <v>4</v>
      </c>
      <c r="G1687" t="s">
        <v>217</v>
      </c>
      <c r="H1687" t="s">
        <v>217</v>
      </c>
      <c r="I1687" t="s">
        <v>364</v>
      </c>
      <c r="J1687" s="25">
        <v>36</v>
      </c>
      <c r="K1687" s="26">
        <v>5.97</v>
      </c>
      <c r="L1687" s="26">
        <v>0.17</v>
      </c>
    </row>
    <row r="1688" spans="1:12" ht="16" customHeight="1">
      <c r="A1688" t="s">
        <v>378</v>
      </c>
      <c r="B1688" t="s">
        <v>5</v>
      </c>
      <c r="C1688" t="s">
        <v>31</v>
      </c>
      <c r="D1688" s="24">
        <v>46023</v>
      </c>
      <c r="E1688" t="s">
        <v>234</v>
      </c>
      <c r="F1688" t="s">
        <v>4</v>
      </c>
      <c r="G1688" t="s">
        <v>217</v>
      </c>
      <c r="H1688" t="s">
        <v>217</v>
      </c>
      <c r="I1688" t="s">
        <v>365</v>
      </c>
      <c r="J1688" s="25">
        <v>0</v>
      </c>
      <c r="K1688" s="26">
        <v>0</v>
      </c>
      <c r="L1688" s="26">
        <v>0</v>
      </c>
    </row>
    <row r="1689" spans="1:12" ht="16" customHeight="1">
      <c r="A1689" t="s">
        <v>378</v>
      </c>
      <c r="B1689" t="s">
        <v>5</v>
      </c>
      <c r="C1689" t="s">
        <v>31</v>
      </c>
      <c r="D1689" s="24">
        <v>46023</v>
      </c>
      <c r="E1689" t="s">
        <v>236</v>
      </c>
      <c r="F1689" t="s">
        <v>4</v>
      </c>
      <c r="G1689" t="s">
        <v>217</v>
      </c>
      <c r="H1689" t="s">
        <v>217</v>
      </c>
      <c r="I1689" t="s">
        <v>366</v>
      </c>
      <c r="J1689" s="25">
        <v>0</v>
      </c>
      <c r="K1689" s="26">
        <v>0</v>
      </c>
      <c r="L1689" s="26">
        <v>0</v>
      </c>
    </row>
    <row r="1690" spans="1:12" ht="16" customHeight="1">
      <c r="A1690" t="s">
        <v>378</v>
      </c>
      <c r="B1690" t="s">
        <v>5</v>
      </c>
      <c r="C1690" t="s">
        <v>31</v>
      </c>
      <c r="D1690" s="24">
        <v>46023</v>
      </c>
      <c r="E1690" t="s">
        <v>238</v>
      </c>
      <c r="F1690" t="s">
        <v>4</v>
      </c>
      <c r="G1690" t="s">
        <v>217</v>
      </c>
      <c r="H1690" t="s">
        <v>217</v>
      </c>
      <c r="I1690" t="s">
        <v>367</v>
      </c>
      <c r="J1690" s="25">
        <v>0</v>
      </c>
      <c r="K1690" s="26">
        <v>0</v>
      </c>
      <c r="L1690" s="26">
        <v>0</v>
      </c>
    </row>
    <row r="1691" spans="1:12" ht="16" customHeight="1">
      <c r="A1691" t="s">
        <v>378</v>
      </c>
      <c r="B1691" t="s">
        <v>5</v>
      </c>
      <c r="C1691" t="s">
        <v>31</v>
      </c>
      <c r="D1691" s="24">
        <v>46023</v>
      </c>
      <c r="E1691" t="s">
        <v>240</v>
      </c>
      <c r="F1691" t="s">
        <v>3</v>
      </c>
      <c r="G1691" t="s">
        <v>241</v>
      </c>
      <c r="H1691" t="s">
        <v>241</v>
      </c>
      <c r="I1691" t="s">
        <v>368</v>
      </c>
      <c r="J1691" s="25">
        <v>0</v>
      </c>
      <c r="K1691" s="26">
        <v>0</v>
      </c>
      <c r="L1691" s="26">
        <v>0</v>
      </c>
    </row>
    <row r="1692" spans="1:12" ht="16" customHeight="1">
      <c r="A1692" t="s">
        <v>378</v>
      </c>
      <c r="B1692" t="s">
        <v>5</v>
      </c>
      <c r="C1692" t="s">
        <v>31</v>
      </c>
      <c r="D1692" s="24">
        <v>46023</v>
      </c>
      <c r="E1692" t="s">
        <v>243</v>
      </c>
      <c r="F1692" t="s">
        <v>4</v>
      </c>
      <c r="G1692" t="s">
        <v>217</v>
      </c>
      <c r="H1692" t="s">
        <v>217</v>
      </c>
      <c r="I1692" t="s">
        <v>369</v>
      </c>
      <c r="J1692" s="25">
        <v>0</v>
      </c>
      <c r="K1692" s="26">
        <v>0</v>
      </c>
      <c r="L1692" s="26">
        <v>0</v>
      </c>
    </row>
    <row r="1693" spans="1:12" ht="16" customHeight="1">
      <c r="A1693" t="s">
        <v>378</v>
      </c>
      <c r="B1693" t="s">
        <v>5</v>
      </c>
      <c r="C1693" t="s">
        <v>31</v>
      </c>
      <c r="D1693" s="24">
        <v>46023</v>
      </c>
      <c r="E1693" t="s">
        <v>360</v>
      </c>
      <c r="F1693" t="s">
        <v>4</v>
      </c>
      <c r="G1693" t="s">
        <v>217</v>
      </c>
      <c r="H1693" t="s">
        <v>217</v>
      </c>
      <c r="I1693" t="s">
        <v>370</v>
      </c>
      <c r="J1693" s="25">
        <v>0</v>
      </c>
      <c r="K1693" s="26">
        <v>0</v>
      </c>
      <c r="L1693" s="26">
        <v>0</v>
      </c>
    </row>
    <row r="1694" spans="1:12" ht="16" customHeight="1">
      <c r="A1694" t="s">
        <v>380</v>
      </c>
      <c r="B1694" t="s">
        <v>7</v>
      </c>
      <c r="C1694" t="s">
        <v>32</v>
      </c>
      <c r="D1694" s="24">
        <v>46023</v>
      </c>
      <c r="E1694" t="s">
        <v>349</v>
      </c>
      <c r="F1694" t="s">
        <v>4</v>
      </c>
      <c r="G1694" t="s">
        <v>211</v>
      </c>
      <c r="H1694" t="s">
        <v>211</v>
      </c>
      <c r="I1694" t="s">
        <v>212</v>
      </c>
      <c r="J1694" s="25">
        <v>143997483</v>
      </c>
      <c r="K1694" s="26">
        <v>24177781.449999999</v>
      </c>
      <c r="L1694" s="26">
        <v>56382.45</v>
      </c>
    </row>
    <row r="1695" spans="1:12" ht="16" customHeight="1">
      <c r="A1695" t="s">
        <v>380</v>
      </c>
      <c r="B1695" t="s">
        <v>7</v>
      </c>
      <c r="C1695" t="s">
        <v>32</v>
      </c>
      <c r="D1695" s="24">
        <v>46023</v>
      </c>
      <c r="E1695" t="s">
        <v>296</v>
      </c>
      <c r="F1695" t="s">
        <v>4</v>
      </c>
      <c r="G1695" t="s">
        <v>217</v>
      </c>
      <c r="H1695" t="s">
        <v>217</v>
      </c>
      <c r="I1695" t="s">
        <v>212</v>
      </c>
      <c r="J1695" s="25">
        <v>6185453</v>
      </c>
      <c r="K1695" s="26">
        <v>1044698.27</v>
      </c>
      <c r="L1695" s="26">
        <v>3780.42</v>
      </c>
    </row>
    <row r="1696" spans="1:12" ht="16" customHeight="1">
      <c r="A1696" t="s">
        <v>380</v>
      </c>
      <c r="B1696" t="s">
        <v>7</v>
      </c>
      <c r="C1696" t="s">
        <v>32</v>
      </c>
      <c r="D1696" s="24">
        <v>46023</v>
      </c>
      <c r="E1696" t="s">
        <v>354</v>
      </c>
      <c r="F1696" t="s">
        <v>4</v>
      </c>
      <c r="G1696" t="s">
        <v>211</v>
      </c>
      <c r="H1696" t="s">
        <v>211</v>
      </c>
      <c r="I1696" t="s">
        <v>219</v>
      </c>
      <c r="J1696" s="25">
        <v>253810</v>
      </c>
      <c r="K1696" s="26">
        <v>42992.85</v>
      </c>
      <c r="L1696" s="26">
        <v>237.94</v>
      </c>
    </row>
    <row r="1697" spans="1:12" ht="16" customHeight="1">
      <c r="A1697" t="s">
        <v>380</v>
      </c>
      <c r="B1697" t="s">
        <v>7</v>
      </c>
      <c r="C1697" t="s">
        <v>32</v>
      </c>
      <c r="D1697" s="24">
        <v>46023</v>
      </c>
      <c r="E1697" t="s">
        <v>374</v>
      </c>
      <c r="F1697" t="s">
        <v>4</v>
      </c>
      <c r="G1697" t="s">
        <v>211</v>
      </c>
      <c r="H1697" t="s">
        <v>211</v>
      </c>
      <c r="I1697" t="s">
        <v>219</v>
      </c>
      <c r="J1697" s="25">
        <v>26226</v>
      </c>
      <c r="K1697" s="26">
        <v>4457.6499999999996</v>
      </c>
      <c r="L1697" s="26">
        <v>32.85</v>
      </c>
    </row>
    <row r="1698" spans="1:12" ht="16" customHeight="1">
      <c r="A1698" t="s">
        <v>380</v>
      </c>
      <c r="B1698" t="s">
        <v>7</v>
      </c>
      <c r="C1698" t="s">
        <v>32</v>
      </c>
      <c r="D1698" s="24">
        <v>46023</v>
      </c>
      <c r="E1698" t="s">
        <v>379</v>
      </c>
      <c r="F1698" t="s">
        <v>4</v>
      </c>
      <c r="G1698" t="s">
        <v>211</v>
      </c>
      <c r="H1698" t="s">
        <v>211</v>
      </c>
      <c r="I1698" t="s">
        <v>219</v>
      </c>
      <c r="J1698" s="25">
        <v>1123</v>
      </c>
      <c r="K1698" s="26">
        <v>191.43</v>
      </c>
      <c r="L1698" s="26">
        <v>1.23</v>
      </c>
    </row>
    <row r="1699" spans="1:12" ht="16" customHeight="1">
      <c r="A1699" t="s">
        <v>380</v>
      </c>
      <c r="B1699" t="s">
        <v>7</v>
      </c>
      <c r="C1699" t="s">
        <v>32</v>
      </c>
      <c r="D1699" s="24">
        <v>46023</v>
      </c>
      <c r="E1699" t="s">
        <v>326</v>
      </c>
      <c r="F1699" t="s">
        <v>4</v>
      </c>
      <c r="G1699" t="s">
        <v>217</v>
      </c>
      <c r="H1699" t="s">
        <v>217</v>
      </c>
      <c r="I1699" t="s">
        <v>219</v>
      </c>
      <c r="J1699" s="25">
        <v>372289</v>
      </c>
      <c r="K1699" s="26">
        <v>63415.73</v>
      </c>
      <c r="L1699" s="26">
        <v>480.87</v>
      </c>
    </row>
    <row r="1700" spans="1:12" ht="16" customHeight="1">
      <c r="A1700" t="s">
        <v>380</v>
      </c>
      <c r="B1700" t="s">
        <v>7</v>
      </c>
      <c r="C1700" t="s">
        <v>32</v>
      </c>
      <c r="D1700" s="24">
        <v>46023</v>
      </c>
      <c r="E1700" t="s">
        <v>357</v>
      </c>
      <c r="F1700" t="s">
        <v>3</v>
      </c>
      <c r="G1700" t="s">
        <v>358</v>
      </c>
      <c r="H1700" t="s">
        <v>358</v>
      </c>
      <c r="I1700" t="s">
        <v>221</v>
      </c>
      <c r="J1700" s="25">
        <v>87252</v>
      </c>
      <c r="K1700" s="26">
        <v>14841.52</v>
      </c>
      <c r="L1700" s="26">
        <v>170.82</v>
      </c>
    </row>
    <row r="1701" spans="1:12" ht="16" customHeight="1">
      <c r="A1701" t="s">
        <v>380</v>
      </c>
      <c r="B1701" t="s">
        <v>7</v>
      </c>
      <c r="C1701" t="s">
        <v>32</v>
      </c>
      <c r="D1701" s="24">
        <v>46023</v>
      </c>
      <c r="E1701" t="s">
        <v>226</v>
      </c>
      <c r="F1701" t="s">
        <v>4</v>
      </c>
      <c r="G1701" t="s">
        <v>217</v>
      </c>
      <c r="H1701" t="s">
        <v>217</v>
      </c>
      <c r="I1701" t="s">
        <v>267</v>
      </c>
      <c r="J1701" s="25">
        <v>16727</v>
      </c>
      <c r="K1701" s="26">
        <v>2788.02</v>
      </c>
      <c r="L1701" s="26">
        <v>39.08</v>
      </c>
    </row>
    <row r="1702" spans="1:12" ht="16" customHeight="1">
      <c r="A1702" t="s">
        <v>380</v>
      </c>
      <c r="B1702" t="s">
        <v>7</v>
      </c>
      <c r="C1702" t="s">
        <v>32</v>
      </c>
      <c r="D1702" s="24">
        <v>46023</v>
      </c>
      <c r="E1702" t="s">
        <v>269</v>
      </c>
      <c r="F1702" t="s">
        <v>4</v>
      </c>
      <c r="G1702" t="s">
        <v>217</v>
      </c>
      <c r="H1702" t="s">
        <v>217</v>
      </c>
      <c r="I1702" t="s">
        <v>268</v>
      </c>
      <c r="J1702" s="25">
        <v>873</v>
      </c>
      <c r="K1702" s="26">
        <v>149.62</v>
      </c>
      <c r="L1702" s="26">
        <v>2.83</v>
      </c>
    </row>
    <row r="1703" spans="1:12" ht="16" customHeight="1">
      <c r="A1703" t="s">
        <v>380</v>
      </c>
      <c r="B1703" t="s">
        <v>7</v>
      </c>
      <c r="C1703" t="s">
        <v>32</v>
      </c>
      <c r="D1703" s="24">
        <v>46023</v>
      </c>
      <c r="E1703" t="s">
        <v>228</v>
      </c>
      <c r="F1703" t="s">
        <v>4</v>
      </c>
      <c r="G1703" t="s">
        <v>217</v>
      </c>
      <c r="H1703" t="s">
        <v>217</v>
      </c>
      <c r="I1703" t="s">
        <v>270</v>
      </c>
      <c r="J1703" s="25">
        <v>6560</v>
      </c>
      <c r="K1703" s="26">
        <v>1184.6199999999999</v>
      </c>
      <c r="L1703" s="26">
        <v>36.590000000000003</v>
      </c>
    </row>
    <row r="1704" spans="1:12" ht="16" customHeight="1">
      <c r="A1704" t="s">
        <v>380</v>
      </c>
      <c r="B1704" t="s">
        <v>7</v>
      </c>
      <c r="C1704" t="s">
        <v>32</v>
      </c>
      <c r="D1704" s="24">
        <v>46023</v>
      </c>
      <c r="E1704" t="s">
        <v>230</v>
      </c>
      <c r="F1704" t="s">
        <v>4</v>
      </c>
      <c r="G1704" t="s">
        <v>217</v>
      </c>
      <c r="H1704" t="s">
        <v>217</v>
      </c>
      <c r="I1704" t="s">
        <v>363</v>
      </c>
      <c r="J1704" s="25">
        <v>0</v>
      </c>
      <c r="K1704" s="26">
        <v>0</v>
      </c>
      <c r="L1704" s="26">
        <v>0</v>
      </c>
    </row>
    <row r="1705" spans="1:12" ht="16" customHeight="1">
      <c r="A1705" t="s">
        <v>380</v>
      </c>
      <c r="B1705" t="s">
        <v>7</v>
      </c>
      <c r="C1705" t="s">
        <v>32</v>
      </c>
      <c r="D1705" s="24">
        <v>46023</v>
      </c>
      <c r="E1705" t="s">
        <v>232</v>
      </c>
      <c r="F1705" t="s">
        <v>4</v>
      </c>
      <c r="G1705" t="s">
        <v>217</v>
      </c>
      <c r="H1705" t="s">
        <v>217</v>
      </c>
      <c r="I1705" t="s">
        <v>364</v>
      </c>
      <c r="J1705" s="25">
        <v>102</v>
      </c>
      <c r="K1705" s="26">
        <v>18.079999999999998</v>
      </c>
      <c r="L1705" s="26">
        <v>0.7</v>
      </c>
    </row>
    <row r="1706" spans="1:12" ht="16" customHeight="1">
      <c r="A1706" t="s">
        <v>380</v>
      </c>
      <c r="B1706" t="s">
        <v>7</v>
      </c>
      <c r="C1706" t="s">
        <v>32</v>
      </c>
      <c r="D1706" s="24">
        <v>46023</v>
      </c>
      <c r="E1706" t="s">
        <v>234</v>
      </c>
      <c r="F1706" t="s">
        <v>4</v>
      </c>
      <c r="G1706" t="s">
        <v>217</v>
      </c>
      <c r="H1706" t="s">
        <v>217</v>
      </c>
      <c r="I1706" t="s">
        <v>365</v>
      </c>
      <c r="J1706" s="25">
        <v>0</v>
      </c>
      <c r="K1706" s="26">
        <v>0</v>
      </c>
      <c r="L1706" s="26">
        <v>0</v>
      </c>
    </row>
    <row r="1707" spans="1:12" ht="16" customHeight="1">
      <c r="A1707" t="s">
        <v>380</v>
      </c>
      <c r="B1707" t="s">
        <v>7</v>
      </c>
      <c r="C1707" t="s">
        <v>32</v>
      </c>
      <c r="D1707" s="24">
        <v>46023</v>
      </c>
      <c r="E1707" t="s">
        <v>236</v>
      </c>
      <c r="F1707" t="s">
        <v>4</v>
      </c>
      <c r="G1707" t="s">
        <v>217</v>
      </c>
      <c r="H1707" t="s">
        <v>217</v>
      </c>
      <c r="I1707" t="s">
        <v>366</v>
      </c>
      <c r="J1707" s="25">
        <v>10</v>
      </c>
      <c r="K1707" s="26">
        <v>1.76</v>
      </c>
      <c r="L1707" s="26">
        <v>0.06</v>
      </c>
    </row>
    <row r="1708" spans="1:12" ht="16" customHeight="1">
      <c r="A1708" t="s">
        <v>380</v>
      </c>
      <c r="B1708" t="s">
        <v>7</v>
      </c>
      <c r="C1708" t="s">
        <v>32</v>
      </c>
      <c r="D1708" s="24">
        <v>46023</v>
      </c>
      <c r="E1708" t="s">
        <v>238</v>
      </c>
      <c r="F1708" t="s">
        <v>4</v>
      </c>
      <c r="G1708" t="s">
        <v>217</v>
      </c>
      <c r="H1708" t="s">
        <v>217</v>
      </c>
      <c r="I1708" t="s">
        <v>367</v>
      </c>
      <c r="J1708" s="25">
        <v>0</v>
      </c>
      <c r="K1708" s="26">
        <v>0</v>
      </c>
      <c r="L1708" s="26">
        <v>0</v>
      </c>
    </row>
    <row r="1709" spans="1:12" ht="16" customHeight="1">
      <c r="A1709" t="s">
        <v>380</v>
      </c>
      <c r="B1709" t="s">
        <v>7</v>
      </c>
      <c r="C1709" t="s">
        <v>32</v>
      </c>
      <c r="D1709" s="24">
        <v>46023</v>
      </c>
      <c r="E1709" t="s">
        <v>240</v>
      </c>
      <c r="F1709" t="s">
        <v>3</v>
      </c>
      <c r="G1709" t="s">
        <v>241</v>
      </c>
      <c r="H1709" t="s">
        <v>241</v>
      </c>
      <c r="I1709" t="s">
        <v>368</v>
      </c>
      <c r="J1709" s="25">
        <v>0</v>
      </c>
      <c r="K1709" s="26">
        <v>0</v>
      </c>
      <c r="L1709" s="26">
        <v>0</v>
      </c>
    </row>
    <row r="1710" spans="1:12" ht="16" customHeight="1">
      <c r="A1710" t="s">
        <v>380</v>
      </c>
      <c r="B1710" t="s">
        <v>7</v>
      </c>
      <c r="C1710" t="s">
        <v>32</v>
      </c>
      <c r="D1710" s="24">
        <v>46023</v>
      </c>
      <c r="E1710" t="s">
        <v>243</v>
      </c>
      <c r="F1710" t="s">
        <v>4</v>
      </c>
      <c r="G1710" t="s">
        <v>217</v>
      </c>
      <c r="H1710" t="s">
        <v>217</v>
      </c>
      <c r="I1710" t="s">
        <v>369</v>
      </c>
      <c r="J1710" s="25">
        <v>0</v>
      </c>
      <c r="K1710" s="26">
        <v>0</v>
      </c>
      <c r="L1710" s="26">
        <v>0</v>
      </c>
    </row>
    <row r="1711" spans="1:12" ht="16" customHeight="1">
      <c r="A1711" t="s">
        <v>380</v>
      </c>
      <c r="B1711" t="s">
        <v>7</v>
      </c>
      <c r="C1711" t="s">
        <v>32</v>
      </c>
      <c r="D1711" s="24">
        <v>46023</v>
      </c>
      <c r="E1711" t="s">
        <v>360</v>
      </c>
      <c r="F1711" t="s">
        <v>4</v>
      </c>
      <c r="G1711" t="s">
        <v>217</v>
      </c>
      <c r="H1711" t="s">
        <v>217</v>
      </c>
      <c r="I1711" t="s">
        <v>370</v>
      </c>
      <c r="J1711" s="25">
        <v>0</v>
      </c>
      <c r="K1711" s="26">
        <v>0</v>
      </c>
      <c r="L1711" s="26">
        <v>0</v>
      </c>
    </row>
    <row r="1712" spans="1:12" ht="16" customHeight="1">
      <c r="A1712" t="s">
        <v>381</v>
      </c>
      <c r="B1712" t="s">
        <v>3</v>
      </c>
      <c r="C1712" t="s">
        <v>32</v>
      </c>
      <c r="D1712" s="24">
        <v>46023</v>
      </c>
      <c r="E1712" t="s">
        <v>349</v>
      </c>
      <c r="F1712" t="s">
        <v>4</v>
      </c>
      <c r="G1712" t="s">
        <v>211</v>
      </c>
      <c r="H1712" t="s">
        <v>211</v>
      </c>
      <c r="I1712" t="s">
        <v>212</v>
      </c>
      <c r="J1712" s="25">
        <v>178470411</v>
      </c>
      <c r="K1712" s="26">
        <v>29757670.149999999</v>
      </c>
      <c r="L1712" s="26">
        <v>52512.35</v>
      </c>
    </row>
    <row r="1713" spans="1:12" ht="16" customHeight="1">
      <c r="A1713" t="s">
        <v>381</v>
      </c>
      <c r="B1713" t="s">
        <v>3</v>
      </c>
      <c r="C1713" t="s">
        <v>32</v>
      </c>
      <c r="D1713" s="24">
        <v>46023</v>
      </c>
      <c r="E1713" t="s">
        <v>296</v>
      </c>
      <c r="F1713" t="s">
        <v>4</v>
      </c>
      <c r="G1713" t="s">
        <v>217</v>
      </c>
      <c r="H1713" t="s">
        <v>217</v>
      </c>
      <c r="I1713" t="s">
        <v>212</v>
      </c>
      <c r="J1713" s="25">
        <v>8545308</v>
      </c>
      <c r="K1713" s="26">
        <v>1438103.35</v>
      </c>
      <c r="L1713" s="26">
        <v>4596.17</v>
      </c>
    </row>
    <row r="1714" spans="1:12" ht="16" customHeight="1">
      <c r="A1714" t="s">
        <v>381</v>
      </c>
      <c r="B1714" t="s">
        <v>3</v>
      </c>
      <c r="C1714" t="s">
        <v>32</v>
      </c>
      <c r="D1714" s="24">
        <v>46023</v>
      </c>
      <c r="E1714" t="s">
        <v>354</v>
      </c>
      <c r="F1714" t="s">
        <v>4</v>
      </c>
      <c r="G1714" t="s">
        <v>211</v>
      </c>
      <c r="H1714" t="s">
        <v>211</v>
      </c>
      <c r="I1714" t="s">
        <v>219</v>
      </c>
      <c r="J1714" s="25">
        <v>373243</v>
      </c>
      <c r="K1714" s="26">
        <v>63105.98</v>
      </c>
      <c r="L1714" s="26">
        <v>321.02999999999997</v>
      </c>
    </row>
    <row r="1715" spans="1:12" ht="16" customHeight="1">
      <c r="A1715" t="s">
        <v>381</v>
      </c>
      <c r="B1715" t="s">
        <v>3</v>
      </c>
      <c r="C1715" t="s">
        <v>32</v>
      </c>
      <c r="D1715" s="24">
        <v>46023</v>
      </c>
      <c r="E1715" t="s">
        <v>374</v>
      </c>
      <c r="F1715" t="s">
        <v>4</v>
      </c>
      <c r="G1715" t="s">
        <v>211</v>
      </c>
      <c r="H1715" t="s">
        <v>211</v>
      </c>
      <c r="I1715" t="s">
        <v>219</v>
      </c>
      <c r="J1715" s="25">
        <v>36611</v>
      </c>
      <c r="K1715" s="26">
        <v>6185.6</v>
      </c>
      <c r="L1715" s="26">
        <v>47.32</v>
      </c>
    </row>
    <row r="1716" spans="1:12" ht="16" customHeight="1">
      <c r="A1716" t="s">
        <v>381</v>
      </c>
      <c r="B1716" t="s">
        <v>3</v>
      </c>
      <c r="C1716" t="s">
        <v>32</v>
      </c>
      <c r="D1716" s="24">
        <v>46023</v>
      </c>
      <c r="E1716" t="s">
        <v>379</v>
      </c>
      <c r="F1716" t="s">
        <v>4</v>
      </c>
      <c r="G1716" t="s">
        <v>211</v>
      </c>
      <c r="H1716" t="s">
        <v>211</v>
      </c>
      <c r="I1716" t="s">
        <v>219</v>
      </c>
      <c r="J1716" s="25">
        <v>2082</v>
      </c>
      <c r="K1716" s="26">
        <v>351.55</v>
      </c>
      <c r="L1716" s="26">
        <v>2.66</v>
      </c>
    </row>
    <row r="1717" spans="1:12" ht="16" customHeight="1">
      <c r="A1717" t="s">
        <v>381</v>
      </c>
      <c r="B1717" t="s">
        <v>3</v>
      </c>
      <c r="C1717" t="s">
        <v>32</v>
      </c>
      <c r="D1717" s="24">
        <v>46023</v>
      </c>
      <c r="E1717" t="s">
        <v>326</v>
      </c>
      <c r="F1717" t="s">
        <v>4</v>
      </c>
      <c r="G1717" t="s">
        <v>217</v>
      </c>
      <c r="H1717" t="s">
        <v>217</v>
      </c>
      <c r="I1717" t="s">
        <v>219</v>
      </c>
      <c r="J1717" s="25">
        <v>463602</v>
      </c>
      <c r="K1717" s="26">
        <v>78720.75</v>
      </c>
      <c r="L1717" s="26">
        <v>640.98</v>
      </c>
    </row>
    <row r="1718" spans="1:12" ht="16" customHeight="1">
      <c r="A1718" t="s">
        <v>381</v>
      </c>
      <c r="B1718" t="s">
        <v>3</v>
      </c>
      <c r="C1718" t="s">
        <v>32</v>
      </c>
      <c r="D1718" s="24">
        <v>46023</v>
      </c>
      <c r="E1718" t="s">
        <v>357</v>
      </c>
      <c r="F1718" t="s">
        <v>3</v>
      </c>
      <c r="G1718" t="s">
        <v>358</v>
      </c>
      <c r="H1718" t="s">
        <v>358</v>
      </c>
      <c r="I1718" t="s">
        <v>221</v>
      </c>
      <c r="J1718" s="25">
        <v>139334</v>
      </c>
      <c r="K1718" s="26">
        <v>23556.95</v>
      </c>
      <c r="L1718" s="26">
        <v>247.84</v>
      </c>
    </row>
    <row r="1719" spans="1:12" ht="16" customHeight="1">
      <c r="A1719" t="s">
        <v>381</v>
      </c>
      <c r="B1719" t="s">
        <v>3</v>
      </c>
      <c r="C1719" t="s">
        <v>32</v>
      </c>
      <c r="D1719" s="24">
        <v>46023</v>
      </c>
      <c r="E1719" t="s">
        <v>226</v>
      </c>
      <c r="F1719" t="s">
        <v>4</v>
      </c>
      <c r="G1719" t="s">
        <v>217</v>
      </c>
      <c r="H1719" t="s">
        <v>217</v>
      </c>
      <c r="I1719" t="s">
        <v>267</v>
      </c>
      <c r="J1719" s="25">
        <v>25795</v>
      </c>
      <c r="K1719" s="26">
        <v>4375.03</v>
      </c>
      <c r="L1719" s="26">
        <v>64.400000000000006</v>
      </c>
    </row>
    <row r="1720" spans="1:12" ht="16" customHeight="1">
      <c r="A1720" t="s">
        <v>381</v>
      </c>
      <c r="B1720" t="s">
        <v>3</v>
      </c>
      <c r="C1720" t="s">
        <v>32</v>
      </c>
      <c r="D1720" s="24">
        <v>46023</v>
      </c>
      <c r="E1720" t="s">
        <v>269</v>
      </c>
      <c r="F1720" t="s">
        <v>4</v>
      </c>
      <c r="G1720" t="s">
        <v>217</v>
      </c>
      <c r="H1720" t="s">
        <v>217</v>
      </c>
      <c r="I1720" t="s">
        <v>268</v>
      </c>
      <c r="J1720" s="25">
        <v>4865</v>
      </c>
      <c r="K1720" s="26">
        <v>814.12</v>
      </c>
      <c r="L1720" s="26">
        <v>9.33</v>
      </c>
    </row>
    <row r="1721" spans="1:12" ht="16" customHeight="1">
      <c r="A1721" t="s">
        <v>381</v>
      </c>
      <c r="B1721" t="s">
        <v>3</v>
      </c>
      <c r="C1721" t="s">
        <v>32</v>
      </c>
      <c r="D1721" s="24">
        <v>46023</v>
      </c>
      <c r="E1721" t="s">
        <v>228</v>
      </c>
      <c r="F1721" t="s">
        <v>4</v>
      </c>
      <c r="G1721" t="s">
        <v>217</v>
      </c>
      <c r="H1721" t="s">
        <v>217</v>
      </c>
      <c r="I1721" t="s">
        <v>270</v>
      </c>
      <c r="J1721" s="25">
        <v>7336</v>
      </c>
      <c r="K1721" s="26">
        <v>1301.55</v>
      </c>
      <c r="L1721" s="26">
        <v>34.97</v>
      </c>
    </row>
    <row r="1722" spans="1:12" ht="16" customHeight="1">
      <c r="A1722" t="s">
        <v>381</v>
      </c>
      <c r="B1722" t="s">
        <v>3</v>
      </c>
      <c r="C1722" t="s">
        <v>32</v>
      </c>
      <c r="D1722" s="24">
        <v>46023</v>
      </c>
      <c r="E1722" t="s">
        <v>230</v>
      </c>
      <c r="F1722" t="s">
        <v>4</v>
      </c>
      <c r="G1722" t="s">
        <v>217</v>
      </c>
      <c r="H1722" t="s">
        <v>217</v>
      </c>
      <c r="I1722" t="s">
        <v>363</v>
      </c>
      <c r="J1722" s="25">
        <v>0</v>
      </c>
      <c r="K1722" s="26">
        <v>0</v>
      </c>
      <c r="L1722" s="26">
        <v>0</v>
      </c>
    </row>
    <row r="1723" spans="1:12" ht="16" customHeight="1">
      <c r="A1723" t="s">
        <v>381</v>
      </c>
      <c r="B1723" t="s">
        <v>3</v>
      </c>
      <c r="C1723" t="s">
        <v>32</v>
      </c>
      <c r="D1723" s="24">
        <v>46023</v>
      </c>
      <c r="E1723" t="s">
        <v>232</v>
      </c>
      <c r="F1723" t="s">
        <v>4</v>
      </c>
      <c r="G1723" t="s">
        <v>217</v>
      </c>
      <c r="H1723" t="s">
        <v>217</v>
      </c>
      <c r="I1723" t="s">
        <v>364</v>
      </c>
      <c r="J1723" s="25">
        <v>47</v>
      </c>
      <c r="K1723" s="26">
        <v>7.88</v>
      </c>
      <c r="L1723" s="26">
        <v>0.34</v>
      </c>
    </row>
    <row r="1724" spans="1:12" ht="16" customHeight="1">
      <c r="A1724" t="s">
        <v>381</v>
      </c>
      <c r="B1724" t="s">
        <v>3</v>
      </c>
      <c r="C1724" t="s">
        <v>32</v>
      </c>
      <c r="D1724" s="24">
        <v>46023</v>
      </c>
      <c r="E1724" t="s">
        <v>234</v>
      </c>
      <c r="F1724" t="s">
        <v>4</v>
      </c>
      <c r="G1724" t="s">
        <v>217</v>
      </c>
      <c r="H1724" t="s">
        <v>217</v>
      </c>
      <c r="I1724" t="s">
        <v>365</v>
      </c>
      <c r="J1724" s="25">
        <v>0</v>
      </c>
      <c r="K1724" s="26">
        <v>0</v>
      </c>
      <c r="L1724" s="26">
        <v>0</v>
      </c>
    </row>
    <row r="1725" spans="1:12" ht="16" customHeight="1">
      <c r="A1725" t="s">
        <v>381</v>
      </c>
      <c r="B1725" t="s">
        <v>3</v>
      </c>
      <c r="C1725" t="s">
        <v>32</v>
      </c>
      <c r="D1725" s="24">
        <v>46023</v>
      </c>
      <c r="E1725" t="s">
        <v>236</v>
      </c>
      <c r="F1725" t="s">
        <v>4</v>
      </c>
      <c r="G1725" t="s">
        <v>217</v>
      </c>
      <c r="H1725" t="s">
        <v>217</v>
      </c>
      <c r="I1725" t="s">
        <v>366</v>
      </c>
      <c r="J1725" s="25">
        <v>37</v>
      </c>
      <c r="K1725" s="26">
        <v>6.56</v>
      </c>
      <c r="L1725" s="26">
        <v>0.25</v>
      </c>
    </row>
    <row r="1726" spans="1:12" ht="16" customHeight="1">
      <c r="A1726" t="s">
        <v>381</v>
      </c>
      <c r="B1726" t="s">
        <v>3</v>
      </c>
      <c r="C1726" t="s">
        <v>32</v>
      </c>
      <c r="D1726" s="24">
        <v>46023</v>
      </c>
      <c r="E1726" t="s">
        <v>238</v>
      </c>
      <c r="F1726" t="s">
        <v>4</v>
      </c>
      <c r="G1726" t="s">
        <v>217</v>
      </c>
      <c r="H1726" t="s">
        <v>217</v>
      </c>
      <c r="I1726" t="s">
        <v>367</v>
      </c>
      <c r="J1726" s="25">
        <v>0</v>
      </c>
      <c r="K1726" s="26">
        <v>0</v>
      </c>
      <c r="L1726" s="26">
        <v>0</v>
      </c>
    </row>
    <row r="1727" spans="1:12" ht="16" customHeight="1">
      <c r="A1727" t="s">
        <v>381</v>
      </c>
      <c r="B1727" t="s">
        <v>3</v>
      </c>
      <c r="C1727" t="s">
        <v>32</v>
      </c>
      <c r="D1727" s="24">
        <v>46023</v>
      </c>
      <c r="E1727" t="s">
        <v>240</v>
      </c>
      <c r="F1727" t="s">
        <v>3</v>
      </c>
      <c r="G1727" t="s">
        <v>241</v>
      </c>
      <c r="H1727" t="s">
        <v>241</v>
      </c>
      <c r="I1727" t="s">
        <v>368</v>
      </c>
      <c r="J1727" s="25">
        <v>0</v>
      </c>
      <c r="K1727" s="26">
        <v>0</v>
      </c>
      <c r="L1727" s="26">
        <v>0</v>
      </c>
    </row>
    <row r="1728" spans="1:12" ht="16" customHeight="1">
      <c r="A1728" t="s">
        <v>381</v>
      </c>
      <c r="B1728" t="s">
        <v>3</v>
      </c>
      <c r="C1728" t="s">
        <v>32</v>
      </c>
      <c r="D1728" s="24">
        <v>46023</v>
      </c>
      <c r="E1728" t="s">
        <v>243</v>
      </c>
      <c r="F1728" t="s">
        <v>4</v>
      </c>
      <c r="G1728" t="s">
        <v>217</v>
      </c>
      <c r="H1728" t="s">
        <v>217</v>
      </c>
      <c r="I1728" t="s">
        <v>369</v>
      </c>
      <c r="J1728" s="25">
        <v>0</v>
      </c>
      <c r="K1728" s="26">
        <v>0</v>
      </c>
      <c r="L1728" s="26">
        <v>0</v>
      </c>
    </row>
    <row r="1729" spans="1:12" ht="16" customHeight="1">
      <c r="A1729" t="s">
        <v>381</v>
      </c>
      <c r="B1729" t="s">
        <v>3</v>
      </c>
      <c r="C1729" t="s">
        <v>32</v>
      </c>
      <c r="D1729" s="24">
        <v>46023</v>
      </c>
      <c r="E1729" t="s">
        <v>360</v>
      </c>
      <c r="F1729" t="s">
        <v>4</v>
      </c>
      <c r="G1729" t="s">
        <v>217</v>
      </c>
      <c r="H1729" t="s">
        <v>217</v>
      </c>
      <c r="I1729" t="s">
        <v>370</v>
      </c>
      <c r="J1729" s="25">
        <v>0</v>
      </c>
      <c r="K1729" s="26">
        <v>0</v>
      </c>
      <c r="L1729" s="26">
        <v>0</v>
      </c>
    </row>
    <row r="1730" spans="1:12" ht="16" customHeight="1">
      <c r="A1730" t="s">
        <v>349</v>
      </c>
      <c r="B1730" t="s">
        <v>4</v>
      </c>
      <c r="C1730" t="s">
        <v>32</v>
      </c>
      <c r="D1730" s="24">
        <v>46023</v>
      </c>
      <c r="E1730" t="s">
        <v>349</v>
      </c>
      <c r="F1730" t="s">
        <v>4</v>
      </c>
      <c r="G1730" t="s">
        <v>211</v>
      </c>
      <c r="H1730" t="s">
        <v>211</v>
      </c>
      <c r="I1730" t="s">
        <v>212</v>
      </c>
      <c r="J1730" s="25">
        <v>383628863</v>
      </c>
      <c r="K1730" s="26">
        <v>63507858.369999997</v>
      </c>
      <c r="L1730" s="26">
        <v>58620.5</v>
      </c>
    </row>
    <row r="1731" spans="1:12" ht="16" customHeight="1">
      <c r="A1731" t="s">
        <v>349</v>
      </c>
      <c r="B1731" t="s">
        <v>4</v>
      </c>
      <c r="C1731" t="s">
        <v>32</v>
      </c>
      <c r="D1731" s="24">
        <v>46023</v>
      </c>
      <c r="E1731" t="s">
        <v>296</v>
      </c>
      <c r="F1731" t="s">
        <v>4</v>
      </c>
      <c r="G1731" t="s">
        <v>217</v>
      </c>
      <c r="H1731" t="s">
        <v>217</v>
      </c>
      <c r="I1731" t="s">
        <v>212</v>
      </c>
      <c r="J1731" s="25">
        <v>17382498</v>
      </c>
      <c r="K1731" s="26">
        <v>2908865.51</v>
      </c>
      <c r="L1731" s="26">
        <v>9030.17</v>
      </c>
    </row>
    <row r="1732" spans="1:12" ht="16" customHeight="1">
      <c r="A1732" t="s">
        <v>349</v>
      </c>
      <c r="B1732" t="s">
        <v>4</v>
      </c>
      <c r="C1732" t="s">
        <v>32</v>
      </c>
      <c r="D1732" s="24">
        <v>46023</v>
      </c>
      <c r="E1732" t="s">
        <v>354</v>
      </c>
      <c r="F1732" t="s">
        <v>4</v>
      </c>
      <c r="G1732" t="s">
        <v>211</v>
      </c>
      <c r="H1732" t="s">
        <v>211</v>
      </c>
      <c r="I1732" t="s">
        <v>219</v>
      </c>
      <c r="J1732" s="25">
        <v>654522</v>
      </c>
      <c r="K1732" s="26">
        <v>109776.76</v>
      </c>
      <c r="L1732" s="26">
        <v>627.47</v>
      </c>
    </row>
    <row r="1733" spans="1:12" ht="16" customHeight="1">
      <c r="A1733" t="s">
        <v>349</v>
      </c>
      <c r="B1733" t="s">
        <v>4</v>
      </c>
      <c r="C1733" t="s">
        <v>32</v>
      </c>
      <c r="D1733" s="24">
        <v>46023</v>
      </c>
      <c r="E1733" t="s">
        <v>374</v>
      </c>
      <c r="F1733" t="s">
        <v>4</v>
      </c>
      <c r="G1733" t="s">
        <v>211</v>
      </c>
      <c r="H1733" t="s">
        <v>211</v>
      </c>
      <c r="I1733" t="s">
        <v>219</v>
      </c>
      <c r="J1733" s="25">
        <v>71384</v>
      </c>
      <c r="K1733" s="26">
        <v>11979.86</v>
      </c>
      <c r="L1733" s="26">
        <v>80.290000000000006</v>
      </c>
    </row>
    <row r="1734" spans="1:12" ht="16" customHeight="1">
      <c r="A1734" t="s">
        <v>349</v>
      </c>
      <c r="B1734" t="s">
        <v>4</v>
      </c>
      <c r="C1734" t="s">
        <v>32</v>
      </c>
      <c r="D1734" s="24">
        <v>46023</v>
      </c>
      <c r="E1734" t="s">
        <v>379</v>
      </c>
      <c r="F1734" t="s">
        <v>4</v>
      </c>
      <c r="G1734" t="s">
        <v>211</v>
      </c>
      <c r="H1734" t="s">
        <v>211</v>
      </c>
      <c r="I1734" t="s">
        <v>219</v>
      </c>
      <c r="J1734" s="25">
        <v>5247</v>
      </c>
      <c r="K1734" s="26">
        <v>886.31</v>
      </c>
      <c r="L1734" s="26">
        <v>6.11</v>
      </c>
    </row>
    <row r="1735" spans="1:12" ht="16" customHeight="1">
      <c r="A1735" t="s">
        <v>349</v>
      </c>
      <c r="B1735" t="s">
        <v>4</v>
      </c>
      <c r="C1735" t="s">
        <v>32</v>
      </c>
      <c r="D1735" s="24">
        <v>46023</v>
      </c>
      <c r="E1735" t="s">
        <v>326</v>
      </c>
      <c r="F1735" t="s">
        <v>4</v>
      </c>
      <c r="G1735" t="s">
        <v>217</v>
      </c>
      <c r="H1735" t="s">
        <v>217</v>
      </c>
      <c r="I1735" t="s">
        <v>219</v>
      </c>
      <c r="J1735" s="25">
        <v>733753</v>
      </c>
      <c r="K1735" s="26">
        <v>123610.41</v>
      </c>
      <c r="L1735" s="26">
        <v>1103.67</v>
      </c>
    </row>
    <row r="1736" spans="1:12" ht="16" customHeight="1">
      <c r="A1736" t="s">
        <v>349</v>
      </c>
      <c r="B1736" t="s">
        <v>4</v>
      </c>
      <c r="C1736" t="s">
        <v>32</v>
      </c>
      <c r="D1736" s="24">
        <v>46023</v>
      </c>
      <c r="E1736" t="s">
        <v>357</v>
      </c>
      <c r="F1736" t="s">
        <v>3</v>
      </c>
      <c r="G1736" t="s">
        <v>358</v>
      </c>
      <c r="H1736" t="s">
        <v>358</v>
      </c>
      <c r="I1736" t="s">
        <v>221</v>
      </c>
      <c r="J1736" s="25">
        <v>221755</v>
      </c>
      <c r="K1736" s="26">
        <v>37333.15</v>
      </c>
      <c r="L1736" s="26">
        <v>438.12</v>
      </c>
    </row>
    <row r="1737" spans="1:12" ht="16" customHeight="1">
      <c r="A1737" t="s">
        <v>349</v>
      </c>
      <c r="B1737" t="s">
        <v>4</v>
      </c>
      <c r="C1737" t="s">
        <v>32</v>
      </c>
      <c r="D1737" s="24">
        <v>46023</v>
      </c>
      <c r="E1737" t="s">
        <v>226</v>
      </c>
      <c r="F1737" t="s">
        <v>4</v>
      </c>
      <c r="G1737" t="s">
        <v>217</v>
      </c>
      <c r="H1737" t="s">
        <v>217</v>
      </c>
      <c r="I1737" t="s">
        <v>267</v>
      </c>
      <c r="J1737" s="25">
        <v>38473</v>
      </c>
      <c r="K1737" s="26">
        <v>6577.82</v>
      </c>
      <c r="L1737" s="26">
        <v>100.54</v>
      </c>
    </row>
    <row r="1738" spans="1:12" ht="16" customHeight="1">
      <c r="A1738" t="s">
        <v>349</v>
      </c>
      <c r="B1738" t="s">
        <v>4</v>
      </c>
      <c r="C1738" t="s">
        <v>32</v>
      </c>
      <c r="D1738" s="24">
        <v>46023</v>
      </c>
      <c r="E1738" t="s">
        <v>269</v>
      </c>
      <c r="F1738" t="s">
        <v>4</v>
      </c>
      <c r="G1738" t="s">
        <v>217</v>
      </c>
      <c r="H1738" t="s">
        <v>217</v>
      </c>
      <c r="I1738" t="s">
        <v>268</v>
      </c>
      <c r="J1738" s="25">
        <v>4340</v>
      </c>
      <c r="K1738" s="26">
        <v>719.09</v>
      </c>
      <c r="L1738" s="26">
        <v>11.5</v>
      </c>
    </row>
    <row r="1739" spans="1:12" ht="16" customHeight="1">
      <c r="A1739" t="s">
        <v>349</v>
      </c>
      <c r="B1739" t="s">
        <v>4</v>
      </c>
      <c r="C1739" t="s">
        <v>32</v>
      </c>
      <c r="D1739" s="24">
        <v>46023</v>
      </c>
      <c r="E1739" t="s">
        <v>228</v>
      </c>
      <c r="F1739" t="s">
        <v>4</v>
      </c>
      <c r="G1739" t="s">
        <v>217</v>
      </c>
      <c r="H1739" t="s">
        <v>217</v>
      </c>
      <c r="I1739" t="s">
        <v>270</v>
      </c>
      <c r="J1739" s="25">
        <v>14885</v>
      </c>
      <c r="K1739" s="26">
        <v>2625.23</v>
      </c>
      <c r="L1739" s="26">
        <v>71.05</v>
      </c>
    </row>
    <row r="1740" spans="1:12" ht="16" customHeight="1">
      <c r="A1740" t="s">
        <v>349</v>
      </c>
      <c r="B1740" t="s">
        <v>4</v>
      </c>
      <c r="C1740" t="s">
        <v>32</v>
      </c>
      <c r="D1740" s="24">
        <v>46023</v>
      </c>
      <c r="E1740" t="s">
        <v>230</v>
      </c>
      <c r="F1740" t="s">
        <v>4</v>
      </c>
      <c r="G1740" t="s">
        <v>217</v>
      </c>
      <c r="H1740" t="s">
        <v>217</v>
      </c>
      <c r="I1740" t="s">
        <v>363</v>
      </c>
      <c r="J1740" s="25">
        <v>0</v>
      </c>
      <c r="K1740" s="26">
        <v>0</v>
      </c>
      <c r="L1740" s="26">
        <v>0</v>
      </c>
    </row>
    <row r="1741" spans="1:12" ht="16" customHeight="1">
      <c r="A1741" t="s">
        <v>349</v>
      </c>
      <c r="B1741" t="s">
        <v>4</v>
      </c>
      <c r="C1741" t="s">
        <v>32</v>
      </c>
      <c r="D1741" s="24">
        <v>46023</v>
      </c>
      <c r="E1741" t="s">
        <v>232</v>
      </c>
      <c r="F1741" t="s">
        <v>4</v>
      </c>
      <c r="G1741" t="s">
        <v>217</v>
      </c>
      <c r="H1741" t="s">
        <v>217</v>
      </c>
      <c r="I1741" t="s">
        <v>364</v>
      </c>
      <c r="J1741" s="25">
        <v>77</v>
      </c>
      <c r="K1741" s="26">
        <v>13.49</v>
      </c>
      <c r="L1741" s="26">
        <v>0.82</v>
      </c>
    </row>
    <row r="1742" spans="1:12" ht="16" customHeight="1">
      <c r="A1742" t="s">
        <v>349</v>
      </c>
      <c r="B1742" t="s">
        <v>4</v>
      </c>
      <c r="C1742" t="s">
        <v>32</v>
      </c>
      <c r="D1742" s="24">
        <v>46023</v>
      </c>
      <c r="E1742" t="s">
        <v>234</v>
      </c>
      <c r="F1742" t="s">
        <v>4</v>
      </c>
      <c r="G1742" t="s">
        <v>217</v>
      </c>
      <c r="H1742" t="s">
        <v>217</v>
      </c>
      <c r="I1742" t="s">
        <v>365</v>
      </c>
      <c r="J1742" s="25">
        <v>0</v>
      </c>
      <c r="K1742" s="26">
        <v>0</v>
      </c>
      <c r="L1742" s="26">
        <v>0</v>
      </c>
    </row>
    <row r="1743" spans="1:12" ht="16" customHeight="1">
      <c r="A1743" t="s">
        <v>349</v>
      </c>
      <c r="B1743" t="s">
        <v>4</v>
      </c>
      <c r="C1743" t="s">
        <v>32</v>
      </c>
      <c r="D1743" s="24">
        <v>46023</v>
      </c>
      <c r="E1743" t="s">
        <v>236</v>
      </c>
      <c r="F1743" t="s">
        <v>4</v>
      </c>
      <c r="G1743" t="s">
        <v>217</v>
      </c>
      <c r="H1743" t="s">
        <v>217</v>
      </c>
      <c r="I1743" t="s">
        <v>366</v>
      </c>
      <c r="J1743" s="25">
        <v>30</v>
      </c>
      <c r="K1743" s="26">
        <v>5.35</v>
      </c>
      <c r="L1743" s="26">
        <v>0.2</v>
      </c>
    </row>
    <row r="1744" spans="1:12" ht="16" customHeight="1">
      <c r="A1744" t="s">
        <v>349</v>
      </c>
      <c r="B1744" t="s">
        <v>4</v>
      </c>
      <c r="C1744" t="s">
        <v>32</v>
      </c>
      <c r="D1744" s="24">
        <v>46023</v>
      </c>
      <c r="E1744" t="s">
        <v>238</v>
      </c>
      <c r="F1744" t="s">
        <v>4</v>
      </c>
      <c r="G1744" t="s">
        <v>217</v>
      </c>
      <c r="H1744" t="s">
        <v>217</v>
      </c>
      <c r="I1744" t="s">
        <v>367</v>
      </c>
      <c r="J1744" s="25">
        <v>0</v>
      </c>
      <c r="K1744" s="26">
        <v>0</v>
      </c>
      <c r="L1744" s="26">
        <v>0</v>
      </c>
    </row>
    <row r="1745" spans="1:12" ht="16" customHeight="1">
      <c r="A1745" t="s">
        <v>349</v>
      </c>
      <c r="B1745" t="s">
        <v>4</v>
      </c>
      <c r="C1745" t="s">
        <v>32</v>
      </c>
      <c r="D1745" s="24">
        <v>46023</v>
      </c>
      <c r="E1745" t="s">
        <v>240</v>
      </c>
      <c r="F1745" t="s">
        <v>3</v>
      </c>
      <c r="G1745" t="s">
        <v>241</v>
      </c>
      <c r="H1745" t="s">
        <v>241</v>
      </c>
      <c r="I1745" t="s">
        <v>368</v>
      </c>
      <c r="J1745" s="25">
        <v>0</v>
      </c>
      <c r="K1745" s="26">
        <v>0</v>
      </c>
      <c r="L1745" s="26">
        <v>0</v>
      </c>
    </row>
    <row r="1746" spans="1:12" ht="16" customHeight="1">
      <c r="A1746" t="s">
        <v>349</v>
      </c>
      <c r="B1746" t="s">
        <v>4</v>
      </c>
      <c r="C1746" t="s">
        <v>32</v>
      </c>
      <c r="D1746" s="24">
        <v>46023</v>
      </c>
      <c r="E1746" t="s">
        <v>243</v>
      </c>
      <c r="F1746" t="s">
        <v>4</v>
      </c>
      <c r="G1746" t="s">
        <v>217</v>
      </c>
      <c r="H1746" t="s">
        <v>217</v>
      </c>
      <c r="I1746" t="s">
        <v>369</v>
      </c>
      <c r="J1746" s="25">
        <v>0</v>
      </c>
      <c r="K1746" s="26">
        <v>0</v>
      </c>
      <c r="L1746" s="26">
        <v>0</v>
      </c>
    </row>
    <row r="1747" spans="1:12" ht="16" customHeight="1">
      <c r="A1747" t="s">
        <v>349</v>
      </c>
      <c r="B1747" t="s">
        <v>4</v>
      </c>
      <c r="C1747" t="s">
        <v>32</v>
      </c>
      <c r="D1747" s="24">
        <v>46023</v>
      </c>
      <c r="E1747" t="s">
        <v>360</v>
      </c>
      <c r="F1747" t="s">
        <v>4</v>
      </c>
      <c r="G1747" t="s">
        <v>217</v>
      </c>
      <c r="H1747" t="s">
        <v>217</v>
      </c>
      <c r="I1747" t="s">
        <v>370</v>
      </c>
      <c r="J1747" s="25">
        <v>0</v>
      </c>
      <c r="K1747" s="26">
        <v>0</v>
      </c>
      <c r="L1747" s="26">
        <v>0</v>
      </c>
    </row>
    <row r="1748" spans="1:12" ht="16" customHeight="1">
      <c r="A1748" t="s">
        <v>382</v>
      </c>
      <c r="B1748" t="s">
        <v>5</v>
      </c>
      <c r="C1748" t="s">
        <v>32</v>
      </c>
      <c r="D1748" s="24">
        <v>46023</v>
      </c>
      <c r="E1748" t="s">
        <v>296</v>
      </c>
      <c r="F1748" t="s">
        <v>4</v>
      </c>
      <c r="G1748" t="s">
        <v>217</v>
      </c>
      <c r="H1748" t="s">
        <v>261</v>
      </c>
      <c r="I1748" t="s">
        <v>212</v>
      </c>
      <c r="J1748" s="25">
        <v>98572048</v>
      </c>
      <c r="K1748" s="26">
        <v>16234323.42</v>
      </c>
      <c r="L1748" s="26">
        <v>58409.95</v>
      </c>
    </row>
    <row r="1749" spans="1:12" ht="16" customHeight="1">
      <c r="A1749" t="s">
        <v>382</v>
      </c>
      <c r="B1749" t="s">
        <v>5</v>
      </c>
      <c r="C1749" t="s">
        <v>32</v>
      </c>
      <c r="D1749" s="24">
        <v>46023</v>
      </c>
      <c r="E1749" t="s">
        <v>354</v>
      </c>
      <c r="F1749" t="s">
        <v>4</v>
      </c>
      <c r="G1749" t="s">
        <v>211</v>
      </c>
      <c r="H1749" t="s">
        <v>211</v>
      </c>
      <c r="I1749" t="s">
        <v>219</v>
      </c>
      <c r="J1749" s="25">
        <v>2214344</v>
      </c>
      <c r="K1749" s="26">
        <v>365912.07</v>
      </c>
      <c r="L1749" s="26">
        <v>2153.56</v>
      </c>
    </row>
    <row r="1750" spans="1:12" ht="16" customHeight="1">
      <c r="A1750" t="s">
        <v>382</v>
      </c>
      <c r="B1750" t="s">
        <v>5</v>
      </c>
      <c r="C1750" t="s">
        <v>32</v>
      </c>
      <c r="D1750" s="24">
        <v>46023</v>
      </c>
      <c r="E1750" t="s">
        <v>374</v>
      </c>
      <c r="F1750" t="s">
        <v>4</v>
      </c>
      <c r="G1750" t="s">
        <v>211</v>
      </c>
      <c r="H1750" t="s">
        <v>211</v>
      </c>
      <c r="I1750" t="s">
        <v>219</v>
      </c>
      <c r="J1750" s="25">
        <v>214954</v>
      </c>
      <c r="K1750" s="26">
        <v>35688.5</v>
      </c>
      <c r="L1750" s="26">
        <v>235.71</v>
      </c>
    </row>
    <row r="1751" spans="1:12" ht="16" customHeight="1">
      <c r="A1751" t="s">
        <v>382</v>
      </c>
      <c r="B1751" t="s">
        <v>5</v>
      </c>
      <c r="C1751" t="s">
        <v>32</v>
      </c>
      <c r="D1751" s="24">
        <v>46023</v>
      </c>
      <c r="E1751" t="s">
        <v>379</v>
      </c>
      <c r="F1751" t="s">
        <v>4</v>
      </c>
      <c r="G1751" t="s">
        <v>211</v>
      </c>
      <c r="H1751" t="s">
        <v>211</v>
      </c>
      <c r="I1751" t="s">
        <v>219</v>
      </c>
      <c r="J1751" s="25">
        <v>22800</v>
      </c>
      <c r="K1751" s="26">
        <v>3790.15</v>
      </c>
      <c r="L1751" s="26">
        <v>36.56</v>
      </c>
    </row>
    <row r="1752" spans="1:12" ht="16" customHeight="1">
      <c r="A1752" t="s">
        <v>382</v>
      </c>
      <c r="B1752" t="s">
        <v>5</v>
      </c>
      <c r="C1752" t="s">
        <v>32</v>
      </c>
      <c r="D1752" s="24">
        <v>46023</v>
      </c>
      <c r="E1752" t="s">
        <v>326</v>
      </c>
      <c r="F1752" t="s">
        <v>4</v>
      </c>
      <c r="G1752" t="s">
        <v>217</v>
      </c>
      <c r="H1752" t="s">
        <v>217</v>
      </c>
      <c r="I1752" t="s">
        <v>219</v>
      </c>
      <c r="J1752" s="25">
        <v>1298066</v>
      </c>
      <c r="K1752" s="26">
        <v>216621.17</v>
      </c>
      <c r="L1752" s="26">
        <v>2160.6</v>
      </c>
    </row>
    <row r="1753" spans="1:12" ht="16" customHeight="1">
      <c r="A1753" t="s">
        <v>382</v>
      </c>
      <c r="B1753" t="s">
        <v>5</v>
      </c>
      <c r="C1753" t="s">
        <v>32</v>
      </c>
      <c r="D1753" s="24">
        <v>46023</v>
      </c>
      <c r="E1753" t="s">
        <v>383</v>
      </c>
      <c r="F1753" t="s">
        <v>3</v>
      </c>
      <c r="G1753" t="s">
        <v>241</v>
      </c>
      <c r="H1753" t="s">
        <v>241</v>
      </c>
      <c r="I1753" t="s">
        <v>221</v>
      </c>
      <c r="J1753" s="25">
        <v>255</v>
      </c>
      <c r="K1753" s="26">
        <v>43.71</v>
      </c>
      <c r="L1753" s="26">
        <v>0.27</v>
      </c>
    </row>
    <row r="1754" spans="1:12" ht="16" customHeight="1">
      <c r="A1754" t="s">
        <v>382</v>
      </c>
      <c r="B1754" t="s">
        <v>5</v>
      </c>
      <c r="C1754" t="s">
        <v>32</v>
      </c>
      <c r="D1754" s="24">
        <v>46023</v>
      </c>
      <c r="E1754" t="s">
        <v>357</v>
      </c>
      <c r="F1754" t="s">
        <v>3</v>
      </c>
      <c r="G1754" t="s">
        <v>358</v>
      </c>
      <c r="H1754" t="s">
        <v>358</v>
      </c>
      <c r="I1754" t="s">
        <v>221</v>
      </c>
      <c r="J1754" s="25">
        <v>370735</v>
      </c>
      <c r="K1754" s="26">
        <v>61956.88</v>
      </c>
      <c r="L1754" s="26">
        <v>816.07</v>
      </c>
    </row>
    <row r="1755" spans="1:12" ht="16" customHeight="1">
      <c r="A1755" t="s">
        <v>382</v>
      </c>
      <c r="B1755" t="s">
        <v>5</v>
      </c>
      <c r="C1755" t="s">
        <v>32</v>
      </c>
      <c r="D1755" s="24">
        <v>46023</v>
      </c>
      <c r="E1755" t="s">
        <v>226</v>
      </c>
      <c r="F1755" t="s">
        <v>4</v>
      </c>
      <c r="G1755" t="s">
        <v>217</v>
      </c>
      <c r="H1755" t="s">
        <v>217</v>
      </c>
      <c r="I1755" t="s">
        <v>267</v>
      </c>
      <c r="J1755" s="25">
        <v>69756</v>
      </c>
      <c r="K1755" s="26">
        <v>11983.08</v>
      </c>
      <c r="L1755" s="26">
        <v>193.46</v>
      </c>
    </row>
    <row r="1756" spans="1:12" ht="16" customHeight="1">
      <c r="A1756" t="s">
        <v>382</v>
      </c>
      <c r="B1756" t="s">
        <v>5</v>
      </c>
      <c r="C1756" t="s">
        <v>32</v>
      </c>
      <c r="D1756" s="24">
        <v>46023</v>
      </c>
      <c r="E1756" t="s">
        <v>269</v>
      </c>
      <c r="F1756" t="s">
        <v>4</v>
      </c>
      <c r="G1756" t="s">
        <v>217</v>
      </c>
      <c r="H1756" t="s">
        <v>217</v>
      </c>
      <c r="I1756" t="s">
        <v>268</v>
      </c>
      <c r="J1756" s="25">
        <v>10584</v>
      </c>
      <c r="K1756" s="26">
        <v>1774.43</v>
      </c>
      <c r="L1756" s="26">
        <v>24.02</v>
      </c>
    </row>
    <row r="1757" spans="1:12" ht="16" customHeight="1">
      <c r="A1757" t="s">
        <v>382</v>
      </c>
      <c r="B1757" t="s">
        <v>5</v>
      </c>
      <c r="C1757" t="s">
        <v>32</v>
      </c>
      <c r="D1757" s="24">
        <v>46023</v>
      </c>
      <c r="E1757" t="s">
        <v>228</v>
      </c>
      <c r="F1757" t="s">
        <v>4</v>
      </c>
      <c r="G1757" t="s">
        <v>217</v>
      </c>
      <c r="H1757" t="s">
        <v>217</v>
      </c>
      <c r="I1757" t="s">
        <v>270</v>
      </c>
      <c r="J1757" s="25">
        <v>17693</v>
      </c>
      <c r="K1757" s="26">
        <v>3131.06</v>
      </c>
      <c r="L1757" s="26">
        <v>98.06</v>
      </c>
    </row>
    <row r="1758" spans="1:12" ht="16" customHeight="1">
      <c r="A1758" t="s">
        <v>382</v>
      </c>
      <c r="B1758" t="s">
        <v>5</v>
      </c>
      <c r="C1758" t="s">
        <v>32</v>
      </c>
      <c r="D1758" s="24">
        <v>46023</v>
      </c>
      <c r="E1758" t="s">
        <v>230</v>
      </c>
      <c r="F1758" t="s">
        <v>4</v>
      </c>
      <c r="G1758" t="s">
        <v>217</v>
      </c>
      <c r="H1758" t="s">
        <v>217</v>
      </c>
      <c r="I1758" t="s">
        <v>363</v>
      </c>
      <c r="J1758" s="25">
        <v>0</v>
      </c>
      <c r="K1758" s="26">
        <v>0</v>
      </c>
      <c r="L1758" s="26">
        <v>0</v>
      </c>
    </row>
    <row r="1759" spans="1:12" ht="16" customHeight="1">
      <c r="A1759" t="s">
        <v>382</v>
      </c>
      <c r="B1759" t="s">
        <v>5</v>
      </c>
      <c r="C1759" t="s">
        <v>32</v>
      </c>
      <c r="D1759" s="24">
        <v>46023</v>
      </c>
      <c r="E1759" t="s">
        <v>232</v>
      </c>
      <c r="F1759" t="s">
        <v>4</v>
      </c>
      <c r="G1759" t="s">
        <v>217</v>
      </c>
      <c r="H1759" t="s">
        <v>217</v>
      </c>
      <c r="I1759" t="s">
        <v>364</v>
      </c>
      <c r="J1759" s="25">
        <v>94</v>
      </c>
      <c r="K1759" s="26">
        <v>16.440000000000001</v>
      </c>
      <c r="L1759" s="26">
        <v>0.94</v>
      </c>
    </row>
    <row r="1760" spans="1:12" ht="16" customHeight="1">
      <c r="A1760" t="s">
        <v>382</v>
      </c>
      <c r="B1760" t="s">
        <v>5</v>
      </c>
      <c r="C1760" t="s">
        <v>32</v>
      </c>
      <c r="D1760" s="24">
        <v>46023</v>
      </c>
      <c r="E1760" t="s">
        <v>234</v>
      </c>
      <c r="F1760" t="s">
        <v>4</v>
      </c>
      <c r="G1760" t="s">
        <v>217</v>
      </c>
      <c r="H1760" t="s">
        <v>217</v>
      </c>
      <c r="I1760" t="s">
        <v>365</v>
      </c>
      <c r="J1760" s="25">
        <v>0</v>
      </c>
      <c r="K1760" s="26">
        <v>0</v>
      </c>
      <c r="L1760" s="26">
        <v>0</v>
      </c>
    </row>
    <row r="1761" spans="1:12" ht="16" customHeight="1">
      <c r="A1761" t="s">
        <v>382</v>
      </c>
      <c r="B1761" t="s">
        <v>5</v>
      </c>
      <c r="C1761" t="s">
        <v>32</v>
      </c>
      <c r="D1761" s="24">
        <v>46023</v>
      </c>
      <c r="E1761" t="s">
        <v>236</v>
      </c>
      <c r="F1761" t="s">
        <v>4</v>
      </c>
      <c r="G1761" t="s">
        <v>217</v>
      </c>
      <c r="H1761" t="s">
        <v>217</v>
      </c>
      <c r="I1761" t="s">
        <v>366</v>
      </c>
      <c r="J1761" s="25">
        <v>12</v>
      </c>
      <c r="K1761" s="26">
        <v>1.92</v>
      </c>
      <c r="L1761" s="26">
        <v>0.05</v>
      </c>
    </row>
    <row r="1762" spans="1:12" ht="16" customHeight="1">
      <c r="A1762" t="s">
        <v>382</v>
      </c>
      <c r="B1762" t="s">
        <v>5</v>
      </c>
      <c r="C1762" t="s">
        <v>32</v>
      </c>
      <c r="D1762" s="24">
        <v>46023</v>
      </c>
      <c r="E1762" t="s">
        <v>238</v>
      </c>
      <c r="F1762" t="s">
        <v>4</v>
      </c>
      <c r="G1762" t="s">
        <v>217</v>
      </c>
      <c r="H1762" t="s">
        <v>217</v>
      </c>
      <c r="I1762" t="s">
        <v>367</v>
      </c>
      <c r="J1762" s="25">
        <v>0</v>
      </c>
      <c r="K1762" s="26">
        <v>0</v>
      </c>
      <c r="L1762" s="26">
        <v>0</v>
      </c>
    </row>
    <row r="1763" spans="1:12" ht="16" customHeight="1">
      <c r="A1763" t="s">
        <v>382</v>
      </c>
      <c r="B1763" t="s">
        <v>5</v>
      </c>
      <c r="C1763" t="s">
        <v>32</v>
      </c>
      <c r="D1763" s="24">
        <v>46023</v>
      </c>
      <c r="E1763" t="s">
        <v>240</v>
      </c>
      <c r="F1763" t="s">
        <v>3</v>
      </c>
      <c r="G1763" t="s">
        <v>241</v>
      </c>
      <c r="H1763" t="s">
        <v>241</v>
      </c>
      <c r="I1763" t="s">
        <v>368</v>
      </c>
      <c r="J1763" s="25">
        <v>0</v>
      </c>
      <c r="K1763" s="26">
        <v>0</v>
      </c>
      <c r="L1763" s="26">
        <v>0</v>
      </c>
    </row>
    <row r="1764" spans="1:12" ht="16" customHeight="1">
      <c r="A1764" t="s">
        <v>382</v>
      </c>
      <c r="B1764" t="s">
        <v>5</v>
      </c>
      <c r="C1764" t="s">
        <v>32</v>
      </c>
      <c r="D1764" s="24">
        <v>46023</v>
      </c>
      <c r="E1764" t="s">
        <v>243</v>
      </c>
      <c r="F1764" t="s">
        <v>4</v>
      </c>
      <c r="G1764" t="s">
        <v>217</v>
      </c>
      <c r="H1764" t="s">
        <v>217</v>
      </c>
      <c r="I1764" t="s">
        <v>369</v>
      </c>
      <c r="J1764" s="25">
        <v>0</v>
      </c>
      <c r="K1764" s="26">
        <v>0</v>
      </c>
      <c r="L1764" s="26">
        <v>0</v>
      </c>
    </row>
    <row r="1765" spans="1:12" ht="16" customHeight="1">
      <c r="A1765" t="s">
        <v>382</v>
      </c>
      <c r="B1765" t="s">
        <v>5</v>
      </c>
      <c r="C1765" t="s">
        <v>32</v>
      </c>
      <c r="D1765" s="24">
        <v>46023</v>
      </c>
      <c r="E1765" t="s">
        <v>360</v>
      </c>
      <c r="F1765" t="s">
        <v>4</v>
      </c>
      <c r="G1765" t="s">
        <v>217</v>
      </c>
      <c r="H1765" t="s">
        <v>217</v>
      </c>
      <c r="I1765" t="s">
        <v>370</v>
      </c>
      <c r="J1765" s="25">
        <v>0</v>
      </c>
      <c r="K1765" s="26">
        <v>0</v>
      </c>
      <c r="L1765" s="26">
        <v>0</v>
      </c>
    </row>
    <row r="1766" spans="1:12" ht="16" customHeight="1">
      <c r="A1766" t="s">
        <v>384</v>
      </c>
      <c r="B1766" t="s">
        <v>6</v>
      </c>
      <c r="C1766" t="s">
        <v>33</v>
      </c>
      <c r="D1766" s="24">
        <v>46023</v>
      </c>
      <c r="E1766" t="s">
        <v>296</v>
      </c>
      <c r="F1766" t="s">
        <v>4</v>
      </c>
      <c r="G1766" t="s">
        <v>217</v>
      </c>
      <c r="H1766" t="s">
        <v>261</v>
      </c>
      <c r="I1766" t="s">
        <v>212</v>
      </c>
      <c r="J1766" s="25">
        <v>89227070</v>
      </c>
      <c r="K1766" s="26">
        <v>14704023.82</v>
      </c>
      <c r="L1766" s="26">
        <v>43808.88</v>
      </c>
    </row>
    <row r="1767" spans="1:12" ht="16" customHeight="1">
      <c r="A1767" t="s">
        <v>384</v>
      </c>
      <c r="B1767" t="s">
        <v>6</v>
      </c>
      <c r="C1767" t="s">
        <v>33</v>
      </c>
      <c r="D1767" s="24">
        <v>46023</v>
      </c>
      <c r="E1767" t="s">
        <v>354</v>
      </c>
      <c r="F1767" t="s">
        <v>4</v>
      </c>
      <c r="G1767" t="s">
        <v>211</v>
      </c>
      <c r="H1767" t="s">
        <v>211</v>
      </c>
      <c r="I1767" t="s">
        <v>219</v>
      </c>
      <c r="J1767" s="25">
        <v>2167294</v>
      </c>
      <c r="K1767" s="26">
        <v>358657.8</v>
      </c>
      <c r="L1767" s="26">
        <v>2041.09</v>
      </c>
    </row>
    <row r="1768" spans="1:12" ht="16" customHeight="1">
      <c r="A1768" t="s">
        <v>384</v>
      </c>
      <c r="B1768" t="s">
        <v>6</v>
      </c>
      <c r="C1768" t="s">
        <v>33</v>
      </c>
      <c r="D1768" s="24">
        <v>46023</v>
      </c>
      <c r="E1768" t="s">
        <v>374</v>
      </c>
      <c r="F1768" t="s">
        <v>4</v>
      </c>
      <c r="G1768" t="s">
        <v>211</v>
      </c>
      <c r="H1768" t="s">
        <v>211</v>
      </c>
      <c r="I1768" t="s">
        <v>219</v>
      </c>
      <c r="J1768" s="25">
        <v>186101</v>
      </c>
      <c r="K1768" s="26">
        <v>30902.62</v>
      </c>
      <c r="L1768" s="26">
        <v>214.6</v>
      </c>
    </row>
    <row r="1769" spans="1:12" ht="16" customHeight="1">
      <c r="A1769" t="s">
        <v>384</v>
      </c>
      <c r="B1769" t="s">
        <v>6</v>
      </c>
      <c r="C1769" t="s">
        <v>33</v>
      </c>
      <c r="D1769" s="24">
        <v>46023</v>
      </c>
      <c r="E1769" t="s">
        <v>379</v>
      </c>
      <c r="F1769" t="s">
        <v>4</v>
      </c>
      <c r="G1769" t="s">
        <v>211</v>
      </c>
      <c r="H1769" t="s">
        <v>211</v>
      </c>
      <c r="I1769" t="s">
        <v>219</v>
      </c>
      <c r="J1769" s="25">
        <v>20271</v>
      </c>
      <c r="K1769" s="26">
        <v>3368.6</v>
      </c>
      <c r="L1769" s="26">
        <v>31.69</v>
      </c>
    </row>
    <row r="1770" spans="1:12" ht="16" customHeight="1">
      <c r="A1770" t="s">
        <v>384</v>
      </c>
      <c r="B1770" t="s">
        <v>6</v>
      </c>
      <c r="C1770" t="s">
        <v>33</v>
      </c>
      <c r="D1770" s="24">
        <v>46023</v>
      </c>
      <c r="E1770" t="s">
        <v>326</v>
      </c>
      <c r="F1770" t="s">
        <v>4</v>
      </c>
      <c r="G1770" t="s">
        <v>217</v>
      </c>
      <c r="H1770" t="s">
        <v>217</v>
      </c>
      <c r="I1770" t="s">
        <v>219</v>
      </c>
      <c r="J1770" s="25">
        <v>864709</v>
      </c>
      <c r="K1770" s="26">
        <v>144693.24</v>
      </c>
      <c r="L1770" s="26">
        <v>1434.41</v>
      </c>
    </row>
    <row r="1771" spans="1:12" ht="16" customHeight="1">
      <c r="A1771" t="s">
        <v>384</v>
      </c>
      <c r="B1771" t="s">
        <v>6</v>
      </c>
      <c r="C1771" t="s">
        <v>33</v>
      </c>
      <c r="D1771" s="24">
        <v>46023</v>
      </c>
      <c r="E1771" t="s">
        <v>383</v>
      </c>
      <c r="F1771" t="s">
        <v>3</v>
      </c>
      <c r="G1771" t="s">
        <v>241</v>
      </c>
      <c r="H1771" t="s">
        <v>241</v>
      </c>
      <c r="I1771" t="s">
        <v>221</v>
      </c>
      <c r="J1771" s="25">
        <v>323</v>
      </c>
      <c r="K1771" s="26">
        <v>54.78</v>
      </c>
      <c r="L1771" s="26">
        <v>0.27</v>
      </c>
    </row>
    <row r="1772" spans="1:12" ht="16" customHeight="1">
      <c r="A1772" t="s">
        <v>384</v>
      </c>
      <c r="B1772" t="s">
        <v>6</v>
      </c>
      <c r="C1772" t="s">
        <v>33</v>
      </c>
      <c r="D1772" s="24">
        <v>46023</v>
      </c>
      <c r="E1772" t="s">
        <v>357</v>
      </c>
      <c r="F1772" t="s">
        <v>3</v>
      </c>
      <c r="G1772" t="s">
        <v>358</v>
      </c>
      <c r="H1772" t="s">
        <v>358</v>
      </c>
      <c r="I1772" t="s">
        <v>221</v>
      </c>
      <c r="J1772" s="25">
        <v>225978</v>
      </c>
      <c r="K1772" s="26">
        <v>37860.559999999998</v>
      </c>
      <c r="L1772" s="26">
        <v>475.17</v>
      </c>
    </row>
    <row r="1773" spans="1:12" ht="16" customHeight="1">
      <c r="A1773" t="s">
        <v>384</v>
      </c>
      <c r="B1773" t="s">
        <v>6</v>
      </c>
      <c r="C1773" t="s">
        <v>33</v>
      </c>
      <c r="D1773" s="24">
        <v>46023</v>
      </c>
      <c r="E1773" t="s">
        <v>226</v>
      </c>
      <c r="F1773" t="s">
        <v>4</v>
      </c>
      <c r="G1773" t="s">
        <v>217</v>
      </c>
      <c r="H1773" t="s">
        <v>217</v>
      </c>
      <c r="I1773" t="s">
        <v>267</v>
      </c>
      <c r="J1773" s="25">
        <v>30285</v>
      </c>
      <c r="K1773" s="26">
        <v>5015.74</v>
      </c>
      <c r="L1773" s="26">
        <v>83.03</v>
      </c>
    </row>
    <row r="1774" spans="1:12" ht="16" customHeight="1">
      <c r="A1774" t="s">
        <v>384</v>
      </c>
      <c r="B1774" t="s">
        <v>6</v>
      </c>
      <c r="C1774" t="s">
        <v>33</v>
      </c>
      <c r="D1774" s="24">
        <v>46023</v>
      </c>
      <c r="E1774" t="s">
        <v>269</v>
      </c>
      <c r="F1774" t="s">
        <v>4</v>
      </c>
      <c r="G1774" t="s">
        <v>217</v>
      </c>
      <c r="H1774" t="s">
        <v>217</v>
      </c>
      <c r="I1774" t="s">
        <v>268</v>
      </c>
      <c r="J1774" s="25">
        <v>4255</v>
      </c>
      <c r="K1774" s="26">
        <v>708.49</v>
      </c>
      <c r="L1774" s="26">
        <v>13.01</v>
      </c>
    </row>
    <row r="1775" spans="1:12" ht="16" customHeight="1">
      <c r="A1775" t="s">
        <v>384</v>
      </c>
      <c r="B1775" t="s">
        <v>6</v>
      </c>
      <c r="C1775" t="s">
        <v>33</v>
      </c>
      <c r="D1775" s="24">
        <v>46023</v>
      </c>
      <c r="E1775" t="s">
        <v>228</v>
      </c>
      <c r="F1775" t="s">
        <v>4</v>
      </c>
      <c r="G1775" t="s">
        <v>217</v>
      </c>
      <c r="H1775" t="s">
        <v>217</v>
      </c>
      <c r="I1775" t="s">
        <v>270</v>
      </c>
      <c r="J1775" s="25">
        <v>9632</v>
      </c>
      <c r="K1775" s="26">
        <v>1683.37</v>
      </c>
      <c r="L1775" s="26">
        <v>56.72</v>
      </c>
    </row>
    <row r="1776" spans="1:12" ht="16" customHeight="1">
      <c r="A1776" t="s">
        <v>384</v>
      </c>
      <c r="B1776" t="s">
        <v>6</v>
      </c>
      <c r="C1776" t="s">
        <v>33</v>
      </c>
      <c r="D1776" s="24">
        <v>46023</v>
      </c>
      <c r="E1776" t="s">
        <v>230</v>
      </c>
      <c r="F1776" t="s">
        <v>4</v>
      </c>
      <c r="G1776" t="s">
        <v>217</v>
      </c>
      <c r="H1776" t="s">
        <v>217</v>
      </c>
      <c r="I1776" t="s">
        <v>363</v>
      </c>
      <c r="J1776" s="25">
        <v>0</v>
      </c>
      <c r="K1776" s="26">
        <v>0</v>
      </c>
      <c r="L1776" s="26">
        <v>0</v>
      </c>
    </row>
    <row r="1777" spans="1:12" ht="16" customHeight="1">
      <c r="A1777" t="s">
        <v>384</v>
      </c>
      <c r="B1777" t="s">
        <v>6</v>
      </c>
      <c r="C1777" t="s">
        <v>33</v>
      </c>
      <c r="D1777" s="24">
        <v>46023</v>
      </c>
      <c r="E1777" t="s">
        <v>232</v>
      </c>
      <c r="F1777" t="s">
        <v>4</v>
      </c>
      <c r="G1777" t="s">
        <v>217</v>
      </c>
      <c r="H1777" t="s">
        <v>217</v>
      </c>
      <c r="I1777" t="s">
        <v>364</v>
      </c>
      <c r="J1777" s="25">
        <v>74</v>
      </c>
      <c r="K1777" s="26">
        <v>12.48</v>
      </c>
      <c r="L1777" s="26">
        <v>0.41</v>
      </c>
    </row>
    <row r="1778" spans="1:12" ht="16" customHeight="1">
      <c r="A1778" t="s">
        <v>384</v>
      </c>
      <c r="B1778" t="s">
        <v>6</v>
      </c>
      <c r="C1778" t="s">
        <v>33</v>
      </c>
      <c r="D1778" s="24">
        <v>46023</v>
      </c>
      <c r="E1778" t="s">
        <v>234</v>
      </c>
      <c r="F1778" t="s">
        <v>4</v>
      </c>
      <c r="G1778" t="s">
        <v>217</v>
      </c>
      <c r="H1778" t="s">
        <v>217</v>
      </c>
      <c r="I1778" t="s">
        <v>365</v>
      </c>
      <c r="J1778" s="25">
        <v>0</v>
      </c>
      <c r="K1778" s="26">
        <v>0</v>
      </c>
      <c r="L1778" s="26">
        <v>0</v>
      </c>
    </row>
    <row r="1779" spans="1:12" ht="16" customHeight="1">
      <c r="A1779" t="s">
        <v>384</v>
      </c>
      <c r="B1779" t="s">
        <v>6</v>
      </c>
      <c r="C1779" t="s">
        <v>33</v>
      </c>
      <c r="D1779" s="24">
        <v>46023</v>
      </c>
      <c r="E1779" t="s">
        <v>236</v>
      </c>
      <c r="F1779" t="s">
        <v>4</v>
      </c>
      <c r="G1779" t="s">
        <v>217</v>
      </c>
      <c r="H1779" t="s">
        <v>217</v>
      </c>
      <c r="I1779" t="s">
        <v>366</v>
      </c>
      <c r="J1779" s="25">
        <v>1</v>
      </c>
      <c r="K1779" s="26">
        <v>0.18</v>
      </c>
      <c r="L1779" s="26">
        <v>0.01</v>
      </c>
    </row>
    <row r="1780" spans="1:12" ht="16" customHeight="1">
      <c r="A1780" t="s">
        <v>384</v>
      </c>
      <c r="B1780" t="s">
        <v>6</v>
      </c>
      <c r="C1780" t="s">
        <v>33</v>
      </c>
      <c r="D1780" s="24">
        <v>46023</v>
      </c>
      <c r="E1780" t="s">
        <v>238</v>
      </c>
      <c r="F1780" t="s">
        <v>4</v>
      </c>
      <c r="G1780" t="s">
        <v>217</v>
      </c>
      <c r="H1780" t="s">
        <v>217</v>
      </c>
      <c r="I1780" t="s">
        <v>367</v>
      </c>
      <c r="J1780" s="25">
        <v>0</v>
      </c>
      <c r="K1780" s="26">
        <v>0</v>
      </c>
      <c r="L1780" s="26">
        <v>0</v>
      </c>
    </row>
    <row r="1781" spans="1:12" ht="16" customHeight="1">
      <c r="A1781" t="s">
        <v>384</v>
      </c>
      <c r="B1781" t="s">
        <v>6</v>
      </c>
      <c r="C1781" t="s">
        <v>33</v>
      </c>
      <c r="D1781" s="24">
        <v>46023</v>
      </c>
      <c r="E1781" t="s">
        <v>240</v>
      </c>
      <c r="F1781" t="s">
        <v>3</v>
      </c>
      <c r="G1781" t="s">
        <v>241</v>
      </c>
      <c r="H1781" t="s">
        <v>241</v>
      </c>
      <c r="I1781" t="s">
        <v>368</v>
      </c>
      <c r="J1781" s="25">
        <v>0</v>
      </c>
      <c r="K1781" s="26">
        <v>0</v>
      </c>
      <c r="L1781" s="26">
        <v>0</v>
      </c>
    </row>
    <row r="1782" spans="1:12" ht="16" customHeight="1">
      <c r="A1782" t="s">
        <v>384</v>
      </c>
      <c r="B1782" t="s">
        <v>6</v>
      </c>
      <c r="C1782" t="s">
        <v>33</v>
      </c>
      <c r="D1782" s="24">
        <v>46023</v>
      </c>
      <c r="E1782" t="s">
        <v>243</v>
      </c>
      <c r="F1782" t="s">
        <v>4</v>
      </c>
      <c r="G1782" t="s">
        <v>217</v>
      </c>
      <c r="H1782" t="s">
        <v>217</v>
      </c>
      <c r="I1782" t="s">
        <v>369</v>
      </c>
      <c r="J1782" s="25">
        <v>0</v>
      </c>
      <c r="K1782" s="26">
        <v>0</v>
      </c>
      <c r="L1782" s="26">
        <v>0</v>
      </c>
    </row>
    <row r="1783" spans="1:12" ht="16" customHeight="1">
      <c r="A1783" t="s">
        <v>384</v>
      </c>
      <c r="B1783" t="s">
        <v>6</v>
      </c>
      <c r="C1783" t="s">
        <v>33</v>
      </c>
      <c r="D1783" s="24">
        <v>46023</v>
      </c>
      <c r="E1783" t="s">
        <v>360</v>
      </c>
      <c r="F1783" t="s">
        <v>4</v>
      </c>
      <c r="G1783" t="s">
        <v>217</v>
      </c>
      <c r="H1783" t="s">
        <v>217</v>
      </c>
      <c r="I1783" t="s">
        <v>370</v>
      </c>
      <c r="J1783" s="25">
        <v>0</v>
      </c>
      <c r="K1783" s="26">
        <v>0</v>
      </c>
      <c r="L1783" s="26">
        <v>0</v>
      </c>
    </row>
    <row r="1784" spans="1:12" ht="16" customHeight="1">
      <c r="A1784" t="s">
        <v>385</v>
      </c>
      <c r="B1784" t="s">
        <v>7</v>
      </c>
      <c r="C1784" t="s">
        <v>33</v>
      </c>
      <c r="D1784" s="24">
        <v>46023</v>
      </c>
      <c r="E1784" t="s">
        <v>296</v>
      </c>
      <c r="F1784" t="s">
        <v>4</v>
      </c>
      <c r="G1784" t="s">
        <v>217</v>
      </c>
      <c r="H1784" t="s">
        <v>261</v>
      </c>
      <c r="I1784" t="s">
        <v>212</v>
      </c>
      <c r="J1784" s="25">
        <v>149220916</v>
      </c>
      <c r="K1784" s="26">
        <v>24536441.77</v>
      </c>
      <c r="L1784" s="26">
        <v>62189.91</v>
      </c>
    </row>
    <row r="1785" spans="1:12" ht="16" customHeight="1">
      <c r="A1785" t="s">
        <v>385</v>
      </c>
      <c r="B1785" t="s">
        <v>7</v>
      </c>
      <c r="C1785" t="s">
        <v>33</v>
      </c>
      <c r="D1785" s="24">
        <v>46023</v>
      </c>
      <c r="E1785" t="s">
        <v>354</v>
      </c>
      <c r="F1785" t="s">
        <v>4</v>
      </c>
      <c r="G1785" t="s">
        <v>211</v>
      </c>
      <c r="H1785" t="s">
        <v>211</v>
      </c>
      <c r="I1785" t="s">
        <v>219</v>
      </c>
      <c r="J1785" s="25">
        <v>3142569</v>
      </c>
      <c r="K1785" s="26">
        <v>522148.71</v>
      </c>
      <c r="L1785" s="26">
        <v>2773.59</v>
      </c>
    </row>
    <row r="1786" spans="1:12" ht="16" customHeight="1">
      <c r="A1786" t="s">
        <v>385</v>
      </c>
      <c r="B1786" t="s">
        <v>7</v>
      </c>
      <c r="C1786" t="s">
        <v>33</v>
      </c>
      <c r="D1786" s="24">
        <v>46023</v>
      </c>
      <c r="E1786" t="s">
        <v>374</v>
      </c>
      <c r="F1786" t="s">
        <v>4</v>
      </c>
      <c r="G1786" t="s">
        <v>211</v>
      </c>
      <c r="H1786" t="s">
        <v>211</v>
      </c>
      <c r="I1786" t="s">
        <v>219</v>
      </c>
      <c r="J1786" s="25">
        <v>205979</v>
      </c>
      <c r="K1786" s="26">
        <v>34237.86</v>
      </c>
      <c r="L1786" s="26">
        <v>241.22</v>
      </c>
    </row>
    <row r="1787" spans="1:12" ht="16" customHeight="1">
      <c r="A1787" t="s">
        <v>385</v>
      </c>
      <c r="B1787" t="s">
        <v>7</v>
      </c>
      <c r="C1787" t="s">
        <v>33</v>
      </c>
      <c r="D1787" s="24">
        <v>46023</v>
      </c>
      <c r="E1787" t="s">
        <v>379</v>
      </c>
      <c r="F1787" t="s">
        <v>4</v>
      </c>
      <c r="G1787" t="s">
        <v>211</v>
      </c>
      <c r="H1787" t="s">
        <v>211</v>
      </c>
      <c r="I1787" t="s">
        <v>219</v>
      </c>
      <c r="J1787" s="25">
        <v>19732</v>
      </c>
      <c r="K1787" s="26">
        <v>3286.59</v>
      </c>
      <c r="L1787" s="26">
        <v>29.68</v>
      </c>
    </row>
    <row r="1788" spans="1:12" ht="16" customHeight="1">
      <c r="A1788" t="s">
        <v>385</v>
      </c>
      <c r="B1788" t="s">
        <v>7</v>
      </c>
      <c r="C1788" t="s">
        <v>33</v>
      </c>
      <c r="D1788" s="24">
        <v>46023</v>
      </c>
      <c r="E1788" t="s">
        <v>326</v>
      </c>
      <c r="F1788" t="s">
        <v>4</v>
      </c>
      <c r="G1788" t="s">
        <v>217</v>
      </c>
      <c r="H1788" t="s">
        <v>217</v>
      </c>
      <c r="I1788" t="s">
        <v>219</v>
      </c>
      <c r="J1788" s="25">
        <v>970459</v>
      </c>
      <c r="K1788" s="26">
        <v>162670.06</v>
      </c>
      <c r="L1788" s="26">
        <v>1760.1</v>
      </c>
    </row>
    <row r="1789" spans="1:12" ht="16" customHeight="1">
      <c r="A1789" t="s">
        <v>385</v>
      </c>
      <c r="B1789" t="s">
        <v>7</v>
      </c>
      <c r="C1789" t="s">
        <v>33</v>
      </c>
      <c r="D1789" s="24">
        <v>46023</v>
      </c>
      <c r="E1789" t="s">
        <v>383</v>
      </c>
      <c r="F1789" t="s">
        <v>3</v>
      </c>
      <c r="G1789" t="s">
        <v>241</v>
      </c>
      <c r="H1789" t="s">
        <v>241</v>
      </c>
      <c r="I1789" t="s">
        <v>221</v>
      </c>
      <c r="J1789" s="25">
        <v>641</v>
      </c>
      <c r="K1789" s="26">
        <v>108.77</v>
      </c>
      <c r="L1789" s="26">
        <v>0.69</v>
      </c>
    </row>
    <row r="1790" spans="1:12" ht="16" customHeight="1">
      <c r="A1790" t="s">
        <v>385</v>
      </c>
      <c r="B1790" t="s">
        <v>7</v>
      </c>
      <c r="C1790" t="s">
        <v>33</v>
      </c>
      <c r="D1790" s="24">
        <v>46023</v>
      </c>
      <c r="E1790" t="s">
        <v>357</v>
      </c>
      <c r="F1790" t="s">
        <v>3</v>
      </c>
      <c r="G1790" t="s">
        <v>358</v>
      </c>
      <c r="H1790" t="s">
        <v>358</v>
      </c>
      <c r="I1790" t="s">
        <v>221</v>
      </c>
      <c r="J1790" s="25">
        <v>176508</v>
      </c>
      <c r="K1790" s="26">
        <v>29594.27</v>
      </c>
      <c r="L1790" s="26">
        <v>379.19</v>
      </c>
    </row>
    <row r="1791" spans="1:12" ht="16" customHeight="1">
      <c r="A1791" t="s">
        <v>385</v>
      </c>
      <c r="B1791" t="s">
        <v>7</v>
      </c>
      <c r="C1791" t="s">
        <v>33</v>
      </c>
      <c r="D1791" s="24">
        <v>46023</v>
      </c>
      <c r="E1791" t="s">
        <v>226</v>
      </c>
      <c r="F1791" t="s">
        <v>4</v>
      </c>
      <c r="G1791" t="s">
        <v>217</v>
      </c>
      <c r="H1791" t="s">
        <v>217</v>
      </c>
      <c r="I1791" t="s">
        <v>267</v>
      </c>
      <c r="J1791" s="25">
        <v>26136</v>
      </c>
      <c r="K1791" s="26">
        <v>4432.7700000000004</v>
      </c>
      <c r="L1791" s="26">
        <v>74.98</v>
      </c>
    </row>
    <row r="1792" spans="1:12" ht="16" customHeight="1">
      <c r="A1792" t="s">
        <v>385</v>
      </c>
      <c r="B1792" t="s">
        <v>7</v>
      </c>
      <c r="C1792" t="s">
        <v>33</v>
      </c>
      <c r="D1792" s="24">
        <v>46023</v>
      </c>
      <c r="E1792" t="s">
        <v>269</v>
      </c>
      <c r="F1792" t="s">
        <v>4</v>
      </c>
      <c r="G1792" t="s">
        <v>217</v>
      </c>
      <c r="H1792" t="s">
        <v>217</v>
      </c>
      <c r="I1792" t="s">
        <v>268</v>
      </c>
      <c r="J1792" s="25">
        <v>3447</v>
      </c>
      <c r="K1792" s="26">
        <v>593.97</v>
      </c>
      <c r="L1792" s="26">
        <v>13.63</v>
      </c>
    </row>
    <row r="1793" spans="1:12" ht="16" customHeight="1">
      <c r="A1793" t="s">
        <v>385</v>
      </c>
      <c r="B1793" t="s">
        <v>7</v>
      </c>
      <c r="C1793" t="s">
        <v>33</v>
      </c>
      <c r="D1793" s="24">
        <v>46023</v>
      </c>
      <c r="E1793" t="s">
        <v>228</v>
      </c>
      <c r="F1793" t="s">
        <v>4</v>
      </c>
      <c r="G1793" t="s">
        <v>217</v>
      </c>
      <c r="H1793" t="s">
        <v>217</v>
      </c>
      <c r="I1793" t="s">
        <v>270</v>
      </c>
      <c r="J1793" s="25">
        <v>11935</v>
      </c>
      <c r="K1793" s="26">
        <v>2074.16</v>
      </c>
      <c r="L1793" s="26">
        <v>55.47</v>
      </c>
    </row>
    <row r="1794" spans="1:12" ht="16" customHeight="1">
      <c r="A1794" t="s">
        <v>385</v>
      </c>
      <c r="B1794" t="s">
        <v>7</v>
      </c>
      <c r="C1794" t="s">
        <v>33</v>
      </c>
      <c r="D1794" s="24">
        <v>46023</v>
      </c>
      <c r="E1794" t="s">
        <v>230</v>
      </c>
      <c r="F1794" t="s">
        <v>4</v>
      </c>
      <c r="G1794" t="s">
        <v>217</v>
      </c>
      <c r="H1794" t="s">
        <v>217</v>
      </c>
      <c r="I1794" t="s">
        <v>363</v>
      </c>
      <c r="J1794" s="25">
        <v>0</v>
      </c>
      <c r="K1794" s="26">
        <v>0</v>
      </c>
      <c r="L1794" s="26">
        <v>0</v>
      </c>
    </row>
    <row r="1795" spans="1:12" ht="16" customHeight="1">
      <c r="A1795" t="s">
        <v>385</v>
      </c>
      <c r="B1795" t="s">
        <v>7</v>
      </c>
      <c r="C1795" t="s">
        <v>33</v>
      </c>
      <c r="D1795" s="24">
        <v>46023</v>
      </c>
      <c r="E1795" t="s">
        <v>232</v>
      </c>
      <c r="F1795" t="s">
        <v>4</v>
      </c>
      <c r="G1795" t="s">
        <v>217</v>
      </c>
      <c r="H1795" t="s">
        <v>217</v>
      </c>
      <c r="I1795" t="s">
        <v>364</v>
      </c>
      <c r="J1795" s="25">
        <v>90</v>
      </c>
      <c r="K1795" s="26">
        <v>15.45</v>
      </c>
      <c r="L1795" s="26">
        <v>0.72</v>
      </c>
    </row>
    <row r="1796" spans="1:12" ht="16" customHeight="1">
      <c r="A1796" t="s">
        <v>385</v>
      </c>
      <c r="B1796" t="s">
        <v>7</v>
      </c>
      <c r="C1796" t="s">
        <v>33</v>
      </c>
      <c r="D1796" s="24">
        <v>46023</v>
      </c>
      <c r="E1796" t="s">
        <v>234</v>
      </c>
      <c r="F1796" t="s">
        <v>4</v>
      </c>
      <c r="G1796" t="s">
        <v>217</v>
      </c>
      <c r="H1796" t="s">
        <v>217</v>
      </c>
      <c r="I1796" t="s">
        <v>365</v>
      </c>
      <c r="J1796" s="25">
        <v>0</v>
      </c>
      <c r="K1796" s="26">
        <v>0</v>
      </c>
      <c r="L1796" s="26">
        <v>0</v>
      </c>
    </row>
    <row r="1797" spans="1:12" ht="16" customHeight="1">
      <c r="A1797" t="s">
        <v>385</v>
      </c>
      <c r="B1797" t="s">
        <v>7</v>
      </c>
      <c r="C1797" t="s">
        <v>33</v>
      </c>
      <c r="D1797" s="24">
        <v>46023</v>
      </c>
      <c r="E1797" t="s">
        <v>236</v>
      </c>
      <c r="F1797" t="s">
        <v>4</v>
      </c>
      <c r="G1797" t="s">
        <v>217</v>
      </c>
      <c r="H1797" t="s">
        <v>217</v>
      </c>
      <c r="I1797" t="s">
        <v>366</v>
      </c>
      <c r="J1797" s="25">
        <v>4</v>
      </c>
      <c r="K1797" s="26">
        <v>0.71</v>
      </c>
      <c r="L1797" s="26">
        <v>0.03</v>
      </c>
    </row>
    <row r="1798" spans="1:12" ht="16" customHeight="1">
      <c r="A1798" t="s">
        <v>385</v>
      </c>
      <c r="B1798" t="s">
        <v>7</v>
      </c>
      <c r="C1798" t="s">
        <v>33</v>
      </c>
      <c r="D1798" s="24">
        <v>46023</v>
      </c>
      <c r="E1798" t="s">
        <v>238</v>
      </c>
      <c r="F1798" t="s">
        <v>4</v>
      </c>
      <c r="G1798" t="s">
        <v>217</v>
      </c>
      <c r="H1798" t="s">
        <v>217</v>
      </c>
      <c r="I1798" t="s">
        <v>367</v>
      </c>
      <c r="J1798" s="25">
        <v>0</v>
      </c>
      <c r="K1798" s="26">
        <v>0</v>
      </c>
      <c r="L1798" s="26">
        <v>0</v>
      </c>
    </row>
    <row r="1799" spans="1:12" ht="16" customHeight="1">
      <c r="A1799" t="s">
        <v>385</v>
      </c>
      <c r="B1799" t="s">
        <v>7</v>
      </c>
      <c r="C1799" t="s">
        <v>33</v>
      </c>
      <c r="D1799" s="24">
        <v>46023</v>
      </c>
      <c r="E1799" t="s">
        <v>240</v>
      </c>
      <c r="F1799" t="s">
        <v>3</v>
      </c>
      <c r="G1799" t="s">
        <v>241</v>
      </c>
      <c r="H1799" t="s">
        <v>241</v>
      </c>
      <c r="I1799" t="s">
        <v>368</v>
      </c>
      <c r="J1799" s="25">
        <v>0</v>
      </c>
      <c r="K1799" s="26">
        <v>0</v>
      </c>
      <c r="L1799" s="26">
        <v>0</v>
      </c>
    </row>
    <row r="1800" spans="1:12" ht="16" customHeight="1">
      <c r="A1800" t="s">
        <v>385</v>
      </c>
      <c r="B1800" t="s">
        <v>7</v>
      </c>
      <c r="C1800" t="s">
        <v>33</v>
      </c>
      <c r="D1800" s="24">
        <v>46023</v>
      </c>
      <c r="E1800" t="s">
        <v>243</v>
      </c>
      <c r="F1800" t="s">
        <v>4</v>
      </c>
      <c r="G1800" t="s">
        <v>217</v>
      </c>
      <c r="H1800" t="s">
        <v>217</v>
      </c>
      <c r="I1800" t="s">
        <v>369</v>
      </c>
      <c r="J1800" s="25">
        <v>0</v>
      </c>
      <c r="K1800" s="26">
        <v>0</v>
      </c>
      <c r="L1800" s="26">
        <v>0</v>
      </c>
    </row>
    <row r="1801" spans="1:12" ht="16" customHeight="1">
      <c r="A1801" t="s">
        <v>385</v>
      </c>
      <c r="B1801" t="s">
        <v>7</v>
      </c>
      <c r="C1801" t="s">
        <v>33</v>
      </c>
      <c r="D1801" s="24">
        <v>46023</v>
      </c>
      <c r="E1801" t="s">
        <v>360</v>
      </c>
      <c r="F1801" t="s">
        <v>4</v>
      </c>
      <c r="G1801" t="s">
        <v>217</v>
      </c>
      <c r="H1801" t="s">
        <v>217</v>
      </c>
      <c r="I1801" t="s">
        <v>370</v>
      </c>
      <c r="J1801" s="25">
        <v>0</v>
      </c>
      <c r="K1801" s="26">
        <v>0</v>
      </c>
      <c r="L1801" s="26">
        <v>0</v>
      </c>
    </row>
    <row r="1802" spans="1:12" ht="16" customHeight="1">
      <c r="A1802" t="s">
        <v>296</v>
      </c>
      <c r="B1802" t="s">
        <v>4</v>
      </c>
      <c r="C1802" t="s">
        <v>33</v>
      </c>
      <c r="D1802" s="24">
        <v>46023</v>
      </c>
      <c r="E1802" t="s">
        <v>296</v>
      </c>
      <c r="F1802" t="s">
        <v>4</v>
      </c>
      <c r="G1802" t="s">
        <v>217</v>
      </c>
      <c r="H1802" t="s">
        <v>261</v>
      </c>
      <c r="I1802" t="s">
        <v>212</v>
      </c>
      <c r="J1802" s="25">
        <v>392546316</v>
      </c>
      <c r="K1802" s="26">
        <v>64148722.32</v>
      </c>
      <c r="L1802" s="26">
        <v>77729.06</v>
      </c>
    </row>
    <row r="1803" spans="1:12" ht="16" customHeight="1">
      <c r="A1803" t="s">
        <v>296</v>
      </c>
      <c r="B1803" t="s">
        <v>4</v>
      </c>
      <c r="C1803" t="s">
        <v>33</v>
      </c>
      <c r="D1803" s="24">
        <v>46023</v>
      </c>
      <c r="E1803" t="s">
        <v>354</v>
      </c>
      <c r="F1803" t="s">
        <v>4</v>
      </c>
      <c r="G1803" t="s">
        <v>211</v>
      </c>
      <c r="H1803" t="s">
        <v>211</v>
      </c>
      <c r="I1803" t="s">
        <v>219</v>
      </c>
      <c r="J1803" s="25">
        <v>8950086</v>
      </c>
      <c r="K1803" s="26">
        <v>1477893.23</v>
      </c>
      <c r="L1803" s="26">
        <v>8723.26</v>
      </c>
    </row>
    <row r="1804" spans="1:12" ht="16" customHeight="1">
      <c r="A1804" t="s">
        <v>296</v>
      </c>
      <c r="B1804" t="s">
        <v>4</v>
      </c>
      <c r="C1804" t="s">
        <v>33</v>
      </c>
      <c r="D1804" s="24">
        <v>46023</v>
      </c>
      <c r="E1804" t="s">
        <v>374</v>
      </c>
      <c r="F1804" t="s">
        <v>4</v>
      </c>
      <c r="G1804" t="s">
        <v>211</v>
      </c>
      <c r="H1804" t="s">
        <v>211</v>
      </c>
      <c r="I1804" t="s">
        <v>219</v>
      </c>
      <c r="J1804" s="25">
        <v>409364</v>
      </c>
      <c r="K1804" s="26">
        <v>67772.73</v>
      </c>
      <c r="L1804" s="26">
        <v>512.19000000000005</v>
      </c>
    </row>
    <row r="1805" spans="1:12" ht="16" customHeight="1">
      <c r="A1805" t="s">
        <v>296</v>
      </c>
      <c r="B1805" t="s">
        <v>4</v>
      </c>
      <c r="C1805" t="s">
        <v>33</v>
      </c>
      <c r="D1805" s="24">
        <v>46023</v>
      </c>
      <c r="E1805" t="s">
        <v>379</v>
      </c>
      <c r="F1805" t="s">
        <v>4</v>
      </c>
      <c r="G1805" t="s">
        <v>211</v>
      </c>
      <c r="H1805" t="s">
        <v>211</v>
      </c>
      <c r="I1805" t="s">
        <v>219</v>
      </c>
      <c r="J1805" s="25">
        <v>34035</v>
      </c>
      <c r="K1805" s="26">
        <v>5632.75</v>
      </c>
      <c r="L1805" s="26">
        <v>55.57</v>
      </c>
    </row>
    <row r="1806" spans="1:12" ht="16" customHeight="1">
      <c r="A1806" t="s">
        <v>296</v>
      </c>
      <c r="B1806" t="s">
        <v>4</v>
      </c>
      <c r="C1806" t="s">
        <v>33</v>
      </c>
      <c r="D1806" s="24">
        <v>46023</v>
      </c>
      <c r="E1806" t="s">
        <v>326</v>
      </c>
      <c r="F1806" t="s">
        <v>4</v>
      </c>
      <c r="G1806" t="s">
        <v>217</v>
      </c>
      <c r="H1806" t="s">
        <v>217</v>
      </c>
      <c r="I1806" t="s">
        <v>219</v>
      </c>
      <c r="J1806" s="25">
        <v>1439003</v>
      </c>
      <c r="K1806" s="26">
        <v>240131.89</v>
      </c>
      <c r="L1806" s="26">
        <v>2879.66</v>
      </c>
    </row>
    <row r="1807" spans="1:12" ht="16" customHeight="1">
      <c r="A1807" t="s">
        <v>296</v>
      </c>
      <c r="B1807" t="s">
        <v>4</v>
      </c>
      <c r="C1807" t="s">
        <v>33</v>
      </c>
      <c r="D1807" s="24">
        <v>46023</v>
      </c>
      <c r="E1807" t="s">
        <v>383</v>
      </c>
      <c r="F1807" t="s">
        <v>3</v>
      </c>
      <c r="G1807" t="s">
        <v>241</v>
      </c>
      <c r="H1807" t="s">
        <v>241</v>
      </c>
      <c r="I1807" t="s">
        <v>221</v>
      </c>
      <c r="J1807" s="25">
        <v>1151</v>
      </c>
      <c r="K1807" s="26">
        <v>192.35</v>
      </c>
      <c r="L1807" s="26">
        <v>1.49</v>
      </c>
    </row>
    <row r="1808" spans="1:12" ht="16" customHeight="1">
      <c r="A1808" t="s">
        <v>296</v>
      </c>
      <c r="B1808" t="s">
        <v>4</v>
      </c>
      <c r="C1808" t="s">
        <v>33</v>
      </c>
      <c r="D1808" s="24">
        <v>46023</v>
      </c>
      <c r="E1808" t="s">
        <v>357</v>
      </c>
      <c r="F1808" t="s">
        <v>3</v>
      </c>
      <c r="G1808" t="s">
        <v>358</v>
      </c>
      <c r="H1808" t="s">
        <v>358</v>
      </c>
      <c r="I1808" t="s">
        <v>221</v>
      </c>
      <c r="J1808" s="25">
        <v>283915</v>
      </c>
      <c r="K1808" s="26">
        <v>47609.48</v>
      </c>
      <c r="L1808" s="26">
        <v>691.82</v>
      </c>
    </row>
    <row r="1809" spans="1:12" ht="16" customHeight="1">
      <c r="A1809" t="s">
        <v>296</v>
      </c>
      <c r="B1809" t="s">
        <v>4</v>
      </c>
      <c r="C1809" t="s">
        <v>33</v>
      </c>
      <c r="D1809" s="24">
        <v>46023</v>
      </c>
      <c r="E1809" t="s">
        <v>226</v>
      </c>
      <c r="F1809" t="s">
        <v>4</v>
      </c>
      <c r="G1809" t="s">
        <v>217</v>
      </c>
      <c r="H1809" t="s">
        <v>217</v>
      </c>
      <c r="I1809" t="s">
        <v>267</v>
      </c>
      <c r="J1809" s="25">
        <v>38190</v>
      </c>
      <c r="K1809" s="26">
        <v>6433.35</v>
      </c>
      <c r="L1809" s="26">
        <v>100.34</v>
      </c>
    </row>
    <row r="1810" spans="1:12" ht="16" customHeight="1">
      <c r="A1810" t="s">
        <v>296</v>
      </c>
      <c r="B1810" t="s">
        <v>4</v>
      </c>
      <c r="C1810" t="s">
        <v>33</v>
      </c>
      <c r="D1810" s="24">
        <v>46023</v>
      </c>
      <c r="E1810" t="s">
        <v>269</v>
      </c>
      <c r="F1810" t="s">
        <v>4</v>
      </c>
      <c r="G1810" t="s">
        <v>217</v>
      </c>
      <c r="H1810" t="s">
        <v>217</v>
      </c>
      <c r="I1810" t="s">
        <v>268</v>
      </c>
      <c r="J1810" s="25">
        <v>4175</v>
      </c>
      <c r="K1810" s="26">
        <v>714.3</v>
      </c>
      <c r="L1810" s="26">
        <v>12.66</v>
      </c>
    </row>
    <row r="1811" spans="1:12" ht="16" customHeight="1">
      <c r="A1811" t="s">
        <v>296</v>
      </c>
      <c r="B1811" t="s">
        <v>4</v>
      </c>
      <c r="C1811" t="s">
        <v>33</v>
      </c>
      <c r="D1811" s="24">
        <v>46023</v>
      </c>
      <c r="E1811" t="s">
        <v>228</v>
      </c>
      <c r="F1811" t="s">
        <v>4</v>
      </c>
      <c r="G1811" t="s">
        <v>217</v>
      </c>
      <c r="H1811" t="s">
        <v>217</v>
      </c>
      <c r="I1811" t="s">
        <v>270</v>
      </c>
      <c r="J1811" s="25">
        <v>15540</v>
      </c>
      <c r="K1811" s="26">
        <v>2675.29</v>
      </c>
      <c r="L1811" s="26">
        <v>77.91</v>
      </c>
    </row>
    <row r="1812" spans="1:12" ht="16" customHeight="1">
      <c r="A1812" t="s">
        <v>296</v>
      </c>
      <c r="B1812" t="s">
        <v>4</v>
      </c>
      <c r="C1812" t="s">
        <v>33</v>
      </c>
      <c r="D1812" s="24">
        <v>46023</v>
      </c>
      <c r="E1812" t="s">
        <v>230</v>
      </c>
      <c r="F1812" t="s">
        <v>4</v>
      </c>
      <c r="G1812" t="s">
        <v>217</v>
      </c>
      <c r="H1812" t="s">
        <v>217</v>
      </c>
      <c r="I1812" t="s">
        <v>363</v>
      </c>
      <c r="J1812" s="25">
        <v>0</v>
      </c>
      <c r="K1812" s="26">
        <v>0</v>
      </c>
      <c r="L1812" s="26">
        <v>0</v>
      </c>
    </row>
    <row r="1813" spans="1:12" ht="16" customHeight="1">
      <c r="A1813" t="s">
        <v>296</v>
      </c>
      <c r="B1813" t="s">
        <v>4</v>
      </c>
      <c r="C1813" t="s">
        <v>33</v>
      </c>
      <c r="D1813" s="24">
        <v>46023</v>
      </c>
      <c r="E1813" t="s">
        <v>232</v>
      </c>
      <c r="F1813" t="s">
        <v>4</v>
      </c>
      <c r="G1813" t="s">
        <v>217</v>
      </c>
      <c r="H1813" t="s">
        <v>217</v>
      </c>
      <c r="I1813" t="s">
        <v>364</v>
      </c>
      <c r="J1813" s="25">
        <v>43</v>
      </c>
      <c r="K1813" s="26">
        <v>7.57</v>
      </c>
      <c r="L1813" s="26">
        <v>0.54</v>
      </c>
    </row>
    <row r="1814" spans="1:12" ht="16" customHeight="1">
      <c r="A1814" t="s">
        <v>296</v>
      </c>
      <c r="B1814" t="s">
        <v>4</v>
      </c>
      <c r="C1814" t="s">
        <v>33</v>
      </c>
      <c r="D1814" s="24">
        <v>46023</v>
      </c>
      <c r="E1814" t="s">
        <v>234</v>
      </c>
      <c r="F1814" t="s">
        <v>4</v>
      </c>
      <c r="G1814" t="s">
        <v>217</v>
      </c>
      <c r="H1814" t="s">
        <v>217</v>
      </c>
      <c r="I1814" t="s">
        <v>365</v>
      </c>
      <c r="J1814" s="25">
        <v>0</v>
      </c>
      <c r="K1814" s="26">
        <v>0</v>
      </c>
      <c r="L1814" s="26">
        <v>0</v>
      </c>
    </row>
    <row r="1815" spans="1:12" ht="16" customHeight="1">
      <c r="A1815" t="s">
        <v>296</v>
      </c>
      <c r="B1815" t="s">
        <v>4</v>
      </c>
      <c r="C1815" t="s">
        <v>33</v>
      </c>
      <c r="D1815" s="24">
        <v>46023</v>
      </c>
      <c r="E1815" t="s">
        <v>236</v>
      </c>
      <c r="F1815" t="s">
        <v>4</v>
      </c>
      <c r="G1815" t="s">
        <v>217</v>
      </c>
      <c r="H1815" t="s">
        <v>217</v>
      </c>
      <c r="I1815" t="s">
        <v>366</v>
      </c>
      <c r="J1815" s="25">
        <v>0</v>
      </c>
      <c r="K1815" s="26">
        <v>0</v>
      </c>
      <c r="L1815" s="26">
        <v>0</v>
      </c>
    </row>
    <row r="1816" spans="1:12" ht="16" customHeight="1">
      <c r="A1816" t="s">
        <v>296</v>
      </c>
      <c r="B1816" t="s">
        <v>4</v>
      </c>
      <c r="C1816" t="s">
        <v>33</v>
      </c>
      <c r="D1816" s="24">
        <v>46023</v>
      </c>
      <c r="E1816" t="s">
        <v>238</v>
      </c>
      <c r="F1816" t="s">
        <v>4</v>
      </c>
      <c r="G1816" t="s">
        <v>217</v>
      </c>
      <c r="H1816" t="s">
        <v>217</v>
      </c>
      <c r="I1816" t="s">
        <v>367</v>
      </c>
      <c r="J1816" s="25">
        <v>0</v>
      </c>
      <c r="K1816" s="26">
        <v>0</v>
      </c>
      <c r="L1816" s="26">
        <v>0</v>
      </c>
    </row>
    <row r="1817" spans="1:12" ht="16" customHeight="1">
      <c r="A1817" t="s">
        <v>296</v>
      </c>
      <c r="B1817" t="s">
        <v>4</v>
      </c>
      <c r="C1817" t="s">
        <v>33</v>
      </c>
      <c r="D1817" s="24">
        <v>46023</v>
      </c>
      <c r="E1817" t="s">
        <v>240</v>
      </c>
      <c r="F1817" t="s">
        <v>3</v>
      </c>
      <c r="G1817" t="s">
        <v>241</v>
      </c>
      <c r="H1817" t="s">
        <v>241</v>
      </c>
      <c r="I1817" t="s">
        <v>368</v>
      </c>
      <c r="J1817" s="25">
        <v>2</v>
      </c>
      <c r="K1817" s="26">
        <v>0.43</v>
      </c>
      <c r="L1817" s="26">
        <v>0.04</v>
      </c>
    </row>
    <row r="1818" spans="1:12" ht="16" customHeight="1">
      <c r="A1818" t="s">
        <v>296</v>
      </c>
      <c r="B1818" t="s">
        <v>4</v>
      </c>
      <c r="C1818" t="s">
        <v>33</v>
      </c>
      <c r="D1818" s="24">
        <v>46023</v>
      </c>
      <c r="E1818" t="s">
        <v>243</v>
      </c>
      <c r="F1818" t="s">
        <v>4</v>
      </c>
      <c r="G1818" t="s">
        <v>217</v>
      </c>
      <c r="H1818" t="s">
        <v>217</v>
      </c>
      <c r="I1818" t="s">
        <v>369</v>
      </c>
      <c r="J1818" s="25">
        <v>0</v>
      </c>
      <c r="K1818" s="26">
        <v>0</v>
      </c>
      <c r="L1818" s="26">
        <v>0</v>
      </c>
    </row>
    <row r="1819" spans="1:12" ht="16" customHeight="1">
      <c r="A1819" t="s">
        <v>296</v>
      </c>
      <c r="B1819" t="s">
        <v>4</v>
      </c>
      <c r="C1819" t="s">
        <v>33</v>
      </c>
      <c r="D1819" s="24">
        <v>46023</v>
      </c>
      <c r="E1819" t="s">
        <v>360</v>
      </c>
      <c r="F1819" t="s">
        <v>4</v>
      </c>
      <c r="G1819" t="s">
        <v>217</v>
      </c>
      <c r="H1819" t="s">
        <v>217</v>
      </c>
      <c r="I1819" t="s">
        <v>370</v>
      </c>
      <c r="J1819" s="25">
        <v>0</v>
      </c>
      <c r="K1819" s="26">
        <v>0</v>
      </c>
      <c r="L1819" s="26">
        <v>0</v>
      </c>
    </row>
    <row r="1820" spans="1:12" ht="16" customHeight="1">
      <c r="A1820" t="s">
        <v>386</v>
      </c>
      <c r="B1820" t="s">
        <v>5</v>
      </c>
      <c r="C1820" t="s">
        <v>33</v>
      </c>
      <c r="D1820" s="24">
        <v>46023</v>
      </c>
      <c r="E1820" t="s">
        <v>354</v>
      </c>
      <c r="F1820" t="s">
        <v>4</v>
      </c>
      <c r="G1820" t="s">
        <v>211</v>
      </c>
      <c r="H1820" t="s">
        <v>211</v>
      </c>
      <c r="I1820" t="s">
        <v>219</v>
      </c>
      <c r="J1820" s="25">
        <v>45617780</v>
      </c>
      <c r="K1820" s="26">
        <v>7555377.9800000004</v>
      </c>
      <c r="L1820" s="26">
        <v>39181.9</v>
      </c>
    </row>
    <row r="1821" spans="1:12" ht="16" customHeight="1">
      <c r="A1821" t="s">
        <v>386</v>
      </c>
      <c r="B1821" t="s">
        <v>5</v>
      </c>
      <c r="C1821" t="s">
        <v>33</v>
      </c>
      <c r="D1821" s="24">
        <v>46023</v>
      </c>
      <c r="E1821" t="s">
        <v>374</v>
      </c>
      <c r="F1821" t="s">
        <v>4</v>
      </c>
      <c r="G1821" t="s">
        <v>211</v>
      </c>
      <c r="H1821" t="s">
        <v>211</v>
      </c>
      <c r="I1821" t="s">
        <v>219</v>
      </c>
      <c r="J1821" s="25">
        <v>926122</v>
      </c>
      <c r="K1821" s="26">
        <v>153486.01999999999</v>
      </c>
      <c r="L1821" s="26">
        <v>932.51</v>
      </c>
    </row>
    <row r="1822" spans="1:12" ht="16" customHeight="1">
      <c r="A1822" t="s">
        <v>386</v>
      </c>
      <c r="B1822" t="s">
        <v>5</v>
      </c>
      <c r="C1822" t="s">
        <v>33</v>
      </c>
      <c r="D1822" s="24">
        <v>46023</v>
      </c>
      <c r="E1822" t="s">
        <v>379</v>
      </c>
      <c r="F1822" t="s">
        <v>4</v>
      </c>
      <c r="G1822" t="s">
        <v>211</v>
      </c>
      <c r="H1822" t="s">
        <v>211</v>
      </c>
      <c r="I1822" t="s">
        <v>219</v>
      </c>
      <c r="J1822" s="25">
        <v>57294</v>
      </c>
      <c r="K1822" s="26">
        <v>9538.0300000000007</v>
      </c>
      <c r="L1822" s="26">
        <v>82.65</v>
      </c>
    </row>
    <row r="1823" spans="1:12" ht="16" customHeight="1">
      <c r="A1823" t="s">
        <v>386</v>
      </c>
      <c r="B1823" t="s">
        <v>5</v>
      </c>
      <c r="C1823" t="s">
        <v>33</v>
      </c>
      <c r="D1823" s="24">
        <v>46023</v>
      </c>
      <c r="E1823" t="s">
        <v>326</v>
      </c>
      <c r="F1823" t="s">
        <v>4</v>
      </c>
      <c r="G1823" t="s">
        <v>217</v>
      </c>
      <c r="H1823" t="s">
        <v>217</v>
      </c>
      <c r="I1823" t="s">
        <v>219</v>
      </c>
      <c r="J1823" s="25">
        <v>1333120</v>
      </c>
      <c r="K1823" s="26">
        <v>222034.65</v>
      </c>
      <c r="L1823" s="26">
        <v>2013.34</v>
      </c>
    </row>
    <row r="1824" spans="1:12" ht="16" customHeight="1">
      <c r="A1824" t="s">
        <v>386</v>
      </c>
      <c r="B1824" t="s">
        <v>5</v>
      </c>
      <c r="C1824" t="s">
        <v>33</v>
      </c>
      <c r="D1824" s="24">
        <v>46023</v>
      </c>
      <c r="E1824" t="s">
        <v>383</v>
      </c>
      <c r="F1824" t="s">
        <v>3</v>
      </c>
      <c r="G1824" t="s">
        <v>241</v>
      </c>
      <c r="H1824" t="s">
        <v>241</v>
      </c>
      <c r="I1824" t="s">
        <v>221</v>
      </c>
      <c r="J1824" s="25">
        <v>3895</v>
      </c>
      <c r="K1824" s="26">
        <v>650.01</v>
      </c>
      <c r="L1824" s="26">
        <v>6.29</v>
      </c>
    </row>
    <row r="1825" spans="1:12" ht="16" customHeight="1">
      <c r="A1825" t="s">
        <v>386</v>
      </c>
      <c r="B1825" t="s">
        <v>5</v>
      </c>
      <c r="C1825" t="s">
        <v>33</v>
      </c>
      <c r="D1825" s="24">
        <v>46023</v>
      </c>
      <c r="E1825" t="s">
        <v>357</v>
      </c>
      <c r="F1825" t="s">
        <v>3</v>
      </c>
      <c r="G1825" t="s">
        <v>358</v>
      </c>
      <c r="H1825" t="s">
        <v>358</v>
      </c>
      <c r="I1825" t="s">
        <v>221</v>
      </c>
      <c r="J1825" s="25">
        <v>190979</v>
      </c>
      <c r="K1825" s="26">
        <v>32075.46</v>
      </c>
      <c r="L1825" s="26">
        <v>342.18</v>
      </c>
    </row>
    <row r="1826" spans="1:12" ht="16" customHeight="1">
      <c r="A1826" t="s">
        <v>386</v>
      </c>
      <c r="B1826" t="s">
        <v>5</v>
      </c>
      <c r="C1826" t="s">
        <v>33</v>
      </c>
      <c r="D1826" s="24">
        <v>46023</v>
      </c>
      <c r="E1826" t="s">
        <v>387</v>
      </c>
      <c r="F1826" t="s">
        <v>4</v>
      </c>
      <c r="G1826" t="s">
        <v>217</v>
      </c>
      <c r="H1826" t="s">
        <v>217</v>
      </c>
      <c r="I1826" t="s">
        <v>223</v>
      </c>
      <c r="J1826" s="25">
        <v>6558</v>
      </c>
      <c r="K1826" s="26">
        <v>1104.49</v>
      </c>
      <c r="L1826" s="26">
        <v>16.34</v>
      </c>
    </row>
    <row r="1827" spans="1:12" ht="16" customHeight="1">
      <c r="A1827" t="s">
        <v>386</v>
      </c>
      <c r="B1827" t="s">
        <v>5</v>
      </c>
      <c r="C1827" t="s">
        <v>33</v>
      </c>
      <c r="D1827" s="24">
        <v>46023</v>
      </c>
      <c r="E1827" t="s">
        <v>226</v>
      </c>
      <c r="F1827" t="s">
        <v>4</v>
      </c>
      <c r="G1827" t="s">
        <v>217</v>
      </c>
      <c r="H1827" t="s">
        <v>217</v>
      </c>
      <c r="I1827" t="s">
        <v>267</v>
      </c>
      <c r="J1827" s="25">
        <v>29748</v>
      </c>
      <c r="K1827" s="26">
        <v>5167.24</v>
      </c>
      <c r="L1827" s="26">
        <v>71.84</v>
      </c>
    </row>
    <row r="1828" spans="1:12" ht="16" customHeight="1">
      <c r="A1828" t="s">
        <v>386</v>
      </c>
      <c r="B1828" t="s">
        <v>5</v>
      </c>
      <c r="C1828" t="s">
        <v>33</v>
      </c>
      <c r="D1828" s="24">
        <v>46023</v>
      </c>
      <c r="E1828" t="s">
        <v>269</v>
      </c>
      <c r="F1828" t="s">
        <v>4</v>
      </c>
      <c r="G1828" t="s">
        <v>217</v>
      </c>
      <c r="H1828" t="s">
        <v>217</v>
      </c>
      <c r="I1828" t="s">
        <v>268</v>
      </c>
      <c r="J1828" s="25">
        <v>1897</v>
      </c>
      <c r="K1828" s="26">
        <v>328.48</v>
      </c>
      <c r="L1828" s="26">
        <v>6.13</v>
      </c>
    </row>
    <row r="1829" spans="1:12" ht="16" customHeight="1">
      <c r="A1829" t="s">
        <v>386</v>
      </c>
      <c r="B1829" t="s">
        <v>5</v>
      </c>
      <c r="C1829" t="s">
        <v>33</v>
      </c>
      <c r="D1829" s="24">
        <v>46023</v>
      </c>
      <c r="E1829" t="s">
        <v>228</v>
      </c>
      <c r="F1829" t="s">
        <v>4</v>
      </c>
      <c r="G1829" t="s">
        <v>217</v>
      </c>
      <c r="H1829" t="s">
        <v>217</v>
      </c>
      <c r="I1829" t="s">
        <v>270</v>
      </c>
      <c r="J1829" s="25">
        <v>12494</v>
      </c>
      <c r="K1829" s="26">
        <v>2132.59</v>
      </c>
      <c r="L1829" s="26">
        <v>57.03</v>
      </c>
    </row>
    <row r="1830" spans="1:12" ht="16" customHeight="1">
      <c r="A1830" t="s">
        <v>386</v>
      </c>
      <c r="B1830" t="s">
        <v>5</v>
      </c>
      <c r="C1830" t="s">
        <v>33</v>
      </c>
      <c r="D1830" s="24">
        <v>46023</v>
      </c>
      <c r="E1830" t="s">
        <v>230</v>
      </c>
      <c r="F1830" t="s">
        <v>4</v>
      </c>
      <c r="G1830" t="s">
        <v>217</v>
      </c>
      <c r="H1830" t="s">
        <v>217</v>
      </c>
      <c r="I1830" t="s">
        <v>363</v>
      </c>
      <c r="J1830" s="25">
        <v>0</v>
      </c>
      <c r="K1830" s="26">
        <v>0</v>
      </c>
      <c r="L1830" s="26">
        <v>0</v>
      </c>
    </row>
    <row r="1831" spans="1:12" ht="16" customHeight="1">
      <c r="A1831" t="s">
        <v>386</v>
      </c>
      <c r="B1831" t="s">
        <v>5</v>
      </c>
      <c r="C1831" t="s">
        <v>33</v>
      </c>
      <c r="D1831" s="24">
        <v>46023</v>
      </c>
      <c r="E1831" t="s">
        <v>232</v>
      </c>
      <c r="F1831" t="s">
        <v>4</v>
      </c>
      <c r="G1831" t="s">
        <v>217</v>
      </c>
      <c r="H1831" t="s">
        <v>217</v>
      </c>
      <c r="I1831" t="s">
        <v>364</v>
      </c>
      <c r="J1831" s="25">
        <v>23</v>
      </c>
      <c r="K1831" s="26">
        <v>3.95</v>
      </c>
      <c r="L1831" s="26">
        <v>0.2</v>
      </c>
    </row>
    <row r="1832" spans="1:12" ht="16" customHeight="1">
      <c r="A1832" t="s">
        <v>386</v>
      </c>
      <c r="B1832" t="s">
        <v>5</v>
      </c>
      <c r="C1832" t="s">
        <v>33</v>
      </c>
      <c r="D1832" s="24">
        <v>46023</v>
      </c>
      <c r="E1832" t="s">
        <v>234</v>
      </c>
      <c r="F1832" t="s">
        <v>4</v>
      </c>
      <c r="G1832" t="s">
        <v>217</v>
      </c>
      <c r="H1832" t="s">
        <v>217</v>
      </c>
      <c r="I1832" t="s">
        <v>365</v>
      </c>
      <c r="J1832" s="25">
        <v>0</v>
      </c>
      <c r="K1832" s="26">
        <v>0</v>
      </c>
      <c r="L1832" s="26">
        <v>0</v>
      </c>
    </row>
    <row r="1833" spans="1:12" ht="16" customHeight="1">
      <c r="A1833" t="s">
        <v>386</v>
      </c>
      <c r="B1833" t="s">
        <v>5</v>
      </c>
      <c r="C1833" t="s">
        <v>33</v>
      </c>
      <c r="D1833" s="24">
        <v>46023</v>
      </c>
      <c r="E1833" t="s">
        <v>236</v>
      </c>
      <c r="F1833" t="s">
        <v>4</v>
      </c>
      <c r="G1833" t="s">
        <v>217</v>
      </c>
      <c r="H1833" t="s">
        <v>217</v>
      </c>
      <c r="I1833" t="s">
        <v>366</v>
      </c>
      <c r="J1833" s="25">
        <v>3</v>
      </c>
      <c r="K1833" s="26">
        <v>0.57999999999999996</v>
      </c>
      <c r="L1833" s="26">
        <v>0.05</v>
      </c>
    </row>
    <row r="1834" spans="1:12" ht="16" customHeight="1">
      <c r="A1834" t="s">
        <v>386</v>
      </c>
      <c r="B1834" t="s">
        <v>5</v>
      </c>
      <c r="C1834" t="s">
        <v>33</v>
      </c>
      <c r="D1834" s="24">
        <v>46023</v>
      </c>
      <c r="E1834" t="s">
        <v>238</v>
      </c>
      <c r="F1834" t="s">
        <v>4</v>
      </c>
      <c r="G1834" t="s">
        <v>217</v>
      </c>
      <c r="H1834" t="s">
        <v>217</v>
      </c>
      <c r="I1834" t="s">
        <v>367</v>
      </c>
      <c r="J1834" s="25">
        <v>0</v>
      </c>
      <c r="K1834" s="26">
        <v>0</v>
      </c>
      <c r="L1834" s="26">
        <v>0</v>
      </c>
    </row>
    <row r="1835" spans="1:12" ht="16" customHeight="1">
      <c r="A1835" t="s">
        <v>386</v>
      </c>
      <c r="B1835" t="s">
        <v>5</v>
      </c>
      <c r="C1835" t="s">
        <v>33</v>
      </c>
      <c r="D1835" s="24">
        <v>46023</v>
      </c>
      <c r="E1835" t="s">
        <v>240</v>
      </c>
      <c r="F1835" t="s">
        <v>3</v>
      </c>
      <c r="G1835" t="s">
        <v>241</v>
      </c>
      <c r="H1835" t="s">
        <v>241</v>
      </c>
      <c r="I1835" t="s">
        <v>368</v>
      </c>
      <c r="J1835" s="25">
        <v>5</v>
      </c>
      <c r="K1835" s="26">
        <v>1.02</v>
      </c>
      <c r="L1835" s="26">
        <v>0.09</v>
      </c>
    </row>
    <row r="1836" spans="1:12" ht="16" customHeight="1">
      <c r="A1836" t="s">
        <v>386</v>
      </c>
      <c r="B1836" t="s">
        <v>5</v>
      </c>
      <c r="C1836" t="s">
        <v>33</v>
      </c>
      <c r="D1836" s="24">
        <v>46023</v>
      </c>
      <c r="E1836" t="s">
        <v>243</v>
      </c>
      <c r="F1836" t="s">
        <v>4</v>
      </c>
      <c r="G1836" t="s">
        <v>217</v>
      </c>
      <c r="H1836" t="s">
        <v>217</v>
      </c>
      <c r="I1836" t="s">
        <v>369</v>
      </c>
      <c r="J1836" s="25">
        <v>0</v>
      </c>
      <c r="K1836" s="26">
        <v>0</v>
      </c>
      <c r="L1836" s="26">
        <v>0</v>
      </c>
    </row>
    <row r="1837" spans="1:12" ht="16" customHeight="1">
      <c r="A1837" t="s">
        <v>386</v>
      </c>
      <c r="B1837" t="s">
        <v>5</v>
      </c>
      <c r="C1837" t="s">
        <v>33</v>
      </c>
      <c r="D1837" s="24">
        <v>46023</v>
      </c>
      <c r="E1837" t="s">
        <v>360</v>
      </c>
      <c r="F1837" t="s">
        <v>4</v>
      </c>
      <c r="G1837" t="s">
        <v>217</v>
      </c>
      <c r="H1837" t="s">
        <v>217</v>
      </c>
      <c r="I1837" t="s">
        <v>370</v>
      </c>
      <c r="J1837" s="25">
        <v>0</v>
      </c>
      <c r="K1837" s="26">
        <v>0</v>
      </c>
      <c r="L1837" s="26">
        <v>0</v>
      </c>
    </row>
    <row r="1838" spans="1:12" ht="16" customHeight="1">
      <c r="A1838" t="s">
        <v>388</v>
      </c>
      <c r="B1838" t="s">
        <v>6</v>
      </c>
      <c r="C1838" t="s">
        <v>34</v>
      </c>
      <c r="D1838" s="24">
        <v>46023</v>
      </c>
      <c r="E1838" t="s">
        <v>354</v>
      </c>
      <c r="F1838" t="s">
        <v>4</v>
      </c>
      <c r="G1838" t="s">
        <v>211</v>
      </c>
      <c r="H1838" t="s">
        <v>211</v>
      </c>
      <c r="I1838" t="s">
        <v>219</v>
      </c>
      <c r="J1838" s="25">
        <v>43486226</v>
      </c>
      <c r="K1838" s="26">
        <v>7202088.3200000003</v>
      </c>
      <c r="L1838" s="26">
        <v>32721.48</v>
      </c>
    </row>
    <row r="1839" spans="1:12" ht="16" customHeight="1">
      <c r="A1839" t="s">
        <v>388</v>
      </c>
      <c r="B1839" t="s">
        <v>6</v>
      </c>
      <c r="C1839" t="s">
        <v>34</v>
      </c>
      <c r="D1839" s="24">
        <v>46023</v>
      </c>
      <c r="E1839" t="s">
        <v>374</v>
      </c>
      <c r="F1839" t="s">
        <v>4</v>
      </c>
      <c r="G1839" t="s">
        <v>211</v>
      </c>
      <c r="H1839" t="s">
        <v>211</v>
      </c>
      <c r="I1839" t="s">
        <v>219</v>
      </c>
      <c r="J1839" s="25">
        <v>1120920</v>
      </c>
      <c r="K1839" s="26">
        <v>185776.78</v>
      </c>
      <c r="L1839" s="26">
        <v>1119.3499999999999</v>
      </c>
    </row>
    <row r="1840" spans="1:12" ht="16" customHeight="1">
      <c r="A1840" t="s">
        <v>388</v>
      </c>
      <c r="B1840" t="s">
        <v>6</v>
      </c>
      <c r="C1840" t="s">
        <v>34</v>
      </c>
      <c r="D1840" s="24">
        <v>46023</v>
      </c>
      <c r="E1840" t="s">
        <v>379</v>
      </c>
      <c r="F1840" t="s">
        <v>4</v>
      </c>
      <c r="G1840" t="s">
        <v>211</v>
      </c>
      <c r="H1840" t="s">
        <v>211</v>
      </c>
      <c r="I1840" t="s">
        <v>219</v>
      </c>
      <c r="J1840" s="25">
        <v>62054</v>
      </c>
      <c r="K1840" s="26">
        <v>10325.370000000001</v>
      </c>
      <c r="L1840" s="26">
        <v>84.63</v>
      </c>
    </row>
    <row r="1841" spans="1:12" ht="16" customHeight="1">
      <c r="A1841" t="s">
        <v>388</v>
      </c>
      <c r="B1841" t="s">
        <v>6</v>
      </c>
      <c r="C1841" t="s">
        <v>34</v>
      </c>
      <c r="D1841" s="24">
        <v>46023</v>
      </c>
      <c r="E1841" t="s">
        <v>326</v>
      </c>
      <c r="F1841" t="s">
        <v>4</v>
      </c>
      <c r="G1841" t="s">
        <v>217</v>
      </c>
      <c r="H1841" t="s">
        <v>217</v>
      </c>
      <c r="I1841" t="s">
        <v>219</v>
      </c>
      <c r="J1841" s="25">
        <v>1345064</v>
      </c>
      <c r="K1841" s="26">
        <v>224159.81</v>
      </c>
      <c r="L1841" s="26">
        <v>1995.34</v>
      </c>
    </row>
    <row r="1842" spans="1:12" ht="16" customHeight="1">
      <c r="A1842" t="s">
        <v>388</v>
      </c>
      <c r="B1842" t="s">
        <v>6</v>
      </c>
      <c r="C1842" t="s">
        <v>34</v>
      </c>
      <c r="D1842" s="24">
        <v>46023</v>
      </c>
      <c r="E1842" t="s">
        <v>383</v>
      </c>
      <c r="F1842" t="s">
        <v>3</v>
      </c>
      <c r="G1842" t="s">
        <v>241</v>
      </c>
      <c r="H1842" t="s">
        <v>241</v>
      </c>
      <c r="I1842" t="s">
        <v>221</v>
      </c>
      <c r="J1842" s="25">
        <v>3968</v>
      </c>
      <c r="K1842" s="26">
        <v>661.34</v>
      </c>
      <c r="L1842" s="26">
        <v>6.48</v>
      </c>
    </row>
    <row r="1843" spans="1:12" ht="16" customHeight="1">
      <c r="A1843" t="s">
        <v>388</v>
      </c>
      <c r="B1843" t="s">
        <v>6</v>
      </c>
      <c r="C1843" t="s">
        <v>34</v>
      </c>
      <c r="D1843" s="24">
        <v>46023</v>
      </c>
      <c r="E1843" t="s">
        <v>357</v>
      </c>
      <c r="F1843" t="s">
        <v>3</v>
      </c>
      <c r="G1843" t="s">
        <v>358</v>
      </c>
      <c r="H1843" t="s">
        <v>358</v>
      </c>
      <c r="I1843" t="s">
        <v>221</v>
      </c>
      <c r="J1843" s="25">
        <v>212586</v>
      </c>
      <c r="K1843" s="26">
        <v>35893.199999999997</v>
      </c>
      <c r="L1843" s="26">
        <v>331.26</v>
      </c>
    </row>
    <row r="1844" spans="1:12" ht="16" customHeight="1">
      <c r="A1844" t="s">
        <v>388</v>
      </c>
      <c r="B1844" t="s">
        <v>6</v>
      </c>
      <c r="C1844" t="s">
        <v>34</v>
      </c>
      <c r="D1844" s="24">
        <v>46023</v>
      </c>
      <c r="E1844" t="s">
        <v>387</v>
      </c>
      <c r="F1844" t="s">
        <v>4</v>
      </c>
      <c r="G1844" t="s">
        <v>217</v>
      </c>
      <c r="H1844" t="s">
        <v>217</v>
      </c>
      <c r="I1844" t="s">
        <v>223</v>
      </c>
      <c r="J1844" s="25">
        <v>12159</v>
      </c>
      <c r="K1844" s="26">
        <v>2067.16</v>
      </c>
      <c r="L1844" s="26">
        <v>30.88</v>
      </c>
    </row>
    <row r="1845" spans="1:12" ht="16" customHeight="1">
      <c r="A1845" t="s">
        <v>388</v>
      </c>
      <c r="B1845" t="s">
        <v>6</v>
      </c>
      <c r="C1845" t="s">
        <v>34</v>
      </c>
      <c r="D1845" s="24">
        <v>46023</v>
      </c>
      <c r="E1845" t="s">
        <v>226</v>
      </c>
      <c r="F1845" t="s">
        <v>4</v>
      </c>
      <c r="G1845" t="s">
        <v>217</v>
      </c>
      <c r="H1845" t="s">
        <v>217</v>
      </c>
      <c r="I1845" t="s">
        <v>267</v>
      </c>
      <c r="J1845" s="25">
        <v>32546</v>
      </c>
      <c r="K1845" s="26">
        <v>5615.71</v>
      </c>
      <c r="L1845" s="26">
        <v>88.46</v>
      </c>
    </row>
    <row r="1846" spans="1:12" ht="16" customHeight="1">
      <c r="A1846" t="s">
        <v>388</v>
      </c>
      <c r="B1846" t="s">
        <v>6</v>
      </c>
      <c r="C1846" t="s">
        <v>34</v>
      </c>
      <c r="D1846" s="24">
        <v>46023</v>
      </c>
      <c r="E1846" t="s">
        <v>269</v>
      </c>
      <c r="F1846" t="s">
        <v>4</v>
      </c>
      <c r="G1846" t="s">
        <v>217</v>
      </c>
      <c r="H1846" t="s">
        <v>217</v>
      </c>
      <c r="I1846" t="s">
        <v>268</v>
      </c>
      <c r="J1846" s="25">
        <v>3248</v>
      </c>
      <c r="K1846" s="26">
        <v>570.66999999999996</v>
      </c>
      <c r="L1846" s="26">
        <v>10.02</v>
      </c>
    </row>
    <row r="1847" spans="1:12" ht="16" customHeight="1">
      <c r="A1847" t="s">
        <v>388</v>
      </c>
      <c r="B1847" t="s">
        <v>6</v>
      </c>
      <c r="C1847" t="s">
        <v>34</v>
      </c>
      <c r="D1847" s="24">
        <v>46023</v>
      </c>
      <c r="E1847" t="s">
        <v>228</v>
      </c>
      <c r="F1847" t="s">
        <v>4</v>
      </c>
      <c r="G1847" t="s">
        <v>217</v>
      </c>
      <c r="H1847" t="s">
        <v>217</v>
      </c>
      <c r="I1847" t="s">
        <v>270</v>
      </c>
      <c r="J1847" s="25">
        <v>14356</v>
      </c>
      <c r="K1847" s="26">
        <v>2517.0100000000002</v>
      </c>
      <c r="L1847" s="26">
        <v>79.09</v>
      </c>
    </row>
    <row r="1848" spans="1:12" ht="16" customHeight="1">
      <c r="A1848" t="s">
        <v>388</v>
      </c>
      <c r="B1848" t="s">
        <v>6</v>
      </c>
      <c r="C1848" t="s">
        <v>34</v>
      </c>
      <c r="D1848" s="24">
        <v>46023</v>
      </c>
      <c r="E1848" t="s">
        <v>230</v>
      </c>
      <c r="F1848" t="s">
        <v>4</v>
      </c>
      <c r="G1848" t="s">
        <v>217</v>
      </c>
      <c r="H1848" t="s">
        <v>217</v>
      </c>
      <c r="I1848" t="s">
        <v>363</v>
      </c>
      <c r="J1848" s="25">
        <v>0</v>
      </c>
      <c r="K1848" s="26">
        <v>0</v>
      </c>
      <c r="L1848" s="26">
        <v>0</v>
      </c>
    </row>
    <row r="1849" spans="1:12" ht="16" customHeight="1">
      <c r="A1849" t="s">
        <v>388</v>
      </c>
      <c r="B1849" t="s">
        <v>6</v>
      </c>
      <c r="C1849" t="s">
        <v>34</v>
      </c>
      <c r="D1849" s="24">
        <v>46023</v>
      </c>
      <c r="E1849" t="s">
        <v>232</v>
      </c>
      <c r="F1849" t="s">
        <v>4</v>
      </c>
      <c r="G1849" t="s">
        <v>217</v>
      </c>
      <c r="H1849" t="s">
        <v>217</v>
      </c>
      <c r="I1849" t="s">
        <v>364</v>
      </c>
      <c r="J1849" s="25">
        <v>34</v>
      </c>
      <c r="K1849" s="26">
        <v>5.73</v>
      </c>
      <c r="L1849" s="26">
        <v>0.26</v>
      </c>
    </row>
    <row r="1850" spans="1:12" ht="16" customHeight="1">
      <c r="A1850" t="s">
        <v>388</v>
      </c>
      <c r="B1850" t="s">
        <v>6</v>
      </c>
      <c r="C1850" t="s">
        <v>34</v>
      </c>
      <c r="D1850" s="24">
        <v>46023</v>
      </c>
      <c r="E1850" t="s">
        <v>234</v>
      </c>
      <c r="F1850" t="s">
        <v>4</v>
      </c>
      <c r="G1850" t="s">
        <v>217</v>
      </c>
      <c r="H1850" t="s">
        <v>217</v>
      </c>
      <c r="I1850" t="s">
        <v>365</v>
      </c>
      <c r="J1850" s="25">
        <v>0</v>
      </c>
      <c r="K1850" s="26">
        <v>0</v>
      </c>
      <c r="L1850" s="26">
        <v>0</v>
      </c>
    </row>
    <row r="1851" spans="1:12" ht="16" customHeight="1">
      <c r="A1851" t="s">
        <v>388</v>
      </c>
      <c r="B1851" t="s">
        <v>6</v>
      </c>
      <c r="C1851" t="s">
        <v>34</v>
      </c>
      <c r="D1851" s="24">
        <v>46023</v>
      </c>
      <c r="E1851" t="s">
        <v>236</v>
      </c>
      <c r="F1851" t="s">
        <v>4</v>
      </c>
      <c r="G1851" t="s">
        <v>217</v>
      </c>
      <c r="H1851" t="s">
        <v>217</v>
      </c>
      <c r="I1851" t="s">
        <v>366</v>
      </c>
      <c r="J1851" s="25">
        <v>20</v>
      </c>
      <c r="K1851" s="26">
        <v>3.75</v>
      </c>
      <c r="L1851" s="26">
        <v>0.19</v>
      </c>
    </row>
    <row r="1852" spans="1:12" ht="16" customHeight="1">
      <c r="A1852" t="s">
        <v>388</v>
      </c>
      <c r="B1852" t="s">
        <v>6</v>
      </c>
      <c r="C1852" t="s">
        <v>34</v>
      </c>
      <c r="D1852" s="24">
        <v>46023</v>
      </c>
      <c r="E1852" t="s">
        <v>238</v>
      </c>
      <c r="F1852" t="s">
        <v>4</v>
      </c>
      <c r="G1852" t="s">
        <v>217</v>
      </c>
      <c r="H1852" t="s">
        <v>217</v>
      </c>
      <c r="I1852" t="s">
        <v>367</v>
      </c>
      <c r="J1852" s="25">
        <v>0</v>
      </c>
      <c r="K1852" s="26">
        <v>0</v>
      </c>
      <c r="L1852" s="26">
        <v>0</v>
      </c>
    </row>
    <row r="1853" spans="1:12" ht="16" customHeight="1">
      <c r="A1853" t="s">
        <v>388</v>
      </c>
      <c r="B1853" t="s">
        <v>6</v>
      </c>
      <c r="C1853" t="s">
        <v>34</v>
      </c>
      <c r="D1853" s="24">
        <v>46023</v>
      </c>
      <c r="E1853" t="s">
        <v>240</v>
      </c>
      <c r="F1853" t="s">
        <v>3</v>
      </c>
      <c r="G1853" t="s">
        <v>241</v>
      </c>
      <c r="H1853" t="s">
        <v>241</v>
      </c>
      <c r="I1853" t="s">
        <v>368</v>
      </c>
      <c r="J1853" s="25">
        <v>0</v>
      </c>
      <c r="K1853" s="26">
        <v>0</v>
      </c>
      <c r="L1853" s="26">
        <v>0</v>
      </c>
    </row>
    <row r="1854" spans="1:12" ht="16" customHeight="1">
      <c r="A1854" t="s">
        <v>388</v>
      </c>
      <c r="B1854" t="s">
        <v>6</v>
      </c>
      <c r="C1854" t="s">
        <v>34</v>
      </c>
      <c r="D1854" s="24">
        <v>46023</v>
      </c>
      <c r="E1854" t="s">
        <v>243</v>
      </c>
      <c r="F1854" t="s">
        <v>4</v>
      </c>
      <c r="G1854" t="s">
        <v>217</v>
      </c>
      <c r="H1854" t="s">
        <v>217</v>
      </c>
      <c r="I1854" t="s">
        <v>369</v>
      </c>
      <c r="J1854" s="25">
        <v>0</v>
      </c>
      <c r="K1854" s="26">
        <v>0</v>
      </c>
      <c r="L1854" s="26">
        <v>0</v>
      </c>
    </row>
    <row r="1855" spans="1:12" ht="16" customHeight="1">
      <c r="A1855" t="s">
        <v>388</v>
      </c>
      <c r="B1855" t="s">
        <v>6</v>
      </c>
      <c r="C1855" t="s">
        <v>34</v>
      </c>
      <c r="D1855" s="24">
        <v>46023</v>
      </c>
      <c r="E1855" t="s">
        <v>360</v>
      </c>
      <c r="F1855" t="s">
        <v>4</v>
      </c>
      <c r="G1855" t="s">
        <v>217</v>
      </c>
      <c r="H1855" t="s">
        <v>217</v>
      </c>
      <c r="I1855" t="s">
        <v>370</v>
      </c>
      <c r="J1855" s="25">
        <v>0</v>
      </c>
      <c r="K1855" s="26">
        <v>0</v>
      </c>
      <c r="L1855" s="26">
        <v>0</v>
      </c>
    </row>
    <row r="1856" spans="1:12" ht="16" customHeight="1">
      <c r="A1856" t="s">
        <v>389</v>
      </c>
      <c r="B1856" t="s">
        <v>7</v>
      </c>
      <c r="C1856" t="s">
        <v>34</v>
      </c>
      <c r="D1856" s="24">
        <v>46023</v>
      </c>
      <c r="E1856" t="s">
        <v>354</v>
      </c>
      <c r="F1856" t="s">
        <v>4</v>
      </c>
      <c r="G1856" t="s">
        <v>211</v>
      </c>
      <c r="H1856" t="s">
        <v>211</v>
      </c>
      <c r="I1856" t="s">
        <v>219</v>
      </c>
      <c r="J1856" s="25">
        <v>73735691</v>
      </c>
      <c r="K1856" s="26">
        <v>12197930.6</v>
      </c>
      <c r="L1856" s="26">
        <v>56427.94</v>
      </c>
    </row>
    <row r="1857" spans="1:12" ht="16" customHeight="1">
      <c r="A1857" t="s">
        <v>389</v>
      </c>
      <c r="B1857" t="s">
        <v>7</v>
      </c>
      <c r="C1857" t="s">
        <v>34</v>
      </c>
      <c r="D1857" s="24">
        <v>46023</v>
      </c>
      <c r="E1857" t="s">
        <v>374</v>
      </c>
      <c r="F1857" t="s">
        <v>4</v>
      </c>
      <c r="G1857" t="s">
        <v>211</v>
      </c>
      <c r="H1857" t="s">
        <v>211</v>
      </c>
      <c r="I1857" t="s">
        <v>219</v>
      </c>
      <c r="J1857" s="25">
        <v>1518328</v>
      </c>
      <c r="K1857" s="26">
        <v>251751.42</v>
      </c>
      <c r="L1857" s="26">
        <v>1557.89</v>
      </c>
    </row>
    <row r="1858" spans="1:12" ht="16" customHeight="1">
      <c r="A1858" t="s">
        <v>389</v>
      </c>
      <c r="B1858" t="s">
        <v>7</v>
      </c>
      <c r="C1858" t="s">
        <v>34</v>
      </c>
      <c r="D1858" s="24">
        <v>46023</v>
      </c>
      <c r="E1858" t="s">
        <v>379</v>
      </c>
      <c r="F1858" t="s">
        <v>4</v>
      </c>
      <c r="G1858" t="s">
        <v>211</v>
      </c>
      <c r="H1858" t="s">
        <v>211</v>
      </c>
      <c r="I1858" t="s">
        <v>219</v>
      </c>
      <c r="J1858" s="25">
        <v>79780</v>
      </c>
      <c r="K1858" s="26">
        <v>13286.65</v>
      </c>
      <c r="L1858" s="26">
        <v>112.15</v>
      </c>
    </row>
    <row r="1859" spans="1:12" ht="16" customHeight="1">
      <c r="A1859" t="s">
        <v>389</v>
      </c>
      <c r="B1859" t="s">
        <v>7</v>
      </c>
      <c r="C1859" t="s">
        <v>34</v>
      </c>
      <c r="D1859" s="24">
        <v>46023</v>
      </c>
      <c r="E1859" t="s">
        <v>326</v>
      </c>
      <c r="F1859" t="s">
        <v>4</v>
      </c>
      <c r="G1859" t="s">
        <v>217</v>
      </c>
      <c r="H1859" t="s">
        <v>217</v>
      </c>
      <c r="I1859" t="s">
        <v>219</v>
      </c>
      <c r="J1859" s="25">
        <v>1559753</v>
      </c>
      <c r="K1859" s="26">
        <v>259275.27</v>
      </c>
      <c r="L1859" s="26">
        <v>2323.63</v>
      </c>
    </row>
    <row r="1860" spans="1:12" ht="16" customHeight="1">
      <c r="A1860" t="s">
        <v>389</v>
      </c>
      <c r="B1860" t="s">
        <v>7</v>
      </c>
      <c r="C1860" t="s">
        <v>34</v>
      </c>
      <c r="D1860" s="24">
        <v>46023</v>
      </c>
      <c r="E1860" t="s">
        <v>383</v>
      </c>
      <c r="F1860" t="s">
        <v>3</v>
      </c>
      <c r="G1860" t="s">
        <v>241</v>
      </c>
      <c r="H1860" t="s">
        <v>241</v>
      </c>
      <c r="I1860" t="s">
        <v>221</v>
      </c>
      <c r="J1860" s="25">
        <v>8515</v>
      </c>
      <c r="K1860" s="26">
        <v>1419.55</v>
      </c>
      <c r="L1860" s="26">
        <v>12.19</v>
      </c>
    </row>
    <row r="1861" spans="1:12" ht="16" customHeight="1">
      <c r="A1861" t="s">
        <v>389</v>
      </c>
      <c r="B1861" t="s">
        <v>7</v>
      </c>
      <c r="C1861" t="s">
        <v>34</v>
      </c>
      <c r="D1861" s="24">
        <v>46023</v>
      </c>
      <c r="E1861" t="s">
        <v>357</v>
      </c>
      <c r="F1861" t="s">
        <v>3</v>
      </c>
      <c r="G1861" t="s">
        <v>358</v>
      </c>
      <c r="H1861" t="s">
        <v>358</v>
      </c>
      <c r="I1861" t="s">
        <v>221</v>
      </c>
      <c r="J1861" s="25">
        <v>213561</v>
      </c>
      <c r="K1861" s="26">
        <v>35499.449999999997</v>
      </c>
      <c r="L1861" s="26">
        <v>338.77</v>
      </c>
    </row>
    <row r="1862" spans="1:12" ht="16" customHeight="1">
      <c r="A1862" t="s">
        <v>389</v>
      </c>
      <c r="B1862" t="s">
        <v>7</v>
      </c>
      <c r="C1862" t="s">
        <v>34</v>
      </c>
      <c r="D1862" s="24">
        <v>46023</v>
      </c>
      <c r="E1862" t="s">
        <v>387</v>
      </c>
      <c r="F1862" t="s">
        <v>4</v>
      </c>
      <c r="G1862" t="s">
        <v>217</v>
      </c>
      <c r="H1862" t="s">
        <v>217</v>
      </c>
      <c r="I1862" t="s">
        <v>223</v>
      </c>
      <c r="J1862" s="25">
        <v>14125</v>
      </c>
      <c r="K1862" s="26">
        <v>2381.41</v>
      </c>
      <c r="L1862" s="26">
        <v>38.44</v>
      </c>
    </row>
    <row r="1863" spans="1:12" ht="16" customHeight="1">
      <c r="A1863" t="s">
        <v>389</v>
      </c>
      <c r="B1863" t="s">
        <v>7</v>
      </c>
      <c r="C1863" t="s">
        <v>34</v>
      </c>
      <c r="D1863" s="24">
        <v>46023</v>
      </c>
      <c r="E1863" t="s">
        <v>226</v>
      </c>
      <c r="F1863" t="s">
        <v>4</v>
      </c>
      <c r="G1863" t="s">
        <v>217</v>
      </c>
      <c r="H1863" t="s">
        <v>217</v>
      </c>
      <c r="I1863" t="s">
        <v>267</v>
      </c>
      <c r="J1863" s="25">
        <v>28634</v>
      </c>
      <c r="K1863" s="26">
        <v>4883.26</v>
      </c>
      <c r="L1863" s="26">
        <v>86.82</v>
      </c>
    </row>
    <row r="1864" spans="1:12" ht="16" customHeight="1">
      <c r="A1864" t="s">
        <v>389</v>
      </c>
      <c r="B1864" t="s">
        <v>7</v>
      </c>
      <c r="C1864" t="s">
        <v>34</v>
      </c>
      <c r="D1864" s="24">
        <v>46023</v>
      </c>
      <c r="E1864" t="s">
        <v>269</v>
      </c>
      <c r="F1864" t="s">
        <v>4</v>
      </c>
      <c r="G1864" t="s">
        <v>217</v>
      </c>
      <c r="H1864" t="s">
        <v>217</v>
      </c>
      <c r="I1864" t="s">
        <v>268</v>
      </c>
      <c r="J1864" s="25">
        <v>2776</v>
      </c>
      <c r="K1864" s="26">
        <v>467.4</v>
      </c>
      <c r="L1864" s="26">
        <v>8.09</v>
      </c>
    </row>
    <row r="1865" spans="1:12" ht="16" customHeight="1">
      <c r="A1865" t="s">
        <v>389</v>
      </c>
      <c r="B1865" t="s">
        <v>7</v>
      </c>
      <c r="C1865" t="s">
        <v>34</v>
      </c>
      <c r="D1865" s="24">
        <v>46023</v>
      </c>
      <c r="E1865" t="s">
        <v>228</v>
      </c>
      <c r="F1865" t="s">
        <v>4</v>
      </c>
      <c r="G1865" t="s">
        <v>217</v>
      </c>
      <c r="H1865" t="s">
        <v>217</v>
      </c>
      <c r="I1865" t="s">
        <v>270</v>
      </c>
      <c r="J1865" s="25">
        <v>14198</v>
      </c>
      <c r="K1865" s="26">
        <v>2470.2199999999998</v>
      </c>
      <c r="L1865" s="26">
        <v>72.95</v>
      </c>
    </row>
    <row r="1866" spans="1:12" ht="16" customHeight="1">
      <c r="A1866" t="s">
        <v>389</v>
      </c>
      <c r="B1866" t="s">
        <v>7</v>
      </c>
      <c r="C1866" t="s">
        <v>34</v>
      </c>
      <c r="D1866" s="24">
        <v>46023</v>
      </c>
      <c r="E1866" t="s">
        <v>230</v>
      </c>
      <c r="F1866" t="s">
        <v>4</v>
      </c>
      <c r="G1866" t="s">
        <v>217</v>
      </c>
      <c r="H1866" t="s">
        <v>217</v>
      </c>
      <c r="I1866" t="s">
        <v>363</v>
      </c>
      <c r="J1866" s="25">
        <v>0</v>
      </c>
      <c r="K1866" s="26">
        <v>0</v>
      </c>
      <c r="L1866" s="26">
        <v>0</v>
      </c>
    </row>
    <row r="1867" spans="1:12" ht="16" customHeight="1">
      <c r="A1867" t="s">
        <v>389</v>
      </c>
      <c r="B1867" t="s">
        <v>7</v>
      </c>
      <c r="C1867" t="s">
        <v>34</v>
      </c>
      <c r="D1867" s="24">
        <v>46023</v>
      </c>
      <c r="E1867" t="s">
        <v>232</v>
      </c>
      <c r="F1867" t="s">
        <v>4</v>
      </c>
      <c r="G1867" t="s">
        <v>217</v>
      </c>
      <c r="H1867" t="s">
        <v>217</v>
      </c>
      <c r="I1867" t="s">
        <v>364</v>
      </c>
      <c r="J1867" s="25">
        <v>59</v>
      </c>
      <c r="K1867" s="26">
        <v>10.46</v>
      </c>
      <c r="L1867" s="26">
        <v>0.7</v>
      </c>
    </row>
    <row r="1868" spans="1:12" ht="16" customHeight="1">
      <c r="A1868" t="s">
        <v>389</v>
      </c>
      <c r="B1868" t="s">
        <v>7</v>
      </c>
      <c r="C1868" t="s">
        <v>34</v>
      </c>
      <c r="D1868" s="24">
        <v>46023</v>
      </c>
      <c r="E1868" t="s">
        <v>234</v>
      </c>
      <c r="F1868" t="s">
        <v>4</v>
      </c>
      <c r="G1868" t="s">
        <v>217</v>
      </c>
      <c r="H1868" t="s">
        <v>217</v>
      </c>
      <c r="I1868" t="s">
        <v>365</v>
      </c>
      <c r="J1868" s="25">
        <v>0</v>
      </c>
      <c r="K1868" s="26">
        <v>0</v>
      </c>
      <c r="L1868" s="26">
        <v>0</v>
      </c>
    </row>
    <row r="1869" spans="1:12" ht="16" customHeight="1">
      <c r="A1869" t="s">
        <v>389</v>
      </c>
      <c r="B1869" t="s">
        <v>7</v>
      </c>
      <c r="C1869" t="s">
        <v>34</v>
      </c>
      <c r="D1869" s="24">
        <v>46023</v>
      </c>
      <c r="E1869" t="s">
        <v>236</v>
      </c>
      <c r="F1869" t="s">
        <v>4</v>
      </c>
      <c r="G1869" t="s">
        <v>217</v>
      </c>
      <c r="H1869" t="s">
        <v>217</v>
      </c>
      <c r="I1869" t="s">
        <v>366</v>
      </c>
      <c r="J1869" s="25">
        <v>4</v>
      </c>
      <c r="K1869" s="26">
        <v>0.71</v>
      </c>
      <c r="L1869" s="26">
        <v>0.03</v>
      </c>
    </row>
    <row r="1870" spans="1:12" ht="16" customHeight="1">
      <c r="A1870" t="s">
        <v>389</v>
      </c>
      <c r="B1870" t="s">
        <v>7</v>
      </c>
      <c r="C1870" t="s">
        <v>34</v>
      </c>
      <c r="D1870" s="24">
        <v>46023</v>
      </c>
      <c r="E1870" t="s">
        <v>238</v>
      </c>
      <c r="F1870" t="s">
        <v>4</v>
      </c>
      <c r="G1870" t="s">
        <v>217</v>
      </c>
      <c r="H1870" t="s">
        <v>217</v>
      </c>
      <c r="I1870" t="s">
        <v>367</v>
      </c>
      <c r="J1870" s="25">
        <v>0</v>
      </c>
      <c r="K1870" s="26">
        <v>0</v>
      </c>
      <c r="L1870" s="26">
        <v>0</v>
      </c>
    </row>
    <row r="1871" spans="1:12" ht="16" customHeight="1">
      <c r="A1871" t="s">
        <v>389</v>
      </c>
      <c r="B1871" t="s">
        <v>7</v>
      </c>
      <c r="C1871" t="s">
        <v>34</v>
      </c>
      <c r="D1871" s="24">
        <v>46023</v>
      </c>
      <c r="E1871" t="s">
        <v>240</v>
      </c>
      <c r="F1871" t="s">
        <v>3</v>
      </c>
      <c r="G1871" t="s">
        <v>241</v>
      </c>
      <c r="H1871" t="s">
        <v>241</v>
      </c>
      <c r="I1871" t="s">
        <v>368</v>
      </c>
      <c r="J1871" s="25">
        <v>0</v>
      </c>
      <c r="K1871" s="26">
        <v>0</v>
      </c>
      <c r="L1871" s="26">
        <v>0</v>
      </c>
    </row>
    <row r="1872" spans="1:12" ht="16" customHeight="1">
      <c r="A1872" t="s">
        <v>389</v>
      </c>
      <c r="B1872" t="s">
        <v>7</v>
      </c>
      <c r="C1872" t="s">
        <v>34</v>
      </c>
      <c r="D1872" s="24">
        <v>46023</v>
      </c>
      <c r="E1872" t="s">
        <v>243</v>
      </c>
      <c r="F1872" t="s">
        <v>4</v>
      </c>
      <c r="G1872" t="s">
        <v>217</v>
      </c>
      <c r="H1872" t="s">
        <v>217</v>
      </c>
      <c r="I1872" t="s">
        <v>369</v>
      </c>
      <c r="J1872" s="25">
        <v>0</v>
      </c>
      <c r="K1872" s="26">
        <v>0</v>
      </c>
      <c r="L1872" s="26">
        <v>0</v>
      </c>
    </row>
    <row r="1873" spans="1:12" ht="16" customHeight="1">
      <c r="A1873" t="s">
        <v>389</v>
      </c>
      <c r="B1873" t="s">
        <v>7</v>
      </c>
      <c r="C1873" t="s">
        <v>34</v>
      </c>
      <c r="D1873" s="24">
        <v>46023</v>
      </c>
      <c r="E1873" t="s">
        <v>360</v>
      </c>
      <c r="F1873" t="s">
        <v>4</v>
      </c>
      <c r="G1873" t="s">
        <v>217</v>
      </c>
      <c r="H1873" t="s">
        <v>217</v>
      </c>
      <c r="I1873" t="s">
        <v>370</v>
      </c>
      <c r="J1873" s="25">
        <v>0</v>
      </c>
      <c r="K1873" s="26">
        <v>0</v>
      </c>
      <c r="L1873" s="26">
        <v>0</v>
      </c>
    </row>
    <row r="1874" spans="1:12" ht="16" customHeight="1">
      <c r="A1874" t="s">
        <v>390</v>
      </c>
      <c r="B1874" t="s">
        <v>8</v>
      </c>
      <c r="C1874" t="s">
        <v>35</v>
      </c>
      <c r="D1874" s="24">
        <v>46054</v>
      </c>
      <c r="E1874" t="s">
        <v>354</v>
      </c>
      <c r="F1874" t="s">
        <v>4</v>
      </c>
      <c r="G1874" t="s">
        <v>211</v>
      </c>
      <c r="H1874" t="s">
        <v>211</v>
      </c>
      <c r="I1874" t="s">
        <v>212</v>
      </c>
      <c r="J1874" s="25">
        <v>182800803</v>
      </c>
      <c r="K1874" s="26">
        <v>30038295.300000001</v>
      </c>
      <c r="L1874" s="26">
        <v>94242.3</v>
      </c>
    </row>
    <row r="1875" spans="1:12" ht="16" customHeight="1">
      <c r="A1875" t="s">
        <v>390</v>
      </c>
      <c r="B1875" t="s">
        <v>8</v>
      </c>
      <c r="C1875" t="s">
        <v>35</v>
      </c>
      <c r="D1875" s="24">
        <v>46054</v>
      </c>
      <c r="E1875" t="s">
        <v>374</v>
      </c>
      <c r="F1875" t="s">
        <v>4</v>
      </c>
      <c r="G1875" t="s">
        <v>211</v>
      </c>
      <c r="H1875" t="s">
        <v>211</v>
      </c>
      <c r="I1875" t="s">
        <v>212</v>
      </c>
      <c r="J1875" s="25">
        <v>5078013</v>
      </c>
      <c r="K1875" s="26">
        <v>837935.28</v>
      </c>
      <c r="L1875" s="26">
        <v>4432.46</v>
      </c>
    </row>
    <row r="1876" spans="1:12" ht="16" customHeight="1">
      <c r="A1876" t="s">
        <v>390</v>
      </c>
      <c r="B1876" t="s">
        <v>8</v>
      </c>
      <c r="C1876" t="s">
        <v>35</v>
      </c>
      <c r="D1876" s="24">
        <v>46054</v>
      </c>
      <c r="E1876" t="s">
        <v>379</v>
      </c>
      <c r="F1876" t="s">
        <v>4</v>
      </c>
      <c r="G1876" t="s">
        <v>211</v>
      </c>
      <c r="H1876" t="s">
        <v>211</v>
      </c>
      <c r="I1876" t="s">
        <v>212</v>
      </c>
      <c r="J1876" s="25">
        <v>238124</v>
      </c>
      <c r="K1876" s="26">
        <v>39345.29</v>
      </c>
      <c r="L1876" s="26">
        <v>287.07</v>
      </c>
    </row>
    <row r="1877" spans="1:12" ht="16" customHeight="1">
      <c r="A1877" t="s">
        <v>390</v>
      </c>
      <c r="B1877" t="s">
        <v>8</v>
      </c>
      <c r="C1877" t="s">
        <v>35</v>
      </c>
      <c r="D1877" s="24">
        <v>46054</v>
      </c>
      <c r="E1877" t="s">
        <v>326</v>
      </c>
      <c r="F1877" t="s">
        <v>4</v>
      </c>
      <c r="G1877" t="s">
        <v>217</v>
      </c>
      <c r="H1877" t="s">
        <v>217</v>
      </c>
      <c r="I1877" t="s">
        <v>212</v>
      </c>
      <c r="J1877" s="25">
        <v>3644583</v>
      </c>
      <c r="K1877" s="26">
        <v>603999.09</v>
      </c>
      <c r="L1877" s="26">
        <v>5089.7</v>
      </c>
    </row>
    <row r="1878" spans="1:12" ht="16" customHeight="1">
      <c r="A1878" t="s">
        <v>390</v>
      </c>
      <c r="B1878" t="s">
        <v>8</v>
      </c>
      <c r="C1878" t="s">
        <v>35</v>
      </c>
      <c r="D1878" s="24">
        <v>46054</v>
      </c>
      <c r="E1878" t="s">
        <v>383</v>
      </c>
      <c r="F1878" t="s">
        <v>3</v>
      </c>
      <c r="G1878" t="s">
        <v>241</v>
      </c>
      <c r="H1878" t="s">
        <v>241</v>
      </c>
      <c r="I1878" t="s">
        <v>219</v>
      </c>
      <c r="J1878" s="25">
        <v>24996</v>
      </c>
      <c r="K1878" s="26">
        <v>4170.68</v>
      </c>
      <c r="L1878" s="26">
        <v>35.15</v>
      </c>
    </row>
    <row r="1879" spans="1:12" ht="16" customHeight="1">
      <c r="A1879" t="s">
        <v>390</v>
      </c>
      <c r="B1879" t="s">
        <v>8</v>
      </c>
      <c r="C1879" t="s">
        <v>35</v>
      </c>
      <c r="D1879" s="24">
        <v>46054</v>
      </c>
      <c r="E1879" t="s">
        <v>357</v>
      </c>
      <c r="F1879" t="s">
        <v>3</v>
      </c>
      <c r="G1879" t="s">
        <v>358</v>
      </c>
      <c r="H1879" t="s">
        <v>358</v>
      </c>
      <c r="I1879" t="s">
        <v>219</v>
      </c>
      <c r="J1879" s="25">
        <v>535877</v>
      </c>
      <c r="K1879" s="26">
        <v>89327.05</v>
      </c>
      <c r="L1879" s="26">
        <v>855.5</v>
      </c>
    </row>
    <row r="1880" spans="1:12" ht="16" customHeight="1">
      <c r="A1880" t="s">
        <v>390</v>
      </c>
      <c r="B1880" t="s">
        <v>8</v>
      </c>
      <c r="C1880" t="s">
        <v>35</v>
      </c>
      <c r="D1880" s="24">
        <v>46054</v>
      </c>
      <c r="E1880" t="s">
        <v>387</v>
      </c>
      <c r="F1880" t="s">
        <v>4</v>
      </c>
      <c r="G1880" t="s">
        <v>217</v>
      </c>
      <c r="H1880" t="s">
        <v>217</v>
      </c>
      <c r="I1880" t="s">
        <v>221</v>
      </c>
      <c r="J1880" s="25">
        <v>41955</v>
      </c>
      <c r="K1880" s="26">
        <v>7054.95</v>
      </c>
      <c r="L1880" s="26">
        <v>109.2</v>
      </c>
    </row>
    <row r="1881" spans="1:12" ht="16" customHeight="1">
      <c r="A1881" t="s">
        <v>390</v>
      </c>
      <c r="B1881" t="s">
        <v>8</v>
      </c>
      <c r="C1881" t="s">
        <v>35</v>
      </c>
      <c r="D1881" s="24">
        <v>46054</v>
      </c>
      <c r="E1881" t="s">
        <v>226</v>
      </c>
      <c r="F1881" t="s">
        <v>4</v>
      </c>
      <c r="G1881" t="s">
        <v>217</v>
      </c>
      <c r="H1881" t="s">
        <v>217</v>
      </c>
      <c r="I1881" t="s">
        <v>300</v>
      </c>
      <c r="J1881" s="25">
        <v>69565</v>
      </c>
      <c r="K1881" s="26">
        <v>11798.28</v>
      </c>
      <c r="L1881" s="26">
        <v>209.18</v>
      </c>
    </row>
    <row r="1882" spans="1:12" ht="16" customHeight="1">
      <c r="A1882" t="s">
        <v>390</v>
      </c>
      <c r="B1882" t="s">
        <v>8</v>
      </c>
      <c r="C1882" t="s">
        <v>35</v>
      </c>
      <c r="D1882" s="24">
        <v>46054</v>
      </c>
      <c r="E1882" t="s">
        <v>269</v>
      </c>
      <c r="F1882" t="s">
        <v>4</v>
      </c>
      <c r="G1882" t="s">
        <v>217</v>
      </c>
      <c r="H1882" t="s">
        <v>217</v>
      </c>
      <c r="I1882" t="s">
        <v>301</v>
      </c>
      <c r="J1882" s="25">
        <v>4202</v>
      </c>
      <c r="K1882" s="26">
        <v>715.73</v>
      </c>
      <c r="L1882" s="26">
        <v>14.48</v>
      </c>
    </row>
    <row r="1883" spans="1:12" ht="16" customHeight="1">
      <c r="A1883" t="s">
        <v>390</v>
      </c>
      <c r="B1883" t="s">
        <v>8</v>
      </c>
      <c r="C1883" t="s">
        <v>35</v>
      </c>
      <c r="D1883" s="24">
        <v>46054</v>
      </c>
      <c r="E1883" t="s">
        <v>228</v>
      </c>
      <c r="F1883" t="s">
        <v>4</v>
      </c>
      <c r="G1883" t="s">
        <v>217</v>
      </c>
      <c r="H1883" t="s">
        <v>217</v>
      </c>
      <c r="I1883" t="s">
        <v>302</v>
      </c>
      <c r="J1883" s="25">
        <v>30971</v>
      </c>
      <c r="K1883" s="26">
        <v>5427.76</v>
      </c>
      <c r="L1883" s="26">
        <v>166.71</v>
      </c>
    </row>
    <row r="1884" spans="1:12" ht="16" customHeight="1">
      <c r="A1884" t="s">
        <v>390</v>
      </c>
      <c r="B1884" t="s">
        <v>8</v>
      </c>
      <c r="C1884" t="s">
        <v>35</v>
      </c>
      <c r="D1884" s="24">
        <v>46054</v>
      </c>
      <c r="E1884" t="s">
        <v>230</v>
      </c>
      <c r="F1884" t="s">
        <v>4</v>
      </c>
      <c r="G1884" t="s">
        <v>217</v>
      </c>
      <c r="H1884" t="s">
        <v>217</v>
      </c>
      <c r="I1884" t="s">
        <v>391</v>
      </c>
      <c r="J1884" s="25">
        <v>0</v>
      </c>
      <c r="K1884" s="26">
        <v>0</v>
      </c>
      <c r="L1884" s="26">
        <v>0</v>
      </c>
    </row>
    <row r="1885" spans="1:12" ht="16" customHeight="1">
      <c r="A1885" t="s">
        <v>390</v>
      </c>
      <c r="B1885" t="s">
        <v>8</v>
      </c>
      <c r="C1885" t="s">
        <v>35</v>
      </c>
      <c r="D1885" s="24">
        <v>46054</v>
      </c>
      <c r="E1885" t="s">
        <v>232</v>
      </c>
      <c r="F1885" t="s">
        <v>4</v>
      </c>
      <c r="G1885" t="s">
        <v>217</v>
      </c>
      <c r="H1885" t="s">
        <v>217</v>
      </c>
      <c r="I1885" t="s">
        <v>392</v>
      </c>
      <c r="J1885" s="25">
        <v>119</v>
      </c>
      <c r="K1885" s="26">
        <v>20.13</v>
      </c>
      <c r="L1885" s="26">
        <v>1.05</v>
      </c>
    </row>
    <row r="1886" spans="1:12" ht="16" customHeight="1">
      <c r="A1886" t="s">
        <v>390</v>
      </c>
      <c r="B1886" t="s">
        <v>8</v>
      </c>
      <c r="C1886" t="s">
        <v>35</v>
      </c>
      <c r="D1886" s="24">
        <v>46054</v>
      </c>
      <c r="E1886" t="s">
        <v>234</v>
      </c>
      <c r="F1886" t="s">
        <v>4</v>
      </c>
      <c r="G1886" t="s">
        <v>217</v>
      </c>
      <c r="H1886" t="s">
        <v>217</v>
      </c>
      <c r="I1886" t="s">
        <v>393</v>
      </c>
      <c r="J1886" s="25">
        <v>0</v>
      </c>
      <c r="K1886" s="26">
        <v>0</v>
      </c>
      <c r="L1886" s="26">
        <v>0</v>
      </c>
    </row>
    <row r="1887" spans="1:12" ht="16" customHeight="1">
      <c r="A1887" t="s">
        <v>390</v>
      </c>
      <c r="B1887" t="s">
        <v>8</v>
      </c>
      <c r="C1887" t="s">
        <v>35</v>
      </c>
      <c r="D1887" s="24">
        <v>46054</v>
      </c>
      <c r="E1887" t="s">
        <v>236</v>
      </c>
      <c r="F1887" t="s">
        <v>4</v>
      </c>
      <c r="G1887" t="s">
        <v>217</v>
      </c>
      <c r="H1887" t="s">
        <v>217</v>
      </c>
      <c r="I1887" t="s">
        <v>394</v>
      </c>
      <c r="J1887" s="25">
        <v>9</v>
      </c>
      <c r="K1887" s="26">
        <v>1.7</v>
      </c>
      <c r="L1887" s="26">
        <v>0.09</v>
      </c>
    </row>
    <row r="1888" spans="1:12" ht="16" customHeight="1">
      <c r="A1888" t="s">
        <v>390</v>
      </c>
      <c r="B1888" t="s">
        <v>8</v>
      </c>
      <c r="C1888" t="s">
        <v>35</v>
      </c>
      <c r="D1888" s="24">
        <v>46054</v>
      </c>
      <c r="E1888" t="s">
        <v>238</v>
      </c>
      <c r="F1888" t="s">
        <v>4</v>
      </c>
      <c r="G1888" t="s">
        <v>217</v>
      </c>
      <c r="H1888" t="s">
        <v>217</v>
      </c>
      <c r="I1888" t="s">
        <v>395</v>
      </c>
      <c r="J1888" s="25">
        <v>0</v>
      </c>
      <c r="K1888" s="26">
        <v>0</v>
      </c>
      <c r="L1888" s="26">
        <v>0</v>
      </c>
    </row>
    <row r="1889" spans="1:12" ht="16" customHeight="1">
      <c r="A1889" t="s">
        <v>390</v>
      </c>
      <c r="B1889" t="s">
        <v>8</v>
      </c>
      <c r="C1889" t="s">
        <v>35</v>
      </c>
      <c r="D1889" s="24">
        <v>46054</v>
      </c>
      <c r="E1889" t="s">
        <v>240</v>
      </c>
      <c r="F1889" t="s">
        <v>3</v>
      </c>
      <c r="G1889" t="s">
        <v>241</v>
      </c>
      <c r="H1889" t="s">
        <v>241</v>
      </c>
      <c r="I1889" t="s">
        <v>396</v>
      </c>
      <c r="J1889" s="25">
        <v>1</v>
      </c>
      <c r="K1889" s="26">
        <v>0.18</v>
      </c>
      <c r="L1889" s="26">
        <v>0.01</v>
      </c>
    </row>
    <row r="1890" spans="1:12" ht="16" customHeight="1">
      <c r="A1890" t="s">
        <v>390</v>
      </c>
      <c r="B1890" t="s">
        <v>8</v>
      </c>
      <c r="C1890" t="s">
        <v>35</v>
      </c>
      <c r="D1890" s="24">
        <v>46054</v>
      </c>
      <c r="E1890" t="s">
        <v>243</v>
      </c>
      <c r="F1890" t="s">
        <v>4</v>
      </c>
      <c r="G1890" t="s">
        <v>217</v>
      </c>
      <c r="H1890" t="s">
        <v>217</v>
      </c>
      <c r="I1890" t="s">
        <v>397</v>
      </c>
      <c r="J1890" s="25">
        <v>0</v>
      </c>
      <c r="K1890" s="26">
        <v>0</v>
      </c>
      <c r="L1890" s="26">
        <v>0</v>
      </c>
    </row>
    <row r="1891" spans="1:12" ht="16" customHeight="1">
      <c r="A1891" t="s">
        <v>390</v>
      </c>
      <c r="B1891" t="s">
        <v>8</v>
      </c>
      <c r="C1891" t="s">
        <v>35</v>
      </c>
      <c r="D1891" s="24">
        <v>46054</v>
      </c>
      <c r="E1891" t="s">
        <v>360</v>
      </c>
      <c r="F1891" t="s">
        <v>4</v>
      </c>
      <c r="G1891" t="s">
        <v>217</v>
      </c>
      <c r="H1891" t="s">
        <v>217</v>
      </c>
      <c r="I1891" t="s">
        <v>398</v>
      </c>
      <c r="J1891" s="25">
        <v>0</v>
      </c>
      <c r="K1891" s="26">
        <v>0</v>
      </c>
      <c r="L1891" s="26">
        <v>0</v>
      </c>
    </row>
    <row r="1892" spans="1:12" ht="16" customHeight="1">
      <c r="A1892" t="s">
        <v>399</v>
      </c>
      <c r="B1892" t="s">
        <v>3</v>
      </c>
      <c r="C1892" t="s">
        <v>35</v>
      </c>
      <c r="D1892" s="24">
        <v>46054</v>
      </c>
      <c r="E1892" t="s">
        <v>354</v>
      </c>
      <c r="F1892" t="s">
        <v>4</v>
      </c>
      <c r="G1892" t="s">
        <v>211</v>
      </c>
      <c r="H1892" t="s">
        <v>211</v>
      </c>
      <c r="I1892" t="s">
        <v>212</v>
      </c>
      <c r="J1892" s="25">
        <v>209173208</v>
      </c>
      <c r="K1892" s="26">
        <v>33967837.549999997</v>
      </c>
      <c r="L1892" s="26">
        <v>78718.81</v>
      </c>
    </row>
    <row r="1893" spans="1:12" ht="16" customHeight="1">
      <c r="A1893" t="s">
        <v>399</v>
      </c>
      <c r="B1893" t="s">
        <v>3</v>
      </c>
      <c r="C1893" t="s">
        <v>35</v>
      </c>
      <c r="D1893" s="24">
        <v>46054</v>
      </c>
      <c r="E1893" t="s">
        <v>374</v>
      </c>
      <c r="F1893" t="s">
        <v>4</v>
      </c>
      <c r="G1893" t="s">
        <v>211</v>
      </c>
      <c r="H1893" t="s">
        <v>211</v>
      </c>
      <c r="I1893" t="s">
        <v>212</v>
      </c>
      <c r="J1893" s="25">
        <v>6823475</v>
      </c>
      <c r="K1893" s="26">
        <v>1114138.92</v>
      </c>
      <c r="L1893" s="26">
        <v>5256.04</v>
      </c>
    </row>
    <row r="1894" spans="1:12" ht="16" customHeight="1">
      <c r="A1894" t="s">
        <v>399</v>
      </c>
      <c r="B1894" t="s">
        <v>3</v>
      </c>
      <c r="C1894" t="s">
        <v>35</v>
      </c>
      <c r="D1894" s="24">
        <v>46054</v>
      </c>
      <c r="E1894" t="s">
        <v>379</v>
      </c>
      <c r="F1894" t="s">
        <v>4</v>
      </c>
      <c r="G1894" t="s">
        <v>211</v>
      </c>
      <c r="H1894" t="s">
        <v>211</v>
      </c>
      <c r="I1894" t="s">
        <v>212</v>
      </c>
      <c r="J1894" s="25">
        <v>327293</v>
      </c>
      <c r="K1894" s="26">
        <v>53736.99</v>
      </c>
      <c r="L1894" s="26">
        <v>322.33999999999997</v>
      </c>
    </row>
    <row r="1895" spans="1:12" ht="16" customHeight="1">
      <c r="A1895" t="s">
        <v>399</v>
      </c>
      <c r="B1895" t="s">
        <v>3</v>
      </c>
      <c r="C1895" t="s">
        <v>35</v>
      </c>
      <c r="D1895" s="24">
        <v>46054</v>
      </c>
      <c r="E1895" t="s">
        <v>326</v>
      </c>
      <c r="F1895" t="s">
        <v>4</v>
      </c>
      <c r="G1895" t="s">
        <v>217</v>
      </c>
      <c r="H1895" t="s">
        <v>217</v>
      </c>
      <c r="I1895" t="s">
        <v>212</v>
      </c>
      <c r="J1895" s="25">
        <v>2335694</v>
      </c>
      <c r="K1895" s="26">
        <v>384697.45</v>
      </c>
      <c r="L1895" s="26">
        <v>3393.28</v>
      </c>
    </row>
    <row r="1896" spans="1:12" ht="16" customHeight="1">
      <c r="A1896" t="s">
        <v>399</v>
      </c>
      <c r="B1896" t="s">
        <v>3</v>
      </c>
      <c r="C1896" t="s">
        <v>35</v>
      </c>
      <c r="D1896" s="24">
        <v>46054</v>
      </c>
      <c r="E1896" t="s">
        <v>383</v>
      </c>
      <c r="F1896" t="s">
        <v>3</v>
      </c>
      <c r="G1896" t="s">
        <v>241</v>
      </c>
      <c r="H1896" t="s">
        <v>241</v>
      </c>
      <c r="I1896" t="s">
        <v>219</v>
      </c>
      <c r="J1896" s="25">
        <v>26926</v>
      </c>
      <c r="K1896" s="26">
        <v>4458.6000000000004</v>
      </c>
      <c r="L1896" s="26">
        <v>36.08</v>
      </c>
    </row>
    <row r="1897" spans="1:12" ht="16" customHeight="1">
      <c r="A1897" t="s">
        <v>399</v>
      </c>
      <c r="B1897" t="s">
        <v>3</v>
      </c>
      <c r="C1897" t="s">
        <v>35</v>
      </c>
      <c r="D1897" s="24">
        <v>46054</v>
      </c>
      <c r="E1897" t="s">
        <v>357</v>
      </c>
      <c r="F1897" t="s">
        <v>3</v>
      </c>
      <c r="G1897" t="s">
        <v>358</v>
      </c>
      <c r="H1897" t="s">
        <v>358</v>
      </c>
      <c r="I1897" t="s">
        <v>219</v>
      </c>
      <c r="J1897" s="25">
        <v>437559</v>
      </c>
      <c r="K1897" s="26">
        <v>72324.11</v>
      </c>
      <c r="L1897" s="26">
        <v>807.18</v>
      </c>
    </row>
    <row r="1898" spans="1:12" ht="16" customHeight="1">
      <c r="A1898" t="s">
        <v>399</v>
      </c>
      <c r="B1898" t="s">
        <v>3</v>
      </c>
      <c r="C1898" t="s">
        <v>35</v>
      </c>
      <c r="D1898" s="24">
        <v>46054</v>
      </c>
      <c r="E1898" t="s">
        <v>387</v>
      </c>
      <c r="F1898" t="s">
        <v>4</v>
      </c>
      <c r="G1898" t="s">
        <v>217</v>
      </c>
      <c r="H1898" t="s">
        <v>217</v>
      </c>
      <c r="I1898" t="s">
        <v>221</v>
      </c>
      <c r="J1898" s="25">
        <v>41084</v>
      </c>
      <c r="K1898" s="26">
        <v>6864.74</v>
      </c>
      <c r="L1898" s="26">
        <v>104.42</v>
      </c>
    </row>
    <row r="1899" spans="1:12" ht="16" customHeight="1">
      <c r="A1899" t="s">
        <v>399</v>
      </c>
      <c r="B1899" t="s">
        <v>3</v>
      </c>
      <c r="C1899" t="s">
        <v>35</v>
      </c>
      <c r="D1899" s="24">
        <v>46054</v>
      </c>
      <c r="E1899" t="s">
        <v>226</v>
      </c>
      <c r="F1899" t="s">
        <v>4</v>
      </c>
      <c r="G1899" t="s">
        <v>217</v>
      </c>
      <c r="H1899" t="s">
        <v>217</v>
      </c>
      <c r="I1899" t="s">
        <v>300</v>
      </c>
      <c r="J1899" s="25">
        <v>52842</v>
      </c>
      <c r="K1899" s="26">
        <v>8952.7900000000009</v>
      </c>
      <c r="L1899" s="26">
        <v>150.61000000000001</v>
      </c>
    </row>
    <row r="1900" spans="1:12" ht="16" customHeight="1">
      <c r="A1900" t="s">
        <v>399</v>
      </c>
      <c r="B1900" t="s">
        <v>3</v>
      </c>
      <c r="C1900" t="s">
        <v>35</v>
      </c>
      <c r="D1900" s="24">
        <v>46054</v>
      </c>
      <c r="E1900" t="s">
        <v>269</v>
      </c>
      <c r="F1900" t="s">
        <v>4</v>
      </c>
      <c r="G1900" t="s">
        <v>217</v>
      </c>
      <c r="H1900" t="s">
        <v>217</v>
      </c>
      <c r="I1900" t="s">
        <v>301</v>
      </c>
      <c r="J1900" s="25">
        <v>6069</v>
      </c>
      <c r="K1900" s="26">
        <v>1039.72</v>
      </c>
      <c r="L1900" s="26">
        <v>25.53</v>
      </c>
    </row>
    <row r="1901" spans="1:12" ht="16" customHeight="1">
      <c r="A1901" t="s">
        <v>399</v>
      </c>
      <c r="B1901" t="s">
        <v>3</v>
      </c>
      <c r="C1901" t="s">
        <v>35</v>
      </c>
      <c r="D1901" s="24">
        <v>46054</v>
      </c>
      <c r="E1901" t="s">
        <v>228</v>
      </c>
      <c r="F1901" t="s">
        <v>4</v>
      </c>
      <c r="G1901" t="s">
        <v>217</v>
      </c>
      <c r="H1901" t="s">
        <v>217</v>
      </c>
      <c r="I1901" t="s">
        <v>302</v>
      </c>
      <c r="J1901" s="25">
        <v>23042</v>
      </c>
      <c r="K1901" s="26">
        <v>4006.87</v>
      </c>
      <c r="L1901" s="26">
        <v>120.1</v>
      </c>
    </row>
    <row r="1902" spans="1:12" ht="16" customHeight="1">
      <c r="A1902" t="s">
        <v>399</v>
      </c>
      <c r="B1902" t="s">
        <v>3</v>
      </c>
      <c r="C1902" t="s">
        <v>35</v>
      </c>
      <c r="D1902" s="24">
        <v>46054</v>
      </c>
      <c r="E1902" t="s">
        <v>230</v>
      </c>
      <c r="F1902" t="s">
        <v>4</v>
      </c>
      <c r="G1902" t="s">
        <v>217</v>
      </c>
      <c r="H1902" t="s">
        <v>217</v>
      </c>
      <c r="I1902" t="s">
        <v>391</v>
      </c>
      <c r="J1902" s="25">
        <v>0</v>
      </c>
      <c r="K1902" s="26">
        <v>0</v>
      </c>
      <c r="L1902" s="26">
        <v>0</v>
      </c>
    </row>
    <row r="1903" spans="1:12" ht="16" customHeight="1">
      <c r="A1903" t="s">
        <v>399</v>
      </c>
      <c r="B1903" t="s">
        <v>3</v>
      </c>
      <c r="C1903" t="s">
        <v>35</v>
      </c>
      <c r="D1903" s="24">
        <v>46054</v>
      </c>
      <c r="E1903" t="s">
        <v>232</v>
      </c>
      <c r="F1903" t="s">
        <v>4</v>
      </c>
      <c r="G1903" t="s">
        <v>217</v>
      </c>
      <c r="H1903" t="s">
        <v>217</v>
      </c>
      <c r="I1903" t="s">
        <v>392</v>
      </c>
      <c r="J1903" s="25">
        <v>168</v>
      </c>
      <c r="K1903" s="26">
        <v>27.82</v>
      </c>
      <c r="L1903" s="26">
        <v>1.59</v>
      </c>
    </row>
    <row r="1904" spans="1:12" ht="16" customHeight="1">
      <c r="A1904" t="s">
        <v>399</v>
      </c>
      <c r="B1904" t="s">
        <v>3</v>
      </c>
      <c r="C1904" t="s">
        <v>35</v>
      </c>
      <c r="D1904" s="24">
        <v>46054</v>
      </c>
      <c r="E1904" t="s">
        <v>234</v>
      </c>
      <c r="F1904" t="s">
        <v>4</v>
      </c>
      <c r="G1904" t="s">
        <v>217</v>
      </c>
      <c r="H1904" t="s">
        <v>217</v>
      </c>
      <c r="I1904" t="s">
        <v>393</v>
      </c>
      <c r="J1904" s="25">
        <v>0</v>
      </c>
      <c r="K1904" s="26">
        <v>0</v>
      </c>
      <c r="L1904" s="26">
        <v>0</v>
      </c>
    </row>
    <row r="1905" spans="1:12" ht="16" customHeight="1">
      <c r="A1905" t="s">
        <v>399</v>
      </c>
      <c r="B1905" t="s">
        <v>3</v>
      </c>
      <c r="C1905" t="s">
        <v>35</v>
      </c>
      <c r="D1905" s="24">
        <v>46054</v>
      </c>
      <c r="E1905" t="s">
        <v>236</v>
      </c>
      <c r="F1905" t="s">
        <v>4</v>
      </c>
      <c r="G1905" t="s">
        <v>217</v>
      </c>
      <c r="H1905" t="s">
        <v>217</v>
      </c>
      <c r="I1905" t="s">
        <v>394</v>
      </c>
      <c r="J1905" s="25">
        <v>6</v>
      </c>
      <c r="K1905" s="26">
        <v>1.17</v>
      </c>
      <c r="L1905" s="26">
        <v>7.0000000000000007E-2</v>
      </c>
    </row>
    <row r="1906" spans="1:12" ht="16" customHeight="1">
      <c r="A1906" t="s">
        <v>399</v>
      </c>
      <c r="B1906" t="s">
        <v>3</v>
      </c>
      <c r="C1906" t="s">
        <v>35</v>
      </c>
      <c r="D1906" s="24">
        <v>46054</v>
      </c>
      <c r="E1906" t="s">
        <v>238</v>
      </c>
      <c r="F1906" t="s">
        <v>4</v>
      </c>
      <c r="G1906" t="s">
        <v>217</v>
      </c>
      <c r="H1906" t="s">
        <v>217</v>
      </c>
      <c r="I1906" t="s">
        <v>395</v>
      </c>
      <c r="J1906" s="25">
        <v>0</v>
      </c>
      <c r="K1906" s="26">
        <v>0</v>
      </c>
      <c r="L1906" s="26">
        <v>0</v>
      </c>
    </row>
    <row r="1907" spans="1:12" ht="16" customHeight="1">
      <c r="A1907" t="s">
        <v>399</v>
      </c>
      <c r="B1907" t="s">
        <v>3</v>
      </c>
      <c r="C1907" t="s">
        <v>35</v>
      </c>
      <c r="D1907" s="24">
        <v>46054</v>
      </c>
      <c r="E1907" t="s">
        <v>240</v>
      </c>
      <c r="F1907" t="s">
        <v>3</v>
      </c>
      <c r="G1907" t="s">
        <v>241</v>
      </c>
      <c r="H1907" t="s">
        <v>241</v>
      </c>
      <c r="I1907" t="s">
        <v>396</v>
      </c>
      <c r="J1907" s="25">
        <v>4</v>
      </c>
      <c r="K1907" s="26">
        <v>0.71</v>
      </c>
      <c r="L1907" s="26">
        <v>0.03</v>
      </c>
    </row>
    <row r="1908" spans="1:12" ht="16" customHeight="1">
      <c r="A1908" t="s">
        <v>399</v>
      </c>
      <c r="B1908" t="s">
        <v>3</v>
      </c>
      <c r="C1908" t="s">
        <v>35</v>
      </c>
      <c r="D1908" s="24">
        <v>46054</v>
      </c>
      <c r="E1908" t="s">
        <v>243</v>
      </c>
      <c r="F1908" t="s">
        <v>4</v>
      </c>
      <c r="G1908" t="s">
        <v>217</v>
      </c>
      <c r="H1908" t="s">
        <v>217</v>
      </c>
      <c r="I1908" t="s">
        <v>397</v>
      </c>
      <c r="J1908" s="25">
        <v>0</v>
      </c>
      <c r="K1908" s="26">
        <v>0</v>
      </c>
      <c r="L1908" s="26">
        <v>0</v>
      </c>
    </row>
    <row r="1909" spans="1:12" ht="16" customHeight="1">
      <c r="A1909" t="s">
        <v>399</v>
      </c>
      <c r="B1909" t="s">
        <v>3</v>
      </c>
      <c r="C1909" t="s">
        <v>35</v>
      </c>
      <c r="D1909" s="24">
        <v>46054</v>
      </c>
      <c r="E1909" t="s">
        <v>360</v>
      </c>
      <c r="F1909" t="s">
        <v>4</v>
      </c>
      <c r="G1909" t="s">
        <v>217</v>
      </c>
      <c r="H1909" t="s">
        <v>217</v>
      </c>
      <c r="I1909" t="s">
        <v>398</v>
      </c>
      <c r="J1909" s="25">
        <v>0</v>
      </c>
      <c r="K1909" s="26">
        <v>0</v>
      </c>
      <c r="L1909" s="26">
        <v>0</v>
      </c>
    </row>
    <row r="1910" spans="1:12" ht="16" customHeight="1">
      <c r="A1910" t="s">
        <v>354</v>
      </c>
      <c r="B1910" t="s">
        <v>4</v>
      </c>
      <c r="C1910" t="s">
        <v>35</v>
      </c>
      <c r="D1910" s="24">
        <v>46054</v>
      </c>
      <c r="E1910" t="s">
        <v>354</v>
      </c>
      <c r="F1910" t="s">
        <v>4</v>
      </c>
      <c r="G1910" t="s">
        <v>211</v>
      </c>
      <c r="H1910" t="s">
        <v>211</v>
      </c>
      <c r="I1910" t="s">
        <v>212</v>
      </c>
      <c r="J1910" s="25">
        <v>393553357</v>
      </c>
      <c r="K1910" s="26">
        <v>65924048.719999999</v>
      </c>
      <c r="L1910" s="26">
        <v>93332.5</v>
      </c>
    </row>
    <row r="1911" spans="1:12" ht="16" customHeight="1">
      <c r="A1911" t="s">
        <v>354</v>
      </c>
      <c r="B1911" t="s">
        <v>4</v>
      </c>
      <c r="C1911" t="s">
        <v>35</v>
      </c>
      <c r="D1911" s="24">
        <v>46054</v>
      </c>
      <c r="E1911" t="s">
        <v>374</v>
      </c>
      <c r="F1911" t="s">
        <v>4</v>
      </c>
      <c r="G1911" t="s">
        <v>211</v>
      </c>
      <c r="H1911" t="s">
        <v>211</v>
      </c>
      <c r="I1911" t="s">
        <v>212</v>
      </c>
      <c r="J1911" s="25">
        <v>15276175</v>
      </c>
      <c r="K1911" s="26">
        <v>2561007.4</v>
      </c>
      <c r="L1911" s="26">
        <v>11639.93</v>
      </c>
    </row>
    <row r="1912" spans="1:12" ht="16" customHeight="1">
      <c r="A1912" t="s">
        <v>354</v>
      </c>
      <c r="B1912" t="s">
        <v>4</v>
      </c>
      <c r="C1912" t="s">
        <v>35</v>
      </c>
      <c r="D1912" s="24">
        <v>46054</v>
      </c>
      <c r="E1912" t="s">
        <v>379</v>
      </c>
      <c r="F1912" t="s">
        <v>4</v>
      </c>
      <c r="G1912" t="s">
        <v>211</v>
      </c>
      <c r="H1912" t="s">
        <v>211</v>
      </c>
      <c r="I1912" t="s">
        <v>212</v>
      </c>
      <c r="J1912" s="25">
        <v>673371</v>
      </c>
      <c r="K1912" s="26">
        <v>113253.63</v>
      </c>
      <c r="L1912" s="26">
        <v>735.28</v>
      </c>
    </row>
    <row r="1913" spans="1:12" ht="16" customHeight="1">
      <c r="A1913" t="s">
        <v>354</v>
      </c>
      <c r="B1913" t="s">
        <v>4</v>
      </c>
      <c r="C1913" t="s">
        <v>35</v>
      </c>
      <c r="D1913" s="24">
        <v>46054</v>
      </c>
      <c r="E1913" t="s">
        <v>326</v>
      </c>
      <c r="F1913" t="s">
        <v>4</v>
      </c>
      <c r="G1913" t="s">
        <v>217</v>
      </c>
      <c r="H1913" t="s">
        <v>217</v>
      </c>
      <c r="I1913" t="s">
        <v>212</v>
      </c>
      <c r="J1913" s="25">
        <v>4012104</v>
      </c>
      <c r="K1913" s="26">
        <v>675792.95</v>
      </c>
      <c r="L1913" s="26">
        <v>5964.7</v>
      </c>
    </row>
    <row r="1914" spans="1:12" ht="16" customHeight="1">
      <c r="A1914" t="s">
        <v>354</v>
      </c>
      <c r="B1914" t="s">
        <v>4</v>
      </c>
      <c r="C1914" t="s">
        <v>35</v>
      </c>
      <c r="D1914" s="24">
        <v>46054</v>
      </c>
      <c r="E1914" t="s">
        <v>383</v>
      </c>
      <c r="F1914" t="s">
        <v>3</v>
      </c>
      <c r="G1914" t="s">
        <v>241</v>
      </c>
      <c r="H1914" t="s">
        <v>241</v>
      </c>
      <c r="I1914" t="s">
        <v>219</v>
      </c>
      <c r="J1914" s="25">
        <v>32819</v>
      </c>
      <c r="K1914" s="26">
        <v>5496.66</v>
      </c>
      <c r="L1914" s="26">
        <v>44.54</v>
      </c>
    </row>
    <row r="1915" spans="1:12" ht="16" customHeight="1">
      <c r="A1915" t="s">
        <v>354</v>
      </c>
      <c r="B1915" t="s">
        <v>4</v>
      </c>
      <c r="C1915" t="s">
        <v>35</v>
      </c>
      <c r="D1915" s="24">
        <v>46054</v>
      </c>
      <c r="E1915" t="s">
        <v>357</v>
      </c>
      <c r="F1915" t="s">
        <v>3</v>
      </c>
      <c r="G1915" t="s">
        <v>358</v>
      </c>
      <c r="H1915" t="s">
        <v>358</v>
      </c>
      <c r="I1915" t="s">
        <v>219</v>
      </c>
      <c r="J1915" s="25">
        <v>716428</v>
      </c>
      <c r="K1915" s="26">
        <v>120417.05</v>
      </c>
      <c r="L1915" s="26">
        <v>1236.28</v>
      </c>
    </row>
    <row r="1916" spans="1:12" ht="16" customHeight="1">
      <c r="A1916" t="s">
        <v>354</v>
      </c>
      <c r="B1916" t="s">
        <v>4</v>
      </c>
      <c r="C1916" t="s">
        <v>35</v>
      </c>
      <c r="D1916" s="24">
        <v>46054</v>
      </c>
      <c r="E1916" t="s">
        <v>387</v>
      </c>
      <c r="F1916" t="s">
        <v>4</v>
      </c>
      <c r="G1916" t="s">
        <v>217</v>
      </c>
      <c r="H1916" t="s">
        <v>217</v>
      </c>
      <c r="I1916" t="s">
        <v>221</v>
      </c>
      <c r="J1916" s="25">
        <v>71822</v>
      </c>
      <c r="K1916" s="26">
        <v>12219.97</v>
      </c>
      <c r="L1916" s="26">
        <v>174.5</v>
      </c>
    </row>
    <row r="1917" spans="1:12" ht="16" customHeight="1">
      <c r="A1917" t="s">
        <v>354</v>
      </c>
      <c r="B1917" t="s">
        <v>4</v>
      </c>
      <c r="C1917" t="s">
        <v>35</v>
      </c>
      <c r="D1917" s="24">
        <v>46054</v>
      </c>
      <c r="E1917" t="s">
        <v>226</v>
      </c>
      <c r="F1917" t="s">
        <v>4</v>
      </c>
      <c r="G1917" t="s">
        <v>217</v>
      </c>
      <c r="H1917" t="s">
        <v>217</v>
      </c>
      <c r="I1917" t="s">
        <v>300</v>
      </c>
      <c r="J1917" s="25">
        <v>78866</v>
      </c>
      <c r="K1917" s="26">
        <v>13534.53</v>
      </c>
      <c r="L1917" s="26">
        <v>214.12</v>
      </c>
    </row>
    <row r="1918" spans="1:12" ht="16" customHeight="1">
      <c r="A1918" t="s">
        <v>354</v>
      </c>
      <c r="B1918" t="s">
        <v>4</v>
      </c>
      <c r="C1918" t="s">
        <v>35</v>
      </c>
      <c r="D1918" s="24">
        <v>46054</v>
      </c>
      <c r="E1918" t="s">
        <v>269</v>
      </c>
      <c r="F1918" t="s">
        <v>4</v>
      </c>
      <c r="G1918" t="s">
        <v>217</v>
      </c>
      <c r="H1918" t="s">
        <v>217</v>
      </c>
      <c r="I1918" t="s">
        <v>301</v>
      </c>
      <c r="J1918" s="25">
        <v>7308</v>
      </c>
      <c r="K1918" s="26">
        <v>1260.76</v>
      </c>
      <c r="L1918" s="26">
        <v>26.09</v>
      </c>
    </row>
    <row r="1919" spans="1:12" ht="16" customHeight="1">
      <c r="A1919" t="s">
        <v>354</v>
      </c>
      <c r="B1919" t="s">
        <v>4</v>
      </c>
      <c r="C1919" t="s">
        <v>35</v>
      </c>
      <c r="D1919" s="24">
        <v>46054</v>
      </c>
      <c r="E1919" t="s">
        <v>228</v>
      </c>
      <c r="F1919" t="s">
        <v>4</v>
      </c>
      <c r="G1919" t="s">
        <v>217</v>
      </c>
      <c r="H1919" t="s">
        <v>217</v>
      </c>
      <c r="I1919" t="s">
        <v>302</v>
      </c>
      <c r="J1919" s="25">
        <v>30230</v>
      </c>
      <c r="K1919" s="26">
        <v>5313.99</v>
      </c>
      <c r="L1919" s="26">
        <v>139.29</v>
      </c>
    </row>
    <row r="1920" spans="1:12" ht="16" customHeight="1">
      <c r="A1920" t="s">
        <v>354</v>
      </c>
      <c r="B1920" t="s">
        <v>4</v>
      </c>
      <c r="C1920" t="s">
        <v>35</v>
      </c>
      <c r="D1920" s="24">
        <v>46054</v>
      </c>
      <c r="E1920" t="s">
        <v>230</v>
      </c>
      <c r="F1920" t="s">
        <v>4</v>
      </c>
      <c r="G1920" t="s">
        <v>217</v>
      </c>
      <c r="H1920" t="s">
        <v>217</v>
      </c>
      <c r="I1920" t="s">
        <v>391</v>
      </c>
      <c r="J1920" s="25">
        <v>0</v>
      </c>
      <c r="K1920" s="26">
        <v>0</v>
      </c>
      <c r="L1920" s="26">
        <v>0</v>
      </c>
    </row>
    <row r="1921" spans="1:12" ht="16" customHeight="1">
      <c r="A1921" t="s">
        <v>354</v>
      </c>
      <c r="B1921" t="s">
        <v>4</v>
      </c>
      <c r="C1921" t="s">
        <v>35</v>
      </c>
      <c r="D1921" s="24">
        <v>46054</v>
      </c>
      <c r="E1921" t="s">
        <v>232</v>
      </c>
      <c r="F1921" t="s">
        <v>4</v>
      </c>
      <c r="G1921" t="s">
        <v>217</v>
      </c>
      <c r="H1921" t="s">
        <v>217</v>
      </c>
      <c r="I1921" t="s">
        <v>392</v>
      </c>
      <c r="J1921" s="25">
        <v>73</v>
      </c>
      <c r="K1921" s="26">
        <v>12.34</v>
      </c>
      <c r="L1921" s="26">
        <v>0.56999999999999995</v>
      </c>
    </row>
    <row r="1922" spans="1:12" ht="16" customHeight="1">
      <c r="A1922" t="s">
        <v>354</v>
      </c>
      <c r="B1922" t="s">
        <v>4</v>
      </c>
      <c r="C1922" t="s">
        <v>35</v>
      </c>
      <c r="D1922" s="24">
        <v>46054</v>
      </c>
      <c r="E1922" t="s">
        <v>234</v>
      </c>
      <c r="F1922" t="s">
        <v>4</v>
      </c>
      <c r="G1922" t="s">
        <v>217</v>
      </c>
      <c r="H1922" t="s">
        <v>217</v>
      </c>
      <c r="I1922" t="s">
        <v>393</v>
      </c>
      <c r="J1922" s="25">
        <v>0</v>
      </c>
      <c r="K1922" s="26">
        <v>0</v>
      </c>
      <c r="L1922" s="26">
        <v>0</v>
      </c>
    </row>
    <row r="1923" spans="1:12" ht="16" customHeight="1">
      <c r="A1923" t="s">
        <v>354</v>
      </c>
      <c r="B1923" t="s">
        <v>4</v>
      </c>
      <c r="C1923" t="s">
        <v>35</v>
      </c>
      <c r="D1923" s="24">
        <v>46054</v>
      </c>
      <c r="E1923" t="s">
        <v>236</v>
      </c>
      <c r="F1923" t="s">
        <v>4</v>
      </c>
      <c r="G1923" t="s">
        <v>217</v>
      </c>
      <c r="H1923" t="s">
        <v>217</v>
      </c>
      <c r="I1923" t="s">
        <v>394</v>
      </c>
      <c r="J1923" s="25">
        <v>0</v>
      </c>
      <c r="K1923" s="26">
        <v>0</v>
      </c>
      <c r="L1923" s="26">
        <v>0</v>
      </c>
    </row>
    <row r="1924" spans="1:12" ht="16" customHeight="1">
      <c r="A1924" t="s">
        <v>354</v>
      </c>
      <c r="B1924" t="s">
        <v>4</v>
      </c>
      <c r="C1924" t="s">
        <v>35</v>
      </c>
      <c r="D1924" s="24">
        <v>46054</v>
      </c>
      <c r="E1924" t="s">
        <v>238</v>
      </c>
      <c r="F1924" t="s">
        <v>4</v>
      </c>
      <c r="G1924" t="s">
        <v>217</v>
      </c>
      <c r="H1924" t="s">
        <v>217</v>
      </c>
      <c r="I1924" t="s">
        <v>395</v>
      </c>
      <c r="J1924" s="25">
        <v>0</v>
      </c>
      <c r="K1924" s="26">
        <v>0</v>
      </c>
      <c r="L1924" s="26">
        <v>0</v>
      </c>
    </row>
    <row r="1925" spans="1:12" ht="16" customHeight="1">
      <c r="A1925" t="s">
        <v>354</v>
      </c>
      <c r="B1925" t="s">
        <v>4</v>
      </c>
      <c r="C1925" t="s">
        <v>35</v>
      </c>
      <c r="D1925" s="24">
        <v>46054</v>
      </c>
      <c r="E1925" t="s">
        <v>240</v>
      </c>
      <c r="F1925" t="s">
        <v>3</v>
      </c>
      <c r="G1925" t="s">
        <v>241</v>
      </c>
      <c r="H1925" t="s">
        <v>241</v>
      </c>
      <c r="I1925" t="s">
        <v>396</v>
      </c>
      <c r="J1925" s="25">
        <v>0</v>
      </c>
      <c r="K1925" s="26">
        <v>0</v>
      </c>
      <c r="L1925" s="26">
        <v>0</v>
      </c>
    </row>
    <row r="1926" spans="1:12" ht="16" customHeight="1">
      <c r="A1926" t="s">
        <v>354</v>
      </c>
      <c r="B1926" t="s">
        <v>4</v>
      </c>
      <c r="C1926" t="s">
        <v>35</v>
      </c>
      <c r="D1926" s="24">
        <v>46054</v>
      </c>
      <c r="E1926" t="s">
        <v>243</v>
      </c>
      <c r="F1926" t="s">
        <v>4</v>
      </c>
      <c r="G1926" t="s">
        <v>217</v>
      </c>
      <c r="H1926" t="s">
        <v>217</v>
      </c>
      <c r="I1926" t="s">
        <v>397</v>
      </c>
      <c r="J1926" s="25">
        <v>0</v>
      </c>
      <c r="K1926" s="26">
        <v>0</v>
      </c>
      <c r="L1926" s="26">
        <v>0</v>
      </c>
    </row>
    <row r="1927" spans="1:12" ht="16" customHeight="1">
      <c r="A1927" t="s">
        <v>354</v>
      </c>
      <c r="B1927" t="s">
        <v>4</v>
      </c>
      <c r="C1927" t="s">
        <v>35</v>
      </c>
      <c r="D1927" s="24">
        <v>46054</v>
      </c>
      <c r="E1927" t="s">
        <v>360</v>
      </c>
      <c r="F1927" t="s">
        <v>4</v>
      </c>
      <c r="G1927" t="s">
        <v>217</v>
      </c>
      <c r="H1927" t="s">
        <v>217</v>
      </c>
      <c r="I1927" t="s">
        <v>398</v>
      </c>
      <c r="J1927" s="25">
        <v>0</v>
      </c>
      <c r="K1927" s="26">
        <v>0</v>
      </c>
      <c r="L1927" s="26">
        <v>0</v>
      </c>
    </row>
    <row r="1928" spans="1:12" ht="16" customHeight="1">
      <c r="A1928" t="s">
        <v>400</v>
      </c>
      <c r="B1928" t="s">
        <v>5</v>
      </c>
      <c r="C1928" t="s">
        <v>35</v>
      </c>
      <c r="D1928" s="24">
        <v>46054</v>
      </c>
      <c r="E1928" t="s">
        <v>374</v>
      </c>
      <c r="F1928" t="s">
        <v>4</v>
      </c>
      <c r="G1928" t="s">
        <v>211</v>
      </c>
      <c r="H1928" t="s">
        <v>211</v>
      </c>
      <c r="I1928" t="s">
        <v>212</v>
      </c>
      <c r="J1928" s="25">
        <v>52436416</v>
      </c>
      <c r="K1928" s="26">
        <v>8813776.3699999992</v>
      </c>
      <c r="L1928" s="26">
        <v>33556.339999999997</v>
      </c>
    </row>
    <row r="1929" spans="1:12" ht="16" customHeight="1">
      <c r="A1929" t="s">
        <v>400</v>
      </c>
      <c r="B1929" t="s">
        <v>5</v>
      </c>
      <c r="C1929" t="s">
        <v>35</v>
      </c>
      <c r="D1929" s="24">
        <v>46054</v>
      </c>
      <c r="E1929" t="s">
        <v>379</v>
      </c>
      <c r="F1929" t="s">
        <v>4</v>
      </c>
      <c r="G1929" t="s">
        <v>211</v>
      </c>
      <c r="H1929" t="s">
        <v>211</v>
      </c>
      <c r="I1929" t="s">
        <v>212</v>
      </c>
      <c r="J1929" s="25">
        <v>863143</v>
      </c>
      <c r="K1929" s="26">
        <v>145087.84</v>
      </c>
      <c r="L1929" s="26">
        <v>704.14</v>
      </c>
    </row>
    <row r="1930" spans="1:12" ht="16" customHeight="1">
      <c r="A1930" t="s">
        <v>400</v>
      </c>
      <c r="B1930" t="s">
        <v>5</v>
      </c>
      <c r="C1930" t="s">
        <v>35</v>
      </c>
      <c r="D1930" s="24">
        <v>46054</v>
      </c>
      <c r="E1930" t="s">
        <v>326</v>
      </c>
      <c r="F1930" t="s">
        <v>4</v>
      </c>
      <c r="G1930" t="s">
        <v>217</v>
      </c>
      <c r="H1930" t="s">
        <v>217</v>
      </c>
      <c r="I1930" t="s">
        <v>212</v>
      </c>
      <c r="J1930" s="25">
        <v>1738212</v>
      </c>
      <c r="K1930" s="26">
        <v>291975.84000000003</v>
      </c>
      <c r="L1930" s="26">
        <v>1830.83</v>
      </c>
    </row>
    <row r="1931" spans="1:12" ht="16" customHeight="1">
      <c r="A1931" t="s">
        <v>400</v>
      </c>
      <c r="B1931" t="s">
        <v>5</v>
      </c>
      <c r="C1931" t="s">
        <v>35</v>
      </c>
      <c r="D1931" s="24">
        <v>46054</v>
      </c>
      <c r="E1931" t="s">
        <v>383</v>
      </c>
      <c r="F1931" t="s">
        <v>3</v>
      </c>
      <c r="G1931" t="s">
        <v>241</v>
      </c>
      <c r="H1931" t="s">
        <v>241</v>
      </c>
      <c r="I1931" t="s">
        <v>219</v>
      </c>
      <c r="J1931" s="25">
        <v>26415</v>
      </c>
      <c r="K1931" s="26">
        <v>4441.8999999999996</v>
      </c>
      <c r="L1931" s="26">
        <v>28.71</v>
      </c>
    </row>
    <row r="1932" spans="1:12" ht="16" customHeight="1">
      <c r="A1932" t="s">
        <v>400</v>
      </c>
      <c r="B1932" t="s">
        <v>5</v>
      </c>
      <c r="C1932" t="s">
        <v>35</v>
      </c>
      <c r="D1932" s="24">
        <v>46054</v>
      </c>
      <c r="E1932" t="s">
        <v>401</v>
      </c>
      <c r="F1932" t="s">
        <v>4</v>
      </c>
      <c r="G1932" t="s">
        <v>211</v>
      </c>
      <c r="H1932" t="s">
        <v>211</v>
      </c>
      <c r="I1932" t="s">
        <v>219</v>
      </c>
      <c r="J1932" s="25">
        <v>388</v>
      </c>
      <c r="K1932" s="26">
        <v>64.930000000000007</v>
      </c>
      <c r="L1932" s="26">
        <v>0.56000000000000005</v>
      </c>
    </row>
    <row r="1933" spans="1:12" ht="16" customHeight="1">
      <c r="A1933" t="s">
        <v>400</v>
      </c>
      <c r="B1933" t="s">
        <v>5</v>
      </c>
      <c r="C1933" t="s">
        <v>35</v>
      </c>
      <c r="D1933" s="24">
        <v>46054</v>
      </c>
      <c r="E1933" t="s">
        <v>357</v>
      </c>
      <c r="F1933" t="s">
        <v>3</v>
      </c>
      <c r="G1933" t="s">
        <v>358</v>
      </c>
      <c r="H1933" t="s">
        <v>358</v>
      </c>
      <c r="I1933" t="s">
        <v>219</v>
      </c>
      <c r="J1933" s="25">
        <v>352785</v>
      </c>
      <c r="K1933" s="26">
        <v>59052.42</v>
      </c>
      <c r="L1933" s="26">
        <v>463.09</v>
      </c>
    </row>
    <row r="1934" spans="1:12" ht="16" customHeight="1">
      <c r="A1934" t="s">
        <v>400</v>
      </c>
      <c r="B1934" t="s">
        <v>5</v>
      </c>
      <c r="C1934" t="s">
        <v>35</v>
      </c>
      <c r="D1934" s="24">
        <v>46054</v>
      </c>
      <c r="E1934" t="s">
        <v>387</v>
      </c>
      <c r="F1934" t="s">
        <v>4</v>
      </c>
      <c r="G1934" t="s">
        <v>217</v>
      </c>
      <c r="H1934" t="s">
        <v>217</v>
      </c>
      <c r="I1934" t="s">
        <v>221</v>
      </c>
      <c r="J1934" s="25">
        <v>29099</v>
      </c>
      <c r="K1934" s="26">
        <v>4909.29</v>
      </c>
      <c r="L1934" s="26">
        <v>67.819999999999993</v>
      </c>
    </row>
    <row r="1935" spans="1:12" ht="16" customHeight="1">
      <c r="A1935" t="s">
        <v>400</v>
      </c>
      <c r="B1935" t="s">
        <v>5</v>
      </c>
      <c r="C1935" t="s">
        <v>35</v>
      </c>
      <c r="D1935" s="24">
        <v>46054</v>
      </c>
      <c r="E1935" t="s">
        <v>226</v>
      </c>
      <c r="F1935" t="s">
        <v>4</v>
      </c>
      <c r="G1935" t="s">
        <v>217</v>
      </c>
      <c r="H1935" t="s">
        <v>217</v>
      </c>
      <c r="I1935" t="s">
        <v>300</v>
      </c>
      <c r="J1935" s="25">
        <v>46154</v>
      </c>
      <c r="K1935" s="26">
        <v>7893.64</v>
      </c>
      <c r="L1935" s="26">
        <v>100.97</v>
      </c>
    </row>
    <row r="1936" spans="1:12" ht="16" customHeight="1">
      <c r="A1936" t="s">
        <v>400</v>
      </c>
      <c r="B1936" t="s">
        <v>5</v>
      </c>
      <c r="C1936" t="s">
        <v>35</v>
      </c>
      <c r="D1936" s="24">
        <v>46054</v>
      </c>
      <c r="E1936" t="s">
        <v>269</v>
      </c>
      <c r="F1936" t="s">
        <v>4</v>
      </c>
      <c r="G1936" t="s">
        <v>217</v>
      </c>
      <c r="H1936" t="s">
        <v>217</v>
      </c>
      <c r="I1936" t="s">
        <v>301</v>
      </c>
      <c r="J1936" s="25">
        <v>3871</v>
      </c>
      <c r="K1936" s="26">
        <v>661.26</v>
      </c>
      <c r="L1936" s="26">
        <v>12.87</v>
      </c>
    </row>
    <row r="1937" spans="1:12" ht="16" customHeight="1">
      <c r="A1937" t="s">
        <v>400</v>
      </c>
      <c r="B1937" t="s">
        <v>5</v>
      </c>
      <c r="C1937" t="s">
        <v>35</v>
      </c>
      <c r="D1937" s="24">
        <v>46054</v>
      </c>
      <c r="E1937" t="s">
        <v>228</v>
      </c>
      <c r="F1937" t="s">
        <v>4</v>
      </c>
      <c r="G1937" t="s">
        <v>217</v>
      </c>
      <c r="H1937" t="s">
        <v>217</v>
      </c>
      <c r="I1937" t="s">
        <v>302</v>
      </c>
      <c r="J1937" s="25">
        <v>13003</v>
      </c>
      <c r="K1937" s="26">
        <v>2283.56</v>
      </c>
      <c r="L1937" s="26">
        <v>56.19</v>
      </c>
    </row>
    <row r="1938" spans="1:12" ht="16" customHeight="1">
      <c r="A1938" t="s">
        <v>400</v>
      </c>
      <c r="B1938" t="s">
        <v>5</v>
      </c>
      <c r="C1938" t="s">
        <v>35</v>
      </c>
      <c r="D1938" s="24">
        <v>46054</v>
      </c>
      <c r="E1938" t="s">
        <v>230</v>
      </c>
      <c r="F1938" t="s">
        <v>4</v>
      </c>
      <c r="G1938" t="s">
        <v>217</v>
      </c>
      <c r="H1938" t="s">
        <v>217</v>
      </c>
      <c r="I1938" t="s">
        <v>391</v>
      </c>
      <c r="J1938" s="25">
        <v>0</v>
      </c>
      <c r="K1938" s="26">
        <v>0</v>
      </c>
      <c r="L1938" s="26">
        <v>0</v>
      </c>
    </row>
    <row r="1939" spans="1:12" ht="16" customHeight="1">
      <c r="A1939" t="s">
        <v>400</v>
      </c>
      <c r="B1939" t="s">
        <v>5</v>
      </c>
      <c r="C1939" t="s">
        <v>35</v>
      </c>
      <c r="D1939" s="24">
        <v>46054</v>
      </c>
      <c r="E1939" t="s">
        <v>232</v>
      </c>
      <c r="F1939" t="s">
        <v>4</v>
      </c>
      <c r="G1939" t="s">
        <v>217</v>
      </c>
      <c r="H1939" t="s">
        <v>217</v>
      </c>
      <c r="I1939" t="s">
        <v>392</v>
      </c>
      <c r="J1939" s="25">
        <v>60</v>
      </c>
      <c r="K1939" s="26">
        <v>10.54</v>
      </c>
      <c r="L1939" s="26">
        <v>0.48</v>
      </c>
    </row>
    <row r="1940" spans="1:12" ht="16" customHeight="1">
      <c r="A1940" t="s">
        <v>400</v>
      </c>
      <c r="B1940" t="s">
        <v>5</v>
      </c>
      <c r="C1940" t="s">
        <v>35</v>
      </c>
      <c r="D1940" s="24">
        <v>46054</v>
      </c>
      <c r="E1940" t="s">
        <v>234</v>
      </c>
      <c r="F1940" t="s">
        <v>4</v>
      </c>
      <c r="G1940" t="s">
        <v>217</v>
      </c>
      <c r="H1940" t="s">
        <v>217</v>
      </c>
      <c r="I1940" t="s">
        <v>393</v>
      </c>
      <c r="J1940" s="25">
        <v>0</v>
      </c>
      <c r="K1940" s="26">
        <v>0</v>
      </c>
      <c r="L1940" s="26">
        <v>0</v>
      </c>
    </row>
    <row r="1941" spans="1:12" ht="16" customHeight="1">
      <c r="A1941" t="s">
        <v>400</v>
      </c>
      <c r="B1941" t="s">
        <v>5</v>
      </c>
      <c r="C1941" t="s">
        <v>35</v>
      </c>
      <c r="D1941" s="24">
        <v>46054</v>
      </c>
      <c r="E1941" t="s">
        <v>236</v>
      </c>
      <c r="F1941" t="s">
        <v>4</v>
      </c>
      <c r="G1941" t="s">
        <v>217</v>
      </c>
      <c r="H1941" t="s">
        <v>217</v>
      </c>
      <c r="I1941" t="s">
        <v>394</v>
      </c>
      <c r="J1941" s="25">
        <v>13</v>
      </c>
      <c r="K1941" s="26">
        <v>2.34</v>
      </c>
      <c r="L1941" s="26">
        <v>0.09</v>
      </c>
    </row>
    <row r="1942" spans="1:12" ht="16" customHeight="1">
      <c r="A1942" t="s">
        <v>400</v>
      </c>
      <c r="B1942" t="s">
        <v>5</v>
      </c>
      <c r="C1942" t="s">
        <v>35</v>
      </c>
      <c r="D1942" s="24">
        <v>46054</v>
      </c>
      <c r="E1942" t="s">
        <v>238</v>
      </c>
      <c r="F1942" t="s">
        <v>4</v>
      </c>
      <c r="G1942" t="s">
        <v>217</v>
      </c>
      <c r="H1942" t="s">
        <v>217</v>
      </c>
      <c r="I1942" t="s">
        <v>395</v>
      </c>
      <c r="J1942" s="25">
        <v>0</v>
      </c>
      <c r="K1942" s="26">
        <v>0</v>
      </c>
      <c r="L1942" s="26">
        <v>0</v>
      </c>
    </row>
    <row r="1943" spans="1:12" ht="16" customHeight="1">
      <c r="A1943" t="s">
        <v>400</v>
      </c>
      <c r="B1943" t="s">
        <v>5</v>
      </c>
      <c r="C1943" t="s">
        <v>35</v>
      </c>
      <c r="D1943" s="24">
        <v>46054</v>
      </c>
      <c r="E1943" t="s">
        <v>240</v>
      </c>
      <c r="F1943" t="s">
        <v>3</v>
      </c>
      <c r="G1943" t="s">
        <v>241</v>
      </c>
      <c r="H1943" t="s">
        <v>241</v>
      </c>
      <c r="I1943" t="s">
        <v>396</v>
      </c>
      <c r="J1943" s="25">
        <v>0</v>
      </c>
      <c r="K1943" s="26">
        <v>0</v>
      </c>
      <c r="L1943" s="26">
        <v>0</v>
      </c>
    </row>
    <row r="1944" spans="1:12" ht="16" customHeight="1">
      <c r="A1944" t="s">
        <v>400</v>
      </c>
      <c r="B1944" t="s">
        <v>5</v>
      </c>
      <c r="C1944" t="s">
        <v>35</v>
      </c>
      <c r="D1944" s="24">
        <v>46054</v>
      </c>
      <c r="E1944" t="s">
        <v>243</v>
      </c>
      <c r="F1944" t="s">
        <v>4</v>
      </c>
      <c r="G1944" t="s">
        <v>217</v>
      </c>
      <c r="H1944" t="s">
        <v>217</v>
      </c>
      <c r="I1944" t="s">
        <v>397</v>
      </c>
      <c r="J1944" s="25">
        <v>0</v>
      </c>
      <c r="K1944" s="26">
        <v>0</v>
      </c>
      <c r="L1944" s="26">
        <v>0</v>
      </c>
    </row>
    <row r="1945" spans="1:12" ht="16" customHeight="1">
      <c r="A1945" t="s">
        <v>400</v>
      </c>
      <c r="B1945" t="s">
        <v>5</v>
      </c>
      <c r="C1945" t="s">
        <v>35</v>
      </c>
      <c r="D1945" s="24">
        <v>46054</v>
      </c>
      <c r="E1945" t="s">
        <v>360</v>
      </c>
      <c r="F1945" t="s">
        <v>4</v>
      </c>
      <c r="G1945" t="s">
        <v>217</v>
      </c>
      <c r="H1945" t="s">
        <v>217</v>
      </c>
      <c r="I1945" t="s">
        <v>398</v>
      </c>
      <c r="J1945" s="25">
        <v>0</v>
      </c>
      <c r="K1945" s="26">
        <v>0</v>
      </c>
      <c r="L1945" s="26">
        <v>0</v>
      </c>
    </row>
    <row r="1946" spans="1:12" ht="16" customHeight="1">
      <c r="A1946" t="s">
        <v>402</v>
      </c>
      <c r="B1946" t="s">
        <v>6</v>
      </c>
      <c r="C1946" t="s">
        <v>35</v>
      </c>
      <c r="D1946" s="24">
        <v>46054</v>
      </c>
      <c r="E1946" t="s">
        <v>374</v>
      </c>
      <c r="F1946" t="s">
        <v>4</v>
      </c>
      <c r="G1946" t="s">
        <v>211</v>
      </c>
      <c r="H1946" t="s">
        <v>211</v>
      </c>
      <c r="I1946" t="s">
        <v>212</v>
      </c>
      <c r="J1946" s="25">
        <v>48324220</v>
      </c>
      <c r="K1946" s="26">
        <v>8099650.71</v>
      </c>
      <c r="L1946" s="26">
        <v>26358.240000000002</v>
      </c>
    </row>
    <row r="1947" spans="1:12" ht="16" customHeight="1">
      <c r="A1947" t="s">
        <v>402</v>
      </c>
      <c r="B1947" t="s">
        <v>6</v>
      </c>
      <c r="C1947" t="s">
        <v>35</v>
      </c>
      <c r="D1947" s="24">
        <v>46054</v>
      </c>
      <c r="E1947" t="s">
        <v>379</v>
      </c>
      <c r="F1947" t="s">
        <v>4</v>
      </c>
      <c r="G1947" t="s">
        <v>211</v>
      </c>
      <c r="H1947" t="s">
        <v>211</v>
      </c>
      <c r="I1947" t="s">
        <v>212</v>
      </c>
      <c r="J1947" s="25">
        <v>1149868</v>
      </c>
      <c r="K1947" s="26">
        <v>192620.01</v>
      </c>
      <c r="L1947" s="26">
        <v>877.78</v>
      </c>
    </row>
    <row r="1948" spans="1:12" ht="16" customHeight="1">
      <c r="A1948" t="s">
        <v>402</v>
      </c>
      <c r="B1948" t="s">
        <v>6</v>
      </c>
      <c r="C1948" t="s">
        <v>35</v>
      </c>
      <c r="D1948" s="24">
        <v>46054</v>
      </c>
      <c r="E1948" t="s">
        <v>326</v>
      </c>
      <c r="F1948" t="s">
        <v>4</v>
      </c>
      <c r="G1948" t="s">
        <v>217</v>
      </c>
      <c r="H1948" t="s">
        <v>217</v>
      </c>
      <c r="I1948" t="s">
        <v>212</v>
      </c>
      <c r="J1948" s="25">
        <v>1444265</v>
      </c>
      <c r="K1948" s="26">
        <v>242935.9</v>
      </c>
      <c r="L1948" s="26">
        <v>1598.62</v>
      </c>
    </row>
    <row r="1949" spans="1:12" ht="16" customHeight="1">
      <c r="A1949" t="s">
        <v>402</v>
      </c>
      <c r="B1949" t="s">
        <v>6</v>
      </c>
      <c r="C1949" t="s">
        <v>35</v>
      </c>
      <c r="D1949" s="24">
        <v>46054</v>
      </c>
      <c r="E1949" t="s">
        <v>383</v>
      </c>
      <c r="F1949" t="s">
        <v>3</v>
      </c>
      <c r="G1949" t="s">
        <v>241</v>
      </c>
      <c r="H1949" t="s">
        <v>241</v>
      </c>
      <c r="I1949" t="s">
        <v>219</v>
      </c>
      <c r="J1949" s="25">
        <v>22818</v>
      </c>
      <c r="K1949" s="26">
        <v>3821.86</v>
      </c>
      <c r="L1949" s="26">
        <v>25.11</v>
      </c>
    </row>
    <row r="1950" spans="1:12" ht="16" customHeight="1">
      <c r="A1950" t="s">
        <v>402</v>
      </c>
      <c r="B1950" t="s">
        <v>6</v>
      </c>
      <c r="C1950" t="s">
        <v>35</v>
      </c>
      <c r="D1950" s="24">
        <v>46054</v>
      </c>
      <c r="E1950" t="s">
        <v>401</v>
      </c>
      <c r="F1950" t="s">
        <v>4</v>
      </c>
      <c r="G1950" t="s">
        <v>211</v>
      </c>
      <c r="H1950" t="s">
        <v>211</v>
      </c>
      <c r="I1950" t="s">
        <v>219</v>
      </c>
      <c r="J1950" s="25">
        <v>698</v>
      </c>
      <c r="K1950" s="26">
        <v>116.96</v>
      </c>
      <c r="L1950" s="26">
        <v>0.97</v>
      </c>
    </row>
    <row r="1951" spans="1:12" ht="16" customHeight="1">
      <c r="A1951" t="s">
        <v>402</v>
      </c>
      <c r="B1951" t="s">
        <v>6</v>
      </c>
      <c r="C1951" t="s">
        <v>35</v>
      </c>
      <c r="D1951" s="24">
        <v>46054</v>
      </c>
      <c r="E1951" t="s">
        <v>357</v>
      </c>
      <c r="F1951" t="s">
        <v>3</v>
      </c>
      <c r="G1951" t="s">
        <v>358</v>
      </c>
      <c r="H1951" t="s">
        <v>358</v>
      </c>
      <c r="I1951" t="s">
        <v>219</v>
      </c>
      <c r="J1951" s="25">
        <v>255718</v>
      </c>
      <c r="K1951" s="26">
        <v>43000.58</v>
      </c>
      <c r="L1951" s="26">
        <v>366.22</v>
      </c>
    </row>
    <row r="1952" spans="1:12" ht="16" customHeight="1">
      <c r="A1952" t="s">
        <v>402</v>
      </c>
      <c r="B1952" t="s">
        <v>6</v>
      </c>
      <c r="C1952" t="s">
        <v>35</v>
      </c>
      <c r="D1952" s="24">
        <v>46054</v>
      </c>
      <c r="E1952" t="s">
        <v>387</v>
      </c>
      <c r="F1952" t="s">
        <v>4</v>
      </c>
      <c r="G1952" t="s">
        <v>217</v>
      </c>
      <c r="H1952" t="s">
        <v>217</v>
      </c>
      <c r="I1952" t="s">
        <v>221</v>
      </c>
      <c r="J1952" s="25">
        <v>32094</v>
      </c>
      <c r="K1952" s="26">
        <v>5421.03</v>
      </c>
      <c r="L1952" s="26">
        <v>69.69</v>
      </c>
    </row>
    <row r="1953" spans="1:12" ht="16" customHeight="1">
      <c r="A1953" t="s">
        <v>402</v>
      </c>
      <c r="B1953" t="s">
        <v>6</v>
      </c>
      <c r="C1953" t="s">
        <v>35</v>
      </c>
      <c r="D1953" s="24">
        <v>46054</v>
      </c>
      <c r="E1953" t="s">
        <v>226</v>
      </c>
      <c r="F1953" t="s">
        <v>4</v>
      </c>
      <c r="G1953" t="s">
        <v>217</v>
      </c>
      <c r="H1953" t="s">
        <v>217</v>
      </c>
      <c r="I1953" t="s">
        <v>300</v>
      </c>
      <c r="J1953" s="25">
        <v>37106</v>
      </c>
      <c r="K1953" s="26">
        <v>6478.87</v>
      </c>
      <c r="L1953" s="26">
        <v>106.22</v>
      </c>
    </row>
    <row r="1954" spans="1:12" ht="16" customHeight="1">
      <c r="A1954" t="s">
        <v>402</v>
      </c>
      <c r="B1954" t="s">
        <v>6</v>
      </c>
      <c r="C1954" t="s">
        <v>35</v>
      </c>
      <c r="D1954" s="24">
        <v>46054</v>
      </c>
      <c r="E1954" t="s">
        <v>269</v>
      </c>
      <c r="F1954" t="s">
        <v>4</v>
      </c>
      <c r="G1954" t="s">
        <v>217</v>
      </c>
      <c r="H1954" t="s">
        <v>217</v>
      </c>
      <c r="I1954" t="s">
        <v>301</v>
      </c>
      <c r="J1954" s="25">
        <v>4349</v>
      </c>
      <c r="K1954" s="26">
        <v>815.17</v>
      </c>
      <c r="L1954" s="26">
        <v>8.9</v>
      </c>
    </row>
    <row r="1955" spans="1:12" ht="16" customHeight="1">
      <c r="A1955" t="s">
        <v>402</v>
      </c>
      <c r="B1955" t="s">
        <v>6</v>
      </c>
      <c r="C1955" t="s">
        <v>35</v>
      </c>
      <c r="D1955" s="24">
        <v>46054</v>
      </c>
      <c r="E1955" t="s">
        <v>228</v>
      </c>
      <c r="F1955" t="s">
        <v>4</v>
      </c>
      <c r="G1955" t="s">
        <v>217</v>
      </c>
      <c r="H1955" t="s">
        <v>217</v>
      </c>
      <c r="I1955" t="s">
        <v>302</v>
      </c>
      <c r="J1955" s="25">
        <v>7819</v>
      </c>
      <c r="K1955" s="26">
        <v>1404.84</v>
      </c>
      <c r="L1955" s="26">
        <v>35.5</v>
      </c>
    </row>
    <row r="1956" spans="1:12" ht="16" customHeight="1">
      <c r="A1956" t="s">
        <v>402</v>
      </c>
      <c r="B1956" t="s">
        <v>6</v>
      </c>
      <c r="C1956" t="s">
        <v>35</v>
      </c>
      <c r="D1956" s="24">
        <v>46054</v>
      </c>
      <c r="E1956" t="s">
        <v>230</v>
      </c>
      <c r="F1956" t="s">
        <v>4</v>
      </c>
      <c r="G1956" t="s">
        <v>217</v>
      </c>
      <c r="H1956" t="s">
        <v>217</v>
      </c>
      <c r="I1956" t="s">
        <v>391</v>
      </c>
      <c r="J1956" s="25">
        <v>0</v>
      </c>
      <c r="K1956" s="26">
        <v>0</v>
      </c>
      <c r="L1956" s="26">
        <v>0</v>
      </c>
    </row>
    <row r="1957" spans="1:12" ht="16" customHeight="1">
      <c r="A1957" t="s">
        <v>402</v>
      </c>
      <c r="B1957" t="s">
        <v>6</v>
      </c>
      <c r="C1957" t="s">
        <v>35</v>
      </c>
      <c r="D1957" s="24">
        <v>46054</v>
      </c>
      <c r="E1957" t="s">
        <v>232</v>
      </c>
      <c r="F1957" t="s">
        <v>4</v>
      </c>
      <c r="G1957" t="s">
        <v>217</v>
      </c>
      <c r="H1957" t="s">
        <v>217</v>
      </c>
      <c r="I1957" t="s">
        <v>392</v>
      </c>
      <c r="J1957" s="25">
        <v>24</v>
      </c>
      <c r="K1957" s="26">
        <v>4.1500000000000004</v>
      </c>
      <c r="L1957" s="26">
        <v>0.19</v>
      </c>
    </row>
    <row r="1958" spans="1:12" ht="16" customHeight="1">
      <c r="A1958" t="s">
        <v>402</v>
      </c>
      <c r="B1958" t="s">
        <v>6</v>
      </c>
      <c r="C1958" t="s">
        <v>35</v>
      </c>
      <c r="D1958" s="24">
        <v>46054</v>
      </c>
      <c r="E1958" t="s">
        <v>234</v>
      </c>
      <c r="F1958" t="s">
        <v>4</v>
      </c>
      <c r="G1958" t="s">
        <v>217</v>
      </c>
      <c r="H1958" t="s">
        <v>217</v>
      </c>
      <c r="I1958" t="s">
        <v>393</v>
      </c>
      <c r="J1958" s="25">
        <v>0</v>
      </c>
      <c r="K1958" s="26">
        <v>0</v>
      </c>
      <c r="L1958" s="26">
        <v>0</v>
      </c>
    </row>
    <row r="1959" spans="1:12" ht="16" customHeight="1">
      <c r="A1959" t="s">
        <v>402</v>
      </c>
      <c r="B1959" t="s">
        <v>6</v>
      </c>
      <c r="C1959" t="s">
        <v>35</v>
      </c>
      <c r="D1959" s="24">
        <v>46054</v>
      </c>
      <c r="E1959" t="s">
        <v>236</v>
      </c>
      <c r="F1959" t="s">
        <v>4</v>
      </c>
      <c r="G1959" t="s">
        <v>217</v>
      </c>
      <c r="H1959" t="s">
        <v>217</v>
      </c>
      <c r="I1959" t="s">
        <v>394</v>
      </c>
      <c r="J1959" s="25">
        <v>0</v>
      </c>
      <c r="K1959" s="26">
        <v>0</v>
      </c>
      <c r="L1959" s="26">
        <v>0</v>
      </c>
    </row>
    <row r="1960" spans="1:12" ht="16" customHeight="1">
      <c r="A1960" t="s">
        <v>402</v>
      </c>
      <c r="B1960" t="s">
        <v>6</v>
      </c>
      <c r="C1960" t="s">
        <v>35</v>
      </c>
      <c r="D1960" s="24">
        <v>46054</v>
      </c>
      <c r="E1960" t="s">
        <v>238</v>
      </c>
      <c r="F1960" t="s">
        <v>4</v>
      </c>
      <c r="G1960" t="s">
        <v>217</v>
      </c>
      <c r="H1960" t="s">
        <v>217</v>
      </c>
      <c r="I1960" t="s">
        <v>395</v>
      </c>
      <c r="J1960" s="25">
        <v>0</v>
      </c>
      <c r="K1960" s="26">
        <v>0</v>
      </c>
      <c r="L1960" s="26">
        <v>0</v>
      </c>
    </row>
    <row r="1961" spans="1:12" ht="16" customHeight="1">
      <c r="A1961" t="s">
        <v>402</v>
      </c>
      <c r="B1961" t="s">
        <v>6</v>
      </c>
      <c r="C1961" t="s">
        <v>35</v>
      </c>
      <c r="D1961" s="24">
        <v>46054</v>
      </c>
      <c r="E1961" t="s">
        <v>240</v>
      </c>
      <c r="F1961" t="s">
        <v>3</v>
      </c>
      <c r="G1961" t="s">
        <v>241</v>
      </c>
      <c r="H1961" t="s">
        <v>241</v>
      </c>
      <c r="I1961" t="s">
        <v>396</v>
      </c>
      <c r="J1961" s="25">
        <v>0</v>
      </c>
      <c r="K1961" s="26">
        <v>0</v>
      </c>
      <c r="L1961" s="26">
        <v>0</v>
      </c>
    </row>
    <row r="1962" spans="1:12" ht="16" customHeight="1">
      <c r="A1962" t="s">
        <v>402</v>
      </c>
      <c r="B1962" t="s">
        <v>6</v>
      </c>
      <c r="C1962" t="s">
        <v>35</v>
      </c>
      <c r="D1962" s="24">
        <v>46054</v>
      </c>
      <c r="E1962" t="s">
        <v>243</v>
      </c>
      <c r="F1962" t="s">
        <v>4</v>
      </c>
      <c r="G1962" t="s">
        <v>217</v>
      </c>
      <c r="H1962" t="s">
        <v>217</v>
      </c>
      <c r="I1962" t="s">
        <v>397</v>
      </c>
      <c r="J1962" s="25">
        <v>0</v>
      </c>
      <c r="K1962" s="26">
        <v>0</v>
      </c>
      <c r="L1962" s="26">
        <v>0</v>
      </c>
    </row>
    <row r="1963" spans="1:12" ht="16" customHeight="1">
      <c r="A1963" t="s">
        <v>402</v>
      </c>
      <c r="B1963" t="s">
        <v>6</v>
      </c>
      <c r="C1963" t="s">
        <v>35</v>
      </c>
      <c r="D1963" s="24">
        <v>46054</v>
      </c>
      <c r="E1963" t="s">
        <v>360</v>
      </c>
      <c r="F1963" t="s">
        <v>4</v>
      </c>
      <c r="G1963" t="s">
        <v>217</v>
      </c>
      <c r="H1963" t="s">
        <v>217</v>
      </c>
      <c r="I1963" t="s">
        <v>398</v>
      </c>
      <c r="J1963" s="25">
        <v>0</v>
      </c>
      <c r="K1963" s="26">
        <v>0</v>
      </c>
      <c r="L1963" s="26">
        <v>0</v>
      </c>
    </row>
    <row r="1964" spans="1:12" ht="16" customHeight="1">
      <c r="A1964" t="s">
        <v>403</v>
      </c>
      <c r="B1964" t="s">
        <v>7</v>
      </c>
      <c r="C1964" t="s">
        <v>35</v>
      </c>
      <c r="D1964" s="24">
        <v>46054</v>
      </c>
      <c r="E1964" t="s">
        <v>374</v>
      </c>
      <c r="F1964" t="s">
        <v>4</v>
      </c>
      <c r="G1964" t="s">
        <v>211</v>
      </c>
      <c r="H1964" t="s">
        <v>211</v>
      </c>
      <c r="I1964" t="s">
        <v>212</v>
      </c>
      <c r="J1964" s="25">
        <v>117866850</v>
      </c>
      <c r="K1964" s="26">
        <v>19674829.710000001</v>
      </c>
      <c r="L1964" s="26">
        <v>52533.77</v>
      </c>
    </row>
    <row r="1965" spans="1:12" ht="16" customHeight="1">
      <c r="A1965" t="s">
        <v>403</v>
      </c>
      <c r="B1965" t="s">
        <v>7</v>
      </c>
      <c r="C1965" t="s">
        <v>35</v>
      </c>
      <c r="D1965" s="24">
        <v>46054</v>
      </c>
      <c r="E1965" t="s">
        <v>379</v>
      </c>
      <c r="F1965" t="s">
        <v>4</v>
      </c>
      <c r="G1965" t="s">
        <v>211</v>
      </c>
      <c r="H1965" t="s">
        <v>211</v>
      </c>
      <c r="I1965" t="s">
        <v>212</v>
      </c>
      <c r="J1965" s="25">
        <v>2309564</v>
      </c>
      <c r="K1965" s="26">
        <v>386222.5</v>
      </c>
      <c r="L1965" s="26">
        <v>1526.64</v>
      </c>
    </row>
    <row r="1966" spans="1:12" ht="16" customHeight="1">
      <c r="A1966" t="s">
        <v>403</v>
      </c>
      <c r="B1966" t="s">
        <v>7</v>
      </c>
      <c r="C1966" t="s">
        <v>35</v>
      </c>
      <c r="D1966" s="24">
        <v>46054</v>
      </c>
      <c r="E1966" t="s">
        <v>326</v>
      </c>
      <c r="F1966" t="s">
        <v>4</v>
      </c>
      <c r="G1966" t="s">
        <v>217</v>
      </c>
      <c r="H1966" t="s">
        <v>217</v>
      </c>
      <c r="I1966" t="s">
        <v>212</v>
      </c>
      <c r="J1966" s="25">
        <v>1924260</v>
      </c>
      <c r="K1966" s="26">
        <v>322604.14</v>
      </c>
      <c r="L1966" s="26">
        <v>1953.8</v>
      </c>
    </row>
    <row r="1967" spans="1:12" ht="16" customHeight="1">
      <c r="A1967" t="s">
        <v>403</v>
      </c>
      <c r="B1967" t="s">
        <v>7</v>
      </c>
      <c r="C1967" t="s">
        <v>35</v>
      </c>
      <c r="D1967" s="24">
        <v>46054</v>
      </c>
      <c r="E1967" t="s">
        <v>383</v>
      </c>
      <c r="F1967" t="s">
        <v>3</v>
      </c>
      <c r="G1967" t="s">
        <v>241</v>
      </c>
      <c r="H1967" t="s">
        <v>241</v>
      </c>
      <c r="I1967" t="s">
        <v>219</v>
      </c>
      <c r="J1967" s="25">
        <v>36252</v>
      </c>
      <c r="K1967" s="26">
        <v>6072</v>
      </c>
      <c r="L1967" s="26">
        <v>41.07</v>
      </c>
    </row>
    <row r="1968" spans="1:12" ht="16" customHeight="1">
      <c r="A1968" t="s">
        <v>403</v>
      </c>
      <c r="B1968" t="s">
        <v>7</v>
      </c>
      <c r="C1968" t="s">
        <v>35</v>
      </c>
      <c r="D1968" s="24">
        <v>46054</v>
      </c>
      <c r="E1968" t="s">
        <v>401</v>
      </c>
      <c r="F1968" t="s">
        <v>4</v>
      </c>
      <c r="G1968" t="s">
        <v>211</v>
      </c>
      <c r="H1968" t="s">
        <v>211</v>
      </c>
      <c r="I1968" t="s">
        <v>219</v>
      </c>
      <c r="J1968" s="25">
        <v>2486</v>
      </c>
      <c r="K1968" s="26">
        <v>418.73</v>
      </c>
      <c r="L1968" s="26">
        <v>3.23</v>
      </c>
    </row>
    <row r="1969" spans="1:12" ht="16" customHeight="1">
      <c r="A1969" t="s">
        <v>403</v>
      </c>
      <c r="B1969" t="s">
        <v>7</v>
      </c>
      <c r="C1969" t="s">
        <v>35</v>
      </c>
      <c r="D1969" s="24">
        <v>46054</v>
      </c>
      <c r="E1969" t="s">
        <v>357</v>
      </c>
      <c r="F1969" t="s">
        <v>3</v>
      </c>
      <c r="G1969" t="s">
        <v>358</v>
      </c>
      <c r="H1969" t="s">
        <v>358</v>
      </c>
      <c r="I1969" t="s">
        <v>219</v>
      </c>
      <c r="J1969" s="25">
        <v>285989</v>
      </c>
      <c r="K1969" s="26">
        <v>48167.16</v>
      </c>
      <c r="L1969" s="26">
        <v>411.55</v>
      </c>
    </row>
    <row r="1970" spans="1:12" ht="16" customHeight="1">
      <c r="A1970" t="s">
        <v>403</v>
      </c>
      <c r="B1970" t="s">
        <v>7</v>
      </c>
      <c r="C1970" t="s">
        <v>35</v>
      </c>
      <c r="D1970" s="24">
        <v>46054</v>
      </c>
      <c r="E1970" t="s">
        <v>387</v>
      </c>
      <c r="F1970" t="s">
        <v>4</v>
      </c>
      <c r="G1970" t="s">
        <v>217</v>
      </c>
      <c r="H1970" t="s">
        <v>217</v>
      </c>
      <c r="I1970" t="s">
        <v>221</v>
      </c>
      <c r="J1970" s="25">
        <v>29492</v>
      </c>
      <c r="K1970" s="26">
        <v>4982.32</v>
      </c>
      <c r="L1970" s="26">
        <v>58.33</v>
      </c>
    </row>
    <row r="1971" spans="1:12" ht="16" customHeight="1">
      <c r="A1971" t="s">
        <v>403</v>
      </c>
      <c r="B1971" t="s">
        <v>7</v>
      </c>
      <c r="C1971" t="s">
        <v>35</v>
      </c>
      <c r="D1971" s="24">
        <v>46054</v>
      </c>
      <c r="E1971" t="s">
        <v>226</v>
      </c>
      <c r="F1971" t="s">
        <v>4</v>
      </c>
      <c r="G1971" t="s">
        <v>217</v>
      </c>
      <c r="H1971" t="s">
        <v>217</v>
      </c>
      <c r="I1971" t="s">
        <v>300</v>
      </c>
      <c r="J1971" s="25">
        <v>30503</v>
      </c>
      <c r="K1971" s="26">
        <v>5239.5200000000004</v>
      </c>
      <c r="L1971" s="26">
        <v>87.6</v>
      </c>
    </row>
    <row r="1972" spans="1:12" ht="16" customHeight="1">
      <c r="A1972" t="s">
        <v>403</v>
      </c>
      <c r="B1972" t="s">
        <v>7</v>
      </c>
      <c r="C1972" t="s">
        <v>35</v>
      </c>
      <c r="D1972" s="24">
        <v>46054</v>
      </c>
      <c r="E1972" t="s">
        <v>269</v>
      </c>
      <c r="F1972" t="s">
        <v>4</v>
      </c>
      <c r="G1972" t="s">
        <v>217</v>
      </c>
      <c r="H1972" t="s">
        <v>217</v>
      </c>
      <c r="I1972" t="s">
        <v>301</v>
      </c>
      <c r="J1972" s="25">
        <v>2417</v>
      </c>
      <c r="K1972" s="26">
        <v>424.86</v>
      </c>
      <c r="L1972" s="26">
        <v>9.68</v>
      </c>
    </row>
    <row r="1973" spans="1:12" ht="16" customHeight="1">
      <c r="A1973" t="s">
        <v>403</v>
      </c>
      <c r="B1973" t="s">
        <v>7</v>
      </c>
      <c r="C1973" t="s">
        <v>35</v>
      </c>
      <c r="D1973" s="24">
        <v>46054</v>
      </c>
      <c r="E1973" t="s">
        <v>228</v>
      </c>
      <c r="F1973" t="s">
        <v>4</v>
      </c>
      <c r="G1973" t="s">
        <v>217</v>
      </c>
      <c r="H1973" t="s">
        <v>217</v>
      </c>
      <c r="I1973" t="s">
        <v>302</v>
      </c>
      <c r="J1973" s="25">
        <v>12654</v>
      </c>
      <c r="K1973" s="26">
        <v>2259.39</v>
      </c>
      <c r="L1973" s="26">
        <v>52.09</v>
      </c>
    </row>
    <row r="1974" spans="1:12" ht="16" customHeight="1">
      <c r="A1974" t="s">
        <v>403</v>
      </c>
      <c r="B1974" t="s">
        <v>7</v>
      </c>
      <c r="C1974" t="s">
        <v>35</v>
      </c>
      <c r="D1974" s="24">
        <v>46054</v>
      </c>
      <c r="E1974" t="s">
        <v>230</v>
      </c>
      <c r="F1974" t="s">
        <v>4</v>
      </c>
      <c r="G1974" t="s">
        <v>217</v>
      </c>
      <c r="H1974" t="s">
        <v>217</v>
      </c>
      <c r="I1974" t="s">
        <v>391</v>
      </c>
      <c r="J1974" s="25">
        <v>0</v>
      </c>
      <c r="K1974" s="26">
        <v>0</v>
      </c>
      <c r="L1974" s="26">
        <v>0</v>
      </c>
    </row>
    <row r="1975" spans="1:12" ht="16" customHeight="1">
      <c r="A1975" t="s">
        <v>403</v>
      </c>
      <c r="B1975" t="s">
        <v>7</v>
      </c>
      <c r="C1975" t="s">
        <v>35</v>
      </c>
      <c r="D1975" s="24">
        <v>46054</v>
      </c>
      <c r="E1975" t="s">
        <v>232</v>
      </c>
      <c r="F1975" t="s">
        <v>4</v>
      </c>
      <c r="G1975" t="s">
        <v>217</v>
      </c>
      <c r="H1975" t="s">
        <v>217</v>
      </c>
      <c r="I1975" t="s">
        <v>392</v>
      </c>
      <c r="J1975" s="25">
        <v>48</v>
      </c>
      <c r="K1975" s="26">
        <v>8.07</v>
      </c>
      <c r="L1975" s="26">
        <v>0.3</v>
      </c>
    </row>
    <row r="1976" spans="1:12" ht="16" customHeight="1">
      <c r="A1976" t="s">
        <v>403</v>
      </c>
      <c r="B1976" t="s">
        <v>7</v>
      </c>
      <c r="C1976" t="s">
        <v>35</v>
      </c>
      <c r="D1976" s="24">
        <v>46054</v>
      </c>
      <c r="E1976" t="s">
        <v>234</v>
      </c>
      <c r="F1976" t="s">
        <v>4</v>
      </c>
      <c r="G1976" t="s">
        <v>217</v>
      </c>
      <c r="H1976" t="s">
        <v>217</v>
      </c>
      <c r="I1976" t="s">
        <v>393</v>
      </c>
      <c r="J1976" s="25">
        <v>0</v>
      </c>
      <c r="K1976" s="26">
        <v>0</v>
      </c>
      <c r="L1976" s="26">
        <v>0</v>
      </c>
    </row>
    <row r="1977" spans="1:12" ht="16" customHeight="1">
      <c r="A1977" t="s">
        <v>403</v>
      </c>
      <c r="B1977" t="s">
        <v>7</v>
      </c>
      <c r="C1977" t="s">
        <v>35</v>
      </c>
      <c r="D1977" s="24">
        <v>46054</v>
      </c>
      <c r="E1977" t="s">
        <v>236</v>
      </c>
      <c r="F1977" t="s">
        <v>4</v>
      </c>
      <c r="G1977" t="s">
        <v>217</v>
      </c>
      <c r="H1977" t="s">
        <v>217</v>
      </c>
      <c r="I1977" t="s">
        <v>394</v>
      </c>
      <c r="J1977" s="25">
        <v>2</v>
      </c>
      <c r="K1977" s="26">
        <v>0.37</v>
      </c>
      <c r="L1977" s="26">
        <v>0.02</v>
      </c>
    </row>
    <row r="1978" spans="1:12" ht="16" customHeight="1">
      <c r="A1978" t="s">
        <v>403</v>
      </c>
      <c r="B1978" t="s">
        <v>7</v>
      </c>
      <c r="C1978" t="s">
        <v>35</v>
      </c>
      <c r="D1978" s="24">
        <v>46054</v>
      </c>
      <c r="E1978" t="s">
        <v>238</v>
      </c>
      <c r="F1978" t="s">
        <v>4</v>
      </c>
      <c r="G1978" t="s">
        <v>217</v>
      </c>
      <c r="H1978" t="s">
        <v>217</v>
      </c>
      <c r="I1978" t="s">
        <v>395</v>
      </c>
      <c r="J1978" s="25">
        <v>0</v>
      </c>
      <c r="K1978" s="26">
        <v>0</v>
      </c>
      <c r="L1978" s="26">
        <v>0</v>
      </c>
    </row>
    <row r="1979" spans="1:12" ht="16" customHeight="1">
      <c r="A1979" t="s">
        <v>403</v>
      </c>
      <c r="B1979" t="s">
        <v>7</v>
      </c>
      <c r="C1979" t="s">
        <v>35</v>
      </c>
      <c r="D1979" s="24">
        <v>46054</v>
      </c>
      <c r="E1979" t="s">
        <v>240</v>
      </c>
      <c r="F1979" t="s">
        <v>3</v>
      </c>
      <c r="G1979" t="s">
        <v>241</v>
      </c>
      <c r="H1979" t="s">
        <v>241</v>
      </c>
      <c r="I1979" t="s">
        <v>396</v>
      </c>
      <c r="J1979" s="25">
        <v>0</v>
      </c>
      <c r="K1979" s="26">
        <v>0</v>
      </c>
      <c r="L1979" s="26">
        <v>0</v>
      </c>
    </row>
    <row r="1980" spans="1:12" ht="16" customHeight="1">
      <c r="A1980" t="s">
        <v>403</v>
      </c>
      <c r="B1980" t="s">
        <v>7</v>
      </c>
      <c r="C1980" t="s">
        <v>35</v>
      </c>
      <c r="D1980" s="24">
        <v>46054</v>
      </c>
      <c r="E1980" t="s">
        <v>243</v>
      </c>
      <c r="F1980" t="s">
        <v>4</v>
      </c>
      <c r="G1980" t="s">
        <v>217</v>
      </c>
      <c r="H1980" t="s">
        <v>217</v>
      </c>
      <c r="I1980" t="s">
        <v>397</v>
      </c>
      <c r="J1980" s="25">
        <v>0</v>
      </c>
      <c r="K1980" s="26">
        <v>0</v>
      </c>
      <c r="L1980" s="26">
        <v>0</v>
      </c>
    </row>
    <row r="1981" spans="1:12" ht="16" customHeight="1">
      <c r="A1981" t="s">
        <v>403</v>
      </c>
      <c r="B1981" t="s">
        <v>7</v>
      </c>
      <c r="C1981" t="s">
        <v>35</v>
      </c>
      <c r="D1981" s="24">
        <v>46054</v>
      </c>
      <c r="E1981" t="s">
        <v>360</v>
      </c>
      <c r="F1981" t="s">
        <v>4</v>
      </c>
      <c r="G1981" t="s">
        <v>217</v>
      </c>
      <c r="H1981" t="s">
        <v>217</v>
      </c>
      <c r="I1981" t="s">
        <v>398</v>
      </c>
      <c r="J1981" s="25">
        <v>0</v>
      </c>
      <c r="K1981" s="26">
        <v>0</v>
      </c>
      <c r="L1981" s="26">
        <v>0</v>
      </c>
    </row>
    <row r="1982" spans="1:12" ht="16" customHeight="1">
      <c r="A1982" t="s">
        <v>404</v>
      </c>
      <c r="B1982" t="s">
        <v>3</v>
      </c>
      <c r="C1982" t="s">
        <v>36</v>
      </c>
      <c r="D1982" s="24">
        <v>46054</v>
      </c>
      <c r="E1982" t="s">
        <v>374</v>
      </c>
      <c r="F1982" t="s">
        <v>4</v>
      </c>
      <c r="G1982" t="s">
        <v>211</v>
      </c>
      <c r="H1982" t="s">
        <v>211</v>
      </c>
      <c r="I1982" t="s">
        <v>212</v>
      </c>
      <c r="J1982" s="25">
        <v>120229086</v>
      </c>
      <c r="K1982" s="26">
        <v>20186688.899999999</v>
      </c>
      <c r="L1982" s="26">
        <v>38073.269999999997</v>
      </c>
    </row>
    <row r="1983" spans="1:12" ht="16" customHeight="1">
      <c r="A1983" t="s">
        <v>404</v>
      </c>
      <c r="B1983" t="s">
        <v>3</v>
      </c>
      <c r="C1983" t="s">
        <v>36</v>
      </c>
      <c r="D1983" s="24">
        <v>46054</v>
      </c>
      <c r="E1983" t="s">
        <v>379</v>
      </c>
      <c r="F1983" t="s">
        <v>4</v>
      </c>
      <c r="G1983" t="s">
        <v>211</v>
      </c>
      <c r="H1983" t="s">
        <v>211</v>
      </c>
      <c r="I1983" t="s">
        <v>212</v>
      </c>
      <c r="J1983" s="25">
        <v>3946871</v>
      </c>
      <c r="K1983" s="26">
        <v>663107.9</v>
      </c>
      <c r="L1983" s="26">
        <v>2272.88</v>
      </c>
    </row>
    <row r="1984" spans="1:12" ht="16" customHeight="1">
      <c r="A1984" t="s">
        <v>404</v>
      </c>
      <c r="B1984" t="s">
        <v>3</v>
      </c>
      <c r="C1984" t="s">
        <v>36</v>
      </c>
      <c r="D1984" s="24">
        <v>46054</v>
      </c>
      <c r="E1984" t="s">
        <v>326</v>
      </c>
      <c r="F1984" t="s">
        <v>4</v>
      </c>
      <c r="G1984" t="s">
        <v>217</v>
      </c>
      <c r="H1984" t="s">
        <v>217</v>
      </c>
      <c r="I1984" t="s">
        <v>212</v>
      </c>
      <c r="J1984" s="25">
        <v>1754137</v>
      </c>
      <c r="K1984" s="26">
        <v>294728.84000000003</v>
      </c>
      <c r="L1984" s="26">
        <v>1627.53</v>
      </c>
    </row>
    <row r="1985" spans="1:12" ht="16" customHeight="1">
      <c r="A1985" t="s">
        <v>404</v>
      </c>
      <c r="B1985" t="s">
        <v>3</v>
      </c>
      <c r="C1985" t="s">
        <v>36</v>
      </c>
      <c r="D1985" s="24">
        <v>46054</v>
      </c>
      <c r="E1985" t="s">
        <v>383</v>
      </c>
      <c r="F1985" t="s">
        <v>3</v>
      </c>
      <c r="G1985" t="s">
        <v>241</v>
      </c>
      <c r="H1985" t="s">
        <v>241</v>
      </c>
      <c r="I1985" t="s">
        <v>219</v>
      </c>
      <c r="J1985" s="25">
        <v>45170</v>
      </c>
      <c r="K1985" s="26">
        <v>7607.66</v>
      </c>
      <c r="L1985" s="26">
        <v>44.17</v>
      </c>
    </row>
    <row r="1986" spans="1:12" ht="16" customHeight="1">
      <c r="A1986" t="s">
        <v>404</v>
      </c>
      <c r="B1986" t="s">
        <v>3</v>
      </c>
      <c r="C1986" t="s">
        <v>36</v>
      </c>
      <c r="D1986" s="24">
        <v>46054</v>
      </c>
      <c r="E1986" t="s">
        <v>401</v>
      </c>
      <c r="F1986" t="s">
        <v>4</v>
      </c>
      <c r="G1986" t="s">
        <v>211</v>
      </c>
      <c r="H1986" t="s">
        <v>211</v>
      </c>
      <c r="I1986" t="s">
        <v>219</v>
      </c>
      <c r="J1986" s="25">
        <v>3202</v>
      </c>
      <c r="K1986" s="26">
        <v>540.91</v>
      </c>
      <c r="L1986" s="26">
        <v>4.13</v>
      </c>
    </row>
    <row r="1987" spans="1:12" ht="16" customHeight="1">
      <c r="A1987" t="s">
        <v>404</v>
      </c>
      <c r="B1987" t="s">
        <v>3</v>
      </c>
      <c r="C1987" t="s">
        <v>36</v>
      </c>
      <c r="D1987" s="24">
        <v>46054</v>
      </c>
      <c r="E1987" t="s">
        <v>357</v>
      </c>
      <c r="F1987" t="s">
        <v>3</v>
      </c>
      <c r="G1987" t="s">
        <v>358</v>
      </c>
      <c r="H1987" t="s">
        <v>358</v>
      </c>
      <c r="I1987" t="s">
        <v>219</v>
      </c>
      <c r="J1987" s="25">
        <v>289276</v>
      </c>
      <c r="K1987" s="26">
        <v>48403.51</v>
      </c>
      <c r="L1987" s="26">
        <v>410.33</v>
      </c>
    </row>
    <row r="1988" spans="1:12" ht="16" customHeight="1">
      <c r="A1988" t="s">
        <v>404</v>
      </c>
      <c r="B1988" t="s">
        <v>3</v>
      </c>
      <c r="C1988" t="s">
        <v>36</v>
      </c>
      <c r="D1988" s="24">
        <v>46054</v>
      </c>
      <c r="E1988" t="s">
        <v>387</v>
      </c>
      <c r="F1988" t="s">
        <v>4</v>
      </c>
      <c r="G1988" t="s">
        <v>217</v>
      </c>
      <c r="H1988" t="s">
        <v>217</v>
      </c>
      <c r="I1988" t="s">
        <v>221</v>
      </c>
      <c r="J1988" s="25">
        <v>40079</v>
      </c>
      <c r="K1988" s="26">
        <v>6744.27</v>
      </c>
      <c r="L1988" s="26">
        <v>83.34</v>
      </c>
    </row>
    <row r="1989" spans="1:12" ht="16" customHeight="1">
      <c r="A1989" t="s">
        <v>404</v>
      </c>
      <c r="B1989" t="s">
        <v>3</v>
      </c>
      <c r="C1989" t="s">
        <v>36</v>
      </c>
      <c r="D1989" s="24">
        <v>46054</v>
      </c>
      <c r="E1989" t="s">
        <v>226</v>
      </c>
      <c r="F1989" t="s">
        <v>4</v>
      </c>
      <c r="G1989" t="s">
        <v>217</v>
      </c>
      <c r="H1989" t="s">
        <v>217</v>
      </c>
      <c r="I1989" t="s">
        <v>300</v>
      </c>
      <c r="J1989" s="25">
        <v>32252</v>
      </c>
      <c r="K1989" s="26">
        <v>5573.67</v>
      </c>
      <c r="L1989" s="26">
        <v>84.46</v>
      </c>
    </row>
    <row r="1990" spans="1:12" ht="16" customHeight="1">
      <c r="A1990" t="s">
        <v>404</v>
      </c>
      <c r="B1990" t="s">
        <v>3</v>
      </c>
      <c r="C1990" t="s">
        <v>36</v>
      </c>
      <c r="D1990" s="24">
        <v>46054</v>
      </c>
      <c r="E1990" t="s">
        <v>269</v>
      </c>
      <c r="F1990" t="s">
        <v>4</v>
      </c>
      <c r="G1990" t="s">
        <v>217</v>
      </c>
      <c r="H1990" t="s">
        <v>217</v>
      </c>
      <c r="I1990" t="s">
        <v>301</v>
      </c>
      <c r="J1990" s="25">
        <v>2606</v>
      </c>
      <c r="K1990" s="26">
        <v>458.27</v>
      </c>
      <c r="L1990" s="26">
        <v>10.89</v>
      </c>
    </row>
    <row r="1991" spans="1:12" ht="16" customHeight="1">
      <c r="A1991" t="s">
        <v>404</v>
      </c>
      <c r="B1991" t="s">
        <v>3</v>
      </c>
      <c r="C1991" t="s">
        <v>36</v>
      </c>
      <c r="D1991" s="24">
        <v>46054</v>
      </c>
      <c r="E1991" t="s">
        <v>228</v>
      </c>
      <c r="F1991" t="s">
        <v>4</v>
      </c>
      <c r="G1991" t="s">
        <v>217</v>
      </c>
      <c r="H1991" t="s">
        <v>217</v>
      </c>
      <c r="I1991" t="s">
        <v>302</v>
      </c>
      <c r="J1991" s="25">
        <v>7992</v>
      </c>
      <c r="K1991" s="26">
        <v>1400.64</v>
      </c>
      <c r="L1991" s="26">
        <v>36.24</v>
      </c>
    </row>
    <row r="1992" spans="1:12" ht="16" customHeight="1">
      <c r="A1992" t="s">
        <v>404</v>
      </c>
      <c r="B1992" t="s">
        <v>3</v>
      </c>
      <c r="C1992" t="s">
        <v>36</v>
      </c>
      <c r="D1992" s="24">
        <v>46054</v>
      </c>
      <c r="E1992" t="s">
        <v>230</v>
      </c>
      <c r="F1992" t="s">
        <v>4</v>
      </c>
      <c r="G1992" t="s">
        <v>217</v>
      </c>
      <c r="H1992" t="s">
        <v>217</v>
      </c>
      <c r="I1992" t="s">
        <v>391</v>
      </c>
      <c r="J1992" s="25">
        <v>0</v>
      </c>
      <c r="K1992" s="26">
        <v>0</v>
      </c>
      <c r="L1992" s="26">
        <v>0</v>
      </c>
    </row>
    <row r="1993" spans="1:12" ht="16" customHeight="1">
      <c r="A1993" t="s">
        <v>404</v>
      </c>
      <c r="B1993" t="s">
        <v>3</v>
      </c>
      <c r="C1993" t="s">
        <v>36</v>
      </c>
      <c r="D1993" s="24">
        <v>46054</v>
      </c>
      <c r="E1993" t="s">
        <v>232</v>
      </c>
      <c r="F1993" t="s">
        <v>4</v>
      </c>
      <c r="G1993" t="s">
        <v>217</v>
      </c>
      <c r="H1993" t="s">
        <v>217</v>
      </c>
      <c r="I1993" t="s">
        <v>392</v>
      </c>
      <c r="J1993" s="25">
        <v>11</v>
      </c>
      <c r="K1993" s="26">
        <v>1.85</v>
      </c>
      <c r="L1993" s="26">
        <v>0.05</v>
      </c>
    </row>
    <row r="1994" spans="1:12" ht="16" customHeight="1">
      <c r="A1994" t="s">
        <v>404</v>
      </c>
      <c r="B1994" t="s">
        <v>3</v>
      </c>
      <c r="C1994" t="s">
        <v>36</v>
      </c>
      <c r="D1994" s="24">
        <v>46054</v>
      </c>
      <c r="E1994" t="s">
        <v>234</v>
      </c>
      <c r="F1994" t="s">
        <v>4</v>
      </c>
      <c r="G1994" t="s">
        <v>217</v>
      </c>
      <c r="H1994" t="s">
        <v>217</v>
      </c>
      <c r="I1994" t="s">
        <v>393</v>
      </c>
      <c r="J1994" s="25">
        <v>0</v>
      </c>
      <c r="K1994" s="26">
        <v>0</v>
      </c>
      <c r="L1994" s="26">
        <v>0</v>
      </c>
    </row>
    <row r="1995" spans="1:12" ht="16" customHeight="1">
      <c r="A1995" t="s">
        <v>404</v>
      </c>
      <c r="B1995" t="s">
        <v>3</v>
      </c>
      <c r="C1995" t="s">
        <v>36</v>
      </c>
      <c r="D1995" s="24">
        <v>46054</v>
      </c>
      <c r="E1995" t="s">
        <v>236</v>
      </c>
      <c r="F1995" t="s">
        <v>4</v>
      </c>
      <c r="G1995" t="s">
        <v>217</v>
      </c>
      <c r="H1995" t="s">
        <v>217</v>
      </c>
      <c r="I1995" t="s">
        <v>394</v>
      </c>
      <c r="J1995" s="25">
        <v>1</v>
      </c>
      <c r="K1995" s="26">
        <v>0.18</v>
      </c>
      <c r="L1995" s="26">
        <v>0.01</v>
      </c>
    </row>
    <row r="1996" spans="1:12" ht="16" customHeight="1">
      <c r="A1996" t="s">
        <v>404</v>
      </c>
      <c r="B1996" t="s">
        <v>3</v>
      </c>
      <c r="C1996" t="s">
        <v>36</v>
      </c>
      <c r="D1996" s="24">
        <v>46054</v>
      </c>
      <c r="E1996" t="s">
        <v>238</v>
      </c>
      <c r="F1996" t="s">
        <v>4</v>
      </c>
      <c r="G1996" t="s">
        <v>217</v>
      </c>
      <c r="H1996" t="s">
        <v>217</v>
      </c>
      <c r="I1996" t="s">
        <v>395</v>
      </c>
      <c r="J1996" s="25">
        <v>0</v>
      </c>
      <c r="K1996" s="26">
        <v>0</v>
      </c>
      <c r="L1996" s="26">
        <v>0</v>
      </c>
    </row>
    <row r="1997" spans="1:12" ht="16" customHeight="1">
      <c r="A1997" t="s">
        <v>404</v>
      </c>
      <c r="B1997" t="s">
        <v>3</v>
      </c>
      <c r="C1997" t="s">
        <v>36</v>
      </c>
      <c r="D1997" s="24">
        <v>46054</v>
      </c>
      <c r="E1997" t="s">
        <v>240</v>
      </c>
      <c r="F1997" t="s">
        <v>3</v>
      </c>
      <c r="G1997" t="s">
        <v>241</v>
      </c>
      <c r="H1997" t="s">
        <v>241</v>
      </c>
      <c r="I1997" t="s">
        <v>396</v>
      </c>
      <c r="J1997" s="25">
        <v>0</v>
      </c>
      <c r="K1997" s="26">
        <v>0</v>
      </c>
      <c r="L1997" s="26">
        <v>0</v>
      </c>
    </row>
    <row r="1998" spans="1:12" ht="16" customHeight="1">
      <c r="A1998" t="s">
        <v>404</v>
      </c>
      <c r="B1998" t="s">
        <v>3</v>
      </c>
      <c r="C1998" t="s">
        <v>36</v>
      </c>
      <c r="D1998" s="24">
        <v>46054</v>
      </c>
      <c r="E1998" t="s">
        <v>243</v>
      </c>
      <c r="F1998" t="s">
        <v>4</v>
      </c>
      <c r="G1998" t="s">
        <v>217</v>
      </c>
      <c r="H1998" t="s">
        <v>217</v>
      </c>
      <c r="I1998" t="s">
        <v>397</v>
      </c>
      <c r="J1998" s="25">
        <v>0</v>
      </c>
      <c r="K1998" s="26">
        <v>0</v>
      </c>
      <c r="L1998" s="26">
        <v>0</v>
      </c>
    </row>
    <row r="1999" spans="1:12" ht="16" customHeight="1">
      <c r="A1999" t="s">
        <v>404</v>
      </c>
      <c r="B1999" t="s">
        <v>3</v>
      </c>
      <c r="C1999" t="s">
        <v>36</v>
      </c>
      <c r="D1999" s="24">
        <v>46054</v>
      </c>
      <c r="E1999" t="s">
        <v>360</v>
      </c>
      <c r="F1999" t="s">
        <v>4</v>
      </c>
      <c r="G1999" t="s">
        <v>217</v>
      </c>
      <c r="H1999" t="s">
        <v>217</v>
      </c>
      <c r="I1999" t="s">
        <v>398</v>
      </c>
      <c r="J1999" s="25">
        <v>0</v>
      </c>
      <c r="K1999" s="26">
        <v>0</v>
      </c>
      <c r="L1999" s="26">
        <v>0</v>
      </c>
    </row>
    <row r="2000" spans="1:12" ht="16" customHeight="1">
      <c r="A2000" t="s">
        <v>374</v>
      </c>
      <c r="B2000" t="s">
        <v>4</v>
      </c>
      <c r="C2000" t="s">
        <v>36</v>
      </c>
      <c r="D2000" s="24">
        <v>46054</v>
      </c>
      <c r="E2000" t="s">
        <v>374</v>
      </c>
      <c r="F2000" t="s">
        <v>4</v>
      </c>
      <c r="G2000" t="s">
        <v>211</v>
      </c>
      <c r="H2000" t="s">
        <v>211</v>
      </c>
      <c r="I2000" t="s">
        <v>212</v>
      </c>
      <c r="J2000" s="25">
        <v>338004292</v>
      </c>
      <c r="K2000" s="26">
        <v>56954680.780000001</v>
      </c>
      <c r="L2000" s="26">
        <v>47179.54</v>
      </c>
    </row>
    <row r="2001" spans="1:12" ht="16" customHeight="1">
      <c r="A2001" t="s">
        <v>374</v>
      </c>
      <c r="B2001" t="s">
        <v>4</v>
      </c>
      <c r="C2001" t="s">
        <v>36</v>
      </c>
      <c r="D2001" s="24">
        <v>46054</v>
      </c>
      <c r="E2001" t="s">
        <v>379</v>
      </c>
      <c r="F2001" t="s">
        <v>4</v>
      </c>
      <c r="G2001" t="s">
        <v>211</v>
      </c>
      <c r="H2001" t="s">
        <v>211</v>
      </c>
      <c r="I2001" t="s">
        <v>212</v>
      </c>
      <c r="J2001" s="25">
        <v>9131741</v>
      </c>
      <c r="K2001" s="26">
        <v>1539784.66</v>
      </c>
      <c r="L2001" s="26">
        <v>4806.3100000000004</v>
      </c>
    </row>
    <row r="2002" spans="1:12" ht="16" customHeight="1">
      <c r="A2002" t="s">
        <v>374</v>
      </c>
      <c r="B2002" t="s">
        <v>4</v>
      </c>
      <c r="C2002" t="s">
        <v>36</v>
      </c>
      <c r="D2002" s="24">
        <v>46054</v>
      </c>
      <c r="E2002" t="s">
        <v>326</v>
      </c>
      <c r="F2002" t="s">
        <v>4</v>
      </c>
      <c r="G2002" t="s">
        <v>217</v>
      </c>
      <c r="H2002" t="s">
        <v>217</v>
      </c>
      <c r="I2002" t="s">
        <v>212</v>
      </c>
      <c r="J2002" s="25">
        <v>1850050</v>
      </c>
      <c r="K2002" s="26">
        <v>312094.03999999998</v>
      </c>
      <c r="L2002" s="26">
        <v>1653.06</v>
      </c>
    </row>
    <row r="2003" spans="1:12" ht="16" customHeight="1">
      <c r="A2003" t="s">
        <v>374</v>
      </c>
      <c r="B2003" t="s">
        <v>4</v>
      </c>
      <c r="C2003" t="s">
        <v>36</v>
      </c>
      <c r="D2003" s="24">
        <v>46054</v>
      </c>
      <c r="E2003" t="s">
        <v>383</v>
      </c>
      <c r="F2003" t="s">
        <v>3</v>
      </c>
      <c r="G2003" t="s">
        <v>241</v>
      </c>
      <c r="H2003" t="s">
        <v>241</v>
      </c>
      <c r="I2003" t="s">
        <v>219</v>
      </c>
      <c r="J2003" s="25">
        <v>52934</v>
      </c>
      <c r="K2003" s="26">
        <v>8924.77</v>
      </c>
      <c r="L2003" s="26">
        <v>51.03</v>
      </c>
    </row>
    <row r="2004" spans="1:12" ht="16" customHeight="1">
      <c r="A2004" t="s">
        <v>374</v>
      </c>
      <c r="B2004" t="s">
        <v>4</v>
      </c>
      <c r="C2004" t="s">
        <v>36</v>
      </c>
      <c r="D2004" s="24">
        <v>46054</v>
      </c>
      <c r="E2004" t="s">
        <v>401</v>
      </c>
      <c r="F2004" t="s">
        <v>4</v>
      </c>
      <c r="G2004" t="s">
        <v>211</v>
      </c>
      <c r="H2004" t="s">
        <v>211</v>
      </c>
      <c r="I2004" t="s">
        <v>219</v>
      </c>
      <c r="J2004" s="25">
        <v>5200</v>
      </c>
      <c r="K2004" s="26">
        <v>880.28</v>
      </c>
      <c r="L2004" s="26">
        <v>5.91</v>
      </c>
    </row>
    <row r="2005" spans="1:12" ht="16" customHeight="1">
      <c r="A2005" t="s">
        <v>374</v>
      </c>
      <c r="B2005" t="s">
        <v>4</v>
      </c>
      <c r="C2005" t="s">
        <v>36</v>
      </c>
      <c r="D2005" s="24">
        <v>46054</v>
      </c>
      <c r="E2005" t="s">
        <v>357</v>
      </c>
      <c r="F2005" t="s">
        <v>3</v>
      </c>
      <c r="G2005" t="s">
        <v>358</v>
      </c>
      <c r="H2005" t="s">
        <v>358</v>
      </c>
      <c r="I2005" t="s">
        <v>219</v>
      </c>
      <c r="J2005" s="25">
        <v>280728</v>
      </c>
      <c r="K2005" s="26">
        <v>47173.06</v>
      </c>
      <c r="L2005" s="26">
        <v>384.07</v>
      </c>
    </row>
    <row r="2006" spans="1:12" ht="16" customHeight="1">
      <c r="A2006" t="s">
        <v>374</v>
      </c>
      <c r="B2006" t="s">
        <v>4</v>
      </c>
      <c r="C2006" t="s">
        <v>36</v>
      </c>
      <c r="D2006" s="24">
        <v>46054</v>
      </c>
      <c r="E2006" t="s">
        <v>387</v>
      </c>
      <c r="F2006" t="s">
        <v>4</v>
      </c>
      <c r="G2006" t="s">
        <v>217</v>
      </c>
      <c r="H2006" t="s">
        <v>217</v>
      </c>
      <c r="I2006" t="s">
        <v>221</v>
      </c>
      <c r="J2006" s="25">
        <v>44077</v>
      </c>
      <c r="K2006" s="26">
        <v>7390.43</v>
      </c>
      <c r="L2006" s="26">
        <v>76.52</v>
      </c>
    </row>
    <row r="2007" spans="1:12" ht="16" customHeight="1">
      <c r="A2007" t="s">
        <v>374</v>
      </c>
      <c r="B2007" t="s">
        <v>4</v>
      </c>
      <c r="C2007" t="s">
        <v>36</v>
      </c>
      <c r="D2007" s="24">
        <v>46054</v>
      </c>
      <c r="E2007" t="s">
        <v>226</v>
      </c>
      <c r="F2007" t="s">
        <v>4</v>
      </c>
      <c r="G2007" t="s">
        <v>217</v>
      </c>
      <c r="H2007" t="s">
        <v>217</v>
      </c>
      <c r="I2007" t="s">
        <v>300</v>
      </c>
      <c r="J2007" s="25">
        <v>42908</v>
      </c>
      <c r="K2007" s="26">
        <v>7399.22</v>
      </c>
      <c r="L2007" s="26">
        <v>108.89</v>
      </c>
    </row>
    <row r="2008" spans="1:12" ht="16" customHeight="1">
      <c r="A2008" t="s">
        <v>374</v>
      </c>
      <c r="B2008" t="s">
        <v>4</v>
      </c>
      <c r="C2008" t="s">
        <v>36</v>
      </c>
      <c r="D2008" s="24">
        <v>46054</v>
      </c>
      <c r="E2008" t="s">
        <v>269</v>
      </c>
      <c r="F2008" t="s">
        <v>4</v>
      </c>
      <c r="G2008" t="s">
        <v>217</v>
      </c>
      <c r="H2008" t="s">
        <v>217</v>
      </c>
      <c r="I2008" t="s">
        <v>301</v>
      </c>
      <c r="J2008" s="25">
        <v>8007</v>
      </c>
      <c r="K2008" s="26">
        <v>1317.16</v>
      </c>
      <c r="L2008" s="26">
        <v>18.670000000000002</v>
      </c>
    </row>
    <row r="2009" spans="1:12" ht="16" customHeight="1">
      <c r="A2009" t="s">
        <v>374</v>
      </c>
      <c r="B2009" t="s">
        <v>4</v>
      </c>
      <c r="C2009" t="s">
        <v>36</v>
      </c>
      <c r="D2009" s="24">
        <v>46054</v>
      </c>
      <c r="E2009" t="s">
        <v>228</v>
      </c>
      <c r="F2009" t="s">
        <v>4</v>
      </c>
      <c r="G2009" t="s">
        <v>217</v>
      </c>
      <c r="H2009" t="s">
        <v>217</v>
      </c>
      <c r="I2009" t="s">
        <v>302</v>
      </c>
      <c r="J2009" s="25">
        <v>14372</v>
      </c>
      <c r="K2009" s="26">
        <v>2349.33</v>
      </c>
      <c r="L2009" s="26">
        <v>41.72</v>
      </c>
    </row>
    <row r="2010" spans="1:12" ht="16" customHeight="1">
      <c r="A2010" t="s">
        <v>374</v>
      </c>
      <c r="B2010" t="s">
        <v>4</v>
      </c>
      <c r="C2010" t="s">
        <v>36</v>
      </c>
      <c r="D2010" s="24">
        <v>46054</v>
      </c>
      <c r="E2010" t="s">
        <v>230</v>
      </c>
      <c r="F2010" t="s">
        <v>4</v>
      </c>
      <c r="G2010" t="s">
        <v>217</v>
      </c>
      <c r="H2010" t="s">
        <v>217</v>
      </c>
      <c r="I2010" t="s">
        <v>391</v>
      </c>
      <c r="J2010" s="25">
        <v>0</v>
      </c>
      <c r="K2010" s="26">
        <v>0</v>
      </c>
      <c r="L2010" s="26">
        <v>0</v>
      </c>
    </row>
    <row r="2011" spans="1:12" ht="16" customHeight="1">
      <c r="A2011" t="s">
        <v>374</v>
      </c>
      <c r="B2011" t="s">
        <v>4</v>
      </c>
      <c r="C2011" t="s">
        <v>36</v>
      </c>
      <c r="D2011" s="24">
        <v>46054</v>
      </c>
      <c r="E2011" t="s">
        <v>232</v>
      </c>
      <c r="F2011" t="s">
        <v>4</v>
      </c>
      <c r="G2011" t="s">
        <v>217</v>
      </c>
      <c r="H2011" t="s">
        <v>217</v>
      </c>
      <c r="I2011" t="s">
        <v>392</v>
      </c>
      <c r="J2011" s="25">
        <v>112</v>
      </c>
      <c r="K2011" s="26">
        <v>19.93</v>
      </c>
      <c r="L2011" s="26">
        <v>0.83</v>
      </c>
    </row>
    <row r="2012" spans="1:12" ht="16" customHeight="1">
      <c r="A2012" t="s">
        <v>374</v>
      </c>
      <c r="B2012" t="s">
        <v>4</v>
      </c>
      <c r="C2012" t="s">
        <v>36</v>
      </c>
      <c r="D2012" s="24">
        <v>46054</v>
      </c>
      <c r="E2012" t="s">
        <v>234</v>
      </c>
      <c r="F2012" t="s">
        <v>4</v>
      </c>
      <c r="G2012" t="s">
        <v>217</v>
      </c>
      <c r="H2012" t="s">
        <v>217</v>
      </c>
      <c r="I2012" t="s">
        <v>393</v>
      </c>
      <c r="J2012" s="25">
        <v>0</v>
      </c>
      <c r="K2012" s="26">
        <v>0</v>
      </c>
      <c r="L2012" s="26">
        <v>0</v>
      </c>
    </row>
    <row r="2013" spans="1:12" ht="16" customHeight="1">
      <c r="A2013" t="s">
        <v>374</v>
      </c>
      <c r="B2013" t="s">
        <v>4</v>
      </c>
      <c r="C2013" t="s">
        <v>36</v>
      </c>
      <c r="D2013" s="24">
        <v>46054</v>
      </c>
      <c r="E2013" t="s">
        <v>236</v>
      </c>
      <c r="F2013" t="s">
        <v>4</v>
      </c>
      <c r="G2013" t="s">
        <v>217</v>
      </c>
      <c r="H2013" t="s">
        <v>217</v>
      </c>
      <c r="I2013" t="s">
        <v>394</v>
      </c>
      <c r="J2013" s="25">
        <v>9</v>
      </c>
      <c r="K2013" s="26">
        <v>1.59</v>
      </c>
      <c r="L2013" s="26">
        <v>0.06</v>
      </c>
    </row>
    <row r="2014" spans="1:12" ht="16" customHeight="1">
      <c r="A2014" t="s">
        <v>374</v>
      </c>
      <c r="B2014" t="s">
        <v>4</v>
      </c>
      <c r="C2014" t="s">
        <v>36</v>
      </c>
      <c r="D2014" s="24">
        <v>46054</v>
      </c>
      <c r="E2014" t="s">
        <v>238</v>
      </c>
      <c r="F2014" t="s">
        <v>4</v>
      </c>
      <c r="G2014" t="s">
        <v>217</v>
      </c>
      <c r="H2014" t="s">
        <v>217</v>
      </c>
      <c r="I2014" t="s">
        <v>395</v>
      </c>
      <c r="J2014" s="25">
        <v>0</v>
      </c>
      <c r="K2014" s="26">
        <v>0</v>
      </c>
      <c r="L2014" s="26">
        <v>0</v>
      </c>
    </row>
    <row r="2015" spans="1:12" ht="16" customHeight="1">
      <c r="A2015" t="s">
        <v>374</v>
      </c>
      <c r="B2015" t="s">
        <v>4</v>
      </c>
      <c r="C2015" t="s">
        <v>36</v>
      </c>
      <c r="D2015" s="24">
        <v>46054</v>
      </c>
      <c r="E2015" t="s">
        <v>240</v>
      </c>
      <c r="F2015" t="s">
        <v>3</v>
      </c>
      <c r="G2015" t="s">
        <v>241</v>
      </c>
      <c r="H2015" t="s">
        <v>241</v>
      </c>
      <c r="I2015" t="s">
        <v>396</v>
      </c>
      <c r="J2015" s="25">
        <v>0</v>
      </c>
      <c r="K2015" s="26">
        <v>0</v>
      </c>
      <c r="L2015" s="26">
        <v>0</v>
      </c>
    </row>
    <row r="2016" spans="1:12" ht="16" customHeight="1">
      <c r="A2016" t="s">
        <v>374</v>
      </c>
      <c r="B2016" t="s">
        <v>4</v>
      </c>
      <c r="C2016" t="s">
        <v>36</v>
      </c>
      <c r="D2016" s="24">
        <v>46054</v>
      </c>
      <c r="E2016" t="s">
        <v>243</v>
      </c>
      <c r="F2016" t="s">
        <v>4</v>
      </c>
      <c r="G2016" t="s">
        <v>217</v>
      </c>
      <c r="H2016" t="s">
        <v>217</v>
      </c>
      <c r="I2016" t="s">
        <v>397</v>
      </c>
      <c r="J2016" s="25">
        <v>0</v>
      </c>
      <c r="K2016" s="26">
        <v>0</v>
      </c>
      <c r="L2016" s="26">
        <v>0</v>
      </c>
    </row>
    <row r="2017" spans="1:12" ht="16" customHeight="1">
      <c r="A2017" t="s">
        <v>374</v>
      </c>
      <c r="B2017" t="s">
        <v>4</v>
      </c>
      <c r="C2017" t="s">
        <v>36</v>
      </c>
      <c r="D2017" s="24">
        <v>46054</v>
      </c>
      <c r="E2017" t="s">
        <v>360</v>
      </c>
      <c r="F2017" t="s">
        <v>4</v>
      </c>
      <c r="G2017" t="s">
        <v>217</v>
      </c>
      <c r="H2017" t="s">
        <v>217</v>
      </c>
      <c r="I2017" t="s">
        <v>398</v>
      </c>
      <c r="J2017" s="25">
        <v>0</v>
      </c>
      <c r="K2017" s="26">
        <v>0</v>
      </c>
      <c r="L2017" s="26">
        <v>0</v>
      </c>
    </row>
    <row r="2018" spans="1:12" ht="16" customHeight="1">
      <c r="A2018" t="s">
        <v>405</v>
      </c>
      <c r="B2018" t="s">
        <v>5</v>
      </c>
      <c r="C2018" t="s">
        <v>36</v>
      </c>
      <c r="D2018" s="24">
        <v>46054</v>
      </c>
      <c r="E2018" t="s">
        <v>379</v>
      </c>
      <c r="F2018" t="s">
        <v>4</v>
      </c>
      <c r="G2018" t="s">
        <v>211</v>
      </c>
      <c r="H2018" t="s">
        <v>211</v>
      </c>
      <c r="I2018" t="s">
        <v>212</v>
      </c>
      <c r="J2018" s="25">
        <v>48454588</v>
      </c>
      <c r="K2018" s="26">
        <v>8192838.5700000003</v>
      </c>
      <c r="L2018" s="26">
        <v>25151.02</v>
      </c>
    </row>
    <row r="2019" spans="1:12" ht="16" customHeight="1">
      <c r="A2019" t="s">
        <v>405</v>
      </c>
      <c r="B2019" t="s">
        <v>5</v>
      </c>
      <c r="C2019" t="s">
        <v>36</v>
      </c>
      <c r="D2019" s="24">
        <v>46054</v>
      </c>
      <c r="E2019" t="s">
        <v>326</v>
      </c>
      <c r="F2019" t="s">
        <v>4</v>
      </c>
      <c r="G2019" t="s">
        <v>217</v>
      </c>
      <c r="H2019" t="s">
        <v>217</v>
      </c>
      <c r="I2019" t="s">
        <v>212</v>
      </c>
      <c r="J2019" s="25">
        <v>2062573</v>
      </c>
      <c r="K2019" s="26">
        <v>348468.3</v>
      </c>
      <c r="L2019" s="26">
        <v>1538.02</v>
      </c>
    </row>
    <row r="2020" spans="1:12" ht="16" customHeight="1">
      <c r="A2020" t="s">
        <v>405</v>
      </c>
      <c r="B2020" t="s">
        <v>5</v>
      </c>
      <c r="C2020" t="s">
        <v>36</v>
      </c>
      <c r="D2020" s="24">
        <v>46054</v>
      </c>
      <c r="E2020" t="s">
        <v>383</v>
      </c>
      <c r="F2020" t="s">
        <v>3</v>
      </c>
      <c r="G2020" t="s">
        <v>241</v>
      </c>
      <c r="H2020" t="s">
        <v>241</v>
      </c>
      <c r="I2020" t="s">
        <v>219</v>
      </c>
      <c r="J2020" s="25">
        <v>90525</v>
      </c>
      <c r="K2020" s="26">
        <v>15342.49</v>
      </c>
      <c r="L2020" s="26">
        <v>82.28</v>
      </c>
    </row>
    <row r="2021" spans="1:12" ht="16" customHeight="1">
      <c r="A2021" t="s">
        <v>405</v>
      </c>
      <c r="B2021" t="s">
        <v>5</v>
      </c>
      <c r="C2021" t="s">
        <v>36</v>
      </c>
      <c r="D2021" s="24">
        <v>46054</v>
      </c>
      <c r="E2021" t="s">
        <v>401</v>
      </c>
      <c r="F2021" t="s">
        <v>4</v>
      </c>
      <c r="G2021" t="s">
        <v>211</v>
      </c>
      <c r="H2021" t="s">
        <v>211</v>
      </c>
      <c r="I2021" t="s">
        <v>219</v>
      </c>
      <c r="J2021" s="25">
        <v>8102</v>
      </c>
      <c r="K2021" s="26">
        <v>1376.58</v>
      </c>
      <c r="L2021" s="26">
        <v>8.27</v>
      </c>
    </row>
    <row r="2022" spans="1:12" ht="16" customHeight="1">
      <c r="A2022" t="s">
        <v>405</v>
      </c>
      <c r="B2022" t="s">
        <v>5</v>
      </c>
      <c r="C2022" t="s">
        <v>36</v>
      </c>
      <c r="D2022" s="24">
        <v>46054</v>
      </c>
      <c r="E2022" t="s">
        <v>406</v>
      </c>
      <c r="F2022" t="s">
        <v>4</v>
      </c>
      <c r="G2022" t="s">
        <v>211</v>
      </c>
      <c r="H2022" t="s">
        <v>211</v>
      </c>
      <c r="I2022" t="s">
        <v>219</v>
      </c>
      <c r="J2022" s="25">
        <v>317</v>
      </c>
      <c r="K2022" s="26">
        <v>53.4</v>
      </c>
      <c r="L2022" s="26">
        <v>0.28999999999999998</v>
      </c>
    </row>
    <row r="2023" spans="1:12" ht="16" customHeight="1">
      <c r="A2023" t="s">
        <v>405</v>
      </c>
      <c r="B2023" t="s">
        <v>5</v>
      </c>
      <c r="C2023" t="s">
        <v>36</v>
      </c>
      <c r="D2023" s="24">
        <v>46054</v>
      </c>
      <c r="E2023" t="s">
        <v>357</v>
      </c>
      <c r="F2023" t="s">
        <v>3</v>
      </c>
      <c r="G2023" t="s">
        <v>358</v>
      </c>
      <c r="H2023" t="s">
        <v>358</v>
      </c>
      <c r="I2023" t="s">
        <v>219</v>
      </c>
      <c r="J2023" s="25">
        <v>296792</v>
      </c>
      <c r="K2023" s="26">
        <v>49992.5</v>
      </c>
      <c r="L2023" s="26">
        <v>343.76</v>
      </c>
    </row>
    <row r="2024" spans="1:12" ht="16" customHeight="1">
      <c r="A2024" t="s">
        <v>405</v>
      </c>
      <c r="B2024" t="s">
        <v>5</v>
      </c>
      <c r="C2024" t="s">
        <v>36</v>
      </c>
      <c r="D2024" s="24">
        <v>46054</v>
      </c>
      <c r="E2024" t="s">
        <v>387</v>
      </c>
      <c r="F2024" t="s">
        <v>4</v>
      </c>
      <c r="G2024" t="s">
        <v>217</v>
      </c>
      <c r="H2024" t="s">
        <v>217</v>
      </c>
      <c r="I2024" t="s">
        <v>221</v>
      </c>
      <c r="J2024" s="25">
        <v>41162</v>
      </c>
      <c r="K2024" s="26">
        <v>7038.92</v>
      </c>
      <c r="L2024" s="26">
        <v>71.44</v>
      </c>
    </row>
    <row r="2025" spans="1:12" ht="16" customHeight="1">
      <c r="A2025" t="s">
        <v>405</v>
      </c>
      <c r="B2025" t="s">
        <v>5</v>
      </c>
      <c r="C2025" t="s">
        <v>36</v>
      </c>
      <c r="D2025" s="24">
        <v>46054</v>
      </c>
      <c r="E2025" t="s">
        <v>226</v>
      </c>
      <c r="F2025" t="s">
        <v>4</v>
      </c>
      <c r="G2025" t="s">
        <v>217</v>
      </c>
      <c r="H2025" t="s">
        <v>217</v>
      </c>
      <c r="I2025" t="s">
        <v>300</v>
      </c>
      <c r="J2025" s="25">
        <v>25857</v>
      </c>
      <c r="K2025" s="26">
        <v>4454.09</v>
      </c>
      <c r="L2025" s="26">
        <v>68.739999999999995</v>
      </c>
    </row>
    <row r="2026" spans="1:12" ht="16" customHeight="1">
      <c r="A2026" t="s">
        <v>405</v>
      </c>
      <c r="B2026" t="s">
        <v>5</v>
      </c>
      <c r="C2026" t="s">
        <v>36</v>
      </c>
      <c r="D2026" s="24">
        <v>46054</v>
      </c>
      <c r="E2026" t="s">
        <v>269</v>
      </c>
      <c r="F2026" t="s">
        <v>4</v>
      </c>
      <c r="G2026" t="s">
        <v>217</v>
      </c>
      <c r="H2026" t="s">
        <v>217</v>
      </c>
      <c r="I2026" t="s">
        <v>301</v>
      </c>
      <c r="J2026" s="25">
        <v>2729</v>
      </c>
      <c r="K2026" s="26">
        <v>470.53</v>
      </c>
      <c r="L2026" s="26">
        <v>9.2899999999999991</v>
      </c>
    </row>
    <row r="2027" spans="1:12" ht="16" customHeight="1">
      <c r="A2027" t="s">
        <v>405</v>
      </c>
      <c r="B2027" t="s">
        <v>5</v>
      </c>
      <c r="C2027" t="s">
        <v>36</v>
      </c>
      <c r="D2027" s="24">
        <v>46054</v>
      </c>
      <c r="E2027" t="s">
        <v>228</v>
      </c>
      <c r="F2027" t="s">
        <v>4</v>
      </c>
      <c r="G2027" t="s">
        <v>217</v>
      </c>
      <c r="H2027" t="s">
        <v>217</v>
      </c>
      <c r="I2027" t="s">
        <v>302</v>
      </c>
      <c r="J2027" s="25">
        <v>5851</v>
      </c>
      <c r="K2027" s="26">
        <v>1013.81</v>
      </c>
      <c r="L2027" s="26">
        <v>22.41</v>
      </c>
    </row>
    <row r="2028" spans="1:12" ht="16" customHeight="1">
      <c r="A2028" t="s">
        <v>405</v>
      </c>
      <c r="B2028" t="s">
        <v>5</v>
      </c>
      <c r="C2028" t="s">
        <v>36</v>
      </c>
      <c r="D2028" s="24">
        <v>46054</v>
      </c>
      <c r="E2028" t="s">
        <v>230</v>
      </c>
      <c r="F2028" t="s">
        <v>4</v>
      </c>
      <c r="G2028" t="s">
        <v>217</v>
      </c>
      <c r="H2028" t="s">
        <v>217</v>
      </c>
      <c r="I2028" t="s">
        <v>391</v>
      </c>
      <c r="J2028" s="25">
        <v>0</v>
      </c>
      <c r="K2028" s="26">
        <v>0</v>
      </c>
      <c r="L2028" s="26">
        <v>0</v>
      </c>
    </row>
    <row r="2029" spans="1:12" ht="16" customHeight="1">
      <c r="A2029" t="s">
        <v>405</v>
      </c>
      <c r="B2029" t="s">
        <v>5</v>
      </c>
      <c r="C2029" t="s">
        <v>36</v>
      </c>
      <c r="D2029" s="24">
        <v>46054</v>
      </c>
      <c r="E2029" t="s">
        <v>232</v>
      </c>
      <c r="F2029" t="s">
        <v>4</v>
      </c>
      <c r="G2029" t="s">
        <v>217</v>
      </c>
      <c r="H2029" t="s">
        <v>217</v>
      </c>
      <c r="I2029" t="s">
        <v>392</v>
      </c>
      <c r="J2029" s="25">
        <v>26</v>
      </c>
      <c r="K2029" s="26">
        <v>4.68</v>
      </c>
      <c r="L2029" s="26">
        <v>0.24</v>
      </c>
    </row>
    <row r="2030" spans="1:12" ht="16" customHeight="1">
      <c r="A2030" t="s">
        <v>405</v>
      </c>
      <c r="B2030" t="s">
        <v>5</v>
      </c>
      <c r="C2030" t="s">
        <v>36</v>
      </c>
      <c r="D2030" s="24">
        <v>46054</v>
      </c>
      <c r="E2030" t="s">
        <v>234</v>
      </c>
      <c r="F2030" t="s">
        <v>4</v>
      </c>
      <c r="G2030" t="s">
        <v>217</v>
      </c>
      <c r="H2030" t="s">
        <v>217</v>
      </c>
      <c r="I2030" t="s">
        <v>393</v>
      </c>
      <c r="J2030" s="25">
        <v>0</v>
      </c>
      <c r="K2030" s="26">
        <v>0</v>
      </c>
      <c r="L2030" s="26">
        <v>0</v>
      </c>
    </row>
    <row r="2031" spans="1:12" ht="16" customHeight="1">
      <c r="A2031" t="s">
        <v>405</v>
      </c>
      <c r="B2031" t="s">
        <v>5</v>
      </c>
      <c r="C2031" t="s">
        <v>36</v>
      </c>
      <c r="D2031" s="24">
        <v>46054</v>
      </c>
      <c r="E2031" t="s">
        <v>236</v>
      </c>
      <c r="F2031" t="s">
        <v>4</v>
      </c>
      <c r="G2031" t="s">
        <v>217</v>
      </c>
      <c r="H2031" t="s">
        <v>217</v>
      </c>
      <c r="I2031" t="s">
        <v>394</v>
      </c>
      <c r="J2031" s="25">
        <v>2</v>
      </c>
      <c r="K2031" s="26">
        <v>0.36</v>
      </c>
      <c r="L2031" s="26">
        <v>0.01</v>
      </c>
    </row>
    <row r="2032" spans="1:12" ht="16" customHeight="1">
      <c r="A2032" t="s">
        <v>405</v>
      </c>
      <c r="B2032" t="s">
        <v>5</v>
      </c>
      <c r="C2032" t="s">
        <v>36</v>
      </c>
      <c r="D2032" s="24">
        <v>46054</v>
      </c>
      <c r="E2032" t="s">
        <v>238</v>
      </c>
      <c r="F2032" t="s">
        <v>4</v>
      </c>
      <c r="G2032" t="s">
        <v>217</v>
      </c>
      <c r="H2032" t="s">
        <v>217</v>
      </c>
      <c r="I2032" t="s">
        <v>395</v>
      </c>
      <c r="J2032" s="25">
        <v>0</v>
      </c>
      <c r="K2032" s="26">
        <v>0</v>
      </c>
      <c r="L2032" s="26">
        <v>0</v>
      </c>
    </row>
    <row r="2033" spans="1:12" ht="16" customHeight="1">
      <c r="A2033" t="s">
        <v>405</v>
      </c>
      <c r="B2033" t="s">
        <v>5</v>
      </c>
      <c r="C2033" t="s">
        <v>36</v>
      </c>
      <c r="D2033" s="24">
        <v>46054</v>
      </c>
      <c r="E2033" t="s">
        <v>240</v>
      </c>
      <c r="F2033" t="s">
        <v>3</v>
      </c>
      <c r="G2033" t="s">
        <v>241</v>
      </c>
      <c r="H2033" t="s">
        <v>241</v>
      </c>
      <c r="I2033" t="s">
        <v>396</v>
      </c>
      <c r="J2033" s="25">
        <v>0</v>
      </c>
      <c r="K2033" s="26">
        <v>0</v>
      </c>
      <c r="L2033" s="26">
        <v>0</v>
      </c>
    </row>
    <row r="2034" spans="1:12" ht="16" customHeight="1">
      <c r="A2034" t="s">
        <v>405</v>
      </c>
      <c r="B2034" t="s">
        <v>5</v>
      </c>
      <c r="C2034" t="s">
        <v>36</v>
      </c>
      <c r="D2034" s="24">
        <v>46054</v>
      </c>
      <c r="E2034" t="s">
        <v>243</v>
      </c>
      <c r="F2034" t="s">
        <v>4</v>
      </c>
      <c r="G2034" t="s">
        <v>217</v>
      </c>
      <c r="H2034" t="s">
        <v>217</v>
      </c>
      <c r="I2034" t="s">
        <v>397</v>
      </c>
      <c r="J2034" s="25">
        <v>0</v>
      </c>
      <c r="K2034" s="26">
        <v>0</v>
      </c>
      <c r="L2034" s="26">
        <v>0</v>
      </c>
    </row>
    <row r="2035" spans="1:12" ht="16" customHeight="1">
      <c r="A2035" t="s">
        <v>405</v>
      </c>
      <c r="B2035" t="s">
        <v>5</v>
      </c>
      <c r="C2035" t="s">
        <v>36</v>
      </c>
      <c r="D2035" s="24">
        <v>46054</v>
      </c>
      <c r="E2035" t="s">
        <v>360</v>
      </c>
      <c r="F2035" t="s">
        <v>4</v>
      </c>
      <c r="G2035" t="s">
        <v>217</v>
      </c>
      <c r="H2035" t="s">
        <v>217</v>
      </c>
      <c r="I2035" t="s">
        <v>398</v>
      </c>
      <c r="J2035" s="25">
        <v>0</v>
      </c>
      <c r="K2035" s="26">
        <v>0</v>
      </c>
      <c r="L2035" s="26">
        <v>0</v>
      </c>
    </row>
    <row r="2036" spans="1:12" ht="16" customHeight="1">
      <c r="A2036" t="s">
        <v>407</v>
      </c>
      <c r="B2036" t="s">
        <v>6</v>
      </c>
      <c r="C2036" t="s">
        <v>36</v>
      </c>
      <c r="D2036" s="24">
        <v>46054</v>
      </c>
      <c r="E2036" t="s">
        <v>379</v>
      </c>
      <c r="F2036" t="s">
        <v>4</v>
      </c>
      <c r="G2036" t="s">
        <v>211</v>
      </c>
      <c r="H2036" t="s">
        <v>211</v>
      </c>
      <c r="I2036" t="s">
        <v>212</v>
      </c>
      <c r="J2036" s="25">
        <v>47923897</v>
      </c>
      <c r="K2036" s="26">
        <v>8080729.3399999999</v>
      </c>
      <c r="L2036" s="26">
        <v>21779.32</v>
      </c>
    </row>
    <row r="2037" spans="1:12" ht="16" customHeight="1">
      <c r="A2037" t="s">
        <v>407</v>
      </c>
      <c r="B2037" t="s">
        <v>6</v>
      </c>
      <c r="C2037" t="s">
        <v>36</v>
      </c>
      <c r="D2037" s="24">
        <v>46054</v>
      </c>
      <c r="E2037" t="s">
        <v>326</v>
      </c>
      <c r="F2037" t="s">
        <v>4</v>
      </c>
      <c r="G2037" t="s">
        <v>217</v>
      </c>
      <c r="H2037" t="s">
        <v>217</v>
      </c>
      <c r="I2037" t="s">
        <v>212</v>
      </c>
      <c r="J2037" s="25">
        <v>2420400</v>
      </c>
      <c r="K2037" s="26">
        <v>408310.93</v>
      </c>
      <c r="L2037" s="26">
        <v>1838</v>
      </c>
    </row>
    <row r="2038" spans="1:12" ht="16" customHeight="1">
      <c r="A2038" t="s">
        <v>407</v>
      </c>
      <c r="B2038" t="s">
        <v>6</v>
      </c>
      <c r="C2038" t="s">
        <v>36</v>
      </c>
      <c r="D2038" s="24">
        <v>46054</v>
      </c>
      <c r="E2038" t="s">
        <v>383</v>
      </c>
      <c r="F2038" t="s">
        <v>3</v>
      </c>
      <c r="G2038" t="s">
        <v>241</v>
      </c>
      <c r="H2038" t="s">
        <v>241</v>
      </c>
      <c r="I2038" t="s">
        <v>219</v>
      </c>
      <c r="J2038" s="25">
        <v>134504</v>
      </c>
      <c r="K2038" s="26">
        <v>22761.03</v>
      </c>
      <c r="L2038" s="26">
        <v>123.56</v>
      </c>
    </row>
    <row r="2039" spans="1:12" ht="16" customHeight="1">
      <c r="A2039" t="s">
        <v>407</v>
      </c>
      <c r="B2039" t="s">
        <v>6</v>
      </c>
      <c r="C2039" t="s">
        <v>36</v>
      </c>
      <c r="D2039" s="24">
        <v>46054</v>
      </c>
      <c r="E2039" t="s">
        <v>401</v>
      </c>
      <c r="F2039" t="s">
        <v>4</v>
      </c>
      <c r="G2039" t="s">
        <v>211</v>
      </c>
      <c r="H2039" t="s">
        <v>211</v>
      </c>
      <c r="I2039" t="s">
        <v>219</v>
      </c>
      <c r="J2039" s="25">
        <v>12458</v>
      </c>
      <c r="K2039" s="26">
        <v>2112.5500000000002</v>
      </c>
      <c r="L2039" s="26">
        <v>13.74</v>
      </c>
    </row>
    <row r="2040" spans="1:12" ht="16" customHeight="1">
      <c r="A2040" t="s">
        <v>407</v>
      </c>
      <c r="B2040" t="s">
        <v>6</v>
      </c>
      <c r="C2040" t="s">
        <v>36</v>
      </c>
      <c r="D2040" s="24">
        <v>46054</v>
      </c>
      <c r="E2040" t="s">
        <v>406</v>
      </c>
      <c r="F2040" t="s">
        <v>4</v>
      </c>
      <c r="G2040" t="s">
        <v>211</v>
      </c>
      <c r="H2040" t="s">
        <v>211</v>
      </c>
      <c r="I2040" t="s">
        <v>219</v>
      </c>
      <c r="J2040" s="25">
        <v>638</v>
      </c>
      <c r="K2040" s="26">
        <v>107.33</v>
      </c>
      <c r="L2040" s="26">
        <v>0.75</v>
      </c>
    </row>
    <row r="2041" spans="1:12" ht="16" customHeight="1">
      <c r="A2041" t="s">
        <v>407</v>
      </c>
      <c r="B2041" t="s">
        <v>6</v>
      </c>
      <c r="C2041" t="s">
        <v>36</v>
      </c>
      <c r="D2041" s="24">
        <v>46054</v>
      </c>
      <c r="E2041" t="s">
        <v>357</v>
      </c>
      <c r="F2041" t="s">
        <v>3</v>
      </c>
      <c r="G2041" t="s">
        <v>358</v>
      </c>
      <c r="H2041" t="s">
        <v>358</v>
      </c>
      <c r="I2041" t="s">
        <v>219</v>
      </c>
      <c r="J2041" s="25">
        <v>326803</v>
      </c>
      <c r="K2041" s="26">
        <v>55091.61</v>
      </c>
      <c r="L2041" s="26">
        <v>417.83</v>
      </c>
    </row>
    <row r="2042" spans="1:12" ht="16" customHeight="1">
      <c r="A2042" t="s">
        <v>407</v>
      </c>
      <c r="B2042" t="s">
        <v>6</v>
      </c>
      <c r="C2042" t="s">
        <v>36</v>
      </c>
      <c r="D2042" s="24">
        <v>46054</v>
      </c>
      <c r="E2042" t="s">
        <v>387</v>
      </c>
      <c r="F2042" t="s">
        <v>4</v>
      </c>
      <c r="G2042" t="s">
        <v>217</v>
      </c>
      <c r="H2042" t="s">
        <v>217</v>
      </c>
      <c r="I2042" t="s">
        <v>221</v>
      </c>
      <c r="J2042" s="25">
        <v>40803</v>
      </c>
      <c r="K2042" s="26">
        <v>6862.94</v>
      </c>
      <c r="L2042" s="26">
        <v>66.37</v>
      </c>
    </row>
    <row r="2043" spans="1:12" ht="16" customHeight="1">
      <c r="A2043" t="s">
        <v>407</v>
      </c>
      <c r="B2043" t="s">
        <v>6</v>
      </c>
      <c r="C2043" t="s">
        <v>36</v>
      </c>
      <c r="D2043" s="24">
        <v>46054</v>
      </c>
      <c r="E2043" t="s">
        <v>226</v>
      </c>
      <c r="F2043" t="s">
        <v>4</v>
      </c>
      <c r="G2043" t="s">
        <v>217</v>
      </c>
      <c r="H2043" t="s">
        <v>217</v>
      </c>
      <c r="I2043" t="s">
        <v>300</v>
      </c>
      <c r="J2043" s="25">
        <v>24649</v>
      </c>
      <c r="K2043" s="26">
        <v>4174.51</v>
      </c>
      <c r="L2043" s="26">
        <v>70.58</v>
      </c>
    </row>
    <row r="2044" spans="1:12" ht="16" customHeight="1">
      <c r="A2044" t="s">
        <v>407</v>
      </c>
      <c r="B2044" t="s">
        <v>6</v>
      </c>
      <c r="C2044" t="s">
        <v>36</v>
      </c>
      <c r="D2044" s="24">
        <v>46054</v>
      </c>
      <c r="E2044" t="s">
        <v>269</v>
      </c>
      <c r="F2044" t="s">
        <v>4</v>
      </c>
      <c r="G2044" t="s">
        <v>217</v>
      </c>
      <c r="H2044" t="s">
        <v>217</v>
      </c>
      <c r="I2044" t="s">
        <v>301</v>
      </c>
      <c r="J2044" s="25">
        <v>3358</v>
      </c>
      <c r="K2044" s="26">
        <v>568.07000000000005</v>
      </c>
      <c r="L2044" s="26">
        <v>10.58</v>
      </c>
    </row>
    <row r="2045" spans="1:12" ht="16" customHeight="1">
      <c r="A2045" t="s">
        <v>407</v>
      </c>
      <c r="B2045" t="s">
        <v>6</v>
      </c>
      <c r="C2045" t="s">
        <v>36</v>
      </c>
      <c r="D2045" s="24">
        <v>46054</v>
      </c>
      <c r="E2045" t="s">
        <v>228</v>
      </c>
      <c r="F2045" t="s">
        <v>4</v>
      </c>
      <c r="G2045" t="s">
        <v>217</v>
      </c>
      <c r="H2045" t="s">
        <v>217</v>
      </c>
      <c r="I2045" t="s">
        <v>302</v>
      </c>
      <c r="J2045" s="25">
        <v>7613</v>
      </c>
      <c r="K2045" s="26">
        <v>1307.73</v>
      </c>
      <c r="L2045" s="26">
        <v>28.54</v>
      </c>
    </row>
    <row r="2046" spans="1:12" ht="16" customHeight="1">
      <c r="A2046" t="s">
        <v>407</v>
      </c>
      <c r="B2046" t="s">
        <v>6</v>
      </c>
      <c r="C2046" t="s">
        <v>36</v>
      </c>
      <c r="D2046" s="24">
        <v>46054</v>
      </c>
      <c r="E2046" t="s">
        <v>230</v>
      </c>
      <c r="F2046" t="s">
        <v>4</v>
      </c>
      <c r="G2046" t="s">
        <v>217</v>
      </c>
      <c r="H2046" t="s">
        <v>217</v>
      </c>
      <c r="I2046" t="s">
        <v>391</v>
      </c>
      <c r="J2046" s="25">
        <v>0</v>
      </c>
      <c r="K2046" s="26">
        <v>0</v>
      </c>
      <c r="L2046" s="26">
        <v>0</v>
      </c>
    </row>
    <row r="2047" spans="1:12" ht="16" customHeight="1">
      <c r="A2047" t="s">
        <v>407</v>
      </c>
      <c r="B2047" t="s">
        <v>6</v>
      </c>
      <c r="C2047" t="s">
        <v>36</v>
      </c>
      <c r="D2047" s="24">
        <v>46054</v>
      </c>
      <c r="E2047" t="s">
        <v>232</v>
      </c>
      <c r="F2047" t="s">
        <v>4</v>
      </c>
      <c r="G2047" t="s">
        <v>217</v>
      </c>
      <c r="H2047" t="s">
        <v>217</v>
      </c>
      <c r="I2047" t="s">
        <v>392</v>
      </c>
      <c r="J2047" s="25">
        <v>29</v>
      </c>
      <c r="K2047" s="26">
        <v>5.2</v>
      </c>
      <c r="L2047" s="26">
        <v>0.34</v>
      </c>
    </row>
    <row r="2048" spans="1:12" ht="16" customHeight="1">
      <c r="A2048" t="s">
        <v>407</v>
      </c>
      <c r="B2048" t="s">
        <v>6</v>
      </c>
      <c r="C2048" t="s">
        <v>36</v>
      </c>
      <c r="D2048" s="24">
        <v>46054</v>
      </c>
      <c r="E2048" t="s">
        <v>234</v>
      </c>
      <c r="F2048" t="s">
        <v>4</v>
      </c>
      <c r="G2048" t="s">
        <v>217</v>
      </c>
      <c r="H2048" t="s">
        <v>217</v>
      </c>
      <c r="I2048" t="s">
        <v>393</v>
      </c>
      <c r="J2048" s="25">
        <v>1</v>
      </c>
      <c r="K2048" s="26">
        <v>0.14000000000000001</v>
      </c>
      <c r="L2048" s="26">
        <v>0</v>
      </c>
    </row>
    <row r="2049" spans="1:12" ht="16" customHeight="1">
      <c r="A2049" t="s">
        <v>407</v>
      </c>
      <c r="B2049" t="s">
        <v>6</v>
      </c>
      <c r="C2049" t="s">
        <v>36</v>
      </c>
      <c r="D2049" s="24">
        <v>46054</v>
      </c>
      <c r="E2049" t="s">
        <v>236</v>
      </c>
      <c r="F2049" t="s">
        <v>4</v>
      </c>
      <c r="G2049" t="s">
        <v>217</v>
      </c>
      <c r="H2049" t="s">
        <v>217</v>
      </c>
      <c r="I2049" t="s">
        <v>394</v>
      </c>
      <c r="J2049" s="25">
        <v>1</v>
      </c>
      <c r="K2049" s="26">
        <v>0.18</v>
      </c>
      <c r="L2049" s="26">
        <v>0.01</v>
      </c>
    </row>
    <row r="2050" spans="1:12" ht="16" customHeight="1">
      <c r="A2050" t="s">
        <v>407</v>
      </c>
      <c r="B2050" t="s">
        <v>6</v>
      </c>
      <c r="C2050" t="s">
        <v>36</v>
      </c>
      <c r="D2050" s="24">
        <v>46054</v>
      </c>
      <c r="E2050" t="s">
        <v>238</v>
      </c>
      <c r="F2050" t="s">
        <v>4</v>
      </c>
      <c r="G2050" t="s">
        <v>217</v>
      </c>
      <c r="H2050" t="s">
        <v>217</v>
      </c>
      <c r="I2050" t="s">
        <v>395</v>
      </c>
      <c r="J2050" s="25">
        <v>0</v>
      </c>
      <c r="K2050" s="26">
        <v>0</v>
      </c>
      <c r="L2050" s="26">
        <v>0</v>
      </c>
    </row>
    <row r="2051" spans="1:12" ht="16" customHeight="1">
      <c r="A2051" t="s">
        <v>407</v>
      </c>
      <c r="B2051" t="s">
        <v>6</v>
      </c>
      <c r="C2051" t="s">
        <v>36</v>
      </c>
      <c r="D2051" s="24">
        <v>46054</v>
      </c>
      <c r="E2051" t="s">
        <v>240</v>
      </c>
      <c r="F2051" t="s">
        <v>3</v>
      </c>
      <c r="G2051" t="s">
        <v>241</v>
      </c>
      <c r="H2051" t="s">
        <v>241</v>
      </c>
      <c r="I2051" t="s">
        <v>396</v>
      </c>
      <c r="J2051" s="25">
        <v>0</v>
      </c>
      <c r="K2051" s="26">
        <v>0</v>
      </c>
      <c r="L2051" s="26">
        <v>0</v>
      </c>
    </row>
    <row r="2052" spans="1:12" ht="16" customHeight="1">
      <c r="A2052" t="s">
        <v>407</v>
      </c>
      <c r="B2052" t="s">
        <v>6</v>
      </c>
      <c r="C2052" t="s">
        <v>36</v>
      </c>
      <c r="D2052" s="24">
        <v>46054</v>
      </c>
      <c r="E2052" t="s">
        <v>243</v>
      </c>
      <c r="F2052" t="s">
        <v>4</v>
      </c>
      <c r="G2052" t="s">
        <v>217</v>
      </c>
      <c r="H2052" t="s">
        <v>217</v>
      </c>
      <c r="I2052" t="s">
        <v>397</v>
      </c>
      <c r="J2052" s="25">
        <v>0</v>
      </c>
      <c r="K2052" s="26">
        <v>0</v>
      </c>
      <c r="L2052" s="26">
        <v>0</v>
      </c>
    </row>
    <row r="2053" spans="1:12" ht="16" customHeight="1">
      <c r="A2053" t="s">
        <v>407</v>
      </c>
      <c r="B2053" t="s">
        <v>6</v>
      </c>
      <c r="C2053" t="s">
        <v>36</v>
      </c>
      <c r="D2053" s="24">
        <v>46054</v>
      </c>
      <c r="E2053" t="s">
        <v>360</v>
      </c>
      <c r="F2053" t="s">
        <v>4</v>
      </c>
      <c r="G2053" t="s">
        <v>217</v>
      </c>
      <c r="H2053" t="s">
        <v>217</v>
      </c>
      <c r="I2053" t="s">
        <v>398</v>
      </c>
      <c r="J2053" s="25">
        <v>0</v>
      </c>
      <c r="K2053" s="26">
        <v>0</v>
      </c>
      <c r="L2053" s="26">
        <v>0</v>
      </c>
    </row>
    <row r="2054" spans="1:12" ht="16" customHeight="1">
      <c r="A2054" t="s">
        <v>408</v>
      </c>
      <c r="B2054" t="s">
        <v>7</v>
      </c>
      <c r="C2054" t="s">
        <v>36</v>
      </c>
      <c r="D2054" s="24">
        <v>46054</v>
      </c>
      <c r="E2054" t="s">
        <v>379</v>
      </c>
      <c r="F2054" t="s">
        <v>4</v>
      </c>
      <c r="G2054" t="s">
        <v>211</v>
      </c>
      <c r="H2054" t="s">
        <v>211</v>
      </c>
      <c r="I2054" t="s">
        <v>212</v>
      </c>
      <c r="J2054" s="25">
        <v>97511668</v>
      </c>
      <c r="K2054" s="26">
        <v>16293000.029999999</v>
      </c>
      <c r="L2054" s="26">
        <v>41183.410000000003</v>
      </c>
    </row>
    <row r="2055" spans="1:12" ht="16" customHeight="1">
      <c r="A2055" t="s">
        <v>408</v>
      </c>
      <c r="B2055" t="s">
        <v>7</v>
      </c>
      <c r="C2055" t="s">
        <v>36</v>
      </c>
      <c r="D2055" s="24">
        <v>46054</v>
      </c>
      <c r="E2055" t="s">
        <v>326</v>
      </c>
      <c r="F2055" t="s">
        <v>4</v>
      </c>
      <c r="G2055" t="s">
        <v>217</v>
      </c>
      <c r="H2055" t="s">
        <v>217</v>
      </c>
      <c r="I2055" t="s">
        <v>212</v>
      </c>
      <c r="J2055" s="25">
        <v>4609030</v>
      </c>
      <c r="K2055" s="26">
        <v>771963.21</v>
      </c>
      <c r="L2055" s="26">
        <v>3321.03</v>
      </c>
    </row>
    <row r="2056" spans="1:12" ht="16" customHeight="1">
      <c r="A2056" t="s">
        <v>408</v>
      </c>
      <c r="B2056" t="s">
        <v>7</v>
      </c>
      <c r="C2056" t="s">
        <v>36</v>
      </c>
      <c r="D2056" s="24">
        <v>46054</v>
      </c>
      <c r="E2056" t="s">
        <v>383</v>
      </c>
      <c r="F2056" t="s">
        <v>3</v>
      </c>
      <c r="G2056" t="s">
        <v>241</v>
      </c>
      <c r="H2056" t="s">
        <v>241</v>
      </c>
      <c r="I2056" t="s">
        <v>219</v>
      </c>
      <c r="J2056" s="25">
        <v>298498</v>
      </c>
      <c r="K2056" s="26">
        <v>50054.58</v>
      </c>
      <c r="L2056" s="26">
        <v>267.52999999999997</v>
      </c>
    </row>
    <row r="2057" spans="1:12" ht="16" customHeight="1">
      <c r="A2057" t="s">
        <v>408</v>
      </c>
      <c r="B2057" t="s">
        <v>7</v>
      </c>
      <c r="C2057" t="s">
        <v>36</v>
      </c>
      <c r="D2057" s="24">
        <v>46054</v>
      </c>
      <c r="E2057" t="s">
        <v>401</v>
      </c>
      <c r="F2057" t="s">
        <v>4</v>
      </c>
      <c r="G2057" t="s">
        <v>211</v>
      </c>
      <c r="H2057" t="s">
        <v>211</v>
      </c>
      <c r="I2057" t="s">
        <v>219</v>
      </c>
      <c r="J2057" s="25">
        <v>30338</v>
      </c>
      <c r="K2057" s="26">
        <v>5099.6499999999996</v>
      </c>
      <c r="L2057" s="26">
        <v>34.96</v>
      </c>
    </row>
    <row r="2058" spans="1:12" ht="16" customHeight="1">
      <c r="A2058" t="s">
        <v>408</v>
      </c>
      <c r="B2058" t="s">
        <v>7</v>
      </c>
      <c r="C2058" t="s">
        <v>36</v>
      </c>
      <c r="D2058" s="24">
        <v>46054</v>
      </c>
      <c r="E2058" t="s">
        <v>406</v>
      </c>
      <c r="F2058" t="s">
        <v>4</v>
      </c>
      <c r="G2058" t="s">
        <v>211</v>
      </c>
      <c r="H2058" t="s">
        <v>211</v>
      </c>
      <c r="I2058" t="s">
        <v>219</v>
      </c>
      <c r="J2058" s="25">
        <v>2769</v>
      </c>
      <c r="K2058" s="26">
        <v>462.14</v>
      </c>
      <c r="L2058" s="26">
        <v>3.23</v>
      </c>
    </row>
    <row r="2059" spans="1:12" ht="16" customHeight="1">
      <c r="A2059" t="s">
        <v>408</v>
      </c>
      <c r="B2059" t="s">
        <v>7</v>
      </c>
      <c r="C2059" t="s">
        <v>36</v>
      </c>
      <c r="D2059" s="24">
        <v>46054</v>
      </c>
      <c r="E2059" t="s">
        <v>357</v>
      </c>
      <c r="F2059" t="s">
        <v>3</v>
      </c>
      <c r="G2059" t="s">
        <v>358</v>
      </c>
      <c r="H2059" t="s">
        <v>358</v>
      </c>
      <c r="I2059" t="s">
        <v>219</v>
      </c>
      <c r="J2059" s="25">
        <v>694238</v>
      </c>
      <c r="K2059" s="26">
        <v>115496.95</v>
      </c>
      <c r="L2059" s="26">
        <v>835.29</v>
      </c>
    </row>
    <row r="2060" spans="1:12" ht="16" customHeight="1">
      <c r="A2060" t="s">
        <v>408</v>
      </c>
      <c r="B2060" t="s">
        <v>7</v>
      </c>
      <c r="C2060" t="s">
        <v>36</v>
      </c>
      <c r="D2060" s="24">
        <v>46054</v>
      </c>
      <c r="E2060" t="s">
        <v>387</v>
      </c>
      <c r="F2060" t="s">
        <v>4</v>
      </c>
      <c r="G2060" t="s">
        <v>217</v>
      </c>
      <c r="H2060" t="s">
        <v>217</v>
      </c>
      <c r="I2060" t="s">
        <v>221</v>
      </c>
      <c r="J2060" s="25">
        <v>79830</v>
      </c>
      <c r="K2060" s="26">
        <v>13401.25</v>
      </c>
      <c r="L2060" s="26">
        <v>139.05000000000001</v>
      </c>
    </row>
    <row r="2061" spans="1:12" ht="16" customHeight="1">
      <c r="A2061" t="s">
        <v>408</v>
      </c>
      <c r="B2061" t="s">
        <v>7</v>
      </c>
      <c r="C2061" t="s">
        <v>36</v>
      </c>
      <c r="D2061" s="24">
        <v>46054</v>
      </c>
      <c r="E2061" t="s">
        <v>226</v>
      </c>
      <c r="F2061" t="s">
        <v>4</v>
      </c>
      <c r="G2061" t="s">
        <v>217</v>
      </c>
      <c r="H2061" t="s">
        <v>217</v>
      </c>
      <c r="I2061" t="s">
        <v>300</v>
      </c>
      <c r="J2061" s="25">
        <v>40492</v>
      </c>
      <c r="K2061" s="26">
        <v>6895.28</v>
      </c>
      <c r="L2061" s="26">
        <v>92.58</v>
      </c>
    </row>
    <row r="2062" spans="1:12" ht="16" customHeight="1">
      <c r="A2062" t="s">
        <v>408</v>
      </c>
      <c r="B2062" t="s">
        <v>7</v>
      </c>
      <c r="C2062" t="s">
        <v>36</v>
      </c>
      <c r="D2062" s="24">
        <v>46054</v>
      </c>
      <c r="E2062" t="s">
        <v>269</v>
      </c>
      <c r="F2062" t="s">
        <v>4</v>
      </c>
      <c r="G2062" t="s">
        <v>217</v>
      </c>
      <c r="H2062" t="s">
        <v>217</v>
      </c>
      <c r="I2062" t="s">
        <v>301</v>
      </c>
      <c r="J2062" s="25">
        <v>5250</v>
      </c>
      <c r="K2062" s="26">
        <v>879.68</v>
      </c>
      <c r="L2062" s="26">
        <v>17</v>
      </c>
    </row>
    <row r="2063" spans="1:12" ht="16" customHeight="1">
      <c r="A2063" t="s">
        <v>408</v>
      </c>
      <c r="B2063" t="s">
        <v>7</v>
      </c>
      <c r="C2063" t="s">
        <v>36</v>
      </c>
      <c r="D2063" s="24">
        <v>46054</v>
      </c>
      <c r="E2063" t="s">
        <v>228</v>
      </c>
      <c r="F2063" t="s">
        <v>4</v>
      </c>
      <c r="G2063" t="s">
        <v>217</v>
      </c>
      <c r="H2063" t="s">
        <v>217</v>
      </c>
      <c r="I2063" t="s">
        <v>302</v>
      </c>
      <c r="J2063" s="25">
        <v>14535</v>
      </c>
      <c r="K2063" s="26">
        <v>2557.9299999999998</v>
      </c>
      <c r="L2063" s="26">
        <v>65.08</v>
      </c>
    </row>
    <row r="2064" spans="1:12" ht="16" customHeight="1">
      <c r="A2064" t="s">
        <v>408</v>
      </c>
      <c r="B2064" t="s">
        <v>7</v>
      </c>
      <c r="C2064" t="s">
        <v>36</v>
      </c>
      <c r="D2064" s="24">
        <v>46054</v>
      </c>
      <c r="E2064" t="s">
        <v>230</v>
      </c>
      <c r="F2064" t="s">
        <v>4</v>
      </c>
      <c r="G2064" t="s">
        <v>217</v>
      </c>
      <c r="H2064" t="s">
        <v>217</v>
      </c>
      <c r="I2064" t="s">
        <v>391</v>
      </c>
      <c r="J2064" s="25">
        <v>0</v>
      </c>
      <c r="K2064" s="26">
        <v>0</v>
      </c>
      <c r="L2064" s="26">
        <v>0</v>
      </c>
    </row>
    <row r="2065" spans="1:12" ht="16" customHeight="1">
      <c r="A2065" t="s">
        <v>408</v>
      </c>
      <c r="B2065" t="s">
        <v>7</v>
      </c>
      <c r="C2065" t="s">
        <v>36</v>
      </c>
      <c r="D2065" s="24">
        <v>46054</v>
      </c>
      <c r="E2065" t="s">
        <v>232</v>
      </c>
      <c r="F2065" t="s">
        <v>4</v>
      </c>
      <c r="G2065" t="s">
        <v>217</v>
      </c>
      <c r="H2065" t="s">
        <v>217</v>
      </c>
      <c r="I2065" t="s">
        <v>392</v>
      </c>
      <c r="J2065" s="25">
        <v>32</v>
      </c>
      <c r="K2065" s="26">
        <v>5.52</v>
      </c>
      <c r="L2065" s="26">
        <v>0.25</v>
      </c>
    </row>
    <row r="2066" spans="1:12" ht="16" customHeight="1">
      <c r="A2066" t="s">
        <v>408</v>
      </c>
      <c r="B2066" t="s">
        <v>7</v>
      </c>
      <c r="C2066" t="s">
        <v>36</v>
      </c>
      <c r="D2066" s="24">
        <v>46054</v>
      </c>
      <c r="E2066" t="s">
        <v>234</v>
      </c>
      <c r="F2066" t="s">
        <v>4</v>
      </c>
      <c r="G2066" t="s">
        <v>217</v>
      </c>
      <c r="H2066" t="s">
        <v>217</v>
      </c>
      <c r="I2066" t="s">
        <v>393</v>
      </c>
      <c r="J2066" s="25">
        <v>0</v>
      </c>
      <c r="K2066" s="26">
        <v>0</v>
      </c>
      <c r="L2066" s="26">
        <v>0</v>
      </c>
    </row>
    <row r="2067" spans="1:12" ht="16" customHeight="1">
      <c r="A2067" t="s">
        <v>408</v>
      </c>
      <c r="B2067" t="s">
        <v>7</v>
      </c>
      <c r="C2067" t="s">
        <v>36</v>
      </c>
      <c r="D2067" s="24">
        <v>46054</v>
      </c>
      <c r="E2067" t="s">
        <v>236</v>
      </c>
      <c r="F2067" t="s">
        <v>4</v>
      </c>
      <c r="G2067" t="s">
        <v>217</v>
      </c>
      <c r="H2067" t="s">
        <v>217</v>
      </c>
      <c r="I2067" t="s">
        <v>394</v>
      </c>
      <c r="J2067" s="25">
        <v>4</v>
      </c>
      <c r="K2067" s="26">
        <v>0.76</v>
      </c>
      <c r="L2067" s="26">
        <v>0.06</v>
      </c>
    </row>
    <row r="2068" spans="1:12" ht="16" customHeight="1">
      <c r="A2068" t="s">
        <v>408</v>
      </c>
      <c r="B2068" t="s">
        <v>7</v>
      </c>
      <c r="C2068" t="s">
        <v>36</v>
      </c>
      <c r="D2068" s="24">
        <v>46054</v>
      </c>
      <c r="E2068" t="s">
        <v>238</v>
      </c>
      <c r="F2068" t="s">
        <v>4</v>
      </c>
      <c r="G2068" t="s">
        <v>217</v>
      </c>
      <c r="H2068" t="s">
        <v>217</v>
      </c>
      <c r="I2068" t="s">
        <v>395</v>
      </c>
      <c r="J2068" s="25">
        <v>0</v>
      </c>
      <c r="K2068" s="26">
        <v>0</v>
      </c>
      <c r="L2068" s="26">
        <v>0</v>
      </c>
    </row>
    <row r="2069" spans="1:12" ht="16" customHeight="1">
      <c r="A2069" t="s">
        <v>408</v>
      </c>
      <c r="B2069" t="s">
        <v>7</v>
      </c>
      <c r="C2069" t="s">
        <v>36</v>
      </c>
      <c r="D2069" s="24">
        <v>46054</v>
      </c>
      <c r="E2069" t="s">
        <v>240</v>
      </c>
      <c r="F2069" t="s">
        <v>3</v>
      </c>
      <c r="G2069" t="s">
        <v>241</v>
      </c>
      <c r="H2069" t="s">
        <v>241</v>
      </c>
      <c r="I2069" t="s">
        <v>396</v>
      </c>
      <c r="J2069" s="25">
        <v>0</v>
      </c>
      <c r="K2069" s="26">
        <v>0</v>
      </c>
      <c r="L2069" s="26">
        <v>0</v>
      </c>
    </row>
    <row r="2070" spans="1:12" ht="16" customHeight="1">
      <c r="A2070" t="s">
        <v>408</v>
      </c>
      <c r="B2070" t="s">
        <v>7</v>
      </c>
      <c r="C2070" t="s">
        <v>36</v>
      </c>
      <c r="D2070" s="24">
        <v>46054</v>
      </c>
      <c r="E2070" t="s">
        <v>243</v>
      </c>
      <c r="F2070" t="s">
        <v>4</v>
      </c>
      <c r="G2070" t="s">
        <v>217</v>
      </c>
      <c r="H2070" t="s">
        <v>217</v>
      </c>
      <c r="I2070" t="s">
        <v>397</v>
      </c>
      <c r="J2070" s="25">
        <v>0</v>
      </c>
      <c r="K2070" s="26">
        <v>0</v>
      </c>
      <c r="L2070" s="26">
        <v>0</v>
      </c>
    </row>
    <row r="2071" spans="1:12" ht="16" customHeight="1">
      <c r="A2071" t="s">
        <v>408</v>
      </c>
      <c r="B2071" t="s">
        <v>7</v>
      </c>
      <c r="C2071" t="s">
        <v>36</v>
      </c>
      <c r="D2071" s="24">
        <v>46054</v>
      </c>
      <c r="E2071" t="s">
        <v>360</v>
      </c>
      <c r="F2071" t="s">
        <v>4</v>
      </c>
      <c r="G2071" t="s">
        <v>217</v>
      </c>
      <c r="H2071" t="s">
        <v>217</v>
      </c>
      <c r="I2071" t="s">
        <v>398</v>
      </c>
      <c r="J2071" s="25">
        <v>0</v>
      </c>
      <c r="K2071" s="26">
        <v>0</v>
      </c>
      <c r="L2071" s="26">
        <v>0</v>
      </c>
    </row>
    <row r="2072" spans="1:12" ht="16" customHeight="1">
      <c r="A2072" t="s">
        <v>409</v>
      </c>
      <c r="B2072" t="s">
        <v>3</v>
      </c>
      <c r="C2072" t="s">
        <v>37</v>
      </c>
      <c r="D2072" s="24">
        <v>46054</v>
      </c>
      <c r="E2072" t="s">
        <v>379</v>
      </c>
      <c r="F2072" t="s">
        <v>4</v>
      </c>
      <c r="G2072" t="s">
        <v>211</v>
      </c>
      <c r="H2072" t="s">
        <v>211</v>
      </c>
      <c r="I2072" t="s">
        <v>212</v>
      </c>
      <c r="J2072" s="25">
        <v>147274200</v>
      </c>
      <c r="K2072" s="26">
        <v>24513515.949999999</v>
      </c>
      <c r="L2072" s="26">
        <v>49023.95</v>
      </c>
    </row>
    <row r="2073" spans="1:12" ht="16" customHeight="1">
      <c r="A2073" t="s">
        <v>409</v>
      </c>
      <c r="B2073" t="s">
        <v>3</v>
      </c>
      <c r="C2073" t="s">
        <v>37</v>
      </c>
      <c r="D2073" s="24">
        <v>46054</v>
      </c>
      <c r="E2073" t="s">
        <v>326</v>
      </c>
      <c r="F2073" t="s">
        <v>4</v>
      </c>
      <c r="G2073" t="s">
        <v>217</v>
      </c>
      <c r="H2073" t="s">
        <v>217</v>
      </c>
      <c r="I2073" t="s">
        <v>212</v>
      </c>
      <c r="J2073" s="25">
        <v>6124050</v>
      </c>
      <c r="K2073" s="26">
        <v>1025716.27</v>
      </c>
      <c r="L2073" s="26">
        <v>4052.9</v>
      </c>
    </row>
    <row r="2074" spans="1:12" ht="16" customHeight="1">
      <c r="A2074" t="s">
        <v>409</v>
      </c>
      <c r="B2074" t="s">
        <v>3</v>
      </c>
      <c r="C2074" t="s">
        <v>37</v>
      </c>
      <c r="D2074" s="24">
        <v>46054</v>
      </c>
      <c r="E2074" t="s">
        <v>383</v>
      </c>
      <c r="F2074" t="s">
        <v>3</v>
      </c>
      <c r="G2074" t="s">
        <v>241</v>
      </c>
      <c r="H2074" t="s">
        <v>241</v>
      </c>
      <c r="I2074" t="s">
        <v>219</v>
      </c>
      <c r="J2074" s="25">
        <v>341861</v>
      </c>
      <c r="K2074" s="26">
        <v>57239.39</v>
      </c>
      <c r="L2074" s="26">
        <v>299.77</v>
      </c>
    </row>
    <row r="2075" spans="1:12" ht="16" customHeight="1">
      <c r="A2075" t="s">
        <v>409</v>
      </c>
      <c r="B2075" t="s">
        <v>3</v>
      </c>
      <c r="C2075" t="s">
        <v>37</v>
      </c>
      <c r="D2075" s="24">
        <v>46054</v>
      </c>
      <c r="E2075" t="s">
        <v>401</v>
      </c>
      <c r="F2075" t="s">
        <v>4</v>
      </c>
      <c r="G2075" t="s">
        <v>211</v>
      </c>
      <c r="H2075" t="s">
        <v>211</v>
      </c>
      <c r="I2075" t="s">
        <v>219</v>
      </c>
      <c r="J2075" s="25">
        <v>38403</v>
      </c>
      <c r="K2075" s="26">
        <v>6438.56</v>
      </c>
      <c r="L2075" s="26">
        <v>44.37</v>
      </c>
    </row>
    <row r="2076" spans="1:12" ht="16" customHeight="1">
      <c r="A2076" t="s">
        <v>409</v>
      </c>
      <c r="B2076" t="s">
        <v>3</v>
      </c>
      <c r="C2076" t="s">
        <v>37</v>
      </c>
      <c r="D2076" s="24">
        <v>46054</v>
      </c>
      <c r="E2076" t="s">
        <v>406</v>
      </c>
      <c r="F2076" t="s">
        <v>4</v>
      </c>
      <c r="G2076" t="s">
        <v>211</v>
      </c>
      <c r="H2076" t="s">
        <v>211</v>
      </c>
      <c r="I2076" t="s">
        <v>219</v>
      </c>
      <c r="J2076" s="25">
        <v>4959</v>
      </c>
      <c r="K2076" s="26">
        <v>831.6</v>
      </c>
      <c r="L2076" s="26">
        <v>6.01</v>
      </c>
    </row>
    <row r="2077" spans="1:12" ht="16" customHeight="1">
      <c r="A2077" t="s">
        <v>409</v>
      </c>
      <c r="B2077" t="s">
        <v>3</v>
      </c>
      <c r="C2077" t="s">
        <v>37</v>
      </c>
      <c r="D2077" s="24">
        <v>46054</v>
      </c>
      <c r="E2077" t="s">
        <v>357</v>
      </c>
      <c r="F2077" t="s">
        <v>3</v>
      </c>
      <c r="G2077" t="s">
        <v>358</v>
      </c>
      <c r="H2077" t="s">
        <v>358</v>
      </c>
      <c r="I2077" t="s">
        <v>219</v>
      </c>
      <c r="J2077" s="25">
        <v>476827</v>
      </c>
      <c r="K2077" s="26">
        <v>79774.12</v>
      </c>
      <c r="L2077" s="26">
        <v>650.79</v>
      </c>
    </row>
    <row r="2078" spans="1:12" ht="16" customHeight="1">
      <c r="A2078" t="s">
        <v>409</v>
      </c>
      <c r="B2078" t="s">
        <v>3</v>
      </c>
      <c r="C2078" t="s">
        <v>37</v>
      </c>
      <c r="D2078" s="24">
        <v>46054</v>
      </c>
      <c r="E2078" t="s">
        <v>387</v>
      </c>
      <c r="F2078" t="s">
        <v>4</v>
      </c>
      <c r="G2078" t="s">
        <v>217</v>
      </c>
      <c r="H2078" t="s">
        <v>217</v>
      </c>
      <c r="I2078" t="s">
        <v>221</v>
      </c>
      <c r="J2078" s="25">
        <v>54819</v>
      </c>
      <c r="K2078" s="26">
        <v>9192.48</v>
      </c>
      <c r="L2078" s="26">
        <v>96.01</v>
      </c>
    </row>
    <row r="2079" spans="1:12" ht="16" customHeight="1">
      <c r="A2079" t="s">
        <v>409</v>
      </c>
      <c r="B2079" t="s">
        <v>3</v>
      </c>
      <c r="C2079" t="s">
        <v>37</v>
      </c>
      <c r="D2079" s="24">
        <v>46054</v>
      </c>
      <c r="E2079" t="s">
        <v>226</v>
      </c>
      <c r="F2079" t="s">
        <v>4</v>
      </c>
      <c r="G2079" t="s">
        <v>217</v>
      </c>
      <c r="H2079" t="s">
        <v>217</v>
      </c>
      <c r="I2079" t="s">
        <v>300</v>
      </c>
      <c r="J2079" s="25">
        <v>39950</v>
      </c>
      <c r="K2079" s="26">
        <v>6845.39</v>
      </c>
      <c r="L2079" s="26">
        <v>88.96</v>
      </c>
    </row>
    <row r="2080" spans="1:12" ht="16" customHeight="1">
      <c r="A2080" t="s">
        <v>409</v>
      </c>
      <c r="B2080" t="s">
        <v>3</v>
      </c>
      <c r="C2080" t="s">
        <v>37</v>
      </c>
      <c r="D2080" s="24">
        <v>46054</v>
      </c>
      <c r="E2080" t="s">
        <v>269</v>
      </c>
      <c r="F2080" t="s">
        <v>4</v>
      </c>
      <c r="G2080" t="s">
        <v>217</v>
      </c>
      <c r="H2080" t="s">
        <v>217</v>
      </c>
      <c r="I2080" t="s">
        <v>301</v>
      </c>
      <c r="J2080" s="25">
        <v>7308</v>
      </c>
      <c r="K2080" s="26">
        <v>1241.3900000000001</v>
      </c>
      <c r="L2080" s="26">
        <v>24.36</v>
      </c>
    </row>
    <row r="2081" spans="1:12" ht="16" customHeight="1">
      <c r="A2081" t="s">
        <v>409</v>
      </c>
      <c r="B2081" t="s">
        <v>3</v>
      </c>
      <c r="C2081" t="s">
        <v>37</v>
      </c>
      <c r="D2081" s="24">
        <v>46054</v>
      </c>
      <c r="E2081" t="s">
        <v>228</v>
      </c>
      <c r="F2081" t="s">
        <v>4</v>
      </c>
      <c r="G2081" t="s">
        <v>217</v>
      </c>
      <c r="H2081" t="s">
        <v>217</v>
      </c>
      <c r="I2081" t="s">
        <v>302</v>
      </c>
      <c r="J2081" s="25">
        <v>12671</v>
      </c>
      <c r="K2081" s="26">
        <v>2177.69</v>
      </c>
      <c r="L2081" s="26">
        <v>50.39</v>
      </c>
    </row>
    <row r="2082" spans="1:12" ht="16" customHeight="1">
      <c r="A2082" t="s">
        <v>409</v>
      </c>
      <c r="B2082" t="s">
        <v>3</v>
      </c>
      <c r="C2082" t="s">
        <v>37</v>
      </c>
      <c r="D2082" s="24">
        <v>46054</v>
      </c>
      <c r="E2082" t="s">
        <v>230</v>
      </c>
      <c r="F2082" t="s">
        <v>4</v>
      </c>
      <c r="G2082" t="s">
        <v>217</v>
      </c>
      <c r="H2082" t="s">
        <v>217</v>
      </c>
      <c r="I2082" t="s">
        <v>391</v>
      </c>
      <c r="J2082" s="25">
        <v>0</v>
      </c>
      <c r="K2082" s="26">
        <v>0</v>
      </c>
      <c r="L2082" s="26">
        <v>0</v>
      </c>
    </row>
    <row r="2083" spans="1:12" ht="16" customHeight="1">
      <c r="A2083" t="s">
        <v>409</v>
      </c>
      <c r="B2083" t="s">
        <v>3</v>
      </c>
      <c r="C2083" t="s">
        <v>37</v>
      </c>
      <c r="D2083" s="24">
        <v>46054</v>
      </c>
      <c r="E2083" t="s">
        <v>232</v>
      </c>
      <c r="F2083" t="s">
        <v>4</v>
      </c>
      <c r="G2083" t="s">
        <v>217</v>
      </c>
      <c r="H2083" t="s">
        <v>217</v>
      </c>
      <c r="I2083" t="s">
        <v>392</v>
      </c>
      <c r="J2083" s="25">
        <v>20</v>
      </c>
      <c r="K2083" s="26">
        <v>3.45</v>
      </c>
      <c r="L2083" s="26">
        <v>0.15</v>
      </c>
    </row>
    <row r="2084" spans="1:12" ht="16" customHeight="1">
      <c r="A2084" t="s">
        <v>409</v>
      </c>
      <c r="B2084" t="s">
        <v>3</v>
      </c>
      <c r="C2084" t="s">
        <v>37</v>
      </c>
      <c r="D2084" s="24">
        <v>46054</v>
      </c>
      <c r="E2084" t="s">
        <v>234</v>
      </c>
      <c r="F2084" t="s">
        <v>4</v>
      </c>
      <c r="G2084" t="s">
        <v>217</v>
      </c>
      <c r="H2084" t="s">
        <v>217</v>
      </c>
      <c r="I2084" t="s">
        <v>393</v>
      </c>
      <c r="J2084" s="25">
        <v>0</v>
      </c>
      <c r="K2084" s="26">
        <v>0</v>
      </c>
      <c r="L2084" s="26">
        <v>0</v>
      </c>
    </row>
    <row r="2085" spans="1:12" ht="16" customHeight="1">
      <c r="A2085" t="s">
        <v>409</v>
      </c>
      <c r="B2085" t="s">
        <v>3</v>
      </c>
      <c r="C2085" t="s">
        <v>37</v>
      </c>
      <c r="D2085" s="24">
        <v>46054</v>
      </c>
      <c r="E2085" t="s">
        <v>236</v>
      </c>
      <c r="F2085" t="s">
        <v>4</v>
      </c>
      <c r="G2085" t="s">
        <v>217</v>
      </c>
      <c r="H2085" t="s">
        <v>217</v>
      </c>
      <c r="I2085" t="s">
        <v>394</v>
      </c>
      <c r="J2085" s="25">
        <v>1</v>
      </c>
      <c r="K2085" s="26">
        <v>0.2</v>
      </c>
      <c r="L2085" s="26">
        <v>0.02</v>
      </c>
    </row>
    <row r="2086" spans="1:12" ht="16" customHeight="1">
      <c r="A2086" t="s">
        <v>409</v>
      </c>
      <c r="B2086" t="s">
        <v>3</v>
      </c>
      <c r="C2086" t="s">
        <v>37</v>
      </c>
      <c r="D2086" s="24">
        <v>46054</v>
      </c>
      <c r="E2086" t="s">
        <v>238</v>
      </c>
      <c r="F2086" t="s">
        <v>4</v>
      </c>
      <c r="G2086" t="s">
        <v>217</v>
      </c>
      <c r="H2086" t="s">
        <v>217</v>
      </c>
      <c r="I2086" t="s">
        <v>395</v>
      </c>
      <c r="J2086" s="25">
        <v>0</v>
      </c>
      <c r="K2086" s="26">
        <v>0</v>
      </c>
      <c r="L2086" s="26">
        <v>0</v>
      </c>
    </row>
    <row r="2087" spans="1:12" ht="16" customHeight="1">
      <c r="A2087" t="s">
        <v>409</v>
      </c>
      <c r="B2087" t="s">
        <v>3</v>
      </c>
      <c r="C2087" t="s">
        <v>37</v>
      </c>
      <c r="D2087" s="24">
        <v>46054</v>
      </c>
      <c r="E2087" t="s">
        <v>240</v>
      </c>
      <c r="F2087" t="s">
        <v>3</v>
      </c>
      <c r="G2087" t="s">
        <v>241</v>
      </c>
      <c r="H2087" t="s">
        <v>241</v>
      </c>
      <c r="I2087" t="s">
        <v>396</v>
      </c>
      <c r="J2087" s="25">
        <v>0</v>
      </c>
      <c r="K2087" s="26">
        <v>0</v>
      </c>
      <c r="L2087" s="26">
        <v>0</v>
      </c>
    </row>
    <row r="2088" spans="1:12" ht="16" customHeight="1">
      <c r="A2088" t="s">
        <v>409</v>
      </c>
      <c r="B2088" t="s">
        <v>3</v>
      </c>
      <c r="C2088" t="s">
        <v>37</v>
      </c>
      <c r="D2088" s="24">
        <v>46054</v>
      </c>
      <c r="E2088" t="s">
        <v>243</v>
      </c>
      <c r="F2088" t="s">
        <v>4</v>
      </c>
      <c r="G2088" t="s">
        <v>217</v>
      </c>
      <c r="H2088" t="s">
        <v>217</v>
      </c>
      <c r="I2088" t="s">
        <v>397</v>
      </c>
      <c r="J2088" s="25">
        <v>0</v>
      </c>
      <c r="K2088" s="26">
        <v>0</v>
      </c>
      <c r="L2088" s="26">
        <v>0</v>
      </c>
    </row>
    <row r="2089" spans="1:12" ht="16" customHeight="1">
      <c r="A2089" t="s">
        <v>409</v>
      </c>
      <c r="B2089" t="s">
        <v>3</v>
      </c>
      <c r="C2089" t="s">
        <v>37</v>
      </c>
      <c r="D2089" s="24">
        <v>46054</v>
      </c>
      <c r="E2089" t="s">
        <v>360</v>
      </c>
      <c r="F2089" t="s">
        <v>4</v>
      </c>
      <c r="G2089" t="s">
        <v>217</v>
      </c>
      <c r="H2089" t="s">
        <v>217</v>
      </c>
      <c r="I2089" t="s">
        <v>398</v>
      </c>
      <c r="J2089" s="25">
        <v>0</v>
      </c>
      <c r="K2089" s="26">
        <v>0</v>
      </c>
      <c r="L2089" s="26">
        <v>0</v>
      </c>
    </row>
    <row r="2090" spans="1:12" ht="16" customHeight="1">
      <c r="A2090" t="s">
        <v>379</v>
      </c>
      <c r="B2090" t="s">
        <v>4</v>
      </c>
      <c r="C2090" t="s">
        <v>37</v>
      </c>
      <c r="D2090" s="24">
        <v>46054</v>
      </c>
      <c r="E2090" t="s">
        <v>379</v>
      </c>
      <c r="F2090" t="s">
        <v>4</v>
      </c>
      <c r="G2090" t="s">
        <v>211</v>
      </c>
      <c r="H2090" t="s">
        <v>211</v>
      </c>
      <c r="I2090" t="s">
        <v>212</v>
      </c>
      <c r="J2090" s="25">
        <v>404008818</v>
      </c>
      <c r="K2090" s="26">
        <v>67502176.069999993</v>
      </c>
      <c r="L2090" s="26">
        <v>61818.66</v>
      </c>
    </row>
    <row r="2091" spans="1:12" ht="16" customHeight="1">
      <c r="A2091" t="s">
        <v>379</v>
      </c>
      <c r="B2091" t="s">
        <v>4</v>
      </c>
      <c r="C2091" t="s">
        <v>37</v>
      </c>
      <c r="D2091" s="24">
        <v>46054</v>
      </c>
      <c r="E2091" t="s">
        <v>326</v>
      </c>
      <c r="F2091" t="s">
        <v>4</v>
      </c>
      <c r="G2091" t="s">
        <v>217</v>
      </c>
      <c r="H2091" t="s">
        <v>217</v>
      </c>
      <c r="I2091" t="s">
        <v>212</v>
      </c>
      <c r="J2091" s="25">
        <v>12141492</v>
      </c>
      <c r="K2091" s="26">
        <v>2032339.21</v>
      </c>
      <c r="L2091" s="26">
        <v>7129.09</v>
      </c>
    </row>
    <row r="2092" spans="1:12" ht="16" customHeight="1">
      <c r="A2092" t="s">
        <v>379</v>
      </c>
      <c r="B2092" t="s">
        <v>4</v>
      </c>
      <c r="C2092" t="s">
        <v>37</v>
      </c>
      <c r="D2092" s="24">
        <v>46054</v>
      </c>
      <c r="E2092" t="s">
        <v>383</v>
      </c>
      <c r="F2092" t="s">
        <v>3</v>
      </c>
      <c r="G2092" t="s">
        <v>241</v>
      </c>
      <c r="H2092" t="s">
        <v>241</v>
      </c>
      <c r="I2092" t="s">
        <v>219</v>
      </c>
      <c r="J2092" s="25">
        <v>540284</v>
      </c>
      <c r="K2092" s="26">
        <v>90826.51</v>
      </c>
      <c r="L2092" s="26">
        <v>454.71</v>
      </c>
    </row>
    <row r="2093" spans="1:12" ht="16" customHeight="1">
      <c r="A2093" t="s">
        <v>379</v>
      </c>
      <c r="B2093" t="s">
        <v>4</v>
      </c>
      <c r="C2093" t="s">
        <v>37</v>
      </c>
      <c r="D2093" s="24">
        <v>46054</v>
      </c>
      <c r="E2093" t="s">
        <v>401</v>
      </c>
      <c r="F2093" t="s">
        <v>4</v>
      </c>
      <c r="G2093" t="s">
        <v>211</v>
      </c>
      <c r="H2093" t="s">
        <v>211</v>
      </c>
      <c r="I2093" t="s">
        <v>219</v>
      </c>
      <c r="J2093" s="25">
        <v>53518</v>
      </c>
      <c r="K2093" s="26">
        <v>9017.8700000000008</v>
      </c>
      <c r="L2093" s="26">
        <v>57.03</v>
      </c>
    </row>
    <row r="2094" spans="1:12" ht="16" customHeight="1">
      <c r="A2094" t="s">
        <v>379</v>
      </c>
      <c r="B2094" t="s">
        <v>4</v>
      </c>
      <c r="C2094" t="s">
        <v>37</v>
      </c>
      <c r="D2094" s="24">
        <v>46054</v>
      </c>
      <c r="E2094" t="s">
        <v>406</v>
      </c>
      <c r="F2094" t="s">
        <v>4</v>
      </c>
      <c r="G2094" t="s">
        <v>211</v>
      </c>
      <c r="H2094" t="s">
        <v>211</v>
      </c>
      <c r="I2094" t="s">
        <v>219</v>
      </c>
      <c r="J2094" s="25">
        <v>7413</v>
      </c>
      <c r="K2094" s="26">
        <v>1245.53</v>
      </c>
      <c r="L2094" s="26">
        <v>8.8800000000000008</v>
      </c>
    </row>
    <row r="2095" spans="1:12" ht="16" customHeight="1">
      <c r="A2095" t="s">
        <v>379</v>
      </c>
      <c r="B2095" t="s">
        <v>4</v>
      </c>
      <c r="C2095" t="s">
        <v>37</v>
      </c>
      <c r="D2095" s="24">
        <v>46054</v>
      </c>
      <c r="E2095" t="s">
        <v>357</v>
      </c>
      <c r="F2095" t="s">
        <v>3</v>
      </c>
      <c r="G2095" t="s">
        <v>358</v>
      </c>
      <c r="H2095" t="s">
        <v>358</v>
      </c>
      <c r="I2095" t="s">
        <v>219</v>
      </c>
      <c r="J2095" s="25">
        <v>501615</v>
      </c>
      <c r="K2095" s="26">
        <v>83814.42</v>
      </c>
      <c r="L2095" s="26">
        <v>665.39</v>
      </c>
    </row>
    <row r="2096" spans="1:12" ht="16" customHeight="1">
      <c r="A2096" t="s">
        <v>379</v>
      </c>
      <c r="B2096" t="s">
        <v>4</v>
      </c>
      <c r="C2096" t="s">
        <v>37</v>
      </c>
      <c r="D2096" s="24">
        <v>46054</v>
      </c>
      <c r="E2096" t="s">
        <v>387</v>
      </c>
      <c r="F2096" t="s">
        <v>4</v>
      </c>
      <c r="G2096" t="s">
        <v>217</v>
      </c>
      <c r="H2096" t="s">
        <v>217</v>
      </c>
      <c r="I2096" t="s">
        <v>221</v>
      </c>
      <c r="J2096" s="25">
        <v>40553</v>
      </c>
      <c r="K2096" s="26">
        <v>6835.97</v>
      </c>
      <c r="L2096" s="26">
        <v>78.069999999999993</v>
      </c>
    </row>
    <row r="2097" spans="1:12" ht="16" customHeight="1">
      <c r="A2097" t="s">
        <v>379</v>
      </c>
      <c r="B2097" t="s">
        <v>4</v>
      </c>
      <c r="C2097" t="s">
        <v>37</v>
      </c>
      <c r="D2097" s="24">
        <v>46054</v>
      </c>
      <c r="E2097" t="s">
        <v>226</v>
      </c>
      <c r="F2097" t="s">
        <v>4</v>
      </c>
      <c r="G2097" t="s">
        <v>217</v>
      </c>
      <c r="H2097" t="s">
        <v>217</v>
      </c>
      <c r="I2097" t="s">
        <v>300</v>
      </c>
      <c r="J2097" s="25">
        <v>28040</v>
      </c>
      <c r="K2097" s="26">
        <v>4778.2299999999996</v>
      </c>
      <c r="L2097" s="26">
        <v>64.900000000000006</v>
      </c>
    </row>
    <row r="2098" spans="1:12" ht="16" customHeight="1">
      <c r="A2098" t="s">
        <v>379</v>
      </c>
      <c r="B2098" t="s">
        <v>4</v>
      </c>
      <c r="C2098" t="s">
        <v>37</v>
      </c>
      <c r="D2098" s="24">
        <v>46054</v>
      </c>
      <c r="E2098" t="s">
        <v>269</v>
      </c>
      <c r="F2098" t="s">
        <v>4</v>
      </c>
      <c r="G2098" t="s">
        <v>217</v>
      </c>
      <c r="H2098" t="s">
        <v>217</v>
      </c>
      <c r="I2098" t="s">
        <v>301</v>
      </c>
      <c r="J2098" s="25">
        <v>2933</v>
      </c>
      <c r="K2098" s="26">
        <v>501.48</v>
      </c>
      <c r="L2098" s="26">
        <v>9.74</v>
      </c>
    </row>
    <row r="2099" spans="1:12" ht="16" customHeight="1">
      <c r="A2099" t="s">
        <v>379</v>
      </c>
      <c r="B2099" t="s">
        <v>4</v>
      </c>
      <c r="C2099" t="s">
        <v>37</v>
      </c>
      <c r="D2099" s="24">
        <v>46054</v>
      </c>
      <c r="E2099" t="s">
        <v>228</v>
      </c>
      <c r="F2099" t="s">
        <v>4</v>
      </c>
      <c r="G2099" t="s">
        <v>217</v>
      </c>
      <c r="H2099" t="s">
        <v>217</v>
      </c>
      <c r="I2099" t="s">
        <v>302</v>
      </c>
      <c r="J2099" s="25">
        <v>8248</v>
      </c>
      <c r="K2099" s="26">
        <v>1429.49</v>
      </c>
      <c r="L2099" s="26">
        <v>35.54</v>
      </c>
    </row>
    <row r="2100" spans="1:12" ht="16" customHeight="1">
      <c r="A2100" t="s">
        <v>379</v>
      </c>
      <c r="B2100" t="s">
        <v>4</v>
      </c>
      <c r="C2100" t="s">
        <v>37</v>
      </c>
      <c r="D2100" s="24">
        <v>46054</v>
      </c>
      <c r="E2100" t="s">
        <v>230</v>
      </c>
      <c r="F2100" t="s">
        <v>4</v>
      </c>
      <c r="G2100" t="s">
        <v>217</v>
      </c>
      <c r="H2100" t="s">
        <v>217</v>
      </c>
      <c r="I2100" t="s">
        <v>391</v>
      </c>
      <c r="J2100" s="25">
        <v>0</v>
      </c>
      <c r="K2100" s="26">
        <v>0</v>
      </c>
      <c r="L2100" s="26">
        <v>0</v>
      </c>
    </row>
    <row r="2101" spans="1:12" ht="16" customHeight="1">
      <c r="A2101" t="s">
        <v>379</v>
      </c>
      <c r="B2101" t="s">
        <v>4</v>
      </c>
      <c r="C2101" t="s">
        <v>37</v>
      </c>
      <c r="D2101" s="24">
        <v>46054</v>
      </c>
      <c r="E2101" t="s">
        <v>232</v>
      </c>
      <c r="F2101" t="s">
        <v>4</v>
      </c>
      <c r="G2101" t="s">
        <v>217</v>
      </c>
      <c r="H2101" t="s">
        <v>217</v>
      </c>
      <c r="I2101" t="s">
        <v>392</v>
      </c>
      <c r="J2101" s="25">
        <v>21</v>
      </c>
      <c r="K2101" s="26">
        <v>3.87</v>
      </c>
      <c r="L2101" s="26">
        <v>0.24</v>
      </c>
    </row>
    <row r="2102" spans="1:12" ht="16" customHeight="1">
      <c r="A2102" t="s">
        <v>379</v>
      </c>
      <c r="B2102" t="s">
        <v>4</v>
      </c>
      <c r="C2102" t="s">
        <v>37</v>
      </c>
      <c r="D2102" s="24">
        <v>46054</v>
      </c>
      <c r="E2102" t="s">
        <v>234</v>
      </c>
      <c r="F2102" t="s">
        <v>4</v>
      </c>
      <c r="G2102" t="s">
        <v>217</v>
      </c>
      <c r="H2102" t="s">
        <v>217</v>
      </c>
      <c r="I2102" t="s">
        <v>393</v>
      </c>
      <c r="J2102" s="25">
        <v>0</v>
      </c>
      <c r="K2102" s="26">
        <v>0</v>
      </c>
      <c r="L2102" s="26">
        <v>0</v>
      </c>
    </row>
    <row r="2103" spans="1:12" ht="16" customHeight="1">
      <c r="A2103" t="s">
        <v>379</v>
      </c>
      <c r="B2103" t="s">
        <v>4</v>
      </c>
      <c r="C2103" t="s">
        <v>37</v>
      </c>
      <c r="D2103" s="24">
        <v>46054</v>
      </c>
      <c r="E2103" t="s">
        <v>236</v>
      </c>
      <c r="F2103" t="s">
        <v>4</v>
      </c>
      <c r="G2103" t="s">
        <v>217</v>
      </c>
      <c r="H2103" t="s">
        <v>217</v>
      </c>
      <c r="I2103" t="s">
        <v>394</v>
      </c>
      <c r="J2103" s="25">
        <v>0</v>
      </c>
      <c r="K2103" s="26">
        <v>0</v>
      </c>
      <c r="L2103" s="26">
        <v>0</v>
      </c>
    </row>
    <row r="2104" spans="1:12" ht="16" customHeight="1">
      <c r="A2104" t="s">
        <v>379</v>
      </c>
      <c r="B2104" t="s">
        <v>4</v>
      </c>
      <c r="C2104" t="s">
        <v>37</v>
      </c>
      <c r="D2104" s="24">
        <v>46054</v>
      </c>
      <c r="E2104" t="s">
        <v>238</v>
      </c>
      <c r="F2104" t="s">
        <v>4</v>
      </c>
      <c r="G2104" t="s">
        <v>217</v>
      </c>
      <c r="H2104" t="s">
        <v>217</v>
      </c>
      <c r="I2104" t="s">
        <v>395</v>
      </c>
      <c r="J2104" s="25">
        <v>0</v>
      </c>
      <c r="K2104" s="26">
        <v>0</v>
      </c>
      <c r="L2104" s="26">
        <v>0</v>
      </c>
    </row>
    <row r="2105" spans="1:12" ht="16" customHeight="1">
      <c r="A2105" t="s">
        <v>379</v>
      </c>
      <c r="B2105" t="s">
        <v>4</v>
      </c>
      <c r="C2105" t="s">
        <v>37</v>
      </c>
      <c r="D2105" s="24">
        <v>46054</v>
      </c>
      <c r="E2105" t="s">
        <v>240</v>
      </c>
      <c r="F2105" t="s">
        <v>3</v>
      </c>
      <c r="G2105" t="s">
        <v>241</v>
      </c>
      <c r="H2105" t="s">
        <v>241</v>
      </c>
      <c r="I2105" t="s">
        <v>396</v>
      </c>
      <c r="J2105" s="25">
        <v>1</v>
      </c>
      <c r="K2105" s="26">
        <v>0.17</v>
      </c>
      <c r="L2105" s="26">
        <v>0</v>
      </c>
    </row>
    <row r="2106" spans="1:12" ht="16" customHeight="1">
      <c r="A2106" t="s">
        <v>379</v>
      </c>
      <c r="B2106" t="s">
        <v>4</v>
      </c>
      <c r="C2106" t="s">
        <v>37</v>
      </c>
      <c r="D2106" s="24">
        <v>46054</v>
      </c>
      <c r="E2106" t="s">
        <v>243</v>
      </c>
      <c r="F2106" t="s">
        <v>4</v>
      </c>
      <c r="G2106" t="s">
        <v>217</v>
      </c>
      <c r="H2106" t="s">
        <v>217</v>
      </c>
      <c r="I2106" t="s">
        <v>397</v>
      </c>
      <c r="J2106" s="25">
        <v>0</v>
      </c>
      <c r="K2106" s="26">
        <v>0</v>
      </c>
      <c r="L2106" s="26">
        <v>0</v>
      </c>
    </row>
    <row r="2107" spans="1:12" ht="16" customHeight="1">
      <c r="A2107" t="s">
        <v>379</v>
      </c>
      <c r="B2107" t="s">
        <v>4</v>
      </c>
      <c r="C2107" t="s">
        <v>37</v>
      </c>
      <c r="D2107" s="24">
        <v>46054</v>
      </c>
      <c r="E2107" t="s">
        <v>360</v>
      </c>
      <c r="F2107" t="s">
        <v>4</v>
      </c>
      <c r="G2107" t="s">
        <v>217</v>
      </c>
      <c r="H2107" t="s">
        <v>217</v>
      </c>
      <c r="I2107" t="s">
        <v>398</v>
      </c>
      <c r="J2107" s="25">
        <v>0</v>
      </c>
      <c r="K2107" s="26">
        <v>0</v>
      </c>
      <c r="L2107" s="26">
        <v>0</v>
      </c>
    </row>
    <row r="2108" spans="1:12" ht="16" customHeight="1">
      <c r="A2108" t="s">
        <v>410</v>
      </c>
      <c r="B2108" t="s">
        <v>5</v>
      </c>
      <c r="C2108" t="s">
        <v>37</v>
      </c>
      <c r="D2108" s="24">
        <v>46054</v>
      </c>
      <c r="E2108" t="s">
        <v>326</v>
      </c>
      <c r="F2108" t="s">
        <v>4</v>
      </c>
      <c r="G2108" t="s">
        <v>217</v>
      </c>
      <c r="H2108" t="s">
        <v>261</v>
      </c>
      <c r="I2108" t="s">
        <v>212</v>
      </c>
      <c r="J2108" s="25">
        <v>56224135</v>
      </c>
      <c r="K2108" s="26">
        <v>9431666.2699999996</v>
      </c>
      <c r="L2108" s="26">
        <v>31037.26</v>
      </c>
    </row>
    <row r="2109" spans="1:12" ht="16" customHeight="1">
      <c r="A2109" t="s">
        <v>410</v>
      </c>
      <c r="B2109" t="s">
        <v>5</v>
      </c>
      <c r="C2109" t="s">
        <v>37</v>
      </c>
      <c r="D2109" s="24">
        <v>46054</v>
      </c>
      <c r="E2109" t="s">
        <v>383</v>
      </c>
      <c r="F2109" t="s">
        <v>3</v>
      </c>
      <c r="G2109" t="s">
        <v>241</v>
      </c>
      <c r="H2109" t="s">
        <v>241</v>
      </c>
      <c r="I2109" t="s">
        <v>219</v>
      </c>
      <c r="J2109" s="25">
        <v>1359952</v>
      </c>
      <c r="K2109" s="26">
        <v>228499.84</v>
      </c>
      <c r="L2109" s="26">
        <v>1099.27</v>
      </c>
    </row>
    <row r="2110" spans="1:12" ht="16" customHeight="1">
      <c r="A2110" t="s">
        <v>410</v>
      </c>
      <c r="B2110" t="s">
        <v>5</v>
      </c>
      <c r="C2110" t="s">
        <v>37</v>
      </c>
      <c r="D2110" s="24">
        <v>46054</v>
      </c>
      <c r="E2110" t="s">
        <v>401</v>
      </c>
      <c r="F2110" t="s">
        <v>4</v>
      </c>
      <c r="G2110" t="s">
        <v>211</v>
      </c>
      <c r="H2110" t="s">
        <v>211</v>
      </c>
      <c r="I2110" t="s">
        <v>219</v>
      </c>
      <c r="J2110" s="25">
        <v>88430</v>
      </c>
      <c r="K2110" s="26">
        <v>14877.56</v>
      </c>
      <c r="L2110" s="26">
        <v>88.67</v>
      </c>
    </row>
    <row r="2111" spans="1:12" ht="16" customHeight="1">
      <c r="A2111" t="s">
        <v>410</v>
      </c>
      <c r="B2111" t="s">
        <v>5</v>
      </c>
      <c r="C2111" t="s">
        <v>37</v>
      </c>
      <c r="D2111" s="24">
        <v>46054</v>
      </c>
      <c r="E2111" t="s">
        <v>406</v>
      </c>
      <c r="F2111" t="s">
        <v>4</v>
      </c>
      <c r="G2111" t="s">
        <v>211</v>
      </c>
      <c r="H2111" t="s">
        <v>211</v>
      </c>
      <c r="I2111" t="s">
        <v>219</v>
      </c>
      <c r="J2111" s="25">
        <v>11834</v>
      </c>
      <c r="K2111" s="26">
        <v>1987.16</v>
      </c>
      <c r="L2111" s="26">
        <v>12.63</v>
      </c>
    </row>
    <row r="2112" spans="1:12" ht="16" customHeight="1">
      <c r="A2112" t="s">
        <v>410</v>
      </c>
      <c r="B2112" t="s">
        <v>5</v>
      </c>
      <c r="C2112" t="s">
        <v>37</v>
      </c>
      <c r="D2112" s="24">
        <v>46054</v>
      </c>
      <c r="E2112" t="s">
        <v>411</v>
      </c>
      <c r="F2112" t="s">
        <v>4</v>
      </c>
      <c r="G2112" t="s">
        <v>211</v>
      </c>
      <c r="H2112" t="s">
        <v>211</v>
      </c>
      <c r="I2112" t="s">
        <v>219</v>
      </c>
      <c r="J2112" s="25">
        <v>2885</v>
      </c>
      <c r="K2112" s="26">
        <v>485.45</v>
      </c>
      <c r="L2112" s="26">
        <v>4.63</v>
      </c>
    </row>
    <row r="2113" spans="1:12" ht="16" customHeight="1">
      <c r="A2113" t="s">
        <v>410</v>
      </c>
      <c r="B2113" t="s">
        <v>5</v>
      </c>
      <c r="C2113" t="s">
        <v>37</v>
      </c>
      <c r="D2113" s="24">
        <v>46054</v>
      </c>
      <c r="E2113" t="s">
        <v>357</v>
      </c>
      <c r="F2113" t="s">
        <v>3</v>
      </c>
      <c r="G2113" t="s">
        <v>358</v>
      </c>
      <c r="H2113" t="s">
        <v>358</v>
      </c>
      <c r="I2113" t="s">
        <v>219</v>
      </c>
      <c r="J2113" s="25">
        <v>490459</v>
      </c>
      <c r="K2113" s="26">
        <v>82443.25</v>
      </c>
      <c r="L2113" s="26">
        <v>695.15</v>
      </c>
    </row>
    <row r="2114" spans="1:12" ht="16" customHeight="1">
      <c r="A2114" t="s">
        <v>410</v>
      </c>
      <c r="B2114" t="s">
        <v>5</v>
      </c>
      <c r="C2114" t="s">
        <v>37</v>
      </c>
      <c r="D2114" s="24">
        <v>46054</v>
      </c>
      <c r="E2114" t="s">
        <v>387</v>
      </c>
      <c r="F2114" t="s">
        <v>4</v>
      </c>
      <c r="G2114" t="s">
        <v>217</v>
      </c>
      <c r="H2114" t="s">
        <v>217</v>
      </c>
      <c r="I2114" t="s">
        <v>221</v>
      </c>
      <c r="J2114" s="25">
        <v>44976</v>
      </c>
      <c r="K2114" s="26">
        <v>7596.87</v>
      </c>
      <c r="L2114" s="26">
        <v>78.900000000000006</v>
      </c>
    </row>
    <row r="2115" spans="1:12" ht="16" customHeight="1">
      <c r="A2115" t="s">
        <v>410</v>
      </c>
      <c r="B2115" t="s">
        <v>5</v>
      </c>
      <c r="C2115" t="s">
        <v>37</v>
      </c>
      <c r="D2115" s="24">
        <v>46054</v>
      </c>
      <c r="E2115" t="s">
        <v>226</v>
      </c>
      <c r="F2115" t="s">
        <v>4</v>
      </c>
      <c r="G2115" t="s">
        <v>217</v>
      </c>
      <c r="H2115" t="s">
        <v>217</v>
      </c>
      <c r="I2115" t="s">
        <v>300</v>
      </c>
      <c r="J2115" s="25">
        <v>41257</v>
      </c>
      <c r="K2115" s="26">
        <v>7011.94</v>
      </c>
      <c r="L2115" s="26">
        <v>118.36</v>
      </c>
    </row>
    <row r="2116" spans="1:12" ht="16" customHeight="1">
      <c r="A2116" t="s">
        <v>410</v>
      </c>
      <c r="B2116" t="s">
        <v>5</v>
      </c>
      <c r="C2116" t="s">
        <v>37</v>
      </c>
      <c r="D2116" s="24">
        <v>46054</v>
      </c>
      <c r="E2116" t="s">
        <v>269</v>
      </c>
      <c r="F2116" t="s">
        <v>4</v>
      </c>
      <c r="G2116" t="s">
        <v>217</v>
      </c>
      <c r="H2116" t="s">
        <v>217</v>
      </c>
      <c r="I2116" t="s">
        <v>301</v>
      </c>
      <c r="J2116" s="25">
        <v>6494</v>
      </c>
      <c r="K2116" s="26">
        <v>1144.6300000000001</v>
      </c>
      <c r="L2116" s="26">
        <v>27.48</v>
      </c>
    </row>
    <row r="2117" spans="1:12" ht="16" customHeight="1">
      <c r="A2117" t="s">
        <v>410</v>
      </c>
      <c r="B2117" t="s">
        <v>5</v>
      </c>
      <c r="C2117" t="s">
        <v>37</v>
      </c>
      <c r="D2117" s="24">
        <v>46054</v>
      </c>
      <c r="E2117" t="s">
        <v>228</v>
      </c>
      <c r="F2117" t="s">
        <v>4</v>
      </c>
      <c r="G2117" t="s">
        <v>217</v>
      </c>
      <c r="H2117" t="s">
        <v>217</v>
      </c>
      <c r="I2117" t="s">
        <v>302</v>
      </c>
      <c r="J2117" s="25">
        <v>14560</v>
      </c>
      <c r="K2117" s="26">
        <v>2643.85</v>
      </c>
      <c r="L2117" s="26">
        <v>52.52</v>
      </c>
    </row>
    <row r="2118" spans="1:12" ht="16" customHeight="1">
      <c r="A2118" t="s">
        <v>410</v>
      </c>
      <c r="B2118" t="s">
        <v>5</v>
      </c>
      <c r="C2118" t="s">
        <v>37</v>
      </c>
      <c r="D2118" s="24">
        <v>46054</v>
      </c>
      <c r="E2118" t="s">
        <v>230</v>
      </c>
      <c r="F2118" t="s">
        <v>4</v>
      </c>
      <c r="G2118" t="s">
        <v>217</v>
      </c>
      <c r="H2118" t="s">
        <v>217</v>
      </c>
      <c r="I2118" t="s">
        <v>391</v>
      </c>
      <c r="J2118" s="25">
        <v>0</v>
      </c>
      <c r="K2118" s="26">
        <v>0</v>
      </c>
      <c r="L2118" s="26">
        <v>0</v>
      </c>
    </row>
    <row r="2119" spans="1:12" ht="16" customHeight="1">
      <c r="A2119" t="s">
        <v>410</v>
      </c>
      <c r="B2119" t="s">
        <v>5</v>
      </c>
      <c r="C2119" t="s">
        <v>37</v>
      </c>
      <c r="D2119" s="24">
        <v>46054</v>
      </c>
      <c r="E2119" t="s">
        <v>232</v>
      </c>
      <c r="F2119" t="s">
        <v>4</v>
      </c>
      <c r="G2119" t="s">
        <v>217</v>
      </c>
      <c r="H2119" t="s">
        <v>217</v>
      </c>
      <c r="I2119" t="s">
        <v>392</v>
      </c>
      <c r="J2119" s="25">
        <v>35</v>
      </c>
      <c r="K2119" s="26">
        <v>5.96</v>
      </c>
      <c r="L2119" s="26">
        <v>0.28999999999999998</v>
      </c>
    </row>
    <row r="2120" spans="1:12" ht="16" customHeight="1">
      <c r="A2120" t="s">
        <v>410</v>
      </c>
      <c r="B2120" t="s">
        <v>5</v>
      </c>
      <c r="C2120" t="s">
        <v>37</v>
      </c>
      <c r="D2120" s="24">
        <v>46054</v>
      </c>
      <c r="E2120" t="s">
        <v>234</v>
      </c>
      <c r="F2120" t="s">
        <v>4</v>
      </c>
      <c r="G2120" t="s">
        <v>217</v>
      </c>
      <c r="H2120" t="s">
        <v>217</v>
      </c>
      <c r="I2120" t="s">
        <v>393</v>
      </c>
      <c r="J2120" s="25">
        <v>0</v>
      </c>
      <c r="K2120" s="26">
        <v>0</v>
      </c>
      <c r="L2120" s="26">
        <v>0</v>
      </c>
    </row>
    <row r="2121" spans="1:12" ht="16" customHeight="1">
      <c r="A2121" t="s">
        <v>410</v>
      </c>
      <c r="B2121" t="s">
        <v>5</v>
      </c>
      <c r="C2121" t="s">
        <v>37</v>
      </c>
      <c r="D2121" s="24">
        <v>46054</v>
      </c>
      <c r="E2121" t="s">
        <v>236</v>
      </c>
      <c r="F2121" t="s">
        <v>4</v>
      </c>
      <c r="G2121" t="s">
        <v>217</v>
      </c>
      <c r="H2121" t="s">
        <v>217</v>
      </c>
      <c r="I2121" t="s">
        <v>394</v>
      </c>
      <c r="J2121" s="25">
        <v>0</v>
      </c>
      <c r="K2121" s="26">
        <v>0</v>
      </c>
      <c r="L2121" s="26">
        <v>0</v>
      </c>
    </row>
    <row r="2122" spans="1:12" ht="16" customHeight="1">
      <c r="A2122" t="s">
        <v>410</v>
      </c>
      <c r="B2122" t="s">
        <v>5</v>
      </c>
      <c r="C2122" t="s">
        <v>37</v>
      </c>
      <c r="D2122" s="24">
        <v>46054</v>
      </c>
      <c r="E2122" t="s">
        <v>238</v>
      </c>
      <c r="F2122" t="s">
        <v>4</v>
      </c>
      <c r="G2122" t="s">
        <v>217</v>
      </c>
      <c r="H2122" t="s">
        <v>217</v>
      </c>
      <c r="I2122" t="s">
        <v>395</v>
      </c>
      <c r="J2122" s="25">
        <v>0</v>
      </c>
      <c r="K2122" s="26">
        <v>0</v>
      </c>
      <c r="L2122" s="26">
        <v>0</v>
      </c>
    </row>
    <row r="2123" spans="1:12" ht="16" customHeight="1">
      <c r="A2123" t="s">
        <v>410</v>
      </c>
      <c r="B2123" t="s">
        <v>5</v>
      </c>
      <c r="C2123" t="s">
        <v>37</v>
      </c>
      <c r="D2123" s="24">
        <v>46054</v>
      </c>
      <c r="E2123" t="s">
        <v>240</v>
      </c>
      <c r="F2123" t="s">
        <v>3</v>
      </c>
      <c r="G2123" t="s">
        <v>241</v>
      </c>
      <c r="H2123" t="s">
        <v>241</v>
      </c>
      <c r="I2123" t="s">
        <v>396</v>
      </c>
      <c r="J2123" s="25">
        <v>0</v>
      </c>
      <c r="K2123" s="26">
        <v>0</v>
      </c>
      <c r="L2123" s="26">
        <v>0</v>
      </c>
    </row>
    <row r="2124" spans="1:12" ht="16" customHeight="1">
      <c r="A2124" t="s">
        <v>410</v>
      </c>
      <c r="B2124" t="s">
        <v>5</v>
      </c>
      <c r="C2124" t="s">
        <v>37</v>
      </c>
      <c r="D2124" s="24">
        <v>46054</v>
      </c>
      <c r="E2124" t="s">
        <v>243</v>
      </c>
      <c r="F2124" t="s">
        <v>4</v>
      </c>
      <c r="G2124" t="s">
        <v>217</v>
      </c>
      <c r="H2124" t="s">
        <v>217</v>
      </c>
      <c r="I2124" t="s">
        <v>397</v>
      </c>
      <c r="J2124" s="25">
        <v>0</v>
      </c>
      <c r="K2124" s="26">
        <v>0</v>
      </c>
      <c r="L2124" s="26">
        <v>0</v>
      </c>
    </row>
    <row r="2125" spans="1:12" ht="16" customHeight="1">
      <c r="A2125" t="s">
        <v>410</v>
      </c>
      <c r="B2125" t="s">
        <v>5</v>
      </c>
      <c r="C2125" t="s">
        <v>37</v>
      </c>
      <c r="D2125" s="24">
        <v>46054</v>
      </c>
      <c r="E2125" t="s">
        <v>360</v>
      </c>
      <c r="F2125" t="s">
        <v>4</v>
      </c>
      <c r="G2125" t="s">
        <v>217</v>
      </c>
      <c r="H2125" t="s">
        <v>217</v>
      </c>
      <c r="I2125" t="s">
        <v>398</v>
      </c>
      <c r="J2125" s="25">
        <v>0</v>
      </c>
      <c r="K2125" s="26">
        <v>0</v>
      </c>
      <c r="L2125" s="26">
        <v>0</v>
      </c>
    </row>
    <row r="2126" spans="1:12" ht="16" customHeight="1">
      <c r="A2126" t="s">
        <v>412</v>
      </c>
      <c r="B2126" t="s">
        <v>6</v>
      </c>
      <c r="C2126" t="s">
        <v>37</v>
      </c>
      <c r="D2126" s="24">
        <v>46054</v>
      </c>
      <c r="E2126" t="s">
        <v>326</v>
      </c>
      <c r="F2126" t="s">
        <v>4</v>
      </c>
      <c r="G2126" t="s">
        <v>217</v>
      </c>
      <c r="H2126" t="s">
        <v>261</v>
      </c>
      <c r="I2126" t="s">
        <v>212</v>
      </c>
      <c r="J2126" s="25">
        <v>67332820</v>
      </c>
      <c r="K2126" s="26">
        <v>11275969.24</v>
      </c>
      <c r="L2126" s="26">
        <v>34178.06</v>
      </c>
    </row>
    <row r="2127" spans="1:12" ht="16" customHeight="1">
      <c r="A2127" t="s">
        <v>412</v>
      </c>
      <c r="B2127" t="s">
        <v>6</v>
      </c>
      <c r="C2127" t="s">
        <v>37</v>
      </c>
      <c r="D2127" s="24">
        <v>46054</v>
      </c>
      <c r="E2127" t="s">
        <v>383</v>
      </c>
      <c r="F2127" t="s">
        <v>3</v>
      </c>
      <c r="G2127" t="s">
        <v>241</v>
      </c>
      <c r="H2127" t="s">
        <v>241</v>
      </c>
      <c r="I2127" t="s">
        <v>219</v>
      </c>
      <c r="J2127" s="25">
        <v>2484734</v>
      </c>
      <c r="K2127" s="26">
        <v>416478.91</v>
      </c>
      <c r="L2127" s="26">
        <v>1941.54</v>
      </c>
    </row>
    <row r="2128" spans="1:12" ht="16" customHeight="1">
      <c r="A2128" t="s">
        <v>412</v>
      </c>
      <c r="B2128" t="s">
        <v>6</v>
      </c>
      <c r="C2128" t="s">
        <v>37</v>
      </c>
      <c r="D2128" s="24">
        <v>46054</v>
      </c>
      <c r="E2128" t="s">
        <v>401</v>
      </c>
      <c r="F2128" t="s">
        <v>4</v>
      </c>
      <c r="G2128" t="s">
        <v>211</v>
      </c>
      <c r="H2128" t="s">
        <v>211</v>
      </c>
      <c r="I2128" t="s">
        <v>219</v>
      </c>
      <c r="J2128" s="25">
        <v>200350</v>
      </c>
      <c r="K2128" s="26">
        <v>33621.5</v>
      </c>
      <c r="L2128" s="26">
        <v>213.19</v>
      </c>
    </row>
    <row r="2129" spans="1:12" ht="16" customHeight="1">
      <c r="A2129" t="s">
        <v>412</v>
      </c>
      <c r="B2129" t="s">
        <v>6</v>
      </c>
      <c r="C2129" t="s">
        <v>37</v>
      </c>
      <c r="D2129" s="24">
        <v>46054</v>
      </c>
      <c r="E2129" t="s">
        <v>406</v>
      </c>
      <c r="F2129" t="s">
        <v>4</v>
      </c>
      <c r="G2129" t="s">
        <v>211</v>
      </c>
      <c r="H2129" t="s">
        <v>211</v>
      </c>
      <c r="I2129" t="s">
        <v>219</v>
      </c>
      <c r="J2129" s="25">
        <v>24727</v>
      </c>
      <c r="K2129" s="26">
        <v>4168.47</v>
      </c>
      <c r="L2129" s="26">
        <v>28.64</v>
      </c>
    </row>
    <row r="2130" spans="1:12" ht="16" customHeight="1">
      <c r="A2130" t="s">
        <v>412</v>
      </c>
      <c r="B2130" t="s">
        <v>6</v>
      </c>
      <c r="C2130" t="s">
        <v>37</v>
      </c>
      <c r="D2130" s="24">
        <v>46054</v>
      </c>
      <c r="E2130" t="s">
        <v>411</v>
      </c>
      <c r="F2130" t="s">
        <v>4</v>
      </c>
      <c r="G2130" t="s">
        <v>211</v>
      </c>
      <c r="H2130" t="s">
        <v>211</v>
      </c>
      <c r="I2130" t="s">
        <v>219</v>
      </c>
      <c r="J2130" s="25">
        <v>11556</v>
      </c>
      <c r="K2130" s="26">
        <v>1935.19</v>
      </c>
      <c r="L2130" s="26">
        <v>16.53</v>
      </c>
    </row>
    <row r="2131" spans="1:12" ht="16" customHeight="1">
      <c r="A2131" t="s">
        <v>412</v>
      </c>
      <c r="B2131" t="s">
        <v>6</v>
      </c>
      <c r="C2131" t="s">
        <v>37</v>
      </c>
      <c r="D2131" s="24">
        <v>46054</v>
      </c>
      <c r="E2131" t="s">
        <v>357</v>
      </c>
      <c r="F2131" t="s">
        <v>3</v>
      </c>
      <c r="G2131" t="s">
        <v>358</v>
      </c>
      <c r="H2131" t="s">
        <v>358</v>
      </c>
      <c r="I2131" t="s">
        <v>219</v>
      </c>
      <c r="J2131" s="25">
        <v>986317</v>
      </c>
      <c r="K2131" s="26">
        <v>165806.01999999999</v>
      </c>
      <c r="L2131" s="26">
        <v>1486.23</v>
      </c>
    </row>
    <row r="2132" spans="1:12" ht="16" customHeight="1">
      <c r="A2132" t="s">
        <v>412</v>
      </c>
      <c r="B2132" t="s">
        <v>6</v>
      </c>
      <c r="C2132" t="s">
        <v>37</v>
      </c>
      <c r="D2132" s="24">
        <v>46054</v>
      </c>
      <c r="E2132" t="s">
        <v>387</v>
      </c>
      <c r="F2132" t="s">
        <v>4</v>
      </c>
      <c r="G2132" t="s">
        <v>217</v>
      </c>
      <c r="H2132" t="s">
        <v>217</v>
      </c>
      <c r="I2132" t="s">
        <v>221</v>
      </c>
      <c r="J2132" s="25">
        <v>84827</v>
      </c>
      <c r="K2132" s="26">
        <v>14291.37</v>
      </c>
      <c r="L2132" s="26">
        <v>150.71</v>
      </c>
    </row>
    <row r="2133" spans="1:12" ht="16" customHeight="1">
      <c r="A2133" t="s">
        <v>412</v>
      </c>
      <c r="B2133" t="s">
        <v>6</v>
      </c>
      <c r="C2133" t="s">
        <v>37</v>
      </c>
      <c r="D2133" s="24">
        <v>46054</v>
      </c>
      <c r="E2133" t="s">
        <v>226</v>
      </c>
      <c r="F2133" t="s">
        <v>4</v>
      </c>
      <c r="G2133" t="s">
        <v>217</v>
      </c>
      <c r="H2133" t="s">
        <v>217</v>
      </c>
      <c r="I2133" t="s">
        <v>300</v>
      </c>
      <c r="J2133" s="25">
        <v>53434</v>
      </c>
      <c r="K2133" s="26">
        <v>9164.43</v>
      </c>
      <c r="L2133" s="26">
        <v>151.65</v>
      </c>
    </row>
    <row r="2134" spans="1:12" ht="16" customHeight="1">
      <c r="A2134" t="s">
        <v>412</v>
      </c>
      <c r="B2134" t="s">
        <v>6</v>
      </c>
      <c r="C2134" t="s">
        <v>37</v>
      </c>
      <c r="D2134" s="24">
        <v>46054</v>
      </c>
      <c r="E2134" t="s">
        <v>269</v>
      </c>
      <c r="F2134" t="s">
        <v>4</v>
      </c>
      <c r="G2134" t="s">
        <v>217</v>
      </c>
      <c r="H2134" t="s">
        <v>217</v>
      </c>
      <c r="I2134" t="s">
        <v>301</v>
      </c>
      <c r="J2134" s="25">
        <v>7837</v>
      </c>
      <c r="K2134" s="26">
        <v>1315</v>
      </c>
      <c r="L2134" s="26">
        <v>23.77</v>
      </c>
    </row>
    <row r="2135" spans="1:12" ht="16" customHeight="1">
      <c r="A2135" t="s">
        <v>412</v>
      </c>
      <c r="B2135" t="s">
        <v>6</v>
      </c>
      <c r="C2135" t="s">
        <v>37</v>
      </c>
      <c r="D2135" s="24">
        <v>46054</v>
      </c>
      <c r="E2135" t="s">
        <v>228</v>
      </c>
      <c r="F2135" t="s">
        <v>4</v>
      </c>
      <c r="G2135" t="s">
        <v>217</v>
      </c>
      <c r="H2135" t="s">
        <v>217</v>
      </c>
      <c r="I2135" t="s">
        <v>302</v>
      </c>
      <c r="J2135" s="25">
        <v>22930</v>
      </c>
      <c r="K2135" s="26">
        <v>3922.84</v>
      </c>
      <c r="L2135" s="26">
        <v>95.05</v>
      </c>
    </row>
    <row r="2136" spans="1:12" ht="16" customHeight="1">
      <c r="A2136" t="s">
        <v>412</v>
      </c>
      <c r="B2136" t="s">
        <v>6</v>
      </c>
      <c r="C2136" t="s">
        <v>37</v>
      </c>
      <c r="D2136" s="24">
        <v>46054</v>
      </c>
      <c r="E2136" t="s">
        <v>230</v>
      </c>
      <c r="F2136" t="s">
        <v>4</v>
      </c>
      <c r="G2136" t="s">
        <v>217</v>
      </c>
      <c r="H2136" t="s">
        <v>217</v>
      </c>
      <c r="I2136" t="s">
        <v>391</v>
      </c>
      <c r="J2136" s="25">
        <v>0</v>
      </c>
      <c r="K2136" s="26">
        <v>0</v>
      </c>
      <c r="L2136" s="26">
        <v>0</v>
      </c>
    </row>
    <row r="2137" spans="1:12" ht="16" customHeight="1">
      <c r="A2137" t="s">
        <v>412</v>
      </c>
      <c r="B2137" t="s">
        <v>6</v>
      </c>
      <c r="C2137" t="s">
        <v>37</v>
      </c>
      <c r="D2137" s="24">
        <v>46054</v>
      </c>
      <c r="E2137" t="s">
        <v>232</v>
      </c>
      <c r="F2137" t="s">
        <v>4</v>
      </c>
      <c r="G2137" t="s">
        <v>217</v>
      </c>
      <c r="H2137" t="s">
        <v>217</v>
      </c>
      <c r="I2137" t="s">
        <v>392</v>
      </c>
      <c r="J2137" s="25">
        <v>52</v>
      </c>
      <c r="K2137" s="26">
        <v>9.1</v>
      </c>
      <c r="L2137" s="26">
        <v>0.38</v>
      </c>
    </row>
    <row r="2138" spans="1:12" ht="16" customHeight="1">
      <c r="A2138" t="s">
        <v>412</v>
      </c>
      <c r="B2138" t="s">
        <v>6</v>
      </c>
      <c r="C2138" t="s">
        <v>37</v>
      </c>
      <c r="D2138" s="24">
        <v>46054</v>
      </c>
      <c r="E2138" t="s">
        <v>234</v>
      </c>
      <c r="F2138" t="s">
        <v>4</v>
      </c>
      <c r="G2138" t="s">
        <v>217</v>
      </c>
      <c r="H2138" t="s">
        <v>217</v>
      </c>
      <c r="I2138" t="s">
        <v>393</v>
      </c>
      <c r="J2138" s="25">
        <v>0</v>
      </c>
      <c r="K2138" s="26">
        <v>0</v>
      </c>
      <c r="L2138" s="26">
        <v>0</v>
      </c>
    </row>
    <row r="2139" spans="1:12" ht="16" customHeight="1">
      <c r="A2139" t="s">
        <v>412</v>
      </c>
      <c r="B2139" t="s">
        <v>6</v>
      </c>
      <c r="C2139" t="s">
        <v>37</v>
      </c>
      <c r="D2139" s="24">
        <v>46054</v>
      </c>
      <c r="E2139" t="s">
        <v>236</v>
      </c>
      <c r="F2139" t="s">
        <v>4</v>
      </c>
      <c r="G2139" t="s">
        <v>217</v>
      </c>
      <c r="H2139" t="s">
        <v>217</v>
      </c>
      <c r="I2139" t="s">
        <v>394</v>
      </c>
      <c r="J2139" s="25">
        <v>0</v>
      </c>
      <c r="K2139" s="26">
        <v>0</v>
      </c>
      <c r="L2139" s="26">
        <v>0</v>
      </c>
    </row>
    <row r="2140" spans="1:12" ht="16" customHeight="1">
      <c r="A2140" t="s">
        <v>412</v>
      </c>
      <c r="B2140" t="s">
        <v>6</v>
      </c>
      <c r="C2140" t="s">
        <v>37</v>
      </c>
      <c r="D2140" s="24">
        <v>46054</v>
      </c>
      <c r="E2140" t="s">
        <v>238</v>
      </c>
      <c r="F2140" t="s">
        <v>4</v>
      </c>
      <c r="G2140" t="s">
        <v>217</v>
      </c>
      <c r="H2140" t="s">
        <v>217</v>
      </c>
      <c r="I2140" t="s">
        <v>395</v>
      </c>
      <c r="J2140" s="25">
        <v>0</v>
      </c>
      <c r="K2140" s="26">
        <v>0</v>
      </c>
      <c r="L2140" s="26">
        <v>0</v>
      </c>
    </row>
    <row r="2141" spans="1:12" ht="16" customHeight="1">
      <c r="A2141" t="s">
        <v>412</v>
      </c>
      <c r="B2141" t="s">
        <v>6</v>
      </c>
      <c r="C2141" t="s">
        <v>37</v>
      </c>
      <c r="D2141" s="24">
        <v>46054</v>
      </c>
      <c r="E2141" t="s">
        <v>240</v>
      </c>
      <c r="F2141" t="s">
        <v>3</v>
      </c>
      <c r="G2141" t="s">
        <v>241</v>
      </c>
      <c r="H2141" t="s">
        <v>241</v>
      </c>
      <c r="I2141" t="s">
        <v>396</v>
      </c>
      <c r="J2141" s="25">
        <v>0</v>
      </c>
      <c r="K2141" s="26">
        <v>0</v>
      </c>
      <c r="L2141" s="26">
        <v>0</v>
      </c>
    </row>
    <row r="2142" spans="1:12" ht="16" customHeight="1">
      <c r="A2142" t="s">
        <v>412</v>
      </c>
      <c r="B2142" t="s">
        <v>6</v>
      </c>
      <c r="C2142" t="s">
        <v>37</v>
      </c>
      <c r="D2142" s="24">
        <v>46054</v>
      </c>
      <c r="E2142" t="s">
        <v>243</v>
      </c>
      <c r="F2142" t="s">
        <v>4</v>
      </c>
      <c r="G2142" t="s">
        <v>217</v>
      </c>
      <c r="H2142" t="s">
        <v>217</v>
      </c>
      <c r="I2142" t="s">
        <v>397</v>
      </c>
      <c r="J2142" s="25">
        <v>0</v>
      </c>
      <c r="K2142" s="26">
        <v>0</v>
      </c>
      <c r="L2142" s="26">
        <v>0</v>
      </c>
    </row>
    <row r="2143" spans="1:12" ht="16" customHeight="1">
      <c r="A2143" t="s">
        <v>412</v>
      </c>
      <c r="B2143" t="s">
        <v>6</v>
      </c>
      <c r="C2143" t="s">
        <v>37</v>
      </c>
      <c r="D2143" s="24">
        <v>46054</v>
      </c>
      <c r="E2143" t="s">
        <v>360</v>
      </c>
      <c r="F2143" t="s">
        <v>4</v>
      </c>
      <c r="G2143" t="s">
        <v>217</v>
      </c>
      <c r="H2143" t="s">
        <v>217</v>
      </c>
      <c r="I2143" t="s">
        <v>398</v>
      </c>
      <c r="J2143" s="25">
        <v>0</v>
      </c>
      <c r="K2143" s="26">
        <v>0</v>
      </c>
      <c r="L2143" s="26">
        <v>0</v>
      </c>
    </row>
    <row r="2144" spans="1:12" ht="16" customHeight="1">
      <c r="A2144" t="s">
        <v>413</v>
      </c>
      <c r="B2144" t="s">
        <v>7</v>
      </c>
      <c r="C2144" t="s">
        <v>37</v>
      </c>
      <c r="D2144" s="24">
        <v>46054</v>
      </c>
      <c r="E2144" t="s">
        <v>326</v>
      </c>
      <c r="F2144" t="s">
        <v>4</v>
      </c>
      <c r="G2144" t="s">
        <v>217</v>
      </c>
      <c r="H2144" t="s">
        <v>261</v>
      </c>
      <c r="I2144" t="s">
        <v>212</v>
      </c>
      <c r="J2144" s="25">
        <v>120809966</v>
      </c>
      <c r="K2144" s="26">
        <v>20137656.66</v>
      </c>
      <c r="L2144" s="26">
        <v>63648.25</v>
      </c>
    </row>
    <row r="2145" spans="1:12" ht="16" customHeight="1">
      <c r="A2145" t="s">
        <v>413</v>
      </c>
      <c r="B2145" t="s">
        <v>7</v>
      </c>
      <c r="C2145" t="s">
        <v>37</v>
      </c>
      <c r="D2145" s="24">
        <v>46054</v>
      </c>
      <c r="E2145" t="s">
        <v>383</v>
      </c>
      <c r="F2145" t="s">
        <v>3</v>
      </c>
      <c r="G2145" t="s">
        <v>241</v>
      </c>
      <c r="H2145" t="s">
        <v>241</v>
      </c>
      <c r="I2145" t="s">
        <v>219</v>
      </c>
      <c r="J2145" s="25">
        <v>3557007</v>
      </c>
      <c r="K2145" s="26">
        <v>594610.24</v>
      </c>
      <c r="L2145" s="26">
        <v>2905.72</v>
      </c>
    </row>
    <row r="2146" spans="1:12" ht="16" customHeight="1">
      <c r="A2146" t="s">
        <v>413</v>
      </c>
      <c r="B2146" t="s">
        <v>7</v>
      </c>
      <c r="C2146" t="s">
        <v>37</v>
      </c>
      <c r="D2146" s="24">
        <v>46054</v>
      </c>
      <c r="E2146" t="s">
        <v>401</v>
      </c>
      <c r="F2146" t="s">
        <v>4</v>
      </c>
      <c r="G2146" t="s">
        <v>211</v>
      </c>
      <c r="H2146" t="s">
        <v>211</v>
      </c>
      <c r="I2146" t="s">
        <v>219</v>
      </c>
      <c r="J2146" s="25">
        <v>304227</v>
      </c>
      <c r="K2146" s="26">
        <v>50979.839999999997</v>
      </c>
      <c r="L2146" s="26">
        <v>339.85</v>
      </c>
    </row>
    <row r="2147" spans="1:12" ht="16" customHeight="1">
      <c r="A2147" t="s">
        <v>413</v>
      </c>
      <c r="B2147" t="s">
        <v>7</v>
      </c>
      <c r="C2147" t="s">
        <v>37</v>
      </c>
      <c r="D2147" s="24">
        <v>46054</v>
      </c>
      <c r="E2147" t="s">
        <v>406</v>
      </c>
      <c r="F2147" t="s">
        <v>4</v>
      </c>
      <c r="G2147" t="s">
        <v>211</v>
      </c>
      <c r="H2147" t="s">
        <v>211</v>
      </c>
      <c r="I2147" t="s">
        <v>219</v>
      </c>
      <c r="J2147" s="25">
        <v>25704</v>
      </c>
      <c r="K2147" s="26">
        <v>4306.37</v>
      </c>
      <c r="L2147" s="26">
        <v>33.15</v>
      </c>
    </row>
    <row r="2148" spans="1:12" ht="16" customHeight="1">
      <c r="A2148" t="s">
        <v>413</v>
      </c>
      <c r="B2148" t="s">
        <v>7</v>
      </c>
      <c r="C2148" t="s">
        <v>37</v>
      </c>
      <c r="D2148" s="24">
        <v>46054</v>
      </c>
      <c r="E2148" t="s">
        <v>411</v>
      </c>
      <c r="F2148" t="s">
        <v>4</v>
      </c>
      <c r="G2148" t="s">
        <v>211</v>
      </c>
      <c r="H2148" t="s">
        <v>211</v>
      </c>
      <c r="I2148" t="s">
        <v>219</v>
      </c>
      <c r="J2148" s="25">
        <v>17965</v>
      </c>
      <c r="K2148" s="26">
        <v>3010.48</v>
      </c>
      <c r="L2148" s="26">
        <v>27.77</v>
      </c>
    </row>
    <row r="2149" spans="1:12" ht="16" customHeight="1">
      <c r="A2149" t="s">
        <v>413</v>
      </c>
      <c r="B2149" t="s">
        <v>7</v>
      </c>
      <c r="C2149" t="s">
        <v>37</v>
      </c>
      <c r="D2149" s="24">
        <v>46054</v>
      </c>
      <c r="E2149" t="s">
        <v>357</v>
      </c>
      <c r="F2149" t="s">
        <v>3</v>
      </c>
      <c r="G2149" t="s">
        <v>358</v>
      </c>
      <c r="H2149" t="s">
        <v>358</v>
      </c>
      <c r="I2149" t="s">
        <v>219</v>
      </c>
      <c r="J2149" s="25">
        <v>995528</v>
      </c>
      <c r="K2149" s="26">
        <v>166610.63</v>
      </c>
      <c r="L2149" s="26">
        <v>1515.69</v>
      </c>
    </row>
    <row r="2150" spans="1:12" ht="16" customHeight="1">
      <c r="A2150" t="s">
        <v>413</v>
      </c>
      <c r="B2150" t="s">
        <v>7</v>
      </c>
      <c r="C2150" t="s">
        <v>37</v>
      </c>
      <c r="D2150" s="24">
        <v>46054</v>
      </c>
      <c r="E2150" t="s">
        <v>387</v>
      </c>
      <c r="F2150" t="s">
        <v>4</v>
      </c>
      <c r="G2150" t="s">
        <v>217</v>
      </c>
      <c r="H2150" t="s">
        <v>217</v>
      </c>
      <c r="I2150" t="s">
        <v>221</v>
      </c>
      <c r="J2150" s="25">
        <v>84787</v>
      </c>
      <c r="K2150" s="26">
        <v>14323.2</v>
      </c>
      <c r="L2150" s="26">
        <v>149.71</v>
      </c>
    </row>
    <row r="2151" spans="1:12" ht="16" customHeight="1">
      <c r="A2151" t="s">
        <v>413</v>
      </c>
      <c r="B2151" t="s">
        <v>7</v>
      </c>
      <c r="C2151" t="s">
        <v>37</v>
      </c>
      <c r="D2151" s="24">
        <v>46054</v>
      </c>
      <c r="E2151" t="s">
        <v>226</v>
      </c>
      <c r="F2151" t="s">
        <v>4</v>
      </c>
      <c r="G2151" t="s">
        <v>217</v>
      </c>
      <c r="H2151" t="s">
        <v>217</v>
      </c>
      <c r="I2151" t="s">
        <v>300</v>
      </c>
      <c r="J2151" s="25">
        <v>44930</v>
      </c>
      <c r="K2151" s="26">
        <v>7708.02</v>
      </c>
      <c r="L2151" s="26">
        <v>127.66</v>
      </c>
    </row>
    <row r="2152" spans="1:12" ht="16" customHeight="1">
      <c r="A2152" t="s">
        <v>413</v>
      </c>
      <c r="B2152" t="s">
        <v>7</v>
      </c>
      <c r="C2152" t="s">
        <v>37</v>
      </c>
      <c r="D2152" s="24">
        <v>46054</v>
      </c>
      <c r="E2152" t="s">
        <v>269</v>
      </c>
      <c r="F2152" t="s">
        <v>4</v>
      </c>
      <c r="G2152" t="s">
        <v>217</v>
      </c>
      <c r="H2152" t="s">
        <v>217</v>
      </c>
      <c r="I2152" t="s">
        <v>301</v>
      </c>
      <c r="J2152" s="25">
        <v>4022</v>
      </c>
      <c r="K2152" s="26">
        <v>686.13</v>
      </c>
      <c r="L2152" s="26">
        <v>15.23</v>
      </c>
    </row>
    <row r="2153" spans="1:12" ht="16" customHeight="1">
      <c r="A2153" t="s">
        <v>413</v>
      </c>
      <c r="B2153" t="s">
        <v>7</v>
      </c>
      <c r="C2153" t="s">
        <v>37</v>
      </c>
      <c r="D2153" s="24">
        <v>46054</v>
      </c>
      <c r="E2153" t="s">
        <v>228</v>
      </c>
      <c r="F2153" t="s">
        <v>4</v>
      </c>
      <c r="G2153" t="s">
        <v>217</v>
      </c>
      <c r="H2153" t="s">
        <v>217</v>
      </c>
      <c r="I2153" t="s">
        <v>302</v>
      </c>
      <c r="J2153" s="25">
        <v>14989</v>
      </c>
      <c r="K2153" s="26">
        <v>2604.2600000000002</v>
      </c>
      <c r="L2153" s="26">
        <v>62.58</v>
      </c>
    </row>
    <row r="2154" spans="1:12" ht="16" customHeight="1">
      <c r="A2154" t="s">
        <v>413</v>
      </c>
      <c r="B2154" t="s">
        <v>7</v>
      </c>
      <c r="C2154" t="s">
        <v>37</v>
      </c>
      <c r="D2154" s="24">
        <v>46054</v>
      </c>
      <c r="E2154" t="s">
        <v>230</v>
      </c>
      <c r="F2154" t="s">
        <v>4</v>
      </c>
      <c r="G2154" t="s">
        <v>217</v>
      </c>
      <c r="H2154" t="s">
        <v>217</v>
      </c>
      <c r="I2154" t="s">
        <v>391</v>
      </c>
      <c r="J2154" s="25">
        <v>0</v>
      </c>
      <c r="K2154" s="26">
        <v>0</v>
      </c>
      <c r="L2154" s="26">
        <v>0</v>
      </c>
    </row>
    <row r="2155" spans="1:12" ht="16" customHeight="1">
      <c r="A2155" t="s">
        <v>413</v>
      </c>
      <c r="B2155" t="s">
        <v>7</v>
      </c>
      <c r="C2155" t="s">
        <v>37</v>
      </c>
      <c r="D2155" s="24">
        <v>46054</v>
      </c>
      <c r="E2155" t="s">
        <v>232</v>
      </c>
      <c r="F2155" t="s">
        <v>4</v>
      </c>
      <c r="G2155" t="s">
        <v>217</v>
      </c>
      <c r="H2155" t="s">
        <v>217</v>
      </c>
      <c r="I2155" t="s">
        <v>392</v>
      </c>
      <c r="J2155" s="25">
        <v>27</v>
      </c>
      <c r="K2155" s="26">
        <v>4.88</v>
      </c>
      <c r="L2155" s="26">
        <v>0.27</v>
      </c>
    </row>
    <row r="2156" spans="1:12" ht="16" customHeight="1">
      <c r="A2156" t="s">
        <v>413</v>
      </c>
      <c r="B2156" t="s">
        <v>7</v>
      </c>
      <c r="C2156" t="s">
        <v>37</v>
      </c>
      <c r="D2156" s="24">
        <v>46054</v>
      </c>
      <c r="E2156" t="s">
        <v>234</v>
      </c>
      <c r="F2156" t="s">
        <v>4</v>
      </c>
      <c r="G2156" t="s">
        <v>217</v>
      </c>
      <c r="H2156" t="s">
        <v>217</v>
      </c>
      <c r="I2156" t="s">
        <v>393</v>
      </c>
      <c r="J2156" s="25">
        <v>0</v>
      </c>
      <c r="K2156" s="26">
        <v>0</v>
      </c>
      <c r="L2156" s="26">
        <v>0</v>
      </c>
    </row>
    <row r="2157" spans="1:12" ht="16" customHeight="1">
      <c r="A2157" t="s">
        <v>413</v>
      </c>
      <c r="B2157" t="s">
        <v>7</v>
      </c>
      <c r="C2157" t="s">
        <v>37</v>
      </c>
      <c r="D2157" s="24">
        <v>46054</v>
      </c>
      <c r="E2157" t="s">
        <v>236</v>
      </c>
      <c r="F2157" t="s">
        <v>4</v>
      </c>
      <c r="G2157" t="s">
        <v>217</v>
      </c>
      <c r="H2157" t="s">
        <v>217</v>
      </c>
      <c r="I2157" t="s">
        <v>394</v>
      </c>
      <c r="J2157" s="25">
        <v>0</v>
      </c>
      <c r="K2157" s="26">
        <v>0</v>
      </c>
      <c r="L2157" s="26">
        <v>0</v>
      </c>
    </row>
    <row r="2158" spans="1:12" ht="16" customHeight="1">
      <c r="A2158" t="s">
        <v>413</v>
      </c>
      <c r="B2158" t="s">
        <v>7</v>
      </c>
      <c r="C2158" t="s">
        <v>37</v>
      </c>
      <c r="D2158" s="24">
        <v>46054</v>
      </c>
      <c r="E2158" t="s">
        <v>238</v>
      </c>
      <c r="F2158" t="s">
        <v>4</v>
      </c>
      <c r="G2158" t="s">
        <v>217</v>
      </c>
      <c r="H2158" t="s">
        <v>217</v>
      </c>
      <c r="I2158" t="s">
        <v>395</v>
      </c>
      <c r="J2158" s="25">
        <v>0</v>
      </c>
      <c r="K2158" s="26">
        <v>0</v>
      </c>
      <c r="L2158" s="26">
        <v>0</v>
      </c>
    </row>
    <row r="2159" spans="1:12" ht="16" customHeight="1">
      <c r="A2159" t="s">
        <v>413</v>
      </c>
      <c r="B2159" t="s">
        <v>7</v>
      </c>
      <c r="C2159" t="s">
        <v>37</v>
      </c>
      <c r="D2159" s="24">
        <v>46054</v>
      </c>
      <c r="E2159" t="s">
        <v>240</v>
      </c>
      <c r="F2159" t="s">
        <v>3</v>
      </c>
      <c r="G2159" t="s">
        <v>241</v>
      </c>
      <c r="H2159" t="s">
        <v>241</v>
      </c>
      <c r="I2159" t="s">
        <v>396</v>
      </c>
      <c r="J2159" s="25">
        <v>0</v>
      </c>
      <c r="K2159" s="26">
        <v>0</v>
      </c>
      <c r="L2159" s="26">
        <v>0</v>
      </c>
    </row>
    <row r="2160" spans="1:12" ht="16" customHeight="1">
      <c r="A2160" t="s">
        <v>413</v>
      </c>
      <c r="B2160" t="s">
        <v>7</v>
      </c>
      <c r="C2160" t="s">
        <v>37</v>
      </c>
      <c r="D2160" s="24">
        <v>46054</v>
      </c>
      <c r="E2160" t="s">
        <v>243</v>
      </c>
      <c r="F2160" t="s">
        <v>4</v>
      </c>
      <c r="G2160" t="s">
        <v>217</v>
      </c>
      <c r="H2160" t="s">
        <v>217</v>
      </c>
      <c r="I2160" t="s">
        <v>397</v>
      </c>
      <c r="J2160" s="25">
        <v>0</v>
      </c>
      <c r="K2160" s="26">
        <v>0</v>
      </c>
      <c r="L2160" s="26">
        <v>0</v>
      </c>
    </row>
    <row r="2161" spans="1:12" ht="16" customHeight="1">
      <c r="A2161" t="s">
        <v>413</v>
      </c>
      <c r="B2161" t="s">
        <v>7</v>
      </c>
      <c r="C2161" t="s">
        <v>37</v>
      </c>
      <c r="D2161" s="24">
        <v>46054</v>
      </c>
      <c r="E2161" t="s">
        <v>360</v>
      </c>
      <c r="F2161" t="s">
        <v>4</v>
      </c>
      <c r="G2161" t="s">
        <v>217</v>
      </c>
      <c r="H2161" t="s">
        <v>217</v>
      </c>
      <c r="I2161" t="s">
        <v>398</v>
      </c>
      <c r="J2161" s="25">
        <v>0</v>
      </c>
      <c r="K2161" s="26">
        <v>0</v>
      </c>
      <c r="L2161" s="26">
        <v>0</v>
      </c>
    </row>
    <row r="2162" spans="1:12" ht="16" customHeight="1">
      <c r="A2162" t="s">
        <v>414</v>
      </c>
      <c r="B2162" t="s">
        <v>3</v>
      </c>
      <c r="C2162" t="s">
        <v>38</v>
      </c>
      <c r="D2162" s="24">
        <v>46054</v>
      </c>
      <c r="E2162" t="s">
        <v>326</v>
      </c>
      <c r="F2162" t="s">
        <v>4</v>
      </c>
      <c r="G2162" t="s">
        <v>217</v>
      </c>
      <c r="H2162" t="s">
        <v>261</v>
      </c>
      <c r="I2162" t="s">
        <v>212</v>
      </c>
      <c r="J2162" s="25">
        <v>152344874</v>
      </c>
      <c r="K2162" s="26">
        <v>25454911.66</v>
      </c>
      <c r="L2162" s="26">
        <v>58527.1</v>
      </c>
    </row>
    <row r="2163" spans="1:12" ht="16" customHeight="1">
      <c r="A2163" t="s">
        <v>414</v>
      </c>
      <c r="B2163" t="s">
        <v>3</v>
      </c>
      <c r="C2163" t="s">
        <v>38</v>
      </c>
      <c r="D2163" s="24">
        <v>46054</v>
      </c>
      <c r="E2163" t="s">
        <v>383</v>
      </c>
      <c r="F2163" t="s">
        <v>3</v>
      </c>
      <c r="G2163" t="s">
        <v>241</v>
      </c>
      <c r="H2163" t="s">
        <v>241</v>
      </c>
      <c r="I2163" t="s">
        <v>219</v>
      </c>
      <c r="J2163" s="25">
        <v>5187850</v>
      </c>
      <c r="K2163" s="26">
        <v>869477.33</v>
      </c>
      <c r="L2163" s="26">
        <v>3796.82</v>
      </c>
    </row>
    <row r="2164" spans="1:12" ht="16" customHeight="1">
      <c r="A2164" t="s">
        <v>414</v>
      </c>
      <c r="B2164" t="s">
        <v>3</v>
      </c>
      <c r="C2164" t="s">
        <v>38</v>
      </c>
      <c r="D2164" s="24">
        <v>46054</v>
      </c>
      <c r="E2164" t="s">
        <v>401</v>
      </c>
      <c r="F2164" t="s">
        <v>4</v>
      </c>
      <c r="G2164" t="s">
        <v>211</v>
      </c>
      <c r="H2164" t="s">
        <v>211</v>
      </c>
      <c r="I2164" t="s">
        <v>219</v>
      </c>
      <c r="J2164" s="25">
        <v>392617</v>
      </c>
      <c r="K2164" s="26">
        <v>65948.259999999995</v>
      </c>
      <c r="L2164" s="26">
        <v>418.71</v>
      </c>
    </row>
    <row r="2165" spans="1:12" ht="16" customHeight="1">
      <c r="A2165" t="s">
        <v>414</v>
      </c>
      <c r="B2165" t="s">
        <v>3</v>
      </c>
      <c r="C2165" t="s">
        <v>38</v>
      </c>
      <c r="D2165" s="24">
        <v>46054</v>
      </c>
      <c r="E2165" t="s">
        <v>406</v>
      </c>
      <c r="F2165" t="s">
        <v>4</v>
      </c>
      <c r="G2165" t="s">
        <v>211</v>
      </c>
      <c r="H2165" t="s">
        <v>211</v>
      </c>
      <c r="I2165" t="s">
        <v>219</v>
      </c>
      <c r="J2165" s="25">
        <v>25345</v>
      </c>
      <c r="K2165" s="26">
        <v>4262.12</v>
      </c>
      <c r="L2165" s="26">
        <v>33.93</v>
      </c>
    </row>
    <row r="2166" spans="1:12" ht="16" customHeight="1">
      <c r="A2166" t="s">
        <v>414</v>
      </c>
      <c r="B2166" t="s">
        <v>3</v>
      </c>
      <c r="C2166" t="s">
        <v>38</v>
      </c>
      <c r="D2166" s="24">
        <v>46054</v>
      </c>
      <c r="E2166" t="s">
        <v>411</v>
      </c>
      <c r="F2166" t="s">
        <v>4</v>
      </c>
      <c r="G2166" t="s">
        <v>211</v>
      </c>
      <c r="H2166" t="s">
        <v>211</v>
      </c>
      <c r="I2166" t="s">
        <v>219</v>
      </c>
      <c r="J2166" s="25">
        <v>17895</v>
      </c>
      <c r="K2166" s="26">
        <v>3018.66</v>
      </c>
      <c r="L2166" s="26">
        <v>29.75</v>
      </c>
    </row>
    <row r="2167" spans="1:12" ht="16" customHeight="1">
      <c r="A2167" t="s">
        <v>414</v>
      </c>
      <c r="B2167" t="s">
        <v>3</v>
      </c>
      <c r="C2167" t="s">
        <v>38</v>
      </c>
      <c r="D2167" s="24">
        <v>46054</v>
      </c>
      <c r="E2167" t="s">
        <v>357</v>
      </c>
      <c r="F2167" t="s">
        <v>3</v>
      </c>
      <c r="G2167" t="s">
        <v>358</v>
      </c>
      <c r="H2167" t="s">
        <v>358</v>
      </c>
      <c r="I2167" t="s">
        <v>219</v>
      </c>
      <c r="J2167" s="25">
        <v>919569</v>
      </c>
      <c r="K2167" s="26">
        <v>155158.49</v>
      </c>
      <c r="L2167" s="26">
        <v>1663.69</v>
      </c>
    </row>
    <row r="2168" spans="1:12" ht="16" customHeight="1">
      <c r="A2168" t="s">
        <v>414</v>
      </c>
      <c r="B2168" t="s">
        <v>3</v>
      </c>
      <c r="C2168" t="s">
        <v>38</v>
      </c>
      <c r="D2168" s="24">
        <v>46054</v>
      </c>
      <c r="E2168" t="s">
        <v>387</v>
      </c>
      <c r="F2168" t="s">
        <v>4</v>
      </c>
      <c r="G2168" t="s">
        <v>217</v>
      </c>
      <c r="H2168" t="s">
        <v>217</v>
      </c>
      <c r="I2168" t="s">
        <v>221</v>
      </c>
      <c r="J2168" s="25">
        <v>81081</v>
      </c>
      <c r="K2168" s="26">
        <v>13656.04</v>
      </c>
      <c r="L2168" s="26">
        <v>172.24</v>
      </c>
    </row>
    <row r="2169" spans="1:12" ht="16" customHeight="1">
      <c r="A2169" t="s">
        <v>414</v>
      </c>
      <c r="B2169" t="s">
        <v>3</v>
      </c>
      <c r="C2169" t="s">
        <v>38</v>
      </c>
      <c r="D2169" s="24">
        <v>46054</v>
      </c>
      <c r="E2169" t="s">
        <v>226</v>
      </c>
      <c r="F2169" t="s">
        <v>4</v>
      </c>
      <c r="G2169" t="s">
        <v>217</v>
      </c>
      <c r="H2169" t="s">
        <v>217</v>
      </c>
      <c r="I2169" t="s">
        <v>300</v>
      </c>
      <c r="J2169" s="25">
        <v>60344</v>
      </c>
      <c r="K2169" s="26">
        <v>10298.200000000001</v>
      </c>
      <c r="L2169" s="26">
        <v>190.94</v>
      </c>
    </row>
    <row r="2170" spans="1:12" ht="16" customHeight="1">
      <c r="A2170" t="s">
        <v>414</v>
      </c>
      <c r="B2170" t="s">
        <v>3</v>
      </c>
      <c r="C2170" t="s">
        <v>38</v>
      </c>
      <c r="D2170" s="24">
        <v>46054</v>
      </c>
      <c r="E2170" t="s">
        <v>269</v>
      </c>
      <c r="F2170" t="s">
        <v>4</v>
      </c>
      <c r="G2170" t="s">
        <v>217</v>
      </c>
      <c r="H2170" t="s">
        <v>217</v>
      </c>
      <c r="I2170" t="s">
        <v>301</v>
      </c>
      <c r="J2170" s="25">
        <v>3121</v>
      </c>
      <c r="K2170" s="26">
        <v>538.72</v>
      </c>
      <c r="L2170" s="26">
        <v>12.33</v>
      </c>
    </row>
    <row r="2171" spans="1:12" ht="16" customHeight="1">
      <c r="A2171" t="s">
        <v>414</v>
      </c>
      <c r="B2171" t="s">
        <v>3</v>
      </c>
      <c r="C2171" t="s">
        <v>38</v>
      </c>
      <c r="D2171" s="24">
        <v>46054</v>
      </c>
      <c r="E2171" t="s">
        <v>228</v>
      </c>
      <c r="F2171" t="s">
        <v>4</v>
      </c>
      <c r="G2171" t="s">
        <v>217</v>
      </c>
      <c r="H2171" t="s">
        <v>217</v>
      </c>
      <c r="I2171" t="s">
        <v>302</v>
      </c>
      <c r="J2171" s="25">
        <v>10644</v>
      </c>
      <c r="K2171" s="26">
        <v>1843.39</v>
      </c>
      <c r="L2171" s="26">
        <v>42.52</v>
      </c>
    </row>
    <row r="2172" spans="1:12" ht="16" customHeight="1">
      <c r="A2172" t="s">
        <v>414</v>
      </c>
      <c r="B2172" t="s">
        <v>3</v>
      </c>
      <c r="C2172" t="s">
        <v>38</v>
      </c>
      <c r="D2172" s="24">
        <v>46054</v>
      </c>
      <c r="E2172" t="s">
        <v>230</v>
      </c>
      <c r="F2172" t="s">
        <v>4</v>
      </c>
      <c r="G2172" t="s">
        <v>217</v>
      </c>
      <c r="H2172" t="s">
        <v>217</v>
      </c>
      <c r="I2172" t="s">
        <v>391</v>
      </c>
      <c r="J2172" s="25">
        <v>0</v>
      </c>
      <c r="K2172" s="26">
        <v>0</v>
      </c>
      <c r="L2172" s="26">
        <v>0</v>
      </c>
    </row>
    <row r="2173" spans="1:12" ht="16" customHeight="1">
      <c r="A2173" t="s">
        <v>414</v>
      </c>
      <c r="B2173" t="s">
        <v>3</v>
      </c>
      <c r="C2173" t="s">
        <v>38</v>
      </c>
      <c r="D2173" s="24">
        <v>46054</v>
      </c>
      <c r="E2173" t="s">
        <v>232</v>
      </c>
      <c r="F2173" t="s">
        <v>4</v>
      </c>
      <c r="G2173" t="s">
        <v>217</v>
      </c>
      <c r="H2173" t="s">
        <v>217</v>
      </c>
      <c r="I2173" t="s">
        <v>392</v>
      </c>
      <c r="J2173" s="25">
        <v>38</v>
      </c>
      <c r="K2173" s="26">
        <v>6.86</v>
      </c>
      <c r="L2173" s="26">
        <v>0.35</v>
      </c>
    </row>
    <row r="2174" spans="1:12" ht="16" customHeight="1">
      <c r="A2174" t="s">
        <v>414</v>
      </c>
      <c r="B2174" t="s">
        <v>3</v>
      </c>
      <c r="C2174" t="s">
        <v>38</v>
      </c>
      <c r="D2174" s="24">
        <v>46054</v>
      </c>
      <c r="E2174" t="s">
        <v>234</v>
      </c>
      <c r="F2174" t="s">
        <v>4</v>
      </c>
      <c r="G2174" t="s">
        <v>217</v>
      </c>
      <c r="H2174" t="s">
        <v>217</v>
      </c>
      <c r="I2174" t="s">
        <v>393</v>
      </c>
      <c r="J2174" s="25">
        <v>0</v>
      </c>
      <c r="K2174" s="26">
        <v>0</v>
      </c>
      <c r="L2174" s="26">
        <v>0</v>
      </c>
    </row>
    <row r="2175" spans="1:12" ht="16" customHeight="1">
      <c r="A2175" t="s">
        <v>414</v>
      </c>
      <c r="B2175" t="s">
        <v>3</v>
      </c>
      <c r="C2175" t="s">
        <v>38</v>
      </c>
      <c r="D2175" s="24">
        <v>46054</v>
      </c>
      <c r="E2175" t="s">
        <v>236</v>
      </c>
      <c r="F2175" t="s">
        <v>4</v>
      </c>
      <c r="G2175" t="s">
        <v>217</v>
      </c>
      <c r="H2175" t="s">
        <v>217</v>
      </c>
      <c r="I2175" t="s">
        <v>394</v>
      </c>
      <c r="J2175" s="25">
        <v>1</v>
      </c>
      <c r="K2175" s="26">
        <v>0.18</v>
      </c>
      <c r="L2175" s="26">
        <v>0.01</v>
      </c>
    </row>
    <row r="2176" spans="1:12" ht="16" customHeight="1">
      <c r="A2176" t="s">
        <v>414</v>
      </c>
      <c r="B2176" t="s">
        <v>3</v>
      </c>
      <c r="C2176" t="s">
        <v>38</v>
      </c>
      <c r="D2176" s="24">
        <v>46054</v>
      </c>
      <c r="E2176" t="s">
        <v>238</v>
      </c>
      <c r="F2176" t="s">
        <v>4</v>
      </c>
      <c r="G2176" t="s">
        <v>217</v>
      </c>
      <c r="H2176" t="s">
        <v>217</v>
      </c>
      <c r="I2176" t="s">
        <v>395</v>
      </c>
      <c r="J2176" s="25">
        <v>0</v>
      </c>
      <c r="K2176" s="26">
        <v>0</v>
      </c>
      <c r="L2176" s="26">
        <v>0</v>
      </c>
    </row>
    <row r="2177" spans="1:12" ht="16" customHeight="1">
      <c r="A2177" t="s">
        <v>414</v>
      </c>
      <c r="B2177" t="s">
        <v>3</v>
      </c>
      <c r="C2177" t="s">
        <v>38</v>
      </c>
      <c r="D2177" s="24">
        <v>46054</v>
      </c>
      <c r="E2177" t="s">
        <v>240</v>
      </c>
      <c r="F2177" t="s">
        <v>3</v>
      </c>
      <c r="G2177" t="s">
        <v>241</v>
      </c>
      <c r="H2177" t="s">
        <v>241</v>
      </c>
      <c r="I2177" t="s">
        <v>396</v>
      </c>
      <c r="J2177" s="25">
        <v>0</v>
      </c>
      <c r="K2177" s="26">
        <v>0</v>
      </c>
      <c r="L2177" s="26">
        <v>0</v>
      </c>
    </row>
    <row r="2178" spans="1:12" ht="16" customHeight="1">
      <c r="A2178" t="s">
        <v>414</v>
      </c>
      <c r="B2178" t="s">
        <v>3</v>
      </c>
      <c r="C2178" t="s">
        <v>38</v>
      </c>
      <c r="D2178" s="24">
        <v>46054</v>
      </c>
      <c r="E2178" t="s">
        <v>243</v>
      </c>
      <c r="F2178" t="s">
        <v>4</v>
      </c>
      <c r="G2178" t="s">
        <v>217</v>
      </c>
      <c r="H2178" t="s">
        <v>217</v>
      </c>
      <c r="I2178" t="s">
        <v>397</v>
      </c>
      <c r="J2178" s="25">
        <v>0</v>
      </c>
      <c r="K2178" s="26">
        <v>0</v>
      </c>
      <c r="L2178" s="26">
        <v>0</v>
      </c>
    </row>
    <row r="2179" spans="1:12" ht="16" customHeight="1">
      <c r="A2179" t="s">
        <v>414</v>
      </c>
      <c r="B2179" t="s">
        <v>3</v>
      </c>
      <c r="C2179" t="s">
        <v>38</v>
      </c>
      <c r="D2179" s="24">
        <v>46054</v>
      </c>
      <c r="E2179" t="s">
        <v>360</v>
      </c>
      <c r="F2179" t="s">
        <v>4</v>
      </c>
      <c r="G2179" t="s">
        <v>217</v>
      </c>
      <c r="H2179" t="s">
        <v>217</v>
      </c>
      <c r="I2179" t="s">
        <v>398</v>
      </c>
      <c r="J2179" s="25">
        <v>0</v>
      </c>
      <c r="K2179" s="26">
        <v>0</v>
      </c>
      <c r="L2179" s="26">
        <v>0</v>
      </c>
    </row>
    <row r="2180" spans="1:12" ht="16" customHeight="1">
      <c r="A2180" t="s">
        <v>326</v>
      </c>
      <c r="B2180" t="s">
        <v>4</v>
      </c>
      <c r="C2180" t="s">
        <v>38</v>
      </c>
      <c r="D2180" s="24">
        <v>46054</v>
      </c>
      <c r="E2180" t="s">
        <v>326</v>
      </c>
      <c r="F2180" t="s">
        <v>4</v>
      </c>
      <c r="G2180" t="s">
        <v>217</v>
      </c>
      <c r="H2180" t="s">
        <v>261</v>
      </c>
      <c r="I2180" t="s">
        <v>212</v>
      </c>
      <c r="J2180" s="25">
        <v>356787027</v>
      </c>
      <c r="K2180" s="26">
        <v>59131433.609999999</v>
      </c>
      <c r="L2180" s="26">
        <v>64238.51</v>
      </c>
    </row>
    <row r="2181" spans="1:12" ht="16" customHeight="1">
      <c r="A2181" t="s">
        <v>326</v>
      </c>
      <c r="B2181" t="s">
        <v>4</v>
      </c>
      <c r="C2181" t="s">
        <v>38</v>
      </c>
      <c r="D2181" s="24">
        <v>46054</v>
      </c>
      <c r="E2181" t="s">
        <v>383</v>
      </c>
      <c r="F2181" t="s">
        <v>3</v>
      </c>
      <c r="G2181" t="s">
        <v>241</v>
      </c>
      <c r="H2181" t="s">
        <v>241</v>
      </c>
      <c r="I2181" t="s">
        <v>219</v>
      </c>
      <c r="J2181" s="25">
        <v>11817686</v>
      </c>
      <c r="K2181" s="26">
        <v>1972859.04</v>
      </c>
      <c r="L2181" s="26">
        <v>7748.52</v>
      </c>
    </row>
    <row r="2182" spans="1:12" ht="16" customHeight="1">
      <c r="A2182" t="s">
        <v>326</v>
      </c>
      <c r="B2182" t="s">
        <v>4</v>
      </c>
      <c r="C2182" t="s">
        <v>38</v>
      </c>
      <c r="D2182" s="24">
        <v>46054</v>
      </c>
      <c r="E2182" t="s">
        <v>401</v>
      </c>
      <c r="F2182" t="s">
        <v>4</v>
      </c>
      <c r="G2182" t="s">
        <v>211</v>
      </c>
      <c r="H2182" t="s">
        <v>211</v>
      </c>
      <c r="I2182" t="s">
        <v>219</v>
      </c>
      <c r="J2182" s="25">
        <v>756161</v>
      </c>
      <c r="K2182" s="26">
        <v>126294.92</v>
      </c>
      <c r="L2182" s="26">
        <v>743.01</v>
      </c>
    </row>
    <row r="2183" spans="1:12" ht="16" customHeight="1">
      <c r="A2183" t="s">
        <v>326</v>
      </c>
      <c r="B2183" t="s">
        <v>4</v>
      </c>
      <c r="C2183" t="s">
        <v>38</v>
      </c>
      <c r="D2183" s="24">
        <v>46054</v>
      </c>
      <c r="E2183" t="s">
        <v>406</v>
      </c>
      <c r="F2183" t="s">
        <v>4</v>
      </c>
      <c r="G2183" t="s">
        <v>211</v>
      </c>
      <c r="H2183" t="s">
        <v>211</v>
      </c>
      <c r="I2183" t="s">
        <v>219</v>
      </c>
      <c r="J2183" s="25">
        <v>56010</v>
      </c>
      <c r="K2183" s="26">
        <v>9369.26</v>
      </c>
      <c r="L2183" s="26">
        <v>68.95</v>
      </c>
    </row>
    <row r="2184" spans="1:12" ht="16" customHeight="1">
      <c r="A2184" t="s">
        <v>326</v>
      </c>
      <c r="B2184" t="s">
        <v>4</v>
      </c>
      <c r="C2184" t="s">
        <v>38</v>
      </c>
      <c r="D2184" s="24">
        <v>46054</v>
      </c>
      <c r="E2184" t="s">
        <v>411</v>
      </c>
      <c r="F2184" t="s">
        <v>4</v>
      </c>
      <c r="G2184" t="s">
        <v>211</v>
      </c>
      <c r="H2184" t="s">
        <v>211</v>
      </c>
      <c r="I2184" t="s">
        <v>219</v>
      </c>
      <c r="J2184" s="25">
        <v>30873</v>
      </c>
      <c r="K2184" s="26">
        <v>5172.79</v>
      </c>
      <c r="L2184" s="26">
        <v>45.07</v>
      </c>
    </row>
    <row r="2185" spans="1:12" ht="16" customHeight="1">
      <c r="A2185" t="s">
        <v>326</v>
      </c>
      <c r="B2185" t="s">
        <v>4</v>
      </c>
      <c r="C2185" t="s">
        <v>38</v>
      </c>
      <c r="D2185" s="24">
        <v>46054</v>
      </c>
      <c r="E2185" t="s">
        <v>357</v>
      </c>
      <c r="F2185" t="s">
        <v>3</v>
      </c>
      <c r="G2185" t="s">
        <v>358</v>
      </c>
      <c r="H2185" t="s">
        <v>358</v>
      </c>
      <c r="I2185" t="s">
        <v>219</v>
      </c>
      <c r="J2185" s="25">
        <v>1372941</v>
      </c>
      <c r="K2185" s="26">
        <v>230116.35</v>
      </c>
      <c r="L2185" s="26">
        <v>2341.81</v>
      </c>
    </row>
    <row r="2186" spans="1:12" ht="16" customHeight="1">
      <c r="A2186" t="s">
        <v>326</v>
      </c>
      <c r="B2186" t="s">
        <v>4</v>
      </c>
      <c r="C2186" t="s">
        <v>38</v>
      </c>
      <c r="D2186" s="24">
        <v>46054</v>
      </c>
      <c r="E2186" t="s">
        <v>387</v>
      </c>
      <c r="F2186" t="s">
        <v>4</v>
      </c>
      <c r="G2186" t="s">
        <v>217</v>
      </c>
      <c r="H2186" t="s">
        <v>217</v>
      </c>
      <c r="I2186" t="s">
        <v>221</v>
      </c>
      <c r="J2186" s="25">
        <v>122337</v>
      </c>
      <c r="K2186" s="26">
        <v>20606.919999999998</v>
      </c>
      <c r="L2186" s="26">
        <v>254.27</v>
      </c>
    </row>
    <row r="2187" spans="1:12" ht="16" customHeight="1">
      <c r="A2187" t="s">
        <v>326</v>
      </c>
      <c r="B2187" t="s">
        <v>4</v>
      </c>
      <c r="C2187" t="s">
        <v>38</v>
      </c>
      <c r="D2187" s="24">
        <v>46054</v>
      </c>
      <c r="E2187" t="s">
        <v>226</v>
      </c>
      <c r="F2187" t="s">
        <v>4</v>
      </c>
      <c r="G2187" t="s">
        <v>217</v>
      </c>
      <c r="H2187" t="s">
        <v>217</v>
      </c>
      <c r="I2187" t="s">
        <v>300</v>
      </c>
      <c r="J2187" s="25">
        <v>61722</v>
      </c>
      <c r="K2187" s="26">
        <v>10446.66</v>
      </c>
      <c r="L2187" s="26">
        <v>172.81</v>
      </c>
    </row>
    <row r="2188" spans="1:12" ht="16" customHeight="1">
      <c r="A2188" t="s">
        <v>326</v>
      </c>
      <c r="B2188" t="s">
        <v>4</v>
      </c>
      <c r="C2188" t="s">
        <v>38</v>
      </c>
      <c r="D2188" s="24">
        <v>46054</v>
      </c>
      <c r="E2188" t="s">
        <v>269</v>
      </c>
      <c r="F2188" t="s">
        <v>4</v>
      </c>
      <c r="G2188" t="s">
        <v>217</v>
      </c>
      <c r="H2188" t="s">
        <v>217</v>
      </c>
      <c r="I2188" t="s">
        <v>301</v>
      </c>
      <c r="J2188" s="25">
        <v>5209</v>
      </c>
      <c r="K2188" s="26">
        <v>884.39</v>
      </c>
      <c r="L2188" s="26">
        <v>19.760000000000002</v>
      </c>
    </row>
    <row r="2189" spans="1:12" ht="16" customHeight="1">
      <c r="A2189" t="s">
        <v>326</v>
      </c>
      <c r="B2189" t="s">
        <v>4</v>
      </c>
      <c r="C2189" t="s">
        <v>38</v>
      </c>
      <c r="D2189" s="24">
        <v>46054</v>
      </c>
      <c r="E2189" t="s">
        <v>228</v>
      </c>
      <c r="F2189" t="s">
        <v>4</v>
      </c>
      <c r="G2189" t="s">
        <v>217</v>
      </c>
      <c r="H2189" t="s">
        <v>217</v>
      </c>
      <c r="I2189" t="s">
        <v>302</v>
      </c>
      <c r="J2189" s="25">
        <v>17310</v>
      </c>
      <c r="K2189" s="26">
        <v>2994.05</v>
      </c>
      <c r="L2189" s="26">
        <v>78.900000000000006</v>
      </c>
    </row>
    <row r="2190" spans="1:12" ht="16" customHeight="1">
      <c r="A2190" t="s">
        <v>326</v>
      </c>
      <c r="B2190" t="s">
        <v>4</v>
      </c>
      <c r="C2190" t="s">
        <v>38</v>
      </c>
      <c r="D2190" s="24">
        <v>46054</v>
      </c>
      <c r="E2190" t="s">
        <v>230</v>
      </c>
      <c r="F2190" t="s">
        <v>4</v>
      </c>
      <c r="G2190" t="s">
        <v>217</v>
      </c>
      <c r="H2190" t="s">
        <v>217</v>
      </c>
      <c r="I2190" t="s">
        <v>391</v>
      </c>
      <c r="J2190" s="25">
        <v>2</v>
      </c>
      <c r="K2190" s="26">
        <v>0.36</v>
      </c>
      <c r="L2190" s="26">
        <v>0.05</v>
      </c>
    </row>
    <row r="2191" spans="1:12" ht="16" customHeight="1">
      <c r="A2191" t="s">
        <v>326</v>
      </c>
      <c r="B2191" t="s">
        <v>4</v>
      </c>
      <c r="C2191" t="s">
        <v>38</v>
      </c>
      <c r="D2191" s="24">
        <v>46054</v>
      </c>
      <c r="E2191" t="s">
        <v>232</v>
      </c>
      <c r="F2191" t="s">
        <v>4</v>
      </c>
      <c r="G2191" t="s">
        <v>217</v>
      </c>
      <c r="H2191" t="s">
        <v>217</v>
      </c>
      <c r="I2191" t="s">
        <v>392</v>
      </c>
      <c r="J2191" s="25">
        <v>26</v>
      </c>
      <c r="K2191" s="26">
        <v>4.82</v>
      </c>
      <c r="L2191" s="26">
        <v>0.24</v>
      </c>
    </row>
    <row r="2192" spans="1:12" ht="16" customHeight="1">
      <c r="A2192" t="s">
        <v>326</v>
      </c>
      <c r="B2192" t="s">
        <v>4</v>
      </c>
      <c r="C2192" t="s">
        <v>38</v>
      </c>
      <c r="D2192" s="24">
        <v>46054</v>
      </c>
      <c r="E2192" t="s">
        <v>234</v>
      </c>
      <c r="F2192" t="s">
        <v>4</v>
      </c>
      <c r="G2192" t="s">
        <v>217</v>
      </c>
      <c r="H2192" t="s">
        <v>217</v>
      </c>
      <c r="I2192" t="s">
        <v>393</v>
      </c>
      <c r="J2192" s="25">
        <v>0</v>
      </c>
      <c r="K2192" s="26">
        <v>0</v>
      </c>
      <c r="L2192" s="26">
        <v>0</v>
      </c>
    </row>
    <row r="2193" spans="1:12" ht="16" customHeight="1">
      <c r="A2193" t="s">
        <v>326</v>
      </c>
      <c r="B2193" t="s">
        <v>4</v>
      </c>
      <c r="C2193" t="s">
        <v>38</v>
      </c>
      <c r="D2193" s="24">
        <v>46054</v>
      </c>
      <c r="E2193" t="s">
        <v>236</v>
      </c>
      <c r="F2193" t="s">
        <v>4</v>
      </c>
      <c r="G2193" t="s">
        <v>217</v>
      </c>
      <c r="H2193" t="s">
        <v>217</v>
      </c>
      <c r="I2193" t="s">
        <v>394</v>
      </c>
      <c r="J2193" s="25">
        <v>0</v>
      </c>
      <c r="K2193" s="26">
        <v>0</v>
      </c>
      <c r="L2193" s="26">
        <v>0</v>
      </c>
    </row>
    <row r="2194" spans="1:12" ht="16" customHeight="1">
      <c r="A2194" t="s">
        <v>326</v>
      </c>
      <c r="B2194" t="s">
        <v>4</v>
      </c>
      <c r="C2194" t="s">
        <v>38</v>
      </c>
      <c r="D2194" s="24">
        <v>46054</v>
      </c>
      <c r="E2194" t="s">
        <v>238</v>
      </c>
      <c r="F2194" t="s">
        <v>4</v>
      </c>
      <c r="G2194" t="s">
        <v>217</v>
      </c>
      <c r="H2194" t="s">
        <v>217</v>
      </c>
      <c r="I2194" t="s">
        <v>395</v>
      </c>
      <c r="J2194" s="25">
        <v>0</v>
      </c>
      <c r="K2194" s="26">
        <v>0</v>
      </c>
      <c r="L2194" s="26">
        <v>0</v>
      </c>
    </row>
    <row r="2195" spans="1:12" ht="16" customHeight="1">
      <c r="A2195" t="s">
        <v>326</v>
      </c>
      <c r="B2195" t="s">
        <v>4</v>
      </c>
      <c r="C2195" t="s">
        <v>38</v>
      </c>
      <c r="D2195" s="24">
        <v>46054</v>
      </c>
      <c r="E2195" t="s">
        <v>240</v>
      </c>
      <c r="F2195" t="s">
        <v>3</v>
      </c>
      <c r="G2195" t="s">
        <v>241</v>
      </c>
      <c r="H2195" t="s">
        <v>241</v>
      </c>
      <c r="I2195" t="s">
        <v>396</v>
      </c>
      <c r="J2195" s="25">
        <v>0</v>
      </c>
      <c r="K2195" s="26">
        <v>0</v>
      </c>
      <c r="L2195" s="26">
        <v>0</v>
      </c>
    </row>
    <row r="2196" spans="1:12" ht="16" customHeight="1">
      <c r="A2196" t="s">
        <v>326</v>
      </c>
      <c r="B2196" t="s">
        <v>4</v>
      </c>
      <c r="C2196" t="s">
        <v>38</v>
      </c>
      <c r="D2196" s="24">
        <v>46054</v>
      </c>
      <c r="E2196" t="s">
        <v>243</v>
      </c>
      <c r="F2196" t="s">
        <v>4</v>
      </c>
      <c r="G2196" t="s">
        <v>217</v>
      </c>
      <c r="H2196" t="s">
        <v>217</v>
      </c>
      <c r="I2196" t="s">
        <v>397</v>
      </c>
      <c r="J2196" s="25">
        <v>0</v>
      </c>
      <c r="K2196" s="26">
        <v>0</v>
      </c>
      <c r="L2196" s="26">
        <v>0</v>
      </c>
    </row>
    <row r="2197" spans="1:12" ht="16" customHeight="1">
      <c r="A2197" t="s">
        <v>326</v>
      </c>
      <c r="B2197" t="s">
        <v>4</v>
      </c>
      <c r="C2197" t="s">
        <v>38</v>
      </c>
      <c r="D2197" s="24">
        <v>46054</v>
      </c>
      <c r="E2197" t="s">
        <v>360</v>
      </c>
      <c r="F2197" t="s">
        <v>4</v>
      </c>
      <c r="G2197" t="s">
        <v>217</v>
      </c>
      <c r="H2197" t="s">
        <v>217</v>
      </c>
      <c r="I2197" t="s">
        <v>398</v>
      </c>
      <c r="J2197" s="25">
        <v>0</v>
      </c>
      <c r="K2197" s="26">
        <v>0</v>
      </c>
      <c r="L2197" s="26">
        <v>0</v>
      </c>
    </row>
    <row r="2198" spans="1:12" ht="16" customHeight="1">
      <c r="A2198" t="s">
        <v>415</v>
      </c>
      <c r="B2198" t="s">
        <v>5</v>
      </c>
      <c r="C2198" t="s">
        <v>38</v>
      </c>
      <c r="D2198" s="24">
        <v>46054</v>
      </c>
      <c r="E2198" t="s">
        <v>383</v>
      </c>
      <c r="F2198" t="s">
        <v>3</v>
      </c>
      <c r="G2198" t="s">
        <v>241</v>
      </c>
      <c r="H2198" t="s">
        <v>241</v>
      </c>
      <c r="I2198" t="s">
        <v>219</v>
      </c>
      <c r="J2198" s="25">
        <v>64985867</v>
      </c>
      <c r="K2198" s="26">
        <v>10834012.34</v>
      </c>
      <c r="L2198" s="26">
        <v>39227.339999999997</v>
      </c>
    </row>
    <row r="2199" spans="1:12" ht="16" customHeight="1">
      <c r="A2199" t="s">
        <v>415</v>
      </c>
      <c r="B2199" t="s">
        <v>5</v>
      </c>
      <c r="C2199" t="s">
        <v>38</v>
      </c>
      <c r="D2199" s="24">
        <v>46054</v>
      </c>
      <c r="E2199" t="s">
        <v>401</v>
      </c>
      <c r="F2199" t="s">
        <v>4</v>
      </c>
      <c r="G2199" t="s">
        <v>211</v>
      </c>
      <c r="H2199" t="s">
        <v>211</v>
      </c>
      <c r="I2199" t="s">
        <v>219</v>
      </c>
      <c r="J2199" s="25">
        <v>1423266</v>
      </c>
      <c r="K2199" s="26">
        <v>237767.26</v>
      </c>
      <c r="L2199" s="26">
        <v>1240.6600000000001</v>
      </c>
    </row>
    <row r="2200" spans="1:12" ht="16" customHeight="1">
      <c r="A2200" t="s">
        <v>415</v>
      </c>
      <c r="B2200" t="s">
        <v>5</v>
      </c>
      <c r="C2200" t="s">
        <v>38</v>
      </c>
      <c r="D2200" s="24">
        <v>46054</v>
      </c>
      <c r="E2200" t="s">
        <v>406</v>
      </c>
      <c r="F2200" t="s">
        <v>4</v>
      </c>
      <c r="G2200" t="s">
        <v>211</v>
      </c>
      <c r="H2200" t="s">
        <v>211</v>
      </c>
      <c r="I2200" t="s">
        <v>219</v>
      </c>
      <c r="J2200" s="25">
        <v>99623</v>
      </c>
      <c r="K2200" s="26">
        <v>16687.32</v>
      </c>
      <c r="L2200" s="26">
        <v>110.41</v>
      </c>
    </row>
    <row r="2201" spans="1:12" ht="16" customHeight="1">
      <c r="A2201" t="s">
        <v>415</v>
      </c>
      <c r="B2201" t="s">
        <v>5</v>
      </c>
      <c r="C2201" t="s">
        <v>38</v>
      </c>
      <c r="D2201" s="24">
        <v>46054</v>
      </c>
      <c r="E2201" t="s">
        <v>411</v>
      </c>
      <c r="F2201" t="s">
        <v>4</v>
      </c>
      <c r="G2201" t="s">
        <v>211</v>
      </c>
      <c r="H2201" t="s">
        <v>211</v>
      </c>
      <c r="I2201" t="s">
        <v>219</v>
      </c>
      <c r="J2201" s="25">
        <v>42829</v>
      </c>
      <c r="K2201" s="26">
        <v>7189.56</v>
      </c>
      <c r="L2201" s="26">
        <v>56.59</v>
      </c>
    </row>
    <row r="2202" spans="1:12" ht="16" customHeight="1">
      <c r="A2202" t="s">
        <v>415</v>
      </c>
      <c r="B2202" t="s">
        <v>5</v>
      </c>
      <c r="C2202" t="s">
        <v>38</v>
      </c>
      <c r="D2202" s="24">
        <v>46054</v>
      </c>
      <c r="E2202" t="s">
        <v>357</v>
      </c>
      <c r="F2202" t="s">
        <v>3</v>
      </c>
      <c r="G2202" t="s">
        <v>358</v>
      </c>
      <c r="H2202" t="s">
        <v>358</v>
      </c>
      <c r="I2202" t="s">
        <v>219</v>
      </c>
      <c r="J2202" s="25">
        <v>1388202</v>
      </c>
      <c r="K2202" s="26">
        <v>232958.04</v>
      </c>
      <c r="L2202" s="26">
        <v>1988.43</v>
      </c>
    </row>
    <row r="2203" spans="1:12" ht="16" customHeight="1">
      <c r="A2203" t="s">
        <v>415</v>
      </c>
      <c r="B2203" t="s">
        <v>5</v>
      </c>
      <c r="C2203" t="s">
        <v>38</v>
      </c>
      <c r="D2203" s="24">
        <v>46054</v>
      </c>
      <c r="E2203" t="s">
        <v>387</v>
      </c>
      <c r="F2203" t="s">
        <v>4</v>
      </c>
      <c r="G2203" t="s">
        <v>217</v>
      </c>
      <c r="H2203" t="s">
        <v>217</v>
      </c>
      <c r="I2203" t="s">
        <v>221</v>
      </c>
      <c r="J2203" s="25">
        <v>128489</v>
      </c>
      <c r="K2203" s="26">
        <v>21590.32</v>
      </c>
      <c r="L2203" s="26">
        <v>192.86</v>
      </c>
    </row>
    <row r="2204" spans="1:12" ht="16" customHeight="1">
      <c r="A2204" t="s">
        <v>415</v>
      </c>
      <c r="B2204" t="s">
        <v>5</v>
      </c>
      <c r="C2204" t="s">
        <v>38</v>
      </c>
      <c r="D2204" s="24">
        <v>46054</v>
      </c>
      <c r="E2204" t="s">
        <v>416</v>
      </c>
      <c r="F2204" t="s">
        <v>4</v>
      </c>
      <c r="G2204" t="s">
        <v>217</v>
      </c>
      <c r="H2204" t="s">
        <v>217</v>
      </c>
      <c r="I2204" t="s">
        <v>223</v>
      </c>
      <c r="J2204" s="25">
        <v>9435</v>
      </c>
      <c r="K2204" s="26">
        <v>1586.75</v>
      </c>
      <c r="L2204" s="26">
        <v>21.41</v>
      </c>
    </row>
    <row r="2205" spans="1:12" ht="16" customHeight="1">
      <c r="A2205" t="s">
        <v>415</v>
      </c>
      <c r="B2205" t="s">
        <v>5</v>
      </c>
      <c r="C2205" t="s">
        <v>38</v>
      </c>
      <c r="D2205" s="24">
        <v>46054</v>
      </c>
      <c r="E2205" t="s">
        <v>226</v>
      </c>
      <c r="F2205" t="s">
        <v>4</v>
      </c>
      <c r="G2205" t="s">
        <v>217</v>
      </c>
      <c r="H2205" t="s">
        <v>217</v>
      </c>
      <c r="I2205" t="s">
        <v>300</v>
      </c>
      <c r="J2205" s="25">
        <v>41720</v>
      </c>
      <c r="K2205" s="26">
        <v>7108.1</v>
      </c>
      <c r="L2205" s="26">
        <v>114.5</v>
      </c>
    </row>
    <row r="2206" spans="1:12" ht="16" customHeight="1">
      <c r="A2206" t="s">
        <v>415</v>
      </c>
      <c r="B2206" t="s">
        <v>5</v>
      </c>
      <c r="C2206" t="s">
        <v>38</v>
      </c>
      <c r="D2206" s="24">
        <v>46054</v>
      </c>
      <c r="E2206" t="s">
        <v>269</v>
      </c>
      <c r="F2206" t="s">
        <v>4</v>
      </c>
      <c r="G2206" t="s">
        <v>217</v>
      </c>
      <c r="H2206" t="s">
        <v>217</v>
      </c>
      <c r="I2206" t="s">
        <v>301</v>
      </c>
      <c r="J2206" s="25">
        <v>4621</v>
      </c>
      <c r="K2206" s="26">
        <v>792.94</v>
      </c>
      <c r="L2206" s="26">
        <v>17.16</v>
      </c>
    </row>
    <row r="2207" spans="1:12" ht="16" customHeight="1">
      <c r="A2207" t="s">
        <v>415</v>
      </c>
      <c r="B2207" t="s">
        <v>5</v>
      </c>
      <c r="C2207" t="s">
        <v>38</v>
      </c>
      <c r="D2207" s="24">
        <v>46054</v>
      </c>
      <c r="E2207" t="s">
        <v>228</v>
      </c>
      <c r="F2207" t="s">
        <v>4</v>
      </c>
      <c r="G2207" t="s">
        <v>217</v>
      </c>
      <c r="H2207" t="s">
        <v>217</v>
      </c>
      <c r="I2207" t="s">
        <v>302</v>
      </c>
      <c r="J2207" s="25">
        <v>11160</v>
      </c>
      <c r="K2207" s="26">
        <v>1936</v>
      </c>
      <c r="L2207" s="26">
        <v>46.58</v>
      </c>
    </row>
    <row r="2208" spans="1:12" ht="16" customHeight="1">
      <c r="A2208" t="s">
        <v>415</v>
      </c>
      <c r="B2208" t="s">
        <v>5</v>
      </c>
      <c r="C2208" t="s">
        <v>38</v>
      </c>
      <c r="D2208" s="24">
        <v>46054</v>
      </c>
      <c r="E2208" t="s">
        <v>230</v>
      </c>
      <c r="F2208" t="s">
        <v>4</v>
      </c>
      <c r="G2208" t="s">
        <v>217</v>
      </c>
      <c r="H2208" t="s">
        <v>217</v>
      </c>
      <c r="I2208" t="s">
        <v>391</v>
      </c>
      <c r="J2208" s="25">
        <v>0</v>
      </c>
      <c r="K2208" s="26">
        <v>0</v>
      </c>
      <c r="L2208" s="26">
        <v>0</v>
      </c>
    </row>
    <row r="2209" spans="1:12" ht="16" customHeight="1">
      <c r="A2209" t="s">
        <v>415</v>
      </c>
      <c r="B2209" t="s">
        <v>5</v>
      </c>
      <c r="C2209" t="s">
        <v>38</v>
      </c>
      <c r="D2209" s="24">
        <v>46054</v>
      </c>
      <c r="E2209" t="s">
        <v>232</v>
      </c>
      <c r="F2209" t="s">
        <v>4</v>
      </c>
      <c r="G2209" t="s">
        <v>217</v>
      </c>
      <c r="H2209" t="s">
        <v>217</v>
      </c>
      <c r="I2209" t="s">
        <v>392</v>
      </c>
      <c r="J2209" s="25">
        <v>29</v>
      </c>
      <c r="K2209" s="26">
        <v>5.4</v>
      </c>
      <c r="L2209" s="26">
        <v>0.4</v>
      </c>
    </row>
    <row r="2210" spans="1:12" ht="16" customHeight="1">
      <c r="A2210" t="s">
        <v>415</v>
      </c>
      <c r="B2210" t="s">
        <v>5</v>
      </c>
      <c r="C2210" t="s">
        <v>38</v>
      </c>
      <c r="D2210" s="24">
        <v>46054</v>
      </c>
      <c r="E2210" t="s">
        <v>234</v>
      </c>
      <c r="F2210" t="s">
        <v>4</v>
      </c>
      <c r="G2210" t="s">
        <v>217</v>
      </c>
      <c r="H2210" t="s">
        <v>217</v>
      </c>
      <c r="I2210" t="s">
        <v>393</v>
      </c>
      <c r="J2210" s="25">
        <v>0</v>
      </c>
      <c r="K2210" s="26">
        <v>0</v>
      </c>
      <c r="L2210" s="26">
        <v>0</v>
      </c>
    </row>
    <row r="2211" spans="1:12" ht="16" customHeight="1">
      <c r="A2211" t="s">
        <v>415</v>
      </c>
      <c r="B2211" t="s">
        <v>5</v>
      </c>
      <c r="C2211" t="s">
        <v>38</v>
      </c>
      <c r="D2211" s="24">
        <v>46054</v>
      </c>
      <c r="E2211" t="s">
        <v>236</v>
      </c>
      <c r="F2211" t="s">
        <v>4</v>
      </c>
      <c r="G2211" t="s">
        <v>217</v>
      </c>
      <c r="H2211" t="s">
        <v>217</v>
      </c>
      <c r="I2211" t="s">
        <v>394</v>
      </c>
      <c r="J2211" s="25">
        <v>0</v>
      </c>
      <c r="K2211" s="26">
        <v>0</v>
      </c>
      <c r="L2211" s="26">
        <v>0</v>
      </c>
    </row>
    <row r="2212" spans="1:12" ht="16" customHeight="1">
      <c r="A2212" t="s">
        <v>415</v>
      </c>
      <c r="B2212" t="s">
        <v>5</v>
      </c>
      <c r="C2212" t="s">
        <v>38</v>
      </c>
      <c r="D2212" s="24">
        <v>46054</v>
      </c>
      <c r="E2212" t="s">
        <v>238</v>
      </c>
      <c r="F2212" t="s">
        <v>4</v>
      </c>
      <c r="G2212" t="s">
        <v>217</v>
      </c>
      <c r="H2212" t="s">
        <v>217</v>
      </c>
      <c r="I2212" t="s">
        <v>395</v>
      </c>
      <c r="J2212" s="25">
        <v>0</v>
      </c>
      <c r="K2212" s="26">
        <v>0</v>
      </c>
      <c r="L2212" s="26">
        <v>0</v>
      </c>
    </row>
    <row r="2213" spans="1:12" ht="16" customHeight="1">
      <c r="A2213" t="s">
        <v>415</v>
      </c>
      <c r="B2213" t="s">
        <v>5</v>
      </c>
      <c r="C2213" t="s">
        <v>38</v>
      </c>
      <c r="D2213" s="24">
        <v>46054</v>
      </c>
      <c r="E2213" t="s">
        <v>240</v>
      </c>
      <c r="F2213" t="s">
        <v>3</v>
      </c>
      <c r="G2213" t="s">
        <v>241</v>
      </c>
      <c r="H2213" t="s">
        <v>241</v>
      </c>
      <c r="I2213" t="s">
        <v>396</v>
      </c>
      <c r="J2213" s="25">
        <v>0</v>
      </c>
      <c r="K2213" s="26">
        <v>0</v>
      </c>
      <c r="L2213" s="26">
        <v>0</v>
      </c>
    </row>
    <row r="2214" spans="1:12" ht="16" customHeight="1">
      <c r="A2214" t="s">
        <v>415</v>
      </c>
      <c r="B2214" t="s">
        <v>5</v>
      </c>
      <c r="C2214" t="s">
        <v>38</v>
      </c>
      <c r="D2214" s="24">
        <v>46054</v>
      </c>
      <c r="E2214" t="s">
        <v>243</v>
      </c>
      <c r="F2214" t="s">
        <v>4</v>
      </c>
      <c r="G2214" t="s">
        <v>217</v>
      </c>
      <c r="H2214" t="s">
        <v>217</v>
      </c>
      <c r="I2214" t="s">
        <v>397</v>
      </c>
      <c r="J2214" s="25">
        <v>0</v>
      </c>
      <c r="K2214" s="26">
        <v>0</v>
      </c>
      <c r="L2214" s="26">
        <v>0</v>
      </c>
    </row>
    <row r="2215" spans="1:12" ht="16" customHeight="1">
      <c r="A2215" t="s">
        <v>415</v>
      </c>
      <c r="B2215" t="s">
        <v>5</v>
      </c>
      <c r="C2215" t="s">
        <v>38</v>
      </c>
      <c r="D2215" s="24">
        <v>46054</v>
      </c>
      <c r="E2215" t="s">
        <v>360</v>
      </c>
      <c r="F2215" t="s">
        <v>4</v>
      </c>
      <c r="G2215" t="s">
        <v>217</v>
      </c>
      <c r="H2215" t="s">
        <v>217</v>
      </c>
      <c r="I2215" t="s">
        <v>398</v>
      </c>
      <c r="J2215" s="25">
        <v>0</v>
      </c>
      <c r="K2215" s="26">
        <v>0</v>
      </c>
      <c r="L2215" s="26">
        <v>0</v>
      </c>
    </row>
    <row r="2216" spans="1:12" ht="16" customHeight="1">
      <c r="A2216" t="s">
        <v>417</v>
      </c>
      <c r="B2216" t="s">
        <v>6</v>
      </c>
      <c r="C2216" t="s">
        <v>38</v>
      </c>
      <c r="D2216" s="24">
        <v>46054</v>
      </c>
      <c r="E2216" t="s">
        <v>383</v>
      </c>
      <c r="F2216" t="s">
        <v>3</v>
      </c>
      <c r="G2216" t="s">
        <v>241</v>
      </c>
      <c r="H2216" t="s">
        <v>241</v>
      </c>
      <c r="I2216" t="s">
        <v>219</v>
      </c>
      <c r="J2216" s="25">
        <v>66594422</v>
      </c>
      <c r="K2216" s="26">
        <v>11077037.779999999</v>
      </c>
      <c r="L2216" s="26">
        <v>34007.32</v>
      </c>
    </row>
    <row r="2217" spans="1:12" ht="16" customHeight="1">
      <c r="A2217" t="s">
        <v>417</v>
      </c>
      <c r="B2217" t="s">
        <v>6</v>
      </c>
      <c r="C2217" t="s">
        <v>38</v>
      </c>
      <c r="D2217" s="24">
        <v>46054</v>
      </c>
      <c r="E2217" t="s">
        <v>401</v>
      </c>
      <c r="F2217" t="s">
        <v>4</v>
      </c>
      <c r="G2217" t="s">
        <v>211</v>
      </c>
      <c r="H2217" t="s">
        <v>211</v>
      </c>
      <c r="I2217" t="s">
        <v>219</v>
      </c>
      <c r="J2217" s="25">
        <v>1884086</v>
      </c>
      <c r="K2217" s="26">
        <v>314258.5</v>
      </c>
      <c r="L2217" s="26">
        <v>1537.21</v>
      </c>
    </row>
    <row r="2218" spans="1:12" ht="16" customHeight="1">
      <c r="A2218" t="s">
        <v>417</v>
      </c>
      <c r="B2218" t="s">
        <v>6</v>
      </c>
      <c r="C2218" t="s">
        <v>38</v>
      </c>
      <c r="D2218" s="24">
        <v>46054</v>
      </c>
      <c r="E2218" t="s">
        <v>406</v>
      </c>
      <c r="F2218" t="s">
        <v>4</v>
      </c>
      <c r="G2218" t="s">
        <v>211</v>
      </c>
      <c r="H2218" t="s">
        <v>211</v>
      </c>
      <c r="I2218" t="s">
        <v>219</v>
      </c>
      <c r="J2218" s="25">
        <v>139715</v>
      </c>
      <c r="K2218" s="26">
        <v>23372.52</v>
      </c>
      <c r="L2218" s="26">
        <v>141.76</v>
      </c>
    </row>
    <row r="2219" spans="1:12" ht="16" customHeight="1">
      <c r="A2219" t="s">
        <v>417</v>
      </c>
      <c r="B2219" t="s">
        <v>6</v>
      </c>
      <c r="C2219" t="s">
        <v>38</v>
      </c>
      <c r="D2219" s="24">
        <v>46054</v>
      </c>
      <c r="E2219" t="s">
        <v>411</v>
      </c>
      <c r="F2219" t="s">
        <v>4</v>
      </c>
      <c r="G2219" t="s">
        <v>211</v>
      </c>
      <c r="H2219" t="s">
        <v>211</v>
      </c>
      <c r="I2219" t="s">
        <v>219</v>
      </c>
      <c r="J2219" s="25">
        <v>32816</v>
      </c>
      <c r="K2219" s="26">
        <v>5498.58</v>
      </c>
      <c r="L2219" s="26">
        <v>43.87</v>
      </c>
    </row>
    <row r="2220" spans="1:12" ht="16" customHeight="1">
      <c r="A2220" t="s">
        <v>417</v>
      </c>
      <c r="B2220" t="s">
        <v>6</v>
      </c>
      <c r="C2220" t="s">
        <v>38</v>
      </c>
      <c r="D2220" s="24">
        <v>46054</v>
      </c>
      <c r="E2220" t="s">
        <v>357</v>
      </c>
      <c r="F2220" t="s">
        <v>3</v>
      </c>
      <c r="G2220" t="s">
        <v>358</v>
      </c>
      <c r="H2220" t="s">
        <v>358</v>
      </c>
      <c r="I2220" t="s">
        <v>219</v>
      </c>
      <c r="J2220" s="25">
        <v>1085945</v>
      </c>
      <c r="K2220" s="26">
        <v>182283.09</v>
      </c>
      <c r="L2220" s="26">
        <v>1491.1</v>
      </c>
    </row>
    <row r="2221" spans="1:12" ht="16" customHeight="1">
      <c r="A2221" t="s">
        <v>417</v>
      </c>
      <c r="B2221" t="s">
        <v>6</v>
      </c>
      <c r="C2221" t="s">
        <v>38</v>
      </c>
      <c r="D2221" s="24">
        <v>46054</v>
      </c>
      <c r="E2221" t="s">
        <v>387</v>
      </c>
      <c r="F2221" t="s">
        <v>4</v>
      </c>
      <c r="G2221" t="s">
        <v>217</v>
      </c>
      <c r="H2221" t="s">
        <v>217</v>
      </c>
      <c r="I2221" t="s">
        <v>221</v>
      </c>
      <c r="J2221" s="25">
        <v>88608</v>
      </c>
      <c r="K2221" s="26">
        <v>14936.32</v>
      </c>
      <c r="L2221" s="26">
        <v>142.30000000000001</v>
      </c>
    </row>
    <row r="2222" spans="1:12" ht="16" customHeight="1">
      <c r="A2222" t="s">
        <v>417</v>
      </c>
      <c r="B2222" t="s">
        <v>6</v>
      </c>
      <c r="C2222" t="s">
        <v>38</v>
      </c>
      <c r="D2222" s="24">
        <v>46054</v>
      </c>
      <c r="E2222" t="s">
        <v>416</v>
      </c>
      <c r="F2222" t="s">
        <v>4</v>
      </c>
      <c r="G2222" t="s">
        <v>217</v>
      </c>
      <c r="H2222" t="s">
        <v>217</v>
      </c>
      <c r="I2222" t="s">
        <v>223</v>
      </c>
      <c r="J2222" s="25">
        <v>7317</v>
      </c>
      <c r="K2222" s="26">
        <v>1241.2</v>
      </c>
      <c r="L2222" s="26">
        <v>16.91</v>
      </c>
    </row>
    <row r="2223" spans="1:12" ht="16" customHeight="1">
      <c r="A2223" t="s">
        <v>417</v>
      </c>
      <c r="B2223" t="s">
        <v>6</v>
      </c>
      <c r="C2223" t="s">
        <v>38</v>
      </c>
      <c r="D2223" s="24">
        <v>46054</v>
      </c>
      <c r="E2223" t="s">
        <v>226</v>
      </c>
      <c r="F2223" t="s">
        <v>4</v>
      </c>
      <c r="G2223" t="s">
        <v>217</v>
      </c>
      <c r="H2223" t="s">
        <v>217</v>
      </c>
      <c r="I2223" t="s">
        <v>300</v>
      </c>
      <c r="J2223" s="25">
        <v>35556</v>
      </c>
      <c r="K2223" s="26">
        <v>6008.91</v>
      </c>
      <c r="L2223" s="26">
        <v>94.08</v>
      </c>
    </row>
    <row r="2224" spans="1:12" ht="16" customHeight="1">
      <c r="A2224" t="s">
        <v>417</v>
      </c>
      <c r="B2224" t="s">
        <v>6</v>
      </c>
      <c r="C2224" t="s">
        <v>38</v>
      </c>
      <c r="D2224" s="24">
        <v>46054</v>
      </c>
      <c r="E2224" t="s">
        <v>269</v>
      </c>
      <c r="F2224" t="s">
        <v>4</v>
      </c>
      <c r="G2224" t="s">
        <v>217</v>
      </c>
      <c r="H2224" t="s">
        <v>217</v>
      </c>
      <c r="I2224" t="s">
        <v>301</v>
      </c>
      <c r="J2224" s="25">
        <v>2862</v>
      </c>
      <c r="K2224" s="26">
        <v>483.84</v>
      </c>
      <c r="L2224" s="26">
        <v>9.6</v>
      </c>
    </row>
    <row r="2225" spans="1:12" ht="16" customHeight="1">
      <c r="A2225" t="s">
        <v>417</v>
      </c>
      <c r="B2225" t="s">
        <v>6</v>
      </c>
      <c r="C2225" t="s">
        <v>38</v>
      </c>
      <c r="D2225" s="24">
        <v>46054</v>
      </c>
      <c r="E2225" t="s">
        <v>228</v>
      </c>
      <c r="F2225" t="s">
        <v>4</v>
      </c>
      <c r="G2225" t="s">
        <v>217</v>
      </c>
      <c r="H2225" t="s">
        <v>217</v>
      </c>
      <c r="I2225" t="s">
        <v>302</v>
      </c>
      <c r="J2225" s="25">
        <v>8429</v>
      </c>
      <c r="K2225" s="26">
        <v>1459.93</v>
      </c>
      <c r="L2225" s="26">
        <v>34.64</v>
      </c>
    </row>
    <row r="2226" spans="1:12" ht="16" customHeight="1">
      <c r="A2226" t="s">
        <v>417</v>
      </c>
      <c r="B2226" t="s">
        <v>6</v>
      </c>
      <c r="C2226" t="s">
        <v>38</v>
      </c>
      <c r="D2226" s="24">
        <v>46054</v>
      </c>
      <c r="E2226" t="s">
        <v>230</v>
      </c>
      <c r="F2226" t="s">
        <v>4</v>
      </c>
      <c r="G2226" t="s">
        <v>217</v>
      </c>
      <c r="H2226" t="s">
        <v>217</v>
      </c>
      <c r="I2226" t="s">
        <v>391</v>
      </c>
      <c r="J2226" s="25">
        <v>0</v>
      </c>
      <c r="K2226" s="26">
        <v>0</v>
      </c>
      <c r="L2226" s="26">
        <v>0</v>
      </c>
    </row>
    <row r="2227" spans="1:12" ht="16" customHeight="1">
      <c r="A2227" t="s">
        <v>417</v>
      </c>
      <c r="B2227" t="s">
        <v>6</v>
      </c>
      <c r="C2227" t="s">
        <v>38</v>
      </c>
      <c r="D2227" s="24">
        <v>46054</v>
      </c>
      <c r="E2227" t="s">
        <v>232</v>
      </c>
      <c r="F2227" t="s">
        <v>4</v>
      </c>
      <c r="G2227" t="s">
        <v>217</v>
      </c>
      <c r="H2227" t="s">
        <v>217</v>
      </c>
      <c r="I2227" t="s">
        <v>392</v>
      </c>
      <c r="J2227" s="25">
        <v>53</v>
      </c>
      <c r="K2227" s="26">
        <v>9.84</v>
      </c>
      <c r="L2227" s="26">
        <v>0.66</v>
      </c>
    </row>
    <row r="2228" spans="1:12" ht="16" customHeight="1">
      <c r="A2228" t="s">
        <v>417</v>
      </c>
      <c r="B2228" t="s">
        <v>6</v>
      </c>
      <c r="C2228" t="s">
        <v>38</v>
      </c>
      <c r="D2228" s="24">
        <v>46054</v>
      </c>
      <c r="E2228" t="s">
        <v>234</v>
      </c>
      <c r="F2228" t="s">
        <v>4</v>
      </c>
      <c r="G2228" t="s">
        <v>217</v>
      </c>
      <c r="H2228" t="s">
        <v>217</v>
      </c>
      <c r="I2228" t="s">
        <v>393</v>
      </c>
      <c r="J2228" s="25">
        <v>0</v>
      </c>
      <c r="K2228" s="26">
        <v>0</v>
      </c>
      <c r="L2228" s="26">
        <v>0</v>
      </c>
    </row>
    <row r="2229" spans="1:12" ht="16" customHeight="1">
      <c r="A2229" t="s">
        <v>417</v>
      </c>
      <c r="B2229" t="s">
        <v>6</v>
      </c>
      <c r="C2229" t="s">
        <v>38</v>
      </c>
      <c r="D2229" s="24">
        <v>46054</v>
      </c>
      <c r="E2229" t="s">
        <v>236</v>
      </c>
      <c r="F2229" t="s">
        <v>4</v>
      </c>
      <c r="G2229" t="s">
        <v>217</v>
      </c>
      <c r="H2229" t="s">
        <v>217</v>
      </c>
      <c r="I2229" t="s">
        <v>394</v>
      </c>
      <c r="J2229" s="25">
        <v>1</v>
      </c>
      <c r="K2229" s="26">
        <v>0.18</v>
      </c>
      <c r="L2229" s="26">
        <v>0.01</v>
      </c>
    </row>
    <row r="2230" spans="1:12" ht="16" customHeight="1">
      <c r="A2230" t="s">
        <v>417</v>
      </c>
      <c r="B2230" t="s">
        <v>6</v>
      </c>
      <c r="C2230" t="s">
        <v>38</v>
      </c>
      <c r="D2230" s="24">
        <v>46054</v>
      </c>
      <c r="E2230" t="s">
        <v>238</v>
      </c>
      <c r="F2230" t="s">
        <v>4</v>
      </c>
      <c r="G2230" t="s">
        <v>217</v>
      </c>
      <c r="H2230" t="s">
        <v>217</v>
      </c>
      <c r="I2230" t="s">
        <v>395</v>
      </c>
      <c r="J2230" s="25">
        <v>0</v>
      </c>
      <c r="K2230" s="26">
        <v>0</v>
      </c>
      <c r="L2230" s="26">
        <v>0</v>
      </c>
    </row>
    <row r="2231" spans="1:12" ht="16" customHeight="1">
      <c r="A2231" t="s">
        <v>417</v>
      </c>
      <c r="B2231" t="s">
        <v>6</v>
      </c>
      <c r="C2231" t="s">
        <v>38</v>
      </c>
      <c r="D2231" s="24">
        <v>46054</v>
      </c>
      <c r="E2231" t="s">
        <v>240</v>
      </c>
      <c r="F2231" t="s">
        <v>3</v>
      </c>
      <c r="G2231" t="s">
        <v>241</v>
      </c>
      <c r="H2231" t="s">
        <v>241</v>
      </c>
      <c r="I2231" t="s">
        <v>396</v>
      </c>
      <c r="J2231" s="25">
        <v>0</v>
      </c>
      <c r="K2231" s="26">
        <v>0</v>
      </c>
      <c r="L2231" s="26">
        <v>0</v>
      </c>
    </row>
    <row r="2232" spans="1:12" ht="16" customHeight="1">
      <c r="A2232" t="s">
        <v>417</v>
      </c>
      <c r="B2232" t="s">
        <v>6</v>
      </c>
      <c r="C2232" t="s">
        <v>38</v>
      </c>
      <c r="D2232" s="24">
        <v>46054</v>
      </c>
      <c r="E2232" t="s">
        <v>243</v>
      </c>
      <c r="F2232" t="s">
        <v>4</v>
      </c>
      <c r="G2232" t="s">
        <v>217</v>
      </c>
      <c r="H2232" t="s">
        <v>217</v>
      </c>
      <c r="I2232" t="s">
        <v>397</v>
      </c>
      <c r="J2232" s="25">
        <v>0</v>
      </c>
      <c r="K2232" s="26">
        <v>0</v>
      </c>
      <c r="L2232" s="26">
        <v>0</v>
      </c>
    </row>
    <row r="2233" spans="1:12" ht="16" customHeight="1">
      <c r="A2233" t="s">
        <v>417</v>
      </c>
      <c r="B2233" t="s">
        <v>6</v>
      </c>
      <c r="C2233" t="s">
        <v>38</v>
      </c>
      <c r="D2233" s="24">
        <v>46054</v>
      </c>
      <c r="E2233" t="s">
        <v>360</v>
      </c>
      <c r="F2233" t="s">
        <v>4</v>
      </c>
      <c r="G2233" t="s">
        <v>217</v>
      </c>
      <c r="H2233" t="s">
        <v>217</v>
      </c>
      <c r="I2233" t="s">
        <v>398</v>
      </c>
      <c r="J2233" s="25">
        <v>0</v>
      </c>
      <c r="K2233" s="26">
        <v>0</v>
      </c>
      <c r="L2233" s="26">
        <v>0</v>
      </c>
    </row>
    <row r="2234" spans="1:12" ht="16" customHeight="1">
      <c r="A2234" t="s">
        <v>418</v>
      </c>
      <c r="B2234" t="s">
        <v>7</v>
      </c>
      <c r="C2234" t="s">
        <v>38</v>
      </c>
      <c r="D2234" s="24">
        <v>46054</v>
      </c>
      <c r="E2234" t="s">
        <v>383</v>
      </c>
      <c r="F2234" t="s">
        <v>3</v>
      </c>
      <c r="G2234" t="s">
        <v>241</v>
      </c>
      <c r="H2234" t="s">
        <v>241</v>
      </c>
      <c r="I2234" t="s">
        <v>219</v>
      </c>
      <c r="J2234" s="25">
        <v>130736288</v>
      </c>
      <c r="K2234" s="26">
        <v>21612241.5</v>
      </c>
      <c r="L2234" s="26">
        <v>57050.76</v>
      </c>
    </row>
    <row r="2235" spans="1:12" ht="16" customHeight="1">
      <c r="A2235" t="s">
        <v>418</v>
      </c>
      <c r="B2235" t="s">
        <v>7</v>
      </c>
      <c r="C2235" t="s">
        <v>38</v>
      </c>
      <c r="D2235" s="24">
        <v>46054</v>
      </c>
      <c r="E2235" t="s">
        <v>401</v>
      </c>
      <c r="F2235" t="s">
        <v>4</v>
      </c>
      <c r="G2235" t="s">
        <v>211</v>
      </c>
      <c r="H2235" t="s">
        <v>211</v>
      </c>
      <c r="I2235" t="s">
        <v>219</v>
      </c>
      <c r="J2235" s="25">
        <v>3838738</v>
      </c>
      <c r="K2235" s="26">
        <v>639976.61</v>
      </c>
      <c r="L2235" s="26">
        <v>2696</v>
      </c>
    </row>
    <row r="2236" spans="1:12" ht="16" customHeight="1">
      <c r="A2236" t="s">
        <v>418</v>
      </c>
      <c r="B2236" t="s">
        <v>7</v>
      </c>
      <c r="C2236" t="s">
        <v>38</v>
      </c>
      <c r="D2236" s="24">
        <v>46054</v>
      </c>
      <c r="E2236" t="s">
        <v>406</v>
      </c>
      <c r="F2236" t="s">
        <v>4</v>
      </c>
      <c r="G2236" t="s">
        <v>211</v>
      </c>
      <c r="H2236" t="s">
        <v>211</v>
      </c>
      <c r="I2236" t="s">
        <v>219</v>
      </c>
      <c r="J2236" s="25">
        <v>236296</v>
      </c>
      <c r="K2236" s="26">
        <v>39369.760000000002</v>
      </c>
      <c r="L2236" s="26">
        <v>251.89</v>
      </c>
    </row>
    <row r="2237" spans="1:12" ht="16" customHeight="1">
      <c r="A2237" t="s">
        <v>418</v>
      </c>
      <c r="B2237" t="s">
        <v>7</v>
      </c>
      <c r="C2237" t="s">
        <v>38</v>
      </c>
      <c r="D2237" s="24">
        <v>46054</v>
      </c>
      <c r="E2237" t="s">
        <v>411</v>
      </c>
      <c r="F2237" t="s">
        <v>4</v>
      </c>
      <c r="G2237" t="s">
        <v>211</v>
      </c>
      <c r="H2237" t="s">
        <v>211</v>
      </c>
      <c r="I2237" t="s">
        <v>219</v>
      </c>
      <c r="J2237" s="25">
        <v>57012</v>
      </c>
      <c r="K2237" s="26">
        <v>9516.7999999999993</v>
      </c>
      <c r="L2237" s="26">
        <v>78.11</v>
      </c>
    </row>
    <row r="2238" spans="1:12" ht="16" customHeight="1">
      <c r="A2238" t="s">
        <v>418</v>
      </c>
      <c r="B2238" t="s">
        <v>7</v>
      </c>
      <c r="C2238" t="s">
        <v>38</v>
      </c>
      <c r="D2238" s="24">
        <v>46054</v>
      </c>
      <c r="E2238" t="s">
        <v>357</v>
      </c>
      <c r="F2238" t="s">
        <v>3</v>
      </c>
      <c r="G2238" t="s">
        <v>358</v>
      </c>
      <c r="H2238" t="s">
        <v>358</v>
      </c>
      <c r="I2238" t="s">
        <v>219</v>
      </c>
      <c r="J2238" s="25">
        <v>1523031</v>
      </c>
      <c r="K2238" s="26">
        <v>254243.31</v>
      </c>
      <c r="L2238" s="26">
        <v>2179.9299999999998</v>
      </c>
    </row>
    <row r="2239" spans="1:12" ht="16" customHeight="1">
      <c r="A2239" t="s">
        <v>418</v>
      </c>
      <c r="B2239" t="s">
        <v>7</v>
      </c>
      <c r="C2239" t="s">
        <v>38</v>
      </c>
      <c r="D2239" s="24">
        <v>46054</v>
      </c>
      <c r="E2239" t="s">
        <v>387</v>
      </c>
      <c r="F2239" t="s">
        <v>4</v>
      </c>
      <c r="G2239" t="s">
        <v>217</v>
      </c>
      <c r="H2239" t="s">
        <v>217</v>
      </c>
      <c r="I2239" t="s">
        <v>221</v>
      </c>
      <c r="J2239" s="25">
        <v>174252</v>
      </c>
      <c r="K2239" s="26">
        <v>29296.82</v>
      </c>
      <c r="L2239" s="26">
        <v>304.82</v>
      </c>
    </row>
    <row r="2240" spans="1:12" ht="16" customHeight="1">
      <c r="A2240" t="s">
        <v>418</v>
      </c>
      <c r="B2240" t="s">
        <v>7</v>
      </c>
      <c r="C2240" t="s">
        <v>38</v>
      </c>
      <c r="D2240" s="24">
        <v>46054</v>
      </c>
      <c r="E2240" t="s">
        <v>416</v>
      </c>
      <c r="F2240" t="s">
        <v>4</v>
      </c>
      <c r="G2240" t="s">
        <v>217</v>
      </c>
      <c r="H2240" t="s">
        <v>217</v>
      </c>
      <c r="I2240" t="s">
        <v>223</v>
      </c>
      <c r="J2240" s="25">
        <v>17475</v>
      </c>
      <c r="K2240" s="26">
        <v>2926.3</v>
      </c>
      <c r="L2240" s="26">
        <v>40.75</v>
      </c>
    </row>
    <row r="2241" spans="1:12" ht="16" customHeight="1">
      <c r="A2241" t="s">
        <v>418</v>
      </c>
      <c r="B2241" t="s">
        <v>7</v>
      </c>
      <c r="C2241" t="s">
        <v>38</v>
      </c>
      <c r="D2241" s="24">
        <v>46054</v>
      </c>
      <c r="E2241" t="s">
        <v>226</v>
      </c>
      <c r="F2241" t="s">
        <v>4</v>
      </c>
      <c r="G2241" t="s">
        <v>217</v>
      </c>
      <c r="H2241" t="s">
        <v>217</v>
      </c>
      <c r="I2241" t="s">
        <v>300</v>
      </c>
      <c r="J2241" s="25">
        <v>60808</v>
      </c>
      <c r="K2241" s="26">
        <v>10136.299999999999</v>
      </c>
      <c r="L2241" s="26">
        <v>153.24</v>
      </c>
    </row>
    <row r="2242" spans="1:12" ht="16" customHeight="1">
      <c r="A2242" t="s">
        <v>418</v>
      </c>
      <c r="B2242" t="s">
        <v>7</v>
      </c>
      <c r="C2242" t="s">
        <v>38</v>
      </c>
      <c r="D2242" s="24">
        <v>46054</v>
      </c>
      <c r="E2242" t="s">
        <v>269</v>
      </c>
      <c r="F2242" t="s">
        <v>4</v>
      </c>
      <c r="G2242" t="s">
        <v>217</v>
      </c>
      <c r="H2242" t="s">
        <v>217</v>
      </c>
      <c r="I2242" t="s">
        <v>301</v>
      </c>
      <c r="J2242" s="25">
        <v>9654</v>
      </c>
      <c r="K2242" s="26">
        <v>1622.17</v>
      </c>
      <c r="L2242" s="26">
        <v>33.53</v>
      </c>
    </row>
    <row r="2243" spans="1:12" ht="16" customHeight="1">
      <c r="A2243" t="s">
        <v>418</v>
      </c>
      <c r="B2243" t="s">
        <v>7</v>
      </c>
      <c r="C2243" t="s">
        <v>38</v>
      </c>
      <c r="D2243" s="24">
        <v>46054</v>
      </c>
      <c r="E2243" t="s">
        <v>228</v>
      </c>
      <c r="F2243" t="s">
        <v>4</v>
      </c>
      <c r="G2243" t="s">
        <v>217</v>
      </c>
      <c r="H2243" t="s">
        <v>217</v>
      </c>
      <c r="I2243" t="s">
        <v>302</v>
      </c>
      <c r="J2243" s="25">
        <v>23522</v>
      </c>
      <c r="K2243" s="26">
        <v>4012.02</v>
      </c>
      <c r="L2243" s="26">
        <v>92.41</v>
      </c>
    </row>
    <row r="2244" spans="1:12" ht="16" customHeight="1">
      <c r="A2244" t="s">
        <v>418</v>
      </c>
      <c r="B2244" t="s">
        <v>7</v>
      </c>
      <c r="C2244" t="s">
        <v>38</v>
      </c>
      <c r="D2244" s="24">
        <v>46054</v>
      </c>
      <c r="E2244" t="s">
        <v>230</v>
      </c>
      <c r="F2244" t="s">
        <v>4</v>
      </c>
      <c r="G2244" t="s">
        <v>217</v>
      </c>
      <c r="H2244" t="s">
        <v>217</v>
      </c>
      <c r="I2244" t="s">
        <v>391</v>
      </c>
      <c r="J2244" s="25">
        <v>0</v>
      </c>
      <c r="K2244" s="26">
        <v>0</v>
      </c>
      <c r="L2244" s="26">
        <v>0</v>
      </c>
    </row>
    <row r="2245" spans="1:12" ht="16" customHeight="1">
      <c r="A2245" t="s">
        <v>418</v>
      </c>
      <c r="B2245" t="s">
        <v>7</v>
      </c>
      <c r="C2245" t="s">
        <v>38</v>
      </c>
      <c r="D2245" s="24">
        <v>46054</v>
      </c>
      <c r="E2245" t="s">
        <v>232</v>
      </c>
      <c r="F2245" t="s">
        <v>4</v>
      </c>
      <c r="G2245" t="s">
        <v>217</v>
      </c>
      <c r="H2245" t="s">
        <v>217</v>
      </c>
      <c r="I2245" t="s">
        <v>392</v>
      </c>
      <c r="J2245" s="25">
        <v>86</v>
      </c>
      <c r="K2245" s="26">
        <v>15.6</v>
      </c>
      <c r="L2245" s="26">
        <v>0.76</v>
      </c>
    </row>
    <row r="2246" spans="1:12" ht="16" customHeight="1">
      <c r="A2246" t="s">
        <v>418</v>
      </c>
      <c r="B2246" t="s">
        <v>7</v>
      </c>
      <c r="C2246" t="s">
        <v>38</v>
      </c>
      <c r="D2246" s="24">
        <v>46054</v>
      </c>
      <c r="E2246" t="s">
        <v>234</v>
      </c>
      <c r="F2246" t="s">
        <v>4</v>
      </c>
      <c r="G2246" t="s">
        <v>217</v>
      </c>
      <c r="H2246" t="s">
        <v>217</v>
      </c>
      <c r="I2246" t="s">
        <v>393</v>
      </c>
      <c r="J2246" s="25">
        <v>0</v>
      </c>
      <c r="K2246" s="26">
        <v>0</v>
      </c>
      <c r="L2246" s="26">
        <v>0</v>
      </c>
    </row>
    <row r="2247" spans="1:12" ht="16" customHeight="1">
      <c r="A2247" t="s">
        <v>418</v>
      </c>
      <c r="B2247" t="s">
        <v>7</v>
      </c>
      <c r="C2247" t="s">
        <v>38</v>
      </c>
      <c r="D2247" s="24">
        <v>46054</v>
      </c>
      <c r="E2247" t="s">
        <v>236</v>
      </c>
      <c r="F2247" t="s">
        <v>4</v>
      </c>
      <c r="G2247" t="s">
        <v>217</v>
      </c>
      <c r="H2247" t="s">
        <v>217</v>
      </c>
      <c r="I2247" t="s">
        <v>394</v>
      </c>
      <c r="J2247" s="25">
        <v>1</v>
      </c>
      <c r="K2247" s="26">
        <v>0.18</v>
      </c>
      <c r="L2247" s="26">
        <v>0.01</v>
      </c>
    </row>
    <row r="2248" spans="1:12" ht="16" customHeight="1">
      <c r="A2248" t="s">
        <v>418</v>
      </c>
      <c r="B2248" t="s">
        <v>7</v>
      </c>
      <c r="C2248" t="s">
        <v>38</v>
      </c>
      <c r="D2248" s="24">
        <v>46054</v>
      </c>
      <c r="E2248" t="s">
        <v>238</v>
      </c>
      <c r="F2248" t="s">
        <v>4</v>
      </c>
      <c r="G2248" t="s">
        <v>217</v>
      </c>
      <c r="H2248" t="s">
        <v>217</v>
      </c>
      <c r="I2248" t="s">
        <v>395</v>
      </c>
      <c r="J2248" s="25">
        <v>0</v>
      </c>
      <c r="K2248" s="26">
        <v>0</v>
      </c>
      <c r="L2248" s="26">
        <v>0</v>
      </c>
    </row>
    <row r="2249" spans="1:12" ht="16" customHeight="1">
      <c r="A2249" t="s">
        <v>418</v>
      </c>
      <c r="B2249" t="s">
        <v>7</v>
      </c>
      <c r="C2249" t="s">
        <v>38</v>
      </c>
      <c r="D2249" s="24">
        <v>46054</v>
      </c>
      <c r="E2249" t="s">
        <v>240</v>
      </c>
      <c r="F2249" t="s">
        <v>3</v>
      </c>
      <c r="G2249" t="s">
        <v>241</v>
      </c>
      <c r="H2249" t="s">
        <v>241</v>
      </c>
      <c r="I2249" t="s">
        <v>396</v>
      </c>
      <c r="J2249" s="25">
        <v>0</v>
      </c>
      <c r="K2249" s="26">
        <v>0</v>
      </c>
      <c r="L2249" s="26">
        <v>0</v>
      </c>
    </row>
    <row r="2250" spans="1:12" ht="16" customHeight="1">
      <c r="A2250" t="s">
        <v>418</v>
      </c>
      <c r="B2250" t="s">
        <v>7</v>
      </c>
      <c r="C2250" t="s">
        <v>38</v>
      </c>
      <c r="D2250" s="24">
        <v>46054</v>
      </c>
      <c r="E2250" t="s">
        <v>243</v>
      </c>
      <c r="F2250" t="s">
        <v>4</v>
      </c>
      <c r="G2250" t="s">
        <v>217</v>
      </c>
      <c r="H2250" t="s">
        <v>217</v>
      </c>
      <c r="I2250" t="s">
        <v>397</v>
      </c>
      <c r="J2250" s="25">
        <v>0</v>
      </c>
      <c r="K2250" s="26">
        <v>0</v>
      </c>
      <c r="L2250" s="26">
        <v>0</v>
      </c>
    </row>
    <row r="2251" spans="1:12" ht="16" customHeight="1">
      <c r="A2251" t="s">
        <v>418</v>
      </c>
      <c r="B2251" t="s">
        <v>7</v>
      </c>
      <c r="C2251" t="s">
        <v>38</v>
      </c>
      <c r="D2251" s="24">
        <v>46054</v>
      </c>
      <c r="E2251" t="s">
        <v>360</v>
      </c>
      <c r="F2251" t="s">
        <v>4</v>
      </c>
      <c r="G2251" t="s">
        <v>217</v>
      </c>
      <c r="H2251" t="s">
        <v>217</v>
      </c>
      <c r="I2251" t="s">
        <v>398</v>
      </c>
      <c r="J2251" s="25">
        <v>0</v>
      </c>
      <c r="K2251" s="26">
        <v>0</v>
      </c>
      <c r="L2251" s="26">
        <v>0</v>
      </c>
    </row>
    <row r="2252" spans="1:12" ht="16" customHeight="1">
      <c r="A2252" t="s">
        <v>383</v>
      </c>
      <c r="B2252" t="s">
        <v>3</v>
      </c>
      <c r="C2252" t="s">
        <v>39</v>
      </c>
      <c r="D2252" s="24">
        <v>46082</v>
      </c>
      <c r="E2252" t="s">
        <v>383</v>
      </c>
      <c r="F2252" t="s">
        <v>3</v>
      </c>
      <c r="G2252" t="s">
        <v>241</v>
      </c>
      <c r="H2252" t="s">
        <v>241</v>
      </c>
      <c r="I2252" t="s">
        <v>212</v>
      </c>
      <c r="J2252" s="25">
        <v>452059382</v>
      </c>
      <c r="K2252" s="26">
        <v>73001505.439999998</v>
      </c>
      <c r="L2252" s="26">
        <v>91296.66</v>
      </c>
    </row>
    <row r="2253" spans="1:12" ht="16" customHeight="1">
      <c r="A2253" t="s">
        <v>383</v>
      </c>
      <c r="B2253" t="s">
        <v>3</v>
      </c>
      <c r="C2253" t="s">
        <v>39</v>
      </c>
      <c r="D2253" s="24">
        <v>46082</v>
      </c>
      <c r="E2253" t="s">
        <v>401</v>
      </c>
      <c r="F2253" t="s">
        <v>4</v>
      </c>
      <c r="G2253" t="s">
        <v>211</v>
      </c>
      <c r="H2253" t="s">
        <v>211</v>
      </c>
      <c r="I2253" t="s">
        <v>212</v>
      </c>
      <c r="J2253" s="25">
        <v>13362896</v>
      </c>
      <c r="K2253" s="26">
        <v>2191065.8199999998</v>
      </c>
      <c r="L2253" s="26">
        <v>11925.16</v>
      </c>
    </row>
    <row r="2254" spans="1:12" ht="16" customHeight="1">
      <c r="A2254" t="s">
        <v>383</v>
      </c>
      <c r="B2254" t="s">
        <v>3</v>
      </c>
      <c r="C2254" t="s">
        <v>39</v>
      </c>
      <c r="D2254" s="24">
        <v>46082</v>
      </c>
      <c r="E2254" t="s">
        <v>406</v>
      </c>
      <c r="F2254" t="s">
        <v>4</v>
      </c>
      <c r="G2254" t="s">
        <v>211</v>
      </c>
      <c r="H2254" t="s">
        <v>211</v>
      </c>
      <c r="I2254" t="s">
        <v>212</v>
      </c>
      <c r="J2254" s="25">
        <v>597272</v>
      </c>
      <c r="K2254" s="26">
        <v>98039.17</v>
      </c>
      <c r="L2254" s="26">
        <v>725.15</v>
      </c>
    </row>
    <row r="2255" spans="1:12" ht="16" customHeight="1">
      <c r="A2255" t="s">
        <v>383</v>
      </c>
      <c r="B2255" t="s">
        <v>3</v>
      </c>
      <c r="C2255" t="s">
        <v>39</v>
      </c>
      <c r="D2255" s="24">
        <v>46082</v>
      </c>
      <c r="E2255" t="s">
        <v>411</v>
      </c>
      <c r="F2255" t="s">
        <v>4</v>
      </c>
      <c r="G2255" t="s">
        <v>211</v>
      </c>
      <c r="H2255" t="s">
        <v>211</v>
      </c>
      <c r="I2255" t="s">
        <v>212</v>
      </c>
      <c r="J2255" s="25">
        <v>130448</v>
      </c>
      <c r="K2255" s="26">
        <v>21552.400000000001</v>
      </c>
      <c r="L2255" s="26">
        <v>188.17</v>
      </c>
    </row>
    <row r="2256" spans="1:12" ht="16" customHeight="1">
      <c r="A2256" t="s">
        <v>383</v>
      </c>
      <c r="B2256" t="s">
        <v>3</v>
      </c>
      <c r="C2256" t="s">
        <v>39</v>
      </c>
      <c r="D2256" s="24">
        <v>46082</v>
      </c>
      <c r="E2256" t="s">
        <v>357</v>
      </c>
      <c r="F2256" t="s">
        <v>3</v>
      </c>
      <c r="G2256" t="s">
        <v>358</v>
      </c>
      <c r="H2256" t="s">
        <v>358</v>
      </c>
      <c r="I2256" t="s">
        <v>212</v>
      </c>
      <c r="J2256" s="25">
        <v>3003231</v>
      </c>
      <c r="K2256" s="26">
        <v>493349.28</v>
      </c>
      <c r="L2256" s="26">
        <v>4963.7</v>
      </c>
    </row>
    <row r="2257" spans="1:12" ht="16" customHeight="1">
      <c r="A2257" t="s">
        <v>383</v>
      </c>
      <c r="B2257" t="s">
        <v>3</v>
      </c>
      <c r="C2257" t="s">
        <v>39</v>
      </c>
      <c r="D2257" s="24">
        <v>46082</v>
      </c>
      <c r="E2257" t="s">
        <v>387</v>
      </c>
      <c r="F2257" t="s">
        <v>4</v>
      </c>
      <c r="G2257" t="s">
        <v>217</v>
      </c>
      <c r="H2257" t="s">
        <v>217</v>
      </c>
      <c r="I2257" t="s">
        <v>219</v>
      </c>
      <c r="J2257" s="25">
        <v>403798</v>
      </c>
      <c r="K2257" s="26">
        <v>67176.41</v>
      </c>
      <c r="L2257" s="26">
        <v>829.24</v>
      </c>
    </row>
    <row r="2258" spans="1:12" ht="16" customHeight="1">
      <c r="A2258" t="s">
        <v>383</v>
      </c>
      <c r="B2258" t="s">
        <v>3</v>
      </c>
      <c r="C2258" t="s">
        <v>39</v>
      </c>
      <c r="D2258" s="24">
        <v>46082</v>
      </c>
      <c r="E2258" t="s">
        <v>416</v>
      </c>
      <c r="F2258" t="s">
        <v>4</v>
      </c>
      <c r="G2258" t="s">
        <v>217</v>
      </c>
      <c r="H2258" t="s">
        <v>217</v>
      </c>
      <c r="I2258" t="s">
        <v>221</v>
      </c>
      <c r="J2258" s="25">
        <v>60710</v>
      </c>
      <c r="K2258" s="26">
        <v>9996.36</v>
      </c>
      <c r="L2258" s="26">
        <v>155.63</v>
      </c>
    </row>
    <row r="2259" spans="1:12" ht="16" customHeight="1">
      <c r="A2259" t="s">
        <v>383</v>
      </c>
      <c r="B2259" t="s">
        <v>3</v>
      </c>
      <c r="C2259" t="s">
        <v>39</v>
      </c>
      <c r="D2259" s="24">
        <v>46082</v>
      </c>
      <c r="E2259" t="s">
        <v>226</v>
      </c>
      <c r="F2259" t="s">
        <v>4</v>
      </c>
      <c r="G2259" t="s">
        <v>217</v>
      </c>
      <c r="H2259" t="s">
        <v>217</v>
      </c>
      <c r="I2259" t="s">
        <v>223</v>
      </c>
      <c r="J2259" s="25">
        <v>161620</v>
      </c>
      <c r="K2259" s="26">
        <v>26519.69</v>
      </c>
      <c r="L2259" s="26">
        <v>414.13</v>
      </c>
    </row>
    <row r="2260" spans="1:12" ht="16" customHeight="1">
      <c r="A2260" t="s">
        <v>383</v>
      </c>
      <c r="B2260" t="s">
        <v>3</v>
      </c>
      <c r="C2260" t="s">
        <v>39</v>
      </c>
      <c r="D2260" s="24">
        <v>46082</v>
      </c>
      <c r="E2260" t="s">
        <v>269</v>
      </c>
      <c r="F2260" t="s">
        <v>4</v>
      </c>
      <c r="G2260" t="s">
        <v>217</v>
      </c>
      <c r="H2260" t="s">
        <v>217</v>
      </c>
      <c r="I2260" t="s">
        <v>225</v>
      </c>
      <c r="J2260" s="25">
        <v>26117</v>
      </c>
      <c r="K2260" s="26">
        <v>4401.72</v>
      </c>
      <c r="L2260" s="26">
        <v>91.82</v>
      </c>
    </row>
    <row r="2261" spans="1:12" ht="16" customHeight="1">
      <c r="A2261" t="s">
        <v>383</v>
      </c>
      <c r="B2261" t="s">
        <v>3</v>
      </c>
      <c r="C2261" t="s">
        <v>39</v>
      </c>
      <c r="D2261" s="24">
        <v>46082</v>
      </c>
      <c r="E2261" t="s">
        <v>228</v>
      </c>
      <c r="F2261" t="s">
        <v>4</v>
      </c>
      <c r="G2261" t="s">
        <v>217</v>
      </c>
      <c r="H2261" t="s">
        <v>217</v>
      </c>
      <c r="I2261" t="s">
        <v>227</v>
      </c>
      <c r="J2261" s="25">
        <v>54216</v>
      </c>
      <c r="K2261" s="26">
        <v>9188.35</v>
      </c>
      <c r="L2261" s="26">
        <v>263.92</v>
      </c>
    </row>
    <row r="2262" spans="1:12" ht="16" customHeight="1">
      <c r="A2262" t="s">
        <v>383</v>
      </c>
      <c r="B2262" t="s">
        <v>3</v>
      </c>
      <c r="C2262" t="s">
        <v>39</v>
      </c>
      <c r="D2262" s="24">
        <v>46082</v>
      </c>
      <c r="E2262" t="s">
        <v>230</v>
      </c>
      <c r="F2262" t="s">
        <v>4</v>
      </c>
      <c r="G2262" t="s">
        <v>217</v>
      </c>
      <c r="H2262" t="s">
        <v>217</v>
      </c>
      <c r="I2262" t="s">
        <v>229</v>
      </c>
      <c r="J2262" s="25">
        <v>0</v>
      </c>
      <c r="K2262" s="26">
        <v>0</v>
      </c>
      <c r="L2262" s="26">
        <v>0</v>
      </c>
    </row>
    <row r="2263" spans="1:12" ht="16" customHeight="1">
      <c r="A2263" t="s">
        <v>383</v>
      </c>
      <c r="B2263" t="s">
        <v>3</v>
      </c>
      <c r="C2263" t="s">
        <v>39</v>
      </c>
      <c r="D2263" s="24">
        <v>46082</v>
      </c>
      <c r="E2263" t="s">
        <v>232</v>
      </c>
      <c r="F2263" t="s">
        <v>4</v>
      </c>
      <c r="G2263" t="s">
        <v>217</v>
      </c>
      <c r="H2263" t="s">
        <v>217</v>
      </c>
      <c r="I2263" t="s">
        <v>231</v>
      </c>
      <c r="J2263" s="25">
        <v>290</v>
      </c>
      <c r="K2263" s="26">
        <v>49.93</v>
      </c>
      <c r="L2263" s="26">
        <v>2.7</v>
      </c>
    </row>
    <row r="2264" spans="1:12" ht="16" customHeight="1">
      <c r="A2264" t="s">
        <v>383</v>
      </c>
      <c r="B2264" t="s">
        <v>3</v>
      </c>
      <c r="C2264" t="s">
        <v>39</v>
      </c>
      <c r="D2264" s="24">
        <v>46082</v>
      </c>
      <c r="E2264" t="s">
        <v>234</v>
      </c>
      <c r="F2264" t="s">
        <v>4</v>
      </c>
      <c r="G2264" t="s">
        <v>217</v>
      </c>
      <c r="H2264" t="s">
        <v>217</v>
      </c>
      <c r="I2264" t="s">
        <v>233</v>
      </c>
      <c r="J2264" s="25">
        <v>0</v>
      </c>
      <c r="K2264" s="26">
        <v>0</v>
      </c>
      <c r="L2264" s="26">
        <v>0</v>
      </c>
    </row>
    <row r="2265" spans="1:12" ht="16" customHeight="1">
      <c r="A2265" t="s">
        <v>383</v>
      </c>
      <c r="B2265" t="s">
        <v>3</v>
      </c>
      <c r="C2265" t="s">
        <v>39</v>
      </c>
      <c r="D2265" s="24">
        <v>46082</v>
      </c>
      <c r="E2265" t="s">
        <v>236</v>
      </c>
      <c r="F2265" t="s">
        <v>4</v>
      </c>
      <c r="G2265" t="s">
        <v>217</v>
      </c>
      <c r="H2265" t="s">
        <v>217</v>
      </c>
      <c r="I2265" t="s">
        <v>235</v>
      </c>
      <c r="J2265" s="25">
        <v>4</v>
      </c>
      <c r="K2265" s="26">
        <v>0.71</v>
      </c>
      <c r="L2265" s="26">
        <v>0.04</v>
      </c>
    </row>
    <row r="2266" spans="1:12" ht="16" customHeight="1">
      <c r="A2266" t="s">
        <v>383</v>
      </c>
      <c r="B2266" t="s">
        <v>3</v>
      </c>
      <c r="C2266" t="s">
        <v>39</v>
      </c>
      <c r="D2266" s="24">
        <v>46082</v>
      </c>
      <c r="E2266" t="s">
        <v>238</v>
      </c>
      <c r="F2266" t="s">
        <v>4</v>
      </c>
      <c r="G2266" t="s">
        <v>217</v>
      </c>
      <c r="H2266" t="s">
        <v>217</v>
      </c>
      <c r="I2266" t="s">
        <v>237</v>
      </c>
      <c r="J2266" s="25">
        <v>0</v>
      </c>
      <c r="K2266" s="26">
        <v>0</v>
      </c>
      <c r="L2266" s="26">
        <v>0</v>
      </c>
    </row>
    <row r="2267" spans="1:12" ht="16" customHeight="1">
      <c r="A2267" t="s">
        <v>383</v>
      </c>
      <c r="B2267" t="s">
        <v>3</v>
      </c>
      <c r="C2267" t="s">
        <v>39</v>
      </c>
      <c r="D2267" s="24">
        <v>46082</v>
      </c>
      <c r="E2267" t="s">
        <v>240</v>
      </c>
      <c r="F2267" t="s">
        <v>3</v>
      </c>
      <c r="G2267" t="s">
        <v>241</v>
      </c>
      <c r="H2267" t="s">
        <v>241</v>
      </c>
      <c r="I2267" t="s">
        <v>239</v>
      </c>
      <c r="J2267" s="25">
        <v>0</v>
      </c>
      <c r="K2267" s="26">
        <v>0</v>
      </c>
      <c r="L2267" s="26">
        <v>0</v>
      </c>
    </row>
    <row r="2268" spans="1:12" ht="16" customHeight="1">
      <c r="A2268" t="s">
        <v>383</v>
      </c>
      <c r="B2268" t="s">
        <v>3</v>
      </c>
      <c r="C2268" t="s">
        <v>39</v>
      </c>
      <c r="D2268" s="24">
        <v>46082</v>
      </c>
      <c r="E2268" t="s">
        <v>243</v>
      </c>
      <c r="F2268" t="s">
        <v>4</v>
      </c>
      <c r="G2268" t="s">
        <v>217</v>
      </c>
      <c r="H2268" t="s">
        <v>217</v>
      </c>
      <c r="I2268" t="s">
        <v>242</v>
      </c>
      <c r="J2268" s="25">
        <v>0</v>
      </c>
      <c r="K2268" s="26">
        <v>0</v>
      </c>
      <c r="L2268" s="26">
        <v>0</v>
      </c>
    </row>
    <row r="2269" spans="1:12" ht="16" customHeight="1">
      <c r="A2269" t="s">
        <v>383</v>
      </c>
      <c r="B2269" t="s">
        <v>3</v>
      </c>
      <c r="C2269" t="s">
        <v>39</v>
      </c>
      <c r="D2269" s="24">
        <v>46082</v>
      </c>
      <c r="E2269" t="s">
        <v>360</v>
      </c>
      <c r="F2269" t="s">
        <v>4</v>
      </c>
      <c r="G2269" t="s">
        <v>217</v>
      </c>
      <c r="H2269" t="s">
        <v>217</v>
      </c>
      <c r="I2269" t="s">
        <v>244</v>
      </c>
      <c r="J2269" s="25">
        <v>0</v>
      </c>
      <c r="K2269" s="26">
        <v>0</v>
      </c>
      <c r="L2269" s="26">
        <v>0</v>
      </c>
    </row>
    <row r="2270" spans="1:12" ht="16" customHeight="1">
      <c r="A2270" t="s">
        <v>419</v>
      </c>
      <c r="B2270" t="s">
        <v>5</v>
      </c>
      <c r="C2270" t="s">
        <v>39</v>
      </c>
      <c r="D2270" s="24">
        <v>46082</v>
      </c>
      <c r="E2270" t="s">
        <v>401</v>
      </c>
      <c r="F2270" t="s">
        <v>4</v>
      </c>
      <c r="G2270" t="s">
        <v>211</v>
      </c>
      <c r="H2270" t="s">
        <v>211</v>
      </c>
      <c r="I2270" t="s">
        <v>212</v>
      </c>
      <c r="J2270" s="25">
        <v>47826038</v>
      </c>
      <c r="K2270" s="26">
        <v>7730672.2699999996</v>
      </c>
      <c r="L2270" s="26">
        <v>55118.879999999997</v>
      </c>
    </row>
    <row r="2271" spans="1:12" ht="16" customHeight="1">
      <c r="A2271" t="s">
        <v>419</v>
      </c>
      <c r="B2271" t="s">
        <v>5</v>
      </c>
      <c r="C2271" t="s">
        <v>39</v>
      </c>
      <c r="D2271" s="24">
        <v>46082</v>
      </c>
      <c r="E2271" t="s">
        <v>406</v>
      </c>
      <c r="F2271" t="s">
        <v>4</v>
      </c>
      <c r="G2271" t="s">
        <v>211</v>
      </c>
      <c r="H2271" t="s">
        <v>211</v>
      </c>
      <c r="I2271" t="s">
        <v>212</v>
      </c>
      <c r="J2271" s="25">
        <v>1149100</v>
      </c>
      <c r="K2271" s="26">
        <v>187467.19</v>
      </c>
      <c r="L2271" s="26">
        <v>1688.11</v>
      </c>
    </row>
    <row r="2272" spans="1:12" ht="16" customHeight="1">
      <c r="A2272" t="s">
        <v>419</v>
      </c>
      <c r="B2272" t="s">
        <v>5</v>
      </c>
      <c r="C2272" t="s">
        <v>39</v>
      </c>
      <c r="D2272" s="24">
        <v>46082</v>
      </c>
      <c r="E2272" t="s">
        <v>411</v>
      </c>
      <c r="F2272" t="s">
        <v>4</v>
      </c>
      <c r="G2272" t="s">
        <v>211</v>
      </c>
      <c r="H2272" t="s">
        <v>211</v>
      </c>
      <c r="I2272" t="s">
        <v>212</v>
      </c>
      <c r="J2272" s="25">
        <v>139749</v>
      </c>
      <c r="K2272" s="26">
        <v>22872.44</v>
      </c>
      <c r="L2272" s="26">
        <v>236.96</v>
      </c>
    </row>
    <row r="2273" spans="1:12" ht="16" customHeight="1">
      <c r="A2273" t="s">
        <v>419</v>
      </c>
      <c r="B2273" t="s">
        <v>5</v>
      </c>
      <c r="C2273" t="s">
        <v>39</v>
      </c>
      <c r="D2273" s="24">
        <v>46082</v>
      </c>
      <c r="E2273" t="s">
        <v>357</v>
      </c>
      <c r="F2273" t="s">
        <v>3</v>
      </c>
      <c r="G2273" t="s">
        <v>358</v>
      </c>
      <c r="H2273" t="s">
        <v>358</v>
      </c>
      <c r="I2273" t="s">
        <v>212</v>
      </c>
      <c r="J2273" s="25">
        <v>2645590</v>
      </c>
      <c r="K2273" s="26">
        <v>427651.28</v>
      </c>
      <c r="L2273" s="26">
        <v>4995.07</v>
      </c>
    </row>
    <row r="2274" spans="1:12" ht="16" customHeight="1">
      <c r="A2274" t="s">
        <v>419</v>
      </c>
      <c r="B2274" t="s">
        <v>5</v>
      </c>
      <c r="C2274" t="s">
        <v>39</v>
      </c>
      <c r="D2274" s="24">
        <v>46082</v>
      </c>
      <c r="E2274" t="s">
        <v>420</v>
      </c>
      <c r="F2274" t="s">
        <v>4</v>
      </c>
      <c r="G2274" t="s">
        <v>211</v>
      </c>
      <c r="H2274" t="s">
        <v>211</v>
      </c>
      <c r="I2274" t="s">
        <v>219</v>
      </c>
      <c r="J2274" s="25">
        <v>68118</v>
      </c>
      <c r="K2274" s="26">
        <v>11111.23</v>
      </c>
      <c r="L2274" s="26">
        <v>234.52</v>
      </c>
    </row>
    <row r="2275" spans="1:12" ht="16" customHeight="1">
      <c r="A2275" t="s">
        <v>419</v>
      </c>
      <c r="B2275" t="s">
        <v>5</v>
      </c>
      <c r="C2275" t="s">
        <v>39</v>
      </c>
      <c r="D2275" s="24">
        <v>46082</v>
      </c>
      <c r="E2275" t="s">
        <v>387</v>
      </c>
      <c r="F2275" t="s">
        <v>4</v>
      </c>
      <c r="G2275" t="s">
        <v>217</v>
      </c>
      <c r="H2275" t="s">
        <v>217</v>
      </c>
      <c r="I2275" t="s">
        <v>219</v>
      </c>
      <c r="J2275" s="25">
        <v>320088</v>
      </c>
      <c r="K2275" s="26">
        <v>53028.959999999999</v>
      </c>
      <c r="L2275" s="26">
        <v>799.7</v>
      </c>
    </row>
    <row r="2276" spans="1:12" ht="16" customHeight="1">
      <c r="A2276" t="s">
        <v>419</v>
      </c>
      <c r="B2276" t="s">
        <v>5</v>
      </c>
      <c r="C2276" t="s">
        <v>39</v>
      </c>
      <c r="D2276" s="24">
        <v>46082</v>
      </c>
      <c r="E2276" t="s">
        <v>416</v>
      </c>
      <c r="F2276" t="s">
        <v>4</v>
      </c>
      <c r="G2276" t="s">
        <v>217</v>
      </c>
      <c r="H2276" t="s">
        <v>217</v>
      </c>
      <c r="I2276" t="s">
        <v>221</v>
      </c>
      <c r="J2276" s="25">
        <v>59647</v>
      </c>
      <c r="K2276" s="26">
        <v>9951.59</v>
      </c>
      <c r="L2276" s="26">
        <v>174.35</v>
      </c>
    </row>
    <row r="2277" spans="1:12" ht="16" customHeight="1">
      <c r="A2277" t="s">
        <v>419</v>
      </c>
      <c r="B2277" t="s">
        <v>5</v>
      </c>
      <c r="C2277" t="s">
        <v>39</v>
      </c>
      <c r="D2277" s="24">
        <v>46082</v>
      </c>
      <c r="E2277" t="s">
        <v>226</v>
      </c>
      <c r="F2277" t="s">
        <v>4</v>
      </c>
      <c r="G2277" t="s">
        <v>217</v>
      </c>
      <c r="H2277" t="s">
        <v>217</v>
      </c>
      <c r="I2277" t="s">
        <v>223</v>
      </c>
      <c r="J2277" s="25">
        <v>158548</v>
      </c>
      <c r="K2277" s="26">
        <v>25693.439999999999</v>
      </c>
      <c r="L2277" s="26">
        <v>432.64</v>
      </c>
    </row>
    <row r="2278" spans="1:12" ht="16" customHeight="1">
      <c r="A2278" t="s">
        <v>419</v>
      </c>
      <c r="B2278" t="s">
        <v>5</v>
      </c>
      <c r="C2278" t="s">
        <v>39</v>
      </c>
      <c r="D2278" s="24">
        <v>46082</v>
      </c>
      <c r="E2278" t="s">
        <v>269</v>
      </c>
      <c r="F2278" t="s">
        <v>4</v>
      </c>
      <c r="G2278" t="s">
        <v>217</v>
      </c>
      <c r="H2278" t="s">
        <v>217</v>
      </c>
      <c r="I2278" t="s">
        <v>225</v>
      </c>
      <c r="J2278" s="25">
        <v>23122</v>
      </c>
      <c r="K2278" s="26">
        <v>3817.53</v>
      </c>
      <c r="L2278" s="26">
        <v>96.29</v>
      </c>
    </row>
    <row r="2279" spans="1:12" ht="16" customHeight="1">
      <c r="A2279" t="s">
        <v>419</v>
      </c>
      <c r="B2279" t="s">
        <v>5</v>
      </c>
      <c r="C2279" t="s">
        <v>39</v>
      </c>
      <c r="D2279" s="24">
        <v>46082</v>
      </c>
      <c r="E2279" t="s">
        <v>228</v>
      </c>
      <c r="F2279" t="s">
        <v>4</v>
      </c>
      <c r="G2279" t="s">
        <v>217</v>
      </c>
      <c r="H2279" t="s">
        <v>217</v>
      </c>
      <c r="I2279" t="s">
        <v>227</v>
      </c>
      <c r="J2279" s="25">
        <v>53158</v>
      </c>
      <c r="K2279" s="26">
        <v>8947.1200000000008</v>
      </c>
      <c r="L2279" s="26">
        <v>254.43</v>
      </c>
    </row>
    <row r="2280" spans="1:12" ht="16" customHeight="1">
      <c r="A2280" t="s">
        <v>419</v>
      </c>
      <c r="B2280" t="s">
        <v>5</v>
      </c>
      <c r="C2280" t="s">
        <v>39</v>
      </c>
      <c r="D2280" s="24">
        <v>46082</v>
      </c>
      <c r="E2280" t="s">
        <v>230</v>
      </c>
      <c r="F2280" t="s">
        <v>4</v>
      </c>
      <c r="G2280" t="s">
        <v>217</v>
      </c>
      <c r="H2280" t="s">
        <v>217</v>
      </c>
      <c r="I2280" t="s">
        <v>229</v>
      </c>
      <c r="J2280" s="25">
        <v>8</v>
      </c>
      <c r="K2280" s="26">
        <v>1.1000000000000001</v>
      </c>
      <c r="L2280" s="26">
        <v>0.01</v>
      </c>
    </row>
    <row r="2281" spans="1:12" ht="16" customHeight="1">
      <c r="A2281" t="s">
        <v>419</v>
      </c>
      <c r="B2281" t="s">
        <v>5</v>
      </c>
      <c r="C2281" t="s">
        <v>39</v>
      </c>
      <c r="D2281" s="24">
        <v>46082</v>
      </c>
      <c r="E2281" t="s">
        <v>232</v>
      </c>
      <c r="F2281" t="s">
        <v>4</v>
      </c>
      <c r="G2281" t="s">
        <v>217</v>
      </c>
      <c r="H2281" t="s">
        <v>217</v>
      </c>
      <c r="I2281" t="s">
        <v>231</v>
      </c>
      <c r="J2281" s="25">
        <v>549</v>
      </c>
      <c r="K2281" s="26">
        <v>93.58</v>
      </c>
      <c r="L2281" s="26">
        <v>4.88</v>
      </c>
    </row>
    <row r="2282" spans="1:12" ht="16" customHeight="1">
      <c r="A2282" t="s">
        <v>419</v>
      </c>
      <c r="B2282" t="s">
        <v>5</v>
      </c>
      <c r="C2282" t="s">
        <v>39</v>
      </c>
      <c r="D2282" s="24">
        <v>46082</v>
      </c>
      <c r="E2282" t="s">
        <v>234</v>
      </c>
      <c r="F2282" t="s">
        <v>4</v>
      </c>
      <c r="G2282" t="s">
        <v>217</v>
      </c>
      <c r="H2282" t="s">
        <v>217</v>
      </c>
      <c r="I2282" t="s">
        <v>233</v>
      </c>
      <c r="J2282" s="25">
        <v>1</v>
      </c>
      <c r="K2282" s="26">
        <v>0.15</v>
      </c>
      <c r="L2282" s="26">
        <v>0</v>
      </c>
    </row>
    <row r="2283" spans="1:12" ht="16" customHeight="1">
      <c r="A2283" t="s">
        <v>419</v>
      </c>
      <c r="B2283" t="s">
        <v>5</v>
      </c>
      <c r="C2283" t="s">
        <v>39</v>
      </c>
      <c r="D2283" s="24">
        <v>46082</v>
      </c>
      <c r="E2283" t="s">
        <v>236</v>
      </c>
      <c r="F2283" t="s">
        <v>4</v>
      </c>
      <c r="G2283" t="s">
        <v>217</v>
      </c>
      <c r="H2283" t="s">
        <v>217</v>
      </c>
      <c r="I2283" t="s">
        <v>235</v>
      </c>
      <c r="J2283" s="25">
        <v>16</v>
      </c>
      <c r="K2283" s="26">
        <v>2.44</v>
      </c>
      <c r="L2283" s="26">
        <v>7.0000000000000007E-2</v>
      </c>
    </row>
    <row r="2284" spans="1:12" ht="16" customHeight="1">
      <c r="A2284" t="s">
        <v>419</v>
      </c>
      <c r="B2284" t="s">
        <v>5</v>
      </c>
      <c r="C2284" t="s">
        <v>39</v>
      </c>
      <c r="D2284" s="24">
        <v>46082</v>
      </c>
      <c r="E2284" t="s">
        <v>238</v>
      </c>
      <c r="F2284" t="s">
        <v>4</v>
      </c>
      <c r="G2284" t="s">
        <v>217</v>
      </c>
      <c r="H2284" t="s">
        <v>217</v>
      </c>
      <c r="I2284" t="s">
        <v>237</v>
      </c>
      <c r="J2284" s="25">
        <v>0</v>
      </c>
      <c r="K2284" s="26">
        <v>0</v>
      </c>
      <c r="L2284" s="26">
        <v>0</v>
      </c>
    </row>
    <row r="2285" spans="1:12" ht="16" customHeight="1">
      <c r="A2285" t="s">
        <v>419</v>
      </c>
      <c r="B2285" t="s">
        <v>5</v>
      </c>
      <c r="C2285" t="s">
        <v>39</v>
      </c>
      <c r="D2285" s="24">
        <v>46082</v>
      </c>
      <c r="E2285" t="s">
        <v>240</v>
      </c>
      <c r="F2285" t="s">
        <v>3</v>
      </c>
      <c r="G2285" t="s">
        <v>241</v>
      </c>
      <c r="H2285" t="s">
        <v>241</v>
      </c>
      <c r="I2285" t="s">
        <v>239</v>
      </c>
      <c r="J2285" s="25">
        <v>0</v>
      </c>
      <c r="K2285" s="26">
        <v>0</v>
      </c>
      <c r="L2285" s="26">
        <v>0</v>
      </c>
    </row>
    <row r="2286" spans="1:12" ht="16" customHeight="1">
      <c r="A2286" t="s">
        <v>419</v>
      </c>
      <c r="B2286" t="s">
        <v>5</v>
      </c>
      <c r="C2286" t="s">
        <v>39</v>
      </c>
      <c r="D2286" s="24">
        <v>46082</v>
      </c>
      <c r="E2286" t="s">
        <v>243</v>
      </c>
      <c r="F2286" t="s">
        <v>4</v>
      </c>
      <c r="G2286" t="s">
        <v>217</v>
      </c>
      <c r="H2286" t="s">
        <v>217</v>
      </c>
      <c r="I2286" t="s">
        <v>242</v>
      </c>
      <c r="J2286" s="25">
        <v>0</v>
      </c>
      <c r="K2286" s="26">
        <v>0</v>
      </c>
      <c r="L2286" s="26">
        <v>0</v>
      </c>
    </row>
    <row r="2287" spans="1:12" ht="16" customHeight="1">
      <c r="A2287" t="s">
        <v>419</v>
      </c>
      <c r="B2287" t="s">
        <v>5</v>
      </c>
      <c r="C2287" t="s">
        <v>39</v>
      </c>
      <c r="D2287" s="24">
        <v>46082</v>
      </c>
      <c r="E2287" t="s">
        <v>360</v>
      </c>
      <c r="F2287" t="s">
        <v>4</v>
      </c>
      <c r="G2287" t="s">
        <v>217</v>
      </c>
      <c r="H2287" t="s">
        <v>217</v>
      </c>
      <c r="I2287" t="s">
        <v>244</v>
      </c>
      <c r="J2287" s="25">
        <v>0</v>
      </c>
      <c r="K2287" s="26">
        <v>0</v>
      </c>
      <c r="L2287" s="26">
        <v>0</v>
      </c>
    </row>
    <row r="2288" spans="1:12" ht="16" customHeight="1">
      <c r="A2288" t="s">
        <v>421</v>
      </c>
      <c r="B2288" t="s">
        <v>6</v>
      </c>
      <c r="C2288" t="s">
        <v>39</v>
      </c>
      <c r="D2288" s="24">
        <v>46082</v>
      </c>
      <c r="E2288" t="s">
        <v>401</v>
      </c>
      <c r="F2288" t="s">
        <v>4</v>
      </c>
      <c r="G2288" t="s">
        <v>211</v>
      </c>
      <c r="H2288" t="s">
        <v>211</v>
      </c>
      <c r="I2288" t="s">
        <v>212</v>
      </c>
      <c r="J2288" s="25">
        <v>57172048</v>
      </c>
      <c r="K2288" s="26">
        <v>9225786.7400000002</v>
      </c>
      <c r="L2288" s="26">
        <v>47236.94</v>
      </c>
    </row>
    <row r="2289" spans="1:12" ht="16" customHeight="1">
      <c r="A2289" t="s">
        <v>421</v>
      </c>
      <c r="B2289" t="s">
        <v>6</v>
      </c>
      <c r="C2289" t="s">
        <v>39</v>
      </c>
      <c r="D2289" s="24">
        <v>46082</v>
      </c>
      <c r="E2289" t="s">
        <v>406</v>
      </c>
      <c r="F2289" t="s">
        <v>4</v>
      </c>
      <c r="G2289" t="s">
        <v>211</v>
      </c>
      <c r="H2289" t="s">
        <v>211</v>
      </c>
      <c r="I2289" t="s">
        <v>212</v>
      </c>
      <c r="J2289" s="25">
        <v>1491509</v>
      </c>
      <c r="K2289" s="26">
        <v>243088.75</v>
      </c>
      <c r="L2289" s="26">
        <v>1795.68</v>
      </c>
    </row>
    <row r="2290" spans="1:12" ht="16" customHeight="1">
      <c r="A2290" t="s">
        <v>421</v>
      </c>
      <c r="B2290" t="s">
        <v>6</v>
      </c>
      <c r="C2290" t="s">
        <v>39</v>
      </c>
      <c r="D2290" s="24">
        <v>46082</v>
      </c>
      <c r="E2290" t="s">
        <v>411</v>
      </c>
      <c r="F2290" t="s">
        <v>4</v>
      </c>
      <c r="G2290" t="s">
        <v>211</v>
      </c>
      <c r="H2290" t="s">
        <v>211</v>
      </c>
      <c r="I2290" t="s">
        <v>212</v>
      </c>
      <c r="J2290" s="25">
        <v>143804</v>
      </c>
      <c r="K2290" s="26">
        <v>23543.919999999998</v>
      </c>
      <c r="L2290" s="26">
        <v>193.33</v>
      </c>
    </row>
    <row r="2291" spans="1:12" ht="16" customHeight="1">
      <c r="A2291" t="s">
        <v>421</v>
      </c>
      <c r="B2291" t="s">
        <v>6</v>
      </c>
      <c r="C2291" t="s">
        <v>39</v>
      </c>
      <c r="D2291" s="24">
        <v>46082</v>
      </c>
      <c r="E2291" t="s">
        <v>357</v>
      </c>
      <c r="F2291" t="s">
        <v>3</v>
      </c>
      <c r="G2291" t="s">
        <v>358</v>
      </c>
      <c r="H2291" t="s">
        <v>358</v>
      </c>
      <c r="I2291" t="s">
        <v>212</v>
      </c>
      <c r="J2291" s="25">
        <v>1899189</v>
      </c>
      <c r="K2291" s="26">
        <v>307608.83</v>
      </c>
      <c r="L2291" s="26">
        <v>3152.43</v>
      </c>
    </row>
    <row r="2292" spans="1:12" ht="16" customHeight="1">
      <c r="A2292" t="s">
        <v>421</v>
      </c>
      <c r="B2292" t="s">
        <v>6</v>
      </c>
      <c r="C2292" t="s">
        <v>39</v>
      </c>
      <c r="D2292" s="24">
        <v>46082</v>
      </c>
      <c r="E2292" t="s">
        <v>420</v>
      </c>
      <c r="F2292" t="s">
        <v>4</v>
      </c>
      <c r="G2292" t="s">
        <v>211</v>
      </c>
      <c r="H2292" t="s">
        <v>211</v>
      </c>
      <c r="I2292" t="s">
        <v>219</v>
      </c>
      <c r="J2292" s="25">
        <v>15209</v>
      </c>
      <c r="K2292" s="26">
        <v>2485.0700000000002</v>
      </c>
      <c r="L2292" s="26">
        <v>41.78</v>
      </c>
    </row>
    <row r="2293" spans="1:12" ht="16" customHeight="1">
      <c r="A2293" t="s">
        <v>421</v>
      </c>
      <c r="B2293" t="s">
        <v>6</v>
      </c>
      <c r="C2293" t="s">
        <v>39</v>
      </c>
      <c r="D2293" s="24">
        <v>46082</v>
      </c>
      <c r="E2293" t="s">
        <v>387</v>
      </c>
      <c r="F2293" t="s">
        <v>4</v>
      </c>
      <c r="G2293" t="s">
        <v>217</v>
      </c>
      <c r="H2293" t="s">
        <v>217</v>
      </c>
      <c r="I2293" t="s">
        <v>219</v>
      </c>
      <c r="J2293" s="25">
        <v>189545</v>
      </c>
      <c r="K2293" s="26">
        <v>31479.61</v>
      </c>
      <c r="L2293" s="26">
        <v>415.92</v>
      </c>
    </row>
    <row r="2294" spans="1:12" ht="16" customHeight="1">
      <c r="A2294" t="s">
        <v>421</v>
      </c>
      <c r="B2294" t="s">
        <v>6</v>
      </c>
      <c r="C2294" t="s">
        <v>39</v>
      </c>
      <c r="D2294" s="24">
        <v>46082</v>
      </c>
      <c r="E2294" t="s">
        <v>416</v>
      </c>
      <c r="F2294" t="s">
        <v>4</v>
      </c>
      <c r="G2294" t="s">
        <v>217</v>
      </c>
      <c r="H2294" t="s">
        <v>217</v>
      </c>
      <c r="I2294" t="s">
        <v>221</v>
      </c>
      <c r="J2294" s="25">
        <v>29547</v>
      </c>
      <c r="K2294" s="26">
        <v>4950.0600000000004</v>
      </c>
      <c r="L2294" s="26">
        <v>86.56</v>
      </c>
    </row>
    <row r="2295" spans="1:12" ht="16" customHeight="1">
      <c r="A2295" t="s">
        <v>421</v>
      </c>
      <c r="B2295" t="s">
        <v>6</v>
      </c>
      <c r="C2295" t="s">
        <v>39</v>
      </c>
      <c r="D2295" s="24">
        <v>46082</v>
      </c>
      <c r="E2295" t="s">
        <v>226</v>
      </c>
      <c r="F2295" t="s">
        <v>4</v>
      </c>
      <c r="G2295" t="s">
        <v>217</v>
      </c>
      <c r="H2295" t="s">
        <v>217</v>
      </c>
      <c r="I2295" t="s">
        <v>223</v>
      </c>
      <c r="J2295" s="25">
        <v>77953</v>
      </c>
      <c r="K2295" s="26">
        <v>12812.67</v>
      </c>
      <c r="L2295" s="26">
        <v>250.23</v>
      </c>
    </row>
    <row r="2296" spans="1:12" ht="16" customHeight="1">
      <c r="A2296" t="s">
        <v>421</v>
      </c>
      <c r="B2296" t="s">
        <v>6</v>
      </c>
      <c r="C2296" t="s">
        <v>39</v>
      </c>
      <c r="D2296" s="24">
        <v>46082</v>
      </c>
      <c r="E2296" t="s">
        <v>269</v>
      </c>
      <c r="F2296" t="s">
        <v>4</v>
      </c>
      <c r="G2296" t="s">
        <v>217</v>
      </c>
      <c r="H2296" t="s">
        <v>217</v>
      </c>
      <c r="I2296" t="s">
        <v>225</v>
      </c>
      <c r="J2296" s="25">
        <v>6802</v>
      </c>
      <c r="K2296" s="26">
        <v>1168.06</v>
      </c>
      <c r="L2296" s="26">
        <v>26.69</v>
      </c>
    </row>
    <row r="2297" spans="1:12" ht="16" customHeight="1">
      <c r="A2297" t="s">
        <v>421</v>
      </c>
      <c r="B2297" t="s">
        <v>6</v>
      </c>
      <c r="C2297" t="s">
        <v>39</v>
      </c>
      <c r="D2297" s="24">
        <v>46082</v>
      </c>
      <c r="E2297" t="s">
        <v>228</v>
      </c>
      <c r="F2297" t="s">
        <v>4</v>
      </c>
      <c r="G2297" t="s">
        <v>217</v>
      </c>
      <c r="H2297" t="s">
        <v>217</v>
      </c>
      <c r="I2297" t="s">
        <v>227</v>
      </c>
      <c r="J2297" s="25">
        <v>30754</v>
      </c>
      <c r="K2297" s="26">
        <v>5106.54</v>
      </c>
      <c r="L2297" s="26">
        <v>145.5</v>
      </c>
    </row>
    <row r="2298" spans="1:12" ht="16" customHeight="1">
      <c r="A2298" t="s">
        <v>421</v>
      </c>
      <c r="B2298" t="s">
        <v>6</v>
      </c>
      <c r="C2298" t="s">
        <v>39</v>
      </c>
      <c r="D2298" s="24">
        <v>46082</v>
      </c>
      <c r="E2298" t="s">
        <v>230</v>
      </c>
      <c r="F2298" t="s">
        <v>4</v>
      </c>
      <c r="G2298" t="s">
        <v>217</v>
      </c>
      <c r="H2298" t="s">
        <v>217</v>
      </c>
      <c r="I2298" t="s">
        <v>229</v>
      </c>
      <c r="J2298" s="25">
        <v>4</v>
      </c>
      <c r="K2298" s="26">
        <v>0.71</v>
      </c>
      <c r="L2298" s="26">
        <v>0.08</v>
      </c>
    </row>
    <row r="2299" spans="1:12" ht="16" customHeight="1">
      <c r="A2299" t="s">
        <v>421</v>
      </c>
      <c r="B2299" t="s">
        <v>6</v>
      </c>
      <c r="C2299" t="s">
        <v>39</v>
      </c>
      <c r="D2299" s="24">
        <v>46082</v>
      </c>
      <c r="E2299" t="s">
        <v>232</v>
      </c>
      <c r="F2299" t="s">
        <v>4</v>
      </c>
      <c r="G2299" t="s">
        <v>217</v>
      </c>
      <c r="H2299" t="s">
        <v>217</v>
      </c>
      <c r="I2299" t="s">
        <v>231</v>
      </c>
      <c r="J2299" s="25">
        <v>164</v>
      </c>
      <c r="K2299" s="26">
        <v>27.27</v>
      </c>
      <c r="L2299" s="26">
        <v>1.25</v>
      </c>
    </row>
    <row r="2300" spans="1:12" ht="16" customHeight="1">
      <c r="A2300" t="s">
        <v>421</v>
      </c>
      <c r="B2300" t="s">
        <v>6</v>
      </c>
      <c r="C2300" t="s">
        <v>39</v>
      </c>
      <c r="D2300" s="24">
        <v>46082</v>
      </c>
      <c r="E2300" t="s">
        <v>234</v>
      </c>
      <c r="F2300" t="s">
        <v>4</v>
      </c>
      <c r="G2300" t="s">
        <v>217</v>
      </c>
      <c r="H2300" t="s">
        <v>217</v>
      </c>
      <c r="I2300" t="s">
        <v>233</v>
      </c>
      <c r="J2300" s="25">
        <v>0</v>
      </c>
      <c r="K2300" s="26">
        <v>0</v>
      </c>
      <c r="L2300" s="26">
        <v>0</v>
      </c>
    </row>
    <row r="2301" spans="1:12" ht="16" customHeight="1">
      <c r="A2301" t="s">
        <v>421</v>
      </c>
      <c r="B2301" t="s">
        <v>6</v>
      </c>
      <c r="C2301" t="s">
        <v>39</v>
      </c>
      <c r="D2301" s="24">
        <v>46082</v>
      </c>
      <c r="E2301" t="s">
        <v>236</v>
      </c>
      <c r="F2301" t="s">
        <v>4</v>
      </c>
      <c r="G2301" t="s">
        <v>217</v>
      </c>
      <c r="H2301" t="s">
        <v>217</v>
      </c>
      <c r="I2301" t="s">
        <v>235</v>
      </c>
      <c r="J2301" s="25">
        <v>3</v>
      </c>
      <c r="K2301" s="26">
        <v>0.5</v>
      </c>
      <c r="L2301" s="26">
        <v>0.02</v>
      </c>
    </row>
    <row r="2302" spans="1:12" ht="16" customHeight="1">
      <c r="A2302" t="s">
        <v>421</v>
      </c>
      <c r="B2302" t="s">
        <v>6</v>
      </c>
      <c r="C2302" t="s">
        <v>39</v>
      </c>
      <c r="D2302" s="24">
        <v>46082</v>
      </c>
      <c r="E2302" t="s">
        <v>238</v>
      </c>
      <c r="F2302" t="s">
        <v>4</v>
      </c>
      <c r="G2302" t="s">
        <v>217</v>
      </c>
      <c r="H2302" t="s">
        <v>217</v>
      </c>
      <c r="I2302" t="s">
        <v>237</v>
      </c>
      <c r="J2302" s="25">
        <v>0</v>
      </c>
      <c r="K2302" s="26">
        <v>0</v>
      </c>
      <c r="L2302" s="26">
        <v>0</v>
      </c>
    </row>
    <row r="2303" spans="1:12" ht="16" customHeight="1">
      <c r="A2303" t="s">
        <v>421</v>
      </c>
      <c r="B2303" t="s">
        <v>6</v>
      </c>
      <c r="C2303" t="s">
        <v>39</v>
      </c>
      <c r="D2303" s="24">
        <v>46082</v>
      </c>
      <c r="E2303" t="s">
        <v>240</v>
      </c>
      <c r="F2303" t="s">
        <v>3</v>
      </c>
      <c r="G2303" t="s">
        <v>241</v>
      </c>
      <c r="H2303" t="s">
        <v>241</v>
      </c>
      <c r="I2303" t="s">
        <v>239</v>
      </c>
      <c r="J2303" s="25">
        <v>0</v>
      </c>
      <c r="K2303" s="26">
        <v>0</v>
      </c>
      <c r="L2303" s="26">
        <v>0</v>
      </c>
    </row>
    <row r="2304" spans="1:12" ht="16" customHeight="1">
      <c r="A2304" t="s">
        <v>421</v>
      </c>
      <c r="B2304" t="s">
        <v>6</v>
      </c>
      <c r="C2304" t="s">
        <v>39</v>
      </c>
      <c r="D2304" s="24">
        <v>46082</v>
      </c>
      <c r="E2304" t="s">
        <v>243</v>
      </c>
      <c r="F2304" t="s">
        <v>4</v>
      </c>
      <c r="G2304" t="s">
        <v>217</v>
      </c>
      <c r="H2304" t="s">
        <v>217</v>
      </c>
      <c r="I2304" t="s">
        <v>242</v>
      </c>
      <c r="J2304" s="25">
        <v>0</v>
      </c>
      <c r="K2304" s="26">
        <v>0</v>
      </c>
      <c r="L2304" s="26">
        <v>0</v>
      </c>
    </row>
    <row r="2305" spans="1:12" ht="16" customHeight="1">
      <c r="A2305" t="s">
        <v>421</v>
      </c>
      <c r="B2305" t="s">
        <v>6</v>
      </c>
      <c r="C2305" t="s">
        <v>39</v>
      </c>
      <c r="D2305" s="24">
        <v>46082</v>
      </c>
      <c r="E2305" t="s">
        <v>360</v>
      </c>
      <c r="F2305" t="s">
        <v>4</v>
      </c>
      <c r="G2305" t="s">
        <v>217</v>
      </c>
      <c r="H2305" t="s">
        <v>217</v>
      </c>
      <c r="I2305" t="s">
        <v>244</v>
      </c>
      <c r="J2305" s="25">
        <v>0</v>
      </c>
      <c r="K2305" s="26">
        <v>0</v>
      </c>
      <c r="L2305" s="26">
        <v>0</v>
      </c>
    </row>
    <row r="2306" spans="1:12" ht="16" customHeight="1">
      <c r="A2306" t="s">
        <v>422</v>
      </c>
      <c r="B2306" t="s">
        <v>7</v>
      </c>
      <c r="C2306" t="s">
        <v>39</v>
      </c>
      <c r="D2306" s="24">
        <v>46082</v>
      </c>
      <c r="E2306" t="s">
        <v>401</v>
      </c>
      <c r="F2306" t="s">
        <v>4</v>
      </c>
      <c r="G2306" t="s">
        <v>211</v>
      </c>
      <c r="H2306" t="s">
        <v>211</v>
      </c>
      <c r="I2306" t="s">
        <v>212</v>
      </c>
      <c r="J2306" s="25">
        <v>84939570</v>
      </c>
      <c r="K2306" s="26">
        <v>13662064.050000001</v>
      </c>
      <c r="L2306" s="26">
        <v>65164.7</v>
      </c>
    </row>
    <row r="2307" spans="1:12" ht="16" customHeight="1">
      <c r="A2307" t="s">
        <v>422</v>
      </c>
      <c r="B2307" t="s">
        <v>7</v>
      </c>
      <c r="C2307" t="s">
        <v>39</v>
      </c>
      <c r="D2307" s="24">
        <v>46082</v>
      </c>
      <c r="E2307" t="s">
        <v>406</v>
      </c>
      <c r="F2307" t="s">
        <v>4</v>
      </c>
      <c r="G2307" t="s">
        <v>211</v>
      </c>
      <c r="H2307" t="s">
        <v>211</v>
      </c>
      <c r="I2307" t="s">
        <v>212</v>
      </c>
      <c r="J2307" s="25">
        <v>1873835</v>
      </c>
      <c r="K2307" s="26">
        <v>304157.62</v>
      </c>
      <c r="L2307" s="26">
        <v>2129.6799999999998</v>
      </c>
    </row>
    <row r="2308" spans="1:12" ht="16" customHeight="1">
      <c r="A2308" t="s">
        <v>422</v>
      </c>
      <c r="B2308" t="s">
        <v>7</v>
      </c>
      <c r="C2308" t="s">
        <v>39</v>
      </c>
      <c r="D2308" s="24">
        <v>46082</v>
      </c>
      <c r="E2308" t="s">
        <v>411</v>
      </c>
      <c r="F2308" t="s">
        <v>4</v>
      </c>
      <c r="G2308" t="s">
        <v>211</v>
      </c>
      <c r="H2308" t="s">
        <v>211</v>
      </c>
      <c r="I2308" t="s">
        <v>212</v>
      </c>
      <c r="J2308" s="25">
        <v>170147</v>
      </c>
      <c r="K2308" s="26">
        <v>27620.6</v>
      </c>
      <c r="L2308" s="26">
        <v>203.45</v>
      </c>
    </row>
    <row r="2309" spans="1:12" ht="16" customHeight="1">
      <c r="A2309" t="s">
        <v>422</v>
      </c>
      <c r="B2309" t="s">
        <v>7</v>
      </c>
      <c r="C2309" t="s">
        <v>39</v>
      </c>
      <c r="D2309" s="24">
        <v>46082</v>
      </c>
      <c r="E2309" t="s">
        <v>357</v>
      </c>
      <c r="F2309" t="s">
        <v>3</v>
      </c>
      <c r="G2309" t="s">
        <v>358</v>
      </c>
      <c r="H2309" t="s">
        <v>358</v>
      </c>
      <c r="I2309" t="s">
        <v>212</v>
      </c>
      <c r="J2309" s="25">
        <v>1451079</v>
      </c>
      <c r="K2309" s="26">
        <v>235043.62</v>
      </c>
      <c r="L2309" s="26">
        <v>2435.23</v>
      </c>
    </row>
    <row r="2310" spans="1:12" ht="16" customHeight="1">
      <c r="A2310" t="s">
        <v>422</v>
      </c>
      <c r="B2310" t="s">
        <v>7</v>
      </c>
      <c r="C2310" t="s">
        <v>39</v>
      </c>
      <c r="D2310" s="24">
        <v>46082</v>
      </c>
      <c r="E2310" t="s">
        <v>420</v>
      </c>
      <c r="F2310" t="s">
        <v>4</v>
      </c>
      <c r="G2310" t="s">
        <v>211</v>
      </c>
      <c r="H2310" t="s">
        <v>211</v>
      </c>
      <c r="I2310" t="s">
        <v>219</v>
      </c>
      <c r="J2310" s="25">
        <v>50472</v>
      </c>
      <c r="K2310" s="26">
        <v>8271.34</v>
      </c>
      <c r="L2310" s="26">
        <v>152.96</v>
      </c>
    </row>
    <row r="2311" spans="1:12" ht="16" customHeight="1">
      <c r="A2311" t="s">
        <v>422</v>
      </c>
      <c r="B2311" t="s">
        <v>7</v>
      </c>
      <c r="C2311" t="s">
        <v>39</v>
      </c>
      <c r="D2311" s="24">
        <v>46082</v>
      </c>
      <c r="E2311" t="s">
        <v>387</v>
      </c>
      <c r="F2311" t="s">
        <v>4</v>
      </c>
      <c r="G2311" t="s">
        <v>217</v>
      </c>
      <c r="H2311" t="s">
        <v>217</v>
      </c>
      <c r="I2311" t="s">
        <v>219</v>
      </c>
      <c r="J2311" s="25">
        <v>159674</v>
      </c>
      <c r="K2311" s="26">
        <v>26289.919999999998</v>
      </c>
      <c r="L2311" s="26">
        <v>377.51</v>
      </c>
    </row>
    <row r="2312" spans="1:12" ht="16" customHeight="1">
      <c r="A2312" t="s">
        <v>422</v>
      </c>
      <c r="B2312" t="s">
        <v>7</v>
      </c>
      <c r="C2312" t="s">
        <v>39</v>
      </c>
      <c r="D2312" s="24">
        <v>46082</v>
      </c>
      <c r="E2312" t="s">
        <v>416</v>
      </c>
      <c r="F2312" t="s">
        <v>4</v>
      </c>
      <c r="G2312" t="s">
        <v>217</v>
      </c>
      <c r="H2312" t="s">
        <v>217</v>
      </c>
      <c r="I2312" t="s">
        <v>221</v>
      </c>
      <c r="J2312" s="25">
        <v>23381</v>
      </c>
      <c r="K2312" s="26">
        <v>3922.38</v>
      </c>
      <c r="L2312" s="26">
        <v>65.849999999999994</v>
      </c>
    </row>
    <row r="2313" spans="1:12" ht="16" customHeight="1">
      <c r="A2313" t="s">
        <v>422</v>
      </c>
      <c r="B2313" t="s">
        <v>7</v>
      </c>
      <c r="C2313" t="s">
        <v>39</v>
      </c>
      <c r="D2313" s="24">
        <v>46082</v>
      </c>
      <c r="E2313" t="s">
        <v>226</v>
      </c>
      <c r="F2313" t="s">
        <v>4</v>
      </c>
      <c r="G2313" t="s">
        <v>217</v>
      </c>
      <c r="H2313" t="s">
        <v>217</v>
      </c>
      <c r="I2313" t="s">
        <v>223</v>
      </c>
      <c r="J2313" s="25">
        <v>61417</v>
      </c>
      <c r="K2313" s="26">
        <v>9819.32</v>
      </c>
      <c r="L2313" s="26">
        <v>165.69</v>
      </c>
    </row>
    <row r="2314" spans="1:12" ht="16" customHeight="1">
      <c r="A2314" t="s">
        <v>422</v>
      </c>
      <c r="B2314" t="s">
        <v>7</v>
      </c>
      <c r="C2314" t="s">
        <v>39</v>
      </c>
      <c r="D2314" s="24">
        <v>46082</v>
      </c>
      <c r="E2314" t="s">
        <v>269</v>
      </c>
      <c r="F2314" t="s">
        <v>4</v>
      </c>
      <c r="G2314" t="s">
        <v>217</v>
      </c>
      <c r="H2314" t="s">
        <v>217</v>
      </c>
      <c r="I2314" t="s">
        <v>225</v>
      </c>
      <c r="J2314" s="25">
        <v>9689</v>
      </c>
      <c r="K2314" s="26">
        <v>1680.68</v>
      </c>
      <c r="L2314" s="26">
        <v>40.44</v>
      </c>
    </row>
    <row r="2315" spans="1:12" ht="16" customHeight="1">
      <c r="A2315" t="s">
        <v>422</v>
      </c>
      <c r="B2315" t="s">
        <v>7</v>
      </c>
      <c r="C2315" t="s">
        <v>39</v>
      </c>
      <c r="D2315" s="24">
        <v>46082</v>
      </c>
      <c r="E2315" t="s">
        <v>228</v>
      </c>
      <c r="F2315" t="s">
        <v>4</v>
      </c>
      <c r="G2315" t="s">
        <v>217</v>
      </c>
      <c r="H2315" t="s">
        <v>217</v>
      </c>
      <c r="I2315" t="s">
        <v>227</v>
      </c>
      <c r="J2315" s="25">
        <v>22233</v>
      </c>
      <c r="K2315" s="26">
        <v>3694.49</v>
      </c>
      <c r="L2315" s="26">
        <v>109.77</v>
      </c>
    </row>
    <row r="2316" spans="1:12" ht="16" customHeight="1">
      <c r="A2316" t="s">
        <v>422</v>
      </c>
      <c r="B2316" t="s">
        <v>7</v>
      </c>
      <c r="C2316" t="s">
        <v>39</v>
      </c>
      <c r="D2316" s="24">
        <v>46082</v>
      </c>
      <c r="E2316" t="s">
        <v>230</v>
      </c>
      <c r="F2316" t="s">
        <v>4</v>
      </c>
      <c r="G2316" t="s">
        <v>217</v>
      </c>
      <c r="H2316" t="s">
        <v>217</v>
      </c>
      <c r="I2316" t="s">
        <v>229</v>
      </c>
      <c r="J2316" s="25">
        <v>0</v>
      </c>
      <c r="K2316" s="26">
        <v>0</v>
      </c>
      <c r="L2316" s="26">
        <v>0</v>
      </c>
    </row>
    <row r="2317" spans="1:12" ht="16" customHeight="1">
      <c r="A2317" t="s">
        <v>422</v>
      </c>
      <c r="B2317" t="s">
        <v>7</v>
      </c>
      <c r="C2317" t="s">
        <v>39</v>
      </c>
      <c r="D2317" s="24">
        <v>46082</v>
      </c>
      <c r="E2317" t="s">
        <v>232</v>
      </c>
      <c r="F2317" t="s">
        <v>4</v>
      </c>
      <c r="G2317" t="s">
        <v>217</v>
      </c>
      <c r="H2317" t="s">
        <v>217</v>
      </c>
      <c r="I2317" t="s">
        <v>231</v>
      </c>
      <c r="J2317" s="25">
        <v>79</v>
      </c>
      <c r="K2317" s="26">
        <v>14.31</v>
      </c>
      <c r="L2317" s="26">
        <v>0.84</v>
      </c>
    </row>
    <row r="2318" spans="1:12" ht="16" customHeight="1">
      <c r="A2318" t="s">
        <v>422</v>
      </c>
      <c r="B2318" t="s">
        <v>7</v>
      </c>
      <c r="C2318" t="s">
        <v>39</v>
      </c>
      <c r="D2318" s="24">
        <v>46082</v>
      </c>
      <c r="E2318" t="s">
        <v>234</v>
      </c>
      <c r="F2318" t="s">
        <v>4</v>
      </c>
      <c r="G2318" t="s">
        <v>217</v>
      </c>
      <c r="H2318" t="s">
        <v>217</v>
      </c>
      <c r="I2318" t="s">
        <v>233</v>
      </c>
      <c r="J2318" s="25">
        <v>0</v>
      </c>
      <c r="K2318" s="26">
        <v>0</v>
      </c>
      <c r="L2318" s="26">
        <v>0</v>
      </c>
    </row>
    <row r="2319" spans="1:12" ht="16" customHeight="1">
      <c r="A2319" t="s">
        <v>422</v>
      </c>
      <c r="B2319" t="s">
        <v>7</v>
      </c>
      <c r="C2319" t="s">
        <v>39</v>
      </c>
      <c r="D2319" s="24">
        <v>46082</v>
      </c>
      <c r="E2319" t="s">
        <v>236</v>
      </c>
      <c r="F2319" t="s">
        <v>4</v>
      </c>
      <c r="G2319" t="s">
        <v>217</v>
      </c>
      <c r="H2319" t="s">
        <v>217</v>
      </c>
      <c r="I2319" t="s">
        <v>235</v>
      </c>
      <c r="J2319" s="25">
        <v>3</v>
      </c>
      <c r="K2319" s="26">
        <v>0.56000000000000005</v>
      </c>
      <c r="L2319" s="26">
        <v>0.04</v>
      </c>
    </row>
    <row r="2320" spans="1:12" ht="16" customHeight="1">
      <c r="A2320" t="s">
        <v>422</v>
      </c>
      <c r="B2320" t="s">
        <v>7</v>
      </c>
      <c r="C2320" t="s">
        <v>39</v>
      </c>
      <c r="D2320" s="24">
        <v>46082</v>
      </c>
      <c r="E2320" t="s">
        <v>238</v>
      </c>
      <c r="F2320" t="s">
        <v>4</v>
      </c>
      <c r="G2320" t="s">
        <v>217</v>
      </c>
      <c r="H2320" t="s">
        <v>217</v>
      </c>
      <c r="I2320" t="s">
        <v>237</v>
      </c>
      <c r="J2320" s="25">
        <v>0</v>
      </c>
      <c r="K2320" s="26">
        <v>0</v>
      </c>
      <c r="L2320" s="26">
        <v>0</v>
      </c>
    </row>
    <row r="2321" spans="1:12" ht="16" customHeight="1">
      <c r="A2321" t="s">
        <v>422</v>
      </c>
      <c r="B2321" t="s">
        <v>7</v>
      </c>
      <c r="C2321" t="s">
        <v>39</v>
      </c>
      <c r="D2321" s="24">
        <v>46082</v>
      </c>
      <c r="E2321" t="s">
        <v>240</v>
      </c>
      <c r="F2321" t="s">
        <v>3</v>
      </c>
      <c r="G2321" t="s">
        <v>241</v>
      </c>
      <c r="H2321" t="s">
        <v>241</v>
      </c>
      <c r="I2321" t="s">
        <v>239</v>
      </c>
      <c r="J2321" s="25">
        <v>0</v>
      </c>
      <c r="K2321" s="26">
        <v>0</v>
      </c>
      <c r="L2321" s="26">
        <v>0</v>
      </c>
    </row>
    <row r="2322" spans="1:12" ht="16" customHeight="1">
      <c r="A2322" t="s">
        <v>422</v>
      </c>
      <c r="B2322" t="s">
        <v>7</v>
      </c>
      <c r="C2322" t="s">
        <v>39</v>
      </c>
      <c r="D2322" s="24">
        <v>46082</v>
      </c>
      <c r="E2322" t="s">
        <v>243</v>
      </c>
      <c r="F2322" t="s">
        <v>4</v>
      </c>
      <c r="G2322" t="s">
        <v>217</v>
      </c>
      <c r="H2322" t="s">
        <v>217</v>
      </c>
      <c r="I2322" t="s">
        <v>242</v>
      </c>
      <c r="J2322" s="25">
        <v>0</v>
      </c>
      <c r="K2322" s="26">
        <v>0</v>
      </c>
      <c r="L2322" s="26">
        <v>0</v>
      </c>
    </row>
    <row r="2323" spans="1:12" ht="16" customHeight="1">
      <c r="A2323" t="s">
        <v>422</v>
      </c>
      <c r="B2323" t="s">
        <v>7</v>
      </c>
      <c r="C2323" t="s">
        <v>39</v>
      </c>
      <c r="D2323" s="24">
        <v>46082</v>
      </c>
      <c r="E2323" t="s">
        <v>360</v>
      </c>
      <c r="F2323" t="s">
        <v>4</v>
      </c>
      <c r="G2323" t="s">
        <v>217</v>
      </c>
      <c r="H2323" t="s">
        <v>217</v>
      </c>
      <c r="I2323" t="s">
        <v>244</v>
      </c>
      <c r="J2323" s="25">
        <v>0</v>
      </c>
      <c r="K2323" s="26">
        <v>0</v>
      </c>
      <c r="L2323" s="26">
        <v>0</v>
      </c>
    </row>
    <row r="2324" spans="1:12" ht="16" customHeight="1">
      <c r="A2324" t="s">
        <v>423</v>
      </c>
      <c r="B2324" t="s">
        <v>3</v>
      </c>
      <c r="C2324" t="s">
        <v>40</v>
      </c>
      <c r="D2324" s="24">
        <v>46082</v>
      </c>
      <c r="E2324" t="s">
        <v>401</v>
      </c>
      <c r="F2324" t="s">
        <v>4</v>
      </c>
      <c r="G2324" t="s">
        <v>211</v>
      </c>
      <c r="H2324" t="s">
        <v>211</v>
      </c>
      <c r="I2324" t="s">
        <v>212</v>
      </c>
      <c r="J2324" s="25">
        <v>116014917</v>
      </c>
      <c r="K2324" s="26">
        <v>18208524.539999999</v>
      </c>
      <c r="L2324" s="26">
        <v>81136.960000000006</v>
      </c>
    </row>
    <row r="2325" spans="1:12" ht="16" customHeight="1">
      <c r="A2325" t="s">
        <v>423</v>
      </c>
      <c r="B2325" t="s">
        <v>3</v>
      </c>
      <c r="C2325" t="s">
        <v>40</v>
      </c>
      <c r="D2325" s="24">
        <v>46082</v>
      </c>
      <c r="E2325" t="s">
        <v>406</v>
      </c>
      <c r="F2325" t="s">
        <v>4</v>
      </c>
      <c r="G2325" t="s">
        <v>211</v>
      </c>
      <c r="H2325" t="s">
        <v>211</v>
      </c>
      <c r="I2325" t="s">
        <v>212</v>
      </c>
      <c r="J2325" s="25">
        <v>3753034</v>
      </c>
      <c r="K2325" s="26">
        <v>604737.48</v>
      </c>
      <c r="L2325" s="26">
        <v>5512.33</v>
      </c>
    </row>
    <row r="2326" spans="1:12" ht="16" customHeight="1">
      <c r="A2326" t="s">
        <v>423</v>
      </c>
      <c r="B2326" t="s">
        <v>3</v>
      </c>
      <c r="C2326" t="s">
        <v>40</v>
      </c>
      <c r="D2326" s="24">
        <v>46082</v>
      </c>
      <c r="E2326" t="s">
        <v>411</v>
      </c>
      <c r="F2326" t="s">
        <v>4</v>
      </c>
      <c r="G2326" t="s">
        <v>211</v>
      </c>
      <c r="H2326" t="s">
        <v>211</v>
      </c>
      <c r="I2326" t="s">
        <v>212</v>
      </c>
      <c r="J2326" s="25">
        <v>276625</v>
      </c>
      <c r="K2326" s="26">
        <v>44965.8</v>
      </c>
      <c r="L2326" s="26">
        <v>469.85</v>
      </c>
    </row>
    <row r="2327" spans="1:12" ht="16" customHeight="1">
      <c r="A2327" t="s">
        <v>423</v>
      </c>
      <c r="B2327" t="s">
        <v>3</v>
      </c>
      <c r="C2327" t="s">
        <v>40</v>
      </c>
      <c r="D2327" s="24">
        <v>46082</v>
      </c>
      <c r="E2327" t="s">
        <v>357</v>
      </c>
      <c r="F2327" t="s">
        <v>3</v>
      </c>
      <c r="G2327" t="s">
        <v>358</v>
      </c>
      <c r="H2327" t="s">
        <v>358</v>
      </c>
      <c r="I2327" t="s">
        <v>212</v>
      </c>
      <c r="J2327" s="25">
        <v>2637447</v>
      </c>
      <c r="K2327" s="26">
        <v>421676.44</v>
      </c>
      <c r="L2327" s="26">
        <v>6095</v>
      </c>
    </row>
    <row r="2328" spans="1:12" ht="16" customHeight="1">
      <c r="A2328" t="s">
        <v>423</v>
      </c>
      <c r="B2328" t="s">
        <v>3</v>
      </c>
      <c r="C2328" t="s">
        <v>40</v>
      </c>
      <c r="D2328" s="24">
        <v>46082</v>
      </c>
      <c r="E2328" t="s">
        <v>420</v>
      </c>
      <c r="F2328" t="s">
        <v>4</v>
      </c>
      <c r="G2328" t="s">
        <v>211</v>
      </c>
      <c r="H2328" t="s">
        <v>211</v>
      </c>
      <c r="I2328" t="s">
        <v>219</v>
      </c>
      <c r="J2328" s="25">
        <v>14756</v>
      </c>
      <c r="K2328" s="26">
        <v>2422.4499999999998</v>
      </c>
      <c r="L2328" s="26">
        <v>41.53</v>
      </c>
    </row>
    <row r="2329" spans="1:12" ht="16" customHeight="1">
      <c r="A2329" t="s">
        <v>423</v>
      </c>
      <c r="B2329" t="s">
        <v>3</v>
      </c>
      <c r="C2329" t="s">
        <v>40</v>
      </c>
      <c r="D2329" s="24">
        <v>46082</v>
      </c>
      <c r="E2329" t="s">
        <v>387</v>
      </c>
      <c r="F2329" t="s">
        <v>4</v>
      </c>
      <c r="G2329" t="s">
        <v>217</v>
      </c>
      <c r="H2329" t="s">
        <v>217</v>
      </c>
      <c r="I2329" t="s">
        <v>219</v>
      </c>
      <c r="J2329" s="25">
        <v>320185</v>
      </c>
      <c r="K2329" s="26">
        <v>52437.57</v>
      </c>
      <c r="L2329" s="26">
        <v>1032.71</v>
      </c>
    </row>
    <row r="2330" spans="1:12" ht="16" customHeight="1">
      <c r="A2330" t="s">
        <v>423</v>
      </c>
      <c r="B2330" t="s">
        <v>3</v>
      </c>
      <c r="C2330" t="s">
        <v>40</v>
      </c>
      <c r="D2330" s="24">
        <v>46082</v>
      </c>
      <c r="E2330" t="s">
        <v>416</v>
      </c>
      <c r="F2330" t="s">
        <v>4</v>
      </c>
      <c r="G2330" t="s">
        <v>217</v>
      </c>
      <c r="H2330" t="s">
        <v>217</v>
      </c>
      <c r="I2330" t="s">
        <v>221</v>
      </c>
      <c r="J2330" s="25">
        <v>60203</v>
      </c>
      <c r="K2330" s="26">
        <v>10024.02</v>
      </c>
      <c r="L2330" s="26">
        <v>202.75</v>
      </c>
    </row>
    <row r="2331" spans="1:12" ht="16" customHeight="1">
      <c r="A2331" t="s">
        <v>423</v>
      </c>
      <c r="B2331" t="s">
        <v>3</v>
      </c>
      <c r="C2331" t="s">
        <v>40</v>
      </c>
      <c r="D2331" s="24">
        <v>46082</v>
      </c>
      <c r="E2331" t="s">
        <v>226</v>
      </c>
      <c r="F2331" t="s">
        <v>4</v>
      </c>
      <c r="G2331" t="s">
        <v>217</v>
      </c>
      <c r="H2331" t="s">
        <v>217</v>
      </c>
      <c r="I2331" t="s">
        <v>223</v>
      </c>
      <c r="J2331" s="25">
        <v>156468</v>
      </c>
      <c r="K2331" s="26">
        <v>24905.54</v>
      </c>
      <c r="L2331" s="26">
        <v>544.13</v>
      </c>
    </row>
    <row r="2332" spans="1:12" ht="16" customHeight="1">
      <c r="A2332" t="s">
        <v>423</v>
      </c>
      <c r="B2332" t="s">
        <v>3</v>
      </c>
      <c r="C2332" t="s">
        <v>40</v>
      </c>
      <c r="D2332" s="24">
        <v>46082</v>
      </c>
      <c r="E2332" t="s">
        <v>269</v>
      </c>
      <c r="F2332" t="s">
        <v>4</v>
      </c>
      <c r="G2332" t="s">
        <v>217</v>
      </c>
      <c r="H2332" t="s">
        <v>217</v>
      </c>
      <c r="I2332" t="s">
        <v>225</v>
      </c>
      <c r="J2332" s="25">
        <v>26174</v>
      </c>
      <c r="K2332" s="26">
        <v>4462.07</v>
      </c>
      <c r="L2332" s="26">
        <v>118.24</v>
      </c>
    </row>
    <row r="2333" spans="1:12" ht="16" customHeight="1">
      <c r="A2333" t="s">
        <v>423</v>
      </c>
      <c r="B2333" t="s">
        <v>3</v>
      </c>
      <c r="C2333" t="s">
        <v>40</v>
      </c>
      <c r="D2333" s="24">
        <v>46082</v>
      </c>
      <c r="E2333" t="s">
        <v>228</v>
      </c>
      <c r="F2333" t="s">
        <v>4</v>
      </c>
      <c r="G2333" t="s">
        <v>217</v>
      </c>
      <c r="H2333" t="s">
        <v>217</v>
      </c>
      <c r="I2333" t="s">
        <v>227</v>
      </c>
      <c r="J2333" s="25">
        <v>54592</v>
      </c>
      <c r="K2333" s="26">
        <v>9252.75</v>
      </c>
      <c r="L2333" s="26">
        <v>291.18</v>
      </c>
    </row>
    <row r="2334" spans="1:12" ht="16" customHeight="1">
      <c r="A2334" t="s">
        <v>423</v>
      </c>
      <c r="B2334" t="s">
        <v>3</v>
      </c>
      <c r="C2334" t="s">
        <v>40</v>
      </c>
      <c r="D2334" s="24">
        <v>46082</v>
      </c>
      <c r="E2334" t="s">
        <v>230</v>
      </c>
      <c r="F2334" t="s">
        <v>4</v>
      </c>
      <c r="G2334" t="s">
        <v>217</v>
      </c>
      <c r="H2334" t="s">
        <v>217</v>
      </c>
      <c r="I2334" t="s">
        <v>229</v>
      </c>
      <c r="J2334" s="25">
        <v>2</v>
      </c>
      <c r="K2334" s="26">
        <v>0.34</v>
      </c>
      <c r="L2334" s="26">
        <v>0.03</v>
      </c>
    </row>
    <row r="2335" spans="1:12" ht="16" customHeight="1">
      <c r="A2335" t="s">
        <v>423</v>
      </c>
      <c r="B2335" t="s">
        <v>3</v>
      </c>
      <c r="C2335" t="s">
        <v>40</v>
      </c>
      <c r="D2335" s="24">
        <v>46082</v>
      </c>
      <c r="E2335" t="s">
        <v>232</v>
      </c>
      <c r="F2335" t="s">
        <v>4</v>
      </c>
      <c r="G2335" t="s">
        <v>217</v>
      </c>
      <c r="H2335" t="s">
        <v>217</v>
      </c>
      <c r="I2335" t="s">
        <v>231</v>
      </c>
      <c r="J2335" s="25">
        <v>333</v>
      </c>
      <c r="K2335" s="26">
        <v>57.52</v>
      </c>
      <c r="L2335" s="26">
        <v>3.46</v>
      </c>
    </row>
    <row r="2336" spans="1:12" ht="16" customHeight="1">
      <c r="A2336" t="s">
        <v>423</v>
      </c>
      <c r="B2336" t="s">
        <v>3</v>
      </c>
      <c r="C2336" t="s">
        <v>40</v>
      </c>
      <c r="D2336" s="24">
        <v>46082</v>
      </c>
      <c r="E2336" t="s">
        <v>234</v>
      </c>
      <c r="F2336" t="s">
        <v>4</v>
      </c>
      <c r="G2336" t="s">
        <v>217</v>
      </c>
      <c r="H2336" t="s">
        <v>217</v>
      </c>
      <c r="I2336" t="s">
        <v>233</v>
      </c>
      <c r="J2336" s="25">
        <v>0</v>
      </c>
      <c r="K2336" s="26">
        <v>0</v>
      </c>
      <c r="L2336" s="26">
        <v>0</v>
      </c>
    </row>
    <row r="2337" spans="1:12" ht="16" customHeight="1">
      <c r="A2337" t="s">
        <v>423</v>
      </c>
      <c r="B2337" t="s">
        <v>3</v>
      </c>
      <c r="C2337" t="s">
        <v>40</v>
      </c>
      <c r="D2337" s="24">
        <v>46082</v>
      </c>
      <c r="E2337" t="s">
        <v>236</v>
      </c>
      <c r="F2337" t="s">
        <v>4</v>
      </c>
      <c r="G2337" t="s">
        <v>217</v>
      </c>
      <c r="H2337" t="s">
        <v>217</v>
      </c>
      <c r="I2337" t="s">
        <v>235</v>
      </c>
      <c r="J2337" s="25">
        <v>18</v>
      </c>
      <c r="K2337" s="26">
        <v>3.06</v>
      </c>
      <c r="L2337" s="26">
        <v>0.17</v>
      </c>
    </row>
    <row r="2338" spans="1:12" ht="16" customHeight="1">
      <c r="A2338" t="s">
        <v>423</v>
      </c>
      <c r="B2338" t="s">
        <v>3</v>
      </c>
      <c r="C2338" t="s">
        <v>40</v>
      </c>
      <c r="D2338" s="24">
        <v>46082</v>
      </c>
      <c r="E2338" t="s">
        <v>238</v>
      </c>
      <c r="F2338" t="s">
        <v>4</v>
      </c>
      <c r="G2338" t="s">
        <v>217</v>
      </c>
      <c r="H2338" t="s">
        <v>217</v>
      </c>
      <c r="I2338" t="s">
        <v>237</v>
      </c>
      <c r="J2338" s="25">
        <v>0</v>
      </c>
      <c r="K2338" s="26">
        <v>0</v>
      </c>
      <c r="L2338" s="26">
        <v>0</v>
      </c>
    </row>
    <row r="2339" spans="1:12" ht="16" customHeight="1">
      <c r="A2339" t="s">
        <v>423</v>
      </c>
      <c r="B2339" t="s">
        <v>3</v>
      </c>
      <c r="C2339" t="s">
        <v>40</v>
      </c>
      <c r="D2339" s="24">
        <v>46082</v>
      </c>
      <c r="E2339" t="s">
        <v>240</v>
      </c>
      <c r="F2339" t="s">
        <v>3</v>
      </c>
      <c r="G2339" t="s">
        <v>241</v>
      </c>
      <c r="H2339" t="s">
        <v>241</v>
      </c>
      <c r="I2339" t="s">
        <v>239</v>
      </c>
      <c r="J2339" s="25">
        <v>0</v>
      </c>
      <c r="K2339" s="26">
        <v>0</v>
      </c>
      <c r="L2339" s="26">
        <v>0</v>
      </c>
    </row>
    <row r="2340" spans="1:12" ht="16" customHeight="1">
      <c r="A2340" t="s">
        <v>423</v>
      </c>
      <c r="B2340" t="s">
        <v>3</v>
      </c>
      <c r="C2340" t="s">
        <v>40</v>
      </c>
      <c r="D2340" s="24">
        <v>46082</v>
      </c>
      <c r="E2340" t="s">
        <v>243</v>
      </c>
      <c r="F2340" t="s">
        <v>4</v>
      </c>
      <c r="G2340" t="s">
        <v>217</v>
      </c>
      <c r="H2340" t="s">
        <v>217</v>
      </c>
      <c r="I2340" t="s">
        <v>242</v>
      </c>
      <c r="J2340" s="25">
        <v>0</v>
      </c>
      <c r="K2340" s="26">
        <v>0</v>
      </c>
      <c r="L2340" s="26">
        <v>0</v>
      </c>
    </row>
    <row r="2341" spans="1:12" ht="16" customHeight="1">
      <c r="A2341" t="s">
        <v>423</v>
      </c>
      <c r="B2341" t="s">
        <v>3</v>
      </c>
      <c r="C2341" t="s">
        <v>40</v>
      </c>
      <c r="D2341" s="24">
        <v>46082</v>
      </c>
      <c r="E2341" t="s">
        <v>360</v>
      </c>
      <c r="F2341" t="s">
        <v>4</v>
      </c>
      <c r="G2341" t="s">
        <v>217</v>
      </c>
      <c r="H2341" t="s">
        <v>217</v>
      </c>
      <c r="I2341" t="s">
        <v>244</v>
      </c>
      <c r="J2341" s="25">
        <v>0</v>
      </c>
      <c r="K2341" s="26">
        <v>0</v>
      </c>
      <c r="L2341" s="26">
        <v>0</v>
      </c>
    </row>
    <row r="2342" spans="1:12" ht="16" customHeight="1">
      <c r="A2342" t="s">
        <v>401</v>
      </c>
      <c r="B2342" t="s">
        <v>4</v>
      </c>
      <c r="C2342" t="s">
        <v>40</v>
      </c>
      <c r="D2342" s="24">
        <v>46082</v>
      </c>
      <c r="E2342" t="s">
        <v>401</v>
      </c>
      <c r="F2342" t="s">
        <v>4</v>
      </c>
      <c r="G2342" t="s">
        <v>211</v>
      </c>
      <c r="H2342" t="s">
        <v>211</v>
      </c>
      <c r="I2342" t="s">
        <v>212</v>
      </c>
      <c r="J2342" s="25">
        <v>425163211</v>
      </c>
      <c r="K2342" s="26">
        <v>66952439.200000003</v>
      </c>
      <c r="L2342" s="26">
        <v>78946.94</v>
      </c>
    </row>
    <row r="2343" spans="1:12" ht="16" customHeight="1">
      <c r="A2343" t="s">
        <v>401</v>
      </c>
      <c r="B2343" t="s">
        <v>4</v>
      </c>
      <c r="C2343" t="s">
        <v>40</v>
      </c>
      <c r="D2343" s="24">
        <v>46082</v>
      </c>
      <c r="E2343" t="s">
        <v>406</v>
      </c>
      <c r="F2343" t="s">
        <v>4</v>
      </c>
      <c r="G2343" t="s">
        <v>211</v>
      </c>
      <c r="H2343" t="s">
        <v>211</v>
      </c>
      <c r="I2343" t="s">
        <v>212</v>
      </c>
      <c r="J2343" s="25">
        <v>8549848</v>
      </c>
      <c r="K2343" s="26">
        <v>1359584.76</v>
      </c>
      <c r="L2343" s="26">
        <v>7803.85</v>
      </c>
    </row>
    <row r="2344" spans="1:12" ht="16" customHeight="1">
      <c r="A2344" t="s">
        <v>401</v>
      </c>
      <c r="B2344" t="s">
        <v>4</v>
      </c>
      <c r="C2344" t="s">
        <v>40</v>
      </c>
      <c r="D2344" s="24">
        <v>46082</v>
      </c>
      <c r="E2344" t="s">
        <v>411</v>
      </c>
      <c r="F2344" t="s">
        <v>4</v>
      </c>
      <c r="G2344" t="s">
        <v>211</v>
      </c>
      <c r="H2344" t="s">
        <v>211</v>
      </c>
      <c r="I2344" t="s">
        <v>212</v>
      </c>
      <c r="J2344" s="25">
        <v>367959</v>
      </c>
      <c r="K2344" s="26">
        <v>59332.85</v>
      </c>
      <c r="L2344" s="26">
        <v>420.61</v>
      </c>
    </row>
    <row r="2345" spans="1:12" ht="16" customHeight="1">
      <c r="A2345" t="s">
        <v>401</v>
      </c>
      <c r="B2345" t="s">
        <v>4</v>
      </c>
      <c r="C2345" t="s">
        <v>40</v>
      </c>
      <c r="D2345" s="24">
        <v>46082</v>
      </c>
      <c r="E2345" t="s">
        <v>357</v>
      </c>
      <c r="F2345" t="s">
        <v>3</v>
      </c>
      <c r="G2345" t="s">
        <v>358</v>
      </c>
      <c r="H2345" t="s">
        <v>358</v>
      </c>
      <c r="I2345" t="s">
        <v>212</v>
      </c>
      <c r="J2345" s="25">
        <v>1895498</v>
      </c>
      <c r="K2345" s="26">
        <v>302386.96999999997</v>
      </c>
      <c r="L2345" s="26">
        <v>3083.29</v>
      </c>
    </row>
    <row r="2346" spans="1:12" ht="16" customHeight="1">
      <c r="A2346" t="s">
        <v>401</v>
      </c>
      <c r="B2346" t="s">
        <v>4</v>
      </c>
      <c r="C2346" t="s">
        <v>40</v>
      </c>
      <c r="D2346" s="24">
        <v>46082</v>
      </c>
      <c r="E2346" t="s">
        <v>420</v>
      </c>
      <c r="F2346" t="s">
        <v>4</v>
      </c>
      <c r="G2346" t="s">
        <v>211</v>
      </c>
      <c r="H2346" t="s">
        <v>211</v>
      </c>
      <c r="I2346" t="s">
        <v>219</v>
      </c>
      <c r="J2346" s="25">
        <v>37371</v>
      </c>
      <c r="K2346" s="26">
        <v>6028.97</v>
      </c>
      <c r="L2346" s="26">
        <v>106.66</v>
      </c>
    </row>
    <row r="2347" spans="1:12" ht="16" customHeight="1">
      <c r="A2347" t="s">
        <v>401</v>
      </c>
      <c r="B2347" t="s">
        <v>4</v>
      </c>
      <c r="C2347" t="s">
        <v>40</v>
      </c>
      <c r="D2347" s="24">
        <v>46082</v>
      </c>
      <c r="E2347" t="s">
        <v>387</v>
      </c>
      <c r="F2347" t="s">
        <v>4</v>
      </c>
      <c r="G2347" t="s">
        <v>217</v>
      </c>
      <c r="H2347" t="s">
        <v>217</v>
      </c>
      <c r="I2347" t="s">
        <v>219</v>
      </c>
      <c r="J2347" s="25">
        <v>229431</v>
      </c>
      <c r="K2347" s="26">
        <v>37332.519999999997</v>
      </c>
      <c r="L2347" s="26">
        <v>557.72</v>
      </c>
    </row>
    <row r="2348" spans="1:12" ht="16" customHeight="1">
      <c r="A2348" t="s">
        <v>401</v>
      </c>
      <c r="B2348" t="s">
        <v>4</v>
      </c>
      <c r="C2348" t="s">
        <v>40</v>
      </c>
      <c r="D2348" s="24">
        <v>46082</v>
      </c>
      <c r="E2348" t="s">
        <v>416</v>
      </c>
      <c r="F2348" t="s">
        <v>4</v>
      </c>
      <c r="G2348" t="s">
        <v>217</v>
      </c>
      <c r="H2348" t="s">
        <v>217</v>
      </c>
      <c r="I2348" t="s">
        <v>221</v>
      </c>
      <c r="J2348" s="25">
        <v>39323</v>
      </c>
      <c r="K2348" s="26">
        <v>6462.69</v>
      </c>
      <c r="L2348" s="26">
        <v>113.46</v>
      </c>
    </row>
    <row r="2349" spans="1:12" ht="16" customHeight="1">
      <c r="A2349" t="s">
        <v>401</v>
      </c>
      <c r="B2349" t="s">
        <v>4</v>
      </c>
      <c r="C2349" t="s">
        <v>40</v>
      </c>
      <c r="D2349" s="24">
        <v>46082</v>
      </c>
      <c r="E2349" t="s">
        <v>226</v>
      </c>
      <c r="F2349" t="s">
        <v>4</v>
      </c>
      <c r="G2349" t="s">
        <v>217</v>
      </c>
      <c r="H2349" t="s">
        <v>217</v>
      </c>
      <c r="I2349" t="s">
        <v>223</v>
      </c>
      <c r="J2349" s="25">
        <v>89429</v>
      </c>
      <c r="K2349" s="26">
        <v>14201.56</v>
      </c>
      <c r="L2349" s="26">
        <v>250.94</v>
      </c>
    </row>
    <row r="2350" spans="1:12" ht="16" customHeight="1">
      <c r="A2350" t="s">
        <v>401</v>
      </c>
      <c r="B2350" t="s">
        <v>4</v>
      </c>
      <c r="C2350" t="s">
        <v>40</v>
      </c>
      <c r="D2350" s="24">
        <v>46082</v>
      </c>
      <c r="E2350" t="s">
        <v>269</v>
      </c>
      <c r="F2350" t="s">
        <v>4</v>
      </c>
      <c r="G2350" t="s">
        <v>217</v>
      </c>
      <c r="H2350" t="s">
        <v>217</v>
      </c>
      <c r="I2350" t="s">
        <v>225</v>
      </c>
      <c r="J2350" s="25">
        <v>21544</v>
      </c>
      <c r="K2350" s="26">
        <v>3572.49</v>
      </c>
      <c r="L2350" s="26">
        <v>90</v>
      </c>
    </row>
    <row r="2351" spans="1:12" ht="16" customHeight="1">
      <c r="A2351" t="s">
        <v>401</v>
      </c>
      <c r="B2351" t="s">
        <v>4</v>
      </c>
      <c r="C2351" t="s">
        <v>40</v>
      </c>
      <c r="D2351" s="24">
        <v>46082</v>
      </c>
      <c r="E2351" t="s">
        <v>228</v>
      </c>
      <c r="F2351" t="s">
        <v>4</v>
      </c>
      <c r="G2351" t="s">
        <v>217</v>
      </c>
      <c r="H2351" t="s">
        <v>217</v>
      </c>
      <c r="I2351" t="s">
        <v>227</v>
      </c>
      <c r="J2351" s="25">
        <v>38255</v>
      </c>
      <c r="K2351" s="26">
        <v>6365.18</v>
      </c>
      <c r="L2351" s="26">
        <v>192.14</v>
      </c>
    </row>
    <row r="2352" spans="1:12" ht="16" customHeight="1">
      <c r="A2352" t="s">
        <v>401</v>
      </c>
      <c r="B2352" t="s">
        <v>4</v>
      </c>
      <c r="C2352" t="s">
        <v>40</v>
      </c>
      <c r="D2352" s="24">
        <v>46082</v>
      </c>
      <c r="E2352" t="s">
        <v>230</v>
      </c>
      <c r="F2352" t="s">
        <v>4</v>
      </c>
      <c r="G2352" t="s">
        <v>217</v>
      </c>
      <c r="H2352" t="s">
        <v>217</v>
      </c>
      <c r="I2352" t="s">
        <v>229</v>
      </c>
      <c r="J2352" s="25">
        <v>0</v>
      </c>
      <c r="K2352" s="26">
        <v>0</v>
      </c>
      <c r="L2352" s="26">
        <v>0</v>
      </c>
    </row>
    <row r="2353" spans="1:12" ht="16" customHeight="1">
      <c r="A2353" t="s">
        <v>401</v>
      </c>
      <c r="B2353" t="s">
        <v>4</v>
      </c>
      <c r="C2353" t="s">
        <v>40</v>
      </c>
      <c r="D2353" s="24">
        <v>46082</v>
      </c>
      <c r="E2353" t="s">
        <v>232</v>
      </c>
      <c r="F2353" t="s">
        <v>4</v>
      </c>
      <c r="G2353" t="s">
        <v>217</v>
      </c>
      <c r="H2353" t="s">
        <v>217</v>
      </c>
      <c r="I2353" t="s">
        <v>231</v>
      </c>
      <c r="J2353" s="25">
        <v>113</v>
      </c>
      <c r="K2353" s="26">
        <v>19.05</v>
      </c>
      <c r="L2353" s="26">
        <v>1</v>
      </c>
    </row>
    <row r="2354" spans="1:12" ht="16" customHeight="1">
      <c r="A2354" t="s">
        <v>401</v>
      </c>
      <c r="B2354" t="s">
        <v>4</v>
      </c>
      <c r="C2354" t="s">
        <v>40</v>
      </c>
      <c r="D2354" s="24">
        <v>46082</v>
      </c>
      <c r="E2354" t="s">
        <v>234</v>
      </c>
      <c r="F2354" t="s">
        <v>4</v>
      </c>
      <c r="G2354" t="s">
        <v>217</v>
      </c>
      <c r="H2354" t="s">
        <v>217</v>
      </c>
      <c r="I2354" t="s">
        <v>233</v>
      </c>
      <c r="J2354" s="25">
        <v>2</v>
      </c>
      <c r="K2354" s="26">
        <v>0.28999999999999998</v>
      </c>
      <c r="L2354" s="26">
        <v>0.01</v>
      </c>
    </row>
    <row r="2355" spans="1:12" ht="16" customHeight="1">
      <c r="A2355" t="s">
        <v>401</v>
      </c>
      <c r="B2355" t="s">
        <v>4</v>
      </c>
      <c r="C2355" t="s">
        <v>40</v>
      </c>
      <c r="D2355" s="24">
        <v>46082</v>
      </c>
      <c r="E2355" t="s">
        <v>236</v>
      </c>
      <c r="F2355" t="s">
        <v>4</v>
      </c>
      <c r="G2355" t="s">
        <v>217</v>
      </c>
      <c r="H2355" t="s">
        <v>217</v>
      </c>
      <c r="I2355" t="s">
        <v>235</v>
      </c>
      <c r="J2355" s="25">
        <v>5</v>
      </c>
      <c r="K2355" s="26">
        <v>0.88</v>
      </c>
      <c r="L2355" s="26">
        <v>0.05</v>
      </c>
    </row>
    <row r="2356" spans="1:12" ht="16" customHeight="1">
      <c r="A2356" t="s">
        <v>401</v>
      </c>
      <c r="B2356" t="s">
        <v>4</v>
      </c>
      <c r="C2356" t="s">
        <v>40</v>
      </c>
      <c r="D2356" s="24">
        <v>46082</v>
      </c>
      <c r="E2356" t="s">
        <v>238</v>
      </c>
      <c r="F2356" t="s">
        <v>4</v>
      </c>
      <c r="G2356" t="s">
        <v>217</v>
      </c>
      <c r="H2356" t="s">
        <v>217</v>
      </c>
      <c r="I2356" t="s">
        <v>237</v>
      </c>
      <c r="J2356" s="25">
        <v>0</v>
      </c>
      <c r="K2356" s="26">
        <v>0</v>
      </c>
      <c r="L2356" s="26">
        <v>0</v>
      </c>
    </row>
    <row r="2357" spans="1:12" ht="16" customHeight="1">
      <c r="A2357" t="s">
        <v>401</v>
      </c>
      <c r="B2357" t="s">
        <v>4</v>
      </c>
      <c r="C2357" t="s">
        <v>40</v>
      </c>
      <c r="D2357" s="24">
        <v>46082</v>
      </c>
      <c r="E2357" t="s">
        <v>240</v>
      </c>
      <c r="F2357" t="s">
        <v>3</v>
      </c>
      <c r="G2357" t="s">
        <v>241</v>
      </c>
      <c r="H2357" t="s">
        <v>241</v>
      </c>
      <c r="I2357" t="s">
        <v>239</v>
      </c>
      <c r="J2357" s="25">
        <v>0</v>
      </c>
      <c r="K2357" s="26">
        <v>0</v>
      </c>
      <c r="L2357" s="26">
        <v>0</v>
      </c>
    </row>
    <row r="2358" spans="1:12" ht="16" customHeight="1">
      <c r="A2358" t="s">
        <v>401</v>
      </c>
      <c r="B2358" t="s">
        <v>4</v>
      </c>
      <c r="C2358" t="s">
        <v>40</v>
      </c>
      <c r="D2358" s="24">
        <v>46082</v>
      </c>
      <c r="E2358" t="s">
        <v>243</v>
      </c>
      <c r="F2358" t="s">
        <v>4</v>
      </c>
      <c r="G2358" t="s">
        <v>217</v>
      </c>
      <c r="H2358" t="s">
        <v>217</v>
      </c>
      <c r="I2358" t="s">
        <v>242</v>
      </c>
      <c r="J2358" s="25">
        <v>0</v>
      </c>
      <c r="K2358" s="26">
        <v>0</v>
      </c>
      <c r="L2358" s="26">
        <v>0</v>
      </c>
    </row>
    <row r="2359" spans="1:12" ht="16" customHeight="1">
      <c r="A2359" t="s">
        <v>401</v>
      </c>
      <c r="B2359" t="s">
        <v>4</v>
      </c>
      <c r="C2359" t="s">
        <v>40</v>
      </c>
      <c r="D2359" s="24">
        <v>46082</v>
      </c>
      <c r="E2359" t="s">
        <v>360</v>
      </c>
      <c r="F2359" t="s">
        <v>4</v>
      </c>
      <c r="G2359" t="s">
        <v>217</v>
      </c>
      <c r="H2359" t="s">
        <v>217</v>
      </c>
      <c r="I2359" t="s">
        <v>244</v>
      </c>
      <c r="J2359" s="25">
        <v>0</v>
      </c>
      <c r="K2359" s="26">
        <v>0</v>
      </c>
      <c r="L2359" s="26">
        <v>0</v>
      </c>
    </row>
    <row r="2360" spans="1:12" ht="16" customHeight="1">
      <c r="A2360" t="s">
        <v>424</v>
      </c>
      <c r="B2360" t="s">
        <v>5</v>
      </c>
      <c r="C2360" t="s">
        <v>40</v>
      </c>
      <c r="D2360" s="24">
        <v>46082</v>
      </c>
      <c r="E2360" t="s">
        <v>406</v>
      </c>
      <c r="F2360" t="s">
        <v>4</v>
      </c>
      <c r="G2360" t="s">
        <v>211</v>
      </c>
      <c r="H2360" t="s">
        <v>211</v>
      </c>
      <c r="I2360" t="s">
        <v>212</v>
      </c>
      <c r="J2360" s="25">
        <v>45503497</v>
      </c>
      <c r="K2360" s="26">
        <v>7167324.7699999996</v>
      </c>
      <c r="L2360" s="26">
        <v>44838.68</v>
      </c>
    </row>
    <row r="2361" spans="1:12" ht="16" customHeight="1">
      <c r="A2361" t="s">
        <v>424</v>
      </c>
      <c r="B2361" t="s">
        <v>5</v>
      </c>
      <c r="C2361" t="s">
        <v>40</v>
      </c>
      <c r="D2361" s="24">
        <v>46082</v>
      </c>
      <c r="E2361" t="s">
        <v>411</v>
      </c>
      <c r="F2361" t="s">
        <v>4</v>
      </c>
      <c r="G2361" t="s">
        <v>211</v>
      </c>
      <c r="H2361" t="s">
        <v>211</v>
      </c>
      <c r="I2361" t="s">
        <v>212</v>
      </c>
      <c r="J2361" s="25">
        <v>973670</v>
      </c>
      <c r="K2361" s="26">
        <v>155802.89000000001</v>
      </c>
      <c r="L2361" s="26">
        <v>1202.28</v>
      </c>
    </row>
    <row r="2362" spans="1:12" ht="16" customHeight="1">
      <c r="A2362" t="s">
        <v>424</v>
      </c>
      <c r="B2362" t="s">
        <v>5</v>
      </c>
      <c r="C2362" t="s">
        <v>40</v>
      </c>
      <c r="D2362" s="24">
        <v>46082</v>
      </c>
      <c r="E2362" t="s">
        <v>357</v>
      </c>
      <c r="F2362" t="s">
        <v>3</v>
      </c>
      <c r="G2362" t="s">
        <v>358</v>
      </c>
      <c r="H2362" t="s">
        <v>358</v>
      </c>
      <c r="I2362" t="s">
        <v>212</v>
      </c>
      <c r="J2362" s="25">
        <v>2172235</v>
      </c>
      <c r="K2362" s="26">
        <v>344649.92</v>
      </c>
      <c r="L2362" s="26">
        <v>3508.69</v>
      </c>
    </row>
    <row r="2363" spans="1:12" ht="16" customHeight="1">
      <c r="A2363" t="s">
        <v>424</v>
      </c>
      <c r="B2363" t="s">
        <v>5</v>
      </c>
      <c r="C2363" t="s">
        <v>40</v>
      </c>
      <c r="D2363" s="24">
        <v>46082</v>
      </c>
      <c r="E2363" t="s">
        <v>420</v>
      </c>
      <c r="F2363" t="s">
        <v>4</v>
      </c>
      <c r="G2363" t="s">
        <v>211</v>
      </c>
      <c r="H2363" t="s">
        <v>211</v>
      </c>
      <c r="I2363" t="s">
        <v>219</v>
      </c>
      <c r="J2363" s="25">
        <v>55182</v>
      </c>
      <c r="K2363" s="26">
        <v>8877.1299999999992</v>
      </c>
      <c r="L2363" s="26">
        <v>154.09</v>
      </c>
    </row>
    <row r="2364" spans="1:12" ht="16" customHeight="1">
      <c r="A2364" t="s">
        <v>424</v>
      </c>
      <c r="B2364" t="s">
        <v>5</v>
      </c>
      <c r="C2364" t="s">
        <v>40</v>
      </c>
      <c r="D2364" s="24">
        <v>46082</v>
      </c>
      <c r="E2364" t="s">
        <v>425</v>
      </c>
      <c r="F2364" t="s">
        <v>3</v>
      </c>
      <c r="G2364" t="s">
        <v>241</v>
      </c>
      <c r="H2364" t="s">
        <v>241</v>
      </c>
      <c r="I2364" t="s">
        <v>219</v>
      </c>
      <c r="J2364" s="25">
        <v>576</v>
      </c>
      <c r="K2364" s="26">
        <v>94.91</v>
      </c>
      <c r="L2364" s="26">
        <v>0.98</v>
      </c>
    </row>
    <row r="2365" spans="1:12" ht="16" customHeight="1">
      <c r="A2365" t="s">
        <v>424</v>
      </c>
      <c r="B2365" t="s">
        <v>5</v>
      </c>
      <c r="C2365" t="s">
        <v>40</v>
      </c>
      <c r="D2365" s="24">
        <v>46082</v>
      </c>
      <c r="E2365" t="s">
        <v>387</v>
      </c>
      <c r="F2365" t="s">
        <v>4</v>
      </c>
      <c r="G2365" t="s">
        <v>217</v>
      </c>
      <c r="H2365" t="s">
        <v>217</v>
      </c>
      <c r="I2365" t="s">
        <v>219</v>
      </c>
      <c r="J2365" s="25">
        <v>245105</v>
      </c>
      <c r="K2365" s="26">
        <v>39813.31</v>
      </c>
      <c r="L2365" s="26">
        <v>568.15</v>
      </c>
    </row>
    <row r="2366" spans="1:12" ht="16" customHeight="1">
      <c r="A2366" t="s">
        <v>424</v>
      </c>
      <c r="B2366" t="s">
        <v>5</v>
      </c>
      <c r="C2366" t="s">
        <v>40</v>
      </c>
      <c r="D2366" s="24">
        <v>46082</v>
      </c>
      <c r="E2366" t="s">
        <v>416</v>
      </c>
      <c r="F2366" t="s">
        <v>4</v>
      </c>
      <c r="G2366" t="s">
        <v>217</v>
      </c>
      <c r="H2366" t="s">
        <v>217</v>
      </c>
      <c r="I2366" t="s">
        <v>221</v>
      </c>
      <c r="J2366" s="25">
        <v>38810</v>
      </c>
      <c r="K2366" s="26">
        <v>6336.49</v>
      </c>
      <c r="L2366" s="26">
        <v>112.5</v>
      </c>
    </row>
    <row r="2367" spans="1:12" ht="16" customHeight="1">
      <c r="A2367" t="s">
        <v>424</v>
      </c>
      <c r="B2367" t="s">
        <v>5</v>
      </c>
      <c r="C2367" t="s">
        <v>40</v>
      </c>
      <c r="D2367" s="24">
        <v>46082</v>
      </c>
      <c r="E2367" t="s">
        <v>226</v>
      </c>
      <c r="F2367" t="s">
        <v>4</v>
      </c>
      <c r="G2367" t="s">
        <v>217</v>
      </c>
      <c r="H2367" t="s">
        <v>217</v>
      </c>
      <c r="I2367" t="s">
        <v>223</v>
      </c>
      <c r="J2367" s="25">
        <v>89769</v>
      </c>
      <c r="K2367" s="26">
        <v>14137.89</v>
      </c>
      <c r="L2367" s="26">
        <v>251.14</v>
      </c>
    </row>
    <row r="2368" spans="1:12" ht="16" customHeight="1">
      <c r="A2368" t="s">
        <v>424</v>
      </c>
      <c r="B2368" t="s">
        <v>5</v>
      </c>
      <c r="C2368" t="s">
        <v>40</v>
      </c>
      <c r="D2368" s="24">
        <v>46082</v>
      </c>
      <c r="E2368" t="s">
        <v>269</v>
      </c>
      <c r="F2368" t="s">
        <v>4</v>
      </c>
      <c r="G2368" t="s">
        <v>217</v>
      </c>
      <c r="H2368" t="s">
        <v>217</v>
      </c>
      <c r="I2368" t="s">
        <v>225</v>
      </c>
      <c r="J2368" s="25">
        <v>13907</v>
      </c>
      <c r="K2368" s="26">
        <v>2407.2199999999998</v>
      </c>
      <c r="L2368" s="26">
        <v>43.41</v>
      </c>
    </row>
    <row r="2369" spans="1:12" ht="16" customHeight="1">
      <c r="A2369" t="s">
        <v>424</v>
      </c>
      <c r="B2369" t="s">
        <v>5</v>
      </c>
      <c r="C2369" t="s">
        <v>40</v>
      </c>
      <c r="D2369" s="24">
        <v>46082</v>
      </c>
      <c r="E2369" t="s">
        <v>228</v>
      </c>
      <c r="F2369" t="s">
        <v>4</v>
      </c>
      <c r="G2369" t="s">
        <v>217</v>
      </c>
      <c r="H2369" t="s">
        <v>217</v>
      </c>
      <c r="I2369" t="s">
        <v>227</v>
      </c>
      <c r="J2369" s="25">
        <v>44128</v>
      </c>
      <c r="K2369" s="26">
        <v>7277.86</v>
      </c>
      <c r="L2369" s="26">
        <v>214.01</v>
      </c>
    </row>
    <row r="2370" spans="1:12" ht="16" customHeight="1">
      <c r="A2370" t="s">
        <v>424</v>
      </c>
      <c r="B2370" t="s">
        <v>5</v>
      </c>
      <c r="C2370" t="s">
        <v>40</v>
      </c>
      <c r="D2370" s="24">
        <v>46082</v>
      </c>
      <c r="E2370" t="s">
        <v>230</v>
      </c>
      <c r="F2370" t="s">
        <v>4</v>
      </c>
      <c r="G2370" t="s">
        <v>217</v>
      </c>
      <c r="H2370" t="s">
        <v>217</v>
      </c>
      <c r="I2370" t="s">
        <v>229</v>
      </c>
      <c r="J2370" s="25">
        <v>2</v>
      </c>
      <c r="K2370" s="26">
        <v>0.28000000000000003</v>
      </c>
      <c r="L2370" s="26">
        <v>0</v>
      </c>
    </row>
    <row r="2371" spans="1:12" ht="16" customHeight="1">
      <c r="A2371" t="s">
        <v>424</v>
      </c>
      <c r="B2371" t="s">
        <v>5</v>
      </c>
      <c r="C2371" t="s">
        <v>40</v>
      </c>
      <c r="D2371" s="24">
        <v>46082</v>
      </c>
      <c r="E2371" t="s">
        <v>232</v>
      </c>
      <c r="F2371" t="s">
        <v>4</v>
      </c>
      <c r="G2371" t="s">
        <v>217</v>
      </c>
      <c r="H2371" t="s">
        <v>217</v>
      </c>
      <c r="I2371" t="s">
        <v>231</v>
      </c>
      <c r="J2371" s="25">
        <v>199</v>
      </c>
      <c r="K2371" s="26">
        <v>34.869999999999997</v>
      </c>
      <c r="L2371" s="26">
        <v>2.36</v>
      </c>
    </row>
    <row r="2372" spans="1:12" ht="16" customHeight="1">
      <c r="A2372" t="s">
        <v>424</v>
      </c>
      <c r="B2372" t="s">
        <v>5</v>
      </c>
      <c r="C2372" t="s">
        <v>40</v>
      </c>
      <c r="D2372" s="24">
        <v>46082</v>
      </c>
      <c r="E2372" t="s">
        <v>234</v>
      </c>
      <c r="F2372" t="s">
        <v>4</v>
      </c>
      <c r="G2372" t="s">
        <v>217</v>
      </c>
      <c r="H2372" t="s">
        <v>217</v>
      </c>
      <c r="I2372" t="s">
        <v>233</v>
      </c>
      <c r="J2372" s="25">
        <v>2</v>
      </c>
      <c r="K2372" s="26">
        <v>0.28999999999999998</v>
      </c>
      <c r="L2372" s="26">
        <v>0.01</v>
      </c>
    </row>
    <row r="2373" spans="1:12" ht="16" customHeight="1">
      <c r="A2373" t="s">
        <v>424</v>
      </c>
      <c r="B2373" t="s">
        <v>5</v>
      </c>
      <c r="C2373" t="s">
        <v>40</v>
      </c>
      <c r="D2373" s="24">
        <v>46082</v>
      </c>
      <c r="E2373" t="s">
        <v>236</v>
      </c>
      <c r="F2373" t="s">
        <v>4</v>
      </c>
      <c r="G2373" t="s">
        <v>217</v>
      </c>
      <c r="H2373" t="s">
        <v>217</v>
      </c>
      <c r="I2373" t="s">
        <v>235</v>
      </c>
      <c r="J2373" s="25">
        <v>6</v>
      </c>
      <c r="K2373" s="26">
        <v>1.1200000000000001</v>
      </c>
      <c r="L2373" s="26">
        <v>0.08</v>
      </c>
    </row>
    <row r="2374" spans="1:12" ht="16" customHeight="1">
      <c r="A2374" t="s">
        <v>424</v>
      </c>
      <c r="B2374" t="s">
        <v>5</v>
      </c>
      <c r="C2374" t="s">
        <v>40</v>
      </c>
      <c r="D2374" s="24">
        <v>46082</v>
      </c>
      <c r="E2374" t="s">
        <v>238</v>
      </c>
      <c r="F2374" t="s">
        <v>4</v>
      </c>
      <c r="G2374" t="s">
        <v>217</v>
      </c>
      <c r="H2374" t="s">
        <v>217</v>
      </c>
      <c r="I2374" t="s">
        <v>237</v>
      </c>
      <c r="J2374" s="25">
        <v>0</v>
      </c>
      <c r="K2374" s="26">
        <v>0</v>
      </c>
      <c r="L2374" s="26">
        <v>0</v>
      </c>
    </row>
    <row r="2375" spans="1:12" ht="16" customHeight="1">
      <c r="A2375" t="s">
        <v>424</v>
      </c>
      <c r="B2375" t="s">
        <v>5</v>
      </c>
      <c r="C2375" t="s">
        <v>40</v>
      </c>
      <c r="D2375" s="24">
        <v>46082</v>
      </c>
      <c r="E2375" t="s">
        <v>240</v>
      </c>
      <c r="F2375" t="s">
        <v>3</v>
      </c>
      <c r="G2375" t="s">
        <v>241</v>
      </c>
      <c r="H2375" t="s">
        <v>241</v>
      </c>
      <c r="I2375" t="s">
        <v>239</v>
      </c>
      <c r="J2375" s="25">
        <v>0</v>
      </c>
      <c r="K2375" s="26">
        <v>0</v>
      </c>
      <c r="L2375" s="26">
        <v>0</v>
      </c>
    </row>
    <row r="2376" spans="1:12" ht="16" customHeight="1">
      <c r="A2376" t="s">
        <v>424</v>
      </c>
      <c r="B2376" t="s">
        <v>5</v>
      </c>
      <c r="C2376" t="s">
        <v>40</v>
      </c>
      <c r="D2376" s="24">
        <v>46082</v>
      </c>
      <c r="E2376" t="s">
        <v>243</v>
      </c>
      <c r="F2376" t="s">
        <v>4</v>
      </c>
      <c r="G2376" t="s">
        <v>217</v>
      </c>
      <c r="H2376" t="s">
        <v>217</v>
      </c>
      <c r="I2376" t="s">
        <v>242</v>
      </c>
      <c r="J2376" s="25">
        <v>0</v>
      </c>
      <c r="K2376" s="26">
        <v>0</v>
      </c>
      <c r="L2376" s="26">
        <v>0</v>
      </c>
    </row>
    <row r="2377" spans="1:12" ht="16" customHeight="1">
      <c r="A2377" t="s">
        <v>424</v>
      </c>
      <c r="B2377" t="s">
        <v>5</v>
      </c>
      <c r="C2377" t="s">
        <v>40</v>
      </c>
      <c r="D2377" s="24">
        <v>46082</v>
      </c>
      <c r="E2377" t="s">
        <v>360</v>
      </c>
      <c r="F2377" t="s">
        <v>4</v>
      </c>
      <c r="G2377" t="s">
        <v>217</v>
      </c>
      <c r="H2377" t="s">
        <v>217</v>
      </c>
      <c r="I2377" t="s">
        <v>244</v>
      </c>
      <c r="J2377" s="25">
        <v>0</v>
      </c>
      <c r="K2377" s="26">
        <v>0</v>
      </c>
      <c r="L2377" s="26">
        <v>0</v>
      </c>
    </row>
    <row r="2378" spans="1:12" ht="16" customHeight="1">
      <c r="A2378" t="s">
        <v>426</v>
      </c>
      <c r="B2378" t="s">
        <v>6</v>
      </c>
      <c r="C2378" t="s">
        <v>40</v>
      </c>
      <c r="D2378" s="24">
        <v>46082</v>
      </c>
      <c r="E2378" t="s">
        <v>406</v>
      </c>
      <c r="F2378" t="s">
        <v>4</v>
      </c>
      <c r="G2378" t="s">
        <v>211</v>
      </c>
      <c r="H2378" t="s">
        <v>211</v>
      </c>
      <c r="I2378" t="s">
        <v>212</v>
      </c>
      <c r="J2378" s="25">
        <v>45091715</v>
      </c>
      <c r="K2378" s="26">
        <v>7035756.1600000001</v>
      </c>
      <c r="L2378" s="26">
        <v>39123.040000000001</v>
      </c>
    </row>
    <row r="2379" spans="1:12" ht="16" customHeight="1">
      <c r="A2379" t="s">
        <v>426</v>
      </c>
      <c r="B2379" t="s">
        <v>6</v>
      </c>
      <c r="C2379" t="s">
        <v>40</v>
      </c>
      <c r="D2379" s="24">
        <v>46082</v>
      </c>
      <c r="E2379" t="s">
        <v>411</v>
      </c>
      <c r="F2379" t="s">
        <v>4</v>
      </c>
      <c r="G2379" t="s">
        <v>211</v>
      </c>
      <c r="H2379" t="s">
        <v>211</v>
      </c>
      <c r="I2379" t="s">
        <v>212</v>
      </c>
      <c r="J2379" s="25">
        <v>1166287</v>
      </c>
      <c r="K2379" s="26">
        <v>184702.91</v>
      </c>
      <c r="L2379" s="26">
        <v>1459.39</v>
      </c>
    </row>
    <row r="2380" spans="1:12" ht="16" customHeight="1">
      <c r="A2380" t="s">
        <v>426</v>
      </c>
      <c r="B2380" t="s">
        <v>6</v>
      </c>
      <c r="C2380" t="s">
        <v>40</v>
      </c>
      <c r="D2380" s="24">
        <v>46082</v>
      </c>
      <c r="E2380" t="s">
        <v>357</v>
      </c>
      <c r="F2380" t="s">
        <v>3</v>
      </c>
      <c r="G2380" t="s">
        <v>358</v>
      </c>
      <c r="H2380" t="s">
        <v>358</v>
      </c>
      <c r="I2380" t="s">
        <v>212</v>
      </c>
      <c r="J2380" s="25">
        <v>2231977</v>
      </c>
      <c r="K2380" s="26">
        <v>351860</v>
      </c>
      <c r="L2380" s="26">
        <v>4085.87</v>
      </c>
    </row>
    <row r="2381" spans="1:12" ht="16" customHeight="1">
      <c r="A2381" t="s">
        <v>426</v>
      </c>
      <c r="B2381" t="s">
        <v>6</v>
      </c>
      <c r="C2381" t="s">
        <v>40</v>
      </c>
      <c r="D2381" s="24">
        <v>46082</v>
      </c>
      <c r="E2381" t="s">
        <v>420</v>
      </c>
      <c r="F2381" t="s">
        <v>4</v>
      </c>
      <c r="G2381" t="s">
        <v>211</v>
      </c>
      <c r="H2381" t="s">
        <v>211</v>
      </c>
      <c r="I2381" t="s">
        <v>219</v>
      </c>
      <c r="J2381" s="25">
        <v>90675</v>
      </c>
      <c r="K2381" s="26">
        <v>14663.71</v>
      </c>
      <c r="L2381" s="26">
        <v>227.4</v>
      </c>
    </row>
    <row r="2382" spans="1:12" ht="16" customHeight="1">
      <c r="A2382" t="s">
        <v>426</v>
      </c>
      <c r="B2382" t="s">
        <v>6</v>
      </c>
      <c r="C2382" t="s">
        <v>40</v>
      </c>
      <c r="D2382" s="24">
        <v>46082</v>
      </c>
      <c r="E2382" t="s">
        <v>425</v>
      </c>
      <c r="F2382" t="s">
        <v>3</v>
      </c>
      <c r="G2382" t="s">
        <v>241</v>
      </c>
      <c r="H2382" t="s">
        <v>241</v>
      </c>
      <c r="I2382" t="s">
        <v>219</v>
      </c>
      <c r="J2382" s="25">
        <v>1158</v>
      </c>
      <c r="K2382" s="26">
        <v>191.01</v>
      </c>
      <c r="L2382" s="26">
        <v>1.56</v>
      </c>
    </row>
    <row r="2383" spans="1:12" ht="16" customHeight="1">
      <c r="A2383" t="s">
        <v>426</v>
      </c>
      <c r="B2383" t="s">
        <v>6</v>
      </c>
      <c r="C2383" t="s">
        <v>40</v>
      </c>
      <c r="D2383" s="24">
        <v>46082</v>
      </c>
      <c r="E2383" t="s">
        <v>387</v>
      </c>
      <c r="F2383" t="s">
        <v>4</v>
      </c>
      <c r="G2383" t="s">
        <v>217</v>
      </c>
      <c r="H2383" t="s">
        <v>217</v>
      </c>
      <c r="I2383" t="s">
        <v>219</v>
      </c>
      <c r="J2383" s="25">
        <v>289555</v>
      </c>
      <c r="K2383" s="26">
        <v>46889.64</v>
      </c>
      <c r="L2383" s="26">
        <v>751.97</v>
      </c>
    </row>
    <row r="2384" spans="1:12" ht="16" customHeight="1">
      <c r="A2384" t="s">
        <v>426</v>
      </c>
      <c r="B2384" t="s">
        <v>6</v>
      </c>
      <c r="C2384" t="s">
        <v>40</v>
      </c>
      <c r="D2384" s="24">
        <v>46082</v>
      </c>
      <c r="E2384" t="s">
        <v>416</v>
      </c>
      <c r="F2384" t="s">
        <v>4</v>
      </c>
      <c r="G2384" t="s">
        <v>217</v>
      </c>
      <c r="H2384" t="s">
        <v>217</v>
      </c>
      <c r="I2384" t="s">
        <v>221</v>
      </c>
      <c r="J2384" s="25">
        <v>47360</v>
      </c>
      <c r="K2384" s="26">
        <v>7686.81</v>
      </c>
      <c r="L2384" s="26">
        <v>135.44</v>
      </c>
    </row>
    <row r="2385" spans="1:12" ht="16" customHeight="1">
      <c r="A2385" t="s">
        <v>426</v>
      </c>
      <c r="B2385" t="s">
        <v>6</v>
      </c>
      <c r="C2385" t="s">
        <v>40</v>
      </c>
      <c r="D2385" s="24">
        <v>46082</v>
      </c>
      <c r="E2385" t="s">
        <v>226</v>
      </c>
      <c r="F2385" t="s">
        <v>4</v>
      </c>
      <c r="G2385" t="s">
        <v>217</v>
      </c>
      <c r="H2385" t="s">
        <v>217</v>
      </c>
      <c r="I2385" t="s">
        <v>223</v>
      </c>
      <c r="J2385" s="25">
        <v>128240</v>
      </c>
      <c r="K2385" s="26">
        <v>20107.25</v>
      </c>
      <c r="L2385" s="26">
        <v>381.2</v>
      </c>
    </row>
    <row r="2386" spans="1:12" ht="16" customHeight="1">
      <c r="A2386" t="s">
        <v>426</v>
      </c>
      <c r="B2386" t="s">
        <v>6</v>
      </c>
      <c r="C2386" t="s">
        <v>40</v>
      </c>
      <c r="D2386" s="24">
        <v>46082</v>
      </c>
      <c r="E2386" t="s">
        <v>269</v>
      </c>
      <c r="F2386" t="s">
        <v>4</v>
      </c>
      <c r="G2386" t="s">
        <v>217</v>
      </c>
      <c r="H2386" t="s">
        <v>217</v>
      </c>
      <c r="I2386" t="s">
        <v>225</v>
      </c>
      <c r="J2386" s="25">
        <v>15869</v>
      </c>
      <c r="K2386" s="26">
        <v>2701.07</v>
      </c>
      <c r="L2386" s="26">
        <v>58.41</v>
      </c>
    </row>
    <row r="2387" spans="1:12" ht="16" customHeight="1">
      <c r="A2387" t="s">
        <v>426</v>
      </c>
      <c r="B2387" t="s">
        <v>6</v>
      </c>
      <c r="C2387" t="s">
        <v>40</v>
      </c>
      <c r="D2387" s="24">
        <v>46082</v>
      </c>
      <c r="E2387" t="s">
        <v>228</v>
      </c>
      <c r="F2387" t="s">
        <v>4</v>
      </c>
      <c r="G2387" t="s">
        <v>217</v>
      </c>
      <c r="H2387" t="s">
        <v>217</v>
      </c>
      <c r="I2387" t="s">
        <v>227</v>
      </c>
      <c r="J2387" s="25">
        <v>39796</v>
      </c>
      <c r="K2387" s="26">
        <v>6575.76</v>
      </c>
      <c r="L2387" s="26">
        <v>198.31</v>
      </c>
    </row>
    <row r="2388" spans="1:12" ht="16" customHeight="1">
      <c r="A2388" t="s">
        <v>426</v>
      </c>
      <c r="B2388" t="s">
        <v>6</v>
      </c>
      <c r="C2388" t="s">
        <v>40</v>
      </c>
      <c r="D2388" s="24">
        <v>46082</v>
      </c>
      <c r="E2388" t="s">
        <v>230</v>
      </c>
      <c r="F2388" t="s">
        <v>4</v>
      </c>
      <c r="G2388" t="s">
        <v>217</v>
      </c>
      <c r="H2388" t="s">
        <v>217</v>
      </c>
      <c r="I2388" t="s">
        <v>229</v>
      </c>
      <c r="J2388" s="25">
        <v>14</v>
      </c>
      <c r="K2388" s="26">
        <v>1.97</v>
      </c>
      <c r="L2388" s="26">
        <v>0.04</v>
      </c>
    </row>
    <row r="2389" spans="1:12" ht="16" customHeight="1">
      <c r="A2389" t="s">
        <v>426</v>
      </c>
      <c r="B2389" t="s">
        <v>6</v>
      </c>
      <c r="C2389" t="s">
        <v>40</v>
      </c>
      <c r="D2389" s="24">
        <v>46082</v>
      </c>
      <c r="E2389" t="s">
        <v>232</v>
      </c>
      <c r="F2389" t="s">
        <v>4</v>
      </c>
      <c r="G2389" t="s">
        <v>217</v>
      </c>
      <c r="H2389" t="s">
        <v>217</v>
      </c>
      <c r="I2389" t="s">
        <v>231</v>
      </c>
      <c r="J2389" s="25">
        <v>154</v>
      </c>
      <c r="K2389" s="26">
        <v>26.67</v>
      </c>
      <c r="L2389" s="26">
        <v>1.6</v>
      </c>
    </row>
    <row r="2390" spans="1:12" ht="16" customHeight="1">
      <c r="A2390" t="s">
        <v>426</v>
      </c>
      <c r="B2390" t="s">
        <v>6</v>
      </c>
      <c r="C2390" t="s">
        <v>40</v>
      </c>
      <c r="D2390" s="24">
        <v>46082</v>
      </c>
      <c r="E2390" t="s">
        <v>234</v>
      </c>
      <c r="F2390" t="s">
        <v>4</v>
      </c>
      <c r="G2390" t="s">
        <v>217</v>
      </c>
      <c r="H2390" t="s">
        <v>217</v>
      </c>
      <c r="I2390" t="s">
        <v>233</v>
      </c>
      <c r="J2390" s="25">
        <v>0</v>
      </c>
      <c r="K2390" s="26">
        <v>0</v>
      </c>
      <c r="L2390" s="26">
        <v>0</v>
      </c>
    </row>
    <row r="2391" spans="1:12" ht="16" customHeight="1">
      <c r="A2391" t="s">
        <v>426</v>
      </c>
      <c r="B2391" t="s">
        <v>6</v>
      </c>
      <c r="C2391" t="s">
        <v>40</v>
      </c>
      <c r="D2391" s="24">
        <v>46082</v>
      </c>
      <c r="E2391" t="s">
        <v>236</v>
      </c>
      <c r="F2391" t="s">
        <v>4</v>
      </c>
      <c r="G2391" t="s">
        <v>217</v>
      </c>
      <c r="H2391" t="s">
        <v>217</v>
      </c>
      <c r="I2391" t="s">
        <v>235</v>
      </c>
      <c r="J2391" s="25">
        <v>32</v>
      </c>
      <c r="K2391" s="26">
        <v>5.63</v>
      </c>
      <c r="L2391" s="26">
        <v>0.35</v>
      </c>
    </row>
    <row r="2392" spans="1:12" ht="16" customHeight="1">
      <c r="A2392" t="s">
        <v>426</v>
      </c>
      <c r="B2392" t="s">
        <v>6</v>
      </c>
      <c r="C2392" t="s">
        <v>40</v>
      </c>
      <c r="D2392" s="24">
        <v>46082</v>
      </c>
      <c r="E2392" t="s">
        <v>238</v>
      </c>
      <c r="F2392" t="s">
        <v>4</v>
      </c>
      <c r="G2392" t="s">
        <v>217</v>
      </c>
      <c r="H2392" t="s">
        <v>217</v>
      </c>
      <c r="I2392" t="s">
        <v>237</v>
      </c>
      <c r="J2392" s="25">
        <v>0</v>
      </c>
      <c r="K2392" s="26">
        <v>0</v>
      </c>
      <c r="L2392" s="26">
        <v>0</v>
      </c>
    </row>
    <row r="2393" spans="1:12" ht="16" customHeight="1">
      <c r="A2393" t="s">
        <v>426</v>
      </c>
      <c r="B2393" t="s">
        <v>6</v>
      </c>
      <c r="C2393" t="s">
        <v>40</v>
      </c>
      <c r="D2393" s="24">
        <v>46082</v>
      </c>
      <c r="E2393" t="s">
        <v>240</v>
      </c>
      <c r="F2393" t="s">
        <v>3</v>
      </c>
      <c r="G2393" t="s">
        <v>241</v>
      </c>
      <c r="H2393" t="s">
        <v>241</v>
      </c>
      <c r="I2393" t="s">
        <v>239</v>
      </c>
      <c r="J2393" s="25">
        <v>0</v>
      </c>
      <c r="K2393" s="26">
        <v>0</v>
      </c>
      <c r="L2393" s="26">
        <v>0</v>
      </c>
    </row>
    <row r="2394" spans="1:12" ht="16" customHeight="1">
      <c r="A2394" t="s">
        <v>426</v>
      </c>
      <c r="B2394" t="s">
        <v>6</v>
      </c>
      <c r="C2394" t="s">
        <v>40</v>
      </c>
      <c r="D2394" s="24">
        <v>46082</v>
      </c>
      <c r="E2394" t="s">
        <v>243</v>
      </c>
      <c r="F2394" t="s">
        <v>4</v>
      </c>
      <c r="G2394" t="s">
        <v>217</v>
      </c>
      <c r="H2394" t="s">
        <v>217</v>
      </c>
      <c r="I2394" t="s">
        <v>242</v>
      </c>
      <c r="J2394" s="25">
        <v>0</v>
      </c>
      <c r="K2394" s="26">
        <v>0</v>
      </c>
      <c r="L2394" s="26">
        <v>0</v>
      </c>
    </row>
    <row r="2395" spans="1:12" ht="16" customHeight="1">
      <c r="A2395" t="s">
        <v>426</v>
      </c>
      <c r="B2395" t="s">
        <v>6</v>
      </c>
      <c r="C2395" t="s">
        <v>40</v>
      </c>
      <c r="D2395" s="24">
        <v>46082</v>
      </c>
      <c r="E2395" t="s">
        <v>360</v>
      </c>
      <c r="F2395" t="s">
        <v>4</v>
      </c>
      <c r="G2395" t="s">
        <v>217</v>
      </c>
      <c r="H2395" t="s">
        <v>217</v>
      </c>
      <c r="I2395" t="s">
        <v>244</v>
      </c>
      <c r="J2395" s="25">
        <v>0</v>
      </c>
      <c r="K2395" s="26">
        <v>0</v>
      </c>
      <c r="L2395" s="26">
        <v>0</v>
      </c>
    </row>
    <row r="2396" spans="1:12" ht="16" customHeight="1">
      <c r="A2396" t="s">
        <v>427</v>
      </c>
      <c r="B2396" t="s">
        <v>7</v>
      </c>
      <c r="C2396" t="s">
        <v>40</v>
      </c>
      <c r="D2396" s="24">
        <v>46082</v>
      </c>
      <c r="E2396" t="s">
        <v>406</v>
      </c>
      <c r="F2396" t="s">
        <v>4</v>
      </c>
      <c r="G2396" t="s">
        <v>211</v>
      </c>
      <c r="H2396" t="s">
        <v>211</v>
      </c>
      <c r="I2396" t="s">
        <v>212</v>
      </c>
      <c r="J2396" s="25">
        <v>86415855</v>
      </c>
      <c r="K2396" s="26">
        <v>13240560.24</v>
      </c>
      <c r="L2396" s="26">
        <v>73299.7</v>
      </c>
    </row>
    <row r="2397" spans="1:12" ht="16" customHeight="1">
      <c r="A2397" t="s">
        <v>427</v>
      </c>
      <c r="B2397" t="s">
        <v>7</v>
      </c>
      <c r="C2397" t="s">
        <v>40</v>
      </c>
      <c r="D2397" s="24">
        <v>46082</v>
      </c>
      <c r="E2397" t="s">
        <v>411</v>
      </c>
      <c r="F2397" t="s">
        <v>4</v>
      </c>
      <c r="G2397" t="s">
        <v>211</v>
      </c>
      <c r="H2397" t="s">
        <v>211</v>
      </c>
      <c r="I2397" t="s">
        <v>212</v>
      </c>
      <c r="J2397" s="25">
        <v>1929317</v>
      </c>
      <c r="K2397" s="26">
        <v>300783.78999999998</v>
      </c>
      <c r="L2397" s="26">
        <v>2609.4299999999998</v>
      </c>
    </row>
    <row r="2398" spans="1:12" ht="16" customHeight="1">
      <c r="A2398" t="s">
        <v>427</v>
      </c>
      <c r="B2398" t="s">
        <v>7</v>
      </c>
      <c r="C2398" t="s">
        <v>40</v>
      </c>
      <c r="D2398" s="24">
        <v>46082</v>
      </c>
      <c r="E2398" t="s">
        <v>357</v>
      </c>
      <c r="F2398" t="s">
        <v>3</v>
      </c>
      <c r="G2398" t="s">
        <v>358</v>
      </c>
      <c r="H2398" t="s">
        <v>358</v>
      </c>
      <c r="I2398" t="s">
        <v>212</v>
      </c>
      <c r="J2398" s="25">
        <v>3039475</v>
      </c>
      <c r="K2398" s="26">
        <v>471000.36</v>
      </c>
      <c r="L2398" s="26">
        <v>5847.79</v>
      </c>
    </row>
    <row r="2399" spans="1:12" ht="16" customHeight="1">
      <c r="A2399" t="s">
        <v>427</v>
      </c>
      <c r="B2399" t="s">
        <v>7</v>
      </c>
      <c r="C2399" t="s">
        <v>40</v>
      </c>
      <c r="D2399" s="24">
        <v>46082</v>
      </c>
      <c r="E2399" t="s">
        <v>420</v>
      </c>
      <c r="F2399" t="s">
        <v>4</v>
      </c>
      <c r="G2399" t="s">
        <v>211</v>
      </c>
      <c r="H2399" t="s">
        <v>211</v>
      </c>
      <c r="I2399" t="s">
        <v>219</v>
      </c>
      <c r="J2399" s="25">
        <v>163559</v>
      </c>
      <c r="K2399" s="26">
        <v>26270.26</v>
      </c>
      <c r="L2399" s="26">
        <v>291.69</v>
      </c>
    </row>
    <row r="2400" spans="1:12" ht="16" customHeight="1">
      <c r="A2400" t="s">
        <v>427</v>
      </c>
      <c r="B2400" t="s">
        <v>7</v>
      </c>
      <c r="C2400" t="s">
        <v>40</v>
      </c>
      <c r="D2400" s="24">
        <v>46082</v>
      </c>
      <c r="E2400" t="s">
        <v>425</v>
      </c>
      <c r="F2400" t="s">
        <v>3</v>
      </c>
      <c r="G2400" t="s">
        <v>241</v>
      </c>
      <c r="H2400" t="s">
        <v>241</v>
      </c>
      <c r="I2400" t="s">
        <v>219</v>
      </c>
      <c r="J2400" s="25">
        <v>2515</v>
      </c>
      <c r="K2400" s="26">
        <v>411.73</v>
      </c>
      <c r="L2400" s="26">
        <v>2.62</v>
      </c>
    </row>
    <row r="2401" spans="1:12" ht="16" customHeight="1">
      <c r="A2401" t="s">
        <v>427</v>
      </c>
      <c r="B2401" t="s">
        <v>7</v>
      </c>
      <c r="C2401" t="s">
        <v>40</v>
      </c>
      <c r="D2401" s="24">
        <v>46082</v>
      </c>
      <c r="E2401" t="s">
        <v>387</v>
      </c>
      <c r="F2401" t="s">
        <v>4</v>
      </c>
      <c r="G2401" t="s">
        <v>217</v>
      </c>
      <c r="H2401" t="s">
        <v>217</v>
      </c>
      <c r="I2401" t="s">
        <v>219</v>
      </c>
      <c r="J2401" s="25">
        <v>504299</v>
      </c>
      <c r="K2401" s="26">
        <v>80826.34</v>
      </c>
      <c r="L2401" s="26">
        <v>1577.31</v>
      </c>
    </row>
    <row r="2402" spans="1:12" ht="16" customHeight="1">
      <c r="A2402" t="s">
        <v>427</v>
      </c>
      <c r="B2402" t="s">
        <v>7</v>
      </c>
      <c r="C2402" t="s">
        <v>40</v>
      </c>
      <c r="D2402" s="24">
        <v>46082</v>
      </c>
      <c r="E2402" t="s">
        <v>416</v>
      </c>
      <c r="F2402" t="s">
        <v>4</v>
      </c>
      <c r="G2402" t="s">
        <v>217</v>
      </c>
      <c r="H2402" t="s">
        <v>217</v>
      </c>
      <c r="I2402" t="s">
        <v>221</v>
      </c>
      <c r="J2402" s="25">
        <v>88206</v>
      </c>
      <c r="K2402" s="26">
        <v>14239.52</v>
      </c>
      <c r="L2402" s="26">
        <v>302.38</v>
      </c>
    </row>
    <row r="2403" spans="1:12" ht="16" customHeight="1">
      <c r="A2403" t="s">
        <v>427</v>
      </c>
      <c r="B2403" t="s">
        <v>7</v>
      </c>
      <c r="C2403" t="s">
        <v>40</v>
      </c>
      <c r="D2403" s="24">
        <v>46082</v>
      </c>
      <c r="E2403" t="s">
        <v>226</v>
      </c>
      <c r="F2403" t="s">
        <v>4</v>
      </c>
      <c r="G2403" t="s">
        <v>217</v>
      </c>
      <c r="H2403" t="s">
        <v>217</v>
      </c>
      <c r="I2403" t="s">
        <v>223</v>
      </c>
      <c r="J2403" s="25">
        <v>148500</v>
      </c>
      <c r="K2403" s="26">
        <v>23292.79</v>
      </c>
      <c r="L2403" s="26">
        <v>502.8</v>
      </c>
    </row>
    <row r="2404" spans="1:12" ht="16" customHeight="1">
      <c r="A2404" t="s">
        <v>427</v>
      </c>
      <c r="B2404" t="s">
        <v>7</v>
      </c>
      <c r="C2404" t="s">
        <v>40</v>
      </c>
      <c r="D2404" s="24">
        <v>46082</v>
      </c>
      <c r="E2404" t="s">
        <v>269</v>
      </c>
      <c r="F2404" t="s">
        <v>4</v>
      </c>
      <c r="G2404" t="s">
        <v>217</v>
      </c>
      <c r="H2404" t="s">
        <v>217</v>
      </c>
      <c r="I2404" t="s">
        <v>225</v>
      </c>
      <c r="J2404" s="25">
        <v>27862</v>
      </c>
      <c r="K2404" s="26">
        <v>4617.13</v>
      </c>
      <c r="L2404" s="26">
        <v>123.06</v>
      </c>
    </row>
    <row r="2405" spans="1:12" ht="16" customHeight="1">
      <c r="A2405" t="s">
        <v>427</v>
      </c>
      <c r="B2405" t="s">
        <v>7</v>
      </c>
      <c r="C2405" t="s">
        <v>40</v>
      </c>
      <c r="D2405" s="24">
        <v>46082</v>
      </c>
      <c r="E2405" t="s">
        <v>228</v>
      </c>
      <c r="F2405" t="s">
        <v>4</v>
      </c>
      <c r="G2405" t="s">
        <v>217</v>
      </c>
      <c r="H2405" t="s">
        <v>217</v>
      </c>
      <c r="I2405" t="s">
        <v>227</v>
      </c>
      <c r="J2405" s="25">
        <v>64860</v>
      </c>
      <c r="K2405" s="26">
        <v>10627.32</v>
      </c>
      <c r="L2405" s="26">
        <v>341.47</v>
      </c>
    </row>
    <row r="2406" spans="1:12" ht="16" customHeight="1">
      <c r="A2406" t="s">
        <v>427</v>
      </c>
      <c r="B2406" t="s">
        <v>7</v>
      </c>
      <c r="C2406" t="s">
        <v>40</v>
      </c>
      <c r="D2406" s="24">
        <v>46082</v>
      </c>
      <c r="E2406" t="s">
        <v>230</v>
      </c>
      <c r="F2406" t="s">
        <v>4</v>
      </c>
      <c r="G2406" t="s">
        <v>217</v>
      </c>
      <c r="H2406" t="s">
        <v>217</v>
      </c>
      <c r="I2406" t="s">
        <v>229</v>
      </c>
      <c r="J2406" s="25">
        <v>3</v>
      </c>
      <c r="K2406" s="26">
        <v>0.45</v>
      </c>
      <c r="L2406" s="26">
        <v>0.02</v>
      </c>
    </row>
    <row r="2407" spans="1:12" ht="16" customHeight="1">
      <c r="A2407" t="s">
        <v>427</v>
      </c>
      <c r="B2407" t="s">
        <v>7</v>
      </c>
      <c r="C2407" t="s">
        <v>40</v>
      </c>
      <c r="D2407" s="24">
        <v>46082</v>
      </c>
      <c r="E2407" t="s">
        <v>232</v>
      </c>
      <c r="F2407" t="s">
        <v>4</v>
      </c>
      <c r="G2407" t="s">
        <v>217</v>
      </c>
      <c r="H2407" t="s">
        <v>217</v>
      </c>
      <c r="I2407" t="s">
        <v>231</v>
      </c>
      <c r="J2407" s="25">
        <v>376</v>
      </c>
      <c r="K2407" s="26">
        <v>64.42</v>
      </c>
      <c r="L2407" s="26">
        <v>3.66</v>
      </c>
    </row>
    <row r="2408" spans="1:12" ht="16" customHeight="1">
      <c r="A2408" t="s">
        <v>427</v>
      </c>
      <c r="B2408" t="s">
        <v>7</v>
      </c>
      <c r="C2408" t="s">
        <v>40</v>
      </c>
      <c r="D2408" s="24">
        <v>46082</v>
      </c>
      <c r="E2408" t="s">
        <v>234</v>
      </c>
      <c r="F2408" t="s">
        <v>4</v>
      </c>
      <c r="G2408" t="s">
        <v>217</v>
      </c>
      <c r="H2408" t="s">
        <v>217</v>
      </c>
      <c r="I2408" t="s">
        <v>233</v>
      </c>
      <c r="J2408" s="25">
        <v>3</v>
      </c>
      <c r="K2408" s="26">
        <v>0.44</v>
      </c>
      <c r="L2408" s="26">
        <v>0.01</v>
      </c>
    </row>
    <row r="2409" spans="1:12" ht="16" customHeight="1">
      <c r="A2409" t="s">
        <v>427</v>
      </c>
      <c r="B2409" t="s">
        <v>7</v>
      </c>
      <c r="C2409" t="s">
        <v>40</v>
      </c>
      <c r="D2409" s="24">
        <v>46082</v>
      </c>
      <c r="E2409" t="s">
        <v>236</v>
      </c>
      <c r="F2409" t="s">
        <v>4</v>
      </c>
      <c r="G2409" t="s">
        <v>217</v>
      </c>
      <c r="H2409" t="s">
        <v>217</v>
      </c>
      <c r="I2409" t="s">
        <v>235</v>
      </c>
      <c r="J2409" s="25">
        <v>43</v>
      </c>
      <c r="K2409" s="26">
        <v>7.72</v>
      </c>
      <c r="L2409" s="26">
        <v>0.48</v>
      </c>
    </row>
    <row r="2410" spans="1:12" ht="16" customHeight="1">
      <c r="A2410" t="s">
        <v>427</v>
      </c>
      <c r="B2410" t="s">
        <v>7</v>
      </c>
      <c r="C2410" t="s">
        <v>40</v>
      </c>
      <c r="D2410" s="24">
        <v>46082</v>
      </c>
      <c r="E2410" t="s">
        <v>238</v>
      </c>
      <c r="F2410" t="s">
        <v>4</v>
      </c>
      <c r="G2410" t="s">
        <v>217</v>
      </c>
      <c r="H2410" t="s">
        <v>217</v>
      </c>
      <c r="I2410" t="s">
        <v>237</v>
      </c>
      <c r="J2410" s="25">
        <v>2</v>
      </c>
      <c r="K2410" s="26">
        <v>0.32</v>
      </c>
      <c r="L2410" s="26">
        <v>0.01</v>
      </c>
    </row>
    <row r="2411" spans="1:12" ht="16" customHeight="1">
      <c r="A2411" t="s">
        <v>427</v>
      </c>
      <c r="B2411" t="s">
        <v>7</v>
      </c>
      <c r="C2411" t="s">
        <v>40</v>
      </c>
      <c r="D2411" s="24">
        <v>46082</v>
      </c>
      <c r="E2411" t="s">
        <v>240</v>
      </c>
      <c r="F2411" t="s">
        <v>3</v>
      </c>
      <c r="G2411" t="s">
        <v>241</v>
      </c>
      <c r="H2411" t="s">
        <v>241</v>
      </c>
      <c r="I2411" t="s">
        <v>239</v>
      </c>
      <c r="J2411" s="25">
        <v>0</v>
      </c>
      <c r="K2411" s="26">
        <v>0</v>
      </c>
      <c r="L2411" s="26">
        <v>0</v>
      </c>
    </row>
    <row r="2412" spans="1:12" ht="16" customHeight="1">
      <c r="A2412" t="s">
        <v>427</v>
      </c>
      <c r="B2412" t="s">
        <v>7</v>
      </c>
      <c r="C2412" t="s">
        <v>40</v>
      </c>
      <c r="D2412" s="24">
        <v>46082</v>
      </c>
      <c r="E2412" t="s">
        <v>243</v>
      </c>
      <c r="F2412" t="s">
        <v>4</v>
      </c>
      <c r="G2412" t="s">
        <v>217</v>
      </c>
      <c r="H2412" t="s">
        <v>217</v>
      </c>
      <c r="I2412" t="s">
        <v>242</v>
      </c>
      <c r="J2412" s="25">
        <v>0</v>
      </c>
      <c r="K2412" s="26">
        <v>0</v>
      </c>
      <c r="L2412" s="26">
        <v>0</v>
      </c>
    </row>
    <row r="2413" spans="1:12" ht="16" customHeight="1">
      <c r="A2413" t="s">
        <v>427</v>
      </c>
      <c r="B2413" t="s">
        <v>7</v>
      </c>
      <c r="C2413" t="s">
        <v>40</v>
      </c>
      <c r="D2413" s="24">
        <v>46082</v>
      </c>
      <c r="E2413" t="s">
        <v>360</v>
      </c>
      <c r="F2413" t="s">
        <v>4</v>
      </c>
      <c r="G2413" t="s">
        <v>217</v>
      </c>
      <c r="H2413" t="s">
        <v>217</v>
      </c>
      <c r="I2413" t="s">
        <v>244</v>
      </c>
      <c r="J2413" s="25">
        <v>0</v>
      </c>
      <c r="K2413" s="26">
        <v>0</v>
      </c>
      <c r="L2413" s="26">
        <v>0</v>
      </c>
    </row>
    <row r="2414" spans="1:12" ht="16" customHeight="1">
      <c r="A2414" t="s">
        <v>428</v>
      </c>
      <c r="B2414" t="s">
        <v>3</v>
      </c>
      <c r="C2414" t="s">
        <v>41</v>
      </c>
      <c r="D2414" s="24">
        <v>46082</v>
      </c>
      <c r="E2414" t="s">
        <v>406</v>
      </c>
      <c r="F2414" t="s">
        <v>4</v>
      </c>
      <c r="G2414" t="s">
        <v>211</v>
      </c>
      <c r="H2414" t="s">
        <v>211</v>
      </c>
      <c r="I2414" t="s">
        <v>212</v>
      </c>
      <c r="J2414" s="25">
        <v>165495412</v>
      </c>
      <c r="K2414" s="26">
        <v>25126876.120000001</v>
      </c>
      <c r="L2414" s="26">
        <v>90205.31</v>
      </c>
    </row>
    <row r="2415" spans="1:12" ht="16" customHeight="1">
      <c r="A2415" t="s">
        <v>428</v>
      </c>
      <c r="B2415" t="s">
        <v>3</v>
      </c>
      <c r="C2415" t="s">
        <v>41</v>
      </c>
      <c r="D2415" s="24">
        <v>46082</v>
      </c>
      <c r="E2415" t="s">
        <v>411</v>
      </c>
      <c r="F2415" t="s">
        <v>4</v>
      </c>
      <c r="G2415" t="s">
        <v>211</v>
      </c>
      <c r="H2415" t="s">
        <v>211</v>
      </c>
      <c r="I2415" t="s">
        <v>212</v>
      </c>
      <c r="J2415" s="25">
        <v>4368452</v>
      </c>
      <c r="K2415" s="26">
        <v>673675.09</v>
      </c>
      <c r="L2415" s="26">
        <v>5071.05</v>
      </c>
    </row>
    <row r="2416" spans="1:12" ht="16" customHeight="1">
      <c r="A2416" t="s">
        <v>428</v>
      </c>
      <c r="B2416" t="s">
        <v>3</v>
      </c>
      <c r="C2416" t="s">
        <v>41</v>
      </c>
      <c r="D2416" s="24">
        <v>46082</v>
      </c>
      <c r="E2416" t="s">
        <v>357</v>
      </c>
      <c r="F2416" t="s">
        <v>3</v>
      </c>
      <c r="G2416" t="s">
        <v>358</v>
      </c>
      <c r="H2416" t="s">
        <v>358</v>
      </c>
      <c r="I2416" t="s">
        <v>212</v>
      </c>
      <c r="J2416" s="25">
        <v>2792637</v>
      </c>
      <c r="K2416" s="26">
        <v>429728.9</v>
      </c>
      <c r="L2416" s="26">
        <v>4840.72</v>
      </c>
    </row>
    <row r="2417" spans="1:12" ht="16" customHeight="1">
      <c r="A2417" t="s">
        <v>428</v>
      </c>
      <c r="B2417" t="s">
        <v>3</v>
      </c>
      <c r="C2417" t="s">
        <v>41</v>
      </c>
      <c r="D2417" s="24">
        <v>46082</v>
      </c>
      <c r="E2417" t="s">
        <v>420</v>
      </c>
      <c r="F2417" t="s">
        <v>4</v>
      </c>
      <c r="G2417" t="s">
        <v>211</v>
      </c>
      <c r="H2417" t="s">
        <v>211</v>
      </c>
      <c r="I2417" t="s">
        <v>219</v>
      </c>
      <c r="J2417" s="25">
        <v>166792</v>
      </c>
      <c r="K2417" s="26">
        <v>26881.4</v>
      </c>
      <c r="L2417" s="26">
        <v>633.16999999999996</v>
      </c>
    </row>
    <row r="2418" spans="1:12" ht="16" customHeight="1">
      <c r="A2418" t="s">
        <v>428</v>
      </c>
      <c r="B2418" t="s">
        <v>3</v>
      </c>
      <c r="C2418" t="s">
        <v>41</v>
      </c>
      <c r="D2418" s="24">
        <v>46082</v>
      </c>
      <c r="E2418" t="s">
        <v>425</v>
      </c>
      <c r="F2418" t="s">
        <v>3</v>
      </c>
      <c r="G2418" t="s">
        <v>241</v>
      </c>
      <c r="H2418" t="s">
        <v>241</v>
      </c>
      <c r="I2418" t="s">
        <v>219</v>
      </c>
      <c r="J2418" s="25">
        <v>3050</v>
      </c>
      <c r="K2418" s="26">
        <v>498.06</v>
      </c>
      <c r="L2418" s="26">
        <v>3.15</v>
      </c>
    </row>
    <row r="2419" spans="1:12" ht="16" customHeight="1">
      <c r="A2419" t="s">
        <v>428</v>
      </c>
      <c r="B2419" t="s">
        <v>3</v>
      </c>
      <c r="C2419" t="s">
        <v>41</v>
      </c>
      <c r="D2419" s="24">
        <v>46082</v>
      </c>
      <c r="E2419" t="s">
        <v>387</v>
      </c>
      <c r="F2419" t="s">
        <v>4</v>
      </c>
      <c r="G2419" t="s">
        <v>217</v>
      </c>
      <c r="H2419" t="s">
        <v>217</v>
      </c>
      <c r="I2419" t="s">
        <v>219</v>
      </c>
      <c r="J2419" s="25">
        <v>344880</v>
      </c>
      <c r="K2419" s="26">
        <v>55240.46</v>
      </c>
      <c r="L2419" s="26">
        <v>1029.9000000000001</v>
      </c>
    </row>
    <row r="2420" spans="1:12" ht="16" customHeight="1">
      <c r="A2420" t="s">
        <v>428</v>
      </c>
      <c r="B2420" t="s">
        <v>3</v>
      </c>
      <c r="C2420" t="s">
        <v>41</v>
      </c>
      <c r="D2420" s="24">
        <v>46082</v>
      </c>
      <c r="E2420" t="s">
        <v>416</v>
      </c>
      <c r="F2420" t="s">
        <v>4</v>
      </c>
      <c r="G2420" t="s">
        <v>217</v>
      </c>
      <c r="H2420" t="s">
        <v>217</v>
      </c>
      <c r="I2420" t="s">
        <v>221</v>
      </c>
      <c r="J2420" s="25">
        <v>69546</v>
      </c>
      <c r="K2420" s="26">
        <v>11190.13</v>
      </c>
      <c r="L2420" s="26">
        <v>250.41</v>
      </c>
    </row>
    <row r="2421" spans="1:12" ht="16" customHeight="1">
      <c r="A2421" t="s">
        <v>428</v>
      </c>
      <c r="B2421" t="s">
        <v>3</v>
      </c>
      <c r="C2421" t="s">
        <v>41</v>
      </c>
      <c r="D2421" s="24">
        <v>46082</v>
      </c>
      <c r="E2421" t="s">
        <v>226</v>
      </c>
      <c r="F2421" t="s">
        <v>4</v>
      </c>
      <c r="G2421" t="s">
        <v>217</v>
      </c>
      <c r="H2421" t="s">
        <v>217</v>
      </c>
      <c r="I2421" t="s">
        <v>223</v>
      </c>
      <c r="J2421" s="25">
        <v>154428</v>
      </c>
      <c r="K2421" s="26">
        <v>24204.400000000001</v>
      </c>
      <c r="L2421" s="26">
        <v>541.59</v>
      </c>
    </row>
    <row r="2422" spans="1:12" ht="16" customHeight="1">
      <c r="A2422" t="s">
        <v>428</v>
      </c>
      <c r="B2422" t="s">
        <v>3</v>
      </c>
      <c r="C2422" t="s">
        <v>41</v>
      </c>
      <c r="D2422" s="24">
        <v>46082</v>
      </c>
      <c r="E2422" t="s">
        <v>269</v>
      </c>
      <c r="F2422" t="s">
        <v>4</v>
      </c>
      <c r="G2422" t="s">
        <v>217</v>
      </c>
      <c r="H2422" t="s">
        <v>217</v>
      </c>
      <c r="I2422" t="s">
        <v>225</v>
      </c>
      <c r="J2422" s="25">
        <v>21750</v>
      </c>
      <c r="K2422" s="26">
        <v>3606.93</v>
      </c>
      <c r="L2422" s="26">
        <v>88.83</v>
      </c>
    </row>
    <row r="2423" spans="1:12" ht="16" customHeight="1">
      <c r="A2423" t="s">
        <v>428</v>
      </c>
      <c r="B2423" t="s">
        <v>3</v>
      </c>
      <c r="C2423" t="s">
        <v>41</v>
      </c>
      <c r="D2423" s="24">
        <v>46082</v>
      </c>
      <c r="E2423" t="s">
        <v>228</v>
      </c>
      <c r="F2423" t="s">
        <v>4</v>
      </c>
      <c r="G2423" t="s">
        <v>217</v>
      </c>
      <c r="H2423" t="s">
        <v>217</v>
      </c>
      <c r="I2423" t="s">
        <v>227</v>
      </c>
      <c r="J2423" s="25">
        <v>57564</v>
      </c>
      <c r="K2423" s="26">
        <v>9368.7999999999993</v>
      </c>
      <c r="L2423" s="26">
        <v>324.10000000000002</v>
      </c>
    </row>
    <row r="2424" spans="1:12" ht="16" customHeight="1">
      <c r="A2424" t="s">
        <v>428</v>
      </c>
      <c r="B2424" t="s">
        <v>3</v>
      </c>
      <c r="C2424" t="s">
        <v>41</v>
      </c>
      <c r="D2424" s="24">
        <v>46082</v>
      </c>
      <c r="E2424" t="s">
        <v>230</v>
      </c>
      <c r="F2424" t="s">
        <v>4</v>
      </c>
      <c r="G2424" t="s">
        <v>217</v>
      </c>
      <c r="H2424" t="s">
        <v>217</v>
      </c>
      <c r="I2424" t="s">
        <v>229</v>
      </c>
      <c r="J2424" s="25">
        <v>1</v>
      </c>
      <c r="K2424" s="26">
        <v>0.14000000000000001</v>
      </c>
      <c r="L2424" s="26">
        <v>0</v>
      </c>
    </row>
    <row r="2425" spans="1:12" ht="16" customHeight="1">
      <c r="A2425" t="s">
        <v>428</v>
      </c>
      <c r="B2425" t="s">
        <v>3</v>
      </c>
      <c r="C2425" t="s">
        <v>41</v>
      </c>
      <c r="D2425" s="24">
        <v>46082</v>
      </c>
      <c r="E2425" t="s">
        <v>232</v>
      </c>
      <c r="F2425" t="s">
        <v>4</v>
      </c>
      <c r="G2425" t="s">
        <v>217</v>
      </c>
      <c r="H2425" t="s">
        <v>217</v>
      </c>
      <c r="I2425" t="s">
        <v>231</v>
      </c>
      <c r="J2425" s="25">
        <v>316</v>
      </c>
      <c r="K2425" s="26">
        <v>54.33</v>
      </c>
      <c r="L2425" s="26">
        <v>3.16</v>
      </c>
    </row>
    <row r="2426" spans="1:12" ht="16" customHeight="1">
      <c r="A2426" t="s">
        <v>428</v>
      </c>
      <c r="B2426" t="s">
        <v>3</v>
      </c>
      <c r="C2426" t="s">
        <v>41</v>
      </c>
      <c r="D2426" s="24">
        <v>46082</v>
      </c>
      <c r="E2426" t="s">
        <v>234</v>
      </c>
      <c r="F2426" t="s">
        <v>4</v>
      </c>
      <c r="G2426" t="s">
        <v>217</v>
      </c>
      <c r="H2426" t="s">
        <v>217</v>
      </c>
      <c r="I2426" t="s">
        <v>233</v>
      </c>
      <c r="J2426" s="25">
        <v>0</v>
      </c>
      <c r="K2426" s="26">
        <v>0</v>
      </c>
      <c r="L2426" s="26">
        <v>0</v>
      </c>
    </row>
    <row r="2427" spans="1:12" ht="16" customHeight="1">
      <c r="A2427" t="s">
        <v>428</v>
      </c>
      <c r="B2427" t="s">
        <v>3</v>
      </c>
      <c r="C2427" t="s">
        <v>41</v>
      </c>
      <c r="D2427" s="24">
        <v>46082</v>
      </c>
      <c r="E2427" t="s">
        <v>236</v>
      </c>
      <c r="F2427" t="s">
        <v>4</v>
      </c>
      <c r="G2427" t="s">
        <v>217</v>
      </c>
      <c r="H2427" t="s">
        <v>217</v>
      </c>
      <c r="I2427" t="s">
        <v>235</v>
      </c>
      <c r="J2427" s="25">
        <v>35</v>
      </c>
      <c r="K2427" s="26">
        <v>6.1</v>
      </c>
      <c r="L2427" s="26">
        <v>0.36</v>
      </c>
    </row>
    <row r="2428" spans="1:12" ht="16" customHeight="1">
      <c r="A2428" t="s">
        <v>428</v>
      </c>
      <c r="B2428" t="s">
        <v>3</v>
      </c>
      <c r="C2428" t="s">
        <v>41</v>
      </c>
      <c r="D2428" s="24">
        <v>46082</v>
      </c>
      <c r="E2428" t="s">
        <v>238</v>
      </c>
      <c r="F2428" t="s">
        <v>4</v>
      </c>
      <c r="G2428" t="s">
        <v>217</v>
      </c>
      <c r="H2428" t="s">
        <v>217</v>
      </c>
      <c r="I2428" t="s">
        <v>237</v>
      </c>
      <c r="J2428" s="25">
        <v>0</v>
      </c>
      <c r="K2428" s="26">
        <v>0</v>
      </c>
      <c r="L2428" s="26">
        <v>0</v>
      </c>
    </row>
    <row r="2429" spans="1:12" ht="16" customHeight="1">
      <c r="A2429" t="s">
        <v>428</v>
      </c>
      <c r="B2429" t="s">
        <v>3</v>
      </c>
      <c r="C2429" t="s">
        <v>41</v>
      </c>
      <c r="D2429" s="24">
        <v>46082</v>
      </c>
      <c r="E2429" t="s">
        <v>240</v>
      </c>
      <c r="F2429" t="s">
        <v>3</v>
      </c>
      <c r="G2429" t="s">
        <v>241</v>
      </c>
      <c r="H2429" t="s">
        <v>241</v>
      </c>
      <c r="I2429" t="s">
        <v>239</v>
      </c>
      <c r="J2429" s="25">
        <v>4</v>
      </c>
      <c r="K2429" s="26">
        <v>0.62</v>
      </c>
      <c r="L2429" s="26">
        <v>0.02</v>
      </c>
    </row>
    <row r="2430" spans="1:12" ht="16" customHeight="1">
      <c r="A2430" t="s">
        <v>428</v>
      </c>
      <c r="B2430" t="s">
        <v>3</v>
      </c>
      <c r="C2430" t="s">
        <v>41</v>
      </c>
      <c r="D2430" s="24">
        <v>46082</v>
      </c>
      <c r="E2430" t="s">
        <v>243</v>
      </c>
      <c r="F2430" t="s">
        <v>4</v>
      </c>
      <c r="G2430" t="s">
        <v>217</v>
      </c>
      <c r="H2430" t="s">
        <v>217</v>
      </c>
      <c r="I2430" t="s">
        <v>242</v>
      </c>
      <c r="J2430" s="25">
        <v>1</v>
      </c>
      <c r="K2430" s="26">
        <v>0.14000000000000001</v>
      </c>
      <c r="L2430" s="26">
        <v>0</v>
      </c>
    </row>
    <row r="2431" spans="1:12" ht="16" customHeight="1">
      <c r="A2431" t="s">
        <v>428</v>
      </c>
      <c r="B2431" t="s">
        <v>3</v>
      </c>
      <c r="C2431" t="s">
        <v>41</v>
      </c>
      <c r="D2431" s="24">
        <v>46082</v>
      </c>
      <c r="E2431" t="s">
        <v>360</v>
      </c>
      <c r="F2431" t="s">
        <v>4</v>
      </c>
      <c r="G2431" t="s">
        <v>217</v>
      </c>
      <c r="H2431" t="s">
        <v>217</v>
      </c>
      <c r="I2431" t="s">
        <v>244</v>
      </c>
      <c r="J2431" s="25">
        <v>0</v>
      </c>
      <c r="K2431" s="26">
        <v>0</v>
      </c>
      <c r="L2431" s="26">
        <v>0</v>
      </c>
    </row>
    <row r="2432" spans="1:12" ht="16" customHeight="1">
      <c r="A2432" t="s">
        <v>406</v>
      </c>
      <c r="B2432" t="s">
        <v>4</v>
      </c>
      <c r="C2432" t="s">
        <v>41</v>
      </c>
      <c r="D2432" s="24">
        <v>46082</v>
      </c>
      <c r="E2432" t="s">
        <v>406</v>
      </c>
      <c r="F2432" t="s">
        <v>4</v>
      </c>
      <c r="G2432" t="s">
        <v>211</v>
      </c>
      <c r="H2432" t="s">
        <v>211</v>
      </c>
      <c r="I2432" t="s">
        <v>212</v>
      </c>
      <c r="J2432" s="25">
        <v>487189787</v>
      </c>
      <c r="K2432" s="26">
        <v>74446189.200000003</v>
      </c>
      <c r="L2432" s="26">
        <v>90578.29</v>
      </c>
    </row>
    <row r="2433" spans="1:12" ht="16" customHeight="1">
      <c r="A2433" t="s">
        <v>406</v>
      </c>
      <c r="B2433" t="s">
        <v>4</v>
      </c>
      <c r="C2433" t="s">
        <v>41</v>
      </c>
      <c r="D2433" s="24">
        <v>46082</v>
      </c>
      <c r="E2433" t="s">
        <v>411</v>
      </c>
      <c r="F2433" t="s">
        <v>4</v>
      </c>
      <c r="G2433" t="s">
        <v>211</v>
      </c>
      <c r="H2433" t="s">
        <v>211</v>
      </c>
      <c r="I2433" t="s">
        <v>212</v>
      </c>
      <c r="J2433" s="25">
        <v>9877766</v>
      </c>
      <c r="K2433" s="26">
        <v>1518465.09</v>
      </c>
      <c r="L2433" s="26">
        <v>8612.9599999999991</v>
      </c>
    </row>
    <row r="2434" spans="1:12" ht="16" customHeight="1">
      <c r="A2434" t="s">
        <v>406</v>
      </c>
      <c r="B2434" t="s">
        <v>4</v>
      </c>
      <c r="C2434" t="s">
        <v>41</v>
      </c>
      <c r="D2434" s="24">
        <v>46082</v>
      </c>
      <c r="E2434" t="s">
        <v>357</v>
      </c>
      <c r="F2434" t="s">
        <v>3</v>
      </c>
      <c r="G2434" t="s">
        <v>358</v>
      </c>
      <c r="H2434" t="s">
        <v>358</v>
      </c>
      <c r="I2434" t="s">
        <v>212</v>
      </c>
      <c r="J2434" s="25">
        <v>2536605</v>
      </c>
      <c r="K2434" s="26">
        <v>393458.51</v>
      </c>
      <c r="L2434" s="26">
        <v>4136.8100000000004</v>
      </c>
    </row>
    <row r="2435" spans="1:12" ht="16" customHeight="1">
      <c r="A2435" t="s">
        <v>406</v>
      </c>
      <c r="B2435" t="s">
        <v>4</v>
      </c>
      <c r="C2435" t="s">
        <v>41</v>
      </c>
      <c r="D2435" s="24">
        <v>46082</v>
      </c>
      <c r="E2435" t="s">
        <v>420</v>
      </c>
      <c r="F2435" t="s">
        <v>4</v>
      </c>
      <c r="G2435" t="s">
        <v>211</v>
      </c>
      <c r="H2435" t="s">
        <v>211</v>
      </c>
      <c r="I2435" t="s">
        <v>219</v>
      </c>
      <c r="J2435" s="25">
        <v>122963</v>
      </c>
      <c r="K2435" s="26">
        <v>19468.46</v>
      </c>
      <c r="L2435" s="26">
        <v>348.79</v>
      </c>
    </row>
    <row r="2436" spans="1:12" ht="16" customHeight="1">
      <c r="A2436" t="s">
        <v>406</v>
      </c>
      <c r="B2436" t="s">
        <v>4</v>
      </c>
      <c r="C2436" t="s">
        <v>41</v>
      </c>
      <c r="D2436" s="24">
        <v>46082</v>
      </c>
      <c r="E2436" t="s">
        <v>425</v>
      </c>
      <c r="F2436" t="s">
        <v>3</v>
      </c>
      <c r="G2436" t="s">
        <v>241</v>
      </c>
      <c r="H2436" t="s">
        <v>241</v>
      </c>
      <c r="I2436" t="s">
        <v>219</v>
      </c>
      <c r="J2436" s="25">
        <v>3273</v>
      </c>
      <c r="K2436" s="26">
        <v>524.95000000000005</v>
      </c>
      <c r="L2436" s="26">
        <v>5.89</v>
      </c>
    </row>
    <row r="2437" spans="1:12" ht="16" customHeight="1">
      <c r="A2437" t="s">
        <v>406</v>
      </c>
      <c r="B2437" t="s">
        <v>4</v>
      </c>
      <c r="C2437" t="s">
        <v>41</v>
      </c>
      <c r="D2437" s="24">
        <v>46082</v>
      </c>
      <c r="E2437" t="s">
        <v>387</v>
      </c>
      <c r="F2437" t="s">
        <v>4</v>
      </c>
      <c r="G2437" t="s">
        <v>217</v>
      </c>
      <c r="H2437" t="s">
        <v>217</v>
      </c>
      <c r="I2437" t="s">
        <v>219</v>
      </c>
      <c r="J2437" s="25">
        <v>316124</v>
      </c>
      <c r="K2437" s="26">
        <v>50404.89</v>
      </c>
      <c r="L2437" s="26">
        <v>857.47</v>
      </c>
    </row>
    <row r="2438" spans="1:12" ht="16" customHeight="1">
      <c r="A2438" t="s">
        <v>406</v>
      </c>
      <c r="B2438" t="s">
        <v>4</v>
      </c>
      <c r="C2438" t="s">
        <v>41</v>
      </c>
      <c r="D2438" s="24">
        <v>46082</v>
      </c>
      <c r="E2438" t="s">
        <v>416</v>
      </c>
      <c r="F2438" t="s">
        <v>4</v>
      </c>
      <c r="G2438" t="s">
        <v>217</v>
      </c>
      <c r="H2438" t="s">
        <v>217</v>
      </c>
      <c r="I2438" t="s">
        <v>221</v>
      </c>
      <c r="J2438" s="25">
        <v>60962</v>
      </c>
      <c r="K2438" s="26">
        <v>9778.57</v>
      </c>
      <c r="L2438" s="26">
        <v>193.16</v>
      </c>
    </row>
    <row r="2439" spans="1:12" ht="16" customHeight="1">
      <c r="A2439" t="s">
        <v>406</v>
      </c>
      <c r="B2439" t="s">
        <v>4</v>
      </c>
      <c r="C2439" t="s">
        <v>41</v>
      </c>
      <c r="D2439" s="24">
        <v>46082</v>
      </c>
      <c r="E2439" t="s">
        <v>226</v>
      </c>
      <c r="F2439" t="s">
        <v>4</v>
      </c>
      <c r="G2439" t="s">
        <v>217</v>
      </c>
      <c r="H2439" t="s">
        <v>217</v>
      </c>
      <c r="I2439" t="s">
        <v>223</v>
      </c>
      <c r="J2439" s="25">
        <v>96568</v>
      </c>
      <c r="K2439" s="26">
        <v>15206.42</v>
      </c>
      <c r="L2439" s="26">
        <v>286.20999999999998</v>
      </c>
    </row>
    <row r="2440" spans="1:12" ht="16" customHeight="1">
      <c r="A2440" t="s">
        <v>406</v>
      </c>
      <c r="B2440" t="s">
        <v>4</v>
      </c>
      <c r="C2440" t="s">
        <v>41</v>
      </c>
      <c r="D2440" s="24">
        <v>46082</v>
      </c>
      <c r="E2440" t="s">
        <v>269</v>
      </c>
      <c r="F2440" t="s">
        <v>4</v>
      </c>
      <c r="G2440" t="s">
        <v>217</v>
      </c>
      <c r="H2440" t="s">
        <v>217</v>
      </c>
      <c r="I2440" t="s">
        <v>225</v>
      </c>
      <c r="J2440" s="25">
        <v>17881</v>
      </c>
      <c r="K2440" s="26">
        <v>2943.31</v>
      </c>
      <c r="L2440" s="26">
        <v>67.650000000000006</v>
      </c>
    </row>
    <row r="2441" spans="1:12" ht="16" customHeight="1">
      <c r="A2441" t="s">
        <v>406</v>
      </c>
      <c r="B2441" t="s">
        <v>4</v>
      </c>
      <c r="C2441" t="s">
        <v>41</v>
      </c>
      <c r="D2441" s="24">
        <v>46082</v>
      </c>
      <c r="E2441" t="s">
        <v>228</v>
      </c>
      <c r="F2441" t="s">
        <v>4</v>
      </c>
      <c r="G2441" t="s">
        <v>217</v>
      </c>
      <c r="H2441" t="s">
        <v>217</v>
      </c>
      <c r="I2441" t="s">
        <v>227</v>
      </c>
      <c r="J2441" s="25">
        <v>25027</v>
      </c>
      <c r="K2441" s="26">
        <v>4068.91</v>
      </c>
      <c r="L2441" s="26">
        <v>128.76</v>
      </c>
    </row>
    <row r="2442" spans="1:12" ht="16" customHeight="1">
      <c r="A2442" t="s">
        <v>406</v>
      </c>
      <c r="B2442" t="s">
        <v>4</v>
      </c>
      <c r="C2442" t="s">
        <v>41</v>
      </c>
      <c r="D2442" s="24">
        <v>46082</v>
      </c>
      <c r="E2442" t="s">
        <v>230</v>
      </c>
      <c r="F2442" t="s">
        <v>4</v>
      </c>
      <c r="G2442" t="s">
        <v>217</v>
      </c>
      <c r="H2442" t="s">
        <v>217</v>
      </c>
      <c r="I2442" t="s">
        <v>229</v>
      </c>
      <c r="J2442" s="25">
        <v>0</v>
      </c>
      <c r="K2442" s="26">
        <v>0</v>
      </c>
      <c r="L2442" s="26">
        <v>0</v>
      </c>
    </row>
    <row r="2443" spans="1:12" ht="16" customHeight="1">
      <c r="A2443" t="s">
        <v>406</v>
      </c>
      <c r="B2443" t="s">
        <v>4</v>
      </c>
      <c r="C2443" t="s">
        <v>41</v>
      </c>
      <c r="D2443" s="24">
        <v>46082</v>
      </c>
      <c r="E2443" t="s">
        <v>232</v>
      </c>
      <c r="F2443" t="s">
        <v>4</v>
      </c>
      <c r="G2443" t="s">
        <v>217</v>
      </c>
      <c r="H2443" t="s">
        <v>217</v>
      </c>
      <c r="I2443" t="s">
        <v>231</v>
      </c>
      <c r="J2443" s="25">
        <v>236</v>
      </c>
      <c r="K2443" s="26">
        <v>40.74</v>
      </c>
      <c r="L2443" s="26">
        <v>2.48</v>
      </c>
    </row>
    <row r="2444" spans="1:12" ht="16" customHeight="1">
      <c r="A2444" t="s">
        <v>406</v>
      </c>
      <c r="B2444" t="s">
        <v>4</v>
      </c>
      <c r="C2444" t="s">
        <v>41</v>
      </c>
      <c r="D2444" s="24">
        <v>46082</v>
      </c>
      <c r="E2444" t="s">
        <v>234</v>
      </c>
      <c r="F2444" t="s">
        <v>4</v>
      </c>
      <c r="G2444" t="s">
        <v>217</v>
      </c>
      <c r="H2444" t="s">
        <v>217</v>
      </c>
      <c r="I2444" t="s">
        <v>233</v>
      </c>
      <c r="J2444" s="25">
        <v>0</v>
      </c>
      <c r="K2444" s="26">
        <v>0</v>
      </c>
      <c r="L2444" s="26">
        <v>0</v>
      </c>
    </row>
    <row r="2445" spans="1:12" ht="16" customHeight="1">
      <c r="A2445" t="s">
        <v>406</v>
      </c>
      <c r="B2445" t="s">
        <v>4</v>
      </c>
      <c r="C2445" t="s">
        <v>41</v>
      </c>
      <c r="D2445" s="24">
        <v>46082</v>
      </c>
      <c r="E2445" t="s">
        <v>236</v>
      </c>
      <c r="F2445" t="s">
        <v>4</v>
      </c>
      <c r="G2445" t="s">
        <v>217</v>
      </c>
      <c r="H2445" t="s">
        <v>217</v>
      </c>
      <c r="I2445" t="s">
        <v>235</v>
      </c>
      <c r="J2445" s="25">
        <v>7</v>
      </c>
      <c r="K2445" s="26">
        <v>1.22</v>
      </c>
      <c r="L2445" s="26">
        <v>7.0000000000000007E-2</v>
      </c>
    </row>
    <row r="2446" spans="1:12" ht="16" customHeight="1">
      <c r="A2446" t="s">
        <v>406</v>
      </c>
      <c r="B2446" t="s">
        <v>4</v>
      </c>
      <c r="C2446" t="s">
        <v>41</v>
      </c>
      <c r="D2446" s="24">
        <v>46082</v>
      </c>
      <c r="E2446" t="s">
        <v>238</v>
      </c>
      <c r="F2446" t="s">
        <v>4</v>
      </c>
      <c r="G2446" t="s">
        <v>217</v>
      </c>
      <c r="H2446" t="s">
        <v>217</v>
      </c>
      <c r="I2446" t="s">
        <v>237</v>
      </c>
      <c r="J2446" s="25">
        <v>0</v>
      </c>
      <c r="K2446" s="26">
        <v>0</v>
      </c>
      <c r="L2446" s="26">
        <v>0</v>
      </c>
    </row>
    <row r="2447" spans="1:12" ht="16" customHeight="1">
      <c r="A2447" t="s">
        <v>406</v>
      </c>
      <c r="B2447" t="s">
        <v>4</v>
      </c>
      <c r="C2447" t="s">
        <v>41</v>
      </c>
      <c r="D2447" s="24">
        <v>46082</v>
      </c>
      <c r="E2447" t="s">
        <v>240</v>
      </c>
      <c r="F2447" t="s">
        <v>3</v>
      </c>
      <c r="G2447" t="s">
        <v>241</v>
      </c>
      <c r="H2447" t="s">
        <v>241</v>
      </c>
      <c r="I2447" t="s">
        <v>239</v>
      </c>
      <c r="J2447" s="25">
        <v>2</v>
      </c>
      <c r="K2447" s="26">
        <v>0.31</v>
      </c>
      <c r="L2447" s="26">
        <v>0.01</v>
      </c>
    </row>
    <row r="2448" spans="1:12" ht="16" customHeight="1">
      <c r="A2448" t="s">
        <v>406</v>
      </c>
      <c r="B2448" t="s">
        <v>4</v>
      </c>
      <c r="C2448" t="s">
        <v>41</v>
      </c>
      <c r="D2448" s="24">
        <v>46082</v>
      </c>
      <c r="E2448" t="s">
        <v>243</v>
      </c>
      <c r="F2448" t="s">
        <v>4</v>
      </c>
      <c r="G2448" t="s">
        <v>217</v>
      </c>
      <c r="H2448" t="s">
        <v>217</v>
      </c>
      <c r="I2448" t="s">
        <v>242</v>
      </c>
      <c r="J2448" s="25">
        <v>0</v>
      </c>
      <c r="K2448" s="26">
        <v>0</v>
      </c>
      <c r="L2448" s="26">
        <v>0</v>
      </c>
    </row>
    <row r="2449" spans="1:12" ht="16" customHeight="1">
      <c r="A2449" t="s">
        <v>406</v>
      </c>
      <c r="B2449" t="s">
        <v>4</v>
      </c>
      <c r="C2449" t="s">
        <v>41</v>
      </c>
      <c r="D2449" s="24">
        <v>46082</v>
      </c>
      <c r="E2449" t="s">
        <v>360</v>
      </c>
      <c r="F2449" t="s">
        <v>4</v>
      </c>
      <c r="G2449" t="s">
        <v>217</v>
      </c>
      <c r="H2449" t="s">
        <v>217</v>
      </c>
      <c r="I2449" t="s">
        <v>244</v>
      </c>
      <c r="J2449" s="25">
        <v>0</v>
      </c>
      <c r="K2449" s="26">
        <v>0</v>
      </c>
      <c r="L2449" s="26">
        <v>0</v>
      </c>
    </row>
    <row r="2450" spans="1:12" ht="16" customHeight="1">
      <c r="A2450" t="s">
        <v>429</v>
      </c>
      <c r="B2450" t="s">
        <v>5</v>
      </c>
      <c r="C2450" t="s">
        <v>41</v>
      </c>
      <c r="D2450" s="24">
        <v>46082</v>
      </c>
      <c r="E2450" t="s">
        <v>411</v>
      </c>
      <c r="F2450" t="s">
        <v>4</v>
      </c>
      <c r="G2450" t="s">
        <v>211</v>
      </c>
      <c r="H2450" t="s">
        <v>211</v>
      </c>
      <c r="I2450" t="s">
        <v>212</v>
      </c>
      <c r="J2450" s="25">
        <v>48720056</v>
      </c>
      <c r="K2450" s="26">
        <v>7565522.9299999997</v>
      </c>
      <c r="L2450" s="26">
        <v>40630.550000000003</v>
      </c>
    </row>
    <row r="2451" spans="1:12" ht="16" customHeight="1">
      <c r="A2451" t="s">
        <v>429</v>
      </c>
      <c r="B2451" t="s">
        <v>5</v>
      </c>
      <c r="C2451" t="s">
        <v>41</v>
      </c>
      <c r="D2451" s="24">
        <v>46082</v>
      </c>
      <c r="E2451" t="s">
        <v>357</v>
      </c>
      <c r="F2451" t="s">
        <v>3</v>
      </c>
      <c r="G2451" t="s">
        <v>358</v>
      </c>
      <c r="H2451" t="s">
        <v>358</v>
      </c>
      <c r="I2451" t="s">
        <v>212</v>
      </c>
      <c r="J2451" s="25">
        <v>2908480</v>
      </c>
      <c r="K2451" s="26">
        <v>450556.52</v>
      </c>
      <c r="L2451" s="26">
        <v>3377.02</v>
      </c>
    </row>
    <row r="2452" spans="1:12" ht="16" customHeight="1">
      <c r="A2452" t="s">
        <v>429</v>
      </c>
      <c r="B2452" t="s">
        <v>5</v>
      </c>
      <c r="C2452" t="s">
        <v>41</v>
      </c>
      <c r="D2452" s="24">
        <v>46082</v>
      </c>
      <c r="E2452" t="s">
        <v>420</v>
      </c>
      <c r="F2452" t="s">
        <v>4</v>
      </c>
      <c r="G2452" t="s">
        <v>211</v>
      </c>
      <c r="H2452" t="s">
        <v>211</v>
      </c>
      <c r="I2452" t="s">
        <v>219</v>
      </c>
      <c r="J2452" s="25">
        <v>197305</v>
      </c>
      <c r="K2452" s="26">
        <v>31094.59</v>
      </c>
      <c r="L2452" s="26">
        <v>334.48</v>
      </c>
    </row>
    <row r="2453" spans="1:12" ht="16" customHeight="1">
      <c r="A2453" t="s">
        <v>429</v>
      </c>
      <c r="B2453" t="s">
        <v>5</v>
      </c>
      <c r="C2453" t="s">
        <v>41</v>
      </c>
      <c r="D2453" s="24">
        <v>46082</v>
      </c>
      <c r="E2453" t="s">
        <v>425</v>
      </c>
      <c r="F2453" t="s">
        <v>3</v>
      </c>
      <c r="G2453" t="s">
        <v>241</v>
      </c>
      <c r="H2453" t="s">
        <v>241</v>
      </c>
      <c r="I2453" t="s">
        <v>219</v>
      </c>
      <c r="J2453" s="25">
        <v>9089</v>
      </c>
      <c r="K2453" s="26">
        <v>1453.83</v>
      </c>
      <c r="L2453" s="26">
        <v>13.82</v>
      </c>
    </row>
    <row r="2454" spans="1:12" ht="16" customHeight="1">
      <c r="A2454" t="s">
        <v>429</v>
      </c>
      <c r="B2454" t="s">
        <v>5</v>
      </c>
      <c r="C2454" t="s">
        <v>41</v>
      </c>
      <c r="D2454" s="24">
        <v>46082</v>
      </c>
      <c r="E2454" t="s">
        <v>430</v>
      </c>
      <c r="F2454" t="s">
        <v>4</v>
      </c>
      <c r="G2454" t="s">
        <v>211</v>
      </c>
      <c r="H2454" t="s">
        <v>211</v>
      </c>
      <c r="I2454" t="s">
        <v>219</v>
      </c>
      <c r="J2454" s="25">
        <v>632</v>
      </c>
      <c r="K2454" s="26">
        <v>99.72</v>
      </c>
      <c r="L2454" s="26">
        <v>2.0099999999999998</v>
      </c>
    </row>
    <row r="2455" spans="1:12" ht="16" customHeight="1">
      <c r="A2455" t="s">
        <v>429</v>
      </c>
      <c r="B2455" t="s">
        <v>5</v>
      </c>
      <c r="C2455" t="s">
        <v>41</v>
      </c>
      <c r="D2455" s="24">
        <v>46082</v>
      </c>
      <c r="E2455" t="s">
        <v>387</v>
      </c>
      <c r="F2455" t="s">
        <v>4</v>
      </c>
      <c r="G2455" t="s">
        <v>217</v>
      </c>
      <c r="H2455" t="s">
        <v>217</v>
      </c>
      <c r="I2455" t="s">
        <v>219</v>
      </c>
      <c r="J2455" s="25">
        <v>341211</v>
      </c>
      <c r="K2455" s="26">
        <v>54272.46</v>
      </c>
      <c r="L2455" s="26">
        <v>859.87</v>
      </c>
    </row>
    <row r="2456" spans="1:12" ht="16" customHeight="1">
      <c r="A2456" t="s">
        <v>429</v>
      </c>
      <c r="B2456" t="s">
        <v>5</v>
      </c>
      <c r="C2456" t="s">
        <v>41</v>
      </c>
      <c r="D2456" s="24">
        <v>46082</v>
      </c>
      <c r="E2456" t="s">
        <v>416</v>
      </c>
      <c r="F2456" t="s">
        <v>4</v>
      </c>
      <c r="G2456" t="s">
        <v>217</v>
      </c>
      <c r="H2456" t="s">
        <v>217</v>
      </c>
      <c r="I2456" t="s">
        <v>221</v>
      </c>
      <c r="J2456" s="25">
        <v>59695</v>
      </c>
      <c r="K2456" s="26">
        <v>9615.4599999999991</v>
      </c>
      <c r="L2456" s="26">
        <v>173.68</v>
      </c>
    </row>
    <row r="2457" spans="1:12" ht="16" customHeight="1">
      <c r="A2457" t="s">
        <v>429</v>
      </c>
      <c r="B2457" t="s">
        <v>5</v>
      </c>
      <c r="C2457" t="s">
        <v>41</v>
      </c>
      <c r="D2457" s="24">
        <v>46082</v>
      </c>
      <c r="E2457" t="s">
        <v>226</v>
      </c>
      <c r="F2457" t="s">
        <v>4</v>
      </c>
      <c r="G2457" t="s">
        <v>217</v>
      </c>
      <c r="H2457" t="s">
        <v>217</v>
      </c>
      <c r="I2457" t="s">
        <v>223</v>
      </c>
      <c r="J2457" s="25">
        <v>102176</v>
      </c>
      <c r="K2457" s="26">
        <v>16236.56</v>
      </c>
      <c r="L2457" s="26">
        <v>372.82</v>
      </c>
    </row>
    <row r="2458" spans="1:12" ht="16" customHeight="1">
      <c r="A2458" t="s">
        <v>429</v>
      </c>
      <c r="B2458" t="s">
        <v>5</v>
      </c>
      <c r="C2458" t="s">
        <v>41</v>
      </c>
      <c r="D2458" s="24">
        <v>46082</v>
      </c>
      <c r="E2458" t="s">
        <v>269</v>
      </c>
      <c r="F2458" t="s">
        <v>4</v>
      </c>
      <c r="G2458" t="s">
        <v>217</v>
      </c>
      <c r="H2458" t="s">
        <v>217</v>
      </c>
      <c r="I2458" t="s">
        <v>225</v>
      </c>
      <c r="J2458" s="25">
        <v>25458</v>
      </c>
      <c r="K2458" s="26">
        <v>4026.73</v>
      </c>
      <c r="L2458" s="26">
        <v>91.92</v>
      </c>
    </row>
    <row r="2459" spans="1:12" ht="16" customHeight="1">
      <c r="A2459" t="s">
        <v>429</v>
      </c>
      <c r="B2459" t="s">
        <v>5</v>
      </c>
      <c r="C2459" t="s">
        <v>41</v>
      </c>
      <c r="D2459" s="24">
        <v>46082</v>
      </c>
      <c r="E2459" t="s">
        <v>228</v>
      </c>
      <c r="F2459" t="s">
        <v>4</v>
      </c>
      <c r="G2459" t="s">
        <v>217</v>
      </c>
      <c r="H2459" t="s">
        <v>217</v>
      </c>
      <c r="I2459" t="s">
        <v>227</v>
      </c>
      <c r="J2459" s="25">
        <v>34332</v>
      </c>
      <c r="K2459" s="26">
        <v>5472.09</v>
      </c>
      <c r="L2459" s="26">
        <v>157.18</v>
      </c>
    </row>
    <row r="2460" spans="1:12" ht="16" customHeight="1">
      <c r="A2460" t="s">
        <v>429</v>
      </c>
      <c r="B2460" t="s">
        <v>5</v>
      </c>
      <c r="C2460" t="s">
        <v>41</v>
      </c>
      <c r="D2460" s="24">
        <v>46082</v>
      </c>
      <c r="E2460" t="s">
        <v>230</v>
      </c>
      <c r="F2460" t="s">
        <v>4</v>
      </c>
      <c r="G2460" t="s">
        <v>217</v>
      </c>
      <c r="H2460" t="s">
        <v>217</v>
      </c>
      <c r="I2460" t="s">
        <v>229</v>
      </c>
      <c r="J2460" s="25">
        <v>0</v>
      </c>
      <c r="K2460" s="26">
        <v>0</v>
      </c>
      <c r="L2460" s="26">
        <v>0</v>
      </c>
    </row>
    <row r="2461" spans="1:12" ht="16" customHeight="1">
      <c r="A2461" t="s">
        <v>429</v>
      </c>
      <c r="B2461" t="s">
        <v>5</v>
      </c>
      <c r="C2461" t="s">
        <v>41</v>
      </c>
      <c r="D2461" s="24">
        <v>46082</v>
      </c>
      <c r="E2461" t="s">
        <v>232</v>
      </c>
      <c r="F2461" t="s">
        <v>4</v>
      </c>
      <c r="G2461" t="s">
        <v>217</v>
      </c>
      <c r="H2461" t="s">
        <v>217</v>
      </c>
      <c r="I2461" t="s">
        <v>231</v>
      </c>
      <c r="J2461" s="25">
        <v>199</v>
      </c>
      <c r="K2461" s="26">
        <v>35.56</v>
      </c>
      <c r="L2461" s="26">
        <v>2.15</v>
      </c>
    </row>
    <row r="2462" spans="1:12" ht="16" customHeight="1">
      <c r="A2462" t="s">
        <v>429</v>
      </c>
      <c r="B2462" t="s">
        <v>5</v>
      </c>
      <c r="C2462" t="s">
        <v>41</v>
      </c>
      <c r="D2462" s="24">
        <v>46082</v>
      </c>
      <c r="E2462" t="s">
        <v>234</v>
      </c>
      <c r="F2462" t="s">
        <v>4</v>
      </c>
      <c r="G2462" t="s">
        <v>217</v>
      </c>
      <c r="H2462" t="s">
        <v>217</v>
      </c>
      <c r="I2462" t="s">
        <v>233</v>
      </c>
      <c r="J2462" s="25">
        <v>0</v>
      </c>
      <c r="K2462" s="26">
        <v>0</v>
      </c>
      <c r="L2462" s="26">
        <v>0</v>
      </c>
    </row>
    <row r="2463" spans="1:12" ht="16" customHeight="1">
      <c r="A2463" t="s">
        <v>429</v>
      </c>
      <c r="B2463" t="s">
        <v>5</v>
      </c>
      <c r="C2463" t="s">
        <v>41</v>
      </c>
      <c r="D2463" s="24">
        <v>46082</v>
      </c>
      <c r="E2463" t="s">
        <v>236</v>
      </c>
      <c r="F2463" t="s">
        <v>4</v>
      </c>
      <c r="G2463" t="s">
        <v>217</v>
      </c>
      <c r="H2463" t="s">
        <v>217</v>
      </c>
      <c r="I2463" t="s">
        <v>235</v>
      </c>
      <c r="J2463" s="25">
        <v>19</v>
      </c>
      <c r="K2463" s="26">
        <v>3.47</v>
      </c>
      <c r="L2463" s="26">
        <v>0.22</v>
      </c>
    </row>
    <row r="2464" spans="1:12" ht="16" customHeight="1">
      <c r="A2464" t="s">
        <v>429</v>
      </c>
      <c r="B2464" t="s">
        <v>5</v>
      </c>
      <c r="C2464" t="s">
        <v>41</v>
      </c>
      <c r="D2464" s="24">
        <v>46082</v>
      </c>
      <c r="E2464" t="s">
        <v>238</v>
      </c>
      <c r="F2464" t="s">
        <v>4</v>
      </c>
      <c r="G2464" t="s">
        <v>217</v>
      </c>
      <c r="H2464" t="s">
        <v>217</v>
      </c>
      <c r="I2464" t="s">
        <v>237</v>
      </c>
      <c r="J2464" s="25">
        <v>0</v>
      </c>
      <c r="K2464" s="26">
        <v>0</v>
      </c>
      <c r="L2464" s="26">
        <v>0</v>
      </c>
    </row>
    <row r="2465" spans="1:12" ht="16" customHeight="1">
      <c r="A2465" t="s">
        <v>429</v>
      </c>
      <c r="B2465" t="s">
        <v>5</v>
      </c>
      <c r="C2465" t="s">
        <v>41</v>
      </c>
      <c r="D2465" s="24">
        <v>46082</v>
      </c>
      <c r="E2465" t="s">
        <v>240</v>
      </c>
      <c r="F2465" t="s">
        <v>3</v>
      </c>
      <c r="G2465" t="s">
        <v>241</v>
      </c>
      <c r="H2465" t="s">
        <v>241</v>
      </c>
      <c r="I2465" t="s">
        <v>239</v>
      </c>
      <c r="J2465" s="25">
        <v>1</v>
      </c>
      <c r="K2465" s="26">
        <v>0.17</v>
      </c>
      <c r="L2465" s="26">
        <v>0</v>
      </c>
    </row>
    <row r="2466" spans="1:12" ht="16" customHeight="1">
      <c r="A2466" t="s">
        <v>429</v>
      </c>
      <c r="B2466" t="s">
        <v>5</v>
      </c>
      <c r="C2466" t="s">
        <v>41</v>
      </c>
      <c r="D2466" s="24">
        <v>46082</v>
      </c>
      <c r="E2466" t="s">
        <v>243</v>
      </c>
      <c r="F2466" t="s">
        <v>4</v>
      </c>
      <c r="G2466" t="s">
        <v>217</v>
      </c>
      <c r="H2466" t="s">
        <v>217</v>
      </c>
      <c r="I2466" t="s">
        <v>242</v>
      </c>
      <c r="J2466" s="25">
        <v>0</v>
      </c>
      <c r="K2466" s="26">
        <v>0</v>
      </c>
      <c r="L2466" s="26">
        <v>0</v>
      </c>
    </row>
    <row r="2467" spans="1:12" ht="16" customHeight="1">
      <c r="A2467" t="s">
        <v>429</v>
      </c>
      <c r="B2467" t="s">
        <v>5</v>
      </c>
      <c r="C2467" t="s">
        <v>41</v>
      </c>
      <c r="D2467" s="24">
        <v>46082</v>
      </c>
      <c r="E2467" t="s">
        <v>360</v>
      </c>
      <c r="F2467" t="s">
        <v>4</v>
      </c>
      <c r="G2467" t="s">
        <v>217</v>
      </c>
      <c r="H2467" t="s">
        <v>217</v>
      </c>
      <c r="I2467" t="s">
        <v>244</v>
      </c>
      <c r="J2467" s="25">
        <v>0</v>
      </c>
      <c r="K2467" s="26">
        <v>0</v>
      </c>
      <c r="L2467" s="26">
        <v>0</v>
      </c>
    </row>
    <row r="2468" spans="1:12" ht="16" customHeight="1">
      <c r="A2468" t="s">
        <v>431</v>
      </c>
      <c r="B2468" t="s">
        <v>6</v>
      </c>
      <c r="C2468" t="s">
        <v>41</v>
      </c>
      <c r="D2468" s="24">
        <v>46082</v>
      </c>
      <c r="E2468" t="s">
        <v>411</v>
      </c>
      <c r="F2468" t="s">
        <v>4</v>
      </c>
      <c r="G2468" t="s">
        <v>211</v>
      </c>
      <c r="H2468" t="s">
        <v>211</v>
      </c>
      <c r="I2468" t="s">
        <v>212</v>
      </c>
      <c r="J2468" s="25">
        <v>48066366</v>
      </c>
      <c r="K2468" s="26">
        <v>7347578.5499999998</v>
      </c>
      <c r="L2468" s="26">
        <v>38811.35</v>
      </c>
    </row>
    <row r="2469" spans="1:12" ht="16" customHeight="1">
      <c r="A2469" t="s">
        <v>431</v>
      </c>
      <c r="B2469" t="s">
        <v>6</v>
      </c>
      <c r="C2469" t="s">
        <v>41</v>
      </c>
      <c r="D2469" s="24">
        <v>46082</v>
      </c>
      <c r="E2469" t="s">
        <v>357</v>
      </c>
      <c r="F2469" t="s">
        <v>3</v>
      </c>
      <c r="G2469" t="s">
        <v>358</v>
      </c>
      <c r="H2469" t="s">
        <v>358</v>
      </c>
      <c r="I2469" t="s">
        <v>212</v>
      </c>
      <c r="J2469" s="25">
        <v>4328422</v>
      </c>
      <c r="K2469" s="26">
        <v>662331.54</v>
      </c>
      <c r="L2469" s="26">
        <v>5823.84</v>
      </c>
    </row>
    <row r="2470" spans="1:12" ht="16" customHeight="1">
      <c r="A2470" t="s">
        <v>431</v>
      </c>
      <c r="B2470" t="s">
        <v>6</v>
      </c>
      <c r="C2470" t="s">
        <v>41</v>
      </c>
      <c r="D2470" s="24">
        <v>46082</v>
      </c>
      <c r="E2470" t="s">
        <v>420</v>
      </c>
      <c r="F2470" t="s">
        <v>4</v>
      </c>
      <c r="G2470" t="s">
        <v>211</v>
      </c>
      <c r="H2470" t="s">
        <v>211</v>
      </c>
      <c r="I2470" t="s">
        <v>219</v>
      </c>
      <c r="J2470" s="25">
        <v>286098</v>
      </c>
      <c r="K2470" s="26">
        <v>44481.2</v>
      </c>
      <c r="L2470" s="26">
        <v>529.53</v>
      </c>
    </row>
    <row r="2471" spans="1:12" ht="16" customHeight="1">
      <c r="A2471" t="s">
        <v>431</v>
      </c>
      <c r="B2471" t="s">
        <v>6</v>
      </c>
      <c r="C2471" t="s">
        <v>41</v>
      </c>
      <c r="D2471" s="24">
        <v>46082</v>
      </c>
      <c r="E2471" t="s">
        <v>425</v>
      </c>
      <c r="F2471" t="s">
        <v>3</v>
      </c>
      <c r="G2471" t="s">
        <v>241</v>
      </c>
      <c r="H2471" t="s">
        <v>241</v>
      </c>
      <c r="I2471" t="s">
        <v>219</v>
      </c>
      <c r="J2471" s="25">
        <v>19021</v>
      </c>
      <c r="K2471" s="26">
        <v>3005.5</v>
      </c>
      <c r="L2471" s="26">
        <v>35.47</v>
      </c>
    </row>
    <row r="2472" spans="1:12" ht="16" customHeight="1">
      <c r="A2472" t="s">
        <v>431</v>
      </c>
      <c r="B2472" t="s">
        <v>6</v>
      </c>
      <c r="C2472" t="s">
        <v>41</v>
      </c>
      <c r="D2472" s="24">
        <v>46082</v>
      </c>
      <c r="E2472" t="s">
        <v>430</v>
      </c>
      <c r="F2472" t="s">
        <v>4</v>
      </c>
      <c r="G2472" t="s">
        <v>211</v>
      </c>
      <c r="H2472" t="s">
        <v>211</v>
      </c>
      <c r="I2472" t="s">
        <v>219</v>
      </c>
      <c r="J2472" s="25">
        <v>2661</v>
      </c>
      <c r="K2472" s="26">
        <v>417.82</v>
      </c>
      <c r="L2472" s="26">
        <v>7.98</v>
      </c>
    </row>
    <row r="2473" spans="1:12" ht="16" customHeight="1">
      <c r="A2473" t="s">
        <v>431</v>
      </c>
      <c r="B2473" t="s">
        <v>6</v>
      </c>
      <c r="C2473" t="s">
        <v>41</v>
      </c>
      <c r="D2473" s="24">
        <v>46082</v>
      </c>
      <c r="E2473" t="s">
        <v>387</v>
      </c>
      <c r="F2473" t="s">
        <v>4</v>
      </c>
      <c r="G2473" t="s">
        <v>217</v>
      </c>
      <c r="H2473" t="s">
        <v>217</v>
      </c>
      <c r="I2473" t="s">
        <v>219</v>
      </c>
      <c r="J2473" s="25">
        <v>571952</v>
      </c>
      <c r="K2473" s="26">
        <v>90010.91</v>
      </c>
      <c r="L2473" s="26">
        <v>1529.82</v>
      </c>
    </row>
    <row r="2474" spans="1:12" ht="16" customHeight="1">
      <c r="A2474" t="s">
        <v>431</v>
      </c>
      <c r="B2474" t="s">
        <v>6</v>
      </c>
      <c r="C2474" t="s">
        <v>41</v>
      </c>
      <c r="D2474" s="24">
        <v>46082</v>
      </c>
      <c r="E2474" t="s">
        <v>416</v>
      </c>
      <c r="F2474" t="s">
        <v>4</v>
      </c>
      <c r="G2474" t="s">
        <v>217</v>
      </c>
      <c r="H2474" t="s">
        <v>217</v>
      </c>
      <c r="I2474" t="s">
        <v>221</v>
      </c>
      <c r="J2474" s="25">
        <v>90000</v>
      </c>
      <c r="K2474" s="26">
        <v>14334.64</v>
      </c>
      <c r="L2474" s="26">
        <v>273.11</v>
      </c>
    </row>
    <row r="2475" spans="1:12" ht="16" customHeight="1">
      <c r="A2475" t="s">
        <v>431</v>
      </c>
      <c r="B2475" t="s">
        <v>6</v>
      </c>
      <c r="C2475" t="s">
        <v>41</v>
      </c>
      <c r="D2475" s="24">
        <v>46082</v>
      </c>
      <c r="E2475" t="s">
        <v>226</v>
      </c>
      <c r="F2475" t="s">
        <v>4</v>
      </c>
      <c r="G2475" t="s">
        <v>217</v>
      </c>
      <c r="H2475" t="s">
        <v>217</v>
      </c>
      <c r="I2475" t="s">
        <v>223</v>
      </c>
      <c r="J2475" s="25">
        <v>131124</v>
      </c>
      <c r="K2475" s="26">
        <v>20571.78</v>
      </c>
      <c r="L2475" s="26">
        <v>455.42</v>
      </c>
    </row>
    <row r="2476" spans="1:12" ht="16" customHeight="1">
      <c r="A2476" t="s">
        <v>431</v>
      </c>
      <c r="B2476" t="s">
        <v>6</v>
      </c>
      <c r="C2476" t="s">
        <v>41</v>
      </c>
      <c r="D2476" s="24">
        <v>46082</v>
      </c>
      <c r="E2476" t="s">
        <v>269</v>
      </c>
      <c r="F2476" t="s">
        <v>4</v>
      </c>
      <c r="G2476" t="s">
        <v>217</v>
      </c>
      <c r="H2476" t="s">
        <v>217</v>
      </c>
      <c r="I2476" t="s">
        <v>225</v>
      </c>
      <c r="J2476" s="25">
        <v>20456</v>
      </c>
      <c r="K2476" s="26">
        <v>3345.13</v>
      </c>
      <c r="L2476" s="26">
        <v>84.26</v>
      </c>
    </row>
    <row r="2477" spans="1:12" ht="16" customHeight="1">
      <c r="A2477" t="s">
        <v>431</v>
      </c>
      <c r="B2477" t="s">
        <v>6</v>
      </c>
      <c r="C2477" t="s">
        <v>41</v>
      </c>
      <c r="D2477" s="24">
        <v>46082</v>
      </c>
      <c r="E2477" t="s">
        <v>228</v>
      </c>
      <c r="F2477" t="s">
        <v>4</v>
      </c>
      <c r="G2477" t="s">
        <v>217</v>
      </c>
      <c r="H2477" t="s">
        <v>217</v>
      </c>
      <c r="I2477" t="s">
        <v>227</v>
      </c>
      <c r="J2477" s="25">
        <v>38609</v>
      </c>
      <c r="K2477" s="26">
        <v>6302.58</v>
      </c>
      <c r="L2477" s="26">
        <v>228.07</v>
      </c>
    </row>
    <row r="2478" spans="1:12" ht="16" customHeight="1">
      <c r="A2478" t="s">
        <v>431</v>
      </c>
      <c r="B2478" t="s">
        <v>6</v>
      </c>
      <c r="C2478" t="s">
        <v>41</v>
      </c>
      <c r="D2478" s="24">
        <v>46082</v>
      </c>
      <c r="E2478" t="s">
        <v>230</v>
      </c>
      <c r="F2478" t="s">
        <v>4</v>
      </c>
      <c r="G2478" t="s">
        <v>217</v>
      </c>
      <c r="H2478" t="s">
        <v>217</v>
      </c>
      <c r="I2478" t="s">
        <v>229</v>
      </c>
      <c r="J2478" s="25">
        <v>0</v>
      </c>
      <c r="K2478" s="26">
        <v>0</v>
      </c>
      <c r="L2478" s="26">
        <v>0</v>
      </c>
    </row>
    <row r="2479" spans="1:12" ht="16" customHeight="1">
      <c r="A2479" t="s">
        <v>431</v>
      </c>
      <c r="B2479" t="s">
        <v>6</v>
      </c>
      <c r="C2479" t="s">
        <v>41</v>
      </c>
      <c r="D2479" s="24">
        <v>46082</v>
      </c>
      <c r="E2479" t="s">
        <v>232</v>
      </c>
      <c r="F2479" t="s">
        <v>4</v>
      </c>
      <c r="G2479" t="s">
        <v>217</v>
      </c>
      <c r="H2479" t="s">
        <v>217</v>
      </c>
      <c r="I2479" t="s">
        <v>231</v>
      </c>
      <c r="J2479" s="25">
        <v>286</v>
      </c>
      <c r="K2479" s="26">
        <v>49.14</v>
      </c>
      <c r="L2479" s="26">
        <v>3.06</v>
      </c>
    </row>
    <row r="2480" spans="1:12" ht="16" customHeight="1">
      <c r="A2480" t="s">
        <v>431</v>
      </c>
      <c r="B2480" t="s">
        <v>6</v>
      </c>
      <c r="C2480" t="s">
        <v>41</v>
      </c>
      <c r="D2480" s="24">
        <v>46082</v>
      </c>
      <c r="E2480" t="s">
        <v>234</v>
      </c>
      <c r="F2480" t="s">
        <v>4</v>
      </c>
      <c r="G2480" t="s">
        <v>217</v>
      </c>
      <c r="H2480" t="s">
        <v>217</v>
      </c>
      <c r="I2480" t="s">
        <v>233</v>
      </c>
      <c r="J2480" s="25">
        <v>0</v>
      </c>
      <c r="K2480" s="26">
        <v>0</v>
      </c>
      <c r="L2480" s="26">
        <v>0</v>
      </c>
    </row>
    <row r="2481" spans="1:12" ht="16" customHeight="1">
      <c r="A2481" t="s">
        <v>431</v>
      </c>
      <c r="B2481" t="s">
        <v>6</v>
      </c>
      <c r="C2481" t="s">
        <v>41</v>
      </c>
      <c r="D2481" s="24">
        <v>46082</v>
      </c>
      <c r="E2481" t="s">
        <v>236</v>
      </c>
      <c r="F2481" t="s">
        <v>4</v>
      </c>
      <c r="G2481" t="s">
        <v>217</v>
      </c>
      <c r="H2481" t="s">
        <v>217</v>
      </c>
      <c r="I2481" t="s">
        <v>235</v>
      </c>
      <c r="J2481" s="25">
        <v>24</v>
      </c>
      <c r="K2481" s="26">
        <v>4.18</v>
      </c>
      <c r="L2481" s="26">
        <v>0.25</v>
      </c>
    </row>
    <row r="2482" spans="1:12" ht="16" customHeight="1">
      <c r="A2482" t="s">
        <v>431</v>
      </c>
      <c r="B2482" t="s">
        <v>6</v>
      </c>
      <c r="C2482" t="s">
        <v>41</v>
      </c>
      <c r="D2482" s="24">
        <v>46082</v>
      </c>
      <c r="E2482" t="s">
        <v>238</v>
      </c>
      <c r="F2482" t="s">
        <v>4</v>
      </c>
      <c r="G2482" t="s">
        <v>217</v>
      </c>
      <c r="H2482" t="s">
        <v>217</v>
      </c>
      <c r="I2482" t="s">
        <v>237</v>
      </c>
      <c r="J2482" s="25">
        <v>0</v>
      </c>
      <c r="K2482" s="26">
        <v>0</v>
      </c>
      <c r="L2482" s="26">
        <v>0</v>
      </c>
    </row>
    <row r="2483" spans="1:12" ht="16" customHeight="1">
      <c r="A2483" t="s">
        <v>431</v>
      </c>
      <c r="B2483" t="s">
        <v>6</v>
      </c>
      <c r="C2483" t="s">
        <v>41</v>
      </c>
      <c r="D2483" s="24">
        <v>46082</v>
      </c>
      <c r="E2483" t="s">
        <v>240</v>
      </c>
      <c r="F2483" t="s">
        <v>3</v>
      </c>
      <c r="G2483" t="s">
        <v>241</v>
      </c>
      <c r="H2483" t="s">
        <v>241</v>
      </c>
      <c r="I2483" t="s">
        <v>239</v>
      </c>
      <c r="J2483" s="25">
        <v>8</v>
      </c>
      <c r="K2483" s="26">
        <v>1.24</v>
      </c>
      <c r="L2483" s="26">
        <v>0.05</v>
      </c>
    </row>
    <row r="2484" spans="1:12" ht="16" customHeight="1">
      <c r="A2484" t="s">
        <v>431</v>
      </c>
      <c r="B2484" t="s">
        <v>6</v>
      </c>
      <c r="C2484" t="s">
        <v>41</v>
      </c>
      <c r="D2484" s="24">
        <v>46082</v>
      </c>
      <c r="E2484" t="s">
        <v>243</v>
      </c>
      <c r="F2484" t="s">
        <v>4</v>
      </c>
      <c r="G2484" t="s">
        <v>217</v>
      </c>
      <c r="H2484" t="s">
        <v>217</v>
      </c>
      <c r="I2484" t="s">
        <v>242</v>
      </c>
      <c r="J2484" s="25">
        <v>0</v>
      </c>
      <c r="K2484" s="26">
        <v>0</v>
      </c>
      <c r="L2484" s="26">
        <v>0</v>
      </c>
    </row>
    <row r="2485" spans="1:12" ht="16" customHeight="1">
      <c r="A2485" t="s">
        <v>431</v>
      </c>
      <c r="B2485" t="s">
        <v>6</v>
      </c>
      <c r="C2485" t="s">
        <v>41</v>
      </c>
      <c r="D2485" s="24">
        <v>46082</v>
      </c>
      <c r="E2485" t="s">
        <v>360</v>
      </c>
      <c r="F2485" t="s">
        <v>4</v>
      </c>
      <c r="G2485" t="s">
        <v>217</v>
      </c>
      <c r="H2485" t="s">
        <v>217</v>
      </c>
      <c r="I2485" t="s">
        <v>244</v>
      </c>
      <c r="J2485" s="25">
        <v>0</v>
      </c>
      <c r="K2485" s="26">
        <v>0</v>
      </c>
      <c r="L2485" s="26">
        <v>0</v>
      </c>
    </row>
    <row r="2486" spans="1:12" ht="16" customHeight="1">
      <c r="A2486" t="s">
        <v>432</v>
      </c>
      <c r="B2486" t="s">
        <v>7</v>
      </c>
      <c r="C2486" t="s">
        <v>41</v>
      </c>
      <c r="D2486" s="24">
        <v>46082</v>
      </c>
      <c r="E2486" t="s">
        <v>411</v>
      </c>
      <c r="F2486" t="s">
        <v>4</v>
      </c>
      <c r="G2486" t="s">
        <v>211</v>
      </c>
      <c r="H2486" t="s">
        <v>211</v>
      </c>
      <c r="I2486" t="s">
        <v>212</v>
      </c>
      <c r="J2486" s="25">
        <v>87455313</v>
      </c>
      <c r="K2486" s="26">
        <v>13269429.43</v>
      </c>
      <c r="L2486" s="26">
        <v>76040.77</v>
      </c>
    </row>
    <row r="2487" spans="1:12" ht="16" customHeight="1">
      <c r="A2487" t="s">
        <v>432</v>
      </c>
      <c r="B2487" t="s">
        <v>7</v>
      </c>
      <c r="C2487" t="s">
        <v>41</v>
      </c>
      <c r="D2487" s="24">
        <v>46082</v>
      </c>
      <c r="E2487" t="s">
        <v>357</v>
      </c>
      <c r="F2487" t="s">
        <v>3</v>
      </c>
      <c r="G2487" t="s">
        <v>358</v>
      </c>
      <c r="H2487" t="s">
        <v>358</v>
      </c>
      <c r="I2487" t="s">
        <v>212</v>
      </c>
      <c r="J2487" s="25">
        <v>3849017</v>
      </c>
      <c r="K2487" s="26">
        <v>589188.27</v>
      </c>
      <c r="L2487" s="26">
        <v>5066.87</v>
      </c>
    </row>
    <row r="2488" spans="1:12" ht="16" customHeight="1">
      <c r="A2488" t="s">
        <v>432</v>
      </c>
      <c r="B2488" t="s">
        <v>7</v>
      </c>
      <c r="C2488" t="s">
        <v>41</v>
      </c>
      <c r="D2488" s="24">
        <v>46082</v>
      </c>
      <c r="E2488" t="s">
        <v>420</v>
      </c>
      <c r="F2488" t="s">
        <v>4</v>
      </c>
      <c r="G2488" t="s">
        <v>211</v>
      </c>
      <c r="H2488" t="s">
        <v>211</v>
      </c>
      <c r="I2488" t="s">
        <v>219</v>
      </c>
      <c r="J2488" s="25">
        <v>284971</v>
      </c>
      <c r="K2488" s="26">
        <v>44333.5</v>
      </c>
      <c r="L2488" s="26">
        <v>618.30999999999995</v>
      </c>
    </row>
    <row r="2489" spans="1:12" ht="16" customHeight="1">
      <c r="A2489" t="s">
        <v>432</v>
      </c>
      <c r="B2489" t="s">
        <v>7</v>
      </c>
      <c r="C2489" t="s">
        <v>41</v>
      </c>
      <c r="D2489" s="24">
        <v>46082</v>
      </c>
      <c r="E2489" t="s">
        <v>425</v>
      </c>
      <c r="F2489" t="s">
        <v>3</v>
      </c>
      <c r="G2489" t="s">
        <v>241</v>
      </c>
      <c r="H2489" t="s">
        <v>241</v>
      </c>
      <c r="I2489" t="s">
        <v>219</v>
      </c>
      <c r="J2489" s="25">
        <v>18476</v>
      </c>
      <c r="K2489" s="26">
        <v>2920.26</v>
      </c>
      <c r="L2489" s="26">
        <v>33.03</v>
      </c>
    </row>
    <row r="2490" spans="1:12" ht="16" customHeight="1">
      <c r="A2490" t="s">
        <v>432</v>
      </c>
      <c r="B2490" t="s">
        <v>7</v>
      </c>
      <c r="C2490" t="s">
        <v>41</v>
      </c>
      <c r="D2490" s="24">
        <v>46082</v>
      </c>
      <c r="E2490" t="s">
        <v>430</v>
      </c>
      <c r="F2490" t="s">
        <v>4</v>
      </c>
      <c r="G2490" t="s">
        <v>211</v>
      </c>
      <c r="H2490" t="s">
        <v>211</v>
      </c>
      <c r="I2490" t="s">
        <v>219</v>
      </c>
      <c r="J2490" s="25">
        <v>2415</v>
      </c>
      <c r="K2490" s="26">
        <v>379.52</v>
      </c>
      <c r="L2490" s="26">
        <v>6.68</v>
      </c>
    </row>
    <row r="2491" spans="1:12" ht="16" customHeight="1">
      <c r="A2491" t="s">
        <v>432</v>
      </c>
      <c r="B2491" t="s">
        <v>7</v>
      </c>
      <c r="C2491" t="s">
        <v>41</v>
      </c>
      <c r="D2491" s="24">
        <v>46082</v>
      </c>
      <c r="E2491" t="s">
        <v>387</v>
      </c>
      <c r="F2491" t="s">
        <v>4</v>
      </c>
      <c r="G2491" t="s">
        <v>217</v>
      </c>
      <c r="H2491" t="s">
        <v>217</v>
      </c>
      <c r="I2491" t="s">
        <v>219</v>
      </c>
      <c r="J2491" s="25">
        <v>443621</v>
      </c>
      <c r="K2491" s="26">
        <v>69785.429999999993</v>
      </c>
      <c r="L2491" s="26">
        <v>1171.8499999999999</v>
      </c>
    </row>
    <row r="2492" spans="1:12" ht="16" customHeight="1">
      <c r="A2492" t="s">
        <v>432</v>
      </c>
      <c r="B2492" t="s">
        <v>7</v>
      </c>
      <c r="C2492" t="s">
        <v>41</v>
      </c>
      <c r="D2492" s="24">
        <v>46082</v>
      </c>
      <c r="E2492" t="s">
        <v>416</v>
      </c>
      <c r="F2492" t="s">
        <v>4</v>
      </c>
      <c r="G2492" t="s">
        <v>217</v>
      </c>
      <c r="H2492" t="s">
        <v>217</v>
      </c>
      <c r="I2492" t="s">
        <v>221</v>
      </c>
      <c r="J2492" s="25">
        <v>58373</v>
      </c>
      <c r="K2492" s="26">
        <v>9363.8700000000008</v>
      </c>
      <c r="L2492" s="26">
        <v>182.43</v>
      </c>
    </row>
    <row r="2493" spans="1:12" ht="16" customHeight="1">
      <c r="A2493" t="s">
        <v>432</v>
      </c>
      <c r="B2493" t="s">
        <v>7</v>
      </c>
      <c r="C2493" t="s">
        <v>41</v>
      </c>
      <c r="D2493" s="24">
        <v>46082</v>
      </c>
      <c r="E2493" t="s">
        <v>226</v>
      </c>
      <c r="F2493" t="s">
        <v>4</v>
      </c>
      <c r="G2493" t="s">
        <v>217</v>
      </c>
      <c r="H2493" t="s">
        <v>217</v>
      </c>
      <c r="I2493" t="s">
        <v>223</v>
      </c>
      <c r="J2493" s="25">
        <v>89800</v>
      </c>
      <c r="K2493" s="26">
        <v>13913.35</v>
      </c>
      <c r="L2493" s="26">
        <v>314.76</v>
      </c>
    </row>
    <row r="2494" spans="1:12" ht="16" customHeight="1">
      <c r="A2494" t="s">
        <v>432</v>
      </c>
      <c r="B2494" t="s">
        <v>7</v>
      </c>
      <c r="C2494" t="s">
        <v>41</v>
      </c>
      <c r="D2494" s="24">
        <v>46082</v>
      </c>
      <c r="E2494" t="s">
        <v>269</v>
      </c>
      <c r="F2494" t="s">
        <v>4</v>
      </c>
      <c r="G2494" t="s">
        <v>217</v>
      </c>
      <c r="H2494" t="s">
        <v>217</v>
      </c>
      <c r="I2494" t="s">
        <v>225</v>
      </c>
      <c r="J2494" s="25">
        <v>10712</v>
      </c>
      <c r="K2494" s="26">
        <v>1782.37</v>
      </c>
      <c r="L2494" s="26">
        <v>43.04</v>
      </c>
    </row>
    <row r="2495" spans="1:12" ht="16" customHeight="1">
      <c r="A2495" t="s">
        <v>432</v>
      </c>
      <c r="B2495" t="s">
        <v>7</v>
      </c>
      <c r="C2495" t="s">
        <v>41</v>
      </c>
      <c r="D2495" s="24">
        <v>46082</v>
      </c>
      <c r="E2495" t="s">
        <v>228</v>
      </c>
      <c r="F2495" t="s">
        <v>4</v>
      </c>
      <c r="G2495" t="s">
        <v>217</v>
      </c>
      <c r="H2495" t="s">
        <v>217</v>
      </c>
      <c r="I2495" t="s">
        <v>227</v>
      </c>
      <c r="J2495" s="25">
        <v>31714</v>
      </c>
      <c r="K2495" s="26">
        <v>5198.08</v>
      </c>
      <c r="L2495" s="26">
        <v>179.77</v>
      </c>
    </row>
    <row r="2496" spans="1:12" ht="16" customHeight="1">
      <c r="A2496" t="s">
        <v>432</v>
      </c>
      <c r="B2496" t="s">
        <v>7</v>
      </c>
      <c r="C2496" t="s">
        <v>41</v>
      </c>
      <c r="D2496" s="24">
        <v>46082</v>
      </c>
      <c r="E2496" t="s">
        <v>230</v>
      </c>
      <c r="F2496" t="s">
        <v>4</v>
      </c>
      <c r="G2496" t="s">
        <v>217</v>
      </c>
      <c r="H2496" t="s">
        <v>217</v>
      </c>
      <c r="I2496" t="s">
        <v>229</v>
      </c>
      <c r="J2496" s="25">
        <v>0</v>
      </c>
      <c r="K2496" s="26">
        <v>0</v>
      </c>
      <c r="L2496" s="26">
        <v>0</v>
      </c>
    </row>
    <row r="2497" spans="1:12" ht="16" customHeight="1">
      <c r="A2497" t="s">
        <v>432</v>
      </c>
      <c r="B2497" t="s">
        <v>7</v>
      </c>
      <c r="C2497" t="s">
        <v>41</v>
      </c>
      <c r="D2497" s="24">
        <v>46082</v>
      </c>
      <c r="E2497" t="s">
        <v>232</v>
      </c>
      <c r="F2497" t="s">
        <v>4</v>
      </c>
      <c r="G2497" t="s">
        <v>217</v>
      </c>
      <c r="H2497" t="s">
        <v>217</v>
      </c>
      <c r="I2497" t="s">
        <v>231</v>
      </c>
      <c r="J2497" s="25">
        <v>183</v>
      </c>
      <c r="K2497" s="26">
        <v>31.41</v>
      </c>
      <c r="L2497" s="26">
        <v>1.99</v>
      </c>
    </row>
    <row r="2498" spans="1:12" ht="16" customHeight="1">
      <c r="A2498" t="s">
        <v>432</v>
      </c>
      <c r="B2498" t="s">
        <v>7</v>
      </c>
      <c r="C2498" t="s">
        <v>41</v>
      </c>
      <c r="D2498" s="24">
        <v>46082</v>
      </c>
      <c r="E2498" t="s">
        <v>234</v>
      </c>
      <c r="F2498" t="s">
        <v>4</v>
      </c>
      <c r="G2498" t="s">
        <v>217</v>
      </c>
      <c r="H2498" t="s">
        <v>217</v>
      </c>
      <c r="I2498" t="s">
        <v>233</v>
      </c>
      <c r="J2498" s="25">
        <v>0</v>
      </c>
      <c r="K2498" s="26">
        <v>0</v>
      </c>
      <c r="L2498" s="26">
        <v>0</v>
      </c>
    </row>
    <row r="2499" spans="1:12" ht="16" customHeight="1">
      <c r="A2499" t="s">
        <v>432</v>
      </c>
      <c r="B2499" t="s">
        <v>7</v>
      </c>
      <c r="C2499" t="s">
        <v>41</v>
      </c>
      <c r="D2499" s="24">
        <v>46082</v>
      </c>
      <c r="E2499" t="s">
        <v>236</v>
      </c>
      <c r="F2499" t="s">
        <v>4</v>
      </c>
      <c r="G2499" t="s">
        <v>217</v>
      </c>
      <c r="H2499" t="s">
        <v>217</v>
      </c>
      <c r="I2499" t="s">
        <v>235</v>
      </c>
      <c r="J2499" s="25">
        <v>6</v>
      </c>
      <c r="K2499" s="26">
        <v>0.98</v>
      </c>
      <c r="L2499" s="26">
        <v>0.05</v>
      </c>
    </row>
    <row r="2500" spans="1:12" ht="16" customHeight="1">
      <c r="A2500" t="s">
        <v>432</v>
      </c>
      <c r="B2500" t="s">
        <v>7</v>
      </c>
      <c r="C2500" t="s">
        <v>41</v>
      </c>
      <c r="D2500" s="24">
        <v>46082</v>
      </c>
      <c r="E2500" t="s">
        <v>238</v>
      </c>
      <c r="F2500" t="s">
        <v>4</v>
      </c>
      <c r="G2500" t="s">
        <v>217</v>
      </c>
      <c r="H2500" t="s">
        <v>217</v>
      </c>
      <c r="I2500" t="s">
        <v>237</v>
      </c>
      <c r="J2500" s="25">
        <v>0</v>
      </c>
      <c r="K2500" s="26">
        <v>0</v>
      </c>
      <c r="L2500" s="26">
        <v>0</v>
      </c>
    </row>
    <row r="2501" spans="1:12" ht="16" customHeight="1">
      <c r="A2501" t="s">
        <v>432</v>
      </c>
      <c r="B2501" t="s">
        <v>7</v>
      </c>
      <c r="C2501" t="s">
        <v>41</v>
      </c>
      <c r="D2501" s="24">
        <v>46082</v>
      </c>
      <c r="E2501" t="s">
        <v>240</v>
      </c>
      <c r="F2501" t="s">
        <v>3</v>
      </c>
      <c r="G2501" t="s">
        <v>241</v>
      </c>
      <c r="H2501" t="s">
        <v>241</v>
      </c>
      <c r="I2501" t="s">
        <v>239</v>
      </c>
      <c r="J2501" s="25">
        <v>1</v>
      </c>
      <c r="K2501" s="26">
        <v>0.16</v>
      </c>
      <c r="L2501" s="26">
        <v>0.01</v>
      </c>
    </row>
    <row r="2502" spans="1:12" ht="16" customHeight="1">
      <c r="A2502" t="s">
        <v>432</v>
      </c>
      <c r="B2502" t="s">
        <v>7</v>
      </c>
      <c r="C2502" t="s">
        <v>41</v>
      </c>
      <c r="D2502" s="24">
        <v>46082</v>
      </c>
      <c r="E2502" t="s">
        <v>243</v>
      </c>
      <c r="F2502" t="s">
        <v>4</v>
      </c>
      <c r="G2502" t="s">
        <v>217</v>
      </c>
      <c r="H2502" t="s">
        <v>217</v>
      </c>
      <c r="I2502" t="s">
        <v>242</v>
      </c>
      <c r="J2502" s="25">
        <v>0</v>
      </c>
      <c r="K2502" s="26">
        <v>0</v>
      </c>
      <c r="L2502" s="26">
        <v>0</v>
      </c>
    </row>
    <row r="2503" spans="1:12" ht="16" customHeight="1">
      <c r="A2503" t="s">
        <v>432</v>
      </c>
      <c r="B2503" t="s">
        <v>7</v>
      </c>
      <c r="C2503" t="s">
        <v>41</v>
      </c>
      <c r="D2503" s="24">
        <v>46082</v>
      </c>
      <c r="E2503" t="s">
        <v>360</v>
      </c>
      <c r="F2503" t="s">
        <v>4</v>
      </c>
      <c r="G2503" t="s">
        <v>217</v>
      </c>
      <c r="H2503" t="s">
        <v>217</v>
      </c>
      <c r="I2503" t="s">
        <v>244</v>
      </c>
      <c r="J2503" s="25">
        <v>0</v>
      </c>
      <c r="K2503" s="26">
        <v>0</v>
      </c>
      <c r="L2503" s="26">
        <v>0</v>
      </c>
    </row>
    <row r="2504" spans="1:12" ht="16" customHeight="1">
      <c r="A2504" t="s">
        <v>433</v>
      </c>
      <c r="B2504" t="s">
        <v>3</v>
      </c>
      <c r="C2504" t="s">
        <v>42</v>
      </c>
      <c r="D2504" s="24">
        <v>46082</v>
      </c>
      <c r="E2504" t="s">
        <v>411</v>
      </c>
      <c r="F2504" t="s">
        <v>4</v>
      </c>
      <c r="G2504" t="s">
        <v>211</v>
      </c>
      <c r="H2504" t="s">
        <v>211</v>
      </c>
      <c r="I2504" t="s">
        <v>212</v>
      </c>
      <c r="J2504" s="25">
        <v>108697023</v>
      </c>
      <c r="K2504" s="26">
        <v>16116920.029999999</v>
      </c>
      <c r="L2504" s="26">
        <v>79023.77</v>
      </c>
    </row>
    <row r="2505" spans="1:12" ht="16" customHeight="1">
      <c r="A2505" t="s">
        <v>433</v>
      </c>
      <c r="B2505" t="s">
        <v>3</v>
      </c>
      <c r="C2505" t="s">
        <v>42</v>
      </c>
      <c r="D2505" s="24">
        <v>46082</v>
      </c>
      <c r="E2505" t="s">
        <v>357</v>
      </c>
      <c r="F2505" t="s">
        <v>3</v>
      </c>
      <c r="G2505" t="s">
        <v>358</v>
      </c>
      <c r="H2505" t="s">
        <v>358</v>
      </c>
      <c r="I2505" t="s">
        <v>212</v>
      </c>
      <c r="J2505" s="25">
        <v>5896514</v>
      </c>
      <c r="K2505" s="26">
        <v>882964.29</v>
      </c>
      <c r="L2505" s="26">
        <v>8849.1299999999992</v>
      </c>
    </row>
    <row r="2506" spans="1:12" ht="16" customHeight="1">
      <c r="A2506" t="s">
        <v>433</v>
      </c>
      <c r="B2506" t="s">
        <v>3</v>
      </c>
      <c r="C2506" t="s">
        <v>42</v>
      </c>
      <c r="D2506" s="24">
        <v>46082</v>
      </c>
      <c r="E2506" t="s">
        <v>420</v>
      </c>
      <c r="F2506" t="s">
        <v>4</v>
      </c>
      <c r="G2506" t="s">
        <v>211</v>
      </c>
      <c r="H2506" t="s">
        <v>211</v>
      </c>
      <c r="I2506" t="s">
        <v>219</v>
      </c>
      <c r="J2506" s="25">
        <v>529770</v>
      </c>
      <c r="K2506" s="26">
        <v>82042.740000000005</v>
      </c>
      <c r="L2506" s="26">
        <v>1539.6</v>
      </c>
    </row>
    <row r="2507" spans="1:12" ht="16" customHeight="1">
      <c r="A2507" t="s">
        <v>433</v>
      </c>
      <c r="B2507" t="s">
        <v>3</v>
      </c>
      <c r="C2507" t="s">
        <v>42</v>
      </c>
      <c r="D2507" s="24">
        <v>46082</v>
      </c>
      <c r="E2507" t="s">
        <v>425</v>
      </c>
      <c r="F2507" t="s">
        <v>3</v>
      </c>
      <c r="G2507" t="s">
        <v>241</v>
      </c>
      <c r="H2507" t="s">
        <v>241</v>
      </c>
      <c r="I2507" t="s">
        <v>219</v>
      </c>
      <c r="J2507" s="25">
        <v>35027</v>
      </c>
      <c r="K2507" s="26">
        <v>5525.65</v>
      </c>
      <c r="L2507" s="26">
        <v>59.12</v>
      </c>
    </row>
    <row r="2508" spans="1:12" ht="16" customHeight="1">
      <c r="A2508" t="s">
        <v>433</v>
      </c>
      <c r="B2508" t="s">
        <v>3</v>
      </c>
      <c r="C2508" t="s">
        <v>42</v>
      </c>
      <c r="D2508" s="24">
        <v>46082</v>
      </c>
      <c r="E2508" t="s">
        <v>430</v>
      </c>
      <c r="F2508" t="s">
        <v>4</v>
      </c>
      <c r="G2508" t="s">
        <v>211</v>
      </c>
      <c r="H2508" t="s">
        <v>211</v>
      </c>
      <c r="I2508" t="s">
        <v>219</v>
      </c>
      <c r="J2508" s="25">
        <v>2944</v>
      </c>
      <c r="K2508" s="26">
        <v>462.51</v>
      </c>
      <c r="L2508" s="26">
        <v>5.97</v>
      </c>
    </row>
    <row r="2509" spans="1:12" ht="16" customHeight="1">
      <c r="A2509" t="s">
        <v>433</v>
      </c>
      <c r="B2509" t="s">
        <v>3</v>
      </c>
      <c r="C2509" t="s">
        <v>42</v>
      </c>
      <c r="D2509" s="24">
        <v>46082</v>
      </c>
      <c r="E2509" t="s">
        <v>387</v>
      </c>
      <c r="F2509" t="s">
        <v>4</v>
      </c>
      <c r="G2509" t="s">
        <v>217</v>
      </c>
      <c r="H2509" t="s">
        <v>217</v>
      </c>
      <c r="I2509" t="s">
        <v>219</v>
      </c>
      <c r="J2509" s="25">
        <v>797322</v>
      </c>
      <c r="K2509" s="26">
        <v>124229.74</v>
      </c>
      <c r="L2509" s="26">
        <v>2630.17</v>
      </c>
    </row>
    <row r="2510" spans="1:12" ht="16" customHeight="1">
      <c r="A2510" t="s">
        <v>433</v>
      </c>
      <c r="B2510" t="s">
        <v>3</v>
      </c>
      <c r="C2510" t="s">
        <v>42</v>
      </c>
      <c r="D2510" s="24">
        <v>46082</v>
      </c>
      <c r="E2510" t="s">
        <v>416</v>
      </c>
      <c r="F2510" t="s">
        <v>4</v>
      </c>
      <c r="G2510" t="s">
        <v>217</v>
      </c>
      <c r="H2510" t="s">
        <v>217</v>
      </c>
      <c r="I2510" t="s">
        <v>221</v>
      </c>
      <c r="J2510" s="25">
        <v>118646</v>
      </c>
      <c r="K2510" s="26">
        <v>18599.02</v>
      </c>
      <c r="L2510" s="26">
        <v>444.78</v>
      </c>
    </row>
    <row r="2511" spans="1:12" ht="16" customHeight="1">
      <c r="A2511" t="s">
        <v>433</v>
      </c>
      <c r="B2511" t="s">
        <v>3</v>
      </c>
      <c r="C2511" t="s">
        <v>42</v>
      </c>
      <c r="D2511" s="24">
        <v>46082</v>
      </c>
      <c r="E2511" t="s">
        <v>226</v>
      </c>
      <c r="F2511" t="s">
        <v>4</v>
      </c>
      <c r="G2511" t="s">
        <v>217</v>
      </c>
      <c r="H2511" t="s">
        <v>217</v>
      </c>
      <c r="I2511" t="s">
        <v>223</v>
      </c>
      <c r="J2511" s="25">
        <v>180629</v>
      </c>
      <c r="K2511" s="26">
        <v>27906.63</v>
      </c>
      <c r="L2511" s="26">
        <v>807.35</v>
      </c>
    </row>
    <row r="2512" spans="1:12" ht="16" customHeight="1">
      <c r="A2512" t="s">
        <v>433</v>
      </c>
      <c r="B2512" t="s">
        <v>3</v>
      </c>
      <c r="C2512" t="s">
        <v>42</v>
      </c>
      <c r="D2512" s="24">
        <v>46082</v>
      </c>
      <c r="E2512" t="s">
        <v>269</v>
      </c>
      <c r="F2512" t="s">
        <v>4</v>
      </c>
      <c r="G2512" t="s">
        <v>217</v>
      </c>
      <c r="H2512" t="s">
        <v>217</v>
      </c>
      <c r="I2512" t="s">
        <v>225</v>
      </c>
      <c r="J2512" s="25">
        <v>28159</v>
      </c>
      <c r="K2512" s="26">
        <v>4604.32</v>
      </c>
      <c r="L2512" s="26">
        <v>132.75</v>
      </c>
    </row>
    <row r="2513" spans="1:12" ht="16" customHeight="1">
      <c r="A2513" t="s">
        <v>433</v>
      </c>
      <c r="B2513" t="s">
        <v>3</v>
      </c>
      <c r="C2513" t="s">
        <v>42</v>
      </c>
      <c r="D2513" s="24">
        <v>46082</v>
      </c>
      <c r="E2513" t="s">
        <v>228</v>
      </c>
      <c r="F2513" t="s">
        <v>4</v>
      </c>
      <c r="G2513" t="s">
        <v>217</v>
      </c>
      <c r="H2513" t="s">
        <v>217</v>
      </c>
      <c r="I2513" t="s">
        <v>227</v>
      </c>
      <c r="J2513" s="25">
        <v>69595</v>
      </c>
      <c r="K2513" s="26">
        <v>11223.67</v>
      </c>
      <c r="L2513" s="26">
        <v>421.03</v>
      </c>
    </row>
    <row r="2514" spans="1:12" ht="16" customHeight="1">
      <c r="A2514" t="s">
        <v>433</v>
      </c>
      <c r="B2514" t="s">
        <v>3</v>
      </c>
      <c r="C2514" t="s">
        <v>42</v>
      </c>
      <c r="D2514" s="24">
        <v>46082</v>
      </c>
      <c r="E2514" t="s">
        <v>230</v>
      </c>
      <c r="F2514" t="s">
        <v>4</v>
      </c>
      <c r="G2514" t="s">
        <v>217</v>
      </c>
      <c r="H2514" t="s">
        <v>217</v>
      </c>
      <c r="I2514" t="s">
        <v>229</v>
      </c>
      <c r="J2514" s="25">
        <v>0</v>
      </c>
      <c r="K2514" s="26">
        <v>0</v>
      </c>
      <c r="L2514" s="26">
        <v>0</v>
      </c>
    </row>
    <row r="2515" spans="1:12" ht="16" customHeight="1">
      <c r="A2515" t="s">
        <v>433</v>
      </c>
      <c r="B2515" t="s">
        <v>3</v>
      </c>
      <c r="C2515" t="s">
        <v>42</v>
      </c>
      <c r="D2515" s="24">
        <v>46082</v>
      </c>
      <c r="E2515" t="s">
        <v>232</v>
      </c>
      <c r="F2515" t="s">
        <v>4</v>
      </c>
      <c r="G2515" t="s">
        <v>217</v>
      </c>
      <c r="H2515" t="s">
        <v>217</v>
      </c>
      <c r="I2515" t="s">
        <v>231</v>
      </c>
      <c r="J2515" s="25">
        <v>505</v>
      </c>
      <c r="K2515" s="26">
        <v>85.27</v>
      </c>
      <c r="L2515" s="26">
        <v>5.32</v>
      </c>
    </row>
    <row r="2516" spans="1:12" ht="16" customHeight="1">
      <c r="A2516" t="s">
        <v>433</v>
      </c>
      <c r="B2516" t="s">
        <v>3</v>
      </c>
      <c r="C2516" t="s">
        <v>42</v>
      </c>
      <c r="D2516" s="24">
        <v>46082</v>
      </c>
      <c r="E2516" t="s">
        <v>234</v>
      </c>
      <c r="F2516" t="s">
        <v>4</v>
      </c>
      <c r="G2516" t="s">
        <v>217</v>
      </c>
      <c r="H2516" t="s">
        <v>217</v>
      </c>
      <c r="I2516" t="s">
        <v>233</v>
      </c>
      <c r="J2516" s="25">
        <v>7</v>
      </c>
      <c r="K2516" s="26">
        <v>1.04</v>
      </c>
      <c r="L2516" s="26">
        <v>0.04</v>
      </c>
    </row>
    <row r="2517" spans="1:12" ht="16" customHeight="1">
      <c r="A2517" t="s">
        <v>433</v>
      </c>
      <c r="B2517" t="s">
        <v>3</v>
      </c>
      <c r="C2517" t="s">
        <v>42</v>
      </c>
      <c r="D2517" s="24">
        <v>46082</v>
      </c>
      <c r="E2517" t="s">
        <v>236</v>
      </c>
      <c r="F2517" t="s">
        <v>4</v>
      </c>
      <c r="G2517" t="s">
        <v>217</v>
      </c>
      <c r="H2517" t="s">
        <v>217</v>
      </c>
      <c r="I2517" t="s">
        <v>235</v>
      </c>
      <c r="J2517" s="25">
        <v>37</v>
      </c>
      <c r="K2517" s="26">
        <v>5.78</v>
      </c>
      <c r="L2517" s="26">
        <v>0.25</v>
      </c>
    </row>
    <row r="2518" spans="1:12" ht="16" customHeight="1">
      <c r="A2518" t="s">
        <v>433</v>
      </c>
      <c r="B2518" t="s">
        <v>3</v>
      </c>
      <c r="C2518" t="s">
        <v>42</v>
      </c>
      <c r="D2518" s="24">
        <v>46082</v>
      </c>
      <c r="E2518" t="s">
        <v>238</v>
      </c>
      <c r="F2518" t="s">
        <v>4</v>
      </c>
      <c r="G2518" t="s">
        <v>217</v>
      </c>
      <c r="H2518" t="s">
        <v>217</v>
      </c>
      <c r="I2518" t="s">
        <v>237</v>
      </c>
      <c r="J2518" s="25">
        <v>0</v>
      </c>
      <c r="K2518" s="26">
        <v>0</v>
      </c>
      <c r="L2518" s="26">
        <v>0</v>
      </c>
    </row>
    <row r="2519" spans="1:12" ht="16" customHeight="1">
      <c r="A2519" t="s">
        <v>433</v>
      </c>
      <c r="B2519" t="s">
        <v>3</v>
      </c>
      <c r="C2519" t="s">
        <v>42</v>
      </c>
      <c r="D2519" s="24">
        <v>46082</v>
      </c>
      <c r="E2519" t="s">
        <v>240</v>
      </c>
      <c r="F2519" t="s">
        <v>3</v>
      </c>
      <c r="G2519" t="s">
        <v>241</v>
      </c>
      <c r="H2519" t="s">
        <v>241</v>
      </c>
      <c r="I2519" t="s">
        <v>239</v>
      </c>
      <c r="J2519" s="25">
        <v>0</v>
      </c>
      <c r="K2519" s="26">
        <v>0</v>
      </c>
      <c r="L2519" s="26">
        <v>0</v>
      </c>
    </row>
    <row r="2520" spans="1:12" ht="16" customHeight="1">
      <c r="A2520" t="s">
        <v>433</v>
      </c>
      <c r="B2520" t="s">
        <v>3</v>
      </c>
      <c r="C2520" t="s">
        <v>42</v>
      </c>
      <c r="D2520" s="24">
        <v>46082</v>
      </c>
      <c r="E2520" t="s">
        <v>243</v>
      </c>
      <c r="F2520" t="s">
        <v>4</v>
      </c>
      <c r="G2520" t="s">
        <v>217</v>
      </c>
      <c r="H2520" t="s">
        <v>217</v>
      </c>
      <c r="I2520" t="s">
        <v>242</v>
      </c>
      <c r="J2520" s="25">
        <v>0</v>
      </c>
      <c r="K2520" s="26">
        <v>0</v>
      </c>
      <c r="L2520" s="26">
        <v>0</v>
      </c>
    </row>
    <row r="2521" spans="1:12" ht="16" customHeight="1">
      <c r="A2521" t="s">
        <v>433</v>
      </c>
      <c r="B2521" t="s">
        <v>3</v>
      </c>
      <c r="C2521" t="s">
        <v>42</v>
      </c>
      <c r="D2521" s="24">
        <v>46082</v>
      </c>
      <c r="E2521" t="s">
        <v>360</v>
      </c>
      <c r="F2521" t="s">
        <v>4</v>
      </c>
      <c r="G2521" t="s">
        <v>217</v>
      </c>
      <c r="H2521" t="s">
        <v>217</v>
      </c>
      <c r="I2521" t="s">
        <v>244</v>
      </c>
      <c r="J2521" s="25">
        <v>0</v>
      </c>
      <c r="K2521" s="26">
        <v>0</v>
      </c>
      <c r="L2521" s="26">
        <v>0</v>
      </c>
    </row>
    <row r="2522" spans="1:12" ht="16" customHeight="1">
      <c r="A2522" t="s">
        <v>411</v>
      </c>
      <c r="B2522" t="s">
        <v>4</v>
      </c>
      <c r="C2522" t="s">
        <v>42</v>
      </c>
      <c r="D2522" s="24">
        <v>46082</v>
      </c>
      <c r="E2522" t="s">
        <v>411</v>
      </c>
      <c r="F2522" t="s">
        <v>4</v>
      </c>
      <c r="G2522" t="s">
        <v>211</v>
      </c>
      <c r="H2522" t="s">
        <v>211</v>
      </c>
      <c r="I2522" t="s">
        <v>212</v>
      </c>
      <c r="J2522" s="25">
        <v>449887440</v>
      </c>
      <c r="K2522" s="26">
        <v>66970138.039999999</v>
      </c>
      <c r="L2522" s="26">
        <v>97871.19</v>
      </c>
    </row>
    <row r="2523" spans="1:12" ht="16" customHeight="1">
      <c r="A2523" t="s">
        <v>411</v>
      </c>
      <c r="B2523" t="s">
        <v>4</v>
      </c>
      <c r="C2523" t="s">
        <v>42</v>
      </c>
      <c r="D2523" s="24">
        <v>46082</v>
      </c>
      <c r="E2523" t="s">
        <v>357</v>
      </c>
      <c r="F2523" t="s">
        <v>3</v>
      </c>
      <c r="G2523" t="s">
        <v>358</v>
      </c>
      <c r="H2523" t="s">
        <v>434</v>
      </c>
      <c r="I2523" t="s">
        <v>212</v>
      </c>
      <c r="J2523" s="25">
        <v>12321123</v>
      </c>
      <c r="K2523" s="26">
        <v>1851460.35</v>
      </c>
      <c r="L2523" s="26">
        <v>13897.42</v>
      </c>
    </row>
    <row r="2524" spans="1:12" ht="16" customHeight="1">
      <c r="A2524" t="s">
        <v>411</v>
      </c>
      <c r="B2524" t="s">
        <v>4</v>
      </c>
      <c r="C2524" t="s">
        <v>42</v>
      </c>
      <c r="D2524" s="24">
        <v>46082</v>
      </c>
      <c r="E2524" t="s">
        <v>420</v>
      </c>
      <c r="F2524" t="s">
        <v>4</v>
      </c>
      <c r="G2524" t="s">
        <v>211</v>
      </c>
      <c r="H2524" t="s">
        <v>211</v>
      </c>
      <c r="I2524" t="s">
        <v>219</v>
      </c>
      <c r="J2524" s="25">
        <v>693099</v>
      </c>
      <c r="K2524" s="26">
        <v>106295.86</v>
      </c>
      <c r="L2524" s="26">
        <v>1231.1600000000001</v>
      </c>
    </row>
    <row r="2525" spans="1:12" ht="16" customHeight="1">
      <c r="A2525" t="s">
        <v>411</v>
      </c>
      <c r="B2525" t="s">
        <v>4</v>
      </c>
      <c r="C2525" t="s">
        <v>42</v>
      </c>
      <c r="D2525" s="24">
        <v>46082</v>
      </c>
      <c r="E2525" t="s">
        <v>425</v>
      </c>
      <c r="F2525" t="s">
        <v>3</v>
      </c>
      <c r="G2525" t="s">
        <v>241</v>
      </c>
      <c r="H2525" t="s">
        <v>241</v>
      </c>
      <c r="I2525" t="s">
        <v>219</v>
      </c>
      <c r="J2525" s="25">
        <v>45009</v>
      </c>
      <c r="K2525" s="26">
        <v>7091.96</v>
      </c>
      <c r="L2525" s="26">
        <v>85.46</v>
      </c>
    </row>
    <row r="2526" spans="1:12" ht="16" customHeight="1">
      <c r="A2526" t="s">
        <v>411</v>
      </c>
      <c r="B2526" t="s">
        <v>4</v>
      </c>
      <c r="C2526" t="s">
        <v>42</v>
      </c>
      <c r="D2526" s="24">
        <v>46082</v>
      </c>
      <c r="E2526" t="s">
        <v>430</v>
      </c>
      <c r="F2526" t="s">
        <v>4</v>
      </c>
      <c r="G2526" t="s">
        <v>211</v>
      </c>
      <c r="H2526" t="s">
        <v>211</v>
      </c>
      <c r="I2526" t="s">
        <v>219</v>
      </c>
      <c r="J2526" s="25">
        <v>2939</v>
      </c>
      <c r="K2526" s="26">
        <v>461.32</v>
      </c>
      <c r="L2526" s="26">
        <v>6.65</v>
      </c>
    </row>
    <row r="2527" spans="1:12" ht="16" customHeight="1">
      <c r="A2527" t="s">
        <v>411</v>
      </c>
      <c r="B2527" t="s">
        <v>4</v>
      </c>
      <c r="C2527" t="s">
        <v>42</v>
      </c>
      <c r="D2527" s="24">
        <v>46082</v>
      </c>
      <c r="E2527" t="s">
        <v>387</v>
      </c>
      <c r="F2527" t="s">
        <v>4</v>
      </c>
      <c r="G2527" t="s">
        <v>217</v>
      </c>
      <c r="H2527" t="s">
        <v>217</v>
      </c>
      <c r="I2527" t="s">
        <v>219</v>
      </c>
      <c r="J2527" s="25">
        <v>893752</v>
      </c>
      <c r="K2527" s="26">
        <v>139889.82999999999</v>
      </c>
      <c r="L2527" s="26">
        <v>2644.83</v>
      </c>
    </row>
    <row r="2528" spans="1:12" ht="16" customHeight="1">
      <c r="A2528" t="s">
        <v>411</v>
      </c>
      <c r="B2528" t="s">
        <v>4</v>
      </c>
      <c r="C2528" t="s">
        <v>42</v>
      </c>
      <c r="D2528" s="24">
        <v>46082</v>
      </c>
      <c r="E2528" t="s">
        <v>416</v>
      </c>
      <c r="F2528" t="s">
        <v>4</v>
      </c>
      <c r="G2528" t="s">
        <v>217</v>
      </c>
      <c r="H2528" t="s">
        <v>217</v>
      </c>
      <c r="I2528" t="s">
        <v>221</v>
      </c>
      <c r="J2528" s="25">
        <v>85835</v>
      </c>
      <c r="K2528" s="26">
        <v>13555.48</v>
      </c>
      <c r="L2528" s="26">
        <v>269.98</v>
      </c>
    </row>
    <row r="2529" spans="1:12" ht="16" customHeight="1">
      <c r="A2529" t="s">
        <v>411</v>
      </c>
      <c r="B2529" t="s">
        <v>4</v>
      </c>
      <c r="C2529" t="s">
        <v>42</v>
      </c>
      <c r="D2529" s="24">
        <v>46082</v>
      </c>
      <c r="E2529" t="s">
        <v>226</v>
      </c>
      <c r="F2529" t="s">
        <v>4</v>
      </c>
      <c r="G2529" t="s">
        <v>217</v>
      </c>
      <c r="H2529" t="s">
        <v>217</v>
      </c>
      <c r="I2529" t="s">
        <v>223</v>
      </c>
      <c r="J2529" s="25">
        <v>147734</v>
      </c>
      <c r="K2529" s="26">
        <v>23010.79</v>
      </c>
      <c r="L2529" s="26">
        <v>715.37</v>
      </c>
    </row>
    <row r="2530" spans="1:12" ht="16" customHeight="1">
      <c r="A2530" t="s">
        <v>411</v>
      </c>
      <c r="B2530" t="s">
        <v>4</v>
      </c>
      <c r="C2530" t="s">
        <v>42</v>
      </c>
      <c r="D2530" s="24">
        <v>46082</v>
      </c>
      <c r="E2530" t="s">
        <v>269</v>
      </c>
      <c r="F2530" t="s">
        <v>4</v>
      </c>
      <c r="G2530" t="s">
        <v>217</v>
      </c>
      <c r="H2530" t="s">
        <v>217</v>
      </c>
      <c r="I2530" t="s">
        <v>225</v>
      </c>
      <c r="J2530" s="25">
        <v>14165</v>
      </c>
      <c r="K2530" s="26">
        <v>2314.85</v>
      </c>
      <c r="L2530" s="26">
        <v>63.44</v>
      </c>
    </row>
    <row r="2531" spans="1:12" ht="16" customHeight="1">
      <c r="A2531" t="s">
        <v>411</v>
      </c>
      <c r="B2531" t="s">
        <v>4</v>
      </c>
      <c r="C2531" t="s">
        <v>42</v>
      </c>
      <c r="D2531" s="24">
        <v>46082</v>
      </c>
      <c r="E2531" t="s">
        <v>228</v>
      </c>
      <c r="F2531" t="s">
        <v>4</v>
      </c>
      <c r="G2531" t="s">
        <v>217</v>
      </c>
      <c r="H2531" t="s">
        <v>217</v>
      </c>
      <c r="I2531" t="s">
        <v>227</v>
      </c>
      <c r="J2531" s="25">
        <v>42691</v>
      </c>
      <c r="K2531" s="26">
        <v>6744.02</v>
      </c>
      <c r="L2531" s="26">
        <v>240.86</v>
      </c>
    </row>
    <row r="2532" spans="1:12" ht="16" customHeight="1">
      <c r="A2532" t="s">
        <v>411</v>
      </c>
      <c r="B2532" t="s">
        <v>4</v>
      </c>
      <c r="C2532" t="s">
        <v>42</v>
      </c>
      <c r="D2532" s="24">
        <v>46082</v>
      </c>
      <c r="E2532" t="s">
        <v>230</v>
      </c>
      <c r="F2532" t="s">
        <v>4</v>
      </c>
      <c r="G2532" t="s">
        <v>217</v>
      </c>
      <c r="H2532" t="s">
        <v>217</v>
      </c>
      <c r="I2532" t="s">
        <v>229</v>
      </c>
      <c r="J2532" s="25">
        <v>0</v>
      </c>
      <c r="K2532" s="26">
        <v>0</v>
      </c>
      <c r="L2532" s="26">
        <v>0</v>
      </c>
    </row>
    <row r="2533" spans="1:12" ht="16" customHeight="1">
      <c r="A2533" t="s">
        <v>411</v>
      </c>
      <c r="B2533" t="s">
        <v>4</v>
      </c>
      <c r="C2533" t="s">
        <v>42</v>
      </c>
      <c r="D2533" s="24">
        <v>46082</v>
      </c>
      <c r="E2533" t="s">
        <v>232</v>
      </c>
      <c r="F2533" t="s">
        <v>4</v>
      </c>
      <c r="G2533" t="s">
        <v>217</v>
      </c>
      <c r="H2533" t="s">
        <v>217</v>
      </c>
      <c r="I2533" t="s">
        <v>231</v>
      </c>
      <c r="J2533" s="25">
        <v>370</v>
      </c>
      <c r="K2533" s="26">
        <v>60.7</v>
      </c>
      <c r="L2533" s="26">
        <v>3.28</v>
      </c>
    </row>
    <row r="2534" spans="1:12" ht="16" customHeight="1">
      <c r="A2534" t="s">
        <v>411</v>
      </c>
      <c r="B2534" t="s">
        <v>4</v>
      </c>
      <c r="C2534" t="s">
        <v>42</v>
      </c>
      <c r="D2534" s="24">
        <v>46082</v>
      </c>
      <c r="E2534" t="s">
        <v>234</v>
      </c>
      <c r="F2534" t="s">
        <v>4</v>
      </c>
      <c r="G2534" t="s">
        <v>217</v>
      </c>
      <c r="H2534" t="s">
        <v>217</v>
      </c>
      <c r="I2534" t="s">
        <v>233</v>
      </c>
      <c r="J2534" s="25">
        <v>1</v>
      </c>
      <c r="K2534" s="26">
        <v>0.15</v>
      </c>
      <c r="L2534" s="26">
        <v>0.01</v>
      </c>
    </row>
    <row r="2535" spans="1:12" ht="16" customHeight="1">
      <c r="A2535" t="s">
        <v>411</v>
      </c>
      <c r="B2535" t="s">
        <v>4</v>
      </c>
      <c r="C2535" t="s">
        <v>42</v>
      </c>
      <c r="D2535" s="24">
        <v>46082</v>
      </c>
      <c r="E2535" t="s">
        <v>236</v>
      </c>
      <c r="F2535" t="s">
        <v>4</v>
      </c>
      <c r="G2535" t="s">
        <v>217</v>
      </c>
      <c r="H2535" t="s">
        <v>217</v>
      </c>
      <c r="I2535" t="s">
        <v>235</v>
      </c>
      <c r="J2535" s="25">
        <v>9</v>
      </c>
      <c r="K2535" s="26">
        <v>1.58</v>
      </c>
      <c r="L2535" s="26">
        <v>0.09</v>
      </c>
    </row>
    <row r="2536" spans="1:12" ht="16" customHeight="1">
      <c r="A2536" t="s">
        <v>411</v>
      </c>
      <c r="B2536" t="s">
        <v>4</v>
      </c>
      <c r="C2536" t="s">
        <v>42</v>
      </c>
      <c r="D2536" s="24">
        <v>46082</v>
      </c>
      <c r="E2536" t="s">
        <v>238</v>
      </c>
      <c r="F2536" t="s">
        <v>4</v>
      </c>
      <c r="G2536" t="s">
        <v>217</v>
      </c>
      <c r="H2536" t="s">
        <v>217</v>
      </c>
      <c r="I2536" t="s">
        <v>237</v>
      </c>
      <c r="J2536" s="25">
        <v>0</v>
      </c>
      <c r="K2536" s="26">
        <v>0</v>
      </c>
      <c r="L2536" s="26">
        <v>0</v>
      </c>
    </row>
    <row r="2537" spans="1:12" ht="16" customHeight="1">
      <c r="A2537" t="s">
        <v>411</v>
      </c>
      <c r="B2537" t="s">
        <v>4</v>
      </c>
      <c r="C2537" t="s">
        <v>42</v>
      </c>
      <c r="D2537" s="24">
        <v>46082</v>
      </c>
      <c r="E2537" t="s">
        <v>240</v>
      </c>
      <c r="F2537" t="s">
        <v>3</v>
      </c>
      <c r="G2537" t="s">
        <v>241</v>
      </c>
      <c r="H2537" t="s">
        <v>241</v>
      </c>
      <c r="I2537" t="s">
        <v>239</v>
      </c>
      <c r="J2537" s="25">
        <v>0</v>
      </c>
      <c r="K2537" s="26">
        <v>0</v>
      </c>
      <c r="L2537" s="26">
        <v>0</v>
      </c>
    </row>
    <row r="2538" spans="1:12" ht="16" customHeight="1">
      <c r="A2538" t="s">
        <v>411</v>
      </c>
      <c r="B2538" t="s">
        <v>4</v>
      </c>
      <c r="C2538" t="s">
        <v>42</v>
      </c>
      <c r="D2538" s="24">
        <v>46082</v>
      </c>
      <c r="E2538" t="s">
        <v>243</v>
      </c>
      <c r="F2538" t="s">
        <v>4</v>
      </c>
      <c r="G2538" t="s">
        <v>217</v>
      </c>
      <c r="H2538" t="s">
        <v>217</v>
      </c>
      <c r="I2538" t="s">
        <v>242</v>
      </c>
      <c r="J2538" s="25">
        <v>0</v>
      </c>
      <c r="K2538" s="26">
        <v>0</v>
      </c>
      <c r="L2538" s="26">
        <v>0</v>
      </c>
    </row>
    <row r="2539" spans="1:12" ht="16" customHeight="1">
      <c r="A2539" t="s">
        <v>411</v>
      </c>
      <c r="B2539" t="s">
        <v>4</v>
      </c>
      <c r="C2539" t="s">
        <v>42</v>
      </c>
      <c r="D2539" s="24">
        <v>46082</v>
      </c>
      <c r="E2539" t="s">
        <v>360</v>
      </c>
      <c r="F2539" t="s">
        <v>4</v>
      </c>
      <c r="G2539" t="s">
        <v>217</v>
      </c>
      <c r="H2539" t="s">
        <v>217</v>
      </c>
      <c r="I2539" t="s">
        <v>244</v>
      </c>
      <c r="J2539" s="25">
        <v>0</v>
      </c>
      <c r="K2539" s="26">
        <v>0</v>
      </c>
      <c r="L2539" s="26">
        <v>0</v>
      </c>
    </row>
    <row r="2540" spans="1:12" ht="16" customHeight="1">
      <c r="A2540" t="s">
        <v>435</v>
      </c>
      <c r="B2540" t="s">
        <v>5</v>
      </c>
      <c r="C2540" t="s">
        <v>42</v>
      </c>
      <c r="D2540" s="24">
        <v>46082</v>
      </c>
      <c r="E2540" t="s">
        <v>357</v>
      </c>
      <c r="F2540" t="s">
        <v>3</v>
      </c>
      <c r="G2540" t="s">
        <v>358</v>
      </c>
      <c r="H2540" t="s">
        <v>434</v>
      </c>
      <c r="I2540" t="s">
        <v>212</v>
      </c>
      <c r="J2540" s="25">
        <v>38576219</v>
      </c>
      <c r="K2540" s="26">
        <v>5882073.7699999996</v>
      </c>
      <c r="L2540" s="26">
        <v>38949.64</v>
      </c>
    </row>
    <row r="2541" spans="1:12" ht="16" customHeight="1">
      <c r="A2541" t="s">
        <v>435</v>
      </c>
      <c r="B2541" t="s">
        <v>5</v>
      </c>
      <c r="C2541" t="s">
        <v>42</v>
      </c>
      <c r="D2541" s="24">
        <v>46082</v>
      </c>
      <c r="E2541" t="s">
        <v>420</v>
      </c>
      <c r="F2541" t="s">
        <v>4</v>
      </c>
      <c r="G2541" t="s">
        <v>211</v>
      </c>
      <c r="H2541" t="s">
        <v>211</v>
      </c>
      <c r="I2541" t="s">
        <v>219</v>
      </c>
      <c r="J2541" s="25">
        <v>1416084</v>
      </c>
      <c r="K2541" s="26">
        <v>218360.55</v>
      </c>
      <c r="L2541" s="26">
        <v>2292.4699999999998</v>
      </c>
    </row>
    <row r="2542" spans="1:12" ht="16" customHeight="1">
      <c r="A2542" t="s">
        <v>435</v>
      </c>
      <c r="B2542" t="s">
        <v>5</v>
      </c>
      <c r="C2542" t="s">
        <v>42</v>
      </c>
      <c r="D2542" s="24">
        <v>46082</v>
      </c>
      <c r="E2542" t="s">
        <v>425</v>
      </c>
      <c r="F2542" t="s">
        <v>3</v>
      </c>
      <c r="G2542" t="s">
        <v>241</v>
      </c>
      <c r="H2542" t="s">
        <v>241</v>
      </c>
      <c r="I2542" t="s">
        <v>219</v>
      </c>
      <c r="J2542" s="25">
        <v>80591</v>
      </c>
      <c r="K2542" s="26">
        <v>12644.13</v>
      </c>
      <c r="L2542" s="26">
        <v>161.57</v>
      </c>
    </row>
    <row r="2543" spans="1:12" ht="16" customHeight="1">
      <c r="A2543" t="s">
        <v>435</v>
      </c>
      <c r="B2543" t="s">
        <v>5</v>
      </c>
      <c r="C2543" t="s">
        <v>42</v>
      </c>
      <c r="D2543" s="24">
        <v>46082</v>
      </c>
      <c r="E2543" t="s">
        <v>430</v>
      </c>
      <c r="F2543" t="s">
        <v>4</v>
      </c>
      <c r="G2543" t="s">
        <v>211</v>
      </c>
      <c r="H2543" t="s">
        <v>211</v>
      </c>
      <c r="I2543" t="s">
        <v>219</v>
      </c>
      <c r="J2543" s="25">
        <v>10545</v>
      </c>
      <c r="K2543" s="26">
        <v>1645.31</v>
      </c>
      <c r="L2543" s="26">
        <v>31.81</v>
      </c>
    </row>
    <row r="2544" spans="1:12" ht="16" customHeight="1">
      <c r="A2544" t="s">
        <v>435</v>
      </c>
      <c r="B2544" t="s">
        <v>5</v>
      </c>
      <c r="C2544" t="s">
        <v>42</v>
      </c>
      <c r="D2544" s="24">
        <v>46082</v>
      </c>
      <c r="E2544" t="s">
        <v>387</v>
      </c>
      <c r="F2544" t="s">
        <v>4</v>
      </c>
      <c r="G2544" t="s">
        <v>217</v>
      </c>
      <c r="H2544" t="s">
        <v>217</v>
      </c>
      <c r="I2544" t="s">
        <v>219</v>
      </c>
      <c r="J2544" s="25">
        <v>954300</v>
      </c>
      <c r="K2544" s="26">
        <v>150228.74</v>
      </c>
      <c r="L2544" s="26">
        <v>2619.04</v>
      </c>
    </row>
    <row r="2545" spans="1:12" ht="16" customHeight="1">
      <c r="A2545" t="s">
        <v>435</v>
      </c>
      <c r="B2545" t="s">
        <v>5</v>
      </c>
      <c r="C2545" t="s">
        <v>42</v>
      </c>
      <c r="D2545" s="24">
        <v>46082</v>
      </c>
      <c r="E2545" t="s">
        <v>436</v>
      </c>
      <c r="F2545" t="s">
        <v>4</v>
      </c>
      <c r="G2545" t="s">
        <v>211</v>
      </c>
      <c r="H2545" t="s">
        <v>211</v>
      </c>
      <c r="I2545" t="s">
        <v>221</v>
      </c>
      <c r="J2545" s="25">
        <v>20</v>
      </c>
      <c r="K2545" s="26">
        <v>3.16</v>
      </c>
      <c r="L2545" s="26">
        <v>0.09</v>
      </c>
    </row>
    <row r="2546" spans="1:12" ht="16" customHeight="1">
      <c r="A2546" t="s">
        <v>435</v>
      </c>
      <c r="B2546" t="s">
        <v>5</v>
      </c>
      <c r="C2546" t="s">
        <v>42</v>
      </c>
      <c r="D2546" s="24">
        <v>46082</v>
      </c>
      <c r="E2546" t="s">
        <v>416</v>
      </c>
      <c r="F2546" t="s">
        <v>4</v>
      </c>
      <c r="G2546" t="s">
        <v>217</v>
      </c>
      <c r="H2546" t="s">
        <v>217</v>
      </c>
      <c r="I2546" t="s">
        <v>221</v>
      </c>
      <c r="J2546" s="25">
        <v>108189</v>
      </c>
      <c r="K2546" s="26">
        <v>17282.64</v>
      </c>
      <c r="L2546" s="26">
        <v>363.79</v>
      </c>
    </row>
    <row r="2547" spans="1:12" ht="16" customHeight="1">
      <c r="A2547" t="s">
        <v>435</v>
      </c>
      <c r="B2547" t="s">
        <v>5</v>
      </c>
      <c r="C2547" t="s">
        <v>42</v>
      </c>
      <c r="D2547" s="24">
        <v>46082</v>
      </c>
      <c r="E2547" t="s">
        <v>226</v>
      </c>
      <c r="F2547" t="s">
        <v>4</v>
      </c>
      <c r="G2547" t="s">
        <v>217</v>
      </c>
      <c r="H2547" t="s">
        <v>217</v>
      </c>
      <c r="I2547" t="s">
        <v>223</v>
      </c>
      <c r="J2547" s="25">
        <v>145380</v>
      </c>
      <c r="K2547" s="26">
        <v>23028.5</v>
      </c>
      <c r="L2547" s="26">
        <v>656.07</v>
      </c>
    </row>
    <row r="2548" spans="1:12" ht="16" customHeight="1">
      <c r="A2548" t="s">
        <v>435</v>
      </c>
      <c r="B2548" t="s">
        <v>5</v>
      </c>
      <c r="C2548" t="s">
        <v>42</v>
      </c>
      <c r="D2548" s="24">
        <v>46082</v>
      </c>
      <c r="E2548" t="s">
        <v>269</v>
      </c>
      <c r="F2548" t="s">
        <v>4</v>
      </c>
      <c r="G2548" t="s">
        <v>217</v>
      </c>
      <c r="H2548" t="s">
        <v>217</v>
      </c>
      <c r="I2548" t="s">
        <v>225</v>
      </c>
      <c r="J2548" s="25">
        <v>13909</v>
      </c>
      <c r="K2548" s="26">
        <v>2312.8200000000002</v>
      </c>
      <c r="L2548" s="26">
        <v>61.6</v>
      </c>
    </row>
    <row r="2549" spans="1:12" ht="16" customHeight="1">
      <c r="A2549" t="s">
        <v>435</v>
      </c>
      <c r="B2549" t="s">
        <v>5</v>
      </c>
      <c r="C2549" t="s">
        <v>42</v>
      </c>
      <c r="D2549" s="24">
        <v>46082</v>
      </c>
      <c r="E2549" t="s">
        <v>228</v>
      </c>
      <c r="F2549" t="s">
        <v>4</v>
      </c>
      <c r="G2549" t="s">
        <v>217</v>
      </c>
      <c r="H2549" t="s">
        <v>217</v>
      </c>
      <c r="I2549" t="s">
        <v>227</v>
      </c>
      <c r="J2549" s="25">
        <v>45436</v>
      </c>
      <c r="K2549" s="26">
        <v>7321.97</v>
      </c>
      <c r="L2549" s="26">
        <v>215.42</v>
      </c>
    </row>
    <row r="2550" spans="1:12" ht="16" customHeight="1">
      <c r="A2550" t="s">
        <v>435</v>
      </c>
      <c r="B2550" t="s">
        <v>5</v>
      </c>
      <c r="C2550" t="s">
        <v>42</v>
      </c>
      <c r="D2550" s="24">
        <v>46082</v>
      </c>
      <c r="E2550" t="s">
        <v>230</v>
      </c>
      <c r="F2550" t="s">
        <v>4</v>
      </c>
      <c r="G2550" t="s">
        <v>217</v>
      </c>
      <c r="H2550" t="s">
        <v>217</v>
      </c>
      <c r="I2550" t="s">
        <v>229</v>
      </c>
      <c r="J2550" s="25">
        <v>0</v>
      </c>
      <c r="K2550" s="26">
        <v>0</v>
      </c>
      <c r="L2550" s="26">
        <v>0</v>
      </c>
    </row>
    <row r="2551" spans="1:12" ht="16" customHeight="1">
      <c r="A2551" t="s">
        <v>435</v>
      </c>
      <c r="B2551" t="s">
        <v>5</v>
      </c>
      <c r="C2551" t="s">
        <v>42</v>
      </c>
      <c r="D2551" s="24">
        <v>46082</v>
      </c>
      <c r="E2551" t="s">
        <v>232</v>
      </c>
      <c r="F2551" t="s">
        <v>4</v>
      </c>
      <c r="G2551" t="s">
        <v>217</v>
      </c>
      <c r="H2551" t="s">
        <v>217</v>
      </c>
      <c r="I2551" t="s">
        <v>231</v>
      </c>
      <c r="J2551" s="25">
        <v>364</v>
      </c>
      <c r="K2551" s="26">
        <v>58.45</v>
      </c>
      <c r="L2551" s="26">
        <v>2.99</v>
      </c>
    </row>
    <row r="2552" spans="1:12" ht="16" customHeight="1">
      <c r="A2552" t="s">
        <v>435</v>
      </c>
      <c r="B2552" t="s">
        <v>5</v>
      </c>
      <c r="C2552" t="s">
        <v>42</v>
      </c>
      <c r="D2552" s="24">
        <v>46082</v>
      </c>
      <c r="E2552" t="s">
        <v>234</v>
      </c>
      <c r="F2552" t="s">
        <v>4</v>
      </c>
      <c r="G2552" t="s">
        <v>217</v>
      </c>
      <c r="H2552" t="s">
        <v>217</v>
      </c>
      <c r="I2552" t="s">
        <v>233</v>
      </c>
      <c r="J2552" s="25">
        <v>3</v>
      </c>
      <c r="K2552" s="26">
        <v>0.44</v>
      </c>
      <c r="L2552" s="26">
        <v>0.01</v>
      </c>
    </row>
    <row r="2553" spans="1:12" ht="16" customHeight="1">
      <c r="A2553" t="s">
        <v>435</v>
      </c>
      <c r="B2553" t="s">
        <v>5</v>
      </c>
      <c r="C2553" t="s">
        <v>42</v>
      </c>
      <c r="D2553" s="24">
        <v>46082</v>
      </c>
      <c r="E2553" t="s">
        <v>236</v>
      </c>
      <c r="F2553" t="s">
        <v>4</v>
      </c>
      <c r="G2553" t="s">
        <v>217</v>
      </c>
      <c r="H2553" t="s">
        <v>217</v>
      </c>
      <c r="I2553" t="s">
        <v>235</v>
      </c>
      <c r="J2553" s="25">
        <v>4</v>
      </c>
      <c r="K2553" s="26">
        <v>0.67</v>
      </c>
      <c r="L2553" s="26">
        <v>0.04</v>
      </c>
    </row>
    <row r="2554" spans="1:12" ht="16" customHeight="1">
      <c r="A2554" t="s">
        <v>435</v>
      </c>
      <c r="B2554" t="s">
        <v>5</v>
      </c>
      <c r="C2554" t="s">
        <v>42</v>
      </c>
      <c r="D2554" s="24">
        <v>46082</v>
      </c>
      <c r="E2554" t="s">
        <v>238</v>
      </c>
      <c r="F2554" t="s">
        <v>4</v>
      </c>
      <c r="G2554" t="s">
        <v>217</v>
      </c>
      <c r="H2554" t="s">
        <v>217</v>
      </c>
      <c r="I2554" t="s">
        <v>237</v>
      </c>
      <c r="J2554" s="25">
        <v>0</v>
      </c>
      <c r="K2554" s="26">
        <v>0</v>
      </c>
      <c r="L2554" s="26">
        <v>0</v>
      </c>
    </row>
    <row r="2555" spans="1:12" ht="16" customHeight="1">
      <c r="A2555" t="s">
        <v>435</v>
      </c>
      <c r="B2555" t="s">
        <v>5</v>
      </c>
      <c r="C2555" t="s">
        <v>42</v>
      </c>
      <c r="D2555" s="24">
        <v>46082</v>
      </c>
      <c r="E2555" t="s">
        <v>240</v>
      </c>
      <c r="F2555" t="s">
        <v>3</v>
      </c>
      <c r="G2555" t="s">
        <v>241</v>
      </c>
      <c r="H2555" t="s">
        <v>241</v>
      </c>
      <c r="I2555" t="s">
        <v>239</v>
      </c>
      <c r="J2555" s="25">
        <v>0</v>
      </c>
      <c r="K2555" s="26">
        <v>0</v>
      </c>
      <c r="L2555" s="26">
        <v>0</v>
      </c>
    </row>
    <row r="2556" spans="1:12" ht="16" customHeight="1">
      <c r="A2556" t="s">
        <v>435</v>
      </c>
      <c r="B2556" t="s">
        <v>5</v>
      </c>
      <c r="C2556" t="s">
        <v>42</v>
      </c>
      <c r="D2556" s="24">
        <v>46082</v>
      </c>
      <c r="E2556" t="s">
        <v>243</v>
      </c>
      <c r="F2556" t="s">
        <v>4</v>
      </c>
      <c r="G2556" t="s">
        <v>217</v>
      </c>
      <c r="H2556" t="s">
        <v>217</v>
      </c>
      <c r="I2556" t="s">
        <v>242</v>
      </c>
      <c r="J2556" s="25">
        <v>0</v>
      </c>
      <c r="K2556" s="26">
        <v>0</v>
      </c>
      <c r="L2556" s="26">
        <v>0</v>
      </c>
    </row>
    <row r="2557" spans="1:12" ht="16" customHeight="1">
      <c r="A2557" t="s">
        <v>435</v>
      </c>
      <c r="B2557" t="s">
        <v>5</v>
      </c>
      <c r="C2557" t="s">
        <v>42</v>
      </c>
      <c r="D2557" s="24">
        <v>46082</v>
      </c>
      <c r="E2557" t="s">
        <v>360</v>
      </c>
      <c r="F2557" t="s">
        <v>4</v>
      </c>
      <c r="G2557" t="s">
        <v>217</v>
      </c>
      <c r="H2557" t="s">
        <v>217</v>
      </c>
      <c r="I2557" t="s">
        <v>244</v>
      </c>
      <c r="J2557" s="25">
        <v>0</v>
      </c>
      <c r="K2557" s="26">
        <v>0</v>
      </c>
      <c r="L2557" s="26">
        <v>0</v>
      </c>
    </row>
    <row r="2558" spans="1:12" ht="16" customHeight="1">
      <c r="A2558" t="s">
        <v>437</v>
      </c>
      <c r="B2558" t="s">
        <v>7</v>
      </c>
      <c r="C2558" t="s">
        <v>42</v>
      </c>
      <c r="D2558" s="24">
        <v>46082</v>
      </c>
      <c r="E2558" t="s">
        <v>357</v>
      </c>
      <c r="F2558" t="s">
        <v>3</v>
      </c>
      <c r="G2558" t="s">
        <v>358</v>
      </c>
      <c r="H2558" t="s">
        <v>434</v>
      </c>
      <c r="I2558" t="s">
        <v>212</v>
      </c>
      <c r="J2558" s="25">
        <v>78247656</v>
      </c>
      <c r="K2558" s="26">
        <v>11734263.35</v>
      </c>
      <c r="L2558" s="26">
        <v>62392.61</v>
      </c>
    </row>
    <row r="2559" spans="1:12" ht="16" customHeight="1">
      <c r="A2559" t="s">
        <v>437</v>
      </c>
      <c r="B2559" t="s">
        <v>7</v>
      </c>
      <c r="C2559" t="s">
        <v>42</v>
      </c>
      <c r="D2559" s="24">
        <v>46082</v>
      </c>
      <c r="E2559" t="s">
        <v>420</v>
      </c>
      <c r="F2559" t="s">
        <v>4</v>
      </c>
      <c r="G2559" t="s">
        <v>211</v>
      </c>
      <c r="H2559" t="s">
        <v>211</v>
      </c>
      <c r="I2559" t="s">
        <v>219</v>
      </c>
      <c r="J2559" s="25">
        <v>2511092</v>
      </c>
      <c r="K2559" s="26">
        <v>384381.82</v>
      </c>
      <c r="L2559" s="26">
        <v>4237.38</v>
      </c>
    </row>
    <row r="2560" spans="1:12" ht="16" customHeight="1">
      <c r="A2560" t="s">
        <v>437</v>
      </c>
      <c r="B2560" t="s">
        <v>7</v>
      </c>
      <c r="C2560" t="s">
        <v>42</v>
      </c>
      <c r="D2560" s="24">
        <v>46082</v>
      </c>
      <c r="E2560" t="s">
        <v>425</v>
      </c>
      <c r="F2560" t="s">
        <v>3</v>
      </c>
      <c r="G2560" t="s">
        <v>241</v>
      </c>
      <c r="H2560" t="s">
        <v>241</v>
      </c>
      <c r="I2560" t="s">
        <v>219</v>
      </c>
      <c r="J2560" s="25">
        <v>115937</v>
      </c>
      <c r="K2560" s="26">
        <v>18087.07</v>
      </c>
      <c r="L2560" s="26">
        <v>270.45999999999998</v>
      </c>
    </row>
    <row r="2561" spans="1:12" ht="16" customHeight="1">
      <c r="A2561" t="s">
        <v>437</v>
      </c>
      <c r="B2561" t="s">
        <v>7</v>
      </c>
      <c r="C2561" t="s">
        <v>42</v>
      </c>
      <c r="D2561" s="24">
        <v>46082</v>
      </c>
      <c r="E2561" t="s">
        <v>430</v>
      </c>
      <c r="F2561" t="s">
        <v>4</v>
      </c>
      <c r="G2561" t="s">
        <v>211</v>
      </c>
      <c r="H2561" t="s">
        <v>211</v>
      </c>
      <c r="I2561" t="s">
        <v>219</v>
      </c>
      <c r="J2561" s="25">
        <v>20765</v>
      </c>
      <c r="K2561" s="26">
        <v>3206.85</v>
      </c>
      <c r="L2561" s="26">
        <v>75.239999999999995</v>
      </c>
    </row>
    <row r="2562" spans="1:12" ht="16" customHeight="1">
      <c r="A2562" t="s">
        <v>437</v>
      </c>
      <c r="B2562" t="s">
        <v>7</v>
      </c>
      <c r="C2562" t="s">
        <v>42</v>
      </c>
      <c r="D2562" s="24">
        <v>46082</v>
      </c>
      <c r="E2562" t="s">
        <v>387</v>
      </c>
      <c r="F2562" t="s">
        <v>4</v>
      </c>
      <c r="G2562" t="s">
        <v>217</v>
      </c>
      <c r="H2562" t="s">
        <v>217</v>
      </c>
      <c r="I2562" t="s">
        <v>219</v>
      </c>
      <c r="J2562" s="25">
        <v>1006775</v>
      </c>
      <c r="K2562" s="26">
        <v>158291.57999999999</v>
      </c>
      <c r="L2562" s="26">
        <v>3915.02</v>
      </c>
    </row>
    <row r="2563" spans="1:12" ht="16" customHeight="1">
      <c r="A2563" t="s">
        <v>437</v>
      </c>
      <c r="B2563" t="s">
        <v>7</v>
      </c>
      <c r="C2563" t="s">
        <v>42</v>
      </c>
      <c r="D2563" s="24">
        <v>46082</v>
      </c>
      <c r="E2563" t="s">
        <v>436</v>
      </c>
      <c r="F2563" t="s">
        <v>4</v>
      </c>
      <c r="G2563" t="s">
        <v>211</v>
      </c>
      <c r="H2563" t="s">
        <v>211</v>
      </c>
      <c r="I2563" t="s">
        <v>221</v>
      </c>
      <c r="J2563" s="25">
        <v>26</v>
      </c>
      <c r="K2563" s="26">
        <v>4.0999999999999996</v>
      </c>
      <c r="L2563" s="26">
        <v>0.12</v>
      </c>
    </row>
    <row r="2564" spans="1:12" ht="16" customHeight="1">
      <c r="A2564" t="s">
        <v>437</v>
      </c>
      <c r="B2564" t="s">
        <v>7</v>
      </c>
      <c r="C2564" t="s">
        <v>42</v>
      </c>
      <c r="D2564" s="24">
        <v>46082</v>
      </c>
      <c r="E2564" t="s">
        <v>416</v>
      </c>
      <c r="F2564" t="s">
        <v>4</v>
      </c>
      <c r="G2564" t="s">
        <v>217</v>
      </c>
      <c r="H2564" t="s">
        <v>217</v>
      </c>
      <c r="I2564" t="s">
        <v>221</v>
      </c>
      <c r="J2564" s="25">
        <v>90091</v>
      </c>
      <c r="K2564" s="26">
        <v>14294.37</v>
      </c>
      <c r="L2564" s="26">
        <v>281.02</v>
      </c>
    </row>
    <row r="2565" spans="1:12" ht="16" customHeight="1">
      <c r="A2565" t="s">
        <v>437</v>
      </c>
      <c r="B2565" t="s">
        <v>7</v>
      </c>
      <c r="C2565" t="s">
        <v>42</v>
      </c>
      <c r="D2565" s="24">
        <v>46082</v>
      </c>
      <c r="E2565" t="s">
        <v>226</v>
      </c>
      <c r="F2565" t="s">
        <v>4</v>
      </c>
      <c r="G2565" t="s">
        <v>217</v>
      </c>
      <c r="H2565" t="s">
        <v>217</v>
      </c>
      <c r="I2565" t="s">
        <v>223</v>
      </c>
      <c r="J2565" s="25">
        <v>154867</v>
      </c>
      <c r="K2565" s="26">
        <v>24435.53</v>
      </c>
      <c r="L2565" s="26">
        <v>911.43</v>
      </c>
    </row>
    <row r="2566" spans="1:12" ht="16" customHeight="1">
      <c r="A2566" t="s">
        <v>437</v>
      </c>
      <c r="B2566" t="s">
        <v>7</v>
      </c>
      <c r="C2566" t="s">
        <v>42</v>
      </c>
      <c r="D2566" s="24">
        <v>46082</v>
      </c>
      <c r="E2566" t="s">
        <v>269</v>
      </c>
      <c r="F2566" t="s">
        <v>4</v>
      </c>
      <c r="G2566" t="s">
        <v>217</v>
      </c>
      <c r="H2566" t="s">
        <v>217</v>
      </c>
      <c r="I2566" t="s">
        <v>225</v>
      </c>
      <c r="J2566" s="25">
        <v>17714</v>
      </c>
      <c r="K2566" s="26">
        <v>2914.07</v>
      </c>
      <c r="L2566" s="26">
        <v>66.260000000000005</v>
      </c>
    </row>
    <row r="2567" spans="1:12" ht="16" customHeight="1">
      <c r="A2567" t="s">
        <v>437</v>
      </c>
      <c r="B2567" t="s">
        <v>7</v>
      </c>
      <c r="C2567" t="s">
        <v>42</v>
      </c>
      <c r="D2567" s="24">
        <v>46082</v>
      </c>
      <c r="E2567" t="s">
        <v>228</v>
      </c>
      <c r="F2567" t="s">
        <v>4</v>
      </c>
      <c r="G2567" t="s">
        <v>217</v>
      </c>
      <c r="H2567" t="s">
        <v>217</v>
      </c>
      <c r="I2567" t="s">
        <v>227</v>
      </c>
      <c r="J2567" s="25">
        <v>41602</v>
      </c>
      <c r="K2567" s="26">
        <v>6712.48</v>
      </c>
      <c r="L2567" s="26">
        <v>218.68</v>
      </c>
    </row>
    <row r="2568" spans="1:12" ht="16" customHeight="1">
      <c r="A2568" t="s">
        <v>437</v>
      </c>
      <c r="B2568" t="s">
        <v>7</v>
      </c>
      <c r="C2568" t="s">
        <v>42</v>
      </c>
      <c r="D2568" s="24">
        <v>46082</v>
      </c>
      <c r="E2568" t="s">
        <v>230</v>
      </c>
      <c r="F2568" t="s">
        <v>4</v>
      </c>
      <c r="G2568" t="s">
        <v>217</v>
      </c>
      <c r="H2568" t="s">
        <v>217</v>
      </c>
      <c r="I2568" t="s">
        <v>229</v>
      </c>
      <c r="J2568" s="25">
        <v>2</v>
      </c>
      <c r="K2568" s="26">
        <v>0.28000000000000003</v>
      </c>
      <c r="L2568" s="26">
        <v>0.01</v>
      </c>
    </row>
    <row r="2569" spans="1:12" ht="16" customHeight="1">
      <c r="A2569" t="s">
        <v>437</v>
      </c>
      <c r="B2569" t="s">
        <v>7</v>
      </c>
      <c r="C2569" t="s">
        <v>42</v>
      </c>
      <c r="D2569" s="24">
        <v>46082</v>
      </c>
      <c r="E2569" t="s">
        <v>232</v>
      </c>
      <c r="F2569" t="s">
        <v>4</v>
      </c>
      <c r="G2569" t="s">
        <v>217</v>
      </c>
      <c r="H2569" t="s">
        <v>217</v>
      </c>
      <c r="I2569" t="s">
        <v>231</v>
      </c>
      <c r="J2569" s="25">
        <v>319</v>
      </c>
      <c r="K2569" s="26">
        <v>51.56</v>
      </c>
      <c r="L2569" s="26">
        <v>2.89</v>
      </c>
    </row>
    <row r="2570" spans="1:12" ht="16" customHeight="1">
      <c r="A2570" t="s">
        <v>437</v>
      </c>
      <c r="B2570" t="s">
        <v>7</v>
      </c>
      <c r="C2570" t="s">
        <v>42</v>
      </c>
      <c r="D2570" s="24">
        <v>46082</v>
      </c>
      <c r="E2570" t="s">
        <v>234</v>
      </c>
      <c r="F2570" t="s">
        <v>4</v>
      </c>
      <c r="G2570" t="s">
        <v>217</v>
      </c>
      <c r="H2570" t="s">
        <v>217</v>
      </c>
      <c r="I2570" t="s">
        <v>233</v>
      </c>
      <c r="J2570" s="25">
        <v>0</v>
      </c>
      <c r="K2570" s="26">
        <v>0</v>
      </c>
      <c r="L2570" s="26">
        <v>0</v>
      </c>
    </row>
    <row r="2571" spans="1:12" ht="16" customHeight="1">
      <c r="A2571" t="s">
        <v>437</v>
      </c>
      <c r="B2571" t="s">
        <v>7</v>
      </c>
      <c r="C2571" t="s">
        <v>42</v>
      </c>
      <c r="D2571" s="24">
        <v>46082</v>
      </c>
      <c r="E2571" t="s">
        <v>236</v>
      </c>
      <c r="F2571" t="s">
        <v>4</v>
      </c>
      <c r="G2571" t="s">
        <v>217</v>
      </c>
      <c r="H2571" t="s">
        <v>217</v>
      </c>
      <c r="I2571" t="s">
        <v>235</v>
      </c>
      <c r="J2571" s="25">
        <v>13</v>
      </c>
      <c r="K2571" s="26">
        <v>2.08</v>
      </c>
      <c r="L2571" s="26">
        <v>0.11</v>
      </c>
    </row>
    <row r="2572" spans="1:12" ht="16" customHeight="1">
      <c r="A2572" t="s">
        <v>437</v>
      </c>
      <c r="B2572" t="s">
        <v>7</v>
      </c>
      <c r="C2572" t="s">
        <v>42</v>
      </c>
      <c r="D2572" s="24">
        <v>46082</v>
      </c>
      <c r="E2572" t="s">
        <v>238</v>
      </c>
      <c r="F2572" t="s">
        <v>4</v>
      </c>
      <c r="G2572" t="s">
        <v>217</v>
      </c>
      <c r="H2572" t="s">
        <v>217</v>
      </c>
      <c r="I2572" t="s">
        <v>237</v>
      </c>
      <c r="J2572" s="25">
        <v>0</v>
      </c>
      <c r="K2572" s="26">
        <v>0</v>
      </c>
      <c r="L2572" s="26">
        <v>0</v>
      </c>
    </row>
    <row r="2573" spans="1:12" ht="16" customHeight="1">
      <c r="A2573" t="s">
        <v>437</v>
      </c>
      <c r="B2573" t="s">
        <v>7</v>
      </c>
      <c r="C2573" t="s">
        <v>42</v>
      </c>
      <c r="D2573" s="24">
        <v>46082</v>
      </c>
      <c r="E2573" t="s">
        <v>240</v>
      </c>
      <c r="F2573" t="s">
        <v>3</v>
      </c>
      <c r="G2573" t="s">
        <v>241</v>
      </c>
      <c r="H2573" t="s">
        <v>241</v>
      </c>
      <c r="I2573" t="s">
        <v>239</v>
      </c>
      <c r="J2573" s="25">
        <v>0</v>
      </c>
      <c r="K2573" s="26">
        <v>0</v>
      </c>
      <c r="L2573" s="26">
        <v>0</v>
      </c>
    </row>
    <row r="2574" spans="1:12" ht="16" customHeight="1">
      <c r="A2574" t="s">
        <v>437</v>
      </c>
      <c r="B2574" t="s">
        <v>7</v>
      </c>
      <c r="C2574" t="s">
        <v>42</v>
      </c>
      <c r="D2574" s="24">
        <v>46082</v>
      </c>
      <c r="E2574" t="s">
        <v>243</v>
      </c>
      <c r="F2574" t="s">
        <v>4</v>
      </c>
      <c r="G2574" t="s">
        <v>217</v>
      </c>
      <c r="H2574" t="s">
        <v>217</v>
      </c>
      <c r="I2574" t="s">
        <v>242</v>
      </c>
      <c r="J2574" s="25">
        <v>0</v>
      </c>
      <c r="K2574" s="26">
        <v>0</v>
      </c>
      <c r="L2574" s="26">
        <v>0</v>
      </c>
    </row>
    <row r="2575" spans="1:12" ht="16" customHeight="1">
      <c r="A2575" t="s">
        <v>437</v>
      </c>
      <c r="B2575" t="s">
        <v>7</v>
      </c>
      <c r="C2575" t="s">
        <v>42</v>
      </c>
      <c r="D2575" s="24">
        <v>46082</v>
      </c>
      <c r="E2575" t="s">
        <v>360</v>
      </c>
      <c r="F2575" t="s">
        <v>4</v>
      </c>
      <c r="G2575" t="s">
        <v>217</v>
      </c>
      <c r="H2575" t="s">
        <v>217</v>
      </c>
      <c r="I2575" t="s">
        <v>244</v>
      </c>
      <c r="J2575" s="25">
        <v>0</v>
      </c>
      <c r="K2575" s="26">
        <v>0</v>
      </c>
      <c r="L2575" s="26">
        <v>0</v>
      </c>
    </row>
    <row r="2576" spans="1:12" ht="16" customHeight="1">
      <c r="A2576" t="s">
        <v>357</v>
      </c>
      <c r="B2576" t="s">
        <v>3</v>
      </c>
      <c r="C2576" t="s">
        <v>43</v>
      </c>
      <c r="D2576" s="24">
        <v>46082</v>
      </c>
      <c r="E2576" t="s">
        <v>357</v>
      </c>
      <c r="F2576" t="s">
        <v>3</v>
      </c>
      <c r="G2576" t="s">
        <v>358</v>
      </c>
      <c r="H2576" t="s">
        <v>434</v>
      </c>
      <c r="I2576" t="s">
        <v>212</v>
      </c>
      <c r="J2576" s="25">
        <v>354045992</v>
      </c>
      <c r="K2576" s="26">
        <v>51914723.909999996</v>
      </c>
      <c r="L2576" s="26">
        <v>79760.160000000003</v>
      </c>
    </row>
    <row r="2577" spans="1:12" ht="16" customHeight="1">
      <c r="A2577" t="s">
        <v>357</v>
      </c>
      <c r="B2577" t="s">
        <v>3</v>
      </c>
      <c r="C2577" t="s">
        <v>43</v>
      </c>
      <c r="D2577" s="24">
        <v>46082</v>
      </c>
      <c r="E2577" t="s">
        <v>420</v>
      </c>
      <c r="F2577" t="s">
        <v>4</v>
      </c>
      <c r="G2577" t="s">
        <v>211</v>
      </c>
      <c r="H2577" t="s">
        <v>211</v>
      </c>
      <c r="I2577" t="s">
        <v>219</v>
      </c>
      <c r="J2577" s="25">
        <v>7484360</v>
      </c>
      <c r="K2577" s="26">
        <v>1127458.53</v>
      </c>
      <c r="L2577" s="26">
        <v>9263.7199999999993</v>
      </c>
    </row>
    <row r="2578" spans="1:12" ht="16" customHeight="1">
      <c r="A2578" t="s">
        <v>357</v>
      </c>
      <c r="B2578" t="s">
        <v>3</v>
      </c>
      <c r="C2578" t="s">
        <v>43</v>
      </c>
      <c r="D2578" s="24">
        <v>46082</v>
      </c>
      <c r="E2578" t="s">
        <v>425</v>
      </c>
      <c r="F2578" t="s">
        <v>3</v>
      </c>
      <c r="G2578" t="s">
        <v>241</v>
      </c>
      <c r="H2578" t="s">
        <v>241</v>
      </c>
      <c r="I2578" t="s">
        <v>219</v>
      </c>
      <c r="J2578" s="25">
        <v>260141</v>
      </c>
      <c r="K2578" s="26">
        <v>40139.65</v>
      </c>
      <c r="L2578" s="26">
        <v>484.63</v>
      </c>
    </row>
    <row r="2579" spans="1:12" ht="16" customHeight="1">
      <c r="A2579" t="s">
        <v>357</v>
      </c>
      <c r="B2579" t="s">
        <v>3</v>
      </c>
      <c r="C2579" t="s">
        <v>43</v>
      </c>
      <c r="D2579" s="24">
        <v>46082</v>
      </c>
      <c r="E2579" t="s">
        <v>430</v>
      </c>
      <c r="F2579" t="s">
        <v>4</v>
      </c>
      <c r="G2579" t="s">
        <v>211</v>
      </c>
      <c r="H2579" t="s">
        <v>211</v>
      </c>
      <c r="I2579" t="s">
        <v>219</v>
      </c>
      <c r="J2579" s="25">
        <v>16846</v>
      </c>
      <c r="K2579" s="26">
        <v>2590.98</v>
      </c>
      <c r="L2579" s="26">
        <v>48.42</v>
      </c>
    </row>
    <row r="2580" spans="1:12" ht="16" customHeight="1">
      <c r="A2580" t="s">
        <v>357</v>
      </c>
      <c r="B2580" t="s">
        <v>3</v>
      </c>
      <c r="C2580" t="s">
        <v>43</v>
      </c>
      <c r="D2580" s="24">
        <v>46082</v>
      </c>
      <c r="E2580" t="s">
        <v>387</v>
      </c>
      <c r="F2580" t="s">
        <v>4</v>
      </c>
      <c r="G2580" t="s">
        <v>217</v>
      </c>
      <c r="H2580" t="s">
        <v>217</v>
      </c>
      <c r="I2580" t="s">
        <v>219</v>
      </c>
      <c r="J2580" s="25">
        <v>1390187</v>
      </c>
      <c r="K2580" s="26">
        <v>216970.35</v>
      </c>
      <c r="L2580" s="26">
        <v>5644.3</v>
      </c>
    </row>
    <row r="2581" spans="1:12" ht="16" customHeight="1">
      <c r="A2581" t="s">
        <v>357</v>
      </c>
      <c r="B2581" t="s">
        <v>3</v>
      </c>
      <c r="C2581" t="s">
        <v>43</v>
      </c>
      <c r="D2581" s="24">
        <v>46082</v>
      </c>
      <c r="E2581" t="s">
        <v>436</v>
      </c>
      <c r="F2581" t="s">
        <v>4</v>
      </c>
      <c r="G2581" t="s">
        <v>211</v>
      </c>
      <c r="H2581" t="s">
        <v>211</v>
      </c>
      <c r="I2581" t="s">
        <v>221</v>
      </c>
      <c r="J2581" s="25">
        <v>202</v>
      </c>
      <c r="K2581" s="26">
        <v>32.39</v>
      </c>
      <c r="L2581" s="26">
        <v>0.2</v>
      </c>
    </row>
    <row r="2582" spans="1:12" ht="16" customHeight="1">
      <c r="A2582" t="s">
        <v>357</v>
      </c>
      <c r="B2582" t="s">
        <v>3</v>
      </c>
      <c r="C2582" t="s">
        <v>43</v>
      </c>
      <c r="D2582" s="24">
        <v>46082</v>
      </c>
      <c r="E2582" t="s">
        <v>416</v>
      </c>
      <c r="F2582" t="s">
        <v>4</v>
      </c>
      <c r="G2582" t="s">
        <v>217</v>
      </c>
      <c r="H2582" t="s">
        <v>217</v>
      </c>
      <c r="I2582" t="s">
        <v>221</v>
      </c>
      <c r="J2582" s="25">
        <v>120238</v>
      </c>
      <c r="K2582" s="26">
        <v>18826.86</v>
      </c>
      <c r="L2582" s="26">
        <v>394.36</v>
      </c>
    </row>
    <row r="2583" spans="1:12" ht="16" customHeight="1">
      <c r="A2583" t="s">
        <v>357</v>
      </c>
      <c r="B2583" t="s">
        <v>3</v>
      </c>
      <c r="C2583" t="s">
        <v>43</v>
      </c>
      <c r="D2583" s="24">
        <v>46082</v>
      </c>
      <c r="E2583" t="s">
        <v>226</v>
      </c>
      <c r="F2583" t="s">
        <v>4</v>
      </c>
      <c r="G2583" t="s">
        <v>217</v>
      </c>
      <c r="H2583" t="s">
        <v>217</v>
      </c>
      <c r="I2583" t="s">
        <v>223</v>
      </c>
      <c r="J2583" s="25">
        <v>174806</v>
      </c>
      <c r="K2583" s="26">
        <v>26813.52</v>
      </c>
      <c r="L2583" s="26">
        <v>840.91</v>
      </c>
    </row>
    <row r="2584" spans="1:12" ht="16" customHeight="1">
      <c r="A2584" t="s">
        <v>357</v>
      </c>
      <c r="B2584" t="s">
        <v>3</v>
      </c>
      <c r="C2584" t="s">
        <v>43</v>
      </c>
      <c r="D2584" s="24">
        <v>46082</v>
      </c>
      <c r="E2584" t="s">
        <v>269</v>
      </c>
      <c r="F2584" t="s">
        <v>4</v>
      </c>
      <c r="G2584" t="s">
        <v>217</v>
      </c>
      <c r="H2584" t="s">
        <v>217</v>
      </c>
      <c r="I2584" t="s">
        <v>225</v>
      </c>
      <c r="J2584" s="25">
        <v>32547</v>
      </c>
      <c r="K2584" s="26">
        <v>5331.44</v>
      </c>
      <c r="L2584" s="26">
        <v>130.21</v>
      </c>
    </row>
    <row r="2585" spans="1:12" ht="16" customHeight="1">
      <c r="A2585" t="s">
        <v>357</v>
      </c>
      <c r="B2585" t="s">
        <v>3</v>
      </c>
      <c r="C2585" t="s">
        <v>43</v>
      </c>
      <c r="D2585" s="24">
        <v>46082</v>
      </c>
      <c r="E2585" t="s">
        <v>228</v>
      </c>
      <c r="F2585" t="s">
        <v>4</v>
      </c>
      <c r="G2585" t="s">
        <v>217</v>
      </c>
      <c r="H2585" t="s">
        <v>217</v>
      </c>
      <c r="I2585" t="s">
        <v>227</v>
      </c>
      <c r="J2585" s="25">
        <v>81829</v>
      </c>
      <c r="K2585" s="26">
        <v>13434.49</v>
      </c>
      <c r="L2585" s="26">
        <v>544.86</v>
      </c>
    </row>
    <row r="2586" spans="1:12" ht="16" customHeight="1">
      <c r="A2586" t="s">
        <v>357</v>
      </c>
      <c r="B2586" t="s">
        <v>3</v>
      </c>
      <c r="C2586" t="s">
        <v>43</v>
      </c>
      <c r="D2586" s="24">
        <v>46082</v>
      </c>
      <c r="E2586" t="s">
        <v>230</v>
      </c>
      <c r="F2586" t="s">
        <v>4</v>
      </c>
      <c r="G2586" t="s">
        <v>217</v>
      </c>
      <c r="H2586" t="s">
        <v>217</v>
      </c>
      <c r="I2586" t="s">
        <v>229</v>
      </c>
      <c r="J2586" s="25">
        <v>0</v>
      </c>
      <c r="K2586" s="26">
        <v>0</v>
      </c>
      <c r="L2586" s="26">
        <v>0</v>
      </c>
    </row>
    <row r="2587" spans="1:12" ht="16" customHeight="1">
      <c r="A2587" t="s">
        <v>357</v>
      </c>
      <c r="B2587" t="s">
        <v>3</v>
      </c>
      <c r="C2587" t="s">
        <v>43</v>
      </c>
      <c r="D2587" s="24">
        <v>46082</v>
      </c>
      <c r="E2587" t="s">
        <v>232</v>
      </c>
      <c r="F2587" t="s">
        <v>4</v>
      </c>
      <c r="G2587" t="s">
        <v>217</v>
      </c>
      <c r="H2587" t="s">
        <v>217</v>
      </c>
      <c r="I2587" t="s">
        <v>231</v>
      </c>
      <c r="J2587" s="25">
        <v>445</v>
      </c>
      <c r="K2587" s="26">
        <v>71.47</v>
      </c>
      <c r="L2587" s="26">
        <v>4.1500000000000004</v>
      </c>
    </row>
    <row r="2588" spans="1:12" ht="16" customHeight="1">
      <c r="A2588" t="s">
        <v>357</v>
      </c>
      <c r="B2588" t="s">
        <v>3</v>
      </c>
      <c r="C2588" t="s">
        <v>43</v>
      </c>
      <c r="D2588" s="24">
        <v>46082</v>
      </c>
      <c r="E2588" t="s">
        <v>234</v>
      </c>
      <c r="F2588" t="s">
        <v>4</v>
      </c>
      <c r="G2588" t="s">
        <v>217</v>
      </c>
      <c r="H2588" t="s">
        <v>217</v>
      </c>
      <c r="I2588" t="s">
        <v>233</v>
      </c>
      <c r="J2588" s="25">
        <v>2</v>
      </c>
      <c r="K2588" s="26">
        <v>0.3</v>
      </c>
      <c r="L2588" s="26">
        <v>0.01</v>
      </c>
    </row>
    <row r="2589" spans="1:12" ht="16" customHeight="1">
      <c r="A2589" t="s">
        <v>357</v>
      </c>
      <c r="B2589" t="s">
        <v>3</v>
      </c>
      <c r="C2589" t="s">
        <v>43</v>
      </c>
      <c r="D2589" s="24">
        <v>46082</v>
      </c>
      <c r="E2589" t="s">
        <v>236</v>
      </c>
      <c r="F2589" t="s">
        <v>4</v>
      </c>
      <c r="G2589" t="s">
        <v>217</v>
      </c>
      <c r="H2589" t="s">
        <v>217</v>
      </c>
      <c r="I2589" t="s">
        <v>235</v>
      </c>
      <c r="J2589" s="25">
        <v>38</v>
      </c>
      <c r="K2589" s="26">
        <v>6.72</v>
      </c>
      <c r="L2589" s="26">
        <v>0.43</v>
      </c>
    </row>
    <row r="2590" spans="1:12" ht="16" customHeight="1">
      <c r="A2590" t="s">
        <v>357</v>
      </c>
      <c r="B2590" t="s">
        <v>3</v>
      </c>
      <c r="C2590" t="s">
        <v>43</v>
      </c>
      <c r="D2590" s="24">
        <v>46082</v>
      </c>
      <c r="E2590" t="s">
        <v>238</v>
      </c>
      <c r="F2590" t="s">
        <v>4</v>
      </c>
      <c r="G2590" t="s">
        <v>217</v>
      </c>
      <c r="H2590" t="s">
        <v>217</v>
      </c>
      <c r="I2590" t="s">
        <v>237</v>
      </c>
      <c r="J2590" s="25">
        <v>0</v>
      </c>
      <c r="K2590" s="26">
        <v>0</v>
      </c>
      <c r="L2590" s="26">
        <v>0</v>
      </c>
    </row>
    <row r="2591" spans="1:12" ht="16" customHeight="1">
      <c r="A2591" t="s">
        <v>357</v>
      </c>
      <c r="B2591" t="s">
        <v>3</v>
      </c>
      <c r="C2591" t="s">
        <v>43</v>
      </c>
      <c r="D2591" s="24">
        <v>46082</v>
      </c>
      <c r="E2591" t="s">
        <v>240</v>
      </c>
      <c r="F2591" t="s">
        <v>3</v>
      </c>
      <c r="G2591" t="s">
        <v>241</v>
      </c>
      <c r="H2591" t="s">
        <v>241</v>
      </c>
      <c r="I2591" t="s">
        <v>239</v>
      </c>
      <c r="J2591" s="25">
        <v>0</v>
      </c>
      <c r="K2591" s="26">
        <v>0</v>
      </c>
      <c r="L2591" s="26">
        <v>0</v>
      </c>
    </row>
    <row r="2592" spans="1:12" ht="16" customHeight="1">
      <c r="A2592" t="s">
        <v>357</v>
      </c>
      <c r="B2592" t="s">
        <v>3</v>
      </c>
      <c r="C2592" t="s">
        <v>43</v>
      </c>
      <c r="D2592" s="24">
        <v>46082</v>
      </c>
      <c r="E2592" t="s">
        <v>243</v>
      </c>
      <c r="F2592" t="s">
        <v>4</v>
      </c>
      <c r="G2592" t="s">
        <v>217</v>
      </c>
      <c r="H2592" t="s">
        <v>217</v>
      </c>
      <c r="I2592" t="s">
        <v>242</v>
      </c>
      <c r="J2592" s="25">
        <v>0</v>
      </c>
      <c r="K2592" s="26">
        <v>0</v>
      </c>
      <c r="L2592" s="26">
        <v>0</v>
      </c>
    </row>
    <row r="2593" spans="1:12" ht="16" customHeight="1">
      <c r="A2593" t="s">
        <v>357</v>
      </c>
      <c r="B2593" t="s">
        <v>3</v>
      </c>
      <c r="C2593" t="s">
        <v>43</v>
      </c>
      <c r="D2593" s="24">
        <v>46082</v>
      </c>
      <c r="E2593" t="s">
        <v>360</v>
      </c>
      <c r="F2593" t="s">
        <v>4</v>
      </c>
      <c r="G2593" t="s">
        <v>217</v>
      </c>
      <c r="H2593" t="s">
        <v>217</v>
      </c>
      <c r="I2593" t="s">
        <v>244</v>
      </c>
      <c r="J2593" s="25">
        <v>0</v>
      </c>
      <c r="K2593" s="26">
        <v>0</v>
      </c>
      <c r="L2593" s="26">
        <v>0</v>
      </c>
    </row>
    <row r="2594" spans="1:12" ht="16" customHeight="1">
      <c r="A2594" t="s">
        <v>438</v>
      </c>
      <c r="B2594" t="s">
        <v>5</v>
      </c>
      <c r="C2594" t="s">
        <v>44</v>
      </c>
      <c r="D2594" s="24">
        <v>46113</v>
      </c>
      <c r="E2594" t="s">
        <v>420</v>
      </c>
      <c r="F2594" t="s">
        <v>4</v>
      </c>
      <c r="G2594" t="s">
        <v>211</v>
      </c>
      <c r="H2594" t="s">
        <v>211</v>
      </c>
      <c r="I2594" t="s">
        <v>212</v>
      </c>
      <c r="J2594" s="25">
        <v>40596226</v>
      </c>
      <c r="K2594" s="26">
        <v>6076753.2599999998</v>
      </c>
      <c r="L2594" s="26">
        <v>42106.720000000001</v>
      </c>
    </row>
    <row r="2595" spans="1:12" ht="16" customHeight="1">
      <c r="A2595" t="s">
        <v>438</v>
      </c>
      <c r="B2595" t="s">
        <v>5</v>
      </c>
      <c r="C2595" t="s">
        <v>44</v>
      </c>
      <c r="D2595" s="24">
        <v>46113</v>
      </c>
      <c r="E2595" t="s">
        <v>425</v>
      </c>
      <c r="F2595" t="s">
        <v>3</v>
      </c>
      <c r="G2595" t="s">
        <v>241</v>
      </c>
      <c r="H2595" t="s">
        <v>241</v>
      </c>
      <c r="I2595" t="s">
        <v>212</v>
      </c>
      <c r="J2595" s="25">
        <v>797639</v>
      </c>
      <c r="K2595" s="26">
        <v>120592.63</v>
      </c>
      <c r="L2595" s="26">
        <v>1097.2</v>
      </c>
    </row>
    <row r="2596" spans="1:12" ht="16" customHeight="1">
      <c r="A2596" t="s">
        <v>438</v>
      </c>
      <c r="B2596" t="s">
        <v>5</v>
      </c>
      <c r="C2596" t="s">
        <v>44</v>
      </c>
      <c r="D2596" s="24">
        <v>46113</v>
      </c>
      <c r="E2596" t="s">
        <v>430</v>
      </c>
      <c r="F2596" t="s">
        <v>4</v>
      </c>
      <c r="G2596" t="s">
        <v>211</v>
      </c>
      <c r="H2596" t="s">
        <v>211</v>
      </c>
      <c r="I2596" t="s">
        <v>212</v>
      </c>
      <c r="J2596" s="25">
        <v>28109</v>
      </c>
      <c r="K2596" s="26">
        <v>4337.1899999999996</v>
      </c>
      <c r="L2596" s="26">
        <v>53.88</v>
      </c>
    </row>
    <row r="2597" spans="1:12" ht="16" customHeight="1">
      <c r="A2597" t="s">
        <v>438</v>
      </c>
      <c r="B2597" t="s">
        <v>5</v>
      </c>
      <c r="C2597" t="s">
        <v>44</v>
      </c>
      <c r="D2597" s="24">
        <v>46113</v>
      </c>
      <c r="E2597" t="s">
        <v>387</v>
      </c>
      <c r="F2597" t="s">
        <v>4</v>
      </c>
      <c r="G2597" t="s">
        <v>217</v>
      </c>
      <c r="H2597" t="s">
        <v>217</v>
      </c>
      <c r="I2597" t="s">
        <v>212</v>
      </c>
      <c r="J2597" s="25">
        <v>1248168</v>
      </c>
      <c r="K2597" s="26">
        <v>192768.62</v>
      </c>
      <c r="L2597" s="26">
        <v>3366.32</v>
      </c>
    </row>
    <row r="2598" spans="1:12" ht="16" customHeight="1">
      <c r="A2598" t="s">
        <v>438</v>
      </c>
      <c r="B2598" t="s">
        <v>5</v>
      </c>
      <c r="C2598" t="s">
        <v>44</v>
      </c>
      <c r="D2598" s="24">
        <v>46113</v>
      </c>
      <c r="E2598" t="s">
        <v>436</v>
      </c>
      <c r="F2598" t="s">
        <v>4</v>
      </c>
      <c r="G2598" t="s">
        <v>211</v>
      </c>
      <c r="H2598" t="s">
        <v>211</v>
      </c>
      <c r="I2598" t="s">
        <v>219</v>
      </c>
      <c r="J2598" s="25">
        <v>628</v>
      </c>
      <c r="K2598" s="26">
        <v>100.64</v>
      </c>
      <c r="L2598" s="26">
        <v>0.8</v>
      </c>
    </row>
    <row r="2599" spans="1:12" ht="16" customHeight="1">
      <c r="A2599" t="s">
        <v>438</v>
      </c>
      <c r="B2599" t="s">
        <v>5</v>
      </c>
      <c r="C2599" t="s">
        <v>44</v>
      </c>
      <c r="D2599" s="24">
        <v>46113</v>
      </c>
      <c r="E2599" t="s">
        <v>416</v>
      </c>
      <c r="F2599" t="s">
        <v>4</v>
      </c>
      <c r="G2599" t="s">
        <v>217</v>
      </c>
      <c r="H2599" t="s">
        <v>217</v>
      </c>
      <c r="I2599" t="s">
        <v>219</v>
      </c>
      <c r="J2599" s="25">
        <v>118114</v>
      </c>
      <c r="K2599" s="26">
        <v>18586.560000000001</v>
      </c>
      <c r="L2599" s="26">
        <v>312.54000000000002</v>
      </c>
    </row>
    <row r="2600" spans="1:12" ht="16" customHeight="1">
      <c r="A2600" t="s">
        <v>438</v>
      </c>
      <c r="B2600" t="s">
        <v>5</v>
      </c>
      <c r="C2600" t="s">
        <v>44</v>
      </c>
      <c r="D2600" s="24">
        <v>46113</v>
      </c>
      <c r="E2600" t="s">
        <v>226</v>
      </c>
      <c r="F2600" t="s">
        <v>4</v>
      </c>
      <c r="G2600" t="s">
        <v>217</v>
      </c>
      <c r="H2600" t="s">
        <v>217</v>
      </c>
      <c r="I2600" t="s">
        <v>221</v>
      </c>
      <c r="J2600" s="25">
        <v>145283</v>
      </c>
      <c r="K2600" s="26">
        <v>22357.52</v>
      </c>
      <c r="L2600" s="26">
        <v>533.16999999999996</v>
      </c>
    </row>
    <row r="2601" spans="1:12" ht="16" customHeight="1">
      <c r="A2601" t="s">
        <v>438</v>
      </c>
      <c r="B2601" t="s">
        <v>5</v>
      </c>
      <c r="C2601" t="s">
        <v>44</v>
      </c>
      <c r="D2601" s="24">
        <v>46113</v>
      </c>
      <c r="E2601" t="s">
        <v>269</v>
      </c>
      <c r="F2601" t="s">
        <v>4</v>
      </c>
      <c r="G2601" t="s">
        <v>217</v>
      </c>
      <c r="H2601" t="s">
        <v>217</v>
      </c>
      <c r="I2601" t="s">
        <v>267</v>
      </c>
      <c r="J2601" s="25">
        <v>25733</v>
      </c>
      <c r="K2601" s="26">
        <v>4311.46</v>
      </c>
      <c r="L2601" s="26">
        <v>70.98</v>
      </c>
    </row>
    <row r="2602" spans="1:12" ht="16" customHeight="1">
      <c r="A2602" t="s">
        <v>438</v>
      </c>
      <c r="B2602" t="s">
        <v>5</v>
      </c>
      <c r="C2602" t="s">
        <v>44</v>
      </c>
      <c r="D2602" s="24">
        <v>46113</v>
      </c>
      <c r="E2602" t="s">
        <v>228</v>
      </c>
      <c r="F2602" t="s">
        <v>4</v>
      </c>
      <c r="G2602" t="s">
        <v>217</v>
      </c>
      <c r="H2602" t="s">
        <v>217</v>
      </c>
      <c r="I2602" t="s">
        <v>268</v>
      </c>
      <c r="J2602" s="25">
        <v>57205</v>
      </c>
      <c r="K2602" s="26">
        <v>9201.75</v>
      </c>
      <c r="L2602" s="26">
        <v>304.76</v>
      </c>
    </row>
    <row r="2603" spans="1:12" ht="16" customHeight="1">
      <c r="A2603" t="s">
        <v>438</v>
      </c>
      <c r="B2603" t="s">
        <v>5</v>
      </c>
      <c r="C2603" t="s">
        <v>44</v>
      </c>
      <c r="D2603" s="24">
        <v>46113</v>
      </c>
      <c r="E2603" t="s">
        <v>439</v>
      </c>
      <c r="F2603" t="s">
        <v>4</v>
      </c>
      <c r="G2603" t="s">
        <v>217</v>
      </c>
      <c r="H2603" t="s">
        <v>217</v>
      </c>
      <c r="I2603" t="s">
        <v>270</v>
      </c>
      <c r="J2603" s="25">
        <v>0</v>
      </c>
      <c r="K2603" s="26">
        <v>0</v>
      </c>
      <c r="L2603" s="26">
        <v>0</v>
      </c>
    </row>
    <row r="2604" spans="1:12" ht="16" customHeight="1">
      <c r="A2604" t="s">
        <v>438</v>
      </c>
      <c r="B2604" t="s">
        <v>5</v>
      </c>
      <c r="C2604" t="s">
        <v>44</v>
      </c>
      <c r="D2604" s="24">
        <v>46113</v>
      </c>
      <c r="E2604" t="s">
        <v>230</v>
      </c>
      <c r="F2604" t="s">
        <v>4</v>
      </c>
      <c r="G2604" t="s">
        <v>217</v>
      </c>
      <c r="H2604" t="s">
        <v>217</v>
      </c>
      <c r="I2604" t="s">
        <v>271</v>
      </c>
      <c r="J2604" s="25">
        <v>1</v>
      </c>
      <c r="K2604" s="26">
        <v>0.14000000000000001</v>
      </c>
      <c r="L2604" s="26">
        <v>0</v>
      </c>
    </row>
    <row r="2605" spans="1:12" ht="16" customHeight="1">
      <c r="A2605" t="s">
        <v>438</v>
      </c>
      <c r="B2605" t="s">
        <v>5</v>
      </c>
      <c r="C2605" t="s">
        <v>44</v>
      </c>
      <c r="D2605" s="24">
        <v>46113</v>
      </c>
      <c r="E2605" t="s">
        <v>232</v>
      </c>
      <c r="F2605" t="s">
        <v>4</v>
      </c>
      <c r="G2605" t="s">
        <v>217</v>
      </c>
      <c r="H2605" t="s">
        <v>217</v>
      </c>
      <c r="I2605" t="s">
        <v>272</v>
      </c>
      <c r="J2605" s="25">
        <v>669</v>
      </c>
      <c r="K2605" s="26">
        <v>97.72</v>
      </c>
      <c r="L2605" s="26">
        <v>4.0999999999999996</v>
      </c>
    </row>
    <row r="2606" spans="1:12" ht="16" customHeight="1">
      <c r="A2606" t="s">
        <v>438</v>
      </c>
      <c r="B2606" t="s">
        <v>5</v>
      </c>
      <c r="C2606" t="s">
        <v>44</v>
      </c>
      <c r="D2606" s="24">
        <v>46113</v>
      </c>
      <c r="E2606" t="s">
        <v>234</v>
      </c>
      <c r="F2606" t="s">
        <v>4</v>
      </c>
      <c r="G2606" t="s">
        <v>217</v>
      </c>
      <c r="H2606" t="s">
        <v>217</v>
      </c>
      <c r="I2606" t="s">
        <v>273</v>
      </c>
      <c r="J2606" s="25">
        <v>1</v>
      </c>
      <c r="K2606" s="26">
        <v>0.15</v>
      </c>
      <c r="L2606" s="26">
        <v>0.01</v>
      </c>
    </row>
    <row r="2607" spans="1:12" ht="16" customHeight="1">
      <c r="A2607" t="s">
        <v>438</v>
      </c>
      <c r="B2607" t="s">
        <v>5</v>
      </c>
      <c r="C2607" t="s">
        <v>44</v>
      </c>
      <c r="D2607" s="24">
        <v>46113</v>
      </c>
      <c r="E2607" t="s">
        <v>236</v>
      </c>
      <c r="F2607" t="s">
        <v>4</v>
      </c>
      <c r="G2607" t="s">
        <v>217</v>
      </c>
      <c r="H2607" t="s">
        <v>217</v>
      </c>
      <c r="I2607" t="s">
        <v>274</v>
      </c>
      <c r="J2607" s="25">
        <v>22</v>
      </c>
      <c r="K2607" s="26">
        <v>4.04</v>
      </c>
      <c r="L2607" s="26">
        <v>0.26</v>
      </c>
    </row>
    <row r="2608" spans="1:12" ht="16" customHeight="1">
      <c r="A2608" t="s">
        <v>438</v>
      </c>
      <c r="B2608" t="s">
        <v>5</v>
      </c>
      <c r="C2608" t="s">
        <v>44</v>
      </c>
      <c r="D2608" s="24">
        <v>46113</v>
      </c>
      <c r="E2608" t="s">
        <v>238</v>
      </c>
      <c r="F2608" t="s">
        <v>4</v>
      </c>
      <c r="G2608" t="s">
        <v>217</v>
      </c>
      <c r="H2608" t="s">
        <v>217</v>
      </c>
      <c r="I2608" t="s">
        <v>275</v>
      </c>
      <c r="J2608" s="25">
        <v>0</v>
      </c>
      <c r="K2608" s="26">
        <v>0</v>
      </c>
      <c r="L2608" s="26">
        <v>0</v>
      </c>
    </row>
    <row r="2609" spans="1:12" ht="16" customHeight="1">
      <c r="A2609" t="s">
        <v>438</v>
      </c>
      <c r="B2609" t="s">
        <v>5</v>
      </c>
      <c r="C2609" t="s">
        <v>44</v>
      </c>
      <c r="D2609" s="24">
        <v>46113</v>
      </c>
      <c r="E2609" t="s">
        <v>240</v>
      </c>
      <c r="F2609" t="s">
        <v>3</v>
      </c>
      <c r="G2609" t="s">
        <v>241</v>
      </c>
      <c r="H2609" t="s">
        <v>241</v>
      </c>
      <c r="I2609" t="s">
        <v>276</v>
      </c>
      <c r="J2609" s="25">
        <v>11</v>
      </c>
      <c r="K2609" s="26">
        <v>1.72</v>
      </c>
      <c r="L2609" s="26">
        <v>0.08</v>
      </c>
    </row>
    <row r="2610" spans="1:12" ht="16" customHeight="1">
      <c r="A2610" t="s">
        <v>438</v>
      </c>
      <c r="B2610" t="s">
        <v>5</v>
      </c>
      <c r="C2610" t="s">
        <v>44</v>
      </c>
      <c r="D2610" s="24">
        <v>46113</v>
      </c>
      <c r="E2610" t="s">
        <v>243</v>
      </c>
      <c r="F2610" t="s">
        <v>4</v>
      </c>
      <c r="G2610" t="s">
        <v>217</v>
      </c>
      <c r="H2610" t="s">
        <v>217</v>
      </c>
      <c r="I2610" t="s">
        <v>277</v>
      </c>
      <c r="J2610" s="25">
        <v>0</v>
      </c>
      <c r="K2610" s="26">
        <v>0</v>
      </c>
      <c r="L2610" s="26">
        <v>0</v>
      </c>
    </row>
    <row r="2611" spans="1:12" ht="16" customHeight="1">
      <c r="A2611" t="s">
        <v>438</v>
      </c>
      <c r="B2611" t="s">
        <v>5</v>
      </c>
      <c r="C2611" t="s">
        <v>44</v>
      </c>
      <c r="D2611" s="24">
        <v>46113</v>
      </c>
      <c r="E2611" t="s">
        <v>360</v>
      </c>
      <c r="F2611" t="s">
        <v>4</v>
      </c>
      <c r="G2611" t="s">
        <v>217</v>
      </c>
      <c r="H2611" t="s">
        <v>217</v>
      </c>
      <c r="I2611" t="s">
        <v>278</v>
      </c>
      <c r="J2611" s="25">
        <v>0</v>
      </c>
      <c r="K2611" s="26">
        <v>0</v>
      </c>
      <c r="L2611" s="26">
        <v>0</v>
      </c>
    </row>
    <row r="2612" spans="1:12" ht="16" customHeight="1">
      <c r="A2612" t="s">
        <v>440</v>
      </c>
      <c r="B2612" t="s">
        <v>6</v>
      </c>
      <c r="C2612" t="s">
        <v>44</v>
      </c>
      <c r="D2612" s="24">
        <v>46113</v>
      </c>
      <c r="E2612" t="s">
        <v>420</v>
      </c>
      <c r="F2612" t="s">
        <v>4</v>
      </c>
      <c r="G2612" t="s">
        <v>211</v>
      </c>
      <c r="H2612" t="s">
        <v>211</v>
      </c>
      <c r="I2612" t="s">
        <v>212</v>
      </c>
      <c r="J2612" s="25">
        <v>43307408</v>
      </c>
      <c r="K2612" s="26">
        <v>6388787.25</v>
      </c>
      <c r="L2612" s="26">
        <v>40621.449999999997</v>
      </c>
    </row>
    <row r="2613" spans="1:12" ht="16" customHeight="1">
      <c r="A2613" t="s">
        <v>440</v>
      </c>
      <c r="B2613" t="s">
        <v>6</v>
      </c>
      <c r="C2613" t="s">
        <v>44</v>
      </c>
      <c r="D2613" s="24">
        <v>46113</v>
      </c>
      <c r="E2613" t="s">
        <v>425</v>
      </c>
      <c r="F2613" t="s">
        <v>3</v>
      </c>
      <c r="G2613" t="s">
        <v>241</v>
      </c>
      <c r="H2613" t="s">
        <v>241</v>
      </c>
      <c r="I2613" t="s">
        <v>212</v>
      </c>
      <c r="J2613" s="25">
        <v>1511189</v>
      </c>
      <c r="K2613" s="26">
        <v>226056.18</v>
      </c>
      <c r="L2613" s="26">
        <v>2110.64</v>
      </c>
    </row>
    <row r="2614" spans="1:12" ht="16" customHeight="1">
      <c r="A2614" t="s">
        <v>440</v>
      </c>
      <c r="B2614" t="s">
        <v>6</v>
      </c>
      <c r="C2614" t="s">
        <v>44</v>
      </c>
      <c r="D2614" s="24">
        <v>46113</v>
      </c>
      <c r="E2614" t="s">
        <v>430</v>
      </c>
      <c r="F2614" t="s">
        <v>4</v>
      </c>
      <c r="G2614" t="s">
        <v>211</v>
      </c>
      <c r="H2614" t="s">
        <v>211</v>
      </c>
      <c r="I2614" t="s">
        <v>212</v>
      </c>
      <c r="J2614" s="25">
        <v>43942</v>
      </c>
      <c r="K2614" s="26">
        <v>6715.34</v>
      </c>
      <c r="L2614" s="26">
        <v>82.81</v>
      </c>
    </row>
    <row r="2615" spans="1:12" ht="16" customHeight="1">
      <c r="A2615" t="s">
        <v>440</v>
      </c>
      <c r="B2615" t="s">
        <v>6</v>
      </c>
      <c r="C2615" t="s">
        <v>44</v>
      </c>
      <c r="D2615" s="24">
        <v>46113</v>
      </c>
      <c r="E2615" t="s">
        <v>387</v>
      </c>
      <c r="F2615" t="s">
        <v>4</v>
      </c>
      <c r="G2615" t="s">
        <v>217</v>
      </c>
      <c r="H2615" t="s">
        <v>217</v>
      </c>
      <c r="I2615" t="s">
        <v>212</v>
      </c>
      <c r="J2615" s="25">
        <v>1390796</v>
      </c>
      <c r="K2615" s="26">
        <v>213086.27</v>
      </c>
      <c r="L2615" s="26">
        <v>3451.35</v>
      </c>
    </row>
    <row r="2616" spans="1:12" ht="16" customHeight="1">
      <c r="A2616" t="s">
        <v>440</v>
      </c>
      <c r="B2616" t="s">
        <v>6</v>
      </c>
      <c r="C2616" t="s">
        <v>44</v>
      </c>
      <c r="D2616" s="24">
        <v>46113</v>
      </c>
      <c r="E2616" t="s">
        <v>436</v>
      </c>
      <c r="F2616" t="s">
        <v>4</v>
      </c>
      <c r="G2616" t="s">
        <v>211</v>
      </c>
      <c r="H2616" t="s">
        <v>211</v>
      </c>
      <c r="I2616" t="s">
        <v>219</v>
      </c>
      <c r="J2616" s="25">
        <v>2235</v>
      </c>
      <c r="K2616" s="26">
        <v>357.16</v>
      </c>
      <c r="L2616" s="26">
        <v>2.2000000000000002</v>
      </c>
    </row>
    <row r="2617" spans="1:12" ht="16" customHeight="1">
      <c r="A2617" t="s">
        <v>440</v>
      </c>
      <c r="B2617" t="s">
        <v>6</v>
      </c>
      <c r="C2617" t="s">
        <v>44</v>
      </c>
      <c r="D2617" s="24">
        <v>46113</v>
      </c>
      <c r="E2617" t="s">
        <v>416</v>
      </c>
      <c r="F2617" t="s">
        <v>4</v>
      </c>
      <c r="G2617" t="s">
        <v>217</v>
      </c>
      <c r="H2617" t="s">
        <v>217</v>
      </c>
      <c r="I2617" t="s">
        <v>219</v>
      </c>
      <c r="J2617" s="25">
        <v>157837</v>
      </c>
      <c r="K2617" s="26">
        <v>24786.3</v>
      </c>
      <c r="L2617" s="26">
        <v>379.73</v>
      </c>
    </row>
    <row r="2618" spans="1:12" ht="16" customHeight="1">
      <c r="A2618" t="s">
        <v>440</v>
      </c>
      <c r="B2618" t="s">
        <v>6</v>
      </c>
      <c r="C2618" t="s">
        <v>44</v>
      </c>
      <c r="D2618" s="24">
        <v>46113</v>
      </c>
      <c r="E2618" t="s">
        <v>226</v>
      </c>
      <c r="F2618" t="s">
        <v>4</v>
      </c>
      <c r="G2618" t="s">
        <v>217</v>
      </c>
      <c r="H2618" t="s">
        <v>217</v>
      </c>
      <c r="I2618" t="s">
        <v>221</v>
      </c>
      <c r="J2618" s="25">
        <v>149218</v>
      </c>
      <c r="K2618" s="26">
        <v>22606.78</v>
      </c>
      <c r="L2618" s="26">
        <v>531.08000000000004</v>
      </c>
    </row>
    <row r="2619" spans="1:12" ht="16" customHeight="1">
      <c r="A2619" t="s">
        <v>440</v>
      </c>
      <c r="B2619" t="s">
        <v>6</v>
      </c>
      <c r="C2619" t="s">
        <v>44</v>
      </c>
      <c r="D2619" s="24">
        <v>46113</v>
      </c>
      <c r="E2619" t="s">
        <v>269</v>
      </c>
      <c r="F2619" t="s">
        <v>4</v>
      </c>
      <c r="G2619" t="s">
        <v>217</v>
      </c>
      <c r="H2619" t="s">
        <v>217</v>
      </c>
      <c r="I2619" t="s">
        <v>267</v>
      </c>
      <c r="J2619" s="25">
        <v>18855</v>
      </c>
      <c r="K2619" s="26">
        <v>3041.15</v>
      </c>
      <c r="L2619" s="26">
        <v>86.61</v>
      </c>
    </row>
    <row r="2620" spans="1:12" ht="16" customHeight="1">
      <c r="A2620" t="s">
        <v>440</v>
      </c>
      <c r="B2620" t="s">
        <v>6</v>
      </c>
      <c r="C2620" t="s">
        <v>44</v>
      </c>
      <c r="D2620" s="24">
        <v>46113</v>
      </c>
      <c r="E2620" t="s">
        <v>228</v>
      </c>
      <c r="F2620" t="s">
        <v>4</v>
      </c>
      <c r="G2620" t="s">
        <v>217</v>
      </c>
      <c r="H2620" t="s">
        <v>217</v>
      </c>
      <c r="I2620" t="s">
        <v>268</v>
      </c>
      <c r="J2620" s="25">
        <v>69231</v>
      </c>
      <c r="K2620" s="26">
        <v>11253.08</v>
      </c>
      <c r="L2620" s="26">
        <v>310.25</v>
      </c>
    </row>
    <row r="2621" spans="1:12" ht="16" customHeight="1">
      <c r="A2621" t="s">
        <v>440</v>
      </c>
      <c r="B2621" t="s">
        <v>6</v>
      </c>
      <c r="C2621" t="s">
        <v>44</v>
      </c>
      <c r="D2621" s="24">
        <v>46113</v>
      </c>
      <c r="E2621" t="s">
        <v>439</v>
      </c>
      <c r="F2621" t="s">
        <v>4</v>
      </c>
      <c r="G2621" t="s">
        <v>217</v>
      </c>
      <c r="H2621" t="s">
        <v>217</v>
      </c>
      <c r="I2621" t="s">
        <v>270</v>
      </c>
      <c r="J2621" s="25">
        <v>0</v>
      </c>
      <c r="K2621" s="26">
        <v>0</v>
      </c>
      <c r="L2621" s="26">
        <v>0</v>
      </c>
    </row>
    <row r="2622" spans="1:12" ht="16" customHeight="1">
      <c r="A2622" t="s">
        <v>440</v>
      </c>
      <c r="B2622" t="s">
        <v>6</v>
      </c>
      <c r="C2622" t="s">
        <v>44</v>
      </c>
      <c r="D2622" s="24">
        <v>46113</v>
      </c>
      <c r="E2622" t="s">
        <v>230</v>
      </c>
      <c r="F2622" t="s">
        <v>4</v>
      </c>
      <c r="G2622" t="s">
        <v>217</v>
      </c>
      <c r="H2622" t="s">
        <v>217</v>
      </c>
      <c r="I2622" t="s">
        <v>271</v>
      </c>
      <c r="J2622" s="25">
        <v>13</v>
      </c>
      <c r="K2622" s="26">
        <v>1.62</v>
      </c>
      <c r="L2622" s="26">
        <v>0.02</v>
      </c>
    </row>
    <row r="2623" spans="1:12" ht="16" customHeight="1">
      <c r="A2623" t="s">
        <v>440</v>
      </c>
      <c r="B2623" t="s">
        <v>6</v>
      </c>
      <c r="C2623" t="s">
        <v>44</v>
      </c>
      <c r="D2623" s="24">
        <v>46113</v>
      </c>
      <c r="E2623" t="s">
        <v>232</v>
      </c>
      <c r="F2623" t="s">
        <v>4</v>
      </c>
      <c r="G2623" t="s">
        <v>217</v>
      </c>
      <c r="H2623" t="s">
        <v>217</v>
      </c>
      <c r="I2623" t="s">
        <v>272</v>
      </c>
      <c r="J2623" s="25">
        <v>514</v>
      </c>
      <c r="K2623" s="26">
        <v>86.26</v>
      </c>
      <c r="L2623" s="26">
        <v>4.8600000000000003</v>
      </c>
    </row>
    <row r="2624" spans="1:12" ht="16" customHeight="1">
      <c r="A2624" t="s">
        <v>440</v>
      </c>
      <c r="B2624" t="s">
        <v>6</v>
      </c>
      <c r="C2624" t="s">
        <v>44</v>
      </c>
      <c r="D2624" s="24">
        <v>46113</v>
      </c>
      <c r="E2624" t="s">
        <v>234</v>
      </c>
      <c r="F2624" t="s">
        <v>4</v>
      </c>
      <c r="G2624" t="s">
        <v>217</v>
      </c>
      <c r="H2624" t="s">
        <v>217</v>
      </c>
      <c r="I2624" t="s">
        <v>273</v>
      </c>
      <c r="J2624" s="25">
        <v>0</v>
      </c>
      <c r="K2624" s="26">
        <v>0</v>
      </c>
      <c r="L2624" s="26">
        <v>0</v>
      </c>
    </row>
    <row r="2625" spans="1:12" ht="16" customHeight="1">
      <c r="A2625" t="s">
        <v>440</v>
      </c>
      <c r="B2625" t="s">
        <v>6</v>
      </c>
      <c r="C2625" t="s">
        <v>44</v>
      </c>
      <c r="D2625" s="24">
        <v>46113</v>
      </c>
      <c r="E2625" t="s">
        <v>236</v>
      </c>
      <c r="F2625" t="s">
        <v>4</v>
      </c>
      <c r="G2625" t="s">
        <v>217</v>
      </c>
      <c r="H2625" t="s">
        <v>217</v>
      </c>
      <c r="I2625" t="s">
        <v>274</v>
      </c>
      <c r="J2625" s="25">
        <v>49</v>
      </c>
      <c r="K2625" s="26">
        <v>9.44</v>
      </c>
      <c r="L2625" s="26">
        <v>0.6</v>
      </c>
    </row>
    <row r="2626" spans="1:12" ht="16" customHeight="1">
      <c r="A2626" t="s">
        <v>440</v>
      </c>
      <c r="B2626" t="s">
        <v>6</v>
      </c>
      <c r="C2626" t="s">
        <v>44</v>
      </c>
      <c r="D2626" s="24">
        <v>46113</v>
      </c>
      <c r="E2626" t="s">
        <v>238</v>
      </c>
      <c r="F2626" t="s">
        <v>4</v>
      </c>
      <c r="G2626" t="s">
        <v>217</v>
      </c>
      <c r="H2626" t="s">
        <v>217</v>
      </c>
      <c r="I2626" t="s">
        <v>275</v>
      </c>
      <c r="J2626" s="25">
        <v>0</v>
      </c>
      <c r="K2626" s="26">
        <v>0</v>
      </c>
      <c r="L2626" s="26">
        <v>0</v>
      </c>
    </row>
    <row r="2627" spans="1:12" ht="16" customHeight="1">
      <c r="A2627" t="s">
        <v>440</v>
      </c>
      <c r="B2627" t="s">
        <v>6</v>
      </c>
      <c r="C2627" t="s">
        <v>44</v>
      </c>
      <c r="D2627" s="24">
        <v>46113</v>
      </c>
      <c r="E2627" t="s">
        <v>240</v>
      </c>
      <c r="F2627" t="s">
        <v>3</v>
      </c>
      <c r="G2627" t="s">
        <v>241</v>
      </c>
      <c r="H2627" t="s">
        <v>241</v>
      </c>
      <c r="I2627" t="s">
        <v>276</v>
      </c>
      <c r="J2627" s="25">
        <v>5</v>
      </c>
      <c r="K2627" s="26">
        <v>0.79</v>
      </c>
      <c r="L2627" s="26">
        <v>0.05</v>
      </c>
    </row>
    <row r="2628" spans="1:12" ht="16" customHeight="1">
      <c r="A2628" t="s">
        <v>440</v>
      </c>
      <c r="B2628" t="s">
        <v>6</v>
      </c>
      <c r="C2628" t="s">
        <v>44</v>
      </c>
      <c r="D2628" s="24">
        <v>46113</v>
      </c>
      <c r="E2628" t="s">
        <v>243</v>
      </c>
      <c r="F2628" t="s">
        <v>4</v>
      </c>
      <c r="G2628" t="s">
        <v>217</v>
      </c>
      <c r="H2628" t="s">
        <v>217</v>
      </c>
      <c r="I2628" t="s">
        <v>277</v>
      </c>
      <c r="J2628" s="25">
        <v>0</v>
      </c>
      <c r="K2628" s="26">
        <v>0</v>
      </c>
      <c r="L2628" s="26">
        <v>0</v>
      </c>
    </row>
    <row r="2629" spans="1:12" ht="16" customHeight="1">
      <c r="A2629" t="s">
        <v>440</v>
      </c>
      <c r="B2629" t="s">
        <v>6</v>
      </c>
      <c r="C2629" t="s">
        <v>44</v>
      </c>
      <c r="D2629" s="24">
        <v>46113</v>
      </c>
      <c r="E2629" t="s">
        <v>360</v>
      </c>
      <c r="F2629" t="s">
        <v>4</v>
      </c>
      <c r="G2629" t="s">
        <v>217</v>
      </c>
      <c r="H2629" t="s">
        <v>217</v>
      </c>
      <c r="I2629" t="s">
        <v>278</v>
      </c>
      <c r="J2629" s="25">
        <v>0</v>
      </c>
      <c r="K2629" s="26">
        <v>0</v>
      </c>
      <c r="L2629" s="26">
        <v>0</v>
      </c>
    </row>
    <row r="2630" spans="1:12" ht="16" customHeight="1">
      <c r="A2630" t="s">
        <v>441</v>
      </c>
      <c r="B2630" t="s">
        <v>3</v>
      </c>
      <c r="C2630" t="s">
        <v>44</v>
      </c>
      <c r="D2630" s="24">
        <v>46113</v>
      </c>
      <c r="E2630" t="s">
        <v>420</v>
      </c>
      <c r="F2630" t="s">
        <v>4</v>
      </c>
      <c r="G2630" t="s">
        <v>211</v>
      </c>
      <c r="H2630" t="s">
        <v>211</v>
      </c>
      <c r="I2630" t="s">
        <v>212</v>
      </c>
      <c r="J2630" s="25">
        <v>122440819</v>
      </c>
      <c r="K2630" s="26">
        <v>18179412.73</v>
      </c>
      <c r="L2630" s="26">
        <v>80778.2</v>
      </c>
    </row>
    <row r="2631" spans="1:12" ht="16" customHeight="1">
      <c r="A2631" t="s">
        <v>441</v>
      </c>
      <c r="B2631" t="s">
        <v>3</v>
      </c>
      <c r="C2631" t="s">
        <v>44</v>
      </c>
      <c r="D2631" s="24">
        <v>46113</v>
      </c>
      <c r="E2631" t="s">
        <v>425</v>
      </c>
      <c r="F2631" t="s">
        <v>3</v>
      </c>
      <c r="G2631" t="s">
        <v>241</v>
      </c>
      <c r="H2631" t="s">
        <v>241</v>
      </c>
      <c r="I2631" t="s">
        <v>212</v>
      </c>
      <c r="J2631" s="25">
        <v>4018798</v>
      </c>
      <c r="K2631" s="26">
        <v>601236.07999999996</v>
      </c>
      <c r="L2631" s="26">
        <v>4204.8100000000004</v>
      </c>
    </row>
    <row r="2632" spans="1:12" ht="16" customHeight="1">
      <c r="A2632" t="s">
        <v>441</v>
      </c>
      <c r="B2632" t="s">
        <v>3</v>
      </c>
      <c r="C2632" t="s">
        <v>44</v>
      </c>
      <c r="D2632" s="24">
        <v>46113</v>
      </c>
      <c r="E2632" t="s">
        <v>430</v>
      </c>
      <c r="F2632" t="s">
        <v>4</v>
      </c>
      <c r="G2632" t="s">
        <v>211</v>
      </c>
      <c r="H2632" t="s">
        <v>211</v>
      </c>
      <c r="I2632" t="s">
        <v>212</v>
      </c>
      <c r="J2632" s="25">
        <v>106465</v>
      </c>
      <c r="K2632" s="26">
        <v>16150.8</v>
      </c>
      <c r="L2632" s="26">
        <v>182.86</v>
      </c>
    </row>
    <row r="2633" spans="1:12" ht="16" customHeight="1">
      <c r="A2633" t="s">
        <v>441</v>
      </c>
      <c r="B2633" t="s">
        <v>3</v>
      </c>
      <c r="C2633" t="s">
        <v>44</v>
      </c>
      <c r="D2633" s="24">
        <v>46113</v>
      </c>
      <c r="E2633" t="s">
        <v>387</v>
      </c>
      <c r="F2633" t="s">
        <v>4</v>
      </c>
      <c r="G2633" t="s">
        <v>217</v>
      </c>
      <c r="H2633" t="s">
        <v>217</v>
      </c>
      <c r="I2633" t="s">
        <v>212</v>
      </c>
      <c r="J2633" s="25">
        <v>1276429</v>
      </c>
      <c r="K2633" s="26">
        <v>194928.43</v>
      </c>
      <c r="L2633" s="26">
        <v>2856.51</v>
      </c>
    </row>
    <row r="2634" spans="1:12" ht="16" customHeight="1">
      <c r="A2634" t="s">
        <v>441</v>
      </c>
      <c r="B2634" t="s">
        <v>3</v>
      </c>
      <c r="C2634" t="s">
        <v>44</v>
      </c>
      <c r="D2634" s="24">
        <v>46113</v>
      </c>
      <c r="E2634" t="s">
        <v>436</v>
      </c>
      <c r="F2634" t="s">
        <v>4</v>
      </c>
      <c r="G2634" t="s">
        <v>211</v>
      </c>
      <c r="H2634" t="s">
        <v>211</v>
      </c>
      <c r="I2634" t="s">
        <v>219</v>
      </c>
      <c r="J2634" s="25">
        <v>3590</v>
      </c>
      <c r="K2634" s="26">
        <v>569.79</v>
      </c>
      <c r="L2634" s="26">
        <v>5.58</v>
      </c>
    </row>
    <row r="2635" spans="1:12" ht="16" customHeight="1">
      <c r="A2635" t="s">
        <v>441</v>
      </c>
      <c r="B2635" t="s">
        <v>3</v>
      </c>
      <c r="C2635" t="s">
        <v>44</v>
      </c>
      <c r="D2635" s="24">
        <v>46113</v>
      </c>
      <c r="E2635" t="s">
        <v>416</v>
      </c>
      <c r="F2635" t="s">
        <v>4</v>
      </c>
      <c r="G2635" t="s">
        <v>217</v>
      </c>
      <c r="H2635" t="s">
        <v>217</v>
      </c>
      <c r="I2635" t="s">
        <v>219</v>
      </c>
      <c r="J2635" s="25">
        <v>126601</v>
      </c>
      <c r="K2635" s="26">
        <v>20037.79</v>
      </c>
      <c r="L2635" s="26">
        <v>307.39999999999998</v>
      </c>
    </row>
    <row r="2636" spans="1:12" ht="16" customHeight="1">
      <c r="A2636" t="s">
        <v>441</v>
      </c>
      <c r="B2636" t="s">
        <v>3</v>
      </c>
      <c r="C2636" t="s">
        <v>44</v>
      </c>
      <c r="D2636" s="24">
        <v>46113</v>
      </c>
      <c r="E2636" t="s">
        <v>226</v>
      </c>
      <c r="F2636" t="s">
        <v>4</v>
      </c>
      <c r="G2636" t="s">
        <v>217</v>
      </c>
      <c r="H2636" t="s">
        <v>217</v>
      </c>
      <c r="I2636" t="s">
        <v>221</v>
      </c>
      <c r="J2636" s="25">
        <v>112765</v>
      </c>
      <c r="K2636" s="26">
        <v>17284.310000000001</v>
      </c>
      <c r="L2636" s="26">
        <v>386.58</v>
      </c>
    </row>
    <row r="2637" spans="1:12" ht="16" customHeight="1">
      <c r="A2637" t="s">
        <v>441</v>
      </c>
      <c r="B2637" t="s">
        <v>3</v>
      </c>
      <c r="C2637" t="s">
        <v>44</v>
      </c>
      <c r="D2637" s="24">
        <v>46113</v>
      </c>
      <c r="E2637" t="s">
        <v>269</v>
      </c>
      <c r="F2637" t="s">
        <v>4</v>
      </c>
      <c r="G2637" t="s">
        <v>217</v>
      </c>
      <c r="H2637" t="s">
        <v>217</v>
      </c>
      <c r="I2637" t="s">
        <v>267</v>
      </c>
      <c r="J2637" s="25">
        <v>19133</v>
      </c>
      <c r="K2637" s="26">
        <v>3137.97</v>
      </c>
      <c r="L2637" s="26">
        <v>71.03</v>
      </c>
    </row>
    <row r="2638" spans="1:12" ht="16" customHeight="1">
      <c r="A2638" t="s">
        <v>441</v>
      </c>
      <c r="B2638" t="s">
        <v>3</v>
      </c>
      <c r="C2638" t="s">
        <v>44</v>
      </c>
      <c r="D2638" s="24">
        <v>46113</v>
      </c>
      <c r="E2638" t="s">
        <v>228</v>
      </c>
      <c r="F2638" t="s">
        <v>4</v>
      </c>
      <c r="G2638" t="s">
        <v>217</v>
      </c>
      <c r="H2638" t="s">
        <v>217</v>
      </c>
      <c r="I2638" t="s">
        <v>268</v>
      </c>
      <c r="J2638" s="25">
        <v>45699</v>
      </c>
      <c r="K2638" s="26">
        <v>7253.78</v>
      </c>
      <c r="L2638" s="26">
        <v>196.1</v>
      </c>
    </row>
    <row r="2639" spans="1:12" ht="16" customHeight="1">
      <c r="A2639" t="s">
        <v>441</v>
      </c>
      <c r="B2639" t="s">
        <v>3</v>
      </c>
      <c r="C2639" t="s">
        <v>44</v>
      </c>
      <c r="D2639" s="24">
        <v>46113</v>
      </c>
      <c r="E2639" t="s">
        <v>439</v>
      </c>
      <c r="F2639" t="s">
        <v>4</v>
      </c>
      <c r="G2639" t="s">
        <v>217</v>
      </c>
      <c r="H2639" t="s">
        <v>217</v>
      </c>
      <c r="I2639" t="s">
        <v>270</v>
      </c>
      <c r="J2639" s="25">
        <v>0</v>
      </c>
      <c r="K2639" s="26">
        <v>0</v>
      </c>
      <c r="L2639" s="26">
        <v>0</v>
      </c>
    </row>
    <row r="2640" spans="1:12" ht="16" customHeight="1">
      <c r="A2640" t="s">
        <v>441</v>
      </c>
      <c r="B2640" t="s">
        <v>3</v>
      </c>
      <c r="C2640" t="s">
        <v>44</v>
      </c>
      <c r="D2640" s="24">
        <v>46113</v>
      </c>
      <c r="E2640" t="s">
        <v>230</v>
      </c>
      <c r="F2640" t="s">
        <v>4</v>
      </c>
      <c r="G2640" t="s">
        <v>217</v>
      </c>
      <c r="H2640" t="s">
        <v>217</v>
      </c>
      <c r="I2640" t="s">
        <v>271</v>
      </c>
      <c r="J2640" s="25">
        <v>3</v>
      </c>
      <c r="K2640" s="26">
        <v>0.37</v>
      </c>
      <c r="L2640" s="26">
        <v>0.01</v>
      </c>
    </row>
    <row r="2641" spans="1:12" ht="16" customHeight="1">
      <c r="A2641" t="s">
        <v>441</v>
      </c>
      <c r="B2641" t="s">
        <v>3</v>
      </c>
      <c r="C2641" t="s">
        <v>44</v>
      </c>
      <c r="D2641" s="24">
        <v>46113</v>
      </c>
      <c r="E2641" t="s">
        <v>232</v>
      </c>
      <c r="F2641" t="s">
        <v>4</v>
      </c>
      <c r="G2641" t="s">
        <v>217</v>
      </c>
      <c r="H2641" t="s">
        <v>217</v>
      </c>
      <c r="I2641" t="s">
        <v>272</v>
      </c>
      <c r="J2641" s="25">
        <v>344</v>
      </c>
      <c r="K2641" s="26">
        <v>57.25</v>
      </c>
      <c r="L2641" s="26">
        <v>3.84</v>
      </c>
    </row>
    <row r="2642" spans="1:12" ht="16" customHeight="1">
      <c r="A2642" t="s">
        <v>441</v>
      </c>
      <c r="B2642" t="s">
        <v>3</v>
      </c>
      <c r="C2642" t="s">
        <v>44</v>
      </c>
      <c r="D2642" s="24">
        <v>46113</v>
      </c>
      <c r="E2642" t="s">
        <v>234</v>
      </c>
      <c r="F2642" t="s">
        <v>4</v>
      </c>
      <c r="G2642" t="s">
        <v>217</v>
      </c>
      <c r="H2642" t="s">
        <v>217</v>
      </c>
      <c r="I2642" t="s">
        <v>273</v>
      </c>
      <c r="J2642" s="25">
        <v>0</v>
      </c>
      <c r="K2642" s="26">
        <v>0</v>
      </c>
      <c r="L2642" s="26">
        <v>0</v>
      </c>
    </row>
    <row r="2643" spans="1:12" ht="16" customHeight="1">
      <c r="A2643" t="s">
        <v>441</v>
      </c>
      <c r="B2643" t="s">
        <v>3</v>
      </c>
      <c r="C2643" t="s">
        <v>44</v>
      </c>
      <c r="D2643" s="24">
        <v>46113</v>
      </c>
      <c r="E2643" t="s">
        <v>236</v>
      </c>
      <c r="F2643" t="s">
        <v>4</v>
      </c>
      <c r="G2643" t="s">
        <v>217</v>
      </c>
      <c r="H2643" t="s">
        <v>217</v>
      </c>
      <c r="I2643" t="s">
        <v>274</v>
      </c>
      <c r="J2643" s="25">
        <v>5</v>
      </c>
      <c r="K2643" s="26">
        <v>0.83</v>
      </c>
      <c r="L2643" s="26">
        <v>0.05</v>
      </c>
    </row>
    <row r="2644" spans="1:12" ht="16" customHeight="1">
      <c r="A2644" t="s">
        <v>441</v>
      </c>
      <c r="B2644" t="s">
        <v>3</v>
      </c>
      <c r="C2644" t="s">
        <v>44</v>
      </c>
      <c r="D2644" s="24">
        <v>46113</v>
      </c>
      <c r="E2644" t="s">
        <v>238</v>
      </c>
      <c r="F2644" t="s">
        <v>4</v>
      </c>
      <c r="G2644" t="s">
        <v>217</v>
      </c>
      <c r="H2644" t="s">
        <v>217</v>
      </c>
      <c r="I2644" t="s">
        <v>275</v>
      </c>
      <c r="J2644" s="25">
        <v>0</v>
      </c>
      <c r="K2644" s="26">
        <v>0</v>
      </c>
      <c r="L2644" s="26">
        <v>0</v>
      </c>
    </row>
    <row r="2645" spans="1:12" ht="16" customHeight="1">
      <c r="A2645" t="s">
        <v>441</v>
      </c>
      <c r="B2645" t="s">
        <v>3</v>
      </c>
      <c r="C2645" t="s">
        <v>44</v>
      </c>
      <c r="D2645" s="24">
        <v>46113</v>
      </c>
      <c r="E2645" t="s">
        <v>240</v>
      </c>
      <c r="F2645" t="s">
        <v>3</v>
      </c>
      <c r="G2645" t="s">
        <v>241</v>
      </c>
      <c r="H2645" t="s">
        <v>241</v>
      </c>
      <c r="I2645" t="s">
        <v>276</v>
      </c>
      <c r="J2645" s="25">
        <v>3</v>
      </c>
      <c r="K2645" s="26">
        <v>0.5</v>
      </c>
      <c r="L2645" s="26">
        <v>0.03</v>
      </c>
    </row>
    <row r="2646" spans="1:12" ht="16" customHeight="1">
      <c r="A2646" t="s">
        <v>441</v>
      </c>
      <c r="B2646" t="s">
        <v>3</v>
      </c>
      <c r="C2646" t="s">
        <v>44</v>
      </c>
      <c r="D2646" s="24">
        <v>46113</v>
      </c>
      <c r="E2646" t="s">
        <v>243</v>
      </c>
      <c r="F2646" t="s">
        <v>4</v>
      </c>
      <c r="G2646" t="s">
        <v>217</v>
      </c>
      <c r="H2646" t="s">
        <v>217</v>
      </c>
      <c r="I2646" t="s">
        <v>277</v>
      </c>
      <c r="J2646" s="25">
        <v>0</v>
      </c>
      <c r="K2646" s="26">
        <v>0</v>
      </c>
      <c r="L2646" s="26">
        <v>0</v>
      </c>
    </row>
    <row r="2647" spans="1:12" ht="16" customHeight="1">
      <c r="A2647" t="s">
        <v>441</v>
      </c>
      <c r="B2647" t="s">
        <v>3</v>
      </c>
      <c r="C2647" t="s">
        <v>44</v>
      </c>
      <c r="D2647" s="24">
        <v>46113</v>
      </c>
      <c r="E2647" t="s">
        <v>360</v>
      </c>
      <c r="F2647" t="s">
        <v>4</v>
      </c>
      <c r="G2647" t="s">
        <v>217</v>
      </c>
      <c r="H2647" t="s">
        <v>217</v>
      </c>
      <c r="I2647" t="s">
        <v>278</v>
      </c>
      <c r="J2647" s="25">
        <v>0</v>
      </c>
      <c r="K2647" s="26">
        <v>0</v>
      </c>
      <c r="L2647" s="26">
        <v>0</v>
      </c>
    </row>
    <row r="2648" spans="1:12" ht="16" customHeight="1">
      <c r="A2648" t="s">
        <v>420</v>
      </c>
      <c r="B2648" t="s">
        <v>4</v>
      </c>
      <c r="C2648" t="s">
        <v>44</v>
      </c>
      <c r="D2648" s="24">
        <v>46113</v>
      </c>
      <c r="E2648" t="s">
        <v>420</v>
      </c>
      <c r="F2648" t="s">
        <v>4</v>
      </c>
      <c r="G2648" t="s">
        <v>211</v>
      </c>
      <c r="H2648" t="s">
        <v>211</v>
      </c>
      <c r="I2648" t="s">
        <v>212</v>
      </c>
      <c r="J2648" s="25">
        <v>419392746</v>
      </c>
      <c r="K2648" s="26">
        <v>62643338.079999998</v>
      </c>
      <c r="L2648" s="26">
        <v>85095.9</v>
      </c>
    </row>
    <row r="2649" spans="1:12" ht="16" customHeight="1">
      <c r="A2649" t="s">
        <v>420</v>
      </c>
      <c r="B2649" t="s">
        <v>4</v>
      </c>
      <c r="C2649" t="s">
        <v>44</v>
      </c>
      <c r="D2649" s="24">
        <v>46113</v>
      </c>
      <c r="E2649" t="s">
        <v>425</v>
      </c>
      <c r="F2649" t="s">
        <v>3</v>
      </c>
      <c r="G2649" t="s">
        <v>241</v>
      </c>
      <c r="H2649" t="s">
        <v>241</v>
      </c>
      <c r="I2649" t="s">
        <v>212</v>
      </c>
      <c r="J2649" s="25">
        <v>8399372</v>
      </c>
      <c r="K2649" s="26">
        <v>1251003.83</v>
      </c>
      <c r="L2649" s="26">
        <v>8131.52</v>
      </c>
    </row>
    <row r="2650" spans="1:12" ht="16" customHeight="1">
      <c r="A2650" t="s">
        <v>420</v>
      </c>
      <c r="B2650" t="s">
        <v>4</v>
      </c>
      <c r="C2650" t="s">
        <v>44</v>
      </c>
      <c r="D2650" s="24">
        <v>46113</v>
      </c>
      <c r="E2650" t="s">
        <v>430</v>
      </c>
      <c r="F2650" t="s">
        <v>4</v>
      </c>
      <c r="G2650" t="s">
        <v>211</v>
      </c>
      <c r="H2650" t="s">
        <v>211</v>
      </c>
      <c r="I2650" t="s">
        <v>212</v>
      </c>
      <c r="J2650" s="25">
        <v>206645</v>
      </c>
      <c r="K2650" s="26">
        <v>30786.15</v>
      </c>
      <c r="L2650" s="26">
        <v>277.42</v>
      </c>
    </row>
    <row r="2651" spans="1:12" ht="16" customHeight="1">
      <c r="A2651" t="s">
        <v>420</v>
      </c>
      <c r="B2651" t="s">
        <v>4</v>
      </c>
      <c r="C2651" t="s">
        <v>44</v>
      </c>
      <c r="D2651" s="24">
        <v>46113</v>
      </c>
      <c r="E2651" t="s">
        <v>387</v>
      </c>
      <c r="F2651" t="s">
        <v>4</v>
      </c>
      <c r="G2651" t="s">
        <v>217</v>
      </c>
      <c r="H2651" t="s">
        <v>217</v>
      </c>
      <c r="I2651" t="s">
        <v>212</v>
      </c>
      <c r="J2651" s="25">
        <v>1204589</v>
      </c>
      <c r="K2651" s="26">
        <v>184568.95999999999</v>
      </c>
      <c r="L2651" s="26">
        <v>2725.32</v>
      </c>
    </row>
    <row r="2652" spans="1:12" ht="16" customHeight="1">
      <c r="A2652" t="s">
        <v>420</v>
      </c>
      <c r="B2652" t="s">
        <v>4</v>
      </c>
      <c r="C2652" t="s">
        <v>44</v>
      </c>
      <c r="D2652" s="24">
        <v>46113</v>
      </c>
      <c r="E2652" t="s">
        <v>436</v>
      </c>
      <c r="F2652" t="s">
        <v>4</v>
      </c>
      <c r="G2652" t="s">
        <v>211</v>
      </c>
      <c r="H2652" t="s">
        <v>211</v>
      </c>
      <c r="I2652" t="s">
        <v>219</v>
      </c>
      <c r="J2652" s="25">
        <v>3181</v>
      </c>
      <c r="K2652" s="26">
        <v>499.67</v>
      </c>
      <c r="L2652" s="26">
        <v>5.23</v>
      </c>
    </row>
    <row r="2653" spans="1:12" ht="16" customHeight="1">
      <c r="A2653" t="s">
        <v>420</v>
      </c>
      <c r="B2653" t="s">
        <v>4</v>
      </c>
      <c r="C2653" t="s">
        <v>44</v>
      </c>
      <c r="D2653" s="24">
        <v>46113</v>
      </c>
      <c r="E2653" t="s">
        <v>416</v>
      </c>
      <c r="F2653" t="s">
        <v>4</v>
      </c>
      <c r="G2653" t="s">
        <v>217</v>
      </c>
      <c r="H2653" t="s">
        <v>217</v>
      </c>
      <c r="I2653" t="s">
        <v>219</v>
      </c>
      <c r="J2653" s="25">
        <v>110781</v>
      </c>
      <c r="K2653" s="26">
        <v>17398.759999999998</v>
      </c>
      <c r="L2653" s="26">
        <v>251.72</v>
      </c>
    </row>
    <row r="2654" spans="1:12" ht="16" customHeight="1">
      <c r="A2654" t="s">
        <v>420</v>
      </c>
      <c r="B2654" t="s">
        <v>4</v>
      </c>
      <c r="C2654" t="s">
        <v>44</v>
      </c>
      <c r="D2654" s="24">
        <v>46113</v>
      </c>
      <c r="E2654" t="s">
        <v>226</v>
      </c>
      <c r="F2654" t="s">
        <v>4</v>
      </c>
      <c r="G2654" t="s">
        <v>217</v>
      </c>
      <c r="H2654" t="s">
        <v>217</v>
      </c>
      <c r="I2654" t="s">
        <v>221</v>
      </c>
      <c r="J2654" s="25">
        <v>87000</v>
      </c>
      <c r="K2654" s="26">
        <v>13282.57</v>
      </c>
      <c r="L2654" s="26">
        <v>285.87</v>
      </c>
    </row>
    <row r="2655" spans="1:12" ht="16" customHeight="1">
      <c r="A2655" t="s">
        <v>420</v>
      </c>
      <c r="B2655" t="s">
        <v>4</v>
      </c>
      <c r="C2655" t="s">
        <v>44</v>
      </c>
      <c r="D2655" s="24">
        <v>46113</v>
      </c>
      <c r="E2655" t="s">
        <v>269</v>
      </c>
      <c r="F2655" t="s">
        <v>4</v>
      </c>
      <c r="G2655" t="s">
        <v>217</v>
      </c>
      <c r="H2655" t="s">
        <v>217</v>
      </c>
      <c r="I2655" t="s">
        <v>267</v>
      </c>
      <c r="J2655" s="25">
        <v>7642</v>
      </c>
      <c r="K2655" s="26">
        <v>1223.1600000000001</v>
      </c>
      <c r="L2655" s="26">
        <v>25.4</v>
      </c>
    </row>
    <row r="2656" spans="1:12" ht="16" customHeight="1">
      <c r="A2656" t="s">
        <v>420</v>
      </c>
      <c r="B2656" t="s">
        <v>4</v>
      </c>
      <c r="C2656" t="s">
        <v>44</v>
      </c>
      <c r="D2656" s="24">
        <v>46113</v>
      </c>
      <c r="E2656" t="s">
        <v>228</v>
      </c>
      <c r="F2656" t="s">
        <v>4</v>
      </c>
      <c r="G2656" t="s">
        <v>217</v>
      </c>
      <c r="H2656" t="s">
        <v>217</v>
      </c>
      <c r="I2656" t="s">
        <v>268</v>
      </c>
      <c r="J2656" s="25">
        <v>33954</v>
      </c>
      <c r="K2656" s="26">
        <v>5307.95</v>
      </c>
      <c r="L2656" s="26">
        <v>157.47</v>
      </c>
    </row>
    <row r="2657" spans="1:12" ht="16" customHeight="1">
      <c r="A2657" t="s">
        <v>420</v>
      </c>
      <c r="B2657" t="s">
        <v>4</v>
      </c>
      <c r="C2657" t="s">
        <v>44</v>
      </c>
      <c r="D2657" s="24">
        <v>46113</v>
      </c>
      <c r="E2657" t="s">
        <v>439</v>
      </c>
      <c r="F2657" t="s">
        <v>4</v>
      </c>
      <c r="G2657" t="s">
        <v>217</v>
      </c>
      <c r="H2657" t="s">
        <v>217</v>
      </c>
      <c r="I2657" t="s">
        <v>270</v>
      </c>
      <c r="J2657" s="25">
        <v>0</v>
      </c>
      <c r="K2657" s="26">
        <v>0</v>
      </c>
      <c r="L2657" s="26">
        <v>0</v>
      </c>
    </row>
    <row r="2658" spans="1:12" ht="16" customHeight="1">
      <c r="A2658" t="s">
        <v>420</v>
      </c>
      <c r="B2658" t="s">
        <v>4</v>
      </c>
      <c r="C2658" t="s">
        <v>44</v>
      </c>
      <c r="D2658" s="24">
        <v>46113</v>
      </c>
      <c r="E2658" t="s">
        <v>230</v>
      </c>
      <c r="F2658" t="s">
        <v>4</v>
      </c>
      <c r="G2658" t="s">
        <v>217</v>
      </c>
      <c r="H2658" t="s">
        <v>217</v>
      </c>
      <c r="I2658" t="s">
        <v>271</v>
      </c>
      <c r="J2658" s="25">
        <v>0</v>
      </c>
      <c r="K2658" s="26">
        <v>0</v>
      </c>
      <c r="L2658" s="26">
        <v>0</v>
      </c>
    </row>
    <row r="2659" spans="1:12" ht="16" customHeight="1">
      <c r="A2659" t="s">
        <v>420</v>
      </c>
      <c r="B2659" t="s">
        <v>4</v>
      </c>
      <c r="C2659" t="s">
        <v>44</v>
      </c>
      <c r="D2659" s="24">
        <v>46113</v>
      </c>
      <c r="E2659" t="s">
        <v>232</v>
      </c>
      <c r="F2659" t="s">
        <v>4</v>
      </c>
      <c r="G2659" t="s">
        <v>217</v>
      </c>
      <c r="H2659" t="s">
        <v>217</v>
      </c>
      <c r="I2659" t="s">
        <v>272</v>
      </c>
      <c r="J2659" s="25">
        <v>179</v>
      </c>
      <c r="K2659" s="26">
        <v>31.47</v>
      </c>
      <c r="L2659" s="26">
        <v>1.93</v>
      </c>
    </row>
    <row r="2660" spans="1:12" ht="16" customHeight="1">
      <c r="A2660" t="s">
        <v>420</v>
      </c>
      <c r="B2660" t="s">
        <v>4</v>
      </c>
      <c r="C2660" t="s">
        <v>44</v>
      </c>
      <c r="D2660" s="24">
        <v>46113</v>
      </c>
      <c r="E2660" t="s">
        <v>234</v>
      </c>
      <c r="F2660" t="s">
        <v>4</v>
      </c>
      <c r="G2660" t="s">
        <v>217</v>
      </c>
      <c r="H2660" t="s">
        <v>217</v>
      </c>
      <c r="I2660" t="s">
        <v>273</v>
      </c>
      <c r="J2660" s="25">
        <v>1</v>
      </c>
      <c r="K2660" s="26">
        <v>0.15</v>
      </c>
      <c r="L2660" s="26">
        <v>0.01</v>
      </c>
    </row>
    <row r="2661" spans="1:12" ht="16" customHeight="1">
      <c r="A2661" t="s">
        <v>420</v>
      </c>
      <c r="B2661" t="s">
        <v>4</v>
      </c>
      <c r="C2661" t="s">
        <v>44</v>
      </c>
      <c r="D2661" s="24">
        <v>46113</v>
      </c>
      <c r="E2661" t="s">
        <v>236</v>
      </c>
      <c r="F2661" t="s">
        <v>4</v>
      </c>
      <c r="G2661" t="s">
        <v>217</v>
      </c>
      <c r="H2661" t="s">
        <v>217</v>
      </c>
      <c r="I2661" t="s">
        <v>274</v>
      </c>
      <c r="J2661" s="25">
        <v>14</v>
      </c>
      <c r="K2661" s="26">
        <v>2.27</v>
      </c>
      <c r="L2661" s="26">
        <v>0.12</v>
      </c>
    </row>
    <row r="2662" spans="1:12" ht="16" customHeight="1">
      <c r="A2662" t="s">
        <v>420</v>
      </c>
      <c r="B2662" t="s">
        <v>4</v>
      </c>
      <c r="C2662" t="s">
        <v>44</v>
      </c>
      <c r="D2662" s="24">
        <v>46113</v>
      </c>
      <c r="E2662" t="s">
        <v>238</v>
      </c>
      <c r="F2662" t="s">
        <v>4</v>
      </c>
      <c r="G2662" t="s">
        <v>217</v>
      </c>
      <c r="H2662" t="s">
        <v>217</v>
      </c>
      <c r="I2662" t="s">
        <v>275</v>
      </c>
      <c r="J2662" s="25">
        <v>0</v>
      </c>
      <c r="K2662" s="26">
        <v>0</v>
      </c>
      <c r="L2662" s="26">
        <v>0</v>
      </c>
    </row>
    <row r="2663" spans="1:12" ht="16" customHeight="1">
      <c r="A2663" t="s">
        <v>420</v>
      </c>
      <c r="B2663" t="s">
        <v>4</v>
      </c>
      <c r="C2663" t="s">
        <v>44</v>
      </c>
      <c r="D2663" s="24">
        <v>46113</v>
      </c>
      <c r="E2663" t="s">
        <v>240</v>
      </c>
      <c r="F2663" t="s">
        <v>3</v>
      </c>
      <c r="G2663" t="s">
        <v>241</v>
      </c>
      <c r="H2663" t="s">
        <v>241</v>
      </c>
      <c r="I2663" t="s">
        <v>276</v>
      </c>
      <c r="J2663" s="25">
        <v>2</v>
      </c>
      <c r="K2663" s="26">
        <v>0.37</v>
      </c>
      <c r="L2663" s="26">
        <v>0.03</v>
      </c>
    </row>
    <row r="2664" spans="1:12" ht="16" customHeight="1">
      <c r="A2664" t="s">
        <v>420</v>
      </c>
      <c r="B2664" t="s">
        <v>4</v>
      </c>
      <c r="C2664" t="s">
        <v>44</v>
      </c>
      <c r="D2664" s="24">
        <v>46113</v>
      </c>
      <c r="E2664" t="s">
        <v>243</v>
      </c>
      <c r="F2664" t="s">
        <v>4</v>
      </c>
      <c r="G2664" t="s">
        <v>217</v>
      </c>
      <c r="H2664" t="s">
        <v>217</v>
      </c>
      <c r="I2664" t="s">
        <v>277</v>
      </c>
      <c r="J2664" s="25">
        <v>0</v>
      </c>
      <c r="K2664" s="26">
        <v>0</v>
      </c>
      <c r="L2664" s="26">
        <v>0</v>
      </c>
    </row>
    <row r="2665" spans="1:12" ht="16" customHeight="1">
      <c r="A2665" t="s">
        <v>420</v>
      </c>
      <c r="B2665" t="s">
        <v>4</v>
      </c>
      <c r="C2665" t="s">
        <v>44</v>
      </c>
      <c r="D2665" s="24">
        <v>46113</v>
      </c>
      <c r="E2665" t="s">
        <v>360</v>
      </c>
      <c r="F2665" t="s">
        <v>4</v>
      </c>
      <c r="G2665" t="s">
        <v>217</v>
      </c>
      <c r="H2665" t="s">
        <v>217</v>
      </c>
      <c r="I2665" t="s">
        <v>278</v>
      </c>
      <c r="J2665" s="25">
        <v>0</v>
      </c>
      <c r="K2665" s="26">
        <v>0</v>
      </c>
      <c r="L2665" s="26">
        <v>0</v>
      </c>
    </row>
    <row r="2666" spans="1:12" ht="16" customHeight="1">
      <c r="A2666" t="s">
        <v>442</v>
      </c>
      <c r="B2666" t="s">
        <v>5</v>
      </c>
      <c r="C2666" t="s">
        <v>45</v>
      </c>
      <c r="D2666" s="24">
        <v>46113</v>
      </c>
      <c r="E2666" t="s">
        <v>425</v>
      </c>
      <c r="F2666" t="s">
        <v>3</v>
      </c>
      <c r="G2666" t="s">
        <v>241</v>
      </c>
      <c r="H2666" t="s">
        <v>241</v>
      </c>
      <c r="I2666" t="s">
        <v>212</v>
      </c>
      <c r="J2666" s="25">
        <v>43555413</v>
      </c>
      <c r="K2666" s="26">
        <v>6748542.8799999999</v>
      </c>
      <c r="L2666" s="26">
        <v>34746.589999999997</v>
      </c>
    </row>
    <row r="2667" spans="1:12" ht="16" customHeight="1">
      <c r="A2667" t="s">
        <v>442</v>
      </c>
      <c r="B2667" t="s">
        <v>5</v>
      </c>
      <c r="C2667" t="s">
        <v>45</v>
      </c>
      <c r="D2667" s="24">
        <v>46113</v>
      </c>
      <c r="E2667" t="s">
        <v>430</v>
      </c>
      <c r="F2667" t="s">
        <v>4</v>
      </c>
      <c r="G2667" t="s">
        <v>211</v>
      </c>
      <c r="H2667" t="s">
        <v>211</v>
      </c>
      <c r="I2667" t="s">
        <v>212</v>
      </c>
      <c r="J2667" s="25">
        <v>916245</v>
      </c>
      <c r="K2667" s="26">
        <v>141838.99</v>
      </c>
      <c r="L2667" s="26">
        <v>951.18</v>
      </c>
    </row>
    <row r="2668" spans="1:12" ht="16" customHeight="1">
      <c r="A2668" t="s">
        <v>442</v>
      </c>
      <c r="B2668" t="s">
        <v>5</v>
      </c>
      <c r="C2668" t="s">
        <v>45</v>
      </c>
      <c r="D2668" s="24">
        <v>46113</v>
      </c>
      <c r="E2668" t="s">
        <v>387</v>
      </c>
      <c r="F2668" t="s">
        <v>4</v>
      </c>
      <c r="G2668" t="s">
        <v>217</v>
      </c>
      <c r="H2668" t="s">
        <v>217</v>
      </c>
      <c r="I2668" t="s">
        <v>212</v>
      </c>
      <c r="J2668" s="25">
        <v>2506003</v>
      </c>
      <c r="K2668" s="26">
        <v>388553.6</v>
      </c>
      <c r="L2668" s="26">
        <v>4023.75</v>
      </c>
    </row>
    <row r="2669" spans="1:12" ht="16" customHeight="1">
      <c r="A2669" t="s">
        <v>442</v>
      </c>
      <c r="B2669" t="s">
        <v>5</v>
      </c>
      <c r="C2669" t="s">
        <v>45</v>
      </c>
      <c r="D2669" s="24">
        <v>46113</v>
      </c>
      <c r="E2669" t="s">
        <v>436</v>
      </c>
      <c r="F2669" t="s">
        <v>4</v>
      </c>
      <c r="G2669" t="s">
        <v>211</v>
      </c>
      <c r="H2669" t="s">
        <v>211</v>
      </c>
      <c r="I2669" t="s">
        <v>219</v>
      </c>
      <c r="J2669" s="25">
        <v>21084</v>
      </c>
      <c r="K2669" s="26">
        <v>3311.01</v>
      </c>
      <c r="L2669" s="26">
        <v>44.75</v>
      </c>
    </row>
    <row r="2670" spans="1:12" ht="16" customHeight="1">
      <c r="A2670" t="s">
        <v>442</v>
      </c>
      <c r="B2670" t="s">
        <v>5</v>
      </c>
      <c r="C2670" t="s">
        <v>45</v>
      </c>
      <c r="D2670" s="24">
        <v>46113</v>
      </c>
      <c r="E2670" t="s">
        <v>443</v>
      </c>
      <c r="F2670" t="s">
        <v>4</v>
      </c>
      <c r="G2670" t="s">
        <v>211</v>
      </c>
      <c r="H2670" t="s">
        <v>211</v>
      </c>
      <c r="I2670" t="s">
        <v>219</v>
      </c>
      <c r="J2670" s="25">
        <v>125</v>
      </c>
      <c r="K2670" s="26">
        <v>19.66</v>
      </c>
      <c r="L2670" s="26">
        <v>0.23</v>
      </c>
    </row>
    <row r="2671" spans="1:12" ht="16" customHeight="1">
      <c r="A2671" t="s">
        <v>442</v>
      </c>
      <c r="B2671" t="s">
        <v>5</v>
      </c>
      <c r="C2671" t="s">
        <v>45</v>
      </c>
      <c r="D2671" s="24">
        <v>46113</v>
      </c>
      <c r="E2671" t="s">
        <v>416</v>
      </c>
      <c r="F2671" t="s">
        <v>4</v>
      </c>
      <c r="G2671" t="s">
        <v>217</v>
      </c>
      <c r="H2671" t="s">
        <v>217</v>
      </c>
      <c r="I2671" t="s">
        <v>219</v>
      </c>
      <c r="J2671" s="25">
        <v>308642</v>
      </c>
      <c r="K2671" s="26">
        <v>48388.87</v>
      </c>
      <c r="L2671" s="26">
        <v>664.88</v>
      </c>
    </row>
    <row r="2672" spans="1:12" ht="16" customHeight="1">
      <c r="A2672" t="s">
        <v>442</v>
      </c>
      <c r="B2672" t="s">
        <v>5</v>
      </c>
      <c r="C2672" t="s">
        <v>45</v>
      </c>
      <c r="D2672" s="24">
        <v>46113</v>
      </c>
      <c r="E2672" t="s">
        <v>226</v>
      </c>
      <c r="F2672" t="s">
        <v>4</v>
      </c>
      <c r="G2672" t="s">
        <v>217</v>
      </c>
      <c r="H2672" t="s">
        <v>217</v>
      </c>
      <c r="I2672" t="s">
        <v>221</v>
      </c>
      <c r="J2672" s="25">
        <v>278690</v>
      </c>
      <c r="K2672" s="26">
        <v>42676.84</v>
      </c>
      <c r="L2672" s="26">
        <v>706.02</v>
      </c>
    </row>
    <row r="2673" spans="1:12" ht="16" customHeight="1">
      <c r="A2673" t="s">
        <v>442</v>
      </c>
      <c r="B2673" t="s">
        <v>5</v>
      </c>
      <c r="C2673" t="s">
        <v>45</v>
      </c>
      <c r="D2673" s="24">
        <v>46113</v>
      </c>
      <c r="E2673" t="s">
        <v>269</v>
      </c>
      <c r="F2673" t="s">
        <v>4</v>
      </c>
      <c r="G2673" t="s">
        <v>217</v>
      </c>
      <c r="H2673" t="s">
        <v>217</v>
      </c>
      <c r="I2673" t="s">
        <v>267</v>
      </c>
      <c r="J2673" s="25">
        <v>38394</v>
      </c>
      <c r="K2673" s="26">
        <v>6085.35</v>
      </c>
      <c r="L2673" s="26">
        <v>114.62</v>
      </c>
    </row>
    <row r="2674" spans="1:12" ht="16" customHeight="1">
      <c r="A2674" t="s">
        <v>442</v>
      </c>
      <c r="B2674" t="s">
        <v>5</v>
      </c>
      <c r="C2674" t="s">
        <v>45</v>
      </c>
      <c r="D2674" s="24">
        <v>46113</v>
      </c>
      <c r="E2674" t="s">
        <v>228</v>
      </c>
      <c r="F2674" t="s">
        <v>4</v>
      </c>
      <c r="G2674" t="s">
        <v>217</v>
      </c>
      <c r="H2674" t="s">
        <v>217</v>
      </c>
      <c r="I2674" t="s">
        <v>268</v>
      </c>
      <c r="J2674" s="25">
        <v>79381</v>
      </c>
      <c r="K2674" s="26">
        <v>12257.72</v>
      </c>
      <c r="L2674" s="26">
        <v>311.64999999999998</v>
      </c>
    </row>
    <row r="2675" spans="1:12" ht="16" customHeight="1">
      <c r="A2675" t="s">
        <v>442</v>
      </c>
      <c r="B2675" t="s">
        <v>5</v>
      </c>
      <c r="C2675" t="s">
        <v>45</v>
      </c>
      <c r="D2675" s="24">
        <v>46113</v>
      </c>
      <c r="E2675" t="s">
        <v>439</v>
      </c>
      <c r="F2675" t="s">
        <v>4</v>
      </c>
      <c r="G2675" t="s">
        <v>217</v>
      </c>
      <c r="H2675" t="s">
        <v>217</v>
      </c>
      <c r="I2675" t="s">
        <v>270</v>
      </c>
      <c r="J2675" s="25">
        <v>0</v>
      </c>
      <c r="K2675" s="26">
        <v>0</v>
      </c>
      <c r="L2675" s="26">
        <v>0</v>
      </c>
    </row>
    <row r="2676" spans="1:12" ht="16" customHeight="1">
      <c r="A2676" t="s">
        <v>442</v>
      </c>
      <c r="B2676" t="s">
        <v>5</v>
      </c>
      <c r="C2676" t="s">
        <v>45</v>
      </c>
      <c r="D2676" s="24">
        <v>46113</v>
      </c>
      <c r="E2676" t="s">
        <v>230</v>
      </c>
      <c r="F2676" t="s">
        <v>4</v>
      </c>
      <c r="G2676" t="s">
        <v>217</v>
      </c>
      <c r="H2676" t="s">
        <v>217</v>
      </c>
      <c r="I2676" t="s">
        <v>271</v>
      </c>
      <c r="J2676" s="25">
        <v>19</v>
      </c>
      <c r="K2676" s="26">
        <v>2.64</v>
      </c>
      <c r="L2676" s="26">
        <v>0.04</v>
      </c>
    </row>
    <row r="2677" spans="1:12" ht="16" customHeight="1">
      <c r="A2677" t="s">
        <v>442</v>
      </c>
      <c r="B2677" t="s">
        <v>5</v>
      </c>
      <c r="C2677" t="s">
        <v>45</v>
      </c>
      <c r="D2677" s="24">
        <v>46113</v>
      </c>
      <c r="E2677" t="s">
        <v>232</v>
      </c>
      <c r="F2677" t="s">
        <v>4</v>
      </c>
      <c r="G2677" t="s">
        <v>217</v>
      </c>
      <c r="H2677" t="s">
        <v>217</v>
      </c>
      <c r="I2677" t="s">
        <v>272</v>
      </c>
      <c r="J2677" s="25">
        <v>483</v>
      </c>
      <c r="K2677" s="26">
        <v>84.21</v>
      </c>
      <c r="L2677" s="26">
        <v>5.39</v>
      </c>
    </row>
    <row r="2678" spans="1:12" ht="16" customHeight="1">
      <c r="A2678" t="s">
        <v>442</v>
      </c>
      <c r="B2678" t="s">
        <v>5</v>
      </c>
      <c r="C2678" t="s">
        <v>45</v>
      </c>
      <c r="D2678" s="24">
        <v>46113</v>
      </c>
      <c r="E2678" t="s">
        <v>234</v>
      </c>
      <c r="F2678" t="s">
        <v>4</v>
      </c>
      <c r="G2678" t="s">
        <v>217</v>
      </c>
      <c r="H2678" t="s">
        <v>217</v>
      </c>
      <c r="I2678" t="s">
        <v>273</v>
      </c>
      <c r="J2678" s="25">
        <v>0</v>
      </c>
      <c r="K2678" s="26">
        <v>0</v>
      </c>
      <c r="L2678" s="26">
        <v>0</v>
      </c>
    </row>
    <row r="2679" spans="1:12" ht="16" customHeight="1">
      <c r="A2679" t="s">
        <v>442</v>
      </c>
      <c r="B2679" t="s">
        <v>5</v>
      </c>
      <c r="C2679" t="s">
        <v>45</v>
      </c>
      <c r="D2679" s="24">
        <v>46113</v>
      </c>
      <c r="E2679" t="s">
        <v>236</v>
      </c>
      <c r="F2679" t="s">
        <v>4</v>
      </c>
      <c r="G2679" t="s">
        <v>217</v>
      </c>
      <c r="H2679" t="s">
        <v>217</v>
      </c>
      <c r="I2679" t="s">
        <v>274</v>
      </c>
      <c r="J2679" s="25">
        <v>20</v>
      </c>
      <c r="K2679" s="26">
        <v>3.36</v>
      </c>
      <c r="L2679" s="26">
        <v>0.15</v>
      </c>
    </row>
    <row r="2680" spans="1:12" ht="16" customHeight="1">
      <c r="A2680" t="s">
        <v>442</v>
      </c>
      <c r="B2680" t="s">
        <v>5</v>
      </c>
      <c r="C2680" t="s">
        <v>45</v>
      </c>
      <c r="D2680" s="24">
        <v>46113</v>
      </c>
      <c r="E2680" t="s">
        <v>238</v>
      </c>
      <c r="F2680" t="s">
        <v>4</v>
      </c>
      <c r="G2680" t="s">
        <v>217</v>
      </c>
      <c r="H2680" t="s">
        <v>217</v>
      </c>
      <c r="I2680" t="s">
        <v>275</v>
      </c>
      <c r="J2680" s="25">
        <v>0</v>
      </c>
      <c r="K2680" s="26">
        <v>0</v>
      </c>
      <c r="L2680" s="26">
        <v>0</v>
      </c>
    </row>
    <row r="2681" spans="1:12" ht="16" customHeight="1">
      <c r="A2681" t="s">
        <v>442</v>
      </c>
      <c r="B2681" t="s">
        <v>5</v>
      </c>
      <c r="C2681" t="s">
        <v>45</v>
      </c>
      <c r="D2681" s="24">
        <v>46113</v>
      </c>
      <c r="E2681" t="s">
        <v>240</v>
      </c>
      <c r="F2681" t="s">
        <v>3</v>
      </c>
      <c r="G2681" t="s">
        <v>241</v>
      </c>
      <c r="H2681" t="s">
        <v>241</v>
      </c>
      <c r="I2681" t="s">
        <v>276</v>
      </c>
      <c r="J2681" s="25">
        <v>15</v>
      </c>
      <c r="K2681" s="26">
        <v>2.88</v>
      </c>
      <c r="L2681" s="26">
        <v>0.19</v>
      </c>
    </row>
    <row r="2682" spans="1:12" ht="16" customHeight="1">
      <c r="A2682" t="s">
        <v>442</v>
      </c>
      <c r="B2682" t="s">
        <v>5</v>
      </c>
      <c r="C2682" t="s">
        <v>45</v>
      </c>
      <c r="D2682" s="24">
        <v>46113</v>
      </c>
      <c r="E2682" t="s">
        <v>243</v>
      </c>
      <c r="F2682" t="s">
        <v>4</v>
      </c>
      <c r="G2682" t="s">
        <v>217</v>
      </c>
      <c r="H2682" t="s">
        <v>217</v>
      </c>
      <c r="I2682" t="s">
        <v>277</v>
      </c>
      <c r="J2682" s="25">
        <v>0</v>
      </c>
      <c r="K2682" s="26">
        <v>0</v>
      </c>
      <c r="L2682" s="26">
        <v>0</v>
      </c>
    </row>
    <row r="2683" spans="1:12" ht="16" customHeight="1">
      <c r="A2683" t="s">
        <v>442</v>
      </c>
      <c r="B2683" t="s">
        <v>5</v>
      </c>
      <c r="C2683" t="s">
        <v>45</v>
      </c>
      <c r="D2683" s="24">
        <v>46113</v>
      </c>
      <c r="E2683" t="s">
        <v>360</v>
      </c>
      <c r="F2683" t="s">
        <v>4</v>
      </c>
      <c r="G2683" t="s">
        <v>217</v>
      </c>
      <c r="H2683" t="s">
        <v>217</v>
      </c>
      <c r="I2683" t="s">
        <v>278</v>
      </c>
      <c r="J2683" s="25">
        <v>0</v>
      </c>
      <c r="K2683" s="26">
        <v>0</v>
      </c>
      <c r="L2683" s="26">
        <v>0</v>
      </c>
    </row>
    <row r="2684" spans="1:12" ht="16" customHeight="1">
      <c r="A2684" t="s">
        <v>444</v>
      </c>
      <c r="B2684" t="s">
        <v>6</v>
      </c>
      <c r="C2684" t="s">
        <v>45</v>
      </c>
      <c r="D2684" s="24">
        <v>46113</v>
      </c>
      <c r="E2684" t="s">
        <v>425</v>
      </c>
      <c r="F2684" t="s">
        <v>3</v>
      </c>
      <c r="G2684" t="s">
        <v>241</v>
      </c>
      <c r="H2684" t="s">
        <v>241</v>
      </c>
      <c r="I2684" t="s">
        <v>212</v>
      </c>
      <c r="J2684" s="25">
        <v>45342603</v>
      </c>
      <c r="K2684" s="26">
        <v>7043060.8300000001</v>
      </c>
      <c r="L2684" s="26">
        <v>32633.39</v>
      </c>
    </row>
    <row r="2685" spans="1:12" ht="16" customHeight="1">
      <c r="A2685" t="s">
        <v>444</v>
      </c>
      <c r="B2685" t="s">
        <v>6</v>
      </c>
      <c r="C2685" t="s">
        <v>45</v>
      </c>
      <c r="D2685" s="24">
        <v>46113</v>
      </c>
      <c r="E2685" t="s">
        <v>430</v>
      </c>
      <c r="F2685" t="s">
        <v>4</v>
      </c>
      <c r="G2685" t="s">
        <v>211</v>
      </c>
      <c r="H2685" t="s">
        <v>211</v>
      </c>
      <c r="I2685" t="s">
        <v>212</v>
      </c>
      <c r="J2685" s="25">
        <v>1253304</v>
      </c>
      <c r="K2685" s="26">
        <v>195929.21</v>
      </c>
      <c r="L2685" s="26">
        <v>1270.3399999999999</v>
      </c>
    </row>
    <row r="2686" spans="1:12" ht="16" customHeight="1">
      <c r="A2686" t="s">
        <v>444</v>
      </c>
      <c r="B2686" t="s">
        <v>6</v>
      </c>
      <c r="C2686" t="s">
        <v>45</v>
      </c>
      <c r="D2686" s="24">
        <v>46113</v>
      </c>
      <c r="E2686" t="s">
        <v>387</v>
      </c>
      <c r="F2686" t="s">
        <v>4</v>
      </c>
      <c r="G2686" t="s">
        <v>217</v>
      </c>
      <c r="H2686" t="s">
        <v>217</v>
      </c>
      <c r="I2686" t="s">
        <v>212</v>
      </c>
      <c r="J2686" s="25">
        <v>1545901</v>
      </c>
      <c r="K2686" s="26">
        <v>242228.87</v>
      </c>
      <c r="L2686" s="26">
        <v>2609.23</v>
      </c>
    </row>
    <row r="2687" spans="1:12" ht="16" customHeight="1">
      <c r="A2687" t="s">
        <v>444</v>
      </c>
      <c r="B2687" t="s">
        <v>6</v>
      </c>
      <c r="C2687" t="s">
        <v>45</v>
      </c>
      <c r="D2687" s="24">
        <v>46113</v>
      </c>
      <c r="E2687" t="s">
        <v>436</v>
      </c>
      <c r="F2687" t="s">
        <v>4</v>
      </c>
      <c r="G2687" t="s">
        <v>211</v>
      </c>
      <c r="H2687" t="s">
        <v>211</v>
      </c>
      <c r="I2687" t="s">
        <v>219</v>
      </c>
      <c r="J2687" s="25">
        <v>19426</v>
      </c>
      <c r="K2687" s="26">
        <v>3042.66</v>
      </c>
      <c r="L2687" s="26">
        <v>36.729999999999997</v>
      </c>
    </row>
    <row r="2688" spans="1:12" ht="16" customHeight="1">
      <c r="A2688" t="s">
        <v>444</v>
      </c>
      <c r="B2688" t="s">
        <v>6</v>
      </c>
      <c r="C2688" t="s">
        <v>45</v>
      </c>
      <c r="D2688" s="24">
        <v>46113</v>
      </c>
      <c r="E2688" t="s">
        <v>443</v>
      </c>
      <c r="F2688" t="s">
        <v>4</v>
      </c>
      <c r="G2688" t="s">
        <v>211</v>
      </c>
      <c r="H2688" t="s">
        <v>211</v>
      </c>
      <c r="I2688" t="s">
        <v>219</v>
      </c>
      <c r="J2688" s="25">
        <v>400</v>
      </c>
      <c r="K2688" s="26">
        <v>64.69</v>
      </c>
      <c r="L2688" s="26">
        <v>0.57999999999999996</v>
      </c>
    </row>
    <row r="2689" spans="1:12" ht="16" customHeight="1">
      <c r="A2689" t="s">
        <v>444</v>
      </c>
      <c r="B2689" t="s">
        <v>6</v>
      </c>
      <c r="C2689" t="s">
        <v>45</v>
      </c>
      <c r="D2689" s="24">
        <v>46113</v>
      </c>
      <c r="E2689" t="s">
        <v>416</v>
      </c>
      <c r="F2689" t="s">
        <v>4</v>
      </c>
      <c r="G2689" t="s">
        <v>217</v>
      </c>
      <c r="H2689" t="s">
        <v>217</v>
      </c>
      <c r="I2689" t="s">
        <v>219</v>
      </c>
      <c r="J2689" s="25">
        <v>154079</v>
      </c>
      <c r="K2689" s="26">
        <v>24578.85</v>
      </c>
      <c r="L2689" s="26">
        <v>335</v>
      </c>
    </row>
    <row r="2690" spans="1:12" ht="16" customHeight="1">
      <c r="A2690" t="s">
        <v>444</v>
      </c>
      <c r="B2690" t="s">
        <v>6</v>
      </c>
      <c r="C2690" t="s">
        <v>45</v>
      </c>
      <c r="D2690" s="24">
        <v>46113</v>
      </c>
      <c r="E2690" t="s">
        <v>226</v>
      </c>
      <c r="F2690" t="s">
        <v>4</v>
      </c>
      <c r="G2690" t="s">
        <v>217</v>
      </c>
      <c r="H2690" t="s">
        <v>217</v>
      </c>
      <c r="I2690" t="s">
        <v>221</v>
      </c>
      <c r="J2690" s="25">
        <v>125314</v>
      </c>
      <c r="K2690" s="26">
        <v>19562.09</v>
      </c>
      <c r="L2690" s="26">
        <v>335.02</v>
      </c>
    </row>
    <row r="2691" spans="1:12" ht="16" customHeight="1">
      <c r="A2691" t="s">
        <v>444</v>
      </c>
      <c r="B2691" t="s">
        <v>6</v>
      </c>
      <c r="C2691" t="s">
        <v>45</v>
      </c>
      <c r="D2691" s="24">
        <v>46113</v>
      </c>
      <c r="E2691" t="s">
        <v>269</v>
      </c>
      <c r="F2691" t="s">
        <v>4</v>
      </c>
      <c r="G2691" t="s">
        <v>217</v>
      </c>
      <c r="H2691" t="s">
        <v>217</v>
      </c>
      <c r="I2691" t="s">
        <v>267</v>
      </c>
      <c r="J2691" s="25">
        <v>28472</v>
      </c>
      <c r="K2691" s="26">
        <v>4691.79</v>
      </c>
      <c r="L2691" s="26">
        <v>88.51</v>
      </c>
    </row>
    <row r="2692" spans="1:12" ht="16" customHeight="1">
      <c r="A2692" t="s">
        <v>444</v>
      </c>
      <c r="B2692" t="s">
        <v>6</v>
      </c>
      <c r="C2692" t="s">
        <v>45</v>
      </c>
      <c r="D2692" s="24">
        <v>46113</v>
      </c>
      <c r="E2692" t="s">
        <v>228</v>
      </c>
      <c r="F2692" t="s">
        <v>4</v>
      </c>
      <c r="G2692" t="s">
        <v>217</v>
      </c>
      <c r="H2692" t="s">
        <v>217</v>
      </c>
      <c r="I2692" t="s">
        <v>268</v>
      </c>
      <c r="J2692" s="25">
        <v>52595</v>
      </c>
      <c r="K2692" s="26">
        <v>8415.5</v>
      </c>
      <c r="L2692" s="26">
        <v>209</v>
      </c>
    </row>
    <row r="2693" spans="1:12" ht="16" customHeight="1">
      <c r="A2693" t="s">
        <v>444</v>
      </c>
      <c r="B2693" t="s">
        <v>6</v>
      </c>
      <c r="C2693" t="s">
        <v>45</v>
      </c>
      <c r="D2693" s="24">
        <v>46113</v>
      </c>
      <c r="E2693" t="s">
        <v>439</v>
      </c>
      <c r="F2693" t="s">
        <v>4</v>
      </c>
      <c r="G2693" t="s">
        <v>217</v>
      </c>
      <c r="H2693" t="s">
        <v>217</v>
      </c>
      <c r="I2693" t="s">
        <v>270</v>
      </c>
      <c r="J2693" s="25">
        <v>0</v>
      </c>
      <c r="K2693" s="26">
        <v>0</v>
      </c>
      <c r="L2693" s="26">
        <v>0</v>
      </c>
    </row>
    <row r="2694" spans="1:12" ht="16" customHeight="1">
      <c r="A2694" t="s">
        <v>444</v>
      </c>
      <c r="B2694" t="s">
        <v>6</v>
      </c>
      <c r="C2694" t="s">
        <v>45</v>
      </c>
      <c r="D2694" s="24">
        <v>46113</v>
      </c>
      <c r="E2694" t="s">
        <v>230</v>
      </c>
      <c r="F2694" t="s">
        <v>4</v>
      </c>
      <c r="G2694" t="s">
        <v>217</v>
      </c>
      <c r="H2694" t="s">
        <v>217</v>
      </c>
      <c r="I2694" t="s">
        <v>271</v>
      </c>
      <c r="J2694" s="25">
        <v>3</v>
      </c>
      <c r="K2694" s="26">
        <v>0.42</v>
      </c>
      <c r="L2694" s="26">
        <v>0.01</v>
      </c>
    </row>
    <row r="2695" spans="1:12" ht="16" customHeight="1">
      <c r="A2695" t="s">
        <v>444</v>
      </c>
      <c r="B2695" t="s">
        <v>6</v>
      </c>
      <c r="C2695" t="s">
        <v>45</v>
      </c>
      <c r="D2695" s="24">
        <v>46113</v>
      </c>
      <c r="E2695" t="s">
        <v>232</v>
      </c>
      <c r="F2695" t="s">
        <v>4</v>
      </c>
      <c r="G2695" t="s">
        <v>217</v>
      </c>
      <c r="H2695" t="s">
        <v>217</v>
      </c>
      <c r="I2695" t="s">
        <v>272</v>
      </c>
      <c r="J2695" s="25">
        <v>213</v>
      </c>
      <c r="K2695" s="26">
        <v>35.33</v>
      </c>
      <c r="L2695" s="26">
        <v>1.76</v>
      </c>
    </row>
    <row r="2696" spans="1:12" ht="16" customHeight="1">
      <c r="A2696" t="s">
        <v>444</v>
      </c>
      <c r="B2696" t="s">
        <v>6</v>
      </c>
      <c r="C2696" t="s">
        <v>45</v>
      </c>
      <c r="D2696" s="24">
        <v>46113</v>
      </c>
      <c r="E2696" t="s">
        <v>234</v>
      </c>
      <c r="F2696" t="s">
        <v>4</v>
      </c>
      <c r="G2696" t="s">
        <v>217</v>
      </c>
      <c r="H2696" t="s">
        <v>217</v>
      </c>
      <c r="I2696" t="s">
        <v>273</v>
      </c>
      <c r="J2696" s="25">
        <v>0</v>
      </c>
      <c r="K2696" s="26">
        <v>0</v>
      </c>
      <c r="L2696" s="26">
        <v>0</v>
      </c>
    </row>
    <row r="2697" spans="1:12" ht="16" customHeight="1">
      <c r="A2697" t="s">
        <v>444</v>
      </c>
      <c r="B2697" t="s">
        <v>6</v>
      </c>
      <c r="C2697" t="s">
        <v>45</v>
      </c>
      <c r="D2697" s="24">
        <v>46113</v>
      </c>
      <c r="E2697" t="s">
        <v>236</v>
      </c>
      <c r="F2697" t="s">
        <v>4</v>
      </c>
      <c r="G2697" t="s">
        <v>217</v>
      </c>
      <c r="H2697" t="s">
        <v>217</v>
      </c>
      <c r="I2697" t="s">
        <v>274</v>
      </c>
      <c r="J2697" s="25">
        <v>3</v>
      </c>
      <c r="K2697" s="26">
        <v>0.47</v>
      </c>
      <c r="L2697" s="26">
        <v>0.02</v>
      </c>
    </row>
    <row r="2698" spans="1:12" ht="16" customHeight="1">
      <c r="A2698" t="s">
        <v>444</v>
      </c>
      <c r="B2698" t="s">
        <v>6</v>
      </c>
      <c r="C2698" t="s">
        <v>45</v>
      </c>
      <c r="D2698" s="24">
        <v>46113</v>
      </c>
      <c r="E2698" t="s">
        <v>238</v>
      </c>
      <c r="F2698" t="s">
        <v>4</v>
      </c>
      <c r="G2698" t="s">
        <v>217</v>
      </c>
      <c r="H2698" t="s">
        <v>217</v>
      </c>
      <c r="I2698" t="s">
        <v>275</v>
      </c>
      <c r="J2698" s="25">
        <v>0</v>
      </c>
      <c r="K2698" s="26">
        <v>0</v>
      </c>
      <c r="L2698" s="26">
        <v>0</v>
      </c>
    </row>
    <row r="2699" spans="1:12" ht="16" customHeight="1">
      <c r="A2699" t="s">
        <v>444</v>
      </c>
      <c r="B2699" t="s">
        <v>6</v>
      </c>
      <c r="C2699" t="s">
        <v>45</v>
      </c>
      <c r="D2699" s="24">
        <v>46113</v>
      </c>
      <c r="E2699" t="s">
        <v>240</v>
      </c>
      <c r="F2699" t="s">
        <v>3</v>
      </c>
      <c r="G2699" t="s">
        <v>241</v>
      </c>
      <c r="H2699" t="s">
        <v>241</v>
      </c>
      <c r="I2699" t="s">
        <v>276</v>
      </c>
      <c r="J2699" s="25">
        <v>13</v>
      </c>
      <c r="K2699" s="26">
        <v>2.75</v>
      </c>
      <c r="L2699" s="26">
        <v>0.26</v>
      </c>
    </row>
    <row r="2700" spans="1:12" ht="16" customHeight="1">
      <c r="A2700" t="s">
        <v>444</v>
      </c>
      <c r="B2700" t="s">
        <v>6</v>
      </c>
      <c r="C2700" t="s">
        <v>45</v>
      </c>
      <c r="D2700" s="24">
        <v>46113</v>
      </c>
      <c r="E2700" t="s">
        <v>243</v>
      </c>
      <c r="F2700" t="s">
        <v>4</v>
      </c>
      <c r="G2700" t="s">
        <v>217</v>
      </c>
      <c r="H2700" t="s">
        <v>217</v>
      </c>
      <c r="I2700" t="s">
        <v>277</v>
      </c>
      <c r="J2700" s="25">
        <v>0</v>
      </c>
      <c r="K2700" s="26">
        <v>0</v>
      </c>
      <c r="L2700" s="26">
        <v>0</v>
      </c>
    </row>
    <row r="2701" spans="1:12" ht="16" customHeight="1">
      <c r="A2701" t="s">
        <v>444</v>
      </c>
      <c r="B2701" t="s">
        <v>6</v>
      </c>
      <c r="C2701" t="s">
        <v>45</v>
      </c>
      <c r="D2701" s="24">
        <v>46113</v>
      </c>
      <c r="E2701" t="s">
        <v>360</v>
      </c>
      <c r="F2701" t="s">
        <v>4</v>
      </c>
      <c r="G2701" t="s">
        <v>217</v>
      </c>
      <c r="H2701" t="s">
        <v>217</v>
      </c>
      <c r="I2701" t="s">
        <v>278</v>
      </c>
      <c r="J2701" s="25">
        <v>0</v>
      </c>
      <c r="K2701" s="26">
        <v>0</v>
      </c>
      <c r="L2701" s="26">
        <v>0</v>
      </c>
    </row>
    <row r="2702" spans="1:12" ht="16" customHeight="1">
      <c r="A2702" t="s">
        <v>445</v>
      </c>
      <c r="B2702" t="s">
        <v>7</v>
      </c>
      <c r="C2702" t="s">
        <v>45</v>
      </c>
      <c r="D2702" s="24">
        <v>46113</v>
      </c>
      <c r="E2702" t="s">
        <v>425</v>
      </c>
      <c r="F2702" t="s">
        <v>3</v>
      </c>
      <c r="G2702" t="s">
        <v>241</v>
      </c>
      <c r="H2702" t="s">
        <v>241</v>
      </c>
      <c r="I2702" t="s">
        <v>212</v>
      </c>
      <c r="J2702" s="25">
        <v>88418566</v>
      </c>
      <c r="K2702" s="26">
        <v>13793150.130000001</v>
      </c>
      <c r="L2702" s="26">
        <v>50005.120000000003</v>
      </c>
    </row>
    <row r="2703" spans="1:12" ht="16" customHeight="1">
      <c r="A2703" t="s">
        <v>445</v>
      </c>
      <c r="B2703" t="s">
        <v>7</v>
      </c>
      <c r="C2703" t="s">
        <v>45</v>
      </c>
      <c r="D2703" s="24">
        <v>46113</v>
      </c>
      <c r="E2703" t="s">
        <v>430</v>
      </c>
      <c r="F2703" t="s">
        <v>4</v>
      </c>
      <c r="G2703" t="s">
        <v>211</v>
      </c>
      <c r="H2703" t="s">
        <v>211</v>
      </c>
      <c r="I2703" t="s">
        <v>212</v>
      </c>
      <c r="J2703" s="25">
        <v>2691037</v>
      </c>
      <c r="K2703" s="26">
        <v>419513.11</v>
      </c>
      <c r="L2703" s="26">
        <v>2080.27</v>
      </c>
    </row>
    <row r="2704" spans="1:12" ht="16" customHeight="1">
      <c r="A2704" t="s">
        <v>445</v>
      </c>
      <c r="B2704" t="s">
        <v>7</v>
      </c>
      <c r="C2704" t="s">
        <v>45</v>
      </c>
      <c r="D2704" s="24">
        <v>46113</v>
      </c>
      <c r="E2704" t="s">
        <v>387</v>
      </c>
      <c r="F2704" t="s">
        <v>4</v>
      </c>
      <c r="G2704" t="s">
        <v>217</v>
      </c>
      <c r="H2704" t="s">
        <v>217</v>
      </c>
      <c r="I2704" t="s">
        <v>212</v>
      </c>
      <c r="J2704" s="25">
        <v>1609710</v>
      </c>
      <c r="K2704" s="26">
        <v>251011.55</v>
      </c>
      <c r="L2704" s="26">
        <v>2377.19</v>
      </c>
    </row>
    <row r="2705" spans="1:12" ht="16" customHeight="1">
      <c r="A2705" t="s">
        <v>445</v>
      </c>
      <c r="B2705" t="s">
        <v>7</v>
      </c>
      <c r="C2705" t="s">
        <v>45</v>
      </c>
      <c r="D2705" s="24">
        <v>46113</v>
      </c>
      <c r="E2705" t="s">
        <v>436</v>
      </c>
      <c r="F2705" t="s">
        <v>4</v>
      </c>
      <c r="G2705" t="s">
        <v>211</v>
      </c>
      <c r="H2705" t="s">
        <v>211</v>
      </c>
      <c r="I2705" t="s">
        <v>219</v>
      </c>
      <c r="J2705" s="25">
        <v>23779</v>
      </c>
      <c r="K2705" s="26">
        <v>3724.82</v>
      </c>
      <c r="L2705" s="26">
        <v>37.72</v>
      </c>
    </row>
    <row r="2706" spans="1:12" ht="16" customHeight="1">
      <c r="A2706" t="s">
        <v>445</v>
      </c>
      <c r="B2706" t="s">
        <v>7</v>
      </c>
      <c r="C2706" t="s">
        <v>45</v>
      </c>
      <c r="D2706" s="24">
        <v>46113</v>
      </c>
      <c r="E2706" t="s">
        <v>443</v>
      </c>
      <c r="F2706" t="s">
        <v>4</v>
      </c>
      <c r="G2706" t="s">
        <v>211</v>
      </c>
      <c r="H2706" t="s">
        <v>211</v>
      </c>
      <c r="I2706" t="s">
        <v>219</v>
      </c>
      <c r="J2706" s="25">
        <v>611</v>
      </c>
      <c r="K2706" s="26">
        <v>98.3</v>
      </c>
      <c r="L2706" s="26">
        <v>0.98</v>
      </c>
    </row>
    <row r="2707" spans="1:12" ht="16" customHeight="1">
      <c r="A2707" t="s">
        <v>445</v>
      </c>
      <c r="B2707" t="s">
        <v>7</v>
      </c>
      <c r="C2707" t="s">
        <v>45</v>
      </c>
      <c r="D2707" s="24">
        <v>46113</v>
      </c>
      <c r="E2707" t="s">
        <v>416</v>
      </c>
      <c r="F2707" t="s">
        <v>4</v>
      </c>
      <c r="G2707" t="s">
        <v>217</v>
      </c>
      <c r="H2707" t="s">
        <v>217</v>
      </c>
      <c r="I2707" t="s">
        <v>219</v>
      </c>
      <c r="J2707" s="25">
        <v>162303</v>
      </c>
      <c r="K2707" s="26">
        <v>25658.63</v>
      </c>
      <c r="L2707" s="26">
        <v>313.04000000000002</v>
      </c>
    </row>
    <row r="2708" spans="1:12" ht="16" customHeight="1">
      <c r="A2708" t="s">
        <v>445</v>
      </c>
      <c r="B2708" t="s">
        <v>7</v>
      </c>
      <c r="C2708" t="s">
        <v>45</v>
      </c>
      <c r="D2708" s="24">
        <v>46113</v>
      </c>
      <c r="E2708" t="s">
        <v>226</v>
      </c>
      <c r="F2708" t="s">
        <v>4</v>
      </c>
      <c r="G2708" t="s">
        <v>217</v>
      </c>
      <c r="H2708" t="s">
        <v>217</v>
      </c>
      <c r="I2708" t="s">
        <v>221</v>
      </c>
      <c r="J2708" s="25">
        <v>105283</v>
      </c>
      <c r="K2708" s="26">
        <v>16519.14</v>
      </c>
      <c r="L2708" s="26">
        <v>284.54000000000002</v>
      </c>
    </row>
    <row r="2709" spans="1:12" ht="16" customHeight="1">
      <c r="A2709" t="s">
        <v>445</v>
      </c>
      <c r="B2709" t="s">
        <v>7</v>
      </c>
      <c r="C2709" t="s">
        <v>45</v>
      </c>
      <c r="D2709" s="24">
        <v>46113</v>
      </c>
      <c r="E2709" t="s">
        <v>269</v>
      </c>
      <c r="F2709" t="s">
        <v>4</v>
      </c>
      <c r="G2709" t="s">
        <v>217</v>
      </c>
      <c r="H2709" t="s">
        <v>217</v>
      </c>
      <c r="I2709" t="s">
        <v>267</v>
      </c>
      <c r="J2709" s="25">
        <v>39661</v>
      </c>
      <c r="K2709" s="26">
        <v>6427.76</v>
      </c>
      <c r="L2709" s="26">
        <v>124.97</v>
      </c>
    </row>
    <row r="2710" spans="1:12" ht="16" customHeight="1">
      <c r="A2710" t="s">
        <v>445</v>
      </c>
      <c r="B2710" t="s">
        <v>7</v>
      </c>
      <c r="C2710" t="s">
        <v>45</v>
      </c>
      <c r="D2710" s="24">
        <v>46113</v>
      </c>
      <c r="E2710" t="s">
        <v>228</v>
      </c>
      <c r="F2710" t="s">
        <v>4</v>
      </c>
      <c r="G2710" t="s">
        <v>217</v>
      </c>
      <c r="H2710" t="s">
        <v>217</v>
      </c>
      <c r="I2710" t="s">
        <v>268</v>
      </c>
      <c r="J2710" s="25">
        <v>53518</v>
      </c>
      <c r="K2710" s="26">
        <v>8731.3799999999992</v>
      </c>
      <c r="L2710" s="26">
        <v>269.7</v>
      </c>
    </row>
    <row r="2711" spans="1:12" ht="16" customHeight="1">
      <c r="A2711" t="s">
        <v>445</v>
      </c>
      <c r="B2711" t="s">
        <v>7</v>
      </c>
      <c r="C2711" t="s">
        <v>45</v>
      </c>
      <c r="D2711" s="24">
        <v>46113</v>
      </c>
      <c r="E2711" t="s">
        <v>439</v>
      </c>
      <c r="F2711" t="s">
        <v>4</v>
      </c>
      <c r="G2711" t="s">
        <v>217</v>
      </c>
      <c r="H2711" t="s">
        <v>217</v>
      </c>
      <c r="I2711" t="s">
        <v>270</v>
      </c>
      <c r="J2711" s="25">
        <v>0</v>
      </c>
      <c r="K2711" s="26">
        <v>0</v>
      </c>
      <c r="L2711" s="26">
        <v>0</v>
      </c>
    </row>
    <row r="2712" spans="1:12" ht="16" customHeight="1">
      <c r="A2712" t="s">
        <v>445</v>
      </c>
      <c r="B2712" t="s">
        <v>7</v>
      </c>
      <c r="C2712" t="s">
        <v>45</v>
      </c>
      <c r="D2712" s="24">
        <v>46113</v>
      </c>
      <c r="E2712" t="s">
        <v>230</v>
      </c>
      <c r="F2712" t="s">
        <v>4</v>
      </c>
      <c r="G2712" t="s">
        <v>217</v>
      </c>
      <c r="H2712" t="s">
        <v>217</v>
      </c>
      <c r="I2712" t="s">
        <v>271</v>
      </c>
      <c r="J2712" s="25">
        <v>5</v>
      </c>
      <c r="K2712" s="26">
        <v>0.69</v>
      </c>
      <c r="L2712" s="26">
        <v>0.01</v>
      </c>
    </row>
    <row r="2713" spans="1:12" ht="16" customHeight="1">
      <c r="A2713" t="s">
        <v>445</v>
      </c>
      <c r="B2713" t="s">
        <v>7</v>
      </c>
      <c r="C2713" t="s">
        <v>45</v>
      </c>
      <c r="D2713" s="24">
        <v>46113</v>
      </c>
      <c r="E2713" t="s">
        <v>232</v>
      </c>
      <c r="F2713" t="s">
        <v>4</v>
      </c>
      <c r="G2713" t="s">
        <v>217</v>
      </c>
      <c r="H2713" t="s">
        <v>217</v>
      </c>
      <c r="I2713" t="s">
        <v>272</v>
      </c>
      <c r="J2713" s="25">
        <v>250</v>
      </c>
      <c r="K2713" s="26">
        <v>42.77</v>
      </c>
      <c r="L2713" s="26">
        <v>2.58</v>
      </c>
    </row>
    <row r="2714" spans="1:12" ht="16" customHeight="1">
      <c r="A2714" t="s">
        <v>445</v>
      </c>
      <c r="B2714" t="s">
        <v>7</v>
      </c>
      <c r="C2714" t="s">
        <v>45</v>
      </c>
      <c r="D2714" s="24">
        <v>46113</v>
      </c>
      <c r="E2714" t="s">
        <v>234</v>
      </c>
      <c r="F2714" t="s">
        <v>4</v>
      </c>
      <c r="G2714" t="s">
        <v>217</v>
      </c>
      <c r="H2714" t="s">
        <v>217</v>
      </c>
      <c r="I2714" t="s">
        <v>273</v>
      </c>
      <c r="J2714" s="25">
        <v>1</v>
      </c>
      <c r="K2714" s="26">
        <v>0.15</v>
      </c>
      <c r="L2714" s="26">
        <v>0</v>
      </c>
    </row>
    <row r="2715" spans="1:12" ht="16" customHeight="1">
      <c r="A2715" t="s">
        <v>445</v>
      </c>
      <c r="B2715" t="s">
        <v>7</v>
      </c>
      <c r="C2715" t="s">
        <v>45</v>
      </c>
      <c r="D2715" s="24">
        <v>46113</v>
      </c>
      <c r="E2715" t="s">
        <v>236</v>
      </c>
      <c r="F2715" t="s">
        <v>4</v>
      </c>
      <c r="G2715" t="s">
        <v>217</v>
      </c>
      <c r="H2715" t="s">
        <v>217</v>
      </c>
      <c r="I2715" t="s">
        <v>274</v>
      </c>
      <c r="J2715" s="25">
        <v>16</v>
      </c>
      <c r="K2715" s="26">
        <v>2.59</v>
      </c>
      <c r="L2715" s="26">
        <v>0.11</v>
      </c>
    </row>
    <row r="2716" spans="1:12" ht="16" customHeight="1">
      <c r="A2716" t="s">
        <v>445</v>
      </c>
      <c r="B2716" t="s">
        <v>7</v>
      </c>
      <c r="C2716" t="s">
        <v>45</v>
      </c>
      <c r="D2716" s="24">
        <v>46113</v>
      </c>
      <c r="E2716" t="s">
        <v>238</v>
      </c>
      <c r="F2716" t="s">
        <v>4</v>
      </c>
      <c r="G2716" t="s">
        <v>217</v>
      </c>
      <c r="H2716" t="s">
        <v>217</v>
      </c>
      <c r="I2716" t="s">
        <v>275</v>
      </c>
      <c r="J2716" s="25">
        <v>0</v>
      </c>
      <c r="K2716" s="26">
        <v>0</v>
      </c>
      <c r="L2716" s="26">
        <v>0</v>
      </c>
    </row>
    <row r="2717" spans="1:12" ht="16" customHeight="1">
      <c r="A2717" t="s">
        <v>445</v>
      </c>
      <c r="B2717" t="s">
        <v>7</v>
      </c>
      <c r="C2717" t="s">
        <v>45</v>
      </c>
      <c r="D2717" s="24">
        <v>46113</v>
      </c>
      <c r="E2717" t="s">
        <v>240</v>
      </c>
      <c r="F2717" t="s">
        <v>3</v>
      </c>
      <c r="G2717" t="s">
        <v>241</v>
      </c>
      <c r="H2717" t="s">
        <v>241</v>
      </c>
      <c r="I2717" t="s">
        <v>276</v>
      </c>
      <c r="J2717" s="25">
        <v>0</v>
      </c>
      <c r="K2717" s="26">
        <v>0</v>
      </c>
      <c r="L2717" s="26">
        <v>0</v>
      </c>
    </row>
    <row r="2718" spans="1:12" ht="16" customHeight="1">
      <c r="A2718" t="s">
        <v>445</v>
      </c>
      <c r="B2718" t="s">
        <v>7</v>
      </c>
      <c r="C2718" t="s">
        <v>45</v>
      </c>
      <c r="D2718" s="24">
        <v>46113</v>
      </c>
      <c r="E2718" t="s">
        <v>243</v>
      </c>
      <c r="F2718" t="s">
        <v>4</v>
      </c>
      <c r="G2718" t="s">
        <v>217</v>
      </c>
      <c r="H2718" t="s">
        <v>217</v>
      </c>
      <c r="I2718" t="s">
        <v>277</v>
      </c>
      <c r="J2718" s="25">
        <v>0</v>
      </c>
      <c r="K2718" s="26">
        <v>0</v>
      </c>
      <c r="L2718" s="26">
        <v>0</v>
      </c>
    </row>
    <row r="2719" spans="1:12" ht="16" customHeight="1">
      <c r="A2719" t="s">
        <v>445</v>
      </c>
      <c r="B2719" t="s">
        <v>7</v>
      </c>
      <c r="C2719" t="s">
        <v>45</v>
      </c>
      <c r="D2719" s="24">
        <v>46113</v>
      </c>
      <c r="E2719" t="s">
        <v>360</v>
      </c>
      <c r="F2719" t="s">
        <v>4</v>
      </c>
      <c r="G2719" t="s">
        <v>217</v>
      </c>
      <c r="H2719" t="s">
        <v>217</v>
      </c>
      <c r="I2719" t="s">
        <v>278</v>
      </c>
      <c r="J2719" s="25">
        <v>0</v>
      </c>
      <c r="K2719" s="26">
        <v>0</v>
      </c>
      <c r="L2719" s="26">
        <v>0</v>
      </c>
    </row>
    <row r="2720" spans="1:12" ht="16" customHeight="1">
      <c r="A2720" t="s">
        <v>425</v>
      </c>
      <c r="B2720" t="s">
        <v>3</v>
      </c>
      <c r="C2720" t="s">
        <v>45</v>
      </c>
      <c r="D2720" s="24">
        <v>46113</v>
      </c>
      <c r="E2720" t="s">
        <v>425</v>
      </c>
      <c r="F2720" t="s">
        <v>3</v>
      </c>
      <c r="G2720" t="s">
        <v>241</v>
      </c>
      <c r="H2720" t="s">
        <v>241</v>
      </c>
      <c r="I2720" t="s">
        <v>212</v>
      </c>
      <c r="J2720" s="25">
        <v>365854898</v>
      </c>
      <c r="K2720" s="26">
        <v>56577776.920000002</v>
      </c>
      <c r="L2720" s="26">
        <v>67918.2</v>
      </c>
    </row>
    <row r="2721" spans="1:12" ht="16" customHeight="1">
      <c r="A2721" t="s">
        <v>425</v>
      </c>
      <c r="B2721" t="s">
        <v>3</v>
      </c>
      <c r="C2721" t="s">
        <v>45</v>
      </c>
      <c r="D2721" s="24">
        <v>46113</v>
      </c>
      <c r="E2721" t="s">
        <v>430</v>
      </c>
      <c r="F2721" t="s">
        <v>4</v>
      </c>
      <c r="G2721" t="s">
        <v>211</v>
      </c>
      <c r="H2721" t="s">
        <v>211</v>
      </c>
      <c r="I2721" t="s">
        <v>212</v>
      </c>
      <c r="J2721" s="25">
        <v>7456540</v>
      </c>
      <c r="K2721" s="26">
        <v>1154807.69</v>
      </c>
      <c r="L2721" s="26">
        <v>6340.85</v>
      </c>
    </row>
    <row r="2722" spans="1:12" ht="16" customHeight="1">
      <c r="A2722" t="s">
        <v>425</v>
      </c>
      <c r="B2722" t="s">
        <v>3</v>
      </c>
      <c r="C2722" t="s">
        <v>45</v>
      </c>
      <c r="D2722" s="24">
        <v>46113</v>
      </c>
      <c r="E2722" t="s">
        <v>387</v>
      </c>
      <c r="F2722" t="s">
        <v>4</v>
      </c>
      <c r="G2722" t="s">
        <v>217</v>
      </c>
      <c r="H2722" t="s">
        <v>217</v>
      </c>
      <c r="I2722" t="s">
        <v>212</v>
      </c>
      <c r="J2722" s="25">
        <v>1898481</v>
      </c>
      <c r="K2722" s="26">
        <v>294741.93</v>
      </c>
      <c r="L2722" s="26">
        <v>2624.57</v>
      </c>
    </row>
    <row r="2723" spans="1:12" ht="16" customHeight="1">
      <c r="A2723" t="s">
        <v>425</v>
      </c>
      <c r="B2723" t="s">
        <v>3</v>
      </c>
      <c r="C2723" t="s">
        <v>45</v>
      </c>
      <c r="D2723" s="24">
        <v>46113</v>
      </c>
      <c r="E2723" t="s">
        <v>436</v>
      </c>
      <c r="F2723" t="s">
        <v>4</v>
      </c>
      <c r="G2723" t="s">
        <v>211</v>
      </c>
      <c r="H2723" t="s">
        <v>211</v>
      </c>
      <c r="I2723" t="s">
        <v>219</v>
      </c>
      <c r="J2723" s="25">
        <v>38821</v>
      </c>
      <c r="K2723" s="26">
        <v>6096.11</v>
      </c>
      <c r="L2723" s="26">
        <v>61.77</v>
      </c>
    </row>
    <row r="2724" spans="1:12" ht="16" customHeight="1">
      <c r="A2724" t="s">
        <v>425</v>
      </c>
      <c r="B2724" t="s">
        <v>3</v>
      </c>
      <c r="C2724" t="s">
        <v>45</v>
      </c>
      <c r="D2724" s="24">
        <v>46113</v>
      </c>
      <c r="E2724" t="s">
        <v>443</v>
      </c>
      <c r="F2724" t="s">
        <v>4</v>
      </c>
      <c r="G2724" t="s">
        <v>211</v>
      </c>
      <c r="H2724" t="s">
        <v>211</v>
      </c>
      <c r="I2724" t="s">
        <v>219</v>
      </c>
      <c r="J2724" s="25">
        <v>2074</v>
      </c>
      <c r="K2724" s="26">
        <v>335.8</v>
      </c>
      <c r="L2724" s="26">
        <v>3.01</v>
      </c>
    </row>
    <row r="2725" spans="1:12" ht="16" customHeight="1">
      <c r="A2725" t="s">
        <v>425</v>
      </c>
      <c r="B2725" t="s">
        <v>3</v>
      </c>
      <c r="C2725" t="s">
        <v>45</v>
      </c>
      <c r="D2725" s="24">
        <v>46113</v>
      </c>
      <c r="E2725" t="s">
        <v>416</v>
      </c>
      <c r="F2725" t="s">
        <v>4</v>
      </c>
      <c r="G2725" t="s">
        <v>217</v>
      </c>
      <c r="H2725" t="s">
        <v>217</v>
      </c>
      <c r="I2725" t="s">
        <v>219</v>
      </c>
      <c r="J2725" s="25">
        <v>193478</v>
      </c>
      <c r="K2725" s="26">
        <v>30589.71</v>
      </c>
      <c r="L2725" s="26">
        <v>398.04</v>
      </c>
    </row>
    <row r="2726" spans="1:12" ht="16" customHeight="1">
      <c r="A2726" t="s">
        <v>425</v>
      </c>
      <c r="B2726" t="s">
        <v>3</v>
      </c>
      <c r="C2726" t="s">
        <v>45</v>
      </c>
      <c r="D2726" s="24">
        <v>46113</v>
      </c>
      <c r="E2726" t="s">
        <v>226</v>
      </c>
      <c r="F2726" t="s">
        <v>4</v>
      </c>
      <c r="G2726" t="s">
        <v>217</v>
      </c>
      <c r="H2726" t="s">
        <v>217</v>
      </c>
      <c r="I2726" t="s">
        <v>221</v>
      </c>
      <c r="J2726" s="25">
        <v>124892</v>
      </c>
      <c r="K2726" s="26">
        <v>19670.96</v>
      </c>
      <c r="L2726" s="26">
        <v>373.25</v>
      </c>
    </row>
    <row r="2727" spans="1:12" ht="16" customHeight="1">
      <c r="A2727" t="s">
        <v>425</v>
      </c>
      <c r="B2727" t="s">
        <v>3</v>
      </c>
      <c r="C2727" t="s">
        <v>45</v>
      </c>
      <c r="D2727" s="24">
        <v>46113</v>
      </c>
      <c r="E2727" t="s">
        <v>269</v>
      </c>
      <c r="F2727" t="s">
        <v>4</v>
      </c>
      <c r="G2727" t="s">
        <v>217</v>
      </c>
      <c r="H2727" t="s">
        <v>217</v>
      </c>
      <c r="I2727" t="s">
        <v>267</v>
      </c>
      <c r="J2727" s="25">
        <v>29921</v>
      </c>
      <c r="K2727" s="26">
        <v>4793.3500000000004</v>
      </c>
      <c r="L2727" s="26">
        <v>92.26</v>
      </c>
    </row>
    <row r="2728" spans="1:12" ht="16" customHeight="1">
      <c r="A2728" t="s">
        <v>425</v>
      </c>
      <c r="B2728" t="s">
        <v>3</v>
      </c>
      <c r="C2728" t="s">
        <v>45</v>
      </c>
      <c r="D2728" s="24">
        <v>46113</v>
      </c>
      <c r="E2728" t="s">
        <v>228</v>
      </c>
      <c r="F2728" t="s">
        <v>4</v>
      </c>
      <c r="G2728" t="s">
        <v>217</v>
      </c>
      <c r="H2728" t="s">
        <v>217</v>
      </c>
      <c r="I2728" t="s">
        <v>268</v>
      </c>
      <c r="J2728" s="25">
        <v>44497</v>
      </c>
      <c r="K2728" s="26">
        <v>7135.91</v>
      </c>
      <c r="L2728" s="26">
        <v>188.9</v>
      </c>
    </row>
    <row r="2729" spans="1:12" ht="16" customHeight="1">
      <c r="A2729" t="s">
        <v>425</v>
      </c>
      <c r="B2729" t="s">
        <v>3</v>
      </c>
      <c r="C2729" t="s">
        <v>45</v>
      </c>
      <c r="D2729" s="24">
        <v>46113</v>
      </c>
      <c r="E2729" t="s">
        <v>439</v>
      </c>
      <c r="F2729" t="s">
        <v>4</v>
      </c>
      <c r="G2729" t="s">
        <v>217</v>
      </c>
      <c r="H2729" t="s">
        <v>217</v>
      </c>
      <c r="I2729" t="s">
        <v>270</v>
      </c>
      <c r="J2729" s="25">
        <v>0</v>
      </c>
      <c r="K2729" s="26">
        <v>0</v>
      </c>
      <c r="L2729" s="26">
        <v>0</v>
      </c>
    </row>
    <row r="2730" spans="1:12" ht="16" customHeight="1">
      <c r="A2730" t="s">
        <v>425</v>
      </c>
      <c r="B2730" t="s">
        <v>3</v>
      </c>
      <c r="C2730" t="s">
        <v>45</v>
      </c>
      <c r="D2730" s="24">
        <v>46113</v>
      </c>
      <c r="E2730" t="s">
        <v>230</v>
      </c>
      <c r="F2730" t="s">
        <v>4</v>
      </c>
      <c r="G2730" t="s">
        <v>217</v>
      </c>
      <c r="H2730" t="s">
        <v>217</v>
      </c>
      <c r="I2730" t="s">
        <v>271</v>
      </c>
      <c r="J2730" s="25">
        <v>9</v>
      </c>
      <c r="K2730" s="26">
        <v>1.25</v>
      </c>
      <c r="L2730" s="26">
        <v>0.03</v>
      </c>
    </row>
    <row r="2731" spans="1:12" ht="16" customHeight="1">
      <c r="A2731" t="s">
        <v>425</v>
      </c>
      <c r="B2731" t="s">
        <v>3</v>
      </c>
      <c r="C2731" t="s">
        <v>45</v>
      </c>
      <c r="D2731" s="24">
        <v>46113</v>
      </c>
      <c r="E2731" t="s">
        <v>232</v>
      </c>
      <c r="F2731" t="s">
        <v>4</v>
      </c>
      <c r="G2731" t="s">
        <v>217</v>
      </c>
      <c r="H2731" t="s">
        <v>217</v>
      </c>
      <c r="I2731" t="s">
        <v>272</v>
      </c>
      <c r="J2731" s="25">
        <v>358</v>
      </c>
      <c r="K2731" s="26">
        <v>62.95</v>
      </c>
      <c r="L2731" s="26">
        <v>2.68</v>
      </c>
    </row>
    <row r="2732" spans="1:12" ht="16" customHeight="1">
      <c r="A2732" t="s">
        <v>425</v>
      </c>
      <c r="B2732" t="s">
        <v>3</v>
      </c>
      <c r="C2732" t="s">
        <v>45</v>
      </c>
      <c r="D2732" s="24">
        <v>46113</v>
      </c>
      <c r="E2732" t="s">
        <v>234</v>
      </c>
      <c r="F2732" t="s">
        <v>4</v>
      </c>
      <c r="G2732" t="s">
        <v>217</v>
      </c>
      <c r="H2732" t="s">
        <v>217</v>
      </c>
      <c r="I2732" t="s">
        <v>273</v>
      </c>
      <c r="J2732" s="25">
        <v>0</v>
      </c>
      <c r="K2732" s="26">
        <v>0</v>
      </c>
      <c r="L2732" s="26">
        <v>0</v>
      </c>
    </row>
    <row r="2733" spans="1:12" ht="16" customHeight="1">
      <c r="A2733" t="s">
        <v>425</v>
      </c>
      <c r="B2733" t="s">
        <v>3</v>
      </c>
      <c r="C2733" t="s">
        <v>45</v>
      </c>
      <c r="D2733" s="24">
        <v>46113</v>
      </c>
      <c r="E2733" t="s">
        <v>236</v>
      </c>
      <c r="F2733" t="s">
        <v>4</v>
      </c>
      <c r="G2733" t="s">
        <v>217</v>
      </c>
      <c r="H2733" t="s">
        <v>217</v>
      </c>
      <c r="I2733" t="s">
        <v>274</v>
      </c>
      <c r="J2733" s="25">
        <v>5</v>
      </c>
      <c r="K2733" s="26">
        <v>0.84</v>
      </c>
      <c r="L2733" s="26">
        <v>0.04</v>
      </c>
    </row>
    <row r="2734" spans="1:12" ht="16" customHeight="1">
      <c r="A2734" t="s">
        <v>425</v>
      </c>
      <c r="B2734" t="s">
        <v>3</v>
      </c>
      <c r="C2734" t="s">
        <v>45</v>
      </c>
      <c r="D2734" s="24">
        <v>46113</v>
      </c>
      <c r="E2734" t="s">
        <v>238</v>
      </c>
      <c r="F2734" t="s">
        <v>4</v>
      </c>
      <c r="G2734" t="s">
        <v>217</v>
      </c>
      <c r="H2734" t="s">
        <v>217</v>
      </c>
      <c r="I2734" t="s">
        <v>275</v>
      </c>
      <c r="J2734" s="25">
        <v>0</v>
      </c>
      <c r="K2734" s="26">
        <v>0</v>
      </c>
      <c r="L2734" s="26">
        <v>0</v>
      </c>
    </row>
    <row r="2735" spans="1:12" ht="16" customHeight="1">
      <c r="A2735" t="s">
        <v>425</v>
      </c>
      <c r="B2735" t="s">
        <v>3</v>
      </c>
      <c r="C2735" t="s">
        <v>45</v>
      </c>
      <c r="D2735" s="24">
        <v>46113</v>
      </c>
      <c r="E2735" t="s">
        <v>240</v>
      </c>
      <c r="F2735" t="s">
        <v>3</v>
      </c>
      <c r="G2735" t="s">
        <v>241</v>
      </c>
      <c r="H2735" t="s">
        <v>241</v>
      </c>
      <c r="I2735" t="s">
        <v>276</v>
      </c>
      <c r="J2735" s="25">
        <v>5</v>
      </c>
      <c r="K2735" s="26">
        <v>1.06</v>
      </c>
      <c r="L2735" s="26">
        <v>0.09</v>
      </c>
    </row>
    <row r="2736" spans="1:12" ht="16" customHeight="1">
      <c r="A2736" t="s">
        <v>425</v>
      </c>
      <c r="B2736" t="s">
        <v>3</v>
      </c>
      <c r="C2736" t="s">
        <v>45</v>
      </c>
      <c r="D2736" s="24">
        <v>46113</v>
      </c>
      <c r="E2736" t="s">
        <v>243</v>
      </c>
      <c r="F2736" t="s">
        <v>4</v>
      </c>
      <c r="G2736" t="s">
        <v>217</v>
      </c>
      <c r="H2736" t="s">
        <v>217</v>
      </c>
      <c r="I2736" t="s">
        <v>277</v>
      </c>
      <c r="J2736" s="25">
        <v>0</v>
      </c>
      <c r="K2736" s="26">
        <v>0</v>
      </c>
      <c r="L2736" s="26">
        <v>0</v>
      </c>
    </row>
    <row r="2737" spans="1:12" ht="16" customHeight="1">
      <c r="A2737" t="s">
        <v>425</v>
      </c>
      <c r="B2737" t="s">
        <v>3</v>
      </c>
      <c r="C2737" t="s">
        <v>45</v>
      </c>
      <c r="D2737" s="24">
        <v>46113</v>
      </c>
      <c r="E2737" t="s">
        <v>360</v>
      </c>
      <c r="F2737" t="s">
        <v>4</v>
      </c>
      <c r="G2737" t="s">
        <v>217</v>
      </c>
      <c r="H2737" t="s">
        <v>217</v>
      </c>
      <c r="I2737" t="s">
        <v>278</v>
      </c>
      <c r="J2737" s="25">
        <v>0</v>
      </c>
      <c r="K2737" s="26">
        <v>0</v>
      </c>
      <c r="L2737" s="26">
        <v>0</v>
      </c>
    </row>
    <row r="2738" spans="1:12" ht="16" customHeight="1">
      <c r="A2738" t="s">
        <v>446</v>
      </c>
      <c r="B2738" t="s">
        <v>5</v>
      </c>
      <c r="C2738" t="s">
        <v>46</v>
      </c>
      <c r="D2738" s="24">
        <v>46113</v>
      </c>
      <c r="E2738" t="s">
        <v>430</v>
      </c>
      <c r="F2738" t="s">
        <v>4</v>
      </c>
      <c r="G2738" t="s">
        <v>211</v>
      </c>
      <c r="H2738" t="s">
        <v>211</v>
      </c>
      <c r="I2738" t="s">
        <v>212</v>
      </c>
      <c r="J2738" s="25">
        <v>34514412</v>
      </c>
      <c r="K2738" s="26">
        <v>5422905.9199999999</v>
      </c>
      <c r="L2738" s="26">
        <v>28198.61</v>
      </c>
    </row>
    <row r="2739" spans="1:12" ht="16" customHeight="1">
      <c r="A2739" t="s">
        <v>446</v>
      </c>
      <c r="B2739" t="s">
        <v>5</v>
      </c>
      <c r="C2739" t="s">
        <v>46</v>
      </c>
      <c r="D2739" s="24">
        <v>46113</v>
      </c>
      <c r="E2739" t="s">
        <v>387</v>
      </c>
      <c r="F2739" t="s">
        <v>4</v>
      </c>
      <c r="G2739" t="s">
        <v>217</v>
      </c>
      <c r="H2739" t="s">
        <v>217</v>
      </c>
      <c r="I2739" t="s">
        <v>212</v>
      </c>
      <c r="J2739" s="25">
        <v>2327283</v>
      </c>
      <c r="K2739" s="26">
        <v>364171.45</v>
      </c>
      <c r="L2739" s="26">
        <v>2526.02</v>
      </c>
    </row>
    <row r="2740" spans="1:12" ht="16" customHeight="1">
      <c r="A2740" t="s">
        <v>446</v>
      </c>
      <c r="B2740" t="s">
        <v>5</v>
      </c>
      <c r="C2740" t="s">
        <v>46</v>
      </c>
      <c r="D2740" s="24">
        <v>46113</v>
      </c>
      <c r="E2740" t="s">
        <v>436</v>
      </c>
      <c r="F2740" t="s">
        <v>4</v>
      </c>
      <c r="G2740" t="s">
        <v>211</v>
      </c>
      <c r="H2740" t="s">
        <v>211</v>
      </c>
      <c r="I2740" t="s">
        <v>219</v>
      </c>
      <c r="J2740" s="25">
        <v>81272</v>
      </c>
      <c r="K2740" s="26">
        <v>12824.22</v>
      </c>
      <c r="L2740" s="26">
        <v>107.41</v>
      </c>
    </row>
    <row r="2741" spans="1:12" ht="16" customHeight="1">
      <c r="A2741" t="s">
        <v>446</v>
      </c>
      <c r="B2741" t="s">
        <v>5</v>
      </c>
      <c r="C2741" t="s">
        <v>46</v>
      </c>
      <c r="D2741" s="24">
        <v>46113</v>
      </c>
      <c r="E2741" t="s">
        <v>443</v>
      </c>
      <c r="F2741" t="s">
        <v>4</v>
      </c>
      <c r="G2741" t="s">
        <v>211</v>
      </c>
      <c r="H2741" t="s">
        <v>211</v>
      </c>
      <c r="I2741" t="s">
        <v>219</v>
      </c>
      <c r="J2741" s="25">
        <v>6004</v>
      </c>
      <c r="K2741" s="26">
        <v>970.31</v>
      </c>
      <c r="L2741" s="26">
        <v>9.02</v>
      </c>
    </row>
    <row r="2742" spans="1:12" ht="16" customHeight="1">
      <c r="A2742" t="s">
        <v>446</v>
      </c>
      <c r="B2742" t="s">
        <v>5</v>
      </c>
      <c r="C2742" t="s">
        <v>46</v>
      </c>
      <c r="D2742" s="24">
        <v>46113</v>
      </c>
      <c r="E2742" t="s">
        <v>447</v>
      </c>
      <c r="F2742" t="s">
        <v>4</v>
      </c>
      <c r="G2742" t="s">
        <v>211</v>
      </c>
      <c r="H2742" t="s">
        <v>211</v>
      </c>
      <c r="I2742" t="s">
        <v>219</v>
      </c>
      <c r="J2742" s="25">
        <v>16</v>
      </c>
      <c r="K2742" s="26">
        <v>2.57</v>
      </c>
      <c r="L2742" s="26">
        <v>0.05</v>
      </c>
    </row>
    <row r="2743" spans="1:12" ht="16" customHeight="1">
      <c r="A2743" t="s">
        <v>446</v>
      </c>
      <c r="B2743" t="s">
        <v>5</v>
      </c>
      <c r="C2743" t="s">
        <v>46</v>
      </c>
      <c r="D2743" s="24">
        <v>46113</v>
      </c>
      <c r="E2743" t="s">
        <v>416</v>
      </c>
      <c r="F2743" t="s">
        <v>4</v>
      </c>
      <c r="G2743" t="s">
        <v>217</v>
      </c>
      <c r="H2743" t="s">
        <v>217</v>
      </c>
      <c r="I2743" t="s">
        <v>219</v>
      </c>
      <c r="J2743" s="25">
        <v>251116</v>
      </c>
      <c r="K2743" s="26">
        <v>39724.67</v>
      </c>
      <c r="L2743" s="26">
        <v>471.15</v>
      </c>
    </row>
    <row r="2744" spans="1:12" ht="16" customHeight="1">
      <c r="A2744" t="s">
        <v>446</v>
      </c>
      <c r="B2744" t="s">
        <v>5</v>
      </c>
      <c r="C2744" t="s">
        <v>46</v>
      </c>
      <c r="D2744" s="24">
        <v>46113</v>
      </c>
      <c r="E2744" t="s">
        <v>226</v>
      </c>
      <c r="F2744" t="s">
        <v>4</v>
      </c>
      <c r="G2744" t="s">
        <v>217</v>
      </c>
      <c r="H2744" t="s">
        <v>217</v>
      </c>
      <c r="I2744" t="s">
        <v>221</v>
      </c>
      <c r="J2744" s="25">
        <v>150626</v>
      </c>
      <c r="K2744" s="26">
        <v>23433.13</v>
      </c>
      <c r="L2744" s="26">
        <v>392.25</v>
      </c>
    </row>
    <row r="2745" spans="1:12" ht="16" customHeight="1">
      <c r="A2745" t="s">
        <v>446</v>
      </c>
      <c r="B2745" t="s">
        <v>5</v>
      </c>
      <c r="C2745" t="s">
        <v>46</v>
      </c>
      <c r="D2745" s="24">
        <v>46113</v>
      </c>
      <c r="E2745" t="s">
        <v>269</v>
      </c>
      <c r="F2745" t="s">
        <v>4</v>
      </c>
      <c r="G2745" t="s">
        <v>217</v>
      </c>
      <c r="H2745" t="s">
        <v>217</v>
      </c>
      <c r="I2745" t="s">
        <v>267</v>
      </c>
      <c r="J2745" s="25">
        <v>31757</v>
      </c>
      <c r="K2745" s="26">
        <v>5159.46</v>
      </c>
      <c r="L2745" s="26">
        <v>97.45</v>
      </c>
    </row>
    <row r="2746" spans="1:12" ht="16" customHeight="1">
      <c r="A2746" t="s">
        <v>446</v>
      </c>
      <c r="B2746" t="s">
        <v>5</v>
      </c>
      <c r="C2746" t="s">
        <v>46</v>
      </c>
      <c r="D2746" s="24">
        <v>46113</v>
      </c>
      <c r="E2746" t="s">
        <v>228</v>
      </c>
      <c r="F2746" t="s">
        <v>4</v>
      </c>
      <c r="G2746" t="s">
        <v>217</v>
      </c>
      <c r="H2746" t="s">
        <v>217</v>
      </c>
      <c r="I2746" t="s">
        <v>268</v>
      </c>
      <c r="J2746" s="25">
        <v>60419</v>
      </c>
      <c r="K2746" s="26">
        <v>9763.8799999999992</v>
      </c>
      <c r="L2746" s="26">
        <v>277.95999999999998</v>
      </c>
    </row>
    <row r="2747" spans="1:12" ht="16" customHeight="1">
      <c r="A2747" t="s">
        <v>446</v>
      </c>
      <c r="B2747" t="s">
        <v>5</v>
      </c>
      <c r="C2747" t="s">
        <v>46</v>
      </c>
      <c r="D2747" s="24">
        <v>46113</v>
      </c>
      <c r="E2747" t="s">
        <v>439</v>
      </c>
      <c r="F2747" t="s">
        <v>4</v>
      </c>
      <c r="G2747" t="s">
        <v>217</v>
      </c>
      <c r="H2747" t="s">
        <v>217</v>
      </c>
      <c r="I2747" t="s">
        <v>270</v>
      </c>
      <c r="J2747" s="25">
        <v>0</v>
      </c>
      <c r="K2747" s="26">
        <v>0</v>
      </c>
      <c r="L2747" s="26">
        <v>0</v>
      </c>
    </row>
    <row r="2748" spans="1:12" ht="16" customHeight="1">
      <c r="A2748" t="s">
        <v>446</v>
      </c>
      <c r="B2748" t="s">
        <v>5</v>
      </c>
      <c r="C2748" t="s">
        <v>46</v>
      </c>
      <c r="D2748" s="24">
        <v>46113</v>
      </c>
      <c r="E2748" t="s">
        <v>230</v>
      </c>
      <c r="F2748" t="s">
        <v>4</v>
      </c>
      <c r="G2748" t="s">
        <v>217</v>
      </c>
      <c r="H2748" t="s">
        <v>217</v>
      </c>
      <c r="I2748" t="s">
        <v>271</v>
      </c>
      <c r="J2748" s="25">
        <v>5</v>
      </c>
      <c r="K2748" s="26">
        <v>0.7</v>
      </c>
      <c r="L2748" s="26">
        <v>0.01</v>
      </c>
    </row>
    <row r="2749" spans="1:12" ht="16" customHeight="1">
      <c r="A2749" t="s">
        <v>446</v>
      </c>
      <c r="B2749" t="s">
        <v>5</v>
      </c>
      <c r="C2749" t="s">
        <v>46</v>
      </c>
      <c r="D2749" s="24">
        <v>46113</v>
      </c>
      <c r="E2749" t="s">
        <v>232</v>
      </c>
      <c r="F2749" t="s">
        <v>4</v>
      </c>
      <c r="G2749" t="s">
        <v>217</v>
      </c>
      <c r="H2749" t="s">
        <v>217</v>
      </c>
      <c r="I2749" t="s">
        <v>272</v>
      </c>
      <c r="J2749" s="25">
        <v>202</v>
      </c>
      <c r="K2749" s="26">
        <v>35.29</v>
      </c>
      <c r="L2749" s="26">
        <v>1.81</v>
      </c>
    </row>
    <row r="2750" spans="1:12" ht="16" customHeight="1">
      <c r="A2750" t="s">
        <v>446</v>
      </c>
      <c r="B2750" t="s">
        <v>5</v>
      </c>
      <c r="C2750" t="s">
        <v>46</v>
      </c>
      <c r="D2750" s="24">
        <v>46113</v>
      </c>
      <c r="E2750" t="s">
        <v>234</v>
      </c>
      <c r="F2750" t="s">
        <v>4</v>
      </c>
      <c r="G2750" t="s">
        <v>217</v>
      </c>
      <c r="H2750" t="s">
        <v>217</v>
      </c>
      <c r="I2750" t="s">
        <v>273</v>
      </c>
      <c r="J2750" s="25">
        <v>0</v>
      </c>
      <c r="K2750" s="26">
        <v>0</v>
      </c>
      <c r="L2750" s="26">
        <v>0</v>
      </c>
    </row>
    <row r="2751" spans="1:12" ht="16" customHeight="1">
      <c r="A2751" t="s">
        <v>446</v>
      </c>
      <c r="B2751" t="s">
        <v>5</v>
      </c>
      <c r="C2751" t="s">
        <v>46</v>
      </c>
      <c r="D2751" s="24">
        <v>46113</v>
      </c>
      <c r="E2751" t="s">
        <v>236</v>
      </c>
      <c r="F2751" t="s">
        <v>4</v>
      </c>
      <c r="G2751" t="s">
        <v>217</v>
      </c>
      <c r="H2751" t="s">
        <v>217</v>
      </c>
      <c r="I2751" t="s">
        <v>274</v>
      </c>
      <c r="J2751" s="25">
        <v>12</v>
      </c>
      <c r="K2751" s="26">
        <v>2.1800000000000002</v>
      </c>
      <c r="L2751" s="26">
        <v>0.13</v>
      </c>
    </row>
    <row r="2752" spans="1:12" ht="16" customHeight="1">
      <c r="A2752" t="s">
        <v>446</v>
      </c>
      <c r="B2752" t="s">
        <v>5</v>
      </c>
      <c r="C2752" t="s">
        <v>46</v>
      </c>
      <c r="D2752" s="24">
        <v>46113</v>
      </c>
      <c r="E2752" t="s">
        <v>238</v>
      </c>
      <c r="F2752" t="s">
        <v>4</v>
      </c>
      <c r="G2752" t="s">
        <v>217</v>
      </c>
      <c r="H2752" t="s">
        <v>217</v>
      </c>
      <c r="I2752" t="s">
        <v>275</v>
      </c>
      <c r="J2752" s="25">
        <v>0</v>
      </c>
      <c r="K2752" s="26">
        <v>0</v>
      </c>
      <c r="L2752" s="26">
        <v>0</v>
      </c>
    </row>
    <row r="2753" spans="1:12" ht="16" customHeight="1">
      <c r="A2753" t="s">
        <v>446</v>
      </c>
      <c r="B2753" t="s">
        <v>5</v>
      </c>
      <c r="C2753" t="s">
        <v>46</v>
      </c>
      <c r="D2753" s="24">
        <v>46113</v>
      </c>
      <c r="E2753" t="s">
        <v>240</v>
      </c>
      <c r="F2753" t="s">
        <v>3</v>
      </c>
      <c r="G2753" t="s">
        <v>241</v>
      </c>
      <c r="H2753" t="s">
        <v>241</v>
      </c>
      <c r="I2753" t="s">
        <v>276</v>
      </c>
      <c r="J2753" s="25">
        <v>10</v>
      </c>
      <c r="K2753" s="26">
        <v>2.19</v>
      </c>
      <c r="L2753" s="26">
        <v>0.24</v>
      </c>
    </row>
    <row r="2754" spans="1:12" ht="16" customHeight="1">
      <c r="A2754" t="s">
        <v>446</v>
      </c>
      <c r="B2754" t="s">
        <v>5</v>
      </c>
      <c r="C2754" t="s">
        <v>46</v>
      </c>
      <c r="D2754" s="24">
        <v>46113</v>
      </c>
      <c r="E2754" t="s">
        <v>243</v>
      </c>
      <c r="F2754" t="s">
        <v>4</v>
      </c>
      <c r="G2754" t="s">
        <v>217</v>
      </c>
      <c r="H2754" t="s">
        <v>217</v>
      </c>
      <c r="I2754" t="s">
        <v>277</v>
      </c>
      <c r="J2754" s="25">
        <v>0</v>
      </c>
      <c r="K2754" s="26">
        <v>0</v>
      </c>
      <c r="L2754" s="26">
        <v>0</v>
      </c>
    </row>
    <row r="2755" spans="1:12" ht="16" customHeight="1">
      <c r="A2755" t="s">
        <v>446</v>
      </c>
      <c r="B2755" t="s">
        <v>5</v>
      </c>
      <c r="C2755" t="s">
        <v>46</v>
      </c>
      <c r="D2755" s="24">
        <v>46113</v>
      </c>
      <c r="E2755" t="s">
        <v>360</v>
      </c>
      <c r="F2755" t="s">
        <v>4</v>
      </c>
      <c r="G2755" t="s">
        <v>217</v>
      </c>
      <c r="H2755" t="s">
        <v>217</v>
      </c>
      <c r="I2755" t="s">
        <v>278</v>
      </c>
      <c r="J2755" s="25">
        <v>0</v>
      </c>
      <c r="K2755" s="26">
        <v>0</v>
      </c>
      <c r="L2755" s="26">
        <v>0</v>
      </c>
    </row>
    <row r="2756" spans="1:12" ht="16" customHeight="1">
      <c r="A2756" t="s">
        <v>448</v>
      </c>
      <c r="B2756" t="s">
        <v>6</v>
      </c>
      <c r="C2756" t="s">
        <v>46</v>
      </c>
      <c r="D2756" s="24">
        <v>46113</v>
      </c>
      <c r="E2756" t="s">
        <v>430</v>
      </c>
      <c r="F2756" t="s">
        <v>4</v>
      </c>
      <c r="G2756" t="s">
        <v>211</v>
      </c>
      <c r="H2756" t="s">
        <v>211</v>
      </c>
      <c r="I2756" t="s">
        <v>212</v>
      </c>
      <c r="J2756" s="25">
        <v>41376905</v>
      </c>
      <c r="K2756" s="26">
        <v>6526524.3300000001</v>
      </c>
      <c r="L2756" s="26">
        <v>28184.33</v>
      </c>
    </row>
    <row r="2757" spans="1:12" ht="16" customHeight="1">
      <c r="A2757" t="s">
        <v>448</v>
      </c>
      <c r="B2757" t="s">
        <v>6</v>
      </c>
      <c r="C2757" t="s">
        <v>46</v>
      </c>
      <c r="D2757" s="24">
        <v>46113</v>
      </c>
      <c r="E2757" t="s">
        <v>387</v>
      </c>
      <c r="F2757" t="s">
        <v>4</v>
      </c>
      <c r="G2757" t="s">
        <v>217</v>
      </c>
      <c r="H2757" t="s">
        <v>217</v>
      </c>
      <c r="I2757" t="s">
        <v>212</v>
      </c>
      <c r="J2757" s="25">
        <v>2659141</v>
      </c>
      <c r="K2757" s="26">
        <v>416043</v>
      </c>
      <c r="L2757" s="26">
        <v>2669.35</v>
      </c>
    </row>
    <row r="2758" spans="1:12" ht="16" customHeight="1">
      <c r="A2758" t="s">
        <v>448</v>
      </c>
      <c r="B2758" t="s">
        <v>6</v>
      </c>
      <c r="C2758" t="s">
        <v>46</v>
      </c>
      <c r="D2758" s="24">
        <v>46113</v>
      </c>
      <c r="E2758" t="s">
        <v>436</v>
      </c>
      <c r="F2758" t="s">
        <v>4</v>
      </c>
      <c r="G2758" t="s">
        <v>211</v>
      </c>
      <c r="H2758" t="s">
        <v>211</v>
      </c>
      <c r="I2758" t="s">
        <v>219</v>
      </c>
      <c r="J2758" s="25">
        <v>119084</v>
      </c>
      <c r="K2758" s="26">
        <v>18732.97</v>
      </c>
      <c r="L2758" s="26">
        <v>146.97999999999999</v>
      </c>
    </row>
    <row r="2759" spans="1:12" ht="16" customHeight="1">
      <c r="A2759" t="s">
        <v>448</v>
      </c>
      <c r="B2759" t="s">
        <v>6</v>
      </c>
      <c r="C2759" t="s">
        <v>46</v>
      </c>
      <c r="D2759" s="24">
        <v>46113</v>
      </c>
      <c r="E2759" t="s">
        <v>443</v>
      </c>
      <c r="F2759" t="s">
        <v>4</v>
      </c>
      <c r="G2759" t="s">
        <v>211</v>
      </c>
      <c r="H2759" t="s">
        <v>211</v>
      </c>
      <c r="I2759" t="s">
        <v>219</v>
      </c>
      <c r="J2759" s="25">
        <v>12214</v>
      </c>
      <c r="K2759" s="26">
        <v>1974.4</v>
      </c>
      <c r="L2759" s="26">
        <v>22.02</v>
      </c>
    </row>
    <row r="2760" spans="1:12" ht="16" customHeight="1">
      <c r="A2760" t="s">
        <v>448</v>
      </c>
      <c r="B2760" t="s">
        <v>6</v>
      </c>
      <c r="C2760" t="s">
        <v>46</v>
      </c>
      <c r="D2760" s="24">
        <v>46113</v>
      </c>
      <c r="E2760" t="s">
        <v>447</v>
      </c>
      <c r="F2760" t="s">
        <v>4</v>
      </c>
      <c r="G2760" t="s">
        <v>211</v>
      </c>
      <c r="H2760" t="s">
        <v>211</v>
      </c>
      <c r="I2760" t="s">
        <v>219</v>
      </c>
      <c r="J2760" s="25">
        <v>1314</v>
      </c>
      <c r="K2760" s="26">
        <v>212.75</v>
      </c>
      <c r="L2760" s="26">
        <v>3.52</v>
      </c>
    </row>
    <row r="2761" spans="1:12" ht="16" customHeight="1">
      <c r="A2761" t="s">
        <v>448</v>
      </c>
      <c r="B2761" t="s">
        <v>6</v>
      </c>
      <c r="C2761" t="s">
        <v>46</v>
      </c>
      <c r="D2761" s="24">
        <v>46113</v>
      </c>
      <c r="E2761" t="s">
        <v>416</v>
      </c>
      <c r="F2761" t="s">
        <v>4</v>
      </c>
      <c r="G2761" t="s">
        <v>217</v>
      </c>
      <c r="H2761" t="s">
        <v>217</v>
      </c>
      <c r="I2761" t="s">
        <v>219</v>
      </c>
      <c r="J2761" s="25">
        <v>261184</v>
      </c>
      <c r="K2761" s="26">
        <v>41505.39</v>
      </c>
      <c r="L2761" s="26">
        <v>532.79999999999995</v>
      </c>
    </row>
    <row r="2762" spans="1:12" ht="16" customHeight="1">
      <c r="A2762" t="s">
        <v>448</v>
      </c>
      <c r="B2762" t="s">
        <v>6</v>
      </c>
      <c r="C2762" t="s">
        <v>46</v>
      </c>
      <c r="D2762" s="24">
        <v>46113</v>
      </c>
      <c r="E2762" t="s">
        <v>226</v>
      </c>
      <c r="F2762" t="s">
        <v>4</v>
      </c>
      <c r="G2762" t="s">
        <v>217</v>
      </c>
      <c r="H2762" t="s">
        <v>217</v>
      </c>
      <c r="I2762" t="s">
        <v>221</v>
      </c>
      <c r="J2762" s="25">
        <v>132679</v>
      </c>
      <c r="K2762" s="26">
        <v>20902.29</v>
      </c>
      <c r="L2762" s="26">
        <v>300.58999999999997</v>
      </c>
    </row>
    <row r="2763" spans="1:12" ht="16" customHeight="1">
      <c r="A2763" t="s">
        <v>448</v>
      </c>
      <c r="B2763" t="s">
        <v>6</v>
      </c>
      <c r="C2763" t="s">
        <v>46</v>
      </c>
      <c r="D2763" s="24">
        <v>46113</v>
      </c>
      <c r="E2763" t="s">
        <v>269</v>
      </c>
      <c r="F2763" t="s">
        <v>4</v>
      </c>
      <c r="G2763" t="s">
        <v>217</v>
      </c>
      <c r="H2763" t="s">
        <v>217</v>
      </c>
      <c r="I2763" t="s">
        <v>267</v>
      </c>
      <c r="J2763" s="25">
        <v>19998</v>
      </c>
      <c r="K2763" s="26">
        <v>3198.04</v>
      </c>
      <c r="L2763" s="26">
        <v>53.51</v>
      </c>
    </row>
    <row r="2764" spans="1:12" ht="16" customHeight="1">
      <c r="A2764" t="s">
        <v>448</v>
      </c>
      <c r="B2764" t="s">
        <v>6</v>
      </c>
      <c r="C2764" t="s">
        <v>46</v>
      </c>
      <c r="D2764" s="24">
        <v>46113</v>
      </c>
      <c r="E2764" t="s">
        <v>228</v>
      </c>
      <c r="F2764" t="s">
        <v>4</v>
      </c>
      <c r="G2764" t="s">
        <v>217</v>
      </c>
      <c r="H2764" t="s">
        <v>217</v>
      </c>
      <c r="I2764" t="s">
        <v>268</v>
      </c>
      <c r="J2764" s="25">
        <v>45463</v>
      </c>
      <c r="K2764" s="26">
        <v>7398.56</v>
      </c>
      <c r="L2764" s="26">
        <v>221.89</v>
      </c>
    </row>
    <row r="2765" spans="1:12" ht="16" customHeight="1">
      <c r="A2765" t="s">
        <v>448</v>
      </c>
      <c r="B2765" t="s">
        <v>6</v>
      </c>
      <c r="C2765" t="s">
        <v>46</v>
      </c>
      <c r="D2765" s="24">
        <v>46113</v>
      </c>
      <c r="E2765" t="s">
        <v>439</v>
      </c>
      <c r="F2765" t="s">
        <v>4</v>
      </c>
      <c r="G2765" t="s">
        <v>217</v>
      </c>
      <c r="H2765" t="s">
        <v>217</v>
      </c>
      <c r="I2765" t="s">
        <v>270</v>
      </c>
      <c r="J2765" s="25">
        <v>0</v>
      </c>
      <c r="K2765" s="26">
        <v>0</v>
      </c>
      <c r="L2765" s="26">
        <v>0</v>
      </c>
    </row>
    <row r="2766" spans="1:12" ht="16" customHeight="1">
      <c r="A2766" t="s">
        <v>448</v>
      </c>
      <c r="B2766" t="s">
        <v>6</v>
      </c>
      <c r="C2766" t="s">
        <v>46</v>
      </c>
      <c r="D2766" s="24">
        <v>46113</v>
      </c>
      <c r="E2766" t="s">
        <v>230</v>
      </c>
      <c r="F2766" t="s">
        <v>4</v>
      </c>
      <c r="G2766" t="s">
        <v>217</v>
      </c>
      <c r="H2766" t="s">
        <v>217</v>
      </c>
      <c r="I2766" t="s">
        <v>271</v>
      </c>
      <c r="J2766" s="25">
        <v>8</v>
      </c>
      <c r="K2766" s="26">
        <v>1.1100000000000001</v>
      </c>
      <c r="L2766" s="26">
        <v>0.02</v>
      </c>
    </row>
    <row r="2767" spans="1:12" ht="16" customHeight="1">
      <c r="A2767" t="s">
        <v>448</v>
      </c>
      <c r="B2767" t="s">
        <v>6</v>
      </c>
      <c r="C2767" t="s">
        <v>46</v>
      </c>
      <c r="D2767" s="24">
        <v>46113</v>
      </c>
      <c r="E2767" t="s">
        <v>232</v>
      </c>
      <c r="F2767" t="s">
        <v>4</v>
      </c>
      <c r="G2767" t="s">
        <v>217</v>
      </c>
      <c r="H2767" t="s">
        <v>217</v>
      </c>
      <c r="I2767" t="s">
        <v>272</v>
      </c>
      <c r="J2767" s="25">
        <v>257</v>
      </c>
      <c r="K2767" s="26">
        <v>44.34</v>
      </c>
      <c r="L2767" s="26">
        <v>2.0699999999999998</v>
      </c>
    </row>
    <row r="2768" spans="1:12" ht="16" customHeight="1">
      <c r="A2768" t="s">
        <v>448</v>
      </c>
      <c r="B2768" t="s">
        <v>6</v>
      </c>
      <c r="C2768" t="s">
        <v>46</v>
      </c>
      <c r="D2768" s="24">
        <v>46113</v>
      </c>
      <c r="E2768" t="s">
        <v>234</v>
      </c>
      <c r="F2768" t="s">
        <v>4</v>
      </c>
      <c r="G2768" t="s">
        <v>217</v>
      </c>
      <c r="H2768" t="s">
        <v>217</v>
      </c>
      <c r="I2768" t="s">
        <v>273</v>
      </c>
      <c r="J2768" s="25">
        <v>0</v>
      </c>
      <c r="K2768" s="26">
        <v>0</v>
      </c>
      <c r="L2768" s="26">
        <v>0</v>
      </c>
    </row>
    <row r="2769" spans="1:12" ht="16" customHeight="1">
      <c r="A2769" t="s">
        <v>448</v>
      </c>
      <c r="B2769" t="s">
        <v>6</v>
      </c>
      <c r="C2769" t="s">
        <v>46</v>
      </c>
      <c r="D2769" s="24">
        <v>46113</v>
      </c>
      <c r="E2769" t="s">
        <v>236</v>
      </c>
      <c r="F2769" t="s">
        <v>4</v>
      </c>
      <c r="G2769" t="s">
        <v>217</v>
      </c>
      <c r="H2769" t="s">
        <v>217</v>
      </c>
      <c r="I2769" t="s">
        <v>274</v>
      </c>
      <c r="J2769" s="25">
        <v>23</v>
      </c>
      <c r="K2769" s="26">
        <v>4.17</v>
      </c>
      <c r="L2769" s="26">
        <v>0.28999999999999998</v>
      </c>
    </row>
    <row r="2770" spans="1:12" ht="16" customHeight="1">
      <c r="A2770" t="s">
        <v>448</v>
      </c>
      <c r="B2770" t="s">
        <v>6</v>
      </c>
      <c r="C2770" t="s">
        <v>46</v>
      </c>
      <c r="D2770" s="24">
        <v>46113</v>
      </c>
      <c r="E2770" t="s">
        <v>238</v>
      </c>
      <c r="F2770" t="s">
        <v>4</v>
      </c>
      <c r="G2770" t="s">
        <v>217</v>
      </c>
      <c r="H2770" t="s">
        <v>217</v>
      </c>
      <c r="I2770" t="s">
        <v>275</v>
      </c>
      <c r="J2770" s="25">
        <v>0</v>
      </c>
      <c r="K2770" s="26">
        <v>0</v>
      </c>
      <c r="L2770" s="26">
        <v>0</v>
      </c>
    </row>
    <row r="2771" spans="1:12" ht="16" customHeight="1">
      <c r="A2771" t="s">
        <v>448</v>
      </c>
      <c r="B2771" t="s">
        <v>6</v>
      </c>
      <c r="C2771" t="s">
        <v>46</v>
      </c>
      <c r="D2771" s="24">
        <v>46113</v>
      </c>
      <c r="E2771" t="s">
        <v>240</v>
      </c>
      <c r="F2771" t="s">
        <v>3</v>
      </c>
      <c r="G2771" t="s">
        <v>241</v>
      </c>
      <c r="H2771" t="s">
        <v>241</v>
      </c>
      <c r="I2771" t="s">
        <v>276</v>
      </c>
      <c r="J2771" s="25">
        <v>0</v>
      </c>
      <c r="K2771" s="26">
        <v>0</v>
      </c>
      <c r="L2771" s="26">
        <v>0</v>
      </c>
    </row>
    <row r="2772" spans="1:12" ht="16" customHeight="1">
      <c r="A2772" t="s">
        <v>448</v>
      </c>
      <c r="B2772" t="s">
        <v>6</v>
      </c>
      <c r="C2772" t="s">
        <v>46</v>
      </c>
      <c r="D2772" s="24">
        <v>46113</v>
      </c>
      <c r="E2772" t="s">
        <v>243</v>
      </c>
      <c r="F2772" t="s">
        <v>4</v>
      </c>
      <c r="G2772" t="s">
        <v>217</v>
      </c>
      <c r="H2772" t="s">
        <v>217</v>
      </c>
      <c r="I2772" t="s">
        <v>277</v>
      </c>
      <c r="J2772" s="25">
        <v>0</v>
      </c>
      <c r="K2772" s="26">
        <v>0</v>
      </c>
      <c r="L2772" s="26">
        <v>0</v>
      </c>
    </row>
    <row r="2773" spans="1:12" ht="16" customHeight="1">
      <c r="A2773" t="s">
        <v>448</v>
      </c>
      <c r="B2773" t="s">
        <v>6</v>
      </c>
      <c r="C2773" t="s">
        <v>46</v>
      </c>
      <c r="D2773" s="24">
        <v>46113</v>
      </c>
      <c r="E2773" t="s">
        <v>360</v>
      </c>
      <c r="F2773" t="s">
        <v>4</v>
      </c>
      <c r="G2773" t="s">
        <v>217</v>
      </c>
      <c r="H2773" t="s">
        <v>217</v>
      </c>
      <c r="I2773" t="s">
        <v>278</v>
      </c>
      <c r="J2773" s="25">
        <v>0</v>
      </c>
      <c r="K2773" s="26">
        <v>0</v>
      </c>
      <c r="L2773" s="26">
        <v>0</v>
      </c>
    </row>
    <row r="2774" spans="1:12" ht="16" customHeight="1">
      <c r="A2774" t="s">
        <v>449</v>
      </c>
      <c r="B2774" t="s">
        <v>7</v>
      </c>
      <c r="C2774" t="s">
        <v>46</v>
      </c>
      <c r="D2774" s="24">
        <v>46113</v>
      </c>
      <c r="E2774" t="s">
        <v>430</v>
      </c>
      <c r="F2774" t="s">
        <v>4</v>
      </c>
      <c r="G2774" t="s">
        <v>211</v>
      </c>
      <c r="H2774" t="s">
        <v>211</v>
      </c>
      <c r="I2774" t="s">
        <v>212</v>
      </c>
      <c r="J2774" s="25">
        <v>65822475</v>
      </c>
      <c r="K2774" s="26">
        <v>10405188.83</v>
      </c>
      <c r="L2774" s="26">
        <v>40592</v>
      </c>
    </row>
    <row r="2775" spans="1:12" ht="16" customHeight="1">
      <c r="A2775" t="s">
        <v>449</v>
      </c>
      <c r="B2775" t="s">
        <v>7</v>
      </c>
      <c r="C2775" t="s">
        <v>46</v>
      </c>
      <c r="D2775" s="24">
        <v>46113</v>
      </c>
      <c r="E2775" t="s">
        <v>387</v>
      </c>
      <c r="F2775" t="s">
        <v>4</v>
      </c>
      <c r="G2775" t="s">
        <v>217</v>
      </c>
      <c r="H2775" t="s">
        <v>217</v>
      </c>
      <c r="I2775" t="s">
        <v>212</v>
      </c>
      <c r="J2775" s="25">
        <v>3207883</v>
      </c>
      <c r="K2775" s="26">
        <v>502819.48</v>
      </c>
      <c r="L2775" s="26">
        <v>2630.71</v>
      </c>
    </row>
    <row r="2776" spans="1:12" ht="16" customHeight="1">
      <c r="A2776" t="s">
        <v>449</v>
      </c>
      <c r="B2776" t="s">
        <v>7</v>
      </c>
      <c r="C2776" t="s">
        <v>46</v>
      </c>
      <c r="D2776" s="24">
        <v>46113</v>
      </c>
      <c r="E2776" t="s">
        <v>436</v>
      </c>
      <c r="F2776" t="s">
        <v>4</v>
      </c>
      <c r="G2776" t="s">
        <v>211</v>
      </c>
      <c r="H2776" t="s">
        <v>211</v>
      </c>
      <c r="I2776" t="s">
        <v>219</v>
      </c>
      <c r="J2776" s="25">
        <v>132454</v>
      </c>
      <c r="K2776" s="26">
        <v>20957.689999999999</v>
      </c>
      <c r="L2776" s="26">
        <v>129.38999999999999</v>
      </c>
    </row>
    <row r="2777" spans="1:12" ht="16" customHeight="1">
      <c r="A2777" t="s">
        <v>449</v>
      </c>
      <c r="B2777" t="s">
        <v>7</v>
      </c>
      <c r="C2777" t="s">
        <v>46</v>
      </c>
      <c r="D2777" s="24">
        <v>46113</v>
      </c>
      <c r="E2777" t="s">
        <v>443</v>
      </c>
      <c r="F2777" t="s">
        <v>4</v>
      </c>
      <c r="G2777" t="s">
        <v>211</v>
      </c>
      <c r="H2777" t="s">
        <v>211</v>
      </c>
      <c r="I2777" t="s">
        <v>219</v>
      </c>
      <c r="J2777" s="25">
        <v>12985</v>
      </c>
      <c r="K2777" s="26">
        <v>2071.12</v>
      </c>
      <c r="L2777" s="26">
        <v>15.61</v>
      </c>
    </row>
    <row r="2778" spans="1:12" ht="16" customHeight="1">
      <c r="A2778" t="s">
        <v>449</v>
      </c>
      <c r="B2778" t="s">
        <v>7</v>
      </c>
      <c r="C2778" t="s">
        <v>46</v>
      </c>
      <c r="D2778" s="24">
        <v>46113</v>
      </c>
      <c r="E2778" t="s">
        <v>447</v>
      </c>
      <c r="F2778" t="s">
        <v>4</v>
      </c>
      <c r="G2778" t="s">
        <v>211</v>
      </c>
      <c r="H2778" t="s">
        <v>211</v>
      </c>
      <c r="I2778" t="s">
        <v>219</v>
      </c>
      <c r="J2778" s="25">
        <v>1763</v>
      </c>
      <c r="K2778" s="26">
        <v>286.94</v>
      </c>
      <c r="L2778" s="26">
        <v>3.83</v>
      </c>
    </row>
    <row r="2779" spans="1:12" ht="16" customHeight="1">
      <c r="A2779" t="s">
        <v>449</v>
      </c>
      <c r="B2779" t="s">
        <v>7</v>
      </c>
      <c r="C2779" t="s">
        <v>46</v>
      </c>
      <c r="D2779" s="24">
        <v>46113</v>
      </c>
      <c r="E2779" t="s">
        <v>416</v>
      </c>
      <c r="F2779" t="s">
        <v>4</v>
      </c>
      <c r="G2779" t="s">
        <v>217</v>
      </c>
      <c r="H2779" t="s">
        <v>217</v>
      </c>
      <c r="I2779" t="s">
        <v>219</v>
      </c>
      <c r="J2779" s="25">
        <v>308942</v>
      </c>
      <c r="K2779" s="26">
        <v>48864.82</v>
      </c>
      <c r="L2779" s="26">
        <v>600.97</v>
      </c>
    </row>
    <row r="2780" spans="1:12" ht="16" customHeight="1">
      <c r="A2780" t="s">
        <v>449</v>
      </c>
      <c r="B2780" t="s">
        <v>7</v>
      </c>
      <c r="C2780" t="s">
        <v>46</v>
      </c>
      <c r="D2780" s="24">
        <v>46113</v>
      </c>
      <c r="E2780" t="s">
        <v>226</v>
      </c>
      <c r="F2780" t="s">
        <v>4</v>
      </c>
      <c r="G2780" t="s">
        <v>217</v>
      </c>
      <c r="H2780" t="s">
        <v>217</v>
      </c>
      <c r="I2780" t="s">
        <v>221</v>
      </c>
      <c r="J2780" s="25">
        <v>117144</v>
      </c>
      <c r="K2780" s="26">
        <v>18243.39</v>
      </c>
      <c r="L2780" s="26">
        <v>238.53</v>
      </c>
    </row>
    <row r="2781" spans="1:12" ht="16" customHeight="1">
      <c r="A2781" t="s">
        <v>449</v>
      </c>
      <c r="B2781" t="s">
        <v>7</v>
      </c>
      <c r="C2781" t="s">
        <v>46</v>
      </c>
      <c r="D2781" s="24">
        <v>46113</v>
      </c>
      <c r="E2781" t="s">
        <v>269</v>
      </c>
      <c r="F2781" t="s">
        <v>4</v>
      </c>
      <c r="G2781" t="s">
        <v>217</v>
      </c>
      <c r="H2781" t="s">
        <v>217</v>
      </c>
      <c r="I2781" t="s">
        <v>267</v>
      </c>
      <c r="J2781" s="25">
        <v>11234</v>
      </c>
      <c r="K2781" s="26">
        <v>1841.56</v>
      </c>
      <c r="L2781" s="26">
        <v>29</v>
      </c>
    </row>
    <row r="2782" spans="1:12" ht="16" customHeight="1">
      <c r="A2782" t="s">
        <v>449</v>
      </c>
      <c r="B2782" t="s">
        <v>7</v>
      </c>
      <c r="C2782" t="s">
        <v>46</v>
      </c>
      <c r="D2782" s="24">
        <v>46113</v>
      </c>
      <c r="E2782" t="s">
        <v>228</v>
      </c>
      <c r="F2782" t="s">
        <v>4</v>
      </c>
      <c r="G2782" t="s">
        <v>217</v>
      </c>
      <c r="H2782" t="s">
        <v>217</v>
      </c>
      <c r="I2782" t="s">
        <v>268</v>
      </c>
      <c r="J2782" s="25">
        <v>31659</v>
      </c>
      <c r="K2782" s="26">
        <v>5112.37</v>
      </c>
      <c r="L2782" s="26">
        <v>119</v>
      </c>
    </row>
    <row r="2783" spans="1:12" ht="16" customHeight="1">
      <c r="A2783" t="s">
        <v>449</v>
      </c>
      <c r="B2783" t="s">
        <v>7</v>
      </c>
      <c r="C2783" t="s">
        <v>46</v>
      </c>
      <c r="D2783" s="24">
        <v>46113</v>
      </c>
      <c r="E2783" t="s">
        <v>439</v>
      </c>
      <c r="F2783" t="s">
        <v>4</v>
      </c>
      <c r="G2783" t="s">
        <v>217</v>
      </c>
      <c r="H2783" t="s">
        <v>217</v>
      </c>
      <c r="I2783" t="s">
        <v>270</v>
      </c>
      <c r="J2783" s="25">
        <v>0</v>
      </c>
      <c r="K2783" s="26">
        <v>0</v>
      </c>
      <c r="L2783" s="26">
        <v>0</v>
      </c>
    </row>
    <row r="2784" spans="1:12" ht="16" customHeight="1">
      <c r="A2784" t="s">
        <v>449</v>
      </c>
      <c r="B2784" t="s">
        <v>7</v>
      </c>
      <c r="C2784" t="s">
        <v>46</v>
      </c>
      <c r="D2784" s="24">
        <v>46113</v>
      </c>
      <c r="E2784" t="s">
        <v>230</v>
      </c>
      <c r="F2784" t="s">
        <v>4</v>
      </c>
      <c r="G2784" t="s">
        <v>217</v>
      </c>
      <c r="H2784" t="s">
        <v>217</v>
      </c>
      <c r="I2784" t="s">
        <v>271</v>
      </c>
      <c r="J2784" s="25">
        <v>1</v>
      </c>
      <c r="K2784" s="26">
        <v>0.14000000000000001</v>
      </c>
      <c r="L2784" s="26">
        <v>0</v>
      </c>
    </row>
    <row r="2785" spans="1:12" ht="16" customHeight="1">
      <c r="A2785" t="s">
        <v>449</v>
      </c>
      <c r="B2785" t="s">
        <v>7</v>
      </c>
      <c r="C2785" t="s">
        <v>46</v>
      </c>
      <c r="D2785" s="24">
        <v>46113</v>
      </c>
      <c r="E2785" t="s">
        <v>232</v>
      </c>
      <c r="F2785" t="s">
        <v>4</v>
      </c>
      <c r="G2785" t="s">
        <v>217</v>
      </c>
      <c r="H2785" t="s">
        <v>217</v>
      </c>
      <c r="I2785" t="s">
        <v>272</v>
      </c>
      <c r="J2785" s="25">
        <v>223</v>
      </c>
      <c r="K2785" s="26">
        <v>40</v>
      </c>
      <c r="L2785" s="26">
        <v>1.76</v>
      </c>
    </row>
    <row r="2786" spans="1:12" ht="16" customHeight="1">
      <c r="A2786" t="s">
        <v>449</v>
      </c>
      <c r="B2786" t="s">
        <v>7</v>
      </c>
      <c r="C2786" t="s">
        <v>46</v>
      </c>
      <c r="D2786" s="24">
        <v>46113</v>
      </c>
      <c r="E2786" t="s">
        <v>234</v>
      </c>
      <c r="F2786" t="s">
        <v>4</v>
      </c>
      <c r="G2786" t="s">
        <v>217</v>
      </c>
      <c r="H2786" t="s">
        <v>217</v>
      </c>
      <c r="I2786" t="s">
        <v>273</v>
      </c>
      <c r="J2786" s="25">
        <v>0</v>
      </c>
      <c r="K2786" s="26">
        <v>0</v>
      </c>
      <c r="L2786" s="26">
        <v>0</v>
      </c>
    </row>
    <row r="2787" spans="1:12" ht="16" customHeight="1">
      <c r="A2787" t="s">
        <v>449</v>
      </c>
      <c r="B2787" t="s">
        <v>7</v>
      </c>
      <c r="C2787" t="s">
        <v>46</v>
      </c>
      <c r="D2787" s="24">
        <v>46113</v>
      </c>
      <c r="E2787" t="s">
        <v>236</v>
      </c>
      <c r="F2787" t="s">
        <v>4</v>
      </c>
      <c r="G2787" t="s">
        <v>217</v>
      </c>
      <c r="H2787" t="s">
        <v>217</v>
      </c>
      <c r="I2787" t="s">
        <v>274</v>
      </c>
      <c r="J2787" s="25">
        <v>12</v>
      </c>
      <c r="K2787" s="26">
        <v>2.08</v>
      </c>
      <c r="L2787" s="26">
        <v>0.12</v>
      </c>
    </row>
    <row r="2788" spans="1:12" ht="16" customHeight="1">
      <c r="A2788" t="s">
        <v>449</v>
      </c>
      <c r="B2788" t="s">
        <v>7</v>
      </c>
      <c r="C2788" t="s">
        <v>46</v>
      </c>
      <c r="D2788" s="24">
        <v>46113</v>
      </c>
      <c r="E2788" t="s">
        <v>238</v>
      </c>
      <c r="F2788" t="s">
        <v>4</v>
      </c>
      <c r="G2788" t="s">
        <v>217</v>
      </c>
      <c r="H2788" t="s">
        <v>217</v>
      </c>
      <c r="I2788" t="s">
        <v>275</v>
      </c>
      <c r="J2788" s="25">
        <v>0</v>
      </c>
      <c r="K2788" s="26">
        <v>0</v>
      </c>
      <c r="L2788" s="26">
        <v>0</v>
      </c>
    </row>
    <row r="2789" spans="1:12" ht="16" customHeight="1">
      <c r="A2789" t="s">
        <v>449</v>
      </c>
      <c r="B2789" t="s">
        <v>7</v>
      </c>
      <c r="C2789" t="s">
        <v>46</v>
      </c>
      <c r="D2789" s="24">
        <v>46113</v>
      </c>
      <c r="E2789" t="s">
        <v>240</v>
      </c>
      <c r="F2789" t="s">
        <v>3</v>
      </c>
      <c r="G2789" t="s">
        <v>241</v>
      </c>
      <c r="H2789" t="s">
        <v>241</v>
      </c>
      <c r="I2789" t="s">
        <v>276</v>
      </c>
      <c r="J2789" s="25">
        <v>0</v>
      </c>
      <c r="K2789" s="26">
        <v>0</v>
      </c>
      <c r="L2789" s="26">
        <v>0</v>
      </c>
    </row>
    <row r="2790" spans="1:12" ht="16" customHeight="1">
      <c r="A2790" t="s">
        <v>449</v>
      </c>
      <c r="B2790" t="s">
        <v>7</v>
      </c>
      <c r="C2790" t="s">
        <v>46</v>
      </c>
      <c r="D2790" s="24">
        <v>46113</v>
      </c>
      <c r="E2790" t="s">
        <v>243</v>
      </c>
      <c r="F2790" t="s">
        <v>4</v>
      </c>
      <c r="G2790" t="s">
        <v>217</v>
      </c>
      <c r="H2790" t="s">
        <v>217</v>
      </c>
      <c r="I2790" t="s">
        <v>277</v>
      </c>
      <c r="J2790" s="25">
        <v>0</v>
      </c>
      <c r="K2790" s="26">
        <v>0</v>
      </c>
      <c r="L2790" s="26">
        <v>0</v>
      </c>
    </row>
    <row r="2791" spans="1:12" ht="16" customHeight="1">
      <c r="A2791" t="s">
        <v>449</v>
      </c>
      <c r="B2791" t="s">
        <v>7</v>
      </c>
      <c r="C2791" t="s">
        <v>46</v>
      </c>
      <c r="D2791" s="24">
        <v>46113</v>
      </c>
      <c r="E2791" t="s">
        <v>360</v>
      </c>
      <c r="F2791" t="s">
        <v>4</v>
      </c>
      <c r="G2791" t="s">
        <v>217</v>
      </c>
      <c r="H2791" t="s">
        <v>217</v>
      </c>
      <c r="I2791" t="s">
        <v>278</v>
      </c>
      <c r="J2791" s="25">
        <v>0</v>
      </c>
      <c r="K2791" s="26">
        <v>0</v>
      </c>
      <c r="L2791" s="26">
        <v>0</v>
      </c>
    </row>
    <row r="2792" spans="1:12" ht="16" customHeight="1">
      <c r="A2792" t="s">
        <v>450</v>
      </c>
      <c r="B2792" t="s">
        <v>3</v>
      </c>
      <c r="C2792" t="s">
        <v>46</v>
      </c>
      <c r="D2792" s="24">
        <v>46113</v>
      </c>
      <c r="E2792" t="s">
        <v>430</v>
      </c>
      <c r="F2792" t="s">
        <v>4</v>
      </c>
      <c r="G2792" t="s">
        <v>211</v>
      </c>
      <c r="H2792" t="s">
        <v>211</v>
      </c>
      <c r="I2792" t="s">
        <v>212</v>
      </c>
      <c r="J2792" s="25">
        <v>112383504</v>
      </c>
      <c r="K2792" s="26">
        <v>17854645.5</v>
      </c>
      <c r="L2792" s="26">
        <v>52074.61</v>
      </c>
    </row>
    <row r="2793" spans="1:12" ht="16" customHeight="1">
      <c r="A2793" t="s">
        <v>450</v>
      </c>
      <c r="B2793" t="s">
        <v>3</v>
      </c>
      <c r="C2793" t="s">
        <v>46</v>
      </c>
      <c r="D2793" s="24">
        <v>46113</v>
      </c>
      <c r="E2793" t="s">
        <v>387</v>
      </c>
      <c r="F2793" t="s">
        <v>4</v>
      </c>
      <c r="G2793" t="s">
        <v>217</v>
      </c>
      <c r="H2793" t="s">
        <v>217</v>
      </c>
      <c r="I2793" t="s">
        <v>212</v>
      </c>
      <c r="J2793" s="25">
        <v>5077769</v>
      </c>
      <c r="K2793" s="26">
        <v>805228.6</v>
      </c>
      <c r="L2793" s="26">
        <v>4398.6000000000004</v>
      </c>
    </row>
    <row r="2794" spans="1:12" ht="16" customHeight="1">
      <c r="A2794" t="s">
        <v>450</v>
      </c>
      <c r="B2794" t="s">
        <v>3</v>
      </c>
      <c r="C2794" t="s">
        <v>46</v>
      </c>
      <c r="D2794" s="24">
        <v>46113</v>
      </c>
      <c r="E2794" t="s">
        <v>436</v>
      </c>
      <c r="F2794" t="s">
        <v>4</v>
      </c>
      <c r="G2794" t="s">
        <v>211</v>
      </c>
      <c r="H2794" t="s">
        <v>211</v>
      </c>
      <c r="I2794" t="s">
        <v>219</v>
      </c>
      <c r="J2794" s="25">
        <v>342956</v>
      </c>
      <c r="K2794" s="26">
        <v>55190.080000000002</v>
      </c>
      <c r="L2794" s="26">
        <v>315.47000000000003</v>
      </c>
    </row>
    <row r="2795" spans="1:12" ht="16" customHeight="1">
      <c r="A2795" t="s">
        <v>450</v>
      </c>
      <c r="B2795" t="s">
        <v>3</v>
      </c>
      <c r="C2795" t="s">
        <v>46</v>
      </c>
      <c r="D2795" s="24">
        <v>46113</v>
      </c>
      <c r="E2795" t="s">
        <v>443</v>
      </c>
      <c r="F2795" t="s">
        <v>4</v>
      </c>
      <c r="G2795" t="s">
        <v>211</v>
      </c>
      <c r="H2795" t="s">
        <v>211</v>
      </c>
      <c r="I2795" t="s">
        <v>219</v>
      </c>
      <c r="J2795" s="25">
        <v>37734</v>
      </c>
      <c r="K2795" s="26">
        <v>6097.36</v>
      </c>
      <c r="L2795" s="26">
        <v>59.2</v>
      </c>
    </row>
    <row r="2796" spans="1:12" ht="16" customHeight="1">
      <c r="A2796" t="s">
        <v>450</v>
      </c>
      <c r="B2796" t="s">
        <v>3</v>
      </c>
      <c r="C2796" t="s">
        <v>46</v>
      </c>
      <c r="D2796" s="24">
        <v>46113</v>
      </c>
      <c r="E2796" t="s">
        <v>447</v>
      </c>
      <c r="F2796" t="s">
        <v>4</v>
      </c>
      <c r="G2796" t="s">
        <v>211</v>
      </c>
      <c r="H2796" t="s">
        <v>211</v>
      </c>
      <c r="I2796" t="s">
        <v>219</v>
      </c>
      <c r="J2796" s="25">
        <v>5648</v>
      </c>
      <c r="K2796" s="26">
        <v>914.35</v>
      </c>
      <c r="L2796" s="26">
        <v>10.69</v>
      </c>
    </row>
    <row r="2797" spans="1:12" ht="16" customHeight="1">
      <c r="A2797" t="s">
        <v>450</v>
      </c>
      <c r="B2797" t="s">
        <v>3</v>
      </c>
      <c r="C2797" t="s">
        <v>46</v>
      </c>
      <c r="D2797" s="24">
        <v>46113</v>
      </c>
      <c r="E2797" t="s">
        <v>416</v>
      </c>
      <c r="F2797" t="s">
        <v>4</v>
      </c>
      <c r="G2797" t="s">
        <v>217</v>
      </c>
      <c r="H2797" t="s">
        <v>217</v>
      </c>
      <c r="I2797" t="s">
        <v>219</v>
      </c>
      <c r="J2797" s="25">
        <v>441610</v>
      </c>
      <c r="K2797" s="26">
        <v>70242.039999999994</v>
      </c>
      <c r="L2797" s="26">
        <v>770.35</v>
      </c>
    </row>
    <row r="2798" spans="1:12" ht="16" customHeight="1">
      <c r="A2798" t="s">
        <v>450</v>
      </c>
      <c r="B2798" t="s">
        <v>3</v>
      </c>
      <c r="C2798" t="s">
        <v>46</v>
      </c>
      <c r="D2798" s="24">
        <v>46113</v>
      </c>
      <c r="E2798" t="s">
        <v>226</v>
      </c>
      <c r="F2798" t="s">
        <v>4</v>
      </c>
      <c r="G2798" t="s">
        <v>217</v>
      </c>
      <c r="H2798" t="s">
        <v>217</v>
      </c>
      <c r="I2798" t="s">
        <v>221</v>
      </c>
      <c r="J2798" s="25">
        <v>149894</v>
      </c>
      <c r="K2798" s="26">
        <v>23380.25</v>
      </c>
      <c r="L2798" s="26">
        <v>324.45999999999998</v>
      </c>
    </row>
    <row r="2799" spans="1:12" ht="16" customHeight="1">
      <c r="A2799" t="s">
        <v>450</v>
      </c>
      <c r="B2799" t="s">
        <v>3</v>
      </c>
      <c r="C2799" t="s">
        <v>46</v>
      </c>
      <c r="D2799" s="24">
        <v>46113</v>
      </c>
      <c r="E2799" t="s">
        <v>269</v>
      </c>
      <c r="F2799" t="s">
        <v>4</v>
      </c>
      <c r="G2799" t="s">
        <v>217</v>
      </c>
      <c r="H2799" t="s">
        <v>217</v>
      </c>
      <c r="I2799" t="s">
        <v>267</v>
      </c>
      <c r="J2799" s="25">
        <v>23377</v>
      </c>
      <c r="K2799" s="26">
        <v>3778.45</v>
      </c>
      <c r="L2799" s="26">
        <v>61.39</v>
      </c>
    </row>
    <row r="2800" spans="1:12" ht="16" customHeight="1">
      <c r="A2800" t="s">
        <v>450</v>
      </c>
      <c r="B2800" t="s">
        <v>3</v>
      </c>
      <c r="C2800" t="s">
        <v>46</v>
      </c>
      <c r="D2800" s="24">
        <v>46113</v>
      </c>
      <c r="E2800" t="s">
        <v>228</v>
      </c>
      <c r="F2800" t="s">
        <v>4</v>
      </c>
      <c r="G2800" t="s">
        <v>217</v>
      </c>
      <c r="H2800" t="s">
        <v>217</v>
      </c>
      <c r="I2800" t="s">
        <v>268</v>
      </c>
      <c r="J2800" s="25">
        <v>45023</v>
      </c>
      <c r="K2800" s="26">
        <v>7526.03</v>
      </c>
      <c r="L2800" s="26">
        <v>201.93</v>
      </c>
    </row>
    <row r="2801" spans="1:12" ht="16" customHeight="1">
      <c r="A2801" t="s">
        <v>450</v>
      </c>
      <c r="B2801" t="s">
        <v>3</v>
      </c>
      <c r="C2801" t="s">
        <v>46</v>
      </c>
      <c r="D2801" s="24">
        <v>46113</v>
      </c>
      <c r="E2801" t="s">
        <v>439</v>
      </c>
      <c r="F2801" t="s">
        <v>4</v>
      </c>
      <c r="G2801" t="s">
        <v>217</v>
      </c>
      <c r="H2801" t="s">
        <v>217</v>
      </c>
      <c r="I2801" t="s">
        <v>270</v>
      </c>
      <c r="J2801" s="25">
        <v>0</v>
      </c>
      <c r="K2801" s="26">
        <v>0</v>
      </c>
      <c r="L2801" s="26">
        <v>0</v>
      </c>
    </row>
    <row r="2802" spans="1:12" ht="16" customHeight="1">
      <c r="A2802" t="s">
        <v>450</v>
      </c>
      <c r="B2802" t="s">
        <v>3</v>
      </c>
      <c r="C2802" t="s">
        <v>46</v>
      </c>
      <c r="D2802" s="24">
        <v>46113</v>
      </c>
      <c r="E2802" t="s">
        <v>230</v>
      </c>
      <c r="F2802" t="s">
        <v>4</v>
      </c>
      <c r="G2802" t="s">
        <v>217</v>
      </c>
      <c r="H2802" t="s">
        <v>217</v>
      </c>
      <c r="I2802" t="s">
        <v>271</v>
      </c>
      <c r="J2802" s="25">
        <v>0</v>
      </c>
      <c r="K2802" s="26">
        <v>0</v>
      </c>
      <c r="L2802" s="26">
        <v>0</v>
      </c>
    </row>
    <row r="2803" spans="1:12" ht="16" customHeight="1">
      <c r="A2803" t="s">
        <v>450</v>
      </c>
      <c r="B2803" t="s">
        <v>3</v>
      </c>
      <c r="C2803" t="s">
        <v>46</v>
      </c>
      <c r="D2803" s="24">
        <v>46113</v>
      </c>
      <c r="E2803" t="s">
        <v>232</v>
      </c>
      <c r="F2803" t="s">
        <v>4</v>
      </c>
      <c r="G2803" t="s">
        <v>217</v>
      </c>
      <c r="H2803" t="s">
        <v>217</v>
      </c>
      <c r="I2803" t="s">
        <v>272</v>
      </c>
      <c r="J2803" s="25">
        <v>195</v>
      </c>
      <c r="K2803" s="26">
        <v>34.83</v>
      </c>
      <c r="L2803" s="26">
        <v>2.5499999999999998</v>
      </c>
    </row>
    <row r="2804" spans="1:12" ht="16" customHeight="1">
      <c r="A2804" t="s">
        <v>450</v>
      </c>
      <c r="B2804" t="s">
        <v>3</v>
      </c>
      <c r="C2804" t="s">
        <v>46</v>
      </c>
      <c r="D2804" s="24">
        <v>46113</v>
      </c>
      <c r="E2804" t="s">
        <v>234</v>
      </c>
      <c r="F2804" t="s">
        <v>4</v>
      </c>
      <c r="G2804" t="s">
        <v>217</v>
      </c>
      <c r="H2804" t="s">
        <v>217</v>
      </c>
      <c r="I2804" t="s">
        <v>273</v>
      </c>
      <c r="J2804" s="25">
        <v>1</v>
      </c>
      <c r="K2804" s="26">
        <v>0.15</v>
      </c>
      <c r="L2804" s="26">
        <v>0.01</v>
      </c>
    </row>
    <row r="2805" spans="1:12" ht="16" customHeight="1">
      <c r="A2805" t="s">
        <v>450</v>
      </c>
      <c r="B2805" t="s">
        <v>3</v>
      </c>
      <c r="C2805" t="s">
        <v>46</v>
      </c>
      <c r="D2805" s="24">
        <v>46113</v>
      </c>
      <c r="E2805" t="s">
        <v>236</v>
      </c>
      <c r="F2805" t="s">
        <v>4</v>
      </c>
      <c r="G2805" t="s">
        <v>217</v>
      </c>
      <c r="H2805" t="s">
        <v>217</v>
      </c>
      <c r="I2805" t="s">
        <v>274</v>
      </c>
      <c r="J2805" s="25">
        <v>34</v>
      </c>
      <c r="K2805" s="26">
        <v>6.1</v>
      </c>
      <c r="L2805" s="26">
        <v>0.38</v>
      </c>
    </row>
    <row r="2806" spans="1:12" ht="16" customHeight="1">
      <c r="A2806" t="s">
        <v>450</v>
      </c>
      <c r="B2806" t="s">
        <v>3</v>
      </c>
      <c r="C2806" t="s">
        <v>46</v>
      </c>
      <c r="D2806" s="24">
        <v>46113</v>
      </c>
      <c r="E2806" t="s">
        <v>238</v>
      </c>
      <c r="F2806" t="s">
        <v>4</v>
      </c>
      <c r="G2806" t="s">
        <v>217</v>
      </c>
      <c r="H2806" t="s">
        <v>217</v>
      </c>
      <c r="I2806" t="s">
        <v>275</v>
      </c>
      <c r="J2806" s="25">
        <v>0</v>
      </c>
      <c r="K2806" s="26">
        <v>0</v>
      </c>
      <c r="L2806" s="26">
        <v>0</v>
      </c>
    </row>
    <row r="2807" spans="1:12" ht="16" customHeight="1">
      <c r="A2807" t="s">
        <v>450</v>
      </c>
      <c r="B2807" t="s">
        <v>3</v>
      </c>
      <c r="C2807" t="s">
        <v>46</v>
      </c>
      <c r="D2807" s="24">
        <v>46113</v>
      </c>
      <c r="E2807" t="s">
        <v>240</v>
      </c>
      <c r="F2807" t="s">
        <v>3</v>
      </c>
      <c r="G2807" t="s">
        <v>241</v>
      </c>
      <c r="H2807" t="s">
        <v>241</v>
      </c>
      <c r="I2807" t="s">
        <v>276</v>
      </c>
      <c r="J2807" s="25">
        <v>1</v>
      </c>
      <c r="K2807" s="26">
        <v>0.22</v>
      </c>
      <c r="L2807" s="26">
        <v>0.02</v>
      </c>
    </row>
    <row r="2808" spans="1:12" ht="16" customHeight="1">
      <c r="A2808" t="s">
        <v>450</v>
      </c>
      <c r="B2808" t="s">
        <v>3</v>
      </c>
      <c r="C2808" t="s">
        <v>46</v>
      </c>
      <c r="D2808" s="24">
        <v>46113</v>
      </c>
      <c r="E2808" t="s">
        <v>243</v>
      </c>
      <c r="F2808" t="s">
        <v>4</v>
      </c>
      <c r="G2808" t="s">
        <v>217</v>
      </c>
      <c r="H2808" t="s">
        <v>217</v>
      </c>
      <c r="I2808" t="s">
        <v>277</v>
      </c>
      <c r="J2808" s="25">
        <v>0</v>
      </c>
      <c r="K2808" s="26">
        <v>0</v>
      </c>
      <c r="L2808" s="26">
        <v>0</v>
      </c>
    </row>
    <row r="2809" spans="1:12" ht="16" customHeight="1">
      <c r="A2809" t="s">
        <v>450</v>
      </c>
      <c r="B2809" t="s">
        <v>3</v>
      </c>
      <c r="C2809" t="s">
        <v>46</v>
      </c>
      <c r="D2809" s="24">
        <v>46113</v>
      </c>
      <c r="E2809" t="s">
        <v>360</v>
      </c>
      <c r="F2809" t="s">
        <v>4</v>
      </c>
      <c r="G2809" t="s">
        <v>217</v>
      </c>
      <c r="H2809" t="s">
        <v>217</v>
      </c>
      <c r="I2809" t="s">
        <v>278</v>
      </c>
      <c r="J2809" s="25">
        <v>0</v>
      </c>
      <c r="K2809" s="26">
        <v>0</v>
      </c>
      <c r="L2809" s="26">
        <v>0</v>
      </c>
    </row>
    <row r="2810" spans="1:12" ht="16" customHeight="1">
      <c r="A2810" t="s">
        <v>430</v>
      </c>
      <c r="B2810" t="s">
        <v>4</v>
      </c>
      <c r="C2810" t="s">
        <v>46</v>
      </c>
      <c r="D2810" s="24">
        <v>46113</v>
      </c>
      <c r="E2810" t="s">
        <v>430</v>
      </c>
      <c r="F2810" t="s">
        <v>4</v>
      </c>
      <c r="G2810" t="s">
        <v>211</v>
      </c>
      <c r="H2810" t="s">
        <v>211</v>
      </c>
      <c r="I2810" t="s">
        <v>212</v>
      </c>
      <c r="J2810" s="25">
        <v>334050087</v>
      </c>
      <c r="K2810" s="26">
        <v>53234649.240000002</v>
      </c>
      <c r="L2810" s="26">
        <v>53724.01</v>
      </c>
    </row>
    <row r="2811" spans="1:12" ht="16" customHeight="1">
      <c r="A2811" t="s">
        <v>430</v>
      </c>
      <c r="B2811" t="s">
        <v>4</v>
      </c>
      <c r="C2811" t="s">
        <v>46</v>
      </c>
      <c r="D2811" s="24">
        <v>46113</v>
      </c>
      <c r="E2811" t="s">
        <v>387</v>
      </c>
      <c r="F2811" t="s">
        <v>4</v>
      </c>
      <c r="G2811" t="s">
        <v>217</v>
      </c>
      <c r="H2811" t="s">
        <v>217</v>
      </c>
      <c r="I2811" t="s">
        <v>212</v>
      </c>
      <c r="J2811" s="25">
        <v>8044065</v>
      </c>
      <c r="K2811" s="26">
        <v>1276900.83</v>
      </c>
      <c r="L2811" s="26">
        <v>6082.24</v>
      </c>
    </row>
    <row r="2812" spans="1:12" ht="16" customHeight="1">
      <c r="A2812" t="s">
        <v>430</v>
      </c>
      <c r="B2812" t="s">
        <v>4</v>
      </c>
      <c r="C2812" t="s">
        <v>46</v>
      </c>
      <c r="D2812" s="24">
        <v>46113</v>
      </c>
      <c r="E2812" t="s">
        <v>436</v>
      </c>
      <c r="F2812" t="s">
        <v>4</v>
      </c>
      <c r="G2812" t="s">
        <v>211</v>
      </c>
      <c r="H2812" t="s">
        <v>211</v>
      </c>
      <c r="I2812" t="s">
        <v>219</v>
      </c>
      <c r="J2812" s="25">
        <v>477278</v>
      </c>
      <c r="K2812" s="26">
        <v>76363.210000000006</v>
      </c>
      <c r="L2812" s="26">
        <v>404.21</v>
      </c>
    </row>
    <row r="2813" spans="1:12" ht="16" customHeight="1">
      <c r="A2813" t="s">
        <v>430</v>
      </c>
      <c r="B2813" t="s">
        <v>4</v>
      </c>
      <c r="C2813" t="s">
        <v>46</v>
      </c>
      <c r="D2813" s="24">
        <v>46113</v>
      </c>
      <c r="E2813" t="s">
        <v>443</v>
      </c>
      <c r="F2813" t="s">
        <v>4</v>
      </c>
      <c r="G2813" t="s">
        <v>211</v>
      </c>
      <c r="H2813" t="s">
        <v>211</v>
      </c>
      <c r="I2813" t="s">
        <v>219</v>
      </c>
      <c r="J2813" s="25">
        <v>52870</v>
      </c>
      <c r="K2813" s="26">
        <v>8519.02</v>
      </c>
      <c r="L2813" s="26">
        <v>67.17</v>
      </c>
    </row>
    <row r="2814" spans="1:12" ht="16" customHeight="1">
      <c r="A2814" t="s">
        <v>430</v>
      </c>
      <c r="B2814" t="s">
        <v>4</v>
      </c>
      <c r="C2814" t="s">
        <v>46</v>
      </c>
      <c r="D2814" s="24">
        <v>46113</v>
      </c>
      <c r="E2814" t="s">
        <v>447</v>
      </c>
      <c r="F2814" t="s">
        <v>4</v>
      </c>
      <c r="G2814" t="s">
        <v>211</v>
      </c>
      <c r="H2814" t="s">
        <v>211</v>
      </c>
      <c r="I2814" t="s">
        <v>219</v>
      </c>
      <c r="J2814" s="25">
        <v>5435</v>
      </c>
      <c r="K2814" s="26">
        <v>887.03</v>
      </c>
      <c r="L2814" s="26">
        <v>9.11</v>
      </c>
    </row>
    <row r="2815" spans="1:12" ht="16" customHeight="1">
      <c r="A2815" t="s">
        <v>430</v>
      </c>
      <c r="B2815" t="s">
        <v>4</v>
      </c>
      <c r="C2815" t="s">
        <v>46</v>
      </c>
      <c r="D2815" s="24">
        <v>46113</v>
      </c>
      <c r="E2815" t="s">
        <v>416</v>
      </c>
      <c r="F2815" t="s">
        <v>4</v>
      </c>
      <c r="G2815" t="s">
        <v>217</v>
      </c>
      <c r="H2815" t="s">
        <v>217</v>
      </c>
      <c r="I2815" t="s">
        <v>219</v>
      </c>
      <c r="J2815" s="25">
        <v>362363</v>
      </c>
      <c r="K2815" s="26">
        <v>57916.83</v>
      </c>
      <c r="L2815" s="26">
        <v>708.29</v>
      </c>
    </row>
    <row r="2816" spans="1:12" ht="16" customHeight="1">
      <c r="A2816" t="s">
        <v>430</v>
      </c>
      <c r="B2816" t="s">
        <v>4</v>
      </c>
      <c r="C2816" t="s">
        <v>46</v>
      </c>
      <c r="D2816" s="24">
        <v>46113</v>
      </c>
      <c r="E2816" t="s">
        <v>226</v>
      </c>
      <c r="F2816" t="s">
        <v>4</v>
      </c>
      <c r="G2816" t="s">
        <v>217</v>
      </c>
      <c r="H2816" t="s">
        <v>217</v>
      </c>
      <c r="I2816" t="s">
        <v>221</v>
      </c>
      <c r="J2816" s="25">
        <v>148718</v>
      </c>
      <c r="K2816" s="26">
        <v>23078.74</v>
      </c>
      <c r="L2816" s="26">
        <v>305.37</v>
      </c>
    </row>
    <row r="2817" spans="1:12" ht="16" customHeight="1">
      <c r="A2817" t="s">
        <v>430</v>
      </c>
      <c r="B2817" t="s">
        <v>4</v>
      </c>
      <c r="C2817" t="s">
        <v>46</v>
      </c>
      <c r="D2817" s="24">
        <v>46113</v>
      </c>
      <c r="E2817" t="s">
        <v>269</v>
      </c>
      <c r="F2817" t="s">
        <v>4</v>
      </c>
      <c r="G2817" t="s">
        <v>217</v>
      </c>
      <c r="H2817" t="s">
        <v>217</v>
      </c>
      <c r="I2817" t="s">
        <v>267</v>
      </c>
      <c r="J2817" s="25">
        <v>24672</v>
      </c>
      <c r="K2817" s="26">
        <v>3997.93</v>
      </c>
      <c r="L2817" s="26">
        <v>74.319999999999993</v>
      </c>
    </row>
    <row r="2818" spans="1:12" ht="16" customHeight="1">
      <c r="A2818" t="s">
        <v>430</v>
      </c>
      <c r="B2818" t="s">
        <v>4</v>
      </c>
      <c r="C2818" t="s">
        <v>46</v>
      </c>
      <c r="D2818" s="24">
        <v>46113</v>
      </c>
      <c r="E2818" t="s">
        <v>228</v>
      </c>
      <c r="F2818" t="s">
        <v>4</v>
      </c>
      <c r="G2818" t="s">
        <v>217</v>
      </c>
      <c r="H2818" t="s">
        <v>217</v>
      </c>
      <c r="I2818" t="s">
        <v>268</v>
      </c>
      <c r="J2818" s="25">
        <v>38590</v>
      </c>
      <c r="K2818" s="26">
        <v>6263.31</v>
      </c>
      <c r="L2818" s="26">
        <v>171.15</v>
      </c>
    </row>
    <row r="2819" spans="1:12" ht="16" customHeight="1">
      <c r="A2819" t="s">
        <v>430</v>
      </c>
      <c r="B2819" t="s">
        <v>4</v>
      </c>
      <c r="C2819" t="s">
        <v>46</v>
      </c>
      <c r="D2819" s="24">
        <v>46113</v>
      </c>
      <c r="E2819" t="s">
        <v>439</v>
      </c>
      <c r="F2819" t="s">
        <v>4</v>
      </c>
      <c r="G2819" t="s">
        <v>217</v>
      </c>
      <c r="H2819" t="s">
        <v>217</v>
      </c>
      <c r="I2819" t="s">
        <v>270</v>
      </c>
      <c r="J2819" s="25">
        <v>0</v>
      </c>
      <c r="K2819" s="26">
        <v>0</v>
      </c>
      <c r="L2819" s="26">
        <v>0</v>
      </c>
    </row>
    <row r="2820" spans="1:12" ht="16" customHeight="1">
      <c r="A2820" t="s">
        <v>430</v>
      </c>
      <c r="B2820" t="s">
        <v>4</v>
      </c>
      <c r="C2820" t="s">
        <v>46</v>
      </c>
      <c r="D2820" s="24">
        <v>46113</v>
      </c>
      <c r="E2820" t="s">
        <v>230</v>
      </c>
      <c r="F2820" t="s">
        <v>4</v>
      </c>
      <c r="G2820" t="s">
        <v>217</v>
      </c>
      <c r="H2820" t="s">
        <v>217</v>
      </c>
      <c r="I2820" t="s">
        <v>271</v>
      </c>
      <c r="J2820" s="25">
        <v>0</v>
      </c>
      <c r="K2820" s="26">
        <v>0</v>
      </c>
      <c r="L2820" s="26">
        <v>0</v>
      </c>
    </row>
    <row r="2821" spans="1:12" ht="16" customHeight="1">
      <c r="A2821" t="s">
        <v>430</v>
      </c>
      <c r="B2821" t="s">
        <v>4</v>
      </c>
      <c r="C2821" t="s">
        <v>46</v>
      </c>
      <c r="D2821" s="24">
        <v>46113</v>
      </c>
      <c r="E2821" t="s">
        <v>232</v>
      </c>
      <c r="F2821" t="s">
        <v>4</v>
      </c>
      <c r="G2821" t="s">
        <v>217</v>
      </c>
      <c r="H2821" t="s">
        <v>217</v>
      </c>
      <c r="I2821" t="s">
        <v>272</v>
      </c>
      <c r="J2821" s="25">
        <v>322</v>
      </c>
      <c r="K2821" s="26">
        <v>54.93</v>
      </c>
      <c r="L2821" s="26">
        <v>2.42</v>
      </c>
    </row>
    <row r="2822" spans="1:12" ht="16" customHeight="1">
      <c r="A2822" t="s">
        <v>430</v>
      </c>
      <c r="B2822" t="s">
        <v>4</v>
      </c>
      <c r="C2822" t="s">
        <v>46</v>
      </c>
      <c r="D2822" s="24">
        <v>46113</v>
      </c>
      <c r="E2822" t="s">
        <v>234</v>
      </c>
      <c r="F2822" t="s">
        <v>4</v>
      </c>
      <c r="G2822" t="s">
        <v>217</v>
      </c>
      <c r="H2822" t="s">
        <v>217</v>
      </c>
      <c r="I2822" t="s">
        <v>273</v>
      </c>
      <c r="J2822" s="25">
        <v>0</v>
      </c>
      <c r="K2822" s="26">
        <v>0</v>
      </c>
      <c r="L2822" s="26">
        <v>0</v>
      </c>
    </row>
    <row r="2823" spans="1:12" ht="16" customHeight="1">
      <c r="A2823" t="s">
        <v>430</v>
      </c>
      <c r="B2823" t="s">
        <v>4</v>
      </c>
      <c r="C2823" t="s">
        <v>46</v>
      </c>
      <c r="D2823" s="24">
        <v>46113</v>
      </c>
      <c r="E2823" t="s">
        <v>236</v>
      </c>
      <c r="F2823" t="s">
        <v>4</v>
      </c>
      <c r="G2823" t="s">
        <v>217</v>
      </c>
      <c r="H2823" t="s">
        <v>217</v>
      </c>
      <c r="I2823" t="s">
        <v>274</v>
      </c>
      <c r="J2823" s="25">
        <v>4</v>
      </c>
      <c r="K2823" s="26">
        <v>0.72</v>
      </c>
      <c r="L2823" s="26">
        <v>0.03</v>
      </c>
    </row>
    <row r="2824" spans="1:12" ht="16" customHeight="1">
      <c r="A2824" t="s">
        <v>430</v>
      </c>
      <c r="B2824" t="s">
        <v>4</v>
      </c>
      <c r="C2824" t="s">
        <v>46</v>
      </c>
      <c r="D2824" s="24">
        <v>46113</v>
      </c>
      <c r="E2824" t="s">
        <v>238</v>
      </c>
      <c r="F2824" t="s">
        <v>4</v>
      </c>
      <c r="G2824" t="s">
        <v>217</v>
      </c>
      <c r="H2824" t="s">
        <v>217</v>
      </c>
      <c r="I2824" t="s">
        <v>275</v>
      </c>
      <c r="J2824" s="25">
        <v>0</v>
      </c>
      <c r="K2824" s="26">
        <v>0</v>
      </c>
      <c r="L2824" s="26">
        <v>0</v>
      </c>
    </row>
    <row r="2825" spans="1:12" ht="16" customHeight="1">
      <c r="A2825" t="s">
        <v>430</v>
      </c>
      <c r="B2825" t="s">
        <v>4</v>
      </c>
      <c r="C2825" t="s">
        <v>46</v>
      </c>
      <c r="D2825" s="24">
        <v>46113</v>
      </c>
      <c r="E2825" t="s">
        <v>240</v>
      </c>
      <c r="F2825" t="s">
        <v>3</v>
      </c>
      <c r="G2825" t="s">
        <v>241</v>
      </c>
      <c r="H2825" t="s">
        <v>241</v>
      </c>
      <c r="I2825" t="s">
        <v>276</v>
      </c>
      <c r="J2825" s="25">
        <v>0</v>
      </c>
      <c r="K2825" s="26">
        <v>0</v>
      </c>
      <c r="L2825" s="26">
        <v>0</v>
      </c>
    </row>
    <row r="2826" spans="1:12" ht="16" customHeight="1">
      <c r="A2826" t="s">
        <v>430</v>
      </c>
      <c r="B2826" t="s">
        <v>4</v>
      </c>
      <c r="C2826" t="s">
        <v>46</v>
      </c>
      <c r="D2826" s="24">
        <v>46113</v>
      </c>
      <c r="E2826" t="s">
        <v>243</v>
      </c>
      <c r="F2826" t="s">
        <v>4</v>
      </c>
      <c r="G2826" t="s">
        <v>217</v>
      </c>
      <c r="H2826" t="s">
        <v>217</v>
      </c>
      <c r="I2826" t="s">
        <v>277</v>
      </c>
      <c r="J2826" s="25">
        <v>0</v>
      </c>
      <c r="K2826" s="26">
        <v>0</v>
      </c>
      <c r="L2826" s="26">
        <v>0</v>
      </c>
    </row>
    <row r="2827" spans="1:12" ht="16" customHeight="1">
      <c r="A2827" t="s">
        <v>430</v>
      </c>
      <c r="B2827" t="s">
        <v>4</v>
      </c>
      <c r="C2827" t="s">
        <v>46</v>
      </c>
      <c r="D2827" s="24">
        <v>46113</v>
      </c>
      <c r="E2827" t="s">
        <v>360</v>
      </c>
      <c r="F2827" t="s">
        <v>4</v>
      </c>
      <c r="G2827" t="s">
        <v>217</v>
      </c>
      <c r="H2827" t="s">
        <v>217</v>
      </c>
      <c r="I2827" t="s">
        <v>278</v>
      </c>
      <c r="J2827" s="25">
        <v>0</v>
      </c>
      <c r="K2827" s="26">
        <v>0</v>
      </c>
      <c r="L2827" s="26">
        <v>0</v>
      </c>
    </row>
    <row r="2828" spans="1:12" ht="16" customHeight="1">
      <c r="A2828" t="s">
        <v>451</v>
      </c>
      <c r="B2828" t="s">
        <v>5</v>
      </c>
      <c r="C2828" t="s">
        <v>47</v>
      </c>
      <c r="D2828" s="24">
        <v>46113</v>
      </c>
      <c r="E2828" t="s">
        <v>387</v>
      </c>
      <c r="F2828" t="s">
        <v>4</v>
      </c>
      <c r="G2828" t="s">
        <v>217</v>
      </c>
      <c r="H2828" t="s">
        <v>261</v>
      </c>
      <c r="I2828" t="s">
        <v>212</v>
      </c>
      <c r="J2828" s="25">
        <v>32913411</v>
      </c>
      <c r="K2828" s="26">
        <v>5241500.2699999996</v>
      </c>
      <c r="L2828" s="26">
        <v>27838.68</v>
      </c>
    </row>
    <row r="2829" spans="1:12" ht="16" customHeight="1">
      <c r="A2829" t="s">
        <v>451</v>
      </c>
      <c r="B2829" t="s">
        <v>5</v>
      </c>
      <c r="C2829" t="s">
        <v>47</v>
      </c>
      <c r="D2829" s="24">
        <v>46113</v>
      </c>
      <c r="E2829" t="s">
        <v>436</v>
      </c>
      <c r="F2829" t="s">
        <v>4</v>
      </c>
      <c r="G2829" t="s">
        <v>211</v>
      </c>
      <c r="H2829" t="s">
        <v>211</v>
      </c>
      <c r="I2829" t="s">
        <v>219</v>
      </c>
      <c r="J2829" s="25">
        <v>975717</v>
      </c>
      <c r="K2829" s="26">
        <v>155983.66</v>
      </c>
      <c r="L2829" s="26">
        <v>1027.58</v>
      </c>
    </row>
    <row r="2830" spans="1:12" ht="16" customHeight="1">
      <c r="A2830" t="s">
        <v>451</v>
      </c>
      <c r="B2830" t="s">
        <v>5</v>
      </c>
      <c r="C2830" t="s">
        <v>47</v>
      </c>
      <c r="D2830" s="24">
        <v>46113</v>
      </c>
      <c r="E2830" t="s">
        <v>443</v>
      </c>
      <c r="F2830" t="s">
        <v>4</v>
      </c>
      <c r="G2830" t="s">
        <v>211</v>
      </c>
      <c r="H2830" t="s">
        <v>211</v>
      </c>
      <c r="I2830" t="s">
        <v>219</v>
      </c>
      <c r="J2830" s="25">
        <v>88849</v>
      </c>
      <c r="K2830" s="26">
        <v>14298.65</v>
      </c>
      <c r="L2830" s="26">
        <v>138.46</v>
      </c>
    </row>
    <row r="2831" spans="1:12" ht="16" customHeight="1">
      <c r="A2831" t="s">
        <v>451</v>
      </c>
      <c r="B2831" t="s">
        <v>5</v>
      </c>
      <c r="C2831" t="s">
        <v>47</v>
      </c>
      <c r="D2831" s="24">
        <v>46113</v>
      </c>
      <c r="E2831" t="s">
        <v>447</v>
      </c>
      <c r="F2831" t="s">
        <v>4</v>
      </c>
      <c r="G2831" t="s">
        <v>211</v>
      </c>
      <c r="H2831" t="s">
        <v>211</v>
      </c>
      <c r="I2831" t="s">
        <v>219</v>
      </c>
      <c r="J2831" s="25">
        <v>12666</v>
      </c>
      <c r="K2831" s="26">
        <v>2058.9899999999998</v>
      </c>
      <c r="L2831" s="26">
        <v>26.71</v>
      </c>
    </row>
    <row r="2832" spans="1:12" ht="16" customHeight="1">
      <c r="A2832" t="s">
        <v>451</v>
      </c>
      <c r="B2832" t="s">
        <v>5</v>
      </c>
      <c r="C2832" t="s">
        <v>47</v>
      </c>
      <c r="D2832" s="24">
        <v>46113</v>
      </c>
      <c r="E2832" t="s">
        <v>416</v>
      </c>
      <c r="F2832" t="s">
        <v>4</v>
      </c>
      <c r="G2832" t="s">
        <v>217</v>
      </c>
      <c r="H2832" t="s">
        <v>217</v>
      </c>
      <c r="I2832" t="s">
        <v>219</v>
      </c>
      <c r="J2832" s="25">
        <v>479169</v>
      </c>
      <c r="K2832" s="26">
        <v>76848.759999999995</v>
      </c>
      <c r="L2832" s="26">
        <v>957.17</v>
      </c>
    </row>
    <row r="2833" spans="1:12" ht="16" customHeight="1">
      <c r="A2833" t="s">
        <v>451</v>
      </c>
      <c r="B2833" t="s">
        <v>5</v>
      </c>
      <c r="C2833" t="s">
        <v>47</v>
      </c>
      <c r="D2833" s="24">
        <v>46113</v>
      </c>
      <c r="E2833" t="s">
        <v>452</v>
      </c>
      <c r="F2833" t="s">
        <v>4</v>
      </c>
      <c r="G2833" t="s">
        <v>211</v>
      </c>
      <c r="H2833" t="s">
        <v>211</v>
      </c>
      <c r="I2833" t="s">
        <v>221</v>
      </c>
      <c r="J2833" s="25">
        <v>99</v>
      </c>
      <c r="K2833" s="26">
        <v>16.61</v>
      </c>
      <c r="L2833" s="26">
        <v>0.08</v>
      </c>
    </row>
    <row r="2834" spans="1:12" ht="16" customHeight="1">
      <c r="A2834" t="s">
        <v>451</v>
      </c>
      <c r="B2834" t="s">
        <v>5</v>
      </c>
      <c r="C2834" t="s">
        <v>47</v>
      </c>
      <c r="D2834" s="24">
        <v>46113</v>
      </c>
      <c r="E2834" t="s">
        <v>226</v>
      </c>
      <c r="F2834" t="s">
        <v>4</v>
      </c>
      <c r="G2834" t="s">
        <v>217</v>
      </c>
      <c r="H2834" t="s">
        <v>217</v>
      </c>
      <c r="I2834" t="s">
        <v>221</v>
      </c>
      <c r="J2834" s="25">
        <v>147056</v>
      </c>
      <c r="K2834" s="26">
        <v>22838.52</v>
      </c>
      <c r="L2834" s="26">
        <v>309.70999999999998</v>
      </c>
    </row>
    <row r="2835" spans="1:12" ht="16" customHeight="1">
      <c r="A2835" t="s">
        <v>451</v>
      </c>
      <c r="B2835" t="s">
        <v>5</v>
      </c>
      <c r="C2835" t="s">
        <v>47</v>
      </c>
      <c r="D2835" s="24">
        <v>46113</v>
      </c>
      <c r="E2835" t="s">
        <v>269</v>
      </c>
      <c r="F2835" t="s">
        <v>4</v>
      </c>
      <c r="G2835" t="s">
        <v>217</v>
      </c>
      <c r="H2835" t="s">
        <v>217</v>
      </c>
      <c r="I2835" t="s">
        <v>267</v>
      </c>
      <c r="J2835" s="25">
        <v>10744</v>
      </c>
      <c r="K2835" s="26">
        <v>1769.08</v>
      </c>
      <c r="L2835" s="26">
        <v>25.62</v>
      </c>
    </row>
    <row r="2836" spans="1:12" ht="16" customHeight="1">
      <c r="A2836" t="s">
        <v>451</v>
      </c>
      <c r="B2836" t="s">
        <v>5</v>
      </c>
      <c r="C2836" t="s">
        <v>47</v>
      </c>
      <c r="D2836" s="24">
        <v>46113</v>
      </c>
      <c r="E2836" t="s">
        <v>228</v>
      </c>
      <c r="F2836" t="s">
        <v>4</v>
      </c>
      <c r="G2836" t="s">
        <v>217</v>
      </c>
      <c r="H2836" t="s">
        <v>217</v>
      </c>
      <c r="I2836" t="s">
        <v>268</v>
      </c>
      <c r="J2836" s="25">
        <v>20235</v>
      </c>
      <c r="K2836" s="26">
        <v>3356.79</v>
      </c>
      <c r="L2836" s="26">
        <v>99.82</v>
      </c>
    </row>
    <row r="2837" spans="1:12" ht="16" customHeight="1">
      <c r="A2837" t="s">
        <v>451</v>
      </c>
      <c r="B2837" t="s">
        <v>5</v>
      </c>
      <c r="C2837" t="s">
        <v>47</v>
      </c>
      <c r="D2837" s="24">
        <v>46113</v>
      </c>
      <c r="E2837" t="s">
        <v>439</v>
      </c>
      <c r="F2837" t="s">
        <v>4</v>
      </c>
      <c r="G2837" t="s">
        <v>217</v>
      </c>
      <c r="H2837" t="s">
        <v>217</v>
      </c>
      <c r="I2837" t="s">
        <v>270</v>
      </c>
      <c r="J2837" s="25">
        <v>0</v>
      </c>
      <c r="K2837" s="26">
        <v>0</v>
      </c>
      <c r="L2837" s="26">
        <v>0</v>
      </c>
    </row>
    <row r="2838" spans="1:12" ht="16" customHeight="1">
      <c r="A2838" t="s">
        <v>451</v>
      </c>
      <c r="B2838" t="s">
        <v>5</v>
      </c>
      <c r="C2838" t="s">
        <v>47</v>
      </c>
      <c r="D2838" s="24">
        <v>46113</v>
      </c>
      <c r="E2838" t="s">
        <v>230</v>
      </c>
      <c r="F2838" t="s">
        <v>4</v>
      </c>
      <c r="G2838" t="s">
        <v>217</v>
      </c>
      <c r="H2838" t="s">
        <v>217</v>
      </c>
      <c r="I2838" t="s">
        <v>271</v>
      </c>
      <c r="J2838" s="25">
        <v>2</v>
      </c>
      <c r="K2838" s="26">
        <v>0.28000000000000003</v>
      </c>
      <c r="L2838" s="26">
        <v>0</v>
      </c>
    </row>
    <row r="2839" spans="1:12" ht="16" customHeight="1">
      <c r="A2839" t="s">
        <v>451</v>
      </c>
      <c r="B2839" t="s">
        <v>5</v>
      </c>
      <c r="C2839" t="s">
        <v>47</v>
      </c>
      <c r="D2839" s="24">
        <v>46113</v>
      </c>
      <c r="E2839" t="s">
        <v>232</v>
      </c>
      <c r="F2839" t="s">
        <v>4</v>
      </c>
      <c r="G2839" t="s">
        <v>217</v>
      </c>
      <c r="H2839" t="s">
        <v>217</v>
      </c>
      <c r="I2839" t="s">
        <v>272</v>
      </c>
      <c r="J2839" s="25">
        <v>221</v>
      </c>
      <c r="K2839" s="26">
        <v>38.74</v>
      </c>
      <c r="L2839" s="26">
        <v>2.0099999999999998</v>
      </c>
    </row>
    <row r="2840" spans="1:12" ht="16" customHeight="1">
      <c r="A2840" t="s">
        <v>451</v>
      </c>
      <c r="B2840" t="s">
        <v>5</v>
      </c>
      <c r="C2840" t="s">
        <v>47</v>
      </c>
      <c r="D2840" s="24">
        <v>46113</v>
      </c>
      <c r="E2840" t="s">
        <v>234</v>
      </c>
      <c r="F2840" t="s">
        <v>4</v>
      </c>
      <c r="G2840" t="s">
        <v>217</v>
      </c>
      <c r="H2840" t="s">
        <v>217</v>
      </c>
      <c r="I2840" t="s">
        <v>273</v>
      </c>
      <c r="J2840" s="25">
        <v>0</v>
      </c>
      <c r="K2840" s="26">
        <v>0</v>
      </c>
      <c r="L2840" s="26">
        <v>0</v>
      </c>
    </row>
    <row r="2841" spans="1:12" ht="16" customHeight="1">
      <c r="A2841" t="s">
        <v>451</v>
      </c>
      <c r="B2841" t="s">
        <v>5</v>
      </c>
      <c r="C2841" t="s">
        <v>47</v>
      </c>
      <c r="D2841" s="24">
        <v>46113</v>
      </c>
      <c r="E2841" t="s">
        <v>236</v>
      </c>
      <c r="F2841" t="s">
        <v>4</v>
      </c>
      <c r="G2841" t="s">
        <v>217</v>
      </c>
      <c r="H2841" t="s">
        <v>217</v>
      </c>
      <c r="I2841" t="s">
        <v>274</v>
      </c>
      <c r="J2841" s="25">
        <v>24</v>
      </c>
      <c r="K2841" s="26">
        <v>4.67</v>
      </c>
      <c r="L2841" s="26">
        <v>0.27</v>
      </c>
    </row>
    <row r="2842" spans="1:12" ht="16" customHeight="1">
      <c r="A2842" t="s">
        <v>451</v>
      </c>
      <c r="B2842" t="s">
        <v>5</v>
      </c>
      <c r="C2842" t="s">
        <v>47</v>
      </c>
      <c r="D2842" s="24">
        <v>46113</v>
      </c>
      <c r="E2842" t="s">
        <v>238</v>
      </c>
      <c r="F2842" t="s">
        <v>4</v>
      </c>
      <c r="G2842" t="s">
        <v>217</v>
      </c>
      <c r="H2842" t="s">
        <v>217</v>
      </c>
      <c r="I2842" t="s">
        <v>275</v>
      </c>
      <c r="J2842" s="25">
        <v>0</v>
      </c>
      <c r="K2842" s="26">
        <v>0</v>
      </c>
      <c r="L2842" s="26">
        <v>0</v>
      </c>
    </row>
    <row r="2843" spans="1:12" ht="16" customHeight="1">
      <c r="A2843" t="s">
        <v>451</v>
      </c>
      <c r="B2843" t="s">
        <v>5</v>
      </c>
      <c r="C2843" t="s">
        <v>47</v>
      </c>
      <c r="D2843" s="24">
        <v>46113</v>
      </c>
      <c r="E2843" t="s">
        <v>240</v>
      </c>
      <c r="F2843" t="s">
        <v>3</v>
      </c>
      <c r="G2843" t="s">
        <v>241</v>
      </c>
      <c r="H2843" t="s">
        <v>241</v>
      </c>
      <c r="I2843" t="s">
        <v>276</v>
      </c>
      <c r="J2843" s="25">
        <v>1</v>
      </c>
      <c r="K2843" s="26">
        <v>0.22</v>
      </c>
      <c r="L2843" s="26">
        <v>0.02</v>
      </c>
    </row>
    <row r="2844" spans="1:12" ht="16" customHeight="1">
      <c r="A2844" t="s">
        <v>451</v>
      </c>
      <c r="B2844" t="s">
        <v>5</v>
      </c>
      <c r="C2844" t="s">
        <v>47</v>
      </c>
      <c r="D2844" s="24">
        <v>46113</v>
      </c>
      <c r="E2844" t="s">
        <v>243</v>
      </c>
      <c r="F2844" t="s">
        <v>4</v>
      </c>
      <c r="G2844" t="s">
        <v>217</v>
      </c>
      <c r="H2844" t="s">
        <v>217</v>
      </c>
      <c r="I2844" t="s">
        <v>277</v>
      </c>
      <c r="J2844" s="25">
        <v>0</v>
      </c>
      <c r="K2844" s="26">
        <v>0</v>
      </c>
      <c r="L2844" s="26">
        <v>0</v>
      </c>
    </row>
    <row r="2845" spans="1:12" ht="16" customHeight="1">
      <c r="A2845" t="s">
        <v>451</v>
      </c>
      <c r="B2845" t="s">
        <v>5</v>
      </c>
      <c r="C2845" t="s">
        <v>47</v>
      </c>
      <c r="D2845" s="24">
        <v>46113</v>
      </c>
      <c r="E2845" t="s">
        <v>360</v>
      </c>
      <c r="F2845" t="s">
        <v>4</v>
      </c>
      <c r="G2845" t="s">
        <v>217</v>
      </c>
      <c r="H2845" t="s">
        <v>217</v>
      </c>
      <c r="I2845" t="s">
        <v>278</v>
      </c>
      <c r="J2845" s="25">
        <v>0</v>
      </c>
      <c r="K2845" s="26">
        <v>0</v>
      </c>
      <c r="L2845" s="26">
        <v>0</v>
      </c>
    </row>
    <row r="2846" spans="1:12" ht="16" customHeight="1">
      <c r="A2846" t="s">
        <v>453</v>
      </c>
      <c r="B2846" t="s">
        <v>6</v>
      </c>
      <c r="C2846" t="s">
        <v>47</v>
      </c>
      <c r="D2846" s="24">
        <v>46113</v>
      </c>
      <c r="E2846" t="s">
        <v>387</v>
      </c>
      <c r="F2846" t="s">
        <v>4</v>
      </c>
      <c r="G2846" t="s">
        <v>217</v>
      </c>
      <c r="H2846" t="s">
        <v>261</v>
      </c>
      <c r="I2846" t="s">
        <v>212</v>
      </c>
      <c r="J2846" s="25">
        <v>36016654</v>
      </c>
      <c r="K2846" s="26">
        <v>5703717.9699999997</v>
      </c>
      <c r="L2846" s="26">
        <v>24452.959999999999</v>
      </c>
    </row>
    <row r="2847" spans="1:12" ht="16" customHeight="1">
      <c r="A2847" t="s">
        <v>453</v>
      </c>
      <c r="B2847" t="s">
        <v>6</v>
      </c>
      <c r="C2847" t="s">
        <v>47</v>
      </c>
      <c r="D2847" s="24">
        <v>46113</v>
      </c>
      <c r="E2847" t="s">
        <v>436</v>
      </c>
      <c r="F2847" t="s">
        <v>4</v>
      </c>
      <c r="G2847" t="s">
        <v>211</v>
      </c>
      <c r="H2847" t="s">
        <v>211</v>
      </c>
      <c r="I2847" t="s">
        <v>219</v>
      </c>
      <c r="J2847" s="25">
        <v>1180618</v>
      </c>
      <c r="K2847" s="26">
        <v>187585.36</v>
      </c>
      <c r="L2847" s="26">
        <v>1118.22</v>
      </c>
    </row>
    <row r="2848" spans="1:12" ht="16" customHeight="1">
      <c r="A2848" t="s">
        <v>453</v>
      </c>
      <c r="B2848" t="s">
        <v>6</v>
      </c>
      <c r="C2848" t="s">
        <v>47</v>
      </c>
      <c r="D2848" s="24">
        <v>46113</v>
      </c>
      <c r="E2848" t="s">
        <v>443</v>
      </c>
      <c r="F2848" t="s">
        <v>4</v>
      </c>
      <c r="G2848" t="s">
        <v>211</v>
      </c>
      <c r="H2848" t="s">
        <v>211</v>
      </c>
      <c r="I2848" t="s">
        <v>219</v>
      </c>
      <c r="J2848" s="25">
        <v>105487</v>
      </c>
      <c r="K2848" s="26">
        <v>16943.14</v>
      </c>
      <c r="L2848" s="26">
        <v>142.80000000000001</v>
      </c>
    </row>
    <row r="2849" spans="1:12" ht="16" customHeight="1">
      <c r="A2849" t="s">
        <v>453</v>
      </c>
      <c r="B2849" t="s">
        <v>6</v>
      </c>
      <c r="C2849" t="s">
        <v>47</v>
      </c>
      <c r="D2849" s="24">
        <v>46113</v>
      </c>
      <c r="E2849" t="s">
        <v>447</v>
      </c>
      <c r="F2849" t="s">
        <v>4</v>
      </c>
      <c r="G2849" t="s">
        <v>211</v>
      </c>
      <c r="H2849" t="s">
        <v>211</v>
      </c>
      <c r="I2849" t="s">
        <v>219</v>
      </c>
      <c r="J2849" s="25">
        <v>17997</v>
      </c>
      <c r="K2849" s="26">
        <v>2907.3</v>
      </c>
      <c r="L2849" s="26">
        <v>29.61</v>
      </c>
    </row>
    <row r="2850" spans="1:12" ht="16" customHeight="1">
      <c r="A2850" t="s">
        <v>453</v>
      </c>
      <c r="B2850" t="s">
        <v>6</v>
      </c>
      <c r="C2850" t="s">
        <v>47</v>
      </c>
      <c r="D2850" s="24">
        <v>46113</v>
      </c>
      <c r="E2850" t="s">
        <v>416</v>
      </c>
      <c r="F2850" t="s">
        <v>4</v>
      </c>
      <c r="G2850" t="s">
        <v>217</v>
      </c>
      <c r="H2850" t="s">
        <v>217</v>
      </c>
      <c r="I2850" t="s">
        <v>219</v>
      </c>
      <c r="J2850" s="25">
        <v>545546</v>
      </c>
      <c r="K2850" s="26">
        <v>87344.9</v>
      </c>
      <c r="L2850" s="26">
        <v>1090.52</v>
      </c>
    </row>
    <row r="2851" spans="1:12" ht="16" customHeight="1">
      <c r="A2851" t="s">
        <v>453</v>
      </c>
      <c r="B2851" t="s">
        <v>6</v>
      </c>
      <c r="C2851" t="s">
        <v>47</v>
      </c>
      <c r="D2851" s="24">
        <v>46113</v>
      </c>
      <c r="E2851" t="s">
        <v>452</v>
      </c>
      <c r="F2851" t="s">
        <v>4</v>
      </c>
      <c r="G2851" t="s">
        <v>211</v>
      </c>
      <c r="H2851" t="s">
        <v>211</v>
      </c>
      <c r="I2851" t="s">
        <v>221</v>
      </c>
      <c r="J2851" s="25">
        <v>296</v>
      </c>
      <c r="K2851" s="26">
        <v>49.65</v>
      </c>
      <c r="L2851" s="26">
        <v>0.23</v>
      </c>
    </row>
    <row r="2852" spans="1:12" ht="16" customHeight="1">
      <c r="A2852" t="s">
        <v>453</v>
      </c>
      <c r="B2852" t="s">
        <v>6</v>
      </c>
      <c r="C2852" t="s">
        <v>47</v>
      </c>
      <c r="D2852" s="24">
        <v>46113</v>
      </c>
      <c r="E2852" t="s">
        <v>226</v>
      </c>
      <c r="F2852" t="s">
        <v>4</v>
      </c>
      <c r="G2852" t="s">
        <v>217</v>
      </c>
      <c r="H2852" t="s">
        <v>217</v>
      </c>
      <c r="I2852" t="s">
        <v>221</v>
      </c>
      <c r="J2852" s="25">
        <v>155804</v>
      </c>
      <c r="K2852" s="26">
        <v>24580.9</v>
      </c>
      <c r="L2852" s="26">
        <v>398.65</v>
      </c>
    </row>
    <row r="2853" spans="1:12" ht="16" customHeight="1">
      <c r="A2853" t="s">
        <v>453</v>
      </c>
      <c r="B2853" t="s">
        <v>6</v>
      </c>
      <c r="C2853" t="s">
        <v>47</v>
      </c>
      <c r="D2853" s="24">
        <v>46113</v>
      </c>
      <c r="E2853" t="s">
        <v>269</v>
      </c>
      <c r="F2853" t="s">
        <v>4</v>
      </c>
      <c r="G2853" t="s">
        <v>217</v>
      </c>
      <c r="H2853" t="s">
        <v>217</v>
      </c>
      <c r="I2853" t="s">
        <v>267</v>
      </c>
      <c r="J2853" s="25">
        <v>12324</v>
      </c>
      <c r="K2853" s="26">
        <v>2038.68</v>
      </c>
      <c r="L2853" s="26">
        <v>34.57</v>
      </c>
    </row>
    <row r="2854" spans="1:12" ht="16" customHeight="1">
      <c r="A2854" t="s">
        <v>453</v>
      </c>
      <c r="B2854" t="s">
        <v>6</v>
      </c>
      <c r="C2854" t="s">
        <v>47</v>
      </c>
      <c r="D2854" s="24">
        <v>46113</v>
      </c>
      <c r="E2854" t="s">
        <v>228</v>
      </c>
      <c r="F2854" t="s">
        <v>4</v>
      </c>
      <c r="G2854" t="s">
        <v>217</v>
      </c>
      <c r="H2854" t="s">
        <v>217</v>
      </c>
      <c r="I2854" t="s">
        <v>268</v>
      </c>
      <c r="J2854" s="25">
        <v>30215</v>
      </c>
      <c r="K2854" s="26">
        <v>4975.01</v>
      </c>
      <c r="L2854" s="26">
        <v>127.17</v>
      </c>
    </row>
    <row r="2855" spans="1:12" ht="16" customHeight="1">
      <c r="A2855" t="s">
        <v>453</v>
      </c>
      <c r="B2855" t="s">
        <v>6</v>
      </c>
      <c r="C2855" t="s">
        <v>47</v>
      </c>
      <c r="D2855" s="24">
        <v>46113</v>
      </c>
      <c r="E2855" t="s">
        <v>439</v>
      </c>
      <c r="F2855" t="s">
        <v>4</v>
      </c>
      <c r="G2855" t="s">
        <v>217</v>
      </c>
      <c r="H2855" t="s">
        <v>217</v>
      </c>
      <c r="I2855" t="s">
        <v>270</v>
      </c>
      <c r="J2855" s="25">
        <v>0</v>
      </c>
      <c r="K2855" s="26">
        <v>0</v>
      </c>
      <c r="L2855" s="26">
        <v>0</v>
      </c>
    </row>
    <row r="2856" spans="1:12" ht="16" customHeight="1">
      <c r="A2856" t="s">
        <v>453</v>
      </c>
      <c r="B2856" t="s">
        <v>6</v>
      </c>
      <c r="C2856" t="s">
        <v>47</v>
      </c>
      <c r="D2856" s="24">
        <v>46113</v>
      </c>
      <c r="E2856" t="s">
        <v>230</v>
      </c>
      <c r="F2856" t="s">
        <v>4</v>
      </c>
      <c r="G2856" t="s">
        <v>217</v>
      </c>
      <c r="H2856" t="s">
        <v>217</v>
      </c>
      <c r="I2856" t="s">
        <v>271</v>
      </c>
      <c r="J2856" s="25">
        <v>0</v>
      </c>
      <c r="K2856" s="26">
        <v>0</v>
      </c>
      <c r="L2856" s="26">
        <v>0</v>
      </c>
    </row>
    <row r="2857" spans="1:12" ht="16" customHeight="1">
      <c r="A2857" t="s">
        <v>453</v>
      </c>
      <c r="B2857" t="s">
        <v>6</v>
      </c>
      <c r="C2857" t="s">
        <v>47</v>
      </c>
      <c r="D2857" s="24">
        <v>46113</v>
      </c>
      <c r="E2857" t="s">
        <v>232</v>
      </c>
      <c r="F2857" t="s">
        <v>4</v>
      </c>
      <c r="G2857" t="s">
        <v>217</v>
      </c>
      <c r="H2857" t="s">
        <v>217</v>
      </c>
      <c r="I2857" t="s">
        <v>272</v>
      </c>
      <c r="J2857" s="25">
        <v>292</v>
      </c>
      <c r="K2857" s="26">
        <v>50.79</v>
      </c>
      <c r="L2857" s="26">
        <v>2.82</v>
      </c>
    </row>
    <row r="2858" spans="1:12" ht="16" customHeight="1">
      <c r="A2858" t="s">
        <v>453</v>
      </c>
      <c r="B2858" t="s">
        <v>6</v>
      </c>
      <c r="C2858" t="s">
        <v>47</v>
      </c>
      <c r="D2858" s="24">
        <v>46113</v>
      </c>
      <c r="E2858" t="s">
        <v>234</v>
      </c>
      <c r="F2858" t="s">
        <v>4</v>
      </c>
      <c r="G2858" t="s">
        <v>217</v>
      </c>
      <c r="H2858" t="s">
        <v>217</v>
      </c>
      <c r="I2858" t="s">
        <v>273</v>
      </c>
      <c r="J2858" s="25">
        <v>0</v>
      </c>
      <c r="K2858" s="26">
        <v>0</v>
      </c>
      <c r="L2858" s="26">
        <v>0</v>
      </c>
    </row>
    <row r="2859" spans="1:12" ht="16" customHeight="1">
      <c r="A2859" t="s">
        <v>453</v>
      </c>
      <c r="B2859" t="s">
        <v>6</v>
      </c>
      <c r="C2859" t="s">
        <v>47</v>
      </c>
      <c r="D2859" s="24">
        <v>46113</v>
      </c>
      <c r="E2859" t="s">
        <v>236</v>
      </c>
      <c r="F2859" t="s">
        <v>4</v>
      </c>
      <c r="G2859" t="s">
        <v>217</v>
      </c>
      <c r="H2859" t="s">
        <v>217</v>
      </c>
      <c r="I2859" t="s">
        <v>274</v>
      </c>
      <c r="J2859" s="25">
        <v>3</v>
      </c>
      <c r="K2859" s="26">
        <v>0.55000000000000004</v>
      </c>
      <c r="L2859" s="26">
        <v>0.03</v>
      </c>
    </row>
    <row r="2860" spans="1:12" ht="16" customHeight="1">
      <c r="A2860" t="s">
        <v>453</v>
      </c>
      <c r="B2860" t="s">
        <v>6</v>
      </c>
      <c r="C2860" t="s">
        <v>47</v>
      </c>
      <c r="D2860" s="24">
        <v>46113</v>
      </c>
      <c r="E2860" t="s">
        <v>238</v>
      </c>
      <c r="F2860" t="s">
        <v>4</v>
      </c>
      <c r="G2860" t="s">
        <v>217</v>
      </c>
      <c r="H2860" t="s">
        <v>217</v>
      </c>
      <c r="I2860" t="s">
        <v>275</v>
      </c>
      <c r="J2860" s="25">
        <v>0</v>
      </c>
      <c r="K2860" s="26">
        <v>0</v>
      </c>
      <c r="L2860" s="26">
        <v>0</v>
      </c>
    </row>
    <row r="2861" spans="1:12" ht="16" customHeight="1">
      <c r="A2861" t="s">
        <v>453</v>
      </c>
      <c r="B2861" t="s">
        <v>6</v>
      </c>
      <c r="C2861" t="s">
        <v>47</v>
      </c>
      <c r="D2861" s="24">
        <v>46113</v>
      </c>
      <c r="E2861" t="s">
        <v>240</v>
      </c>
      <c r="F2861" t="s">
        <v>3</v>
      </c>
      <c r="G2861" t="s">
        <v>241</v>
      </c>
      <c r="H2861" t="s">
        <v>241</v>
      </c>
      <c r="I2861" t="s">
        <v>276</v>
      </c>
      <c r="J2861" s="25">
        <v>0</v>
      </c>
      <c r="K2861" s="26">
        <v>0</v>
      </c>
      <c r="L2861" s="26">
        <v>0</v>
      </c>
    </row>
    <row r="2862" spans="1:12" ht="16" customHeight="1">
      <c r="A2862" t="s">
        <v>453</v>
      </c>
      <c r="B2862" t="s">
        <v>6</v>
      </c>
      <c r="C2862" t="s">
        <v>47</v>
      </c>
      <c r="D2862" s="24">
        <v>46113</v>
      </c>
      <c r="E2862" t="s">
        <v>243</v>
      </c>
      <c r="F2862" t="s">
        <v>4</v>
      </c>
      <c r="G2862" t="s">
        <v>217</v>
      </c>
      <c r="H2862" t="s">
        <v>217</v>
      </c>
      <c r="I2862" t="s">
        <v>277</v>
      </c>
      <c r="J2862" s="25">
        <v>0</v>
      </c>
      <c r="K2862" s="26">
        <v>0</v>
      </c>
      <c r="L2862" s="26">
        <v>0</v>
      </c>
    </row>
    <row r="2863" spans="1:12" ht="16" customHeight="1">
      <c r="A2863" t="s">
        <v>453</v>
      </c>
      <c r="B2863" t="s">
        <v>6</v>
      </c>
      <c r="C2863" t="s">
        <v>47</v>
      </c>
      <c r="D2863" s="24">
        <v>46113</v>
      </c>
      <c r="E2863" t="s">
        <v>360</v>
      </c>
      <c r="F2863" t="s">
        <v>4</v>
      </c>
      <c r="G2863" t="s">
        <v>217</v>
      </c>
      <c r="H2863" t="s">
        <v>217</v>
      </c>
      <c r="I2863" t="s">
        <v>278</v>
      </c>
      <c r="J2863" s="25">
        <v>0</v>
      </c>
      <c r="K2863" s="26">
        <v>0</v>
      </c>
      <c r="L2863" s="26">
        <v>0</v>
      </c>
    </row>
    <row r="2864" spans="1:12" ht="16" customHeight="1">
      <c r="A2864" t="s">
        <v>454</v>
      </c>
      <c r="B2864" t="s">
        <v>7</v>
      </c>
      <c r="C2864" t="s">
        <v>47</v>
      </c>
      <c r="D2864" s="24">
        <v>46113</v>
      </c>
      <c r="E2864" t="s">
        <v>387</v>
      </c>
      <c r="F2864" t="s">
        <v>4</v>
      </c>
      <c r="G2864" t="s">
        <v>217</v>
      </c>
      <c r="H2864" t="s">
        <v>261</v>
      </c>
      <c r="I2864" t="s">
        <v>212</v>
      </c>
      <c r="J2864" s="25">
        <v>71881816</v>
      </c>
      <c r="K2864" s="26">
        <v>11271652.07</v>
      </c>
      <c r="L2864" s="26">
        <v>44910.76</v>
      </c>
    </row>
    <row r="2865" spans="1:12" ht="16" customHeight="1">
      <c r="A2865" t="s">
        <v>454</v>
      </c>
      <c r="B2865" t="s">
        <v>7</v>
      </c>
      <c r="C2865" t="s">
        <v>47</v>
      </c>
      <c r="D2865" s="24">
        <v>46113</v>
      </c>
      <c r="E2865" t="s">
        <v>436</v>
      </c>
      <c r="F2865" t="s">
        <v>4</v>
      </c>
      <c r="G2865" t="s">
        <v>211</v>
      </c>
      <c r="H2865" t="s">
        <v>211</v>
      </c>
      <c r="I2865" t="s">
        <v>219</v>
      </c>
      <c r="J2865" s="25">
        <v>2167379</v>
      </c>
      <c r="K2865" s="26">
        <v>342585.8</v>
      </c>
      <c r="L2865" s="26">
        <v>1929.34</v>
      </c>
    </row>
    <row r="2866" spans="1:12" ht="16" customHeight="1">
      <c r="A2866" t="s">
        <v>454</v>
      </c>
      <c r="B2866" t="s">
        <v>7</v>
      </c>
      <c r="C2866" t="s">
        <v>47</v>
      </c>
      <c r="D2866" s="24">
        <v>46113</v>
      </c>
      <c r="E2866" t="s">
        <v>443</v>
      </c>
      <c r="F2866" t="s">
        <v>4</v>
      </c>
      <c r="G2866" t="s">
        <v>211</v>
      </c>
      <c r="H2866" t="s">
        <v>211</v>
      </c>
      <c r="I2866" t="s">
        <v>219</v>
      </c>
      <c r="J2866" s="25">
        <v>158508</v>
      </c>
      <c r="K2866" s="26">
        <v>25258.71</v>
      </c>
      <c r="L2866" s="26">
        <v>198.35</v>
      </c>
    </row>
    <row r="2867" spans="1:12" ht="16" customHeight="1">
      <c r="A2867" t="s">
        <v>454</v>
      </c>
      <c r="B2867" t="s">
        <v>7</v>
      </c>
      <c r="C2867" t="s">
        <v>47</v>
      </c>
      <c r="D2867" s="24">
        <v>46113</v>
      </c>
      <c r="E2867" t="s">
        <v>447</v>
      </c>
      <c r="F2867" t="s">
        <v>4</v>
      </c>
      <c r="G2867" t="s">
        <v>211</v>
      </c>
      <c r="H2867" t="s">
        <v>211</v>
      </c>
      <c r="I2867" t="s">
        <v>219</v>
      </c>
      <c r="J2867" s="25">
        <v>20667</v>
      </c>
      <c r="K2867" s="26">
        <v>3325.45</v>
      </c>
      <c r="L2867" s="26">
        <v>31.86</v>
      </c>
    </row>
    <row r="2868" spans="1:12" ht="16" customHeight="1">
      <c r="A2868" t="s">
        <v>454</v>
      </c>
      <c r="B2868" t="s">
        <v>7</v>
      </c>
      <c r="C2868" t="s">
        <v>47</v>
      </c>
      <c r="D2868" s="24">
        <v>46113</v>
      </c>
      <c r="E2868" t="s">
        <v>416</v>
      </c>
      <c r="F2868" t="s">
        <v>4</v>
      </c>
      <c r="G2868" t="s">
        <v>217</v>
      </c>
      <c r="H2868" t="s">
        <v>217</v>
      </c>
      <c r="I2868" t="s">
        <v>219</v>
      </c>
      <c r="J2868" s="25">
        <v>712188</v>
      </c>
      <c r="K2868" s="26">
        <v>113610.37</v>
      </c>
      <c r="L2868" s="26">
        <v>1501.43</v>
      </c>
    </row>
    <row r="2869" spans="1:12" ht="16" customHeight="1">
      <c r="A2869" t="s">
        <v>454</v>
      </c>
      <c r="B2869" t="s">
        <v>7</v>
      </c>
      <c r="C2869" t="s">
        <v>47</v>
      </c>
      <c r="D2869" s="24">
        <v>46113</v>
      </c>
      <c r="E2869" t="s">
        <v>452</v>
      </c>
      <c r="F2869" t="s">
        <v>4</v>
      </c>
      <c r="G2869" t="s">
        <v>211</v>
      </c>
      <c r="H2869" t="s">
        <v>211</v>
      </c>
      <c r="I2869" t="s">
        <v>221</v>
      </c>
      <c r="J2869" s="25">
        <v>1250</v>
      </c>
      <c r="K2869" s="26">
        <v>208.81</v>
      </c>
      <c r="L2869" s="26">
        <v>1.1399999999999999</v>
      </c>
    </row>
    <row r="2870" spans="1:12" ht="16" customHeight="1">
      <c r="A2870" t="s">
        <v>454</v>
      </c>
      <c r="B2870" t="s">
        <v>7</v>
      </c>
      <c r="C2870" t="s">
        <v>47</v>
      </c>
      <c r="D2870" s="24">
        <v>46113</v>
      </c>
      <c r="E2870" t="s">
        <v>226</v>
      </c>
      <c r="F2870" t="s">
        <v>4</v>
      </c>
      <c r="G2870" t="s">
        <v>217</v>
      </c>
      <c r="H2870" t="s">
        <v>217</v>
      </c>
      <c r="I2870" t="s">
        <v>221</v>
      </c>
      <c r="J2870" s="25">
        <v>179781</v>
      </c>
      <c r="K2870" s="26">
        <v>28476.26</v>
      </c>
      <c r="L2870" s="26">
        <v>426.6</v>
      </c>
    </row>
    <row r="2871" spans="1:12" ht="16" customHeight="1">
      <c r="A2871" t="s">
        <v>454</v>
      </c>
      <c r="B2871" t="s">
        <v>7</v>
      </c>
      <c r="C2871" t="s">
        <v>47</v>
      </c>
      <c r="D2871" s="24">
        <v>46113</v>
      </c>
      <c r="E2871" t="s">
        <v>269</v>
      </c>
      <c r="F2871" t="s">
        <v>4</v>
      </c>
      <c r="G2871" t="s">
        <v>217</v>
      </c>
      <c r="H2871" t="s">
        <v>217</v>
      </c>
      <c r="I2871" t="s">
        <v>267</v>
      </c>
      <c r="J2871" s="25">
        <v>30147</v>
      </c>
      <c r="K2871" s="26">
        <v>4854.84</v>
      </c>
      <c r="L2871" s="26">
        <v>94.52</v>
      </c>
    </row>
    <row r="2872" spans="1:12" ht="16" customHeight="1">
      <c r="A2872" t="s">
        <v>454</v>
      </c>
      <c r="B2872" t="s">
        <v>7</v>
      </c>
      <c r="C2872" t="s">
        <v>47</v>
      </c>
      <c r="D2872" s="24">
        <v>46113</v>
      </c>
      <c r="E2872" t="s">
        <v>228</v>
      </c>
      <c r="F2872" t="s">
        <v>4</v>
      </c>
      <c r="G2872" t="s">
        <v>217</v>
      </c>
      <c r="H2872" t="s">
        <v>217</v>
      </c>
      <c r="I2872" t="s">
        <v>268</v>
      </c>
      <c r="J2872" s="25">
        <v>42203</v>
      </c>
      <c r="K2872" s="26">
        <v>6855.46</v>
      </c>
      <c r="L2872" s="26">
        <v>194.35</v>
      </c>
    </row>
    <row r="2873" spans="1:12" ht="16" customHeight="1">
      <c r="A2873" t="s">
        <v>454</v>
      </c>
      <c r="B2873" t="s">
        <v>7</v>
      </c>
      <c r="C2873" t="s">
        <v>47</v>
      </c>
      <c r="D2873" s="24">
        <v>46113</v>
      </c>
      <c r="E2873" t="s">
        <v>439</v>
      </c>
      <c r="F2873" t="s">
        <v>4</v>
      </c>
      <c r="G2873" t="s">
        <v>217</v>
      </c>
      <c r="H2873" t="s">
        <v>217</v>
      </c>
      <c r="I2873" t="s">
        <v>270</v>
      </c>
      <c r="J2873" s="25">
        <v>0</v>
      </c>
      <c r="K2873" s="26">
        <v>0</v>
      </c>
      <c r="L2873" s="26">
        <v>0</v>
      </c>
    </row>
    <row r="2874" spans="1:12" ht="16" customHeight="1">
      <c r="A2874" t="s">
        <v>454</v>
      </c>
      <c r="B2874" t="s">
        <v>7</v>
      </c>
      <c r="C2874" t="s">
        <v>47</v>
      </c>
      <c r="D2874" s="24">
        <v>46113</v>
      </c>
      <c r="E2874" t="s">
        <v>230</v>
      </c>
      <c r="F2874" t="s">
        <v>4</v>
      </c>
      <c r="G2874" t="s">
        <v>217</v>
      </c>
      <c r="H2874" t="s">
        <v>217</v>
      </c>
      <c r="I2874" t="s">
        <v>271</v>
      </c>
      <c r="J2874" s="25">
        <v>3</v>
      </c>
      <c r="K2874" s="26">
        <v>0.42</v>
      </c>
      <c r="L2874" s="26">
        <v>0.01</v>
      </c>
    </row>
    <row r="2875" spans="1:12" ht="16" customHeight="1">
      <c r="A2875" t="s">
        <v>454</v>
      </c>
      <c r="B2875" t="s">
        <v>7</v>
      </c>
      <c r="C2875" t="s">
        <v>47</v>
      </c>
      <c r="D2875" s="24">
        <v>46113</v>
      </c>
      <c r="E2875" t="s">
        <v>232</v>
      </c>
      <c r="F2875" t="s">
        <v>4</v>
      </c>
      <c r="G2875" t="s">
        <v>217</v>
      </c>
      <c r="H2875" t="s">
        <v>217</v>
      </c>
      <c r="I2875" t="s">
        <v>272</v>
      </c>
      <c r="J2875" s="25">
        <v>335</v>
      </c>
      <c r="K2875" s="26">
        <v>58.82</v>
      </c>
      <c r="L2875" s="26">
        <v>3.13</v>
      </c>
    </row>
    <row r="2876" spans="1:12" ht="16" customHeight="1">
      <c r="A2876" t="s">
        <v>454</v>
      </c>
      <c r="B2876" t="s">
        <v>7</v>
      </c>
      <c r="C2876" t="s">
        <v>47</v>
      </c>
      <c r="D2876" s="24">
        <v>46113</v>
      </c>
      <c r="E2876" t="s">
        <v>234</v>
      </c>
      <c r="F2876" t="s">
        <v>4</v>
      </c>
      <c r="G2876" t="s">
        <v>217</v>
      </c>
      <c r="H2876" t="s">
        <v>217</v>
      </c>
      <c r="I2876" t="s">
        <v>273</v>
      </c>
      <c r="J2876" s="25">
        <v>0</v>
      </c>
      <c r="K2876" s="26">
        <v>0</v>
      </c>
      <c r="L2876" s="26">
        <v>0</v>
      </c>
    </row>
    <row r="2877" spans="1:12" ht="16" customHeight="1">
      <c r="A2877" t="s">
        <v>454</v>
      </c>
      <c r="B2877" t="s">
        <v>7</v>
      </c>
      <c r="C2877" t="s">
        <v>47</v>
      </c>
      <c r="D2877" s="24">
        <v>46113</v>
      </c>
      <c r="E2877" t="s">
        <v>236</v>
      </c>
      <c r="F2877" t="s">
        <v>4</v>
      </c>
      <c r="G2877" t="s">
        <v>217</v>
      </c>
      <c r="H2877" t="s">
        <v>217</v>
      </c>
      <c r="I2877" t="s">
        <v>274</v>
      </c>
      <c r="J2877" s="25">
        <v>5</v>
      </c>
      <c r="K2877" s="26">
        <v>0.9</v>
      </c>
      <c r="L2877" s="26">
        <v>0.04</v>
      </c>
    </row>
    <row r="2878" spans="1:12" ht="16" customHeight="1">
      <c r="A2878" t="s">
        <v>454</v>
      </c>
      <c r="B2878" t="s">
        <v>7</v>
      </c>
      <c r="C2878" t="s">
        <v>47</v>
      </c>
      <c r="D2878" s="24">
        <v>46113</v>
      </c>
      <c r="E2878" t="s">
        <v>238</v>
      </c>
      <c r="F2878" t="s">
        <v>4</v>
      </c>
      <c r="G2878" t="s">
        <v>217</v>
      </c>
      <c r="H2878" t="s">
        <v>217</v>
      </c>
      <c r="I2878" t="s">
        <v>275</v>
      </c>
      <c r="J2878" s="25">
        <v>0</v>
      </c>
      <c r="K2878" s="26">
        <v>0</v>
      </c>
      <c r="L2878" s="26">
        <v>0</v>
      </c>
    </row>
    <row r="2879" spans="1:12" ht="16" customHeight="1">
      <c r="A2879" t="s">
        <v>454</v>
      </c>
      <c r="B2879" t="s">
        <v>7</v>
      </c>
      <c r="C2879" t="s">
        <v>47</v>
      </c>
      <c r="D2879" s="24">
        <v>46113</v>
      </c>
      <c r="E2879" t="s">
        <v>240</v>
      </c>
      <c r="F2879" t="s">
        <v>3</v>
      </c>
      <c r="G2879" t="s">
        <v>241</v>
      </c>
      <c r="H2879" t="s">
        <v>241</v>
      </c>
      <c r="I2879" t="s">
        <v>276</v>
      </c>
      <c r="J2879" s="25">
        <v>0</v>
      </c>
      <c r="K2879" s="26">
        <v>0</v>
      </c>
      <c r="L2879" s="26">
        <v>0</v>
      </c>
    </row>
    <row r="2880" spans="1:12" ht="16" customHeight="1">
      <c r="A2880" t="s">
        <v>454</v>
      </c>
      <c r="B2880" t="s">
        <v>7</v>
      </c>
      <c r="C2880" t="s">
        <v>47</v>
      </c>
      <c r="D2880" s="24">
        <v>46113</v>
      </c>
      <c r="E2880" t="s">
        <v>243</v>
      </c>
      <c r="F2880" t="s">
        <v>4</v>
      </c>
      <c r="G2880" t="s">
        <v>217</v>
      </c>
      <c r="H2880" t="s">
        <v>217</v>
      </c>
      <c r="I2880" t="s">
        <v>277</v>
      </c>
      <c r="J2880" s="25">
        <v>0</v>
      </c>
      <c r="K2880" s="26">
        <v>0</v>
      </c>
      <c r="L2880" s="26">
        <v>0</v>
      </c>
    </row>
    <row r="2881" spans="1:12" ht="16" customHeight="1">
      <c r="A2881" t="s">
        <v>454</v>
      </c>
      <c r="B2881" t="s">
        <v>7</v>
      </c>
      <c r="C2881" t="s">
        <v>47</v>
      </c>
      <c r="D2881" s="24">
        <v>46113</v>
      </c>
      <c r="E2881" t="s">
        <v>360</v>
      </c>
      <c r="F2881" t="s">
        <v>4</v>
      </c>
      <c r="G2881" t="s">
        <v>217</v>
      </c>
      <c r="H2881" t="s">
        <v>217</v>
      </c>
      <c r="I2881" t="s">
        <v>278</v>
      </c>
      <c r="J2881" s="25">
        <v>0</v>
      </c>
      <c r="K2881" s="26">
        <v>0</v>
      </c>
      <c r="L2881" s="26">
        <v>0</v>
      </c>
    </row>
    <row r="2882" spans="1:12" ht="16" customHeight="1">
      <c r="A2882" t="s">
        <v>455</v>
      </c>
      <c r="B2882" t="s">
        <v>3</v>
      </c>
      <c r="C2882" t="s">
        <v>47</v>
      </c>
      <c r="D2882" s="24">
        <v>46113</v>
      </c>
      <c r="E2882" t="s">
        <v>387</v>
      </c>
      <c r="F2882" t="s">
        <v>4</v>
      </c>
      <c r="G2882" t="s">
        <v>217</v>
      </c>
      <c r="H2882" t="s">
        <v>261</v>
      </c>
      <c r="I2882" t="s">
        <v>212</v>
      </c>
      <c r="J2882" s="25">
        <v>117175427</v>
      </c>
      <c r="K2882" s="26">
        <v>18379672.539999999</v>
      </c>
      <c r="L2882" s="26">
        <v>46129.23</v>
      </c>
    </row>
    <row r="2883" spans="1:12" ht="16" customHeight="1">
      <c r="A2883" t="s">
        <v>455</v>
      </c>
      <c r="B2883" t="s">
        <v>3</v>
      </c>
      <c r="C2883" t="s">
        <v>47</v>
      </c>
      <c r="D2883" s="24">
        <v>46113</v>
      </c>
      <c r="E2883" t="s">
        <v>436</v>
      </c>
      <c r="F2883" t="s">
        <v>4</v>
      </c>
      <c r="G2883" t="s">
        <v>211</v>
      </c>
      <c r="H2883" t="s">
        <v>211</v>
      </c>
      <c r="I2883" t="s">
        <v>219</v>
      </c>
      <c r="J2883" s="25">
        <v>3827238</v>
      </c>
      <c r="K2883" s="26">
        <v>604038.81000000006</v>
      </c>
      <c r="L2883" s="26">
        <v>2703.35</v>
      </c>
    </row>
    <row r="2884" spans="1:12" ht="16" customHeight="1">
      <c r="A2884" t="s">
        <v>455</v>
      </c>
      <c r="B2884" t="s">
        <v>3</v>
      </c>
      <c r="C2884" t="s">
        <v>47</v>
      </c>
      <c r="D2884" s="24">
        <v>46113</v>
      </c>
      <c r="E2884" t="s">
        <v>443</v>
      </c>
      <c r="F2884" t="s">
        <v>4</v>
      </c>
      <c r="G2884" t="s">
        <v>211</v>
      </c>
      <c r="H2884" t="s">
        <v>211</v>
      </c>
      <c r="I2884" t="s">
        <v>219</v>
      </c>
      <c r="J2884" s="25">
        <v>255460</v>
      </c>
      <c r="K2884" s="26">
        <v>40445.46</v>
      </c>
      <c r="L2884" s="26">
        <v>270.06</v>
      </c>
    </row>
    <row r="2885" spans="1:12" ht="16" customHeight="1">
      <c r="A2885" t="s">
        <v>455</v>
      </c>
      <c r="B2885" t="s">
        <v>3</v>
      </c>
      <c r="C2885" t="s">
        <v>47</v>
      </c>
      <c r="D2885" s="24">
        <v>46113</v>
      </c>
      <c r="E2885" t="s">
        <v>447</v>
      </c>
      <c r="F2885" t="s">
        <v>4</v>
      </c>
      <c r="G2885" t="s">
        <v>211</v>
      </c>
      <c r="H2885" t="s">
        <v>211</v>
      </c>
      <c r="I2885" t="s">
        <v>219</v>
      </c>
      <c r="J2885" s="25">
        <v>29441</v>
      </c>
      <c r="K2885" s="26">
        <v>4719.3</v>
      </c>
      <c r="L2885" s="26">
        <v>45.03</v>
      </c>
    </row>
    <row r="2886" spans="1:12" ht="16" customHeight="1">
      <c r="A2886" t="s">
        <v>455</v>
      </c>
      <c r="B2886" t="s">
        <v>3</v>
      </c>
      <c r="C2886" t="s">
        <v>47</v>
      </c>
      <c r="D2886" s="24">
        <v>46113</v>
      </c>
      <c r="E2886" t="s">
        <v>416</v>
      </c>
      <c r="F2886" t="s">
        <v>4</v>
      </c>
      <c r="G2886" t="s">
        <v>217</v>
      </c>
      <c r="H2886" t="s">
        <v>217</v>
      </c>
      <c r="I2886" t="s">
        <v>219</v>
      </c>
      <c r="J2886" s="25">
        <v>803941</v>
      </c>
      <c r="K2886" s="26">
        <v>128510.6</v>
      </c>
      <c r="L2886" s="26">
        <v>1925.38</v>
      </c>
    </row>
    <row r="2887" spans="1:12" ht="16" customHeight="1">
      <c r="A2887" t="s">
        <v>455</v>
      </c>
      <c r="B2887" t="s">
        <v>3</v>
      </c>
      <c r="C2887" t="s">
        <v>47</v>
      </c>
      <c r="D2887" s="24">
        <v>46113</v>
      </c>
      <c r="E2887" t="s">
        <v>452</v>
      </c>
      <c r="F2887" t="s">
        <v>4</v>
      </c>
      <c r="G2887" t="s">
        <v>211</v>
      </c>
      <c r="H2887" t="s">
        <v>211</v>
      </c>
      <c r="I2887" t="s">
        <v>221</v>
      </c>
      <c r="J2887" s="25">
        <v>1478</v>
      </c>
      <c r="K2887" s="26">
        <v>243.94</v>
      </c>
      <c r="L2887" s="26">
        <v>2.0699999999999998</v>
      </c>
    </row>
    <row r="2888" spans="1:12" ht="16" customHeight="1">
      <c r="A2888" t="s">
        <v>455</v>
      </c>
      <c r="B2888" t="s">
        <v>3</v>
      </c>
      <c r="C2888" t="s">
        <v>47</v>
      </c>
      <c r="D2888" s="24">
        <v>46113</v>
      </c>
      <c r="E2888" t="s">
        <v>226</v>
      </c>
      <c r="F2888" t="s">
        <v>4</v>
      </c>
      <c r="G2888" t="s">
        <v>217</v>
      </c>
      <c r="H2888" t="s">
        <v>217</v>
      </c>
      <c r="I2888" t="s">
        <v>221</v>
      </c>
      <c r="J2888" s="25">
        <v>200640</v>
      </c>
      <c r="K2888" s="26">
        <v>31438.61</v>
      </c>
      <c r="L2888" s="26">
        <v>431.93</v>
      </c>
    </row>
    <row r="2889" spans="1:12" ht="16" customHeight="1">
      <c r="A2889" t="s">
        <v>455</v>
      </c>
      <c r="B2889" t="s">
        <v>3</v>
      </c>
      <c r="C2889" t="s">
        <v>47</v>
      </c>
      <c r="D2889" s="24">
        <v>46113</v>
      </c>
      <c r="E2889" t="s">
        <v>269</v>
      </c>
      <c r="F2889" t="s">
        <v>4</v>
      </c>
      <c r="G2889" t="s">
        <v>217</v>
      </c>
      <c r="H2889" t="s">
        <v>217</v>
      </c>
      <c r="I2889" t="s">
        <v>267</v>
      </c>
      <c r="J2889" s="25">
        <v>28255</v>
      </c>
      <c r="K2889" s="26">
        <v>4711.7700000000004</v>
      </c>
      <c r="L2889" s="26">
        <v>92.84</v>
      </c>
    </row>
    <row r="2890" spans="1:12" ht="16" customHeight="1">
      <c r="A2890" t="s">
        <v>455</v>
      </c>
      <c r="B2890" t="s">
        <v>3</v>
      </c>
      <c r="C2890" t="s">
        <v>47</v>
      </c>
      <c r="D2890" s="24">
        <v>46113</v>
      </c>
      <c r="E2890" t="s">
        <v>228</v>
      </c>
      <c r="F2890" t="s">
        <v>4</v>
      </c>
      <c r="G2890" t="s">
        <v>217</v>
      </c>
      <c r="H2890" t="s">
        <v>217</v>
      </c>
      <c r="I2890" t="s">
        <v>268</v>
      </c>
      <c r="J2890" s="25">
        <v>28653</v>
      </c>
      <c r="K2890" s="26">
        <v>4765.34</v>
      </c>
      <c r="L2890" s="26">
        <v>140.78</v>
      </c>
    </row>
    <row r="2891" spans="1:12" ht="16" customHeight="1">
      <c r="A2891" t="s">
        <v>455</v>
      </c>
      <c r="B2891" t="s">
        <v>3</v>
      </c>
      <c r="C2891" t="s">
        <v>47</v>
      </c>
      <c r="D2891" s="24">
        <v>46113</v>
      </c>
      <c r="E2891" t="s">
        <v>439</v>
      </c>
      <c r="F2891" t="s">
        <v>4</v>
      </c>
      <c r="G2891" t="s">
        <v>217</v>
      </c>
      <c r="H2891" t="s">
        <v>217</v>
      </c>
      <c r="I2891" t="s">
        <v>270</v>
      </c>
      <c r="J2891" s="25">
        <v>0</v>
      </c>
      <c r="K2891" s="26">
        <v>0</v>
      </c>
      <c r="L2891" s="26">
        <v>0</v>
      </c>
    </row>
    <row r="2892" spans="1:12" ht="16" customHeight="1">
      <c r="A2892" t="s">
        <v>455</v>
      </c>
      <c r="B2892" t="s">
        <v>3</v>
      </c>
      <c r="C2892" t="s">
        <v>47</v>
      </c>
      <c r="D2892" s="24">
        <v>46113</v>
      </c>
      <c r="E2892" t="s">
        <v>230</v>
      </c>
      <c r="F2892" t="s">
        <v>4</v>
      </c>
      <c r="G2892" t="s">
        <v>217</v>
      </c>
      <c r="H2892" t="s">
        <v>217</v>
      </c>
      <c r="I2892" t="s">
        <v>271</v>
      </c>
      <c r="J2892" s="25">
        <v>0</v>
      </c>
      <c r="K2892" s="26">
        <v>0</v>
      </c>
      <c r="L2892" s="26">
        <v>0</v>
      </c>
    </row>
    <row r="2893" spans="1:12" ht="16" customHeight="1">
      <c r="A2893" t="s">
        <v>455</v>
      </c>
      <c r="B2893" t="s">
        <v>3</v>
      </c>
      <c r="C2893" t="s">
        <v>47</v>
      </c>
      <c r="D2893" s="24">
        <v>46113</v>
      </c>
      <c r="E2893" t="s">
        <v>232</v>
      </c>
      <c r="F2893" t="s">
        <v>4</v>
      </c>
      <c r="G2893" t="s">
        <v>217</v>
      </c>
      <c r="H2893" t="s">
        <v>217</v>
      </c>
      <c r="I2893" t="s">
        <v>272</v>
      </c>
      <c r="J2893" s="25">
        <v>216</v>
      </c>
      <c r="K2893" s="26">
        <v>37.159999999999997</v>
      </c>
      <c r="L2893" s="26">
        <v>1.61</v>
      </c>
    </row>
    <row r="2894" spans="1:12" ht="16" customHeight="1">
      <c r="A2894" t="s">
        <v>455</v>
      </c>
      <c r="B2894" t="s">
        <v>3</v>
      </c>
      <c r="C2894" t="s">
        <v>47</v>
      </c>
      <c r="D2894" s="24">
        <v>46113</v>
      </c>
      <c r="E2894" t="s">
        <v>234</v>
      </c>
      <c r="F2894" t="s">
        <v>4</v>
      </c>
      <c r="G2894" t="s">
        <v>217</v>
      </c>
      <c r="H2894" t="s">
        <v>217</v>
      </c>
      <c r="I2894" t="s">
        <v>273</v>
      </c>
      <c r="J2894" s="25">
        <v>0</v>
      </c>
      <c r="K2894" s="26">
        <v>0</v>
      </c>
      <c r="L2894" s="26">
        <v>0</v>
      </c>
    </row>
    <row r="2895" spans="1:12" ht="16" customHeight="1">
      <c r="A2895" t="s">
        <v>455</v>
      </c>
      <c r="B2895" t="s">
        <v>3</v>
      </c>
      <c r="C2895" t="s">
        <v>47</v>
      </c>
      <c r="D2895" s="24">
        <v>46113</v>
      </c>
      <c r="E2895" t="s">
        <v>236</v>
      </c>
      <c r="F2895" t="s">
        <v>4</v>
      </c>
      <c r="G2895" t="s">
        <v>217</v>
      </c>
      <c r="H2895" t="s">
        <v>217</v>
      </c>
      <c r="I2895" t="s">
        <v>274</v>
      </c>
      <c r="J2895" s="25">
        <v>5</v>
      </c>
      <c r="K2895" s="26">
        <v>0.87</v>
      </c>
      <c r="L2895" s="26">
        <v>0.06</v>
      </c>
    </row>
    <row r="2896" spans="1:12" ht="16" customHeight="1">
      <c r="A2896" t="s">
        <v>455</v>
      </c>
      <c r="B2896" t="s">
        <v>3</v>
      </c>
      <c r="C2896" t="s">
        <v>47</v>
      </c>
      <c r="D2896" s="24">
        <v>46113</v>
      </c>
      <c r="E2896" t="s">
        <v>238</v>
      </c>
      <c r="F2896" t="s">
        <v>4</v>
      </c>
      <c r="G2896" t="s">
        <v>217</v>
      </c>
      <c r="H2896" t="s">
        <v>217</v>
      </c>
      <c r="I2896" t="s">
        <v>275</v>
      </c>
      <c r="J2896" s="25">
        <v>0</v>
      </c>
      <c r="K2896" s="26">
        <v>0</v>
      </c>
      <c r="L2896" s="26">
        <v>0</v>
      </c>
    </row>
    <row r="2897" spans="1:12" ht="16" customHeight="1">
      <c r="A2897" t="s">
        <v>455</v>
      </c>
      <c r="B2897" t="s">
        <v>3</v>
      </c>
      <c r="C2897" t="s">
        <v>47</v>
      </c>
      <c r="D2897" s="24">
        <v>46113</v>
      </c>
      <c r="E2897" t="s">
        <v>240</v>
      </c>
      <c r="F2897" t="s">
        <v>3</v>
      </c>
      <c r="G2897" t="s">
        <v>241</v>
      </c>
      <c r="H2897" t="s">
        <v>241</v>
      </c>
      <c r="I2897" t="s">
        <v>276</v>
      </c>
      <c r="J2897" s="25">
        <v>0</v>
      </c>
      <c r="K2897" s="26">
        <v>0</v>
      </c>
      <c r="L2897" s="26">
        <v>0</v>
      </c>
    </row>
    <row r="2898" spans="1:12" ht="16" customHeight="1">
      <c r="A2898" t="s">
        <v>455</v>
      </c>
      <c r="B2898" t="s">
        <v>3</v>
      </c>
      <c r="C2898" t="s">
        <v>47</v>
      </c>
      <c r="D2898" s="24">
        <v>46113</v>
      </c>
      <c r="E2898" t="s">
        <v>243</v>
      </c>
      <c r="F2898" t="s">
        <v>4</v>
      </c>
      <c r="G2898" t="s">
        <v>217</v>
      </c>
      <c r="H2898" t="s">
        <v>217</v>
      </c>
      <c r="I2898" t="s">
        <v>277</v>
      </c>
      <c r="J2898" s="25">
        <v>0</v>
      </c>
      <c r="K2898" s="26">
        <v>0</v>
      </c>
      <c r="L2898" s="26">
        <v>0</v>
      </c>
    </row>
    <row r="2899" spans="1:12" ht="16" customHeight="1">
      <c r="A2899" t="s">
        <v>455</v>
      </c>
      <c r="B2899" t="s">
        <v>3</v>
      </c>
      <c r="C2899" t="s">
        <v>47</v>
      </c>
      <c r="D2899" s="24">
        <v>46113</v>
      </c>
      <c r="E2899" t="s">
        <v>360</v>
      </c>
      <c r="F2899" t="s">
        <v>4</v>
      </c>
      <c r="G2899" t="s">
        <v>217</v>
      </c>
      <c r="H2899" t="s">
        <v>217</v>
      </c>
      <c r="I2899" t="s">
        <v>278</v>
      </c>
      <c r="J2899" s="25">
        <v>0</v>
      </c>
      <c r="K2899" s="26">
        <v>0</v>
      </c>
      <c r="L2899" s="26">
        <v>0</v>
      </c>
    </row>
    <row r="2900" spans="1:12" ht="16" customHeight="1">
      <c r="A2900" t="s">
        <v>387</v>
      </c>
      <c r="B2900" t="s">
        <v>4</v>
      </c>
      <c r="C2900" t="s">
        <v>47</v>
      </c>
      <c r="D2900" s="24">
        <v>46113</v>
      </c>
      <c r="E2900" t="s">
        <v>387</v>
      </c>
      <c r="F2900" t="s">
        <v>4</v>
      </c>
      <c r="G2900" t="s">
        <v>217</v>
      </c>
      <c r="H2900" t="s">
        <v>261</v>
      </c>
      <c r="I2900" t="s">
        <v>212</v>
      </c>
      <c r="J2900" s="25">
        <v>339366050</v>
      </c>
      <c r="K2900" s="26">
        <v>53092836.210000001</v>
      </c>
      <c r="L2900" s="26">
        <v>54609.71</v>
      </c>
    </row>
    <row r="2901" spans="1:12" ht="16" customHeight="1">
      <c r="A2901" t="s">
        <v>387</v>
      </c>
      <c r="B2901" t="s">
        <v>4</v>
      </c>
      <c r="C2901" t="s">
        <v>47</v>
      </c>
      <c r="D2901" s="24">
        <v>46113</v>
      </c>
      <c r="E2901" t="s">
        <v>436</v>
      </c>
      <c r="F2901" t="s">
        <v>4</v>
      </c>
      <c r="G2901" t="s">
        <v>211</v>
      </c>
      <c r="H2901" t="s">
        <v>211</v>
      </c>
      <c r="I2901" t="s">
        <v>219</v>
      </c>
      <c r="J2901" s="25">
        <v>8296714</v>
      </c>
      <c r="K2901" s="26">
        <v>1307910.44</v>
      </c>
      <c r="L2901" s="26">
        <v>5434.52</v>
      </c>
    </row>
    <row r="2902" spans="1:12" ht="16" customHeight="1">
      <c r="A2902" t="s">
        <v>387</v>
      </c>
      <c r="B2902" t="s">
        <v>4</v>
      </c>
      <c r="C2902" t="s">
        <v>47</v>
      </c>
      <c r="D2902" s="24">
        <v>46113</v>
      </c>
      <c r="E2902" t="s">
        <v>443</v>
      </c>
      <c r="F2902" t="s">
        <v>4</v>
      </c>
      <c r="G2902" t="s">
        <v>211</v>
      </c>
      <c r="H2902" t="s">
        <v>211</v>
      </c>
      <c r="I2902" t="s">
        <v>219</v>
      </c>
      <c r="J2902" s="25">
        <v>388990</v>
      </c>
      <c r="K2902" s="26">
        <v>61444.73</v>
      </c>
      <c r="L2902" s="26">
        <v>332.52</v>
      </c>
    </row>
    <row r="2903" spans="1:12" ht="16" customHeight="1">
      <c r="A2903" t="s">
        <v>387</v>
      </c>
      <c r="B2903" t="s">
        <v>4</v>
      </c>
      <c r="C2903" t="s">
        <v>47</v>
      </c>
      <c r="D2903" s="24">
        <v>46113</v>
      </c>
      <c r="E2903" t="s">
        <v>447</v>
      </c>
      <c r="F2903" t="s">
        <v>4</v>
      </c>
      <c r="G2903" t="s">
        <v>211</v>
      </c>
      <c r="H2903" t="s">
        <v>211</v>
      </c>
      <c r="I2903" t="s">
        <v>219</v>
      </c>
      <c r="J2903" s="25">
        <v>34583</v>
      </c>
      <c r="K2903" s="26">
        <v>5518.04</v>
      </c>
      <c r="L2903" s="26">
        <v>43.93</v>
      </c>
    </row>
    <row r="2904" spans="1:12" ht="16" customHeight="1">
      <c r="A2904" t="s">
        <v>387</v>
      </c>
      <c r="B2904" t="s">
        <v>4</v>
      </c>
      <c r="C2904" t="s">
        <v>47</v>
      </c>
      <c r="D2904" s="24">
        <v>46113</v>
      </c>
      <c r="E2904" t="s">
        <v>416</v>
      </c>
      <c r="F2904" t="s">
        <v>4</v>
      </c>
      <c r="G2904" t="s">
        <v>217</v>
      </c>
      <c r="H2904" t="s">
        <v>217</v>
      </c>
      <c r="I2904" t="s">
        <v>219</v>
      </c>
      <c r="J2904" s="25">
        <v>1046701</v>
      </c>
      <c r="K2904" s="26">
        <v>166631.45000000001</v>
      </c>
      <c r="L2904" s="26">
        <v>2032.76</v>
      </c>
    </row>
    <row r="2905" spans="1:12" ht="16" customHeight="1">
      <c r="A2905" t="s">
        <v>387</v>
      </c>
      <c r="B2905" t="s">
        <v>4</v>
      </c>
      <c r="C2905" t="s">
        <v>47</v>
      </c>
      <c r="D2905" s="24">
        <v>46113</v>
      </c>
      <c r="E2905" t="s">
        <v>452</v>
      </c>
      <c r="F2905" t="s">
        <v>4</v>
      </c>
      <c r="G2905" t="s">
        <v>211</v>
      </c>
      <c r="H2905" t="s">
        <v>211</v>
      </c>
      <c r="I2905" t="s">
        <v>221</v>
      </c>
      <c r="J2905" s="25">
        <v>2451</v>
      </c>
      <c r="K2905" s="26">
        <v>405.61</v>
      </c>
      <c r="L2905" s="26">
        <v>2.17</v>
      </c>
    </row>
    <row r="2906" spans="1:12" ht="16" customHeight="1">
      <c r="A2906" t="s">
        <v>387</v>
      </c>
      <c r="B2906" t="s">
        <v>4</v>
      </c>
      <c r="C2906" t="s">
        <v>47</v>
      </c>
      <c r="D2906" s="24">
        <v>46113</v>
      </c>
      <c r="E2906" t="s">
        <v>226</v>
      </c>
      <c r="F2906" t="s">
        <v>4</v>
      </c>
      <c r="G2906" t="s">
        <v>217</v>
      </c>
      <c r="H2906" t="s">
        <v>217</v>
      </c>
      <c r="I2906" t="s">
        <v>221</v>
      </c>
      <c r="J2906" s="25">
        <v>167604</v>
      </c>
      <c r="K2906" s="26">
        <v>26612.04</v>
      </c>
      <c r="L2906" s="26">
        <v>358.74</v>
      </c>
    </row>
    <row r="2907" spans="1:12" ht="16" customHeight="1">
      <c r="A2907" t="s">
        <v>387</v>
      </c>
      <c r="B2907" t="s">
        <v>4</v>
      </c>
      <c r="C2907" t="s">
        <v>47</v>
      </c>
      <c r="D2907" s="24">
        <v>46113</v>
      </c>
      <c r="E2907" t="s">
        <v>269</v>
      </c>
      <c r="F2907" t="s">
        <v>4</v>
      </c>
      <c r="G2907" t="s">
        <v>217</v>
      </c>
      <c r="H2907" t="s">
        <v>217</v>
      </c>
      <c r="I2907" t="s">
        <v>267</v>
      </c>
      <c r="J2907" s="25">
        <v>19253</v>
      </c>
      <c r="K2907" s="26">
        <v>3153.53</v>
      </c>
      <c r="L2907" s="26">
        <v>64.98</v>
      </c>
    </row>
    <row r="2908" spans="1:12" ht="16" customHeight="1">
      <c r="A2908" t="s">
        <v>387</v>
      </c>
      <c r="B2908" t="s">
        <v>4</v>
      </c>
      <c r="C2908" t="s">
        <v>47</v>
      </c>
      <c r="D2908" s="24">
        <v>46113</v>
      </c>
      <c r="E2908" t="s">
        <v>228</v>
      </c>
      <c r="F2908" t="s">
        <v>4</v>
      </c>
      <c r="G2908" t="s">
        <v>217</v>
      </c>
      <c r="H2908" t="s">
        <v>217</v>
      </c>
      <c r="I2908" t="s">
        <v>268</v>
      </c>
      <c r="J2908" s="25">
        <v>22838</v>
      </c>
      <c r="K2908" s="26">
        <v>3792.84</v>
      </c>
      <c r="L2908" s="26">
        <v>99.78</v>
      </c>
    </row>
    <row r="2909" spans="1:12" ht="16" customHeight="1">
      <c r="A2909" t="s">
        <v>387</v>
      </c>
      <c r="B2909" t="s">
        <v>4</v>
      </c>
      <c r="C2909" t="s">
        <v>47</v>
      </c>
      <c r="D2909" s="24">
        <v>46113</v>
      </c>
      <c r="E2909" t="s">
        <v>439</v>
      </c>
      <c r="F2909" t="s">
        <v>4</v>
      </c>
      <c r="G2909" t="s">
        <v>217</v>
      </c>
      <c r="H2909" t="s">
        <v>217</v>
      </c>
      <c r="I2909" t="s">
        <v>270</v>
      </c>
      <c r="J2909" s="25">
        <v>0</v>
      </c>
      <c r="K2909" s="26">
        <v>0</v>
      </c>
      <c r="L2909" s="26">
        <v>0</v>
      </c>
    </row>
    <row r="2910" spans="1:12" ht="16" customHeight="1">
      <c r="A2910" t="s">
        <v>387</v>
      </c>
      <c r="B2910" t="s">
        <v>4</v>
      </c>
      <c r="C2910" t="s">
        <v>47</v>
      </c>
      <c r="D2910" s="24">
        <v>46113</v>
      </c>
      <c r="E2910" t="s">
        <v>230</v>
      </c>
      <c r="F2910" t="s">
        <v>4</v>
      </c>
      <c r="G2910" t="s">
        <v>217</v>
      </c>
      <c r="H2910" t="s">
        <v>217</v>
      </c>
      <c r="I2910" t="s">
        <v>271</v>
      </c>
      <c r="J2910" s="25">
        <v>0</v>
      </c>
      <c r="K2910" s="26">
        <v>0</v>
      </c>
      <c r="L2910" s="26">
        <v>0</v>
      </c>
    </row>
    <row r="2911" spans="1:12" ht="16" customHeight="1">
      <c r="A2911" t="s">
        <v>387</v>
      </c>
      <c r="B2911" t="s">
        <v>4</v>
      </c>
      <c r="C2911" t="s">
        <v>47</v>
      </c>
      <c r="D2911" s="24">
        <v>46113</v>
      </c>
      <c r="E2911" t="s">
        <v>232</v>
      </c>
      <c r="F2911" t="s">
        <v>4</v>
      </c>
      <c r="G2911" t="s">
        <v>217</v>
      </c>
      <c r="H2911" t="s">
        <v>217</v>
      </c>
      <c r="I2911" t="s">
        <v>272</v>
      </c>
      <c r="J2911" s="25">
        <v>501</v>
      </c>
      <c r="K2911" s="26">
        <v>91.37</v>
      </c>
      <c r="L2911" s="26">
        <v>3.61</v>
      </c>
    </row>
    <row r="2912" spans="1:12" ht="16" customHeight="1">
      <c r="A2912" t="s">
        <v>387</v>
      </c>
      <c r="B2912" t="s">
        <v>4</v>
      </c>
      <c r="C2912" t="s">
        <v>47</v>
      </c>
      <c r="D2912" s="24">
        <v>46113</v>
      </c>
      <c r="E2912" t="s">
        <v>234</v>
      </c>
      <c r="F2912" t="s">
        <v>4</v>
      </c>
      <c r="G2912" t="s">
        <v>217</v>
      </c>
      <c r="H2912" t="s">
        <v>217</v>
      </c>
      <c r="I2912" t="s">
        <v>273</v>
      </c>
      <c r="J2912" s="25">
        <v>0</v>
      </c>
      <c r="K2912" s="26">
        <v>0</v>
      </c>
      <c r="L2912" s="26">
        <v>0</v>
      </c>
    </row>
    <row r="2913" spans="1:12" ht="16" customHeight="1">
      <c r="A2913" t="s">
        <v>387</v>
      </c>
      <c r="B2913" t="s">
        <v>4</v>
      </c>
      <c r="C2913" t="s">
        <v>47</v>
      </c>
      <c r="D2913" s="24">
        <v>46113</v>
      </c>
      <c r="E2913" t="s">
        <v>236</v>
      </c>
      <c r="F2913" t="s">
        <v>4</v>
      </c>
      <c r="G2913" t="s">
        <v>217</v>
      </c>
      <c r="H2913" t="s">
        <v>217</v>
      </c>
      <c r="I2913" t="s">
        <v>274</v>
      </c>
      <c r="J2913" s="25">
        <v>1</v>
      </c>
      <c r="K2913" s="26">
        <v>0.2</v>
      </c>
      <c r="L2913" s="26">
        <v>0.02</v>
      </c>
    </row>
    <row r="2914" spans="1:12" ht="16" customHeight="1">
      <c r="A2914" t="s">
        <v>387</v>
      </c>
      <c r="B2914" t="s">
        <v>4</v>
      </c>
      <c r="C2914" t="s">
        <v>47</v>
      </c>
      <c r="D2914" s="24">
        <v>46113</v>
      </c>
      <c r="E2914" t="s">
        <v>238</v>
      </c>
      <c r="F2914" t="s">
        <v>4</v>
      </c>
      <c r="G2914" t="s">
        <v>217</v>
      </c>
      <c r="H2914" t="s">
        <v>217</v>
      </c>
      <c r="I2914" t="s">
        <v>275</v>
      </c>
      <c r="J2914" s="25">
        <v>0</v>
      </c>
      <c r="K2914" s="26">
        <v>0</v>
      </c>
      <c r="L2914" s="26">
        <v>0</v>
      </c>
    </row>
    <row r="2915" spans="1:12" ht="16" customHeight="1">
      <c r="A2915" t="s">
        <v>387</v>
      </c>
      <c r="B2915" t="s">
        <v>4</v>
      </c>
      <c r="C2915" t="s">
        <v>47</v>
      </c>
      <c r="D2915" s="24">
        <v>46113</v>
      </c>
      <c r="E2915" t="s">
        <v>240</v>
      </c>
      <c r="F2915" t="s">
        <v>3</v>
      </c>
      <c r="G2915" t="s">
        <v>241</v>
      </c>
      <c r="H2915" t="s">
        <v>241</v>
      </c>
      <c r="I2915" t="s">
        <v>276</v>
      </c>
      <c r="J2915" s="25">
        <v>0</v>
      </c>
      <c r="K2915" s="26">
        <v>0</v>
      </c>
      <c r="L2915" s="26">
        <v>0</v>
      </c>
    </row>
    <row r="2916" spans="1:12" ht="16" customHeight="1">
      <c r="A2916" t="s">
        <v>387</v>
      </c>
      <c r="B2916" t="s">
        <v>4</v>
      </c>
      <c r="C2916" t="s">
        <v>47</v>
      </c>
      <c r="D2916" s="24">
        <v>46113</v>
      </c>
      <c r="E2916" t="s">
        <v>243</v>
      </c>
      <c r="F2916" t="s">
        <v>4</v>
      </c>
      <c r="G2916" t="s">
        <v>217</v>
      </c>
      <c r="H2916" t="s">
        <v>217</v>
      </c>
      <c r="I2916" t="s">
        <v>277</v>
      </c>
      <c r="J2916" s="25">
        <v>0</v>
      </c>
      <c r="K2916" s="26">
        <v>0</v>
      </c>
      <c r="L2916" s="26">
        <v>0</v>
      </c>
    </row>
    <row r="2917" spans="1:12" ht="16" customHeight="1">
      <c r="A2917" t="s">
        <v>387</v>
      </c>
      <c r="B2917" t="s">
        <v>4</v>
      </c>
      <c r="C2917" t="s">
        <v>47</v>
      </c>
      <c r="D2917" s="24">
        <v>46113</v>
      </c>
      <c r="E2917" t="s">
        <v>360</v>
      </c>
      <c r="F2917" t="s">
        <v>4</v>
      </c>
      <c r="G2917" t="s">
        <v>217</v>
      </c>
      <c r="H2917" t="s">
        <v>217</v>
      </c>
      <c r="I2917" t="s">
        <v>278</v>
      </c>
      <c r="J2917" s="25">
        <v>0</v>
      </c>
      <c r="K2917" s="26">
        <v>0</v>
      </c>
      <c r="L2917" s="26">
        <v>0</v>
      </c>
    </row>
    <row r="2918" spans="1:12" ht="16" customHeight="1">
      <c r="A2918" t="s">
        <v>456</v>
      </c>
      <c r="B2918" t="s">
        <v>5</v>
      </c>
      <c r="C2918" t="s">
        <v>48</v>
      </c>
      <c r="D2918" s="24">
        <v>46113</v>
      </c>
      <c r="E2918" t="s">
        <v>436</v>
      </c>
      <c r="F2918" t="s">
        <v>4</v>
      </c>
      <c r="G2918" t="s">
        <v>211</v>
      </c>
      <c r="H2918" t="s">
        <v>211</v>
      </c>
      <c r="I2918" t="s">
        <v>219</v>
      </c>
      <c r="J2918" s="25">
        <v>43077932</v>
      </c>
      <c r="K2918" s="26">
        <v>6814651.9400000004</v>
      </c>
      <c r="L2918" s="26">
        <v>31296.400000000001</v>
      </c>
    </row>
    <row r="2919" spans="1:12" ht="16" customHeight="1">
      <c r="A2919" t="s">
        <v>456</v>
      </c>
      <c r="B2919" t="s">
        <v>5</v>
      </c>
      <c r="C2919" t="s">
        <v>48</v>
      </c>
      <c r="D2919" s="24">
        <v>46113</v>
      </c>
      <c r="E2919" t="s">
        <v>443</v>
      </c>
      <c r="F2919" t="s">
        <v>4</v>
      </c>
      <c r="G2919" t="s">
        <v>211</v>
      </c>
      <c r="H2919" t="s">
        <v>211</v>
      </c>
      <c r="I2919" t="s">
        <v>219</v>
      </c>
      <c r="J2919" s="25">
        <v>1038977</v>
      </c>
      <c r="K2919" s="26">
        <v>164225.70000000001</v>
      </c>
      <c r="L2919" s="26">
        <v>910.47</v>
      </c>
    </row>
    <row r="2920" spans="1:12" ht="16" customHeight="1">
      <c r="A2920" t="s">
        <v>456</v>
      </c>
      <c r="B2920" t="s">
        <v>5</v>
      </c>
      <c r="C2920" t="s">
        <v>48</v>
      </c>
      <c r="D2920" s="24">
        <v>46113</v>
      </c>
      <c r="E2920" t="s">
        <v>447</v>
      </c>
      <c r="F2920" t="s">
        <v>4</v>
      </c>
      <c r="G2920" t="s">
        <v>211</v>
      </c>
      <c r="H2920" t="s">
        <v>211</v>
      </c>
      <c r="I2920" t="s">
        <v>219</v>
      </c>
      <c r="J2920" s="25">
        <v>64952</v>
      </c>
      <c r="K2920" s="26">
        <v>10395.99</v>
      </c>
      <c r="L2920" s="26">
        <v>71.25</v>
      </c>
    </row>
    <row r="2921" spans="1:12" ht="16" customHeight="1">
      <c r="A2921" t="s">
        <v>456</v>
      </c>
      <c r="B2921" t="s">
        <v>5</v>
      </c>
      <c r="C2921" t="s">
        <v>48</v>
      </c>
      <c r="D2921" s="24">
        <v>46113</v>
      </c>
      <c r="E2921" t="s">
        <v>416</v>
      </c>
      <c r="F2921" t="s">
        <v>4</v>
      </c>
      <c r="G2921" t="s">
        <v>217</v>
      </c>
      <c r="H2921" t="s">
        <v>217</v>
      </c>
      <c r="I2921" t="s">
        <v>219</v>
      </c>
      <c r="J2921" s="25">
        <v>1288420</v>
      </c>
      <c r="K2921" s="26">
        <v>204826.88</v>
      </c>
      <c r="L2921" s="26">
        <v>2069.6</v>
      </c>
    </row>
    <row r="2922" spans="1:12" ht="16" customHeight="1">
      <c r="A2922" t="s">
        <v>456</v>
      </c>
      <c r="B2922" t="s">
        <v>5</v>
      </c>
      <c r="C2922" t="s">
        <v>48</v>
      </c>
      <c r="D2922" s="24">
        <v>46113</v>
      </c>
      <c r="E2922" t="s">
        <v>452</v>
      </c>
      <c r="F2922" t="s">
        <v>4</v>
      </c>
      <c r="G2922" t="s">
        <v>211</v>
      </c>
      <c r="H2922" t="s">
        <v>211</v>
      </c>
      <c r="I2922" t="s">
        <v>221</v>
      </c>
      <c r="J2922" s="25">
        <v>4042</v>
      </c>
      <c r="K2922" s="26">
        <v>654.39</v>
      </c>
      <c r="L2922" s="26">
        <v>5.62</v>
      </c>
    </row>
    <row r="2923" spans="1:12" ht="16" customHeight="1">
      <c r="A2923" t="s">
        <v>456</v>
      </c>
      <c r="B2923" t="s">
        <v>5</v>
      </c>
      <c r="C2923" t="s">
        <v>48</v>
      </c>
      <c r="D2923" s="24">
        <v>46113</v>
      </c>
      <c r="E2923" t="s">
        <v>226</v>
      </c>
      <c r="F2923" t="s">
        <v>4</v>
      </c>
      <c r="G2923" t="s">
        <v>217</v>
      </c>
      <c r="H2923" t="s">
        <v>217</v>
      </c>
      <c r="I2923" t="s">
        <v>221</v>
      </c>
      <c r="J2923" s="25">
        <v>233283</v>
      </c>
      <c r="K2923" s="26">
        <v>37107.25</v>
      </c>
      <c r="L2923" s="26">
        <v>419.16</v>
      </c>
    </row>
    <row r="2924" spans="1:12" ht="16" customHeight="1">
      <c r="A2924" t="s">
        <v>456</v>
      </c>
      <c r="B2924" t="s">
        <v>5</v>
      </c>
      <c r="C2924" t="s">
        <v>48</v>
      </c>
      <c r="D2924" s="24">
        <v>46113</v>
      </c>
      <c r="E2924" t="s">
        <v>457</v>
      </c>
      <c r="F2924" t="s">
        <v>4</v>
      </c>
      <c r="G2924" t="s">
        <v>217</v>
      </c>
      <c r="H2924" t="s">
        <v>217</v>
      </c>
      <c r="I2924" t="s">
        <v>223</v>
      </c>
      <c r="J2924" s="25">
        <v>17268</v>
      </c>
      <c r="K2924" s="26">
        <v>2672.21</v>
      </c>
      <c r="L2924" s="26">
        <v>40.57</v>
      </c>
    </row>
    <row r="2925" spans="1:12" ht="16" customHeight="1">
      <c r="A2925" t="s">
        <v>456</v>
      </c>
      <c r="B2925" t="s">
        <v>5</v>
      </c>
      <c r="C2925" t="s">
        <v>48</v>
      </c>
      <c r="D2925" s="24">
        <v>46113</v>
      </c>
      <c r="E2925" t="s">
        <v>269</v>
      </c>
      <c r="F2925" t="s">
        <v>4</v>
      </c>
      <c r="G2925" t="s">
        <v>217</v>
      </c>
      <c r="H2925" t="s">
        <v>217</v>
      </c>
      <c r="I2925" t="s">
        <v>267</v>
      </c>
      <c r="J2925" s="25">
        <v>22037</v>
      </c>
      <c r="K2925" s="26">
        <v>3542.59</v>
      </c>
      <c r="L2925" s="26">
        <v>52.79</v>
      </c>
    </row>
    <row r="2926" spans="1:12" ht="16" customHeight="1">
      <c r="A2926" t="s">
        <v>456</v>
      </c>
      <c r="B2926" t="s">
        <v>5</v>
      </c>
      <c r="C2926" t="s">
        <v>48</v>
      </c>
      <c r="D2926" s="24">
        <v>46113</v>
      </c>
      <c r="E2926" t="s">
        <v>228</v>
      </c>
      <c r="F2926" t="s">
        <v>4</v>
      </c>
      <c r="G2926" t="s">
        <v>217</v>
      </c>
      <c r="H2926" t="s">
        <v>217</v>
      </c>
      <c r="I2926" t="s">
        <v>268</v>
      </c>
      <c r="J2926" s="25">
        <v>34251</v>
      </c>
      <c r="K2926" s="26">
        <v>5588.59</v>
      </c>
      <c r="L2926" s="26">
        <v>144.13999999999999</v>
      </c>
    </row>
    <row r="2927" spans="1:12" ht="16" customHeight="1">
      <c r="A2927" t="s">
        <v>456</v>
      </c>
      <c r="B2927" t="s">
        <v>5</v>
      </c>
      <c r="C2927" t="s">
        <v>48</v>
      </c>
      <c r="D2927" s="24">
        <v>46113</v>
      </c>
      <c r="E2927" t="s">
        <v>439</v>
      </c>
      <c r="F2927" t="s">
        <v>4</v>
      </c>
      <c r="G2927" t="s">
        <v>217</v>
      </c>
      <c r="H2927" t="s">
        <v>217</v>
      </c>
      <c r="I2927" t="s">
        <v>270</v>
      </c>
      <c r="J2927" s="25">
        <v>0</v>
      </c>
      <c r="K2927" s="26">
        <v>0</v>
      </c>
      <c r="L2927" s="26">
        <v>0</v>
      </c>
    </row>
    <row r="2928" spans="1:12" ht="16" customHeight="1">
      <c r="A2928" t="s">
        <v>456</v>
      </c>
      <c r="B2928" t="s">
        <v>5</v>
      </c>
      <c r="C2928" t="s">
        <v>48</v>
      </c>
      <c r="D2928" s="24">
        <v>46113</v>
      </c>
      <c r="E2928" t="s">
        <v>230</v>
      </c>
      <c r="F2928" t="s">
        <v>4</v>
      </c>
      <c r="G2928" t="s">
        <v>217</v>
      </c>
      <c r="H2928" t="s">
        <v>217</v>
      </c>
      <c r="I2928" t="s">
        <v>271</v>
      </c>
      <c r="J2928" s="25">
        <v>1</v>
      </c>
      <c r="K2928" s="26">
        <v>0.14000000000000001</v>
      </c>
      <c r="L2928" s="26">
        <v>0</v>
      </c>
    </row>
    <row r="2929" spans="1:12" ht="16" customHeight="1">
      <c r="A2929" t="s">
        <v>456</v>
      </c>
      <c r="B2929" t="s">
        <v>5</v>
      </c>
      <c r="C2929" t="s">
        <v>48</v>
      </c>
      <c r="D2929" s="24">
        <v>46113</v>
      </c>
      <c r="E2929" t="s">
        <v>232</v>
      </c>
      <c r="F2929" t="s">
        <v>4</v>
      </c>
      <c r="G2929" t="s">
        <v>217</v>
      </c>
      <c r="H2929" t="s">
        <v>217</v>
      </c>
      <c r="I2929" t="s">
        <v>272</v>
      </c>
      <c r="J2929" s="25">
        <v>290</v>
      </c>
      <c r="K2929" s="26">
        <v>50.54</v>
      </c>
      <c r="L2929" s="26">
        <v>2.23</v>
      </c>
    </row>
    <row r="2930" spans="1:12" ht="16" customHeight="1">
      <c r="A2930" t="s">
        <v>456</v>
      </c>
      <c r="B2930" t="s">
        <v>5</v>
      </c>
      <c r="C2930" t="s">
        <v>48</v>
      </c>
      <c r="D2930" s="24">
        <v>46113</v>
      </c>
      <c r="E2930" t="s">
        <v>234</v>
      </c>
      <c r="F2930" t="s">
        <v>4</v>
      </c>
      <c r="G2930" t="s">
        <v>217</v>
      </c>
      <c r="H2930" t="s">
        <v>217</v>
      </c>
      <c r="I2930" t="s">
        <v>273</v>
      </c>
      <c r="J2930" s="25">
        <v>0</v>
      </c>
      <c r="K2930" s="26">
        <v>0</v>
      </c>
      <c r="L2930" s="26">
        <v>0</v>
      </c>
    </row>
    <row r="2931" spans="1:12" ht="16" customHeight="1">
      <c r="A2931" t="s">
        <v>456</v>
      </c>
      <c r="B2931" t="s">
        <v>5</v>
      </c>
      <c r="C2931" t="s">
        <v>48</v>
      </c>
      <c r="D2931" s="24">
        <v>46113</v>
      </c>
      <c r="E2931" t="s">
        <v>236</v>
      </c>
      <c r="F2931" t="s">
        <v>4</v>
      </c>
      <c r="G2931" t="s">
        <v>217</v>
      </c>
      <c r="H2931" t="s">
        <v>217</v>
      </c>
      <c r="I2931" t="s">
        <v>274</v>
      </c>
      <c r="J2931" s="25">
        <v>10</v>
      </c>
      <c r="K2931" s="26">
        <v>1.92</v>
      </c>
      <c r="L2931" s="26">
        <v>0.13</v>
      </c>
    </row>
    <row r="2932" spans="1:12" ht="16" customHeight="1">
      <c r="A2932" t="s">
        <v>456</v>
      </c>
      <c r="B2932" t="s">
        <v>5</v>
      </c>
      <c r="C2932" t="s">
        <v>48</v>
      </c>
      <c r="D2932" s="24">
        <v>46113</v>
      </c>
      <c r="E2932" t="s">
        <v>238</v>
      </c>
      <c r="F2932" t="s">
        <v>4</v>
      </c>
      <c r="G2932" t="s">
        <v>217</v>
      </c>
      <c r="H2932" t="s">
        <v>217</v>
      </c>
      <c r="I2932" t="s">
        <v>275</v>
      </c>
      <c r="J2932" s="25">
        <v>0</v>
      </c>
      <c r="K2932" s="26">
        <v>0</v>
      </c>
      <c r="L2932" s="26">
        <v>0</v>
      </c>
    </row>
    <row r="2933" spans="1:12" ht="16" customHeight="1">
      <c r="A2933" t="s">
        <v>456</v>
      </c>
      <c r="B2933" t="s">
        <v>5</v>
      </c>
      <c r="C2933" t="s">
        <v>48</v>
      </c>
      <c r="D2933" s="24">
        <v>46113</v>
      </c>
      <c r="E2933" t="s">
        <v>240</v>
      </c>
      <c r="F2933" t="s">
        <v>3</v>
      </c>
      <c r="G2933" t="s">
        <v>241</v>
      </c>
      <c r="H2933" t="s">
        <v>241</v>
      </c>
      <c r="I2933" t="s">
        <v>276</v>
      </c>
      <c r="J2933" s="25">
        <v>0</v>
      </c>
      <c r="K2933" s="26">
        <v>0</v>
      </c>
      <c r="L2933" s="26">
        <v>0</v>
      </c>
    </row>
    <row r="2934" spans="1:12" ht="16" customHeight="1">
      <c r="A2934" t="s">
        <v>456</v>
      </c>
      <c r="B2934" t="s">
        <v>5</v>
      </c>
      <c r="C2934" t="s">
        <v>48</v>
      </c>
      <c r="D2934" s="24">
        <v>46113</v>
      </c>
      <c r="E2934" t="s">
        <v>243</v>
      </c>
      <c r="F2934" t="s">
        <v>4</v>
      </c>
      <c r="G2934" t="s">
        <v>217</v>
      </c>
      <c r="H2934" t="s">
        <v>217</v>
      </c>
      <c r="I2934" t="s">
        <v>277</v>
      </c>
      <c r="J2934" s="25">
        <v>0</v>
      </c>
      <c r="K2934" s="26">
        <v>0</v>
      </c>
      <c r="L2934" s="26">
        <v>0</v>
      </c>
    </row>
    <row r="2935" spans="1:12" ht="16" customHeight="1">
      <c r="A2935" t="s">
        <v>456</v>
      </c>
      <c r="B2935" t="s">
        <v>5</v>
      </c>
      <c r="C2935" t="s">
        <v>48</v>
      </c>
      <c r="D2935" s="24">
        <v>46113</v>
      </c>
      <c r="E2935" t="s">
        <v>360</v>
      </c>
      <c r="F2935" t="s">
        <v>4</v>
      </c>
      <c r="G2935" t="s">
        <v>217</v>
      </c>
      <c r="H2935" t="s">
        <v>217</v>
      </c>
      <c r="I2935" t="s">
        <v>278</v>
      </c>
      <c r="J2935" s="25">
        <v>0</v>
      </c>
      <c r="K2935" s="26">
        <v>0</v>
      </c>
      <c r="L2935" s="26">
        <v>0</v>
      </c>
    </row>
    <row r="2936" spans="1:12" ht="16" customHeight="1">
      <c r="A2936" t="s">
        <v>458</v>
      </c>
      <c r="B2936" t="s">
        <v>6</v>
      </c>
      <c r="C2936" t="s">
        <v>48</v>
      </c>
      <c r="D2936" s="24">
        <v>46113</v>
      </c>
      <c r="E2936" t="s">
        <v>436</v>
      </c>
      <c r="F2936" t="s">
        <v>4</v>
      </c>
      <c r="G2936" t="s">
        <v>211</v>
      </c>
      <c r="H2936" t="s">
        <v>211</v>
      </c>
      <c r="I2936" t="s">
        <v>219</v>
      </c>
      <c r="J2936" s="25">
        <v>46682133</v>
      </c>
      <c r="K2936" s="26">
        <v>7306410.1500000004</v>
      </c>
      <c r="L2936" s="26">
        <v>29781.05</v>
      </c>
    </row>
    <row r="2937" spans="1:12" ht="16" customHeight="1">
      <c r="A2937" t="s">
        <v>458</v>
      </c>
      <c r="B2937" t="s">
        <v>6</v>
      </c>
      <c r="C2937" t="s">
        <v>48</v>
      </c>
      <c r="D2937" s="24">
        <v>46113</v>
      </c>
      <c r="E2937" t="s">
        <v>443</v>
      </c>
      <c r="F2937" t="s">
        <v>4</v>
      </c>
      <c r="G2937" t="s">
        <v>211</v>
      </c>
      <c r="H2937" t="s">
        <v>211</v>
      </c>
      <c r="I2937" t="s">
        <v>219</v>
      </c>
      <c r="J2937" s="25">
        <v>1695933</v>
      </c>
      <c r="K2937" s="26">
        <v>266443.8</v>
      </c>
      <c r="L2937" s="26">
        <v>1563.24</v>
      </c>
    </row>
    <row r="2938" spans="1:12" ht="16" customHeight="1">
      <c r="A2938" t="s">
        <v>458</v>
      </c>
      <c r="B2938" t="s">
        <v>6</v>
      </c>
      <c r="C2938" t="s">
        <v>48</v>
      </c>
      <c r="D2938" s="24">
        <v>46113</v>
      </c>
      <c r="E2938" t="s">
        <v>447</v>
      </c>
      <c r="F2938" t="s">
        <v>4</v>
      </c>
      <c r="G2938" t="s">
        <v>211</v>
      </c>
      <c r="H2938" t="s">
        <v>211</v>
      </c>
      <c r="I2938" t="s">
        <v>219</v>
      </c>
      <c r="J2938" s="25">
        <v>97814</v>
      </c>
      <c r="K2938" s="26">
        <v>15558.8</v>
      </c>
      <c r="L2938" s="26">
        <v>119.93</v>
      </c>
    </row>
    <row r="2939" spans="1:12" ht="16" customHeight="1">
      <c r="A2939" t="s">
        <v>458</v>
      </c>
      <c r="B2939" t="s">
        <v>6</v>
      </c>
      <c r="C2939" t="s">
        <v>48</v>
      </c>
      <c r="D2939" s="24">
        <v>46113</v>
      </c>
      <c r="E2939" t="s">
        <v>416</v>
      </c>
      <c r="F2939" t="s">
        <v>4</v>
      </c>
      <c r="G2939" t="s">
        <v>217</v>
      </c>
      <c r="H2939" t="s">
        <v>217</v>
      </c>
      <c r="I2939" t="s">
        <v>219</v>
      </c>
      <c r="J2939" s="25">
        <v>1427113</v>
      </c>
      <c r="K2939" s="26">
        <v>225310.18</v>
      </c>
      <c r="L2939" s="26">
        <v>2332.5700000000002</v>
      </c>
    </row>
    <row r="2940" spans="1:12" ht="16" customHeight="1">
      <c r="A2940" t="s">
        <v>458</v>
      </c>
      <c r="B2940" t="s">
        <v>6</v>
      </c>
      <c r="C2940" t="s">
        <v>48</v>
      </c>
      <c r="D2940" s="24">
        <v>46113</v>
      </c>
      <c r="E2940" t="s">
        <v>452</v>
      </c>
      <c r="F2940" t="s">
        <v>4</v>
      </c>
      <c r="G2940" t="s">
        <v>211</v>
      </c>
      <c r="H2940" t="s">
        <v>211</v>
      </c>
      <c r="I2940" t="s">
        <v>221</v>
      </c>
      <c r="J2940" s="25">
        <v>7632</v>
      </c>
      <c r="K2940" s="26">
        <v>1222.92</v>
      </c>
      <c r="L2940" s="26">
        <v>12.26</v>
      </c>
    </row>
    <row r="2941" spans="1:12" ht="16" customHeight="1">
      <c r="A2941" t="s">
        <v>458</v>
      </c>
      <c r="B2941" t="s">
        <v>6</v>
      </c>
      <c r="C2941" t="s">
        <v>48</v>
      </c>
      <c r="D2941" s="24">
        <v>46113</v>
      </c>
      <c r="E2941" t="s">
        <v>226</v>
      </c>
      <c r="F2941" t="s">
        <v>4</v>
      </c>
      <c r="G2941" t="s">
        <v>217</v>
      </c>
      <c r="H2941" t="s">
        <v>217</v>
      </c>
      <c r="I2941" t="s">
        <v>221</v>
      </c>
      <c r="J2941" s="25">
        <v>239130</v>
      </c>
      <c r="K2941" s="26">
        <v>37586.57</v>
      </c>
      <c r="L2941" s="26">
        <v>465.33</v>
      </c>
    </row>
    <row r="2942" spans="1:12" ht="16" customHeight="1">
      <c r="A2942" t="s">
        <v>458</v>
      </c>
      <c r="B2942" t="s">
        <v>6</v>
      </c>
      <c r="C2942" t="s">
        <v>48</v>
      </c>
      <c r="D2942" s="24">
        <v>46113</v>
      </c>
      <c r="E2942" t="s">
        <v>457</v>
      </c>
      <c r="F2942" t="s">
        <v>4</v>
      </c>
      <c r="G2942" t="s">
        <v>217</v>
      </c>
      <c r="H2942" t="s">
        <v>217</v>
      </c>
      <c r="I2942" t="s">
        <v>223</v>
      </c>
      <c r="J2942" s="25">
        <v>17596</v>
      </c>
      <c r="K2942" s="26">
        <v>2783.67</v>
      </c>
      <c r="L2942" s="26">
        <v>54.62</v>
      </c>
    </row>
    <row r="2943" spans="1:12" ht="16" customHeight="1">
      <c r="A2943" t="s">
        <v>458</v>
      </c>
      <c r="B2943" t="s">
        <v>6</v>
      </c>
      <c r="C2943" t="s">
        <v>48</v>
      </c>
      <c r="D2943" s="24">
        <v>46113</v>
      </c>
      <c r="E2943" t="s">
        <v>269</v>
      </c>
      <c r="F2943" t="s">
        <v>4</v>
      </c>
      <c r="G2943" t="s">
        <v>217</v>
      </c>
      <c r="H2943" t="s">
        <v>217</v>
      </c>
      <c r="I2943" t="s">
        <v>267</v>
      </c>
      <c r="J2943" s="25">
        <v>37821</v>
      </c>
      <c r="K2943" s="26">
        <v>6293.84</v>
      </c>
      <c r="L2943" s="26">
        <v>92.72</v>
      </c>
    </row>
    <row r="2944" spans="1:12" ht="16" customHeight="1">
      <c r="A2944" t="s">
        <v>458</v>
      </c>
      <c r="B2944" t="s">
        <v>6</v>
      </c>
      <c r="C2944" t="s">
        <v>48</v>
      </c>
      <c r="D2944" s="24">
        <v>46113</v>
      </c>
      <c r="E2944" t="s">
        <v>228</v>
      </c>
      <c r="F2944" t="s">
        <v>4</v>
      </c>
      <c r="G2944" t="s">
        <v>217</v>
      </c>
      <c r="H2944" t="s">
        <v>217</v>
      </c>
      <c r="I2944" t="s">
        <v>268</v>
      </c>
      <c r="J2944" s="25">
        <v>48381</v>
      </c>
      <c r="K2944" s="26">
        <v>7942.01</v>
      </c>
      <c r="L2944" s="26">
        <v>199.73</v>
      </c>
    </row>
    <row r="2945" spans="1:12" ht="16" customHeight="1">
      <c r="A2945" t="s">
        <v>458</v>
      </c>
      <c r="B2945" t="s">
        <v>6</v>
      </c>
      <c r="C2945" t="s">
        <v>48</v>
      </c>
      <c r="D2945" s="24">
        <v>46113</v>
      </c>
      <c r="E2945" t="s">
        <v>439</v>
      </c>
      <c r="F2945" t="s">
        <v>4</v>
      </c>
      <c r="G2945" t="s">
        <v>217</v>
      </c>
      <c r="H2945" t="s">
        <v>217</v>
      </c>
      <c r="I2945" t="s">
        <v>270</v>
      </c>
      <c r="J2945" s="25">
        <v>0</v>
      </c>
      <c r="K2945" s="26">
        <v>0</v>
      </c>
      <c r="L2945" s="26">
        <v>0</v>
      </c>
    </row>
    <row r="2946" spans="1:12" ht="16" customHeight="1">
      <c r="A2946" t="s">
        <v>458</v>
      </c>
      <c r="B2946" t="s">
        <v>6</v>
      </c>
      <c r="C2946" t="s">
        <v>48</v>
      </c>
      <c r="D2946" s="24">
        <v>46113</v>
      </c>
      <c r="E2946" t="s">
        <v>230</v>
      </c>
      <c r="F2946" t="s">
        <v>4</v>
      </c>
      <c r="G2946" t="s">
        <v>217</v>
      </c>
      <c r="H2946" t="s">
        <v>217</v>
      </c>
      <c r="I2946" t="s">
        <v>271</v>
      </c>
      <c r="J2946" s="25">
        <v>1</v>
      </c>
      <c r="K2946" s="26">
        <v>0.14000000000000001</v>
      </c>
      <c r="L2946" s="26">
        <v>0</v>
      </c>
    </row>
    <row r="2947" spans="1:12" ht="16" customHeight="1">
      <c r="A2947" t="s">
        <v>458</v>
      </c>
      <c r="B2947" t="s">
        <v>6</v>
      </c>
      <c r="C2947" t="s">
        <v>48</v>
      </c>
      <c r="D2947" s="24">
        <v>46113</v>
      </c>
      <c r="E2947" t="s">
        <v>232</v>
      </c>
      <c r="F2947" t="s">
        <v>4</v>
      </c>
      <c r="G2947" t="s">
        <v>217</v>
      </c>
      <c r="H2947" t="s">
        <v>217</v>
      </c>
      <c r="I2947" t="s">
        <v>272</v>
      </c>
      <c r="J2947" s="25">
        <v>1166</v>
      </c>
      <c r="K2947" s="26">
        <v>200.13</v>
      </c>
      <c r="L2947" s="26">
        <v>10.88</v>
      </c>
    </row>
    <row r="2948" spans="1:12" ht="16" customHeight="1">
      <c r="A2948" t="s">
        <v>458</v>
      </c>
      <c r="B2948" t="s">
        <v>6</v>
      </c>
      <c r="C2948" t="s">
        <v>48</v>
      </c>
      <c r="D2948" s="24">
        <v>46113</v>
      </c>
      <c r="E2948" t="s">
        <v>234</v>
      </c>
      <c r="F2948" t="s">
        <v>4</v>
      </c>
      <c r="G2948" t="s">
        <v>217</v>
      </c>
      <c r="H2948" t="s">
        <v>217</v>
      </c>
      <c r="I2948" t="s">
        <v>273</v>
      </c>
      <c r="J2948" s="25">
        <v>3</v>
      </c>
      <c r="K2948" s="26">
        <v>0.44</v>
      </c>
      <c r="L2948" s="26">
        <v>0.02</v>
      </c>
    </row>
    <row r="2949" spans="1:12" ht="16" customHeight="1">
      <c r="A2949" t="s">
        <v>458</v>
      </c>
      <c r="B2949" t="s">
        <v>6</v>
      </c>
      <c r="C2949" t="s">
        <v>48</v>
      </c>
      <c r="D2949" s="24">
        <v>46113</v>
      </c>
      <c r="E2949" t="s">
        <v>236</v>
      </c>
      <c r="F2949" t="s">
        <v>4</v>
      </c>
      <c r="G2949" t="s">
        <v>217</v>
      </c>
      <c r="H2949" t="s">
        <v>217</v>
      </c>
      <c r="I2949" t="s">
        <v>274</v>
      </c>
      <c r="J2949" s="25">
        <v>12</v>
      </c>
      <c r="K2949" s="26">
        <v>2.25</v>
      </c>
      <c r="L2949" s="26">
        <v>0.13</v>
      </c>
    </row>
    <row r="2950" spans="1:12" ht="16" customHeight="1">
      <c r="A2950" t="s">
        <v>458</v>
      </c>
      <c r="B2950" t="s">
        <v>6</v>
      </c>
      <c r="C2950" t="s">
        <v>48</v>
      </c>
      <c r="D2950" s="24">
        <v>46113</v>
      </c>
      <c r="E2950" t="s">
        <v>238</v>
      </c>
      <c r="F2950" t="s">
        <v>4</v>
      </c>
      <c r="G2950" t="s">
        <v>217</v>
      </c>
      <c r="H2950" t="s">
        <v>217</v>
      </c>
      <c r="I2950" t="s">
        <v>275</v>
      </c>
      <c r="J2950" s="25">
        <v>0</v>
      </c>
      <c r="K2950" s="26">
        <v>0</v>
      </c>
      <c r="L2950" s="26">
        <v>0</v>
      </c>
    </row>
    <row r="2951" spans="1:12" ht="16" customHeight="1">
      <c r="A2951" t="s">
        <v>458</v>
      </c>
      <c r="B2951" t="s">
        <v>6</v>
      </c>
      <c r="C2951" t="s">
        <v>48</v>
      </c>
      <c r="D2951" s="24">
        <v>46113</v>
      </c>
      <c r="E2951" t="s">
        <v>240</v>
      </c>
      <c r="F2951" t="s">
        <v>3</v>
      </c>
      <c r="G2951" t="s">
        <v>241</v>
      </c>
      <c r="H2951" t="s">
        <v>241</v>
      </c>
      <c r="I2951" t="s">
        <v>276</v>
      </c>
      <c r="J2951" s="25">
        <v>0</v>
      </c>
      <c r="K2951" s="26">
        <v>0</v>
      </c>
      <c r="L2951" s="26">
        <v>0</v>
      </c>
    </row>
    <row r="2952" spans="1:12" ht="16" customHeight="1">
      <c r="A2952" t="s">
        <v>458</v>
      </c>
      <c r="B2952" t="s">
        <v>6</v>
      </c>
      <c r="C2952" t="s">
        <v>48</v>
      </c>
      <c r="D2952" s="24">
        <v>46113</v>
      </c>
      <c r="E2952" t="s">
        <v>243</v>
      </c>
      <c r="F2952" t="s">
        <v>4</v>
      </c>
      <c r="G2952" t="s">
        <v>217</v>
      </c>
      <c r="H2952" t="s">
        <v>217</v>
      </c>
      <c r="I2952" t="s">
        <v>277</v>
      </c>
      <c r="J2952" s="25">
        <v>0</v>
      </c>
      <c r="K2952" s="26">
        <v>0</v>
      </c>
      <c r="L2952" s="26">
        <v>0</v>
      </c>
    </row>
    <row r="2953" spans="1:12" ht="16" customHeight="1">
      <c r="A2953" t="s">
        <v>458</v>
      </c>
      <c r="B2953" t="s">
        <v>6</v>
      </c>
      <c r="C2953" t="s">
        <v>48</v>
      </c>
      <c r="D2953" s="24">
        <v>46113</v>
      </c>
      <c r="E2953" t="s">
        <v>360</v>
      </c>
      <c r="F2953" t="s">
        <v>4</v>
      </c>
      <c r="G2953" t="s">
        <v>217</v>
      </c>
      <c r="H2953" t="s">
        <v>217</v>
      </c>
      <c r="I2953" t="s">
        <v>278</v>
      </c>
      <c r="J2953" s="25">
        <v>0</v>
      </c>
      <c r="K2953" s="26">
        <v>0</v>
      </c>
      <c r="L2953" s="26">
        <v>0</v>
      </c>
    </row>
    <row r="2954" spans="1:12" ht="16" customHeight="1">
      <c r="A2954" t="s">
        <v>459</v>
      </c>
      <c r="B2954" t="s">
        <v>3</v>
      </c>
      <c r="C2954" t="s">
        <v>49</v>
      </c>
      <c r="D2954" s="24">
        <v>46143</v>
      </c>
      <c r="E2954" t="s">
        <v>436</v>
      </c>
      <c r="F2954" t="s">
        <v>4</v>
      </c>
      <c r="G2954" t="s">
        <v>211</v>
      </c>
      <c r="H2954" t="s">
        <v>211</v>
      </c>
      <c r="I2954" t="s">
        <v>212</v>
      </c>
      <c r="J2954" s="25">
        <v>167478961</v>
      </c>
      <c r="K2954" s="26">
        <v>26340317.809999999</v>
      </c>
      <c r="L2954" s="26">
        <v>69884.89</v>
      </c>
    </row>
    <row r="2955" spans="1:12" ht="16" customHeight="1">
      <c r="A2955" t="s">
        <v>459</v>
      </c>
      <c r="B2955" t="s">
        <v>3</v>
      </c>
      <c r="C2955" t="s">
        <v>49</v>
      </c>
      <c r="D2955" s="24">
        <v>46143</v>
      </c>
      <c r="E2955" t="s">
        <v>443</v>
      </c>
      <c r="F2955" t="s">
        <v>4</v>
      </c>
      <c r="G2955" t="s">
        <v>211</v>
      </c>
      <c r="H2955" t="s">
        <v>211</v>
      </c>
      <c r="I2955" t="s">
        <v>212</v>
      </c>
      <c r="J2955" s="25">
        <v>4575653</v>
      </c>
      <c r="K2955" s="26">
        <v>722377.03</v>
      </c>
      <c r="L2955" s="26">
        <v>3291.61</v>
      </c>
    </row>
    <row r="2956" spans="1:12" ht="16" customHeight="1">
      <c r="A2956" t="s">
        <v>459</v>
      </c>
      <c r="B2956" t="s">
        <v>3</v>
      </c>
      <c r="C2956" t="s">
        <v>49</v>
      </c>
      <c r="D2956" s="24">
        <v>46143</v>
      </c>
      <c r="E2956" t="s">
        <v>447</v>
      </c>
      <c r="F2956" t="s">
        <v>4</v>
      </c>
      <c r="G2956" t="s">
        <v>211</v>
      </c>
      <c r="H2956" t="s">
        <v>211</v>
      </c>
      <c r="I2956" t="s">
        <v>212</v>
      </c>
      <c r="J2956" s="25">
        <v>174465</v>
      </c>
      <c r="K2956" s="26">
        <v>27665.67</v>
      </c>
      <c r="L2956" s="26">
        <v>183.52</v>
      </c>
    </row>
    <row r="2957" spans="1:12" ht="16" customHeight="1">
      <c r="A2957" t="s">
        <v>459</v>
      </c>
      <c r="B2957" t="s">
        <v>3</v>
      </c>
      <c r="C2957" t="s">
        <v>49</v>
      </c>
      <c r="D2957" s="24">
        <v>46143</v>
      </c>
      <c r="E2957" t="s">
        <v>416</v>
      </c>
      <c r="F2957" t="s">
        <v>4</v>
      </c>
      <c r="G2957" t="s">
        <v>217</v>
      </c>
      <c r="H2957" t="s">
        <v>217</v>
      </c>
      <c r="I2957" t="s">
        <v>212</v>
      </c>
      <c r="J2957" s="25">
        <v>1339478</v>
      </c>
      <c r="K2957" s="26">
        <v>212021.78</v>
      </c>
      <c r="L2957" s="26">
        <v>1993.64</v>
      </c>
    </row>
    <row r="2958" spans="1:12" ht="16" customHeight="1">
      <c r="A2958" t="s">
        <v>459</v>
      </c>
      <c r="B2958" t="s">
        <v>3</v>
      </c>
      <c r="C2958" t="s">
        <v>49</v>
      </c>
      <c r="D2958" s="24">
        <v>46143</v>
      </c>
      <c r="E2958" t="s">
        <v>452</v>
      </c>
      <c r="F2958" t="s">
        <v>4</v>
      </c>
      <c r="G2958" t="s">
        <v>211</v>
      </c>
      <c r="H2958" t="s">
        <v>211</v>
      </c>
      <c r="I2958" t="s">
        <v>219</v>
      </c>
      <c r="J2958" s="25">
        <v>9139</v>
      </c>
      <c r="K2958" s="26">
        <v>1454.53</v>
      </c>
      <c r="L2958" s="26">
        <v>13.04</v>
      </c>
    </row>
    <row r="2959" spans="1:12" ht="16" customHeight="1">
      <c r="A2959" t="s">
        <v>459</v>
      </c>
      <c r="B2959" t="s">
        <v>3</v>
      </c>
      <c r="C2959" t="s">
        <v>49</v>
      </c>
      <c r="D2959" s="24">
        <v>46143</v>
      </c>
      <c r="E2959" t="s">
        <v>226</v>
      </c>
      <c r="F2959" t="s">
        <v>4</v>
      </c>
      <c r="G2959" t="s">
        <v>217</v>
      </c>
      <c r="H2959" t="s">
        <v>217</v>
      </c>
      <c r="I2959" t="s">
        <v>219</v>
      </c>
      <c r="J2959" s="25">
        <v>186394</v>
      </c>
      <c r="K2959" s="26">
        <v>29211.96</v>
      </c>
      <c r="L2959" s="26">
        <v>314.02</v>
      </c>
    </row>
    <row r="2960" spans="1:12" ht="16" customHeight="1">
      <c r="A2960" t="s">
        <v>459</v>
      </c>
      <c r="B2960" t="s">
        <v>3</v>
      </c>
      <c r="C2960" t="s">
        <v>49</v>
      </c>
      <c r="D2960" s="24">
        <v>46143</v>
      </c>
      <c r="E2960" t="s">
        <v>457</v>
      </c>
      <c r="F2960" t="s">
        <v>4</v>
      </c>
      <c r="G2960" t="s">
        <v>217</v>
      </c>
      <c r="H2960" t="s">
        <v>217</v>
      </c>
      <c r="I2960" t="s">
        <v>221</v>
      </c>
      <c r="J2960" s="25">
        <v>16168</v>
      </c>
      <c r="K2960" s="26">
        <v>2524.63</v>
      </c>
      <c r="L2960" s="26">
        <v>42.13</v>
      </c>
    </row>
    <row r="2961" spans="1:12" ht="16" customHeight="1">
      <c r="A2961" t="s">
        <v>459</v>
      </c>
      <c r="B2961" t="s">
        <v>3</v>
      </c>
      <c r="C2961" t="s">
        <v>49</v>
      </c>
      <c r="D2961" s="24">
        <v>46143</v>
      </c>
      <c r="E2961" t="s">
        <v>269</v>
      </c>
      <c r="F2961" t="s">
        <v>4</v>
      </c>
      <c r="G2961" t="s">
        <v>217</v>
      </c>
      <c r="H2961" t="s">
        <v>217</v>
      </c>
      <c r="I2961" t="s">
        <v>300</v>
      </c>
      <c r="J2961" s="25">
        <v>13619</v>
      </c>
      <c r="K2961" s="26">
        <v>2148.5</v>
      </c>
      <c r="L2961" s="26">
        <v>28.63</v>
      </c>
    </row>
    <row r="2962" spans="1:12" ht="16" customHeight="1">
      <c r="A2962" t="s">
        <v>459</v>
      </c>
      <c r="B2962" t="s">
        <v>3</v>
      </c>
      <c r="C2962" t="s">
        <v>49</v>
      </c>
      <c r="D2962" s="24">
        <v>46143</v>
      </c>
      <c r="E2962" t="s">
        <v>228</v>
      </c>
      <c r="F2962" t="s">
        <v>4</v>
      </c>
      <c r="G2962" t="s">
        <v>217</v>
      </c>
      <c r="H2962" t="s">
        <v>217</v>
      </c>
      <c r="I2962" t="s">
        <v>301</v>
      </c>
      <c r="J2962" s="25">
        <v>24424</v>
      </c>
      <c r="K2962" s="26">
        <v>3961.79</v>
      </c>
      <c r="L2962" s="26">
        <v>99.45</v>
      </c>
    </row>
    <row r="2963" spans="1:12" ht="16" customHeight="1">
      <c r="A2963" t="s">
        <v>459</v>
      </c>
      <c r="B2963" t="s">
        <v>3</v>
      </c>
      <c r="C2963" t="s">
        <v>49</v>
      </c>
      <c r="D2963" s="24">
        <v>46143</v>
      </c>
      <c r="E2963" t="s">
        <v>439</v>
      </c>
      <c r="F2963" t="s">
        <v>4</v>
      </c>
      <c r="G2963" t="s">
        <v>217</v>
      </c>
      <c r="H2963" t="s">
        <v>217</v>
      </c>
      <c r="I2963" t="s">
        <v>302</v>
      </c>
      <c r="J2963" s="25">
        <v>2</v>
      </c>
      <c r="K2963" s="26">
        <v>0.2</v>
      </c>
      <c r="L2963" s="26">
        <v>0</v>
      </c>
    </row>
    <row r="2964" spans="1:12" ht="16" customHeight="1">
      <c r="A2964" t="s">
        <v>459</v>
      </c>
      <c r="B2964" t="s">
        <v>3</v>
      </c>
      <c r="C2964" t="s">
        <v>49</v>
      </c>
      <c r="D2964" s="24">
        <v>46143</v>
      </c>
      <c r="E2964" t="s">
        <v>230</v>
      </c>
      <c r="F2964" t="s">
        <v>4</v>
      </c>
      <c r="G2964" t="s">
        <v>217</v>
      </c>
      <c r="H2964" t="s">
        <v>217</v>
      </c>
      <c r="I2964" t="s">
        <v>303</v>
      </c>
      <c r="J2964" s="25">
        <v>2</v>
      </c>
      <c r="K2964" s="26">
        <v>0.28000000000000003</v>
      </c>
      <c r="L2964" s="26">
        <v>0</v>
      </c>
    </row>
    <row r="2965" spans="1:12" ht="16" customHeight="1">
      <c r="A2965" t="s">
        <v>459</v>
      </c>
      <c r="B2965" t="s">
        <v>3</v>
      </c>
      <c r="C2965" t="s">
        <v>49</v>
      </c>
      <c r="D2965" s="24">
        <v>46143</v>
      </c>
      <c r="E2965" t="s">
        <v>232</v>
      </c>
      <c r="F2965" t="s">
        <v>4</v>
      </c>
      <c r="G2965" t="s">
        <v>217</v>
      </c>
      <c r="H2965" t="s">
        <v>217</v>
      </c>
      <c r="I2965" t="s">
        <v>304</v>
      </c>
      <c r="J2965" s="25">
        <v>382</v>
      </c>
      <c r="K2965" s="26">
        <v>67.92</v>
      </c>
      <c r="L2965" s="26">
        <v>3.42</v>
      </c>
    </row>
    <row r="2966" spans="1:12" ht="16" customHeight="1">
      <c r="A2966" t="s">
        <v>459</v>
      </c>
      <c r="B2966" t="s">
        <v>3</v>
      </c>
      <c r="C2966" t="s">
        <v>49</v>
      </c>
      <c r="D2966" s="24">
        <v>46143</v>
      </c>
      <c r="E2966" t="s">
        <v>234</v>
      </c>
      <c r="F2966" t="s">
        <v>4</v>
      </c>
      <c r="G2966" t="s">
        <v>217</v>
      </c>
      <c r="H2966" t="s">
        <v>217</v>
      </c>
      <c r="I2966" t="s">
        <v>305</v>
      </c>
      <c r="J2966" s="25">
        <v>0</v>
      </c>
      <c r="K2966" s="26">
        <v>0</v>
      </c>
      <c r="L2966" s="26">
        <v>0</v>
      </c>
    </row>
    <row r="2967" spans="1:12" ht="16" customHeight="1">
      <c r="A2967" t="s">
        <v>459</v>
      </c>
      <c r="B2967" t="s">
        <v>3</v>
      </c>
      <c r="C2967" t="s">
        <v>49</v>
      </c>
      <c r="D2967" s="24">
        <v>46143</v>
      </c>
      <c r="E2967" t="s">
        <v>236</v>
      </c>
      <c r="F2967" t="s">
        <v>4</v>
      </c>
      <c r="G2967" t="s">
        <v>217</v>
      </c>
      <c r="H2967" t="s">
        <v>217</v>
      </c>
      <c r="I2967" t="s">
        <v>306</v>
      </c>
      <c r="J2967" s="25">
        <v>9</v>
      </c>
      <c r="K2967" s="26">
        <v>1.63</v>
      </c>
      <c r="L2967" s="26">
        <v>0.1</v>
      </c>
    </row>
    <row r="2968" spans="1:12" ht="16" customHeight="1">
      <c r="A2968" t="s">
        <v>459</v>
      </c>
      <c r="B2968" t="s">
        <v>3</v>
      </c>
      <c r="C2968" t="s">
        <v>49</v>
      </c>
      <c r="D2968" s="24">
        <v>46143</v>
      </c>
      <c r="E2968" t="s">
        <v>238</v>
      </c>
      <c r="F2968" t="s">
        <v>4</v>
      </c>
      <c r="G2968" t="s">
        <v>217</v>
      </c>
      <c r="H2968" t="s">
        <v>217</v>
      </c>
      <c r="I2968" t="s">
        <v>307</v>
      </c>
      <c r="J2968" s="25">
        <v>0</v>
      </c>
      <c r="K2968" s="26">
        <v>0</v>
      </c>
      <c r="L2968" s="26">
        <v>0</v>
      </c>
    </row>
    <row r="2969" spans="1:12" ht="16" customHeight="1">
      <c r="A2969" t="s">
        <v>459</v>
      </c>
      <c r="B2969" t="s">
        <v>3</v>
      </c>
      <c r="C2969" t="s">
        <v>49</v>
      </c>
      <c r="D2969" s="24">
        <v>46143</v>
      </c>
      <c r="E2969" t="s">
        <v>240</v>
      </c>
      <c r="F2969" t="s">
        <v>3</v>
      </c>
      <c r="G2969" t="s">
        <v>241</v>
      </c>
      <c r="H2969" t="s">
        <v>241</v>
      </c>
      <c r="I2969" t="s">
        <v>308</v>
      </c>
      <c r="J2969" s="25">
        <v>0</v>
      </c>
      <c r="K2969" s="26">
        <v>0</v>
      </c>
      <c r="L2969" s="26">
        <v>0</v>
      </c>
    </row>
    <row r="2970" spans="1:12" ht="16" customHeight="1">
      <c r="A2970" t="s">
        <v>459</v>
      </c>
      <c r="B2970" t="s">
        <v>3</v>
      </c>
      <c r="C2970" t="s">
        <v>49</v>
      </c>
      <c r="D2970" s="24">
        <v>46143</v>
      </c>
      <c r="E2970" t="s">
        <v>243</v>
      </c>
      <c r="F2970" t="s">
        <v>4</v>
      </c>
      <c r="G2970" t="s">
        <v>217</v>
      </c>
      <c r="H2970" t="s">
        <v>217</v>
      </c>
      <c r="I2970" t="s">
        <v>309</v>
      </c>
      <c r="J2970" s="25">
        <v>0</v>
      </c>
      <c r="K2970" s="26">
        <v>0</v>
      </c>
      <c r="L2970" s="26">
        <v>0</v>
      </c>
    </row>
    <row r="2971" spans="1:12" ht="16" customHeight="1">
      <c r="A2971" t="s">
        <v>459</v>
      </c>
      <c r="B2971" t="s">
        <v>3</v>
      </c>
      <c r="C2971" t="s">
        <v>49</v>
      </c>
      <c r="D2971" s="24">
        <v>46143</v>
      </c>
      <c r="E2971" t="s">
        <v>360</v>
      </c>
      <c r="F2971" t="s">
        <v>4</v>
      </c>
      <c r="G2971" t="s">
        <v>217</v>
      </c>
      <c r="H2971" t="s">
        <v>217</v>
      </c>
      <c r="I2971" t="s">
        <v>310</v>
      </c>
      <c r="J2971" s="25">
        <v>0</v>
      </c>
      <c r="K2971" s="26">
        <v>0</v>
      </c>
      <c r="L2971" s="26">
        <v>0</v>
      </c>
    </row>
    <row r="2972" spans="1:12" ht="16" customHeight="1">
      <c r="A2972" t="s">
        <v>436</v>
      </c>
      <c r="B2972" t="s">
        <v>4</v>
      </c>
      <c r="C2972" t="s">
        <v>49</v>
      </c>
      <c r="D2972" s="24">
        <v>46143</v>
      </c>
      <c r="E2972" t="s">
        <v>436</v>
      </c>
      <c r="F2972" t="s">
        <v>4</v>
      </c>
      <c r="G2972" t="s">
        <v>211</v>
      </c>
      <c r="H2972" t="s">
        <v>211</v>
      </c>
      <c r="I2972" t="s">
        <v>212</v>
      </c>
      <c r="J2972" s="25">
        <v>431643349</v>
      </c>
      <c r="K2972" s="26">
        <v>67504475.730000004</v>
      </c>
      <c r="L2972" s="26">
        <v>72956.490000000005</v>
      </c>
    </row>
    <row r="2973" spans="1:12" ht="16" customHeight="1">
      <c r="A2973" t="s">
        <v>436</v>
      </c>
      <c r="B2973" t="s">
        <v>4</v>
      </c>
      <c r="C2973" t="s">
        <v>49</v>
      </c>
      <c r="D2973" s="24">
        <v>46143</v>
      </c>
      <c r="E2973" t="s">
        <v>443</v>
      </c>
      <c r="F2973" t="s">
        <v>4</v>
      </c>
      <c r="G2973" t="s">
        <v>211</v>
      </c>
      <c r="H2973" t="s">
        <v>211</v>
      </c>
      <c r="I2973" t="s">
        <v>212</v>
      </c>
      <c r="J2973" s="25">
        <v>9579753</v>
      </c>
      <c r="K2973" s="26">
        <v>1506165.63</v>
      </c>
      <c r="L2973" s="26">
        <v>6180.18</v>
      </c>
    </row>
    <row r="2974" spans="1:12" ht="16" customHeight="1">
      <c r="A2974" t="s">
        <v>436</v>
      </c>
      <c r="B2974" t="s">
        <v>4</v>
      </c>
      <c r="C2974" t="s">
        <v>49</v>
      </c>
      <c r="D2974" s="24">
        <v>46143</v>
      </c>
      <c r="E2974" t="s">
        <v>447</v>
      </c>
      <c r="F2974" t="s">
        <v>4</v>
      </c>
      <c r="G2974" t="s">
        <v>211</v>
      </c>
      <c r="H2974" t="s">
        <v>211</v>
      </c>
      <c r="I2974" t="s">
        <v>212</v>
      </c>
      <c r="J2974" s="25">
        <v>319797</v>
      </c>
      <c r="K2974" s="26">
        <v>50478.85</v>
      </c>
      <c r="L2974" s="26">
        <v>268.43</v>
      </c>
    </row>
    <row r="2975" spans="1:12" ht="16" customHeight="1">
      <c r="A2975" t="s">
        <v>436</v>
      </c>
      <c r="B2975" t="s">
        <v>4</v>
      </c>
      <c r="C2975" t="s">
        <v>49</v>
      </c>
      <c r="D2975" s="24">
        <v>46143</v>
      </c>
      <c r="E2975" t="s">
        <v>416</v>
      </c>
      <c r="F2975" t="s">
        <v>4</v>
      </c>
      <c r="G2975" t="s">
        <v>217</v>
      </c>
      <c r="H2975" t="s">
        <v>217</v>
      </c>
      <c r="I2975" t="s">
        <v>212</v>
      </c>
      <c r="J2975" s="25">
        <v>1144400</v>
      </c>
      <c r="K2975" s="26">
        <v>181024.88</v>
      </c>
      <c r="L2975" s="26">
        <v>1660.17</v>
      </c>
    </row>
    <row r="2976" spans="1:12" ht="16" customHeight="1">
      <c r="A2976" t="s">
        <v>436</v>
      </c>
      <c r="B2976" t="s">
        <v>4</v>
      </c>
      <c r="C2976" t="s">
        <v>49</v>
      </c>
      <c r="D2976" s="24">
        <v>46143</v>
      </c>
      <c r="E2976" t="s">
        <v>452</v>
      </c>
      <c r="F2976" t="s">
        <v>4</v>
      </c>
      <c r="G2976" t="s">
        <v>211</v>
      </c>
      <c r="H2976" t="s">
        <v>211</v>
      </c>
      <c r="I2976" t="s">
        <v>219</v>
      </c>
      <c r="J2976" s="25">
        <v>11254</v>
      </c>
      <c r="K2976" s="26">
        <v>1779.25</v>
      </c>
      <c r="L2976" s="26">
        <v>13.61</v>
      </c>
    </row>
    <row r="2977" spans="1:12" ht="16" customHeight="1">
      <c r="A2977" t="s">
        <v>436</v>
      </c>
      <c r="B2977" t="s">
        <v>4</v>
      </c>
      <c r="C2977" t="s">
        <v>49</v>
      </c>
      <c r="D2977" s="24">
        <v>46143</v>
      </c>
      <c r="E2977" t="s">
        <v>226</v>
      </c>
      <c r="F2977" t="s">
        <v>4</v>
      </c>
      <c r="G2977" t="s">
        <v>217</v>
      </c>
      <c r="H2977" t="s">
        <v>217</v>
      </c>
      <c r="I2977" t="s">
        <v>219</v>
      </c>
      <c r="J2977" s="25">
        <v>171921</v>
      </c>
      <c r="K2977" s="26">
        <v>27584.2</v>
      </c>
      <c r="L2977" s="26">
        <v>323.94</v>
      </c>
    </row>
    <row r="2978" spans="1:12" ht="16" customHeight="1">
      <c r="A2978" t="s">
        <v>436</v>
      </c>
      <c r="B2978" t="s">
        <v>4</v>
      </c>
      <c r="C2978" t="s">
        <v>49</v>
      </c>
      <c r="D2978" s="24">
        <v>46143</v>
      </c>
      <c r="E2978" t="s">
        <v>457</v>
      </c>
      <c r="F2978" t="s">
        <v>4</v>
      </c>
      <c r="G2978" t="s">
        <v>217</v>
      </c>
      <c r="H2978" t="s">
        <v>217</v>
      </c>
      <c r="I2978" t="s">
        <v>221</v>
      </c>
      <c r="J2978" s="25">
        <v>13769</v>
      </c>
      <c r="K2978" s="26">
        <v>2213.2800000000002</v>
      </c>
      <c r="L2978" s="26">
        <v>41.94</v>
      </c>
    </row>
    <row r="2979" spans="1:12" ht="16" customHeight="1">
      <c r="A2979" t="s">
        <v>436</v>
      </c>
      <c r="B2979" t="s">
        <v>4</v>
      </c>
      <c r="C2979" t="s">
        <v>49</v>
      </c>
      <c r="D2979" s="24">
        <v>46143</v>
      </c>
      <c r="E2979" t="s">
        <v>269</v>
      </c>
      <c r="F2979" t="s">
        <v>4</v>
      </c>
      <c r="G2979" t="s">
        <v>217</v>
      </c>
      <c r="H2979" t="s">
        <v>217</v>
      </c>
      <c r="I2979" t="s">
        <v>300</v>
      </c>
      <c r="J2979" s="25">
        <v>10113</v>
      </c>
      <c r="K2979" s="26">
        <v>1668.47</v>
      </c>
      <c r="L2979" s="26">
        <v>28.25</v>
      </c>
    </row>
    <row r="2980" spans="1:12" ht="16" customHeight="1">
      <c r="A2980" t="s">
        <v>436</v>
      </c>
      <c r="B2980" t="s">
        <v>4</v>
      </c>
      <c r="C2980" t="s">
        <v>49</v>
      </c>
      <c r="D2980" s="24">
        <v>46143</v>
      </c>
      <c r="E2980" t="s">
        <v>228</v>
      </c>
      <c r="F2980" t="s">
        <v>4</v>
      </c>
      <c r="G2980" t="s">
        <v>217</v>
      </c>
      <c r="H2980" t="s">
        <v>217</v>
      </c>
      <c r="I2980" t="s">
        <v>301</v>
      </c>
      <c r="J2980" s="25">
        <v>20552</v>
      </c>
      <c r="K2980" s="26">
        <v>3427.1</v>
      </c>
      <c r="L2980" s="26">
        <v>99.33</v>
      </c>
    </row>
    <row r="2981" spans="1:12" ht="16" customHeight="1">
      <c r="A2981" t="s">
        <v>436</v>
      </c>
      <c r="B2981" t="s">
        <v>4</v>
      </c>
      <c r="C2981" t="s">
        <v>49</v>
      </c>
      <c r="D2981" s="24">
        <v>46143</v>
      </c>
      <c r="E2981" t="s">
        <v>439</v>
      </c>
      <c r="F2981" t="s">
        <v>4</v>
      </c>
      <c r="G2981" t="s">
        <v>217</v>
      </c>
      <c r="H2981" t="s">
        <v>217</v>
      </c>
      <c r="I2981" t="s">
        <v>302</v>
      </c>
      <c r="J2981" s="25">
        <v>0</v>
      </c>
      <c r="K2981" s="26">
        <v>0</v>
      </c>
      <c r="L2981" s="26">
        <v>0</v>
      </c>
    </row>
    <row r="2982" spans="1:12" ht="16" customHeight="1">
      <c r="A2982" t="s">
        <v>436</v>
      </c>
      <c r="B2982" t="s">
        <v>4</v>
      </c>
      <c r="C2982" t="s">
        <v>49</v>
      </c>
      <c r="D2982" s="24">
        <v>46143</v>
      </c>
      <c r="E2982" t="s">
        <v>230</v>
      </c>
      <c r="F2982" t="s">
        <v>4</v>
      </c>
      <c r="G2982" t="s">
        <v>217</v>
      </c>
      <c r="H2982" t="s">
        <v>217</v>
      </c>
      <c r="I2982" t="s">
        <v>303</v>
      </c>
      <c r="J2982" s="25">
        <v>4</v>
      </c>
      <c r="K2982" s="26">
        <v>0.56000000000000005</v>
      </c>
      <c r="L2982" s="26">
        <v>0.01</v>
      </c>
    </row>
    <row r="2983" spans="1:12" ht="16" customHeight="1">
      <c r="A2983" t="s">
        <v>436</v>
      </c>
      <c r="B2983" t="s">
        <v>4</v>
      </c>
      <c r="C2983" t="s">
        <v>49</v>
      </c>
      <c r="D2983" s="24">
        <v>46143</v>
      </c>
      <c r="E2983" t="s">
        <v>232</v>
      </c>
      <c r="F2983" t="s">
        <v>4</v>
      </c>
      <c r="G2983" t="s">
        <v>217</v>
      </c>
      <c r="H2983" t="s">
        <v>217</v>
      </c>
      <c r="I2983" t="s">
        <v>304</v>
      </c>
      <c r="J2983" s="25">
        <v>346</v>
      </c>
      <c r="K2983" s="26">
        <v>58.53</v>
      </c>
      <c r="L2983" s="26">
        <v>3.05</v>
      </c>
    </row>
    <row r="2984" spans="1:12" ht="16" customHeight="1">
      <c r="A2984" t="s">
        <v>436</v>
      </c>
      <c r="B2984" t="s">
        <v>4</v>
      </c>
      <c r="C2984" t="s">
        <v>49</v>
      </c>
      <c r="D2984" s="24">
        <v>46143</v>
      </c>
      <c r="E2984" t="s">
        <v>234</v>
      </c>
      <c r="F2984" t="s">
        <v>4</v>
      </c>
      <c r="G2984" t="s">
        <v>217</v>
      </c>
      <c r="H2984" t="s">
        <v>217</v>
      </c>
      <c r="I2984" t="s">
        <v>305</v>
      </c>
      <c r="J2984" s="25">
        <v>1</v>
      </c>
      <c r="K2984" s="26">
        <v>0.15</v>
      </c>
      <c r="L2984" s="26">
        <v>0</v>
      </c>
    </row>
    <row r="2985" spans="1:12" ht="16" customHeight="1">
      <c r="A2985" t="s">
        <v>436</v>
      </c>
      <c r="B2985" t="s">
        <v>4</v>
      </c>
      <c r="C2985" t="s">
        <v>49</v>
      </c>
      <c r="D2985" s="24">
        <v>46143</v>
      </c>
      <c r="E2985" t="s">
        <v>236</v>
      </c>
      <c r="F2985" t="s">
        <v>4</v>
      </c>
      <c r="G2985" t="s">
        <v>217</v>
      </c>
      <c r="H2985" t="s">
        <v>217</v>
      </c>
      <c r="I2985" t="s">
        <v>306</v>
      </c>
      <c r="J2985" s="25">
        <v>7</v>
      </c>
      <c r="K2985" s="26">
        <v>1.32</v>
      </c>
      <c r="L2985" s="26">
        <v>0.09</v>
      </c>
    </row>
    <row r="2986" spans="1:12" ht="16" customHeight="1">
      <c r="A2986" t="s">
        <v>436</v>
      </c>
      <c r="B2986" t="s">
        <v>4</v>
      </c>
      <c r="C2986" t="s">
        <v>49</v>
      </c>
      <c r="D2986" s="24">
        <v>46143</v>
      </c>
      <c r="E2986" t="s">
        <v>238</v>
      </c>
      <c r="F2986" t="s">
        <v>4</v>
      </c>
      <c r="G2986" t="s">
        <v>217</v>
      </c>
      <c r="H2986" t="s">
        <v>217</v>
      </c>
      <c r="I2986" t="s">
        <v>307</v>
      </c>
      <c r="J2986" s="25">
        <v>0</v>
      </c>
      <c r="K2986" s="26">
        <v>0</v>
      </c>
      <c r="L2986" s="26">
        <v>0</v>
      </c>
    </row>
    <row r="2987" spans="1:12" ht="16" customHeight="1">
      <c r="A2987" t="s">
        <v>436</v>
      </c>
      <c r="B2987" t="s">
        <v>4</v>
      </c>
      <c r="C2987" t="s">
        <v>49</v>
      </c>
      <c r="D2987" s="24">
        <v>46143</v>
      </c>
      <c r="E2987" t="s">
        <v>240</v>
      </c>
      <c r="F2987" t="s">
        <v>3</v>
      </c>
      <c r="G2987" t="s">
        <v>241</v>
      </c>
      <c r="H2987" t="s">
        <v>241</v>
      </c>
      <c r="I2987" t="s">
        <v>308</v>
      </c>
      <c r="J2987" s="25">
        <v>0</v>
      </c>
      <c r="K2987" s="26">
        <v>0</v>
      </c>
      <c r="L2987" s="26">
        <v>0</v>
      </c>
    </row>
    <row r="2988" spans="1:12" ht="16" customHeight="1">
      <c r="A2988" t="s">
        <v>436</v>
      </c>
      <c r="B2988" t="s">
        <v>4</v>
      </c>
      <c r="C2988" t="s">
        <v>49</v>
      </c>
      <c r="D2988" s="24">
        <v>46143</v>
      </c>
      <c r="E2988" t="s">
        <v>243</v>
      </c>
      <c r="F2988" t="s">
        <v>4</v>
      </c>
      <c r="G2988" t="s">
        <v>217</v>
      </c>
      <c r="H2988" t="s">
        <v>217</v>
      </c>
      <c r="I2988" t="s">
        <v>309</v>
      </c>
      <c r="J2988" s="25">
        <v>0</v>
      </c>
      <c r="K2988" s="26">
        <v>0</v>
      </c>
      <c r="L2988" s="26">
        <v>0</v>
      </c>
    </row>
    <row r="2989" spans="1:12" ht="16" customHeight="1">
      <c r="A2989" t="s">
        <v>436</v>
      </c>
      <c r="B2989" t="s">
        <v>4</v>
      </c>
      <c r="C2989" t="s">
        <v>49</v>
      </c>
      <c r="D2989" s="24">
        <v>46143</v>
      </c>
      <c r="E2989" t="s">
        <v>360</v>
      </c>
      <c r="F2989" t="s">
        <v>4</v>
      </c>
      <c r="G2989" t="s">
        <v>217</v>
      </c>
      <c r="H2989" t="s">
        <v>217</v>
      </c>
      <c r="I2989" t="s">
        <v>310</v>
      </c>
      <c r="J2989" s="25">
        <v>0</v>
      </c>
      <c r="K2989" s="26">
        <v>0</v>
      </c>
      <c r="L2989" s="26">
        <v>0</v>
      </c>
    </row>
    <row r="2990" spans="1:12" ht="16" customHeight="1">
      <c r="A2990" t="s">
        <v>460</v>
      </c>
      <c r="B2990" t="s">
        <v>5</v>
      </c>
      <c r="C2990" t="s">
        <v>49</v>
      </c>
      <c r="D2990" s="24">
        <v>46143</v>
      </c>
      <c r="E2990" t="s">
        <v>443</v>
      </c>
      <c r="F2990" t="s">
        <v>4</v>
      </c>
      <c r="G2990" t="s">
        <v>211</v>
      </c>
      <c r="H2990" t="s">
        <v>211</v>
      </c>
      <c r="I2990" t="s">
        <v>212</v>
      </c>
      <c r="J2990" s="25">
        <v>57009929</v>
      </c>
      <c r="K2990" s="26">
        <v>8986797.0600000005</v>
      </c>
      <c r="L2990" s="26">
        <v>39716.68</v>
      </c>
    </row>
    <row r="2991" spans="1:12" ht="16" customHeight="1">
      <c r="A2991" t="s">
        <v>460</v>
      </c>
      <c r="B2991" t="s">
        <v>5</v>
      </c>
      <c r="C2991" t="s">
        <v>49</v>
      </c>
      <c r="D2991" s="24">
        <v>46143</v>
      </c>
      <c r="E2991" t="s">
        <v>447</v>
      </c>
      <c r="F2991" t="s">
        <v>4</v>
      </c>
      <c r="G2991" t="s">
        <v>211</v>
      </c>
      <c r="H2991" t="s">
        <v>211</v>
      </c>
      <c r="I2991" t="s">
        <v>212</v>
      </c>
      <c r="J2991" s="25">
        <v>1279622</v>
      </c>
      <c r="K2991" s="26">
        <v>202053.53</v>
      </c>
      <c r="L2991" s="26">
        <v>953.66</v>
      </c>
    </row>
    <row r="2992" spans="1:12" ht="16" customHeight="1">
      <c r="A2992" t="s">
        <v>460</v>
      </c>
      <c r="B2992" t="s">
        <v>5</v>
      </c>
      <c r="C2992" t="s">
        <v>49</v>
      </c>
      <c r="D2992" s="24">
        <v>46143</v>
      </c>
      <c r="E2992" t="s">
        <v>416</v>
      </c>
      <c r="F2992" t="s">
        <v>4</v>
      </c>
      <c r="G2992" t="s">
        <v>217</v>
      </c>
      <c r="H2992" t="s">
        <v>217</v>
      </c>
      <c r="I2992" t="s">
        <v>212</v>
      </c>
      <c r="J2992" s="25">
        <v>1825071</v>
      </c>
      <c r="K2992" s="26">
        <v>287499.13</v>
      </c>
      <c r="L2992" s="26">
        <v>2310.87</v>
      </c>
    </row>
    <row r="2993" spans="1:12" ht="16" customHeight="1">
      <c r="A2993" t="s">
        <v>460</v>
      </c>
      <c r="B2993" t="s">
        <v>5</v>
      </c>
      <c r="C2993" t="s">
        <v>49</v>
      </c>
      <c r="D2993" s="24">
        <v>46143</v>
      </c>
      <c r="E2993" t="s">
        <v>452</v>
      </c>
      <c r="F2993" t="s">
        <v>4</v>
      </c>
      <c r="G2993" t="s">
        <v>211</v>
      </c>
      <c r="H2993" t="s">
        <v>211</v>
      </c>
      <c r="I2993" t="s">
        <v>219</v>
      </c>
      <c r="J2993" s="25">
        <v>23689</v>
      </c>
      <c r="K2993" s="26">
        <v>3729.01</v>
      </c>
      <c r="L2993" s="26">
        <v>29.97</v>
      </c>
    </row>
    <row r="2994" spans="1:12" ht="16" customHeight="1">
      <c r="A2994" t="s">
        <v>460</v>
      </c>
      <c r="B2994" t="s">
        <v>5</v>
      </c>
      <c r="C2994" t="s">
        <v>49</v>
      </c>
      <c r="D2994" s="24">
        <v>46143</v>
      </c>
      <c r="E2994" t="s">
        <v>461</v>
      </c>
      <c r="F2994" t="s">
        <v>4</v>
      </c>
      <c r="G2994" t="s">
        <v>211</v>
      </c>
      <c r="H2994" t="s">
        <v>211</v>
      </c>
      <c r="I2994" t="s">
        <v>219</v>
      </c>
      <c r="J2994" s="25">
        <v>306</v>
      </c>
      <c r="K2994" s="26">
        <v>48.53</v>
      </c>
      <c r="L2994" s="26">
        <v>0.64</v>
      </c>
    </row>
    <row r="2995" spans="1:12" ht="16" customHeight="1">
      <c r="A2995" t="s">
        <v>460</v>
      </c>
      <c r="B2995" t="s">
        <v>5</v>
      </c>
      <c r="C2995" t="s">
        <v>49</v>
      </c>
      <c r="D2995" s="24">
        <v>46143</v>
      </c>
      <c r="E2995" t="s">
        <v>226</v>
      </c>
      <c r="F2995" t="s">
        <v>4</v>
      </c>
      <c r="G2995" t="s">
        <v>217</v>
      </c>
      <c r="H2995" t="s">
        <v>217</v>
      </c>
      <c r="I2995" t="s">
        <v>219</v>
      </c>
      <c r="J2995" s="25">
        <v>288972</v>
      </c>
      <c r="K2995" s="26">
        <v>45352.91</v>
      </c>
      <c r="L2995" s="26">
        <v>442.17</v>
      </c>
    </row>
    <row r="2996" spans="1:12" ht="16" customHeight="1">
      <c r="A2996" t="s">
        <v>460</v>
      </c>
      <c r="B2996" t="s">
        <v>5</v>
      </c>
      <c r="C2996" t="s">
        <v>49</v>
      </c>
      <c r="D2996" s="24">
        <v>46143</v>
      </c>
      <c r="E2996" t="s">
        <v>457</v>
      </c>
      <c r="F2996" t="s">
        <v>4</v>
      </c>
      <c r="G2996" t="s">
        <v>217</v>
      </c>
      <c r="H2996" t="s">
        <v>217</v>
      </c>
      <c r="I2996" t="s">
        <v>221</v>
      </c>
      <c r="J2996" s="25">
        <v>20936</v>
      </c>
      <c r="K2996" s="26">
        <v>3318.83</v>
      </c>
      <c r="L2996" s="26">
        <v>58.34</v>
      </c>
    </row>
    <row r="2997" spans="1:12" ht="16" customHeight="1">
      <c r="A2997" t="s">
        <v>460</v>
      </c>
      <c r="B2997" t="s">
        <v>5</v>
      </c>
      <c r="C2997" t="s">
        <v>49</v>
      </c>
      <c r="D2997" s="24">
        <v>46143</v>
      </c>
      <c r="E2997" t="s">
        <v>269</v>
      </c>
      <c r="F2997" t="s">
        <v>4</v>
      </c>
      <c r="G2997" t="s">
        <v>217</v>
      </c>
      <c r="H2997" t="s">
        <v>217</v>
      </c>
      <c r="I2997" t="s">
        <v>300</v>
      </c>
      <c r="J2997" s="25">
        <v>25373</v>
      </c>
      <c r="K2997" s="26">
        <v>4162.76</v>
      </c>
      <c r="L2997" s="26">
        <v>59.42</v>
      </c>
    </row>
    <row r="2998" spans="1:12" ht="16" customHeight="1">
      <c r="A2998" t="s">
        <v>460</v>
      </c>
      <c r="B2998" t="s">
        <v>5</v>
      </c>
      <c r="C2998" t="s">
        <v>49</v>
      </c>
      <c r="D2998" s="24">
        <v>46143</v>
      </c>
      <c r="E2998" t="s">
        <v>228</v>
      </c>
      <c r="F2998" t="s">
        <v>4</v>
      </c>
      <c r="G2998" t="s">
        <v>217</v>
      </c>
      <c r="H2998" t="s">
        <v>217</v>
      </c>
      <c r="I2998" t="s">
        <v>301</v>
      </c>
      <c r="J2998" s="25">
        <v>34802</v>
      </c>
      <c r="K2998" s="26">
        <v>5601.82</v>
      </c>
      <c r="L2998" s="26">
        <v>140.34</v>
      </c>
    </row>
    <row r="2999" spans="1:12" ht="16" customHeight="1">
      <c r="A2999" t="s">
        <v>460</v>
      </c>
      <c r="B2999" t="s">
        <v>5</v>
      </c>
      <c r="C2999" t="s">
        <v>49</v>
      </c>
      <c r="D2999" s="24">
        <v>46143</v>
      </c>
      <c r="E2999" t="s">
        <v>439</v>
      </c>
      <c r="F2999" t="s">
        <v>4</v>
      </c>
      <c r="G2999" t="s">
        <v>217</v>
      </c>
      <c r="H2999" t="s">
        <v>217</v>
      </c>
      <c r="I2999" t="s">
        <v>302</v>
      </c>
      <c r="J2999" s="25">
        <v>0</v>
      </c>
      <c r="K2999" s="26">
        <v>0</v>
      </c>
      <c r="L2999" s="26">
        <v>0</v>
      </c>
    </row>
    <row r="3000" spans="1:12" ht="16" customHeight="1">
      <c r="A3000" t="s">
        <v>460</v>
      </c>
      <c r="B3000" t="s">
        <v>5</v>
      </c>
      <c r="C3000" t="s">
        <v>49</v>
      </c>
      <c r="D3000" s="24">
        <v>46143</v>
      </c>
      <c r="E3000" t="s">
        <v>230</v>
      </c>
      <c r="F3000" t="s">
        <v>4</v>
      </c>
      <c r="G3000" t="s">
        <v>217</v>
      </c>
      <c r="H3000" t="s">
        <v>217</v>
      </c>
      <c r="I3000" t="s">
        <v>303</v>
      </c>
      <c r="J3000" s="25">
        <v>1</v>
      </c>
      <c r="K3000" s="26">
        <v>0.14000000000000001</v>
      </c>
      <c r="L3000" s="26">
        <v>0</v>
      </c>
    </row>
    <row r="3001" spans="1:12" ht="16" customHeight="1">
      <c r="A3001" t="s">
        <v>460</v>
      </c>
      <c r="B3001" t="s">
        <v>5</v>
      </c>
      <c r="C3001" t="s">
        <v>49</v>
      </c>
      <c r="D3001" s="24">
        <v>46143</v>
      </c>
      <c r="E3001" t="s">
        <v>232</v>
      </c>
      <c r="F3001" t="s">
        <v>4</v>
      </c>
      <c r="G3001" t="s">
        <v>217</v>
      </c>
      <c r="H3001" t="s">
        <v>217</v>
      </c>
      <c r="I3001" t="s">
        <v>304</v>
      </c>
      <c r="J3001" s="25">
        <v>314</v>
      </c>
      <c r="K3001" s="26">
        <v>54.42</v>
      </c>
      <c r="L3001" s="26">
        <v>3.09</v>
      </c>
    </row>
    <row r="3002" spans="1:12" ht="16" customHeight="1">
      <c r="A3002" t="s">
        <v>460</v>
      </c>
      <c r="B3002" t="s">
        <v>5</v>
      </c>
      <c r="C3002" t="s">
        <v>49</v>
      </c>
      <c r="D3002" s="24">
        <v>46143</v>
      </c>
      <c r="E3002" t="s">
        <v>234</v>
      </c>
      <c r="F3002" t="s">
        <v>4</v>
      </c>
      <c r="G3002" t="s">
        <v>217</v>
      </c>
      <c r="H3002" t="s">
        <v>217</v>
      </c>
      <c r="I3002" t="s">
        <v>305</v>
      </c>
      <c r="J3002" s="25">
        <v>1</v>
      </c>
      <c r="K3002" s="26">
        <v>0.15</v>
      </c>
      <c r="L3002" s="26">
        <v>0</v>
      </c>
    </row>
    <row r="3003" spans="1:12" ht="16" customHeight="1">
      <c r="A3003" t="s">
        <v>460</v>
      </c>
      <c r="B3003" t="s">
        <v>5</v>
      </c>
      <c r="C3003" t="s">
        <v>49</v>
      </c>
      <c r="D3003" s="24">
        <v>46143</v>
      </c>
      <c r="E3003" t="s">
        <v>236</v>
      </c>
      <c r="F3003" t="s">
        <v>4</v>
      </c>
      <c r="G3003" t="s">
        <v>217</v>
      </c>
      <c r="H3003" t="s">
        <v>217</v>
      </c>
      <c r="I3003" t="s">
        <v>306</v>
      </c>
      <c r="J3003" s="25">
        <v>25</v>
      </c>
      <c r="K3003" s="26">
        <v>4.5999999999999996</v>
      </c>
      <c r="L3003" s="26">
        <v>0.28000000000000003</v>
      </c>
    </row>
    <row r="3004" spans="1:12" ht="16" customHeight="1">
      <c r="A3004" t="s">
        <v>460</v>
      </c>
      <c r="B3004" t="s">
        <v>5</v>
      </c>
      <c r="C3004" t="s">
        <v>49</v>
      </c>
      <c r="D3004" s="24">
        <v>46143</v>
      </c>
      <c r="E3004" t="s">
        <v>238</v>
      </c>
      <c r="F3004" t="s">
        <v>4</v>
      </c>
      <c r="G3004" t="s">
        <v>217</v>
      </c>
      <c r="H3004" t="s">
        <v>217</v>
      </c>
      <c r="I3004" t="s">
        <v>307</v>
      </c>
      <c r="J3004" s="25">
        <v>0</v>
      </c>
      <c r="K3004" s="26">
        <v>0</v>
      </c>
      <c r="L3004" s="26">
        <v>0</v>
      </c>
    </row>
    <row r="3005" spans="1:12" ht="16" customHeight="1">
      <c r="A3005" t="s">
        <v>460</v>
      </c>
      <c r="B3005" t="s">
        <v>5</v>
      </c>
      <c r="C3005" t="s">
        <v>49</v>
      </c>
      <c r="D3005" s="24">
        <v>46143</v>
      </c>
      <c r="E3005" t="s">
        <v>240</v>
      </c>
      <c r="F3005" t="s">
        <v>3</v>
      </c>
      <c r="G3005" t="s">
        <v>241</v>
      </c>
      <c r="H3005" t="s">
        <v>241</v>
      </c>
      <c r="I3005" t="s">
        <v>308</v>
      </c>
      <c r="J3005" s="25">
        <v>0</v>
      </c>
      <c r="K3005" s="26">
        <v>0</v>
      </c>
      <c r="L3005" s="26">
        <v>0</v>
      </c>
    </row>
    <row r="3006" spans="1:12" ht="16" customHeight="1">
      <c r="A3006" t="s">
        <v>460</v>
      </c>
      <c r="B3006" t="s">
        <v>5</v>
      </c>
      <c r="C3006" t="s">
        <v>49</v>
      </c>
      <c r="D3006" s="24">
        <v>46143</v>
      </c>
      <c r="E3006" t="s">
        <v>243</v>
      </c>
      <c r="F3006" t="s">
        <v>4</v>
      </c>
      <c r="G3006" t="s">
        <v>217</v>
      </c>
      <c r="H3006" t="s">
        <v>217</v>
      </c>
      <c r="I3006" t="s">
        <v>309</v>
      </c>
      <c r="J3006" s="25">
        <v>0</v>
      </c>
      <c r="K3006" s="26">
        <v>0</v>
      </c>
      <c r="L3006" s="26">
        <v>0</v>
      </c>
    </row>
    <row r="3007" spans="1:12" ht="16" customHeight="1">
      <c r="A3007" t="s">
        <v>460</v>
      </c>
      <c r="B3007" t="s">
        <v>5</v>
      </c>
      <c r="C3007" t="s">
        <v>49</v>
      </c>
      <c r="D3007" s="24">
        <v>46143</v>
      </c>
      <c r="E3007" t="s">
        <v>360</v>
      </c>
      <c r="F3007" t="s">
        <v>4</v>
      </c>
      <c r="G3007" t="s">
        <v>217</v>
      </c>
      <c r="H3007" t="s">
        <v>217</v>
      </c>
      <c r="I3007" t="s">
        <v>310</v>
      </c>
      <c r="J3007" s="25">
        <v>0</v>
      </c>
      <c r="K3007" s="26">
        <v>0</v>
      </c>
      <c r="L3007" s="26">
        <v>0</v>
      </c>
    </row>
    <row r="3008" spans="1:12" ht="16" customHeight="1">
      <c r="A3008" t="s">
        <v>462</v>
      </c>
      <c r="B3008" t="s">
        <v>6</v>
      </c>
      <c r="C3008" t="s">
        <v>49</v>
      </c>
      <c r="D3008" s="24">
        <v>46143</v>
      </c>
      <c r="E3008" t="s">
        <v>443</v>
      </c>
      <c r="F3008" t="s">
        <v>4</v>
      </c>
      <c r="G3008" t="s">
        <v>211</v>
      </c>
      <c r="H3008" t="s">
        <v>211</v>
      </c>
      <c r="I3008" t="s">
        <v>212</v>
      </c>
      <c r="J3008" s="25">
        <v>47633545</v>
      </c>
      <c r="K3008" s="26">
        <v>7570107.8600000003</v>
      </c>
      <c r="L3008" s="26">
        <v>31164.639999999999</v>
      </c>
    </row>
    <row r="3009" spans="1:12" ht="16" customHeight="1">
      <c r="A3009" t="s">
        <v>462</v>
      </c>
      <c r="B3009" t="s">
        <v>6</v>
      </c>
      <c r="C3009" t="s">
        <v>49</v>
      </c>
      <c r="D3009" s="24">
        <v>46143</v>
      </c>
      <c r="E3009" t="s">
        <v>447</v>
      </c>
      <c r="F3009" t="s">
        <v>4</v>
      </c>
      <c r="G3009" t="s">
        <v>211</v>
      </c>
      <c r="H3009" t="s">
        <v>211</v>
      </c>
      <c r="I3009" t="s">
        <v>212</v>
      </c>
      <c r="J3009" s="25">
        <v>1359417</v>
      </c>
      <c r="K3009" s="26">
        <v>215848.89</v>
      </c>
      <c r="L3009" s="26">
        <v>1030.8800000000001</v>
      </c>
    </row>
    <row r="3010" spans="1:12" ht="16" customHeight="1">
      <c r="A3010" t="s">
        <v>462</v>
      </c>
      <c r="B3010" t="s">
        <v>6</v>
      </c>
      <c r="C3010" t="s">
        <v>49</v>
      </c>
      <c r="D3010" s="24">
        <v>46143</v>
      </c>
      <c r="E3010" t="s">
        <v>416</v>
      </c>
      <c r="F3010" t="s">
        <v>4</v>
      </c>
      <c r="G3010" t="s">
        <v>217</v>
      </c>
      <c r="H3010" t="s">
        <v>217</v>
      </c>
      <c r="I3010" t="s">
        <v>212</v>
      </c>
      <c r="J3010" s="25">
        <v>1363804</v>
      </c>
      <c r="K3010" s="26">
        <v>216653.26</v>
      </c>
      <c r="L3010" s="26">
        <v>1636.95</v>
      </c>
    </row>
    <row r="3011" spans="1:12" ht="16" customHeight="1">
      <c r="A3011" t="s">
        <v>462</v>
      </c>
      <c r="B3011" t="s">
        <v>6</v>
      </c>
      <c r="C3011" t="s">
        <v>49</v>
      </c>
      <c r="D3011" s="24">
        <v>46143</v>
      </c>
      <c r="E3011" t="s">
        <v>452</v>
      </c>
      <c r="F3011" t="s">
        <v>4</v>
      </c>
      <c r="G3011" t="s">
        <v>211</v>
      </c>
      <c r="H3011" t="s">
        <v>211</v>
      </c>
      <c r="I3011" t="s">
        <v>219</v>
      </c>
      <c r="J3011" s="25">
        <v>21201</v>
      </c>
      <c r="K3011" s="26">
        <v>3368.44</v>
      </c>
      <c r="L3011" s="26">
        <v>27.81</v>
      </c>
    </row>
    <row r="3012" spans="1:12" ht="16" customHeight="1">
      <c r="A3012" t="s">
        <v>462</v>
      </c>
      <c r="B3012" t="s">
        <v>6</v>
      </c>
      <c r="C3012" t="s">
        <v>49</v>
      </c>
      <c r="D3012" s="24">
        <v>46143</v>
      </c>
      <c r="E3012" t="s">
        <v>461</v>
      </c>
      <c r="F3012" t="s">
        <v>4</v>
      </c>
      <c r="G3012" t="s">
        <v>211</v>
      </c>
      <c r="H3012" t="s">
        <v>211</v>
      </c>
      <c r="I3012" t="s">
        <v>219</v>
      </c>
      <c r="J3012" s="25">
        <v>2304</v>
      </c>
      <c r="K3012" s="26">
        <v>366.58</v>
      </c>
      <c r="L3012" s="26">
        <v>2.98</v>
      </c>
    </row>
    <row r="3013" spans="1:12" ht="16" customHeight="1">
      <c r="A3013" t="s">
        <v>462</v>
      </c>
      <c r="B3013" t="s">
        <v>6</v>
      </c>
      <c r="C3013" t="s">
        <v>49</v>
      </c>
      <c r="D3013" s="24">
        <v>46143</v>
      </c>
      <c r="E3013" t="s">
        <v>226</v>
      </c>
      <c r="F3013" t="s">
        <v>4</v>
      </c>
      <c r="G3013" t="s">
        <v>217</v>
      </c>
      <c r="H3013" t="s">
        <v>217</v>
      </c>
      <c r="I3013" t="s">
        <v>219</v>
      </c>
      <c r="J3013" s="25">
        <v>219323</v>
      </c>
      <c r="K3013" s="26">
        <v>34427.56</v>
      </c>
      <c r="L3013" s="26">
        <v>339.6</v>
      </c>
    </row>
    <row r="3014" spans="1:12" ht="16" customHeight="1">
      <c r="A3014" t="s">
        <v>462</v>
      </c>
      <c r="B3014" t="s">
        <v>6</v>
      </c>
      <c r="C3014" t="s">
        <v>49</v>
      </c>
      <c r="D3014" s="24">
        <v>46143</v>
      </c>
      <c r="E3014" t="s">
        <v>457</v>
      </c>
      <c r="F3014" t="s">
        <v>4</v>
      </c>
      <c r="G3014" t="s">
        <v>217</v>
      </c>
      <c r="H3014" t="s">
        <v>217</v>
      </c>
      <c r="I3014" t="s">
        <v>221</v>
      </c>
      <c r="J3014" s="25">
        <v>34225</v>
      </c>
      <c r="K3014" s="26">
        <v>5314.7</v>
      </c>
      <c r="L3014" s="26">
        <v>69.08</v>
      </c>
    </row>
    <row r="3015" spans="1:12" ht="16" customHeight="1">
      <c r="A3015" t="s">
        <v>462</v>
      </c>
      <c r="B3015" t="s">
        <v>6</v>
      </c>
      <c r="C3015" t="s">
        <v>49</v>
      </c>
      <c r="D3015" s="24">
        <v>46143</v>
      </c>
      <c r="E3015" t="s">
        <v>269</v>
      </c>
      <c r="F3015" t="s">
        <v>4</v>
      </c>
      <c r="G3015" t="s">
        <v>217</v>
      </c>
      <c r="H3015" t="s">
        <v>217</v>
      </c>
      <c r="I3015" t="s">
        <v>300</v>
      </c>
      <c r="J3015" s="25">
        <v>24777</v>
      </c>
      <c r="K3015" s="26">
        <v>4084.14</v>
      </c>
      <c r="L3015" s="26">
        <v>58.9</v>
      </c>
    </row>
    <row r="3016" spans="1:12" ht="16" customHeight="1">
      <c r="A3016" t="s">
        <v>462</v>
      </c>
      <c r="B3016" t="s">
        <v>6</v>
      </c>
      <c r="C3016" t="s">
        <v>49</v>
      </c>
      <c r="D3016" s="24">
        <v>46143</v>
      </c>
      <c r="E3016" t="s">
        <v>228</v>
      </c>
      <c r="F3016" t="s">
        <v>4</v>
      </c>
      <c r="G3016" t="s">
        <v>217</v>
      </c>
      <c r="H3016" t="s">
        <v>217</v>
      </c>
      <c r="I3016" t="s">
        <v>301</v>
      </c>
      <c r="J3016" s="25">
        <v>26995</v>
      </c>
      <c r="K3016" s="26">
        <v>4390.7700000000004</v>
      </c>
      <c r="L3016" s="26">
        <v>113.06</v>
      </c>
    </row>
    <row r="3017" spans="1:12" ht="16" customHeight="1">
      <c r="A3017" t="s">
        <v>462</v>
      </c>
      <c r="B3017" t="s">
        <v>6</v>
      </c>
      <c r="C3017" t="s">
        <v>49</v>
      </c>
      <c r="D3017" s="24">
        <v>46143</v>
      </c>
      <c r="E3017" t="s">
        <v>439</v>
      </c>
      <c r="F3017" t="s">
        <v>4</v>
      </c>
      <c r="G3017" t="s">
        <v>217</v>
      </c>
      <c r="H3017" t="s">
        <v>217</v>
      </c>
      <c r="I3017" t="s">
        <v>302</v>
      </c>
      <c r="J3017" s="25">
        <v>0</v>
      </c>
      <c r="K3017" s="26">
        <v>0</v>
      </c>
      <c r="L3017" s="26">
        <v>0</v>
      </c>
    </row>
    <row r="3018" spans="1:12" ht="16" customHeight="1">
      <c r="A3018" t="s">
        <v>462</v>
      </c>
      <c r="B3018" t="s">
        <v>6</v>
      </c>
      <c r="C3018" t="s">
        <v>49</v>
      </c>
      <c r="D3018" s="24">
        <v>46143</v>
      </c>
      <c r="E3018" t="s">
        <v>230</v>
      </c>
      <c r="F3018" t="s">
        <v>4</v>
      </c>
      <c r="G3018" t="s">
        <v>217</v>
      </c>
      <c r="H3018" t="s">
        <v>217</v>
      </c>
      <c r="I3018" t="s">
        <v>303</v>
      </c>
      <c r="J3018" s="25">
        <v>4</v>
      </c>
      <c r="K3018" s="26">
        <v>0.55000000000000004</v>
      </c>
      <c r="L3018" s="26">
        <v>0.01</v>
      </c>
    </row>
    <row r="3019" spans="1:12" ht="16" customHeight="1">
      <c r="A3019" t="s">
        <v>462</v>
      </c>
      <c r="B3019" t="s">
        <v>6</v>
      </c>
      <c r="C3019" t="s">
        <v>49</v>
      </c>
      <c r="D3019" s="24">
        <v>46143</v>
      </c>
      <c r="E3019" t="s">
        <v>232</v>
      </c>
      <c r="F3019" t="s">
        <v>4</v>
      </c>
      <c r="G3019" t="s">
        <v>217</v>
      </c>
      <c r="H3019" t="s">
        <v>217</v>
      </c>
      <c r="I3019" t="s">
        <v>304</v>
      </c>
      <c r="J3019" s="25">
        <v>175</v>
      </c>
      <c r="K3019" s="26">
        <v>30.6</v>
      </c>
      <c r="L3019" s="26">
        <v>1.64</v>
      </c>
    </row>
    <row r="3020" spans="1:12" ht="16" customHeight="1">
      <c r="A3020" t="s">
        <v>462</v>
      </c>
      <c r="B3020" t="s">
        <v>6</v>
      </c>
      <c r="C3020" t="s">
        <v>49</v>
      </c>
      <c r="D3020" s="24">
        <v>46143</v>
      </c>
      <c r="E3020" t="s">
        <v>234</v>
      </c>
      <c r="F3020" t="s">
        <v>4</v>
      </c>
      <c r="G3020" t="s">
        <v>217</v>
      </c>
      <c r="H3020" t="s">
        <v>217</v>
      </c>
      <c r="I3020" t="s">
        <v>305</v>
      </c>
      <c r="J3020" s="25">
        <v>0</v>
      </c>
      <c r="K3020" s="26">
        <v>0</v>
      </c>
      <c r="L3020" s="26">
        <v>0</v>
      </c>
    </row>
    <row r="3021" spans="1:12" ht="16" customHeight="1">
      <c r="A3021" t="s">
        <v>462</v>
      </c>
      <c r="B3021" t="s">
        <v>6</v>
      </c>
      <c r="C3021" t="s">
        <v>49</v>
      </c>
      <c r="D3021" s="24">
        <v>46143</v>
      </c>
      <c r="E3021" t="s">
        <v>236</v>
      </c>
      <c r="F3021" t="s">
        <v>4</v>
      </c>
      <c r="G3021" t="s">
        <v>217</v>
      </c>
      <c r="H3021" t="s">
        <v>217</v>
      </c>
      <c r="I3021" t="s">
        <v>306</v>
      </c>
      <c r="J3021" s="25">
        <v>35</v>
      </c>
      <c r="K3021" s="26">
        <v>6.59</v>
      </c>
      <c r="L3021" s="26">
        <v>0.45</v>
      </c>
    </row>
    <row r="3022" spans="1:12" ht="16" customHeight="1">
      <c r="A3022" t="s">
        <v>462</v>
      </c>
      <c r="B3022" t="s">
        <v>6</v>
      </c>
      <c r="C3022" t="s">
        <v>49</v>
      </c>
      <c r="D3022" s="24">
        <v>46143</v>
      </c>
      <c r="E3022" t="s">
        <v>238</v>
      </c>
      <c r="F3022" t="s">
        <v>4</v>
      </c>
      <c r="G3022" t="s">
        <v>217</v>
      </c>
      <c r="H3022" t="s">
        <v>217</v>
      </c>
      <c r="I3022" t="s">
        <v>307</v>
      </c>
      <c r="J3022" s="25">
        <v>0</v>
      </c>
      <c r="K3022" s="26">
        <v>0</v>
      </c>
      <c r="L3022" s="26">
        <v>0</v>
      </c>
    </row>
    <row r="3023" spans="1:12" ht="16" customHeight="1">
      <c r="A3023" t="s">
        <v>462</v>
      </c>
      <c r="B3023" t="s">
        <v>6</v>
      </c>
      <c r="C3023" t="s">
        <v>49</v>
      </c>
      <c r="D3023" s="24">
        <v>46143</v>
      </c>
      <c r="E3023" t="s">
        <v>240</v>
      </c>
      <c r="F3023" t="s">
        <v>3</v>
      </c>
      <c r="G3023" t="s">
        <v>241</v>
      </c>
      <c r="H3023" t="s">
        <v>241</v>
      </c>
      <c r="I3023" t="s">
        <v>308</v>
      </c>
      <c r="J3023" s="25">
        <v>0</v>
      </c>
      <c r="K3023" s="26">
        <v>0</v>
      </c>
      <c r="L3023" s="26">
        <v>0</v>
      </c>
    </row>
    <row r="3024" spans="1:12" ht="16" customHeight="1">
      <c r="A3024" t="s">
        <v>462</v>
      </c>
      <c r="B3024" t="s">
        <v>6</v>
      </c>
      <c r="C3024" t="s">
        <v>49</v>
      </c>
      <c r="D3024" s="24">
        <v>46143</v>
      </c>
      <c r="E3024" t="s">
        <v>243</v>
      </c>
      <c r="F3024" t="s">
        <v>4</v>
      </c>
      <c r="G3024" t="s">
        <v>217</v>
      </c>
      <c r="H3024" t="s">
        <v>217</v>
      </c>
      <c r="I3024" t="s">
        <v>309</v>
      </c>
      <c r="J3024" s="25">
        <v>0</v>
      </c>
      <c r="K3024" s="26">
        <v>0</v>
      </c>
      <c r="L3024" s="26">
        <v>0</v>
      </c>
    </row>
    <row r="3025" spans="1:12" ht="16" customHeight="1">
      <c r="A3025" t="s">
        <v>462</v>
      </c>
      <c r="B3025" t="s">
        <v>6</v>
      </c>
      <c r="C3025" t="s">
        <v>49</v>
      </c>
      <c r="D3025" s="24">
        <v>46143</v>
      </c>
      <c r="E3025" t="s">
        <v>360</v>
      </c>
      <c r="F3025" t="s">
        <v>4</v>
      </c>
      <c r="G3025" t="s">
        <v>217</v>
      </c>
      <c r="H3025" t="s">
        <v>217</v>
      </c>
      <c r="I3025" t="s">
        <v>310</v>
      </c>
      <c r="J3025" s="25">
        <v>1</v>
      </c>
      <c r="K3025" s="26">
        <v>0.16</v>
      </c>
      <c r="L3025" s="26">
        <v>0.01</v>
      </c>
    </row>
    <row r="3026" spans="1:12" ht="16" customHeight="1">
      <c r="A3026" t="s">
        <v>463</v>
      </c>
      <c r="B3026" t="s">
        <v>7</v>
      </c>
      <c r="C3026" t="s">
        <v>50</v>
      </c>
      <c r="D3026" s="24">
        <v>46143</v>
      </c>
      <c r="E3026" t="s">
        <v>443</v>
      </c>
      <c r="F3026" t="s">
        <v>4</v>
      </c>
      <c r="G3026" t="s">
        <v>211</v>
      </c>
      <c r="H3026" t="s">
        <v>211</v>
      </c>
      <c r="I3026" t="s">
        <v>212</v>
      </c>
      <c r="J3026" s="25">
        <v>78667623</v>
      </c>
      <c r="K3026" s="26">
        <v>12437129.85</v>
      </c>
      <c r="L3026" s="26">
        <v>47853.94</v>
      </c>
    </row>
    <row r="3027" spans="1:12" ht="16" customHeight="1">
      <c r="A3027" t="s">
        <v>463</v>
      </c>
      <c r="B3027" t="s">
        <v>7</v>
      </c>
      <c r="C3027" t="s">
        <v>50</v>
      </c>
      <c r="D3027" s="24">
        <v>46143</v>
      </c>
      <c r="E3027" t="s">
        <v>447</v>
      </c>
      <c r="F3027" t="s">
        <v>4</v>
      </c>
      <c r="G3027" t="s">
        <v>211</v>
      </c>
      <c r="H3027" t="s">
        <v>211</v>
      </c>
      <c r="I3027" t="s">
        <v>212</v>
      </c>
      <c r="J3027" s="25">
        <v>1659789</v>
      </c>
      <c r="K3027" s="26">
        <v>262857.62</v>
      </c>
      <c r="L3027" s="26">
        <v>1223.45</v>
      </c>
    </row>
    <row r="3028" spans="1:12" ht="16" customHeight="1">
      <c r="A3028" t="s">
        <v>463</v>
      </c>
      <c r="B3028" t="s">
        <v>7</v>
      </c>
      <c r="C3028" t="s">
        <v>50</v>
      </c>
      <c r="D3028" s="24">
        <v>46143</v>
      </c>
      <c r="E3028" t="s">
        <v>416</v>
      </c>
      <c r="F3028" t="s">
        <v>4</v>
      </c>
      <c r="G3028" t="s">
        <v>217</v>
      </c>
      <c r="H3028" t="s">
        <v>217</v>
      </c>
      <c r="I3028" t="s">
        <v>212</v>
      </c>
      <c r="J3028" s="25">
        <v>1207433</v>
      </c>
      <c r="K3028" s="26">
        <v>191587.12</v>
      </c>
      <c r="L3028" s="26">
        <v>1397.08</v>
      </c>
    </row>
    <row r="3029" spans="1:12" ht="16" customHeight="1">
      <c r="A3029" t="s">
        <v>463</v>
      </c>
      <c r="B3029" t="s">
        <v>7</v>
      </c>
      <c r="C3029" t="s">
        <v>50</v>
      </c>
      <c r="D3029" s="24">
        <v>46143</v>
      </c>
      <c r="E3029" t="s">
        <v>452</v>
      </c>
      <c r="F3029" t="s">
        <v>4</v>
      </c>
      <c r="G3029" t="s">
        <v>211</v>
      </c>
      <c r="H3029" t="s">
        <v>211</v>
      </c>
      <c r="I3029" t="s">
        <v>219</v>
      </c>
      <c r="J3029" s="25">
        <v>25008</v>
      </c>
      <c r="K3029" s="26">
        <v>3982.21</v>
      </c>
      <c r="L3029" s="26">
        <v>27.64</v>
      </c>
    </row>
    <row r="3030" spans="1:12" ht="16" customHeight="1">
      <c r="A3030" t="s">
        <v>463</v>
      </c>
      <c r="B3030" t="s">
        <v>7</v>
      </c>
      <c r="C3030" t="s">
        <v>50</v>
      </c>
      <c r="D3030" s="24">
        <v>46143</v>
      </c>
      <c r="E3030" t="s">
        <v>461</v>
      </c>
      <c r="F3030" t="s">
        <v>4</v>
      </c>
      <c r="G3030" t="s">
        <v>211</v>
      </c>
      <c r="H3030" t="s">
        <v>211</v>
      </c>
      <c r="I3030" t="s">
        <v>219</v>
      </c>
      <c r="J3030" s="25">
        <v>4071</v>
      </c>
      <c r="K3030" s="26">
        <v>646.04999999999995</v>
      </c>
      <c r="L3030" s="26">
        <v>4.97</v>
      </c>
    </row>
    <row r="3031" spans="1:12" ht="16" customHeight="1">
      <c r="A3031" t="s">
        <v>463</v>
      </c>
      <c r="B3031" t="s">
        <v>7</v>
      </c>
      <c r="C3031" t="s">
        <v>50</v>
      </c>
      <c r="D3031" s="24">
        <v>46143</v>
      </c>
      <c r="E3031" t="s">
        <v>226</v>
      </c>
      <c r="F3031" t="s">
        <v>4</v>
      </c>
      <c r="G3031" t="s">
        <v>217</v>
      </c>
      <c r="H3031" t="s">
        <v>217</v>
      </c>
      <c r="I3031" t="s">
        <v>219</v>
      </c>
      <c r="J3031" s="25">
        <v>177324</v>
      </c>
      <c r="K3031" s="26">
        <v>28008.95</v>
      </c>
      <c r="L3031" s="26">
        <v>288.62</v>
      </c>
    </row>
    <row r="3032" spans="1:12" ht="16" customHeight="1">
      <c r="A3032" t="s">
        <v>463</v>
      </c>
      <c r="B3032" t="s">
        <v>7</v>
      </c>
      <c r="C3032" t="s">
        <v>50</v>
      </c>
      <c r="D3032" s="24">
        <v>46143</v>
      </c>
      <c r="E3032" t="s">
        <v>457</v>
      </c>
      <c r="F3032" t="s">
        <v>4</v>
      </c>
      <c r="G3032" t="s">
        <v>217</v>
      </c>
      <c r="H3032" t="s">
        <v>217</v>
      </c>
      <c r="I3032" t="s">
        <v>221</v>
      </c>
      <c r="J3032" s="25">
        <v>20870</v>
      </c>
      <c r="K3032" s="26">
        <v>3296.44</v>
      </c>
      <c r="L3032" s="26">
        <v>54.84</v>
      </c>
    </row>
    <row r="3033" spans="1:12" ht="16" customHeight="1">
      <c r="A3033" t="s">
        <v>463</v>
      </c>
      <c r="B3033" t="s">
        <v>7</v>
      </c>
      <c r="C3033" t="s">
        <v>50</v>
      </c>
      <c r="D3033" s="24">
        <v>46143</v>
      </c>
      <c r="E3033" t="s">
        <v>269</v>
      </c>
      <c r="F3033" t="s">
        <v>4</v>
      </c>
      <c r="G3033" t="s">
        <v>217</v>
      </c>
      <c r="H3033" t="s">
        <v>217</v>
      </c>
      <c r="I3033" t="s">
        <v>300</v>
      </c>
      <c r="J3033" s="25">
        <v>16961</v>
      </c>
      <c r="K3033" s="26">
        <v>2763.07</v>
      </c>
      <c r="L3033" s="26">
        <v>38.299999999999997</v>
      </c>
    </row>
    <row r="3034" spans="1:12" ht="16" customHeight="1">
      <c r="A3034" t="s">
        <v>463</v>
      </c>
      <c r="B3034" t="s">
        <v>7</v>
      </c>
      <c r="C3034" t="s">
        <v>50</v>
      </c>
      <c r="D3034" s="24">
        <v>46143</v>
      </c>
      <c r="E3034" t="s">
        <v>228</v>
      </c>
      <c r="F3034" t="s">
        <v>4</v>
      </c>
      <c r="G3034" t="s">
        <v>217</v>
      </c>
      <c r="H3034" t="s">
        <v>217</v>
      </c>
      <c r="I3034" t="s">
        <v>301</v>
      </c>
      <c r="J3034" s="25">
        <v>29574</v>
      </c>
      <c r="K3034" s="26">
        <v>4786.83</v>
      </c>
      <c r="L3034" s="26">
        <v>124.85</v>
      </c>
    </row>
    <row r="3035" spans="1:12" ht="16" customHeight="1">
      <c r="A3035" t="s">
        <v>463</v>
      </c>
      <c r="B3035" t="s">
        <v>7</v>
      </c>
      <c r="C3035" t="s">
        <v>50</v>
      </c>
      <c r="D3035" s="24">
        <v>46143</v>
      </c>
      <c r="E3035" t="s">
        <v>439</v>
      </c>
      <c r="F3035" t="s">
        <v>4</v>
      </c>
      <c r="G3035" t="s">
        <v>217</v>
      </c>
      <c r="H3035" t="s">
        <v>217</v>
      </c>
      <c r="I3035" t="s">
        <v>302</v>
      </c>
      <c r="J3035" s="25">
        <v>0</v>
      </c>
      <c r="K3035" s="26">
        <v>0</v>
      </c>
      <c r="L3035" s="26">
        <v>0</v>
      </c>
    </row>
    <row r="3036" spans="1:12" ht="16" customHeight="1">
      <c r="A3036" t="s">
        <v>463</v>
      </c>
      <c r="B3036" t="s">
        <v>7</v>
      </c>
      <c r="C3036" t="s">
        <v>50</v>
      </c>
      <c r="D3036" s="24">
        <v>46143</v>
      </c>
      <c r="E3036" t="s">
        <v>230</v>
      </c>
      <c r="F3036" t="s">
        <v>4</v>
      </c>
      <c r="G3036" t="s">
        <v>217</v>
      </c>
      <c r="H3036" t="s">
        <v>217</v>
      </c>
      <c r="I3036" t="s">
        <v>303</v>
      </c>
      <c r="J3036" s="25">
        <v>3</v>
      </c>
      <c r="K3036" s="26">
        <v>0.42</v>
      </c>
      <c r="L3036" s="26">
        <v>0.01</v>
      </c>
    </row>
    <row r="3037" spans="1:12" ht="16" customHeight="1">
      <c r="A3037" t="s">
        <v>463</v>
      </c>
      <c r="B3037" t="s">
        <v>7</v>
      </c>
      <c r="C3037" t="s">
        <v>50</v>
      </c>
      <c r="D3037" s="24">
        <v>46143</v>
      </c>
      <c r="E3037" t="s">
        <v>232</v>
      </c>
      <c r="F3037" t="s">
        <v>4</v>
      </c>
      <c r="G3037" t="s">
        <v>217</v>
      </c>
      <c r="H3037" t="s">
        <v>217</v>
      </c>
      <c r="I3037" t="s">
        <v>304</v>
      </c>
      <c r="J3037" s="25">
        <v>141</v>
      </c>
      <c r="K3037" s="26">
        <v>24.01</v>
      </c>
      <c r="L3037" s="26">
        <v>1.55</v>
      </c>
    </row>
    <row r="3038" spans="1:12" ht="16" customHeight="1">
      <c r="A3038" t="s">
        <v>463</v>
      </c>
      <c r="B3038" t="s">
        <v>7</v>
      </c>
      <c r="C3038" t="s">
        <v>50</v>
      </c>
      <c r="D3038" s="24">
        <v>46143</v>
      </c>
      <c r="E3038" t="s">
        <v>234</v>
      </c>
      <c r="F3038" t="s">
        <v>4</v>
      </c>
      <c r="G3038" t="s">
        <v>217</v>
      </c>
      <c r="H3038" t="s">
        <v>217</v>
      </c>
      <c r="I3038" t="s">
        <v>305</v>
      </c>
      <c r="J3038" s="25">
        <v>0</v>
      </c>
      <c r="K3038" s="26">
        <v>0</v>
      </c>
      <c r="L3038" s="26">
        <v>0</v>
      </c>
    </row>
    <row r="3039" spans="1:12" ht="16" customHeight="1">
      <c r="A3039" t="s">
        <v>463</v>
      </c>
      <c r="B3039" t="s">
        <v>7</v>
      </c>
      <c r="C3039" t="s">
        <v>50</v>
      </c>
      <c r="D3039" s="24">
        <v>46143</v>
      </c>
      <c r="E3039" t="s">
        <v>236</v>
      </c>
      <c r="F3039" t="s">
        <v>4</v>
      </c>
      <c r="G3039" t="s">
        <v>217</v>
      </c>
      <c r="H3039" t="s">
        <v>217</v>
      </c>
      <c r="I3039" t="s">
        <v>306</v>
      </c>
      <c r="J3039" s="25">
        <v>11</v>
      </c>
      <c r="K3039" s="26">
        <v>2.0299999999999998</v>
      </c>
      <c r="L3039" s="26">
        <v>0.12</v>
      </c>
    </row>
    <row r="3040" spans="1:12" ht="16" customHeight="1">
      <c r="A3040" t="s">
        <v>463</v>
      </c>
      <c r="B3040" t="s">
        <v>7</v>
      </c>
      <c r="C3040" t="s">
        <v>50</v>
      </c>
      <c r="D3040" s="24">
        <v>46143</v>
      </c>
      <c r="E3040" t="s">
        <v>238</v>
      </c>
      <c r="F3040" t="s">
        <v>4</v>
      </c>
      <c r="G3040" t="s">
        <v>217</v>
      </c>
      <c r="H3040" t="s">
        <v>217</v>
      </c>
      <c r="I3040" t="s">
        <v>307</v>
      </c>
      <c r="J3040" s="25">
        <v>0</v>
      </c>
      <c r="K3040" s="26">
        <v>0</v>
      </c>
      <c r="L3040" s="26">
        <v>0</v>
      </c>
    </row>
    <row r="3041" spans="1:12" ht="16" customHeight="1">
      <c r="A3041" t="s">
        <v>463</v>
      </c>
      <c r="B3041" t="s">
        <v>7</v>
      </c>
      <c r="C3041" t="s">
        <v>50</v>
      </c>
      <c r="D3041" s="24">
        <v>46143</v>
      </c>
      <c r="E3041" t="s">
        <v>240</v>
      </c>
      <c r="F3041" t="s">
        <v>3</v>
      </c>
      <c r="G3041" t="s">
        <v>241</v>
      </c>
      <c r="H3041" t="s">
        <v>241</v>
      </c>
      <c r="I3041" t="s">
        <v>308</v>
      </c>
      <c r="J3041" s="25">
        <v>10</v>
      </c>
      <c r="K3041" s="26">
        <v>1.39</v>
      </c>
      <c r="L3041" s="26">
        <v>0.03</v>
      </c>
    </row>
    <row r="3042" spans="1:12" ht="16" customHeight="1">
      <c r="A3042" t="s">
        <v>463</v>
      </c>
      <c r="B3042" t="s">
        <v>7</v>
      </c>
      <c r="C3042" t="s">
        <v>50</v>
      </c>
      <c r="D3042" s="24">
        <v>46143</v>
      </c>
      <c r="E3042" t="s">
        <v>243</v>
      </c>
      <c r="F3042" t="s">
        <v>4</v>
      </c>
      <c r="G3042" t="s">
        <v>217</v>
      </c>
      <c r="H3042" t="s">
        <v>217</v>
      </c>
      <c r="I3042" t="s">
        <v>309</v>
      </c>
      <c r="J3042" s="25">
        <v>0</v>
      </c>
      <c r="K3042" s="26">
        <v>0</v>
      </c>
      <c r="L3042" s="26">
        <v>0</v>
      </c>
    </row>
    <row r="3043" spans="1:12" ht="16" customHeight="1">
      <c r="A3043" t="s">
        <v>463</v>
      </c>
      <c r="B3043" t="s">
        <v>7</v>
      </c>
      <c r="C3043" t="s">
        <v>50</v>
      </c>
      <c r="D3043" s="24">
        <v>46143</v>
      </c>
      <c r="E3043" t="s">
        <v>360</v>
      </c>
      <c r="F3043" t="s">
        <v>4</v>
      </c>
      <c r="G3043" t="s">
        <v>217</v>
      </c>
      <c r="H3043" t="s">
        <v>217</v>
      </c>
      <c r="I3043" t="s">
        <v>310</v>
      </c>
      <c r="J3043" s="25">
        <v>10</v>
      </c>
      <c r="K3043" s="26">
        <v>1.39</v>
      </c>
      <c r="L3043" s="26">
        <v>0.03</v>
      </c>
    </row>
    <row r="3044" spans="1:12" ht="16" customHeight="1">
      <c r="A3044" t="s">
        <v>464</v>
      </c>
      <c r="B3044" t="s">
        <v>3</v>
      </c>
      <c r="C3044" t="s">
        <v>50</v>
      </c>
      <c r="D3044" s="24">
        <v>46143</v>
      </c>
      <c r="E3044" t="s">
        <v>443</v>
      </c>
      <c r="F3044" t="s">
        <v>4</v>
      </c>
      <c r="G3044" t="s">
        <v>211</v>
      </c>
      <c r="H3044" t="s">
        <v>211</v>
      </c>
      <c r="I3044" t="s">
        <v>212</v>
      </c>
      <c r="J3044" s="25">
        <v>131702699</v>
      </c>
      <c r="K3044" s="26">
        <v>20587440.289999999</v>
      </c>
      <c r="L3044" s="26">
        <v>53611.8</v>
      </c>
    </row>
    <row r="3045" spans="1:12" ht="16" customHeight="1">
      <c r="A3045" t="s">
        <v>464</v>
      </c>
      <c r="B3045" t="s">
        <v>3</v>
      </c>
      <c r="C3045" t="s">
        <v>50</v>
      </c>
      <c r="D3045" s="24">
        <v>46143</v>
      </c>
      <c r="E3045" t="s">
        <v>447</v>
      </c>
      <c r="F3045" t="s">
        <v>4</v>
      </c>
      <c r="G3045" t="s">
        <v>211</v>
      </c>
      <c r="H3045" t="s">
        <v>211</v>
      </c>
      <c r="I3045" t="s">
        <v>212</v>
      </c>
      <c r="J3045" s="25">
        <v>3877783</v>
      </c>
      <c r="K3045" s="26">
        <v>609545.59</v>
      </c>
      <c r="L3045" s="26">
        <v>2816.97</v>
      </c>
    </row>
    <row r="3046" spans="1:12" ht="16" customHeight="1">
      <c r="A3046" t="s">
        <v>464</v>
      </c>
      <c r="B3046" t="s">
        <v>3</v>
      </c>
      <c r="C3046" t="s">
        <v>50</v>
      </c>
      <c r="D3046" s="24">
        <v>46143</v>
      </c>
      <c r="E3046" t="s">
        <v>416</v>
      </c>
      <c r="F3046" t="s">
        <v>4</v>
      </c>
      <c r="G3046" t="s">
        <v>217</v>
      </c>
      <c r="H3046" t="s">
        <v>217</v>
      </c>
      <c r="I3046" t="s">
        <v>212</v>
      </c>
      <c r="J3046" s="25">
        <v>1777310</v>
      </c>
      <c r="K3046" s="26">
        <v>280120.37</v>
      </c>
      <c r="L3046" s="26">
        <v>2169.1999999999998</v>
      </c>
    </row>
    <row r="3047" spans="1:12" ht="16" customHeight="1">
      <c r="A3047" t="s">
        <v>464</v>
      </c>
      <c r="B3047" t="s">
        <v>3</v>
      </c>
      <c r="C3047" t="s">
        <v>50</v>
      </c>
      <c r="D3047" s="24">
        <v>46143</v>
      </c>
      <c r="E3047" t="s">
        <v>452</v>
      </c>
      <c r="F3047" t="s">
        <v>4</v>
      </c>
      <c r="G3047" t="s">
        <v>211</v>
      </c>
      <c r="H3047" t="s">
        <v>211</v>
      </c>
      <c r="I3047" t="s">
        <v>219</v>
      </c>
      <c r="J3047" s="25">
        <v>41939</v>
      </c>
      <c r="K3047" s="26">
        <v>6648.14</v>
      </c>
      <c r="L3047" s="26">
        <v>57.79</v>
      </c>
    </row>
    <row r="3048" spans="1:12" ht="16" customHeight="1">
      <c r="A3048" t="s">
        <v>464</v>
      </c>
      <c r="B3048" t="s">
        <v>3</v>
      </c>
      <c r="C3048" t="s">
        <v>50</v>
      </c>
      <c r="D3048" s="24">
        <v>46143</v>
      </c>
      <c r="E3048" t="s">
        <v>461</v>
      </c>
      <c r="F3048" t="s">
        <v>4</v>
      </c>
      <c r="G3048" t="s">
        <v>211</v>
      </c>
      <c r="H3048" t="s">
        <v>211</v>
      </c>
      <c r="I3048" t="s">
        <v>219</v>
      </c>
      <c r="J3048" s="25">
        <v>7228</v>
      </c>
      <c r="K3048" s="26">
        <v>1150.49</v>
      </c>
      <c r="L3048" s="26">
        <v>10.33</v>
      </c>
    </row>
    <row r="3049" spans="1:12" ht="16" customHeight="1">
      <c r="A3049" t="s">
        <v>464</v>
      </c>
      <c r="B3049" t="s">
        <v>3</v>
      </c>
      <c r="C3049" t="s">
        <v>50</v>
      </c>
      <c r="D3049" s="24">
        <v>46143</v>
      </c>
      <c r="E3049" t="s">
        <v>226</v>
      </c>
      <c r="F3049" t="s">
        <v>4</v>
      </c>
      <c r="G3049" t="s">
        <v>217</v>
      </c>
      <c r="H3049" t="s">
        <v>217</v>
      </c>
      <c r="I3049" t="s">
        <v>219</v>
      </c>
      <c r="J3049" s="25">
        <v>369754</v>
      </c>
      <c r="K3049" s="26">
        <v>59263.57</v>
      </c>
      <c r="L3049" s="26">
        <v>644.89</v>
      </c>
    </row>
    <row r="3050" spans="1:12" ht="16" customHeight="1">
      <c r="A3050" t="s">
        <v>464</v>
      </c>
      <c r="B3050" t="s">
        <v>3</v>
      </c>
      <c r="C3050" t="s">
        <v>50</v>
      </c>
      <c r="D3050" s="24">
        <v>46143</v>
      </c>
      <c r="E3050" t="s">
        <v>457</v>
      </c>
      <c r="F3050" t="s">
        <v>4</v>
      </c>
      <c r="G3050" t="s">
        <v>217</v>
      </c>
      <c r="H3050" t="s">
        <v>217</v>
      </c>
      <c r="I3050" t="s">
        <v>221</v>
      </c>
      <c r="J3050" s="25">
        <v>36507</v>
      </c>
      <c r="K3050" s="26">
        <v>5770.11</v>
      </c>
      <c r="L3050" s="26">
        <v>98.33</v>
      </c>
    </row>
    <row r="3051" spans="1:12" ht="16" customHeight="1">
      <c r="A3051" t="s">
        <v>464</v>
      </c>
      <c r="B3051" t="s">
        <v>3</v>
      </c>
      <c r="C3051" t="s">
        <v>50</v>
      </c>
      <c r="D3051" s="24">
        <v>46143</v>
      </c>
      <c r="E3051" t="s">
        <v>269</v>
      </c>
      <c r="F3051" t="s">
        <v>4</v>
      </c>
      <c r="G3051" t="s">
        <v>217</v>
      </c>
      <c r="H3051" t="s">
        <v>217</v>
      </c>
      <c r="I3051" t="s">
        <v>300</v>
      </c>
      <c r="J3051" s="25">
        <v>20449</v>
      </c>
      <c r="K3051" s="26">
        <v>3357.93</v>
      </c>
      <c r="L3051" s="26">
        <v>52.89</v>
      </c>
    </row>
    <row r="3052" spans="1:12" ht="16" customHeight="1">
      <c r="A3052" t="s">
        <v>464</v>
      </c>
      <c r="B3052" t="s">
        <v>3</v>
      </c>
      <c r="C3052" t="s">
        <v>50</v>
      </c>
      <c r="D3052" s="24">
        <v>46143</v>
      </c>
      <c r="E3052" t="s">
        <v>228</v>
      </c>
      <c r="F3052" t="s">
        <v>4</v>
      </c>
      <c r="G3052" t="s">
        <v>217</v>
      </c>
      <c r="H3052" t="s">
        <v>217</v>
      </c>
      <c r="I3052" t="s">
        <v>301</v>
      </c>
      <c r="J3052" s="25">
        <v>29806</v>
      </c>
      <c r="K3052" s="26">
        <v>4957.67</v>
      </c>
      <c r="L3052" s="26">
        <v>129.53</v>
      </c>
    </row>
    <row r="3053" spans="1:12" ht="16" customHeight="1">
      <c r="A3053" t="s">
        <v>464</v>
      </c>
      <c r="B3053" t="s">
        <v>3</v>
      </c>
      <c r="C3053" t="s">
        <v>50</v>
      </c>
      <c r="D3053" s="24">
        <v>46143</v>
      </c>
      <c r="E3053" t="s">
        <v>439</v>
      </c>
      <c r="F3053" t="s">
        <v>4</v>
      </c>
      <c r="G3053" t="s">
        <v>217</v>
      </c>
      <c r="H3053" t="s">
        <v>217</v>
      </c>
      <c r="I3053" t="s">
        <v>302</v>
      </c>
      <c r="J3053" s="25">
        <v>0</v>
      </c>
      <c r="K3053" s="26">
        <v>0</v>
      </c>
      <c r="L3053" s="26">
        <v>0</v>
      </c>
    </row>
    <row r="3054" spans="1:12" ht="16" customHeight="1">
      <c r="A3054" t="s">
        <v>464</v>
      </c>
      <c r="B3054" t="s">
        <v>3</v>
      </c>
      <c r="C3054" t="s">
        <v>50</v>
      </c>
      <c r="D3054" s="24">
        <v>46143</v>
      </c>
      <c r="E3054" t="s">
        <v>230</v>
      </c>
      <c r="F3054" t="s">
        <v>4</v>
      </c>
      <c r="G3054" t="s">
        <v>217</v>
      </c>
      <c r="H3054" t="s">
        <v>217</v>
      </c>
      <c r="I3054" t="s">
        <v>303</v>
      </c>
      <c r="J3054" s="25">
        <v>1</v>
      </c>
      <c r="K3054" s="26">
        <v>0.12</v>
      </c>
      <c r="L3054" s="26">
        <v>0</v>
      </c>
    </row>
    <row r="3055" spans="1:12" ht="16" customHeight="1">
      <c r="A3055" t="s">
        <v>464</v>
      </c>
      <c r="B3055" t="s">
        <v>3</v>
      </c>
      <c r="C3055" t="s">
        <v>50</v>
      </c>
      <c r="D3055" s="24">
        <v>46143</v>
      </c>
      <c r="E3055" t="s">
        <v>232</v>
      </c>
      <c r="F3055" t="s">
        <v>4</v>
      </c>
      <c r="G3055" t="s">
        <v>217</v>
      </c>
      <c r="H3055" t="s">
        <v>217</v>
      </c>
      <c r="I3055" t="s">
        <v>304</v>
      </c>
      <c r="J3055" s="25">
        <v>286</v>
      </c>
      <c r="K3055" s="26">
        <v>49.55</v>
      </c>
      <c r="L3055" s="26">
        <v>2.87</v>
      </c>
    </row>
    <row r="3056" spans="1:12" ht="16" customHeight="1">
      <c r="A3056" t="s">
        <v>464</v>
      </c>
      <c r="B3056" t="s">
        <v>3</v>
      </c>
      <c r="C3056" t="s">
        <v>50</v>
      </c>
      <c r="D3056" s="24">
        <v>46143</v>
      </c>
      <c r="E3056" t="s">
        <v>234</v>
      </c>
      <c r="F3056" t="s">
        <v>4</v>
      </c>
      <c r="G3056" t="s">
        <v>217</v>
      </c>
      <c r="H3056" t="s">
        <v>217</v>
      </c>
      <c r="I3056" t="s">
        <v>305</v>
      </c>
      <c r="J3056" s="25">
        <v>1</v>
      </c>
      <c r="K3056" s="26">
        <v>0.15</v>
      </c>
      <c r="L3056" s="26">
        <v>0</v>
      </c>
    </row>
    <row r="3057" spans="1:12" ht="16" customHeight="1">
      <c r="A3057" t="s">
        <v>464</v>
      </c>
      <c r="B3057" t="s">
        <v>3</v>
      </c>
      <c r="C3057" t="s">
        <v>50</v>
      </c>
      <c r="D3057" s="24">
        <v>46143</v>
      </c>
      <c r="E3057" t="s">
        <v>236</v>
      </c>
      <c r="F3057" t="s">
        <v>4</v>
      </c>
      <c r="G3057" t="s">
        <v>217</v>
      </c>
      <c r="H3057" t="s">
        <v>217</v>
      </c>
      <c r="I3057" t="s">
        <v>306</v>
      </c>
      <c r="J3057" s="25">
        <v>4</v>
      </c>
      <c r="K3057" s="26">
        <v>0.7</v>
      </c>
      <c r="L3057" s="26">
        <v>0.04</v>
      </c>
    </row>
    <row r="3058" spans="1:12" ht="16" customHeight="1">
      <c r="A3058" t="s">
        <v>464</v>
      </c>
      <c r="B3058" t="s">
        <v>3</v>
      </c>
      <c r="C3058" t="s">
        <v>50</v>
      </c>
      <c r="D3058" s="24">
        <v>46143</v>
      </c>
      <c r="E3058" t="s">
        <v>238</v>
      </c>
      <c r="F3058" t="s">
        <v>4</v>
      </c>
      <c r="G3058" t="s">
        <v>217</v>
      </c>
      <c r="H3058" t="s">
        <v>217</v>
      </c>
      <c r="I3058" t="s">
        <v>307</v>
      </c>
      <c r="J3058" s="25">
        <v>4</v>
      </c>
      <c r="K3058" s="26">
        <v>0.7</v>
      </c>
      <c r="L3058" s="26">
        <v>0.05</v>
      </c>
    </row>
    <row r="3059" spans="1:12" ht="16" customHeight="1">
      <c r="A3059" t="s">
        <v>464</v>
      </c>
      <c r="B3059" t="s">
        <v>3</v>
      </c>
      <c r="C3059" t="s">
        <v>50</v>
      </c>
      <c r="D3059" s="24">
        <v>46143</v>
      </c>
      <c r="E3059" t="s">
        <v>240</v>
      </c>
      <c r="F3059" t="s">
        <v>3</v>
      </c>
      <c r="G3059" t="s">
        <v>241</v>
      </c>
      <c r="H3059" t="s">
        <v>241</v>
      </c>
      <c r="I3059" t="s">
        <v>308</v>
      </c>
      <c r="J3059" s="25">
        <v>0</v>
      </c>
      <c r="K3059" s="26">
        <v>0</v>
      </c>
      <c r="L3059" s="26">
        <v>0</v>
      </c>
    </row>
    <row r="3060" spans="1:12" ht="16" customHeight="1">
      <c r="A3060" t="s">
        <v>464</v>
      </c>
      <c r="B3060" t="s">
        <v>3</v>
      </c>
      <c r="C3060" t="s">
        <v>50</v>
      </c>
      <c r="D3060" s="24">
        <v>46143</v>
      </c>
      <c r="E3060" t="s">
        <v>243</v>
      </c>
      <c r="F3060" t="s">
        <v>4</v>
      </c>
      <c r="G3060" t="s">
        <v>217</v>
      </c>
      <c r="H3060" t="s">
        <v>217</v>
      </c>
      <c r="I3060" t="s">
        <v>309</v>
      </c>
      <c r="J3060" s="25">
        <v>0</v>
      </c>
      <c r="K3060" s="26">
        <v>0</v>
      </c>
      <c r="L3060" s="26">
        <v>0</v>
      </c>
    </row>
    <row r="3061" spans="1:12" ht="16" customHeight="1">
      <c r="A3061" t="s">
        <v>464</v>
      </c>
      <c r="B3061" t="s">
        <v>3</v>
      </c>
      <c r="C3061" t="s">
        <v>50</v>
      </c>
      <c r="D3061" s="24">
        <v>46143</v>
      </c>
      <c r="E3061" t="s">
        <v>360</v>
      </c>
      <c r="F3061" t="s">
        <v>4</v>
      </c>
      <c r="G3061" t="s">
        <v>217</v>
      </c>
      <c r="H3061" t="s">
        <v>217</v>
      </c>
      <c r="I3061" t="s">
        <v>310</v>
      </c>
      <c r="J3061" s="25">
        <v>0</v>
      </c>
      <c r="K3061" s="26">
        <v>0</v>
      </c>
      <c r="L3061" s="26">
        <v>0</v>
      </c>
    </row>
    <row r="3062" spans="1:12" ht="16" customHeight="1">
      <c r="A3062" t="s">
        <v>443</v>
      </c>
      <c r="B3062" t="s">
        <v>4</v>
      </c>
      <c r="C3062" t="s">
        <v>50</v>
      </c>
      <c r="D3062" s="24">
        <v>46143</v>
      </c>
      <c r="E3062" t="s">
        <v>443</v>
      </c>
      <c r="F3062" t="s">
        <v>4</v>
      </c>
      <c r="G3062" t="s">
        <v>211</v>
      </c>
      <c r="H3062" t="s">
        <v>211</v>
      </c>
      <c r="I3062" t="s">
        <v>212</v>
      </c>
      <c r="J3062" s="25">
        <v>396066995</v>
      </c>
      <c r="K3062" s="26">
        <v>60856584.880000003</v>
      </c>
      <c r="L3062" s="26">
        <v>65989.259999999995</v>
      </c>
    </row>
    <row r="3063" spans="1:12" ht="16" customHeight="1">
      <c r="A3063" t="s">
        <v>443</v>
      </c>
      <c r="B3063" t="s">
        <v>4</v>
      </c>
      <c r="C3063" t="s">
        <v>50</v>
      </c>
      <c r="D3063" s="24">
        <v>46143</v>
      </c>
      <c r="E3063" t="s">
        <v>447</v>
      </c>
      <c r="F3063" t="s">
        <v>4</v>
      </c>
      <c r="G3063" t="s">
        <v>211</v>
      </c>
      <c r="H3063" t="s">
        <v>211</v>
      </c>
      <c r="I3063" t="s">
        <v>212</v>
      </c>
      <c r="J3063" s="25">
        <v>9159825</v>
      </c>
      <c r="K3063" s="26">
        <v>1424171.28</v>
      </c>
      <c r="L3063" s="26">
        <v>6556.24</v>
      </c>
    </row>
    <row r="3064" spans="1:12" ht="16" customHeight="1">
      <c r="A3064" t="s">
        <v>443</v>
      </c>
      <c r="B3064" t="s">
        <v>4</v>
      </c>
      <c r="C3064" t="s">
        <v>50</v>
      </c>
      <c r="D3064" s="24">
        <v>46143</v>
      </c>
      <c r="E3064" t="s">
        <v>416</v>
      </c>
      <c r="F3064" t="s">
        <v>4</v>
      </c>
      <c r="G3064" t="s">
        <v>217</v>
      </c>
      <c r="H3064" t="s">
        <v>217</v>
      </c>
      <c r="I3064" t="s">
        <v>212</v>
      </c>
      <c r="J3064" s="25">
        <v>2320271</v>
      </c>
      <c r="K3064" s="26">
        <v>362650.74</v>
      </c>
      <c r="L3064" s="26">
        <v>2745.52</v>
      </c>
    </row>
    <row r="3065" spans="1:12" ht="16" customHeight="1">
      <c r="A3065" t="s">
        <v>443</v>
      </c>
      <c r="B3065" t="s">
        <v>4</v>
      </c>
      <c r="C3065" t="s">
        <v>50</v>
      </c>
      <c r="D3065" s="24">
        <v>46143</v>
      </c>
      <c r="E3065" t="s">
        <v>452</v>
      </c>
      <c r="F3065" t="s">
        <v>4</v>
      </c>
      <c r="G3065" t="s">
        <v>211</v>
      </c>
      <c r="H3065" t="s">
        <v>211</v>
      </c>
      <c r="I3065" t="s">
        <v>219</v>
      </c>
      <c r="J3065" s="25">
        <v>72470</v>
      </c>
      <c r="K3065" s="26">
        <v>11378.91</v>
      </c>
      <c r="L3065" s="26">
        <v>87.89</v>
      </c>
    </row>
    <row r="3066" spans="1:12" ht="16" customHeight="1">
      <c r="A3066" t="s">
        <v>443</v>
      </c>
      <c r="B3066" t="s">
        <v>4</v>
      </c>
      <c r="C3066" t="s">
        <v>50</v>
      </c>
      <c r="D3066" s="24">
        <v>46143</v>
      </c>
      <c r="E3066" t="s">
        <v>461</v>
      </c>
      <c r="F3066" t="s">
        <v>4</v>
      </c>
      <c r="G3066" t="s">
        <v>211</v>
      </c>
      <c r="H3066" t="s">
        <v>211</v>
      </c>
      <c r="I3066" t="s">
        <v>219</v>
      </c>
      <c r="J3066" s="25">
        <v>10935</v>
      </c>
      <c r="K3066" s="26">
        <v>1731.49</v>
      </c>
      <c r="L3066" s="26">
        <v>13.09</v>
      </c>
    </row>
    <row r="3067" spans="1:12" ht="16" customHeight="1">
      <c r="A3067" t="s">
        <v>443</v>
      </c>
      <c r="B3067" t="s">
        <v>4</v>
      </c>
      <c r="C3067" t="s">
        <v>50</v>
      </c>
      <c r="D3067" s="24">
        <v>46143</v>
      </c>
      <c r="E3067" t="s">
        <v>226</v>
      </c>
      <c r="F3067" t="s">
        <v>4</v>
      </c>
      <c r="G3067" t="s">
        <v>217</v>
      </c>
      <c r="H3067" t="s">
        <v>217</v>
      </c>
      <c r="I3067" t="s">
        <v>219</v>
      </c>
      <c r="J3067" s="25">
        <v>455554</v>
      </c>
      <c r="K3067" s="26">
        <v>71678.2</v>
      </c>
      <c r="L3067" s="26">
        <v>800.64</v>
      </c>
    </row>
    <row r="3068" spans="1:12" ht="16" customHeight="1">
      <c r="A3068" t="s">
        <v>443</v>
      </c>
      <c r="B3068" t="s">
        <v>4</v>
      </c>
      <c r="C3068" t="s">
        <v>50</v>
      </c>
      <c r="D3068" s="24">
        <v>46143</v>
      </c>
      <c r="E3068" t="s">
        <v>457</v>
      </c>
      <c r="F3068" t="s">
        <v>4</v>
      </c>
      <c r="G3068" t="s">
        <v>217</v>
      </c>
      <c r="H3068" t="s">
        <v>217</v>
      </c>
      <c r="I3068" t="s">
        <v>221</v>
      </c>
      <c r="J3068" s="25">
        <v>53474</v>
      </c>
      <c r="K3068" s="26">
        <v>8450.82</v>
      </c>
      <c r="L3068" s="26">
        <v>149.34</v>
      </c>
    </row>
    <row r="3069" spans="1:12" ht="16" customHeight="1">
      <c r="A3069" t="s">
        <v>443</v>
      </c>
      <c r="B3069" t="s">
        <v>4</v>
      </c>
      <c r="C3069" t="s">
        <v>50</v>
      </c>
      <c r="D3069" s="24">
        <v>46143</v>
      </c>
      <c r="E3069" t="s">
        <v>269</v>
      </c>
      <c r="F3069" t="s">
        <v>4</v>
      </c>
      <c r="G3069" t="s">
        <v>217</v>
      </c>
      <c r="H3069" t="s">
        <v>217</v>
      </c>
      <c r="I3069" t="s">
        <v>300</v>
      </c>
      <c r="J3069" s="25">
        <v>40313</v>
      </c>
      <c r="K3069" s="26">
        <v>6528.68</v>
      </c>
      <c r="L3069" s="26">
        <v>112.54</v>
      </c>
    </row>
    <row r="3070" spans="1:12" ht="16" customHeight="1">
      <c r="A3070" t="s">
        <v>443</v>
      </c>
      <c r="B3070" t="s">
        <v>4</v>
      </c>
      <c r="C3070" t="s">
        <v>50</v>
      </c>
      <c r="D3070" s="24">
        <v>46143</v>
      </c>
      <c r="E3070" t="s">
        <v>228</v>
      </c>
      <c r="F3070" t="s">
        <v>4</v>
      </c>
      <c r="G3070" t="s">
        <v>217</v>
      </c>
      <c r="H3070" t="s">
        <v>217</v>
      </c>
      <c r="I3070" t="s">
        <v>301</v>
      </c>
      <c r="J3070" s="25">
        <v>55253</v>
      </c>
      <c r="K3070" s="26">
        <v>9015.1</v>
      </c>
      <c r="L3070" s="26">
        <v>236.9</v>
      </c>
    </row>
    <row r="3071" spans="1:12" ht="16" customHeight="1">
      <c r="A3071" t="s">
        <v>443</v>
      </c>
      <c r="B3071" t="s">
        <v>4</v>
      </c>
      <c r="C3071" t="s">
        <v>50</v>
      </c>
      <c r="D3071" s="24">
        <v>46143</v>
      </c>
      <c r="E3071" t="s">
        <v>439</v>
      </c>
      <c r="F3071" t="s">
        <v>4</v>
      </c>
      <c r="G3071" t="s">
        <v>217</v>
      </c>
      <c r="H3071" t="s">
        <v>217</v>
      </c>
      <c r="I3071" t="s">
        <v>302</v>
      </c>
      <c r="J3071" s="25">
        <v>0</v>
      </c>
      <c r="K3071" s="26">
        <v>0</v>
      </c>
      <c r="L3071" s="26">
        <v>0</v>
      </c>
    </row>
    <row r="3072" spans="1:12" ht="16" customHeight="1">
      <c r="A3072" t="s">
        <v>443</v>
      </c>
      <c r="B3072" t="s">
        <v>4</v>
      </c>
      <c r="C3072" t="s">
        <v>50</v>
      </c>
      <c r="D3072" s="24">
        <v>46143</v>
      </c>
      <c r="E3072" t="s">
        <v>230</v>
      </c>
      <c r="F3072" t="s">
        <v>4</v>
      </c>
      <c r="G3072" t="s">
        <v>217</v>
      </c>
      <c r="H3072" t="s">
        <v>217</v>
      </c>
      <c r="I3072" t="s">
        <v>303</v>
      </c>
      <c r="J3072" s="25">
        <v>10</v>
      </c>
      <c r="K3072" s="26">
        <v>1.38</v>
      </c>
      <c r="L3072" s="26">
        <v>0.03</v>
      </c>
    </row>
    <row r="3073" spans="1:12" ht="16" customHeight="1">
      <c r="A3073" t="s">
        <v>443</v>
      </c>
      <c r="B3073" t="s">
        <v>4</v>
      </c>
      <c r="C3073" t="s">
        <v>50</v>
      </c>
      <c r="D3073" s="24">
        <v>46143</v>
      </c>
      <c r="E3073" t="s">
        <v>232</v>
      </c>
      <c r="F3073" t="s">
        <v>4</v>
      </c>
      <c r="G3073" t="s">
        <v>217</v>
      </c>
      <c r="H3073" t="s">
        <v>217</v>
      </c>
      <c r="I3073" t="s">
        <v>304</v>
      </c>
      <c r="J3073" s="25">
        <v>595</v>
      </c>
      <c r="K3073" s="26">
        <v>106.57</v>
      </c>
      <c r="L3073" s="26">
        <v>4.74</v>
      </c>
    </row>
    <row r="3074" spans="1:12" ht="16" customHeight="1">
      <c r="A3074" t="s">
        <v>443</v>
      </c>
      <c r="B3074" t="s">
        <v>4</v>
      </c>
      <c r="C3074" t="s">
        <v>50</v>
      </c>
      <c r="D3074" s="24">
        <v>46143</v>
      </c>
      <c r="E3074" t="s">
        <v>234</v>
      </c>
      <c r="F3074" t="s">
        <v>4</v>
      </c>
      <c r="G3074" t="s">
        <v>217</v>
      </c>
      <c r="H3074" t="s">
        <v>217</v>
      </c>
      <c r="I3074" t="s">
        <v>305</v>
      </c>
      <c r="J3074" s="25">
        <v>0</v>
      </c>
      <c r="K3074" s="26">
        <v>0</v>
      </c>
      <c r="L3074" s="26">
        <v>0</v>
      </c>
    </row>
    <row r="3075" spans="1:12" ht="16" customHeight="1">
      <c r="A3075" t="s">
        <v>443</v>
      </c>
      <c r="B3075" t="s">
        <v>4</v>
      </c>
      <c r="C3075" t="s">
        <v>50</v>
      </c>
      <c r="D3075" s="24">
        <v>46143</v>
      </c>
      <c r="E3075" t="s">
        <v>236</v>
      </c>
      <c r="F3075" t="s">
        <v>4</v>
      </c>
      <c r="G3075" t="s">
        <v>217</v>
      </c>
      <c r="H3075" t="s">
        <v>217</v>
      </c>
      <c r="I3075" t="s">
        <v>306</v>
      </c>
      <c r="J3075" s="25">
        <v>34</v>
      </c>
      <c r="K3075" s="26">
        <v>6.59</v>
      </c>
      <c r="L3075" s="26">
        <v>0.46</v>
      </c>
    </row>
    <row r="3076" spans="1:12" ht="16" customHeight="1">
      <c r="A3076" t="s">
        <v>443</v>
      </c>
      <c r="B3076" t="s">
        <v>4</v>
      </c>
      <c r="C3076" t="s">
        <v>50</v>
      </c>
      <c r="D3076" s="24">
        <v>46143</v>
      </c>
      <c r="E3076" t="s">
        <v>238</v>
      </c>
      <c r="F3076" t="s">
        <v>4</v>
      </c>
      <c r="G3076" t="s">
        <v>217</v>
      </c>
      <c r="H3076" t="s">
        <v>217</v>
      </c>
      <c r="I3076" t="s">
        <v>307</v>
      </c>
      <c r="J3076" s="25">
        <v>0</v>
      </c>
      <c r="K3076" s="26">
        <v>0</v>
      </c>
      <c r="L3076" s="26">
        <v>0</v>
      </c>
    </row>
    <row r="3077" spans="1:12" ht="16" customHeight="1">
      <c r="A3077" t="s">
        <v>443</v>
      </c>
      <c r="B3077" t="s">
        <v>4</v>
      </c>
      <c r="C3077" t="s">
        <v>50</v>
      </c>
      <c r="D3077" s="24">
        <v>46143</v>
      </c>
      <c r="E3077" t="s">
        <v>240</v>
      </c>
      <c r="F3077" t="s">
        <v>3</v>
      </c>
      <c r="G3077" t="s">
        <v>241</v>
      </c>
      <c r="H3077" t="s">
        <v>241</v>
      </c>
      <c r="I3077" t="s">
        <v>308</v>
      </c>
      <c r="J3077" s="25">
        <v>3</v>
      </c>
      <c r="K3077" s="26">
        <v>0.53</v>
      </c>
      <c r="L3077" s="26">
        <v>0.03</v>
      </c>
    </row>
    <row r="3078" spans="1:12" ht="16" customHeight="1">
      <c r="A3078" t="s">
        <v>443</v>
      </c>
      <c r="B3078" t="s">
        <v>4</v>
      </c>
      <c r="C3078" t="s">
        <v>50</v>
      </c>
      <c r="D3078" s="24">
        <v>46143</v>
      </c>
      <c r="E3078" t="s">
        <v>243</v>
      </c>
      <c r="F3078" t="s">
        <v>4</v>
      </c>
      <c r="G3078" t="s">
        <v>217</v>
      </c>
      <c r="H3078" t="s">
        <v>217</v>
      </c>
      <c r="I3078" t="s">
        <v>309</v>
      </c>
      <c r="J3078" s="25">
        <v>0</v>
      </c>
      <c r="K3078" s="26">
        <v>0</v>
      </c>
      <c r="L3078" s="26">
        <v>0</v>
      </c>
    </row>
    <row r="3079" spans="1:12" ht="16" customHeight="1">
      <c r="A3079" t="s">
        <v>443</v>
      </c>
      <c r="B3079" t="s">
        <v>4</v>
      </c>
      <c r="C3079" t="s">
        <v>50</v>
      </c>
      <c r="D3079" s="24">
        <v>46143</v>
      </c>
      <c r="E3079" t="s">
        <v>360</v>
      </c>
      <c r="F3079" t="s">
        <v>4</v>
      </c>
      <c r="G3079" t="s">
        <v>217</v>
      </c>
      <c r="H3079" t="s">
        <v>217</v>
      </c>
      <c r="I3079" t="s">
        <v>310</v>
      </c>
      <c r="J3079" s="25">
        <v>0</v>
      </c>
      <c r="K3079" s="26">
        <v>0</v>
      </c>
      <c r="L3079" s="26">
        <v>0</v>
      </c>
    </row>
    <row r="3080" spans="1:12" ht="16" customHeight="1">
      <c r="A3080" t="s">
        <v>465</v>
      </c>
      <c r="B3080" t="s">
        <v>5</v>
      </c>
      <c r="C3080" t="s">
        <v>50</v>
      </c>
      <c r="D3080" s="24">
        <v>46143</v>
      </c>
      <c r="E3080" t="s">
        <v>447</v>
      </c>
      <c r="F3080" t="s">
        <v>4</v>
      </c>
      <c r="G3080" t="s">
        <v>211</v>
      </c>
      <c r="H3080" t="s">
        <v>211</v>
      </c>
      <c r="I3080" t="s">
        <v>212</v>
      </c>
      <c r="J3080" s="25">
        <v>47897930</v>
      </c>
      <c r="K3080" s="26">
        <v>7349698.8300000001</v>
      </c>
      <c r="L3080" s="26">
        <v>40069.230000000003</v>
      </c>
    </row>
    <row r="3081" spans="1:12" ht="16" customHeight="1">
      <c r="A3081" t="s">
        <v>465</v>
      </c>
      <c r="B3081" t="s">
        <v>5</v>
      </c>
      <c r="C3081" t="s">
        <v>50</v>
      </c>
      <c r="D3081" s="24">
        <v>46143</v>
      </c>
      <c r="E3081" t="s">
        <v>416</v>
      </c>
      <c r="F3081" t="s">
        <v>4</v>
      </c>
      <c r="G3081" t="s">
        <v>217</v>
      </c>
      <c r="H3081" t="s">
        <v>217</v>
      </c>
      <c r="I3081" t="s">
        <v>212</v>
      </c>
      <c r="J3081" s="25">
        <v>2390815</v>
      </c>
      <c r="K3081" s="26">
        <v>370395.73</v>
      </c>
      <c r="L3081" s="26">
        <v>2671.59</v>
      </c>
    </row>
    <row r="3082" spans="1:12" ht="16" customHeight="1">
      <c r="A3082" t="s">
        <v>465</v>
      </c>
      <c r="B3082" t="s">
        <v>5</v>
      </c>
      <c r="C3082" t="s">
        <v>50</v>
      </c>
      <c r="D3082" s="24">
        <v>46143</v>
      </c>
      <c r="E3082" t="s">
        <v>452</v>
      </c>
      <c r="F3082" t="s">
        <v>4</v>
      </c>
      <c r="G3082" t="s">
        <v>211</v>
      </c>
      <c r="H3082" t="s">
        <v>211</v>
      </c>
      <c r="I3082" t="s">
        <v>219</v>
      </c>
      <c r="J3082" s="25">
        <v>73652</v>
      </c>
      <c r="K3082" s="26">
        <v>11443.36</v>
      </c>
      <c r="L3082" s="26">
        <v>93.39</v>
      </c>
    </row>
    <row r="3083" spans="1:12" ht="16" customHeight="1">
      <c r="A3083" t="s">
        <v>465</v>
      </c>
      <c r="B3083" t="s">
        <v>5</v>
      </c>
      <c r="C3083" t="s">
        <v>50</v>
      </c>
      <c r="D3083" s="24">
        <v>46143</v>
      </c>
      <c r="E3083" t="s">
        <v>461</v>
      </c>
      <c r="F3083" t="s">
        <v>4</v>
      </c>
      <c r="G3083" t="s">
        <v>211</v>
      </c>
      <c r="H3083" t="s">
        <v>211</v>
      </c>
      <c r="I3083" t="s">
        <v>219</v>
      </c>
      <c r="J3083" s="25">
        <v>15441</v>
      </c>
      <c r="K3083" s="26">
        <v>2436.0500000000002</v>
      </c>
      <c r="L3083" s="26">
        <v>22.21</v>
      </c>
    </row>
    <row r="3084" spans="1:12" ht="16" customHeight="1">
      <c r="A3084" t="s">
        <v>465</v>
      </c>
      <c r="B3084" t="s">
        <v>5</v>
      </c>
      <c r="C3084" t="s">
        <v>50</v>
      </c>
      <c r="D3084" s="24">
        <v>46143</v>
      </c>
      <c r="E3084" t="s">
        <v>466</v>
      </c>
      <c r="F3084" t="s">
        <v>4</v>
      </c>
      <c r="G3084" t="s">
        <v>211</v>
      </c>
      <c r="H3084" t="s">
        <v>211</v>
      </c>
      <c r="I3084" t="s">
        <v>219</v>
      </c>
      <c r="J3084" s="25">
        <v>251</v>
      </c>
      <c r="K3084" s="26">
        <v>39.92</v>
      </c>
      <c r="L3084" s="26">
        <v>0.3</v>
      </c>
    </row>
    <row r="3085" spans="1:12" ht="16" customHeight="1">
      <c r="A3085" t="s">
        <v>465</v>
      </c>
      <c r="B3085" t="s">
        <v>5</v>
      </c>
      <c r="C3085" t="s">
        <v>50</v>
      </c>
      <c r="D3085" s="24">
        <v>46143</v>
      </c>
      <c r="E3085" t="s">
        <v>226</v>
      </c>
      <c r="F3085" t="s">
        <v>4</v>
      </c>
      <c r="G3085" t="s">
        <v>217</v>
      </c>
      <c r="H3085" t="s">
        <v>217</v>
      </c>
      <c r="I3085" t="s">
        <v>219</v>
      </c>
      <c r="J3085" s="25">
        <v>320321</v>
      </c>
      <c r="K3085" s="26">
        <v>49990.03</v>
      </c>
      <c r="L3085" s="26">
        <v>608.29999999999995</v>
      </c>
    </row>
    <row r="3086" spans="1:12" ht="16" customHeight="1">
      <c r="A3086" t="s">
        <v>465</v>
      </c>
      <c r="B3086" t="s">
        <v>5</v>
      </c>
      <c r="C3086" t="s">
        <v>50</v>
      </c>
      <c r="D3086" s="24">
        <v>46143</v>
      </c>
      <c r="E3086" t="s">
        <v>457</v>
      </c>
      <c r="F3086" t="s">
        <v>4</v>
      </c>
      <c r="G3086" t="s">
        <v>217</v>
      </c>
      <c r="H3086" t="s">
        <v>217</v>
      </c>
      <c r="I3086" t="s">
        <v>221</v>
      </c>
      <c r="J3086" s="25">
        <v>36034</v>
      </c>
      <c r="K3086" s="26">
        <v>5729.37</v>
      </c>
      <c r="L3086" s="26">
        <v>99.05</v>
      </c>
    </row>
    <row r="3087" spans="1:12" ht="16" customHeight="1">
      <c r="A3087" t="s">
        <v>465</v>
      </c>
      <c r="B3087" t="s">
        <v>5</v>
      </c>
      <c r="C3087" t="s">
        <v>50</v>
      </c>
      <c r="D3087" s="24">
        <v>46143</v>
      </c>
      <c r="E3087" t="s">
        <v>269</v>
      </c>
      <c r="F3087" t="s">
        <v>4</v>
      </c>
      <c r="G3087" t="s">
        <v>217</v>
      </c>
      <c r="H3087" t="s">
        <v>217</v>
      </c>
      <c r="I3087" t="s">
        <v>300</v>
      </c>
      <c r="J3087" s="25">
        <v>23250</v>
      </c>
      <c r="K3087" s="26">
        <v>3851.71</v>
      </c>
      <c r="L3087" s="26">
        <v>54.44</v>
      </c>
    </row>
    <row r="3088" spans="1:12" ht="16" customHeight="1">
      <c r="A3088" t="s">
        <v>465</v>
      </c>
      <c r="B3088" t="s">
        <v>5</v>
      </c>
      <c r="C3088" t="s">
        <v>50</v>
      </c>
      <c r="D3088" s="24">
        <v>46143</v>
      </c>
      <c r="E3088" t="s">
        <v>228</v>
      </c>
      <c r="F3088" t="s">
        <v>4</v>
      </c>
      <c r="G3088" t="s">
        <v>217</v>
      </c>
      <c r="H3088" t="s">
        <v>217</v>
      </c>
      <c r="I3088" t="s">
        <v>301</v>
      </c>
      <c r="J3088" s="25">
        <v>62334</v>
      </c>
      <c r="K3088" s="26">
        <v>10234.1</v>
      </c>
      <c r="L3088" s="26">
        <v>254.6</v>
      </c>
    </row>
    <row r="3089" spans="1:12" ht="16" customHeight="1">
      <c r="A3089" t="s">
        <v>465</v>
      </c>
      <c r="B3089" t="s">
        <v>5</v>
      </c>
      <c r="C3089" t="s">
        <v>50</v>
      </c>
      <c r="D3089" s="24">
        <v>46143</v>
      </c>
      <c r="E3089" t="s">
        <v>439</v>
      </c>
      <c r="F3089" t="s">
        <v>4</v>
      </c>
      <c r="G3089" t="s">
        <v>217</v>
      </c>
      <c r="H3089" t="s">
        <v>217</v>
      </c>
      <c r="I3089" t="s">
        <v>302</v>
      </c>
      <c r="J3089" s="25">
        <v>0</v>
      </c>
      <c r="K3089" s="26">
        <v>0</v>
      </c>
      <c r="L3089" s="26">
        <v>0</v>
      </c>
    </row>
    <row r="3090" spans="1:12" ht="16" customHeight="1">
      <c r="A3090" t="s">
        <v>465</v>
      </c>
      <c r="B3090" t="s">
        <v>5</v>
      </c>
      <c r="C3090" t="s">
        <v>50</v>
      </c>
      <c r="D3090" s="24">
        <v>46143</v>
      </c>
      <c r="E3090" t="s">
        <v>230</v>
      </c>
      <c r="F3090" t="s">
        <v>4</v>
      </c>
      <c r="G3090" t="s">
        <v>217</v>
      </c>
      <c r="H3090" t="s">
        <v>217</v>
      </c>
      <c r="I3090" t="s">
        <v>303</v>
      </c>
      <c r="J3090" s="25">
        <v>2</v>
      </c>
      <c r="K3090" s="26">
        <v>0.28000000000000003</v>
      </c>
      <c r="L3090" s="26">
        <v>0.01</v>
      </c>
    </row>
    <row r="3091" spans="1:12" ht="16" customHeight="1">
      <c r="A3091" t="s">
        <v>465</v>
      </c>
      <c r="B3091" t="s">
        <v>5</v>
      </c>
      <c r="C3091" t="s">
        <v>50</v>
      </c>
      <c r="D3091" s="24">
        <v>46143</v>
      </c>
      <c r="E3091" t="s">
        <v>232</v>
      </c>
      <c r="F3091" t="s">
        <v>4</v>
      </c>
      <c r="G3091" t="s">
        <v>217</v>
      </c>
      <c r="H3091" t="s">
        <v>217</v>
      </c>
      <c r="I3091" t="s">
        <v>304</v>
      </c>
      <c r="J3091" s="25">
        <v>413</v>
      </c>
      <c r="K3091" s="26">
        <v>76.14</v>
      </c>
      <c r="L3091" s="26">
        <v>3.16</v>
      </c>
    </row>
    <row r="3092" spans="1:12" ht="16" customHeight="1">
      <c r="A3092" t="s">
        <v>465</v>
      </c>
      <c r="B3092" t="s">
        <v>5</v>
      </c>
      <c r="C3092" t="s">
        <v>50</v>
      </c>
      <c r="D3092" s="24">
        <v>46143</v>
      </c>
      <c r="E3092" t="s">
        <v>234</v>
      </c>
      <c r="F3092" t="s">
        <v>4</v>
      </c>
      <c r="G3092" t="s">
        <v>217</v>
      </c>
      <c r="H3092" t="s">
        <v>217</v>
      </c>
      <c r="I3092" t="s">
        <v>305</v>
      </c>
      <c r="J3092" s="25">
        <v>0</v>
      </c>
      <c r="K3092" s="26">
        <v>0</v>
      </c>
      <c r="L3092" s="26">
        <v>0</v>
      </c>
    </row>
    <row r="3093" spans="1:12" ht="16" customHeight="1">
      <c r="A3093" t="s">
        <v>465</v>
      </c>
      <c r="B3093" t="s">
        <v>5</v>
      </c>
      <c r="C3093" t="s">
        <v>50</v>
      </c>
      <c r="D3093" s="24">
        <v>46143</v>
      </c>
      <c r="E3093" t="s">
        <v>236</v>
      </c>
      <c r="F3093" t="s">
        <v>4</v>
      </c>
      <c r="G3093" t="s">
        <v>217</v>
      </c>
      <c r="H3093" t="s">
        <v>217</v>
      </c>
      <c r="I3093" t="s">
        <v>306</v>
      </c>
      <c r="J3093" s="25">
        <v>3</v>
      </c>
      <c r="K3093" s="26">
        <v>0.62</v>
      </c>
      <c r="L3093" s="26">
        <v>0.03</v>
      </c>
    </row>
    <row r="3094" spans="1:12" ht="16" customHeight="1">
      <c r="A3094" t="s">
        <v>465</v>
      </c>
      <c r="B3094" t="s">
        <v>5</v>
      </c>
      <c r="C3094" t="s">
        <v>50</v>
      </c>
      <c r="D3094" s="24">
        <v>46143</v>
      </c>
      <c r="E3094" t="s">
        <v>238</v>
      </c>
      <c r="F3094" t="s">
        <v>4</v>
      </c>
      <c r="G3094" t="s">
        <v>217</v>
      </c>
      <c r="H3094" t="s">
        <v>217</v>
      </c>
      <c r="I3094" t="s">
        <v>307</v>
      </c>
      <c r="J3094" s="25">
        <v>2</v>
      </c>
      <c r="K3094" s="26">
        <v>0.35</v>
      </c>
      <c r="L3094" s="26">
        <v>0.02</v>
      </c>
    </row>
    <row r="3095" spans="1:12" ht="16" customHeight="1">
      <c r="A3095" t="s">
        <v>465</v>
      </c>
      <c r="B3095" t="s">
        <v>5</v>
      </c>
      <c r="C3095" t="s">
        <v>50</v>
      </c>
      <c r="D3095" s="24">
        <v>46143</v>
      </c>
      <c r="E3095" t="s">
        <v>240</v>
      </c>
      <c r="F3095" t="s">
        <v>3</v>
      </c>
      <c r="G3095" t="s">
        <v>241</v>
      </c>
      <c r="H3095" t="s">
        <v>241</v>
      </c>
      <c r="I3095" t="s">
        <v>308</v>
      </c>
      <c r="J3095" s="25">
        <v>0</v>
      </c>
      <c r="K3095" s="26">
        <v>0</v>
      </c>
      <c r="L3095" s="26">
        <v>0</v>
      </c>
    </row>
    <row r="3096" spans="1:12" ht="16" customHeight="1">
      <c r="A3096" t="s">
        <v>465</v>
      </c>
      <c r="B3096" t="s">
        <v>5</v>
      </c>
      <c r="C3096" t="s">
        <v>50</v>
      </c>
      <c r="D3096" s="24">
        <v>46143</v>
      </c>
      <c r="E3096" t="s">
        <v>243</v>
      </c>
      <c r="F3096" t="s">
        <v>4</v>
      </c>
      <c r="G3096" t="s">
        <v>217</v>
      </c>
      <c r="H3096" t="s">
        <v>217</v>
      </c>
      <c r="I3096" t="s">
        <v>309</v>
      </c>
      <c r="J3096" s="25">
        <v>0</v>
      </c>
      <c r="K3096" s="26">
        <v>0</v>
      </c>
      <c r="L3096" s="26">
        <v>0</v>
      </c>
    </row>
    <row r="3097" spans="1:12" ht="16" customHeight="1">
      <c r="A3097" t="s">
        <v>465</v>
      </c>
      <c r="B3097" t="s">
        <v>5</v>
      </c>
      <c r="C3097" t="s">
        <v>50</v>
      </c>
      <c r="D3097" s="24">
        <v>46143</v>
      </c>
      <c r="E3097" t="s">
        <v>360</v>
      </c>
      <c r="F3097" t="s">
        <v>4</v>
      </c>
      <c r="G3097" t="s">
        <v>217</v>
      </c>
      <c r="H3097" t="s">
        <v>217</v>
      </c>
      <c r="I3097" t="s">
        <v>310</v>
      </c>
      <c r="J3097" s="25">
        <v>0</v>
      </c>
      <c r="K3097" s="26">
        <v>0</v>
      </c>
      <c r="L3097" s="26">
        <v>0</v>
      </c>
    </row>
    <row r="3098" spans="1:12" ht="16" customHeight="1">
      <c r="A3098" t="s">
        <v>467</v>
      </c>
      <c r="B3098" t="s">
        <v>6</v>
      </c>
      <c r="C3098" t="s">
        <v>50</v>
      </c>
      <c r="D3098" s="24">
        <v>46143</v>
      </c>
      <c r="E3098" t="s">
        <v>447</v>
      </c>
      <c r="F3098" t="s">
        <v>4</v>
      </c>
      <c r="G3098" t="s">
        <v>211</v>
      </c>
      <c r="H3098" t="s">
        <v>211</v>
      </c>
      <c r="I3098" t="s">
        <v>212</v>
      </c>
      <c r="J3098" s="25">
        <v>47174754</v>
      </c>
      <c r="K3098" s="26">
        <v>7268039.21</v>
      </c>
      <c r="L3098" s="26">
        <v>31427.09</v>
      </c>
    </row>
    <row r="3099" spans="1:12" ht="16" customHeight="1">
      <c r="A3099" t="s">
        <v>467</v>
      </c>
      <c r="B3099" t="s">
        <v>6</v>
      </c>
      <c r="C3099" t="s">
        <v>50</v>
      </c>
      <c r="D3099" s="24">
        <v>46143</v>
      </c>
      <c r="E3099" t="s">
        <v>416</v>
      </c>
      <c r="F3099" t="s">
        <v>4</v>
      </c>
      <c r="G3099" t="s">
        <v>217</v>
      </c>
      <c r="H3099" t="s">
        <v>217</v>
      </c>
      <c r="I3099" t="s">
        <v>212</v>
      </c>
      <c r="J3099" s="25">
        <v>2820453</v>
      </c>
      <c r="K3099" s="26">
        <v>439003.03</v>
      </c>
      <c r="L3099" s="26">
        <v>3026.48</v>
      </c>
    </row>
    <row r="3100" spans="1:12" ht="16" customHeight="1">
      <c r="A3100" t="s">
        <v>467</v>
      </c>
      <c r="B3100" t="s">
        <v>6</v>
      </c>
      <c r="C3100" t="s">
        <v>50</v>
      </c>
      <c r="D3100" s="24">
        <v>46143</v>
      </c>
      <c r="E3100" t="s">
        <v>452</v>
      </c>
      <c r="F3100" t="s">
        <v>4</v>
      </c>
      <c r="G3100" t="s">
        <v>211</v>
      </c>
      <c r="H3100" t="s">
        <v>211</v>
      </c>
      <c r="I3100" t="s">
        <v>219</v>
      </c>
      <c r="J3100" s="25">
        <v>106272</v>
      </c>
      <c r="K3100" s="26">
        <v>16592.38</v>
      </c>
      <c r="L3100" s="26">
        <v>127.2</v>
      </c>
    </row>
    <row r="3101" spans="1:12" ht="16" customHeight="1">
      <c r="A3101" t="s">
        <v>467</v>
      </c>
      <c r="B3101" t="s">
        <v>6</v>
      </c>
      <c r="C3101" t="s">
        <v>50</v>
      </c>
      <c r="D3101" s="24">
        <v>46143</v>
      </c>
      <c r="E3101" t="s">
        <v>461</v>
      </c>
      <c r="F3101" t="s">
        <v>4</v>
      </c>
      <c r="G3101" t="s">
        <v>211</v>
      </c>
      <c r="H3101" t="s">
        <v>211</v>
      </c>
      <c r="I3101" t="s">
        <v>219</v>
      </c>
      <c r="J3101" s="25">
        <v>20672</v>
      </c>
      <c r="K3101" s="26">
        <v>3257.48</v>
      </c>
      <c r="L3101" s="26">
        <v>28.01</v>
      </c>
    </row>
    <row r="3102" spans="1:12" ht="16" customHeight="1">
      <c r="A3102" t="s">
        <v>467</v>
      </c>
      <c r="B3102" t="s">
        <v>6</v>
      </c>
      <c r="C3102" t="s">
        <v>50</v>
      </c>
      <c r="D3102" s="24">
        <v>46143</v>
      </c>
      <c r="E3102" t="s">
        <v>466</v>
      </c>
      <c r="F3102" t="s">
        <v>4</v>
      </c>
      <c r="G3102" t="s">
        <v>211</v>
      </c>
      <c r="H3102" t="s">
        <v>211</v>
      </c>
      <c r="I3102" t="s">
        <v>219</v>
      </c>
      <c r="J3102" s="25">
        <v>1946</v>
      </c>
      <c r="K3102" s="26">
        <v>306.42</v>
      </c>
      <c r="L3102" s="26">
        <v>3.27</v>
      </c>
    </row>
    <row r="3103" spans="1:12" ht="16" customHeight="1">
      <c r="A3103" t="s">
        <v>467</v>
      </c>
      <c r="B3103" t="s">
        <v>6</v>
      </c>
      <c r="C3103" t="s">
        <v>50</v>
      </c>
      <c r="D3103" s="24">
        <v>46143</v>
      </c>
      <c r="E3103" t="s">
        <v>226</v>
      </c>
      <c r="F3103" t="s">
        <v>4</v>
      </c>
      <c r="G3103" t="s">
        <v>217</v>
      </c>
      <c r="H3103" t="s">
        <v>217</v>
      </c>
      <c r="I3103" t="s">
        <v>219</v>
      </c>
      <c r="J3103" s="25">
        <v>351204</v>
      </c>
      <c r="K3103" s="26">
        <v>54726.879999999997</v>
      </c>
      <c r="L3103" s="26">
        <v>685.29</v>
      </c>
    </row>
    <row r="3104" spans="1:12" ht="16" customHeight="1">
      <c r="A3104" t="s">
        <v>467</v>
      </c>
      <c r="B3104" t="s">
        <v>6</v>
      </c>
      <c r="C3104" t="s">
        <v>50</v>
      </c>
      <c r="D3104" s="24">
        <v>46143</v>
      </c>
      <c r="E3104" t="s">
        <v>457</v>
      </c>
      <c r="F3104" t="s">
        <v>4</v>
      </c>
      <c r="G3104" t="s">
        <v>217</v>
      </c>
      <c r="H3104" t="s">
        <v>217</v>
      </c>
      <c r="I3104" t="s">
        <v>221</v>
      </c>
      <c r="J3104" s="25">
        <v>33139</v>
      </c>
      <c r="K3104" s="26">
        <v>5259.22</v>
      </c>
      <c r="L3104" s="26">
        <v>92.69</v>
      </c>
    </row>
    <row r="3105" spans="1:12" ht="16" customHeight="1">
      <c r="A3105" t="s">
        <v>467</v>
      </c>
      <c r="B3105" t="s">
        <v>6</v>
      </c>
      <c r="C3105" t="s">
        <v>50</v>
      </c>
      <c r="D3105" s="24">
        <v>46143</v>
      </c>
      <c r="E3105" t="s">
        <v>269</v>
      </c>
      <c r="F3105" t="s">
        <v>4</v>
      </c>
      <c r="G3105" t="s">
        <v>217</v>
      </c>
      <c r="H3105" t="s">
        <v>217</v>
      </c>
      <c r="I3105" t="s">
        <v>300</v>
      </c>
      <c r="J3105" s="25">
        <v>21713</v>
      </c>
      <c r="K3105" s="26">
        <v>3503.33</v>
      </c>
      <c r="L3105" s="26">
        <v>55.41</v>
      </c>
    </row>
    <row r="3106" spans="1:12" ht="16" customHeight="1">
      <c r="A3106" t="s">
        <v>467</v>
      </c>
      <c r="B3106" t="s">
        <v>6</v>
      </c>
      <c r="C3106" t="s">
        <v>50</v>
      </c>
      <c r="D3106" s="24">
        <v>46143</v>
      </c>
      <c r="E3106" t="s">
        <v>228</v>
      </c>
      <c r="F3106" t="s">
        <v>4</v>
      </c>
      <c r="G3106" t="s">
        <v>217</v>
      </c>
      <c r="H3106" t="s">
        <v>217</v>
      </c>
      <c r="I3106" t="s">
        <v>301</v>
      </c>
      <c r="J3106" s="25">
        <v>33021</v>
      </c>
      <c r="K3106" s="26">
        <v>5348.27</v>
      </c>
      <c r="L3106" s="26">
        <v>131.56</v>
      </c>
    </row>
    <row r="3107" spans="1:12" ht="16" customHeight="1">
      <c r="A3107" t="s">
        <v>467</v>
      </c>
      <c r="B3107" t="s">
        <v>6</v>
      </c>
      <c r="C3107" t="s">
        <v>50</v>
      </c>
      <c r="D3107" s="24">
        <v>46143</v>
      </c>
      <c r="E3107" t="s">
        <v>439</v>
      </c>
      <c r="F3107" t="s">
        <v>4</v>
      </c>
      <c r="G3107" t="s">
        <v>217</v>
      </c>
      <c r="H3107" t="s">
        <v>217</v>
      </c>
      <c r="I3107" t="s">
        <v>302</v>
      </c>
      <c r="J3107" s="25">
        <v>0</v>
      </c>
      <c r="K3107" s="26">
        <v>0</v>
      </c>
      <c r="L3107" s="26">
        <v>0</v>
      </c>
    </row>
    <row r="3108" spans="1:12" ht="16" customHeight="1">
      <c r="A3108" t="s">
        <v>467</v>
      </c>
      <c r="B3108" t="s">
        <v>6</v>
      </c>
      <c r="C3108" t="s">
        <v>50</v>
      </c>
      <c r="D3108" s="24">
        <v>46143</v>
      </c>
      <c r="E3108" t="s">
        <v>230</v>
      </c>
      <c r="F3108" t="s">
        <v>4</v>
      </c>
      <c r="G3108" t="s">
        <v>217</v>
      </c>
      <c r="H3108" t="s">
        <v>217</v>
      </c>
      <c r="I3108" t="s">
        <v>303</v>
      </c>
      <c r="J3108" s="25">
        <v>8</v>
      </c>
      <c r="K3108" s="26">
        <v>1.34</v>
      </c>
      <c r="L3108" s="26">
        <v>0.11</v>
      </c>
    </row>
    <row r="3109" spans="1:12" ht="16" customHeight="1">
      <c r="A3109" t="s">
        <v>467</v>
      </c>
      <c r="B3109" t="s">
        <v>6</v>
      </c>
      <c r="C3109" t="s">
        <v>50</v>
      </c>
      <c r="D3109" s="24">
        <v>46143</v>
      </c>
      <c r="E3109" t="s">
        <v>232</v>
      </c>
      <c r="F3109" t="s">
        <v>4</v>
      </c>
      <c r="G3109" t="s">
        <v>217</v>
      </c>
      <c r="H3109" t="s">
        <v>217</v>
      </c>
      <c r="I3109" t="s">
        <v>304</v>
      </c>
      <c r="J3109" s="25">
        <v>251</v>
      </c>
      <c r="K3109" s="26">
        <v>44.22</v>
      </c>
      <c r="L3109" s="26">
        <v>2.2799999999999998</v>
      </c>
    </row>
    <row r="3110" spans="1:12" ht="16" customHeight="1">
      <c r="A3110" t="s">
        <v>467</v>
      </c>
      <c r="B3110" t="s">
        <v>6</v>
      </c>
      <c r="C3110" t="s">
        <v>50</v>
      </c>
      <c r="D3110" s="24">
        <v>46143</v>
      </c>
      <c r="E3110" t="s">
        <v>234</v>
      </c>
      <c r="F3110" t="s">
        <v>4</v>
      </c>
      <c r="G3110" t="s">
        <v>217</v>
      </c>
      <c r="H3110" t="s">
        <v>217</v>
      </c>
      <c r="I3110" t="s">
        <v>305</v>
      </c>
      <c r="J3110" s="25">
        <v>0</v>
      </c>
      <c r="K3110" s="26">
        <v>0</v>
      </c>
      <c r="L3110" s="26">
        <v>0</v>
      </c>
    </row>
    <row r="3111" spans="1:12" ht="16" customHeight="1">
      <c r="A3111" t="s">
        <v>467</v>
      </c>
      <c r="B3111" t="s">
        <v>6</v>
      </c>
      <c r="C3111" t="s">
        <v>50</v>
      </c>
      <c r="D3111" s="24">
        <v>46143</v>
      </c>
      <c r="E3111" t="s">
        <v>236</v>
      </c>
      <c r="F3111" t="s">
        <v>4</v>
      </c>
      <c r="G3111" t="s">
        <v>217</v>
      </c>
      <c r="H3111" t="s">
        <v>217</v>
      </c>
      <c r="I3111" t="s">
        <v>306</v>
      </c>
      <c r="J3111" s="25">
        <v>15</v>
      </c>
      <c r="K3111" s="26">
        <v>3</v>
      </c>
      <c r="L3111" s="26">
        <v>0.15</v>
      </c>
    </row>
    <row r="3112" spans="1:12" ht="16" customHeight="1">
      <c r="A3112" t="s">
        <v>467</v>
      </c>
      <c r="B3112" t="s">
        <v>6</v>
      </c>
      <c r="C3112" t="s">
        <v>50</v>
      </c>
      <c r="D3112" s="24">
        <v>46143</v>
      </c>
      <c r="E3112" t="s">
        <v>238</v>
      </c>
      <c r="F3112" t="s">
        <v>4</v>
      </c>
      <c r="G3112" t="s">
        <v>217</v>
      </c>
      <c r="H3112" t="s">
        <v>217</v>
      </c>
      <c r="I3112" t="s">
        <v>307</v>
      </c>
      <c r="J3112" s="25">
        <v>4</v>
      </c>
      <c r="K3112" s="26">
        <v>0.68</v>
      </c>
      <c r="L3112" s="26">
        <v>0.03</v>
      </c>
    </row>
    <row r="3113" spans="1:12" ht="16" customHeight="1">
      <c r="A3113" t="s">
        <v>467</v>
      </c>
      <c r="B3113" t="s">
        <v>6</v>
      </c>
      <c r="C3113" t="s">
        <v>50</v>
      </c>
      <c r="D3113" s="24">
        <v>46143</v>
      </c>
      <c r="E3113" t="s">
        <v>240</v>
      </c>
      <c r="F3113" t="s">
        <v>3</v>
      </c>
      <c r="G3113" t="s">
        <v>241</v>
      </c>
      <c r="H3113" t="s">
        <v>241</v>
      </c>
      <c r="I3113" t="s">
        <v>308</v>
      </c>
      <c r="J3113" s="25">
        <v>2</v>
      </c>
      <c r="K3113" s="26">
        <v>0.43</v>
      </c>
      <c r="L3113" s="26">
        <v>0.04</v>
      </c>
    </row>
    <row r="3114" spans="1:12" ht="16" customHeight="1">
      <c r="A3114" t="s">
        <v>467</v>
      </c>
      <c r="B3114" t="s">
        <v>6</v>
      </c>
      <c r="C3114" t="s">
        <v>50</v>
      </c>
      <c r="D3114" s="24">
        <v>46143</v>
      </c>
      <c r="E3114" t="s">
        <v>243</v>
      </c>
      <c r="F3114" t="s">
        <v>4</v>
      </c>
      <c r="G3114" t="s">
        <v>217</v>
      </c>
      <c r="H3114" t="s">
        <v>217</v>
      </c>
      <c r="I3114" t="s">
        <v>309</v>
      </c>
      <c r="J3114" s="25">
        <v>0</v>
      </c>
      <c r="K3114" s="26">
        <v>0</v>
      </c>
      <c r="L3114" s="26">
        <v>0</v>
      </c>
    </row>
    <row r="3115" spans="1:12" ht="16" customHeight="1">
      <c r="A3115" t="s">
        <v>467</v>
      </c>
      <c r="B3115" t="s">
        <v>6</v>
      </c>
      <c r="C3115" t="s">
        <v>50</v>
      </c>
      <c r="D3115" s="24">
        <v>46143</v>
      </c>
      <c r="E3115" t="s">
        <v>360</v>
      </c>
      <c r="F3115" t="s">
        <v>4</v>
      </c>
      <c r="G3115" t="s">
        <v>217</v>
      </c>
      <c r="H3115" t="s">
        <v>217</v>
      </c>
      <c r="I3115" t="s">
        <v>310</v>
      </c>
      <c r="J3115" s="25">
        <v>0</v>
      </c>
      <c r="K3115" s="26">
        <v>0</v>
      </c>
      <c r="L3115" s="26">
        <v>0</v>
      </c>
    </row>
    <row r="3116" spans="1:12" ht="16" customHeight="1">
      <c r="A3116" t="s">
        <v>468</v>
      </c>
      <c r="B3116" t="s">
        <v>7</v>
      </c>
      <c r="C3116" t="s">
        <v>51</v>
      </c>
      <c r="D3116" s="24">
        <v>46143</v>
      </c>
      <c r="E3116" t="s">
        <v>447</v>
      </c>
      <c r="F3116" t="s">
        <v>4</v>
      </c>
      <c r="G3116" t="s">
        <v>211</v>
      </c>
      <c r="H3116" t="s">
        <v>211</v>
      </c>
      <c r="I3116" t="s">
        <v>212</v>
      </c>
      <c r="J3116" s="25">
        <v>93307723</v>
      </c>
      <c r="K3116" s="26">
        <v>14425338.560000001</v>
      </c>
      <c r="L3116" s="26">
        <v>56976.36</v>
      </c>
    </row>
    <row r="3117" spans="1:12" ht="16" customHeight="1">
      <c r="A3117" t="s">
        <v>468</v>
      </c>
      <c r="B3117" t="s">
        <v>7</v>
      </c>
      <c r="C3117" t="s">
        <v>51</v>
      </c>
      <c r="D3117" s="24">
        <v>46143</v>
      </c>
      <c r="E3117" t="s">
        <v>416</v>
      </c>
      <c r="F3117" t="s">
        <v>4</v>
      </c>
      <c r="G3117" t="s">
        <v>217</v>
      </c>
      <c r="H3117" t="s">
        <v>217</v>
      </c>
      <c r="I3117" t="s">
        <v>212</v>
      </c>
      <c r="J3117" s="25">
        <v>3238043</v>
      </c>
      <c r="K3117" s="26">
        <v>502250.91</v>
      </c>
      <c r="L3117" s="26">
        <v>2962.35</v>
      </c>
    </row>
    <row r="3118" spans="1:12" ht="16" customHeight="1">
      <c r="A3118" t="s">
        <v>468</v>
      </c>
      <c r="B3118" t="s">
        <v>7</v>
      </c>
      <c r="C3118" t="s">
        <v>51</v>
      </c>
      <c r="D3118" s="24">
        <v>46143</v>
      </c>
      <c r="E3118" t="s">
        <v>452</v>
      </c>
      <c r="F3118" t="s">
        <v>4</v>
      </c>
      <c r="G3118" t="s">
        <v>211</v>
      </c>
      <c r="H3118" t="s">
        <v>211</v>
      </c>
      <c r="I3118" t="s">
        <v>219</v>
      </c>
      <c r="J3118" s="25">
        <v>133934</v>
      </c>
      <c r="K3118" s="26">
        <v>20834.91</v>
      </c>
      <c r="L3118" s="26">
        <v>135.1</v>
      </c>
    </row>
    <row r="3119" spans="1:12" ht="16" customHeight="1">
      <c r="A3119" t="s">
        <v>468</v>
      </c>
      <c r="B3119" t="s">
        <v>7</v>
      </c>
      <c r="C3119" t="s">
        <v>51</v>
      </c>
      <c r="D3119" s="24">
        <v>46143</v>
      </c>
      <c r="E3119" t="s">
        <v>461</v>
      </c>
      <c r="F3119" t="s">
        <v>4</v>
      </c>
      <c r="G3119" t="s">
        <v>211</v>
      </c>
      <c r="H3119" t="s">
        <v>211</v>
      </c>
      <c r="I3119" t="s">
        <v>219</v>
      </c>
      <c r="J3119" s="25">
        <v>22801</v>
      </c>
      <c r="K3119" s="26">
        <v>3579.1</v>
      </c>
      <c r="L3119" s="26">
        <v>36.19</v>
      </c>
    </row>
    <row r="3120" spans="1:12" ht="16" customHeight="1">
      <c r="A3120" t="s">
        <v>468</v>
      </c>
      <c r="B3120" t="s">
        <v>7</v>
      </c>
      <c r="C3120" t="s">
        <v>51</v>
      </c>
      <c r="D3120" s="24">
        <v>46143</v>
      </c>
      <c r="E3120" t="s">
        <v>466</v>
      </c>
      <c r="F3120" t="s">
        <v>4</v>
      </c>
      <c r="G3120" t="s">
        <v>211</v>
      </c>
      <c r="H3120" t="s">
        <v>211</v>
      </c>
      <c r="I3120" t="s">
        <v>219</v>
      </c>
      <c r="J3120" s="25">
        <v>3963</v>
      </c>
      <c r="K3120" s="26">
        <v>616.96</v>
      </c>
      <c r="L3120" s="26">
        <v>6.02</v>
      </c>
    </row>
    <row r="3121" spans="1:12" ht="16" customHeight="1">
      <c r="A3121" t="s">
        <v>468</v>
      </c>
      <c r="B3121" t="s">
        <v>7</v>
      </c>
      <c r="C3121" t="s">
        <v>51</v>
      </c>
      <c r="D3121" s="24">
        <v>46143</v>
      </c>
      <c r="E3121" t="s">
        <v>226</v>
      </c>
      <c r="F3121" t="s">
        <v>4</v>
      </c>
      <c r="G3121" t="s">
        <v>217</v>
      </c>
      <c r="H3121" t="s">
        <v>217</v>
      </c>
      <c r="I3121" t="s">
        <v>219</v>
      </c>
      <c r="J3121" s="25">
        <v>323782</v>
      </c>
      <c r="K3121" s="26">
        <v>50629.25</v>
      </c>
      <c r="L3121" s="26">
        <v>564.87</v>
      </c>
    </row>
    <row r="3122" spans="1:12" ht="16" customHeight="1">
      <c r="A3122" t="s">
        <v>468</v>
      </c>
      <c r="B3122" t="s">
        <v>7</v>
      </c>
      <c r="C3122" t="s">
        <v>51</v>
      </c>
      <c r="D3122" s="24">
        <v>46143</v>
      </c>
      <c r="E3122" t="s">
        <v>457</v>
      </c>
      <c r="F3122" t="s">
        <v>4</v>
      </c>
      <c r="G3122" t="s">
        <v>217</v>
      </c>
      <c r="H3122" t="s">
        <v>217</v>
      </c>
      <c r="I3122" t="s">
        <v>221</v>
      </c>
      <c r="J3122" s="25">
        <v>34707</v>
      </c>
      <c r="K3122" s="26">
        <v>5394.27</v>
      </c>
      <c r="L3122" s="26">
        <v>90.61</v>
      </c>
    </row>
    <row r="3123" spans="1:12" ht="16" customHeight="1">
      <c r="A3123" t="s">
        <v>468</v>
      </c>
      <c r="B3123" t="s">
        <v>7</v>
      </c>
      <c r="C3123" t="s">
        <v>51</v>
      </c>
      <c r="D3123" s="24">
        <v>46143</v>
      </c>
      <c r="E3123" t="s">
        <v>269</v>
      </c>
      <c r="F3123" t="s">
        <v>4</v>
      </c>
      <c r="G3123" t="s">
        <v>217</v>
      </c>
      <c r="H3123" t="s">
        <v>217</v>
      </c>
      <c r="I3123" t="s">
        <v>300</v>
      </c>
      <c r="J3123" s="25">
        <v>15380</v>
      </c>
      <c r="K3123" s="26">
        <v>2485.5300000000002</v>
      </c>
      <c r="L3123" s="26">
        <v>41.04</v>
      </c>
    </row>
    <row r="3124" spans="1:12" ht="16" customHeight="1">
      <c r="A3124" t="s">
        <v>468</v>
      </c>
      <c r="B3124" t="s">
        <v>7</v>
      </c>
      <c r="C3124" t="s">
        <v>51</v>
      </c>
      <c r="D3124" s="24">
        <v>46143</v>
      </c>
      <c r="E3124" t="s">
        <v>228</v>
      </c>
      <c r="F3124" t="s">
        <v>4</v>
      </c>
      <c r="G3124" t="s">
        <v>217</v>
      </c>
      <c r="H3124" t="s">
        <v>217</v>
      </c>
      <c r="I3124" t="s">
        <v>301</v>
      </c>
      <c r="J3124" s="25">
        <v>27183</v>
      </c>
      <c r="K3124" s="26">
        <v>4383.07</v>
      </c>
      <c r="L3124" s="26">
        <v>134.25</v>
      </c>
    </row>
    <row r="3125" spans="1:12" ht="16" customHeight="1">
      <c r="A3125" t="s">
        <v>468</v>
      </c>
      <c r="B3125" t="s">
        <v>7</v>
      </c>
      <c r="C3125" t="s">
        <v>51</v>
      </c>
      <c r="D3125" s="24">
        <v>46143</v>
      </c>
      <c r="E3125" t="s">
        <v>439</v>
      </c>
      <c r="F3125" t="s">
        <v>4</v>
      </c>
      <c r="G3125" t="s">
        <v>217</v>
      </c>
      <c r="H3125" t="s">
        <v>217</v>
      </c>
      <c r="I3125" t="s">
        <v>302</v>
      </c>
      <c r="J3125" s="25">
        <v>0</v>
      </c>
      <c r="K3125" s="26">
        <v>0</v>
      </c>
      <c r="L3125" s="26">
        <v>0</v>
      </c>
    </row>
    <row r="3126" spans="1:12" ht="16" customHeight="1">
      <c r="A3126" t="s">
        <v>468</v>
      </c>
      <c r="B3126" t="s">
        <v>7</v>
      </c>
      <c r="C3126" t="s">
        <v>51</v>
      </c>
      <c r="D3126" s="24">
        <v>46143</v>
      </c>
      <c r="E3126" t="s">
        <v>230</v>
      </c>
      <c r="F3126" t="s">
        <v>4</v>
      </c>
      <c r="G3126" t="s">
        <v>217</v>
      </c>
      <c r="H3126" t="s">
        <v>217</v>
      </c>
      <c r="I3126" t="s">
        <v>303</v>
      </c>
      <c r="J3126" s="25">
        <v>0</v>
      </c>
      <c r="K3126" s="26">
        <v>0</v>
      </c>
      <c r="L3126" s="26">
        <v>0</v>
      </c>
    </row>
    <row r="3127" spans="1:12" ht="16" customHeight="1">
      <c r="A3127" t="s">
        <v>468</v>
      </c>
      <c r="B3127" t="s">
        <v>7</v>
      </c>
      <c r="C3127" t="s">
        <v>51</v>
      </c>
      <c r="D3127" s="24">
        <v>46143</v>
      </c>
      <c r="E3127" t="s">
        <v>232</v>
      </c>
      <c r="F3127" t="s">
        <v>4</v>
      </c>
      <c r="G3127" t="s">
        <v>217</v>
      </c>
      <c r="H3127" t="s">
        <v>217</v>
      </c>
      <c r="I3127" t="s">
        <v>304</v>
      </c>
      <c r="J3127" s="25">
        <v>100</v>
      </c>
      <c r="K3127" s="26">
        <v>16.489999999999998</v>
      </c>
      <c r="L3127" s="26">
        <v>0.72</v>
      </c>
    </row>
    <row r="3128" spans="1:12" ht="16" customHeight="1">
      <c r="A3128" t="s">
        <v>468</v>
      </c>
      <c r="B3128" t="s">
        <v>7</v>
      </c>
      <c r="C3128" t="s">
        <v>51</v>
      </c>
      <c r="D3128" s="24">
        <v>46143</v>
      </c>
      <c r="E3128" t="s">
        <v>234</v>
      </c>
      <c r="F3128" t="s">
        <v>4</v>
      </c>
      <c r="G3128" t="s">
        <v>217</v>
      </c>
      <c r="H3128" t="s">
        <v>217</v>
      </c>
      <c r="I3128" t="s">
        <v>305</v>
      </c>
      <c r="J3128" s="25">
        <v>0</v>
      </c>
      <c r="K3128" s="26">
        <v>0</v>
      </c>
      <c r="L3128" s="26">
        <v>0</v>
      </c>
    </row>
    <row r="3129" spans="1:12" ht="16" customHeight="1">
      <c r="A3129" t="s">
        <v>468</v>
      </c>
      <c r="B3129" t="s">
        <v>7</v>
      </c>
      <c r="C3129" t="s">
        <v>51</v>
      </c>
      <c r="D3129" s="24">
        <v>46143</v>
      </c>
      <c r="E3129" t="s">
        <v>236</v>
      </c>
      <c r="F3129" t="s">
        <v>4</v>
      </c>
      <c r="G3129" t="s">
        <v>217</v>
      </c>
      <c r="H3129" t="s">
        <v>217</v>
      </c>
      <c r="I3129" t="s">
        <v>306</v>
      </c>
      <c r="J3129" s="25">
        <v>1</v>
      </c>
      <c r="K3129" s="26">
        <v>0.18</v>
      </c>
      <c r="L3129" s="26">
        <v>0.02</v>
      </c>
    </row>
    <row r="3130" spans="1:12" ht="16" customHeight="1">
      <c r="A3130" t="s">
        <v>468</v>
      </c>
      <c r="B3130" t="s">
        <v>7</v>
      </c>
      <c r="C3130" t="s">
        <v>51</v>
      </c>
      <c r="D3130" s="24">
        <v>46143</v>
      </c>
      <c r="E3130" t="s">
        <v>238</v>
      </c>
      <c r="F3130" t="s">
        <v>4</v>
      </c>
      <c r="G3130" t="s">
        <v>217</v>
      </c>
      <c r="H3130" t="s">
        <v>217</v>
      </c>
      <c r="I3130" t="s">
        <v>307</v>
      </c>
      <c r="J3130" s="25">
        <v>2</v>
      </c>
      <c r="K3130" s="26">
        <v>0.32</v>
      </c>
      <c r="L3130" s="26">
        <v>0.01</v>
      </c>
    </row>
    <row r="3131" spans="1:12" ht="16" customHeight="1">
      <c r="A3131" t="s">
        <v>468</v>
      </c>
      <c r="B3131" t="s">
        <v>7</v>
      </c>
      <c r="C3131" t="s">
        <v>51</v>
      </c>
      <c r="D3131" s="24">
        <v>46143</v>
      </c>
      <c r="E3131" t="s">
        <v>240</v>
      </c>
      <c r="F3131" t="s">
        <v>3</v>
      </c>
      <c r="G3131" t="s">
        <v>241</v>
      </c>
      <c r="H3131" t="s">
        <v>241</v>
      </c>
      <c r="I3131" t="s">
        <v>308</v>
      </c>
      <c r="J3131" s="25">
        <v>0</v>
      </c>
      <c r="K3131" s="26">
        <v>0</v>
      </c>
      <c r="L3131" s="26">
        <v>0</v>
      </c>
    </row>
    <row r="3132" spans="1:12" ht="16" customHeight="1">
      <c r="A3132" t="s">
        <v>468</v>
      </c>
      <c r="B3132" t="s">
        <v>7</v>
      </c>
      <c r="C3132" t="s">
        <v>51</v>
      </c>
      <c r="D3132" s="24">
        <v>46143</v>
      </c>
      <c r="E3132" t="s">
        <v>243</v>
      </c>
      <c r="F3132" t="s">
        <v>4</v>
      </c>
      <c r="G3132" t="s">
        <v>217</v>
      </c>
      <c r="H3132" t="s">
        <v>217</v>
      </c>
      <c r="I3132" t="s">
        <v>309</v>
      </c>
      <c r="J3132" s="25">
        <v>0</v>
      </c>
      <c r="K3132" s="26">
        <v>0</v>
      </c>
      <c r="L3132" s="26">
        <v>0</v>
      </c>
    </row>
    <row r="3133" spans="1:12" ht="16" customHeight="1">
      <c r="A3133" t="s">
        <v>468</v>
      </c>
      <c r="B3133" t="s">
        <v>7</v>
      </c>
      <c r="C3133" t="s">
        <v>51</v>
      </c>
      <c r="D3133" s="24">
        <v>46143</v>
      </c>
      <c r="E3133" t="s">
        <v>360</v>
      </c>
      <c r="F3133" t="s">
        <v>4</v>
      </c>
      <c r="G3133" t="s">
        <v>217</v>
      </c>
      <c r="H3133" t="s">
        <v>217</v>
      </c>
      <c r="I3133" t="s">
        <v>310</v>
      </c>
      <c r="J3133" s="25">
        <v>0</v>
      </c>
      <c r="K3133" s="26">
        <v>0</v>
      </c>
      <c r="L3133" s="26">
        <v>0</v>
      </c>
    </row>
    <row r="3134" spans="1:12" ht="16" customHeight="1">
      <c r="A3134" t="s">
        <v>469</v>
      </c>
      <c r="B3134" t="s">
        <v>3</v>
      </c>
      <c r="C3134" t="s">
        <v>51</v>
      </c>
      <c r="D3134" s="24">
        <v>46143</v>
      </c>
      <c r="E3134" t="s">
        <v>447</v>
      </c>
      <c r="F3134" t="s">
        <v>4</v>
      </c>
      <c r="G3134" t="s">
        <v>211</v>
      </c>
      <c r="H3134" t="s">
        <v>211</v>
      </c>
      <c r="I3134" t="s">
        <v>212</v>
      </c>
      <c r="J3134" s="25">
        <v>157173362</v>
      </c>
      <c r="K3134" s="26">
        <v>24123699.059999999</v>
      </c>
      <c r="L3134" s="26">
        <v>68139.740000000005</v>
      </c>
    </row>
    <row r="3135" spans="1:12" ht="16" customHeight="1">
      <c r="A3135" t="s">
        <v>469</v>
      </c>
      <c r="B3135" t="s">
        <v>3</v>
      </c>
      <c r="C3135" t="s">
        <v>51</v>
      </c>
      <c r="D3135" s="24">
        <v>46143</v>
      </c>
      <c r="E3135" t="s">
        <v>416</v>
      </c>
      <c r="F3135" t="s">
        <v>4</v>
      </c>
      <c r="G3135" t="s">
        <v>217</v>
      </c>
      <c r="H3135" t="s">
        <v>217</v>
      </c>
      <c r="I3135" t="s">
        <v>212</v>
      </c>
      <c r="J3135" s="25">
        <v>5888580</v>
      </c>
      <c r="K3135" s="26">
        <v>910183.97</v>
      </c>
      <c r="L3135" s="26">
        <v>5246.11</v>
      </c>
    </row>
    <row r="3136" spans="1:12" ht="16" customHeight="1">
      <c r="A3136" t="s">
        <v>469</v>
      </c>
      <c r="B3136" t="s">
        <v>3</v>
      </c>
      <c r="C3136" t="s">
        <v>51</v>
      </c>
      <c r="D3136" s="24">
        <v>46143</v>
      </c>
      <c r="E3136" t="s">
        <v>452</v>
      </c>
      <c r="F3136" t="s">
        <v>4</v>
      </c>
      <c r="G3136" t="s">
        <v>211</v>
      </c>
      <c r="H3136" t="s">
        <v>211</v>
      </c>
      <c r="I3136" t="s">
        <v>219</v>
      </c>
      <c r="J3136" s="25">
        <v>317602</v>
      </c>
      <c r="K3136" s="26">
        <v>49568.07</v>
      </c>
      <c r="L3136" s="26">
        <v>308.95</v>
      </c>
    </row>
    <row r="3137" spans="1:12" ht="16" customHeight="1">
      <c r="A3137" t="s">
        <v>469</v>
      </c>
      <c r="B3137" t="s">
        <v>3</v>
      </c>
      <c r="C3137" t="s">
        <v>51</v>
      </c>
      <c r="D3137" s="24">
        <v>46143</v>
      </c>
      <c r="E3137" t="s">
        <v>461</v>
      </c>
      <c r="F3137" t="s">
        <v>4</v>
      </c>
      <c r="G3137" t="s">
        <v>211</v>
      </c>
      <c r="H3137" t="s">
        <v>211</v>
      </c>
      <c r="I3137" t="s">
        <v>219</v>
      </c>
      <c r="J3137" s="25">
        <v>37348</v>
      </c>
      <c r="K3137" s="26">
        <v>5836.99</v>
      </c>
      <c r="L3137" s="26">
        <v>52.09</v>
      </c>
    </row>
    <row r="3138" spans="1:12" ht="16" customHeight="1">
      <c r="A3138" t="s">
        <v>469</v>
      </c>
      <c r="B3138" t="s">
        <v>3</v>
      </c>
      <c r="C3138" t="s">
        <v>51</v>
      </c>
      <c r="D3138" s="24">
        <v>46143</v>
      </c>
      <c r="E3138" t="s">
        <v>466</v>
      </c>
      <c r="F3138" t="s">
        <v>4</v>
      </c>
      <c r="G3138" t="s">
        <v>211</v>
      </c>
      <c r="H3138" t="s">
        <v>211</v>
      </c>
      <c r="I3138" t="s">
        <v>219</v>
      </c>
      <c r="J3138" s="25">
        <v>4896</v>
      </c>
      <c r="K3138" s="26">
        <v>773.36</v>
      </c>
      <c r="L3138" s="26">
        <v>7.07</v>
      </c>
    </row>
    <row r="3139" spans="1:12" ht="16" customHeight="1">
      <c r="A3139" t="s">
        <v>469</v>
      </c>
      <c r="B3139" t="s">
        <v>3</v>
      </c>
      <c r="C3139" t="s">
        <v>51</v>
      </c>
      <c r="D3139" s="24">
        <v>46143</v>
      </c>
      <c r="E3139" t="s">
        <v>226</v>
      </c>
      <c r="F3139" t="s">
        <v>4</v>
      </c>
      <c r="G3139" t="s">
        <v>217</v>
      </c>
      <c r="H3139" t="s">
        <v>217</v>
      </c>
      <c r="I3139" t="s">
        <v>219</v>
      </c>
      <c r="J3139" s="25">
        <v>543078</v>
      </c>
      <c r="K3139" s="26">
        <v>84934.54</v>
      </c>
      <c r="L3139" s="26">
        <v>940.14</v>
      </c>
    </row>
    <row r="3140" spans="1:12" ht="16" customHeight="1">
      <c r="A3140" t="s">
        <v>469</v>
      </c>
      <c r="B3140" t="s">
        <v>3</v>
      </c>
      <c r="C3140" t="s">
        <v>51</v>
      </c>
      <c r="D3140" s="24">
        <v>46143</v>
      </c>
      <c r="E3140" t="s">
        <v>457</v>
      </c>
      <c r="F3140" t="s">
        <v>4</v>
      </c>
      <c r="G3140" t="s">
        <v>217</v>
      </c>
      <c r="H3140" t="s">
        <v>217</v>
      </c>
      <c r="I3140" t="s">
        <v>221</v>
      </c>
      <c r="J3140" s="25">
        <v>52249</v>
      </c>
      <c r="K3140" s="26">
        <v>8330.5499999999993</v>
      </c>
      <c r="L3140" s="26">
        <v>135.16999999999999</v>
      </c>
    </row>
    <row r="3141" spans="1:12" ht="16" customHeight="1">
      <c r="A3141" t="s">
        <v>469</v>
      </c>
      <c r="B3141" t="s">
        <v>3</v>
      </c>
      <c r="C3141" t="s">
        <v>51</v>
      </c>
      <c r="D3141" s="24">
        <v>46143</v>
      </c>
      <c r="E3141" t="s">
        <v>269</v>
      </c>
      <c r="F3141" t="s">
        <v>4</v>
      </c>
      <c r="G3141" t="s">
        <v>217</v>
      </c>
      <c r="H3141" t="s">
        <v>217</v>
      </c>
      <c r="I3141" t="s">
        <v>300</v>
      </c>
      <c r="J3141" s="25">
        <v>17205</v>
      </c>
      <c r="K3141" s="26">
        <v>2768.34</v>
      </c>
      <c r="L3141" s="26">
        <v>54.95</v>
      </c>
    </row>
    <row r="3142" spans="1:12" ht="16" customHeight="1">
      <c r="A3142" t="s">
        <v>469</v>
      </c>
      <c r="B3142" t="s">
        <v>3</v>
      </c>
      <c r="C3142" t="s">
        <v>51</v>
      </c>
      <c r="D3142" s="24">
        <v>46143</v>
      </c>
      <c r="E3142" t="s">
        <v>228</v>
      </c>
      <c r="F3142" t="s">
        <v>4</v>
      </c>
      <c r="G3142" t="s">
        <v>217</v>
      </c>
      <c r="H3142" t="s">
        <v>217</v>
      </c>
      <c r="I3142" t="s">
        <v>301</v>
      </c>
      <c r="J3142" s="25">
        <v>44266</v>
      </c>
      <c r="K3142" s="26">
        <v>7150.87</v>
      </c>
      <c r="L3142" s="26">
        <v>214.71</v>
      </c>
    </row>
    <row r="3143" spans="1:12" ht="16" customHeight="1">
      <c r="A3143" t="s">
        <v>469</v>
      </c>
      <c r="B3143" t="s">
        <v>3</v>
      </c>
      <c r="C3143" t="s">
        <v>51</v>
      </c>
      <c r="D3143" s="24">
        <v>46143</v>
      </c>
      <c r="E3143" t="s">
        <v>439</v>
      </c>
      <c r="F3143" t="s">
        <v>4</v>
      </c>
      <c r="G3143" t="s">
        <v>217</v>
      </c>
      <c r="H3143" t="s">
        <v>217</v>
      </c>
      <c r="I3143" t="s">
        <v>302</v>
      </c>
      <c r="J3143" s="25">
        <v>4</v>
      </c>
      <c r="K3143" s="26">
        <v>0.55000000000000004</v>
      </c>
      <c r="L3143" s="26">
        <v>0.01</v>
      </c>
    </row>
    <row r="3144" spans="1:12" ht="16" customHeight="1">
      <c r="A3144" t="s">
        <v>469</v>
      </c>
      <c r="B3144" t="s">
        <v>3</v>
      </c>
      <c r="C3144" t="s">
        <v>51</v>
      </c>
      <c r="D3144" s="24">
        <v>46143</v>
      </c>
      <c r="E3144" t="s">
        <v>230</v>
      </c>
      <c r="F3144" t="s">
        <v>4</v>
      </c>
      <c r="G3144" t="s">
        <v>217</v>
      </c>
      <c r="H3144" t="s">
        <v>217</v>
      </c>
      <c r="I3144" t="s">
        <v>303</v>
      </c>
      <c r="J3144" s="25">
        <v>6</v>
      </c>
      <c r="K3144" s="26">
        <v>0.83</v>
      </c>
      <c r="L3144" s="26">
        <v>0.02</v>
      </c>
    </row>
    <row r="3145" spans="1:12" ht="16" customHeight="1">
      <c r="A3145" t="s">
        <v>469</v>
      </c>
      <c r="B3145" t="s">
        <v>3</v>
      </c>
      <c r="C3145" t="s">
        <v>51</v>
      </c>
      <c r="D3145" s="24">
        <v>46143</v>
      </c>
      <c r="E3145" t="s">
        <v>232</v>
      </c>
      <c r="F3145" t="s">
        <v>4</v>
      </c>
      <c r="G3145" t="s">
        <v>217</v>
      </c>
      <c r="H3145" t="s">
        <v>217</v>
      </c>
      <c r="I3145" t="s">
        <v>304</v>
      </c>
      <c r="J3145" s="25">
        <v>555</v>
      </c>
      <c r="K3145" s="26">
        <v>94.35</v>
      </c>
      <c r="L3145" s="26">
        <v>3.53</v>
      </c>
    </row>
    <row r="3146" spans="1:12" ht="16" customHeight="1">
      <c r="A3146" t="s">
        <v>469</v>
      </c>
      <c r="B3146" t="s">
        <v>3</v>
      </c>
      <c r="C3146" t="s">
        <v>51</v>
      </c>
      <c r="D3146" s="24">
        <v>46143</v>
      </c>
      <c r="E3146" t="s">
        <v>234</v>
      </c>
      <c r="F3146" t="s">
        <v>4</v>
      </c>
      <c r="G3146" t="s">
        <v>217</v>
      </c>
      <c r="H3146" t="s">
        <v>217</v>
      </c>
      <c r="I3146" t="s">
        <v>305</v>
      </c>
      <c r="J3146" s="25">
        <v>0</v>
      </c>
      <c r="K3146" s="26">
        <v>0</v>
      </c>
      <c r="L3146" s="26">
        <v>0</v>
      </c>
    </row>
    <row r="3147" spans="1:12" ht="16" customHeight="1">
      <c r="A3147" t="s">
        <v>469</v>
      </c>
      <c r="B3147" t="s">
        <v>3</v>
      </c>
      <c r="C3147" t="s">
        <v>51</v>
      </c>
      <c r="D3147" s="24">
        <v>46143</v>
      </c>
      <c r="E3147" t="s">
        <v>236</v>
      </c>
      <c r="F3147" t="s">
        <v>4</v>
      </c>
      <c r="G3147" t="s">
        <v>217</v>
      </c>
      <c r="H3147" t="s">
        <v>217</v>
      </c>
      <c r="I3147" t="s">
        <v>306</v>
      </c>
      <c r="J3147" s="25">
        <v>9</v>
      </c>
      <c r="K3147" s="26">
        <v>1.63</v>
      </c>
      <c r="L3147" s="26">
        <v>0.11</v>
      </c>
    </row>
    <row r="3148" spans="1:12" ht="16" customHeight="1">
      <c r="A3148" t="s">
        <v>469</v>
      </c>
      <c r="B3148" t="s">
        <v>3</v>
      </c>
      <c r="C3148" t="s">
        <v>51</v>
      </c>
      <c r="D3148" s="24">
        <v>46143</v>
      </c>
      <c r="E3148" t="s">
        <v>238</v>
      </c>
      <c r="F3148" t="s">
        <v>4</v>
      </c>
      <c r="G3148" t="s">
        <v>217</v>
      </c>
      <c r="H3148" t="s">
        <v>217</v>
      </c>
      <c r="I3148" t="s">
        <v>307</v>
      </c>
      <c r="J3148" s="25">
        <v>0</v>
      </c>
      <c r="K3148" s="26">
        <v>0</v>
      </c>
      <c r="L3148" s="26">
        <v>0</v>
      </c>
    </row>
    <row r="3149" spans="1:12" ht="16" customHeight="1">
      <c r="A3149" t="s">
        <v>469</v>
      </c>
      <c r="B3149" t="s">
        <v>3</v>
      </c>
      <c r="C3149" t="s">
        <v>51</v>
      </c>
      <c r="D3149" s="24">
        <v>46143</v>
      </c>
      <c r="E3149" t="s">
        <v>240</v>
      </c>
      <c r="F3149" t="s">
        <v>3</v>
      </c>
      <c r="G3149" t="s">
        <v>241</v>
      </c>
      <c r="H3149" t="s">
        <v>241</v>
      </c>
      <c r="I3149" t="s">
        <v>308</v>
      </c>
      <c r="J3149" s="25">
        <v>0</v>
      </c>
      <c r="K3149" s="26">
        <v>0</v>
      </c>
      <c r="L3149" s="26">
        <v>0</v>
      </c>
    </row>
    <row r="3150" spans="1:12" ht="16" customHeight="1">
      <c r="A3150" t="s">
        <v>469</v>
      </c>
      <c r="B3150" t="s">
        <v>3</v>
      </c>
      <c r="C3150" t="s">
        <v>51</v>
      </c>
      <c r="D3150" s="24">
        <v>46143</v>
      </c>
      <c r="E3150" t="s">
        <v>243</v>
      </c>
      <c r="F3150" t="s">
        <v>4</v>
      </c>
      <c r="G3150" t="s">
        <v>217</v>
      </c>
      <c r="H3150" t="s">
        <v>217</v>
      </c>
      <c r="I3150" t="s">
        <v>309</v>
      </c>
      <c r="J3150" s="25">
        <v>0</v>
      </c>
      <c r="K3150" s="26">
        <v>0</v>
      </c>
      <c r="L3150" s="26">
        <v>0</v>
      </c>
    </row>
    <row r="3151" spans="1:12" ht="16" customHeight="1">
      <c r="A3151" t="s">
        <v>469</v>
      </c>
      <c r="B3151" t="s">
        <v>3</v>
      </c>
      <c r="C3151" t="s">
        <v>51</v>
      </c>
      <c r="D3151" s="24">
        <v>46143</v>
      </c>
      <c r="E3151" t="s">
        <v>360</v>
      </c>
      <c r="F3151" t="s">
        <v>4</v>
      </c>
      <c r="G3151" t="s">
        <v>217</v>
      </c>
      <c r="H3151" t="s">
        <v>217</v>
      </c>
      <c r="I3151" t="s">
        <v>310</v>
      </c>
      <c r="J3151" s="25">
        <v>0</v>
      </c>
      <c r="K3151" s="26">
        <v>0</v>
      </c>
      <c r="L3151" s="26">
        <v>0</v>
      </c>
    </row>
    <row r="3152" spans="1:12" ht="16" customHeight="1">
      <c r="A3152" t="s">
        <v>447</v>
      </c>
      <c r="B3152" t="s">
        <v>4</v>
      </c>
      <c r="C3152" t="s">
        <v>51</v>
      </c>
      <c r="D3152" s="24">
        <v>46143</v>
      </c>
      <c r="E3152" t="s">
        <v>447</v>
      </c>
      <c r="F3152" t="s">
        <v>4</v>
      </c>
      <c r="G3152" t="s">
        <v>211</v>
      </c>
      <c r="H3152" t="s">
        <v>211</v>
      </c>
      <c r="I3152" t="s">
        <v>212</v>
      </c>
      <c r="J3152" s="25">
        <v>405798611</v>
      </c>
      <c r="K3152" s="26">
        <v>62507790.939999998</v>
      </c>
      <c r="L3152" s="26">
        <v>65401.19</v>
      </c>
    </row>
    <row r="3153" spans="1:12" ht="16" customHeight="1">
      <c r="A3153" t="s">
        <v>447</v>
      </c>
      <c r="B3153" t="s">
        <v>4</v>
      </c>
      <c r="C3153" t="s">
        <v>51</v>
      </c>
      <c r="D3153" s="24">
        <v>46143</v>
      </c>
      <c r="E3153" t="s">
        <v>416</v>
      </c>
      <c r="F3153" t="s">
        <v>4</v>
      </c>
      <c r="G3153" t="s">
        <v>217</v>
      </c>
      <c r="H3153" t="s">
        <v>217</v>
      </c>
      <c r="I3153" t="s">
        <v>212</v>
      </c>
      <c r="J3153" s="25">
        <v>10359223</v>
      </c>
      <c r="K3153" s="26">
        <v>1599042.84</v>
      </c>
      <c r="L3153" s="26">
        <v>6786.9</v>
      </c>
    </row>
    <row r="3154" spans="1:12" ht="16" customHeight="1">
      <c r="A3154" t="s">
        <v>447</v>
      </c>
      <c r="B3154" t="s">
        <v>4</v>
      </c>
      <c r="C3154" t="s">
        <v>51</v>
      </c>
      <c r="D3154" s="24">
        <v>46143</v>
      </c>
      <c r="E3154" t="s">
        <v>452</v>
      </c>
      <c r="F3154" t="s">
        <v>4</v>
      </c>
      <c r="G3154" t="s">
        <v>211</v>
      </c>
      <c r="H3154" t="s">
        <v>211</v>
      </c>
      <c r="I3154" t="s">
        <v>219</v>
      </c>
      <c r="J3154" s="25">
        <v>377922</v>
      </c>
      <c r="K3154" s="26">
        <v>58629.06</v>
      </c>
      <c r="L3154" s="26">
        <v>341.76</v>
      </c>
    </row>
    <row r="3155" spans="1:12" ht="16" customHeight="1">
      <c r="A3155" t="s">
        <v>447</v>
      </c>
      <c r="B3155" t="s">
        <v>4</v>
      </c>
      <c r="C3155" t="s">
        <v>51</v>
      </c>
      <c r="D3155" s="24">
        <v>46143</v>
      </c>
      <c r="E3155" t="s">
        <v>461</v>
      </c>
      <c r="F3155" t="s">
        <v>4</v>
      </c>
      <c r="G3155" t="s">
        <v>211</v>
      </c>
      <c r="H3155" t="s">
        <v>211</v>
      </c>
      <c r="I3155" t="s">
        <v>219</v>
      </c>
      <c r="J3155" s="25">
        <v>47256</v>
      </c>
      <c r="K3155" s="26">
        <v>7315.32</v>
      </c>
      <c r="L3155" s="26">
        <v>59.98</v>
      </c>
    </row>
    <row r="3156" spans="1:12" ht="16" customHeight="1">
      <c r="A3156" t="s">
        <v>447</v>
      </c>
      <c r="B3156" t="s">
        <v>4</v>
      </c>
      <c r="C3156" t="s">
        <v>51</v>
      </c>
      <c r="D3156" s="24">
        <v>46143</v>
      </c>
      <c r="E3156" t="s">
        <v>466</v>
      </c>
      <c r="F3156" t="s">
        <v>4</v>
      </c>
      <c r="G3156" t="s">
        <v>211</v>
      </c>
      <c r="H3156" t="s">
        <v>211</v>
      </c>
      <c r="I3156" t="s">
        <v>219</v>
      </c>
      <c r="J3156" s="25">
        <v>6743</v>
      </c>
      <c r="K3156" s="26">
        <v>1056.3900000000001</v>
      </c>
      <c r="L3156" s="26">
        <v>8.0399999999999991</v>
      </c>
    </row>
    <row r="3157" spans="1:12" ht="16" customHeight="1">
      <c r="A3157" t="s">
        <v>447</v>
      </c>
      <c r="B3157" t="s">
        <v>4</v>
      </c>
      <c r="C3157" t="s">
        <v>51</v>
      </c>
      <c r="D3157" s="24">
        <v>46143</v>
      </c>
      <c r="E3157" t="s">
        <v>226</v>
      </c>
      <c r="F3157" t="s">
        <v>4</v>
      </c>
      <c r="G3157" t="s">
        <v>217</v>
      </c>
      <c r="H3157" t="s">
        <v>217</v>
      </c>
      <c r="I3157" t="s">
        <v>219</v>
      </c>
      <c r="J3157" s="25">
        <v>366093</v>
      </c>
      <c r="K3157" s="26">
        <v>57300.38</v>
      </c>
      <c r="L3157" s="26">
        <v>686.84</v>
      </c>
    </row>
    <row r="3158" spans="1:12" ht="16" customHeight="1">
      <c r="A3158" t="s">
        <v>447</v>
      </c>
      <c r="B3158" t="s">
        <v>4</v>
      </c>
      <c r="C3158" t="s">
        <v>51</v>
      </c>
      <c r="D3158" s="24">
        <v>46143</v>
      </c>
      <c r="E3158" t="s">
        <v>457</v>
      </c>
      <c r="F3158" t="s">
        <v>4</v>
      </c>
      <c r="G3158" t="s">
        <v>217</v>
      </c>
      <c r="H3158" t="s">
        <v>217</v>
      </c>
      <c r="I3158" t="s">
        <v>221</v>
      </c>
      <c r="J3158" s="25">
        <v>27688</v>
      </c>
      <c r="K3158" s="26">
        <v>4390.84</v>
      </c>
      <c r="L3158" s="26">
        <v>80.27</v>
      </c>
    </row>
    <row r="3159" spans="1:12" ht="16" customHeight="1">
      <c r="A3159" t="s">
        <v>447</v>
      </c>
      <c r="B3159" t="s">
        <v>4</v>
      </c>
      <c r="C3159" t="s">
        <v>51</v>
      </c>
      <c r="D3159" s="24">
        <v>46143</v>
      </c>
      <c r="E3159" t="s">
        <v>269</v>
      </c>
      <c r="F3159" t="s">
        <v>4</v>
      </c>
      <c r="G3159" t="s">
        <v>217</v>
      </c>
      <c r="H3159" t="s">
        <v>217</v>
      </c>
      <c r="I3159" t="s">
        <v>300</v>
      </c>
      <c r="J3159" s="25">
        <v>13657</v>
      </c>
      <c r="K3159" s="26">
        <v>2244.5</v>
      </c>
      <c r="L3159" s="26">
        <v>47.57</v>
      </c>
    </row>
    <row r="3160" spans="1:12" ht="16" customHeight="1">
      <c r="A3160" t="s">
        <v>447</v>
      </c>
      <c r="B3160" t="s">
        <v>4</v>
      </c>
      <c r="C3160" t="s">
        <v>51</v>
      </c>
      <c r="D3160" s="24">
        <v>46143</v>
      </c>
      <c r="E3160" t="s">
        <v>228</v>
      </c>
      <c r="F3160" t="s">
        <v>4</v>
      </c>
      <c r="G3160" t="s">
        <v>217</v>
      </c>
      <c r="H3160" t="s">
        <v>217</v>
      </c>
      <c r="I3160" t="s">
        <v>301</v>
      </c>
      <c r="J3160" s="25">
        <v>23880</v>
      </c>
      <c r="K3160" s="26">
        <v>3833.84</v>
      </c>
      <c r="L3160" s="26">
        <v>111.99</v>
      </c>
    </row>
    <row r="3161" spans="1:12" ht="16" customHeight="1">
      <c r="A3161" t="s">
        <v>447</v>
      </c>
      <c r="B3161" t="s">
        <v>4</v>
      </c>
      <c r="C3161" t="s">
        <v>51</v>
      </c>
      <c r="D3161" s="24">
        <v>46143</v>
      </c>
      <c r="E3161" t="s">
        <v>439</v>
      </c>
      <c r="F3161" t="s">
        <v>4</v>
      </c>
      <c r="G3161" t="s">
        <v>217</v>
      </c>
      <c r="H3161" t="s">
        <v>217</v>
      </c>
      <c r="I3161" t="s">
        <v>302</v>
      </c>
      <c r="J3161" s="25">
        <v>0</v>
      </c>
      <c r="K3161" s="26">
        <v>0</v>
      </c>
      <c r="L3161" s="26">
        <v>0</v>
      </c>
    </row>
    <row r="3162" spans="1:12" ht="16" customHeight="1">
      <c r="A3162" t="s">
        <v>447</v>
      </c>
      <c r="B3162" t="s">
        <v>4</v>
      </c>
      <c r="C3162" t="s">
        <v>51</v>
      </c>
      <c r="D3162" s="24">
        <v>46143</v>
      </c>
      <c r="E3162" t="s">
        <v>230</v>
      </c>
      <c r="F3162" t="s">
        <v>4</v>
      </c>
      <c r="G3162" t="s">
        <v>217</v>
      </c>
      <c r="H3162" t="s">
        <v>217</v>
      </c>
      <c r="I3162" t="s">
        <v>303</v>
      </c>
      <c r="J3162" s="25">
        <v>1</v>
      </c>
      <c r="K3162" s="26">
        <v>0.17</v>
      </c>
      <c r="L3162" s="26">
        <v>0.02</v>
      </c>
    </row>
    <row r="3163" spans="1:12" ht="16" customHeight="1">
      <c r="A3163" t="s">
        <v>447</v>
      </c>
      <c r="B3163" t="s">
        <v>4</v>
      </c>
      <c r="C3163" t="s">
        <v>51</v>
      </c>
      <c r="D3163" s="24">
        <v>46143</v>
      </c>
      <c r="E3163" t="s">
        <v>232</v>
      </c>
      <c r="F3163" t="s">
        <v>4</v>
      </c>
      <c r="G3163" t="s">
        <v>217</v>
      </c>
      <c r="H3163" t="s">
        <v>217</v>
      </c>
      <c r="I3163" t="s">
        <v>304</v>
      </c>
      <c r="J3163" s="25">
        <v>250</v>
      </c>
      <c r="K3163" s="26">
        <v>46.66</v>
      </c>
      <c r="L3163" s="26">
        <v>1.43</v>
      </c>
    </row>
    <row r="3164" spans="1:12" ht="16" customHeight="1">
      <c r="A3164" t="s">
        <v>447</v>
      </c>
      <c r="B3164" t="s">
        <v>4</v>
      </c>
      <c r="C3164" t="s">
        <v>51</v>
      </c>
      <c r="D3164" s="24">
        <v>46143</v>
      </c>
      <c r="E3164" t="s">
        <v>234</v>
      </c>
      <c r="F3164" t="s">
        <v>4</v>
      </c>
      <c r="G3164" t="s">
        <v>217</v>
      </c>
      <c r="H3164" t="s">
        <v>217</v>
      </c>
      <c r="I3164" t="s">
        <v>305</v>
      </c>
      <c r="J3164" s="25">
        <v>0</v>
      </c>
      <c r="K3164" s="26">
        <v>0</v>
      </c>
      <c r="L3164" s="26">
        <v>0</v>
      </c>
    </row>
    <row r="3165" spans="1:12" ht="16" customHeight="1">
      <c r="A3165" t="s">
        <v>447</v>
      </c>
      <c r="B3165" t="s">
        <v>4</v>
      </c>
      <c r="C3165" t="s">
        <v>51</v>
      </c>
      <c r="D3165" s="24">
        <v>46143</v>
      </c>
      <c r="E3165" t="s">
        <v>236</v>
      </c>
      <c r="F3165" t="s">
        <v>4</v>
      </c>
      <c r="G3165" t="s">
        <v>217</v>
      </c>
      <c r="H3165" t="s">
        <v>217</v>
      </c>
      <c r="I3165" t="s">
        <v>306</v>
      </c>
      <c r="J3165" s="25">
        <v>2</v>
      </c>
      <c r="K3165" s="26">
        <v>0.34</v>
      </c>
      <c r="L3165" s="26">
        <v>0.01</v>
      </c>
    </row>
    <row r="3166" spans="1:12" ht="16" customHeight="1">
      <c r="A3166" t="s">
        <v>447</v>
      </c>
      <c r="B3166" t="s">
        <v>4</v>
      </c>
      <c r="C3166" t="s">
        <v>51</v>
      </c>
      <c r="D3166" s="24">
        <v>46143</v>
      </c>
      <c r="E3166" t="s">
        <v>238</v>
      </c>
      <c r="F3166" t="s">
        <v>4</v>
      </c>
      <c r="G3166" t="s">
        <v>217</v>
      </c>
      <c r="H3166" t="s">
        <v>217</v>
      </c>
      <c r="I3166" t="s">
        <v>307</v>
      </c>
      <c r="J3166" s="25">
        <v>0</v>
      </c>
      <c r="K3166" s="26">
        <v>0</v>
      </c>
      <c r="L3166" s="26">
        <v>0</v>
      </c>
    </row>
    <row r="3167" spans="1:12" ht="16" customHeight="1">
      <c r="A3167" t="s">
        <v>447</v>
      </c>
      <c r="B3167" t="s">
        <v>4</v>
      </c>
      <c r="C3167" t="s">
        <v>51</v>
      </c>
      <c r="D3167" s="24">
        <v>46143</v>
      </c>
      <c r="E3167" t="s">
        <v>240</v>
      </c>
      <c r="F3167" t="s">
        <v>3</v>
      </c>
      <c r="G3167" t="s">
        <v>241</v>
      </c>
      <c r="H3167" t="s">
        <v>241</v>
      </c>
      <c r="I3167" t="s">
        <v>308</v>
      </c>
      <c r="J3167" s="25">
        <v>1</v>
      </c>
      <c r="K3167" s="26">
        <v>0.18</v>
      </c>
      <c r="L3167" s="26">
        <v>0.01</v>
      </c>
    </row>
    <row r="3168" spans="1:12" ht="16" customHeight="1">
      <c r="A3168" t="s">
        <v>447</v>
      </c>
      <c r="B3168" t="s">
        <v>4</v>
      </c>
      <c r="C3168" t="s">
        <v>51</v>
      </c>
      <c r="D3168" s="24">
        <v>46143</v>
      </c>
      <c r="E3168" t="s">
        <v>243</v>
      </c>
      <c r="F3168" t="s">
        <v>4</v>
      </c>
      <c r="G3168" t="s">
        <v>217</v>
      </c>
      <c r="H3168" t="s">
        <v>217</v>
      </c>
      <c r="I3168" t="s">
        <v>309</v>
      </c>
      <c r="J3168" s="25">
        <v>0</v>
      </c>
      <c r="K3168" s="26">
        <v>0</v>
      </c>
      <c r="L3168" s="26">
        <v>0</v>
      </c>
    </row>
    <row r="3169" spans="1:12" ht="16" customHeight="1">
      <c r="A3169" t="s">
        <v>447</v>
      </c>
      <c r="B3169" t="s">
        <v>4</v>
      </c>
      <c r="C3169" t="s">
        <v>51</v>
      </c>
      <c r="D3169" s="24">
        <v>46143</v>
      </c>
      <c r="E3169" t="s">
        <v>360</v>
      </c>
      <c r="F3169" t="s">
        <v>4</v>
      </c>
      <c r="G3169" t="s">
        <v>217</v>
      </c>
      <c r="H3169" t="s">
        <v>217</v>
      </c>
      <c r="I3169" t="s">
        <v>310</v>
      </c>
      <c r="J3169" s="25">
        <v>0</v>
      </c>
      <c r="K3169" s="26">
        <v>0</v>
      </c>
      <c r="L3169" s="26">
        <v>0</v>
      </c>
    </row>
    <row r="3170" spans="1:12" ht="16" customHeight="1">
      <c r="A3170" t="s">
        <v>470</v>
      </c>
      <c r="B3170" t="s">
        <v>5</v>
      </c>
      <c r="C3170" t="s">
        <v>51</v>
      </c>
      <c r="D3170" s="24">
        <v>46143</v>
      </c>
      <c r="E3170" t="s">
        <v>416</v>
      </c>
      <c r="F3170" t="s">
        <v>4</v>
      </c>
      <c r="G3170" t="s">
        <v>217</v>
      </c>
      <c r="H3170" t="s">
        <v>261</v>
      </c>
      <c r="I3170" t="s">
        <v>212</v>
      </c>
      <c r="J3170" s="25">
        <v>42783477</v>
      </c>
      <c r="K3170" s="26">
        <v>6589713.79</v>
      </c>
      <c r="L3170" s="26">
        <v>34202.959999999999</v>
      </c>
    </row>
    <row r="3171" spans="1:12" ht="16" customHeight="1">
      <c r="A3171" t="s">
        <v>470</v>
      </c>
      <c r="B3171" t="s">
        <v>5</v>
      </c>
      <c r="C3171" t="s">
        <v>51</v>
      </c>
      <c r="D3171" s="24">
        <v>46143</v>
      </c>
      <c r="E3171" t="s">
        <v>452</v>
      </c>
      <c r="F3171" t="s">
        <v>4</v>
      </c>
      <c r="G3171" t="s">
        <v>211</v>
      </c>
      <c r="H3171" t="s">
        <v>211</v>
      </c>
      <c r="I3171" t="s">
        <v>219</v>
      </c>
      <c r="J3171" s="25">
        <v>994982</v>
      </c>
      <c r="K3171" s="26">
        <v>154162.81</v>
      </c>
      <c r="L3171" s="26">
        <v>956.19</v>
      </c>
    </row>
    <row r="3172" spans="1:12" ht="16" customHeight="1">
      <c r="A3172" t="s">
        <v>470</v>
      </c>
      <c r="B3172" t="s">
        <v>5</v>
      </c>
      <c r="C3172" t="s">
        <v>51</v>
      </c>
      <c r="D3172" s="24">
        <v>46143</v>
      </c>
      <c r="E3172" t="s">
        <v>461</v>
      </c>
      <c r="F3172" t="s">
        <v>4</v>
      </c>
      <c r="G3172" t="s">
        <v>211</v>
      </c>
      <c r="H3172" t="s">
        <v>211</v>
      </c>
      <c r="I3172" t="s">
        <v>219</v>
      </c>
      <c r="J3172" s="25">
        <v>76313</v>
      </c>
      <c r="K3172" s="26">
        <v>11817.32</v>
      </c>
      <c r="L3172" s="26">
        <v>90.6</v>
      </c>
    </row>
    <row r="3173" spans="1:12" ht="16" customHeight="1">
      <c r="A3173" t="s">
        <v>470</v>
      </c>
      <c r="B3173" t="s">
        <v>5</v>
      </c>
      <c r="C3173" t="s">
        <v>51</v>
      </c>
      <c r="D3173" s="24">
        <v>46143</v>
      </c>
      <c r="E3173" t="s">
        <v>466</v>
      </c>
      <c r="F3173" t="s">
        <v>4</v>
      </c>
      <c r="G3173" t="s">
        <v>211</v>
      </c>
      <c r="H3173" t="s">
        <v>211</v>
      </c>
      <c r="I3173" t="s">
        <v>219</v>
      </c>
      <c r="J3173" s="25">
        <v>14259</v>
      </c>
      <c r="K3173" s="26">
        <v>2222.98</v>
      </c>
      <c r="L3173" s="26">
        <v>31.05</v>
      </c>
    </row>
    <row r="3174" spans="1:12" ht="16" customHeight="1">
      <c r="A3174" t="s">
        <v>470</v>
      </c>
      <c r="B3174" t="s">
        <v>5</v>
      </c>
      <c r="C3174" t="s">
        <v>51</v>
      </c>
      <c r="D3174" s="24">
        <v>46143</v>
      </c>
      <c r="E3174" t="s">
        <v>471</v>
      </c>
      <c r="F3174" t="s">
        <v>4</v>
      </c>
      <c r="G3174" t="s">
        <v>211</v>
      </c>
      <c r="H3174" t="s">
        <v>211</v>
      </c>
      <c r="I3174" t="s">
        <v>219</v>
      </c>
      <c r="J3174" s="25">
        <v>5595</v>
      </c>
      <c r="K3174" s="26">
        <v>876.86</v>
      </c>
      <c r="L3174" s="26">
        <v>16.72</v>
      </c>
    </row>
    <row r="3175" spans="1:12" ht="16" customHeight="1">
      <c r="A3175" t="s">
        <v>470</v>
      </c>
      <c r="B3175" t="s">
        <v>5</v>
      </c>
      <c r="C3175" t="s">
        <v>51</v>
      </c>
      <c r="D3175" s="24">
        <v>46143</v>
      </c>
      <c r="E3175" t="s">
        <v>226</v>
      </c>
      <c r="F3175" t="s">
        <v>4</v>
      </c>
      <c r="G3175" t="s">
        <v>217</v>
      </c>
      <c r="H3175" t="s">
        <v>217</v>
      </c>
      <c r="I3175" t="s">
        <v>219</v>
      </c>
      <c r="J3175" s="25">
        <v>522738</v>
      </c>
      <c r="K3175" s="26">
        <v>82101.11</v>
      </c>
      <c r="L3175" s="26">
        <v>1080.8699999999999</v>
      </c>
    </row>
    <row r="3176" spans="1:12" ht="16" customHeight="1">
      <c r="A3176" t="s">
        <v>470</v>
      </c>
      <c r="B3176" t="s">
        <v>5</v>
      </c>
      <c r="C3176" t="s">
        <v>51</v>
      </c>
      <c r="D3176" s="24">
        <v>46143</v>
      </c>
      <c r="E3176" t="s">
        <v>457</v>
      </c>
      <c r="F3176" t="s">
        <v>4</v>
      </c>
      <c r="G3176" t="s">
        <v>217</v>
      </c>
      <c r="H3176" t="s">
        <v>217</v>
      </c>
      <c r="I3176" t="s">
        <v>221</v>
      </c>
      <c r="J3176" s="25">
        <v>34396</v>
      </c>
      <c r="K3176" s="26">
        <v>5429.27</v>
      </c>
      <c r="L3176" s="26">
        <v>80.75</v>
      </c>
    </row>
    <row r="3177" spans="1:12" ht="16" customHeight="1">
      <c r="A3177" t="s">
        <v>470</v>
      </c>
      <c r="B3177" t="s">
        <v>5</v>
      </c>
      <c r="C3177" t="s">
        <v>51</v>
      </c>
      <c r="D3177" s="24">
        <v>46143</v>
      </c>
      <c r="E3177" t="s">
        <v>269</v>
      </c>
      <c r="F3177" t="s">
        <v>4</v>
      </c>
      <c r="G3177" t="s">
        <v>217</v>
      </c>
      <c r="H3177" t="s">
        <v>217</v>
      </c>
      <c r="I3177" t="s">
        <v>300</v>
      </c>
      <c r="J3177" s="25">
        <v>17433</v>
      </c>
      <c r="K3177" s="26">
        <v>2925.01</v>
      </c>
      <c r="L3177" s="26">
        <v>47.97</v>
      </c>
    </row>
    <row r="3178" spans="1:12" ht="16" customHeight="1">
      <c r="A3178" t="s">
        <v>470</v>
      </c>
      <c r="B3178" t="s">
        <v>5</v>
      </c>
      <c r="C3178" t="s">
        <v>51</v>
      </c>
      <c r="D3178" s="24">
        <v>46143</v>
      </c>
      <c r="E3178" t="s">
        <v>228</v>
      </c>
      <c r="F3178" t="s">
        <v>4</v>
      </c>
      <c r="G3178" t="s">
        <v>217</v>
      </c>
      <c r="H3178" t="s">
        <v>217</v>
      </c>
      <c r="I3178" t="s">
        <v>301</v>
      </c>
      <c r="J3178" s="25">
        <v>25923</v>
      </c>
      <c r="K3178" s="26">
        <v>4283.28</v>
      </c>
      <c r="L3178" s="26">
        <v>106.12</v>
      </c>
    </row>
    <row r="3179" spans="1:12" ht="16" customHeight="1">
      <c r="A3179" t="s">
        <v>470</v>
      </c>
      <c r="B3179" t="s">
        <v>5</v>
      </c>
      <c r="C3179" t="s">
        <v>51</v>
      </c>
      <c r="D3179" s="24">
        <v>46143</v>
      </c>
      <c r="E3179" t="s">
        <v>439</v>
      </c>
      <c r="F3179" t="s">
        <v>4</v>
      </c>
      <c r="G3179" t="s">
        <v>217</v>
      </c>
      <c r="H3179" t="s">
        <v>217</v>
      </c>
      <c r="I3179" t="s">
        <v>302</v>
      </c>
      <c r="J3179" s="25">
        <v>3</v>
      </c>
      <c r="K3179" s="26">
        <v>0.42</v>
      </c>
      <c r="L3179" s="26">
        <v>0.01</v>
      </c>
    </row>
    <row r="3180" spans="1:12" ht="16" customHeight="1">
      <c r="A3180" t="s">
        <v>470</v>
      </c>
      <c r="B3180" t="s">
        <v>5</v>
      </c>
      <c r="C3180" t="s">
        <v>51</v>
      </c>
      <c r="D3180" s="24">
        <v>46143</v>
      </c>
      <c r="E3180" t="s">
        <v>230</v>
      </c>
      <c r="F3180" t="s">
        <v>4</v>
      </c>
      <c r="G3180" t="s">
        <v>217</v>
      </c>
      <c r="H3180" t="s">
        <v>217</v>
      </c>
      <c r="I3180" t="s">
        <v>303</v>
      </c>
      <c r="J3180" s="25">
        <v>0</v>
      </c>
      <c r="K3180" s="26">
        <v>0</v>
      </c>
      <c r="L3180" s="26">
        <v>0</v>
      </c>
    </row>
    <row r="3181" spans="1:12" ht="16" customHeight="1">
      <c r="A3181" t="s">
        <v>470</v>
      </c>
      <c r="B3181" t="s">
        <v>5</v>
      </c>
      <c r="C3181" t="s">
        <v>51</v>
      </c>
      <c r="D3181" s="24">
        <v>46143</v>
      </c>
      <c r="E3181" t="s">
        <v>232</v>
      </c>
      <c r="F3181" t="s">
        <v>4</v>
      </c>
      <c r="G3181" t="s">
        <v>217</v>
      </c>
      <c r="H3181" t="s">
        <v>217</v>
      </c>
      <c r="I3181" t="s">
        <v>304</v>
      </c>
      <c r="J3181" s="25">
        <v>238</v>
      </c>
      <c r="K3181" s="26">
        <v>39.99</v>
      </c>
      <c r="L3181" s="26">
        <v>1.9</v>
      </c>
    </row>
    <row r="3182" spans="1:12" ht="16" customHeight="1">
      <c r="A3182" t="s">
        <v>470</v>
      </c>
      <c r="B3182" t="s">
        <v>5</v>
      </c>
      <c r="C3182" t="s">
        <v>51</v>
      </c>
      <c r="D3182" s="24">
        <v>46143</v>
      </c>
      <c r="E3182" t="s">
        <v>234</v>
      </c>
      <c r="F3182" t="s">
        <v>4</v>
      </c>
      <c r="G3182" t="s">
        <v>217</v>
      </c>
      <c r="H3182" t="s">
        <v>217</v>
      </c>
      <c r="I3182" t="s">
        <v>305</v>
      </c>
      <c r="J3182" s="25">
        <v>0</v>
      </c>
      <c r="K3182" s="26">
        <v>0</v>
      </c>
      <c r="L3182" s="26">
        <v>0</v>
      </c>
    </row>
    <row r="3183" spans="1:12" ht="16" customHeight="1">
      <c r="A3183" t="s">
        <v>470</v>
      </c>
      <c r="B3183" t="s">
        <v>5</v>
      </c>
      <c r="C3183" t="s">
        <v>51</v>
      </c>
      <c r="D3183" s="24">
        <v>46143</v>
      </c>
      <c r="E3183" t="s">
        <v>236</v>
      </c>
      <c r="F3183" t="s">
        <v>4</v>
      </c>
      <c r="G3183" t="s">
        <v>217</v>
      </c>
      <c r="H3183" t="s">
        <v>217</v>
      </c>
      <c r="I3183" t="s">
        <v>306</v>
      </c>
      <c r="J3183" s="25">
        <v>25</v>
      </c>
      <c r="K3183" s="26">
        <v>4.8899999999999997</v>
      </c>
      <c r="L3183" s="26">
        <v>0.34</v>
      </c>
    </row>
    <row r="3184" spans="1:12" ht="16" customHeight="1">
      <c r="A3184" t="s">
        <v>470</v>
      </c>
      <c r="B3184" t="s">
        <v>5</v>
      </c>
      <c r="C3184" t="s">
        <v>51</v>
      </c>
      <c r="D3184" s="24">
        <v>46143</v>
      </c>
      <c r="E3184" t="s">
        <v>238</v>
      </c>
      <c r="F3184" t="s">
        <v>4</v>
      </c>
      <c r="G3184" t="s">
        <v>217</v>
      </c>
      <c r="H3184" t="s">
        <v>217</v>
      </c>
      <c r="I3184" t="s">
        <v>307</v>
      </c>
      <c r="J3184" s="25">
        <v>0</v>
      </c>
      <c r="K3184" s="26">
        <v>0</v>
      </c>
      <c r="L3184" s="26">
        <v>0</v>
      </c>
    </row>
    <row r="3185" spans="1:12" ht="16" customHeight="1">
      <c r="A3185" t="s">
        <v>470</v>
      </c>
      <c r="B3185" t="s">
        <v>5</v>
      </c>
      <c r="C3185" t="s">
        <v>51</v>
      </c>
      <c r="D3185" s="24">
        <v>46143</v>
      </c>
      <c r="E3185" t="s">
        <v>240</v>
      </c>
      <c r="F3185" t="s">
        <v>3</v>
      </c>
      <c r="G3185" t="s">
        <v>241</v>
      </c>
      <c r="H3185" t="s">
        <v>241</v>
      </c>
      <c r="I3185" t="s">
        <v>308</v>
      </c>
      <c r="J3185" s="25">
        <v>0</v>
      </c>
      <c r="K3185" s="26">
        <v>0</v>
      </c>
      <c r="L3185" s="26">
        <v>0</v>
      </c>
    </row>
    <row r="3186" spans="1:12" ht="16" customHeight="1">
      <c r="A3186" t="s">
        <v>470</v>
      </c>
      <c r="B3186" t="s">
        <v>5</v>
      </c>
      <c r="C3186" t="s">
        <v>51</v>
      </c>
      <c r="D3186" s="24">
        <v>46143</v>
      </c>
      <c r="E3186" t="s">
        <v>243</v>
      </c>
      <c r="F3186" t="s">
        <v>4</v>
      </c>
      <c r="G3186" t="s">
        <v>217</v>
      </c>
      <c r="H3186" t="s">
        <v>217</v>
      </c>
      <c r="I3186" t="s">
        <v>309</v>
      </c>
      <c r="J3186" s="25">
        <v>0</v>
      </c>
      <c r="K3186" s="26">
        <v>0</v>
      </c>
      <c r="L3186" s="26">
        <v>0</v>
      </c>
    </row>
    <row r="3187" spans="1:12" ht="16" customHeight="1">
      <c r="A3187" t="s">
        <v>470</v>
      </c>
      <c r="B3187" t="s">
        <v>5</v>
      </c>
      <c r="C3187" t="s">
        <v>51</v>
      </c>
      <c r="D3187" s="24">
        <v>46143</v>
      </c>
      <c r="E3187" t="s">
        <v>360</v>
      </c>
      <c r="F3187" t="s">
        <v>4</v>
      </c>
      <c r="G3187" t="s">
        <v>217</v>
      </c>
      <c r="H3187" t="s">
        <v>217</v>
      </c>
      <c r="I3187" t="s">
        <v>310</v>
      </c>
      <c r="J3187" s="25">
        <v>0</v>
      </c>
      <c r="K3187" s="26">
        <v>0</v>
      </c>
      <c r="L3187" s="26">
        <v>0</v>
      </c>
    </row>
    <row r="3188" spans="1:12" ht="16" customHeight="1">
      <c r="A3188" t="s">
        <v>472</v>
      </c>
      <c r="B3188" t="s">
        <v>6</v>
      </c>
      <c r="C3188" t="s">
        <v>51</v>
      </c>
      <c r="D3188" s="24">
        <v>46143</v>
      </c>
      <c r="E3188" t="s">
        <v>416</v>
      </c>
      <c r="F3188" t="s">
        <v>4</v>
      </c>
      <c r="G3188" t="s">
        <v>217</v>
      </c>
      <c r="H3188" t="s">
        <v>261</v>
      </c>
      <c r="I3188" t="s">
        <v>212</v>
      </c>
      <c r="J3188" s="25">
        <v>46292778</v>
      </c>
      <c r="K3188" s="26">
        <v>7140966.1799999997</v>
      </c>
      <c r="L3188" s="26">
        <v>28765.98</v>
      </c>
    </row>
    <row r="3189" spans="1:12" ht="16" customHeight="1">
      <c r="A3189" t="s">
        <v>472</v>
      </c>
      <c r="B3189" t="s">
        <v>6</v>
      </c>
      <c r="C3189" t="s">
        <v>51</v>
      </c>
      <c r="D3189" s="24">
        <v>46143</v>
      </c>
      <c r="E3189" t="s">
        <v>452</v>
      </c>
      <c r="F3189" t="s">
        <v>4</v>
      </c>
      <c r="G3189" t="s">
        <v>211</v>
      </c>
      <c r="H3189" t="s">
        <v>211</v>
      </c>
      <c r="I3189" t="s">
        <v>219</v>
      </c>
      <c r="J3189" s="25">
        <v>1535052</v>
      </c>
      <c r="K3189" s="26">
        <v>236879.16</v>
      </c>
      <c r="L3189" s="26">
        <v>1246.73</v>
      </c>
    </row>
    <row r="3190" spans="1:12" ht="16" customHeight="1">
      <c r="A3190" t="s">
        <v>472</v>
      </c>
      <c r="B3190" t="s">
        <v>6</v>
      </c>
      <c r="C3190" t="s">
        <v>51</v>
      </c>
      <c r="D3190" s="24">
        <v>46143</v>
      </c>
      <c r="E3190" t="s">
        <v>461</v>
      </c>
      <c r="F3190" t="s">
        <v>4</v>
      </c>
      <c r="G3190" t="s">
        <v>211</v>
      </c>
      <c r="H3190" t="s">
        <v>211</v>
      </c>
      <c r="I3190" t="s">
        <v>219</v>
      </c>
      <c r="J3190" s="25">
        <v>111043</v>
      </c>
      <c r="K3190" s="26">
        <v>17156.25</v>
      </c>
      <c r="L3190" s="26">
        <v>115.86</v>
      </c>
    </row>
    <row r="3191" spans="1:12" ht="16" customHeight="1">
      <c r="A3191" t="s">
        <v>472</v>
      </c>
      <c r="B3191" t="s">
        <v>6</v>
      </c>
      <c r="C3191" t="s">
        <v>51</v>
      </c>
      <c r="D3191" s="24">
        <v>46143</v>
      </c>
      <c r="E3191" t="s">
        <v>466</v>
      </c>
      <c r="F3191" t="s">
        <v>4</v>
      </c>
      <c r="G3191" t="s">
        <v>211</v>
      </c>
      <c r="H3191" t="s">
        <v>211</v>
      </c>
      <c r="I3191" t="s">
        <v>219</v>
      </c>
      <c r="J3191" s="25">
        <v>14458</v>
      </c>
      <c r="K3191" s="26">
        <v>2253.42</v>
      </c>
      <c r="L3191" s="26">
        <v>22.05</v>
      </c>
    </row>
    <row r="3192" spans="1:12" ht="16" customHeight="1">
      <c r="A3192" t="s">
        <v>472</v>
      </c>
      <c r="B3192" t="s">
        <v>6</v>
      </c>
      <c r="C3192" t="s">
        <v>51</v>
      </c>
      <c r="D3192" s="24">
        <v>46143</v>
      </c>
      <c r="E3192" t="s">
        <v>471</v>
      </c>
      <c r="F3192" t="s">
        <v>4</v>
      </c>
      <c r="G3192" t="s">
        <v>211</v>
      </c>
      <c r="H3192" t="s">
        <v>211</v>
      </c>
      <c r="I3192" t="s">
        <v>219</v>
      </c>
      <c r="J3192" s="25">
        <v>2817</v>
      </c>
      <c r="K3192" s="26">
        <v>442.16</v>
      </c>
      <c r="L3192" s="26">
        <v>5.75</v>
      </c>
    </row>
    <row r="3193" spans="1:12" ht="16" customHeight="1">
      <c r="A3193" t="s">
        <v>472</v>
      </c>
      <c r="B3193" t="s">
        <v>6</v>
      </c>
      <c r="C3193" t="s">
        <v>51</v>
      </c>
      <c r="D3193" s="24">
        <v>46143</v>
      </c>
      <c r="E3193" t="s">
        <v>226</v>
      </c>
      <c r="F3193" t="s">
        <v>4</v>
      </c>
      <c r="G3193" t="s">
        <v>217</v>
      </c>
      <c r="H3193" t="s">
        <v>217</v>
      </c>
      <c r="I3193" t="s">
        <v>219</v>
      </c>
      <c r="J3193" s="25">
        <v>524766</v>
      </c>
      <c r="K3193" s="26">
        <v>81790.75</v>
      </c>
      <c r="L3193" s="26">
        <v>1008.11</v>
      </c>
    </row>
    <row r="3194" spans="1:12" ht="16" customHeight="1">
      <c r="A3194" t="s">
        <v>472</v>
      </c>
      <c r="B3194" t="s">
        <v>6</v>
      </c>
      <c r="C3194" t="s">
        <v>51</v>
      </c>
      <c r="D3194" s="24">
        <v>46143</v>
      </c>
      <c r="E3194" t="s">
        <v>457</v>
      </c>
      <c r="F3194" t="s">
        <v>4</v>
      </c>
      <c r="G3194" t="s">
        <v>217</v>
      </c>
      <c r="H3194" t="s">
        <v>217</v>
      </c>
      <c r="I3194" t="s">
        <v>221</v>
      </c>
      <c r="J3194" s="25">
        <v>34458</v>
      </c>
      <c r="K3194" s="26">
        <v>5440.64</v>
      </c>
      <c r="L3194" s="26">
        <v>90.91</v>
      </c>
    </row>
    <row r="3195" spans="1:12" ht="16" customHeight="1">
      <c r="A3195" t="s">
        <v>472</v>
      </c>
      <c r="B3195" t="s">
        <v>6</v>
      </c>
      <c r="C3195" t="s">
        <v>51</v>
      </c>
      <c r="D3195" s="24">
        <v>46143</v>
      </c>
      <c r="E3195" t="s">
        <v>269</v>
      </c>
      <c r="F3195" t="s">
        <v>4</v>
      </c>
      <c r="G3195" t="s">
        <v>217</v>
      </c>
      <c r="H3195" t="s">
        <v>217</v>
      </c>
      <c r="I3195" t="s">
        <v>300</v>
      </c>
      <c r="J3195" s="25">
        <v>19228</v>
      </c>
      <c r="K3195" s="26">
        <v>3191.45</v>
      </c>
      <c r="L3195" s="26">
        <v>61.16</v>
      </c>
    </row>
    <row r="3196" spans="1:12" ht="16" customHeight="1">
      <c r="A3196" t="s">
        <v>472</v>
      </c>
      <c r="B3196" t="s">
        <v>6</v>
      </c>
      <c r="C3196" t="s">
        <v>51</v>
      </c>
      <c r="D3196" s="24">
        <v>46143</v>
      </c>
      <c r="E3196" t="s">
        <v>228</v>
      </c>
      <c r="F3196" t="s">
        <v>4</v>
      </c>
      <c r="G3196" t="s">
        <v>217</v>
      </c>
      <c r="H3196" t="s">
        <v>217</v>
      </c>
      <c r="I3196" t="s">
        <v>301</v>
      </c>
      <c r="J3196" s="25">
        <v>23001</v>
      </c>
      <c r="K3196" s="26">
        <v>3769.14</v>
      </c>
      <c r="L3196" s="26">
        <v>90.74</v>
      </c>
    </row>
    <row r="3197" spans="1:12" ht="16" customHeight="1">
      <c r="A3197" t="s">
        <v>472</v>
      </c>
      <c r="B3197" t="s">
        <v>6</v>
      </c>
      <c r="C3197" t="s">
        <v>51</v>
      </c>
      <c r="D3197" s="24">
        <v>46143</v>
      </c>
      <c r="E3197" t="s">
        <v>439</v>
      </c>
      <c r="F3197" t="s">
        <v>4</v>
      </c>
      <c r="G3197" t="s">
        <v>217</v>
      </c>
      <c r="H3197" t="s">
        <v>217</v>
      </c>
      <c r="I3197" t="s">
        <v>302</v>
      </c>
      <c r="J3197" s="25">
        <v>0</v>
      </c>
      <c r="K3197" s="26">
        <v>0</v>
      </c>
      <c r="L3197" s="26">
        <v>0</v>
      </c>
    </row>
    <row r="3198" spans="1:12" ht="16" customHeight="1">
      <c r="A3198" t="s">
        <v>472</v>
      </c>
      <c r="B3198" t="s">
        <v>6</v>
      </c>
      <c r="C3198" t="s">
        <v>51</v>
      </c>
      <c r="D3198" s="24">
        <v>46143</v>
      </c>
      <c r="E3198" t="s">
        <v>230</v>
      </c>
      <c r="F3198" t="s">
        <v>4</v>
      </c>
      <c r="G3198" t="s">
        <v>217</v>
      </c>
      <c r="H3198" t="s">
        <v>217</v>
      </c>
      <c r="I3198" t="s">
        <v>303</v>
      </c>
      <c r="J3198" s="25">
        <v>3</v>
      </c>
      <c r="K3198" s="26">
        <v>0.51</v>
      </c>
      <c r="L3198" s="26">
        <v>0.05</v>
      </c>
    </row>
    <row r="3199" spans="1:12" ht="16" customHeight="1">
      <c r="A3199" t="s">
        <v>472</v>
      </c>
      <c r="B3199" t="s">
        <v>6</v>
      </c>
      <c r="C3199" t="s">
        <v>51</v>
      </c>
      <c r="D3199" s="24">
        <v>46143</v>
      </c>
      <c r="E3199" t="s">
        <v>232</v>
      </c>
      <c r="F3199" t="s">
        <v>4</v>
      </c>
      <c r="G3199" t="s">
        <v>217</v>
      </c>
      <c r="H3199" t="s">
        <v>217</v>
      </c>
      <c r="I3199" t="s">
        <v>304</v>
      </c>
      <c r="J3199" s="25">
        <v>195</v>
      </c>
      <c r="K3199" s="26">
        <v>34.020000000000003</v>
      </c>
      <c r="L3199" s="26">
        <v>1.77</v>
      </c>
    </row>
    <row r="3200" spans="1:12" ht="16" customHeight="1">
      <c r="A3200" t="s">
        <v>472</v>
      </c>
      <c r="B3200" t="s">
        <v>6</v>
      </c>
      <c r="C3200" t="s">
        <v>51</v>
      </c>
      <c r="D3200" s="24">
        <v>46143</v>
      </c>
      <c r="E3200" t="s">
        <v>234</v>
      </c>
      <c r="F3200" t="s">
        <v>4</v>
      </c>
      <c r="G3200" t="s">
        <v>217</v>
      </c>
      <c r="H3200" t="s">
        <v>217</v>
      </c>
      <c r="I3200" t="s">
        <v>305</v>
      </c>
      <c r="J3200" s="25">
        <v>0</v>
      </c>
      <c r="K3200" s="26">
        <v>0</v>
      </c>
      <c r="L3200" s="26">
        <v>0</v>
      </c>
    </row>
    <row r="3201" spans="1:12" ht="16" customHeight="1">
      <c r="A3201" t="s">
        <v>472</v>
      </c>
      <c r="B3201" t="s">
        <v>6</v>
      </c>
      <c r="C3201" t="s">
        <v>51</v>
      </c>
      <c r="D3201" s="24">
        <v>46143</v>
      </c>
      <c r="E3201" t="s">
        <v>236</v>
      </c>
      <c r="F3201" t="s">
        <v>4</v>
      </c>
      <c r="G3201" t="s">
        <v>217</v>
      </c>
      <c r="H3201" t="s">
        <v>217</v>
      </c>
      <c r="I3201" t="s">
        <v>306</v>
      </c>
      <c r="J3201" s="25">
        <v>1</v>
      </c>
      <c r="K3201" s="26">
        <v>0.16</v>
      </c>
      <c r="L3201" s="26">
        <v>0.01</v>
      </c>
    </row>
    <row r="3202" spans="1:12" ht="16" customHeight="1">
      <c r="A3202" t="s">
        <v>472</v>
      </c>
      <c r="B3202" t="s">
        <v>6</v>
      </c>
      <c r="C3202" t="s">
        <v>51</v>
      </c>
      <c r="D3202" s="24">
        <v>46143</v>
      </c>
      <c r="E3202" t="s">
        <v>238</v>
      </c>
      <c r="F3202" t="s">
        <v>4</v>
      </c>
      <c r="G3202" t="s">
        <v>217</v>
      </c>
      <c r="H3202" t="s">
        <v>217</v>
      </c>
      <c r="I3202" t="s">
        <v>307</v>
      </c>
      <c r="J3202" s="25">
        <v>0</v>
      </c>
      <c r="K3202" s="26">
        <v>0</v>
      </c>
      <c r="L3202" s="26">
        <v>0</v>
      </c>
    </row>
    <row r="3203" spans="1:12" ht="16" customHeight="1">
      <c r="A3203" t="s">
        <v>472</v>
      </c>
      <c r="B3203" t="s">
        <v>6</v>
      </c>
      <c r="C3203" t="s">
        <v>51</v>
      </c>
      <c r="D3203" s="24">
        <v>46143</v>
      </c>
      <c r="E3203" t="s">
        <v>240</v>
      </c>
      <c r="F3203" t="s">
        <v>3</v>
      </c>
      <c r="G3203" t="s">
        <v>241</v>
      </c>
      <c r="H3203" t="s">
        <v>241</v>
      </c>
      <c r="I3203" t="s">
        <v>308</v>
      </c>
      <c r="J3203" s="25">
        <v>0</v>
      </c>
      <c r="K3203" s="26">
        <v>0</v>
      </c>
      <c r="L3203" s="26">
        <v>0</v>
      </c>
    </row>
    <row r="3204" spans="1:12" ht="16" customHeight="1">
      <c r="A3204" t="s">
        <v>472</v>
      </c>
      <c r="B3204" t="s">
        <v>6</v>
      </c>
      <c r="C3204" t="s">
        <v>51</v>
      </c>
      <c r="D3204" s="24">
        <v>46143</v>
      </c>
      <c r="E3204" t="s">
        <v>243</v>
      </c>
      <c r="F3204" t="s">
        <v>4</v>
      </c>
      <c r="G3204" t="s">
        <v>217</v>
      </c>
      <c r="H3204" t="s">
        <v>217</v>
      </c>
      <c r="I3204" t="s">
        <v>309</v>
      </c>
      <c r="J3204" s="25">
        <v>0</v>
      </c>
      <c r="K3204" s="26">
        <v>0</v>
      </c>
      <c r="L3204" s="26">
        <v>0</v>
      </c>
    </row>
    <row r="3205" spans="1:12" ht="16" customHeight="1">
      <c r="A3205" t="s">
        <v>472</v>
      </c>
      <c r="B3205" t="s">
        <v>6</v>
      </c>
      <c r="C3205" t="s">
        <v>51</v>
      </c>
      <c r="D3205" s="24">
        <v>46143</v>
      </c>
      <c r="E3205" t="s">
        <v>360</v>
      </c>
      <c r="F3205" t="s">
        <v>4</v>
      </c>
      <c r="G3205" t="s">
        <v>217</v>
      </c>
      <c r="H3205" t="s">
        <v>217</v>
      </c>
      <c r="I3205" t="s">
        <v>310</v>
      </c>
      <c r="J3205" s="25">
        <v>0</v>
      </c>
      <c r="K3205" s="26">
        <v>0</v>
      </c>
      <c r="L3205" s="26">
        <v>0</v>
      </c>
    </row>
    <row r="3206" spans="1:12" ht="16" customHeight="1">
      <c r="A3206" t="s">
        <v>473</v>
      </c>
      <c r="B3206" t="s">
        <v>7</v>
      </c>
      <c r="C3206" t="s">
        <v>52</v>
      </c>
      <c r="D3206" s="24">
        <v>46143</v>
      </c>
      <c r="E3206" t="s">
        <v>416</v>
      </c>
      <c r="F3206" t="s">
        <v>4</v>
      </c>
      <c r="G3206" t="s">
        <v>217</v>
      </c>
      <c r="H3206" t="s">
        <v>261</v>
      </c>
      <c r="I3206" t="s">
        <v>212</v>
      </c>
      <c r="J3206" s="25">
        <v>73259021</v>
      </c>
      <c r="K3206" s="26">
        <v>11340222.4</v>
      </c>
      <c r="L3206" s="26">
        <v>42502.67</v>
      </c>
    </row>
    <row r="3207" spans="1:12" ht="16" customHeight="1">
      <c r="A3207" t="s">
        <v>473</v>
      </c>
      <c r="B3207" t="s">
        <v>7</v>
      </c>
      <c r="C3207" t="s">
        <v>52</v>
      </c>
      <c r="D3207" s="24">
        <v>46143</v>
      </c>
      <c r="E3207" t="s">
        <v>452</v>
      </c>
      <c r="F3207" t="s">
        <v>4</v>
      </c>
      <c r="G3207" t="s">
        <v>211</v>
      </c>
      <c r="H3207" t="s">
        <v>211</v>
      </c>
      <c r="I3207" t="s">
        <v>219</v>
      </c>
      <c r="J3207" s="25">
        <v>2219775</v>
      </c>
      <c r="K3207" s="26">
        <v>343428.78</v>
      </c>
      <c r="L3207" s="26">
        <v>1645.78</v>
      </c>
    </row>
    <row r="3208" spans="1:12" ht="16" customHeight="1">
      <c r="A3208" t="s">
        <v>473</v>
      </c>
      <c r="B3208" t="s">
        <v>7</v>
      </c>
      <c r="C3208" t="s">
        <v>52</v>
      </c>
      <c r="D3208" s="24">
        <v>46143</v>
      </c>
      <c r="E3208" t="s">
        <v>461</v>
      </c>
      <c r="F3208" t="s">
        <v>4</v>
      </c>
      <c r="G3208" t="s">
        <v>211</v>
      </c>
      <c r="H3208" t="s">
        <v>211</v>
      </c>
      <c r="I3208" t="s">
        <v>219</v>
      </c>
      <c r="J3208" s="25">
        <v>153759</v>
      </c>
      <c r="K3208" s="26">
        <v>23844.45</v>
      </c>
      <c r="L3208" s="26">
        <v>146.18</v>
      </c>
    </row>
    <row r="3209" spans="1:12" ht="16" customHeight="1">
      <c r="A3209" t="s">
        <v>473</v>
      </c>
      <c r="B3209" t="s">
        <v>7</v>
      </c>
      <c r="C3209" t="s">
        <v>52</v>
      </c>
      <c r="D3209" s="24">
        <v>46143</v>
      </c>
      <c r="E3209" t="s">
        <v>466</v>
      </c>
      <c r="F3209" t="s">
        <v>4</v>
      </c>
      <c r="G3209" t="s">
        <v>211</v>
      </c>
      <c r="H3209" t="s">
        <v>211</v>
      </c>
      <c r="I3209" t="s">
        <v>219</v>
      </c>
      <c r="J3209" s="25">
        <v>18628</v>
      </c>
      <c r="K3209" s="26">
        <v>2911.19</v>
      </c>
      <c r="L3209" s="26">
        <v>29.1</v>
      </c>
    </row>
    <row r="3210" spans="1:12" ht="16" customHeight="1">
      <c r="A3210" t="s">
        <v>473</v>
      </c>
      <c r="B3210" t="s">
        <v>7</v>
      </c>
      <c r="C3210" t="s">
        <v>52</v>
      </c>
      <c r="D3210" s="24">
        <v>46143</v>
      </c>
      <c r="E3210" t="s">
        <v>471</v>
      </c>
      <c r="F3210" t="s">
        <v>4</v>
      </c>
      <c r="G3210" t="s">
        <v>211</v>
      </c>
      <c r="H3210" t="s">
        <v>211</v>
      </c>
      <c r="I3210" t="s">
        <v>219</v>
      </c>
      <c r="J3210" s="25">
        <v>3431</v>
      </c>
      <c r="K3210" s="26">
        <v>534.14</v>
      </c>
      <c r="L3210" s="26">
        <v>6.02</v>
      </c>
    </row>
    <row r="3211" spans="1:12" ht="16" customHeight="1">
      <c r="A3211" t="s">
        <v>473</v>
      </c>
      <c r="B3211" t="s">
        <v>7</v>
      </c>
      <c r="C3211" t="s">
        <v>52</v>
      </c>
      <c r="D3211" s="24">
        <v>46143</v>
      </c>
      <c r="E3211" t="s">
        <v>226</v>
      </c>
      <c r="F3211" t="s">
        <v>4</v>
      </c>
      <c r="G3211" t="s">
        <v>217</v>
      </c>
      <c r="H3211" t="s">
        <v>217</v>
      </c>
      <c r="I3211" t="s">
        <v>219</v>
      </c>
      <c r="J3211" s="25">
        <v>660904</v>
      </c>
      <c r="K3211" s="26">
        <v>104026.94</v>
      </c>
      <c r="L3211" s="26">
        <v>1461.17</v>
      </c>
    </row>
    <row r="3212" spans="1:12" ht="16" customHeight="1">
      <c r="A3212" t="s">
        <v>473</v>
      </c>
      <c r="B3212" t="s">
        <v>7</v>
      </c>
      <c r="C3212" t="s">
        <v>52</v>
      </c>
      <c r="D3212" s="24">
        <v>46143</v>
      </c>
      <c r="E3212" t="s">
        <v>457</v>
      </c>
      <c r="F3212" t="s">
        <v>4</v>
      </c>
      <c r="G3212" t="s">
        <v>217</v>
      </c>
      <c r="H3212" t="s">
        <v>217</v>
      </c>
      <c r="I3212" t="s">
        <v>221</v>
      </c>
      <c r="J3212" s="25">
        <v>51012</v>
      </c>
      <c r="K3212" s="26">
        <v>8089.23</v>
      </c>
      <c r="L3212" s="26">
        <v>127.48</v>
      </c>
    </row>
    <row r="3213" spans="1:12" ht="16" customHeight="1">
      <c r="A3213" t="s">
        <v>473</v>
      </c>
      <c r="B3213" t="s">
        <v>7</v>
      </c>
      <c r="C3213" t="s">
        <v>52</v>
      </c>
      <c r="D3213" s="24">
        <v>46143</v>
      </c>
      <c r="E3213" t="s">
        <v>269</v>
      </c>
      <c r="F3213" t="s">
        <v>4</v>
      </c>
      <c r="G3213" t="s">
        <v>217</v>
      </c>
      <c r="H3213" t="s">
        <v>217</v>
      </c>
      <c r="I3213" t="s">
        <v>300</v>
      </c>
      <c r="J3213" s="25">
        <v>14349</v>
      </c>
      <c r="K3213" s="26">
        <v>2323.5700000000002</v>
      </c>
      <c r="L3213" s="26">
        <v>34.770000000000003</v>
      </c>
    </row>
    <row r="3214" spans="1:12" ht="16" customHeight="1">
      <c r="A3214" t="s">
        <v>473</v>
      </c>
      <c r="B3214" t="s">
        <v>7</v>
      </c>
      <c r="C3214" t="s">
        <v>52</v>
      </c>
      <c r="D3214" s="24">
        <v>46143</v>
      </c>
      <c r="E3214" t="s">
        <v>228</v>
      </c>
      <c r="F3214" t="s">
        <v>4</v>
      </c>
      <c r="G3214" t="s">
        <v>217</v>
      </c>
      <c r="H3214" t="s">
        <v>217</v>
      </c>
      <c r="I3214" t="s">
        <v>301</v>
      </c>
      <c r="J3214" s="25">
        <v>27632</v>
      </c>
      <c r="K3214" s="26">
        <v>4409.74</v>
      </c>
      <c r="L3214" s="26">
        <v>110.12</v>
      </c>
    </row>
    <row r="3215" spans="1:12" ht="16" customHeight="1">
      <c r="A3215" t="s">
        <v>473</v>
      </c>
      <c r="B3215" t="s">
        <v>7</v>
      </c>
      <c r="C3215" t="s">
        <v>52</v>
      </c>
      <c r="D3215" s="24">
        <v>46143</v>
      </c>
      <c r="E3215" t="s">
        <v>439</v>
      </c>
      <c r="F3215" t="s">
        <v>4</v>
      </c>
      <c r="G3215" t="s">
        <v>217</v>
      </c>
      <c r="H3215" t="s">
        <v>217</v>
      </c>
      <c r="I3215" t="s">
        <v>302</v>
      </c>
      <c r="J3215" s="25">
        <v>1</v>
      </c>
      <c r="K3215" s="26">
        <v>0.18</v>
      </c>
      <c r="L3215" s="26">
        <v>0</v>
      </c>
    </row>
    <row r="3216" spans="1:12" ht="16" customHeight="1">
      <c r="A3216" t="s">
        <v>473</v>
      </c>
      <c r="B3216" t="s">
        <v>7</v>
      </c>
      <c r="C3216" t="s">
        <v>52</v>
      </c>
      <c r="D3216" s="24">
        <v>46143</v>
      </c>
      <c r="E3216" t="s">
        <v>230</v>
      </c>
      <c r="F3216" t="s">
        <v>4</v>
      </c>
      <c r="G3216" t="s">
        <v>217</v>
      </c>
      <c r="H3216" t="s">
        <v>217</v>
      </c>
      <c r="I3216" t="s">
        <v>303</v>
      </c>
      <c r="J3216" s="25">
        <v>0</v>
      </c>
      <c r="K3216" s="26">
        <v>0</v>
      </c>
      <c r="L3216" s="26">
        <v>0</v>
      </c>
    </row>
    <row r="3217" spans="1:12" ht="16" customHeight="1">
      <c r="A3217" t="s">
        <v>473</v>
      </c>
      <c r="B3217" t="s">
        <v>7</v>
      </c>
      <c r="C3217" t="s">
        <v>52</v>
      </c>
      <c r="D3217" s="24">
        <v>46143</v>
      </c>
      <c r="E3217" t="s">
        <v>232</v>
      </c>
      <c r="F3217" t="s">
        <v>4</v>
      </c>
      <c r="G3217" t="s">
        <v>217</v>
      </c>
      <c r="H3217" t="s">
        <v>217</v>
      </c>
      <c r="I3217" t="s">
        <v>304</v>
      </c>
      <c r="J3217" s="25">
        <v>166</v>
      </c>
      <c r="K3217" s="26">
        <v>27.48</v>
      </c>
      <c r="L3217" s="26">
        <v>1.32</v>
      </c>
    </row>
    <row r="3218" spans="1:12" ht="16" customHeight="1">
      <c r="A3218" t="s">
        <v>473</v>
      </c>
      <c r="B3218" t="s">
        <v>7</v>
      </c>
      <c r="C3218" t="s">
        <v>52</v>
      </c>
      <c r="D3218" s="24">
        <v>46143</v>
      </c>
      <c r="E3218" t="s">
        <v>234</v>
      </c>
      <c r="F3218" t="s">
        <v>4</v>
      </c>
      <c r="G3218" t="s">
        <v>217</v>
      </c>
      <c r="H3218" t="s">
        <v>217</v>
      </c>
      <c r="I3218" t="s">
        <v>305</v>
      </c>
      <c r="J3218" s="25">
        <v>0</v>
      </c>
      <c r="K3218" s="26">
        <v>0</v>
      </c>
      <c r="L3218" s="26">
        <v>0</v>
      </c>
    </row>
    <row r="3219" spans="1:12" ht="16" customHeight="1">
      <c r="A3219" t="s">
        <v>473</v>
      </c>
      <c r="B3219" t="s">
        <v>7</v>
      </c>
      <c r="C3219" t="s">
        <v>52</v>
      </c>
      <c r="D3219" s="24">
        <v>46143</v>
      </c>
      <c r="E3219" t="s">
        <v>236</v>
      </c>
      <c r="F3219" t="s">
        <v>4</v>
      </c>
      <c r="G3219" t="s">
        <v>217</v>
      </c>
      <c r="H3219" t="s">
        <v>217</v>
      </c>
      <c r="I3219" t="s">
        <v>306</v>
      </c>
      <c r="J3219" s="25">
        <v>2</v>
      </c>
      <c r="K3219" s="26">
        <v>0.33</v>
      </c>
      <c r="L3219" s="26">
        <v>0.01</v>
      </c>
    </row>
    <row r="3220" spans="1:12" ht="16" customHeight="1">
      <c r="A3220" t="s">
        <v>473</v>
      </c>
      <c r="B3220" t="s">
        <v>7</v>
      </c>
      <c r="C3220" t="s">
        <v>52</v>
      </c>
      <c r="D3220" s="24">
        <v>46143</v>
      </c>
      <c r="E3220" t="s">
        <v>238</v>
      </c>
      <c r="F3220" t="s">
        <v>4</v>
      </c>
      <c r="G3220" t="s">
        <v>217</v>
      </c>
      <c r="H3220" t="s">
        <v>217</v>
      </c>
      <c r="I3220" t="s">
        <v>307</v>
      </c>
      <c r="J3220" s="25">
        <v>0</v>
      </c>
      <c r="K3220" s="26">
        <v>0</v>
      </c>
      <c r="L3220" s="26">
        <v>0</v>
      </c>
    </row>
    <row r="3221" spans="1:12" ht="16" customHeight="1">
      <c r="A3221" t="s">
        <v>473</v>
      </c>
      <c r="B3221" t="s">
        <v>7</v>
      </c>
      <c r="C3221" t="s">
        <v>52</v>
      </c>
      <c r="D3221" s="24">
        <v>46143</v>
      </c>
      <c r="E3221" t="s">
        <v>240</v>
      </c>
      <c r="F3221" t="s">
        <v>3</v>
      </c>
      <c r="G3221" t="s">
        <v>241</v>
      </c>
      <c r="H3221" t="s">
        <v>241</v>
      </c>
      <c r="I3221" t="s">
        <v>308</v>
      </c>
      <c r="J3221" s="25">
        <v>0</v>
      </c>
      <c r="K3221" s="26">
        <v>0</v>
      </c>
      <c r="L3221" s="26">
        <v>0</v>
      </c>
    </row>
    <row r="3222" spans="1:12" ht="16" customHeight="1">
      <c r="A3222" t="s">
        <v>473</v>
      </c>
      <c r="B3222" t="s">
        <v>7</v>
      </c>
      <c r="C3222" t="s">
        <v>52</v>
      </c>
      <c r="D3222" s="24">
        <v>46143</v>
      </c>
      <c r="E3222" t="s">
        <v>243</v>
      </c>
      <c r="F3222" t="s">
        <v>4</v>
      </c>
      <c r="G3222" t="s">
        <v>217</v>
      </c>
      <c r="H3222" t="s">
        <v>217</v>
      </c>
      <c r="I3222" t="s">
        <v>309</v>
      </c>
      <c r="J3222" s="25">
        <v>0</v>
      </c>
      <c r="K3222" s="26">
        <v>0</v>
      </c>
      <c r="L3222" s="26">
        <v>0</v>
      </c>
    </row>
    <row r="3223" spans="1:12" ht="16" customHeight="1">
      <c r="A3223" t="s">
        <v>473</v>
      </c>
      <c r="B3223" t="s">
        <v>7</v>
      </c>
      <c r="C3223" t="s">
        <v>52</v>
      </c>
      <c r="D3223" s="24">
        <v>46143</v>
      </c>
      <c r="E3223" t="s">
        <v>360</v>
      </c>
      <c r="F3223" t="s">
        <v>4</v>
      </c>
      <c r="G3223" t="s">
        <v>217</v>
      </c>
      <c r="H3223" t="s">
        <v>217</v>
      </c>
      <c r="I3223" t="s">
        <v>310</v>
      </c>
      <c r="J3223" s="25">
        <v>1</v>
      </c>
      <c r="K3223" s="26">
        <v>0.14000000000000001</v>
      </c>
      <c r="L3223" s="26">
        <v>0</v>
      </c>
    </row>
    <row r="3224" spans="1:12" ht="16" customHeight="1">
      <c r="A3224" t="s">
        <v>474</v>
      </c>
      <c r="B3224" t="s">
        <v>3</v>
      </c>
      <c r="C3224" t="s">
        <v>52</v>
      </c>
      <c r="D3224" s="24">
        <v>46143</v>
      </c>
      <c r="E3224" t="s">
        <v>416</v>
      </c>
      <c r="F3224" t="s">
        <v>4</v>
      </c>
      <c r="G3224" t="s">
        <v>217</v>
      </c>
      <c r="H3224" t="s">
        <v>261</v>
      </c>
      <c r="I3224" t="s">
        <v>212</v>
      </c>
      <c r="J3224" s="25">
        <v>99043320</v>
      </c>
      <c r="K3224" s="26">
        <v>15437529.199999999</v>
      </c>
      <c r="L3224" s="26">
        <v>36691.96</v>
      </c>
    </row>
    <row r="3225" spans="1:12" ht="16" customHeight="1">
      <c r="A3225" t="s">
        <v>474</v>
      </c>
      <c r="B3225" t="s">
        <v>3</v>
      </c>
      <c r="C3225" t="s">
        <v>52</v>
      </c>
      <c r="D3225" s="24">
        <v>46143</v>
      </c>
      <c r="E3225" t="s">
        <v>452</v>
      </c>
      <c r="F3225" t="s">
        <v>4</v>
      </c>
      <c r="G3225" t="s">
        <v>211</v>
      </c>
      <c r="H3225" t="s">
        <v>211</v>
      </c>
      <c r="I3225" t="s">
        <v>219</v>
      </c>
      <c r="J3225" s="25">
        <v>4503505</v>
      </c>
      <c r="K3225" s="26">
        <v>700449.32</v>
      </c>
      <c r="L3225" s="26">
        <v>2824.38</v>
      </c>
    </row>
    <row r="3226" spans="1:12" ht="16" customHeight="1">
      <c r="A3226" t="s">
        <v>474</v>
      </c>
      <c r="B3226" t="s">
        <v>3</v>
      </c>
      <c r="C3226" t="s">
        <v>52</v>
      </c>
      <c r="D3226" s="24">
        <v>46143</v>
      </c>
      <c r="E3226" t="s">
        <v>461</v>
      </c>
      <c r="F3226" t="s">
        <v>4</v>
      </c>
      <c r="G3226" t="s">
        <v>211</v>
      </c>
      <c r="H3226" t="s">
        <v>211</v>
      </c>
      <c r="I3226" t="s">
        <v>219</v>
      </c>
      <c r="J3226" s="25">
        <v>358422</v>
      </c>
      <c r="K3226" s="26">
        <v>55819.96</v>
      </c>
      <c r="L3226" s="26">
        <v>269.19</v>
      </c>
    </row>
    <row r="3227" spans="1:12" ht="16" customHeight="1">
      <c r="A3227" t="s">
        <v>474</v>
      </c>
      <c r="B3227" t="s">
        <v>3</v>
      </c>
      <c r="C3227" t="s">
        <v>52</v>
      </c>
      <c r="D3227" s="24">
        <v>46143</v>
      </c>
      <c r="E3227" t="s">
        <v>466</v>
      </c>
      <c r="F3227" t="s">
        <v>4</v>
      </c>
      <c r="G3227" t="s">
        <v>211</v>
      </c>
      <c r="H3227" t="s">
        <v>211</v>
      </c>
      <c r="I3227" t="s">
        <v>219</v>
      </c>
      <c r="J3227" s="25">
        <v>48781</v>
      </c>
      <c r="K3227" s="26">
        <v>7633.83</v>
      </c>
      <c r="L3227" s="26">
        <v>57.78</v>
      </c>
    </row>
    <row r="3228" spans="1:12" ht="16" customHeight="1">
      <c r="A3228" t="s">
        <v>474</v>
      </c>
      <c r="B3228" t="s">
        <v>3</v>
      </c>
      <c r="C3228" t="s">
        <v>52</v>
      </c>
      <c r="D3228" s="24">
        <v>46143</v>
      </c>
      <c r="E3228" t="s">
        <v>471</v>
      </c>
      <c r="F3228" t="s">
        <v>4</v>
      </c>
      <c r="G3228" t="s">
        <v>211</v>
      </c>
      <c r="H3228" t="s">
        <v>211</v>
      </c>
      <c r="I3228" t="s">
        <v>219</v>
      </c>
      <c r="J3228" s="25">
        <v>8912</v>
      </c>
      <c r="K3228" s="26">
        <v>1390.99</v>
      </c>
      <c r="L3228" s="26">
        <v>13.23</v>
      </c>
    </row>
    <row r="3229" spans="1:12" ht="16" customHeight="1">
      <c r="A3229" t="s">
        <v>474</v>
      </c>
      <c r="B3229" t="s">
        <v>3</v>
      </c>
      <c r="C3229" t="s">
        <v>52</v>
      </c>
      <c r="D3229" s="24">
        <v>46143</v>
      </c>
      <c r="E3229" t="s">
        <v>226</v>
      </c>
      <c r="F3229" t="s">
        <v>4</v>
      </c>
      <c r="G3229" t="s">
        <v>217</v>
      </c>
      <c r="H3229" t="s">
        <v>217</v>
      </c>
      <c r="I3229" t="s">
        <v>219</v>
      </c>
      <c r="J3229" s="25">
        <v>1135088</v>
      </c>
      <c r="K3229" s="26">
        <v>177861.75</v>
      </c>
      <c r="L3229" s="26">
        <v>1929.49</v>
      </c>
    </row>
    <row r="3230" spans="1:12" ht="16" customHeight="1">
      <c r="A3230" t="s">
        <v>474</v>
      </c>
      <c r="B3230" t="s">
        <v>3</v>
      </c>
      <c r="C3230" t="s">
        <v>52</v>
      </c>
      <c r="D3230" s="24">
        <v>46143</v>
      </c>
      <c r="E3230" t="s">
        <v>457</v>
      </c>
      <c r="F3230" t="s">
        <v>4</v>
      </c>
      <c r="G3230" t="s">
        <v>217</v>
      </c>
      <c r="H3230" t="s">
        <v>217</v>
      </c>
      <c r="I3230" t="s">
        <v>221</v>
      </c>
      <c r="J3230" s="25">
        <v>94104</v>
      </c>
      <c r="K3230" s="26">
        <v>14658.89</v>
      </c>
      <c r="L3230" s="26">
        <v>187.1</v>
      </c>
    </row>
    <row r="3231" spans="1:12" ht="16" customHeight="1">
      <c r="A3231" t="s">
        <v>474</v>
      </c>
      <c r="B3231" t="s">
        <v>3</v>
      </c>
      <c r="C3231" t="s">
        <v>52</v>
      </c>
      <c r="D3231" s="24">
        <v>46143</v>
      </c>
      <c r="E3231" t="s">
        <v>269</v>
      </c>
      <c r="F3231" t="s">
        <v>4</v>
      </c>
      <c r="G3231" t="s">
        <v>217</v>
      </c>
      <c r="H3231" t="s">
        <v>217</v>
      </c>
      <c r="I3231" t="s">
        <v>300</v>
      </c>
      <c r="J3231" s="25">
        <v>27487</v>
      </c>
      <c r="K3231" s="26">
        <v>4395.72</v>
      </c>
      <c r="L3231" s="26">
        <v>53.96</v>
      </c>
    </row>
    <row r="3232" spans="1:12" ht="16" customHeight="1">
      <c r="A3232" t="s">
        <v>474</v>
      </c>
      <c r="B3232" t="s">
        <v>3</v>
      </c>
      <c r="C3232" t="s">
        <v>52</v>
      </c>
      <c r="D3232" s="24">
        <v>46143</v>
      </c>
      <c r="E3232" t="s">
        <v>228</v>
      </c>
      <c r="F3232" t="s">
        <v>4</v>
      </c>
      <c r="G3232" t="s">
        <v>217</v>
      </c>
      <c r="H3232" t="s">
        <v>217</v>
      </c>
      <c r="I3232" t="s">
        <v>301</v>
      </c>
      <c r="J3232" s="25">
        <v>53419</v>
      </c>
      <c r="K3232" s="26">
        <v>8491.15</v>
      </c>
      <c r="L3232" s="26">
        <v>231.11</v>
      </c>
    </row>
    <row r="3233" spans="1:12" ht="16" customHeight="1">
      <c r="A3233" t="s">
        <v>474</v>
      </c>
      <c r="B3233" t="s">
        <v>3</v>
      </c>
      <c r="C3233" t="s">
        <v>52</v>
      </c>
      <c r="D3233" s="24">
        <v>46143</v>
      </c>
      <c r="E3233" t="s">
        <v>439</v>
      </c>
      <c r="F3233" t="s">
        <v>4</v>
      </c>
      <c r="G3233" t="s">
        <v>217</v>
      </c>
      <c r="H3233" t="s">
        <v>217</v>
      </c>
      <c r="I3233" t="s">
        <v>302</v>
      </c>
      <c r="J3233" s="25">
        <v>0</v>
      </c>
      <c r="K3233" s="26">
        <v>0</v>
      </c>
      <c r="L3233" s="26">
        <v>0</v>
      </c>
    </row>
    <row r="3234" spans="1:12" ht="16" customHeight="1">
      <c r="A3234" t="s">
        <v>474</v>
      </c>
      <c r="B3234" t="s">
        <v>3</v>
      </c>
      <c r="C3234" t="s">
        <v>52</v>
      </c>
      <c r="D3234" s="24">
        <v>46143</v>
      </c>
      <c r="E3234" t="s">
        <v>230</v>
      </c>
      <c r="F3234" t="s">
        <v>4</v>
      </c>
      <c r="G3234" t="s">
        <v>217</v>
      </c>
      <c r="H3234" t="s">
        <v>217</v>
      </c>
      <c r="I3234" t="s">
        <v>303</v>
      </c>
      <c r="J3234" s="25">
        <v>5</v>
      </c>
      <c r="K3234" s="26">
        <v>0.73</v>
      </c>
      <c r="L3234" s="26">
        <v>0.02</v>
      </c>
    </row>
    <row r="3235" spans="1:12" ht="16" customHeight="1">
      <c r="A3235" t="s">
        <v>474</v>
      </c>
      <c r="B3235" t="s">
        <v>3</v>
      </c>
      <c r="C3235" t="s">
        <v>52</v>
      </c>
      <c r="D3235" s="24">
        <v>46143</v>
      </c>
      <c r="E3235" t="s">
        <v>232</v>
      </c>
      <c r="F3235" t="s">
        <v>4</v>
      </c>
      <c r="G3235" t="s">
        <v>217</v>
      </c>
      <c r="H3235" t="s">
        <v>217</v>
      </c>
      <c r="I3235" t="s">
        <v>304</v>
      </c>
      <c r="J3235" s="25">
        <v>413</v>
      </c>
      <c r="K3235" s="26">
        <v>72.900000000000006</v>
      </c>
      <c r="L3235" s="26">
        <v>2.99</v>
      </c>
    </row>
    <row r="3236" spans="1:12" ht="16" customHeight="1">
      <c r="A3236" t="s">
        <v>474</v>
      </c>
      <c r="B3236" t="s">
        <v>3</v>
      </c>
      <c r="C3236" t="s">
        <v>52</v>
      </c>
      <c r="D3236" s="24">
        <v>46143</v>
      </c>
      <c r="E3236" t="s">
        <v>234</v>
      </c>
      <c r="F3236" t="s">
        <v>4</v>
      </c>
      <c r="G3236" t="s">
        <v>217</v>
      </c>
      <c r="H3236" t="s">
        <v>217</v>
      </c>
      <c r="I3236" t="s">
        <v>305</v>
      </c>
      <c r="J3236" s="25">
        <v>0</v>
      </c>
      <c r="K3236" s="26">
        <v>0</v>
      </c>
      <c r="L3236" s="26">
        <v>0</v>
      </c>
    </row>
    <row r="3237" spans="1:12" ht="16" customHeight="1">
      <c r="A3237" t="s">
        <v>474</v>
      </c>
      <c r="B3237" t="s">
        <v>3</v>
      </c>
      <c r="C3237" t="s">
        <v>52</v>
      </c>
      <c r="D3237" s="24">
        <v>46143</v>
      </c>
      <c r="E3237" t="s">
        <v>236</v>
      </c>
      <c r="F3237" t="s">
        <v>4</v>
      </c>
      <c r="G3237" t="s">
        <v>217</v>
      </c>
      <c r="H3237" t="s">
        <v>217</v>
      </c>
      <c r="I3237" t="s">
        <v>306</v>
      </c>
      <c r="J3237" s="25">
        <v>17</v>
      </c>
      <c r="K3237" s="26">
        <v>2.29</v>
      </c>
      <c r="L3237" s="26">
        <v>0.05</v>
      </c>
    </row>
    <row r="3238" spans="1:12" ht="16" customHeight="1">
      <c r="A3238" t="s">
        <v>474</v>
      </c>
      <c r="B3238" t="s">
        <v>3</v>
      </c>
      <c r="C3238" t="s">
        <v>52</v>
      </c>
      <c r="D3238" s="24">
        <v>46143</v>
      </c>
      <c r="E3238" t="s">
        <v>238</v>
      </c>
      <c r="F3238" t="s">
        <v>4</v>
      </c>
      <c r="G3238" t="s">
        <v>217</v>
      </c>
      <c r="H3238" t="s">
        <v>217</v>
      </c>
      <c r="I3238" t="s">
        <v>307</v>
      </c>
      <c r="J3238" s="25">
        <v>0</v>
      </c>
      <c r="K3238" s="26">
        <v>0</v>
      </c>
      <c r="L3238" s="26">
        <v>0</v>
      </c>
    </row>
    <row r="3239" spans="1:12" ht="16" customHeight="1">
      <c r="A3239" t="s">
        <v>474</v>
      </c>
      <c r="B3239" t="s">
        <v>3</v>
      </c>
      <c r="C3239" t="s">
        <v>52</v>
      </c>
      <c r="D3239" s="24">
        <v>46143</v>
      </c>
      <c r="E3239" t="s">
        <v>240</v>
      </c>
      <c r="F3239" t="s">
        <v>3</v>
      </c>
      <c r="G3239" t="s">
        <v>241</v>
      </c>
      <c r="H3239" t="s">
        <v>241</v>
      </c>
      <c r="I3239" t="s">
        <v>308</v>
      </c>
      <c r="J3239" s="25">
        <v>0</v>
      </c>
      <c r="K3239" s="26">
        <v>0</v>
      </c>
      <c r="L3239" s="26">
        <v>0</v>
      </c>
    </row>
    <row r="3240" spans="1:12" ht="16" customHeight="1">
      <c r="A3240" t="s">
        <v>474</v>
      </c>
      <c r="B3240" t="s">
        <v>3</v>
      </c>
      <c r="C3240" t="s">
        <v>52</v>
      </c>
      <c r="D3240" s="24">
        <v>46143</v>
      </c>
      <c r="E3240" t="s">
        <v>243</v>
      </c>
      <c r="F3240" t="s">
        <v>4</v>
      </c>
      <c r="G3240" t="s">
        <v>217</v>
      </c>
      <c r="H3240" t="s">
        <v>217</v>
      </c>
      <c r="I3240" t="s">
        <v>309</v>
      </c>
      <c r="J3240" s="25">
        <v>0</v>
      </c>
      <c r="K3240" s="26">
        <v>0</v>
      </c>
      <c r="L3240" s="26">
        <v>0</v>
      </c>
    </row>
    <row r="3241" spans="1:12" ht="16" customHeight="1">
      <c r="A3241" t="s">
        <v>474</v>
      </c>
      <c r="B3241" t="s">
        <v>3</v>
      </c>
      <c r="C3241" t="s">
        <v>52</v>
      </c>
      <c r="D3241" s="24">
        <v>46143</v>
      </c>
      <c r="E3241" t="s">
        <v>360</v>
      </c>
      <c r="F3241" t="s">
        <v>4</v>
      </c>
      <c r="G3241" t="s">
        <v>217</v>
      </c>
      <c r="H3241" t="s">
        <v>217</v>
      </c>
      <c r="I3241" t="s">
        <v>310</v>
      </c>
      <c r="J3241" s="25">
        <v>0</v>
      </c>
      <c r="K3241" s="26">
        <v>0</v>
      </c>
      <c r="L3241" s="26">
        <v>0</v>
      </c>
    </row>
    <row r="3242" spans="1:12" ht="16" customHeight="1">
      <c r="A3242" t="s">
        <v>416</v>
      </c>
      <c r="B3242" t="s">
        <v>4</v>
      </c>
      <c r="C3242" t="s">
        <v>52</v>
      </c>
      <c r="D3242" s="24">
        <v>46143</v>
      </c>
      <c r="E3242" t="s">
        <v>416</v>
      </c>
      <c r="F3242" t="s">
        <v>4</v>
      </c>
      <c r="G3242" t="s">
        <v>217</v>
      </c>
      <c r="H3242" t="s">
        <v>261</v>
      </c>
      <c r="I3242" t="s">
        <v>212</v>
      </c>
      <c r="J3242" s="25">
        <v>303158568</v>
      </c>
      <c r="K3242" s="26">
        <v>47280500.030000001</v>
      </c>
      <c r="L3242" s="26">
        <v>48415.54</v>
      </c>
    </row>
    <row r="3243" spans="1:12" ht="16" customHeight="1">
      <c r="A3243" t="s">
        <v>416</v>
      </c>
      <c r="B3243" t="s">
        <v>4</v>
      </c>
      <c r="C3243" t="s">
        <v>52</v>
      </c>
      <c r="D3243" s="24">
        <v>46143</v>
      </c>
      <c r="E3243" t="s">
        <v>452</v>
      </c>
      <c r="F3243" t="s">
        <v>4</v>
      </c>
      <c r="G3243" t="s">
        <v>211</v>
      </c>
      <c r="H3243" t="s">
        <v>211</v>
      </c>
      <c r="I3243" t="s">
        <v>219</v>
      </c>
      <c r="J3243" s="25">
        <v>9142772</v>
      </c>
      <c r="K3243" s="26">
        <v>1431022.48</v>
      </c>
      <c r="L3243" s="26">
        <v>5574.44</v>
      </c>
    </row>
    <row r="3244" spans="1:12" ht="16" customHeight="1">
      <c r="A3244" t="s">
        <v>416</v>
      </c>
      <c r="B3244" t="s">
        <v>4</v>
      </c>
      <c r="C3244" t="s">
        <v>52</v>
      </c>
      <c r="D3244" s="24">
        <v>46143</v>
      </c>
      <c r="E3244" t="s">
        <v>461</v>
      </c>
      <c r="F3244" t="s">
        <v>4</v>
      </c>
      <c r="G3244" t="s">
        <v>211</v>
      </c>
      <c r="H3244" t="s">
        <v>211</v>
      </c>
      <c r="I3244" t="s">
        <v>219</v>
      </c>
      <c r="J3244" s="25">
        <v>494988</v>
      </c>
      <c r="K3244" s="26">
        <v>77507.240000000005</v>
      </c>
      <c r="L3244" s="26">
        <v>365.14</v>
      </c>
    </row>
    <row r="3245" spans="1:12" ht="16" customHeight="1">
      <c r="A3245" t="s">
        <v>416</v>
      </c>
      <c r="B3245" t="s">
        <v>4</v>
      </c>
      <c r="C3245" t="s">
        <v>52</v>
      </c>
      <c r="D3245" s="24">
        <v>46143</v>
      </c>
      <c r="E3245" t="s">
        <v>466</v>
      </c>
      <c r="F3245" t="s">
        <v>4</v>
      </c>
      <c r="G3245" t="s">
        <v>211</v>
      </c>
      <c r="H3245" t="s">
        <v>211</v>
      </c>
      <c r="I3245" t="s">
        <v>219</v>
      </c>
      <c r="J3245" s="25">
        <v>54862</v>
      </c>
      <c r="K3245" s="26">
        <v>8635.4699999999993</v>
      </c>
      <c r="L3245" s="26">
        <v>51.26</v>
      </c>
    </row>
    <row r="3246" spans="1:12" ht="16" customHeight="1">
      <c r="A3246" t="s">
        <v>416</v>
      </c>
      <c r="B3246" t="s">
        <v>4</v>
      </c>
      <c r="C3246" t="s">
        <v>52</v>
      </c>
      <c r="D3246" s="24">
        <v>46143</v>
      </c>
      <c r="E3246" t="s">
        <v>471</v>
      </c>
      <c r="F3246" t="s">
        <v>4</v>
      </c>
      <c r="G3246" t="s">
        <v>211</v>
      </c>
      <c r="H3246" t="s">
        <v>211</v>
      </c>
      <c r="I3246" t="s">
        <v>219</v>
      </c>
      <c r="J3246" s="25">
        <v>11576</v>
      </c>
      <c r="K3246" s="26">
        <v>1816.7</v>
      </c>
      <c r="L3246" s="26">
        <v>15.81</v>
      </c>
    </row>
    <row r="3247" spans="1:12" ht="16" customHeight="1">
      <c r="A3247" t="s">
        <v>416</v>
      </c>
      <c r="B3247" t="s">
        <v>4</v>
      </c>
      <c r="C3247" t="s">
        <v>52</v>
      </c>
      <c r="D3247" s="24">
        <v>46143</v>
      </c>
      <c r="E3247" t="s">
        <v>226</v>
      </c>
      <c r="F3247" t="s">
        <v>4</v>
      </c>
      <c r="G3247" t="s">
        <v>217</v>
      </c>
      <c r="H3247" t="s">
        <v>217</v>
      </c>
      <c r="I3247" t="s">
        <v>219</v>
      </c>
      <c r="J3247" s="25">
        <v>1019697</v>
      </c>
      <c r="K3247" s="26">
        <v>160589.56</v>
      </c>
      <c r="L3247" s="26">
        <v>1792.77</v>
      </c>
    </row>
    <row r="3248" spans="1:12" ht="16" customHeight="1">
      <c r="A3248" t="s">
        <v>416</v>
      </c>
      <c r="B3248" t="s">
        <v>4</v>
      </c>
      <c r="C3248" t="s">
        <v>52</v>
      </c>
      <c r="D3248" s="24">
        <v>46143</v>
      </c>
      <c r="E3248" t="s">
        <v>457</v>
      </c>
      <c r="F3248" t="s">
        <v>4</v>
      </c>
      <c r="G3248" t="s">
        <v>217</v>
      </c>
      <c r="H3248" t="s">
        <v>217</v>
      </c>
      <c r="I3248" t="s">
        <v>221</v>
      </c>
      <c r="J3248" s="25">
        <v>81584</v>
      </c>
      <c r="K3248" s="26">
        <v>12894.41</v>
      </c>
      <c r="L3248" s="26">
        <v>162.53</v>
      </c>
    </row>
    <row r="3249" spans="1:12" ht="16" customHeight="1">
      <c r="A3249" t="s">
        <v>416</v>
      </c>
      <c r="B3249" t="s">
        <v>4</v>
      </c>
      <c r="C3249" t="s">
        <v>52</v>
      </c>
      <c r="D3249" s="24">
        <v>46143</v>
      </c>
      <c r="E3249" t="s">
        <v>269</v>
      </c>
      <c r="F3249" t="s">
        <v>4</v>
      </c>
      <c r="G3249" t="s">
        <v>217</v>
      </c>
      <c r="H3249" t="s">
        <v>217</v>
      </c>
      <c r="I3249" t="s">
        <v>300</v>
      </c>
      <c r="J3249" s="25">
        <v>27565</v>
      </c>
      <c r="K3249" s="26">
        <v>4401.09</v>
      </c>
      <c r="L3249" s="26">
        <v>86.44</v>
      </c>
    </row>
    <row r="3250" spans="1:12" ht="16" customHeight="1">
      <c r="A3250" t="s">
        <v>416</v>
      </c>
      <c r="B3250" t="s">
        <v>4</v>
      </c>
      <c r="C3250" t="s">
        <v>52</v>
      </c>
      <c r="D3250" s="24">
        <v>46143</v>
      </c>
      <c r="E3250" t="s">
        <v>228</v>
      </c>
      <c r="F3250" t="s">
        <v>4</v>
      </c>
      <c r="G3250" t="s">
        <v>217</v>
      </c>
      <c r="H3250" t="s">
        <v>217</v>
      </c>
      <c r="I3250" t="s">
        <v>301</v>
      </c>
      <c r="J3250" s="25">
        <v>28457</v>
      </c>
      <c r="K3250" s="26">
        <v>4552.8999999999996</v>
      </c>
      <c r="L3250" s="26">
        <v>104.96</v>
      </c>
    </row>
    <row r="3251" spans="1:12" ht="16" customHeight="1">
      <c r="A3251" t="s">
        <v>416</v>
      </c>
      <c r="B3251" t="s">
        <v>4</v>
      </c>
      <c r="C3251" t="s">
        <v>52</v>
      </c>
      <c r="D3251" s="24">
        <v>46143</v>
      </c>
      <c r="E3251" t="s">
        <v>439</v>
      </c>
      <c r="F3251" t="s">
        <v>4</v>
      </c>
      <c r="G3251" t="s">
        <v>217</v>
      </c>
      <c r="H3251" t="s">
        <v>217</v>
      </c>
      <c r="I3251" t="s">
        <v>302</v>
      </c>
      <c r="J3251" s="25">
        <v>6</v>
      </c>
      <c r="K3251" s="26">
        <v>1.0900000000000001</v>
      </c>
      <c r="L3251" s="26">
        <v>0.03</v>
      </c>
    </row>
    <row r="3252" spans="1:12" ht="16" customHeight="1">
      <c r="A3252" t="s">
        <v>416</v>
      </c>
      <c r="B3252" t="s">
        <v>4</v>
      </c>
      <c r="C3252" t="s">
        <v>52</v>
      </c>
      <c r="D3252" s="24">
        <v>46143</v>
      </c>
      <c r="E3252" t="s">
        <v>230</v>
      </c>
      <c r="F3252" t="s">
        <v>4</v>
      </c>
      <c r="G3252" t="s">
        <v>217</v>
      </c>
      <c r="H3252" t="s">
        <v>217</v>
      </c>
      <c r="I3252" t="s">
        <v>303</v>
      </c>
      <c r="J3252" s="25">
        <v>1</v>
      </c>
      <c r="K3252" s="26">
        <v>0.17</v>
      </c>
      <c r="L3252" s="26">
        <v>0.02</v>
      </c>
    </row>
    <row r="3253" spans="1:12" ht="16" customHeight="1">
      <c r="A3253" t="s">
        <v>416</v>
      </c>
      <c r="B3253" t="s">
        <v>4</v>
      </c>
      <c r="C3253" t="s">
        <v>52</v>
      </c>
      <c r="D3253" s="24">
        <v>46143</v>
      </c>
      <c r="E3253" t="s">
        <v>232</v>
      </c>
      <c r="F3253" t="s">
        <v>4</v>
      </c>
      <c r="G3253" t="s">
        <v>217</v>
      </c>
      <c r="H3253" t="s">
        <v>217</v>
      </c>
      <c r="I3253" t="s">
        <v>304</v>
      </c>
      <c r="J3253" s="25">
        <v>234</v>
      </c>
      <c r="K3253" s="26">
        <v>39.950000000000003</v>
      </c>
      <c r="L3253" s="26">
        <v>1.8</v>
      </c>
    </row>
    <row r="3254" spans="1:12" ht="16" customHeight="1">
      <c r="A3254" t="s">
        <v>416</v>
      </c>
      <c r="B3254" t="s">
        <v>4</v>
      </c>
      <c r="C3254" t="s">
        <v>52</v>
      </c>
      <c r="D3254" s="24">
        <v>46143</v>
      </c>
      <c r="E3254" t="s">
        <v>234</v>
      </c>
      <c r="F3254" t="s">
        <v>4</v>
      </c>
      <c r="G3254" t="s">
        <v>217</v>
      </c>
      <c r="H3254" t="s">
        <v>217</v>
      </c>
      <c r="I3254" t="s">
        <v>305</v>
      </c>
      <c r="J3254" s="25">
        <v>0</v>
      </c>
      <c r="K3254" s="26">
        <v>0</v>
      </c>
      <c r="L3254" s="26">
        <v>0</v>
      </c>
    </row>
    <row r="3255" spans="1:12" ht="16" customHeight="1">
      <c r="A3255" t="s">
        <v>416</v>
      </c>
      <c r="B3255" t="s">
        <v>4</v>
      </c>
      <c r="C3255" t="s">
        <v>52</v>
      </c>
      <c r="D3255" s="24">
        <v>46143</v>
      </c>
      <c r="E3255" t="s">
        <v>236</v>
      </c>
      <c r="F3255" t="s">
        <v>4</v>
      </c>
      <c r="G3255" t="s">
        <v>217</v>
      </c>
      <c r="H3255" t="s">
        <v>217</v>
      </c>
      <c r="I3255" t="s">
        <v>306</v>
      </c>
      <c r="J3255" s="25">
        <v>21</v>
      </c>
      <c r="K3255" s="26">
        <v>3.12</v>
      </c>
      <c r="L3255" s="26">
        <v>0.11</v>
      </c>
    </row>
    <row r="3256" spans="1:12" ht="16" customHeight="1">
      <c r="A3256" t="s">
        <v>416</v>
      </c>
      <c r="B3256" t="s">
        <v>4</v>
      </c>
      <c r="C3256" t="s">
        <v>52</v>
      </c>
      <c r="D3256" s="24">
        <v>46143</v>
      </c>
      <c r="E3256" t="s">
        <v>238</v>
      </c>
      <c r="F3256" t="s">
        <v>4</v>
      </c>
      <c r="G3256" t="s">
        <v>217</v>
      </c>
      <c r="H3256" t="s">
        <v>217</v>
      </c>
      <c r="I3256" t="s">
        <v>307</v>
      </c>
      <c r="J3256" s="25">
        <v>0</v>
      </c>
      <c r="K3256" s="26">
        <v>0</v>
      </c>
      <c r="L3256" s="26">
        <v>0</v>
      </c>
    </row>
    <row r="3257" spans="1:12" ht="16" customHeight="1">
      <c r="A3257" t="s">
        <v>416</v>
      </c>
      <c r="B3257" t="s">
        <v>4</v>
      </c>
      <c r="C3257" t="s">
        <v>52</v>
      </c>
      <c r="D3257" s="24">
        <v>46143</v>
      </c>
      <c r="E3257" t="s">
        <v>240</v>
      </c>
      <c r="F3257" t="s">
        <v>3</v>
      </c>
      <c r="G3257" t="s">
        <v>241</v>
      </c>
      <c r="H3257" t="s">
        <v>241</v>
      </c>
      <c r="I3257" t="s">
        <v>308</v>
      </c>
      <c r="J3257" s="25">
        <v>0</v>
      </c>
      <c r="K3257" s="26">
        <v>0</v>
      </c>
      <c r="L3257" s="26">
        <v>0</v>
      </c>
    </row>
    <row r="3258" spans="1:12" ht="16" customHeight="1">
      <c r="A3258" t="s">
        <v>416</v>
      </c>
      <c r="B3258" t="s">
        <v>4</v>
      </c>
      <c r="C3258" t="s">
        <v>52</v>
      </c>
      <c r="D3258" s="24">
        <v>46143</v>
      </c>
      <c r="E3258" t="s">
        <v>243</v>
      </c>
      <c r="F3258" t="s">
        <v>4</v>
      </c>
      <c r="G3258" t="s">
        <v>217</v>
      </c>
      <c r="H3258" t="s">
        <v>217</v>
      </c>
      <c r="I3258" t="s">
        <v>309</v>
      </c>
      <c r="J3258" s="25">
        <v>0</v>
      </c>
      <c r="K3258" s="26">
        <v>0</v>
      </c>
      <c r="L3258" s="26">
        <v>0</v>
      </c>
    </row>
    <row r="3259" spans="1:12" ht="16" customHeight="1">
      <c r="A3259" t="s">
        <v>416</v>
      </c>
      <c r="B3259" t="s">
        <v>4</v>
      </c>
      <c r="C3259" t="s">
        <v>52</v>
      </c>
      <c r="D3259" s="24">
        <v>46143</v>
      </c>
      <c r="E3259" t="s">
        <v>360</v>
      </c>
      <c r="F3259" t="s">
        <v>4</v>
      </c>
      <c r="G3259" t="s">
        <v>217</v>
      </c>
      <c r="H3259" t="s">
        <v>217</v>
      </c>
      <c r="I3259" t="s">
        <v>310</v>
      </c>
      <c r="J3259" s="25">
        <v>1</v>
      </c>
      <c r="K3259" s="26">
        <v>0.16</v>
      </c>
      <c r="L3259" s="26">
        <v>0.01</v>
      </c>
    </row>
    <row r="3260" spans="1:12" ht="16" customHeight="1">
      <c r="A3260" t="s">
        <v>475</v>
      </c>
      <c r="B3260" t="s">
        <v>5</v>
      </c>
      <c r="C3260" t="s">
        <v>52</v>
      </c>
      <c r="D3260" s="24">
        <v>46143</v>
      </c>
      <c r="E3260" t="s">
        <v>452</v>
      </c>
      <c r="F3260" t="s">
        <v>4</v>
      </c>
      <c r="G3260" t="s">
        <v>211</v>
      </c>
      <c r="H3260" t="s">
        <v>211</v>
      </c>
      <c r="I3260" t="s">
        <v>219</v>
      </c>
      <c r="J3260" s="25">
        <v>37794306</v>
      </c>
      <c r="K3260" s="26">
        <v>5898864.3600000003</v>
      </c>
      <c r="L3260" s="26">
        <v>21457.54</v>
      </c>
    </row>
    <row r="3261" spans="1:12" ht="16" customHeight="1">
      <c r="A3261" t="s">
        <v>475</v>
      </c>
      <c r="B3261" t="s">
        <v>5</v>
      </c>
      <c r="C3261" t="s">
        <v>52</v>
      </c>
      <c r="D3261" s="24">
        <v>46143</v>
      </c>
      <c r="E3261" t="s">
        <v>461</v>
      </c>
      <c r="F3261" t="s">
        <v>4</v>
      </c>
      <c r="G3261" t="s">
        <v>211</v>
      </c>
      <c r="H3261" t="s">
        <v>211</v>
      </c>
      <c r="I3261" t="s">
        <v>219</v>
      </c>
      <c r="J3261" s="25">
        <v>1097899</v>
      </c>
      <c r="K3261" s="26">
        <v>170484.47</v>
      </c>
      <c r="L3261" s="26">
        <v>686</v>
      </c>
    </row>
    <row r="3262" spans="1:12" ht="16" customHeight="1">
      <c r="A3262" t="s">
        <v>475</v>
      </c>
      <c r="B3262" t="s">
        <v>5</v>
      </c>
      <c r="C3262" t="s">
        <v>52</v>
      </c>
      <c r="D3262" s="24">
        <v>46143</v>
      </c>
      <c r="E3262" t="s">
        <v>466</v>
      </c>
      <c r="F3262" t="s">
        <v>4</v>
      </c>
      <c r="G3262" t="s">
        <v>211</v>
      </c>
      <c r="H3262" t="s">
        <v>211</v>
      </c>
      <c r="I3262" t="s">
        <v>219</v>
      </c>
      <c r="J3262" s="25">
        <v>101579</v>
      </c>
      <c r="K3262" s="26">
        <v>15815.91</v>
      </c>
      <c r="L3262" s="26">
        <v>81.31</v>
      </c>
    </row>
    <row r="3263" spans="1:12" ht="16" customHeight="1">
      <c r="A3263" t="s">
        <v>475</v>
      </c>
      <c r="B3263" t="s">
        <v>5</v>
      </c>
      <c r="C3263" t="s">
        <v>52</v>
      </c>
      <c r="D3263" s="24">
        <v>46143</v>
      </c>
      <c r="E3263" t="s">
        <v>471</v>
      </c>
      <c r="F3263" t="s">
        <v>4</v>
      </c>
      <c r="G3263" t="s">
        <v>211</v>
      </c>
      <c r="H3263" t="s">
        <v>211</v>
      </c>
      <c r="I3263" t="s">
        <v>219</v>
      </c>
      <c r="J3263" s="25">
        <v>21267</v>
      </c>
      <c r="K3263" s="26">
        <v>3331.79</v>
      </c>
      <c r="L3263" s="26">
        <v>30.69</v>
      </c>
    </row>
    <row r="3264" spans="1:12" ht="16" customHeight="1">
      <c r="A3264" t="s">
        <v>475</v>
      </c>
      <c r="B3264" t="s">
        <v>5</v>
      </c>
      <c r="C3264" t="s">
        <v>52</v>
      </c>
      <c r="D3264" s="24">
        <v>46143</v>
      </c>
      <c r="E3264" t="s">
        <v>226</v>
      </c>
      <c r="F3264" t="s">
        <v>4</v>
      </c>
      <c r="G3264" t="s">
        <v>217</v>
      </c>
      <c r="H3264" t="s">
        <v>217</v>
      </c>
      <c r="I3264" t="s">
        <v>219</v>
      </c>
      <c r="J3264" s="25">
        <v>874295</v>
      </c>
      <c r="K3264" s="26">
        <v>136950.72</v>
      </c>
      <c r="L3264" s="26">
        <v>1149.04</v>
      </c>
    </row>
    <row r="3265" spans="1:12" ht="16" customHeight="1">
      <c r="A3265" t="s">
        <v>475</v>
      </c>
      <c r="B3265" t="s">
        <v>5</v>
      </c>
      <c r="C3265" t="s">
        <v>52</v>
      </c>
      <c r="D3265" s="24">
        <v>46143</v>
      </c>
      <c r="E3265" t="s">
        <v>457</v>
      </c>
      <c r="F3265" t="s">
        <v>4</v>
      </c>
      <c r="G3265" t="s">
        <v>217</v>
      </c>
      <c r="H3265" t="s">
        <v>217</v>
      </c>
      <c r="I3265" t="s">
        <v>221</v>
      </c>
      <c r="J3265" s="25">
        <v>103347</v>
      </c>
      <c r="K3265" s="26">
        <v>16217.91</v>
      </c>
      <c r="L3265" s="26">
        <v>153.58000000000001</v>
      </c>
    </row>
    <row r="3266" spans="1:12" ht="16" customHeight="1">
      <c r="A3266" t="s">
        <v>475</v>
      </c>
      <c r="B3266" t="s">
        <v>5</v>
      </c>
      <c r="C3266" t="s">
        <v>52</v>
      </c>
      <c r="D3266" s="24">
        <v>46143</v>
      </c>
      <c r="E3266" t="s">
        <v>476</v>
      </c>
      <c r="F3266" t="s">
        <v>4</v>
      </c>
      <c r="G3266" t="s">
        <v>217</v>
      </c>
      <c r="H3266" t="s">
        <v>217</v>
      </c>
      <c r="I3266" t="s">
        <v>223</v>
      </c>
      <c r="J3266" s="25">
        <v>24501</v>
      </c>
      <c r="K3266" s="26">
        <v>3872.3</v>
      </c>
      <c r="L3266" s="26">
        <v>65.709999999999994</v>
      </c>
    </row>
    <row r="3267" spans="1:12" ht="16" customHeight="1">
      <c r="A3267" t="s">
        <v>475</v>
      </c>
      <c r="B3267" t="s">
        <v>5</v>
      </c>
      <c r="C3267" t="s">
        <v>52</v>
      </c>
      <c r="D3267" s="24">
        <v>46143</v>
      </c>
      <c r="E3267" t="s">
        <v>269</v>
      </c>
      <c r="F3267" t="s">
        <v>4</v>
      </c>
      <c r="G3267" t="s">
        <v>217</v>
      </c>
      <c r="H3267" t="s">
        <v>217</v>
      </c>
      <c r="I3267" t="s">
        <v>300</v>
      </c>
      <c r="J3267" s="25">
        <v>21110</v>
      </c>
      <c r="K3267" s="26">
        <v>3360.03</v>
      </c>
      <c r="L3267" s="26">
        <v>42.6</v>
      </c>
    </row>
    <row r="3268" spans="1:12" ht="16" customHeight="1">
      <c r="A3268" t="s">
        <v>475</v>
      </c>
      <c r="B3268" t="s">
        <v>5</v>
      </c>
      <c r="C3268" t="s">
        <v>52</v>
      </c>
      <c r="D3268" s="24">
        <v>46143</v>
      </c>
      <c r="E3268" t="s">
        <v>228</v>
      </c>
      <c r="F3268" t="s">
        <v>4</v>
      </c>
      <c r="G3268" t="s">
        <v>217</v>
      </c>
      <c r="H3268" t="s">
        <v>217</v>
      </c>
      <c r="I3268" t="s">
        <v>301</v>
      </c>
      <c r="J3268" s="25">
        <v>31570</v>
      </c>
      <c r="K3268" s="26">
        <v>5061.2299999999996</v>
      </c>
      <c r="L3268" s="26">
        <v>108.04</v>
      </c>
    </row>
    <row r="3269" spans="1:12" ht="16" customHeight="1">
      <c r="A3269" t="s">
        <v>475</v>
      </c>
      <c r="B3269" t="s">
        <v>5</v>
      </c>
      <c r="C3269" t="s">
        <v>52</v>
      </c>
      <c r="D3269" s="24">
        <v>46143</v>
      </c>
      <c r="E3269" t="s">
        <v>439</v>
      </c>
      <c r="F3269" t="s">
        <v>4</v>
      </c>
      <c r="G3269" t="s">
        <v>217</v>
      </c>
      <c r="H3269" t="s">
        <v>217</v>
      </c>
      <c r="I3269" t="s">
        <v>302</v>
      </c>
      <c r="J3269" s="25">
        <v>5</v>
      </c>
      <c r="K3269" s="26">
        <v>0.73</v>
      </c>
      <c r="L3269" s="26">
        <v>0.01</v>
      </c>
    </row>
    <row r="3270" spans="1:12" ht="16" customHeight="1">
      <c r="A3270" t="s">
        <v>475</v>
      </c>
      <c r="B3270" t="s">
        <v>5</v>
      </c>
      <c r="C3270" t="s">
        <v>52</v>
      </c>
      <c r="D3270" s="24">
        <v>46143</v>
      </c>
      <c r="E3270" t="s">
        <v>230</v>
      </c>
      <c r="F3270" t="s">
        <v>4</v>
      </c>
      <c r="G3270" t="s">
        <v>217</v>
      </c>
      <c r="H3270" t="s">
        <v>217</v>
      </c>
      <c r="I3270" t="s">
        <v>303</v>
      </c>
      <c r="J3270" s="25">
        <v>1</v>
      </c>
      <c r="K3270" s="26">
        <v>0.17</v>
      </c>
      <c r="L3270" s="26">
        <v>0.02</v>
      </c>
    </row>
    <row r="3271" spans="1:12" ht="16" customHeight="1">
      <c r="A3271" t="s">
        <v>475</v>
      </c>
      <c r="B3271" t="s">
        <v>5</v>
      </c>
      <c r="C3271" t="s">
        <v>52</v>
      </c>
      <c r="D3271" s="24">
        <v>46143</v>
      </c>
      <c r="E3271" t="s">
        <v>232</v>
      </c>
      <c r="F3271" t="s">
        <v>4</v>
      </c>
      <c r="G3271" t="s">
        <v>217</v>
      </c>
      <c r="H3271" t="s">
        <v>217</v>
      </c>
      <c r="I3271" t="s">
        <v>304</v>
      </c>
      <c r="J3271" s="25">
        <v>242</v>
      </c>
      <c r="K3271" s="26">
        <v>44.63</v>
      </c>
      <c r="L3271" s="26">
        <v>1.68</v>
      </c>
    </row>
    <row r="3272" spans="1:12" ht="16" customHeight="1">
      <c r="A3272" t="s">
        <v>475</v>
      </c>
      <c r="B3272" t="s">
        <v>5</v>
      </c>
      <c r="C3272" t="s">
        <v>52</v>
      </c>
      <c r="D3272" s="24">
        <v>46143</v>
      </c>
      <c r="E3272" t="s">
        <v>234</v>
      </c>
      <c r="F3272" t="s">
        <v>4</v>
      </c>
      <c r="G3272" t="s">
        <v>217</v>
      </c>
      <c r="H3272" t="s">
        <v>217</v>
      </c>
      <c r="I3272" t="s">
        <v>305</v>
      </c>
      <c r="J3272" s="25">
        <v>0</v>
      </c>
      <c r="K3272" s="26">
        <v>0</v>
      </c>
      <c r="L3272" s="26">
        <v>0</v>
      </c>
    </row>
    <row r="3273" spans="1:12" ht="16" customHeight="1">
      <c r="A3273" t="s">
        <v>475</v>
      </c>
      <c r="B3273" t="s">
        <v>5</v>
      </c>
      <c r="C3273" t="s">
        <v>52</v>
      </c>
      <c r="D3273" s="24">
        <v>46143</v>
      </c>
      <c r="E3273" t="s">
        <v>236</v>
      </c>
      <c r="F3273" t="s">
        <v>4</v>
      </c>
      <c r="G3273" t="s">
        <v>217</v>
      </c>
      <c r="H3273" t="s">
        <v>217</v>
      </c>
      <c r="I3273" t="s">
        <v>306</v>
      </c>
      <c r="J3273" s="25">
        <v>10</v>
      </c>
      <c r="K3273" s="26">
        <v>1.74</v>
      </c>
      <c r="L3273" s="26">
        <v>0.1</v>
      </c>
    </row>
    <row r="3274" spans="1:12" ht="16" customHeight="1">
      <c r="A3274" t="s">
        <v>475</v>
      </c>
      <c r="B3274" t="s">
        <v>5</v>
      </c>
      <c r="C3274" t="s">
        <v>52</v>
      </c>
      <c r="D3274" s="24">
        <v>46143</v>
      </c>
      <c r="E3274" t="s">
        <v>238</v>
      </c>
      <c r="F3274" t="s">
        <v>4</v>
      </c>
      <c r="G3274" t="s">
        <v>217</v>
      </c>
      <c r="H3274" t="s">
        <v>217</v>
      </c>
      <c r="I3274" t="s">
        <v>307</v>
      </c>
      <c r="J3274" s="25">
        <v>0</v>
      </c>
      <c r="K3274" s="26">
        <v>0</v>
      </c>
      <c r="L3274" s="26">
        <v>0</v>
      </c>
    </row>
    <row r="3275" spans="1:12" ht="16" customHeight="1">
      <c r="A3275" t="s">
        <v>475</v>
      </c>
      <c r="B3275" t="s">
        <v>5</v>
      </c>
      <c r="C3275" t="s">
        <v>52</v>
      </c>
      <c r="D3275" s="24">
        <v>46143</v>
      </c>
      <c r="E3275" t="s">
        <v>240</v>
      </c>
      <c r="F3275" t="s">
        <v>3</v>
      </c>
      <c r="G3275" t="s">
        <v>241</v>
      </c>
      <c r="H3275" t="s">
        <v>241</v>
      </c>
      <c r="I3275" t="s">
        <v>308</v>
      </c>
      <c r="J3275" s="25">
        <v>0</v>
      </c>
      <c r="K3275" s="26">
        <v>0</v>
      </c>
      <c r="L3275" s="26">
        <v>0</v>
      </c>
    </row>
    <row r="3276" spans="1:12" ht="16" customHeight="1">
      <c r="A3276" t="s">
        <v>475</v>
      </c>
      <c r="B3276" t="s">
        <v>5</v>
      </c>
      <c r="C3276" t="s">
        <v>52</v>
      </c>
      <c r="D3276" s="24">
        <v>46143</v>
      </c>
      <c r="E3276" t="s">
        <v>243</v>
      </c>
      <c r="F3276" t="s">
        <v>4</v>
      </c>
      <c r="G3276" t="s">
        <v>217</v>
      </c>
      <c r="H3276" t="s">
        <v>217</v>
      </c>
      <c r="I3276" t="s">
        <v>309</v>
      </c>
      <c r="J3276" s="25">
        <v>0</v>
      </c>
      <c r="K3276" s="26">
        <v>0</v>
      </c>
      <c r="L3276" s="26">
        <v>0</v>
      </c>
    </row>
    <row r="3277" spans="1:12" ht="16" customHeight="1">
      <c r="A3277" t="s">
        <v>475</v>
      </c>
      <c r="B3277" t="s">
        <v>5</v>
      </c>
      <c r="C3277" t="s">
        <v>52</v>
      </c>
      <c r="D3277" s="24">
        <v>46143</v>
      </c>
      <c r="E3277" t="s">
        <v>360</v>
      </c>
      <c r="F3277" t="s">
        <v>4</v>
      </c>
      <c r="G3277" t="s">
        <v>217</v>
      </c>
      <c r="H3277" t="s">
        <v>217</v>
      </c>
      <c r="I3277" t="s">
        <v>310</v>
      </c>
      <c r="J3277" s="25">
        <v>2</v>
      </c>
      <c r="K3277" s="26">
        <v>0.33</v>
      </c>
      <c r="L3277" s="26">
        <v>0.02</v>
      </c>
    </row>
    <row r="3278" spans="1:12" ht="16" customHeight="1">
      <c r="A3278" t="s">
        <v>477</v>
      </c>
      <c r="B3278" t="s">
        <v>7</v>
      </c>
      <c r="C3278" t="s">
        <v>53</v>
      </c>
      <c r="D3278" s="24">
        <v>46143</v>
      </c>
      <c r="E3278" t="s">
        <v>452</v>
      </c>
      <c r="F3278" t="s">
        <v>4</v>
      </c>
      <c r="G3278" t="s">
        <v>211</v>
      </c>
      <c r="H3278" t="s">
        <v>211</v>
      </c>
      <c r="I3278" t="s">
        <v>219</v>
      </c>
      <c r="J3278" s="25">
        <v>97128071</v>
      </c>
      <c r="K3278" s="26">
        <v>15111116.16</v>
      </c>
      <c r="L3278" s="26">
        <v>49342.59</v>
      </c>
    </row>
    <row r="3279" spans="1:12" ht="16" customHeight="1">
      <c r="A3279" t="s">
        <v>477</v>
      </c>
      <c r="B3279" t="s">
        <v>7</v>
      </c>
      <c r="C3279" t="s">
        <v>53</v>
      </c>
      <c r="D3279" s="24">
        <v>46143</v>
      </c>
      <c r="E3279" t="s">
        <v>461</v>
      </c>
      <c r="F3279" t="s">
        <v>4</v>
      </c>
      <c r="G3279" t="s">
        <v>211</v>
      </c>
      <c r="H3279" t="s">
        <v>211</v>
      </c>
      <c r="I3279" t="s">
        <v>219</v>
      </c>
      <c r="J3279" s="25">
        <v>2642846</v>
      </c>
      <c r="K3279" s="26">
        <v>410661.86</v>
      </c>
      <c r="L3279" s="26">
        <v>1885.81</v>
      </c>
    </row>
    <row r="3280" spans="1:12" ht="16" customHeight="1">
      <c r="A3280" t="s">
        <v>477</v>
      </c>
      <c r="B3280" t="s">
        <v>7</v>
      </c>
      <c r="C3280" t="s">
        <v>53</v>
      </c>
      <c r="D3280" s="24">
        <v>46143</v>
      </c>
      <c r="E3280" t="s">
        <v>466</v>
      </c>
      <c r="F3280" t="s">
        <v>4</v>
      </c>
      <c r="G3280" t="s">
        <v>211</v>
      </c>
      <c r="H3280" t="s">
        <v>211</v>
      </c>
      <c r="I3280" t="s">
        <v>219</v>
      </c>
      <c r="J3280" s="25">
        <v>168372</v>
      </c>
      <c r="K3280" s="26">
        <v>26273.22</v>
      </c>
      <c r="L3280" s="26">
        <v>150.81</v>
      </c>
    </row>
    <row r="3281" spans="1:12" ht="16" customHeight="1">
      <c r="A3281" t="s">
        <v>477</v>
      </c>
      <c r="B3281" t="s">
        <v>7</v>
      </c>
      <c r="C3281" t="s">
        <v>53</v>
      </c>
      <c r="D3281" s="24">
        <v>46143</v>
      </c>
      <c r="E3281" t="s">
        <v>471</v>
      </c>
      <c r="F3281" t="s">
        <v>4</v>
      </c>
      <c r="G3281" t="s">
        <v>211</v>
      </c>
      <c r="H3281" t="s">
        <v>211</v>
      </c>
      <c r="I3281" t="s">
        <v>219</v>
      </c>
      <c r="J3281" s="25">
        <v>33272</v>
      </c>
      <c r="K3281" s="26">
        <v>5206.84</v>
      </c>
      <c r="L3281" s="26">
        <v>39.42</v>
      </c>
    </row>
    <row r="3282" spans="1:12" ht="16" customHeight="1">
      <c r="A3282" t="s">
        <v>477</v>
      </c>
      <c r="B3282" t="s">
        <v>7</v>
      </c>
      <c r="C3282" t="s">
        <v>53</v>
      </c>
      <c r="D3282" s="24">
        <v>46143</v>
      </c>
      <c r="E3282" t="s">
        <v>226</v>
      </c>
      <c r="F3282" t="s">
        <v>4</v>
      </c>
      <c r="G3282" t="s">
        <v>217</v>
      </c>
      <c r="H3282" t="s">
        <v>217</v>
      </c>
      <c r="I3282" t="s">
        <v>219</v>
      </c>
      <c r="J3282" s="25">
        <v>1472195</v>
      </c>
      <c r="K3282" s="26">
        <v>230080.01</v>
      </c>
      <c r="L3282" s="26">
        <v>2223.52</v>
      </c>
    </row>
    <row r="3283" spans="1:12" ht="16" customHeight="1">
      <c r="A3283" t="s">
        <v>477</v>
      </c>
      <c r="B3283" t="s">
        <v>7</v>
      </c>
      <c r="C3283" t="s">
        <v>53</v>
      </c>
      <c r="D3283" s="24">
        <v>46143</v>
      </c>
      <c r="E3283" t="s">
        <v>457</v>
      </c>
      <c r="F3283" t="s">
        <v>4</v>
      </c>
      <c r="G3283" t="s">
        <v>217</v>
      </c>
      <c r="H3283" t="s">
        <v>217</v>
      </c>
      <c r="I3283" t="s">
        <v>221</v>
      </c>
      <c r="J3283" s="25">
        <v>131819</v>
      </c>
      <c r="K3283" s="26">
        <v>20685.05</v>
      </c>
      <c r="L3283" s="26">
        <v>191.2</v>
      </c>
    </row>
    <row r="3284" spans="1:12" ht="16" customHeight="1">
      <c r="A3284" t="s">
        <v>477</v>
      </c>
      <c r="B3284" t="s">
        <v>7</v>
      </c>
      <c r="C3284" t="s">
        <v>53</v>
      </c>
      <c r="D3284" s="24">
        <v>46143</v>
      </c>
      <c r="E3284" t="s">
        <v>476</v>
      </c>
      <c r="F3284" t="s">
        <v>4</v>
      </c>
      <c r="G3284" t="s">
        <v>217</v>
      </c>
      <c r="H3284" t="s">
        <v>217</v>
      </c>
      <c r="I3284" t="s">
        <v>223</v>
      </c>
      <c r="J3284" s="25">
        <v>30095</v>
      </c>
      <c r="K3284" s="26">
        <v>4706.41</v>
      </c>
      <c r="L3284" s="26">
        <v>76.52</v>
      </c>
    </row>
    <row r="3285" spans="1:12" ht="16" customHeight="1">
      <c r="A3285" t="s">
        <v>477</v>
      </c>
      <c r="B3285" t="s">
        <v>7</v>
      </c>
      <c r="C3285" t="s">
        <v>53</v>
      </c>
      <c r="D3285" s="24">
        <v>46143</v>
      </c>
      <c r="E3285" t="s">
        <v>269</v>
      </c>
      <c r="F3285" t="s">
        <v>4</v>
      </c>
      <c r="G3285" t="s">
        <v>217</v>
      </c>
      <c r="H3285" t="s">
        <v>217</v>
      </c>
      <c r="I3285" t="s">
        <v>300</v>
      </c>
      <c r="J3285" s="25">
        <v>29822</v>
      </c>
      <c r="K3285" s="26">
        <v>4716.7299999999996</v>
      </c>
      <c r="L3285" s="26">
        <v>64.28</v>
      </c>
    </row>
    <row r="3286" spans="1:12" ht="16" customHeight="1">
      <c r="A3286" t="s">
        <v>477</v>
      </c>
      <c r="B3286" t="s">
        <v>7</v>
      </c>
      <c r="C3286" t="s">
        <v>53</v>
      </c>
      <c r="D3286" s="24">
        <v>46143</v>
      </c>
      <c r="E3286" t="s">
        <v>228</v>
      </c>
      <c r="F3286" t="s">
        <v>4</v>
      </c>
      <c r="G3286" t="s">
        <v>217</v>
      </c>
      <c r="H3286" t="s">
        <v>217</v>
      </c>
      <c r="I3286" t="s">
        <v>301</v>
      </c>
      <c r="J3286" s="25">
        <v>44423</v>
      </c>
      <c r="K3286" s="26">
        <v>7064.03</v>
      </c>
      <c r="L3286" s="26">
        <v>165.86</v>
      </c>
    </row>
    <row r="3287" spans="1:12" ht="16" customHeight="1">
      <c r="A3287" t="s">
        <v>477</v>
      </c>
      <c r="B3287" t="s">
        <v>7</v>
      </c>
      <c r="C3287" t="s">
        <v>53</v>
      </c>
      <c r="D3287" s="24">
        <v>46143</v>
      </c>
      <c r="E3287" t="s">
        <v>439</v>
      </c>
      <c r="F3287" t="s">
        <v>4</v>
      </c>
      <c r="G3287" t="s">
        <v>217</v>
      </c>
      <c r="H3287" t="s">
        <v>217</v>
      </c>
      <c r="I3287" t="s">
        <v>302</v>
      </c>
      <c r="J3287" s="25">
        <v>1</v>
      </c>
      <c r="K3287" s="26">
        <v>0.14000000000000001</v>
      </c>
      <c r="L3287" s="26">
        <v>0</v>
      </c>
    </row>
    <row r="3288" spans="1:12" ht="16" customHeight="1">
      <c r="A3288" t="s">
        <v>477</v>
      </c>
      <c r="B3288" t="s">
        <v>7</v>
      </c>
      <c r="C3288" t="s">
        <v>53</v>
      </c>
      <c r="D3288" s="24">
        <v>46143</v>
      </c>
      <c r="E3288" t="s">
        <v>230</v>
      </c>
      <c r="F3288" t="s">
        <v>4</v>
      </c>
      <c r="G3288" t="s">
        <v>217</v>
      </c>
      <c r="H3288" t="s">
        <v>217</v>
      </c>
      <c r="I3288" t="s">
        <v>303</v>
      </c>
      <c r="J3288" s="25">
        <v>1</v>
      </c>
      <c r="K3288" s="26">
        <v>0.17</v>
      </c>
      <c r="L3288" s="26">
        <v>0.02</v>
      </c>
    </row>
    <row r="3289" spans="1:12" ht="16" customHeight="1">
      <c r="A3289" t="s">
        <v>477</v>
      </c>
      <c r="B3289" t="s">
        <v>7</v>
      </c>
      <c r="C3289" t="s">
        <v>53</v>
      </c>
      <c r="D3289" s="24">
        <v>46143</v>
      </c>
      <c r="E3289" t="s">
        <v>232</v>
      </c>
      <c r="F3289" t="s">
        <v>4</v>
      </c>
      <c r="G3289" t="s">
        <v>217</v>
      </c>
      <c r="H3289" t="s">
        <v>217</v>
      </c>
      <c r="I3289" t="s">
        <v>304</v>
      </c>
      <c r="J3289" s="25">
        <v>303</v>
      </c>
      <c r="K3289" s="26">
        <v>53.38</v>
      </c>
      <c r="L3289" s="26">
        <v>1.82</v>
      </c>
    </row>
    <row r="3290" spans="1:12" ht="16" customHeight="1">
      <c r="A3290" t="s">
        <v>477</v>
      </c>
      <c r="B3290" t="s">
        <v>7</v>
      </c>
      <c r="C3290" t="s">
        <v>53</v>
      </c>
      <c r="D3290" s="24">
        <v>46143</v>
      </c>
      <c r="E3290" t="s">
        <v>234</v>
      </c>
      <c r="F3290" t="s">
        <v>4</v>
      </c>
      <c r="G3290" t="s">
        <v>217</v>
      </c>
      <c r="H3290" t="s">
        <v>217</v>
      </c>
      <c r="I3290" t="s">
        <v>305</v>
      </c>
      <c r="J3290" s="25">
        <v>0</v>
      </c>
      <c r="K3290" s="26">
        <v>0</v>
      </c>
      <c r="L3290" s="26">
        <v>0</v>
      </c>
    </row>
    <row r="3291" spans="1:12" ht="16" customHeight="1">
      <c r="A3291" t="s">
        <v>477</v>
      </c>
      <c r="B3291" t="s">
        <v>7</v>
      </c>
      <c r="C3291" t="s">
        <v>53</v>
      </c>
      <c r="D3291" s="24">
        <v>46143</v>
      </c>
      <c r="E3291" t="s">
        <v>236</v>
      </c>
      <c r="F3291" t="s">
        <v>4</v>
      </c>
      <c r="G3291" t="s">
        <v>217</v>
      </c>
      <c r="H3291" t="s">
        <v>217</v>
      </c>
      <c r="I3291" t="s">
        <v>306</v>
      </c>
      <c r="J3291" s="25">
        <v>25</v>
      </c>
      <c r="K3291" s="26">
        <v>4.4400000000000004</v>
      </c>
      <c r="L3291" s="26">
        <v>0.26</v>
      </c>
    </row>
    <row r="3292" spans="1:12" ht="16" customHeight="1">
      <c r="A3292" t="s">
        <v>477</v>
      </c>
      <c r="B3292" t="s">
        <v>7</v>
      </c>
      <c r="C3292" t="s">
        <v>53</v>
      </c>
      <c r="D3292" s="24">
        <v>46143</v>
      </c>
      <c r="E3292" t="s">
        <v>238</v>
      </c>
      <c r="F3292" t="s">
        <v>4</v>
      </c>
      <c r="G3292" t="s">
        <v>217</v>
      </c>
      <c r="H3292" t="s">
        <v>217</v>
      </c>
      <c r="I3292" t="s">
        <v>307</v>
      </c>
      <c r="J3292" s="25">
        <v>0</v>
      </c>
      <c r="K3292" s="26">
        <v>0</v>
      </c>
      <c r="L3292" s="26">
        <v>0</v>
      </c>
    </row>
    <row r="3293" spans="1:12" ht="16" customHeight="1">
      <c r="A3293" t="s">
        <v>477</v>
      </c>
      <c r="B3293" t="s">
        <v>7</v>
      </c>
      <c r="C3293" t="s">
        <v>53</v>
      </c>
      <c r="D3293" s="24">
        <v>46143</v>
      </c>
      <c r="E3293" t="s">
        <v>240</v>
      </c>
      <c r="F3293" t="s">
        <v>3</v>
      </c>
      <c r="G3293" t="s">
        <v>241</v>
      </c>
      <c r="H3293" t="s">
        <v>241</v>
      </c>
      <c r="I3293" t="s">
        <v>308</v>
      </c>
      <c r="J3293" s="25">
        <v>16</v>
      </c>
      <c r="K3293" s="26">
        <v>2.48</v>
      </c>
      <c r="L3293" s="26">
        <v>0.09</v>
      </c>
    </row>
    <row r="3294" spans="1:12" ht="16" customHeight="1">
      <c r="A3294" t="s">
        <v>477</v>
      </c>
      <c r="B3294" t="s">
        <v>7</v>
      </c>
      <c r="C3294" t="s">
        <v>53</v>
      </c>
      <c r="D3294" s="24">
        <v>46143</v>
      </c>
      <c r="E3294" t="s">
        <v>243</v>
      </c>
      <c r="F3294" t="s">
        <v>4</v>
      </c>
      <c r="G3294" t="s">
        <v>217</v>
      </c>
      <c r="H3294" t="s">
        <v>217</v>
      </c>
      <c r="I3294" t="s">
        <v>309</v>
      </c>
      <c r="J3294" s="25">
        <v>0</v>
      </c>
      <c r="K3294" s="26">
        <v>0</v>
      </c>
      <c r="L3294" s="26">
        <v>0</v>
      </c>
    </row>
    <row r="3295" spans="1:12" ht="16" customHeight="1">
      <c r="A3295" t="s">
        <v>477</v>
      </c>
      <c r="B3295" t="s">
        <v>7</v>
      </c>
      <c r="C3295" t="s">
        <v>53</v>
      </c>
      <c r="D3295" s="24">
        <v>46143</v>
      </c>
      <c r="E3295" t="s">
        <v>360</v>
      </c>
      <c r="F3295" t="s">
        <v>4</v>
      </c>
      <c r="G3295" t="s">
        <v>217</v>
      </c>
      <c r="H3295" t="s">
        <v>217</v>
      </c>
      <c r="I3295" t="s">
        <v>310</v>
      </c>
      <c r="J3295" s="25">
        <v>1</v>
      </c>
      <c r="K3295" s="26">
        <v>0.16</v>
      </c>
      <c r="L3295" s="26">
        <v>0.01</v>
      </c>
    </row>
    <row r="3296" spans="1:12" ht="16" customHeight="1">
      <c r="A3296" t="s">
        <v>478</v>
      </c>
      <c r="B3296" t="s">
        <v>3</v>
      </c>
      <c r="C3296" t="s">
        <v>54</v>
      </c>
      <c r="D3296" s="24">
        <v>46174</v>
      </c>
      <c r="E3296" t="s">
        <v>452</v>
      </c>
      <c r="F3296" t="s">
        <v>4</v>
      </c>
      <c r="G3296" t="s">
        <v>211</v>
      </c>
      <c r="H3296" t="s">
        <v>211</v>
      </c>
      <c r="I3296" t="s">
        <v>212</v>
      </c>
      <c r="J3296" s="25">
        <v>149252931</v>
      </c>
      <c r="K3296" s="26">
        <v>22948605.579999998</v>
      </c>
      <c r="L3296" s="26">
        <v>55572.99</v>
      </c>
    </row>
    <row r="3297" spans="1:12" ht="16" customHeight="1">
      <c r="A3297" t="s">
        <v>478</v>
      </c>
      <c r="B3297" t="s">
        <v>3</v>
      </c>
      <c r="C3297" t="s">
        <v>54</v>
      </c>
      <c r="D3297" s="24">
        <v>46174</v>
      </c>
      <c r="E3297" t="s">
        <v>461</v>
      </c>
      <c r="F3297" t="s">
        <v>4</v>
      </c>
      <c r="G3297" t="s">
        <v>211</v>
      </c>
      <c r="H3297" t="s">
        <v>211</v>
      </c>
      <c r="I3297" t="s">
        <v>212</v>
      </c>
      <c r="J3297" s="25">
        <v>4993420</v>
      </c>
      <c r="K3297" s="26">
        <v>772519.58</v>
      </c>
      <c r="L3297" s="26">
        <v>3188.17</v>
      </c>
    </row>
    <row r="3298" spans="1:12" ht="16" customHeight="1">
      <c r="A3298" t="s">
        <v>478</v>
      </c>
      <c r="B3298" t="s">
        <v>3</v>
      </c>
      <c r="C3298" t="s">
        <v>54</v>
      </c>
      <c r="D3298" s="24">
        <v>46174</v>
      </c>
      <c r="E3298" t="s">
        <v>466</v>
      </c>
      <c r="F3298" t="s">
        <v>4</v>
      </c>
      <c r="G3298" t="s">
        <v>211</v>
      </c>
      <c r="H3298" t="s">
        <v>211</v>
      </c>
      <c r="I3298" t="s">
        <v>212</v>
      </c>
      <c r="J3298" s="25">
        <v>254256</v>
      </c>
      <c r="K3298" s="26">
        <v>39595.64</v>
      </c>
      <c r="L3298" s="26">
        <v>208.04</v>
      </c>
    </row>
    <row r="3299" spans="1:12" ht="16" customHeight="1">
      <c r="A3299" t="s">
        <v>478</v>
      </c>
      <c r="B3299" t="s">
        <v>3</v>
      </c>
      <c r="C3299" t="s">
        <v>54</v>
      </c>
      <c r="D3299" s="24">
        <v>46174</v>
      </c>
      <c r="E3299" t="s">
        <v>471</v>
      </c>
      <c r="F3299" t="s">
        <v>4</v>
      </c>
      <c r="G3299" t="s">
        <v>211</v>
      </c>
      <c r="H3299" t="s">
        <v>211</v>
      </c>
      <c r="I3299" t="s">
        <v>212</v>
      </c>
      <c r="J3299" s="25">
        <v>43745</v>
      </c>
      <c r="K3299" s="26">
        <v>6827.84</v>
      </c>
      <c r="L3299" s="26">
        <v>51.28</v>
      </c>
    </row>
    <row r="3300" spans="1:12" ht="16" customHeight="1">
      <c r="A3300" t="s">
        <v>478</v>
      </c>
      <c r="B3300" t="s">
        <v>3</v>
      </c>
      <c r="C3300" t="s">
        <v>54</v>
      </c>
      <c r="D3300" s="24">
        <v>46174</v>
      </c>
      <c r="E3300" t="s">
        <v>226</v>
      </c>
      <c r="F3300" t="s">
        <v>4</v>
      </c>
      <c r="G3300" t="s">
        <v>217</v>
      </c>
      <c r="H3300" t="s">
        <v>217</v>
      </c>
      <c r="I3300" t="s">
        <v>212</v>
      </c>
      <c r="J3300" s="25">
        <v>1368301</v>
      </c>
      <c r="K3300" s="26">
        <v>213800.15</v>
      </c>
      <c r="L3300" s="26">
        <v>2031.71</v>
      </c>
    </row>
    <row r="3301" spans="1:12" ht="16" customHeight="1">
      <c r="A3301" t="s">
        <v>478</v>
      </c>
      <c r="B3301" t="s">
        <v>3</v>
      </c>
      <c r="C3301" t="s">
        <v>54</v>
      </c>
      <c r="D3301" s="24">
        <v>46174</v>
      </c>
      <c r="E3301" t="s">
        <v>457</v>
      </c>
      <c r="F3301" t="s">
        <v>4</v>
      </c>
      <c r="G3301" t="s">
        <v>217</v>
      </c>
      <c r="H3301" t="s">
        <v>217</v>
      </c>
      <c r="I3301" t="s">
        <v>219</v>
      </c>
      <c r="J3301" s="25">
        <v>173629</v>
      </c>
      <c r="K3301" s="26">
        <v>27401.72</v>
      </c>
      <c r="L3301" s="26">
        <v>269.20999999999998</v>
      </c>
    </row>
    <row r="3302" spans="1:12" ht="16" customHeight="1">
      <c r="A3302" t="s">
        <v>478</v>
      </c>
      <c r="B3302" t="s">
        <v>3</v>
      </c>
      <c r="C3302" t="s">
        <v>54</v>
      </c>
      <c r="D3302" s="24">
        <v>46174</v>
      </c>
      <c r="E3302" t="s">
        <v>476</v>
      </c>
      <c r="F3302" t="s">
        <v>4</v>
      </c>
      <c r="G3302" t="s">
        <v>217</v>
      </c>
      <c r="H3302" t="s">
        <v>217</v>
      </c>
      <c r="I3302" t="s">
        <v>221</v>
      </c>
      <c r="J3302" s="25">
        <v>27566</v>
      </c>
      <c r="K3302" s="26">
        <v>4346.83</v>
      </c>
      <c r="L3302" s="26">
        <v>66.7</v>
      </c>
    </row>
    <row r="3303" spans="1:12" ht="16" customHeight="1">
      <c r="A3303" t="s">
        <v>478</v>
      </c>
      <c r="B3303" t="s">
        <v>3</v>
      </c>
      <c r="C3303" t="s">
        <v>54</v>
      </c>
      <c r="D3303" s="24">
        <v>46174</v>
      </c>
      <c r="E3303" t="s">
        <v>269</v>
      </c>
      <c r="F3303" t="s">
        <v>4</v>
      </c>
      <c r="G3303" t="s">
        <v>217</v>
      </c>
      <c r="H3303" t="s">
        <v>217</v>
      </c>
      <c r="I3303" t="s">
        <v>223</v>
      </c>
      <c r="J3303" s="25">
        <v>38147</v>
      </c>
      <c r="K3303" s="26">
        <v>6213.65</v>
      </c>
      <c r="L3303" s="26">
        <v>82.68</v>
      </c>
    </row>
    <row r="3304" spans="1:12" ht="16" customHeight="1">
      <c r="A3304" t="s">
        <v>478</v>
      </c>
      <c r="B3304" t="s">
        <v>3</v>
      </c>
      <c r="C3304" t="s">
        <v>54</v>
      </c>
      <c r="D3304" s="24">
        <v>46174</v>
      </c>
      <c r="E3304" t="s">
        <v>228</v>
      </c>
      <c r="F3304" t="s">
        <v>4</v>
      </c>
      <c r="G3304" t="s">
        <v>217</v>
      </c>
      <c r="H3304" t="s">
        <v>217</v>
      </c>
      <c r="I3304" t="s">
        <v>225</v>
      </c>
      <c r="J3304" s="25">
        <v>48962</v>
      </c>
      <c r="K3304" s="26">
        <v>7891.91</v>
      </c>
      <c r="L3304" s="26">
        <v>191.74</v>
      </c>
    </row>
    <row r="3305" spans="1:12" ht="16" customHeight="1">
      <c r="A3305" t="s">
        <v>478</v>
      </c>
      <c r="B3305" t="s">
        <v>3</v>
      </c>
      <c r="C3305" t="s">
        <v>54</v>
      </c>
      <c r="D3305" s="24">
        <v>46174</v>
      </c>
      <c r="E3305" t="s">
        <v>439</v>
      </c>
      <c r="F3305" t="s">
        <v>4</v>
      </c>
      <c r="G3305" t="s">
        <v>217</v>
      </c>
      <c r="H3305" t="s">
        <v>217</v>
      </c>
      <c r="I3305" t="s">
        <v>227</v>
      </c>
      <c r="J3305" s="25">
        <v>4</v>
      </c>
      <c r="K3305" s="26">
        <v>0.67</v>
      </c>
      <c r="L3305" s="26">
        <v>0.01</v>
      </c>
    </row>
    <row r="3306" spans="1:12" ht="16" customHeight="1">
      <c r="A3306" t="s">
        <v>478</v>
      </c>
      <c r="B3306" t="s">
        <v>3</v>
      </c>
      <c r="C3306" t="s">
        <v>54</v>
      </c>
      <c r="D3306" s="24">
        <v>46174</v>
      </c>
      <c r="E3306" t="s">
        <v>230</v>
      </c>
      <c r="F3306" t="s">
        <v>4</v>
      </c>
      <c r="G3306" t="s">
        <v>217</v>
      </c>
      <c r="H3306" t="s">
        <v>217</v>
      </c>
      <c r="I3306" t="s">
        <v>330</v>
      </c>
      <c r="J3306" s="25">
        <v>3</v>
      </c>
      <c r="K3306" s="26">
        <v>0.42</v>
      </c>
      <c r="L3306" s="26">
        <v>0.01</v>
      </c>
    </row>
    <row r="3307" spans="1:12" ht="16" customHeight="1">
      <c r="A3307" t="s">
        <v>478</v>
      </c>
      <c r="B3307" t="s">
        <v>3</v>
      </c>
      <c r="C3307" t="s">
        <v>54</v>
      </c>
      <c r="D3307" s="24">
        <v>46174</v>
      </c>
      <c r="E3307" t="s">
        <v>232</v>
      </c>
      <c r="F3307" t="s">
        <v>4</v>
      </c>
      <c r="G3307" t="s">
        <v>217</v>
      </c>
      <c r="H3307" t="s">
        <v>217</v>
      </c>
      <c r="I3307" t="s">
        <v>331</v>
      </c>
      <c r="J3307" s="25">
        <v>299</v>
      </c>
      <c r="K3307" s="26">
        <v>50.82</v>
      </c>
      <c r="L3307" s="26">
        <v>2.4900000000000002</v>
      </c>
    </row>
    <row r="3308" spans="1:12" ht="16" customHeight="1">
      <c r="A3308" t="s">
        <v>478</v>
      </c>
      <c r="B3308" t="s">
        <v>3</v>
      </c>
      <c r="C3308" t="s">
        <v>54</v>
      </c>
      <c r="D3308" s="24">
        <v>46174</v>
      </c>
      <c r="E3308" t="s">
        <v>234</v>
      </c>
      <c r="F3308" t="s">
        <v>4</v>
      </c>
      <c r="G3308" t="s">
        <v>217</v>
      </c>
      <c r="H3308" t="s">
        <v>217</v>
      </c>
      <c r="I3308" t="s">
        <v>332</v>
      </c>
      <c r="J3308" s="25">
        <v>0</v>
      </c>
      <c r="K3308" s="26">
        <v>0</v>
      </c>
      <c r="L3308" s="26">
        <v>0</v>
      </c>
    </row>
    <row r="3309" spans="1:12" ht="16" customHeight="1">
      <c r="A3309" t="s">
        <v>478</v>
      </c>
      <c r="B3309" t="s">
        <v>3</v>
      </c>
      <c r="C3309" t="s">
        <v>54</v>
      </c>
      <c r="D3309" s="24">
        <v>46174</v>
      </c>
      <c r="E3309" t="s">
        <v>236</v>
      </c>
      <c r="F3309" t="s">
        <v>4</v>
      </c>
      <c r="G3309" t="s">
        <v>217</v>
      </c>
      <c r="H3309" t="s">
        <v>217</v>
      </c>
      <c r="I3309" t="s">
        <v>333</v>
      </c>
      <c r="J3309" s="25">
        <v>6</v>
      </c>
      <c r="K3309" s="26">
        <v>1.06</v>
      </c>
      <c r="L3309" s="26">
        <v>0.06</v>
      </c>
    </row>
    <row r="3310" spans="1:12" ht="16" customHeight="1">
      <c r="A3310" t="s">
        <v>478</v>
      </c>
      <c r="B3310" t="s">
        <v>3</v>
      </c>
      <c r="C3310" t="s">
        <v>54</v>
      </c>
      <c r="D3310" s="24">
        <v>46174</v>
      </c>
      <c r="E3310" t="s">
        <v>238</v>
      </c>
      <c r="F3310" t="s">
        <v>4</v>
      </c>
      <c r="G3310" t="s">
        <v>217</v>
      </c>
      <c r="H3310" t="s">
        <v>217</v>
      </c>
      <c r="I3310" t="s">
        <v>334</v>
      </c>
      <c r="J3310" s="25">
        <v>0</v>
      </c>
      <c r="K3310" s="26">
        <v>0</v>
      </c>
      <c r="L3310" s="26">
        <v>0</v>
      </c>
    </row>
    <row r="3311" spans="1:12" ht="16" customHeight="1">
      <c r="A3311" t="s">
        <v>478</v>
      </c>
      <c r="B3311" t="s">
        <v>3</v>
      </c>
      <c r="C3311" t="s">
        <v>54</v>
      </c>
      <c r="D3311" s="24">
        <v>46174</v>
      </c>
      <c r="E3311" t="s">
        <v>240</v>
      </c>
      <c r="F3311" t="s">
        <v>3</v>
      </c>
      <c r="G3311" t="s">
        <v>241</v>
      </c>
      <c r="H3311" t="s">
        <v>241</v>
      </c>
      <c r="I3311" t="s">
        <v>335</v>
      </c>
      <c r="J3311" s="25">
        <v>0</v>
      </c>
      <c r="K3311" s="26">
        <v>0</v>
      </c>
      <c r="L3311" s="26">
        <v>0</v>
      </c>
    </row>
    <row r="3312" spans="1:12" ht="16" customHeight="1">
      <c r="A3312" t="s">
        <v>478</v>
      </c>
      <c r="B3312" t="s">
        <v>3</v>
      </c>
      <c r="C3312" t="s">
        <v>54</v>
      </c>
      <c r="D3312" s="24">
        <v>46174</v>
      </c>
      <c r="E3312" t="s">
        <v>243</v>
      </c>
      <c r="F3312" t="s">
        <v>4</v>
      </c>
      <c r="G3312" t="s">
        <v>217</v>
      </c>
      <c r="H3312" t="s">
        <v>217</v>
      </c>
      <c r="I3312" t="s">
        <v>336</v>
      </c>
      <c r="J3312" s="25">
        <v>0</v>
      </c>
      <c r="K3312" s="26">
        <v>0</v>
      </c>
      <c r="L3312" s="26">
        <v>0</v>
      </c>
    </row>
    <row r="3313" spans="1:12" ht="16" customHeight="1">
      <c r="A3313" t="s">
        <v>478</v>
      </c>
      <c r="B3313" t="s">
        <v>3</v>
      </c>
      <c r="C3313" t="s">
        <v>54</v>
      </c>
      <c r="D3313" s="24">
        <v>46174</v>
      </c>
      <c r="E3313" t="s">
        <v>360</v>
      </c>
      <c r="F3313" t="s">
        <v>4</v>
      </c>
      <c r="G3313" t="s">
        <v>217</v>
      </c>
      <c r="H3313" t="s">
        <v>217</v>
      </c>
      <c r="I3313" t="s">
        <v>337</v>
      </c>
      <c r="J3313" s="25">
        <v>0</v>
      </c>
      <c r="K3313" s="26">
        <v>0</v>
      </c>
      <c r="L3313" s="26">
        <v>0</v>
      </c>
    </row>
    <row r="3314" spans="1:12" ht="16" customHeight="1">
      <c r="A3314" t="s">
        <v>452</v>
      </c>
      <c r="B3314" t="s">
        <v>4</v>
      </c>
      <c r="C3314" t="s">
        <v>54</v>
      </c>
      <c r="D3314" s="24">
        <v>46174</v>
      </c>
      <c r="E3314" t="s">
        <v>452</v>
      </c>
      <c r="F3314" t="s">
        <v>4</v>
      </c>
      <c r="G3314" t="s">
        <v>211</v>
      </c>
      <c r="H3314" t="s">
        <v>211</v>
      </c>
      <c r="I3314" t="s">
        <v>212</v>
      </c>
      <c r="J3314" s="25">
        <v>494349594</v>
      </c>
      <c r="K3314" s="26">
        <v>75327785.280000001</v>
      </c>
      <c r="L3314" s="26">
        <v>77859.179999999993</v>
      </c>
    </row>
    <row r="3315" spans="1:12" ht="16" customHeight="1">
      <c r="A3315" t="s">
        <v>452</v>
      </c>
      <c r="B3315" t="s">
        <v>4</v>
      </c>
      <c r="C3315" t="s">
        <v>54</v>
      </c>
      <c r="D3315" s="24">
        <v>46174</v>
      </c>
      <c r="E3315" t="s">
        <v>461</v>
      </c>
      <c r="F3315" t="s">
        <v>4</v>
      </c>
      <c r="G3315" t="s">
        <v>211</v>
      </c>
      <c r="H3315" t="s">
        <v>211</v>
      </c>
      <c r="I3315" t="s">
        <v>212</v>
      </c>
      <c r="J3315" s="25">
        <v>11527004</v>
      </c>
      <c r="K3315" s="26">
        <v>1769922.84</v>
      </c>
      <c r="L3315" s="26">
        <v>7296.41</v>
      </c>
    </row>
    <row r="3316" spans="1:12" ht="16" customHeight="1">
      <c r="A3316" t="s">
        <v>452</v>
      </c>
      <c r="B3316" t="s">
        <v>4</v>
      </c>
      <c r="C3316" t="s">
        <v>54</v>
      </c>
      <c r="D3316" s="24">
        <v>46174</v>
      </c>
      <c r="E3316" t="s">
        <v>466</v>
      </c>
      <c r="F3316" t="s">
        <v>4</v>
      </c>
      <c r="G3316" t="s">
        <v>211</v>
      </c>
      <c r="H3316" t="s">
        <v>211</v>
      </c>
      <c r="I3316" t="s">
        <v>212</v>
      </c>
      <c r="J3316" s="25">
        <v>426303</v>
      </c>
      <c r="K3316" s="26">
        <v>65818</v>
      </c>
      <c r="L3316" s="26">
        <v>344.74</v>
      </c>
    </row>
    <row r="3317" spans="1:12" ht="16" customHeight="1">
      <c r="A3317" t="s">
        <v>452</v>
      </c>
      <c r="B3317" t="s">
        <v>4</v>
      </c>
      <c r="C3317" t="s">
        <v>54</v>
      </c>
      <c r="D3317" s="24">
        <v>46174</v>
      </c>
      <c r="E3317" t="s">
        <v>471</v>
      </c>
      <c r="F3317" t="s">
        <v>4</v>
      </c>
      <c r="G3317" t="s">
        <v>211</v>
      </c>
      <c r="H3317" t="s">
        <v>211</v>
      </c>
      <c r="I3317" t="s">
        <v>212</v>
      </c>
      <c r="J3317" s="25">
        <v>58037</v>
      </c>
      <c r="K3317" s="26">
        <v>9041.48</v>
      </c>
      <c r="L3317" s="26">
        <v>62.25</v>
      </c>
    </row>
    <row r="3318" spans="1:12" ht="16" customHeight="1">
      <c r="A3318" t="s">
        <v>452</v>
      </c>
      <c r="B3318" t="s">
        <v>4</v>
      </c>
      <c r="C3318" t="s">
        <v>54</v>
      </c>
      <c r="D3318" s="24">
        <v>46174</v>
      </c>
      <c r="E3318" t="s">
        <v>226</v>
      </c>
      <c r="F3318" t="s">
        <v>4</v>
      </c>
      <c r="G3318" t="s">
        <v>217</v>
      </c>
      <c r="H3318" t="s">
        <v>217</v>
      </c>
      <c r="I3318" t="s">
        <v>212</v>
      </c>
      <c r="J3318" s="25">
        <v>1444192</v>
      </c>
      <c r="K3318" s="26">
        <v>223951.43</v>
      </c>
      <c r="L3318" s="26">
        <v>2022.26</v>
      </c>
    </row>
    <row r="3319" spans="1:12" ht="16" customHeight="1">
      <c r="A3319" t="s">
        <v>452</v>
      </c>
      <c r="B3319" t="s">
        <v>4</v>
      </c>
      <c r="C3319" t="s">
        <v>54</v>
      </c>
      <c r="D3319" s="24">
        <v>46174</v>
      </c>
      <c r="E3319" t="s">
        <v>457</v>
      </c>
      <c r="F3319" t="s">
        <v>4</v>
      </c>
      <c r="G3319" t="s">
        <v>217</v>
      </c>
      <c r="H3319" t="s">
        <v>217</v>
      </c>
      <c r="I3319" t="s">
        <v>219</v>
      </c>
      <c r="J3319" s="25">
        <v>178484</v>
      </c>
      <c r="K3319" s="26">
        <v>27955.71</v>
      </c>
      <c r="L3319" s="26">
        <v>259.88</v>
      </c>
    </row>
    <row r="3320" spans="1:12" ht="16" customHeight="1">
      <c r="A3320" t="s">
        <v>452</v>
      </c>
      <c r="B3320" t="s">
        <v>4</v>
      </c>
      <c r="C3320" t="s">
        <v>54</v>
      </c>
      <c r="D3320" s="24">
        <v>46174</v>
      </c>
      <c r="E3320" t="s">
        <v>476</v>
      </c>
      <c r="F3320" t="s">
        <v>4</v>
      </c>
      <c r="G3320" t="s">
        <v>217</v>
      </c>
      <c r="H3320" t="s">
        <v>217</v>
      </c>
      <c r="I3320" t="s">
        <v>221</v>
      </c>
      <c r="J3320" s="25">
        <v>51328</v>
      </c>
      <c r="K3320" s="26">
        <v>8084.78</v>
      </c>
      <c r="L3320" s="26">
        <v>130.28</v>
      </c>
    </row>
    <row r="3321" spans="1:12" ht="16" customHeight="1">
      <c r="A3321" t="s">
        <v>452</v>
      </c>
      <c r="B3321" t="s">
        <v>4</v>
      </c>
      <c r="C3321" t="s">
        <v>54</v>
      </c>
      <c r="D3321" s="24">
        <v>46174</v>
      </c>
      <c r="E3321" t="s">
        <v>269</v>
      </c>
      <c r="F3321" t="s">
        <v>4</v>
      </c>
      <c r="G3321" t="s">
        <v>217</v>
      </c>
      <c r="H3321" t="s">
        <v>217</v>
      </c>
      <c r="I3321" t="s">
        <v>223</v>
      </c>
      <c r="J3321" s="25">
        <v>31845</v>
      </c>
      <c r="K3321" s="26">
        <v>5201.7</v>
      </c>
      <c r="L3321" s="26">
        <v>57.47</v>
      </c>
    </row>
    <row r="3322" spans="1:12" ht="16" customHeight="1">
      <c r="A3322" t="s">
        <v>452</v>
      </c>
      <c r="B3322" t="s">
        <v>4</v>
      </c>
      <c r="C3322" t="s">
        <v>54</v>
      </c>
      <c r="D3322" s="24">
        <v>46174</v>
      </c>
      <c r="E3322" t="s">
        <v>228</v>
      </c>
      <c r="F3322" t="s">
        <v>4</v>
      </c>
      <c r="G3322" t="s">
        <v>217</v>
      </c>
      <c r="H3322" t="s">
        <v>217</v>
      </c>
      <c r="I3322" t="s">
        <v>225</v>
      </c>
      <c r="J3322" s="25">
        <v>44950</v>
      </c>
      <c r="K3322" s="26">
        <v>7289.58</v>
      </c>
      <c r="L3322" s="26">
        <v>205.92</v>
      </c>
    </row>
    <row r="3323" spans="1:12" ht="16" customHeight="1">
      <c r="A3323" t="s">
        <v>452</v>
      </c>
      <c r="B3323" t="s">
        <v>4</v>
      </c>
      <c r="C3323" t="s">
        <v>54</v>
      </c>
      <c r="D3323" s="24">
        <v>46174</v>
      </c>
      <c r="E3323" t="s">
        <v>439</v>
      </c>
      <c r="F3323" t="s">
        <v>4</v>
      </c>
      <c r="G3323" t="s">
        <v>217</v>
      </c>
      <c r="H3323" t="s">
        <v>217</v>
      </c>
      <c r="I3323" t="s">
        <v>227</v>
      </c>
      <c r="J3323" s="25">
        <v>1</v>
      </c>
      <c r="K3323" s="26">
        <v>0.18</v>
      </c>
      <c r="L3323" s="26">
        <v>0</v>
      </c>
    </row>
    <row r="3324" spans="1:12" ht="16" customHeight="1">
      <c r="A3324" t="s">
        <v>452</v>
      </c>
      <c r="B3324" t="s">
        <v>4</v>
      </c>
      <c r="C3324" t="s">
        <v>54</v>
      </c>
      <c r="D3324" s="24">
        <v>46174</v>
      </c>
      <c r="E3324" t="s">
        <v>230</v>
      </c>
      <c r="F3324" t="s">
        <v>4</v>
      </c>
      <c r="G3324" t="s">
        <v>217</v>
      </c>
      <c r="H3324" t="s">
        <v>217</v>
      </c>
      <c r="I3324" t="s">
        <v>330</v>
      </c>
      <c r="J3324" s="25">
        <v>1</v>
      </c>
      <c r="K3324" s="26">
        <v>0.17</v>
      </c>
      <c r="L3324" s="26">
        <v>0.01</v>
      </c>
    </row>
    <row r="3325" spans="1:12" ht="16" customHeight="1">
      <c r="A3325" t="s">
        <v>452</v>
      </c>
      <c r="B3325" t="s">
        <v>4</v>
      </c>
      <c r="C3325" t="s">
        <v>54</v>
      </c>
      <c r="D3325" s="24">
        <v>46174</v>
      </c>
      <c r="E3325" t="s">
        <v>232</v>
      </c>
      <c r="F3325" t="s">
        <v>4</v>
      </c>
      <c r="G3325" t="s">
        <v>217</v>
      </c>
      <c r="H3325" t="s">
        <v>217</v>
      </c>
      <c r="I3325" t="s">
        <v>331</v>
      </c>
      <c r="J3325" s="25">
        <v>395</v>
      </c>
      <c r="K3325" s="26">
        <v>70.34</v>
      </c>
      <c r="L3325" s="26">
        <v>3.07</v>
      </c>
    </row>
    <row r="3326" spans="1:12" ht="16" customHeight="1">
      <c r="A3326" t="s">
        <v>452</v>
      </c>
      <c r="B3326" t="s">
        <v>4</v>
      </c>
      <c r="C3326" t="s">
        <v>54</v>
      </c>
      <c r="D3326" s="24">
        <v>46174</v>
      </c>
      <c r="E3326" t="s">
        <v>234</v>
      </c>
      <c r="F3326" t="s">
        <v>4</v>
      </c>
      <c r="G3326" t="s">
        <v>217</v>
      </c>
      <c r="H3326" t="s">
        <v>217</v>
      </c>
      <c r="I3326" t="s">
        <v>332</v>
      </c>
      <c r="J3326" s="25">
        <v>0</v>
      </c>
      <c r="K3326" s="26">
        <v>0</v>
      </c>
      <c r="L3326" s="26">
        <v>0</v>
      </c>
    </row>
    <row r="3327" spans="1:12" ht="16" customHeight="1">
      <c r="A3327" t="s">
        <v>452</v>
      </c>
      <c r="B3327" t="s">
        <v>4</v>
      </c>
      <c r="C3327" t="s">
        <v>54</v>
      </c>
      <c r="D3327" s="24">
        <v>46174</v>
      </c>
      <c r="E3327" t="s">
        <v>236</v>
      </c>
      <c r="F3327" t="s">
        <v>4</v>
      </c>
      <c r="G3327" t="s">
        <v>217</v>
      </c>
      <c r="H3327" t="s">
        <v>217</v>
      </c>
      <c r="I3327" t="s">
        <v>333</v>
      </c>
      <c r="J3327" s="25">
        <v>20</v>
      </c>
      <c r="K3327" s="26">
        <v>3.71</v>
      </c>
      <c r="L3327" s="26">
        <v>0.24</v>
      </c>
    </row>
    <row r="3328" spans="1:12" ht="16" customHeight="1">
      <c r="A3328" t="s">
        <v>452</v>
      </c>
      <c r="B3328" t="s">
        <v>4</v>
      </c>
      <c r="C3328" t="s">
        <v>54</v>
      </c>
      <c r="D3328" s="24">
        <v>46174</v>
      </c>
      <c r="E3328" t="s">
        <v>238</v>
      </c>
      <c r="F3328" t="s">
        <v>4</v>
      </c>
      <c r="G3328" t="s">
        <v>217</v>
      </c>
      <c r="H3328" t="s">
        <v>217</v>
      </c>
      <c r="I3328" t="s">
        <v>334</v>
      </c>
      <c r="J3328" s="25">
        <v>0</v>
      </c>
      <c r="K3328" s="26">
        <v>0</v>
      </c>
      <c r="L3328" s="26">
        <v>0</v>
      </c>
    </row>
    <row r="3329" spans="1:12" ht="16" customHeight="1">
      <c r="A3329" t="s">
        <v>452</v>
      </c>
      <c r="B3329" t="s">
        <v>4</v>
      </c>
      <c r="C3329" t="s">
        <v>54</v>
      </c>
      <c r="D3329" s="24">
        <v>46174</v>
      </c>
      <c r="E3329" t="s">
        <v>240</v>
      </c>
      <c r="F3329" t="s">
        <v>3</v>
      </c>
      <c r="G3329" t="s">
        <v>241</v>
      </c>
      <c r="H3329" t="s">
        <v>241</v>
      </c>
      <c r="I3329" t="s">
        <v>335</v>
      </c>
      <c r="J3329" s="25">
        <v>0</v>
      </c>
      <c r="K3329" s="26">
        <v>0</v>
      </c>
      <c r="L3329" s="26">
        <v>0</v>
      </c>
    </row>
    <row r="3330" spans="1:12" ht="16" customHeight="1">
      <c r="A3330" t="s">
        <v>452</v>
      </c>
      <c r="B3330" t="s">
        <v>4</v>
      </c>
      <c r="C3330" t="s">
        <v>54</v>
      </c>
      <c r="D3330" s="24">
        <v>46174</v>
      </c>
      <c r="E3330" t="s">
        <v>243</v>
      </c>
      <c r="F3330" t="s">
        <v>4</v>
      </c>
      <c r="G3330" t="s">
        <v>217</v>
      </c>
      <c r="H3330" t="s">
        <v>217</v>
      </c>
      <c r="I3330" t="s">
        <v>336</v>
      </c>
      <c r="J3330" s="25">
        <v>0</v>
      </c>
      <c r="K3330" s="26">
        <v>0</v>
      </c>
      <c r="L3330" s="26">
        <v>0</v>
      </c>
    </row>
    <row r="3331" spans="1:12" ht="16" customHeight="1">
      <c r="A3331" t="s">
        <v>452</v>
      </c>
      <c r="B3331" t="s">
        <v>4</v>
      </c>
      <c r="C3331" t="s">
        <v>54</v>
      </c>
      <c r="D3331" s="24">
        <v>46174</v>
      </c>
      <c r="E3331" t="s">
        <v>360</v>
      </c>
      <c r="F3331" t="s">
        <v>4</v>
      </c>
      <c r="G3331" t="s">
        <v>217</v>
      </c>
      <c r="H3331" t="s">
        <v>217</v>
      </c>
      <c r="I3331" t="s">
        <v>337</v>
      </c>
      <c r="J3331" s="25">
        <v>0</v>
      </c>
      <c r="K3331" s="26">
        <v>0</v>
      </c>
      <c r="L3331" s="26">
        <v>0</v>
      </c>
    </row>
    <row r="3332" spans="1:12" ht="16" customHeight="1">
      <c r="A3332" t="s">
        <v>479</v>
      </c>
      <c r="B3332" t="s">
        <v>5</v>
      </c>
      <c r="C3332" t="s">
        <v>54</v>
      </c>
      <c r="D3332" s="24">
        <v>46174</v>
      </c>
      <c r="E3332" t="s">
        <v>461</v>
      </c>
      <c r="F3332" t="s">
        <v>4</v>
      </c>
      <c r="G3332" t="s">
        <v>211</v>
      </c>
      <c r="H3332" t="s">
        <v>211</v>
      </c>
      <c r="I3332" t="s">
        <v>212</v>
      </c>
      <c r="J3332" s="25">
        <v>59943705</v>
      </c>
      <c r="K3332" s="26">
        <v>9165584.0700000003</v>
      </c>
      <c r="L3332" s="26">
        <v>42886.97</v>
      </c>
    </row>
    <row r="3333" spans="1:12" ht="16" customHeight="1">
      <c r="A3333" t="s">
        <v>479</v>
      </c>
      <c r="B3333" t="s">
        <v>5</v>
      </c>
      <c r="C3333" t="s">
        <v>54</v>
      </c>
      <c r="D3333" s="24">
        <v>46174</v>
      </c>
      <c r="E3333" t="s">
        <v>466</v>
      </c>
      <c r="F3333" t="s">
        <v>4</v>
      </c>
      <c r="G3333" t="s">
        <v>211</v>
      </c>
      <c r="H3333" t="s">
        <v>211</v>
      </c>
      <c r="I3333" t="s">
        <v>212</v>
      </c>
      <c r="J3333" s="25">
        <v>1278042</v>
      </c>
      <c r="K3333" s="26">
        <v>196531.23</v>
      </c>
      <c r="L3333" s="26">
        <v>1127.78</v>
      </c>
    </row>
    <row r="3334" spans="1:12" ht="16" customHeight="1">
      <c r="A3334" t="s">
        <v>479</v>
      </c>
      <c r="B3334" t="s">
        <v>5</v>
      </c>
      <c r="C3334" t="s">
        <v>54</v>
      </c>
      <c r="D3334" s="24">
        <v>46174</v>
      </c>
      <c r="E3334" t="s">
        <v>471</v>
      </c>
      <c r="F3334" t="s">
        <v>4</v>
      </c>
      <c r="G3334" t="s">
        <v>211</v>
      </c>
      <c r="H3334" t="s">
        <v>211</v>
      </c>
      <c r="I3334" t="s">
        <v>212</v>
      </c>
      <c r="J3334" s="25">
        <v>104575</v>
      </c>
      <c r="K3334" s="26">
        <v>16202.11</v>
      </c>
      <c r="L3334" s="26">
        <v>115.35</v>
      </c>
    </row>
    <row r="3335" spans="1:12" ht="16" customHeight="1">
      <c r="A3335" t="s">
        <v>479</v>
      </c>
      <c r="B3335" t="s">
        <v>5</v>
      </c>
      <c r="C3335" t="s">
        <v>54</v>
      </c>
      <c r="D3335" s="24">
        <v>46174</v>
      </c>
      <c r="E3335" t="s">
        <v>226</v>
      </c>
      <c r="F3335" t="s">
        <v>4</v>
      </c>
      <c r="G3335" t="s">
        <v>217</v>
      </c>
      <c r="H3335" t="s">
        <v>217</v>
      </c>
      <c r="I3335" t="s">
        <v>212</v>
      </c>
      <c r="J3335" s="25">
        <v>2008887</v>
      </c>
      <c r="K3335" s="26">
        <v>311035.75</v>
      </c>
      <c r="L3335" s="26">
        <v>2793.1</v>
      </c>
    </row>
    <row r="3336" spans="1:12" ht="16" customHeight="1">
      <c r="A3336" t="s">
        <v>479</v>
      </c>
      <c r="B3336" t="s">
        <v>5</v>
      </c>
      <c r="C3336" t="s">
        <v>54</v>
      </c>
      <c r="D3336" s="24">
        <v>46174</v>
      </c>
      <c r="E3336" t="s">
        <v>480</v>
      </c>
      <c r="F3336" t="s">
        <v>4</v>
      </c>
      <c r="G3336" t="s">
        <v>211</v>
      </c>
      <c r="H3336" t="s">
        <v>211</v>
      </c>
      <c r="I3336" t="s">
        <v>219</v>
      </c>
      <c r="J3336" s="25">
        <v>228</v>
      </c>
      <c r="K3336" s="26">
        <v>35.42</v>
      </c>
      <c r="L3336" s="26">
        <v>0.39</v>
      </c>
    </row>
    <row r="3337" spans="1:12" ht="16" customHeight="1">
      <c r="A3337" t="s">
        <v>479</v>
      </c>
      <c r="B3337" t="s">
        <v>5</v>
      </c>
      <c r="C3337" t="s">
        <v>54</v>
      </c>
      <c r="D3337" s="24">
        <v>46174</v>
      </c>
      <c r="E3337" t="s">
        <v>457</v>
      </c>
      <c r="F3337" t="s">
        <v>4</v>
      </c>
      <c r="G3337" t="s">
        <v>217</v>
      </c>
      <c r="H3337" t="s">
        <v>217</v>
      </c>
      <c r="I3337" t="s">
        <v>219</v>
      </c>
      <c r="J3337" s="25">
        <v>211761</v>
      </c>
      <c r="K3337" s="26">
        <v>33222.47</v>
      </c>
      <c r="L3337" s="26">
        <v>339.52</v>
      </c>
    </row>
    <row r="3338" spans="1:12" ht="16" customHeight="1">
      <c r="A3338" t="s">
        <v>479</v>
      </c>
      <c r="B3338" t="s">
        <v>5</v>
      </c>
      <c r="C3338" t="s">
        <v>54</v>
      </c>
      <c r="D3338" s="24">
        <v>46174</v>
      </c>
      <c r="E3338" t="s">
        <v>476</v>
      </c>
      <c r="F3338" t="s">
        <v>4</v>
      </c>
      <c r="G3338" t="s">
        <v>217</v>
      </c>
      <c r="H3338" t="s">
        <v>217</v>
      </c>
      <c r="I3338" t="s">
        <v>221</v>
      </c>
      <c r="J3338" s="25">
        <v>38201</v>
      </c>
      <c r="K3338" s="26">
        <v>6042.68</v>
      </c>
      <c r="L3338" s="26">
        <v>99.24</v>
      </c>
    </row>
    <row r="3339" spans="1:12" ht="16" customHeight="1">
      <c r="A3339" t="s">
        <v>479</v>
      </c>
      <c r="B3339" t="s">
        <v>5</v>
      </c>
      <c r="C3339" t="s">
        <v>54</v>
      </c>
      <c r="D3339" s="24">
        <v>46174</v>
      </c>
      <c r="E3339" t="s">
        <v>269</v>
      </c>
      <c r="F3339" t="s">
        <v>4</v>
      </c>
      <c r="G3339" t="s">
        <v>217</v>
      </c>
      <c r="H3339" t="s">
        <v>217</v>
      </c>
      <c r="I3339" t="s">
        <v>223</v>
      </c>
      <c r="J3339" s="25">
        <v>43269</v>
      </c>
      <c r="K3339" s="26">
        <v>6989.13</v>
      </c>
      <c r="L3339" s="26">
        <v>84.27</v>
      </c>
    </row>
    <row r="3340" spans="1:12" ht="16" customHeight="1">
      <c r="A3340" t="s">
        <v>479</v>
      </c>
      <c r="B3340" t="s">
        <v>5</v>
      </c>
      <c r="C3340" t="s">
        <v>54</v>
      </c>
      <c r="D3340" s="24">
        <v>46174</v>
      </c>
      <c r="E3340" t="s">
        <v>228</v>
      </c>
      <c r="F3340" t="s">
        <v>4</v>
      </c>
      <c r="G3340" t="s">
        <v>217</v>
      </c>
      <c r="H3340" t="s">
        <v>217</v>
      </c>
      <c r="I3340" t="s">
        <v>225</v>
      </c>
      <c r="J3340" s="25">
        <v>54998</v>
      </c>
      <c r="K3340" s="26">
        <v>8977.4</v>
      </c>
      <c r="L3340" s="26">
        <v>216.68</v>
      </c>
    </row>
    <row r="3341" spans="1:12" ht="16" customHeight="1">
      <c r="A3341" t="s">
        <v>479</v>
      </c>
      <c r="B3341" t="s">
        <v>5</v>
      </c>
      <c r="C3341" t="s">
        <v>54</v>
      </c>
      <c r="D3341" s="24">
        <v>46174</v>
      </c>
      <c r="E3341" t="s">
        <v>439</v>
      </c>
      <c r="F3341" t="s">
        <v>4</v>
      </c>
      <c r="G3341" t="s">
        <v>217</v>
      </c>
      <c r="H3341" t="s">
        <v>217</v>
      </c>
      <c r="I3341" t="s">
        <v>227</v>
      </c>
      <c r="J3341" s="25">
        <v>7</v>
      </c>
      <c r="K3341" s="26">
        <v>1.21</v>
      </c>
      <c r="L3341" s="26">
        <v>0.02</v>
      </c>
    </row>
    <row r="3342" spans="1:12" ht="16" customHeight="1">
      <c r="A3342" t="s">
        <v>479</v>
      </c>
      <c r="B3342" t="s">
        <v>5</v>
      </c>
      <c r="C3342" t="s">
        <v>54</v>
      </c>
      <c r="D3342" s="24">
        <v>46174</v>
      </c>
      <c r="E3342" t="s">
        <v>230</v>
      </c>
      <c r="F3342" t="s">
        <v>4</v>
      </c>
      <c r="G3342" t="s">
        <v>217</v>
      </c>
      <c r="H3342" t="s">
        <v>217</v>
      </c>
      <c r="I3342" t="s">
        <v>330</v>
      </c>
      <c r="J3342" s="25">
        <v>0</v>
      </c>
      <c r="K3342" s="26">
        <v>0</v>
      </c>
      <c r="L3342" s="26">
        <v>0</v>
      </c>
    </row>
    <row r="3343" spans="1:12" ht="16" customHeight="1">
      <c r="A3343" t="s">
        <v>479</v>
      </c>
      <c r="B3343" t="s">
        <v>5</v>
      </c>
      <c r="C3343" t="s">
        <v>54</v>
      </c>
      <c r="D3343" s="24">
        <v>46174</v>
      </c>
      <c r="E3343" t="s">
        <v>232</v>
      </c>
      <c r="F3343" t="s">
        <v>4</v>
      </c>
      <c r="G3343" t="s">
        <v>217</v>
      </c>
      <c r="H3343" t="s">
        <v>217</v>
      </c>
      <c r="I3343" t="s">
        <v>331</v>
      </c>
      <c r="J3343" s="25">
        <v>368</v>
      </c>
      <c r="K3343" s="26">
        <v>64.569999999999993</v>
      </c>
      <c r="L3343" s="26">
        <v>2.77</v>
      </c>
    </row>
    <row r="3344" spans="1:12" ht="16" customHeight="1">
      <c r="A3344" t="s">
        <v>479</v>
      </c>
      <c r="B3344" t="s">
        <v>5</v>
      </c>
      <c r="C3344" t="s">
        <v>54</v>
      </c>
      <c r="D3344" s="24">
        <v>46174</v>
      </c>
      <c r="E3344" t="s">
        <v>234</v>
      </c>
      <c r="F3344" t="s">
        <v>4</v>
      </c>
      <c r="G3344" t="s">
        <v>217</v>
      </c>
      <c r="H3344" t="s">
        <v>217</v>
      </c>
      <c r="I3344" t="s">
        <v>332</v>
      </c>
      <c r="J3344" s="25">
        <v>0</v>
      </c>
      <c r="K3344" s="26">
        <v>0</v>
      </c>
      <c r="L3344" s="26">
        <v>0</v>
      </c>
    </row>
    <row r="3345" spans="1:12" ht="16" customHeight="1">
      <c r="A3345" t="s">
        <v>479</v>
      </c>
      <c r="B3345" t="s">
        <v>5</v>
      </c>
      <c r="C3345" t="s">
        <v>54</v>
      </c>
      <c r="D3345" s="24">
        <v>46174</v>
      </c>
      <c r="E3345" t="s">
        <v>236</v>
      </c>
      <c r="F3345" t="s">
        <v>4</v>
      </c>
      <c r="G3345" t="s">
        <v>217</v>
      </c>
      <c r="H3345" t="s">
        <v>217</v>
      </c>
      <c r="I3345" t="s">
        <v>333</v>
      </c>
      <c r="J3345" s="25">
        <v>16</v>
      </c>
      <c r="K3345" s="26">
        <v>3.05</v>
      </c>
      <c r="L3345" s="26">
        <v>0.21</v>
      </c>
    </row>
    <row r="3346" spans="1:12" ht="16" customHeight="1">
      <c r="A3346" t="s">
        <v>479</v>
      </c>
      <c r="B3346" t="s">
        <v>5</v>
      </c>
      <c r="C3346" t="s">
        <v>54</v>
      </c>
      <c r="D3346" s="24">
        <v>46174</v>
      </c>
      <c r="E3346" t="s">
        <v>238</v>
      </c>
      <c r="F3346" t="s">
        <v>4</v>
      </c>
      <c r="G3346" t="s">
        <v>217</v>
      </c>
      <c r="H3346" t="s">
        <v>217</v>
      </c>
      <c r="I3346" t="s">
        <v>334</v>
      </c>
      <c r="J3346" s="25">
        <v>0</v>
      </c>
      <c r="K3346" s="26">
        <v>0</v>
      </c>
      <c r="L3346" s="26">
        <v>0</v>
      </c>
    </row>
    <row r="3347" spans="1:12" ht="16" customHeight="1">
      <c r="A3347" t="s">
        <v>479</v>
      </c>
      <c r="B3347" t="s">
        <v>5</v>
      </c>
      <c r="C3347" t="s">
        <v>54</v>
      </c>
      <c r="D3347" s="24">
        <v>46174</v>
      </c>
      <c r="E3347" t="s">
        <v>240</v>
      </c>
      <c r="F3347" t="s">
        <v>3</v>
      </c>
      <c r="G3347" t="s">
        <v>241</v>
      </c>
      <c r="H3347" t="s">
        <v>241</v>
      </c>
      <c r="I3347" t="s">
        <v>335</v>
      </c>
      <c r="J3347" s="25">
        <v>4</v>
      </c>
      <c r="K3347" s="26">
        <v>0.39</v>
      </c>
      <c r="L3347" s="26">
        <v>0</v>
      </c>
    </row>
    <row r="3348" spans="1:12" ht="16" customHeight="1">
      <c r="A3348" t="s">
        <v>479</v>
      </c>
      <c r="B3348" t="s">
        <v>5</v>
      </c>
      <c r="C3348" t="s">
        <v>54</v>
      </c>
      <c r="D3348" s="24">
        <v>46174</v>
      </c>
      <c r="E3348" t="s">
        <v>243</v>
      </c>
      <c r="F3348" t="s">
        <v>4</v>
      </c>
      <c r="G3348" t="s">
        <v>217</v>
      </c>
      <c r="H3348" t="s">
        <v>217</v>
      </c>
      <c r="I3348" t="s">
        <v>336</v>
      </c>
      <c r="J3348" s="25">
        <v>0</v>
      </c>
      <c r="K3348" s="26">
        <v>0</v>
      </c>
      <c r="L3348" s="26">
        <v>0</v>
      </c>
    </row>
    <row r="3349" spans="1:12" ht="16" customHeight="1">
      <c r="A3349" t="s">
        <v>479</v>
      </c>
      <c r="B3349" t="s">
        <v>5</v>
      </c>
      <c r="C3349" t="s">
        <v>54</v>
      </c>
      <c r="D3349" s="24">
        <v>46174</v>
      </c>
      <c r="E3349" t="s">
        <v>360</v>
      </c>
      <c r="F3349" t="s">
        <v>4</v>
      </c>
      <c r="G3349" t="s">
        <v>217</v>
      </c>
      <c r="H3349" t="s">
        <v>217</v>
      </c>
      <c r="I3349" t="s">
        <v>337</v>
      </c>
      <c r="J3349" s="25">
        <v>1</v>
      </c>
      <c r="K3349" s="26">
        <v>0.16</v>
      </c>
      <c r="L3349" s="26">
        <v>0.01</v>
      </c>
    </row>
    <row r="3350" spans="1:12" ht="16" customHeight="1">
      <c r="A3350" t="s">
        <v>481</v>
      </c>
      <c r="B3350" t="s">
        <v>6</v>
      </c>
      <c r="C3350" t="s">
        <v>54</v>
      </c>
      <c r="D3350" s="24">
        <v>46174</v>
      </c>
      <c r="E3350" t="s">
        <v>461</v>
      </c>
      <c r="F3350" t="s">
        <v>4</v>
      </c>
      <c r="G3350" t="s">
        <v>211</v>
      </c>
      <c r="H3350" t="s">
        <v>211</v>
      </c>
      <c r="I3350" t="s">
        <v>212</v>
      </c>
      <c r="J3350" s="25">
        <v>48938214</v>
      </c>
      <c r="K3350" s="26">
        <v>7483462.0199999996</v>
      </c>
      <c r="L3350" s="26">
        <v>30068.42</v>
      </c>
    </row>
    <row r="3351" spans="1:12" ht="16" customHeight="1">
      <c r="A3351" t="s">
        <v>481</v>
      </c>
      <c r="B3351" t="s">
        <v>6</v>
      </c>
      <c r="C3351" t="s">
        <v>54</v>
      </c>
      <c r="D3351" s="24">
        <v>46174</v>
      </c>
      <c r="E3351" t="s">
        <v>466</v>
      </c>
      <c r="F3351" t="s">
        <v>4</v>
      </c>
      <c r="G3351" t="s">
        <v>211</v>
      </c>
      <c r="H3351" t="s">
        <v>211</v>
      </c>
      <c r="I3351" t="s">
        <v>212</v>
      </c>
      <c r="J3351" s="25">
        <v>1208969</v>
      </c>
      <c r="K3351" s="26">
        <v>185367.94</v>
      </c>
      <c r="L3351" s="26">
        <v>939.84</v>
      </c>
    </row>
    <row r="3352" spans="1:12" ht="16" customHeight="1">
      <c r="A3352" t="s">
        <v>481</v>
      </c>
      <c r="B3352" t="s">
        <v>6</v>
      </c>
      <c r="C3352" t="s">
        <v>54</v>
      </c>
      <c r="D3352" s="24">
        <v>46174</v>
      </c>
      <c r="E3352" t="s">
        <v>471</v>
      </c>
      <c r="F3352" t="s">
        <v>4</v>
      </c>
      <c r="G3352" t="s">
        <v>211</v>
      </c>
      <c r="H3352" t="s">
        <v>211</v>
      </c>
      <c r="I3352" t="s">
        <v>212</v>
      </c>
      <c r="J3352" s="25">
        <v>92167</v>
      </c>
      <c r="K3352" s="26">
        <v>14287.62</v>
      </c>
      <c r="L3352" s="26">
        <v>92.58</v>
      </c>
    </row>
    <row r="3353" spans="1:12" ht="16" customHeight="1">
      <c r="A3353" t="s">
        <v>481</v>
      </c>
      <c r="B3353" t="s">
        <v>6</v>
      </c>
      <c r="C3353" t="s">
        <v>54</v>
      </c>
      <c r="D3353" s="24">
        <v>46174</v>
      </c>
      <c r="E3353" t="s">
        <v>226</v>
      </c>
      <c r="F3353" t="s">
        <v>4</v>
      </c>
      <c r="G3353" t="s">
        <v>217</v>
      </c>
      <c r="H3353" t="s">
        <v>217</v>
      </c>
      <c r="I3353" t="s">
        <v>212</v>
      </c>
      <c r="J3353" s="25">
        <v>1053029</v>
      </c>
      <c r="K3353" s="26">
        <v>163580.4</v>
      </c>
      <c r="L3353" s="26">
        <v>1437.88</v>
      </c>
    </row>
    <row r="3354" spans="1:12" ht="16" customHeight="1">
      <c r="A3354" t="s">
        <v>481</v>
      </c>
      <c r="B3354" t="s">
        <v>6</v>
      </c>
      <c r="C3354" t="s">
        <v>54</v>
      </c>
      <c r="D3354" s="24">
        <v>46174</v>
      </c>
      <c r="E3354" t="s">
        <v>480</v>
      </c>
      <c r="F3354" t="s">
        <v>4</v>
      </c>
      <c r="G3354" t="s">
        <v>211</v>
      </c>
      <c r="H3354" t="s">
        <v>211</v>
      </c>
      <c r="I3354" t="s">
        <v>219</v>
      </c>
      <c r="J3354" s="25">
        <v>1311</v>
      </c>
      <c r="K3354" s="26">
        <v>207.73</v>
      </c>
      <c r="L3354" s="26">
        <v>1.1499999999999999</v>
      </c>
    </row>
    <row r="3355" spans="1:12" ht="16" customHeight="1">
      <c r="A3355" t="s">
        <v>481</v>
      </c>
      <c r="B3355" t="s">
        <v>6</v>
      </c>
      <c r="C3355" t="s">
        <v>54</v>
      </c>
      <c r="D3355" s="24">
        <v>46174</v>
      </c>
      <c r="E3355" t="s">
        <v>457</v>
      </c>
      <c r="F3355" t="s">
        <v>4</v>
      </c>
      <c r="G3355" t="s">
        <v>217</v>
      </c>
      <c r="H3355" t="s">
        <v>217</v>
      </c>
      <c r="I3355" t="s">
        <v>219</v>
      </c>
      <c r="J3355" s="25">
        <v>92779</v>
      </c>
      <c r="K3355" s="26">
        <v>14483.66</v>
      </c>
      <c r="L3355" s="26">
        <v>161.41</v>
      </c>
    </row>
    <row r="3356" spans="1:12" ht="16" customHeight="1">
      <c r="A3356" t="s">
        <v>481</v>
      </c>
      <c r="B3356" t="s">
        <v>6</v>
      </c>
      <c r="C3356" t="s">
        <v>54</v>
      </c>
      <c r="D3356" s="24">
        <v>46174</v>
      </c>
      <c r="E3356" t="s">
        <v>476</v>
      </c>
      <c r="F3356" t="s">
        <v>4</v>
      </c>
      <c r="G3356" t="s">
        <v>217</v>
      </c>
      <c r="H3356" t="s">
        <v>217</v>
      </c>
      <c r="I3356" t="s">
        <v>221</v>
      </c>
      <c r="J3356" s="25">
        <v>12826</v>
      </c>
      <c r="K3356" s="26">
        <v>2021.21</v>
      </c>
      <c r="L3356" s="26">
        <v>32.74</v>
      </c>
    </row>
    <row r="3357" spans="1:12" ht="16" customHeight="1">
      <c r="A3357" t="s">
        <v>481</v>
      </c>
      <c r="B3357" t="s">
        <v>6</v>
      </c>
      <c r="C3357" t="s">
        <v>54</v>
      </c>
      <c r="D3357" s="24">
        <v>46174</v>
      </c>
      <c r="E3357" t="s">
        <v>269</v>
      </c>
      <c r="F3357" t="s">
        <v>4</v>
      </c>
      <c r="G3357" t="s">
        <v>217</v>
      </c>
      <c r="H3357" t="s">
        <v>217</v>
      </c>
      <c r="I3357" t="s">
        <v>223</v>
      </c>
      <c r="J3357" s="25">
        <v>15263</v>
      </c>
      <c r="K3357" s="26">
        <v>2403.14</v>
      </c>
      <c r="L3357" s="26">
        <v>32.270000000000003</v>
      </c>
    </row>
    <row r="3358" spans="1:12" ht="16" customHeight="1">
      <c r="A3358" t="s">
        <v>481</v>
      </c>
      <c r="B3358" t="s">
        <v>6</v>
      </c>
      <c r="C3358" t="s">
        <v>54</v>
      </c>
      <c r="D3358" s="24">
        <v>46174</v>
      </c>
      <c r="E3358" t="s">
        <v>228</v>
      </c>
      <c r="F3358" t="s">
        <v>4</v>
      </c>
      <c r="G3358" t="s">
        <v>217</v>
      </c>
      <c r="H3358" t="s">
        <v>217</v>
      </c>
      <c r="I3358" t="s">
        <v>225</v>
      </c>
      <c r="J3358" s="25">
        <v>27226</v>
      </c>
      <c r="K3358" s="26">
        <v>4397.67</v>
      </c>
      <c r="L3358" s="26">
        <v>99.96</v>
      </c>
    </row>
    <row r="3359" spans="1:12" ht="16" customHeight="1">
      <c r="A3359" t="s">
        <v>481</v>
      </c>
      <c r="B3359" t="s">
        <v>6</v>
      </c>
      <c r="C3359" t="s">
        <v>54</v>
      </c>
      <c r="D3359" s="24">
        <v>46174</v>
      </c>
      <c r="E3359" t="s">
        <v>439</v>
      </c>
      <c r="F3359" t="s">
        <v>4</v>
      </c>
      <c r="G3359" t="s">
        <v>217</v>
      </c>
      <c r="H3359" t="s">
        <v>217</v>
      </c>
      <c r="I3359" t="s">
        <v>227</v>
      </c>
      <c r="J3359" s="25">
        <v>55</v>
      </c>
      <c r="K3359" s="26">
        <v>10.06</v>
      </c>
      <c r="L3359" s="26">
        <v>0.1</v>
      </c>
    </row>
    <row r="3360" spans="1:12" ht="16" customHeight="1">
      <c r="A3360" t="s">
        <v>481</v>
      </c>
      <c r="B3360" t="s">
        <v>6</v>
      </c>
      <c r="C3360" t="s">
        <v>54</v>
      </c>
      <c r="D3360" s="24">
        <v>46174</v>
      </c>
      <c r="E3360" t="s">
        <v>230</v>
      </c>
      <c r="F3360" t="s">
        <v>4</v>
      </c>
      <c r="G3360" t="s">
        <v>217</v>
      </c>
      <c r="H3360" t="s">
        <v>217</v>
      </c>
      <c r="I3360" t="s">
        <v>330</v>
      </c>
      <c r="J3360" s="25">
        <v>1</v>
      </c>
      <c r="K3360" s="26">
        <v>0.14000000000000001</v>
      </c>
      <c r="L3360" s="26">
        <v>0</v>
      </c>
    </row>
    <row r="3361" spans="1:12" ht="16" customHeight="1">
      <c r="A3361" t="s">
        <v>481</v>
      </c>
      <c r="B3361" t="s">
        <v>6</v>
      </c>
      <c r="C3361" t="s">
        <v>54</v>
      </c>
      <c r="D3361" s="24">
        <v>46174</v>
      </c>
      <c r="E3361" t="s">
        <v>232</v>
      </c>
      <c r="F3361" t="s">
        <v>4</v>
      </c>
      <c r="G3361" t="s">
        <v>217</v>
      </c>
      <c r="H3361" t="s">
        <v>217</v>
      </c>
      <c r="I3361" t="s">
        <v>331</v>
      </c>
      <c r="J3361" s="25">
        <v>126</v>
      </c>
      <c r="K3361" s="26">
        <v>22.51</v>
      </c>
      <c r="L3361" s="26">
        <v>0.99</v>
      </c>
    </row>
    <row r="3362" spans="1:12" ht="16" customHeight="1">
      <c r="A3362" t="s">
        <v>481</v>
      </c>
      <c r="B3362" t="s">
        <v>6</v>
      </c>
      <c r="C3362" t="s">
        <v>54</v>
      </c>
      <c r="D3362" s="24">
        <v>46174</v>
      </c>
      <c r="E3362" t="s">
        <v>234</v>
      </c>
      <c r="F3362" t="s">
        <v>4</v>
      </c>
      <c r="G3362" t="s">
        <v>217</v>
      </c>
      <c r="H3362" t="s">
        <v>217</v>
      </c>
      <c r="I3362" t="s">
        <v>332</v>
      </c>
      <c r="J3362" s="25">
        <v>0</v>
      </c>
      <c r="K3362" s="26">
        <v>0</v>
      </c>
      <c r="L3362" s="26">
        <v>0</v>
      </c>
    </row>
    <row r="3363" spans="1:12" ht="16" customHeight="1">
      <c r="A3363" t="s">
        <v>481</v>
      </c>
      <c r="B3363" t="s">
        <v>6</v>
      </c>
      <c r="C3363" t="s">
        <v>54</v>
      </c>
      <c r="D3363" s="24">
        <v>46174</v>
      </c>
      <c r="E3363" t="s">
        <v>236</v>
      </c>
      <c r="F3363" t="s">
        <v>4</v>
      </c>
      <c r="G3363" t="s">
        <v>217</v>
      </c>
      <c r="H3363" t="s">
        <v>217</v>
      </c>
      <c r="I3363" t="s">
        <v>333</v>
      </c>
      <c r="J3363" s="25">
        <v>13</v>
      </c>
      <c r="K3363" s="26">
        <v>2.46</v>
      </c>
      <c r="L3363" s="26">
        <v>0.17</v>
      </c>
    </row>
    <row r="3364" spans="1:12" ht="16" customHeight="1">
      <c r="A3364" t="s">
        <v>481</v>
      </c>
      <c r="B3364" t="s">
        <v>6</v>
      </c>
      <c r="C3364" t="s">
        <v>54</v>
      </c>
      <c r="D3364" s="24">
        <v>46174</v>
      </c>
      <c r="E3364" t="s">
        <v>238</v>
      </c>
      <c r="F3364" t="s">
        <v>4</v>
      </c>
      <c r="G3364" t="s">
        <v>217</v>
      </c>
      <c r="H3364" t="s">
        <v>217</v>
      </c>
      <c r="I3364" t="s">
        <v>334</v>
      </c>
      <c r="J3364" s="25">
        <v>0</v>
      </c>
      <c r="K3364" s="26">
        <v>0</v>
      </c>
      <c r="L3364" s="26">
        <v>0</v>
      </c>
    </row>
    <row r="3365" spans="1:12" ht="16" customHeight="1">
      <c r="A3365" t="s">
        <v>481</v>
      </c>
      <c r="B3365" t="s">
        <v>6</v>
      </c>
      <c r="C3365" t="s">
        <v>54</v>
      </c>
      <c r="D3365" s="24">
        <v>46174</v>
      </c>
      <c r="E3365" t="s">
        <v>240</v>
      </c>
      <c r="F3365" t="s">
        <v>3</v>
      </c>
      <c r="G3365" t="s">
        <v>241</v>
      </c>
      <c r="H3365" t="s">
        <v>241</v>
      </c>
      <c r="I3365" t="s">
        <v>335</v>
      </c>
      <c r="J3365" s="25">
        <v>0</v>
      </c>
      <c r="K3365" s="26">
        <v>0</v>
      </c>
      <c r="L3365" s="26">
        <v>0</v>
      </c>
    </row>
    <row r="3366" spans="1:12" ht="16" customHeight="1">
      <c r="A3366" t="s">
        <v>481</v>
      </c>
      <c r="B3366" t="s">
        <v>6</v>
      </c>
      <c r="C3366" t="s">
        <v>54</v>
      </c>
      <c r="D3366" s="24">
        <v>46174</v>
      </c>
      <c r="E3366" t="s">
        <v>243</v>
      </c>
      <c r="F3366" t="s">
        <v>4</v>
      </c>
      <c r="G3366" t="s">
        <v>217</v>
      </c>
      <c r="H3366" t="s">
        <v>217</v>
      </c>
      <c r="I3366" t="s">
        <v>336</v>
      </c>
      <c r="J3366" s="25">
        <v>0</v>
      </c>
      <c r="K3366" s="26">
        <v>0</v>
      </c>
      <c r="L3366" s="26">
        <v>0</v>
      </c>
    </row>
    <row r="3367" spans="1:12" ht="16" customHeight="1">
      <c r="A3367" t="s">
        <v>481</v>
      </c>
      <c r="B3367" t="s">
        <v>6</v>
      </c>
      <c r="C3367" t="s">
        <v>54</v>
      </c>
      <c r="D3367" s="24">
        <v>46174</v>
      </c>
      <c r="E3367" t="s">
        <v>360</v>
      </c>
      <c r="F3367" t="s">
        <v>4</v>
      </c>
      <c r="G3367" t="s">
        <v>217</v>
      </c>
      <c r="H3367" t="s">
        <v>217</v>
      </c>
      <c r="I3367" t="s">
        <v>337</v>
      </c>
      <c r="J3367" s="25">
        <v>0</v>
      </c>
      <c r="K3367" s="26">
        <v>0</v>
      </c>
      <c r="L3367" s="26">
        <v>0</v>
      </c>
    </row>
    <row r="3368" spans="1:12" ht="16" customHeight="1">
      <c r="A3368" t="s">
        <v>482</v>
      </c>
      <c r="B3368" t="s">
        <v>7</v>
      </c>
      <c r="C3368" t="s">
        <v>54</v>
      </c>
      <c r="D3368" s="24">
        <v>46174</v>
      </c>
      <c r="E3368" t="s">
        <v>461</v>
      </c>
      <c r="F3368" t="s">
        <v>4</v>
      </c>
      <c r="G3368" t="s">
        <v>211</v>
      </c>
      <c r="H3368" t="s">
        <v>211</v>
      </c>
      <c r="I3368" t="s">
        <v>212</v>
      </c>
      <c r="J3368" s="25">
        <v>113810776</v>
      </c>
      <c r="K3368" s="26">
        <v>17409791.379999999</v>
      </c>
      <c r="L3368" s="26">
        <v>61886.04</v>
      </c>
    </row>
    <row r="3369" spans="1:12" ht="16" customHeight="1">
      <c r="A3369" t="s">
        <v>482</v>
      </c>
      <c r="B3369" t="s">
        <v>7</v>
      </c>
      <c r="C3369" t="s">
        <v>54</v>
      </c>
      <c r="D3369" s="24">
        <v>46174</v>
      </c>
      <c r="E3369" t="s">
        <v>466</v>
      </c>
      <c r="F3369" t="s">
        <v>4</v>
      </c>
      <c r="G3369" t="s">
        <v>211</v>
      </c>
      <c r="H3369" t="s">
        <v>211</v>
      </c>
      <c r="I3369" t="s">
        <v>212</v>
      </c>
      <c r="J3369" s="25">
        <v>2093522</v>
      </c>
      <c r="K3369" s="26">
        <v>320670.06</v>
      </c>
      <c r="L3369" s="26">
        <v>1551.15</v>
      </c>
    </row>
    <row r="3370" spans="1:12" ht="16" customHeight="1">
      <c r="A3370" t="s">
        <v>482</v>
      </c>
      <c r="B3370" t="s">
        <v>7</v>
      </c>
      <c r="C3370" t="s">
        <v>54</v>
      </c>
      <c r="D3370" s="24">
        <v>46174</v>
      </c>
      <c r="E3370" t="s">
        <v>471</v>
      </c>
      <c r="F3370" t="s">
        <v>4</v>
      </c>
      <c r="G3370" t="s">
        <v>211</v>
      </c>
      <c r="H3370" t="s">
        <v>211</v>
      </c>
      <c r="I3370" t="s">
        <v>212</v>
      </c>
      <c r="J3370" s="25">
        <v>132836</v>
      </c>
      <c r="K3370" s="26">
        <v>20570.79</v>
      </c>
      <c r="L3370" s="26">
        <v>124.28</v>
      </c>
    </row>
    <row r="3371" spans="1:12" ht="16" customHeight="1">
      <c r="A3371" t="s">
        <v>482</v>
      </c>
      <c r="B3371" t="s">
        <v>7</v>
      </c>
      <c r="C3371" t="s">
        <v>54</v>
      </c>
      <c r="D3371" s="24">
        <v>46174</v>
      </c>
      <c r="E3371" t="s">
        <v>226</v>
      </c>
      <c r="F3371" t="s">
        <v>4</v>
      </c>
      <c r="G3371" t="s">
        <v>217</v>
      </c>
      <c r="H3371" t="s">
        <v>217</v>
      </c>
      <c r="I3371" t="s">
        <v>212</v>
      </c>
      <c r="J3371" s="25">
        <v>1272888</v>
      </c>
      <c r="K3371" s="26">
        <v>197580.21</v>
      </c>
      <c r="L3371" s="26">
        <v>1638.4</v>
      </c>
    </row>
    <row r="3372" spans="1:12" ht="16" customHeight="1">
      <c r="A3372" t="s">
        <v>482</v>
      </c>
      <c r="B3372" t="s">
        <v>7</v>
      </c>
      <c r="C3372" t="s">
        <v>54</v>
      </c>
      <c r="D3372" s="24">
        <v>46174</v>
      </c>
      <c r="E3372" t="s">
        <v>480</v>
      </c>
      <c r="F3372" t="s">
        <v>4</v>
      </c>
      <c r="G3372" t="s">
        <v>211</v>
      </c>
      <c r="H3372" t="s">
        <v>211</v>
      </c>
      <c r="I3372" t="s">
        <v>219</v>
      </c>
      <c r="J3372" s="25">
        <v>4837</v>
      </c>
      <c r="K3372" s="26">
        <v>759.13</v>
      </c>
      <c r="L3372" s="26">
        <v>4.7</v>
      </c>
    </row>
    <row r="3373" spans="1:12" ht="16" customHeight="1">
      <c r="A3373" t="s">
        <v>482</v>
      </c>
      <c r="B3373" t="s">
        <v>7</v>
      </c>
      <c r="C3373" t="s">
        <v>54</v>
      </c>
      <c r="D3373" s="24">
        <v>46174</v>
      </c>
      <c r="E3373" t="s">
        <v>457</v>
      </c>
      <c r="F3373" t="s">
        <v>4</v>
      </c>
      <c r="G3373" t="s">
        <v>217</v>
      </c>
      <c r="H3373" t="s">
        <v>217</v>
      </c>
      <c r="I3373" t="s">
        <v>219</v>
      </c>
      <c r="J3373" s="25">
        <v>117689</v>
      </c>
      <c r="K3373" s="26">
        <v>18407.97</v>
      </c>
      <c r="L3373" s="26">
        <v>177.17</v>
      </c>
    </row>
    <row r="3374" spans="1:12" ht="16" customHeight="1">
      <c r="A3374" t="s">
        <v>482</v>
      </c>
      <c r="B3374" t="s">
        <v>7</v>
      </c>
      <c r="C3374" t="s">
        <v>54</v>
      </c>
      <c r="D3374" s="24">
        <v>46174</v>
      </c>
      <c r="E3374" t="s">
        <v>476</v>
      </c>
      <c r="F3374" t="s">
        <v>4</v>
      </c>
      <c r="G3374" t="s">
        <v>217</v>
      </c>
      <c r="H3374" t="s">
        <v>217</v>
      </c>
      <c r="I3374" t="s">
        <v>221</v>
      </c>
      <c r="J3374" s="25">
        <v>23759</v>
      </c>
      <c r="K3374" s="26">
        <v>3736.05</v>
      </c>
      <c r="L3374" s="26">
        <v>50.76</v>
      </c>
    </row>
    <row r="3375" spans="1:12" ht="16" customHeight="1">
      <c r="A3375" t="s">
        <v>482</v>
      </c>
      <c r="B3375" t="s">
        <v>7</v>
      </c>
      <c r="C3375" t="s">
        <v>54</v>
      </c>
      <c r="D3375" s="24">
        <v>46174</v>
      </c>
      <c r="E3375" t="s">
        <v>269</v>
      </c>
      <c r="F3375" t="s">
        <v>4</v>
      </c>
      <c r="G3375" t="s">
        <v>217</v>
      </c>
      <c r="H3375" t="s">
        <v>217</v>
      </c>
      <c r="I3375" t="s">
        <v>223</v>
      </c>
      <c r="J3375" s="25">
        <v>16856</v>
      </c>
      <c r="K3375" s="26">
        <v>2681.76</v>
      </c>
      <c r="L3375" s="26">
        <v>33.31</v>
      </c>
    </row>
    <row r="3376" spans="1:12" ht="16" customHeight="1">
      <c r="A3376" t="s">
        <v>482</v>
      </c>
      <c r="B3376" t="s">
        <v>7</v>
      </c>
      <c r="C3376" t="s">
        <v>54</v>
      </c>
      <c r="D3376" s="24">
        <v>46174</v>
      </c>
      <c r="E3376" t="s">
        <v>228</v>
      </c>
      <c r="F3376" t="s">
        <v>4</v>
      </c>
      <c r="G3376" t="s">
        <v>217</v>
      </c>
      <c r="H3376" t="s">
        <v>217</v>
      </c>
      <c r="I3376" t="s">
        <v>225</v>
      </c>
      <c r="J3376" s="25">
        <v>30341</v>
      </c>
      <c r="K3376" s="26">
        <v>4945.17</v>
      </c>
      <c r="L3376" s="26">
        <v>124.4</v>
      </c>
    </row>
    <row r="3377" spans="1:12" ht="16" customHeight="1">
      <c r="A3377" t="s">
        <v>482</v>
      </c>
      <c r="B3377" t="s">
        <v>7</v>
      </c>
      <c r="C3377" t="s">
        <v>54</v>
      </c>
      <c r="D3377" s="24">
        <v>46174</v>
      </c>
      <c r="E3377" t="s">
        <v>439</v>
      </c>
      <c r="F3377" t="s">
        <v>4</v>
      </c>
      <c r="G3377" t="s">
        <v>217</v>
      </c>
      <c r="H3377" t="s">
        <v>217</v>
      </c>
      <c r="I3377" t="s">
        <v>227</v>
      </c>
      <c r="J3377" s="25">
        <v>13</v>
      </c>
      <c r="K3377" s="26">
        <v>2.1</v>
      </c>
      <c r="L3377" s="26">
        <v>0.04</v>
      </c>
    </row>
    <row r="3378" spans="1:12" ht="16" customHeight="1">
      <c r="A3378" t="s">
        <v>482</v>
      </c>
      <c r="B3378" t="s">
        <v>7</v>
      </c>
      <c r="C3378" t="s">
        <v>54</v>
      </c>
      <c r="D3378" s="24">
        <v>46174</v>
      </c>
      <c r="E3378" t="s">
        <v>230</v>
      </c>
      <c r="F3378" t="s">
        <v>4</v>
      </c>
      <c r="G3378" t="s">
        <v>217</v>
      </c>
      <c r="H3378" t="s">
        <v>217</v>
      </c>
      <c r="I3378" t="s">
        <v>330</v>
      </c>
      <c r="J3378" s="25">
        <v>3</v>
      </c>
      <c r="K3378" s="26">
        <v>0.45</v>
      </c>
      <c r="L3378" s="26">
        <v>0.01</v>
      </c>
    </row>
    <row r="3379" spans="1:12" ht="16" customHeight="1">
      <c r="A3379" t="s">
        <v>482</v>
      </c>
      <c r="B3379" t="s">
        <v>7</v>
      </c>
      <c r="C3379" t="s">
        <v>54</v>
      </c>
      <c r="D3379" s="24">
        <v>46174</v>
      </c>
      <c r="E3379" t="s">
        <v>232</v>
      </c>
      <c r="F3379" t="s">
        <v>4</v>
      </c>
      <c r="G3379" t="s">
        <v>217</v>
      </c>
      <c r="H3379" t="s">
        <v>217</v>
      </c>
      <c r="I3379" t="s">
        <v>331</v>
      </c>
      <c r="J3379" s="25">
        <v>99</v>
      </c>
      <c r="K3379" s="26">
        <v>16.77</v>
      </c>
      <c r="L3379" s="26">
        <v>0.79</v>
      </c>
    </row>
    <row r="3380" spans="1:12" ht="16" customHeight="1">
      <c r="A3380" t="s">
        <v>482</v>
      </c>
      <c r="B3380" t="s">
        <v>7</v>
      </c>
      <c r="C3380" t="s">
        <v>54</v>
      </c>
      <c r="D3380" s="24">
        <v>46174</v>
      </c>
      <c r="E3380" t="s">
        <v>234</v>
      </c>
      <c r="F3380" t="s">
        <v>4</v>
      </c>
      <c r="G3380" t="s">
        <v>217</v>
      </c>
      <c r="H3380" t="s">
        <v>217</v>
      </c>
      <c r="I3380" t="s">
        <v>332</v>
      </c>
      <c r="J3380" s="25">
        <v>0</v>
      </c>
      <c r="K3380" s="26">
        <v>0</v>
      </c>
      <c r="L3380" s="26">
        <v>0</v>
      </c>
    </row>
    <row r="3381" spans="1:12" ht="16" customHeight="1">
      <c r="A3381" t="s">
        <v>482</v>
      </c>
      <c r="B3381" t="s">
        <v>7</v>
      </c>
      <c r="C3381" t="s">
        <v>54</v>
      </c>
      <c r="D3381" s="24">
        <v>46174</v>
      </c>
      <c r="E3381" t="s">
        <v>236</v>
      </c>
      <c r="F3381" t="s">
        <v>4</v>
      </c>
      <c r="G3381" t="s">
        <v>217</v>
      </c>
      <c r="H3381" t="s">
        <v>217</v>
      </c>
      <c r="I3381" t="s">
        <v>333</v>
      </c>
      <c r="J3381" s="25">
        <v>4</v>
      </c>
      <c r="K3381" s="26">
        <v>0.68</v>
      </c>
      <c r="L3381" s="26">
        <v>0.04</v>
      </c>
    </row>
    <row r="3382" spans="1:12" ht="16" customHeight="1">
      <c r="A3382" t="s">
        <v>482</v>
      </c>
      <c r="B3382" t="s">
        <v>7</v>
      </c>
      <c r="C3382" t="s">
        <v>54</v>
      </c>
      <c r="D3382" s="24">
        <v>46174</v>
      </c>
      <c r="E3382" t="s">
        <v>238</v>
      </c>
      <c r="F3382" t="s">
        <v>4</v>
      </c>
      <c r="G3382" t="s">
        <v>217</v>
      </c>
      <c r="H3382" t="s">
        <v>217</v>
      </c>
      <c r="I3382" t="s">
        <v>334</v>
      </c>
      <c r="J3382" s="25">
        <v>0</v>
      </c>
      <c r="K3382" s="26">
        <v>0</v>
      </c>
      <c r="L3382" s="26">
        <v>0</v>
      </c>
    </row>
    <row r="3383" spans="1:12" ht="16" customHeight="1">
      <c r="A3383" t="s">
        <v>482</v>
      </c>
      <c r="B3383" t="s">
        <v>7</v>
      </c>
      <c r="C3383" t="s">
        <v>54</v>
      </c>
      <c r="D3383" s="24">
        <v>46174</v>
      </c>
      <c r="E3383" t="s">
        <v>240</v>
      </c>
      <c r="F3383" t="s">
        <v>3</v>
      </c>
      <c r="G3383" t="s">
        <v>241</v>
      </c>
      <c r="H3383" t="s">
        <v>241</v>
      </c>
      <c r="I3383" t="s">
        <v>335</v>
      </c>
      <c r="J3383" s="25">
        <v>0</v>
      </c>
      <c r="K3383" s="26">
        <v>0</v>
      </c>
      <c r="L3383" s="26">
        <v>0</v>
      </c>
    </row>
    <row r="3384" spans="1:12" ht="16" customHeight="1">
      <c r="A3384" t="s">
        <v>482</v>
      </c>
      <c r="B3384" t="s">
        <v>7</v>
      </c>
      <c r="C3384" t="s">
        <v>54</v>
      </c>
      <c r="D3384" s="24">
        <v>46174</v>
      </c>
      <c r="E3384" t="s">
        <v>243</v>
      </c>
      <c r="F3384" t="s">
        <v>4</v>
      </c>
      <c r="G3384" t="s">
        <v>217</v>
      </c>
      <c r="H3384" t="s">
        <v>217</v>
      </c>
      <c r="I3384" t="s">
        <v>336</v>
      </c>
      <c r="J3384" s="25">
        <v>0</v>
      </c>
      <c r="K3384" s="26">
        <v>0</v>
      </c>
      <c r="L3384" s="26">
        <v>0</v>
      </c>
    </row>
    <row r="3385" spans="1:12" ht="16" customHeight="1">
      <c r="A3385" t="s">
        <v>482</v>
      </c>
      <c r="B3385" t="s">
        <v>7</v>
      </c>
      <c r="C3385" t="s">
        <v>54</v>
      </c>
      <c r="D3385" s="24">
        <v>46174</v>
      </c>
      <c r="E3385" t="s">
        <v>360</v>
      </c>
      <c r="F3385" t="s">
        <v>4</v>
      </c>
      <c r="G3385" t="s">
        <v>217</v>
      </c>
      <c r="H3385" t="s">
        <v>217</v>
      </c>
      <c r="I3385" t="s">
        <v>337</v>
      </c>
      <c r="J3385" s="25">
        <v>2</v>
      </c>
      <c r="K3385" s="26">
        <v>0.33</v>
      </c>
      <c r="L3385" s="26">
        <v>0.02</v>
      </c>
    </row>
    <row r="3386" spans="1:12" ht="16" customHeight="1">
      <c r="A3386" t="s">
        <v>483</v>
      </c>
      <c r="B3386" t="s">
        <v>3</v>
      </c>
      <c r="C3386" t="s">
        <v>55</v>
      </c>
      <c r="D3386" s="24">
        <v>46174</v>
      </c>
      <c r="E3386" t="s">
        <v>461</v>
      </c>
      <c r="F3386" t="s">
        <v>4</v>
      </c>
      <c r="G3386" t="s">
        <v>211</v>
      </c>
      <c r="H3386" t="s">
        <v>211</v>
      </c>
      <c r="I3386" t="s">
        <v>212</v>
      </c>
      <c r="J3386" s="25">
        <v>130564411</v>
      </c>
      <c r="K3386" s="26">
        <v>19791950.710000001</v>
      </c>
      <c r="L3386" s="26">
        <v>53980.55</v>
      </c>
    </row>
    <row r="3387" spans="1:12" ht="16" customHeight="1">
      <c r="A3387" t="s">
        <v>483</v>
      </c>
      <c r="B3387" t="s">
        <v>3</v>
      </c>
      <c r="C3387" t="s">
        <v>55</v>
      </c>
      <c r="D3387" s="24">
        <v>46174</v>
      </c>
      <c r="E3387" t="s">
        <v>466</v>
      </c>
      <c r="F3387" t="s">
        <v>4</v>
      </c>
      <c r="G3387" t="s">
        <v>211</v>
      </c>
      <c r="H3387" t="s">
        <v>211</v>
      </c>
      <c r="I3387" t="s">
        <v>212</v>
      </c>
      <c r="J3387" s="25">
        <v>4187000</v>
      </c>
      <c r="K3387" s="26">
        <v>637958.73</v>
      </c>
      <c r="L3387" s="26">
        <v>3032.15</v>
      </c>
    </row>
    <row r="3388" spans="1:12" ht="16" customHeight="1">
      <c r="A3388" t="s">
        <v>483</v>
      </c>
      <c r="B3388" t="s">
        <v>3</v>
      </c>
      <c r="C3388" t="s">
        <v>55</v>
      </c>
      <c r="D3388" s="24">
        <v>46174</v>
      </c>
      <c r="E3388" t="s">
        <v>471</v>
      </c>
      <c r="F3388" t="s">
        <v>4</v>
      </c>
      <c r="G3388" t="s">
        <v>211</v>
      </c>
      <c r="H3388" t="s">
        <v>211</v>
      </c>
      <c r="I3388" t="s">
        <v>212</v>
      </c>
      <c r="J3388" s="25">
        <v>214530</v>
      </c>
      <c r="K3388" s="26">
        <v>33059.18</v>
      </c>
      <c r="L3388" s="26">
        <v>186.27</v>
      </c>
    </row>
    <row r="3389" spans="1:12" ht="16" customHeight="1">
      <c r="A3389" t="s">
        <v>483</v>
      </c>
      <c r="B3389" t="s">
        <v>3</v>
      </c>
      <c r="C3389" t="s">
        <v>55</v>
      </c>
      <c r="D3389" s="24">
        <v>46174</v>
      </c>
      <c r="E3389" t="s">
        <v>226</v>
      </c>
      <c r="F3389" t="s">
        <v>4</v>
      </c>
      <c r="G3389" t="s">
        <v>217</v>
      </c>
      <c r="H3389" t="s">
        <v>217</v>
      </c>
      <c r="I3389" t="s">
        <v>212</v>
      </c>
      <c r="J3389" s="25">
        <v>1576878</v>
      </c>
      <c r="K3389" s="26">
        <v>243475.18</v>
      </c>
      <c r="L3389" s="26">
        <v>2129.3000000000002</v>
      </c>
    </row>
    <row r="3390" spans="1:12" ht="16" customHeight="1">
      <c r="A3390" t="s">
        <v>483</v>
      </c>
      <c r="B3390" t="s">
        <v>3</v>
      </c>
      <c r="C3390" t="s">
        <v>55</v>
      </c>
      <c r="D3390" s="24">
        <v>46174</v>
      </c>
      <c r="E3390" t="s">
        <v>480</v>
      </c>
      <c r="F3390" t="s">
        <v>4</v>
      </c>
      <c r="G3390" t="s">
        <v>211</v>
      </c>
      <c r="H3390" t="s">
        <v>211</v>
      </c>
      <c r="I3390" t="s">
        <v>219</v>
      </c>
      <c r="J3390" s="25">
        <v>7276</v>
      </c>
      <c r="K3390" s="26">
        <v>1135.3399999999999</v>
      </c>
      <c r="L3390" s="26">
        <v>8.6199999999999992</v>
      </c>
    </row>
    <row r="3391" spans="1:12" ht="16" customHeight="1">
      <c r="A3391" t="s">
        <v>483</v>
      </c>
      <c r="B3391" t="s">
        <v>3</v>
      </c>
      <c r="C3391" t="s">
        <v>55</v>
      </c>
      <c r="D3391" s="24">
        <v>46174</v>
      </c>
      <c r="E3391" t="s">
        <v>457</v>
      </c>
      <c r="F3391" t="s">
        <v>4</v>
      </c>
      <c r="G3391" t="s">
        <v>217</v>
      </c>
      <c r="H3391" t="s">
        <v>217</v>
      </c>
      <c r="I3391" t="s">
        <v>219</v>
      </c>
      <c r="J3391" s="25">
        <v>192181</v>
      </c>
      <c r="K3391" s="26">
        <v>29820.44</v>
      </c>
      <c r="L3391" s="26">
        <v>330.19</v>
      </c>
    </row>
    <row r="3392" spans="1:12" ht="16" customHeight="1">
      <c r="A3392" t="s">
        <v>483</v>
      </c>
      <c r="B3392" t="s">
        <v>3</v>
      </c>
      <c r="C3392" t="s">
        <v>55</v>
      </c>
      <c r="D3392" s="24">
        <v>46174</v>
      </c>
      <c r="E3392" t="s">
        <v>476</v>
      </c>
      <c r="F3392" t="s">
        <v>4</v>
      </c>
      <c r="G3392" t="s">
        <v>217</v>
      </c>
      <c r="H3392" t="s">
        <v>217</v>
      </c>
      <c r="I3392" t="s">
        <v>221</v>
      </c>
      <c r="J3392" s="25">
        <v>32422</v>
      </c>
      <c r="K3392" s="26">
        <v>5078.46</v>
      </c>
      <c r="L3392" s="26">
        <v>75.81</v>
      </c>
    </row>
    <row r="3393" spans="1:12" ht="16" customHeight="1">
      <c r="A3393" t="s">
        <v>483</v>
      </c>
      <c r="B3393" t="s">
        <v>3</v>
      </c>
      <c r="C3393" t="s">
        <v>55</v>
      </c>
      <c r="D3393" s="24">
        <v>46174</v>
      </c>
      <c r="E3393" t="s">
        <v>269</v>
      </c>
      <c r="F3393" t="s">
        <v>4</v>
      </c>
      <c r="G3393" t="s">
        <v>217</v>
      </c>
      <c r="H3393" t="s">
        <v>217</v>
      </c>
      <c r="I3393" t="s">
        <v>223</v>
      </c>
      <c r="J3393" s="25">
        <v>30301</v>
      </c>
      <c r="K3393" s="26">
        <v>4704.18</v>
      </c>
      <c r="L3393" s="26">
        <v>58.97</v>
      </c>
    </row>
    <row r="3394" spans="1:12" ht="16" customHeight="1">
      <c r="A3394" t="s">
        <v>483</v>
      </c>
      <c r="B3394" t="s">
        <v>3</v>
      </c>
      <c r="C3394" t="s">
        <v>55</v>
      </c>
      <c r="D3394" s="24">
        <v>46174</v>
      </c>
      <c r="E3394" t="s">
        <v>228</v>
      </c>
      <c r="F3394" t="s">
        <v>4</v>
      </c>
      <c r="G3394" t="s">
        <v>217</v>
      </c>
      <c r="H3394" t="s">
        <v>217</v>
      </c>
      <c r="I3394" t="s">
        <v>225</v>
      </c>
      <c r="J3394" s="25">
        <v>84756</v>
      </c>
      <c r="K3394" s="26">
        <v>13875.89</v>
      </c>
      <c r="L3394" s="26">
        <v>359.86</v>
      </c>
    </row>
    <row r="3395" spans="1:12" ht="16" customHeight="1">
      <c r="A3395" t="s">
        <v>483</v>
      </c>
      <c r="B3395" t="s">
        <v>3</v>
      </c>
      <c r="C3395" t="s">
        <v>55</v>
      </c>
      <c r="D3395" s="24">
        <v>46174</v>
      </c>
      <c r="E3395" t="s">
        <v>439</v>
      </c>
      <c r="F3395" t="s">
        <v>4</v>
      </c>
      <c r="G3395" t="s">
        <v>217</v>
      </c>
      <c r="H3395" t="s">
        <v>217</v>
      </c>
      <c r="I3395" t="s">
        <v>227</v>
      </c>
      <c r="J3395" s="25">
        <v>7</v>
      </c>
      <c r="K3395" s="26">
        <v>1.21</v>
      </c>
      <c r="L3395" s="26">
        <v>0.02</v>
      </c>
    </row>
    <row r="3396" spans="1:12" ht="16" customHeight="1">
      <c r="A3396" t="s">
        <v>483</v>
      </c>
      <c r="B3396" t="s">
        <v>3</v>
      </c>
      <c r="C3396" t="s">
        <v>55</v>
      </c>
      <c r="D3396" s="24">
        <v>46174</v>
      </c>
      <c r="E3396" t="s">
        <v>230</v>
      </c>
      <c r="F3396" t="s">
        <v>4</v>
      </c>
      <c r="G3396" t="s">
        <v>217</v>
      </c>
      <c r="H3396" t="s">
        <v>217</v>
      </c>
      <c r="I3396" t="s">
        <v>330</v>
      </c>
      <c r="J3396" s="25">
        <v>3</v>
      </c>
      <c r="K3396" s="26">
        <v>0.43</v>
      </c>
      <c r="L3396" s="26">
        <v>0.01</v>
      </c>
    </row>
    <row r="3397" spans="1:12" ht="16" customHeight="1">
      <c r="A3397" t="s">
        <v>483</v>
      </c>
      <c r="B3397" t="s">
        <v>3</v>
      </c>
      <c r="C3397" t="s">
        <v>55</v>
      </c>
      <c r="D3397" s="24">
        <v>46174</v>
      </c>
      <c r="E3397" t="s">
        <v>232</v>
      </c>
      <c r="F3397" t="s">
        <v>4</v>
      </c>
      <c r="G3397" t="s">
        <v>217</v>
      </c>
      <c r="H3397" t="s">
        <v>217</v>
      </c>
      <c r="I3397" t="s">
        <v>331</v>
      </c>
      <c r="J3397" s="25">
        <v>331</v>
      </c>
      <c r="K3397" s="26">
        <v>56.19</v>
      </c>
      <c r="L3397" s="26">
        <v>2.4900000000000002</v>
      </c>
    </row>
    <row r="3398" spans="1:12" ht="16" customHeight="1">
      <c r="A3398" t="s">
        <v>483</v>
      </c>
      <c r="B3398" t="s">
        <v>3</v>
      </c>
      <c r="C3398" t="s">
        <v>55</v>
      </c>
      <c r="D3398" s="24">
        <v>46174</v>
      </c>
      <c r="E3398" t="s">
        <v>234</v>
      </c>
      <c r="F3398" t="s">
        <v>4</v>
      </c>
      <c r="G3398" t="s">
        <v>217</v>
      </c>
      <c r="H3398" t="s">
        <v>217</v>
      </c>
      <c r="I3398" t="s">
        <v>332</v>
      </c>
      <c r="J3398" s="25">
        <v>0</v>
      </c>
      <c r="K3398" s="26">
        <v>0</v>
      </c>
      <c r="L3398" s="26">
        <v>0</v>
      </c>
    </row>
    <row r="3399" spans="1:12" ht="16" customHeight="1">
      <c r="A3399" t="s">
        <v>483</v>
      </c>
      <c r="B3399" t="s">
        <v>3</v>
      </c>
      <c r="C3399" t="s">
        <v>55</v>
      </c>
      <c r="D3399" s="24">
        <v>46174</v>
      </c>
      <c r="E3399" t="s">
        <v>236</v>
      </c>
      <c r="F3399" t="s">
        <v>4</v>
      </c>
      <c r="G3399" t="s">
        <v>217</v>
      </c>
      <c r="H3399" t="s">
        <v>217</v>
      </c>
      <c r="I3399" t="s">
        <v>333</v>
      </c>
      <c r="J3399" s="25">
        <v>19</v>
      </c>
      <c r="K3399" s="26">
        <v>3.53</v>
      </c>
      <c r="L3399" s="26">
        <v>0.25</v>
      </c>
    </row>
    <row r="3400" spans="1:12" ht="16" customHeight="1">
      <c r="A3400" t="s">
        <v>483</v>
      </c>
      <c r="B3400" t="s">
        <v>3</v>
      </c>
      <c r="C3400" t="s">
        <v>55</v>
      </c>
      <c r="D3400" s="24">
        <v>46174</v>
      </c>
      <c r="E3400" t="s">
        <v>238</v>
      </c>
      <c r="F3400" t="s">
        <v>4</v>
      </c>
      <c r="G3400" t="s">
        <v>217</v>
      </c>
      <c r="H3400" t="s">
        <v>217</v>
      </c>
      <c r="I3400" t="s">
        <v>334</v>
      </c>
      <c r="J3400" s="25">
        <v>0</v>
      </c>
      <c r="K3400" s="26">
        <v>0</v>
      </c>
      <c r="L3400" s="26">
        <v>0</v>
      </c>
    </row>
    <row r="3401" spans="1:12" ht="16" customHeight="1">
      <c r="A3401" t="s">
        <v>483</v>
      </c>
      <c r="B3401" t="s">
        <v>3</v>
      </c>
      <c r="C3401" t="s">
        <v>55</v>
      </c>
      <c r="D3401" s="24">
        <v>46174</v>
      </c>
      <c r="E3401" t="s">
        <v>240</v>
      </c>
      <c r="F3401" t="s">
        <v>3</v>
      </c>
      <c r="G3401" t="s">
        <v>241</v>
      </c>
      <c r="H3401" t="s">
        <v>241</v>
      </c>
      <c r="I3401" t="s">
        <v>335</v>
      </c>
      <c r="J3401" s="25">
        <v>2</v>
      </c>
      <c r="K3401" s="26">
        <v>0.4</v>
      </c>
      <c r="L3401" s="26">
        <v>0.03</v>
      </c>
    </row>
    <row r="3402" spans="1:12" ht="16" customHeight="1">
      <c r="A3402" t="s">
        <v>483</v>
      </c>
      <c r="B3402" t="s">
        <v>3</v>
      </c>
      <c r="C3402" t="s">
        <v>55</v>
      </c>
      <c r="D3402" s="24">
        <v>46174</v>
      </c>
      <c r="E3402" t="s">
        <v>243</v>
      </c>
      <c r="F3402" t="s">
        <v>4</v>
      </c>
      <c r="G3402" t="s">
        <v>217</v>
      </c>
      <c r="H3402" t="s">
        <v>217</v>
      </c>
      <c r="I3402" t="s">
        <v>336</v>
      </c>
      <c r="J3402" s="25">
        <v>0</v>
      </c>
      <c r="K3402" s="26">
        <v>0</v>
      </c>
      <c r="L3402" s="26">
        <v>0</v>
      </c>
    </row>
    <row r="3403" spans="1:12" ht="16" customHeight="1">
      <c r="A3403" t="s">
        <v>483</v>
      </c>
      <c r="B3403" t="s">
        <v>3</v>
      </c>
      <c r="C3403" t="s">
        <v>55</v>
      </c>
      <c r="D3403" s="24">
        <v>46174</v>
      </c>
      <c r="E3403" t="s">
        <v>360</v>
      </c>
      <c r="F3403" t="s">
        <v>4</v>
      </c>
      <c r="G3403" t="s">
        <v>217</v>
      </c>
      <c r="H3403" t="s">
        <v>217</v>
      </c>
      <c r="I3403" t="s">
        <v>337</v>
      </c>
      <c r="J3403" s="25">
        <v>0</v>
      </c>
      <c r="K3403" s="26">
        <v>0</v>
      </c>
      <c r="L3403" s="26">
        <v>0</v>
      </c>
    </row>
    <row r="3404" spans="1:12" ht="16" customHeight="1">
      <c r="A3404" t="s">
        <v>461</v>
      </c>
      <c r="B3404" t="s">
        <v>4</v>
      </c>
      <c r="C3404" t="s">
        <v>55</v>
      </c>
      <c r="D3404" s="24">
        <v>46174</v>
      </c>
      <c r="E3404" t="s">
        <v>461</v>
      </c>
      <c r="F3404" t="s">
        <v>4</v>
      </c>
      <c r="G3404" t="s">
        <v>211</v>
      </c>
      <c r="H3404" t="s">
        <v>211</v>
      </c>
      <c r="I3404" t="s">
        <v>212</v>
      </c>
      <c r="J3404" s="25">
        <v>399409155</v>
      </c>
      <c r="K3404" s="26">
        <v>60343234.009999998</v>
      </c>
      <c r="L3404" s="26">
        <v>61668.87</v>
      </c>
    </row>
    <row r="3405" spans="1:12" ht="16" customHeight="1">
      <c r="A3405" t="s">
        <v>461</v>
      </c>
      <c r="B3405" t="s">
        <v>4</v>
      </c>
      <c r="C3405" t="s">
        <v>55</v>
      </c>
      <c r="D3405" s="24">
        <v>46174</v>
      </c>
      <c r="E3405" t="s">
        <v>466</v>
      </c>
      <c r="F3405" t="s">
        <v>4</v>
      </c>
      <c r="G3405" t="s">
        <v>211</v>
      </c>
      <c r="H3405" t="s">
        <v>211</v>
      </c>
      <c r="I3405" t="s">
        <v>212</v>
      </c>
      <c r="J3405" s="25">
        <v>9814301</v>
      </c>
      <c r="K3405" s="26">
        <v>1489479.75</v>
      </c>
      <c r="L3405" s="26">
        <v>5788.92</v>
      </c>
    </row>
    <row r="3406" spans="1:12" ht="16" customHeight="1">
      <c r="A3406" t="s">
        <v>461</v>
      </c>
      <c r="B3406" t="s">
        <v>4</v>
      </c>
      <c r="C3406" t="s">
        <v>55</v>
      </c>
      <c r="D3406" s="24">
        <v>46174</v>
      </c>
      <c r="E3406" t="s">
        <v>471</v>
      </c>
      <c r="F3406" t="s">
        <v>4</v>
      </c>
      <c r="G3406" t="s">
        <v>211</v>
      </c>
      <c r="H3406" t="s">
        <v>211</v>
      </c>
      <c r="I3406" t="s">
        <v>212</v>
      </c>
      <c r="J3406" s="25">
        <v>300380</v>
      </c>
      <c r="K3406" s="26">
        <v>45861.49</v>
      </c>
      <c r="L3406" s="26">
        <v>217.21</v>
      </c>
    </row>
    <row r="3407" spans="1:12" ht="16" customHeight="1">
      <c r="A3407" t="s">
        <v>461</v>
      </c>
      <c r="B3407" t="s">
        <v>4</v>
      </c>
      <c r="C3407" t="s">
        <v>55</v>
      </c>
      <c r="D3407" s="24">
        <v>46174</v>
      </c>
      <c r="E3407" t="s">
        <v>226</v>
      </c>
      <c r="F3407" t="s">
        <v>4</v>
      </c>
      <c r="G3407" t="s">
        <v>217</v>
      </c>
      <c r="H3407" t="s">
        <v>217</v>
      </c>
      <c r="I3407" t="s">
        <v>212</v>
      </c>
      <c r="J3407" s="25">
        <v>1297666</v>
      </c>
      <c r="K3407" s="26">
        <v>199415.11</v>
      </c>
      <c r="L3407" s="26">
        <v>1659.11</v>
      </c>
    </row>
    <row r="3408" spans="1:12" ht="16" customHeight="1">
      <c r="A3408" t="s">
        <v>461</v>
      </c>
      <c r="B3408" t="s">
        <v>4</v>
      </c>
      <c r="C3408" t="s">
        <v>55</v>
      </c>
      <c r="D3408" s="24">
        <v>46174</v>
      </c>
      <c r="E3408" t="s">
        <v>480</v>
      </c>
      <c r="F3408" t="s">
        <v>4</v>
      </c>
      <c r="G3408" t="s">
        <v>211</v>
      </c>
      <c r="H3408" t="s">
        <v>211</v>
      </c>
      <c r="I3408" t="s">
        <v>219</v>
      </c>
      <c r="J3408" s="25">
        <v>8850</v>
      </c>
      <c r="K3408" s="26">
        <v>1375.36</v>
      </c>
      <c r="L3408" s="26">
        <v>8.18</v>
      </c>
    </row>
    <row r="3409" spans="1:12" ht="16" customHeight="1">
      <c r="A3409" t="s">
        <v>461</v>
      </c>
      <c r="B3409" t="s">
        <v>4</v>
      </c>
      <c r="C3409" t="s">
        <v>55</v>
      </c>
      <c r="D3409" s="24">
        <v>46174</v>
      </c>
      <c r="E3409" t="s">
        <v>457</v>
      </c>
      <c r="F3409" t="s">
        <v>4</v>
      </c>
      <c r="G3409" t="s">
        <v>217</v>
      </c>
      <c r="H3409" t="s">
        <v>217</v>
      </c>
      <c r="I3409" t="s">
        <v>219</v>
      </c>
      <c r="J3409" s="25">
        <v>127450</v>
      </c>
      <c r="K3409" s="26">
        <v>19881.330000000002</v>
      </c>
      <c r="L3409" s="26">
        <v>201.33</v>
      </c>
    </row>
    <row r="3410" spans="1:12" ht="16" customHeight="1">
      <c r="A3410" t="s">
        <v>461</v>
      </c>
      <c r="B3410" t="s">
        <v>4</v>
      </c>
      <c r="C3410" t="s">
        <v>55</v>
      </c>
      <c r="D3410" s="24">
        <v>46174</v>
      </c>
      <c r="E3410" t="s">
        <v>476</v>
      </c>
      <c r="F3410" t="s">
        <v>4</v>
      </c>
      <c r="G3410" t="s">
        <v>217</v>
      </c>
      <c r="H3410" t="s">
        <v>217</v>
      </c>
      <c r="I3410" t="s">
        <v>221</v>
      </c>
      <c r="J3410" s="25">
        <v>20718</v>
      </c>
      <c r="K3410" s="26">
        <v>3221.67</v>
      </c>
      <c r="L3410" s="26">
        <v>44.28</v>
      </c>
    </row>
    <row r="3411" spans="1:12" ht="16" customHeight="1">
      <c r="A3411" t="s">
        <v>461</v>
      </c>
      <c r="B3411" t="s">
        <v>4</v>
      </c>
      <c r="C3411" t="s">
        <v>55</v>
      </c>
      <c r="D3411" s="24">
        <v>46174</v>
      </c>
      <c r="E3411" t="s">
        <v>269</v>
      </c>
      <c r="F3411" t="s">
        <v>4</v>
      </c>
      <c r="G3411" t="s">
        <v>217</v>
      </c>
      <c r="H3411" t="s">
        <v>217</v>
      </c>
      <c r="I3411" t="s">
        <v>223</v>
      </c>
      <c r="J3411" s="25">
        <v>23497</v>
      </c>
      <c r="K3411" s="26">
        <v>3747.28</v>
      </c>
      <c r="L3411" s="26">
        <v>35.28</v>
      </c>
    </row>
    <row r="3412" spans="1:12" ht="16" customHeight="1">
      <c r="A3412" t="s">
        <v>461</v>
      </c>
      <c r="B3412" t="s">
        <v>4</v>
      </c>
      <c r="C3412" t="s">
        <v>55</v>
      </c>
      <c r="D3412" s="24">
        <v>46174</v>
      </c>
      <c r="E3412" t="s">
        <v>228</v>
      </c>
      <c r="F3412" t="s">
        <v>4</v>
      </c>
      <c r="G3412" t="s">
        <v>217</v>
      </c>
      <c r="H3412" t="s">
        <v>217</v>
      </c>
      <c r="I3412" t="s">
        <v>225</v>
      </c>
      <c r="J3412" s="25">
        <v>55099</v>
      </c>
      <c r="K3412" s="26">
        <v>9134.85</v>
      </c>
      <c r="L3412" s="26">
        <v>218.38</v>
      </c>
    </row>
    <row r="3413" spans="1:12" ht="16" customHeight="1">
      <c r="A3413" t="s">
        <v>461</v>
      </c>
      <c r="B3413" t="s">
        <v>4</v>
      </c>
      <c r="C3413" t="s">
        <v>55</v>
      </c>
      <c r="D3413" s="24">
        <v>46174</v>
      </c>
      <c r="E3413" t="s">
        <v>439</v>
      </c>
      <c r="F3413" t="s">
        <v>4</v>
      </c>
      <c r="G3413" t="s">
        <v>217</v>
      </c>
      <c r="H3413" t="s">
        <v>217</v>
      </c>
      <c r="I3413" t="s">
        <v>227</v>
      </c>
      <c r="J3413" s="25">
        <v>27</v>
      </c>
      <c r="K3413" s="26">
        <v>4.7300000000000004</v>
      </c>
      <c r="L3413" s="26">
        <v>0.05</v>
      </c>
    </row>
    <row r="3414" spans="1:12" ht="16" customHeight="1">
      <c r="A3414" t="s">
        <v>461</v>
      </c>
      <c r="B3414" t="s">
        <v>4</v>
      </c>
      <c r="C3414" t="s">
        <v>55</v>
      </c>
      <c r="D3414" s="24">
        <v>46174</v>
      </c>
      <c r="E3414" t="s">
        <v>230</v>
      </c>
      <c r="F3414" t="s">
        <v>4</v>
      </c>
      <c r="G3414" t="s">
        <v>217</v>
      </c>
      <c r="H3414" t="s">
        <v>217</v>
      </c>
      <c r="I3414" t="s">
        <v>330</v>
      </c>
      <c r="J3414" s="25">
        <v>3</v>
      </c>
      <c r="K3414" s="26">
        <v>0.51</v>
      </c>
      <c r="L3414" s="26">
        <v>0.04</v>
      </c>
    </row>
    <row r="3415" spans="1:12" ht="16" customHeight="1">
      <c r="A3415" t="s">
        <v>461</v>
      </c>
      <c r="B3415" t="s">
        <v>4</v>
      </c>
      <c r="C3415" t="s">
        <v>55</v>
      </c>
      <c r="D3415" s="24">
        <v>46174</v>
      </c>
      <c r="E3415" t="s">
        <v>232</v>
      </c>
      <c r="F3415" t="s">
        <v>4</v>
      </c>
      <c r="G3415" t="s">
        <v>217</v>
      </c>
      <c r="H3415" t="s">
        <v>217</v>
      </c>
      <c r="I3415" t="s">
        <v>331</v>
      </c>
      <c r="J3415" s="25">
        <v>319</v>
      </c>
      <c r="K3415" s="26">
        <v>56.72</v>
      </c>
      <c r="L3415" s="26">
        <v>2.76</v>
      </c>
    </row>
    <row r="3416" spans="1:12" ht="16" customHeight="1">
      <c r="A3416" t="s">
        <v>461</v>
      </c>
      <c r="B3416" t="s">
        <v>4</v>
      </c>
      <c r="C3416" t="s">
        <v>55</v>
      </c>
      <c r="D3416" s="24">
        <v>46174</v>
      </c>
      <c r="E3416" t="s">
        <v>234</v>
      </c>
      <c r="F3416" t="s">
        <v>4</v>
      </c>
      <c r="G3416" t="s">
        <v>217</v>
      </c>
      <c r="H3416" t="s">
        <v>217</v>
      </c>
      <c r="I3416" t="s">
        <v>332</v>
      </c>
      <c r="J3416" s="25">
        <v>0</v>
      </c>
      <c r="K3416" s="26">
        <v>0</v>
      </c>
      <c r="L3416" s="26">
        <v>0</v>
      </c>
    </row>
    <row r="3417" spans="1:12" ht="16" customHeight="1">
      <c r="A3417" t="s">
        <v>461</v>
      </c>
      <c r="B3417" t="s">
        <v>4</v>
      </c>
      <c r="C3417" t="s">
        <v>55</v>
      </c>
      <c r="D3417" s="24">
        <v>46174</v>
      </c>
      <c r="E3417" t="s">
        <v>236</v>
      </c>
      <c r="F3417" t="s">
        <v>4</v>
      </c>
      <c r="G3417" t="s">
        <v>217</v>
      </c>
      <c r="H3417" t="s">
        <v>217</v>
      </c>
      <c r="I3417" t="s">
        <v>333</v>
      </c>
      <c r="J3417" s="25">
        <v>0</v>
      </c>
      <c r="K3417" s="26">
        <v>0</v>
      </c>
      <c r="L3417" s="26">
        <v>0</v>
      </c>
    </row>
    <row r="3418" spans="1:12" ht="16" customHeight="1">
      <c r="A3418" t="s">
        <v>461</v>
      </c>
      <c r="B3418" t="s">
        <v>4</v>
      </c>
      <c r="C3418" t="s">
        <v>55</v>
      </c>
      <c r="D3418" s="24">
        <v>46174</v>
      </c>
      <c r="E3418" t="s">
        <v>238</v>
      </c>
      <c r="F3418" t="s">
        <v>4</v>
      </c>
      <c r="G3418" t="s">
        <v>217</v>
      </c>
      <c r="H3418" t="s">
        <v>217</v>
      </c>
      <c r="I3418" t="s">
        <v>334</v>
      </c>
      <c r="J3418" s="25">
        <v>0</v>
      </c>
      <c r="K3418" s="26">
        <v>0</v>
      </c>
      <c r="L3418" s="26">
        <v>0</v>
      </c>
    </row>
    <row r="3419" spans="1:12" ht="16" customHeight="1">
      <c r="A3419" t="s">
        <v>461</v>
      </c>
      <c r="B3419" t="s">
        <v>4</v>
      </c>
      <c r="C3419" t="s">
        <v>55</v>
      </c>
      <c r="D3419" s="24">
        <v>46174</v>
      </c>
      <c r="E3419" t="s">
        <v>240</v>
      </c>
      <c r="F3419" t="s">
        <v>3</v>
      </c>
      <c r="G3419" t="s">
        <v>241</v>
      </c>
      <c r="H3419" t="s">
        <v>241</v>
      </c>
      <c r="I3419" t="s">
        <v>335</v>
      </c>
      <c r="J3419" s="25">
        <v>0</v>
      </c>
      <c r="K3419" s="26">
        <v>0</v>
      </c>
      <c r="L3419" s="26">
        <v>0</v>
      </c>
    </row>
    <row r="3420" spans="1:12" ht="16" customHeight="1">
      <c r="A3420" t="s">
        <v>461</v>
      </c>
      <c r="B3420" t="s">
        <v>4</v>
      </c>
      <c r="C3420" t="s">
        <v>55</v>
      </c>
      <c r="D3420" s="24">
        <v>46174</v>
      </c>
      <c r="E3420" t="s">
        <v>243</v>
      </c>
      <c r="F3420" t="s">
        <v>4</v>
      </c>
      <c r="G3420" t="s">
        <v>217</v>
      </c>
      <c r="H3420" t="s">
        <v>217</v>
      </c>
      <c r="I3420" t="s">
        <v>336</v>
      </c>
      <c r="J3420" s="25">
        <v>0</v>
      </c>
      <c r="K3420" s="26">
        <v>0</v>
      </c>
      <c r="L3420" s="26">
        <v>0</v>
      </c>
    </row>
    <row r="3421" spans="1:12" ht="16" customHeight="1">
      <c r="A3421" t="s">
        <v>461</v>
      </c>
      <c r="B3421" t="s">
        <v>4</v>
      </c>
      <c r="C3421" t="s">
        <v>55</v>
      </c>
      <c r="D3421" s="24">
        <v>46174</v>
      </c>
      <c r="E3421" t="s">
        <v>360</v>
      </c>
      <c r="F3421" t="s">
        <v>4</v>
      </c>
      <c r="G3421" t="s">
        <v>217</v>
      </c>
      <c r="H3421" t="s">
        <v>217</v>
      </c>
      <c r="I3421" t="s">
        <v>337</v>
      </c>
      <c r="J3421" s="25">
        <v>0</v>
      </c>
      <c r="K3421" s="26">
        <v>0</v>
      </c>
      <c r="L3421" s="26">
        <v>0</v>
      </c>
    </row>
    <row r="3422" spans="1:12" ht="16" customHeight="1">
      <c r="A3422" t="s">
        <v>484</v>
      </c>
      <c r="B3422" t="s">
        <v>5</v>
      </c>
      <c r="C3422" t="s">
        <v>55</v>
      </c>
      <c r="D3422" s="24">
        <v>46174</v>
      </c>
      <c r="E3422" t="s">
        <v>466</v>
      </c>
      <c r="F3422" t="s">
        <v>4</v>
      </c>
      <c r="G3422" t="s">
        <v>211</v>
      </c>
      <c r="H3422" t="s">
        <v>211</v>
      </c>
      <c r="I3422" t="s">
        <v>212</v>
      </c>
      <c r="J3422" s="25">
        <v>45522631</v>
      </c>
      <c r="K3422" s="26">
        <v>6938756.4400000004</v>
      </c>
      <c r="L3422" s="26">
        <v>31346.74</v>
      </c>
    </row>
    <row r="3423" spans="1:12" ht="16" customHeight="1">
      <c r="A3423" t="s">
        <v>484</v>
      </c>
      <c r="B3423" t="s">
        <v>5</v>
      </c>
      <c r="C3423" t="s">
        <v>55</v>
      </c>
      <c r="D3423" s="24">
        <v>46174</v>
      </c>
      <c r="E3423" t="s">
        <v>471</v>
      </c>
      <c r="F3423" t="s">
        <v>4</v>
      </c>
      <c r="G3423" t="s">
        <v>211</v>
      </c>
      <c r="H3423" t="s">
        <v>211</v>
      </c>
      <c r="I3423" t="s">
        <v>212</v>
      </c>
      <c r="J3423" s="25">
        <v>881454</v>
      </c>
      <c r="K3423" s="26">
        <v>134481.53</v>
      </c>
      <c r="L3423" s="26">
        <v>703.63</v>
      </c>
    </row>
    <row r="3424" spans="1:12" ht="16" customHeight="1">
      <c r="A3424" t="s">
        <v>484</v>
      </c>
      <c r="B3424" t="s">
        <v>5</v>
      </c>
      <c r="C3424" t="s">
        <v>55</v>
      </c>
      <c r="D3424" s="24">
        <v>46174</v>
      </c>
      <c r="E3424" t="s">
        <v>226</v>
      </c>
      <c r="F3424" t="s">
        <v>4</v>
      </c>
      <c r="G3424" t="s">
        <v>217</v>
      </c>
      <c r="H3424" t="s">
        <v>217</v>
      </c>
      <c r="I3424" t="s">
        <v>212</v>
      </c>
      <c r="J3424" s="25">
        <v>1384603</v>
      </c>
      <c r="K3424" s="26">
        <v>212904.67</v>
      </c>
      <c r="L3424" s="26">
        <v>1682.47</v>
      </c>
    </row>
    <row r="3425" spans="1:12" ht="16" customHeight="1">
      <c r="A3425" t="s">
        <v>484</v>
      </c>
      <c r="B3425" t="s">
        <v>5</v>
      </c>
      <c r="C3425" t="s">
        <v>55</v>
      </c>
      <c r="D3425" s="24">
        <v>46174</v>
      </c>
      <c r="E3425" t="s">
        <v>480</v>
      </c>
      <c r="F3425" t="s">
        <v>4</v>
      </c>
      <c r="G3425" t="s">
        <v>211</v>
      </c>
      <c r="H3425" t="s">
        <v>211</v>
      </c>
      <c r="I3425" t="s">
        <v>219</v>
      </c>
      <c r="J3425" s="25">
        <v>16063</v>
      </c>
      <c r="K3425" s="26">
        <v>2486.6999999999998</v>
      </c>
      <c r="L3425" s="26">
        <v>21</v>
      </c>
    </row>
    <row r="3426" spans="1:12" ht="16" customHeight="1">
      <c r="A3426" t="s">
        <v>484</v>
      </c>
      <c r="B3426" t="s">
        <v>5</v>
      </c>
      <c r="C3426" t="s">
        <v>55</v>
      </c>
      <c r="D3426" s="24">
        <v>46174</v>
      </c>
      <c r="E3426" t="s">
        <v>485</v>
      </c>
      <c r="F3426" t="s">
        <v>4</v>
      </c>
      <c r="G3426" t="s">
        <v>211</v>
      </c>
      <c r="H3426" t="s">
        <v>211</v>
      </c>
      <c r="I3426" t="s">
        <v>219</v>
      </c>
      <c r="J3426" s="25">
        <v>676</v>
      </c>
      <c r="K3426" s="26">
        <v>105.21</v>
      </c>
      <c r="L3426" s="26">
        <v>1.26</v>
      </c>
    </row>
    <row r="3427" spans="1:12" ht="16" customHeight="1">
      <c r="A3427" t="s">
        <v>484</v>
      </c>
      <c r="B3427" t="s">
        <v>5</v>
      </c>
      <c r="C3427" t="s">
        <v>55</v>
      </c>
      <c r="D3427" s="24">
        <v>46174</v>
      </c>
      <c r="E3427" t="s">
        <v>457</v>
      </c>
      <c r="F3427" t="s">
        <v>4</v>
      </c>
      <c r="G3427" t="s">
        <v>217</v>
      </c>
      <c r="H3427" t="s">
        <v>217</v>
      </c>
      <c r="I3427" t="s">
        <v>219</v>
      </c>
      <c r="J3427" s="25">
        <v>159729</v>
      </c>
      <c r="K3427" s="26">
        <v>24747.03</v>
      </c>
      <c r="L3427" s="26">
        <v>248.74</v>
      </c>
    </row>
    <row r="3428" spans="1:12" ht="16" customHeight="1">
      <c r="A3428" t="s">
        <v>484</v>
      </c>
      <c r="B3428" t="s">
        <v>5</v>
      </c>
      <c r="C3428" t="s">
        <v>55</v>
      </c>
      <c r="D3428" s="24">
        <v>46174</v>
      </c>
      <c r="E3428" t="s">
        <v>476</v>
      </c>
      <c r="F3428" t="s">
        <v>4</v>
      </c>
      <c r="G3428" t="s">
        <v>217</v>
      </c>
      <c r="H3428" t="s">
        <v>217</v>
      </c>
      <c r="I3428" t="s">
        <v>221</v>
      </c>
      <c r="J3428" s="25">
        <v>33666</v>
      </c>
      <c r="K3428" s="26">
        <v>5333.4</v>
      </c>
      <c r="L3428" s="26">
        <v>51.11</v>
      </c>
    </row>
    <row r="3429" spans="1:12" ht="16" customHeight="1">
      <c r="A3429" t="s">
        <v>484</v>
      </c>
      <c r="B3429" t="s">
        <v>5</v>
      </c>
      <c r="C3429" t="s">
        <v>55</v>
      </c>
      <c r="D3429" s="24">
        <v>46174</v>
      </c>
      <c r="E3429" t="s">
        <v>269</v>
      </c>
      <c r="F3429" t="s">
        <v>4</v>
      </c>
      <c r="G3429" t="s">
        <v>217</v>
      </c>
      <c r="H3429" t="s">
        <v>217</v>
      </c>
      <c r="I3429" t="s">
        <v>223</v>
      </c>
      <c r="J3429" s="25">
        <v>29568</v>
      </c>
      <c r="K3429" s="26">
        <v>4650.82</v>
      </c>
      <c r="L3429" s="26">
        <v>48.56</v>
      </c>
    </row>
    <row r="3430" spans="1:12" ht="16" customHeight="1">
      <c r="A3430" t="s">
        <v>484</v>
      </c>
      <c r="B3430" t="s">
        <v>5</v>
      </c>
      <c r="C3430" t="s">
        <v>55</v>
      </c>
      <c r="D3430" s="24">
        <v>46174</v>
      </c>
      <c r="E3430" t="s">
        <v>228</v>
      </c>
      <c r="F3430" t="s">
        <v>4</v>
      </c>
      <c r="G3430" t="s">
        <v>217</v>
      </c>
      <c r="H3430" t="s">
        <v>217</v>
      </c>
      <c r="I3430" t="s">
        <v>225</v>
      </c>
      <c r="J3430" s="25">
        <v>36691</v>
      </c>
      <c r="K3430" s="26">
        <v>5883.38</v>
      </c>
      <c r="L3430" s="26">
        <v>169.91</v>
      </c>
    </row>
    <row r="3431" spans="1:12" ht="16" customHeight="1">
      <c r="A3431" t="s">
        <v>484</v>
      </c>
      <c r="B3431" t="s">
        <v>5</v>
      </c>
      <c r="C3431" t="s">
        <v>55</v>
      </c>
      <c r="D3431" s="24">
        <v>46174</v>
      </c>
      <c r="E3431" t="s">
        <v>439</v>
      </c>
      <c r="F3431" t="s">
        <v>4</v>
      </c>
      <c r="G3431" t="s">
        <v>217</v>
      </c>
      <c r="H3431" t="s">
        <v>217</v>
      </c>
      <c r="I3431" t="s">
        <v>227</v>
      </c>
      <c r="J3431" s="25">
        <v>39</v>
      </c>
      <c r="K3431" s="26">
        <v>6.71</v>
      </c>
      <c r="L3431" s="26">
        <v>0.06</v>
      </c>
    </row>
    <row r="3432" spans="1:12" ht="16" customHeight="1">
      <c r="A3432" t="s">
        <v>484</v>
      </c>
      <c r="B3432" t="s">
        <v>5</v>
      </c>
      <c r="C3432" t="s">
        <v>55</v>
      </c>
      <c r="D3432" s="24">
        <v>46174</v>
      </c>
      <c r="E3432" t="s">
        <v>230</v>
      </c>
      <c r="F3432" t="s">
        <v>4</v>
      </c>
      <c r="G3432" t="s">
        <v>217</v>
      </c>
      <c r="H3432" t="s">
        <v>217</v>
      </c>
      <c r="I3432" t="s">
        <v>330</v>
      </c>
      <c r="J3432" s="25">
        <v>0</v>
      </c>
      <c r="K3432" s="26">
        <v>0</v>
      </c>
      <c r="L3432" s="26">
        <v>0</v>
      </c>
    </row>
    <row r="3433" spans="1:12" ht="16" customHeight="1">
      <c r="A3433" t="s">
        <v>484</v>
      </c>
      <c r="B3433" t="s">
        <v>5</v>
      </c>
      <c r="C3433" t="s">
        <v>55</v>
      </c>
      <c r="D3433" s="24">
        <v>46174</v>
      </c>
      <c r="E3433" t="s">
        <v>232</v>
      </c>
      <c r="F3433" t="s">
        <v>4</v>
      </c>
      <c r="G3433" t="s">
        <v>217</v>
      </c>
      <c r="H3433" t="s">
        <v>217</v>
      </c>
      <c r="I3433" t="s">
        <v>331</v>
      </c>
      <c r="J3433" s="25">
        <v>322</v>
      </c>
      <c r="K3433" s="26">
        <v>57.89</v>
      </c>
      <c r="L3433" s="26">
        <v>2.12</v>
      </c>
    </row>
    <row r="3434" spans="1:12" ht="16" customHeight="1">
      <c r="A3434" t="s">
        <v>484</v>
      </c>
      <c r="B3434" t="s">
        <v>5</v>
      </c>
      <c r="C3434" t="s">
        <v>55</v>
      </c>
      <c r="D3434" s="24">
        <v>46174</v>
      </c>
      <c r="E3434" t="s">
        <v>234</v>
      </c>
      <c r="F3434" t="s">
        <v>4</v>
      </c>
      <c r="G3434" t="s">
        <v>217</v>
      </c>
      <c r="H3434" t="s">
        <v>217</v>
      </c>
      <c r="I3434" t="s">
        <v>332</v>
      </c>
      <c r="J3434" s="25">
        <v>0</v>
      </c>
      <c r="K3434" s="26">
        <v>0</v>
      </c>
      <c r="L3434" s="26">
        <v>0</v>
      </c>
    </row>
    <row r="3435" spans="1:12" ht="16" customHeight="1">
      <c r="A3435" t="s">
        <v>484</v>
      </c>
      <c r="B3435" t="s">
        <v>5</v>
      </c>
      <c r="C3435" t="s">
        <v>55</v>
      </c>
      <c r="D3435" s="24">
        <v>46174</v>
      </c>
      <c r="E3435" t="s">
        <v>236</v>
      </c>
      <c r="F3435" t="s">
        <v>4</v>
      </c>
      <c r="G3435" t="s">
        <v>217</v>
      </c>
      <c r="H3435" t="s">
        <v>217</v>
      </c>
      <c r="I3435" t="s">
        <v>333</v>
      </c>
      <c r="J3435" s="25">
        <v>5</v>
      </c>
      <c r="K3435" s="26">
        <v>0.94</v>
      </c>
      <c r="L3435" s="26">
        <v>7.0000000000000007E-2</v>
      </c>
    </row>
    <row r="3436" spans="1:12" ht="16" customHeight="1">
      <c r="A3436" t="s">
        <v>484</v>
      </c>
      <c r="B3436" t="s">
        <v>5</v>
      </c>
      <c r="C3436" t="s">
        <v>55</v>
      </c>
      <c r="D3436" s="24">
        <v>46174</v>
      </c>
      <c r="E3436" t="s">
        <v>238</v>
      </c>
      <c r="F3436" t="s">
        <v>4</v>
      </c>
      <c r="G3436" t="s">
        <v>217</v>
      </c>
      <c r="H3436" t="s">
        <v>217</v>
      </c>
      <c r="I3436" t="s">
        <v>334</v>
      </c>
      <c r="J3436" s="25">
        <v>0</v>
      </c>
      <c r="K3436" s="26">
        <v>0</v>
      </c>
      <c r="L3436" s="26">
        <v>0</v>
      </c>
    </row>
    <row r="3437" spans="1:12" ht="16" customHeight="1">
      <c r="A3437" t="s">
        <v>484</v>
      </c>
      <c r="B3437" t="s">
        <v>5</v>
      </c>
      <c r="C3437" t="s">
        <v>55</v>
      </c>
      <c r="D3437" s="24">
        <v>46174</v>
      </c>
      <c r="E3437" t="s">
        <v>240</v>
      </c>
      <c r="F3437" t="s">
        <v>3</v>
      </c>
      <c r="G3437" t="s">
        <v>241</v>
      </c>
      <c r="H3437" t="s">
        <v>241</v>
      </c>
      <c r="I3437" t="s">
        <v>335</v>
      </c>
      <c r="J3437" s="25">
        <v>0</v>
      </c>
      <c r="K3437" s="26">
        <v>0</v>
      </c>
      <c r="L3437" s="26">
        <v>0</v>
      </c>
    </row>
    <row r="3438" spans="1:12" ht="16" customHeight="1">
      <c r="A3438" t="s">
        <v>484</v>
      </c>
      <c r="B3438" t="s">
        <v>5</v>
      </c>
      <c r="C3438" t="s">
        <v>55</v>
      </c>
      <c r="D3438" s="24">
        <v>46174</v>
      </c>
      <c r="E3438" t="s">
        <v>243</v>
      </c>
      <c r="F3438" t="s">
        <v>4</v>
      </c>
      <c r="G3438" t="s">
        <v>217</v>
      </c>
      <c r="H3438" t="s">
        <v>217</v>
      </c>
      <c r="I3438" t="s">
        <v>336</v>
      </c>
      <c r="J3438" s="25">
        <v>0</v>
      </c>
      <c r="K3438" s="26">
        <v>0</v>
      </c>
      <c r="L3438" s="26">
        <v>0</v>
      </c>
    </row>
    <row r="3439" spans="1:12" ht="16" customHeight="1">
      <c r="A3439" t="s">
        <v>484</v>
      </c>
      <c r="B3439" t="s">
        <v>5</v>
      </c>
      <c r="C3439" t="s">
        <v>55</v>
      </c>
      <c r="D3439" s="24">
        <v>46174</v>
      </c>
      <c r="E3439" t="s">
        <v>360</v>
      </c>
      <c r="F3439" t="s">
        <v>4</v>
      </c>
      <c r="G3439" t="s">
        <v>217</v>
      </c>
      <c r="H3439" t="s">
        <v>217</v>
      </c>
      <c r="I3439" t="s">
        <v>337</v>
      </c>
      <c r="J3439" s="25">
        <v>0</v>
      </c>
      <c r="K3439" s="26">
        <v>0</v>
      </c>
      <c r="L3439" s="26">
        <v>0</v>
      </c>
    </row>
    <row r="3440" spans="1:12" ht="16" customHeight="1">
      <c r="A3440" t="s">
        <v>486</v>
      </c>
      <c r="B3440" t="s">
        <v>6</v>
      </c>
      <c r="C3440" t="s">
        <v>55</v>
      </c>
      <c r="D3440" s="24">
        <v>46174</v>
      </c>
      <c r="E3440" t="s">
        <v>466</v>
      </c>
      <c r="F3440" t="s">
        <v>4</v>
      </c>
      <c r="G3440" t="s">
        <v>211</v>
      </c>
      <c r="H3440" t="s">
        <v>211</v>
      </c>
      <c r="I3440" t="s">
        <v>212</v>
      </c>
      <c r="J3440" s="25">
        <v>47325140</v>
      </c>
      <c r="K3440" s="26">
        <v>7176816.5899999999</v>
      </c>
      <c r="L3440" s="26">
        <v>27496.01</v>
      </c>
    </row>
    <row r="3441" spans="1:12" ht="16" customHeight="1">
      <c r="A3441" t="s">
        <v>486</v>
      </c>
      <c r="B3441" t="s">
        <v>6</v>
      </c>
      <c r="C3441" t="s">
        <v>55</v>
      </c>
      <c r="D3441" s="24">
        <v>46174</v>
      </c>
      <c r="E3441" t="s">
        <v>471</v>
      </c>
      <c r="F3441" t="s">
        <v>4</v>
      </c>
      <c r="G3441" t="s">
        <v>211</v>
      </c>
      <c r="H3441" t="s">
        <v>211</v>
      </c>
      <c r="I3441" t="s">
        <v>212</v>
      </c>
      <c r="J3441" s="25">
        <v>1133307</v>
      </c>
      <c r="K3441" s="26">
        <v>172439.27</v>
      </c>
      <c r="L3441" s="26">
        <v>881.87</v>
      </c>
    </row>
    <row r="3442" spans="1:12" ht="16" customHeight="1">
      <c r="A3442" t="s">
        <v>486</v>
      </c>
      <c r="B3442" t="s">
        <v>6</v>
      </c>
      <c r="C3442" t="s">
        <v>55</v>
      </c>
      <c r="D3442" s="24">
        <v>46174</v>
      </c>
      <c r="E3442" t="s">
        <v>226</v>
      </c>
      <c r="F3442" t="s">
        <v>4</v>
      </c>
      <c r="G3442" t="s">
        <v>217</v>
      </c>
      <c r="H3442" t="s">
        <v>217</v>
      </c>
      <c r="I3442" t="s">
        <v>212</v>
      </c>
      <c r="J3442" s="25">
        <v>1514876</v>
      </c>
      <c r="K3442" s="26">
        <v>232268.4</v>
      </c>
      <c r="L3442" s="26">
        <v>1770.88</v>
      </c>
    </row>
    <row r="3443" spans="1:12" ht="16" customHeight="1">
      <c r="A3443" t="s">
        <v>486</v>
      </c>
      <c r="B3443" t="s">
        <v>6</v>
      </c>
      <c r="C3443" t="s">
        <v>55</v>
      </c>
      <c r="D3443" s="24">
        <v>46174</v>
      </c>
      <c r="E3443" t="s">
        <v>480</v>
      </c>
      <c r="F3443" t="s">
        <v>4</v>
      </c>
      <c r="G3443" t="s">
        <v>211</v>
      </c>
      <c r="H3443" t="s">
        <v>211</v>
      </c>
      <c r="I3443" t="s">
        <v>219</v>
      </c>
      <c r="J3443" s="25">
        <v>24058</v>
      </c>
      <c r="K3443" s="26">
        <v>3724.78</v>
      </c>
      <c r="L3443" s="26">
        <v>31.2</v>
      </c>
    </row>
    <row r="3444" spans="1:12" ht="16" customHeight="1">
      <c r="A3444" t="s">
        <v>486</v>
      </c>
      <c r="B3444" t="s">
        <v>6</v>
      </c>
      <c r="C3444" t="s">
        <v>55</v>
      </c>
      <c r="D3444" s="24">
        <v>46174</v>
      </c>
      <c r="E3444" t="s">
        <v>485</v>
      </c>
      <c r="F3444" t="s">
        <v>4</v>
      </c>
      <c r="G3444" t="s">
        <v>211</v>
      </c>
      <c r="H3444" t="s">
        <v>211</v>
      </c>
      <c r="I3444" t="s">
        <v>219</v>
      </c>
      <c r="J3444" s="25">
        <v>2873</v>
      </c>
      <c r="K3444" s="26">
        <v>441.43</v>
      </c>
      <c r="L3444" s="26">
        <v>4.13</v>
      </c>
    </row>
    <row r="3445" spans="1:12" ht="16" customHeight="1">
      <c r="A3445" t="s">
        <v>486</v>
      </c>
      <c r="B3445" t="s">
        <v>6</v>
      </c>
      <c r="C3445" t="s">
        <v>55</v>
      </c>
      <c r="D3445" s="24">
        <v>46174</v>
      </c>
      <c r="E3445" t="s">
        <v>457</v>
      </c>
      <c r="F3445" t="s">
        <v>4</v>
      </c>
      <c r="G3445" t="s">
        <v>217</v>
      </c>
      <c r="H3445" t="s">
        <v>217</v>
      </c>
      <c r="I3445" t="s">
        <v>219</v>
      </c>
      <c r="J3445" s="25">
        <v>179428</v>
      </c>
      <c r="K3445" s="26">
        <v>27628.91</v>
      </c>
      <c r="L3445" s="26">
        <v>271.93</v>
      </c>
    </row>
    <row r="3446" spans="1:12" ht="16" customHeight="1">
      <c r="A3446" t="s">
        <v>486</v>
      </c>
      <c r="B3446" t="s">
        <v>6</v>
      </c>
      <c r="C3446" t="s">
        <v>55</v>
      </c>
      <c r="D3446" s="24">
        <v>46174</v>
      </c>
      <c r="E3446" t="s">
        <v>476</v>
      </c>
      <c r="F3446" t="s">
        <v>4</v>
      </c>
      <c r="G3446" t="s">
        <v>217</v>
      </c>
      <c r="H3446" t="s">
        <v>217</v>
      </c>
      <c r="I3446" t="s">
        <v>221</v>
      </c>
      <c r="J3446" s="25">
        <v>29933</v>
      </c>
      <c r="K3446" s="26">
        <v>4679.03</v>
      </c>
      <c r="L3446" s="26">
        <v>62.47</v>
      </c>
    </row>
    <row r="3447" spans="1:12" ht="16" customHeight="1">
      <c r="A3447" t="s">
        <v>486</v>
      </c>
      <c r="B3447" t="s">
        <v>6</v>
      </c>
      <c r="C3447" t="s">
        <v>55</v>
      </c>
      <c r="D3447" s="24">
        <v>46174</v>
      </c>
      <c r="E3447" t="s">
        <v>269</v>
      </c>
      <c r="F3447" t="s">
        <v>4</v>
      </c>
      <c r="G3447" t="s">
        <v>217</v>
      </c>
      <c r="H3447" t="s">
        <v>217</v>
      </c>
      <c r="I3447" t="s">
        <v>223</v>
      </c>
      <c r="J3447" s="25">
        <v>32890</v>
      </c>
      <c r="K3447" s="26">
        <v>5175.1000000000004</v>
      </c>
      <c r="L3447" s="26">
        <v>71.84</v>
      </c>
    </row>
    <row r="3448" spans="1:12" ht="16" customHeight="1">
      <c r="A3448" t="s">
        <v>486</v>
      </c>
      <c r="B3448" t="s">
        <v>6</v>
      </c>
      <c r="C3448" t="s">
        <v>55</v>
      </c>
      <c r="D3448" s="24">
        <v>46174</v>
      </c>
      <c r="E3448" t="s">
        <v>228</v>
      </c>
      <c r="F3448" t="s">
        <v>4</v>
      </c>
      <c r="G3448" t="s">
        <v>217</v>
      </c>
      <c r="H3448" t="s">
        <v>217</v>
      </c>
      <c r="I3448" t="s">
        <v>225</v>
      </c>
      <c r="J3448" s="25">
        <v>31808</v>
      </c>
      <c r="K3448" s="26">
        <v>5215.0200000000004</v>
      </c>
      <c r="L3448" s="26">
        <v>129.04</v>
      </c>
    </row>
    <row r="3449" spans="1:12" ht="16" customHeight="1">
      <c r="A3449" t="s">
        <v>486</v>
      </c>
      <c r="B3449" t="s">
        <v>6</v>
      </c>
      <c r="C3449" t="s">
        <v>55</v>
      </c>
      <c r="D3449" s="24">
        <v>46174</v>
      </c>
      <c r="E3449" t="s">
        <v>439</v>
      </c>
      <c r="F3449" t="s">
        <v>4</v>
      </c>
      <c r="G3449" t="s">
        <v>217</v>
      </c>
      <c r="H3449" t="s">
        <v>217</v>
      </c>
      <c r="I3449" t="s">
        <v>227</v>
      </c>
      <c r="J3449" s="25">
        <v>67</v>
      </c>
      <c r="K3449" s="26">
        <v>11.13</v>
      </c>
      <c r="L3449" s="26">
        <v>0.21</v>
      </c>
    </row>
    <row r="3450" spans="1:12" ht="16" customHeight="1">
      <c r="A3450" t="s">
        <v>486</v>
      </c>
      <c r="B3450" t="s">
        <v>6</v>
      </c>
      <c r="C3450" t="s">
        <v>55</v>
      </c>
      <c r="D3450" s="24">
        <v>46174</v>
      </c>
      <c r="E3450" t="s">
        <v>230</v>
      </c>
      <c r="F3450" t="s">
        <v>4</v>
      </c>
      <c r="G3450" t="s">
        <v>217</v>
      </c>
      <c r="H3450" t="s">
        <v>217</v>
      </c>
      <c r="I3450" t="s">
        <v>330</v>
      </c>
      <c r="J3450" s="25">
        <v>4</v>
      </c>
      <c r="K3450" s="26">
        <v>0.62</v>
      </c>
      <c r="L3450" s="26">
        <v>0.03</v>
      </c>
    </row>
    <row r="3451" spans="1:12" ht="16" customHeight="1">
      <c r="A3451" t="s">
        <v>486</v>
      </c>
      <c r="B3451" t="s">
        <v>6</v>
      </c>
      <c r="C3451" t="s">
        <v>55</v>
      </c>
      <c r="D3451" s="24">
        <v>46174</v>
      </c>
      <c r="E3451" t="s">
        <v>232</v>
      </c>
      <c r="F3451" t="s">
        <v>4</v>
      </c>
      <c r="G3451" t="s">
        <v>217</v>
      </c>
      <c r="H3451" t="s">
        <v>217</v>
      </c>
      <c r="I3451" t="s">
        <v>331</v>
      </c>
      <c r="J3451" s="25">
        <v>261</v>
      </c>
      <c r="K3451" s="26">
        <v>45.96</v>
      </c>
      <c r="L3451" s="26">
        <v>2.1</v>
      </c>
    </row>
    <row r="3452" spans="1:12" ht="16" customHeight="1">
      <c r="A3452" t="s">
        <v>486</v>
      </c>
      <c r="B3452" t="s">
        <v>6</v>
      </c>
      <c r="C3452" t="s">
        <v>55</v>
      </c>
      <c r="D3452" s="24">
        <v>46174</v>
      </c>
      <c r="E3452" t="s">
        <v>234</v>
      </c>
      <c r="F3452" t="s">
        <v>4</v>
      </c>
      <c r="G3452" t="s">
        <v>217</v>
      </c>
      <c r="H3452" t="s">
        <v>217</v>
      </c>
      <c r="I3452" t="s">
        <v>332</v>
      </c>
      <c r="J3452" s="25">
        <v>0</v>
      </c>
      <c r="K3452" s="26">
        <v>0</v>
      </c>
      <c r="L3452" s="26">
        <v>0</v>
      </c>
    </row>
    <row r="3453" spans="1:12" ht="16" customHeight="1">
      <c r="A3453" t="s">
        <v>486</v>
      </c>
      <c r="B3453" t="s">
        <v>6</v>
      </c>
      <c r="C3453" t="s">
        <v>55</v>
      </c>
      <c r="D3453" s="24">
        <v>46174</v>
      </c>
      <c r="E3453" t="s">
        <v>236</v>
      </c>
      <c r="F3453" t="s">
        <v>4</v>
      </c>
      <c r="G3453" t="s">
        <v>217</v>
      </c>
      <c r="H3453" t="s">
        <v>217</v>
      </c>
      <c r="I3453" t="s">
        <v>333</v>
      </c>
      <c r="J3453" s="25">
        <v>20</v>
      </c>
      <c r="K3453" s="26">
        <v>4</v>
      </c>
      <c r="L3453" s="26">
        <v>0.2</v>
      </c>
    </row>
    <row r="3454" spans="1:12" ht="16" customHeight="1">
      <c r="A3454" t="s">
        <v>486</v>
      </c>
      <c r="B3454" t="s">
        <v>6</v>
      </c>
      <c r="C3454" t="s">
        <v>55</v>
      </c>
      <c r="D3454" s="24">
        <v>46174</v>
      </c>
      <c r="E3454" t="s">
        <v>238</v>
      </c>
      <c r="F3454" t="s">
        <v>4</v>
      </c>
      <c r="G3454" t="s">
        <v>217</v>
      </c>
      <c r="H3454" t="s">
        <v>217</v>
      </c>
      <c r="I3454" t="s">
        <v>334</v>
      </c>
      <c r="J3454" s="25">
        <v>0</v>
      </c>
      <c r="K3454" s="26">
        <v>0</v>
      </c>
      <c r="L3454" s="26">
        <v>0</v>
      </c>
    </row>
    <row r="3455" spans="1:12" ht="16" customHeight="1">
      <c r="A3455" t="s">
        <v>486</v>
      </c>
      <c r="B3455" t="s">
        <v>6</v>
      </c>
      <c r="C3455" t="s">
        <v>55</v>
      </c>
      <c r="D3455" s="24">
        <v>46174</v>
      </c>
      <c r="E3455" t="s">
        <v>240</v>
      </c>
      <c r="F3455" t="s">
        <v>3</v>
      </c>
      <c r="G3455" t="s">
        <v>241</v>
      </c>
      <c r="H3455" t="s">
        <v>241</v>
      </c>
      <c r="I3455" t="s">
        <v>335</v>
      </c>
      <c r="J3455" s="25">
        <v>1</v>
      </c>
      <c r="K3455" s="26">
        <v>0.14000000000000001</v>
      </c>
      <c r="L3455" s="26">
        <v>0</v>
      </c>
    </row>
    <row r="3456" spans="1:12" ht="16" customHeight="1">
      <c r="A3456" t="s">
        <v>486</v>
      </c>
      <c r="B3456" t="s">
        <v>6</v>
      </c>
      <c r="C3456" t="s">
        <v>55</v>
      </c>
      <c r="D3456" s="24">
        <v>46174</v>
      </c>
      <c r="E3456" t="s">
        <v>243</v>
      </c>
      <c r="F3456" t="s">
        <v>4</v>
      </c>
      <c r="G3456" t="s">
        <v>217</v>
      </c>
      <c r="H3456" t="s">
        <v>217</v>
      </c>
      <c r="I3456" t="s">
        <v>336</v>
      </c>
      <c r="J3456" s="25">
        <v>0</v>
      </c>
      <c r="K3456" s="26">
        <v>0</v>
      </c>
      <c r="L3456" s="26">
        <v>0</v>
      </c>
    </row>
    <row r="3457" spans="1:12" ht="16" customHeight="1">
      <c r="A3457" t="s">
        <v>486</v>
      </c>
      <c r="B3457" t="s">
        <v>6</v>
      </c>
      <c r="C3457" t="s">
        <v>55</v>
      </c>
      <c r="D3457" s="24">
        <v>46174</v>
      </c>
      <c r="E3457" t="s">
        <v>360</v>
      </c>
      <c r="F3457" t="s">
        <v>4</v>
      </c>
      <c r="G3457" t="s">
        <v>217</v>
      </c>
      <c r="H3457" t="s">
        <v>217</v>
      </c>
      <c r="I3457" t="s">
        <v>337</v>
      </c>
      <c r="J3457" s="25">
        <v>0</v>
      </c>
      <c r="K3457" s="26">
        <v>0</v>
      </c>
      <c r="L3457" s="26">
        <v>0</v>
      </c>
    </row>
    <row r="3458" spans="1:12" ht="16" customHeight="1">
      <c r="A3458" t="s">
        <v>487</v>
      </c>
      <c r="B3458" t="s">
        <v>7</v>
      </c>
      <c r="C3458" t="s">
        <v>55</v>
      </c>
      <c r="D3458" s="24">
        <v>46174</v>
      </c>
      <c r="E3458" t="s">
        <v>466</v>
      </c>
      <c r="F3458" t="s">
        <v>4</v>
      </c>
      <c r="G3458" t="s">
        <v>211</v>
      </c>
      <c r="H3458" t="s">
        <v>211</v>
      </c>
      <c r="I3458" t="s">
        <v>212</v>
      </c>
      <c r="J3458" s="25">
        <v>108186835</v>
      </c>
      <c r="K3458" s="26">
        <v>16527613.029999999</v>
      </c>
      <c r="L3458" s="26">
        <v>53558.6</v>
      </c>
    </row>
    <row r="3459" spans="1:12" ht="16" customHeight="1">
      <c r="A3459" t="s">
        <v>487</v>
      </c>
      <c r="B3459" t="s">
        <v>7</v>
      </c>
      <c r="C3459" t="s">
        <v>55</v>
      </c>
      <c r="D3459" s="24">
        <v>46174</v>
      </c>
      <c r="E3459" t="s">
        <v>471</v>
      </c>
      <c r="F3459" t="s">
        <v>4</v>
      </c>
      <c r="G3459" t="s">
        <v>211</v>
      </c>
      <c r="H3459" t="s">
        <v>211</v>
      </c>
      <c r="I3459" t="s">
        <v>212</v>
      </c>
      <c r="J3459" s="25">
        <v>3059152</v>
      </c>
      <c r="K3459" s="26">
        <v>469802.48</v>
      </c>
      <c r="L3459" s="26">
        <v>2001.65</v>
      </c>
    </row>
    <row r="3460" spans="1:12" ht="16" customHeight="1">
      <c r="A3460" t="s">
        <v>487</v>
      </c>
      <c r="B3460" t="s">
        <v>7</v>
      </c>
      <c r="C3460" t="s">
        <v>55</v>
      </c>
      <c r="D3460" s="24">
        <v>46174</v>
      </c>
      <c r="E3460" t="s">
        <v>226</v>
      </c>
      <c r="F3460" t="s">
        <v>4</v>
      </c>
      <c r="G3460" t="s">
        <v>217</v>
      </c>
      <c r="H3460" t="s">
        <v>217</v>
      </c>
      <c r="I3460" t="s">
        <v>212</v>
      </c>
      <c r="J3460" s="25">
        <v>2654478</v>
      </c>
      <c r="K3460" s="26">
        <v>407856.56</v>
      </c>
      <c r="L3460" s="26">
        <v>2751.45</v>
      </c>
    </row>
    <row r="3461" spans="1:12" ht="16" customHeight="1">
      <c r="A3461" t="s">
        <v>487</v>
      </c>
      <c r="B3461" t="s">
        <v>7</v>
      </c>
      <c r="C3461" t="s">
        <v>55</v>
      </c>
      <c r="D3461" s="24">
        <v>46174</v>
      </c>
      <c r="E3461" t="s">
        <v>480</v>
      </c>
      <c r="F3461" t="s">
        <v>4</v>
      </c>
      <c r="G3461" t="s">
        <v>211</v>
      </c>
      <c r="H3461" t="s">
        <v>211</v>
      </c>
      <c r="I3461" t="s">
        <v>219</v>
      </c>
      <c r="J3461" s="25">
        <v>51240</v>
      </c>
      <c r="K3461" s="26">
        <v>7924.91</v>
      </c>
      <c r="L3461" s="26">
        <v>60.24</v>
      </c>
    </row>
    <row r="3462" spans="1:12" ht="16" customHeight="1">
      <c r="A3462" t="s">
        <v>487</v>
      </c>
      <c r="B3462" t="s">
        <v>7</v>
      </c>
      <c r="C3462" t="s">
        <v>55</v>
      </c>
      <c r="D3462" s="24">
        <v>46174</v>
      </c>
      <c r="E3462" t="s">
        <v>485</v>
      </c>
      <c r="F3462" t="s">
        <v>4</v>
      </c>
      <c r="G3462" t="s">
        <v>211</v>
      </c>
      <c r="H3462" t="s">
        <v>211</v>
      </c>
      <c r="I3462" t="s">
        <v>219</v>
      </c>
      <c r="J3462" s="25">
        <v>7776</v>
      </c>
      <c r="K3462" s="26">
        <v>1197.94</v>
      </c>
      <c r="L3462" s="26">
        <v>8.49</v>
      </c>
    </row>
    <row r="3463" spans="1:12" ht="16" customHeight="1">
      <c r="A3463" t="s">
        <v>487</v>
      </c>
      <c r="B3463" t="s">
        <v>7</v>
      </c>
      <c r="C3463" t="s">
        <v>55</v>
      </c>
      <c r="D3463" s="24">
        <v>46174</v>
      </c>
      <c r="E3463" t="s">
        <v>457</v>
      </c>
      <c r="F3463" t="s">
        <v>4</v>
      </c>
      <c r="G3463" t="s">
        <v>217</v>
      </c>
      <c r="H3463" t="s">
        <v>217</v>
      </c>
      <c r="I3463" t="s">
        <v>219</v>
      </c>
      <c r="J3463" s="25">
        <v>375030</v>
      </c>
      <c r="K3463" s="26">
        <v>57435.27</v>
      </c>
      <c r="L3463" s="26">
        <v>500.65</v>
      </c>
    </row>
    <row r="3464" spans="1:12" ht="16" customHeight="1">
      <c r="A3464" t="s">
        <v>487</v>
      </c>
      <c r="B3464" t="s">
        <v>7</v>
      </c>
      <c r="C3464" t="s">
        <v>55</v>
      </c>
      <c r="D3464" s="24">
        <v>46174</v>
      </c>
      <c r="E3464" t="s">
        <v>476</v>
      </c>
      <c r="F3464" t="s">
        <v>4</v>
      </c>
      <c r="G3464" t="s">
        <v>217</v>
      </c>
      <c r="H3464" t="s">
        <v>217</v>
      </c>
      <c r="I3464" t="s">
        <v>221</v>
      </c>
      <c r="J3464" s="25">
        <v>72904</v>
      </c>
      <c r="K3464" s="26">
        <v>11448.91</v>
      </c>
      <c r="L3464" s="26">
        <v>150.43</v>
      </c>
    </row>
    <row r="3465" spans="1:12" ht="16" customHeight="1">
      <c r="A3465" t="s">
        <v>487</v>
      </c>
      <c r="B3465" t="s">
        <v>7</v>
      </c>
      <c r="C3465" t="s">
        <v>55</v>
      </c>
      <c r="D3465" s="24">
        <v>46174</v>
      </c>
      <c r="E3465" t="s">
        <v>269</v>
      </c>
      <c r="F3465" t="s">
        <v>4</v>
      </c>
      <c r="G3465" t="s">
        <v>217</v>
      </c>
      <c r="H3465" t="s">
        <v>217</v>
      </c>
      <c r="I3465" t="s">
        <v>223</v>
      </c>
      <c r="J3465" s="25">
        <v>48624</v>
      </c>
      <c r="K3465" s="26">
        <v>7612.47</v>
      </c>
      <c r="L3465" s="26">
        <v>91.54</v>
      </c>
    </row>
    <row r="3466" spans="1:12" ht="16" customHeight="1">
      <c r="A3466" t="s">
        <v>487</v>
      </c>
      <c r="B3466" t="s">
        <v>7</v>
      </c>
      <c r="C3466" t="s">
        <v>55</v>
      </c>
      <c r="D3466" s="24">
        <v>46174</v>
      </c>
      <c r="E3466" t="s">
        <v>228</v>
      </c>
      <c r="F3466" t="s">
        <v>4</v>
      </c>
      <c r="G3466" t="s">
        <v>217</v>
      </c>
      <c r="H3466" t="s">
        <v>217</v>
      </c>
      <c r="I3466" t="s">
        <v>225</v>
      </c>
      <c r="J3466" s="25">
        <v>90067</v>
      </c>
      <c r="K3466" s="26">
        <v>14373.55</v>
      </c>
      <c r="L3466" s="26">
        <v>374.12</v>
      </c>
    </row>
    <row r="3467" spans="1:12" ht="16" customHeight="1">
      <c r="A3467" t="s">
        <v>487</v>
      </c>
      <c r="B3467" t="s">
        <v>7</v>
      </c>
      <c r="C3467" t="s">
        <v>55</v>
      </c>
      <c r="D3467" s="24">
        <v>46174</v>
      </c>
      <c r="E3467" t="s">
        <v>439</v>
      </c>
      <c r="F3467" t="s">
        <v>4</v>
      </c>
      <c r="G3467" t="s">
        <v>217</v>
      </c>
      <c r="H3467" t="s">
        <v>217</v>
      </c>
      <c r="I3467" t="s">
        <v>227</v>
      </c>
      <c r="J3467" s="25">
        <v>240</v>
      </c>
      <c r="K3467" s="26">
        <v>45.03</v>
      </c>
      <c r="L3467" s="26">
        <v>0.41</v>
      </c>
    </row>
    <row r="3468" spans="1:12" ht="16" customHeight="1">
      <c r="A3468" t="s">
        <v>487</v>
      </c>
      <c r="B3468" t="s">
        <v>7</v>
      </c>
      <c r="C3468" t="s">
        <v>55</v>
      </c>
      <c r="D3468" s="24">
        <v>46174</v>
      </c>
      <c r="E3468" t="s">
        <v>230</v>
      </c>
      <c r="F3468" t="s">
        <v>4</v>
      </c>
      <c r="G3468" t="s">
        <v>217</v>
      </c>
      <c r="H3468" t="s">
        <v>217</v>
      </c>
      <c r="I3468" t="s">
        <v>330</v>
      </c>
      <c r="J3468" s="25">
        <v>0</v>
      </c>
      <c r="K3468" s="26">
        <v>0</v>
      </c>
      <c r="L3468" s="26">
        <v>0</v>
      </c>
    </row>
    <row r="3469" spans="1:12" ht="16" customHeight="1">
      <c r="A3469" t="s">
        <v>487</v>
      </c>
      <c r="B3469" t="s">
        <v>7</v>
      </c>
      <c r="C3469" t="s">
        <v>55</v>
      </c>
      <c r="D3469" s="24">
        <v>46174</v>
      </c>
      <c r="E3469" t="s">
        <v>232</v>
      </c>
      <c r="F3469" t="s">
        <v>4</v>
      </c>
      <c r="G3469" t="s">
        <v>217</v>
      </c>
      <c r="H3469" t="s">
        <v>217</v>
      </c>
      <c r="I3469" t="s">
        <v>331</v>
      </c>
      <c r="J3469" s="25">
        <v>638</v>
      </c>
      <c r="K3469" s="26">
        <v>109.59</v>
      </c>
      <c r="L3469" s="26">
        <v>5.17</v>
      </c>
    </row>
    <row r="3470" spans="1:12" ht="16" customHeight="1">
      <c r="A3470" t="s">
        <v>487</v>
      </c>
      <c r="B3470" t="s">
        <v>7</v>
      </c>
      <c r="C3470" t="s">
        <v>55</v>
      </c>
      <c r="D3470" s="24">
        <v>46174</v>
      </c>
      <c r="E3470" t="s">
        <v>234</v>
      </c>
      <c r="F3470" t="s">
        <v>4</v>
      </c>
      <c r="G3470" t="s">
        <v>217</v>
      </c>
      <c r="H3470" t="s">
        <v>217</v>
      </c>
      <c r="I3470" t="s">
        <v>332</v>
      </c>
      <c r="J3470" s="25">
        <v>0</v>
      </c>
      <c r="K3470" s="26">
        <v>0</v>
      </c>
      <c r="L3470" s="26">
        <v>0</v>
      </c>
    </row>
    <row r="3471" spans="1:12" ht="16" customHeight="1">
      <c r="A3471" t="s">
        <v>487</v>
      </c>
      <c r="B3471" t="s">
        <v>7</v>
      </c>
      <c r="C3471" t="s">
        <v>55</v>
      </c>
      <c r="D3471" s="24">
        <v>46174</v>
      </c>
      <c r="E3471" t="s">
        <v>236</v>
      </c>
      <c r="F3471" t="s">
        <v>4</v>
      </c>
      <c r="G3471" t="s">
        <v>217</v>
      </c>
      <c r="H3471" t="s">
        <v>217</v>
      </c>
      <c r="I3471" t="s">
        <v>333</v>
      </c>
      <c r="J3471" s="25">
        <v>14</v>
      </c>
      <c r="K3471" s="26">
        <v>2.67</v>
      </c>
      <c r="L3471" s="26">
        <v>0.21</v>
      </c>
    </row>
    <row r="3472" spans="1:12" ht="16" customHeight="1">
      <c r="A3472" t="s">
        <v>487</v>
      </c>
      <c r="B3472" t="s">
        <v>7</v>
      </c>
      <c r="C3472" t="s">
        <v>55</v>
      </c>
      <c r="D3472" s="24">
        <v>46174</v>
      </c>
      <c r="E3472" t="s">
        <v>238</v>
      </c>
      <c r="F3472" t="s">
        <v>4</v>
      </c>
      <c r="G3472" t="s">
        <v>217</v>
      </c>
      <c r="H3472" t="s">
        <v>217</v>
      </c>
      <c r="I3472" t="s">
        <v>334</v>
      </c>
      <c r="J3472" s="25">
        <v>0</v>
      </c>
      <c r="K3472" s="26">
        <v>0</v>
      </c>
      <c r="L3472" s="26">
        <v>0</v>
      </c>
    </row>
    <row r="3473" spans="1:12" ht="16" customHeight="1">
      <c r="A3473" t="s">
        <v>487</v>
      </c>
      <c r="B3473" t="s">
        <v>7</v>
      </c>
      <c r="C3473" t="s">
        <v>55</v>
      </c>
      <c r="D3473" s="24">
        <v>46174</v>
      </c>
      <c r="E3473" t="s">
        <v>240</v>
      </c>
      <c r="F3473" t="s">
        <v>3</v>
      </c>
      <c r="G3473" t="s">
        <v>241</v>
      </c>
      <c r="H3473" t="s">
        <v>241</v>
      </c>
      <c r="I3473" t="s">
        <v>335</v>
      </c>
      <c r="J3473" s="25">
        <v>0</v>
      </c>
      <c r="K3473" s="26">
        <v>0</v>
      </c>
      <c r="L3473" s="26">
        <v>0</v>
      </c>
    </row>
    <row r="3474" spans="1:12" ht="16" customHeight="1">
      <c r="A3474" t="s">
        <v>487</v>
      </c>
      <c r="B3474" t="s">
        <v>7</v>
      </c>
      <c r="C3474" t="s">
        <v>55</v>
      </c>
      <c r="D3474" s="24">
        <v>46174</v>
      </c>
      <c r="E3474" t="s">
        <v>243</v>
      </c>
      <c r="F3474" t="s">
        <v>4</v>
      </c>
      <c r="G3474" t="s">
        <v>217</v>
      </c>
      <c r="H3474" t="s">
        <v>217</v>
      </c>
      <c r="I3474" t="s">
        <v>336</v>
      </c>
      <c r="J3474" s="25">
        <v>0</v>
      </c>
      <c r="K3474" s="26">
        <v>0</v>
      </c>
      <c r="L3474" s="26">
        <v>0</v>
      </c>
    </row>
    <row r="3475" spans="1:12" ht="16" customHeight="1">
      <c r="A3475" t="s">
        <v>487</v>
      </c>
      <c r="B3475" t="s">
        <v>7</v>
      </c>
      <c r="C3475" t="s">
        <v>55</v>
      </c>
      <c r="D3475" s="24">
        <v>46174</v>
      </c>
      <c r="E3475" t="s">
        <v>360</v>
      </c>
      <c r="F3475" t="s">
        <v>4</v>
      </c>
      <c r="G3475" t="s">
        <v>217</v>
      </c>
      <c r="H3475" t="s">
        <v>217</v>
      </c>
      <c r="I3475" t="s">
        <v>337</v>
      </c>
      <c r="J3475" s="25">
        <v>0</v>
      </c>
      <c r="K3475" s="26">
        <v>0</v>
      </c>
      <c r="L3475" s="26">
        <v>0</v>
      </c>
    </row>
    <row r="3476" spans="1:12" ht="16" customHeight="1">
      <c r="A3476" t="s">
        <v>488</v>
      </c>
      <c r="B3476" t="s">
        <v>3</v>
      </c>
      <c r="C3476" t="s">
        <v>56</v>
      </c>
      <c r="D3476" s="24">
        <v>46174</v>
      </c>
      <c r="E3476" t="s">
        <v>466</v>
      </c>
      <c r="F3476" t="s">
        <v>4</v>
      </c>
      <c r="G3476" t="s">
        <v>211</v>
      </c>
      <c r="H3476" t="s">
        <v>211</v>
      </c>
      <c r="I3476" t="s">
        <v>212</v>
      </c>
      <c r="J3476" s="25">
        <v>141223335</v>
      </c>
      <c r="K3476" s="26">
        <v>21959599.34</v>
      </c>
      <c r="L3476" s="26">
        <v>50859.44</v>
      </c>
    </row>
    <row r="3477" spans="1:12" ht="16" customHeight="1">
      <c r="A3477" t="s">
        <v>488</v>
      </c>
      <c r="B3477" t="s">
        <v>3</v>
      </c>
      <c r="C3477" t="s">
        <v>56</v>
      </c>
      <c r="D3477" s="24">
        <v>46174</v>
      </c>
      <c r="E3477" t="s">
        <v>471</v>
      </c>
      <c r="F3477" t="s">
        <v>4</v>
      </c>
      <c r="G3477" t="s">
        <v>211</v>
      </c>
      <c r="H3477" t="s">
        <v>211</v>
      </c>
      <c r="I3477" t="s">
        <v>212</v>
      </c>
      <c r="J3477" s="25">
        <v>5212383</v>
      </c>
      <c r="K3477" s="26">
        <v>811846.52</v>
      </c>
      <c r="L3477" s="26">
        <v>3167.33</v>
      </c>
    </row>
    <row r="3478" spans="1:12" ht="16" customHeight="1">
      <c r="A3478" t="s">
        <v>488</v>
      </c>
      <c r="B3478" t="s">
        <v>3</v>
      </c>
      <c r="C3478" t="s">
        <v>56</v>
      </c>
      <c r="D3478" s="24">
        <v>46174</v>
      </c>
      <c r="E3478" t="s">
        <v>226</v>
      </c>
      <c r="F3478" t="s">
        <v>4</v>
      </c>
      <c r="G3478" t="s">
        <v>217</v>
      </c>
      <c r="H3478" t="s">
        <v>217</v>
      </c>
      <c r="I3478" t="s">
        <v>212</v>
      </c>
      <c r="J3478" s="25">
        <v>2544467</v>
      </c>
      <c r="K3478" s="26">
        <v>394712.54</v>
      </c>
      <c r="L3478" s="26">
        <v>2323.1999999999998</v>
      </c>
    </row>
    <row r="3479" spans="1:12" ht="16" customHeight="1">
      <c r="A3479" t="s">
        <v>488</v>
      </c>
      <c r="B3479" t="s">
        <v>3</v>
      </c>
      <c r="C3479" t="s">
        <v>56</v>
      </c>
      <c r="D3479" s="24">
        <v>46174</v>
      </c>
      <c r="E3479" t="s">
        <v>480</v>
      </c>
      <c r="F3479" t="s">
        <v>4</v>
      </c>
      <c r="G3479" t="s">
        <v>211</v>
      </c>
      <c r="H3479" t="s">
        <v>211</v>
      </c>
      <c r="I3479" t="s">
        <v>219</v>
      </c>
      <c r="J3479" s="25">
        <v>71323</v>
      </c>
      <c r="K3479" s="26">
        <v>11106.93</v>
      </c>
      <c r="L3479" s="26">
        <v>71.44</v>
      </c>
    </row>
    <row r="3480" spans="1:12" ht="16" customHeight="1">
      <c r="A3480" t="s">
        <v>488</v>
      </c>
      <c r="B3480" t="s">
        <v>3</v>
      </c>
      <c r="C3480" t="s">
        <v>56</v>
      </c>
      <c r="D3480" s="24">
        <v>46174</v>
      </c>
      <c r="E3480" t="s">
        <v>485</v>
      </c>
      <c r="F3480" t="s">
        <v>4</v>
      </c>
      <c r="G3480" t="s">
        <v>211</v>
      </c>
      <c r="H3480" t="s">
        <v>211</v>
      </c>
      <c r="I3480" t="s">
        <v>219</v>
      </c>
      <c r="J3480" s="25">
        <v>13354</v>
      </c>
      <c r="K3480" s="26">
        <v>2083.3200000000002</v>
      </c>
      <c r="L3480" s="26">
        <v>14.09</v>
      </c>
    </row>
    <row r="3481" spans="1:12" ht="16" customHeight="1">
      <c r="A3481" t="s">
        <v>488</v>
      </c>
      <c r="B3481" t="s">
        <v>3</v>
      </c>
      <c r="C3481" t="s">
        <v>56</v>
      </c>
      <c r="D3481" s="24">
        <v>46174</v>
      </c>
      <c r="E3481" t="s">
        <v>457</v>
      </c>
      <c r="F3481" t="s">
        <v>4</v>
      </c>
      <c r="G3481" t="s">
        <v>217</v>
      </c>
      <c r="H3481" t="s">
        <v>217</v>
      </c>
      <c r="I3481" t="s">
        <v>219</v>
      </c>
      <c r="J3481" s="25">
        <v>435306</v>
      </c>
      <c r="K3481" s="26">
        <v>67080.509999999995</v>
      </c>
      <c r="L3481" s="26">
        <v>615.04999999999995</v>
      </c>
    </row>
    <row r="3482" spans="1:12" ht="16" customHeight="1">
      <c r="A3482" t="s">
        <v>488</v>
      </c>
      <c r="B3482" t="s">
        <v>3</v>
      </c>
      <c r="C3482" t="s">
        <v>56</v>
      </c>
      <c r="D3482" s="24">
        <v>46174</v>
      </c>
      <c r="E3482" t="s">
        <v>476</v>
      </c>
      <c r="F3482" t="s">
        <v>4</v>
      </c>
      <c r="G3482" t="s">
        <v>217</v>
      </c>
      <c r="H3482" t="s">
        <v>217</v>
      </c>
      <c r="I3482" t="s">
        <v>221</v>
      </c>
      <c r="J3482" s="25">
        <v>89861</v>
      </c>
      <c r="K3482" s="26">
        <v>13944.93</v>
      </c>
      <c r="L3482" s="26">
        <v>176.65</v>
      </c>
    </row>
    <row r="3483" spans="1:12" ht="16" customHeight="1">
      <c r="A3483" t="s">
        <v>488</v>
      </c>
      <c r="B3483" t="s">
        <v>3</v>
      </c>
      <c r="C3483" t="s">
        <v>56</v>
      </c>
      <c r="D3483" s="24">
        <v>46174</v>
      </c>
      <c r="E3483" t="s">
        <v>269</v>
      </c>
      <c r="F3483" t="s">
        <v>4</v>
      </c>
      <c r="G3483" t="s">
        <v>217</v>
      </c>
      <c r="H3483" t="s">
        <v>217</v>
      </c>
      <c r="I3483" t="s">
        <v>223</v>
      </c>
      <c r="J3483" s="25">
        <v>53920</v>
      </c>
      <c r="K3483" s="26">
        <v>8603.65</v>
      </c>
      <c r="L3483" s="26">
        <v>104.82</v>
      </c>
    </row>
    <row r="3484" spans="1:12" ht="16" customHeight="1">
      <c r="A3484" t="s">
        <v>488</v>
      </c>
      <c r="B3484" t="s">
        <v>3</v>
      </c>
      <c r="C3484" t="s">
        <v>56</v>
      </c>
      <c r="D3484" s="24">
        <v>46174</v>
      </c>
      <c r="E3484" t="s">
        <v>228</v>
      </c>
      <c r="F3484" t="s">
        <v>4</v>
      </c>
      <c r="G3484" t="s">
        <v>217</v>
      </c>
      <c r="H3484" t="s">
        <v>217</v>
      </c>
      <c r="I3484" t="s">
        <v>225</v>
      </c>
      <c r="J3484" s="25">
        <v>82810</v>
      </c>
      <c r="K3484" s="26">
        <v>12973.2</v>
      </c>
      <c r="L3484" s="26">
        <v>302.17</v>
      </c>
    </row>
    <row r="3485" spans="1:12" ht="16" customHeight="1">
      <c r="A3485" t="s">
        <v>488</v>
      </c>
      <c r="B3485" t="s">
        <v>3</v>
      </c>
      <c r="C3485" t="s">
        <v>56</v>
      </c>
      <c r="D3485" s="24">
        <v>46174</v>
      </c>
      <c r="E3485" t="s">
        <v>439</v>
      </c>
      <c r="F3485" t="s">
        <v>4</v>
      </c>
      <c r="G3485" t="s">
        <v>217</v>
      </c>
      <c r="H3485" t="s">
        <v>217</v>
      </c>
      <c r="I3485" t="s">
        <v>227</v>
      </c>
      <c r="J3485" s="25">
        <v>204</v>
      </c>
      <c r="K3485" s="26">
        <v>36.07</v>
      </c>
      <c r="L3485" s="26">
        <v>0.34</v>
      </c>
    </row>
    <row r="3486" spans="1:12" ht="16" customHeight="1">
      <c r="A3486" t="s">
        <v>488</v>
      </c>
      <c r="B3486" t="s">
        <v>3</v>
      </c>
      <c r="C3486" t="s">
        <v>56</v>
      </c>
      <c r="D3486" s="24">
        <v>46174</v>
      </c>
      <c r="E3486" t="s">
        <v>230</v>
      </c>
      <c r="F3486" t="s">
        <v>4</v>
      </c>
      <c r="G3486" t="s">
        <v>217</v>
      </c>
      <c r="H3486" t="s">
        <v>217</v>
      </c>
      <c r="I3486" t="s">
        <v>330</v>
      </c>
      <c r="J3486" s="25">
        <v>11</v>
      </c>
      <c r="K3486" s="26">
        <v>1.55</v>
      </c>
      <c r="L3486" s="26">
        <v>0.03</v>
      </c>
    </row>
    <row r="3487" spans="1:12" ht="16" customHeight="1">
      <c r="A3487" t="s">
        <v>488</v>
      </c>
      <c r="B3487" t="s">
        <v>3</v>
      </c>
      <c r="C3487" t="s">
        <v>56</v>
      </c>
      <c r="D3487" s="24">
        <v>46174</v>
      </c>
      <c r="E3487" t="s">
        <v>232</v>
      </c>
      <c r="F3487" t="s">
        <v>4</v>
      </c>
      <c r="G3487" t="s">
        <v>217</v>
      </c>
      <c r="H3487" t="s">
        <v>217</v>
      </c>
      <c r="I3487" t="s">
        <v>331</v>
      </c>
      <c r="J3487" s="25">
        <v>524</v>
      </c>
      <c r="K3487" s="26">
        <v>88.86</v>
      </c>
      <c r="L3487" s="26">
        <v>4.18</v>
      </c>
    </row>
    <row r="3488" spans="1:12" ht="16" customHeight="1">
      <c r="A3488" t="s">
        <v>488</v>
      </c>
      <c r="B3488" t="s">
        <v>3</v>
      </c>
      <c r="C3488" t="s">
        <v>56</v>
      </c>
      <c r="D3488" s="24">
        <v>46174</v>
      </c>
      <c r="E3488" t="s">
        <v>234</v>
      </c>
      <c r="F3488" t="s">
        <v>4</v>
      </c>
      <c r="G3488" t="s">
        <v>217</v>
      </c>
      <c r="H3488" t="s">
        <v>217</v>
      </c>
      <c r="I3488" t="s">
        <v>332</v>
      </c>
      <c r="J3488" s="25">
        <v>0</v>
      </c>
      <c r="K3488" s="26">
        <v>0</v>
      </c>
      <c r="L3488" s="26">
        <v>0</v>
      </c>
    </row>
    <row r="3489" spans="1:12" ht="16" customHeight="1">
      <c r="A3489" t="s">
        <v>488</v>
      </c>
      <c r="B3489" t="s">
        <v>3</v>
      </c>
      <c r="C3489" t="s">
        <v>56</v>
      </c>
      <c r="D3489" s="24">
        <v>46174</v>
      </c>
      <c r="E3489" t="s">
        <v>236</v>
      </c>
      <c r="F3489" t="s">
        <v>4</v>
      </c>
      <c r="G3489" t="s">
        <v>217</v>
      </c>
      <c r="H3489" t="s">
        <v>217</v>
      </c>
      <c r="I3489" t="s">
        <v>333</v>
      </c>
      <c r="J3489" s="25">
        <v>18</v>
      </c>
      <c r="K3489" s="26">
        <v>3.46</v>
      </c>
      <c r="L3489" s="26">
        <v>0.24</v>
      </c>
    </row>
    <row r="3490" spans="1:12" ht="16" customHeight="1">
      <c r="A3490" t="s">
        <v>488</v>
      </c>
      <c r="B3490" t="s">
        <v>3</v>
      </c>
      <c r="C3490" t="s">
        <v>56</v>
      </c>
      <c r="D3490" s="24">
        <v>46174</v>
      </c>
      <c r="E3490" t="s">
        <v>238</v>
      </c>
      <c r="F3490" t="s">
        <v>4</v>
      </c>
      <c r="G3490" t="s">
        <v>217</v>
      </c>
      <c r="H3490" t="s">
        <v>217</v>
      </c>
      <c r="I3490" t="s">
        <v>334</v>
      </c>
      <c r="J3490" s="25">
        <v>0</v>
      </c>
      <c r="K3490" s="26">
        <v>0</v>
      </c>
      <c r="L3490" s="26">
        <v>0</v>
      </c>
    </row>
    <row r="3491" spans="1:12" ht="16" customHeight="1">
      <c r="A3491" t="s">
        <v>488</v>
      </c>
      <c r="B3491" t="s">
        <v>3</v>
      </c>
      <c r="C3491" t="s">
        <v>56</v>
      </c>
      <c r="D3491" s="24">
        <v>46174</v>
      </c>
      <c r="E3491" t="s">
        <v>240</v>
      </c>
      <c r="F3491" t="s">
        <v>3</v>
      </c>
      <c r="G3491" t="s">
        <v>241</v>
      </c>
      <c r="H3491" t="s">
        <v>241</v>
      </c>
      <c r="I3491" t="s">
        <v>335</v>
      </c>
      <c r="J3491" s="25">
        <v>0</v>
      </c>
      <c r="K3491" s="26">
        <v>0</v>
      </c>
      <c r="L3491" s="26">
        <v>0</v>
      </c>
    </row>
    <row r="3492" spans="1:12" ht="16" customHeight="1">
      <c r="A3492" t="s">
        <v>488</v>
      </c>
      <c r="B3492" t="s">
        <v>3</v>
      </c>
      <c r="C3492" t="s">
        <v>56</v>
      </c>
      <c r="D3492" s="24">
        <v>46174</v>
      </c>
      <c r="E3492" t="s">
        <v>243</v>
      </c>
      <c r="F3492" t="s">
        <v>4</v>
      </c>
      <c r="G3492" t="s">
        <v>217</v>
      </c>
      <c r="H3492" t="s">
        <v>217</v>
      </c>
      <c r="I3492" t="s">
        <v>336</v>
      </c>
      <c r="J3492" s="25">
        <v>0</v>
      </c>
      <c r="K3492" s="26">
        <v>0</v>
      </c>
      <c r="L3492" s="26">
        <v>0</v>
      </c>
    </row>
    <row r="3493" spans="1:12" ht="16" customHeight="1">
      <c r="A3493" t="s">
        <v>488</v>
      </c>
      <c r="B3493" t="s">
        <v>3</v>
      </c>
      <c r="C3493" t="s">
        <v>56</v>
      </c>
      <c r="D3493" s="24">
        <v>46174</v>
      </c>
      <c r="E3493" t="s">
        <v>360</v>
      </c>
      <c r="F3493" t="s">
        <v>4</v>
      </c>
      <c r="G3493" t="s">
        <v>217</v>
      </c>
      <c r="H3493" t="s">
        <v>217</v>
      </c>
      <c r="I3493" t="s">
        <v>337</v>
      </c>
      <c r="J3493" s="25">
        <v>0</v>
      </c>
      <c r="K3493" s="26">
        <v>0</v>
      </c>
      <c r="L3493" s="26">
        <v>0</v>
      </c>
    </row>
    <row r="3494" spans="1:12" ht="16" customHeight="1">
      <c r="A3494" t="s">
        <v>466</v>
      </c>
      <c r="B3494" t="s">
        <v>4</v>
      </c>
      <c r="C3494" t="s">
        <v>56</v>
      </c>
      <c r="D3494" s="24">
        <v>46174</v>
      </c>
      <c r="E3494" t="s">
        <v>466</v>
      </c>
      <c r="F3494" t="s">
        <v>4</v>
      </c>
      <c r="G3494" t="s">
        <v>211</v>
      </c>
      <c r="H3494" t="s">
        <v>211</v>
      </c>
      <c r="I3494" t="s">
        <v>212</v>
      </c>
      <c r="J3494" s="25">
        <v>338771863</v>
      </c>
      <c r="K3494" s="26">
        <v>52754549.109999999</v>
      </c>
      <c r="L3494" s="26">
        <v>51059.34</v>
      </c>
    </row>
    <row r="3495" spans="1:12" ht="16" customHeight="1">
      <c r="A3495" t="s">
        <v>466</v>
      </c>
      <c r="B3495" t="s">
        <v>4</v>
      </c>
      <c r="C3495" t="s">
        <v>56</v>
      </c>
      <c r="D3495" s="24">
        <v>46174</v>
      </c>
      <c r="E3495" t="s">
        <v>471</v>
      </c>
      <c r="F3495" t="s">
        <v>4</v>
      </c>
      <c r="G3495" t="s">
        <v>211</v>
      </c>
      <c r="H3495" t="s">
        <v>211</v>
      </c>
      <c r="I3495" t="s">
        <v>212</v>
      </c>
      <c r="J3495" s="25">
        <v>8195508</v>
      </c>
      <c r="K3495" s="26">
        <v>1276607.5</v>
      </c>
      <c r="L3495" s="26">
        <v>4472.6400000000003</v>
      </c>
    </row>
    <row r="3496" spans="1:12" ht="16" customHeight="1">
      <c r="A3496" t="s">
        <v>466</v>
      </c>
      <c r="B3496" t="s">
        <v>4</v>
      </c>
      <c r="C3496" t="s">
        <v>56</v>
      </c>
      <c r="D3496" s="24">
        <v>46174</v>
      </c>
      <c r="E3496" t="s">
        <v>226</v>
      </c>
      <c r="F3496" t="s">
        <v>4</v>
      </c>
      <c r="G3496" t="s">
        <v>217</v>
      </c>
      <c r="H3496" t="s">
        <v>217</v>
      </c>
      <c r="I3496" t="s">
        <v>212</v>
      </c>
      <c r="J3496" s="25">
        <v>1799364</v>
      </c>
      <c r="K3496" s="26">
        <v>280764</v>
      </c>
      <c r="L3496" s="26">
        <v>1450.85</v>
      </c>
    </row>
    <row r="3497" spans="1:12" ht="16" customHeight="1">
      <c r="A3497" t="s">
        <v>466</v>
      </c>
      <c r="B3497" t="s">
        <v>4</v>
      </c>
      <c r="C3497" t="s">
        <v>56</v>
      </c>
      <c r="D3497" s="24">
        <v>46174</v>
      </c>
      <c r="E3497" t="s">
        <v>480</v>
      </c>
      <c r="F3497" t="s">
        <v>4</v>
      </c>
      <c r="G3497" t="s">
        <v>211</v>
      </c>
      <c r="H3497" t="s">
        <v>211</v>
      </c>
      <c r="I3497" t="s">
        <v>219</v>
      </c>
      <c r="J3497" s="25">
        <v>55111</v>
      </c>
      <c r="K3497" s="26">
        <v>8620.74</v>
      </c>
      <c r="L3497" s="26">
        <v>48.79</v>
      </c>
    </row>
    <row r="3498" spans="1:12" ht="16" customHeight="1">
      <c r="A3498" t="s">
        <v>466</v>
      </c>
      <c r="B3498" t="s">
        <v>4</v>
      </c>
      <c r="C3498" t="s">
        <v>56</v>
      </c>
      <c r="D3498" s="24">
        <v>46174</v>
      </c>
      <c r="E3498" t="s">
        <v>485</v>
      </c>
      <c r="F3498" t="s">
        <v>4</v>
      </c>
      <c r="G3498" t="s">
        <v>211</v>
      </c>
      <c r="H3498" t="s">
        <v>211</v>
      </c>
      <c r="I3498" t="s">
        <v>219</v>
      </c>
      <c r="J3498" s="25">
        <v>6886</v>
      </c>
      <c r="K3498" s="26">
        <v>1075.98</v>
      </c>
      <c r="L3498" s="26">
        <v>6.47</v>
      </c>
    </row>
    <row r="3499" spans="1:12" ht="16" customHeight="1">
      <c r="A3499" t="s">
        <v>466</v>
      </c>
      <c r="B3499" t="s">
        <v>4</v>
      </c>
      <c r="C3499" t="s">
        <v>56</v>
      </c>
      <c r="D3499" s="24">
        <v>46174</v>
      </c>
      <c r="E3499" t="s">
        <v>457</v>
      </c>
      <c r="F3499" t="s">
        <v>4</v>
      </c>
      <c r="G3499" t="s">
        <v>217</v>
      </c>
      <c r="H3499" t="s">
        <v>217</v>
      </c>
      <c r="I3499" t="s">
        <v>219</v>
      </c>
      <c r="J3499" s="25">
        <v>250441</v>
      </c>
      <c r="K3499" s="26">
        <v>38863.660000000003</v>
      </c>
      <c r="L3499" s="26">
        <v>319.32</v>
      </c>
    </row>
    <row r="3500" spans="1:12" ht="16" customHeight="1">
      <c r="A3500" t="s">
        <v>466</v>
      </c>
      <c r="B3500" t="s">
        <v>4</v>
      </c>
      <c r="C3500" t="s">
        <v>56</v>
      </c>
      <c r="D3500" s="24">
        <v>46174</v>
      </c>
      <c r="E3500" t="s">
        <v>476</v>
      </c>
      <c r="F3500" t="s">
        <v>4</v>
      </c>
      <c r="G3500" t="s">
        <v>217</v>
      </c>
      <c r="H3500" t="s">
        <v>217</v>
      </c>
      <c r="I3500" t="s">
        <v>221</v>
      </c>
      <c r="J3500" s="25">
        <v>45411</v>
      </c>
      <c r="K3500" s="26">
        <v>7115.42</v>
      </c>
      <c r="L3500" s="26">
        <v>84.89</v>
      </c>
    </row>
    <row r="3501" spans="1:12" ht="16" customHeight="1">
      <c r="A3501" t="s">
        <v>466</v>
      </c>
      <c r="B3501" t="s">
        <v>4</v>
      </c>
      <c r="C3501" t="s">
        <v>56</v>
      </c>
      <c r="D3501" s="24">
        <v>46174</v>
      </c>
      <c r="E3501" t="s">
        <v>269</v>
      </c>
      <c r="F3501" t="s">
        <v>4</v>
      </c>
      <c r="G3501" t="s">
        <v>217</v>
      </c>
      <c r="H3501" t="s">
        <v>217</v>
      </c>
      <c r="I3501" t="s">
        <v>223</v>
      </c>
      <c r="J3501" s="25">
        <v>34795</v>
      </c>
      <c r="K3501" s="26">
        <v>5245.12</v>
      </c>
      <c r="L3501" s="26">
        <v>61.5</v>
      </c>
    </row>
    <row r="3502" spans="1:12" ht="16" customHeight="1">
      <c r="A3502" t="s">
        <v>466</v>
      </c>
      <c r="B3502" t="s">
        <v>4</v>
      </c>
      <c r="C3502" t="s">
        <v>56</v>
      </c>
      <c r="D3502" s="24">
        <v>46174</v>
      </c>
      <c r="E3502" t="s">
        <v>228</v>
      </c>
      <c r="F3502" t="s">
        <v>4</v>
      </c>
      <c r="G3502" t="s">
        <v>217</v>
      </c>
      <c r="H3502" t="s">
        <v>217</v>
      </c>
      <c r="I3502" t="s">
        <v>225</v>
      </c>
      <c r="J3502" s="25">
        <v>40326</v>
      </c>
      <c r="K3502" s="26">
        <v>6254.28</v>
      </c>
      <c r="L3502" s="26">
        <v>119.86</v>
      </c>
    </row>
    <row r="3503" spans="1:12" ht="16" customHeight="1">
      <c r="A3503" t="s">
        <v>466</v>
      </c>
      <c r="B3503" t="s">
        <v>4</v>
      </c>
      <c r="C3503" t="s">
        <v>56</v>
      </c>
      <c r="D3503" s="24">
        <v>46174</v>
      </c>
      <c r="E3503" t="s">
        <v>439</v>
      </c>
      <c r="F3503" t="s">
        <v>4</v>
      </c>
      <c r="G3503" t="s">
        <v>217</v>
      </c>
      <c r="H3503" t="s">
        <v>217</v>
      </c>
      <c r="I3503" t="s">
        <v>227</v>
      </c>
      <c r="J3503" s="25">
        <v>164</v>
      </c>
      <c r="K3503" s="26">
        <v>28.92</v>
      </c>
      <c r="L3503" s="26">
        <v>0.24</v>
      </c>
    </row>
    <row r="3504" spans="1:12" ht="16" customHeight="1">
      <c r="A3504" t="s">
        <v>466</v>
      </c>
      <c r="B3504" t="s">
        <v>4</v>
      </c>
      <c r="C3504" t="s">
        <v>56</v>
      </c>
      <c r="D3504" s="24">
        <v>46174</v>
      </c>
      <c r="E3504" t="s">
        <v>230</v>
      </c>
      <c r="F3504" t="s">
        <v>4</v>
      </c>
      <c r="G3504" t="s">
        <v>217</v>
      </c>
      <c r="H3504" t="s">
        <v>217</v>
      </c>
      <c r="I3504" t="s">
        <v>330</v>
      </c>
      <c r="J3504" s="25">
        <v>0</v>
      </c>
      <c r="K3504" s="26">
        <v>0</v>
      </c>
      <c r="L3504" s="26">
        <v>0</v>
      </c>
    </row>
    <row r="3505" spans="1:12" ht="16" customHeight="1">
      <c r="A3505" t="s">
        <v>466</v>
      </c>
      <c r="B3505" t="s">
        <v>4</v>
      </c>
      <c r="C3505" t="s">
        <v>56</v>
      </c>
      <c r="D3505" s="24">
        <v>46174</v>
      </c>
      <c r="E3505" t="s">
        <v>232</v>
      </c>
      <c r="F3505" t="s">
        <v>4</v>
      </c>
      <c r="G3505" t="s">
        <v>217</v>
      </c>
      <c r="H3505" t="s">
        <v>217</v>
      </c>
      <c r="I3505" t="s">
        <v>331</v>
      </c>
      <c r="J3505" s="25">
        <v>234</v>
      </c>
      <c r="K3505" s="26">
        <v>41.19</v>
      </c>
      <c r="L3505" s="26">
        <v>1.95</v>
      </c>
    </row>
    <row r="3506" spans="1:12" ht="16" customHeight="1">
      <c r="A3506" t="s">
        <v>466</v>
      </c>
      <c r="B3506" t="s">
        <v>4</v>
      </c>
      <c r="C3506" t="s">
        <v>56</v>
      </c>
      <c r="D3506" s="24">
        <v>46174</v>
      </c>
      <c r="E3506" t="s">
        <v>234</v>
      </c>
      <c r="F3506" t="s">
        <v>4</v>
      </c>
      <c r="G3506" t="s">
        <v>217</v>
      </c>
      <c r="H3506" t="s">
        <v>217</v>
      </c>
      <c r="I3506" t="s">
        <v>332</v>
      </c>
      <c r="J3506" s="25">
        <v>0</v>
      </c>
      <c r="K3506" s="26">
        <v>0</v>
      </c>
      <c r="L3506" s="26">
        <v>0</v>
      </c>
    </row>
    <row r="3507" spans="1:12" ht="16" customHeight="1">
      <c r="A3507" t="s">
        <v>466</v>
      </c>
      <c r="B3507" t="s">
        <v>4</v>
      </c>
      <c r="C3507" t="s">
        <v>56</v>
      </c>
      <c r="D3507" s="24">
        <v>46174</v>
      </c>
      <c r="E3507" t="s">
        <v>236</v>
      </c>
      <c r="F3507" t="s">
        <v>4</v>
      </c>
      <c r="G3507" t="s">
        <v>217</v>
      </c>
      <c r="H3507" t="s">
        <v>217</v>
      </c>
      <c r="I3507" t="s">
        <v>333</v>
      </c>
      <c r="J3507" s="25">
        <v>22</v>
      </c>
      <c r="K3507" s="26">
        <v>3.87</v>
      </c>
      <c r="L3507" s="26">
        <v>0.23</v>
      </c>
    </row>
    <row r="3508" spans="1:12" ht="16" customHeight="1">
      <c r="A3508" t="s">
        <v>466</v>
      </c>
      <c r="B3508" t="s">
        <v>4</v>
      </c>
      <c r="C3508" t="s">
        <v>56</v>
      </c>
      <c r="D3508" s="24">
        <v>46174</v>
      </c>
      <c r="E3508" t="s">
        <v>238</v>
      </c>
      <c r="F3508" t="s">
        <v>4</v>
      </c>
      <c r="G3508" t="s">
        <v>217</v>
      </c>
      <c r="H3508" t="s">
        <v>217</v>
      </c>
      <c r="I3508" t="s">
        <v>334</v>
      </c>
      <c r="J3508" s="25">
        <v>0</v>
      </c>
      <c r="K3508" s="26">
        <v>0</v>
      </c>
      <c r="L3508" s="26">
        <v>0</v>
      </c>
    </row>
    <row r="3509" spans="1:12" ht="16" customHeight="1">
      <c r="A3509" t="s">
        <v>466</v>
      </c>
      <c r="B3509" t="s">
        <v>4</v>
      </c>
      <c r="C3509" t="s">
        <v>56</v>
      </c>
      <c r="D3509" s="24">
        <v>46174</v>
      </c>
      <c r="E3509" t="s">
        <v>240</v>
      </c>
      <c r="F3509" t="s">
        <v>3</v>
      </c>
      <c r="G3509" t="s">
        <v>241</v>
      </c>
      <c r="H3509" t="s">
        <v>241</v>
      </c>
      <c r="I3509" t="s">
        <v>335</v>
      </c>
      <c r="J3509" s="25">
        <v>0</v>
      </c>
      <c r="K3509" s="26">
        <v>0</v>
      </c>
      <c r="L3509" s="26">
        <v>0</v>
      </c>
    </row>
    <row r="3510" spans="1:12" ht="16" customHeight="1">
      <c r="A3510" t="s">
        <v>466</v>
      </c>
      <c r="B3510" t="s">
        <v>4</v>
      </c>
      <c r="C3510" t="s">
        <v>56</v>
      </c>
      <c r="D3510" s="24">
        <v>46174</v>
      </c>
      <c r="E3510" t="s">
        <v>243</v>
      </c>
      <c r="F3510" t="s">
        <v>4</v>
      </c>
      <c r="G3510" t="s">
        <v>217</v>
      </c>
      <c r="H3510" t="s">
        <v>217</v>
      </c>
      <c r="I3510" t="s">
        <v>336</v>
      </c>
      <c r="J3510" s="25">
        <v>0</v>
      </c>
      <c r="K3510" s="26">
        <v>0</v>
      </c>
      <c r="L3510" s="26">
        <v>0</v>
      </c>
    </row>
    <row r="3511" spans="1:12" ht="16" customHeight="1">
      <c r="A3511" t="s">
        <v>466</v>
      </c>
      <c r="B3511" t="s">
        <v>4</v>
      </c>
      <c r="C3511" t="s">
        <v>56</v>
      </c>
      <c r="D3511" s="24">
        <v>46174</v>
      </c>
      <c r="E3511" t="s">
        <v>360</v>
      </c>
      <c r="F3511" t="s">
        <v>4</v>
      </c>
      <c r="G3511" t="s">
        <v>217</v>
      </c>
      <c r="H3511" t="s">
        <v>217</v>
      </c>
      <c r="I3511" t="s">
        <v>337</v>
      </c>
      <c r="J3511" s="25">
        <v>0</v>
      </c>
      <c r="K3511" s="26">
        <v>0</v>
      </c>
      <c r="L3511" s="26">
        <v>0</v>
      </c>
    </row>
    <row r="3512" spans="1:12" ht="16" customHeight="1">
      <c r="A3512" t="s">
        <v>489</v>
      </c>
      <c r="B3512" t="s">
        <v>5</v>
      </c>
      <c r="C3512" t="s">
        <v>56</v>
      </c>
      <c r="D3512" s="24">
        <v>46174</v>
      </c>
      <c r="E3512" t="s">
        <v>471</v>
      </c>
      <c r="F3512" t="s">
        <v>4</v>
      </c>
      <c r="G3512" t="s">
        <v>211</v>
      </c>
      <c r="H3512" t="s">
        <v>211</v>
      </c>
      <c r="I3512" t="s">
        <v>212</v>
      </c>
      <c r="J3512" s="25">
        <v>35379131</v>
      </c>
      <c r="K3512" s="26">
        <v>5548067.04</v>
      </c>
      <c r="L3512" s="26">
        <v>22236.2</v>
      </c>
    </row>
    <row r="3513" spans="1:12" ht="16" customHeight="1">
      <c r="A3513" t="s">
        <v>489</v>
      </c>
      <c r="B3513" t="s">
        <v>5</v>
      </c>
      <c r="C3513" t="s">
        <v>56</v>
      </c>
      <c r="D3513" s="24">
        <v>46174</v>
      </c>
      <c r="E3513" t="s">
        <v>226</v>
      </c>
      <c r="F3513" t="s">
        <v>4</v>
      </c>
      <c r="G3513" t="s">
        <v>217</v>
      </c>
      <c r="H3513" t="s">
        <v>217</v>
      </c>
      <c r="I3513" t="s">
        <v>212</v>
      </c>
      <c r="J3513" s="25">
        <v>1913823</v>
      </c>
      <c r="K3513" s="26">
        <v>299660.73</v>
      </c>
      <c r="L3513" s="26">
        <v>1577.6</v>
      </c>
    </row>
    <row r="3514" spans="1:12" ht="16" customHeight="1">
      <c r="A3514" t="s">
        <v>489</v>
      </c>
      <c r="B3514" t="s">
        <v>5</v>
      </c>
      <c r="C3514" t="s">
        <v>56</v>
      </c>
      <c r="D3514" s="24">
        <v>46174</v>
      </c>
      <c r="E3514" t="s">
        <v>480</v>
      </c>
      <c r="F3514" t="s">
        <v>4</v>
      </c>
      <c r="G3514" t="s">
        <v>211</v>
      </c>
      <c r="H3514" t="s">
        <v>211</v>
      </c>
      <c r="I3514" t="s">
        <v>219</v>
      </c>
      <c r="J3514" s="25">
        <v>82453</v>
      </c>
      <c r="K3514" s="26">
        <v>12927.8</v>
      </c>
      <c r="L3514" s="26">
        <v>73.790000000000006</v>
      </c>
    </row>
    <row r="3515" spans="1:12" ht="16" customHeight="1">
      <c r="A3515" t="s">
        <v>489</v>
      </c>
      <c r="B3515" t="s">
        <v>5</v>
      </c>
      <c r="C3515" t="s">
        <v>56</v>
      </c>
      <c r="D3515" s="24">
        <v>46174</v>
      </c>
      <c r="E3515" t="s">
        <v>485</v>
      </c>
      <c r="F3515" t="s">
        <v>4</v>
      </c>
      <c r="G3515" t="s">
        <v>211</v>
      </c>
      <c r="H3515" t="s">
        <v>211</v>
      </c>
      <c r="I3515" t="s">
        <v>219</v>
      </c>
      <c r="J3515" s="25">
        <v>13227</v>
      </c>
      <c r="K3515" s="26">
        <v>2073.63</v>
      </c>
      <c r="L3515" s="26">
        <v>13.12</v>
      </c>
    </row>
    <row r="3516" spans="1:12" ht="16" customHeight="1">
      <c r="A3516" t="s">
        <v>489</v>
      </c>
      <c r="B3516" t="s">
        <v>5</v>
      </c>
      <c r="C3516" t="s">
        <v>56</v>
      </c>
      <c r="D3516" s="24">
        <v>46174</v>
      </c>
      <c r="E3516" t="s">
        <v>490</v>
      </c>
      <c r="F3516" t="s">
        <v>4</v>
      </c>
      <c r="G3516" t="s">
        <v>211</v>
      </c>
      <c r="H3516" t="s">
        <v>211</v>
      </c>
      <c r="I3516" t="s">
        <v>219</v>
      </c>
      <c r="J3516" s="25">
        <v>609</v>
      </c>
      <c r="K3516" s="26">
        <v>95.91</v>
      </c>
      <c r="L3516" s="26">
        <v>0.67</v>
      </c>
    </row>
    <row r="3517" spans="1:12" ht="16" customHeight="1">
      <c r="A3517" t="s">
        <v>489</v>
      </c>
      <c r="B3517" t="s">
        <v>5</v>
      </c>
      <c r="C3517" t="s">
        <v>56</v>
      </c>
      <c r="D3517" s="24">
        <v>46174</v>
      </c>
      <c r="E3517" t="s">
        <v>457</v>
      </c>
      <c r="F3517" t="s">
        <v>4</v>
      </c>
      <c r="G3517" t="s">
        <v>217</v>
      </c>
      <c r="H3517" t="s">
        <v>217</v>
      </c>
      <c r="I3517" t="s">
        <v>219</v>
      </c>
      <c r="J3517" s="25">
        <v>370685</v>
      </c>
      <c r="K3517" s="26">
        <v>57275.040000000001</v>
      </c>
      <c r="L3517" s="26">
        <v>437.87</v>
      </c>
    </row>
    <row r="3518" spans="1:12" ht="16" customHeight="1">
      <c r="A3518" t="s">
        <v>489</v>
      </c>
      <c r="B3518" t="s">
        <v>5</v>
      </c>
      <c r="C3518" t="s">
        <v>56</v>
      </c>
      <c r="D3518" s="24">
        <v>46174</v>
      </c>
      <c r="E3518" t="s">
        <v>476</v>
      </c>
      <c r="F3518" t="s">
        <v>4</v>
      </c>
      <c r="G3518" t="s">
        <v>217</v>
      </c>
      <c r="H3518" t="s">
        <v>217</v>
      </c>
      <c r="I3518" t="s">
        <v>221</v>
      </c>
      <c r="J3518" s="25">
        <v>42596</v>
      </c>
      <c r="K3518" s="26">
        <v>6696.27</v>
      </c>
      <c r="L3518" s="26">
        <v>75.900000000000006</v>
      </c>
    </row>
    <row r="3519" spans="1:12" ht="16" customHeight="1">
      <c r="A3519" t="s">
        <v>489</v>
      </c>
      <c r="B3519" t="s">
        <v>5</v>
      </c>
      <c r="C3519" t="s">
        <v>56</v>
      </c>
      <c r="D3519" s="24">
        <v>46174</v>
      </c>
      <c r="E3519" t="s">
        <v>269</v>
      </c>
      <c r="F3519" t="s">
        <v>4</v>
      </c>
      <c r="G3519" t="s">
        <v>217</v>
      </c>
      <c r="H3519" t="s">
        <v>217</v>
      </c>
      <c r="I3519" t="s">
        <v>223</v>
      </c>
      <c r="J3519" s="25">
        <v>30058</v>
      </c>
      <c r="K3519" s="26">
        <v>4746.97</v>
      </c>
      <c r="L3519" s="26">
        <v>76.84</v>
      </c>
    </row>
    <row r="3520" spans="1:12" ht="16" customHeight="1">
      <c r="A3520" t="s">
        <v>489</v>
      </c>
      <c r="B3520" t="s">
        <v>5</v>
      </c>
      <c r="C3520" t="s">
        <v>56</v>
      </c>
      <c r="D3520" s="24">
        <v>46174</v>
      </c>
      <c r="E3520" t="s">
        <v>228</v>
      </c>
      <c r="F3520" t="s">
        <v>4</v>
      </c>
      <c r="G3520" t="s">
        <v>217</v>
      </c>
      <c r="H3520" t="s">
        <v>217</v>
      </c>
      <c r="I3520" t="s">
        <v>225</v>
      </c>
      <c r="J3520" s="25">
        <v>58962</v>
      </c>
      <c r="K3520" s="26">
        <v>9484.07</v>
      </c>
      <c r="L3520" s="26">
        <v>204.64</v>
      </c>
    </row>
    <row r="3521" spans="1:12" ht="16" customHeight="1">
      <c r="A3521" t="s">
        <v>489</v>
      </c>
      <c r="B3521" t="s">
        <v>5</v>
      </c>
      <c r="C3521" t="s">
        <v>56</v>
      </c>
      <c r="D3521" s="24">
        <v>46174</v>
      </c>
      <c r="E3521" t="s">
        <v>439</v>
      </c>
      <c r="F3521" t="s">
        <v>4</v>
      </c>
      <c r="G3521" t="s">
        <v>217</v>
      </c>
      <c r="H3521" t="s">
        <v>217</v>
      </c>
      <c r="I3521" t="s">
        <v>227</v>
      </c>
      <c r="J3521" s="25">
        <v>250</v>
      </c>
      <c r="K3521" s="26">
        <v>44.96</v>
      </c>
      <c r="L3521" s="26">
        <v>0.36</v>
      </c>
    </row>
    <row r="3522" spans="1:12" ht="16" customHeight="1">
      <c r="A3522" t="s">
        <v>489</v>
      </c>
      <c r="B3522" t="s">
        <v>5</v>
      </c>
      <c r="C3522" t="s">
        <v>56</v>
      </c>
      <c r="D3522" s="24">
        <v>46174</v>
      </c>
      <c r="E3522" t="s">
        <v>230</v>
      </c>
      <c r="F3522" t="s">
        <v>4</v>
      </c>
      <c r="G3522" t="s">
        <v>217</v>
      </c>
      <c r="H3522" t="s">
        <v>217</v>
      </c>
      <c r="I3522" t="s">
        <v>330</v>
      </c>
      <c r="J3522" s="25">
        <v>2</v>
      </c>
      <c r="K3522" s="26">
        <v>0.28000000000000003</v>
      </c>
      <c r="L3522" s="26">
        <v>0</v>
      </c>
    </row>
    <row r="3523" spans="1:12" ht="16" customHeight="1">
      <c r="A3523" t="s">
        <v>489</v>
      </c>
      <c r="B3523" t="s">
        <v>5</v>
      </c>
      <c r="C3523" t="s">
        <v>56</v>
      </c>
      <c r="D3523" s="24">
        <v>46174</v>
      </c>
      <c r="E3523" t="s">
        <v>232</v>
      </c>
      <c r="F3523" t="s">
        <v>4</v>
      </c>
      <c r="G3523" t="s">
        <v>217</v>
      </c>
      <c r="H3523" t="s">
        <v>217</v>
      </c>
      <c r="I3523" t="s">
        <v>331</v>
      </c>
      <c r="J3523" s="25">
        <v>323</v>
      </c>
      <c r="K3523" s="26">
        <v>54.15</v>
      </c>
      <c r="L3523" s="26">
        <v>2.2400000000000002</v>
      </c>
    </row>
    <row r="3524" spans="1:12" ht="16" customHeight="1">
      <c r="A3524" t="s">
        <v>489</v>
      </c>
      <c r="B3524" t="s">
        <v>5</v>
      </c>
      <c r="C3524" t="s">
        <v>56</v>
      </c>
      <c r="D3524" s="24">
        <v>46174</v>
      </c>
      <c r="E3524" t="s">
        <v>234</v>
      </c>
      <c r="F3524" t="s">
        <v>4</v>
      </c>
      <c r="G3524" t="s">
        <v>217</v>
      </c>
      <c r="H3524" t="s">
        <v>217</v>
      </c>
      <c r="I3524" t="s">
        <v>332</v>
      </c>
      <c r="J3524" s="25">
        <v>0</v>
      </c>
      <c r="K3524" s="26">
        <v>0</v>
      </c>
      <c r="L3524" s="26">
        <v>0</v>
      </c>
    </row>
    <row r="3525" spans="1:12" ht="16" customHeight="1">
      <c r="A3525" t="s">
        <v>489</v>
      </c>
      <c r="B3525" t="s">
        <v>5</v>
      </c>
      <c r="C3525" t="s">
        <v>56</v>
      </c>
      <c r="D3525" s="24">
        <v>46174</v>
      </c>
      <c r="E3525" t="s">
        <v>236</v>
      </c>
      <c r="F3525" t="s">
        <v>4</v>
      </c>
      <c r="G3525" t="s">
        <v>217</v>
      </c>
      <c r="H3525" t="s">
        <v>217</v>
      </c>
      <c r="I3525" t="s">
        <v>333</v>
      </c>
      <c r="J3525" s="25">
        <v>8</v>
      </c>
      <c r="K3525" s="26">
        <v>1.38</v>
      </c>
      <c r="L3525" s="26">
        <v>0.09</v>
      </c>
    </row>
    <row r="3526" spans="1:12" ht="16" customHeight="1">
      <c r="A3526" t="s">
        <v>489</v>
      </c>
      <c r="B3526" t="s">
        <v>5</v>
      </c>
      <c r="C3526" t="s">
        <v>56</v>
      </c>
      <c r="D3526" s="24">
        <v>46174</v>
      </c>
      <c r="E3526" t="s">
        <v>238</v>
      </c>
      <c r="F3526" t="s">
        <v>4</v>
      </c>
      <c r="G3526" t="s">
        <v>217</v>
      </c>
      <c r="H3526" t="s">
        <v>217</v>
      </c>
      <c r="I3526" t="s">
        <v>334</v>
      </c>
      <c r="J3526" s="25">
        <v>0</v>
      </c>
      <c r="K3526" s="26">
        <v>0</v>
      </c>
      <c r="L3526" s="26">
        <v>0</v>
      </c>
    </row>
    <row r="3527" spans="1:12" ht="16" customHeight="1">
      <c r="A3527" t="s">
        <v>489</v>
      </c>
      <c r="B3527" t="s">
        <v>5</v>
      </c>
      <c r="C3527" t="s">
        <v>56</v>
      </c>
      <c r="D3527" s="24">
        <v>46174</v>
      </c>
      <c r="E3527" t="s">
        <v>240</v>
      </c>
      <c r="F3527" t="s">
        <v>3</v>
      </c>
      <c r="G3527" t="s">
        <v>241</v>
      </c>
      <c r="H3527" t="s">
        <v>241</v>
      </c>
      <c r="I3527" t="s">
        <v>335</v>
      </c>
      <c r="J3527" s="25">
        <v>0</v>
      </c>
      <c r="K3527" s="26">
        <v>0</v>
      </c>
      <c r="L3527" s="26">
        <v>0</v>
      </c>
    </row>
    <row r="3528" spans="1:12" ht="16" customHeight="1">
      <c r="A3528" t="s">
        <v>489</v>
      </c>
      <c r="B3528" t="s">
        <v>5</v>
      </c>
      <c r="C3528" t="s">
        <v>56</v>
      </c>
      <c r="D3528" s="24">
        <v>46174</v>
      </c>
      <c r="E3528" t="s">
        <v>243</v>
      </c>
      <c r="F3528" t="s">
        <v>4</v>
      </c>
      <c r="G3528" t="s">
        <v>217</v>
      </c>
      <c r="H3528" t="s">
        <v>217</v>
      </c>
      <c r="I3528" t="s">
        <v>336</v>
      </c>
      <c r="J3528" s="25">
        <v>0</v>
      </c>
      <c r="K3528" s="26">
        <v>0</v>
      </c>
      <c r="L3528" s="26">
        <v>0</v>
      </c>
    </row>
    <row r="3529" spans="1:12" ht="16" customHeight="1">
      <c r="A3529" t="s">
        <v>489</v>
      </c>
      <c r="B3529" t="s">
        <v>5</v>
      </c>
      <c r="C3529" t="s">
        <v>56</v>
      </c>
      <c r="D3529" s="24">
        <v>46174</v>
      </c>
      <c r="E3529" t="s">
        <v>360</v>
      </c>
      <c r="F3529" t="s">
        <v>4</v>
      </c>
      <c r="G3529" t="s">
        <v>217</v>
      </c>
      <c r="H3529" t="s">
        <v>217</v>
      </c>
      <c r="I3529" t="s">
        <v>337</v>
      </c>
      <c r="J3529" s="25">
        <v>0</v>
      </c>
      <c r="K3529" s="26">
        <v>0</v>
      </c>
      <c r="L3529" s="26">
        <v>0</v>
      </c>
    </row>
    <row r="3530" spans="1:12" ht="16" customHeight="1">
      <c r="A3530" t="s">
        <v>491</v>
      </c>
      <c r="B3530" t="s">
        <v>6</v>
      </c>
      <c r="C3530" t="s">
        <v>56</v>
      </c>
      <c r="D3530" s="24">
        <v>46174</v>
      </c>
      <c r="E3530" t="s">
        <v>471</v>
      </c>
      <c r="F3530" t="s">
        <v>4</v>
      </c>
      <c r="G3530" t="s">
        <v>211</v>
      </c>
      <c r="H3530" t="s">
        <v>211</v>
      </c>
      <c r="I3530" t="s">
        <v>212</v>
      </c>
      <c r="J3530" s="25">
        <v>42409489</v>
      </c>
      <c r="K3530" s="26">
        <v>6649358.29</v>
      </c>
      <c r="L3530" s="26">
        <v>19621.87</v>
      </c>
    </row>
    <row r="3531" spans="1:12" ht="16" customHeight="1">
      <c r="A3531" t="s">
        <v>491</v>
      </c>
      <c r="B3531" t="s">
        <v>6</v>
      </c>
      <c r="C3531" t="s">
        <v>56</v>
      </c>
      <c r="D3531" s="24">
        <v>46174</v>
      </c>
      <c r="E3531" t="s">
        <v>226</v>
      </c>
      <c r="F3531" t="s">
        <v>4</v>
      </c>
      <c r="G3531" t="s">
        <v>217</v>
      </c>
      <c r="H3531" t="s">
        <v>217</v>
      </c>
      <c r="I3531" t="s">
        <v>212</v>
      </c>
      <c r="J3531" s="25">
        <v>2982978</v>
      </c>
      <c r="K3531" s="26">
        <v>467077.67</v>
      </c>
      <c r="L3531" s="26">
        <v>2086.09</v>
      </c>
    </row>
    <row r="3532" spans="1:12" ht="16" customHeight="1">
      <c r="A3532" t="s">
        <v>491</v>
      </c>
      <c r="B3532" t="s">
        <v>6</v>
      </c>
      <c r="C3532" t="s">
        <v>56</v>
      </c>
      <c r="D3532" s="24">
        <v>46174</v>
      </c>
      <c r="E3532" t="s">
        <v>480</v>
      </c>
      <c r="F3532" t="s">
        <v>4</v>
      </c>
      <c r="G3532" t="s">
        <v>211</v>
      </c>
      <c r="H3532" t="s">
        <v>211</v>
      </c>
      <c r="I3532" t="s">
        <v>219</v>
      </c>
      <c r="J3532" s="25">
        <v>150426</v>
      </c>
      <c r="K3532" s="26">
        <v>23626.51</v>
      </c>
      <c r="L3532" s="26">
        <v>126.56</v>
      </c>
    </row>
    <row r="3533" spans="1:12" ht="16" customHeight="1">
      <c r="A3533" t="s">
        <v>491</v>
      </c>
      <c r="B3533" t="s">
        <v>6</v>
      </c>
      <c r="C3533" t="s">
        <v>56</v>
      </c>
      <c r="D3533" s="24">
        <v>46174</v>
      </c>
      <c r="E3533" t="s">
        <v>485</v>
      </c>
      <c r="F3533" t="s">
        <v>4</v>
      </c>
      <c r="G3533" t="s">
        <v>211</v>
      </c>
      <c r="H3533" t="s">
        <v>211</v>
      </c>
      <c r="I3533" t="s">
        <v>219</v>
      </c>
      <c r="J3533" s="25">
        <v>18268</v>
      </c>
      <c r="K3533" s="26">
        <v>2864.51</v>
      </c>
      <c r="L3533" s="26">
        <v>18.559999999999999</v>
      </c>
    </row>
    <row r="3534" spans="1:12" ht="16" customHeight="1">
      <c r="A3534" t="s">
        <v>491</v>
      </c>
      <c r="B3534" t="s">
        <v>6</v>
      </c>
      <c r="C3534" t="s">
        <v>56</v>
      </c>
      <c r="D3534" s="24">
        <v>46174</v>
      </c>
      <c r="E3534" t="s">
        <v>490</v>
      </c>
      <c r="F3534" t="s">
        <v>4</v>
      </c>
      <c r="G3534" t="s">
        <v>211</v>
      </c>
      <c r="H3534" t="s">
        <v>211</v>
      </c>
      <c r="I3534" t="s">
        <v>219</v>
      </c>
      <c r="J3534" s="25">
        <v>1620</v>
      </c>
      <c r="K3534" s="26">
        <v>254.92</v>
      </c>
      <c r="L3534" s="26">
        <v>2.04</v>
      </c>
    </row>
    <row r="3535" spans="1:12" ht="16" customHeight="1">
      <c r="A3535" t="s">
        <v>491</v>
      </c>
      <c r="B3535" t="s">
        <v>6</v>
      </c>
      <c r="C3535" t="s">
        <v>56</v>
      </c>
      <c r="D3535" s="24">
        <v>46174</v>
      </c>
      <c r="E3535" t="s">
        <v>457</v>
      </c>
      <c r="F3535" t="s">
        <v>4</v>
      </c>
      <c r="G3535" t="s">
        <v>217</v>
      </c>
      <c r="H3535" t="s">
        <v>217</v>
      </c>
      <c r="I3535" t="s">
        <v>219</v>
      </c>
      <c r="J3535" s="25">
        <v>450563</v>
      </c>
      <c r="K3535" s="26">
        <v>70598.679999999993</v>
      </c>
      <c r="L3535" s="26">
        <v>569.77</v>
      </c>
    </row>
    <row r="3536" spans="1:12" ht="16" customHeight="1">
      <c r="A3536" t="s">
        <v>491</v>
      </c>
      <c r="B3536" t="s">
        <v>6</v>
      </c>
      <c r="C3536" t="s">
        <v>56</v>
      </c>
      <c r="D3536" s="24">
        <v>46174</v>
      </c>
      <c r="E3536" t="s">
        <v>476</v>
      </c>
      <c r="F3536" t="s">
        <v>4</v>
      </c>
      <c r="G3536" t="s">
        <v>217</v>
      </c>
      <c r="H3536" t="s">
        <v>217</v>
      </c>
      <c r="I3536" t="s">
        <v>221</v>
      </c>
      <c r="J3536" s="25">
        <v>66224</v>
      </c>
      <c r="K3536" s="26">
        <v>10251.17</v>
      </c>
      <c r="L3536" s="26">
        <v>107.27</v>
      </c>
    </row>
    <row r="3537" spans="1:12" ht="16" customHeight="1">
      <c r="A3537" t="s">
        <v>491</v>
      </c>
      <c r="B3537" t="s">
        <v>6</v>
      </c>
      <c r="C3537" t="s">
        <v>56</v>
      </c>
      <c r="D3537" s="24">
        <v>46174</v>
      </c>
      <c r="E3537" t="s">
        <v>269</v>
      </c>
      <c r="F3537" t="s">
        <v>4</v>
      </c>
      <c r="G3537" t="s">
        <v>217</v>
      </c>
      <c r="H3537" t="s">
        <v>217</v>
      </c>
      <c r="I3537" t="s">
        <v>223</v>
      </c>
      <c r="J3537" s="25">
        <v>35203</v>
      </c>
      <c r="K3537" s="26">
        <v>5625.82</v>
      </c>
      <c r="L3537" s="26">
        <v>99.85</v>
      </c>
    </row>
    <row r="3538" spans="1:12" ht="16" customHeight="1">
      <c r="A3538" t="s">
        <v>491</v>
      </c>
      <c r="B3538" t="s">
        <v>6</v>
      </c>
      <c r="C3538" t="s">
        <v>56</v>
      </c>
      <c r="D3538" s="24">
        <v>46174</v>
      </c>
      <c r="E3538" t="s">
        <v>228</v>
      </c>
      <c r="F3538" t="s">
        <v>4</v>
      </c>
      <c r="G3538" t="s">
        <v>217</v>
      </c>
      <c r="H3538" t="s">
        <v>217</v>
      </c>
      <c r="I3538" t="s">
        <v>225</v>
      </c>
      <c r="J3538" s="25">
        <v>59942</v>
      </c>
      <c r="K3538" s="26">
        <v>9277.68</v>
      </c>
      <c r="L3538" s="26">
        <v>181.93</v>
      </c>
    </row>
    <row r="3539" spans="1:12" ht="16" customHeight="1">
      <c r="A3539" t="s">
        <v>491</v>
      </c>
      <c r="B3539" t="s">
        <v>6</v>
      </c>
      <c r="C3539" t="s">
        <v>56</v>
      </c>
      <c r="D3539" s="24">
        <v>46174</v>
      </c>
      <c r="E3539" t="s">
        <v>439</v>
      </c>
      <c r="F3539" t="s">
        <v>4</v>
      </c>
      <c r="G3539" t="s">
        <v>217</v>
      </c>
      <c r="H3539" t="s">
        <v>217</v>
      </c>
      <c r="I3539" t="s">
        <v>227</v>
      </c>
      <c r="J3539" s="25">
        <v>219</v>
      </c>
      <c r="K3539" s="26">
        <v>36.25</v>
      </c>
      <c r="L3539" s="26">
        <v>0.42</v>
      </c>
    </row>
    <row r="3540" spans="1:12" ht="16" customHeight="1">
      <c r="A3540" t="s">
        <v>491</v>
      </c>
      <c r="B3540" t="s">
        <v>6</v>
      </c>
      <c r="C3540" t="s">
        <v>56</v>
      </c>
      <c r="D3540" s="24">
        <v>46174</v>
      </c>
      <c r="E3540" t="s">
        <v>230</v>
      </c>
      <c r="F3540" t="s">
        <v>4</v>
      </c>
      <c r="G3540" t="s">
        <v>217</v>
      </c>
      <c r="H3540" t="s">
        <v>217</v>
      </c>
      <c r="I3540" t="s">
        <v>330</v>
      </c>
      <c r="J3540" s="25">
        <v>45</v>
      </c>
      <c r="K3540" s="26">
        <v>6.21</v>
      </c>
      <c r="L3540" s="26">
        <v>7.0000000000000007E-2</v>
      </c>
    </row>
    <row r="3541" spans="1:12" ht="16" customHeight="1">
      <c r="A3541" t="s">
        <v>491</v>
      </c>
      <c r="B3541" t="s">
        <v>6</v>
      </c>
      <c r="C3541" t="s">
        <v>56</v>
      </c>
      <c r="D3541" s="24">
        <v>46174</v>
      </c>
      <c r="E3541" t="s">
        <v>232</v>
      </c>
      <c r="F3541" t="s">
        <v>4</v>
      </c>
      <c r="G3541" t="s">
        <v>217</v>
      </c>
      <c r="H3541" t="s">
        <v>217</v>
      </c>
      <c r="I3541" t="s">
        <v>331</v>
      </c>
      <c r="J3541" s="25">
        <v>376</v>
      </c>
      <c r="K3541" s="26">
        <v>61.3</v>
      </c>
      <c r="L3541" s="26">
        <v>2.4</v>
      </c>
    </row>
    <row r="3542" spans="1:12" ht="16" customHeight="1">
      <c r="A3542" t="s">
        <v>491</v>
      </c>
      <c r="B3542" t="s">
        <v>6</v>
      </c>
      <c r="C3542" t="s">
        <v>56</v>
      </c>
      <c r="D3542" s="24">
        <v>46174</v>
      </c>
      <c r="E3542" t="s">
        <v>234</v>
      </c>
      <c r="F3542" t="s">
        <v>4</v>
      </c>
      <c r="G3542" t="s">
        <v>217</v>
      </c>
      <c r="H3542" t="s">
        <v>217</v>
      </c>
      <c r="I3542" t="s">
        <v>332</v>
      </c>
      <c r="J3542" s="25">
        <v>0</v>
      </c>
      <c r="K3542" s="26">
        <v>0</v>
      </c>
      <c r="L3542" s="26">
        <v>0</v>
      </c>
    </row>
    <row r="3543" spans="1:12" ht="16" customHeight="1">
      <c r="A3543" t="s">
        <v>491</v>
      </c>
      <c r="B3543" t="s">
        <v>6</v>
      </c>
      <c r="C3543" t="s">
        <v>56</v>
      </c>
      <c r="D3543" s="24">
        <v>46174</v>
      </c>
      <c r="E3543" t="s">
        <v>236</v>
      </c>
      <c r="F3543" t="s">
        <v>4</v>
      </c>
      <c r="G3543" t="s">
        <v>217</v>
      </c>
      <c r="H3543" t="s">
        <v>217</v>
      </c>
      <c r="I3543" t="s">
        <v>333</v>
      </c>
      <c r="J3543" s="25">
        <v>2</v>
      </c>
      <c r="K3543" s="26">
        <v>0.38</v>
      </c>
      <c r="L3543" s="26">
        <v>0.03</v>
      </c>
    </row>
    <row r="3544" spans="1:12" ht="16" customHeight="1">
      <c r="A3544" t="s">
        <v>491</v>
      </c>
      <c r="B3544" t="s">
        <v>6</v>
      </c>
      <c r="C3544" t="s">
        <v>56</v>
      </c>
      <c r="D3544" s="24">
        <v>46174</v>
      </c>
      <c r="E3544" t="s">
        <v>238</v>
      </c>
      <c r="F3544" t="s">
        <v>4</v>
      </c>
      <c r="G3544" t="s">
        <v>217</v>
      </c>
      <c r="H3544" t="s">
        <v>217</v>
      </c>
      <c r="I3544" t="s">
        <v>334</v>
      </c>
      <c r="J3544" s="25">
        <v>0</v>
      </c>
      <c r="K3544" s="26">
        <v>0</v>
      </c>
      <c r="L3544" s="26">
        <v>0</v>
      </c>
    </row>
    <row r="3545" spans="1:12" ht="16" customHeight="1">
      <c r="A3545" t="s">
        <v>491</v>
      </c>
      <c r="B3545" t="s">
        <v>6</v>
      </c>
      <c r="C3545" t="s">
        <v>56</v>
      </c>
      <c r="D3545" s="24">
        <v>46174</v>
      </c>
      <c r="E3545" t="s">
        <v>240</v>
      </c>
      <c r="F3545" t="s">
        <v>3</v>
      </c>
      <c r="G3545" t="s">
        <v>241</v>
      </c>
      <c r="H3545" t="s">
        <v>241</v>
      </c>
      <c r="I3545" t="s">
        <v>335</v>
      </c>
      <c r="J3545" s="25">
        <v>0</v>
      </c>
      <c r="K3545" s="26">
        <v>0</v>
      </c>
      <c r="L3545" s="26">
        <v>0</v>
      </c>
    </row>
    <row r="3546" spans="1:12" ht="16" customHeight="1">
      <c r="A3546" t="s">
        <v>491</v>
      </c>
      <c r="B3546" t="s">
        <v>6</v>
      </c>
      <c r="C3546" t="s">
        <v>56</v>
      </c>
      <c r="D3546" s="24">
        <v>46174</v>
      </c>
      <c r="E3546" t="s">
        <v>243</v>
      </c>
      <c r="F3546" t="s">
        <v>4</v>
      </c>
      <c r="G3546" t="s">
        <v>217</v>
      </c>
      <c r="H3546" t="s">
        <v>217</v>
      </c>
      <c r="I3546" t="s">
        <v>336</v>
      </c>
      <c r="J3546" s="25">
        <v>0</v>
      </c>
      <c r="K3546" s="26">
        <v>0</v>
      </c>
      <c r="L3546" s="26">
        <v>0</v>
      </c>
    </row>
    <row r="3547" spans="1:12" ht="16" customHeight="1">
      <c r="A3547" t="s">
        <v>491</v>
      </c>
      <c r="B3547" t="s">
        <v>6</v>
      </c>
      <c r="C3547" t="s">
        <v>56</v>
      </c>
      <c r="D3547" s="24">
        <v>46174</v>
      </c>
      <c r="E3547" t="s">
        <v>360</v>
      </c>
      <c r="F3547" t="s">
        <v>4</v>
      </c>
      <c r="G3547" t="s">
        <v>217</v>
      </c>
      <c r="H3547" t="s">
        <v>217</v>
      </c>
      <c r="I3547" t="s">
        <v>337</v>
      </c>
      <c r="J3547" s="25">
        <v>0</v>
      </c>
      <c r="K3547" s="26">
        <v>0</v>
      </c>
      <c r="L3547" s="26">
        <v>0</v>
      </c>
    </row>
    <row r="3548" spans="1:12" ht="16" customHeight="1">
      <c r="A3548" t="s">
        <v>492</v>
      </c>
      <c r="B3548" t="s">
        <v>7</v>
      </c>
      <c r="C3548" t="s">
        <v>56</v>
      </c>
      <c r="D3548" s="24">
        <v>46174</v>
      </c>
      <c r="E3548" t="s">
        <v>471</v>
      </c>
      <c r="F3548" t="s">
        <v>4</v>
      </c>
      <c r="G3548" t="s">
        <v>211</v>
      </c>
      <c r="H3548" t="s">
        <v>211</v>
      </c>
      <c r="I3548" t="s">
        <v>212</v>
      </c>
      <c r="J3548" s="25">
        <v>85482141</v>
      </c>
      <c r="K3548" s="26">
        <v>13380816.92</v>
      </c>
      <c r="L3548" s="26">
        <v>38638.639999999999</v>
      </c>
    </row>
    <row r="3549" spans="1:12" ht="16" customHeight="1">
      <c r="A3549" t="s">
        <v>492</v>
      </c>
      <c r="B3549" t="s">
        <v>7</v>
      </c>
      <c r="C3549" t="s">
        <v>56</v>
      </c>
      <c r="D3549" s="24">
        <v>46174</v>
      </c>
      <c r="E3549" t="s">
        <v>226</v>
      </c>
      <c r="F3549" t="s">
        <v>4</v>
      </c>
      <c r="G3549" t="s">
        <v>217</v>
      </c>
      <c r="H3549" t="s">
        <v>217</v>
      </c>
      <c r="I3549" t="s">
        <v>212</v>
      </c>
      <c r="J3549" s="25">
        <v>4206528</v>
      </c>
      <c r="K3549" s="26">
        <v>657773.38</v>
      </c>
      <c r="L3549" s="26">
        <v>3012.85</v>
      </c>
    </row>
    <row r="3550" spans="1:12" ht="16" customHeight="1">
      <c r="A3550" t="s">
        <v>492</v>
      </c>
      <c r="B3550" t="s">
        <v>7</v>
      </c>
      <c r="C3550" t="s">
        <v>56</v>
      </c>
      <c r="D3550" s="24">
        <v>46174</v>
      </c>
      <c r="E3550" t="s">
        <v>480</v>
      </c>
      <c r="F3550" t="s">
        <v>4</v>
      </c>
      <c r="G3550" t="s">
        <v>211</v>
      </c>
      <c r="H3550" t="s">
        <v>211</v>
      </c>
      <c r="I3550" t="s">
        <v>219</v>
      </c>
      <c r="J3550" s="25">
        <v>233863</v>
      </c>
      <c r="K3550" s="26">
        <v>36721.949999999997</v>
      </c>
      <c r="L3550" s="26">
        <v>210.03</v>
      </c>
    </row>
    <row r="3551" spans="1:12" ht="16" customHeight="1">
      <c r="A3551" t="s">
        <v>492</v>
      </c>
      <c r="B3551" t="s">
        <v>7</v>
      </c>
      <c r="C3551" t="s">
        <v>56</v>
      </c>
      <c r="D3551" s="24">
        <v>46174</v>
      </c>
      <c r="E3551" t="s">
        <v>485</v>
      </c>
      <c r="F3551" t="s">
        <v>4</v>
      </c>
      <c r="G3551" t="s">
        <v>211</v>
      </c>
      <c r="H3551" t="s">
        <v>211</v>
      </c>
      <c r="I3551" t="s">
        <v>219</v>
      </c>
      <c r="J3551" s="25">
        <v>28045</v>
      </c>
      <c r="K3551" s="26">
        <v>4416.2700000000004</v>
      </c>
      <c r="L3551" s="26">
        <v>28.71</v>
      </c>
    </row>
    <row r="3552" spans="1:12" ht="16" customHeight="1">
      <c r="A3552" t="s">
        <v>492</v>
      </c>
      <c r="B3552" t="s">
        <v>7</v>
      </c>
      <c r="C3552" t="s">
        <v>56</v>
      </c>
      <c r="D3552" s="24">
        <v>46174</v>
      </c>
      <c r="E3552" t="s">
        <v>490</v>
      </c>
      <c r="F3552" t="s">
        <v>4</v>
      </c>
      <c r="G3552" t="s">
        <v>211</v>
      </c>
      <c r="H3552" t="s">
        <v>211</v>
      </c>
      <c r="I3552" t="s">
        <v>219</v>
      </c>
      <c r="J3552" s="25">
        <v>3163</v>
      </c>
      <c r="K3552" s="26">
        <v>500.27</v>
      </c>
      <c r="L3552" s="26">
        <v>3.76</v>
      </c>
    </row>
    <row r="3553" spans="1:12" ht="16" customHeight="1">
      <c r="A3553" t="s">
        <v>492</v>
      </c>
      <c r="B3553" t="s">
        <v>7</v>
      </c>
      <c r="C3553" t="s">
        <v>56</v>
      </c>
      <c r="D3553" s="24">
        <v>46174</v>
      </c>
      <c r="E3553" t="s">
        <v>457</v>
      </c>
      <c r="F3553" t="s">
        <v>4</v>
      </c>
      <c r="G3553" t="s">
        <v>217</v>
      </c>
      <c r="H3553" t="s">
        <v>217</v>
      </c>
      <c r="I3553" t="s">
        <v>219</v>
      </c>
      <c r="J3553" s="25">
        <v>392374</v>
      </c>
      <c r="K3553" s="26">
        <v>61566.53</v>
      </c>
      <c r="L3553" s="26">
        <v>542.57000000000005</v>
      </c>
    </row>
    <row r="3554" spans="1:12" ht="16" customHeight="1">
      <c r="A3554" t="s">
        <v>492</v>
      </c>
      <c r="B3554" t="s">
        <v>7</v>
      </c>
      <c r="C3554" t="s">
        <v>56</v>
      </c>
      <c r="D3554" s="24">
        <v>46174</v>
      </c>
      <c r="E3554" t="s">
        <v>476</v>
      </c>
      <c r="F3554" t="s">
        <v>4</v>
      </c>
      <c r="G3554" t="s">
        <v>217</v>
      </c>
      <c r="H3554" t="s">
        <v>217</v>
      </c>
      <c r="I3554" t="s">
        <v>221</v>
      </c>
      <c r="J3554" s="25">
        <v>55848</v>
      </c>
      <c r="K3554" s="26">
        <v>8773.27</v>
      </c>
      <c r="L3554" s="26">
        <v>106.63</v>
      </c>
    </row>
    <row r="3555" spans="1:12" ht="16" customHeight="1">
      <c r="A3555" t="s">
        <v>492</v>
      </c>
      <c r="B3555" t="s">
        <v>7</v>
      </c>
      <c r="C3555" t="s">
        <v>56</v>
      </c>
      <c r="D3555" s="24">
        <v>46174</v>
      </c>
      <c r="E3555" t="s">
        <v>269</v>
      </c>
      <c r="F3555" t="s">
        <v>4</v>
      </c>
      <c r="G3555" t="s">
        <v>217</v>
      </c>
      <c r="H3555" t="s">
        <v>217</v>
      </c>
      <c r="I3555" t="s">
        <v>223</v>
      </c>
      <c r="J3555" s="25">
        <v>28982</v>
      </c>
      <c r="K3555" s="26">
        <v>4501.55</v>
      </c>
      <c r="L3555" s="26">
        <v>72.2</v>
      </c>
    </row>
    <row r="3556" spans="1:12" ht="16" customHeight="1">
      <c r="A3556" t="s">
        <v>492</v>
      </c>
      <c r="B3556" t="s">
        <v>7</v>
      </c>
      <c r="C3556" t="s">
        <v>56</v>
      </c>
      <c r="D3556" s="24">
        <v>46174</v>
      </c>
      <c r="E3556" t="s">
        <v>228</v>
      </c>
      <c r="F3556" t="s">
        <v>4</v>
      </c>
      <c r="G3556" t="s">
        <v>217</v>
      </c>
      <c r="H3556" t="s">
        <v>217</v>
      </c>
      <c r="I3556" t="s">
        <v>225</v>
      </c>
      <c r="J3556" s="25">
        <v>40681</v>
      </c>
      <c r="K3556" s="26">
        <v>6520.6</v>
      </c>
      <c r="L3556" s="26">
        <v>147.72999999999999</v>
      </c>
    </row>
    <row r="3557" spans="1:12" ht="16" customHeight="1">
      <c r="A3557" t="s">
        <v>492</v>
      </c>
      <c r="B3557" t="s">
        <v>7</v>
      </c>
      <c r="C3557" t="s">
        <v>56</v>
      </c>
      <c r="D3557" s="24">
        <v>46174</v>
      </c>
      <c r="E3557" t="s">
        <v>439</v>
      </c>
      <c r="F3557" t="s">
        <v>4</v>
      </c>
      <c r="G3557" t="s">
        <v>217</v>
      </c>
      <c r="H3557" t="s">
        <v>217</v>
      </c>
      <c r="I3557" t="s">
        <v>227</v>
      </c>
      <c r="J3557" s="25">
        <v>168</v>
      </c>
      <c r="K3557" s="26">
        <v>29.75</v>
      </c>
      <c r="L3557" s="26">
        <v>0.4</v>
      </c>
    </row>
    <row r="3558" spans="1:12" ht="16" customHeight="1">
      <c r="A3558" t="s">
        <v>492</v>
      </c>
      <c r="B3558" t="s">
        <v>7</v>
      </c>
      <c r="C3558" t="s">
        <v>56</v>
      </c>
      <c r="D3558" s="24">
        <v>46174</v>
      </c>
      <c r="E3558" t="s">
        <v>230</v>
      </c>
      <c r="F3558" t="s">
        <v>4</v>
      </c>
      <c r="G3558" t="s">
        <v>217</v>
      </c>
      <c r="H3558" t="s">
        <v>217</v>
      </c>
      <c r="I3558" t="s">
        <v>330</v>
      </c>
      <c r="J3558" s="25">
        <v>0</v>
      </c>
      <c r="K3558" s="26">
        <v>0</v>
      </c>
      <c r="L3558" s="26">
        <v>0</v>
      </c>
    </row>
    <row r="3559" spans="1:12" ht="16" customHeight="1">
      <c r="A3559" t="s">
        <v>492</v>
      </c>
      <c r="B3559" t="s">
        <v>7</v>
      </c>
      <c r="C3559" t="s">
        <v>56</v>
      </c>
      <c r="D3559" s="24">
        <v>46174</v>
      </c>
      <c r="E3559" t="s">
        <v>232</v>
      </c>
      <c r="F3559" t="s">
        <v>4</v>
      </c>
      <c r="G3559" t="s">
        <v>217</v>
      </c>
      <c r="H3559" t="s">
        <v>217</v>
      </c>
      <c r="I3559" t="s">
        <v>331</v>
      </c>
      <c r="J3559" s="25">
        <v>293</v>
      </c>
      <c r="K3559" s="26">
        <v>50.5</v>
      </c>
      <c r="L3559" s="26">
        <v>1.96</v>
      </c>
    </row>
    <row r="3560" spans="1:12" ht="16" customHeight="1">
      <c r="A3560" t="s">
        <v>492</v>
      </c>
      <c r="B3560" t="s">
        <v>7</v>
      </c>
      <c r="C3560" t="s">
        <v>56</v>
      </c>
      <c r="D3560" s="24">
        <v>46174</v>
      </c>
      <c r="E3560" t="s">
        <v>234</v>
      </c>
      <c r="F3560" t="s">
        <v>4</v>
      </c>
      <c r="G3560" t="s">
        <v>217</v>
      </c>
      <c r="H3560" t="s">
        <v>217</v>
      </c>
      <c r="I3560" t="s">
        <v>332</v>
      </c>
      <c r="J3560" s="25">
        <v>0</v>
      </c>
      <c r="K3560" s="26">
        <v>0</v>
      </c>
      <c r="L3560" s="26">
        <v>0</v>
      </c>
    </row>
    <row r="3561" spans="1:12" ht="16" customHeight="1">
      <c r="A3561" t="s">
        <v>492</v>
      </c>
      <c r="B3561" t="s">
        <v>7</v>
      </c>
      <c r="C3561" t="s">
        <v>56</v>
      </c>
      <c r="D3561" s="24">
        <v>46174</v>
      </c>
      <c r="E3561" t="s">
        <v>236</v>
      </c>
      <c r="F3561" t="s">
        <v>4</v>
      </c>
      <c r="G3561" t="s">
        <v>217</v>
      </c>
      <c r="H3561" t="s">
        <v>217</v>
      </c>
      <c r="I3561" t="s">
        <v>333</v>
      </c>
      <c r="J3561" s="25">
        <v>2</v>
      </c>
      <c r="K3561" s="26">
        <v>0.38</v>
      </c>
      <c r="L3561" s="26">
        <v>0.02</v>
      </c>
    </row>
    <row r="3562" spans="1:12" ht="16" customHeight="1">
      <c r="A3562" t="s">
        <v>492</v>
      </c>
      <c r="B3562" t="s">
        <v>7</v>
      </c>
      <c r="C3562" t="s">
        <v>56</v>
      </c>
      <c r="D3562" s="24">
        <v>46174</v>
      </c>
      <c r="E3562" t="s">
        <v>238</v>
      </c>
      <c r="F3562" t="s">
        <v>4</v>
      </c>
      <c r="G3562" t="s">
        <v>217</v>
      </c>
      <c r="H3562" t="s">
        <v>217</v>
      </c>
      <c r="I3562" t="s">
        <v>334</v>
      </c>
      <c r="J3562" s="25">
        <v>0</v>
      </c>
      <c r="K3562" s="26">
        <v>0</v>
      </c>
      <c r="L3562" s="26">
        <v>0</v>
      </c>
    </row>
    <row r="3563" spans="1:12" ht="16" customHeight="1">
      <c r="A3563" t="s">
        <v>492</v>
      </c>
      <c r="B3563" t="s">
        <v>7</v>
      </c>
      <c r="C3563" t="s">
        <v>56</v>
      </c>
      <c r="D3563" s="24">
        <v>46174</v>
      </c>
      <c r="E3563" t="s">
        <v>240</v>
      </c>
      <c r="F3563" t="s">
        <v>3</v>
      </c>
      <c r="G3563" t="s">
        <v>241</v>
      </c>
      <c r="H3563" t="s">
        <v>241</v>
      </c>
      <c r="I3563" t="s">
        <v>335</v>
      </c>
      <c r="J3563" s="25">
        <v>0</v>
      </c>
      <c r="K3563" s="26">
        <v>0</v>
      </c>
      <c r="L3563" s="26">
        <v>0</v>
      </c>
    </row>
    <row r="3564" spans="1:12" ht="16" customHeight="1">
      <c r="A3564" t="s">
        <v>492</v>
      </c>
      <c r="B3564" t="s">
        <v>7</v>
      </c>
      <c r="C3564" t="s">
        <v>56</v>
      </c>
      <c r="D3564" s="24">
        <v>46174</v>
      </c>
      <c r="E3564" t="s">
        <v>243</v>
      </c>
      <c r="F3564" t="s">
        <v>4</v>
      </c>
      <c r="G3564" t="s">
        <v>217</v>
      </c>
      <c r="H3564" t="s">
        <v>217</v>
      </c>
      <c r="I3564" t="s">
        <v>336</v>
      </c>
      <c r="J3564" s="25">
        <v>0</v>
      </c>
      <c r="K3564" s="26">
        <v>0</v>
      </c>
      <c r="L3564" s="26">
        <v>0</v>
      </c>
    </row>
    <row r="3565" spans="1:12" ht="16" customHeight="1">
      <c r="A3565" t="s">
        <v>492</v>
      </c>
      <c r="B3565" t="s">
        <v>7</v>
      </c>
      <c r="C3565" t="s">
        <v>56</v>
      </c>
      <c r="D3565" s="24">
        <v>46174</v>
      </c>
      <c r="E3565" t="s">
        <v>360</v>
      </c>
      <c r="F3565" t="s">
        <v>4</v>
      </c>
      <c r="G3565" t="s">
        <v>217</v>
      </c>
      <c r="H3565" t="s">
        <v>217</v>
      </c>
      <c r="I3565" t="s">
        <v>337</v>
      </c>
      <c r="J3565" s="25">
        <v>0</v>
      </c>
      <c r="K3565" s="26">
        <v>0</v>
      </c>
      <c r="L3565" s="26">
        <v>0</v>
      </c>
    </row>
    <row r="3566" spans="1:12" ht="16" customHeight="1">
      <c r="A3566" t="s">
        <v>493</v>
      </c>
      <c r="B3566" t="s">
        <v>3</v>
      </c>
      <c r="C3566" t="s">
        <v>57</v>
      </c>
      <c r="D3566" s="24">
        <v>46174</v>
      </c>
      <c r="E3566" t="s">
        <v>471</v>
      </c>
      <c r="F3566" t="s">
        <v>4</v>
      </c>
      <c r="G3566" t="s">
        <v>211</v>
      </c>
      <c r="H3566" t="s">
        <v>211</v>
      </c>
      <c r="I3566" t="s">
        <v>212</v>
      </c>
      <c r="J3566" s="25">
        <v>91802748</v>
      </c>
      <c r="K3566" s="26">
        <v>14411431.539999999</v>
      </c>
      <c r="L3566" s="26">
        <v>28371.07</v>
      </c>
    </row>
    <row r="3567" spans="1:12" ht="16" customHeight="1">
      <c r="A3567" t="s">
        <v>493</v>
      </c>
      <c r="B3567" t="s">
        <v>3</v>
      </c>
      <c r="C3567" t="s">
        <v>57</v>
      </c>
      <c r="D3567" s="24">
        <v>46174</v>
      </c>
      <c r="E3567" t="s">
        <v>226</v>
      </c>
      <c r="F3567" t="s">
        <v>4</v>
      </c>
      <c r="G3567" t="s">
        <v>217</v>
      </c>
      <c r="H3567" t="s">
        <v>217</v>
      </c>
      <c r="I3567" t="s">
        <v>212</v>
      </c>
      <c r="J3567" s="25">
        <v>5107393</v>
      </c>
      <c r="K3567" s="26">
        <v>802304.79</v>
      </c>
      <c r="L3567" s="26">
        <v>2646.56</v>
      </c>
    </row>
    <row r="3568" spans="1:12" ht="16" customHeight="1">
      <c r="A3568" t="s">
        <v>493</v>
      </c>
      <c r="B3568" t="s">
        <v>3</v>
      </c>
      <c r="C3568" t="s">
        <v>57</v>
      </c>
      <c r="D3568" s="24">
        <v>46174</v>
      </c>
      <c r="E3568" t="s">
        <v>480</v>
      </c>
      <c r="F3568" t="s">
        <v>4</v>
      </c>
      <c r="G3568" t="s">
        <v>211</v>
      </c>
      <c r="H3568" t="s">
        <v>211</v>
      </c>
      <c r="I3568" t="s">
        <v>219</v>
      </c>
      <c r="J3568" s="25">
        <v>279405</v>
      </c>
      <c r="K3568" s="26">
        <v>43891.47</v>
      </c>
      <c r="L3568" s="26">
        <v>193.07</v>
      </c>
    </row>
    <row r="3569" spans="1:12" ht="16" customHeight="1">
      <c r="A3569" t="s">
        <v>493</v>
      </c>
      <c r="B3569" t="s">
        <v>3</v>
      </c>
      <c r="C3569" t="s">
        <v>57</v>
      </c>
      <c r="D3569" s="24">
        <v>46174</v>
      </c>
      <c r="E3569" t="s">
        <v>485</v>
      </c>
      <c r="F3569" t="s">
        <v>4</v>
      </c>
      <c r="G3569" t="s">
        <v>211</v>
      </c>
      <c r="H3569" t="s">
        <v>211</v>
      </c>
      <c r="I3569" t="s">
        <v>219</v>
      </c>
      <c r="J3569" s="25">
        <v>24473</v>
      </c>
      <c r="K3569" s="26">
        <v>3852.97</v>
      </c>
      <c r="L3569" s="26">
        <v>21.07</v>
      </c>
    </row>
    <row r="3570" spans="1:12" ht="16" customHeight="1">
      <c r="A3570" t="s">
        <v>493</v>
      </c>
      <c r="B3570" t="s">
        <v>3</v>
      </c>
      <c r="C3570" t="s">
        <v>57</v>
      </c>
      <c r="D3570" s="24">
        <v>46174</v>
      </c>
      <c r="E3570" t="s">
        <v>490</v>
      </c>
      <c r="F3570" t="s">
        <v>4</v>
      </c>
      <c r="G3570" t="s">
        <v>211</v>
      </c>
      <c r="H3570" t="s">
        <v>211</v>
      </c>
      <c r="I3570" t="s">
        <v>219</v>
      </c>
      <c r="J3570" s="25">
        <v>3345</v>
      </c>
      <c r="K3570" s="26">
        <v>525.08000000000004</v>
      </c>
      <c r="L3570" s="26">
        <v>3.94</v>
      </c>
    </row>
    <row r="3571" spans="1:12" ht="16" customHeight="1">
      <c r="A3571" t="s">
        <v>493</v>
      </c>
      <c r="B3571" t="s">
        <v>3</v>
      </c>
      <c r="C3571" t="s">
        <v>57</v>
      </c>
      <c r="D3571" s="24">
        <v>46174</v>
      </c>
      <c r="E3571" t="s">
        <v>457</v>
      </c>
      <c r="F3571" t="s">
        <v>4</v>
      </c>
      <c r="G3571" t="s">
        <v>217</v>
      </c>
      <c r="H3571" t="s">
        <v>217</v>
      </c>
      <c r="I3571" t="s">
        <v>219</v>
      </c>
      <c r="J3571" s="25">
        <v>358106</v>
      </c>
      <c r="K3571" s="26">
        <v>56217</v>
      </c>
      <c r="L3571" s="26">
        <v>491.4</v>
      </c>
    </row>
    <row r="3572" spans="1:12" ht="16" customHeight="1">
      <c r="A3572" t="s">
        <v>493</v>
      </c>
      <c r="B3572" t="s">
        <v>3</v>
      </c>
      <c r="C3572" t="s">
        <v>57</v>
      </c>
      <c r="D3572" s="24">
        <v>46174</v>
      </c>
      <c r="E3572" t="s">
        <v>476</v>
      </c>
      <c r="F3572" t="s">
        <v>4</v>
      </c>
      <c r="G3572" t="s">
        <v>217</v>
      </c>
      <c r="H3572" t="s">
        <v>217</v>
      </c>
      <c r="I3572" t="s">
        <v>221</v>
      </c>
      <c r="J3572" s="25">
        <v>50098</v>
      </c>
      <c r="K3572" s="26">
        <v>7807.88</v>
      </c>
      <c r="L3572" s="26">
        <v>75.790000000000006</v>
      </c>
    </row>
    <row r="3573" spans="1:12" ht="16" customHeight="1">
      <c r="A3573" t="s">
        <v>493</v>
      </c>
      <c r="B3573" t="s">
        <v>3</v>
      </c>
      <c r="C3573" t="s">
        <v>57</v>
      </c>
      <c r="D3573" s="24">
        <v>46174</v>
      </c>
      <c r="E3573" t="s">
        <v>269</v>
      </c>
      <c r="F3573" t="s">
        <v>4</v>
      </c>
      <c r="G3573" t="s">
        <v>217</v>
      </c>
      <c r="H3573" t="s">
        <v>217</v>
      </c>
      <c r="I3573" t="s">
        <v>223</v>
      </c>
      <c r="J3573" s="25">
        <v>33278</v>
      </c>
      <c r="K3573" s="26">
        <v>5055.16</v>
      </c>
      <c r="L3573" s="26">
        <v>69.2</v>
      </c>
    </row>
    <row r="3574" spans="1:12" ht="16" customHeight="1">
      <c r="A3574" t="s">
        <v>493</v>
      </c>
      <c r="B3574" t="s">
        <v>3</v>
      </c>
      <c r="C3574" t="s">
        <v>57</v>
      </c>
      <c r="D3574" s="24">
        <v>46174</v>
      </c>
      <c r="E3574" t="s">
        <v>228</v>
      </c>
      <c r="F3574" t="s">
        <v>4</v>
      </c>
      <c r="G3574" t="s">
        <v>217</v>
      </c>
      <c r="H3574" t="s">
        <v>217</v>
      </c>
      <c r="I3574" t="s">
        <v>225</v>
      </c>
      <c r="J3574" s="25">
        <v>46540</v>
      </c>
      <c r="K3574" s="26">
        <v>7152.17</v>
      </c>
      <c r="L3574" s="26">
        <v>136.54</v>
      </c>
    </row>
    <row r="3575" spans="1:12" ht="16" customHeight="1">
      <c r="A3575" t="s">
        <v>493</v>
      </c>
      <c r="B3575" t="s">
        <v>3</v>
      </c>
      <c r="C3575" t="s">
        <v>57</v>
      </c>
      <c r="D3575" s="24">
        <v>46174</v>
      </c>
      <c r="E3575" t="s">
        <v>439</v>
      </c>
      <c r="F3575" t="s">
        <v>4</v>
      </c>
      <c r="G3575" t="s">
        <v>217</v>
      </c>
      <c r="H3575" t="s">
        <v>217</v>
      </c>
      <c r="I3575" t="s">
        <v>227</v>
      </c>
      <c r="J3575" s="25">
        <v>1182</v>
      </c>
      <c r="K3575" s="26">
        <v>172.06</v>
      </c>
      <c r="L3575" s="26">
        <v>1.22</v>
      </c>
    </row>
    <row r="3576" spans="1:12" ht="16" customHeight="1">
      <c r="A3576" t="s">
        <v>493</v>
      </c>
      <c r="B3576" t="s">
        <v>3</v>
      </c>
      <c r="C3576" t="s">
        <v>57</v>
      </c>
      <c r="D3576" s="24">
        <v>46174</v>
      </c>
      <c r="E3576" t="s">
        <v>230</v>
      </c>
      <c r="F3576" t="s">
        <v>4</v>
      </c>
      <c r="G3576" t="s">
        <v>217</v>
      </c>
      <c r="H3576" t="s">
        <v>217</v>
      </c>
      <c r="I3576" t="s">
        <v>330</v>
      </c>
      <c r="J3576" s="25">
        <v>1</v>
      </c>
      <c r="K3576" s="26">
        <v>0.14000000000000001</v>
      </c>
      <c r="L3576" s="26">
        <v>0</v>
      </c>
    </row>
    <row r="3577" spans="1:12" ht="16" customHeight="1">
      <c r="A3577" t="s">
        <v>493</v>
      </c>
      <c r="B3577" t="s">
        <v>3</v>
      </c>
      <c r="C3577" t="s">
        <v>57</v>
      </c>
      <c r="D3577" s="24">
        <v>46174</v>
      </c>
      <c r="E3577" t="s">
        <v>232</v>
      </c>
      <c r="F3577" t="s">
        <v>4</v>
      </c>
      <c r="G3577" t="s">
        <v>217</v>
      </c>
      <c r="H3577" t="s">
        <v>217</v>
      </c>
      <c r="I3577" t="s">
        <v>331</v>
      </c>
      <c r="J3577" s="25">
        <v>527</v>
      </c>
      <c r="K3577" s="26">
        <v>88.38</v>
      </c>
      <c r="L3577" s="26">
        <v>3.52</v>
      </c>
    </row>
    <row r="3578" spans="1:12" ht="16" customHeight="1">
      <c r="A3578" t="s">
        <v>493</v>
      </c>
      <c r="B3578" t="s">
        <v>3</v>
      </c>
      <c r="C3578" t="s">
        <v>57</v>
      </c>
      <c r="D3578" s="24">
        <v>46174</v>
      </c>
      <c r="E3578" t="s">
        <v>234</v>
      </c>
      <c r="F3578" t="s">
        <v>4</v>
      </c>
      <c r="G3578" t="s">
        <v>217</v>
      </c>
      <c r="H3578" t="s">
        <v>217</v>
      </c>
      <c r="I3578" t="s">
        <v>332</v>
      </c>
      <c r="J3578" s="25">
        <v>0</v>
      </c>
      <c r="K3578" s="26">
        <v>0</v>
      </c>
      <c r="L3578" s="26">
        <v>0</v>
      </c>
    </row>
    <row r="3579" spans="1:12" ht="16" customHeight="1">
      <c r="A3579" t="s">
        <v>493</v>
      </c>
      <c r="B3579" t="s">
        <v>3</v>
      </c>
      <c r="C3579" t="s">
        <v>57</v>
      </c>
      <c r="D3579" s="24">
        <v>46174</v>
      </c>
      <c r="E3579" t="s">
        <v>236</v>
      </c>
      <c r="F3579" t="s">
        <v>4</v>
      </c>
      <c r="G3579" t="s">
        <v>217</v>
      </c>
      <c r="H3579" t="s">
        <v>217</v>
      </c>
      <c r="I3579" t="s">
        <v>333</v>
      </c>
      <c r="J3579" s="25">
        <v>8</v>
      </c>
      <c r="K3579" s="26">
        <v>1.36</v>
      </c>
      <c r="L3579" s="26">
        <v>0.08</v>
      </c>
    </row>
    <row r="3580" spans="1:12" ht="16" customHeight="1">
      <c r="A3580" t="s">
        <v>493</v>
      </c>
      <c r="B3580" t="s">
        <v>3</v>
      </c>
      <c r="C3580" t="s">
        <v>57</v>
      </c>
      <c r="D3580" s="24">
        <v>46174</v>
      </c>
      <c r="E3580" t="s">
        <v>238</v>
      </c>
      <c r="F3580" t="s">
        <v>4</v>
      </c>
      <c r="G3580" t="s">
        <v>217</v>
      </c>
      <c r="H3580" t="s">
        <v>217</v>
      </c>
      <c r="I3580" t="s">
        <v>334</v>
      </c>
      <c r="J3580" s="25">
        <v>0</v>
      </c>
      <c r="K3580" s="26">
        <v>0</v>
      </c>
      <c r="L3580" s="26">
        <v>0</v>
      </c>
    </row>
    <row r="3581" spans="1:12" ht="16" customHeight="1">
      <c r="A3581" t="s">
        <v>493</v>
      </c>
      <c r="B3581" t="s">
        <v>3</v>
      </c>
      <c r="C3581" t="s">
        <v>57</v>
      </c>
      <c r="D3581" s="24">
        <v>46174</v>
      </c>
      <c r="E3581" t="s">
        <v>240</v>
      </c>
      <c r="F3581" t="s">
        <v>3</v>
      </c>
      <c r="G3581" t="s">
        <v>241</v>
      </c>
      <c r="H3581" t="s">
        <v>241</v>
      </c>
      <c r="I3581" t="s">
        <v>335</v>
      </c>
      <c r="J3581" s="25">
        <v>0</v>
      </c>
      <c r="K3581" s="26">
        <v>0</v>
      </c>
      <c r="L3581" s="26">
        <v>0</v>
      </c>
    </row>
    <row r="3582" spans="1:12" ht="16" customHeight="1">
      <c r="A3582" t="s">
        <v>493</v>
      </c>
      <c r="B3582" t="s">
        <v>3</v>
      </c>
      <c r="C3582" t="s">
        <v>57</v>
      </c>
      <c r="D3582" s="24">
        <v>46174</v>
      </c>
      <c r="E3582" t="s">
        <v>243</v>
      </c>
      <c r="F3582" t="s">
        <v>4</v>
      </c>
      <c r="G3582" t="s">
        <v>217</v>
      </c>
      <c r="H3582" t="s">
        <v>217</v>
      </c>
      <c r="I3582" t="s">
        <v>336</v>
      </c>
      <c r="J3582" s="25">
        <v>0</v>
      </c>
      <c r="K3582" s="26">
        <v>0</v>
      </c>
      <c r="L3582" s="26">
        <v>0</v>
      </c>
    </row>
    <row r="3583" spans="1:12" ht="16" customHeight="1">
      <c r="A3583" t="s">
        <v>493</v>
      </c>
      <c r="B3583" t="s">
        <v>3</v>
      </c>
      <c r="C3583" t="s">
        <v>57</v>
      </c>
      <c r="D3583" s="24">
        <v>46174</v>
      </c>
      <c r="E3583" t="s">
        <v>360</v>
      </c>
      <c r="F3583" t="s">
        <v>4</v>
      </c>
      <c r="G3583" t="s">
        <v>217</v>
      </c>
      <c r="H3583" t="s">
        <v>217</v>
      </c>
      <c r="I3583" t="s">
        <v>337</v>
      </c>
      <c r="J3583" s="25">
        <v>0</v>
      </c>
      <c r="K3583" s="26">
        <v>0</v>
      </c>
      <c r="L3583" s="26">
        <v>0</v>
      </c>
    </row>
    <row r="3584" spans="1:12" ht="16" customHeight="1">
      <c r="A3584" t="s">
        <v>471</v>
      </c>
      <c r="B3584" t="s">
        <v>4</v>
      </c>
      <c r="C3584" t="s">
        <v>57</v>
      </c>
      <c r="D3584" s="24">
        <v>46174</v>
      </c>
      <c r="E3584" t="s">
        <v>471</v>
      </c>
      <c r="F3584" t="s">
        <v>4</v>
      </c>
      <c r="G3584" t="s">
        <v>211</v>
      </c>
      <c r="H3584" t="s">
        <v>211</v>
      </c>
      <c r="I3584" t="s">
        <v>212</v>
      </c>
      <c r="J3584" s="25">
        <v>426015951</v>
      </c>
      <c r="K3584" s="26">
        <v>66498206.890000001</v>
      </c>
      <c r="L3584" s="26">
        <v>59110.18</v>
      </c>
    </row>
    <row r="3585" spans="1:12" ht="16" customHeight="1">
      <c r="A3585" t="s">
        <v>471</v>
      </c>
      <c r="B3585" t="s">
        <v>4</v>
      </c>
      <c r="C3585" t="s">
        <v>57</v>
      </c>
      <c r="D3585" s="24">
        <v>46174</v>
      </c>
      <c r="E3585" t="s">
        <v>226</v>
      </c>
      <c r="F3585" t="s">
        <v>4</v>
      </c>
      <c r="G3585" t="s">
        <v>217</v>
      </c>
      <c r="H3585" t="s">
        <v>217</v>
      </c>
      <c r="I3585" t="s">
        <v>212</v>
      </c>
      <c r="J3585" s="25">
        <v>15695200</v>
      </c>
      <c r="K3585" s="26">
        <v>2462037</v>
      </c>
      <c r="L3585" s="26">
        <v>7576.16</v>
      </c>
    </row>
    <row r="3586" spans="1:12" ht="16" customHeight="1">
      <c r="A3586" t="s">
        <v>471</v>
      </c>
      <c r="B3586" t="s">
        <v>4</v>
      </c>
      <c r="C3586" t="s">
        <v>57</v>
      </c>
      <c r="D3586" s="24">
        <v>46174</v>
      </c>
      <c r="E3586" t="s">
        <v>480</v>
      </c>
      <c r="F3586" t="s">
        <v>4</v>
      </c>
      <c r="G3586" t="s">
        <v>211</v>
      </c>
      <c r="H3586" t="s">
        <v>211</v>
      </c>
      <c r="I3586" t="s">
        <v>219</v>
      </c>
      <c r="J3586" s="25">
        <v>779668</v>
      </c>
      <c r="K3586" s="26">
        <v>122187.6</v>
      </c>
      <c r="L3586" s="26">
        <v>547.33000000000004</v>
      </c>
    </row>
    <row r="3587" spans="1:12" ht="16" customHeight="1">
      <c r="A3587" t="s">
        <v>471</v>
      </c>
      <c r="B3587" t="s">
        <v>4</v>
      </c>
      <c r="C3587" t="s">
        <v>57</v>
      </c>
      <c r="D3587" s="24">
        <v>46174</v>
      </c>
      <c r="E3587" t="s">
        <v>485</v>
      </c>
      <c r="F3587" t="s">
        <v>4</v>
      </c>
      <c r="G3587" t="s">
        <v>211</v>
      </c>
      <c r="H3587" t="s">
        <v>211</v>
      </c>
      <c r="I3587" t="s">
        <v>219</v>
      </c>
      <c r="J3587" s="25">
        <v>65691</v>
      </c>
      <c r="K3587" s="26">
        <v>10315.69</v>
      </c>
      <c r="L3587" s="26">
        <v>58.05</v>
      </c>
    </row>
    <row r="3588" spans="1:12" ht="16" customHeight="1">
      <c r="A3588" t="s">
        <v>471</v>
      </c>
      <c r="B3588" t="s">
        <v>4</v>
      </c>
      <c r="C3588" t="s">
        <v>57</v>
      </c>
      <c r="D3588" s="24">
        <v>46174</v>
      </c>
      <c r="E3588" t="s">
        <v>490</v>
      </c>
      <c r="F3588" t="s">
        <v>4</v>
      </c>
      <c r="G3588" t="s">
        <v>211</v>
      </c>
      <c r="H3588" t="s">
        <v>211</v>
      </c>
      <c r="I3588" t="s">
        <v>219</v>
      </c>
      <c r="J3588" s="25">
        <v>7790</v>
      </c>
      <c r="K3588" s="26">
        <v>1219.58</v>
      </c>
      <c r="L3588" s="26">
        <v>9.73</v>
      </c>
    </row>
    <row r="3589" spans="1:12" ht="16" customHeight="1">
      <c r="A3589" t="s">
        <v>471</v>
      </c>
      <c r="B3589" t="s">
        <v>4</v>
      </c>
      <c r="C3589" t="s">
        <v>57</v>
      </c>
      <c r="D3589" s="24">
        <v>46174</v>
      </c>
      <c r="E3589" t="s">
        <v>457</v>
      </c>
      <c r="F3589" t="s">
        <v>4</v>
      </c>
      <c r="G3589" t="s">
        <v>217</v>
      </c>
      <c r="H3589" t="s">
        <v>217</v>
      </c>
      <c r="I3589" t="s">
        <v>219</v>
      </c>
      <c r="J3589" s="25">
        <v>677299</v>
      </c>
      <c r="K3589" s="26">
        <v>106589.79</v>
      </c>
      <c r="L3589" s="26">
        <v>962.5</v>
      </c>
    </row>
    <row r="3590" spans="1:12" ht="16" customHeight="1">
      <c r="A3590" t="s">
        <v>471</v>
      </c>
      <c r="B3590" t="s">
        <v>4</v>
      </c>
      <c r="C3590" t="s">
        <v>57</v>
      </c>
      <c r="D3590" s="24">
        <v>46174</v>
      </c>
      <c r="E3590" t="s">
        <v>476</v>
      </c>
      <c r="F3590" t="s">
        <v>4</v>
      </c>
      <c r="G3590" t="s">
        <v>217</v>
      </c>
      <c r="H3590" t="s">
        <v>217</v>
      </c>
      <c r="I3590" t="s">
        <v>221</v>
      </c>
      <c r="J3590" s="25">
        <v>87429</v>
      </c>
      <c r="K3590" s="26">
        <v>13656.01</v>
      </c>
      <c r="L3590" s="26">
        <v>137.88999999999999</v>
      </c>
    </row>
    <row r="3591" spans="1:12" ht="16" customHeight="1">
      <c r="A3591" t="s">
        <v>471</v>
      </c>
      <c r="B3591" t="s">
        <v>4</v>
      </c>
      <c r="C3591" t="s">
        <v>57</v>
      </c>
      <c r="D3591" s="24">
        <v>46174</v>
      </c>
      <c r="E3591" t="s">
        <v>269</v>
      </c>
      <c r="F3591" t="s">
        <v>4</v>
      </c>
      <c r="G3591" t="s">
        <v>217</v>
      </c>
      <c r="H3591" t="s">
        <v>217</v>
      </c>
      <c r="I3591" t="s">
        <v>223</v>
      </c>
      <c r="J3591" s="25">
        <v>45729</v>
      </c>
      <c r="K3591" s="26">
        <v>7081.17</v>
      </c>
      <c r="L3591" s="26">
        <v>97.92</v>
      </c>
    </row>
    <row r="3592" spans="1:12" ht="16" customHeight="1">
      <c r="A3592" t="s">
        <v>471</v>
      </c>
      <c r="B3592" t="s">
        <v>4</v>
      </c>
      <c r="C3592" t="s">
        <v>57</v>
      </c>
      <c r="D3592" s="24">
        <v>46174</v>
      </c>
      <c r="E3592" t="s">
        <v>228</v>
      </c>
      <c r="F3592" t="s">
        <v>4</v>
      </c>
      <c r="G3592" t="s">
        <v>217</v>
      </c>
      <c r="H3592" t="s">
        <v>217</v>
      </c>
      <c r="I3592" t="s">
        <v>225</v>
      </c>
      <c r="J3592" s="25">
        <v>58842</v>
      </c>
      <c r="K3592" s="26">
        <v>9420.0300000000007</v>
      </c>
      <c r="L3592" s="26">
        <v>212.57</v>
      </c>
    </row>
    <row r="3593" spans="1:12" ht="16" customHeight="1">
      <c r="A3593" t="s">
        <v>471</v>
      </c>
      <c r="B3593" t="s">
        <v>4</v>
      </c>
      <c r="C3593" t="s">
        <v>57</v>
      </c>
      <c r="D3593" s="24">
        <v>46174</v>
      </c>
      <c r="E3593" t="s">
        <v>439</v>
      </c>
      <c r="F3593" t="s">
        <v>4</v>
      </c>
      <c r="G3593" t="s">
        <v>217</v>
      </c>
      <c r="H3593" t="s">
        <v>217</v>
      </c>
      <c r="I3593" t="s">
        <v>227</v>
      </c>
      <c r="J3593" s="25">
        <v>424</v>
      </c>
      <c r="K3593" s="26">
        <v>70.98</v>
      </c>
      <c r="L3593" s="26">
        <v>0.78</v>
      </c>
    </row>
    <row r="3594" spans="1:12" ht="16" customHeight="1">
      <c r="A3594" t="s">
        <v>471</v>
      </c>
      <c r="B3594" t="s">
        <v>4</v>
      </c>
      <c r="C3594" t="s">
        <v>57</v>
      </c>
      <c r="D3594" s="24">
        <v>46174</v>
      </c>
      <c r="E3594" t="s">
        <v>230</v>
      </c>
      <c r="F3594" t="s">
        <v>4</v>
      </c>
      <c r="G3594" t="s">
        <v>217</v>
      </c>
      <c r="H3594" t="s">
        <v>217</v>
      </c>
      <c r="I3594" t="s">
        <v>330</v>
      </c>
      <c r="J3594" s="25">
        <v>6</v>
      </c>
      <c r="K3594" s="26">
        <v>0.83</v>
      </c>
      <c r="L3594" s="26">
        <v>0.01</v>
      </c>
    </row>
    <row r="3595" spans="1:12" ht="16" customHeight="1">
      <c r="A3595" t="s">
        <v>471</v>
      </c>
      <c r="B3595" t="s">
        <v>4</v>
      </c>
      <c r="C3595" t="s">
        <v>57</v>
      </c>
      <c r="D3595" s="24">
        <v>46174</v>
      </c>
      <c r="E3595" t="s">
        <v>232</v>
      </c>
      <c r="F3595" t="s">
        <v>4</v>
      </c>
      <c r="G3595" t="s">
        <v>217</v>
      </c>
      <c r="H3595" t="s">
        <v>217</v>
      </c>
      <c r="I3595" t="s">
        <v>331</v>
      </c>
      <c r="J3595" s="25">
        <v>482</v>
      </c>
      <c r="K3595" s="26">
        <v>80.98</v>
      </c>
      <c r="L3595" s="26">
        <v>3.44</v>
      </c>
    </row>
    <row r="3596" spans="1:12" ht="16" customHeight="1">
      <c r="A3596" t="s">
        <v>471</v>
      </c>
      <c r="B3596" t="s">
        <v>4</v>
      </c>
      <c r="C3596" t="s">
        <v>57</v>
      </c>
      <c r="D3596" s="24">
        <v>46174</v>
      </c>
      <c r="E3596" t="s">
        <v>234</v>
      </c>
      <c r="F3596" t="s">
        <v>4</v>
      </c>
      <c r="G3596" t="s">
        <v>217</v>
      </c>
      <c r="H3596" t="s">
        <v>217</v>
      </c>
      <c r="I3596" t="s">
        <v>332</v>
      </c>
      <c r="J3596" s="25">
        <v>0</v>
      </c>
      <c r="K3596" s="26">
        <v>0</v>
      </c>
      <c r="L3596" s="26">
        <v>0</v>
      </c>
    </row>
    <row r="3597" spans="1:12" ht="16" customHeight="1">
      <c r="A3597" t="s">
        <v>471</v>
      </c>
      <c r="B3597" t="s">
        <v>4</v>
      </c>
      <c r="C3597" t="s">
        <v>57</v>
      </c>
      <c r="D3597" s="24">
        <v>46174</v>
      </c>
      <c r="E3597" t="s">
        <v>236</v>
      </c>
      <c r="F3597" t="s">
        <v>4</v>
      </c>
      <c r="G3597" t="s">
        <v>217</v>
      </c>
      <c r="H3597" t="s">
        <v>217</v>
      </c>
      <c r="I3597" t="s">
        <v>333</v>
      </c>
      <c r="J3597" s="25">
        <v>4</v>
      </c>
      <c r="K3597" s="26">
        <v>0.75</v>
      </c>
      <c r="L3597" s="26">
        <v>0.05</v>
      </c>
    </row>
    <row r="3598" spans="1:12" ht="16" customHeight="1">
      <c r="A3598" t="s">
        <v>471</v>
      </c>
      <c r="B3598" t="s">
        <v>4</v>
      </c>
      <c r="C3598" t="s">
        <v>57</v>
      </c>
      <c r="D3598" s="24">
        <v>46174</v>
      </c>
      <c r="E3598" t="s">
        <v>238</v>
      </c>
      <c r="F3598" t="s">
        <v>4</v>
      </c>
      <c r="G3598" t="s">
        <v>217</v>
      </c>
      <c r="H3598" t="s">
        <v>217</v>
      </c>
      <c r="I3598" t="s">
        <v>334</v>
      </c>
      <c r="J3598" s="25">
        <v>0</v>
      </c>
      <c r="K3598" s="26">
        <v>0</v>
      </c>
      <c r="L3598" s="26">
        <v>0</v>
      </c>
    </row>
    <row r="3599" spans="1:12" ht="16" customHeight="1">
      <c r="A3599" t="s">
        <v>471</v>
      </c>
      <c r="B3599" t="s">
        <v>4</v>
      </c>
      <c r="C3599" t="s">
        <v>57</v>
      </c>
      <c r="D3599" s="24">
        <v>46174</v>
      </c>
      <c r="E3599" t="s">
        <v>240</v>
      </c>
      <c r="F3599" t="s">
        <v>3</v>
      </c>
      <c r="G3599" t="s">
        <v>241</v>
      </c>
      <c r="H3599" t="s">
        <v>241</v>
      </c>
      <c r="I3599" t="s">
        <v>335</v>
      </c>
      <c r="J3599" s="25">
        <v>0</v>
      </c>
      <c r="K3599" s="26">
        <v>0</v>
      </c>
      <c r="L3599" s="26">
        <v>0</v>
      </c>
    </row>
    <row r="3600" spans="1:12" ht="16" customHeight="1">
      <c r="A3600" t="s">
        <v>471</v>
      </c>
      <c r="B3600" t="s">
        <v>4</v>
      </c>
      <c r="C3600" t="s">
        <v>57</v>
      </c>
      <c r="D3600" s="24">
        <v>46174</v>
      </c>
      <c r="E3600" t="s">
        <v>243</v>
      </c>
      <c r="F3600" t="s">
        <v>4</v>
      </c>
      <c r="G3600" t="s">
        <v>217</v>
      </c>
      <c r="H3600" t="s">
        <v>217</v>
      </c>
      <c r="I3600" t="s">
        <v>336</v>
      </c>
      <c r="J3600" s="25">
        <v>0</v>
      </c>
      <c r="K3600" s="26">
        <v>0</v>
      </c>
      <c r="L3600" s="26">
        <v>0</v>
      </c>
    </row>
    <row r="3601" spans="1:12" ht="16" customHeight="1">
      <c r="A3601" t="s">
        <v>471</v>
      </c>
      <c r="B3601" t="s">
        <v>4</v>
      </c>
      <c r="C3601" t="s">
        <v>57</v>
      </c>
      <c r="D3601" s="24">
        <v>46174</v>
      </c>
      <c r="E3601" t="s">
        <v>360</v>
      </c>
      <c r="F3601" t="s">
        <v>4</v>
      </c>
      <c r="G3601" t="s">
        <v>217</v>
      </c>
      <c r="H3601" t="s">
        <v>217</v>
      </c>
      <c r="I3601" t="s">
        <v>337</v>
      </c>
      <c r="J3601" s="25">
        <v>0</v>
      </c>
      <c r="K3601" s="26">
        <v>0</v>
      </c>
      <c r="L3601" s="26">
        <v>0</v>
      </c>
    </row>
    <row r="3602" spans="1:12" ht="16" customHeight="1">
      <c r="A3602" t="s">
        <v>494</v>
      </c>
      <c r="B3602" t="s">
        <v>5</v>
      </c>
      <c r="C3602" t="s">
        <v>57</v>
      </c>
      <c r="D3602" s="24">
        <v>46174</v>
      </c>
      <c r="E3602" t="s">
        <v>226</v>
      </c>
      <c r="F3602" t="s">
        <v>4</v>
      </c>
      <c r="G3602" t="s">
        <v>217</v>
      </c>
      <c r="H3602" t="s">
        <v>261</v>
      </c>
      <c r="I3602" t="s">
        <v>212</v>
      </c>
      <c r="J3602" s="25">
        <v>51446214</v>
      </c>
      <c r="K3602" s="26">
        <v>8040120.2199999997</v>
      </c>
      <c r="L3602" s="26">
        <v>29382.74</v>
      </c>
    </row>
    <row r="3603" spans="1:12" ht="16" customHeight="1">
      <c r="A3603" t="s">
        <v>494</v>
      </c>
      <c r="B3603" t="s">
        <v>5</v>
      </c>
      <c r="C3603" t="s">
        <v>57</v>
      </c>
      <c r="D3603" s="24">
        <v>46174</v>
      </c>
      <c r="E3603" t="s">
        <v>480</v>
      </c>
      <c r="F3603" t="s">
        <v>4</v>
      </c>
      <c r="G3603" t="s">
        <v>211</v>
      </c>
      <c r="H3603" t="s">
        <v>211</v>
      </c>
      <c r="I3603" t="s">
        <v>219</v>
      </c>
      <c r="J3603" s="25">
        <v>1326501</v>
      </c>
      <c r="K3603" s="26">
        <v>208247.61</v>
      </c>
      <c r="L3603" s="26">
        <v>1093.69</v>
      </c>
    </row>
    <row r="3604" spans="1:12" ht="16" customHeight="1">
      <c r="A3604" t="s">
        <v>494</v>
      </c>
      <c r="B3604" t="s">
        <v>5</v>
      </c>
      <c r="C3604" t="s">
        <v>57</v>
      </c>
      <c r="D3604" s="24">
        <v>46174</v>
      </c>
      <c r="E3604" t="s">
        <v>485</v>
      </c>
      <c r="F3604" t="s">
        <v>4</v>
      </c>
      <c r="G3604" t="s">
        <v>211</v>
      </c>
      <c r="H3604" t="s">
        <v>211</v>
      </c>
      <c r="I3604" t="s">
        <v>219</v>
      </c>
      <c r="J3604" s="25">
        <v>80970</v>
      </c>
      <c r="K3604" s="26">
        <v>12724.35</v>
      </c>
      <c r="L3604" s="26">
        <v>81.99</v>
      </c>
    </row>
    <row r="3605" spans="1:12" ht="16" customHeight="1">
      <c r="A3605" t="s">
        <v>494</v>
      </c>
      <c r="B3605" t="s">
        <v>5</v>
      </c>
      <c r="C3605" t="s">
        <v>57</v>
      </c>
      <c r="D3605" s="24">
        <v>46174</v>
      </c>
      <c r="E3605" t="s">
        <v>490</v>
      </c>
      <c r="F3605" t="s">
        <v>4</v>
      </c>
      <c r="G3605" t="s">
        <v>211</v>
      </c>
      <c r="H3605" t="s">
        <v>211</v>
      </c>
      <c r="I3605" t="s">
        <v>219</v>
      </c>
      <c r="J3605" s="25">
        <v>12476</v>
      </c>
      <c r="K3605" s="26">
        <v>1962.86</v>
      </c>
      <c r="L3605" s="26">
        <v>18.670000000000002</v>
      </c>
    </row>
    <row r="3606" spans="1:12" ht="16" customHeight="1">
      <c r="A3606" t="s">
        <v>494</v>
      </c>
      <c r="B3606" t="s">
        <v>5</v>
      </c>
      <c r="C3606" t="s">
        <v>57</v>
      </c>
      <c r="D3606" s="24">
        <v>46174</v>
      </c>
      <c r="E3606" t="s">
        <v>457</v>
      </c>
      <c r="F3606" t="s">
        <v>4</v>
      </c>
      <c r="G3606" t="s">
        <v>217</v>
      </c>
      <c r="H3606" t="s">
        <v>217</v>
      </c>
      <c r="I3606" t="s">
        <v>219</v>
      </c>
      <c r="J3606" s="25">
        <v>707415</v>
      </c>
      <c r="K3606" s="26">
        <v>112032.17</v>
      </c>
      <c r="L3606" s="26">
        <v>1187.4000000000001</v>
      </c>
    </row>
    <row r="3607" spans="1:12" ht="16" customHeight="1">
      <c r="A3607" t="s">
        <v>494</v>
      </c>
      <c r="B3607" t="s">
        <v>5</v>
      </c>
      <c r="C3607" t="s">
        <v>57</v>
      </c>
      <c r="D3607" s="24">
        <v>46174</v>
      </c>
      <c r="E3607" t="s">
        <v>495</v>
      </c>
      <c r="F3607" t="s">
        <v>4</v>
      </c>
      <c r="G3607" t="s">
        <v>211</v>
      </c>
      <c r="H3607" t="s">
        <v>211</v>
      </c>
      <c r="I3607" t="s">
        <v>221</v>
      </c>
      <c r="J3607" s="25">
        <v>174</v>
      </c>
      <c r="K3607" s="26">
        <v>27.78</v>
      </c>
      <c r="L3607" s="26">
        <v>0.13</v>
      </c>
    </row>
    <row r="3608" spans="1:12" ht="16" customHeight="1">
      <c r="A3608" t="s">
        <v>494</v>
      </c>
      <c r="B3608" t="s">
        <v>5</v>
      </c>
      <c r="C3608" t="s">
        <v>57</v>
      </c>
      <c r="D3608" s="24">
        <v>46174</v>
      </c>
      <c r="E3608" t="s">
        <v>476</v>
      </c>
      <c r="F3608" t="s">
        <v>4</v>
      </c>
      <c r="G3608" t="s">
        <v>217</v>
      </c>
      <c r="H3608" t="s">
        <v>217</v>
      </c>
      <c r="I3608" t="s">
        <v>221</v>
      </c>
      <c r="J3608" s="25">
        <v>66148</v>
      </c>
      <c r="K3608" s="26">
        <v>10557.29</v>
      </c>
      <c r="L3608" s="26">
        <v>137.24</v>
      </c>
    </row>
    <row r="3609" spans="1:12" ht="16" customHeight="1">
      <c r="A3609" t="s">
        <v>494</v>
      </c>
      <c r="B3609" t="s">
        <v>5</v>
      </c>
      <c r="C3609" t="s">
        <v>57</v>
      </c>
      <c r="D3609" s="24">
        <v>46174</v>
      </c>
      <c r="E3609" t="s">
        <v>269</v>
      </c>
      <c r="F3609" t="s">
        <v>4</v>
      </c>
      <c r="G3609" t="s">
        <v>217</v>
      </c>
      <c r="H3609" t="s">
        <v>217</v>
      </c>
      <c r="I3609" t="s">
        <v>223</v>
      </c>
      <c r="J3609" s="25">
        <v>48913</v>
      </c>
      <c r="K3609" s="26">
        <v>7962.33</v>
      </c>
      <c r="L3609" s="26">
        <v>234.06</v>
      </c>
    </row>
    <row r="3610" spans="1:12" ht="16" customHeight="1">
      <c r="A3610" t="s">
        <v>494</v>
      </c>
      <c r="B3610" t="s">
        <v>5</v>
      </c>
      <c r="C3610" t="s">
        <v>57</v>
      </c>
      <c r="D3610" s="24">
        <v>46174</v>
      </c>
      <c r="E3610" t="s">
        <v>228</v>
      </c>
      <c r="F3610" t="s">
        <v>4</v>
      </c>
      <c r="G3610" t="s">
        <v>217</v>
      </c>
      <c r="H3610" t="s">
        <v>217</v>
      </c>
      <c r="I3610" t="s">
        <v>225</v>
      </c>
      <c r="J3610" s="25">
        <v>47781</v>
      </c>
      <c r="K3610" s="26">
        <v>7722.2</v>
      </c>
      <c r="L3610" s="26">
        <v>218</v>
      </c>
    </row>
    <row r="3611" spans="1:12" ht="16" customHeight="1">
      <c r="A3611" t="s">
        <v>494</v>
      </c>
      <c r="B3611" t="s">
        <v>5</v>
      </c>
      <c r="C3611" t="s">
        <v>57</v>
      </c>
      <c r="D3611" s="24">
        <v>46174</v>
      </c>
      <c r="E3611" t="s">
        <v>439</v>
      </c>
      <c r="F3611" t="s">
        <v>4</v>
      </c>
      <c r="G3611" t="s">
        <v>217</v>
      </c>
      <c r="H3611" t="s">
        <v>217</v>
      </c>
      <c r="I3611" t="s">
        <v>227</v>
      </c>
      <c r="J3611" s="25">
        <v>244</v>
      </c>
      <c r="K3611" s="26">
        <v>37.299999999999997</v>
      </c>
      <c r="L3611" s="26">
        <v>0.62</v>
      </c>
    </row>
    <row r="3612" spans="1:12" ht="16" customHeight="1">
      <c r="A3612" t="s">
        <v>494</v>
      </c>
      <c r="B3612" t="s">
        <v>5</v>
      </c>
      <c r="C3612" t="s">
        <v>57</v>
      </c>
      <c r="D3612" s="24">
        <v>46174</v>
      </c>
      <c r="E3612" t="s">
        <v>230</v>
      </c>
      <c r="F3612" t="s">
        <v>4</v>
      </c>
      <c r="G3612" t="s">
        <v>217</v>
      </c>
      <c r="H3612" t="s">
        <v>217</v>
      </c>
      <c r="I3612" t="s">
        <v>330</v>
      </c>
      <c r="J3612" s="25">
        <v>0</v>
      </c>
      <c r="K3612" s="26">
        <v>0</v>
      </c>
      <c r="L3612" s="26">
        <v>0</v>
      </c>
    </row>
    <row r="3613" spans="1:12" ht="16" customHeight="1">
      <c r="A3613" t="s">
        <v>494</v>
      </c>
      <c r="B3613" t="s">
        <v>5</v>
      </c>
      <c r="C3613" t="s">
        <v>57</v>
      </c>
      <c r="D3613" s="24">
        <v>46174</v>
      </c>
      <c r="E3613" t="s">
        <v>232</v>
      </c>
      <c r="F3613" t="s">
        <v>4</v>
      </c>
      <c r="G3613" t="s">
        <v>217</v>
      </c>
      <c r="H3613" t="s">
        <v>217</v>
      </c>
      <c r="I3613" t="s">
        <v>331</v>
      </c>
      <c r="J3613" s="25">
        <v>347</v>
      </c>
      <c r="K3613" s="26">
        <v>58.43</v>
      </c>
      <c r="L3613" s="26">
        <v>2.5</v>
      </c>
    </row>
    <row r="3614" spans="1:12" ht="16" customHeight="1">
      <c r="A3614" t="s">
        <v>494</v>
      </c>
      <c r="B3614" t="s">
        <v>5</v>
      </c>
      <c r="C3614" t="s">
        <v>57</v>
      </c>
      <c r="D3614" s="24">
        <v>46174</v>
      </c>
      <c r="E3614" t="s">
        <v>234</v>
      </c>
      <c r="F3614" t="s">
        <v>4</v>
      </c>
      <c r="G3614" t="s">
        <v>217</v>
      </c>
      <c r="H3614" t="s">
        <v>217</v>
      </c>
      <c r="I3614" t="s">
        <v>332</v>
      </c>
      <c r="J3614" s="25">
        <v>0</v>
      </c>
      <c r="K3614" s="26">
        <v>0</v>
      </c>
      <c r="L3614" s="26">
        <v>0</v>
      </c>
    </row>
    <row r="3615" spans="1:12" ht="16" customHeight="1">
      <c r="A3615" t="s">
        <v>494</v>
      </c>
      <c r="B3615" t="s">
        <v>5</v>
      </c>
      <c r="C3615" t="s">
        <v>57</v>
      </c>
      <c r="D3615" s="24">
        <v>46174</v>
      </c>
      <c r="E3615" t="s">
        <v>236</v>
      </c>
      <c r="F3615" t="s">
        <v>4</v>
      </c>
      <c r="G3615" t="s">
        <v>217</v>
      </c>
      <c r="H3615" t="s">
        <v>217</v>
      </c>
      <c r="I3615" t="s">
        <v>333</v>
      </c>
      <c r="J3615" s="25">
        <v>10</v>
      </c>
      <c r="K3615" s="26">
        <v>1.51</v>
      </c>
      <c r="L3615" s="26">
        <v>0.05</v>
      </c>
    </row>
    <row r="3616" spans="1:12" ht="16" customHeight="1">
      <c r="A3616" t="s">
        <v>494</v>
      </c>
      <c r="B3616" t="s">
        <v>5</v>
      </c>
      <c r="C3616" t="s">
        <v>57</v>
      </c>
      <c r="D3616" s="24">
        <v>46174</v>
      </c>
      <c r="E3616" t="s">
        <v>238</v>
      </c>
      <c r="F3616" t="s">
        <v>4</v>
      </c>
      <c r="G3616" t="s">
        <v>217</v>
      </c>
      <c r="H3616" t="s">
        <v>217</v>
      </c>
      <c r="I3616" t="s">
        <v>334</v>
      </c>
      <c r="J3616" s="25">
        <v>0</v>
      </c>
      <c r="K3616" s="26">
        <v>0</v>
      </c>
      <c r="L3616" s="26">
        <v>0</v>
      </c>
    </row>
    <row r="3617" spans="1:12" ht="16" customHeight="1">
      <c r="A3617" t="s">
        <v>494</v>
      </c>
      <c r="B3617" t="s">
        <v>5</v>
      </c>
      <c r="C3617" t="s">
        <v>57</v>
      </c>
      <c r="D3617" s="24">
        <v>46174</v>
      </c>
      <c r="E3617" t="s">
        <v>240</v>
      </c>
      <c r="F3617" t="s">
        <v>3</v>
      </c>
      <c r="G3617" t="s">
        <v>241</v>
      </c>
      <c r="H3617" t="s">
        <v>241</v>
      </c>
      <c r="I3617" t="s">
        <v>335</v>
      </c>
      <c r="J3617" s="25">
        <v>0</v>
      </c>
      <c r="K3617" s="26">
        <v>0</v>
      </c>
      <c r="L3617" s="26">
        <v>0</v>
      </c>
    </row>
    <row r="3618" spans="1:12" ht="16" customHeight="1">
      <c r="A3618" t="s">
        <v>494</v>
      </c>
      <c r="B3618" t="s">
        <v>5</v>
      </c>
      <c r="C3618" t="s">
        <v>57</v>
      </c>
      <c r="D3618" s="24">
        <v>46174</v>
      </c>
      <c r="E3618" t="s">
        <v>243</v>
      </c>
      <c r="F3618" t="s">
        <v>4</v>
      </c>
      <c r="G3618" t="s">
        <v>217</v>
      </c>
      <c r="H3618" t="s">
        <v>217</v>
      </c>
      <c r="I3618" t="s">
        <v>336</v>
      </c>
      <c r="J3618" s="25">
        <v>0</v>
      </c>
      <c r="K3618" s="26">
        <v>0</v>
      </c>
      <c r="L3618" s="26">
        <v>0</v>
      </c>
    </row>
    <row r="3619" spans="1:12" ht="16" customHeight="1">
      <c r="A3619" t="s">
        <v>494</v>
      </c>
      <c r="B3619" t="s">
        <v>5</v>
      </c>
      <c r="C3619" t="s">
        <v>57</v>
      </c>
      <c r="D3619" s="24">
        <v>46174</v>
      </c>
      <c r="E3619" t="s">
        <v>360</v>
      </c>
      <c r="F3619" t="s">
        <v>4</v>
      </c>
      <c r="G3619" t="s">
        <v>217</v>
      </c>
      <c r="H3619" t="s">
        <v>217</v>
      </c>
      <c r="I3619" t="s">
        <v>337</v>
      </c>
      <c r="J3619" s="25">
        <v>0</v>
      </c>
      <c r="K3619" s="26">
        <v>0</v>
      </c>
      <c r="L3619" s="26">
        <v>0</v>
      </c>
    </row>
    <row r="3620" spans="1:12" ht="16" customHeight="1">
      <c r="A3620" t="s">
        <v>496</v>
      </c>
      <c r="B3620" t="s">
        <v>6</v>
      </c>
      <c r="C3620" t="s">
        <v>57</v>
      </c>
      <c r="D3620" s="24">
        <v>46174</v>
      </c>
      <c r="E3620" t="s">
        <v>226</v>
      </c>
      <c r="F3620" t="s">
        <v>4</v>
      </c>
      <c r="G3620" t="s">
        <v>217</v>
      </c>
      <c r="H3620" t="s">
        <v>261</v>
      </c>
      <c r="I3620" t="s">
        <v>212</v>
      </c>
      <c r="J3620" s="25">
        <v>51988380</v>
      </c>
      <c r="K3620" s="26">
        <v>8161642.9100000001</v>
      </c>
      <c r="L3620" s="26">
        <v>22790.55</v>
      </c>
    </row>
    <row r="3621" spans="1:12" ht="16" customHeight="1">
      <c r="A3621" t="s">
        <v>496</v>
      </c>
      <c r="B3621" t="s">
        <v>6</v>
      </c>
      <c r="C3621" t="s">
        <v>57</v>
      </c>
      <c r="D3621" s="24">
        <v>46174</v>
      </c>
      <c r="E3621" t="s">
        <v>480</v>
      </c>
      <c r="F3621" t="s">
        <v>4</v>
      </c>
      <c r="G3621" t="s">
        <v>211</v>
      </c>
      <c r="H3621" t="s">
        <v>211</v>
      </c>
      <c r="I3621" t="s">
        <v>219</v>
      </c>
      <c r="J3621" s="25">
        <v>2329691</v>
      </c>
      <c r="K3621" s="26">
        <v>367142.81</v>
      </c>
      <c r="L3621" s="26">
        <v>1582.84</v>
      </c>
    </row>
    <row r="3622" spans="1:12" ht="16" customHeight="1">
      <c r="A3622" t="s">
        <v>496</v>
      </c>
      <c r="B3622" t="s">
        <v>6</v>
      </c>
      <c r="C3622" t="s">
        <v>57</v>
      </c>
      <c r="D3622" s="24">
        <v>46174</v>
      </c>
      <c r="E3622" t="s">
        <v>485</v>
      </c>
      <c r="F3622" t="s">
        <v>4</v>
      </c>
      <c r="G3622" t="s">
        <v>211</v>
      </c>
      <c r="H3622" t="s">
        <v>211</v>
      </c>
      <c r="I3622" t="s">
        <v>219</v>
      </c>
      <c r="J3622" s="25">
        <v>189329</v>
      </c>
      <c r="K3622" s="26">
        <v>29758.93</v>
      </c>
      <c r="L3622" s="26">
        <v>174.78</v>
      </c>
    </row>
    <row r="3623" spans="1:12" ht="16" customHeight="1">
      <c r="A3623" t="s">
        <v>496</v>
      </c>
      <c r="B3623" t="s">
        <v>6</v>
      </c>
      <c r="C3623" t="s">
        <v>57</v>
      </c>
      <c r="D3623" s="24">
        <v>46174</v>
      </c>
      <c r="E3623" t="s">
        <v>490</v>
      </c>
      <c r="F3623" t="s">
        <v>4</v>
      </c>
      <c r="G3623" t="s">
        <v>211</v>
      </c>
      <c r="H3623" t="s">
        <v>211</v>
      </c>
      <c r="I3623" t="s">
        <v>219</v>
      </c>
      <c r="J3623" s="25">
        <v>13661</v>
      </c>
      <c r="K3623" s="26">
        <v>2149.5300000000002</v>
      </c>
      <c r="L3623" s="26">
        <v>18.059999999999999</v>
      </c>
    </row>
    <row r="3624" spans="1:12" ht="16" customHeight="1">
      <c r="A3624" t="s">
        <v>496</v>
      </c>
      <c r="B3624" t="s">
        <v>6</v>
      </c>
      <c r="C3624" t="s">
        <v>57</v>
      </c>
      <c r="D3624" s="24">
        <v>46174</v>
      </c>
      <c r="E3624" t="s">
        <v>457</v>
      </c>
      <c r="F3624" t="s">
        <v>4</v>
      </c>
      <c r="G3624" t="s">
        <v>217</v>
      </c>
      <c r="H3624" t="s">
        <v>217</v>
      </c>
      <c r="I3624" t="s">
        <v>219</v>
      </c>
      <c r="J3624" s="25">
        <v>928229</v>
      </c>
      <c r="K3624" s="26">
        <v>147478.29999999999</v>
      </c>
      <c r="L3624" s="26">
        <v>1440.82</v>
      </c>
    </row>
    <row r="3625" spans="1:12" ht="16" customHeight="1">
      <c r="A3625" t="s">
        <v>496</v>
      </c>
      <c r="B3625" t="s">
        <v>6</v>
      </c>
      <c r="C3625" t="s">
        <v>57</v>
      </c>
      <c r="D3625" s="24">
        <v>46174</v>
      </c>
      <c r="E3625" t="s">
        <v>495</v>
      </c>
      <c r="F3625" t="s">
        <v>4</v>
      </c>
      <c r="G3625" t="s">
        <v>211</v>
      </c>
      <c r="H3625" t="s">
        <v>211</v>
      </c>
      <c r="I3625" t="s">
        <v>221</v>
      </c>
      <c r="J3625" s="25">
        <v>684</v>
      </c>
      <c r="K3625" s="26">
        <v>107.94</v>
      </c>
      <c r="L3625" s="26">
        <v>0.63</v>
      </c>
    </row>
    <row r="3626" spans="1:12" ht="16" customHeight="1">
      <c r="A3626" t="s">
        <v>496</v>
      </c>
      <c r="B3626" t="s">
        <v>6</v>
      </c>
      <c r="C3626" t="s">
        <v>57</v>
      </c>
      <c r="D3626" s="24">
        <v>46174</v>
      </c>
      <c r="E3626" t="s">
        <v>476</v>
      </c>
      <c r="F3626" t="s">
        <v>4</v>
      </c>
      <c r="G3626" t="s">
        <v>217</v>
      </c>
      <c r="H3626" t="s">
        <v>217</v>
      </c>
      <c r="I3626" t="s">
        <v>221</v>
      </c>
      <c r="J3626" s="25">
        <v>114860</v>
      </c>
      <c r="K3626" s="26">
        <v>18065.830000000002</v>
      </c>
      <c r="L3626" s="26">
        <v>193.92</v>
      </c>
    </row>
    <row r="3627" spans="1:12" ht="16" customHeight="1">
      <c r="A3627" t="s">
        <v>496</v>
      </c>
      <c r="B3627" t="s">
        <v>6</v>
      </c>
      <c r="C3627" t="s">
        <v>57</v>
      </c>
      <c r="D3627" s="24">
        <v>46174</v>
      </c>
      <c r="E3627" t="s">
        <v>269</v>
      </c>
      <c r="F3627" t="s">
        <v>4</v>
      </c>
      <c r="G3627" t="s">
        <v>217</v>
      </c>
      <c r="H3627" t="s">
        <v>217</v>
      </c>
      <c r="I3627" t="s">
        <v>223</v>
      </c>
      <c r="J3627" s="25">
        <v>58325</v>
      </c>
      <c r="K3627" s="26">
        <v>9228.33</v>
      </c>
      <c r="L3627" s="26">
        <v>272.01</v>
      </c>
    </row>
    <row r="3628" spans="1:12" ht="16" customHeight="1">
      <c r="A3628" t="s">
        <v>496</v>
      </c>
      <c r="B3628" t="s">
        <v>6</v>
      </c>
      <c r="C3628" t="s">
        <v>57</v>
      </c>
      <c r="D3628" s="24">
        <v>46174</v>
      </c>
      <c r="E3628" t="s">
        <v>228</v>
      </c>
      <c r="F3628" t="s">
        <v>4</v>
      </c>
      <c r="G3628" t="s">
        <v>217</v>
      </c>
      <c r="H3628" t="s">
        <v>217</v>
      </c>
      <c r="I3628" t="s">
        <v>225</v>
      </c>
      <c r="J3628" s="25">
        <v>59286</v>
      </c>
      <c r="K3628" s="26">
        <v>9584.7000000000007</v>
      </c>
      <c r="L3628" s="26">
        <v>271.81</v>
      </c>
    </row>
    <row r="3629" spans="1:12" ht="16" customHeight="1">
      <c r="A3629" t="s">
        <v>496</v>
      </c>
      <c r="B3629" t="s">
        <v>6</v>
      </c>
      <c r="C3629" t="s">
        <v>57</v>
      </c>
      <c r="D3629" s="24">
        <v>46174</v>
      </c>
      <c r="E3629" t="s">
        <v>439</v>
      </c>
      <c r="F3629" t="s">
        <v>4</v>
      </c>
      <c r="G3629" t="s">
        <v>217</v>
      </c>
      <c r="H3629" t="s">
        <v>217</v>
      </c>
      <c r="I3629" t="s">
        <v>227</v>
      </c>
      <c r="J3629" s="25">
        <v>255</v>
      </c>
      <c r="K3629" s="26">
        <v>39.630000000000003</v>
      </c>
      <c r="L3629" s="26">
        <v>0.56000000000000005</v>
      </c>
    </row>
    <row r="3630" spans="1:12" ht="16" customHeight="1">
      <c r="A3630" t="s">
        <v>496</v>
      </c>
      <c r="B3630" t="s">
        <v>6</v>
      </c>
      <c r="C3630" t="s">
        <v>57</v>
      </c>
      <c r="D3630" s="24">
        <v>46174</v>
      </c>
      <c r="E3630" t="s">
        <v>230</v>
      </c>
      <c r="F3630" t="s">
        <v>4</v>
      </c>
      <c r="G3630" t="s">
        <v>217</v>
      </c>
      <c r="H3630" t="s">
        <v>217</v>
      </c>
      <c r="I3630" t="s">
        <v>330</v>
      </c>
      <c r="J3630" s="25">
        <v>2</v>
      </c>
      <c r="K3630" s="26">
        <v>0.28000000000000003</v>
      </c>
      <c r="L3630" s="26">
        <v>0</v>
      </c>
    </row>
    <row r="3631" spans="1:12" ht="16" customHeight="1">
      <c r="A3631" t="s">
        <v>496</v>
      </c>
      <c r="B3631" t="s">
        <v>6</v>
      </c>
      <c r="C3631" t="s">
        <v>57</v>
      </c>
      <c r="D3631" s="24">
        <v>46174</v>
      </c>
      <c r="E3631" t="s">
        <v>232</v>
      </c>
      <c r="F3631" t="s">
        <v>4</v>
      </c>
      <c r="G3631" t="s">
        <v>217</v>
      </c>
      <c r="H3631" t="s">
        <v>217</v>
      </c>
      <c r="I3631" t="s">
        <v>331</v>
      </c>
      <c r="J3631" s="25">
        <v>332</v>
      </c>
      <c r="K3631" s="26">
        <v>57.6</v>
      </c>
      <c r="L3631" s="26">
        <v>2.72</v>
      </c>
    </row>
    <row r="3632" spans="1:12" ht="16" customHeight="1">
      <c r="A3632" t="s">
        <v>496</v>
      </c>
      <c r="B3632" t="s">
        <v>6</v>
      </c>
      <c r="C3632" t="s">
        <v>57</v>
      </c>
      <c r="D3632" s="24">
        <v>46174</v>
      </c>
      <c r="E3632" t="s">
        <v>234</v>
      </c>
      <c r="F3632" t="s">
        <v>4</v>
      </c>
      <c r="G3632" t="s">
        <v>217</v>
      </c>
      <c r="H3632" t="s">
        <v>217</v>
      </c>
      <c r="I3632" t="s">
        <v>332</v>
      </c>
      <c r="J3632" s="25">
        <v>2</v>
      </c>
      <c r="K3632" s="26">
        <v>0.28999999999999998</v>
      </c>
      <c r="L3632" s="26">
        <v>0.01</v>
      </c>
    </row>
    <row r="3633" spans="1:12" ht="16" customHeight="1">
      <c r="A3633" t="s">
        <v>496</v>
      </c>
      <c r="B3633" t="s">
        <v>6</v>
      </c>
      <c r="C3633" t="s">
        <v>57</v>
      </c>
      <c r="D3633" s="24">
        <v>46174</v>
      </c>
      <c r="E3633" t="s">
        <v>236</v>
      </c>
      <c r="F3633" t="s">
        <v>4</v>
      </c>
      <c r="G3633" t="s">
        <v>217</v>
      </c>
      <c r="H3633" t="s">
        <v>217</v>
      </c>
      <c r="I3633" t="s">
        <v>333</v>
      </c>
      <c r="J3633" s="25">
        <v>10</v>
      </c>
      <c r="K3633" s="26">
        <v>1.87</v>
      </c>
      <c r="L3633" s="26">
        <v>0.1</v>
      </c>
    </row>
    <row r="3634" spans="1:12" ht="16" customHeight="1">
      <c r="A3634" t="s">
        <v>496</v>
      </c>
      <c r="B3634" t="s">
        <v>6</v>
      </c>
      <c r="C3634" t="s">
        <v>57</v>
      </c>
      <c r="D3634" s="24">
        <v>46174</v>
      </c>
      <c r="E3634" t="s">
        <v>238</v>
      </c>
      <c r="F3634" t="s">
        <v>4</v>
      </c>
      <c r="G3634" t="s">
        <v>217</v>
      </c>
      <c r="H3634" t="s">
        <v>217</v>
      </c>
      <c r="I3634" t="s">
        <v>334</v>
      </c>
      <c r="J3634" s="25">
        <v>0</v>
      </c>
      <c r="K3634" s="26">
        <v>0</v>
      </c>
      <c r="L3634" s="26">
        <v>0</v>
      </c>
    </row>
    <row r="3635" spans="1:12" ht="16" customHeight="1">
      <c r="A3635" t="s">
        <v>496</v>
      </c>
      <c r="B3635" t="s">
        <v>6</v>
      </c>
      <c r="C3635" t="s">
        <v>57</v>
      </c>
      <c r="D3635" s="24">
        <v>46174</v>
      </c>
      <c r="E3635" t="s">
        <v>240</v>
      </c>
      <c r="F3635" t="s">
        <v>3</v>
      </c>
      <c r="G3635" t="s">
        <v>241</v>
      </c>
      <c r="H3635" t="s">
        <v>241</v>
      </c>
      <c r="I3635" t="s">
        <v>335</v>
      </c>
      <c r="J3635" s="25">
        <v>0</v>
      </c>
      <c r="K3635" s="26">
        <v>0</v>
      </c>
      <c r="L3635" s="26">
        <v>0</v>
      </c>
    </row>
    <row r="3636" spans="1:12" ht="16" customHeight="1">
      <c r="A3636" t="s">
        <v>496</v>
      </c>
      <c r="B3636" t="s">
        <v>6</v>
      </c>
      <c r="C3636" t="s">
        <v>57</v>
      </c>
      <c r="D3636" s="24">
        <v>46174</v>
      </c>
      <c r="E3636" t="s">
        <v>243</v>
      </c>
      <c r="F3636" t="s">
        <v>4</v>
      </c>
      <c r="G3636" t="s">
        <v>217</v>
      </c>
      <c r="H3636" t="s">
        <v>217</v>
      </c>
      <c r="I3636" t="s">
        <v>336</v>
      </c>
      <c r="J3636" s="25">
        <v>0</v>
      </c>
      <c r="K3636" s="26">
        <v>0</v>
      </c>
      <c r="L3636" s="26">
        <v>0</v>
      </c>
    </row>
    <row r="3637" spans="1:12" ht="16" customHeight="1">
      <c r="A3637" t="s">
        <v>496</v>
      </c>
      <c r="B3637" t="s">
        <v>6</v>
      </c>
      <c r="C3637" t="s">
        <v>57</v>
      </c>
      <c r="D3637" s="24">
        <v>46174</v>
      </c>
      <c r="E3637" t="s">
        <v>360</v>
      </c>
      <c r="F3637" t="s">
        <v>4</v>
      </c>
      <c r="G3637" t="s">
        <v>217</v>
      </c>
      <c r="H3637" t="s">
        <v>217</v>
      </c>
      <c r="I3637" t="s">
        <v>337</v>
      </c>
      <c r="J3637" s="25">
        <v>0</v>
      </c>
      <c r="K3637" s="26">
        <v>0</v>
      </c>
      <c r="L3637" s="26">
        <v>0</v>
      </c>
    </row>
    <row r="3638" spans="1:12" ht="16" customHeight="1">
      <c r="A3638" t="s">
        <v>497</v>
      </c>
      <c r="B3638" t="s">
        <v>3</v>
      </c>
      <c r="C3638" t="s">
        <v>58</v>
      </c>
      <c r="D3638" s="24">
        <v>46174</v>
      </c>
      <c r="E3638" t="s">
        <v>226</v>
      </c>
      <c r="F3638" t="s">
        <v>4</v>
      </c>
      <c r="G3638" t="s">
        <v>217</v>
      </c>
      <c r="H3638" t="s">
        <v>261</v>
      </c>
      <c r="I3638" t="s">
        <v>212</v>
      </c>
      <c r="J3638" s="25">
        <v>137549561</v>
      </c>
      <c r="K3638" s="26">
        <v>21515640.780000001</v>
      </c>
      <c r="L3638" s="26">
        <v>48566.13</v>
      </c>
    </row>
    <row r="3639" spans="1:12" ht="16" customHeight="1">
      <c r="A3639" t="s">
        <v>497</v>
      </c>
      <c r="B3639" t="s">
        <v>3</v>
      </c>
      <c r="C3639" t="s">
        <v>58</v>
      </c>
      <c r="D3639" s="24">
        <v>46174</v>
      </c>
      <c r="E3639" t="s">
        <v>480</v>
      </c>
      <c r="F3639" t="s">
        <v>4</v>
      </c>
      <c r="G3639" t="s">
        <v>211</v>
      </c>
      <c r="H3639" t="s">
        <v>211</v>
      </c>
      <c r="I3639" t="s">
        <v>219</v>
      </c>
      <c r="J3639" s="25">
        <v>4607196</v>
      </c>
      <c r="K3639" s="26">
        <v>723882.15</v>
      </c>
      <c r="L3639" s="26">
        <v>2859.83</v>
      </c>
    </row>
    <row r="3640" spans="1:12" ht="16" customHeight="1">
      <c r="A3640" t="s">
        <v>497</v>
      </c>
      <c r="B3640" t="s">
        <v>3</v>
      </c>
      <c r="C3640" t="s">
        <v>58</v>
      </c>
      <c r="D3640" s="24">
        <v>46174</v>
      </c>
      <c r="E3640" t="s">
        <v>485</v>
      </c>
      <c r="F3640" t="s">
        <v>4</v>
      </c>
      <c r="G3640" t="s">
        <v>211</v>
      </c>
      <c r="H3640" t="s">
        <v>211</v>
      </c>
      <c r="I3640" t="s">
        <v>219</v>
      </c>
      <c r="J3640" s="25">
        <v>274015</v>
      </c>
      <c r="K3640" s="26">
        <v>43052.6</v>
      </c>
      <c r="L3640" s="26">
        <v>227.91</v>
      </c>
    </row>
    <row r="3641" spans="1:12" ht="16" customHeight="1">
      <c r="A3641" t="s">
        <v>497</v>
      </c>
      <c r="B3641" t="s">
        <v>3</v>
      </c>
      <c r="C3641" t="s">
        <v>58</v>
      </c>
      <c r="D3641" s="24">
        <v>46174</v>
      </c>
      <c r="E3641" t="s">
        <v>490</v>
      </c>
      <c r="F3641" t="s">
        <v>4</v>
      </c>
      <c r="G3641" t="s">
        <v>211</v>
      </c>
      <c r="H3641" t="s">
        <v>211</v>
      </c>
      <c r="I3641" t="s">
        <v>219</v>
      </c>
      <c r="J3641" s="25">
        <v>18171</v>
      </c>
      <c r="K3641" s="26">
        <v>2853.43</v>
      </c>
      <c r="L3641" s="26">
        <v>20.09</v>
      </c>
    </row>
    <row r="3642" spans="1:12" ht="16" customHeight="1">
      <c r="A3642" t="s">
        <v>497</v>
      </c>
      <c r="B3642" t="s">
        <v>3</v>
      </c>
      <c r="C3642" t="s">
        <v>58</v>
      </c>
      <c r="D3642" s="24">
        <v>46174</v>
      </c>
      <c r="E3642" t="s">
        <v>457</v>
      </c>
      <c r="F3642" t="s">
        <v>4</v>
      </c>
      <c r="G3642" t="s">
        <v>217</v>
      </c>
      <c r="H3642" t="s">
        <v>217</v>
      </c>
      <c r="I3642" t="s">
        <v>219</v>
      </c>
      <c r="J3642" s="25">
        <v>913573</v>
      </c>
      <c r="K3642" s="26">
        <v>145332.89000000001</v>
      </c>
      <c r="L3642" s="26">
        <v>1726.57</v>
      </c>
    </row>
    <row r="3643" spans="1:12" ht="16" customHeight="1">
      <c r="A3643" t="s">
        <v>497</v>
      </c>
      <c r="B3643" t="s">
        <v>3</v>
      </c>
      <c r="C3643" t="s">
        <v>58</v>
      </c>
      <c r="D3643" s="24">
        <v>46174</v>
      </c>
      <c r="E3643" t="s">
        <v>495</v>
      </c>
      <c r="F3643" t="s">
        <v>4</v>
      </c>
      <c r="G3643" t="s">
        <v>211</v>
      </c>
      <c r="H3643" t="s">
        <v>211</v>
      </c>
      <c r="I3643" t="s">
        <v>221</v>
      </c>
      <c r="J3643" s="25">
        <v>893</v>
      </c>
      <c r="K3643" s="26">
        <v>140.79</v>
      </c>
      <c r="L3643" s="26">
        <v>0.87</v>
      </c>
    </row>
    <row r="3644" spans="1:12" ht="16" customHeight="1">
      <c r="A3644" t="s">
        <v>497</v>
      </c>
      <c r="B3644" t="s">
        <v>3</v>
      </c>
      <c r="C3644" t="s">
        <v>58</v>
      </c>
      <c r="D3644" s="24">
        <v>46174</v>
      </c>
      <c r="E3644" t="s">
        <v>476</v>
      </c>
      <c r="F3644" t="s">
        <v>4</v>
      </c>
      <c r="G3644" t="s">
        <v>217</v>
      </c>
      <c r="H3644" t="s">
        <v>217</v>
      </c>
      <c r="I3644" t="s">
        <v>221</v>
      </c>
      <c r="J3644" s="25">
        <v>71463</v>
      </c>
      <c r="K3644" s="26">
        <v>11386.91</v>
      </c>
      <c r="L3644" s="26">
        <v>134.03</v>
      </c>
    </row>
    <row r="3645" spans="1:12" ht="16" customHeight="1">
      <c r="A3645" t="s">
        <v>497</v>
      </c>
      <c r="B3645" t="s">
        <v>3</v>
      </c>
      <c r="C3645" t="s">
        <v>58</v>
      </c>
      <c r="D3645" s="24">
        <v>46174</v>
      </c>
      <c r="E3645" t="s">
        <v>269</v>
      </c>
      <c r="F3645" t="s">
        <v>4</v>
      </c>
      <c r="G3645" t="s">
        <v>217</v>
      </c>
      <c r="H3645" t="s">
        <v>217</v>
      </c>
      <c r="I3645" t="s">
        <v>223</v>
      </c>
      <c r="J3645" s="25">
        <v>59415</v>
      </c>
      <c r="K3645" s="26">
        <v>9784.32</v>
      </c>
      <c r="L3645" s="26">
        <v>344.31</v>
      </c>
    </row>
    <row r="3646" spans="1:12" ht="16" customHeight="1">
      <c r="A3646" t="s">
        <v>497</v>
      </c>
      <c r="B3646" t="s">
        <v>3</v>
      </c>
      <c r="C3646" t="s">
        <v>58</v>
      </c>
      <c r="D3646" s="24">
        <v>46174</v>
      </c>
      <c r="E3646" t="s">
        <v>228</v>
      </c>
      <c r="F3646" t="s">
        <v>4</v>
      </c>
      <c r="G3646" t="s">
        <v>217</v>
      </c>
      <c r="H3646" t="s">
        <v>217</v>
      </c>
      <c r="I3646" t="s">
        <v>225</v>
      </c>
      <c r="J3646" s="25">
        <v>47928</v>
      </c>
      <c r="K3646" s="26">
        <v>7882.24</v>
      </c>
      <c r="L3646" s="26">
        <v>282.77999999999997</v>
      </c>
    </row>
    <row r="3647" spans="1:12" ht="16" customHeight="1">
      <c r="A3647" t="s">
        <v>497</v>
      </c>
      <c r="B3647" t="s">
        <v>3</v>
      </c>
      <c r="C3647" t="s">
        <v>58</v>
      </c>
      <c r="D3647" s="24">
        <v>46174</v>
      </c>
      <c r="E3647" t="s">
        <v>439</v>
      </c>
      <c r="F3647" t="s">
        <v>4</v>
      </c>
      <c r="G3647" t="s">
        <v>217</v>
      </c>
      <c r="H3647" t="s">
        <v>217</v>
      </c>
      <c r="I3647" t="s">
        <v>227</v>
      </c>
      <c r="J3647" s="25">
        <v>261</v>
      </c>
      <c r="K3647" s="26">
        <v>42.49</v>
      </c>
      <c r="L3647" s="26">
        <v>0.66</v>
      </c>
    </row>
    <row r="3648" spans="1:12" ht="16" customHeight="1">
      <c r="A3648" t="s">
        <v>497</v>
      </c>
      <c r="B3648" t="s">
        <v>3</v>
      </c>
      <c r="C3648" t="s">
        <v>58</v>
      </c>
      <c r="D3648" s="24">
        <v>46174</v>
      </c>
      <c r="E3648" t="s">
        <v>230</v>
      </c>
      <c r="F3648" t="s">
        <v>4</v>
      </c>
      <c r="G3648" t="s">
        <v>217</v>
      </c>
      <c r="H3648" t="s">
        <v>217</v>
      </c>
      <c r="I3648" t="s">
        <v>330</v>
      </c>
      <c r="J3648" s="25">
        <v>1</v>
      </c>
      <c r="K3648" s="26">
        <v>0.22</v>
      </c>
      <c r="L3648" s="26">
        <v>0.03</v>
      </c>
    </row>
    <row r="3649" spans="1:12" ht="16" customHeight="1">
      <c r="A3649" t="s">
        <v>497</v>
      </c>
      <c r="B3649" t="s">
        <v>3</v>
      </c>
      <c r="C3649" t="s">
        <v>58</v>
      </c>
      <c r="D3649" s="24">
        <v>46174</v>
      </c>
      <c r="E3649" t="s">
        <v>232</v>
      </c>
      <c r="F3649" t="s">
        <v>4</v>
      </c>
      <c r="G3649" t="s">
        <v>217</v>
      </c>
      <c r="H3649" t="s">
        <v>217</v>
      </c>
      <c r="I3649" t="s">
        <v>331</v>
      </c>
      <c r="J3649" s="25">
        <v>311</v>
      </c>
      <c r="K3649" s="26">
        <v>52.86</v>
      </c>
      <c r="L3649" s="26">
        <v>2.2400000000000002</v>
      </c>
    </row>
    <row r="3650" spans="1:12" ht="16" customHeight="1">
      <c r="A3650" t="s">
        <v>497</v>
      </c>
      <c r="B3650" t="s">
        <v>3</v>
      </c>
      <c r="C3650" t="s">
        <v>58</v>
      </c>
      <c r="D3650" s="24">
        <v>46174</v>
      </c>
      <c r="E3650" t="s">
        <v>234</v>
      </c>
      <c r="F3650" t="s">
        <v>4</v>
      </c>
      <c r="G3650" t="s">
        <v>217</v>
      </c>
      <c r="H3650" t="s">
        <v>217</v>
      </c>
      <c r="I3650" t="s">
        <v>332</v>
      </c>
      <c r="J3650" s="25">
        <v>0</v>
      </c>
      <c r="K3650" s="26">
        <v>0</v>
      </c>
      <c r="L3650" s="26">
        <v>0</v>
      </c>
    </row>
    <row r="3651" spans="1:12" ht="16" customHeight="1">
      <c r="A3651" t="s">
        <v>497</v>
      </c>
      <c r="B3651" t="s">
        <v>3</v>
      </c>
      <c r="C3651" t="s">
        <v>58</v>
      </c>
      <c r="D3651" s="24">
        <v>46174</v>
      </c>
      <c r="E3651" t="s">
        <v>236</v>
      </c>
      <c r="F3651" t="s">
        <v>4</v>
      </c>
      <c r="G3651" t="s">
        <v>217</v>
      </c>
      <c r="H3651" t="s">
        <v>217</v>
      </c>
      <c r="I3651" t="s">
        <v>333</v>
      </c>
      <c r="J3651" s="25">
        <v>31</v>
      </c>
      <c r="K3651" s="26">
        <v>5.89</v>
      </c>
      <c r="L3651" s="26">
        <v>0.32</v>
      </c>
    </row>
    <row r="3652" spans="1:12" ht="16" customHeight="1">
      <c r="A3652" t="s">
        <v>497</v>
      </c>
      <c r="B3652" t="s">
        <v>3</v>
      </c>
      <c r="C3652" t="s">
        <v>58</v>
      </c>
      <c r="D3652" s="24">
        <v>46174</v>
      </c>
      <c r="E3652" t="s">
        <v>238</v>
      </c>
      <c r="F3652" t="s">
        <v>4</v>
      </c>
      <c r="G3652" t="s">
        <v>217</v>
      </c>
      <c r="H3652" t="s">
        <v>217</v>
      </c>
      <c r="I3652" t="s">
        <v>334</v>
      </c>
      <c r="J3652" s="25">
        <v>0</v>
      </c>
      <c r="K3652" s="26">
        <v>0</v>
      </c>
      <c r="L3652" s="26">
        <v>0</v>
      </c>
    </row>
    <row r="3653" spans="1:12" ht="16" customHeight="1">
      <c r="A3653" t="s">
        <v>497</v>
      </c>
      <c r="B3653" t="s">
        <v>3</v>
      </c>
      <c r="C3653" t="s">
        <v>58</v>
      </c>
      <c r="D3653" s="24">
        <v>46174</v>
      </c>
      <c r="E3653" t="s">
        <v>240</v>
      </c>
      <c r="F3653" t="s">
        <v>3</v>
      </c>
      <c r="G3653" t="s">
        <v>241</v>
      </c>
      <c r="H3653" t="s">
        <v>241</v>
      </c>
      <c r="I3653" t="s">
        <v>335</v>
      </c>
      <c r="J3653" s="25">
        <v>3</v>
      </c>
      <c r="K3653" s="26">
        <v>0.47</v>
      </c>
      <c r="L3653" s="26">
        <v>0.02</v>
      </c>
    </row>
    <row r="3654" spans="1:12" ht="16" customHeight="1">
      <c r="A3654" t="s">
        <v>497</v>
      </c>
      <c r="B3654" t="s">
        <v>3</v>
      </c>
      <c r="C3654" t="s">
        <v>58</v>
      </c>
      <c r="D3654" s="24">
        <v>46174</v>
      </c>
      <c r="E3654" t="s">
        <v>243</v>
      </c>
      <c r="F3654" t="s">
        <v>4</v>
      </c>
      <c r="G3654" t="s">
        <v>217</v>
      </c>
      <c r="H3654" t="s">
        <v>217</v>
      </c>
      <c r="I3654" t="s">
        <v>336</v>
      </c>
      <c r="J3654" s="25">
        <v>0</v>
      </c>
      <c r="K3654" s="26">
        <v>0</v>
      </c>
      <c r="L3654" s="26">
        <v>0</v>
      </c>
    </row>
    <row r="3655" spans="1:12" ht="16" customHeight="1">
      <c r="A3655" t="s">
        <v>497</v>
      </c>
      <c r="B3655" t="s">
        <v>3</v>
      </c>
      <c r="C3655" t="s">
        <v>58</v>
      </c>
      <c r="D3655" s="24">
        <v>46174</v>
      </c>
      <c r="E3655" t="s">
        <v>360</v>
      </c>
      <c r="F3655" t="s">
        <v>4</v>
      </c>
      <c r="G3655" t="s">
        <v>217</v>
      </c>
      <c r="H3655" t="s">
        <v>217</v>
      </c>
      <c r="I3655" t="s">
        <v>337</v>
      </c>
      <c r="J3655" s="25">
        <v>0</v>
      </c>
      <c r="K3655" s="26">
        <v>0</v>
      </c>
      <c r="L3655" s="26">
        <v>0</v>
      </c>
    </row>
    <row r="3656" spans="1:12" ht="16" customHeight="1">
      <c r="A3656" t="s">
        <v>226</v>
      </c>
      <c r="B3656" t="s">
        <v>4</v>
      </c>
      <c r="C3656" t="s">
        <v>58</v>
      </c>
      <c r="D3656" s="24">
        <v>46174</v>
      </c>
      <c r="E3656" t="s">
        <v>226</v>
      </c>
      <c r="F3656" t="s">
        <v>4</v>
      </c>
      <c r="G3656" t="s">
        <v>217</v>
      </c>
      <c r="H3656" t="s">
        <v>261</v>
      </c>
      <c r="I3656" t="s">
        <v>212</v>
      </c>
      <c r="J3656" s="25">
        <v>362123740</v>
      </c>
      <c r="K3656" s="26">
        <v>56405744.280000001</v>
      </c>
      <c r="L3656" s="26">
        <v>58047.66</v>
      </c>
    </row>
    <row r="3657" spans="1:12" ht="16" customHeight="1">
      <c r="A3657" t="s">
        <v>226</v>
      </c>
      <c r="B3657" t="s">
        <v>4</v>
      </c>
      <c r="C3657" t="s">
        <v>58</v>
      </c>
      <c r="D3657" s="24">
        <v>46174</v>
      </c>
      <c r="E3657" t="s">
        <v>480</v>
      </c>
      <c r="F3657" t="s">
        <v>4</v>
      </c>
      <c r="G3657" t="s">
        <v>211</v>
      </c>
      <c r="H3657" t="s">
        <v>211</v>
      </c>
      <c r="I3657" t="s">
        <v>219</v>
      </c>
      <c r="J3657" s="25">
        <v>11309655</v>
      </c>
      <c r="K3657" s="26">
        <v>1771538.21</v>
      </c>
      <c r="L3657" s="26">
        <v>6031.24</v>
      </c>
    </row>
    <row r="3658" spans="1:12" ht="16" customHeight="1">
      <c r="A3658" t="s">
        <v>226</v>
      </c>
      <c r="B3658" t="s">
        <v>4</v>
      </c>
      <c r="C3658" t="s">
        <v>58</v>
      </c>
      <c r="D3658" s="24">
        <v>46174</v>
      </c>
      <c r="E3658" t="s">
        <v>485</v>
      </c>
      <c r="F3658" t="s">
        <v>4</v>
      </c>
      <c r="G3658" t="s">
        <v>211</v>
      </c>
      <c r="H3658" t="s">
        <v>211</v>
      </c>
      <c r="I3658" t="s">
        <v>219</v>
      </c>
      <c r="J3658" s="25">
        <v>445861</v>
      </c>
      <c r="K3658" s="26">
        <v>69863.289999999994</v>
      </c>
      <c r="L3658" s="26">
        <v>333.66</v>
      </c>
    </row>
    <row r="3659" spans="1:12" ht="16" customHeight="1">
      <c r="A3659" t="s">
        <v>226</v>
      </c>
      <c r="B3659" t="s">
        <v>4</v>
      </c>
      <c r="C3659" t="s">
        <v>58</v>
      </c>
      <c r="D3659" s="24">
        <v>46174</v>
      </c>
      <c r="E3659" t="s">
        <v>490</v>
      </c>
      <c r="F3659" t="s">
        <v>4</v>
      </c>
      <c r="G3659" t="s">
        <v>211</v>
      </c>
      <c r="H3659" t="s">
        <v>211</v>
      </c>
      <c r="I3659" t="s">
        <v>219</v>
      </c>
      <c r="J3659" s="25">
        <v>34331</v>
      </c>
      <c r="K3659" s="26">
        <v>5393.86</v>
      </c>
      <c r="L3659" s="26">
        <v>38.32</v>
      </c>
    </row>
    <row r="3660" spans="1:12" ht="16" customHeight="1">
      <c r="A3660" t="s">
        <v>226</v>
      </c>
      <c r="B3660" t="s">
        <v>4</v>
      </c>
      <c r="C3660" t="s">
        <v>58</v>
      </c>
      <c r="D3660" s="24">
        <v>46174</v>
      </c>
      <c r="E3660" t="s">
        <v>457</v>
      </c>
      <c r="F3660" t="s">
        <v>4</v>
      </c>
      <c r="G3660" t="s">
        <v>217</v>
      </c>
      <c r="H3660" t="s">
        <v>217</v>
      </c>
      <c r="I3660" t="s">
        <v>219</v>
      </c>
      <c r="J3660" s="25">
        <v>1085489</v>
      </c>
      <c r="K3660" s="26">
        <v>171897.73</v>
      </c>
      <c r="L3660" s="26">
        <v>2023.98</v>
      </c>
    </row>
    <row r="3661" spans="1:12" ht="16" customHeight="1">
      <c r="A3661" t="s">
        <v>226</v>
      </c>
      <c r="B3661" t="s">
        <v>4</v>
      </c>
      <c r="C3661" t="s">
        <v>58</v>
      </c>
      <c r="D3661" s="24">
        <v>46174</v>
      </c>
      <c r="E3661" t="s">
        <v>495</v>
      </c>
      <c r="F3661" t="s">
        <v>4</v>
      </c>
      <c r="G3661" t="s">
        <v>211</v>
      </c>
      <c r="H3661" t="s">
        <v>211</v>
      </c>
      <c r="I3661" t="s">
        <v>221</v>
      </c>
      <c r="J3661" s="25">
        <v>1140</v>
      </c>
      <c r="K3661" s="26">
        <v>178.88</v>
      </c>
      <c r="L3661" s="26">
        <v>0.96</v>
      </c>
    </row>
    <row r="3662" spans="1:12" ht="16" customHeight="1">
      <c r="A3662" t="s">
        <v>226</v>
      </c>
      <c r="B3662" t="s">
        <v>4</v>
      </c>
      <c r="C3662" t="s">
        <v>58</v>
      </c>
      <c r="D3662" s="24">
        <v>46174</v>
      </c>
      <c r="E3662" t="s">
        <v>476</v>
      </c>
      <c r="F3662" t="s">
        <v>4</v>
      </c>
      <c r="G3662" t="s">
        <v>217</v>
      </c>
      <c r="H3662" t="s">
        <v>217</v>
      </c>
      <c r="I3662" t="s">
        <v>221</v>
      </c>
      <c r="J3662" s="25">
        <v>81035</v>
      </c>
      <c r="K3662" s="26">
        <v>12850.8</v>
      </c>
      <c r="L3662" s="26">
        <v>146.63</v>
      </c>
    </row>
    <row r="3663" spans="1:12" ht="16" customHeight="1">
      <c r="A3663" t="s">
        <v>226</v>
      </c>
      <c r="B3663" t="s">
        <v>4</v>
      </c>
      <c r="C3663" t="s">
        <v>58</v>
      </c>
      <c r="D3663" s="24">
        <v>46174</v>
      </c>
      <c r="E3663" t="s">
        <v>269</v>
      </c>
      <c r="F3663" t="s">
        <v>4</v>
      </c>
      <c r="G3663" t="s">
        <v>217</v>
      </c>
      <c r="H3663" t="s">
        <v>217</v>
      </c>
      <c r="I3663" t="s">
        <v>223</v>
      </c>
      <c r="J3663" s="25">
        <v>60544</v>
      </c>
      <c r="K3663" s="26">
        <v>9962.68</v>
      </c>
      <c r="L3663" s="26">
        <v>296.72000000000003</v>
      </c>
    </row>
    <row r="3664" spans="1:12" ht="16" customHeight="1">
      <c r="A3664" t="s">
        <v>226</v>
      </c>
      <c r="B3664" t="s">
        <v>4</v>
      </c>
      <c r="C3664" t="s">
        <v>58</v>
      </c>
      <c r="D3664" s="24">
        <v>46174</v>
      </c>
      <c r="E3664" t="s">
        <v>228</v>
      </c>
      <c r="F3664" t="s">
        <v>4</v>
      </c>
      <c r="G3664" t="s">
        <v>217</v>
      </c>
      <c r="H3664" t="s">
        <v>217</v>
      </c>
      <c r="I3664" t="s">
        <v>225</v>
      </c>
      <c r="J3664" s="25">
        <v>50969</v>
      </c>
      <c r="K3664" s="26">
        <v>8268.94</v>
      </c>
      <c r="L3664" s="26">
        <v>212.5</v>
      </c>
    </row>
    <row r="3665" spans="1:12" ht="16" customHeight="1">
      <c r="A3665" t="s">
        <v>226</v>
      </c>
      <c r="B3665" t="s">
        <v>4</v>
      </c>
      <c r="C3665" t="s">
        <v>58</v>
      </c>
      <c r="D3665" s="24">
        <v>46174</v>
      </c>
      <c r="E3665" t="s">
        <v>439</v>
      </c>
      <c r="F3665" t="s">
        <v>4</v>
      </c>
      <c r="G3665" t="s">
        <v>217</v>
      </c>
      <c r="H3665" t="s">
        <v>217</v>
      </c>
      <c r="I3665" t="s">
        <v>227</v>
      </c>
      <c r="J3665" s="25">
        <v>561</v>
      </c>
      <c r="K3665" s="26">
        <v>83.46</v>
      </c>
      <c r="L3665" s="26">
        <v>0.95</v>
      </c>
    </row>
    <row r="3666" spans="1:12" ht="16" customHeight="1">
      <c r="A3666" t="s">
        <v>226</v>
      </c>
      <c r="B3666" t="s">
        <v>4</v>
      </c>
      <c r="C3666" t="s">
        <v>58</v>
      </c>
      <c r="D3666" s="24">
        <v>46174</v>
      </c>
      <c r="E3666" t="s">
        <v>230</v>
      </c>
      <c r="F3666" t="s">
        <v>4</v>
      </c>
      <c r="G3666" t="s">
        <v>217</v>
      </c>
      <c r="H3666" t="s">
        <v>217</v>
      </c>
      <c r="I3666" t="s">
        <v>330</v>
      </c>
      <c r="J3666" s="25">
        <v>1</v>
      </c>
      <c r="K3666" s="26">
        <v>0.14000000000000001</v>
      </c>
      <c r="L3666" s="26">
        <v>0</v>
      </c>
    </row>
    <row r="3667" spans="1:12" ht="16" customHeight="1">
      <c r="A3667" t="s">
        <v>226</v>
      </c>
      <c r="B3667" t="s">
        <v>4</v>
      </c>
      <c r="C3667" t="s">
        <v>58</v>
      </c>
      <c r="D3667" s="24">
        <v>46174</v>
      </c>
      <c r="E3667" t="s">
        <v>232</v>
      </c>
      <c r="F3667" t="s">
        <v>4</v>
      </c>
      <c r="G3667" t="s">
        <v>217</v>
      </c>
      <c r="H3667" t="s">
        <v>217</v>
      </c>
      <c r="I3667" t="s">
        <v>331</v>
      </c>
      <c r="J3667" s="25">
        <v>257</v>
      </c>
      <c r="K3667" s="26">
        <v>42.95</v>
      </c>
      <c r="L3667" s="26">
        <v>1.91</v>
      </c>
    </row>
    <row r="3668" spans="1:12" ht="16" customHeight="1">
      <c r="A3668" t="s">
        <v>226</v>
      </c>
      <c r="B3668" t="s">
        <v>4</v>
      </c>
      <c r="C3668" t="s">
        <v>58</v>
      </c>
      <c r="D3668" s="24">
        <v>46174</v>
      </c>
      <c r="E3668" t="s">
        <v>234</v>
      </c>
      <c r="F3668" t="s">
        <v>4</v>
      </c>
      <c r="G3668" t="s">
        <v>217</v>
      </c>
      <c r="H3668" t="s">
        <v>217</v>
      </c>
      <c r="I3668" t="s">
        <v>332</v>
      </c>
      <c r="J3668" s="25">
        <v>0</v>
      </c>
      <c r="K3668" s="26">
        <v>0</v>
      </c>
      <c r="L3668" s="26">
        <v>0</v>
      </c>
    </row>
    <row r="3669" spans="1:12" ht="16" customHeight="1">
      <c r="A3669" t="s">
        <v>226</v>
      </c>
      <c r="B3669" t="s">
        <v>4</v>
      </c>
      <c r="C3669" t="s">
        <v>58</v>
      </c>
      <c r="D3669" s="24">
        <v>46174</v>
      </c>
      <c r="E3669" t="s">
        <v>236</v>
      </c>
      <c r="F3669" t="s">
        <v>4</v>
      </c>
      <c r="G3669" t="s">
        <v>217</v>
      </c>
      <c r="H3669" t="s">
        <v>217</v>
      </c>
      <c r="I3669" t="s">
        <v>333</v>
      </c>
      <c r="J3669" s="25">
        <v>26</v>
      </c>
      <c r="K3669" s="26">
        <v>4.82</v>
      </c>
      <c r="L3669" s="26">
        <v>0.3</v>
      </c>
    </row>
    <row r="3670" spans="1:12" ht="16" customHeight="1">
      <c r="A3670" t="s">
        <v>226</v>
      </c>
      <c r="B3670" t="s">
        <v>4</v>
      </c>
      <c r="C3670" t="s">
        <v>58</v>
      </c>
      <c r="D3670" s="24">
        <v>46174</v>
      </c>
      <c r="E3670" t="s">
        <v>238</v>
      </c>
      <c r="F3670" t="s">
        <v>4</v>
      </c>
      <c r="G3670" t="s">
        <v>217</v>
      </c>
      <c r="H3670" t="s">
        <v>217</v>
      </c>
      <c r="I3670" t="s">
        <v>334</v>
      </c>
      <c r="J3670" s="25">
        <v>0</v>
      </c>
      <c r="K3670" s="26">
        <v>0</v>
      </c>
      <c r="L3670" s="26">
        <v>0</v>
      </c>
    </row>
    <row r="3671" spans="1:12" ht="16" customHeight="1">
      <c r="A3671" t="s">
        <v>226</v>
      </c>
      <c r="B3671" t="s">
        <v>4</v>
      </c>
      <c r="C3671" t="s">
        <v>58</v>
      </c>
      <c r="D3671" s="24">
        <v>46174</v>
      </c>
      <c r="E3671" t="s">
        <v>240</v>
      </c>
      <c r="F3671" t="s">
        <v>3</v>
      </c>
      <c r="G3671" t="s">
        <v>241</v>
      </c>
      <c r="H3671" t="s">
        <v>241</v>
      </c>
      <c r="I3671" t="s">
        <v>335</v>
      </c>
      <c r="J3671" s="25">
        <v>0</v>
      </c>
      <c r="K3671" s="26">
        <v>0</v>
      </c>
      <c r="L3671" s="26">
        <v>0</v>
      </c>
    </row>
    <row r="3672" spans="1:12" ht="16" customHeight="1">
      <c r="A3672" t="s">
        <v>226</v>
      </c>
      <c r="B3672" t="s">
        <v>4</v>
      </c>
      <c r="C3672" t="s">
        <v>58</v>
      </c>
      <c r="D3672" s="24">
        <v>46174</v>
      </c>
      <c r="E3672" t="s">
        <v>243</v>
      </c>
      <c r="F3672" t="s">
        <v>4</v>
      </c>
      <c r="G3672" t="s">
        <v>217</v>
      </c>
      <c r="H3672" t="s">
        <v>217</v>
      </c>
      <c r="I3672" t="s">
        <v>336</v>
      </c>
      <c r="J3672" s="25">
        <v>0</v>
      </c>
      <c r="K3672" s="26">
        <v>0</v>
      </c>
      <c r="L3672" s="26">
        <v>0</v>
      </c>
    </row>
    <row r="3673" spans="1:12" ht="16" customHeight="1">
      <c r="A3673" t="s">
        <v>226</v>
      </c>
      <c r="B3673" t="s">
        <v>4</v>
      </c>
      <c r="C3673" t="s">
        <v>58</v>
      </c>
      <c r="D3673" s="24">
        <v>46174</v>
      </c>
      <c r="E3673" t="s">
        <v>360</v>
      </c>
      <c r="F3673" t="s">
        <v>4</v>
      </c>
      <c r="G3673" t="s">
        <v>217</v>
      </c>
      <c r="H3673" t="s">
        <v>217</v>
      </c>
      <c r="I3673" t="s">
        <v>337</v>
      </c>
      <c r="J3673" s="25">
        <v>0</v>
      </c>
      <c r="K3673" s="26">
        <v>0</v>
      </c>
      <c r="L3673" s="26">
        <v>0</v>
      </c>
    </row>
    <row r="3674" spans="1:12" ht="16" customHeight="1">
      <c r="A3674" t="s">
        <v>498</v>
      </c>
      <c r="B3674" t="s">
        <v>5</v>
      </c>
      <c r="C3674" t="s">
        <v>59</v>
      </c>
      <c r="D3674" s="24">
        <v>46204</v>
      </c>
      <c r="E3674" t="s">
        <v>480</v>
      </c>
      <c r="F3674" t="s">
        <v>4</v>
      </c>
      <c r="G3674" t="s">
        <v>211</v>
      </c>
      <c r="H3674" t="s">
        <v>211</v>
      </c>
      <c r="I3674" t="s">
        <v>212</v>
      </c>
      <c r="J3674" s="25">
        <v>42836486</v>
      </c>
      <c r="K3674" s="26">
        <v>6710689.3300000001</v>
      </c>
      <c r="L3674" s="26">
        <v>26129.439999999999</v>
      </c>
    </row>
    <row r="3675" spans="1:12" ht="16" customHeight="1">
      <c r="A3675" t="s">
        <v>498</v>
      </c>
      <c r="B3675" t="s">
        <v>5</v>
      </c>
      <c r="C3675" t="s">
        <v>59</v>
      </c>
      <c r="D3675" s="24">
        <v>46204</v>
      </c>
      <c r="E3675" t="s">
        <v>485</v>
      </c>
      <c r="F3675" t="s">
        <v>4</v>
      </c>
      <c r="G3675" t="s">
        <v>211</v>
      </c>
      <c r="H3675" t="s">
        <v>211</v>
      </c>
      <c r="I3675" t="s">
        <v>212</v>
      </c>
      <c r="J3675" s="25">
        <v>894088</v>
      </c>
      <c r="K3675" s="26">
        <v>140070.07</v>
      </c>
      <c r="L3675" s="26">
        <v>590.95000000000005</v>
      </c>
    </row>
    <row r="3676" spans="1:12" ht="16" customHeight="1">
      <c r="A3676" t="s">
        <v>498</v>
      </c>
      <c r="B3676" t="s">
        <v>5</v>
      </c>
      <c r="C3676" t="s">
        <v>59</v>
      </c>
      <c r="D3676" s="24">
        <v>46204</v>
      </c>
      <c r="E3676" t="s">
        <v>490</v>
      </c>
      <c r="F3676" t="s">
        <v>4</v>
      </c>
      <c r="G3676" t="s">
        <v>211</v>
      </c>
      <c r="H3676" t="s">
        <v>211</v>
      </c>
      <c r="I3676" t="s">
        <v>212</v>
      </c>
      <c r="J3676" s="25">
        <v>42588</v>
      </c>
      <c r="K3676" s="26">
        <v>6686.57</v>
      </c>
      <c r="L3676" s="26">
        <v>38.89</v>
      </c>
    </row>
    <row r="3677" spans="1:12" ht="16" customHeight="1">
      <c r="A3677" t="s">
        <v>498</v>
      </c>
      <c r="B3677" t="s">
        <v>5</v>
      </c>
      <c r="C3677" t="s">
        <v>59</v>
      </c>
      <c r="D3677" s="24">
        <v>46204</v>
      </c>
      <c r="E3677" t="s">
        <v>457</v>
      </c>
      <c r="F3677" t="s">
        <v>4</v>
      </c>
      <c r="G3677" t="s">
        <v>217</v>
      </c>
      <c r="H3677" t="s">
        <v>217</v>
      </c>
      <c r="I3677" t="s">
        <v>212</v>
      </c>
      <c r="J3677" s="25">
        <v>1017356</v>
      </c>
      <c r="K3677" s="26">
        <v>159819.32999999999</v>
      </c>
      <c r="L3677" s="26">
        <v>1263.8599999999999</v>
      </c>
    </row>
    <row r="3678" spans="1:12" ht="16" customHeight="1">
      <c r="A3678" t="s">
        <v>498</v>
      </c>
      <c r="B3678" t="s">
        <v>5</v>
      </c>
      <c r="C3678" t="s">
        <v>59</v>
      </c>
      <c r="D3678" s="24">
        <v>46204</v>
      </c>
      <c r="E3678" t="s">
        <v>495</v>
      </c>
      <c r="F3678" t="s">
        <v>4</v>
      </c>
      <c r="G3678" t="s">
        <v>211</v>
      </c>
      <c r="H3678" t="s">
        <v>211</v>
      </c>
      <c r="I3678" t="s">
        <v>219</v>
      </c>
      <c r="J3678" s="25">
        <v>2037</v>
      </c>
      <c r="K3678" s="26">
        <v>317.64999999999998</v>
      </c>
      <c r="L3678" s="26">
        <v>1.88</v>
      </c>
    </row>
    <row r="3679" spans="1:12" ht="16" customHeight="1">
      <c r="A3679" t="s">
        <v>498</v>
      </c>
      <c r="B3679" t="s">
        <v>5</v>
      </c>
      <c r="C3679" t="s">
        <v>59</v>
      </c>
      <c r="D3679" s="24">
        <v>46204</v>
      </c>
      <c r="E3679" t="s">
        <v>476</v>
      </c>
      <c r="F3679" t="s">
        <v>4</v>
      </c>
      <c r="G3679" t="s">
        <v>217</v>
      </c>
      <c r="H3679" t="s">
        <v>217</v>
      </c>
      <c r="I3679" t="s">
        <v>219</v>
      </c>
      <c r="J3679" s="25">
        <v>84613</v>
      </c>
      <c r="K3679" s="26">
        <v>13289.98</v>
      </c>
      <c r="L3679" s="26">
        <v>124.43</v>
      </c>
    </row>
    <row r="3680" spans="1:12" ht="16" customHeight="1">
      <c r="A3680" t="s">
        <v>498</v>
      </c>
      <c r="B3680" t="s">
        <v>5</v>
      </c>
      <c r="C3680" t="s">
        <v>59</v>
      </c>
      <c r="D3680" s="24">
        <v>46204</v>
      </c>
      <c r="E3680" t="s">
        <v>269</v>
      </c>
      <c r="F3680" t="s">
        <v>4</v>
      </c>
      <c r="G3680" t="s">
        <v>217</v>
      </c>
      <c r="H3680" t="s">
        <v>217</v>
      </c>
      <c r="I3680" t="s">
        <v>221</v>
      </c>
      <c r="J3680" s="25">
        <v>59349</v>
      </c>
      <c r="K3680" s="26">
        <v>9372.2000000000007</v>
      </c>
      <c r="L3680" s="26">
        <v>143.18</v>
      </c>
    </row>
    <row r="3681" spans="1:12" ht="16" customHeight="1">
      <c r="A3681" t="s">
        <v>498</v>
      </c>
      <c r="B3681" t="s">
        <v>5</v>
      </c>
      <c r="C3681" t="s">
        <v>59</v>
      </c>
      <c r="D3681" s="24">
        <v>46204</v>
      </c>
      <c r="E3681" t="s">
        <v>228</v>
      </c>
      <c r="F3681" t="s">
        <v>4</v>
      </c>
      <c r="G3681" t="s">
        <v>217</v>
      </c>
      <c r="H3681" t="s">
        <v>217</v>
      </c>
      <c r="I3681" t="s">
        <v>267</v>
      </c>
      <c r="J3681" s="25">
        <v>36887</v>
      </c>
      <c r="K3681" s="26">
        <v>5945.64</v>
      </c>
      <c r="L3681" s="26">
        <v>129.59</v>
      </c>
    </row>
    <row r="3682" spans="1:12" ht="16" customHeight="1">
      <c r="A3682" t="s">
        <v>498</v>
      </c>
      <c r="B3682" t="s">
        <v>5</v>
      </c>
      <c r="C3682" t="s">
        <v>59</v>
      </c>
      <c r="D3682" s="24">
        <v>46204</v>
      </c>
      <c r="E3682" t="s">
        <v>439</v>
      </c>
      <c r="F3682" t="s">
        <v>4</v>
      </c>
      <c r="G3682" t="s">
        <v>217</v>
      </c>
      <c r="H3682" t="s">
        <v>217</v>
      </c>
      <c r="I3682" t="s">
        <v>268</v>
      </c>
      <c r="J3682" s="25">
        <v>1499</v>
      </c>
      <c r="K3682" s="26">
        <v>217.63</v>
      </c>
      <c r="L3682" s="26">
        <v>2.2999999999999998</v>
      </c>
    </row>
    <row r="3683" spans="1:12" ht="16" customHeight="1">
      <c r="A3683" t="s">
        <v>498</v>
      </c>
      <c r="B3683" t="s">
        <v>5</v>
      </c>
      <c r="C3683" t="s">
        <v>59</v>
      </c>
      <c r="D3683" s="24">
        <v>46204</v>
      </c>
      <c r="E3683" t="s">
        <v>230</v>
      </c>
      <c r="F3683" t="s">
        <v>4</v>
      </c>
      <c r="G3683" t="s">
        <v>217</v>
      </c>
      <c r="H3683" t="s">
        <v>217</v>
      </c>
      <c r="I3683" t="s">
        <v>270</v>
      </c>
      <c r="J3683" s="25">
        <v>65</v>
      </c>
      <c r="K3683" s="26">
        <v>8.98</v>
      </c>
      <c r="L3683" s="26">
        <v>0.09</v>
      </c>
    </row>
    <row r="3684" spans="1:12" ht="16" customHeight="1">
      <c r="A3684" t="s">
        <v>498</v>
      </c>
      <c r="B3684" t="s">
        <v>5</v>
      </c>
      <c r="C3684" t="s">
        <v>59</v>
      </c>
      <c r="D3684" s="24">
        <v>46204</v>
      </c>
      <c r="E3684" t="s">
        <v>232</v>
      </c>
      <c r="F3684" t="s">
        <v>4</v>
      </c>
      <c r="G3684" t="s">
        <v>217</v>
      </c>
      <c r="H3684" t="s">
        <v>217</v>
      </c>
      <c r="I3684" t="s">
        <v>363</v>
      </c>
      <c r="J3684" s="25">
        <v>396</v>
      </c>
      <c r="K3684" s="26">
        <v>68.599999999999994</v>
      </c>
      <c r="L3684" s="26">
        <v>3.08</v>
      </c>
    </row>
    <row r="3685" spans="1:12" ht="16" customHeight="1">
      <c r="A3685" t="s">
        <v>498</v>
      </c>
      <c r="B3685" t="s">
        <v>5</v>
      </c>
      <c r="C3685" t="s">
        <v>59</v>
      </c>
      <c r="D3685" s="24">
        <v>46204</v>
      </c>
      <c r="E3685" t="s">
        <v>234</v>
      </c>
      <c r="F3685" t="s">
        <v>4</v>
      </c>
      <c r="G3685" t="s">
        <v>217</v>
      </c>
      <c r="H3685" t="s">
        <v>217</v>
      </c>
      <c r="I3685" t="s">
        <v>364</v>
      </c>
      <c r="J3685" s="25">
        <v>0</v>
      </c>
      <c r="K3685" s="26">
        <v>0</v>
      </c>
      <c r="L3685" s="26">
        <v>0</v>
      </c>
    </row>
    <row r="3686" spans="1:12" ht="16" customHeight="1">
      <c r="A3686" t="s">
        <v>498</v>
      </c>
      <c r="B3686" t="s">
        <v>5</v>
      </c>
      <c r="C3686" t="s">
        <v>59</v>
      </c>
      <c r="D3686" s="24">
        <v>46204</v>
      </c>
      <c r="E3686" t="s">
        <v>236</v>
      </c>
      <c r="F3686" t="s">
        <v>4</v>
      </c>
      <c r="G3686" t="s">
        <v>217</v>
      </c>
      <c r="H3686" t="s">
        <v>217</v>
      </c>
      <c r="I3686" t="s">
        <v>365</v>
      </c>
      <c r="J3686" s="25">
        <v>5</v>
      </c>
      <c r="K3686" s="26">
        <v>0.9</v>
      </c>
      <c r="L3686" s="26">
        <v>7.0000000000000007E-2</v>
      </c>
    </row>
    <row r="3687" spans="1:12" ht="16" customHeight="1">
      <c r="A3687" t="s">
        <v>498</v>
      </c>
      <c r="B3687" t="s">
        <v>5</v>
      </c>
      <c r="C3687" t="s">
        <v>59</v>
      </c>
      <c r="D3687" s="24">
        <v>46204</v>
      </c>
      <c r="E3687" t="s">
        <v>238</v>
      </c>
      <c r="F3687" t="s">
        <v>4</v>
      </c>
      <c r="G3687" t="s">
        <v>217</v>
      </c>
      <c r="H3687" t="s">
        <v>217</v>
      </c>
      <c r="I3687" t="s">
        <v>366</v>
      </c>
      <c r="J3687" s="25">
        <v>0</v>
      </c>
      <c r="K3687" s="26">
        <v>0</v>
      </c>
      <c r="L3687" s="26">
        <v>0</v>
      </c>
    </row>
    <row r="3688" spans="1:12" ht="16" customHeight="1">
      <c r="A3688" t="s">
        <v>498</v>
      </c>
      <c r="B3688" t="s">
        <v>5</v>
      </c>
      <c r="C3688" t="s">
        <v>59</v>
      </c>
      <c r="D3688" s="24">
        <v>46204</v>
      </c>
      <c r="E3688" t="s">
        <v>240</v>
      </c>
      <c r="F3688" t="s">
        <v>3</v>
      </c>
      <c r="G3688" t="s">
        <v>241</v>
      </c>
      <c r="H3688" t="s">
        <v>241</v>
      </c>
      <c r="I3688" t="s">
        <v>367</v>
      </c>
      <c r="J3688" s="25">
        <v>0</v>
      </c>
      <c r="K3688" s="26">
        <v>0</v>
      </c>
      <c r="L3688" s="26">
        <v>0</v>
      </c>
    </row>
    <row r="3689" spans="1:12" ht="16" customHeight="1">
      <c r="A3689" t="s">
        <v>498</v>
      </c>
      <c r="B3689" t="s">
        <v>5</v>
      </c>
      <c r="C3689" t="s">
        <v>59</v>
      </c>
      <c r="D3689" s="24">
        <v>46204</v>
      </c>
      <c r="E3689" t="s">
        <v>243</v>
      </c>
      <c r="F3689" t="s">
        <v>4</v>
      </c>
      <c r="G3689" t="s">
        <v>217</v>
      </c>
      <c r="H3689" t="s">
        <v>217</v>
      </c>
      <c r="I3689" t="s">
        <v>368</v>
      </c>
      <c r="J3689" s="25">
        <v>0</v>
      </c>
      <c r="K3689" s="26">
        <v>0</v>
      </c>
      <c r="L3689" s="26">
        <v>0</v>
      </c>
    </row>
    <row r="3690" spans="1:12" ht="16" customHeight="1">
      <c r="A3690" t="s">
        <v>498</v>
      </c>
      <c r="B3690" t="s">
        <v>5</v>
      </c>
      <c r="C3690" t="s">
        <v>59</v>
      </c>
      <c r="D3690" s="24">
        <v>46204</v>
      </c>
      <c r="E3690" t="s">
        <v>360</v>
      </c>
      <c r="F3690" t="s">
        <v>4</v>
      </c>
      <c r="G3690" t="s">
        <v>217</v>
      </c>
      <c r="H3690" t="s">
        <v>217</v>
      </c>
      <c r="I3690" t="s">
        <v>369</v>
      </c>
      <c r="J3690" s="25">
        <v>1</v>
      </c>
      <c r="K3690" s="26">
        <v>0.16</v>
      </c>
      <c r="L3690" s="26">
        <v>0.01</v>
      </c>
    </row>
    <row r="3691" spans="1:12" ht="16" customHeight="1">
      <c r="A3691" t="s">
        <v>498</v>
      </c>
      <c r="B3691" t="s">
        <v>5</v>
      </c>
      <c r="C3691" t="s">
        <v>59</v>
      </c>
      <c r="D3691" s="24">
        <v>46204</v>
      </c>
      <c r="E3691" t="s">
        <v>499</v>
      </c>
      <c r="F3691" t="s">
        <v>4</v>
      </c>
      <c r="G3691" t="s">
        <v>217</v>
      </c>
      <c r="H3691" t="s">
        <v>217</v>
      </c>
      <c r="I3691" t="s">
        <v>370</v>
      </c>
      <c r="J3691" s="25">
        <v>0</v>
      </c>
      <c r="K3691" s="26">
        <v>0</v>
      </c>
      <c r="L3691" s="26">
        <v>0</v>
      </c>
    </row>
    <row r="3692" spans="1:12" ht="16" customHeight="1">
      <c r="A3692" t="s">
        <v>500</v>
      </c>
      <c r="B3692" t="s">
        <v>6</v>
      </c>
      <c r="C3692" t="s">
        <v>59</v>
      </c>
      <c r="D3692" s="24">
        <v>46204</v>
      </c>
      <c r="E3692" t="s">
        <v>480</v>
      </c>
      <c r="F3692" t="s">
        <v>4</v>
      </c>
      <c r="G3692" t="s">
        <v>211</v>
      </c>
      <c r="H3692" t="s">
        <v>211</v>
      </c>
      <c r="I3692" t="s">
        <v>212</v>
      </c>
      <c r="J3692" s="25">
        <v>45582572</v>
      </c>
      <c r="K3692" s="26">
        <v>7156664.8799999999</v>
      </c>
      <c r="L3692" s="26">
        <v>20523.25</v>
      </c>
    </row>
    <row r="3693" spans="1:12" ht="16" customHeight="1">
      <c r="A3693" t="s">
        <v>500</v>
      </c>
      <c r="B3693" t="s">
        <v>6</v>
      </c>
      <c r="C3693" t="s">
        <v>59</v>
      </c>
      <c r="D3693" s="24">
        <v>46204</v>
      </c>
      <c r="E3693" t="s">
        <v>485</v>
      </c>
      <c r="F3693" t="s">
        <v>4</v>
      </c>
      <c r="G3693" t="s">
        <v>211</v>
      </c>
      <c r="H3693" t="s">
        <v>211</v>
      </c>
      <c r="I3693" t="s">
        <v>212</v>
      </c>
      <c r="J3693" s="25">
        <v>1463551</v>
      </c>
      <c r="K3693" s="26">
        <v>229125.53</v>
      </c>
      <c r="L3693" s="26">
        <v>825.4</v>
      </c>
    </row>
    <row r="3694" spans="1:12" ht="16" customHeight="1">
      <c r="A3694" t="s">
        <v>500</v>
      </c>
      <c r="B3694" t="s">
        <v>6</v>
      </c>
      <c r="C3694" t="s">
        <v>59</v>
      </c>
      <c r="D3694" s="24">
        <v>46204</v>
      </c>
      <c r="E3694" t="s">
        <v>490</v>
      </c>
      <c r="F3694" t="s">
        <v>4</v>
      </c>
      <c r="G3694" t="s">
        <v>211</v>
      </c>
      <c r="H3694" t="s">
        <v>211</v>
      </c>
      <c r="I3694" t="s">
        <v>212</v>
      </c>
      <c r="J3694" s="25">
        <v>107536</v>
      </c>
      <c r="K3694" s="26">
        <v>16912.009999999998</v>
      </c>
      <c r="L3694" s="26">
        <v>84.21</v>
      </c>
    </row>
    <row r="3695" spans="1:12" ht="16" customHeight="1">
      <c r="A3695" t="s">
        <v>500</v>
      </c>
      <c r="B3695" t="s">
        <v>6</v>
      </c>
      <c r="C3695" t="s">
        <v>59</v>
      </c>
      <c r="D3695" s="24">
        <v>46204</v>
      </c>
      <c r="E3695" t="s">
        <v>457</v>
      </c>
      <c r="F3695" t="s">
        <v>4</v>
      </c>
      <c r="G3695" t="s">
        <v>217</v>
      </c>
      <c r="H3695" t="s">
        <v>217</v>
      </c>
      <c r="I3695" t="s">
        <v>212</v>
      </c>
      <c r="J3695" s="25">
        <v>1135616</v>
      </c>
      <c r="K3695" s="26">
        <v>178726.99</v>
      </c>
      <c r="L3695" s="26">
        <v>1379.97</v>
      </c>
    </row>
    <row r="3696" spans="1:12" ht="16" customHeight="1">
      <c r="A3696" t="s">
        <v>500</v>
      </c>
      <c r="B3696" t="s">
        <v>6</v>
      </c>
      <c r="C3696" t="s">
        <v>59</v>
      </c>
      <c r="D3696" s="24">
        <v>46204</v>
      </c>
      <c r="E3696" t="s">
        <v>495</v>
      </c>
      <c r="F3696" t="s">
        <v>4</v>
      </c>
      <c r="G3696" t="s">
        <v>211</v>
      </c>
      <c r="H3696" t="s">
        <v>211</v>
      </c>
      <c r="I3696" t="s">
        <v>219</v>
      </c>
      <c r="J3696" s="25">
        <v>3339</v>
      </c>
      <c r="K3696" s="26">
        <v>521.41999999999996</v>
      </c>
      <c r="L3696" s="26">
        <v>3.41</v>
      </c>
    </row>
    <row r="3697" spans="1:12" ht="16" customHeight="1">
      <c r="A3697" t="s">
        <v>500</v>
      </c>
      <c r="B3697" t="s">
        <v>6</v>
      </c>
      <c r="C3697" t="s">
        <v>59</v>
      </c>
      <c r="D3697" s="24">
        <v>46204</v>
      </c>
      <c r="E3697" t="s">
        <v>476</v>
      </c>
      <c r="F3697" t="s">
        <v>4</v>
      </c>
      <c r="G3697" t="s">
        <v>217</v>
      </c>
      <c r="H3697" t="s">
        <v>217</v>
      </c>
      <c r="I3697" t="s">
        <v>219</v>
      </c>
      <c r="J3697" s="25">
        <v>108526</v>
      </c>
      <c r="K3697" s="26">
        <v>16953.150000000001</v>
      </c>
      <c r="L3697" s="26">
        <v>144.88999999999999</v>
      </c>
    </row>
    <row r="3698" spans="1:12" ht="16" customHeight="1">
      <c r="A3698" t="s">
        <v>500</v>
      </c>
      <c r="B3698" t="s">
        <v>6</v>
      </c>
      <c r="C3698" t="s">
        <v>59</v>
      </c>
      <c r="D3698" s="24">
        <v>46204</v>
      </c>
      <c r="E3698" t="s">
        <v>269</v>
      </c>
      <c r="F3698" t="s">
        <v>4</v>
      </c>
      <c r="G3698" t="s">
        <v>217</v>
      </c>
      <c r="H3698" t="s">
        <v>217</v>
      </c>
      <c r="I3698" t="s">
        <v>221</v>
      </c>
      <c r="J3698" s="25">
        <v>48735</v>
      </c>
      <c r="K3698" s="26">
        <v>7640.12</v>
      </c>
      <c r="L3698" s="26">
        <v>82.65</v>
      </c>
    </row>
    <row r="3699" spans="1:12" ht="16" customHeight="1">
      <c r="A3699" t="s">
        <v>500</v>
      </c>
      <c r="B3699" t="s">
        <v>6</v>
      </c>
      <c r="C3699" t="s">
        <v>59</v>
      </c>
      <c r="D3699" s="24">
        <v>46204</v>
      </c>
      <c r="E3699" t="s">
        <v>228</v>
      </c>
      <c r="F3699" t="s">
        <v>4</v>
      </c>
      <c r="G3699" t="s">
        <v>217</v>
      </c>
      <c r="H3699" t="s">
        <v>217</v>
      </c>
      <c r="I3699" t="s">
        <v>267</v>
      </c>
      <c r="J3699" s="25">
        <v>47993</v>
      </c>
      <c r="K3699" s="26">
        <v>7612.64</v>
      </c>
      <c r="L3699" s="26">
        <v>157.15</v>
      </c>
    </row>
    <row r="3700" spans="1:12" ht="16" customHeight="1">
      <c r="A3700" t="s">
        <v>500</v>
      </c>
      <c r="B3700" t="s">
        <v>6</v>
      </c>
      <c r="C3700" t="s">
        <v>59</v>
      </c>
      <c r="D3700" s="24">
        <v>46204</v>
      </c>
      <c r="E3700" t="s">
        <v>439</v>
      </c>
      <c r="F3700" t="s">
        <v>4</v>
      </c>
      <c r="G3700" t="s">
        <v>217</v>
      </c>
      <c r="H3700" t="s">
        <v>217</v>
      </c>
      <c r="I3700" t="s">
        <v>268</v>
      </c>
      <c r="J3700" s="25">
        <v>6616</v>
      </c>
      <c r="K3700" s="26">
        <v>980.5</v>
      </c>
      <c r="L3700" s="26">
        <v>10.63</v>
      </c>
    </row>
    <row r="3701" spans="1:12" ht="16" customHeight="1">
      <c r="A3701" t="s">
        <v>500</v>
      </c>
      <c r="B3701" t="s">
        <v>6</v>
      </c>
      <c r="C3701" t="s">
        <v>59</v>
      </c>
      <c r="D3701" s="24">
        <v>46204</v>
      </c>
      <c r="E3701" t="s">
        <v>230</v>
      </c>
      <c r="F3701" t="s">
        <v>4</v>
      </c>
      <c r="G3701" t="s">
        <v>217</v>
      </c>
      <c r="H3701" t="s">
        <v>217</v>
      </c>
      <c r="I3701" t="s">
        <v>270</v>
      </c>
      <c r="J3701" s="25">
        <v>43</v>
      </c>
      <c r="K3701" s="26">
        <v>5.95</v>
      </c>
      <c r="L3701" s="26">
        <v>0.06</v>
      </c>
    </row>
    <row r="3702" spans="1:12" ht="16" customHeight="1">
      <c r="A3702" t="s">
        <v>500</v>
      </c>
      <c r="B3702" t="s">
        <v>6</v>
      </c>
      <c r="C3702" t="s">
        <v>59</v>
      </c>
      <c r="D3702" s="24">
        <v>46204</v>
      </c>
      <c r="E3702" t="s">
        <v>232</v>
      </c>
      <c r="F3702" t="s">
        <v>4</v>
      </c>
      <c r="G3702" t="s">
        <v>217</v>
      </c>
      <c r="H3702" t="s">
        <v>217</v>
      </c>
      <c r="I3702" t="s">
        <v>363</v>
      </c>
      <c r="J3702" s="25">
        <v>471</v>
      </c>
      <c r="K3702" s="26">
        <v>82.54</v>
      </c>
      <c r="L3702" s="26">
        <v>2.73</v>
      </c>
    </row>
    <row r="3703" spans="1:12" ht="16" customHeight="1">
      <c r="A3703" t="s">
        <v>500</v>
      </c>
      <c r="B3703" t="s">
        <v>6</v>
      </c>
      <c r="C3703" t="s">
        <v>59</v>
      </c>
      <c r="D3703" s="24">
        <v>46204</v>
      </c>
      <c r="E3703" t="s">
        <v>234</v>
      </c>
      <c r="F3703" t="s">
        <v>4</v>
      </c>
      <c r="G3703" t="s">
        <v>217</v>
      </c>
      <c r="H3703" t="s">
        <v>217</v>
      </c>
      <c r="I3703" t="s">
        <v>364</v>
      </c>
      <c r="J3703" s="25">
        <v>0</v>
      </c>
      <c r="K3703" s="26">
        <v>0</v>
      </c>
      <c r="L3703" s="26">
        <v>0</v>
      </c>
    </row>
    <row r="3704" spans="1:12" ht="16" customHeight="1">
      <c r="A3704" t="s">
        <v>500</v>
      </c>
      <c r="B3704" t="s">
        <v>6</v>
      </c>
      <c r="C3704" t="s">
        <v>59</v>
      </c>
      <c r="D3704" s="24">
        <v>46204</v>
      </c>
      <c r="E3704" t="s">
        <v>236</v>
      </c>
      <c r="F3704" t="s">
        <v>4</v>
      </c>
      <c r="G3704" t="s">
        <v>217</v>
      </c>
      <c r="H3704" t="s">
        <v>217</v>
      </c>
      <c r="I3704" t="s">
        <v>365</v>
      </c>
      <c r="J3704" s="25">
        <v>30</v>
      </c>
      <c r="K3704" s="26">
        <v>4.47</v>
      </c>
      <c r="L3704" s="26">
        <v>0.14000000000000001</v>
      </c>
    </row>
    <row r="3705" spans="1:12" ht="16" customHeight="1">
      <c r="A3705" t="s">
        <v>500</v>
      </c>
      <c r="B3705" t="s">
        <v>6</v>
      </c>
      <c r="C3705" t="s">
        <v>59</v>
      </c>
      <c r="D3705" s="24">
        <v>46204</v>
      </c>
      <c r="E3705" t="s">
        <v>238</v>
      </c>
      <c r="F3705" t="s">
        <v>4</v>
      </c>
      <c r="G3705" t="s">
        <v>217</v>
      </c>
      <c r="H3705" t="s">
        <v>217</v>
      </c>
      <c r="I3705" t="s">
        <v>366</v>
      </c>
      <c r="J3705" s="25">
        <v>0</v>
      </c>
      <c r="K3705" s="26">
        <v>0</v>
      </c>
      <c r="L3705" s="26">
        <v>0</v>
      </c>
    </row>
    <row r="3706" spans="1:12" ht="16" customHeight="1">
      <c r="A3706" t="s">
        <v>500</v>
      </c>
      <c r="B3706" t="s">
        <v>6</v>
      </c>
      <c r="C3706" t="s">
        <v>59</v>
      </c>
      <c r="D3706" s="24">
        <v>46204</v>
      </c>
      <c r="E3706" t="s">
        <v>240</v>
      </c>
      <c r="F3706" t="s">
        <v>3</v>
      </c>
      <c r="G3706" t="s">
        <v>241</v>
      </c>
      <c r="H3706" t="s">
        <v>241</v>
      </c>
      <c r="I3706" t="s">
        <v>367</v>
      </c>
      <c r="J3706" s="25">
        <v>0</v>
      </c>
      <c r="K3706" s="26">
        <v>0</v>
      </c>
      <c r="L3706" s="26">
        <v>0</v>
      </c>
    </row>
    <row r="3707" spans="1:12" ht="16" customHeight="1">
      <c r="A3707" t="s">
        <v>500</v>
      </c>
      <c r="B3707" t="s">
        <v>6</v>
      </c>
      <c r="C3707" t="s">
        <v>59</v>
      </c>
      <c r="D3707" s="24">
        <v>46204</v>
      </c>
      <c r="E3707" t="s">
        <v>243</v>
      </c>
      <c r="F3707" t="s">
        <v>4</v>
      </c>
      <c r="G3707" t="s">
        <v>217</v>
      </c>
      <c r="H3707" t="s">
        <v>217</v>
      </c>
      <c r="I3707" t="s">
        <v>368</v>
      </c>
      <c r="J3707" s="25">
        <v>0</v>
      </c>
      <c r="K3707" s="26">
        <v>0</v>
      </c>
      <c r="L3707" s="26">
        <v>0</v>
      </c>
    </row>
    <row r="3708" spans="1:12" ht="16" customHeight="1">
      <c r="A3708" t="s">
        <v>500</v>
      </c>
      <c r="B3708" t="s">
        <v>6</v>
      </c>
      <c r="C3708" t="s">
        <v>59</v>
      </c>
      <c r="D3708" s="24">
        <v>46204</v>
      </c>
      <c r="E3708" t="s">
        <v>360</v>
      </c>
      <c r="F3708" t="s">
        <v>4</v>
      </c>
      <c r="G3708" t="s">
        <v>217</v>
      </c>
      <c r="H3708" t="s">
        <v>217</v>
      </c>
      <c r="I3708" t="s">
        <v>369</v>
      </c>
      <c r="J3708" s="25">
        <v>0</v>
      </c>
      <c r="K3708" s="26">
        <v>0</v>
      </c>
      <c r="L3708" s="26">
        <v>0</v>
      </c>
    </row>
    <row r="3709" spans="1:12" ht="16" customHeight="1">
      <c r="A3709" t="s">
        <v>500</v>
      </c>
      <c r="B3709" t="s">
        <v>6</v>
      </c>
      <c r="C3709" t="s">
        <v>59</v>
      </c>
      <c r="D3709" s="24">
        <v>46204</v>
      </c>
      <c r="E3709" t="s">
        <v>499</v>
      </c>
      <c r="F3709" t="s">
        <v>4</v>
      </c>
      <c r="G3709" t="s">
        <v>217</v>
      </c>
      <c r="H3709" t="s">
        <v>217</v>
      </c>
      <c r="I3709" t="s">
        <v>370</v>
      </c>
      <c r="J3709" s="25">
        <v>0</v>
      </c>
      <c r="K3709" s="26">
        <v>0</v>
      </c>
      <c r="L3709" s="26">
        <v>0</v>
      </c>
    </row>
    <row r="3710" spans="1:12" ht="16" customHeight="1">
      <c r="A3710" t="s">
        <v>501</v>
      </c>
      <c r="B3710" t="s">
        <v>7</v>
      </c>
      <c r="C3710" t="s">
        <v>59</v>
      </c>
      <c r="D3710" s="24">
        <v>46204</v>
      </c>
      <c r="E3710" t="s">
        <v>480</v>
      </c>
      <c r="F3710" t="s">
        <v>4</v>
      </c>
      <c r="G3710" t="s">
        <v>211</v>
      </c>
      <c r="H3710" t="s">
        <v>211</v>
      </c>
      <c r="I3710" t="s">
        <v>212</v>
      </c>
      <c r="J3710" s="25">
        <v>84712130</v>
      </c>
      <c r="K3710" s="26">
        <v>13394332.57</v>
      </c>
      <c r="L3710" s="26">
        <v>33844.629999999997</v>
      </c>
    </row>
    <row r="3711" spans="1:12" ht="16" customHeight="1">
      <c r="A3711" t="s">
        <v>501</v>
      </c>
      <c r="B3711" t="s">
        <v>7</v>
      </c>
      <c r="C3711" t="s">
        <v>59</v>
      </c>
      <c r="D3711" s="24">
        <v>46204</v>
      </c>
      <c r="E3711" t="s">
        <v>485</v>
      </c>
      <c r="F3711" t="s">
        <v>4</v>
      </c>
      <c r="G3711" t="s">
        <v>211</v>
      </c>
      <c r="H3711" t="s">
        <v>211</v>
      </c>
      <c r="I3711" t="s">
        <v>212</v>
      </c>
      <c r="J3711" s="25">
        <v>2187650</v>
      </c>
      <c r="K3711" s="26">
        <v>345154.37</v>
      </c>
      <c r="L3711" s="26">
        <v>1190.3</v>
      </c>
    </row>
    <row r="3712" spans="1:12" ht="16" customHeight="1">
      <c r="A3712" t="s">
        <v>501</v>
      </c>
      <c r="B3712" t="s">
        <v>7</v>
      </c>
      <c r="C3712" t="s">
        <v>59</v>
      </c>
      <c r="D3712" s="24">
        <v>46204</v>
      </c>
      <c r="E3712" t="s">
        <v>490</v>
      </c>
      <c r="F3712" t="s">
        <v>4</v>
      </c>
      <c r="G3712" t="s">
        <v>211</v>
      </c>
      <c r="H3712" t="s">
        <v>211</v>
      </c>
      <c r="I3712" t="s">
        <v>212</v>
      </c>
      <c r="J3712" s="25">
        <v>142139</v>
      </c>
      <c r="K3712" s="26">
        <v>22492.15</v>
      </c>
      <c r="L3712" s="26">
        <v>112.17</v>
      </c>
    </row>
    <row r="3713" spans="1:12" ht="16" customHeight="1">
      <c r="A3713" t="s">
        <v>501</v>
      </c>
      <c r="B3713" t="s">
        <v>7</v>
      </c>
      <c r="C3713" t="s">
        <v>59</v>
      </c>
      <c r="D3713" s="24">
        <v>46204</v>
      </c>
      <c r="E3713" t="s">
        <v>457</v>
      </c>
      <c r="F3713" t="s">
        <v>4</v>
      </c>
      <c r="G3713" t="s">
        <v>217</v>
      </c>
      <c r="H3713" t="s">
        <v>217</v>
      </c>
      <c r="I3713" t="s">
        <v>212</v>
      </c>
      <c r="J3713" s="25">
        <v>1274475</v>
      </c>
      <c r="K3713" s="26">
        <v>201461.06</v>
      </c>
      <c r="L3713" s="26">
        <v>1406.02</v>
      </c>
    </row>
    <row r="3714" spans="1:12" ht="16" customHeight="1">
      <c r="A3714" t="s">
        <v>501</v>
      </c>
      <c r="B3714" t="s">
        <v>7</v>
      </c>
      <c r="C3714" t="s">
        <v>59</v>
      </c>
      <c r="D3714" s="24">
        <v>46204</v>
      </c>
      <c r="E3714" t="s">
        <v>495</v>
      </c>
      <c r="F3714" t="s">
        <v>4</v>
      </c>
      <c r="G3714" t="s">
        <v>211</v>
      </c>
      <c r="H3714" t="s">
        <v>211</v>
      </c>
      <c r="I3714" t="s">
        <v>219</v>
      </c>
      <c r="J3714" s="25">
        <v>4958</v>
      </c>
      <c r="K3714" s="26">
        <v>779.21</v>
      </c>
      <c r="L3714" s="26">
        <v>5.99</v>
      </c>
    </row>
    <row r="3715" spans="1:12" ht="16" customHeight="1">
      <c r="A3715" t="s">
        <v>501</v>
      </c>
      <c r="B3715" t="s">
        <v>7</v>
      </c>
      <c r="C3715" t="s">
        <v>59</v>
      </c>
      <c r="D3715" s="24">
        <v>46204</v>
      </c>
      <c r="E3715" t="s">
        <v>476</v>
      </c>
      <c r="F3715" t="s">
        <v>4</v>
      </c>
      <c r="G3715" t="s">
        <v>217</v>
      </c>
      <c r="H3715" t="s">
        <v>217</v>
      </c>
      <c r="I3715" t="s">
        <v>219</v>
      </c>
      <c r="J3715" s="25">
        <v>165497</v>
      </c>
      <c r="K3715" s="26">
        <v>26184.240000000002</v>
      </c>
      <c r="L3715" s="26">
        <v>240.45</v>
      </c>
    </row>
    <row r="3716" spans="1:12" ht="16" customHeight="1">
      <c r="A3716" t="s">
        <v>501</v>
      </c>
      <c r="B3716" t="s">
        <v>7</v>
      </c>
      <c r="C3716" t="s">
        <v>59</v>
      </c>
      <c r="D3716" s="24">
        <v>46204</v>
      </c>
      <c r="E3716" t="s">
        <v>269</v>
      </c>
      <c r="F3716" t="s">
        <v>4</v>
      </c>
      <c r="G3716" t="s">
        <v>217</v>
      </c>
      <c r="H3716" t="s">
        <v>217</v>
      </c>
      <c r="I3716" t="s">
        <v>221</v>
      </c>
      <c r="J3716" s="25">
        <v>69784</v>
      </c>
      <c r="K3716" s="26">
        <v>11093.03</v>
      </c>
      <c r="L3716" s="26">
        <v>134.46</v>
      </c>
    </row>
    <row r="3717" spans="1:12" ht="16" customHeight="1">
      <c r="A3717" t="s">
        <v>501</v>
      </c>
      <c r="B3717" t="s">
        <v>7</v>
      </c>
      <c r="C3717" t="s">
        <v>59</v>
      </c>
      <c r="D3717" s="24">
        <v>46204</v>
      </c>
      <c r="E3717" t="s">
        <v>228</v>
      </c>
      <c r="F3717" t="s">
        <v>4</v>
      </c>
      <c r="G3717" t="s">
        <v>217</v>
      </c>
      <c r="H3717" t="s">
        <v>217</v>
      </c>
      <c r="I3717" t="s">
        <v>267</v>
      </c>
      <c r="J3717" s="25">
        <v>62117</v>
      </c>
      <c r="K3717" s="26">
        <v>9744.77</v>
      </c>
      <c r="L3717" s="26">
        <v>173.61</v>
      </c>
    </row>
    <row r="3718" spans="1:12" ht="16" customHeight="1">
      <c r="A3718" t="s">
        <v>501</v>
      </c>
      <c r="B3718" t="s">
        <v>7</v>
      </c>
      <c r="C3718" t="s">
        <v>59</v>
      </c>
      <c r="D3718" s="24">
        <v>46204</v>
      </c>
      <c r="E3718" t="s">
        <v>439</v>
      </c>
      <c r="F3718" t="s">
        <v>4</v>
      </c>
      <c r="G3718" t="s">
        <v>217</v>
      </c>
      <c r="H3718" t="s">
        <v>217</v>
      </c>
      <c r="I3718" t="s">
        <v>268</v>
      </c>
      <c r="J3718" s="25">
        <v>12465</v>
      </c>
      <c r="K3718" s="26">
        <v>2088.4499999999998</v>
      </c>
      <c r="L3718" s="26">
        <v>25.66</v>
      </c>
    </row>
    <row r="3719" spans="1:12" ht="16" customHeight="1">
      <c r="A3719" t="s">
        <v>501</v>
      </c>
      <c r="B3719" t="s">
        <v>7</v>
      </c>
      <c r="C3719" t="s">
        <v>59</v>
      </c>
      <c r="D3719" s="24">
        <v>46204</v>
      </c>
      <c r="E3719" t="s">
        <v>230</v>
      </c>
      <c r="F3719" t="s">
        <v>4</v>
      </c>
      <c r="G3719" t="s">
        <v>217</v>
      </c>
      <c r="H3719" t="s">
        <v>217</v>
      </c>
      <c r="I3719" t="s">
        <v>270</v>
      </c>
      <c r="J3719" s="25">
        <v>3</v>
      </c>
      <c r="K3719" s="26">
        <v>0.41</v>
      </c>
      <c r="L3719" s="26">
        <v>0</v>
      </c>
    </row>
    <row r="3720" spans="1:12" ht="16" customHeight="1">
      <c r="A3720" t="s">
        <v>501</v>
      </c>
      <c r="B3720" t="s">
        <v>7</v>
      </c>
      <c r="C3720" t="s">
        <v>59</v>
      </c>
      <c r="D3720" s="24">
        <v>46204</v>
      </c>
      <c r="E3720" t="s">
        <v>232</v>
      </c>
      <c r="F3720" t="s">
        <v>4</v>
      </c>
      <c r="G3720" t="s">
        <v>217</v>
      </c>
      <c r="H3720" t="s">
        <v>217</v>
      </c>
      <c r="I3720" t="s">
        <v>363</v>
      </c>
      <c r="J3720" s="25">
        <v>548</v>
      </c>
      <c r="K3720" s="26">
        <v>92.77</v>
      </c>
      <c r="L3720" s="26">
        <v>3.79</v>
      </c>
    </row>
    <row r="3721" spans="1:12" ht="16" customHeight="1">
      <c r="A3721" t="s">
        <v>501</v>
      </c>
      <c r="B3721" t="s">
        <v>7</v>
      </c>
      <c r="C3721" t="s">
        <v>59</v>
      </c>
      <c r="D3721" s="24">
        <v>46204</v>
      </c>
      <c r="E3721" t="s">
        <v>234</v>
      </c>
      <c r="F3721" t="s">
        <v>4</v>
      </c>
      <c r="G3721" t="s">
        <v>217</v>
      </c>
      <c r="H3721" t="s">
        <v>217</v>
      </c>
      <c r="I3721" t="s">
        <v>364</v>
      </c>
      <c r="J3721" s="25">
        <v>0</v>
      </c>
      <c r="K3721" s="26">
        <v>0</v>
      </c>
      <c r="L3721" s="26">
        <v>0</v>
      </c>
    </row>
    <row r="3722" spans="1:12" ht="16" customHeight="1">
      <c r="A3722" t="s">
        <v>501</v>
      </c>
      <c r="B3722" t="s">
        <v>7</v>
      </c>
      <c r="C3722" t="s">
        <v>59</v>
      </c>
      <c r="D3722" s="24">
        <v>46204</v>
      </c>
      <c r="E3722" t="s">
        <v>236</v>
      </c>
      <c r="F3722" t="s">
        <v>4</v>
      </c>
      <c r="G3722" t="s">
        <v>217</v>
      </c>
      <c r="H3722" t="s">
        <v>217</v>
      </c>
      <c r="I3722" t="s">
        <v>365</v>
      </c>
      <c r="J3722" s="25">
        <v>11</v>
      </c>
      <c r="K3722" s="26">
        <v>1.93</v>
      </c>
      <c r="L3722" s="26">
        <v>0.12</v>
      </c>
    </row>
    <row r="3723" spans="1:12" ht="16" customHeight="1">
      <c r="A3723" t="s">
        <v>501</v>
      </c>
      <c r="B3723" t="s">
        <v>7</v>
      </c>
      <c r="C3723" t="s">
        <v>59</v>
      </c>
      <c r="D3723" s="24">
        <v>46204</v>
      </c>
      <c r="E3723" t="s">
        <v>238</v>
      </c>
      <c r="F3723" t="s">
        <v>4</v>
      </c>
      <c r="G3723" t="s">
        <v>217</v>
      </c>
      <c r="H3723" t="s">
        <v>217</v>
      </c>
      <c r="I3723" t="s">
        <v>366</v>
      </c>
      <c r="J3723" s="25">
        <v>0</v>
      </c>
      <c r="K3723" s="26">
        <v>0</v>
      </c>
      <c r="L3723" s="26">
        <v>0</v>
      </c>
    </row>
    <row r="3724" spans="1:12" ht="16" customHeight="1">
      <c r="A3724" t="s">
        <v>501</v>
      </c>
      <c r="B3724" t="s">
        <v>7</v>
      </c>
      <c r="C3724" t="s">
        <v>59</v>
      </c>
      <c r="D3724" s="24">
        <v>46204</v>
      </c>
      <c r="E3724" t="s">
        <v>240</v>
      </c>
      <c r="F3724" t="s">
        <v>3</v>
      </c>
      <c r="G3724" t="s">
        <v>241</v>
      </c>
      <c r="H3724" t="s">
        <v>241</v>
      </c>
      <c r="I3724" t="s">
        <v>367</v>
      </c>
      <c r="J3724" s="25">
        <v>1</v>
      </c>
      <c r="K3724" s="26">
        <v>0.16</v>
      </c>
      <c r="L3724" s="26">
        <v>0.01</v>
      </c>
    </row>
    <row r="3725" spans="1:12" ht="16" customHeight="1">
      <c r="A3725" t="s">
        <v>501</v>
      </c>
      <c r="B3725" t="s">
        <v>7</v>
      </c>
      <c r="C3725" t="s">
        <v>59</v>
      </c>
      <c r="D3725" s="24">
        <v>46204</v>
      </c>
      <c r="E3725" t="s">
        <v>243</v>
      </c>
      <c r="F3725" t="s">
        <v>4</v>
      </c>
      <c r="G3725" t="s">
        <v>217</v>
      </c>
      <c r="H3725" t="s">
        <v>217</v>
      </c>
      <c r="I3725" t="s">
        <v>368</v>
      </c>
      <c r="J3725" s="25">
        <v>0</v>
      </c>
      <c r="K3725" s="26">
        <v>0</v>
      </c>
      <c r="L3725" s="26">
        <v>0</v>
      </c>
    </row>
    <row r="3726" spans="1:12" ht="16" customHeight="1">
      <c r="A3726" t="s">
        <v>501</v>
      </c>
      <c r="B3726" t="s">
        <v>7</v>
      </c>
      <c r="C3726" t="s">
        <v>59</v>
      </c>
      <c r="D3726" s="24">
        <v>46204</v>
      </c>
      <c r="E3726" t="s">
        <v>360</v>
      </c>
      <c r="F3726" t="s">
        <v>4</v>
      </c>
      <c r="G3726" t="s">
        <v>217</v>
      </c>
      <c r="H3726" t="s">
        <v>217</v>
      </c>
      <c r="I3726" t="s">
        <v>369</v>
      </c>
      <c r="J3726" s="25">
        <v>0</v>
      </c>
      <c r="K3726" s="26">
        <v>0</v>
      </c>
      <c r="L3726" s="26">
        <v>0</v>
      </c>
    </row>
    <row r="3727" spans="1:12" ht="16" customHeight="1">
      <c r="A3727" t="s">
        <v>501</v>
      </c>
      <c r="B3727" t="s">
        <v>7</v>
      </c>
      <c r="C3727" t="s">
        <v>59</v>
      </c>
      <c r="D3727" s="24">
        <v>46204</v>
      </c>
      <c r="E3727" t="s">
        <v>499</v>
      </c>
      <c r="F3727" t="s">
        <v>4</v>
      </c>
      <c r="G3727" t="s">
        <v>217</v>
      </c>
      <c r="H3727" t="s">
        <v>217</v>
      </c>
      <c r="I3727" t="s">
        <v>370</v>
      </c>
      <c r="J3727" s="25">
        <v>0</v>
      </c>
      <c r="K3727" s="26">
        <v>0</v>
      </c>
      <c r="L3727" s="26">
        <v>0</v>
      </c>
    </row>
    <row r="3728" spans="1:12" ht="16" customHeight="1">
      <c r="A3728" t="s">
        <v>502</v>
      </c>
      <c r="B3728" t="s">
        <v>3</v>
      </c>
      <c r="C3728" t="s">
        <v>59</v>
      </c>
      <c r="D3728" s="24">
        <v>46204</v>
      </c>
      <c r="E3728" t="s">
        <v>480</v>
      </c>
      <c r="F3728" t="s">
        <v>4</v>
      </c>
      <c r="G3728" t="s">
        <v>211</v>
      </c>
      <c r="H3728" t="s">
        <v>211</v>
      </c>
      <c r="I3728" t="s">
        <v>212</v>
      </c>
      <c r="J3728" s="25">
        <v>119595595</v>
      </c>
      <c r="K3728" s="26">
        <v>18941753.050000001</v>
      </c>
      <c r="L3728" s="26">
        <v>32236.33</v>
      </c>
    </row>
    <row r="3729" spans="1:12" ht="16" customHeight="1">
      <c r="A3729" t="s">
        <v>502</v>
      </c>
      <c r="B3729" t="s">
        <v>3</v>
      </c>
      <c r="C3729" t="s">
        <v>59</v>
      </c>
      <c r="D3729" s="24">
        <v>46204</v>
      </c>
      <c r="E3729" t="s">
        <v>485</v>
      </c>
      <c r="F3729" t="s">
        <v>4</v>
      </c>
      <c r="G3729" t="s">
        <v>211</v>
      </c>
      <c r="H3729" t="s">
        <v>211</v>
      </c>
      <c r="I3729" t="s">
        <v>212</v>
      </c>
      <c r="J3729" s="25">
        <v>4195721</v>
      </c>
      <c r="K3729" s="26">
        <v>663880.24</v>
      </c>
      <c r="L3729" s="26">
        <v>2080.36</v>
      </c>
    </row>
    <row r="3730" spans="1:12" ht="16" customHeight="1">
      <c r="A3730" t="s">
        <v>502</v>
      </c>
      <c r="B3730" t="s">
        <v>3</v>
      </c>
      <c r="C3730" t="s">
        <v>59</v>
      </c>
      <c r="D3730" s="24">
        <v>46204</v>
      </c>
      <c r="E3730" t="s">
        <v>490</v>
      </c>
      <c r="F3730" t="s">
        <v>4</v>
      </c>
      <c r="G3730" t="s">
        <v>211</v>
      </c>
      <c r="H3730" t="s">
        <v>211</v>
      </c>
      <c r="I3730" t="s">
        <v>212</v>
      </c>
      <c r="J3730" s="25">
        <v>193767</v>
      </c>
      <c r="K3730" s="26">
        <v>30645.99</v>
      </c>
      <c r="L3730" s="26">
        <v>124.95</v>
      </c>
    </row>
    <row r="3731" spans="1:12" ht="16" customHeight="1">
      <c r="A3731" t="s">
        <v>502</v>
      </c>
      <c r="B3731" t="s">
        <v>3</v>
      </c>
      <c r="C3731" t="s">
        <v>59</v>
      </c>
      <c r="D3731" s="24">
        <v>46204</v>
      </c>
      <c r="E3731" t="s">
        <v>457</v>
      </c>
      <c r="F3731" t="s">
        <v>4</v>
      </c>
      <c r="G3731" t="s">
        <v>217</v>
      </c>
      <c r="H3731" t="s">
        <v>217</v>
      </c>
      <c r="I3731" t="s">
        <v>212</v>
      </c>
      <c r="J3731" s="25">
        <v>1224323</v>
      </c>
      <c r="K3731" s="26">
        <v>194148.49</v>
      </c>
      <c r="L3731" s="26">
        <v>1282.93</v>
      </c>
    </row>
    <row r="3732" spans="1:12" ht="16" customHeight="1">
      <c r="A3732" t="s">
        <v>502</v>
      </c>
      <c r="B3732" t="s">
        <v>3</v>
      </c>
      <c r="C3732" t="s">
        <v>59</v>
      </c>
      <c r="D3732" s="24">
        <v>46204</v>
      </c>
      <c r="E3732" t="s">
        <v>495</v>
      </c>
      <c r="F3732" t="s">
        <v>4</v>
      </c>
      <c r="G3732" t="s">
        <v>211</v>
      </c>
      <c r="H3732" t="s">
        <v>211</v>
      </c>
      <c r="I3732" t="s">
        <v>219</v>
      </c>
      <c r="J3732" s="25">
        <v>5437</v>
      </c>
      <c r="K3732" s="26">
        <v>865.71</v>
      </c>
      <c r="L3732" s="26">
        <v>5.57</v>
      </c>
    </row>
    <row r="3733" spans="1:12" ht="16" customHeight="1">
      <c r="A3733" t="s">
        <v>502</v>
      </c>
      <c r="B3733" t="s">
        <v>3</v>
      </c>
      <c r="C3733" t="s">
        <v>59</v>
      </c>
      <c r="D3733" s="24">
        <v>46204</v>
      </c>
      <c r="E3733" t="s">
        <v>476</v>
      </c>
      <c r="F3733" t="s">
        <v>4</v>
      </c>
      <c r="G3733" t="s">
        <v>217</v>
      </c>
      <c r="H3733" t="s">
        <v>217</v>
      </c>
      <c r="I3733" t="s">
        <v>219</v>
      </c>
      <c r="J3733" s="25">
        <v>161671</v>
      </c>
      <c r="K3733" s="26">
        <v>25440.23</v>
      </c>
      <c r="L3733" s="26">
        <v>222.43</v>
      </c>
    </row>
    <row r="3734" spans="1:12" ht="16" customHeight="1">
      <c r="A3734" t="s">
        <v>502</v>
      </c>
      <c r="B3734" t="s">
        <v>3</v>
      </c>
      <c r="C3734" t="s">
        <v>59</v>
      </c>
      <c r="D3734" s="24">
        <v>46204</v>
      </c>
      <c r="E3734" t="s">
        <v>269</v>
      </c>
      <c r="F3734" t="s">
        <v>4</v>
      </c>
      <c r="G3734" t="s">
        <v>217</v>
      </c>
      <c r="H3734" t="s">
        <v>217</v>
      </c>
      <c r="I3734" t="s">
        <v>221</v>
      </c>
      <c r="J3734" s="25">
        <v>60234</v>
      </c>
      <c r="K3734" s="26">
        <v>9375.73</v>
      </c>
      <c r="L3734" s="26">
        <v>104.92</v>
      </c>
    </row>
    <row r="3735" spans="1:12" ht="16" customHeight="1">
      <c r="A3735" t="s">
        <v>502</v>
      </c>
      <c r="B3735" t="s">
        <v>3</v>
      </c>
      <c r="C3735" t="s">
        <v>59</v>
      </c>
      <c r="D3735" s="24">
        <v>46204</v>
      </c>
      <c r="E3735" t="s">
        <v>228</v>
      </c>
      <c r="F3735" t="s">
        <v>4</v>
      </c>
      <c r="G3735" t="s">
        <v>217</v>
      </c>
      <c r="H3735" t="s">
        <v>217</v>
      </c>
      <c r="I3735" t="s">
        <v>267</v>
      </c>
      <c r="J3735" s="25">
        <v>45979</v>
      </c>
      <c r="K3735" s="26">
        <v>7355.93</v>
      </c>
      <c r="L3735" s="26">
        <v>142.62</v>
      </c>
    </row>
    <row r="3736" spans="1:12" ht="16" customHeight="1">
      <c r="A3736" t="s">
        <v>502</v>
      </c>
      <c r="B3736" t="s">
        <v>3</v>
      </c>
      <c r="C3736" t="s">
        <v>59</v>
      </c>
      <c r="D3736" s="24">
        <v>46204</v>
      </c>
      <c r="E3736" t="s">
        <v>439</v>
      </c>
      <c r="F3736" t="s">
        <v>4</v>
      </c>
      <c r="G3736" t="s">
        <v>217</v>
      </c>
      <c r="H3736" t="s">
        <v>217</v>
      </c>
      <c r="I3736" t="s">
        <v>268</v>
      </c>
      <c r="J3736" s="25">
        <v>1684</v>
      </c>
      <c r="K3736" s="26">
        <v>265.02</v>
      </c>
      <c r="L3736" s="26">
        <v>2.96</v>
      </c>
    </row>
    <row r="3737" spans="1:12" ht="16" customHeight="1">
      <c r="A3737" t="s">
        <v>502</v>
      </c>
      <c r="B3737" t="s">
        <v>3</v>
      </c>
      <c r="C3737" t="s">
        <v>59</v>
      </c>
      <c r="D3737" s="24">
        <v>46204</v>
      </c>
      <c r="E3737" t="s">
        <v>230</v>
      </c>
      <c r="F3737" t="s">
        <v>4</v>
      </c>
      <c r="G3737" t="s">
        <v>217</v>
      </c>
      <c r="H3737" t="s">
        <v>217</v>
      </c>
      <c r="I3737" t="s">
        <v>270</v>
      </c>
      <c r="J3737" s="25">
        <v>2</v>
      </c>
      <c r="K3737" s="26">
        <v>0.28000000000000003</v>
      </c>
      <c r="L3737" s="26">
        <v>0</v>
      </c>
    </row>
    <row r="3738" spans="1:12" ht="16" customHeight="1">
      <c r="A3738" t="s">
        <v>502</v>
      </c>
      <c r="B3738" t="s">
        <v>3</v>
      </c>
      <c r="C3738" t="s">
        <v>59</v>
      </c>
      <c r="D3738" s="24">
        <v>46204</v>
      </c>
      <c r="E3738" t="s">
        <v>232</v>
      </c>
      <c r="F3738" t="s">
        <v>4</v>
      </c>
      <c r="G3738" t="s">
        <v>217</v>
      </c>
      <c r="H3738" t="s">
        <v>217</v>
      </c>
      <c r="I3738" t="s">
        <v>363</v>
      </c>
      <c r="J3738" s="25">
        <v>516</v>
      </c>
      <c r="K3738" s="26">
        <v>87.68</v>
      </c>
      <c r="L3738" s="26">
        <v>3.49</v>
      </c>
    </row>
    <row r="3739" spans="1:12" ht="16" customHeight="1">
      <c r="A3739" t="s">
        <v>502</v>
      </c>
      <c r="B3739" t="s">
        <v>3</v>
      </c>
      <c r="C3739" t="s">
        <v>59</v>
      </c>
      <c r="D3739" s="24">
        <v>46204</v>
      </c>
      <c r="E3739" t="s">
        <v>234</v>
      </c>
      <c r="F3739" t="s">
        <v>4</v>
      </c>
      <c r="G3739" t="s">
        <v>217</v>
      </c>
      <c r="H3739" t="s">
        <v>217</v>
      </c>
      <c r="I3739" t="s">
        <v>364</v>
      </c>
      <c r="J3739" s="25">
        <v>0</v>
      </c>
      <c r="K3739" s="26">
        <v>0</v>
      </c>
      <c r="L3739" s="26">
        <v>0</v>
      </c>
    </row>
    <row r="3740" spans="1:12" ht="16" customHeight="1">
      <c r="A3740" t="s">
        <v>502</v>
      </c>
      <c r="B3740" t="s">
        <v>3</v>
      </c>
      <c r="C3740" t="s">
        <v>59</v>
      </c>
      <c r="D3740" s="24">
        <v>46204</v>
      </c>
      <c r="E3740" t="s">
        <v>236</v>
      </c>
      <c r="F3740" t="s">
        <v>4</v>
      </c>
      <c r="G3740" t="s">
        <v>217</v>
      </c>
      <c r="H3740" t="s">
        <v>217</v>
      </c>
      <c r="I3740" t="s">
        <v>365</v>
      </c>
      <c r="J3740" s="25">
        <v>4</v>
      </c>
      <c r="K3740" s="26">
        <v>0.68</v>
      </c>
      <c r="L3740" s="26">
        <v>0.03</v>
      </c>
    </row>
    <row r="3741" spans="1:12" ht="16" customHeight="1">
      <c r="A3741" t="s">
        <v>502</v>
      </c>
      <c r="B3741" t="s">
        <v>3</v>
      </c>
      <c r="C3741" t="s">
        <v>59</v>
      </c>
      <c r="D3741" s="24">
        <v>46204</v>
      </c>
      <c r="E3741" t="s">
        <v>238</v>
      </c>
      <c r="F3741" t="s">
        <v>4</v>
      </c>
      <c r="G3741" t="s">
        <v>217</v>
      </c>
      <c r="H3741" t="s">
        <v>217</v>
      </c>
      <c r="I3741" t="s">
        <v>366</v>
      </c>
      <c r="J3741" s="25">
        <v>0</v>
      </c>
      <c r="K3741" s="26">
        <v>0</v>
      </c>
      <c r="L3741" s="26">
        <v>0</v>
      </c>
    </row>
    <row r="3742" spans="1:12" ht="16" customHeight="1">
      <c r="A3742" t="s">
        <v>502</v>
      </c>
      <c r="B3742" t="s">
        <v>3</v>
      </c>
      <c r="C3742" t="s">
        <v>59</v>
      </c>
      <c r="D3742" s="24">
        <v>46204</v>
      </c>
      <c r="E3742" t="s">
        <v>240</v>
      </c>
      <c r="F3742" t="s">
        <v>3</v>
      </c>
      <c r="G3742" t="s">
        <v>241</v>
      </c>
      <c r="H3742" t="s">
        <v>241</v>
      </c>
      <c r="I3742" t="s">
        <v>367</v>
      </c>
      <c r="J3742" s="25">
        <v>1</v>
      </c>
      <c r="K3742" s="26">
        <v>0.16</v>
      </c>
      <c r="L3742" s="26">
        <v>0.01</v>
      </c>
    </row>
    <row r="3743" spans="1:12" ht="16" customHeight="1">
      <c r="A3743" t="s">
        <v>502</v>
      </c>
      <c r="B3743" t="s">
        <v>3</v>
      </c>
      <c r="C3743" t="s">
        <v>59</v>
      </c>
      <c r="D3743" s="24">
        <v>46204</v>
      </c>
      <c r="E3743" t="s">
        <v>243</v>
      </c>
      <c r="F3743" t="s">
        <v>4</v>
      </c>
      <c r="G3743" t="s">
        <v>217</v>
      </c>
      <c r="H3743" t="s">
        <v>217</v>
      </c>
      <c r="I3743" t="s">
        <v>368</v>
      </c>
      <c r="J3743" s="25">
        <v>0</v>
      </c>
      <c r="K3743" s="26">
        <v>0</v>
      </c>
      <c r="L3743" s="26">
        <v>0</v>
      </c>
    </row>
    <row r="3744" spans="1:12" ht="16" customHeight="1">
      <c r="A3744" t="s">
        <v>502</v>
      </c>
      <c r="B3744" t="s">
        <v>3</v>
      </c>
      <c r="C3744" t="s">
        <v>59</v>
      </c>
      <c r="D3744" s="24">
        <v>46204</v>
      </c>
      <c r="E3744" t="s">
        <v>360</v>
      </c>
      <c r="F3744" t="s">
        <v>4</v>
      </c>
      <c r="G3744" t="s">
        <v>217</v>
      </c>
      <c r="H3744" t="s">
        <v>217</v>
      </c>
      <c r="I3744" t="s">
        <v>369</v>
      </c>
      <c r="J3744" s="25">
        <v>0</v>
      </c>
      <c r="K3744" s="26">
        <v>0</v>
      </c>
      <c r="L3744" s="26">
        <v>0</v>
      </c>
    </row>
    <row r="3745" spans="1:12" ht="16" customHeight="1">
      <c r="A3745" t="s">
        <v>502</v>
      </c>
      <c r="B3745" t="s">
        <v>3</v>
      </c>
      <c r="C3745" t="s">
        <v>59</v>
      </c>
      <c r="D3745" s="24">
        <v>46204</v>
      </c>
      <c r="E3745" t="s">
        <v>499</v>
      </c>
      <c r="F3745" t="s">
        <v>4</v>
      </c>
      <c r="G3745" t="s">
        <v>217</v>
      </c>
      <c r="H3745" t="s">
        <v>217</v>
      </c>
      <c r="I3745" t="s">
        <v>370</v>
      </c>
      <c r="J3745" s="25">
        <v>0</v>
      </c>
      <c r="K3745" s="26">
        <v>0</v>
      </c>
      <c r="L3745" s="26">
        <v>0</v>
      </c>
    </row>
    <row r="3746" spans="1:12" ht="16" customHeight="1">
      <c r="A3746" t="s">
        <v>480</v>
      </c>
      <c r="B3746" t="s">
        <v>4</v>
      </c>
      <c r="C3746" t="s">
        <v>59</v>
      </c>
      <c r="D3746" s="24">
        <v>46204</v>
      </c>
      <c r="E3746" t="s">
        <v>480</v>
      </c>
      <c r="F3746" t="s">
        <v>4</v>
      </c>
      <c r="G3746" t="s">
        <v>211</v>
      </c>
      <c r="H3746" t="s">
        <v>211</v>
      </c>
      <c r="I3746" t="s">
        <v>212</v>
      </c>
      <c r="J3746" s="25">
        <v>375946856</v>
      </c>
      <c r="K3746" s="26">
        <v>59730496.399999999</v>
      </c>
      <c r="L3746" s="26">
        <v>51020.98</v>
      </c>
    </row>
    <row r="3747" spans="1:12" ht="16" customHeight="1">
      <c r="A3747" t="s">
        <v>480</v>
      </c>
      <c r="B3747" t="s">
        <v>4</v>
      </c>
      <c r="C3747" t="s">
        <v>59</v>
      </c>
      <c r="D3747" s="24">
        <v>46204</v>
      </c>
      <c r="E3747" t="s">
        <v>485</v>
      </c>
      <c r="F3747" t="s">
        <v>4</v>
      </c>
      <c r="G3747" t="s">
        <v>211</v>
      </c>
      <c r="H3747" t="s">
        <v>211</v>
      </c>
      <c r="I3747" t="s">
        <v>212</v>
      </c>
      <c r="J3747" s="25">
        <v>9370923</v>
      </c>
      <c r="K3747" s="26">
        <v>1490239.11</v>
      </c>
      <c r="L3747" s="26">
        <v>4615.37</v>
      </c>
    </row>
    <row r="3748" spans="1:12" ht="16" customHeight="1">
      <c r="A3748" t="s">
        <v>480</v>
      </c>
      <c r="B3748" t="s">
        <v>4</v>
      </c>
      <c r="C3748" t="s">
        <v>59</v>
      </c>
      <c r="D3748" s="24">
        <v>46204</v>
      </c>
      <c r="E3748" t="s">
        <v>490</v>
      </c>
      <c r="F3748" t="s">
        <v>4</v>
      </c>
      <c r="G3748" t="s">
        <v>211</v>
      </c>
      <c r="H3748" t="s">
        <v>211</v>
      </c>
      <c r="I3748" t="s">
        <v>212</v>
      </c>
      <c r="J3748" s="25">
        <v>329609</v>
      </c>
      <c r="K3748" s="26">
        <v>52292.34</v>
      </c>
      <c r="L3748" s="26">
        <v>200.14</v>
      </c>
    </row>
    <row r="3749" spans="1:12" ht="16" customHeight="1">
      <c r="A3749" t="s">
        <v>480</v>
      </c>
      <c r="B3749" t="s">
        <v>4</v>
      </c>
      <c r="C3749" t="s">
        <v>59</v>
      </c>
      <c r="D3749" s="24">
        <v>46204</v>
      </c>
      <c r="E3749" t="s">
        <v>457</v>
      </c>
      <c r="F3749" t="s">
        <v>4</v>
      </c>
      <c r="G3749" t="s">
        <v>217</v>
      </c>
      <c r="H3749" t="s">
        <v>217</v>
      </c>
      <c r="I3749" t="s">
        <v>212</v>
      </c>
      <c r="J3749" s="25">
        <v>1169110</v>
      </c>
      <c r="K3749" s="26">
        <v>185899.81</v>
      </c>
      <c r="L3749" s="26">
        <v>1240.06</v>
      </c>
    </row>
    <row r="3750" spans="1:12" ht="16" customHeight="1">
      <c r="A3750" t="s">
        <v>480</v>
      </c>
      <c r="B3750" t="s">
        <v>4</v>
      </c>
      <c r="C3750" t="s">
        <v>59</v>
      </c>
      <c r="D3750" s="24">
        <v>46204</v>
      </c>
      <c r="E3750" t="s">
        <v>495</v>
      </c>
      <c r="F3750" t="s">
        <v>4</v>
      </c>
      <c r="G3750" t="s">
        <v>211</v>
      </c>
      <c r="H3750" t="s">
        <v>211</v>
      </c>
      <c r="I3750" t="s">
        <v>219</v>
      </c>
      <c r="J3750" s="25">
        <v>8166</v>
      </c>
      <c r="K3750" s="26">
        <v>1298.04</v>
      </c>
      <c r="L3750" s="26">
        <v>8.6999999999999993</v>
      </c>
    </row>
    <row r="3751" spans="1:12" ht="16" customHeight="1">
      <c r="A3751" t="s">
        <v>480</v>
      </c>
      <c r="B3751" t="s">
        <v>4</v>
      </c>
      <c r="C3751" t="s">
        <v>59</v>
      </c>
      <c r="D3751" s="24">
        <v>46204</v>
      </c>
      <c r="E3751" t="s">
        <v>476</v>
      </c>
      <c r="F3751" t="s">
        <v>4</v>
      </c>
      <c r="G3751" t="s">
        <v>217</v>
      </c>
      <c r="H3751" t="s">
        <v>217</v>
      </c>
      <c r="I3751" t="s">
        <v>219</v>
      </c>
      <c r="J3751" s="25">
        <v>150392</v>
      </c>
      <c r="K3751" s="26">
        <v>23901.439999999999</v>
      </c>
      <c r="L3751" s="26">
        <v>214.66</v>
      </c>
    </row>
    <row r="3752" spans="1:12" ht="16" customHeight="1">
      <c r="A3752" t="s">
        <v>480</v>
      </c>
      <c r="B3752" t="s">
        <v>4</v>
      </c>
      <c r="C3752" t="s">
        <v>59</v>
      </c>
      <c r="D3752" s="24">
        <v>46204</v>
      </c>
      <c r="E3752" t="s">
        <v>269</v>
      </c>
      <c r="F3752" t="s">
        <v>4</v>
      </c>
      <c r="G3752" t="s">
        <v>217</v>
      </c>
      <c r="H3752" t="s">
        <v>217</v>
      </c>
      <c r="I3752" t="s">
        <v>221</v>
      </c>
      <c r="J3752" s="25">
        <v>53315</v>
      </c>
      <c r="K3752" s="26">
        <v>8315.5499999999993</v>
      </c>
      <c r="L3752" s="26">
        <v>100.31</v>
      </c>
    </row>
    <row r="3753" spans="1:12" ht="16" customHeight="1">
      <c r="A3753" t="s">
        <v>480</v>
      </c>
      <c r="B3753" t="s">
        <v>4</v>
      </c>
      <c r="C3753" t="s">
        <v>59</v>
      </c>
      <c r="D3753" s="24">
        <v>46204</v>
      </c>
      <c r="E3753" t="s">
        <v>228</v>
      </c>
      <c r="F3753" t="s">
        <v>4</v>
      </c>
      <c r="G3753" t="s">
        <v>217</v>
      </c>
      <c r="H3753" t="s">
        <v>217</v>
      </c>
      <c r="I3753" t="s">
        <v>267</v>
      </c>
      <c r="J3753" s="25">
        <v>46545</v>
      </c>
      <c r="K3753" s="26">
        <v>7343.52</v>
      </c>
      <c r="L3753" s="26">
        <v>132.4</v>
      </c>
    </row>
    <row r="3754" spans="1:12" ht="16" customHeight="1">
      <c r="A3754" t="s">
        <v>480</v>
      </c>
      <c r="B3754" t="s">
        <v>4</v>
      </c>
      <c r="C3754" t="s">
        <v>59</v>
      </c>
      <c r="D3754" s="24">
        <v>46204</v>
      </c>
      <c r="E3754" t="s">
        <v>439</v>
      </c>
      <c r="F3754" t="s">
        <v>4</v>
      </c>
      <c r="G3754" t="s">
        <v>217</v>
      </c>
      <c r="H3754" t="s">
        <v>217</v>
      </c>
      <c r="I3754" t="s">
        <v>268</v>
      </c>
      <c r="J3754" s="25">
        <v>8898</v>
      </c>
      <c r="K3754" s="26">
        <v>1299.46</v>
      </c>
      <c r="L3754" s="26">
        <v>10.78</v>
      </c>
    </row>
    <row r="3755" spans="1:12" ht="16" customHeight="1">
      <c r="A3755" t="s">
        <v>480</v>
      </c>
      <c r="B3755" t="s">
        <v>4</v>
      </c>
      <c r="C3755" t="s">
        <v>59</v>
      </c>
      <c r="D3755" s="24">
        <v>46204</v>
      </c>
      <c r="E3755" t="s">
        <v>230</v>
      </c>
      <c r="F3755" t="s">
        <v>4</v>
      </c>
      <c r="G3755" t="s">
        <v>217</v>
      </c>
      <c r="H3755" t="s">
        <v>217</v>
      </c>
      <c r="I3755" t="s">
        <v>270</v>
      </c>
      <c r="J3755" s="25">
        <v>3</v>
      </c>
      <c r="K3755" s="26">
        <v>0.41</v>
      </c>
      <c r="L3755" s="26">
        <v>0</v>
      </c>
    </row>
    <row r="3756" spans="1:12" ht="16" customHeight="1">
      <c r="A3756" t="s">
        <v>480</v>
      </c>
      <c r="B3756" t="s">
        <v>4</v>
      </c>
      <c r="C3756" t="s">
        <v>59</v>
      </c>
      <c r="D3756" s="24">
        <v>46204</v>
      </c>
      <c r="E3756" t="s">
        <v>232</v>
      </c>
      <c r="F3756" t="s">
        <v>4</v>
      </c>
      <c r="G3756" t="s">
        <v>217</v>
      </c>
      <c r="H3756" t="s">
        <v>217</v>
      </c>
      <c r="I3756" t="s">
        <v>363</v>
      </c>
      <c r="J3756" s="25">
        <v>477</v>
      </c>
      <c r="K3756" s="26">
        <v>79.55</v>
      </c>
      <c r="L3756" s="26">
        <v>3.16</v>
      </c>
    </row>
    <row r="3757" spans="1:12" ht="16" customHeight="1">
      <c r="A3757" t="s">
        <v>480</v>
      </c>
      <c r="B3757" t="s">
        <v>4</v>
      </c>
      <c r="C3757" t="s">
        <v>59</v>
      </c>
      <c r="D3757" s="24">
        <v>46204</v>
      </c>
      <c r="E3757" t="s">
        <v>234</v>
      </c>
      <c r="F3757" t="s">
        <v>4</v>
      </c>
      <c r="G3757" t="s">
        <v>217</v>
      </c>
      <c r="H3757" t="s">
        <v>217</v>
      </c>
      <c r="I3757" t="s">
        <v>364</v>
      </c>
      <c r="J3757" s="25">
        <v>0</v>
      </c>
      <c r="K3757" s="26">
        <v>0</v>
      </c>
      <c r="L3757" s="26">
        <v>0</v>
      </c>
    </row>
    <row r="3758" spans="1:12" ht="16" customHeight="1">
      <c r="A3758" t="s">
        <v>480</v>
      </c>
      <c r="B3758" t="s">
        <v>4</v>
      </c>
      <c r="C3758" t="s">
        <v>59</v>
      </c>
      <c r="D3758" s="24">
        <v>46204</v>
      </c>
      <c r="E3758" t="s">
        <v>236</v>
      </c>
      <c r="F3758" t="s">
        <v>4</v>
      </c>
      <c r="G3758" t="s">
        <v>217</v>
      </c>
      <c r="H3758" t="s">
        <v>217</v>
      </c>
      <c r="I3758" t="s">
        <v>365</v>
      </c>
      <c r="J3758" s="25">
        <v>2</v>
      </c>
      <c r="K3758" s="26">
        <v>0.34</v>
      </c>
      <c r="L3758" s="26">
        <v>0.01</v>
      </c>
    </row>
    <row r="3759" spans="1:12" ht="16" customHeight="1">
      <c r="A3759" t="s">
        <v>480</v>
      </c>
      <c r="B3759" t="s">
        <v>4</v>
      </c>
      <c r="C3759" t="s">
        <v>59</v>
      </c>
      <c r="D3759" s="24">
        <v>46204</v>
      </c>
      <c r="E3759" t="s">
        <v>238</v>
      </c>
      <c r="F3759" t="s">
        <v>4</v>
      </c>
      <c r="G3759" t="s">
        <v>217</v>
      </c>
      <c r="H3759" t="s">
        <v>217</v>
      </c>
      <c r="I3759" t="s">
        <v>366</v>
      </c>
      <c r="J3759" s="25">
        <v>0</v>
      </c>
      <c r="K3759" s="26">
        <v>0</v>
      </c>
      <c r="L3759" s="26">
        <v>0</v>
      </c>
    </row>
    <row r="3760" spans="1:12" ht="16" customHeight="1">
      <c r="A3760" t="s">
        <v>480</v>
      </c>
      <c r="B3760" t="s">
        <v>4</v>
      </c>
      <c r="C3760" t="s">
        <v>59</v>
      </c>
      <c r="D3760" s="24">
        <v>46204</v>
      </c>
      <c r="E3760" t="s">
        <v>240</v>
      </c>
      <c r="F3760" t="s">
        <v>3</v>
      </c>
      <c r="G3760" t="s">
        <v>241</v>
      </c>
      <c r="H3760" t="s">
        <v>241</v>
      </c>
      <c r="I3760" t="s">
        <v>367</v>
      </c>
      <c r="J3760" s="25">
        <v>0</v>
      </c>
      <c r="K3760" s="26">
        <v>0</v>
      </c>
      <c r="L3760" s="26">
        <v>0</v>
      </c>
    </row>
    <row r="3761" spans="1:12" ht="16" customHeight="1">
      <c r="A3761" t="s">
        <v>480</v>
      </c>
      <c r="B3761" t="s">
        <v>4</v>
      </c>
      <c r="C3761" t="s">
        <v>59</v>
      </c>
      <c r="D3761" s="24">
        <v>46204</v>
      </c>
      <c r="E3761" t="s">
        <v>243</v>
      </c>
      <c r="F3761" t="s">
        <v>4</v>
      </c>
      <c r="G3761" t="s">
        <v>217</v>
      </c>
      <c r="H3761" t="s">
        <v>217</v>
      </c>
      <c r="I3761" t="s">
        <v>368</v>
      </c>
      <c r="J3761" s="25">
        <v>0</v>
      </c>
      <c r="K3761" s="26">
        <v>0</v>
      </c>
      <c r="L3761" s="26">
        <v>0</v>
      </c>
    </row>
    <row r="3762" spans="1:12" ht="16" customHeight="1">
      <c r="A3762" t="s">
        <v>480</v>
      </c>
      <c r="B3762" t="s">
        <v>4</v>
      </c>
      <c r="C3762" t="s">
        <v>59</v>
      </c>
      <c r="D3762" s="24">
        <v>46204</v>
      </c>
      <c r="E3762" t="s">
        <v>360</v>
      </c>
      <c r="F3762" t="s">
        <v>4</v>
      </c>
      <c r="G3762" t="s">
        <v>217</v>
      </c>
      <c r="H3762" t="s">
        <v>217</v>
      </c>
      <c r="I3762" t="s">
        <v>369</v>
      </c>
      <c r="J3762" s="25">
        <v>0</v>
      </c>
      <c r="K3762" s="26">
        <v>0</v>
      </c>
      <c r="L3762" s="26">
        <v>0</v>
      </c>
    </row>
    <row r="3763" spans="1:12" ht="16" customHeight="1">
      <c r="A3763" t="s">
        <v>480</v>
      </c>
      <c r="B3763" t="s">
        <v>4</v>
      </c>
      <c r="C3763" t="s">
        <v>59</v>
      </c>
      <c r="D3763" s="24">
        <v>46204</v>
      </c>
      <c r="E3763" t="s">
        <v>499</v>
      </c>
      <c r="F3763" t="s">
        <v>4</v>
      </c>
      <c r="G3763" t="s">
        <v>217</v>
      </c>
      <c r="H3763" t="s">
        <v>217</v>
      </c>
      <c r="I3763" t="s">
        <v>370</v>
      </c>
      <c r="J3763" s="25">
        <v>0</v>
      </c>
      <c r="K3763" s="26">
        <v>0</v>
      </c>
      <c r="L3763" s="26">
        <v>0</v>
      </c>
    </row>
    <row r="3764" spans="1:12" ht="16">
      <c r="A3764" t="s">
        <v>503</v>
      </c>
      <c r="B3764" t="s">
        <v>5</v>
      </c>
      <c r="C3764" t="s">
        <v>60</v>
      </c>
      <c r="D3764" s="24">
        <v>46204</v>
      </c>
      <c r="E3764" t="s">
        <v>485</v>
      </c>
      <c r="F3764" t="s">
        <v>4</v>
      </c>
      <c r="G3764" t="s">
        <v>211</v>
      </c>
      <c r="H3764" t="s">
        <v>211</v>
      </c>
      <c r="I3764" t="s">
        <v>212</v>
      </c>
      <c r="J3764" s="25">
        <v>62568650</v>
      </c>
      <c r="K3764" s="26">
        <v>9851035.0800000001</v>
      </c>
      <c r="L3764" s="26">
        <v>36307.4</v>
      </c>
    </row>
    <row r="3765" spans="1:12" ht="16">
      <c r="A3765" t="s">
        <v>503</v>
      </c>
      <c r="B3765" t="s">
        <v>5</v>
      </c>
      <c r="C3765" t="s">
        <v>60</v>
      </c>
      <c r="D3765" s="24">
        <v>46204</v>
      </c>
      <c r="E3765" t="s">
        <v>490</v>
      </c>
      <c r="F3765" t="s">
        <v>4</v>
      </c>
      <c r="G3765" t="s">
        <v>211</v>
      </c>
      <c r="H3765" t="s">
        <v>211</v>
      </c>
      <c r="I3765" t="s">
        <v>212</v>
      </c>
      <c r="J3765" s="25">
        <v>1566643</v>
      </c>
      <c r="K3765" s="26">
        <v>246178.48</v>
      </c>
      <c r="L3765" s="26">
        <v>1194.07</v>
      </c>
    </row>
    <row r="3766" spans="1:12" ht="16">
      <c r="A3766" t="s">
        <v>503</v>
      </c>
      <c r="B3766" t="s">
        <v>5</v>
      </c>
      <c r="C3766" t="s">
        <v>60</v>
      </c>
      <c r="D3766" s="24">
        <v>46204</v>
      </c>
      <c r="E3766" t="s">
        <v>457</v>
      </c>
      <c r="F3766" t="s">
        <v>4</v>
      </c>
      <c r="G3766" t="s">
        <v>217</v>
      </c>
      <c r="H3766" t="s">
        <v>217</v>
      </c>
      <c r="I3766" t="s">
        <v>212</v>
      </c>
      <c r="J3766" s="25">
        <v>2799928</v>
      </c>
      <c r="K3766" s="26">
        <v>441089.78</v>
      </c>
      <c r="L3766" s="26">
        <v>3159.17</v>
      </c>
    </row>
    <row r="3767" spans="1:12" ht="16">
      <c r="A3767" t="s">
        <v>503</v>
      </c>
      <c r="B3767" t="s">
        <v>5</v>
      </c>
      <c r="C3767" t="s">
        <v>60</v>
      </c>
      <c r="D3767" s="24">
        <v>46204</v>
      </c>
      <c r="E3767" t="s">
        <v>495</v>
      </c>
      <c r="F3767" t="s">
        <v>4</v>
      </c>
      <c r="G3767" t="s">
        <v>211</v>
      </c>
      <c r="H3767" t="s">
        <v>211</v>
      </c>
      <c r="I3767" t="s">
        <v>219</v>
      </c>
      <c r="J3767" s="25">
        <v>38139</v>
      </c>
      <c r="K3767" s="26">
        <v>6019.24</v>
      </c>
      <c r="L3767" s="26">
        <v>54.03</v>
      </c>
    </row>
    <row r="3768" spans="1:12" ht="16">
      <c r="A3768" t="s">
        <v>503</v>
      </c>
      <c r="B3768" t="s">
        <v>5</v>
      </c>
      <c r="C3768" t="s">
        <v>60</v>
      </c>
      <c r="D3768" s="24">
        <v>46204</v>
      </c>
      <c r="E3768" t="s">
        <v>504</v>
      </c>
      <c r="F3768" t="s">
        <v>4</v>
      </c>
      <c r="G3768" t="s">
        <v>211</v>
      </c>
      <c r="H3768" t="s">
        <v>211</v>
      </c>
      <c r="I3768" t="s">
        <v>219</v>
      </c>
      <c r="J3768" s="25">
        <v>878</v>
      </c>
      <c r="K3768" s="26">
        <v>139.38999999999999</v>
      </c>
      <c r="L3768" s="26">
        <v>1.64</v>
      </c>
    </row>
    <row r="3769" spans="1:12" ht="16">
      <c r="A3769" t="s">
        <v>503</v>
      </c>
      <c r="B3769" t="s">
        <v>5</v>
      </c>
      <c r="C3769" t="s">
        <v>60</v>
      </c>
      <c r="D3769" s="24">
        <v>46204</v>
      </c>
      <c r="E3769" t="s">
        <v>476</v>
      </c>
      <c r="F3769" t="s">
        <v>4</v>
      </c>
      <c r="G3769" t="s">
        <v>217</v>
      </c>
      <c r="H3769" t="s">
        <v>217</v>
      </c>
      <c r="I3769" t="s">
        <v>219</v>
      </c>
      <c r="J3769" s="25">
        <v>388623</v>
      </c>
      <c r="K3769" s="26">
        <v>61344.01</v>
      </c>
      <c r="L3769" s="26">
        <v>561.83000000000004</v>
      </c>
    </row>
    <row r="3770" spans="1:12" ht="16">
      <c r="A3770" t="s">
        <v>503</v>
      </c>
      <c r="B3770" t="s">
        <v>5</v>
      </c>
      <c r="C3770" t="s">
        <v>60</v>
      </c>
      <c r="D3770" s="24">
        <v>46204</v>
      </c>
      <c r="E3770" t="s">
        <v>269</v>
      </c>
      <c r="F3770" t="s">
        <v>4</v>
      </c>
      <c r="G3770" t="s">
        <v>217</v>
      </c>
      <c r="H3770" t="s">
        <v>217</v>
      </c>
      <c r="I3770" t="s">
        <v>221</v>
      </c>
      <c r="J3770" s="25">
        <v>148897</v>
      </c>
      <c r="K3770" s="26">
        <v>23126.52</v>
      </c>
      <c r="L3770" s="26">
        <v>241.69</v>
      </c>
    </row>
    <row r="3771" spans="1:12" ht="16">
      <c r="A3771" t="s">
        <v>503</v>
      </c>
      <c r="B3771" t="s">
        <v>5</v>
      </c>
      <c r="C3771" t="s">
        <v>60</v>
      </c>
      <c r="D3771" s="24">
        <v>46204</v>
      </c>
      <c r="E3771" t="s">
        <v>228</v>
      </c>
      <c r="F3771" t="s">
        <v>4</v>
      </c>
      <c r="G3771" t="s">
        <v>217</v>
      </c>
      <c r="H3771" t="s">
        <v>217</v>
      </c>
      <c r="I3771" t="s">
        <v>267</v>
      </c>
      <c r="J3771" s="25">
        <v>95898</v>
      </c>
      <c r="K3771" s="26">
        <v>15416.35</v>
      </c>
      <c r="L3771" s="26">
        <v>271.52</v>
      </c>
    </row>
    <row r="3772" spans="1:12" ht="16">
      <c r="A3772" t="s">
        <v>503</v>
      </c>
      <c r="B3772" t="s">
        <v>5</v>
      </c>
      <c r="C3772" t="s">
        <v>60</v>
      </c>
      <c r="D3772" s="24">
        <v>46204</v>
      </c>
      <c r="E3772" t="s">
        <v>439</v>
      </c>
      <c r="F3772" t="s">
        <v>4</v>
      </c>
      <c r="G3772" t="s">
        <v>217</v>
      </c>
      <c r="H3772" t="s">
        <v>217</v>
      </c>
      <c r="I3772" t="s">
        <v>268</v>
      </c>
      <c r="J3772" s="25">
        <v>4570</v>
      </c>
      <c r="K3772" s="26">
        <v>728.75</v>
      </c>
      <c r="L3772" s="26">
        <v>8.3699999999999992</v>
      </c>
    </row>
    <row r="3773" spans="1:12" ht="16">
      <c r="A3773" t="s">
        <v>503</v>
      </c>
      <c r="B3773" t="s">
        <v>5</v>
      </c>
      <c r="C3773" t="s">
        <v>60</v>
      </c>
      <c r="D3773" s="24">
        <v>46204</v>
      </c>
      <c r="E3773" t="s">
        <v>230</v>
      </c>
      <c r="F3773" t="s">
        <v>4</v>
      </c>
      <c r="G3773" t="s">
        <v>217</v>
      </c>
      <c r="H3773" t="s">
        <v>217</v>
      </c>
      <c r="I3773" t="s">
        <v>270</v>
      </c>
      <c r="J3773" s="25">
        <v>0</v>
      </c>
      <c r="K3773" s="26">
        <v>0</v>
      </c>
      <c r="L3773" s="26">
        <v>0</v>
      </c>
    </row>
    <row r="3774" spans="1:12" ht="16">
      <c r="A3774" t="s">
        <v>503</v>
      </c>
      <c r="B3774" t="s">
        <v>5</v>
      </c>
      <c r="C3774" t="s">
        <v>60</v>
      </c>
      <c r="D3774" s="24">
        <v>46204</v>
      </c>
      <c r="E3774" t="s">
        <v>232</v>
      </c>
      <c r="F3774" t="s">
        <v>4</v>
      </c>
      <c r="G3774" t="s">
        <v>217</v>
      </c>
      <c r="H3774" t="s">
        <v>217</v>
      </c>
      <c r="I3774" t="s">
        <v>363</v>
      </c>
      <c r="J3774" s="25">
        <v>1667</v>
      </c>
      <c r="K3774" s="26">
        <v>287.72000000000003</v>
      </c>
      <c r="L3774" s="26">
        <v>12.55</v>
      </c>
    </row>
    <row r="3775" spans="1:12" ht="16">
      <c r="A3775" t="s">
        <v>503</v>
      </c>
      <c r="B3775" t="s">
        <v>5</v>
      </c>
      <c r="C3775" t="s">
        <v>60</v>
      </c>
      <c r="D3775" s="24">
        <v>46204</v>
      </c>
      <c r="E3775" t="s">
        <v>234</v>
      </c>
      <c r="F3775" t="s">
        <v>4</v>
      </c>
      <c r="G3775" t="s">
        <v>217</v>
      </c>
      <c r="H3775" t="s">
        <v>217</v>
      </c>
      <c r="I3775" t="s">
        <v>364</v>
      </c>
      <c r="J3775" s="25">
        <v>3</v>
      </c>
      <c r="K3775" s="26">
        <v>0.44</v>
      </c>
      <c r="L3775" s="26">
        <v>0.01</v>
      </c>
    </row>
    <row r="3776" spans="1:12" ht="16">
      <c r="A3776" t="s">
        <v>503</v>
      </c>
      <c r="B3776" t="s">
        <v>5</v>
      </c>
      <c r="C3776" t="s">
        <v>60</v>
      </c>
      <c r="D3776" s="24">
        <v>46204</v>
      </c>
      <c r="E3776" t="s">
        <v>236</v>
      </c>
      <c r="F3776" t="s">
        <v>4</v>
      </c>
      <c r="G3776" t="s">
        <v>217</v>
      </c>
      <c r="H3776" t="s">
        <v>217</v>
      </c>
      <c r="I3776" t="s">
        <v>365</v>
      </c>
      <c r="J3776" s="25">
        <v>15</v>
      </c>
      <c r="K3776" s="26">
        <v>2.4500000000000002</v>
      </c>
      <c r="L3776" s="26">
        <v>0.11</v>
      </c>
    </row>
    <row r="3777" spans="1:12" ht="16">
      <c r="A3777" t="s">
        <v>503</v>
      </c>
      <c r="B3777" t="s">
        <v>5</v>
      </c>
      <c r="C3777" t="s">
        <v>60</v>
      </c>
      <c r="D3777" s="24">
        <v>46204</v>
      </c>
      <c r="E3777" t="s">
        <v>238</v>
      </c>
      <c r="F3777" t="s">
        <v>4</v>
      </c>
      <c r="G3777" t="s">
        <v>217</v>
      </c>
      <c r="H3777" t="s">
        <v>217</v>
      </c>
      <c r="I3777" t="s">
        <v>366</v>
      </c>
      <c r="J3777" s="25">
        <v>0</v>
      </c>
      <c r="K3777" s="26">
        <v>0</v>
      </c>
      <c r="L3777" s="26">
        <v>0</v>
      </c>
    </row>
    <row r="3778" spans="1:12" ht="16">
      <c r="A3778" t="s">
        <v>503</v>
      </c>
      <c r="B3778" t="s">
        <v>5</v>
      </c>
      <c r="C3778" t="s">
        <v>60</v>
      </c>
      <c r="D3778" s="24">
        <v>46204</v>
      </c>
      <c r="E3778" t="s">
        <v>240</v>
      </c>
      <c r="F3778" t="s">
        <v>3</v>
      </c>
      <c r="G3778" t="s">
        <v>241</v>
      </c>
      <c r="H3778" t="s">
        <v>241</v>
      </c>
      <c r="I3778" t="s">
        <v>367</v>
      </c>
      <c r="J3778" s="25">
        <v>2</v>
      </c>
      <c r="K3778" s="26">
        <v>0.2</v>
      </c>
      <c r="L3778" s="26">
        <v>0</v>
      </c>
    </row>
    <row r="3779" spans="1:12" ht="16">
      <c r="A3779" t="s">
        <v>503</v>
      </c>
      <c r="B3779" t="s">
        <v>5</v>
      </c>
      <c r="C3779" t="s">
        <v>60</v>
      </c>
      <c r="D3779" s="24">
        <v>46204</v>
      </c>
      <c r="E3779" t="s">
        <v>243</v>
      </c>
      <c r="F3779" t="s">
        <v>4</v>
      </c>
      <c r="G3779" t="s">
        <v>217</v>
      </c>
      <c r="H3779" t="s">
        <v>217</v>
      </c>
      <c r="I3779" t="s">
        <v>368</v>
      </c>
      <c r="J3779" s="25">
        <v>0</v>
      </c>
      <c r="K3779" s="26">
        <v>0</v>
      </c>
      <c r="L3779" s="26">
        <v>0</v>
      </c>
    </row>
    <row r="3780" spans="1:12" ht="16">
      <c r="A3780" t="s">
        <v>503</v>
      </c>
      <c r="B3780" t="s">
        <v>5</v>
      </c>
      <c r="C3780" t="s">
        <v>60</v>
      </c>
      <c r="D3780" s="24">
        <v>46204</v>
      </c>
      <c r="E3780" t="s">
        <v>360</v>
      </c>
      <c r="F3780" t="s">
        <v>4</v>
      </c>
      <c r="G3780" t="s">
        <v>217</v>
      </c>
      <c r="H3780" t="s">
        <v>217</v>
      </c>
      <c r="I3780" t="s">
        <v>369</v>
      </c>
      <c r="J3780" s="25">
        <v>0</v>
      </c>
      <c r="K3780" s="26">
        <v>0</v>
      </c>
      <c r="L3780" s="26">
        <v>0</v>
      </c>
    </row>
    <row r="3781" spans="1:12" ht="16">
      <c r="A3781" t="s">
        <v>503</v>
      </c>
      <c r="B3781" t="s">
        <v>5</v>
      </c>
      <c r="C3781" t="s">
        <v>60</v>
      </c>
      <c r="D3781" s="24">
        <v>46204</v>
      </c>
      <c r="E3781" t="s">
        <v>499</v>
      </c>
      <c r="F3781" t="s">
        <v>4</v>
      </c>
      <c r="G3781" t="s">
        <v>217</v>
      </c>
      <c r="H3781" t="s">
        <v>217</v>
      </c>
      <c r="I3781" t="s">
        <v>370</v>
      </c>
      <c r="J3781" s="25">
        <v>0</v>
      </c>
      <c r="K3781" s="26">
        <v>0</v>
      </c>
      <c r="L3781" s="26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2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12" style="4" customWidth="1"/>
    <col min="2" max="2" width="11" style="4" customWidth="1"/>
    <col min="3" max="3" width="18.83203125" style="4" customWidth="1"/>
    <col min="4" max="4" width="14" style="4" customWidth="1"/>
    <col min="5" max="5" width="12" style="4" customWidth="1"/>
    <col min="6" max="6" width="11" style="4" customWidth="1"/>
    <col min="7" max="7" width="20" style="4" customWidth="1"/>
    <col min="8" max="8" width="20.83203125" style="4" customWidth="1"/>
    <col min="9" max="9" width="18" style="4" customWidth="1"/>
    <col min="10" max="10" width="20" style="4" customWidth="1"/>
    <col min="11" max="12" width="26" style="4" customWidth="1"/>
    <col min="13" max="30" width="8.83203125" style="4" customWidth="1"/>
    <col min="31" max="16384" width="8.83203125" style="4"/>
  </cols>
  <sheetData>
    <row r="1" spans="1:12" ht="16" customHeight="1">
      <c r="A1" s="35" t="s">
        <v>200</v>
      </c>
      <c r="B1" s="35" t="s">
        <v>201</v>
      </c>
      <c r="C1" s="35" t="s">
        <v>2</v>
      </c>
      <c r="D1" s="35" t="s">
        <v>192</v>
      </c>
      <c r="E1" s="35" t="s">
        <v>202</v>
      </c>
      <c r="F1" s="35" t="s">
        <v>203</v>
      </c>
      <c r="G1" s="35" t="s">
        <v>204</v>
      </c>
      <c r="H1" s="35" t="s">
        <v>205</v>
      </c>
      <c r="I1" s="35" t="s">
        <v>206</v>
      </c>
      <c r="J1" s="35" t="s">
        <v>207</v>
      </c>
      <c r="K1" s="35" t="s">
        <v>208</v>
      </c>
      <c r="L1" s="35" t="s">
        <v>157</v>
      </c>
    </row>
    <row r="2" spans="1:12" ht="16" customHeight="1">
      <c r="A2" t="s">
        <v>209</v>
      </c>
      <c r="B2" t="s">
        <v>3</v>
      </c>
      <c r="C2" t="s">
        <v>10</v>
      </c>
      <c r="D2" s="24">
        <v>45901</v>
      </c>
      <c r="E2" t="s">
        <v>216</v>
      </c>
      <c r="F2" t="s">
        <v>4</v>
      </c>
      <c r="G2" t="s">
        <v>217</v>
      </c>
      <c r="H2" t="s">
        <v>217</v>
      </c>
      <c r="I2" t="s">
        <v>212</v>
      </c>
      <c r="J2" s="25">
        <v>2038762</v>
      </c>
      <c r="K2" s="26">
        <v>388441.65</v>
      </c>
      <c r="L2" s="26">
        <v>3260.23</v>
      </c>
    </row>
    <row r="3" spans="1:12" ht="16" customHeight="1">
      <c r="A3" t="s">
        <v>209</v>
      </c>
      <c r="B3" t="s">
        <v>3</v>
      </c>
      <c r="C3" t="s">
        <v>10</v>
      </c>
      <c r="D3" s="24">
        <v>45901</v>
      </c>
      <c r="E3" t="s">
        <v>218</v>
      </c>
      <c r="F3" t="s">
        <v>4</v>
      </c>
      <c r="G3" t="s">
        <v>217</v>
      </c>
      <c r="H3" t="s">
        <v>217</v>
      </c>
      <c r="I3" t="s">
        <v>219</v>
      </c>
      <c r="J3" s="25">
        <v>17731</v>
      </c>
      <c r="K3" s="26">
        <v>3412.63</v>
      </c>
      <c r="L3" s="26">
        <v>30.66</v>
      </c>
    </row>
    <row r="4" spans="1:12" ht="16" customHeight="1">
      <c r="A4" t="s">
        <v>209</v>
      </c>
      <c r="B4" t="s">
        <v>3</v>
      </c>
      <c r="C4" t="s">
        <v>10</v>
      </c>
      <c r="D4" s="24">
        <v>45901</v>
      </c>
      <c r="E4" t="s">
        <v>220</v>
      </c>
      <c r="F4" t="s">
        <v>4</v>
      </c>
      <c r="G4" t="s">
        <v>217</v>
      </c>
      <c r="H4" t="s">
        <v>217</v>
      </c>
      <c r="I4" t="s">
        <v>221</v>
      </c>
      <c r="J4" s="25">
        <v>382</v>
      </c>
      <c r="K4" s="26">
        <v>74.260000000000005</v>
      </c>
      <c r="L4" s="26">
        <v>1.57</v>
      </c>
    </row>
    <row r="5" spans="1:12" ht="16" customHeight="1">
      <c r="A5" t="s">
        <v>209</v>
      </c>
      <c r="B5" t="s">
        <v>3</v>
      </c>
      <c r="C5" t="s">
        <v>10</v>
      </c>
      <c r="D5" s="24">
        <v>45901</v>
      </c>
      <c r="E5" t="s">
        <v>222</v>
      </c>
      <c r="F5" t="s">
        <v>4</v>
      </c>
      <c r="G5" t="s">
        <v>217</v>
      </c>
      <c r="H5" t="s">
        <v>217</v>
      </c>
      <c r="I5" t="s">
        <v>223</v>
      </c>
      <c r="J5" s="25">
        <v>3133</v>
      </c>
      <c r="K5" s="26">
        <v>616.69000000000005</v>
      </c>
      <c r="L5" s="26">
        <v>8.51</v>
      </c>
    </row>
    <row r="6" spans="1:12" ht="16" customHeight="1">
      <c r="A6" t="s">
        <v>209</v>
      </c>
      <c r="B6" t="s">
        <v>3</v>
      </c>
      <c r="C6" t="s">
        <v>10</v>
      </c>
      <c r="D6" s="24">
        <v>45901</v>
      </c>
      <c r="E6" t="s">
        <v>224</v>
      </c>
      <c r="F6" t="s">
        <v>4</v>
      </c>
      <c r="G6" t="s">
        <v>217</v>
      </c>
      <c r="H6" t="s">
        <v>217</v>
      </c>
      <c r="I6" t="s">
        <v>225</v>
      </c>
      <c r="J6" s="25">
        <v>123</v>
      </c>
      <c r="K6" s="26">
        <v>25.75</v>
      </c>
      <c r="L6" s="26">
        <v>0.41</v>
      </c>
    </row>
    <row r="7" spans="1:12" ht="16" customHeight="1">
      <c r="A7" t="s">
        <v>209</v>
      </c>
      <c r="B7" t="s">
        <v>3</v>
      </c>
      <c r="C7" t="s">
        <v>10</v>
      </c>
      <c r="D7" s="24">
        <v>45901</v>
      </c>
      <c r="E7" t="s">
        <v>226</v>
      </c>
      <c r="F7" t="s">
        <v>4</v>
      </c>
      <c r="G7" t="s">
        <v>217</v>
      </c>
      <c r="H7" t="s">
        <v>217</v>
      </c>
      <c r="I7" t="s">
        <v>227</v>
      </c>
      <c r="J7" s="25">
        <v>0</v>
      </c>
      <c r="K7" s="26">
        <v>0</v>
      </c>
      <c r="L7" s="26">
        <v>0</v>
      </c>
    </row>
    <row r="8" spans="1:12" ht="16" customHeight="1">
      <c r="A8" t="s">
        <v>210</v>
      </c>
      <c r="B8" t="s">
        <v>4</v>
      </c>
      <c r="C8" t="s">
        <v>10</v>
      </c>
      <c r="D8" s="24">
        <v>45901</v>
      </c>
      <c r="E8" t="s">
        <v>216</v>
      </c>
      <c r="F8" t="s">
        <v>4</v>
      </c>
      <c r="G8" t="s">
        <v>217</v>
      </c>
      <c r="H8" t="s">
        <v>217</v>
      </c>
      <c r="I8" t="s">
        <v>212</v>
      </c>
      <c r="J8" s="25">
        <v>2335453</v>
      </c>
      <c r="K8" s="26">
        <v>444731.57</v>
      </c>
      <c r="L8" s="26">
        <v>3739.23</v>
      </c>
    </row>
    <row r="9" spans="1:12" ht="16" customHeight="1">
      <c r="A9" t="s">
        <v>210</v>
      </c>
      <c r="B9" t="s">
        <v>4</v>
      </c>
      <c r="C9" t="s">
        <v>10</v>
      </c>
      <c r="D9" s="24">
        <v>45901</v>
      </c>
      <c r="E9" t="s">
        <v>218</v>
      </c>
      <c r="F9" t="s">
        <v>4</v>
      </c>
      <c r="G9" t="s">
        <v>217</v>
      </c>
      <c r="H9" t="s">
        <v>217</v>
      </c>
      <c r="I9" t="s">
        <v>219</v>
      </c>
      <c r="J9" s="25">
        <v>25566</v>
      </c>
      <c r="K9" s="26">
        <v>4934.97</v>
      </c>
      <c r="L9" s="26">
        <v>48.37</v>
      </c>
    </row>
    <row r="10" spans="1:12" ht="16" customHeight="1">
      <c r="A10" t="s">
        <v>210</v>
      </c>
      <c r="B10" t="s">
        <v>4</v>
      </c>
      <c r="C10" t="s">
        <v>10</v>
      </c>
      <c r="D10" s="24">
        <v>45901</v>
      </c>
      <c r="E10" t="s">
        <v>220</v>
      </c>
      <c r="F10" t="s">
        <v>4</v>
      </c>
      <c r="G10" t="s">
        <v>217</v>
      </c>
      <c r="H10" t="s">
        <v>217</v>
      </c>
      <c r="I10" t="s">
        <v>221</v>
      </c>
      <c r="J10" s="25">
        <v>633</v>
      </c>
      <c r="K10" s="26">
        <v>122.79</v>
      </c>
      <c r="L10" s="26">
        <v>2.5</v>
      </c>
    </row>
    <row r="11" spans="1:12" ht="16" customHeight="1">
      <c r="A11" t="s">
        <v>210</v>
      </c>
      <c r="B11" t="s">
        <v>4</v>
      </c>
      <c r="C11" t="s">
        <v>10</v>
      </c>
      <c r="D11" s="24">
        <v>45901</v>
      </c>
      <c r="E11" t="s">
        <v>222</v>
      </c>
      <c r="F11" t="s">
        <v>4</v>
      </c>
      <c r="G11" t="s">
        <v>217</v>
      </c>
      <c r="H11" t="s">
        <v>217</v>
      </c>
      <c r="I11" t="s">
        <v>223</v>
      </c>
      <c r="J11" s="25">
        <v>3041</v>
      </c>
      <c r="K11" s="26">
        <v>601.14</v>
      </c>
      <c r="L11" s="26">
        <v>8.4</v>
      </c>
    </row>
    <row r="12" spans="1:12" ht="16" customHeight="1">
      <c r="A12" t="s">
        <v>210</v>
      </c>
      <c r="B12" t="s">
        <v>4</v>
      </c>
      <c r="C12" t="s">
        <v>10</v>
      </c>
      <c r="D12" s="24">
        <v>45901</v>
      </c>
      <c r="E12" t="s">
        <v>224</v>
      </c>
      <c r="F12" t="s">
        <v>4</v>
      </c>
      <c r="G12" t="s">
        <v>217</v>
      </c>
      <c r="H12" t="s">
        <v>217</v>
      </c>
      <c r="I12" t="s">
        <v>225</v>
      </c>
      <c r="J12" s="25">
        <v>130</v>
      </c>
      <c r="K12" s="26">
        <v>27.19</v>
      </c>
      <c r="L12" s="26">
        <v>0.42</v>
      </c>
    </row>
    <row r="13" spans="1:12" ht="16" customHeight="1">
      <c r="A13" t="s">
        <v>210</v>
      </c>
      <c r="B13" t="s">
        <v>4</v>
      </c>
      <c r="C13" t="s">
        <v>10</v>
      </c>
      <c r="D13" s="24">
        <v>45901</v>
      </c>
      <c r="E13" t="s">
        <v>226</v>
      </c>
      <c r="F13" t="s">
        <v>4</v>
      </c>
      <c r="G13" t="s">
        <v>217</v>
      </c>
      <c r="H13" t="s">
        <v>217</v>
      </c>
      <c r="I13" t="s">
        <v>227</v>
      </c>
      <c r="J13" s="25">
        <v>0</v>
      </c>
      <c r="K13" s="26">
        <v>0</v>
      </c>
      <c r="L13" s="26">
        <v>0</v>
      </c>
    </row>
    <row r="14" spans="1:12" ht="16" customHeight="1">
      <c r="A14" t="s">
        <v>245</v>
      </c>
      <c r="B14" t="s">
        <v>5</v>
      </c>
      <c r="C14" t="s">
        <v>10</v>
      </c>
      <c r="D14" s="24">
        <v>45901</v>
      </c>
      <c r="E14" t="s">
        <v>216</v>
      </c>
      <c r="F14" t="s">
        <v>4</v>
      </c>
      <c r="G14" t="s">
        <v>217</v>
      </c>
      <c r="H14" t="s">
        <v>217</v>
      </c>
      <c r="I14" t="s">
        <v>212</v>
      </c>
      <c r="J14" s="25">
        <v>2543972</v>
      </c>
      <c r="K14" s="26">
        <v>483980.17</v>
      </c>
      <c r="L14" s="26">
        <v>4035.64</v>
      </c>
    </row>
    <row r="15" spans="1:12" ht="16" customHeight="1">
      <c r="A15" t="s">
        <v>245</v>
      </c>
      <c r="B15" t="s">
        <v>5</v>
      </c>
      <c r="C15" t="s">
        <v>10</v>
      </c>
      <c r="D15" s="24">
        <v>45901</v>
      </c>
      <c r="E15" t="s">
        <v>218</v>
      </c>
      <c r="F15" t="s">
        <v>4</v>
      </c>
      <c r="G15" t="s">
        <v>217</v>
      </c>
      <c r="H15" t="s">
        <v>217</v>
      </c>
      <c r="I15" t="s">
        <v>219</v>
      </c>
      <c r="J15" s="25">
        <v>29423</v>
      </c>
      <c r="K15" s="26">
        <v>5680.88</v>
      </c>
      <c r="L15" s="26">
        <v>47.59</v>
      </c>
    </row>
    <row r="16" spans="1:12" ht="16" customHeight="1">
      <c r="A16" t="s">
        <v>245</v>
      </c>
      <c r="B16" t="s">
        <v>5</v>
      </c>
      <c r="C16" t="s">
        <v>10</v>
      </c>
      <c r="D16" s="24">
        <v>45901</v>
      </c>
      <c r="E16" t="s">
        <v>220</v>
      </c>
      <c r="F16" t="s">
        <v>4</v>
      </c>
      <c r="G16" t="s">
        <v>217</v>
      </c>
      <c r="H16" t="s">
        <v>217</v>
      </c>
      <c r="I16" t="s">
        <v>221</v>
      </c>
      <c r="J16" s="25">
        <v>1324</v>
      </c>
      <c r="K16" s="26">
        <v>256.56</v>
      </c>
      <c r="L16" s="26">
        <v>5.52</v>
      </c>
    </row>
    <row r="17" spans="1:12" ht="16" customHeight="1">
      <c r="A17" t="s">
        <v>245</v>
      </c>
      <c r="B17" t="s">
        <v>5</v>
      </c>
      <c r="C17" t="s">
        <v>10</v>
      </c>
      <c r="D17" s="24">
        <v>45901</v>
      </c>
      <c r="E17" t="s">
        <v>222</v>
      </c>
      <c r="F17" t="s">
        <v>4</v>
      </c>
      <c r="G17" t="s">
        <v>217</v>
      </c>
      <c r="H17" t="s">
        <v>217</v>
      </c>
      <c r="I17" t="s">
        <v>223</v>
      </c>
      <c r="J17" s="25">
        <v>3953</v>
      </c>
      <c r="K17" s="26">
        <v>789.25</v>
      </c>
      <c r="L17" s="26">
        <v>12.01</v>
      </c>
    </row>
    <row r="18" spans="1:12" ht="16" customHeight="1">
      <c r="A18" t="s">
        <v>245</v>
      </c>
      <c r="B18" t="s">
        <v>5</v>
      </c>
      <c r="C18" t="s">
        <v>10</v>
      </c>
      <c r="D18" s="24">
        <v>45901</v>
      </c>
      <c r="E18" t="s">
        <v>224</v>
      </c>
      <c r="F18" t="s">
        <v>4</v>
      </c>
      <c r="G18" t="s">
        <v>217</v>
      </c>
      <c r="H18" t="s">
        <v>217</v>
      </c>
      <c r="I18" t="s">
        <v>225</v>
      </c>
      <c r="J18" s="25">
        <v>138</v>
      </c>
      <c r="K18" s="26">
        <v>28.7</v>
      </c>
      <c r="L18" s="26">
        <v>0.49</v>
      </c>
    </row>
    <row r="19" spans="1:12" ht="16" customHeight="1">
      <c r="A19" t="s">
        <v>245</v>
      </c>
      <c r="B19" t="s">
        <v>5</v>
      </c>
      <c r="C19" t="s">
        <v>10</v>
      </c>
      <c r="D19" s="24">
        <v>45901</v>
      </c>
      <c r="E19" t="s">
        <v>226</v>
      </c>
      <c r="F19" t="s">
        <v>4</v>
      </c>
      <c r="G19" t="s">
        <v>217</v>
      </c>
      <c r="H19" t="s">
        <v>217</v>
      </c>
      <c r="I19" t="s">
        <v>227</v>
      </c>
      <c r="J19" s="25">
        <v>0</v>
      </c>
      <c r="K19" s="26">
        <v>0</v>
      </c>
      <c r="L19" s="26">
        <v>0</v>
      </c>
    </row>
    <row r="20" spans="1:12" ht="16" customHeight="1">
      <c r="A20" t="s">
        <v>247</v>
      </c>
      <c r="B20" t="s">
        <v>6</v>
      </c>
      <c r="C20" t="s">
        <v>10</v>
      </c>
      <c r="D20" s="24">
        <v>45901</v>
      </c>
      <c r="E20" t="s">
        <v>216</v>
      </c>
      <c r="F20" t="s">
        <v>4</v>
      </c>
      <c r="G20" t="s">
        <v>217</v>
      </c>
      <c r="H20" t="s">
        <v>217</v>
      </c>
      <c r="I20" t="s">
        <v>212</v>
      </c>
      <c r="J20" s="25">
        <v>2537028</v>
      </c>
      <c r="K20" s="26">
        <v>484871.47</v>
      </c>
      <c r="L20" s="26">
        <v>3741.47</v>
      </c>
    </row>
    <row r="21" spans="1:12" ht="16" customHeight="1">
      <c r="A21" t="s">
        <v>247</v>
      </c>
      <c r="B21" t="s">
        <v>6</v>
      </c>
      <c r="C21" t="s">
        <v>10</v>
      </c>
      <c r="D21" s="24">
        <v>45901</v>
      </c>
      <c r="E21" t="s">
        <v>218</v>
      </c>
      <c r="F21" t="s">
        <v>4</v>
      </c>
      <c r="G21" t="s">
        <v>217</v>
      </c>
      <c r="H21" t="s">
        <v>217</v>
      </c>
      <c r="I21" t="s">
        <v>219</v>
      </c>
      <c r="J21" s="25">
        <v>23723</v>
      </c>
      <c r="K21" s="26">
        <v>4577.28</v>
      </c>
      <c r="L21" s="26">
        <v>47.61</v>
      </c>
    </row>
    <row r="22" spans="1:12" ht="16" customHeight="1">
      <c r="A22" t="s">
        <v>247</v>
      </c>
      <c r="B22" t="s">
        <v>6</v>
      </c>
      <c r="C22" t="s">
        <v>10</v>
      </c>
      <c r="D22" s="24">
        <v>45901</v>
      </c>
      <c r="E22" t="s">
        <v>220</v>
      </c>
      <c r="F22" t="s">
        <v>4</v>
      </c>
      <c r="G22" t="s">
        <v>217</v>
      </c>
      <c r="H22" t="s">
        <v>217</v>
      </c>
      <c r="I22" t="s">
        <v>221</v>
      </c>
      <c r="J22" s="25">
        <v>710</v>
      </c>
      <c r="K22" s="26">
        <v>137.13999999999999</v>
      </c>
      <c r="L22" s="26">
        <v>2.87</v>
      </c>
    </row>
    <row r="23" spans="1:12" ht="16" customHeight="1">
      <c r="A23" t="s">
        <v>247</v>
      </c>
      <c r="B23" t="s">
        <v>6</v>
      </c>
      <c r="C23" t="s">
        <v>10</v>
      </c>
      <c r="D23" s="24">
        <v>45901</v>
      </c>
      <c r="E23" t="s">
        <v>222</v>
      </c>
      <c r="F23" t="s">
        <v>4</v>
      </c>
      <c r="G23" t="s">
        <v>217</v>
      </c>
      <c r="H23" t="s">
        <v>217</v>
      </c>
      <c r="I23" t="s">
        <v>223</v>
      </c>
      <c r="J23" s="25">
        <v>3065</v>
      </c>
      <c r="K23" s="26">
        <v>600.11</v>
      </c>
      <c r="L23" s="26">
        <v>9.4499999999999993</v>
      </c>
    </row>
    <row r="24" spans="1:12" ht="16" customHeight="1">
      <c r="A24" t="s">
        <v>247</v>
      </c>
      <c r="B24" t="s">
        <v>6</v>
      </c>
      <c r="C24" t="s">
        <v>10</v>
      </c>
      <c r="D24" s="24">
        <v>45901</v>
      </c>
      <c r="E24" t="s">
        <v>224</v>
      </c>
      <c r="F24" t="s">
        <v>4</v>
      </c>
      <c r="G24" t="s">
        <v>217</v>
      </c>
      <c r="H24" t="s">
        <v>217</v>
      </c>
      <c r="I24" t="s">
        <v>225</v>
      </c>
      <c r="J24" s="25">
        <v>92</v>
      </c>
      <c r="K24" s="26">
        <v>19.16</v>
      </c>
      <c r="L24" s="26">
        <v>0.33</v>
      </c>
    </row>
    <row r="25" spans="1:12" ht="16" customHeight="1">
      <c r="A25" t="s">
        <v>247</v>
      </c>
      <c r="B25" t="s">
        <v>6</v>
      </c>
      <c r="C25" t="s">
        <v>10</v>
      </c>
      <c r="D25" s="24">
        <v>45901</v>
      </c>
      <c r="E25" t="s">
        <v>226</v>
      </c>
      <c r="F25" t="s">
        <v>4</v>
      </c>
      <c r="G25" t="s">
        <v>217</v>
      </c>
      <c r="H25" t="s">
        <v>217</v>
      </c>
      <c r="I25" t="s">
        <v>227</v>
      </c>
      <c r="J25" s="25">
        <v>0</v>
      </c>
      <c r="K25" s="26">
        <v>0</v>
      </c>
      <c r="L25" s="26">
        <v>0</v>
      </c>
    </row>
    <row r="26" spans="1:12" ht="16" customHeight="1">
      <c r="A26" t="s">
        <v>248</v>
      </c>
      <c r="B26" t="s">
        <v>7</v>
      </c>
      <c r="C26" t="s">
        <v>10</v>
      </c>
      <c r="D26" s="24">
        <v>45901</v>
      </c>
      <c r="E26" t="s">
        <v>216</v>
      </c>
      <c r="F26" t="s">
        <v>4</v>
      </c>
      <c r="G26" t="s">
        <v>217</v>
      </c>
      <c r="H26" t="s">
        <v>217</v>
      </c>
      <c r="I26" t="s">
        <v>212</v>
      </c>
      <c r="J26" s="25">
        <v>2935345</v>
      </c>
      <c r="K26" s="26">
        <v>558584.96</v>
      </c>
      <c r="L26" s="26">
        <v>4228.49</v>
      </c>
    </row>
    <row r="27" spans="1:12" ht="16" customHeight="1">
      <c r="A27" t="s">
        <v>248</v>
      </c>
      <c r="B27" t="s">
        <v>7</v>
      </c>
      <c r="C27" t="s">
        <v>10</v>
      </c>
      <c r="D27" s="24">
        <v>45901</v>
      </c>
      <c r="E27" t="s">
        <v>218</v>
      </c>
      <c r="F27" t="s">
        <v>4</v>
      </c>
      <c r="G27" t="s">
        <v>217</v>
      </c>
      <c r="H27" t="s">
        <v>217</v>
      </c>
      <c r="I27" t="s">
        <v>219</v>
      </c>
      <c r="J27" s="25">
        <v>33458</v>
      </c>
      <c r="K27" s="26">
        <v>6456.03</v>
      </c>
      <c r="L27" s="26">
        <v>73.34</v>
      </c>
    </row>
    <row r="28" spans="1:12" ht="16" customHeight="1">
      <c r="A28" t="s">
        <v>248</v>
      </c>
      <c r="B28" t="s">
        <v>7</v>
      </c>
      <c r="C28" t="s">
        <v>10</v>
      </c>
      <c r="D28" s="24">
        <v>45901</v>
      </c>
      <c r="E28" t="s">
        <v>220</v>
      </c>
      <c r="F28" t="s">
        <v>4</v>
      </c>
      <c r="G28" t="s">
        <v>217</v>
      </c>
      <c r="H28" t="s">
        <v>217</v>
      </c>
      <c r="I28" t="s">
        <v>221</v>
      </c>
      <c r="J28" s="25">
        <v>722</v>
      </c>
      <c r="K28" s="26">
        <v>139.85</v>
      </c>
      <c r="L28" s="26">
        <v>3.13</v>
      </c>
    </row>
    <row r="29" spans="1:12" ht="16" customHeight="1">
      <c r="A29" t="s">
        <v>248</v>
      </c>
      <c r="B29" t="s">
        <v>7</v>
      </c>
      <c r="C29" t="s">
        <v>10</v>
      </c>
      <c r="D29" s="24">
        <v>45901</v>
      </c>
      <c r="E29" t="s">
        <v>222</v>
      </c>
      <c r="F29" t="s">
        <v>4</v>
      </c>
      <c r="G29" t="s">
        <v>217</v>
      </c>
      <c r="H29" t="s">
        <v>217</v>
      </c>
      <c r="I29" t="s">
        <v>223</v>
      </c>
      <c r="J29" s="25">
        <v>1986</v>
      </c>
      <c r="K29" s="26">
        <v>396.85</v>
      </c>
      <c r="L29" s="26">
        <v>6.18</v>
      </c>
    </row>
    <row r="30" spans="1:12" ht="16" customHeight="1">
      <c r="A30" t="s">
        <v>248</v>
      </c>
      <c r="B30" t="s">
        <v>7</v>
      </c>
      <c r="C30" t="s">
        <v>10</v>
      </c>
      <c r="D30" s="24">
        <v>45901</v>
      </c>
      <c r="E30" t="s">
        <v>224</v>
      </c>
      <c r="F30" t="s">
        <v>4</v>
      </c>
      <c r="G30" t="s">
        <v>217</v>
      </c>
      <c r="H30" t="s">
        <v>217</v>
      </c>
      <c r="I30" t="s">
        <v>225</v>
      </c>
      <c r="J30" s="25">
        <v>77</v>
      </c>
      <c r="K30" s="26">
        <v>16.149999999999999</v>
      </c>
      <c r="L30" s="26">
        <v>0.21</v>
      </c>
    </row>
    <row r="31" spans="1:12" ht="16" customHeight="1">
      <c r="A31" t="s">
        <v>248</v>
      </c>
      <c r="B31" t="s">
        <v>7</v>
      </c>
      <c r="C31" t="s">
        <v>10</v>
      </c>
      <c r="D31" s="24">
        <v>45901</v>
      </c>
      <c r="E31" t="s">
        <v>226</v>
      </c>
      <c r="F31" t="s">
        <v>4</v>
      </c>
      <c r="G31" t="s">
        <v>217</v>
      </c>
      <c r="H31" t="s">
        <v>217</v>
      </c>
      <c r="I31" t="s">
        <v>227</v>
      </c>
      <c r="J31" s="25">
        <v>0</v>
      </c>
      <c r="K31" s="26">
        <v>0</v>
      </c>
      <c r="L31" s="26">
        <v>0</v>
      </c>
    </row>
    <row r="32" spans="1:12" ht="16" customHeight="1">
      <c r="A32" t="s">
        <v>249</v>
      </c>
      <c r="B32" t="s">
        <v>3</v>
      </c>
      <c r="C32" t="s">
        <v>11</v>
      </c>
      <c r="D32" s="24">
        <v>45901</v>
      </c>
      <c r="E32" t="s">
        <v>216</v>
      </c>
      <c r="F32" t="s">
        <v>4</v>
      </c>
      <c r="G32" t="s">
        <v>217</v>
      </c>
      <c r="H32" t="s">
        <v>217</v>
      </c>
      <c r="I32" t="s">
        <v>212</v>
      </c>
      <c r="J32" s="25">
        <v>2772664</v>
      </c>
      <c r="K32" s="26">
        <v>528942.27</v>
      </c>
      <c r="L32" s="26">
        <v>3731.4</v>
      </c>
    </row>
    <row r="33" spans="1:12" ht="16" customHeight="1">
      <c r="A33" t="s">
        <v>249</v>
      </c>
      <c r="B33" t="s">
        <v>3</v>
      </c>
      <c r="C33" t="s">
        <v>11</v>
      </c>
      <c r="D33" s="24">
        <v>45901</v>
      </c>
      <c r="E33" t="s">
        <v>218</v>
      </c>
      <c r="F33" t="s">
        <v>4</v>
      </c>
      <c r="G33" t="s">
        <v>217</v>
      </c>
      <c r="H33" t="s">
        <v>217</v>
      </c>
      <c r="I33" t="s">
        <v>219</v>
      </c>
      <c r="J33" s="25">
        <v>23556</v>
      </c>
      <c r="K33" s="26">
        <v>4524.99</v>
      </c>
      <c r="L33" s="26">
        <v>46.35</v>
      </c>
    </row>
    <row r="34" spans="1:12" ht="16" customHeight="1">
      <c r="A34" t="s">
        <v>249</v>
      </c>
      <c r="B34" t="s">
        <v>3</v>
      </c>
      <c r="C34" t="s">
        <v>11</v>
      </c>
      <c r="D34" s="24">
        <v>45901</v>
      </c>
      <c r="E34" t="s">
        <v>220</v>
      </c>
      <c r="F34" t="s">
        <v>4</v>
      </c>
      <c r="G34" t="s">
        <v>217</v>
      </c>
      <c r="H34" t="s">
        <v>217</v>
      </c>
      <c r="I34" t="s">
        <v>221</v>
      </c>
      <c r="J34" s="25">
        <v>723</v>
      </c>
      <c r="K34" s="26">
        <v>137.97</v>
      </c>
      <c r="L34" s="26">
        <v>2.2000000000000002</v>
      </c>
    </row>
    <row r="35" spans="1:12" ht="16" customHeight="1">
      <c r="A35" t="s">
        <v>249</v>
      </c>
      <c r="B35" t="s">
        <v>3</v>
      </c>
      <c r="C35" t="s">
        <v>11</v>
      </c>
      <c r="D35" s="24">
        <v>45901</v>
      </c>
      <c r="E35" t="s">
        <v>222</v>
      </c>
      <c r="F35" t="s">
        <v>4</v>
      </c>
      <c r="G35" t="s">
        <v>217</v>
      </c>
      <c r="H35" t="s">
        <v>217</v>
      </c>
      <c r="I35" t="s">
        <v>223</v>
      </c>
      <c r="J35" s="25">
        <v>2328</v>
      </c>
      <c r="K35" s="26">
        <v>451.47</v>
      </c>
      <c r="L35" s="26">
        <v>6.8</v>
      </c>
    </row>
    <row r="36" spans="1:12" ht="16" customHeight="1">
      <c r="A36" t="s">
        <v>249</v>
      </c>
      <c r="B36" t="s">
        <v>3</v>
      </c>
      <c r="C36" t="s">
        <v>11</v>
      </c>
      <c r="D36" s="24">
        <v>45901</v>
      </c>
      <c r="E36" t="s">
        <v>224</v>
      </c>
      <c r="F36" t="s">
        <v>4</v>
      </c>
      <c r="G36" t="s">
        <v>217</v>
      </c>
      <c r="H36" t="s">
        <v>217</v>
      </c>
      <c r="I36" t="s">
        <v>225</v>
      </c>
      <c r="J36" s="25">
        <v>123</v>
      </c>
      <c r="K36" s="26">
        <v>25.76</v>
      </c>
      <c r="L36" s="26">
        <v>0.39</v>
      </c>
    </row>
    <row r="37" spans="1:12" ht="16" customHeight="1">
      <c r="A37" t="s">
        <v>249</v>
      </c>
      <c r="B37" t="s">
        <v>3</v>
      </c>
      <c r="C37" t="s">
        <v>11</v>
      </c>
      <c r="D37" s="24">
        <v>45901</v>
      </c>
      <c r="E37" t="s">
        <v>226</v>
      </c>
      <c r="F37" t="s">
        <v>4</v>
      </c>
      <c r="G37" t="s">
        <v>217</v>
      </c>
      <c r="H37" t="s">
        <v>217</v>
      </c>
      <c r="I37" t="s">
        <v>227</v>
      </c>
      <c r="J37" s="25">
        <v>0</v>
      </c>
      <c r="K37" s="26">
        <v>0</v>
      </c>
      <c r="L37" s="26">
        <v>0</v>
      </c>
    </row>
    <row r="38" spans="1:12" ht="16" customHeight="1">
      <c r="A38" t="s">
        <v>213</v>
      </c>
      <c r="B38" t="s">
        <v>4</v>
      </c>
      <c r="C38" t="s">
        <v>11</v>
      </c>
      <c r="D38" s="24">
        <v>45901</v>
      </c>
      <c r="E38" t="s">
        <v>216</v>
      </c>
      <c r="F38" t="s">
        <v>4</v>
      </c>
      <c r="G38" t="s">
        <v>217</v>
      </c>
      <c r="H38" t="s">
        <v>217</v>
      </c>
      <c r="I38" t="s">
        <v>212</v>
      </c>
      <c r="J38" s="25">
        <v>2184553</v>
      </c>
      <c r="K38" s="26">
        <v>416243.89</v>
      </c>
      <c r="L38" s="26">
        <v>2958.29</v>
      </c>
    </row>
    <row r="39" spans="1:12" ht="16" customHeight="1">
      <c r="A39" t="s">
        <v>213</v>
      </c>
      <c r="B39" t="s">
        <v>4</v>
      </c>
      <c r="C39" t="s">
        <v>11</v>
      </c>
      <c r="D39" s="24">
        <v>45901</v>
      </c>
      <c r="E39" t="s">
        <v>218</v>
      </c>
      <c r="F39" t="s">
        <v>4</v>
      </c>
      <c r="G39" t="s">
        <v>217</v>
      </c>
      <c r="H39" t="s">
        <v>217</v>
      </c>
      <c r="I39" t="s">
        <v>219</v>
      </c>
      <c r="J39" s="25">
        <v>20360</v>
      </c>
      <c r="K39" s="26">
        <v>3913.89</v>
      </c>
      <c r="L39" s="26">
        <v>31.46</v>
      </c>
    </row>
    <row r="40" spans="1:12" ht="16" customHeight="1">
      <c r="A40" t="s">
        <v>213</v>
      </c>
      <c r="B40" t="s">
        <v>4</v>
      </c>
      <c r="C40" t="s">
        <v>11</v>
      </c>
      <c r="D40" s="24">
        <v>45901</v>
      </c>
      <c r="E40" t="s">
        <v>220</v>
      </c>
      <c r="F40" t="s">
        <v>4</v>
      </c>
      <c r="G40" t="s">
        <v>217</v>
      </c>
      <c r="H40" t="s">
        <v>217</v>
      </c>
      <c r="I40" t="s">
        <v>221</v>
      </c>
      <c r="J40" s="25">
        <v>577</v>
      </c>
      <c r="K40" s="26">
        <v>112.23</v>
      </c>
      <c r="L40" s="26">
        <v>1.39</v>
      </c>
    </row>
    <row r="41" spans="1:12" ht="16" customHeight="1">
      <c r="A41" t="s">
        <v>213</v>
      </c>
      <c r="B41" t="s">
        <v>4</v>
      </c>
      <c r="C41" t="s">
        <v>11</v>
      </c>
      <c r="D41" s="24">
        <v>45901</v>
      </c>
      <c r="E41" t="s">
        <v>222</v>
      </c>
      <c r="F41" t="s">
        <v>4</v>
      </c>
      <c r="G41" t="s">
        <v>217</v>
      </c>
      <c r="H41" t="s">
        <v>217</v>
      </c>
      <c r="I41" t="s">
        <v>223</v>
      </c>
      <c r="J41" s="25">
        <v>1049</v>
      </c>
      <c r="K41" s="26">
        <v>205.95</v>
      </c>
      <c r="L41" s="26">
        <v>3.1</v>
      </c>
    </row>
    <row r="42" spans="1:12" ht="16" customHeight="1">
      <c r="A42" t="s">
        <v>213</v>
      </c>
      <c r="B42" t="s">
        <v>4</v>
      </c>
      <c r="C42" t="s">
        <v>11</v>
      </c>
      <c r="D42" s="24">
        <v>45901</v>
      </c>
      <c r="E42" t="s">
        <v>224</v>
      </c>
      <c r="F42" t="s">
        <v>4</v>
      </c>
      <c r="G42" t="s">
        <v>217</v>
      </c>
      <c r="H42" t="s">
        <v>217</v>
      </c>
      <c r="I42" t="s">
        <v>225</v>
      </c>
      <c r="J42" s="25">
        <v>17</v>
      </c>
      <c r="K42" s="26">
        <v>3.57</v>
      </c>
      <c r="L42" s="26">
        <v>0.05</v>
      </c>
    </row>
    <row r="43" spans="1:12" ht="16" customHeight="1">
      <c r="A43" t="s">
        <v>213</v>
      </c>
      <c r="B43" t="s">
        <v>4</v>
      </c>
      <c r="C43" t="s">
        <v>11</v>
      </c>
      <c r="D43" s="24">
        <v>45901</v>
      </c>
      <c r="E43" t="s">
        <v>226</v>
      </c>
      <c r="F43" t="s">
        <v>4</v>
      </c>
      <c r="G43" t="s">
        <v>217</v>
      </c>
      <c r="H43" t="s">
        <v>217</v>
      </c>
      <c r="I43" t="s">
        <v>227</v>
      </c>
      <c r="J43" s="25">
        <v>0</v>
      </c>
      <c r="K43" s="26">
        <v>0</v>
      </c>
      <c r="L43" s="26">
        <v>0</v>
      </c>
    </row>
    <row r="44" spans="1:12" ht="16" customHeight="1">
      <c r="A44" t="s">
        <v>250</v>
      </c>
      <c r="B44" t="s">
        <v>5</v>
      </c>
      <c r="C44" t="s">
        <v>11</v>
      </c>
      <c r="D44" s="24">
        <v>45901</v>
      </c>
      <c r="E44" t="s">
        <v>216</v>
      </c>
      <c r="F44" t="s">
        <v>4</v>
      </c>
      <c r="G44" t="s">
        <v>217</v>
      </c>
      <c r="H44" t="s">
        <v>217</v>
      </c>
      <c r="I44" t="s">
        <v>212</v>
      </c>
      <c r="J44" s="25">
        <v>2977307</v>
      </c>
      <c r="K44" s="26">
        <v>569506.36</v>
      </c>
      <c r="L44" s="26">
        <v>3954.22</v>
      </c>
    </row>
    <row r="45" spans="1:12" ht="16" customHeight="1">
      <c r="A45" t="s">
        <v>250</v>
      </c>
      <c r="B45" t="s">
        <v>5</v>
      </c>
      <c r="C45" t="s">
        <v>11</v>
      </c>
      <c r="D45" s="24">
        <v>45901</v>
      </c>
      <c r="E45" t="s">
        <v>218</v>
      </c>
      <c r="F45" t="s">
        <v>4</v>
      </c>
      <c r="G45" t="s">
        <v>217</v>
      </c>
      <c r="H45" t="s">
        <v>217</v>
      </c>
      <c r="I45" t="s">
        <v>219</v>
      </c>
      <c r="J45" s="25">
        <v>35141</v>
      </c>
      <c r="K45" s="26">
        <v>6767.75</v>
      </c>
      <c r="L45" s="26">
        <v>62.71</v>
      </c>
    </row>
    <row r="46" spans="1:12" ht="16" customHeight="1">
      <c r="A46" t="s">
        <v>250</v>
      </c>
      <c r="B46" t="s">
        <v>5</v>
      </c>
      <c r="C46" t="s">
        <v>11</v>
      </c>
      <c r="D46" s="24">
        <v>45901</v>
      </c>
      <c r="E46" t="s">
        <v>220</v>
      </c>
      <c r="F46" t="s">
        <v>4</v>
      </c>
      <c r="G46" t="s">
        <v>217</v>
      </c>
      <c r="H46" t="s">
        <v>217</v>
      </c>
      <c r="I46" t="s">
        <v>221</v>
      </c>
      <c r="J46" s="25">
        <v>1391</v>
      </c>
      <c r="K46" s="26">
        <v>269</v>
      </c>
      <c r="L46" s="26">
        <v>3.26</v>
      </c>
    </row>
    <row r="47" spans="1:12" ht="16" customHeight="1">
      <c r="A47" t="s">
        <v>250</v>
      </c>
      <c r="B47" t="s">
        <v>5</v>
      </c>
      <c r="C47" t="s">
        <v>11</v>
      </c>
      <c r="D47" s="24">
        <v>45901</v>
      </c>
      <c r="E47" t="s">
        <v>222</v>
      </c>
      <c r="F47" t="s">
        <v>4</v>
      </c>
      <c r="G47" t="s">
        <v>217</v>
      </c>
      <c r="H47" t="s">
        <v>217</v>
      </c>
      <c r="I47" t="s">
        <v>223</v>
      </c>
      <c r="J47" s="25">
        <v>3275</v>
      </c>
      <c r="K47" s="26">
        <v>640.37</v>
      </c>
      <c r="L47" s="26">
        <v>10.23</v>
      </c>
    </row>
    <row r="48" spans="1:12" ht="16" customHeight="1">
      <c r="A48" t="s">
        <v>250</v>
      </c>
      <c r="B48" t="s">
        <v>5</v>
      </c>
      <c r="C48" t="s">
        <v>11</v>
      </c>
      <c r="D48" s="24">
        <v>45901</v>
      </c>
      <c r="E48" t="s">
        <v>224</v>
      </c>
      <c r="F48" t="s">
        <v>4</v>
      </c>
      <c r="G48" t="s">
        <v>217</v>
      </c>
      <c r="H48" t="s">
        <v>217</v>
      </c>
      <c r="I48" t="s">
        <v>225</v>
      </c>
      <c r="J48" s="25">
        <v>198</v>
      </c>
      <c r="K48" s="26">
        <v>41.74</v>
      </c>
      <c r="L48" s="26">
        <v>0.56999999999999995</v>
      </c>
    </row>
    <row r="49" spans="1:12" ht="16" customHeight="1">
      <c r="A49" t="s">
        <v>250</v>
      </c>
      <c r="B49" t="s">
        <v>5</v>
      </c>
      <c r="C49" t="s">
        <v>11</v>
      </c>
      <c r="D49" s="24">
        <v>45901</v>
      </c>
      <c r="E49" t="s">
        <v>226</v>
      </c>
      <c r="F49" t="s">
        <v>4</v>
      </c>
      <c r="G49" t="s">
        <v>217</v>
      </c>
      <c r="H49" t="s">
        <v>217</v>
      </c>
      <c r="I49" t="s">
        <v>227</v>
      </c>
      <c r="J49" s="25">
        <v>0</v>
      </c>
      <c r="K49" s="26">
        <v>0</v>
      </c>
      <c r="L49" s="26">
        <v>0</v>
      </c>
    </row>
    <row r="50" spans="1:12" ht="16" customHeight="1">
      <c r="A50" t="s">
        <v>252</v>
      </c>
      <c r="B50" t="s">
        <v>6</v>
      </c>
      <c r="C50" t="s">
        <v>11</v>
      </c>
      <c r="D50" s="24">
        <v>45901</v>
      </c>
      <c r="E50" t="s">
        <v>216</v>
      </c>
      <c r="F50" t="s">
        <v>4</v>
      </c>
      <c r="G50" t="s">
        <v>217</v>
      </c>
      <c r="H50" t="s">
        <v>217</v>
      </c>
      <c r="I50" t="s">
        <v>212</v>
      </c>
      <c r="J50" s="25">
        <v>2376862</v>
      </c>
      <c r="K50" s="26">
        <v>455751.6</v>
      </c>
      <c r="L50" s="26">
        <v>2933.58</v>
      </c>
    </row>
    <row r="51" spans="1:12" ht="16" customHeight="1">
      <c r="A51" t="s">
        <v>252</v>
      </c>
      <c r="B51" t="s">
        <v>6</v>
      </c>
      <c r="C51" t="s">
        <v>11</v>
      </c>
      <c r="D51" s="24">
        <v>45901</v>
      </c>
      <c r="E51" t="s">
        <v>218</v>
      </c>
      <c r="F51" t="s">
        <v>4</v>
      </c>
      <c r="G51" t="s">
        <v>217</v>
      </c>
      <c r="H51" t="s">
        <v>217</v>
      </c>
      <c r="I51" t="s">
        <v>219</v>
      </c>
      <c r="J51" s="25">
        <v>28274</v>
      </c>
      <c r="K51" s="26">
        <v>5436.77</v>
      </c>
      <c r="L51" s="26">
        <v>45.52</v>
      </c>
    </row>
    <row r="52" spans="1:12" ht="16" customHeight="1">
      <c r="A52" t="s">
        <v>252</v>
      </c>
      <c r="B52" t="s">
        <v>6</v>
      </c>
      <c r="C52" t="s">
        <v>11</v>
      </c>
      <c r="D52" s="24">
        <v>45901</v>
      </c>
      <c r="E52" t="s">
        <v>220</v>
      </c>
      <c r="F52" t="s">
        <v>4</v>
      </c>
      <c r="G52" t="s">
        <v>217</v>
      </c>
      <c r="H52" t="s">
        <v>217</v>
      </c>
      <c r="I52" t="s">
        <v>221</v>
      </c>
      <c r="J52" s="25">
        <v>976</v>
      </c>
      <c r="K52" s="26">
        <v>187.98</v>
      </c>
      <c r="L52" s="26">
        <v>1.88</v>
      </c>
    </row>
    <row r="53" spans="1:12" ht="16" customHeight="1">
      <c r="A53" t="s">
        <v>252</v>
      </c>
      <c r="B53" t="s">
        <v>6</v>
      </c>
      <c r="C53" t="s">
        <v>11</v>
      </c>
      <c r="D53" s="24">
        <v>45901</v>
      </c>
      <c r="E53" t="s">
        <v>222</v>
      </c>
      <c r="F53" t="s">
        <v>4</v>
      </c>
      <c r="G53" t="s">
        <v>217</v>
      </c>
      <c r="H53" t="s">
        <v>217</v>
      </c>
      <c r="I53" t="s">
        <v>223</v>
      </c>
      <c r="J53" s="25">
        <v>1450</v>
      </c>
      <c r="K53" s="26">
        <v>283.3</v>
      </c>
      <c r="L53" s="26">
        <v>4.24</v>
      </c>
    </row>
    <row r="54" spans="1:12" ht="16" customHeight="1">
      <c r="A54" t="s">
        <v>252</v>
      </c>
      <c r="B54" t="s">
        <v>6</v>
      </c>
      <c r="C54" t="s">
        <v>11</v>
      </c>
      <c r="D54" s="24">
        <v>45901</v>
      </c>
      <c r="E54" t="s">
        <v>224</v>
      </c>
      <c r="F54" t="s">
        <v>4</v>
      </c>
      <c r="G54" t="s">
        <v>217</v>
      </c>
      <c r="H54" t="s">
        <v>217</v>
      </c>
      <c r="I54" t="s">
        <v>225</v>
      </c>
      <c r="J54" s="25">
        <v>36</v>
      </c>
      <c r="K54" s="26">
        <v>7.63</v>
      </c>
      <c r="L54" s="26">
        <v>0.09</v>
      </c>
    </row>
    <row r="55" spans="1:12" ht="16" customHeight="1">
      <c r="A55" t="s">
        <v>252</v>
      </c>
      <c r="B55" t="s">
        <v>6</v>
      </c>
      <c r="C55" t="s">
        <v>11</v>
      </c>
      <c r="D55" s="24">
        <v>45901</v>
      </c>
      <c r="E55" t="s">
        <v>226</v>
      </c>
      <c r="F55" t="s">
        <v>4</v>
      </c>
      <c r="G55" t="s">
        <v>217</v>
      </c>
      <c r="H55" t="s">
        <v>217</v>
      </c>
      <c r="I55" t="s">
        <v>227</v>
      </c>
      <c r="J55" s="25">
        <v>0</v>
      </c>
      <c r="K55" s="26">
        <v>0</v>
      </c>
      <c r="L55" s="26">
        <v>0</v>
      </c>
    </row>
    <row r="56" spans="1:12" ht="16" customHeight="1">
      <c r="A56" t="s">
        <v>253</v>
      </c>
      <c r="B56" t="s">
        <v>7</v>
      </c>
      <c r="C56" t="s">
        <v>11</v>
      </c>
      <c r="D56" s="24">
        <v>45901</v>
      </c>
      <c r="E56" t="s">
        <v>216</v>
      </c>
      <c r="F56" t="s">
        <v>4</v>
      </c>
      <c r="G56" t="s">
        <v>217</v>
      </c>
      <c r="H56" t="s">
        <v>217</v>
      </c>
      <c r="I56" t="s">
        <v>212</v>
      </c>
      <c r="J56" s="25">
        <v>2574698</v>
      </c>
      <c r="K56" s="26">
        <v>493503.99</v>
      </c>
      <c r="L56" s="26">
        <v>3078.07</v>
      </c>
    </row>
    <row r="57" spans="1:12" ht="16" customHeight="1">
      <c r="A57" t="s">
        <v>253</v>
      </c>
      <c r="B57" t="s">
        <v>7</v>
      </c>
      <c r="C57" t="s">
        <v>11</v>
      </c>
      <c r="D57" s="24">
        <v>45901</v>
      </c>
      <c r="E57" t="s">
        <v>218</v>
      </c>
      <c r="F57" t="s">
        <v>4</v>
      </c>
      <c r="G57" t="s">
        <v>217</v>
      </c>
      <c r="H57" t="s">
        <v>217</v>
      </c>
      <c r="I57" t="s">
        <v>219</v>
      </c>
      <c r="J57" s="25">
        <v>42978</v>
      </c>
      <c r="K57" s="26">
        <v>8300.49</v>
      </c>
      <c r="L57" s="26">
        <v>56.7</v>
      </c>
    </row>
    <row r="58" spans="1:12" ht="16" customHeight="1">
      <c r="A58" t="s">
        <v>253</v>
      </c>
      <c r="B58" t="s">
        <v>7</v>
      </c>
      <c r="C58" t="s">
        <v>11</v>
      </c>
      <c r="D58" s="24">
        <v>45901</v>
      </c>
      <c r="E58" t="s">
        <v>220</v>
      </c>
      <c r="F58" t="s">
        <v>4</v>
      </c>
      <c r="G58" t="s">
        <v>217</v>
      </c>
      <c r="H58" t="s">
        <v>217</v>
      </c>
      <c r="I58" t="s">
        <v>221</v>
      </c>
      <c r="J58" s="25">
        <v>1864</v>
      </c>
      <c r="K58" s="26">
        <v>355.9</v>
      </c>
      <c r="L58" s="26">
        <v>3.56</v>
      </c>
    </row>
    <row r="59" spans="1:12" ht="16" customHeight="1">
      <c r="A59" t="s">
        <v>253</v>
      </c>
      <c r="B59" t="s">
        <v>7</v>
      </c>
      <c r="C59" t="s">
        <v>11</v>
      </c>
      <c r="D59" s="24">
        <v>45901</v>
      </c>
      <c r="E59" t="s">
        <v>222</v>
      </c>
      <c r="F59" t="s">
        <v>4</v>
      </c>
      <c r="G59" t="s">
        <v>217</v>
      </c>
      <c r="H59" t="s">
        <v>217</v>
      </c>
      <c r="I59" t="s">
        <v>223</v>
      </c>
      <c r="J59" s="25">
        <v>2649</v>
      </c>
      <c r="K59" s="26">
        <v>528.32000000000005</v>
      </c>
      <c r="L59" s="26">
        <v>7.98</v>
      </c>
    </row>
    <row r="60" spans="1:12" ht="16" customHeight="1">
      <c r="A60" t="s">
        <v>253</v>
      </c>
      <c r="B60" t="s">
        <v>7</v>
      </c>
      <c r="C60" t="s">
        <v>11</v>
      </c>
      <c r="D60" s="24">
        <v>45901</v>
      </c>
      <c r="E60" t="s">
        <v>224</v>
      </c>
      <c r="F60" t="s">
        <v>4</v>
      </c>
      <c r="G60" t="s">
        <v>217</v>
      </c>
      <c r="H60" t="s">
        <v>217</v>
      </c>
      <c r="I60" t="s">
        <v>225</v>
      </c>
      <c r="J60" s="25">
        <v>35</v>
      </c>
      <c r="K60" s="26">
        <v>7.42</v>
      </c>
      <c r="L60" s="26">
        <v>0.09</v>
      </c>
    </row>
    <row r="61" spans="1:12" ht="16" customHeight="1">
      <c r="A61" t="s">
        <v>253</v>
      </c>
      <c r="B61" t="s">
        <v>7</v>
      </c>
      <c r="C61" t="s">
        <v>11</v>
      </c>
      <c r="D61" s="24">
        <v>45901</v>
      </c>
      <c r="E61" t="s">
        <v>226</v>
      </c>
      <c r="F61" t="s">
        <v>4</v>
      </c>
      <c r="G61" t="s">
        <v>217</v>
      </c>
      <c r="H61" t="s">
        <v>217</v>
      </c>
      <c r="I61" t="s">
        <v>227</v>
      </c>
      <c r="J61" s="25">
        <v>0</v>
      </c>
      <c r="K61" s="26">
        <v>0</v>
      </c>
      <c r="L61" s="26">
        <v>0</v>
      </c>
    </row>
    <row r="62" spans="1:12" ht="16" customHeight="1">
      <c r="A62" t="s">
        <v>254</v>
      </c>
      <c r="B62" t="s">
        <v>3</v>
      </c>
      <c r="C62" t="s">
        <v>12</v>
      </c>
      <c r="D62" s="24">
        <v>45901</v>
      </c>
      <c r="E62" t="s">
        <v>216</v>
      </c>
      <c r="F62" t="s">
        <v>4</v>
      </c>
      <c r="G62" t="s">
        <v>217</v>
      </c>
      <c r="H62" t="s">
        <v>217</v>
      </c>
      <c r="I62" t="s">
        <v>212</v>
      </c>
      <c r="J62" s="25">
        <v>2447180</v>
      </c>
      <c r="K62" s="26">
        <v>471861.86</v>
      </c>
      <c r="L62" s="26">
        <v>2751.24</v>
      </c>
    </row>
    <row r="63" spans="1:12" ht="16" customHeight="1">
      <c r="A63" t="s">
        <v>254</v>
      </c>
      <c r="B63" t="s">
        <v>3</v>
      </c>
      <c r="C63" t="s">
        <v>12</v>
      </c>
      <c r="D63" s="24">
        <v>45901</v>
      </c>
      <c r="E63" t="s">
        <v>218</v>
      </c>
      <c r="F63" t="s">
        <v>4</v>
      </c>
      <c r="G63" t="s">
        <v>217</v>
      </c>
      <c r="H63" t="s">
        <v>217</v>
      </c>
      <c r="I63" t="s">
        <v>219</v>
      </c>
      <c r="J63" s="25">
        <v>49449</v>
      </c>
      <c r="K63" s="26">
        <v>9577.76</v>
      </c>
      <c r="L63" s="26">
        <v>84.09</v>
      </c>
    </row>
    <row r="64" spans="1:12" ht="16" customHeight="1">
      <c r="A64" t="s">
        <v>254</v>
      </c>
      <c r="B64" t="s">
        <v>3</v>
      </c>
      <c r="C64" t="s">
        <v>12</v>
      </c>
      <c r="D64" s="24">
        <v>45901</v>
      </c>
      <c r="E64" t="s">
        <v>220</v>
      </c>
      <c r="F64" t="s">
        <v>4</v>
      </c>
      <c r="G64" t="s">
        <v>217</v>
      </c>
      <c r="H64" t="s">
        <v>217</v>
      </c>
      <c r="I64" t="s">
        <v>221</v>
      </c>
      <c r="J64" s="25">
        <v>2231</v>
      </c>
      <c r="K64" s="26">
        <v>425.51</v>
      </c>
      <c r="L64" s="26">
        <v>3.64</v>
      </c>
    </row>
    <row r="65" spans="1:12" ht="16" customHeight="1">
      <c r="A65" t="s">
        <v>254</v>
      </c>
      <c r="B65" t="s">
        <v>3</v>
      </c>
      <c r="C65" t="s">
        <v>12</v>
      </c>
      <c r="D65" s="24">
        <v>45901</v>
      </c>
      <c r="E65" t="s">
        <v>222</v>
      </c>
      <c r="F65" t="s">
        <v>4</v>
      </c>
      <c r="G65" t="s">
        <v>217</v>
      </c>
      <c r="H65" t="s">
        <v>217</v>
      </c>
      <c r="I65" t="s">
        <v>223</v>
      </c>
      <c r="J65" s="25">
        <v>1971</v>
      </c>
      <c r="K65" s="26">
        <v>390.13</v>
      </c>
      <c r="L65" s="26">
        <v>6.13</v>
      </c>
    </row>
    <row r="66" spans="1:12" ht="16" customHeight="1">
      <c r="A66" t="s">
        <v>254</v>
      </c>
      <c r="B66" t="s">
        <v>3</v>
      </c>
      <c r="C66" t="s">
        <v>12</v>
      </c>
      <c r="D66" s="24">
        <v>45901</v>
      </c>
      <c r="E66" t="s">
        <v>224</v>
      </c>
      <c r="F66" t="s">
        <v>4</v>
      </c>
      <c r="G66" t="s">
        <v>217</v>
      </c>
      <c r="H66" t="s">
        <v>217</v>
      </c>
      <c r="I66" t="s">
        <v>225</v>
      </c>
      <c r="J66" s="25">
        <v>16</v>
      </c>
      <c r="K66" s="26">
        <v>3.31</v>
      </c>
      <c r="L66" s="26">
        <v>0.08</v>
      </c>
    </row>
    <row r="67" spans="1:12" ht="16" customHeight="1">
      <c r="A67" t="s">
        <v>254</v>
      </c>
      <c r="B67" t="s">
        <v>3</v>
      </c>
      <c r="C67" t="s">
        <v>12</v>
      </c>
      <c r="D67" s="24">
        <v>45901</v>
      </c>
      <c r="E67" t="s">
        <v>226</v>
      </c>
      <c r="F67" t="s">
        <v>4</v>
      </c>
      <c r="G67" t="s">
        <v>217</v>
      </c>
      <c r="H67" t="s">
        <v>217</v>
      </c>
      <c r="I67" t="s">
        <v>227</v>
      </c>
      <c r="J67" s="25">
        <v>0</v>
      </c>
      <c r="K67" s="26">
        <v>0</v>
      </c>
      <c r="L67" s="26">
        <v>0</v>
      </c>
    </row>
    <row r="68" spans="1:12" ht="16" customHeight="1">
      <c r="A68" t="s">
        <v>214</v>
      </c>
      <c r="B68" t="s">
        <v>4</v>
      </c>
      <c r="C68" t="s">
        <v>12</v>
      </c>
      <c r="D68" s="24">
        <v>45901</v>
      </c>
      <c r="E68" t="s">
        <v>216</v>
      </c>
      <c r="F68" t="s">
        <v>4</v>
      </c>
      <c r="G68" t="s">
        <v>217</v>
      </c>
      <c r="H68" t="s">
        <v>217</v>
      </c>
      <c r="I68" t="s">
        <v>212</v>
      </c>
      <c r="J68" s="25">
        <v>2920520</v>
      </c>
      <c r="K68" s="26">
        <v>563306.41</v>
      </c>
      <c r="L68" s="26">
        <v>3075.42</v>
      </c>
    </row>
    <row r="69" spans="1:12" ht="16" customHeight="1">
      <c r="A69" t="s">
        <v>214</v>
      </c>
      <c r="B69" t="s">
        <v>4</v>
      </c>
      <c r="C69" t="s">
        <v>12</v>
      </c>
      <c r="D69" s="24">
        <v>45901</v>
      </c>
      <c r="E69" t="s">
        <v>218</v>
      </c>
      <c r="F69" t="s">
        <v>4</v>
      </c>
      <c r="G69" t="s">
        <v>217</v>
      </c>
      <c r="H69" t="s">
        <v>217</v>
      </c>
      <c r="I69" t="s">
        <v>219</v>
      </c>
      <c r="J69" s="25">
        <v>105859</v>
      </c>
      <c r="K69" s="26">
        <v>20799.88</v>
      </c>
      <c r="L69" s="26">
        <v>203.44</v>
      </c>
    </row>
    <row r="70" spans="1:12" ht="16" customHeight="1">
      <c r="A70" t="s">
        <v>214</v>
      </c>
      <c r="B70" t="s">
        <v>4</v>
      </c>
      <c r="C70" t="s">
        <v>12</v>
      </c>
      <c r="D70" s="24">
        <v>45901</v>
      </c>
      <c r="E70" t="s">
        <v>220</v>
      </c>
      <c r="F70" t="s">
        <v>4</v>
      </c>
      <c r="G70" t="s">
        <v>217</v>
      </c>
      <c r="H70" t="s">
        <v>217</v>
      </c>
      <c r="I70" t="s">
        <v>221</v>
      </c>
      <c r="J70" s="25">
        <v>2986</v>
      </c>
      <c r="K70" s="26">
        <v>579.89</v>
      </c>
      <c r="L70" s="26">
        <v>6.35</v>
      </c>
    </row>
    <row r="71" spans="1:12" ht="16" customHeight="1">
      <c r="A71" t="s">
        <v>214</v>
      </c>
      <c r="B71" t="s">
        <v>4</v>
      </c>
      <c r="C71" t="s">
        <v>12</v>
      </c>
      <c r="D71" s="24">
        <v>45901</v>
      </c>
      <c r="E71" t="s">
        <v>222</v>
      </c>
      <c r="F71" t="s">
        <v>4</v>
      </c>
      <c r="G71" t="s">
        <v>217</v>
      </c>
      <c r="H71" t="s">
        <v>217</v>
      </c>
      <c r="I71" t="s">
        <v>223</v>
      </c>
      <c r="J71" s="25">
        <v>2875</v>
      </c>
      <c r="K71" s="26">
        <v>563.26</v>
      </c>
      <c r="L71" s="26">
        <v>8.1999999999999993</v>
      </c>
    </row>
    <row r="72" spans="1:12" ht="16" customHeight="1">
      <c r="A72" t="s">
        <v>214</v>
      </c>
      <c r="B72" t="s">
        <v>4</v>
      </c>
      <c r="C72" t="s">
        <v>12</v>
      </c>
      <c r="D72" s="24">
        <v>45901</v>
      </c>
      <c r="E72" t="s">
        <v>224</v>
      </c>
      <c r="F72" t="s">
        <v>4</v>
      </c>
      <c r="G72" t="s">
        <v>217</v>
      </c>
      <c r="H72" t="s">
        <v>217</v>
      </c>
      <c r="I72" t="s">
        <v>225</v>
      </c>
      <c r="J72" s="25">
        <v>24</v>
      </c>
      <c r="K72" s="26">
        <v>5.04</v>
      </c>
      <c r="L72" s="26">
        <v>0.1</v>
      </c>
    </row>
    <row r="73" spans="1:12" ht="16" customHeight="1">
      <c r="A73" t="s">
        <v>214</v>
      </c>
      <c r="B73" t="s">
        <v>4</v>
      </c>
      <c r="C73" t="s">
        <v>12</v>
      </c>
      <c r="D73" s="24">
        <v>45901</v>
      </c>
      <c r="E73" t="s">
        <v>226</v>
      </c>
      <c r="F73" t="s">
        <v>4</v>
      </c>
      <c r="G73" t="s">
        <v>217</v>
      </c>
      <c r="H73" t="s">
        <v>217</v>
      </c>
      <c r="I73" t="s">
        <v>227</v>
      </c>
      <c r="J73" s="25">
        <v>0</v>
      </c>
      <c r="K73" s="26">
        <v>0</v>
      </c>
      <c r="L73" s="26">
        <v>0</v>
      </c>
    </row>
    <row r="74" spans="1:12" ht="16" customHeight="1">
      <c r="A74" t="s">
        <v>255</v>
      </c>
      <c r="B74" t="s">
        <v>5</v>
      </c>
      <c r="C74" t="s">
        <v>12</v>
      </c>
      <c r="D74" s="24">
        <v>45901</v>
      </c>
      <c r="E74" t="s">
        <v>216</v>
      </c>
      <c r="F74" t="s">
        <v>4</v>
      </c>
      <c r="G74" t="s">
        <v>217</v>
      </c>
      <c r="H74" t="s">
        <v>217</v>
      </c>
      <c r="I74" t="s">
        <v>212</v>
      </c>
      <c r="J74" s="25">
        <v>3892571</v>
      </c>
      <c r="K74" s="26">
        <v>756304.27</v>
      </c>
      <c r="L74" s="26">
        <v>3789.1</v>
      </c>
    </row>
    <row r="75" spans="1:12" ht="16" customHeight="1">
      <c r="A75" t="s">
        <v>255</v>
      </c>
      <c r="B75" t="s">
        <v>5</v>
      </c>
      <c r="C75" t="s">
        <v>12</v>
      </c>
      <c r="D75" s="24">
        <v>45901</v>
      </c>
      <c r="E75" t="s">
        <v>218</v>
      </c>
      <c r="F75" t="s">
        <v>4</v>
      </c>
      <c r="G75" t="s">
        <v>217</v>
      </c>
      <c r="H75" t="s">
        <v>217</v>
      </c>
      <c r="I75" t="s">
        <v>219</v>
      </c>
      <c r="J75" s="25">
        <v>157463</v>
      </c>
      <c r="K75" s="26">
        <v>31035.93</v>
      </c>
      <c r="L75" s="26">
        <v>276.07</v>
      </c>
    </row>
    <row r="76" spans="1:12" ht="16" customHeight="1">
      <c r="A76" t="s">
        <v>255</v>
      </c>
      <c r="B76" t="s">
        <v>5</v>
      </c>
      <c r="C76" t="s">
        <v>12</v>
      </c>
      <c r="D76" s="24">
        <v>45901</v>
      </c>
      <c r="E76" t="s">
        <v>220</v>
      </c>
      <c r="F76" t="s">
        <v>4</v>
      </c>
      <c r="G76" t="s">
        <v>217</v>
      </c>
      <c r="H76" t="s">
        <v>217</v>
      </c>
      <c r="I76" t="s">
        <v>221</v>
      </c>
      <c r="J76" s="25">
        <v>3342</v>
      </c>
      <c r="K76" s="26">
        <v>646.62</v>
      </c>
      <c r="L76" s="26">
        <v>7.39</v>
      </c>
    </row>
    <row r="77" spans="1:12" ht="16" customHeight="1">
      <c r="A77" t="s">
        <v>255</v>
      </c>
      <c r="B77" t="s">
        <v>5</v>
      </c>
      <c r="C77" t="s">
        <v>12</v>
      </c>
      <c r="D77" s="24">
        <v>45901</v>
      </c>
      <c r="E77" t="s">
        <v>222</v>
      </c>
      <c r="F77" t="s">
        <v>4</v>
      </c>
      <c r="G77" t="s">
        <v>217</v>
      </c>
      <c r="H77" t="s">
        <v>217</v>
      </c>
      <c r="I77" t="s">
        <v>223</v>
      </c>
      <c r="J77" s="25">
        <v>4108</v>
      </c>
      <c r="K77" s="26">
        <v>814.5</v>
      </c>
      <c r="L77" s="26">
        <v>11.27</v>
      </c>
    </row>
    <row r="78" spans="1:12" ht="16" customHeight="1">
      <c r="A78" t="s">
        <v>255</v>
      </c>
      <c r="B78" t="s">
        <v>5</v>
      </c>
      <c r="C78" t="s">
        <v>12</v>
      </c>
      <c r="D78" s="24">
        <v>45901</v>
      </c>
      <c r="E78" t="s">
        <v>224</v>
      </c>
      <c r="F78" t="s">
        <v>4</v>
      </c>
      <c r="G78" t="s">
        <v>217</v>
      </c>
      <c r="H78" t="s">
        <v>217</v>
      </c>
      <c r="I78" t="s">
        <v>225</v>
      </c>
      <c r="J78" s="25">
        <v>70</v>
      </c>
      <c r="K78" s="26">
        <v>14.59</v>
      </c>
      <c r="L78" s="26">
        <v>0.34</v>
      </c>
    </row>
    <row r="79" spans="1:12" ht="16" customHeight="1">
      <c r="A79" t="s">
        <v>255</v>
      </c>
      <c r="B79" t="s">
        <v>5</v>
      </c>
      <c r="C79" t="s">
        <v>12</v>
      </c>
      <c r="D79" s="24">
        <v>45901</v>
      </c>
      <c r="E79" t="s">
        <v>226</v>
      </c>
      <c r="F79" t="s">
        <v>4</v>
      </c>
      <c r="G79" t="s">
        <v>217</v>
      </c>
      <c r="H79" t="s">
        <v>217</v>
      </c>
      <c r="I79" t="s">
        <v>227</v>
      </c>
      <c r="J79" s="25">
        <v>0</v>
      </c>
      <c r="K79" s="26">
        <v>0</v>
      </c>
      <c r="L79" s="26">
        <v>0</v>
      </c>
    </row>
    <row r="80" spans="1:12" ht="16" customHeight="1">
      <c r="A80" t="s">
        <v>257</v>
      </c>
      <c r="B80" t="s">
        <v>6</v>
      </c>
      <c r="C80" t="s">
        <v>12</v>
      </c>
      <c r="D80" s="24">
        <v>45901</v>
      </c>
      <c r="E80" t="s">
        <v>216</v>
      </c>
      <c r="F80" t="s">
        <v>4</v>
      </c>
      <c r="G80" t="s">
        <v>217</v>
      </c>
      <c r="H80" t="s">
        <v>217</v>
      </c>
      <c r="I80" t="s">
        <v>212</v>
      </c>
      <c r="J80" s="25">
        <v>4534462</v>
      </c>
      <c r="K80" s="26">
        <v>881186.43</v>
      </c>
      <c r="L80" s="26">
        <v>4216.55</v>
      </c>
    </row>
    <row r="81" spans="1:12" ht="16" customHeight="1">
      <c r="A81" t="s">
        <v>257</v>
      </c>
      <c r="B81" t="s">
        <v>6</v>
      </c>
      <c r="C81" t="s">
        <v>12</v>
      </c>
      <c r="D81" s="24">
        <v>45901</v>
      </c>
      <c r="E81" t="s">
        <v>218</v>
      </c>
      <c r="F81" t="s">
        <v>4</v>
      </c>
      <c r="G81" t="s">
        <v>217</v>
      </c>
      <c r="H81" t="s">
        <v>217</v>
      </c>
      <c r="I81" t="s">
        <v>219</v>
      </c>
      <c r="J81" s="25">
        <v>131399</v>
      </c>
      <c r="K81" s="26">
        <v>25826.49</v>
      </c>
      <c r="L81" s="26">
        <v>222.79</v>
      </c>
    </row>
    <row r="82" spans="1:12" ht="16" customHeight="1">
      <c r="A82" t="s">
        <v>257</v>
      </c>
      <c r="B82" t="s">
        <v>6</v>
      </c>
      <c r="C82" t="s">
        <v>12</v>
      </c>
      <c r="D82" s="24">
        <v>45901</v>
      </c>
      <c r="E82" t="s">
        <v>220</v>
      </c>
      <c r="F82" t="s">
        <v>4</v>
      </c>
      <c r="G82" t="s">
        <v>217</v>
      </c>
      <c r="H82" t="s">
        <v>217</v>
      </c>
      <c r="I82" t="s">
        <v>221</v>
      </c>
      <c r="J82" s="25">
        <v>4016</v>
      </c>
      <c r="K82" s="26">
        <v>778.5</v>
      </c>
      <c r="L82" s="26">
        <v>8.39</v>
      </c>
    </row>
    <row r="83" spans="1:12" ht="16" customHeight="1">
      <c r="A83" t="s">
        <v>257</v>
      </c>
      <c r="B83" t="s">
        <v>6</v>
      </c>
      <c r="C83" t="s">
        <v>12</v>
      </c>
      <c r="D83" s="24">
        <v>45901</v>
      </c>
      <c r="E83" t="s">
        <v>222</v>
      </c>
      <c r="F83" t="s">
        <v>4</v>
      </c>
      <c r="G83" t="s">
        <v>217</v>
      </c>
      <c r="H83" t="s">
        <v>217</v>
      </c>
      <c r="I83" t="s">
        <v>223</v>
      </c>
      <c r="J83" s="25">
        <v>4726</v>
      </c>
      <c r="K83" s="26">
        <v>932.94</v>
      </c>
      <c r="L83" s="26">
        <v>11.85</v>
      </c>
    </row>
    <row r="84" spans="1:12" ht="16" customHeight="1">
      <c r="A84" t="s">
        <v>257</v>
      </c>
      <c r="B84" t="s">
        <v>6</v>
      </c>
      <c r="C84" t="s">
        <v>12</v>
      </c>
      <c r="D84" s="24">
        <v>45901</v>
      </c>
      <c r="E84" t="s">
        <v>224</v>
      </c>
      <c r="F84" t="s">
        <v>4</v>
      </c>
      <c r="G84" t="s">
        <v>217</v>
      </c>
      <c r="H84" t="s">
        <v>217</v>
      </c>
      <c r="I84" t="s">
        <v>225</v>
      </c>
      <c r="J84" s="25">
        <v>155</v>
      </c>
      <c r="K84" s="26">
        <v>32.380000000000003</v>
      </c>
      <c r="L84" s="26">
        <v>0.78</v>
      </c>
    </row>
    <row r="85" spans="1:12" ht="16" customHeight="1">
      <c r="A85" t="s">
        <v>257</v>
      </c>
      <c r="B85" t="s">
        <v>6</v>
      </c>
      <c r="C85" t="s">
        <v>12</v>
      </c>
      <c r="D85" s="24">
        <v>45901</v>
      </c>
      <c r="E85" t="s">
        <v>226</v>
      </c>
      <c r="F85" t="s">
        <v>4</v>
      </c>
      <c r="G85" t="s">
        <v>217</v>
      </c>
      <c r="H85" t="s">
        <v>217</v>
      </c>
      <c r="I85" t="s">
        <v>227</v>
      </c>
      <c r="J85" s="25">
        <v>0</v>
      </c>
      <c r="K85" s="26">
        <v>0</v>
      </c>
      <c r="L85" s="26">
        <v>0</v>
      </c>
    </row>
    <row r="86" spans="1:12" ht="16" customHeight="1">
      <c r="A86" t="s">
        <v>258</v>
      </c>
      <c r="B86" t="s">
        <v>7</v>
      </c>
      <c r="C86" t="s">
        <v>12</v>
      </c>
      <c r="D86" s="24">
        <v>45901</v>
      </c>
      <c r="E86" t="s">
        <v>216</v>
      </c>
      <c r="F86" t="s">
        <v>4</v>
      </c>
      <c r="G86" t="s">
        <v>217</v>
      </c>
      <c r="H86" t="s">
        <v>217</v>
      </c>
      <c r="I86" t="s">
        <v>212</v>
      </c>
      <c r="J86" s="25">
        <v>4276939</v>
      </c>
      <c r="K86" s="26">
        <v>829406.82</v>
      </c>
      <c r="L86" s="26">
        <v>3767.88</v>
      </c>
    </row>
    <row r="87" spans="1:12" ht="16" customHeight="1">
      <c r="A87" t="s">
        <v>258</v>
      </c>
      <c r="B87" t="s">
        <v>7</v>
      </c>
      <c r="C87" t="s">
        <v>12</v>
      </c>
      <c r="D87" s="24">
        <v>45901</v>
      </c>
      <c r="E87" t="s">
        <v>218</v>
      </c>
      <c r="F87" t="s">
        <v>4</v>
      </c>
      <c r="G87" t="s">
        <v>217</v>
      </c>
      <c r="H87" t="s">
        <v>217</v>
      </c>
      <c r="I87" t="s">
        <v>219</v>
      </c>
      <c r="J87" s="25">
        <v>95212</v>
      </c>
      <c r="K87" s="26">
        <v>18667.25</v>
      </c>
      <c r="L87" s="26">
        <v>158.22999999999999</v>
      </c>
    </row>
    <row r="88" spans="1:12" ht="16" customHeight="1">
      <c r="A88" t="s">
        <v>258</v>
      </c>
      <c r="B88" t="s">
        <v>7</v>
      </c>
      <c r="C88" t="s">
        <v>12</v>
      </c>
      <c r="D88" s="24">
        <v>45901</v>
      </c>
      <c r="E88" t="s">
        <v>220</v>
      </c>
      <c r="F88" t="s">
        <v>4</v>
      </c>
      <c r="G88" t="s">
        <v>217</v>
      </c>
      <c r="H88" t="s">
        <v>217</v>
      </c>
      <c r="I88" t="s">
        <v>221</v>
      </c>
      <c r="J88" s="25">
        <v>2021</v>
      </c>
      <c r="K88" s="26">
        <v>393.45</v>
      </c>
      <c r="L88" s="26">
        <v>3.93</v>
      </c>
    </row>
    <row r="89" spans="1:12" ht="16" customHeight="1">
      <c r="A89" t="s">
        <v>258</v>
      </c>
      <c r="B89" t="s">
        <v>7</v>
      </c>
      <c r="C89" t="s">
        <v>12</v>
      </c>
      <c r="D89" s="24">
        <v>45901</v>
      </c>
      <c r="E89" t="s">
        <v>222</v>
      </c>
      <c r="F89" t="s">
        <v>4</v>
      </c>
      <c r="G89" t="s">
        <v>217</v>
      </c>
      <c r="H89" t="s">
        <v>217</v>
      </c>
      <c r="I89" t="s">
        <v>223</v>
      </c>
      <c r="J89" s="25">
        <v>1793</v>
      </c>
      <c r="K89" s="26">
        <v>357.28</v>
      </c>
      <c r="L89" s="26">
        <v>4.72</v>
      </c>
    </row>
    <row r="90" spans="1:12" ht="16" customHeight="1">
      <c r="A90" t="s">
        <v>258</v>
      </c>
      <c r="B90" t="s">
        <v>7</v>
      </c>
      <c r="C90" t="s">
        <v>12</v>
      </c>
      <c r="D90" s="24">
        <v>45901</v>
      </c>
      <c r="E90" t="s">
        <v>224</v>
      </c>
      <c r="F90" t="s">
        <v>4</v>
      </c>
      <c r="G90" t="s">
        <v>217</v>
      </c>
      <c r="H90" t="s">
        <v>217</v>
      </c>
      <c r="I90" t="s">
        <v>225</v>
      </c>
      <c r="J90" s="25">
        <v>87</v>
      </c>
      <c r="K90" s="26">
        <v>18.16</v>
      </c>
      <c r="L90" s="26">
        <v>0.44</v>
      </c>
    </row>
    <row r="91" spans="1:12" ht="16" customHeight="1">
      <c r="A91" t="s">
        <v>258</v>
      </c>
      <c r="B91" t="s">
        <v>7</v>
      </c>
      <c r="C91" t="s">
        <v>12</v>
      </c>
      <c r="D91" s="24">
        <v>45901</v>
      </c>
      <c r="E91" t="s">
        <v>226</v>
      </c>
      <c r="F91" t="s">
        <v>4</v>
      </c>
      <c r="G91" t="s">
        <v>217</v>
      </c>
      <c r="H91" t="s">
        <v>217</v>
      </c>
      <c r="I91" t="s">
        <v>227</v>
      </c>
      <c r="J91" s="25">
        <v>0</v>
      </c>
      <c r="K91" s="26">
        <v>0</v>
      </c>
      <c r="L91" s="26">
        <v>0</v>
      </c>
    </row>
    <row r="92" spans="1:12" ht="16" customHeight="1">
      <c r="A92" t="s">
        <v>259</v>
      </c>
      <c r="B92" t="s">
        <v>3</v>
      </c>
      <c r="C92" t="s">
        <v>13</v>
      </c>
      <c r="D92" s="24">
        <v>45901</v>
      </c>
      <c r="E92" t="s">
        <v>216</v>
      </c>
      <c r="F92" t="s">
        <v>4</v>
      </c>
      <c r="G92" t="s">
        <v>217</v>
      </c>
      <c r="H92" t="s">
        <v>217</v>
      </c>
      <c r="I92" t="s">
        <v>212</v>
      </c>
      <c r="J92" s="25">
        <v>4695908</v>
      </c>
      <c r="K92" s="26">
        <v>911008.45</v>
      </c>
      <c r="L92" s="26">
        <v>3844.08</v>
      </c>
    </row>
    <row r="93" spans="1:12" ht="16" customHeight="1">
      <c r="A93" t="s">
        <v>259</v>
      </c>
      <c r="B93" t="s">
        <v>3</v>
      </c>
      <c r="C93" t="s">
        <v>13</v>
      </c>
      <c r="D93" s="24">
        <v>45901</v>
      </c>
      <c r="E93" t="s">
        <v>218</v>
      </c>
      <c r="F93" t="s">
        <v>4</v>
      </c>
      <c r="G93" t="s">
        <v>217</v>
      </c>
      <c r="H93" t="s">
        <v>217</v>
      </c>
      <c r="I93" t="s">
        <v>219</v>
      </c>
      <c r="J93" s="25">
        <v>136773</v>
      </c>
      <c r="K93" s="26">
        <v>26776.61</v>
      </c>
      <c r="L93" s="26">
        <v>226.23</v>
      </c>
    </row>
    <row r="94" spans="1:12" ht="16" customHeight="1">
      <c r="A94" t="s">
        <v>259</v>
      </c>
      <c r="B94" t="s">
        <v>3</v>
      </c>
      <c r="C94" t="s">
        <v>13</v>
      </c>
      <c r="D94" s="24">
        <v>45901</v>
      </c>
      <c r="E94" t="s">
        <v>220</v>
      </c>
      <c r="F94" t="s">
        <v>4</v>
      </c>
      <c r="G94" t="s">
        <v>217</v>
      </c>
      <c r="H94" t="s">
        <v>217</v>
      </c>
      <c r="I94" t="s">
        <v>221</v>
      </c>
      <c r="J94" s="25">
        <v>3032</v>
      </c>
      <c r="K94" s="26">
        <v>590.29999999999995</v>
      </c>
      <c r="L94" s="26">
        <v>5.95</v>
      </c>
    </row>
    <row r="95" spans="1:12" ht="16" customHeight="1">
      <c r="A95" t="s">
        <v>259</v>
      </c>
      <c r="B95" t="s">
        <v>3</v>
      </c>
      <c r="C95" t="s">
        <v>13</v>
      </c>
      <c r="D95" s="24">
        <v>45901</v>
      </c>
      <c r="E95" t="s">
        <v>222</v>
      </c>
      <c r="F95" t="s">
        <v>4</v>
      </c>
      <c r="G95" t="s">
        <v>217</v>
      </c>
      <c r="H95" t="s">
        <v>217</v>
      </c>
      <c r="I95" t="s">
        <v>223</v>
      </c>
      <c r="J95" s="25">
        <v>1819</v>
      </c>
      <c r="K95" s="26">
        <v>360.93</v>
      </c>
      <c r="L95" s="26">
        <v>3.96</v>
      </c>
    </row>
    <row r="96" spans="1:12" ht="16" customHeight="1">
      <c r="A96" t="s">
        <v>259</v>
      </c>
      <c r="B96" t="s">
        <v>3</v>
      </c>
      <c r="C96" t="s">
        <v>13</v>
      </c>
      <c r="D96" s="24">
        <v>45901</v>
      </c>
      <c r="E96" t="s">
        <v>224</v>
      </c>
      <c r="F96" t="s">
        <v>4</v>
      </c>
      <c r="G96" t="s">
        <v>217</v>
      </c>
      <c r="H96" t="s">
        <v>217</v>
      </c>
      <c r="I96" t="s">
        <v>225</v>
      </c>
      <c r="J96" s="25">
        <v>34</v>
      </c>
      <c r="K96" s="26">
        <v>7.03</v>
      </c>
      <c r="L96" s="26">
        <v>0.21</v>
      </c>
    </row>
    <row r="97" spans="1:12" ht="16" customHeight="1">
      <c r="A97" t="s">
        <v>259</v>
      </c>
      <c r="B97" t="s">
        <v>3</v>
      </c>
      <c r="C97" t="s">
        <v>13</v>
      </c>
      <c r="D97" s="24">
        <v>45901</v>
      </c>
      <c r="E97" t="s">
        <v>226</v>
      </c>
      <c r="F97" t="s">
        <v>4</v>
      </c>
      <c r="G97" t="s">
        <v>217</v>
      </c>
      <c r="H97" t="s">
        <v>217</v>
      </c>
      <c r="I97" t="s">
        <v>227</v>
      </c>
      <c r="J97" s="25">
        <v>0</v>
      </c>
      <c r="K97" s="26">
        <v>0</v>
      </c>
      <c r="L97" s="26">
        <v>0</v>
      </c>
    </row>
    <row r="98" spans="1:12" ht="16" customHeight="1">
      <c r="A98" t="s">
        <v>215</v>
      </c>
      <c r="B98" t="s">
        <v>4</v>
      </c>
      <c r="C98" t="s">
        <v>13</v>
      </c>
      <c r="D98" s="24">
        <v>45901</v>
      </c>
      <c r="E98" t="s">
        <v>216</v>
      </c>
      <c r="F98" t="s">
        <v>4</v>
      </c>
      <c r="G98" t="s">
        <v>217</v>
      </c>
      <c r="H98" t="s">
        <v>217</v>
      </c>
      <c r="I98" t="s">
        <v>212</v>
      </c>
      <c r="J98" s="25">
        <v>5254990</v>
      </c>
      <c r="K98" s="26">
        <v>1017951.41</v>
      </c>
      <c r="L98" s="26">
        <v>3976.39</v>
      </c>
    </row>
    <row r="99" spans="1:12" ht="16" customHeight="1">
      <c r="A99" t="s">
        <v>215</v>
      </c>
      <c r="B99" t="s">
        <v>4</v>
      </c>
      <c r="C99" t="s">
        <v>13</v>
      </c>
      <c r="D99" s="24">
        <v>45901</v>
      </c>
      <c r="E99" t="s">
        <v>218</v>
      </c>
      <c r="F99" t="s">
        <v>4</v>
      </c>
      <c r="G99" t="s">
        <v>217</v>
      </c>
      <c r="H99" t="s">
        <v>217</v>
      </c>
      <c r="I99" t="s">
        <v>219</v>
      </c>
      <c r="J99" s="25">
        <v>162251</v>
      </c>
      <c r="K99" s="26">
        <v>31769.68</v>
      </c>
      <c r="L99" s="26">
        <v>268.66000000000003</v>
      </c>
    </row>
    <row r="100" spans="1:12" ht="16" customHeight="1">
      <c r="A100" t="s">
        <v>215</v>
      </c>
      <c r="B100" t="s">
        <v>4</v>
      </c>
      <c r="C100" t="s">
        <v>13</v>
      </c>
      <c r="D100" s="24">
        <v>45901</v>
      </c>
      <c r="E100" t="s">
        <v>220</v>
      </c>
      <c r="F100" t="s">
        <v>4</v>
      </c>
      <c r="G100" t="s">
        <v>217</v>
      </c>
      <c r="H100" t="s">
        <v>217</v>
      </c>
      <c r="I100" t="s">
        <v>221</v>
      </c>
      <c r="J100" s="25">
        <v>3541</v>
      </c>
      <c r="K100" s="26">
        <v>689.85</v>
      </c>
      <c r="L100" s="26">
        <v>6.71</v>
      </c>
    </row>
    <row r="101" spans="1:12" ht="16" customHeight="1">
      <c r="A101" t="s">
        <v>215</v>
      </c>
      <c r="B101" t="s">
        <v>4</v>
      </c>
      <c r="C101" t="s">
        <v>13</v>
      </c>
      <c r="D101" s="24">
        <v>45901</v>
      </c>
      <c r="E101" t="s">
        <v>222</v>
      </c>
      <c r="F101" t="s">
        <v>4</v>
      </c>
      <c r="G101" t="s">
        <v>217</v>
      </c>
      <c r="H101" t="s">
        <v>217</v>
      </c>
      <c r="I101" t="s">
        <v>223</v>
      </c>
      <c r="J101" s="25">
        <v>2155</v>
      </c>
      <c r="K101" s="26">
        <v>429.61</v>
      </c>
      <c r="L101" s="26">
        <v>5.49</v>
      </c>
    </row>
    <row r="102" spans="1:12" ht="16" customHeight="1">
      <c r="A102" t="s">
        <v>215</v>
      </c>
      <c r="B102" t="s">
        <v>4</v>
      </c>
      <c r="C102" t="s">
        <v>13</v>
      </c>
      <c r="D102" s="24">
        <v>45901</v>
      </c>
      <c r="E102" t="s">
        <v>224</v>
      </c>
      <c r="F102" t="s">
        <v>4</v>
      </c>
      <c r="G102" t="s">
        <v>217</v>
      </c>
      <c r="H102" t="s">
        <v>217</v>
      </c>
      <c r="I102" t="s">
        <v>225</v>
      </c>
      <c r="J102" s="25">
        <v>201</v>
      </c>
      <c r="K102" s="26">
        <v>41.53</v>
      </c>
      <c r="L102" s="26">
        <v>1.24</v>
      </c>
    </row>
    <row r="103" spans="1:12" ht="16" customHeight="1">
      <c r="A103" t="s">
        <v>215</v>
      </c>
      <c r="B103" t="s">
        <v>4</v>
      </c>
      <c r="C103" t="s">
        <v>13</v>
      </c>
      <c r="D103" s="24">
        <v>45901</v>
      </c>
      <c r="E103" t="s">
        <v>226</v>
      </c>
      <c r="F103" t="s">
        <v>4</v>
      </c>
      <c r="G103" t="s">
        <v>217</v>
      </c>
      <c r="H103" t="s">
        <v>217</v>
      </c>
      <c r="I103" t="s">
        <v>227</v>
      </c>
      <c r="J103" s="25">
        <v>0</v>
      </c>
      <c r="K103" s="26">
        <v>0</v>
      </c>
      <c r="L103" s="26">
        <v>0</v>
      </c>
    </row>
    <row r="104" spans="1:12" ht="16" customHeight="1">
      <c r="A104" t="s">
        <v>260</v>
      </c>
      <c r="B104" t="s">
        <v>5</v>
      </c>
      <c r="C104" t="s">
        <v>13</v>
      </c>
      <c r="D104" s="24">
        <v>45901</v>
      </c>
      <c r="E104" t="s">
        <v>216</v>
      </c>
      <c r="F104" t="s">
        <v>4</v>
      </c>
      <c r="G104" t="s">
        <v>217</v>
      </c>
      <c r="H104" t="s">
        <v>217</v>
      </c>
      <c r="I104" t="s">
        <v>212</v>
      </c>
      <c r="J104" s="25">
        <v>8230927</v>
      </c>
      <c r="K104" s="26">
        <v>1588096.11</v>
      </c>
      <c r="L104" s="26">
        <v>5312.02</v>
      </c>
    </row>
    <row r="105" spans="1:12" ht="16" customHeight="1">
      <c r="A105" t="s">
        <v>260</v>
      </c>
      <c r="B105" t="s">
        <v>5</v>
      </c>
      <c r="C105" t="s">
        <v>13</v>
      </c>
      <c r="D105" s="24">
        <v>45901</v>
      </c>
      <c r="E105" t="s">
        <v>218</v>
      </c>
      <c r="F105" t="s">
        <v>4</v>
      </c>
      <c r="G105" t="s">
        <v>217</v>
      </c>
      <c r="H105" t="s">
        <v>217</v>
      </c>
      <c r="I105" t="s">
        <v>219</v>
      </c>
      <c r="J105" s="25">
        <v>210834</v>
      </c>
      <c r="K105" s="26">
        <v>41227.24</v>
      </c>
      <c r="L105" s="26">
        <v>358.88</v>
      </c>
    </row>
    <row r="106" spans="1:12" ht="16" customHeight="1">
      <c r="A106" t="s">
        <v>260</v>
      </c>
      <c r="B106" t="s">
        <v>5</v>
      </c>
      <c r="C106" t="s">
        <v>13</v>
      </c>
      <c r="D106" s="24">
        <v>45901</v>
      </c>
      <c r="E106" t="s">
        <v>220</v>
      </c>
      <c r="F106" t="s">
        <v>4</v>
      </c>
      <c r="G106" t="s">
        <v>217</v>
      </c>
      <c r="H106" t="s">
        <v>217</v>
      </c>
      <c r="I106" t="s">
        <v>221</v>
      </c>
      <c r="J106" s="25">
        <v>4862</v>
      </c>
      <c r="K106" s="26">
        <v>946.44</v>
      </c>
      <c r="L106" s="26">
        <v>8.5500000000000007</v>
      </c>
    </row>
    <row r="107" spans="1:12" ht="16" customHeight="1">
      <c r="A107" t="s">
        <v>260</v>
      </c>
      <c r="B107" t="s">
        <v>5</v>
      </c>
      <c r="C107" t="s">
        <v>13</v>
      </c>
      <c r="D107" s="24">
        <v>45901</v>
      </c>
      <c r="E107" t="s">
        <v>222</v>
      </c>
      <c r="F107" t="s">
        <v>4</v>
      </c>
      <c r="G107" t="s">
        <v>217</v>
      </c>
      <c r="H107" t="s">
        <v>217</v>
      </c>
      <c r="I107" t="s">
        <v>223</v>
      </c>
      <c r="J107" s="25">
        <v>2084</v>
      </c>
      <c r="K107" s="26">
        <v>415.45</v>
      </c>
      <c r="L107" s="26">
        <v>4.84</v>
      </c>
    </row>
    <row r="108" spans="1:12" ht="16" customHeight="1">
      <c r="A108" t="s">
        <v>260</v>
      </c>
      <c r="B108" t="s">
        <v>5</v>
      </c>
      <c r="C108" t="s">
        <v>13</v>
      </c>
      <c r="D108" s="24">
        <v>45901</v>
      </c>
      <c r="E108" t="s">
        <v>224</v>
      </c>
      <c r="F108" t="s">
        <v>4</v>
      </c>
      <c r="G108" t="s">
        <v>217</v>
      </c>
      <c r="H108" t="s">
        <v>217</v>
      </c>
      <c r="I108" t="s">
        <v>225</v>
      </c>
      <c r="J108" s="25">
        <v>100</v>
      </c>
      <c r="K108" s="26">
        <v>20.71</v>
      </c>
      <c r="L108" s="26">
        <v>0.61</v>
      </c>
    </row>
    <row r="109" spans="1:12" ht="16" customHeight="1">
      <c r="A109" t="s">
        <v>260</v>
      </c>
      <c r="B109" t="s">
        <v>5</v>
      </c>
      <c r="C109" t="s">
        <v>13</v>
      </c>
      <c r="D109" s="24">
        <v>45901</v>
      </c>
      <c r="E109" t="s">
        <v>226</v>
      </c>
      <c r="F109" t="s">
        <v>4</v>
      </c>
      <c r="G109" t="s">
        <v>217</v>
      </c>
      <c r="H109" t="s">
        <v>217</v>
      </c>
      <c r="I109" t="s">
        <v>227</v>
      </c>
      <c r="J109" s="25">
        <v>0</v>
      </c>
      <c r="K109" s="26">
        <v>0</v>
      </c>
      <c r="L109" s="26">
        <v>0</v>
      </c>
    </row>
    <row r="110" spans="1:12" ht="16" customHeight="1">
      <c r="A110" t="s">
        <v>263</v>
      </c>
      <c r="B110" t="s">
        <v>6</v>
      </c>
      <c r="C110" t="s">
        <v>13</v>
      </c>
      <c r="D110" s="24">
        <v>45901</v>
      </c>
      <c r="E110" t="s">
        <v>216</v>
      </c>
      <c r="F110" t="s">
        <v>4</v>
      </c>
      <c r="G110" t="s">
        <v>217</v>
      </c>
      <c r="H110" t="s">
        <v>217</v>
      </c>
      <c r="I110" t="s">
        <v>212</v>
      </c>
      <c r="J110" s="25">
        <v>8655021</v>
      </c>
      <c r="K110" s="26">
        <v>1667316.8</v>
      </c>
      <c r="L110" s="26">
        <v>5069.93</v>
      </c>
    </row>
    <row r="111" spans="1:12" ht="16" customHeight="1">
      <c r="A111" t="s">
        <v>263</v>
      </c>
      <c r="B111" t="s">
        <v>6</v>
      </c>
      <c r="C111" t="s">
        <v>13</v>
      </c>
      <c r="D111" s="24">
        <v>45901</v>
      </c>
      <c r="E111" t="s">
        <v>218</v>
      </c>
      <c r="F111" t="s">
        <v>4</v>
      </c>
      <c r="G111" t="s">
        <v>217</v>
      </c>
      <c r="H111" t="s">
        <v>217</v>
      </c>
      <c r="I111" t="s">
        <v>219</v>
      </c>
      <c r="J111" s="25">
        <v>229999</v>
      </c>
      <c r="K111" s="26">
        <v>44733.14</v>
      </c>
      <c r="L111" s="26">
        <v>412.56</v>
      </c>
    </row>
    <row r="112" spans="1:12" ht="16" customHeight="1">
      <c r="A112" t="s">
        <v>263</v>
      </c>
      <c r="B112" t="s">
        <v>6</v>
      </c>
      <c r="C112" t="s">
        <v>13</v>
      </c>
      <c r="D112" s="24">
        <v>45901</v>
      </c>
      <c r="E112" t="s">
        <v>220</v>
      </c>
      <c r="F112" t="s">
        <v>4</v>
      </c>
      <c r="G112" t="s">
        <v>217</v>
      </c>
      <c r="H112" t="s">
        <v>217</v>
      </c>
      <c r="I112" t="s">
        <v>221</v>
      </c>
      <c r="J112" s="25">
        <v>4065</v>
      </c>
      <c r="K112" s="26">
        <v>787.98</v>
      </c>
      <c r="L112" s="26">
        <v>7.6</v>
      </c>
    </row>
    <row r="113" spans="1:12" ht="16" customHeight="1">
      <c r="A113" t="s">
        <v>263</v>
      </c>
      <c r="B113" t="s">
        <v>6</v>
      </c>
      <c r="C113" t="s">
        <v>13</v>
      </c>
      <c r="D113" s="24">
        <v>45901</v>
      </c>
      <c r="E113" t="s">
        <v>222</v>
      </c>
      <c r="F113" t="s">
        <v>4</v>
      </c>
      <c r="G113" t="s">
        <v>217</v>
      </c>
      <c r="H113" t="s">
        <v>217</v>
      </c>
      <c r="I113" t="s">
        <v>223</v>
      </c>
      <c r="J113" s="25">
        <v>1708</v>
      </c>
      <c r="K113" s="26">
        <v>340.37</v>
      </c>
      <c r="L113" s="26">
        <v>4.34</v>
      </c>
    </row>
    <row r="114" spans="1:12" ht="16" customHeight="1">
      <c r="A114" t="s">
        <v>263</v>
      </c>
      <c r="B114" t="s">
        <v>6</v>
      </c>
      <c r="C114" t="s">
        <v>13</v>
      </c>
      <c r="D114" s="24">
        <v>45901</v>
      </c>
      <c r="E114" t="s">
        <v>224</v>
      </c>
      <c r="F114" t="s">
        <v>4</v>
      </c>
      <c r="G114" t="s">
        <v>217</v>
      </c>
      <c r="H114" t="s">
        <v>217</v>
      </c>
      <c r="I114" t="s">
        <v>225</v>
      </c>
      <c r="J114" s="25">
        <v>93</v>
      </c>
      <c r="K114" s="26">
        <v>19.3</v>
      </c>
      <c r="L114" s="26">
        <v>0.5</v>
      </c>
    </row>
    <row r="115" spans="1:12" ht="16" customHeight="1">
      <c r="A115" t="s">
        <v>263</v>
      </c>
      <c r="B115" t="s">
        <v>6</v>
      </c>
      <c r="C115" t="s">
        <v>13</v>
      </c>
      <c r="D115" s="24">
        <v>45901</v>
      </c>
      <c r="E115" t="s">
        <v>226</v>
      </c>
      <c r="F115" t="s">
        <v>4</v>
      </c>
      <c r="G115" t="s">
        <v>217</v>
      </c>
      <c r="H115" t="s">
        <v>217</v>
      </c>
      <c r="I115" t="s">
        <v>227</v>
      </c>
      <c r="J115" s="25">
        <v>0</v>
      </c>
      <c r="K115" s="26">
        <v>0</v>
      </c>
      <c r="L115" s="26">
        <v>0</v>
      </c>
    </row>
    <row r="116" spans="1:12" ht="16" customHeight="1">
      <c r="A116" t="s">
        <v>264</v>
      </c>
      <c r="B116" t="s">
        <v>7</v>
      </c>
      <c r="C116" t="s">
        <v>13</v>
      </c>
      <c r="D116" s="24">
        <v>45901</v>
      </c>
      <c r="E116" t="s">
        <v>216</v>
      </c>
      <c r="F116" t="s">
        <v>4</v>
      </c>
      <c r="G116" t="s">
        <v>217</v>
      </c>
      <c r="H116" t="s">
        <v>217</v>
      </c>
      <c r="I116" t="s">
        <v>212</v>
      </c>
      <c r="J116" s="25">
        <v>15559407</v>
      </c>
      <c r="K116" s="26">
        <v>2953883.34</v>
      </c>
      <c r="L116" s="26">
        <v>7979.82</v>
      </c>
    </row>
    <row r="117" spans="1:12" ht="16" customHeight="1">
      <c r="A117" t="s">
        <v>264</v>
      </c>
      <c r="B117" t="s">
        <v>7</v>
      </c>
      <c r="C117" t="s">
        <v>13</v>
      </c>
      <c r="D117" s="24">
        <v>45901</v>
      </c>
      <c r="E117" t="s">
        <v>218</v>
      </c>
      <c r="F117" t="s">
        <v>4</v>
      </c>
      <c r="G117" t="s">
        <v>217</v>
      </c>
      <c r="H117" t="s">
        <v>217</v>
      </c>
      <c r="I117" t="s">
        <v>219</v>
      </c>
      <c r="J117" s="25">
        <v>458425</v>
      </c>
      <c r="K117" s="26">
        <v>88795.4</v>
      </c>
      <c r="L117" s="26">
        <v>802.39</v>
      </c>
    </row>
    <row r="118" spans="1:12" ht="16" customHeight="1">
      <c r="A118" t="s">
        <v>264</v>
      </c>
      <c r="B118" t="s">
        <v>7</v>
      </c>
      <c r="C118" t="s">
        <v>13</v>
      </c>
      <c r="D118" s="24">
        <v>45901</v>
      </c>
      <c r="E118" t="s">
        <v>220</v>
      </c>
      <c r="F118" t="s">
        <v>4</v>
      </c>
      <c r="G118" t="s">
        <v>217</v>
      </c>
      <c r="H118" t="s">
        <v>217</v>
      </c>
      <c r="I118" t="s">
        <v>221</v>
      </c>
      <c r="J118" s="25">
        <v>12857</v>
      </c>
      <c r="K118" s="26">
        <v>2504.8200000000002</v>
      </c>
      <c r="L118" s="26">
        <v>26.56</v>
      </c>
    </row>
    <row r="119" spans="1:12" ht="16" customHeight="1">
      <c r="A119" t="s">
        <v>264</v>
      </c>
      <c r="B119" t="s">
        <v>7</v>
      </c>
      <c r="C119" t="s">
        <v>13</v>
      </c>
      <c r="D119" s="24">
        <v>45901</v>
      </c>
      <c r="E119" t="s">
        <v>222</v>
      </c>
      <c r="F119" t="s">
        <v>4</v>
      </c>
      <c r="G119" t="s">
        <v>217</v>
      </c>
      <c r="H119" t="s">
        <v>217</v>
      </c>
      <c r="I119" t="s">
        <v>223</v>
      </c>
      <c r="J119" s="25">
        <v>5665</v>
      </c>
      <c r="K119" s="26">
        <v>1129.06</v>
      </c>
      <c r="L119" s="26">
        <v>15.09</v>
      </c>
    </row>
    <row r="120" spans="1:12" ht="16" customHeight="1">
      <c r="A120" t="s">
        <v>264</v>
      </c>
      <c r="B120" t="s">
        <v>7</v>
      </c>
      <c r="C120" t="s">
        <v>13</v>
      </c>
      <c r="D120" s="24">
        <v>45901</v>
      </c>
      <c r="E120" t="s">
        <v>224</v>
      </c>
      <c r="F120" t="s">
        <v>4</v>
      </c>
      <c r="G120" t="s">
        <v>217</v>
      </c>
      <c r="H120" t="s">
        <v>217</v>
      </c>
      <c r="I120" t="s">
        <v>225</v>
      </c>
      <c r="J120" s="25">
        <v>201</v>
      </c>
      <c r="K120" s="26">
        <v>42.06</v>
      </c>
      <c r="L120" s="26">
        <v>0.72</v>
      </c>
    </row>
    <row r="121" spans="1:12" ht="16" customHeight="1">
      <c r="A121" t="s">
        <v>264</v>
      </c>
      <c r="B121" t="s">
        <v>7</v>
      </c>
      <c r="C121" t="s">
        <v>13</v>
      </c>
      <c r="D121" s="24">
        <v>45901</v>
      </c>
      <c r="E121" t="s">
        <v>226</v>
      </c>
      <c r="F121" t="s">
        <v>4</v>
      </c>
      <c r="G121" t="s">
        <v>217</v>
      </c>
      <c r="H121" t="s">
        <v>217</v>
      </c>
      <c r="I121" t="s">
        <v>227</v>
      </c>
      <c r="J121" s="25">
        <v>0</v>
      </c>
      <c r="K121" s="26">
        <v>0</v>
      </c>
      <c r="L121" s="26">
        <v>0</v>
      </c>
    </row>
    <row r="122" spans="1:12" ht="16" customHeight="1">
      <c r="A122" t="s">
        <v>265</v>
      </c>
      <c r="B122" t="s">
        <v>3</v>
      </c>
      <c r="C122" t="s">
        <v>14</v>
      </c>
      <c r="D122" s="24">
        <v>45901</v>
      </c>
      <c r="E122" t="s">
        <v>216</v>
      </c>
      <c r="F122" t="s">
        <v>4</v>
      </c>
      <c r="G122" t="s">
        <v>217</v>
      </c>
      <c r="H122" t="s">
        <v>217</v>
      </c>
      <c r="I122" t="s">
        <v>212</v>
      </c>
      <c r="J122" s="25">
        <v>27075109</v>
      </c>
      <c r="K122" s="26">
        <v>5106750.75</v>
      </c>
      <c r="L122" s="26">
        <v>10807.76</v>
      </c>
    </row>
    <row r="123" spans="1:12" ht="16" customHeight="1">
      <c r="A123" t="s">
        <v>265</v>
      </c>
      <c r="B123" t="s">
        <v>3</v>
      </c>
      <c r="C123" t="s">
        <v>14</v>
      </c>
      <c r="D123" s="24">
        <v>45901</v>
      </c>
      <c r="E123" t="s">
        <v>218</v>
      </c>
      <c r="F123" t="s">
        <v>4</v>
      </c>
      <c r="G123" t="s">
        <v>217</v>
      </c>
      <c r="H123" t="s">
        <v>217</v>
      </c>
      <c r="I123" t="s">
        <v>219</v>
      </c>
      <c r="J123" s="25">
        <v>502600</v>
      </c>
      <c r="K123" s="26">
        <v>97123.86</v>
      </c>
      <c r="L123" s="26">
        <v>936.75</v>
      </c>
    </row>
    <row r="124" spans="1:12" ht="16" customHeight="1">
      <c r="A124" t="s">
        <v>265</v>
      </c>
      <c r="B124" t="s">
        <v>3</v>
      </c>
      <c r="C124" t="s">
        <v>14</v>
      </c>
      <c r="D124" s="24">
        <v>45901</v>
      </c>
      <c r="E124" t="s">
        <v>220</v>
      </c>
      <c r="F124" t="s">
        <v>4</v>
      </c>
      <c r="G124" t="s">
        <v>217</v>
      </c>
      <c r="H124" t="s">
        <v>217</v>
      </c>
      <c r="I124" t="s">
        <v>221</v>
      </c>
      <c r="J124" s="25">
        <v>9914</v>
      </c>
      <c r="K124" s="26">
        <v>1926.53</v>
      </c>
      <c r="L124" s="26">
        <v>20.83</v>
      </c>
    </row>
    <row r="125" spans="1:12" ht="16" customHeight="1">
      <c r="A125" t="s">
        <v>265</v>
      </c>
      <c r="B125" t="s">
        <v>3</v>
      </c>
      <c r="C125" t="s">
        <v>14</v>
      </c>
      <c r="D125" s="24">
        <v>45901</v>
      </c>
      <c r="E125" t="s">
        <v>222</v>
      </c>
      <c r="F125" t="s">
        <v>4</v>
      </c>
      <c r="G125" t="s">
        <v>217</v>
      </c>
      <c r="H125" t="s">
        <v>217</v>
      </c>
      <c r="I125" t="s">
        <v>223</v>
      </c>
      <c r="J125" s="25">
        <v>3166</v>
      </c>
      <c r="K125" s="26">
        <v>631.69000000000005</v>
      </c>
      <c r="L125" s="26">
        <v>8.4600000000000009</v>
      </c>
    </row>
    <row r="126" spans="1:12" ht="16" customHeight="1">
      <c r="A126" t="s">
        <v>265</v>
      </c>
      <c r="B126" t="s">
        <v>3</v>
      </c>
      <c r="C126" t="s">
        <v>14</v>
      </c>
      <c r="D126" s="24">
        <v>45901</v>
      </c>
      <c r="E126" t="s">
        <v>224</v>
      </c>
      <c r="F126" t="s">
        <v>4</v>
      </c>
      <c r="G126" t="s">
        <v>217</v>
      </c>
      <c r="H126" t="s">
        <v>217</v>
      </c>
      <c r="I126" t="s">
        <v>225</v>
      </c>
      <c r="J126" s="25">
        <v>118</v>
      </c>
      <c r="K126" s="26">
        <v>24.64</v>
      </c>
      <c r="L126" s="26">
        <v>0.41</v>
      </c>
    </row>
    <row r="127" spans="1:12" ht="16" customHeight="1">
      <c r="A127" t="s">
        <v>265</v>
      </c>
      <c r="B127" t="s">
        <v>3</v>
      </c>
      <c r="C127" t="s">
        <v>14</v>
      </c>
      <c r="D127" s="24">
        <v>45901</v>
      </c>
      <c r="E127" t="s">
        <v>226</v>
      </c>
      <c r="F127" t="s">
        <v>4</v>
      </c>
      <c r="G127" t="s">
        <v>217</v>
      </c>
      <c r="H127" t="s">
        <v>217</v>
      </c>
      <c r="I127" t="s">
        <v>227</v>
      </c>
      <c r="J127" s="25">
        <v>0</v>
      </c>
      <c r="K127" s="26">
        <v>0</v>
      </c>
      <c r="L127" s="26">
        <v>0</v>
      </c>
    </row>
    <row r="128" spans="1:12" ht="16" customHeight="1">
      <c r="A128" t="s">
        <v>216</v>
      </c>
      <c r="B128" t="s">
        <v>4</v>
      </c>
      <c r="C128" t="s">
        <v>14</v>
      </c>
      <c r="D128" s="24">
        <v>45901</v>
      </c>
      <c r="E128" t="s">
        <v>216</v>
      </c>
      <c r="F128" t="s">
        <v>4</v>
      </c>
      <c r="G128" t="s">
        <v>217</v>
      </c>
      <c r="H128" t="s">
        <v>217</v>
      </c>
      <c r="I128" t="s">
        <v>212</v>
      </c>
      <c r="J128" s="25">
        <v>77935545</v>
      </c>
      <c r="K128" s="26">
        <v>14673456.91</v>
      </c>
      <c r="L128" s="26">
        <v>14470.1</v>
      </c>
    </row>
    <row r="129" spans="1:12" ht="16" customHeight="1">
      <c r="A129" t="s">
        <v>216</v>
      </c>
      <c r="B129" t="s">
        <v>4</v>
      </c>
      <c r="C129" t="s">
        <v>14</v>
      </c>
      <c r="D129" s="24">
        <v>45901</v>
      </c>
      <c r="E129" t="s">
        <v>218</v>
      </c>
      <c r="F129" t="s">
        <v>4</v>
      </c>
      <c r="G129" t="s">
        <v>217</v>
      </c>
      <c r="H129" t="s">
        <v>217</v>
      </c>
      <c r="I129" t="s">
        <v>219</v>
      </c>
      <c r="J129" s="25">
        <v>703306</v>
      </c>
      <c r="K129" s="26">
        <v>135519.76999999999</v>
      </c>
      <c r="L129" s="26">
        <v>1179.75</v>
      </c>
    </row>
    <row r="130" spans="1:12" ht="16" customHeight="1">
      <c r="A130" t="s">
        <v>216</v>
      </c>
      <c r="B130" t="s">
        <v>4</v>
      </c>
      <c r="C130" t="s">
        <v>14</v>
      </c>
      <c r="D130" s="24">
        <v>45901</v>
      </c>
      <c r="E130" t="s">
        <v>220</v>
      </c>
      <c r="F130" t="s">
        <v>4</v>
      </c>
      <c r="G130" t="s">
        <v>217</v>
      </c>
      <c r="H130" t="s">
        <v>217</v>
      </c>
      <c r="I130" t="s">
        <v>221</v>
      </c>
      <c r="J130" s="25">
        <v>7401</v>
      </c>
      <c r="K130" s="26">
        <v>1431.43</v>
      </c>
      <c r="L130" s="26">
        <v>16.46</v>
      </c>
    </row>
    <row r="131" spans="1:12" ht="16" customHeight="1">
      <c r="A131" t="s">
        <v>216</v>
      </c>
      <c r="B131" t="s">
        <v>4</v>
      </c>
      <c r="C131" t="s">
        <v>14</v>
      </c>
      <c r="D131" s="24">
        <v>45901</v>
      </c>
      <c r="E131" t="s">
        <v>222</v>
      </c>
      <c r="F131" t="s">
        <v>4</v>
      </c>
      <c r="G131" t="s">
        <v>217</v>
      </c>
      <c r="H131" t="s">
        <v>217</v>
      </c>
      <c r="I131" t="s">
        <v>223</v>
      </c>
      <c r="J131" s="25">
        <v>2577</v>
      </c>
      <c r="K131" s="26">
        <v>510.74</v>
      </c>
      <c r="L131" s="26">
        <v>8.36</v>
      </c>
    </row>
    <row r="132" spans="1:12" ht="16" customHeight="1">
      <c r="A132" t="s">
        <v>216</v>
      </c>
      <c r="B132" t="s">
        <v>4</v>
      </c>
      <c r="C132" t="s">
        <v>14</v>
      </c>
      <c r="D132" s="24">
        <v>45901</v>
      </c>
      <c r="E132" t="s">
        <v>224</v>
      </c>
      <c r="F132" t="s">
        <v>4</v>
      </c>
      <c r="G132" t="s">
        <v>217</v>
      </c>
      <c r="H132" t="s">
        <v>217</v>
      </c>
      <c r="I132" t="s">
        <v>225</v>
      </c>
      <c r="J132" s="25">
        <v>79</v>
      </c>
      <c r="K132" s="26">
        <v>16.47</v>
      </c>
      <c r="L132" s="26">
        <v>0.3</v>
      </c>
    </row>
    <row r="133" spans="1:12" ht="16" customHeight="1">
      <c r="A133" t="s">
        <v>216</v>
      </c>
      <c r="B133" t="s">
        <v>4</v>
      </c>
      <c r="C133" t="s">
        <v>14</v>
      </c>
      <c r="D133" s="24">
        <v>45901</v>
      </c>
      <c r="E133" t="s">
        <v>226</v>
      </c>
      <c r="F133" t="s">
        <v>4</v>
      </c>
      <c r="G133" t="s">
        <v>217</v>
      </c>
      <c r="H133" t="s">
        <v>217</v>
      </c>
      <c r="I133" t="s">
        <v>227</v>
      </c>
      <c r="J133" s="25">
        <v>0</v>
      </c>
      <c r="K133" s="26">
        <v>0</v>
      </c>
      <c r="L133" s="26">
        <v>0</v>
      </c>
    </row>
    <row r="134" spans="1:12" ht="16" customHeight="1">
      <c r="A134" t="s">
        <v>266</v>
      </c>
      <c r="B134" t="s">
        <v>5</v>
      </c>
      <c r="C134" t="s">
        <v>15</v>
      </c>
      <c r="D134" s="24">
        <v>45931</v>
      </c>
      <c r="E134" t="s">
        <v>218</v>
      </c>
      <c r="F134" t="s">
        <v>4</v>
      </c>
      <c r="G134" t="s">
        <v>217</v>
      </c>
      <c r="H134" t="s">
        <v>217</v>
      </c>
      <c r="I134" t="s">
        <v>212</v>
      </c>
      <c r="J134" s="25">
        <v>3418398</v>
      </c>
      <c r="K134" s="26">
        <v>662270.30000000005</v>
      </c>
      <c r="L134" s="26">
        <v>5038.4799999999996</v>
      </c>
    </row>
    <row r="135" spans="1:12" ht="16" customHeight="1">
      <c r="A135" t="s">
        <v>266</v>
      </c>
      <c r="B135" t="s">
        <v>5</v>
      </c>
      <c r="C135" t="s">
        <v>15</v>
      </c>
      <c r="D135" s="24">
        <v>45931</v>
      </c>
      <c r="E135" t="s">
        <v>220</v>
      </c>
      <c r="F135" t="s">
        <v>4</v>
      </c>
      <c r="G135" t="s">
        <v>217</v>
      </c>
      <c r="H135" t="s">
        <v>217</v>
      </c>
      <c r="I135" t="s">
        <v>219</v>
      </c>
      <c r="J135" s="25">
        <v>23611</v>
      </c>
      <c r="K135" s="26">
        <v>4608.5600000000004</v>
      </c>
      <c r="L135" s="26">
        <v>51.62</v>
      </c>
    </row>
    <row r="136" spans="1:12" ht="16" customHeight="1">
      <c r="A136" t="s">
        <v>266</v>
      </c>
      <c r="B136" t="s">
        <v>5</v>
      </c>
      <c r="C136" t="s">
        <v>15</v>
      </c>
      <c r="D136" s="24">
        <v>45931</v>
      </c>
      <c r="E136" t="s">
        <v>222</v>
      </c>
      <c r="F136" t="s">
        <v>4</v>
      </c>
      <c r="G136" t="s">
        <v>217</v>
      </c>
      <c r="H136" t="s">
        <v>217</v>
      </c>
      <c r="I136" t="s">
        <v>221</v>
      </c>
      <c r="J136" s="25">
        <v>6012</v>
      </c>
      <c r="K136" s="26">
        <v>1200.28</v>
      </c>
      <c r="L136" s="26">
        <v>16.18</v>
      </c>
    </row>
    <row r="137" spans="1:12" ht="16" customHeight="1">
      <c r="A137" t="s">
        <v>266</v>
      </c>
      <c r="B137" t="s">
        <v>5</v>
      </c>
      <c r="C137" t="s">
        <v>15</v>
      </c>
      <c r="D137" s="24">
        <v>45931</v>
      </c>
      <c r="E137" t="s">
        <v>224</v>
      </c>
      <c r="F137" t="s">
        <v>4</v>
      </c>
      <c r="G137" t="s">
        <v>217</v>
      </c>
      <c r="H137" t="s">
        <v>217</v>
      </c>
      <c r="I137" t="s">
        <v>267</v>
      </c>
      <c r="J137" s="25">
        <v>185</v>
      </c>
      <c r="K137" s="26">
        <v>38.799999999999997</v>
      </c>
      <c r="L137" s="26">
        <v>0.67</v>
      </c>
    </row>
    <row r="138" spans="1:12" ht="16" customHeight="1">
      <c r="A138" t="s">
        <v>266</v>
      </c>
      <c r="B138" t="s">
        <v>5</v>
      </c>
      <c r="C138" t="s">
        <v>15</v>
      </c>
      <c r="D138" s="24">
        <v>45931</v>
      </c>
      <c r="E138" t="s">
        <v>226</v>
      </c>
      <c r="F138" t="s">
        <v>4</v>
      </c>
      <c r="G138" t="s">
        <v>217</v>
      </c>
      <c r="H138" t="s">
        <v>217</v>
      </c>
      <c r="I138" t="s">
        <v>268</v>
      </c>
      <c r="J138" s="25">
        <v>0</v>
      </c>
      <c r="K138" s="26">
        <v>0</v>
      </c>
      <c r="L138" s="26">
        <v>0</v>
      </c>
    </row>
    <row r="139" spans="1:12" ht="16" customHeight="1">
      <c r="A139" t="s">
        <v>266</v>
      </c>
      <c r="B139" t="s">
        <v>5</v>
      </c>
      <c r="C139" t="s">
        <v>15</v>
      </c>
      <c r="D139" s="24">
        <v>45931</v>
      </c>
      <c r="E139" t="s">
        <v>269</v>
      </c>
      <c r="F139" t="s">
        <v>4</v>
      </c>
      <c r="G139" t="s">
        <v>217</v>
      </c>
      <c r="H139" t="s">
        <v>217</v>
      </c>
      <c r="I139" t="s">
        <v>270</v>
      </c>
      <c r="J139" s="25">
        <v>0</v>
      </c>
      <c r="K139" s="26">
        <v>0</v>
      </c>
      <c r="L139" s="26">
        <v>0</v>
      </c>
    </row>
    <row r="140" spans="1:12" ht="16" customHeight="1">
      <c r="A140" t="s">
        <v>279</v>
      </c>
      <c r="B140" t="s">
        <v>7</v>
      </c>
      <c r="C140" t="s">
        <v>15</v>
      </c>
      <c r="D140" s="24">
        <v>45931</v>
      </c>
      <c r="E140" t="s">
        <v>218</v>
      </c>
      <c r="F140" t="s">
        <v>4</v>
      </c>
      <c r="G140" t="s">
        <v>217</v>
      </c>
      <c r="H140" t="s">
        <v>217</v>
      </c>
      <c r="I140" t="s">
        <v>212</v>
      </c>
      <c r="J140" s="25">
        <v>2480760</v>
      </c>
      <c r="K140" s="26">
        <v>481743.19</v>
      </c>
      <c r="L140" s="26">
        <v>3559.73</v>
      </c>
    </row>
    <row r="141" spans="1:12" ht="16" customHeight="1">
      <c r="A141" t="s">
        <v>279</v>
      </c>
      <c r="B141" t="s">
        <v>7</v>
      </c>
      <c r="C141" t="s">
        <v>15</v>
      </c>
      <c r="D141" s="24">
        <v>45931</v>
      </c>
      <c r="E141" t="s">
        <v>220</v>
      </c>
      <c r="F141" t="s">
        <v>4</v>
      </c>
      <c r="G141" t="s">
        <v>217</v>
      </c>
      <c r="H141" t="s">
        <v>217</v>
      </c>
      <c r="I141" t="s">
        <v>219</v>
      </c>
      <c r="J141" s="25">
        <v>24070</v>
      </c>
      <c r="K141" s="26">
        <v>4677.97</v>
      </c>
      <c r="L141" s="26">
        <v>44.72</v>
      </c>
    </row>
    <row r="142" spans="1:12" ht="16" customHeight="1">
      <c r="A142" t="s">
        <v>279</v>
      </c>
      <c r="B142" t="s">
        <v>7</v>
      </c>
      <c r="C142" t="s">
        <v>15</v>
      </c>
      <c r="D142" s="24">
        <v>45931</v>
      </c>
      <c r="E142" t="s">
        <v>222</v>
      </c>
      <c r="F142" t="s">
        <v>4</v>
      </c>
      <c r="G142" t="s">
        <v>217</v>
      </c>
      <c r="H142" t="s">
        <v>217</v>
      </c>
      <c r="I142" t="s">
        <v>221</v>
      </c>
      <c r="J142" s="25">
        <v>4540</v>
      </c>
      <c r="K142" s="26">
        <v>896.45</v>
      </c>
      <c r="L142" s="26">
        <v>11.83</v>
      </c>
    </row>
    <row r="143" spans="1:12" ht="16" customHeight="1">
      <c r="A143" t="s">
        <v>279</v>
      </c>
      <c r="B143" t="s">
        <v>7</v>
      </c>
      <c r="C143" t="s">
        <v>15</v>
      </c>
      <c r="D143" s="24">
        <v>45931</v>
      </c>
      <c r="E143" t="s">
        <v>224</v>
      </c>
      <c r="F143" t="s">
        <v>4</v>
      </c>
      <c r="G143" t="s">
        <v>217</v>
      </c>
      <c r="H143" t="s">
        <v>217</v>
      </c>
      <c r="I143" t="s">
        <v>267</v>
      </c>
      <c r="J143" s="25">
        <v>55</v>
      </c>
      <c r="K143" s="26">
        <v>11.44</v>
      </c>
      <c r="L143" s="26">
        <v>0.26</v>
      </c>
    </row>
    <row r="144" spans="1:12" ht="16" customHeight="1">
      <c r="A144" t="s">
        <v>279</v>
      </c>
      <c r="B144" t="s">
        <v>7</v>
      </c>
      <c r="C144" t="s">
        <v>15</v>
      </c>
      <c r="D144" s="24">
        <v>45931</v>
      </c>
      <c r="E144" t="s">
        <v>226</v>
      </c>
      <c r="F144" t="s">
        <v>4</v>
      </c>
      <c r="G144" t="s">
        <v>217</v>
      </c>
      <c r="H144" t="s">
        <v>217</v>
      </c>
      <c r="I144" t="s">
        <v>268</v>
      </c>
      <c r="J144" s="25">
        <v>0</v>
      </c>
      <c r="K144" s="26">
        <v>0</v>
      </c>
      <c r="L144" s="26">
        <v>0</v>
      </c>
    </row>
    <row r="145" spans="1:12" ht="16" customHeight="1">
      <c r="A145" t="s">
        <v>279</v>
      </c>
      <c r="B145" t="s">
        <v>7</v>
      </c>
      <c r="C145" t="s">
        <v>15</v>
      </c>
      <c r="D145" s="24">
        <v>45931</v>
      </c>
      <c r="E145" t="s">
        <v>269</v>
      </c>
      <c r="F145" t="s">
        <v>4</v>
      </c>
      <c r="G145" t="s">
        <v>217</v>
      </c>
      <c r="H145" t="s">
        <v>217</v>
      </c>
      <c r="I145" t="s">
        <v>270</v>
      </c>
      <c r="J145" s="25">
        <v>0</v>
      </c>
      <c r="K145" s="26">
        <v>0</v>
      </c>
      <c r="L145" s="26">
        <v>0</v>
      </c>
    </row>
    <row r="146" spans="1:12" ht="16" customHeight="1">
      <c r="A146" t="s">
        <v>280</v>
      </c>
      <c r="B146" t="s">
        <v>3</v>
      </c>
      <c r="C146" t="s">
        <v>15</v>
      </c>
      <c r="D146" s="24">
        <v>45931</v>
      </c>
      <c r="E146" t="s">
        <v>218</v>
      </c>
      <c r="F146" t="s">
        <v>4</v>
      </c>
      <c r="G146" t="s">
        <v>217</v>
      </c>
      <c r="H146" t="s">
        <v>217</v>
      </c>
      <c r="I146" t="s">
        <v>212</v>
      </c>
      <c r="J146" s="25">
        <v>2876686</v>
      </c>
      <c r="K146" s="26">
        <v>561709.56999999995</v>
      </c>
      <c r="L146" s="26">
        <v>3607.48</v>
      </c>
    </row>
    <row r="147" spans="1:12" ht="16" customHeight="1">
      <c r="A147" t="s">
        <v>280</v>
      </c>
      <c r="B147" t="s">
        <v>3</v>
      </c>
      <c r="C147" t="s">
        <v>15</v>
      </c>
      <c r="D147" s="24">
        <v>45931</v>
      </c>
      <c r="E147" t="s">
        <v>220</v>
      </c>
      <c r="F147" t="s">
        <v>4</v>
      </c>
      <c r="G147" t="s">
        <v>217</v>
      </c>
      <c r="H147" t="s">
        <v>217</v>
      </c>
      <c r="I147" t="s">
        <v>219</v>
      </c>
      <c r="J147" s="25">
        <v>35975</v>
      </c>
      <c r="K147" s="26">
        <v>7057.43</v>
      </c>
      <c r="L147" s="26">
        <v>66.66</v>
      </c>
    </row>
    <row r="148" spans="1:12" ht="16" customHeight="1">
      <c r="A148" t="s">
        <v>280</v>
      </c>
      <c r="B148" t="s">
        <v>3</v>
      </c>
      <c r="C148" t="s">
        <v>15</v>
      </c>
      <c r="D148" s="24">
        <v>45931</v>
      </c>
      <c r="E148" t="s">
        <v>222</v>
      </c>
      <c r="F148" t="s">
        <v>4</v>
      </c>
      <c r="G148" t="s">
        <v>217</v>
      </c>
      <c r="H148" t="s">
        <v>217</v>
      </c>
      <c r="I148" t="s">
        <v>221</v>
      </c>
      <c r="J148" s="25">
        <v>9736</v>
      </c>
      <c r="K148" s="26">
        <v>1913.45</v>
      </c>
      <c r="L148" s="26">
        <v>24.22</v>
      </c>
    </row>
    <row r="149" spans="1:12" ht="16" customHeight="1">
      <c r="A149" t="s">
        <v>280</v>
      </c>
      <c r="B149" t="s">
        <v>3</v>
      </c>
      <c r="C149" t="s">
        <v>15</v>
      </c>
      <c r="D149" s="24">
        <v>45931</v>
      </c>
      <c r="E149" t="s">
        <v>224</v>
      </c>
      <c r="F149" t="s">
        <v>4</v>
      </c>
      <c r="G149" t="s">
        <v>217</v>
      </c>
      <c r="H149" t="s">
        <v>217</v>
      </c>
      <c r="I149" t="s">
        <v>267</v>
      </c>
      <c r="J149" s="25">
        <v>164</v>
      </c>
      <c r="K149" s="26">
        <v>34.22</v>
      </c>
      <c r="L149" s="26">
        <v>0.81</v>
      </c>
    </row>
    <row r="150" spans="1:12" ht="16" customHeight="1">
      <c r="A150" t="s">
        <v>280</v>
      </c>
      <c r="B150" t="s">
        <v>3</v>
      </c>
      <c r="C150" t="s">
        <v>15</v>
      </c>
      <c r="D150" s="24">
        <v>45931</v>
      </c>
      <c r="E150" t="s">
        <v>226</v>
      </c>
      <c r="F150" t="s">
        <v>4</v>
      </c>
      <c r="G150" t="s">
        <v>217</v>
      </c>
      <c r="H150" t="s">
        <v>217</v>
      </c>
      <c r="I150" t="s">
        <v>268</v>
      </c>
      <c r="J150" s="25">
        <v>0</v>
      </c>
      <c r="K150" s="26">
        <v>0</v>
      </c>
      <c r="L150" s="26">
        <v>0</v>
      </c>
    </row>
    <row r="151" spans="1:12" ht="16" customHeight="1">
      <c r="A151" t="s">
        <v>280</v>
      </c>
      <c r="B151" t="s">
        <v>3</v>
      </c>
      <c r="C151" t="s">
        <v>15</v>
      </c>
      <c r="D151" s="24">
        <v>45931</v>
      </c>
      <c r="E151" t="s">
        <v>269</v>
      </c>
      <c r="F151" t="s">
        <v>4</v>
      </c>
      <c r="G151" t="s">
        <v>217</v>
      </c>
      <c r="H151" t="s">
        <v>217</v>
      </c>
      <c r="I151" t="s">
        <v>270</v>
      </c>
      <c r="J151" s="25">
        <v>0</v>
      </c>
      <c r="K151" s="26">
        <v>0</v>
      </c>
      <c r="L151" s="26">
        <v>0</v>
      </c>
    </row>
    <row r="152" spans="1:12" ht="16" customHeight="1">
      <c r="A152" t="s">
        <v>246</v>
      </c>
      <c r="B152" t="s">
        <v>4</v>
      </c>
      <c r="C152" t="s">
        <v>15</v>
      </c>
      <c r="D152" s="24">
        <v>45931</v>
      </c>
      <c r="E152" t="s">
        <v>218</v>
      </c>
      <c r="F152" t="s">
        <v>4</v>
      </c>
      <c r="G152" t="s">
        <v>217</v>
      </c>
      <c r="H152" t="s">
        <v>217</v>
      </c>
      <c r="I152" t="s">
        <v>212</v>
      </c>
      <c r="J152" s="25">
        <v>2903786</v>
      </c>
      <c r="K152" s="26">
        <v>570815.86</v>
      </c>
      <c r="L152" s="26">
        <v>3770.32</v>
      </c>
    </row>
    <row r="153" spans="1:12" ht="16" customHeight="1">
      <c r="A153" t="s">
        <v>246</v>
      </c>
      <c r="B153" t="s">
        <v>4</v>
      </c>
      <c r="C153" t="s">
        <v>15</v>
      </c>
      <c r="D153" s="24">
        <v>45931</v>
      </c>
      <c r="E153" t="s">
        <v>220</v>
      </c>
      <c r="F153" t="s">
        <v>4</v>
      </c>
      <c r="G153" t="s">
        <v>217</v>
      </c>
      <c r="H153" t="s">
        <v>217</v>
      </c>
      <c r="I153" t="s">
        <v>219</v>
      </c>
      <c r="J153" s="25">
        <v>40257</v>
      </c>
      <c r="K153" s="26">
        <v>8028.15</v>
      </c>
      <c r="L153" s="26">
        <v>75.97</v>
      </c>
    </row>
    <row r="154" spans="1:12" ht="16" customHeight="1">
      <c r="A154" t="s">
        <v>246</v>
      </c>
      <c r="B154" t="s">
        <v>4</v>
      </c>
      <c r="C154" t="s">
        <v>15</v>
      </c>
      <c r="D154" s="24">
        <v>45931</v>
      </c>
      <c r="E154" t="s">
        <v>222</v>
      </c>
      <c r="F154" t="s">
        <v>4</v>
      </c>
      <c r="G154" t="s">
        <v>217</v>
      </c>
      <c r="H154" t="s">
        <v>217</v>
      </c>
      <c r="I154" t="s">
        <v>221</v>
      </c>
      <c r="J154" s="25">
        <v>6664</v>
      </c>
      <c r="K154" s="26">
        <v>1328.79</v>
      </c>
      <c r="L154" s="26">
        <v>14.03</v>
      </c>
    </row>
    <row r="155" spans="1:12" ht="16" customHeight="1">
      <c r="A155" t="s">
        <v>246</v>
      </c>
      <c r="B155" t="s">
        <v>4</v>
      </c>
      <c r="C155" t="s">
        <v>15</v>
      </c>
      <c r="D155" s="24">
        <v>45931</v>
      </c>
      <c r="E155" t="s">
        <v>224</v>
      </c>
      <c r="F155" t="s">
        <v>4</v>
      </c>
      <c r="G155" t="s">
        <v>217</v>
      </c>
      <c r="H155" t="s">
        <v>217</v>
      </c>
      <c r="I155" t="s">
        <v>267</v>
      </c>
      <c r="J155" s="25">
        <v>245</v>
      </c>
      <c r="K155" s="26">
        <v>51.22</v>
      </c>
      <c r="L155" s="26">
        <v>1.23</v>
      </c>
    </row>
    <row r="156" spans="1:12" ht="16" customHeight="1">
      <c r="A156" t="s">
        <v>246</v>
      </c>
      <c r="B156" t="s">
        <v>4</v>
      </c>
      <c r="C156" t="s">
        <v>15</v>
      </c>
      <c r="D156" s="24">
        <v>45931</v>
      </c>
      <c r="E156" t="s">
        <v>226</v>
      </c>
      <c r="F156" t="s">
        <v>4</v>
      </c>
      <c r="G156" t="s">
        <v>217</v>
      </c>
      <c r="H156" t="s">
        <v>217</v>
      </c>
      <c r="I156" t="s">
        <v>268</v>
      </c>
      <c r="J156" s="25">
        <v>0</v>
      </c>
      <c r="K156" s="26">
        <v>0</v>
      </c>
      <c r="L156" s="26">
        <v>0</v>
      </c>
    </row>
    <row r="157" spans="1:12" ht="16" customHeight="1">
      <c r="A157" t="s">
        <v>246</v>
      </c>
      <c r="B157" t="s">
        <v>4</v>
      </c>
      <c r="C157" t="s">
        <v>15</v>
      </c>
      <c r="D157" s="24">
        <v>45931</v>
      </c>
      <c r="E157" t="s">
        <v>269</v>
      </c>
      <c r="F157" t="s">
        <v>4</v>
      </c>
      <c r="G157" t="s">
        <v>217</v>
      </c>
      <c r="H157" t="s">
        <v>217</v>
      </c>
      <c r="I157" t="s">
        <v>270</v>
      </c>
      <c r="J157" s="25">
        <v>0</v>
      </c>
      <c r="K157" s="26">
        <v>0</v>
      </c>
      <c r="L157" s="26">
        <v>0</v>
      </c>
    </row>
    <row r="158" spans="1:12" ht="16" customHeight="1">
      <c r="A158" t="s">
        <v>281</v>
      </c>
      <c r="B158" t="s">
        <v>5</v>
      </c>
      <c r="C158" t="s">
        <v>16</v>
      </c>
      <c r="D158" s="24">
        <v>45931</v>
      </c>
      <c r="E158" t="s">
        <v>218</v>
      </c>
      <c r="F158" t="s">
        <v>4</v>
      </c>
      <c r="G158" t="s">
        <v>217</v>
      </c>
      <c r="H158" t="s">
        <v>217</v>
      </c>
      <c r="I158" t="s">
        <v>212</v>
      </c>
      <c r="J158" s="25">
        <v>3420593</v>
      </c>
      <c r="K158" s="26">
        <v>671398.99</v>
      </c>
      <c r="L158" s="26">
        <v>4420.05</v>
      </c>
    </row>
    <row r="159" spans="1:12" ht="16" customHeight="1">
      <c r="A159" t="s">
        <v>281</v>
      </c>
      <c r="B159" t="s">
        <v>5</v>
      </c>
      <c r="C159" t="s">
        <v>16</v>
      </c>
      <c r="D159" s="24">
        <v>45931</v>
      </c>
      <c r="E159" t="s">
        <v>220</v>
      </c>
      <c r="F159" t="s">
        <v>4</v>
      </c>
      <c r="G159" t="s">
        <v>217</v>
      </c>
      <c r="H159" t="s">
        <v>217</v>
      </c>
      <c r="I159" t="s">
        <v>219</v>
      </c>
      <c r="J159" s="25">
        <v>43425</v>
      </c>
      <c r="K159" s="26">
        <v>8640.68</v>
      </c>
      <c r="L159" s="26">
        <v>86.98</v>
      </c>
    </row>
    <row r="160" spans="1:12" ht="16" customHeight="1">
      <c r="A160" t="s">
        <v>281</v>
      </c>
      <c r="B160" t="s">
        <v>5</v>
      </c>
      <c r="C160" t="s">
        <v>16</v>
      </c>
      <c r="D160" s="24">
        <v>45931</v>
      </c>
      <c r="E160" t="s">
        <v>222</v>
      </c>
      <c r="F160" t="s">
        <v>4</v>
      </c>
      <c r="G160" t="s">
        <v>217</v>
      </c>
      <c r="H160" t="s">
        <v>217</v>
      </c>
      <c r="I160" t="s">
        <v>221</v>
      </c>
      <c r="J160" s="25">
        <v>4411</v>
      </c>
      <c r="K160" s="26">
        <v>878.6</v>
      </c>
      <c r="L160" s="26">
        <v>10.43</v>
      </c>
    </row>
    <row r="161" spans="1:12" ht="16" customHeight="1">
      <c r="A161" t="s">
        <v>281</v>
      </c>
      <c r="B161" t="s">
        <v>5</v>
      </c>
      <c r="C161" t="s">
        <v>16</v>
      </c>
      <c r="D161" s="24">
        <v>45931</v>
      </c>
      <c r="E161" t="s">
        <v>224</v>
      </c>
      <c r="F161" t="s">
        <v>4</v>
      </c>
      <c r="G161" t="s">
        <v>217</v>
      </c>
      <c r="H161" t="s">
        <v>217</v>
      </c>
      <c r="I161" t="s">
        <v>267</v>
      </c>
      <c r="J161" s="25">
        <v>119</v>
      </c>
      <c r="K161" s="26">
        <v>24.98</v>
      </c>
      <c r="L161" s="26">
        <v>0.5</v>
      </c>
    </row>
    <row r="162" spans="1:12" ht="16" customHeight="1">
      <c r="A162" t="s">
        <v>281</v>
      </c>
      <c r="B162" t="s">
        <v>5</v>
      </c>
      <c r="C162" t="s">
        <v>16</v>
      </c>
      <c r="D162" s="24">
        <v>45931</v>
      </c>
      <c r="E162" t="s">
        <v>226</v>
      </c>
      <c r="F162" t="s">
        <v>4</v>
      </c>
      <c r="G162" t="s">
        <v>217</v>
      </c>
      <c r="H162" t="s">
        <v>217</v>
      </c>
      <c r="I162" t="s">
        <v>268</v>
      </c>
      <c r="J162" s="25">
        <v>0</v>
      </c>
      <c r="K162" s="26">
        <v>0</v>
      </c>
      <c r="L162" s="26">
        <v>0</v>
      </c>
    </row>
    <row r="163" spans="1:12" ht="16" customHeight="1">
      <c r="A163" t="s">
        <v>281</v>
      </c>
      <c r="B163" t="s">
        <v>5</v>
      </c>
      <c r="C163" t="s">
        <v>16</v>
      </c>
      <c r="D163" s="24">
        <v>45931</v>
      </c>
      <c r="E163" t="s">
        <v>269</v>
      </c>
      <c r="F163" t="s">
        <v>4</v>
      </c>
      <c r="G163" t="s">
        <v>217</v>
      </c>
      <c r="H163" t="s">
        <v>217</v>
      </c>
      <c r="I163" t="s">
        <v>270</v>
      </c>
      <c r="J163" s="25">
        <v>0</v>
      </c>
      <c r="K163" s="26">
        <v>0</v>
      </c>
      <c r="L163" s="26">
        <v>0</v>
      </c>
    </row>
    <row r="164" spans="1:12" ht="16" customHeight="1">
      <c r="A164" t="s">
        <v>283</v>
      </c>
      <c r="B164" t="s">
        <v>6</v>
      </c>
      <c r="C164" t="s">
        <v>16</v>
      </c>
      <c r="D164" s="24">
        <v>45931</v>
      </c>
      <c r="E164" t="s">
        <v>218</v>
      </c>
      <c r="F164" t="s">
        <v>4</v>
      </c>
      <c r="G164" t="s">
        <v>217</v>
      </c>
      <c r="H164" t="s">
        <v>217</v>
      </c>
      <c r="I164" t="s">
        <v>212</v>
      </c>
      <c r="J164" s="25">
        <v>2616312</v>
      </c>
      <c r="K164" s="26">
        <v>513909.98</v>
      </c>
      <c r="L164" s="26">
        <v>3412.13</v>
      </c>
    </row>
    <row r="165" spans="1:12" ht="16" customHeight="1">
      <c r="A165" t="s">
        <v>283</v>
      </c>
      <c r="B165" t="s">
        <v>6</v>
      </c>
      <c r="C165" t="s">
        <v>16</v>
      </c>
      <c r="D165" s="24">
        <v>45931</v>
      </c>
      <c r="E165" t="s">
        <v>220</v>
      </c>
      <c r="F165" t="s">
        <v>4</v>
      </c>
      <c r="G165" t="s">
        <v>217</v>
      </c>
      <c r="H165" t="s">
        <v>217</v>
      </c>
      <c r="I165" t="s">
        <v>219</v>
      </c>
      <c r="J165" s="25">
        <v>26557</v>
      </c>
      <c r="K165" s="26">
        <v>5288.64</v>
      </c>
      <c r="L165" s="26">
        <v>52.74</v>
      </c>
    </row>
    <row r="166" spans="1:12" ht="16" customHeight="1">
      <c r="A166" t="s">
        <v>283</v>
      </c>
      <c r="B166" t="s">
        <v>6</v>
      </c>
      <c r="C166" t="s">
        <v>16</v>
      </c>
      <c r="D166" s="24">
        <v>45931</v>
      </c>
      <c r="E166" t="s">
        <v>222</v>
      </c>
      <c r="F166" t="s">
        <v>4</v>
      </c>
      <c r="G166" t="s">
        <v>217</v>
      </c>
      <c r="H166" t="s">
        <v>217</v>
      </c>
      <c r="I166" t="s">
        <v>221</v>
      </c>
      <c r="J166" s="25">
        <v>2323</v>
      </c>
      <c r="K166" s="26">
        <v>461.76</v>
      </c>
      <c r="L166" s="26">
        <v>5.27</v>
      </c>
    </row>
    <row r="167" spans="1:12" ht="16" customHeight="1">
      <c r="A167" t="s">
        <v>283</v>
      </c>
      <c r="B167" t="s">
        <v>6</v>
      </c>
      <c r="C167" t="s">
        <v>16</v>
      </c>
      <c r="D167" s="24">
        <v>45931</v>
      </c>
      <c r="E167" t="s">
        <v>224</v>
      </c>
      <c r="F167" t="s">
        <v>4</v>
      </c>
      <c r="G167" t="s">
        <v>217</v>
      </c>
      <c r="H167" t="s">
        <v>217</v>
      </c>
      <c r="I167" t="s">
        <v>267</v>
      </c>
      <c r="J167" s="25">
        <v>159</v>
      </c>
      <c r="K167" s="26">
        <v>33.11</v>
      </c>
      <c r="L167" s="26">
        <v>0.79</v>
      </c>
    </row>
    <row r="168" spans="1:12" ht="16" customHeight="1">
      <c r="A168" t="s">
        <v>283</v>
      </c>
      <c r="B168" t="s">
        <v>6</v>
      </c>
      <c r="C168" t="s">
        <v>16</v>
      </c>
      <c r="D168" s="24">
        <v>45931</v>
      </c>
      <c r="E168" t="s">
        <v>226</v>
      </c>
      <c r="F168" t="s">
        <v>4</v>
      </c>
      <c r="G168" t="s">
        <v>217</v>
      </c>
      <c r="H168" t="s">
        <v>217</v>
      </c>
      <c r="I168" t="s">
        <v>268</v>
      </c>
      <c r="J168" s="25">
        <v>0</v>
      </c>
      <c r="K168" s="26">
        <v>0</v>
      </c>
      <c r="L168" s="26">
        <v>0</v>
      </c>
    </row>
    <row r="169" spans="1:12" ht="16" customHeight="1">
      <c r="A169" t="s">
        <v>283</v>
      </c>
      <c r="B169" t="s">
        <v>6</v>
      </c>
      <c r="C169" t="s">
        <v>16</v>
      </c>
      <c r="D169" s="24">
        <v>45931</v>
      </c>
      <c r="E169" t="s">
        <v>269</v>
      </c>
      <c r="F169" t="s">
        <v>4</v>
      </c>
      <c r="G169" t="s">
        <v>217</v>
      </c>
      <c r="H169" t="s">
        <v>217</v>
      </c>
      <c r="I169" t="s">
        <v>270</v>
      </c>
      <c r="J169" s="25">
        <v>0</v>
      </c>
      <c r="K169" s="26">
        <v>0</v>
      </c>
      <c r="L169" s="26">
        <v>0</v>
      </c>
    </row>
    <row r="170" spans="1:12" ht="16" customHeight="1">
      <c r="A170" t="s">
        <v>284</v>
      </c>
      <c r="B170" t="s">
        <v>7</v>
      </c>
      <c r="C170" t="s">
        <v>16</v>
      </c>
      <c r="D170" s="24">
        <v>45931</v>
      </c>
      <c r="E170" t="s">
        <v>218</v>
      </c>
      <c r="F170" t="s">
        <v>4</v>
      </c>
      <c r="G170" t="s">
        <v>217</v>
      </c>
      <c r="H170" t="s">
        <v>217</v>
      </c>
      <c r="I170" t="s">
        <v>212</v>
      </c>
      <c r="J170" s="25">
        <v>3637423</v>
      </c>
      <c r="K170" s="26">
        <v>719177.64</v>
      </c>
      <c r="L170" s="26">
        <v>4239.2</v>
      </c>
    </row>
    <row r="171" spans="1:12" ht="16" customHeight="1">
      <c r="A171" t="s">
        <v>284</v>
      </c>
      <c r="B171" t="s">
        <v>7</v>
      </c>
      <c r="C171" t="s">
        <v>16</v>
      </c>
      <c r="D171" s="24">
        <v>45931</v>
      </c>
      <c r="E171" t="s">
        <v>220</v>
      </c>
      <c r="F171" t="s">
        <v>4</v>
      </c>
      <c r="G171" t="s">
        <v>217</v>
      </c>
      <c r="H171" t="s">
        <v>217</v>
      </c>
      <c r="I171" t="s">
        <v>219</v>
      </c>
      <c r="J171" s="25">
        <v>66068</v>
      </c>
      <c r="K171" s="26">
        <v>13156.25</v>
      </c>
      <c r="L171" s="26">
        <v>124.56</v>
      </c>
    </row>
    <row r="172" spans="1:12" ht="16" customHeight="1">
      <c r="A172" t="s">
        <v>284</v>
      </c>
      <c r="B172" t="s">
        <v>7</v>
      </c>
      <c r="C172" t="s">
        <v>16</v>
      </c>
      <c r="D172" s="24">
        <v>45931</v>
      </c>
      <c r="E172" t="s">
        <v>222</v>
      </c>
      <c r="F172" t="s">
        <v>4</v>
      </c>
      <c r="G172" t="s">
        <v>217</v>
      </c>
      <c r="H172" t="s">
        <v>217</v>
      </c>
      <c r="I172" t="s">
        <v>221</v>
      </c>
      <c r="J172" s="25">
        <v>9440</v>
      </c>
      <c r="K172" s="26">
        <v>1882.16</v>
      </c>
      <c r="L172" s="26">
        <v>21.3</v>
      </c>
    </row>
    <row r="173" spans="1:12" ht="16" customHeight="1">
      <c r="A173" t="s">
        <v>284</v>
      </c>
      <c r="B173" t="s">
        <v>7</v>
      </c>
      <c r="C173" t="s">
        <v>16</v>
      </c>
      <c r="D173" s="24">
        <v>45931</v>
      </c>
      <c r="E173" t="s">
        <v>224</v>
      </c>
      <c r="F173" t="s">
        <v>4</v>
      </c>
      <c r="G173" t="s">
        <v>217</v>
      </c>
      <c r="H173" t="s">
        <v>217</v>
      </c>
      <c r="I173" t="s">
        <v>267</v>
      </c>
      <c r="J173" s="25">
        <v>540</v>
      </c>
      <c r="K173" s="26">
        <v>112.83</v>
      </c>
      <c r="L173" s="26">
        <v>2.5499999999999998</v>
      </c>
    </row>
    <row r="174" spans="1:12" ht="16" customHeight="1">
      <c r="A174" t="s">
        <v>284</v>
      </c>
      <c r="B174" t="s">
        <v>7</v>
      </c>
      <c r="C174" t="s">
        <v>16</v>
      </c>
      <c r="D174" s="24">
        <v>45931</v>
      </c>
      <c r="E174" t="s">
        <v>226</v>
      </c>
      <c r="F174" t="s">
        <v>4</v>
      </c>
      <c r="G174" t="s">
        <v>217</v>
      </c>
      <c r="H174" t="s">
        <v>217</v>
      </c>
      <c r="I174" t="s">
        <v>268</v>
      </c>
      <c r="J174" s="25">
        <v>0</v>
      </c>
      <c r="K174" s="26">
        <v>0</v>
      </c>
      <c r="L174" s="26">
        <v>0</v>
      </c>
    </row>
    <row r="175" spans="1:12" ht="16" customHeight="1">
      <c r="A175" t="s">
        <v>284</v>
      </c>
      <c r="B175" t="s">
        <v>7</v>
      </c>
      <c r="C175" t="s">
        <v>16</v>
      </c>
      <c r="D175" s="24">
        <v>45931</v>
      </c>
      <c r="E175" t="s">
        <v>269</v>
      </c>
      <c r="F175" t="s">
        <v>4</v>
      </c>
      <c r="G175" t="s">
        <v>217</v>
      </c>
      <c r="H175" t="s">
        <v>217</v>
      </c>
      <c r="I175" t="s">
        <v>270</v>
      </c>
      <c r="J175" s="25">
        <v>0</v>
      </c>
      <c r="K175" s="26">
        <v>0</v>
      </c>
      <c r="L175" s="26">
        <v>0</v>
      </c>
    </row>
    <row r="176" spans="1:12" ht="16" customHeight="1">
      <c r="A176" t="s">
        <v>285</v>
      </c>
      <c r="B176" t="s">
        <v>3</v>
      </c>
      <c r="C176" t="s">
        <v>16</v>
      </c>
      <c r="D176" s="24">
        <v>45931</v>
      </c>
      <c r="E176" t="s">
        <v>218</v>
      </c>
      <c r="F176" t="s">
        <v>4</v>
      </c>
      <c r="G176" t="s">
        <v>217</v>
      </c>
      <c r="H176" t="s">
        <v>217</v>
      </c>
      <c r="I176" t="s">
        <v>212</v>
      </c>
      <c r="J176" s="25">
        <v>3390928</v>
      </c>
      <c r="K176" s="26">
        <v>670043.35</v>
      </c>
      <c r="L176" s="26">
        <v>4091.66</v>
      </c>
    </row>
    <row r="177" spans="1:12" ht="16" customHeight="1">
      <c r="A177" t="s">
        <v>285</v>
      </c>
      <c r="B177" t="s">
        <v>3</v>
      </c>
      <c r="C177" t="s">
        <v>16</v>
      </c>
      <c r="D177" s="24">
        <v>45931</v>
      </c>
      <c r="E177" t="s">
        <v>220</v>
      </c>
      <c r="F177" t="s">
        <v>4</v>
      </c>
      <c r="G177" t="s">
        <v>217</v>
      </c>
      <c r="H177" t="s">
        <v>217</v>
      </c>
      <c r="I177" t="s">
        <v>219</v>
      </c>
      <c r="J177" s="25">
        <v>52287</v>
      </c>
      <c r="K177" s="26">
        <v>10426.25</v>
      </c>
      <c r="L177" s="26">
        <v>105.47</v>
      </c>
    </row>
    <row r="178" spans="1:12" ht="16" customHeight="1">
      <c r="A178" t="s">
        <v>285</v>
      </c>
      <c r="B178" t="s">
        <v>3</v>
      </c>
      <c r="C178" t="s">
        <v>16</v>
      </c>
      <c r="D178" s="24">
        <v>45931</v>
      </c>
      <c r="E178" t="s">
        <v>222</v>
      </c>
      <c r="F178" t="s">
        <v>4</v>
      </c>
      <c r="G178" t="s">
        <v>217</v>
      </c>
      <c r="H178" t="s">
        <v>217</v>
      </c>
      <c r="I178" t="s">
        <v>221</v>
      </c>
      <c r="J178" s="25">
        <v>10215</v>
      </c>
      <c r="K178" s="26">
        <v>2055.37</v>
      </c>
      <c r="L178" s="26">
        <v>30.83</v>
      </c>
    </row>
    <row r="179" spans="1:12" ht="16" customHeight="1">
      <c r="A179" t="s">
        <v>285</v>
      </c>
      <c r="B179" t="s">
        <v>3</v>
      </c>
      <c r="C179" t="s">
        <v>16</v>
      </c>
      <c r="D179" s="24">
        <v>45931</v>
      </c>
      <c r="E179" t="s">
        <v>224</v>
      </c>
      <c r="F179" t="s">
        <v>4</v>
      </c>
      <c r="G179" t="s">
        <v>217</v>
      </c>
      <c r="H179" t="s">
        <v>217</v>
      </c>
      <c r="I179" t="s">
        <v>267</v>
      </c>
      <c r="J179" s="25">
        <v>3616</v>
      </c>
      <c r="K179" s="26">
        <v>737.05</v>
      </c>
      <c r="L179" s="26">
        <v>13.88</v>
      </c>
    </row>
    <row r="180" spans="1:12" ht="16" customHeight="1">
      <c r="A180" t="s">
        <v>285</v>
      </c>
      <c r="B180" t="s">
        <v>3</v>
      </c>
      <c r="C180" t="s">
        <v>16</v>
      </c>
      <c r="D180" s="24">
        <v>45931</v>
      </c>
      <c r="E180" t="s">
        <v>226</v>
      </c>
      <c r="F180" t="s">
        <v>4</v>
      </c>
      <c r="G180" t="s">
        <v>217</v>
      </c>
      <c r="H180" t="s">
        <v>217</v>
      </c>
      <c r="I180" t="s">
        <v>268</v>
      </c>
      <c r="J180" s="25">
        <v>0</v>
      </c>
      <c r="K180" s="26">
        <v>0</v>
      </c>
      <c r="L180" s="26">
        <v>0</v>
      </c>
    </row>
    <row r="181" spans="1:12" ht="16" customHeight="1">
      <c r="A181" t="s">
        <v>285</v>
      </c>
      <c r="B181" t="s">
        <v>3</v>
      </c>
      <c r="C181" t="s">
        <v>16</v>
      </c>
      <c r="D181" s="24">
        <v>45931</v>
      </c>
      <c r="E181" t="s">
        <v>269</v>
      </c>
      <c r="F181" t="s">
        <v>4</v>
      </c>
      <c r="G181" t="s">
        <v>217</v>
      </c>
      <c r="H181" t="s">
        <v>217</v>
      </c>
      <c r="I181" t="s">
        <v>270</v>
      </c>
      <c r="J181" s="25">
        <v>0</v>
      </c>
      <c r="K181" s="26">
        <v>0</v>
      </c>
      <c r="L181" s="26">
        <v>0</v>
      </c>
    </row>
    <row r="182" spans="1:12" ht="16" customHeight="1">
      <c r="A182" t="s">
        <v>251</v>
      </c>
      <c r="B182" t="s">
        <v>4</v>
      </c>
      <c r="C182" t="s">
        <v>16</v>
      </c>
      <c r="D182" s="24">
        <v>45931</v>
      </c>
      <c r="E182" t="s">
        <v>218</v>
      </c>
      <c r="F182" t="s">
        <v>4</v>
      </c>
      <c r="G182" t="s">
        <v>217</v>
      </c>
      <c r="H182" t="s">
        <v>217</v>
      </c>
      <c r="I182" t="s">
        <v>212</v>
      </c>
      <c r="J182" s="25">
        <v>3317035</v>
      </c>
      <c r="K182" s="26">
        <v>653917</v>
      </c>
      <c r="L182" s="26">
        <v>3932.18</v>
      </c>
    </row>
    <row r="183" spans="1:12" ht="16" customHeight="1">
      <c r="A183" t="s">
        <v>251</v>
      </c>
      <c r="B183" t="s">
        <v>4</v>
      </c>
      <c r="C183" t="s">
        <v>16</v>
      </c>
      <c r="D183" s="24">
        <v>45931</v>
      </c>
      <c r="E183" t="s">
        <v>220</v>
      </c>
      <c r="F183" t="s">
        <v>4</v>
      </c>
      <c r="G183" t="s">
        <v>217</v>
      </c>
      <c r="H183" t="s">
        <v>217</v>
      </c>
      <c r="I183" t="s">
        <v>219</v>
      </c>
      <c r="J183" s="25">
        <v>50425</v>
      </c>
      <c r="K183" s="26">
        <v>10042.23</v>
      </c>
      <c r="L183" s="26">
        <v>96.62</v>
      </c>
    </row>
    <row r="184" spans="1:12" ht="16" customHeight="1">
      <c r="A184" t="s">
        <v>251</v>
      </c>
      <c r="B184" t="s">
        <v>4</v>
      </c>
      <c r="C184" t="s">
        <v>16</v>
      </c>
      <c r="D184" s="24">
        <v>45931</v>
      </c>
      <c r="E184" t="s">
        <v>222</v>
      </c>
      <c r="F184" t="s">
        <v>4</v>
      </c>
      <c r="G184" t="s">
        <v>217</v>
      </c>
      <c r="H184" t="s">
        <v>217</v>
      </c>
      <c r="I184" t="s">
        <v>221</v>
      </c>
      <c r="J184" s="25">
        <v>4720</v>
      </c>
      <c r="K184" s="26">
        <v>937.85</v>
      </c>
      <c r="L184" s="26">
        <v>12</v>
      </c>
    </row>
    <row r="185" spans="1:12" ht="16" customHeight="1">
      <c r="A185" t="s">
        <v>251</v>
      </c>
      <c r="B185" t="s">
        <v>4</v>
      </c>
      <c r="C185" t="s">
        <v>16</v>
      </c>
      <c r="D185" s="24">
        <v>45931</v>
      </c>
      <c r="E185" t="s">
        <v>224</v>
      </c>
      <c r="F185" t="s">
        <v>4</v>
      </c>
      <c r="G185" t="s">
        <v>217</v>
      </c>
      <c r="H185" t="s">
        <v>217</v>
      </c>
      <c r="I185" t="s">
        <v>267</v>
      </c>
      <c r="J185" s="25">
        <v>258</v>
      </c>
      <c r="K185" s="26">
        <v>53.46</v>
      </c>
      <c r="L185" s="26">
        <v>1.1299999999999999</v>
      </c>
    </row>
    <row r="186" spans="1:12" ht="16" customHeight="1">
      <c r="A186" t="s">
        <v>251</v>
      </c>
      <c r="B186" t="s">
        <v>4</v>
      </c>
      <c r="C186" t="s">
        <v>16</v>
      </c>
      <c r="D186" s="24">
        <v>45931</v>
      </c>
      <c r="E186" t="s">
        <v>226</v>
      </c>
      <c r="F186" t="s">
        <v>4</v>
      </c>
      <c r="G186" t="s">
        <v>217</v>
      </c>
      <c r="H186" t="s">
        <v>217</v>
      </c>
      <c r="I186" t="s">
        <v>268</v>
      </c>
      <c r="J186" s="25">
        <v>0</v>
      </c>
      <c r="K186" s="26">
        <v>0</v>
      </c>
      <c r="L186" s="26">
        <v>0</v>
      </c>
    </row>
    <row r="187" spans="1:12" ht="16" customHeight="1">
      <c r="A187" t="s">
        <v>251</v>
      </c>
      <c r="B187" t="s">
        <v>4</v>
      </c>
      <c r="C187" t="s">
        <v>16</v>
      </c>
      <c r="D187" s="24">
        <v>45931</v>
      </c>
      <c r="E187" t="s">
        <v>269</v>
      </c>
      <c r="F187" t="s">
        <v>4</v>
      </c>
      <c r="G187" t="s">
        <v>217</v>
      </c>
      <c r="H187" t="s">
        <v>217</v>
      </c>
      <c r="I187" t="s">
        <v>270</v>
      </c>
      <c r="J187" s="25">
        <v>0</v>
      </c>
      <c r="K187" s="26">
        <v>0</v>
      </c>
      <c r="L187" s="26">
        <v>0</v>
      </c>
    </row>
    <row r="188" spans="1:12" ht="16" customHeight="1">
      <c r="A188" t="s">
        <v>286</v>
      </c>
      <c r="B188" t="s">
        <v>5</v>
      </c>
      <c r="C188" t="s">
        <v>17</v>
      </c>
      <c r="D188" s="24">
        <v>45931</v>
      </c>
      <c r="E188" t="s">
        <v>218</v>
      </c>
      <c r="F188" t="s">
        <v>4</v>
      </c>
      <c r="G188" t="s">
        <v>217</v>
      </c>
      <c r="H188" t="s">
        <v>217</v>
      </c>
      <c r="I188" t="s">
        <v>212</v>
      </c>
      <c r="J188" s="25">
        <v>3566936</v>
      </c>
      <c r="K188" s="26">
        <v>704731.34</v>
      </c>
      <c r="L188" s="26">
        <v>3945.78</v>
      </c>
    </row>
    <row r="189" spans="1:12" ht="16" customHeight="1">
      <c r="A189" t="s">
        <v>286</v>
      </c>
      <c r="B189" t="s">
        <v>5</v>
      </c>
      <c r="C189" t="s">
        <v>17</v>
      </c>
      <c r="D189" s="24">
        <v>45931</v>
      </c>
      <c r="E189" t="s">
        <v>220</v>
      </c>
      <c r="F189" t="s">
        <v>4</v>
      </c>
      <c r="G189" t="s">
        <v>217</v>
      </c>
      <c r="H189" t="s">
        <v>217</v>
      </c>
      <c r="I189" t="s">
        <v>219</v>
      </c>
      <c r="J189" s="25">
        <v>79388</v>
      </c>
      <c r="K189" s="26">
        <v>15844.45</v>
      </c>
      <c r="L189" s="26">
        <v>143.18</v>
      </c>
    </row>
    <row r="190" spans="1:12" ht="16" customHeight="1">
      <c r="A190" t="s">
        <v>286</v>
      </c>
      <c r="B190" t="s">
        <v>5</v>
      </c>
      <c r="C190" t="s">
        <v>17</v>
      </c>
      <c r="D190" s="24">
        <v>45931</v>
      </c>
      <c r="E190" t="s">
        <v>222</v>
      </c>
      <c r="F190" t="s">
        <v>4</v>
      </c>
      <c r="G190" t="s">
        <v>217</v>
      </c>
      <c r="H190" t="s">
        <v>217</v>
      </c>
      <c r="I190" t="s">
        <v>221</v>
      </c>
      <c r="J190" s="25">
        <v>7735</v>
      </c>
      <c r="K190" s="26">
        <v>1546.27</v>
      </c>
      <c r="L190" s="26">
        <v>20.91</v>
      </c>
    </row>
    <row r="191" spans="1:12" ht="16" customHeight="1">
      <c r="A191" t="s">
        <v>286</v>
      </c>
      <c r="B191" t="s">
        <v>5</v>
      </c>
      <c r="C191" t="s">
        <v>17</v>
      </c>
      <c r="D191" s="24">
        <v>45931</v>
      </c>
      <c r="E191" t="s">
        <v>224</v>
      </c>
      <c r="F191" t="s">
        <v>4</v>
      </c>
      <c r="G191" t="s">
        <v>217</v>
      </c>
      <c r="H191" t="s">
        <v>217</v>
      </c>
      <c r="I191" t="s">
        <v>267</v>
      </c>
      <c r="J191" s="25">
        <v>1158</v>
      </c>
      <c r="K191" s="26">
        <v>236.77</v>
      </c>
      <c r="L191" s="26">
        <v>4.09</v>
      </c>
    </row>
    <row r="192" spans="1:12" ht="16" customHeight="1">
      <c r="A192" t="s">
        <v>286</v>
      </c>
      <c r="B192" t="s">
        <v>5</v>
      </c>
      <c r="C192" t="s">
        <v>17</v>
      </c>
      <c r="D192" s="24">
        <v>45931</v>
      </c>
      <c r="E192" t="s">
        <v>226</v>
      </c>
      <c r="F192" t="s">
        <v>4</v>
      </c>
      <c r="G192" t="s">
        <v>217</v>
      </c>
      <c r="H192" t="s">
        <v>217</v>
      </c>
      <c r="I192" t="s">
        <v>268</v>
      </c>
      <c r="J192" s="25">
        <v>0</v>
      </c>
      <c r="K192" s="26">
        <v>0</v>
      </c>
      <c r="L192" s="26">
        <v>0</v>
      </c>
    </row>
    <row r="193" spans="1:12" ht="16" customHeight="1">
      <c r="A193" t="s">
        <v>286</v>
      </c>
      <c r="B193" t="s">
        <v>5</v>
      </c>
      <c r="C193" t="s">
        <v>17</v>
      </c>
      <c r="D193" s="24">
        <v>45931</v>
      </c>
      <c r="E193" t="s">
        <v>269</v>
      </c>
      <c r="F193" t="s">
        <v>4</v>
      </c>
      <c r="G193" t="s">
        <v>217</v>
      </c>
      <c r="H193" t="s">
        <v>217</v>
      </c>
      <c r="I193" t="s">
        <v>270</v>
      </c>
      <c r="J193" s="25">
        <v>0</v>
      </c>
      <c r="K193" s="26">
        <v>0</v>
      </c>
      <c r="L193" s="26">
        <v>0</v>
      </c>
    </row>
    <row r="194" spans="1:12" ht="16" customHeight="1">
      <c r="A194" t="s">
        <v>288</v>
      </c>
      <c r="B194" t="s">
        <v>6</v>
      </c>
      <c r="C194" t="s">
        <v>17</v>
      </c>
      <c r="D194" s="24">
        <v>45931</v>
      </c>
      <c r="E194" t="s">
        <v>218</v>
      </c>
      <c r="F194" t="s">
        <v>4</v>
      </c>
      <c r="G194" t="s">
        <v>217</v>
      </c>
      <c r="H194" t="s">
        <v>217</v>
      </c>
      <c r="I194" t="s">
        <v>212</v>
      </c>
      <c r="J194" s="25">
        <v>4449066</v>
      </c>
      <c r="K194" s="26">
        <v>883644.24</v>
      </c>
      <c r="L194" s="26">
        <v>4483.38</v>
      </c>
    </row>
    <row r="195" spans="1:12" ht="16" customHeight="1">
      <c r="A195" t="s">
        <v>288</v>
      </c>
      <c r="B195" t="s">
        <v>6</v>
      </c>
      <c r="C195" t="s">
        <v>17</v>
      </c>
      <c r="D195" s="24">
        <v>45931</v>
      </c>
      <c r="E195" t="s">
        <v>220</v>
      </c>
      <c r="F195" t="s">
        <v>4</v>
      </c>
      <c r="G195" t="s">
        <v>217</v>
      </c>
      <c r="H195" t="s">
        <v>217</v>
      </c>
      <c r="I195" t="s">
        <v>219</v>
      </c>
      <c r="J195" s="25">
        <v>157673</v>
      </c>
      <c r="K195" s="26">
        <v>31830.44</v>
      </c>
      <c r="L195" s="26">
        <v>322.64999999999998</v>
      </c>
    </row>
    <row r="196" spans="1:12" ht="16" customHeight="1">
      <c r="A196" t="s">
        <v>288</v>
      </c>
      <c r="B196" t="s">
        <v>6</v>
      </c>
      <c r="C196" t="s">
        <v>17</v>
      </c>
      <c r="D196" s="24">
        <v>45931</v>
      </c>
      <c r="E196" t="s">
        <v>222</v>
      </c>
      <c r="F196" t="s">
        <v>4</v>
      </c>
      <c r="G196" t="s">
        <v>217</v>
      </c>
      <c r="H196" t="s">
        <v>217</v>
      </c>
      <c r="I196" t="s">
        <v>221</v>
      </c>
      <c r="J196" s="25">
        <v>16458</v>
      </c>
      <c r="K196" s="26">
        <v>3323.52</v>
      </c>
      <c r="L196" s="26">
        <v>44.89</v>
      </c>
    </row>
    <row r="197" spans="1:12" ht="16" customHeight="1">
      <c r="A197" t="s">
        <v>288</v>
      </c>
      <c r="B197" t="s">
        <v>6</v>
      </c>
      <c r="C197" t="s">
        <v>17</v>
      </c>
      <c r="D197" s="24">
        <v>45931</v>
      </c>
      <c r="E197" t="s">
        <v>224</v>
      </c>
      <c r="F197" t="s">
        <v>4</v>
      </c>
      <c r="G197" t="s">
        <v>217</v>
      </c>
      <c r="H197" t="s">
        <v>217</v>
      </c>
      <c r="I197" t="s">
        <v>267</v>
      </c>
      <c r="J197" s="25">
        <v>836</v>
      </c>
      <c r="K197" s="26">
        <v>172.77</v>
      </c>
      <c r="L197" s="26">
        <v>3.68</v>
      </c>
    </row>
    <row r="198" spans="1:12" ht="16" customHeight="1">
      <c r="A198" t="s">
        <v>288</v>
      </c>
      <c r="B198" t="s">
        <v>6</v>
      </c>
      <c r="C198" t="s">
        <v>17</v>
      </c>
      <c r="D198" s="24">
        <v>45931</v>
      </c>
      <c r="E198" t="s">
        <v>226</v>
      </c>
      <c r="F198" t="s">
        <v>4</v>
      </c>
      <c r="G198" t="s">
        <v>217</v>
      </c>
      <c r="H198" t="s">
        <v>217</v>
      </c>
      <c r="I198" t="s">
        <v>268</v>
      </c>
      <c r="J198" s="25">
        <v>0</v>
      </c>
      <c r="K198" s="26">
        <v>0</v>
      </c>
      <c r="L198" s="26">
        <v>0</v>
      </c>
    </row>
    <row r="199" spans="1:12" ht="16" customHeight="1">
      <c r="A199" t="s">
        <v>288</v>
      </c>
      <c r="B199" t="s">
        <v>6</v>
      </c>
      <c r="C199" t="s">
        <v>17</v>
      </c>
      <c r="D199" s="24">
        <v>45931</v>
      </c>
      <c r="E199" t="s">
        <v>269</v>
      </c>
      <c r="F199" t="s">
        <v>4</v>
      </c>
      <c r="G199" t="s">
        <v>217</v>
      </c>
      <c r="H199" t="s">
        <v>217</v>
      </c>
      <c r="I199" t="s">
        <v>270</v>
      </c>
      <c r="J199" s="25">
        <v>0</v>
      </c>
      <c r="K199" s="26">
        <v>0</v>
      </c>
      <c r="L199" s="26">
        <v>0</v>
      </c>
    </row>
    <row r="200" spans="1:12" ht="16" customHeight="1">
      <c r="A200" t="s">
        <v>289</v>
      </c>
      <c r="B200" t="s">
        <v>7</v>
      </c>
      <c r="C200" t="s">
        <v>17</v>
      </c>
      <c r="D200" s="24">
        <v>45931</v>
      </c>
      <c r="E200" t="s">
        <v>218</v>
      </c>
      <c r="F200" t="s">
        <v>4</v>
      </c>
      <c r="G200" t="s">
        <v>217</v>
      </c>
      <c r="H200" t="s">
        <v>217</v>
      </c>
      <c r="I200" t="s">
        <v>212</v>
      </c>
      <c r="J200" s="25">
        <v>6181755</v>
      </c>
      <c r="K200" s="26">
        <v>1237494.3999999999</v>
      </c>
      <c r="L200" s="26">
        <v>6532.61</v>
      </c>
    </row>
    <row r="201" spans="1:12" ht="16" customHeight="1">
      <c r="A201" t="s">
        <v>289</v>
      </c>
      <c r="B201" t="s">
        <v>7</v>
      </c>
      <c r="C201" t="s">
        <v>17</v>
      </c>
      <c r="D201" s="24">
        <v>45931</v>
      </c>
      <c r="E201" t="s">
        <v>220</v>
      </c>
      <c r="F201" t="s">
        <v>4</v>
      </c>
      <c r="G201" t="s">
        <v>217</v>
      </c>
      <c r="H201" t="s">
        <v>217</v>
      </c>
      <c r="I201" t="s">
        <v>219</v>
      </c>
      <c r="J201" s="25">
        <v>215289</v>
      </c>
      <c r="K201" s="26">
        <v>43890.18</v>
      </c>
      <c r="L201" s="26">
        <v>437.31</v>
      </c>
    </row>
    <row r="202" spans="1:12" ht="16" customHeight="1">
      <c r="A202" t="s">
        <v>289</v>
      </c>
      <c r="B202" t="s">
        <v>7</v>
      </c>
      <c r="C202" t="s">
        <v>17</v>
      </c>
      <c r="D202" s="24">
        <v>45931</v>
      </c>
      <c r="E202" t="s">
        <v>222</v>
      </c>
      <c r="F202" t="s">
        <v>4</v>
      </c>
      <c r="G202" t="s">
        <v>217</v>
      </c>
      <c r="H202" t="s">
        <v>217</v>
      </c>
      <c r="I202" t="s">
        <v>221</v>
      </c>
      <c r="J202" s="25">
        <v>18041</v>
      </c>
      <c r="K202" s="26">
        <v>3641.24</v>
      </c>
      <c r="L202" s="26">
        <v>43.59</v>
      </c>
    </row>
    <row r="203" spans="1:12" ht="16" customHeight="1">
      <c r="A203" t="s">
        <v>289</v>
      </c>
      <c r="B203" t="s">
        <v>7</v>
      </c>
      <c r="C203" t="s">
        <v>17</v>
      </c>
      <c r="D203" s="24">
        <v>45931</v>
      </c>
      <c r="E203" t="s">
        <v>224</v>
      </c>
      <c r="F203" t="s">
        <v>4</v>
      </c>
      <c r="G203" t="s">
        <v>217</v>
      </c>
      <c r="H203" t="s">
        <v>217</v>
      </c>
      <c r="I203" t="s">
        <v>267</v>
      </c>
      <c r="J203" s="25">
        <v>1090</v>
      </c>
      <c r="K203" s="26">
        <v>224.18</v>
      </c>
      <c r="L203" s="26">
        <v>4.8</v>
      </c>
    </row>
    <row r="204" spans="1:12" ht="16" customHeight="1">
      <c r="A204" t="s">
        <v>289</v>
      </c>
      <c r="B204" t="s">
        <v>7</v>
      </c>
      <c r="C204" t="s">
        <v>17</v>
      </c>
      <c r="D204" s="24">
        <v>45931</v>
      </c>
      <c r="E204" t="s">
        <v>226</v>
      </c>
      <c r="F204" t="s">
        <v>4</v>
      </c>
      <c r="G204" t="s">
        <v>217</v>
      </c>
      <c r="H204" t="s">
        <v>217</v>
      </c>
      <c r="I204" t="s">
        <v>268</v>
      </c>
      <c r="J204" s="25">
        <v>0</v>
      </c>
      <c r="K204" s="26">
        <v>0</v>
      </c>
      <c r="L204" s="26">
        <v>0</v>
      </c>
    </row>
    <row r="205" spans="1:12" ht="16" customHeight="1">
      <c r="A205" t="s">
        <v>289</v>
      </c>
      <c r="B205" t="s">
        <v>7</v>
      </c>
      <c r="C205" t="s">
        <v>17</v>
      </c>
      <c r="D205" s="24">
        <v>45931</v>
      </c>
      <c r="E205" t="s">
        <v>269</v>
      </c>
      <c r="F205" t="s">
        <v>4</v>
      </c>
      <c r="G205" t="s">
        <v>217</v>
      </c>
      <c r="H205" t="s">
        <v>217</v>
      </c>
      <c r="I205" t="s">
        <v>270</v>
      </c>
      <c r="J205" s="25">
        <v>0</v>
      </c>
      <c r="K205" s="26">
        <v>0</v>
      </c>
      <c r="L205" s="26">
        <v>0</v>
      </c>
    </row>
    <row r="206" spans="1:12" ht="16" customHeight="1">
      <c r="A206" t="s">
        <v>256</v>
      </c>
      <c r="B206" t="s">
        <v>3</v>
      </c>
      <c r="C206" t="s">
        <v>17</v>
      </c>
      <c r="D206" s="24">
        <v>45931</v>
      </c>
      <c r="E206" t="s">
        <v>218</v>
      </c>
      <c r="F206" t="s">
        <v>4</v>
      </c>
      <c r="G206" t="s">
        <v>217</v>
      </c>
      <c r="H206" t="s">
        <v>217</v>
      </c>
      <c r="I206" t="s">
        <v>212</v>
      </c>
      <c r="J206" s="25">
        <v>5438752</v>
      </c>
      <c r="K206" s="26">
        <v>1090795.8799999999</v>
      </c>
      <c r="L206" s="26">
        <v>4495.21</v>
      </c>
    </row>
    <row r="207" spans="1:12" ht="16" customHeight="1">
      <c r="A207" t="s">
        <v>256</v>
      </c>
      <c r="B207" t="s">
        <v>3</v>
      </c>
      <c r="C207" t="s">
        <v>17</v>
      </c>
      <c r="D207" s="24">
        <v>45931</v>
      </c>
      <c r="E207" t="s">
        <v>220</v>
      </c>
      <c r="F207" t="s">
        <v>4</v>
      </c>
      <c r="G207" t="s">
        <v>217</v>
      </c>
      <c r="H207" t="s">
        <v>217</v>
      </c>
      <c r="I207" t="s">
        <v>219</v>
      </c>
      <c r="J207" s="25">
        <v>225269</v>
      </c>
      <c r="K207" s="26">
        <v>45923.01</v>
      </c>
      <c r="L207" s="26">
        <v>422.67</v>
      </c>
    </row>
    <row r="208" spans="1:12" ht="16" customHeight="1">
      <c r="A208" t="s">
        <v>256</v>
      </c>
      <c r="B208" t="s">
        <v>3</v>
      </c>
      <c r="C208" t="s">
        <v>17</v>
      </c>
      <c r="D208" s="24">
        <v>45931</v>
      </c>
      <c r="E208" t="s">
        <v>222</v>
      </c>
      <c r="F208" t="s">
        <v>4</v>
      </c>
      <c r="G208" t="s">
        <v>217</v>
      </c>
      <c r="H208" t="s">
        <v>217</v>
      </c>
      <c r="I208" t="s">
        <v>221</v>
      </c>
      <c r="J208" s="25">
        <v>16214</v>
      </c>
      <c r="K208" s="26">
        <v>3297.6</v>
      </c>
      <c r="L208" s="26">
        <v>43.25</v>
      </c>
    </row>
    <row r="209" spans="1:12" ht="16" customHeight="1">
      <c r="A209" t="s">
        <v>256</v>
      </c>
      <c r="B209" t="s">
        <v>3</v>
      </c>
      <c r="C209" t="s">
        <v>17</v>
      </c>
      <c r="D209" s="24">
        <v>45931</v>
      </c>
      <c r="E209" t="s">
        <v>224</v>
      </c>
      <c r="F209" t="s">
        <v>4</v>
      </c>
      <c r="G209" t="s">
        <v>217</v>
      </c>
      <c r="H209" t="s">
        <v>217</v>
      </c>
      <c r="I209" t="s">
        <v>267</v>
      </c>
      <c r="J209" s="25">
        <v>1405</v>
      </c>
      <c r="K209" s="26">
        <v>288.31</v>
      </c>
      <c r="L209" s="26">
        <v>5.46</v>
      </c>
    </row>
    <row r="210" spans="1:12" ht="16" customHeight="1">
      <c r="A210" t="s">
        <v>256</v>
      </c>
      <c r="B210" t="s">
        <v>3</v>
      </c>
      <c r="C210" t="s">
        <v>17</v>
      </c>
      <c r="D210" s="24">
        <v>45931</v>
      </c>
      <c r="E210" t="s">
        <v>226</v>
      </c>
      <c r="F210" t="s">
        <v>4</v>
      </c>
      <c r="G210" t="s">
        <v>217</v>
      </c>
      <c r="H210" t="s">
        <v>217</v>
      </c>
      <c r="I210" t="s">
        <v>268</v>
      </c>
      <c r="J210" s="25">
        <v>0</v>
      </c>
      <c r="K210" s="26">
        <v>0</v>
      </c>
      <c r="L210" s="26">
        <v>0</v>
      </c>
    </row>
    <row r="211" spans="1:12" ht="16" customHeight="1">
      <c r="A211" t="s">
        <v>256</v>
      </c>
      <c r="B211" t="s">
        <v>3</v>
      </c>
      <c r="C211" t="s">
        <v>17</v>
      </c>
      <c r="D211" s="24">
        <v>45931</v>
      </c>
      <c r="E211" t="s">
        <v>269</v>
      </c>
      <c r="F211" t="s">
        <v>4</v>
      </c>
      <c r="G211" t="s">
        <v>217</v>
      </c>
      <c r="H211" t="s">
        <v>217</v>
      </c>
      <c r="I211" t="s">
        <v>270</v>
      </c>
      <c r="J211" s="25">
        <v>0</v>
      </c>
      <c r="K211" s="26">
        <v>0</v>
      </c>
      <c r="L211" s="26">
        <v>0</v>
      </c>
    </row>
    <row r="212" spans="1:12" ht="16" customHeight="1">
      <c r="A212" t="s">
        <v>290</v>
      </c>
      <c r="B212" t="s">
        <v>4</v>
      </c>
      <c r="C212" t="s">
        <v>17</v>
      </c>
      <c r="D212" s="24">
        <v>45931</v>
      </c>
      <c r="E212" t="s">
        <v>218</v>
      </c>
      <c r="F212" t="s">
        <v>4</v>
      </c>
      <c r="G212" t="s">
        <v>217</v>
      </c>
      <c r="H212" t="s">
        <v>217</v>
      </c>
      <c r="I212" t="s">
        <v>212</v>
      </c>
      <c r="J212" s="25">
        <v>1267899</v>
      </c>
      <c r="K212" s="26">
        <v>254416.7</v>
      </c>
      <c r="L212" s="26">
        <v>783.29</v>
      </c>
    </row>
    <row r="213" spans="1:12" ht="16" customHeight="1">
      <c r="A213" t="s">
        <v>290</v>
      </c>
      <c r="B213" t="s">
        <v>4</v>
      </c>
      <c r="C213" t="s">
        <v>17</v>
      </c>
      <c r="D213" s="24">
        <v>45931</v>
      </c>
      <c r="E213" t="s">
        <v>220</v>
      </c>
      <c r="F213" t="s">
        <v>4</v>
      </c>
      <c r="G213" t="s">
        <v>217</v>
      </c>
      <c r="H213" t="s">
        <v>217</v>
      </c>
      <c r="I213" t="s">
        <v>219</v>
      </c>
      <c r="J213" s="25">
        <v>35546</v>
      </c>
      <c r="K213" s="26">
        <v>7233.83</v>
      </c>
      <c r="L213" s="26">
        <v>70.31</v>
      </c>
    </row>
    <row r="214" spans="1:12" ht="16" customHeight="1">
      <c r="A214" t="s">
        <v>290</v>
      </c>
      <c r="B214" t="s">
        <v>4</v>
      </c>
      <c r="C214" t="s">
        <v>17</v>
      </c>
      <c r="D214" s="24">
        <v>45931</v>
      </c>
      <c r="E214" t="s">
        <v>222</v>
      </c>
      <c r="F214" t="s">
        <v>4</v>
      </c>
      <c r="G214" t="s">
        <v>217</v>
      </c>
      <c r="H214" t="s">
        <v>217</v>
      </c>
      <c r="I214" t="s">
        <v>221</v>
      </c>
      <c r="J214" s="25">
        <v>1915</v>
      </c>
      <c r="K214" s="26">
        <v>388.71</v>
      </c>
      <c r="L214" s="26">
        <v>4.79</v>
      </c>
    </row>
    <row r="215" spans="1:12" ht="16" customHeight="1">
      <c r="A215" t="s">
        <v>290</v>
      </c>
      <c r="B215" t="s">
        <v>4</v>
      </c>
      <c r="C215" t="s">
        <v>17</v>
      </c>
      <c r="D215" s="24">
        <v>45931</v>
      </c>
      <c r="E215" t="s">
        <v>224</v>
      </c>
      <c r="F215" t="s">
        <v>4</v>
      </c>
      <c r="G215" t="s">
        <v>217</v>
      </c>
      <c r="H215" t="s">
        <v>217</v>
      </c>
      <c r="I215" t="s">
        <v>267</v>
      </c>
      <c r="J215" s="25">
        <v>114</v>
      </c>
      <c r="K215" s="26">
        <v>23.12</v>
      </c>
      <c r="L215" s="26">
        <v>0.36</v>
      </c>
    </row>
    <row r="216" spans="1:12" ht="16" customHeight="1">
      <c r="A216" t="s">
        <v>290</v>
      </c>
      <c r="B216" t="s">
        <v>4</v>
      </c>
      <c r="C216" t="s">
        <v>17</v>
      </c>
      <c r="D216" s="24">
        <v>45931</v>
      </c>
      <c r="E216" t="s">
        <v>226</v>
      </c>
      <c r="F216" t="s">
        <v>4</v>
      </c>
      <c r="G216" t="s">
        <v>217</v>
      </c>
      <c r="H216" t="s">
        <v>217</v>
      </c>
      <c r="I216" t="s">
        <v>268</v>
      </c>
      <c r="J216" s="25">
        <v>0</v>
      </c>
      <c r="K216" s="26">
        <v>0</v>
      </c>
      <c r="L216" s="26">
        <v>0</v>
      </c>
    </row>
    <row r="217" spans="1:12" ht="16" customHeight="1">
      <c r="A217" t="s">
        <v>290</v>
      </c>
      <c r="B217" t="s">
        <v>4</v>
      </c>
      <c r="C217" t="s">
        <v>17</v>
      </c>
      <c r="D217" s="24">
        <v>45931</v>
      </c>
      <c r="E217" t="s">
        <v>269</v>
      </c>
      <c r="F217" t="s">
        <v>4</v>
      </c>
      <c r="G217" t="s">
        <v>217</v>
      </c>
      <c r="H217" t="s">
        <v>217</v>
      </c>
      <c r="I217" t="s">
        <v>270</v>
      </c>
      <c r="J217" s="25">
        <v>0</v>
      </c>
      <c r="K217" s="26">
        <v>0</v>
      </c>
      <c r="L217" s="26">
        <v>0</v>
      </c>
    </row>
    <row r="218" spans="1:12" ht="16" customHeight="1">
      <c r="A218" t="s">
        <v>292</v>
      </c>
      <c r="B218" t="s">
        <v>6</v>
      </c>
      <c r="C218" t="s">
        <v>18</v>
      </c>
      <c r="D218" s="24">
        <v>45931</v>
      </c>
      <c r="E218" t="s">
        <v>218</v>
      </c>
      <c r="F218" t="s">
        <v>4</v>
      </c>
      <c r="G218" t="s">
        <v>217</v>
      </c>
      <c r="H218" t="s">
        <v>217</v>
      </c>
      <c r="I218" t="s">
        <v>212</v>
      </c>
      <c r="J218" s="25">
        <v>8673940</v>
      </c>
      <c r="K218" s="26">
        <v>1749927.77</v>
      </c>
      <c r="L218" s="26">
        <v>5735.91</v>
      </c>
    </row>
    <row r="219" spans="1:12" ht="16" customHeight="1">
      <c r="A219" t="s">
        <v>292</v>
      </c>
      <c r="B219" t="s">
        <v>6</v>
      </c>
      <c r="C219" t="s">
        <v>18</v>
      </c>
      <c r="D219" s="24">
        <v>45931</v>
      </c>
      <c r="E219" t="s">
        <v>220</v>
      </c>
      <c r="F219" t="s">
        <v>4</v>
      </c>
      <c r="G219" t="s">
        <v>217</v>
      </c>
      <c r="H219" t="s">
        <v>217</v>
      </c>
      <c r="I219" t="s">
        <v>219</v>
      </c>
      <c r="J219" s="25">
        <v>395163</v>
      </c>
      <c r="K219" s="26">
        <v>80914.86</v>
      </c>
      <c r="L219" s="26">
        <v>862.11</v>
      </c>
    </row>
    <row r="220" spans="1:12" ht="16" customHeight="1">
      <c r="A220" t="s">
        <v>292</v>
      </c>
      <c r="B220" t="s">
        <v>6</v>
      </c>
      <c r="C220" t="s">
        <v>18</v>
      </c>
      <c r="D220" s="24">
        <v>45931</v>
      </c>
      <c r="E220" t="s">
        <v>222</v>
      </c>
      <c r="F220" t="s">
        <v>4</v>
      </c>
      <c r="G220" t="s">
        <v>217</v>
      </c>
      <c r="H220" t="s">
        <v>217</v>
      </c>
      <c r="I220" t="s">
        <v>221</v>
      </c>
      <c r="J220" s="25">
        <v>21545</v>
      </c>
      <c r="K220" s="26">
        <v>4376.6099999999997</v>
      </c>
      <c r="L220" s="26">
        <v>57.51</v>
      </c>
    </row>
    <row r="221" spans="1:12" ht="16" customHeight="1">
      <c r="A221" t="s">
        <v>292</v>
      </c>
      <c r="B221" t="s">
        <v>6</v>
      </c>
      <c r="C221" t="s">
        <v>18</v>
      </c>
      <c r="D221" s="24">
        <v>45931</v>
      </c>
      <c r="E221" t="s">
        <v>224</v>
      </c>
      <c r="F221" t="s">
        <v>4</v>
      </c>
      <c r="G221" t="s">
        <v>217</v>
      </c>
      <c r="H221" t="s">
        <v>217</v>
      </c>
      <c r="I221" t="s">
        <v>267</v>
      </c>
      <c r="J221" s="25">
        <v>948</v>
      </c>
      <c r="K221" s="26">
        <v>193.97</v>
      </c>
      <c r="L221" s="26">
        <v>3.2</v>
      </c>
    </row>
    <row r="222" spans="1:12" ht="16" customHeight="1">
      <c r="A222" t="s">
        <v>292</v>
      </c>
      <c r="B222" t="s">
        <v>6</v>
      </c>
      <c r="C222" t="s">
        <v>18</v>
      </c>
      <c r="D222" s="24">
        <v>45931</v>
      </c>
      <c r="E222" t="s">
        <v>226</v>
      </c>
      <c r="F222" t="s">
        <v>4</v>
      </c>
      <c r="G222" t="s">
        <v>217</v>
      </c>
      <c r="H222" t="s">
        <v>217</v>
      </c>
      <c r="I222" t="s">
        <v>268</v>
      </c>
      <c r="J222" s="25">
        <v>0</v>
      </c>
      <c r="K222" s="26">
        <v>0</v>
      </c>
      <c r="L222" s="26">
        <v>0</v>
      </c>
    </row>
    <row r="223" spans="1:12" ht="16" customHeight="1">
      <c r="A223" t="s">
        <v>292</v>
      </c>
      <c r="B223" t="s">
        <v>6</v>
      </c>
      <c r="C223" t="s">
        <v>18</v>
      </c>
      <c r="D223" s="24">
        <v>45931</v>
      </c>
      <c r="E223" t="s">
        <v>269</v>
      </c>
      <c r="F223" t="s">
        <v>4</v>
      </c>
      <c r="G223" t="s">
        <v>217</v>
      </c>
      <c r="H223" t="s">
        <v>217</v>
      </c>
      <c r="I223" t="s">
        <v>270</v>
      </c>
      <c r="J223" s="25">
        <v>0</v>
      </c>
      <c r="K223" s="26">
        <v>0</v>
      </c>
      <c r="L223" s="26">
        <v>0</v>
      </c>
    </row>
    <row r="224" spans="1:12" ht="16" customHeight="1">
      <c r="A224" t="s">
        <v>293</v>
      </c>
      <c r="B224" t="s">
        <v>7</v>
      </c>
      <c r="C224" t="s">
        <v>18</v>
      </c>
      <c r="D224" s="24">
        <v>45931</v>
      </c>
      <c r="E224" t="s">
        <v>218</v>
      </c>
      <c r="F224" t="s">
        <v>4</v>
      </c>
      <c r="G224" t="s">
        <v>217</v>
      </c>
      <c r="H224" t="s">
        <v>217</v>
      </c>
      <c r="I224" t="s">
        <v>212</v>
      </c>
      <c r="J224" s="25">
        <v>15507859</v>
      </c>
      <c r="K224" s="26">
        <v>3101167.41</v>
      </c>
      <c r="L224" s="26">
        <v>8697.06</v>
      </c>
    </row>
    <row r="225" spans="1:12" ht="16" customHeight="1">
      <c r="A225" t="s">
        <v>293</v>
      </c>
      <c r="B225" t="s">
        <v>7</v>
      </c>
      <c r="C225" t="s">
        <v>18</v>
      </c>
      <c r="D225" s="24">
        <v>45931</v>
      </c>
      <c r="E225" t="s">
        <v>220</v>
      </c>
      <c r="F225" t="s">
        <v>4</v>
      </c>
      <c r="G225" t="s">
        <v>217</v>
      </c>
      <c r="H225" t="s">
        <v>217</v>
      </c>
      <c r="I225" t="s">
        <v>219</v>
      </c>
      <c r="J225" s="25">
        <v>469846</v>
      </c>
      <c r="K225" s="26">
        <v>95716.07</v>
      </c>
      <c r="L225" s="26">
        <v>982.88</v>
      </c>
    </row>
    <row r="226" spans="1:12" ht="16" customHeight="1">
      <c r="A226" t="s">
        <v>293</v>
      </c>
      <c r="B226" t="s">
        <v>7</v>
      </c>
      <c r="C226" t="s">
        <v>18</v>
      </c>
      <c r="D226" s="24">
        <v>45931</v>
      </c>
      <c r="E226" t="s">
        <v>222</v>
      </c>
      <c r="F226" t="s">
        <v>4</v>
      </c>
      <c r="G226" t="s">
        <v>217</v>
      </c>
      <c r="H226" t="s">
        <v>217</v>
      </c>
      <c r="I226" t="s">
        <v>221</v>
      </c>
      <c r="J226" s="25">
        <v>19045</v>
      </c>
      <c r="K226" s="26">
        <v>3898.19</v>
      </c>
      <c r="L226" s="26">
        <v>52.68</v>
      </c>
    </row>
    <row r="227" spans="1:12" ht="16" customHeight="1">
      <c r="A227" t="s">
        <v>293</v>
      </c>
      <c r="B227" t="s">
        <v>7</v>
      </c>
      <c r="C227" t="s">
        <v>18</v>
      </c>
      <c r="D227" s="24">
        <v>45931</v>
      </c>
      <c r="E227" t="s">
        <v>224</v>
      </c>
      <c r="F227" t="s">
        <v>4</v>
      </c>
      <c r="G227" t="s">
        <v>217</v>
      </c>
      <c r="H227" t="s">
        <v>217</v>
      </c>
      <c r="I227" t="s">
        <v>267</v>
      </c>
      <c r="J227" s="25">
        <v>868</v>
      </c>
      <c r="K227" s="26">
        <v>178.67</v>
      </c>
      <c r="L227" s="26">
        <v>3.29</v>
      </c>
    </row>
    <row r="228" spans="1:12" ht="16" customHeight="1">
      <c r="A228" t="s">
        <v>293</v>
      </c>
      <c r="B228" t="s">
        <v>7</v>
      </c>
      <c r="C228" t="s">
        <v>18</v>
      </c>
      <c r="D228" s="24">
        <v>45931</v>
      </c>
      <c r="E228" t="s">
        <v>226</v>
      </c>
      <c r="F228" t="s">
        <v>4</v>
      </c>
      <c r="G228" t="s">
        <v>217</v>
      </c>
      <c r="H228" t="s">
        <v>217</v>
      </c>
      <c r="I228" t="s">
        <v>268</v>
      </c>
      <c r="J228" s="25">
        <v>0</v>
      </c>
      <c r="K228" s="26">
        <v>0</v>
      </c>
      <c r="L228" s="26">
        <v>0</v>
      </c>
    </row>
    <row r="229" spans="1:12" ht="16" customHeight="1">
      <c r="A229" t="s">
        <v>293</v>
      </c>
      <c r="B229" t="s">
        <v>7</v>
      </c>
      <c r="C229" t="s">
        <v>18</v>
      </c>
      <c r="D229" s="24">
        <v>45931</v>
      </c>
      <c r="E229" t="s">
        <v>269</v>
      </c>
      <c r="F229" t="s">
        <v>4</v>
      </c>
      <c r="G229" t="s">
        <v>217</v>
      </c>
      <c r="H229" t="s">
        <v>217</v>
      </c>
      <c r="I229" t="s">
        <v>270</v>
      </c>
      <c r="J229" s="25">
        <v>0</v>
      </c>
      <c r="K229" s="26">
        <v>0</v>
      </c>
      <c r="L229" s="26">
        <v>0</v>
      </c>
    </row>
    <row r="230" spans="1:12" ht="16" customHeight="1">
      <c r="A230" t="s">
        <v>294</v>
      </c>
      <c r="B230" t="s">
        <v>3</v>
      </c>
      <c r="C230" t="s">
        <v>18</v>
      </c>
      <c r="D230" s="24">
        <v>45931</v>
      </c>
      <c r="E230" t="s">
        <v>218</v>
      </c>
      <c r="F230" t="s">
        <v>4</v>
      </c>
      <c r="G230" t="s">
        <v>217</v>
      </c>
      <c r="H230" t="s">
        <v>217</v>
      </c>
      <c r="I230" t="s">
        <v>212</v>
      </c>
      <c r="J230" s="25">
        <v>20633717</v>
      </c>
      <c r="K230" s="26">
        <v>4141903.11</v>
      </c>
      <c r="L230" s="26">
        <v>9209.24</v>
      </c>
    </row>
    <row r="231" spans="1:12" ht="16" customHeight="1">
      <c r="A231" t="s">
        <v>294</v>
      </c>
      <c r="B231" t="s">
        <v>3</v>
      </c>
      <c r="C231" t="s">
        <v>18</v>
      </c>
      <c r="D231" s="24">
        <v>45931</v>
      </c>
      <c r="E231" t="s">
        <v>220</v>
      </c>
      <c r="F231" t="s">
        <v>4</v>
      </c>
      <c r="G231" t="s">
        <v>217</v>
      </c>
      <c r="H231" t="s">
        <v>217</v>
      </c>
      <c r="I231" t="s">
        <v>219</v>
      </c>
      <c r="J231" s="25">
        <v>524563</v>
      </c>
      <c r="K231" s="26">
        <v>107143.97</v>
      </c>
      <c r="L231" s="26">
        <v>1091.08</v>
      </c>
    </row>
    <row r="232" spans="1:12" ht="16" customHeight="1">
      <c r="A232" t="s">
        <v>294</v>
      </c>
      <c r="B232" t="s">
        <v>3</v>
      </c>
      <c r="C232" t="s">
        <v>18</v>
      </c>
      <c r="D232" s="24">
        <v>45931</v>
      </c>
      <c r="E232" t="s">
        <v>222</v>
      </c>
      <c r="F232" t="s">
        <v>4</v>
      </c>
      <c r="G232" t="s">
        <v>217</v>
      </c>
      <c r="H232" t="s">
        <v>217</v>
      </c>
      <c r="I232" t="s">
        <v>221</v>
      </c>
      <c r="J232" s="25">
        <v>19469</v>
      </c>
      <c r="K232" s="26">
        <v>3969.86</v>
      </c>
      <c r="L232" s="26">
        <v>51.33</v>
      </c>
    </row>
    <row r="233" spans="1:12" ht="16" customHeight="1">
      <c r="A233" t="s">
        <v>294</v>
      </c>
      <c r="B233" t="s">
        <v>3</v>
      </c>
      <c r="C233" t="s">
        <v>18</v>
      </c>
      <c r="D233" s="24">
        <v>45931</v>
      </c>
      <c r="E233" t="s">
        <v>224</v>
      </c>
      <c r="F233" t="s">
        <v>4</v>
      </c>
      <c r="G233" t="s">
        <v>217</v>
      </c>
      <c r="H233" t="s">
        <v>217</v>
      </c>
      <c r="I233" t="s">
        <v>267</v>
      </c>
      <c r="J233" s="25">
        <v>428</v>
      </c>
      <c r="K233" s="26">
        <v>86.7</v>
      </c>
      <c r="L233" s="26">
        <v>1.52</v>
      </c>
    </row>
    <row r="234" spans="1:12" ht="16" customHeight="1">
      <c r="A234" t="s">
        <v>294</v>
      </c>
      <c r="B234" t="s">
        <v>3</v>
      </c>
      <c r="C234" t="s">
        <v>18</v>
      </c>
      <c r="D234" s="24">
        <v>45931</v>
      </c>
      <c r="E234" t="s">
        <v>226</v>
      </c>
      <c r="F234" t="s">
        <v>4</v>
      </c>
      <c r="G234" t="s">
        <v>217</v>
      </c>
      <c r="H234" t="s">
        <v>217</v>
      </c>
      <c r="I234" t="s">
        <v>268</v>
      </c>
      <c r="J234" s="25">
        <v>0</v>
      </c>
      <c r="K234" s="26">
        <v>0</v>
      </c>
      <c r="L234" s="26">
        <v>0</v>
      </c>
    </row>
    <row r="235" spans="1:12" ht="16" customHeight="1">
      <c r="A235" t="s">
        <v>294</v>
      </c>
      <c r="B235" t="s">
        <v>3</v>
      </c>
      <c r="C235" t="s">
        <v>18</v>
      </c>
      <c r="D235" s="24">
        <v>45931</v>
      </c>
      <c r="E235" t="s">
        <v>269</v>
      </c>
      <c r="F235" t="s">
        <v>4</v>
      </c>
      <c r="G235" t="s">
        <v>217</v>
      </c>
      <c r="H235" t="s">
        <v>217</v>
      </c>
      <c r="I235" t="s">
        <v>270</v>
      </c>
      <c r="J235" s="25">
        <v>0</v>
      </c>
      <c r="K235" s="26">
        <v>0</v>
      </c>
      <c r="L235" s="26">
        <v>0</v>
      </c>
    </row>
    <row r="236" spans="1:12" ht="16" customHeight="1">
      <c r="A236" t="s">
        <v>218</v>
      </c>
      <c r="B236" t="s">
        <v>4</v>
      </c>
      <c r="C236" t="s">
        <v>18</v>
      </c>
      <c r="D236" s="24">
        <v>45931</v>
      </c>
      <c r="E236" t="s">
        <v>218</v>
      </c>
      <c r="F236" t="s">
        <v>4</v>
      </c>
      <c r="G236" t="s">
        <v>217</v>
      </c>
      <c r="H236" t="s">
        <v>217</v>
      </c>
      <c r="I236" t="s">
        <v>212</v>
      </c>
      <c r="J236" s="25">
        <v>87083272</v>
      </c>
      <c r="K236" s="26">
        <v>17451637.23</v>
      </c>
      <c r="L236" s="26">
        <v>17407.38</v>
      </c>
    </row>
    <row r="237" spans="1:12" ht="16" customHeight="1">
      <c r="A237" t="s">
        <v>218</v>
      </c>
      <c r="B237" t="s">
        <v>4</v>
      </c>
      <c r="C237" t="s">
        <v>18</v>
      </c>
      <c r="D237" s="24">
        <v>45931</v>
      </c>
      <c r="E237" t="s">
        <v>220</v>
      </c>
      <c r="F237" t="s">
        <v>4</v>
      </c>
      <c r="G237" t="s">
        <v>217</v>
      </c>
      <c r="H237" t="s">
        <v>217</v>
      </c>
      <c r="I237" t="s">
        <v>219</v>
      </c>
      <c r="J237" s="25">
        <v>1161369</v>
      </c>
      <c r="K237" s="26">
        <v>237445.17</v>
      </c>
      <c r="L237" s="26">
        <v>2209.4699999999998</v>
      </c>
    </row>
    <row r="238" spans="1:12" ht="16" customHeight="1">
      <c r="A238" t="s">
        <v>218</v>
      </c>
      <c r="B238" t="s">
        <v>4</v>
      </c>
      <c r="C238" t="s">
        <v>18</v>
      </c>
      <c r="D238" s="24">
        <v>45931</v>
      </c>
      <c r="E238" t="s">
        <v>222</v>
      </c>
      <c r="F238" t="s">
        <v>4</v>
      </c>
      <c r="G238" t="s">
        <v>217</v>
      </c>
      <c r="H238" t="s">
        <v>217</v>
      </c>
      <c r="I238" t="s">
        <v>221</v>
      </c>
      <c r="J238" s="25">
        <v>23664</v>
      </c>
      <c r="K238" s="26">
        <v>4873.66</v>
      </c>
      <c r="L238" s="26">
        <v>73.349999999999994</v>
      </c>
    </row>
    <row r="239" spans="1:12" ht="16" customHeight="1">
      <c r="A239" t="s">
        <v>218</v>
      </c>
      <c r="B239" t="s">
        <v>4</v>
      </c>
      <c r="C239" t="s">
        <v>18</v>
      </c>
      <c r="D239" s="24">
        <v>45931</v>
      </c>
      <c r="E239" t="s">
        <v>224</v>
      </c>
      <c r="F239" t="s">
        <v>4</v>
      </c>
      <c r="G239" t="s">
        <v>217</v>
      </c>
      <c r="H239" t="s">
        <v>217</v>
      </c>
      <c r="I239" t="s">
        <v>267</v>
      </c>
      <c r="J239" s="25">
        <v>638</v>
      </c>
      <c r="K239" s="26">
        <v>131.47999999999999</v>
      </c>
      <c r="L239" s="26">
        <v>2.54</v>
      </c>
    </row>
    <row r="240" spans="1:12" ht="16" customHeight="1">
      <c r="A240" t="s">
        <v>218</v>
      </c>
      <c r="B240" t="s">
        <v>4</v>
      </c>
      <c r="C240" t="s">
        <v>18</v>
      </c>
      <c r="D240" s="24">
        <v>45931</v>
      </c>
      <c r="E240" t="s">
        <v>226</v>
      </c>
      <c r="F240" t="s">
        <v>4</v>
      </c>
      <c r="G240" t="s">
        <v>217</v>
      </c>
      <c r="H240" t="s">
        <v>217</v>
      </c>
      <c r="I240" t="s">
        <v>268</v>
      </c>
      <c r="J240" s="25">
        <v>0</v>
      </c>
      <c r="K240" s="26">
        <v>0</v>
      </c>
      <c r="L240" s="26">
        <v>0</v>
      </c>
    </row>
    <row r="241" spans="1:12" ht="16" customHeight="1">
      <c r="A241" t="s">
        <v>218</v>
      </c>
      <c r="B241" t="s">
        <v>4</v>
      </c>
      <c r="C241" t="s">
        <v>18</v>
      </c>
      <c r="D241" s="24">
        <v>45931</v>
      </c>
      <c r="E241" t="s">
        <v>269</v>
      </c>
      <c r="F241" t="s">
        <v>4</v>
      </c>
      <c r="G241" t="s">
        <v>217</v>
      </c>
      <c r="H241" t="s">
        <v>217</v>
      </c>
      <c r="I241" t="s">
        <v>270</v>
      </c>
      <c r="J241" s="25">
        <v>0</v>
      </c>
      <c r="K241" s="26">
        <v>0</v>
      </c>
      <c r="L241" s="26">
        <v>0</v>
      </c>
    </row>
    <row r="242" spans="1:12" ht="16" customHeight="1">
      <c r="A242" t="s">
        <v>295</v>
      </c>
      <c r="B242" t="s">
        <v>5</v>
      </c>
      <c r="C242" t="s">
        <v>19</v>
      </c>
      <c r="D242" s="24">
        <v>45931</v>
      </c>
      <c r="E242" t="s">
        <v>220</v>
      </c>
      <c r="F242" t="s">
        <v>4</v>
      </c>
      <c r="G242" t="s">
        <v>217</v>
      </c>
      <c r="H242" t="s">
        <v>217</v>
      </c>
      <c r="I242" t="s">
        <v>219</v>
      </c>
      <c r="J242" s="25">
        <v>2212302</v>
      </c>
      <c r="K242" s="26">
        <v>453350.92</v>
      </c>
      <c r="L242" s="26">
        <v>3993.3</v>
      </c>
    </row>
    <row r="243" spans="1:12" ht="16" customHeight="1">
      <c r="A243" t="s">
        <v>295</v>
      </c>
      <c r="B243" t="s">
        <v>5</v>
      </c>
      <c r="C243" t="s">
        <v>19</v>
      </c>
      <c r="D243" s="24">
        <v>45931</v>
      </c>
      <c r="E243" t="s">
        <v>222</v>
      </c>
      <c r="F243" t="s">
        <v>4</v>
      </c>
      <c r="G243" t="s">
        <v>217</v>
      </c>
      <c r="H243" t="s">
        <v>217</v>
      </c>
      <c r="I243" t="s">
        <v>221</v>
      </c>
      <c r="J243" s="25">
        <v>24422</v>
      </c>
      <c r="K243" s="26">
        <v>5010.3599999999997</v>
      </c>
      <c r="L243" s="26">
        <v>57.82</v>
      </c>
    </row>
    <row r="244" spans="1:12" ht="16" customHeight="1">
      <c r="A244" t="s">
        <v>295</v>
      </c>
      <c r="B244" t="s">
        <v>5</v>
      </c>
      <c r="C244" t="s">
        <v>19</v>
      </c>
      <c r="D244" s="24">
        <v>45931</v>
      </c>
      <c r="E244" t="s">
        <v>296</v>
      </c>
      <c r="F244" t="s">
        <v>4</v>
      </c>
      <c r="G244" t="s">
        <v>217</v>
      </c>
      <c r="H244" t="s">
        <v>217</v>
      </c>
      <c r="I244" t="s">
        <v>223</v>
      </c>
      <c r="J244" s="25">
        <v>86</v>
      </c>
      <c r="K244" s="26">
        <v>15.27</v>
      </c>
      <c r="L244" s="26">
        <v>0.4</v>
      </c>
    </row>
    <row r="245" spans="1:12" ht="16" customHeight="1">
      <c r="A245" t="s">
        <v>295</v>
      </c>
      <c r="B245" t="s">
        <v>5</v>
      </c>
      <c r="C245" t="s">
        <v>19</v>
      </c>
      <c r="D245" s="24">
        <v>45931</v>
      </c>
      <c r="E245" t="s">
        <v>224</v>
      </c>
      <c r="F245" t="s">
        <v>4</v>
      </c>
      <c r="G245" t="s">
        <v>217</v>
      </c>
      <c r="H245" t="s">
        <v>217</v>
      </c>
      <c r="I245" t="s">
        <v>267</v>
      </c>
      <c r="J245" s="25">
        <v>550</v>
      </c>
      <c r="K245" s="26">
        <v>113.46</v>
      </c>
      <c r="L245" s="26">
        <v>2.19</v>
      </c>
    </row>
    <row r="246" spans="1:12" ht="16" customHeight="1">
      <c r="A246" t="s">
        <v>295</v>
      </c>
      <c r="B246" t="s">
        <v>5</v>
      </c>
      <c r="C246" t="s">
        <v>19</v>
      </c>
      <c r="D246" s="24">
        <v>45931</v>
      </c>
      <c r="E246" t="s">
        <v>226</v>
      </c>
      <c r="F246" t="s">
        <v>4</v>
      </c>
      <c r="G246" t="s">
        <v>217</v>
      </c>
      <c r="H246" t="s">
        <v>217</v>
      </c>
      <c r="I246" t="s">
        <v>268</v>
      </c>
      <c r="J246" s="25">
        <v>0</v>
      </c>
      <c r="K246" s="26">
        <v>0</v>
      </c>
      <c r="L246" s="26">
        <v>0</v>
      </c>
    </row>
    <row r="247" spans="1:12" ht="16" customHeight="1">
      <c r="A247" t="s">
        <v>295</v>
      </c>
      <c r="B247" t="s">
        <v>5</v>
      </c>
      <c r="C247" t="s">
        <v>19</v>
      </c>
      <c r="D247" s="24">
        <v>45931</v>
      </c>
      <c r="E247" t="s">
        <v>269</v>
      </c>
      <c r="F247" t="s">
        <v>4</v>
      </c>
      <c r="G247" t="s">
        <v>217</v>
      </c>
      <c r="H247" t="s">
        <v>217</v>
      </c>
      <c r="I247" t="s">
        <v>270</v>
      </c>
      <c r="J247" s="25">
        <v>0</v>
      </c>
      <c r="K247" s="26">
        <v>0</v>
      </c>
      <c r="L247" s="26">
        <v>0</v>
      </c>
    </row>
    <row r="248" spans="1:12" ht="16" customHeight="1">
      <c r="A248" t="s">
        <v>297</v>
      </c>
      <c r="B248" t="s">
        <v>6</v>
      </c>
      <c r="C248" t="s">
        <v>19</v>
      </c>
      <c r="D248" s="24">
        <v>45931</v>
      </c>
      <c r="E248" t="s">
        <v>220</v>
      </c>
      <c r="F248" t="s">
        <v>4</v>
      </c>
      <c r="G248" t="s">
        <v>217</v>
      </c>
      <c r="H248" t="s">
        <v>217</v>
      </c>
      <c r="I248" t="s">
        <v>219</v>
      </c>
      <c r="J248" s="25">
        <v>1949720</v>
      </c>
      <c r="K248" s="26">
        <v>399438.44</v>
      </c>
      <c r="L248" s="26">
        <v>3449.45</v>
      </c>
    </row>
    <row r="249" spans="1:12" ht="16" customHeight="1">
      <c r="A249" t="s">
        <v>297</v>
      </c>
      <c r="B249" t="s">
        <v>6</v>
      </c>
      <c r="C249" t="s">
        <v>19</v>
      </c>
      <c r="D249" s="24">
        <v>45931</v>
      </c>
      <c r="E249" t="s">
        <v>222</v>
      </c>
      <c r="F249" t="s">
        <v>4</v>
      </c>
      <c r="G249" t="s">
        <v>217</v>
      </c>
      <c r="H249" t="s">
        <v>217</v>
      </c>
      <c r="I249" t="s">
        <v>221</v>
      </c>
      <c r="J249" s="25">
        <v>20662</v>
      </c>
      <c r="K249" s="26">
        <v>4217.82</v>
      </c>
      <c r="L249" s="26">
        <v>47.23</v>
      </c>
    </row>
    <row r="250" spans="1:12" ht="16" customHeight="1">
      <c r="A250" t="s">
        <v>297</v>
      </c>
      <c r="B250" t="s">
        <v>6</v>
      </c>
      <c r="C250" t="s">
        <v>19</v>
      </c>
      <c r="D250" s="24">
        <v>45931</v>
      </c>
      <c r="E250" t="s">
        <v>296</v>
      </c>
      <c r="F250" t="s">
        <v>4</v>
      </c>
      <c r="G250" t="s">
        <v>217</v>
      </c>
      <c r="H250" t="s">
        <v>217</v>
      </c>
      <c r="I250" t="s">
        <v>223</v>
      </c>
      <c r="J250" s="25">
        <v>292</v>
      </c>
      <c r="K250" s="26">
        <v>50.53</v>
      </c>
      <c r="L250" s="26">
        <v>0.71</v>
      </c>
    </row>
    <row r="251" spans="1:12" ht="16" customHeight="1">
      <c r="A251" t="s">
        <v>297</v>
      </c>
      <c r="B251" t="s">
        <v>6</v>
      </c>
      <c r="C251" t="s">
        <v>19</v>
      </c>
      <c r="D251" s="24">
        <v>45931</v>
      </c>
      <c r="E251" t="s">
        <v>224</v>
      </c>
      <c r="F251" t="s">
        <v>4</v>
      </c>
      <c r="G251" t="s">
        <v>217</v>
      </c>
      <c r="H251" t="s">
        <v>217</v>
      </c>
      <c r="I251" t="s">
        <v>267</v>
      </c>
      <c r="J251" s="25">
        <v>1572</v>
      </c>
      <c r="K251" s="26">
        <v>317.57</v>
      </c>
      <c r="L251" s="26">
        <v>4.7699999999999996</v>
      </c>
    </row>
    <row r="252" spans="1:12" ht="16" customHeight="1">
      <c r="A252" t="s">
        <v>297</v>
      </c>
      <c r="B252" t="s">
        <v>6</v>
      </c>
      <c r="C252" t="s">
        <v>19</v>
      </c>
      <c r="D252" s="24">
        <v>45931</v>
      </c>
      <c r="E252" t="s">
        <v>226</v>
      </c>
      <c r="F252" t="s">
        <v>4</v>
      </c>
      <c r="G252" t="s">
        <v>217</v>
      </c>
      <c r="H252" t="s">
        <v>217</v>
      </c>
      <c r="I252" t="s">
        <v>268</v>
      </c>
      <c r="J252" s="25">
        <v>0</v>
      </c>
      <c r="K252" s="26">
        <v>0</v>
      </c>
      <c r="L252" s="26">
        <v>0</v>
      </c>
    </row>
    <row r="253" spans="1:12" ht="16" customHeight="1">
      <c r="A253" t="s">
        <v>297</v>
      </c>
      <c r="B253" t="s">
        <v>6</v>
      </c>
      <c r="C253" t="s">
        <v>19</v>
      </c>
      <c r="D253" s="24">
        <v>45931</v>
      </c>
      <c r="E253" t="s">
        <v>269</v>
      </c>
      <c r="F253" t="s">
        <v>4</v>
      </c>
      <c r="G253" t="s">
        <v>217</v>
      </c>
      <c r="H253" t="s">
        <v>217</v>
      </c>
      <c r="I253" t="s">
        <v>270</v>
      </c>
      <c r="J253" s="25">
        <v>0</v>
      </c>
      <c r="K253" s="26">
        <v>0</v>
      </c>
      <c r="L253" s="26">
        <v>0</v>
      </c>
    </row>
    <row r="254" spans="1:12" ht="16" customHeight="1">
      <c r="A254" t="s">
        <v>298</v>
      </c>
      <c r="B254" t="s">
        <v>7</v>
      </c>
      <c r="C254" t="s">
        <v>19</v>
      </c>
      <c r="D254" s="24">
        <v>45931</v>
      </c>
      <c r="E254" t="s">
        <v>220</v>
      </c>
      <c r="F254" t="s">
        <v>4</v>
      </c>
      <c r="G254" t="s">
        <v>217</v>
      </c>
      <c r="H254" t="s">
        <v>217</v>
      </c>
      <c r="I254" t="s">
        <v>219</v>
      </c>
      <c r="J254" s="25">
        <v>2569744</v>
      </c>
      <c r="K254" s="26">
        <v>524573.18000000005</v>
      </c>
      <c r="L254" s="26">
        <v>4490.16</v>
      </c>
    </row>
    <row r="255" spans="1:12" ht="16" customHeight="1">
      <c r="A255" t="s">
        <v>298</v>
      </c>
      <c r="B255" t="s">
        <v>7</v>
      </c>
      <c r="C255" t="s">
        <v>19</v>
      </c>
      <c r="D255" s="24">
        <v>45931</v>
      </c>
      <c r="E255" t="s">
        <v>222</v>
      </c>
      <c r="F255" t="s">
        <v>4</v>
      </c>
      <c r="G255" t="s">
        <v>217</v>
      </c>
      <c r="H255" t="s">
        <v>217</v>
      </c>
      <c r="I255" t="s">
        <v>221</v>
      </c>
      <c r="J255" s="25">
        <v>30409</v>
      </c>
      <c r="K255" s="26">
        <v>6297.64</v>
      </c>
      <c r="L255" s="26">
        <v>73.59</v>
      </c>
    </row>
    <row r="256" spans="1:12" ht="16" customHeight="1">
      <c r="A256" t="s">
        <v>298</v>
      </c>
      <c r="B256" t="s">
        <v>7</v>
      </c>
      <c r="C256" t="s">
        <v>19</v>
      </c>
      <c r="D256" s="24">
        <v>45931</v>
      </c>
      <c r="E256" t="s">
        <v>296</v>
      </c>
      <c r="F256" t="s">
        <v>4</v>
      </c>
      <c r="G256" t="s">
        <v>217</v>
      </c>
      <c r="H256" t="s">
        <v>217</v>
      </c>
      <c r="I256" t="s">
        <v>223</v>
      </c>
      <c r="J256" s="25">
        <v>427</v>
      </c>
      <c r="K256" s="26">
        <v>73.34</v>
      </c>
      <c r="L256" s="26">
        <v>0.9</v>
      </c>
    </row>
    <row r="257" spans="1:12" ht="16" customHeight="1">
      <c r="A257" t="s">
        <v>298</v>
      </c>
      <c r="B257" t="s">
        <v>7</v>
      </c>
      <c r="C257" t="s">
        <v>19</v>
      </c>
      <c r="D257" s="24">
        <v>45931</v>
      </c>
      <c r="E257" t="s">
        <v>224</v>
      </c>
      <c r="F257" t="s">
        <v>4</v>
      </c>
      <c r="G257" t="s">
        <v>217</v>
      </c>
      <c r="H257" t="s">
        <v>217</v>
      </c>
      <c r="I257" t="s">
        <v>267</v>
      </c>
      <c r="J257" s="25">
        <v>538</v>
      </c>
      <c r="K257" s="26">
        <v>109.46</v>
      </c>
      <c r="L257" s="26">
        <v>1.88</v>
      </c>
    </row>
    <row r="258" spans="1:12" ht="16" customHeight="1">
      <c r="A258" t="s">
        <v>298</v>
      </c>
      <c r="B258" t="s">
        <v>7</v>
      </c>
      <c r="C258" t="s">
        <v>19</v>
      </c>
      <c r="D258" s="24">
        <v>45931</v>
      </c>
      <c r="E258" t="s">
        <v>226</v>
      </c>
      <c r="F258" t="s">
        <v>4</v>
      </c>
      <c r="G258" t="s">
        <v>217</v>
      </c>
      <c r="H258" t="s">
        <v>217</v>
      </c>
      <c r="I258" t="s">
        <v>268</v>
      </c>
      <c r="J258" s="25">
        <v>0</v>
      </c>
      <c r="K258" s="26">
        <v>0</v>
      </c>
      <c r="L258" s="26">
        <v>0</v>
      </c>
    </row>
    <row r="259" spans="1:12" ht="16" customHeight="1">
      <c r="A259" t="s">
        <v>298</v>
      </c>
      <c r="B259" t="s">
        <v>7</v>
      </c>
      <c r="C259" t="s">
        <v>19</v>
      </c>
      <c r="D259" s="24">
        <v>45931</v>
      </c>
      <c r="E259" t="s">
        <v>269</v>
      </c>
      <c r="F259" t="s">
        <v>4</v>
      </c>
      <c r="G259" t="s">
        <v>217</v>
      </c>
      <c r="H259" t="s">
        <v>217</v>
      </c>
      <c r="I259" t="s">
        <v>270</v>
      </c>
      <c r="J259" s="25">
        <v>0</v>
      </c>
      <c r="K259" s="26">
        <v>0</v>
      </c>
      <c r="L259" s="26">
        <v>0</v>
      </c>
    </row>
    <row r="260" spans="1:12" ht="16" customHeight="1">
      <c r="A260" t="s">
        <v>299</v>
      </c>
      <c r="B260" t="s">
        <v>3</v>
      </c>
      <c r="C260" t="s">
        <v>20</v>
      </c>
      <c r="D260" s="24">
        <v>45962</v>
      </c>
      <c r="E260" t="s">
        <v>220</v>
      </c>
      <c r="F260" t="s">
        <v>4</v>
      </c>
      <c r="G260" t="s">
        <v>217</v>
      </c>
      <c r="H260" t="s">
        <v>217</v>
      </c>
      <c r="I260" t="s">
        <v>212</v>
      </c>
      <c r="J260" s="25">
        <v>2228380</v>
      </c>
      <c r="K260" s="26">
        <v>456070.56</v>
      </c>
      <c r="L260" s="26">
        <v>3763.46</v>
      </c>
    </row>
    <row r="261" spans="1:12" ht="16" customHeight="1">
      <c r="A261" t="s">
        <v>299</v>
      </c>
      <c r="B261" t="s">
        <v>3</v>
      </c>
      <c r="C261" t="s">
        <v>20</v>
      </c>
      <c r="D261" s="24">
        <v>45962</v>
      </c>
      <c r="E261" t="s">
        <v>222</v>
      </c>
      <c r="F261" t="s">
        <v>4</v>
      </c>
      <c r="G261" t="s">
        <v>217</v>
      </c>
      <c r="H261" t="s">
        <v>217</v>
      </c>
      <c r="I261" t="s">
        <v>219</v>
      </c>
      <c r="J261" s="25">
        <v>27468</v>
      </c>
      <c r="K261" s="26">
        <v>5641.41</v>
      </c>
      <c r="L261" s="26">
        <v>59.05</v>
      </c>
    </row>
    <row r="262" spans="1:12" ht="16" customHeight="1">
      <c r="A262" t="s">
        <v>299</v>
      </c>
      <c r="B262" t="s">
        <v>3</v>
      </c>
      <c r="C262" t="s">
        <v>20</v>
      </c>
      <c r="D262" s="24">
        <v>45962</v>
      </c>
      <c r="E262" t="s">
        <v>296</v>
      </c>
      <c r="F262" t="s">
        <v>4</v>
      </c>
      <c r="G262" t="s">
        <v>217</v>
      </c>
      <c r="H262" t="s">
        <v>217</v>
      </c>
      <c r="I262" t="s">
        <v>221</v>
      </c>
      <c r="J262" s="25">
        <v>351</v>
      </c>
      <c r="K262" s="26">
        <v>60.25</v>
      </c>
      <c r="L262" s="26">
        <v>0.65</v>
      </c>
    </row>
    <row r="263" spans="1:12" ht="16" customHeight="1">
      <c r="A263" t="s">
        <v>299</v>
      </c>
      <c r="B263" t="s">
        <v>3</v>
      </c>
      <c r="C263" t="s">
        <v>20</v>
      </c>
      <c r="D263" s="24">
        <v>45962</v>
      </c>
      <c r="E263" t="s">
        <v>224</v>
      </c>
      <c r="F263" t="s">
        <v>4</v>
      </c>
      <c r="G263" t="s">
        <v>217</v>
      </c>
      <c r="H263" t="s">
        <v>217</v>
      </c>
      <c r="I263" t="s">
        <v>300</v>
      </c>
      <c r="J263" s="25">
        <v>474</v>
      </c>
      <c r="K263" s="26">
        <v>98.79</v>
      </c>
      <c r="L263" s="26">
        <v>2.11</v>
      </c>
    </row>
    <row r="264" spans="1:12" ht="16" customHeight="1">
      <c r="A264" t="s">
        <v>299</v>
      </c>
      <c r="B264" t="s">
        <v>3</v>
      </c>
      <c r="C264" t="s">
        <v>20</v>
      </c>
      <c r="D264" s="24">
        <v>45962</v>
      </c>
      <c r="E264" t="s">
        <v>226</v>
      </c>
      <c r="F264" t="s">
        <v>4</v>
      </c>
      <c r="G264" t="s">
        <v>217</v>
      </c>
      <c r="H264" t="s">
        <v>217</v>
      </c>
      <c r="I264" t="s">
        <v>301</v>
      </c>
      <c r="J264" s="25">
        <v>0</v>
      </c>
      <c r="K264" s="26">
        <v>0</v>
      </c>
      <c r="L264" s="26">
        <v>0</v>
      </c>
    </row>
    <row r="265" spans="1:12" ht="16" customHeight="1">
      <c r="A265" t="s">
        <v>299</v>
      </c>
      <c r="B265" t="s">
        <v>3</v>
      </c>
      <c r="C265" t="s">
        <v>20</v>
      </c>
      <c r="D265" s="24">
        <v>45962</v>
      </c>
      <c r="E265" t="s">
        <v>269</v>
      </c>
      <c r="F265" t="s">
        <v>4</v>
      </c>
      <c r="G265" t="s">
        <v>217</v>
      </c>
      <c r="H265" t="s">
        <v>217</v>
      </c>
      <c r="I265" t="s">
        <v>302</v>
      </c>
      <c r="J265" s="25">
        <v>0</v>
      </c>
      <c r="K265" s="26">
        <v>0</v>
      </c>
      <c r="L265" s="26">
        <v>0</v>
      </c>
    </row>
    <row r="266" spans="1:12" ht="16" customHeight="1">
      <c r="A266" t="s">
        <v>262</v>
      </c>
      <c r="B266" t="s">
        <v>4</v>
      </c>
      <c r="C266" t="s">
        <v>20</v>
      </c>
      <c r="D266" s="24">
        <v>45962</v>
      </c>
      <c r="E266" t="s">
        <v>220</v>
      </c>
      <c r="F266" t="s">
        <v>4</v>
      </c>
      <c r="G266" t="s">
        <v>217</v>
      </c>
      <c r="H266" t="s">
        <v>217</v>
      </c>
      <c r="I266" t="s">
        <v>212</v>
      </c>
      <c r="J266" s="25">
        <v>1994174</v>
      </c>
      <c r="K266" s="26">
        <v>407528.26</v>
      </c>
      <c r="L266" s="26">
        <v>3150.15</v>
      </c>
    </row>
    <row r="267" spans="1:12" ht="16" customHeight="1">
      <c r="A267" t="s">
        <v>262</v>
      </c>
      <c r="B267" t="s">
        <v>4</v>
      </c>
      <c r="C267" t="s">
        <v>20</v>
      </c>
      <c r="D267" s="24">
        <v>45962</v>
      </c>
      <c r="E267" t="s">
        <v>222</v>
      </c>
      <c r="F267" t="s">
        <v>4</v>
      </c>
      <c r="G267" t="s">
        <v>217</v>
      </c>
      <c r="H267" t="s">
        <v>217</v>
      </c>
      <c r="I267" t="s">
        <v>219</v>
      </c>
      <c r="J267" s="25">
        <v>28187</v>
      </c>
      <c r="K267" s="26">
        <v>5787.67</v>
      </c>
      <c r="L267" s="26">
        <v>55.15</v>
      </c>
    </row>
    <row r="268" spans="1:12" ht="16" customHeight="1">
      <c r="A268" t="s">
        <v>262</v>
      </c>
      <c r="B268" t="s">
        <v>4</v>
      </c>
      <c r="C268" t="s">
        <v>20</v>
      </c>
      <c r="D268" s="24">
        <v>45962</v>
      </c>
      <c r="E268" t="s">
        <v>296</v>
      </c>
      <c r="F268" t="s">
        <v>4</v>
      </c>
      <c r="G268" t="s">
        <v>217</v>
      </c>
      <c r="H268" t="s">
        <v>217</v>
      </c>
      <c r="I268" t="s">
        <v>221</v>
      </c>
      <c r="J268" s="25">
        <v>320</v>
      </c>
      <c r="K268" s="26">
        <v>54.82</v>
      </c>
      <c r="L268" s="26">
        <v>0.57999999999999996</v>
      </c>
    </row>
    <row r="269" spans="1:12" ht="16" customHeight="1">
      <c r="A269" t="s">
        <v>262</v>
      </c>
      <c r="B269" t="s">
        <v>4</v>
      </c>
      <c r="C269" t="s">
        <v>20</v>
      </c>
      <c r="D269" s="24">
        <v>45962</v>
      </c>
      <c r="E269" t="s">
        <v>224</v>
      </c>
      <c r="F269" t="s">
        <v>4</v>
      </c>
      <c r="G269" t="s">
        <v>217</v>
      </c>
      <c r="H269" t="s">
        <v>217</v>
      </c>
      <c r="I269" t="s">
        <v>300</v>
      </c>
      <c r="J269" s="25">
        <v>203</v>
      </c>
      <c r="K269" s="26">
        <v>41.64</v>
      </c>
      <c r="L269" s="26">
        <v>0.8</v>
      </c>
    </row>
    <row r="270" spans="1:12" ht="16" customHeight="1">
      <c r="A270" t="s">
        <v>262</v>
      </c>
      <c r="B270" t="s">
        <v>4</v>
      </c>
      <c r="C270" t="s">
        <v>20</v>
      </c>
      <c r="D270" s="24">
        <v>45962</v>
      </c>
      <c r="E270" t="s">
        <v>226</v>
      </c>
      <c r="F270" t="s">
        <v>4</v>
      </c>
      <c r="G270" t="s">
        <v>217</v>
      </c>
      <c r="H270" t="s">
        <v>217</v>
      </c>
      <c r="I270" t="s">
        <v>301</v>
      </c>
      <c r="J270" s="25">
        <v>0</v>
      </c>
      <c r="K270" s="26">
        <v>0</v>
      </c>
      <c r="L270" s="26">
        <v>0</v>
      </c>
    </row>
    <row r="271" spans="1:12" ht="16" customHeight="1">
      <c r="A271" t="s">
        <v>262</v>
      </c>
      <c r="B271" t="s">
        <v>4</v>
      </c>
      <c r="C271" t="s">
        <v>20</v>
      </c>
      <c r="D271" s="24">
        <v>45962</v>
      </c>
      <c r="E271" t="s">
        <v>269</v>
      </c>
      <c r="F271" t="s">
        <v>4</v>
      </c>
      <c r="G271" t="s">
        <v>217</v>
      </c>
      <c r="H271" t="s">
        <v>217</v>
      </c>
      <c r="I271" t="s">
        <v>302</v>
      </c>
      <c r="J271" s="25">
        <v>0</v>
      </c>
      <c r="K271" s="26">
        <v>0</v>
      </c>
      <c r="L271" s="26">
        <v>0</v>
      </c>
    </row>
    <row r="272" spans="1:12" ht="16" customHeight="1">
      <c r="A272" t="s">
        <v>311</v>
      </c>
      <c r="B272" t="s">
        <v>6</v>
      </c>
      <c r="C272" t="s">
        <v>20</v>
      </c>
      <c r="D272" s="24">
        <v>45962</v>
      </c>
      <c r="E272" t="s">
        <v>220</v>
      </c>
      <c r="F272" t="s">
        <v>4</v>
      </c>
      <c r="G272" t="s">
        <v>217</v>
      </c>
      <c r="H272" t="s">
        <v>217</v>
      </c>
      <c r="I272" t="s">
        <v>212</v>
      </c>
      <c r="J272" s="25">
        <v>2186489</v>
      </c>
      <c r="K272" s="26">
        <v>443814.84</v>
      </c>
      <c r="L272" s="26">
        <v>3345.73</v>
      </c>
    </row>
    <row r="273" spans="1:12" ht="16" customHeight="1">
      <c r="A273" t="s">
        <v>311</v>
      </c>
      <c r="B273" t="s">
        <v>6</v>
      </c>
      <c r="C273" t="s">
        <v>20</v>
      </c>
      <c r="D273" s="24">
        <v>45962</v>
      </c>
      <c r="E273" t="s">
        <v>222</v>
      </c>
      <c r="F273" t="s">
        <v>4</v>
      </c>
      <c r="G273" t="s">
        <v>217</v>
      </c>
      <c r="H273" t="s">
        <v>217</v>
      </c>
      <c r="I273" t="s">
        <v>219</v>
      </c>
      <c r="J273" s="25">
        <v>38633</v>
      </c>
      <c r="K273" s="26">
        <v>7937.71</v>
      </c>
      <c r="L273" s="26">
        <v>73.739999999999995</v>
      </c>
    </row>
    <row r="274" spans="1:12" ht="16" customHeight="1">
      <c r="A274" t="s">
        <v>311</v>
      </c>
      <c r="B274" t="s">
        <v>6</v>
      </c>
      <c r="C274" t="s">
        <v>20</v>
      </c>
      <c r="D274" s="24">
        <v>45962</v>
      </c>
      <c r="E274" t="s">
        <v>296</v>
      </c>
      <c r="F274" t="s">
        <v>4</v>
      </c>
      <c r="G274" t="s">
        <v>217</v>
      </c>
      <c r="H274" t="s">
        <v>217</v>
      </c>
      <c r="I274" t="s">
        <v>221</v>
      </c>
      <c r="J274" s="25">
        <v>831</v>
      </c>
      <c r="K274" s="26">
        <v>144.27000000000001</v>
      </c>
      <c r="L274" s="26">
        <v>1.87</v>
      </c>
    </row>
    <row r="275" spans="1:12" ht="16" customHeight="1">
      <c r="A275" t="s">
        <v>311</v>
      </c>
      <c r="B275" t="s">
        <v>6</v>
      </c>
      <c r="C275" t="s">
        <v>20</v>
      </c>
      <c r="D275" s="24">
        <v>45962</v>
      </c>
      <c r="E275" t="s">
        <v>224</v>
      </c>
      <c r="F275" t="s">
        <v>4</v>
      </c>
      <c r="G275" t="s">
        <v>217</v>
      </c>
      <c r="H275" t="s">
        <v>217</v>
      </c>
      <c r="I275" t="s">
        <v>300</v>
      </c>
      <c r="J275" s="25">
        <v>296</v>
      </c>
      <c r="K275" s="26">
        <v>60.95</v>
      </c>
      <c r="L275" s="26">
        <v>1.0900000000000001</v>
      </c>
    </row>
    <row r="276" spans="1:12" ht="16" customHeight="1">
      <c r="A276" t="s">
        <v>311</v>
      </c>
      <c r="B276" t="s">
        <v>6</v>
      </c>
      <c r="C276" t="s">
        <v>20</v>
      </c>
      <c r="D276" s="24">
        <v>45962</v>
      </c>
      <c r="E276" t="s">
        <v>226</v>
      </c>
      <c r="F276" t="s">
        <v>4</v>
      </c>
      <c r="G276" t="s">
        <v>217</v>
      </c>
      <c r="H276" t="s">
        <v>217</v>
      </c>
      <c r="I276" t="s">
        <v>301</v>
      </c>
      <c r="J276" s="25">
        <v>0</v>
      </c>
      <c r="K276" s="26">
        <v>0</v>
      </c>
      <c r="L276" s="26">
        <v>0</v>
      </c>
    </row>
    <row r="277" spans="1:12" ht="16" customHeight="1">
      <c r="A277" t="s">
        <v>311</v>
      </c>
      <c r="B277" t="s">
        <v>6</v>
      </c>
      <c r="C277" t="s">
        <v>20</v>
      </c>
      <c r="D277" s="24">
        <v>45962</v>
      </c>
      <c r="E277" t="s">
        <v>269</v>
      </c>
      <c r="F277" t="s">
        <v>4</v>
      </c>
      <c r="G277" t="s">
        <v>217</v>
      </c>
      <c r="H277" t="s">
        <v>217</v>
      </c>
      <c r="I277" t="s">
        <v>302</v>
      </c>
      <c r="J277" s="25">
        <v>0</v>
      </c>
      <c r="K277" s="26">
        <v>0</v>
      </c>
      <c r="L277" s="26">
        <v>0</v>
      </c>
    </row>
    <row r="278" spans="1:12" ht="16" customHeight="1">
      <c r="A278" t="s">
        <v>313</v>
      </c>
      <c r="B278" t="s">
        <v>7</v>
      </c>
      <c r="C278" t="s">
        <v>20</v>
      </c>
      <c r="D278" s="24">
        <v>45962</v>
      </c>
      <c r="E278" t="s">
        <v>220</v>
      </c>
      <c r="F278" t="s">
        <v>4</v>
      </c>
      <c r="G278" t="s">
        <v>217</v>
      </c>
      <c r="H278" t="s">
        <v>217</v>
      </c>
      <c r="I278" t="s">
        <v>212</v>
      </c>
      <c r="J278" s="25">
        <v>3649590</v>
      </c>
      <c r="K278" s="26">
        <v>740422.29</v>
      </c>
      <c r="L278" s="26">
        <v>5274.41</v>
      </c>
    </row>
    <row r="279" spans="1:12" ht="16" customHeight="1">
      <c r="A279" t="s">
        <v>313</v>
      </c>
      <c r="B279" t="s">
        <v>7</v>
      </c>
      <c r="C279" t="s">
        <v>20</v>
      </c>
      <c r="D279" s="24">
        <v>45962</v>
      </c>
      <c r="E279" t="s">
        <v>222</v>
      </c>
      <c r="F279" t="s">
        <v>4</v>
      </c>
      <c r="G279" t="s">
        <v>217</v>
      </c>
      <c r="H279" t="s">
        <v>217</v>
      </c>
      <c r="I279" t="s">
        <v>219</v>
      </c>
      <c r="J279" s="25">
        <v>77834</v>
      </c>
      <c r="K279" s="26">
        <v>15947.62</v>
      </c>
      <c r="L279" s="26">
        <v>140.30000000000001</v>
      </c>
    </row>
    <row r="280" spans="1:12" ht="16" customHeight="1">
      <c r="A280" t="s">
        <v>313</v>
      </c>
      <c r="B280" t="s">
        <v>7</v>
      </c>
      <c r="C280" t="s">
        <v>20</v>
      </c>
      <c r="D280" s="24">
        <v>45962</v>
      </c>
      <c r="E280" t="s">
        <v>296</v>
      </c>
      <c r="F280" t="s">
        <v>4</v>
      </c>
      <c r="G280" t="s">
        <v>217</v>
      </c>
      <c r="H280" t="s">
        <v>217</v>
      </c>
      <c r="I280" t="s">
        <v>221</v>
      </c>
      <c r="J280" s="25">
        <v>3310</v>
      </c>
      <c r="K280" s="26">
        <v>565.49</v>
      </c>
      <c r="L280" s="26">
        <v>6.41</v>
      </c>
    </row>
    <row r="281" spans="1:12" ht="16" customHeight="1">
      <c r="A281" t="s">
        <v>313</v>
      </c>
      <c r="B281" t="s">
        <v>7</v>
      </c>
      <c r="C281" t="s">
        <v>20</v>
      </c>
      <c r="D281" s="24">
        <v>45962</v>
      </c>
      <c r="E281" t="s">
        <v>224</v>
      </c>
      <c r="F281" t="s">
        <v>4</v>
      </c>
      <c r="G281" t="s">
        <v>217</v>
      </c>
      <c r="H281" t="s">
        <v>217</v>
      </c>
      <c r="I281" t="s">
        <v>300</v>
      </c>
      <c r="J281" s="25">
        <v>695</v>
      </c>
      <c r="K281" s="26">
        <v>141.05000000000001</v>
      </c>
      <c r="L281" s="26">
        <v>2.21</v>
      </c>
    </row>
    <row r="282" spans="1:12" ht="16" customHeight="1">
      <c r="A282" t="s">
        <v>313</v>
      </c>
      <c r="B282" t="s">
        <v>7</v>
      </c>
      <c r="C282" t="s">
        <v>20</v>
      </c>
      <c r="D282" s="24">
        <v>45962</v>
      </c>
      <c r="E282" t="s">
        <v>226</v>
      </c>
      <c r="F282" t="s">
        <v>4</v>
      </c>
      <c r="G282" t="s">
        <v>217</v>
      </c>
      <c r="H282" t="s">
        <v>217</v>
      </c>
      <c r="I282" t="s">
        <v>301</v>
      </c>
      <c r="J282" s="25">
        <v>0</v>
      </c>
      <c r="K282" s="26">
        <v>0</v>
      </c>
      <c r="L282" s="26">
        <v>0</v>
      </c>
    </row>
    <row r="283" spans="1:12" ht="16" customHeight="1">
      <c r="A283" t="s">
        <v>313</v>
      </c>
      <c r="B283" t="s">
        <v>7</v>
      </c>
      <c r="C283" t="s">
        <v>20</v>
      </c>
      <c r="D283" s="24">
        <v>45962</v>
      </c>
      <c r="E283" t="s">
        <v>269</v>
      </c>
      <c r="F283" t="s">
        <v>4</v>
      </c>
      <c r="G283" t="s">
        <v>217</v>
      </c>
      <c r="H283" t="s">
        <v>217</v>
      </c>
      <c r="I283" t="s">
        <v>302</v>
      </c>
      <c r="J283" s="25">
        <v>0</v>
      </c>
      <c r="K283" s="26">
        <v>0</v>
      </c>
      <c r="L283" s="26">
        <v>0</v>
      </c>
    </row>
    <row r="284" spans="1:12" ht="16" customHeight="1">
      <c r="A284" t="s">
        <v>314</v>
      </c>
      <c r="B284" t="s">
        <v>3</v>
      </c>
      <c r="C284" t="s">
        <v>21</v>
      </c>
      <c r="D284" s="24">
        <v>45962</v>
      </c>
      <c r="E284" t="s">
        <v>220</v>
      </c>
      <c r="F284" t="s">
        <v>4</v>
      </c>
      <c r="G284" t="s">
        <v>217</v>
      </c>
      <c r="H284" t="s">
        <v>217</v>
      </c>
      <c r="I284" t="s">
        <v>212</v>
      </c>
      <c r="J284" s="25">
        <v>2241174</v>
      </c>
      <c r="K284" s="26">
        <v>455881.52</v>
      </c>
      <c r="L284" s="26">
        <v>3166.4</v>
      </c>
    </row>
    <row r="285" spans="1:12" ht="16" customHeight="1">
      <c r="A285" t="s">
        <v>314</v>
      </c>
      <c r="B285" t="s">
        <v>3</v>
      </c>
      <c r="C285" t="s">
        <v>21</v>
      </c>
      <c r="D285" s="24">
        <v>45962</v>
      </c>
      <c r="E285" t="s">
        <v>222</v>
      </c>
      <c r="F285" t="s">
        <v>4</v>
      </c>
      <c r="G285" t="s">
        <v>217</v>
      </c>
      <c r="H285" t="s">
        <v>217</v>
      </c>
      <c r="I285" t="s">
        <v>219</v>
      </c>
      <c r="J285" s="25">
        <v>33783</v>
      </c>
      <c r="K285" s="26">
        <v>6861.12</v>
      </c>
      <c r="L285" s="26">
        <v>56.43</v>
      </c>
    </row>
    <row r="286" spans="1:12" ht="16" customHeight="1">
      <c r="A286" t="s">
        <v>314</v>
      </c>
      <c r="B286" t="s">
        <v>3</v>
      </c>
      <c r="C286" t="s">
        <v>21</v>
      </c>
      <c r="D286" s="24">
        <v>45962</v>
      </c>
      <c r="E286" t="s">
        <v>296</v>
      </c>
      <c r="F286" t="s">
        <v>4</v>
      </c>
      <c r="G286" t="s">
        <v>217</v>
      </c>
      <c r="H286" t="s">
        <v>217</v>
      </c>
      <c r="I286" t="s">
        <v>221</v>
      </c>
      <c r="J286" s="25">
        <v>1569</v>
      </c>
      <c r="K286" s="26">
        <v>273.35000000000002</v>
      </c>
      <c r="L286" s="26">
        <v>3.77</v>
      </c>
    </row>
    <row r="287" spans="1:12" ht="16" customHeight="1">
      <c r="A287" t="s">
        <v>314</v>
      </c>
      <c r="B287" t="s">
        <v>3</v>
      </c>
      <c r="C287" t="s">
        <v>21</v>
      </c>
      <c r="D287" s="24">
        <v>45962</v>
      </c>
      <c r="E287" t="s">
        <v>224</v>
      </c>
      <c r="F287" t="s">
        <v>4</v>
      </c>
      <c r="G287" t="s">
        <v>217</v>
      </c>
      <c r="H287" t="s">
        <v>217</v>
      </c>
      <c r="I287" t="s">
        <v>300</v>
      </c>
      <c r="J287" s="25">
        <v>301</v>
      </c>
      <c r="K287" s="26">
        <v>61.9</v>
      </c>
      <c r="L287" s="26">
        <v>1.06</v>
      </c>
    </row>
    <row r="288" spans="1:12" ht="16" customHeight="1">
      <c r="A288" t="s">
        <v>314</v>
      </c>
      <c r="B288" t="s">
        <v>3</v>
      </c>
      <c r="C288" t="s">
        <v>21</v>
      </c>
      <c r="D288" s="24">
        <v>45962</v>
      </c>
      <c r="E288" t="s">
        <v>226</v>
      </c>
      <c r="F288" t="s">
        <v>4</v>
      </c>
      <c r="G288" t="s">
        <v>217</v>
      </c>
      <c r="H288" t="s">
        <v>217</v>
      </c>
      <c r="I288" t="s">
        <v>301</v>
      </c>
      <c r="J288" s="25">
        <v>0</v>
      </c>
      <c r="K288" s="26">
        <v>0</v>
      </c>
      <c r="L288" s="26">
        <v>0</v>
      </c>
    </row>
    <row r="289" spans="1:12" ht="16" customHeight="1">
      <c r="A289" t="s">
        <v>314</v>
      </c>
      <c r="B289" t="s">
        <v>3</v>
      </c>
      <c r="C289" t="s">
        <v>21</v>
      </c>
      <c r="D289" s="24">
        <v>45962</v>
      </c>
      <c r="E289" t="s">
        <v>269</v>
      </c>
      <c r="F289" t="s">
        <v>4</v>
      </c>
      <c r="G289" t="s">
        <v>217</v>
      </c>
      <c r="H289" t="s">
        <v>217</v>
      </c>
      <c r="I289" t="s">
        <v>302</v>
      </c>
      <c r="J289" s="25">
        <v>0</v>
      </c>
      <c r="K289" s="26">
        <v>0</v>
      </c>
      <c r="L289" s="26">
        <v>0</v>
      </c>
    </row>
    <row r="290" spans="1:12" ht="16" customHeight="1">
      <c r="A290" t="s">
        <v>282</v>
      </c>
      <c r="B290" t="s">
        <v>4</v>
      </c>
      <c r="C290" t="s">
        <v>21</v>
      </c>
      <c r="D290" s="24">
        <v>45962</v>
      </c>
      <c r="E290" t="s">
        <v>220</v>
      </c>
      <c r="F290" t="s">
        <v>4</v>
      </c>
      <c r="G290" t="s">
        <v>217</v>
      </c>
      <c r="H290" t="s">
        <v>217</v>
      </c>
      <c r="I290" t="s">
        <v>212</v>
      </c>
      <c r="J290" s="25">
        <v>2918580</v>
      </c>
      <c r="K290" s="26">
        <v>591850.82999999996</v>
      </c>
      <c r="L290" s="26">
        <v>4047.73</v>
      </c>
    </row>
    <row r="291" spans="1:12" ht="16" customHeight="1">
      <c r="A291" t="s">
        <v>282</v>
      </c>
      <c r="B291" t="s">
        <v>4</v>
      </c>
      <c r="C291" t="s">
        <v>21</v>
      </c>
      <c r="D291" s="24">
        <v>45962</v>
      </c>
      <c r="E291" t="s">
        <v>222</v>
      </c>
      <c r="F291" t="s">
        <v>4</v>
      </c>
      <c r="G291" t="s">
        <v>217</v>
      </c>
      <c r="H291" t="s">
        <v>217</v>
      </c>
      <c r="I291" t="s">
        <v>219</v>
      </c>
      <c r="J291" s="25">
        <v>52106</v>
      </c>
      <c r="K291" s="26">
        <v>10684.88</v>
      </c>
      <c r="L291" s="26">
        <v>100.8</v>
      </c>
    </row>
    <row r="292" spans="1:12" ht="16" customHeight="1">
      <c r="A292" t="s">
        <v>282</v>
      </c>
      <c r="B292" t="s">
        <v>4</v>
      </c>
      <c r="C292" t="s">
        <v>21</v>
      </c>
      <c r="D292" s="24">
        <v>45962</v>
      </c>
      <c r="E292" t="s">
        <v>296</v>
      </c>
      <c r="F292" t="s">
        <v>4</v>
      </c>
      <c r="G292" t="s">
        <v>217</v>
      </c>
      <c r="H292" t="s">
        <v>217</v>
      </c>
      <c r="I292" t="s">
        <v>221</v>
      </c>
      <c r="J292" s="25">
        <v>2356</v>
      </c>
      <c r="K292" s="26">
        <v>408.17</v>
      </c>
      <c r="L292" s="26">
        <v>5.08</v>
      </c>
    </row>
    <row r="293" spans="1:12" ht="16" customHeight="1">
      <c r="A293" t="s">
        <v>282</v>
      </c>
      <c r="B293" t="s">
        <v>4</v>
      </c>
      <c r="C293" t="s">
        <v>21</v>
      </c>
      <c r="D293" s="24">
        <v>45962</v>
      </c>
      <c r="E293" t="s">
        <v>224</v>
      </c>
      <c r="F293" t="s">
        <v>4</v>
      </c>
      <c r="G293" t="s">
        <v>217</v>
      </c>
      <c r="H293" t="s">
        <v>217</v>
      </c>
      <c r="I293" t="s">
        <v>300</v>
      </c>
      <c r="J293" s="25">
        <v>533</v>
      </c>
      <c r="K293" s="26">
        <v>109.25</v>
      </c>
      <c r="L293" s="26">
        <v>1.8</v>
      </c>
    </row>
    <row r="294" spans="1:12" ht="16" customHeight="1">
      <c r="A294" t="s">
        <v>282</v>
      </c>
      <c r="B294" t="s">
        <v>4</v>
      </c>
      <c r="C294" t="s">
        <v>21</v>
      </c>
      <c r="D294" s="24">
        <v>45962</v>
      </c>
      <c r="E294" t="s">
        <v>226</v>
      </c>
      <c r="F294" t="s">
        <v>4</v>
      </c>
      <c r="G294" t="s">
        <v>217</v>
      </c>
      <c r="H294" t="s">
        <v>217</v>
      </c>
      <c r="I294" t="s">
        <v>301</v>
      </c>
      <c r="J294" s="25">
        <v>0</v>
      </c>
      <c r="K294" s="26">
        <v>0</v>
      </c>
      <c r="L294" s="26">
        <v>0</v>
      </c>
    </row>
    <row r="295" spans="1:12" ht="16" customHeight="1">
      <c r="A295" t="s">
        <v>282</v>
      </c>
      <c r="B295" t="s">
        <v>4</v>
      </c>
      <c r="C295" t="s">
        <v>21</v>
      </c>
      <c r="D295" s="24">
        <v>45962</v>
      </c>
      <c r="E295" t="s">
        <v>269</v>
      </c>
      <c r="F295" t="s">
        <v>4</v>
      </c>
      <c r="G295" t="s">
        <v>217</v>
      </c>
      <c r="H295" t="s">
        <v>217</v>
      </c>
      <c r="I295" t="s">
        <v>302</v>
      </c>
      <c r="J295" s="25">
        <v>0</v>
      </c>
      <c r="K295" s="26">
        <v>0</v>
      </c>
      <c r="L295" s="26">
        <v>0</v>
      </c>
    </row>
    <row r="296" spans="1:12" ht="16" customHeight="1">
      <c r="A296" t="s">
        <v>315</v>
      </c>
      <c r="B296" t="s">
        <v>5</v>
      </c>
      <c r="C296" t="s">
        <v>21</v>
      </c>
      <c r="D296" s="24">
        <v>45962</v>
      </c>
      <c r="E296" t="s">
        <v>220</v>
      </c>
      <c r="F296" t="s">
        <v>4</v>
      </c>
      <c r="G296" t="s">
        <v>217</v>
      </c>
      <c r="H296" t="s">
        <v>217</v>
      </c>
      <c r="I296" t="s">
        <v>212</v>
      </c>
      <c r="J296" s="25">
        <v>2822988</v>
      </c>
      <c r="K296" s="26">
        <v>574436.81999999995</v>
      </c>
      <c r="L296" s="26">
        <v>3716.54</v>
      </c>
    </row>
    <row r="297" spans="1:12" ht="16" customHeight="1">
      <c r="A297" t="s">
        <v>315</v>
      </c>
      <c r="B297" t="s">
        <v>5</v>
      </c>
      <c r="C297" t="s">
        <v>21</v>
      </c>
      <c r="D297" s="24">
        <v>45962</v>
      </c>
      <c r="E297" t="s">
        <v>222</v>
      </c>
      <c r="F297" t="s">
        <v>4</v>
      </c>
      <c r="G297" t="s">
        <v>217</v>
      </c>
      <c r="H297" t="s">
        <v>217</v>
      </c>
      <c r="I297" t="s">
        <v>219</v>
      </c>
      <c r="J297" s="25">
        <v>60386</v>
      </c>
      <c r="K297" s="26">
        <v>12238.52</v>
      </c>
      <c r="L297" s="26">
        <v>104.3</v>
      </c>
    </row>
    <row r="298" spans="1:12" ht="16" customHeight="1">
      <c r="A298" t="s">
        <v>315</v>
      </c>
      <c r="B298" t="s">
        <v>5</v>
      </c>
      <c r="C298" t="s">
        <v>21</v>
      </c>
      <c r="D298" s="24">
        <v>45962</v>
      </c>
      <c r="E298" t="s">
        <v>296</v>
      </c>
      <c r="F298" t="s">
        <v>4</v>
      </c>
      <c r="G298" t="s">
        <v>217</v>
      </c>
      <c r="H298" t="s">
        <v>217</v>
      </c>
      <c r="I298" t="s">
        <v>221</v>
      </c>
      <c r="J298" s="25">
        <v>2598</v>
      </c>
      <c r="K298" s="26">
        <v>447.3</v>
      </c>
      <c r="L298" s="26">
        <v>4.7</v>
      </c>
    </row>
    <row r="299" spans="1:12" ht="16" customHeight="1">
      <c r="A299" t="s">
        <v>315</v>
      </c>
      <c r="B299" t="s">
        <v>5</v>
      </c>
      <c r="C299" t="s">
        <v>21</v>
      </c>
      <c r="D299" s="24">
        <v>45962</v>
      </c>
      <c r="E299" t="s">
        <v>224</v>
      </c>
      <c r="F299" t="s">
        <v>4</v>
      </c>
      <c r="G299" t="s">
        <v>217</v>
      </c>
      <c r="H299" t="s">
        <v>217</v>
      </c>
      <c r="I299" t="s">
        <v>300</v>
      </c>
      <c r="J299" s="25">
        <v>491</v>
      </c>
      <c r="K299" s="26">
        <v>100.57</v>
      </c>
      <c r="L299" s="26">
        <v>1.58</v>
      </c>
    </row>
    <row r="300" spans="1:12" ht="16" customHeight="1">
      <c r="A300" t="s">
        <v>315</v>
      </c>
      <c r="B300" t="s">
        <v>5</v>
      </c>
      <c r="C300" t="s">
        <v>21</v>
      </c>
      <c r="D300" s="24">
        <v>45962</v>
      </c>
      <c r="E300" t="s">
        <v>226</v>
      </c>
      <c r="F300" t="s">
        <v>4</v>
      </c>
      <c r="G300" t="s">
        <v>217</v>
      </c>
      <c r="H300" t="s">
        <v>217</v>
      </c>
      <c r="I300" t="s">
        <v>301</v>
      </c>
      <c r="J300" s="25">
        <v>0</v>
      </c>
      <c r="K300" s="26">
        <v>0</v>
      </c>
      <c r="L300" s="26">
        <v>0</v>
      </c>
    </row>
    <row r="301" spans="1:12" ht="16" customHeight="1">
      <c r="A301" t="s">
        <v>315</v>
      </c>
      <c r="B301" t="s">
        <v>5</v>
      </c>
      <c r="C301" t="s">
        <v>21</v>
      </c>
      <c r="D301" s="24">
        <v>45962</v>
      </c>
      <c r="E301" t="s">
        <v>269</v>
      </c>
      <c r="F301" t="s">
        <v>4</v>
      </c>
      <c r="G301" t="s">
        <v>217</v>
      </c>
      <c r="H301" t="s">
        <v>217</v>
      </c>
      <c r="I301" t="s">
        <v>302</v>
      </c>
      <c r="J301" s="25">
        <v>0</v>
      </c>
      <c r="K301" s="26">
        <v>0</v>
      </c>
      <c r="L301" s="26">
        <v>0</v>
      </c>
    </row>
    <row r="302" spans="1:12" ht="16" customHeight="1">
      <c r="A302" t="s">
        <v>317</v>
      </c>
      <c r="B302" t="s">
        <v>6</v>
      </c>
      <c r="C302" t="s">
        <v>21</v>
      </c>
      <c r="D302" s="24">
        <v>45962</v>
      </c>
      <c r="E302" t="s">
        <v>220</v>
      </c>
      <c r="F302" t="s">
        <v>4</v>
      </c>
      <c r="G302" t="s">
        <v>217</v>
      </c>
      <c r="H302" t="s">
        <v>217</v>
      </c>
      <c r="I302" t="s">
        <v>212</v>
      </c>
      <c r="J302" s="25">
        <v>3111743</v>
      </c>
      <c r="K302" s="26">
        <v>636305.03</v>
      </c>
      <c r="L302" s="26">
        <v>3959.13</v>
      </c>
    </row>
    <row r="303" spans="1:12" ht="16" customHeight="1">
      <c r="A303" t="s">
        <v>317</v>
      </c>
      <c r="B303" t="s">
        <v>6</v>
      </c>
      <c r="C303" t="s">
        <v>21</v>
      </c>
      <c r="D303" s="24">
        <v>45962</v>
      </c>
      <c r="E303" t="s">
        <v>222</v>
      </c>
      <c r="F303" t="s">
        <v>4</v>
      </c>
      <c r="G303" t="s">
        <v>217</v>
      </c>
      <c r="H303" t="s">
        <v>217</v>
      </c>
      <c r="I303" t="s">
        <v>219</v>
      </c>
      <c r="J303" s="25">
        <v>72337</v>
      </c>
      <c r="K303" s="26">
        <v>14873.16</v>
      </c>
      <c r="L303" s="26">
        <v>139.86000000000001</v>
      </c>
    </row>
    <row r="304" spans="1:12" ht="16" customHeight="1">
      <c r="A304" t="s">
        <v>317</v>
      </c>
      <c r="B304" t="s">
        <v>6</v>
      </c>
      <c r="C304" t="s">
        <v>21</v>
      </c>
      <c r="D304" s="24">
        <v>45962</v>
      </c>
      <c r="E304" t="s">
        <v>296</v>
      </c>
      <c r="F304" t="s">
        <v>4</v>
      </c>
      <c r="G304" t="s">
        <v>217</v>
      </c>
      <c r="H304" t="s">
        <v>217</v>
      </c>
      <c r="I304" t="s">
        <v>221</v>
      </c>
      <c r="J304" s="25">
        <v>4137</v>
      </c>
      <c r="K304" s="26">
        <v>729.5</v>
      </c>
      <c r="L304" s="26">
        <v>10.9</v>
      </c>
    </row>
    <row r="305" spans="1:12" ht="16" customHeight="1">
      <c r="A305" t="s">
        <v>317</v>
      </c>
      <c r="B305" t="s">
        <v>6</v>
      </c>
      <c r="C305" t="s">
        <v>21</v>
      </c>
      <c r="D305" s="24">
        <v>45962</v>
      </c>
      <c r="E305" t="s">
        <v>224</v>
      </c>
      <c r="F305" t="s">
        <v>4</v>
      </c>
      <c r="G305" t="s">
        <v>217</v>
      </c>
      <c r="H305" t="s">
        <v>217</v>
      </c>
      <c r="I305" t="s">
        <v>300</v>
      </c>
      <c r="J305" s="25">
        <v>767</v>
      </c>
      <c r="K305" s="26">
        <v>156.44</v>
      </c>
      <c r="L305" s="26">
        <v>2.2999999999999998</v>
      </c>
    </row>
    <row r="306" spans="1:12" ht="16" customHeight="1">
      <c r="A306" t="s">
        <v>317</v>
      </c>
      <c r="B306" t="s">
        <v>6</v>
      </c>
      <c r="C306" t="s">
        <v>21</v>
      </c>
      <c r="D306" s="24">
        <v>45962</v>
      </c>
      <c r="E306" t="s">
        <v>226</v>
      </c>
      <c r="F306" t="s">
        <v>4</v>
      </c>
      <c r="G306" t="s">
        <v>217</v>
      </c>
      <c r="H306" t="s">
        <v>217</v>
      </c>
      <c r="I306" t="s">
        <v>301</v>
      </c>
      <c r="J306" s="25">
        <v>0</v>
      </c>
      <c r="K306" s="26">
        <v>0</v>
      </c>
      <c r="L306" s="26">
        <v>0</v>
      </c>
    </row>
    <row r="307" spans="1:12" ht="16" customHeight="1">
      <c r="A307" t="s">
        <v>317</v>
      </c>
      <c r="B307" t="s">
        <v>6</v>
      </c>
      <c r="C307" t="s">
        <v>21</v>
      </c>
      <c r="D307" s="24">
        <v>45962</v>
      </c>
      <c r="E307" t="s">
        <v>269</v>
      </c>
      <c r="F307" t="s">
        <v>4</v>
      </c>
      <c r="G307" t="s">
        <v>217</v>
      </c>
      <c r="H307" t="s">
        <v>217</v>
      </c>
      <c r="I307" t="s">
        <v>302</v>
      </c>
      <c r="J307" s="25">
        <v>0</v>
      </c>
      <c r="K307" s="26">
        <v>0</v>
      </c>
      <c r="L307" s="26">
        <v>0</v>
      </c>
    </row>
    <row r="308" spans="1:12" ht="16" customHeight="1">
      <c r="A308" t="s">
        <v>318</v>
      </c>
      <c r="B308" t="s">
        <v>7</v>
      </c>
      <c r="C308" t="s">
        <v>21</v>
      </c>
      <c r="D308" s="24">
        <v>45962</v>
      </c>
      <c r="E308" t="s">
        <v>220</v>
      </c>
      <c r="F308" t="s">
        <v>4</v>
      </c>
      <c r="G308" t="s">
        <v>217</v>
      </c>
      <c r="H308" t="s">
        <v>217</v>
      </c>
      <c r="I308" t="s">
        <v>212</v>
      </c>
      <c r="J308" s="25">
        <v>3462484</v>
      </c>
      <c r="K308" s="26">
        <v>707980.5</v>
      </c>
      <c r="L308" s="26">
        <v>4143.6400000000003</v>
      </c>
    </row>
    <row r="309" spans="1:12" ht="16" customHeight="1">
      <c r="A309" t="s">
        <v>318</v>
      </c>
      <c r="B309" t="s">
        <v>7</v>
      </c>
      <c r="C309" t="s">
        <v>21</v>
      </c>
      <c r="D309" s="24">
        <v>45962</v>
      </c>
      <c r="E309" t="s">
        <v>222</v>
      </c>
      <c r="F309" t="s">
        <v>4</v>
      </c>
      <c r="G309" t="s">
        <v>217</v>
      </c>
      <c r="H309" t="s">
        <v>217</v>
      </c>
      <c r="I309" t="s">
        <v>219</v>
      </c>
      <c r="J309" s="25">
        <v>68514</v>
      </c>
      <c r="K309" s="26">
        <v>14089.27</v>
      </c>
      <c r="L309" s="26">
        <v>133.1</v>
      </c>
    </row>
    <row r="310" spans="1:12" ht="16" customHeight="1">
      <c r="A310" t="s">
        <v>318</v>
      </c>
      <c r="B310" t="s">
        <v>7</v>
      </c>
      <c r="C310" t="s">
        <v>21</v>
      </c>
      <c r="D310" s="24">
        <v>45962</v>
      </c>
      <c r="E310" t="s">
        <v>296</v>
      </c>
      <c r="F310" t="s">
        <v>4</v>
      </c>
      <c r="G310" t="s">
        <v>217</v>
      </c>
      <c r="H310" t="s">
        <v>217</v>
      </c>
      <c r="I310" t="s">
        <v>221</v>
      </c>
      <c r="J310" s="25">
        <v>2813</v>
      </c>
      <c r="K310" s="26">
        <v>496.43</v>
      </c>
      <c r="L310" s="26">
        <v>7.44</v>
      </c>
    </row>
    <row r="311" spans="1:12" ht="16" customHeight="1">
      <c r="A311" t="s">
        <v>318</v>
      </c>
      <c r="B311" t="s">
        <v>7</v>
      </c>
      <c r="C311" t="s">
        <v>21</v>
      </c>
      <c r="D311" s="24">
        <v>45962</v>
      </c>
      <c r="E311" t="s">
        <v>224</v>
      </c>
      <c r="F311" t="s">
        <v>4</v>
      </c>
      <c r="G311" t="s">
        <v>217</v>
      </c>
      <c r="H311" t="s">
        <v>217</v>
      </c>
      <c r="I311" t="s">
        <v>300</v>
      </c>
      <c r="J311" s="25">
        <v>740</v>
      </c>
      <c r="K311" s="26">
        <v>152.06</v>
      </c>
      <c r="L311" s="26">
        <v>2.6</v>
      </c>
    </row>
    <row r="312" spans="1:12" ht="16" customHeight="1">
      <c r="A312" t="s">
        <v>318</v>
      </c>
      <c r="B312" t="s">
        <v>7</v>
      </c>
      <c r="C312" t="s">
        <v>21</v>
      </c>
      <c r="D312" s="24">
        <v>45962</v>
      </c>
      <c r="E312" t="s">
        <v>226</v>
      </c>
      <c r="F312" t="s">
        <v>4</v>
      </c>
      <c r="G312" t="s">
        <v>217</v>
      </c>
      <c r="H312" t="s">
        <v>217</v>
      </c>
      <c r="I312" t="s">
        <v>301</v>
      </c>
      <c r="J312" s="25">
        <v>0</v>
      </c>
      <c r="K312" s="26">
        <v>0</v>
      </c>
      <c r="L312" s="26">
        <v>0</v>
      </c>
    </row>
    <row r="313" spans="1:12" ht="16" customHeight="1">
      <c r="A313" t="s">
        <v>318</v>
      </c>
      <c r="B313" t="s">
        <v>7</v>
      </c>
      <c r="C313" t="s">
        <v>21</v>
      </c>
      <c r="D313" s="24">
        <v>45962</v>
      </c>
      <c r="E313" t="s">
        <v>269</v>
      </c>
      <c r="F313" t="s">
        <v>4</v>
      </c>
      <c r="G313" t="s">
        <v>217</v>
      </c>
      <c r="H313" t="s">
        <v>217</v>
      </c>
      <c r="I313" t="s">
        <v>302</v>
      </c>
      <c r="J313" s="25">
        <v>0</v>
      </c>
      <c r="K313" s="26">
        <v>0</v>
      </c>
      <c r="L313" s="26">
        <v>0</v>
      </c>
    </row>
    <row r="314" spans="1:12" ht="16" customHeight="1">
      <c r="A314" t="s">
        <v>319</v>
      </c>
      <c r="B314" t="s">
        <v>3</v>
      </c>
      <c r="C314" t="s">
        <v>22</v>
      </c>
      <c r="D314" s="24">
        <v>45962</v>
      </c>
      <c r="E314" t="s">
        <v>220</v>
      </c>
      <c r="F314" t="s">
        <v>4</v>
      </c>
      <c r="G314" t="s">
        <v>217</v>
      </c>
      <c r="H314" t="s">
        <v>217</v>
      </c>
      <c r="I314" t="s">
        <v>212</v>
      </c>
      <c r="J314" s="25">
        <v>3637020</v>
      </c>
      <c r="K314" s="26">
        <v>745354.8</v>
      </c>
      <c r="L314" s="26">
        <v>3807.17</v>
      </c>
    </row>
    <row r="315" spans="1:12" ht="16" customHeight="1">
      <c r="A315" t="s">
        <v>319</v>
      </c>
      <c r="B315" t="s">
        <v>3</v>
      </c>
      <c r="C315" t="s">
        <v>22</v>
      </c>
      <c r="D315" s="24">
        <v>45962</v>
      </c>
      <c r="E315" t="s">
        <v>222</v>
      </c>
      <c r="F315" t="s">
        <v>4</v>
      </c>
      <c r="G315" t="s">
        <v>217</v>
      </c>
      <c r="H315" t="s">
        <v>217</v>
      </c>
      <c r="I315" t="s">
        <v>219</v>
      </c>
      <c r="J315" s="25">
        <v>156925</v>
      </c>
      <c r="K315" s="26">
        <v>32491.52</v>
      </c>
      <c r="L315" s="26">
        <v>332.85</v>
      </c>
    </row>
    <row r="316" spans="1:12" ht="16" customHeight="1">
      <c r="A316" t="s">
        <v>319</v>
      </c>
      <c r="B316" t="s">
        <v>3</v>
      </c>
      <c r="C316" t="s">
        <v>22</v>
      </c>
      <c r="D316" s="24">
        <v>45962</v>
      </c>
      <c r="E316" t="s">
        <v>296</v>
      </c>
      <c r="F316" t="s">
        <v>4</v>
      </c>
      <c r="G316" t="s">
        <v>217</v>
      </c>
      <c r="H316" t="s">
        <v>217</v>
      </c>
      <c r="I316" t="s">
        <v>221</v>
      </c>
      <c r="J316" s="25">
        <v>3892</v>
      </c>
      <c r="K316" s="26">
        <v>683.27</v>
      </c>
      <c r="L316" s="26">
        <v>8.91</v>
      </c>
    </row>
    <row r="317" spans="1:12" ht="16" customHeight="1">
      <c r="A317" t="s">
        <v>319</v>
      </c>
      <c r="B317" t="s">
        <v>3</v>
      </c>
      <c r="C317" t="s">
        <v>22</v>
      </c>
      <c r="D317" s="24">
        <v>45962</v>
      </c>
      <c r="E317" t="s">
        <v>224</v>
      </c>
      <c r="F317" t="s">
        <v>4</v>
      </c>
      <c r="G317" t="s">
        <v>217</v>
      </c>
      <c r="H317" t="s">
        <v>217</v>
      </c>
      <c r="I317" t="s">
        <v>300</v>
      </c>
      <c r="J317" s="25">
        <v>2128</v>
      </c>
      <c r="K317" s="26">
        <v>439.69</v>
      </c>
      <c r="L317" s="26">
        <v>8.33</v>
      </c>
    </row>
    <row r="318" spans="1:12" ht="16" customHeight="1">
      <c r="A318" t="s">
        <v>319</v>
      </c>
      <c r="B318" t="s">
        <v>3</v>
      </c>
      <c r="C318" t="s">
        <v>22</v>
      </c>
      <c r="D318" s="24">
        <v>45962</v>
      </c>
      <c r="E318" t="s">
        <v>226</v>
      </c>
      <c r="F318" t="s">
        <v>4</v>
      </c>
      <c r="G318" t="s">
        <v>217</v>
      </c>
      <c r="H318" t="s">
        <v>217</v>
      </c>
      <c r="I318" t="s">
        <v>301</v>
      </c>
      <c r="J318" s="25">
        <v>0</v>
      </c>
      <c r="K318" s="26">
        <v>0</v>
      </c>
      <c r="L318" s="26">
        <v>0</v>
      </c>
    </row>
    <row r="319" spans="1:12" ht="16" customHeight="1">
      <c r="A319" t="s">
        <v>319</v>
      </c>
      <c r="B319" t="s">
        <v>3</v>
      </c>
      <c r="C319" t="s">
        <v>22</v>
      </c>
      <c r="D319" s="24">
        <v>45962</v>
      </c>
      <c r="E319" t="s">
        <v>269</v>
      </c>
      <c r="F319" t="s">
        <v>4</v>
      </c>
      <c r="G319" t="s">
        <v>217</v>
      </c>
      <c r="H319" t="s">
        <v>217</v>
      </c>
      <c r="I319" t="s">
        <v>302</v>
      </c>
      <c r="J319" s="25">
        <v>0</v>
      </c>
      <c r="K319" s="26">
        <v>0</v>
      </c>
      <c r="L319" s="26">
        <v>0</v>
      </c>
    </row>
    <row r="320" spans="1:12" ht="16" customHeight="1">
      <c r="A320" t="s">
        <v>287</v>
      </c>
      <c r="B320" t="s">
        <v>4</v>
      </c>
      <c r="C320" t="s">
        <v>22</v>
      </c>
      <c r="D320" s="24">
        <v>45962</v>
      </c>
      <c r="E320" t="s">
        <v>220</v>
      </c>
      <c r="F320" t="s">
        <v>4</v>
      </c>
      <c r="G320" t="s">
        <v>217</v>
      </c>
      <c r="H320" t="s">
        <v>217</v>
      </c>
      <c r="I320" t="s">
        <v>212</v>
      </c>
      <c r="J320" s="25">
        <v>3898075</v>
      </c>
      <c r="K320" s="26">
        <v>799547.88</v>
      </c>
      <c r="L320" s="26">
        <v>3716.48</v>
      </c>
    </row>
    <row r="321" spans="1:12" ht="16" customHeight="1">
      <c r="A321" t="s">
        <v>287</v>
      </c>
      <c r="B321" t="s">
        <v>4</v>
      </c>
      <c r="C321" t="s">
        <v>22</v>
      </c>
      <c r="D321" s="24">
        <v>45962</v>
      </c>
      <c r="E321" t="s">
        <v>222</v>
      </c>
      <c r="F321" t="s">
        <v>4</v>
      </c>
      <c r="G321" t="s">
        <v>217</v>
      </c>
      <c r="H321" t="s">
        <v>217</v>
      </c>
      <c r="I321" t="s">
        <v>219</v>
      </c>
      <c r="J321" s="25">
        <v>123004</v>
      </c>
      <c r="K321" s="26">
        <v>25495.35</v>
      </c>
      <c r="L321" s="26">
        <v>268.82</v>
      </c>
    </row>
    <row r="322" spans="1:12" ht="16" customHeight="1">
      <c r="A322" t="s">
        <v>287</v>
      </c>
      <c r="B322" t="s">
        <v>4</v>
      </c>
      <c r="C322" t="s">
        <v>22</v>
      </c>
      <c r="D322" s="24">
        <v>45962</v>
      </c>
      <c r="E322" t="s">
        <v>296</v>
      </c>
      <c r="F322" t="s">
        <v>4</v>
      </c>
      <c r="G322" t="s">
        <v>217</v>
      </c>
      <c r="H322" t="s">
        <v>217</v>
      </c>
      <c r="I322" t="s">
        <v>221</v>
      </c>
      <c r="J322" s="25">
        <v>4143</v>
      </c>
      <c r="K322" s="26">
        <v>729.95</v>
      </c>
      <c r="L322" s="26">
        <v>9.4600000000000009</v>
      </c>
    </row>
    <row r="323" spans="1:12" ht="16" customHeight="1">
      <c r="A323" t="s">
        <v>287</v>
      </c>
      <c r="B323" t="s">
        <v>4</v>
      </c>
      <c r="C323" t="s">
        <v>22</v>
      </c>
      <c r="D323" s="24">
        <v>45962</v>
      </c>
      <c r="E323" t="s">
        <v>224</v>
      </c>
      <c r="F323" t="s">
        <v>4</v>
      </c>
      <c r="G323" t="s">
        <v>217</v>
      </c>
      <c r="H323" t="s">
        <v>217</v>
      </c>
      <c r="I323" t="s">
        <v>300</v>
      </c>
      <c r="J323" s="25">
        <v>1542</v>
      </c>
      <c r="K323" s="26">
        <v>316.01</v>
      </c>
      <c r="L323" s="26">
        <v>5.3</v>
      </c>
    </row>
    <row r="324" spans="1:12" ht="16" customHeight="1">
      <c r="A324" t="s">
        <v>287</v>
      </c>
      <c r="B324" t="s">
        <v>4</v>
      </c>
      <c r="C324" t="s">
        <v>22</v>
      </c>
      <c r="D324" s="24">
        <v>45962</v>
      </c>
      <c r="E324" t="s">
        <v>226</v>
      </c>
      <c r="F324" t="s">
        <v>4</v>
      </c>
      <c r="G324" t="s">
        <v>217</v>
      </c>
      <c r="H324" t="s">
        <v>217</v>
      </c>
      <c r="I324" t="s">
        <v>301</v>
      </c>
      <c r="J324" s="25">
        <v>0</v>
      </c>
      <c r="K324" s="26">
        <v>0</v>
      </c>
      <c r="L324" s="26">
        <v>0</v>
      </c>
    </row>
    <row r="325" spans="1:12" ht="16" customHeight="1">
      <c r="A325" t="s">
        <v>287</v>
      </c>
      <c r="B325" t="s">
        <v>4</v>
      </c>
      <c r="C325" t="s">
        <v>22</v>
      </c>
      <c r="D325" s="24">
        <v>45962</v>
      </c>
      <c r="E325" t="s">
        <v>269</v>
      </c>
      <c r="F325" t="s">
        <v>4</v>
      </c>
      <c r="G325" t="s">
        <v>217</v>
      </c>
      <c r="H325" t="s">
        <v>217</v>
      </c>
      <c r="I325" t="s">
        <v>302</v>
      </c>
      <c r="J325" s="25">
        <v>0</v>
      </c>
      <c r="K325" s="26">
        <v>0</v>
      </c>
      <c r="L325" s="26">
        <v>0</v>
      </c>
    </row>
    <row r="326" spans="1:12" ht="16" customHeight="1">
      <c r="A326" t="s">
        <v>320</v>
      </c>
      <c r="B326" t="s">
        <v>5</v>
      </c>
      <c r="C326" t="s">
        <v>22</v>
      </c>
      <c r="D326" s="24">
        <v>45962</v>
      </c>
      <c r="E326" t="s">
        <v>220</v>
      </c>
      <c r="F326" t="s">
        <v>4</v>
      </c>
      <c r="G326" t="s">
        <v>217</v>
      </c>
      <c r="H326" t="s">
        <v>217</v>
      </c>
      <c r="I326" t="s">
        <v>212</v>
      </c>
      <c r="J326" s="25">
        <v>6053709</v>
      </c>
      <c r="K326" s="26">
        <v>1238777.47</v>
      </c>
      <c r="L326" s="26">
        <v>5081.72</v>
      </c>
    </row>
    <row r="327" spans="1:12" ht="16" customHeight="1">
      <c r="A327" t="s">
        <v>320</v>
      </c>
      <c r="B327" t="s">
        <v>5</v>
      </c>
      <c r="C327" t="s">
        <v>22</v>
      </c>
      <c r="D327" s="24">
        <v>45962</v>
      </c>
      <c r="E327" t="s">
        <v>222</v>
      </c>
      <c r="F327" t="s">
        <v>4</v>
      </c>
      <c r="G327" t="s">
        <v>217</v>
      </c>
      <c r="H327" t="s">
        <v>217</v>
      </c>
      <c r="I327" t="s">
        <v>219</v>
      </c>
      <c r="J327" s="25">
        <v>199504</v>
      </c>
      <c r="K327" s="26">
        <v>41540.35</v>
      </c>
      <c r="L327" s="26">
        <v>432.55</v>
      </c>
    </row>
    <row r="328" spans="1:12" ht="16" customHeight="1">
      <c r="A328" t="s">
        <v>320</v>
      </c>
      <c r="B328" t="s">
        <v>5</v>
      </c>
      <c r="C328" t="s">
        <v>22</v>
      </c>
      <c r="D328" s="24">
        <v>45962</v>
      </c>
      <c r="E328" t="s">
        <v>296</v>
      </c>
      <c r="F328" t="s">
        <v>4</v>
      </c>
      <c r="G328" t="s">
        <v>217</v>
      </c>
      <c r="H328" t="s">
        <v>217</v>
      </c>
      <c r="I328" t="s">
        <v>221</v>
      </c>
      <c r="J328" s="25">
        <v>6526</v>
      </c>
      <c r="K328" s="26">
        <v>1160.1400000000001</v>
      </c>
      <c r="L328" s="26">
        <v>15.87</v>
      </c>
    </row>
    <row r="329" spans="1:12" ht="16" customHeight="1">
      <c r="A329" t="s">
        <v>320</v>
      </c>
      <c r="B329" t="s">
        <v>5</v>
      </c>
      <c r="C329" t="s">
        <v>22</v>
      </c>
      <c r="D329" s="24">
        <v>45962</v>
      </c>
      <c r="E329" t="s">
        <v>224</v>
      </c>
      <c r="F329" t="s">
        <v>4</v>
      </c>
      <c r="G329" t="s">
        <v>217</v>
      </c>
      <c r="H329" t="s">
        <v>217</v>
      </c>
      <c r="I329" t="s">
        <v>300</v>
      </c>
      <c r="J329" s="25">
        <v>1988</v>
      </c>
      <c r="K329" s="26">
        <v>420.25</v>
      </c>
      <c r="L329" s="26">
        <v>9.58</v>
      </c>
    </row>
    <row r="330" spans="1:12" ht="16" customHeight="1">
      <c r="A330" t="s">
        <v>320</v>
      </c>
      <c r="B330" t="s">
        <v>5</v>
      </c>
      <c r="C330" t="s">
        <v>22</v>
      </c>
      <c r="D330" s="24">
        <v>45962</v>
      </c>
      <c r="E330" t="s">
        <v>226</v>
      </c>
      <c r="F330" t="s">
        <v>4</v>
      </c>
      <c r="G330" t="s">
        <v>217</v>
      </c>
      <c r="H330" t="s">
        <v>217</v>
      </c>
      <c r="I330" t="s">
        <v>301</v>
      </c>
      <c r="J330" s="25">
        <v>0</v>
      </c>
      <c r="K330" s="26">
        <v>0</v>
      </c>
      <c r="L330" s="26">
        <v>0</v>
      </c>
    </row>
    <row r="331" spans="1:12" ht="16" customHeight="1">
      <c r="A331" t="s">
        <v>320</v>
      </c>
      <c r="B331" t="s">
        <v>5</v>
      </c>
      <c r="C331" t="s">
        <v>22</v>
      </c>
      <c r="D331" s="24">
        <v>45962</v>
      </c>
      <c r="E331" t="s">
        <v>269</v>
      </c>
      <c r="F331" t="s">
        <v>4</v>
      </c>
      <c r="G331" t="s">
        <v>217</v>
      </c>
      <c r="H331" t="s">
        <v>217</v>
      </c>
      <c r="I331" t="s">
        <v>302</v>
      </c>
      <c r="J331" s="25">
        <v>0</v>
      </c>
      <c r="K331" s="26">
        <v>0</v>
      </c>
      <c r="L331" s="26">
        <v>0</v>
      </c>
    </row>
    <row r="332" spans="1:12" ht="16" customHeight="1">
      <c r="A332" t="s">
        <v>322</v>
      </c>
      <c r="B332" t="s">
        <v>6</v>
      </c>
      <c r="C332" t="s">
        <v>22</v>
      </c>
      <c r="D332" s="24">
        <v>45962</v>
      </c>
      <c r="E332" t="s">
        <v>220</v>
      </c>
      <c r="F332" t="s">
        <v>4</v>
      </c>
      <c r="G332" t="s">
        <v>217</v>
      </c>
      <c r="H332" t="s">
        <v>217</v>
      </c>
      <c r="I332" t="s">
        <v>212</v>
      </c>
      <c r="J332" s="25">
        <v>5656595</v>
      </c>
      <c r="K332" s="26">
        <v>1158225.29</v>
      </c>
      <c r="L332" s="26">
        <v>3943.98</v>
      </c>
    </row>
    <row r="333" spans="1:12" ht="16" customHeight="1">
      <c r="A333" t="s">
        <v>322</v>
      </c>
      <c r="B333" t="s">
        <v>6</v>
      </c>
      <c r="C333" t="s">
        <v>22</v>
      </c>
      <c r="D333" s="24">
        <v>45962</v>
      </c>
      <c r="E333" t="s">
        <v>222</v>
      </c>
      <c r="F333" t="s">
        <v>4</v>
      </c>
      <c r="G333" t="s">
        <v>217</v>
      </c>
      <c r="H333" t="s">
        <v>217</v>
      </c>
      <c r="I333" t="s">
        <v>219</v>
      </c>
      <c r="J333" s="25">
        <v>207429</v>
      </c>
      <c r="K333" s="26">
        <v>43190.239999999998</v>
      </c>
      <c r="L333" s="26">
        <v>471.64</v>
      </c>
    </row>
    <row r="334" spans="1:12" ht="16" customHeight="1">
      <c r="A334" t="s">
        <v>322</v>
      </c>
      <c r="B334" t="s">
        <v>6</v>
      </c>
      <c r="C334" t="s">
        <v>22</v>
      </c>
      <c r="D334" s="24">
        <v>45962</v>
      </c>
      <c r="E334" t="s">
        <v>296</v>
      </c>
      <c r="F334" t="s">
        <v>4</v>
      </c>
      <c r="G334" t="s">
        <v>217</v>
      </c>
      <c r="H334" t="s">
        <v>217</v>
      </c>
      <c r="I334" t="s">
        <v>221</v>
      </c>
      <c r="J334" s="25">
        <v>6413</v>
      </c>
      <c r="K334" s="26">
        <v>1142.07</v>
      </c>
      <c r="L334" s="26">
        <v>17.010000000000002</v>
      </c>
    </row>
    <row r="335" spans="1:12" ht="16" customHeight="1">
      <c r="A335" t="s">
        <v>322</v>
      </c>
      <c r="B335" t="s">
        <v>6</v>
      </c>
      <c r="C335" t="s">
        <v>22</v>
      </c>
      <c r="D335" s="24">
        <v>45962</v>
      </c>
      <c r="E335" t="s">
        <v>224</v>
      </c>
      <c r="F335" t="s">
        <v>4</v>
      </c>
      <c r="G335" t="s">
        <v>217</v>
      </c>
      <c r="H335" t="s">
        <v>217</v>
      </c>
      <c r="I335" t="s">
        <v>300</v>
      </c>
      <c r="J335" s="25">
        <v>3035</v>
      </c>
      <c r="K335" s="26">
        <v>637.34</v>
      </c>
      <c r="L335" s="26">
        <v>12.83</v>
      </c>
    </row>
    <row r="336" spans="1:12" ht="16" customHeight="1">
      <c r="A336" t="s">
        <v>322</v>
      </c>
      <c r="B336" t="s">
        <v>6</v>
      </c>
      <c r="C336" t="s">
        <v>22</v>
      </c>
      <c r="D336" s="24">
        <v>45962</v>
      </c>
      <c r="E336" t="s">
        <v>226</v>
      </c>
      <c r="F336" t="s">
        <v>4</v>
      </c>
      <c r="G336" t="s">
        <v>217</v>
      </c>
      <c r="H336" t="s">
        <v>217</v>
      </c>
      <c r="I336" t="s">
        <v>301</v>
      </c>
      <c r="J336" s="25">
        <v>0</v>
      </c>
      <c r="K336" s="26">
        <v>0</v>
      </c>
      <c r="L336" s="26">
        <v>0</v>
      </c>
    </row>
    <row r="337" spans="1:12" ht="16" customHeight="1">
      <c r="A337" t="s">
        <v>322</v>
      </c>
      <c r="B337" t="s">
        <v>6</v>
      </c>
      <c r="C337" t="s">
        <v>22</v>
      </c>
      <c r="D337" s="24">
        <v>45962</v>
      </c>
      <c r="E337" t="s">
        <v>269</v>
      </c>
      <c r="F337" t="s">
        <v>4</v>
      </c>
      <c r="G337" t="s">
        <v>217</v>
      </c>
      <c r="H337" t="s">
        <v>217</v>
      </c>
      <c r="I337" t="s">
        <v>302</v>
      </c>
      <c r="J337" s="25">
        <v>0</v>
      </c>
      <c r="K337" s="26">
        <v>0</v>
      </c>
      <c r="L337" s="26">
        <v>0</v>
      </c>
    </row>
    <row r="338" spans="1:12" ht="16" customHeight="1">
      <c r="A338" t="s">
        <v>323</v>
      </c>
      <c r="B338" t="s">
        <v>7</v>
      </c>
      <c r="C338" t="s">
        <v>22</v>
      </c>
      <c r="D338" s="24">
        <v>45962</v>
      </c>
      <c r="E338" t="s">
        <v>220</v>
      </c>
      <c r="F338" t="s">
        <v>4</v>
      </c>
      <c r="G338" t="s">
        <v>217</v>
      </c>
      <c r="H338" t="s">
        <v>217</v>
      </c>
      <c r="I338" t="s">
        <v>212</v>
      </c>
      <c r="J338" s="25">
        <v>10692487</v>
      </c>
      <c r="K338" s="26">
        <v>2189930.4700000002</v>
      </c>
      <c r="L338" s="26">
        <v>6499.58</v>
      </c>
    </row>
    <row r="339" spans="1:12" ht="16" customHeight="1">
      <c r="A339" t="s">
        <v>323</v>
      </c>
      <c r="B339" t="s">
        <v>7</v>
      </c>
      <c r="C339" t="s">
        <v>22</v>
      </c>
      <c r="D339" s="24">
        <v>45962</v>
      </c>
      <c r="E339" t="s">
        <v>222</v>
      </c>
      <c r="F339" t="s">
        <v>4</v>
      </c>
      <c r="G339" t="s">
        <v>217</v>
      </c>
      <c r="H339" t="s">
        <v>217</v>
      </c>
      <c r="I339" t="s">
        <v>219</v>
      </c>
      <c r="J339" s="25">
        <v>359705</v>
      </c>
      <c r="K339" s="26">
        <v>74715.05</v>
      </c>
      <c r="L339" s="26">
        <v>785.21</v>
      </c>
    </row>
    <row r="340" spans="1:12" ht="16" customHeight="1">
      <c r="A340" t="s">
        <v>323</v>
      </c>
      <c r="B340" t="s">
        <v>7</v>
      </c>
      <c r="C340" t="s">
        <v>22</v>
      </c>
      <c r="D340" s="24">
        <v>45962</v>
      </c>
      <c r="E340" t="s">
        <v>296</v>
      </c>
      <c r="F340" t="s">
        <v>4</v>
      </c>
      <c r="G340" t="s">
        <v>217</v>
      </c>
      <c r="H340" t="s">
        <v>217</v>
      </c>
      <c r="I340" t="s">
        <v>221</v>
      </c>
      <c r="J340" s="25">
        <v>9417</v>
      </c>
      <c r="K340" s="26">
        <v>1690.76</v>
      </c>
      <c r="L340" s="26">
        <v>25.12</v>
      </c>
    </row>
    <row r="341" spans="1:12" ht="16" customHeight="1">
      <c r="A341" t="s">
        <v>323</v>
      </c>
      <c r="B341" t="s">
        <v>7</v>
      </c>
      <c r="C341" t="s">
        <v>22</v>
      </c>
      <c r="D341" s="24">
        <v>45962</v>
      </c>
      <c r="E341" t="s">
        <v>224</v>
      </c>
      <c r="F341" t="s">
        <v>4</v>
      </c>
      <c r="G341" t="s">
        <v>217</v>
      </c>
      <c r="H341" t="s">
        <v>217</v>
      </c>
      <c r="I341" t="s">
        <v>300</v>
      </c>
      <c r="J341" s="25">
        <v>1699</v>
      </c>
      <c r="K341" s="26">
        <v>351.16</v>
      </c>
      <c r="L341" s="26">
        <v>5.6</v>
      </c>
    </row>
    <row r="342" spans="1:12" ht="16" customHeight="1">
      <c r="A342" t="s">
        <v>323</v>
      </c>
      <c r="B342" t="s">
        <v>7</v>
      </c>
      <c r="C342" t="s">
        <v>22</v>
      </c>
      <c r="D342" s="24">
        <v>45962</v>
      </c>
      <c r="E342" t="s">
        <v>226</v>
      </c>
      <c r="F342" t="s">
        <v>4</v>
      </c>
      <c r="G342" t="s">
        <v>217</v>
      </c>
      <c r="H342" t="s">
        <v>217</v>
      </c>
      <c r="I342" t="s">
        <v>301</v>
      </c>
      <c r="J342" s="25">
        <v>0</v>
      </c>
      <c r="K342" s="26">
        <v>0</v>
      </c>
      <c r="L342" s="26">
        <v>0</v>
      </c>
    </row>
    <row r="343" spans="1:12" ht="16" customHeight="1">
      <c r="A343" t="s">
        <v>323</v>
      </c>
      <c r="B343" t="s">
        <v>7</v>
      </c>
      <c r="C343" t="s">
        <v>22</v>
      </c>
      <c r="D343" s="24">
        <v>45962</v>
      </c>
      <c r="E343" t="s">
        <v>269</v>
      </c>
      <c r="F343" t="s">
        <v>4</v>
      </c>
      <c r="G343" t="s">
        <v>217</v>
      </c>
      <c r="H343" t="s">
        <v>217</v>
      </c>
      <c r="I343" t="s">
        <v>302</v>
      </c>
      <c r="J343" s="25">
        <v>0</v>
      </c>
      <c r="K343" s="26">
        <v>0</v>
      </c>
      <c r="L343" s="26">
        <v>0</v>
      </c>
    </row>
    <row r="344" spans="1:12" ht="16" customHeight="1">
      <c r="A344" t="s">
        <v>324</v>
      </c>
      <c r="B344" t="s">
        <v>3</v>
      </c>
      <c r="C344" t="s">
        <v>23</v>
      </c>
      <c r="D344" s="24">
        <v>45962</v>
      </c>
      <c r="E344" t="s">
        <v>220</v>
      </c>
      <c r="F344" t="s">
        <v>4</v>
      </c>
      <c r="G344" t="s">
        <v>217</v>
      </c>
      <c r="H344" t="s">
        <v>217</v>
      </c>
      <c r="I344" t="s">
        <v>212</v>
      </c>
      <c r="J344" s="25">
        <v>19567412</v>
      </c>
      <c r="K344" s="26">
        <v>4001510.14</v>
      </c>
      <c r="L344" s="26">
        <v>8585.31</v>
      </c>
    </row>
    <row r="345" spans="1:12" ht="16" customHeight="1">
      <c r="A345" t="s">
        <v>324</v>
      </c>
      <c r="B345" t="s">
        <v>3</v>
      </c>
      <c r="C345" t="s">
        <v>23</v>
      </c>
      <c r="D345" s="24">
        <v>45962</v>
      </c>
      <c r="E345" t="s">
        <v>222</v>
      </c>
      <c r="F345" t="s">
        <v>4</v>
      </c>
      <c r="G345" t="s">
        <v>217</v>
      </c>
      <c r="H345" t="s">
        <v>217</v>
      </c>
      <c r="I345" t="s">
        <v>219</v>
      </c>
      <c r="J345" s="25">
        <v>424184</v>
      </c>
      <c r="K345" s="26">
        <v>88501.94</v>
      </c>
      <c r="L345" s="26">
        <v>980.7</v>
      </c>
    </row>
    <row r="346" spans="1:12" ht="16" customHeight="1">
      <c r="A346" t="s">
        <v>324</v>
      </c>
      <c r="B346" t="s">
        <v>3</v>
      </c>
      <c r="C346" t="s">
        <v>23</v>
      </c>
      <c r="D346" s="24">
        <v>45962</v>
      </c>
      <c r="E346" t="s">
        <v>296</v>
      </c>
      <c r="F346" t="s">
        <v>4</v>
      </c>
      <c r="G346" t="s">
        <v>217</v>
      </c>
      <c r="H346" t="s">
        <v>217</v>
      </c>
      <c r="I346" t="s">
        <v>221</v>
      </c>
      <c r="J346" s="25">
        <v>6842</v>
      </c>
      <c r="K346" s="26">
        <v>1220.58</v>
      </c>
      <c r="L346" s="26">
        <v>15.65</v>
      </c>
    </row>
    <row r="347" spans="1:12" ht="16" customHeight="1">
      <c r="A347" t="s">
        <v>324</v>
      </c>
      <c r="B347" t="s">
        <v>3</v>
      </c>
      <c r="C347" t="s">
        <v>23</v>
      </c>
      <c r="D347" s="24">
        <v>45962</v>
      </c>
      <c r="E347" t="s">
        <v>224</v>
      </c>
      <c r="F347" t="s">
        <v>4</v>
      </c>
      <c r="G347" t="s">
        <v>217</v>
      </c>
      <c r="H347" t="s">
        <v>217</v>
      </c>
      <c r="I347" t="s">
        <v>300</v>
      </c>
      <c r="J347" s="25">
        <v>1087</v>
      </c>
      <c r="K347" s="26">
        <v>228.3</v>
      </c>
      <c r="L347" s="26">
        <v>4.33</v>
      </c>
    </row>
    <row r="348" spans="1:12" ht="16" customHeight="1">
      <c r="A348" t="s">
        <v>324</v>
      </c>
      <c r="B348" t="s">
        <v>3</v>
      </c>
      <c r="C348" t="s">
        <v>23</v>
      </c>
      <c r="D348" s="24">
        <v>45962</v>
      </c>
      <c r="E348" t="s">
        <v>226</v>
      </c>
      <c r="F348" t="s">
        <v>4</v>
      </c>
      <c r="G348" t="s">
        <v>217</v>
      </c>
      <c r="H348" t="s">
        <v>217</v>
      </c>
      <c r="I348" t="s">
        <v>301</v>
      </c>
      <c r="J348" s="25">
        <v>0</v>
      </c>
      <c r="K348" s="26">
        <v>0</v>
      </c>
      <c r="L348" s="26">
        <v>0</v>
      </c>
    </row>
    <row r="349" spans="1:12" ht="16" customHeight="1">
      <c r="A349" t="s">
        <v>324</v>
      </c>
      <c r="B349" t="s">
        <v>3</v>
      </c>
      <c r="C349" t="s">
        <v>23</v>
      </c>
      <c r="D349" s="24">
        <v>45962</v>
      </c>
      <c r="E349" t="s">
        <v>269</v>
      </c>
      <c r="F349" t="s">
        <v>4</v>
      </c>
      <c r="G349" t="s">
        <v>217</v>
      </c>
      <c r="H349" t="s">
        <v>217</v>
      </c>
      <c r="I349" t="s">
        <v>302</v>
      </c>
      <c r="J349" s="25">
        <v>0</v>
      </c>
      <c r="K349" s="26">
        <v>0</v>
      </c>
      <c r="L349" s="26">
        <v>0</v>
      </c>
    </row>
    <row r="350" spans="1:12" ht="16" customHeight="1">
      <c r="A350" t="s">
        <v>220</v>
      </c>
      <c r="B350" t="s">
        <v>4</v>
      </c>
      <c r="C350" t="s">
        <v>23</v>
      </c>
      <c r="D350" s="24">
        <v>45962</v>
      </c>
      <c r="E350" t="s">
        <v>220</v>
      </c>
      <c r="F350" t="s">
        <v>4</v>
      </c>
      <c r="G350" t="s">
        <v>217</v>
      </c>
      <c r="H350" t="s">
        <v>217</v>
      </c>
      <c r="I350" t="s">
        <v>212</v>
      </c>
      <c r="J350" s="25">
        <v>79305371</v>
      </c>
      <c r="K350" s="26">
        <v>16174666.1</v>
      </c>
      <c r="L350" s="26">
        <v>15140.41</v>
      </c>
    </row>
    <row r="351" spans="1:12" ht="16" customHeight="1">
      <c r="A351" t="s">
        <v>220</v>
      </c>
      <c r="B351" t="s">
        <v>4</v>
      </c>
      <c r="C351" t="s">
        <v>23</v>
      </c>
      <c r="D351" s="24">
        <v>45962</v>
      </c>
      <c r="E351" t="s">
        <v>222</v>
      </c>
      <c r="F351" t="s">
        <v>4</v>
      </c>
      <c r="G351" t="s">
        <v>217</v>
      </c>
      <c r="H351" t="s">
        <v>217</v>
      </c>
      <c r="I351" t="s">
        <v>219</v>
      </c>
      <c r="J351" s="25">
        <v>722792</v>
      </c>
      <c r="K351" s="26">
        <v>150380.93</v>
      </c>
      <c r="L351" s="26">
        <v>1523.52</v>
      </c>
    </row>
    <row r="352" spans="1:12" ht="16" customHeight="1">
      <c r="A352" t="s">
        <v>220</v>
      </c>
      <c r="B352" t="s">
        <v>4</v>
      </c>
      <c r="C352" t="s">
        <v>23</v>
      </c>
      <c r="D352" s="24">
        <v>45962</v>
      </c>
      <c r="E352" t="s">
        <v>296</v>
      </c>
      <c r="F352" t="s">
        <v>4</v>
      </c>
      <c r="G352" t="s">
        <v>217</v>
      </c>
      <c r="H352" t="s">
        <v>217</v>
      </c>
      <c r="I352" t="s">
        <v>221</v>
      </c>
      <c r="J352" s="25">
        <v>8387</v>
      </c>
      <c r="K352" s="26">
        <v>1508.03</v>
      </c>
      <c r="L352" s="26">
        <v>18.440000000000001</v>
      </c>
    </row>
    <row r="353" spans="1:12" ht="16" customHeight="1">
      <c r="A353" t="s">
        <v>220</v>
      </c>
      <c r="B353" t="s">
        <v>4</v>
      </c>
      <c r="C353" t="s">
        <v>23</v>
      </c>
      <c r="D353" s="24">
        <v>45962</v>
      </c>
      <c r="E353" t="s">
        <v>224</v>
      </c>
      <c r="F353" t="s">
        <v>4</v>
      </c>
      <c r="G353" t="s">
        <v>217</v>
      </c>
      <c r="H353" t="s">
        <v>217</v>
      </c>
      <c r="I353" t="s">
        <v>300</v>
      </c>
      <c r="J353" s="25">
        <v>919</v>
      </c>
      <c r="K353" s="26">
        <v>192.65</v>
      </c>
      <c r="L353" s="26">
        <v>3.83</v>
      </c>
    </row>
    <row r="354" spans="1:12" ht="16" customHeight="1">
      <c r="A354" t="s">
        <v>220</v>
      </c>
      <c r="B354" t="s">
        <v>4</v>
      </c>
      <c r="C354" t="s">
        <v>23</v>
      </c>
      <c r="D354" s="24">
        <v>45962</v>
      </c>
      <c r="E354" t="s">
        <v>226</v>
      </c>
      <c r="F354" t="s">
        <v>4</v>
      </c>
      <c r="G354" t="s">
        <v>217</v>
      </c>
      <c r="H354" t="s">
        <v>217</v>
      </c>
      <c r="I354" t="s">
        <v>301</v>
      </c>
      <c r="J354" s="25">
        <v>0</v>
      </c>
      <c r="K354" s="26">
        <v>0</v>
      </c>
      <c r="L354" s="26">
        <v>0</v>
      </c>
    </row>
    <row r="355" spans="1:12" ht="16" customHeight="1">
      <c r="A355" t="s">
        <v>220</v>
      </c>
      <c r="B355" t="s">
        <v>4</v>
      </c>
      <c r="C355" t="s">
        <v>23</v>
      </c>
      <c r="D355" s="24">
        <v>45962</v>
      </c>
      <c r="E355" t="s">
        <v>269</v>
      </c>
      <c r="F355" t="s">
        <v>4</v>
      </c>
      <c r="G355" t="s">
        <v>217</v>
      </c>
      <c r="H355" t="s">
        <v>217</v>
      </c>
      <c r="I355" t="s">
        <v>302</v>
      </c>
      <c r="J355" s="25">
        <v>0</v>
      </c>
      <c r="K355" s="26">
        <v>0</v>
      </c>
      <c r="L355" s="26">
        <v>0</v>
      </c>
    </row>
    <row r="356" spans="1:12" ht="16" customHeight="1">
      <c r="A356" t="s">
        <v>325</v>
      </c>
      <c r="B356" t="s">
        <v>5</v>
      </c>
      <c r="C356" t="s">
        <v>23</v>
      </c>
      <c r="D356" s="24">
        <v>45962</v>
      </c>
      <c r="E356" t="s">
        <v>222</v>
      </c>
      <c r="F356" t="s">
        <v>4</v>
      </c>
      <c r="G356" t="s">
        <v>217</v>
      </c>
      <c r="H356" t="s">
        <v>217</v>
      </c>
      <c r="I356" t="s">
        <v>219</v>
      </c>
      <c r="J356" s="25">
        <v>2110443</v>
      </c>
      <c r="K356" s="26">
        <v>441060.45</v>
      </c>
      <c r="L356" s="26">
        <v>3915.95</v>
      </c>
    </row>
    <row r="357" spans="1:12" ht="16" customHeight="1">
      <c r="A357" t="s">
        <v>325</v>
      </c>
      <c r="B357" t="s">
        <v>5</v>
      </c>
      <c r="C357" t="s">
        <v>23</v>
      </c>
      <c r="D357" s="24">
        <v>45962</v>
      </c>
      <c r="E357" t="s">
        <v>296</v>
      </c>
      <c r="F357" t="s">
        <v>4</v>
      </c>
      <c r="G357" t="s">
        <v>217</v>
      </c>
      <c r="H357" t="s">
        <v>217</v>
      </c>
      <c r="I357" t="s">
        <v>221</v>
      </c>
      <c r="J357" s="25">
        <v>19811</v>
      </c>
      <c r="K357" s="26">
        <v>3567.28</v>
      </c>
      <c r="L357" s="26">
        <v>44.69</v>
      </c>
    </row>
    <row r="358" spans="1:12" ht="16" customHeight="1">
      <c r="A358" t="s">
        <v>325</v>
      </c>
      <c r="B358" t="s">
        <v>5</v>
      </c>
      <c r="C358" t="s">
        <v>23</v>
      </c>
      <c r="D358" s="24">
        <v>45962</v>
      </c>
      <c r="E358" t="s">
        <v>326</v>
      </c>
      <c r="F358" t="s">
        <v>4</v>
      </c>
      <c r="G358" t="s">
        <v>217</v>
      </c>
      <c r="H358" t="s">
        <v>217</v>
      </c>
      <c r="I358" t="s">
        <v>223</v>
      </c>
      <c r="J358" s="25">
        <v>159</v>
      </c>
      <c r="K358" s="26">
        <v>28</v>
      </c>
      <c r="L358" s="26">
        <v>0.53</v>
      </c>
    </row>
    <row r="359" spans="1:12" ht="16" customHeight="1">
      <c r="A359" t="s">
        <v>325</v>
      </c>
      <c r="B359" t="s">
        <v>5</v>
      </c>
      <c r="C359" t="s">
        <v>23</v>
      </c>
      <c r="D359" s="24">
        <v>45962</v>
      </c>
      <c r="E359" t="s">
        <v>224</v>
      </c>
      <c r="F359" t="s">
        <v>4</v>
      </c>
      <c r="G359" t="s">
        <v>217</v>
      </c>
      <c r="H359" t="s">
        <v>217</v>
      </c>
      <c r="I359" t="s">
        <v>300</v>
      </c>
      <c r="J359" s="25">
        <v>2433</v>
      </c>
      <c r="K359" s="26">
        <v>505.32</v>
      </c>
      <c r="L359" s="26">
        <v>7.92</v>
      </c>
    </row>
    <row r="360" spans="1:12" ht="16" customHeight="1">
      <c r="A360" t="s">
        <v>325</v>
      </c>
      <c r="B360" t="s">
        <v>5</v>
      </c>
      <c r="C360" t="s">
        <v>23</v>
      </c>
      <c r="D360" s="24">
        <v>45962</v>
      </c>
      <c r="E360" t="s">
        <v>226</v>
      </c>
      <c r="F360" t="s">
        <v>4</v>
      </c>
      <c r="G360" t="s">
        <v>217</v>
      </c>
      <c r="H360" t="s">
        <v>217</v>
      </c>
      <c r="I360" t="s">
        <v>301</v>
      </c>
      <c r="J360" s="25">
        <v>0</v>
      </c>
      <c r="K360" s="26">
        <v>0</v>
      </c>
      <c r="L360" s="26">
        <v>0</v>
      </c>
    </row>
    <row r="361" spans="1:12" ht="16" customHeight="1">
      <c r="A361" t="s">
        <v>325</v>
      </c>
      <c r="B361" t="s">
        <v>5</v>
      </c>
      <c r="C361" t="s">
        <v>23</v>
      </c>
      <c r="D361" s="24">
        <v>45962</v>
      </c>
      <c r="E361" t="s">
        <v>269</v>
      </c>
      <c r="F361" t="s">
        <v>4</v>
      </c>
      <c r="G361" t="s">
        <v>217</v>
      </c>
      <c r="H361" t="s">
        <v>217</v>
      </c>
      <c r="I361" t="s">
        <v>302</v>
      </c>
      <c r="J361" s="25">
        <v>0</v>
      </c>
      <c r="K361" s="26">
        <v>0</v>
      </c>
      <c r="L361" s="26">
        <v>0</v>
      </c>
    </row>
    <row r="362" spans="1:12" ht="16" customHeight="1">
      <c r="A362" t="s">
        <v>327</v>
      </c>
      <c r="B362" t="s">
        <v>6</v>
      </c>
      <c r="C362" t="s">
        <v>23</v>
      </c>
      <c r="D362" s="24">
        <v>45962</v>
      </c>
      <c r="E362" t="s">
        <v>222</v>
      </c>
      <c r="F362" t="s">
        <v>4</v>
      </c>
      <c r="G362" t="s">
        <v>217</v>
      </c>
      <c r="H362" t="s">
        <v>217</v>
      </c>
      <c r="I362" t="s">
        <v>219</v>
      </c>
      <c r="J362" s="25">
        <v>2075050</v>
      </c>
      <c r="K362" s="26">
        <v>435570.78</v>
      </c>
      <c r="L362" s="26">
        <v>4050.44</v>
      </c>
    </row>
    <row r="363" spans="1:12" ht="16" customHeight="1">
      <c r="A363" t="s">
        <v>327</v>
      </c>
      <c r="B363" t="s">
        <v>6</v>
      </c>
      <c r="C363" t="s">
        <v>23</v>
      </c>
      <c r="D363" s="24">
        <v>45962</v>
      </c>
      <c r="E363" t="s">
        <v>296</v>
      </c>
      <c r="F363" t="s">
        <v>4</v>
      </c>
      <c r="G363" t="s">
        <v>217</v>
      </c>
      <c r="H363" t="s">
        <v>217</v>
      </c>
      <c r="I363" t="s">
        <v>221</v>
      </c>
      <c r="J363" s="25">
        <v>21635</v>
      </c>
      <c r="K363" s="26">
        <v>3875.77</v>
      </c>
      <c r="L363" s="26">
        <v>47.78</v>
      </c>
    </row>
    <row r="364" spans="1:12" ht="16" customHeight="1">
      <c r="A364" t="s">
        <v>327</v>
      </c>
      <c r="B364" t="s">
        <v>6</v>
      </c>
      <c r="C364" t="s">
        <v>23</v>
      </c>
      <c r="D364" s="24">
        <v>45962</v>
      </c>
      <c r="E364" t="s">
        <v>326</v>
      </c>
      <c r="F364" t="s">
        <v>4</v>
      </c>
      <c r="G364" t="s">
        <v>217</v>
      </c>
      <c r="H364" t="s">
        <v>217</v>
      </c>
      <c r="I364" t="s">
        <v>223</v>
      </c>
      <c r="J364" s="25">
        <v>263</v>
      </c>
      <c r="K364" s="26">
        <v>47.15</v>
      </c>
      <c r="L364" s="26">
        <v>0.79</v>
      </c>
    </row>
    <row r="365" spans="1:12" ht="16" customHeight="1">
      <c r="A365" t="s">
        <v>327</v>
      </c>
      <c r="B365" t="s">
        <v>6</v>
      </c>
      <c r="C365" t="s">
        <v>23</v>
      </c>
      <c r="D365" s="24">
        <v>45962</v>
      </c>
      <c r="E365" t="s">
        <v>224</v>
      </c>
      <c r="F365" t="s">
        <v>4</v>
      </c>
      <c r="G365" t="s">
        <v>217</v>
      </c>
      <c r="H365" t="s">
        <v>217</v>
      </c>
      <c r="I365" t="s">
        <v>300</v>
      </c>
      <c r="J365" s="25">
        <v>1803</v>
      </c>
      <c r="K365" s="26">
        <v>376.32</v>
      </c>
      <c r="L365" s="26">
        <v>6.18</v>
      </c>
    </row>
    <row r="366" spans="1:12" ht="16" customHeight="1">
      <c r="A366" t="s">
        <v>327</v>
      </c>
      <c r="B366" t="s">
        <v>6</v>
      </c>
      <c r="C366" t="s">
        <v>23</v>
      </c>
      <c r="D366" s="24">
        <v>45962</v>
      </c>
      <c r="E366" t="s">
        <v>226</v>
      </c>
      <c r="F366" t="s">
        <v>4</v>
      </c>
      <c r="G366" t="s">
        <v>217</v>
      </c>
      <c r="H366" t="s">
        <v>217</v>
      </c>
      <c r="I366" t="s">
        <v>301</v>
      </c>
      <c r="J366" s="25">
        <v>0</v>
      </c>
      <c r="K366" s="26">
        <v>0</v>
      </c>
      <c r="L366" s="26">
        <v>0</v>
      </c>
    </row>
    <row r="367" spans="1:12" ht="16" customHeight="1">
      <c r="A367" t="s">
        <v>327</v>
      </c>
      <c r="B367" t="s">
        <v>6</v>
      </c>
      <c r="C367" t="s">
        <v>23</v>
      </c>
      <c r="D367" s="24">
        <v>45962</v>
      </c>
      <c r="E367" t="s">
        <v>269</v>
      </c>
      <c r="F367" t="s">
        <v>4</v>
      </c>
      <c r="G367" t="s">
        <v>217</v>
      </c>
      <c r="H367" t="s">
        <v>217</v>
      </c>
      <c r="I367" t="s">
        <v>302</v>
      </c>
      <c r="J367" s="25">
        <v>0</v>
      </c>
      <c r="K367" s="26">
        <v>0</v>
      </c>
      <c r="L367" s="26">
        <v>0</v>
      </c>
    </row>
    <row r="368" spans="1:12" ht="16" customHeight="1">
      <c r="A368" t="s">
        <v>328</v>
      </c>
      <c r="B368" t="s">
        <v>7</v>
      </c>
      <c r="C368" t="s">
        <v>23</v>
      </c>
      <c r="D368" s="24">
        <v>45962</v>
      </c>
      <c r="E368" t="s">
        <v>222</v>
      </c>
      <c r="F368" t="s">
        <v>4</v>
      </c>
      <c r="G368" t="s">
        <v>217</v>
      </c>
      <c r="H368" t="s">
        <v>217</v>
      </c>
      <c r="I368" t="s">
        <v>219</v>
      </c>
      <c r="J368" s="25">
        <v>1708304</v>
      </c>
      <c r="K368" s="26">
        <v>358249.52</v>
      </c>
      <c r="L368" s="26">
        <v>3160.02</v>
      </c>
    </row>
    <row r="369" spans="1:12" ht="16" customHeight="1">
      <c r="A369" t="s">
        <v>328</v>
      </c>
      <c r="B369" t="s">
        <v>7</v>
      </c>
      <c r="C369" t="s">
        <v>23</v>
      </c>
      <c r="D369" s="24">
        <v>45962</v>
      </c>
      <c r="E369" t="s">
        <v>296</v>
      </c>
      <c r="F369" t="s">
        <v>4</v>
      </c>
      <c r="G369" t="s">
        <v>217</v>
      </c>
      <c r="H369" t="s">
        <v>217</v>
      </c>
      <c r="I369" t="s">
        <v>221</v>
      </c>
      <c r="J369" s="25">
        <v>15141</v>
      </c>
      <c r="K369" s="26">
        <v>2734.64</v>
      </c>
      <c r="L369" s="26">
        <v>35.75</v>
      </c>
    </row>
    <row r="370" spans="1:12" ht="16" customHeight="1">
      <c r="A370" t="s">
        <v>328</v>
      </c>
      <c r="B370" t="s">
        <v>7</v>
      </c>
      <c r="C370" t="s">
        <v>23</v>
      </c>
      <c r="D370" s="24">
        <v>45962</v>
      </c>
      <c r="E370" t="s">
        <v>326</v>
      </c>
      <c r="F370" t="s">
        <v>4</v>
      </c>
      <c r="G370" t="s">
        <v>217</v>
      </c>
      <c r="H370" t="s">
        <v>217</v>
      </c>
      <c r="I370" t="s">
        <v>223</v>
      </c>
      <c r="J370" s="25">
        <v>254</v>
      </c>
      <c r="K370" s="26">
        <v>46.33</v>
      </c>
      <c r="L370" s="26">
        <v>0.89</v>
      </c>
    </row>
    <row r="371" spans="1:12" ht="16" customHeight="1">
      <c r="A371" t="s">
        <v>328</v>
      </c>
      <c r="B371" t="s">
        <v>7</v>
      </c>
      <c r="C371" t="s">
        <v>23</v>
      </c>
      <c r="D371" s="24">
        <v>45962</v>
      </c>
      <c r="E371" t="s">
        <v>224</v>
      </c>
      <c r="F371" t="s">
        <v>4</v>
      </c>
      <c r="G371" t="s">
        <v>217</v>
      </c>
      <c r="H371" t="s">
        <v>217</v>
      </c>
      <c r="I371" t="s">
        <v>300</v>
      </c>
      <c r="J371" s="25">
        <v>1989</v>
      </c>
      <c r="K371" s="26">
        <v>412.47</v>
      </c>
      <c r="L371" s="26">
        <v>5.82</v>
      </c>
    </row>
    <row r="372" spans="1:12" ht="16" customHeight="1">
      <c r="A372" t="s">
        <v>328</v>
      </c>
      <c r="B372" t="s">
        <v>7</v>
      </c>
      <c r="C372" t="s">
        <v>23</v>
      </c>
      <c r="D372" s="24">
        <v>45962</v>
      </c>
      <c r="E372" t="s">
        <v>226</v>
      </c>
      <c r="F372" t="s">
        <v>4</v>
      </c>
      <c r="G372" t="s">
        <v>217</v>
      </c>
      <c r="H372" t="s">
        <v>217</v>
      </c>
      <c r="I372" t="s">
        <v>301</v>
      </c>
      <c r="J372" s="25">
        <v>0</v>
      </c>
      <c r="K372" s="26">
        <v>0</v>
      </c>
      <c r="L372" s="26">
        <v>0</v>
      </c>
    </row>
    <row r="373" spans="1:12" ht="16" customHeight="1">
      <c r="A373" t="s">
        <v>328</v>
      </c>
      <c r="B373" t="s">
        <v>7</v>
      </c>
      <c r="C373" t="s">
        <v>23</v>
      </c>
      <c r="D373" s="24">
        <v>45962</v>
      </c>
      <c r="E373" t="s">
        <v>269</v>
      </c>
      <c r="F373" t="s">
        <v>4</v>
      </c>
      <c r="G373" t="s">
        <v>217</v>
      </c>
      <c r="H373" t="s">
        <v>217</v>
      </c>
      <c r="I373" t="s">
        <v>302</v>
      </c>
      <c r="J373" s="25">
        <v>0</v>
      </c>
      <c r="K373" s="26">
        <v>0</v>
      </c>
      <c r="L373" s="26">
        <v>0</v>
      </c>
    </row>
    <row r="374" spans="1:12" ht="16" customHeight="1">
      <c r="A374" t="s">
        <v>329</v>
      </c>
      <c r="B374" t="s">
        <v>3</v>
      </c>
      <c r="C374" t="s">
        <v>25</v>
      </c>
      <c r="D374" s="24">
        <v>45992</v>
      </c>
      <c r="E374" t="s">
        <v>222</v>
      </c>
      <c r="F374" t="s">
        <v>4</v>
      </c>
      <c r="G374" t="s">
        <v>217</v>
      </c>
      <c r="H374" t="s">
        <v>217</v>
      </c>
      <c r="I374" t="s">
        <v>212</v>
      </c>
      <c r="J374" s="25">
        <v>2279487</v>
      </c>
      <c r="K374" s="26">
        <v>479779.46</v>
      </c>
      <c r="L374" s="26">
        <v>4002.24</v>
      </c>
    </row>
    <row r="375" spans="1:12" ht="16" customHeight="1">
      <c r="A375" t="s">
        <v>329</v>
      </c>
      <c r="B375" t="s">
        <v>3</v>
      </c>
      <c r="C375" t="s">
        <v>25</v>
      </c>
      <c r="D375" s="24">
        <v>45992</v>
      </c>
      <c r="E375" t="s">
        <v>296</v>
      </c>
      <c r="F375" t="s">
        <v>4</v>
      </c>
      <c r="G375" t="s">
        <v>217</v>
      </c>
      <c r="H375" t="s">
        <v>217</v>
      </c>
      <c r="I375" t="s">
        <v>219</v>
      </c>
      <c r="J375" s="25">
        <v>24325</v>
      </c>
      <c r="K375" s="26">
        <v>4426.8500000000004</v>
      </c>
      <c r="L375" s="26">
        <v>50.29</v>
      </c>
    </row>
    <row r="376" spans="1:12" ht="16" customHeight="1">
      <c r="A376" t="s">
        <v>329</v>
      </c>
      <c r="B376" t="s">
        <v>3</v>
      </c>
      <c r="C376" t="s">
        <v>25</v>
      </c>
      <c r="D376" s="24">
        <v>45992</v>
      </c>
      <c r="E376" t="s">
        <v>326</v>
      </c>
      <c r="F376" t="s">
        <v>4</v>
      </c>
      <c r="G376" t="s">
        <v>217</v>
      </c>
      <c r="H376" t="s">
        <v>217</v>
      </c>
      <c r="I376" t="s">
        <v>221</v>
      </c>
      <c r="J376" s="25">
        <v>1275</v>
      </c>
      <c r="K376" s="26">
        <v>225.89</v>
      </c>
      <c r="L376" s="26">
        <v>2.74</v>
      </c>
    </row>
    <row r="377" spans="1:12" ht="16" customHeight="1">
      <c r="A377" t="s">
        <v>329</v>
      </c>
      <c r="B377" t="s">
        <v>3</v>
      </c>
      <c r="C377" t="s">
        <v>25</v>
      </c>
      <c r="D377" s="24">
        <v>45992</v>
      </c>
      <c r="E377" t="s">
        <v>224</v>
      </c>
      <c r="F377" t="s">
        <v>4</v>
      </c>
      <c r="G377" t="s">
        <v>217</v>
      </c>
      <c r="H377" t="s">
        <v>217</v>
      </c>
      <c r="I377" t="s">
        <v>223</v>
      </c>
      <c r="J377" s="25">
        <v>8334</v>
      </c>
      <c r="K377" s="26">
        <v>1716.55</v>
      </c>
      <c r="L377" s="26">
        <v>20.28</v>
      </c>
    </row>
    <row r="378" spans="1:12" ht="16" customHeight="1">
      <c r="A378" t="s">
        <v>329</v>
      </c>
      <c r="B378" t="s">
        <v>3</v>
      </c>
      <c r="C378" t="s">
        <v>25</v>
      </c>
      <c r="D378" s="24">
        <v>45992</v>
      </c>
      <c r="E378" t="s">
        <v>226</v>
      </c>
      <c r="F378" t="s">
        <v>4</v>
      </c>
      <c r="G378" t="s">
        <v>217</v>
      </c>
      <c r="H378" t="s">
        <v>217</v>
      </c>
      <c r="I378" t="s">
        <v>225</v>
      </c>
      <c r="J378" s="25">
        <v>0</v>
      </c>
      <c r="K378" s="26">
        <v>0</v>
      </c>
      <c r="L378" s="26">
        <v>0</v>
      </c>
    </row>
    <row r="379" spans="1:12" ht="16" customHeight="1">
      <c r="A379" t="s">
        <v>329</v>
      </c>
      <c r="B379" t="s">
        <v>3</v>
      </c>
      <c r="C379" t="s">
        <v>25</v>
      </c>
      <c r="D379" s="24">
        <v>45992</v>
      </c>
      <c r="E379" t="s">
        <v>269</v>
      </c>
      <c r="F379" t="s">
        <v>4</v>
      </c>
      <c r="G379" t="s">
        <v>217</v>
      </c>
      <c r="H379" t="s">
        <v>217</v>
      </c>
      <c r="I379" t="s">
        <v>227</v>
      </c>
      <c r="J379" s="25">
        <v>0</v>
      </c>
      <c r="K379" s="26">
        <v>0</v>
      </c>
      <c r="L379" s="26">
        <v>0</v>
      </c>
    </row>
    <row r="380" spans="1:12" ht="16" customHeight="1">
      <c r="A380" t="s">
        <v>291</v>
      </c>
      <c r="B380" t="s">
        <v>4</v>
      </c>
      <c r="C380" t="s">
        <v>25</v>
      </c>
      <c r="D380" s="24">
        <v>45992</v>
      </c>
      <c r="E380" t="s">
        <v>222</v>
      </c>
      <c r="F380" t="s">
        <v>4</v>
      </c>
      <c r="G380" t="s">
        <v>217</v>
      </c>
      <c r="H380" t="s">
        <v>217</v>
      </c>
      <c r="I380" t="s">
        <v>212</v>
      </c>
      <c r="J380" s="25">
        <v>1916768</v>
      </c>
      <c r="K380" s="26">
        <v>400798.53</v>
      </c>
      <c r="L380" s="26">
        <v>3415.48</v>
      </c>
    </row>
    <row r="381" spans="1:12" ht="16" customHeight="1">
      <c r="A381" t="s">
        <v>291</v>
      </c>
      <c r="B381" t="s">
        <v>4</v>
      </c>
      <c r="C381" t="s">
        <v>25</v>
      </c>
      <c r="D381" s="24">
        <v>45992</v>
      </c>
      <c r="E381" t="s">
        <v>296</v>
      </c>
      <c r="F381" t="s">
        <v>4</v>
      </c>
      <c r="G381" t="s">
        <v>217</v>
      </c>
      <c r="H381" t="s">
        <v>217</v>
      </c>
      <c r="I381" t="s">
        <v>219</v>
      </c>
      <c r="J381" s="25">
        <v>18854</v>
      </c>
      <c r="K381" s="26">
        <v>3431.95</v>
      </c>
      <c r="L381" s="26">
        <v>41.61</v>
      </c>
    </row>
    <row r="382" spans="1:12" ht="16" customHeight="1">
      <c r="A382" t="s">
        <v>291</v>
      </c>
      <c r="B382" t="s">
        <v>4</v>
      </c>
      <c r="C382" t="s">
        <v>25</v>
      </c>
      <c r="D382" s="24">
        <v>45992</v>
      </c>
      <c r="E382" t="s">
        <v>326</v>
      </c>
      <c r="F382" t="s">
        <v>4</v>
      </c>
      <c r="G382" t="s">
        <v>217</v>
      </c>
      <c r="H382" t="s">
        <v>217</v>
      </c>
      <c r="I382" t="s">
        <v>221</v>
      </c>
      <c r="J382" s="25">
        <v>971</v>
      </c>
      <c r="K382" s="26">
        <v>174.24</v>
      </c>
      <c r="L382" s="26">
        <v>2.2200000000000002</v>
      </c>
    </row>
    <row r="383" spans="1:12" ht="16" customHeight="1">
      <c r="A383" t="s">
        <v>291</v>
      </c>
      <c r="B383" t="s">
        <v>4</v>
      </c>
      <c r="C383" t="s">
        <v>25</v>
      </c>
      <c r="D383" s="24">
        <v>45992</v>
      </c>
      <c r="E383" t="s">
        <v>224</v>
      </c>
      <c r="F383" t="s">
        <v>4</v>
      </c>
      <c r="G383" t="s">
        <v>217</v>
      </c>
      <c r="H383" t="s">
        <v>217</v>
      </c>
      <c r="I383" t="s">
        <v>223</v>
      </c>
      <c r="J383" s="25">
        <v>1683</v>
      </c>
      <c r="K383" s="26">
        <v>354.67</v>
      </c>
      <c r="L383" s="26">
        <v>6.89</v>
      </c>
    </row>
    <row r="384" spans="1:12" ht="16" customHeight="1">
      <c r="A384" t="s">
        <v>291</v>
      </c>
      <c r="B384" t="s">
        <v>4</v>
      </c>
      <c r="C384" t="s">
        <v>25</v>
      </c>
      <c r="D384" s="24">
        <v>45992</v>
      </c>
      <c r="E384" t="s">
        <v>226</v>
      </c>
      <c r="F384" t="s">
        <v>4</v>
      </c>
      <c r="G384" t="s">
        <v>217</v>
      </c>
      <c r="H384" t="s">
        <v>217</v>
      </c>
      <c r="I384" t="s">
        <v>225</v>
      </c>
      <c r="J384" s="25">
        <v>0</v>
      </c>
      <c r="K384" s="26">
        <v>0</v>
      </c>
      <c r="L384" s="26">
        <v>0</v>
      </c>
    </row>
    <row r="385" spans="1:12" ht="16" customHeight="1">
      <c r="A385" t="s">
        <v>291</v>
      </c>
      <c r="B385" t="s">
        <v>4</v>
      </c>
      <c r="C385" t="s">
        <v>25</v>
      </c>
      <c r="D385" s="24">
        <v>45992</v>
      </c>
      <c r="E385" t="s">
        <v>269</v>
      </c>
      <c r="F385" t="s">
        <v>4</v>
      </c>
      <c r="G385" t="s">
        <v>217</v>
      </c>
      <c r="H385" t="s">
        <v>217</v>
      </c>
      <c r="I385" t="s">
        <v>227</v>
      </c>
      <c r="J385" s="25">
        <v>0</v>
      </c>
      <c r="K385" s="26">
        <v>0</v>
      </c>
      <c r="L385" s="26">
        <v>0</v>
      </c>
    </row>
    <row r="386" spans="1:12" ht="16" customHeight="1">
      <c r="A386" t="s">
        <v>338</v>
      </c>
      <c r="B386" t="s">
        <v>5</v>
      </c>
      <c r="C386" t="s">
        <v>25</v>
      </c>
      <c r="D386" s="24">
        <v>45992</v>
      </c>
      <c r="E386" t="s">
        <v>222</v>
      </c>
      <c r="F386" t="s">
        <v>4</v>
      </c>
      <c r="G386" t="s">
        <v>217</v>
      </c>
      <c r="H386" t="s">
        <v>217</v>
      </c>
      <c r="I386" t="s">
        <v>212</v>
      </c>
      <c r="J386" s="25">
        <v>2431052</v>
      </c>
      <c r="K386" s="26">
        <v>507001.82</v>
      </c>
      <c r="L386" s="26">
        <v>4024.07</v>
      </c>
    </row>
    <row r="387" spans="1:12" ht="16" customHeight="1">
      <c r="A387" t="s">
        <v>338</v>
      </c>
      <c r="B387" t="s">
        <v>5</v>
      </c>
      <c r="C387" t="s">
        <v>25</v>
      </c>
      <c r="D387" s="24">
        <v>45992</v>
      </c>
      <c r="E387" t="s">
        <v>296</v>
      </c>
      <c r="F387" t="s">
        <v>4</v>
      </c>
      <c r="G387" t="s">
        <v>217</v>
      </c>
      <c r="H387" t="s">
        <v>217</v>
      </c>
      <c r="I387" t="s">
        <v>219</v>
      </c>
      <c r="J387" s="25">
        <v>29815</v>
      </c>
      <c r="K387" s="26">
        <v>5400.05</v>
      </c>
      <c r="L387" s="26">
        <v>54.9</v>
      </c>
    </row>
    <row r="388" spans="1:12" ht="16" customHeight="1">
      <c r="A388" t="s">
        <v>338</v>
      </c>
      <c r="B388" t="s">
        <v>5</v>
      </c>
      <c r="C388" t="s">
        <v>25</v>
      </c>
      <c r="D388" s="24">
        <v>45992</v>
      </c>
      <c r="E388" t="s">
        <v>326</v>
      </c>
      <c r="F388" t="s">
        <v>4</v>
      </c>
      <c r="G388" t="s">
        <v>217</v>
      </c>
      <c r="H388" t="s">
        <v>217</v>
      </c>
      <c r="I388" t="s">
        <v>221</v>
      </c>
      <c r="J388" s="25">
        <v>1192</v>
      </c>
      <c r="K388" s="26">
        <v>211.94</v>
      </c>
      <c r="L388" s="26">
        <v>2.4</v>
      </c>
    </row>
    <row r="389" spans="1:12" ht="16" customHeight="1">
      <c r="A389" t="s">
        <v>338</v>
      </c>
      <c r="B389" t="s">
        <v>5</v>
      </c>
      <c r="C389" t="s">
        <v>25</v>
      </c>
      <c r="D389" s="24">
        <v>45992</v>
      </c>
      <c r="E389" t="s">
        <v>224</v>
      </c>
      <c r="F389" t="s">
        <v>4</v>
      </c>
      <c r="G389" t="s">
        <v>217</v>
      </c>
      <c r="H389" t="s">
        <v>217</v>
      </c>
      <c r="I389" t="s">
        <v>223</v>
      </c>
      <c r="J389" s="25">
        <v>2903</v>
      </c>
      <c r="K389" s="26">
        <v>603.95000000000005</v>
      </c>
      <c r="L389" s="26">
        <v>9.77</v>
      </c>
    </row>
    <row r="390" spans="1:12" ht="16" customHeight="1">
      <c r="A390" t="s">
        <v>338</v>
      </c>
      <c r="B390" t="s">
        <v>5</v>
      </c>
      <c r="C390" t="s">
        <v>25</v>
      </c>
      <c r="D390" s="24">
        <v>45992</v>
      </c>
      <c r="E390" t="s">
        <v>226</v>
      </c>
      <c r="F390" t="s">
        <v>4</v>
      </c>
      <c r="G390" t="s">
        <v>217</v>
      </c>
      <c r="H390" t="s">
        <v>217</v>
      </c>
      <c r="I390" t="s">
        <v>225</v>
      </c>
      <c r="J390" s="25">
        <v>0</v>
      </c>
      <c r="K390" s="26">
        <v>0</v>
      </c>
      <c r="L390" s="26">
        <v>0</v>
      </c>
    </row>
    <row r="391" spans="1:12" ht="16" customHeight="1">
      <c r="A391" t="s">
        <v>338</v>
      </c>
      <c r="B391" t="s">
        <v>5</v>
      </c>
      <c r="C391" t="s">
        <v>25</v>
      </c>
      <c r="D391" s="24">
        <v>45992</v>
      </c>
      <c r="E391" t="s">
        <v>269</v>
      </c>
      <c r="F391" t="s">
        <v>4</v>
      </c>
      <c r="G391" t="s">
        <v>217</v>
      </c>
      <c r="H391" t="s">
        <v>217</v>
      </c>
      <c r="I391" t="s">
        <v>227</v>
      </c>
      <c r="J391" s="25">
        <v>0</v>
      </c>
      <c r="K391" s="26">
        <v>0</v>
      </c>
      <c r="L391" s="26">
        <v>0</v>
      </c>
    </row>
    <row r="392" spans="1:12" ht="16" customHeight="1">
      <c r="A392" t="s">
        <v>340</v>
      </c>
      <c r="B392" t="s">
        <v>6</v>
      </c>
      <c r="C392" t="s">
        <v>25</v>
      </c>
      <c r="D392" s="24">
        <v>45992</v>
      </c>
      <c r="E392" t="s">
        <v>222</v>
      </c>
      <c r="F392" t="s">
        <v>4</v>
      </c>
      <c r="G392" t="s">
        <v>217</v>
      </c>
      <c r="H392" t="s">
        <v>217</v>
      </c>
      <c r="I392" t="s">
        <v>212</v>
      </c>
      <c r="J392" s="25">
        <v>1959814</v>
      </c>
      <c r="K392" s="26">
        <v>408936.38</v>
      </c>
      <c r="L392" s="26">
        <v>3297.76</v>
      </c>
    </row>
    <row r="393" spans="1:12" ht="16" customHeight="1">
      <c r="A393" t="s">
        <v>340</v>
      </c>
      <c r="B393" t="s">
        <v>6</v>
      </c>
      <c r="C393" t="s">
        <v>25</v>
      </c>
      <c r="D393" s="24">
        <v>45992</v>
      </c>
      <c r="E393" t="s">
        <v>296</v>
      </c>
      <c r="F393" t="s">
        <v>4</v>
      </c>
      <c r="G393" t="s">
        <v>217</v>
      </c>
      <c r="H393" t="s">
        <v>217</v>
      </c>
      <c r="I393" t="s">
        <v>219</v>
      </c>
      <c r="J393" s="25">
        <v>16349</v>
      </c>
      <c r="K393" s="26">
        <v>2959.48</v>
      </c>
      <c r="L393" s="26">
        <v>32.39</v>
      </c>
    </row>
    <row r="394" spans="1:12" ht="16" customHeight="1">
      <c r="A394" t="s">
        <v>340</v>
      </c>
      <c r="B394" t="s">
        <v>6</v>
      </c>
      <c r="C394" t="s">
        <v>25</v>
      </c>
      <c r="D394" s="24">
        <v>45992</v>
      </c>
      <c r="E394" t="s">
        <v>326</v>
      </c>
      <c r="F394" t="s">
        <v>4</v>
      </c>
      <c r="G394" t="s">
        <v>217</v>
      </c>
      <c r="H394" t="s">
        <v>217</v>
      </c>
      <c r="I394" t="s">
        <v>221</v>
      </c>
      <c r="J394" s="25">
        <v>1569</v>
      </c>
      <c r="K394" s="26">
        <v>286.35000000000002</v>
      </c>
      <c r="L394" s="26">
        <v>3.36</v>
      </c>
    </row>
    <row r="395" spans="1:12" ht="16" customHeight="1">
      <c r="A395" t="s">
        <v>340</v>
      </c>
      <c r="B395" t="s">
        <v>6</v>
      </c>
      <c r="C395" t="s">
        <v>25</v>
      </c>
      <c r="D395" s="24">
        <v>45992</v>
      </c>
      <c r="E395" t="s">
        <v>224</v>
      </c>
      <c r="F395" t="s">
        <v>4</v>
      </c>
      <c r="G395" t="s">
        <v>217</v>
      </c>
      <c r="H395" t="s">
        <v>217</v>
      </c>
      <c r="I395" t="s">
        <v>223</v>
      </c>
      <c r="J395" s="25">
        <v>1050</v>
      </c>
      <c r="K395" s="26">
        <v>218.8</v>
      </c>
      <c r="L395" s="26">
        <v>3.51</v>
      </c>
    </row>
    <row r="396" spans="1:12" ht="16" customHeight="1">
      <c r="A396" t="s">
        <v>340</v>
      </c>
      <c r="B396" t="s">
        <v>6</v>
      </c>
      <c r="C396" t="s">
        <v>25</v>
      </c>
      <c r="D396" s="24">
        <v>45992</v>
      </c>
      <c r="E396" t="s">
        <v>226</v>
      </c>
      <c r="F396" t="s">
        <v>4</v>
      </c>
      <c r="G396" t="s">
        <v>217</v>
      </c>
      <c r="H396" t="s">
        <v>217</v>
      </c>
      <c r="I396" t="s">
        <v>225</v>
      </c>
      <c r="J396" s="25">
        <v>0</v>
      </c>
      <c r="K396" s="26">
        <v>0</v>
      </c>
      <c r="L396" s="26">
        <v>0</v>
      </c>
    </row>
    <row r="397" spans="1:12" ht="16" customHeight="1">
      <c r="A397" t="s">
        <v>340</v>
      </c>
      <c r="B397" t="s">
        <v>6</v>
      </c>
      <c r="C397" t="s">
        <v>25</v>
      </c>
      <c r="D397" s="24">
        <v>45992</v>
      </c>
      <c r="E397" t="s">
        <v>269</v>
      </c>
      <c r="F397" t="s">
        <v>4</v>
      </c>
      <c r="G397" t="s">
        <v>217</v>
      </c>
      <c r="H397" t="s">
        <v>217</v>
      </c>
      <c r="I397" t="s">
        <v>227</v>
      </c>
      <c r="J397" s="25">
        <v>0</v>
      </c>
      <c r="K397" s="26">
        <v>0</v>
      </c>
      <c r="L397" s="26">
        <v>0</v>
      </c>
    </row>
    <row r="398" spans="1:12" ht="16" customHeight="1">
      <c r="A398" t="s">
        <v>341</v>
      </c>
      <c r="B398" t="s">
        <v>7</v>
      </c>
      <c r="C398" t="s">
        <v>25</v>
      </c>
      <c r="D398" s="24">
        <v>45992</v>
      </c>
      <c r="E398" t="s">
        <v>222</v>
      </c>
      <c r="F398" t="s">
        <v>4</v>
      </c>
      <c r="G398" t="s">
        <v>217</v>
      </c>
      <c r="H398" t="s">
        <v>217</v>
      </c>
      <c r="I398" t="s">
        <v>212</v>
      </c>
      <c r="J398" s="25">
        <v>3058190</v>
      </c>
      <c r="K398" s="26">
        <v>639698.37</v>
      </c>
      <c r="L398" s="26">
        <v>4694.68</v>
      </c>
    </row>
    <row r="399" spans="1:12" ht="16" customHeight="1">
      <c r="A399" t="s">
        <v>341</v>
      </c>
      <c r="B399" t="s">
        <v>7</v>
      </c>
      <c r="C399" t="s">
        <v>25</v>
      </c>
      <c r="D399" s="24">
        <v>45992</v>
      </c>
      <c r="E399" t="s">
        <v>296</v>
      </c>
      <c r="F399" t="s">
        <v>4</v>
      </c>
      <c r="G399" t="s">
        <v>217</v>
      </c>
      <c r="H399" t="s">
        <v>217</v>
      </c>
      <c r="I399" t="s">
        <v>219</v>
      </c>
      <c r="J399" s="25">
        <v>53615</v>
      </c>
      <c r="K399" s="26">
        <v>9595.19</v>
      </c>
      <c r="L399" s="26">
        <v>93.23</v>
      </c>
    </row>
    <row r="400" spans="1:12" ht="16" customHeight="1">
      <c r="A400" t="s">
        <v>341</v>
      </c>
      <c r="B400" t="s">
        <v>7</v>
      </c>
      <c r="C400" t="s">
        <v>25</v>
      </c>
      <c r="D400" s="24">
        <v>45992</v>
      </c>
      <c r="E400" t="s">
        <v>326</v>
      </c>
      <c r="F400" t="s">
        <v>4</v>
      </c>
      <c r="G400" t="s">
        <v>217</v>
      </c>
      <c r="H400" t="s">
        <v>217</v>
      </c>
      <c r="I400" t="s">
        <v>221</v>
      </c>
      <c r="J400" s="25">
        <v>1466</v>
      </c>
      <c r="K400" s="26">
        <v>260.98</v>
      </c>
      <c r="L400" s="26">
        <v>2.68</v>
      </c>
    </row>
    <row r="401" spans="1:12" ht="16" customHeight="1">
      <c r="A401" t="s">
        <v>341</v>
      </c>
      <c r="B401" t="s">
        <v>7</v>
      </c>
      <c r="C401" t="s">
        <v>25</v>
      </c>
      <c r="D401" s="24">
        <v>45992</v>
      </c>
      <c r="E401" t="s">
        <v>224</v>
      </c>
      <c r="F401" t="s">
        <v>4</v>
      </c>
      <c r="G401" t="s">
        <v>217</v>
      </c>
      <c r="H401" t="s">
        <v>217</v>
      </c>
      <c r="I401" t="s">
        <v>223</v>
      </c>
      <c r="J401" s="25">
        <v>1893</v>
      </c>
      <c r="K401" s="26">
        <v>391.46</v>
      </c>
      <c r="L401" s="26">
        <v>4.92</v>
      </c>
    </row>
    <row r="402" spans="1:12" ht="16" customHeight="1">
      <c r="A402" t="s">
        <v>341</v>
      </c>
      <c r="B402" t="s">
        <v>7</v>
      </c>
      <c r="C402" t="s">
        <v>25</v>
      </c>
      <c r="D402" s="24">
        <v>45992</v>
      </c>
      <c r="E402" t="s">
        <v>226</v>
      </c>
      <c r="F402" t="s">
        <v>4</v>
      </c>
      <c r="G402" t="s">
        <v>217</v>
      </c>
      <c r="H402" t="s">
        <v>217</v>
      </c>
      <c r="I402" t="s">
        <v>225</v>
      </c>
      <c r="J402" s="25">
        <v>0</v>
      </c>
      <c r="K402" s="26">
        <v>0</v>
      </c>
      <c r="L402" s="26">
        <v>0</v>
      </c>
    </row>
    <row r="403" spans="1:12" ht="16" customHeight="1">
      <c r="A403" t="s">
        <v>341</v>
      </c>
      <c r="B403" t="s">
        <v>7</v>
      </c>
      <c r="C403" t="s">
        <v>25</v>
      </c>
      <c r="D403" s="24">
        <v>45992</v>
      </c>
      <c r="E403" t="s">
        <v>269</v>
      </c>
      <c r="F403" t="s">
        <v>4</v>
      </c>
      <c r="G403" t="s">
        <v>217</v>
      </c>
      <c r="H403" t="s">
        <v>217</v>
      </c>
      <c r="I403" t="s">
        <v>227</v>
      </c>
      <c r="J403" s="25">
        <v>0</v>
      </c>
      <c r="K403" s="26">
        <v>0</v>
      </c>
      <c r="L403" s="26">
        <v>0</v>
      </c>
    </row>
    <row r="404" spans="1:12" ht="16" customHeight="1">
      <c r="A404" t="s">
        <v>342</v>
      </c>
      <c r="B404" t="s">
        <v>3</v>
      </c>
      <c r="C404" t="s">
        <v>26</v>
      </c>
      <c r="D404" s="24">
        <v>45992</v>
      </c>
      <c r="E404" t="s">
        <v>222</v>
      </c>
      <c r="F404" t="s">
        <v>4</v>
      </c>
      <c r="G404" t="s">
        <v>217</v>
      </c>
      <c r="H404" t="s">
        <v>217</v>
      </c>
      <c r="I404" t="s">
        <v>212</v>
      </c>
      <c r="J404" s="25">
        <v>2909142</v>
      </c>
      <c r="K404" s="26">
        <v>606124.31000000006</v>
      </c>
      <c r="L404" s="26">
        <v>4314.3100000000004</v>
      </c>
    </row>
    <row r="405" spans="1:12" ht="16" customHeight="1">
      <c r="A405" t="s">
        <v>342</v>
      </c>
      <c r="B405" t="s">
        <v>3</v>
      </c>
      <c r="C405" t="s">
        <v>26</v>
      </c>
      <c r="D405" s="24">
        <v>45992</v>
      </c>
      <c r="E405" t="s">
        <v>296</v>
      </c>
      <c r="F405" t="s">
        <v>4</v>
      </c>
      <c r="G405" t="s">
        <v>217</v>
      </c>
      <c r="H405" t="s">
        <v>217</v>
      </c>
      <c r="I405" t="s">
        <v>219</v>
      </c>
      <c r="J405" s="25">
        <v>58358</v>
      </c>
      <c r="K405" s="26">
        <v>10587.31</v>
      </c>
      <c r="L405" s="26">
        <v>134</v>
      </c>
    </row>
    <row r="406" spans="1:12" ht="16" customHeight="1">
      <c r="A406" t="s">
        <v>342</v>
      </c>
      <c r="B406" t="s">
        <v>3</v>
      </c>
      <c r="C406" t="s">
        <v>26</v>
      </c>
      <c r="D406" s="24">
        <v>45992</v>
      </c>
      <c r="E406" t="s">
        <v>326</v>
      </c>
      <c r="F406" t="s">
        <v>4</v>
      </c>
      <c r="G406" t="s">
        <v>217</v>
      </c>
      <c r="H406" t="s">
        <v>217</v>
      </c>
      <c r="I406" t="s">
        <v>221</v>
      </c>
      <c r="J406" s="25">
        <v>2710</v>
      </c>
      <c r="K406" s="26">
        <v>488.41</v>
      </c>
      <c r="L406" s="26">
        <v>5.25</v>
      </c>
    </row>
    <row r="407" spans="1:12" ht="16" customHeight="1">
      <c r="A407" t="s">
        <v>342</v>
      </c>
      <c r="B407" t="s">
        <v>3</v>
      </c>
      <c r="C407" t="s">
        <v>26</v>
      </c>
      <c r="D407" s="24">
        <v>45992</v>
      </c>
      <c r="E407" t="s">
        <v>224</v>
      </c>
      <c r="F407" t="s">
        <v>4</v>
      </c>
      <c r="G407" t="s">
        <v>217</v>
      </c>
      <c r="H407" t="s">
        <v>217</v>
      </c>
      <c r="I407" t="s">
        <v>223</v>
      </c>
      <c r="J407" s="25">
        <v>1565</v>
      </c>
      <c r="K407" s="26">
        <v>328.73</v>
      </c>
      <c r="L407" s="26">
        <v>5.64</v>
      </c>
    </row>
    <row r="408" spans="1:12" ht="16" customHeight="1">
      <c r="A408" t="s">
        <v>342</v>
      </c>
      <c r="B408" t="s">
        <v>3</v>
      </c>
      <c r="C408" t="s">
        <v>26</v>
      </c>
      <c r="D408" s="24">
        <v>45992</v>
      </c>
      <c r="E408" t="s">
        <v>226</v>
      </c>
      <c r="F408" t="s">
        <v>4</v>
      </c>
      <c r="G408" t="s">
        <v>217</v>
      </c>
      <c r="H408" t="s">
        <v>217</v>
      </c>
      <c r="I408" t="s">
        <v>225</v>
      </c>
      <c r="J408" s="25">
        <v>0</v>
      </c>
      <c r="K408" s="26">
        <v>0</v>
      </c>
      <c r="L408" s="26">
        <v>0</v>
      </c>
    </row>
    <row r="409" spans="1:12" ht="16" customHeight="1">
      <c r="A409" t="s">
        <v>342</v>
      </c>
      <c r="B409" t="s">
        <v>3</v>
      </c>
      <c r="C409" t="s">
        <v>26</v>
      </c>
      <c r="D409" s="24">
        <v>45992</v>
      </c>
      <c r="E409" t="s">
        <v>269</v>
      </c>
      <c r="F409" t="s">
        <v>4</v>
      </c>
      <c r="G409" t="s">
        <v>217</v>
      </c>
      <c r="H409" t="s">
        <v>217</v>
      </c>
      <c r="I409" t="s">
        <v>227</v>
      </c>
      <c r="J409" s="25">
        <v>0</v>
      </c>
      <c r="K409" s="26">
        <v>0</v>
      </c>
      <c r="L409" s="26">
        <v>0</v>
      </c>
    </row>
    <row r="410" spans="1:12" ht="16" customHeight="1">
      <c r="A410" t="s">
        <v>312</v>
      </c>
      <c r="B410" t="s">
        <v>4</v>
      </c>
      <c r="C410" t="s">
        <v>26</v>
      </c>
      <c r="D410" s="24">
        <v>45992</v>
      </c>
      <c r="E410" t="s">
        <v>222</v>
      </c>
      <c r="F410" t="s">
        <v>4</v>
      </c>
      <c r="G410" t="s">
        <v>217</v>
      </c>
      <c r="H410" t="s">
        <v>217</v>
      </c>
      <c r="I410" t="s">
        <v>212</v>
      </c>
      <c r="J410" s="25">
        <v>2848895</v>
      </c>
      <c r="K410" s="26">
        <v>591896.15</v>
      </c>
      <c r="L410" s="26">
        <v>4107.04</v>
      </c>
    </row>
    <row r="411" spans="1:12" ht="16" customHeight="1">
      <c r="A411" t="s">
        <v>312</v>
      </c>
      <c r="B411" t="s">
        <v>4</v>
      </c>
      <c r="C411" t="s">
        <v>26</v>
      </c>
      <c r="D411" s="24">
        <v>45992</v>
      </c>
      <c r="E411" t="s">
        <v>296</v>
      </c>
      <c r="F411" t="s">
        <v>4</v>
      </c>
      <c r="G411" t="s">
        <v>217</v>
      </c>
      <c r="H411" t="s">
        <v>217</v>
      </c>
      <c r="I411" t="s">
        <v>219</v>
      </c>
      <c r="J411" s="25">
        <v>69626</v>
      </c>
      <c r="K411" s="26">
        <v>12586.03</v>
      </c>
      <c r="L411" s="26">
        <v>170.98</v>
      </c>
    </row>
    <row r="412" spans="1:12" ht="16" customHeight="1">
      <c r="A412" t="s">
        <v>312</v>
      </c>
      <c r="B412" t="s">
        <v>4</v>
      </c>
      <c r="C412" t="s">
        <v>26</v>
      </c>
      <c r="D412" s="24">
        <v>45992</v>
      </c>
      <c r="E412" t="s">
        <v>326</v>
      </c>
      <c r="F412" t="s">
        <v>4</v>
      </c>
      <c r="G412" t="s">
        <v>217</v>
      </c>
      <c r="H412" t="s">
        <v>217</v>
      </c>
      <c r="I412" t="s">
        <v>221</v>
      </c>
      <c r="J412" s="25">
        <v>2255</v>
      </c>
      <c r="K412" s="26">
        <v>399.59</v>
      </c>
      <c r="L412" s="26">
        <v>4.18</v>
      </c>
    </row>
    <row r="413" spans="1:12" ht="16" customHeight="1">
      <c r="A413" t="s">
        <v>312</v>
      </c>
      <c r="B413" t="s">
        <v>4</v>
      </c>
      <c r="C413" t="s">
        <v>26</v>
      </c>
      <c r="D413" s="24">
        <v>45992</v>
      </c>
      <c r="E413" t="s">
        <v>224</v>
      </c>
      <c r="F413" t="s">
        <v>4</v>
      </c>
      <c r="G413" t="s">
        <v>217</v>
      </c>
      <c r="H413" t="s">
        <v>217</v>
      </c>
      <c r="I413" t="s">
        <v>223</v>
      </c>
      <c r="J413" s="25">
        <v>1983</v>
      </c>
      <c r="K413" s="26">
        <v>415.55</v>
      </c>
      <c r="L413" s="26">
        <v>8.68</v>
      </c>
    </row>
    <row r="414" spans="1:12" ht="16" customHeight="1">
      <c r="A414" t="s">
        <v>312</v>
      </c>
      <c r="B414" t="s">
        <v>4</v>
      </c>
      <c r="C414" t="s">
        <v>26</v>
      </c>
      <c r="D414" s="24">
        <v>45992</v>
      </c>
      <c r="E414" t="s">
        <v>226</v>
      </c>
      <c r="F414" t="s">
        <v>4</v>
      </c>
      <c r="G414" t="s">
        <v>217</v>
      </c>
      <c r="H414" t="s">
        <v>217</v>
      </c>
      <c r="I414" t="s">
        <v>225</v>
      </c>
      <c r="J414" s="25">
        <v>0</v>
      </c>
      <c r="K414" s="26">
        <v>0</v>
      </c>
      <c r="L414" s="26">
        <v>0</v>
      </c>
    </row>
    <row r="415" spans="1:12" ht="16" customHeight="1">
      <c r="A415" t="s">
        <v>312</v>
      </c>
      <c r="B415" t="s">
        <v>4</v>
      </c>
      <c r="C415" t="s">
        <v>26</v>
      </c>
      <c r="D415" s="24">
        <v>45992</v>
      </c>
      <c r="E415" t="s">
        <v>269</v>
      </c>
      <c r="F415" t="s">
        <v>4</v>
      </c>
      <c r="G415" t="s">
        <v>217</v>
      </c>
      <c r="H415" t="s">
        <v>217</v>
      </c>
      <c r="I415" t="s">
        <v>227</v>
      </c>
      <c r="J415" s="25">
        <v>0</v>
      </c>
      <c r="K415" s="26">
        <v>0</v>
      </c>
      <c r="L415" s="26">
        <v>0</v>
      </c>
    </row>
    <row r="416" spans="1:12" ht="16" customHeight="1">
      <c r="A416" t="s">
        <v>343</v>
      </c>
      <c r="B416" t="s">
        <v>5</v>
      </c>
      <c r="C416" t="s">
        <v>26</v>
      </c>
      <c r="D416" s="24">
        <v>45992</v>
      </c>
      <c r="E416" t="s">
        <v>222</v>
      </c>
      <c r="F416" t="s">
        <v>4</v>
      </c>
      <c r="G416" t="s">
        <v>217</v>
      </c>
      <c r="H416" t="s">
        <v>217</v>
      </c>
      <c r="I416" t="s">
        <v>212</v>
      </c>
      <c r="J416" s="25">
        <v>2906344</v>
      </c>
      <c r="K416" s="26">
        <v>603482.37</v>
      </c>
      <c r="L416" s="26">
        <v>4130.8599999999997</v>
      </c>
    </row>
    <row r="417" spans="1:12" ht="16" customHeight="1">
      <c r="A417" t="s">
        <v>343</v>
      </c>
      <c r="B417" t="s">
        <v>5</v>
      </c>
      <c r="C417" t="s">
        <v>26</v>
      </c>
      <c r="D417" s="24">
        <v>45992</v>
      </c>
      <c r="E417" t="s">
        <v>296</v>
      </c>
      <c r="F417" t="s">
        <v>4</v>
      </c>
      <c r="G417" t="s">
        <v>217</v>
      </c>
      <c r="H417" t="s">
        <v>217</v>
      </c>
      <c r="I417" t="s">
        <v>219</v>
      </c>
      <c r="J417" s="25">
        <v>57094</v>
      </c>
      <c r="K417" s="26">
        <v>10308.58</v>
      </c>
      <c r="L417" s="26">
        <v>119.03</v>
      </c>
    </row>
    <row r="418" spans="1:12" ht="16" customHeight="1">
      <c r="A418" t="s">
        <v>343</v>
      </c>
      <c r="B418" t="s">
        <v>5</v>
      </c>
      <c r="C418" t="s">
        <v>26</v>
      </c>
      <c r="D418" s="24">
        <v>45992</v>
      </c>
      <c r="E418" t="s">
        <v>326</v>
      </c>
      <c r="F418" t="s">
        <v>4</v>
      </c>
      <c r="G418" t="s">
        <v>217</v>
      </c>
      <c r="H418" t="s">
        <v>217</v>
      </c>
      <c r="I418" t="s">
        <v>221</v>
      </c>
      <c r="J418" s="25">
        <v>3361</v>
      </c>
      <c r="K418" s="26">
        <v>602.74</v>
      </c>
      <c r="L418" s="26">
        <v>7.38</v>
      </c>
    </row>
    <row r="419" spans="1:12" ht="16" customHeight="1">
      <c r="A419" t="s">
        <v>343</v>
      </c>
      <c r="B419" t="s">
        <v>5</v>
      </c>
      <c r="C419" t="s">
        <v>26</v>
      </c>
      <c r="D419" s="24">
        <v>45992</v>
      </c>
      <c r="E419" t="s">
        <v>224</v>
      </c>
      <c r="F419" t="s">
        <v>4</v>
      </c>
      <c r="G419" t="s">
        <v>217</v>
      </c>
      <c r="H419" t="s">
        <v>217</v>
      </c>
      <c r="I419" t="s">
        <v>223</v>
      </c>
      <c r="J419" s="25">
        <v>2156</v>
      </c>
      <c r="K419" s="26">
        <v>442.19</v>
      </c>
      <c r="L419" s="26">
        <v>6.12</v>
      </c>
    </row>
    <row r="420" spans="1:12" ht="16" customHeight="1">
      <c r="A420" t="s">
        <v>343</v>
      </c>
      <c r="B420" t="s">
        <v>5</v>
      </c>
      <c r="C420" t="s">
        <v>26</v>
      </c>
      <c r="D420" s="24">
        <v>45992</v>
      </c>
      <c r="E420" t="s">
        <v>226</v>
      </c>
      <c r="F420" t="s">
        <v>4</v>
      </c>
      <c r="G420" t="s">
        <v>217</v>
      </c>
      <c r="H420" t="s">
        <v>217</v>
      </c>
      <c r="I420" t="s">
        <v>225</v>
      </c>
      <c r="J420" s="25">
        <v>0</v>
      </c>
      <c r="K420" s="26">
        <v>0</v>
      </c>
      <c r="L420" s="26">
        <v>0</v>
      </c>
    </row>
    <row r="421" spans="1:12" ht="16" customHeight="1">
      <c r="A421" t="s">
        <v>343</v>
      </c>
      <c r="B421" t="s">
        <v>5</v>
      </c>
      <c r="C421" t="s">
        <v>26</v>
      </c>
      <c r="D421" s="24">
        <v>45992</v>
      </c>
      <c r="E421" t="s">
        <v>269</v>
      </c>
      <c r="F421" t="s">
        <v>4</v>
      </c>
      <c r="G421" t="s">
        <v>217</v>
      </c>
      <c r="H421" t="s">
        <v>217</v>
      </c>
      <c r="I421" t="s">
        <v>227</v>
      </c>
      <c r="J421" s="25">
        <v>0</v>
      </c>
      <c r="K421" s="26">
        <v>0</v>
      </c>
      <c r="L421" s="26">
        <v>0</v>
      </c>
    </row>
    <row r="422" spans="1:12" ht="16" customHeight="1">
      <c r="A422" t="s">
        <v>345</v>
      </c>
      <c r="B422" t="s">
        <v>6</v>
      </c>
      <c r="C422" t="s">
        <v>26</v>
      </c>
      <c r="D422" s="24">
        <v>45992</v>
      </c>
      <c r="E422" t="s">
        <v>222</v>
      </c>
      <c r="F422" t="s">
        <v>4</v>
      </c>
      <c r="G422" t="s">
        <v>217</v>
      </c>
      <c r="H422" t="s">
        <v>217</v>
      </c>
      <c r="I422" t="s">
        <v>212</v>
      </c>
      <c r="J422" s="25">
        <v>3034560</v>
      </c>
      <c r="K422" s="26">
        <v>629419.81000000006</v>
      </c>
      <c r="L422" s="26">
        <v>4113.79</v>
      </c>
    </row>
    <row r="423" spans="1:12" ht="16" customHeight="1">
      <c r="A423" t="s">
        <v>345</v>
      </c>
      <c r="B423" t="s">
        <v>6</v>
      </c>
      <c r="C423" t="s">
        <v>26</v>
      </c>
      <c r="D423" s="24">
        <v>45992</v>
      </c>
      <c r="E423" t="s">
        <v>296</v>
      </c>
      <c r="F423" t="s">
        <v>4</v>
      </c>
      <c r="G423" t="s">
        <v>217</v>
      </c>
      <c r="H423" t="s">
        <v>217</v>
      </c>
      <c r="I423" t="s">
        <v>219</v>
      </c>
      <c r="J423" s="25">
        <v>72786</v>
      </c>
      <c r="K423" s="26">
        <v>13158.61</v>
      </c>
      <c r="L423" s="26">
        <v>163.96</v>
      </c>
    </row>
    <row r="424" spans="1:12" ht="16" customHeight="1">
      <c r="A424" t="s">
        <v>345</v>
      </c>
      <c r="B424" t="s">
        <v>6</v>
      </c>
      <c r="C424" t="s">
        <v>26</v>
      </c>
      <c r="D424" s="24">
        <v>45992</v>
      </c>
      <c r="E424" t="s">
        <v>326</v>
      </c>
      <c r="F424" t="s">
        <v>4</v>
      </c>
      <c r="G424" t="s">
        <v>217</v>
      </c>
      <c r="H424" t="s">
        <v>217</v>
      </c>
      <c r="I424" t="s">
        <v>221</v>
      </c>
      <c r="J424" s="25">
        <v>3137</v>
      </c>
      <c r="K424" s="26">
        <v>564.98</v>
      </c>
      <c r="L424" s="26">
        <v>5.99</v>
      </c>
    </row>
    <row r="425" spans="1:12" ht="16" customHeight="1">
      <c r="A425" t="s">
        <v>345</v>
      </c>
      <c r="B425" t="s">
        <v>6</v>
      </c>
      <c r="C425" t="s">
        <v>26</v>
      </c>
      <c r="D425" s="24">
        <v>45992</v>
      </c>
      <c r="E425" t="s">
        <v>224</v>
      </c>
      <c r="F425" t="s">
        <v>4</v>
      </c>
      <c r="G425" t="s">
        <v>217</v>
      </c>
      <c r="H425" t="s">
        <v>217</v>
      </c>
      <c r="I425" t="s">
        <v>223</v>
      </c>
      <c r="J425" s="25">
        <v>1024</v>
      </c>
      <c r="K425" s="26">
        <v>214</v>
      </c>
      <c r="L425" s="26">
        <v>3.53</v>
      </c>
    </row>
    <row r="426" spans="1:12" ht="16" customHeight="1">
      <c r="A426" t="s">
        <v>345</v>
      </c>
      <c r="B426" t="s">
        <v>6</v>
      </c>
      <c r="C426" t="s">
        <v>26</v>
      </c>
      <c r="D426" s="24">
        <v>45992</v>
      </c>
      <c r="E426" t="s">
        <v>226</v>
      </c>
      <c r="F426" t="s">
        <v>4</v>
      </c>
      <c r="G426" t="s">
        <v>217</v>
      </c>
      <c r="H426" t="s">
        <v>217</v>
      </c>
      <c r="I426" t="s">
        <v>225</v>
      </c>
      <c r="J426" s="25">
        <v>0</v>
      </c>
      <c r="K426" s="26">
        <v>0</v>
      </c>
      <c r="L426" s="26">
        <v>0</v>
      </c>
    </row>
    <row r="427" spans="1:12" ht="16" customHeight="1">
      <c r="A427" t="s">
        <v>345</v>
      </c>
      <c r="B427" t="s">
        <v>6</v>
      </c>
      <c r="C427" t="s">
        <v>26</v>
      </c>
      <c r="D427" s="24">
        <v>45992</v>
      </c>
      <c r="E427" t="s">
        <v>269</v>
      </c>
      <c r="F427" t="s">
        <v>4</v>
      </c>
      <c r="G427" t="s">
        <v>217</v>
      </c>
      <c r="H427" t="s">
        <v>217</v>
      </c>
      <c r="I427" t="s">
        <v>227</v>
      </c>
      <c r="J427" s="25">
        <v>0</v>
      </c>
      <c r="K427" s="26">
        <v>0</v>
      </c>
      <c r="L427" s="26">
        <v>0</v>
      </c>
    </row>
    <row r="428" spans="1:12" ht="16" customHeight="1">
      <c r="A428" t="s">
        <v>346</v>
      </c>
      <c r="B428" t="s">
        <v>7</v>
      </c>
      <c r="C428" t="s">
        <v>26</v>
      </c>
      <c r="D428" s="24">
        <v>45992</v>
      </c>
      <c r="E428" t="s">
        <v>222</v>
      </c>
      <c r="F428" t="s">
        <v>4</v>
      </c>
      <c r="G428" t="s">
        <v>217</v>
      </c>
      <c r="H428" t="s">
        <v>217</v>
      </c>
      <c r="I428" t="s">
        <v>212</v>
      </c>
      <c r="J428" s="25">
        <v>2840229</v>
      </c>
      <c r="K428" s="26">
        <v>589801.56000000006</v>
      </c>
      <c r="L428" s="26">
        <v>3674.17</v>
      </c>
    </row>
    <row r="429" spans="1:12" ht="16" customHeight="1">
      <c r="A429" t="s">
        <v>346</v>
      </c>
      <c r="B429" t="s">
        <v>7</v>
      </c>
      <c r="C429" t="s">
        <v>26</v>
      </c>
      <c r="D429" s="24">
        <v>45992</v>
      </c>
      <c r="E429" t="s">
        <v>296</v>
      </c>
      <c r="F429" t="s">
        <v>4</v>
      </c>
      <c r="G429" t="s">
        <v>217</v>
      </c>
      <c r="H429" t="s">
        <v>217</v>
      </c>
      <c r="I429" t="s">
        <v>219</v>
      </c>
      <c r="J429" s="25">
        <v>56415</v>
      </c>
      <c r="K429" s="26">
        <v>10185.469999999999</v>
      </c>
      <c r="L429" s="26">
        <v>111.26</v>
      </c>
    </row>
    <row r="430" spans="1:12" ht="16" customHeight="1">
      <c r="A430" t="s">
        <v>346</v>
      </c>
      <c r="B430" t="s">
        <v>7</v>
      </c>
      <c r="C430" t="s">
        <v>26</v>
      </c>
      <c r="D430" s="24">
        <v>45992</v>
      </c>
      <c r="E430" t="s">
        <v>326</v>
      </c>
      <c r="F430" t="s">
        <v>4</v>
      </c>
      <c r="G430" t="s">
        <v>217</v>
      </c>
      <c r="H430" t="s">
        <v>217</v>
      </c>
      <c r="I430" t="s">
        <v>221</v>
      </c>
      <c r="J430" s="25">
        <v>2244</v>
      </c>
      <c r="K430" s="26">
        <v>402.87</v>
      </c>
      <c r="L430" s="26">
        <v>4.1399999999999997</v>
      </c>
    </row>
    <row r="431" spans="1:12" ht="16" customHeight="1">
      <c r="A431" t="s">
        <v>346</v>
      </c>
      <c r="B431" t="s">
        <v>7</v>
      </c>
      <c r="C431" t="s">
        <v>26</v>
      </c>
      <c r="D431" s="24">
        <v>45992</v>
      </c>
      <c r="E431" t="s">
        <v>224</v>
      </c>
      <c r="F431" t="s">
        <v>4</v>
      </c>
      <c r="G431" t="s">
        <v>217</v>
      </c>
      <c r="H431" t="s">
        <v>217</v>
      </c>
      <c r="I431" t="s">
        <v>223</v>
      </c>
      <c r="J431" s="25">
        <v>557</v>
      </c>
      <c r="K431" s="26">
        <v>116.05</v>
      </c>
      <c r="L431" s="26">
        <v>1.94</v>
      </c>
    </row>
    <row r="432" spans="1:12" ht="16" customHeight="1">
      <c r="A432" t="s">
        <v>346</v>
      </c>
      <c r="B432" t="s">
        <v>7</v>
      </c>
      <c r="C432" t="s">
        <v>26</v>
      </c>
      <c r="D432" s="24">
        <v>45992</v>
      </c>
      <c r="E432" t="s">
        <v>226</v>
      </c>
      <c r="F432" t="s">
        <v>4</v>
      </c>
      <c r="G432" t="s">
        <v>217</v>
      </c>
      <c r="H432" t="s">
        <v>217</v>
      </c>
      <c r="I432" t="s">
        <v>225</v>
      </c>
      <c r="J432" s="25">
        <v>0</v>
      </c>
      <c r="K432" s="26">
        <v>0</v>
      </c>
      <c r="L432" s="26">
        <v>0</v>
      </c>
    </row>
    <row r="433" spans="1:12" ht="16" customHeight="1">
      <c r="A433" t="s">
        <v>346</v>
      </c>
      <c r="B433" t="s">
        <v>7</v>
      </c>
      <c r="C433" t="s">
        <v>26</v>
      </c>
      <c r="D433" s="24">
        <v>45992</v>
      </c>
      <c r="E433" t="s">
        <v>269</v>
      </c>
      <c r="F433" t="s">
        <v>4</v>
      </c>
      <c r="G433" t="s">
        <v>217</v>
      </c>
      <c r="H433" t="s">
        <v>217</v>
      </c>
      <c r="I433" t="s">
        <v>227</v>
      </c>
      <c r="J433" s="25">
        <v>0</v>
      </c>
      <c r="K433" s="26">
        <v>0</v>
      </c>
      <c r="L433" s="26">
        <v>0</v>
      </c>
    </row>
    <row r="434" spans="1:12" ht="16" customHeight="1">
      <c r="A434" t="s">
        <v>347</v>
      </c>
      <c r="B434" t="s">
        <v>3</v>
      </c>
      <c r="C434" t="s">
        <v>27</v>
      </c>
      <c r="D434" s="24">
        <v>45992</v>
      </c>
      <c r="E434" t="s">
        <v>222</v>
      </c>
      <c r="F434" t="s">
        <v>4</v>
      </c>
      <c r="G434" t="s">
        <v>217</v>
      </c>
      <c r="H434" t="s">
        <v>217</v>
      </c>
      <c r="I434" t="s">
        <v>212</v>
      </c>
      <c r="J434" s="25">
        <v>2655527</v>
      </c>
      <c r="K434" s="26">
        <v>552005.61</v>
      </c>
      <c r="L434" s="26">
        <v>3184.78</v>
      </c>
    </row>
    <row r="435" spans="1:12" ht="16" customHeight="1">
      <c r="A435" t="s">
        <v>347</v>
      </c>
      <c r="B435" t="s">
        <v>3</v>
      </c>
      <c r="C435" t="s">
        <v>27</v>
      </c>
      <c r="D435" s="24">
        <v>45992</v>
      </c>
      <c r="E435" t="s">
        <v>296</v>
      </c>
      <c r="F435" t="s">
        <v>4</v>
      </c>
      <c r="G435" t="s">
        <v>217</v>
      </c>
      <c r="H435" t="s">
        <v>217</v>
      </c>
      <c r="I435" t="s">
        <v>219</v>
      </c>
      <c r="J435" s="25">
        <v>59568</v>
      </c>
      <c r="K435" s="26">
        <v>10761.15</v>
      </c>
      <c r="L435" s="26">
        <v>111.72</v>
      </c>
    </row>
    <row r="436" spans="1:12" ht="16" customHeight="1">
      <c r="A436" t="s">
        <v>347</v>
      </c>
      <c r="B436" t="s">
        <v>3</v>
      </c>
      <c r="C436" t="s">
        <v>27</v>
      </c>
      <c r="D436" s="24">
        <v>45992</v>
      </c>
      <c r="E436" t="s">
        <v>326</v>
      </c>
      <c r="F436" t="s">
        <v>4</v>
      </c>
      <c r="G436" t="s">
        <v>217</v>
      </c>
      <c r="H436" t="s">
        <v>217</v>
      </c>
      <c r="I436" t="s">
        <v>221</v>
      </c>
      <c r="J436" s="25">
        <v>2465</v>
      </c>
      <c r="K436" s="26">
        <v>443.54</v>
      </c>
      <c r="L436" s="26">
        <v>4.6900000000000004</v>
      </c>
    </row>
    <row r="437" spans="1:12" ht="16" customHeight="1">
      <c r="A437" t="s">
        <v>347</v>
      </c>
      <c r="B437" t="s">
        <v>3</v>
      </c>
      <c r="C437" t="s">
        <v>27</v>
      </c>
      <c r="D437" s="24">
        <v>45992</v>
      </c>
      <c r="E437" t="s">
        <v>224</v>
      </c>
      <c r="F437" t="s">
        <v>4</v>
      </c>
      <c r="G437" t="s">
        <v>217</v>
      </c>
      <c r="H437" t="s">
        <v>217</v>
      </c>
      <c r="I437" t="s">
        <v>223</v>
      </c>
      <c r="J437" s="25">
        <v>634</v>
      </c>
      <c r="K437" s="26">
        <v>132.26</v>
      </c>
      <c r="L437" s="26">
        <v>2.11</v>
      </c>
    </row>
    <row r="438" spans="1:12" ht="16" customHeight="1">
      <c r="A438" t="s">
        <v>347</v>
      </c>
      <c r="B438" t="s">
        <v>3</v>
      </c>
      <c r="C438" t="s">
        <v>27</v>
      </c>
      <c r="D438" s="24">
        <v>45992</v>
      </c>
      <c r="E438" t="s">
        <v>226</v>
      </c>
      <c r="F438" t="s">
        <v>4</v>
      </c>
      <c r="G438" t="s">
        <v>217</v>
      </c>
      <c r="H438" t="s">
        <v>217</v>
      </c>
      <c r="I438" t="s">
        <v>225</v>
      </c>
      <c r="J438" s="25">
        <v>0</v>
      </c>
      <c r="K438" s="26">
        <v>0</v>
      </c>
      <c r="L438" s="26">
        <v>0</v>
      </c>
    </row>
    <row r="439" spans="1:12" ht="16" customHeight="1">
      <c r="A439" t="s">
        <v>347</v>
      </c>
      <c r="B439" t="s">
        <v>3</v>
      </c>
      <c r="C439" t="s">
        <v>27</v>
      </c>
      <c r="D439" s="24">
        <v>45992</v>
      </c>
      <c r="E439" t="s">
        <v>269</v>
      </c>
      <c r="F439" t="s">
        <v>4</v>
      </c>
      <c r="G439" t="s">
        <v>217</v>
      </c>
      <c r="H439" t="s">
        <v>217</v>
      </c>
      <c r="I439" t="s">
        <v>227</v>
      </c>
      <c r="J439" s="25">
        <v>0</v>
      </c>
      <c r="K439" s="26">
        <v>0</v>
      </c>
      <c r="L439" s="26">
        <v>0</v>
      </c>
    </row>
    <row r="440" spans="1:12" ht="16" customHeight="1">
      <c r="A440" t="s">
        <v>316</v>
      </c>
      <c r="B440" t="s">
        <v>4</v>
      </c>
      <c r="C440" t="s">
        <v>27</v>
      </c>
      <c r="D440" s="24">
        <v>45992</v>
      </c>
      <c r="E440" t="s">
        <v>222</v>
      </c>
      <c r="F440" t="s">
        <v>4</v>
      </c>
      <c r="G440" t="s">
        <v>217</v>
      </c>
      <c r="H440" t="s">
        <v>217</v>
      </c>
      <c r="I440" t="s">
        <v>212</v>
      </c>
      <c r="J440" s="25">
        <v>2787074</v>
      </c>
      <c r="K440" s="26">
        <v>578117.47</v>
      </c>
      <c r="L440" s="26">
        <v>3261.53</v>
      </c>
    </row>
    <row r="441" spans="1:12" ht="16" customHeight="1">
      <c r="A441" t="s">
        <v>316</v>
      </c>
      <c r="B441" t="s">
        <v>4</v>
      </c>
      <c r="C441" t="s">
        <v>27</v>
      </c>
      <c r="D441" s="24">
        <v>45992</v>
      </c>
      <c r="E441" t="s">
        <v>296</v>
      </c>
      <c r="F441" t="s">
        <v>4</v>
      </c>
      <c r="G441" t="s">
        <v>217</v>
      </c>
      <c r="H441" t="s">
        <v>217</v>
      </c>
      <c r="I441" t="s">
        <v>219</v>
      </c>
      <c r="J441" s="25">
        <v>57880</v>
      </c>
      <c r="K441" s="26">
        <v>10437.18</v>
      </c>
      <c r="L441" s="26">
        <v>111.18</v>
      </c>
    </row>
    <row r="442" spans="1:12" ht="16" customHeight="1">
      <c r="A442" t="s">
        <v>316</v>
      </c>
      <c r="B442" t="s">
        <v>4</v>
      </c>
      <c r="C442" t="s">
        <v>27</v>
      </c>
      <c r="D442" s="24">
        <v>45992</v>
      </c>
      <c r="E442" t="s">
        <v>326</v>
      </c>
      <c r="F442" t="s">
        <v>4</v>
      </c>
      <c r="G442" t="s">
        <v>217</v>
      </c>
      <c r="H442" t="s">
        <v>217</v>
      </c>
      <c r="I442" t="s">
        <v>221</v>
      </c>
      <c r="J442" s="25">
        <v>3458</v>
      </c>
      <c r="K442" s="26">
        <v>624.67999999999995</v>
      </c>
      <c r="L442" s="26">
        <v>6.63</v>
      </c>
    </row>
    <row r="443" spans="1:12" ht="16" customHeight="1">
      <c r="A443" t="s">
        <v>316</v>
      </c>
      <c r="B443" t="s">
        <v>4</v>
      </c>
      <c r="C443" t="s">
        <v>27</v>
      </c>
      <c r="D443" s="24">
        <v>45992</v>
      </c>
      <c r="E443" t="s">
        <v>224</v>
      </c>
      <c r="F443" t="s">
        <v>4</v>
      </c>
      <c r="G443" t="s">
        <v>217</v>
      </c>
      <c r="H443" t="s">
        <v>217</v>
      </c>
      <c r="I443" t="s">
        <v>223</v>
      </c>
      <c r="J443" s="25">
        <v>1009</v>
      </c>
      <c r="K443" s="26">
        <v>207.33</v>
      </c>
      <c r="L443" s="26">
        <v>2.5499999999999998</v>
      </c>
    </row>
    <row r="444" spans="1:12" ht="16" customHeight="1">
      <c r="A444" t="s">
        <v>316</v>
      </c>
      <c r="B444" t="s">
        <v>4</v>
      </c>
      <c r="C444" t="s">
        <v>27</v>
      </c>
      <c r="D444" s="24">
        <v>45992</v>
      </c>
      <c r="E444" t="s">
        <v>226</v>
      </c>
      <c r="F444" t="s">
        <v>4</v>
      </c>
      <c r="G444" t="s">
        <v>217</v>
      </c>
      <c r="H444" t="s">
        <v>217</v>
      </c>
      <c r="I444" t="s">
        <v>225</v>
      </c>
      <c r="J444" s="25">
        <v>0</v>
      </c>
      <c r="K444" s="26">
        <v>0</v>
      </c>
      <c r="L444" s="26">
        <v>0</v>
      </c>
    </row>
    <row r="445" spans="1:12" ht="16" customHeight="1">
      <c r="A445" t="s">
        <v>316</v>
      </c>
      <c r="B445" t="s">
        <v>4</v>
      </c>
      <c r="C445" t="s">
        <v>27</v>
      </c>
      <c r="D445" s="24">
        <v>45992</v>
      </c>
      <c r="E445" t="s">
        <v>269</v>
      </c>
      <c r="F445" t="s">
        <v>4</v>
      </c>
      <c r="G445" t="s">
        <v>217</v>
      </c>
      <c r="H445" t="s">
        <v>217</v>
      </c>
      <c r="I445" t="s">
        <v>227</v>
      </c>
      <c r="J445" s="25">
        <v>0</v>
      </c>
      <c r="K445" s="26">
        <v>0</v>
      </c>
      <c r="L445" s="26">
        <v>0</v>
      </c>
    </row>
    <row r="446" spans="1:12" ht="16" customHeight="1">
      <c r="A446" t="s">
        <v>348</v>
      </c>
      <c r="B446" t="s">
        <v>5</v>
      </c>
      <c r="C446" t="s">
        <v>27</v>
      </c>
      <c r="D446" s="24">
        <v>45992</v>
      </c>
      <c r="E446" t="s">
        <v>222</v>
      </c>
      <c r="F446" t="s">
        <v>4</v>
      </c>
      <c r="G446" t="s">
        <v>217</v>
      </c>
      <c r="H446" t="s">
        <v>217</v>
      </c>
      <c r="I446" t="s">
        <v>212</v>
      </c>
      <c r="J446" s="25">
        <v>3053525</v>
      </c>
      <c r="K446" s="26">
        <v>630829.53</v>
      </c>
      <c r="L446" s="26">
        <v>3341.14</v>
      </c>
    </row>
    <row r="447" spans="1:12" ht="16" customHeight="1">
      <c r="A447" t="s">
        <v>348</v>
      </c>
      <c r="B447" t="s">
        <v>5</v>
      </c>
      <c r="C447" t="s">
        <v>27</v>
      </c>
      <c r="D447" s="24">
        <v>45992</v>
      </c>
      <c r="E447" t="s">
        <v>296</v>
      </c>
      <c r="F447" t="s">
        <v>4</v>
      </c>
      <c r="G447" t="s">
        <v>217</v>
      </c>
      <c r="H447" t="s">
        <v>217</v>
      </c>
      <c r="I447" t="s">
        <v>219</v>
      </c>
      <c r="J447" s="25">
        <v>80732</v>
      </c>
      <c r="K447" s="26">
        <v>14530.79</v>
      </c>
      <c r="L447" s="26">
        <v>161.57</v>
      </c>
    </row>
    <row r="448" spans="1:12" ht="16" customHeight="1">
      <c r="A448" t="s">
        <v>348</v>
      </c>
      <c r="B448" t="s">
        <v>5</v>
      </c>
      <c r="C448" t="s">
        <v>27</v>
      </c>
      <c r="D448" s="24">
        <v>45992</v>
      </c>
      <c r="E448" t="s">
        <v>326</v>
      </c>
      <c r="F448" t="s">
        <v>4</v>
      </c>
      <c r="G448" t="s">
        <v>217</v>
      </c>
      <c r="H448" t="s">
        <v>217</v>
      </c>
      <c r="I448" t="s">
        <v>221</v>
      </c>
      <c r="J448" s="25">
        <v>3475</v>
      </c>
      <c r="K448" s="26">
        <v>629.03</v>
      </c>
      <c r="L448" s="26">
        <v>7.54</v>
      </c>
    </row>
    <row r="449" spans="1:12" ht="16" customHeight="1">
      <c r="A449" t="s">
        <v>348</v>
      </c>
      <c r="B449" t="s">
        <v>5</v>
      </c>
      <c r="C449" t="s">
        <v>27</v>
      </c>
      <c r="D449" s="24">
        <v>45992</v>
      </c>
      <c r="E449" t="s">
        <v>224</v>
      </c>
      <c r="F449" t="s">
        <v>4</v>
      </c>
      <c r="G449" t="s">
        <v>217</v>
      </c>
      <c r="H449" t="s">
        <v>217</v>
      </c>
      <c r="I449" t="s">
        <v>223</v>
      </c>
      <c r="J449" s="25">
        <v>678</v>
      </c>
      <c r="K449" s="26">
        <v>142.88999999999999</v>
      </c>
      <c r="L449" s="26">
        <v>2.79</v>
      </c>
    </row>
    <row r="450" spans="1:12" ht="16" customHeight="1">
      <c r="A450" t="s">
        <v>348</v>
      </c>
      <c r="B450" t="s">
        <v>5</v>
      </c>
      <c r="C450" t="s">
        <v>27</v>
      </c>
      <c r="D450" s="24">
        <v>45992</v>
      </c>
      <c r="E450" t="s">
        <v>226</v>
      </c>
      <c r="F450" t="s">
        <v>4</v>
      </c>
      <c r="G450" t="s">
        <v>217</v>
      </c>
      <c r="H450" t="s">
        <v>217</v>
      </c>
      <c r="I450" t="s">
        <v>225</v>
      </c>
      <c r="J450" s="25">
        <v>0</v>
      </c>
      <c r="K450" s="26">
        <v>0</v>
      </c>
      <c r="L450" s="26">
        <v>0</v>
      </c>
    </row>
    <row r="451" spans="1:12" ht="16" customHeight="1">
      <c r="A451" t="s">
        <v>348</v>
      </c>
      <c r="B451" t="s">
        <v>5</v>
      </c>
      <c r="C451" t="s">
        <v>27</v>
      </c>
      <c r="D451" s="24">
        <v>45992</v>
      </c>
      <c r="E451" t="s">
        <v>269</v>
      </c>
      <c r="F451" t="s">
        <v>4</v>
      </c>
      <c r="G451" t="s">
        <v>217</v>
      </c>
      <c r="H451" t="s">
        <v>217</v>
      </c>
      <c r="I451" t="s">
        <v>227</v>
      </c>
      <c r="J451" s="25">
        <v>0</v>
      </c>
      <c r="K451" s="26">
        <v>0</v>
      </c>
      <c r="L451" s="26">
        <v>0</v>
      </c>
    </row>
    <row r="452" spans="1:12" ht="16" customHeight="1">
      <c r="A452" t="s">
        <v>350</v>
      </c>
      <c r="B452" t="s">
        <v>6</v>
      </c>
      <c r="C452" t="s">
        <v>27</v>
      </c>
      <c r="D452" s="24">
        <v>45992</v>
      </c>
      <c r="E452" t="s">
        <v>222</v>
      </c>
      <c r="F452" t="s">
        <v>4</v>
      </c>
      <c r="G452" t="s">
        <v>217</v>
      </c>
      <c r="H452" t="s">
        <v>217</v>
      </c>
      <c r="I452" t="s">
        <v>212</v>
      </c>
      <c r="J452" s="25">
        <v>3644058</v>
      </c>
      <c r="K452" s="26">
        <v>752425.13</v>
      </c>
      <c r="L452" s="26">
        <v>3731.43</v>
      </c>
    </row>
    <row r="453" spans="1:12" ht="16" customHeight="1">
      <c r="A453" t="s">
        <v>350</v>
      </c>
      <c r="B453" t="s">
        <v>6</v>
      </c>
      <c r="C453" t="s">
        <v>27</v>
      </c>
      <c r="D453" s="24">
        <v>45992</v>
      </c>
      <c r="E453" t="s">
        <v>296</v>
      </c>
      <c r="F453" t="s">
        <v>4</v>
      </c>
      <c r="G453" t="s">
        <v>217</v>
      </c>
      <c r="H453" t="s">
        <v>217</v>
      </c>
      <c r="I453" t="s">
        <v>219</v>
      </c>
      <c r="J453" s="25">
        <v>130966</v>
      </c>
      <c r="K453" s="26">
        <v>23456.82</v>
      </c>
      <c r="L453" s="26">
        <v>239.68</v>
      </c>
    </row>
    <row r="454" spans="1:12" ht="16" customHeight="1">
      <c r="A454" t="s">
        <v>350</v>
      </c>
      <c r="B454" t="s">
        <v>6</v>
      </c>
      <c r="C454" t="s">
        <v>27</v>
      </c>
      <c r="D454" s="24">
        <v>45992</v>
      </c>
      <c r="E454" t="s">
        <v>326</v>
      </c>
      <c r="F454" t="s">
        <v>4</v>
      </c>
      <c r="G454" t="s">
        <v>217</v>
      </c>
      <c r="H454" t="s">
        <v>217</v>
      </c>
      <c r="I454" t="s">
        <v>221</v>
      </c>
      <c r="J454" s="25">
        <v>3173</v>
      </c>
      <c r="K454" s="26">
        <v>569.35</v>
      </c>
      <c r="L454" s="26">
        <v>6.36</v>
      </c>
    </row>
    <row r="455" spans="1:12" ht="16" customHeight="1">
      <c r="A455" t="s">
        <v>350</v>
      </c>
      <c r="B455" t="s">
        <v>6</v>
      </c>
      <c r="C455" t="s">
        <v>27</v>
      </c>
      <c r="D455" s="24">
        <v>45992</v>
      </c>
      <c r="E455" t="s">
        <v>224</v>
      </c>
      <c r="F455" t="s">
        <v>4</v>
      </c>
      <c r="G455" t="s">
        <v>217</v>
      </c>
      <c r="H455" t="s">
        <v>217</v>
      </c>
      <c r="I455" t="s">
        <v>223</v>
      </c>
      <c r="J455" s="25">
        <v>779</v>
      </c>
      <c r="K455" s="26">
        <v>162.66</v>
      </c>
      <c r="L455" s="26">
        <v>2.57</v>
      </c>
    </row>
    <row r="456" spans="1:12" ht="16" customHeight="1">
      <c r="A456" t="s">
        <v>350</v>
      </c>
      <c r="B456" t="s">
        <v>6</v>
      </c>
      <c r="C456" t="s">
        <v>27</v>
      </c>
      <c r="D456" s="24">
        <v>45992</v>
      </c>
      <c r="E456" t="s">
        <v>226</v>
      </c>
      <c r="F456" t="s">
        <v>4</v>
      </c>
      <c r="G456" t="s">
        <v>217</v>
      </c>
      <c r="H456" t="s">
        <v>217</v>
      </c>
      <c r="I456" t="s">
        <v>225</v>
      </c>
      <c r="J456" s="25">
        <v>0</v>
      </c>
      <c r="K456" s="26">
        <v>0</v>
      </c>
      <c r="L456" s="26">
        <v>0</v>
      </c>
    </row>
    <row r="457" spans="1:12" ht="16" customHeight="1">
      <c r="A457" t="s">
        <v>350</v>
      </c>
      <c r="B457" t="s">
        <v>6</v>
      </c>
      <c r="C457" t="s">
        <v>27</v>
      </c>
      <c r="D457" s="24">
        <v>45992</v>
      </c>
      <c r="E457" t="s">
        <v>269</v>
      </c>
      <c r="F457" t="s">
        <v>4</v>
      </c>
      <c r="G457" t="s">
        <v>217</v>
      </c>
      <c r="H457" t="s">
        <v>217</v>
      </c>
      <c r="I457" t="s">
        <v>227</v>
      </c>
      <c r="J457" s="25">
        <v>0</v>
      </c>
      <c r="K457" s="26">
        <v>0</v>
      </c>
      <c r="L457" s="26">
        <v>0</v>
      </c>
    </row>
    <row r="458" spans="1:12" ht="16" customHeight="1">
      <c r="A458" t="s">
        <v>351</v>
      </c>
      <c r="B458" t="s">
        <v>7</v>
      </c>
      <c r="C458" t="s">
        <v>27</v>
      </c>
      <c r="D458" s="24">
        <v>45992</v>
      </c>
      <c r="E458" t="s">
        <v>222</v>
      </c>
      <c r="F458" t="s">
        <v>4</v>
      </c>
      <c r="G458" t="s">
        <v>217</v>
      </c>
      <c r="H458" t="s">
        <v>217</v>
      </c>
      <c r="I458" t="s">
        <v>212</v>
      </c>
      <c r="J458" s="25">
        <v>3605550</v>
      </c>
      <c r="K458" s="26">
        <v>742757.34</v>
      </c>
      <c r="L458" s="26">
        <v>3472.88</v>
      </c>
    </row>
    <row r="459" spans="1:12" ht="16" customHeight="1">
      <c r="A459" t="s">
        <v>351</v>
      </c>
      <c r="B459" t="s">
        <v>7</v>
      </c>
      <c r="C459" t="s">
        <v>27</v>
      </c>
      <c r="D459" s="24">
        <v>45992</v>
      </c>
      <c r="E459" t="s">
        <v>296</v>
      </c>
      <c r="F459" t="s">
        <v>4</v>
      </c>
      <c r="G459" t="s">
        <v>217</v>
      </c>
      <c r="H459" t="s">
        <v>217</v>
      </c>
      <c r="I459" t="s">
        <v>219</v>
      </c>
      <c r="J459" s="25">
        <v>102550</v>
      </c>
      <c r="K459" s="26">
        <v>18385.7</v>
      </c>
      <c r="L459" s="26">
        <v>183.72</v>
      </c>
    </row>
    <row r="460" spans="1:12" ht="16" customHeight="1">
      <c r="A460" t="s">
        <v>351</v>
      </c>
      <c r="B460" t="s">
        <v>7</v>
      </c>
      <c r="C460" t="s">
        <v>27</v>
      </c>
      <c r="D460" s="24">
        <v>45992</v>
      </c>
      <c r="E460" t="s">
        <v>326</v>
      </c>
      <c r="F460" t="s">
        <v>4</v>
      </c>
      <c r="G460" t="s">
        <v>217</v>
      </c>
      <c r="H460" t="s">
        <v>217</v>
      </c>
      <c r="I460" t="s">
        <v>221</v>
      </c>
      <c r="J460" s="25">
        <v>2940</v>
      </c>
      <c r="K460" s="26">
        <v>529.24</v>
      </c>
      <c r="L460" s="26">
        <v>5.61</v>
      </c>
    </row>
    <row r="461" spans="1:12" ht="16" customHeight="1">
      <c r="A461" t="s">
        <v>351</v>
      </c>
      <c r="B461" t="s">
        <v>7</v>
      </c>
      <c r="C461" t="s">
        <v>27</v>
      </c>
      <c r="D461" s="24">
        <v>45992</v>
      </c>
      <c r="E461" t="s">
        <v>224</v>
      </c>
      <c r="F461" t="s">
        <v>4</v>
      </c>
      <c r="G461" t="s">
        <v>217</v>
      </c>
      <c r="H461" t="s">
        <v>217</v>
      </c>
      <c r="I461" t="s">
        <v>223</v>
      </c>
      <c r="J461" s="25">
        <v>614</v>
      </c>
      <c r="K461" s="26">
        <v>127.53</v>
      </c>
      <c r="L461" s="26">
        <v>2.0299999999999998</v>
      </c>
    </row>
    <row r="462" spans="1:12" ht="16" customHeight="1">
      <c r="A462" t="s">
        <v>351</v>
      </c>
      <c r="B462" t="s">
        <v>7</v>
      </c>
      <c r="C462" t="s">
        <v>27</v>
      </c>
      <c r="D462" s="24">
        <v>45992</v>
      </c>
      <c r="E462" t="s">
        <v>226</v>
      </c>
      <c r="F462" t="s">
        <v>4</v>
      </c>
      <c r="G462" t="s">
        <v>217</v>
      </c>
      <c r="H462" t="s">
        <v>217</v>
      </c>
      <c r="I462" t="s">
        <v>225</v>
      </c>
      <c r="J462" s="25">
        <v>0</v>
      </c>
      <c r="K462" s="26">
        <v>0</v>
      </c>
      <c r="L462" s="26">
        <v>0</v>
      </c>
    </row>
    <row r="463" spans="1:12" ht="16" customHeight="1">
      <c r="A463" t="s">
        <v>351</v>
      </c>
      <c r="B463" t="s">
        <v>7</v>
      </c>
      <c r="C463" t="s">
        <v>27</v>
      </c>
      <c r="D463" s="24">
        <v>45992</v>
      </c>
      <c r="E463" t="s">
        <v>269</v>
      </c>
      <c r="F463" t="s">
        <v>4</v>
      </c>
      <c r="G463" t="s">
        <v>217</v>
      </c>
      <c r="H463" t="s">
        <v>217</v>
      </c>
      <c r="I463" t="s">
        <v>227</v>
      </c>
      <c r="J463" s="25">
        <v>0</v>
      </c>
      <c r="K463" s="26">
        <v>0</v>
      </c>
      <c r="L463" s="26">
        <v>0</v>
      </c>
    </row>
    <row r="464" spans="1:12" ht="16" customHeight="1">
      <c r="A464" t="s">
        <v>352</v>
      </c>
      <c r="B464" t="s">
        <v>3</v>
      </c>
      <c r="C464" t="s">
        <v>28</v>
      </c>
      <c r="D464" s="24">
        <v>45992</v>
      </c>
      <c r="E464" t="s">
        <v>222</v>
      </c>
      <c r="F464" t="s">
        <v>4</v>
      </c>
      <c r="G464" t="s">
        <v>217</v>
      </c>
      <c r="H464" t="s">
        <v>217</v>
      </c>
      <c r="I464" t="s">
        <v>212</v>
      </c>
      <c r="J464" s="25">
        <v>3028061</v>
      </c>
      <c r="K464" s="26">
        <v>623558.17000000004</v>
      </c>
      <c r="L464" s="26">
        <v>2596.56</v>
      </c>
    </row>
    <row r="465" spans="1:12" ht="16" customHeight="1">
      <c r="A465" t="s">
        <v>352</v>
      </c>
      <c r="B465" t="s">
        <v>3</v>
      </c>
      <c r="C465" t="s">
        <v>28</v>
      </c>
      <c r="D465" s="24">
        <v>45992</v>
      </c>
      <c r="E465" t="s">
        <v>296</v>
      </c>
      <c r="F465" t="s">
        <v>4</v>
      </c>
      <c r="G465" t="s">
        <v>217</v>
      </c>
      <c r="H465" t="s">
        <v>217</v>
      </c>
      <c r="I465" t="s">
        <v>219</v>
      </c>
      <c r="J465" s="25">
        <v>114264</v>
      </c>
      <c r="K465" s="26">
        <v>20469.45</v>
      </c>
      <c r="L465" s="26">
        <v>186.7</v>
      </c>
    </row>
    <row r="466" spans="1:12" ht="16" customHeight="1">
      <c r="A466" t="s">
        <v>352</v>
      </c>
      <c r="B466" t="s">
        <v>3</v>
      </c>
      <c r="C466" t="s">
        <v>28</v>
      </c>
      <c r="D466" s="24">
        <v>45992</v>
      </c>
      <c r="E466" t="s">
        <v>326</v>
      </c>
      <c r="F466" t="s">
        <v>4</v>
      </c>
      <c r="G466" t="s">
        <v>217</v>
      </c>
      <c r="H466" t="s">
        <v>217</v>
      </c>
      <c r="I466" t="s">
        <v>221</v>
      </c>
      <c r="J466" s="25">
        <v>4171</v>
      </c>
      <c r="K466" s="26">
        <v>743.09</v>
      </c>
      <c r="L466" s="26">
        <v>6.13</v>
      </c>
    </row>
    <row r="467" spans="1:12" ht="16" customHeight="1">
      <c r="A467" t="s">
        <v>352</v>
      </c>
      <c r="B467" t="s">
        <v>3</v>
      </c>
      <c r="C467" t="s">
        <v>28</v>
      </c>
      <c r="D467" s="24">
        <v>45992</v>
      </c>
      <c r="E467" t="s">
        <v>224</v>
      </c>
      <c r="F467" t="s">
        <v>4</v>
      </c>
      <c r="G467" t="s">
        <v>217</v>
      </c>
      <c r="H467" t="s">
        <v>217</v>
      </c>
      <c r="I467" t="s">
        <v>223</v>
      </c>
      <c r="J467" s="25">
        <v>769</v>
      </c>
      <c r="K467" s="26">
        <v>159.35</v>
      </c>
      <c r="L467" s="26">
        <v>2.83</v>
      </c>
    </row>
    <row r="468" spans="1:12" ht="16" customHeight="1">
      <c r="A468" t="s">
        <v>352</v>
      </c>
      <c r="B468" t="s">
        <v>3</v>
      </c>
      <c r="C468" t="s">
        <v>28</v>
      </c>
      <c r="D468" s="24">
        <v>45992</v>
      </c>
      <c r="E468" t="s">
        <v>226</v>
      </c>
      <c r="F468" t="s">
        <v>4</v>
      </c>
      <c r="G468" t="s">
        <v>217</v>
      </c>
      <c r="H468" t="s">
        <v>217</v>
      </c>
      <c r="I468" t="s">
        <v>225</v>
      </c>
      <c r="J468" s="25">
        <v>0</v>
      </c>
      <c r="K468" s="26">
        <v>0</v>
      </c>
      <c r="L468" s="26">
        <v>0</v>
      </c>
    </row>
    <row r="469" spans="1:12" ht="16" customHeight="1">
      <c r="A469" t="s">
        <v>352</v>
      </c>
      <c r="B469" t="s">
        <v>3</v>
      </c>
      <c r="C469" t="s">
        <v>28</v>
      </c>
      <c r="D469" s="24">
        <v>45992</v>
      </c>
      <c r="E469" t="s">
        <v>269</v>
      </c>
      <c r="F469" t="s">
        <v>4</v>
      </c>
      <c r="G469" t="s">
        <v>217</v>
      </c>
      <c r="H469" t="s">
        <v>217</v>
      </c>
      <c r="I469" t="s">
        <v>227</v>
      </c>
      <c r="J469" s="25">
        <v>0</v>
      </c>
      <c r="K469" s="26">
        <v>0</v>
      </c>
      <c r="L469" s="26">
        <v>0</v>
      </c>
    </row>
    <row r="470" spans="1:12" ht="16" customHeight="1">
      <c r="A470" t="s">
        <v>321</v>
      </c>
      <c r="B470" t="s">
        <v>4</v>
      </c>
      <c r="C470" t="s">
        <v>28</v>
      </c>
      <c r="D470" s="24">
        <v>45992</v>
      </c>
      <c r="E470" t="s">
        <v>222</v>
      </c>
      <c r="F470" t="s">
        <v>4</v>
      </c>
      <c r="G470" t="s">
        <v>217</v>
      </c>
      <c r="H470" t="s">
        <v>217</v>
      </c>
      <c r="I470" t="s">
        <v>212</v>
      </c>
      <c r="J470" s="25">
        <v>3342654</v>
      </c>
      <c r="K470" s="26">
        <v>689010.32</v>
      </c>
      <c r="L470" s="26">
        <v>2322.7800000000002</v>
      </c>
    </row>
    <row r="471" spans="1:12" ht="16" customHeight="1">
      <c r="A471" t="s">
        <v>321</v>
      </c>
      <c r="B471" t="s">
        <v>4</v>
      </c>
      <c r="C471" t="s">
        <v>28</v>
      </c>
      <c r="D471" s="24">
        <v>45992</v>
      </c>
      <c r="E471" t="s">
        <v>296</v>
      </c>
      <c r="F471" t="s">
        <v>4</v>
      </c>
      <c r="G471" t="s">
        <v>217</v>
      </c>
      <c r="H471" t="s">
        <v>217</v>
      </c>
      <c r="I471" t="s">
        <v>219</v>
      </c>
      <c r="J471" s="25">
        <v>103825</v>
      </c>
      <c r="K471" s="26">
        <v>18611.830000000002</v>
      </c>
      <c r="L471" s="26">
        <v>165.78</v>
      </c>
    </row>
    <row r="472" spans="1:12" ht="16" customHeight="1">
      <c r="A472" t="s">
        <v>321</v>
      </c>
      <c r="B472" t="s">
        <v>4</v>
      </c>
      <c r="C472" t="s">
        <v>28</v>
      </c>
      <c r="D472" s="24">
        <v>45992</v>
      </c>
      <c r="E472" t="s">
        <v>326</v>
      </c>
      <c r="F472" t="s">
        <v>4</v>
      </c>
      <c r="G472" t="s">
        <v>217</v>
      </c>
      <c r="H472" t="s">
        <v>217</v>
      </c>
      <c r="I472" t="s">
        <v>221</v>
      </c>
      <c r="J472" s="25">
        <v>3727</v>
      </c>
      <c r="K472" s="26">
        <v>664.14</v>
      </c>
      <c r="L472" s="26">
        <v>6.47</v>
      </c>
    </row>
    <row r="473" spans="1:12" ht="16" customHeight="1">
      <c r="A473" t="s">
        <v>321</v>
      </c>
      <c r="B473" t="s">
        <v>4</v>
      </c>
      <c r="C473" t="s">
        <v>28</v>
      </c>
      <c r="D473" s="24">
        <v>45992</v>
      </c>
      <c r="E473" t="s">
        <v>224</v>
      </c>
      <c r="F473" t="s">
        <v>4</v>
      </c>
      <c r="G473" t="s">
        <v>217</v>
      </c>
      <c r="H473" t="s">
        <v>217</v>
      </c>
      <c r="I473" t="s">
        <v>223</v>
      </c>
      <c r="J473" s="25">
        <v>1528</v>
      </c>
      <c r="K473" s="26">
        <v>316.06</v>
      </c>
      <c r="L473" s="26">
        <v>4.8600000000000003</v>
      </c>
    </row>
    <row r="474" spans="1:12" ht="16" customHeight="1">
      <c r="A474" t="s">
        <v>321</v>
      </c>
      <c r="B474" t="s">
        <v>4</v>
      </c>
      <c r="C474" t="s">
        <v>28</v>
      </c>
      <c r="D474" s="24">
        <v>45992</v>
      </c>
      <c r="E474" t="s">
        <v>226</v>
      </c>
      <c r="F474" t="s">
        <v>4</v>
      </c>
      <c r="G474" t="s">
        <v>217</v>
      </c>
      <c r="H474" t="s">
        <v>217</v>
      </c>
      <c r="I474" t="s">
        <v>225</v>
      </c>
      <c r="J474" s="25">
        <v>0</v>
      </c>
      <c r="K474" s="26">
        <v>0</v>
      </c>
      <c r="L474" s="26">
        <v>0</v>
      </c>
    </row>
    <row r="475" spans="1:12" ht="16" customHeight="1">
      <c r="A475" t="s">
        <v>321</v>
      </c>
      <c r="B475" t="s">
        <v>4</v>
      </c>
      <c r="C475" t="s">
        <v>28</v>
      </c>
      <c r="D475" s="24">
        <v>45992</v>
      </c>
      <c r="E475" t="s">
        <v>269</v>
      </c>
      <c r="F475" t="s">
        <v>4</v>
      </c>
      <c r="G475" t="s">
        <v>217</v>
      </c>
      <c r="H475" t="s">
        <v>217</v>
      </c>
      <c r="I475" t="s">
        <v>227</v>
      </c>
      <c r="J475" s="25">
        <v>0</v>
      </c>
      <c r="K475" s="26">
        <v>0</v>
      </c>
      <c r="L475" s="26">
        <v>0</v>
      </c>
    </row>
    <row r="476" spans="1:12" ht="16" customHeight="1">
      <c r="A476" t="s">
        <v>353</v>
      </c>
      <c r="B476" t="s">
        <v>5</v>
      </c>
      <c r="C476" t="s">
        <v>28</v>
      </c>
      <c r="D476" s="24">
        <v>45992</v>
      </c>
      <c r="E476" t="s">
        <v>222</v>
      </c>
      <c r="F476" t="s">
        <v>4</v>
      </c>
      <c r="G476" t="s">
        <v>217</v>
      </c>
      <c r="H476" t="s">
        <v>217</v>
      </c>
      <c r="I476" t="s">
        <v>212</v>
      </c>
      <c r="J476" s="25">
        <v>6051130</v>
      </c>
      <c r="K476" s="26">
        <v>1246017.71</v>
      </c>
      <c r="L476" s="26">
        <v>3237.45</v>
      </c>
    </row>
    <row r="477" spans="1:12" ht="16" customHeight="1">
      <c r="A477" t="s">
        <v>353</v>
      </c>
      <c r="B477" t="s">
        <v>5</v>
      </c>
      <c r="C477" t="s">
        <v>28</v>
      </c>
      <c r="D477" s="24">
        <v>45992</v>
      </c>
      <c r="E477" t="s">
        <v>296</v>
      </c>
      <c r="F477" t="s">
        <v>4</v>
      </c>
      <c r="G477" t="s">
        <v>217</v>
      </c>
      <c r="H477" t="s">
        <v>217</v>
      </c>
      <c r="I477" t="s">
        <v>219</v>
      </c>
      <c r="J477" s="25">
        <v>183087</v>
      </c>
      <c r="K477" s="26">
        <v>32810.660000000003</v>
      </c>
      <c r="L477" s="26">
        <v>298.02</v>
      </c>
    </row>
    <row r="478" spans="1:12" ht="16" customHeight="1">
      <c r="A478" t="s">
        <v>353</v>
      </c>
      <c r="B478" t="s">
        <v>5</v>
      </c>
      <c r="C478" t="s">
        <v>28</v>
      </c>
      <c r="D478" s="24">
        <v>45992</v>
      </c>
      <c r="E478" t="s">
        <v>326</v>
      </c>
      <c r="F478" t="s">
        <v>4</v>
      </c>
      <c r="G478" t="s">
        <v>217</v>
      </c>
      <c r="H478" t="s">
        <v>217</v>
      </c>
      <c r="I478" t="s">
        <v>221</v>
      </c>
      <c r="J478" s="25">
        <v>6487</v>
      </c>
      <c r="K478" s="26">
        <v>1169.71</v>
      </c>
      <c r="L478" s="26">
        <v>12.01</v>
      </c>
    </row>
    <row r="479" spans="1:12" ht="16" customHeight="1">
      <c r="A479" t="s">
        <v>353</v>
      </c>
      <c r="B479" t="s">
        <v>5</v>
      </c>
      <c r="C479" t="s">
        <v>28</v>
      </c>
      <c r="D479" s="24">
        <v>45992</v>
      </c>
      <c r="E479" t="s">
        <v>224</v>
      </c>
      <c r="F479" t="s">
        <v>4</v>
      </c>
      <c r="G479" t="s">
        <v>217</v>
      </c>
      <c r="H479" t="s">
        <v>217</v>
      </c>
      <c r="I479" t="s">
        <v>223</v>
      </c>
      <c r="J479" s="25">
        <v>1812</v>
      </c>
      <c r="K479" s="26">
        <v>384.54</v>
      </c>
      <c r="L479" s="26">
        <v>7.25</v>
      </c>
    </row>
    <row r="480" spans="1:12" ht="16" customHeight="1">
      <c r="A480" t="s">
        <v>353</v>
      </c>
      <c r="B480" t="s">
        <v>5</v>
      </c>
      <c r="C480" t="s">
        <v>28</v>
      </c>
      <c r="D480" s="24">
        <v>45992</v>
      </c>
      <c r="E480" t="s">
        <v>226</v>
      </c>
      <c r="F480" t="s">
        <v>4</v>
      </c>
      <c r="G480" t="s">
        <v>217</v>
      </c>
      <c r="H480" t="s">
        <v>217</v>
      </c>
      <c r="I480" t="s">
        <v>225</v>
      </c>
      <c r="J480" s="25">
        <v>0</v>
      </c>
      <c r="K480" s="26">
        <v>0</v>
      </c>
      <c r="L480" s="26">
        <v>0</v>
      </c>
    </row>
    <row r="481" spans="1:12" ht="16" customHeight="1">
      <c r="A481" t="s">
        <v>353</v>
      </c>
      <c r="B481" t="s">
        <v>5</v>
      </c>
      <c r="C481" t="s">
        <v>28</v>
      </c>
      <c r="D481" s="24">
        <v>45992</v>
      </c>
      <c r="E481" t="s">
        <v>269</v>
      </c>
      <c r="F481" t="s">
        <v>4</v>
      </c>
      <c r="G481" t="s">
        <v>217</v>
      </c>
      <c r="H481" t="s">
        <v>217</v>
      </c>
      <c r="I481" t="s">
        <v>227</v>
      </c>
      <c r="J481" s="25">
        <v>0</v>
      </c>
      <c r="K481" s="26">
        <v>0</v>
      </c>
      <c r="L481" s="26">
        <v>0</v>
      </c>
    </row>
    <row r="482" spans="1:12" ht="16" customHeight="1">
      <c r="A482" t="s">
        <v>355</v>
      </c>
      <c r="B482" t="s">
        <v>7</v>
      </c>
      <c r="C482" t="s">
        <v>28</v>
      </c>
      <c r="D482" s="24">
        <v>45992</v>
      </c>
      <c r="E482" t="s">
        <v>222</v>
      </c>
      <c r="F482" t="s">
        <v>4</v>
      </c>
      <c r="G482" t="s">
        <v>217</v>
      </c>
      <c r="H482" t="s">
        <v>217</v>
      </c>
      <c r="I482" t="s">
        <v>212</v>
      </c>
      <c r="J482" s="25">
        <v>9201123</v>
      </c>
      <c r="K482" s="26">
        <v>1881581.61</v>
      </c>
      <c r="L482" s="26">
        <v>4026.61</v>
      </c>
    </row>
    <row r="483" spans="1:12" ht="16" customHeight="1">
      <c r="A483" t="s">
        <v>355</v>
      </c>
      <c r="B483" t="s">
        <v>7</v>
      </c>
      <c r="C483" t="s">
        <v>28</v>
      </c>
      <c r="D483" s="24">
        <v>45992</v>
      </c>
      <c r="E483" t="s">
        <v>296</v>
      </c>
      <c r="F483" t="s">
        <v>4</v>
      </c>
      <c r="G483" t="s">
        <v>217</v>
      </c>
      <c r="H483" t="s">
        <v>217</v>
      </c>
      <c r="I483" t="s">
        <v>219</v>
      </c>
      <c r="J483" s="25">
        <v>260010</v>
      </c>
      <c r="K483" s="26">
        <v>46546.61</v>
      </c>
      <c r="L483" s="26">
        <v>447.32</v>
      </c>
    </row>
    <row r="484" spans="1:12" ht="16" customHeight="1">
      <c r="A484" t="s">
        <v>355</v>
      </c>
      <c r="B484" t="s">
        <v>7</v>
      </c>
      <c r="C484" t="s">
        <v>28</v>
      </c>
      <c r="D484" s="24">
        <v>45992</v>
      </c>
      <c r="E484" t="s">
        <v>326</v>
      </c>
      <c r="F484" t="s">
        <v>4</v>
      </c>
      <c r="G484" t="s">
        <v>217</v>
      </c>
      <c r="H484" t="s">
        <v>217</v>
      </c>
      <c r="I484" t="s">
        <v>221</v>
      </c>
      <c r="J484" s="25">
        <v>10395</v>
      </c>
      <c r="K484" s="26">
        <v>1860.06</v>
      </c>
      <c r="L484" s="26">
        <v>17.98</v>
      </c>
    </row>
    <row r="485" spans="1:12" ht="16" customHeight="1">
      <c r="A485" t="s">
        <v>355</v>
      </c>
      <c r="B485" t="s">
        <v>7</v>
      </c>
      <c r="C485" t="s">
        <v>28</v>
      </c>
      <c r="D485" s="24">
        <v>45992</v>
      </c>
      <c r="E485" t="s">
        <v>224</v>
      </c>
      <c r="F485" t="s">
        <v>4</v>
      </c>
      <c r="G485" t="s">
        <v>217</v>
      </c>
      <c r="H485" t="s">
        <v>217</v>
      </c>
      <c r="I485" t="s">
        <v>223</v>
      </c>
      <c r="J485" s="25">
        <v>1782</v>
      </c>
      <c r="K485" s="26">
        <v>370.52</v>
      </c>
      <c r="L485" s="26">
        <v>5.94</v>
      </c>
    </row>
    <row r="486" spans="1:12" ht="16" customHeight="1">
      <c r="A486" t="s">
        <v>355</v>
      </c>
      <c r="B486" t="s">
        <v>7</v>
      </c>
      <c r="C486" t="s">
        <v>28</v>
      </c>
      <c r="D486" s="24">
        <v>45992</v>
      </c>
      <c r="E486" t="s">
        <v>226</v>
      </c>
      <c r="F486" t="s">
        <v>4</v>
      </c>
      <c r="G486" t="s">
        <v>217</v>
      </c>
      <c r="H486" t="s">
        <v>217</v>
      </c>
      <c r="I486" t="s">
        <v>225</v>
      </c>
      <c r="J486" s="25">
        <v>0</v>
      </c>
      <c r="K486" s="26">
        <v>0</v>
      </c>
      <c r="L486" s="26">
        <v>0</v>
      </c>
    </row>
    <row r="487" spans="1:12" ht="16" customHeight="1">
      <c r="A487" t="s">
        <v>355</v>
      </c>
      <c r="B487" t="s">
        <v>7</v>
      </c>
      <c r="C487" t="s">
        <v>28</v>
      </c>
      <c r="D487" s="24">
        <v>45992</v>
      </c>
      <c r="E487" t="s">
        <v>269</v>
      </c>
      <c r="F487" t="s">
        <v>4</v>
      </c>
      <c r="G487" t="s">
        <v>217</v>
      </c>
      <c r="H487" t="s">
        <v>217</v>
      </c>
      <c r="I487" t="s">
        <v>227</v>
      </c>
      <c r="J487" s="25">
        <v>0</v>
      </c>
      <c r="K487" s="26">
        <v>0</v>
      </c>
      <c r="L487" s="26">
        <v>0</v>
      </c>
    </row>
    <row r="488" spans="1:12" ht="16" customHeight="1">
      <c r="A488" t="s">
        <v>356</v>
      </c>
      <c r="B488" t="s">
        <v>3</v>
      </c>
      <c r="C488" t="s">
        <v>29</v>
      </c>
      <c r="D488" s="24">
        <v>45992</v>
      </c>
      <c r="E488" t="s">
        <v>222</v>
      </c>
      <c r="F488" t="s">
        <v>4</v>
      </c>
      <c r="G488" t="s">
        <v>217</v>
      </c>
      <c r="H488" t="s">
        <v>217</v>
      </c>
      <c r="I488" t="s">
        <v>212</v>
      </c>
      <c r="J488" s="25">
        <v>17345726</v>
      </c>
      <c r="K488" s="26">
        <v>3536925.64</v>
      </c>
      <c r="L488" s="26">
        <v>5652.87</v>
      </c>
    </row>
    <row r="489" spans="1:12" ht="16" customHeight="1">
      <c r="A489" t="s">
        <v>356</v>
      </c>
      <c r="B489" t="s">
        <v>3</v>
      </c>
      <c r="C489" t="s">
        <v>29</v>
      </c>
      <c r="D489" s="24">
        <v>45992</v>
      </c>
      <c r="E489" t="s">
        <v>296</v>
      </c>
      <c r="F489" t="s">
        <v>4</v>
      </c>
      <c r="G489" t="s">
        <v>217</v>
      </c>
      <c r="H489" t="s">
        <v>217</v>
      </c>
      <c r="I489" t="s">
        <v>219</v>
      </c>
      <c r="J489" s="25">
        <v>363743</v>
      </c>
      <c r="K489" s="26">
        <v>65042.81</v>
      </c>
      <c r="L489" s="26">
        <v>648.91999999999996</v>
      </c>
    </row>
    <row r="490" spans="1:12" ht="16" customHeight="1">
      <c r="A490" t="s">
        <v>356</v>
      </c>
      <c r="B490" t="s">
        <v>3</v>
      </c>
      <c r="C490" t="s">
        <v>29</v>
      </c>
      <c r="D490" s="24">
        <v>45992</v>
      </c>
      <c r="E490" t="s">
        <v>326</v>
      </c>
      <c r="F490" t="s">
        <v>4</v>
      </c>
      <c r="G490" t="s">
        <v>217</v>
      </c>
      <c r="H490" t="s">
        <v>217</v>
      </c>
      <c r="I490" t="s">
        <v>221</v>
      </c>
      <c r="J490" s="25">
        <v>15249</v>
      </c>
      <c r="K490" s="26">
        <v>2709.15</v>
      </c>
      <c r="L490" s="26">
        <v>23.39</v>
      </c>
    </row>
    <row r="491" spans="1:12" ht="16" customHeight="1">
      <c r="A491" t="s">
        <v>356</v>
      </c>
      <c r="B491" t="s">
        <v>3</v>
      </c>
      <c r="C491" t="s">
        <v>29</v>
      </c>
      <c r="D491" s="24">
        <v>45992</v>
      </c>
      <c r="E491" t="s">
        <v>357</v>
      </c>
      <c r="F491" t="s">
        <v>3</v>
      </c>
      <c r="G491" t="s">
        <v>358</v>
      </c>
      <c r="H491" t="s">
        <v>358</v>
      </c>
      <c r="I491" t="s">
        <v>223</v>
      </c>
      <c r="J491" s="25">
        <v>4448</v>
      </c>
      <c r="K491" s="26">
        <v>916.15</v>
      </c>
      <c r="L491" s="26">
        <v>14.9</v>
      </c>
    </row>
    <row r="492" spans="1:12" ht="16" customHeight="1">
      <c r="A492" t="s">
        <v>356</v>
      </c>
      <c r="B492" t="s">
        <v>3</v>
      </c>
      <c r="C492" t="s">
        <v>29</v>
      </c>
      <c r="D492" s="24">
        <v>45992</v>
      </c>
      <c r="E492" t="s">
        <v>226</v>
      </c>
      <c r="F492" t="s">
        <v>4</v>
      </c>
      <c r="G492" t="s">
        <v>217</v>
      </c>
      <c r="H492" t="s">
        <v>217</v>
      </c>
      <c r="I492" t="s">
        <v>225</v>
      </c>
      <c r="J492" s="25">
        <v>0</v>
      </c>
      <c r="K492" s="26">
        <v>0</v>
      </c>
      <c r="L492" s="26">
        <v>0</v>
      </c>
    </row>
    <row r="493" spans="1:12" ht="16" customHeight="1">
      <c r="A493" t="s">
        <v>356</v>
      </c>
      <c r="B493" t="s">
        <v>3</v>
      </c>
      <c r="C493" t="s">
        <v>29</v>
      </c>
      <c r="D493" s="24">
        <v>45992</v>
      </c>
      <c r="E493" t="s">
        <v>269</v>
      </c>
      <c r="F493" t="s">
        <v>4</v>
      </c>
      <c r="G493" t="s">
        <v>217</v>
      </c>
      <c r="H493" t="s">
        <v>217</v>
      </c>
      <c r="I493" t="s">
        <v>227</v>
      </c>
      <c r="J493" s="25">
        <v>0</v>
      </c>
      <c r="K493" s="26">
        <v>0</v>
      </c>
      <c r="L493" s="26">
        <v>0</v>
      </c>
    </row>
    <row r="494" spans="1:12" ht="16" customHeight="1">
      <c r="A494" t="s">
        <v>222</v>
      </c>
      <c r="B494" t="s">
        <v>4</v>
      </c>
      <c r="C494" t="s">
        <v>29</v>
      </c>
      <c r="D494" s="24">
        <v>45992</v>
      </c>
      <c r="E494" t="s">
        <v>222</v>
      </c>
      <c r="F494" t="s">
        <v>4</v>
      </c>
      <c r="G494" t="s">
        <v>217</v>
      </c>
      <c r="H494" t="s">
        <v>217</v>
      </c>
      <c r="I494" t="s">
        <v>212</v>
      </c>
      <c r="J494" s="25">
        <v>78603896</v>
      </c>
      <c r="K494" s="26">
        <v>16032120.23</v>
      </c>
      <c r="L494" s="26">
        <v>13101.23</v>
      </c>
    </row>
    <row r="495" spans="1:12" ht="16" customHeight="1">
      <c r="A495" t="s">
        <v>222</v>
      </c>
      <c r="B495" t="s">
        <v>4</v>
      </c>
      <c r="C495" t="s">
        <v>29</v>
      </c>
      <c r="D495" s="24">
        <v>45992</v>
      </c>
      <c r="E495" t="s">
        <v>296</v>
      </c>
      <c r="F495" t="s">
        <v>4</v>
      </c>
      <c r="G495" t="s">
        <v>217</v>
      </c>
      <c r="H495" t="s">
        <v>217</v>
      </c>
      <c r="I495" t="s">
        <v>219</v>
      </c>
      <c r="J495" s="25">
        <v>765819</v>
      </c>
      <c r="K495" s="26">
        <v>136338.19</v>
      </c>
      <c r="L495" s="26">
        <v>1210.24</v>
      </c>
    </row>
    <row r="496" spans="1:12" ht="16" customHeight="1">
      <c r="A496" t="s">
        <v>222</v>
      </c>
      <c r="B496" t="s">
        <v>4</v>
      </c>
      <c r="C496" t="s">
        <v>29</v>
      </c>
      <c r="D496" s="24">
        <v>45992</v>
      </c>
      <c r="E496" t="s">
        <v>326</v>
      </c>
      <c r="F496" t="s">
        <v>4</v>
      </c>
      <c r="G496" t="s">
        <v>217</v>
      </c>
      <c r="H496" t="s">
        <v>217</v>
      </c>
      <c r="I496" t="s">
        <v>221</v>
      </c>
      <c r="J496" s="25">
        <v>12656</v>
      </c>
      <c r="K496" s="26">
        <v>2280.36</v>
      </c>
      <c r="L496" s="26">
        <v>23.43</v>
      </c>
    </row>
    <row r="497" spans="1:12" ht="16" customHeight="1">
      <c r="A497" t="s">
        <v>222</v>
      </c>
      <c r="B497" t="s">
        <v>4</v>
      </c>
      <c r="C497" t="s">
        <v>29</v>
      </c>
      <c r="D497" s="24">
        <v>45992</v>
      </c>
      <c r="E497" t="s">
        <v>357</v>
      </c>
      <c r="F497" t="s">
        <v>3</v>
      </c>
      <c r="G497" t="s">
        <v>358</v>
      </c>
      <c r="H497" t="s">
        <v>358</v>
      </c>
      <c r="I497" t="s">
        <v>223</v>
      </c>
      <c r="J497" s="25">
        <v>4061</v>
      </c>
      <c r="K497" s="26">
        <v>842.95</v>
      </c>
      <c r="L497" s="26">
        <v>11.91</v>
      </c>
    </row>
    <row r="498" spans="1:12" ht="16" customHeight="1">
      <c r="A498" t="s">
        <v>222</v>
      </c>
      <c r="B498" t="s">
        <v>4</v>
      </c>
      <c r="C498" t="s">
        <v>29</v>
      </c>
      <c r="D498" s="24">
        <v>45992</v>
      </c>
      <c r="E498" t="s">
        <v>226</v>
      </c>
      <c r="F498" t="s">
        <v>4</v>
      </c>
      <c r="G498" t="s">
        <v>217</v>
      </c>
      <c r="H498" t="s">
        <v>217</v>
      </c>
      <c r="I498" t="s">
        <v>225</v>
      </c>
      <c r="J498" s="25">
        <v>0</v>
      </c>
      <c r="K498" s="26">
        <v>0</v>
      </c>
      <c r="L498" s="26">
        <v>0</v>
      </c>
    </row>
    <row r="499" spans="1:12" ht="16" customHeight="1">
      <c r="A499" t="s">
        <v>222</v>
      </c>
      <c r="B499" t="s">
        <v>4</v>
      </c>
      <c r="C499" t="s">
        <v>29</v>
      </c>
      <c r="D499" s="24">
        <v>45992</v>
      </c>
      <c r="E499" t="s">
        <v>269</v>
      </c>
      <c r="F499" t="s">
        <v>4</v>
      </c>
      <c r="G499" t="s">
        <v>217</v>
      </c>
      <c r="H499" t="s">
        <v>217</v>
      </c>
      <c r="I499" t="s">
        <v>227</v>
      </c>
      <c r="J499" s="25">
        <v>0</v>
      </c>
      <c r="K499" s="26">
        <v>0</v>
      </c>
      <c r="L499" s="26">
        <v>0</v>
      </c>
    </row>
    <row r="500" spans="1:12" ht="16" customHeight="1">
      <c r="A500" t="s">
        <v>359</v>
      </c>
      <c r="B500" t="s">
        <v>5</v>
      </c>
      <c r="C500" t="s">
        <v>29</v>
      </c>
      <c r="D500" s="24">
        <v>45992</v>
      </c>
      <c r="E500" t="s">
        <v>296</v>
      </c>
      <c r="F500" t="s">
        <v>4</v>
      </c>
      <c r="G500" t="s">
        <v>217</v>
      </c>
      <c r="H500" t="s">
        <v>217</v>
      </c>
      <c r="I500" t="s">
        <v>219</v>
      </c>
      <c r="J500" s="25">
        <v>2192565</v>
      </c>
      <c r="K500" s="26">
        <v>392507.69</v>
      </c>
      <c r="L500" s="26">
        <v>2858.19</v>
      </c>
    </row>
    <row r="501" spans="1:12" ht="16" customHeight="1">
      <c r="A501" t="s">
        <v>359</v>
      </c>
      <c r="B501" t="s">
        <v>5</v>
      </c>
      <c r="C501" t="s">
        <v>29</v>
      </c>
      <c r="D501" s="24">
        <v>45992</v>
      </c>
      <c r="E501" t="s">
        <v>326</v>
      </c>
      <c r="F501" t="s">
        <v>4</v>
      </c>
      <c r="G501" t="s">
        <v>217</v>
      </c>
      <c r="H501" t="s">
        <v>217</v>
      </c>
      <c r="I501" t="s">
        <v>221</v>
      </c>
      <c r="J501" s="25">
        <v>27378</v>
      </c>
      <c r="K501" s="26">
        <v>4963.13</v>
      </c>
      <c r="L501" s="26">
        <v>45.28</v>
      </c>
    </row>
    <row r="502" spans="1:12" ht="16" customHeight="1">
      <c r="A502" t="s">
        <v>359</v>
      </c>
      <c r="B502" t="s">
        <v>5</v>
      </c>
      <c r="C502" t="s">
        <v>29</v>
      </c>
      <c r="D502" s="24">
        <v>45992</v>
      </c>
      <c r="E502" t="s">
        <v>357</v>
      </c>
      <c r="F502" t="s">
        <v>3</v>
      </c>
      <c r="G502" t="s">
        <v>358</v>
      </c>
      <c r="H502" t="s">
        <v>358</v>
      </c>
      <c r="I502" t="s">
        <v>223</v>
      </c>
      <c r="J502" s="25">
        <v>7104</v>
      </c>
      <c r="K502" s="26">
        <v>1291.74</v>
      </c>
      <c r="L502" s="26">
        <v>20.14</v>
      </c>
    </row>
    <row r="503" spans="1:12" ht="16" customHeight="1">
      <c r="A503" t="s">
        <v>359</v>
      </c>
      <c r="B503" t="s">
        <v>5</v>
      </c>
      <c r="C503" t="s">
        <v>29</v>
      </c>
      <c r="D503" s="24">
        <v>45992</v>
      </c>
      <c r="E503" t="s">
        <v>226</v>
      </c>
      <c r="F503" t="s">
        <v>4</v>
      </c>
      <c r="G503" t="s">
        <v>217</v>
      </c>
      <c r="H503" t="s">
        <v>217</v>
      </c>
      <c r="I503" t="s">
        <v>225</v>
      </c>
      <c r="J503" s="25">
        <v>0</v>
      </c>
      <c r="K503" s="26">
        <v>0</v>
      </c>
      <c r="L503" s="26">
        <v>0</v>
      </c>
    </row>
    <row r="504" spans="1:12" ht="16" customHeight="1">
      <c r="A504" t="s">
        <v>359</v>
      </c>
      <c r="B504" t="s">
        <v>5</v>
      </c>
      <c r="C504" t="s">
        <v>29</v>
      </c>
      <c r="D504" s="24">
        <v>45992</v>
      </c>
      <c r="E504" t="s">
        <v>269</v>
      </c>
      <c r="F504" t="s">
        <v>4</v>
      </c>
      <c r="G504" t="s">
        <v>217</v>
      </c>
      <c r="H504" t="s">
        <v>217</v>
      </c>
      <c r="I504" t="s">
        <v>227</v>
      </c>
      <c r="J504" s="25">
        <v>0</v>
      </c>
      <c r="K504" s="26">
        <v>0</v>
      </c>
      <c r="L504" s="26">
        <v>0</v>
      </c>
    </row>
    <row r="505" spans="1:12" ht="16" customHeight="1">
      <c r="A505" t="s">
        <v>359</v>
      </c>
      <c r="B505" t="s">
        <v>5</v>
      </c>
      <c r="C505" t="s">
        <v>29</v>
      </c>
      <c r="D505" s="24">
        <v>45992</v>
      </c>
      <c r="E505" t="s">
        <v>228</v>
      </c>
      <c r="F505" t="s">
        <v>4</v>
      </c>
      <c r="G505" t="s">
        <v>217</v>
      </c>
      <c r="H505" t="s">
        <v>217</v>
      </c>
      <c r="I505" t="s">
        <v>330</v>
      </c>
      <c r="J505" s="25">
        <v>0</v>
      </c>
      <c r="K505" s="26">
        <v>0</v>
      </c>
      <c r="L505" s="26">
        <v>0</v>
      </c>
    </row>
    <row r="506" spans="1:12" ht="16" customHeight="1">
      <c r="A506" t="s">
        <v>362</v>
      </c>
      <c r="B506" t="s">
        <v>6</v>
      </c>
      <c r="C506" t="s">
        <v>30</v>
      </c>
      <c r="D506" s="24">
        <v>46023</v>
      </c>
      <c r="E506" t="s">
        <v>296</v>
      </c>
      <c r="F506" t="s">
        <v>4</v>
      </c>
      <c r="G506" t="s">
        <v>217</v>
      </c>
      <c r="H506" t="s">
        <v>217</v>
      </c>
      <c r="I506" t="s">
        <v>212</v>
      </c>
      <c r="J506" s="25">
        <v>1218064</v>
      </c>
      <c r="K506" s="26">
        <v>217721.18</v>
      </c>
      <c r="L506" s="26">
        <v>1591.39</v>
      </c>
    </row>
    <row r="507" spans="1:12" ht="16" customHeight="1">
      <c r="A507" t="s">
        <v>362</v>
      </c>
      <c r="B507" t="s">
        <v>6</v>
      </c>
      <c r="C507" t="s">
        <v>30</v>
      </c>
      <c r="D507" s="24">
        <v>46023</v>
      </c>
      <c r="E507" t="s">
        <v>326</v>
      </c>
      <c r="F507" t="s">
        <v>4</v>
      </c>
      <c r="G507" t="s">
        <v>217</v>
      </c>
      <c r="H507" t="s">
        <v>217</v>
      </c>
      <c r="I507" t="s">
        <v>219</v>
      </c>
      <c r="J507" s="25">
        <v>11460</v>
      </c>
      <c r="K507" s="26">
        <v>2070.34</v>
      </c>
      <c r="L507" s="26">
        <v>20.93</v>
      </c>
    </row>
    <row r="508" spans="1:12" ht="16" customHeight="1">
      <c r="A508" t="s">
        <v>362</v>
      </c>
      <c r="B508" t="s">
        <v>6</v>
      </c>
      <c r="C508" t="s">
        <v>30</v>
      </c>
      <c r="D508" s="24">
        <v>46023</v>
      </c>
      <c r="E508" t="s">
        <v>357</v>
      </c>
      <c r="F508" t="s">
        <v>3</v>
      </c>
      <c r="G508" t="s">
        <v>358</v>
      </c>
      <c r="H508" t="s">
        <v>358</v>
      </c>
      <c r="I508" t="s">
        <v>221</v>
      </c>
      <c r="J508" s="25">
        <v>1868</v>
      </c>
      <c r="K508" s="26">
        <v>335.04</v>
      </c>
      <c r="L508" s="26">
        <v>4.03</v>
      </c>
    </row>
    <row r="509" spans="1:12" ht="16" customHeight="1">
      <c r="A509" t="s">
        <v>362</v>
      </c>
      <c r="B509" t="s">
        <v>6</v>
      </c>
      <c r="C509" t="s">
        <v>30</v>
      </c>
      <c r="D509" s="24">
        <v>46023</v>
      </c>
      <c r="E509" t="s">
        <v>226</v>
      </c>
      <c r="F509" t="s">
        <v>4</v>
      </c>
      <c r="G509" t="s">
        <v>217</v>
      </c>
      <c r="H509" t="s">
        <v>217</v>
      </c>
      <c r="I509" t="s">
        <v>267</v>
      </c>
      <c r="J509" s="25">
        <v>0</v>
      </c>
      <c r="K509" s="26">
        <v>0</v>
      </c>
      <c r="L509" s="26">
        <v>0</v>
      </c>
    </row>
    <row r="510" spans="1:12" ht="16" customHeight="1">
      <c r="A510" t="s">
        <v>362</v>
      </c>
      <c r="B510" t="s">
        <v>6</v>
      </c>
      <c r="C510" t="s">
        <v>30</v>
      </c>
      <c r="D510" s="24">
        <v>46023</v>
      </c>
      <c r="E510" t="s">
        <v>269</v>
      </c>
      <c r="F510" t="s">
        <v>4</v>
      </c>
      <c r="G510" t="s">
        <v>217</v>
      </c>
      <c r="H510" t="s">
        <v>217</v>
      </c>
      <c r="I510" t="s">
        <v>268</v>
      </c>
      <c r="J510" s="25">
        <v>0</v>
      </c>
      <c r="K510" s="26">
        <v>0</v>
      </c>
      <c r="L510" s="26">
        <v>0</v>
      </c>
    </row>
    <row r="511" spans="1:12" ht="16" customHeight="1">
      <c r="A511" t="s">
        <v>362</v>
      </c>
      <c r="B511" t="s">
        <v>6</v>
      </c>
      <c r="C511" t="s">
        <v>30</v>
      </c>
      <c r="D511" s="24">
        <v>46023</v>
      </c>
      <c r="E511" t="s">
        <v>228</v>
      </c>
      <c r="F511" t="s">
        <v>4</v>
      </c>
      <c r="G511" t="s">
        <v>217</v>
      </c>
      <c r="H511" t="s">
        <v>217</v>
      </c>
      <c r="I511" t="s">
        <v>270</v>
      </c>
      <c r="J511" s="25">
        <v>0</v>
      </c>
      <c r="K511" s="26">
        <v>0</v>
      </c>
      <c r="L511" s="26">
        <v>0</v>
      </c>
    </row>
    <row r="512" spans="1:12" ht="16" customHeight="1">
      <c r="A512" t="s">
        <v>371</v>
      </c>
      <c r="B512" t="s">
        <v>7</v>
      </c>
      <c r="C512" t="s">
        <v>30</v>
      </c>
      <c r="D512" s="24">
        <v>46023</v>
      </c>
      <c r="E512" t="s">
        <v>296</v>
      </c>
      <c r="F512" t="s">
        <v>4</v>
      </c>
      <c r="G512" t="s">
        <v>217</v>
      </c>
      <c r="H512" t="s">
        <v>217</v>
      </c>
      <c r="I512" t="s">
        <v>212</v>
      </c>
      <c r="J512" s="25">
        <v>2233318</v>
      </c>
      <c r="K512" s="26">
        <v>401507.91</v>
      </c>
      <c r="L512" s="26">
        <v>2803.59</v>
      </c>
    </row>
    <row r="513" spans="1:12" ht="16" customHeight="1">
      <c r="A513" t="s">
        <v>371</v>
      </c>
      <c r="B513" t="s">
        <v>7</v>
      </c>
      <c r="C513" t="s">
        <v>30</v>
      </c>
      <c r="D513" s="24">
        <v>46023</v>
      </c>
      <c r="E513" t="s">
        <v>326</v>
      </c>
      <c r="F513" t="s">
        <v>4</v>
      </c>
      <c r="G513" t="s">
        <v>217</v>
      </c>
      <c r="H513" t="s">
        <v>217</v>
      </c>
      <c r="I513" t="s">
        <v>219</v>
      </c>
      <c r="J513" s="25">
        <v>31896</v>
      </c>
      <c r="K513" s="26">
        <v>5797.01</v>
      </c>
      <c r="L513" s="26">
        <v>57.6</v>
      </c>
    </row>
    <row r="514" spans="1:12" ht="16" customHeight="1">
      <c r="A514" t="s">
        <v>371</v>
      </c>
      <c r="B514" t="s">
        <v>7</v>
      </c>
      <c r="C514" t="s">
        <v>30</v>
      </c>
      <c r="D514" s="24">
        <v>46023</v>
      </c>
      <c r="E514" t="s">
        <v>357</v>
      </c>
      <c r="F514" t="s">
        <v>3</v>
      </c>
      <c r="G514" t="s">
        <v>358</v>
      </c>
      <c r="H514" t="s">
        <v>358</v>
      </c>
      <c r="I514" t="s">
        <v>221</v>
      </c>
      <c r="J514" s="25">
        <v>6090</v>
      </c>
      <c r="K514" s="26">
        <v>1107.08</v>
      </c>
      <c r="L514" s="26">
        <v>15.89</v>
      </c>
    </row>
    <row r="515" spans="1:12" ht="16" customHeight="1">
      <c r="A515" t="s">
        <v>371</v>
      </c>
      <c r="B515" t="s">
        <v>7</v>
      </c>
      <c r="C515" t="s">
        <v>30</v>
      </c>
      <c r="D515" s="24">
        <v>46023</v>
      </c>
      <c r="E515" t="s">
        <v>226</v>
      </c>
      <c r="F515" t="s">
        <v>4</v>
      </c>
      <c r="G515" t="s">
        <v>217</v>
      </c>
      <c r="H515" t="s">
        <v>217</v>
      </c>
      <c r="I515" t="s">
        <v>267</v>
      </c>
      <c r="J515" s="25">
        <v>0</v>
      </c>
      <c r="K515" s="26">
        <v>0</v>
      </c>
      <c r="L515" s="26">
        <v>0</v>
      </c>
    </row>
    <row r="516" spans="1:12" ht="16" customHeight="1">
      <c r="A516" t="s">
        <v>371</v>
      </c>
      <c r="B516" t="s">
        <v>7</v>
      </c>
      <c r="C516" t="s">
        <v>30</v>
      </c>
      <c r="D516" s="24">
        <v>46023</v>
      </c>
      <c r="E516" t="s">
        <v>269</v>
      </c>
      <c r="F516" t="s">
        <v>4</v>
      </c>
      <c r="G516" t="s">
        <v>217</v>
      </c>
      <c r="H516" t="s">
        <v>217</v>
      </c>
      <c r="I516" t="s">
        <v>268</v>
      </c>
      <c r="J516" s="25">
        <v>0</v>
      </c>
      <c r="K516" s="26">
        <v>0</v>
      </c>
      <c r="L516" s="26">
        <v>0</v>
      </c>
    </row>
    <row r="517" spans="1:12" ht="16" customHeight="1">
      <c r="A517" t="s">
        <v>371</v>
      </c>
      <c r="B517" t="s">
        <v>7</v>
      </c>
      <c r="C517" t="s">
        <v>30</v>
      </c>
      <c r="D517" s="24">
        <v>46023</v>
      </c>
      <c r="E517" t="s">
        <v>228</v>
      </c>
      <c r="F517" t="s">
        <v>4</v>
      </c>
      <c r="G517" t="s">
        <v>217</v>
      </c>
      <c r="H517" t="s">
        <v>217</v>
      </c>
      <c r="I517" t="s">
        <v>270</v>
      </c>
      <c r="J517" s="25">
        <v>0</v>
      </c>
      <c r="K517" s="26">
        <v>0</v>
      </c>
      <c r="L517" s="26">
        <v>0</v>
      </c>
    </row>
    <row r="518" spans="1:12" ht="16" customHeight="1">
      <c r="A518" t="s">
        <v>372</v>
      </c>
      <c r="B518" t="s">
        <v>3</v>
      </c>
      <c r="C518" t="s">
        <v>30</v>
      </c>
      <c r="D518" s="24">
        <v>46023</v>
      </c>
      <c r="E518" t="s">
        <v>296</v>
      </c>
      <c r="F518" t="s">
        <v>4</v>
      </c>
      <c r="G518" t="s">
        <v>217</v>
      </c>
      <c r="H518" t="s">
        <v>217</v>
      </c>
      <c r="I518" t="s">
        <v>212</v>
      </c>
      <c r="J518" s="25">
        <v>2557337</v>
      </c>
      <c r="K518" s="26">
        <v>461481.39</v>
      </c>
      <c r="L518" s="26">
        <v>3117.52</v>
      </c>
    </row>
    <row r="519" spans="1:12" ht="16" customHeight="1">
      <c r="A519" t="s">
        <v>372</v>
      </c>
      <c r="B519" t="s">
        <v>3</v>
      </c>
      <c r="C519" t="s">
        <v>30</v>
      </c>
      <c r="D519" s="24">
        <v>46023</v>
      </c>
      <c r="E519" t="s">
        <v>326</v>
      </c>
      <c r="F519" t="s">
        <v>4</v>
      </c>
      <c r="G519" t="s">
        <v>217</v>
      </c>
      <c r="H519" t="s">
        <v>217</v>
      </c>
      <c r="I519" t="s">
        <v>219</v>
      </c>
      <c r="J519" s="25">
        <v>26875</v>
      </c>
      <c r="K519" s="26">
        <v>4889.95</v>
      </c>
      <c r="L519" s="26">
        <v>48.74</v>
      </c>
    </row>
    <row r="520" spans="1:12" ht="16" customHeight="1">
      <c r="A520" t="s">
        <v>372</v>
      </c>
      <c r="B520" t="s">
        <v>3</v>
      </c>
      <c r="C520" t="s">
        <v>30</v>
      </c>
      <c r="D520" s="24">
        <v>46023</v>
      </c>
      <c r="E520" t="s">
        <v>357</v>
      </c>
      <c r="F520" t="s">
        <v>3</v>
      </c>
      <c r="G520" t="s">
        <v>358</v>
      </c>
      <c r="H520" t="s">
        <v>358</v>
      </c>
      <c r="I520" t="s">
        <v>221</v>
      </c>
      <c r="J520" s="25">
        <v>6279</v>
      </c>
      <c r="K520" s="26">
        <v>1149.5</v>
      </c>
      <c r="L520" s="26">
        <v>15.01</v>
      </c>
    </row>
    <row r="521" spans="1:12" ht="16" customHeight="1">
      <c r="A521" t="s">
        <v>372</v>
      </c>
      <c r="B521" t="s">
        <v>3</v>
      </c>
      <c r="C521" t="s">
        <v>30</v>
      </c>
      <c r="D521" s="24">
        <v>46023</v>
      </c>
      <c r="E521" t="s">
        <v>226</v>
      </c>
      <c r="F521" t="s">
        <v>4</v>
      </c>
      <c r="G521" t="s">
        <v>217</v>
      </c>
      <c r="H521" t="s">
        <v>217</v>
      </c>
      <c r="I521" t="s">
        <v>267</v>
      </c>
      <c r="J521" s="25">
        <v>0</v>
      </c>
      <c r="K521" s="26">
        <v>0</v>
      </c>
      <c r="L521" s="26">
        <v>0</v>
      </c>
    </row>
    <row r="522" spans="1:12" ht="16" customHeight="1">
      <c r="A522" t="s">
        <v>372</v>
      </c>
      <c r="B522" t="s">
        <v>3</v>
      </c>
      <c r="C522" t="s">
        <v>30</v>
      </c>
      <c r="D522" s="24">
        <v>46023</v>
      </c>
      <c r="E522" t="s">
        <v>269</v>
      </c>
      <c r="F522" t="s">
        <v>4</v>
      </c>
      <c r="G522" t="s">
        <v>217</v>
      </c>
      <c r="H522" t="s">
        <v>217</v>
      </c>
      <c r="I522" t="s">
        <v>268</v>
      </c>
      <c r="J522" s="25">
        <v>0</v>
      </c>
      <c r="K522" s="26">
        <v>0</v>
      </c>
      <c r="L522" s="26">
        <v>0</v>
      </c>
    </row>
    <row r="523" spans="1:12" ht="16" customHeight="1">
      <c r="A523" t="s">
        <v>372</v>
      </c>
      <c r="B523" t="s">
        <v>3</v>
      </c>
      <c r="C523" t="s">
        <v>30</v>
      </c>
      <c r="D523" s="24">
        <v>46023</v>
      </c>
      <c r="E523" t="s">
        <v>228</v>
      </c>
      <c r="F523" t="s">
        <v>4</v>
      </c>
      <c r="G523" t="s">
        <v>217</v>
      </c>
      <c r="H523" t="s">
        <v>217</v>
      </c>
      <c r="I523" t="s">
        <v>270</v>
      </c>
      <c r="J523" s="25">
        <v>0</v>
      </c>
      <c r="K523" s="26">
        <v>0</v>
      </c>
      <c r="L523" s="26">
        <v>0</v>
      </c>
    </row>
    <row r="524" spans="1:12" ht="16" customHeight="1">
      <c r="A524" t="s">
        <v>339</v>
      </c>
      <c r="B524" t="s">
        <v>4</v>
      </c>
      <c r="C524" t="s">
        <v>30</v>
      </c>
      <c r="D524" s="24">
        <v>46023</v>
      </c>
      <c r="E524" t="s">
        <v>296</v>
      </c>
      <c r="F524" t="s">
        <v>4</v>
      </c>
      <c r="G524" t="s">
        <v>217</v>
      </c>
      <c r="H524" t="s">
        <v>217</v>
      </c>
      <c r="I524" t="s">
        <v>212</v>
      </c>
      <c r="J524" s="25">
        <v>2102559</v>
      </c>
      <c r="K524" s="26">
        <v>379410.32</v>
      </c>
      <c r="L524" s="26">
        <v>2572.69</v>
      </c>
    </row>
    <row r="525" spans="1:12" ht="16" customHeight="1">
      <c r="A525" t="s">
        <v>339</v>
      </c>
      <c r="B525" t="s">
        <v>4</v>
      </c>
      <c r="C525" t="s">
        <v>30</v>
      </c>
      <c r="D525" s="24">
        <v>46023</v>
      </c>
      <c r="E525" t="s">
        <v>326</v>
      </c>
      <c r="F525" t="s">
        <v>4</v>
      </c>
      <c r="G525" t="s">
        <v>217</v>
      </c>
      <c r="H525" t="s">
        <v>217</v>
      </c>
      <c r="I525" t="s">
        <v>219</v>
      </c>
      <c r="J525" s="25">
        <v>27710</v>
      </c>
      <c r="K525" s="26">
        <v>5006.22</v>
      </c>
      <c r="L525" s="26">
        <v>42.5</v>
      </c>
    </row>
    <row r="526" spans="1:12" ht="16" customHeight="1">
      <c r="A526" t="s">
        <v>339</v>
      </c>
      <c r="B526" t="s">
        <v>4</v>
      </c>
      <c r="C526" t="s">
        <v>30</v>
      </c>
      <c r="D526" s="24">
        <v>46023</v>
      </c>
      <c r="E526" t="s">
        <v>357</v>
      </c>
      <c r="F526" t="s">
        <v>3</v>
      </c>
      <c r="G526" t="s">
        <v>358</v>
      </c>
      <c r="H526" t="s">
        <v>358</v>
      </c>
      <c r="I526" t="s">
        <v>221</v>
      </c>
      <c r="J526" s="25">
        <v>3017</v>
      </c>
      <c r="K526" s="26">
        <v>550.16999999999996</v>
      </c>
      <c r="L526" s="26">
        <v>6.91</v>
      </c>
    </row>
    <row r="527" spans="1:12" ht="16" customHeight="1">
      <c r="A527" t="s">
        <v>339</v>
      </c>
      <c r="B527" t="s">
        <v>4</v>
      </c>
      <c r="C527" t="s">
        <v>30</v>
      </c>
      <c r="D527" s="24">
        <v>46023</v>
      </c>
      <c r="E527" t="s">
        <v>226</v>
      </c>
      <c r="F527" t="s">
        <v>4</v>
      </c>
      <c r="G527" t="s">
        <v>217</v>
      </c>
      <c r="H527" t="s">
        <v>217</v>
      </c>
      <c r="I527" t="s">
        <v>267</v>
      </c>
      <c r="J527" s="25">
        <v>0</v>
      </c>
      <c r="K527" s="26">
        <v>0</v>
      </c>
      <c r="L527" s="26">
        <v>0</v>
      </c>
    </row>
    <row r="528" spans="1:12" ht="16" customHeight="1">
      <c r="A528" t="s">
        <v>339</v>
      </c>
      <c r="B528" t="s">
        <v>4</v>
      </c>
      <c r="C528" t="s">
        <v>30</v>
      </c>
      <c r="D528" s="24">
        <v>46023</v>
      </c>
      <c r="E528" t="s">
        <v>269</v>
      </c>
      <c r="F528" t="s">
        <v>4</v>
      </c>
      <c r="G528" t="s">
        <v>217</v>
      </c>
      <c r="H528" t="s">
        <v>217</v>
      </c>
      <c r="I528" t="s">
        <v>268</v>
      </c>
      <c r="J528" s="25">
        <v>0</v>
      </c>
      <c r="K528" s="26">
        <v>0</v>
      </c>
      <c r="L528" s="26">
        <v>0</v>
      </c>
    </row>
    <row r="529" spans="1:12" ht="16" customHeight="1">
      <c r="A529" t="s">
        <v>339</v>
      </c>
      <c r="B529" t="s">
        <v>4</v>
      </c>
      <c r="C529" t="s">
        <v>30</v>
      </c>
      <c r="D529" s="24">
        <v>46023</v>
      </c>
      <c r="E529" t="s">
        <v>228</v>
      </c>
      <c r="F529" t="s">
        <v>4</v>
      </c>
      <c r="G529" t="s">
        <v>217</v>
      </c>
      <c r="H529" t="s">
        <v>217</v>
      </c>
      <c r="I529" t="s">
        <v>270</v>
      </c>
      <c r="J529" s="25">
        <v>0</v>
      </c>
      <c r="K529" s="26">
        <v>0</v>
      </c>
      <c r="L529" s="26">
        <v>0</v>
      </c>
    </row>
    <row r="530" spans="1:12" ht="16" customHeight="1">
      <c r="A530" t="s">
        <v>373</v>
      </c>
      <c r="B530" t="s">
        <v>5</v>
      </c>
      <c r="C530" t="s">
        <v>30</v>
      </c>
      <c r="D530" s="24">
        <v>46023</v>
      </c>
      <c r="E530" t="s">
        <v>296</v>
      </c>
      <c r="F530" t="s">
        <v>4</v>
      </c>
      <c r="G530" t="s">
        <v>217</v>
      </c>
      <c r="H530" t="s">
        <v>217</v>
      </c>
      <c r="I530" t="s">
        <v>212</v>
      </c>
      <c r="J530" s="25">
        <v>2284207</v>
      </c>
      <c r="K530" s="26">
        <v>409962.4</v>
      </c>
      <c r="L530" s="26">
        <v>2753.45</v>
      </c>
    </row>
    <row r="531" spans="1:12" ht="16" customHeight="1">
      <c r="A531" t="s">
        <v>373</v>
      </c>
      <c r="B531" t="s">
        <v>5</v>
      </c>
      <c r="C531" t="s">
        <v>30</v>
      </c>
      <c r="D531" s="24">
        <v>46023</v>
      </c>
      <c r="E531" t="s">
        <v>326</v>
      </c>
      <c r="F531" t="s">
        <v>4</v>
      </c>
      <c r="G531" t="s">
        <v>217</v>
      </c>
      <c r="H531" t="s">
        <v>217</v>
      </c>
      <c r="I531" t="s">
        <v>219</v>
      </c>
      <c r="J531" s="25">
        <v>26715</v>
      </c>
      <c r="K531" s="26">
        <v>4852.07</v>
      </c>
      <c r="L531" s="26">
        <v>48.17</v>
      </c>
    </row>
    <row r="532" spans="1:12" ht="16" customHeight="1">
      <c r="A532" t="s">
        <v>373</v>
      </c>
      <c r="B532" t="s">
        <v>5</v>
      </c>
      <c r="C532" t="s">
        <v>30</v>
      </c>
      <c r="D532" s="24">
        <v>46023</v>
      </c>
      <c r="E532" t="s">
        <v>357</v>
      </c>
      <c r="F532" t="s">
        <v>3</v>
      </c>
      <c r="G532" t="s">
        <v>358</v>
      </c>
      <c r="H532" t="s">
        <v>358</v>
      </c>
      <c r="I532" t="s">
        <v>221</v>
      </c>
      <c r="J532" s="25">
        <v>3455</v>
      </c>
      <c r="K532" s="26">
        <v>622.52</v>
      </c>
      <c r="L532" s="26">
        <v>7.44</v>
      </c>
    </row>
    <row r="533" spans="1:12" ht="16" customHeight="1">
      <c r="A533" t="s">
        <v>373</v>
      </c>
      <c r="B533" t="s">
        <v>5</v>
      </c>
      <c r="C533" t="s">
        <v>30</v>
      </c>
      <c r="D533" s="24">
        <v>46023</v>
      </c>
      <c r="E533" t="s">
        <v>226</v>
      </c>
      <c r="F533" t="s">
        <v>4</v>
      </c>
      <c r="G533" t="s">
        <v>217</v>
      </c>
      <c r="H533" t="s">
        <v>217</v>
      </c>
      <c r="I533" t="s">
        <v>267</v>
      </c>
      <c r="J533" s="25">
        <v>0</v>
      </c>
      <c r="K533" s="26">
        <v>0</v>
      </c>
      <c r="L533" s="26">
        <v>0</v>
      </c>
    </row>
    <row r="534" spans="1:12" ht="16" customHeight="1">
      <c r="A534" t="s">
        <v>373</v>
      </c>
      <c r="B534" t="s">
        <v>5</v>
      </c>
      <c r="C534" t="s">
        <v>30</v>
      </c>
      <c r="D534" s="24">
        <v>46023</v>
      </c>
      <c r="E534" t="s">
        <v>269</v>
      </c>
      <c r="F534" t="s">
        <v>4</v>
      </c>
      <c r="G534" t="s">
        <v>217</v>
      </c>
      <c r="H534" t="s">
        <v>217</v>
      </c>
      <c r="I534" t="s">
        <v>268</v>
      </c>
      <c r="J534" s="25">
        <v>0</v>
      </c>
      <c r="K534" s="26">
        <v>0</v>
      </c>
      <c r="L534" s="26">
        <v>0</v>
      </c>
    </row>
    <row r="535" spans="1:12" ht="16" customHeight="1">
      <c r="A535" t="s">
        <v>373</v>
      </c>
      <c r="B535" t="s">
        <v>5</v>
      </c>
      <c r="C535" t="s">
        <v>30</v>
      </c>
      <c r="D535" s="24">
        <v>46023</v>
      </c>
      <c r="E535" t="s">
        <v>228</v>
      </c>
      <c r="F535" t="s">
        <v>4</v>
      </c>
      <c r="G535" t="s">
        <v>217</v>
      </c>
      <c r="H535" t="s">
        <v>217</v>
      </c>
      <c r="I535" t="s">
        <v>270</v>
      </c>
      <c r="J535" s="25">
        <v>0</v>
      </c>
      <c r="K535" s="26">
        <v>0</v>
      </c>
      <c r="L535" s="26">
        <v>0</v>
      </c>
    </row>
    <row r="536" spans="1:12" ht="16" customHeight="1">
      <c r="A536" t="s">
        <v>375</v>
      </c>
      <c r="B536" t="s">
        <v>6</v>
      </c>
      <c r="C536" t="s">
        <v>31</v>
      </c>
      <c r="D536" s="24">
        <v>46023</v>
      </c>
      <c r="E536" t="s">
        <v>296</v>
      </c>
      <c r="F536" t="s">
        <v>4</v>
      </c>
      <c r="G536" t="s">
        <v>217</v>
      </c>
      <c r="H536" t="s">
        <v>217</v>
      </c>
      <c r="I536" t="s">
        <v>212</v>
      </c>
      <c r="J536" s="25">
        <v>3139153</v>
      </c>
      <c r="K536" s="26">
        <v>561644.4</v>
      </c>
      <c r="L536" s="26">
        <v>3601.32</v>
      </c>
    </row>
    <row r="537" spans="1:12" ht="16" customHeight="1">
      <c r="A537" t="s">
        <v>375</v>
      </c>
      <c r="B537" t="s">
        <v>6</v>
      </c>
      <c r="C537" t="s">
        <v>31</v>
      </c>
      <c r="D537" s="24">
        <v>46023</v>
      </c>
      <c r="E537" t="s">
        <v>326</v>
      </c>
      <c r="F537" t="s">
        <v>4</v>
      </c>
      <c r="G537" t="s">
        <v>217</v>
      </c>
      <c r="H537" t="s">
        <v>217</v>
      </c>
      <c r="I537" t="s">
        <v>219</v>
      </c>
      <c r="J537" s="25">
        <v>40476</v>
      </c>
      <c r="K537" s="26">
        <v>7350.37</v>
      </c>
      <c r="L537" s="26">
        <v>80.319999999999993</v>
      </c>
    </row>
    <row r="538" spans="1:12" ht="16" customHeight="1">
      <c r="A538" t="s">
        <v>375</v>
      </c>
      <c r="B538" t="s">
        <v>6</v>
      </c>
      <c r="C538" t="s">
        <v>31</v>
      </c>
      <c r="D538" s="24">
        <v>46023</v>
      </c>
      <c r="E538" t="s">
        <v>357</v>
      </c>
      <c r="F538" t="s">
        <v>3</v>
      </c>
      <c r="G538" t="s">
        <v>358</v>
      </c>
      <c r="H538" t="s">
        <v>358</v>
      </c>
      <c r="I538" t="s">
        <v>221</v>
      </c>
      <c r="J538" s="25">
        <v>5459</v>
      </c>
      <c r="K538" s="26">
        <v>982.63</v>
      </c>
      <c r="L538" s="26">
        <v>12.39</v>
      </c>
    </row>
    <row r="539" spans="1:12" ht="16" customHeight="1">
      <c r="A539" t="s">
        <v>375</v>
      </c>
      <c r="B539" t="s">
        <v>6</v>
      </c>
      <c r="C539" t="s">
        <v>31</v>
      </c>
      <c r="D539" s="24">
        <v>46023</v>
      </c>
      <c r="E539" t="s">
        <v>226</v>
      </c>
      <c r="F539" t="s">
        <v>4</v>
      </c>
      <c r="G539" t="s">
        <v>217</v>
      </c>
      <c r="H539" t="s">
        <v>217</v>
      </c>
      <c r="I539" t="s">
        <v>267</v>
      </c>
      <c r="J539" s="25">
        <v>0</v>
      </c>
      <c r="K539" s="26">
        <v>0</v>
      </c>
      <c r="L539" s="26">
        <v>0</v>
      </c>
    </row>
    <row r="540" spans="1:12" ht="16" customHeight="1">
      <c r="A540" t="s">
        <v>375</v>
      </c>
      <c r="B540" t="s">
        <v>6</v>
      </c>
      <c r="C540" t="s">
        <v>31</v>
      </c>
      <c r="D540" s="24">
        <v>46023</v>
      </c>
      <c r="E540" t="s">
        <v>269</v>
      </c>
      <c r="F540" t="s">
        <v>4</v>
      </c>
      <c r="G540" t="s">
        <v>217</v>
      </c>
      <c r="H540" t="s">
        <v>217</v>
      </c>
      <c r="I540" t="s">
        <v>268</v>
      </c>
      <c r="J540" s="25">
        <v>0</v>
      </c>
      <c r="K540" s="26">
        <v>0</v>
      </c>
      <c r="L540" s="26">
        <v>0</v>
      </c>
    </row>
    <row r="541" spans="1:12" ht="16" customHeight="1">
      <c r="A541" t="s">
        <v>375</v>
      </c>
      <c r="B541" t="s">
        <v>6</v>
      </c>
      <c r="C541" t="s">
        <v>31</v>
      </c>
      <c r="D541" s="24">
        <v>46023</v>
      </c>
      <c r="E541" t="s">
        <v>228</v>
      </c>
      <c r="F541" t="s">
        <v>4</v>
      </c>
      <c r="G541" t="s">
        <v>217</v>
      </c>
      <c r="H541" t="s">
        <v>217</v>
      </c>
      <c r="I541" t="s">
        <v>270</v>
      </c>
      <c r="J541" s="25">
        <v>0</v>
      </c>
      <c r="K541" s="26">
        <v>0</v>
      </c>
      <c r="L541" s="26">
        <v>0</v>
      </c>
    </row>
    <row r="542" spans="1:12" ht="16" customHeight="1">
      <c r="A542" t="s">
        <v>376</v>
      </c>
      <c r="B542" t="s">
        <v>7</v>
      </c>
      <c r="C542" t="s">
        <v>31</v>
      </c>
      <c r="D542" s="24">
        <v>46023</v>
      </c>
      <c r="E542" t="s">
        <v>296</v>
      </c>
      <c r="F542" t="s">
        <v>4</v>
      </c>
      <c r="G542" t="s">
        <v>217</v>
      </c>
      <c r="H542" t="s">
        <v>217</v>
      </c>
      <c r="I542" t="s">
        <v>212</v>
      </c>
      <c r="J542" s="25">
        <v>3354589</v>
      </c>
      <c r="K542" s="26">
        <v>596836.97</v>
      </c>
      <c r="L542" s="26">
        <v>3839.11</v>
      </c>
    </row>
    <row r="543" spans="1:12" ht="16" customHeight="1">
      <c r="A543" t="s">
        <v>376</v>
      </c>
      <c r="B543" t="s">
        <v>7</v>
      </c>
      <c r="C543" t="s">
        <v>31</v>
      </c>
      <c r="D543" s="24">
        <v>46023</v>
      </c>
      <c r="E543" t="s">
        <v>326</v>
      </c>
      <c r="F543" t="s">
        <v>4</v>
      </c>
      <c r="G543" t="s">
        <v>217</v>
      </c>
      <c r="H543" t="s">
        <v>217</v>
      </c>
      <c r="I543" t="s">
        <v>219</v>
      </c>
      <c r="J543" s="25">
        <v>50797</v>
      </c>
      <c r="K543" s="26">
        <v>9139.4500000000007</v>
      </c>
      <c r="L543" s="26">
        <v>98.06</v>
      </c>
    </row>
    <row r="544" spans="1:12" ht="16" customHeight="1">
      <c r="A544" t="s">
        <v>376</v>
      </c>
      <c r="B544" t="s">
        <v>7</v>
      </c>
      <c r="C544" t="s">
        <v>31</v>
      </c>
      <c r="D544" s="24">
        <v>46023</v>
      </c>
      <c r="E544" t="s">
        <v>357</v>
      </c>
      <c r="F544" t="s">
        <v>3</v>
      </c>
      <c r="G544" t="s">
        <v>358</v>
      </c>
      <c r="H544" t="s">
        <v>358</v>
      </c>
      <c r="I544" t="s">
        <v>221</v>
      </c>
      <c r="J544" s="25">
        <v>6876</v>
      </c>
      <c r="K544" s="26">
        <v>1235.5</v>
      </c>
      <c r="L544" s="26">
        <v>14.39</v>
      </c>
    </row>
    <row r="545" spans="1:12" ht="16" customHeight="1">
      <c r="A545" t="s">
        <v>376</v>
      </c>
      <c r="B545" t="s">
        <v>7</v>
      </c>
      <c r="C545" t="s">
        <v>31</v>
      </c>
      <c r="D545" s="24">
        <v>46023</v>
      </c>
      <c r="E545" t="s">
        <v>226</v>
      </c>
      <c r="F545" t="s">
        <v>4</v>
      </c>
      <c r="G545" t="s">
        <v>217</v>
      </c>
      <c r="H545" t="s">
        <v>217</v>
      </c>
      <c r="I545" t="s">
        <v>267</v>
      </c>
      <c r="J545" s="25">
        <v>0</v>
      </c>
      <c r="K545" s="26">
        <v>0</v>
      </c>
      <c r="L545" s="26">
        <v>0</v>
      </c>
    </row>
    <row r="546" spans="1:12" ht="16" customHeight="1">
      <c r="A546" t="s">
        <v>376</v>
      </c>
      <c r="B546" t="s">
        <v>7</v>
      </c>
      <c r="C546" t="s">
        <v>31</v>
      </c>
      <c r="D546" s="24">
        <v>46023</v>
      </c>
      <c r="E546" t="s">
        <v>269</v>
      </c>
      <c r="F546" t="s">
        <v>4</v>
      </c>
      <c r="G546" t="s">
        <v>217</v>
      </c>
      <c r="H546" t="s">
        <v>217</v>
      </c>
      <c r="I546" t="s">
        <v>268</v>
      </c>
      <c r="J546" s="25">
        <v>0</v>
      </c>
      <c r="K546" s="26">
        <v>0</v>
      </c>
      <c r="L546" s="26">
        <v>0</v>
      </c>
    </row>
    <row r="547" spans="1:12" ht="16" customHeight="1">
      <c r="A547" t="s">
        <v>376</v>
      </c>
      <c r="B547" t="s">
        <v>7</v>
      </c>
      <c r="C547" t="s">
        <v>31</v>
      </c>
      <c r="D547" s="24">
        <v>46023</v>
      </c>
      <c r="E547" t="s">
        <v>228</v>
      </c>
      <c r="F547" t="s">
        <v>4</v>
      </c>
      <c r="G547" t="s">
        <v>217</v>
      </c>
      <c r="H547" t="s">
        <v>217</v>
      </c>
      <c r="I547" t="s">
        <v>270</v>
      </c>
      <c r="J547" s="25">
        <v>0</v>
      </c>
      <c r="K547" s="26">
        <v>0</v>
      </c>
      <c r="L547" s="26">
        <v>0</v>
      </c>
    </row>
    <row r="548" spans="1:12" ht="16" customHeight="1">
      <c r="A548" t="s">
        <v>377</v>
      </c>
      <c r="B548" t="s">
        <v>3</v>
      </c>
      <c r="C548" t="s">
        <v>31</v>
      </c>
      <c r="D548" s="24">
        <v>46023</v>
      </c>
      <c r="E548" t="s">
        <v>296</v>
      </c>
      <c r="F548" t="s">
        <v>4</v>
      </c>
      <c r="G548" t="s">
        <v>217</v>
      </c>
      <c r="H548" t="s">
        <v>217</v>
      </c>
      <c r="I548" t="s">
        <v>212</v>
      </c>
      <c r="J548" s="25">
        <v>3762037</v>
      </c>
      <c r="K548" s="26">
        <v>667461.42000000004</v>
      </c>
      <c r="L548" s="26">
        <v>4256.2700000000004</v>
      </c>
    </row>
    <row r="549" spans="1:12" ht="16" customHeight="1">
      <c r="A549" t="s">
        <v>377</v>
      </c>
      <c r="B549" t="s">
        <v>3</v>
      </c>
      <c r="C549" t="s">
        <v>31</v>
      </c>
      <c r="D549" s="24">
        <v>46023</v>
      </c>
      <c r="E549" t="s">
        <v>326</v>
      </c>
      <c r="F549" t="s">
        <v>4</v>
      </c>
      <c r="G549" t="s">
        <v>217</v>
      </c>
      <c r="H549" t="s">
        <v>217</v>
      </c>
      <c r="I549" t="s">
        <v>219</v>
      </c>
      <c r="J549" s="25">
        <v>55544</v>
      </c>
      <c r="K549" s="26">
        <v>10032.700000000001</v>
      </c>
      <c r="L549" s="26">
        <v>112.41</v>
      </c>
    </row>
    <row r="550" spans="1:12" ht="16" customHeight="1">
      <c r="A550" t="s">
        <v>377</v>
      </c>
      <c r="B550" t="s">
        <v>3</v>
      </c>
      <c r="C550" t="s">
        <v>31</v>
      </c>
      <c r="D550" s="24">
        <v>46023</v>
      </c>
      <c r="E550" t="s">
        <v>357</v>
      </c>
      <c r="F550" t="s">
        <v>3</v>
      </c>
      <c r="G550" t="s">
        <v>358</v>
      </c>
      <c r="H550" t="s">
        <v>358</v>
      </c>
      <c r="I550" t="s">
        <v>221</v>
      </c>
      <c r="J550" s="25">
        <v>7322</v>
      </c>
      <c r="K550" s="26">
        <v>1322.47</v>
      </c>
      <c r="L550" s="26">
        <v>18.75</v>
      </c>
    </row>
    <row r="551" spans="1:12" ht="16" customHeight="1">
      <c r="A551" t="s">
        <v>377</v>
      </c>
      <c r="B551" t="s">
        <v>3</v>
      </c>
      <c r="C551" t="s">
        <v>31</v>
      </c>
      <c r="D551" s="24">
        <v>46023</v>
      </c>
      <c r="E551" t="s">
        <v>226</v>
      </c>
      <c r="F551" t="s">
        <v>4</v>
      </c>
      <c r="G551" t="s">
        <v>217</v>
      </c>
      <c r="H551" t="s">
        <v>217</v>
      </c>
      <c r="I551" t="s">
        <v>267</v>
      </c>
      <c r="J551" s="25">
        <v>0</v>
      </c>
      <c r="K551" s="26">
        <v>0</v>
      </c>
      <c r="L551" s="26">
        <v>0</v>
      </c>
    </row>
    <row r="552" spans="1:12" ht="16" customHeight="1">
      <c r="A552" t="s">
        <v>377</v>
      </c>
      <c r="B552" t="s">
        <v>3</v>
      </c>
      <c r="C552" t="s">
        <v>31</v>
      </c>
      <c r="D552" s="24">
        <v>46023</v>
      </c>
      <c r="E552" t="s">
        <v>269</v>
      </c>
      <c r="F552" t="s">
        <v>4</v>
      </c>
      <c r="G552" t="s">
        <v>217</v>
      </c>
      <c r="H552" t="s">
        <v>217</v>
      </c>
      <c r="I552" t="s">
        <v>268</v>
      </c>
      <c r="J552" s="25">
        <v>0</v>
      </c>
      <c r="K552" s="26">
        <v>0</v>
      </c>
      <c r="L552" s="26">
        <v>0</v>
      </c>
    </row>
    <row r="553" spans="1:12" ht="16" customHeight="1">
      <c r="A553" t="s">
        <v>377</v>
      </c>
      <c r="B553" t="s">
        <v>3</v>
      </c>
      <c r="C553" t="s">
        <v>31</v>
      </c>
      <c r="D553" s="24">
        <v>46023</v>
      </c>
      <c r="E553" t="s">
        <v>228</v>
      </c>
      <c r="F553" t="s">
        <v>4</v>
      </c>
      <c r="G553" t="s">
        <v>217</v>
      </c>
      <c r="H553" t="s">
        <v>217</v>
      </c>
      <c r="I553" t="s">
        <v>270</v>
      </c>
      <c r="J553" s="25">
        <v>0</v>
      </c>
      <c r="K553" s="26">
        <v>0</v>
      </c>
      <c r="L553" s="26">
        <v>0</v>
      </c>
    </row>
    <row r="554" spans="1:12" ht="16" customHeight="1">
      <c r="A554" t="s">
        <v>344</v>
      </c>
      <c r="B554" t="s">
        <v>4</v>
      </c>
      <c r="C554" t="s">
        <v>31</v>
      </c>
      <c r="D554" s="24">
        <v>46023</v>
      </c>
      <c r="E554" t="s">
        <v>296</v>
      </c>
      <c r="F554" t="s">
        <v>4</v>
      </c>
      <c r="G554" t="s">
        <v>217</v>
      </c>
      <c r="H554" t="s">
        <v>217</v>
      </c>
      <c r="I554" t="s">
        <v>212</v>
      </c>
      <c r="J554" s="25">
        <v>3238380</v>
      </c>
      <c r="K554" s="26">
        <v>576697.34</v>
      </c>
      <c r="L554" s="26">
        <v>3724.34</v>
      </c>
    </row>
    <row r="555" spans="1:12" ht="16" customHeight="1">
      <c r="A555" t="s">
        <v>344</v>
      </c>
      <c r="B555" t="s">
        <v>4</v>
      </c>
      <c r="C555" t="s">
        <v>31</v>
      </c>
      <c r="D555" s="24">
        <v>46023</v>
      </c>
      <c r="E555" t="s">
        <v>326</v>
      </c>
      <c r="F555" t="s">
        <v>4</v>
      </c>
      <c r="G555" t="s">
        <v>217</v>
      </c>
      <c r="H555" t="s">
        <v>217</v>
      </c>
      <c r="I555" t="s">
        <v>219</v>
      </c>
      <c r="J555" s="25">
        <v>49313</v>
      </c>
      <c r="K555" s="26">
        <v>8947.15</v>
      </c>
      <c r="L555" s="26">
        <v>95.96</v>
      </c>
    </row>
    <row r="556" spans="1:12" ht="16" customHeight="1">
      <c r="A556" t="s">
        <v>344</v>
      </c>
      <c r="B556" t="s">
        <v>4</v>
      </c>
      <c r="C556" t="s">
        <v>31</v>
      </c>
      <c r="D556" s="24">
        <v>46023</v>
      </c>
      <c r="E556" t="s">
        <v>357</v>
      </c>
      <c r="F556" t="s">
        <v>3</v>
      </c>
      <c r="G556" t="s">
        <v>358</v>
      </c>
      <c r="H556" t="s">
        <v>358</v>
      </c>
      <c r="I556" t="s">
        <v>221</v>
      </c>
      <c r="J556" s="25">
        <v>4454</v>
      </c>
      <c r="K556" s="26">
        <v>797.16</v>
      </c>
      <c r="L556" s="26">
        <v>10.17</v>
      </c>
    </row>
    <row r="557" spans="1:12" ht="16" customHeight="1">
      <c r="A557" t="s">
        <v>344</v>
      </c>
      <c r="B557" t="s">
        <v>4</v>
      </c>
      <c r="C557" t="s">
        <v>31</v>
      </c>
      <c r="D557" s="24">
        <v>46023</v>
      </c>
      <c r="E557" t="s">
        <v>226</v>
      </c>
      <c r="F557" t="s">
        <v>4</v>
      </c>
      <c r="G557" t="s">
        <v>217</v>
      </c>
      <c r="H557" t="s">
        <v>217</v>
      </c>
      <c r="I557" t="s">
        <v>267</v>
      </c>
      <c r="J557" s="25">
        <v>0</v>
      </c>
      <c r="K557" s="26">
        <v>0</v>
      </c>
      <c r="L557" s="26">
        <v>0</v>
      </c>
    </row>
    <row r="558" spans="1:12" ht="16" customHeight="1">
      <c r="A558" t="s">
        <v>344</v>
      </c>
      <c r="B558" t="s">
        <v>4</v>
      </c>
      <c r="C558" t="s">
        <v>31</v>
      </c>
      <c r="D558" s="24">
        <v>46023</v>
      </c>
      <c r="E558" t="s">
        <v>269</v>
      </c>
      <c r="F558" t="s">
        <v>4</v>
      </c>
      <c r="G558" t="s">
        <v>217</v>
      </c>
      <c r="H558" t="s">
        <v>217</v>
      </c>
      <c r="I558" t="s">
        <v>268</v>
      </c>
      <c r="J558" s="25">
        <v>0</v>
      </c>
      <c r="K558" s="26">
        <v>0</v>
      </c>
      <c r="L558" s="26">
        <v>0</v>
      </c>
    </row>
    <row r="559" spans="1:12" ht="16" customHeight="1">
      <c r="A559" t="s">
        <v>344</v>
      </c>
      <c r="B559" t="s">
        <v>4</v>
      </c>
      <c r="C559" t="s">
        <v>31</v>
      </c>
      <c r="D559" s="24">
        <v>46023</v>
      </c>
      <c r="E559" t="s">
        <v>228</v>
      </c>
      <c r="F559" t="s">
        <v>4</v>
      </c>
      <c r="G559" t="s">
        <v>217</v>
      </c>
      <c r="H559" t="s">
        <v>217</v>
      </c>
      <c r="I559" t="s">
        <v>270</v>
      </c>
      <c r="J559" s="25">
        <v>0</v>
      </c>
      <c r="K559" s="26">
        <v>0</v>
      </c>
      <c r="L559" s="26">
        <v>0</v>
      </c>
    </row>
    <row r="560" spans="1:12" ht="16" customHeight="1">
      <c r="A560" t="s">
        <v>378</v>
      </c>
      <c r="B560" t="s">
        <v>5</v>
      </c>
      <c r="C560" t="s">
        <v>31</v>
      </c>
      <c r="D560" s="24">
        <v>46023</v>
      </c>
      <c r="E560" t="s">
        <v>296</v>
      </c>
      <c r="F560" t="s">
        <v>4</v>
      </c>
      <c r="G560" t="s">
        <v>217</v>
      </c>
      <c r="H560" t="s">
        <v>217</v>
      </c>
      <c r="I560" t="s">
        <v>212</v>
      </c>
      <c r="J560" s="25">
        <v>3079585</v>
      </c>
      <c r="K560" s="26">
        <v>549733.37</v>
      </c>
      <c r="L560" s="26">
        <v>3276.71</v>
      </c>
    </row>
    <row r="561" spans="1:12" ht="16" customHeight="1">
      <c r="A561" t="s">
        <v>378</v>
      </c>
      <c r="B561" t="s">
        <v>5</v>
      </c>
      <c r="C561" t="s">
        <v>31</v>
      </c>
      <c r="D561" s="24">
        <v>46023</v>
      </c>
      <c r="E561" t="s">
        <v>326</v>
      </c>
      <c r="F561" t="s">
        <v>4</v>
      </c>
      <c r="G561" t="s">
        <v>217</v>
      </c>
      <c r="H561" t="s">
        <v>217</v>
      </c>
      <c r="I561" t="s">
        <v>219</v>
      </c>
      <c r="J561" s="25">
        <v>39092</v>
      </c>
      <c r="K561" s="26">
        <v>7089.23</v>
      </c>
      <c r="L561" s="26">
        <v>68.88</v>
      </c>
    </row>
    <row r="562" spans="1:12" ht="16" customHeight="1">
      <c r="A562" t="s">
        <v>378</v>
      </c>
      <c r="B562" t="s">
        <v>5</v>
      </c>
      <c r="C562" t="s">
        <v>31</v>
      </c>
      <c r="D562" s="24">
        <v>46023</v>
      </c>
      <c r="E562" t="s">
        <v>357</v>
      </c>
      <c r="F562" t="s">
        <v>3</v>
      </c>
      <c r="G562" t="s">
        <v>358</v>
      </c>
      <c r="H562" t="s">
        <v>358</v>
      </c>
      <c r="I562" t="s">
        <v>221</v>
      </c>
      <c r="J562" s="25">
        <v>4347</v>
      </c>
      <c r="K562" s="26">
        <v>779.01</v>
      </c>
      <c r="L562" s="26">
        <v>9.66</v>
      </c>
    </row>
    <row r="563" spans="1:12" ht="16" customHeight="1">
      <c r="A563" t="s">
        <v>378</v>
      </c>
      <c r="B563" t="s">
        <v>5</v>
      </c>
      <c r="C563" t="s">
        <v>31</v>
      </c>
      <c r="D563" s="24">
        <v>46023</v>
      </c>
      <c r="E563" t="s">
        <v>226</v>
      </c>
      <c r="F563" t="s">
        <v>4</v>
      </c>
      <c r="G563" t="s">
        <v>217</v>
      </c>
      <c r="H563" t="s">
        <v>217</v>
      </c>
      <c r="I563" t="s">
        <v>267</v>
      </c>
      <c r="J563" s="25">
        <v>0</v>
      </c>
      <c r="K563" s="26">
        <v>0</v>
      </c>
      <c r="L563" s="26">
        <v>0</v>
      </c>
    </row>
    <row r="564" spans="1:12" ht="16" customHeight="1">
      <c r="A564" t="s">
        <v>378</v>
      </c>
      <c r="B564" t="s">
        <v>5</v>
      </c>
      <c r="C564" t="s">
        <v>31</v>
      </c>
      <c r="D564" s="24">
        <v>46023</v>
      </c>
      <c r="E564" t="s">
        <v>269</v>
      </c>
      <c r="F564" t="s">
        <v>4</v>
      </c>
      <c r="G564" t="s">
        <v>217</v>
      </c>
      <c r="H564" t="s">
        <v>217</v>
      </c>
      <c r="I564" t="s">
        <v>268</v>
      </c>
      <c r="J564" s="25">
        <v>0</v>
      </c>
      <c r="K564" s="26">
        <v>0</v>
      </c>
      <c r="L564" s="26">
        <v>0</v>
      </c>
    </row>
    <row r="565" spans="1:12" ht="16" customHeight="1">
      <c r="A565" t="s">
        <v>378</v>
      </c>
      <c r="B565" t="s">
        <v>5</v>
      </c>
      <c r="C565" t="s">
        <v>31</v>
      </c>
      <c r="D565" s="24">
        <v>46023</v>
      </c>
      <c r="E565" t="s">
        <v>228</v>
      </c>
      <c r="F565" t="s">
        <v>4</v>
      </c>
      <c r="G565" t="s">
        <v>217</v>
      </c>
      <c r="H565" t="s">
        <v>217</v>
      </c>
      <c r="I565" t="s">
        <v>270</v>
      </c>
      <c r="J565" s="25">
        <v>0</v>
      </c>
      <c r="K565" s="26">
        <v>0</v>
      </c>
      <c r="L565" s="26">
        <v>0</v>
      </c>
    </row>
    <row r="566" spans="1:12" ht="16" customHeight="1">
      <c r="A566" t="s">
        <v>380</v>
      </c>
      <c r="B566" t="s">
        <v>7</v>
      </c>
      <c r="C566" t="s">
        <v>32</v>
      </c>
      <c r="D566" s="24">
        <v>46023</v>
      </c>
      <c r="E566" t="s">
        <v>296</v>
      </c>
      <c r="F566" t="s">
        <v>4</v>
      </c>
      <c r="G566" t="s">
        <v>217</v>
      </c>
      <c r="H566" t="s">
        <v>217</v>
      </c>
      <c r="I566" t="s">
        <v>212</v>
      </c>
      <c r="J566" s="25">
        <v>4031567</v>
      </c>
      <c r="K566" s="26">
        <v>720002.63</v>
      </c>
      <c r="L566" s="26">
        <v>3903.12</v>
      </c>
    </row>
    <row r="567" spans="1:12" ht="16" customHeight="1">
      <c r="A567" t="s">
        <v>380</v>
      </c>
      <c r="B567" t="s">
        <v>7</v>
      </c>
      <c r="C567" t="s">
        <v>32</v>
      </c>
      <c r="D567" s="24">
        <v>46023</v>
      </c>
      <c r="E567" t="s">
        <v>326</v>
      </c>
      <c r="F567" t="s">
        <v>4</v>
      </c>
      <c r="G567" t="s">
        <v>217</v>
      </c>
      <c r="H567" t="s">
        <v>217</v>
      </c>
      <c r="I567" t="s">
        <v>219</v>
      </c>
      <c r="J567" s="25">
        <v>101397</v>
      </c>
      <c r="K567" s="26">
        <v>18411.650000000001</v>
      </c>
      <c r="L567" s="26">
        <v>216.61</v>
      </c>
    </row>
    <row r="568" spans="1:12" ht="16" customHeight="1">
      <c r="A568" t="s">
        <v>380</v>
      </c>
      <c r="B568" t="s">
        <v>7</v>
      </c>
      <c r="C568" t="s">
        <v>32</v>
      </c>
      <c r="D568" s="24">
        <v>46023</v>
      </c>
      <c r="E568" t="s">
        <v>357</v>
      </c>
      <c r="F568" t="s">
        <v>3</v>
      </c>
      <c r="G568" t="s">
        <v>358</v>
      </c>
      <c r="H568" t="s">
        <v>358</v>
      </c>
      <c r="I568" t="s">
        <v>221</v>
      </c>
      <c r="J568" s="25">
        <v>8143</v>
      </c>
      <c r="K568" s="26">
        <v>1462.56</v>
      </c>
      <c r="L568" s="26">
        <v>20.170000000000002</v>
      </c>
    </row>
    <row r="569" spans="1:12" ht="16" customHeight="1">
      <c r="A569" t="s">
        <v>380</v>
      </c>
      <c r="B569" t="s">
        <v>7</v>
      </c>
      <c r="C569" t="s">
        <v>32</v>
      </c>
      <c r="D569" s="24">
        <v>46023</v>
      </c>
      <c r="E569" t="s">
        <v>226</v>
      </c>
      <c r="F569" t="s">
        <v>4</v>
      </c>
      <c r="G569" t="s">
        <v>217</v>
      </c>
      <c r="H569" t="s">
        <v>217</v>
      </c>
      <c r="I569" t="s">
        <v>267</v>
      </c>
      <c r="J569" s="25">
        <v>0</v>
      </c>
      <c r="K569" s="26">
        <v>0</v>
      </c>
      <c r="L569" s="26">
        <v>0</v>
      </c>
    </row>
    <row r="570" spans="1:12" ht="16" customHeight="1">
      <c r="A570" t="s">
        <v>380</v>
      </c>
      <c r="B570" t="s">
        <v>7</v>
      </c>
      <c r="C570" t="s">
        <v>32</v>
      </c>
      <c r="D570" s="24">
        <v>46023</v>
      </c>
      <c r="E570" t="s">
        <v>269</v>
      </c>
      <c r="F570" t="s">
        <v>4</v>
      </c>
      <c r="G570" t="s">
        <v>217</v>
      </c>
      <c r="H570" t="s">
        <v>217</v>
      </c>
      <c r="I570" t="s">
        <v>268</v>
      </c>
      <c r="J570" s="25">
        <v>0</v>
      </c>
      <c r="K570" s="26">
        <v>0</v>
      </c>
      <c r="L570" s="26">
        <v>0</v>
      </c>
    </row>
    <row r="571" spans="1:12" ht="16" customHeight="1">
      <c r="A571" t="s">
        <v>380</v>
      </c>
      <c r="B571" t="s">
        <v>7</v>
      </c>
      <c r="C571" t="s">
        <v>32</v>
      </c>
      <c r="D571" s="24">
        <v>46023</v>
      </c>
      <c r="E571" t="s">
        <v>228</v>
      </c>
      <c r="F571" t="s">
        <v>4</v>
      </c>
      <c r="G571" t="s">
        <v>217</v>
      </c>
      <c r="H571" t="s">
        <v>217</v>
      </c>
      <c r="I571" t="s">
        <v>270</v>
      </c>
      <c r="J571" s="25">
        <v>0</v>
      </c>
      <c r="K571" s="26">
        <v>0</v>
      </c>
      <c r="L571" s="26">
        <v>0</v>
      </c>
    </row>
    <row r="572" spans="1:12" ht="16" customHeight="1">
      <c r="A572" t="s">
        <v>381</v>
      </c>
      <c r="B572" t="s">
        <v>3</v>
      </c>
      <c r="C572" t="s">
        <v>32</v>
      </c>
      <c r="D572" s="24">
        <v>46023</v>
      </c>
      <c r="E572" t="s">
        <v>296</v>
      </c>
      <c r="F572" t="s">
        <v>4</v>
      </c>
      <c r="G572" t="s">
        <v>217</v>
      </c>
      <c r="H572" t="s">
        <v>217</v>
      </c>
      <c r="I572" t="s">
        <v>212</v>
      </c>
      <c r="J572" s="25">
        <v>4658716</v>
      </c>
      <c r="K572" s="26">
        <v>830464.55</v>
      </c>
      <c r="L572" s="26">
        <v>3650.61</v>
      </c>
    </row>
    <row r="573" spans="1:12" ht="16" customHeight="1">
      <c r="A573" t="s">
        <v>381</v>
      </c>
      <c r="B573" t="s">
        <v>3</v>
      </c>
      <c r="C573" t="s">
        <v>32</v>
      </c>
      <c r="D573" s="24">
        <v>46023</v>
      </c>
      <c r="E573" t="s">
        <v>326</v>
      </c>
      <c r="F573" t="s">
        <v>4</v>
      </c>
      <c r="G573" t="s">
        <v>217</v>
      </c>
      <c r="H573" t="s">
        <v>217</v>
      </c>
      <c r="I573" t="s">
        <v>219</v>
      </c>
      <c r="J573" s="25">
        <v>155196</v>
      </c>
      <c r="K573" s="26">
        <v>28224.35</v>
      </c>
      <c r="L573" s="26">
        <v>319.13</v>
      </c>
    </row>
    <row r="574" spans="1:12" ht="16" customHeight="1">
      <c r="A574" t="s">
        <v>381</v>
      </c>
      <c r="B574" t="s">
        <v>3</v>
      </c>
      <c r="C574" t="s">
        <v>32</v>
      </c>
      <c r="D574" s="24">
        <v>46023</v>
      </c>
      <c r="E574" t="s">
        <v>357</v>
      </c>
      <c r="F574" t="s">
        <v>3</v>
      </c>
      <c r="G574" t="s">
        <v>358</v>
      </c>
      <c r="H574" t="s">
        <v>358</v>
      </c>
      <c r="I574" t="s">
        <v>221</v>
      </c>
      <c r="J574" s="25">
        <v>7648</v>
      </c>
      <c r="K574" s="26">
        <v>1384.89</v>
      </c>
      <c r="L574" s="26">
        <v>15.8</v>
      </c>
    </row>
    <row r="575" spans="1:12" ht="16" customHeight="1">
      <c r="A575" t="s">
        <v>381</v>
      </c>
      <c r="B575" t="s">
        <v>3</v>
      </c>
      <c r="C575" t="s">
        <v>32</v>
      </c>
      <c r="D575" s="24">
        <v>46023</v>
      </c>
      <c r="E575" t="s">
        <v>226</v>
      </c>
      <c r="F575" t="s">
        <v>4</v>
      </c>
      <c r="G575" t="s">
        <v>217</v>
      </c>
      <c r="H575" t="s">
        <v>217</v>
      </c>
      <c r="I575" t="s">
        <v>267</v>
      </c>
      <c r="J575" s="25">
        <v>0</v>
      </c>
      <c r="K575" s="26">
        <v>0</v>
      </c>
      <c r="L575" s="26">
        <v>0</v>
      </c>
    </row>
    <row r="576" spans="1:12" ht="16" customHeight="1">
      <c r="A576" t="s">
        <v>381</v>
      </c>
      <c r="B576" t="s">
        <v>3</v>
      </c>
      <c r="C576" t="s">
        <v>32</v>
      </c>
      <c r="D576" s="24">
        <v>46023</v>
      </c>
      <c r="E576" t="s">
        <v>269</v>
      </c>
      <c r="F576" t="s">
        <v>4</v>
      </c>
      <c r="G576" t="s">
        <v>217</v>
      </c>
      <c r="H576" t="s">
        <v>217</v>
      </c>
      <c r="I576" t="s">
        <v>268</v>
      </c>
      <c r="J576" s="25">
        <v>0</v>
      </c>
      <c r="K576" s="26">
        <v>0</v>
      </c>
      <c r="L576" s="26">
        <v>0</v>
      </c>
    </row>
    <row r="577" spans="1:12" ht="16" customHeight="1">
      <c r="A577" t="s">
        <v>381</v>
      </c>
      <c r="B577" t="s">
        <v>3</v>
      </c>
      <c r="C577" t="s">
        <v>32</v>
      </c>
      <c r="D577" s="24">
        <v>46023</v>
      </c>
      <c r="E577" t="s">
        <v>228</v>
      </c>
      <c r="F577" t="s">
        <v>4</v>
      </c>
      <c r="G577" t="s">
        <v>217</v>
      </c>
      <c r="H577" t="s">
        <v>217</v>
      </c>
      <c r="I577" t="s">
        <v>270</v>
      </c>
      <c r="J577" s="25">
        <v>0</v>
      </c>
      <c r="K577" s="26">
        <v>0</v>
      </c>
      <c r="L577" s="26">
        <v>0</v>
      </c>
    </row>
    <row r="578" spans="1:12" ht="16" customHeight="1">
      <c r="A578" t="s">
        <v>349</v>
      </c>
      <c r="B578" t="s">
        <v>4</v>
      </c>
      <c r="C578" t="s">
        <v>32</v>
      </c>
      <c r="D578" s="24">
        <v>46023</v>
      </c>
      <c r="E578" t="s">
        <v>296</v>
      </c>
      <c r="F578" t="s">
        <v>4</v>
      </c>
      <c r="G578" t="s">
        <v>217</v>
      </c>
      <c r="H578" t="s">
        <v>217</v>
      </c>
      <c r="I578" t="s">
        <v>212</v>
      </c>
      <c r="J578" s="25">
        <v>5101235</v>
      </c>
      <c r="K578" s="26">
        <v>901557</v>
      </c>
      <c r="L578" s="26">
        <v>3846.01</v>
      </c>
    </row>
    <row r="579" spans="1:12" ht="16" customHeight="1">
      <c r="A579" t="s">
        <v>349</v>
      </c>
      <c r="B579" t="s">
        <v>4</v>
      </c>
      <c r="C579" t="s">
        <v>32</v>
      </c>
      <c r="D579" s="24">
        <v>46023</v>
      </c>
      <c r="E579" t="s">
        <v>326</v>
      </c>
      <c r="F579" t="s">
        <v>4</v>
      </c>
      <c r="G579" t="s">
        <v>217</v>
      </c>
      <c r="H579" t="s">
        <v>217</v>
      </c>
      <c r="I579" t="s">
        <v>219</v>
      </c>
      <c r="J579" s="25">
        <v>195951</v>
      </c>
      <c r="K579" s="26">
        <v>35499.25</v>
      </c>
      <c r="L579" s="26">
        <v>430.73</v>
      </c>
    </row>
    <row r="580" spans="1:12" ht="16" customHeight="1">
      <c r="A580" t="s">
        <v>349</v>
      </c>
      <c r="B580" t="s">
        <v>4</v>
      </c>
      <c r="C580" t="s">
        <v>32</v>
      </c>
      <c r="D580" s="24">
        <v>46023</v>
      </c>
      <c r="E580" t="s">
        <v>357</v>
      </c>
      <c r="F580" t="s">
        <v>3</v>
      </c>
      <c r="G580" t="s">
        <v>358</v>
      </c>
      <c r="H580" t="s">
        <v>358</v>
      </c>
      <c r="I580" t="s">
        <v>221</v>
      </c>
      <c r="J580" s="25">
        <v>10843</v>
      </c>
      <c r="K580" s="26">
        <v>1967.79</v>
      </c>
      <c r="L580" s="26">
        <v>23.42</v>
      </c>
    </row>
    <row r="581" spans="1:12" ht="16" customHeight="1">
      <c r="A581" t="s">
        <v>349</v>
      </c>
      <c r="B581" t="s">
        <v>4</v>
      </c>
      <c r="C581" t="s">
        <v>32</v>
      </c>
      <c r="D581" s="24">
        <v>46023</v>
      </c>
      <c r="E581" t="s">
        <v>226</v>
      </c>
      <c r="F581" t="s">
        <v>4</v>
      </c>
      <c r="G581" t="s">
        <v>217</v>
      </c>
      <c r="H581" t="s">
        <v>217</v>
      </c>
      <c r="I581" t="s">
        <v>267</v>
      </c>
      <c r="J581" s="25">
        <v>1</v>
      </c>
      <c r="K581" s="26">
        <v>0.19</v>
      </c>
      <c r="L581" s="26">
        <v>0.02</v>
      </c>
    </row>
    <row r="582" spans="1:12" ht="16" customHeight="1">
      <c r="A582" t="s">
        <v>349</v>
      </c>
      <c r="B582" t="s">
        <v>4</v>
      </c>
      <c r="C582" t="s">
        <v>32</v>
      </c>
      <c r="D582" s="24">
        <v>46023</v>
      </c>
      <c r="E582" t="s">
        <v>269</v>
      </c>
      <c r="F582" t="s">
        <v>4</v>
      </c>
      <c r="G582" t="s">
        <v>217</v>
      </c>
      <c r="H582" t="s">
        <v>217</v>
      </c>
      <c r="I582" t="s">
        <v>268</v>
      </c>
      <c r="J582" s="25">
        <v>0</v>
      </c>
      <c r="K582" s="26">
        <v>0</v>
      </c>
      <c r="L582" s="26">
        <v>0</v>
      </c>
    </row>
    <row r="583" spans="1:12" ht="16" customHeight="1">
      <c r="A583" t="s">
        <v>349</v>
      </c>
      <c r="B583" t="s">
        <v>4</v>
      </c>
      <c r="C583" t="s">
        <v>32</v>
      </c>
      <c r="D583" s="24">
        <v>46023</v>
      </c>
      <c r="E583" t="s">
        <v>228</v>
      </c>
      <c r="F583" t="s">
        <v>4</v>
      </c>
      <c r="G583" t="s">
        <v>217</v>
      </c>
      <c r="H583" t="s">
        <v>217</v>
      </c>
      <c r="I583" t="s">
        <v>270</v>
      </c>
      <c r="J583" s="25">
        <v>0</v>
      </c>
      <c r="K583" s="26">
        <v>0</v>
      </c>
      <c r="L583" s="26">
        <v>0</v>
      </c>
    </row>
    <row r="584" spans="1:12" ht="16" customHeight="1">
      <c r="A584" t="s">
        <v>382</v>
      </c>
      <c r="B584" t="s">
        <v>5</v>
      </c>
      <c r="C584" t="s">
        <v>32</v>
      </c>
      <c r="D584" s="24">
        <v>46023</v>
      </c>
      <c r="E584" t="s">
        <v>296</v>
      </c>
      <c r="F584" t="s">
        <v>4</v>
      </c>
      <c r="G584" t="s">
        <v>217</v>
      </c>
      <c r="H584" t="s">
        <v>217</v>
      </c>
      <c r="I584" t="s">
        <v>212</v>
      </c>
      <c r="J584" s="25">
        <v>12414213</v>
      </c>
      <c r="K584" s="26">
        <v>2172461.5299999998</v>
      </c>
      <c r="L584" s="26">
        <v>8483.6299999999992</v>
      </c>
    </row>
    <row r="585" spans="1:12" ht="16" customHeight="1">
      <c r="A585" t="s">
        <v>382</v>
      </c>
      <c r="B585" t="s">
        <v>5</v>
      </c>
      <c r="C585" t="s">
        <v>32</v>
      </c>
      <c r="D585" s="24">
        <v>46023</v>
      </c>
      <c r="E585" t="s">
        <v>326</v>
      </c>
      <c r="F585" t="s">
        <v>4</v>
      </c>
      <c r="G585" t="s">
        <v>217</v>
      </c>
      <c r="H585" t="s">
        <v>217</v>
      </c>
      <c r="I585" t="s">
        <v>219</v>
      </c>
      <c r="J585" s="25">
        <v>372901</v>
      </c>
      <c r="K585" s="26">
        <v>66761.039999999994</v>
      </c>
      <c r="L585" s="26">
        <v>754.71</v>
      </c>
    </row>
    <row r="586" spans="1:12" ht="16" customHeight="1">
      <c r="A586" t="s">
        <v>382</v>
      </c>
      <c r="B586" t="s">
        <v>5</v>
      </c>
      <c r="C586" t="s">
        <v>32</v>
      </c>
      <c r="D586" s="24">
        <v>46023</v>
      </c>
      <c r="E586" t="s">
        <v>357</v>
      </c>
      <c r="F586" t="s">
        <v>3</v>
      </c>
      <c r="G586" t="s">
        <v>358</v>
      </c>
      <c r="H586" t="s">
        <v>358</v>
      </c>
      <c r="I586" t="s">
        <v>221</v>
      </c>
      <c r="J586" s="25">
        <v>37571</v>
      </c>
      <c r="K586" s="26">
        <v>6733.88</v>
      </c>
      <c r="L586" s="26">
        <v>92.23</v>
      </c>
    </row>
    <row r="587" spans="1:12" ht="16" customHeight="1">
      <c r="A587" t="s">
        <v>382</v>
      </c>
      <c r="B587" t="s">
        <v>5</v>
      </c>
      <c r="C587" t="s">
        <v>32</v>
      </c>
      <c r="D587" s="24">
        <v>46023</v>
      </c>
      <c r="E587" t="s">
        <v>226</v>
      </c>
      <c r="F587" t="s">
        <v>4</v>
      </c>
      <c r="G587" t="s">
        <v>217</v>
      </c>
      <c r="H587" t="s">
        <v>217</v>
      </c>
      <c r="I587" t="s">
        <v>267</v>
      </c>
      <c r="J587" s="25">
        <v>0</v>
      </c>
      <c r="K587" s="26">
        <v>0</v>
      </c>
      <c r="L587" s="26">
        <v>0</v>
      </c>
    </row>
    <row r="588" spans="1:12" ht="16" customHeight="1">
      <c r="A588" t="s">
        <v>382</v>
      </c>
      <c r="B588" t="s">
        <v>5</v>
      </c>
      <c r="C588" t="s">
        <v>32</v>
      </c>
      <c r="D588" s="24">
        <v>46023</v>
      </c>
      <c r="E588" t="s">
        <v>269</v>
      </c>
      <c r="F588" t="s">
        <v>4</v>
      </c>
      <c r="G588" t="s">
        <v>217</v>
      </c>
      <c r="H588" t="s">
        <v>217</v>
      </c>
      <c r="I588" t="s">
        <v>268</v>
      </c>
      <c r="J588" s="25">
        <v>0</v>
      </c>
      <c r="K588" s="26">
        <v>0</v>
      </c>
      <c r="L588" s="26">
        <v>0</v>
      </c>
    </row>
    <row r="589" spans="1:12" ht="16" customHeight="1">
      <c r="A589" t="s">
        <v>382</v>
      </c>
      <c r="B589" t="s">
        <v>5</v>
      </c>
      <c r="C589" t="s">
        <v>32</v>
      </c>
      <c r="D589" s="24">
        <v>46023</v>
      </c>
      <c r="E589" t="s">
        <v>228</v>
      </c>
      <c r="F589" t="s">
        <v>4</v>
      </c>
      <c r="G589" t="s">
        <v>217</v>
      </c>
      <c r="H589" t="s">
        <v>217</v>
      </c>
      <c r="I589" t="s">
        <v>270</v>
      </c>
      <c r="J589" s="25">
        <v>0</v>
      </c>
      <c r="K589" s="26">
        <v>0</v>
      </c>
      <c r="L589" s="26">
        <v>0</v>
      </c>
    </row>
    <row r="590" spans="1:12" ht="16" customHeight="1">
      <c r="A590" t="s">
        <v>384</v>
      </c>
      <c r="B590" t="s">
        <v>6</v>
      </c>
      <c r="C590" t="s">
        <v>33</v>
      </c>
      <c r="D590" s="24">
        <v>46023</v>
      </c>
      <c r="E590" t="s">
        <v>296</v>
      </c>
      <c r="F590" t="s">
        <v>4</v>
      </c>
      <c r="G590" t="s">
        <v>217</v>
      </c>
      <c r="H590" t="s">
        <v>217</v>
      </c>
      <c r="I590" t="s">
        <v>212</v>
      </c>
      <c r="J590" s="25">
        <v>9418009</v>
      </c>
      <c r="K590" s="26">
        <v>1654025.4</v>
      </c>
      <c r="L590" s="26">
        <v>6258.35</v>
      </c>
    </row>
    <row r="591" spans="1:12" ht="16" customHeight="1">
      <c r="A591" t="s">
        <v>384</v>
      </c>
      <c r="B591" t="s">
        <v>6</v>
      </c>
      <c r="C591" t="s">
        <v>33</v>
      </c>
      <c r="D591" s="24">
        <v>46023</v>
      </c>
      <c r="E591" t="s">
        <v>326</v>
      </c>
      <c r="F591" t="s">
        <v>4</v>
      </c>
      <c r="G591" t="s">
        <v>217</v>
      </c>
      <c r="H591" t="s">
        <v>217</v>
      </c>
      <c r="I591" t="s">
        <v>219</v>
      </c>
      <c r="J591" s="25">
        <v>287934</v>
      </c>
      <c r="K591" s="26">
        <v>51552.37</v>
      </c>
      <c r="L591" s="26">
        <v>598.4</v>
      </c>
    </row>
    <row r="592" spans="1:12" ht="16" customHeight="1">
      <c r="A592" t="s">
        <v>384</v>
      </c>
      <c r="B592" t="s">
        <v>6</v>
      </c>
      <c r="C592" t="s">
        <v>33</v>
      </c>
      <c r="D592" s="24">
        <v>46023</v>
      </c>
      <c r="E592" t="s">
        <v>357</v>
      </c>
      <c r="F592" t="s">
        <v>3</v>
      </c>
      <c r="G592" t="s">
        <v>358</v>
      </c>
      <c r="H592" t="s">
        <v>358</v>
      </c>
      <c r="I592" t="s">
        <v>221</v>
      </c>
      <c r="J592" s="25">
        <v>19189</v>
      </c>
      <c r="K592" s="26">
        <v>3430.47</v>
      </c>
      <c r="L592" s="26">
        <v>45.85</v>
      </c>
    </row>
    <row r="593" spans="1:12" ht="16" customHeight="1">
      <c r="A593" t="s">
        <v>384</v>
      </c>
      <c r="B593" t="s">
        <v>6</v>
      </c>
      <c r="C593" t="s">
        <v>33</v>
      </c>
      <c r="D593" s="24">
        <v>46023</v>
      </c>
      <c r="E593" t="s">
        <v>226</v>
      </c>
      <c r="F593" t="s">
        <v>4</v>
      </c>
      <c r="G593" t="s">
        <v>217</v>
      </c>
      <c r="H593" t="s">
        <v>217</v>
      </c>
      <c r="I593" t="s">
        <v>267</v>
      </c>
      <c r="J593" s="25">
        <v>1</v>
      </c>
      <c r="K593" s="26">
        <v>0.18</v>
      </c>
      <c r="L593" s="26">
        <v>0</v>
      </c>
    </row>
    <row r="594" spans="1:12" ht="16" customHeight="1">
      <c r="A594" t="s">
        <v>384</v>
      </c>
      <c r="B594" t="s">
        <v>6</v>
      </c>
      <c r="C594" t="s">
        <v>33</v>
      </c>
      <c r="D594" s="24">
        <v>46023</v>
      </c>
      <c r="E594" t="s">
        <v>269</v>
      </c>
      <c r="F594" t="s">
        <v>4</v>
      </c>
      <c r="G594" t="s">
        <v>217</v>
      </c>
      <c r="H594" t="s">
        <v>217</v>
      </c>
      <c r="I594" t="s">
        <v>268</v>
      </c>
      <c r="J594" s="25">
        <v>0</v>
      </c>
      <c r="K594" s="26">
        <v>0</v>
      </c>
      <c r="L594" s="26">
        <v>0</v>
      </c>
    </row>
    <row r="595" spans="1:12" ht="16" customHeight="1">
      <c r="A595" t="s">
        <v>384</v>
      </c>
      <c r="B595" t="s">
        <v>6</v>
      </c>
      <c r="C595" t="s">
        <v>33</v>
      </c>
      <c r="D595" s="24">
        <v>46023</v>
      </c>
      <c r="E595" t="s">
        <v>228</v>
      </c>
      <c r="F595" t="s">
        <v>4</v>
      </c>
      <c r="G595" t="s">
        <v>217</v>
      </c>
      <c r="H595" t="s">
        <v>217</v>
      </c>
      <c r="I595" t="s">
        <v>270</v>
      </c>
      <c r="J595" s="25">
        <v>0</v>
      </c>
      <c r="K595" s="26">
        <v>0</v>
      </c>
      <c r="L595" s="26">
        <v>0</v>
      </c>
    </row>
    <row r="596" spans="1:12" ht="16" customHeight="1">
      <c r="A596" t="s">
        <v>385</v>
      </c>
      <c r="B596" t="s">
        <v>7</v>
      </c>
      <c r="C596" t="s">
        <v>33</v>
      </c>
      <c r="D596" s="24">
        <v>46023</v>
      </c>
      <c r="E596" t="s">
        <v>296</v>
      </c>
      <c r="F596" t="s">
        <v>4</v>
      </c>
      <c r="G596" t="s">
        <v>217</v>
      </c>
      <c r="H596" t="s">
        <v>217</v>
      </c>
      <c r="I596" t="s">
        <v>212</v>
      </c>
      <c r="J596" s="25">
        <v>18445823</v>
      </c>
      <c r="K596" s="26">
        <v>3223590.71</v>
      </c>
      <c r="L596" s="26">
        <v>10252.14</v>
      </c>
    </row>
    <row r="597" spans="1:12" ht="16" customHeight="1">
      <c r="A597" t="s">
        <v>385</v>
      </c>
      <c r="B597" t="s">
        <v>7</v>
      </c>
      <c r="C597" t="s">
        <v>33</v>
      </c>
      <c r="D597" s="24">
        <v>46023</v>
      </c>
      <c r="E597" t="s">
        <v>326</v>
      </c>
      <c r="F597" t="s">
        <v>4</v>
      </c>
      <c r="G597" t="s">
        <v>217</v>
      </c>
      <c r="H597" t="s">
        <v>217</v>
      </c>
      <c r="I597" t="s">
        <v>219</v>
      </c>
      <c r="J597" s="25">
        <v>391805</v>
      </c>
      <c r="K597" s="26">
        <v>70269.94</v>
      </c>
      <c r="L597" s="26">
        <v>913.16</v>
      </c>
    </row>
    <row r="598" spans="1:12" ht="16" customHeight="1">
      <c r="A598" t="s">
        <v>385</v>
      </c>
      <c r="B598" t="s">
        <v>7</v>
      </c>
      <c r="C598" t="s">
        <v>33</v>
      </c>
      <c r="D598" s="24">
        <v>46023</v>
      </c>
      <c r="E598" t="s">
        <v>357</v>
      </c>
      <c r="F598" t="s">
        <v>3</v>
      </c>
      <c r="G598" t="s">
        <v>358</v>
      </c>
      <c r="H598" t="s">
        <v>358</v>
      </c>
      <c r="I598" t="s">
        <v>221</v>
      </c>
      <c r="J598" s="25">
        <v>17636</v>
      </c>
      <c r="K598" s="26">
        <v>3178.74</v>
      </c>
      <c r="L598" s="26">
        <v>51.79</v>
      </c>
    </row>
    <row r="599" spans="1:12" ht="16" customHeight="1">
      <c r="A599" t="s">
        <v>385</v>
      </c>
      <c r="B599" t="s">
        <v>7</v>
      </c>
      <c r="C599" t="s">
        <v>33</v>
      </c>
      <c r="D599" s="24">
        <v>46023</v>
      </c>
      <c r="E599" t="s">
        <v>226</v>
      </c>
      <c r="F599" t="s">
        <v>4</v>
      </c>
      <c r="G599" t="s">
        <v>217</v>
      </c>
      <c r="H599" t="s">
        <v>217</v>
      </c>
      <c r="I599" t="s">
        <v>267</v>
      </c>
      <c r="J599" s="25">
        <v>1</v>
      </c>
      <c r="K599" s="26">
        <v>0.18</v>
      </c>
      <c r="L599" s="26">
        <v>0</v>
      </c>
    </row>
    <row r="600" spans="1:12" ht="16" customHeight="1">
      <c r="A600" t="s">
        <v>385</v>
      </c>
      <c r="B600" t="s">
        <v>7</v>
      </c>
      <c r="C600" t="s">
        <v>33</v>
      </c>
      <c r="D600" s="24">
        <v>46023</v>
      </c>
      <c r="E600" t="s">
        <v>269</v>
      </c>
      <c r="F600" t="s">
        <v>4</v>
      </c>
      <c r="G600" t="s">
        <v>217</v>
      </c>
      <c r="H600" t="s">
        <v>217</v>
      </c>
      <c r="I600" t="s">
        <v>268</v>
      </c>
      <c r="J600" s="25">
        <v>0</v>
      </c>
      <c r="K600" s="26">
        <v>0</v>
      </c>
      <c r="L600" s="26">
        <v>0</v>
      </c>
    </row>
    <row r="601" spans="1:12" ht="16" customHeight="1">
      <c r="A601" t="s">
        <v>385</v>
      </c>
      <c r="B601" t="s">
        <v>7</v>
      </c>
      <c r="C601" t="s">
        <v>33</v>
      </c>
      <c r="D601" s="24">
        <v>46023</v>
      </c>
      <c r="E601" t="s">
        <v>228</v>
      </c>
      <c r="F601" t="s">
        <v>4</v>
      </c>
      <c r="G601" t="s">
        <v>217</v>
      </c>
      <c r="H601" t="s">
        <v>217</v>
      </c>
      <c r="I601" t="s">
        <v>270</v>
      </c>
      <c r="J601" s="25">
        <v>0</v>
      </c>
      <c r="K601" s="26">
        <v>0</v>
      </c>
      <c r="L601" s="26">
        <v>0</v>
      </c>
    </row>
    <row r="602" spans="1:12" ht="16" customHeight="1">
      <c r="A602" t="s">
        <v>296</v>
      </c>
      <c r="B602" t="s">
        <v>4</v>
      </c>
      <c r="C602" t="s">
        <v>33</v>
      </c>
      <c r="D602" s="24">
        <v>46023</v>
      </c>
      <c r="E602" t="s">
        <v>296</v>
      </c>
      <c r="F602" t="s">
        <v>4</v>
      </c>
      <c r="G602" t="s">
        <v>217</v>
      </c>
      <c r="H602" t="s">
        <v>217</v>
      </c>
      <c r="I602" t="s">
        <v>212</v>
      </c>
      <c r="J602" s="25">
        <v>89044441</v>
      </c>
      <c r="K602" s="26">
        <v>15478701.439999999</v>
      </c>
      <c r="L602" s="26">
        <v>18016.61</v>
      </c>
    </row>
    <row r="603" spans="1:12" ht="16" customHeight="1">
      <c r="A603" t="s">
        <v>296</v>
      </c>
      <c r="B603" t="s">
        <v>4</v>
      </c>
      <c r="C603" t="s">
        <v>33</v>
      </c>
      <c r="D603" s="24">
        <v>46023</v>
      </c>
      <c r="E603" t="s">
        <v>326</v>
      </c>
      <c r="F603" t="s">
        <v>4</v>
      </c>
      <c r="G603" t="s">
        <v>217</v>
      </c>
      <c r="H603" t="s">
        <v>217</v>
      </c>
      <c r="I603" t="s">
        <v>219</v>
      </c>
      <c r="J603" s="25">
        <v>825718</v>
      </c>
      <c r="K603" s="26">
        <v>146969.84</v>
      </c>
      <c r="L603" s="26">
        <v>1797.67</v>
      </c>
    </row>
    <row r="604" spans="1:12" ht="16" customHeight="1">
      <c r="A604" t="s">
        <v>296</v>
      </c>
      <c r="B604" t="s">
        <v>4</v>
      </c>
      <c r="C604" t="s">
        <v>33</v>
      </c>
      <c r="D604" s="24">
        <v>46023</v>
      </c>
      <c r="E604" t="s">
        <v>357</v>
      </c>
      <c r="F604" t="s">
        <v>3</v>
      </c>
      <c r="G604" t="s">
        <v>358</v>
      </c>
      <c r="H604" t="s">
        <v>358</v>
      </c>
      <c r="I604" t="s">
        <v>221</v>
      </c>
      <c r="J604" s="25">
        <v>24215</v>
      </c>
      <c r="K604" s="26">
        <v>4369.8</v>
      </c>
      <c r="L604" s="26">
        <v>61.73</v>
      </c>
    </row>
    <row r="605" spans="1:12" ht="16" customHeight="1">
      <c r="A605" t="s">
        <v>296</v>
      </c>
      <c r="B605" t="s">
        <v>4</v>
      </c>
      <c r="C605" t="s">
        <v>33</v>
      </c>
      <c r="D605" s="24">
        <v>46023</v>
      </c>
      <c r="E605" t="s">
        <v>226</v>
      </c>
      <c r="F605" t="s">
        <v>4</v>
      </c>
      <c r="G605" t="s">
        <v>217</v>
      </c>
      <c r="H605" t="s">
        <v>217</v>
      </c>
      <c r="I605" t="s">
        <v>267</v>
      </c>
      <c r="J605" s="25">
        <v>21</v>
      </c>
      <c r="K605" s="26">
        <v>3.75</v>
      </c>
      <c r="L605" s="26">
        <v>7.0000000000000007E-2</v>
      </c>
    </row>
    <row r="606" spans="1:12" ht="16" customHeight="1">
      <c r="A606" t="s">
        <v>296</v>
      </c>
      <c r="B606" t="s">
        <v>4</v>
      </c>
      <c r="C606" t="s">
        <v>33</v>
      </c>
      <c r="D606" s="24">
        <v>46023</v>
      </c>
      <c r="E606" t="s">
        <v>269</v>
      </c>
      <c r="F606" t="s">
        <v>4</v>
      </c>
      <c r="G606" t="s">
        <v>217</v>
      </c>
      <c r="H606" t="s">
        <v>217</v>
      </c>
      <c r="I606" t="s">
        <v>268</v>
      </c>
      <c r="J606" s="25">
        <v>0</v>
      </c>
      <c r="K606" s="26">
        <v>0</v>
      </c>
      <c r="L606" s="26">
        <v>0</v>
      </c>
    </row>
    <row r="607" spans="1:12" ht="16" customHeight="1">
      <c r="A607" t="s">
        <v>296</v>
      </c>
      <c r="B607" t="s">
        <v>4</v>
      </c>
      <c r="C607" t="s">
        <v>33</v>
      </c>
      <c r="D607" s="24">
        <v>46023</v>
      </c>
      <c r="E607" t="s">
        <v>228</v>
      </c>
      <c r="F607" t="s">
        <v>4</v>
      </c>
      <c r="G607" t="s">
        <v>217</v>
      </c>
      <c r="H607" t="s">
        <v>217</v>
      </c>
      <c r="I607" t="s">
        <v>270</v>
      </c>
      <c r="J607" s="25">
        <v>0</v>
      </c>
      <c r="K607" s="26">
        <v>0</v>
      </c>
      <c r="L607" s="26">
        <v>0</v>
      </c>
    </row>
    <row r="608" spans="1:12" ht="16" customHeight="1">
      <c r="A608" t="s">
        <v>386</v>
      </c>
      <c r="B608" t="s">
        <v>5</v>
      </c>
      <c r="C608" t="s">
        <v>33</v>
      </c>
      <c r="D608" s="24">
        <v>46023</v>
      </c>
      <c r="E608" t="s">
        <v>326</v>
      </c>
      <c r="F608" t="s">
        <v>4</v>
      </c>
      <c r="G608" t="s">
        <v>217</v>
      </c>
      <c r="H608" t="s">
        <v>217</v>
      </c>
      <c r="I608" t="s">
        <v>219</v>
      </c>
      <c r="J608" s="25">
        <v>2041946</v>
      </c>
      <c r="K608" s="26">
        <v>364652.82</v>
      </c>
      <c r="L608" s="26">
        <v>3838.67</v>
      </c>
    </row>
    <row r="609" spans="1:12" ht="16" customHeight="1">
      <c r="A609" t="s">
        <v>386</v>
      </c>
      <c r="B609" t="s">
        <v>5</v>
      </c>
      <c r="C609" t="s">
        <v>33</v>
      </c>
      <c r="D609" s="24">
        <v>46023</v>
      </c>
      <c r="E609" t="s">
        <v>357</v>
      </c>
      <c r="F609" t="s">
        <v>3</v>
      </c>
      <c r="G609" t="s">
        <v>358</v>
      </c>
      <c r="H609" t="s">
        <v>358</v>
      </c>
      <c r="I609" t="s">
        <v>221</v>
      </c>
      <c r="J609" s="25">
        <v>24716</v>
      </c>
      <c r="K609" s="26">
        <v>4425.72</v>
      </c>
      <c r="L609" s="26">
        <v>53.91</v>
      </c>
    </row>
    <row r="610" spans="1:12" ht="16" customHeight="1">
      <c r="A610" t="s">
        <v>386</v>
      </c>
      <c r="B610" t="s">
        <v>5</v>
      </c>
      <c r="C610" t="s">
        <v>33</v>
      </c>
      <c r="D610" s="24">
        <v>46023</v>
      </c>
      <c r="E610" t="s">
        <v>387</v>
      </c>
      <c r="F610" t="s">
        <v>4</v>
      </c>
      <c r="G610" t="s">
        <v>217</v>
      </c>
      <c r="H610" t="s">
        <v>217</v>
      </c>
      <c r="I610" t="s">
        <v>223</v>
      </c>
      <c r="J610" s="25">
        <v>159</v>
      </c>
      <c r="K610" s="26">
        <v>28.18</v>
      </c>
      <c r="L610" s="26">
        <v>0.44</v>
      </c>
    </row>
    <row r="611" spans="1:12" ht="16" customHeight="1">
      <c r="A611" t="s">
        <v>386</v>
      </c>
      <c r="B611" t="s">
        <v>5</v>
      </c>
      <c r="C611" t="s">
        <v>33</v>
      </c>
      <c r="D611" s="24">
        <v>46023</v>
      </c>
      <c r="E611" t="s">
        <v>226</v>
      </c>
      <c r="F611" t="s">
        <v>4</v>
      </c>
      <c r="G611" t="s">
        <v>217</v>
      </c>
      <c r="H611" t="s">
        <v>217</v>
      </c>
      <c r="I611" t="s">
        <v>267</v>
      </c>
      <c r="J611" s="25">
        <v>14</v>
      </c>
      <c r="K611" s="26">
        <v>2.5</v>
      </c>
      <c r="L611" s="26">
        <v>0.04</v>
      </c>
    </row>
    <row r="612" spans="1:12" ht="16" customHeight="1">
      <c r="A612" t="s">
        <v>386</v>
      </c>
      <c r="B612" t="s">
        <v>5</v>
      </c>
      <c r="C612" t="s">
        <v>33</v>
      </c>
      <c r="D612" s="24">
        <v>46023</v>
      </c>
      <c r="E612" t="s">
        <v>269</v>
      </c>
      <c r="F612" t="s">
        <v>4</v>
      </c>
      <c r="G612" t="s">
        <v>217</v>
      </c>
      <c r="H612" t="s">
        <v>217</v>
      </c>
      <c r="I612" t="s">
        <v>268</v>
      </c>
      <c r="J612" s="25">
        <v>0</v>
      </c>
      <c r="K612" s="26">
        <v>0</v>
      </c>
      <c r="L612" s="26">
        <v>0</v>
      </c>
    </row>
    <row r="613" spans="1:12" ht="16" customHeight="1">
      <c r="A613" t="s">
        <v>386</v>
      </c>
      <c r="B613" t="s">
        <v>5</v>
      </c>
      <c r="C613" t="s">
        <v>33</v>
      </c>
      <c r="D613" s="24">
        <v>46023</v>
      </c>
      <c r="E613" t="s">
        <v>228</v>
      </c>
      <c r="F613" t="s">
        <v>4</v>
      </c>
      <c r="G613" t="s">
        <v>217</v>
      </c>
      <c r="H613" t="s">
        <v>217</v>
      </c>
      <c r="I613" t="s">
        <v>270</v>
      </c>
      <c r="J613" s="25">
        <v>0</v>
      </c>
      <c r="K613" s="26">
        <v>0</v>
      </c>
      <c r="L613" s="26">
        <v>0</v>
      </c>
    </row>
    <row r="614" spans="1:12" ht="16" customHeight="1">
      <c r="A614" t="s">
        <v>388</v>
      </c>
      <c r="B614" t="s">
        <v>6</v>
      </c>
      <c r="C614" t="s">
        <v>34</v>
      </c>
      <c r="D614" s="24">
        <v>46023</v>
      </c>
      <c r="E614" t="s">
        <v>326</v>
      </c>
      <c r="F614" t="s">
        <v>4</v>
      </c>
      <c r="G614" t="s">
        <v>217</v>
      </c>
      <c r="H614" t="s">
        <v>217</v>
      </c>
      <c r="I614" t="s">
        <v>219</v>
      </c>
      <c r="J614" s="25">
        <v>1883204</v>
      </c>
      <c r="K614" s="26">
        <v>337464.49</v>
      </c>
      <c r="L614" s="26">
        <v>3504.25</v>
      </c>
    </row>
    <row r="615" spans="1:12" ht="16" customHeight="1">
      <c r="A615" t="s">
        <v>388</v>
      </c>
      <c r="B615" t="s">
        <v>6</v>
      </c>
      <c r="C615" t="s">
        <v>34</v>
      </c>
      <c r="D615" s="24">
        <v>46023</v>
      </c>
      <c r="E615" t="s">
        <v>357</v>
      </c>
      <c r="F615" t="s">
        <v>3</v>
      </c>
      <c r="G615" t="s">
        <v>358</v>
      </c>
      <c r="H615" t="s">
        <v>358</v>
      </c>
      <c r="I615" t="s">
        <v>221</v>
      </c>
      <c r="J615" s="25">
        <v>27686</v>
      </c>
      <c r="K615" s="26">
        <v>4986.26</v>
      </c>
      <c r="L615" s="26">
        <v>55.69</v>
      </c>
    </row>
    <row r="616" spans="1:12" ht="16" customHeight="1">
      <c r="A616" t="s">
        <v>388</v>
      </c>
      <c r="B616" t="s">
        <v>6</v>
      </c>
      <c r="C616" t="s">
        <v>34</v>
      </c>
      <c r="D616" s="24">
        <v>46023</v>
      </c>
      <c r="E616" t="s">
        <v>387</v>
      </c>
      <c r="F616" t="s">
        <v>4</v>
      </c>
      <c r="G616" t="s">
        <v>217</v>
      </c>
      <c r="H616" t="s">
        <v>217</v>
      </c>
      <c r="I616" t="s">
        <v>223</v>
      </c>
      <c r="J616" s="25">
        <v>320</v>
      </c>
      <c r="K616" s="26">
        <v>58.22</v>
      </c>
      <c r="L616" s="26">
        <v>1.03</v>
      </c>
    </row>
    <row r="617" spans="1:12" ht="16" customHeight="1">
      <c r="A617" t="s">
        <v>388</v>
      </c>
      <c r="B617" t="s">
        <v>6</v>
      </c>
      <c r="C617" t="s">
        <v>34</v>
      </c>
      <c r="D617" s="24">
        <v>46023</v>
      </c>
      <c r="E617" t="s">
        <v>226</v>
      </c>
      <c r="F617" t="s">
        <v>4</v>
      </c>
      <c r="G617" t="s">
        <v>217</v>
      </c>
      <c r="H617" t="s">
        <v>217</v>
      </c>
      <c r="I617" t="s">
        <v>267</v>
      </c>
      <c r="J617" s="25">
        <v>11</v>
      </c>
      <c r="K617" s="26">
        <v>1.96</v>
      </c>
      <c r="L617" s="26">
        <v>0.03</v>
      </c>
    </row>
    <row r="618" spans="1:12" ht="16" customHeight="1">
      <c r="A618" t="s">
        <v>388</v>
      </c>
      <c r="B618" t="s">
        <v>6</v>
      </c>
      <c r="C618" t="s">
        <v>34</v>
      </c>
      <c r="D618" s="24">
        <v>46023</v>
      </c>
      <c r="E618" t="s">
        <v>269</v>
      </c>
      <c r="F618" t="s">
        <v>4</v>
      </c>
      <c r="G618" t="s">
        <v>217</v>
      </c>
      <c r="H618" t="s">
        <v>217</v>
      </c>
      <c r="I618" t="s">
        <v>268</v>
      </c>
      <c r="J618" s="25">
        <v>0</v>
      </c>
      <c r="K618" s="26">
        <v>0</v>
      </c>
      <c r="L618" s="26">
        <v>0</v>
      </c>
    </row>
    <row r="619" spans="1:12" ht="16" customHeight="1">
      <c r="A619" t="s">
        <v>388</v>
      </c>
      <c r="B619" t="s">
        <v>6</v>
      </c>
      <c r="C619" t="s">
        <v>34</v>
      </c>
      <c r="D619" s="24">
        <v>46023</v>
      </c>
      <c r="E619" t="s">
        <v>228</v>
      </c>
      <c r="F619" t="s">
        <v>4</v>
      </c>
      <c r="G619" t="s">
        <v>217</v>
      </c>
      <c r="H619" t="s">
        <v>217</v>
      </c>
      <c r="I619" t="s">
        <v>270</v>
      </c>
      <c r="J619" s="25">
        <v>0</v>
      </c>
      <c r="K619" s="26">
        <v>0</v>
      </c>
      <c r="L619" s="26">
        <v>0</v>
      </c>
    </row>
    <row r="620" spans="1:12" ht="16" customHeight="1">
      <c r="A620" t="s">
        <v>389</v>
      </c>
      <c r="B620" t="s">
        <v>7</v>
      </c>
      <c r="C620" t="s">
        <v>34</v>
      </c>
      <c r="D620" s="24">
        <v>46023</v>
      </c>
      <c r="E620" t="s">
        <v>326</v>
      </c>
      <c r="F620" t="s">
        <v>4</v>
      </c>
      <c r="G620" t="s">
        <v>217</v>
      </c>
      <c r="H620" t="s">
        <v>217</v>
      </c>
      <c r="I620" t="s">
        <v>219</v>
      </c>
      <c r="J620" s="25">
        <v>2224337</v>
      </c>
      <c r="K620" s="26">
        <v>398243.56</v>
      </c>
      <c r="L620" s="26">
        <v>4037.95</v>
      </c>
    </row>
    <row r="621" spans="1:12" ht="16" customHeight="1">
      <c r="A621" t="s">
        <v>389</v>
      </c>
      <c r="B621" t="s">
        <v>7</v>
      </c>
      <c r="C621" t="s">
        <v>34</v>
      </c>
      <c r="D621" s="24">
        <v>46023</v>
      </c>
      <c r="E621" t="s">
        <v>357</v>
      </c>
      <c r="F621" t="s">
        <v>3</v>
      </c>
      <c r="G621" t="s">
        <v>358</v>
      </c>
      <c r="H621" t="s">
        <v>358</v>
      </c>
      <c r="I621" t="s">
        <v>221</v>
      </c>
      <c r="J621" s="25">
        <v>25777</v>
      </c>
      <c r="K621" s="26">
        <v>4668.2</v>
      </c>
      <c r="L621" s="26">
        <v>59.52</v>
      </c>
    </row>
    <row r="622" spans="1:12" ht="16" customHeight="1">
      <c r="A622" t="s">
        <v>389</v>
      </c>
      <c r="B622" t="s">
        <v>7</v>
      </c>
      <c r="C622" t="s">
        <v>34</v>
      </c>
      <c r="D622" s="24">
        <v>46023</v>
      </c>
      <c r="E622" t="s">
        <v>387</v>
      </c>
      <c r="F622" t="s">
        <v>4</v>
      </c>
      <c r="G622" t="s">
        <v>217</v>
      </c>
      <c r="H622" t="s">
        <v>217</v>
      </c>
      <c r="I622" t="s">
        <v>223</v>
      </c>
      <c r="J622" s="25">
        <v>487</v>
      </c>
      <c r="K622" s="26">
        <v>88.85</v>
      </c>
      <c r="L622" s="26">
        <v>1.75</v>
      </c>
    </row>
    <row r="623" spans="1:12" ht="16" customHeight="1">
      <c r="A623" t="s">
        <v>389</v>
      </c>
      <c r="B623" t="s">
        <v>7</v>
      </c>
      <c r="C623" t="s">
        <v>34</v>
      </c>
      <c r="D623" s="24">
        <v>46023</v>
      </c>
      <c r="E623" t="s">
        <v>226</v>
      </c>
      <c r="F623" t="s">
        <v>4</v>
      </c>
      <c r="G623" t="s">
        <v>217</v>
      </c>
      <c r="H623" t="s">
        <v>217</v>
      </c>
      <c r="I623" t="s">
        <v>267</v>
      </c>
      <c r="J623" s="25">
        <v>11</v>
      </c>
      <c r="K623" s="26">
        <v>1.96</v>
      </c>
      <c r="L623" s="26">
        <v>0.03</v>
      </c>
    </row>
    <row r="624" spans="1:12" ht="16" customHeight="1">
      <c r="A624" t="s">
        <v>389</v>
      </c>
      <c r="B624" t="s">
        <v>7</v>
      </c>
      <c r="C624" t="s">
        <v>34</v>
      </c>
      <c r="D624" s="24">
        <v>46023</v>
      </c>
      <c r="E624" t="s">
        <v>269</v>
      </c>
      <c r="F624" t="s">
        <v>4</v>
      </c>
      <c r="G624" t="s">
        <v>217</v>
      </c>
      <c r="H624" t="s">
        <v>217</v>
      </c>
      <c r="I624" t="s">
        <v>268</v>
      </c>
      <c r="J624" s="25">
        <v>0</v>
      </c>
      <c r="K624" s="26">
        <v>0</v>
      </c>
      <c r="L624" s="26">
        <v>0</v>
      </c>
    </row>
    <row r="625" spans="1:12" ht="16" customHeight="1">
      <c r="A625" t="s">
        <v>389</v>
      </c>
      <c r="B625" t="s">
        <v>7</v>
      </c>
      <c r="C625" t="s">
        <v>34</v>
      </c>
      <c r="D625" s="24">
        <v>46023</v>
      </c>
      <c r="E625" t="s">
        <v>228</v>
      </c>
      <c r="F625" t="s">
        <v>4</v>
      </c>
      <c r="G625" t="s">
        <v>217</v>
      </c>
      <c r="H625" t="s">
        <v>217</v>
      </c>
      <c r="I625" t="s">
        <v>270</v>
      </c>
      <c r="J625" s="25">
        <v>0</v>
      </c>
      <c r="K625" s="26">
        <v>0</v>
      </c>
      <c r="L625" s="26">
        <v>0</v>
      </c>
    </row>
    <row r="626" spans="1:12" ht="16" customHeight="1">
      <c r="A626" t="s">
        <v>390</v>
      </c>
      <c r="B626" t="s">
        <v>8</v>
      </c>
      <c r="C626" t="s">
        <v>35</v>
      </c>
      <c r="D626" s="24">
        <v>46054</v>
      </c>
      <c r="E626" t="s">
        <v>326</v>
      </c>
      <c r="F626" t="s">
        <v>4</v>
      </c>
      <c r="G626" t="s">
        <v>217</v>
      </c>
      <c r="H626" t="s">
        <v>217</v>
      </c>
      <c r="I626" t="s">
        <v>212</v>
      </c>
      <c r="J626" s="25">
        <v>4014589</v>
      </c>
      <c r="K626" s="26">
        <v>717337.55</v>
      </c>
      <c r="L626" s="26">
        <v>6335.44</v>
      </c>
    </row>
    <row r="627" spans="1:12" ht="16" customHeight="1">
      <c r="A627" t="s">
        <v>390</v>
      </c>
      <c r="B627" t="s">
        <v>8</v>
      </c>
      <c r="C627" t="s">
        <v>35</v>
      </c>
      <c r="D627" s="24">
        <v>46054</v>
      </c>
      <c r="E627" t="s">
        <v>357</v>
      </c>
      <c r="F627" t="s">
        <v>3</v>
      </c>
      <c r="G627" t="s">
        <v>358</v>
      </c>
      <c r="H627" t="s">
        <v>358</v>
      </c>
      <c r="I627" t="s">
        <v>219</v>
      </c>
      <c r="J627" s="25">
        <v>67953</v>
      </c>
      <c r="K627" s="26">
        <v>12264.79</v>
      </c>
      <c r="L627" s="26">
        <v>151.91</v>
      </c>
    </row>
    <row r="628" spans="1:12" ht="16" customHeight="1">
      <c r="A628" t="s">
        <v>390</v>
      </c>
      <c r="B628" t="s">
        <v>8</v>
      </c>
      <c r="C628" t="s">
        <v>35</v>
      </c>
      <c r="D628" s="24">
        <v>46054</v>
      </c>
      <c r="E628" t="s">
        <v>387</v>
      </c>
      <c r="F628" t="s">
        <v>4</v>
      </c>
      <c r="G628" t="s">
        <v>217</v>
      </c>
      <c r="H628" t="s">
        <v>217</v>
      </c>
      <c r="I628" t="s">
        <v>221</v>
      </c>
      <c r="J628" s="25">
        <v>750</v>
      </c>
      <c r="K628" s="26">
        <v>136.68</v>
      </c>
      <c r="L628" s="26">
        <v>2.6</v>
      </c>
    </row>
    <row r="629" spans="1:12" ht="16" customHeight="1">
      <c r="A629" t="s">
        <v>390</v>
      </c>
      <c r="B629" t="s">
        <v>8</v>
      </c>
      <c r="C629" t="s">
        <v>35</v>
      </c>
      <c r="D629" s="24">
        <v>46054</v>
      </c>
      <c r="E629" t="s">
        <v>226</v>
      </c>
      <c r="F629" t="s">
        <v>4</v>
      </c>
      <c r="G629" t="s">
        <v>217</v>
      </c>
      <c r="H629" t="s">
        <v>217</v>
      </c>
      <c r="I629" t="s">
        <v>300</v>
      </c>
      <c r="J629" s="25">
        <v>43</v>
      </c>
      <c r="K629" s="26">
        <v>7.69</v>
      </c>
      <c r="L629" s="26">
        <v>0.14000000000000001</v>
      </c>
    </row>
    <row r="630" spans="1:12" ht="16" customHeight="1">
      <c r="A630" t="s">
        <v>390</v>
      </c>
      <c r="B630" t="s">
        <v>8</v>
      </c>
      <c r="C630" t="s">
        <v>35</v>
      </c>
      <c r="D630" s="24">
        <v>46054</v>
      </c>
      <c r="E630" t="s">
        <v>269</v>
      </c>
      <c r="F630" t="s">
        <v>4</v>
      </c>
      <c r="G630" t="s">
        <v>217</v>
      </c>
      <c r="H630" t="s">
        <v>217</v>
      </c>
      <c r="I630" t="s">
        <v>301</v>
      </c>
      <c r="J630" s="25">
        <v>0</v>
      </c>
      <c r="K630" s="26">
        <v>0</v>
      </c>
      <c r="L630" s="26">
        <v>0</v>
      </c>
    </row>
    <row r="631" spans="1:12" ht="16" customHeight="1">
      <c r="A631" t="s">
        <v>390</v>
      </c>
      <c r="B631" t="s">
        <v>8</v>
      </c>
      <c r="C631" t="s">
        <v>35</v>
      </c>
      <c r="D631" s="24">
        <v>46054</v>
      </c>
      <c r="E631" t="s">
        <v>228</v>
      </c>
      <c r="F631" t="s">
        <v>4</v>
      </c>
      <c r="G631" t="s">
        <v>217</v>
      </c>
      <c r="H631" t="s">
        <v>217</v>
      </c>
      <c r="I631" t="s">
        <v>302</v>
      </c>
      <c r="J631" s="25">
        <v>0</v>
      </c>
      <c r="K631" s="26">
        <v>0</v>
      </c>
      <c r="L631" s="26">
        <v>0</v>
      </c>
    </row>
    <row r="632" spans="1:12" ht="16" customHeight="1">
      <c r="A632" t="s">
        <v>399</v>
      </c>
      <c r="B632" t="s">
        <v>3</v>
      </c>
      <c r="C632" t="s">
        <v>35</v>
      </c>
      <c r="D632" s="24">
        <v>46054</v>
      </c>
      <c r="E632" t="s">
        <v>326</v>
      </c>
      <c r="F632" t="s">
        <v>4</v>
      </c>
      <c r="G632" t="s">
        <v>217</v>
      </c>
      <c r="H632" t="s">
        <v>217</v>
      </c>
      <c r="I632" t="s">
        <v>212</v>
      </c>
      <c r="J632" s="25">
        <v>2941021</v>
      </c>
      <c r="K632" s="26">
        <v>518591.58</v>
      </c>
      <c r="L632" s="26">
        <v>4679.05</v>
      </c>
    </row>
    <row r="633" spans="1:12" ht="16" customHeight="1">
      <c r="A633" t="s">
        <v>399</v>
      </c>
      <c r="B633" t="s">
        <v>3</v>
      </c>
      <c r="C633" t="s">
        <v>35</v>
      </c>
      <c r="D633" s="24">
        <v>46054</v>
      </c>
      <c r="E633" t="s">
        <v>357</v>
      </c>
      <c r="F633" t="s">
        <v>3</v>
      </c>
      <c r="G633" t="s">
        <v>358</v>
      </c>
      <c r="H633" t="s">
        <v>358</v>
      </c>
      <c r="I633" t="s">
        <v>219</v>
      </c>
      <c r="J633" s="25">
        <v>55122</v>
      </c>
      <c r="K633" s="26">
        <v>9868.0400000000009</v>
      </c>
      <c r="L633" s="26">
        <v>123.41</v>
      </c>
    </row>
    <row r="634" spans="1:12" ht="16" customHeight="1">
      <c r="A634" t="s">
        <v>399</v>
      </c>
      <c r="B634" t="s">
        <v>3</v>
      </c>
      <c r="C634" t="s">
        <v>35</v>
      </c>
      <c r="D634" s="24">
        <v>46054</v>
      </c>
      <c r="E634" t="s">
        <v>387</v>
      </c>
      <c r="F634" t="s">
        <v>4</v>
      </c>
      <c r="G634" t="s">
        <v>217</v>
      </c>
      <c r="H634" t="s">
        <v>217</v>
      </c>
      <c r="I634" t="s">
        <v>221</v>
      </c>
      <c r="J634" s="25">
        <v>1483</v>
      </c>
      <c r="K634" s="26">
        <v>267.98</v>
      </c>
      <c r="L634" s="26">
        <v>4.1500000000000004</v>
      </c>
    </row>
    <row r="635" spans="1:12" ht="16" customHeight="1">
      <c r="A635" t="s">
        <v>399</v>
      </c>
      <c r="B635" t="s">
        <v>3</v>
      </c>
      <c r="C635" t="s">
        <v>35</v>
      </c>
      <c r="D635" s="24">
        <v>46054</v>
      </c>
      <c r="E635" t="s">
        <v>226</v>
      </c>
      <c r="F635" t="s">
        <v>4</v>
      </c>
      <c r="G635" t="s">
        <v>217</v>
      </c>
      <c r="H635" t="s">
        <v>217</v>
      </c>
      <c r="I635" t="s">
        <v>300</v>
      </c>
      <c r="J635" s="25">
        <v>44</v>
      </c>
      <c r="K635" s="26">
        <v>7.89</v>
      </c>
      <c r="L635" s="26">
        <v>0.17</v>
      </c>
    </row>
    <row r="636" spans="1:12" ht="16" customHeight="1">
      <c r="A636" t="s">
        <v>399</v>
      </c>
      <c r="B636" t="s">
        <v>3</v>
      </c>
      <c r="C636" t="s">
        <v>35</v>
      </c>
      <c r="D636" s="24">
        <v>46054</v>
      </c>
      <c r="E636" t="s">
        <v>269</v>
      </c>
      <c r="F636" t="s">
        <v>4</v>
      </c>
      <c r="G636" t="s">
        <v>217</v>
      </c>
      <c r="H636" t="s">
        <v>217</v>
      </c>
      <c r="I636" t="s">
        <v>301</v>
      </c>
      <c r="J636" s="25">
        <v>0</v>
      </c>
      <c r="K636" s="26">
        <v>0</v>
      </c>
      <c r="L636" s="26">
        <v>0</v>
      </c>
    </row>
    <row r="637" spans="1:12" ht="16" customHeight="1">
      <c r="A637" t="s">
        <v>399</v>
      </c>
      <c r="B637" t="s">
        <v>3</v>
      </c>
      <c r="C637" t="s">
        <v>35</v>
      </c>
      <c r="D637" s="24">
        <v>46054</v>
      </c>
      <c r="E637" t="s">
        <v>228</v>
      </c>
      <c r="F637" t="s">
        <v>4</v>
      </c>
      <c r="G637" t="s">
        <v>217</v>
      </c>
      <c r="H637" t="s">
        <v>217</v>
      </c>
      <c r="I637" t="s">
        <v>302</v>
      </c>
      <c r="J637" s="25">
        <v>0</v>
      </c>
      <c r="K637" s="26">
        <v>0</v>
      </c>
      <c r="L637" s="26">
        <v>0</v>
      </c>
    </row>
    <row r="638" spans="1:12" ht="16" customHeight="1">
      <c r="A638" t="s">
        <v>354</v>
      </c>
      <c r="B638" t="s">
        <v>4</v>
      </c>
      <c r="C638" t="s">
        <v>35</v>
      </c>
      <c r="D638" s="24">
        <v>46054</v>
      </c>
      <c r="E638" t="s">
        <v>326</v>
      </c>
      <c r="F638" t="s">
        <v>4</v>
      </c>
      <c r="G638" t="s">
        <v>217</v>
      </c>
      <c r="H638" t="s">
        <v>217</v>
      </c>
      <c r="I638" t="s">
        <v>212</v>
      </c>
      <c r="J638" s="25">
        <v>3282380</v>
      </c>
      <c r="K638" s="26">
        <v>587891.96</v>
      </c>
      <c r="L638" s="26">
        <v>5110.09</v>
      </c>
    </row>
    <row r="639" spans="1:12" ht="16" customHeight="1">
      <c r="A639" t="s">
        <v>354</v>
      </c>
      <c r="B639" t="s">
        <v>4</v>
      </c>
      <c r="C639" t="s">
        <v>35</v>
      </c>
      <c r="D639" s="24">
        <v>46054</v>
      </c>
      <c r="E639" t="s">
        <v>357</v>
      </c>
      <c r="F639" t="s">
        <v>3</v>
      </c>
      <c r="G639" t="s">
        <v>358</v>
      </c>
      <c r="H639" t="s">
        <v>358</v>
      </c>
      <c r="I639" t="s">
        <v>219</v>
      </c>
      <c r="J639" s="25">
        <v>85238</v>
      </c>
      <c r="K639" s="26">
        <v>15537.94</v>
      </c>
      <c r="L639" s="26">
        <v>203.96</v>
      </c>
    </row>
    <row r="640" spans="1:12" ht="16" customHeight="1">
      <c r="A640" t="s">
        <v>354</v>
      </c>
      <c r="B640" t="s">
        <v>4</v>
      </c>
      <c r="C640" t="s">
        <v>35</v>
      </c>
      <c r="D640" s="24">
        <v>46054</v>
      </c>
      <c r="E640" t="s">
        <v>387</v>
      </c>
      <c r="F640" t="s">
        <v>4</v>
      </c>
      <c r="G640" t="s">
        <v>217</v>
      </c>
      <c r="H640" t="s">
        <v>217</v>
      </c>
      <c r="I640" t="s">
        <v>221</v>
      </c>
      <c r="J640" s="25">
        <v>1405</v>
      </c>
      <c r="K640" s="26">
        <v>257.5</v>
      </c>
      <c r="L640" s="26">
        <v>4.62</v>
      </c>
    </row>
    <row r="641" spans="1:12" ht="16" customHeight="1">
      <c r="A641" t="s">
        <v>354</v>
      </c>
      <c r="B641" t="s">
        <v>4</v>
      </c>
      <c r="C641" t="s">
        <v>35</v>
      </c>
      <c r="D641" s="24">
        <v>46054</v>
      </c>
      <c r="E641" t="s">
        <v>226</v>
      </c>
      <c r="F641" t="s">
        <v>4</v>
      </c>
      <c r="G641" t="s">
        <v>217</v>
      </c>
      <c r="H641" t="s">
        <v>217</v>
      </c>
      <c r="I641" t="s">
        <v>300</v>
      </c>
      <c r="J641" s="25">
        <v>40</v>
      </c>
      <c r="K641" s="26">
        <v>7.13</v>
      </c>
      <c r="L641" s="26">
        <v>0.11</v>
      </c>
    </row>
    <row r="642" spans="1:12" ht="16" customHeight="1">
      <c r="A642" t="s">
        <v>354</v>
      </c>
      <c r="B642" t="s">
        <v>4</v>
      </c>
      <c r="C642" t="s">
        <v>35</v>
      </c>
      <c r="D642" s="24">
        <v>46054</v>
      </c>
      <c r="E642" t="s">
        <v>269</v>
      </c>
      <c r="F642" t="s">
        <v>4</v>
      </c>
      <c r="G642" t="s">
        <v>217</v>
      </c>
      <c r="H642" t="s">
        <v>217</v>
      </c>
      <c r="I642" t="s">
        <v>301</v>
      </c>
      <c r="J642" s="25">
        <v>0</v>
      </c>
      <c r="K642" s="26">
        <v>0</v>
      </c>
      <c r="L642" s="26">
        <v>0</v>
      </c>
    </row>
    <row r="643" spans="1:12" ht="16" customHeight="1">
      <c r="A643" t="s">
        <v>354</v>
      </c>
      <c r="B643" t="s">
        <v>4</v>
      </c>
      <c r="C643" t="s">
        <v>35</v>
      </c>
      <c r="D643" s="24">
        <v>46054</v>
      </c>
      <c r="E643" t="s">
        <v>228</v>
      </c>
      <c r="F643" t="s">
        <v>4</v>
      </c>
      <c r="G643" t="s">
        <v>217</v>
      </c>
      <c r="H643" t="s">
        <v>217</v>
      </c>
      <c r="I643" t="s">
        <v>302</v>
      </c>
      <c r="J643" s="25">
        <v>0</v>
      </c>
      <c r="K643" s="26">
        <v>0</v>
      </c>
      <c r="L643" s="26">
        <v>0</v>
      </c>
    </row>
    <row r="644" spans="1:12" ht="16" customHeight="1">
      <c r="A644" t="s">
        <v>400</v>
      </c>
      <c r="B644" t="s">
        <v>5</v>
      </c>
      <c r="C644" t="s">
        <v>35</v>
      </c>
      <c r="D644" s="24">
        <v>46054</v>
      </c>
      <c r="E644" t="s">
        <v>326</v>
      </c>
      <c r="F644" t="s">
        <v>4</v>
      </c>
      <c r="G644" t="s">
        <v>217</v>
      </c>
      <c r="H644" t="s">
        <v>217</v>
      </c>
      <c r="I644" t="s">
        <v>212</v>
      </c>
      <c r="J644" s="25">
        <v>2276529</v>
      </c>
      <c r="K644" s="26">
        <v>409708.79</v>
      </c>
      <c r="L644" s="26">
        <v>3282.48</v>
      </c>
    </row>
    <row r="645" spans="1:12" ht="16" customHeight="1">
      <c r="A645" t="s">
        <v>400</v>
      </c>
      <c r="B645" t="s">
        <v>5</v>
      </c>
      <c r="C645" t="s">
        <v>35</v>
      </c>
      <c r="D645" s="24">
        <v>46054</v>
      </c>
      <c r="E645" t="s">
        <v>357</v>
      </c>
      <c r="F645" t="s">
        <v>3</v>
      </c>
      <c r="G645" t="s">
        <v>358</v>
      </c>
      <c r="H645" t="s">
        <v>358</v>
      </c>
      <c r="I645" t="s">
        <v>219</v>
      </c>
      <c r="J645" s="25">
        <v>44167</v>
      </c>
      <c r="K645" s="26">
        <v>7946.26</v>
      </c>
      <c r="L645" s="26">
        <v>81.569999999999993</v>
      </c>
    </row>
    <row r="646" spans="1:12" ht="16" customHeight="1">
      <c r="A646" t="s">
        <v>400</v>
      </c>
      <c r="B646" t="s">
        <v>5</v>
      </c>
      <c r="C646" t="s">
        <v>35</v>
      </c>
      <c r="D646" s="24">
        <v>46054</v>
      </c>
      <c r="E646" t="s">
        <v>387</v>
      </c>
      <c r="F646" t="s">
        <v>4</v>
      </c>
      <c r="G646" t="s">
        <v>217</v>
      </c>
      <c r="H646" t="s">
        <v>217</v>
      </c>
      <c r="I646" t="s">
        <v>221</v>
      </c>
      <c r="J646" s="25">
        <v>1768</v>
      </c>
      <c r="K646" s="26">
        <v>320.20999999999998</v>
      </c>
      <c r="L646" s="26">
        <v>4.72</v>
      </c>
    </row>
    <row r="647" spans="1:12" ht="16" customHeight="1">
      <c r="A647" t="s">
        <v>400</v>
      </c>
      <c r="B647" t="s">
        <v>5</v>
      </c>
      <c r="C647" t="s">
        <v>35</v>
      </c>
      <c r="D647" s="24">
        <v>46054</v>
      </c>
      <c r="E647" t="s">
        <v>226</v>
      </c>
      <c r="F647" t="s">
        <v>4</v>
      </c>
      <c r="G647" t="s">
        <v>217</v>
      </c>
      <c r="H647" t="s">
        <v>217</v>
      </c>
      <c r="I647" t="s">
        <v>300</v>
      </c>
      <c r="J647" s="25">
        <v>52</v>
      </c>
      <c r="K647" s="26">
        <v>9.41</v>
      </c>
      <c r="L647" s="26">
        <v>0.28000000000000003</v>
      </c>
    </row>
    <row r="648" spans="1:12" ht="16" customHeight="1">
      <c r="A648" t="s">
        <v>400</v>
      </c>
      <c r="B648" t="s">
        <v>5</v>
      </c>
      <c r="C648" t="s">
        <v>35</v>
      </c>
      <c r="D648" s="24">
        <v>46054</v>
      </c>
      <c r="E648" t="s">
        <v>269</v>
      </c>
      <c r="F648" t="s">
        <v>4</v>
      </c>
      <c r="G648" t="s">
        <v>217</v>
      </c>
      <c r="H648" t="s">
        <v>217</v>
      </c>
      <c r="I648" t="s">
        <v>301</v>
      </c>
      <c r="J648" s="25">
        <v>0</v>
      </c>
      <c r="K648" s="26">
        <v>0</v>
      </c>
      <c r="L648" s="26">
        <v>0</v>
      </c>
    </row>
    <row r="649" spans="1:12" ht="16" customHeight="1">
      <c r="A649" t="s">
        <v>400</v>
      </c>
      <c r="B649" t="s">
        <v>5</v>
      </c>
      <c r="C649" t="s">
        <v>35</v>
      </c>
      <c r="D649" s="24">
        <v>46054</v>
      </c>
      <c r="E649" t="s">
        <v>228</v>
      </c>
      <c r="F649" t="s">
        <v>4</v>
      </c>
      <c r="G649" t="s">
        <v>217</v>
      </c>
      <c r="H649" t="s">
        <v>217</v>
      </c>
      <c r="I649" t="s">
        <v>302</v>
      </c>
      <c r="J649" s="25">
        <v>0</v>
      </c>
      <c r="K649" s="26">
        <v>0</v>
      </c>
      <c r="L649" s="26">
        <v>0</v>
      </c>
    </row>
    <row r="650" spans="1:12" ht="16" customHeight="1">
      <c r="A650" t="s">
        <v>402</v>
      </c>
      <c r="B650" t="s">
        <v>6</v>
      </c>
      <c r="C650" t="s">
        <v>35</v>
      </c>
      <c r="D650" s="24">
        <v>46054</v>
      </c>
      <c r="E650" t="s">
        <v>326</v>
      </c>
      <c r="F650" t="s">
        <v>4</v>
      </c>
      <c r="G650" t="s">
        <v>217</v>
      </c>
      <c r="H650" t="s">
        <v>217</v>
      </c>
      <c r="I650" t="s">
        <v>212</v>
      </c>
      <c r="J650" s="25">
        <v>1900416</v>
      </c>
      <c r="K650" s="26">
        <v>341981.34</v>
      </c>
      <c r="L650" s="26">
        <v>2650.09</v>
      </c>
    </row>
    <row r="651" spans="1:12" ht="16" customHeight="1">
      <c r="A651" t="s">
        <v>402</v>
      </c>
      <c r="B651" t="s">
        <v>6</v>
      </c>
      <c r="C651" t="s">
        <v>35</v>
      </c>
      <c r="D651" s="24">
        <v>46054</v>
      </c>
      <c r="E651" t="s">
        <v>357</v>
      </c>
      <c r="F651" t="s">
        <v>3</v>
      </c>
      <c r="G651" t="s">
        <v>358</v>
      </c>
      <c r="H651" t="s">
        <v>358</v>
      </c>
      <c r="I651" t="s">
        <v>219</v>
      </c>
      <c r="J651" s="25">
        <v>28610</v>
      </c>
      <c r="K651" s="26">
        <v>5205.6400000000003</v>
      </c>
      <c r="L651" s="26">
        <v>53.56</v>
      </c>
    </row>
    <row r="652" spans="1:12" ht="16" customHeight="1">
      <c r="A652" t="s">
        <v>402</v>
      </c>
      <c r="B652" t="s">
        <v>6</v>
      </c>
      <c r="C652" t="s">
        <v>35</v>
      </c>
      <c r="D652" s="24">
        <v>46054</v>
      </c>
      <c r="E652" t="s">
        <v>387</v>
      </c>
      <c r="F652" t="s">
        <v>4</v>
      </c>
      <c r="G652" t="s">
        <v>217</v>
      </c>
      <c r="H652" t="s">
        <v>217</v>
      </c>
      <c r="I652" t="s">
        <v>221</v>
      </c>
      <c r="J652" s="25">
        <v>1227</v>
      </c>
      <c r="K652" s="26">
        <v>222.19</v>
      </c>
      <c r="L652" s="26">
        <v>3.12</v>
      </c>
    </row>
    <row r="653" spans="1:12" ht="16" customHeight="1">
      <c r="A653" t="s">
        <v>402</v>
      </c>
      <c r="B653" t="s">
        <v>6</v>
      </c>
      <c r="C653" t="s">
        <v>35</v>
      </c>
      <c r="D653" s="24">
        <v>46054</v>
      </c>
      <c r="E653" t="s">
        <v>226</v>
      </c>
      <c r="F653" t="s">
        <v>4</v>
      </c>
      <c r="G653" t="s">
        <v>217</v>
      </c>
      <c r="H653" t="s">
        <v>217</v>
      </c>
      <c r="I653" t="s">
        <v>300</v>
      </c>
      <c r="J653" s="25">
        <v>35</v>
      </c>
      <c r="K653" s="26">
        <v>6.28</v>
      </c>
      <c r="L653" s="26">
        <v>0.13</v>
      </c>
    </row>
    <row r="654" spans="1:12" ht="16" customHeight="1">
      <c r="A654" t="s">
        <v>402</v>
      </c>
      <c r="B654" t="s">
        <v>6</v>
      </c>
      <c r="C654" t="s">
        <v>35</v>
      </c>
      <c r="D654" s="24">
        <v>46054</v>
      </c>
      <c r="E654" t="s">
        <v>269</v>
      </c>
      <c r="F654" t="s">
        <v>4</v>
      </c>
      <c r="G654" t="s">
        <v>217</v>
      </c>
      <c r="H654" t="s">
        <v>217</v>
      </c>
      <c r="I654" t="s">
        <v>301</v>
      </c>
      <c r="J654" s="25">
        <v>0</v>
      </c>
      <c r="K654" s="26">
        <v>0</v>
      </c>
      <c r="L654" s="26">
        <v>0</v>
      </c>
    </row>
    <row r="655" spans="1:12" ht="16" customHeight="1">
      <c r="A655" t="s">
        <v>402</v>
      </c>
      <c r="B655" t="s">
        <v>6</v>
      </c>
      <c r="C655" t="s">
        <v>35</v>
      </c>
      <c r="D655" s="24">
        <v>46054</v>
      </c>
      <c r="E655" t="s">
        <v>228</v>
      </c>
      <c r="F655" t="s">
        <v>4</v>
      </c>
      <c r="G655" t="s">
        <v>217</v>
      </c>
      <c r="H655" t="s">
        <v>217</v>
      </c>
      <c r="I655" t="s">
        <v>302</v>
      </c>
      <c r="J655" s="25">
        <v>0</v>
      </c>
      <c r="K655" s="26">
        <v>0</v>
      </c>
      <c r="L655" s="26">
        <v>0</v>
      </c>
    </row>
    <row r="656" spans="1:12" ht="16" customHeight="1">
      <c r="A656" t="s">
        <v>403</v>
      </c>
      <c r="B656" t="s">
        <v>7</v>
      </c>
      <c r="C656" t="s">
        <v>35</v>
      </c>
      <c r="D656" s="24">
        <v>46054</v>
      </c>
      <c r="E656" t="s">
        <v>326</v>
      </c>
      <c r="F656" t="s">
        <v>4</v>
      </c>
      <c r="G656" t="s">
        <v>217</v>
      </c>
      <c r="H656" t="s">
        <v>217</v>
      </c>
      <c r="I656" t="s">
        <v>212</v>
      </c>
      <c r="J656" s="25">
        <v>3206221</v>
      </c>
      <c r="K656" s="26">
        <v>576755.97</v>
      </c>
      <c r="L656" s="26">
        <v>4093.51</v>
      </c>
    </row>
    <row r="657" spans="1:12" ht="16" customHeight="1">
      <c r="A657" t="s">
        <v>403</v>
      </c>
      <c r="B657" t="s">
        <v>7</v>
      </c>
      <c r="C657" t="s">
        <v>35</v>
      </c>
      <c r="D657" s="24">
        <v>46054</v>
      </c>
      <c r="E657" t="s">
        <v>357</v>
      </c>
      <c r="F657" t="s">
        <v>3</v>
      </c>
      <c r="G657" t="s">
        <v>358</v>
      </c>
      <c r="H657" t="s">
        <v>358</v>
      </c>
      <c r="I657" t="s">
        <v>219</v>
      </c>
      <c r="J657" s="25">
        <v>46668</v>
      </c>
      <c r="K657" s="26">
        <v>8472.9500000000007</v>
      </c>
      <c r="L657" s="26">
        <v>88.62</v>
      </c>
    </row>
    <row r="658" spans="1:12" ht="16" customHeight="1">
      <c r="A658" t="s">
        <v>403</v>
      </c>
      <c r="B658" t="s">
        <v>7</v>
      </c>
      <c r="C658" t="s">
        <v>35</v>
      </c>
      <c r="D658" s="24">
        <v>46054</v>
      </c>
      <c r="E658" t="s">
        <v>387</v>
      </c>
      <c r="F658" t="s">
        <v>4</v>
      </c>
      <c r="G658" t="s">
        <v>217</v>
      </c>
      <c r="H658" t="s">
        <v>217</v>
      </c>
      <c r="I658" t="s">
        <v>221</v>
      </c>
      <c r="J658" s="25">
        <v>2290</v>
      </c>
      <c r="K658" s="26">
        <v>417.25</v>
      </c>
      <c r="L658" s="26">
        <v>5.17</v>
      </c>
    </row>
    <row r="659" spans="1:12" ht="16" customHeight="1">
      <c r="A659" t="s">
        <v>403</v>
      </c>
      <c r="B659" t="s">
        <v>7</v>
      </c>
      <c r="C659" t="s">
        <v>35</v>
      </c>
      <c r="D659" s="24">
        <v>46054</v>
      </c>
      <c r="E659" t="s">
        <v>226</v>
      </c>
      <c r="F659" t="s">
        <v>4</v>
      </c>
      <c r="G659" t="s">
        <v>217</v>
      </c>
      <c r="H659" t="s">
        <v>217</v>
      </c>
      <c r="I659" t="s">
        <v>300</v>
      </c>
      <c r="J659" s="25">
        <v>44</v>
      </c>
      <c r="K659" s="26">
        <v>7.86</v>
      </c>
      <c r="L659" s="26">
        <v>0.14000000000000001</v>
      </c>
    </row>
    <row r="660" spans="1:12" ht="16" customHeight="1">
      <c r="A660" t="s">
        <v>403</v>
      </c>
      <c r="B660" t="s">
        <v>7</v>
      </c>
      <c r="C660" t="s">
        <v>35</v>
      </c>
      <c r="D660" s="24">
        <v>46054</v>
      </c>
      <c r="E660" t="s">
        <v>269</v>
      </c>
      <c r="F660" t="s">
        <v>4</v>
      </c>
      <c r="G660" t="s">
        <v>217</v>
      </c>
      <c r="H660" t="s">
        <v>217</v>
      </c>
      <c r="I660" t="s">
        <v>301</v>
      </c>
      <c r="J660" s="25">
        <v>0</v>
      </c>
      <c r="K660" s="26">
        <v>0</v>
      </c>
      <c r="L660" s="26">
        <v>0</v>
      </c>
    </row>
    <row r="661" spans="1:12" ht="16" customHeight="1">
      <c r="A661" t="s">
        <v>403</v>
      </c>
      <c r="B661" t="s">
        <v>7</v>
      </c>
      <c r="C661" t="s">
        <v>35</v>
      </c>
      <c r="D661" s="24">
        <v>46054</v>
      </c>
      <c r="E661" t="s">
        <v>228</v>
      </c>
      <c r="F661" t="s">
        <v>4</v>
      </c>
      <c r="G661" t="s">
        <v>217</v>
      </c>
      <c r="H661" t="s">
        <v>217</v>
      </c>
      <c r="I661" t="s">
        <v>302</v>
      </c>
      <c r="J661" s="25">
        <v>0</v>
      </c>
      <c r="K661" s="26">
        <v>0</v>
      </c>
      <c r="L661" s="26">
        <v>0</v>
      </c>
    </row>
    <row r="662" spans="1:12" ht="16" customHeight="1">
      <c r="A662" t="s">
        <v>404</v>
      </c>
      <c r="B662" t="s">
        <v>3</v>
      </c>
      <c r="C662" t="s">
        <v>36</v>
      </c>
      <c r="D662" s="24">
        <v>46054</v>
      </c>
      <c r="E662" t="s">
        <v>326</v>
      </c>
      <c r="F662" t="s">
        <v>4</v>
      </c>
      <c r="G662" t="s">
        <v>217</v>
      </c>
      <c r="H662" t="s">
        <v>217</v>
      </c>
      <c r="I662" t="s">
        <v>212</v>
      </c>
      <c r="J662" s="25">
        <v>2427088</v>
      </c>
      <c r="K662" s="26">
        <v>437365.01</v>
      </c>
      <c r="L662" s="26">
        <v>2800.95</v>
      </c>
    </row>
    <row r="663" spans="1:12" ht="16" customHeight="1">
      <c r="A663" t="s">
        <v>404</v>
      </c>
      <c r="B663" t="s">
        <v>3</v>
      </c>
      <c r="C663" t="s">
        <v>36</v>
      </c>
      <c r="D663" s="24">
        <v>46054</v>
      </c>
      <c r="E663" t="s">
        <v>357</v>
      </c>
      <c r="F663" t="s">
        <v>3</v>
      </c>
      <c r="G663" t="s">
        <v>358</v>
      </c>
      <c r="H663" t="s">
        <v>358</v>
      </c>
      <c r="I663" t="s">
        <v>219</v>
      </c>
      <c r="J663" s="25">
        <v>56574</v>
      </c>
      <c r="K663" s="26">
        <v>10285.33</v>
      </c>
      <c r="L663" s="26">
        <v>109.63</v>
      </c>
    </row>
    <row r="664" spans="1:12" ht="16" customHeight="1">
      <c r="A664" t="s">
        <v>404</v>
      </c>
      <c r="B664" t="s">
        <v>3</v>
      </c>
      <c r="C664" t="s">
        <v>36</v>
      </c>
      <c r="D664" s="24">
        <v>46054</v>
      </c>
      <c r="E664" t="s">
        <v>387</v>
      </c>
      <c r="F664" t="s">
        <v>4</v>
      </c>
      <c r="G664" t="s">
        <v>217</v>
      </c>
      <c r="H664" t="s">
        <v>217</v>
      </c>
      <c r="I664" t="s">
        <v>221</v>
      </c>
      <c r="J664" s="25">
        <v>5815</v>
      </c>
      <c r="K664" s="26">
        <v>1065.26</v>
      </c>
      <c r="L664" s="26">
        <v>13.88</v>
      </c>
    </row>
    <row r="665" spans="1:12" ht="16" customHeight="1">
      <c r="A665" t="s">
        <v>404</v>
      </c>
      <c r="B665" t="s">
        <v>3</v>
      </c>
      <c r="C665" t="s">
        <v>36</v>
      </c>
      <c r="D665" s="24">
        <v>46054</v>
      </c>
      <c r="E665" t="s">
        <v>226</v>
      </c>
      <c r="F665" t="s">
        <v>4</v>
      </c>
      <c r="G665" t="s">
        <v>217</v>
      </c>
      <c r="H665" t="s">
        <v>217</v>
      </c>
      <c r="I665" t="s">
        <v>300</v>
      </c>
      <c r="J665" s="25">
        <v>78</v>
      </c>
      <c r="K665" s="26">
        <v>14.05</v>
      </c>
      <c r="L665" s="26">
        <v>0.25</v>
      </c>
    </row>
    <row r="666" spans="1:12" ht="16" customHeight="1">
      <c r="A666" t="s">
        <v>404</v>
      </c>
      <c r="B666" t="s">
        <v>3</v>
      </c>
      <c r="C666" t="s">
        <v>36</v>
      </c>
      <c r="D666" s="24">
        <v>46054</v>
      </c>
      <c r="E666" t="s">
        <v>269</v>
      </c>
      <c r="F666" t="s">
        <v>4</v>
      </c>
      <c r="G666" t="s">
        <v>217</v>
      </c>
      <c r="H666" t="s">
        <v>217</v>
      </c>
      <c r="I666" t="s">
        <v>301</v>
      </c>
      <c r="J666" s="25">
        <v>0</v>
      </c>
      <c r="K666" s="26">
        <v>0</v>
      </c>
      <c r="L666" s="26">
        <v>0</v>
      </c>
    </row>
    <row r="667" spans="1:12" ht="16" customHeight="1">
      <c r="A667" t="s">
        <v>404</v>
      </c>
      <c r="B667" t="s">
        <v>3</v>
      </c>
      <c r="C667" t="s">
        <v>36</v>
      </c>
      <c r="D667" s="24">
        <v>46054</v>
      </c>
      <c r="E667" t="s">
        <v>228</v>
      </c>
      <c r="F667" t="s">
        <v>4</v>
      </c>
      <c r="G667" t="s">
        <v>217</v>
      </c>
      <c r="H667" t="s">
        <v>217</v>
      </c>
      <c r="I667" t="s">
        <v>302</v>
      </c>
      <c r="J667" s="25">
        <v>0</v>
      </c>
      <c r="K667" s="26">
        <v>0</v>
      </c>
      <c r="L667" s="26">
        <v>0</v>
      </c>
    </row>
    <row r="668" spans="1:12" ht="16" customHeight="1">
      <c r="A668" t="s">
        <v>374</v>
      </c>
      <c r="B668" t="s">
        <v>4</v>
      </c>
      <c r="C668" t="s">
        <v>36</v>
      </c>
      <c r="D668" s="24">
        <v>46054</v>
      </c>
      <c r="E668" t="s">
        <v>326</v>
      </c>
      <c r="F668" t="s">
        <v>4</v>
      </c>
      <c r="G668" t="s">
        <v>217</v>
      </c>
      <c r="H668" t="s">
        <v>217</v>
      </c>
      <c r="I668" t="s">
        <v>212</v>
      </c>
      <c r="J668" s="25">
        <v>2052558</v>
      </c>
      <c r="K668" s="26">
        <v>370866.84</v>
      </c>
      <c r="L668" s="26">
        <v>2245.75</v>
      </c>
    </row>
    <row r="669" spans="1:12" ht="16" customHeight="1">
      <c r="A669" t="s">
        <v>374</v>
      </c>
      <c r="B669" t="s">
        <v>4</v>
      </c>
      <c r="C669" t="s">
        <v>36</v>
      </c>
      <c r="D669" s="24">
        <v>46054</v>
      </c>
      <c r="E669" t="s">
        <v>357</v>
      </c>
      <c r="F669" t="s">
        <v>3</v>
      </c>
      <c r="G669" t="s">
        <v>358</v>
      </c>
      <c r="H669" t="s">
        <v>358</v>
      </c>
      <c r="I669" t="s">
        <v>219</v>
      </c>
      <c r="J669" s="25">
        <v>45749</v>
      </c>
      <c r="K669" s="26">
        <v>8279.42</v>
      </c>
      <c r="L669" s="26">
        <v>76.5</v>
      </c>
    </row>
    <row r="670" spans="1:12" ht="16" customHeight="1">
      <c r="A670" t="s">
        <v>374</v>
      </c>
      <c r="B670" t="s">
        <v>4</v>
      </c>
      <c r="C670" t="s">
        <v>36</v>
      </c>
      <c r="D670" s="24">
        <v>46054</v>
      </c>
      <c r="E670" t="s">
        <v>387</v>
      </c>
      <c r="F670" t="s">
        <v>4</v>
      </c>
      <c r="G670" t="s">
        <v>217</v>
      </c>
      <c r="H670" t="s">
        <v>217</v>
      </c>
      <c r="I670" t="s">
        <v>221</v>
      </c>
      <c r="J670" s="25">
        <v>2784</v>
      </c>
      <c r="K670" s="26">
        <v>511.11</v>
      </c>
      <c r="L670" s="26">
        <v>6.14</v>
      </c>
    </row>
    <row r="671" spans="1:12" ht="16" customHeight="1">
      <c r="A671" t="s">
        <v>374</v>
      </c>
      <c r="B671" t="s">
        <v>4</v>
      </c>
      <c r="C671" t="s">
        <v>36</v>
      </c>
      <c r="D671" s="24">
        <v>46054</v>
      </c>
      <c r="E671" t="s">
        <v>226</v>
      </c>
      <c r="F671" t="s">
        <v>4</v>
      </c>
      <c r="G671" t="s">
        <v>217</v>
      </c>
      <c r="H671" t="s">
        <v>217</v>
      </c>
      <c r="I671" t="s">
        <v>300</v>
      </c>
      <c r="J671" s="25">
        <v>72</v>
      </c>
      <c r="K671" s="26">
        <v>12.88</v>
      </c>
      <c r="L671" s="26">
        <v>0.16</v>
      </c>
    </row>
    <row r="672" spans="1:12" ht="16" customHeight="1">
      <c r="A672" t="s">
        <v>374</v>
      </c>
      <c r="B672" t="s">
        <v>4</v>
      </c>
      <c r="C672" t="s">
        <v>36</v>
      </c>
      <c r="D672" s="24">
        <v>46054</v>
      </c>
      <c r="E672" t="s">
        <v>269</v>
      </c>
      <c r="F672" t="s">
        <v>4</v>
      </c>
      <c r="G672" t="s">
        <v>217</v>
      </c>
      <c r="H672" t="s">
        <v>217</v>
      </c>
      <c r="I672" t="s">
        <v>301</v>
      </c>
      <c r="J672" s="25">
        <v>0</v>
      </c>
      <c r="K672" s="26">
        <v>0</v>
      </c>
      <c r="L672" s="26">
        <v>0</v>
      </c>
    </row>
    <row r="673" spans="1:12" ht="16" customHeight="1">
      <c r="A673" t="s">
        <v>374</v>
      </c>
      <c r="B673" t="s">
        <v>4</v>
      </c>
      <c r="C673" t="s">
        <v>36</v>
      </c>
      <c r="D673" s="24">
        <v>46054</v>
      </c>
      <c r="E673" t="s">
        <v>228</v>
      </c>
      <c r="F673" t="s">
        <v>4</v>
      </c>
      <c r="G673" t="s">
        <v>217</v>
      </c>
      <c r="H673" t="s">
        <v>217</v>
      </c>
      <c r="I673" t="s">
        <v>302</v>
      </c>
      <c r="J673" s="25">
        <v>0</v>
      </c>
      <c r="K673" s="26">
        <v>0</v>
      </c>
      <c r="L673" s="26">
        <v>0</v>
      </c>
    </row>
    <row r="674" spans="1:12" ht="16" customHeight="1">
      <c r="A674" t="s">
        <v>405</v>
      </c>
      <c r="B674" t="s">
        <v>5</v>
      </c>
      <c r="C674" t="s">
        <v>36</v>
      </c>
      <c r="D674" s="24">
        <v>46054</v>
      </c>
      <c r="E674" t="s">
        <v>326</v>
      </c>
      <c r="F674" t="s">
        <v>4</v>
      </c>
      <c r="G674" t="s">
        <v>217</v>
      </c>
      <c r="H674" t="s">
        <v>217</v>
      </c>
      <c r="I674" t="s">
        <v>212</v>
      </c>
      <c r="J674" s="25">
        <v>2490815</v>
      </c>
      <c r="K674" s="26">
        <v>450543.09</v>
      </c>
      <c r="L674" s="26">
        <v>2548.59</v>
      </c>
    </row>
    <row r="675" spans="1:12" ht="16" customHeight="1">
      <c r="A675" t="s">
        <v>405</v>
      </c>
      <c r="B675" t="s">
        <v>5</v>
      </c>
      <c r="C675" t="s">
        <v>36</v>
      </c>
      <c r="D675" s="24">
        <v>46054</v>
      </c>
      <c r="E675" t="s">
        <v>357</v>
      </c>
      <c r="F675" t="s">
        <v>3</v>
      </c>
      <c r="G675" t="s">
        <v>358</v>
      </c>
      <c r="H675" t="s">
        <v>358</v>
      </c>
      <c r="I675" t="s">
        <v>219</v>
      </c>
      <c r="J675" s="25">
        <v>48893</v>
      </c>
      <c r="K675" s="26">
        <v>8887.92</v>
      </c>
      <c r="L675" s="26">
        <v>79.77</v>
      </c>
    </row>
    <row r="676" spans="1:12" ht="16" customHeight="1">
      <c r="A676" t="s">
        <v>405</v>
      </c>
      <c r="B676" t="s">
        <v>5</v>
      </c>
      <c r="C676" t="s">
        <v>36</v>
      </c>
      <c r="D676" s="24">
        <v>46054</v>
      </c>
      <c r="E676" t="s">
        <v>387</v>
      </c>
      <c r="F676" t="s">
        <v>4</v>
      </c>
      <c r="G676" t="s">
        <v>217</v>
      </c>
      <c r="H676" t="s">
        <v>217</v>
      </c>
      <c r="I676" t="s">
        <v>221</v>
      </c>
      <c r="J676" s="25">
        <v>2539</v>
      </c>
      <c r="K676" s="26">
        <v>461.51</v>
      </c>
      <c r="L676" s="26">
        <v>5.0599999999999996</v>
      </c>
    </row>
    <row r="677" spans="1:12" ht="16" customHeight="1">
      <c r="A677" t="s">
        <v>405</v>
      </c>
      <c r="B677" t="s">
        <v>5</v>
      </c>
      <c r="C677" t="s">
        <v>36</v>
      </c>
      <c r="D677" s="24">
        <v>46054</v>
      </c>
      <c r="E677" t="s">
        <v>226</v>
      </c>
      <c r="F677" t="s">
        <v>4</v>
      </c>
      <c r="G677" t="s">
        <v>217</v>
      </c>
      <c r="H677" t="s">
        <v>217</v>
      </c>
      <c r="I677" t="s">
        <v>300</v>
      </c>
      <c r="J677" s="25">
        <v>109</v>
      </c>
      <c r="K677" s="26">
        <v>19.75</v>
      </c>
      <c r="L677" s="26">
        <v>0.28000000000000003</v>
      </c>
    </row>
    <row r="678" spans="1:12" ht="16" customHeight="1">
      <c r="A678" t="s">
        <v>405</v>
      </c>
      <c r="B678" t="s">
        <v>5</v>
      </c>
      <c r="C678" t="s">
        <v>36</v>
      </c>
      <c r="D678" s="24">
        <v>46054</v>
      </c>
      <c r="E678" t="s">
        <v>269</v>
      </c>
      <c r="F678" t="s">
        <v>4</v>
      </c>
      <c r="G678" t="s">
        <v>217</v>
      </c>
      <c r="H678" t="s">
        <v>217</v>
      </c>
      <c r="I678" t="s">
        <v>301</v>
      </c>
      <c r="J678" s="25">
        <v>0</v>
      </c>
      <c r="K678" s="26">
        <v>0</v>
      </c>
      <c r="L678" s="26">
        <v>0</v>
      </c>
    </row>
    <row r="679" spans="1:12" ht="16" customHeight="1">
      <c r="A679" t="s">
        <v>405</v>
      </c>
      <c r="B679" t="s">
        <v>5</v>
      </c>
      <c r="C679" t="s">
        <v>36</v>
      </c>
      <c r="D679" s="24">
        <v>46054</v>
      </c>
      <c r="E679" t="s">
        <v>228</v>
      </c>
      <c r="F679" t="s">
        <v>4</v>
      </c>
      <c r="G679" t="s">
        <v>217</v>
      </c>
      <c r="H679" t="s">
        <v>217</v>
      </c>
      <c r="I679" t="s">
        <v>302</v>
      </c>
      <c r="J679" s="25">
        <v>0</v>
      </c>
      <c r="K679" s="26">
        <v>0</v>
      </c>
      <c r="L679" s="26">
        <v>0</v>
      </c>
    </row>
    <row r="680" spans="1:12" ht="16" customHeight="1">
      <c r="A680" t="s">
        <v>407</v>
      </c>
      <c r="B680" t="s">
        <v>6</v>
      </c>
      <c r="C680" t="s">
        <v>36</v>
      </c>
      <c r="D680" s="24">
        <v>46054</v>
      </c>
      <c r="E680" t="s">
        <v>326</v>
      </c>
      <c r="F680" t="s">
        <v>4</v>
      </c>
      <c r="G680" t="s">
        <v>217</v>
      </c>
      <c r="H680" t="s">
        <v>217</v>
      </c>
      <c r="I680" t="s">
        <v>212</v>
      </c>
      <c r="J680" s="25">
        <v>2534040</v>
      </c>
      <c r="K680" s="26">
        <v>458663.92</v>
      </c>
      <c r="L680" s="26">
        <v>2547.67</v>
      </c>
    </row>
    <row r="681" spans="1:12" ht="16" customHeight="1">
      <c r="A681" t="s">
        <v>407</v>
      </c>
      <c r="B681" t="s">
        <v>6</v>
      </c>
      <c r="C681" t="s">
        <v>36</v>
      </c>
      <c r="D681" s="24">
        <v>46054</v>
      </c>
      <c r="E681" t="s">
        <v>357</v>
      </c>
      <c r="F681" t="s">
        <v>3</v>
      </c>
      <c r="G681" t="s">
        <v>358</v>
      </c>
      <c r="H681" t="s">
        <v>358</v>
      </c>
      <c r="I681" t="s">
        <v>219</v>
      </c>
      <c r="J681" s="25">
        <v>54955</v>
      </c>
      <c r="K681" s="26">
        <v>9884.7900000000009</v>
      </c>
      <c r="L681" s="26">
        <v>86.43</v>
      </c>
    </row>
    <row r="682" spans="1:12" ht="16" customHeight="1">
      <c r="A682" t="s">
        <v>407</v>
      </c>
      <c r="B682" t="s">
        <v>6</v>
      </c>
      <c r="C682" t="s">
        <v>36</v>
      </c>
      <c r="D682" s="24">
        <v>46054</v>
      </c>
      <c r="E682" t="s">
        <v>387</v>
      </c>
      <c r="F682" t="s">
        <v>4</v>
      </c>
      <c r="G682" t="s">
        <v>217</v>
      </c>
      <c r="H682" t="s">
        <v>217</v>
      </c>
      <c r="I682" t="s">
        <v>221</v>
      </c>
      <c r="J682" s="25">
        <v>3366</v>
      </c>
      <c r="K682" s="26">
        <v>614.88</v>
      </c>
      <c r="L682" s="26">
        <v>7.72</v>
      </c>
    </row>
    <row r="683" spans="1:12" ht="16" customHeight="1">
      <c r="A683" t="s">
        <v>407</v>
      </c>
      <c r="B683" t="s">
        <v>6</v>
      </c>
      <c r="C683" t="s">
        <v>36</v>
      </c>
      <c r="D683" s="24">
        <v>46054</v>
      </c>
      <c r="E683" t="s">
        <v>226</v>
      </c>
      <c r="F683" t="s">
        <v>4</v>
      </c>
      <c r="G683" t="s">
        <v>217</v>
      </c>
      <c r="H683" t="s">
        <v>217</v>
      </c>
      <c r="I683" t="s">
        <v>300</v>
      </c>
      <c r="J683" s="25">
        <v>59</v>
      </c>
      <c r="K683" s="26">
        <v>10.59</v>
      </c>
      <c r="L683" s="26">
        <v>0.13</v>
      </c>
    </row>
    <row r="684" spans="1:12" ht="16" customHeight="1">
      <c r="A684" t="s">
        <v>407</v>
      </c>
      <c r="B684" t="s">
        <v>6</v>
      </c>
      <c r="C684" t="s">
        <v>36</v>
      </c>
      <c r="D684" s="24">
        <v>46054</v>
      </c>
      <c r="E684" t="s">
        <v>269</v>
      </c>
      <c r="F684" t="s">
        <v>4</v>
      </c>
      <c r="G684" t="s">
        <v>217</v>
      </c>
      <c r="H684" t="s">
        <v>217</v>
      </c>
      <c r="I684" t="s">
        <v>301</v>
      </c>
      <c r="J684" s="25">
        <v>0</v>
      </c>
      <c r="K684" s="26">
        <v>0</v>
      </c>
      <c r="L684" s="26">
        <v>0</v>
      </c>
    </row>
    <row r="685" spans="1:12" ht="16" customHeight="1">
      <c r="A685" t="s">
        <v>407</v>
      </c>
      <c r="B685" t="s">
        <v>6</v>
      </c>
      <c r="C685" t="s">
        <v>36</v>
      </c>
      <c r="D685" s="24">
        <v>46054</v>
      </c>
      <c r="E685" t="s">
        <v>228</v>
      </c>
      <c r="F685" t="s">
        <v>4</v>
      </c>
      <c r="G685" t="s">
        <v>217</v>
      </c>
      <c r="H685" t="s">
        <v>217</v>
      </c>
      <c r="I685" t="s">
        <v>302</v>
      </c>
      <c r="J685" s="25">
        <v>0</v>
      </c>
      <c r="K685" s="26">
        <v>0</v>
      </c>
      <c r="L685" s="26">
        <v>0</v>
      </c>
    </row>
    <row r="686" spans="1:12" ht="16" customHeight="1">
      <c r="A686" t="s">
        <v>408</v>
      </c>
      <c r="B686" t="s">
        <v>7</v>
      </c>
      <c r="C686" t="s">
        <v>36</v>
      </c>
      <c r="D686" s="24">
        <v>46054</v>
      </c>
      <c r="E686" t="s">
        <v>326</v>
      </c>
      <c r="F686" t="s">
        <v>4</v>
      </c>
      <c r="G686" t="s">
        <v>217</v>
      </c>
      <c r="H686" t="s">
        <v>217</v>
      </c>
      <c r="I686" t="s">
        <v>212</v>
      </c>
      <c r="J686" s="25">
        <v>3531486</v>
      </c>
      <c r="K686" s="26">
        <v>634951.42000000004</v>
      </c>
      <c r="L686" s="26">
        <v>3447.65</v>
      </c>
    </row>
    <row r="687" spans="1:12" ht="16" customHeight="1">
      <c r="A687" t="s">
        <v>408</v>
      </c>
      <c r="B687" t="s">
        <v>7</v>
      </c>
      <c r="C687" t="s">
        <v>36</v>
      </c>
      <c r="D687" s="24">
        <v>46054</v>
      </c>
      <c r="E687" t="s">
        <v>357</v>
      </c>
      <c r="F687" t="s">
        <v>3</v>
      </c>
      <c r="G687" t="s">
        <v>358</v>
      </c>
      <c r="H687" t="s">
        <v>358</v>
      </c>
      <c r="I687" t="s">
        <v>219</v>
      </c>
      <c r="J687" s="25">
        <v>102674</v>
      </c>
      <c r="K687" s="26">
        <v>18665.46</v>
      </c>
      <c r="L687" s="26">
        <v>176.57</v>
      </c>
    </row>
    <row r="688" spans="1:12" ht="16" customHeight="1">
      <c r="A688" t="s">
        <v>408</v>
      </c>
      <c r="B688" t="s">
        <v>7</v>
      </c>
      <c r="C688" t="s">
        <v>36</v>
      </c>
      <c r="D688" s="24">
        <v>46054</v>
      </c>
      <c r="E688" t="s">
        <v>387</v>
      </c>
      <c r="F688" t="s">
        <v>4</v>
      </c>
      <c r="G688" t="s">
        <v>217</v>
      </c>
      <c r="H688" t="s">
        <v>217</v>
      </c>
      <c r="I688" t="s">
        <v>221</v>
      </c>
      <c r="J688" s="25">
        <v>5415</v>
      </c>
      <c r="K688" s="26">
        <v>979.94</v>
      </c>
      <c r="L688" s="26">
        <v>9.75</v>
      </c>
    </row>
    <row r="689" spans="1:12" ht="16" customHeight="1">
      <c r="A689" t="s">
        <v>408</v>
      </c>
      <c r="B689" t="s">
        <v>7</v>
      </c>
      <c r="C689" t="s">
        <v>36</v>
      </c>
      <c r="D689" s="24">
        <v>46054</v>
      </c>
      <c r="E689" t="s">
        <v>226</v>
      </c>
      <c r="F689" t="s">
        <v>4</v>
      </c>
      <c r="G689" t="s">
        <v>217</v>
      </c>
      <c r="H689" t="s">
        <v>217</v>
      </c>
      <c r="I689" t="s">
        <v>300</v>
      </c>
      <c r="J689" s="25">
        <v>123</v>
      </c>
      <c r="K689" s="26">
        <v>22.28</v>
      </c>
      <c r="L689" s="26">
        <v>0.34</v>
      </c>
    </row>
    <row r="690" spans="1:12" ht="16" customHeight="1">
      <c r="A690" t="s">
        <v>408</v>
      </c>
      <c r="B690" t="s">
        <v>7</v>
      </c>
      <c r="C690" t="s">
        <v>36</v>
      </c>
      <c r="D690" s="24">
        <v>46054</v>
      </c>
      <c r="E690" t="s">
        <v>269</v>
      </c>
      <c r="F690" t="s">
        <v>4</v>
      </c>
      <c r="G690" t="s">
        <v>217</v>
      </c>
      <c r="H690" t="s">
        <v>217</v>
      </c>
      <c r="I690" t="s">
        <v>301</v>
      </c>
      <c r="J690" s="25">
        <v>0</v>
      </c>
      <c r="K690" s="26">
        <v>0</v>
      </c>
      <c r="L690" s="26">
        <v>0</v>
      </c>
    </row>
    <row r="691" spans="1:12" ht="16" customHeight="1">
      <c r="A691" t="s">
        <v>408</v>
      </c>
      <c r="B691" t="s">
        <v>7</v>
      </c>
      <c r="C691" t="s">
        <v>36</v>
      </c>
      <c r="D691" s="24">
        <v>46054</v>
      </c>
      <c r="E691" t="s">
        <v>228</v>
      </c>
      <c r="F691" t="s">
        <v>4</v>
      </c>
      <c r="G691" t="s">
        <v>217</v>
      </c>
      <c r="H691" t="s">
        <v>217</v>
      </c>
      <c r="I691" t="s">
        <v>302</v>
      </c>
      <c r="J691" s="25">
        <v>0</v>
      </c>
      <c r="K691" s="26">
        <v>0</v>
      </c>
      <c r="L691" s="26">
        <v>0</v>
      </c>
    </row>
    <row r="692" spans="1:12" ht="16" customHeight="1">
      <c r="A692" t="s">
        <v>409</v>
      </c>
      <c r="B692" t="s">
        <v>3</v>
      </c>
      <c r="C692" t="s">
        <v>37</v>
      </c>
      <c r="D692" s="24">
        <v>46054</v>
      </c>
      <c r="E692" t="s">
        <v>326</v>
      </c>
      <c r="F692" t="s">
        <v>4</v>
      </c>
      <c r="G692" t="s">
        <v>217</v>
      </c>
      <c r="H692" t="s">
        <v>217</v>
      </c>
      <c r="I692" t="s">
        <v>212</v>
      </c>
      <c r="J692" s="25">
        <v>4350327</v>
      </c>
      <c r="K692" s="26">
        <v>786480.48</v>
      </c>
      <c r="L692" s="26">
        <v>4117.72</v>
      </c>
    </row>
    <row r="693" spans="1:12" ht="16" customHeight="1">
      <c r="A693" t="s">
        <v>409</v>
      </c>
      <c r="B693" t="s">
        <v>3</v>
      </c>
      <c r="C693" t="s">
        <v>37</v>
      </c>
      <c r="D693" s="24">
        <v>46054</v>
      </c>
      <c r="E693" t="s">
        <v>357</v>
      </c>
      <c r="F693" t="s">
        <v>3</v>
      </c>
      <c r="G693" t="s">
        <v>358</v>
      </c>
      <c r="H693" t="s">
        <v>358</v>
      </c>
      <c r="I693" t="s">
        <v>219</v>
      </c>
      <c r="J693" s="25">
        <v>132760</v>
      </c>
      <c r="K693" s="26">
        <v>24179.46</v>
      </c>
      <c r="L693" s="26">
        <v>246.52</v>
      </c>
    </row>
    <row r="694" spans="1:12" ht="16" customHeight="1">
      <c r="A694" t="s">
        <v>409</v>
      </c>
      <c r="B694" t="s">
        <v>3</v>
      </c>
      <c r="C694" t="s">
        <v>37</v>
      </c>
      <c r="D694" s="24">
        <v>46054</v>
      </c>
      <c r="E694" t="s">
        <v>387</v>
      </c>
      <c r="F694" t="s">
        <v>4</v>
      </c>
      <c r="G694" t="s">
        <v>217</v>
      </c>
      <c r="H694" t="s">
        <v>217</v>
      </c>
      <c r="I694" t="s">
        <v>221</v>
      </c>
      <c r="J694" s="25">
        <v>7394</v>
      </c>
      <c r="K694" s="26">
        <v>1358.87</v>
      </c>
      <c r="L694" s="26">
        <v>18.2</v>
      </c>
    </row>
    <row r="695" spans="1:12" ht="16" customHeight="1">
      <c r="A695" t="s">
        <v>409</v>
      </c>
      <c r="B695" t="s">
        <v>3</v>
      </c>
      <c r="C695" t="s">
        <v>37</v>
      </c>
      <c r="D695" s="24">
        <v>46054</v>
      </c>
      <c r="E695" t="s">
        <v>226</v>
      </c>
      <c r="F695" t="s">
        <v>4</v>
      </c>
      <c r="G695" t="s">
        <v>217</v>
      </c>
      <c r="H695" t="s">
        <v>217</v>
      </c>
      <c r="I695" t="s">
        <v>300</v>
      </c>
      <c r="J695" s="25">
        <v>176</v>
      </c>
      <c r="K695" s="26">
        <v>32.1</v>
      </c>
      <c r="L695" s="26">
        <v>0.55000000000000004</v>
      </c>
    </row>
    <row r="696" spans="1:12" ht="16" customHeight="1">
      <c r="A696" t="s">
        <v>409</v>
      </c>
      <c r="B696" t="s">
        <v>3</v>
      </c>
      <c r="C696" t="s">
        <v>37</v>
      </c>
      <c r="D696" s="24">
        <v>46054</v>
      </c>
      <c r="E696" t="s">
        <v>269</v>
      </c>
      <c r="F696" t="s">
        <v>4</v>
      </c>
      <c r="G696" t="s">
        <v>217</v>
      </c>
      <c r="H696" t="s">
        <v>217</v>
      </c>
      <c r="I696" t="s">
        <v>301</v>
      </c>
      <c r="J696" s="25">
        <v>0</v>
      </c>
      <c r="K696" s="26">
        <v>0</v>
      </c>
      <c r="L696" s="26">
        <v>0</v>
      </c>
    </row>
    <row r="697" spans="1:12" ht="16" customHeight="1">
      <c r="A697" t="s">
        <v>409</v>
      </c>
      <c r="B697" t="s">
        <v>3</v>
      </c>
      <c r="C697" t="s">
        <v>37</v>
      </c>
      <c r="D697" s="24">
        <v>46054</v>
      </c>
      <c r="E697" t="s">
        <v>228</v>
      </c>
      <c r="F697" t="s">
        <v>4</v>
      </c>
      <c r="G697" t="s">
        <v>217</v>
      </c>
      <c r="H697" t="s">
        <v>217</v>
      </c>
      <c r="I697" t="s">
        <v>302</v>
      </c>
      <c r="J697" s="25">
        <v>0</v>
      </c>
      <c r="K697" s="26">
        <v>0</v>
      </c>
      <c r="L697" s="26">
        <v>0</v>
      </c>
    </row>
    <row r="698" spans="1:12" ht="16" customHeight="1">
      <c r="A698" t="s">
        <v>379</v>
      </c>
      <c r="B698" t="s">
        <v>4</v>
      </c>
      <c r="C698" t="s">
        <v>37</v>
      </c>
      <c r="D698" s="24">
        <v>46054</v>
      </c>
      <c r="E698" t="s">
        <v>326</v>
      </c>
      <c r="F698" t="s">
        <v>4</v>
      </c>
      <c r="G698" t="s">
        <v>217</v>
      </c>
      <c r="H698" t="s">
        <v>217</v>
      </c>
      <c r="I698" t="s">
        <v>212</v>
      </c>
      <c r="J698" s="25">
        <v>4695879</v>
      </c>
      <c r="K698" s="26">
        <v>849944.81</v>
      </c>
      <c r="L698" s="26">
        <v>3916.83</v>
      </c>
    </row>
    <row r="699" spans="1:12" ht="16" customHeight="1">
      <c r="A699" t="s">
        <v>379</v>
      </c>
      <c r="B699" t="s">
        <v>4</v>
      </c>
      <c r="C699" t="s">
        <v>37</v>
      </c>
      <c r="D699" s="24">
        <v>46054</v>
      </c>
      <c r="E699" t="s">
        <v>357</v>
      </c>
      <c r="F699" t="s">
        <v>3</v>
      </c>
      <c r="G699" t="s">
        <v>358</v>
      </c>
      <c r="H699" t="s">
        <v>358</v>
      </c>
      <c r="I699" t="s">
        <v>219</v>
      </c>
      <c r="J699" s="25">
        <v>181804</v>
      </c>
      <c r="K699" s="26">
        <v>33370.69</v>
      </c>
      <c r="L699" s="26">
        <v>365.91</v>
      </c>
    </row>
    <row r="700" spans="1:12" ht="16" customHeight="1">
      <c r="A700" t="s">
        <v>379</v>
      </c>
      <c r="B700" t="s">
        <v>4</v>
      </c>
      <c r="C700" t="s">
        <v>37</v>
      </c>
      <c r="D700" s="24">
        <v>46054</v>
      </c>
      <c r="E700" t="s">
        <v>387</v>
      </c>
      <c r="F700" t="s">
        <v>4</v>
      </c>
      <c r="G700" t="s">
        <v>217</v>
      </c>
      <c r="H700" t="s">
        <v>217</v>
      </c>
      <c r="I700" t="s">
        <v>221</v>
      </c>
      <c r="J700" s="25">
        <v>7836</v>
      </c>
      <c r="K700" s="26">
        <v>1443.56</v>
      </c>
      <c r="L700" s="26">
        <v>18.989999999999998</v>
      </c>
    </row>
    <row r="701" spans="1:12" ht="16" customHeight="1">
      <c r="A701" t="s">
        <v>379</v>
      </c>
      <c r="B701" t="s">
        <v>4</v>
      </c>
      <c r="C701" t="s">
        <v>37</v>
      </c>
      <c r="D701" s="24">
        <v>46054</v>
      </c>
      <c r="E701" t="s">
        <v>226</v>
      </c>
      <c r="F701" t="s">
        <v>4</v>
      </c>
      <c r="G701" t="s">
        <v>217</v>
      </c>
      <c r="H701" t="s">
        <v>217</v>
      </c>
      <c r="I701" t="s">
        <v>300</v>
      </c>
      <c r="J701" s="25">
        <v>205</v>
      </c>
      <c r="K701" s="26">
        <v>37.119999999999997</v>
      </c>
      <c r="L701" s="26">
        <v>0.55000000000000004</v>
      </c>
    </row>
    <row r="702" spans="1:12" ht="16" customHeight="1">
      <c r="A702" t="s">
        <v>379</v>
      </c>
      <c r="B702" t="s">
        <v>4</v>
      </c>
      <c r="C702" t="s">
        <v>37</v>
      </c>
      <c r="D702" s="24">
        <v>46054</v>
      </c>
      <c r="E702" t="s">
        <v>269</v>
      </c>
      <c r="F702" t="s">
        <v>4</v>
      </c>
      <c r="G702" t="s">
        <v>217</v>
      </c>
      <c r="H702" t="s">
        <v>217</v>
      </c>
      <c r="I702" t="s">
        <v>301</v>
      </c>
      <c r="J702" s="25">
        <v>0</v>
      </c>
      <c r="K702" s="26">
        <v>0</v>
      </c>
      <c r="L702" s="26">
        <v>0</v>
      </c>
    </row>
    <row r="703" spans="1:12" ht="16" customHeight="1">
      <c r="A703" t="s">
        <v>379</v>
      </c>
      <c r="B703" t="s">
        <v>4</v>
      </c>
      <c r="C703" t="s">
        <v>37</v>
      </c>
      <c r="D703" s="24">
        <v>46054</v>
      </c>
      <c r="E703" t="s">
        <v>228</v>
      </c>
      <c r="F703" t="s">
        <v>4</v>
      </c>
      <c r="G703" t="s">
        <v>217</v>
      </c>
      <c r="H703" t="s">
        <v>217</v>
      </c>
      <c r="I703" t="s">
        <v>302</v>
      </c>
      <c r="J703" s="25">
        <v>0</v>
      </c>
      <c r="K703" s="26">
        <v>0</v>
      </c>
      <c r="L703" s="26">
        <v>0</v>
      </c>
    </row>
    <row r="704" spans="1:12" ht="16" customHeight="1">
      <c r="A704" t="s">
        <v>410</v>
      </c>
      <c r="B704" t="s">
        <v>5</v>
      </c>
      <c r="C704" t="s">
        <v>37</v>
      </c>
      <c r="D704" s="24">
        <v>46054</v>
      </c>
      <c r="E704" t="s">
        <v>326</v>
      </c>
      <c r="F704" t="s">
        <v>4</v>
      </c>
      <c r="G704" t="s">
        <v>217</v>
      </c>
      <c r="H704" t="s">
        <v>217</v>
      </c>
      <c r="I704" t="s">
        <v>212</v>
      </c>
      <c r="J704" s="25">
        <v>6187632</v>
      </c>
      <c r="K704" s="26">
        <v>1120122.94</v>
      </c>
      <c r="L704" s="26">
        <v>4238.43</v>
      </c>
    </row>
    <row r="705" spans="1:12" ht="16" customHeight="1">
      <c r="A705" t="s">
        <v>410</v>
      </c>
      <c r="B705" t="s">
        <v>5</v>
      </c>
      <c r="C705" t="s">
        <v>37</v>
      </c>
      <c r="D705" s="24">
        <v>46054</v>
      </c>
      <c r="E705" t="s">
        <v>357</v>
      </c>
      <c r="F705" t="s">
        <v>3</v>
      </c>
      <c r="G705" t="s">
        <v>358</v>
      </c>
      <c r="H705" t="s">
        <v>358</v>
      </c>
      <c r="I705" t="s">
        <v>219</v>
      </c>
      <c r="J705" s="25">
        <v>238935</v>
      </c>
      <c r="K705" s="26">
        <v>43801.08</v>
      </c>
      <c r="L705" s="26">
        <v>416.57</v>
      </c>
    </row>
    <row r="706" spans="1:12" ht="16" customHeight="1">
      <c r="A706" t="s">
        <v>410</v>
      </c>
      <c r="B706" t="s">
        <v>5</v>
      </c>
      <c r="C706" t="s">
        <v>37</v>
      </c>
      <c r="D706" s="24">
        <v>46054</v>
      </c>
      <c r="E706" t="s">
        <v>387</v>
      </c>
      <c r="F706" t="s">
        <v>4</v>
      </c>
      <c r="G706" t="s">
        <v>217</v>
      </c>
      <c r="H706" t="s">
        <v>217</v>
      </c>
      <c r="I706" t="s">
        <v>221</v>
      </c>
      <c r="J706" s="25">
        <v>9490</v>
      </c>
      <c r="K706" s="26">
        <v>1751.73</v>
      </c>
      <c r="L706" s="26">
        <v>25.04</v>
      </c>
    </row>
    <row r="707" spans="1:12" ht="16" customHeight="1">
      <c r="A707" t="s">
        <v>410</v>
      </c>
      <c r="B707" t="s">
        <v>5</v>
      </c>
      <c r="C707" t="s">
        <v>37</v>
      </c>
      <c r="D707" s="24">
        <v>46054</v>
      </c>
      <c r="E707" t="s">
        <v>226</v>
      </c>
      <c r="F707" t="s">
        <v>4</v>
      </c>
      <c r="G707" t="s">
        <v>217</v>
      </c>
      <c r="H707" t="s">
        <v>217</v>
      </c>
      <c r="I707" t="s">
        <v>300</v>
      </c>
      <c r="J707" s="25">
        <v>204</v>
      </c>
      <c r="K707" s="26">
        <v>37.19</v>
      </c>
      <c r="L707" s="26">
        <v>0.74</v>
      </c>
    </row>
    <row r="708" spans="1:12" ht="16" customHeight="1">
      <c r="A708" t="s">
        <v>410</v>
      </c>
      <c r="B708" t="s">
        <v>5</v>
      </c>
      <c r="C708" t="s">
        <v>37</v>
      </c>
      <c r="D708" s="24">
        <v>46054</v>
      </c>
      <c r="E708" t="s">
        <v>269</v>
      </c>
      <c r="F708" t="s">
        <v>4</v>
      </c>
      <c r="G708" t="s">
        <v>217</v>
      </c>
      <c r="H708" t="s">
        <v>217</v>
      </c>
      <c r="I708" t="s">
        <v>301</v>
      </c>
      <c r="J708" s="25">
        <v>0</v>
      </c>
      <c r="K708" s="26">
        <v>0</v>
      </c>
      <c r="L708" s="26">
        <v>0</v>
      </c>
    </row>
    <row r="709" spans="1:12" ht="16" customHeight="1">
      <c r="A709" t="s">
        <v>410</v>
      </c>
      <c r="B709" t="s">
        <v>5</v>
      </c>
      <c r="C709" t="s">
        <v>37</v>
      </c>
      <c r="D709" s="24">
        <v>46054</v>
      </c>
      <c r="E709" t="s">
        <v>228</v>
      </c>
      <c r="F709" t="s">
        <v>4</v>
      </c>
      <c r="G709" t="s">
        <v>217</v>
      </c>
      <c r="H709" t="s">
        <v>217</v>
      </c>
      <c r="I709" t="s">
        <v>302</v>
      </c>
      <c r="J709" s="25">
        <v>0</v>
      </c>
      <c r="K709" s="26">
        <v>0</v>
      </c>
      <c r="L709" s="26">
        <v>0</v>
      </c>
    </row>
    <row r="710" spans="1:12" ht="16" customHeight="1">
      <c r="A710" t="s">
        <v>412</v>
      </c>
      <c r="B710" t="s">
        <v>6</v>
      </c>
      <c r="C710" t="s">
        <v>37</v>
      </c>
      <c r="D710" s="24">
        <v>46054</v>
      </c>
      <c r="E710" t="s">
        <v>326</v>
      </c>
      <c r="F710" t="s">
        <v>4</v>
      </c>
      <c r="G710" t="s">
        <v>217</v>
      </c>
      <c r="H710" t="s">
        <v>217</v>
      </c>
      <c r="I710" t="s">
        <v>212</v>
      </c>
      <c r="J710" s="25">
        <v>7927108</v>
      </c>
      <c r="K710" s="26">
        <v>1429535.63</v>
      </c>
      <c r="L710" s="26">
        <v>4991.96</v>
      </c>
    </row>
    <row r="711" spans="1:12" ht="16" customHeight="1">
      <c r="A711" t="s">
        <v>412</v>
      </c>
      <c r="B711" t="s">
        <v>6</v>
      </c>
      <c r="C711" t="s">
        <v>37</v>
      </c>
      <c r="D711" s="24">
        <v>46054</v>
      </c>
      <c r="E711" t="s">
        <v>357</v>
      </c>
      <c r="F711" t="s">
        <v>3</v>
      </c>
      <c r="G711" t="s">
        <v>358</v>
      </c>
      <c r="H711" t="s">
        <v>358</v>
      </c>
      <c r="I711" t="s">
        <v>219</v>
      </c>
      <c r="J711" s="25">
        <v>378952</v>
      </c>
      <c r="K711" s="26">
        <v>69736.63</v>
      </c>
      <c r="L711" s="26">
        <v>740.26</v>
      </c>
    </row>
    <row r="712" spans="1:12" ht="16" customHeight="1">
      <c r="A712" t="s">
        <v>412</v>
      </c>
      <c r="B712" t="s">
        <v>6</v>
      </c>
      <c r="C712" t="s">
        <v>37</v>
      </c>
      <c r="D712" s="24">
        <v>46054</v>
      </c>
      <c r="E712" t="s">
        <v>387</v>
      </c>
      <c r="F712" t="s">
        <v>4</v>
      </c>
      <c r="G712" t="s">
        <v>217</v>
      </c>
      <c r="H712" t="s">
        <v>217</v>
      </c>
      <c r="I712" t="s">
        <v>221</v>
      </c>
      <c r="J712" s="25">
        <v>14971</v>
      </c>
      <c r="K712" s="26">
        <v>2757.02</v>
      </c>
      <c r="L712" s="26">
        <v>38.18</v>
      </c>
    </row>
    <row r="713" spans="1:12" ht="16" customHeight="1">
      <c r="A713" t="s">
        <v>412</v>
      </c>
      <c r="B713" t="s">
        <v>6</v>
      </c>
      <c r="C713" t="s">
        <v>37</v>
      </c>
      <c r="D713" s="24">
        <v>46054</v>
      </c>
      <c r="E713" t="s">
        <v>226</v>
      </c>
      <c r="F713" t="s">
        <v>4</v>
      </c>
      <c r="G713" t="s">
        <v>217</v>
      </c>
      <c r="H713" t="s">
        <v>217</v>
      </c>
      <c r="I713" t="s">
        <v>300</v>
      </c>
      <c r="J713" s="25">
        <v>352</v>
      </c>
      <c r="K713" s="26">
        <v>64.39</v>
      </c>
      <c r="L713" s="26">
        <v>1.26</v>
      </c>
    </row>
    <row r="714" spans="1:12" ht="16" customHeight="1">
      <c r="A714" t="s">
        <v>412</v>
      </c>
      <c r="B714" t="s">
        <v>6</v>
      </c>
      <c r="C714" t="s">
        <v>37</v>
      </c>
      <c r="D714" s="24">
        <v>46054</v>
      </c>
      <c r="E714" t="s">
        <v>269</v>
      </c>
      <c r="F714" t="s">
        <v>4</v>
      </c>
      <c r="G714" t="s">
        <v>217</v>
      </c>
      <c r="H714" t="s">
        <v>217</v>
      </c>
      <c r="I714" t="s">
        <v>301</v>
      </c>
      <c r="J714" s="25">
        <v>0</v>
      </c>
      <c r="K714" s="26">
        <v>0</v>
      </c>
      <c r="L714" s="26">
        <v>0</v>
      </c>
    </row>
    <row r="715" spans="1:12" ht="16" customHeight="1">
      <c r="A715" t="s">
        <v>412</v>
      </c>
      <c r="B715" t="s">
        <v>6</v>
      </c>
      <c r="C715" t="s">
        <v>37</v>
      </c>
      <c r="D715" s="24">
        <v>46054</v>
      </c>
      <c r="E715" t="s">
        <v>228</v>
      </c>
      <c r="F715" t="s">
        <v>4</v>
      </c>
      <c r="G715" t="s">
        <v>217</v>
      </c>
      <c r="H715" t="s">
        <v>217</v>
      </c>
      <c r="I715" t="s">
        <v>302</v>
      </c>
      <c r="J715" s="25">
        <v>0</v>
      </c>
      <c r="K715" s="26">
        <v>0</v>
      </c>
      <c r="L715" s="26">
        <v>0</v>
      </c>
    </row>
    <row r="716" spans="1:12" ht="16" customHeight="1">
      <c r="A716" t="s">
        <v>413</v>
      </c>
      <c r="B716" t="s">
        <v>7</v>
      </c>
      <c r="C716" t="s">
        <v>37</v>
      </c>
      <c r="D716" s="24">
        <v>46054</v>
      </c>
      <c r="E716" t="s">
        <v>326</v>
      </c>
      <c r="F716" t="s">
        <v>4</v>
      </c>
      <c r="G716" t="s">
        <v>217</v>
      </c>
      <c r="H716" t="s">
        <v>217</v>
      </c>
      <c r="I716" t="s">
        <v>212</v>
      </c>
      <c r="J716" s="25">
        <v>12680554</v>
      </c>
      <c r="K716" s="26">
        <v>2302730.91</v>
      </c>
      <c r="L716" s="26">
        <v>8559.2900000000009</v>
      </c>
    </row>
    <row r="717" spans="1:12" ht="16" customHeight="1">
      <c r="A717" t="s">
        <v>413</v>
      </c>
      <c r="B717" t="s">
        <v>7</v>
      </c>
      <c r="C717" t="s">
        <v>37</v>
      </c>
      <c r="D717" s="24">
        <v>46054</v>
      </c>
      <c r="E717" t="s">
        <v>357</v>
      </c>
      <c r="F717" t="s">
        <v>3</v>
      </c>
      <c r="G717" t="s">
        <v>358</v>
      </c>
      <c r="H717" t="s">
        <v>358</v>
      </c>
      <c r="I717" t="s">
        <v>219</v>
      </c>
      <c r="J717" s="25">
        <v>408308</v>
      </c>
      <c r="K717" s="26">
        <v>75078.95</v>
      </c>
      <c r="L717" s="26">
        <v>826.64</v>
      </c>
    </row>
    <row r="718" spans="1:12" ht="16" customHeight="1">
      <c r="A718" t="s">
        <v>413</v>
      </c>
      <c r="B718" t="s">
        <v>7</v>
      </c>
      <c r="C718" t="s">
        <v>37</v>
      </c>
      <c r="D718" s="24">
        <v>46054</v>
      </c>
      <c r="E718" t="s">
        <v>387</v>
      </c>
      <c r="F718" t="s">
        <v>4</v>
      </c>
      <c r="G718" t="s">
        <v>217</v>
      </c>
      <c r="H718" t="s">
        <v>217</v>
      </c>
      <c r="I718" t="s">
        <v>221</v>
      </c>
      <c r="J718" s="25">
        <v>11033</v>
      </c>
      <c r="K718" s="26">
        <v>2027.04</v>
      </c>
      <c r="L718" s="26">
        <v>27.97</v>
      </c>
    </row>
    <row r="719" spans="1:12" ht="16" customHeight="1">
      <c r="A719" t="s">
        <v>413</v>
      </c>
      <c r="B719" t="s">
        <v>7</v>
      </c>
      <c r="C719" t="s">
        <v>37</v>
      </c>
      <c r="D719" s="24">
        <v>46054</v>
      </c>
      <c r="E719" t="s">
        <v>226</v>
      </c>
      <c r="F719" t="s">
        <v>4</v>
      </c>
      <c r="G719" t="s">
        <v>217</v>
      </c>
      <c r="H719" t="s">
        <v>217</v>
      </c>
      <c r="I719" t="s">
        <v>300</v>
      </c>
      <c r="J719" s="25">
        <v>306</v>
      </c>
      <c r="K719" s="26">
        <v>56.09</v>
      </c>
      <c r="L719" s="26">
        <v>1.1299999999999999</v>
      </c>
    </row>
    <row r="720" spans="1:12" ht="16" customHeight="1">
      <c r="A720" t="s">
        <v>413</v>
      </c>
      <c r="B720" t="s">
        <v>7</v>
      </c>
      <c r="C720" t="s">
        <v>37</v>
      </c>
      <c r="D720" s="24">
        <v>46054</v>
      </c>
      <c r="E720" t="s">
        <v>269</v>
      </c>
      <c r="F720" t="s">
        <v>4</v>
      </c>
      <c r="G720" t="s">
        <v>217</v>
      </c>
      <c r="H720" t="s">
        <v>217</v>
      </c>
      <c r="I720" t="s">
        <v>301</v>
      </c>
      <c r="J720" s="25">
        <v>0</v>
      </c>
      <c r="K720" s="26">
        <v>0</v>
      </c>
      <c r="L720" s="26">
        <v>0</v>
      </c>
    </row>
    <row r="721" spans="1:12" ht="16" customHeight="1">
      <c r="A721" t="s">
        <v>413</v>
      </c>
      <c r="B721" t="s">
        <v>7</v>
      </c>
      <c r="C721" t="s">
        <v>37</v>
      </c>
      <c r="D721" s="24">
        <v>46054</v>
      </c>
      <c r="E721" t="s">
        <v>228</v>
      </c>
      <c r="F721" t="s">
        <v>4</v>
      </c>
      <c r="G721" t="s">
        <v>217</v>
      </c>
      <c r="H721" t="s">
        <v>217</v>
      </c>
      <c r="I721" t="s">
        <v>302</v>
      </c>
      <c r="J721" s="25">
        <v>0</v>
      </c>
      <c r="K721" s="26">
        <v>0</v>
      </c>
      <c r="L721" s="26">
        <v>0</v>
      </c>
    </row>
    <row r="722" spans="1:12" ht="16" customHeight="1">
      <c r="A722" t="s">
        <v>414</v>
      </c>
      <c r="B722" t="s">
        <v>3</v>
      </c>
      <c r="C722" t="s">
        <v>38</v>
      </c>
      <c r="D722" s="24">
        <v>46054</v>
      </c>
      <c r="E722" t="s">
        <v>326</v>
      </c>
      <c r="F722" t="s">
        <v>4</v>
      </c>
      <c r="G722" t="s">
        <v>217</v>
      </c>
      <c r="H722" t="s">
        <v>217</v>
      </c>
      <c r="I722" t="s">
        <v>212</v>
      </c>
      <c r="J722" s="25">
        <v>18965791</v>
      </c>
      <c r="K722" s="26">
        <v>3437054.32</v>
      </c>
      <c r="L722" s="26">
        <v>9669.15</v>
      </c>
    </row>
    <row r="723" spans="1:12" ht="16" customHeight="1">
      <c r="A723" t="s">
        <v>414</v>
      </c>
      <c r="B723" t="s">
        <v>3</v>
      </c>
      <c r="C723" t="s">
        <v>38</v>
      </c>
      <c r="D723" s="24">
        <v>46054</v>
      </c>
      <c r="E723" t="s">
        <v>357</v>
      </c>
      <c r="F723" t="s">
        <v>3</v>
      </c>
      <c r="G723" t="s">
        <v>358</v>
      </c>
      <c r="H723" t="s">
        <v>358</v>
      </c>
      <c r="I723" t="s">
        <v>219</v>
      </c>
      <c r="J723" s="25">
        <v>423329</v>
      </c>
      <c r="K723" s="26">
        <v>78038.240000000005</v>
      </c>
      <c r="L723" s="26">
        <v>964.54</v>
      </c>
    </row>
    <row r="724" spans="1:12" ht="16" customHeight="1">
      <c r="A724" t="s">
        <v>414</v>
      </c>
      <c r="B724" t="s">
        <v>3</v>
      </c>
      <c r="C724" t="s">
        <v>38</v>
      </c>
      <c r="D724" s="24">
        <v>46054</v>
      </c>
      <c r="E724" t="s">
        <v>387</v>
      </c>
      <c r="F724" t="s">
        <v>4</v>
      </c>
      <c r="G724" t="s">
        <v>217</v>
      </c>
      <c r="H724" t="s">
        <v>217</v>
      </c>
      <c r="I724" t="s">
        <v>221</v>
      </c>
      <c r="J724" s="25">
        <v>10642</v>
      </c>
      <c r="K724" s="26">
        <v>1963.11</v>
      </c>
      <c r="L724" s="26">
        <v>27.18</v>
      </c>
    </row>
    <row r="725" spans="1:12" ht="16" customHeight="1">
      <c r="A725" t="s">
        <v>414</v>
      </c>
      <c r="B725" t="s">
        <v>3</v>
      </c>
      <c r="C725" t="s">
        <v>38</v>
      </c>
      <c r="D725" s="24">
        <v>46054</v>
      </c>
      <c r="E725" t="s">
        <v>226</v>
      </c>
      <c r="F725" t="s">
        <v>4</v>
      </c>
      <c r="G725" t="s">
        <v>217</v>
      </c>
      <c r="H725" t="s">
        <v>217</v>
      </c>
      <c r="I725" t="s">
        <v>300</v>
      </c>
      <c r="J725" s="25">
        <v>150</v>
      </c>
      <c r="K725" s="26">
        <v>27.47</v>
      </c>
      <c r="L725" s="26">
        <v>0.6</v>
      </c>
    </row>
    <row r="726" spans="1:12" ht="16" customHeight="1">
      <c r="A726" t="s">
        <v>414</v>
      </c>
      <c r="B726" t="s">
        <v>3</v>
      </c>
      <c r="C726" t="s">
        <v>38</v>
      </c>
      <c r="D726" s="24">
        <v>46054</v>
      </c>
      <c r="E726" t="s">
        <v>269</v>
      </c>
      <c r="F726" t="s">
        <v>4</v>
      </c>
      <c r="G726" t="s">
        <v>217</v>
      </c>
      <c r="H726" t="s">
        <v>217</v>
      </c>
      <c r="I726" t="s">
        <v>301</v>
      </c>
      <c r="J726" s="25">
        <v>0</v>
      </c>
      <c r="K726" s="26">
        <v>0</v>
      </c>
      <c r="L726" s="26">
        <v>0</v>
      </c>
    </row>
    <row r="727" spans="1:12" ht="16" customHeight="1">
      <c r="A727" t="s">
        <v>414</v>
      </c>
      <c r="B727" t="s">
        <v>3</v>
      </c>
      <c r="C727" t="s">
        <v>38</v>
      </c>
      <c r="D727" s="24">
        <v>46054</v>
      </c>
      <c r="E727" t="s">
        <v>228</v>
      </c>
      <c r="F727" t="s">
        <v>4</v>
      </c>
      <c r="G727" t="s">
        <v>217</v>
      </c>
      <c r="H727" t="s">
        <v>217</v>
      </c>
      <c r="I727" t="s">
        <v>302</v>
      </c>
      <c r="J727" s="25">
        <v>0</v>
      </c>
      <c r="K727" s="26">
        <v>0</v>
      </c>
      <c r="L727" s="26">
        <v>0</v>
      </c>
    </row>
    <row r="728" spans="1:12" ht="16" customHeight="1">
      <c r="A728" t="s">
        <v>326</v>
      </c>
      <c r="B728" t="s">
        <v>4</v>
      </c>
      <c r="C728" t="s">
        <v>38</v>
      </c>
      <c r="D728" s="24">
        <v>46054</v>
      </c>
      <c r="E728" t="s">
        <v>326</v>
      </c>
      <c r="F728" t="s">
        <v>4</v>
      </c>
      <c r="G728" t="s">
        <v>217</v>
      </c>
      <c r="H728" t="s">
        <v>217</v>
      </c>
      <c r="I728" t="s">
        <v>212</v>
      </c>
      <c r="J728" s="25">
        <v>90988108</v>
      </c>
      <c r="K728" s="26">
        <v>16440671.640000001</v>
      </c>
      <c r="L728" s="26">
        <v>16981.91</v>
      </c>
    </row>
    <row r="729" spans="1:12" ht="16" customHeight="1">
      <c r="A729" t="s">
        <v>326</v>
      </c>
      <c r="B729" t="s">
        <v>4</v>
      </c>
      <c r="C729" t="s">
        <v>38</v>
      </c>
      <c r="D729" s="24">
        <v>46054</v>
      </c>
      <c r="E729" t="s">
        <v>357</v>
      </c>
      <c r="F729" t="s">
        <v>3</v>
      </c>
      <c r="G729" t="s">
        <v>358</v>
      </c>
      <c r="H729" t="s">
        <v>358</v>
      </c>
      <c r="I729" t="s">
        <v>219</v>
      </c>
      <c r="J729" s="25">
        <v>895039</v>
      </c>
      <c r="K729" s="26">
        <v>164413.47</v>
      </c>
      <c r="L729" s="26">
        <v>1806.93</v>
      </c>
    </row>
    <row r="730" spans="1:12" ht="16" customHeight="1">
      <c r="A730" t="s">
        <v>326</v>
      </c>
      <c r="B730" t="s">
        <v>4</v>
      </c>
      <c r="C730" t="s">
        <v>38</v>
      </c>
      <c r="D730" s="24">
        <v>46054</v>
      </c>
      <c r="E730" t="s">
        <v>387</v>
      </c>
      <c r="F730" t="s">
        <v>4</v>
      </c>
      <c r="G730" t="s">
        <v>217</v>
      </c>
      <c r="H730" t="s">
        <v>217</v>
      </c>
      <c r="I730" t="s">
        <v>221</v>
      </c>
      <c r="J730" s="25">
        <v>15753</v>
      </c>
      <c r="K730" s="26">
        <v>2911.45</v>
      </c>
      <c r="L730" s="26">
        <v>37.799999999999997</v>
      </c>
    </row>
    <row r="731" spans="1:12" ht="16" customHeight="1">
      <c r="A731" t="s">
        <v>326</v>
      </c>
      <c r="B731" t="s">
        <v>4</v>
      </c>
      <c r="C731" t="s">
        <v>38</v>
      </c>
      <c r="D731" s="24">
        <v>46054</v>
      </c>
      <c r="E731" t="s">
        <v>226</v>
      </c>
      <c r="F731" t="s">
        <v>4</v>
      </c>
      <c r="G731" t="s">
        <v>217</v>
      </c>
      <c r="H731" t="s">
        <v>217</v>
      </c>
      <c r="I731" t="s">
        <v>300</v>
      </c>
      <c r="J731" s="25">
        <v>268</v>
      </c>
      <c r="K731" s="26">
        <v>48.95</v>
      </c>
      <c r="L731" s="26">
        <v>1.03</v>
      </c>
    </row>
    <row r="732" spans="1:12" ht="16" customHeight="1">
      <c r="A732" t="s">
        <v>326</v>
      </c>
      <c r="B732" t="s">
        <v>4</v>
      </c>
      <c r="C732" t="s">
        <v>38</v>
      </c>
      <c r="D732" s="24">
        <v>46054</v>
      </c>
      <c r="E732" t="s">
        <v>269</v>
      </c>
      <c r="F732" t="s">
        <v>4</v>
      </c>
      <c r="G732" t="s">
        <v>217</v>
      </c>
      <c r="H732" t="s">
        <v>217</v>
      </c>
      <c r="I732" t="s">
        <v>301</v>
      </c>
      <c r="J732" s="25">
        <v>0</v>
      </c>
      <c r="K732" s="26">
        <v>0</v>
      </c>
      <c r="L732" s="26">
        <v>0</v>
      </c>
    </row>
    <row r="733" spans="1:12" ht="16" customHeight="1">
      <c r="A733" t="s">
        <v>326</v>
      </c>
      <c r="B733" t="s">
        <v>4</v>
      </c>
      <c r="C733" t="s">
        <v>38</v>
      </c>
      <c r="D733" s="24">
        <v>46054</v>
      </c>
      <c r="E733" t="s">
        <v>228</v>
      </c>
      <c r="F733" t="s">
        <v>4</v>
      </c>
      <c r="G733" t="s">
        <v>217</v>
      </c>
      <c r="H733" t="s">
        <v>217</v>
      </c>
      <c r="I733" t="s">
        <v>302</v>
      </c>
      <c r="J733" s="25">
        <v>0</v>
      </c>
      <c r="K733" s="26">
        <v>0</v>
      </c>
      <c r="L733" s="26">
        <v>0</v>
      </c>
    </row>
    <row r="734" spans="1:12" ht="16" customHeight="1">
      <c r="A734" t="s">
        <v>415</v>
      </c>
      <c r="B734" t="s">
        <v>5</v>
      </c>
      <c r="C734" t="s">
        <v>38</v>
      </c>
      <c r="D734" s="24">
        <v>46054</v>
      </c>
      <c r="E734" t="s">
        <v>357</v>
      </c>
      <c r="F734" t="s">
        <v>3</v>
      </c>
      <c r="G734" t="s">
        <v>358</v>
      </c>
      <c r="H734" t="s">
        <v>358</v>
      </c>
      <c r="I734" t="s">
        <v>219</v>
      </c>
      <c r="J734" s="25">
        <v>1954093</v>
      </c>
      <c r="K734" s="26">
        <v>358046.93</v>
      </c>
      <c r="L734" s="26">
        <v>3513.57</v>
      </c>
    </row>
    <row r="735" spans="1:12" ht="16" customHeight="1">
      <c r="A735" t="s">
        <v>415</v>
      </c>
      <c r="B735" t="s">
        <v>5</v>
      </c>
      <c r="C735" t="s">
        <v>38</v>
      </c>
      <c r="D735" s="24">
        <v>46054</v>
      </c>
      <c r="E735" t="s">
        <v>387</v>
      </c>
      <c r="F735" t="s">
        <v>4</v>
      </c>
      <c r="G735" t="s">
        <v>217</v>
      </c>
      <c r="H735" t="s">
        <v>217</v>
      </c>
      <c r="I735" t="s">
        <v>221</v>
      </c>
      <c r="J735" s="25">
        <v>18789</v>
      </c>
      <c r="K735" s="26">
        <v>3466.15</v>
      </c>
      <c r="L735" s="26">
        <v>43.79</v>
      </c>
    </row>
    <row r="736" spans="1:12" ht="16" customHeight="1">
      <c r="A736" t="s">
        <v>415</v>
      </c>
      <c r="B736" t="s">
        <v>5</v>
      </c>
      <c r="C736" t="s">
        <v>38</v>
      </c>
      <c r="D736" s="24">
        <v>46054</v>
      </c>
      <c r="E736" t="s">
        <v>416</v>
      </c>
      <c r="F736" t="s">
        <v>4</v>
      </c>
      <c r="G736" t="s">
        <v>217</v>
      </c>
      <c r="H736" t="s">
        <v>217</v>
      </c>
      <c r="I736" t="s">
        <v>223</v>
      </c>
      <c r="J736" s="25">
        <v>370</v>
      </c>
      <c r="K736" s="26">
        <v>66.760000000000005</v>
      </c>
      <c r="L736" s="26">
        <v>0.94</v>
      </c>
    </row>
    <row r="737" spans="1:12" ht="16" customHeight="1">
      <c r="A737" t="s">
        <v>415</v>
      </c>
      <c r="B737" t="s">
        <v>5</v>
      </c>
      <c r="C737" t="s">
        <v>38</v>
      </c>
      <c r="D737" s="24">
        <v>46054</v>
      </c>
      <c r="E737" t="s">
        <v>226</v>
      </c>
      <c r="F737" t="s">
        <v>4</v>
      </c>
      <c r="G737" t="s">
        <v>217</v>
      </c>
      <c r="H737" t="s">
        <v>217</v>
      </c>
      <c r="I737" t="s">
        <v>300</v>
      </c>
      <c r="J737" s="25">
        <v>242</v>
      </c>
      <c r="K737" s="26">
        <v>44.08</v>
      </c>
      <c r="L737" s="26">
        <v>0.83</v>
      </c>
    </row>
    <row r="738" spans="1:12" ht="16" customHeight="1">
      <c r="A738" t="s">
        <v>415</v>
      </c>
      <c r="B738" t="s">
        <v>5</v>
      </c>
      <c r="C738" t="s">
        <v>38</v>
      </c>
      <c r="D738" s="24">
        <v>46054</v>
      </c>
      <c r="E738" t="s">
        <v>269</v>
      </c>
      <c r="F738" t="s">
        <v>4</v>
      </c>
      <c r="G738" t="s">
        <v>217</v>
      </c>
      <c r="H738" t="s">
        <v>217</v>
      </c>
      <c r="I738" t="s">
        <v>301</v>
      </c>
      <c r="J738" s="25">
        <v>0</v>
      </c>
      <c r="K738" s="26">
        <v>0</v>
      </c>
      <c r="L738" s="26">
        <v>0</v>
      </c>
    </row>
    <row r="739" spans="1:12" ht="16" customHeight="1">
      <c r="A739" t="s">
        <v>415</v>
      </c>
      <c r="B739" t="s">
        <v>5</v>
      </c>
      <c r="C739" t="s">
        <v>38</v>
      </c>
      <c r="D739" s="24">
        <v>46054</v>
      </c>
      <c r="E739" t="s">
        <v>228</v>
      </c>
      <c r="F739" t="s">
        <v>4</v>
      </c>
      <c r="G739" t="s">
        <v>217</v>
      </c>
      <c r="H739" t="s">
        <v>217</v>
      </c>
      <c r="I739" t="s">
        <v>302</v>
      </c>
      <c r="J739" s="25">
        <v>0</v>
      </c>
      <c r="K739" s="26">
        <v>0</v>
      </c>
      <c r="L739" s="26">
        <v>0</v>
      </c>
    </row>
    <row r="740" spans="1:12" ht="16" customHeight="1">
      <c r="A740" t="s">
        <v>417</v>
      </c>
      <c r="B740" t="s">
        <v>6</v>
      </c>
      <c r="C740" t="s">
        <v>38</v>
      </c>
      <c r="D740" s="24">
        <v>46054</v>
      </c>
      <c r="E740" t="s">
        <v>357</v>
      </c>
      <c r="F740" t="s">
        <v>3</v>
      </c>
      <c r="G740" t="s">
        <v>358</v>
      </c>
      <c r="H740" t="s">
        <v>358</v>
      </c>
      <c r="I740" t="s">
        <v>219</v>
      </c>
      <c r="J740" s="25">
        <v>1640894</v>
      </c>
      <c r="K740" s="26">
        <v>299843.90999999997</v>
      </c>
      <c r="L740" s="26">
        <v>2935.64</v>
      </c>
    </row>
    <row r="741" spans="1:12" ht="16" customHeight="1">
      <c r="A741" t="s">
        <v>417</v>
      </c>
      <c r="B741" t="s">
        <v>6</v>
      </c>
      <c r="C741" t="s">
        <v>38</v>
      </c>
      <c r="D741" s="24">
        <v>46054</v>
      </c>
      <c r="E741" t="s">
        <v>387</v>
      </c>
      <c r="F741" t="s">
        <v>4</v>
      </c>
      <c r="G741" t="s">
        <v>217</v>
      </c>
      <c r="H741" t="s">
        <v>217</v>
      </c>
      <c r="I741" t="s">
        <v>221</v>
      </c>
      <c r="J741" s="25">
        <v>17189</v>
      </c>
      <c r="K741" s="26">
        <v>3152.13</v>
      </c>
      <c r="L741" s="26">
        <v>36.770000000000003</v>
      </c>
    </row>
    <row r="742" spans="1:12" ht="16" customHeight="1">
      <c r="A742" t="s">
        <v>417</v>
      </c>
      <c r="B742" t="s">
        <v>6</v>
      </c>
      <c r="C742" t="s">
        <v>38</v>
      </c>
      <c r="D742" s="24">
        <v>46054</v>
      </c>
      <c r="E742" t="s">
        <v>416</v>
      </c>
      <c r="F742" t="s">
        <v>4</v>
      </c>
      <c r="G742" t="s">
        <v>217</v>
      </c>
      <c r="H742" t="s">
        <v>217</v>
      </c>
      <c r="I742" t="s">
        <v>223</v>
      </c>
      <c r="J742" s="25">
        <v>936</v>
      </c>
      <c r="K742" s="26">
        <v>171.44</v>
      </c>
      <c r="L742" s="26">
        <v>2.67</v>
      </c>
    </row>
    <row r="743" spans="1:12" ht="16" customHeight="1">
      <c r="A743" t="s">
        <v>417</v>
      </c>
      <c r="B743" t="s">
        <v>6</v>
      </c>
      <c r="C743" t="s">
        <v>38</v>
      </c>
      <c r="D743" s="24">
        <v>46054</v>
      </c>
      <c r="E743" t="s">
        <v>226</v>
      </c>
      <c r="F743" t="s">
        <v>4</v>
      </c>
      <c r="G743" t="s">
        <v>217</v>
      </c>
      <c r="H743" t="s">
        <v>217</v>
      </c>
      <c r="I743" t="s">
        <v>300</v>
      </c>
      <c r="J743" s="25">
        <v>186</v>
      </c>
      <c r="K743" s="26">
        <v>33.74</v>
      </c>
      <c r="L743" s="26">
        <v>0.55000000000000004</v>
      </c>
    </row>
    <row r="744" spans="1:12" ht="16" customHeight="1">
      <c r="A744" t="s">
        <v>417</v>
      </c>
      <c r="B744" t="s">
        <v>6</v>
      </c>
      <c r="C744" t="s">
        <v>38</v>
      </c>
      <c r="D744" s="24">
        <v>46054</v>
      </c>
      <c r="E744" t="s">
        <v>269</v>
      </c>
      <c r="F744" t="s">
        <v>4</v>
      </c>
      <c r="G744" t="s">
        <v>217</v>
      </c>
      <c r="H744" t="s">
        <v>217</v>
      </c>
      <c r="I744" t="s">
        <v>301</v>
      </c>
      <c r="J744" s="25">
        <v>0</v>
      </c>
      <c r="K744" s="26">
        <v>0</v>
      </c>
      <c r="L744" s="26">
        <v>0</v>
      </c>
    </row>
    <row r="745" spans="1:12" ht="16" customHeight="1">
      <c r="A745" t="s">
        <v>417</v>
      </c>
      <c r="B745" t="s">
        <v>6</v>
      </c>
      <c r="C745" t="s">
        <v>38</v>
      </c>
      <c r="D745" s="24">
        <v>46054</v>
      </c>
      <c r="E745" t="s">
        <v>228</v>
      </c>
      <c r="F745" t="s">
        <v>4</v>
      </c>
      <c r="G745" t="s">
        <v>217</v>
      </c>
      <c r="H745" t="s">
        <v>217</v>
      </c>
      <c r="I745" t="s">
        <v>302</v>
      </c>
      <c r="J745" s="25">
        <v>0</v>
      </c>
      <c r="K745" s="26">
        <v>0</v>
      </c>
      <c r="L745" s="26">
        <v>0</v>
      </c>
    </row>
    <row r="746" spans="1:12" ht="16" customHeight="1">
      <c r="A746" t="s">
        <v>418</v>
      </c>
      <c r="B746" t="s">
        <v>7</v>
      </c>
      <c r="C746" t="s">
        <v>38</v>
      </c>
      <c r="D746" s="24">
        <v>46054</v>
      </c>
      <c r="E746" t="s">
        <v>357</v>
      </c>
      <c r="F746" t="s">
        <v>3</v>
      </c>
      <c r="G746" t="s">
        <v>358</v>
      </c>
      <c r="H746" t="s">
        <v>358</v>
      </c>
      <c r="I746" t="s">
        <v>219</v>
      </c>
      <c r="J746" s="25">
        <v>2217864</v>
      </c>
      <c r="K746" s="26">
        <v>403950.65</v>
      </c>
      <c r="L746" s="26">
        <v>3866.31</v>
      </c>
    </row>
    <row r="747" spans="1:12" ht="16" customHeight="1">
      <c r="A747" t="s">
        <v>418</v>
      </c>
      <c r="B747" t="s">
        <v>7</v>
      </c>
      <c r="C747" t="s">
        <v>38</v>
      </c>
      <c r="D747" s="24">
        <v>46054</v>
      </c>
      <c r="E747" t="s">
        <v>387</v>
      </c>
      <c r="F747" t="s">
        <v>4</v>
      </c>
      <c r="G747" t="s">
        <v>217</v>
      </c>
      <c r="H747" t="s">
        <v>217</v>
      </c>
      <c r="I747" t="s">
        <v>221</v>
      </c>
      <c r="J747" s="25">
        <v>25813</v>
      </c>
      <c r="K747" s="26">
        <v>4754.47</v>
      </c>
      <c r="L747" s="26">
        <v>57.74</v>
      </c>
    </row>
    <row r="748" spans="1:12" ht="16" customHeight="1">
      <c r="A748" t="s">
        <v>418</v>
      </c>
      <c r="B748" t="s">
        <v>7</v>
      </c>
      <c r="C748" t="s">
        <v>38</v>
      </c>
      <c r="D748" s="24">
        <v>46054</v>
      </c>
      <c r="E748" t="s">
        <v>416</v>
      </c>
      <c r="F748" t="s">
        <v>4</v>
      </c>
      <c r="G748" t="s">
        <v>217</v>
      </c>
      <c r="H748" t="s">
        <v>217</v>
      </c>
      <c r="I748" t="s">
        <v>223</v>
      </c>
      <c r="J748" s="25">
        <v>2404</v>
      </c>
      <c r="K748" s="26">
        <v>440.69</v>
      </c>
      <c r="L748" s="26">
        <v>7.05</v>
      </c>
    </row>
    <row r="749" spans="1:12" ht="16" customHeight="1">
      <c r="A749" t="s">
        <v>418</v>
      </c>
      <c r="B749" t="s">
        <v>7</v>
      </c>
      <c r="C749" t="s">
        <v>38</v>
      </c>
      <c r="D749" s="24">
        <v>46054</v>
      </c>
      <c r="E749" t="s">
        <v>226</v>
      </c>
      <c r="F749" t="s">
        <v>4</v>
      </c>
      <c r="G749" t="s">
        <v>217</v>
      </c>
      <c r="H749" t="s">
        <v>217</v>
      </c>
      <c r="I749" t="s">
        <v>300</v>
      </c>
      <c r="J749" s="25">
        <v>329</v>
      </c>
      <c r="K749" s="26">
        <v>59.75</v>
      </c>
      <c r="L749" s="26">
        <v>1.1000000000000001</v>
      </c>
    </row>
    <row r="750" spans="1:12" ht="16" customHeight="1">
      <c r="A750" t="s">
        <v>418</v>
      </c>
      <c r="B750" t="s">
        <v>7</v>
      </c>
      <c r="C750" t="s">
        <v>38</v>
      </c>
      <c r="D750" s="24">
        <v>46054</v>
      </c>
      <c r="E750" t="s">
        <v>269</v>
      </c>
      <c r="F750" t="s">
        <v>4</v>
      </c>
      <c r="G750" t="s">
        <v>217</v>
      </c>
      <c r="H750" t="s">
        <v>217</v>
      </c>
      <c r="I750" t="s">
        <v>301</v>
      </c>
      <c r="J750" s="25">
        <v>0</v>
      </c>
      <c r="K750" s="26">
        <v>0</v>
      </c>
      <c r="L750" s="26">
        <v>0</v>
      </c>
    </row>
    <row r="751" spans="1:12" ht="16" customHeight="1">
      <c r="A751" t="s">
        <v>418</v>
      </c>
      <c r="B751" t="s">
        <v>7</v>
      </c>
      <c r="C751" t="s">
        <v>38</v>
      </c>
      <c r="D751" s="24">
        <v>46054</v>
      </c>
      <c r="E751" t="s">
        <v>228</v>
      </c>
      <c r="F751" t="s">
        <v>4</v>
      </c>
      <c r="G751" t="s">
        <v>217</v>
      </c>
      <c r="H751" t="s">
        <v>217</v>
      </c>
      <c r="I751" t="s">
        <v>302</v>
      </c>
      <c r="J751" s="25">
        <v>0</v>
      </c>
      <c r="K751" s="26">
        <v>0</v>
      </c>
      <c r="L751" s="26">
        <v>0</v>
      </c>
    </row>
    <row r="752" spans="1:12" ht="16" customHeight="1">
      <c r="A752" t="s">
        <v>383</v>
      </c>
      <c r="B752" t="s">
        <v>3</v>
      </c>
      <c r="C752" t="s">
        <v>39</v>
      </c>
      <c r="D752" s="24">
        <v>46082</v>
      </c>
      <c r="E752" t="s">
        <v>357</v>
      </c>
      <c r="F752" t="s">
        <v>3</v>
      </c>
      <c r="G752" t="s">
        <v>358</v>
      </c>
      <c r="H752" t="s">
        <v>358</v>
      </c>
      <c r="I752" t="s">
        <v>212</v>
      </c>
      <c r="J752" s="25">
        <v>2903983</v>
      </c>
      <c r="K752" s="26">
        <v>522372.8</v>
      </c>
      <c r="L752" s="26">
        <v>5052.54</v>
      </c>
    </row>
    <row r="753" spans="1:12" ht="16" customHeight="1">
      <c r="A753" t="s">
        <v>383</v>
      </c>
      <c r="B753" t="s">
        <v>3</v>
      </c>
      <c r="C753" t="s">
        <v>39</v>
      </c>
      <c r="D753" s="24">
        <v>46082</v>
      </c>
      <c r="E753" t="s">
        <v>387</v>
      </c>
      <c r="F753" t="s">
        <v>4</v>
      </c>
      <c r="G753" t="s">
        <v>217</v>
      </c>
      <c r="H753" t="s">
        <v>217</v>
      </c>
      <c r="I753" t="s">
        <v>219</v>
      </c>
      <c r="J753" s="25">
        <v>77490</v>
      </c>
      <c r="K753" s="26">
        <v>14135.85</v>
      </c>
      <c r="L753" s="26">
        <v>193.88</v>
      </c>
    </row>
    <row r="754" spans="1:12" ht="16" customHeight="1">
      <c r="A754" t="s">
        <v>383</v>
      </c>
      <c r="B754" t="s">
        <v>3</v>
      </c>
      <c r="C754" t="s">
        <v>39</v>
      </c>
      <c r="D754" s="24">
        <v>46082</v>
      </c>
      <c r="E754" t="s">
        <v>416</v>
      </c>
      <c r="F754" t="s">
        <v>4</v>
      </c>
      <c r="G754" t="s">
        <v>217</v>
      </c>
      <c r="H754" t="s">
        <v>217</v>
      </c>
      <c r="I754" t="s">
        <v>221</v>
      </c>
      <c r="J754" s="25">
        <v>3791</v>
      </c>
      <c r="K754" s="26">
        <v>693.07</v>
      </c>
      <c r="L754" s="26">
        <v>11.92</v>
      </c>
    </row>
    <row r="755" spans="1:12" ht="16" customHeight="1">
      <c r="A755" t="s">
        <v>383</v>
      </c>
      <c r="B755" t="s">
        <v>3</v>
      </c>
      <c r="C755" t="s">
        <v>39</v>
      </c>
      <c r="D755" s="24">
        <v>46082</v>
      </c>
      <c r="E755" t="s">
        <v>226</v>
      </c>
      <c r="F755" t="s">
        <v>4</v>
      </c>
      <c r="G755" t="s">
        <v>217</v>
      </c>
      <c r="H755" t="s">
        <v>217</v>
      </c>
      <c r="I755" t="s">
        <v>223</v>
      </c>
      <c r="J755" s="25">
        <v>739</v>
      </c>
      <c r="K755" s="26">
        <v>134.63999999999999</v>
      </c>
      <c r="L755" s="26">
        <v>2.77</v>
      </c>
    </row>
    <row r="756" spans="1:12" ht="16" customHeight="1">
      <c r="A756" t="s">
        <v>383</v>
      </c>
      <c r="B756" t="s">
        <v>3</v>
      </c>
      <c r="C756" t="s">
        <v>39</v>
      </c>
      <c r="D756" s="24">
        <v>46082</v>
      </c>
      <c r="E756" t="s">
        <v>269</v>
      </c>
      <c r="F756" t="s">
        <v>4</v>
      </c>
      <c r="G756" t="s">
        <v>217</v>
      </c>
      <c r="H756" t="s">
        <v>217</v>
      </c>
      <c r="I756" t="s">
        <v>225</v>
      </c>
      <c r="J756" s="25">
        <v>0</v>
      </c>
      <c r="K756" s="26">
        <v>0</v>
      </c>
      <c r="L756" s="26">
        <v>0</v>
      </c>
    </row>
    <row r="757" spans="1:12" ht="16" customHeight="1">
      <c r="A757" t="s">
        <v>383</v>
      </c>
      <c r="B757" t="s">
        <v>3</v>
      </c>
      <c r="C757" t="s">
        <v>39</v>
      </c>
      <c r="D757" s="24">
        <v>46082</v>
      </c>
      <c r="E757" t="s">
        <v>228</v>
      </c>
      <c r="F757" t="s">
        <v>4</v>
      </c>
      <c r="G757" t="s">
        <v>217</v>
      </c>
      <c r="H757" t="s">
        <v>217</v>
      </c>
      <c r="I757" t="s">
        <v>227</v>
      </c>
      <c r="J757" s="25">
        <v>0</v>
      </c>
      <c r="K757" s="26">
        <v>0</v>
      </c>
      <c r="L757" s="26">
        <v>0</v>
      </c>
    </row>
    <row r="758" spans="1:12" ht="16" customHeight="1">
      <c r="A758" t="s">
        <v>419</v>
      </c>
      <c r="B758" t="s">
        <v>5</v>
      </c>
      <c r="C758" t="s">
        <v>39</v>
      </c>
      <c r="D758" s="24">
        <v>46082</v>
      </c>
      <c r="E758" t="s">
        <v>357</v>
      </c>
      <c r="F758" t="s">
        <v>3</v>
      </c>
      <c r="G758" t="s">
        <v>358</v>
      </c>
      <c r="H758" t="s">
        <v>358</v>
      </c>
      <c r="I758" t="s">
        <v>212</v>
      </c>
      <c r="J758" s="25">
        <v>2933995</v>
      </c>
      <c r="K758" s="26">
        <v>521252.91</v>
      </c>
      <c r="L758" s="26">
        <v>6252.84</v>
      </c>
    </row>
    <row r="759" spans="1:12" ht="16" customHeight="1">
      <c r="A759" t="s">
        <v>419</v>
      </c>
      <c r="B759" t="s">
        <v>5</v>
      </c>
      <c r="C759" t="s">
        <v>39</v>
      </c>
      <c r="D759" s="24">
        <v>46082</v>
      </c>
      <c r="E759" t="s">
        <v>387</v>
      </c>
      <c r="F759" t="s">
        <v>4</v>
      </c>
      <c r="G759" t="s">
        <v>217</v>
      </c>
      <c r="H759" t="s">
        <v>217</v>
      </c>
      <c r="I759" t="s">
        <v>219</v>
      </c>
      <c r="J759" s="25">
        <v>68047</v>
      </c>
      <c r="K759" s="26">
        <v>12285.18</v>
      </c>
      <c r="L759" s="26">
        <v>204.93</v>
      </c>
    </row>
    <row r="760" spans="1:12" ht="16" customHeight="1">
      <c r="A760" t="s">
        <v>419</v>
      </c>
      <c r="B760" t="s">
        <v>5</v>
      </c>
      <c r="C760" t="s">
        <v>39</v>
      </c>
      <c r="D760" s="24">
        <v>46082</v>
      </c>
      <c r="E760" t="s">
        <v>416</v>
      </c>
      <c r="F760" t="s">
        <v>4</v>
      </c>
      <c r="G760" t="s">
        <v>217</v>
      </c>
      <c r="H760" t="s">
        <v>217</v>
      </c>
      <c r="I760" t="s">
        <v>221</v>
      </c>
      <c r="J760" s="25">
        <v>5848</v>
      </c>
      <c r="K760" s="26">
        <v>1068.03</v>
      </c>
      <c r="L760" s="26">
        <v>22.46</v>
      </c>
    </row>
    <row r="761" spans="1:12" ht="16" customHeight="1">
      <c r="A761" t="s">
        <v>419</v>
      </c>
      <c r="B761" t="s">
        <v>5</v>
      </c>
      <c r="C761" t="s">
        <v>39</v>
      </c>
      <c r="D761" s="24">
        <v>46082</v>
      </c>
      <c r="E761" t="s">
        <v>226</v>
      </c>
      <c r="F761" t="s">
        <v>4</v>
      </c>
      <c r="G761" t="s">
        <v>217</v>
      </c>
      <c r="H761" t="s">
        <v>217</v>
      </c>
      <c r="I761" t="s">
        <v>223</v>
      </c>
      <c r="J761" s="25">
        <v>871</v>
      </c>
      <c r="K761" s="26">
        <v>160.56</v>
      </c>
      <c r="L761" s="26">
        <v>3.78</v>
      </c>
    </row>
    <row r="762" spans="1:12" ht="16" customHeight="1">
      <c r="A762" t="s">
        <v>419</v>
      </c>
      <c r="B762" t="s">
        <v>5</v>
      </c>
      <c r="C762" t="s">
        <v>39</v>
      </c>
      <c r="D762" s="24">
        <v>46082</v>
      </c>
      <c r="E762" t="s">
        <v>269</v>
      </c>
      <c r="F762" t="s">
        <v>4</v>
      </c>
      <c r="G762" t="s">
        <v>217</v>
      </c>
      <c r="H762" t="s">
        <v>217</v>
      </c>
      <c r="I762" t="s">
        <v>225</v>
      </c>
      <c r="J762" s="25">
        <v>0</v>
      </c>
      <c r="K762" s="26">
        <v>0</v>
      </c>
      <c r="L762" s="26">
        <v>0</v>
      </c>
    </row>
    <row r="763" spans="1:12" ht="16" customHeight="1">
      <c r="A763" t="s">
        <v>419</v>
      </c>
      <c r="B763" t="s">
        <v>5</v>
      </c>
      <c r="C763" t="s">
        <v>39</v>
      </c>
      <c r="D763" s="24">
        <v>46082</v>
      </c>
      <c r="E763" t="s">
        <v>228</v>
      </c>
      <c r="F763" t="s">
        <v>4</v>
      </c>
      <c r="G763" t="s">
        <v>217</v>
      </c>
      <c r="H763" t="s">
        <v>217</v>
      </c>
      <c r="I763" t="s">
        <v>227</v>
      </c>
      <c r="J763" s="25">
        <v>0</v>
      </c>
      <c r="K763" s="26">
        <v>0</v>
      </c>
      <c r="L763" s="26">
        <v>0</v>
      </c>
    </row>
    <row r="764" spans="1:12" ht="16" customHeight="1">
      <c r="A764" t="s">
        <v>421</v>
      </c>
      <c r="B764" t="s">
        <v>6</v>
      </c>
      <c r="C764" t="s">
        <v>39</v>
      </c>
      <c r="D764" s="24">
        <v>46082</v>
      </c>
      <c r="E764" t="s">
        <v>357</v>
      </c>
      <c r="F764" t="s">
        <v>3</v>
      </c>
      <c r="G764" t="s">
        <v>358</v>
      </c>
      <c r="H764" t="s">
        <v>358</v>
      </c>
      <c r="I764" t="s">
        <v>212</v>
      </c>
      <c r="J764" s="25">
        <v>2837637</v>
      </c>
      <c r="K764" s="26">
        <v>505289.77</v>
      </c>
      <c r="L764" s="26">
        <v>5410.67</v>
      </c>
    </row>
    <row r="765" spans="1:12" ht="16" customHeight="1">
      <c r="A765" t="s">
        <v>421</v>
      </c>
      <c r="B765" t="s">
        <v>6</v>
      </c>
      <c r="C765" t="s">
        <v>39</v>
      </c>
      <c r="D765" s="24">
        <v>46082</v>
      </c>
      <c r="E765" t="s">
        <v>387</v>
      </c>
      <c r="F765" t="s">
        <v>4</v>
      </c>
      <c r="G765" t="s">
        <v>217</v>
      </c>
      <c r="H765" t="s">
        <v>217</v>
      </c>
      <c r="I765" t="s">
        <v>219</v>
      </c>
      <c r="J765" s="25">
        <v>82730</v>
      </c>
      <c r="K765" s="26">
        <v>14999.02</v>
      </c>
      <c r="L765" s="26">
        <v>238.73</v>
      </c>
    </row>
    <row r="766" spans="1:12" ht="16" customHeight="1">
      <c r="A766" t="s">
        <v>421</v>
      </c>
      <c r="B766" t="s">
        <v>6</v>
      </c>
      <c r="C766" t="s">
        <v>39</v>
      </c>
      <c r="D766" s="24">
        <v>46082</v>
      </c>
      <c r="E766" t="s">
        <v>416</v>
      </c>
      <c r="F766" t="s">
        <v>4</v>
      </c>
      <c r="G766" t="s">
        <v>217</v>
      </c>
      <c r="H766" t="s">
        <v>217</v>
      </c>
      <c r="I766" t="s">
        <v>221</v>
      </c>
      <c r="J766" s="25">
        <v>3869</v>
      </c>
      <c r="K766" s="26">
        <v>708.22</v>
      </c>
      <c r="L766" s="26">
        <v>12.08</v>
      </c>
    </row>
    <row r="767" spans="1:12" ht="16" customHeight="1">
      <c r="A767" t="s">
        <v>421</v>
      </c>
      <c r="B767" t="s">
        <v>6</v>
      </c>
      <c r="C767" t="s">
        <v>39</v>
      </c>
      <c r="D767" s="24">
        <v>46082</v>
      </c>
      <c r="E767" t="s">
        <v>226</v>
      </c>
      <c r="F767" t="s">
        <v>4</v>
      </c>
      <c r="G767" t="s">
        <v>217</v>
      </c>
      <c r="H767" t="s">
        <v>217</v>
      </c>
      <c r="I767" t="s">
        <v>223</v>
      </c>
      <c r="J767" s="25">
        <v>764</v>
      </c>
      <c r="K767" s="26">
        <v>140.61000000000001</v>
      </c>
      <c r="L767" s="26">
        <v>2.94</v>
      </c>
    </row>
    <row r="768" spans="1:12" ht="16" customHeight="1">
      <c r="A768" t="s">
        <v>421</v>
      </c>
      <c r="B768" t="s">
        <v>6</v>
      </c>
      <c r="C768" t="s">
        <v>39</v>
      </c>
      <c r="D768" s="24">
        <v>46082</v>
      </c>
      <c r="E768" t="s">
        <v>269</v>
      </c>
      <c r="F768" t="s">
        <v>4</v>
      </c>
      <c r="G768" t="s">
        <v>217</v>
      </c>
      <c r="H768" t="s">
        <v>217</v>
      </c>
      <c r="I768" t="s">
        <v>225</v>
      </c>
      <c r="J768" s="25">
        <v>0</v>
      </c>
      <c r="K768" s="26">
        <v>0</v>
      </c>
      <c r="L768" s="26">
        <v>0</v>
      </c>
    </row>
    <row r="769" spans="1:12" ht="16" customHeight="1">
      <c r="A769" t="s">
        <v>421</v>
      </c>
      <c r="B769" t="s">
        <v>6</v>
      </c>
      <c r="C769" t="s">
        <v>39</v>
      </c>
      <c r="D769" s="24">
        <v>46082</v>
      </c>
      <c r="E769" t="s">
        <v>228</v>
      </c>
      <c r="F769" t="s">
        <v>4</v>
      </c>
      <c r="G769" t="s">
        <v>217</v>
      </c>
      <c r="H769" t="s">
        <v>217</v>
      </c>
      <c r="I769" t="s">
        <v>227</v>
      </c>
      <c r="J769" s="25">
        <v>0</v>
      </c>
      <c r="K769" s="26">
        <v>0</v>
      </c>
      <c r="L769" s="26">
        <v>0</v>
      </c>
    </row>
    <row r="770" spans="1:12" ht="16" customHeight="1">
      <c r="A770" t="s">
        <v>422</v>
      </c>
      <c r="B770" t="s">
        <v>7</v>
      </c>
      <c r="C770" t="s">
        <v>39</v>
      </c>
      <c r="D770" s="24">
        <v>46082</v>
      </c>
      <c r="E770" t="s">
        <v>357</v>
      </c>
      <c r="F770" t="s">
        <v>3</v>
      </c>
      <c r="G770" t="s">
        <v>358</v>
      </c>
      <c r="H770" t="s">
        <v>358</v>
      </c>
      <c r="I770" t="s">
        <v>212</v>
      </c>
      <c r="J770" s="25">
        <v>2866522</v>
      </c>
      <c r="K770" s="26">
        <v>504996.53</v>
      </c>
      <c r="L770" s="26">
        <v>5858.98</v>
      </c>
    </row>
    <row r="771" spans="1:12" ht="16" customHeight="1">
      <c r="A771" t="s">
        <v>422</v>
      </c>
      <c r="B771" t="s">
        <v>7</v>
      </c>
      <c r="C771" t="s">
        <v>39</v>
      </c>
      <c r="D771" s="24">
        <v>46082</v>
      </c>
      <c r="E771" t="s">
        <v>387</v>
      </c>
      <c r="F771" t="s">
        <v>4</v>
      </c>
      <c r="G771" t="s">
        <v>217</v>
      </c>
      <c r="H771" t="s">
        <v>217</v>
      </c>
      <c r="I771" t="s">
        <v>219</v>
      </c>
      <c r="J771" s="25">
        <v>90120</v>
      </c>
      <c r="K771" s="26">
        <v>16287.29</v>
      </c>
      <c r="L771" s="26">
        <v>258.89999999999998</v>
      </c>
    </row>
    <row r="772" spans="1:12" ht="16" customHeight="1">
      <c r="A772" t="s">
        <v>422</v>
      </c>
      <c r="B772" t="s">
        <v>7</v>
      </c>
      <c r="C772" t="s">
        <v>39</v>
      </c>
      <c r="D772" s="24">
        <v>46082</v>
      </c>
      <c r="E772" t="s">
        <v>416</v>
      </c>
      <c r="F772" t="s">
        <v>4</v>
      </c>
      <c r="G772" t="s">
        <v>217</v>
      </c>
      <c r="H772" t="s">
        <v>217</v>
      </c>
      <c r="I772" t="s">
        <v>221</v>
      </c>
      <c r="J772" s="25">
        <v>4256</v>
      </c>
      <c r="K772" s="26">
        <v>772.39</v>
      </c>
      <c r="L772" s="26">
        <v>15.35</v>
      </c>
    </row>
    <row r="773" spans="1:12" ht="16" customHeight="1">
      <c r="A773" t="s">
        <v>422</v>
      </c>
      <c r="B773" t="s">
        <v>7</v>
      </c>
      <c r="C773" t="s">
        <v>39</v>
      </c>
      <c r="D773" s="24">
        <v>46082</v>
      </c>
      <c r="E773" t="s">
        <v>226</v>
      </c>
      <c r="F773" t="s">
        <v>4</v>
      </c>
      <c r="G773" t="s">
        <v>217</v>
      </c>
      <c r="H773" t="s">
        <v>217</v>
      </c>
      <c r="I773" t="s">
        <v>223</v>
      </c>
      <c r="J773" s="25">
        <v>916</v>
      </c>
      <c r="K773" s="26">
        <v>167.78</v>
      </c>
      <c r="L773" s="26">
        <v>3.31</v>
      </c>
    </row>
    <row r="774" spans="1:12" ht="16" customHeight="1">
      <c r="A774" t="s">
        <v>422</v>
      </c>
      <c r="B774" t="s">
        <v>7</v>
      </c>
      <c r="C774" t="s">
        <v>39</v>
      </c>
      <c r="D774" s="24">
        <v>46082</v>
      </c>
      <c r="E774" t="s">
        <v>269</v>
      </c>
      <c r="F774" t="s">
        <v>4</v>
      </c>
      <c r="G774" t="s">
        <v>217</v>
      </c>
      <c r="H774" t="s">
        <v>217</v>
      </c>
      <c r="I774" t="s">
        <v>225</v>
      </c>
      <c r="J774" s="25">
        <v>0</v>
      </c>
      <c r="K774" s="26">
        <v>0</v>
      </c>
      <c r="L774" s="26">
        <v>0</v>
      </c>
    </row>
    <row r="775" spans="1:12" ht="16" customHeight="1">
      <c r="A775" t="s">
        <v>422</v>
      </c>
      <c r="B775" t="s">
        <v>7</v>
      </c>
      <c r="C775" t="s">
        <v>39</v>
      </c>
      <c r="D775" s="24">
        <v>46082</v>
      </c>
      <c r="E775" t="s">
        <v>228</v>
      </c>
      <c r="F775" t="s">
        <v>4</v>
      </c>
      <c r="G775" t="s">
        <v>217</v>
      </c>
      <c r="H775" t="s">
        <v>217</v>
      </c>
      <c r="I775" t="s">
        <v>227</v>
      </c>
      <c r="J775" s="25">
        <v>0</v>
      </c>
      <c r="K775" s="26">
        <v>0</v>
      </c>
      <c r="L775" s="26">
        <v>0</v>
      </c>
    </row>
    <row r="776" spans="1:12" ht="16" customHeight="1">
      <c r="A776" t="s">
        <v>423</v>
      </c>
      <c r="B776" t="s">
        <v>3</v>
      </c>
      <c r="C776" t="s">
        <v>40</v>
      </c>
      <c r="D776" s="24">
        <v>46082</v>
      </c>
      <c r="E776" t="s">
        <v>357</v>
      </c>
      <c r="F776" t="s">
        <v>3</v>
      </c>
      <c r="G776" t="s">
        <v>358</v>
      </c>
      <c r="H776" t="s">
        <v>358</v>
      </c>
      <c r="I776" t="s">
        <v>212</v>
      </c>
      <c r="J776" s="25">
        <v>2888911</v>
      </c>
      <c r="K776" s="26">
        <v>500190.83</v>
      </c>
      <c r="L776" s="26">
        <v>7226.41</v>
      </c>
    </row>
    <row r="777" spans="1:12" ht="16" customHeight="1">
      <c r="A777" t="s">
        <v>423</v>
      </c>
      <c r="B777" t="s">
        <v>3</v>
      </c>
      <c r="C777" t="s">
        <v>40</v>
      </c>
      <c r="D777" s="24">
        <v>46082</v>
      </c>
      <c r="E777" t="s">
        <v>387</v>
      </c>
      <c r="F777" t="s">
        <v>4</v>
      </c>
      <c r="G777" t="s">
        <v>217</v>
      </c>
      <c r="H777" t="s">
        <v>217</v>
      </c>
      <c r="I777" t="s">
        <v>219</v>
      </c>
      <c r="J777" s="25">
        <v>125757</v>
      </c>
      <c r="K777" s="26">
        <v>22470.17</v>
      </c>
      <c r="L777" s="26">
        <v>423.53</v>
      </c>
    </row>
    <row r="778" spans="1:12" ht="16" customHeight="1">
      <c r="A778" t="s">
        <v>423</v>
      </c>
      <c r="B778" t="s">
        <v>3</v>
      </c>
      <c r="C778" t="s">
        <v>40</v>
      </c>
      <c r="D778" s="24">
        <v>46082</v>
      </c>
      <c r="E778" t="s">
        <v>416</v>
      </c>
      <c r="F778" t="s">
        <v>4</v>
      </c>
      <c r="G778" t="s">
        <v>217</v>
      </c>
      <c r="H778" t="s">
        <v>217</v>
      </c>
      <c r="I778" t="s">
        <v>221</v>
      </c>
      <c r="J778" s="25">
        <v>6838</v>
      </c>
      <c r="K778" s="26">
        <v>1226.45</v>
      </c>
      <c r="L778" s="26">
        <v>30.72</v>
      </c>
    </row>
    <row r="779" spans="1:12" ht="16" customHeight="1">
      <c r="A779" t="s">
        <v>423</v>
      </c>
      <c r="B779" t="s">
        <v>3</v>
      </c>
      <c r="C779" t="s">
        <v>40</v>
      </c>
      <c r="D779" s="24">
        <v>46082</v>
      </c>
      <c r="E779" t="s">
        <v>226</v>
      </c>
      <c r="F779" t="s">
        <v>4</v>
      </c>
      <c r="G779" t="s">
        <v>217</v>
      </c>
      <c r="H779" t="s">
        <v>217</v>
      </c>
      <c r="I779" t="s">
        <v>223</v>
      </c>
      <c r="J779" s="25">
        <v>2798</v>
      </c>
      <c r="K779" s="26">
        <v>501.52</v>
      </c>
      <c r="L779" s="26">
        <v>11.25</v>
      </c>
    </row>
    <row r="780" spans="1:12" ht="16" customHeight="1">
      <c r="A780" t="s">
        <v>423</v>
      </c>
      <c r="B780" t="s">
        <v>3</v>
      </c>
      <c r="C780" t="s">
        <v>40</v>
      </c>
      <c r="D780" s="24">
        <v>46082</v>
      </c>
      <c r="E780" t="s">
        <v>269</v>
      </c>
      <c r="F780" t="s">
        <v>4</v>
      </c>
      <c r="G780" t="s">
        <v>217</v>
      </c>
      <c r="H780" t="s">
        <v>217</v>
      </c>
      <c r="I780" t="s">
        <v>225</v>
      </c>
      <c r="J780" s="25">
        <v>0</v>
      </c>
      <c r="K780" s="26">
        <v>0</v>
      </c>
      <c r="L780" s="26">
        <v>0</v>
      </c>
    </row>
    <row r="781" spans="1:12" ht="16" customHeight="1">
      <c r="A781" t="s">
        <v>423</v>
      </c>
      <c r="B781" t="s">
        <v>3</v>
      </c>
      <c r="C781" t="s">
        <v>40</v>
      </c>
      <c r="D781" s="24">
        <v>46082</v>
      </c>
      <c r="E781" t="s">
        <v>228</v>
      </c>
      <c r="F781" t="s">
        <v>4</v>
      </c>
      <c r="G781" t="s">
        <v>217</v>
      </c>
      <c r="H781" t="s">
        <v>217</v>
      </c>
      <c r="I781" t="s">
        <v>227</v>
      </c>
      <c r="J781" s="25">
        <v>0</v>
      </c>
      <c r="K781" s="26">
        <v>0</v>
      </c>
      <c r="L781" s="26">
        <v>0</v>
      </c>
    </row>
    <row r="782" spans="1:12" ht="16" customHeight="1">
      <c r="A782" t="s">
        <v>401</v>
      </c>
      <c r="B782" t="s">
        <v>4</v>
      </c>
      <c r="C782" t="s">
        <v>40</v>
      </c>
      <c r="D782" s="24">
        <v>46082</v>
      </c>
      <c r="E782" t="s">
        <v>357</v>
      </c>
      <c r="F782" t="s">
        <v>3</v>
      </c>
      <c r="G782" t="s">
        <v>358</v>
      </c>
      <c r="H782" t="s">
        <v>358</v>
      </c>
      <c r="I782" t="s">
        <v>212</v>
      </c>
      <c r="J782" s="25">
        <v>2451975</v>
      </c>
      <c r="K782" s="26">
        <v>424473.77</v>
      </c>
      <c r="L782" s="26">
        <v>4939.32</v>
      </c>
    </row>
    <row r="783" spans="1:12" ht="16" customHeight="1">
      <c r="A783" t="s">
        <v>401</v>
      </c>
      <c r="B783" t="s">
        <v>4</v>
      </c>
      <c r="C783" t="s">
        <v>40</v>
      </c>
      <c r="D783" s="24">
        <v>46082</v>
      </c>
      <c r="E783" t="s">
        <v>387</v>
      </c>
      <c r="F783" t="s">
        <v>4</v>
      </c>
      <c r="G783" t="s">
        <v>217</v>
      </c>
      <c r="H783" t="s">
        <v>217</v>
      </c>
      <c r="I783" t="s">
        <v>219</v>
      </c>
      <c r="J783" s="25">
        <v>114144</v>
      </c>
      <c r="K783" s="26">
        <v>20555.98</v>
      </c>
      <c r="L783" s="26">
        <v>371.64</v>
      </c>
    </row>
    <row r="784" spans="1:12" ht="16" customHeight="1">
      <c r="A784" t="s">
        <v>401</v>
      </c>
      <c r="B784" t="s">
        <v>4</v>
      </c>
      <c r="C784" t="s">
        <v>40</v>
      </c>
      <c r="D784" s="24">
        <v>46082</v>
      </c>
      <c r="E784" t="s">
        <v>416</v>
      </c>
      <c r="F784" t="s">
        <v>4</v>
      </c>
      <c r="G784" t="s">
        <v>217</v>
      </c>
      <c r="H784" t="s">
        <v>217</v>
      </c>
      <c r="I784" t="s">
        <v>221</v>
      </c>
      <c r="J784" s="25">
        <v>4678</v>
      </c>
      <c r="K784" s="26">
        <v>843.31</v>
      </c>
      <c r="L784" s="26">
        <v>15.49</v>
      </c>
    </row>
    <row r="785" spans="1:12" ht="16" customHeight="1">
      <c r="A785" t="s">
        <v>401</v>
      </c>
      <c r="B785" t="s">
        <v>4</v>
      </c>
      <c r="C785" t="s">
        <v>40</v>
      </c>
      <c r="D785" s="24">
        <v>46082</v>
      </c>
      <c r="E785" t="s">
        <v>226</v>
      </c>
      <c r="F785" t="s">
        <v>4</v>
      </c>
      <c r="G785" t="s">
        <v>217</v>
      </c>
      <c r="H785" t="s">
        <v>217</v>
      </c>
      <c r="I785" t="s">
        <v>223</v>
      </c>
      <c r="J785" s="25">
        <v>1351</v>
      </c>
      <c r="K785" s="26">
        <v>245.94</v>
      </c>
      <c r="L785" s="26">
        <v>4.29</v>
      </c>
    </row>
    <row r="786" spans="1:12" ht="16" customHeight="1">
      <c r="A786" t="s">
        <v>401</v>
      </c>
      <c r="B786" t="s">
        <v>4</v>
      </c>
      <c r="C786" t="s">
        <v>40</v>
      </c>
      <c r="D786" s="24">
        <v>46082</v>
      </c>
      <c r="E786" t="s">
        <v>269</v>
      </c>
      <c r="F786" t="s">
        <v>4</v>
      </c>
      <c r="G786" t="s">
        <v>217</v>
      </c>
      <c r="H786" t="s">
        <v>217</v>
      </c>
      <c r="I786" t="s">
        <v>225</v>
      </c>
      <c r="J786" s="25">
        <v>0</v>
      </c>
      <c r="K786" s="26">
        <v>0</v>
      </c>
      <c r="L786" s="26">
        <v>0</v>
      </c>
    </row>
    <row r="787" spans="1:12" ht="16" customHeight="1">
      <c r="A787" t="s">
        <v>401</v>
      </c>
      <c r="B787" t="s">
        <v>4</v>
      </c>
      <c r="C787" t="s">
        <v>40</v>
      </c>
      <c r="D787" s="24">
        <v>46082</v>
      </c>
      <c r="E787" t="s">
        <v>228</v>
      </c>
      <c r="F787" t="s">
        <v>4</v>
      </c>
      <c r="G787" t="s">
        <v>217</v>
      </c>
      <c r="H787" t="s">
        <v>217</v>
      </c>
      <c r="I787" t="s">
        <v>227</v>
      </c>
      <c r="J787" s="25">
        <v>0</v>
      </c>
      <c r="K787" s="26">
        <v>0</v>
      </c>
      <c r="L787" s="26">
        <v>0</v>
      </c>
    </row>
    <row r="788" spans="1:12" ht="16" customHeight="1">
      <c r="A788" t="s">
        <v>424</v>
      </c>
      <c r="B788" t="s">
        <v>5</v>
      </c>
      <c r="C788" t="s">
        <v>40</v>
      </c>
      <c r="D788" s="24">
        <v>46082</v>
      </c>
      <c r="E788" t="s">
        <v>357</v>
      </c>
      <c r="F788" t="s">
        <v>3</v>
      </c>
      <c r="G788" t="s">
        <v>358</v>
      </c>
      <c r="H788" t="s">
        <v>358</v>
      </c>
      <c r="I788" t="s">
        <v>212</v>
      </c>
      <c r="J788" s="25">
        <v>2588800</v>
      </c>
      <c r="K788" s="26">
        <v>445783.54</v>
      </c>
      <c r="L788" s="26">
        <v>5142.96</v>
      </c>
    </row>
    <row r="789" spans="1:12" ht="16" customHeight="1">
      <c r="A789" t="s">
        <v>424</v>
      </c>
      <c r="B789" t="s">
        <v>5</v>
      </c>
      <c r="C789" t="s">
        <v>40</v>
      </c>
      <c r="D789" s="24">
        <v>46082</v>
      </c>
      <c r="E789" t="s">
        <v>387</v>
      </c>
      <c r="F789" t="s">
        <v>4</v>
      </c>
      <c r="G789" t="s">
        <v>217</v>
      </c>
      <c r="H789" t="s">
        <v>217</v>
      </c>
      <c r="I789" t="s">
        <v>219</v>
      </c>
      <c r="J789" s="25">
        <v>138782</v>
      </c>
      <c r="K789" s="26">
        <v>24749.27</v>
      </c>
      <c r="L789" s="26">
        <v>432.29</v>
      </c>
    </row>
    <row r="790" spans="1:12" ht="16" customHeight="1">
      <c r="A790" t="s">
        <v>424</v>
      </c>
      <c r="B790" t="s">
        <v>5</v>
      </c>
      <c r="C790" t="s">
        <v>40</v>
      </c>
      <c r="D790" s="24">
        <v>46082</v>
      </c>
      <c r="E790" t="s">
        <v>416</v>
      </c>
      <c r="F790" t="s">
        <v>4</v>
      </c>
      <c r="G790" t="s">
        <v>217</v>
      </c>
      <c r="H790" t="s">
        <v>217</v>
      </c>
      <c r="I790" t="s">
        <v>221</v>
      </c>
      <c r="J790" s="25">
        <v>6964</v>
      </c>
      <c r="K790" s="26">
        <v>1251.23</v>
      </c>
      <c r="L790" s="26">
        <v>23.81</v>
      </c>
    </row>
    <row r="791" spans="1:12" ht="16" customHeight="1">
      <c r="A791" t="s">
        <v>424</v>
      </c>
      <c r="B791" t="s">
        <v>5</v>
      </c>
      <c r="C791" t="s">
        <v>40</v>
      </c>
      <c r="D791" s="24">
        <v>46082</v>
      </c>
      <c r="E791" t="s">
        <v>226</v>
      </c>
      <c r="F791" t="s">
        <v>4</v>
      </c>
      <c r="G791" t="s">
        <v>217</v>
      </c>
      <c r="H791" t="s">
        <v>217</v>
      </c>
      <c r="I791" t="s">
        <v>223</v>
      </c>
      <c r="J791" s="25">
        <v>1586</v>
      </c>
      <c r="K791" s="26">
        <v>286.89</v>
      </c>
      <c r="L791" s="26">
        <v>5.6</v>
      </c>
    </row>
    <row r="792" spans="1:12" ht="16" customHeight="1">
      <c r="A792" t="s">
        <v>424</v>
      </c>
      <c r="B792" t="s">
        <v>5</v>
      </c>
      <c r="C792" t="s">
        <v>40</v>
      </c>
      <c r="D792" s="24">
        <v>46082</v>
      </c>
      <c r="E792" t="s">
        <v>269</v>
      </c>
      <c r="F792" t="s">
        <v>4</v>
      </c>
      <c r="G792" t="s">
        <v>217</v>
      </c>
      <c r="H792" t="s">
        <v>217</v>
      </c>
      <c r="I792" t="s">
        <v>225</v>
      </c>
      <c r="J792" s="25">
        <v>0</v>
      </c>
      <c r="K792" s="26">
        <v>0</v>
      </c>
      <c r="L792" s="26">
        <v>0</v>
      </c>
    </row>
    <row r="793" spans="1:12" ht="16" customHeight="1">
      <c r="A793" t="s">
        <v>424</v>
      </c>
      <c r="B793" t="s">
        <v>5</v>
      </c>
      <c r="C793" t="s">
        <v>40</v>
      </c>
      <c r="D793" s="24">
        <v>46082</v>
      </c>
      <c r="E793" t="s">
        <v>228</v>
      </c>
      <c r="F793" t="s">
        <v>4</v>
      </c>
      <c r="G793" t="s">
        <v>217</v>
      </c>
      <c r="H793" t="s">
        <v>217</v>
      </c>
      <c r="I793" t="s">
        <v>227</v>
      </c>
      <c r="J793" s="25">
        <v>0</v>
      </c>
      <c r="K793" s="26">
        <v>0</v>
      </c>
      <c r="L793" s="26">
        <v>0</v>
      </c>
    </row>
    <row r="794" spans="1:12" ht="16" customHeight="1">
      <c r="A794" t="s">
        <v>426</v>
      </c>
      <c r="B794" t="s">
        <v>6</v>
      </c>
      <c r="C794" t="s">
        <v>40</v>
      </c>
      <c r="D794" s="24">
        <v>46082</v>
      </c>
      <c r="E794" t="s">
        <v>357</v>
      </c>
      <c r="F794" t="s">
        <v>3</v>
      </c>
      <c r="G794" t="s">
        <v>358</v>
      </c>
      <c r="H794" t="s">
        <v>358</v>
      </c>
      <c r="I794" t="s">
        <v>212</v>
      </c>
      <c r="J794" s="25">
        <v>2622396</v>
      </c>
      <c r="K794" s="26">
        <v>445454.84</v>
      </c>
      <c r="L794" s="26">
        <v>5364.27</v>
      </c>
    </row>
    <row r="795" spans="1:12" ht="16" customHeight="1">
      <c r="A795" t="s">
        <v>426</v>
      </c>
      <c r="B795" t="s">
        <v>6</v>
      </c>
      <c r="C795" t="s">
        <v>40</v>
      </c>
      <c r="D795" s="24">
        <v>46082</v>
      </c>
      <c r="E795" t="s">
        <v>387</v>
      </c>
      <c r="F795" t="s">
        <v>4</v>
      </c>
      <c r="G795" t="s">
        <v>217</v>
      </c>
      <c r="H795" t="s">
        <v>217</v>
      </c>
      <c r="I795" t="s">
        <v>219</v>
      </c>
      <c r="J795" s="25">
        <v>116200</v>
      </c>
      <c r="K795" s="26">
        <v>20480.34</v>
      </c>
      <c r="L795" s="26">
        <v>384.03</v>
      </c>
    </row>
    <row r="796" spans="1:12" ht="16" customHeight="1">
      <c r="A796" t="s">
        <v>426</v>
      </c>
      <c r="B796" t="s">
        <v>6</v>
      </c>
      <c r="C796" t="s">
        <v>40</v>
      </c>
      <c r="D796" s="24">
        <v>46082</v>
      </c>
      <c r="E796" t="s">
        <v>416</v>
      </c>
      <c r="F796" t="s">
        <v>4</v>
      </c>
      <c r="G796" t="s">
        <v>217</v>
      </c>
      <c r="H796" t="s">
        <v>217</v>
      </c>
      <c r="I796" t="s">
        <v>221</v>
      </c>
      <c r="J796" s="25">
        <v>6475</v>
      </c>
      <c r="K796" s="26">
        <v>1139.03</v>
      </c>
      <c r="L796" s="26">
        <v>26.25</v>
      </c>
    </row>
    <row r="797" spans="1:12" ht="16" customHeight="1">
      <c r="A797" t="s">
        <v>426</v>
      </c>
      <c r="B797" t="s">
        <v>6</v>
      </c>
      <c r="C797" t="s">
        <v>40</v>
      </c>
      <c r="D797" s="24">
        <v>46082</v>
      </c>
      <c r="E797" t="s">
        <v>226</v>
      </c>
      <c r="F797" t="s">
        <v>4</v>
      </c>
      <c r="G797" t="s">
        <v>217</v>
      </c>
      <c r="H797" t="s">
        <v>217</v>
      </c>
      <c r="I797" t="s">
        <v>223</v>
      </c>
      <c r="J797" s="25">
        <v>1155</v>
      </c>
      <c r="K797" s="26">
        <v>207.86</v>
      </c>
      <c r="L797" s="26">
        <v>3.79</v>
      </c>
    </row>
    <row r="798" spans="1:12" ht="16" customHeight="1">
      <c r="A798" t="s">
        <v>426</v>
      </c>
      <c r="B798" t="s">
        <v>6</v>
      </c>
      <c r="C798" t="s">
        <v>40</v>
      </c>
      <c r="D798" s="24">
        <v>46082</v>
      </c>
      <c r="E798" t="s">
        <v>269</v>
      </c>
      <c r="F798" t="s">
        <v>4</v>
      </c>
      <c r="G798" t="s">
        <v>217</v>
      </c>
      <c r="H798" t="s">
        <v>217</v>
      </c>
      <c r="I798" t="s">
        <v>225</v>
      </c>
      <c r="J798" s="25">
        <v>0</v>
      </c>
      <c r="K798" s="26">
        <v>0</v>
      </c>
      <c r="L798" s="26">
        <v>0</v>
      </c>
    </row>
    <row r="799" spans="1:12" ht="16" customHeight="1">
      <c r="A799" t="s">
        <v>426</v>
      </c>
      <c r="B799" t="s">
        <v>6</v>
      </c>
      <c r="C799" t="s">
        <v>40</v>
      </c>
      <c r="D799" s="24">
        <v>46082</v>
      </c>
      <c r="E799" t="s">
        <v>228</v>
      </c>
      <c r="F799" t="s">
        <v>4</v>
      </c>
      <c r="G799" t="s">
        <v>217</v>
      </c>
      <c r="H799" t="s">
        <v>217</v>
      </c>
      <c r="I799" t="s">
        <v>227</v>
      </c>
      <c r="J799" s="25">
        <v>0</v>
      </c>
      <c r="K799" s="26">
        <v>0</v>
      </c>
      <c r="L799" s="26">
        <v>0</v>
      </c>
    </row>
    <row r="800" spans="1:12" ht="16" customHeight="1">
      <c r="A800" t="s">
        <v>427</v>
      </c>
      <c r="B800" t="s">
        <v>7</v>
      </c>
      <c r="C800" t="s">
        <v>40</v>
      </c>
      <c r="D800" s="24">
        <v>46082</v>
      </c>
      <c r="E800" t="s">
        <v>357</v>
      </c>
      <c r="F800" t="s">
        <v>3</v>
      </c>
      <c r="G800" t="s">
        <v>358</v>
      </c>
      <c r="H800" t="s">
        <v>358</v>
      </c>
      <c r="I800" t="s">
        <v>212</v>
      </c>
      <c r="J800" s="25">
        <v>3217131</v>
      </c>
      <c r="K800" s="26">
        <v>536085.6</v>
      </c>
      <c r="L800" s="26">
        <v>7075.62</v>
      </c>
    </row>
    <row r="801" spans="1:12" ht="16" customHeight="1">
      <c r="A801" t="s">
        <v>427</v>
      </c>
      <c r="B801" t="s">
        <v>7</v>
      </c>
      <c r="C801" t="s">
        <v>40</v>
      </c>
      <c r="D801" s="24">
        <v>46082</v>
      </c>
      <c r="E801" t="s">
        <v>387</v>
      </c>
      <c r="F801" t="s">
        <v>4</v>
      </c>
      <c r="G801" t="s">
        <v>217</v>
      </c>
      <c r="H801" t="s">
        <v>217</v>
      </c>
      <c r="I801" t="s">
        <v>219</v>
      </c>
      <c r="J801" s="25">
        <v>160765</v>
      </c>
      <c r="K801" s="26">
        <v>28048.85</v>
      </c>
      <c r="L801" s="26">
        <v>532.09</v>
      </c>
    </row>
    <row r="802" spans="1:12" ht="16" customHeight="1">
      <c r="A802" t="s">
        <v>427</v>
      </c>
      <c r="B802" t="s">
        <v>7</v>
      </c>
      <c r="C802" t="s">
        <v>40</v>
      </c>
      <c r="D802" s="24">
        <v>46082</v>
      </c>
      <c r="E802" t="s">
        <v>416</v>
      </c>
      <c r="F802" t="s">
        <v>4</v>
      </c>
      <c r="G802" t="s">
        <v>217</v>
      </c>
      <c r="H802" t="s">
        <v>217</v>
      </c>
      <c r="I802" t="s">
        <v>221</v>
      </c>
      <c r="J802" s="25">
        <v>9073</v>
      </c>
      <c r="K802" s="26">
        <v>1595.69</v>
      </c>
      <c r="L802" s="26">
        <v>33.159999999999997</v>
      </c>
    </row>
    <row r="803" spans="1:12" ht="16" customHeight="1">
      <c r="A803" t="s">
        <v>427</v>
      </c>
      <c r="B803" t="s">
        <v>7</v>
      </c>
      <c r="C803" t="s">
        <v>40</v>
      </c>
      <c r="D803" s="24">
        <v>46082</v>
      </c>
      <c r="E803" t="s">
        <v>226</v>
      </c>
      <c r="F803" t="s">
        <v>4</v>
      </c>
      <c r="G803" t="s">
        <v>217</v>
      </c>
      <c r="H803" t="s">
        <v>217</v>
      </c>
      <c r="I803" t="s">
        <v>223</v>
      </c>
      <c r="J803" s="25">
        <v>2729</v>
      </c>
      <c r="K803" s="26">
        <v>495.67</v>
      </c>
      <c r="L803" s="26">
        <v>9.15</v>
      </c>
    </row>
    <row r="804" spans="1:12" ht="16" customHeight="1">
      <c r="A804" t="s">
        <v>427</v>
      </c>
      <c r="B804" t="s">
        <v>7</v>
      </c>
      <c r="C804" t="s">
        <v>40</v>
      </c>
      <c r="D804" s="24">
        <v>46082</v>
      </c>
      <c r="E804" t="s">
        <v>269</v>
      </c>
      <c r="F804" t="s">
        <v>4</v>
      </c>
      <c r="G804" t="s">
        <v>217</v>
      </c>
      <c r="H804" t="s">
        <v>217</v>
      </c>
      <c r="I804" t="s">
        <v>225</v>
      </c>
      <c r="J804" s="25">
        <v>0</v>
      </c>
      <c r="K804" s="26">
        <v>0</v>
      </c>
      <c r="L804" s="26">
        <v>0</v>
      </c>
    </row>
    <row r="805" spans="1:12" ht="16" customHeight="1">
      <c r="A805" t="s">
        <v>427</v>
      </c>
      <c r="B805" t="s">
        <v>7</v>
      </c>
      <c r="C805" t="s">
        <v>40</v>
      </c>
      <c r="D805" s="24">
        <v>46082</v>
      </c>
      <c r="E805" t="s">
        <v>228</v>
      </c>
      <c r="F805" t="s">
        <v>4</v>
      </c>
      <c r="G805" t="s">
        <v>217</v>
      </c>
      <c r="H805" t="s">
        <v>217</v>
      </c>
      <c r="I805" t="s">
        <v>227</v>
      </c>
      <c r="J805" s="25">
        <v>0</v>
      </c>
      <c r="K805" s="26">
        <v>0</v>
      </c>
      <c r="L805" s="26">
        <v>0</v>
      </c>
    </row>
    <row r="806" spans="1:12" ht="16" customHeight="1">
      <c r="A806" t="s">
        <v>428</v>
      </c>
      <c r="B806" t="s">
        <v>3</v>
      </c>
      <c r="C806" t="s">
        <v>41</v>
      </c>
      <c r="D806" s="24">
        <v>46082</v>
      </c>
      <c r="E806" t="s">
        <v>357</v>
      </c>
      <c r="F806" t="s">
        <v>3</v>
      </c>
      <c r="G806" t="s">
        <v>358</v>
      </c>
      <c r="H806" t="s">
        <v>358</v>
      </c>
      <c r="I806" t="s">
        <v>212</v>
      </c>
      <c r="J806" s="25">
        <v>3269610</v>
      </c>
      <c r="K806" s="26">
        <v>543354.13</v>
      </c>
      <c r="L806" s="26">
        <v>6553.62</v>
      </c>
    </row>
    <row r="807" spans="1:12" ht="16" customHeight="1">
      <c r="A807" t="s">
        <v>428</v>
      </c>
      <c r="B807" t="s">
        <v>3</v>
      </c>
      <c r="C807" t="s">
        <v>41</v>
      </c>
      <c r="D807" s="24">
        <v>46082</v>
      </c>
      <c r="E807" t="s">
        <v>387</v>
      </c>
      <c r="F807" t="s">
        <v>4</v>
      </c>
      <c r="G807" t="s">
        <v>217</v>
      </c>
      <c r="H807" t="s">
        <v>217</v>
      </c>
      <c r="I807" t="s">
        <v>219</v>
      </c>
      <c r="J807" s="25">
        <v>129880</v>
      </c>
      <c r="K807" s="26">
        <v>22749.86</v>
      </c>
      <c r="L807" s="26">
        <v>417.16</v>
      </c>
    </row>
    <row r="808" spans="1:12" ht="16" customHeight="1">
      <c r="A808" t="s">
        <v>428</v>
      </c>
      <c r="B808" t="s">
        <v>3</v>
      </c>
      <c r="C808" t="s">
        <v>41</v>
      </c>
      <c r="D808" s="24">
        <v>46082</v>
      </c>
      <c r="E808" t="s">
        <v>416</v>
      </c>
      <c r="F808" t="s">
        <v>4</v>
      </c>
      <c r="G808" t="s">
        <v>217</v>
      </c>
      <c r="H808" t="s">
        <v>217</v>
      </c>
      <c r="I808" t="s">
        <v>221</v>
      </c>
      <c r="J808" s="25">
        <v>9942</v>
      </c>
      <c r="K808" s="26">
        <v>1774.25</v>
      </c>
      <c r="L808" s="26">
        <v>45.16</v>
      </c>
    </row>
    <row r="809" spans="1:12" ht="16" customHeight="1">
      <c r="A809" t="s">
        <v>428</v>
      </c>
      <c r="B809" t="s">
        <v>3</v>
      </c>
      <c r="C809" t="s">
        <v>41</v>
      </c>
      <c r="D809" s="24">
        <v>46082</v>
      </c>
      <c r="E809" t="s">
        <v>226</v>
      </c>
      <c r="F809" t="s">
        <v>4</v>
      </c>
      <c r="G809" t="s">
        <v>217</v>
      </c>
      <c r="H809" t="s">
        <v>217</v>
      </c>
      <c r="I809" t="s">
        <v>223</v>
      </c>
      <c r="J809" s="25">
        <v>1452</v>
      </c>
      <c r="K809" s="26">
        <v>265.08999999999997</v>
      </c>
      <c r="L809" s="26">
        <v>5.87</v>
      </c>
    </row>
    <row r="810" spans="1:12" ht="16" customHeight="1">
      <c r="A810" t="s">
        <v>428</v>
      </c>
      <c r="B810" t="s">
        <v>3</v>
      </c>
      <c r="C810" t="s">
        <v>41</v>
      </c>
      <c r="D810" s="24">
        <v>46082</v>
      </c>
      <c r="E810" t="s">
        <v>269</v>
      </c>
      <c r="F810" t="s">
        <v>4</v>
      </c>
      <c r="G810" t="s">
        <v>217</v>
      </c>
      <c r="H810" t="s">
        <v>217</v>
      </c>
      <c r="I810" t="s">
        <v>225</v>
      </c>
      <c r="J810" s="25">
        <v>0</v>
      </c>
      <c r="K810" s="26">
        <v>0</v>
      </c>
      <c r="L810" s="26">
        <v>0</v>
      </c>
    </row>
    <row r="811" spans="1:12" ht="16" customHeight="1">
      <c r="A811" t="s">
        <v>428</v>
      </c>
      <c r="B811" t="s">
        <v>3</v>
      </c>
      <c r="C811" t="s">
        <v>41</v>
      </c>
      <c r="D811" s="24">
        <v>46082</v>
      </c>
      <c r="E811" t="s">
        <v>228</v>
      </c>
      <c r="F811" t="s">
        <v>4</v>
      </c>
      <c r="G811" t="s">
        <v>217</v>
      </c>
      <c r="H811" t="s">
        <v>217</v>
      </c>
      <c r="I811" t="s">
        <v>227</v>
      </c>
      <c r="J811" s="25">
        <v>0</v>
      </c>
      <c r="K811" s="26">
        <v>0</v>
      </c>
      <c r="L811" s="26">
        <v>0</v>
      </c>
    </row>
    <row r="812" spans="1:12" ht="16" customHeight="1">
      <c r="A812" t="s">
        <v>406</v>
      </c>
      <c r="B812" t="s">
        <v>4</v>
      </c>
      <c r="C812" t="s">
        <v>41</v>
      </c>
      <c r="D812" s="24">
        <v>46082</v>
      </c>
      <c r="E812" t="s">
        <v>357</v>
      </c>
      <c r="F812" t="s">
        <v>3</v>
      </c>
      <c r="G812" t="s">
        <v>358</v>
      </c>
      <c r="H812" t="s">
        <v>358</v>
      </c>
      <c r="I812" t="s">
        <v>212</v>
      </c>
      <c r="J812" s="25">
        <v>2770487</v>
      </c>
      <c r="K812" s="26">
        <v>460221.11</v>
      </c>
      <c r="L812" s="26">
        <v>4917.42</v>
      </c>
    </row>
    <row r="813" spans="1:12" ht="16" customHeight="1">
      <c r="A813" t="s">
        <v>406</v>
      </c>
      <c r="B813" t="s">
        <v>4</v>
      </c>
      <c r="C813" t="s">
        <v>41</v>
      </c>
      <c r="D813" s="24">
        <v>46082</v>
      </c>
      <c r="E813" t="s">
        <v>387</v>
      </c>
      <c r="F813" t="s">
        <v>4</v>
      </c>
      <c r="G813" t="s">
        <v>217</v>
      </c>
      <c r="H813" t="s">
        <v>217</v>
      </c>
      <c r="I813" t="s">
        <v>219</v>
      </c>
      <c r="J813" s="25">
        <v>153010</v>
      </c>
      <c r="K813" s="26">
        <v>27466.41</v>
      </c>
      <c r="L813" s="26">
        <v>534.09</v>
      </c>
    </row>
    <row r="814" spans="1:12" ht="16" customHeight="1">
      <c r="A814" t="s">
        <v>406</v>
      </c>
      <c r="B814" t="s">
        <v>4</v>
      </c>
      <c r="C814" t="s">
        <v>41</v>
      </c>
      <c r="D814" s="24">
        <v>46082</v>
      </c>
      <c r="E814" t="s">
        <v>416</v>
      </c>
      <c r="F814" t="s">
        <v>4</v>
      </c>
      <c r="G814" t="s">
        <v>217</v>
      </c>
      <c r="H814" t="s">
        <v>217</v>
      </c>
      <c r="I814" t="s">
        <v>221</v>
      </c>
      <c r="J814" s="25">
        <v>7194</v>
      </c>
      <c r="K814" s="26">
        <v>1267.07</v>
      </c>
      <c r="L814" s="26">
        <v>22</v>
      </c>
    </row>
    <row r="815" spans="1:12" ht="16" customHeight="1">
      <c r="A815" t="s">
        <v>406</v>
      </c>
      <c r="B815" t="s">
        <v>4</v>
      </c>
      <c r="C815" t="s">
        <v>41</v>
      </c>
      <c r="D815" s="24">
        <v>46082</v>
      </c>
      <c r="E815" t="s">
        <v>226</v>
      </c>
      <c r="F815" t="s">
        <v>4</v>
      </c>
      <c r="G815" t="s">
        <v>217</v>
      </c>
      <c r="H815" t="s">
        <v>217</v>
      </c>
      <c r="I815" t="s">
        <v>223</v>
      </c>
      <c r="J815" s="25">
        <v>2282</v>
      </c>
      <c r="K815" s="26">
        <v>416.4</v>
      </c>
      <c r="L815" s="26">
        <v>15.1</v>
      </c>
    </row>
    <row r="816" spans="1:12" ht="16" customHeight="1">
      <c r="A816" t="s">
        <v>406</v>
      </c>
      <c r="B816" t="s">
        <v>4</v>
      </c>
      <c r="C816" t="s">
        <v>41</v>
      </c>
      <c r="D816" s="24">
        <v>46082</v>
      </c>
      <c r="E816" t="s">
        <v>269</v>
      </c>
      <c r="F816" t="s">
        <v>4</v>
      </c>
      <c r="G816" t="s">
        <v>217</v>
      </c>
      <c r="H816" t="s">
        <v>217</v>
      </c>
      <c r="I816" t="s">
        <v>225</v>
      </c>
      <c r="J816" s="25">
        <v>0</v>
      </c>
      <c r="K816" s="26">
        <v>0</v>
      </c>
      <c r="L816" s="26">
        <v>0</v>
      </c>
    </row>
    <row r="817" spans="1:12" ht="16" customHeight="1">
      <c r="A817" t="s">
        <v>406</v>
      </c>
      <c r="B817" t="s">
        <v>4</v>
      </c>
      <c r="C817" t="s">
        <v>41</v>
      </c>
      <c r="D817" s="24">
        <v>46082</v>
      </c>
      <c r="E817" t="s">
        <v>228</v>
      </c>
      <c r="F817" t="s">
        <v>4</v>
      </c>
      <c r="G817" t="s">
        <v>217</v>
      </c>
      <c r="H817" t="s">
        <v>217</v>
      </c>
      <c r="I817" t="s">
        <v>227</v>
      </c>
      <c r="J817" s="25">
        <v>0</v>
      </c>
      <c r="K817" s="26">
        <v>0</v>
      </c>
      <c r="L817" s="26">
        <v>0</v>
      </c>
    </row>
    <row r="818" spans="1:12" ht="16" customHeight="1">
      <c r="A818" t="s">
        <v>429</v>
      </c>
      <c r="B818" t="s">
        <v>5</v>
      </c>
      <c r="C818" t="s">
        <v>41</v>
      </c>
      <c r="D818" s="24">
        <v>46082</v>
      </c>
      <c r="E818" t="s">
        <v>357</v>
      </c>
      <c r="F818" t="s">
        <v>3</v>
      </c>
      <c r="G818" t="s">
        <v>358</v>
      </c>
      <c r="H818" t="s">
        <v>358</v>
      </c>
      <c r="I818" t="s">
        <v>212</v>
      </c>
      <c r="J818" s="25">
        <v>3507101</v>
      </c>
      <c r="K818" s="26">
        <v>585030.80000000005</v>
      </c>
      <c r="L818" s="26">
        <v>4921.18</v>
      </c>
    </row>
    <row r="819" spans="1:12" ht="16" customHeight="1">
      <c r="A819" t="s">
        <v>429</v>
      </c>
      <c r="B819" t="s">
        <v>5</v>
      </c>
      <c r="C819" t="s">
        <v>41</v>
      </c>
      <c r="D819" s="24">
        <v>46082</v>
      </c>
      <c r="E819" t="s">
        <v>387</v>
      </c>
      <c r="F819" t="s">
        <v>4</v>
      </c>
      <c r="G819" t="s">
        <v>217</v>
      </c>
      <c r="H819" t="s">
        <v>217</v>
      </c>
      <c r="I819" t="s">
        <v>219</v>
      </c>
      <c r="J819" s="25">
        <v>182675</v>
      </c>
      <c r="K819" s="26">
        <v>32757.98</v>
      </c>
      <c r="L819" s="26">
        <v>723.4</v>
      </c>
    </row>
    <row r="820" spans="1:12" ht="16" customHeight="1">
      <c r="A820" t="s">
        <v>429</v>
      </c>
      <c r="B820" t="s">
        <v>5</v>
      </c>
      <c r="C820" t="s">
        <v>41</v>
      </c>
      <c r="D820" s="24">
        <v>46082</v>
      </c>
      <c r="E820" t="s">
        <v>416</v>
      </c>
      <c r="F820" t="s">
        <v>4</v>
      </c>
      <c r="G820" t="s">
        <v>217</v>
      </c>
      <c r="H820" t="s">
        <v>217</v>
      </c>
      <c r="I820" t="s">
        <v>221</v>
      </c>
      <c r="J820" s="25">
        <v>9872</v>
      </c>
      <c r="K820" s="26">
        <v>1738.24</v>
      </c>
      <c r="L820" s="26">
        <v>35.06</v>
      </c>
    </row>
    <row r="821" spans="1:12" ht="16" customHeight="1">
      <c r="A821" t="s">
        <v>429</v>
      </c>
      <c r="B821" t="s">
        <v>5</v>
      </c>
      <c r="C821" t="s">
        <v>41</v>
      </c>
      <c r="D821" s="24">
        <v>46082</v>
      </c>
      <c r="E821" t="s">
        <v>226</v>
      </c>
      <c r="F821" t="s">
        <v>4</v>
      </c>
      <c r="G821" t="s">
        <v>217</v>
      </c>
      <c r="H821" t="s">
        <v>217</v>
      </c>
      <c r="I821" t="s">
        <v>223</v>
      </c>
      <c r="J821" s="25">
        <v>2915</v>
      </c>
      <c r="K821" s="26">
        <v>531.66999999999996</v>
      </c>
      <c r="L821" s="26">
        <v>18.09</v>
      </c>
    </row>
    <row r="822" spans="1:12" ht="16" customHeight="1">
      <c r="A822" t="s">
        <v>429</v>
      </c>
      <c r="B822" t="s">
        <v>5</v>
      </c>
      <c r="C822" t="s">
        <v>41</v>
      </c>
      <c r="D822" s="24">
        <v>46082</v>
      </c>
      <c r="E822" t="s">
        <v>269</v>
      </c>
      <c r="F822" t="s">
        <v>4</v>
      </c>
      <c r="G822" t="s">
        <v>217</v>
      </c>
      <c r="H822" t="s">
        <v>217</v>
      </c>
      <c r="I822" t="s">
        <v>225</v>
      </c>
      <c r="J822" s="25">
        <v>0</v>
      </c>
      <c r="K822" s="26">
        <v>0</v>
      </c>
      <c r="L822" s="26">
        <v>0</v>
      </c>
    </row>
    <row r="823" spans="1:12" ht="16" customHeight="1">
      <c r="A823" t="s">
        <v>429</v>
      </c>
      <c r="B823" t="s">
        <v>5</v>
      </c>
      <c r="C823" t="s">
        <v>41</v>
      </c>
      <c r="D823" s="24">
        <v>46082</v>
      </c>
      <c r="E823" t="s">
        <v>228</v>
      </c>
      <c r="F823" t="s">
        <v>4</v>
      </c>
      <c r="G823" t="s">
        <v>217</v>
      </c>
      <c r="H823" t="s">
        <v>217</v>
      </c>
      <c r="I823" t="s">
        <v>227</v>
      </c>
      <c r="J823" s="25">
        <v>0</v>
      </c>
      <c r="K823" s="26">
        <v>0</v>
      </c>
      <c r="L823" s="26">
        <v>0</v>
      </c>
    </row>
    <row r="824" spans="1:12" ht="16" customHeight="1">
      <c r="A824" t="s">
        <v>431</v>
      </c>
      <c r="B824" t="s">
        <v>6</v>
      </c>
      <c r="C824" t="s">
        <v>41</v>
      </c>
      <c r="D824" s="24">
        <v>46082</v>
      </c>
      <c r="E824" t="s">
        <v>357</v>
      </c>
      <c r="F824" t="s">
        <v>3</v>
      </c>
      <c r="G824" t="s">
        <v>358</v>
      </c>
      <c r="H824" t="s">
        <v>358</v>
      </c>
      <c r="I824" t="s">
        <v>212</v>
      </c>
      <c r="J824" s="25">
        <v>4382804</v>
      </c>
      <c r="K824" s="26">
        <v>718332.45</v>
      </c>
      <c r="L824" s="26">
        <v>6685.72</v>
      </c>
    </row>
    <row r="825" spans="1:12" ht="16" customHeight="1">
      <c r="A825" t="s">
        <v>431</v>
      </c>
      <c r="B825" t="s">
        <v>6</v>
      </c>
      <c r="C825" t="s">
        <v>41</v>
      </c>
      <c r="D825" s="24">
        <v>46082</v>
      </c>
      <c r="E825" t="s">
        <v>387</v>
      </c>
      <c r="F825" t="s">
        <v>4</v>
      </c>
      <c r="G825" t="s">
        <v>217</v>
      </c>
      <c r="H825" t="s">
        <v>217</v>
      </c>
      <c r="I825" t="s">
        <v>219</v>
      </c>
      <c r="J825" s="25">
        <v>211453</v>
      </c>
      <c r="K825" s="26">
        <v>36451.800000000003</v>
      </c>
      <c r="L825" s="26">
        <v>604.36</v>
      </c>
    </row>
    <row r="826" spans="1:12" ht="16" customHeight="1">
      <c r="A826" t="s">
        <v>431</v>
      </c>
      <c r="B826" t="s">
        <v>6</v>
      </c>
      <c r="C826" t="s">
        <v>41</v>
      </c>
      <c r="D826" s="24">
        <v>46082</v>
      </c>
      <c r="E826" t="s">
        <v>416</v>
      </c>
      <c r="F826" t="s">
        <v>4</v>
      </c>
      <c r="G826" t="s">
        <v>217</v>
      </c>
      <c r="H826" t="s">
        <v>217</v>
      </c>
      <c r="I826" t="s">
        <v>221</v>
      </c>
      <c r="J826" s="25">
        <v>13023</v>
      </c>
      <c r="K826" s="26">
        <v>2230.7800000000002</v>
      </c>
      <c r="L826" s="26">
        <v>40.98</v>
      </c>
    </row>
    <row r="827" spans="1:12" ht="16" customHeight="1">
      <c r="A827" t="s">
        <v>431</v>
      </c>
      <c r="B827" t="s">
        <v>6</v>
      </c>
      <c r="C827" t="s">
        <v>41</v>
      </c>
      <c r="D827" s="24">
        <v>46082</v>
      </c>
      <c r="E827" t="s">
        <v>226</v>
      </c>
      <c r="F827" t="s">
        <v>4</v>
      </c>
      <c r="G827" t="s">
        <v>217</v>
      </c>
      <c r="H827" t="s">
        <v>217</v>
      </c>
      <c r="I827" t="s">
        <v>223</v>
      </c>
      <c r="J827" s="25">
        <v>2651</v>
      </c>
      <c r="K827" s="26">
        <v>475.75</v>
      </c>
      <c r="L827" s="26">
        <v>9.92</v>
      </c>
    </row>
    <row r="828" spans="1:12" ht="16" customHeight="1">
      <c r="A828" t="s">
        <v>431</v>
      </c>
      <c r="B828" t="s">
        <v>6</v>
      </c>
      <c r="C828" t="s">
        <v>41</v>
      </c>
      <c r="D828" s="24">
        <v>46082</v>
      </c>
      <c r="E828" t="s">
        <v>269</v>
      </c>
      <c r="F828" t="s">
        <v>4</v>
      </c>
      <c r="G828" t="s">
        <v>217</v>
      </c>
      <c r="H828" t="s">
        <v>217</v>
      </c>
      <c r="I828" t="s">
        <v>225</v>
      </c>
      <c r="J828" s="25">
        <v>0</v>
      </c>
      <c r="K828" s="26">
        <v>0</v>
      </c>
      <c r="L828" s="26">
        <v>0</v>
      </c>
    </row>
    <row r="829" spans="1:12" ht="16" customHeight="1">
      <c r="A829" t="s">
        <v>431</v>
      </c>
      <c r="B829" t="s">
        <v>6</v>
      </c>
      <c r="C829" t="s">
        <v>41</v>
      </c>
      <c r="D829" s="24">
        <v>46082</v>
      </c>
      <c r="E829" t="s">
        <v>228</v>
      </c>
      <c r="F829" t="s">
        <v>4</v>
      </c>
      <c r="G829" t="s">
        <v>217</v>
      </c>
      <c r="H829" t="s">
        <v>217</v>
      </c>
      <c r="I829" t="s">
        <v>227</v>
      </c>
      <c r="J829" s="25">
        <v>0</v>
      </c>
      <c r="K829" s="26">
        <v>0</v>
      </c>
      <c r="L829" s="26">
        <v>0</v>
      </c>
    </row>
    <row r="830" spans="1:12" ht="16" customHeight="1">
      <c r="A830" t="s">
        <v>432</v>
      </c>
      <c r="B830" t="s">
        <v>7</v>
      </c>
      <c r="C830" t="s">
        <v>41</v>
      </c>
      <c r="D830" s="24">
        <v>46082</v>
      </c>
      <c r="E830" t="s">
        <v>357</v>
      </c>
      <c r="F830" t="s">
        <v>3</v>
      </c>
      <c r="G830" t="s">
        <v>358</v>
      </c>
      <c r="H830" t="s">
        <v>358</v>
      </c>
      <c r="I830" t="s">
        <v>212</v>
      </c>
      <c r="J830" s="25">
        <v>4159763</v>
      </c>
      <c r="K830" s="26">
        <v>681343.29</v>
      </c>
      <c r="L830" s="26">
        <v>6895.34</v>
      </c>
    </row>
    <row r="831" spans="1:12" ht="16" customHeight="1">
      <c r="A831" t="s">
        <v>432</v>
      </c>
      <c r="B831" t="s">
        <v>7</v>
      </c>
      <c r="C831" t="s">
        <v>41</v>
      </c>
      <c r="D831" s="24">
        <v>46082</v>
      </c>
      <c r="E831" t="s">
        <v>387</v>
      </c>
      <c r="F831" t="s">
        <v>4</v>
      </c>
      <c r="G831" t="s">
        <v>217</v>
      </c>
      <c r="H831" t="s">
        <v>217</v>
      </c>
      <c r="I831" t="s">
        <v>219</v>
      </c>
      <c r="J831" s="25">
        <v>164907</v>
      </c>
      <c r="K831" s="26">
        <v>28333.17</v>
      </c>
      <c r="L831" s="26">
        <v>520.58000000000004</v>
      </c>
    </row>
    <row r="832" spans="1:12" ht="16" customHeight="1">
      <c r="A832" t="s">
        <v>432</v>
      </c>
      <c r="B832" t="s">
        <v>7</v>
      </c>
      <c r="C832" t="s">
        <v>41</v>
      </c>
      <c r="D832" s="24">
        <v>46082</v>
      </c>
      <c r="E832" t="s">
        <v>416</v>
      </c>
      <c r="F832" t="s">
        <v>4</v>
      </c>
      <c r="G832" t="s">
        <v>217</v>
      </c>
      <c r="H832" t="s">
        <v>217</v>
      </c>
      <c r="I832" t="s">
        <v>221</v>
      </c>
      <c r="J832" s="25">
        <v>11759</v>
      </c>
      <c r="K832" s="26">
        <v>2038.9</v>
      </c>
      <c r="L832" s="26">
        <v>36.049999999999997</v>
      </c>
    </row>
    <row r="833" spans="1:12" ht="16" customHeight="1">
      <c r="A833" t="s">
        <v>432</v>
      </c>
      <c r="B833" t="s">
        <v>7</v>
      </c>
      <c r="C833" t="s">
        <v>41</v>
      </c>
      <c r="D833" s="24">
        <v>46082</v>
      </c>
      <c r="E833" t="s">
        <v>226</v>
      </c>
      <c r="F833" t="s">
        <v>4</v>
      </c>
      <c r="G833" t="s">
        <v>217</v>
      </c>
      <c r="H833" t="s">
        <v>217</v>
      </c>
      <c r="I833" t="s">
        <v>223</v>
      </c>
      <c r="J833" s="25">
        <v>5460</v>
      </c>
      <c r="K833" s="26">
        <v>994.19</v>
      </c>
      <c r="L833" s="26">
        <v>40.9</v>
      </c>
    </row>
    <row r="834" spans="1:12" ht="16" customHeight="1">
      <c r="A834" t="s">
        <v>432</v>
      </c>
      <c r="B834" t="s">
        <v>7</v>
      </c>
      <c r="C834" t="s">
        <v>41</v>
      </c>
      <c r="D834" s="24">
        <v>46082</v>
      </c>
      <c r="E834" t="s">
        <v>269</v>
      </c>
      <c r="F834" t="s">
        <v>4</v>
      </c>
      <c r="G834" t="s">
        <v>217</v>
      </c>
      <c r="H834" t="s">
        <v>217</v>
      </c>
      <c r="I834" t="s">
        <v>225</v>
      </c>
      <c r="J834" s="25">
        <v>0</v>
      </c>
      <c r="K834" s="26">
        <v>0</v>
      </c>
      <c r="L834" s="26">
        <v>0</v>
      </c>
    </row>
    <row r="835" spans="1:12" ht="16" customHeight="1">
      <c r="A835" t="s">
        <v>432</v>
      </c>
      <c r="B835" t="s">
        <v>7</v>
      </c>
      <c r="C835" t="s">
        <v>41</v>
      </c>
      <c r="D835" s="24">
        <v>46082</v>
      </c>
      <c r="E835" t="s">
        <v>228</v>
      </c>
      <c r="F835" t="s">
        <v>4</v>
      </c>
      <c r="G835" t="s">
        <v>217</v>
      </c>
      <c r="H835" t="s">
        <v>217</v>
      </c>
      <c r="I835" t="s">
        <v>227</v>
      </c>
      <c r="J835" s="25">
        <v>0</v>
      </c>
      <c r="K835" s="26">
        <v>0</v>
      </c>
      <c r="L835" s="26">
        <v>0</v>
      </c>
    </row>
    <row r="836" spans="1:12" ht="16" customHeight="1">
      <c r="A836" t="s">
        <v>433</v>
      </c>
      <c r="B836" t="s">
        <v>3</v>
      </c>
      <c r="C836" t="s">
        <v>42</v>
      </c>
      <c r="D836" s="24">
        <v>46082</v>
      </c>
      <c r="E836" t="s">
        <v>357</v>
      </c>
      <c r="F836" t="s">
        <v>3</v>
      </c>
      <c r="G836" t="s">
        <v>358</v>
      </c>
      <c r="H836" t="s">
        <v>358</v>
      </c>
      <c r="I836" t="s">
        <v>212</v>
      </c>
      <c r="J836" s="25">
        <v>4418333</v>
      </c>
      <c r="K836" s="26">
        <v>706175.03</v>
      </c>
      <c r="L836" s="26">
        <v>8238.4599999999991</v>
      </c>
    </row>
    <row r="837" spans="1:12" ht="16" customHeight="1">
      <c r="A837" t="s">
        <v>433</v>
      </c>
      <c r="B837" t="s">
        <v>3</v>
      </c>
      <c r="C837" t="s">
        <v>42</v>
      </c>
      <c r="D837" s="24">
        <v>46082</v>
      </c>
      <c r="E837" t="s">
        <v>387</v>
      </c>
      <c r="F837" t="s">
        <v>4</v>
      </c>
      <c r="G837" t="s">
        <v>217</v>
      </c>
      <c r="H837" t="s">
        <v>217</v>
      </c>
      <c r="I837" t="s">
        <v>219</v>
      </c>
      <c r="J837" s="25">
        <v>239462</v>
      </c>
      <c r="K837" s="26">
        <v>40677.599999999999</v>
      </c>
      <c r="L837" s="26">
        <v>964.24</v>
      </c>
    </row>
    <row r="838" spans="1:12" ht="16" customHeight="1">
      <c r="A838" t="s">
        <v>433</v>
      </c>
      <c r="B838" t="s">
        <v>3</v>
      </c>
      <c r="C838" t="s">
        <v>42</v>
      </c>
      <c r="D838" s="24">
        <v>46082</v>
      </c>
      <c r="E838" t="s">
        <v>416</v>
      </c>
      <c r="F838" t="s">
        <v>4</v>
      </c>
      <c r="G838" t="s">
        <v>217</v>
      </c>
      <c r="H838" t="s">
        <v>217</v>
      </c>
      <c r="I838" t="s">
        <v>221</v>
      </c>
      <c r="J838" s="25">
        <v>17769</v>
      </c>
      <c r="K838" s="26">
        <v>3037.21</v>
      </c>
      <c r="L838" s="26">
        <v>74.17</v>
      </c>
    </row>
    <row r="839" spans="1:12" ht="16" customHeight="1">
      <c r="A839" t="s">
        <v>433</v>
      </c>
      <c r="B839" t="s">
        <v>3</v>
      </c>
      <c r="C839" t="s">
        <v>42</v>
      </c>
      <c r="D839" s="24">
        <v>46082</v>
      </c>
      <c r="E839" t="s">
        <v>226</v>
      </c>
      <c r="F839" t="s">
        <v>4</v>
      </c>
      <c r="G839" t="s">
        <v>217</v>
      </c>
      <c r="H839" t="s">
        <v>217</v>
      </c>
      <c r="I839" t="s">
        <v>223</v>
      </c>
      <c r="J839" s="25">
        <v>4014</v>
      </c>
      <c r="K839" s="26">
        <v>713.33</v>
      </c>
      <c r="L839" s="26">
        <v>20.7</v>
      </c>
    </row>
    <row r="840" spans="1:12" ht="16" customHeight="1">
      <c r="A840" t="s">
        <v>433</v>
      </c>
      <c r="B840" t="s">
        <v>3</v>
      </c>
      <c r="C840" t="s">
        <v>42</v>
      </c>
      <c r="D840" s="24">
        <v>46082</v>
      </c>
      <c r="E840" t="s">
        <v>269</v>
      </c>
      <c r="F840" t="s">
        <v>4</v>
      </c>
      <c r="G840" t="s">
        <v>217</v>
      </c>
      <c r="H840" t="s">
        <v>217</v>
      </c>
      <c r="I840" t="s">
        <v>225</v>
      </c>
      <c r="J840" s="25">
        <v>0</v>
      </c>
      <c r="K840" s="26">
        <v>0</v>
      </c>
      <c r="L840" s="26">
        <v>0</v>
      </c>
    </row>
    <row r="841" spans="1:12" ht="16" customHeight="1">
      <c r="A841" t="s">
        <v>433</v>
      </c>
      <c r="B841" t="s">
        <v>3</v>
      </c>
      <c r="C841" t="s">
        <v>42</v>
      </c>
      <c r="D841" s="24">
        <v>46082</v>
      </c>
      <c r="E841" t="s">
        <v>228</v>
      </c>
      <c r="F841" t="s">
        <v>4</v>
      </c>
      <c r="G841" t="s">
        <v>217</v>
      </c>
      <c r="H841" t="s">
        <v>217</v>
      </c>
      <c r="I841" t="s">
        <v>227</v>
      </c>
      <c r="J841" s="25">
        <v>0</v>
      </c>
      <c r="K841" s="26">
        <v>0</v>
      </c>
      <c r="L841" s="26">
        <v>0</v>
      </c>
    </row>
    <row r="842" spans="1:12" ht="16" customHeight="1">
      <c r="A842" t="s">
        <v>411</v>
      </c>
      <c r="B842" t="s">
        <v>4</v>
      </c>
      <c r="C842" t="s">
        <v>42</v>
      </c>
      <c r="D842" s="24">
        <v>46082</v>
      </c>
      <c r="E842" t="s">
        <v>357</v>
      </c>
      <c r="F842" t="s">
        <v>3</v>
      </c>
      <c r="G842" t="s">
        <v>358</v>
      </c>
      <c r="H842" t="s">
        <v>358</v>
      </c>
      <c r="I842" t="s">
        <v>212</v>
      </c>
      <c r="J842" s="25">
        <v>4968343</v>
      </c>
      <c r="K842" s="26">
        <v>794151.22</v>
      </c>
      <c r="L842" s="26">
        <v>7552</v>
      </c>
    </row>
    <row r="843" spans="1:12" ht="16" customHeight="1">
      <c r="A843" t="s">
        <v>411</v>
      </c>
      <c r="B843" t="s">
        <v>4</v>
      </c>
      <c r="C843" t="s">
        <v>42</v>
      </c>
      <c r="D843" s="24">
        <v>46082</v>
      </c>
      <c r="E843" t="s">
        <v>387</v>
      </c>
      <c r="F843" t="s">
        <v>4</v>
      </c>
      <c r="G843" t="s">
        <v>217</v>
      </c>
      <c r="H843" t="s">
        <v>217</v>
      </c>
      <c r="I843" t="s">
        <v>219</v>
      </c>
      <c r="J843" s="25">
        <v>200927</v>
      </c>
      <c r="K843" s="26">
        <v>33835.19</v>
      </c>
      <c r="L843" s="26">
        <v>797.12</v>
      </c>
    </row>
    <row r="844" spans="1:12" ht="16" customHeight="1">
      <c r="A844" t="s">
        <v>411</v>
      </c>
      <c r="B844" t="s">
        <v>4</v>
      </c>
      <c r="C844" t="s">
        <v>42</v>
      </c>
      <c r="D844" s="24">
        <v>46082</v>
      </c>
      <c r="E844" t="s">
        <v>416</v>
      </c>
      <c r="F844" t="s">
        <v>4</v>
      </c>
      <c r="G844" t="s">
        <v>217</v>
      </c>
      <c r="H844" t="s">
        <v>217</v>
      </c>
      <c r="I844" t="s">
        <v>221</v>
      </c>
      <c r="J844" s="25">
        <v>11386</v>
      </c>
      <c r="K844" s="26">
        <v>1932.61</v>
      </c>
      <c r="L844" s="26">
        <v>53.18</v>
      </c>
    </row>
    <row r="845" spans="1:12" ht="16" customHeight="1">
      <c r="A845" t="s">
        <v>411</v>
      </c>
      <c r="B845" t="s">
        <v>4</v>
      </c>
      <c r="C845" t="s">
        <v>42</v>
      </c>
      <c r="D845" s="24">
        <v>46082</v>
      </c>
      <c r="E845" t="s">
        <v>226</v>
      </c>
      <c r="F845" t="s">
        <v>4</v>
      </c>
      <c r="G845" t="s">
        <v>217</v>
      </c>
      <c r="H845" t="s">
        <v>217</v>
      </c>
      <c r="I845" t="s">
        <v>223</v>
      </c>
      <c r="J845" s="25">
        <v>2948</v>
      </c>
      <c r="K845" s="26">
        <v>531.38</v>
      </c>
      <c r="L845" s="26">
        <v>18.62</v>
      </c>
    </row>
    <row r="846" spans="1:12" ht="16" customHeight="1">
      <c r="A846" t="s">
        <v>411</v>
      </c>
      <c r="B846" t="s">
        <v>4</v>
      </c>
      <c r="C846" t="s">
        <v>42</v>
      </c>
      <c r="D846" s="24">
        <v>46082</v>
      </c>
      <c r="E846" t="s">
        <v>269</v>
      </c>
      <c r="F846" t="s">
        <v>4</v>
      </c>
      <c r="G846" t="s">
        <v>217</v>
      </c>
      <c r="H846" t="s">
        <v>217</v>
      </c>
      <c r="I846" t="s">
        <v>225</v>
      </c>
      <c r="J846" s="25">
        <v>0</v>
      </c>
      <c r="K846" s="26">
        <v>0</v>
      </c>
      <c r="L846" s="26">
        <v>0</v>
      </c>
    </row>
    <row r="847" spans="1:12" ht="16" customHeight="1">
      <c r="A847" t="s">
        <v>411</v>
      </c>
      <c r="B847" t="s">
        <v>4</v>
      </c>
      <c r="C847" t="s">
        <v>42</v>
      </c>
      <c r="D847" s="24">
        <v>46082</v>
      </c>
      <c r="E847" t="s">
        <v>228</v>
      </c>
      <c r="F847" t="s">
        <v>4</v>
      </c>
      <c r="G847" t="s">
        <v>217</v>
      </c>
      <c r="H847" t="s">
        <v>217</v>
      </c>
      <c r="I847" t="s">
        <v>227</v>
      </c>
      <c r="J847" s="25">
        <v>0</v>
      </c>
      <c r="K847" s="26">
        <v>0</v>
      </c>
      <c r="L847" s="26">
        <v>0</v>
      </c>
    </row>
    <row r="848" spans="1:12" ht="16" customHeight="1">
      <c r="A848" t="s">
        <v>435</v>
      </c>
      <c r="B848" t="s">
        <v>5</v>
      </c>
      <c r="C848" t="s">
        <v>42</v>
      </c>
      <c r="D848" s="24">
        <v>46082</v>
      </c>
      <c r="E848" t="s">
        <v>357</v>
      </c>
      <c r="F848" t="s">
        <v>3</v>
      </c>
      <c r="G848" t="s">
        <v>358</v>
      </c>
      <c r="H848" t="s">
        <v>358</v>
      </c>
      <c r="I848" t="s">
        <v>212</v>
      </c>
      <c r="J848" s="25">
        <v>4979362</v>
      </c>
      <c r="K848" s="26">
        <v>806835.44</v>
      </c>
      <c r="L848" s="26">
        <v>6149.95</v>
      </c>
    </row>
    <row r="849" spans="1:12" ht="16" customHeight="1">
      <c r="A849" t="s">
        <v>435</v>
      </c>
      <c r="B849" t="s">
        <v>5</v>
      </c>
      <c r="C849" t="s">
        <v>42</v>
      </c>
      <c r="D849" s="24">
        <v>46082</v>
      </c>
      <c r="E849" t="s">
        <v>387</v>
      </c>
      <c r="F849" t="s">
        <v>4</v>
      </c>
      <c r="G849" t="s">
        <v>217</v>
      </c>
      <c r="H849" t="s">
        <v>217</v>
      </c>
      <c r="I849" t="s">
        <v>219</v>
      </c>
      <c r="J849" s="25">
        <v>293040</v>
      </c>
      <c r="K849" s="26">
        <v>49221.11</v>
      </c>
      <c r="L849" s="26">
        <v>1027.92</v>
      </c>
    </row>
    <row r="850" spans="1:12" ht="16" customHeight="1">
      <c r="A850" t="s">
        <v>435</v>
      </c>
      <c r="B850" t="s">
        <v>5</v>
      </c>
      <c r="C850" t="s">
        <v>42</v>
      </c>
      <c r="D850" s="24">
        <v>46082</v>
      </c>
      <c r="E850" t="s">
        <v>416</v>
      </c>
      <c r="F850" t="s">
        <v>4</v>
      </c>
      <c r="G850" t="s">
        <v>217</v>
      </c>
      <c r="H850" t="s">
        <v>217</v>
      </c>
      <c r="I850" t="s">
        <v>221</v>
      </c>
      <c r="J850" s="25">
        <v>14940</v>
      </c>
      <c r="K850" s="26">
        <v>2581.94</v>
      </c>
      <c r="L850" s="26">
        <v>68.239999999999995</v>
      </c>
    </row>
    <row r="851" spans="1:12" ht="16" customHeight="1">
      <c r="A851" t="s">
        <v>435</v>
      </c>
      <c r="B851" t="s">
        <v>5</v>
      </c>
      <c r="C851" t="s">
        <v>42</v>
      </c>
      <c r="D851" s="24">
        <v>46082</v>
      </c>
      <c r="E851" t="s">
        <v>226</v>
      </c>
      <c r="F851" t="s">
        <v>4</v>
      </c>
      <c r="G851" t="s">
        <v>217</v>
      </c>
      <c r="H851" t="s">
        <v>217</v>
      </c>
      <c r="I851" t="s">
        <v>223</v>
      </c>
      <c r="J851" s="25">
        <v>3858</v>
      </c>
      <c r="K851" s="26">
        <v>707.5</v>
      </c>
      <c r="L851" s="26">
        <v>30.26</v>
      </c>
    </row>
    <row r="852" spans="1:12" ht="16" customHeight="1">
      <c r="A852" t="s">
        <v>435</v>
      </c>
      <c r="B852" t="s">
        <v>5</v>
      </c>
      <c r="C852" t="s">
        <v>42</v>
      </c>
      <c r="D852" s="24">
        <v>46082</v>
      </c>
      <c r="E852" t="s">
        <v>269</v>
      </c>
      <c r="F852" t="s">
        <v>4</v>
      </c>
      <c r="G852" t="s">
        <v>217</v>
      </c>
      <c r="H852" t="s">
        <v>217</v>
      </c>
      <c r="I852" t="s">
        <v>225</v>
      </c>
      <c r="J852" s="25">
        <v>0</v>
      </c>
      <c r="K852" s="26">
        <v>0</v>
      </c>
      <c r="L852" s="26">
        <v>0</v>
      </c>
    </row>
    <row r="853" spans="1:12" ht="16" customHeight="1">
      <c r="A853" t="s">
        <v>435</v>
      </c>
      <c r="B853" t="s">
        <v>5</v>
      </c>
      <c r="C853" t="s">
        <v>42</v>
      </c>
      <c r="D853" s="24">
        <v>46082</v>
      </c>
      <c r="E853" t="s">
        <v>228</v>
      </c>
      <c r="F853" t="s">
        <v>4</v>
      </c>
      <c r="G853" t="s">
        <v>217</v>
      </c>
      <c r="H853" t="s">
        <v>217</v>
      </c>
      <c r="I853" t="s">
        <v>227</v>
      </c>
      <c r="J853" s="25">
        <v>0</v>
      </c>
      <c r="K853" s="26">
        <v>0</v>
      </c>
      <c r="L853" s="26">
        <v>0</v>
      </c>
    </row>
    <row r="854" spans="1:12" ht="16" customHeight="1">
      <c r="A854" t="s">
        <v>437</v>
      </c>
      <c r="B854" t="s">
        <v>7</v>
      </c>
      <c r="C854" t="s">
        <v>42</v>
      </c>
      <c r="D854" s="24">
        <v>46082</v>
      </c>
      <c r="E854" t="s">
        <v>357</v>
      </c>
      <c r="F854" t="s">
        <v>3</v>
      </c>
      <c r="G854" t="s">
        <v>358</v>
      </c>
      <c r="H854" t="s">
        <v>358</v>
      </c>
      <c r="I854" t="s">
        <v>212</v>
      </c>
      <c r="J854" s="25">
        <v>9232979</v>
      </c>
      <c r="K854" s="26">
        <v>1467528.02</v>
      </c>
      <c r="L854" s="26">
        <v>8762.83</v>
      </c>
    </row>
    <row r="855" spans="1:12" ht="16" customHeight="1">
      <c r="A855" t="s">
        <v>437</v>
      </c>
      <c r="B855" t="s">
        <v>7</v>
      </c>
      <c r="C855" t="s">
        <v>42</v>
      </c>
      <c r="D855" s="24">
        <v>46082</v>
      </c>
      <c r="E855" t="s">
        <v>387</v>
      </c>
      <c r="F855" t="s">
        <v>4</v>
      </c>
      <c r="G855" t="s">
        <v>217</v>
      </c>
      <c r="H855" t="s">
        <v>217</v>
      </c>
      <c r="I855" t="s">
        <v>219</v>
      </c>
      <c r="J855" s="25">
        <v>408018</v>
      </c>
      <c r="K855" s="26">
        <v>69474.429999999993</v>
      </c>
      <c r="L855" s="26">
        <v>1684.35</v>
      </c>
    </row>
    <row r="856" spans="1:12" ht="16" customHeight="1">
      <c r="A856" t="s">
        <v>437</v>
      </c>
      <c r="B856" t="s">
        <v>7</v>
      </c>
      <c r="C856" t="s">
        <v>42</v>
      </c>
      <c r="D856" s="24">
        <v>46082</v>
      </c>
      <c r="E856" t="s">
        <v>416</v>
      </c>
      <c r="F856" t="s">
        <v>4</v>
      </c>
      <c r="G856" t="s">
        <v>217</v>
      </c>
      <c r="H856" t="s">
        <v>217</v>
      </c>
      <c r="I856" t="s">
        <v>221</v>
      </c>
      <c r="J856" s="25">
        <v>15100</v>
      </c>
      <c r="K856" s="26">
        <v>2588.84</v>
      </c>
      <c r="L856" s="26">
        <v>65.86</v>
      </c>
    </row>
    <row r="857" spans="1:12" ht="16" customHeight="1">
      <c r="A857" t="s">
        <v>437</v>
      </c>
      <c r="B857" t="s">
        <v>7</v>
      </c>
      <c r="C857" t="s">
        <v>42</v>
      </c>
      <c r="D857" s="24">
        <v>46082</v>
      </c>
      <c r="E857" t="s">
        <v>226</v>
      </c>
      <c r="F857" t="s">
        <v>4</v>
      </c>
      <c r="G857" t="s">
        <v>217</v>
      </c>
      <c r="H857" t="s">
        <v>217</v>
      </c>
      <c r="I857" t="s">
        <v>223</v>
      </c>
      <c r="J857" s="25">
        <v>2727</v>
      </c>
      <c r="K857" s="26">
        <v>489.15</v>
      </c>
      <c r="L857" s="26">
        <v>14.74</v>
      </c>
    </row>
    <row r="858" spans="1:12" ht="16" customHeight="1">
      <c r="A858" t="s">
        <v>437</v>
      </c>
      <c r="B858" t="s">
        <v>7</v>
      </c>
      <c r="C858" t="s">
        <v>42</v>
      </c>
      <c r="D858" s="24">
        <v>46082</v>
      </c>
      <c r="E858" t="s">
        <v>269</v>
      </c>
      <c r="F858" t="s">
        <v>4</v>
      </c>
      <c r="G858" t="s">
        <v>217</v>
      </c>
      <c r="H858" t="s">
        <v>217</v>
      </c>
      <c r="I858" t="s">
        <v>225</v>
      </c>
      <c r="J858" s="25">
        <v>0</v>
      </c>
      <c r="K858" s="26">
        <v>0</v>
      </c>
      <c r="L858" s="26">
        <v>0</v>
      </c>
    </row>
    <row r="859" spans="1:12" ht="16" customHeight="1">
      <c r="A859" t="s">
        <v>437</v>
      </c>
      <c r="B859" t="s">
        <v>7</v>
      </c>
      <c r="C859" t="s">
        <v>42</v>
      </c>
      <c r="D859" s="24">
        <v>46082</v>
      </c>
      <c r="E859" t="s">
        <v>228</v>
      </c>
      <c r="F859" t="s">
        <v>4</v>
      </c>
      <c r="G859" t="s">
        <v>217</v>
      </c>
      <c r="H859" t="s">
        <v>217</v>
      </c>
      <c r="I859" t="s">
        <v>227</v>
      </c>
      <c r="J859" s="25">
        <v>0</v>
      </c>
      <c r="K859" s="26">
        <v>0</v>
      </c>
      <c r="L859" s="26">
        <v>0</v>
      </c>
    </row>
    <row r="860" spans="1:12" ht="16" customHeight="1">
      <c r="A860" t="s">
        <v>357</v>
      </c>
      <c r="B860" t="s">
        <v>3</v>
      </c>
      <c r="C860" t="s">
        <v>43</v>
      </c>
      <c r="D860" s="24">
        <v>46082</v>
      </c>
      <c r="E860" t="s">
        <v>357</v>
      </c>
      <c r="F860" t="s">
        <v>3</v>
      </c>
      <c r="G860" t="s">
        <v>358</v>
      </c>
      <c r="H860" t="s">
        <v>358</v>
      </c>
      <c r="I860" t="s">
        <v>212</v>
      </c>
      <c r="J860" s="25">
        <v>74523432</v>
      </c>
      <c r="K860" s="26">
        <v>11348703.23</v>
      </c>
      <c r="L860" s="26">
        <v>17644.7</v>
      </c>
    </row>
    <row r="861" spans="1:12" ht="16" customHeight="1">
      <c r="A861" t="s">
        <v>357</v>
      </c>
      <c r="B861" t="s">
        <v>3</v>
      </c>
      <c r="C861" t="s">
        <v>43</v>
      </c>
      <c r="D861" s="24">
        <v>46082</v>
      </c>
      <c r="E861" t="s">
        <v>387</v>
      </c>
      <c r="F861" t="s">
        <v>4</v>
      </c>
      <c r="G861" t="s">
        <v>217</v>
      </c>
      <c r="H861" t="s">
        <v>217</v>
      </c>
      <c r="I861" t="s">
        <v>219</v>
      </c>
      <c r="J861" s="25">
        <v>740519</v>
      </c>
      <c r="K861" s="26">
        <v>120858.79</v>
      </c>
      <c r="L861" s="26">
        <v>2927.68</v>
      </c>
    </row>
    <row r="862" spans="1:12" ht="16" customHeight="1">
      <c r="A862" t="s">
        <v>357</v>
      </c>
      <c r="B862" t="s">
        <v>3</v>
      </c>
      <c r="C862" t="s">
        <v>43</v>
      </c>
      <c r="D862" s="24">
        <v>46082</v>
      </c>
      <c r="E862" t="s">
        <v>416</v>
      </c>
      <c r="F862" t="s">
        <v>4</v>
      </c>
      <c r="G862" t="s">
        <v>217</v>
      </c>
      <c r="H862" t="s">
        <v>217</v>
      </c>
      <c r="I862" t="s">
        <v>221</v>
      </c>
      <c r="J862" s="25">
        <v>26898</v>
      </c>
      <c r="K862" s="26">
        <v>4542.7700000000004</v>
      </c>
      <c r="L862" s="26">
        <v>125.22</v>
      </c>
    </row>
    <row r="863" spans="1:12" ht="16" customHeight="1">
      <c r="A863" t="s">
        <v>357</v>
      </c>
      <c r="B863" t="s">
        <v>3</v>
      </c>
      <c r="C863" t="s">
        <v>43</v>
      </c>
      <c r="D863" s="24">
        <v>46082</v>
      </c>
      <c r="E863" t="s">
        <v>226</v>
      </c>
      <c r="F863" t="s">
        <v>4</v>
      </c>
      <c r="G863" t="s">
        <v>217</v>
      </c>
      <c r="H863" t="s">
        <v>217</v>
      </c>
      <c r="I863" t="s">
        <v>223</v>
      </c>
      <c r="J863" s="25">
        <v>4799</v>
      </c>
      <c r="K863" s="26">
        <v>831.41</v>
      </c>
      <c r="L863" s="26">
        <v>21.79</v>
      </c>
    </row>
    <row r="864" spans="1:12" ht="16" customHeight="1">
      <c r="A864" t="s">
        <v>357</v>
      </c>
      <c r="B864" t="s">
        <v>3</v>
      </c>
      <c r="C864" t="s">
        <v>43</v>
      </c>
      <c r="D864" s="24">
        <v>46082</v>
      </c>
      <c r="E864" t="s">
        <v>269</v>
      </c>
      <c r="F864" t="s">
        <v>4</v>
      </c>
      <c r="G864" t="s">
        <v>217</v>
      </c>
      <c r="H864" t="s">
        <v>217</v>
      </c>
      <c r="I864" t="s">
        <v>225</v>
      </c>
      <c r="J864" s="25">
        <v>0</v>
      </c>
      <c r="K864" s="26">
        <v>0</v>
      </c>
      <c r="L864" s="26">
        <v>0</v>
      </c>
    </row>
    <row r="865" spans="1:12" ht="16" customHeight="1">
      <c r="A865" t="s">
        <v>357</v>
      </c>
      <c r="B865" t="s">
        <v>3</v>
      </c>
      <c r="C865" t="s">
        <v>43</v>
      </c>
      <c r="D865" s="24">
        <v>46082</v>
      </c>
      <c r="E865" t="s">
        <v>228</v>
      </c>
      <c r="F865" t="s">
        <v>4</v>
      </c>
      <c r="G865" t="s">
        <v>217</v>
      </c>
      <c r="H865" t="s">
        <v>217</v>
      </c>
      <c r="I865" t="s">
        <v>227</v>
      </c>
      <c r="J865" s="25">
        <v>0</v>
      </c>
      <c r="K865" s="26">
        <v>0</v>
      </c>
      <c r="L865" s="26">
        <v>0</v>
      </c>
    </row>
    <row r="866" spans="1:12" ht="16" customHeight="1">
      <c r="A866" t="s">
        <v>438</v>
      </c>
      <c r="B866" t="s">
        <v>5</v>
      </c>
      <c r="C866" t="s">
        <v>44</v>
      </c>
      <c r="D866" s="24">
        <v>46113</v>
      </c>
      <c r="E866" t="s">
        <v>387</v>
      </c>
      <c r="F866" t="s">
        <v>4</v>
      </c>
      <c r="G866" t="s">
        <v>217</v>
      </c>
      <c r="H866" t="s">
        <v>217</v>
      </c>
      <c r="I866" t="s">
        <v>212</v>
      </c>
      <c r="J866" s="25">
        <v>1701252</v>
      </c>
      <c r="K866" s="26">
        <v>276861.02</v>
      </c>
      <c r="L866" s="26">
        <v>4789.62</v>
      </c>
    </row>
    <row r="867" spans="1:12" ht="16" customHeight="1">
      <c r="A867" t="s">
        <v>438</v>
      </c>
      <c r="B867" t="s">
        <v>5</v>
      </c>
      <c r="C867" t="s">
        <v>44</v>
      </c>
      <c r="D867" s="24">
        <v>46113</v>
      </c>
      <c r="E867" t="s">
        <v>416</v>
      </c>
      <c r="F867" t="s">
        <v>4</v>
      </c>
      <c r="G867" t="s">
        <v>217</v>
      </c>
      <c r="H867" t="s">
        <v>217</v>
      </c>
      <c r="I867" t="s">
        <v>219</v>
      </c>
      <c r="J867" s="25">
        <v>25312</v>
      </c>
      <c r="K867" s="26">
        <v>4242.3599999999997</v>
      </c>
      <c r="L867" s="26">
        <v>106.49</v>
      </c>
    </row>
    <row r="868" spans="1:12" ht="16" customHeight="1">
      <c r="A868" t="s">
        <v>438</v>
      </c>
      <c r="B868" t="s">
        <v>5</v>
      </c>
      <c r="C868" t="s">
        <v>44</v>
      </c>
      <c r="D868" s="24">
        <v>46113</v>
      </c>
      <c r="E868" t="s">
        <v>226</v>
      </c>
      <c r="F868" t="s">
        <v>4</v>
      </c>
      <c r="G868" t="s">
        <v>217</v>
      </c>
      <c r="H868" t="s">
        <v>217</v>
      </c>
      <c r="I868" t="s">
        <v>221</v>
      </c>
      <c r="J868" s="25">
        <v>5844</v>
      </c>
      <c r="K868" s="26">
        <v>1012.44</v>
      </c>
      <c r="L868" s="26">
        <v>24.26</v>
      </c>
    </row>
    <row r="869" spans="1:12" ht="16" customHeight="1">
      <c r="A869" t="s">
        <v>438</v>
      </c>
      <c r="B869" t="s">
        <v>5</v>
      </c>
      <c r="C869" t="s">
        <v>44</v>
      </c>
      <c r="D869" s="24">
        <v>46113</v>
      </c>
      <c r="E869" t="s">
        <v>269</v>
      </c>
      <c r="F869" t="s">
        <v>4</v>
      </c>
      <c r="G869" t="s">
        <v>217</v>
      </c>
      <c r="H869" t="s">
        <v>217</v>
      </c>
      <c r="I869" t="s">
        <v>267</v>
      </c>
      <c r="J869" s="25">
        <v>0</v>
      </c>
      <c r="K869" s="26">
        <v>0</v>
      </c>
      <c r="L869" s="26">
        <v>0</v>
      </c>
    </row>
    <row r="870" spans="1:12" ht="16" customHeight="1">
      <c r="A870" t="s">
        <v>438</v>
      </c>
      <c r="B870" t="s">
        <v>5</v>
      </c>
      <c r="C870" t="s">
        <v>44</v>
      </c>
      <c r="D870" s="24">
        <v>46113</v>
      </c>
      <c r="E870" t="s">
        <v>228</v>
      </c>
      <c r="F870" t="s">
        <v>4</v>
      </c>
      <c r="G870" t="s">
        <v>217</v>
      </c>
      <c r="H870" t="s">
        <v>217</v>
      </c>
      <c r="I870" t="s">
        <v>268</v>
      </c>
      <c r="J870" s="25">
        <v>0</v>
      </c>
      <c r="K870" s="26">
        <v>0</v>
      </c>
      <c r="L870" s="26">
        <v>0</v>
      </c>
    </row>
    <row r="871" spans="1:12" ht="16" customHeight="1">
      <c r="A871" t="s">
        <v>438</v>
      </c>
      <c r="B871" t="s">
        <v>5</v>
      </c>
      <c r="C871" t="s">
        <v>44</v>
      </c>
      <c r="D871" s="24">
        <v>46113</v>
      </c>
      <c r="E871" t="s">
        <v>439</v>
      </c>
      <c r="F871" t="s">
        <v>4</v>
      </c>
      <c r="G871" t="s">
        <v>217</v>
      </c>
      <c r="H871" t="s">
        <v>217</v>
      </c>
      <c r="I871" t="s">
        <v>270</v>
      </c>
      <c r="J871" s="25">
        <v>0</v>
      </c>
      <c r="K871" s="26">
        <v>0</v>
      </c>
      <c r="L871" s="26">
        <v>0</v>
      </c>
    </row>
    <row r="872" spans="1:12" ht="16" customHeight="1">
      <c r="A872" t="s">
        <v>440</v>
      </c>
      <c r="B872" t="s">
        <v>6</v>
      </c>
      <c r="C872" t="s">
        <v>44</v>
      </c>
      <c r="D872" s="24">
        <v>46113</v>
      </c>
      <c r="E872" t="s">
        <v>387</v>
      </c>
      <c r="F872" t="s">
        <v>4</v>
      </c>
      <c r="G872" t="s">
        <v>217</v>
      </c>
      <c r="H872" t="s">
        <v>217</v>
      </c>
      <c r="I872" t="s">
        <v>212</v>
      </c>
      <c r="J872" s="25">
        <v>1780823</v>
      </c>
      <c r="K872" s="26">
        <v>286008.96000000002</v>
      </c>
      <c r="L872" s="26">
        <v>5178.1000000000004</v>
      </c>
    </row>
    <row r="873" spans="1:12" ht="16" customHeight="1">
      <c r="A873" t="s">
        <v>440</v>
      </c>
      <c r="B873" t="s">
        <v>6</v>
      </c>
      <c r="C873" t="s">
        <v>44</v>
      </c>
      <c r="D873" s="24">
        <v>46113</v>
      </c>
      <c r="E873" t="s">
        <v>416</v>
      </c>
      <c r="F873" t="s">
        <v>4</v>
      </c>
      <c r="G873" t="s">
        <v>217</v>
      </c>
      <c r="H873" t="s">
        <v>217</v>
      </c>
      <c r="I873" t="s">
        <v>219</v>
      </c>
      <c r="J873" s="25">
        <v>29372</v>
      </c>
      <c r="K873" s="26">
        <v>4867.42</v>
      </c>
      <c r="L873" s="26">
        <v>106.2</v>
      </c>
    </row>
    <row r="874" spans="1:12" ht="16" customHeight="1">
      <c r="A874" t="s">
        <v>440</v>
      </c>
      <c r="B874" t="s">
        <v>6</v>
      </c>
      <c r="C874" t="s">
        <v>44</v>
      </c>
      <c r="D874" s="24">
        <v>46113</v>
      </c>
      <c r="E874" t="s">
        <v>226</v>
      </c>
      <c r="F874" t="s">
        <v>4</v>
      </c>
      <c r="G874" t="s">
        <v>217</v>
      </c>
      <c r="H874" t="s">
        <v>217</v>
      </c>
      <c r="I874" t="s">
        <v>221</v>
      </c>
      <c r="J874" s="25">
        <v>5892</v>
      </c>
      <c r="K874" s="26">
        <v>1022.9</v>
      </c>
      <c r="L874" s="26">
        <v>38.979999999999997</v>
      </c>
    </row>
    <row r="875" spans="1:12" ht="16" customHeight="1">
      <c r="A875" t="s">
        <v>440</v>
      </c>
      <c r="B875" t="s">
        <v>6</v>
      </c>
      <c r="C875" t="s">
        <v>44</v>
      </c>
      <c r="D875" s="24">
        <v>46113</v>
      </c>
      <c r="E875" t="s">
        <v>269</v>
      </c>
      <c r="F875" t="s">
        <v>4</v>
      </c>
      <c r="G875" t="s">
        <v>217</v>
      </c>
      <c r="H875" t="s">
        <v>217</v>
      </c>
      <c r="I875" t="s">
        <v>267</v>
      </c>
      <c r="J875" s="25">
        <v>0</v>
      </c>
      <c r="K875" s="26">
        <v>0</v>
      </c>
      <c r="L875" s="26">
        <v>0</v>
      </c>
    </row>
    <row r="876" spans="1:12" ht="16" customHeight="1">
      <c r="A876" t="s">
        <v>440</v>
      </c>
      <c r="B876" t="s">
        <v>6</v>
      </c>
      <c r="C876" t="s">
        <v>44</v>
      </c>
      <c r="D876" s="24">
        <v>46113</v>
      </c>
      <c r="E876" t="s">
        <v>228</v>
      </c>
      <c r="F876" t="s">
        <v>4</v>
      </c>
      <c r="G876" t="s">
        <v>217</v>
      </c>
      <c r="H876" t="s">
        <v>217</v>
      </c>
      <c r="I876" t="s">
        <v>268</v>
      </c>
      <c r="J876" s="25">
        <v>0</v>
      </c>
      <c r="K876" s="26">
        <v>0</v>
      </c>
      <c r="L876" s="26">
        <v>0</v>
      </c>
    </row>
    <row r="877" spans="1:12" ht="16" customHeight="1">
      <c r="A877" t="s">
        <v>440</v>
      </c>
      <c r="B877" t="s">
        <v>6</v>
      </c>
      <c r="C877" t="s">
        <v>44</v>
      </c>
      <c r="D877" s="24">
        <v>46113</v>
      </c>
      <c r="E877" t="s">
        <v>439</v>
      </c>
      <c r="F877" t="s">
        <v>4</v>
      </c>
      <c r="G877" t="s">
        <v>217</v>
      </c>
      <c r="H877" t="s">
        <v>217</v>
      </c>
      <c r="I877" t="s">
        <v>270</v>
      </c>
      <c r="J877" s="25">
        <v>0</v>
      </c>
      <c r="K877" s="26">
        <v>0</v>
      </c>
      <c r="L877" s="26">
        <v>0</v>
      </c>
    </row>
    <row r="878" spans="1:12" ht="16" customHeight="1">
      <c r="A878" t="s">
        <v>441</v>
      </c>
      <c r="B878" t="s">
        <v>3</v>
      </c>
      <c r="C878" t="s">
        <v>44</v>
      </c>
      <c r="D878" s="24">
        <v>46113</v>
      </c>
      <c r="E878" t="s">
        <v>387</v>
      </c>
      <c r="F878" t="s">
        <v>4</v>
      </c>
      <c r="G878" t="s">
        <v>217</v>
      </c>
      <c r="H878" t="s">
        <v>217</v>
      </c>
      <c r="I878" t="s">
        <v>212</v>
      </c>
      <c r="J878" s="25">
        <v>1792247</v>
      </c>
      <c r="K878" s="26">
        <v>289248.76</v>
      </c>
      <c r="L878" s="26">
        <v>5125.67</v>
      </c>
    </row>
    <row r="879" spans="1:12" ht="16" customHeight="1">
      <c r="A879" t="s">
        <v>441</v>
      </c>
      <c r="B879" t="s">
        <v>3</v>
      </c>
      <c r="C879" t="s">
        <v>44</v>
      </c>
      <c r="D879" s="24">
        <v>46113</v>
      </c>
      <c r="E879" t="s">
        <v>416</v>
      </c>
      <c r="F879" t="s">
        <v>4</v>
      </c>
      <c r="G879" t="s">
        <v>217</v>
      </c>
      <c r="H879" t="s">
        <v>217</v>
      </c>
      <c r="I879" t="s">
        <v>219</v>
      </c>
      <c r="J879" s="25">
        <v>28665</v>
      </c>
      <c r="K879" s="26">
        <v>4761.01</v>
      </c>
      <c r="L879" s="26">
        <v>94.15</v>
      </c>
    </row>
    <row r="880" spans="1:12" ht="16" customHeight="1">
      <c r="A880" t="s">
        <v>441</v>
      </c>
      <c r="B880" t="s">
        <v>3</v>
      </c>
      <c r="C880" t="s">
        <v>44</v>
      </c>
      <c r="D880" s="24">
        <v>46113</v>
      </c>
      <c r="E880" t="s">
        <v>226</v>
      </c>
      <c r="F880" t="s">
        <v>4</v>
      </c>
      <c r="G880" t="s">
        <v>217</v>
      </c>
      <c r="H880" t="s">
        <v>217</v>
      </c>
      <c r="I880" t="s">
        <v>221</v>
      </c>
      <c r="J880" s="25">
        <v>8025</v>
      </c>
      <c r="K880" s="26">
        <v>1359.14</v>
      </c>
      <c r="L880" s="26">
        <v>37.450000000000003</v>
      </c>
    </row>
    <row r="881" spans="1:12" ht="16" customHeight="1">
      <c r="A881" t="s">
        <v>441</v>
      </c>
      <c r="B881" t="s">
        <v>3</v>
      </c>
      <c r="C881" t="s">
        <v>44</v>
      </c>
      <c r="D881" s="24">
        <v>46113</v>
      </c>
      <c r="E881" t="s">
        <v>269</v>
      </c>
      <c r="F881" t="s">
        <v>4</v>
      </c>
      <c r="G881" t="s">
        <v>217</v>
      </c>
      <c r="H881" t="s">
        <v>217</v>
      </c>
      <c r="I881" t="s">
        <v>267</v>
      </c>
      <c r="J881" s="25">
        <v>0</v>
      </c>
      <c r="K881" s="26">
        <v>0</v>
      </c>
      <c r="L881" s="26">
        <v>0</v>
      </c>
    </row>
    <row r="882" spans="1:12" ht="16" customHeight="1">
      <c r="A882" t="s">
        <v>441</v>
      </c>
      <c r="B882" t="s">
        <v>3</v>
      </c>
      <c r="C882" t="s">
        <v>44</v>
      </c>
      <c r="D882" s="24">
        <v>46113</v>
      </c>
      <c r="E882" t="s">
        <v>228</v>
      </c>
      <c r="F882" t="s">
        <v>4</v>
      </c>
      <c r="G882" t="s">
        <v>217</v>
      </c>
      <c r="H882" t="s">
        <v>217</v>
      </c>
      <c r="I882" t="s">
        <v>268</v>
      </c>
      <c r="J882" s="25">
        <v>0</v>
      </c>
      <c r="K882" s="26">
        <v>0</v>
      </c>
      <c r="L882" s="26">
        <v>0</v>
      </c>
    </row>
    <row r="883" spans="1:12" ht="16" customHeight="1">
      <c r="A883" t="s">
        <v>441</v>
      </c>
      <c r="B883" t="s">
        <v>3</v>
      </c>
      <c r="C883" t="s">
        <v>44</v>
      </c>
      <c r="D883" s="24">
        <v>46113</v>
      </c>
      <c r="E883" t="s">
        <v>439</v>
      </c>
      <c r="F883" t="s">
        <v>4</v>
      </c>
      <c r="G883" t="s">
        <v>217</v>
      </c>
      <c r="H883" t="s">
        <v>217</v>
      </c>
      <c r="I883" t="s">
        <v>270</v>
      </c>
      <c r="J883" s="25">
        <v>0</v>
      </c>
      <c r="K883" s="26">
        <v>0</v>
      </c>
      <c r="L883" s="26">
        <v>0</v>
      </c>
    </row>
    <row r="884" spans="1:12" ht="16" customHeight="1">
      <c r="A884" t="s">
        <v>420</v>
      </c>
      <c r="B884" t="s">
        <v>4</v>
      </c>
      <c r="C884" t="s">
        <v>44</v>
      </c>
      <c r="D884" s="24">
        <v>46113</v>
      </c>
      <c r="E884" t="s">
        <v>387</v>
      </c>
      <c r="F884" t="s">
        <v>4</v>
      </c>
      <c r="G884" t="s">
        <v>217</v>
      </c>
      <c r="H884" t="s">
        <v>217</v>
      </c>
      <c r="I884" t="s">
        <v>212</v>
      </c>
      <c r="J884" s="25">
        <v>1394871</v>
      </c>
      <c r="K884" s="26">
        <v>225667.3</v>
      </c>
      <c r="L884" s="26">
        <v>3686.49</v>
      </c>
    </row>
    <row r="885" spans="1:12" ht="16" customHeight="1">
      <c r="A885" t="s">
        <v>420</v>
      </c>
      <c r="B885" t="s">
        <v>4</v>
      </c>
      <c r="C885" t="s">
        <v>44</v>
      </c>
      <c r="D885" s="24">
        <v>46113</v>
      </c>
      <c r="E885" t="s">
        <v>416</v>
      </c>
      <c r="F885" t="s">
        <v>4</v>
      </c>
      <c r="G885" t="s">
        <v>217</v>
      </c>
      <c r="H885" t="s">
        <v>217</v>
      </c>
      <c r="I885" t="s">
        <v>219</v>
      </c>
      <c r="J885" s="25">
        <v>23434</v>
      </c>
      <c r="K885" s="26">
        <v>3948.02</v>
      </c>
      <c r="L885" s="26">
        <v>61.09</v>
      </c>
    </row>
    <row r="886" spans="1:12" ht="16" customHeight="1">
      <c r="A886" t="s">
        <v>420</v>
      </c>
      <c r="B886" t="s">
        <v>4</v>
      </c>
      <c r="C886" t="s">
        <v>44</v>
      </c>
      <c r="D886" s="24">
        <v>46113</v>
      </c>
      <c r="E886" t="s">
        <v>226</v>
      </c>
      <c r="F886" t="s">
        <v>4</v>
      </c>
      <c r="G886" t="s">
        <v>217</v>
      </c>
      <c r="H886" t="s">
        <v>217</v>
      </c>
      <c r="I886" t="s">
        <v>221</v>
      </c>
      <c r="J886" s="25">
        <v>5400</v>
      </c>
      <c r="K886" s="26">
        <v>916.12</v>
      </c>
      <c r="L886" s="26">
        <v>22.1</v>
      </c>
    </row>
    <row r="887" spans="1:12" ht="16" customHeight="1">
      <c r="A887" t="s">
        <v>420</v>
      </c>
      <c r="B887" t="s">
        <v>4</v>
      </c>
      <c r="C887" t="s">
        <v>44</v>
      </c>
      <c r="D887" s="24">
        <v>46113</v>
      </c>
      <c r="E887" t="s">
        <v>269</v>
      </c>
      <c r="F887" t="s">
        <v>4</v>
      </c>
      <c r="G887" t="s">
        <v>217</v>
      </c>
      <c r="H887" t="s">
        <v>217</v>
      </c>
      <c r="I887" t="s">
        <v>267</v>
      </c>
      <c r="J887" s="25">
        <v>0</v>
      </c>
      <c r="K887" s="26">
        <v>0</v>
      </c>
      <c r="L887" s="26">
        <v>0</v>
      </c>
    </row>
    <row r="888" spans="1:12" ht="16" customHeight="1">
      <c r="A888" t="s">
        <v>420</v>
      </c>
      <c r="B888" t="s">
        <v>4</v>
      </c>
      <c r="C888" t="s">
        <v>44</v>
      </c>
      <c r="D888" s="24">
        <v>46113</v>
      </c>
      <c r="E888" t="s">
        <v>228</v>
      </c>
      <c r="F888" t="s">
        <v>4</v>
      </c>
      <c r="G888" t="s">
        <v>217</v>
      </c>
      <c r="H888" t="s">
        <v>217</v>
      </c>
      <c r="I888" t="s">
        <v>268</v>
      </c>
      <c r="J888" s="25">
        <v>0</v>
      </c>
      <c r="K888" s="26">
        <v>0</v>
      </c>
      <c r="L888" s="26">
        <v>0</v>
      </c>
    </row>
    <row r="889" spans="1:12" ht="16" customHeight="1">
      <c r="A889" t="s">
        <v>420</v>
      </c>
      <c r="B889" t="s">
        <v>4</v>
      </c>
      <c r="C889" t="s">
        <v>44</v>
      </c>
      <c r="D889" s="24">
        <v>46113</v>
      </c>
      <c r="E889" t="s">
        <v>439</v>
      </c>
      <c r="F889" t="s">
        <v>4</v>
      </c>
      <c r="G889" t="s">
        <v>217</v>
      </c>
      <c r="H889" t="s">
        <v>217</v>
      </c>
      <c r="I889" t="s">
        <v>270</v>
      </c>
      <c r="J889" s="25">
        <v>0</v>
      </c>
      <c r="K889" s="26">
        <v>0</v>
      </c>
      <c r="L889" s="26">
        <v>0</v>
      </c>
    </row>
    <row r="890" spans="1:12" ht="16" customHeight="1">
      <c r="A890" t="s">
        <v>442</v>
      </c>
      <c r="B890" t="s">
        <v>5</v>
      </c>
      <c r="C890" t="s">
        <v>45</v>
      </c>
      <c r="D890" s="24">
        <v>46113</v>
      </c>
      <c r="E890" t="s">
        <v>387</v>
      </c>
      <c r="F890" t="s">
        <v>4</v>
      </c>
      <c r="G890" t="s">
        <v>217</v>
      </c>
      <c r="H890" t="s">
        <v>217</v>
      </c>
      <c r="I890" t="s">
        <v>212</v>
      </c>
      <c r="J890" s="25">
        <v>2950592</v>
      </c>
      <c r="K890" s="26">
        <v>493262.34</v>
      </c>
      <c r="L890" s="26">
        <v>5320.15</v>
      </c>
    </row>
    <row r="891" spans="1:12" ht="16" customHeight="1">
      <c r="A891" t="s">
        <v>442</v>
      </c>
      <c r="B891" t="s">
        <v>5</v>
      </c>
      <c r="C891" t="s">
        <v>45</v>
      </c>
      <c r="D891" s="24">
        <v>46113</v>
      </c>
      <c r="E891" t="s">
        <v>416</v>
      </c>
      <c r="F891" t="s">
        <v>4</v>
      </c>
      <c r="G891" t="s">
        <v>217</v>
      </c>
      <c r="H891" t="s">
        <v>217</v>
      </c>
      <c r="I891" t="s">
        <v>219</v>
      </c>
      <c r="J891" s="25">
        <v>81961</v>
      </c>
      <c r="K891" s="26">
        <v>14015.05</v>
      </c>
      <c r="L891" s="26">
        <v>252.47</v>
      </c>
    </row>
    <row r="892" spans="1:12" ht="16" customHeight="1">
      <c r="A892" t="s">
        <v>442</v>
      </c>
      <c r="B892" t="s">
        <v>5</v>
      </c>
      <c r="C892" t="s">
        <v>45</v>
      </c>
      <c r="D892" s="24">
        <v>46113</v>
      </c>
      <c r="E892" t="s">
        <v>226</v>
      </c>
      <c r="F892" t="s">
        <v>4</v>
      </c>
      <c r="G892" t="s">
        <v>217</v>
      </c>
      <c r="H892" t="s">
        <v>217</v>
      </c>
      <c r="I892" t="s">
        <v>221</v>
      </c>
      <c r="J892" s="25">
        <v>20085</v>
      </c>
      <c r="K892" s="26">
        <v>3358.6</v>
      </c>
      <c r="L892" s="26">
        <v>62.55</v>
      </c>
    </row>
    <row r="893" spans="1:12" ht="16" customHeight="1">
      <c r="A893" t="s">
        <v>442</v>
      </c>
      <c r="B893" t="s">
        <v>5</v>
      </c>
      <c r="C893" t="s">
        <v>45</v>
      </c>
      <c r="D893" s="24">
        <v>46113</v>
      </c>
      <c r="E893" t="s">
        <v>269</v>
      </c>
      <c r="F893" t="s">
        <v>4</v>
      </c>
      <c r="G893" t="s">
        <v>217</v>
      </c>
      <c r="H893" t="s">
        <v>217</v>
      </c>
      <c r="I893" t="s">
        <v>267</v>
      </c>
      <c r="J893" s="25">
        <v>0</v>
      </c>
      <c r="K893" s="26">
        <v>0</v>
      </c>
      <c r="L893" s="26">
        <v>0</v>
      </c>
    </row>
    <row r="894" spans="1:12" ht="16" customHeight="1">
      <c r="A894" t="s">
        <v>442</v>
      </c>
      <c r="B894" t="s">
        <v>5</v>
      </c>
      <c r="C894" t="s">
        <v>45</v>
      </c>
      <c r="D894" s="24">
        <v>46113</v>
      </c>
      <c r="E894" t="s">
        <v>228</v>
      </c>
      <c r="F894" t="s">
        <v>4</v>
      </c>
      <c r="G894" t="s">
        <v>217</v>
      </c>
      <c r="H894" t="s">
        <v>217</v>
      </c>
      <c r="I894" t="s">
        <v>268</v>
      </c>
      <c r="J894" s="25">
        <v>0</v>
      </c>
      <c r="K894" s="26">
        <v>0</v>
      </c>
      <c r="L894" s="26">
        <v>0</v>
      </c>
    </row>
    <row r="895" spans="1:12" ht="16" customHeight="1">
      <c r="A895" t="s">
        <v>442</v>
      </c>
      <c r="B895" t="s">
        <v>5</v>
      </c>
      <c r="C895" t="s">
        <v>45</v>
      </c>
      <c r="D895" s="24">
        <v>46113</v>
      </c>
      <c r="E895" t="s">
        <v>439</v>
      </c>
      <c r="F895" t="s">
        <v>4</v>
      </c>
      <c r="G895" t="s">
        <v>217</v>
      </c>
      <c r="H895" t="s">
        <v>217</v>
      </c>
      <c r="I895" t="s">
        <v>270</v>
      </c>
      <c r="J895" s="25">
        <v>0</v>
      </c>
      <c r="K895" s="26">
        <v>0</v>
      </c>
      <c r="L895" s="26">
        <v>0</v>
      </c>
    </row>
    <row r="896" spans="1:12" ht="16" customHeight="1">
      <c r="A896" t="s">
        <v>444</v>
      </c>
      <c r="B896" t="s">
        <v>6</v>
      </c>
      <c r="C896" t="s">
        <v>45</v>
      </c>
      <c r="D896" s="24">
        <v>46113</v>
      </c>
      <c r="E896" t="s">
        <v>387</v>
      </c>
      <c r="F896" t="s">
        <v>4</v>
      </c>
      <c r="G896" t="s">
        <v>217</v>
      </c>
      <c r="H896" t="s">
        <v>217</v>
      </c>
      <c r="I896" t="s">
        <v>212</v>
      </c>
      <c r="J896" s="25">
        <v>2260289</v>
      </c>
      <c r="K896" s="26">
        <v>379277.89</v>
      </c>
      <c r="L896" s="26">
        <v>4760.55</v>
      </c>
    </row>
    <row r="897" spans="1:12" ht="16" customHeight="1">
      <c r="A897" t="s">
        <v>444</v>
      </c>
      <c r="B897" t="s">
        <v>6</v>
      </c>
      <c r="C897" t="s">
        <v>45</v>
      </c>
      <c r="D897" s="24">
        <v>46113</v>
      </c>
      <c r="E897" t="s">
        <v>416</v>
      </c>
      <c r="F897" t="s">
        <v>4</v>
      </c>
      <c r="G897" t="s">
        <v>217</v>
      </c>
      <c r="H897" t="s">
        <v>217</v>
      </c>
      <c r="I897" t="s">
        <v>219</v>
      </c>
      <c r="J897" s="25">
        <v>64228</v>
      </c>
      <c r="K897" s="26">
        <v>10993.22</v>
      </c>
      <c r="L897" s="26">
        <v>212.18</v>
      </c>
    </row>
    <row r="898" spans="1:12" ht="16" customHeight="1">
      <c r="A898" t="s">
        <v>444</v>
      </c>
      <c r="B898" t="s">
        <v>6</v>
      </c>
      <c r="C898" t="s">
        <v>45</v>
      </c>
      <c r="D898" s="24">
        <v>46113</v>
      </c>
      <c r="E898" t="s">
        <v>226</v>
      </c>
      <c r="F898" t="s">
        <v>4</v>
      </c>
      <c r="G898" t="s">
        <v>217</v>
      </c>
      <c r="H898" t="s">
        <v>217</v>
      </c>
      <c r="I898" t="s">
        <v>221</v>
      </c>
      <c r="J898" s="25">
        <v>14046</v>
      </c>
      <c r="K898" s="26">
        <v>2302.88</v>
      </c>
      <c r="L898" s="26">
        <v>40.369999999999997</v>
      </c>
    </row>
    <row r="899" spans="1:12" ht="16" customHeight="1">
      <c r="A899" t="s">
        <v>444</v>
      </c>
      <c r="B899" t="s">
        <v>6</v>
      </c>
      <c r="C899" t="s">
        <v>45</v>
      </c>
      <c r="D899" s="24">
        <v>46113</v>
      </c>
      <c r="E899" t="s">
        <v>269</v>
      </c>
      <c r="F899" t="s">
        <v>4</v>
      </c>
      <c r="G899" t="s">
        <v>217</v>
      </c>
      <c r="H899" t="s">
        <v>217</v>
      </c>
      <c r="I899" t="s">
        <v>267</v>
      </c>
      <c r="J899" s="25">
        <v>0</v>
      </c>
      <c r="K899" s="26">
        <v>0</v>
      </c>
      <c r="L899" s="26">
        <v>0</v>
      </c>
    </row>
    <row r="900" spans="1:12" ht="16" customHeight="1">
      <c r="A900" t="s">
        <v>444</v>
      </c>
      <c r="B900" t="s">
        <v>6</v>
      </c>
      <c r="C900" t="s">
        <v>45</v>
      </c>
      <c r="D900" s="24">
        <v>46113</v>
      </c>
      <c r="E900" t="s">
        <v>228</v>
      </c>
      <c r="F900" t="s">
        <v>4</v>
      </c>
      <c r="G900" t="s">
        <v>217</v>
      </c>
      <c r="H900" t="s">
        <v>217</v>
      </c>
      <c r="I900" t="s">
        <v>268</v>
      </c>
      <c r="J900" s="25">
        <v>0</v>
      </c>
      <c r="K900" s="26">
        <v>0</v>
      </c>
      <c r="L900" s="26">
        <v>0</v>
      </c>
    </row>
    <row r="901" spans="1:12" ht="16" customHeight="1">
      <c r="A901" t="s">
        <v>444</v>
      </c>
      <c r="B901" t="s">
        <v>6</v>
      </c>
      <c r="C901" t="s">
        <v>45</v>
      </c>
      <c r="D901" s="24">
        <v>46113</v>
      </c>
      <c r="E901" t="s">
        <v>439</v>
      </c>
      <c r="F901" t="s">
        <v>4</v>
      </c>
      <c r="G901" t="s">
        <v>217</v>
      </c>
      <c r="H901" t="s">
        <v>217</v>
      </c>
      <c r="I901" t="s">
        <v>270</v>
      </c>
      <c r="J901" s="25">
        <v>0</v>
      </c>
      <c r="K901" s="26">
        <v>0</v>
      </c>
      <c r="L901" s="26">
        <v>0</v>
      </c>
    </row>
    <row r="902" spans="1:12" ht="16" customHeight="1">
      <c r="A902" t="s">
        <v>445</v>
      </c>
      <c r="B902" t="s">
        <v>7</v>
      </c>
      <c r="C902" t="s">
        <v>45</v>
      </c>
      <c r="D902" s="24">
        <v>46113</v>
      </c>
      <c r="E902" t="s">
        <v>387</v>
      </c>
      <c r="F902" t="s">
        <v>4</v>
      </c>
      <c r="G902" t="s">
        <v>217</v>
      </c>
      <c r="H902" t="s">
        <v>217</v>
      </c>
      <c r="I902" t="s">
        <v>212</v>
      </c>
      <c r="J902" s="25">
        <v>2333048</v>
      </c>
      <c r="K902" s="26">
        <v>393780.99</v>
      </c>
      <c r="L902" s="26">
        <v>4223.67</v>
      </c>
    </row>
    <row r="903" spans="1:12" ht="16" customHeight="1">
      <c r="A903" t="s">
        <v>445</v>
      </c>
      <c r="B903" t="s">
        <v>7</v>
      </c>
      <c r="C903" t="s">
        <v>45</v>
      </c>
      <c r="D903" s="24">
        <v>46113</v>
      </c>
      <c r="E903" t="s">
        <v>416</v>
      </c>
      <c r="F903" t="s">
        <v>4</v>
      </c>
      <c r="G903" t="s">
        <v>217</v>
      </c>
      <c r="H903" t="s">
        <v>217</v>
      </c>
      <c r="I903" t="s">
        <v>219</v>
      </c>
      <c r="J903" s="25">
        <v>67641</v>
      </c>
      <c r="K903" s="26">
        <v>11665.31</v>
      </c>
      <c r="L903" s="26">
        <v>223.97</v>
      </c>
    </row>
    <row r="904" spans="1:12" ht="16" customHeight="1">
      <c r="A904" t="s">
        <v>445</v>
      </c>
      <c r="B904" t="s">
        <v>7</v>
      </c>
      <c r="C904" t="s">
        <v>45</v>
      </c>
      <c r="D904" s="24">
        <v>46113</v>
      </c>
      <c r="E904" t="s">
        <v>226</v>
      </c>
      <c r="F904" t="s">
        <v>4</v>
      </c>
      <c r="G904" t="s">
        <v>217</v>
      </c>
      <c r="H904" t="s">
        <v>217</v>
      </c>
      <c r="I904" t="s">
        <v>221</v>
      </c>
      <c r="J904" s="25">
        <v>7886</v>
      </c>
      <c r="K904" s="26">
        <v>1367.57</v>
      </c>
      <c r="L904" s="26">
        <v>25.06</v>
      </c>
    </row>
    <row r="905" spans="1:12" ht="16" customHeight="1">
      <c r="A905" t="s">
        <v>445</v>
      </c>
      <c r="B905" t="s">
        <v>7</v>
      </c>
      <c r="C905" t="s">
        <v>45</v>
      </c>
      <c r="D905" s="24">
        <v>46113</v>
      </c>
      <c r="E905" t="s">
        <v>269</v>
      </c>
      <c r="F905" t="s">
        <v>4</v>
      </c>
      <c r="G905" t="s">
        <v>217</v>
      </c>
      <c r="H905" t="s">
        <v>217</v>
      </c>
      <c r="I905" t="s">
        <v>267</v>
      </c>
      <c r="J905" s="25">
        <v>0</v>
      </c>
      <c r="K905" s="26">
        <v>0</v>
      </c>
      <c r="L905" s="26">
        <v>0</v>
      </c>
    </row>
    <row r="906" spans="1:12" ht="16" customHeight="1">
      <c r="A906" t="s">
        <v>445</v>
      </c>
      <c r="B906" t="s">
        <v>7</v>
      </c>
      <c r="C906" t="s">
        <v>45</v>
      </c>
      <c r="D906" s="24">
        <v>46113</v>
      </c>
      <c r="E906" t="s">
        <v>228</v>
      </c>
      <c r="F906" t="s">
        <v>4</v>
      </c>
      <c r="G906" t="s">
        <v>217</v>
      </c>
      <c r="H906" t="s">
        <v>217</v>
      </c>
      <c r="I906" t="s">
        <v>268</v>
      </c>
      <c r="J906" s="25">
        <v>0</v>
      </c>
      <c r="K906" s="26">
        <v>0</v>
      </c>
      <c r="L906" s="26">
        <v>0</v>
      </c>
    </row>
    <row r="907" spans="1:12" ht="16" customHeight="1">
      <c r="A907" t="s">
        <v>445</v>
      </c>
      <c r="B907" t="s">
        <v>7</v>
      </c>
      <c r="C907" t="s">
        <v>45</v>
      </c>
      <c r="D907" s="24">
        <v>46113</v>
      </c>
      <c r="E907" t="s">
        <v>439</v>
      </c>
      <c r="F907" t="s">
        <v>4</v>
      </c>
      <c r="G907" t="s">
        <v>217</v>
      </c>
      <c r="H907" t="s">
        <v>217</v>
      </c>
      <c r="I907" t="s">
        <v>270</v>
      </c>
      <c r="J907" s="25">
        <v>0</v>
      </c>
      <c r="K907" s="26">
        <v>0</v>
      </c>
      <c r="L907" s="26">
        <v>0</v>
      </c>
    </row>
    <row r="908" spans="1:12" ht="16" customHeight="1">
      <c r="A908" t="s">
        <v>425</v>
      </c>
      <c r="B908" t="s">
        <v>3</v>
      </c>
      <c r="C908" t="s">
        <v>45</v>
      </c>
      <c r="D908" s="24">
        <v>46113</v>
      </c>
      <c r="E908" t="s">
        <v>387</v>
      </c>
      <c r="F908" t="s">
        <v>4</v>
      </c>
      <c r="G908" t="s">
        <v>217</v>
      </c>
      <c r="H908" t="s">
        <v>217</v>
      </c>
      <c r="I908" t="s">
        <v>212</v>
      </c>
      <c r="J908" s="25">
        <v>2385883</v>
      </c>
      <c r="K908" s="26">
        <v>400279.58</v>
      </c>
      <c r="L908" s="26">
        <v>4280.04</v>
      </c>
    </row>
    <row r="909" spans="1:12" ht="16" customHeight="1">
      <c r="A909" t="s">
        <v>425</v>
      </c>
      <c r="B909" t="s">
        <v>3</v>
      </c>
      <c r="C909" t="s">
        <v>45</v>
      </c>
      <c r="D909" s="24">
        <v>46113</v>
      </c>
      <c r="E909" t="s">
        <v>416</v>
      </c>
      <c r="F909" t="s">
        <v>4</v>
      </c>
      <c r="G909" t="s">
        <v>217</v>
      </c>
      <c r="H909" t="s">
        <v>217</v>
      </c>
      <c r="I909" t="s">
        <v>219</v>
      </c>
      <c r="J909" s="25">
        <v>135820</v>
      </c>
      <c r="K909" s="26">
        <v>23979.71</v>
      </c>
      <c r="L909" s="26">
        <v>333.25</v>
      </c>
    </row>
    <row r="910" spans="1:12" ht="16" customHeight="1">
      <c r="A910" t="s">
        <v>425</v>
      </c>
      <c r="B910" t="s">
        <v>3</v>
      </c>
      <c r="C910" t="s">
        <v>45</v>
      </c>
      <c r="D910" s="24">
        <v>46113</v>
      </c>
      <c r="E910" t="s">
        <v>226</v>
      </c>
      <c r="F910" t="s">
        <v>4</v>
      </c>
      <c r="G910" t="s">
        <v>217</v>
      </c>
      <c r="H910" t="s">
        <v>217</v>
      </c>
      <c r="I910" t="s">
        <v>221</v>
      </c>
      <c r="J910" s="25">
        <v>13438</v>
      </c>
      <c r="K910" s="26">
        <v>2334.37</v>
      </c>
      <c r="L910" s="26">
        <v>39.6</v>
      </c>
    </row>
    <row r="911" spans="1:12" ht="16" customHeight="1">
      <c r="A911" t="s">
        <v>425</v>
      </c>
      <c r="B911" t="s">
        <v>3</v>
      </c>
      <c r="C911" t="s">
        <v>45</v>
      </c>
      <c r="D911" s="24">
        <v>46113</v>
      </c>
      <c r="E911" t="s">
        <v>269</v>
      </c>
      <c r="F911" t="s">
        <v>4</v>
      </c>
      <c r="G911" t="s">
        <v>217</v>
      </c>
      <c r="H911" t="s">
        <v>217</v>
      </c>
      <c r="I911" t="s">
        <v>267</v>
      </c>
      <c r="J911" s="25">
        <v>0</v>
      </c>
      <c r="K911" s="26">
        <v>0</v>
      </c>
      <c r="L911" s="26">
        <v>0</v>
      </c>
    </row>
    <row r="912" spans="1:12" ht="16" customHeight="1">
      <c r="A912" t="s">
        <v>425</v>
      </c>
      <c r="B912" t="s">
        <v>3</v>
      </c>
      <c r="C912" t="s">
        <v>45</v>
      </c>
      <c r="D912" s="24">
        <v>46113</v>
      </c>
      <c r="E912" t="s">
        <v>228</v>
      </c>
      <c r="F912" t="s">
        <v>4</v>
      </c>
      <c r="G912" t="s">
        <v>217</v>
      </c>
      <c r="H912" t="s">
        <v>217</v>
      </c>
      <c r="I912" t="s">
        <v>268</v>
      </c>
      <c r="J912" s="25">
        <v>0</v>
      </c>
      <c r="K912" s="26">
        <v>0</v>
      </c>
      <c r="L912" s="26">
        <v>0</v>
      </c>
    </row>
    <row r="913" spans="1:12" ht="16" customHeight="1">
      <c r="A913" t="s">
        <v>425</v>
      </c>
      <c r="B913" t="s">
        <v>3</v>
      </c>
      <c r="C913" t="s">
        <v>45</v>
      </c>
      <c r="D913" s="24">
        <v>46113</v>
      </c>
      <c r="E913" t="s">
        <v>439</v>
      </c>
      <c r="F913" t="s">
        <v>4</v>
      </c>
      <c r="G913" t="s">
        <v>217</v>
      </c>
      <c r="H913" t="s">
        <v>217</v>
      </c>
      <c r="I913" t="s">
        <v>270</v>
      </c>
      <c r="J913" s="25">
        <v>0</v>
      </c>
      <c r="K913" s="26">
        <v>0</v>
      </c>
      <c r="L913" s="26">
        <v>0</v>
      </c>
    </row>
    <row r="914" spans="1:12" ht="16" customHeight="1">
      <c r="A914" t="s">
        <v>446</v>
      </c>
      <c r="B914" t="s">
        <v>5</v>
      </c>
      <c r="C914" t="s">
        <v>46</v>
      </c>
      <c r="D914" s="24">
        <v>46113</v>
      </c>
      <c r="E914" t="s">
        <v>387</v>
      </c>
      <c r="F914" t="s">
        <v>4</v>
      </c>
      <c r="G914" t="s">
        <v>217</v>
      </c>
      <c r="H914" t="s">
        <v>217</v>
      </c>
      <c r="I914" t="s">
        <v>212</v>
      </c>
      <c r="J914" s="25">
        <v>2656328</v>
      </c>
      <c r="K914" s="26">
        <v>448150.77</v>
      </c>
      <c r="L914" s="26">
        <v>4174.55</v>
      </c>
    </row>
    <row r="915" spans="1:12" ht="16" customHeight="1">
      <c r="A915" t="s">
        <v>446</v>
      </c>
      <c r="B915" t="s">
        <v>5</v>
      </c>
      <c r="C915" t="s">
        <v>46</v>
      </c>
      <c r="D915" s="24">
        <v>46113</v>
      </c>
      <c r="E915" t="s">
        <v>416</v>
      </c>
      <c r="F915" t="s">
        <v>4</v>
      </c>
      <c r="G915" t="s">
        <v>217</v>
      </c>
      <c r="H915" t="s">
        <v>217</v>
      </c>
      <c r="I915" t="s">
        <v>219</v>
      </c>
      <c r="J915" s="25">
        <v>147651</v>
      </c>
      <c r="K915" s="26">
        <v>25866.1</v>
      </c>
      <c r="L915" s="26">
        <v>496.11</v>
      </c>
    </row>
    <row r="916" spans="1:12" ht="16" customHeight="1">
      <c r="A916" t="s">
        <v>446</v>
      </c>
      <c r="B916" t="s">
        <v>5</v>
      </c>
      <c r="C916" t="s">
        <v>46</v>
      </c>
      <c r="D916" s="24">
        <v>46113</v>
      </c>
      <c r="E916" t="s">
        <v>226</v>
      </c>
      <c r="F916" t="s">
        <v>4</v>
      </c>
      <c r="G916" t="s">
        <v>217</v>
      </c>
      <c r="H916" t="s">
        <v>217</v>
      </c>
      <c r="I916" t="s">
        <v>221</v>
      </c>
      <c r="J916" s="25">
        <v>12414</v>
      </c>
      <c r="K916" s="26">
        <v>2119.37</v>
      </c>
      <c r="L916" s="26">
        <v>35.31</v>
      </c>
    </row>
    <row r="917" spans="1:12" ht="16" customHeight="1">
      <c r="A917" t="s">
        <v>446</v>
      </c>
      <c r="B917" t="s">
        <v>5</v>
      </c>
      <c r="C917" t="s">
        <v>46</v>
      </c>
      <c r="D917" s="24">
        <v>46113</v>
      </c>
      <c r="E917" t="s">
        <v>269</v>
      </c>
      <c r="F917" t="s">
        <v>4</v>
      </c>
      <c r="G917" t="s">
        <v>217</v>
      </c>
      <c r="H917" t="s">
        <v>217</v>
      </c>
      <c r="I917" t="s">
        <v>267</v>
      </c>
      <c r="J917" s="25">
        <v>0</v>
      </c>
      <c r="K917" s="26">
        <v>0</v>
      </c>
      <c r="L917" s="26">
        <v>0</v>
      </c>
    </row>
    <row r="918" spans="1:12" ht="16" customHeight="1">
      <c r="A918" t="s">
        <v>446</v>
      </c>
      <c r="B918" t="s">
        <v>5</v>
      </c>
      <c r="C918" t="s">
        <v>46</v>
      </c>
      <c r="D918" s="24">
        <v>46113</v>
      </c>
      <c r="E918" t="s">
        <v>228</v>
      </c>
      <c r="F918" t="s">
        <v>4</v>
      </c>
      <c r="G918" t="s">
        <v>217</v>
      </c>
      <c r="H918" t="s">
        <v>217</v>
      </c>
      <c r="I918" t="s">
        <v>268</v>
      </c>
      <c r="J918" s="25">
        <v>0</v>
      </c>
      <c r="K918" s="26">
        <v>0</v>
      </c>
      <c r="L918" s="26">
        <v>0</v>
      </c>
    </row>
    <row r="919" spans="1:12" ht="16" customHeight="1">
      <c r="A919" t="s">
        <v>446</v>
      </c>
      <c r="B919" t="s">
        <v>5</v>
      </c>
      <c r="C919" t="s">
        <v>46</v>
      </c>
      <c r="D919" s="24">
        <v>46113</v>
      </c>
      <c r="E919" t="s">
        <v>439</v>
      </c>
      <c r="F919" t="s">
        <v>4</v>
      </c>
      <c r="G919" t="s">
        <v>217</v>
      </c>
      <c r="H919" t="s">
        <v>217</v>
      </c>
      <c r="I919" t="s">
        <v>270</v>
      </c>
      <c r="J919" s="25">
        <v>0</v>
      </c>
      <c r="K919" s="26">
        <v>0</v>
      </c>
      <c r="L919" s="26">
        <v>0</v>
      </c>
    </row>
    <row r="920" spans="1:12" ht="16" customHeight="1">
      <c r="A920" t="s">
        <v>448</v>
      </c>
      <c r="B920" t="s">
        <v>6</v>
      </c>
      <c r="C920" t="s">
        <v>46</v>
      </c>
      <c r="D920" s="24">
        <v>46113</v>
      </c>
      <c r="E920" t="s">
        <v>387</v>
      </c>
      <c r="F920" t="s">
        <v>4</v>
      </c>
      <c r="G920" t="s">
        <v>217</v>
      </c>
      <c r="H920" t="s">
        <v>217</v>
      </c>
      <c r="I920" t="s">
        <v>212</v>
      </c>
      <c r="J920" s="25">
        <v>2664316</v>
      </c>
      <c r="K920" s="26">
        <v>450967.7</v>
      </c>
      <c r="L920" s="26">
        <v>4137.7700000000004</v>
      </c>
    </row>
    <row r="921" spans="1:12" ht="16" customHeight="1">
      <c r="A921" t="s">
        <v>448</v>
      </c>
      <c r="B921" t="s">
        <v>6</v>
      </c>
      <c r="C921" t="s">
        <v>46</v>
      </c>
      <c r="D921" s="24">
        <v>46113</v>
      </c>
      <c r="E921" t="s">
        <v>416</v>
      </c>
      <c r="F921" t="s">
        <v>4</v>
      </c>
      <c r="G921" t="s">
        <v>217</v>
      </c>
      <c r="H921" t="s">
        <v>217</v>
      </c>
      <c r="I921" t="s">
        <v>219</v>
      </c>
      <c r="J921" s="25">
        <v>117117</v>
      </c>
      <c r="K921" s="26">
        <v>20703.71</v>
      </c>
      <c r="L921" s="26">
        <v>328.96</v>
      </c>
    </row>
    <row r="922" spans="1:12" ht="16" customHeight="1">
      <c r="A922" t="s">
        <v>448</v>
      </c>
      <c r="B922" t="s">
        <v>6</v>
      </c>
      <c r="C922" t="s">
        <v>46</v>
      </c>
      <c r="D922" s="24">
        <v>46113</v>
      </c>
      <c r="E922" t="s">
        <v>226</v>
      </c>
      <c r="F922" t="s">
        <v>4</v>
      </c>
      <c r="G922" t="s">
        <v>217</v>
      </c>
      <c r="H922" t="s">
        <v>217</v>
      </c>
      <c r="I922" t="s">
        <v>221</v>
      </c>
      <c r="J922" s="25">
        <v>9648</v>
      </c>
      <c r="K922" s="26">
        <v>1676.56</v>
      </c>
      <c r="L922" s="26">
        <v>25.89</v>
      </c>
    </row>
    <row r="923" spans="1:12" ht="16" customHeight="1">
      <c r="A923" t="s">
        <v>448</v>
      </c>
      <c r="B923" t="s">
        <v>6</v>
      </c>
      <c r="C923" t="s">
        <v>46</v>
      </c>
      <c r="D923" s="24">
        <v>46113</v>
      </c>
      <c r="E923" t="s">
        <v>269</v>
      </c>
      <c r="F923" t="s">
        <v>4</v>
      </c>
      <c r="G923" t="s">
        <v>217</v>
      </c>
      <c r="H923" t="s">
        <v>217</v>
      </c>
      <c r="I923" t="s">
        <v>267</v>
      </c>
      <c r="J923" s="25">
        <v>0</v>
      </c>
      <c r="K923" s="26">
        <v>0</v>
      </c>
      <c r="L923" s="26">
        <v>0</v>
      </c>
    </row>
    <row r="924" spans="1:12" ht="16" customHeight="1">
      <c r="A924" t="s">
        <v>448</v>
      </c>
      <c r="B924" t="s">
        <v>6</v>
      </c>
      <c r="C924" t="s">
        <v>46</v>
      </c>
      <c r="D924" s="24">
        <v>46113</v>
      </c>
      <c r="E924" t="s">
        <v>228</v>
      </c>
      <c r="F924" t="s">
        <v>4</v>
      </c>
      <c r="G924" t="s">
        <v>217</v>
      </c>
      <c r="H924" t="s">
        <v>217</v>
      </c>
      <c r="I924" t="s">
        <v>268</v>
      </c>
      <c r="J924" s="25">
        <v>0</v>
      </c>
      <c r="K924" s="26">
        <v>0</v>
      </c>
      <c r="L924" s="26">
        <v>0</v>
      </c>
    </row>
    <row r="925" spans="1:12" ht="16" customHeight="1">
      <c r="A925" t="s">
        <v>448</v>
      </c>
      <c r="B925" t="s">
        <v>6</v>
      </c>
      <c r="C925" t="s">
        <v>46</v>
      </c>
      <c r="D925" s="24">
        <v>46113</v>
      </c>
      <c r="E925" t="s">
        <v>439</v>
      </c>
      <c r="F925" t="s">
        <v>4</v>
      </c>
      <c r="G925" t="s">
        <v>217</v>
      </c>
      <c r="H925" t="s">
        <v>217</v>
      </c>
      <c r="I925" t="s">
        <v>270</v>
      </c>
      <c r="J925" s="25">
        <v>0</v>
      </c>
      <c r="K925" s="26">
        <v>0</v>
      </c>
      <c r="L925" s="26">
        <v>0</v>
      </c>
    </row>
    <row r="926" spans="1:12" ht="16" customHeight="1">
      <c r="A926" t="s">
        <v>449</v>
      </c>
      <c r="B926" t="s">
        <v>7</v>
      </c>
      <c r="C926" t="s">
        <v>46</v>
      </c>
      <c r="D926" s="24">
        <v>46113</v>
      </c>
      <c r="E926" t="s">
        <v>387</v>
      </c>
      <c r="F926" t="s">
        <v>4</v>
      </c>
      <c r="G926" t="s">
        <v>217</v>
      </c>
      <c r="H926" t="s">
        <v>217</v>
      </c>
      <c r="I926" t="s">
        <v>212</v>
      </c>
      <c r="J926" s="25">
        <v>2695208</v>
      </c>
      <c r="K926" s="26">
        <v>454324.34</v>
      </c>
      <c r="L926" s="26">
        <v>3576.19</v>
      </c>
    </row>
    <row r="927" spans="1:12" ht="16" customHeight="1">
      <c r="A927" t="s">
        <v>449</v>
      </c>
      <c r="B927" t="s">
        <v>7</v>
      </c>
      <c r="C927" t="s">
        <v>46</v>
      </c>
      <c r="D927" s="24">
        <v>46113</v>
      </c>
      <c r="E927" t="s">
        <v>416</v>
      </c>
      <c r="F927" t="s">
        <v>4</v>
      </c>
      <c r="G927" t="s">
        <v>217</v>
      </c>
      <c r="H927" t="s">
        <v>217</v>
      </c>
      <c r="I927" t="s">
        <v>219</v>
      </c>
      <c r="J927" s="25">
        <v>132661</v>
      </c>
      <c r="K927" s="26">
        <v>23212.85</v>
      </c>
      <c r="L927" s="26">
        <v>317.68</v>
      </c>
    </row>
    <row r="928" spans="1:12" ht="16" customHeight="1">
      <c r="A928" t="s">
        <v>449</v>
      </c>
      <c r="B928" t="s">
        <v>7</v>
      </c>
      <c r="C928" t="s">
        <v>46</v>
      </c>
      <c r="D928" s="24">
        <v>46113</v>
      </c>
      <c r="E928" t="s">
        <v>226</v>
      </c>
      <c r="F928" t="s">
        <v>4</v>
      </c>
      <c r="G928" t="s">
        <v>217</v>
      </c>
      <c r="H928" t="s">
        <v>217</v>
      </c>
      <c r="I928" t="s">
        <v>221</v>
      </c>
      <c r="J928" s="25">
        <v>10165</v>
      </c>
      <c r="K928" s="26">
        <v>1749.21</v>
      </c>
      <c r="L928" s="26">
        <v>27.11</v>
      </c>
    </row>
    <row r="929" spans="1:12" ht="16" customHeight="1">
      <c r="A929" t="s">
        <v>449</v>
      </c>
      <c r="B929" t="s">
        <v>7</v>
      </c>
      <c r="C929" t="s">
        <v>46</v>
      </c>
      <c r="D929" s="24">
        <v>46113</v>
      </c>
      <c r="E929" t="s">
        <v>269</v>
      </c>
      <c r="F929" t="s">
        <v>4</v>
      </c>
      <c r="G929" t="s">
        <v>217</v>
      </c>
      <c r="H929" t="s">
        <v>217</v>
      </c>
      <c r="I929" t="s">
        <v>267</v>
      </c>
      <c r="J929" s="25">
        <v>0</v>
      </c>
      <c r="K929" s="26">
        <v>0</v>
      </c>
      <c r="L929" s="26">
        <v>0</v>
      </c>
    </row>
    <row r="930" spans="1:12" ht="16" customHeight="1">
      <c r="A930" t="s">
        <v>449</v>
      </c>
      <c r="B930" t="s">
        <v>7</v>
      </c>
      <c r="C930" t="s">
        <v>46</v>
      </c>
      <c r="D930" s="24">
        <v>46113</v>
      </c>
      <c r="E930" t="s">
        <v>228</v>
      </c>
      <c r="F930" t="s">
        <v>4</v>
      </c>
      <c r="G930" t="s">
        <v>217</v>
      </c>
      <c r="H930" t="s">
        <v>217</v>
      </c>
      <c r="I930" t="s">
        <v>268</v>
      </c>
      <c r="J930" s="25">
        <v>0</v>
      </c>
      <c r="K930" s="26">
        <v>0</v>
      </c>
      <c r="L930" s="26">
        <v>0</v>
      </c>
    </row>
    <row r="931" spans="1:12" ht="16" customHeight="1">
      <c r="A931" t="s">
        <v>449</v>
      </c>
      <c r="B931" t="s">
        <v>7</v>
      </c>
      <c r="C931" t="s">
        <v>46</v>
      </c>
      <c r="D931" s="24">
        <v>46113</v>
      </c>
      <c r="E931" t="s">
        <v>439</v>
      </c>
      <c r="F931" t="s">
        <v>4</v>
      </c>
      <c r="G931" t="s">
        <v>217</v>
      </c>
      <c r="H931" t="s">
        <v>217</v>
      </c>
      <c r="I931" t="s">
        <v>270</v>
      </c>
      <c r="J931" s="25">
        <v>0</v>
      </c>
      <c r="K931" s="26">
        <v>0</v>
      </c>
      <c r="L931" s="26">
        <v>0</v>
      </c>
    </row>
    <row r="932" spans="1:12" ht="16" customHeight="1">
      <c r="A932" t="s">
        <v>450</v>
      </c>
      <c r="B932" t="s">
        <v>3</v>
      </c>
      <c r="C932" t="s">
        <v>46</v>
      </c>
      <c r="D932" s="24">
        <v>46113</v>
      </c>
      <c r="E932" t="s">
        <v>387</v>
      </c>
      <c r="F932" t="s">
        <v>4</v>
      </c>
      <c r="G932" t="s">
        <v>217</v>
      </c>
      <c r="H932" t="s">
        <v>217</v>
      </c>
      <c r="I932" t="s">
        <v>212</v>
      </c>
      <c r="J932" s="25">
        <v>3666502</v>
      </c>
      <c r="K932" s="26">
        <v>622620.13</v>
      </c>
      <c r="L932" s="26">
        <v>4420.92</v>
      </c>
    </row>
    <row r="933" spans="1:12" ht="16" customHeight="1">
      <c r="A933" t="s">
        <v>450</v>
      </c>
      <c r="B933" t="s">
        <v>3</v>
      </c>
      <c r="C933" t="s">
        <v>46</v>
      </c>
      <c r="D933" s="24">
        <v>46113</v>
      </c>
      <c r="E933" t="s">
        <v>416</v>
      </c>
      <c r="F933" t="s">
        <v>4</v>
      </c>
      <c r="G933" t="s">
        <v>217</v>
      </c>
      <c r="H933" t="s">
        <v>217</v>
      </c>
      <c r="I933" t="s">
        <v>219</v>
      </c>
      <c r="J933" s="25">
        <v>180150</v>
      </c>
      <c r="K933" s="26">
        <v>31480.38</v>
      </c>
      <c r="L933" s="26">
        <v>399.54</v>
      </c>
    </row>
    <row r="934" spans="1:12" ht="16" customHeight="1">
      <c r="A934" t="s">
        <v>450</v>
      </c>
      <c r="B934" t="s">
        <v>3</v>
      </c>
      <c r="C934" t="s">
        <v>46</v>
      </c>
      <c r="D934" s="24">
        <v>46113</v>
      </c>
      <c r="E934" t="s">
        <v>226</v>
      </c>
      <c r="F934" t="s">
        <v>4</v>
      </c>
      <c r="G934" t="s">
        <v>217</v>
      </c>
      <c r="H934" t="s">
        <v>217</v>
      </c>
      <c r="I934" t="s">
        <v>221</v>
      </c>
      <c r="J934" s="25">
        <v>15269</v>
      </c>
      <c r="K934" s="26">
        <v>2678.54</v>
      </c>
      <c r="L934" s="26">
        <v>51.45</v>
      </c>
    </row>
    <row r="935" spans="1:12" ht="16" customHeight="1">
      <c r="A935" t="s">
        <v>450</v>
      </c>
      <c r="B935" t="s">
        <v>3</v>
      </c>
      <c r="C935" t="s">
        <v>46</v>
      </c>
      <c r="D935" s="24">
        <v>46113</v>
      </c>
      <c r="E935" t="s">
        <v>269</v>
      </c>
      <c r="F935" t="s">
        <v>4</v>
      </c>
      <c r="G935" t="s">
        <v>217</v>
      </c>
      <c r="H935" t="s">
        <v>217</v>
      </c>
      <c r="I935" t="s">
        <v>267</v>
      </c>
      <c r="J935" s="25">
        <v>0</v>
      </c>
      <c r="K935" s="26">
        <v>0</v>
      </c>
      <c r="L935" s="26">
        <v>0</v>
      </c>
    </row>
    <row r="936" spans="1:12" ht="16" customHeight="1">
      <c r="A936" t="s">
        <v>450</v>
      </c>
      <c r="B936" t="s">
        <v>3</v>
      </c>
      <c r="C936" t="s">
        <v>46</v>
      </c>
      <c r="D936" s="24">
        <v>46113</v>
      </c>
      <c r="E936" t="s">
        <v>228</v>
      </c>
      <c r="F936" t="s">
        <v>4</v>
      </c>
      <c r="G936" t="s">
        <v>217</v>
      </c>
      <c r="H936" t="s">
        <v>217</v>
      </c>
      <c r="I936" t="s">
        <v>268</v>
      </c>
      <c r="J936" s="25">
        <v>0</v>
      </c>
      <c r="K936" s="26">
        <v>0</v>
      </c>
      <c r="L936" s="26">
        <v>0</v>
      </c>
    </row>
    <row r="937" spans="1:12" ht="16" customHeight="1">
      <c r="A937" t="s">
        <v>450</v>
      </c>
      <c r="B937" t="s">
        <v>3</v>
      </c>
      <c r="C937" t="s">
        <v>46</v>
      </c>
      <c r="D937" s="24">
        <v>46113</v>
      </c>
      <c r="E937" t="s">
        <v>439</v>
      </c>
      <c r="F937" t="s">
        <v>4</v>
      </c>
      <c r="G937" t="s">
        <v>217</v>
      </c>
      <c r="H937" t="s">
        <v>217</v>
      </c>
      <c r="I937" t="s">
        <v>270</v>
      </c>
      <c r="J937" s="25">
        <v>0</v>
      </c>
      <c r="K937" s="26">
        <v>0</v>
      </c>
      <c r="L937" s="26">
        <v>0</v>
      </c>
    </row>
    <row r="938" spans="1:12" ht="16" customHeight="1">
      <c r="A938" t="s">
        <v>430</v>
      </c>
      <c r="B938" t="s">
        <v>4</v>
      </c>
      <c r="C938" t="s">
        <v>46</v>
      </c>
      <c r="D938" s="24">
        <v>46113</v>
      </c>
      <c r="E938" t="s">
        <v>387</v>
      </c>
      <c r="F938" t="s">
        <v>4</v>
      </c>
      <c r="G938" t="s">
        <v>217</v>
      </c>
      <c r="H938" t="s">
        <v>217</v>
      </c>
      <c r="I938" t="s">
        <v>212</v>
      </c>
      <c r="J938" s="25">
        <v>2989722</v>
      </c>
      <c r="K938" s="26">
        <v>506462.64</v>
      </c>
      <c r="L938" s="26">
        <v>3392.11</v>
      </c>
    </row>
    <row r="939" spans="1:12" ht="16" customHeight="1">
      <c r="A939" t="s">
        <v>430</v>
      </c>
      <c r="B939" t="s">
        <v>4</v>
      </c>
      <c r="C939" t="s">
        <v>46</v>
      </c>
      <c r="D939" s="24">
        <v>46113</v>
      </c>
      <c r="E939" t="s">
        <v>416</v>
      </c>
      <c r="F939" t="s">
        <v>4</v>
      </c>
      <c r="G939" t="s">
        <v>217</v>
      </c>
      <c r="H939" t="s">
        <v>217</v>
      </c>
      <c r="I939" t="s">
        <v>219</v>
      </c>
      <c r="J939" s="25">
        <v>179279</v>
      </c>
      <c r="K939" s="26">
        <v>31355.34</v>
      </c>
      <c r="L939" s="26">
        <v>414.59</v>
      </c>
    </row>
    <row r="940" spans="1:12" ht="16" customHeight="1">
      <c r="A940" t="s">
        <v>430</v>
      </c>
      <c r="B940" t="s">
        <v>4</v>
      </c>
      <c r="C940" t="s">
        <v>46</v>
      </c>
      <c r="D940" s="24">
        <v>46113</v>
      </c>
      <c r="E940" t="s">
        <v>226</v>
      </c>
      <c r="F940" t="s">
        <v>4</v>
      </c>
      <c r="G940" t="s">
        <v>217</v>
      </c>
      <c r="H940" t="s">
        <v>217</v>
      </c>
      <c r="I940" t="s">
        <v>221</v>
      </c>
      <c r="J940" s="25">
        <v>12233</v>
      </c>
      <c r="K940" s="26">
        <v>2118.65</v>
      </c>
      <c r="L940" s="26">
        <v>37.369999999999997</v>
      </c>
    </row>
    <row r="941" spans="1:12" ht="16" customHeight="1">
      <c r="A941" t="s">
        <v>430</v>
      </c>
      <c r="B941" t="s">
        <v>4</v>
      </c>
      <c r="C941" t="s">
        <v>46</v>
      </c>
      <c r="D941" s="24">
        <v>46113</v>
      </c>
      <c r="E941" t="s">
        <v>269</v>
      </c>
      <c r="F941" t="s">
        <v>4</v>
      </c>
      <c r="G941" t="s">
        <v>217</v>
      </c>
      <c r="H941" t="s">
        <v>217</v>
      </c>
      <c r="I941" t="s">
        <v>267</v>
      </c>
      <c r="J941" s="25">
        <v>0</v>
      </c>
      <c r="K941" s="26">
        <v>0</v>
      </c>
      <c r="L941" s="26">
        <v>0</v>
      </c>
    </row>
    <row r="942" spans="1:12" ht="16" customHeight="1">
      <c r="A942" t="s">
        <v>430</v>
      </c>
      <c r="B942" t="s">
        <v>4</v>
      </c>
      <c r="C942" t="s">
        <v>46</v>
      </c>
      <c r="D942" s="24">
        <v>46113</v>
      </c>
      <c r="E942" t="s">
        <v>228</v>
      </c>
      <c r="F942" t="s">
        <v>4</v>
      </c>
      <c r="G942" t="s">
        <v>217</v>
      </c>
      <c r="H942" t="s">
        <v>217</v>
      </c>
      <c r="I942" t="s">
        <v>268</v>
      </c>
      <c r="J942" s="25">
        <v>0</v>
      </c>
      <c r="K942" s="26">
        <v>0</v>
      </c>
      <c r="L942" s="26">
        <v>0</v>
      </c>
    </row>
    <row r="943" spans="1:12" ht="16" customHeight="1">
      <c r="A943" t="s">
        <v>430</v>
      </c>
      <c r="B943" t="s">
        <v>4</v>
      </c>
      <c r="C943" t="s">
        <v>46</v>
      </c>
      <c r="D943" s="24">
        <v>46113</v>
      </c>
      <c r="E943" t="s">
        <v>439</v>
      </c>
      <c r="F943" t="s">
        <v>4</v>
      </c>
      <c r="G943" t="s">
        <v>217</v>
      </c>
      <c r="H943" t="s">
        <v>217</v>
      </c>
      <c r="I943" t="s">
        <v>270</v>
      </c>
      <c r="J943" s="25">
        <v>0</v>
      </c>
      <c r="K943" s="26">
        <v>0</v>
      </c>
      <c r="L943" s="26">
        <v>0</v>
      </c>
    </row>
    <row r="944" spans="1:12" ht="16" customHeight="1">
      <c r="A944" t="s">
        <v>451</v>
      </c>
      <c r="B944" t="s">
        <v>5</v>
      </c>
      <c r="C944" t="s">
        <v>47</v>
      </c>
      <c r="D944" s="24">
        <v>46113</v>
      </c>
      <c r="E944" t="s">
        <v>387</v>
      </c>
      <c r="F944" t="s">
        <v>4</v>
      </c>
      <c r="G944" t="s">
        <v>217</v>
      </c>
      <c r="H944" t="s">
        <v>217</v>
      </c>
      <c r="I944" t="s">
        <v>212</v>
      </c>
      <c r="J944" s="25">
        <v>4046063</v>
      </c>
      <c r="K944" s="26">
        <v>691236.95</v>
      </c>
      <c r="L944" s="26">
        <v>4168.0200000000004</v>
      </c>
    </row>
    <row r="945" spans="1:12" ht="16" customHeight="1">
      <c r="A945" t="s">
        <v>451</v>
      </c>
      <c r="B945" t="s">
        <v>5</v>
      </c>
      <c r="C945" t="s">
        <v>47</v>
      </c>
      <c r="D945" s="24">
        <v>46113</v>
      </c>
      <c r="E945" t="s">
        <v>416</v>
      </c>
      <c r="F945" t="s">
        <v>4</v>
      </c>
      <c r="G945" t="s">
        <v>217</v>
      </c>
      <c r="H945" t="s">
        <v>217</v>
      </c>
      <c r="I945" t="s">
        <v>219</v>
      </c>
      <c r="J945" s="25">
        <v>177749</v>
      </c>
      <c r="K945" s="26">
        <v>30750.02</v>
      </c>
      <c r="L945" s="26">
        <v>395.47</v>
      </c>
    </row>
    <row r="946" spans="1:12" ht="16" customHeight="1">
      <c r="A946" t="s">
        <v>451</v>
      </c>
      <c r="B946" t="s">
        <v>5</v>
      </c>
      <c r="C946" t="s">
        <v>47</v>
      </c>
      <c r="D946" s="24">
        <v>46113</v>
      </c>
      <c r="E946" t="s">
        <v>226</v>
      </c>
      <c r="F946" t="s">
        <v>4</v>
      </c>
      <c r="G946" t="s">
        <v>217</v>
      </c>
      <c r="H946" t="s">
        <v>217</v>
      </c>
      <c r="I946" t="s">
        <v>221</v>
      </c>
      <c r="J946" s="25">
        <v>9273</v>
      </c>
      <c r="K946" s="26">
        <v>1614.06</v>
      </c>
      <c r="L946" s="26">
        <v>28.44</v>
      </c>
    </row>
    <row r="947" spans="1:12" ht="16" customHeight="1">
      <c r="A947" t="s">
        <v>451</v>
      </c>
      <c r="B947" t="s">
        <v>5</v>
      </c>
      <c r="C947" t="s">
        <v>47</v>
      </c>
      <c r="D947" s="24">
        <v>46113</v>
      </c>
      <c r="E947" t="s">
        <v>269</v>
      </c>
      <c r="F947" t="s">
        <v>4</v>
      </c>
      <c r="G947" t="s">
        <v>217</v>
      </c>
      <c r="H947" t="s">
        <v>217</v>
      </c>
      <c r="I947" t="s">
        <v>267</v>
      </c>
      <c r="J947" s="25">
        <v>31</v>
      </c>
      <c r="K947" s="26">
        <v>5.79</v>
      </c>
      <c r="L947" s="26">
        <v>0.17</v>
      </c>
    </row>
    <row r="948" spans="1:12" ht="16" customHeight="1">
      <c r="A948" t="s">
        <v>451</v>
      </c>
      <c r="B948" t="s">
        <v>5</v>
      </c>
      <c r="C948" t="s">
        <v>47</v>
      </c>
      <c r="D948" s="24">
        <v>46113</v>
      </c>
      <c r="E948" t="s">
        <v>228</v>
      </c>
      <c r="F948" t="s">
        <v>4</v>
      </c>
      <c r="G948" t="s">
        <v>217</v>
      </c>
      <c r="H948" t="s">
        <v>217</v>
      </c>
      <c r="I948" t="s">
        <v>268</v>
      </c>
      <c r="J948" s="25">
        <v>0</v>
      </c>
      <c r="K948" s="26">
        <v>0</v>
      </c>
      <c r="L948" s="26">
        <v>0</v>
      </c>
    </row>
    <row r="949" spans="1:12" ht="16" customHeight="1">
      <c r="A949" t="s">
        <v>451</v>
      </c>
      <c r="B949" t="s">
        <v>5</v>
      </c>
      <c r="C949" t="s">
        <v>47</v>
      </c>
      <c r="D949" s="24">
        <v>46113</v>
      </c>
      <c r="E949" t="s">
        <v>439</v>
      </c>
      <c r="F949" t="s">
        <v>4</v>
      </c>
      <c r="G949" t="s">
        <v>217</v>
      </c>
      <c r="H949" t="s">
        <v>217</v>
      </c>
      <c r="I949" t="s">
        <v>270</v>
      </c>
      <c r="J949" s="25">
        <v>0</v>
      </c>
      <c r="K949" s="26">
        <v>0</v>
      </c>
      <c r="L949" s="26">
        <v>0</v>
      </c>
    </row>
    <row r="950" spans="1:12" ht="16" customHeight="1">
      <c r="A950" t="s">
        <v>453</v>
      </c>
      <c r="B950" t="s">
        <v>6</v>
      </c>
      <c r="C950" t="s">
        <v>47</v>
      </c>
      <c r="D950" s="24">
        <v>46113</v>
      </c>
      <c r="E950" t="s">
        <v>387</v>
      </c>
      <c r="F950" t="s">
        <v>4</v>
      </c>
      <c r="G950" t="s">
        <v>217</v>
      </c>
      <c r="H950" t="s">
        <v>217</v>
      </c>
      <c r="I950" t="s">
        <v>212</v>
      </c>
      <c r="J950" s="25">
        <v>4408079</v>
      </c>
      <c r="K950" s="26">
        <v>750923.37</v>
      </c>
      <c r="L950" s="26">
        <v>3849.19</v>
      </c>
    </row>
    <row r="951" spans="1:12" ht="16" customHeight="1">
      <c r="A951" t="s">
        <v>453</v>
      </c>
      <c r="B951" t="s">
        <v>6</v>
      </c>
      <c r="C951" t="s">
        <v>47</v>
      </c>
      <c r="D951" s="24">
        <v>46113</v>
      </c>
      <c r="E951" t="s">
        <v>416</v>
      </c>
      <c r="F951" t="s">
        <v>4</v>
      </c>
      <c r="G951" t="s">
        <v>217</v>
      </c>
      <c r="H951" t="s">
        <v>217</v>
      </c>
      <c r="I951" t="s">
        <v>219</v>
      </c>
      <c r="J951" s="25">
        <v>223671</v>
      </c>
      <c r="K951" s="26">
        <v>39019.550000000003</v>
      </c>
      <c r="L951" s="26">
        <v>517.04</v>
      </c>
    </row>
    <row r="952" spans="1:12" ht="16" customHeight="1">
      <c r="A952" t="s">
        <v>453</v>
      </c>
      <c r="B952" t="s">
        <v>6</v>
      </c>
      <c r="C952" t="s">
        <v>47</v>
      </c>
      <c r="D952" s="24">
        <v>46113</v>
      </c>
      <c r="E952" t="s">
        <v>226</v>
      </c>
      <c r="F952" t="s">
        <v>4</v>
      </c>
      <c r="G952" t="s">
        <v>217</v>
      </c>
      <c r="H952" t="s">
        <v>217</v>
      </c>
      <c r="I952" t="s">
        <v>221</v>
      </c>
      <c r="J952" s="25">
        <v>12076</v>
      </c>
      <c r="K952" s="26">
        <v>2101</v>
      </c>
      <c r="L952" s="26">
        <v>38.83</v>
      </c>
    </row>
    <row r="953" spans="1:12" ht="16" customHeight="1">
      <c r="A953" t="s">
        <v>453</v>
      </c>
      <c r="B953" t="s">
        <v>6</v>
      </c>
      <c r="C953" t="s">
        <v>47</v>
      </c>
      <c r="D953" s="24">
        <v>46113</v>
      </c>
      <c r="E953" t="s">
        <v>269</v>
      </c>
      <c r="F953" t="s">
        <v>4</v>
      </c>
      <c r="G953" t="s">
        <v>217</v>
      </c>
      <c r="H953" t="s">
        <v>217</v>
      </c>
      <c r="I953" t="s">
        <v>267</v>
      </c>
      <c r="J953" s="25">
        <v>96</v>
      </c>
      <c r="K953" s="26">
        <v>15.98</v>
      </c>
      <c r="L953" s="26">
        <v>0.3</v>
      </c>
    </row>
    <row r="954" spans="1:12" ht="16" customHeight="1">
      <c r="A954" t="s">
        <v>453</v>
      </c>
      <c r="B954" t="s">
        <v>6</v>
      </c>
      <c r="C954" t="s">
        <v>47</v>
      </c>
      <c r="D954" s="24">
        <v>46113</v>
      </c>
      <c r="E954" t="s">
        <v>228</v>
      </c>
      <c r="F954" t="s">
        <v>4</v>
      </c>
      <c r="G954" t="s">
        <v>217</v>
      </c>
      <c r="H954" t="s">
        <v>217</v>
      </c>
      <c r="I954" t="s">
        <v>268</v>
      </c>
      <c r="J954" s="25">
        <v>0</v>
      </c>
      <c r="K954" s="26">
        <v>0</v>
      </c>
      <c r="L954" s="26">
        <v>0</v>
      </c>
    </row>
    <row r="955" spans="1:12" ht="16" customHeight="1">
      <c r="A955" t="s">
        <v>453</v>
      </c>
      <c r="B955" t="s">
        <v>6</v>
      </c>
      <c r="C955" t="s">
        <v>47</v>
      </c>
      <c r="D955" s="24">
        <v>46113</v>
      </c>
      <c r="E955" t="s">
        <v>439</v>
      </c>
      <c r="F955" t="s">
        <v>4</v>
      </c>
      <c r="G955" t="s">
        <v>217</v>
      </c>
      <c r="H955" t="s">
        <v>217</v>
      </c>
      <c r="I955" t="s">
        <v>270</v>
      </c>
      <c r="J955" s="25">
        <v>0</v>
      </c>
      <c r="K955" s="26">
        <v>0</v>
      </c>
      <c r="L955" s="26">
        <v>0</v>
      </c>
    </row>
    <row r="956" spans="1:12" ht="16" customHeight="1">
      <c r="A956" t="s">
        <v>454</v>
      </c>
      <c r="B956" t="s">
        <v>7</v>
      </c>
      <c r="C956" t="s">
        <v>47</v>
      </c>
      <c r="D956" s="24">
        <v>46113</v>
      </c>
      <c r="E956" t="s">
        <v>387</v>
      </c>
      <c r="F956" t="s">
        <v>4</v>
      </c>
      <c r="G956" t="s">
        <v>217</v>
      </c>
      <c r="H956" t="s">
        <v>217</v>
      </c>
      <c r="I956" t="s">
        <v>212</v>
      </c>
      <c r="J956" s="25">
        <v>8502479</v>
      </c>
      <c r="K956" s="26">
        <v>1435826.74</v>
      </c>
      <c r="L956" s="26">
        <v>6769.04</v>
      </c>
    </row>
    <row r="957" spans="1:12" ht="16" customHeight="1">
      <c r="A957" t="s">
        <v>454</v>
      </c>
      <c r="B957" t="s">
        <v>7</v>
      </c>
      <c r="C957" t="s">
        <v>47</v>
      </c>
      <c r="D957" s="24">
        <v>46113</v>
      </c>
      <c r="E957" t="s">
        <v>416</v>
      </c>
      <c r="F957" t="s">
        <v>4</v>
      </c>
      <c r="G957" t="s">
        <v>217</v>
      </c>
      <c r="H957" t="s">
        <v>217</v>
      </c>
      <c r="I957" t="s">
        <v>219</v>
      </c>
      <c r="J957" s="25">
        <v>225336</v>
      </c>
      <c r="K957" s="26">
        <v>38904.58</v>
      </c>
      <c r="L957" s="26">
        <v>564.58000000000004</v>
      </c>
    </row>
    <row r="958" spans="1:12" ht="16" customHeight="1">
      <c r="A958" t="s">
        <v>454</v>
      </c>
      <c r="B958" t="s">
        <v>7</v>
      </c>
      <c r="C958" t="s">
        <v>47</v>
      </c>
      <c r="D958" s="24">
        <v>46113</v>
      </c>
      <c r="E958" t="s">
        <v>226</v>
      </c>
      <c r="F958" t="s">
        <v>4</v>
      </c>
      <c r="G958" t="s">
        <v>217</v>
      </c>
      <c r="H958" t="s">
        <v>217</v>
      </c>
      <c r="I958" t="s">
        <v>221</v>
      </c>
      <c r="J958" s="25">
        <v>14634</v>
      </c>
      <c r="K958" s="26">
        <v>2566.17</v>
      </c>
      <c r="L958" s="26">
        <v>42.83</v>
      </c>
    </row>
    <row r="959" spans="1:12" ht="16" customHeight="1">
      <c r="A959" t="s">
        <v>454</v>
      </c>
      <c r="B959" t="s">
        <v>7</v>
      </c>
      <c r="C959" t="s">
        <v>47</v>
      </c>
      <c r="D959" s="24">
        <v>46113</v>
      </c>
      <c r="E959" t="s">
        <v>269</v>
      </c>
      <c r="F959" t="s">
        <v>4</v>
      </c>
      <c r="G959" t="s">
        <v>217</v>
      </c>
      <c r="H959" t="s">
        <v>217</v>
      </c>
      <c r="I959" t="s">
        <v>267</v>
      </c>
      <c r="J959" s="25">
        <v>83</v>
      </c>
      <c r="K959" s="26">
        <v>14.83</v>
      </c>
      <c r="L959" s="26">
        <v>0.28999999999999998</v>
      </c>
    </row>
    <row r="960" spans="1:12" ht="16" customHeight="1">
      <c r="A960" t="s">
        <v>454</v>
      </c>
      <c r="B960" t="s">
        <v>7</v>
      </c>
      <c r="C960" t="s">
        <v>47</v>
      </c>
      <c r="D960" s="24">
        <v>46113</v>
      </c>
      <c r="E960" t="s">
        <v>228</v>
      </c>
      <c r="F960" t="s">
        <v>4</v>
      </c>
      <c r="G960" t="s">
        <v>217</v>
      </c>
      <c r="H960" t="s">
        <v>217</v>
      </c>
      <c r="I960" t="s">
        <v>268</v>
      </c>
      <c r="J960" s="25">
        <v>0</v>
      </c>
      <c r="K960" s="26">
        <v>0</v>
      </c>
      <c r="L960" s="26">
        <v>0</v>
      </c>
    </row>
    <row r="961" spans="1:12" ht="16" customHeight="1">
      <c r="A961" t="s">
        <v>454</v>
      </c>
      <c r="B961" t="s">
        <v>7</v>
      </c>
      <c r="C961" t="s">
        <v>47</v>
      </c>
      <c r="D961" s="24">
        <v>46113</v>
      </c>
      <c r="E961" t="s">
        <v>439</v>
      </c>
      <c r="F961" t="s">
        <v>4</v>
      </c>
      <c r="G961" t="s">
        <v>217</v>
      </c>
      <c r="H961" t="s">
        <v>217</v>
      </c>
      <c r="I961" t="s">
        <v>270</v>
      </c>
      <c r="J961" s="25">
        <v>0</v>
      </c>
      <c r="K961" s="26">
        <v>0</v>
      </c>
      <c r="L961" s="26">
        <v>0</v>
      </c>
    </row>
    <row r="962" spans="1:12" ht="16" customHeight="1">
      <c r="A962" t="s">
        <v>455</v>
      </c>
      <c r="B962" t="s">
        <v>3</v>
      </c>
      <c r="C962" t="s">
        <v>47</v>
      </c>
      <c r="D962" s="24">
        <v>46113</v>
      </c>
      <c r="E962" t="s">
        <v>387</v>
      </c>
      <c r="F962" t="s">
        <v>4</v>
      </c>
      <c r="G962" t="s">
        <v>217</v>
      </c>
      <c r="H962" t="s">
        <v>217</v>
      </c>
      <c r="I962" t="s">
        <v>212</v>
      </c>
      <c r="J962" s="25">
        <v>16838175</v>
      </c>
      <c r="K962" s="26">
        <v>2841991.7</v>
      </c>
      <c r="L962" s="26">
        <v>8223.73</v>
      </c>
    </row>
    <row r="963" spans="1:12" ht="16" customHeight="1">
      <c r="A963" t="s">
        <v>455</v>
      </c>
      <c r="B963" t="s">
        <v>3</v>
      </c>
      <c r="C963" t="s">
        <v>47</v>
      </c>
      <c r="D963" s="24">
        <v>46113</v>
      </c>
      <c r="E963" t="s">
        <v>416</v>
      </c>
      <c r="F963" t="s">
        <v>4</v>
      </c>
      <c r="G963" t="s">
        <v>217</v>
      </c>
      <c r="H963" t="s">
        <v>217</v>
      </c>
      <c r="I963" t="s">
        <v>219</v>
      </c>
      <c r="J963" s="25">
        <v>336365</v>
      </c>
      <c r="K963" s="26">
        <v>57992.41</v>
      </c>
      <c r="L963" s="26">
        <v>938.62</v>
      </c>
    </row>
    <row r="964" spans="1:12" ht="16" customHeight="1">
      <c r="A964" t="s">
        <v>455</v>
      </c>
      <c r="B964" t="s">
        <v>3</v>
      </c>
      <c r="C964" t="s">
        <v>47</v>
      </c>
      <c r="D964" s="24">
        <v>46113</v>
      </c>
      <c r="E964" t="s">
        <v>226</v>
      </c>
      <c r="F964" t="s">
        <v>4</v>
      </c>
      <c r="G964" t="s">
        <v>217</v>
      </c>
      <c r="H964" t="s">
        <v>217</v>
      </c>
      <c r="I964" t="s">
        <v>221</v>
      </c>
      <c r="J964" s="25">
        <v>11984</v>
      </c>
      <c r="K964" s="26">
        <v>2088.48</v>
      </c>
      <c r="L964" s="26">
        <v>44.46</v>
      </c>
    </row>
    <row r="965" spans="1:12" ht="16" customHeight="1">
      <c r="A965" t="s">
        <v>455</v>
      </c>
      <c r="B965" t="s">
        <v>3</v>
      </c>
      <c r="C965" t="s">
        <v>47</v>
      </c>
      <c r="D965" s="24">
        <v>46113</v>
      </c>
      <c r="E965" t="s">
        <v>269</v>
      </c>
      <c r="F965" t="s">
        <v>4</v>
      </c>
      <c r="G965" t="s">
        <v>217</v>
      </c>
      <c r="H965" t="s">
        <v>217</v>
      </c>
      <c r="I965" t="s">
        <v>267</v>
      </c>
      <c r="J965" s="25">
        <v>72</v>
      </c>
      <c r="K965" s="26">
        <v>12.41</v>
      </c>
      <c r="L965" s="26">
        <v>0.23</v>
      </c>
    </row>
    <row r="966" spans="1:12" ht="16" customHeight="1">
      <c r="A966" t="s">
        <v>455</v>
      </c>
      <c r="B966" t="s">
        <v>3</v>
      </c>
      <c r="C966" t="s">
        <v>47</v>
      </c>
      <c r="D966" s="24">
        <v>46113</v>
      </c>
      <c r="E966" t="s">
        <v>228</v>
      </c>
      <c r="F966" t="s">
        <v>4</v>
      </c>
      <c r="G966" t="s">
        <v>217</v>
      </c>
      <c r="H966" t="s">
        <v>217</v>
      </c>
      <c r="I966" t="s">
        <v>268</v>
      </c>
      <c r="J966" s="25">
        <v>0</v>
      </c>
      <c r="K966" s="26">
        <v>0</v>
      </c>
      <c r="L966" s="26">
        <v>0</v>
      </c>
    </row>
    <row r="967" spans="1:12" ht="16" customHeight="1">
      <c r="A967" t="s">
        <v>455</v>
      </c>
      <c r="B967" t="s">
        <v>3</v>
      </c>
      <c r="C967" t="s">
        <v>47</v>
      </c>
      <c r="D967" s="24">
        <v>46113</v>
      </c>
      <c r="E967" t="s">
        <v>439</v>
      </c>
      <c r="F967" t="s">
        <v>4</v>
      </c>
      <c r="G967" t="s">
        <v>217</v>
      </c>
      <c r="H967" t="s">
        <v>217</v>
      </c>
      <c r="I967" t="s">
        <v>270</v>
      </c>
      <c r="J967" s="25">
        <v>0</v>
      </c>
      <c r="K967" s="26">
        <v>0</v>
      </c>
      <c r="L967" s="26">
        <v>0</v>
      </c>
    </row>
    <row r="968" spans="1:12" ht="16" customHeight="1">
      <c r="A968" t="s">
        <v>387</v>
      </c>
      <c r="B968" t="s">
        <v>4</v>
      </c>
      <c r="C968" t="s">
        <v>47</v>
      </c>
      <c r="D968" s="24">
        <v>46113</v>
      </c>
      <c r="E968" t="s">
        <v>387</v>
      </c>
      <c r="F968" t="s">
        <v>4</v>
      </c>
      <c r="G968" t="s">
        <v>217</v>
      </c>
      <c r="H968" t="s">
        <v>217</v>
      </c>
      <c r="I968" t="s">
        <v>212</v>
      </c>
      <c r="J968" s="25">
        <v>91759485</v>
      </c>
      <c r="K968" s="26">
        <v>15328621.189999999</v>
      </c>
      <c r="L968" s="26">
        <v>14422.9</v>
      </c>
    </row>
    <row r="969" spans="1:12" ht="16" customHeight="1">
      <c r="A969" t="s">
        <v>387</v>
      </c>
      <c r="B969" t="s">
        <v>4</v>
      </c>
      <c r="C969" t="s">
        <v>47</v>
      </c>
      <c r="D969" s="24">
        <v>46113</v>
      </c>
      <c r="E969" t="s">
        <v>416</v>
      </c>
      <c r="F969" t="s">
        <v>4</v>
      </c>
      <c r="G969" t="s">
        <v>217</v>
      </c>
      <c r="H969" t="s">
        <v>217</v>
      </c>
      <c r="I969" t="s">
        <v>219</v>
      </c>
      <c r="J969" s="25">
        <v>735866</v>
      </c>
      <c r="K969" s="26">
        <v>125683.62</v>
      </c>
      <c r="L969" s="26">
        <v>1702.92</v>
      </c>
    </row>
    <row r="970" spans="1:12" ht="16" customHeight="1">
      <c r="A970" t="s">
        <v>387</v>
      </c>
      <c r="B970" t="s">
        <v>4</v>
      </c>
      <c r="C970" t="s">
        <v>47</v>
      </c>
      <c r="D970" s="24">
        <v>46113</v>
      </c>
      <c r="E970" t="s">
        <v>226</v>
      </c>
      <c r="F970" t="s">
        <v>4</v>
      </c>
      <c r="G970" t="s">
        <v>217</v>
      </c>
      <c r="H970" t="s">
        <v>217</v>
      </c>
      <c r="I970" t="s">
        <v>221</v>
      </c>
      <c r="J970" s="25">
        <v>24881</v>
      </c>
      <c r="K970" s="26">
        <v>4282.21</v>
      </c>
      <c r="L970" s="26">
        <v>82.57</v>
      </c>
    </row>
    <row r="971" spans="1:12" ht="16" customHeight="1">
      <c r="A971" t="s">
        <v>387</v>
      </c>
      <c r="B971" t="s">
        <v>4</v>
      </c>
      <c r="C971" t="s">
        <v>47</v>
      </c>
      <c r="D971" s="24">
        <v>46113</v>
      </c>
      <c r="E971" t="s">
        <v>269</v>
      </c>
      <c r="F971" t="s">
        <v>4</v>
      </c>
      <c r="G971" t="s">
        <v>217</v>
      </c>
      <c r="H971" t="s">
        <v>217</v>
      </c>
      <c r="I971" t="s">
        <v>267</v>
      </c>
      <c r="J971" s="25">
        <v>85</v>
      </c>
      <c r="K971" s="26">
        <v>14.5</v>
      </c>
      <c r="L971" s="26">
        <v>0.31</v>
      </c>
    </row>
    <row r="972" spans="1:12" ht="16" customHeight="1">
      <c r="A972" t="s">
        <v>387</v>
      </c>
      <c r="B972" t="s">
        <v>4</v>
      </c>
      <c r="C972" t="s">
        <v>47</v>
      </c>
      <c r="D972" s="24">
        <v>46113</v>
      </c>
      <c r="E972" t="s">
        <v>228</v>
      </c>
      <c r="F972" t="s">
        <v>4</v>
      </c>
      <c r="G972" t="s">
        <v>217</v>
      </c>
      <c r="H972" t="s">
        <v>217</v>
      </c>
      <c r="I972" t="s">
        <v>268</v>
      </c>
      <c r="J972" s="25">
        <v>3</v>
      </c>
      <c r="K972" s="26">
        <v>0.54</v>
      </c>
      <c r="L972" s="26">
        <v>0.02</v>
      </c>
    </row>
    <row r="973" spans="1:12" ht="16" customHeight="1">
      <c r="A973" t="s">
        <v>387</v>
      </c>
      <c r="B973" t="s">
        <v>4</v>
      </c>
      <c r="C973" t="s">
        <v>47</v>
      </c>
      <c r="D973" s="24">
        <v>46113</v>
      </c>
      <c r="E973" t="s">
        <v>439</v>
      </c>
      <c r="F973" t="s">
        <v>4</v>
      </c>
      <c r="G973" t="s">
        <v>217</v>
      </c>
      <c r="H973" t="s">
        <v>217</v>
      </c>
      <c r="I973" t="s">
        <v>270</v>
      </c>
      <c r="J973" s="25">
        <v>0</v>
      </c>
      <c r="K973" s="26">
        <v>0</v>
      </c>
      <c r="L973" s="26">
        <v>0</v>
      </c>
    </row>
    <row r="974" spans="1:12" ht="16" customHeight="1">
      <c r="A974" t="s">
        <v>456</v>
      </c>
      <c r="B974" t="s">
        <v>5</v>
      </c>
      <c r="C974" t="s">
        <v>48</v>
      </c>
      <c r="D974" s="24">
        <v>46113</v>
      </c>
      <c r="E974" t="s">
        <v>416</v>
      </c>
      <c r="F974" t="s">
        <v>4</v>
      </c>
      <c r="G974" t="s">
        <v>217</v>
      </c>
      <c r="H974" t="s">
        <v>217</v>
      </c>
      <c r="I974" t="s">
        <v>219</v>
      </c>
      <c r="J974" s="25">
        <v>1895212</v>
      </c>
      <c r="K974" s="26">
        <v>322890.82</v>
      </c>
      <c r="L974" s="26">
        <v>3967.97</v>
      </c>
    </row>
    <row r="975" spans="1:12" ht="16" customHeight="1">
      <c r="A975" t="s">
        <v>456</v>
      </c>
      <c r="B975" t="s">
        <v>5</v>
      </c>
      <c r="C975" t="s">
        <v>48</v>
      </c>
      <c r="D975" s="24">
        <v>46113</v>
      </c>
      <c r="E975" t="s">
        <v>226</v>
      </c>
      <c r="F975" t="s">
        <v>4</v>
      </c>
      <c r="G975" t="s">
        <v>217</v>
      </c>
      <c r="H975" t="s">
        <v>217</v>
      </c>
      <c r="I975" t="s">
        <v>221</v>
      </c>
      <c r="J975" s="25">
        <v>33169</v>
      </c>
      <c r="K975" s="26">
        <v>5665.35</v>
      </c>
      <c r="L975" s="26">
        <v>85.18</v>
      </c>
    </row>
    <row r="976" spans="1:12" ht="16" customHeight="1">
      <c r="A976" t="s">
        <v>456</v>
      </c>
      <c r="B976" t="s">
        <v>5</v>
      </c>
      <c r="C976" t="s">
        <v>48</v>
      </c>
      <c r="D976" s="24">
        <v>46113</v>
      </c>
      <c r="E976" t="s">
        <v>457</v>
      </c>
      <c r="F976" t="s">
        <v>4</v>
      </c>
      <c r="G976" t="s">
        <v>217</v>
      </c>
      <c r="H976" t="s">
        <v>217</v>
      </c>
      <c r="I976" t="s">
        <v>223</v>
      </c>
      <c r="J976" s="25">
        <v>443</v>
      </c>
      <c r="K976" s="26">
        <v>75.38</v>
      </c>
      <c r="L976" s="26">
        <v>2.13</v>
      </c>
    </row>
    <row r="977" spans="1:12" ht="16" customHeight="1">
      <c r="A977" t="s">
        <v>456</v>
      </c>
      <c r="B977" t="s">
        <v>5</v>
      </c>
      <c r="C977" t="s">
        <v>48</v>
      </c>
      <c r="D977" s="24">
        <v>46113</v>
      </c>
      <c r="E977" t="s">
        <v>269</v>
      </c>
      <c r="F977" t="s">
        <v>4</v>
      </c>
      <c r="G977" t="s">
        <v>217</v>
      </c>
      <c r="H977" t="s">
        <v>217</v>
      </c>
      <c r="I977" t="s">
        <v>267</v>
      </c>
      <c r="J977" s="25">
        <v>250</v>
      </c>
      <c r="K977" s="26">
        <v>44.29</v>
      </c>
      <c r="L977" s="26">
        <v>0.91</v>
      </c>
    </row>
    <row r="978" spans="1:12" ht="16" customHeight="1">
      <c r="A978" t="s">
        <v>456</v>
      </c>
      <c r="B978" t="s">
        <v>5</v>
      </c>
      <c r="C978" t="s">
        <v>48</v>
      </c>
      <c r="D978" s="24">
        <v>46113</v>
      </c>
      <c r="E978" t="s">
        <v>228</v>
      </c>
      <c r="F978" t="s">
        <v>4</v>
      </c>
      <c r="G978" t="s">
        <v>217</v>
      </c>
      <c r="H978" t="s">
        <v>217</v>
      </c>
      <c r="I978" t="s">
        <v>268</v>
      </c>
      <c r="J978" s="25">
        <v>8</v>
      </c>
      <c r="K978" s="26">
        <v>1.1399999999999999</v>
      </c>
      <c r="L978" s="26">
        <v>0.01</v>
      </c>
    </row>
    <row r="979" spans="1:12" ht="16" customHeight="1">
      <c r="A979" t="s">
        <v>456</v>
      </c>
      <c r="B979" t="s">
        <v>5</v>
      </c>
      <c r="C979" t="s">
        <v>48</v>
      </c>
      <c r="D979" s="24">
        <v>46113</v>
      </c>
      <c r="E979" t="s">
        <v>439</v>
      </c>
      <c r="F979" t="s">
        <v>4</v>
      </c>
      <c r="G979" t="s">
        <v>217</v>
      </c>
      <c r="H979" t="s">
        <v>217</v>
      </c>
      <c r="I979" t="s">
        <v>270</v>
      </c>
      <c r="J979" s="25">
        <v>0</v>
      </c>
      <c r="K979" s="26">
        <v>0</v>
      </c>
      <c r="L979" s="26">
        <v>0</v>
      </c>
    </row>
    <row r="980" spans="1:12" ht="16" customHeight="1">
      <c r="A980" t="s">
        <v>458</v>
      </c>
      <c r="B980" t="s">
        <v>6</v>
      </c>
      <c r="C980" t="s">
        <v>48</v>
      </c>
      <c r="D980" s="24">
        <v>46113</v>
      </c>
      <c r="E980" t="s">
        <v>416</v>
      </c>
      <c r="F980" t="s">
        <v>4</v>
      </c>
      <c r="G980" t="s">
        <v>217</v>
      </c>
      <c r="H980" t="s">
        <v>217</v>
      </c>
      <c r="I980" t="s">
        <v>219</v>
      </c>
      <c r="J980" s="25">
        <v>1712831</v>
      </c>
      <c r="K980" s="26">
        <v>287716.78000000003</v>
      </c>
      <c r="L980" s="26">
        <v>3766.04</v>
      </c>
    </row>
    <row r="981" spans="1:12" ht="16" customHeight="1">
      <c r="A981" t="s">
        <v>458</v>
      </c>
      <c r="B981" t="s">
        <v>6</v>
      </c>
      <c r="C981" t="s">
        <v>48</v>
      </c>
      <c r="D981" s="24">
        <v>46113</v>
      </c>
      <c r="E981" t="s">
        <v>226</v>
      </c>
      <c r="F981" t="s">
        <v>4</v>
      </c>
      <c r="G981" t="s">
        <v>217</v>
      </c>
      <c r="H981" t="s">
        <v>217</v>
      </c>
      <c r="I981" t="s">
        <v>221</v>
      </c>
      <c r="J981" s="25">
        <v>30370</v>
      </c>
      <c r="K981" s="26">
        <v>5182.74</v>
      </c>
      <c r="L981" s="26">
        <v>86.55</v>
      </c>
    </row>
    <row r="982" spans="1:12" ht="16" customHeight="1">
      <c r="A982" t="s">
        <v>458</v>
      </c>
      <c r="B982" t="s">
        <v>6</v>
      </c>
      <c r="C982" t="s">
        <v>48</v>
      </c>
      <c r="D982" s="24">
        <v>46113</v>
      </c>
      <c r="E982" t="s">
        <v>457</v>
      </c>
      <c r="F982" t="s">
        <v>4</v>
      </c>
      <c r="G982" t="s">
        <v>217</v>
      </c>
      <c r="H982" t="s">
        <v>217</v>
      </c>
      <c r="I982" t="s">
        <v>223</v>
      </c>
      <c r="J982" s="25">
        <v>1064</v>
      </c>
      <c r="K982" s="26">
        <v>179.26</v>
      </c>
      <c r="L982" s="26">
        <v>5.12</v>
      </c>
    </row>
    <row r="983" spans="1:12" ht="16" customHeight="1">
      <c r="A983" t="s">
        <v>458</v>
      </c>
      <c r="B983" t="s">
        <v>6</v>
      </c>
      <c r="C983" t="s">
        <v>48</v>
      </c>
      <c r="D983" s="24">
        <v>46113</v>
      </c>
      <c r="E983" t="s">
        <v>269</v>
      </c>
      <c r="F983" t="s">
        <v>4</v>
      </c>
      <c r="G983" t="s">
        <v>217</v>
      </c>
      <c r="H983" t="s">
        <v>217</v>
      </c>
      <c r="I983" t="s">
        <v>267</v>
      </c>
      <c r="J983" s="25">
        <v>389</v>
      </c>
      <c r="K983" s="26">
        <v>67.91</v>
      </c>
      <c r="L983" s="26">
        <v>1.42</v>
      </c>
    </row>
    <row r="984" spans="1:12" ht="16" customHeight="1">
      <c r="A984" t="s">
        <v>458</v>
      </c>
      <c r="B984" t="s">
        <v>6</v>
      </c>
      <c r="C984" t="s">
        <v>48</v>
      </c>
      <c r="D984" s="24">
        <v>46113</v>
      </c>
      <c r="E984" t="s">
        <v>228</v>
      </c>
      <c r="F984" t="s">
        <v>4</v>
      </c>
      <c r="G984" t="s">
        <v>217</v>
      </c>
      <c r="H984" t="s">
        <v>217</v>
      </c>
      <c r="I984" t="s">
        <v>268</v>
      </c>
      <c r="J984" s="25">
        <v>0</v>
      </c>
      <c r="K984" s="26">
        <v>0</v>
      </c>
      <c r="L984" s="26">
        <v>0</v>
      </c>
    </row>
    <row r="985" spans="1:12" ht="16" customHeight="1">
      <c r="A985" t="s">
        <v>458</v>
      </c>
      <c r="B985" t="s">
        <v>6</v>
      </c>
      <c r="C985" t="s">
        <v>48</v>
      </c>
      <c r="D985" s="24">
        <v>46113</v>
      </c>
      <c r="E985" t="s">
        <v>439</v>
      </c>
      <c r="F985" t="s">
        <v>4</v>
      </c>
      <c r="G985" t="s">
        <v>217</v>
      </c>
      <c r="H985" t="s">
        <v>217</v>
      </c>
      <c r="I985" t="s">
        <v>270</v>
      </c>
      <c r="J985" s="25">
        <v>0</v>
      </c>
      <c r="K985" s="26">
        <v>0</v>
      </c>
      <c r="L985" s="26">
        <v>0</v>
      </c>
    </row>
    <row r="986" spans="1:12" ht="16" customHeight="1">
      <c r="A986" t="s">
        <v>459</v>
      </c>
      <c r="B986" t="s">
        <v>3</v>
      </c>
      <c r="C986" t="s">
        <v>49</v>
      </c>
      <c r="D986" s="24">
        <v>46143</v>
      </c>
      <c r="E986" t="s">
        <v>416</v>
      </c>
      <c r="F986" t="s">
        <v>4</v>
      </c>
      <c r="G986" t="s">
        <v>217</v>
      </c>
      <c r="H986" t="s">
        <v>217</v>
      </c>
      <c r="I986" t="s">
        <v>212</v>
      </c>
      <c r="J986" s="25">
        <v>1767544</v>
      </c>
      <c r="K986" s="26">
        <v>298700.88</v>
      </c>
      <c r="L986" s="26">
        <v>3496.21</v>
      </c>
    </row>
    <row r="987" spans="1:12" ht="16" customHeight="1">
      <c r="A987" t="s">
        <v>459</v>
      </c>
      <c r="B987" t="s">
        <v>3</v>
      </c>
      <c r="C987" t="s">
        <v>49</v>
      </c>
      <c r="D987" s="24">
        <v>46143</v>
      </c>
      <c r="E987" t="s">
        <v>226</v>
      </c>
      <c r="F987" t="s">
        <v>4</v>
      </c>
      <c r="G987" t="s">
        <v>217</v>
      </c>
      <c r="H987" t="s">
        <v>217</v>
      </c>
      <c r="I987" t="s">
        <v>219</v>
      </c>
      <c r="J987" s="25">
        <v>33202</v>
      </c>
      <c r="K987" s="26">
        <v>5757.89</v>
      </c>
      <c r="L987" s="26">
        <v>73.900000000000006</v>
      </c>
    </row>
    <row r="988" spans="1:12" ht="16" customHeight="1">
      <c r="A988" t="s">
        <v>459</v>
      </c>
      <c r="B988" t="s">
        <v>3</v>
      </c>
      <c r="C988" t="s">
        <v>49</v>
      </c>
      <c r="D988" s="24">
        <v>46143</v>
      </c>
      <c r="E988" t="s">
        <v>457</v>
      </c>
      <c r="F988" t="s">
        <v>4</v>
      </c>
      <c r="G988" t="s">
        <v>217</v>
      </c>
      <c r="H988" t="s">
        <v>217</v>
      </c>
      <c r="I988" t="s">
        <v>221</v>
      </c>
      <c r="J988" s="25">
        <v>1352</v>
      </c>
      <c r="K988" s="26">
        <v>229.95</v>
      </c>
      <c r="L988" s="26">
        <v>5.78</v>
      </c>
    </row>
    <row r="989" spans="1:12" ht="16" customHeight="1">
      <c r="A989" t="s">
        <v>459</v>
      </c>
      <c r="B989" t="s">
        <v>3</v>
      </c>
      <c r="C989" t="s">
        <v>49</v>
      </c>
      <c r="D989" s="24">
        <v>46143</v>
      </c>
      <c r="E989" t="s">
        <v>269</v>
      </c>
      <c r="F989" t="s">
        <v>4</v>
      </c>
      <c r="G989" t="s">
        <v>217</v>
      </c>
      <c r="H989" t="s">
        <v>217</v>
      </c>
      <c r="I989" t="s">
        <v>300</v>
      </c>
      <c r="J989" s="25">
        <v>201</v>
      </c>
      <c r="K989" s="26">
        <v>34.880000000000003</v>
      </c>
      <c r="L989" s="26">
        <v>0.66</v>
      </c>
    </row>
    <row r="990" spans="1:12" ht="16" customHeight="1">
      <c r="A990" t="s">
        <v>459</v>
      </c>
      <c r="B990" t="s">
        <v>3</v>
      </c>
      <c r="C990" t="s">
        <v>49</v>
      </c>
      <c r="D990" s="24">
        <v>46143</v>
      </c>
      <c r="E990" t="s">
        <v>228</v>
      </c>
      <c r="F990" t="s">
        <v>4</v>
      </c>
      <c r="G990" t="s">
        <v>217</v>
      </c>
      <c r="H990" t="s">
        <v>217</v>
      </c>
      <c r="I990" t="s">
        <v>301</v>
      </c>
      <c r="J990" s="25">
        <v>0</v>
      </c>
      <c r="K990" s="26">
        <v>0</v>
      </c>
      <c r="L990" s="26">
        <v>0</v>
      </c>
    </row>
    <row r="991" spans="1:12" ht="16" customHeight="1">
      <c r="A991" t="s">
        <v>459</v>
      </c>
      <c r="B991" t="s">
        <v>3</v>
      </c>
      <c r="C991" t="s">
        <v>49</v>
      </c>
      <c r="D991" s="24">
        <v>46143</v>
      </c>
      <c r="E991" t="s">
        <v>439</v>
      </c>
      <c r="F991" t="s">
        <v>4</v>
      </c>
      <c r="G991" t="s">
        <v>217</v>
      </c>
      <c r="H991" t="s">
        <v>217</v>
      </c>
      <c r="I991" t="s">
        <v>302</v>
      </c>
      <c r="J991" s="25">
        <v>0</v>
      </c>
      <c r="K991" s="26">
        <v>0</v>
      </c>
      <c r="L991" s="26">
        <v>0</v>
      </c>
    </row>
    <row r="992" spans="1:12" ht="16" customHeight="1">
      <c r="A992" t="s">
        <v>436</v>
      </c>
      <c r="B992" t="s">
        <v>4</v>
      </c>
      <c r="C992" t="s">
        <v>49</v>
      </c>
      <c r="D992" s="24">
        <v>46143</v>
      </c>
      <c r="E992" t="s">
        <v>416</v>
      </c>
      <c r="F992" t="s">
        <v>4</v>
      </c>
      <c r="G992" t="s">
        <v>217</v>
      </c>
      <c r="H992" t="s">
        <v>217</v>
      </c>
      <c r="I992" t="s">
        <v>212</v>
      </c>
      <c r="J992" s="25">
        <v>1802314</v>
      </c>
      <c r="K992" s="26">
        <v>302026.96000000002</v>
      </c>
      <c r="L992" s="26">
        <v>3520.89</v>
      </c>
    </row>
    <row r="993" spans="1:12" ht="16" customHeight="1">
      <c r="A993" t="s">
        <v>436</v>
      </c>
      <c r="B993" t="s">
        <v>4</v>
      </c>
      <c r="C993" t="s">
        <v>49</v>
      </c>
      <c r="D993" s="24">
        <v>46143</v>
      </c>
      <c r="E993" t="s">
        <v>226</v>
      </c>
      <c r="F993" t="s">
        <v>4</v>
      </c>
      <c r="G993" t="s">
        <v>217</v>
      </c>
      <c r="H993" t="s">
        <v>217</v>
      </c>
      <c r="I993" t="s">
        <v>219</v>
      </c>
      <c r="J993" s="25">
        <v>37015</v>
      </c>
      <c r="K993" s="26">
        <v>6381.88</v>
      </c>
      <c r="L993" s="26">
        <v>80.58</v>
      </c>
    </row>
    <row r="994" spans="1:12" ht="16" customHeight="1">
      <c r="A994" t="s">
        <v>436</v>
      </c>
      <c r="B994" t="s">
        <v>4</v>
      </c>
      <c r="C994" t="s">
        <v>49</v>
      </c>
      <c r="D994" s="24">
        <v>46143</v>
      </c>
      <c r="E994" t="s">
        <v>457</v>
      </c>
      <c r="F994" t="s">
        <v>4</v>
      </c>
      <c r="G994" t="s">
        <v>217</v>
      </c>
      <c r="H994" t="s">
        <v>217</v>
      </c>
      <c r="I994" t="s">
        <v>221</v>
      </c>
      <c r="J994" s="25">
        <v>1540</v>
      </c>
      <c r="K994" s="26">
        <v>259.5</v>
      </c>
      <c r="L994" s="26">
        <v>5.68</v>
      </c>
    </row>
    <row r="995" spans="1:12" ht="16" customHeight="1">
      <c r="A995" t="s">
        <v>436</v>
      </c>
      <c r="B995" t="s">
        <v>4</v>
      </c>
      <c r="C995" t="s">
        <v>49</v>
      </c>
      <c r="D995" s="24">
        <v>46143</v>
      </c>
      <c r="E995" t="s">
        <v>269</v>
      </c>
      <c r="F995" t="s">
        <v>4</v>
      </c>
      <c r="G995" t="s">
        <v>217</v>
      </c>
      <c r="H995" t="s">
        <v>217</v>
      </c>
      <c r="I995" t="s">
        <v>300</v>
      </c>
      <c r="J995" s="25">
        <v>231</v>
      </c>
      <c r="K995" s="26">
        <v>40.64</v>
      </c>
      <c r="L995" s="26">
        <v>0.83</v>
      </c>
    </row>
    <row r="996" spans="1:12" ht="16" customHeight="1">
      <c r="A996" t="s">
        <v>436</v>
      </c>
      <c r="B996" t="s">
        <v>4</v>
      </c>
      <c r="C996" t="s">
        <v>49</v>
      </c>
      <c r="D996" s="24">
        <v>46143</v>
      </c>
      <c r="E996" t="s">
        <v>228</v>
      </c>
      <c r="F996" t="s">
        <v>4</v>
      </c>
      <c r="G996" t="s">
        <v>217</v>
      </c>
      <c r="H996" t="s">
        <v>217</v>
      </c>
      <c r="I996" t="s">
        <v>301</v>
      </c>
      <c r="J996" s="25">
        <v>1</v>
      </c>
      <c r="K996" s="26">
        <v>0.18</v>
      </c>
      <c r="L996" s="26">
        <v>0.01</v>
      </c>
    </row>
    <row r="997" spans="1:12" ht="16" customHeight="1">
      <c r="A997" t="s">
        <v>436</v>
      </c>
      <c r="B997" t="s">
        <v>4</v>
      </c>
      <c r="C997" t="s">
        <v>49</v>
      </c>
      <c r="D997" s="24">
        <v>46143</v>
      </c>
      <c r="E997" t="s">
        <v>439</v>
      </c>
      <c r="F997" t="s">
        <v>4</v>
      </c>
      <c r="G997" t="s">
        <v>217</v>
      </c>
      <c r="H997" t="s">
        <v>217</v>
      </c>
      <c r="I997" t="s">
        <v>302</v>
      </c>
      <c r="J997" s="25">
        <v>0</v>
      </c>
      <c r="K997" s="26">
        <v>0</v>
      </c>
      <c r="L997" s="26">
        <v>0</v>
      </c>
    </row>
    <row r="998" spans="1:12" ht="16" customHeight="1">
      <c r="A998" t="s">
        <v>460</v>
      </c>
      <c r="B998" t="s">
        <v>5</v>
      </c>
      <c r="C998" t="s">
        <v>49</v>
      </c>
      <c r="D998" s="24">
        <v>46143</v>
      </c>
      <c r="E998" t="s">
        <v>416</v>
      </c>
      <c r="F998" t="s">
        <v>4</v>
      </c>
      <c r="G998" t="s">
        <v>217</v>
      </c>
      <c r="H998" t="s">
        <v>217</v>
      </c>
      <c r="I998" t="s">
        <v>212</v>
      </c>
      <c r="J998" s="25">
        <v>3044751</v>
      </c>
      <c r="K998" s="26">
        <v>512294.06</v>
      </c>
      <c r="L998" s="26">
        <v>5396.87</v>
      </c>
    </row>
    <row r="999" spans="1:12" ht="16" customHeight="1">
      <c r="A999" t="s">
        <v>460</v>
      </c>
      <c r="B999" t="s">
        <v>5</v>
      </c>
      <c r="C999" t="s">
        <v>49</v>
      </c>
      <c r="D999" s="24">
        <v>46143</v>
      </c>
      <c r="E999" t="s">
        <v>226</v>
      </c>
      <c r="F999" t="s">
        <v>4</v>
      </c>
      <c r="G999" t="s">
        <v>217</v>
      </c>
      <c r="H999" t="s">
        <v>217</v>
      </c>
      <c r="I999" t="s">
        <v>219</v>
      </c>
      <c r="J999" s="25">
        <v>86772</v>
      </c>
      <c r="K999" s="26">
        <v>14709.36</v>
      </c>
      <c r="L999" s="26">
        <v>177.06</v>
      </c>
    </row>
    <row r="1000" spans="1:12" ht="16" customHeight="1">
      <c r="A1000" t="s">
        <v>460</v>
      </c>
      <c r="B1000" t="s">
        <v>5</v>
      </c>
      <c r="C1000" t="s">
        <v>49</v>
      </c>
      <c r="D1000" s="24">
        <v>46143</v>
      </c>
      <c r="E1000" t="s">
        <v>457</v>
      </c>
      <c r="F1000" t="s">
        <v>4</v>
      </c>
      <c r="G1000" t="s">
        <v>217</v>
      </c>
      <c r="H1000" t="s">
        <v>217</v>
      </c>
      <c r="I1000" t="s">
        <v>221</v>
      </c>
      <c r="J1000" s="25">
        <v>4341</v>
      </c>
      <c r="K1000" s="26">
        <v>743.99</v>
      </c>
      <c r="L1000" s="26">
        <v>17.87</v>
      </c>
    </row>
    <row r="1001" spans="1:12" ht="16" customHeight="1">
      <c r="A1001" t="s">
        <v>460</v>
      </c>
      <c r="B1001" t="s">
        <v>5</v>
      </c>
      <c r="C1001" t="s">
        <v>49</v>
      </c>
      <c r="D1001" s="24">
        <v>46143</v>
      </c>
      <c r="E1001" t="s">
        <v>269</v>
      </c>
      <c r="F1001" t="s">
        <v>4</v>
      </c>
      <c r="G1001" t="s">
        <v>217</v>
      </c>
      <c r="H1001" t="s">
        <v>217</v>
      </c>
      <c r="I1001" t="s">
        <v>300</v>
      </c>
      <c r="J1001" s="25">
        <v>432</v>
      </c>
      <c r="K1001" s="26">
        <v>74.95</v>
      </c>
      <c r="L1001" s="26">
        <v>1.69</v>
      </c>
    </row>
    <row r="1002" spans="1:12" ht="16" customHeight="1">
      <c r="A1002" t="s">
        <v>460</v>
      </c>
      <c r="B1002" t="s">
        <v>5</v>
      </c>
      <c r="C1002" t="s">
        <v>49</v>
      </c>
      <c r="D1002" s="24">
        <v>46143</v>
      </c>
      <c r="E1002" t="s">
        <v>228</v>
      </c>
      <c r="F1002" t="s">
        <v>4</v>
      </c>
      <c r="G1002" t="s">
        <v>217</v>
      </c>
      <c r="H1002" t="s">
        <v>217</v>
      </c>
      <c r="I1002" t="s">
        <v>301</v>
      </c>
      <c r="J1002" s="25">
        <v>12</v>
      </c>
      <c r="K1002" s="26">
        <v>1.83</v>
      </c>
      <c r="L1002" s="26">
        <v>0.05</v>
      </c>
    </row>
    <row r="1003" spans="1:12" ht="16" customHeight="1">
      <c r="A1003" t="s">
        <v>460</v>
      </c>
      <c r="B1003" t="s">
        <v>5</v>
      </c>
      <c r="C1003" t="s">
        <v>49</v>
      </c>
      <c r="D1003" s="24">
        <v>46143</v>
      </c>
      <c r="E1003" t="s">
        <v>439</v>
      </c>
      <c r="F1003" t="s">
        <v>4</v>
      </c>
      <c r="G1003" t="s">
        <v>217</v>
      </c>
      <c r="H1003" t="s">
        <v>217</v>
      </c>
      <c r="I1003" t="s">
        <v>302</v>
      </c>
      <c r="J1003" s="25">
        <v>0</v>
      </c>
      <c r="K1003" s="26">
        <v>0</v>
      </c>
      <c r="L1003" s="26">
        <v>0</v>
      </c>
    </row>
    <row r="1004" spans="1:12" ht="16" customHeight="1">
      <c r="A1004" t="s">
        <v>462</v>
      </c>
      <c r="B1004" t="s">
        <v>6</v>
      </c>
      <c r="C1004" t="s">
        <v>49</v>
      </c>
      <c r="D1004" s="24">
        <v>46143</v>
      </c>
      <c r="E1004" t="s">
        <v>416</v>
      </c>
      <c r="F1004" t="s">
        <v>4</v>
      </c>
      <c r="G1004" t="s">
        <v>217</v>
      </c>
      <c r="H1004" t="s">
        <v>217</v>
      </c>
      <c r="I1004" t="s">
        <v>212</v>
      </c>
      <c r="J1004" s="25">
        <v>2146088</v>
      </c>
      <c r="K1004" s="26">
        <v>366070.45</v>
      </c>
      <c r="L1004" s="26">
        <v>3824.74</v>
      </c>
    </row>
    <row r="1005" spans="1:12" ht="16" customHeight="1">
      <c r="A1005" t="s">
        <v>462</v>
      </c>
      <c r="B1005" t="s">
        <v>6</v>
      </c>
      <c r="C1005" t="s">
        <v>49</v>
      </c>
      <c r="D1005" s="24">
        <v>46143</v>
      </c>
      <c r="E1005" t="s">
        <v>226</v>
      </c>
      <c r="F1005" t="s">
        <v>4</v>
      </c>
      <c r="G1005" t="s">
        <v>217</v>
      </c>
      <c r="H1005" t="s">
        <v>217</v>
      </c>
      <c r="I1005" t="s">
        <v>219</v>
      </c>
      <c r="J1005" s="25">
        <v>40308</v>
      </c>
      <c r="K1005" s="26">
        <v>6861.4</v>
      </c>
      <c r="L1005" s="26">
        <v>92.22</v>
      </c>
    </row>
    <row r="1006" spans="1:12" ht="16" customHeight="1">
      <c r="A1006" t="s">
        <v>462</v>
      </c>
      <c r="B1006" t="s">
        <v>6</v>
      </c>
      <c r="C1006" t="s">
        <v>49</v>
      </c>
      <c r="D1006" s="24">
        <v>46143</v>
      </c>
      <c r="E1006" t="s">
        <v>457</v>
      </c>
      <c r="F1006" t="s">
        <v>4</v>
      </c>
      <c r="G1006" t="s">
        <v>217</v>
      </c>
      <c r="H1006" t="s">
        <v>217</v>
      </c>
      <c r="I1006" t="s">
        <v>221</v>
      </c>
      <c r="J1006" s="25">
        <v>2085</v>
      </c>
      <c r="K1006" s="26">
        <v>350.55</v>
      </c>
      <c r="L1006" s="26">
        <v>7.18</v>
      </c>
    </row>
    <row r="1007" spans="1:12" ht="16" customHeight="1">
      <c r="A1007" t="s">
        <v>462</v>
      </c>
      <c r="B1007" t="s">
        <v>6</v>
      </c>
      <c r="C1007" t="s">
        <v>49</v>
      </c>
      <c r="D1007" s="24">
        <v>46143</v>
      </c>
      <c r="E1007" t="s">
        <v>269</v>
      </c>
      <c r="F1007" t="s">
        <v>4</v>
      </c>
      <c r="G1007" t="s">
        <v>217</v>
      </c>
      <c r="H1007" t="s">
        <v>217</v>
      </c>
      <c r="I1007" t="s">
        <v>300</v>
      </c>
      <c r="J1007" s="25">
        <v>340</v>
      </c>
      <c r="K1007" s="26">
        <v>59.41</v>
      </c>
      <c r="L1007" s="26">
        <v>1.22</v>
      </c>
    </row>
    <row r="1008" spans="1:12" ht="16" customHeight="1">
      <c r="A1008" t="s">
        <v>462</v>
      </c>
      <c r="B1008" t="s">
        <v>6</v>
      </c>
      <c r="C1008" t="s">
        <v>49</v>
      </c>
      <c r="D1008" s="24">
        <v>46143</v>
      </c>
      <c r="E1008" t="s">
        <v>228</v>
      </c>
      <c r="F1008" t="s">
        <v>4</v>
      </c>
      <c r="G1008" t="s">
        <v>217</v>
      </c>
      <c r="H1008" t="s">
        <v>217</v>
      </c>
      <c r="I1008" t="s">
        <v>301</v>
      </c>
      <c r="J1008" s="25">
        <v>30</v>
      </c>
      <c r="K1008" s="26">
        <v>4.1399999999999997</v>
      </c>
      <c r="L1008" s="26">
        <v>0.04</v>
      </c>
    </row>
    <row r="1009" spans="1:12" ht="16" customHeight="1">
      <c r="A1009" t="s">
        <v>462</v>
      </c>
      <c r="B1009" t="s">
        <v>6</v>
      </c>
      <c r="C1009" t="s">
        <v>49</v>
      </c>
      <c r="D1009" s="24">
        <v>46143</v>
      </c>
      <c r="E1009" t="s">
        <v>439</v>
      </c>
      <c r="F1009" t="s">
        <v>4</v>
      </c>
      <c r="G1009" t="s">
        <v>217</v>
      </c>
      <c r="H1009" t="s">
        <v>217</v>
      </c>
      <c r="I1009" t="s">
        <v>302</v>
      </c>
      <c r="J1009" s="25">
        <v>0</v>
      </c>
      <c r="K1009" s="26">
        <v>0</v>
      </c>
      <c r="L1009" s="26">
        <v>0</v>
      </c>
    </row>
    <row r="1010" spans="1:12" ht="16" customHeight="1">
      <c r="A1010" t="s">
        <v>463</v>
      </c>
      <c r="B1010" t="s">
        <v>7</v>
      </c>
      <c r="C1010" t="s">
        <v>50</v>
      </c>
      <c r="D1010" s="24">
        <v>46143</v>
      </c>
      <c r="E1010" t="s">
        <v>416</v>
      </c>
      <c r="F1010" t="s">
        <v>4</v>
      </c>
      <c r="G1010" t="s">
        <v>217</v>
      </c>
      <c r="H1010" t="s">
        <v>217</v>
      </c>
      <c r="I1010" t="s">
        <v>212</v>
      </c>
      <c r="J1010" s="25">
        <v>2286129</v>
      </c>
      <c r="K1010" s="26">
        <v>386059.66</v>
      </c>
      <c r="L1010" s="26">
        <v>3872.98</v>
      </c>
    </row>
    <row r="1011" spans="1:12" ht="16" customHeight="1">
      <c r="A1011" t="s">
        <v>463</v>
      </c>
      <c r="B1011" t="s">
        <v>7</v>
      </c>
      <c r="C1011" t="s">
        <v>50</v>
      </c>
      <c r="D1011" s="24">
        <v>46143</v>
      </c>
      <c r="E1011" t="s">
        <v>226</v>
      </c>
      <c r="F1011" t="s">
        <v>4</v>
      </c>
      <c r="G1011" t="s">
        <v>217</v>
      </c>
      <c r="H1011" t="s">
        <v>217</v>
      </c>
      <c r="I1011" t="s">
        <v>219</v>
      </c>
      <c r="J1011" s="25">
        <v>41757</v>
      </c>
      <c r="K1011" s="26">
        <v>7085.81</v>
      </c>
      <c r="L1011" s="26">
        <v>92.57</v>
      </c>
    </row>
    <row r="1012" spans="1:12" ht="16" customHeight="1">
      <c r="A1012" t="s">
        <v>463</v>
      </c>
      <c r="B1012" t="s">
        <v>7</v>
      </c>
      <c r="C1012" t="s">
        <v>50</v>
      </c>
      <c r="D1012" s="24">
        <v>46143</v>
      </c>
      <c r="E1012" t="s">
        <v>457</v>
      </c>
      <c r="F1012" t="s">
        <v>4</v>
      </c>
      <c r="G1012" t="s">
        <v>217</v>
      </c>
      <c r="H1012" t="s">
        <v>217</v>
      </c>
      <c r="I1012" t="s">
        <v>221</v>
      </c>
      <c r="J1012" s="25">
        <v>3861</v>
      </c>
      <c r="K1012" s="26">
        <v>663.62</v>
      </c>
      <c r="L1012" s="26">
        <v>15.3</v>
      </c>
    </row>
    <row r="1013" spans="1:12" ht="16" customHeight="1">
      <c r="A1013" t="s">
        <v>463</v>
      </c>
      <c r="B1013" t="s">
        <v>7</v>
      </c>
      <c r="C1013" t="s">
        <v>50</v>
      </c>
      <c r="D1013" s="24">
        <v>46143</v>
      </c>
      <c r="E1013" t="s">
        <v>269</v>
      </c>
      <c r="F1013" t="s">
        <v>4</v>
      </c>
      <c r="G1013" t="s">
        <v>217</v>
      </c>
      <c r="H1013" t="s">
        <v>217</v>
      </c>
      <c r="I1013" t="s">
        <v>300</v>
      </c>
      <c r="J1013" s="25">
        <v>260</v>
      </c>
      <c r="K1013" s="26">
        <v>45.32</v>
      </c>
      <c r="L1013" s="26">
        <v>0.98</v>
      </c>
    </row>
    <row r="1014" spans="1:12" ht="16" customHeight="1">
      <c r="A1014" t="s">
        <v>463</v>
      </c>
      <c r="B1014" t="s">
        <v>7</v>
      </c>
      <c r="C1014" t="s">
        <v>50</v>
      </c>
      <c r="D1014" s="24">
        <v>46143</v>
      </c>
      <c r="E1014" t="s">
        <v>228</v>
      </c>
      <c r="F1014" t="s">
        <v>4</v>
      </c>
      <c r="G1014" t="s">
        <v>217</v>
      </c>
      <c r="H1014" t="s">
        <v>217</v>
      </c>
      <c r="I1014" t="s">
        <v>301</v>
      </c>
      <c r="J1014" s="25">
        <v>19</v>
      </c>
      <c r="K1014" s="26">
        <v>2.58</v>
      </c>
      <c r="L1014" s="26">
        <v>0.02</v>
      </c>
    </row>
    <row r="1015" spans="1:12" ht="16" customHeight="1">
      <c r="A1015" t="s">
        <v>463</v>
      </c>
      <c r="B1015" t="s">
        <v>7</v>
      </c>
      <c r="C1015" t="s">
        <v>50</v>
      </c>
      <c r="D1015" s="24">
        <v>46143</v>
      </c>
      <c r="E1015" t="s">
        <v>439</v>
      </c>
      <c r="F1015" t="s">
        <v>4</v>
      </c>
      <c r="G1015" t="s">
        <v>217</v>
      </c>
      <c r="H1015" t="s">
        <v>217</v>
      </c>
      <c r="I1015" t="s">
        <v>302</v>
      </c>
      <c r="J1015" s="25">
        <v>0</v>
      </c>
      <c r="K1015" s="26">
        <v>0</v>
      </c>
      <c r="L1015" s="26">
        <v>0</v>
      </c>
    </row>
    <row r="1016" spans="1:12" ht="16" customHeight="1">
      <c r="A1016" t="s">
        <v>464</v>
      </c>
      <c r="B1016" t="s">
        <v>3</v>
      </c>
      <c r="C1016" t="s">
        <v>50</v>
      </c>
      <c r="D1016" s="24">
        <v>46143</v>
      </c>
      <c r="E1016" t="s">
        <v>416</v>
      </c>
      <c r="F1016" t="s">
        <v>4</v>
      </c>
      <c r="G1016" t="s">
        <v>217</v>
      </c>
      <c r="H1016" t="s">
        <v>217</v>
      </c>
      <c r="I1016" t="s">
        <v>212</v>
      </c>
      <c r="J1016" s="25">
        <v>2634472</v>
      </c>
      <c r="K1016" s="26">
        <v>441354.15</v>
      </c>
      <c r="L1016" s="26">
        <v>4333.8</v>
      </c>
    </row>
    <row r="1017" spans="1:12" ht="16" customHeight="1">
      <c r="A1017" t="s">
        <v>464</v>
      </c>
      <c r="B1017" t="s">
        <v>3</v>
      </c>
      <c r="C1017" t="s">
        <v>50</v>
      </c>
      <c r="D1017" s="24">
        <v>46143</v>
      </c>
      <c r="E1017" t="s">
        <v>226</v>
      </c>
      <c r="F1017" t="s">
        <v>4</v>
      </c>
      <c r="G1017" t="s">
        <v>217</v>
      </c>
      <c r="H1017" t="s">
        <v>217</v>
      </c>
      <c r="I1017" t="s">
        <v>219</v>
      </c>
      <c r="J1017" s="25">
        <v>64400</v>
      </c>
      <c r="K1017" s="26">
        <v>11031.22</v>
      </c>
      <c r="L1017" s="26">
        <v>142.11000000000001</v>
      </c>
    </row>
    <row r="1018" spans="1:12" ht="16" customHeight="1">
      <c r="A1018" t="s">
        <v>464</v>
      </c>
      <c r="B1018" t="s">
        <v>3</v>
      </c>
      <c r="C1018" t="s">
        <v>50</v>
      </c>
      <c r="D1018" s="24">
        <v>46143</v>
      </c>
      <c r="E1018" t="s">
        <v>457</v>
      </c>
      <c r="F1018" t="s">
        <v>4</v>
      </c>
      <c r="G1018" t="s">
        <v>217</v>
      </c>
      <c r="H1018" t="s">
        <v>217</v>
      </c>
      <c r="I1018" t="s">
        <v>221</v>
      </c>
      <c r="J1018" s="25">
        <v>4072</v>
      </c>
      <c r="K1018" s="26">
        <v>694.1</v>
      </c>
      <c r="L1018" s="26">
        <v>15.57</v>
      </c>
    </row>
    <row r="1019" spans="1:12" ht="16" customHeight="1">
      <c r="A1019" t="s">
        <v>464</v>
      </c>
      <c r="B1019" t="s">
        <v>3</v>
      </c>
      <c r="C1019" t="s">
        <v>50</v>
      </c>
      <c r="D1019" s="24">
        <v>46143</v>
      </c>
      <c r="E1019" t="s">
        <v>269</v>
      </c>
      <c r="F1019" t="s">
        <v>4</v>
      </c>
      <c r="G1019" t="s">
        <v>217</v>
      </c>
      <c r="H1019" t="s">
        <v>217</v>
      </c>
      <c r="I1019" t="s">
        <v>300</v>
      </c>
      <c r="J1019" s="25">
        <v>443</v>
      </c>
      <c r="K1019" s="26">
        <v>76.34</v>
      </c>
      <c r="L1019" s="26">
        <v>1.47</v>
      </c>
    </row>
    <row r="1020" spans="1:12" ht="16" customHeight="1">
      <c r="A1020" t="s">
        <v>464</v>
      </c>
      <c r="B1020" t="s">
        <v>3</v>
      </c>
      <c r="C1020" t="s">
        <v>50</v>
      </c>
      <c r="D1020" s="24">
        <v>46143</v>
      </c>
      <c r="E1020" t="s">
        <v>228</v>
      </c>
      <c r="F1020" t="s">
        <v>4</v>
      </c>
      <c r="G1020" t="s">
        <v>217</v>
      </c>
      <c r="H1020" t="s">
        <v>217</v>
      </c>
      <c r="I1020" t="s">
        <v>301</v>
      </c>
      <c r="J1020" s="25">
        <v>0</v>
      </c>
      <c r="K1020" s="26">
        <v>0</v>
      </c>
      <c r="L1020" s="26">
        <v>0</v>
      </c>
    </row>
    <row r="1021" spans="1:12" ht="16" customHeight="1">
      <c r="A1021" t="s">
        <v>464</v>
      </c>
      <c r="B1021" t="s">
        <v>3</v>
      </c>
      <c r="C1021" t="s">
        <v>50</v>
      </c>
      <c r="D1021" s="24">
        <v>46143</v>
      </c>
      <c r="E1021" t="s">
        <v>439</v>
      </c>
      <c r="F1021" t="s">
        <v>4</v>
      </c>
      <c r="G1021" t="s">
        <v>217</v>
      </c>
      <c r="H1021" t="s">
        <v>217</v>
      </c>
      <c r="I1021" t="s">
        <v>302</v>
      </c>
      <c r="J1021" s="25">
        <v>0</v>
      </c>
      <c r="K1021" s="26">
        <v>0</v>
      </c>
      <c r="L1021" s="26">
        <v>0</v>
      </c>
    </row>
    <row r="1022" spans="1:12" ht="16" customHeight="1">
      <c r="A1022" t="s">
        <v>443</v>
      </c>
      <c r="B1022" t="s">
        <v>4</v>
      </c>
      <c r="C1022" t="s">
        <v>50</v>
      </c>
      <c r="D1022" s="24">
        <v>46143</v>
      </c>
      <c r="E1022" t="s">
        <v>416</v>
      </c>
      <c r="F1022" t="s">
        <v>4</v>
      </c>
      <c r="G1022" t="s">
        <v>217</v>
      </c>
      <c r="H1022" t="s">
        <v>217</v>
      </c>
      <c r="I1022" t="s">
        <v>212</v>
      </c>
      <c r="J1022" s="25">
        <v>2490093</v>
      </c>
      <c r="K1022" s="26">
        <v>413759.51</v>
      </c>
      <c r="L1022" s="26">
        <v>4108.5600000000004</v>
      </c>
    </row>
    <row r="1023" spans="1:12" ht="16" customHeight="1">
      <c r="A1023" t="s">
        <v>443</v>
      </c>
      <c r="B1023" t="s">
        <v>4</v>
      </c>
      <c r="C1023" t="s">
        <v>50</v>
      </c>
      <c r="D1023" s="24">
        <v>46143</v>
      </c>
      <c r="E1023" t="s">
        <v>226</v>
      </c>
      <c r="F1023" t="s">
        <v>4</v>
      </c>
      <c r="G1023" t="s">
        <v>217</v>
      </c>
      <c r="H1023" t="s">
        <v>217</v>
      </c>
      <c r="I1023" t="s">
        <v>219</v>
      </c>
      <c r="J1023" s="25">
        <v>73595</v>
      </c>
      <c r="K1023" s="26">
        <v>12416.64</v>
      </c>
      <c r="L1023" s="26">
        <v>182.05</v>
      </c>
    </row>
    <row r="1024" spans="1:12" ht="16" customHeight="1">
      <c r="A1024" t="s">
        <v>443</v>
      </c>
      <c r="B1024" t="s">
        <v>4</v>
      </c>
      <c r="C1024" t="s">
        <v>50</v>
      </c>
      <c r="D1024" s="24">
        <v>46143</v>
      </c>
      <c r="E1024" t="s">
        <v>457</v>
      </c>
      <c r="F1024" t="s">
        <v>4</v>
      </c>
      <c r="G1024" t="s">
        <v>217</v>
      </c>
      <c r="H1024" t="s">
        <v>217</v>
      </c>
      <c r="I1024" t="s">
        <v>221</v>
      </c>
      <c r="J1024" s="25">
        <v>5661</v>
      </c>
      <c r="K1024" s="26">
        <v>949.35</v>
      </c>
      <c r="L1024" s="26">
        <v>22.91</v>
      </c>
    </row>
    <row r="1025" spans="1:12" ht="16" customHeight="1">
      <c r="A1025" t="s">
        <v>443</v>
      </c>
      <c r="B1025" t="s">
        <v>4</v>
      </c>
      <c r="C1025" t="s">
        <v>50</v>
      </c>
      <c r="D1025" s="24">
        <v>46143</v>
      </c>
      <c r="E1025" t="s">
        <v>269</v>
      </c>
      <c r="F1025" t="s">
        <v>4</v>
      </c>
      <c r="G1025" t="s">
        <v>217</v>
      </c>
      <c r="H1025" t="s">
        <v>217</v>
      </c>
      <c r="I1025" t="s">
        <v>300</v>
      </c>
      <c r="J1025" s="25">
        <v>493</v>
      </c>
      <c r="K1025" s="26">
        <v>85.4</v>
      </c>
      <c r="L1025" s="26">
        <v>1.81</v>
      </c>
    </row>
    <row r="1026" spans="1:12" ht="16" customHeight="1">
      <c r="A1026" t="s">
        <v>443</v>
      </c>
      <c r="B1026" t="s">
        <v>4</v>
      </c>
      <c r="C1026" t="s">
        <v>50</v>
      </c>
      <c r="D1026" s="24">
        <v>46143</v>
      </c>
      <c r="E1026" t="s">
        <v>228</v>
      </c>
      <c r="F1026" t="s">
        <v>4</v>
      </c>
      <c r="G1026" t="s">
        <v>217</v>
      </c>
      <c r="H1026" t="s">
        <v>217</v>
      </c>
      <c r="I1026" t="s">
        <v>301</v>
      </c>
      <c r="J1026" s="25">
        <v>1</v>
      </c>
      <c r="K1026" s="26">
        <v>0.15</v>
      </c>
      <c r="L1026" s="26">
        <v>0</v>
      </c>
    </row>
    <row r="1027" spans="1:12" ht="16" customHeight="1">
      <c r="A1027" t="s">
        <v>443</v>
      </c>
      <c r="B1027" t="s">
        <v>4</v>
      </c>
      <c r="C1027" t="s">
        <v>50</v>
      </c>
      <c r="D1027" s="24">
        <v>46143</v>
      </c>
      <c r="E1027" t="s">
        <v>439</v>
      </c>
      <c r="F1027" t="s">
        <v>4</v>
      </c>
      <c r="G1027" t="s">
        <v>217</v>
      </c>
      <c r="H1027" t="s">
        <v>217</v>
      </c>
      <c r="I1027" t="s">
        <v>302</v>
      </c>
      <c r="J1027" s="25">
        <v>0</v>
      </c>
      <c r="K1027" s="26">
        <v>0</v>
      </c>
      <c r="L1027" s="26">
        <v>0</v>
      </c>
    </row>
    <row r="1028" spans="1:12" ht="16" customHeight="1">
      <c r="A1028" t="s">
        <v>465</v>
      </c>
      <c r="B1028" t="s">
        <v>5</v>
      </c>
      <c r="C1028" t="s">
        <v>50</v>
      </c>
      <c r="D1028" s="24">
        <v>46143</v>
      </c>
      <c r="E1028" t="s">
        <v>416</v>
      </c>
      <c r="F1028" t="s">
        <v>4</v>
      </c>
      <c r="G1028" t="s">
        <v>217</v>
      </c>
      <c r="H1028" t="s">
        <v>217</v>
      </c>
      <c r="I1028" t="s">
        <v>212</v>
      </c>
      <c r="J1028" s="25">
        <v>2989323</v>
      </c>
      <c r="K1028" s="26">
        <v>492856.98</v>
      </c>
      <c r="L1028" s="26">
        <v>4960.01</v>
      </c>
    </row>
    <row r="1029" spans="1:12" ht="16" customHeight="1">
      <c r="A1029" t="s">
        <v>465</v>
      </c>
      <c r="B1029" t="s">
        <v>5</v>
      </c>
      <c r="C1029" t="s">
        <v>50</v>
      </c>
      <c r="D1029" s="24">
        <v>46143</v>
      </c>
      <c r="E1029" t="s">
        <v>226</v>
      </c>
      <c r="F1029" t="s">
        <v>4</v>
      </c>
      <c r="G1029" t="s">
        <v>217</v>
      </c>
      <c r="H1029" t="s">
        <v>217</v>
      </c>
      <c r="I1029" t="s">
        <v>219</v>
      </c>
      <c r="J1029" s="25">
        <v>79357</v>
      </c>
      <c r="K1029" s="26">
        <v>13440.18</v>
      </c>
      <c r="L1029" s="26">
        <v>198.87</v>
      </c>
    </row>
    <row r="1030" spans="1:12" ht="16" customHeight="1">
      <c r="A1030" t="s">
        <v>465</v>
      </c>
      <c r="B1030" t="s">
        <v>5</v>
      </c>
      <c r="C1030" t="s">
        <v>50</v>
      </c>
      <c r="D1030" s="24">
        <v>46143</v>
      </c>
      <c r="E1030" t="s">
        <v>457</v>
      </c>
      <c r="F1030" t="s">
        <v>4</v>
      </c>
      <c r="G1030" t="s">
        <v>217</v>
      </c>
      <c r="H1030" t="s">
        <v>217</v>
      </c>
      <c r="I1030" t="s">
        <v>221</v>
      </c>
      <c r="J1030" s="25">
        <v>4106</v>
      </c>
      <c r="K1030" s="26">
        <v>695.49</v>
      </c>
      <c r="L1030" s="26">
        <v>17.489999999999998</v>
      </c>
    </row>
    <row r="1031" spans="1:12" ht="16" customHeight="1">
      <c r="A1031" t="s">
        <v>465</v>
      </c>
      <c r="B1031" t="s">
        <v>5</v>
      </c>
      <c r="C1031" t="s">
        <v>50</v>
      </c>
      <c r="D1031" s="24">
        <v>46143</v>
      </c>
      <c r="E1031" t="s">
        <v>269</v>
      </c>
      <c r="F1031" t="s">
        <v>4</v>
      </c>
      <c r="G1031" t="s">
        <v>217</v>
      </c>
      <c r="H1031" t="s">
        <v>217</v>
      </c>
      <c r="I1031" t="s">
        <v>300</v>
      </c>
      <c r="J1031" s="25">
        <v>394</v>
      </c>
      <c r="K1031" s="26">
        <v>67.75</v>
      </c>
      <c r="L1031" s="26">
        <v>1.33</v>
      </c>
    </row>
    <row r="1032" spans="1:12" ht="16" customHeight="1">
      <c r="A1032" t="s">
        <v>465</v>
      </c>
      <c r="B1032" t="s">
        <v>5</v>
      </c>
      <c r="C1032" t="s">
        <v>50</v>
      </c>
      <c r="D1032" s="24">
        <v>46143</v>
      </c>
      <c r="E1032" t="s">
        <v>228</v>
      </c>
      <c r="F1032" t="s">
        <v>4</v>
      </c>
      <c r="G1032" t="s">
        <v>217</v>
      </c>
      <c r="H1032" t="s">
        <v>217</v>
      </c>
      <c r="I1032" t="s">
        <v>301</v>
      </c>
      <c r="J1032" s="25">
        <v>1</v>
      </c>
      <c r="K1032" s="26">
        <v>0.15</v>
      </c>
      <c r="L1032" s="26">
        <v>0</v>
      </c>
    </row>
    <row r="1033" spans="1:12" ht="16" customHeight="1">
      <c r="A1033" t="s">
        <v>465</v>
      </c>
      <c r="B1033" t="s">
        <v>5</v>
      </c>
      <c r="C1033" t="s">
        <v>50</v>
      </c>
      <c r="D1033" s="24">
        <v>46143</v>
      </c>
      <c r="E1033" t="s">
        <v>439</v>
      </c>
      <c r="F1033" t="s">
        <v>4</v>
      </c>
      <c r="G1033" t="s">
        <v>217</v>
      </c>
      <c r="H1033" t="s">
        <v>217</v>
      </c>
      <c r="I1033" t="s">
        <v>302</v>
      </c>
      <c r="J1033" s="25">
        <v>0</v>
      </c>
      <c r="K1033" s="26">
        <v>0</v>
      </c>
      <c r="L1033" s="26">
        <v>0</v>
      </c>
    </row>
    <row r="1034" spans="1:12" ht="16" customHeight="1">
      <c r="A1034" t="s">
        <v>467</v>
      </c>
      <c r="B1034" t="s">
        <v>6</v>
      </c>
      <c r="C1034" t="s">
        <v>50</v>
      </c>
      <c r="D1034" s="24">
        <v>46143</v>
      </c>
      <c r="E1034" t="s">
        <v>416</v>
      </c>
      <c r="F1034" t="s">
        <v>4</v>
      </c>
      <c r="G1034" t="s">
        <v>217</v>
      </c>
      <c r="H1034" t="s">
        <v>217</v>
      </c>
      <c r="I1034" t="s">
        <v>212</v>
      </c>
      <c r="J1034" s="25">
        <v>3187916</v>
      </c>
      <c r="K1034" s="26">
        <v>526338.61</v>
      </c>
      <c r="L1034" s="26">
        <v>4876.13</v>
      </c>
    </row>
    <row r="1035" spans="1:12" ht="16" customHeight="1">
      <c r="A1035" t="s">
        <v>467</v>
      </c>
      <c r="B1035" t="s">
        <v>6</v>
      </c>
      <c r="C1035" t="s">
        <v>50</v>
      </c>
      <c r="D1035" s="24">
        <v>46143</v>
      </c>
      <c r="E1035" t="s">
        <v>226</v>
      </c>
      <c r="F1035" t="s">
        <v>4</v>
      </c>
      <c r="G1035" t="s">
        <v>217</v>
      </c>
      <c r="H1035" t="s">
        <v>217</v>
      </c>
      <c r="I1035" t="s">
        <v>219</v>
      </c>
      <c r="J1035" s="25">
        <v>85290</v>
      </c>
      <c r="K1035" s="26">
        <v>14477.89</v>
      </c>
      <c r="L1035" s="26">
        <v>194.9</v>
      </c>
    </row>
    <row r="1036" spans="1:12" ht="16" customHeight="1">
      <c r="A1036" t="s">
        <v>467</v>
      </c>
      <c r="B1036" t="s">
        <v>6</v>
      </c>
      <c r="C1036" t="s">
        <v>50</v>
      </c>
      <c r="D1036" s="24">
        <v>46143</v>
      </c>
      <c r="E1036" t="s">
        <v>457</v>
      </c>
      <c r="F1036" t="s">
        <v>4</v>
      </c>
      <c r="G1036" t="s">
        <v>217</v>
      </c>
      <c r="H1036" t="s">
        <v>217</v>
      </c>
      <c r="I1036" t="s">
        <v>221</v>
      </c>
      <c r="J1036" s="25">
        <v>4184</v>
      </c>
      <c r="K1036" s="26">
        <v>710</v>
      </c>
      <c r="L1036" s="26">
        <v>16.920000000000002</v>
      </c>
    </row>
    <row r="1037" spans="1:12" ht="16" customHeight="1">
      <c r="A1037" t="s">
        <v>467</v>
      </c>
      <c r="B1037" t="s">
        <v>6</v>
      </c>
      <c r="C1037" t="s">
        <v>50</v>
      </c>
      <c r="D1037" s="24">
        <v>46143</v>
      </c>
      <c r="E1037" t="s">
        <v>269</v>
      </c>
      <c r="F1037" t="s">
        <v>4</v>
      </c>
      <c r="G1037" t="s">
        <v>217</v>
      </c>
      <c r="H1037" t="s">
        <v>217</v>
      </c>
      <c r="I1037" t="s">
        <v>300</v>
      </c>
      <c r="J1037" s="25">
        <v>303</v>
      </c>
      <c r="K1037" s="26">
        <v>52.06</v>
      </c>
      <c r="L1037" s="26">
        <v>1.02</v>
      </c>
    </row>
    <row r="1038" spans="1:12" ht="16" customHeight="1">
      <c r="A1038" t="s">
        <v>467</v>
      </c>
      <c r="B1038" t="s">
        <v>6</v>
      </c>
      <c r="C1038" t="s">
        <v>50</v>
      </c>
      <c r="D1038" s="24">
        <v>46143</v>
      </c>
      <c r="E1038" t="s">
        <v>228</v>
      </c>
      <c r="F1038" t="s">
        <v>4</v>
      </c>
      <c r="G1038" t="s">
        <v>217</v>
      </c>
      <c r="H1038" t="s">
        <v>217</v>
      </c>
      <c r="I1038" t="s">
        <v>301</v>
      </c>
      <c r="J1038" s="25">
        <v>6</v>
      </c>
      <c r="K1038" s="26">
        <v>1.05</v>
      </c>
      <c r="L1038" s="26">
        <v>0.06</v>
      </c>
    </row>
    <row r="1039" spans="1:12" ht="16" customHeight="1">
      <c r="A1039" t="s">
        <v>467</v>
      </c>
      <c r="B1039" t="s">
        <v>6</v>
      </c>
      <c r="C1039" t="s">
        <v>50</v>
      </c>
      <c r="D1039" s="24">
        <v>46143</v>
      </c>
      <c r="E1039" t="s">
        <v>439</v>
      </c>
      <c r="F1039" t="s">
        <v>4</v>
      </c>
      <c r="G1039" t="s">
        <v>217</v>
      </c>
      <c r="H1039" t="s">
        <v>217</v>
      </c>
      <c r="I1039" t="s">
        <v>302</v>
      </c>
      <c r="J1039" s="25">
        <v>0</v>
      </c>
      <c r="K1039" s="26">
        <v>0</v>
      </c>
      <c r="L1039" s="26">
        <v>0</v>
      </c>
    </row>
    <row r="1040" spans="1:12" ht="16" customHeight="1">
      <c r="A1040" t="s">
        <v>468</v>
      </c>
      <c r="B1040" t="s">
        <v>7</v>
      </c>
      <c r="C1040" t="s">
        <v>51</v>
      </c>
      <c r="D1040" s="24">
        <v>46143</v>
      </c>
      <c r="E1040" t="s">
        <v>416</v>
      </c>
      <c r="F1040" t="s">
        <v>4</v>
      </c>
      <c r="G1040" t="s">
        <v>217</v>
      </c>
      <c r="H1040" t="s">
        <v>217</v>
      </c>
      <c r="I1040" t="s">
        <v>212</v>
      </c>
      <c r="J1040" s="25">
        <v>3112842</v>
      </c>
      <c r="K1040" s="26">
        <v>515246.8</v>
      </c>
      <c r="L1040" s="26">
        <v>4586.2700000000004</v>
      </c>
    </row>
    <row r="1041" spans="1:12" ht="16" customHeight="1">
      <c r="A1041" t="s">
        <v>468</v>
      </c>
      <c r="B1041" t="s">
        <v>7</v>
      </c>
      <c r="C1041" t="s">
        <v>51</v>
      </c>
      <c r="D1041" s="24">
        <v>46143</v>
      </c>
      <c r="E1041" t="s">
        <v>226</v>
      </c>
      <c r="F1041" t="s">
        <v>4</v>
      </c>
      <c r="G1041" t="s">
        <v>217</v>
      </c>
      <c r="H1041" t="s">
        <v>217</v>
      </c>
      <c r="I1041" t="s">
        <v>219</v>
      </c>
      <c r="J1041" s="25">
        <v>175767</v>
      </c>
      <c r="K1041" s="26">
        <v>30940.49</v>
      </c>
      <c r="L1041" s="26">
        <v>305.45999999999998</v>
      </c>
    </row>
    <row r="1042" spans="1:12" ht="16" customHeight="1">
      <c r="A1042" t="s">
        <v>468</v>
      </c>
      <c r="B1042" t="s">
        <v>7</v>
      </c>
      <c r="C1042" t="s">
        <v>51</v>
      </c>
      <c r="D1042" s="24">
        <v>46143</v>
      </c>
      <c r="E1042" t="s">
        <v>457</v>
      </c>
      <c r="F1042" t="s">
        <v>4</v>
      </c>
      <c r="G1042" t="s">
        <v>217</v>
      </c>
      <c r="H1042" t="s">
        <v>217</v>
      </c>
      <c r="I1042" t="s">
        <v>221</v>
      </c>
      <c r="J1042" s="25">
        <v>5173</v>
      </c>
      <c r="K1042" s="26">
        <v>887.25</v>
      </c>
      <c r="L1042" s="26">
        <v>18.829999999999998</v>
      </c>
    </row>
    <row r="1043" spans="1:12" ht="16" customHeight="1">
      <c r="A1043" t="s">
        <v>468</v>
      </c>
      <c r="B1043" t="s">
        <v>7</v>
      </c>
      <c r="C1043" t="s">
        <v>51</v>
      </c>
      <c r="D1043" s="24">
        <v>46143</v>
      </c>
      <c r="E1043" t="s">
        <v>269</v>
      </c>
      <c r="F1043" t="s">
        <v>4</v>
      </c>
      <c r="G1043" t="s">
        <v>217</v>
      </c>
      <c r="H1043" t="s">
        <v>217</v>
      </c>
      <c r="I1043" t="s">
        <v>300</v>
      </c>
      <c r="J1043" s="25">
        <v>266</v>
      </c>
      <c r="K1043" s="26">
        <v>46.55</v>
      </c>
      <c r="L1043" s="26">
        <v>0.81</v>
      </c>
    </row>
    <row r="1044" spans="1:12" ht="16" customHeight="1">
      <c r="A1044" t="s">
        <v>468</v>
      </c>
      <c r="B1044" t="s">
        <v>7</v>
      </c>
      <c r="C1044" t="s">
        <v>51</v>
      </c>
      <c r="D1044" s="24">
        <v>46143</v>
      </c>
      <c r="E1044" t="s">
        <v>228</v>
      </c>
      <c r="F1044" t="s">
        <v>4</v>
      </c>
      <c r="G1044" t="s">
        <v>217</v>
      </c>
      <c r="H1044" t="s">
        <v>217</v>
      </c>
      <c r="I1044" t="s">
        <v>301</v>
      </c>
      <c r="J1044" s="25">
        <v>14</v>
      </c>
      <c r="K1044" s="26">
        <v>2.4900000000000002</v>
      </c>
      <c r="L1044" s="26">
        <v>0.1</v>
      </c>
    </row>
    <row r="1045" spans="1:12" ht="16" customHeight="1">
      <c r="A1045" t="s">
        <v>468</v>
      </c>
      <c r="B1045" t="s">
        <v>7</v>
      </c>
      <c r="C1045" t="s">
        <v>51</v>
      </c>
      <c r="D1045" s="24">
        <v>46143</v>
      </c>
      <c r="E1045" t="s">
        <v>439</v>
      </c>
      <c r="F1045" t="s">
        <v>4</v>
      </c>
      <c r="G1045" t="s">
        <v>217</v>
      </c>
      <c r="H1045" t="s">
        <v>217</v>
      </c>
      <c r="I1045" t="s">
        <v>302</v>
      </c>
      <c r="J1045" s="25">
        <v>0</v>
      </c>
      <c r="K1045" s="26">
        <v>0</v>
      </c>
      <c r="L1045" s="26">
        <v>0</v>
      </c>
    </row>
    <row r="1046" spans="1:12" ht="16" customHeight="1">
      <c r="A1046" t="s">
        <v>469</v>
      </c>
      <c r="B1046" t="s">
        <v>3</v>
      </c>
      <c r="C1046" t="s">
        <v>51</v>
      </c>
      <c r="D1046" s="24">
        <v>46143</v>
      </c>
      <c r="E1046" t="s">
        <v>416</v>
      </c>
      <c r="F1046" t="s">
        <v>4</v>
      </c>
      <c r="G1046" t="s">
        <v>217</v>
      </c>
      <c r="H1046" t="s">
        <v>217</v>
      </c>
      <c r="I1046" t="s">
        <v>212</v>
      </c>
      <c r="J1046" s="25">
        <v>3798263</v>
      </c>
      <c r="K1046" s="26">
        <v>622586.78</v>
      </c>
      <c r="L1046" s="26">
        <v>5179.75</v>
      </c>
    </row>
    <row r="1047" spans="1:12" ht="16" customHeight="1">
      <c r="A1047" t="s">
        <v>469</v>
      </c>
      <c r="B1047" t="s">
        <v>3</v>
      </c>
      <c r="C1047" t="s">
        <v>51</v>
      </c>
      <c r="D1047" s="24">
        <v>46143</v>
      </c>
      <c r="E1047" t="s">
        <v>226</v>
      </c>
      <c r="F1047" t="s">
        <v>4</v>
      </c>
      <c r="G1047" t="s">
        <v>217</v>
      </c>
      <c r="H1047" t="s">
        <v>217</v>
      </c>
      <c r="I1047" t="s">
        <v>219</v>
      </c>
      <c r="J1047" s="25">
        <v>202314</v>
      </c>
      <c r="K1047" s="26">
        <v>35093.97</v>
      </c>
      <c r="L1047" s="26">
        <v>476.36</v>
      </c>
    </row>
    <row r="1048" spans="1:12" ht="16" customHeight="1">
      <c r="A1048" t="s">
        <v>469</v>
      </c>
      <c r="B1048" t="s">
        <v>3</v>
      </c>
      <c r="C1048" t="s">
        <v>51</v>
      </c>
      <c r="D1048" s="24">
        <v>46143</v>
      </c>
      <c r="E1048" t="s">
        <v>457</v>
      </c>
      <c r="F1048" t="s">
        <v>4</v>
      </c>
      <c r="G1048" t="s">
        <v>217</v>
      </c>
      <c r="H1048" t="s">
        <v>217</v>
      </c>
      <c r="I1048" t="s">
        <v>221</v>
      </c>
      <c r="J1048" s="25">
        <v>6807</v>
      </c>
      <c r="K1048" s="26">
        <v>1150.6600000000001</v>
      </c>
      <c r="L1048" s="26">
        <v>22.33</v>
      </c>
    </row>
    <row r="1049" spans="1:12" ht="16" customHeight="1">
      <c r="A1049" t="s">
        <v>469</v>
      </c>
      <c r="B1049" t="s">
        <v>3</v>
      </c>
      <c r="C1049" t="s">
        <v>51</v>
      </c>
      <c r="D1049" s="24">
        <v>46143</v>
      </c>
      <c r="E1049" t="s">
        <v>269</v>
      </c>
      <c r="F1049" t="s">
        <v>4</v>
      </c>
      <c r="G1049" t="s">
        <v>217</v>
      </c>
      <c r="H1049" t="s">
        <v>217</v>
      </c>
      <c r="I1049" t="s">
        <v>300</v>
      </c>
      <c r="J1049" s="25">
        <v>464</v>
      </c>
      <c r="K1049" s="26">
        <v>79.8</v>
      </c>
      <c r="L1049" s="26">
        <v>1.67</v>
      </c>
    </row>
    <row r="1050" spans="1:12" ht="16" customHeight="1">
      <c r="A1050" t="s">
        <v>469</v>
      </c>
      <c r="B1050" t="s">
        <v>3</v>
      </c>
      <c r="C1050" t="s">
        <v>51</v>
      </c>
      <c r="D1050" s="24">
        <v>46143</v>
      </c>
      <c r="E1050" t="s">
        <v>228</v>
      </c>
      <c r="F1050" t="s">
        <v>4</v>
      </c>
      <c r="G1050" t="s">
        <v>217</v>
      </c>
      <c r="H1050" t="s">
        <v>217</v>
      </c>
      <c r="I1050" t="s">
        <v>301</v>
      </c>
      <c r="J1050" s="25">
        <v>15</v>
      </c>
      <c r="K1050" s="26">
        <v>2.54</v>
      </c>
      <c r="L1050" s="26">
        <v>0.11</v>
      </c>
    </row>
    <row r="1051" spans="1:12" ht="16" customHeight="1">
      <c r="A1051" t="s">
        <v>469</v>
      </c>
      <c r="B1051" t="s">
        <v>3</v>
      </c>
      <c r="C1051" t="s">
        <v>51</v>
      </c>
      <c r="D1051" s="24">
        <v>46143</v>
      </c>
      <c r="E1051" t="s">
        <v>439</v>
      </c>
      <c r="F1051" t="s">
        <v>4</v>
      </c>
      <c r="G1051" t="s">
        <v>217</v>
      </c>
      <c r="H1051" t="s">
        <v>217</v>
      </c>
      <c r="I1051" t="s">
        <v>302</v>
      </c>
      <c r="J1051" s="25">
        <v>0</v>
      </c>
      <c r="K1051" s="26">
        <v>0</v>
      </c>
      <c r="L1051" s="26">
        <v>0</v>
      </c>
    </row>
    <row r="1052" spans="1:12" ht="16" customHeight="1">
      <c r="A1052" t="s">
        <v>447</v>
      </c>
      <c r="B1052" t="s">
        <v>4</v>
      </c>
      <c r="C1052" t="s">
        <v>51</v>
      </c>
      <c r="D1052" s="24">
        <v>46143</v>
      </c>
      <c r="E1052" t="s">
        <v>416</v>
      </c>
      <c r="F1052" t="s">
        <v>4</v>
      </c>
      <c r="G1052" t="s">
        <v>217</v>
      </c>
      <c r="H1052" t="s">
        <v>217</v>
      </c>
      <c r="I1052" t="s">
        <v>212</v>
      </c>
      <c r="J1052" s="25">
        <v>3135913</v>
      </c>
      <c r="K1052" s="26">
        <v>513395.7</v>
      </c>
      <c r="L1052" s="26">
        <v>3666.72</v>
      </c>
    </row>
    <row r="1053" spans="1:12" ht="16" customHeight="1">
      <c r="A1053" t="s">
        <v>447</v>
      </c>
      <c r="B1053" t="s">
        <v>4</v>
      </c>
      <c r="C1053" t="s">
        <v>51</v>
      </c>
      <c r="D1053" s="24">
        <v>46143</v>
      </c>
      <c r="E1053" t="s">
        <v>226</v>
      </c>
      <c r="F1053" t="s">
        <v>4</v>
      </c>
      <c r="G1053" t="s">
        <v>217</v>
      </c>
      <c r="H1053" t="s">
        <v>217</v>
      </c>
      <c r="I1053" t="s">
        <v>219</v>
      </c>
      <c r="J1053" s="25">
        <v>149854</v>
      </c>
      <c r="K1053" s="26">
        <v>26271.27</v>
      </c>
      <c r="L1053" s="26">
        <v>335</v>
      </c>
    </row>
    <row r="1054" spans="1:12" ht="16" customHeight="1">
      <c r="A1054" t="s">
        <v>447</v>
      </c>
      <c r="B1054" t="s">
        <v>4</v>
      </c>
      <c r="C1054" t="s">
        <v>51</v>
      </c>
      <c r="D1054" s="24">
        <v>46143</v>
      </c>
      <c r="E1054" t="s">
        <v>457</v>
      </c>
      <c r="F1054" t="s">
        <v>4</v>
      </c>
      <c r="G1054" t="s">
        <v>217</v>
      </c>
      <c r="H1054" t="s">
        <v>217</v>
      </c>
      <c r="I1054" t="s">
        <v>221</v>
      </c>
      <c r="J1054" s="25">
        <v>2913</v>
      </c>
      <c r="K1054" s="26">
        <v>494.24</v>
      </c>
      <c r="L1054" s="26">
        <v>10.95</v>
      </c>
    </row>
    <row r="1055" spans="1:12" ht="16" customHeight="1">
      <c r="A1055" t="s">
        <v>447</v>
      </c>
      <c r="B1055" t="s">
        <v>4</v>
      </c>
      <c r="C1055" t="s">
        <v>51</v>
      </c>
      <c r="D1055" s="24">
        <v>46143</v>
      </c>
      <c r="E1055" t="s">
        <v>269</v>
      </c>
      <c r="F1055" t="s">
        <v>4</v>
      </c>
      <c r="G1055" t="s">
        <v>217</v>
      </c>
      <c r="H1055" t="s">
        <v>217</v>
      </c>
      <c r="I1055" t="s">
        <v>300</v>
      </c>
      <c r="J1055" s="25">
        <v>185</v>
      </c>
      <c r="K1055" s="26">
        <v>31.64</v>
      </c>
      <c r="L1055" s="26">
        <v>0.7</v>
      </c>
    </row>
    <row r="1056" spans="1:12" ht="16" customHeight="1">
      <c r="A1056" t="s">
        <v>447</v>
      </c>
      <c r="B1056" t="s">
        <v>4</v>
      </c>
      <c r="C1056" t="s">
        <v>51</v>
      </c>
      <c r="D1056" s="24">
        <v>46143</v>
      </c>
      <c r="E1056" t="s">
        <v>228</v>
      </c>
      <c r="F1056" t="s">
        <v>4</v>
      </c>
      <c r="G1056" t="s">
        <v>217</v>
      </c>
      <c r="H1056" t="s">
        <v>217</v>
      </c>
      <c r="I1056" t="s">
        <v>301</v>
      </c>
      <c r="J1056" s="25">
        <v>26</v>
      </c>
      <c r="K1056" s="26">
        <v>4.3</v>
      </c>
      <c r="L1056" s="26">
        <v>0.11</v>
      </c>
    </row>
    <row r="1057" spans="1:12" ht="16" customHeight="1">
      <c r="A1057" t="s">
        <v>447</v>
      </c>
      <c r="B1057" t="s">
        <v>4</v>
      </c>
      <c r="C1057" t="s">
        <v>51</v>
      </c>
      <c r="D1057" s="24">
        <v>46143</v>
      </c>
      <c r="E1057" t="s">
        <v>439</v>
      </c>
      <c r="F1057" t="s">
        <v>4</v>
      </c>
      <c r="G1057" t="s">
        <v>217</v>
      </c>
      <c r="H1057" t="s">
        <v>217</v>
      </c>
      <c r="I1057" t="s">
        <v>302</v>
      </c>
      <c r="J1057" s="25">
        <v>0</v>
      </c>
      <c r="K1057" s="26">
        <v>0</v>
      </c>
      <c r="L1057" s="26">
        <v>0</v>
      </c>
    </row>
    <row r="1058" spans="1:12" ht="16" customHeight="1">
      <c r="A1058" t="s">
        <v>470</v>
      </c>
      <c r="B1058" t="s">
        <v>5</v>
      </c>
      <c r="C1058" t="s">
        <v>51</v>
      </c>
      <c r="D1058" s="24">
        <v>46143</v>
      </c>
      <c r="E1058" t="s">
        <v>416</v>
      </c>
      <c r="F1058" t="s">
        <v>4</v>
      </c>
      <c r="G1058" t="s">
        <v>217</v>
      </c>
      <c r="H1058" t="s">
        <v>217</v>
      </c>
      <c r="I1058" t="s">
        <v>212</v>
      </c>
      <c r="J1058" s="25">
        <v>5188850</v>
      </c>
      <c r="K1058" s="26">
        <v>845083.3</v>
      </c>
      <c r="L1058" s="26">
        <v>5339.51</v>
      </c>
    </row>
    <row r="1059" spans="1:12" ht="16" customHeight="1">
      <c r="A1059" t="s">
        <v>470</v>
      </c>
      <c r="B1059" t="s">
        <v>5</v>
      </c>
      <c r="C1059" t="s">
        <v>51</v>
      </c>
      <c r="D1059" s="24">
        <v>46143</v>
      </c>
      <c r="E1059" t="s">
        <v>226</v>
      </c>
      <c r="F1059" t="s">
        <v>4</v>
      </c>
      <c r="G1059" t="s">
        <v>217</v>
      </c>
      <c r="H1059" t="s">
        <v>217</v>
      </c>
      <c r="I1059" t="s">
        <v>219</v>
      </c>
      <c r="J1059" s="25">
        <v>221112</v>
      </c>
      <c r="K1059" s="26">
        <v>38103.89</v>
      </c>
      <c r="L1059" s="26">
        <v>573.41999999999996</v>
      </c>
    </row>
    <row r="1060" spans="1:12" ht="16" customHeight="1">
      <c r="A1060" t="s">
        <v>470</v>
      </c>
      <c r="B1060" t="s">
        <v>5</v>
      </c>
      <c r="C1060" t="s">
        <v>51</v>
      </c>
      <c r="D1060" s="24">
        <v>46143</v>
      </c>
      <c r="E1060" t="s">
        <v>457</v>
      </c>
      <c r="F1060" t="s">
        <v>4</v>
      </c>
      <c r="G1060" t="s">
        <v>217</v>
      </c>
      <c r="H1060" t="s">
        <v>217</v>
      </c>
      <c r="I1060" t="s">
        <v>221</v>
      </c>
      <c r="J1060" s="25">
        <v>6345</v>
      </c>
      <c r="K1060" s="26">
        <v>1059.72</v>
      </c>
      <c r="L1060" s="26">
        <v>22.31</v>
      </c>
    </row>
    <row r="1061" spans="1:12" ht="16" customHeight="1">
      <c r="A1061" t="s">
        <v>470</v>
      </c>
      <c r="B1061" t="s">
        <v>5</v>
      </c>
      <c r="C1061" t="s">
        <v>51</v>
      </c>
      <c r="D1061" s="24">
        <v>46143</v>
      </c>
      <c r="E1061" t="s">
        <v>269</v>
      </c>
      <c r="F1061" t="s">
        <v>4</v>
      </c>
      <c r="G1061" t="s">
        <v>217</v>
      </c>
      <c r="H1061" t="s">
        <v>217</v>
      </c>
      <c r="I1061" t="s">
        <v>300</v>
      </c>
      <c r="J1061" s="25">
        <v>517</v>
      </c>
      <c r="K1061" s="26">
        <v>88.93</v>
      </c>
      <c r="L1061" s="26">
        <v>1.94</v>
      </c>
    </row>
    <row r="1062" spans="1:12" ht="16" customHeight="1">
      <c r="A1062" t="s">
        <v>470</v>
      </c>
      <c r="B1062" t="s">
        <v>5</v>
      </c>
      <c r="C1062" t="s">
        <v>51</v>
      </c>
      <c r="D1062" s="24">
        <v>46143</v>
      </c>
      <c r="E1062" t="s">
        <v>228</v>
      </c>
      <c r="F1062" t="s">
        <v>4</v>
      </c>
      <c r="G1062" t="s">
        <v>217</v>
      </c>
      <c r="H1062" t="s">
        <v>217</v>
      </c>
      <c r="I1062" t="s">
        <v>301</v>
      </c>
      <c r="J1062" s="25">
        <v>21</v>
      </c>
      <c r="K1062" s="26">
        <v>3.56</v>
      </c>
      <c r="L1062" s="26">
        <v>0.14000000000000001</v>
      </c>
    </row>
    <row r="1063" spans="1:12" ht="16" customHeight="1">
      <c r="A1063" t="s">
        <v>470</v>
      </c>
      <c r="B1063" t="s">
        <v>5</v>
      </c>
      <c r="C1063" t="s">
        <v>51</v>
      </c>
      <c r="D1063" s="24">
        <v>46143</v>
      </c>
      <c r="E1063" t="s">
        <v>439</v>
      </c>
      <c r="F1063" t="s">
        <v>4</v>
      </c>
      <c r="G1063" t="s">
        <v>217</v>
      </c>
      <c r="H1063" t="s">
        <v>217</v>
      </c>
      <c r="I1063" t="s">
        <v>302</v>
      </c>
      <c r="J1063" s="25">
        <v>0</v>
      </c>
      <c r="K1063" s="26">
        <v>0</v>
      </c>
      <c r="L1063" s="26">
        <v>0</v>
      </c>
    </row>
    <row r="1064" spans="1:12" ht="16" customHeight="1">
      <c r="A1064" t="s">
        <v>472</v>
      </c>
      <c r="B1064" t="s">
        <v>6</v>
      </c>
      <c r="C1064" t="s">
        <v>51</v>
      </c>
      <c r="D1064" s="24">
        <v>46143</v>
      </c>
      <c r="E1064" t="s">
        <v>416</v>
      </c>
      <c r="F1064" t="s">
        <v>4</v>
      </c>
      <c r="G1064" t="s">
        <v>217</v>
      </c>
      <c r="H1064" t="s">
        <v>217</v>
      </c>
      <c r="I1064" t="s">
        <v>212</v>
      </c>
      <c r="J1064" s="25">
        <v>5824458</v>
      </c>
      <c r="K1064" s="26">
        <v>949866.51</v>
      </c>
      <c r="L1064" s="26">
        <v>4857.28</v>
      </c>
    </row>
    <row r="1065" spans="1:12" ht="16" customHeight="1">
      <c r="A1065" t="s">
        <v>472</v>
      </c>
      <c r="B1065" t="s">
        <v>6</v>
      </c>
      <c r="C1065" t="s">
        <v>51</v>
      </c>
      <c r="D1065" s="24">
        <v>46143</v>
      </c>
      <c r="E1065" t="s">
        <v>226</v>
      </c>
      <c r="F1065" t="s">
        <v>4</v>
      </c>
      <c r="G1065" t="s">
        <v>217</v>
      </c>
      <c r="H1065" t="s">
        <v>217</v>
      </c>
      <c r="I1065" t="s">
        <v>219</v>
      </c>
      <c r="J1065" s="25">
        <v>250807</v>
      </c>
      <c r="K1065" s="26">
        <v>42677.93</v>
      </c>
      <c r="L1065" s="26">
        <v>645.72</v>
      </c>
    </row>
    <row r="1066" spans="1:12" ht="16" customHeight="1">
      <c r="A1066" t="s">
        <v>472</v>
      </c>
      <c r="B1066" t="s">
        <v>6</v>
      </c>
      <c r="C1066" t="s">
        <v>51</v>
      </c>
      <c r="D1066" s="24">
        <v>46143</v>
      </c>
      <c r="E1066" t="s">
        <v>457</v>
      </c>
      <c r="F1066" t="s">
        <v>4</v>
      </c>
      <c r="G1066" t="s">
        <v>217</v>
      </c>
      <c r="H1066" t="s">
        <v>217</v>
      </c>
      <c r="I1066" t="s">
        <v>221</v>
      </c>
      <c r="J1066" s="25">
        <v>6595</v>
      </c>
      <c r="K1066" s="26">
        <v>1111.92</v>
      </c>
      <c r="L1066" s="26">
        <v>22.79</v>
      </c>
    </row>
    <row r="1067" spans="1:12" ht="16" customHeight="1">
      <c r="A1067" t="s">
        <v>472</v>
      </c>
      <c r="B1067" t="s">
        <v>6</v>
      </c>
      <c r="C1067" t="s">
        <v>51</v>
      </c>
      <c r="D1067" s="24">
        <v>46143</v>
      </c>
      <c r="E1067" t="s">
        <v>269</v>
      </c>
      <c r="F1067" t="s">
        <v>4</v>
      </c>
      <c r="G1067" t="s">
        <v>217</v>
      </c>
      <c r="H1067" t="s">
        <v>217</v>
      </c>
      <c r="I1067" t="s">
        <v>300</v>
      </c>
      <c r="J1067" s="25">
        <v>502</v>
      </c>
      <c r="K1067" s="26">
        <v>86.25</v>
      </c>
      <c r="L1067" s="26">
        <v>2.21</v>
      </c>
    </row>
    <row r="1068" spans="1:12" ht="16" customHeight="1">
      <c r="A1068" t="s">
        <v>472</v>
      </c>
      <c r="B1068" t="s">
        <v>6</v>
      </c>
      <c r="C1068" t="s">
        <v>51</v>
      </c>
      <c r="D1068" s="24">
        <v>46143</v>
      </c>
      <c r="E1068" t="s">
        <v>228</v>
      </c>
      <c r="F1068" t="s">
        <v>4</v>
      </c>
      <c r="G1068" t="s">
        <v>217</v>
      </c>
      <c r="H1068" t="s">
        <v>217</v>
      </c>
      <c r="I1068" t="s">
        <v>301</v>
      </c>
      <c r="J1068" s="25">
        <v>19</v>
      </c>
      <c r="K1068" s="26">
        <v>3.24</v>
      </c>
      <c r="L1068" s="26">
        <v>0.11</v>
      </c>
    </row>
    <row r="1069" spans="1:12" ht="16" customHeight="1">
      <c r="A1069" t="s">
        <v>472</v>
      </c>
      <c r="B1069" t="s">
        <v>6</v>
      </c>
      <c r="C1069" t="s">
        <v>51</v>
      </c>
      <c r="D1069" s="24">
        <v>46143</v>
      </c>
      <c r="E1069" t="s">
        <v>439</v>
      </c>
      <c r="F1069" t="s">
        <v>4</v>
      </c>
      <c r="G1069" t="s">
        <v>217</v>
      </c>
      <c r="H1069" t="s">
        <v>217</v>
      </c>
      <c r="I1069" t="s">
        <v>302</v>
      </c>
      <c r="J1069" s="25">
        <v>0</v>
      </c>
      <c r="K1069" s="26">
        <v>0</v>
      </c>
      <c r="L1069" s="26">
        <v>0</v>
      </c>
    </row>
    <row r="1070" spans="1:12" ht="16" customHeight="1">
      <c r="A1070" t="s">
        <v>473</v>
      </c>
      <c r="B1070" t="s">
        <v>7</v>
      </c>
      <c r="C1070" t="s">
        <v>52</v>
      </c>
      <c r="D1070" s="24">
        <v>46143</v>
      </c>
      <c r="E1070" t="s">
        <v>416</v>
      </c>
      <c r="F1070" t="s">
        <v>4</v>
      </c>
      <c r="G1070" t="s">
        <v>217</v>
      </c>
      <c r="H1070" t="s">
        <v>217</v>
      </c>
      <c r="I1070" t="s">
        <v>212</v>
      </c>
      <c r="J1070" s="25">
        <v>9184146</v>
      </c>
      <c r="K1070" s="26">
        <v>1503389.02</v>
      </c>
      <c r="L1070" s="26">
        <v>6734.3</v>
      </c>
    </row>
    <row r="1071" spans="1:12" ht="16" customHeight="1">
      <c r="A1071" t="s">
        <v>473</v>
      </c>
      <c r="B1071" t="s">
        <v>7</v>
      </c>
      <c r="C1071" t="s">
        <v>52</v>
      </c>
      <c r="D1071" s="24">
        <v>46143</v>
      </c>
      <c r="E1071" t="s">
        <v>226</v>
      </c>
      <c r="F1071" t="s">
        <v>4</v>
      </c>
      <c r="G1071" t="s">
        <v>217</v>
      </c>
      <c r="H1071" t="s">
        <v>217</v>
      </c>
      <c r="I1071" t="s">
        <v>219</v>
      </c>
      <c r="J1071" s="25">
        <v>352471</v>
      </c>
      <c r="K1071" s="26">
        <v>59790.01</v>
      </c>
      <c r="L1071" s="26">
        <v>977.31</v>
      </c>
    </row>
    <row r="1072" spans="1:12" ht="16" customHeight="1">
      <c r="A1072" t="s">
        <v>473</v>
      </c>
      <c r="B1072" t="s">
        <v>7</v>
      </c>
      <c r="C1072" t="s">
        <v>52</v>
      </c>
      <c r="D1072" s="24">
        <v>46143</v>
      </c>
      <c r="E1072" t="s">
        <v>457</v>
      </c>
      <c r="F1072" t="s">
        <v>4</v>
      </c>
      <c r="G1072" t="s">
        <v>217</v>
      </c>
      <c r="H1072" t="s">
        <v>217</v>
      </c>
      <c r="I1072" t="s">
        <v>221</v>
      </c>
      <c r="J1072" s="25">
        <v>8441</v>
      </c>
      <c r="K1072" s="26">
        <v>1424.95</v>
      </c>
      <c r="L1072" s="26">
        <v>24.13</v>
      </c>
    </row>
    <row r="1073" spans="1:12" ht="16" customHeight="1">
      <c r="A1073" t="s">
        <v>473</v>
      </c>
      <c r="B1073" t="s">
        <v>7</v>
      </c>
      <c r="C1073" t="s">
        <v>52</v>
      </c>
      <c r="D1073" s="24">
        <v>46143</v>
      </c>
      <c r="E1073" t="s">
        <v>269</v>
      </c>
      <c r="F1073" t="s">
        <v>4</v>
      </c>
      <c r="G1073" t="s">
        <v>217</v>
      </c>
      <c r="H1073" t="s">
        <v>217</v>
      </c>
      <c r="I1073" t="s">
        <v>300</v>
      </c>
      <c r="J1073" s="25">
        <v>668</v>
      </c>
      <c r="K1073" s="26">
        <v>115.76</v>
      </c>
      <c r="L1073" s="26">
        <v>2.0499999999999998</v>
      </c>
    </row>
    <row r="1074" spans="1:12" ht="16" customHeight="1">
      <c r="A1074" t="s">
        <v>473</v>
      </c>
      <c r="B1074" t="s">
        <v>7</v>
      </c>
      <c r="C1074" t="s">
        <v>52</v>
      </c>
      <c r="D1074" s="24">
        <v>46143</v>
      </c>
      <c r="E1074" t="s">
        <v>228</v>
      </c>
      <c r="F1074" t="s">
        <v>4</v>
      </c>
      <c r="G1074" t="s">
        <v>217</v>
      </c>
      <c r="H1074" t="s">
        <v>217</v>
      </c>
      <c r="I1074" t="s">
        <v>301</v>
      </c>
      <c r="J1074" s="25">
        <v>62</v>
      </c>
      <c r="K1074" s="26">
        <v>11.05</v>
      </c>
      <c r="L1074" s="26">
        <v>0.38</v>
      </c>
    </row>
    <row r="1075" spans="1:12" ht="16" customHeight="1">
      <c r="A1075" t="s">
        <v>473</v>
      </c>
      <c r="B1075" t="s">
        <v>7</v>
      </c>
      <c r="C1075" t="s">
        <v>52</v>
      </c>
      <c r="D1075" s="24">
        <v>46143</v>
      </c>
      <c r="E1075" t="s">
        <v>439</v>
      </c>
      <c r="F1075" t="s">
        <v>4</v>
      </c>
      <c r="G1075" t="s">
        <v>217</v>
      </c>
      <c r="H1075" t="s">
        <v>217</v>
      </c>
      <c r="I1075" t="s">
        <v>302</v>
      </c>
      <c r="J1075" s="25">
        <v>0</v>
      </c>
      <c r="K1075" s="26">
        <v>0</v>
      </c>
      <c r="L1075" s="26">
        <v>0</v>
      </c>
    </row>
    <row r="1076" spans="1:12" ht="16" customHeight="1">
      <c r="A1076" t="s">
        <v>474</v>
      </c>
      <c r="B1076" t="s">
        <v>3</v>
      </c>
      <c r="C1076" t="s">
        <v>52</v>
      </c>
      <c r="D1076" s="24">
        <v>46143</v>
      </c>
      <c r="E1076" t="s">
        <v>416</v>
      </c>
      <c r="F1076" t="s">
        <v>4</v>
      </c>
      <c r="G1076" t="s">
        <v>217</v>
      </c>
      <c r="H1076" t="s">
        <v>217</v>
      </c>
      <c r="I1076" t="s">
        <v>212</v>
      </c>
      <c r="J1076" s="25">
        <v>16090631</v>
      </c>
      <c r="K1076" s="26">
        <v>2665590.37</v>
      </c>
      <c r="L1076" s="26">
        <v>7957.74</v>
      </c>
    </row>
    <row r="1077" spans="1:12" ht="16" customHeight="1">
      <c r="A1077" t="s">
        <v>474</v>
      </c>
      <c r="B1077" t="s">
        <v>3</v>
      </c>
      <c r="C1077" t="s">
        <v>52</v>
      </c>
      <c r="D1077" s="24">
        <v>46143</v>
      </c>
      <c r="E1077" t="s">
        <v>226</v>
      </c>
      <c r="F1077" t="s">
        <v>4</v>
      </c>
      <c r="G1077" t="s">
        <v>217</v>
      </c>
      <c r="H1077" t="s">
        <v>217</v>
      </c>
      <c r="I1077" t="s">
        <v>219</v>
      </c>
      <c r="J1077" s="25">
        <v>571878</v>
      </c>
      <c r="K1077" s="26">
        <v>96279.92</v>
      </c>
      <c r="L1077" s="26">
        <v>1385.22</v>
      </c>
    </row>
    <row r="1078" spans="1:12" ht="16" customHeight="1">
      <c r="A1078" t="s">
        <v>474</v>
      </c>
      <c r="B1078" t="s">
        <v>3</v>
      </c>
      <c r="C1078" t="s">
        <v>52</v>
      </c>
      <c r="D1078" s="24">
        <v>46143</v>
      </c>
      <c r="E1078" t="s">
        <v>457</v>
      </c>
      <c r="F1078" t="s">
        <v>4</v>
      </c>
      <c r="G1078" t="s">
        <v>217</v>
      </c>
      <c r="H1078" t="s">
        <v>217</v>
      </c>
      <c r="I1078" t="s">
        <v>221</v>
      </c>
      <c r="J1078" s="25">
        <v>18692</v>
      </c>
      <c r="K1078" s="26">
        <v>3077.46</v>
      </c>
      <c r="L1078" s="26">
        <v>45.98</v>
      </c>
    </row>
    <row r="1079" spans="1:12" ht="16" customHeight="1">
      <c r="A1079" t="s">
        <v>474</v>
      </c>
      <c r="B1079" t="s">
        <v>3</v>
      </c>
      <c r="C1079" t="s">
        <v>52</v>
      </c>
      <c r="D1079" s="24">
        <v>46143</v>
      </c>
      <c r="E1079" t="s">
        <v>269</v>
      </c>
      <c r="F1079" t="s">
        <v>4</v>
      </c>
      <c r="G1079" t="s">
        <v>217</v>
      </c>
      <c r="H1079" t="s">
        <v>217</v>
      </c>
      <c r="I1079" t="s">
        <v>300</v>
      </c>
      <c r="J1079" s="25">
        <v>1803</v>
      </c>
      <c r="K1079" s="26">
        <v>318.54000000000002</v>
      </c>
      <c r="L1079" s="26">
        <v>4.87</v>
      </c>
    </row>
    <row r="1080" spans="1:12" ht="16" customHeight="1">
      <c r="A1080" t="s">
        <v>474</v>
      </c>
      <c r="B1080" t="s">
        <v>3</v>
      </c>
      <c r="C1080" t="s">
        <v>52</v>
      </c>
      <c r="D1080" s="24">
        <v>46143</v>
      </c>
      <c r="E1080" t="s">
        <v>228</v>
      </c>
      <c r="F1080" t="s">
        <v>4</v>
      </c>
      <c r="G1080" t="s">
        <v>217</v>
      </c>
      <c r="H1080" t="s">
        <v>217</v>
      </c>
      <c r="I1080" t="s">
        <v>301</v>
      </c>
      <c r="J1080" s="25">
        <v>50</v>
      </c>
      <c r="K1080" s="26">
        <v>8.9600000000000009</v>
      </c>
      <c r="L1080" s="26">
        <v>0.3</v>
      </c>
    </row>
    <row r="1081" spans="1:12" ht="16" customHeight="1">
      <c r="A1081" t="s">
        <v>474</v>
      </c>
      <c r="B1081" t="s">
        <v>3</v>
      </c>
      <c r="C1081" t="s">
        <v>52</v>
      </c>
      <c r="D1081" s="24">
        <v>46143</v>
      </c>
      <c r="E1081" t="s">
        <v>439</v>
      </c>
      <c r="F1081" t="s">
        <v>4</v>
      </c>
      <c r="G1081" t="s">
        <v>217</v>
      </c>
      <c r="H1081" t="s">
        <v>217</v>
      </c>
      <c r="I1081" t="s">
        <v>302</v>
      </c>
      <c r="J1081" s="25">
        <v>0</v>
      </c>
      <c r="K1081" s="26">
        <v>0</v>
      </c>
      <c r="L1081" s="26">
        <v>0</v>
      </c>
    </row>
    <row r="1082" spans="1:12" ht="16" customHeight="1">
      <c r="A1082" t="s">
        <v>416</v>
      </c>
      <c r="B1082" t="s">
        <v>4</v>
      </c>
      <c r="C1082" t="s">
        <v>52</v>
      </c>
      <c r="D1082" s="24">
        <v>46143</v>
      </c>
      <c r="E1082" t="s">
        <v>416</v>
      </c>
      <c r="F1082" t="s">
        <v>4</v>
      </c>
      <c r="G1082" t="s">
        <v>217</v>
      </c>
      <c r="H1082" t="s">
        <v>217</v>
      </c>
      <c r="I1082" t="s">
        <v>212</v>
      </c>
      <c r="J1082" s="25">
        <v>96694212</v>
      </c>
      <c r="K1082" s="26">
        <v>16061956.619999999</v>
      </c>
      <c r="L1082" s="26">
        <v>17614.349999999999</v>
      </c>
    </row>
    <row r="1083" spans="1:12" ht="16" customHeight="1">
      <c r="A1083" t="s">
        <v>416</v>
      </c>
      <c r="B1083" t="s">
        <v>4</v>
      </c>
      <c r="C1083" t="s">
        <v>52</v>
      </c>
      <c r="D1083" s="24">
        <v>46143</v>
      </c>
      <c r="E1083" t="s">
        <v>226</v>
      </c>
      <c r="F1083" t="s">
        <v>4</v>
      </c>
      <c r="G1083" t="s">
        <v>217</v>
      </c>
      <c r="H1083" t="s">
        <v>217</v>
      </c>
      <c r="I1083" t="s">
        <v>219</v>
      </c>
      <c r="J1083" s="25">
        <v>711453</v>
      </c>
      <c r="K1083" s="26">
        <v>120351.3</v>
      </c>
      <c r="L1083" s="26">
        <v>1686.89</v>
      </c>
    </row>
    <row r="1084" spans="1:12" ht="16" customHeight="1">
      <c r="A1084" t="s">
        <v>416</v>
      </c>
      <c r="B1084" t="s">
        <v>4</v>
      </c>
      <c r="C1084" t="s">
        <v>52</v>
      </c>
      <c r="D1084" s="24">
        <v>46143</v>
      </c>
      <c r="E1084" t="s">
        <v>457</v>
      </c>
      <c r="F1084" t="s">
        <v>4</v>
      </c>
      <c r="G1084" t="s">
        <v>217</v>
      </c>
      <c r="H1084" t="s">
        <v>217</v>
      </c>
      <c r="I1084" t="s">
        <v>221</v>
      </c>
      <c r="J1084" s="25">
        <v>18448</v>
      </c>
      <c r="K1084" s="26">
        <v>3067.15</v>
      </c>
      <c r="L1084" s="26">
        <v>38.159999999999997</v>
      </c>
    </row>
    <row r="1085" spans="1:12" ht="16" customHeight="1">
      <c r="A1085" t="s">
        <v>416</v>
      </c>
      <c r="B1085" t="s">
        <v>4</v>
      </c>
      <c r="C1085" t="s">
        <v>52</v>
      </c>
      <c r="D1085" s="24">
        <v>46143</v>
      </c>
      <c r="E1085" t="s">
        <v>269</v>
      </c>
      <c r="F1085" t="s">
        <v>4</v>
      </c>
      <c r="G1085" t="s">
        <v>217</v>
      </c>
      <c r="H1085" t="s">
        <v>217</v>
      </c>
      <c r="I1085" t="s">
        <v>300</v>
      </c>
      <c r="J1085" s="25">
        <v>854</v>
      </c>
      <c r="K1085" s="26">
        <v>148.27000000000001</v>
      </c>
      <c r="L1085" s="26">
        <v>2.56</v>
      </c>
    </row>
    <row r="1086" spans="1:12" ht="16" customHeight="1">
      <c r="A1086" t="s">
        <v>416</v>
      </c>
      <c r="B1086" t="s">
        <v>4</v>
      </c>
      <c r="C1086" t="s">
        <v>52</v>
      </c>
      <c r="D1086" s="24">
        <v>46143</v>
      </c>
      <c r="E1086" t="s">
        <v>228</v>
      </c>
      <c r="F1086" t="s">
        <v>4</v>
      </c>
      <c r="G1086" t="s">
        <v>217</v>
      </c>
      <c r="H1086" t="s">
        <v>217</v>
      </c>
      <c r="I1086" t="s">
        <v>301</v>
      </c>
      <c r="J1086" s="25">
        <v>21</v>
      </c>
      <c r="K1086" s="26">
        <v>3.63</v>
      </c>
      <c r="L1086" s="26">
        <v>0.11</v>
      </c>
    </row>
    <row r="1087" spans="1:12" ht="16" customHeight="1">
      <c r="A1087" t="s">
        <v>416</v>
      </c>
      <c r="B1087" t="s">
        <v>4</v>
      </c>
      <c r="C1087" t="s">
        <v>52</v>
      </c>
      <c r="D1087" s="24">
        <v>46143</v>
      </c>
      <c r="E1087" t="s">
        <v>439</v>
      </c>
      <c r="F1087" t="s">
        <v>4</v>
      </c>
      <c r="G1087" t="s">
        <v>217</v>
      </c>
      <c r="H1087" t="s">
        <v>217</v>
      </c>
      <c r="I1087" t="s">
        <v>302</v>
      </c>
      <c r="J1087" s="25">
        <v>0</v>
      </c>
      <c r="K1087" s="26">
        <v>0</v>
      </c>
      <c r="L1087" s="26">
        <v>0</v>
      </c>
    </row>
    <row r="1088" spans="1:12" ht="16" customHeight="1">
      <c r="A1088" t="s">
        <v>475</v>
      </c>
      <c r="B1088" t="s">
        <v>5</v>
      </c>
      <c r="C1088" t="s">
        <v>52</v>
      </c>
      <c r="D1088" s="24">
        <v>46143</v>
      </c>
      <c r="E1088" t="s">
        <v>226</v>
      </c>
      <c r="F1088" t="s">
        <v>4</v>
      </c>
      <c r="G1088" t="s">
        <v>217</v>
      </c>
      <c r="H1088" t="s">
        <v>217</v>
      </c>
      <c r="I1088" t="s">
        <v>219</v>
      </c>
      <c r="J1088" s="25">
        <v>1543898</v>
      </c>
      <c r="K1088" s="26">
        <v>260792.09</v>
      </c>
      <c r="L1088" s="26">
        <v>3311.77</v>
      </c>
    </row>
    <row r="1089" spans="1:12" ht="16" customHeight="1">
      <c r="A1089" t="s">
        <v>475</v>
      </c>
      <c r="B1089" t="s">
        <v>5</v>
      </c>
      <c r="C1089" t="s">
        <v>52</v>
      </c>
      <c r="D1089" s="24">
        <v>46143</v>
      </c>
      <c r="E1089" t="s">
        <v>457</v>
      </c>
      <c r="F1089" t="s">
        <v>4</v>
      </c>
      <c r="G1089" t="s">
        <v>217</v>
      </c>
      <c r="H1089" t="s">
        <v>217</v>
      </c>
      <c r="I1089" t="s">
        <v>221</v>
      </c>
      <c r="J1089" s="25">
        <v>20273</v>
      </c>
      <c r="K1089" s="26">
        <v>3335.46</v>
      </c>
      <c r="L1089" s="26">
        <v>39.24</v>
      </c>
    </row>
    <row r="1090" spans="1:12" ht="16" customHeight="1">
      <c r="A1090" t="s">
        <v>475</v>
      </c>
      <c r="B1090" t="s">
        <v>5</v>
      </c>
      <c r="C1090" t="s">
        <v>52</v>
      </c>
      <c r="D1090" s="24">
        <v>46143</v>
      </c>
      <c r="E1090" t="s">
        <v>476</v>
      </c>
      <c r="F1090" t="s">
        <v>4</v>
      </c>
      <c r="G1090" t="s">
        <v>217</v>
      </c>
      <c r="H1090" t="s">
        <v>217</v>
      </c>
      <c r="I1090" t="s">
        <v>223</v>
      </c>
      <c r="J1090" s="25">
        <v>375</v>
      </c>
      <c r="K1090" s="26">
        <v>62.35</v>
      </c>
      <c r="L1090" s="26">
        <v>1.31</v>
      </c>
    </row>
    <row r="1091" spans="1:12" ht="16" customHeight="1">
      <c r="A1091" t="s">
        <v>475</v>
      </c>
      <c r="B1091" t="s">
        <v>5</v>
      </c>
      <c r="C1091" t="s">
        <v>52</v>
      </c>
      <c r="D1091" s="24">
        <v>46143</v>
      </c>
      <c r="E1091" t="s">
        <v>269</v>
      </c>
      <c r="F1091" t="s">
        <v>4</v>
      </c>
      <c r="G1091" t="s">
        <v>217</v>
      </c>
      <c r="H1091" t="s">
        <v>217</v>
      </c>
      <c r="I1091" t="s">
        <v>300</v>
      </c>
      <c r="J1091" s="25">
        <v>743</v>
      </c>
      <c r="K1091" s="26">
        <v>128.6</v>
      </c>
      <c r="L1091" s="26">
        <v>2.6</v>
      </c>
    </row>
    <row r="1092" spans="1:12" ht="16" customHeight="1">
      <c r="A1092" t="s">
        <v>475</v>
      </c>
      <c r="B1092" t="s">
        <v>5</v>
      </c>
      <c r="C1092" t="s">
        <v>52</v>
      </c>
      <c r="D1092" s="24">
        <v>46143</v>
      </c>
      <c r="E1092" t="s">
        <v>228</v>
      </c>
      <c r="F1092" t="s">
        <v>4</v>
      </c>
      <c r="G1092" t="s">
        <v>217</v>
      </c>
      <c r="H1092" t="s">
        <v>217</v>
      </c>
      <c r="I1092" t="s">
        <v>301</v>
      </c>
      <c r="J1092" s="25">
        <v>46</v>
      </c>
      <c r="K1092" s="26">
        <v>7.75</v>
      </c>
      <c r="L1092" s="26">
        <v>0.21</v>
      </c>
    </row>
    <row r="1093" spans="1:12" ht="16" customHeight="1">
      <c r="A1093" t="s">
        <v>475</v>
      </c>
      <c r="B1093" t="s">
        <v>5</v>
      </c>
      <c r="C1093" t="s">
        <v>52</v>
      </c>
      <c r="D1093" s="24">
        <v>46143</v>
      </c>
      <c r="E1093" t="s">
        <v>439</v>
      </c>
      <c r="F1093" t="s">
        <v>4</v>
      </c>
      <c r="G1093" t="s">
        <v>217</v>
      </c>
      <c r="H1093" t="s">
        <v>217</v>
      </c>
      <c r="I1093" t="s">
        <v>302</v>
      </c>
      <c r="J1093" s="25">
        <v>0</v>
      </c>
      <c r="K1093" s="26">
        <v>0</v>
      </c>
      <c r="L1093" s="26">
        <v>0</v>
      </c>
    </row>
    <row r="1094" spans="1:12" ht="16" customHeight="1">
      <c r="A1094" t="s">
        <v>477</v>
      </c>
      <c r="B1094" t="s">
        <v>7</v>
      </c>
      <c r="C1094" t="s">
        <v>53</v>
      </c>
      <c r="D1094" s="24">
        <v>46143</v>
      </c>
      <c r="E1094" t="s">
        <v>226</v>
      </c>
      <c r="F1094" t="s">
        <v>4</v>
      </c>
      <c r="G1094" t="s">
        <v>217</v>
      </c>
      <c r="H1094" t="s">
        <v>217</v>
      </c>
      <c r="I1094" t="s">
        <v>219</v>
      </c>
      <c r="J1094" s="25">
        <v>2073141</v>
      </c>
      <c r="K1094" s="26">
        <v>348217.17</v>
      </c>
      <c r="L1094" s="26">
        <v>4353.29</v>
      </c>
    </row>
    <row r="1095" spans="1:12" ht="16" customHeight="1">
      <c r="A1095" t="s">
        <v>477</v>
      </c>
      <c r="B1095" t="s">
        <v>7</v>
      </c>
      <c r="C1095" t="s">
        <v>53</v>
      </c>
      <c r="D1095" s="24">
        <v>46143</v>
      </c>
      <c r="E1095" t="s">
        <v>457</v>
      </c>
      <c r="F1095" t="s">
        <v>4</v>
      </c>
      <c r="G1095" t="s">
        <v>217</v>
      </c>
      <c r="H1095" t="s">
        <v>217</v>
      </c>
      <c r="I1095" t="s">
        <v>221</v>
      </c>
      <c r="J1095" s="25">
        <v>28947</v>
      </c>
      <c r="K1095" s="26">
        <v>4909.49</v>
      </c>
      <c r="L1095" s="26">
        <v>81.349999999999994</v>
      </c>
    </row>
    <row r="1096" spans="1:12" ht="16" customHeight="1">
      <c r="A1096" t="s">
        <v>477</v>
      </c>
      <c r="B1096" t="s">
        <v>7</v>
      </c>
      <c r="C1096" t="s">
        <v>53</v>
      </c>
      <c r="D1096" s="24">
        <v>46143</v>
      </c>
      <c r="E1096" t="s">
        <v>476</v>
      </c>
      <c r="F1096" t="s">
        <v>4</v>
      </c>
      <c r="G1096" t="s">
        <v>217</v>
      </c>
      <c r="H1096" t="s">
        <v>217</v>
      </c>
      <c r="I1096" t="s">
        <v>223</v>
      </c>
      <c r="J1096" s="25">
        <v>877</v>
      </c>
      <c r="K1096" s="26">
        <v>146.02000000000001</v>
      </c>
      <c r="L1096" s="26">
        <v>2.83</v>
      </c>
    </row>
    <row r="1097" spans="1:12" ht="16" customHeight="1">
      <c r="A1097" t="s">
        <v>477</v>
      </c>
      <c r="B1097" t="s">
        <v>7</v>
      </c>
      <c r="C1097" t="s">
        <v>53</v>
      </c>
      <c r="D1097" s="24">
        <v>46143</v>
      </c>
      <c r="E1097" t="s">
        <v>269</v>
      </c>
      <c r="F1097" t="s">
        <v>4</v>
      </c>
      <c r="G1097" t="s">
        <v>217</v>
      </c>
      <c r="H1097" t="s">
        <v>217</v>
      </c>
      <c r="I1097" t="s">
        <v>300</v>
      </c>
      <c r="J1097" s="25">
        <v>1085</v>
      </c>
      <c r="K1097" s="26">
        <v>189.13</v>
      </c>
      <c r="L1097" s="26">
        <v>3.4</v>
      </c>
    </row>
    <row r="1098" spans="1:12" ht="16" customHeight="1">
      <c r="A1098" t="s">
        <v>477</v>
      </c>
      <c r="B1098" t="s">
        <v>7</v>
      </c>
      <c r="C1098" t="s">
        <v>53</v>
      </c>
      <c r="D1098" s="24">
        <v>46143</v>
      </c>
      <c r="E1098" t="s">
        <v>228</v>
      </c>
      <c r="F1098" t="s">
        <v>4</v>
      </c>
      <c r="G1098" t="s">
        <v>217</v>
      </c>
      <c r="H1098" t="s">
        <v>217</v>
      </c>
      <c r="I1098" t="s">
        <v>301</v>
      </c>
      <c r="J1098" s="25">
        <v>33</v>
      </c>
      <c r="K1098" s="26">
        <v>5.52</v>
      </c>
      <c r="L1098" s="26">
        <v>0.14000000000000001</v>
      </c>
    </row>
    <row r="1099" spans="1:12" ht="16" customHeight="1">
      <c r="A1099" t="s">
        <v>477</v>
      </c>
      <c r="B1099" t="s">
        <v>7</v>
      </c>
      <c r="C1099" t="s">
        <v>53</v>
      </c>
      <c r="D1099" s="24">
        <v>46143</v>
      </c>
      <c r="E1099" t="s">
        <v>439</v>
      </c>
      <c r="F1099" t="s">
        <v>4</v>
      </c>
      <c r="G1099" t="s">
        <v>217</v>
      </c>
      <c r="H1099" t="s">
        <v>217</v>
      </c>
      <c r="I1099" t="s">
        <v>302</v>
      </c>
      <c r="J1099" s="25">
        <v>0</v>
      </c>
      <c r="K1099" s="26">
        <v>0</v>
      </c>
      <c r="L1099" s="26">
        <v>0</v>
      </c>
    </row>
    <row r="1100" spans="1:12" ht="16" customHeight="1">
      <c r="A1100" t="s">
        <v>478</v>
      </c>
      <c r="B1100" t="s">
        <v>3</v>
      </c>
      <c r="C1100" t="s">
        <v>54</v>
      </c>
      <c r="D1100" s="24">
        <v>46174</v>
      </c>
      <c r="E1100" t="s">
        <v>226</v>
      </c>
      <c r="F1100" t="s">
        <v>4</v>
      </c>
      <c r="G1100" t="s">
        <v>217</v>
      </c>
      <c r="H1100" t="s">
        <v>217</v>
      </c>
      <c r="I1100" t="s">
        <v>212</v>
      </c>
      <c r="J1100" s="25">
        <v>2087116</v>
      </c>
      <c r="K1100" s="26">
        <v>348836.23</v>
      </c>
      <c r="L1100" s="26">
        <v>4151.76</v>
      </c>
    </row>
    <row r="1101" spans="1:12" ht="16" customHeight="1">
      <c r="A1101" t="s">
        <v>478</v>
      </c>
      <c r="B1101" t="s">
        <v>3</v>
      </c>
      <c r="C1101" t="s">
        <v>54</v>
      </c>
      <c r="D1101" s="24">
        <v>46174</v>
      </c>
      <c r="E1101" t="s">
        <v>457</v>
      </c>
      <c r="F1101" t="s">
        <v>4</v>
      </c>
      <c r="G1101" t="s">
        <v>217</v>
      </c>
      <c r="H1101" t="s">
        <v>217</v>
      </c>
      <c r="I1101" t="s">
        <v>219</v>
      </c>
      <c r="J1101" s="25">
        <v>83895</v>
      </c>
      <c r="K1101" s="26">
        <v>14765.27</v>
      </c>
      <c r="L1101" s="26">
        <v>87.16</v>
      </c>
    </row>
    <row r="1102" spans="1:12" ht="16" customHeight="1">
      <c r="A1102" t="s">
        <v>478</v>
      </c>
      <c r="B1102" t="s">
        <v>3</v>
      </c>
      <c r="C1102" t="s">
        <v>54</v>
      </c>
      <c r="D1102" s="24">
        <v>46174</v>
      </c>
      <c r="E1102" t="s">
        <v>476</v>
      </c>
      <c r="F1102" t="s">
        <v>4</v>
      </c>
      <c r="G1102" t="s">
        <v>217</v>
      </c>
      <c r="H1102" t="s">
        <v>217</v>
      </c>
      <c r="I1102" t="s">
        <v>221</v>
      </c>
      <c r="J1102" s="25">
        <v>1769</v>
      </c>
      <c r="K1102" s="26">
        <v>296.85000000000002</v>
      </c>
      <c r="L1102" s="26">
        <v>7.54</v>
      </c>
    </row>
    <row r="1103" spans="1:12" ht="16" customHeight="1">
      <c r="A1103" t="s">
        <v>478</v>
      </c>
      <c r="B1103" t="s">
        <v>3</v>
      </c>
      <c r="C1103" t="s">
        <v>54</v>
      </c>
      <c r="D1103" s="24">
        <v>46174</v>
      </c>
      <c r="E1103" t="s">
        <v>269</v>
      </c>
      <c r="F1103" t="s">
        <v>4</v>
      </c>
      <c r="G1103" t="s">
        <v>217</v>
      </c>
      <c r="H1103" t="s">
        <v>217</v>
      </c>
      <c r="I1103" t="s">
        <v>223</v>
      </c>
      <c r="J1103" s="25">
        <v>2500</v>
      </c>
      <c r="K1103" s="26">
        <v>441.05</v>
      </c>
      <c r="L1103" s="26">
        <v>9.56</v>
      </c>
    </row>
    <row r="1104" spans="1:12" ht="16" customHeight="1">
      <c r="A1104" t="s">
        <v>478</v>
      </c>
      <c r="B1104" t="s">
        <v>3</v>
      </c>
      <c r="C1104" t="s">
        <v>54</v>
      </c>
      <c r="D1104" s="24">
        <v>46174</v>
      </c>
      <c r="E1104" t="s">
        <v>228</v>
      </c>
      <c r="F1104" t="s">
        <v>4</v>
      </c>
      <c r="G1104" t="s">
        <v>217</v>
      </c>
      <c r="H1104" t="s">
        <v>217</v>
      </c>
      <c r="I1104" t="s">
        <v>225</v>
      </c>
      <c r="J1104" s="25">
        <v>33</v>
      </c>
      <c r="K1104" s="26">
        <v>5.44</v>
      </c>
      <c r="L1104" s="26">
        <v>0.11</v>
      </c>
    </row>
    <row r="1105" spans="1:12" ht="16" customHeight="1">
      <c r="A1105" t="s">
        <v>478</v>
      </c>
      <c r="B1105" t="s">
        <v>3</v>
      </c>
      <c r="C1105" t="s">
        <v>54</v>
      </c>
      <c r="D1105" s="24">
        <v>46174</v>
      </c>
      <c r="E1105" t="s">
        <v>439</v>
      </c>
      <c r="F1105" t="s">
        <v>4</v>
      </c>
      <c r="G1105" t="s">
        <v>217</v>
      </c>
      <c r="H1105" t="s">
        <v>217</v>
      </c>
      <c r="I1105" t="s">
        <v>227</v>
      </c>
      <c r="J1105" s="25">
        <v>0</v>
      </c>
      <c r="K1105" s="26">
        <v>0</v>
      </c>
      <c r="L1105" s="26">
        <v>0</v>
      </c>
    </row>
    <row r="1106" spans="1:12" ht="16" customHeight="1">
      <c r="A1106" t="s">
        <v>452</v>
      </c>
      <c r="B1106" t="s">
        <v>4</v>
      </c>
      <c r="C1106" t="s">
        <v>54</v>
      </c>
      <c r="D1106" s="24">
        <v>46174</v>
      </c>
      <c r="E1106" t="s">
        <v>226</v>
      </c>
      <c r="F1106" t="s">
        <v>4</v>
      </c>
      <c r="G1106" t="s">
        <v>217</v>
      </c>
      <c r="H1106" t="s">
        <v>217</v>
      </c>
      <c r="I1106" t="s">
        <v>212</v>
      </c>
      <c r="J1106" s="25">
        <v>1957882</v>
      </c>
      <c r="K1106" s="26">
        <v>324044.26</v>
      </c>
      <c r="L1106" s="26">
        <v>4028.26</v>
      </c>
    </row>
    <row r="1107" spans="1:12" ht="16" customHeight="1">
      <c r="A1107" t="s">
        <v>452</v>
      </c>
      <c r="B1107" t="s">
        <v>4</v>
      </c>
      <c r="C1107" t="s">
        <v>54</v>
      </c>
      <c r="D1107" s="24">
        <v>46174</v>
      </c>
      <c r="E1107" t="s">
        <v>457</v>
      </c>
      <c r="F1107" t="s">
        <v>4</v>
      </c>
      <c r="G1107" t="s">
        <v>217</v>
      </c>
      <c r="H1107" t="s">
        <v>217</v>
      </c>
      <c r="I1107" t="s">
        <v>219</v>
      </c>
      <c r="J1107" s="25">
        <v>39495</v>
      </c>
      <c r="K1107" s="26">
        <v>6711.38</v>
      </c>
      <c r="L1107" s="26">
        <v>73.78</v>
      </c>
    </row>
    <row r="1108" spans="1:12" ht="16" customHeight="1">
      <c r="A1108" t="s">
        <v>452</v>
      </c>
      <c r="B1108" t="s">
        <v>4</v>
      </c>
      <c r="C1108" t="s">
        <v>54</v>
      </c>
      <c r="D1108" s="24">
        <v>46174</v>
      </c>
      <c r="E1108" t="s">
        <v>476</v>
      </c>
      <c r="F1108" t="s">
        <v>4</v>
      </c>
      <c r="G1108" t="s">
        <v>217</v>
      </c>
      <c r="H1108" t="s">
        <v>217</v>
      </c>
      <c r="I1108" t="s">
        <v>221</v>
      </c>
      <c r="J1108" s="25">
        <v>1730</v>
      </c>
      <c r="K1108" s="26">
        <v>294.8</v>
      </c>
      <c r="L1108" s="26">
        <v>6.18</v>
      </c>
    </row>
    <row r="1109" spans="1:12" ht="16" customHeight="1">
      <c r="A1109" t="s">
        <v>452</v>
      </c>
      <c r="B1109" t="s">
        <v>4</v>
      </c>
      <c r="C1109" t="s">
        <v>54</v>
      </c>
      <c r="D1109" s="24">
        <v>46174</v>
      </c>
      <c r="E1109" t="s">
        <v>269</v>
      </c>
      <c r="F1109" t="s">
        <v>4</v>
      </c>
      <c r="G1109" t="s">
        <v>217</v>
      </c>
      <c r="H1109" t="s">
        <v>217</v>
      </c>
      <c r="I1109" t="s">
        <v>223</v>
      </c>
      <c r="J1109" s="25">
        <v>2027</v>
      </c>
      <c r="K1109" s="26">
        <v>355.26</v>
      </c>
      <c r="L1109" s="26">
        <v>7.06</v>
      </c>
    </row>
    <row r="1110" spans="1:12" ht="16" customHeight="1">
      <c r="A1110" t="s">
        <v>452</v>
      </c>
      <c r="B1110" t="s">
        <v>4</v>
      </c>
      <c r="C1110" t="s">
        <v>54</v>
      </c>
      <c r="D1110" s="24">
        <v>46174</v>
      </c>
      <c r="E1110" t="s">
        <v>228</v>
      </c>
      <c r="F1110" t="s">
        <v>4</v>
      </c>
      <c r="G1110" t="s">
        <v>217</v>
      </c>
      <c r="H1110" t="s">
        <v>217</v>
      </c>
      <c r="I1110" t="s">
        <v>225</v>
      </c>
      <c r="J1110" s="25">
        <v>47</v>
      </c>
      <c r="K1110" s="26">
        <v>8.4499999999999993</v>
      </c>
      <c r="L1110" s="26">
        <v>0.19</v>
      </c>
    </row>
    <row r="1111" spans="1:12" ht="16" customHeight="1">
      <c r="A1111" t="s">
        <v>452</v>
      </c>
      <c r="B1111" t="s">
        <v>4</v>
      </c>
      <c r="C1111" t="s">
        <v>54</v>
      </c>
      <c r="D1111" s="24">
        <v>46174</v>
      </c>
      <c r="E1111" t="s">
        <v>439</v>
      </c>
      <c r="F1111" t="s">
        <v>4</v>
      </c>
      <c r="G1111" t="s">
        <v>217</v>
      </c>
      <c r="H1111" t="s">
        <v>217</v>
      </c>
      <c r="I1111" t="s">
        <v>227</v>
      </c>
      <c r="J1111" s="25">
        <v>0</v>
      </c>
      <c r="K1111" s="26">
        <v>0</v>
      </c>
      <c r="L1111" s="26">
        <v>0</v>
      </c>
    </row>
    <row r="1112" spans="1:12" ht="16" customHeight="1">
      <c r="A1112" t="s">
        <v>479</v>
      </c>
      <c r="B1112" t="s">
        <v>5</v>
      </c>
      <c r="C1112" t="s">
        <v>54</v>
      </c>
      <c r="D1112" s="24">
        <v>46174</v>
      </c>
      <c r="E1112" t="s">
        <v>226</v>
      </c>
      <c r="F1112" t="s">
        <v>4</v>
      </c>
      <c r="G1112" t="s">
        <v>217</v>
      </c>
      <c r="H1112" t="s">
        <v>217</v>
      </c>
      <c r="I1112" t="s">
        <v>212</v>
      </c>
      <c r="J1112" s="25">
        <v>2574159</v>
      </c>
      <c r="K1112" s="26">
        <v>427050.75</v>
      </c>
      <c r="L1112" s="26">
        <v>5282.91</v>
      </c>
    </row>
    <row r="1113" spans="1:12" ht="16" customHeight="1">
      <c r="A1113" t="s">
        <v>479</v>
      </c>
      <c r="B1113" t="s">
        <v>5</v>
      </c>
      <c r="C1113" t="s">
        <v>54</v>
      </c>
      <c r="D1113" s="24">
        <v>46174</v>
      </c>
      <c r="E1113" t="s">
        <v>457</v>
      </c>
      <c r="F1113" t="s">
        <v>4</v>
      </c>
      <c r="G1113" t="s">
        <v>217</v>
      </c>
      <c r="H1113" t="s">
        <v>217</v>
      </c>
      <c r="I1113" t="s">
        <v>219</v>
      </c>
      <c r="J1113" s="25">
        <v>58330</v>
      </c>
      <c r="K1113" s="26">
        <v>9879.6</v>
      </c>
      <c r="L1113" s="26">
        <v>114.6</v>
      </c>
    </row>
    <row r="1114" spans="1:12" ht="16" customHeight="1">
      <c r="A1114" t="s">
        <v>479</v>
      </c>
      <c r="B1114" t="s">
        <v>5</v>
      </c>
      <c r="C1114" t="s">
        <v>54</v>
      </c>
      <c r="D1114" s="24">
        <v>46174</v>
      </c>
      <c r="E1114" t="s">
        <v>476</v>
      </c>
      <c r="F1114" t="s">
        <v>4</v>
      </c>
      <c r="G1114" t="s">
        <v>217</v>
      </c>
      <c r="H1114" t="s">
        <v>217</v>
      </c>
      <c r="I1114" t="s">
        <v>221</v>
      </c>
      <c r="J1114" s="25">
        <v>2635</v>
      </c>
      <c r="K1114" s="26">
        <v>448.26</v>
      </c>
      <c r="L1114" s="26">
        <v>8.4499999999999993</v>
      </c>
    </row>
    <row r="1115" spans="1:12" ht="16" customHeight="1">
      <c r="A1115" t="s">
        <v>479</v>
      </c>
      <c r="B1115" t="s">
        <v>5</v>
      </c>
      <c r="C1115" t="s">
        <v>54</v>
      </c>
      <c r="D1115" s="24">
        <v>46174</v>
      </c>
      <c r="E1115" t="s">
        <v>269</v>
      </c>
      <c r="F1115" t="s">
        <v>4</v>
      </c>
      <c r="G1115" t="s">
        <v>217</v>
      </c>
      <c r="H1115" t="s">
        <v>217</v>
      </c>
      <c r="I1115" t="s">
        <v>223</v>
      </c>
      <c r="J1115" s="25">
        <v>1774</v>
      </c>
      <c r="K1115" s="26">
        <v>309.48</v>
      </c>
      <c r="L1115" s="26">
        <v>6.49</v>
      </c>
    </row>
    <row r="1116" spans="1:12" ht="16" customHeight="1">
      <c r="A1116" t="s">
        <v>479</v>
      </c>
      <c r="B1116" t="s">
        <v>5</v>
      </c>
      <c r="C1116" t="s">
        <v>54</v>
      </c>
      <c r="D1116" s="24">
        <v>46174</v>
      </c>
      <c r="E1116" t="s">
        <v>228</v>
      </c>
      <c r="F1116" t="s">
        <v>4</v>
      </c>
      <c r="G1116" t="s">
        <v>217</v>
      </c>
      <c r="H1116" t="s">
        <v>217</v>
      </c>
      <c r="I1116" t="s">
        <v>225</v>
      </c>
      <c r="J1116" s="25">
        <v>64</v>
      </c>
      <c r="K1116" s="26">
        <v>11.45</v>
      </c>
      <c r="L1116" s="26">
        <v>0.28999999999999998</v>
      </c>
    </row>
    <row r="1117" spans="1:12" ht="16" customHeight="1">
      <c r="A1117" t="s">
        <v>479</v>
      </c>
      <c r="B1117" t="s">
        <v>5</v>
      </c>
      <c r="C1117" t="s">
        <v>54</v>
      </c>
      <c r="D1117" s="24">
        <v>46174</v>
      </c>
      <c r="E1117" t="s">
        <v>439</v>
      </c>
      <c r="F1117" t="s">
        <v>4</v>
      </c>
      <c r="G1117" t="s">
        <v>217</v>
      </c>
      <c r="H1117" t="s">
        <v>217</v>
      </c>
      <c r="I1117" t="s">
        <v>227</v>
      </c>
      <c r="J1117" s="25">
        <v>0</v>
      </c>
      <c r="K1117" s="26">
        <v>0</v>
      </c>
      <c r="L1117" s="26">
        <v>0</v>
      </c>
    </row>
    <row r="1118" spans="1:12" ht="16" customHeight="1">
      <c r="A1118" t="s">
        <v>481</v>
      </c>
      <c r="B1118" t="s">
        <v>6</v>
      </c>
      <c r="C1118" t="s">
        <v>54</v>
      </c>
      <c r="D1118" s="24">
        <v>46174</v>
      </c>
      <c r="E1118" t="s">
        <v>226</v>
      </c>
      <c r="F1118" t="s">
        <v>4</v>
      </c>
      <c r="G1118" t="s">
        <v>217</v>
      </c>
      <c r="H1118" t="s">
        <v>217</v>
      </c>
      <c r="I1118" t="s">
        <v>212</v>
      </c>
      <c r="J1118" s="25">
        <v>1805357</v>
      </c>
      <c r="K1118" s="26">
        <v>301270.34999999998</v>
      </c>
      <c r="L1118" s="26">
        <v>3782.57</v>
      </c>
    </row>
    <row r="1119" spans="1:12" ht="16" customHeight="1">
      <c r="A1119" t="s">
        <v>481</v>
      </c>
      <c r="B1119" t="s">
        <v>6</v>
      </c>
      <c r="C1119" t="s">
        <v>54</v>
      </c>
      <c r="D1119" s="24">
        <v>46174</v>
      </c>
      <c r="E1119" t="s">
        <v>457</v>
      </c>
      <c r="F1119" t="s">
        <v>4</v>
      </c>
      <c r="G1119" t="s">
        <v>217</v>
      </c>
      <c r="H1119" t="s">
        <v>217</v>
      </c>
      <c r="I1119" t="s">
        <v>219</v>
      </c>
      <c r="J1119" s="25">
        <v>25161</v>
      </c>
      <c r="K1119" s="26">
        <v>4279.97</v>
      </c>
      <c r="L1119" s="26">
        <v>53.84</v>
      </c>
    </row>
    <row r="1120" spans="1:12" ht="16" customHeight="1">
      <c r="A1120" t="s">
        <v>481</v>
      </c>
      <c r="B1120" t="s">
        <v>6</v>
      </c>
      <c r="C1120" t="s">
        <v>54</v>
      </c>
      <c r="D1120" s="24">
        <v>46174</v>
      </c>
      <c r="E1120" t="s">
        <v>476</v>
      </c>
      <c r="F1120" t="s">
        <v>4</v>
      </c>
      <c r="G1120" t="s">
        <v>217</v>
      </c>
      <c r="H1120" t="s">
        <v>217</v>
      </c>
      <c r="I1120" t="s">
        <v>221</v>
      </c>
      <c r="J1120" s="25">
        <v>1206</v>
      </c>
      <c r="K1120" s="26">
        <v>203.82</v>
      </c>
      <c r="L1120" s="26">
        <v>3.7</v>
      </c>
    </row>
    <row r="1121" spans="1:12" ht="16" customHeight="1">
      <c r="A1121" t="s">
        <v>481</v>
      </c>
      <c r="B1121" t="s">
        <v>6</v>
      </c>
      <c r="C1121" t="s">
        <v>54</v>
      </c>
      <c r="D1121" s="24">
        <v>46174</v>
      </c>
      <c r="E1121" t="s">
        <v>269</v>
      </c>
      <c r="F1121" t="s">
        <v>4</v>
      </c>
      <c r="G1121" t="s">
        <v>217</v>
      </c>
      <c r="H1121" t="s">
        <v>217</v>
      </c>
      <c r="I1121" t="s">
        <v>223</v>
      </c>
      <c r="J1121" s="25">
        <v>995</v>
      </c>
      <c r="K1121" s="26">
        <v>173.44</v>
      </c>
      <c r="L1121" s="26">
        <v>4.3</v>
      </c>
    </row>
    <row r="1122" spans="1:12" ht="16" customHeight="1">
      <c r="A1122" t="s">
        <v>481</v>
      </c>
      <c r="B1122" t="s">
        <v>6</v>
      </c>
      <c r="C1122" t="s">
        <v>54</v>
      </c>
      <c r="D1122" s="24">
        <v>46174</v>
      </c>
      <c r="E1122" t="s">
        <v>228</v>
      </c>
      <c r="F1122" t="s">
        <v>4</v>
      </c>
      <c r="G1122" t="s">
        <v>217</v>
      </c>
      <c r="H1122" t="s">
        <v>217</v>
      </c>
      <c r="I1122" t="s">
        <v>225</v>
      </c>
      <c r="J1122" s="25">
        <v>92</v>
      </c>
      <c r="K1122" s="26">
        <v>16.940000000000001</v>
      </c>
      <c r="L1122" s="26">
        <v>0.43</v>
      </c>
    </row>
    <row r="1123" spans="1:12" ht="16" customHeight="1">
      <c r="A1123" t="s">
        <v>481</v>
      </c>
      <c r="B1123" t="s">
        <v>6</v>
      </c>
      <c r="C1123" t="s">
        <v>54</v>
      </c>
      <c r="D1123" s="24">
        <v>46174</v>
      </c>
      <c r="E1123" t="s">
        <v>439</v>
      </c>
      <c r="F1123" t="s">
        <v>4</v>
      </c>
      <c r="G1123" t="s">
        <v>217</v>
      </c>
      <c r="H1123" t="s">
        <v>217</v>
      </c>
      <c r="I1123" t="s">
        <v>227</v>
      </c>
      <c r="J1123" s="25">
        <v>0</v>
      </c>
      <c r="K1123" s="26">
        <v>0</v>
      </c>
      <c r="L1123" s="26">
        <v>0</v>
      </c>
    </row>
    <row r="1124" spans="1:12" ht="16" customHeight="1">
      <c r="A1124" t="s">
        <v>482</v>
      </c>
      <c r="B1124" t="s">
        <v>7</v>
      </c>
      <c r="C1124" t="s">
        <v>54</v>
      </c>
      <c r="D1124" s="24">
        <v>46174</v>
      </c>
      <c r="E1124" t="s">
        <v>226</v>
      </c>
      <c r="F1124" t="s">
        <v>4</v>
      </c>
      <c r="G1124" t="s">
        <v>217</v>
      </c>
      <c r="H1124" t="s">
        <v>217</v>
      </c>
      <c r="I1124" t="s">
        <v>212</v>
      </c>
      <c r="J1124" s="25">
        <v>2821084</v>
      </c>
      <c r="K1124" s="26">
        <v>471100.52</v>
      </c>
      <c r="L1124" s="26">
        <v>5919.51</v>
      </c>
    </row>
    <row r="1125" spans="1:12" ht="16" customHeight="1">
      <c r="A1125" t="s">
        <v>482</v>
      </c>
      <c r="B1125" t="s">
        <v>7</v>
      </c>
      <c r="C1125" t="s">
        <v>54</v>
      </c>
      <c r="D1125" s="24">
        <v>46174</v>
      </c>
      <c r="E1125" t="s">
        <v>457</v>
      </c>
      <c r="F1125" t="s">
        <v>4</v>
      </c>
      <c r="G1125" t="s">
        <v>217</v>
      </c>
      <c r="H1125" t="s">
        <v>217</v>
      </c>
      <c r="I1125" t="s">
        <v>219</v>
      </c>
      <c r="J1125" s="25">
        <v>55903</v>
      </c>
      <c r="K1125" s="26">
        <v>9508.65</v>
      </c>
      <c r="L1125" s="26">
        <v>116.84</v>
      </c>
    </row>
    <row r="1126" spans="1:12" ht="16" customHeight="1">
      <c r="A1126" t="s">
        <v>482</v>
      </c>
      <c r="B1126" t="s">
        <v>7</v>
      </c>
      <c r="C1126" t="s">
        <v>54</v>
      </c>
      <c r="D1126" s="24">
        <v>46174</v>
      </c>
      <c r="E1126" t="s">
        <v>476</v>
      </c>
      <c r="F1126" t="s">
        <v>4</v>
      </c>
      <c r="G1126" t="s">
        <v>217</v>
      </c>
      <c r="H1126" t="s">
        <v>217</v>
      </c>
      <c r="I1126" t="s">
        <v>221</v>
      </c>
      <c r="J1126" s="25">
        <v>1450</v>
      </c>
      <c r="K1126" s="26">
        <v>244.63</v>
      </c>
      <c r="L1126" s="26">
        <v>5.27</v>
      </c>
    </row>
    <row r="1127" spans="1:12" ht="16" customHeight="1">
      <c r="A1127" t="s">
        <v>482</v>
      </c>
      <c r="B1127" t="s">
        <v>7</v>
      </c>
      <c r="C1127" t="s">
        <v>54</v>
      </c>
      <c r="D1127" s="24">
        <v>46174</v>
      </c>
      <c r="E1127" t="s">
        <v>269</v>
      </c>
      <c r="F1127" t="s">
        <v>4</v>
      </c>
      <c r="G1127" t="s">
        <v>217</v>
      </c>
      <c r="H1127" t="s">
        <v>217</v>
      </c>
      <c r="I1127" t="s">
        <v>223</v>
      </c>
      <c r="J1127" s="25">
        <v>1001</v>
      </c>
      <c r="K1127" s="26">
        <v>171.52</v>
      </c>
      <c r="L1127" s="26">
        <v>3.7</v>
      </c>
    </row>
    <row r="1128" spans="1:12" ht="16" customHeight="1">
      <c r="A1128" t="s">
        <v>482</v>
      </c>
      <c r="B1128" t="s">
        <v>7</v>
      </c>
      <c r="C1128" t="s">
        <v>54</v>
      </c>
      <c r="D1128" s="24">
        <v>46174</v>
      </c>
      <c r="E1128" t="s">
        <v>228</v>
      </c>
      <c r="F1128" t="s">
        <v>4</v>
      </c>
      <c r="G1128" t="s">
        <v>217</v>
      </c>
      <c r="H1128" t="s">
        <v>217</v>
      </c>
      <c r="I1128" t="s">
        <v>225</v>
      </c>
      <c r="J1128" s="25">
        <v>113</v>
      </c>
      <c r="K1128" s="26">
        <v>20.54</v>
      </c>
      <c r="L1128" s="26">
        <v>0.51</v>
      </c>
    </row>
    <row r="1129" spans="1:12" ht="16" customHeight="1">
      <c r="A1129" t="s">
        <v>482</v>
      </c>
      <c r="B1129" t="s">
        <v>7</v>
      </c>
      <c r="C1129" t="s">
        <v>54</v>
      </c>
      <c r="D1129" s="24">
        <v>46174</v>
      </c>
      <c r="E1129" t="s">
        <v>439</v>
      </c>
      <c r="F1129" t="s">
        <v>4</v>
      </c>
      <c r="G1129" t="s">
        <v>217</v>
      </c>
      <c r="H1129" t="s">
        <v>217</v>
      </c>
      <c r="I1129" t="s">
        <v>227</v>
      </c>
      <c r="J1129" s="25">
        <v>0</v>
      </c>
      <c r="K1129" s="26">
        <v>0</v>
      </c>
      <c r="L1129" s="26">
        <v>0</v>
      </c>
    </row>
    <row r="1130" spans="1:12" ht="16" customHeight="1">
      <c r="A1130" t="s">
        <v>483</v>
      </c>
      <c r="B1130" t="s">
        <v>3</v>
      </c>
      <c r="C1130" t="s">
        <v>55</v>
      </c>
      <c r="D1130" s="24">
        <v>46174</v>
      </c>
      <c r="E1130" t="s">
        <v>226</v>
      </c>
      <c r="F1130" t="s">
        <v>4</v>
      </c>
      <c r="G1130" t="s">
        <v>217</v>
      </c>
      <c r="H1130" t="s">
        <v>217</v>
      </c>
      <c r="I1130" t="s">
        <v>212</v>
      </c>
      <c r="J1130" s="25">
        <v>2052438</v>
      </c>
      <c r="K1130" s="26">
        <v>341117.72</v>
      </c>
      <c r="L1130" s="26">
        <v>4260.87</v>
      </c>
    </row>
    <row r="1131" spans="1:12" ht="16" customHeight="1">
      <c r="A1131" t="s">
        <v>483</v>
      </c>
      <c r="B1131" t="s">
        <v>3</v>
      </c>
      <c r="C1131" t="s">
        <v>55</v>
      </c>
      <c r="D1131" s="24">
        <v>46174</v>
      </c>
      <c r="E1131" t="s">
        <v>457</v>
      </c>
      <c r="F1131" t="s">
        <v>4</v>
      </c>
      <c r="G1131" t="s">
        <v>217</v>
      </c>
      <c r="H1131" t="s">
        <v>217</v>
      </c>
      <c r="I1131" t="s">
        <v>219</v>
      </c>
      <c r="J1131" s="25">
        <v>37591</v>
      </c>
      <c r="K1131" s="26">
        <v>6427.83</v>
      </c>
      <c r="L1131" s="26">
        <v>72.58</v>
      </c>
    </row>
    <row r="1132" spans="1:12" ht="16" customHeight="1">
      <c r="A1132" t="s">
        <v>483</v>
      </c>
      <c r="B1132" t="s">
        <v>3</v>
      </c>
      <c r="C1132" t="s">
        <v>55</v>
      </c>
      <c r="D1132" s="24">
        <v>46174</v>
      </c>
      <c r="E1132" t="s">
        <v>476</v>
      </c>
      <c r="F1132" t="s">
        <v>4</v>
      </c>
      <c r="G1132" t="s">
        <v>217</v>
      </c>
      <c r="H1132" t="s">
        <v>217</v>
      </c>
      <c r="I1132" t="s">
        <v>221</v>
      </c>
      <c r="J1132" s="25">
        <v>1172</v>
      </c>
      <c r="K1132" s="26">
        <v>198.58</v>
      </c>
      <c r="L1132" s="26">
        <v>3.83</v>
      </c>
    </row>
    <row r="1133" spans="1:12" ht="16" customHeight="1">
      <c r="A1133" t="s">
        <v>483</v>
      </c>
      <c r="B1133" t="s">
        <v>3</v>
      </c>
      <c r="C1133" t="s">
        <v>55</v>
      </c>
      <c r="D1133" s="24">
        <v>46174</v>
      </c>
      <c r="E1133" t="s">
        <v>269</v>
      </c>
      <c r="F1133" t="s">
        <v>4</v>
      </c>
      <c r="G1133" t="s">
        <v>217</v>
      </c>
      <c r="H1133" t="s">
        <v>217</v>
      </c>
      <c r="I1133" t="s">
        <v>223</v>
      </c>
      <c r="J1133" s="25">
        <v>1104</v>
      </c>
      <c r="K1133" s="26">
        <v>195.02</v>
      </c>
      <c r="L1133" s="26">
        <v>3.37</v>
      </c>
    </row>
    <row r="1134" spans="1:12" ht="16" customHeight="1">
      <c r="A1134" t="s">
        <v>483</v>
      </c>
      <c r="B1134" t="s">
        <v>3</v>
      </c>
      <c r="C1134" t="s">
        <v>55</v>
      </c>
      <c r="D1134" s="24">
        <v>46174</v>
      </c>
      <c r="E1134" t="s">
        <v>228</v>
      </c>
      <c r="F1134" t="s">
        <v>4</v>
      </c>
      <c r="G1134" t="s">
        <v>217</v>
      </c>
      <c r="H1134" t="s">
        <v>217</v>
      </c>
      <c r="I1134" t="s">
        <v>225</v>
      </c>
      <c r="J1134" s="25">
        <v>37</v>
      </c>
      <c r="K1134" s="26">
        <v>6.63</v>
      </c>
      <c r="L1134" s="26">
        <v>0.15</v>
      </c>
    </row>
    <row r="1135" spans="1:12" ht="16" customHeight="1">
      <c r="A1135" t="s">
        <v>483</v>
      </c>
      <c r="B1135" t="s">
        <v>3</v>
      </c>
      <c r="C1135" t="s">
        <v>55</v>
      </c>
      <c r="D1135" s="24">
        <v>46174</v>
      </c>
      <c r="E1135" t="s">
        <v>439</v>
      </c>
      <c r="F1135" t="s">
        <v>4</v>
      </c>
      <c r="G1135" t="s">
        <v>217</v>
      </c>
      <c r="H1135" t="s">
        <v>217</v>
      </c>
      <c r="I1135" t="s">
        <v>227</v>
      </c>
      <c r="J1135" s="25">
        <v>0</v>
      </c>
      <c r="K1135" s="26">
        <v>0</v>
      </c>
      <c r="L1135" s="26">
        <v>0</v>
      </c>
    </row>
    <row r="1136" spans="1:12" ht="16" customHeight="1">
      <c r="A1136" t="s">
        <v>461</v>
      </c>
      <c r="B1136" t="s">
        <v>4</v>
      </c>
      <c r="C1136" t="s">
        <v>55</v>
      </c>
      <c r="D1136" s="24">
        <v>46174</v>
      </c>
      <c r="E1136" t="s">
        <v>226</v>
      </c>
      <c r="F1136" t="s">
        <v>4</v>
      </c>
      <c r="G1136" t="s">
        <v>217</v>
      </c>
      <c r="H1136" t="s">
        <v>217</v>
      </c>
      <c r="I1136" t="s">
        <v>212</v>
      </c>
      <c r="J1136" s="25">
        <v>2449924</v>
      </c>
      <c r="K1136" s="26">
        <v>409474.7</v>
      </c>
      <c r="L1136" s="26">
        <v>4609.96</v>
      </c>
    </row>
    <row r="1137" spans="1:12" ht="16" customHeight="1">
      <c r="A1137" t="s">
        <v>461</v>
      </c>
      <c r="B1137" t="s">
        <v>4</v>
      </c>
      <c r="C1137" t="s">
        <v>55</v>
      </c>
      <c r="D1137" s="24">
        <v>46174</v>
      </c>
      <c r="E1137" t="s">
        <v>457</v>
      </c>
      <c r="F1137" t="s">
        <v>4</v>
      </c>
      <c r="G1137" t="s">
        <v>217</v>
      </c>
      <c r="H1137" t="s">
        <v>217</v>
      </c>
      <c r="I1137" t="s">
        <v>219</v>
      </c>
      <c r="J1137" s="25">
        <v>65975</v>
      </c>
      <c r="K1137" s="26">
        <v>11405.21</v>
      </c>
      <c r="L1137" s="26">
        <v>205.52</v>
      </c>
    </row>
    <row r="1138" spans="1:12" ht="16" customHeight="1">
      <c r="A1138" t="s">
        <v>461</v>
      </c>
      <c r="B1138" t="s">
        <v>4</v>
      </c>
      <c r="C1138" t="s">
        <v>55</v>
      </c>
      <c r="D1138" s="24">
        <v>46174</v>
      </c>
      <c r="E1138" t="s">
        <v>476</v>
      </c>
      <c r="F1138" t="s">
        <v>4</v>
      </c>
      <c r="G1138" t="s">
        <v>217</v>
      </c>
      <c r="H1138" t="s">
        <v>217</v>
      </c>
      <c r="I1138" t="s">
        <v>221</v>
      </c>
      <c r="J1138" s="25">
        <v>2406</v>
      </c>
      <c r="K1138" s="26">
        <v>412.09</v>
      </c>
      <c r="L1138" s="26">
        <v>6.36</v>
      </c>
    </row>
    <row r="1139" spans="1:12" ht="16" customHeight="1">
      <c r="A1139" t="s">
        <v>461</v>
      </c>
      <c r="B1139" t="s">
        <v>4</v>
      </c>
      <c r="C1139" t="s">
        <v>55</v>
      </c>
      <c r="D1139" s="24">
        <v>46174</v>
      </c>
      <c r="E1139" t="s">
        <v>269</v>
      </c>
      <c r="F1139" t="s">
        <v>4</v>
      </c>
      <c r="G1139" t="s">
        <v>217</v>
      </c>
      <c r="H1139" t="s">
        <v>217</v>
      </c>
      <c r="I1139" t="s">
        <v>223</v>
      </c>
      <c r="J1139" s="25">
        <v>1189</v>
      </c>
      <c r="K1139" s="26">
        <v>206.23</v>
      </c>
      <c r="L1139" s="26">
        <v>4.0599999999999996</v>
      </c>
    </row>
    <row r="1140" spans="1:12" ht="16" customHeight="1">
      <c r="A1140" t="s">
        <v>461</v>
      </c>
      <c r="B1140" t="s">
        <v>4</v>
      </c>
      <c r="C1140" t="s">
        <v>55</v>
      </c>
      <c r="D1140" s="24">
        <v>46174</v>
      </c>
      <c r="E1140" t="s">
        <v>228</v>
      </c>
      <c r="F1140" t="s">
        <v>4</v>
      </c>
      <c r="G1140" t="s">
        <v>217</v>
      </c>
      <c r="H1140" t="s">
        <v>217</v>
      </c>
      <c r="I1140" t="s">
        <v>225</v>
      </c>
      <c r="J1140" s="25">
        <v>54</v>
      </c>
      <c r="K1140" s="26">
        <v>9.3800000000000008</v>
      </c>
      <c r="L1140" s="26">
        <v>0.23</v>
      </c>
    </row>
    <row r="1141" spans="1:12" ht="16" customHeight="1">
      <c r="A1141" t="s">
        <v>461</v>
      </c>
      <c r="B1141" t="s">
        <v>4</v>
      </c>
      <c r="C1141" t="s">
        <v>55</v>
      </c>
      <c r="D1141" s="24">
        <v>46174</v>
      </c>
      <c r="E1141" t="s">
        <v>439</v>
      </c>
      <c r="F1141" t="s">
        <v>4</v>
      </c>
      <c r="G1141" t="s">
        <v>217</v>
      </c>
      <c r="H1141" t="s">
        <v>217</v>
      </c>
      <c r="I1141" t="s">
        <v>227</v>
      </c>
      <c r="J1141" s="25">
        <v>0</v>
      </c>
      <c r="K1141" s="26">
        <v>0</v>
      </c>
      <c r="L1141" s="26">
        <v>0</v>
      </c>
    </row>
    <row r="1142" spans="1:12" ht="16" customHeight="1">
      <c r="A1142" t="s">
        <v>484</v>
      </c>
      <c r="B1142" t="s">
        <v>5</v>
      </c>
      <c r="C1142" t="s">
        <v>55</v>
      </c>
      <c r="D1142" s="24">
        <v>46174</v>
      </c>
      <c r="E1142" t="s">
        <v>226</v>
      </c>
      <c r="F1142" t="s">
        <v>4</v>
      </c>
      <c r="G1142" t="s">
        <v>217</v>
      </c>
      <c r="H1142" t="s">
        <v>217</v>
      </c>
      <c r="I1142" t="s">
        <v>212</v>
      </c>
      <c r="J1142" s="25">
        <v>2183426</v>
      </c>
      <c r="K1142" s="26">
        <v>367087.68</v>
      </c>
      <c r="L1142" s="26">
        <v>4108.08</v>
      </c>
    </row>
    <row r="1143" spans="1:12" ht="16" customHeight="1">
      <c r="A1143" t="s">
        <v>484</v>
      </c>
      <c r="B1143" t="s">
        <v>5</v>
      </c>
      <c r="C1143" t="s">
        <v>55</v>
      </c>
      <c r="D1143" s="24">
        <v>46174</v>
      </c>
      <c r="E1143" t="s">
        <v>457</v>
      </c>
      <c r="F1143" t="s">
        <v>4</v>
      </c>
      <c r="G1143" t="s">
        <v>217</v>
      </c>
      <c r="H1143" t="s">
        <v>217</v>
      </c>
      <c r="I1143" t="s">
        <v>219</v>
      </c>
      <c r="J1143" s="25">
        <v>79845</v>
      </c>
      <c r="K1143" s="26">
        <v>13872.55</v>
      </c>
      <c r="L1143" s="26">
        <v>223.07</v>
      </c>
    </row>
    <row r="1144" spans="1:12" ht="16" customHeight="1">
      <c r="A1144" t="s">
        <v>484</v>
      </c>
      <c r="B1144" t="s">
        <v>5</v>
      </c>
      <c r="C1144" t="s">
        <v>55</v>
      </c>
      <c r="D1144" s="24">
        <v>46174</v>
      </c>
      <c r="E1144" t="s">
        <v>476</v>
      </c>
      <c r="F1144" t="s">
        <v>4</v>
      </c>
      <c r="G1144" t="s">
        <v>217</v>
      </c>
      <c r="H1144" t="s">
        <v>217</v>
      </c>
      <c r="I1144" t="s">
        <v>221</v>
      </c>
      <c r="J1144" s="25">
        <v>3055</v>
      </c>
      <c r="K1144" s="26">
        <v>521.26</v>
      </c>
      <c r="L1144" s="26">
        <v>9.7899999999999991</v>
      </c>
    </row>
    <row r="1145" spans="1:12" ht="16" customHeight="1">
      <c r="A1145" t="s">
        <v>484</v>
      </c>
      <c r="B1145" t="s">
        <v>5</v>
      </c>
      <c r="C1145" t="s">
        <v>55</v>
      </c>
      <c r="D1145" s="24">
        <v>46174</v>
      </c>
      <c r="E1145" t="s">
        <v>269</v>
      </c>
      <c r="F1145" t="s">
        <v>4</v>
      </c>
      <c r="G1145" t="s">
        <v>217</v>
      </c>
      <c r="H1145" t="s">
        <v>217</v>
      </c>
      <c r="I1145" t="s">
        <v>223</v>
      </c>
      <c r="J1145" s="25">
        <v>1691</v>
      </c>
      <c r="K1145" s="26">
        <v>294.42</v>
      </c>
      <c r="L1145" s="26">
        <v>7.19</v>
      </c>
    </row>
    <row r="1146" spans="1:12" ht="16" customHeight="1">
      <c r="A1146" t="s">
        <v>484</v>
      </c>
      <c r="B1146" t="s">
        <v>5</v>
      </c>
      <c r="C1146" t="s">
        <v>55</v>
      </c>
      <c r="D1146" s="24">
        <v>46174</v>
      </c>
      <c r="E1146" t="s">
        <v>228</v>
      </c>
      <c r="F1146" t="s">
        <v>4</v>
      </c>
      <c r="G1146" t="s">
        <v>217</v>
      </c>
      <c r="H1146" t="s">
        <v>217</v>
      </c>
      <c r="I1146" t="s">
        <v>225</v>
      </c>
      <c r="J1146" s="25">
        <v>46</v>
      </c>
      <c r="K1146" s="26">
        <v>8.07</v>
      </c>
      <c r="L1146" s="26">
        <v>0.28000000000000003</v>
      </c>
    </row>
    <row r="1147" spans="1:12" ht="16" customHeight="1">
      <c r="A1147" t="s">
        <v>484</v>
      </c>
      <c r="B1147" t="s">
        <v>5</v>
      </c>
      <c r="C1147" t="s">
        <v>55</v>
      </c>
      <c r="D1147" s="24">
        <v>46174</v>
      </c>
      <c r="E1147" t="s">
        <v>439</v>
      </c>
      <c r="F1147" t="s">
        <v>4</v>
      </c>
      <c r="G1147" t="s">
        <v>217</v>
      </c>
      <c r="H1147" t="s">
        <v>217</v>
      </c>
      <c r="I1147" t="s">
        <v>227</v>
      </c>
      <c r="J1147" s="25">
        <v>0</v>
      </c>
      <c r="K1147" s="26">
        <v>0</v>
      </c>
      <c r="L1147" s="26">
        <v>0</v>
      </c>
    </row>
    <row r="1148" spans="1:12" ht="16" customHeight="1">
      <c r="A1148" t="s">
        <v>486</v>
      </c>
      <c r="B1148" t="s">
        <v>6</v>
      </c>
      <c r="C1148" t="s">
        <v>55</v>
      </c>
      <c r="D1148" s="24">
        <v>46174</v>
      </c>
      <c r="E1148" t="s">
        <v>226</v>
      </c>
      <c r="F1148" t="s">
        <v>4</v>
      </c>
      <c r="G1148" t="s">
        <v>217</v>
      </c>
      <c r="H1148" t="s">
        <v>217</v>
      </c>
      <c r="I1148" t="s">
        <v>212</v>
      </c>
      <c r="J1148" s="25">
        <v>2259732</v>
      </c>
      <c r="K1148" s="26">
        <v>380948.95</v>
      </c>
      <c r="L1148" s="26">
        <v>4008.56</v>
      </c>
    </row>
    <row r="1149" spans="1:12" ht="16" customHeight="1">
      <c r="A1149" t="s">
        <v>486</v>
      </c>
      <c r="B1149" t="s">
        <v>6</v>
      </c>
      <c r="C1149" t="s">
        <v>55</v>
      </c>
      <c r="D1149" s="24">
        <v>46174</v>
      </c>
      <c r="E1149" t="s">
        <v>457</v>
      </c>
      <c r="F1149" t="s">
        <v>4</v>
      </c>
      <c r="G1149" t="s">
        <v>217</v>
      </c>
      <c r="H1149" t="s">
        <v>217</v>
      </c>
      <c r="I1149" t="s">
        <v>219</v>
      </c>
      <c r="J1149" s="25">
        <v>65775</v>
      </c>
      <c r="K1149" s="26">
        <v>11470.93</v>
      </c>
      <c r="L1149" s="26">
        <v>217.94</v>
      </c>
    </row>
    <row r="1150" spans="1:12" ht="16" customHeight="1">
      <c r="A1150" t="s">
        <v>486</v>
      </c>
      <c r="B1150" t="s">
        <v>6</v>
      </c>
      <c r="C1150" t="s">
        <v>55</v>
      </c>
      <c r="D1150" s="24">
        <v>46174</v>
      </c>
      <c r="E1150" t="s">
        <v>476</v>
      </c>
      <c r="F1150" t="s">
        <v>4</v>
      </c>
      <c r="G1150" t="s">
        <v>217</v>
      </c>
      <c r="H1150" t="s">
        <v>217</v>
      </c>
      <c r="I1150" t="s">
        <v>221</v>
      </c>
      <c r="J1150" s="25">
        <v>3126</v>
      </c>
      <c r="K1150" s="26">
        <v>529.55999999999995</v>
      </c>
      <c r="L1150" s="26">
        <v>8.64</v>
      </c>
    </row>
    <row r="1151" spans="1:12" ht="16" customHeight="1">
      <c r="A1151" t="s">
        <v>486</v>
      </c>
      <c r="B1151" t="s">
        <v>6</v>
      </c>
      <c r="C1151" t="s">
        <v>55</v>
      </c>
      <c r="D1151" s="24">
        <v>46174</v>
      </c>
      <c r="E1151" t="s">
        <v>269</v>
      </c>
      <c r="F1151" t="s">
        <v>4</v>
      </c>
      <c r="G1151" t="s">
        <v>217</v>
      </c>
      <c r="H1151" t="s">
        <v>217</v>
      </c>
      <c r="I1151" t="s">
        <v>223</v>
      </c>
      <c r="J1151" s="25">
        <v>1332</v>
      </c>
      <c r="K1151" s="26">
        <v>232.97</v>
      </c>
      <c r="L1151" s="26">
        <v>5.2</v>
      </c>
    </row>
    <row r="1152" spans="1:12" ht="16" customHeight="1">
      <c r="A1152" t="s">
        <v>486</v>
      </c>
      <c r="B1152" t="s">
        <v>6</v>
      </c>
      <c r="C1152" t="s">
        <v>55</v>
      </c>
      <c r="D1152" s="24">
        <v>46174</v>
      </c>
      <c r="E1152" t="s">
        <v>228</v>
      </c>
      <c r="F1152" t="s">
        <v>4</v>
      </c>
      <c r="G1152" t="s">
        <v>217</v>
      </c>
      <c r="H1152" t="s">
        <v>217</v>
      </c>
      <c r="I1152" t="s">
        <v>225</v>
      </c>
      <c r="J1152" s="25">
        <v>43</v>
      </c>
      <c r="K1152" s="26">
        <v>7.41</v>
      </c>
      <c r="L1152" s="26">
        <v>0.17</v>
      </c>
    </row>
    <row r="1153" spans="1:12" ht="16" customHeight="1">
      <c r="A1153" t="s">
        <v>486</v>
      </c>
      <c r="B1153" t="s">
        <v>6</v>
      </c>
      <c r="C1153" t="s">
        <v>55</v>
      </c>
      <c r="D1153" s="24">
        <v>46174</v>
      </c>
      <c r="E1153" t="s">
        <v>439</v>
      </c>
      <c r="F1153" t="s">
        <v>4</v>
      </c>
      <c r="G1153" t="s">
        <v>217</v>
      </c>
      <c r="H1153" t="s">
        <v>217</v>
      </c>
      <c r="I1153" t="s">
        <v>227</v>
      </c>
      <c r="J1153" s="25">
        <v>0</v>
      </c>
      <c r="K1153" s="26">
        <v>0</v>
      </c>
      <c r="L1153" s="26">
        <v>0</v>
      </c>
    </row>
    <row r="1154" spans="1:12" ht="16" customHeight="1">
      <c r="A1154" t="s">
        <v>487</v>
      </c>
      <c r="B1154" t="s">
        <v>7</v>
      </c>
      <c r="C1154" t="s">
        <v>55</v>
      </c>
      <c r="D1154" s="24">
        <v>46174</v>
      </c>
      <c r="E1154" t="s">
        <v>226</v>
      </c>
      <c r="F1154" t="s">
        <v>4</v>
      </c>
      <c r="G1154" t="s">
        <v>217</v>
      </c>
      <c r="H1154" t="s">
        <v>217</v>
      </c>
      <c r="I1154" t="s">
        <v>212</v>
      </c>
      <c r="J1154" s="25">
        <v>3673301</v>
      </c>
      <c r="K1154" s="26">
        <v>624191.12</v>
      </c>
      <c r="L1154" s="26">
        <v>5451.99</v>
      </c>
    </row>
    <row r="1155" spans="1:12" ht="16" customHeight="1">
      <c r="A1155" t="s">
        <v>487</v>
      </c>
      <c r="B1155" t="s">
        <v>7</v>
      </c>
      <c r="C1155" t="s">
        <v>55</v>
      </c>
      <c r="D1155" s="24">
        <v>46174</v>
      </c>
      <c r="E1155" t="s">
        <v>457</v>
      </c>
      <c r="F1155" t="s">
        <v>4</v>
      </c>
      <c r="G1155" t="s">
        <v>217</v>
      </c>
      <c r="H1155" t="s">
        <v>217</v>
      </c>
      <c r="I1155" t="s">
        <v>219</v>
      </c>
      <c r="J1155" s="25">
        <v>154892</v>
      </c>
      <c r="K1155" s="26">
        <v>26797.14</v>
      </c>
      <c r="L1155" s="26">
        <v>411.15</v>
      </c>
    </row>
    <row r="1156" spans="1:12" ht="16" customHeight="1">
      <c r="A1156" t="s">
        <v>487</v>
      </c>
      <c r="B1156" t="s">
        <v>7</v>
      </c>
      <c r="C1156" t="s">
        <v>55</v>
      </c>
      <c r="D1156" s="24">
        <v>46174</v>
      </c>
      <c r="E1156" t="s">
        <v>476</v>
      </c>
      <c r="F1156" t="s">
        <v>4</v>
      </c>
      <c r="G1156" t="s">
        <v>217</v>
      </c>
      <c r="H1156" t="s">
        <v>217</v>
      </c>
      <c r="I1156" t="s">
        <v>221</v>
      </c>
      <c r="J1156" s="25">
        <v>6353</v>
      </c>
      <c r="K1156" s="26">
        <v>1073.68</v>
      </c>
      <c r="L1156" s="26">
        <v>18.47</v>
      </c>
    </row>
    <row r="1157" spans="1:12" ht="16" customHeight="1">
      <c r="A1157" t="s">
        <v>487</v>
      </c>
      <c r="B1157" t="s">
        <v>7</v>
      </c>
      <c r="C1157" t="s">
        <v>55</v>
      </c>
      <c r="D1157" s="24">
        <v>46174</v>
      </c>
      <c r="E1157" t="s">
        <v>269</v>
      </c>
      <c r="F1157" t="s">
        <v>4</v>
      </c>
      <c r="G1157" t="s">
        <v>217</v>
      </c>
      <c r="H1157" t="s">
        <v>217</v>
      </c>
      <c r="I1157" t="s">
        <v>223</v>
      </c>
      <c r="J1157" s="25">
        <v>3419</v>
      </c>
      <c r="K1157" s="26">
        <v>591.25</v>
      </c>
      <c r="L1157" s="26">
        <v>10.85</v>
      </c>
    </row>
    <row r="1158" spans="1:12" ht="16" customHeight="1">
      <c r="A1158" t="s">
        <v>487</v>
      </c>
      <c r="B1158" t="s">
        <v>7</v>
      </c>
      <c r="C1158" t="s">
        <v>55</v>
      </c>
      <c r="D1158" s="24">
        <v>46174</v>
      </c>
      <c r="E1158" t="s">
        <v>228</v>
      </c>
      <c r="F1158" t="s">
        <v>4</v>
      </c>
      <c r="G1158" t="s">
        <v>217</v>
      </c>
      <c r="H1158" t="s">
        <v>217</v>
      </c>
      <c r="I1158" t="s">
        <v>225</v>
      </c>
      <c r="J1158" s="25">
        <v>175</v>
      </c>
      <c r="K1158" s="26">
        <v>28.82</v>
      </c>
      <c r="L1158" s="26">
        <v>0.62</v>
      </c>
    </row>
    <row r="1159" spans="1:12" ht="16" customHeight="1">
      <c r="A1159" t="s">
        <v>487</v>
      </c>
      <c r="B1159" t="s">
        <v>7</v>
      </c>
      <c r="C1159" t="s">
        <v>55</v>
      </c>
      <c r="D1159" s="24">
        <v>46174</v>
      </c>
      <c r="E1159" t="s">
        <v>439</v>
      </c>
      <c r="F1159" t="s">
        <v>4</v>
      </c>
      <c r="G1159" t="s">
        <v>217</v>
      </c>
      <c r="H1159" t="s">
        <v>217</v>
      </c>
      <c r="I1159" t="s">
        <v>227</v>
      </c>
      <c r="J1159" s="25">
        <v>0</v>
      </c>
      <c r="K1159" s="26">
        <v>0</v>
      </c>
      <c r="L1159" s="26">
        <v>0</v>
      </c>
    </row>
    <row r="1160" spans="1:12" ht="16" customHeight="1">
      <c r="A1160" t="s">
        <v>488</v>
      </c>
      <c r="B1160" t="s">
        <v>3</v>
      </c>
      <c r="C1160" t="s">
        <v>56</v>
      </c>
      <c r="D1160" s="24">
        <v>46174</v>
      </c>
      <c r="E1160" t="s">
        <v>226</v>
      </c>
      <c r="F1160" t="s">
        <v>4</v>
      </c>
      <c r="G1160" t="s">
        <v>217</v>
      </c>
      <c r="H1160" t="s">
        <v>217</v>
      </c>
      <c r="I1160" t="s">
        <v>212</v>
      </c>
      <c r="J1160" s="25">
        <v>2832594</v>
      </c>
      <c r="K1160" s="26">
        <v>487363.36</v>
      </c>
      <c r="L1160" s="26">
        <v>3867.03</v>
      </c>
    </row>
    <row r="1161" spans="1:12" ht="16" customHeight="1">
      <c r="A1161" t="s">
        <v>488</v>
      </c>
      <c r="B1161" t="s">
        <v>3</v>
      </c>
      <c r="C1161" t="s">
        <v>56</v>
      </c>
      <c r="D1161" s="24">
        <v>46174</v>
      </c>
      <c r="E1161" t="s">
        <v>457</v>
      </c>
      <c r="F1161" t="s">
        <v>4</v>
      </c>
      <c r="G1161" t="s">
        <v>217</v>
      </c>
      <c r="H1161" t="s">
        <v>217</v>
      </c>
      <c r="I1161" t="s">
        <v>219</v>
      </c>
      <c r="J1161" s="25">
        <v>146089</v>
      </c>
      <c r="K1161" s="26">
        <v>25322.81</v>
      </c>
      <c r="L1161" s="26">
        <v>316.23</v>
      </c>
    </row>
    <row r="1162" spans="1:12" ht="16" customHeight="1">
      <c r="A1162" t="s">
        <v>488</v>
      </c>
      <c r="B1162" t="s">
        <v>3</v>
      </c>
      <c r="C1162" t="s">
        <v>56</v>
      </c>
      <c r="D1162" s="24">
        <v>46174</v>
      </c>
      <c r="E1162" t="s">
        <v>476</v>
      </c>
      <c r="F1162" t="s">
        <v>4</v>
      </c>
      <c r="G1162" t="s">
        <v>217</v>
      </c>
      <c r="H1162" t="s">
        <v>217</v>
      </c>
      <c r="I1162" t="s">
        <v>221</v>
      </c>
      <c r="J1162" s="25">
        <v>6355</v>
      </c>
      <c r="K1162" s="26">
        <v>1085.1300000000001</v>
      </c>
      <c r="L1162" s="26">
        <v>17.670000000000002</v>
      </c>
    </row>
    <row r="1163" spans="1:12" ht="16" customHeight="1">
      <c r="A1163" t="s">
        <v>488</v>
      </c>
      <c r="B1163" t="s">
        <v>3</v>
      </c>
      <c r="C1163" t="s">
        <v>56</v>
      </c>
      <c r="D1163" s="24">
        <v>46174</v>
      </c>
      <c r="E1163" t="s">
        <v>269</v>
      </c>
      <c r="F1163" t="s">
        <v>4</v>
      </c>
      <c r="G1163" t="s">
        <v>217</v>
      </c>
      <c r="H1163" t="s">
        <v>217</v>
      </c>
      <c r="I1163" t="s">
        <v>223</v>
      </c>
      <c r="J1163" s="25">
        <v>2628</v>
      </c>
      <c r="K1163" s="26">
        <v>457.74</v>
      </c>
      <c r="L1163" s="26">
        <v>8.84</v>
      </c>
    </row>
    <row r="1164" spans="1:12" ht="16" customHeight="1">
      <c r="A1164" t="s">
        <v>488</v>
      </c>
      <c r="B1164" t="s">
        <v>3</v>
      </c>
      <c r="C1164" t="s">
        <v>56</v>
      </c>
      <c r="D1164" s="24">
        <v>46174</v>
      </c>
      <c r="E1164" t="s">
        <v>228</v>
      </c>
      <c r="F1164" t="s">
        <v>4</v>
      </c>
      <c r="G1164" t="s">
        <v>217</v>
      </c>
      <c r="H1164" t="s">
        <v>217</v>
      </c>
      <c r="I1164" t="s">
        <v>225</v>
      </c>
      <c r="J1164" s="25">
        <v>204</v>
      </c>
      <c r="K1164" s="26">
        <v>36.130000000000003</v>
      </c>
      <c r="L1164" s="26">
        <v>0.96</v>
      </c>
    </row>
    <row r="1165" spans="1:12" ht="16" customHeight="1">
      <c r="A1165" t="s">
        <v>488</v>
      </c>
      <c r="B1165" t="s">
        <v>3</v>
      </c>
      <c r="C1165" t="s">
        <v>56</v>
      </c>
      <c r="D1165" s="24">
        <v>46174</v>
      </c>
      <c r="E1165" t="s">
        <v>439</v>
      </c>
      <c r="F1165" t="s">
        <v>4</v>
      </c>
      <c r="G1165" t="s">
        <v>217</v>
      </c>
      <c r="H1165" t="s">
        <v>217</v>
      </c>
      <c r="I1165" t="s">
        <v>227</v>
      </c>
      <c r="J1165" s="25">
        <v>0</v>
      </c>
      <c r="K1165" s="26">
        <v>0</v>
      </c>
      <c r="L1165" s="26">
        <v>0</v>
      </c>
    </row>
    <row r="1166" spans="1:12" ht="16" customHeight="1">
      <c r="A1166" t="s">
        <v>466</v>
      </c>
      <c r="B1166" t="s">
        <v>4</v>
      </c>
      <c r="C1166" t="s">
        <v>56</v>
      </c>
      <c r="D1166" s="24">
        <v>46174</v>
      </c>
      <c r="E1166" t="s">
        <v>226</v>
      </c>
      <c r="F1166" t="s">
        <v>4</v>
      </c>
      <c r="G1166" t="s">
        <v>217</v>
      </c>
      <c r="H1166" t="s">
        <v>217</v>
      </c>
      <c r="I1166" t="s">
        <v>212</v>
      </c>
      <c r="J1166" s="25">
        <v>2103004</v>
      </c>
      <c r="K1166" s="26">
        <v>361532.12</v>
      </c>
      <c r="L1166" s="26">
        <v>2747.9</v>
      </c>
    </row>
    <row r="1167" spans="1:12" ht="16" customHeight="1">
      <c r="A1167" t="s">
        <v>466</v>
      </c>
      <c r="B1167" t="s">
        <v>4</v>
      </c>
      <c r="C1167" t="s">
        <v>56</v>
      </c>
      <c r="D1167" s="24">
        <v>46174</v>
      </c>
      <c r="E1167" t="s">
        <v>457</v>
      </c>
      <c r="F1167" t="s">
        <v>4</v>
      </c>
      <c r="G1167" t="s">
        <v>217</v>
      </c>
      <c r="H1167" t="s">
        <v>217</v>
      </c>
      <c r="I1167" t="s">
        <v>219</v>
      </c>
      <c r="J1167" s="25">
        <v>83078</v>
      </c>
      <c r="K1167" s="26">
        <v>14278.05</v>
      </c>
      <c r="L1167" s="26">
        <v>153.75</v>
      </c>
    </row>
    <row r="1168" spans="1:12" ht="16" customHeight="1">
      <c r="A1168" t="s">
        <v>466</v>
      </c>
      <c r="B1168" t="s">
        <v>4</v>
      </c>
      <c r="C1168" t="s">
        <v>56</v>
      </c>
      <c r="D1168" s="24">
        <v>46174</v>
      </c>
      <c r="E1168" t="s">
        <v>476</v>
      </c>
      <c r="F1168" t="s">
        <v>4</v>
      </c>
      <c r="G1168" t="s">
        <v>217</v>
      </c>
      <c r="H1168" t="s">
        <v>217</v>
      </c>
      <c r="I1168" t="s">
        <v>221</v>
      </c>
      <c r="J1168" s="25">
        <v>3424</v>
      </c>
      <c r="K1168" s="26">
        <v>584.05999999999995</v>
      </c>
      <c r="L1168" s="26">
        <v>8.9600000000000009</v>
      </c>
    </row>
    <row r="1169" spans="1:12" ht="16" customHeight="1">
      <c r="A1169" t="s">
        <v>466</v>
      </c>
      <c r="B1169" t="s">
        <v>4</v>
      </c>
      <c r="C1169" t="s">
        <v>56</v>
      </c>
      <c r="D1169" s="24">
        <v>46174</v>
      </c>
      <c r="E1169" t="s">
        <v>269</v>
      </c>
      <c r="F1169" t="s">
        <v>4</v>
      </c>
      <c r="G1169" t="s">
        <v>217</v>
      </c>
      <c r="H1169" t="s">
        <v>217</v>
      </c>
      <c r="I1169" t="s">
        <v>223</v>
      </c>
      <c r="J1169" s="25">
        <v>1724</v>
      </c>
      <c r="K1169" s="26">
        <v>307.95999999999998</v>
      </c>
      <c r="L1169" s="26">
        <v>6.13</v>
      </c>
    </row>
    <row r="1170" spans="1:12" ht="16" customHeight="1">
      <c r="A1170" t="s">
        <v>466</v>
      </c>
      <c r="B1170" t="s">
        <v>4</v>
      </c>
      <c r="C1170" t="s">
        <v>56</v>
      </c>
      <c r="D1170" s="24">
        <v>46174</v>
      </c>
      <c r="E1170" t="s">
        <v>228</v>
      </c>
      <c r="F1170" t="s">
        <v>4</v>
      </c>
      <c r="G1170" t="s">
        <v>217</v>
      </c>
      <c r="H1170" t="s">
        <v>217</v>
      </c>
      <c r="I1170" t="s">
        <v>225</v>
      </c>
      <c r="J1170" s="25">
        <v>135</v>
      </c>
      <c r="K1170" s="26">
        <v>23.97</v>
      </c>
      <c r="L1170" s="26">
        <v>0.57999999999999996</v>
      </c>
    </row>
    <row r="1171" spans="1:12" ht="16" customHeight="1">
      <c r="A1171" t="s">
        <v>466</v>
      </c>
      <c r="B1171" t="s">
        <v>4</v>
      </c>
      <c r="C1171" t="s">
        <v>56</v>
      </c>
      <c r="D1171" s="24">
        <v>46174</v>
      </c>
      <c r="E1171" t="s">
        <v>439</v>
      </c>
      <c r="F1171" t="s">
        <v>4</v>
      </c>
      <c r="G1171" t="s">
        <v>217</v>
      </c>
      <c r="H1171" t="s">
        <v>217</v>
      </c>
      <c r="I1171" t="s">
        <v>227</v>
      </c>
      <c r="J1171" s="25">
        <v>1</v>
      </c>
      <c r="K1171" s="26">
        <v>0.19</v>
      </c>
      <c r="L1171" s="26">
        <v>0.01</v>
      </c>
    </row>
    <row r="1172" spans="1:12" ht="16" customHeight="1">
      <c r="A1172" t="s">
        <v>489</v>
      </c>
      <c r="B1172" t="s">
        <v>5</v>
      </c>
      <c r="C1172" t="s">
        <v>56</v>
      </c>
      <c r="D1172" s="24">
        <v>46174</v>
      </c>
      <c r="E1172" t="s">
        <v>226</v>
      </c>
      <c r="F1172" t="s">
        <v>4</v>
      </c>
      <c r="G1172" t="s">
        <v>217</v>
      </c>
      <c r="H1172" t="s">
        <v>217</v>
      </c>
      <c r="I1172" t="s">
        <v>212</v>
      </c>
      <c r="J1172" s="25">
        <v>2389751</v>
      </c>
      <c r="K1172" s="26">
        <v>411567.35</v>
      </c>
      <c r="L1172" s="26">
        <v>2980.25</v>
      </c>
    </row>
    <row r="1173" spans="1:12" ht="16" customHeight="1">
      <c r="A1173" t="s">
        <v>489</v>
      </c>
      <c r="B1173" t="s">
        <v>5</v>
      </c>
      <c r="C1173" t="s">
        <v>56</v>
      </c>
      <c r="D1173" s="24">
        <v>46174</v>
      </c>
      <c r="E1173" t="s">
        <v>457</v>
      </c>
      <c r="F1173" t="s">
        <v>4</v>
      </c>
      <c r="G1173" t="s">
        <v>217</v>
      </c>
      <c r="H1173" t="s">
        <v>217</v>
      </c>
      <c r="I1173" t="s">
        <v>219</v>
      </c>
      <c r="J1173" s="25">
        <v>84520</v>
      </c>
      <c r="K1173" s="26">
        <v>14562.96</v>
      </c>
      <c r="L1173" s="26">
        <v>149.96</v>
      </c>
    </row>
    <row r="1174" spans="1:12" ht="16" customHeight="1">
      <c r="A1174" t="s">
        <v>489</v>
      </c>
      <c r="B1174" t="s">
        <v>5</v>
      </c>
      <c r="C1174" t="s">
        <v>56</v>
      </c>
      <c r="D1174" s="24">
        <v>46174</v>
      </c>
      <c r="E1174" t="s">
        <v>476</v>
      </c>
      <c r="F1174" t="s">
        <v>4</v>
      </c>
      <c r="G1174" t="s">
        <v>217</v>
      </c>
      <c r="H1174" t="s">
        <v>217</v>
      </c>
      <c r="I1174" t="s">
        <v>221</v>
      </c>
      <c r="J1174" s="25">
        <v>5306</v>
      </c>
      <c r="K1174" s="26">
        <v>923.2</v>
      </c>
      <c r="L1174" s="26">
        <v>16.03</v>
      </c>
    </row>
    <row r="1175" spans="1:12" ht="16" customHeight="1">
      <c r="A1175" t="s">
        <v>489</v>
      </c>
      <c r="B1175" t="s">
        <v>5</v>
      </c>
      <c r="C1175" t="s">
        <v>56</v>
      </c>
      <c r="D1175" s="24">
        <v>46174</v>
      </c>
      <c r="E1175" t="s">
        <v>269</v>
      </c>
      <c r="F1175" t="s">
        <v>4</v>
      </c>
      <c r="G1175" t="s">
        <v>217</v>
      </c>
      <c r="H1175" t="s">
        <v>217</v>
      </c>
      <c r="I1175" t="s">
        <v>223</v>
      </c>
      <c r="J1175" s="25">
        <v>1376</v>
      </c>
      <c r="K1175" s="26">
        <v>243.94</v>
      </c>
      <c r="L1175" s="26">
        <v>4.4000000000000004</v>
      </c>
    </row>
    <row r="1176" spans="1:12" ht="16" customHeight="1">
      <c r="A1176" t="s">
        <v>489</v>
      </c>
      <c r="B1176" t="s">
        <v>5</v>
      </c>
      <c r="C1176" t="s">
        <v>56</v>
      </c>
      <c r="D1176" s="24">
        <v>46174</v>
      </c>
      <c r="E1176" t="s">
        <v>228</v>
      </c>
      <c r="F1176" t="s">
        <v>4</v>
      </c>
      <c r="G1176" t="s">
        <v>217</v>
      </c>
      <c r="H1176" t="s">
        <v>217</v>
      </c>
      <c r="I1176" t="s">
        <v>225</v>
      </c>
      <c r="J1176" s="25">
        <v>255</v>
      </c>
      <c r="K1176" s="26">
        <v>45.1</v>
      </c>
      <c r="L1176" s="26">
        <v>1.01</v>
      </c>
    </row>
    <row r="1177" spans="1:12" ht="16" customHeight="1">
      <c r="A1177" t="s">
        <v>489</v>
      </c>
      <c r="B1177" t="s">
        <v>5</v>
      </c>
      <c r="C1177" t="s">
        <v>56</v>
      </c>
      <c r="D1177" s="24">
        <v>46174</v>
      </c>
      <c r="E1177" t="s">
        <v>439</v>
      </c>
      <c r="F1177" t="s">
        <v>4</v>
      </c>
      <c r="G1177" t="s">
        <v>217</v>
      </c>
      <c r="H1177" t="s">
        <v>217</v>
      </c>
      <c r="I1177" t="s">
        <v>227</v>
      </c>
      <c r="J1177" s="25">
        <v>3</v>
      </c>
      <c r="K1177" s="26">
        <v>0.57999999999999996</v>
      </c>
      <c r="L1177" s="26">
        <v>0.02</v>
      </c>
    </row>
    <row r="1178" spans="1:12" ht="16" customHeight="1">
      <c r="A1178" t="s">
        <v>491</v>
      </c>
      <c r="B1178" t="s">
        <v>6</v>
      </c>
      <c r="C1178" t="s">
        <v>56</v>
      </c>
      <c r="D1178" s="24">
        <v>46174</v>
      </c>
      <c r="E1178" t="s">
        <v>226</v>
      </c>
      <c r="F1178" t="s">
        <v>4</v>
      </c>
      <c r="G1178" t="s">
        <v>217</v>
      </c>
      <c r="H1178" t="s">
        <v>217</v>
      </c>
      <c r="I1178" t="s">
        <v>212</v>
      </c>
      <c r="J1178" s="25">
        <v>2908467</v>
      </c>
      <c r="K1178" s="26">
        <v>501573.19</v>
      </c>
      <c r="L1178" s="26">
        <v>3085.3</v>
      </c>
    </row>
    <row r="1179" spans="1:12" ht="16" customHeight="1">
      <c r="A1179" t="s">
        <v>491</v>
      </c>
      <c r="B1179" t="s">
        <v>6</v>
      </c>
      <c r="C1179" t="s">
        <v>56</v>
      </c>
      <c r="D1179" s="24">
        <v>46174</v>
      </c>
      <c r="E1179" t="s">
        <v>457</v>
      </c>
      <c r="F1179" t="s">
        <v>4</v>
      </c>
      <c r="G1179" t="s">
        <v>217</v>
      </c>
      <c r="H1179" t="s">
        <v>217</v>
      </c>
      <c r="I1179" t="s">
        <v>219</v>
      </c>
      <c r="J1179" s="25">
        <v>131734</v>
      </c>
      <c r="K1179" s="26">
        <v>22953.759999999998</v>
      </c>
      <c r="L1179" s="26">
        <v>232.31</v>
      </c>
    </row>
    <row r="1180" spans="1:12" ht="16" customHeight="1">
      <c r="A1180" t="s">
        <v>491</v>
      </c>
      <c r="B1180" t="s">
        <v>6</v>
      </c>
      <c r="C1180" t="s">
        <v>56</v>
      </c>
      <c r="D1180" s="24">
        <v>46174</v>
      </c>
      <c r="E1180" t="s">
        <v>476</v>
      </c>
      <c r="F1180" t="s">
        <v>4</v>
      </c>
      <c r="G1180" t="s">
        <v>217</v>
      </c>
      <c r="H1180" t="s">
        <v>217</v>
      </c>
      <c r="I1180" t="s">
        <v>221</v>
      </c>
      <c r="J1180" s="25">
        <v>10641</v>
      </c>
      <c r="K1180" s="26">
        <v>1858.18</v>
      </c>
      <c r="L1180" s="26">
        <v>29.41</v>
      </c>
    </row>
    <row r="1181" spans="1:12" ht="16" customHeight="1">
      <c r="A1181" t="s">
        <v>491</v>
      </c>
      <c r="B1181" t="s">
        <v>6</v>
      </c>
      <c r="C1181" t="s">
        <v>56</v>
      </c>
      <c r="D1181" s="24">
        <v>46174</v>
      </c>
      <c r="E1181" t="s">
        <v>269</v>
      </c>
      <c r="F1181" t="s">
        <v>4</v>
      </c>
      <c r="G1181" t="s">
        <v>217</v>
      </c>
      <c r="H1181" t="s">
        <v>217</v>
      </c>
      <c r="I1181" t="s">
        <v>223</v>
      </c>
      <c r="J1181" s="25">
        <v>1499</v>
      </c>
      <c r="K1181" s="26">
        <v>261.41000000000003</v>
      </c>
      <c r="L1181" s="26">
        <v>4.62</v>
      </c>
    </row>
    <row r="1182" spans="1:12" ht="16" customHeight="1">
      <c r="A1182" t="s">
        <v>491</v>
      </c>
      <c r="B1182" t="s">
        <v>6</v>
      </c>
      <c r="C1182" t="s">
        <v>56</v>
      </c>
      <c r="D1182" s="24">
        <v>46174</v>
      </c>
      <c r="E1182" t="s">
        <v>228</v>
      </c>
      <c r="F1182" t="s">
        <v>4</v>
      </c>
      <c r="G1182" t="s">
        <v>217</v>
      </c>
      <c r="H1182" t="s">
        <v>217</v>
      </c>
      <c r="I1182" t="s">
        <v>225</v>
      </c>
      <c r="J1182" s="25">
        <v>266</v>
      </c>
      <c r="K1182" s="26">
        <v>47.59</v>
      </c>
      <c r="L1182" s="26">
        <v>1.1000000000000001</v>
      </c>
    </row>
    <row r="1183" spans="1:12" ht="16" customHeight="1">
      <c r="A1183" t="s">
        <v>491</v>
      </c>
      <c r="B1183" t="s">
        <v>6</v>
      </c>
      <c r="C1183" t="s">
        <v>56</v>
      </c>
      <c r="D1183" s="24">
        <v>46174</v>
      </c>
      <c r="E1183" t="s">
        <v>439</v>
      </c>
      <c r="F1183" t="s">
        <v>4</v>
      </c>
      <c r="G1183" t="s">
        <v>217</v>
      </c>
      <c r="H1183" t="s">
        <v>217</v>
      </c>
      <c r="I1183" t="s">
        <v>227</v>
      </c>
      <c r="J1183" s="25">
        <v>0</v>
      </c>
      <c r="K1183" s="26">
        <v>0</v>
      </c>
      <c r="L1183" s="26">
        <v>0</v>
      </c>
    </row>
    <row r="1184" spans="1:12" ht="16" customHeight="1">
      <c r="A1184" t="s">
        <v>492</v>
      </c>
      <c r="B1184" t="s">
        <v>7</v>
      </c>
      <c r="C1184" t="s">
        <v>56</v>
      </c>
      <c r="D1184" s="24">
        <v>46174</v>
      </c>
      <c r="E1184" t="s">
        <v>226</v>
      </c>
      <c r="F1184" t="s">
        <v>4</v>
      </c>
      <c r="G1184" t="s">
        <v>217</v>
      </c>
      <c r="H1184" t="s">
        <v>217</v>
      </c>
      <c r="I1184" t="s">
        <v>212</v>
      </c>
      <c r="J1184" s="25">
        <v>3249146</v>
      </c>
      <c r="K1184" s="26">
        <v>563069.12</v>
      </c>
      <c r="L1184" s="26">
        <v>3415.12</v>
      </c>
    </row>
    <row r="1185" spans="1:12" ht="16" customHeight="1">
      <c r="A1185" t="s">
        <v>492</v>
      </c>
      <c r="B1185" t="s">
        <v>7</v>
      </c>
      <c r="C1185" t="s">
        <v>56</v>
      </c>
      <c r="D1185" s="24">
        <v>46174</v>
      </c>
      <c r="E1185" t="s">
        <v>457</v>
      </c>
      <c r="F1185" t="s">
        <v>4</v>
      </c>
      <c r="G1185" t="s">
        <v>217</v>
      </c>
      <c r="H1185" t="s">
        <v>217</v>
      </c>
      <c r="I1185" t="s">
        <v>219</v>
      </c>
      <c r="J1185" s="25">
        <v>125510</v>
      </c>
      <c r="K1185" s="26">
        <v>21884.98</v>
      </c>
      <c r="L1185" s="26">
        <v>213.67</v>
      </c>
    </row>
    <row r="1186" spans="1:12" ht="16" customHeight="1">
      <c r="A1186" t="s">
        <v>492</v>
      </c>
      <c r="B1186" t="s">
        <v>7</v>
      </c>
      <c r="C1186" t="s">
        <v>56</v>
      </c>
      <c r="D1186" s="24">
        <v>46174</v>
      </c>
      <c r="E1186" t="s">
        <v>476</v>
      </c>
      <c r="F1186" t="s">
        <v>4</v>
      </c>
      <c r="G1186" t="s">
        <v>217</v>
      </c>
      <c r="H1186" t="s">
        <v>217</v>
      </c>
      <c r="I1186" t="s">
        <v>221</v>
      </c>
      <c r="J1186" s="25">
        <v>5251</v>
      </c>
      <c r="K1186" s="26">
        <v>918.75</v>
      </c>
      <c r="L1186" s="26">
        <v>14.8</v>
      </c>
    </row>
    <row r="1187" spans="1:12" ht="16" customHeight="1">
      <c r="A1187" t="s">
        <v>492</v>
      </c>
      <c r="B1187" t="s">
        <v>7</v>
      </c>
      <c r="C1187" t="s">
        <v>56</v>
      </c>
      <c r="D1187" s="24">
        <v>46174</v>
      </c>
      <c r="E1187" t="s">
        <v>269</v>
      </c>
      <c r="F1187" t="s">
        <v>4</v>
      </c>
      <c r="G1187" t="s">
        <v>217</v>
      </c>
      <c r="H1187" t="s">
        <v>217</v>
      </c>
      <c r="I1187" t="s">
        <v>223</v>
      </c>
      <c r="J1187" s="25">
        <v>2582</v>
      </c>
      <c r="K1187" s="26">
        <v>428.7</v>
      </c>
      <c r="L1187" s="26">
        <v>5.87</v>
      </c>
    </row>
    <row r="1188" spans="1:12" ht="16" customHeight="1">
      <c r="A1188" t="s">
        <v>492</v>
      </c>
      <c r="B1188" t="s">
        <v>7</v>
      </c>
      <c r="C1188" t="s">
        <v>56</v>
      </c>
      <c r="D1188" s="24">
        <v>46174</v>
      </c>
      <c r="E1188" t="s">
        <v>228</v>
      </c>
      <c r="F1188" t="s">
        <v>4</v>
      </c>
      <c r="G1188" t="s">
        <v>217</v>
      </c>
      <c r="H1188" t="s">
        <v>217</v>
      </c>
      <c r="I1188" t="s">
        <v>225</v>
      </c>
      <c r="J1188" s="25">
        <v>38</v>
      </c>
      <c r="K1188" s="26">
        <v>6.57</v>
      </c>
      <c r="L1188" s="26">
        <v>0.15</v>
      </c>
    </row>
    <row r="1189" spans="1:12" ht="16" customHeight="1">
      <c r="A1189" t="s">
        <v>492</v>
      </c>
      <c r="B1189" t="s">
        <v>7</v>
      </c>
      <c r="C1189" t="s">
        <v>56</v>
      </c>
      <c r="D1189" s="24">
        <v>46174</v>
      </c>
      <c r="E1189" t="s">
        <v>439</v>
      </c>
      <c r="F1189" t="s">
        <v>4</v>
      </c>
      <c r="G1189" t="s">
        <v>217</v>
      </c>
      <c r="H1189" t="s">
        <v>217</v>
      </c>
      <c r="I1189" t="s">
        <v>227</v>
      </c>
      <c r="J1189" s="25">
        <v>0</v>
      </c>
      <c r="K1189" s="26">
        <v>0</v>
      </c>
      <c r="L1189" s="26">
        <v>0</v>
      </c>
    </row>
    <row r="1190" spans="1:12" ht="16" customHeight="1">
      <c r="A1190" t="s">
        <v>493</v>
      </c>
      <c r="B1190" t="s">
        <v>3</v>
      </c>
      <c r="C1190" t="s">
        <v>57</v>
      </c>
      <c r="D1190" s="24">
        <v>46174</v>
      </c>
      <c r="E1190" t="s">
        <v>226</v>
      </c>
      <c r="F1190" t="s">
        <v>4</v>
      </c>
      <c r="G1190" t="s">
        <v>217</v>
      </c>
      <c r="H1190" t="s">
        <v>217</v>
      </c>
      <c r="I1190" t="s">
        <v>212</v>
      </c>
      <c r="J1190" s="25">
        <v>2948751</v>
      </c>
      <c r="K1190" s="26">
        <v>511861.38</v>
      </c>
      <c r="L1190" s="26">
        <v>2427.91</v>
      </c>
    </row>
    <row r="1191" spans="1:12" ht="16" customHeight="1">
      <c r="A1191" t="s">
        <v>493</v>
      </c>
      <c r="B1191" t="s">
        <v>3</v>
      </c>
      <c r="C1191" t="s">
        <v>57</v>
      </c>
      <c r="D1191" s="24">
        <v>46174</v>
      </c>
      <c r="E1191" t="s">
        <v>457</v>
      </c>
      <c r="F1191" t="s">
        <v>4</v>
      </c>
      <c r="G1191" t="s">
        <v>217</v>
      </c>
      <c r="H1191" t="s">
        <v>217</v>
      </c>
      <c r="I1191" t="s">
        <v>219</v>
      </c>
      <c r="J1191" s="25">
        <v>108355</v>
      </c>
      <c r="K1191" s="26">
        <v>18888.21</v>
      </c>
      <c r="L1191" s="26">
        <v>200.09</v>
      </c>
    </row>
    <row r="1192" spans="1:12" ht="16" customHeight="1">
      <c r="A1192" t="s">
        <v>493</v>
      </c>
      <c r="B1192" t="s">
        <v>3</v>
      </c>
      <c r="C1192" t="s">
        <v>57</v>
      </c>
      <c r="D1192" s="24">
        <v>46174</v>
      </c>
      <c r="E1192" t="s">
        <v>476</v>
      </c>
      <c r="F1192" t="s">
        <v>4</v>
      </c>
      <c r="G1192" t="s">
        <v>217</v>
      </c>
      <c r="H1192" t="s">
        <v>217</v>
      </c>
      <c r="I1192" t="s">
        <v>221</v>
      </c>
      <c r="J1192" s="25">
        <v>7799</v>
      </c>
      <c r="K1192" s="26">
        <v>1366.16</v>
      </c>
      <c r="L1192" s="26">
        <v>22.27</v>
      </c>
    </row>
    <row r="1193" spans="1:12" ht="16" customHeight="1">
      <c r="A1193" t="s">
        <v>493</v>
      </c>
      <c r="B1193" t="s">
        <v>3</v>
      </c>
      <c r="C1193" t="s">
        <v>57</v>
      </c>
      <c r="D1193" s="24">
        <v>46174</v>
      </c>
      <c r="E1193" t="s">
        <v>269</v>
      </c>
      <c r="F1193" t="s">
        <v>4</v>
      </c>
      <c r="G1193" t="s">
        <v>217</v>
      </c>
      <c r="H1193" t="s">
        <v>217</v>
      </c>
      <c r="I1193" t="s">
        <v>223</v>
      </c>
      <c r="J1193" s="25">
        <v>1375</v>
      </c>
      <c r="K1193" s="26">
        <v>237.17</v>
      </c>
      <c r="L1193" s="26">
        <v>3.6</v>
      </c>
    </row>
    <row r="1194" spans="1:12" ht="16" customHeight="1">
      <c r="A1194" t="s">
        <v>493</v>
      </c>
      <c r="B1194" t="s">
        <v>3</v>
      </c>
      <c r="C1194" t="s">
        <v>57</v>
      </c>
      <c r="D1194" s="24">
        <v>46174</v>
      </c>
      <c r="E1194" t="s">
        <v>228</v>
      </c>
      <c r="F1194" t="s">
        <v>4</v>
      </c>
      <c r="G1194" t="s">
        <v>217</v>
      </c>
      <c r="H1194" t="s">
        <v>217</v>
      </c>
      <c r="I1194" t="s">
        <v>225</v>
      </c>
      <c r="J1194" s="25">
        <v>43</v>
      </c>
      <c r="K1194" s="26">
        <v>7.39</v>
      </c>
      <c r="L1194" s="26">
        <v>0.18</v>
      </c>
    </row>
    <row r="1195" spans="1:12" ht="16" customHeight="1">
      <c r="A1195" t="s">
        <v>493</v>
      </c>
      <c r="B1195" t="s">
        <v>3</v>
      </c>
      <c r="C1195" t="s">
        <v>57</v>
      </c>
      <c r="D1195" s="24">
        <v>46174</v>
      </c>
      <c r="E1195" t="s">
        <v>439</v>
      </c>
      <c r="F1195" t="s">
        <v>4</v>
      </c>
      <c r="G1195" t="s">
        <v>217</v>
      </c>
      <c r="H1195" t="s">
        <v>217</v>
      </c>
      <c r="I1195" t="s">
        <v>227</v>
      </c>
      <c r="J1195" s="25">
        <v>0</v>
      </c>
      <c r="K1195" s="26">
        <v>0</v>
      </c>
      <c r="L1195" s="26">
        <v>0</v>
      </c>
    </row>
    <row r="1196" spans="1:12" ht="16" customHeight="1">
      <c r="A1196" t="s">
        <v>471</v>
      </c>
      <c r="B1196" t="s">
        <v>4</v>
      </c>
      <c r="C1196" t="s">
        <v>57</v>
      </c>
      <c r="D1196" s="24">
        <v>46174</v>
      </c>
      <c r="E1196" t="s">
        <v>226</v>
      </c>
      <c r="F1196" t="s">
        <v>4</v>
      </c>
      <c r="G1196" t="s">
        <v>217</v>
      </c>
      <c r="H1196" t="s">
        <v>217</v>
      </c>
      <c r="I1196" t="s">
        <v>212</v>
      </c>
      <c r="J1196" s="25">
        <v>5162520</v>
      </c>
      <c r="K1196" s="26">
        <v>893181.46</v>
      </c>
      <c r="L1196" s="26">
        <v>3800.27</v>
      </c>
    </row>
    <row r="1197" spans="1:12" ht="16" customHeight="1">
      <c r="A1197" t="s">
        <v>471</v>
      </c>
      <c r="B1197" t="s">
        <v>4</v>
      </c>
      <c r="C1197" t="s">
        <v>57</v>
      </c>
      <c r="D1197" s="24">
        <v>46174</v>
      </c>
      <c r="E1197" t="s">
        <v>457</v>
      </c>
      <c r="F1197" t="s">
        <v>4</v>
      </c>
      <c r="G1197" t="s">
        <v>217</v>
      </c>
      <c r="H1197" t="s">
        <v>217</v>
      </c>
      <c r="I1197" t="s">
        <v>219</v>
      </c>
      <c r="J1197" s="25">
        <v>224292</v>
      </c>
      <c r="K1197" s="26">
        <v>39170.620000000003</v>
      </c>
      <c r="L1197" s="26">
        <v>433.17</v>
      </c>
    </row>
    <row r="1198" spans="1:12" ht="16" customHeight="1">
      <c r="A1198" t="s">
        <v>471</v>
      </c>
      <c r="B1198" t="s">
        <v>4</v>
      </c>
      <c r="C1198" t="s">
        <v>57</v>
      </c>
      <c r="D1198" s="24">
        <v>46174</v>
      </c>
      <c r="E1198" t="s">
        <v>476</v>
      </c>
      <c r="F1198" t="s">
        <v>4</v>
      </c>
      <c r="G1198" t="s">
        <v>217</v>
      </c>
      <c r="H1198" t="s">
        <v>217</v>
      </c>
      <c r="I1198" t="s">
        <v>221</v>
      </c>
      <c r="J1198" s="25">
        <v>8782</v>
      </c>
      <c r="K1198" s="26">
        <v>1527.53</v>
      </c>
      <c r="L1198" s="26">
        <v>20.72</v>
      </c>
    </row>
    <row r="1199" spans="1:12" ht="16" customHeight="1">
      <c r="A1199" t="s">
        <v>471</v>
      </c>
      <c r="B1199" t="s">
        <v>4</v>
      </c>
      <c r="C1199" t="s">
        <v>57</v>
      </c>
      <c r="D1199" s="24">
        <v>46174</v>
      </c>
      <c r="E1199" t="s">
        <v>269</v>
      </c>
      <c r="F1199" t="s">
        <v>4</v>
      </c>
      <c r="G1199" t="s">
        <v>217</v>
      </c>
      <c r="H1199" t="s">
        <v>217</v>
      </c>
      <c r="I1199" t="s">
        <v>223</v>
      </c>
      <c r="J1199" s="25">
        <v>2117</v>
      </c>
      <c r="K1199" s="26">
        <v>368.46</v>
      </c>
      <c r="L1199" s="26">
        <v>5.15</v>
      </c>
    </row>
    <row r="1200" spans="1:12" ht="16" customHeight="1">
      <c r="A1200" t="s">
        <v>471</v>
      </c>
      <c r="B1200" t="s">
        <v>4</v>
      </c>
      <c r="C1200" t="s">
        <v>57</v>
      </c>
      <c r="D1200" s="24">
        <v>46174</v>
      </c>
      <c r="E1200" t="s">
        <v>228</v>
      </c>
      <c r="F1200" t="s">
        <v>4</v>
      </c>
      <c r="G1200" t="s">
        <v>217</v>
      </c>
      <c r="H1200" t="s">
        <v>217</v>
      </c>
      <c r="I1200" t="s">
        <v>225</v>
      </c>
      <c r="J1200" s="25">
        <v>117</v>
      </c>
      <c r="K1200" s="26">
        <v>20.04</v>
      </c>
      <c r="L1200" s="26">
        <v>0.42</v>
      </c>
    </row>
    <row r="1201" spans="1:12" ht="16" customHeight="1">
      <c r="A1201" t="s">
        <v>471</v>
      </c>
      <c r="B1201" t="s">
        <v>4</v>
      </c>
      <c r="C1201" t="s">
        <v>57</v>
      </c>
      <c r="D1201" s="24">
        <v>46174</v>
      </c>
      <c r="E1201" t="s">
        <v>439</v>
      </c>
      <c r="F1201" t="s">
        <v>4</v>
      </c>
      <c r="G1201" t="s">
        <v>217</v>
      </c>
      <c r="H1201" t="s">
        <v>217</v>
      </c>
      <c r="I1201" t="s">
        <v>227</v>
      </c>
      <c r="J1201" s="25">
        <v>0</v>
      </c>
      <c r="K1201" s="26">
        <v>0</v>
      </c>
      <c r="L1201" s="26">
        <v>0</v>
      </c>
    </row>
    <row r="1202" spans="1:12" ht="16" customHeight="1">
      <c r="A1202" t="s">
        <v>494</v>
      </c>
      <c r="B1202" t="s">
        <v>5</v>
      </c>
      <c r="C1202" t="s">
        <v>57</v>
      </c>
      <c r="D1202" s="24">
        <v>46174</v>
      </c>
      <c r="E1202" t="s">
        <v>226</v>
      </c>
      <c r="F1202" t="s">
        <v>4</v>
      </c>
      <c r="G1202" t="s">
        <v>217</v>
      </c>
      <c r="H1202" t="s">
        <v>217</v>
      </c>
      <c r="I1202" t="s">
        <v>212</v>
      </c>
      <c r="J1202" s="25">
        <v>6810780</v>
      </c>
      <c r="K1202" s="26">
        <v>1182623.77</v>
      </c>
      <c r="L1202" s="26">
        <v>5336.21</v>
      </c>
    </row>
    <row r="1203" spans="1:12" ht="16" customHeight="1">
      <c r="A1203" t="s">
        <v>494</v>
      </c>
      <c r="B1203" t="s">
        <v>5</v>
      </c>
      <c r="C1203" t="s">
        <v>57</v>
      </c>
      <c r="D1203" s="24">
        <v>46174</v>
      </c>
      <c r="E1203" t="s">
        <v>457</v>
      </c>
      <c r="F1203" t="s">
        <v>4</v>
      </c>
      <c r="G1203" t="s">
        <v>217</v>
      </c>
      <c r="H1203" t="s">
        <v>217</v>
      </c>
      <c r="I1203" t="s">
        <v>219</v>
      </c>
      <c r="J1203" s="25">
        <v>322276</v>
      </c>
      <c r="K1203" s="26">
        <v>56738.55</v>
      </c>
      <c r="L1203" s="26">
        <v>671.82</v>
      </c>
    </row>
    <row r="1204" spans="1:12" ht="16" customHeight="1">
      <c r="A1204" t="s">
        <v>494</v>
      </c>
      <c r="B1204" t="s">
        <v>5</v>
      </c>
      <c r="C1204" t="s">
        <v>57</v>
      </c>
      <c r="D1204" s="24">
        <v>46174</v>
      </c>
      <c r="E1204" t="s">
        <v>476</v>
      </c>
      <c r="F1204" t="s">
        <v>4</v>
      </c>
      <c r="G1204" t="s">
        <v>217</v>
      </c>
      <c r="H1204" t="s">
        <v>217</v>
      </c>
      <c r="I1204" t="s">
        <v>221</v>
      </c>
      <c r="J1204" s="25">
        <v>11399</v>
      </c>
      <c r="K1204" s="26">
        <v>2017.92</v>
      </c>
      <c r="L1204" s="26">
        <v>30.95</v>
      </c>
    </row>
    <row r="1205" spans="1:12" ht="16" customHeight="1">
      <c r="A1205" t="s">
        <v>494</v>
      </c>
      <c r="B1205" t="s">
        <v>5</v>
      </c>
      <c r="C1205" t="s">
        <v>57</v>
      </c>
      <c r="D1205" s="24">
        <v>46174</v>
      </c>
      <c r="E1205" t="s">
        <v>269</v>
      </c>
      <c r="F1205" t="s">
        <v>4</v>
      </c>
      <c r="G1205" t="s">
        <v>217</v>
      </c>
      <c r="H1205" t="s">
        <v>217</v>
      </c>
      <c r="I1205" t="s">
        <v>223</v>
      </c>
      <c r="J1205" s="25">
        <v>1741</v>
      </c>
      <c r="K1205" s="26">
        <v>305.62</v>
      </c>
      <c r="L1205" s="26">
        <v>5.68</v>
      </c>
    </row>
    <row r="1206" spans="1:12" ht="16" customHeight="1">
      <c r="A1206" t="s">
        <v>494</v>
      </c>
      <c r="B1206" t="s">
        <v>5</v>
      </c>
      <c r="C1206" t="s">
        <v>57</v>
      </c>
      <c r="D1206" s="24">
        <v>46174</v>
      </c>
      <c r="E1206" t="s">
        <v>228</v>
      </c>
      <c r="F1206" t="s">
        <v>4</v>
      </c>
      <c r="G1206" t="s">
        <v>217</v>
      </c>
      <c r="H1206" t="s">
        <v>217</v>
      </c>
      <c r="I1206" t="s">
        <v>225</v>
      </c>
      <c r="J1206" s="25">
        <v>267</v>
      </c>
      <c r="K1206" s="26">
        <v>46.57</v>
      </c>
      <c r="L1206" s="26">
        <v>1.1200000000000001</v>
      </c>
    </row>
    <row r="1207" spans="1:12" ht="16" customHeight="1">
      <c r="A1207" t="s">
        <v>494</v>
      </c>
      <c r="B1207" t="s">
        <v>5</v>
      </c>
      <c r="C1207" t="s">
        <v>57</v>
      </c>
      <c r="D1207" s="24">
        <v>46174</v>
      </c>
      <c r="E1207" t="s">
        <v>439</v>
      </c>
      <c r="F1207" t="s">
        <v>4</v>
      </c>
      <c r="G1207" t="s">
        <v>217</v>
      </c>
      <c r="H1207" t="s">
        <v>217</v>
      </c>
      <c r="I1207" t="s">
        <v>227</v>
      </c>
      <c r="J1207" s="25">
        <v>0</v>
      </c>
      <c r="K1207" s="26">
        <v>0</v>
      </c>
      <c r="L1207" s="26">
        <v>0</v>
      </c>
    </row>
    <row r="1208" spans="1:12" ht="16" customHeight="1">
      <c r="A1208" t="s">
        <v>496</v>
      </c>
      <c r="B1208" t="s">
        <v>6</v>
      </c>
      <c r="C1208" t="s">
        <v>57</v>
      </c>
      <c r="D1208" s="24">
        <v>46174</v>
      </c>
      <c r="E1208" t="s">
        <v>226</v>
      </c>
      <c r="F1208" t="s">
        <v>4</v>
      </c>
      <c r="G1208" t="s">
        <v>217</v>
      </c>
      <c r="H1208" t="s">
        <v>217</v>
      </c>
      <c r="I1208" t="s">
        <v>212</v>
      </c>
      <c r="J1208" s="25">
        <v>6781654</v>
      </c>
      <c r="K1208" s="26">
        <v>1183786.01</v>
      </c>
      <c r="L1208" s="26">
        <v>3936.71</v>
      </c>
    </row>
    <row r="1209" spans="1:12" ht="16" customHeight="1">
      <c r="A1209" t="s">
        <v>496</v>
      </c>
      <c r="B1209" t="s">
        <v>6</v>
      </c>
      <c r="C1209" t="s">
        <v>57</v>
      </c>
      <c r="D1209" s="24">
        <v>46174</v>
      </c>
      <c r="E1209" t="s">
        <v>457</v>
      </c>
      <c r="F1209" t="s">
        <v>4</v>
      </c>
      <c r="G1209" t="s">
        <v>217</v>
      </c>
      <c r="H1209" t="s">
        <v>217</v>
      </c>
      <c r="I1209" t="s">
        <v>219</v>
      </c>
      <c r="J1209" s="25">
        <v>403951</v>
      </c>
      <c r="K1209" s="26">
        <v>71390.3</v>
      </c>
      <c r="L1209" s="26">
        <v>831.13</v>
      </c>
    </row>
    <row r="1210" spans="1:12" ht="16" customHeight="1">
      <c r="A1210" t="s">
        <v>496</v>
      </c>
      <c r="B1210" t="s">
        <v>6</v>
      </c>
      <c r="C1210" t="s">
        <v>57</v>
      </c>
      <c r="D1210" s="24">
        <v>46174</v>
      </c>
      <c r="E1210" t="s">
        <v>476</v>
      </c>
      <c r="F1210" t="s">
        <v>4</v>
      </c>
      <c r="G1210" t="s">
        <v>217</v>
      </c>
      <c r="H1210" t="s">
        <v>217</v>
      </c>
      <c r="I1210" t="s">
        <v>221</v>
      </c>
      <c r="J1210" s="25">
        <v>16063</v>
      </c>
      <c r="K1210" s="26">
        <v>2836.68</v>
      </c>
      <c r="L1210" s="26">
        <v>38.57</v>
      </c>
    </row>
    <row r="1211" spans="1:12" ht="16" customHeight="1">
      <c r="A1211" t="s">
        <v>496</v>
      </c>
      <c r="B1211" t="s">
        <v>6</v>
      </c>
      <c r="C1211" t="s">
        <v>57</v>
      </c>
      <c r="D1211" s="24">
        <v>46174</v>
      </c>
      <c r="E1211" t="s">
        <v>269</v>
      </c>
      <c r="F1211" t="s">
        <v>4</v>
      </c>
      <c r="G1211" t="s">
        <v>217</v>
      </c>
      <c r="H1211" t="s">
        <v>217</v>
      </c>
      <c r="I1211" t="s">
        <v>223</v>
      </c>
      <c r="J1211" s="25">
        <v>3623</v>
      </c>
      <c r="K1211" s="26">
        <v>641.83000000000004</v>
      </c>
      <c r="L1211" s="26">
        <v>11.02</v>
      </c>
    </row>
    <row r="1212" spans="1:12" ht="16" customHeight="1">
      <c r="A1212" t="s">
        <v>496</v>
      </c>
      <c r="B1212" t="s">
        <v>6</v>
      </c>
      <c r="C1212" t="s">
        <v>57</v>
      </c>
      <c r="D1212" s="24">
        <v>46174</v>
      </c>
      <c r="E1212" t="s">
        <v>228</v>
      </c>
      <c r="F1212" t="s">
        <v>4</v>
      </c>
      <c r="G1212" t="s">
        <v>217</v>
      </c>
      <c r="H1212" t="s">
        <v>217</v>
      </c>
      <c r="I1212" t="s">
        <v>225</v>
      </c>
      <c r="J1212" s="25">
        <v>133</v>
      </c>
      <c r="K1212" s="26">
        <v>23.07</v>
      </c>
      <c r="L1212" s="26">
        <v>0.51</v>
      </c>
    </row>
    <row r="1213" spans="1:12" ht="16" customHeight="1">
      <c r="A1213" t="s">
        <v>496</v>
      </c>
      <c r="B1213" t="s">
        <v>6</v>
      </c>
      <c r="C1213" t="s">
        <v>57</v>
      </c>
      <c r="D1213" s="24">
        <v>46174</v>
      </c>
      <c r="E1213" t="s">
        <v>439</v>
      </c>
      <c r="F1213" t="s">
        <v>4</v>
      </c>
      <c r="G1213" t="s">
        <v>217</v>
      </c>
      <c r="H1213" t="s">
        <v>217</v>
      </c>
      <c r="I1213" t="s">
        <v>227</v>
      </c>
      <c r="J1213" s="25">
        <v>0</v>
      </c>
      <c r="K1213" s="26">
        <v>0</v>
      </c>
      <c r="L1213" s="26">
        <v>0</v>
      </c>
    </row>
    <row r="1214" spans="1:12" ht="16" customHeight="1">
      <c r="A1214" t="s">
        <v>497</v>
      </c>
      <c r="B1214" t="s">
        <v>3</v>
      </c>
      <c r="C1214" t="s">
        <v>58</v>
      </c>
      <c r="D1214" s="24">
        <v>46174</v>
      </c>
      <c r="E1214" t="s">
        <v>226</v>
      </c>
      <c r="F1214" t="s">
        <v>4</v>
      </c>
      <c r="G1214" t="s">
        <v>217</v>
      </c>
      <c r="H1214" t="s">
        <v>217</v>
      </c>
      <c r="I1214" t="s">
        <v>212</v>
      </c>
      <c r="J1214" s="25">
        <v>22572112</v>
      </c>
      <c r="K1214" s="26">
        <v>3922518.55</v>
      </c>
      <c r="L1214" s="26">
        <v>9952.58</v>
      </c>
    </row>
    <row r="1215" spans="1:12" ht="16" customHeight="1">
      <c r="A1215" t="s">
        <v>497</v>
      </c>
      <c r="B1215" t="s">
        <v>3</v>
      </c>
      <c r="C1215" t="s">
        <v>58</v>
      </c>
      <c r="D1215" s="24">
        <v>46174</v>
      </c>
      <c r="E1215" t="s">
        <v>457</v>
      </c>
      <c r="F1215" t="s">
        <v>4</v>
      </c>
      <c r="G1215" t="s">
        <v>217</v>
      </c>
      <c r="H1215" t="s">
        <v>217</v>
      </c>
      <c r="I1215" t="s">
        <v>219</v>
      </c>
      <c r="J1215" s="25">
        <v>475306</v>
      </c>
      <c r="K1215" s="26">
        <v>84037.84</v>
      </c>
      <c r="L1215" s="26">
        <v>1080.8599999999999</v>
      </c>
    </row>
    <row r="1216" spans="1:12" ht="16" customHeight="1">
      <c r="A1216" t="s">
        <v>497</v>
      </c>
      <c r="B1216" t="s">
        <v>3</v>
      </c>
      <c r="C1216" t="s">
        <v>58</v>
      </c>
      <c r="D1216" s="24">
        <v>46174</v>
      </c>
      <c r="E1216" t="s">
        <v>476</v>
      </c>
      <c r="F1216" t="s">
        <v>4</v>
      </c>
      <c r="G1216" t="s">
        <v>217</v>
      </c>
      <c r="H1216" t="s">
        <v>217</v>
      </c>
      <c r="I1216" t="s">
        <v>221</v>
      </c>
      <c r="J1216" s="25">
        <v>14064</v>
      </c>
      <c r="K1216" s="26">
        <v>2453.63</v>
      </c>
      <c r="L1216" s="26">
        <v>33.880000000000003</v>
      </c>
    </row>
    <row r="1217" spans="1:12" ht="16" customHeight="1">
      <c r="A1217" t="s">
        <v>497</v>
      </c>
      <c r="B1217" t="s">
        <v>3</v>
      </c>
      <c r="C1217" t="s">
        <v>58</v>
      </c>
      <c r="D1217" s="24">
        <v>46174</v>
      </c>
      <c r="E1217" t="s">
        <v>269</v>
      </c>
      <c r="F1217" t="s">
        <v>4</v>
      </c>
      <c r="G1217" t="s">
        <v>217</v>
      </c>
      <c r="H1217" t="s">
        <v>217</v>
      </c>
      <c r="I1217" t="s">
        <v>223</v>
      </c>
      <c r="J1217" s="25">
        <v>1399</v>
      </c>
      <c r="K1217" s="26">
        <v>246.01</v>
      </c>
      <c r="L1217" s="26">
        <v>4.5</v>
      </c>
    </row>
    <row r="1218" spans="1:12" ht="16" customHeight="1">
      <c r="A1218" t="s">
        <v>497</v>
      </c>
      <c r="B1218" t="s">
        <v>3</v>
      </c>
      <c r="C1218" t="s">
        <v>58</v>
      </c>
      <c r="D1218" s="24">
        <v>46174</v>
      </c>
      <c r="E1218" t="s">
        <v>228</v>
      </c>
      <c r="F1218" t="s">
        <v>4</v>
      </c>
      <c r="G1218" t="s">
        <v>217</v>
      </c>
      <c r="H1218" t="s">
        <v>217</v>
      </c>
      <c r="I1218" t="s">
        <v>225</v>
      </c>
      <c r="J1218" s="25">
        <v>62</v>
      </c>
      <c r="K1218" s="26">
        <v>10.69</v>
      </c>
      <c r="L1218" s="26">
        <v>0.23</v>
      </c>
    </row>
    <row r="1219" spans="1:12" ht="16" customHeight="1">
      <c r="A1219" t="s">
        <v>497</v>
      </c>
      <c r="B1219" t="s">
        <v>3</v>
      </c>
      <c r="C1219" t="s">
        <v>58</v>
      </c>
      <c r="D1219" s="24">
        <v>46174</v>
      </c>
      <c r="E1219" t="s">
        <v>439</v>
      </c>
      <c r="F1219" t="s">
        <v>4</v>
      </c>
      <c r="G1219" t="s">
        <v>217</v>
      </c>
      <c r="H1219" t="s">
        <v>217</v>
      </c>
      <c r="I1219" t="s">
        <v>227</v>
      </c>
      <c r="J1219" s="25">
        <v>0</v>
      </c>
      <c r="K1219" s="26">
        <v>0</v>
      </c>
      <c r="L1219" s="26">
        <v>0</v>
      </c>
    </row>
    <row r="1220" spans="1:12" ht="16" customHeight="1">
      <c r="A1220" t="s">
        <v>226</v>
      </c>
      <c r="B1220" t="s">
        <v>4</v>
      </c>
      <c r="C1220" t="s">
        <v>58</v>
      </c>
      <c r="D1220" s="24">
        <v>46174</v>
      </c>
      <c r="E1220" t="s">
        <v>226</v>
      </c>
      <c r="F1220" t="s">
        <v>4</v>
      </c>
      <c r="G1220" t="s">
        <v>217</v>
      </c>
      <c r="H1220" t="s">
        <v>217</v>
      </c>
      <c r="I1220" t="s">
        <v>212</v>
      </c>
      <c r="J1220" s="25">
        <v>90608397</v>
      </c>
      <c r="K1220" s="26">
        <v>15671379.449999999</v>
      </c>
      <c r="L1220" s="26">
        <v>16577.560000000001</v>
      </c>
    </row>
    <row r="1221" spans="1:12" ht="16" customHeight="1">
      <c r="A1221" t="s">
        <v>226</v>
      </c>
      <c r="B1221" t="s">
        <v>4</v>
      </c>
      <c r="C1221" t="s">
        <v>58</v>
      </c>
      <c r="D1221" s="24">
        <v>46174</v>
      </c>
      <c r="E1221" t="s">
        <v>457</v>
      </c>
      <c r="F1221" t="s">
        <v>4</v>
      </c>
      <c r="G1221" t="s">
        <v>217</v>
      </c>
      <c r="H1221" t="s">
        <v>217</v>
      </c>
      <c r="I1221" t="s">
        <v>219</v>
      </c>
      <c r="J1221" s="25">
        <v>658052</v>
      </c>
      <c r="K1221" s="26">
        <v>115760.16</v>
      </c>
      <c r="L1221" s="26">
        <v>1439.16</v>
      </c>
    </row>
    <row r="1222" spans="1:12" ht="16" customHeight="1">
      <c r="A1222" t="s">
        <v>226</v>
      </c>
      <c r="B1222" t="s">
        <v>4</v>
      </c>
      <c r="C1222" t="s">
        <v>58</v>
      </c>
      <c r="D1222" s="24">
        <v>46174</v>
      </c>
      <c r="E1222" t="s">
        <v>476</v>
      </c>
      <c r="F1222" t="s">
        <v>4</v>
      </c>
      <c r="G1222" t="s">
        <v>217</v>
      </c>
      <c r="H1222" t="s">
        <v>217</v>
      </c>
      <c r="I1222" t="s">
        <v>221</v>
      </c>
      <c r="J1222" s="25">
        <v>11039</v>
      </c>
      <c r="K1222" s="26">
        <v>1937.38</v>
      </c>
      <c r="L1222" s="26">
        <v>31.73</v>
      </c>
    </row>
    <row r="1223" spans="1:12" ht="16" customHeight="1">
      <c r="A1223" t="s">
        <v>226</v>
      </c>
      <c r="B1223" t="s">
        <v>4</v>
      </c>
      <c r="C1223" t="s">
        <v>58</v>
      </c>
      <c r="D1223" s="24">
        <v>46174</v>
      </c>
      <c r="E1223" t="s">
        <v>269</v>
      </c>
      <c r="F1223" t="s">
        <v>4</v>
      </c>
      <c r="G1223" t="s">
        <v>217</v>
      </c>
      <c r="H1223" t="s">
        <v>217</v>
      </c>
      <c r="I1223" t="s">
        <v>223</v>
      </c>
      <c r="J1223" s="25">
        <v>1586</v>
      </c>
      <c r="K1223" s="26">
        <v>283.43</v>
      </c>
      <c r="L1223" s="26">
        <v>4.78</v>
      </c>
    </row>
    <row r="1224" spans="1:12" ht="16" customHeight="1">
      <c r="A1224" t="s">
        <v>226</v>
      </c>
      <c r="B1224" t="s">
        <v>4</v>
      </c>
      <c r="C1224" t="s">
        <v>58</v>
      </c>
      <c r="D1224" s="24">
        <v>46174</v>
      </c>
      <c r="E1224" t="s">
        <v>228</v>
      </c>
      <c r="F1224" t="s">
        <v>4</v>
      </c>
      <c r="G1224" t="s">
        <v>217</v>
      </c>
      <c r="H1224" t="s">
        <v>217</v>
      </c>
      <c r="I1224" t="s">
        <v>225</v>
      </c>
      <c r="J1224" s="25">
        <v>72</v>
      </c>
      <c r="K1224" s="26">
        <v>12.86</v>
      </c>
      <c r="L1224" s="26">
        <v>0.39</v>
      </c>
    </row>
    <row r="1225" spans="1:12" ht="16" customHeight="1">
      <c r="A1225" t="s">
        <v>226</v>
      </c>
      <c r="B1225" t="s">
        <v>4</v>
      </c>
      <c r="C1225" t="s">
        <v>58</v>
      </c>
      <c r="D1225" s="24">
        <v>46174</v>
      </c>
      <c r="E1225" t="s">
        <v>439</v>
      </c>
      <c r="F1225" t="s">
        <v>4</v>
      </c>
      <c r="G1225" t="s">
        <v>217</v>
      </c>
      <c r="H1225" t="s">
        <v>217</v>
      </c>
      <c r="I1225" t="s">
        <v>227</v>
      </c>
      <c r="J1225" s="25">
        <v>0</v>
      </c>
      <c r="K1225" s="26">
        <v>0</v>
      </c>
      <c r="L1225" s="26">
        <v>0</v>
      </c>
    </row>
    <row r="1226" spans="1:12" ht="16" customHeight="1">
      <c r="A1226" t="s">
        <v>498</v>
      </c>
      <c r="B1226" t="s">
        <v>5</v>
      </c>
      <c r="C1226" t="s">
        <v>59</v>
      </c>
      <c r="D1226" s="24">
        <v>46204</v>
      </c>
      <c r="E1226" t="s">
        <v>457</v>
      </c>
      <c r="F1226" t="s">
        <v>4</v>
      </c>
      <c r="G1226" t="s">
        <v>217</v>
      </c>
      <c r="H1226" t="s">
        <v>217</v>
      </c>
      <c r="I1226" t="s">
        <v>212</v>
      </c>
      <c r="J1226" s="25">
        <v>1531718</v>
      </c>
      <c r="K1226" s="26">
        <v>269163.88</v>
      </c>
      <c r="L1226" s="26">
        <v>2775.57</v>
      </c>
    </row>
    <row r="1227" spans="1:12" ht="16" customHeight="1">
      <c r="A1227" t="s">
        <v>498</v>
      </c>
      <c r="B1227" t="s">
        <v>5</v>
      </c>
      <c r="C1227" t="s">
        <v>59</v>
      </c>
      <c r="D1227" s="24">
        <v>46204</v>
      </c>
      <c r="E1227" t="s">
        <v>476</v>
      </c>
      <c r="F1227" t="s">
        <v>4</v>
      </c>
      <c r="G1227" t="s">
        <v>217</v>
      </c>
      <c r="H1227" t="s">
        <v>217</v>
      </c>
      <c r="I1227" t="s">
        <v>219</v>
      </c>
      <c r="J1227" s="25">
        <v>15430</v>
      </c>
      <c r="K1227" s="26">
        <v>2669.15</v>
      </c>
      <c r="L1227" s="26">
        <v>34.39</v>
      </c>
    </row>
    <row r="1228" spans="1:12" ht="16" customHeight="1">
      <c r="A1228" t="s">
        <v>498</v>
      </c>
      <c r="B1228" t="s">
        <v>5</v>
      </c>
      <c r="C1228" t="s">
        <v>59</v>
      </c>
      <c r="D1228" s="24">
        <v>46204</v>
      </c>
      <c r="E1228" t="s">
        <v>269</v>
      </c>
      <c r="F1228" t="s">
        <v>4</v>
      </c>
      <c r="G1228" t="s">
        <v>217</v>
      </c>
      <c r="H1228" t="s">
        <v>217</v>
      </c>
      <c r="I1228" t="s">
        <v>221</v>
      </c>
      <c r="J1228" s="25">
        <v>3290</v>
      </c>
      <c r="K1228" s="26">
        <v>562.59</v>
      </c>
      <c r="L1228" s="26">
        <v>7.53</v>
      </c>
    </row>
    <row r="1229" spans="1:12" ht="16" customHeight="1">
      <c r="A1229" t="s">
        <v>498</v>
      </c>
      <c r="B1229" t="s">
        <v>5</v>
      </c>
      <c r="C1229" t="s">
        <v>59</v>
      </c>
      <c r="D1229" s="24">
        <v>46204</v>
      </c>
      <c r="E1229" t="s">
        <v>228</v>
      </c>
      <c r="F1229" t="s">
        <v>4</v>
      </c>
      <c r="G1229" t="s">
        <v>217</v>
      </c>
      <c r="H1229" t="s">
        <v>217</v>
      </c>
      <c r="I1229" t="s">
        <v>267</v>
      </c>
      <c r="J1229" s="25">
        <v>681</v>
      </c>
      <c r="K1229" s="26">
        <v>96.76</v>
      </c>
      <c r="L1229" s="26">
        <v>0.66</v>
      </c>
    </row>
    <row r="1230" spans="1:12" ht="16" customHeight="1">
      <c r="A1230" t="s">
        <v>498</v>
      </c>
      <c r="B1230" t="s">
        <v>5</v>
      </c>
      <c r="C1230" t="s">
        <v>59</v>
      </c>
      <c r="D1230" s="24">
        <v>46204</v>
      </c>
      <c r="E1230" t="s">
        <v>439</v>
      </c>
      <c r="F1230" t="s">
        <v>4</v>
      </c>
      <c r="G1230" t="s">
        <v>217</v>
      </c>
      <c r="H1230" t="s">
        <v>217</v>
      </c>
      <c r="I1230" t="s">
        <v>268</v>
      </c>
      <c r="J1230" s="25">
        <v>0</v>
      </c>
      <c r="K1230" s="26">
        <v>0</v>
      </c>
      <c r="L1230" s="26">
        <v>0</v>
      </c>
    </row>
    <row r="1231" spans="1:12" ht="16" customHeight="1">
      <c r="A1231" t="s">
        <v>498</v>
      </c>
      <c r="B1231" t="s">
        <v>5</v>
      </c>
      <c r="C1231" t="s">
        <v>59</v>
      </c>
      <c r="D1231" s="24">
        <v>46204</v>
      </c>
      <c r="E1231" t="s">
        <v>230</v>
      </c>
      <c r="F1231" t="s">
        <v>4</v>
      </c>
      <c r="G1231" t="s">
        <v>217</v>
      </c>
      <c r="H1231" t="s">
        <v>217</v>
      </c>
      <c r="I1231" t="s">
        <v>270</v>
      </c>
      <c r="J1231" s="25">
        <v>0</v>
      </c>
      <c r="K1231" s="26">
        <v>0</v>
      </c>
      <c r="L1231" s="26">
        <v>0</v>
      </c>
    </row>
    <row r="1232" spans="1:12" ht="16" customHeight="1">
      <c r="A1232" t="s">
        <v>500</v>
      </c>
      <c r="B1232" t="s">
        <v>6</v>
      </c>
      <c r="C1232" t="s">
        <v>59</v>
      </c>
      <c r="D1232" s="24">
        <v>46204</v>
      </c>
      <c r="E1232" t="s">
        <v>457</v>
      </c>
      <c r="F1232" t="s">
        <v>4</v>
      </c>
      <c r="G1232" t="s">
        <v>217</v>
      </c>
      <c r="H1232" t="s">
        <v>217</v>
      </c>
      <c r="I1232" t="s">
        <v>212</v>
      </c>
      <c r="J1232" s="25">
        <v>1501955</v>
      </c>
      <c r="K1232" s="26">
        <v>264403.87</v>
      </c>
      <c r="L1232" s="26">
        <v>2705.59</v>
      </c>
    </row>
    <row r="1233" spans="1:12" ht="16" customHeight="1">
      <c r="A1233" t="s">
        <v>500</v>
      </c>
      <c r="B1233" t="s">
        <v>6</v>
      </c>
      <c r="C1233" t="s">
        <v>59</v>
      </c>
      <c r="D1233" s="24">
        <v>46204</v>
      </c>
      <c r="E1233" t="s">
        <v>476</v>
      </c>
      <c r="F1233" t="s">
        <v>4</v>
      </c>
      <c r="G1233" t="s">
        <v>217</v>
      </c>
      <c r="H1233" t="s">
        <v>217</v>
      </c>
      <c r="I1233" t="s">
        <v>219</v>
      </c>
      <c r="J1233" s="25">
        <v>16533</v>
      </c>
      <c r="K1233" s="26">
        <v>2914.49</v>
      </c>
      <c r="L1233" s="26">
        <v>40.299999999999997</v>
      </c>
    </row>
    <row r="1234" spans="1:12" ht="16" customHeight="1">
      <c r="A1234" t="s">
        <v>500</v>
      </c>
      <c r="B1234" t="s">
        <v>6</v>
      </c>
      <c r="C1234" t="s">
        <v>59</v>
      </c>
      <c r="D1234" s="24">
        <v>46204</v>
      </c>
      <c r="E1234" t="s">
        <v>269</v>
      </c>
      <c r="F1234" t="s">
        <v>4</v>
      </c>
      <c r="G1234" t="s">
        <v>217</v>
      </c>
      <c r="H1234" t="s">
        <v>217</v>
      </c>
      <c r="I1234" t="s">
        <v>221</v>
      </c>
      <c r="J1234" s="25">
        <v>2461</v>
      </c>
      <c r="K1234" s="26">
        <v>417.71</v>
      </c>
      <c r="L1234" s="26">
        <v>5.6</v>
      </c>
    </row>
    <row r="1235" spans="1:12" ht="16" customHeight="1">
      <c r="A1235" t="s">
        <v>500</v>
      </c>
      <c r="B1235" t="s">
        <v>6</v>
      </c>
      <c r="C1235" t="s">
        <v>59</v>
      </c>
      <c r="D1235" s="24">
        <v>46204</v>
      </c>
      <c r="E1235" t="s">
        <v>228</v>
      </c>
      <c r="F1235" t="s">
        <v>4</v>
      </c>
      <c r="G1235" t="s">
        <v>217</v>
      </c>
      <c r="H1235" t="s">
        <v>217</v>
      </c>
      <c r="I1235" t="s">
        <v>267</v>
      </c>
      <c r="J1235" s="25">
        <v>130</v>
      </c>
      <c r="K1235" s="26">
        <v>22.33</v>
      </c>
      <c r="L1235" s="26">
        <v>0.44</v>
      </c>
    </row>
    <row r="1236" spans="1:12" ht="16" customHeight="1">
      <c r="A1236" t="s">
        <v>500</v>
      </c>
      <c r="B1236" t="s">
        <v>6</v>
      </c>
      <c r="C1236" t="s">
        <v>59</v>
      </c>
      <c r="D1236" s="24">
        <v>46204</v>
      </c>
      <c r="E1236" t="s">
        <v>439</v>
      </c>
      <c r="F1236" t="s">
        <v>4</v>
      </c>
      <c r="G1236" t="s">
        <v>217</v>
      </c>
      <c r="H1236" t="s">
        <v>217</v>
      </c>
      <c r="I1236" t="s">
        <v>268</v>
      </c>
      <c r="J1236" s="25">
        <v>0</v>
      </c>
      <c r="K1236" s="26">
        <v>0</v>
      </c>
      <c r="L1236" s="26">
        <v>0</v>
      </c>
    </row>
    <row r="1237" spans="1:12" ht="16" customHeight="1">
      <c r="A1237" t="s">
        <v>500</v>
      </c>
      <c r="B1237" t="s">
        <v>6</v>
      </c>
      <c r="C1237" t="s">
        <v>59</v>
      </c>
      <c r="D1237" s="24">
        <v>46204</v>
      </c>
      <c r="E1237" t="s">
        <v>230</v>
      </c>
      <c r="F1237" t="s">
        <v>4</v>
      </c>
      <c r="G1237" t="s">
        <v>217</v>
      </c>
      <c r="H1237" t="s">
        <v>217</v>
      </c>
      <c r="I1237" t="s">
        <v>270</v>
      </c>
      <c r="J1237" s="25">
        <v>0</v>
      </c>
      <c r="K1237" s="26">
        <v>0</v>
      </c>
      <c r="L1237" s="26">
        <v>0</v>
      </c>
    </row>
    <row r="1238" spans="1:12" ht="16" customHeight="1">
      <c r="A1238" t="s">
        <v>501</v>
      </c>
      <c r="B1238" t="s">
        <v>7</v>
      </c>
      <c r="C1238" t="s">
        <v>59</v>
      </c>
      <c r="D1238" s="24">
        <v>46204</v>
      </c>
      <c r="E1238" t="s">
        <v>457</v>
      </c>
      <c r="F1238" t="s">
        <v>4</v>
      </c>
      <c r="G1238" t="s">
        <v>217</v>
      </c>
      <c r="H1238" t="s">
        <v>217</v>
      </c>
      <c r="I1238" t="s">
        <v>212</v>
      </c>
      <c r="J1238" s="25">
        <v>1623313</v>
      </c>
      <c r="K1238" s="26">
        <v>286264.42</v>
      </c>
      <c r="L1238" s="26">
        <v>2888.71</v>
      </c>
    </row>
    <row r="1239" spans="1:12" ht="16" customHeight="1">
      <c r="A1239" t="s">
        <v>501</v>
      </c>
      <c r="B1239" t="s">
        <v>7</v>
      </c>
      <c r="C1239" t="s">
        <v>59</v>
      </c>
      <c r="D1239" s="24">
        <v>46204</v>
      </c>
      <c r="E1239" t="s">
        <v>476</v>
      </c>
      <c r="F1239" t="s">
        <v>4</v>
      </c>
      <c r="G1239" t="s">
        <v>217</v>
      </c>
      <c r="H1239" t="s">
        <v>217</v>
      </c>
      <c r="I1239" t="s">
        <v>219</v>
      </c>
      <c r="J1239" s="25">
        <v>23323</v>
      </c>
      <c r="K1239" s="26">
        <v>4094.08</v>
      </c>
      <c r="L1239" s="26">
        <v>58.41</v>
      </c>
    </row>
    <row r="1240" spans="1:12" ht="16" customHeight="1">
      <c r="A1240" t="s">
        <v>501</v>
      </c>
      <c r="B1240" t="s">
        <v>7</v>
      </c>
      <c r="C1240" t="s">
        <v>59</v>
      </c>
      <c r="D1240" s="24">
        <v>46204</v>
      </c>
      <c r="E1240" t="s">
        <v>269</v>
      </c>
      <c r="F1240" t="s">
        <v>4</v>
      </c>
      <c r="G1240" t="s">
        <v>217</v>
      </c>
      <c r="H1240" t="s">
        <v>217</v>
      </c>
      <c r="I1240" t="s">
        <v>221</v>
      </c>
      <c r="J1240" s="25">
        <v>3664</v>
      </c>
      <c r="K1240" s="26">
        <v>637.65</v>
      </c>
      <c r="L1240" s="26">
        <v>11.78</v>
      </c>
    </row>
    <row r="1241" spans="1:12" ht="16" customHeight="1">
      <c r="A1241" t="s">
        <v>501</v>
      </c>
      <c r="B1241" t="s">
        <v>7</v>
      </c>
      <c r="C1241" t="s">
        <v>59</v>
      </c>
      <c r="D1241" s="24">
        <v>46204</v>
      </c>
      <c r="E1241" t="s">
        <v>228</v>
      </c>
      <c r="F1241" t="s">
        <v>4</v>
      </c>
      <c r="G1241" t="s">
        <v>217</v>
      </c>
      <c r="H1241" t="s">
        <v>217</v>
      </c>
      <c r="I1241" t="s">
        <v>267</v>
      </c>
      <c r="J1241" s="25">
        <v>95</v>
      </c>
      <c r="K1241" s="26">
        <v>16.41</v>
      </c>
      <c r="L1241" s="26">
        <v>0.34</v>
      </c>
    </row>
    <row r="1242" spans="1:12" ht="16" customHeight="1">
      <c r="A1242" t="s">
        <v>501</v>
      </c>
      <c r="B1242" t="s">
        <v>7</v>
      </c>
      <c r="C1242" t="s">
        <v>59</v>
      </c>
      <c r="D1242" s="24">
        <v>46204</v>
      </c>
      <c r="E1242" t="s">
        <v>439</v>
      </c>
      <c r="F1242" t="s">
        <v>4</v>
      </c>
      <c r="G1242" t="s">
        <v>217</v>
      </c>
      <c r="H1242" t="s">
        <v>217</v>
      </c>
      <c r="I1242" t="s">
        <v>268</v>
      </c>
      <c r="J1242" s="25">
        <v>0</v>
      </c>
      <c r="K1242" s="26">
        <v>0</v>
      </c>
      <c r="L1242" s="26">
        <v>0</v>
      </c>
    </row>
    <row r="1243" spans="1:12" ht="16" customHeight="1">
      <c r="A1243" t="s">
        <v>501</v>
      </c>
      <c r="B1243" t="s">
        <v>7</v>
      </c>
      <c r="C1243" t="s">
        <v>59</v>
      </c>
      <c r="D1243" s="24">
        <v>46204</v>
      </c>
      <c r="E1243" t="s">
        <v>230</v>
      </c>
      <c r="F1243" t="s">
        <v>4</v>
      </c>
      <c r="G1243" t="s">
        <v>217</v>
      </c>
      <c r="H1243" t="s">
        <v>217</v>
      </c>
      <c r="I1243" t="s">
        <v>270</v>
      </c>
      <c r="J1243" s="25">
        <v>0</v>
      </c>
      <c r="K1243" s="26">
        <v>0</v>
      </c>
      <c r="L1243" s="26">
        <v>0</v>
      </c>
    </row>
    <row r="1244" spans="1:12" ht="16" customHeight="1">
      <c r="A1244" t="s">
        <v>502</v>
      </c>
      <c r="B1244" t="s">
        <v>3</v>
      </c>
      <c r="C1244" t="s">
        <v>59</v>
      </c>
      <c r="D1244" s="24">
        <v>46204</v>
      </c>
      <c r="E1244" t="s">
        <v>457</v>
      </c>
      <c r="F1244" t="s">
        <v>4</v>
      </c>
      <c r="G1244" t="s">
        <v>217</v>
      </c>
      <c r="H1244" t="s">
        <v>217</v>
      </c>
      <c r="I1244" t="s">
        <v>212</v>
      </c>
      <c r="J1244" s="25">
        <v>1652760</v>
      </c>
      <c r="K1244" s="26">
        <v>292172.87</v>
      </c>
      <c r="L1244" s="26">
        <v>2580.63</v>
      </c>
    </row>
    <row r="1245" spans="1:12" ht="16" customHeight="1">
      <c r="A1245" t="s">
        <v>502</v>
      </c>
      <c r="B1245" t="s">
        <v>3</v>
      </c>
      <c r="C1245" t="s">
        <v>59</v>
      </c>
      <c r="D1245" s="24">
        <v>46204</v>
      </c>
      <c r="E1245" t="s">
        <v>476</v>
      </c>
      <c r="F1245" t="s">
        <v>4</v>
      </c>
      <c r="G1245" t="s">
        <v>217</v>
      </c>
      <c r="H1245" t="s">
        <v>217</v>
      </c>
      <c r="I1245" t="s">
        <v>219</v>
      </c>
      <c r="J1245" s="25">
        <v>23715</v>
      </c>
      <c r="K1245" s="26">
        <v>4121.33</v>
      </c>
      <c r="L1245" s="26">
        <v>46.71</v>
      </c>
    </row>
    <row r="1246" spans="1:12" ht="16" customHeight="1">
      <c r="A1246" t="s">
        <v>502</v>
      </c>
      <c r="B1246" t="s">
        <v>3</v>
      </c>
      <c r="C1246" t="s">
        <v>59</v>
      </c>
      <c r="D1246" s="24">
        <v>46204</v>
      </c>
      <c r="E1246" t="s">
        <v>269</v>
      </c>
      <c r="F1246" t="s">
        <v>4</v>
      </c>
      <c r="G1246" t="s">
        <v>217</v>
      </c>
      <c r="H1246" t="s">
        <v>217</v>
      </c>
      <c r="I1246" t="s">
        <v>221</v>
      </c>
      <c r="J1246" s="25">
        <v>3246</v>
      </c>
      <c r="K1246" s="26">
        <v>569.29999999999995</v>
      </c>
      <c r="L1246" s="26">
        <v>9.5</v>
      </c>
    </row>
    <row r="1247" spans="1:12" ht="16" customHeight="1">
      <c r="A1247" t="s">
        <v>502</v>
      </c>
      <c r="B1247" t="s">
        <v>3</v>
      </c>
      <c r="C1247" t="s">
        <v>59</v>
      </c>
      <c r="D1247" s="24">
        <v>46204</v>
      </c>
      <c r="E1247" t="s">
        <v>228</v>
      </c>
      <c r="F1247" t="s">
        <v>4</v>
      </c>
      <c r="G1247" t="s">
        <v>217</v>
      </c>
      <c r="H1247" t="s">
        <v>217</v>
      </c>
      <c r="I1247" t="s">
        <v>267</v>
      </c>
      <c r="J1247" s="25">
        <v>205</v>
      </c>
      <c r="K1247" s="26">
        <v>34.86</v>
      </c>
      <c r="L1247" s="26">
        <v>0.61</v>
      </c>
    </row>
    <row r="1248" spans="1:12" ht="16" customHeight="1">
      <c r="A1248" t="s">
        <v>502</v>
      </c>
      <c r="B1248" t="s">
        <v>3</v>
      </c>
      <c r="C1248" t="s">
        <v>59</v>
      </c>
      <c r="D1248" s="24">
        <v>46204</v>
      </c>
      <c r="E1248" t="s">
        <v>439</v>
      </c>
      <c r="F1248" t="s">
        <v>4</v>
      </c>
      <c r="G1248" t="s">
        <v>217</v>
      </c>
      <c r="H1248" t="s">
        <v>217</v>
      </c>
      <c r="I1248" t="s">
        <v>268</v>
      </c>
      <c r="J1248" s="25">
        <v>0</v>
      </c>
      <c r="K1248" s="26">
        <v>0</v>
      </c>
      <c r="L1248" s="26">
        <v>0</v>
      </c>
    </row>
    <row r="1249" spans="1:12" ht="16" customHeight="1">
      <c r="A1249" t="s">
        <v>502</v>
      </c>
      <c r="B1249" t="s">
        <v>3</v>
      </c>
      <c r="C1249" t="s">
        <v>59</v>
      </c>
      <c r="D1249" s="24">
        <v>46204</v>
      </c>
      <c r="E1249" t="s">
        <v>230</v>
      </c>
      <c r="F1249" t="s">
        <v>4</v>
      </c>
      <c r="G1249" t="s">
        <v>217</v>
      </c>
      <c r="H1249" t="s">
        <v>217</v>
      </c>
      <c r="I1249" t="s">
        <v>270</v>
      </c>
      <c r="J1249" s="25">
        <v>0</v>
      </c>
      <c r="K1249" s="26">
        <v>0</v>
      </c>
      <c r="L1249" s="26">
        <v>0</v>
      </c>
    </row>
    <row r="1250" spans="1:12" ht="16" customHeight="1">
      <c r="A1250" t="s">
        <v>480</v>
      </c>
      <c r="B1250" t="s">
        <v>4</v>
      </c>
      <c r="C1250" t="s">
        <v>59</v>
      </c>
      <c r="D1250" s="24">
        <v>46204</v>
      </c>
      <c r="E1250" t="s">
        <v>457</v>
      </c>
      <c r="F1250" t="s">
        <v>4</v>
      </c>
      <c r="G1250" t="s">
        <v>217</v>
      </c>
      <c r="H1250" t="s">
        <v>217</v>
      </c>
      <c r="I1250" t="s">
        <v>212</v>
      </c>
      <c r="J1250" s="25">
        <v>1591088</v>
      </c>
      <c r="K1250" s="26">
        <v>280671.01</v>
      </c>
      <c r="L1250" s="26">
        <v>2277.4699999999998</v>
      </c>
    </row>
    <row r="1251" spans="1:12" ht="16" customHeight="1">
      <c r="A1251" t="s">
        <v>480</v>
      </c>
      <c r="B1251" t="s">
        <v>4</v>
      </c>
      <c r="C1251" t="s">
        <v>59</v>
      </c>
      <c r="D1251" s="24">
        <v>46204</v>
      </c>
      <c r="E1251" t="s">
        <v>476</v>
      </c>
      <c r="F1251" t="s">
        <v>4</v>
      </c>
      <c r="G1251" t="s">
        <v>217</v>
      </c>
      <c r="H1251" t="s">
        <v>217</v>
      </c>
      <c r="I1251" t="s">
        <v>219</v>
      </c>
      <c r="J1251" s="25">
        <v>19016</v>
      </c>
      <c r="K1251" s="26">
        <v>3345.12</v>
      </c>
      <c r="L1251" s="26">
        <v>38.71</v>
      </c>
    </row>
    <row r="1252" spans="1:12" ht="16" customHeight="1">
      <c r="A1252" t="s">
        <v>480</v>
      </c>
      <c r="B1252" t="s">
        <v>4</v>
      </c>
      <c r="C1252" t="s">
        <v>59</v>
      </c>
      <c r="D1252" s="24">
        <v>46204</v>
      </c>
      <c r="E1252" t="s">
        <v>269</v>
      </c>
      <c r="F1252" t="s">
        <v>4</v>
      </c>
      <c r="G1252" t="s">
        <v>217</v>
      </c>
      <c r="H1252" t="s">
        <v>217</v>
      </c>
      <c r="I1252" t="s">
        <v>221</v>
      </c>
      <c r="J1252" s="25">
        <v>2629</v>
      </c>
      <c r="K1252" s="26">
        <v>459.61</v>
      </c>
      <c r="L1252" s="26">
        <v>7.24</v>
      </c>
    </row>
    <row r="1253" spans="1:12" ht="16" customHeight="1">
      <c r="A1253" t="s">
        <v>480</v>
      </c>
      <c r="B1253" t="s">
        <v>4</v>
      </c>
      <c r="C1253" t="s">
        <v>59</v>
      </c>
      <c r="D1253" s="24">
        <v>46204</v>
      </c>
      <c r="E1253" t="s">
        <v>228</v>
      </c>
      <c r="F1253" t="s">
        <v>4</v>
      </c>
      <c r="G1253" t="s">
        <v>217</v>
      </c>
      <c r="H1253" t="s">
        <v>217</v>
      </c>
      <c r="I1253" t="s">
        <v>267</v>
      </c>
      <c r="J1253" s="25">
        <v>154</v>
      </c>
      <c r="K1253" s="26">
        <v>26.59</v>
      </c>
      <c r="L1253" s="26">
        <v>0.5</v>
      </c>
    </row>
    <row r="1254" spans="1:12" ht="16" customHeight="1">
      <c r="A1254" t="s">
        <v>480</v>
      </c>
      <c r="B1254" t="s">
        <v>4</v>
      </c>
      <c r="C1254" t="s">
        <v>59</v>
      </c>
      <c r="D1254" s="24">
        <v>46204</v>
      </c>
      <c r="E1254" t="s">
        <v>439</v>
      </c>
      <c r="F1254" t="s">
        <v>4</v>
      </c>
      <c r="G1254" t="s">
        <v>217</v>
      </c>
      <c r="H1254" t="s">
        <v>217</v>
      </c>
      <c r="I1254" t="s">
        <v>268</v>
      </c>
      <c r="J1254" s="25">
        <v>0</v>
      </c>
      <c r="K1254" s="26">
        <v>0</v>
      </c>
      <c r="L1254" s="26">
        <v>0</v>
      </c>
    </row>
    <row r="1255" spans="1:12" ht="16" customHeight="1">
      <c r="A1255" t="s">
        <v>480</v>
      </c>
      <c r="B1255" t="s">
        <v>4</v>
      </c>
      <c r="C1255" t="s">
        <v>59</v>
      </c>
      <c r="D1255" s="24">
        <v>46204</v>
      </c>
      <c r="E1255" t="s">
        <v>230</v>
      </c>
      <c r="F1255" t="s">
        <v>4</v>
      </c>
      <c r="G1255" t="s">
        <v>217</v>
      </c>
      <c r="H1255" t="s">
        <v>217</v>
      </c>
      <c r="I1255" t="s">
        <v>270</v>
      </c>
      <c r="J1255" s="25">
        <v>0</v>
      </c>
      <c r="K1255" s="26">
        <v>0</v>
      </c>
      <c r="L1255" s="26">
        <v>0</v>
      </c>
    </row>
    <row r="1256" spans="1:12" ht="16">
      <c r="A1256" t="s">
        <v>503</v>
      </c>
      <c r="B1256" t="s">
        <v>5</v>
      </c>
      <c r="C1256" t="s">
        <v>60</v>
      </c>
      <c r="D1256" s="24">
        <v>46204</v>
      </c>
      <c r="E1256" t="s">
        <v>457</v>
      </c>
      <c r="F1256" t="s">
        <v>4</v>
      </c>
      <c r="G1256" t="s">
        <v>217</v>
      </c>
      <c r="H1256" t="s">
        <v>217</v>
      </c>
      <c r="I1256" t="s">
        <v>212</v>
      </c>
      <c r="J1256" s="25">
        <v>3176686</v>
      </c>
      <c r="K1256" s="26">
        <v>553040.37</v>
      </c>
      <c r="L1256" s="26">
        <v>4742.74</v>
      </c>
    </row>
    <row r="1257" spans="1:12" ht="16">
      <c r="A1257" t="s">
        <v>503</v>
      </c>
      <c r="B1257" t="s">
        <v>5</v>
      </c>
      <c r="C1257" t="s">
        <v>60</v>
      </c>
      <c r="D1257" s="24">
        <v>46204</v>
      </c>
      <c r="E1257" t="s">
        <v>476</v>
      </c>
      <c r="F1257" t="s">
        <v>4</v>
      </c>
      <c r="G1257" t="s">
        <v>217</v>
      </c>
      <c r="H1257" t="s">
        <v>217</v>
      </c>
      <c r="I1257" t="s">
        <v>219</v>
      </c>
      <c r="J1257" s="25">
        <v>71715</v>
      </c>
      <c r="K1257" s="26">
        <v>12560.2</v>
      </c>
      <c r="L1257" s="26">
        <v>171.56</v>
      </c>
    </row>
    <row r="1258" spans="1:12" ht="16">
      <c r="A1258" t="s">
        <v>503</v>
      </c>
      <c r="B1258" t="s">
        <v>5</v>
      </c>
      <c r="C1258" t="s">
        <v>60</v>
      </c>
      <c r="D1258" s="24">
        <v>46204</v>
      </c>
      <c r="E1258" t="s">
        <v>269</v>
      </c>
      <c r="F1258" t="s">
        <v>4</v>
      </c>
      <c r="G1258" t="s">
        <v>217</v>
      </c>
      <c r="H1258" t="s">
        <v>217</v>
      </c>
      <c r="I1258" t="s">
        <v>221</v>
      </c>
      <c r="J1258" s="25">
        <v>9458</v>
      </c>
      <c r="K1258" s="26">
        <v>1652.37</v>
      </c>
      <c r="L1258" s="26">
        <v>26.08</v>
      </c>
    </row>
    <row r="1259" spans="1:12" ht="16">
      <c r="A1259" t="s">
        <v>503</v>
      </c>
      <c r="B1259" t="s">
        <v>5</v>
      </c>
      <c r="C1259" t="s">
        <v>60</v>
      </c>
      <c r="D1259" s="24">
        <v>46204</v>
      </c>
      <c r="E1259" t="s">
        <v>228</v>
      </c>
      <c r="F1259" t="s">
        <v>4</v>
      </c>
      <c r="G1259" t="s">
        <v>217</v>
      </c>
      <c r="H1259" t="s">
        <v>217</v>
      </c>
      <c r="I1259" t="s">
        <v>267</v>
      </c>
      <c r="J1259" s="25">
        <v>724</v>
      </c>
      <c r="K1259" s="26">
        <v>123.32</v>
      </c>
      <c r="L1259" s="26">
        <v>2.69</v>
      </c>
    </row>
    <row r="1260" spans="1:12" ht="16">
      <c r="A1260" t="s">
        <v>503</v>
      </c>
      <c r="B1260" t="s">
        <v>5</v>
      </c>
      <c r="C1260" t="s">
        <v>60</v>
      </c>
      <c r="D1260" s="24">
        <v>46204</v>
      </c>
      <c r="E1260" t="s">
        <v>439</v>
      </c>
      <c r="F1260" t="s">
        <v>4</v>
      </c>
      <c r="G1260" t="s">
        <v>217</v>
      </c>
      <c r="H1260" t="s">
        <v>217</v>
      </c>
      <c r="I1260" t="s">
        <v>268</v>
      </c>
      <c r="J1260" s="25">
        <v>0</v>
      </c>
      <c r="K1260" s="26">
        <v>0</v>
      </c>
      <c r="L1260" s="26">
        <v>0</v>
      </c>
    </row>
    <row r="1261" spans="1:12" ht="16">
      <c r="A1261" t="s">
        <v>503</v>
      </c>
      <c r="B1261" t="s">
        <v>5</v>
      </c>
      <c r="C1261" t="s">
        <v>60</v>
      </c>
      <c r="D1261" s="24">
        <v>46204</v>
      </c>
      <c r="E1261" t="s">
        <v>230</v>
      </c>
      <c r="F1261" t="s">
        <v>4</v>
      </c>
      <c r="G1261" t="s">
        <v>217</v>
      </c>
      <c r="H1261" t="s">
        <v>217</v>
      </c>
      <c r="I1261" t="s">
        <v>270</v>
      </c>
      <c r="J1261" s="25">
        <v>0</v>
      </c>
      <c r="K1261" s="26">
        <v>0</v>
      </c>
      <c r="L1261" s="26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368"/>
  <sheetViews>
    <sheetView workbookViewId="0">
      <pane ySplit="1" topLeftCell="A828" activePane="bottomLeft" state="frozen"/>
      <selection pane="bottomLeft" sqref="A1:J1048576"/>
    </sheetView>
  </sheetViews>
  <sheetFormatPr baseColWidth="10" defaultColWidth="8.83203125" defaultRowHeight="15"/>
  <cols>
    <col min="1" max="1" width="12" style="4" customWidth="1"/>
    <col min="2" max="2" width="11" style="4" customWidth="1"/>
    <col min="3" max="3" width="18.83203125" style="4" customWidth="1"/>
    <col min="4" max="4" width="14" style="4" customWidth="1"/>
    <col min="5" max="5" width="12" style="4" customWidth="1"/>
    <col min="6" max="6" width="11" style="4" customWidth="1"/>
    <col min="7" max="7" width="20" style="4" customWidth="1"/>
    <col min="8" max="8" width="20.83203125" style="4" customWidth="1"/>
    <col min="9" max="9" width="18" style="4" customWidth="1"/>
    <col min="10" max="10" width="20" style="4" customWidth="1"/>
    <col min="11" max="12" width="26" style="4" customWidth="1"/>
    <col min="13" max="17" width="20" style="4" customWidth="1"/>
    <col min="18" max="29" width="8.83203125" style="4" customWidth="1"/>
    <col min="30" max="16384" width="8.83203125" style="4"/>
  </cols>
  <sheetData>
    <row r="1" spans="1:12" ht="16" customHeight="1">
      <c r="A1" s="35" t="s">
        <v>200</v>
      </c>
      <c r="B1" s="35" t="s">
        <v>201</v>
      </c>
      <c r="C1" s="35" t="s">
        <v>2</v>
      </c>
      <c r="D1" s="35" t="s">
        <v>192</v>
      </c>
      <c r="E1" s="35" t="s">
        <v>202</v>
      </c>
      <c r="F1" s="35" t="s">
        <v>203</v>
      </c>
      <c r="G1" s="35" t="s">
        <v>204</v>
      </c>
      <c r="H1" s="35" t="s">
        <v>205</v>
      </c>
      <c r="I1" s="35" t="s">
        <v>206</v>
      </c>
      <c r="J1" s="35" t="s">
        <v>207</v>
      </c>
      <c r="K1" s="35" t="s">
        <v>208</v>
      </c>
      <c r="L1" s="35" t="s">
        <v>157</v>
      </c>
    </row>
    <row r="2" spans="1:12" ht="16" customHeight="1">
      <c r="A2" t="s">
        <v>209</v>
      </c>
      <c r="B2" t="s">
        <v>3</v>
      </c>
      <c r="C2" t="s">
        <v>10</v>
      </c>
      <c r="D2" s="24">
        <v>45901</v>
      </c>
      <c r="E2" t="s">
        <v>247</v>
      </c>
      <c r="F2" t="s">
        <v>6</v>
      </c>
      <c r="G2" t="s">
        <v>505</v>
      </c>
      <c r="H2" t="s">
        <v>505</v>
      </c>
      <c r="I2" t="s">
        <v>212</v>
      </c>
      <c r="J2" s="25">
        <v>20321566</v>
      </c>
      <c r="K2" s="26">
        <v>3270809.82</v>
      </c>
      <c r="L2" s="26">
        <v>7659.21</v>
      </c>
    </row>
    <row r="3" spans="1:12" ht="16" customHeight="1">
      <c r="A3" t="s">
        <v>209</v>
      </c>
      <c r="B3" t="s">
        <v>3</v>
      </c>
      <c r="C3" t="s">
        <v>10</v>
      </c>
      <c r="D3" s="24">
        <v>45901</v>
      </c>
      <c r="E3" t="s">
        <v>252</v>
      </c>
      <c r="F3" t="s">
        <v>6</v>
      </c>
      <c r="G3" t="s">
        <v>505</v>
      </c>
      <c r="H3" t="s">
        <v>505</v>
      </c>
      <c r="I3" t="s">
        <v>212</v>
      </c>
      <c r="J3" s="25">
        <v>99880</v>
      </c>
      <c r="K3" s="26">
        <v>16161.7</v>
      </c>
      <c r="L3" s="26">
        <v>54.83</v>
      </c>
    </row>
    <row r="4" spans="1:12" ht="16" customHeight="1">
      <c r="A4" t="s">
        <v>209</v>
      </c>
      <c r="B4" t="s">
        <v>3</v>
      </c>
      <c r="C4" t="s">
        <v>10</v>
      </c>
      <c r="D4" s="24">
        <v>45901</v>
      </c>
      <c r="E4" t="s">
        <v>257</v>
      </c>
      <c r="F4" t="s">
        <v>6</v>
      </c>
      <c r="G4" t="s">
        <v>505</v>
      </c>
      <c r="H4" t="s">
        <v>505</v>
      </c>
      <c r="I4" t="s">
        <v>212</v>
      </c>
      <c r="J4" s="25">
        <v>1170</v>
      </c>
      <c r="K4" s="26">
        <v>190.15</v>
      </c>
      <c r="L4" s="26">
        <v>1.42</v>
      </c>
    </row>
    <row r="5" spans="1:12" ht="16" customHeight="1">
      <c r="A5" t="s">
        <v>209</v>
      </c>
      <c r="B5" t="s">
        <v>3</v>
      </c>
      <c r="C5" t="s">
        <v>10</v>
      </c>
      <c r="D5" s="24">
        <v>45901</v>
      </c>
      <c r="E5" t="s">
        <v>263</v>
      </c>
      <c r="F5" t="s">
        <v>6</v>
      </c>
      <c r="G5" t="s">
        <v>506</v>
      </c>
      <c r="H5" t="s">
        <v>506</v>
      </c>
      <c r="I5" t="s">
        <v>212</v>
      </c>
      <c r="J5" s="25">
        <v>11434</v>
      </c>
      <c r="K5" s="26">
        <v>1869.04</v>
      </c>
      <c r="L5" s="26">
        <v>12.49</v>
      </c>
    </row>
    <row r="6" spans="1:12" ht="16" customHeight="1">
      <c r="A6" t="s">
        <v>209</v>
      </c>
      <c r="B6" t="s">
        <v>3</v>
      </c>
      <c r="C6" t="s">
        <v>10</v>
      </c>
      <c r="D6" s="24">
        <v>45901</v>
      </c>
      <c r="E6" t="s">
        <v>266</v>
      </c>
      <c r="F6" t="s">
        <v>5</v>
      </c>
      <c r="G6" t="s">
        <v>507</v>
      </c>
      <c r="H6" t="s">
        <v>507</v>
      </c>
      <c r="I6" t="s">
        <v>219</v>
      </c>
      <c r="J6" s="25">
        <v>0</v>
      </c>
      <c r="K6" s="26">
        <v>0</v>
      </c>
      <c r="L6" s="26">
        <v>0</v>
      </c>
    </row>
    <row r="7" spans="1:12" ht="16" customHeight="1">
      <c r="A7" t="s">
        <v>209</v>
      </c>
      <c r="B7" t="s">
        <v>3</v>
      </c>
      <c r="C7" t="s">
        <v>10</v>
      </c>
      <c r="D7" s="24">
        <v>45901</v>
      </c>
      <c r="E7" t="s">
        <v>283</v>
      </c>
      <c r="F7" t="s">
        <v>6</v>
      </c>
      <c r="G7" t="s">
        <v>505</v>
      </c>
      <c r="H7" t="s">
        <v>505</v>
      </c>
      <c r="I7" t="s">
        <v>219</v>
      </c>
      <c r="J7" s="25">
        <v>0</v>
      </c>
      <c r="K7" s="26">
        <v>0</v>
      </c>
      <c r="L7" s="26">
        <v>0</v>
      </c>
    </row>
    <row r="8" spans="1:12" ht="16" customHeight="1">
      <c r="A8" t="s">
        <v>209</v>
      </c>
      <c r="B8" t="s">
        <v>3</v>
      </c>
      <c r="C8" t="s">
        <v>10</v>
      </c>
      <c r="D8" s="24">
        <v>45901</v>
      </c>
      <c r="E8" t="s">
        <v>297</v>
      </c>
      <c r="F8" t="s">
        <v>6</v>
      </c>
      <c r="G8" t="s">
        <v>506</v>
      </c>
      <c r="H8" t="s">
        <v>506</v>
      </c>
      <c r="I8" t="s">
        <v>219</v>
      </c>
      <c r="J8" s="25">
        <v>1</v>
      </c>
      <c r="K8" s="26">
        <v>0.16</v>
      </c>
      <c r="L8" s="26">
        <v>0</v>
      </c>
    </row>
    <row r="9" spans="1:12" ht="16" customHeight="1">
      <c r="A9" t="s">
        <v>210</v>
      </c>
      <c r="B9" t="s">
        <v>4</v>
      </c>
      <c r="C9" t="s">
        <v>10</v>
      </c>
      <c r="D9" s="24">
        <v>45901</v>
      </c>
      <c r="E9" t="s">
        <v>247</v>
      </c>
      <c r="F9" t="s">
        <v>6</v>
      </c>
      <c r="G9" t="s">
        <v>505</v>
      </c>
      <c r="H9" t="s">
        <v>505</v>
      </c>
      <c r="I9" t="s">
        <v>212</v>
      </c>
      <c r="J9" s="25">
        <v>31364724</v>
      </c>
      <c r="K9" s="26">
        <v>5058082.78</v>
      </c>
      <c r="L9" s="26">
        <v>9253.07</v>
      </c>
    </row>
    <row r="10" spans="1:12" ht="16" customHeight="1">
      <c r="A10" t="s">
        <v>210</v>
      </c>
      <c r="B10" t="s">
        <v>4</v>
      </c>
      <c r="C10" t="s">
        <v>10</v>
      </c>
      <c r="D10" s="24">
        <v>45901</v>
      </c>
      <c r="E10" t="s">
        <v>252</v>
      </c>
      <c r="F10" t="s">
        <v>6</v>
      </c>
      <c r="G10" t="s">
        <v>505</v>
      </c>
      <c r="H10" t="s">
        <v>505</v>
      </c>
      <c r="I10" t="s">
        <v>212</v>
      </c>
      <c r="J10" s="25">
        <v>237536</v>
      </c>
      <c r="K10" s="26">
        <v>38449.49</v>
      </c>
      <c r="L10" s="26">
        <v>120.91</v>
      </c>
    </row>
    <row r="11" spans="1:12" ht="16" customHeight="1">
      <c r="A11" t="s">
        <v>210</v>
      </c>
      <c r="B11" t="s">
        <v>4</v>
      </c>
      <c r="C11" t="s">
        <v>10</v>
      </c>
      <c r="D11" s="24">
        <v>45901</v>
      </c>
      <c r="E11" t="s">
        <v>257</v>
      </c>
      <c r="F11" t="s">
        <v>6</v>
      </c>
      <c r="G11" t="s">
        <v>505</v>
      </c>
      <c r="H11" t="s">
        <v>505</v>
      </c>
      <c r="I11" t="s">
        <v>212</v>
      </c>
      <c r="J11" s="25">
        <v>1918</v>
      </c>
      <c r="K11" s="26">
        <v>312.45</v>
      </c>
      <c r="L11" s="26">
        <v>2.14</v>
      </c>
    </row>
    <row r="12" spans="1:12" ht="16" customHeight="1">
      <c r="A12" t="s">
        <v>210</v>
      </c>
      <c r="B12" t="s">
        <v>4</v>
      </c>
      <c r="C12" t="s">
        <v>10</v>
      </c>
      <c r="D12" s="24">
        <v>45901</v>
      </c>
      <c r="E12" t="s">
        <v>263</v>
      </c>
      <c r="F12" t="s">
        <v>6</v>
      </c>
      <c r="G12" t="s">
        <v>506</v>
      </c>
      <c r="H12" t="s">
        <v>506</v>
      </c>
      <c r="I12" t="s">
        <v>212</v>
      </c>
      <c r="J12" s="25">
        <v>17640</v>
      </c>
      <c r="K12" s="26">
        <v>2877.96</v>
      </c>
      <c r="L12" s="26">
        <v>20.45</v>
      </c>
    </row>
    <row r="13" spans="1:12" ht="16" customHeight="1">
      <c r="A13" t="s">
        <v>210</v>
      </c>
      <c r="B13" t="s">
        <v>4</v>
      </c>
      <c r="C13" t="s">
        <v>10</v>
      </c>
      <c r="D13" s="24">
        <v>45901</v>
      </c>
      <c r="E13" t="s">
        <v>266</v>
      </c>
      <c r="F13" t="s">
        <v>5</v>
      </c>
      <c r="G13" t="s">
        <v>507</v>
      </c>
      <c r="H13" t="s">
        <v>507</v>
      </c>
      <c r="I13" t="s">
        <v>219</v>
      </c>
      <c r="J13" s="25">
        <v>0</v>
      </c>
      <c r="K13" s="26">
        <v>0</v>
      </c>
      <c r="L13" s="26">
        <v>0</v>
      </c>
    </row>
    <row r="14" spans="1:12" ht="16" customHeight="1">
      <c r="A14" t="s">
        <v>210</v>
      </c>
      <c r="B14" t="s">
        <v>4</v>
      </c>
      <c r="C14" t="s">
        <v>10</v>
      </c>
      <c r="D14" s="24">
        <v>45901</v>
      </c>
      <c r="E14" t="s">
        <v>283</v>
      </c>
      <c r="F14" t="s">
        <v>6</v>
      </c>
      <c r="G14" t="s">
        <v>505</v>
      </c>
      <c r="H14" t="s">
        <v>505</v>
      </c>
      <c r="I14" t="s">
        <v>219</v>
      </c>
      <c r="J14" s="25">
        <v>0</v>
      </c>
      <c r="K14" s="26">
        <v>0</v>
      </c>
      <c r="L14" s="26">
        <v>0</v>
      </c>
    </row>
    <row r="15" spans="1:12" ht="16" customHeight="1">
      <c r="A15" t="s">
        <v>210</v>
      </c>
      <c r="B15" t="s">
        <v>4</v>
      </c>
      <c r="C15" t="s">
        <v>10</v>
      </c>
      <c r="D15" s="24">
        <v>45901</v>
      </c>
      <c r="E15" t="s">
        <v>297</v>
      </c>
      <c r="F15" t="s">
        <v>6</v>
      </c>
      <c r="G15" t="s">
        <v>506</v>
      </c>
      <c r="H15" t="s">
        <v>506</v>
      </c>
      <c r="I15" t="s">
        <v>219</v>
      </c>
      <c r="J15" s="25">
        <v>6</v>
      </c>
      <c r="K15" s="26">
        <v>1.03</v>
      </c>
      <c r="L15" s="26">
        <v>0</v>
      </c>
    </row>
    <row r="16" spans="1:12" ht="16" customHeight="1">
      <c r="A16" t="s">
        <v>245</v>
      </c>
      <c r="B16" t="s">
        <v>5</v>
      </c>
      <c r="C16" t="s">
        <v>10</v>
      </c>
      <c r="D16" s="24">
        <v>45901</v>
      </c>
      <c r="E16" t="s">
        <v>247</v>
      </c>
      <c r="F16" t="s">
        <v>6</v>
      </c>
      <c r="G16" t="s">
        <v>505</v>
      </c>
      <c r="H16" t="s">
        <v>505</v>
      </c>
      <c r="I16" t="s">
        <v>212</v>
      </c>
      <c r="J16" s="25">
        <v>123053157</v>
      </c>
      <c r="K16" s="26">
        <v>19788299.190000001</v>
      </c>
      <c r="L16" s="26">
        <v>27291</v>
      </c>
    </row>
    <row r="17" spans="1:12" ht="16" customHeight="1">
      <c r="A17" t="s">
        <v>245</v>
      </c>
      <c r="B17" t="s">
        <v>5</v>
      </c>
      <c r="C17" t="s">
        <v>10</v>
      </c>
      <c r="D17" s="24">
        <v>45901</v>
      </c>
      <c r="E17" t="s">
        <v>252</v>
      </c>
      <c r="F17" t="s">
        <v>6</v>
      </c>
      <c r="G17" t="s">
        <v>505</v>
      </c>
      <c r="H17" t="s">
        <v>505</v>
      </c>
      <c r="I17" t="s">
        <v>212</v>
      </c>
      <c r="J17" s="25">
        <v>520443</v>
      </c>
      <c r="K17" s="26">
        <v>83991.92</v>
      </c>
      <c r="L17" s="26">
        <v>235.19</v>
      </c>
    </row>
    <row r="18" spans="1:12" ht="16" customHeight="1">
      <c r="A18" t="s">
        <v>245</v>
      </c>
      <c r="B18" t="s">
        <v>5</v>
      </c>
      <c r="C18" t="s">
        <v>10</v>
      </c>
      <c r="D18" s="24">
        <v>45901</v>
      </c>
      <c r="E18" t="s">
        <v>257</v>
      </c>
      <c r="F18" t="s">
        <v>6</v>
      </c>
      <c r="G18" t="s">
        <v>505</v>
      </c>
      <c r="H18" t="s">
        <v>505</v>
      </c>
      <c r="I18" t="s">
        <v>212</v>
      </c>
      <c r="J18" s="25">
        <v>3890</v>
      </c>
      <c r="K18" s="26">
        <v>630.66</v>
      </c>
      <c r="L18" s="26">
        <v>3.7</v>
      </c>
    </row>
    <row r="19" spans="1:12" ht="16" customHeight="1">
      <c r="A19" t="s">
        <v>245</v>
      </c>
      <c r="B19" t="s">
        <v>5</v>
      </c>
      <c r="C19" t="s">
        <v>10</v>
      </c>
      <c r="D19" s="24">
        <v>45901</v>
      </c>
      <c r="E19" t="s">
        <v>263</v>
      </c>
      <c r="F19" t="s">
        <v>6</v>
      </c>
      <c r="G19" t="s">
        <v>506</v>
      </c>
      <c r="H19" t="s">
        <v>506</v>
      </c>
      <c r="I19" t="s">
        <v>212</v>
      </c>
      <c r="J19" s="25">
        <v>19013</v>
      </c>
      <c r="K19" s="26">
        <v>3092.38</v>
      </c>
      <c r="L19" s="26">
        <v>18.63</v>
      </c>
    </row>
    <row r="20" spans="1:12" ht="16" customHeight="1">
      <c r="A20" t="s">
        <v>245</v>
      </c>
      <c r="B20" t="s">
        <v>5</v>
      </c>
      <c r="C20" t="s">
        <v>10</v>
      </c>
      <c r="D20" s="24">
        <v>45901</v>
      </c>
      <c r="E20" t="s">
        <v>266</v>
      </c>
      <c r="F20" t="s">
        <v>5</v>
      </c>
      <c r="G20" t="s">
        <v>507</v>
      </c>
      <c r="H20" t="s">
        <v>507</v>
      </c>
      <c r="I20" t="s">
        <v>219</v>
      </c>
      <c r="J20" s="25">
        <v>0</v>
      </c>
      <c r="K20" s="26">
        <v>0</v>
      </c>
      <c r="L20" s="26">
        <v>0</v>
      </c>
    </row>
    <row r="21" spans="1:12" ht="16" customHeight="1">
      <c r="A21" t="s">
        <v>245</v>
      </c>
      <c r="B21" t="s">
        <v>5</v>
      </c>
      <c r="C21" t="s">
        <v>10</v>
      </c>
      <c r="D21" s="24">
        <v>45901</v>
      </c>
      <c r="E21" t="s">
        <v>283</v>
      </c>
      <c r="F21" t="s">
        <v>6</v>
      </c>
      <c r="G21" t="s">
        <v>505</v>
      </c>
      <c r="H21" t="s">
        <v>505</v>
      </c>
      <c r="I21" t="s">
        <v>219</v>
      </c>
      <c r="J21" s="25">
        <v>0</v>
      </c>
      <c r="K21" s="26">
        <v>0</v>
      </c>
      <c r="L21" s="26">
        <v>0</v>
      </c>
    </row>
    <row r="22" spans="1:12" ht="16" customHeight="1">
      <c r="A22" t="s">
        <v>245</v>
      </c>
      <c r="B22" t="s">
        <v>5</v>
      </c>
      <c r="C22" t="s">
        <v>10</v>
      </c>
      <c r="D22" s="24">
        <v>45901</v>
      </c>
      <c r="E22" t="s">
        <v>297</v>
      </c>
      <c r="F22" t="s">
        <v>6</v>
      </c>
      <c r="G22" t="s">
        <v>506</v>
      </c>
      <c r="H22" t="s">
        <v>506</v>
      </c>
      <c r="I22" t="s">
        <v>219</v>
      </c>
      <c r="J22" s="25">
        <v>688</v>
      </c>
      <c r="K22" s="26">
        <v>110.12</v>
      </c>
      <c r="L22" s="26">
        <v>0.75</v>
      </c>
    </row>
    <row r="23" spans="1:12" ht="16" customHeight="1">
      <c r="A23" t="s">
        <v>247</v>
      </c>
      <c r="B23" t="s">
        <v>6</v>
      </c>
      <c r="C23" t="s">
        <v>10</v>
      </c>
      <c r="D23" s="24">
        <v>45901</v>
      </c>
      <c r="E23" t="s">
        <v>247</v>
      </c>
      <c r="F23" t="s">
        <v>6</v>
      </c>
      <c r="G23" t="s">
        <v>505</v>
      </c>
      <c r="H23" t="s">
        <v>505</v>
      </c>
      <c r="I23" t="s">
        <v>212</v>
      </c>
      <c r="J23" s="25">
        <v>444346973</v>
      </c>
      <c r="K23" s="26">
        <v>71939664.599999994</v>
      </c>
      <c r="L23" s="26">
        <v>48289.52</v>
      </c>
    </row>
    <row r="24" spans="1:12" ht="16" customHeight="1">
      <c r="A24" t="s">
        <v>247</v>
      </c>
      <c r="B24" t="s">
        <v>6</v>
      </c>
      <c r="C24" t="s">
        <v>10</v>
      </c>
      <c r="D24" s="24">
        <v>45901</v>
      </c>
      <c r="E24" t="s">
        <v>252</v>
      </c>
      <c r="F24" t="s">
        <v>6</v>
      </c>
      <c r="G24" t="s">
        <v>505</v>
      </c>
      <c r="H24" t="s">
        <v>505</v>
      </c>
      <c r="I24" t="s">
        <v>212</v>
      </c>
      <c r="J24" s="25">
        <v>2114561</v>
      </c>
      <c r="K24" s="26">
        <v>343928.09</v>
      </c>
      <c r="L24" s="26">
        <v>933.9</v>
      </c>
    </row>
    <row r="25" spans="1:12" ht="16" customHeight="1">
      <c r="A25" t="s">
        <v>247</v>
      </c>
      <c r="B25" t="s">
        <v>6</v>
      </c>
      <c r="C25" t="s">
        <v>10</v>
      </c>
      <c r="D25" s="24">
        <v>45901</v>
      </c>
      <c r="E25" t="s">
        <v>257</v>
      </c>
      <c r="F25" t="s">
        <v>6</v>
      </c>
      <c r="G25" t="s">
        <v>505</v>
      </c>
      <c r="H25" t="s">
        <v>505</v>
      </c>
      <c r="I25" t="s">
        <v>212</v>
      </c>
      <c r="J25" s="25">
        <v>10030</v>
      </c>
      <c r="K25" s="26">
        <v>1631.83</v>
      </c>
      <c r="L25" s="26">
        <v>7.79</v>
      </c>
    </row>
    <row r="26" spans="1:12" ht="16" customHeight="1">
      <c r="A26" t="s">
        <v>247</v>
      </c>
      <c r="B26" t="s">
        <v>6</v>
      </c>
      <c r="C26" t="s">
        <v>10</v>
      </c>
      <c r="D26" s="24">
        <v>45901</v>
      </c>
      <c r="E26" t="s">
        <v>263</v>
      </c>
      <c r="F26" t="s">
        <v>6</v>
      </c>
      <c r="G26" t="s">
        <v>506</v>
      </c>
      <c r="H26" t="s">
        <v>506</v>
      </c>
      <c r="I26" t="s">
        <v>212</v>
      </c>
      <c r="J26" s="25">
        <v>27593</v>
      </c>
      <c r="K26" s="26">
        <v>4508.32</v>
      </c>
      <c r="L26" s="26">
        <v>28.21</v>
      </c>
    </row>
    <row r="27" spans="1:12" ht="16" customHeight="1">
      <c r="A27" t="s">
        <v>247</v>
      </c>
      <c r="B27" t="s">
        <v>6</v>
      </c>
      <c r="C27" t="s">
        <v>10</v>
      </c>
      <c r="D27" s="24">
        <v>45901</v>
      </c>
      <c r="E27" t="s">
        <v>266</v>
      </c>
      <c r="F27" t="s">
        <v>5</v>
      </c>
      <c r="G27" t="s">
        <v>507</v>
      </c>
      <c r="H27" t="s">
        <v>507</v>
      </c>
      <c r="I27" t="s">
        <v>219</v>
      </c>
      <c r="J27" s="25">
        <v>0</v>
      </c>
      <c r="K27" s="26">
        <v>0</v>
      </c>
      <c r="L27" s="26">
        <v>0</v>
      </c>
    </row>
    <row r="28" spans="1:12" ht="16" customHeight="1">
      <c r="A28" t="s">
        <v>247</v>
      </c>
      <c r="B28" t="s">
        <v>6</v>
      </c>
      <c r="C28" t="s">
        <v>10</v>
      </c>
      <c r="D28" s="24">
        <v>45901</v>
      </c>
      <c r="E28" t="s">
        <v>283</v>
      </c>
      <c r="F28" t="s">
        <v>6</v>
      </c>
      <c r="G28" t="s">
        <v>505</v>
      </c>
      <c r="H28" t="s">
        <v>505</v>
      </c>
      <c r="I28" t="s">
        <v>219</v>
      </c>
      <c r="J28" s="25">
        <v>5</v>
      </c>
      <c r="K28" s="26">
        <v>0.82</v>
      </c>
      <c r="L28" s="26">
        <v>0.01</v>
      </c>
    </row>
    <row r="29" spans="1:12" ht="16" customHeight="1">
      <c r="A29" t="s">
        <v>247</v>
      </c>
      <c r="B29" t="s">
        <v>6</v>
      </c>
      <c r="C29" t="s">
        <v>10</v>
      </c>
      <c r="D29" s="24">
        <v>45901</v>
      </c>
      <c r="E29" t="s">
        <v>288</v>
      </c>
      <c r="F29" t="s">
        <v>6</v>
      </c>
      <c r="G29" t="s">
        <v>505</v>
      </c>
      <c r="H29" t="s">
        <v>505</v>
      </c>
      <c r="I29" t="s">
        <v>219</v>
      </c>
      <c r="J29" s="25">
        <v>3</v>
      </c>
      <c r="K29" s="26">
        <v>0.49</v>
      </c>
      <c r="L29" s="26">
        <v>0</v>
      </c>
    </row>
    <row r="30" spans="1:12" ht="16" customHeight="1">
      <c r="A30" t="s">
        <v>247</v>
      </c>
      <c r="B30" t="s">
        <v>6</v>
      </c>
      <c r="C30" t="s">
        <v>10</v>
      </c>
      <c r="D30" s="24">
        <v>45901</v>
      </c>
      <c r="E30" t="s">
        <v>297</v>
      </c>
      <c r="F30" t="s">
        <v>6</v>
      </c>
      <c r="G30" t="s">
        <v>506</v>
      </c>
      <c r="H30" t="s">
        <v>506</v>
      </c>
      <c r="I30" t="s">
        <v>219</v>
      </c>
      <c r="J30" s="25">
        <v>1567</v>
      </c>
      <c r="K30" s="26">
        <v>255.2</v>
      </c>
      <c r="L30" s="26">
        <v>1.66</v>
      </c>
    </row>
    <row r="31" spans="1:12" ht="16" customHeight="1">
      <c r="A31" t="s">
        <v>248</v>
      </c>
      <c r="B31" t="s">
        <v>7</v>
      </c>
      <c r="C31" t="s">
        <v>10</v>
      </c>
      <c r="D31" s="24">
        <v>45901</v>
      </c>
      <c r="E31" t="s">
        <v>252</v>
      </c>
      <c r="F31" t="s">
        <v>6</v>
      </c>
      <c r="G31" t="s">
        <v>505</v>
      </c>
      <c r="H31" t="s">
        <v>505</v>
      </c>
      <c r="I31" t="s">
        <v>212</v>
      </c>
      <c r="J31" s="25">
        <v>23735888</v>
      </c>
      <c r="K31" s="26">
        <v>3841371.13</v>
      </c>
      <c r="L31" s="26">
        <v>10028.709999999999</v>
      </c>
    </row>
    <row r="32" spans="1:12" ht="16" customHeight="1">
      <c r="A32" t="s">
        <v>248</v>
      </c>
      <c r="B32" t="s">
        <v>7</v>
      </c>
      <c r="C32" t="s">
        <v>10</v>
      </c>
      <c r="D32" s="24">
        <v>45901</v>
      </c>
      <c r="E32" t="s">
        <v>257</v>
      </c>
      <c r="F32" t="s">
        <v>6</v>
      </c>
      <c r="G32" t="s">
        <v>505</v>
      </c>
      <c r="H32" t="s">
        <v>505</v>
      </c>
      <c r="I32" t="s">
        <v>212</v>
      </c>
      <c r="J32" s="25">
        <v>72612</v>
      </c>
      <c r="K32" s="26">
        <v>11785.24</v>
      </c>
      <c r="L32" s="26">
        <v>48.64</v>
      </c>
    </row>
    <row r="33" spans="1:12" ht="16" customHeight="1">
      <c r="A33" t="s">
        <v>248</v>
      </c>
      <c r="B33" t="s">
        <v>7</v>
      </c>
      <c r="C33" t="s">
        <v>10</v>
      </c>
      <c r="D33" s="24">
        <v>45901</v>
      </c>
      <c r="E33" t="s">
        <v>263</v>
      </c>
      <c r="F33" t="s">
        <v>6</v>
      </c>
      <c r="G33" t="s">
        <v>506</v>
      </c>
      <c r="H33" t="s">
        <v>506</v>
      </c>
      <c r="I33" t="s">
        <v>212</v>
      </c>
      <c r="J33" s="25">
        <v>29841</v>
      </c>
      <c r="K33" s="26">
        <v>4876.66</v>
      </c>
      <c r="L33" s="26">
        <v>27.64</v>
      </c>
    </row>
    <row r="34" spans="1:12" ht="16" customHeight="1">
      <c r="A34" t="s">
        <v>248</v>
      </c>
      <c r="B34" t="s">
        <v>7</v>
      </c>
      <c r="C34" t="s">
        <v>10</v>
      </c>
      <c r="D34" s="24">
        <v>45901</v>
      </c>
      <c r="E34" t="s">
        <v>266</v>
      </c>
      <c r="F34" t="s">
        <v>5</v>
      </c>
      <c r="G34" t="s">
        <v>507</v>
      </c>
      <c r="H34" t="s">
        <v>507</v>
      </c>
      <c r="I34" t="s">
        <v>219</v>
      </c>
      <c r="J34" s="25">
        <v>4</v>
      </c>
      <c r="K34" s="26">
        <v>0.67</v>
      </c>
      <c r="L34" s="26">
        <v>0.01</v>
      </c>
    </row>
    <row r="35" spans="1:12" ht="16" customHeight="1">
      <c r="A35" t="s">
        <v>248</v>
      </c>
      <c r="B35" t="s">
        <v>7</v>
      </c>
      <c r="C35" t="s">
        <v>10</v>
      </c>
      <c r="D35" s="24">
        <v>45901</v>
      </c>
      <c r="E35" t="s">
        <v>283</v>
      </c>
      <c r="F35" t="s">
        <v>6</v>
      </c>
      <c r="G35" t="s">
        <v>505</v>
      </c>
      <c r="H35" t="s">
        <v>505</v>
      </c>
      <c r="I35" t="s">
        <v>219</v>
      </c>
      <c r="J35" s="25">
        <v>0</v>
      </c>
      <c r="K35" s="26">
        <v>0</v>
      </c>
      <c r="L35" s="26">
        <v>0</v>
      </c>
    </row>
    <row r="36" spans="1:12" ht="16" customHeight="1">
      <c r="A36" t="s">
        <v>248</v>
      </c>
      <c r="B36" t="s">
        <v>7</v>
      </c>
      <c r="C36" t="s">
        <v>10</v>
      </c>
      <c r="D36" s="24">
        <v>45901</v>
      </c>
      <c r="E36" t="s">
        <v>288</v>
      </c>
      <c r="F36" t="s">
        <v>6</v>
      </c>
      <c r="G36" t="s">
        <v>505</v>
      </c>
      <c r="H36" t="s">
        <v>505</v>
      </c>
      <c r="I36" t="s">
        <v>219</v>
      </c>
      <c r="J36" s="25">
        <v>1</v>
      </c>
      <c r="K36" s="26">
        <v>0.17</v>
      </c>
      <c r="L36" s="26">
        <v>0</v>
      </c>
    </row>
    <row r="37" spans="1:12" ht="16" customHeight="1">
      <c r="A37" t="s">
        <v>248</v>
      </c>
      <c r="B37" t="s">
        <v>7</v>
      </c>
      <c r="C37" t="s">
        <v>10</v>
      </c>
      <c r="D37" s="24">
        <v>45901</v>
      </c>
      <c r="E37" t="s">
        <v>297</v>
      </c>
      <c r="F37" t="s">
        <v>6</v>
      </c>
      <c r="G37" t="s">
        <v>506</v>
      </c>
      <c r="H37" t="s">
        <v>506</v>
      </c>
      <c r="I37" t="s">
        <v>219</v>
      </c>
      <c r="J37" s="25">
        <v>613</v>
      </c>
      <c r="K37" s="26">
        <v>98.56</v>
      </c>
      <c r="L37" s="26">
        <v>0.56999999999999995</v>
      </c>
    </row>
    <row r="38" spans="1:12" ht="16" customHeight="1">
      <c r="A38" t="s">
        <v>249</v>
      </c>
      <c r="B38" t="s">
        <v>3</v>
      </c>
      <c r="C38" t="s">
        <v>11</v>
      </c>
      <c r="D38" s="24">
        <v>45901</v>
      </c>
      <c r="E38" t="s">
        <v>252</v>
      </c>
      <c r="F38" t="s">
        <v>6</v>
      </c>
      <c r="G38" t="s">
        <v>505</v>
      </c>
      <c r="H38" t="s">
        <v>505</v>
      </c>
      <c r="I38" t="s">
        <v>212</v>
      </c>
      <c r="J38" s="25">
        <v>23745730</v>
      </c>
      <c r="K38" s="26">
        <v>3852477.68</v>
      </c>
      <c r="L38" s="26">
        <v>8647.1200000000008</v>
      </c>
    </row>
    <row r="39" spans="1:12" ht="16" customHeight="1">
      <c r="A39" t="s">
        <v>249</v>
      </c>
      <c r="B39" t="s">
        <v>3</v>
      </c>
      <c r="C39" t="s">
        <v>11</v>
      </c>
      <c r="D39" s="24">
        <v>45901</v>
      </c>
      <c r="E39" t="s">
        <v>257</v>
      </c>
      <c r="F39" t="s">
        <v>6</v>
      </c>
      <c r="G39" t="s">
        <v>505</v>
      </c>
      <c r="H39" t="s">
        <v>505</v>
      </c>
      <c r="I39" t="s">
        <v>212</v>
      </c>
      <c r="J39" s="25">
        <v>130446</v>
      </c>
      <c r="K39" s="26">
        <v>21189.360000000001</v>
      </c>
      <c r="L39" s="26">
        <v>70.260000000000005</v>
      </c>
    </row>
    <row r="40" spans="1:12" ht="16" customHeight="1">
      <c r="A40" t="s">
        <v>249</v>
      </c>
      <c r="B40" t="s">
        <v>3</v>
      </c>
      <c r="C40" t="s">
        <v>11</v>
      </c>
      <c r="D40" s="24">
        <v>45901</v>
      </c>
      <c r="E40" t="s">
        <v>263</v>
      </c>
      <c r="F40" t="s">
        <v>6</v>
      </c>
      <c r="G40" t="s">
        <v>506</v>
      </c>
      <c r="H40" t="s">
        <v>506</v>
      </c>
      <c r="I40" t="s">
        <v>212</v>
      </c>
      <c r="J40" s="25">
        <v>24716</v>
      </c>
      <c r="K40" s="26">
        <v>4035.61</v>
      </c>
      <c r="L40" s="26">
        <v>19.420000000000002</v>
      </c>
    </row>
    <row r="41" spans="1:12" ht="16" customHeight="1">
      <c r="A41" t="s">
        <v>249</v>
      </c>
      <c r="B41" t="s">
        <v>3</v>
      </c>
      <c r="C41" t="s">
        <v>11</v>
      </c>
      <c r="D41" s="24">
        <v>45901</v>
      </c>
      <c r="E41" t="s">
        <v>266</v>
      </c>
      <c r="F41" t="s">
        <v>5</v>
      </c>
      <c r="G41" t="s">
        <v>507</v>
      </c>
      <c r="H41" t="s">
        <v>507</v>
      </c>
      <c r="I41" t="s">
        <v>219</v>
      </c>
      <c r="J41" s="25">
        <v>183</v>
      </c>
      <c r="K41" s="26">
        <v>29.89</v>
      </c>
      <c r="L41" s="26">
        <v>0.22</v>
      </c>
    </row>
    <row r="42" spans="1:12" ht="16" customHeight="1">
      <c r="A42" t="s">
        <v>249</v>
      </c>
      <c r="B42" t="s">
        <v>3</v>
      </c>
      <c r="C42" t="s">
        <v>11</v>
      </c>
      <c r="D42" s="24">
        <v>45901</v>
      </c>
      <c r="E42" t="s">
        <v>283</v>
      </c>
      <c r="F42" t="s">
        <v>6</v>
      </c>
      <c r="G42" t="s">
        <v>505</v>
      </c>
      <c r="H42" t="s">
        <v>505</v>
      </c>
      <c r="I42" t="s">
        <v>219</v>
      </c>
      <c r="J42" s="25">
        <v>302</v>
      </c>
      <c r="K42" s="26">
        <v>51.16</v>
      </c>
      <c r="L42" s="26">
        <v>0.08</v>
      </c>
    </row>
    <row r="43" spans="1:12" ht="16" customHeight="1">
      <c r="A43" t="s">
        <v>249</v>
      </c>
      <c r="B43" t="s">
        <v>3</v>
      </c>
      <c r="C43" t="s">
        <v>11</v>
      </c>
      <c r="D43" s="24">
        <v>45901</v>
      </c>
      <c r="E43" t="s">
        <v>288</v>
      </c>
      <c r="F43" t="s">
        <v>6</v>
      </c>
      <c r="G43" t="s">
        <v>505</v>
      </c>
      <c r="H43" t="s">
        <v>505</v>
      </c>
      <c r="I43" t="s">
        <v>219</v>
      </c>
      <c r="J43" s="25">
        <v>1</v>
      </c>
      <c r="K43" s="26">
        <v>0.16</v>
      </c>
      <c r="L43" s="26">
        <v>0</v>
      </c>
    </row>
    <row r="44" spans="1:12" ht="16" customHeight="1">
      <c r="A44" t="s">
        <v>249</v>
      </c>
      <c r="B44" t="s">
        <v>3</v>
      </c>
      <c r="C44" t="s">
        <v>11</v>
      </c>
      <c r="D44" s="24">
        <v>45901</v>
      </c>
      <c r="E44" t="s">
        <v>297</v>
      </c>
      <c r="F44" t="s">
        <v>6</v>
      </c>
      <c r="G44" t="s">
        <v>506</v>
      </c>
      <c r="H44" t="s">
        <v>506</v>
      </c>
      <c r="I44" t="s">
        <v>219</v>
      </c>
      <c r="J44" s="25">
        <v>1083</v>
      </c>
      <c r="K44" s="26">
        <v>177.31</v>
      </c>
      <c r="L44" s="26">
        <v>1.74</v>
      </c>
    </row>
    <row r="45" spans="1:12" ht="16" customHeight="1">
      <c r="A45" t="s">
        <v>213</v>
      </c>
      <c r="B45" t="s">
        <v>4</v>
      </c>
      <c r="C45" t="s">
        <v>11</v>
      </c>
      <c r="D45" s="24">
        <v>45901</v>
      </c>
      <c r="E45" t="s">
        <v>252</v>
      </c>
      <c r="F45" t="s">
        <v>6</v>
      </c>
      <c r="G45" t="s">
        <v>505</v>
      </c>
      <c r="H45" t="s">
        <v>505</v>
      </c>
      <c r="I45" t="s">
        <v>212</v>
      </c>
      <c r="J45" s="25">
        <v>23531891</v>
      </c>
      <c r="K45" s="26">
        <v>3821183.56</v>
      </c>
      <c r="L45" s="26">
        <v>7153.72</v>
      </c>
    </row>
    <row r="46" spans="1:12" ht="16" customHeight="1">
      <c r="A46" t="s">
        <v>213</v>
      </c>
      <c r="B46" t="s">
        <v>4</v>
      </c>
      <c r="C46" t="s">
        <v>11</v>
      </c>
      <c r="D46" s="24">
        <v>45901</v>
      </c>
      <c r="E46" t="s">
        <v>257</v>
      </c>
      <c r="F46" t="s">
        <v>6</v>
      </c>
      <c r="G46" t="s">
        <v>505</v>
      </c>
      <c r="H46" t="s">
        <v>505</v>
      </c>
      <c r="I46" t="s">
        <v>212</v>
      </c>
      <c r="J46" s="25">
        <v>171913</v>
      </c>
      <c r="K46" s="26">
        <v>28002.19</v>
      </c>
      <c r="L46" s="26">
        <v>88.13</v>
      </c>
    </row>
    <row r="47" spans="1:12" ht="16" customHeight="1">
      <c r="A47" t="s">
        <v>213</v>
      </c>
      <c r="B47" t="s">
        <v>4</v>
      </c>
      <c r="C47" t="s">
        <v>11</v>
      </c>
      <c r="D47" s="24">
        <v>45901</v>
      </c>
      <c r="E47" t="s">
        <v>263</v>
      </c>
      <c r="F47" t="s">
        <v>6</v>
      </c>
      <c r="G47" t="s">
        <v>506</v>
      </c>
      <c r="H47" t="s">
        <v>506</v>
      </c>
      <c r="I47" t="s">
        <v>212</v>
      </c>
      <c r="J47" s="25">
        <v>21297</v>
      </c>
      <c r="K47" s="26">
        <v>3476.82</v>
      </c>
      <c r="L47" s="26">
        <v>17.71</v>
      </c>
    </row>
    <row r="48" spans="1:12" ht="16" customHeight="1">
      <c r="A48" t="s">
        <v>213</v>
      </c>
      <c r="B48" t="s">
        <v>4</v>
      </c>
      <c r="C48" t="s">
        <v>11</v>
      </c>
      <c r="D48" s="24">
        <v>45901</v>
      </c>
      <c r="E48" t="s">
        <v>266</v>
      </c>
      <c r="F48" t="s">
        <v>5</v>
      </c>
      <c r="G48" t="s">
        <v>507</v>
      </c>
      <c r="H48" t="s">
        <v>507</v>
      </c>
      <c r="I48" t="s">
        <v>219</v>
      </c>
      <c r="J48" s="25">
        <v>114</v>
      </c>
      <c r="K48" s="26">
        <v>18.670000000000002</v>
      </c>
      <c r="L48" s="26">
        <v>0.15</v>
      </c>
    </row>
    <row r="49" spans="1:12" ht="16" customHeight="1">
      <c r="A49" t="s">
        <v>213</v>
      </c>
      <c r="B49" t="s">
        <v>4</v>
      </c>
      <c r="C49" t="s">
        <v>11</v>
      </c>
      <c r="D49" s="24">
        <v>45901</v>
      </c>
      <c r="E49" t="s">
        <v>283</v>
      </c>
      <c r="F49" t="s">
        <v>6</v>
      </c>
      <c r="G49" t="s">
        <v>505</v>
      </c>
      <c r="H49" t="s">
        <v>505</v>
      </c>
      <c r="I49" t="s">
        <v>219</v>
      </c>
      <c r="J49" s="25">
        <v>0</v>
      </c>
      <c r="K49" s="26">
        <v>0</v>
      </c>
      <c r="L49" s="26">
        <v>0</v>
      </c>
    </row>
    <row r="50" spans="1:12" ht="16" customHeight="1">
      <c r="A50" t="s">
        <v>213</v>
      </c>
      <c r="B50" t="s">
        <v>4</v>
      </c>
      <c r="C50" t="s">
        <v>11</v>
      </c>
      <c r="D50" s="24">
        <v>45901</v>
      </c>
      <c r="E50" t="s">
        <v>288</v>
      </c>
      <c r="F50" t="s">
        <v>6</v>
      </c>
      <c r="G50" t="s">
        <v>505</v>
      </c>
      <c r="H50" t="s">
        <v>505</v>
      </c>
      <c r="I50" t="s">
        <v>219</v>
      </c>
      <c r="J50" s="25">
        <v>0</v>
      </c>
      <c r="K50" s="26">
        <v>0</v>
      </c>
      <c r="L50" s="26">
        <v>0</v>
      </c>
    </row>
    <row r="51" spans="1:12" ht="16" customHeight="1">
      <c r="A51" t="s">
        <v>213</v>
      </c>
      <c r="B51" t="s">
        <v>4</v>
      </c>
      <c r="C51" t="s">
        <v>11</v>
      </c>
      <c r="D51" s="24">
        <v>45901</v>
      </c>
      <c r="E51" t="s">
        <v>297</v>
      </c>
      <c r="F51" t="s">
        <v>6</v>
      </c>
      <c r="G51" t="s">
        <v>506</v>
      </c>
      <c r="H51" t="s">
        <v>506</v>
      </c>
      <c r="I51" t="s">
        <v>219</v>
      </c>
      <c r="J51" s="25">
        <v>720</v>
      </c>
      <c r="K51" s="26">
        <v>118.55</v>
      </c>
      <c r="L51" s="26">
        <v>0.93</v>
      </c>
    </row>
    <row r="52" spans="1:12" ht="16" customHeight="1">
      <c r="A52" t="s">
        <v>250</v>
      </c>
      <c r="B52" t="s">
        <v>5</v>
      </c>
      <c r="C52" t="s">
        <v>11</v>
      </c>
      <c r="D52" s="24">
        <v>45901</v>
      </c>
      <c r="E52" t="s">
        <v>252</v>
      </c>
      <c r="F52" t="s">
        <v>6</v>
      </c>
      <c r="G52" t="s">
        <v>505</v>
      </c>
      <c r="H52" t="s">
        <v>505</v>
      </c>
      <c r="I52" t="s">
        <v>212</v>
      </c>
      <c r="J52" s="25">
        <v>95775843</v>
      </c>
      <c r="K52" s="26">
        <v>15622109.9</v>
      </c>
      <c r="L52" s="26">
        <v>20836.27</v>
      </c>
    </row>
    <row r="53" spans="1:12" ht="16" customHeight="1">
      <c r="A53" t="s">
        <v>250</v>
      </c>
      <c r="B53" t="s">
        <v>5</v>
      </c>
      <c r="C53" t="s">
        <v>11</v>
      </c>
      <c r="D53" s="24">
        <v>45901</v>
      </c>
      <c r="E53" t="s">
        <v>257</v>
      </c>
      <c r="F53" t="s">
        <v>6</v>
      </c>
      <c r="G53" t="s">
        <v>505</v>
      </c>
      <c r="H53" t="s">
        <v>505</v>
      </c>
      <c r="I53" t="s">
        <v>212</v>
      </c>
      <c r="J53" s="25">
        <v>510878</v>
      </c>
      <c r="K53" s="26">
        <v>83363.929999999993</v>
      </c>
      <c r="L53" s="26">
        <v>240.4</v>
      </c>
    </row>
    <row r="54" spans="1:12" ht="16" customHeight="1">
      <c r="A54" t="s">
        <v>250</v>
      </c>
      <c r="B54" t="s">
        <v>5</v>
      </c>
      <c r="C54" t="s">
        <v>11</v>
      </c>
      <c r="D54" s="24">
        <v>45901</v>
      </c>
      <c r="E54" t="s">
        <v>263</v>
      </c>
      <c r="F54" t="s">
        <v>6</v>
      </c>
      <c r="G54" t="s">
        <v>506</v>
      </c>
      <c r="H54" t="s">
        <v>506</v>
      </c>
      <c r="I54" t="s">
        <v>212</v>
      </c>
      <c r="J54" s="25">
        <v>43868</v>
      </c>
      <c r="K54" s="26">
        <v>7224</v>
      </c>
      <c r="L54" s="26">
        <v>32.24</v>
      </c>
    </row>
    <row r="55" spans="1:12" ht="16" customHeight="1">
      <c r="A55" t="s">
        <v>250</v>
      </c>
      <c r="B55" t="s">
        <v>5</v>
      </c>
      <c r="C55" t="s">
        <v>11</v>
      </c>
      <c r="D55" s="24">
        <v>45901</v>
      </c>
      <c r="E55" t="s">
        <v>266</v>
      </c>
      <c r="F55" t="s">
        <v>5</v>
      </c>
      <c r="G55" t="s">
        <v>507</v>
      </c>
      <c r="H55" t="s">
        <v>507</v>
      </c>
      <c r="I55" t="s">
        <v>219</v>
      </c>
      <c r="J55" s="25">
        <v>146</v>
      </c>
      <c r="K55" s="26">
        <v>23.88</v>
      </c>
      <c r="L55" s="26">
        <v>0.19</v>
      </c>
    </row>
    <row r="56" spans="1:12" ht="16" customHeight="1">
      <c r="A56" t="s">
        <v>250</v>
      </c>
      <c r="B56" t="s">
        <v>5</v>
      </c>
      <c r="C56" t="s">
        <v>11</v>
      </c>
      <c r="D56" s="24">
        <v>45901</v>
      </c>
      <c r="E56" t="s">
        <v>283</v>
      </c>
      <c r="F56" t="s">
        <v>6</v>
      </c>
      <c r="G56" t="s">
        <v>505</v>
      </c>
      <c r="H56" t="s">
        <v>505</v>
      </c>
      <c r="I56" t="s">
        <v>219</v>
      </c>
      <c r="J56" s="25">
        <v>0</v>
      </c>
      <c r="K56" s="26">
        <v>0</v>
      </c>
      <c r="L56" s="26">
        <v>0</v>
      </c>
    </row>
    <row r="57" spans="1:12" ht="16" customHeight="1">
      <c r="A57" t="s">
        <v>250</v>
      </c>
      <c r="B57" t="s">
        <v>5</v>
      </c>
      <c r="C57" t="s">
        <v>11</v>
      </c>
      <c r="D57" s="24">
        <v>45901</v>
      </c>
      <c r="E57" t="s">
        <v>288</v>
      </c>
      <c r="F57" t="s">
        <v>6</v>
      </c>
      <c r="G57" t="s">
        <v>505</v>
      </c>
      <c r="H57" t="s">
        <v>505</v>
      </c>
      <c r="I57" t="s">
        <v>219</v>
      </c>
      <c r="J57" s="25">
        <v>0</v>
      </c>
      <c r="K57" s="26">
        <v>0</v>
      </c>
      <c r="L57" s="26">
        <v>0</v>
      </c>
    </row>
    <row r="58" spans="1:12" ht="16" customHeight="1">
      <c r="A58" t="s">
        <v>250</v>
      </c>
      <c r="B58" t="s">
        <v>5</v>
      </c>
      <c r="C58" t="s">
        <v>11</v>
      </c>
      <c r="D58" s="24">
        <v>45901</v>
      </c>
      <c r="E58" t="s">
        <v>297</v>
      </c>
      <c r="F58" t="s">
        <v>6</v>
      </c>
      <c r="G58" t="s">
        <v>506</v>
      </c>
      <c r="H58" t="s">
        <v>506</v>
      </c>
      <c r="I58" t="s">
        <v>219</v>
      </c>
      <c r="J58" s="25">
        <v>1090</v>
      </c>
      <c r="K58" s="26">
        <v>179.74</v>
      </c>
      <c r="L58" s="26">
        <v>1.42</v>
      </c>
    </row>
    <row r="59" spans="1:12" ht="16" customHeight="1">
      <c r="A59" t="s">
        <v>250</v>
      </c>
      <c r="B59" t="s">
        <v>5</v>
      </c>
      <c r="C59" t="s">
        <v>11</v>
      </c>
      <c r="D59" s="24">
        <v>45901</v>
      </c>
      <c r="E59" t="s">
        <v>327</v>
      </c>
      <c r="F59" t="s">
        <v>6</v>
      </c>
      <c r="G59" t="s">
        <v>506</v>
      </c>
      <c r="H59" t="s">
        <v>506</v>
      </c>
      <c r="I59" t="s">
        <v>221</v>
      </c>
      <c r="J59" s="25">
        <v>3</v>
      </c>
      <c r="K59" s="26">
        <v>0.5</v>
      </c>
      <c r="L59" s="26">
        <v>0.01</v>
      </c>
    </row>
    <row r="60" spans="1:12" ht="16" customHeight="1">
      <c r="A60" t="s">
        <v>252</v>
      </c>
      <c r="B60" t="s">
        <v>6</v>
      </c>
      <c r="C60" t="s">
        <v>11</v>
      </c>
      <c r="D60" s="24">
        <v>45901</v>
      </c>
      <c r="E60" t="s">
        <v>252</v>
      </c>
      <c r="F60" t="s">
        <v>6</v>
      </c>
      <c r="G60" t="s">
        <v>505</v>
      </c>
      <c r="H60" t="s">
        <v>505</v>
      </c>
      <c r="I60" t="s">
        <v>212</v>
      </c>
      <c r="J60" s="25">
        <v>317804062</v>
      </c>
      <c r="K60" s="26">
        <v>51827205.200000003</v>
      </c>
      <c r="L60" s="26">
        <v>27528.18</v>
      </c>
    </row>
    <row r="61" spans="1:12" ht="16" customHeight="1">
      <c r="A61" t="s">
        <v>252</v>
      </c>
      <c r="B61" t="s">
        <v>6</v>
      </c>
      <c r="C61" t="s">
        <v>11</v>
      </c>
      <c r="D61" s="24">
        <v>45901</v>
      </c>
      <c r="E61" t="s">
        <v>257</v>
      </c>
      <c r="F61" t="s">
        <v>6</v>
      </c>
      <c r="G61" t="s">
        <v>505</v>
      </c>
      <c r="H61" t="s">
        <v>505</v>
      </c>
      <c r="I61" t="s">
        <v>212</v>
      </c>
      <c r="J61" s="25">
        <v>1426551</v>
      </c>
      <c r="K61" s="26">
        <v>232519.07</v>
      </c>
      <c r="L61" s="26">
        <v>546.88</v>
      </c>
    </row>
    <row r="62" spans="1:12" ht="16" customHeight="1">
      <c r="A62" t="s">
        <v>252</v>
      </c>
      <c r="B62" t="s">
        <v>6</v>
      </c>
      <c r="C62" t="s">
        <v>11</v>
      </c>
      <c r="D62" s="24">
        <v>45901</v>
      </c>
      <c r="E62" t="s">
        <v>263</v>
      </c>
      <c r="F62" t="s">
        <v>6</v>
      </c>
      <c r="G62" t="s">
        <v>506</v>
      </c>
      <c r="H62" t="s">
        <v>506</v>
      </c>
      <c r="I62" t="s">
        <v>212</v>
      </c>
      <c r="J62" s="25">
        <v>45952</v>
      </c>
      <c r="K62" s="26">
        <v>7577.71</v>
      </c>
      <c r="L62" s="26">
        <v>33.71</v>
      </c>
    </row>
    <row r="63" spans="1:12" ht="16" customHeight="1">
      <c r="A63" t="s">
        <v>252</v>
      </c>
      <c r="B63" t="s">
        <v>6</v>
      </c>
      <c r="C63" t="s">
        <v>11</v>
      </c>
      <c r="D63" s="24">
        <v>45901</v>
      </c>
      <c r="E63" t="s">
        <v>266</v>
      </c>
      <c r="F63" t="s">
        <v>5</v>
      </c>
      <c r="G63" t="s">
        <v>507</v>
      </c>
      <c r="H63" t="s">
        <v>507</v>
      </c>
      <c r="I63" t="s">
        <v>219</v>
      </c>
      <c r="J63" s="25">
        <v>473</v>
      </c>
      <c r="K63" s="26">
        <v>77.239999999999995</v>
      </c>
      <c r="L63" s="26">
        <v>0.43</v>
      </c>
    </row>
    <row r="64" spans="1:12" ht="16" customHeight="1">
      <c r="A64" t="s">
        <v>252</v>
      </c>
      <c r="B64" t="s">
        <v>6</v>
      </c>
      <c r="C64" t="s">
        <v>11</v>
      </c>
      <c r="D64" s="24">
        <v>45901</v>
      </c>
      <c r="E64" t="s">
        <v>283</v>
      </c>
      <c r="F64" t="s">
        <v>6</v>
      </c>
      <c r="G64" t="s">
        <v>505</v>
      </c>
      <c r="H64" t="s">
        <v>505</v>
      </c>
      <c r="I64" t="s">
        <v>219</v>
      </c>
      <c r="J64" s="25">
        <v>100</v>
      </c>
      <c r="K64" s="26">
        <v>16.95</v>
      </c>
      <c r="L64" s="26">
        <v>0.03</v>
      </c>
    </row>
    <row r="65" spans="1:12" ht="16" customHeight="1">
      <c r="A65" t="s">
        <v>252</v>
      </c>
      <c r="B65" t="s">
        <v>6</v>
      </c>
      <c r="C65" t="s">
        <v>11</v>
      </c>
      <c r="D65" s="24">
        <v>45901</v>
      </c>
      <c r="E65" t="s">
        <v>288</v>
      </c>
      <c r="F65" t="s">
        <v>6</v>
      </c>
      <c r="G65" t="s">
        <v>505</v>
      </c>
      <c r="H65" t="s">
        <v>505</v>
      </c>
      <c r="I65" t="s">
        <v>219</v>
      </c>
      <c r="J65" s="25">
        <v>1</v>
      </c>
      <c r="K65" s="26">
        <v>0.16</v>
      </c>
      <c r="L65" s="26">
        <v>0</v>
      </c>
    </row>
    <row r="66" spans="1:12" ht="16" customHeight="1">
      <c r="A66" t="s">
        <v>252</v>
      </c>
      <c r="B66" t="s">
        <v>6</v>
      </c>
      <c r="C66" t="s">
        <v>11</v>
      </c>
      <c r="D66" s="24">
        <v>45901</v>
      </c>
      <c r="E66" t="s">
        <v>292</v>
      </c>
      <c r="F66" t="s">
        <v>6</v>
      </c>
      <c r="G66" t="s">
        <v>505</v>
      </c>
      <c r="H66" t="s">
        <v>505</v>
      </c>
      <c r="I66" t="s">
        <v>219</v>
      </c>
      <c r="J66" s="25">
        <v>1</v>
      </c>
      <c r="K66" s="26">
        <v>0.16</v>
      </c>
      <c r="L66" s="26">
        <v>0</v>
      </c>
    </row>
    <row r="67" spans="1:12" ht="16" customHeight="1">
      <c r="A67" t="s">
        <v>252</v>
      </c>
      <c r="B67" t="s">
        <v>6</v>
      </c>
      <c r="C67" t="s">
        <v>11</v>
      </c>
      <c r="D67" s="24">
        <v>45901</v>
      </c>
      <c r="E67" t="s">
        <v>297</v>
      </c>
      <c r="F67" t="s">
        <v>6</v>
      </c>
      <c r="G67" t="s">
        <v>506</v>
      </c>
      <c r="H67" t="s">
        <v>506</v>
      </c>
      <c r="I67" t="s">
        <v>219</v>
      </c>
      <c r="J67" s="25">
        <v>1495</v>
      </c>
      <c r="K67" s="26">
        <v>249.57</v>
      </c>
      <c r="L67" s="26">
        <v>1.29</v>
      </c>
    </row>
    <row r="68" spans="1:12" ht="16" customHeight="1">
      <c r="A68" t="s">
        <v>253</v>
      </c>
      <c r="B68" t="s">
        <v>7</v>
      </c>
      <c r="C68" t="s">
        <v>11</v>
      </c>
      <c r="D68" s="24">
        <v>45901</v>
      </c>
      <c r="E68" t="s">
        <v>257</v>
      </c>
      <c r="F68" t="s">
        <v>6</v>
      </c>
      <c r="G68" t="s">
        <v>505</v>
      </c>
      <c r="H68" t="s">
        <v>505</v>
      </c>
      <c r="I68" t="s">
        <v>212</v>
      </c>
      <c r="J68" s="25">
        <v>13017689</v>
      </c>
      <c r="K68" s="26">
        <v>2137174.54</v>
      </c>
      <c r="L68" s="26">
        <v>5351.75</v>
      </c>
    </row>
    <row r="69" spans="1:12" ht="16" customHeight="1">
      <c r="A69" t="s">
        <v>253</v>
      </c>
      <c r="B69" t="s">
        <v>7</v>
      </c>
      <c r="C69" t="s">
        <v>11</v>
      </c>
      <c r="D69" s="24">
        <v>45901</v>
      </c>
      <c r="E69" t="s">
        <v>263</v>
      </c>
      <c r="F69" t="s">
        <v>6</v>
      </c>
      <c r="G69" t="s">
        <v>506</v>
      </c>
      <c r="H69" t="s">
        <v>506</v>
      </c>
      <c r="I69" t="s">
        <v>212</v>
      </c>
      <c r="J69" s="25">
        <v>75990</v>
      </c>
      <c r="K69" s="26">
        <v>12494.78</v>
      </c>
      <c r="L69" s="26">
        <v>51.78</v>
      </c>
    </row>
    <row r="70" spans="1:12" ht="16" customHeight="1">
      <c r="A70" t="s">
        <v>253</v>
      </c>
      <c r="B70" t="s">
        <v>7</v>
      </c>
      <c r="C70" t="s">
        <v>11</v>
      </c>
      <c r="D70" s="24">
        <v>45901</v>
      </c>
      <c r="E70" t="s">
        <v>266</v>
      </c>
      <c r="F70" t="s">
        <v>5</v>
      </c>
      <c r="G70" t="s">
        <v>507</v>
      </c>
      <c r="H70" t="s">
        <v>507</v>
      </c>
      <c r="I70" t="s">
        <v>219</v>
      </c>
      <c r="J70" s="25">
        <v>3354</v>
      </c>
      <c r="K70" s="26">
        <v>553.91</v>
      </c>
      <c r="L70" s="26">
        <v>4.0199999999999996</v>
      </c>
    </row>
    <row r="71" spans="1:12" ht="16" customHeight="1">
      <c r="A71" t="s">
        <v>253</v>
      </c>
      <c r="B71" t="s">
        <v>7</v>
      </c>
      <c r="C71" t="s">
        <v>11</v>
      </c>
      <c r="D71" s="24">
        <v>45901</v>
      </c>
      <c r="E71" t="s">
        <v>283</v>
      </c>
      <c r="F71" t="s">
        <v>6</v>
      </c>
      <c r="G71" t="s">
        <v>505</v>
      </c>
      <c r="H71" t="s">
        <v>505</v>
      </c>
      <c r="I71" t="s">
        <v>219</v>
      </c>
      <c r="J71" s="25">
        <v>0</v>
      </c>
      <c r="K71" s="26">
        <v>0</v>
      </c>
      <c r="L71" s="26">
        <v>0</v>
      </c>
    </row>
    <row r="72" spans="1:12" ht="16" customHeight="1">
      <c r="A72" t="s">
        <v>253</v>
      </c>
      <c r="B72" t="s">
        <v>7</v>
      </c>
      <c r="C72" t="s">
        <v>11</v>
      </c>
      <c r="D72" s="24">
        <v>45901</v>
      </c>
      <c r="E72" t="s">
        <v>292</v>
      </c>
      <c r="F72" t="s">
        <v>6</v>
      </c>
      <c r="G72" t="s">
        <v>505</v>
      </c>
      <c r="H72" t="s">
        <v>505</v>
      </c>
      <c r="I72" t="s">
        <v>219</v>
      </c>
      <c r="J72" s="25">
        <v>0</v>
      </c>
      <c r="K72" s="26">
        <v>0</v>
      </c>
      <c r="L72" s="26">
        <v>0</v>
      </c>
    </row>
    <row r="73" spans="1:12" ht="16" customHeight="1">
      <c r="A73" t="s">
        <v>253</v>
      </c>
      <c r="B73" t="s">
        <v>7</v>
      </c>
      <c r="C73" t="s">
        <v>11</v>
      </c>
      <c r="D73" s="24">
        <v>45901</v>
      </c>
      <c r="E73" t="s">
        <v>297</v>
      </c>
      <c r="F73" t="s">
        <v>6</v>
      </c>
      <c r="G73" t="s">
        <v>506</v>
      </c>
      <c r="H73" t="s">
        <v>506</v>
      </c>
      <c r="I73" t="s">
        <v>219</v>
      </c>
      <c r="J73" s="25">
        <v>1095</v>
      </c>
      <c r="K73" s="26">
        <v>181.03</v>
      </c>
      <c r="L73" s="26">
        <v>1.26</v>
      </c>
    </row>
    <row r="74" spans="1:12" ht="16" customHeight="1">
      <c r="A74" t="s">
        <v>254</v>
      </c>
      <c r="B74" t="s">
        <v>3</v>
      </c>
      <c r="C74" t="s">
        <v>12</v>
      </c>
      <c r="D74" s="24">
        <v>45901</v>
      </c>
      <c r="E74" t="s">
        <v>257</v>
      </c>
      <c r="F74" t="s">
        <v>6</v>
      </c>
      <c r="G74" t="s">
        <v>505</v>
      </c>
      <c r="H74" t="s">
        <v>505</v>
      </c>
      <c r="I74" t="s">
        <v>212</v>
      </c>
      <c r="J74" s="25">
        <v>15831773</v>
      </c>
      <c r="K74" s="26">
        <v>2598112.41</v>
      </c>
      <c r="L74" s="26">
        <v>5697.38</v>
      </c>
    </row>
    <row r="75" spans="1:12" ht="16" customHeight="1">
      <c r="A75" t="s">
        <v>254</v>
      </c>
      <c r="B75" t="s">
        <v>3</v>
      </c>
      <c r="C75" t="s">
        <v>12</v>
      </c>
      <c r="D75" s="24">
        <v>45901</v>
      </c>
      <c r="E75" t="s">
        <v>263</v>
      </c>
      <c r="F75" t="s">
        <v>6</v>
      </c>
      <c r="G75" t="s">
        <v>506</v>
      </c>
      <c r="H75" t="s">
        <v>506</v>
      </c>
      <c r="I75" t="s">
        <v>212</v>
      </c>
      <c r="J75" s="25">
        <v>110600</v>
      </c>
      <c r="K75" s="26">
        <v>18279.63</v>
      </c>
      <c r="L75" s="26">
        <v>61.34</v>
      </c>
    </row>
    <row r="76" spans="1:12" ht="16" customHeight="1">
      <c r="A76" t="s">
        <v>254</v>
      </c>
      <c r="B76" t="s">
        <v>3</v>
      </c>
      <c r="C76" t="s">
        <v>12</v>
      </c>
      <c r="D76" s="24">
        <v>45901</v>
      </c>
      <c r="E76" t="s">
        <v>266</v>
      </c>
      <c r="F76" t="s">
        <v>5</v>
      </c>
      <c r="G76" t="s">
        <v>507</v>
      </c>
      <c r="H76" t="s">
        <v>507</v>
      </c>
      <c r="I76" t="s">
        <v>219</v>
      </c>
      <c r="J76" s="25">
        <v>4219</v>
      </c>
      <c r="K76" s="26">
        <v>693.18</v>
      </c>
      <c r="L76" s="26">
        <v>3.76</v>
      </c>
    </row>
    <row r="77" spans="1:12" ht="16" customHeight="1">
      <c r="A77" t="s">
        <v>254</v>
      </c>
      <c r="B77" t="s">
        <v>3</v>
      </c>
      <c r="C77" t="s">
        <v>12</v>
      </c>
      <c r="D77" s="24">
        <v>45901</v>
      </c>
      <c r="E77" t="s">
        <v>283</v>
      </c>
      <c r="F77" t="s">
        <v>6</v>
      </c>
      <c r="G77" t="s">
        <v>505</v>
      </c>
      <c r="H77" t="s">
        <v>505</v>
      </c>
      <c r="I77" t="s">
        <v>219</v>
      </c>
      <c r="J77" s="25">
        <v>23</v>
      </c>
      <c r="K77" s="26">
        <v>3.91</v>
      </c>
      <c r="L77" s="26">
        <v>0.03</v>
      </c>
    </row>
    <row r="78" spans="1:12" ht="16" customHeight="1">
      <c r="A78" t="s">
        <v>254</v>
      </c>
      <c r="B78" t="s">
        <v>3</v>
      </c>
      <c r="C78" t="s">
        <v>12</v>
      </c>
      <c r="D78" s="24">
        <v>45901</v>
      </c>
      <c r="E78" t="s">
        <v>288</v>
      </c>
      <c r="F78" t="s">
        <v>6</v>
      </c>
      <c r="G78" t="s">
        <v>505</v>
      </c>
      <c r="H78" t="s">
        <v>505</v>
      </c>
      <c r="I78" t="s">
        <v>219</v>
      </c>
      <c r="J78" s="25">
        <v>6</v>
      </c>
      <c r="K78" s="26">
        <v>0.99</v>
      </c>
      <c r="L78" s="26">
        <v>0</v>
      </c>
    </row>
    <row r="79" spans="1:12" ht="16" customHeight="1">
      <c r="A79" t="s">
        <v>254</v>
      </c>
      <c r="B79" t="s">
        <v>3</v>
      </c>
      <c r="C79" t="s">
        <v>12</v>
      </c>
      <c r="D79" s="24">
        <v>45901</v>
      </c>
      <c r="E79" t="s">
        <v>292</v>
      </c>
      <c r="F79" t="s">
        <v>6</v>
      </c>
      <c r="G79" t="s">
        <v>505</v>
      </c>
      <c r="H79" t="s">
        <v>505</v>
      </c>
      <c r="I79" t="s">
        <v>219</v>
      </c>
      <c r="J79" s="25">
        <v>0</v>
      </c>
      <c r="K79" s="26">
        <v>0</v>
      </c>
      <c r="L79" s="26">
        <v>0</v>
      </c>
    </row>
    <row r="80" spans="1:12" ht="16" customHeight="1">
      <c r="A80" t="s">
        <v>254</v>
      </c>
      <c r="B80" t="s">
        <v>3</v>
      </c>
      <c r="C80" t="s">
        <v>12</v>
      </c>
      <c r="D80" s="24">
        <v>45901</v>
      </c>
      <c r="E80" t="s">
        <v>297</v>
      </c>
      <c r="F80" t="s">
        <v>6</v>
      </c>
      <c r="G80" t="s">
        <v>506</v>
      </c>
      <c r="H80" t="s">
        <v>506</v>
      </c>
      <c r="I80" t="s">
        <v>219</v>
      </c>
      <c r="J80" s="25">
        <v>1123</v>
      </c>
      <c r="K80" s="26">
        <v>185.66</v>
      </c>
      <c r="L80" s="26">
        <v>1.33</v>
      </c>
    </row>
    <row r="81" spans="1:12" ht="16" customHeight="1">
      <c r="A81" t="s">
        <v>214</v>
      </c>
      <c r="B81" t="s">
        <v>4</v>
      </c>
      <c r="C81" t="s">
        <v>12</v>
      </c>
      <c r="D81" s="24">
        <v>45901</v>
      </c>
      <c r="E81" t="s">
        <v>257</v>
      </c>
      <c r="F81" t="s">
        <v>6</v>
      </c>
      <c r="G81" t="s">
        <v>505</v>
      </c>
      <c r="H81" t="s">
        <v>505</v>
      </c>
      <c r="I81" t="s">
        <v>212</v>
      </c>
      <c r="J81" s="25">
        <v>23195941</v>
      </c>
      <c r="K81" s="26">
        <v>3814455.72</v>
      </c>
      <c r="L81" s="26">
        <v>6660.48</v>
      </c>
    </row>
    <row r="82" spans="1:12" ht="16" customHeight="1">
      <c r="A82" t="s">
        <v>214</v>
      </c>
      <c r="B82" t="s">
        <v>4</v>
      </c>
      <c r="C82" t="s">
        <v>12</v>
      </c>
      <c r="D82" s="24">
        <v>45901</v>
      </c>
      <c r="E82" t="s">
        <v>263</v>
      </c>
      <c r="F82" t="s">
        <v>6</v>
      </c>
      <c r="G82" t="s">
        <v>506</v>
      </c>
      <c r="H82" t="s">
        <v>506</v>
      </c>
      <c r="I82" t="s">
        <v>212</v>
      </c>
      <c r="J82" s="25">
        <v>266887</v>
      </c>
      <c r="K82" s="26">
        <v>44035.040000000001</v>
      </c>
      <c r="L82" s="26">
        <v>148.35</v>
      </c>
    </row>
    <row r="83" spans="1:12" ht="16" customHeight="1">
      <c r="A83" t="s">
        <v>214</v>
      </c>
      <c r="B83" t="s">
        <v>4</v>
      </c>
      <c r="C83" t="s">
        <v>12</v>
      </c>
      <c r="D83" s="24">
        <v>45901</v>
      </c>
      <c r="E83" t="s">
        <v>266</v>
      </c>
      <c r="F83" t="s">
        <v>5</v>
      </c>
      <c r="G83" t="s">
        <v>507</v>
      </c>
      <c r="H83" t="s">
        <v>507</v>
      </c>
      <c r="I83" t="s">
        <v>219</v>
      </c>
      <c r="J83" s="25">
        <v>5893</v>
      </c>
      <c r="K83" s="26">
        <v>974.12</v>
      </c>
      <c r="L83" s="26">
        <v>5.37</v>
      </c>
    </row>
    <row r="84" spans="1:12" ht="16" customHeight="1">
      <c r="A84" t="s">
        <v>214</v>
      </c>
      <c r="B84" t="s">
        <v>4</v>
      </c>
      <c r="C84" t="s">
        <v>12</v>
      </c>
      <c r="D84" s="24">
        <v>45901</v>
      </c>
      <c r="E84" t="s">
        <v>283</v>
      </c>
      <c r="F84" t="s">
        <v>6</v>
      </c>
      <c r="G84" t="s">
        <v>505</v>
      </c>
      <c r="H84" t="s">
        <v>505</v>
      </c>
      <c r="I84" t="s">
        <v>219</v>
      </c>
      <c r="J84" s="25">
        <v>19</v>
      </c>
      <c r="K84" s="26">
        <v>3.1</v>
      </c>
      <c r="L84" s="26">
        <v>0.04</v>
      </c>
    </row>
    <row r="85" spans="1:12" ht="16" customHeight="1">
      <c r="A85" t="s">
        <v>214</v>
      </c>
      <c r="B85" t="s">
        <v>4</v>
      </c>
      <c r="C85" t="s">
        <v>12</v>
      </c>
      <c r="D85" s="24">
        <v>45901</v>
      </c>
      <c r="E85" t="s">
        <v>288</v>
      </c>
      <c r="F85" t="s">
        <v>6</v>
      </c>
      <c r="G85" t="s">
        <v>505</v>
      </c>
      <c r="H85" t="s">
        <v>505</v>
      </c>
      <c r="I85" t="s">
        <v>219</v>
      </c>
      <c r="J85" s="25">
        <v>0</v>
      </c>
      <c r="K85" s="26">
        <v>0</v>
      </c>
      <c r="L85" s="26">
        <v>0</v>
      </c>
    </row>
    <row r="86" spans="1:12" ht="16" customHeight="1">
      <c r="A86" t="s">
        <v>214</v>
      </c>
      <c r="B86" t="s">
        <v>4</v>
      </c>
      <c r="C86" t="s">
        <v>12</v>
      </c>
      <c r="D86" s="24">
        <v>45901</v>
      </c>
      <c r="E86" t="s">
        <v>292</v>
      </c>
      <c r="F86" t="s">
        <v>6</v>
      </c>
      <c r="G86" t="s">
        <v>505</v>
      </c>
      <c r="H86" t="s">
        <v>505</v>
      </c>
      <c r="I86" t="s">
        <v>219</v>
      </c>
      <c r="J86" s="25">
        <v>1</v>
      </c>
      <c r="K86" s="26">
        <v>0.16</v>
      </c>
      <c r="L86" s="26">
        <v>0</v>
      </c>
    </row>
    <row r="87" spans="1:12" ht="16" customHeight="1">
      <c r="A87" t="s">
        <v>214</v>
      </c>
      <c r="B87" t="s">
        <v>4</v>
      </c>
      <c r="C87" t="s">
        <v>12</v>
      </c>
      <c r="D87" s="24">
        <v>45901</v>
      </c>
      <c r="E87" t="s">
        <v>297</v>
      </c>
      <c r="F87" t="s">
        <v>6</v>
      </c>
      <c r="G87" t="s">
        <v>506</v>
      </c>
      <c r="H87" t="s">
        <v>506</v>
      </c>
      <c r="I87" t="s">
        <v>219</v>
      </c>
      <c r="J87" s="25">
        <v>1432</v>
      </c>
      <c r="K87" s="26">
        <v>236.85</v>
      </c>
      <c r="L87" s="26">
        <v>1.76</v>
      </c>
    </row>
    <row r="88" spans="1:12" ht="16" customHeight="1">
      <c r="A88" t="s">
        <v>255</v>
      </c>
      <c r="B88" t="s">
        <v>5</v>
      </c>
      <c r="C88" t="s">
        <v>12</v>
      </c>
      <c r="D88" s="24">
        <v>45901</v>
      </c>
      <c r="E88" t="s">
        <v>257</v>
      </c>
      <c r="F88" t="s">
        <v>6</v>
      </c>
      <c r="G88" t="s">
        <v>505</v>
      </c>
      <c r="H88" t="s">
        <v>505</v>
      </c>
      <c r="I88" t="s">
        <v>212</v>
      </c>
      <c r="J88" s="25">
        <v>74887780</v>
      </c>
      <c r="K88" s="26">
        <v>12393120.060000001</v>
      </c>
      <c r="L88" s="26">
        <v>16369.6</v>
      </c>
    </row>
    <row r="89" spans="1:12" ht="16" customHeight="1">
      <c r="A89" t="s">
        <v>255</v>
      </c>
      <c r="B89" t="s">
        <v>5</v>
      </c>
      <c r="C89" t="s">
        <v>12</v>
      </c>
      <c r="D89" s="24">
        <v>45901</v>
      </c>
      <c r="E89" t="s">
        <v>263</v>
      </c>
      <c r="F89" t="s">
        <v>6</v>
      </c>
      <c r="G89" t="s">
        <v>506</v>
      </c>
      <c r="H89" t="s">
        <v>506</v>
      </c>
      <c r="I89" t="s">
        <v>212</v>
      </c>
      <c r="J89" s="25">
        <v>504822</v>
      </c>
      <c r="K89" s="26">
        <v>83631.009999999995</v>
      </c>
      <c r="L89" s="26">
        <v>234.43</v>
      </c>
    </row>
    <row r="90" spans="1:12" ht="16" customHeight="1">
      <c r="A90" t="s">
        <v>255</v>
      </c>
      <c r="B90" t="s">
        <v>5</v>
      </c>
      <c r="C90" t="s">
        <v>12</v>
      </c>
      <c r="D90" s="24">
        <v>45901</v>
      </c>
      <c r="E90" t="s">
        <v>266</v>
      </c>
      <c r="F90" t="s">
        <v>5</v>
      </c>
      <c r="G90" t="s">
        <v>507</v>
      </c>
      <c r="H90" t="s">
        <v>507</v>
      </c>
      <c r="I90" t="s">
        <v>219</v>
      </c>
      <c r="J90" s="25">
        <v>8997</v>
      </c>
      <c r="K90" s="26">
        <v>1492.37</v>
      </c>
      <c r="L90" s="26">
        <v>7.54</v>
      </c>
    </row>
    <row r="91" spans="1:12" ht="16" customHeight="1">
      <c r="A91" t="s">
        <v>255</v>
      </c>
      <c r="B91" t="s">
        <v>5</v>
      </c>
      <c r="C91" t="s">
        <v>12</v>
      </c>
      <c r="D91" s="24">
        <v>45901</v>
      </c>
      <c r="E91" t="s">
        <v>283</v>
      </c>
      <c r="F91" t="s">
        <v>6</v>
      </c>
      <c r="G91" t="s">
        <v>505</v>
      </c>
      <c r="H91" t="s">
        <v>505</v>
      </c>
      <c r="I91" t="s">
        <v>219</v>
      </c>
      <c r="J91" s="25">
        <v>151</v>
      </c>
      <c r="K91" s="26">
        <v>25.21</v>
      </c>
      <c r="L91" s="26">
        <v>0.32</v>
      </c>
    </row>
    <row r="92" spans="1:12" ht="16" customHeight="1">
      <c r="A92" t="s">
        <v>255</v>
      </c>
      <c r="B92" t="s">
        <v>5</v>
      </c>
      <c r="C92" t="s">
        <v>12</v>
      </c>
      <c r="D92" s="24">
        <v>45901</v>
      </c>
      <c r="E92" t="s">
        <v>288</v>
      </c>
      <c r="F92" t="s">
        <v>6</v>
      </c>
      <c r="G92" t="s">
        <v>505</v>
      </c>
      <c r="H92" t="s">
        <v>505</v>
      </c>
      <c r="I92" t="s">
        <v>219</v>
      </c>
      <c r="J92" s="25">
        <v>0</v>
      </c>
      <c r="K92" s="26">
        <v>0</v>
      </c>
      <c r="L92" s="26">
        <v>0</v>
      </c>
    </row>
    <row r="93" spans="1:12" ht="16" customHeight="1">
      <c r="A93" t="s">
        <v>255</v>
      </c>
      <c r="B93" t="s">
        <v>5</v>
      </c>
      <c r="C93" t="s">
        <v>12</v>
      </c>
      <c r="D93" s="24">
        <v>45901</v>
      </c>
      <c r="E93" t="s">
        <v>292</v>
      </c>
      <c r="F93" t="s">
        <v>6</v>
      </c>
      <c r="G93" t="s">
        <v>505</v>
      </c>
      <c r="H93" t="s">
        <v>505</v>
      </c>
      <c r="I93" t="s">
        <v>219</v>
      </c>
      <c r="J93" s="25">
        <v>1</v>
      </c>
      <c r="K93" s="26">
        <v>0.17</v>
      </c>
      <c r="L93" s="26">
        <v>0</v>
      </c>
    </row>
    <row r="94" spans="1:12" ht="16" customHeight="1">
      <c r="A94" t="s">
        <v>255</v>
      </c>
      <c r="B94" t="s">
        <v>5</v>
      </c>
      <c r="C94" t="s">
        <v>12</v>
      </c>
      <c r="D94" s="24">
        <v>45901</v>
      </c>
      <c r="E94" t="s">
        <v>297</v>
      </c>
      <c r="F94" t="s">
        <v>6</v>
      </c>
      <c r="G94" t="s">
        <v>506</v>
      </c>
      <c r="H94" t="s">
        <v>506</v>
      </c>
      <c r="I94" t="s">
        <v>219</v>
      </c>
      <c r="J94" s="25">
        <v>1874</v>
      </c>
      <c r="K94" s="26">
        <v>312.48</v>
      </c>
      <c r="L94" s="26">
        <v>2.23</v>
      </c>
    </row>
    <row r="95" spans="1:12" ht="16" customHeight="1">
      <c r="A95" t="s">
        <v>257</v>
      </c>
      <c r="B95" t="s">
        <v>6</v>
      </c>
      <c r="C95" t="s">
        <v>12</v>
      </c>
      <c r="D95" s="24">
        <v>45901</v>
      </c>
      <c r="E95" t="s">
        <v>257</v>
      </c>
      <c r="F95" t="s">
        <v>6</v>
      </c>
      <c r="G95" t="s">
        <v>505</v>
      </c>
      <c r="H95" t="s">
        <v>505</v>
      </c>
      <c r="I95" t="s">
        <v>212</v>
      </c>
      <c r="J95" s="25">
        <v>351117533</v>
      </c>
      <c r="K95" s="26">
        <v>58247538.329999998</v>
      </c>
      <c r="L95" s="26">
        <v>29363.25</v>
      </c>
    </row>
    <row r="96" spans="1:12" ht="16" customHeight="1">
      <c r="A96" t="s">
        <v>257</v>
      </c>
      <c r="B96" t="s">
        <v>6</v>
      </c>
      <c r="C96" t="s">
        <v>12</v>
      </c>
      <c r="D96" s="24">
        <v>45901</v>
      </c>
      <c r="E96" t="s">
        <v>263</v>
      </c>
      <c r="F96" t="s">
        <v>6</v>
      </c>
      <c r="G96" t="s">
        <v>506</v>
      </c>
      <c r="H96" t="s">
        <v>506</v>
      </c>
      <c r="I96" t="s">
        <v>212</v>
      </c>
      <c r="J96" s="25">
        <v>1928304</v>
      </c>
      <c r="K96" s="26">
        <v>320277.09999999998</v>
      </c>
      <c r="L96" s="26">
        <v>807.26</v>
      </c>
    </row>
    <row r="97" spans="1:12" ht="16" customHeight="1">
      <c r="A97" t="s">
        <v>257</v>
      </c>
      <c r="B97" t="s">
        <v>6</v>
      </c>
      <c r="C97" t="s">
        <v>12</v>
      </c>
      <c r="D97" s="24">
        <v>45901</v>
      </c>
      <c r="E97" t="s">
        <v>266</v>
      </c>
      <c r="F97" t="s">
        <v>5</v>
      </c>
      <c r="G97" t="s">
        <v>507</v>
      </c>
      <c r="H97" t="s">
        <v>507</v>
      </c>
      <c r="I97" t="s">
        <v>219</v>
      </c>
      <c r="J97" s="25">
        <v>17959</v>
      </c>
      <c r="K97" s="26">
        <v>2988.19</v>
      </c>
      <c r="L97" s="26">
        <v>12.73</v>
      </c>
    </row>
    <row r="98" spans="1:12" ht="16" customHeight="1">
      <c r="A98" t="s">
        <v>257</v>
      </c>
      <c r="B98" t="s">
        <v>6</v>
      </c>
      <c r="C98" t="s">
        <v>12</v>
      </c>
      <c r="D98" s="24">
        <v>45901</v>
      </c>
      <c r="E98" t="s">
        <v>283</v>
      </c>
      <c r="F98" t="s">
        <v>6</v>
      </c>
      <c r="G98" t="s">
        <v>505</v>
      </c>
      <c r="H98" t="s">
        <v>505</v>
      </c>
      <c r="I98" t="s">
        <v>219</v>
      </c>
      <c r="J98" s="25">
        <v>281</v>
      </c>
      <c r="K98" s="26">
        <v>47.64</v>
      </c>
      <c r="L98" s="26">
        <v>0.21</v>
      </c>
    </row>
    <row r="99" spans="1:12" ht="16" customHeight="1">
      <c r="A99" t="s">
        <v>257</v>
      </c>
      <c r="B99" t="s">
        <v>6</v>
      </c>
      <c r="C99" t="s">
        <v>12</v>
      </c>
      <c r="D99" s="24">
        <v>45901</v>
      </c>
      <c r="E99" t="s">
        <v>288</v>
      </c>
      <c r="F99" t="s">
        <v>6</v>
      </c>
      <c r="G99" t="s">
        <v>505</v>
      </c>
      <c r="H99" t="s">
        <v>505</v>
      </c>
      <c r="I99" t="s">
        <v>219</v>
      </c>
      <c r="J99" s="25">
        <v>0</v>
      </c>
      <c r="K99" s="26">
        <v>0</v>
      </c>
      <c r="L99" s="26">
        <v>0</v>
      </c>
    </row>
    <row r="100" spans="1:12" ht="16" customHeight="1">
      <c r="A100" t="s">
        <v>257</v>
      </c>
      <c r="B100" t="s">
        <v>6</v>
      </c>
      <c r="C100" t="s">
        <v>12</v>
      </c>
      <c r="D100" s="24">
        <v>45901</v>
      </c>
      <c r="E100" t="s">
        <v>292</v>
      </c>
      <c r="F100" t="s">
        <v>6</v>
      </c>
      <c r="G100" t="s">
        <v>505</v>
      </c>
      <c r="H100" t="s">
        <v>505</v>
      </c>
      <c r="I100" t="s">
        <v>219</v>
      </c>
      <c r="J100" s="25">
        <v>0</v>
      </c>
      <c r="K100" s="26">
        <v>0</v>
      </c>
      <c r="L100" s="26">
        <v>0</v>
      </c>
    </row>
    <row r="101" spans="1:12" ht="16" customHeight="1">
      <c r="A101" t="s">
        <v>257</v>
      </c>
      <c r="B101" t="s">
        <v>6</v>
      </c>
      <c r="C101" t="s">
        <v>12</v>
      </c>
      <c r="D101" s="24">
        <v>45901</v>
      </c>
      <c r="E101" t="s">
        <v>297</v>
      </c>
      <c r="F101" t="s">
        <v>6</v>
      </c>
      <c r="G101" t="s">
        <v>506</v>
      </c>
      <c r="H101" t="s">
        <v>506</v>
      </c>
      <c r="I101" t="s">
        <v>219</v>
      </c>
      <c r="J101" s="25">
        <v>2926</v>
      </c>
      <c r="K101" s="26">
        <v>490.23</v>
      </c>
      <c r="L101" s="26">
        <v>3.81</v>
      </c>
    </row>
    <row r="102" spans="1:12" ht="16" customHeight="1">
      <c r="A102" t="s">
        <v>258</v>
      </c>
      <c r="B102" t="s">
        <v>7</v>
      </c>
      <c r="C102" t="s">
        <v>12</v>
      </c>
      <c r="D102" s="24">
        <v>45901</v>
      </c>
      <c r="E102" t="s">
        <v>263</v>
      </c>
      <c r="F102" t="s">
        <v>6</v>
      </c>
      <c r="G102" t="s">
        <v>506</v>
      </c>
      <c r="H102" t="s">
        <v>508</v>
      </c>
      <c r="I102" t="s">
        <v>212</v>
      </c>
      <c r="J102" s="25">
        <v>17376796</v>
      </c>
      <c r="K102" s="26">
        <v>2883431.53</v>
      </c>
      <c r="L102" s="26">
        <v>7001.19</v>
      </c>
    </row>
    <row r="103" spans="1:12" ht="16" customHeight="1">
      <c r="A103" t="s">
        <v>258</v>
      </c>
      <c r="B103" t="s">
        <v>7</v>
      </c>
      <c r="C103" t="s">
        <v>12</v>
      </c>
      <c r="D103" s="24">
        <v>45901</v>
      </c>
      <c r="E103" t="s">
        <v>266</v>
      </c>
      <c r="F103" t="s">
        <v>5</v>
      </c>
      <c r="G103" t="s">
        <v>507</v>
      </c>
      <c r="H103" t="s">
        <v>507</v>
      </c>
      <c r="I103" t="s">
        <v>219</v>
      </c>
      <c r="J103" s="25">
        <v>70585</v>
      </c>
      <c r="K103" s="26">
        <v>11754.69</v>
      </c>
      <c r="L103" s="26">
        <v>49.99</v>
      </c>
    </row>
    <row r="104" spans="1:12" ht="16" customHeight="1">
      <c r="A104" t="s">
        <v>258</v>
      </c>
      <c r="B104" t="s">
        <v>7</v>
      </c>
      <c r="C104" t="s">
        <v>12</v>
      </c>
      <c r="D104" s="24">
        <v>45901</v>
      </c>
      <c r="E104" t="s">
        <v>283</v>
      </c>
      <c r="F104" t="s">
        <v>6</v>
      </c>
      <c r="G104" t="s">
        <v>505</v>
      </c>
      <c r="H104" t="s">
        <v>505</v>
      </c>
      <c r="I104" t="s">
        <v>219</v>
      </c>
      <c r="J104" s="25">
        <v>1316</v>
      </c>
      <c r="K104" s="26">
        <v>220.42</v>
      </c>
      <c r="L104" s="26">
        <v>1.6</v>
      </c>
    </row>
    <row r="105" spans="1:12" ht="16" customHeight="1">
      <c r="A105" t="s">
        <v>258</v>
      </c>
      <c r="B105" t="s">
        <v>7</v>
      </c>
      <c r="C105" t="s">
        <v>12</v>
      </c>
      <c r="D105" s="24">
        <v>45901</v>
      </c>
      <c r="E105" t="s">
        <v>288</v>
      </c>
      <c r="F105" t="s">
        <v>6</v>
      </c>
      <c r="G105" t="s">
        <v>505</v>
      </c>
      <c r="H105" t="s">
        <v>505</v>
      </c>
      <c r="I105" t="s">
        <v>219</v>
      </c>
      <c r="J105" s="25">
        <v>0</v>
      </c>
      <c r="K105" s="26">
        <v>0</v>
      </c>
      <c r="L105" s="26">
        <v>0</v>
      </c>
    </row>
    <row r="106" spans="1:12" ht="16" customHeight="1">
      <c r="A106" t="s">
        <v>258</v>
      </c>
      <c r="B106" t="s">
        <v>7</v>
      </c>
      <c r="C106" t="s">
        <v>12</v>
      </c>
      <c r="D106" s="24">
        <v>45901</v>
      </c>
      <c r="E106" t="s">
        <v>292</v>
      </c>
      <c r="F106" t="s">
        <v>6</v>
      </c>
      <c r="G106" t="s">
        <v>505</v>
      </c>
      <c r="H106" t="s">
        <v>505</v>
      </c>
      <c r="I106" t="s">
        <v>219</v>
      </c>
      <c r="J106" s="25">
        <v>2</v>
      </c>
      <c r="K106" s="26">
        <v>0.34</v>
      </c>
      <c r="L106" s="26">
        <v>0</v>
      </c>
    </row>
    <row r="107" spans="1:12" ht="16" customHeight="1">
      <c r="A107" t="s">
        <v>258</v>
      </c>
      <c r="B107" t="s">
        <v>7</v>
      </c>
      <c r="C107" t="s">
        <v>12</v>
      </c>
      <c r="D107" s="24">
        <v>45901</v>
      </c>
      <c r="E107" t="s">
        <v>297</v>
      </c>
      <c r="F107" t="s">
        <v>6</v>
      </c>
      <c r="G107" t="s">
        <v>506</v>
      </c>
      <c r="H107" t="s">
        <v>506</v>
      </c>
      <c r="I107" t="s">
        <v>219</v>
      </c>
      <c r="J107" s="25">
        <v>3521</v>
      </c>
      <c r="K107" s="26">
        <v>588.85</v>
      </c>
      <c r="L107" s="26">
        <v>4.1500000000000004</v>
      </c>
    </row>
    <row r="108" spans="1:12" ht="16" customHeight="1">
      <c r="A108" t="s">
        <v>259</v>
      </c>
      <c r="B108" t="s">
        <v>3</v>
      </c>
      <c r="C108" t="s">
        <v>13</v>
      </c>
      <c r="D108" s="24">
        <v>45901</v>
      </c>
      <c r="E108" t="s">
        <v>263</v>
      </c>
      <c r="F108" t="s">
        <v>6</v>
      </c>
      <c r="G108" t="s">
        <v>506</v>
      </c>
      <c r="H108" t="s">
        <v>508</v>
      </c>
      <c r="I108" t="s">
        <v>212</v>
      </c>
      <c r="J108" s="25">
        <v>23747754</v>
      </c>
      <c r="K108" s="26">
        <v>3928049.42</v>
      </c>
      <c r="L108" s="26">
        <v>8220.4699999999993</v>
      </c>
    </row>
    <row r="109" spans="1:12" ht="16" customHeight="1">
      <c r="A109" t="s">
        <v>259</v>
      </c>
      <c r="B109" t="s">
        <v>3</v>
      </c>
      <c r="C109" t="s">
        <v>13</v>
      </c>
      <c r="D109" s="24">
        <v>45901</v>
      </c>
      <c r="E109" t="s">
        <v>266</v>
      </c>
      <c r="F109" t="s">
        <v>5</v>
      </c>
      <c r="G109" t="s">
        <v>507</v>
      </c>
      <c r="H109" t="s">
        <v>507</v>
      </c>
      <c r="I109" t="s">
        <v>219</v>
      </c>
      <c r="J109" s="25">
        <v>164335</v>
      </c>
      <c r="K109" s="26">
        <v>27242.97</v>
      </c>
      <c r="L109" s="26">
        <v>97.06</v>
      </c>
    </row>
    <row r="110" spans="1:12" ht="16" customHeight="1">
      <c r="A110" t="s">
        <v>259</v>
      </c>
      <c r="B110" t="s">
        <v>3</v>
      </c>
      <c r="C110" t="s">
        <v>13</v>
      </c>
      <c r="D110" s="24">
        <v>45901</v>
      </c>
      <c r="E110" t="s">
        <v>283</v>
      </c>
      <c r="F110" t="s">
        <v>6</v>
      </c>
      <c r="G110" t="s">
        <v>505</v>
      </c>
      <c r="H110" t="s">
        <v>505</v>
      </c>
      <c r="I110" t="s">
        <v>219</v>
      </c>
      <c r="J110" s="25">
        <v>3841</v>
      </c>
      <c r="K110" s="26">
        <v>640.61</v>
      </c>
      <c r="L110" s="26">
        <v>4.38</v>
      </c>
    </row>
    <row r="111" spans="1:12" ht="16" customHeight="1">
      <c r="A111" t="s">
        <v>259</v>
      </c>
      <c r="B111" t="s">
        <v>3</v>
      </c>
      <c r="C111" t="s">
        <v>13</v>
      </c>
      <c r="D111" s="24">
        <v>45901</v>
      </c>
      <c r="E111" t="s">
        <v>288</v>
      </c>
      <c r="F111" t="s">
        <v>6</v>
      </c>
      <c r="G111" t="s">
        <v>505</v>
      </c>
      <c r="H111" t="s">
        <v>505</v>
      </c>
      <c r="I111" t="s">
        <v>219</v>
      </c>
      <c r="J111" s="25">
        <v>7</v>
      </c>
      <c r="K111" s="26">
        <v>1.17</v>
      </c>
      <c r="L111" s="26">
        <v>0.01</v>
      </c>
    </row>
    <row r="112" spans="1:12" ht="16" customHeight="1">
      <c r="A112" t="s">
        <v>259</v>
      </c>
      <c r="B112" t="s">
        <v>3</v>
      </c>
      <c r="C112" t="s">
        <v>13</v>
      </c>
      <c r="D112" s="24">
        <v>45901</v>
      </c>
      <c r="E112" t="s">
        <v>292</v>
      </c>
      <c r="F112" t="s">
        <v>6</v>
      </c>
      <c r="G112" t="s">
        <v>505</v>
      </c>
      <c r="H112" t="s">
        <v>505</v>
      </c>
      <c r="I112" t="s">
        <v>219</v>
      </c>
      <c r="J112" s="25">
        <v>9</v>
      </c>
      <c r="K112" s="26">
        <v>1.52</v>
      </c>
      <c r="L112" s="26">
        <v>0.02</v>
      </c>
    </row>
    <row r="113" spans="1:12" ht="16" customHeight="1">
      <c r="A113" t="s">
        <v>259</v>
      </c>
      <c r="B113" t="s">
        <v>3</v>
      </c>
      <c r="C113" t="s">
        <v>13</v>
      </c>
      <c r="D113" s="24">
        <v>45901</v>
      </c>
      <c r="E113" t="s">
        <v>297</v>
      </c>
      <c r="F113" t="s">
        <v>6</v>
      </c>
      <c r="G113" t="s">
        <v>506</v>
      </c>
      <c r="H113" t="s">
        <v>506</v>
      </c>
      <c r="I113" t="s">
        <v>219</v>
      </c>
      <c r="J113" s="25">
        <v>4159</v>
      </c>
      <c r="K113" s="26">
        <v>694.7</v>
      </c>
      <c r="L113" s="26">
        <v>5.05</v>
      </c>
    </row>
    <row r="114" spans="1:12" ht="16" customHeight="1">
      <c r="A114" t="s">
        <v>215</v>
      </c>
      <c r="B114" t="s">
        <v>4</v>
      </c>
      <c r="C114" t="s">
        <v>13</v>
      </c>
      <c r="D114" s="24">
        <v>45901</v>
      </c>
      <c r="E114" t="s">
        <v>263</v>
      </c>
      <c r="F114" t="s">
        <v>6</v>
      </c>
      <c r="G114" t="s">
        <v>506</v>
      </c>
      <c r="H114" t="s">
        <v>508</v>
      </c>
      <c r="I114" t="s">
        <v>212</v>
      </c>
      <c r="J114" s="25">
        <v>30068388</v>
      </c>
      <c r="K114" s="26">
        <v>4957872.07</v>
      </c>
      <c r="L114" s="26">
        <v>9169.33</v>
      </c>
    </row>
    <row r="115" spans="1:12" ht="16" customHeight="1">
      <c r="A115" t="s">
        <v>215</v>
      </c>
      <c r="B115" t="s">
        <v>4</v>
      </c>
      <c r="C115" t="s">
        <v>13</v>
      </c>
      <c r="D115" s="24">
        <v>45901</v>
      </c>
      <c r="E115" t="s">
        <v>266</v>
      </c>
      <c r="F115" t="s">
        <v>5</v>
      </c>
      <c r="G115" t="s">
        <v>507</v>
      </c>
      <c r="H115" t="s">
        <v>507</v>
      </c>
      <c r="I115" t="s">
        <v>219</v>
      </c>
      <c r="J115" s="25">
        <v>316259</v>
      </c>
      <c r="K115" s="26">
        <v>52298.61</v>
      </c>
      <c r="L115" s="26">
        <v>193.91</v>
      </c>
    </row>
    <row r="116" spans="1:12" ht="16" customHeight="1">
      <c r="A116" t="s">
        <v>215</v>
      </c>
      <c r="B116" t="s">
        <v>4</v>
      </c>
      <c r="C116" t="s">
        <v>13</v>
      </c>
      <c r="D116" s="24">
        <v>45901</v>
      </c>
      <c r="E116" t="s">
        <v>283</v>
      </c>
      <c r="F116" t="s">
        <v>6</v>
      </c>
      <c r="G116" t="s">
        <v>505</v>
      </c>
      <c r="H116" t="s">
        <v>505</v>
      </c>
      <c r="I116" t="s">
        <v>219</v>
      </c>
      <c r="J116" s="25">
        <v>7901</v>
      </c>
      <c r="K116" s="26">
        <v>1312.71</v>
      </c>
      <c r="L116" s="26">
        <v>9.6</v>
      </c>
    </row>
    <row r="117" spans="1:12" ht="16" customHeight="1">
      <c r="A117" t="s">
        <v>215</v>
      </c>
      <c r="B117" t="s">
        <v>4</v>
      </c>
      <c r="C117" t="s">
        <v>13</v>
      </c>
      <c r="D117" s="24">
        <v>45901</v>
      </c>
      <c r="E117" t="s">
        <v>288</v>
      </c>
      <c r="F117" t="s">
        <v>6</v>
      </c>
      <c r="G117" t="s">
        <v>505</v>
      </c>
      <c r="H117" t="s">
        <v>505</v>
      </c>
      <c r="I117" t="s">
        <v>219</v>
      </c>
      <c r="J117" s="25">
        <v>1</v>
      </c>
      <c r="K117" s="26">
        <v>0.16</v>
      </c>
      <c r="L117" s="26">
        <v>0</v>
      </c>
    </row>
    <row r="118" spans="1:12" ht="16" customHeight="1">
      <c r="A118" t="s">
        <v>215</v>
      </c>
      <c r="B118" t="s">
        <v>4</v>
      </c>
      <c r="C118" t="s">
        <v>13</v>
      </c>
      <c r="D118" s="24">
        <v>45901</v>
      </c>
      <c r="E118" t="s">
        <v>292</v>
      </c>
      <c r="F118" t="s">
        <v>6</v>
      </c>
      <c r="G118" t="s">
        <v>505</v>
      </c>
      <c r="H118" t="s">
        <v>505</v>
      </c>
      <c r="I118" t="s">
        <v>219</v>
      </c>
      <c r="J118" s="25">
        <v>0</v>
      </c>
      <c r="K118" s="26">
        <v>0</v>
      </c>
      <c r="L118" s="26">
        <v>0</v>
      </c>
    </row>
    <row r="119" spans="1:12" ht="16" customHeight="1">
      <c r="A119" t="s">
        <v>215</v>
      </c>
      <c r="B119" t="s">
        <v>4</v>
      </c>
      <c r="C119" t="s">
        <v>13</v>
      </c>
      <c r="D119" s="24">
        <v>45901</v>
      </c>
      <c r="E119" t="s">
        <v>297</v>
      </c>
      <c r="F119" t="s">
        <v>6</v>
      </c>
      <c r="G119" t="s">
        <v>506</v>
      </c>
      <c r="H119" t="s">
        <v>506</v>
      </c>
      <c r="I119" t="s">
        <v>219</v>
      </c>
      <c r="J119" s="25">
        <v>3768</v>
      </c>
      <c r="K119" s="26">
        <v>628.75</v>
      </c>
      <c r="L119" s="26">
        <v>4.95</v>
      </c>
    </row>
    <row r="120" spans="1:12" ht="16" customHeight="1">
      <c r="A120" t="s">
        <v>260</v>
      </c>
      <c r="B120" t="s">
        <v>5</v>
      </c>
      <c r="C120" t="s">
        <v>13</v>
      </c>
      <c r="D120" s="24">
        <v>45901</v>
      </c>
      <c r="E120" t="s">
        <v>263</v>
      </c>
      <c r="F120" t="s">
        <v>6</v>
      </c>
      <c r="G120" t="s">
        <v>506</v>
      </c>
      <c r="H120" t="s">
        <v>508</v>
      </c>
      <c r="I120" t="s">
        <v>212</v>
      </c>
      <c r="J120" s="25">
        <v>111212431</v>
      </c>
      <c r="K120" s="26">
        <v>18242116.829999998</v>
      </c>
      <c r="L120" s="26">
        <v>22829.57</v>
      </c>
    </row>
    <row r="121" spans="1:12" ht="16" customHeight="1">
      <c r="A121" t="s">
        <v>260</v>
      </c>
      <c r="B121" t="s">
        <v>5</v>
      </c>
      <c r="C121" t="s">
        <v>13</v>
      </c>
      <c r="D121" s="24">
        <v>45901</v>
      </c>
      <c r="E121" t="s">
        <v>266</v>
      </c>
      <c r="F121" t="s">
        <v>5</v>
      </c>
      <c r="G121" t="s">
        <v>507</v>
      </c>
      <c r="H121" t="s">
        <v>507</v>
      </c>
      <c r="I121" t="s">
        <v>219</v>
      </c>
      <c r="J121" s="25">
        <v>639422</v>
      </c>
      <c r="K121" s="26">
        <v>105312.41</v>
      </c>
      <c r="L121" s="26">
        <v>301</v>
      </c>
    </row>
    <row r="122" spans="1:12" ht="16" customHeight="1">
      <c r="A122" t="s">
        <v>260</v>
      </c>
      <c r="B122" t="s">
        <v>5</v>
      </c>
      <c r="C122" t="s">
        <v>13</v>
      </c>
      <c r="D122" s="24">
        <v>45901</v>
      </c>
      <c r="E122" t="s">
        <v>283</v>
      </c>
      <c r="F122" t="s">
        <v>6</v>
      </c>
      <c r="G122" t="s">
        <v>505</v>
      </c>
      <c r="H122" t="s">
        <v>505</v>
      </c>
      <c r="I122" t="s">
        <v>219</v>
      </c>
      <c r="J122" s="25">
        <v>8581</v>
      </c>
      <c r="K122" s="26">
        <v>1418.25</v>
      </c>
      <c r="L122" s="26">
        <v>7.25</v>
      </c>
    </row>
    <row r="123" spans="1:12" ht="16" customHeight="1">
      <c r="A123" t="s">
        <v>260</v>
      </c>
      <c r="B123" t="s">
        <v>5</v>
      </c>
      <c r="C123" t="s">
        <v>13</v>
      </c>
      <c r="D123" s="24">
        <v>45901</v>
      </c>
      <c r="E123" t="s">
        <v>288</v>
      </c>
      <c r="F123" t="s">
        <v>6</v>
      </c>
      <c r="G123" t="s">
        <v>505</v>
      </c>
      <c r="H123" t="s">
        <v>505</v>
      </c>
      <c r="I123" t="s">
        <v>219</v>
      </c>
      <c r="J123" s="25">
        <v>5</v>
      </c>
      <c r="K123" s="26">
        <v>0.83</v>
      </c>
      <c r="L123" s="26">
        <v>0.02</v>
      </c>
    </row>
    <row r="124" spans="1:12" ht="16" customHeight="1">
      <c r="A124" t="s">
        <v>260</v>
      </c>
      <c r="B124" t="s">
        <v>5</v>
      </c>
      <c r="C124" t="s">
        <v>13</v>
      </c>
      <c r="D124" s="24">
        <v>45901</v>
      </c>
      <c r="E124" t="s">
        <v>292</v>
      </c>
      <c r="F124" t="s">
        <v>6</v>
      </c>
      <c r="G124" t="s">
        <v>505</v>
      </c>
      <c r="H124" t="s">
        <v>505</v>
      </c>
      <c r="I124" t="s">
        <v>219</v>
      </c>
      <c r="J124" s="25">
        <v>0</v>
      </c>
      <c r="K124" s="26">
        <v>0</v>
      </c>
      <c r="L124" s="26">
        <v>0</v>
      </c>
    </row>
    <row r="125" spans="1:12" ht="16" customHeight="1">
      <c r="A125" t="s">
        <v>260</v>
      </c>
      <c r="B125" t="s">
        <v>5</v>
      </c>
      <c r="C125" t="s">
        <v>13</v>
      </c>
      <c r="D125" s="24">
        <v>45901</v>
      </c>
      <c r="E125" t="s">
        <v>297</v>
      </c>
      <c r="F125" t="s">
        <v>6</v>
      </c>
      <c r="G125" t="s">
        <v>506</v>
      </c>
      <c r="H125" t="s">
        <v>506</v>
      </c>
      <c r="I125" t="s">
        <v>219</v>
      </c>
      <c r="J125" s="25">
        <v>5252</v>
      </c>
      <c r="K125" s="26">
        <v>870.56</v>
      </c>
      <c r="L125" s="26">
        <v>6.62</v>
      </c>
    </row>
    <row r="126" spans="1:12" ht="16" customHeight="1">
      <c r="A126" t="s">
        <v>263</v>
      </c>
      <c r="B126" t="s">
        <v>6</v>
      </c>
      <c r="C126" t="s">
        <v>13</v>
      </c>
      <c r="D126" s="24">
        <v>45901</v>
      </c>
      <c r="E126" t="s">
        <v>263</v>
      </c>
      <c r="F126" t="s">
        <v>6</v>
      </c>
      <c r="G126" t="s">
        <v>506</v>
      </c>
      <c r="H126" t="s">
        <v>508</v>
      </c>
      <c r="I126" t="s">
        <v>212</v>
      </c>
      <c r="J126" s="25">
        <v>373937295</v>
      </c>
      <c r="K126" s="26">
        <v>61014357.829999998</v>
      </c>
      <c r="L126" s="26">
        <v>35043.74</v>
      </c>
    </row>
    <row r="127" spans="1:12" ht="16" customHeight="1">
      <c r="A127" t="s">
        <v>263</v>
      </c>
      <c r="B127" t="s">
        <v>6</v>
      </c>
      <c r="C127" t="s">
        <v>13</v>
      </c>
      <c r="D127" s="24">
        <v>45901</v>
      </c>
      <c r="E127" t="s">
        <v>266</v>
      </c>
      <c r="F127" t="s">
        <v>5</v>
      </c>
      <c r="G127" t="s">
        <v>507</v>
      </c>
      <c r="H127" t="s">
        <v>507</v>
      </c>
      <c r="I127" t="s">
        <v>219</v>
      </c>
      <c r="J127" s="25">
        <v>1912405</v>
      </c>
      <c r="K127" s="26">
        <v>313497.33</v>
      </c>
      <c r="L127" s="26">
        <v>843.14</v>
      </c>
    </row>
    <row r="128" spans="1:12" ht="16" customHeight="1">
      <c r="A128" t="s">
        <v>263</v>
      </c>
      <c r="B128" t="s">
        <v>6</v>
      </c>
      <c r="C128" t="s">
        <v>13</v>
      </c>
      <c r="D128" s="24">
        <v>45901</v>
      </c>
      <c r="E128" t="s">
        <v>283</v>
      </c>
      <c r="F128" t="s">
        <v>6</v>
      </c>
      <c r="G128" t="s">
        <v>505</v>
      </c>
      <c r="H128" t="s">
        <v>505</v>
      </c>
      <c r="I128" t="s">
        <v>219</v>
      </c>
      <c r="J128" s="25">
        <v>17591</v>
      </c>
      <c r="K128" s="26">
        <v>2900.32</v>
      </c>
      <c r="L128" s="26">
        <v>14.74</v>
      </c>
    </row>
    <row r="129" spans="1:12" ht="16" customHeight="1">
      <c r="A129" t="s">
        <v>263</v>
      </c>
      <c r="B129" t="s">
        <v>6</v>
      </c>
      <c r="C129" t="s">
        <v>13</v>
      </c>
      <c r="D129" s="24">
        <v>45901</v>
      </c>
      <c r="E129" t="s">
        <v>288</v>
      </c>
      <c r="F129" t="s">
        <v>6</v>
      </c>
      <c r="G129" t="s">
        <v>505</v>
      </c>
      <c r="H129" t="s">
        <v>505</v>
      </c>
      <c r="I129" t="s">
        <v>219</v>
      </c>
      <c r="J129" s="25">
        <v>3</v>
      </c>
      <c r="K129" s="26">
        <v>0.49</v>
      </c>
      <c r="L129" s="26">
        <v>0</v>
      </c>
    </row>
    <row r="130" spans="1:12" ht="16" customHeight="1">
      <c r="A130" t="s">
        <v>263</v>
      </c>
      <c r="B130" t="s">
        <v>6</v>
      </c>
      <c r="C130" t="s">
        <v>13</v>
      </c>
      <c r="D130" s="24">
        <v>45901</v>
      </c>
      <c r="E130" t="s">
        <v>292</v>
      </c>
      <c r="F130" t="s">
        <v>6</v>
      </c>
      <c r="G130" t="s">
        <v>505</v>
      </c>
      <c r="H130" t="s">
        <v>505</v>
      </c>
      <c r="I130" t="s">
        <v>219</v>
      </c>
      <c r="J130" s="25">
        <v>6</v>
      </c>
      <c r="K130" s="26">
        <v>1.06</v>
      </c>
      <c r="L130" s="26">
        <v>0.04</v>
      </c>
    </row>
    <row r="131" spans="1:12" ht="16" customHeight="1">
      <c r="A131" t="s">
        <v>263</v>
      </c>
      <c r="B131" t="s">
        <v>6</v>
      </c>
      <c r="C131" t="s">
        <v>13</v>
      </c>
      <c r="D131" s="24">
        <v>45901</v>
      </c>
      <c r="E131" t="s">
        <v>297</v>
      </c>
      <c r="F131" t="s">
        <v>6</v>
      </c>
      <c r="G131" t="s">
        <v>506</v>
      </c>
      <c r="H131" t="s">
        <v>506</v>
      </c>
      <c r="I131" t="s">
        <v>219</v>
      </c>
      <c r="J131" s="25">
        <v>11195</v>
      </c>
      <c r="K131" s="26">
        <v>1831.22</v>
      </c>
      <c r="L131" s="26">
        <v>13.55</v>
      </c>
    </row>
    <row r="132" spans="1:12" ht="16" customHeight="1">
      <c r="A132" t="s">
        <v>263</v>
      </c>
      <c r="B132" t="s">
        <v>6</v>
      </c>
      <c r="C132" t="s">
        <v>13</v>
      </c>
      <c r="D132" s="24">
        <v>45901</v>
      </c>
      <c r="E132" t="s">
        <v>311</v>
      </c>
      <c r="F132" t="s">
        <v>6</v>
      </c>
      <c r="G132" t="s">
        <v>505</v>
      </c>
      <c r="H132" t="s">
        <v>505</v>
      </c>
      <c r="I132" t="s">
        <v>221</v>
      </c>
      <c r="J132" s="25">
        <v>2</v>
      </c>
      <c r="K132" s="26">
        <v>0.34</v>
      </c>
      <c r="L132" s="26">
        <v>0.01</v>
      </c>
    </row>
    <row r="133" spans="1:12" ht="16" customHeight="1">
      <c r="A133" t="s">
        <v>263</v>
      </c>
      <c r="B133" t="s">
        <v>6</v>
      </c>
      <c r="C133" t="s">
        <v>13</v>
      </c>
      <c r="D133" s="24">
        <v>45901</v>
      </c>
      <c r="E133" t="s">
        <v>353</v>
      </c>
      <c r="F133" t="s">
        <v>5</v>
      </c>
      <c r="G133" t="s">
        <v>507</v>
      </c>
      <c r="H133" t="s">
        <v>507</v>
      </c>
      <c r="I133" t="s">
        <v>223</v>
      </c>
      <c r="J133" s="25">
        <v>6</v>
      </c>
      <c r="K133" s="26">
        <v>1</v>
      </c>
      <c r="L133" s="26">
        <v>0.02</v>
      </c>
    </row>
    <row r="134" spans="1:12" ht="16" customHeight="1">
      <c r="A134" t="s">
        <v>264</v>
      </c>
      <c r="B134" t="s">
        <v>7</v>
      </c>
      <c r="C134" t="s">
        <v>13</v>
      </c>
      <c r="D134" s="24">
        <v>45901</v>
      </c>
      <c r="E134" t="s">
        <v>266</v>
      </c>
      <c r="F134" t="s">
        <v>5</v>
      </c>
      <c r="G134" t="s">
        <v>507</v>
      </c>
      <c r="H134" t="s">
        <v>507</v>
      </c>
      <c r="I134" t="s">
        <v>219</v>
      </c>
      <c r="J134" s="25">
        <v>19601513</v>
      </c>
      <c r="K134" s="26">
        <v>3180509.85</v>
      </c>
      <c r="L134" s="26">
        <v>8432.26</v>
      </c>
    </row>
    <row r="135" spans="1:12" ht="16" customHeight="1">
      <c r="A135" t="s">
        <v>264</v>
      </c>
      <c r="B135" t="s">
        <v>7</v>
      </c>
      <c r="C135" t="s">
        <v>13</v>
      </c>
      <c r="D135" s="24">
        <v>45901</v>
      </c>
      <c r="E135" t="s">
        <v>283</v>
      </c>
      <c r="F135" t="s">
        <v>6</v>
      </c>
      <c r="G135" t="s">
        <v>505</v>
      </c>
      <c r="H135" t="s">
        <v>505</v>
      </c>
      <c r="I135" t="s">
        <v>219</v>
      </c>
      <c r="J135" s="25">
        <v>87505</v>
      </c>
      <c r="K135" s="26">
        <v>14333.14</v>
      </c>
      <c r="L135" s="26">
        <v>65.09</v>
      </c>
    </row>
    <row r="136" spans="1:12" ht="16" customHeight="1">
      <c r="A136" t="s">
        <v>264</v>
      </c>
      <c r="B136" t="s">
        <v>7</v>
      </c>
      <c r="C136" t="s">
        <v>13</v>
      </c>
      <c r="D136" s="24">
        <v>45901</v>
      </c>
      <c r="E136" t="s">
        <v>288</v>
      </c>
      <c r="F136" t="s">
        <v>6</v>
      </c>
      <c r="G136" t="s">
        <v>505</v>
      </c>
      <c r="H136" t="s">
        <v>505</v>
      </c>
      <c r="I136" t="s">
        <v>219</v>
      </c>
      <c r="J136" s="25">
        <v>1594</v>
      </c>
      <c r="K136" s="26">
        <v>260.38</v>
      </c>
      <c r="L136" s="26">
        <v>2.13</v>
      </c>
    </row>
    <row r="137" spans="1:12" ht="16" customHeight="1">
      <c r="A137" t="s">
        <v>264</v>
      </c>
      <c r="B137" t="s">
        <v>7</v>
      </c>
      <c r="C137" t="s">
        <v>13</v>
      </c>
      <c r="D137" s="24">
        <v>45901</v>
      </c>
      <c r="E137" t="s">
        <v>292</v>
      </c>
      <c r="F137" t="s">
        <v>6</v>
      </c>
      <c r="G137" t="s">
        <v>505</v>
      </c>
      <c r="H137" t="s">
        <v>505</v>
      </c>
      <c r="I137" t="s">
        <v>219</v>
      </c>
      <c r="J137" s="25">
        <v>32</v>
      </c>
      <c r="K137" s="26">
        <v>5.31</v>
      </c>
      <c r="L137" s="26">
        <v>0.06</v>
      </c>
    </row>
    <row r="138" spans="1:12" ht="16" customHeight="1">
      <c r="A138" t="s">
        <v>264</v>
      </c>
      <c r="B138" t="s">
        <v>7</v>
      </c>
      <c r="C138" t="s">
        <v>13</v>
      </c>
      <c r="D138" s="24">
        <v>45901</v>
      </c>
      <c r="E138" t="s">
        <v>297</v>
      </c>
      <c r="F138" t="s">
        <v>6</v>
      </c>
      <c r="G138" t="s">
        <v>506</v>
      </c>
      <c r="H138" t="s">
        <v>506</v>
      </c>
      <c r="I138" t="s">
        <v>219</v>
      </c>
      <c r="J138" s="25">
        <v>17476</v>
      </c>
      <c r="K138" s="26">
        <v>2865.66</v>
      </c>
      <c r="L138" s="26">
        <v>20.83</v>
      </c>
    </row>
    <row r="139" spans="1:12" ht="16" customHeight="1">
      <c r="A139" t="s">
        <v>264</v>
      </c>
      <c r="B139" t="s">
        <v>7</v>
      </c>
      <c r="C139" t="s">
        <v>13</v>
      </c>
      <c r="D139" s="24">
        <v>45901</v>
      </c>
      <c r="E139" t="s">
        <v>311</v>
      </c>
      <c r="F139" t="s">
        <v>6</v>
      </c>
      <c r="G139" t="s">
        <v>505</v>
      </c>
      <c r="H139" t="s">
        <v>505</v>
      </c>
      <c r="I139" t="s">
        <v>221</v>
      </c>
      <c r="J139" s="25">
        <v>2</v>
      </c>
      <c r="K139" s="26">
        <v>0.34</v>
      </c>
      <c r="L139" s="26">
        <v>0.01</v>
      </c>
    </row>
    <row r="140" spans="1:12" ht="16" customHeight="1">
      <c r="A140" t="s">
        <v>265</v>
      </c>
      <c r="B140" t="s">
        <v>3</v>
      </c>
      <c r="C140" t="s">
        <v>14</v>
      </c>
      <c r="D140" s="24">
        <v>45901</v>
      </c>
      <c r="E140" t="s">
        <v>266</v>
      </c>
      <c r="F140" t="s">
        <v>5</v>
      </c>
      <c r="G140" t="s">
        <v>507</v>
      </c>
      <c r="H140" t="s">
        <v>507</v>
      </c>
      <c r="I140" t="s">
        <v>219</v>
      </c>
      <c r="J140" s="25">
        <v>27288562</v>
      </c>
      <c r="K140" s="26">
        <v>4411854.6500000004</v>
      </c>
      <c r="L140" s="26">
        <v>9875.1299999999992</v>
      </c>
    </row>
    <row r="141" spans="1:12" ht="16" customHeight="1">
      <c r="A141" t="s">
        <v>265</v>
      </c>
      <c r="B141" t="s">
        <v>3</v>
      </c>
      <c r="C141" t="s">
        <v>14</v>
      </c>
      <c r="D141" s="24">
        <v>45901</v>
      </c>
      <c r="E141" t="s">
        <v>283</v>
      </c>
      <c r="F141" t="s">
        <v>6</v>
      </c>
      <c r="G141" t="s">
        <v>505</v>
      </c>
      <c r="H141" t="s">
        <v>505</v>
      </c>
      <c r="I141" t="s">
        <v>219</v>
      </c>
      <c r="J141" s="25">
        <v>130780</v>
      </c>
      <c r="K141" s="26">
        <v>21297.39</v>
      </c>
      <c r="L141" s="26">
        <v>94.19</v>
      </c>
    </row>
    <row r="142" spans="1:12" ht="16" customHeight="1">
      <c r="A142" t="s">
        <v>265</v>
      </c>
      <c r="B142" t="s">
        <v>3</v>
      </c>
      <c r="C142" t="s">
        <v>14</v>
      </c>
      <c r="D142" s="24">
        <v>45901</v>
      </c>
      <c r="E142" t="s">
        <v>288</v>
      </c>
      <c r="F142" t="s">
        <v>6</v>
      </c>
      <c r="G142" t="s">
        <v>505</v>
      </c>
      <c r="H142" t="s">
        <v>505</v>
      </c>
      <c r="I142" t="s">
        <v>219</v>
      </c>
      <c r="J142" s="25">
        <v>1696</v>
      </c>
      <c r="K142" s="26">
        <v>275.02999999999997</v>
      </c>
      <c r="L142" s="26">
        <v>1.84</v>
      </c>
    </row>
    <row r="143" spans="1:12" ht="16" customHeight="1">
      <c r="A143" t="s">
        <v>265</v>
      </c>
      <c r="B143" t="s">
        <v>3</v>
      </c>
      <c r="C143" t="s">
        <v>14</v>
      </c>
      <c r="D143" s="24">
        <v>45901</v>
      </c>
      <c r="E143" t="s">
        <v>292</v>
      </c>
      <c r="F143" t="s">
        <v>6</v>
      </c>
      <c r="G143" t="s">
        <v>505</v>
      </c>
      <c r="H143" t="s">
        <v>505</v>
      </c>
      <c r="I143" t="s">
        <v>219</v>
      </c>
      <c r="J143" s="25">
        <v>32</v>
      </c>
      <c r="K143" s="26">
        <v>5.23</v>
      </c>
      <c r="L143" s="26">
        <v>7.0000000000000007E-2</v>
      </c>
    </row>
    <row r="144" spans="1:12" ht="16" customHeight="1">
      <c r="A144" t="s">
        <v>265</v>
      </c>
      <c r="B144" t="s">
        <v>3</v>
      </c>
      <c r="C144" t="s">
        <v>14</v>
      </c>
      <c r="D144" s="24">
        <v>45901</v>
      </c>
      <c r="E144" t="s">
        <v>297</v>
      </c>
      <c r="F144" t="s">
        <v>6</v>
      </c>
      <c r="G144" t="s">
        <v>506</v>
      </c>
      <c r="H144" t="s">
        <v>506</v>
      </c>
      <c r="I144" t="s">
        <v>219</v>
      </c>
      <c r="J144" s="25">
        <v>13610</v>
      </c>
      <c r="K144" s="26">
        <v>2225.83</v>
      </c>
      <c r="L144" s="26">
        <v>17.73</v>
      </c>
    </row>
    <row r="145" spans="1:12" ht="16" customHeight="1">
      <c r="A145" t="s">
        <v>216</v>
      </c>
      <c r="B145" t="s">
        <v>4</v>
      </c>
      <c r="C145" t="s">
        <v>14</v>
      </c>
      <c r="D145" s="24">
        <v>45901</v>
      </c>
      <c r="E145" t="s">
        <v>266</v>
      </c>
      <c r="F145" t="s">
        <v>5</v>
      </c>
      <c r="G145" t="s">
        <v>507</v>
      </c>
      <c r="H145" t="s">
        <v>507</v>
      </c>
      <c r="I145" t="s">
        <v>219</v>
      </c>
      <c r="J145" s="25">
        <v>30746266</v>
      </c>
      <c r="K145" s="26">
        <v>4962138.1900000004</v>
      </c>
      <c r="L145" s="26">
        <v>8391.35</v>
      </c>
    </row>
    <row r="146" spans="1:12" ht="16" customHeight="1">
      <c r="A146" t="s">
        <v>216</v>
      </c>
      <c r="B146" t="s">
        <v>4</v>
      </c>
      <c r="C146" t="s">
        <v>14</v>
      </c>
      <c r="D146" s="24">
        <v>45901</v>
      </c>
      <c r="E146" t="s">
        <v>283</v>
      </c>
      <c r="F146" t="s">
        <v>6</v>
      </c>
      <c r="G146" t="s">
        <v>505</v>
      </c>
      <c r="H146" t="s">
        <v>505</v>
      </c>
      <c r="I146" t="s">
        <v>219</v>
      </c>
      <c r="J146" s="25">
        <v>306984</v>
      </c>
      <c r="K146" s="26">
        <v>49827.360000000001</v>
      </c>
      <c r="L146" s="26">
        <v>171.2</v>
      </c>
    </row>
    <row r="147" spans="1:12" ht="16" customHeight="1">
      <c r="A147" t="s">
        <v>216</v>
      </c>
      <c r="B147" t="s">
        <v>4</v>
      </c>
      <c r="C147" t="s">
        <v>14</v>
      </c>
      <c r="D147" s="24">
        <v>45901</v>
      </c>
      <c r="E147" t="s">
        <v>288</v>
      </c>
      <c r="F147" t="s">
        <v>6</v>
      </c>
      <c r="G147" t="s">
        <v>505</v>
      </c>
      <c r="H147" t="s">
        <v>505</v>
      </c>
      <c r="I147" t="s">
        <v>219</v>
      </c>
      <c r="J147" s="25">
        <v>1959</v>
      </c>
      <c r="K147" s="26">
        <v>319.38</v>
      </c>
      <c r="L147" s="26">
        <v>1.32</v>
      </c>
    </row>
    <row r="148" spans="1:12" ht="16" customHeight="1">
      <c r="A148" t="s">
        <v>216</v>
      </c>
      <c r="B148" t="s">
        <v>4</v>
      </c>
      <c r="C148" t="s">
        <v>14</v>
      </c>
      <c r="D148" s="24">
        <v>45901</v>
      </c>
      <c r="E148" t="s">
        <v>292</v>
      </c>
      <c r="F148" t="s">
        <v>6</v>
      </c>
      <c r="G148" t="s">
        <v>505</v>
      </c>
      <c r="H148" t="s">
        <v>505</v>
      </c>
      <c r="I148" t="s">
        <v>219</v>
      </c>
      <c r="J148" s="25">
        <v>9</v>
      </c>
      <c r="K148" s="26">
        <v>1.48</v>
      </c>
      <c r="L148" s="26">
        <v>0.01</v>
      </c>
    </row>
    <row r="149" spans="1:12" ht="16" customHeight="1">
      <c r="A149" t="s">
        <v>216</v>
      </c>
      <c r="B149" t="s">
        <v>4</v>
      </c>
      <c r="C149" t="s">
        <v>14</v>
      </c>
      <c r="D149" s="24">
        <v>45901</v>
      </c>
      <c r="E149" t="s">
        <v>297</v>
      </c>
      <c r="F149" t="s">
        <v>6</v>
      </c>
      <c r="G149" t="s">
        <v>506</v>
      </c>
      <c r="H149" t="s">
        <v>506</v>
      </c>
      <c r="I149" t="s">
        <v>219</v>
      </c>
      <c r="J149" s="25">
        <v>11030</v>
      </c>
      <c r="K149" s="26">
        <v>1802.85</v>
      </c>
      <c r="L149" s="26">
        <v>12.63</v>
      </c>
    </row>
    <row r="150" spans="1:12" ht="16" customHeight="1">
      <c r="A150" t="s">
        <v>216</v>
      </c>
      <c r="B150" t="s">
        <v>4</v>
      </c>
      <c r="C150" t="s">
        <v>14</v>
      </c>
      <c r="D150" s="24">
        <v>45901</v>
      </c>
      <c r="E150" t="s">
        <v>311</v>
      </c>
      <c r="F150" t="s">
        <v>6</v>
      </c>
      <c r="G150" t="s">
        <v>505</v>
      </c>
      <c r="H150" t="s">
        <v>505</v>
      </c>
      <c r="I150" t="s">
        <v>221</v>
      </c>
      <c r="J150" s="25">
        <v>1</v>
      </c>
      <c r="K150" s="26">
        <v>0.15</v>
      </c>
      <c r="L150" s="26">
        <v>0</v>
      </c>
    </row>
    <row r="151" spans="1:12" ht="16" customHeight="1">
      <c r="A151" t="s">
        <v>266</v>
      </c>
      <c r="B151" t="s">
        <v>5</v>
      </c>
      <c r="C151" t="s">
        <v>15</v>
      </c>
      <c r="D151" s="24">
        <v>45931</v>
      </c>
      <c r="E151" t="s">
        <v>266</v>
      </c>
      <c r="F151" t="s">
        <v>5</v>
      </c>
      <c r="G151" t="s">
        <v>507</v>
      </c>
      <c r="H151" t="s">
        <v>507</v>
      </c>
      <c r="I151" t="s">
        <v>212</v>
      </c>
      <c r="J151" s="25">
        <v>410094220</v>
      </c>
      <c r="K151" s="26">
        <v>66273440.600000001</v>
      </c>
      <c r="L151" s="26">
        <v>41043.629999999997</v>
      </c>
    </row>
    <row r="152" spans="1:12" ht="16" customHeight="1">
      <c r="A152" t="s">
        <v>266</v>
      </c>
      <c r="B152" t="s">
        <v>5</v>
      </c>
      <c r="C152" t="s">
        <v>15</v>
      </c>
      <c r="D152" s="24">
        <v>45931</v>
      </c>
      <c r="E152" t="s">
        <v>283</v>
      </c>
      <c r="F152" t="s">
        <v>6</v>
      </c>
      <c r="G152" t="s">
        <v>505</v>
      </c>
      <c r="H152" t="s">
        <v>505</v>
      </c>
      <c r="I152" t="s">
        <v>212</v>
      </c>
      <c r="J152" s="25">
        <v>1943067</v>
      </c>
      <c r="K152" s="26">
        <v>314106.74</v>
      </c>
      <c r="L152" s="26">
        <v>860.49</v>
      </c>
    </row>
    <row r="153" spans="1:12" ht="16" customHeight="1">
      <c r="A153" t="s">
        <v>266</v>
      </c>
      <c r="B153" t="s">
        <v>5</v>
      </c>
      <c r="C153" t="s">
        <v>15</v>
      </c>
      <c r="D153" s="24">
        <v>45931</v>
      </c>
      <c r="E153" t="s">
        <v>288</v>
      </c>
      <c r="F153" t="s">
        <v>6</v>
      </c>
      <c r="G153" t="s">
        <v>505</v>
      </c>
      <c r="H153" t="s">
        <v>505</v>
      </c>
      <c r="I153" t="s">
        <v>212</v>
      </c>
      <c r="J153" s="25">
        <v>12850</v>
      </c>
      <c r="K153" s="26">
        <v>2096.1</v>
      </c>
      <c r="L153" s="26">
        <v>9.93</v>
      </c>
    </row>
    <row r="154" spans="1:12" ht="16" customHeight="1">
      <c r="A154" t="s">
        <v>266</v>
      </c>
      <c r="B154" t="s">
        <v>5</v>
      </c>
      <c r="C154" t="s">
        <v>15</v>
      </c>
      <c r="D154" s="24">
        <v>45931</v>
      </c>
      <c r="E154" t="s">
        <v>292</v>
      </c>
      <c r="F154" t="s">
        <v>6</v>
      </c>
      <c r="G154" t="s">
        <v>505</v>
      </c>
      <c r="H154" t="s">
        <v>505</v>
      </c>
      <c r="I154" t="s">
        <v>212</v>
      </c>
      <c r="J154" s="25">
        <v>7222</v>
      </c>
      <c r="K154" s="26">
        <v>1189.07</v>
      </c>
      <c r="L154" s="26">
        <v>7.88</v>
      </c>
    </row>
    <row r="155" spans="1:12" ht="16" customHeight="1">
      <c r="A155" t="s">
        <v>266</v>
      </c>
      <c r="B155" t="s">
        <v>5</v>
      </c>
      <c r="C155" t="s">
        <v>15</v>
      </c>
      <c r="D155" s="24">
        <v>45931</v>
      </c>
      <c r="E155" t="s">
        <v>297</v>
      </c>
      <c r="F155" t="s">
        <v>6</v>
      </c>
      <c r="G155" t="s">
        <v>506</v>
      </c>
      <c r="H155" t="s">
        <v>506</v>
      </c>
      <c r="I155" t="s">
        <v>212</v>
      </c>
      <c r="J155" s="25">
        <v>30128</v>
      </c>
      <c r="K155" s="26">
        <v>4931.46</v>
      </c>
      <c r="L155" s="26">
        <v>33.15</v>
      </c>
    </row>
    <row r="156" spans="1:12" ht="16" customHeight="1">
      <c r="A156" t="s">
        <v>266</v>
      </c>
      <c r="B156" t="s">
        <v>5</v>
      </c>
      <c r="C156" t="s">
        <v>15</v>
      </c>
      <c r="D156" s="24">
        <v>45931</v>
      </c>
      <c r="E156" t="s">
        <v>311</v>
      </c>
      <c r="F156" t="s">
        <v>6</v>
      </c>
      <c r="G156" t="s">
        <v>505</v>
      </c>
      <c r="H156" t="s">
        <v>505</v>
      </c>
      <c r="I156" t="s">
        <v>219</v>
      </c>
      <c r="J156" s="25">
        <v>3</v>
      </c>
      <c r="K156" s="26">
        <v>0.45</v>
      </c>
      <c r="L156" s="26">
        <v>0</v>
      </c>
    </row>
    <row r="157" spans="1:12" ht="16" customHeight="1">
      <c r="A157" t="s">
        <v>279</v>
      </c>
      <c r="B157" t="s">
        <v>7</v>
      </c>
      <c r="C157" t="s">
        <v>15</v>
      </c>
      <c r="D157" s="24">
        <v>45931</v>
      </c>
      <c r="E157" t="s">
        <v>283</v>
      </c>
      <c r="F157" t="s">
        <v>6</v>
      </c>
      <c r="G157" t="s">
        <v>505</v>
      </c>
      <c r="H157" t="s">
        <v>505</v>
      </c>
      <c r="I157" t="s">
        <v>212</v>
      </c>
      <c r="J157" s="25">
        <v>20807348</v>
      </c>
      <c r="K157" s="26">
        <v>3382479.11</v>
      </c>
      <c r="L157" s="26">
        <v>8467.0400000000009</v>
      </c>
    </row>
    <row r="158" spans="1:12" ht="16" customHeight="1">
      <c r="A158" t="s">
        <v>279</v>
      </c>
      <c r="B158" t="s">
        <v>7</v>
      </c>
      <c r="C158" t="s">
        <v>15</v>
      </c>
      <c r="D158" s="24">
        <v>45931</v>
      </c>
      <c r="E158" t="s">
        <v>288</v>
      </c>
      <c r="F158" t="s">
        <v>6</v>
      </c>
      <c r="G158" t="s">
        <v>505</v>
      </c>
      <c r="H158" t="s">
        <v>505</v>
      </c>
      <c r="I158" t="s">
        <v>212</v>
      </c>
      <c r="J158" s="25">
        <v>67891</v>
      </c>
      <c r="K158" s="26">
        <v>11084.09</v>
      </c>
      <c r="L158" s="26">
        <v>46.29</v>
      </c>
    </row>
    <row r="159" spans="1:12" ht="16" customHeight="1">
      <c r="A159" t="s">
        <v>279</v>
      </c>
      <c r="B159" t="s">
        <v>7</v>
      </c>
      <c r="C159" t="s">
        <v>15</v>
      </c>
      <c r="D159" s="24">
        <v>45931</v>
      </c>
      <c r="E159" t="s">
        <v>292</v>
      </c>
      <c r="F159" t="s">
        <v>6</v>
      </c>
      <c r="G159" t="s">
        <v>505</v>
      </c>
      <c r="H159" t="s">
        <v>505</v>
      </c>
      <c r="I159" t="s">
        <v>212</v>
      </c>
      <c r="J159" s="25">
        <v>12159</v>
      </c>
      <c r="K159" s="26">
        <v>2000.18</v>
      </c>
      <c r="L159" s="26">
        <v>11.76</v>
      </c>
    </row>
    <row r="160" spans="1:12" ht="16" customHeight="1">
      <c r="A160" t="s">
        <v>279</v>
      </c>
      <c r="B160" t="s">
        <v>7</v>
      </c>
      <c r="C160" t="s">
        <v>15</v>
      </c>
      <c r="D160" s="24">
        <v>45931</v>
      </c>
      <c r="E160" t="s">
        <v>297</v>
      </c>
      <c r="F160" t="s">
        <v>6</v>
      </c>
      <c r="G160" t="s">
        <v>506</v>
      </c>
      <c r="H160" t="s">
        <v>506</v>
      </c>
      <c r="I160" t="s">
        <v>212</v>
      </c>
      <c r="J160" s="25">
        <v>25341</v>
      </c>
      <c r="K160" s="26">
        <v>4160.53</v>
      </c>
      <c r="L160" s="26">
        <v>22.49</v>
      </c>
    </row>
    <row r="161" spans="1:12" ht="16" customHeight="1">
      <c r="A161" t="s">
        <v>279</v>
      </c>
      <c r="B161" t="s">
        <v>7</v>
      </c>
      <c r="C161" t="s">
        <v>15</v>
      </c>
      <c r="D161" s="24">
        <v>45931</v>
      </c>
      <c r="E161" t="s">
        <v>311</v>
      </c>
      <c r="F161" t="s">
        <v>6</v>
      </c>
      <c r="G161" t="s">
        <v>505</v>
      </c>
      <c r="H161" t="s">
        <v>505</v>
      </c>
      <c r="I161" t="s">
        <v>219</v>
      </c>
      <c r="J161" s="25">
        <v>0</v>
      </c>
      <c r="K161" s="26">
        <v>0</v>
      </c>
      <c r="L161" s="26">
        <v>0</v>
      </c>
    </row>
    <row r="162" spans="1:12" ht="16" customHeight="1">
      <c r="A162" t="s">
        <v>280</v>
      </c>
      <c r="B162" t="s">
        <v>3</v>
      </c>
      <c r="C162" t="s">
        <v>15</v>
      </c>
      <c r="D162" s="24">
        <v>45931</v>
      </c>
      <c r="E162" t="s">
        <v>283</v>
      </c>
      <c r="F162" t="s">
        <v>6</v>
      </c>
      <c r="G162" t="s">
        <v>505</v>
      </c>
      <c r="H162" t="s">
        <v>505</v>
      </c>
      <c r="I162" t="s">
        <v>212</v>
      </c>
      <c r="J162" s="25">
        <v>26245699</v>
      </c>
      <c r="K162" s="26">
        <v>4287820.3499999996</v>
      </c>
      <c r="L162" s="26">
        <v>8659.83</v>
      </c>
    </row>
    <row r="163" spans="1:12" ht="16" customHeight="1">
      <c r="A163" t="s">
        <v>280</v>
      </c>
      <c r="B163" t="s">
        <v>3</v>
      </c>
      <c r="C163" t="s">
        <v>15</v>
      </c>
      <c r="D163" s="24">
        <v>45931</v>
      </c>
      <c r="E163" t="s">
        <v>288</v>
      </c>
      <c r="F163" t="s">
        <v>6</v>
      </c>
      <c r="G163" t="s">
        <v>505</v>
      </c>
      <c r="H163" t="s">
        <v>505</v>
      </c>
      <c r="I163" t="s">
        <v>212</v>
      </c>
      <c r="J163" s="25">
        <v>138152</v>
      </c>
      <c r="K163" s="26">
        <v>22632.22</v>
      </c>
      <c r="L163" s="26">
        <v>80.06</v>
      </c>
    </row>
    <row r="164" spans="1:12" ht="16" customHeight="1">
      <c r="A164" t="s">
        <v>280</v>
      </c>
      <c r="B164" t="s">
        <v>3</v>
      </c>
      <c r="C164" t="s">
        <v>15</v>
      </c>
      <c r="D164" s="24">
        <v>45931</v>
      </c>
      <c r="E164" t="s">
        <v>292</v>
      </c>
      <c r="F164" t="s">
        <v>6</v>
      </c>
      <c r="G164" t="s">
        <v>505</v>
      </c>
      <c r="H164" t="s">
        <v>505</v>
      </c>
      <c r="I164" t="s">
        <v>212</v>
      </c>
      <c r="J164" s="25">
        <v>7293</v>
      </c>
      <c r="K164" s="26">
        <v>1203.8</v>
      </c>
      <c r="L164" s="26">
        <v>5.56</v>
      </c>
    </row>
    <row r="165" spans="1:12" ht="16" customHeight="1">
      <c r="A165" t="s">
        <v>280</v>
      </c>
      <c r="B165" t="s">
        <v>3</v>
      </c>
      <c r="C165" t="s">
        <v>15</v>
      </c>
      <c r="D165" s="24">
        <v>45931</v>
      </c>
      <c r="E165" t="s">
        <v>297</v>
      </c>
      <c r="F165" t="s">
        <v>6</v>
      </c>
      <c r="G165" t="s">
        <v>506</v>
      </c>
      <c r="H165" t="s">
        <v>506</v>
      </c>
      <c r="I165" t="s">
        <v>212</v>
      </c>
      <c r="J165" s="25">
        <v>27400</v>
      </c>
      <c r="K165" s="26">
        <v>4514.54</v>
      </c>
      <c r="L165" s="26">
        <v>25</v>
      </c>
    </row>
    <row r="166" spans="1:12" ht="16" customHeight="1">
      <c r="A166" t="s">
        <v>280</v>
      </c>
      <c r="B166" t="s">
        <v>3</v>
      </c>
      <c r="C166" t="s">
        <v>15</v>
      </c>
      <c r="D166" s="24">
        <v>45931</v>
      </c>
      <c r="E166" t="s">
        <v>311</v>
      </c>
      <c r="F166" t="s">
        <v>6</v>
      </c>
      <c r="G166" t="s">
        <v>505</v>
      </c>
      <c r="H166" t="s">
        <v>505</v>
      </c>
      <c r="I166" t="s">
        <v>219</v>
      </c>
      <c r="J166" s="25">
        <v>1</v>
      </c>
      <c r="K166" s="26">
        <v>0.15</v>
      </c>
      <c r="L166" s="26">
        <v>0</v>
      </c>
    </row>
    <row r="167" spans="1:12" ht="16" customHeight="1">
      <c r="A167" t="s">
        <v>280</v>
      </c>
      <c r="B167" t="s">
        <v>3</v>
      </c>
      <c r="C167" t="s">
        <v>15</v>
      </c>
      <c r="D167" s="24">
        <v>45931</v>
      </c>
      <c r="E167" t="s">
        <v>327</v>
      </c>
      <c r="F167" t="s">
        <v>6</v>
      </c>
      <c r="G167" t="s">
        <v>506</v>
      </c>
      <c r="H167" t="s">
        <v>506</v>
      </c>
      <c r="I167" t="s">
        <v>219</v>
      </c>
      <c r="J167" s="25">
        <v>12</v>
      </c>
      <c r="K167" s="26">
        <v>1.96</v>
      </c>
      <c r="L167" s="26">
        <v>0.01</v>
      </c>
    </row>
    <row r="168" spans="1:12" ht="16" customHeight="1">
      <c r="A168" t="s">
        <v>246</v>
      </c>
      <c r="B168" t="s">
        <v>4</v>
      </c>
      <c r="C168" t="s">
        <v>15</v>
      </c>
      <c r="D168" s="24">
        <v>45931</v>
      </c>
      <c r="E168" t="s">
        <v>283</v>
      </c>
      <c r="F168" t="s">
        <v>6</v>
      </c>
      <c r="G168" t="s">
        <v>505</v>
      </c>
      <c r="H168" t="s">
        <v>505</v>
      </c>
      <c r="I168" t="s">
        <v>212</v>
      </c>
      <c r="J168" s="25">
        <v>38415008</v>
      </c>
      <c r="K168" s="26">
        <v>6308748.1799999997</v>
      </c>
      <c r="L168" s="26">
        <v>10441.629999999999</v>
      </c>
    </row>
    <row r="169" spans="1:12" ht="16" customHeight="1">
      <c r="A169" t="s">
        <v>246</v>
      </c>
      <c r="B169" t="s">
        <v>4</v>
      </c>
      <c r="C169" t="s">
        <v>15</v>
      </c>
      <c r="D169" s="24">
        <v>45931</v>
      </c>
      <c r="E169" t="s">
        <v>288</v>
      </c>
      <c r="F169" t="s">
        <v>6</v>
      </c>
      <c r="G169" t="s">
        <v>505</v>
      </c>
      <c r="H169" t="s">
        <v>505</v>
      </c>
      <c r="I169" t="s">
        <v>212</v>
      </c>
      <c r="J169" s="25">
        <v>292883</v>
      </c>
      <c r="K169" s="26">
        <v>48144.15</v>
      </c>
      <c r="L169" s="26">
        <v>145.55000000000001</v>
      </c>
    </row>
    <row r="170" spans="1:12" ht="16" customHeight="1">
      <c r="A170" t="s">
        <v>246</v>
      </c>
      <c r="B170" t="s">
        <v>4</v>
      </c>
      <c r="C170" t="s">
        <v>15</v>
      </c>
      <c r="D170" s="24">
        <v>45931</v>
      </c>
      <c r="E170" t="s">
        <v>292</v>
      </c>
      <c r="F170" t="s">
        <v>6</v>
      </c>
      <c r="G170" t="s">
        <v>505</v>
      </c>
      <c r="H170" t="s">
        <v>505</v>
      </c>
      <c r="I170" t="s">
        <v>212</v>
      </c>
      <c r="J170" s="25">
        <v>6573</v>
      </c>
      <c r="K170" s="26">
        <v>1089.51</v>
      </c>
      <c r="L170" s="26">
        <v>5.94</v>
      </c>
    </row>
    <row r="171" spans="1:12" ht="16" customHeight="1">
      <c r="A171" t="s">
        <v>246</v>
      </c>
      <c r="B171" t="s">
        <v>4</v>
      </c>
      <c r="C171" t="s">
        <v>15</v>
      </c>
      <c r="D171" s="24">
        <v>45931</v>
      </c>
      <c r="E171" t="s">
        <v>297</v>
      </c>
      <c r="F171" t="s">
        <v>6</v>
      </c>
      <c r="G171" t="s">
        <v>506</v>
      </c>
      <c r="H171" t="s">
        <v>506</v>
      </c>
      <c r="I171" t="s">
        <v>212</v>
      </c>
      <c r="J171" s="25">
        <v>26629</v>
      </c>
      <c r="K171" s="26">
        <v>4406.28</v>
      </c>
      <c r="L171" s="26">
        <v>26.97</v>
      </c>
    </row>
    <row r="172" spans="1:12" ht="16" customHeight="1">
      <c r="A172" t="s">
        <v>246</v>
      </c>
      <c r="B172" t="s">
        <v>4</v>
      </c>
      <c r="C172" t="s">
        <v>15</v>
      </c>
      <c r="D172" s="24">
        <v>45931</v>
      </c>
      <c r="E172" t="s">
        <v>311</v>
      </c>
      <c r="F172" t="s">
        <v>6</v>
      </c>
      <c r="G172" t="s">
        <v>505</v>
      </c>
      <c r="H172" t="s">
        <v>505</v>
      </c>
      <c r="I172" t="s">
        <v>219</v>
      </c>
      <c r="J172" s="25">
        <v>1</v>
      </c>
      <c r="K172" s="26">
        <v>0.15</v>
      </c>
      <c r="L172" s="26">
        <v>0</v>
      </c>
    </row>
    <row r="173" spans="1:12" ht="16" customHeight="1">
      <c r="A173" t="s">
        <v>246</v>
      </c>
      <c r="B173" t="s">
        <v>4</v>
      </c>
      <c r="C173" t="s">
        <v>15</v>
      </c>
      <c r="D173" s="24">
        <v>45931</v>
      </c>
      <c r="E173" t="s">
        <v>327</v>
      </c>
      <c r="F173" t="s">
        <v>6</v>
      </c>
      <c r="G173" t="s">
        <v>506</v>
      </c>
      <c r="H173" t="s">
        <v>506</v>
      </c>
      <c r="I173" t="s">
        <v>219</v>
      </c>
      <c r="J173" s="25">
        <v>34</v>
      </c>
      <c r="K173" s="26">
        <v>5.59</v>
      </c>
      <c r="L173" s="26">
        <v>0.05</v>
      </c>
    </row>
    <row r="174" spans="1:12" ht="16" customHeight="1">
      <c r="A174" t="s">
        <v>281</v>
      </c>
      <c r="B174" t="s">
        <v>5</v>
      </c>
      <c r="C174" t="s">
        <v>16</v>
      </c>
      <c r="D174" s="24">
        <v>45931</v>
      </c>
      <c r="E174" t="s">
        <v>283</v>
      </c>
      <c r="F174" t="s">
        <v>6</v>
      </c>
      <c r="G174" t="s">
        <v>505</v>
      </c>
      <c r="H174" t="s">
        <v>505</v>
      </c>
      <c r="I174" t="s">
        <v>212</v>
      </c>
      <c r="J174" s="25">
        <v>153866658</v>
      </c>
      <c r="K174" s="26">
        <v>25240448.41</v>
      </c>
      <c r="L174" s="26">
        <v>31640.53</v>
      </c>
    </row>
    <row r="175" spans="1:12" ht="16" customHeight="1">
      <c r="A175" t="s">
        <v>281</v>
      </c>
      <c r="B175" t="s">
        <v>5</v>
      </c>
      <c r="C175" t="s">
        <v>16</v>
      </c>
      <c r="D175" s="24">
        <v>45931</v>
      </c>
      <c r="E175" t="s">
        <v>288</v>
      </c>
      <c r="F175" t="s">
        <v>6</v>
      </c>
      <c r="G175" t="s">
        <v>505</v>
      </c>
      <c r="H175" t="s">
        <v>505</v>
      </c>
      <c r="I175" t="s">
        <v>212</v>
      </c>
      <c r="J175" s="25">
        <v>712809</v>
      </c>
      <c r="K175" s="26">
        <v>117208.31</v>
      </c>
      <c r="L175" s="26">
        <v>327.39999999999998</v>
      </c>
    </row>
    <row r="176" spans="1:12" ht="16" customHeight="1">
      <c r="A176" t="s">
        <v>281</v>
      </c>
      <c r="B176" t="s">
        <v>5</v>
      </c>
      <c r="C176" t="s">
        <v>16</v>
      </c>
      <c r="D176" s="24">
        <v>45931</v>
      </c>
      <c r="E176" t="s">
        <v>292</v>
      </c>
      <c r="F176" t="s">
        <v>6</v>
      </c>
      <c r="G176" t="s">
        <v>505</v>
      </c>
      <c r="H176" t="s">
        <v>505</v>
      </c>
      <c r="I176" t="s">
        <v>212</v>
      </c>
      <c r="J176" s="25">
        <v>9551</v>
      </c>
      <c r="K176" s="26">
        <v>1576.44</v>
      </c>
      <c r="L176" s="26">
        <v>8.11</v>
      </c>
    </row>
    <row r="177" spans="1:12" ht="16" customHeight="1">
      <c r="A177" t="s">
        <v>281</v>
      </c>
      <c r="B177" t="s">
        <v>5</v>
      </c>
      <c r="C177" t="s">
        <v>16</v>
      </c>
      <c r="D177" s="24">
        <v>45931</v>
      </c>
      <c r="E177" t="s">
        <v>297</v>
      </c>
      <c r="F177" t="s">
        <v>6</v>
      </c>
      <c r="G177" t="s">
        <v>506</v>
      </c>
      <c r="H177" t="s">
        <v>506</v>
      </c>
      <c r="I177" t="s">
        <v>212</v>
      </c>
      <c r="J177" s="25">
        <v>25074</v>
      </c>
      <c r="K177" s="26">
        <v>4138.47</v>
      </c>
      <c r="L177" s="26">
        <v>24.54</v>
      </c>
    </row>
    <row r="178" spans="1:12" ht="16" customHeight="1">
      <c r="A178" t="s">
        <v>281</v>
      </c>
      <c r="B178" t="s">
        <v>5</v>
      </c>
      <c r="C178" t="s">
        <v>16</v>
      </c>
      <c r="D178" s="24">
        <v>45931</v>
      </c>
      <c r="E178" t="s">
        <v>311</v>
      </c>
      <c r="F178" t="s">
        <v>6</v>
      </c>
      <c r="G178" t="s">
        <v>505</v>
      </c>
      <c r="H178" t="s">
        <v>505</v>
      </c>
      <c r="I178" t="s">
        <v>219</v>
      </c>
      <c r="J178" s="25">
        <v>2</v>
      </c>
      <c r="K178" s="26">
        <v>0.33</v>
      </c>
      <c r="L178" s="26">
        <v>0</v>
      </c>
    </row>
    <row r="179" spans="1:12" ht="16" customHeight="1">
      <c r="A179" t="s">
        <v>281</v>
      </c>
      <c r="B179" t="s">
        <v>5</v>
      </c>
      <c r="C179" t="s">
        <v>16</v>
      </c>
      <c r="D179" s="24">
        <v>45931</v>
      </c>
      <c r="E179" t="s">
        <v>322</v>
      </c>
      <c r="F179" t="s">
        <v>6</v>
      </c>
      <c r="G179" t="s">
        <v>505</v>
      </c>
      <c r="H179" t="s">
        <v>505</v>
      </c>
      <c r="I179" t="s">
        <v>219</v>
      </c>
      <c r="J179" s="25">
        <v>10</v>
      </c>
      <c r="K179" s="26">
        <v>1.7</v>
      </c>
      <c r="L179" s="26">
        <v>0.02</v>
      </c>
    </row>
    <row r="180" spans="1:12" ht="16" customHeight="1">
      <c r="A180" t="s">
        <v>281</v>
      </c>
      <c r="B180" t="s">
        <v>5</v>
      </c>
      <c r="C180" t="s">
        <v>16</v>
      </c>
      <c r="D180" s="24">
        <v>45931</v>
      </c>
      <c r="E180" t="s">
        <v>327</v>
      </c>
      <c r="F180" t="s">
        <v>6</v>
      </c>
      <c r="G180" t="s">
        <v>506</v>
      </c>
      <c r="H180" t="s">
        <v>506</v>
      </c>
      <c r="I180" t="s">
        <v>219</v>
      </c>
      <c r="J180" s="25">
        <v>65</v>
      </c>
      <c r="K180" s="26">
        <v>10.85</v>
      </c>
      <c r="L180" s="26">
        <v>0.09</v>
      </c>
    </row>
    <row r="181" spans="1:12" ht="16" customHeight="1">
      <c r="A181" t="s">
        <v>283</v>
      </c>
      <c r="B181" t="s">
        <v>6</v>
      </c>
      <c r="C181" t="s">
        <v>16</v>
      </c>
      <c r="D181" s="24">
        <v>45931</v>
      </c>
      <c r="E181" t="s">
        <v>283</v>
      </c>
      <c r="F181" t="s">
        <v>6</v>
      </c>
      <c r="G181" t="s">
        <v>505</v>
      </c>
      <c r="H181" t="s">
        <v>505</v>
      </c>
      <c r="I181" t="s">
        <v>212</v>
      </c>
      <c r="J181" s="25">
        <v>447730234</v>
      </c>
      <c r="K181" s="26">
        <v>73474683.599999994</v>
      </c>
      <c r="L181" s="26">
        <v>43954.26</v>
      </c>
    </row>
    <row r="182" spans="1:12" ht="16" customHeight="1">
      <c r="A182" t="s">
        <v>283</v>
      </c>
      <c r="B182" t="s">
        <v>6</v>
      </c>
      <c r="C182" t="s">
        <v>16</v>
      </c>
      <c r="D182" s="24">
        <v>45931</v>
      </c>
      <c r="E182" t="s">
        <v>288</v>
      </c>
      <c r="F182" t="s">
        <v>6</v>
      </c>
      <c r="G182" t="s">
        <v>505</v>
      </c>
      <c r="H182" t="s">
        <v>505</v>
      </c>
      <c r="I182" t="s">
        <v>212</v>
      </c>
      <c r="J182" s="25">
        <v>2079840</v>
      </c>
      <c r="K182" s="26">
        <v>341455.4</v>
      </c>
      <c r="L182" s="26">
        <v>878.38</v>
      </c>
    </row>
    <row r="183" spans="1:12" ht="16" customHeight="1">
      <c r="A183" t="s">
        <v>283</v>
      </c>
      <c r="B183" t="s">
        <v>6</v>
      </c>
      <c r="C183" t="s">
        <v>16</v>
      </c>
      <c r="D183" s="24">
        <v>45931</v>
      </c>
      <c r="E183" t="s">
        <v>292</v>
      </c>
      <c r="F183" t="s">
        <v>6</v>
      </c>
      <c r="G183" t="s">
        <v>505</v>
      </c>
      <c r="H183" t="s">
        <v>505</v>
      </c>
      <c r="I183" t="s">
        <v>212</v>
      </c>
      <c r="J183" s="25">
        <v>16011</v>
      </c>
      <c r="K183" s="26">
        <v>2647.01</v>
      </c>
      <c r="L183" s="26">
        <v>11.68</v>
      </c>
    </row>
    <row r="184" spans="1:12" ht="16" customHeight="1">
      <c r="A184" t="s">
        <v>283</v>
      </c>
      <c r="B184" t="s">
        <v>6</v>
      </c>
      <c r="C184" t="s">
        <v>16</v>
      </c>
      <c r="D184" s="24">
        <v>45931</v>
      </c>
      <c r="E184" t="s">
        <v>297</v>
      </c>
      <c r="F184" t="s">
        <v>6</v>
      </c>
      <c r="G184" t="s">
        <v>506</v>
      </c>
      <c r="H184" t="s">
        <v>506</v>
      </c>
      <c r="I184" t="s">
        <v>212</v>
      </c>
      <c r="J184" s="25">
        <v>22681</v>
      </c>
      <c r="K184" s="26">
        <v>3749.58</v>
      </c>
      <c r="L184" s="26">
        <v>22.43</v>
      </c>
    </row>
    <row r="185" spans="1:12" ht="16" customHeight="1">
      <c r="A185" t="s">
        <v>283</v>
      </c>
      <c r="B185" t="s">
        <v>6</v>
      </c>
      <c r="C185" t="s">
        <v>16</v>
      </c>
      <c r="D185" s="24">
        <v>45931</v>
      </c>
      <c r="E185" t="s">
        <v>311</v>
      </c>
      <c r="F185" t="s">
        <v>6</v>
      </c>
      <c r="G185" t="s">
        <v>505</v>
      </c>
      <c r="H185" t="s">
        <v>505</v>
      </c>
      <c r="I185" t="s">
        <v>219</v>
      </c>
      <c r="J185" s="25">
        <v>0</v>
      </c>
      <c r="K185" s="26">
        <v>0</v>
      </c>
      <c r="L185" s="26">
        <v>0</v>
      </c>
    </row>
    <row r="186" spans="1:12" ht="16" customHeight="1">
      <c r="A186" t="s">
        <v>283</v>
      </c>
      <c r="B186" t="s">
        <v>6</v>
      </c>
      <c r="C186" t="s">
        <v>16</v>
      </c>
      <c r="D186" s="24">
        <v>45931</v>
      </c>
      <c r="E186" t="s">
        <v>322</v>
      </c>
      <c r="F186" t="s">
        <v>6</v>
      </c>
      <c r="G186" t="s">
        <v>505</v>
      </c>
      <c r="H186" t="s">
        <v>505</v>
      </c>
      <c r="I186" t="s">
        <v>219</v>
      </c>
      <c r="J186" s="25">
        <v>0</v>
      </c>
      <c r="K186" s="26">
        <v>0</v>
      </c>
      <c r="L186" s="26">
        <v>0</v>
      </c>
    </row>
    <row r="187" spans="1:12" ht="16" customHeight="1">
      <c r="A187" t="s">
        <v>283</v>
      </c>
      <c r="B187" t="s">
        <v>6</v>
      </c>
      <c r="C187" t="s">
        <v>16</v>
      </c>
      <c r="D187" s="24">
        <v>45931</v>
      </c>
      <c r="E187" t="s">
        <v>327</v>
      </c>
      <c r="F187" t="s">
        <v>6</v>
      </c>
      <c r="G187" t="s">
        <v>506</v>
      </c>
      <c r="H187" t="s">
        <v>506</v>
      </c>
      <c r="I187" t="s">
        <v>219</v>
      </c>
      <c r="J187" s="25">
        <v>28</v>
      </c>
      <c r="K187" s="26">
        <v>4.6399999999999997</v>
      </c>
      <c r="L187" s="26">
        <v>0.05</v>
      </c>
    </row>
    <row r="188" spans="1:12" ht="16" customHeight="1">
      <c r="A188" t="s">
        <v>284</v>
      </c>
      <c r="B188" t="s">
        <v>7</v>
      </c>
      <c r="C188" t="s">
        <v>16</v>
      </c>
      <c r="D188" s="24">
        <v>45931</v>
      </c>
      <c r="E188" t="s">
        <v>288</v>
      </c>
      <c r="F188" t="s">
        <v>6</v>
      </c>
      <c r="G188" t="s">
        <v>505</v>
      </c>
      <c r="H188" t="s">
        <v>505</v>
      </c>
      <c r="I188" t="s">
        <v>212</v>
      </c>
      <c r="J188" s="25">
        <v>21427448</v>
      </c>
      <c r="K188" s="26">
        <v>3545540.31</v>
      </c>
      <c r="L188" s="26">
        <v>9040.5300000000007</v>
      </c>
    </row>
    <row r="189" spans="1:12" ht="16" customHeight="1">
      <c r="A189" t="s">
        <v>284</v>
      </c>
      <c r="B189" t="s">
        <v>7</v>
      </c>
      <c r="C189" t="s">
        <v>16</v>
      </c>
      <c r="D189" s="24">
        <v>45931</v>
      </c>
      <c r="E189" t="s">
        <v>292</v>
      </c>
      <c r="F189" t="s">
        <v>6</v>
      </c>
      <c r="G189" t="s">
        <v>505</v>
      </c>
      <c r="H189" t="s">
        <v>505</v>
      </c>
      <c r="I189" t="s">
        <v>212</v>
      </c>
      <c r="J189" s="25">
        <v>72546</v>
      </c>
      <c r="K189" s="26">
        <v>12040.04</v>
      </c>
      <c r="L189" s="26">
        <v>49.36</v>
      </c>
    </row>
    <row r="190" spans="1:12" ht="16" customHeight="1">
      <c r="A190" t="s">
        <v>284</v>
      </c>
      <c r="B190" t="s">
        <v>7</v>
      </c>
      <c r="C190" t="s">
        <v>16</v>
      </c>
      <c r="D190" s="24">
        <v>45931</v>
      </c>
      <c r="E190" t="s">
        <v>297</v>
      </c>
      <c r="F190" t="s">
        <v>6</v>
      </c>
      <c r="G190" t="s">
        <v>506</v>
      </c>
      <c r="H190" t="s">
        <v>506</v>
      </c>
      <c r="I190" t="s">
        <v>212</v>
      </c>
      <c r="J190" s="25">
        <v>39478</v>
      </c>
      <c r="K190" s="26">
        <v>6559.13</v>
      </c>
      <c r="L190" s="26">
        <v>36.130000000000003</v>
      </c>
    </row>
    <row r="191" spans="1:12" ht="16" customHeight="1">
      <c r="A191" t="s">
        <v>284</v>
      </c>
      <c r="B191" t="s">
        <v>7</v>
      </c>
      <c r="C191" t="s">
        <v>16</v>
      </c>
      <c r="D191" s="24">
        <v>45931</v>
      </c>
      <c r="E191" t="s">
        <v>311</v>
      </c>
      <c r="F191" t="s">
        <v>6</v>
      </c>
      <c r="G191" t="s">
        <v>505</v>
      </c>
      <c r="H191" t="s">
        <v>505</v>
      </c>
      <c r="I191" t="s">
        <v>219</v>
      </c>
      <c r="J191" s="25">
        <v>200</v>
      </c>
      <c r="K191" s="26">
        <v>33.92</v>
      </c>
      <c r="L191" s="26">
        <v>0.69</v>
      </c>
    </row>
    <row r="192" spans="1:12" ht="16" customHeight="1">
      <c r="A192" t="s">
        <v>284</v>
      </c>
      <c r="B192" t="s">
        <v>7</v>
      </c>
      <c r="C192" t="s">
        <v>16</v>
      </c>
      <c r="D192" s="24">
        <v>45931</v>
      </c>
      <c r="E192" t="s">
        <v>322</v>
      </c>
      <c r="F192" t="s">
        <v>6</v>
      </c>
      <c r="G192" t="s">
        <v>505</v>
      </c>
      <c r="H192" t="s">
        <v>505</v>
      </c>
      <c r="I192" t="s">
        <v>219</v>
      </c>
      <c r="J192" s="25">
        <v>0</v>
      </c>
      <c r="K192" s="26">
        <v>0</v>
      </c>
      <c r="L192" s="26">
        <v>0</v>
      </c>
    </row>
    <row r="193" spans="1:12" ht="16" customHeight="1">
      <c r="A193" t="s">
        <v>284</v>
      </c>
      <c r="B193" t="s">
        <v>7</v>
      </c>
      <c r="C193" t="s">
        <v>16</v>
      </c>
      <c r="D193" s="24">
        <v>45931</v>
      </c>
      <c r="E193" t="s">
        <v>327</v>
      </c>
      <c r="F193" t="s">
        <v>6</v>
      </c>
      <c r="G193" t="s">
        <v>506</v>
      </c>
      <c r="H193" t="s">
        <v>506</v>
      </c>
      <c r="I193" t="s">
        <v>219</v>
      </c>
      <c r="J193" s="25">
        <v>841</v>
      </c>
      <c r="K193" s="26">
        <v>140.38</v>
      </c>
      <c r="L193" s="26">
        <v>1.3</v>
      </c>
    </row>
    <row r="194" spans="1:12" ht="16" customHeight="1">
      <c r="A194" t="s">
        <v>285</v>
      </c>
      <c r="B194" t="s">
        <v>3</v>
      </c>
      <c r="C194" t="s">
        <v>16</v>
      </c>
      <c r="D194" s="24">
        <v>45931</v>
      </c>
      <c r="E194" t="s">
        <v>288</v>
      </c>
      <c r="F194" t="s">
        <v>6</v>
      </c>
      <c r="G194" t="s">
        <v>505</v>
      </c>
      <c r="H194" t="s">
        <v>505</v>
      </c>
      <c r="I194" t="s">
        <v>212</v>
      </c>
      <c r="J194" s="25">
        <v>26169967</v>
      </c>
      <c r="K194" s="26">
        <v>4313686.0199999996</v>
      </c>
      <c r="L194" s="26">
        <v>10202.91</v>
      </c>
    </row>
    <row r="195" spans="1:12" ht="16" customHeight="1">
      <c r="A195" t="s">
        <v>285</v>
      </c>
      <c r="B195" t="s">
        <v>3</v>
      </c>
      <c r="C195" t="s">
        <v>16</v>
      </c>
      <c r="D195" s="24">
        <v>45931</v>
      </c>
      <c r="E195" t="s">
        <v>292</v>
      </c>
      <c r="F195" t="s">
        <v>6</v>
      </c>
      <c r="G195" t="s">
        <v>505</v>
      </c>
      <c r="H195" t="s">
        <v>505</v>
      </c>
      <c r="I195" t="s">
        <v>212</v>
      </c>
      <c r="J195" s="25">
        <v>129231</v>
      </c>
      <c r="K195" s="26">
        <v>21335.55</v>
      </c>
      <c r="L195" s="26">
        <v>75.77</v>
      </c>
    </row>
    <row r="196" spans="1:12" ht="16" customHeight="1">
      <c r="A196" t="s">
        <v>285</v>
      </c>
      <c r="B196" t="s">
        <v>3</v>
      </c>
      <c r="C196" t="s">
        <v>16</v>
      </c>
      <c r="D196" s="24">
        <v>45931</v>
      </c>
      <c r="E196" t="s">
        <v>297</v>
      </c>
      <c r="F196" t="s">
        <v>6</v>
      </c>
      <c r="G196" t="s">
        <v>506</v>
      </c>
      <c r="H196" t="s">
        <v>506</v>
      </c>
      <c r="I196" t="s">
        <v>212</v>
      </c>
      <c r="J196" s="25">
        <v>35939</v>
      </c>
      <c r="K196" s="26">
        <v>5957.78</v>
      </c>
      <c r="L196" s="26">
        <v>31.01</v>
      </c>
    </row>
    <row r="197" spans="1:12" ht="16" customHeight="1">
      <c r="A197" t="s">
        <v>285</v>
      </c>
      <c r="B197" t="s">
        <v>3</v>
      </c>
      <c r="C197" t="s">
        <v>16</v>
      </c>
      <c r="D197" s="24">
        <v>45931</v>
      </c>
      <c r="E197" t="s">
        <v>311</v>
      </c>
      <c r="F197" t="s">
        <v>6</v>
      </c>
      <c r="G197" t="s">
        <v>505</v>
      </c>
      <c r="H197" t="s">
        <v>505</v>
      </c>
      <c r="I197" t="s">
        <v>219</v>
      </c>
      <c r="J197" s="25">
        <v>111</v>
      </c>
      <c r="K197" s="26">
        <v>18.440000000000001</v>
      </c>
      <c r="L197" s="26">
        <v>0.22</v>
      </c>
    </row>
    <row r="198" spans="1:12" ht="16" customHeight="1">
      <c r="A198" t="s">
        <v>285</v>
      </c>
      <c r="B198" t="s">
        <v>3</v>
      </c>
      <c r="C198" t="s">
        <v>16</v>
      </c>
      <c r="D198" s="24">
        <v>45931</v>
      </c>
      <c r="E198" t="s">
        <v>317</v>
      </c>
      <c r="F198" t="s">
        <v>6</v>
      </c>
      <c r="G198" t="s">
        <v>505</v>
      </c>
      <c r="H198" t="s">
        <v>505</v>
      </c>
      <c r="I198" t="s">
        <v>219</v>
      </c>
      <c r="J198" s="25">
        <v>4</v>
      </c>
      <c r="K198" s="26">
        <v>0.66</v>
      </c>
      <c r="L198" s="26">
        <v>0.04</v>
      </c>
    </row>
    <row r="199" spans="1:12" ht="16" customHeight="1">
      <c r="A199" t="s">
        <v>285</v>
      </c>
      <c r="B199" t="s">
        <v>3</v>
      </c>
      <c r="C199" t="s">
        <v>16</v>
      </c>
      <c r="D199" s="24">
        <v>45931</v>
      </c>
      <c r="E199" t="s">
        <v>322</v>
      </c>
      <c r="F199" t="s">
        <v>6</v>
      </c>
      <c r="G199" t="s">
        <v>505</v>
      </c>
      <c r="H199" t="s">
        <v>505</v>
      </c>
      <c r="I199" t="s">
        <v>219</v>
      </c>
      <c r="J199" s="25">
        <v>13</v>
      </c>
      <c r="K199" s="26">
        <v>2.16</v>
      </c>
      <c r="L199" s="26">
        <v>0.1</v>
      </c>
    </row>
    <row r="200" spans="1:12" ht="16" customHeight="1">
      <c r="A200" t="s">
        <v>285</v>
      </c>
      <c r="B200" t="s">
        <v>3</v>
      </c>
      <c r="C200" t="s">
        <v>16</v>
      </c>
      <c r="D200" s="24">
        <v>45931</v>
      </c>
      <c r="E200" t="s">
        <v>327</v>
      </c>
      <c r="F200" t="s">
        <v>6</v>
      </c>
      <c r="G200" t="s">
        <v>506</v>
      </c>
      <c r="H200" t="s">
        <v>506</v>
      </c>
      <c r="I200" t="s">
        <v>219</v>
      </c>
      <c r="J200" s="25">
        <v>600</v>
      </c>
      <c r="K200" s="26">
        <v>100</v>
      </c>
      <c r="L200" s="26">
        <v>0.79</v>
      </c>
    </row>
    <row r="201" spans="1:12" ht="16" customHeight="1">
      <c r="A201" t="s">
        <v>251</v>
      </c>
      <c r="B201" t="s">
        <v>4</v>
      </c>
      <c r="C201" t="s">
        <v>16</v>
      </c>
      <c r="D201" s="24">
        <v>45931</v>
      </c>
      <c r="E201" t="s">
        <v>288</v>
      </c>
      <c r="F201" t="s">
        <v>6</v>
      </c>
      <c r="G201" t="s">
        <v>505</v>
      </c>
      <c r="H201" t="s">
        <v>505</v>
      </c>
      <c r="I201" t="s">
        <v>212</v>
      </c>
      <c r="J201" s="25">
        <v>35110297</v>
      </c>
      <c r="K201" s="26">
        <v>5781046.1799999997</v>
      </c>
      <c r="L201" s="26">
        <v>11665.11</v>
      </c>
    </row>
    <row r="202" spans="1:12" ht="16" customHeight="1">
      <c r="A202" t="s">
        <v>251</v>
      </c>
      <c r="B202" t="s">
        <v>4</v>
      </c>
      <c r="C202" t="s">
        <v>16</v>
      </c>
      <c r="D202" s="24">
        <v>45931</v>
      </c>
      <c r="E202" t="s">
        <v>292</v>
      </c>
      <c r="F202" t="s">
        <v>6</v>
      </c>
      <c r="G202" t="s">
        <v>505</v>
      </c>
      <c r="H202" t="s">
        <v>505</v>
      </c>
      <c r="I202" t="s">
        <v>212</v>
      </c>
      <c r="J202" s="25">
        <v>320580</v>
      </c>
      <c r="K202" s="26">
        <v>52980.07</v>
      </c>
      <c r="L202" s="26">
        <v>207.47</v>
      </c>
    </row>
    <row r="203" spans="1:12" ht="16" customHeight="1">
      <c r="A203" t="s">
        <v>251</v>
      </c>
      <c r="B203" t="s">
        <v>4</v>
      </c>
      <c r="C203" t="s">
        <v>16</v>
      </c>
      <c r="D203" s="24">
        <v>45931</v>
      </c>
      <c r="E203" t="s">
        <v>297</v>
      </c>
      <c r="F203" t="s">
        <v>6</v>
      </c>
      <c r="G203" t="s">
        <v>506</v>
      </c>
      <c r="H203" t="s">
        <v>506</v>
      </c>
      <c r="I203" t="s">
        <v>212</v>
      </c>
      <c r="J203" s="25">
        <v>49457</v>
      </c>
      <c r="K203" s="26">
        <v>8184.75</v>
      </c>
      <c r="L203" s="26">
        <v>45.13</v>
      </c>
    </row>
    <row r="204" spans="1:12" ht="16" customHeight="1">
      <c r="A204" t="s">
        <v>251</v>
      </c>
      <c r="B204" t="s">
        <v>4</v>
      </c>
      <c r="C204" t="s">
        <v>16</v>
      </c>
      <c r="D204" s="24">
        <v>45931</v>
      </c>
      <c r="E204" t="s">
        <v>311</v>
      </c>
      <c r="F204" t="s">
        <v>6</v>
      </c>
      <c r="G204" t="s">
        <v>505</v>
      </c>
      <c r="H204" t="s">
        <v>505</v>
      </c>
      <c r="I204" t="s">
        <v>219</v>
      </c>
      <c r="J204" s="25">
        <v>25</v>
      </c>
      <c r="K204" s="26">
        <v>4.21</v>
      </c>
      <c r="L204" s="26">
        <v>0.04</v>
      </c>
    </row>
    <row r="205" spans="1:12" ht="16" customHeight="1">
      <c r="A205" t="s">
        <v>251</v>
      </c>
      <c r="B205" t="s">
        <v>4</v>
      </c>
      <c r="C205" t="s">
        <v>16</v>
      </c>
      <c r="D205" s="24">
        <v>45931</v>
      </c>
      <c r="E205" t="s">
        <v>322</v>
      </c>
      <c r="F205" t="s">
        <v>6</v>
      </c>
      <c r="G205" t="s">
        <v>505</v>
      </c>
      <c r="H205" t="s">
        <v>505</v>
      </c>
      <c r="I205" t="s">
        <v>219</v>
      </c>
      <c r="J205" s="25">
        <v>0</v>
      </c>
      <c r="K205" s="26">
        <v>0</v>
      </c>
      <c r="L205" s="26">
        <v>0</v>
      </c>
    </row>
    <row r="206" spans="1:12" ht="16" customHeight="1">
      <c r="A206" t="s">
        <v>251</v>
      </c>
      <c r="B206" t="s">
        <v>4</v>
      </c>
      <c r="C206" t="s">
        <v>16</v>
      </c>
      <c r="D206" s="24">
        <v>45931</v>
      </c>
      <c r="E206" t="s">
        <v>327</v>
      </c>
      <c r="F206" t="s">
        <v>6</v>
      </c>
      <c r="G206" t="s">
        <v>506</v>
      </c>
      <c r="H206" t="s">
        <v>506</v>
      </c>
      <c r="I206" t="s">
        <v>219</v>
      </c>
      <c r="J206" s="25">
        <v>1008</v>
      </c>
      <c r="K206" s="26">
        <v>166.86</v>
      </c>
      <c r="L206" s="26">
        <v>1.78</v>
      </c>
    </row>
    <row r="207" spans="1:12" ht="16" customHeight="1">
      <c r="A207" t="s">
        <v>286</v>
      </c>
      <c r="B207" t="s">
        <v>5</v>
      </c>
      <c r="C207" t="s">
        <v>17</v>
      </c>
      <c r="D207" s="24">
        <v>45931</v>
      </c>
      <c r="E207" t="s">
        <v>288</v>
      </c>
      <c r="F207" t="s">
        <v>6</v>
      </c>
      <c r="G207" t="s">
        <v>505</v>
      </c>
      <c r="H207" t="s">
        <v>505</v>
      </c>
      <c r="I207" t="s">
        <v>212</v>
      </c>
      <c r="J207" s="25">
        <v>111639069</v>
      </c>
      <c r="K207" s="26">
        <v>18434463.210000001</v>
      </c>
      <c r="L207" s="26">
        <v>24125.4</v>
      </c>
    </row>
    <row r="208" spans="1:12" ht="16" customHeight="1">
      <c r="A208" t="s">
        <v>286</v>
      </c>
      <c r="B208" t="s">
        <v>5</v>
      </c>
      <c r="C208" t="s">
        <v>17</v>
      </c>
      <c r="D208" s="24">
        <v>45931</v>
      </c>
      <c r="E208" t="s">
        <v>292</v>
      </c>
      <c r="F208" t="s">
        <v>6</v>
      </c>
      <c r="G208" t="s">
        <v>505</v>
      </c>
      <c r="H208" t="s">
        <v>505</v>
      </c>
      <c r="I208" t="s">
        <v>212</v>
      </c>
      <c r="J208" s="25">
        <v>833444</v>
      </c>
      <c r="K208" s="26">
        <v>137913.73000000001</v>
      </c>
      <c r="L208" s="26">
        <v>415.82</v>
      </c>
    </row>
    <row r="209" spans="1:12" ht="16" customHeight="1">
      <c r="A209" t="s">
        <v>286</v>
      </c>
      <c r="B209" t="s">
        <v>5</v>
      </c>
      <c r="C209" t="s">
        <v>17</v>
      </c>
      <c r="D209" s="24">
        <v>45931</v>
      </c>
      <c r="E209" t="s">
        <v>297</v>
      </c>
      <c r="F209" t="s">
        <v>6</v>
      </c>
      <c r="G209" t="s">
        <v>506</v>
      </c>
      <c r="H209" t="s">
        <v>506</v>
      </c>
      <c r="I209" t="s">
        <v>212</v>
      </c>
      <c r="J209" s="25">
        <v>64932</v>
      </c>
      <c r="K209" s="26">
        <v>10777.51</v>
      </c>
      <c r="L209" s="26">
        <v>54.87</v>
      </c>
    </row>
    <row r="210" spans="1:12" ht="16" customHeight="1">
      <c r="A210" t="s">
        <v>286</v>
      </c>
      <c r="B210" t="s">
        <v>5</v>
      </c>
      <c r="C210" t="s">
        <v>17</v>
      </c>
      <c r="D210" s="24">
        <v>45931</v>
      </c>
      <c r="E210" t="s">
        <v>311</v>
      </c>
      <c r="F210" t="s">
        <v>6</v>
      </c>
      <c r="G210" t="s">
        <v>505</v>
      </c>
      <c r="H210" t="s">
        <v>505</v>
      </c>
      <c r="I210" t="s">
        <v>219</v>
      </c>
      <c r="J210" s="25">
        <v>93</v>
      </c>
      <c r="K210" s="26">
        <v>15.61</v>
      </c>
      <c r="L210" s="26">
        <v>0.15</v>
      </c>
    </row>
    <row r="211" spans="1:12" ht="16" customHeight="1">
      <c r="A211" t="s">
        <v>286</v>
      </c>
      <c r="B211" t="s">
        <v>5</v>
      </c>
      <c r="C211" t="s">
        <v>17</v>
      </c>
      <c r="D211" s="24">
        <v>45931</v>
      </c>
      <c r="E211" t="s">
        <v>322</v>
      </c>
      <c r="F211" t="s">
        <v>6</v>
      </c>
      <c r="G211" t="s">
        <v>505</v>
      </c>
      <c r="H211" t="s">
        <v>505</v>
      </c>
      <c r="I211" t="s">
        <v>219</v>
      </c>
      <c r="J211" s="25">
        <v>0</v>
      </c>
      <c r="K211" s="26">
        <v>0</v>
      </c>
      <c r="L211" s="26">
        <v>0</v>
      </c>
    </row>
    <row r="212" spans="1:12" ht="16" customHeight="1">
      <c r="A212" t="s">
        <v>286</v>
      </c>
      <c r="B212" t="s">
        <v>5</v>
      </c>
      <c r="C212" t="s">
        <v>17</v>
      </c>
      <c r="D212" s="24">
        <v>45931</v>
      </c>
      <c r="E212" t="s">
        <v>327</v>
      </c>
      <c r="F212" t="s">
        <v>6</v>
      </c>
      <c r="G212" t="s">
        <v>506</v>
      </c>
      <c r="H212" t="s">
        <v>506</v>
      </c>
      <c r="I212" t="s">
        <v>219</v>
      </c>
      <c r="J212" s="25">
        <v>1227</v>
      </c>
      <c r="K212" s="26">
        <v>204.57</v>
      </c>
      <c r="L212" s="26">
        <v>2.13</v>
      </c>
    </row>
    <row r="213" spans="1:12" ht="16" customHeight="1">
      <c r="A213" t="s">
        <v>288</v>
      </c>
      <c r="B213" t="s">
        <v>6</v>
      </c>
      <c r="C213" t="s">
        <v>17</v>
      </c>
      <c r="D213" s="24">
        <v>45931</v>
      </c>
      <c r="E213" t="s">
        <v>288</v>
      </c>
      <c r="F213" t="s">
        <v>6</v>
      </c>
      <c r="G213" t="s">
        <v>505</v>
      </c>
      <c r="H213" t="s">
        <v>505</v>
      </c>
      <c r="I213" t="s">
        <v>212</v>
      </c>
      <c r="J213" s="25">
        <v>385184679</v>
      </c>
      <c r="K213" s="26">
        <v>64116388.640000001</v>
      </c>
      <c r="L213" s="26">
        <v>38464.93</v>
      </c>
    </row>
    <row r="214" spans="1:12" ht="16" customHeight="1">
      <c r="A214" t="s">
        <v>288</v>
      </c>
      <c r="B214" t="s">
        <v>6</v>
      </c>
      <c r="C214" t="s">
        <v>17</v>
      </c>
      <c r="D214" s="24">
        <v>45931</v>
      </c>
      <c r="E214" t="s">
        <v>292</v>
      </c>
      <c r="F214" t="s">
        <v>6</v>
      </c>
      <c r="G214" t="s">
        <v>505</v>
      </c>
      <c r="H214" t="s">
        <v>505</v>
      </c>
      <c r="I214" t="s">
        <v>212</v>
      </c>
      <c r="J214" s="25">
        <v>2776178</v>
      </c>
      <c r="K214" s="26">
        <v>460334.45</v>
      </c>
      <c r="L214" s="26">
        <v>1209.06</v>
      </c>
    </row>
    <row r="215" spans="1:12" ht="16" customHeight="1">
      <c r="A215" t="s">
        <v>288</v>
      </c>
      <c r="B215" t="s">
        <v>6</v>
      </c>
      <c r="C215" t="s">
        <v>17</v>
      </c>
      <c r="D215" s="24">
        <v>45931</v>
      </c>
      <c r="E215" t="s">
        <v>297</v>
      </c>
      <c r="F215" t="s">
        <v>6</v>
      </c>
      <c r="G215" t="s">
        <v>506</v>
      </c>
      <c r="H215" t="s">
        <v>506</v>
      </c>
      <c r="I215" t="s">
        <v>212</v>
      </c>
      <c r="J215" s="25">
        <v>112037</v>
      </c>
      <c r="K215" s="26">
        <v>18749.919999999998</v>
      </c>
      <c r="L215" s="26">
        <v>93.83</v>
      </c>
    </row>
    <row r="216" spans="1:12" ht="16" customHeight="1">
      <c r="A216" t="s">
        <v>288</v>
      </c>
      <c r="B216" t="s">
        <v>6</v>
      </c>
      <c r="C216" t="s">
        <v>17</v>
      </c>
      <c r="D216" s="24">
        <v>45931</v>
      </c>
      <c r="E216" t="s">
        <v>311</v>
      </c>
      <c r="F216" t="s">
        <v>6</v>
      </c>
      <c r="G216" t="s">
        <v>505</v>
      </c>
      <c r="H216" t="s">
        <v>505</v>
      </c>
      <c r="I216" t="s">
        <v>219</v>
      </c>
      <c r="J216" s="25">
        <v>351</v>
      </c>
      <c r="K216" s="26">
        <v>59.09</v>
      </c>
      <c r="L216" s="26">
        <v>0.4</v>
      </c>
    </row>
    <row r="217" spans="1:12" ht="16" customHeight="1">
      <c r="A217" t="s">
        <v>288</v>
      </c>
      <c r="B217" t="s">
        <v>6</v>
      </c>
      <c r="C217" t="s">
        <v>17</v>
      </c>
      <c r="D217" s="24">
        <v>45931</v>
      </c>
      <c r="E217" t="s">
        <v>317</v>
      </c>
      <c r="F217" t="s">
        <v>6</v>
      </c>
      <c r="G217" t="s">
        <v>505</v>
      </c>
      <c r="H217" t="s">
        <v>505</v>
      </c>
      <c r="I217" t="s">
        <v>219</v>
      </c>
      <c r="J217" s="25">
        <v>1</v>
      </c>
      <c r="K217" s="26">
        <v>0.16</v>
      </c>
      <c r="L217" s="26">
        <v>0</v>
      </c>
    </row>
    <row r="218" spans="1:12" ht="16" customHeight="1">
      <c r="A218" t="s">
        <v>288</v>
      </c>
      <c r="B218" t="s">
        <v>6</v>
      </c>
      <c r="C218" t="s">
        <v>17</v>
      </c>
      <c r="D218" s="24">
        <v>45931</v>
      </c>
      <c r="E218" t="s">
        <v>322</v>
      </c>
      <c r="F218" t="s">
        <v>6</v>
      </c>
      <c r="G218" t="s">
        <v>505</v>
      </c>
      <c r="H218" t="s">
        <v>505</v>
      </c>
      <c r="I218" t="s">
        <v>219</v>
      </c>
      <c r="J218" s="25">
        <v>1</v>
      </c>
      <c r="K218" s="26">
        <v>0.17</v>
      </c>
      <c r="L218" s="26">
        <v>0</v>
      </c>
    </row>
    <row r="219" spans="1:12" ht="16" customHeight="1">
      <c r="A219" t="s">
        <v>288</v>
      </c>
      <c r="B219" t="s">
        <v>6</v>
      </c>
      <c r="C219" t="s">
        <v>17</v>
      </c>
      <c r="D219" s="24">
        <v>45931</v>
      </c>
      <c r="E219" t="s">
        <v>327</v>
      </c>
      <c r="F219" t="s">
        <v>6</v>
      </c>
      <c r="G219" t="s">
        <v>506</v>
      </c>
      <c r="H219" t="s">
        <v>506</v>
      </c>
      <c r="I219" t="s">
        <v>219</v>
      </c>
      <c r="J219" s="25">
        <v>2078</v>
      </c>
      <c r="K219" s="26">
        <v>348.26</v>
      </c>
      <c r="L219" s="26">
        <v>3.32</v>
      </c>
    </row>
    <row r="220" spans="1:12" ht="16" customHeight="1">
      <c r="A220" t="s">
        <v>289</v>
      </c>
      <c r="B220" t="s">
        <v>7</v>
      </c>
      <c r="C220" t="s">
        <v>17</v>
      </c>
      <c r="D220" s="24">
        <v>45931</v>
      </c>
      <c r="E220" t="s">
        <v>292</v>
      </c>
      <c r="F220" t="s">
        <v>6</v>
      </c>
      <c r="G220" t="s">
        <v>505</v>
      </c>
      <c r="H220" t="s">
        <v>505</v>
      </c>
      <c r="I220" t="s">
        <v>212</v>
      </c>
      <c r="J220" s="25">
        <v>30160185</v>
      </c>
      <c r="K220" s="26">
        <v>5071784.51</v>
      </c>
      <c r="L220" s="26">
        <v>14113.39</v>
      </c>
    </row>
    <row r="221" spans="1:12" ht="16" customHeight="1">
      <c r="A221" t="s">
        <v>289</v>
      </c>
      <c r="B221" t="s">
        <v>7</v>
      </c>
      <c r="C221" t="s">
        <v>17</v>
      </c>
      <c r="D221" s="24">
        <v>45931</v>
      </c>
      <c r="E221" t="s">
        <v>297</v>
      </c>
      <c r="F221" t="s">
        <v>6</v>
      </c>
      <c r="G221" t="s">
        <v>506</v>
      </c>
      <c r="H221" t="s">
        <v>506</v>
      </c>
      <c r="I221" t="s">
        <v>212</v>
      </c>
      <c r="J221" s="25">
        <v>265534</v>
      </c>
      <c r="K221" s="26">
        <v>44826.93</v>
      </c>
      <c r="L221" s="26">
        <v>209.93</v>
      </c>
    </row>
    <row r="222" spans="1:12" ht="16" customHeight="1">
      <c r="A222" t="s">
        <v>289</v>
      </c>
      <c r="B222" t="s">
        <v>7</v>
      </c>
      <c r="C222" t="s">
        <v>17</v>
      </c>
      <c r="D222" s="24">
        <v>45931</v>
      </c>
      <c r="E222" t="s">
        <v>311</v>
      </c>
      <c r="F222" t="s">
        <v>6</v>
      </c>
      <c r="G222" t="s">
        <v>505</v>
      </c>
      <c r="H222" t="s">
        <v>505</v>
      </c>
      <c r="I222" t="s">
        <v>219</v>
      </c>
      <c r="J222" s="25">
        <v>2356</v>
      </c>
      <c r="K222" s="26">
        <v>397.06</v>
      </c>
      <c r="L222" s="26">
        <v>2.71</v>
      </c>
    </row>
    <row r="223" spans="1:12" ht="16" customHeight="1">
      <c r="A223" t="s">
        <v>289</v>
      </c>
      <c r="B223" t="s">
        <v>7</v>
      </c>
      <c r="C223" t="s">
        <v>17</v>
      </c>
      <c r="D223" s="24">
        <v>45931</v>
      </c>
      <c r="E223" t="s">
        <v>317</v>
      </c>
      <c r="F223" t="s">
        <v>6</v>
      </c>
      <c r="G223" t="s">
        <v>505</v>
      </c>
      <c r="H223" t="s">
        <v>505</v>
      </c>
      <c r="I223" t="s">
        <v>219</v>
      </c>
      <c r="J223" s="25">
        <v>39</v>
      </c>
      <c r="K223" s="26">
        <v>6.6</v>
      </c>
      <c r="L223" s="26">
        <v>0.08</v>
      </c>
    </row>
    <row r="224" spans="1:12" ht="16" customHeight="1">
      <c r="A224" t="s">
        <v>289</v>
      </c>
      <c r="B224" t="s">
        <v>7</v>
      </c>
      <c r="C224" t="s">
        <v>17</v>
      </c>
      <c r="D224" s="24">
        <v>45931</v>
      </c>
      <c r="E224" t="s">
        <v>327</v>
      </c>
      <c r="F224" t="s">
        <v>6</v>
      </c>
      <c r="G224" t="s">
        <v>506</v>
      </c>
      <c r="H224" t="s">
        <v>506</v>
      </c>
      <c r="I224" t="s">
        <v>219</v>
      </c>
      <c r="J224" s="25">
        <v>3039</v>
      </c>
      <c r="K224" s="26">
        <v>508.99</v>
      </c>
      <c r="L224" s="26">
        <v>4.82</v>
      </c>
    </row>
    <row r="225" spans="1:12" ht="16" customHeight="1">
      <c r="A225" t="s">
        <v>256</v>
      </c>
      <c r="B225" t="s">
        <v>3</v>
      </c>
      <c r="C225" t="s">
        <v>17</v>
      </c>
      <c r="D225" s="24">
        <v>45931</v>
      </c>
      <c r="E225" t="s">
        <v>292</v>
      </c>
      <c r="F225" t="s">
        <v>6</v>
      </c>
      <c r="G225" t="s">
        <v>505</v>
      </c>
      <c r="H225" t="s">
        <v>505</v>
      </c>
      <c r="I225" t="s">
        <v>212</v>
      </c>
      <c r="J225" s="25">
        <v>31115813</v>
      </c>
      <c r="K225" s="26">
        <v>5256757.53</v>
      </c>
      <c r="L225" s="26">
        <v>10063.23</v>
      </c>
    </row>
    <row r="226" spans="1:12" ht="16" customHeight="1">
      <c r="A226" t="s">
        <v>256</v>
      </c>
      <c r="B226" t="s">
        <v>3</v>
      </c>
      <c r="C226" t="s">
        <v>17</v>
      </c>
      <c r="D226" s="24">
        <v>45931</v>
      </c>
      <c r="E226" t="s">
        <v>297</v>
      </c>
      <c r="F226" t="s">
        <v>6</v>
      </c>
      <c r="G226" t="s">
        <v>506</v>
      </c>
      <c r="H226" t="s">
        <v>506</v>
      </c>
      <c r="I226" t="s">
        <v>212</v>
      </c>
      <c r="J226" s="25">
        <v>354726</v>
      </c>
      <c r="K226" s="26">
        <v>60094.5</v>
      </c>
      <c r="L226" s="26">
        <v>248.26</v>
      </c>
    </row>
    <row r="227" spans="1:12" ht="16" customHeight="1">
      <c r="A227" t="s">
        <v>256</v>
      </c>
      <c r="B227" t="s">
        <v>3</v>
      </c>
      <c r="C227" t="s">
        <v>17</v>
      </c>
      <c r="D227" s="24">
        <v>45931</v>
      </c>
      <c r="E227" t="s">
        <v>311</v>
      </c>
      <c r="F227" t="s">
        <v>6</v>
      </c>
      <c r="G227" t="s">
        <v>505</v>
      </c>
      <c r="H227" t="s">
        <v>505</v>
      </c>
      <c r="I227" t="s">
        <v>219</v>
      </c>
      <c r="J227" s="25">
        <v>5538</v>
      </c>
      <c r="K227" s="26">
        <v>941.71</v>
      </c>
      <c r="L227" s="26">
        <v>6.07</v>
      </c>
    </row>
    <row r="228" spans="1:12" ht="16" customHeight="1">
      <c r="A228" t="s">
        <v>256</v>
      </c>
      <c r="B228" t="s">
        <v>3</v>
      </c>
      <c r="C228" t="s">
        <v>17</v>
      </c>
      <c r="D228" s="24">
        <v>45931</v>
      </c>
      <c r="E228" t="s">
        <v>317</v>
      </c>
      <c r="F228" t="s">
        <v>6</v>
      </c>
      <c r="G228" t="s">
        <v>505</v>
      </c>
      <c r="H228" t="s">
        <v>505</v>
      </c>
      <c r="I228" t="s">
        <v>219</v>
      </c>
      <c r="J228" s="25">
        <v>79</v>
      </c>
      <c r="K228" s="26">
        <v>13.15</v>
      </c>
      <c r="L228" s="26">
        <v>0.05</v>
      </c>
    </row>
    <row r="229" spans="1:12" ht="16" customHeight="1">
      <c r="A229" t="s">
        <v>256</v>
      </c>
      <c r="B229" t="s">
        <v>3</v>
      </c>
      <c r="C229" t="s">
        <v>17</v>
      </c>
      <c r="D229" s="24">
        <v>45931</v>
      </c>
      <c r="E229" t="s">
        <v>322</v>
      </c>
      <c r="F229" t="s">
        <v>6</v>
      </c>
      <c r="G229" t="s">
        <v>505</v>
      </c>
      <c r="H229" t="s">
        <v>505</v>
      </c>
      <c r="I229" t="s">
        <v>219</v>
      </c>
      <c r="J229" s="25">
        <v>4</v>
      </c>
      <c r="K229" s="26">
        <v>0.68</v>
      </c>
      <c r="L229" s="26">
        <v>0.01</v>
      </c>
    </row>
    <row r="230" spans="1:12" ht="16" customHeight="1">
      <c r="A230" t="s">
        <v>256</v>
      </c>
      <c r="B230" t="s">
        <v>3</v>
      </c>
      <c r="C230" t="s">
        <v>17</v>
      </c>
      <c r="D230" s="24">
        <v>45931</v>
      </c>
      <c r="E230" t="s">
        <v>327</v>
      </c>
      <c r="F230" t="s">
        <v>6</v>
      </c>
      <c r="G230" t="s">
        <v>506</v>
      </c>
      <c r="H230" t="s">
        <v>506</v>
      </c>
      <c r="I230" t="s">
        <v>219</v>
      </c>
      <c r="J230" s="25">
        <v>2533</v>
      </c>
      <c r="K230" s="26">
        <v>425.83</v>
      </c>
      <c r="L230" s="26">
        <v>3.64</v>
      </c>
    </row>
    <row r="231" spans="1:12" ht="16" customHeight="1">
      <c r="A231" t="s">
        <v>290</v>
      </c>
      <c r="B231" t="s">
        <v>4</v>
      </c>
      <c r="C231" t="s">
        <v>17</v>
      </c>
      <c r="D231" s="24">
        <v>45931</v>
      </c>
      <c r="E231" t="s">
        <v>292</v>
      </c>
      <c r="F231" t="s">
        <v>6</v>
      </c>
      <c r="G231" t="s">
        <v>505</v>
      </c>
      <c r="H231" t="s">
        <v>505</v>
      </c>
      <c r="I231" t="s">
        <v>212</v>
      </c>
      <c r="J231" s="25">
        <v>16328486</v>
      </c>
      <c r="K231" s="26">
        <v>2760232.84</v>
      </c>
      <c r="L231" s="26">
        <v>3222.65</v>
      </c>
    </row>
    <row r="232" spans="1:12" ht="16" customHeight="1">
      <c r="A232" t="s">
        <v>290</v>
      </c>
      <c r="B232" t="s">
        <v>4</v>
      </c>
      <c r="C232" t="s">
        <v>17</v>
      </c>
      <c r="D232" s="24">
        <v>45931</v>
      </c>
      <c r="E232" t="s">
        <v>297</v>
      </c>
      <c r="F232" t="s">
        <v>6</v>
      </c>
      <c r="G232" t="s">
        <v>506</v>
      </c>
      <c r="H232" t="s">
        <v>506</v>
      </c>
      <c r="I232" t="s">
        <v>212</v>
      </c>
      <c r="J232" s="25">
        <v>120047</v>
      </c>
      <c r="K232" s="26">
        <v>20292.689999999999</v>
      </c>
      <c r="L232" s="26">
        <v>67.52</v>
      </c>
    </row>
    <row r="233" spans="1:12" ht="16" customHeight="1">
      <c r="A233" t="s">
        <v>290</v>
      </c>
      <c r="B233" t="s">
        <v>4</v>
      </c>
      <c r="C233" t="s">
        <v>17</v>
      </c>
      <c r="D233" s="24">
        <v>45931</v>
      </c>
      <c r="E233" t="s">
        <v>311</v>
      </c>
      <c r="F233" t="s">
        <v>6</v>
      </c>
      <c r="G233" t="s">
        <v>505</v>
      </c>
      <c r="H233" t="s">
        <v>505</v>
      </c>
      <c r="I233" t="s">
        <v>219</v>
      </c>
      <c r="J233" s="25">
        <v>2192</v>
      </c>
      <c r="K233" s="26">
        <v>371.96</v>
      </c>
      <c r="L233" s="26">
        <v>2.34</v>
      </c>
    </row>
    <row r="234" spans="1:12" ht="16" customHeight="1">
      <c r="A234" t="s">
        <v>290</v>
      </c>
      <c r="B234" t="s">
        <v>4</v>
      </c>
      <c r="C234" t="s">
        <v>17</v>
      </c>
      <c r="D234" s="24">
        <v>45931</v>
      </c>
      <c r="E234" t="s">
        <v>317</v>
      </c>
      <c r="F234" t="s">
        <v>6</v>
      </c>
      <c r="G234" t="s">
        <v>505</v>
      </c>
      <c r="H234" t="s">
        <v>505</v>
      </c>
      <c r="I234" t="s">
        <v>219</v>
      </c>
      <c r="J234" s="25">
        <v>22</v>
      </c>
      <c r="K234" s="26">
        <v>3.76</v>
      </c>
      <c r="L234" s="26">
        <v>0.04</v>
      </c>
    </row>
    <row r="235" spans="1:12" ht="16" customHeight="1">
      <c r="A235" t="s">
        <v>290</v>
      </c>
      <c r="B235" t="s">
        <v>4</v>
      </c>
      <c r="C235" t="s">
        <v>17</v>
      </c>
      <c r="D235" s="24">
        <v>45931</v>
      </c>
      <c r="E235" t="s">
        <v>322</v>
      </c>
      <c r="F235" t="s">
        <v>6</v>
      </c>
      <c r="G235" t="s">
        <v>505</v>
      </c>
      <c r="H235" t="s">
        <v>505</v>
      </c>
      <c r="I235" t="s">
        <v>219</v>
      </c>
      <c r="J235" s="25">
        <v>0</v>
      </c>
      <c r="K235" s="26">
        <v>0</v>
      </c>
      <c r="L235" s="26">
        <v>0</v>
      </c>
    </row>
    <row r="236" spans="1:12" ht="16" customHeight="1">
      <c r="A236" t="s">
        <v>290</v>
      </c>
      <c r="B236" t="s">
        <v>4</v>
      </c>
      <c r="C236" t="s">
        <v>17</v>
      </c>
      <c r="D236" s="24">
        <v>45931</v>
      </c>
      <c r="E236" t="s">
        <v>327</v>
      </c>
      <c r="F236" t="s">
        <v>6</v>
      </c>
      <c r="G236" t="s">
        <v>506</v>
      </c>
      <c r="H236" t="s">
        <v>506</v>
      </c>
      <c r="I236" t="s">
        <v>219</v>
      </c>
      <c r="J236" s="25">
        <v>674</v>
      </c>
      <c r="K236" s="26">
        <v>114.72</v>
      </c>
      <c r="L236" s="26">
        <v>1.1499999999999999</v>
      </c>
    </row>
    <row r="237" spans="1:12" ht="16" customHeight="1">
      <c r="A237" t="s">
        <v>292</v>
      </c>
      <c r="B237" t="s">
        <v>6</v>
      </c>
      <c r="C237" t="s">
        <v>18</v>
      </c>
      <c r="D237" s="24">
        <v>45931</v>
      </c>
      <c r="E237" t="s">
        <v>292</v>
      </c>
      <c r="F237" t="s">
        <v>6</v>
      </c>
      <c r="G237" t="s">
        <v>505</v>
      </c>
      <c r="H237" t="s">
        <v>505</v>
      </c>
      <c r="I237" t="s">
        <v>212</v>
      </c>
      <c r="J237" s="25">
        <v>436334067</v>
      </c>
      <c r="K237" s="26">
        <v>74158495.469999999</v>
      </c>
      <c r="L237" s="26">
        <v>46101.32</v>
      </c>
    </row>
    <row r="238" spans="1:12" ht="16" customHeight="1">
      <c r="A238" t="s">
        <v>292</v>
      </c>
      <c r="B238" t="s">
        <v>6</v>
      </c>
      <c r="C238" t="s">
        <v>18</v>
      </c>
      <c r="D238" s="24">
        <v>45931</v>
      </c>
      <c r="E238" t="s">
        <v>297</v>
      </c>
      <c r="F238" t="s">
        <v>6</v>
      </c>
      <c r="G238" t="s">
        <v>506</v>
      </c>
      <c r="H238" t="s">
        <v>506</v>
      </c>
      <c r="I238" t="s">
        <v>212</v>
      </c>
      <c r="J238" s="25">
        <v>2321018</v>
      </c>
      <c r="K238" s="26">
        <v>395731.17</v>
      </c>
      <c r="L238" s="26">
        <v>1344.48</v>
      </c>
    </row>
    <row r="239" spans="1:12" ht="16" customHeight="1">
      <c r="A239" t="s">
        <v>292</v>
      </c>
      <c r="B239" t="s">
        <v>6</v>
      </c>
      <c r="C239" t="s">
        <v>18</v>
      </c>
      <c r="D239" s="24">
        <v>45931</v>
      </c>
      <c r="E239" t="s">
        <v>311</v>
      </c>
      <c r="F239" t="s">
        <v>6</v>
      </c>
      <c r="G239" t="s">
        <v>505</v>
      </c>
      <c r="H239" t="s">
        <v>505</v>
      </c>
      <c r="I239" t="s">
        <v>219</v>
      </c>
      <c r="J239" s="25">
        <v>21974</v>
      </c>
      <c r="K239" s="26">
        <v>3760.38</v>
      </c>
      <c r="L239" s="26">
        <v>21</v>
      </c>
    </row>
    <row r="240" spans="1:12" ht="16" customHeight="1">
      <c r="A240" t="s">
        <v>292</v>
      </c>
      <c r="B240" t="s">
        <v>6</v>
      </c>
      <c r="C240" t="s">
        <v>18</v>
      </c>
      <c r="D240" s="24">
        <v>45931</v>
      </c>
      <c r="E240" t="s">
        <v>317</v>
      </c>
      <c r="F240" t="s">
        <v>6</v>
      </c>
      <c r="G240" t="s">
        <v>505</v>
      </c>
      <c r="H240" t="s">
        <v>505</v>
      </c>
      <c r="I240" t="s">
        <v>219</v>
      </c>
      <c r="J240" s="25">
        <v>42</v>
      </c>
      <c r="K240" s="26">
        <v>7.21</v>
      </c>
      <c r="L240" s="26">
        <v>0.05</v>
      </c>
    </row>
    <row r="241" spans="1:12" ht="16" customHeight="1">
      <c r="A241" t="s">
        <v>292</v>
      </c>
      <c r="B241" t="s">
        <v>6</v>
      </c>
      <c r="C241" t="s">
        <v>18</v>
      </c>
      <c r="D241" s="24">
        <v>45931</v>
      </c>
      <c r="E241" t="s">
        <v>322</v>
      </c>
      <c r="F241" t="s">
        <v>6</v>
      </c>
      <c r="G241" t="s">
        <v>505</v>
      </c>
      <c r="H241" t="s">
        <v>505</v>
      </c>
      <c r="I241" t="s">
        <v>219</v>
      </c>
      <c r="J241" s="25">
        <v>10</v>
      </c>
      <c r="K241" s="26">
        <v>1.67</v>
      </c>
      <c r="L241" s="26">
        <v>0.01</v>
      </c>
    </row>
    <row r="242" spans="1:12" ht="16" customHeight="1">
      <c r="A242" t="s">
        <v>292</v>
      </c>
      <c r="B242" t="s">
        <v>6</v>
      </c>
      <c r="C242" t="s">
        <v>18</v>
      </c>
      <c r="D242" s="24">
        <v>45931</v>
      </c>
      <c r="E242" t="s">
        <v>327</v>
      </c>
      <c r="F242" t="s">
        <v>6</v>
      </c>
      <c r="G242" t="s">
        <v>506</v>
      </c>
      <c r="H242" t="s">
        <v>506</v>
      </c>
      <c r="I242" t="s">
        <v>219</v>
      </c>
      <c r="J242" s="25">
        <v>5741</v>
      </c>
      <c r="K242" s="26">
        <v>990.92</v>
      </c>
      <c r="L242" s="26">
        <v>8.1999999999999993</v>
      </c>
    </row>
    <row r="243" spans="1:12" ht="16" customHeight="1">
      <c r="A243" t="s">
        <v>293</v>
      </c>
      <c r="B243" t="s">
        <v>7</v>
      </c>
      <c r="C243" t="s">
        <v>18</v>
      </c>
      <c r="D243" s="24">
        <v>45931</v>
      </c>
      <c r="E243" t="s">
        <v>297</v>
      </c>
      <c r="F243" t="s">
        <v>6</v>
      </c>
      <c r="G243" t="s">
        <v>506</v>
      </c>
      <c r="H243" t="s">
        <v>508</v>
      </c>
      <c r="I243" t="s">
        <v>212</v>
      </c>
      <c r="J243" s="25">
        <v>21172205</v>
      </c>
      <c r="K243" s="26">
        <v>3585473.91</v>
      </c>
      <c r="L243" s="26">
        <v>10441.66</v>
      </c>
    </row>
    <row r="244" spans="1:12" ht="16" customHeight="1">
      <c r="A244" t="s">
        <v>293</v>
      </c>
      <c r="B244" t="s">
        <v>7</v>
      </c>
      <c r="C244" t="s">
        <v>18</v>
      </c>
      <c r="D244" s="24">
        <v>45931</v>
      </c>
      <c r="E244" t="s">
        <v>311</v>
      </c>
      <c r="F244" t="s">
        <v>6</v>
      </c>
      <c r="G244" t="s">
        <v>505</v>
      </c>
      <c r="H244" t="s">
        <v>505</v>
      </c>
      <c r="I244" t="s">
        <v>219</v>
      </c>
      <c r="J244" s="25">
        <v>122792</v>
      </c>
      <c r="K244" s="26">
        <v>20894.23</v>
      </c>
      <c r="L244" s="26">
        <v>120.63</v>
      </c>
    </row>
    <row r="245" spans="1:12" ht="16" customHeight="1">
      <c r="A245" t="s">
        <v>293</v>
      </c>
      <c r="B245" t="s">
        <v>7</v>
      </c>
      <c r="C245" t="s">
        <v>18</v>
      </c>
      <c r="D245" s="24">
        <v>45931</v>
      </c>
      <c r="E245" t="s">
        <v>317</v>
      </c>
      <c r="F245" t="s">
        <v>6</v>
      </c>
      <c r="G245" t="s">
        <v>505</v>
      </c>
      <c r="H245" t="s">
        <v>505</v>
      </c>
      <c r="I245" t="s">
        <v>219</v>
      </c>
      <c r="J245" s="25">
        <v>1663</v>
      </c>
      <c r="K245" s="26">
        <v>283.5</v>
      </c>
      <c r="L245" s="26">
        <v>2.62</v>
      </c>
    </row>
    <row r="246" spans="1:12" ht="16" customHeight="1">
      <c r="A246" t="s">
        <v>293</v>
      </c>
      <c r="B246" t="s">
        <v>7</v>
      </c>
      <c r="C246" t="s">
        <v>18</v>
      </c>
      <c r="D246" s="24">
        <v>45931</v>
      </c>
      <c r="E246" t="s">
        <v>322</v>
      </c>
      <c r="F246" t="s">
        <v>6</v>
      </c>
      <c r="G246" t="s">
        <v>505</v>
      </c>
      <c r="H246" t="s">
        <v>505</v>
      </c>
      <c r="I246" t="s">
        <v>219</v>
      </c>
      <c r="J246" s="25">
        <v>4</v>
      </c>
      <c r="K246" s="26">
        <v>0.68</v>
      </c>
      <c r="L246" s="26">
        <v>0.01</v>
      </c>
    </row>
    <row r="247" spans="1:12" ht="16" customHeight="1">
      <c r="A247" t="s">
        <v>293</v>
      </c>
      <c r="B247" t="s">
        <v>7</v>
      </c>
      <c r="C247" t="s">
        <v>18</v>
      </c>
      <c r="D247" s="24">
        <v>45931</v>
      </c>
      <c r="E247" t="s">
        <v>327</v>
      </c>
      <c r="F247" t="s">
        <v>6</v>
      </c>
      <c r="G247" t="s">
        <v>506</v>
      </c>
      <c r="H247" t="s">
        <v>506</v>
      </c>
      <c r="I247" t="s">
        <v>219</v>
      </c>
      <c r="J247" s="25">
        <v>7002</v>
      </c>
      <c r="K247" s="26">
        <v>1194.33</v>
      </c>
      <c r="L247" s="26">
        <v>9.99</v>
      </c>
    </row>
    <row r="248" spans="1:12" ht="16" customHeight="1">
      <c r="A248" t="s">
        <v>294</v>
      </c>
      <c r="B248" t="s">
        <v>3</v>
      </c>
      <c r="C248" t="s">
        <v>18</v>
      </c>
      <c r="D248" s="24">
        <v>45931</v>
      </c>
      <c r="E248" t="s">
        <v>297</v>
      </c>
      <c r="F248" t="s">
        <v>6</v>
      </c>
      <c r="G248" t="s">
        <v>506</v>
      </c>
      <c r="H248" t="s">
        <v>508</v>
      </c>
      <c r="I248" t="s">
        <v>212</v>
      </c>
      <c r="J248" s="25">
        <v>20117076</v>
      </c>
      <c r="K248" s="26">
        <v>3419806.93</v>
      </c>
      <c r="L248" s="26">
        <v>9538.26</v>
      </c>
    </row>
    <row r="249" spans="1:12" ht="16" customHeight="1">
      <c r="A249" t="s">
        <v>294</v>
      </c>
      <c r="B249" t="s">
        <v>3</v>
      </c>
      <c r="C249" t="s">
        <v>18</v>
      </c>
      <c r="D249" s="24">
        <v>45931</v>
      </c>
      <c r="E249" t="s">
        <v>311</v>
      </c>
      <c r="F249" t="s">
        <v>6</v>
      </c>
      <c r="G249" t="s">
        <v>505</v>
      </c>
      <c r="H249" t="s">
        <v>505</v>
      </c>
      <c r="I249" t="s">
        <v>219</v>
      </c>
      <c r="J249" s="25">
        <v>159261</v>
      </c>
      <c r="K249" s="26">
        <v>27171.99</v>
      </c>
      <c r="L249" s="26">
        <v>144.59</v>
      </c>
    </row>
    <row r="250" spans="1:12" ht="16" customHeight="1">
      <c r="A250" t="s">
        <v>294</v>
      </c>
      <c r="B250" t="s">
        <v>3</v>
      </c>
      <c r="C250" t="s">
        <v>18</v>
      </c>
      <c r="D250" s="24">
        <v>45931</v>
      </c>
      <c r="E250" t="s">
        <v>317</v>
      </c>
      <c r="F250" t="s">
        <v>6</v>
      </c>
      <c r="G250" t="s">
        <v>505</v>
      </c>
      <c r="H250" t="s">
        <v>505</v>
      </c>
      <c r="I250" t="s">
        <v>219</v>
      </c>
      <c r="J250" s="25">
        <v>3258</v>
      </c>
      <c r="K250" s="26">
        <v>559.27</v>
      </c>
      <c r="L250" s="26">
        <v>5.13</v>
      </c>
    </row>
    <row r="251" spans="1:12" ht="16" customHeight="1">
      <c r="A251" t="s">
        <v>294</v>
      </c>
      <c r="B251" t="s">
        <v>3</v>
      </c>
      <c r="C251" t="s">
        <v>18</v>
      </c>
      <c r="D251" s="24">
        <v>45931</v>
      </c>
      <c r="E251" t="s">
        <v>322</v>
      </c>
      <c r="F251" t="s">
        <v>6</v>
      </c>
      <c r="G251" t="s">
        <v>505</v>
      </c>
      <c r="H251" t="s">
        <v>505</v>
      </c>
      <c r="I251" t="s">
        <v>219</v>
      </c>
      <c r="J251" s="25">
        <v>7</v>
      </c>
      <c r="K251" s="26">
        <v>1.2</v>
      </c>
      <c r="L251" s="26">
        <v>0.01</v>
      </c>
    </row>
    <row r="252" spans="1:12" ht="16" customHeight="1">
      <c r="A252" t="s">
        <v>294</v>
      </c>
      <c r="B252" t="s">
        <v>3</v>
      </c>
      <c r="C252" t="s">
        <v>18</v>
      </c>
      <c r="D252" s="24">
        <v>45931</v>
      </c>
      <c r="E252" t="s">
        <v>327</v>
      </c>
      <c r="F252" t="s">
        <v>6</v>
      </c>
      <c r="G252" t="s">
        <v>506</v>
      </c>
      <c r="H252" t="s">
        <v>506</v>
      </c>
      <c r="I252" t="s">
        <v>219</v>
      </c>
      <c r="J252" s="25">
        <v>9063</v>
      </c>
      <c r="K252" s="26">
        <v>1548.78</v>
      </c>
      <c r="L252" s="26">
        <v>12.48</v>
      </c>
    </row>
    <row r="253" spans="1:12" ht="16" customHeight="1">
      <c r="A253" t="s">
        <v>218</v>
      </c>
      <c r="B253" t="s">
        <v>4</v>
      </c>
      <c r="C253" t="s">
        <v>18</v>
      </c>
      <c r="D253" s="24">
        <v>45931</v>
      </c>
      <c r="E253" t="s">
        <v>297</v>
      </c>
      <c r="F253" t="s">
        <v>6</v>
      </c>
      <c r="G253" t="s">
        <v>506</v>
      </c>
      <c r="H253" t="s">
        <v>508</v>
      </c>
      <c r="I253" t="s">
        <v>212</v>
      </c>
      <c r="J253" s="25">
        <v>25634361</v>
      </c>
      <c r="K253" s="26">
        <v>4354680.5999999996</v>
      </c>
      <c r="L253" s="26">
        <v>10527.89</v>
      </c>
    </row>
    <row r="254" spans="1:12" ht="16" customHeight="1">
      <c r="A254" t="s">
        <v>218</v>
      </c>
      <c r="B254" t="s">
        <v>4</v>
      </c>
      <c r="C254" t="s">
        <v>18</v>
      </c>
      <c r="D254" s="24">
        <v>45931</v>
      </c>
      <c r="E254" t="s">
        <v>311</v>
      </c>
      <c r="F254" t="s">
        <v>6</v>
      </c>
      <c r="G254" t="s">
        <v>505</v>
      </c>
      <c r="H254" t="s">
        <v>505</v>
      </c>
      <c r="I254" t="s">
        <v>219</v>
      </c>
      <c r="J254" s="25">
        <v>288489</v>
      </c>
      <c r="K254" s="26">
        <v>49181.89</v>
      </c>
      <c r="L254" s="26">
        <v>257.27</v>
      </c>
    </row>
    <row r="255" spans="1:12" ht="16" customHeight="1">
      <c r="A255" t="s">
        <v>218</v>
      </c>
      <c r="B255" t="s">
        <v>4</v>
      </c>
      <c r="C255" t="s">
        <v>18</v>
      </c>
      <c r="D255" s="24">
        <v>45931</v>
      </c>
      <c r="E255" t="s">
        <v>317</v>
      </c>
      <c r="F255" t="s">
        <v>6</v>
      </c>
      <c r="G255" t="s">
        <v>505</v>
      </c>
      <c r="H255" t="s">
        <v>505</v>
      </c>
      <c r="I255" t="s">
        <v>219</v>
      </c>
      <c r="J255" s="25">
        <v>4090</v>
      </c>
      <c r="K255" s="26">
        <v>700.85</v>
      </c>
      <c r="L255" s="26">
        <v>6.01</v>
      </c>
    </row>
    <row r="256" spans="1:12" ht="16" customHeight="1">
      <c r="A256" t="s">
        <v>218</v>
      </c>
      <c r="B256" t="s">
        <v>4</v>
      </c>
      <c r="C256" t="s">
        <v>18</v>
      </c>
      <c r="D256" s="24">
        <v>45931</v>
      </c>
      <c r="E256" t="s">
        <v>322</v>
      </c>
      <c r="F256" t="s">
        <v>6</v>
      </c>
      <c r="G256" t="s">
        <v>505</v>
      </c>
      <c r="H256" t="s">
        <v>505</v>
      </c>
      <c r="I256" t="s">
        <v>219</v>
      </c>
      <c r="J256" s="25">
        <v>12</v>
      </c>
      <c r="K256" s="26">
        <v>2.02</v>
      </c>
      <c r="L256" s="26">
        <v>0.02</v>
      </c>
    </row>
    <row r="257" spans="1:12" ht="16" customHeight="1">
      <c r="A257" t="s">
        <v>218</v>
      </c>
      <c r="B257" t="s">
        <v>4</v>
      </c>
      <c r="C257" t="s">
        <v>18</v>
      </c>
      <c r="D257" s="24">
        <v>45931</v>
      </c>
      <c r="E257" t="s">
        <v>327</v>
      </c>
      <c r="F257" t="s">
        <v>6</v>
      </c>
      <c r="G257" t="s">
        <v>506</v>
      </c>
      <c r="H257" t="s">
        <v>506</v>
      </c>
      <c r="I257" t="s">
        <v>219</v>
      </c>
      <c r="J257" s="25">
        <v>9952</v>
      </c>
      <c r="K257" s="26">
        <v>1697.97</v>
      </c>
      <c r="L257" s="26">
        <v>14.56</v>
      </c>
    </row>
    <row r="258" spans="1:12" ht="16" customHeight="1">
      <c r="A258" t="s">
        <v>218</v>
      </c>
      <c r="B258" t="s">
        <v>4</v>
      </c>
      <c r="C258" t="s">
        <v>18</v>
      </c>
      <c r="D258" s="24">
        <v>45931</v>
      </c>
      <c r="E258" t="s">
        <v>345</v>
      </c>
      <c r="F258" t="s">
        <v>6</v>
      </c>
      <c r="G258" t="s">
        <v>505</v>
      </c>
      <c r="H258" t="s">
        <v>505</v>
      </c>
      <c r="I258" t="s">
        <v>221</v>
      </c>
      <c r="J258" s="25">
        <v>4</v>
      </c>
      <c r="K258" s="26">
        <v>0.67</v>
      </c>
      <c r="L258" s="26">
        <v>0.02</v>
      </c>
    </row>
    <row r="259" spans="1:12" ht="16" customHeight="1">
      <c r="A259" t="s">
        <v>295</v>
      </c>
      <c r="B259" t="s">
        <v>5</v>
      </c>
      <c r="C259" t="s">
        <v>19</v>
      </c>
      <c r="D259" s="24">
        <v>45931</v>
      </c>
      <c r="E259" t="s">
        <v>297</v>
      </c>
      <c r="F259" t="s">
        <v>6</v>
      </c>
      <c r="G259" t="s">
        <v>506</v>
      </c>
      <c r="H259" t="s">
        <v>508</v>
      </c>
      <c r="I259" t="s">
        <v>212</v>
      </c>
      <c r="J259" s="25">
        <v>95297049</v>
      </c>
      <c r="K259" s="26">
        <v>16214391.4</v>
      </c>
      <c r="L259" s="26">
        <v>26394.21</v>
      </c>
    </row>
    <row r="260" spans="1:12" ht="16" customHeight="1">
      <c r="A260" t="s">
        <v>295</v>
      </c>
      <c r="B260" t="s">
        <v>5</v>
      </c>
      <c r="C260" t="s">
        <v>19</v>
      </c>
      <c r="D260" s="24">
        <v>45931</v>
      </c>
      <c r="E260" t="s">
        <v>311</v>
      </c>
      <c r="F260" t="s">
        <v>6</v>
      </c>
      <c r="G260" t="s">
        <v>505</v>
      </c>
      <c r="H260" t="s">
        <v>505</v>
      </c>
      <c r="I260" t="s">
        <v>219</v>
      </c>
      <c r="J260" s="25">
        <v>567001</v>
      </c>
      <c r="K260" s="26">
        <v>96659.22</v>
      </c>
      <c r="L260" s="26">
        <v>426.89</v>
      </c>
    </row>
    <row r="261" spans="1:12" ht="16" customHeight="1">
      <c r="A261" t="s">
        <v>295</v>
      </c>
      <c r="B261" t="s">
        <v>5</v>
      </c>
      <c r="C261" t="s">
        <v>19</v>
      </c>
      <c r="D261" s="24">
        <v>45931</v>
      </c>
      <c r="E261" t="s">
        <v>317</v>
      </c>
      <c r="F261" t="s">
        <v>6</v>
      </c>
      <c r="G261" t="s">
        <v>505</v>
      </c>
      <c r="H261" t="s">
        <v>505</v>
      </c>
      <c r="I261" t="s">
        <v>219</v>
      </c>
      <c r="J261" s="25">
        <v>5020</v>
      </c>
      <c r="K261" s="26">
        <v>862.84</v>
      </c>
      <c r="L261" s="26">
        <v>6.73</v>
      </c>
    </row>
    <row r="262" spans="1:12" ht="16" customHeight="1">
      <c r="A262" t="s">
        <v>295</v>
      </c>
      <c r="B262" t="s">
        <v>5</v>
      </c>
      <c r="C262" t="s">
        <v>19</v>
      </c>
      <c r="D262" s="24">
        <v>45931</v>
      </c>
      <c r="E262" t="s">
        <v>322</v>
      </c>
      <c r="F262" t="s">
        <v>6</v>
      </c>
      <c r="G262" t="s">
        <v>505</v>
      </c>
      <c r="H262" t="s">
        <v>505</v>
      </c>
      <c r="I262" t="s">
        <v>219</v>
      </c>
      <c r="J262" s="25">
        <v>28</v>
      </c>
      <c r="K262" s="26">
        <v>4.8499999999999996</v>
      </c>
      <c r="L262" s="26">
        <v>0.01</v>
      </c>
    </row>
    <row r="263" spans="1:12" ht="16" customHeight="1">
      <c r="A263" t="s">
        <v>295</v>
      </c>
      <c r="B263" t="s">
        <v>5</v>
      </c>
      <c r="C263" t="s">
        <v>19</v>
      </c>
      <c r="D263" s="24">
        <v>45931</v>
      </c>
      <c r="E263" t="s">
        <v>327</v>
      </c>
      <c r="F263" t="s">
        <v>6</v>
      </c>
      <c r="G263" t="s">
        <v>506</v>
      </c>
      <c r="H263" t="s">
        <v>506</v>
      </c>
      <c r="I263" t="s">
        <v>219</v>
      </c>
      <c r="J263" s="25">
        <v>10371</v>
      </c>
      <c r="K263" s="26">
        <v>1774.46</v>
      </c>
      <c r="L263" s="26">
        <v>14.9</v>
      </c>
    </row>
    <row r="264" spans="1:12" ht="16" customHeight="1">
      <c r="A264" t="s">
        <v>295</v>
      </c>
      <c r="B264" t="s">
        <v>5</v>
      </c>
      <c r="C264" t="s">
        <v>19</v>
      </c>
      <c r="D264" s="24">
        <v>45931</v>
      </c>
      <c r="E264" t="s">
        <v>345</v>
      </c>
      <c r="F264" t="s">
        <v>6</v>
      </c>
      <c r="G264" t="s">
        <v>505</v>
      </c>
      <c r="H264" t="s">
        <v>505</v>
      </c>
      <c r="I264" t="s">
        <v>221</v>
      </c>
      <c r="J264" s="25">
        <v>2</v>
      </c>
      <c r="K264" s="26">
        <v>0.35</v>
      </c>
      <c r="L264" s="26">
        <v>0.02</v>
      </c>
    </row>
    <row r="265" spans="1:12" ht="16" customHeight="1">
      <c r="A265" t="s">
        <v>297</v>
      </c>
      <c r="B265" t="s">
        <v>6</v>
      </c>
      <c r="C265" t="s">
        <v>19</v>
      </c>
      <c r="D265" s="24">
        <v>45931</v>
      </c>
      <c r="E265" t="s">
        <v>297</v>
      </c>
      <c r="F265" t="s">
        <v>6</v>
      </c>
      <c r="G265" t="s">
        <v>506</v>
      </c>
      <c r="H265" t="s">
        <v>508</v>
      </c>
      <c r="I265" t="s">
        <v>212</v>
      </c>
      <c r="J265" s="25">
        <v>394547294</v>
      </c>
      <c r="K265" s="26">
        <v>66799968.450000003</v>
      </c>
      <c r="L265" s="26">
        <v>42275.09</v>
      </c>
    </row>
    <row r="266" spans="1:12" ht="16" customHeight="1">
      <c r="A266" t="s">
        <v>297</v>
      </c>
      <c r="B266" t="s">
        <v>6</v>
      </c>
      <c r="C266" t="s">
        <v>19</v>
      </c>
      <c r="D266" s="24">
        <v>45931</v>
      </c>
      <c r="E266" t="s">
        <v>311</v>
      </c>
      <c r="F266" t="s">
        <v>6</v>
      </c>
      <c r="G266" t="s">
        <v>505</v>
      </c>
      <c r="H266" t="s">
        <v>505</v>
      </c>
      <c r="I266" t="s">
        <v>219</v>
      </c>
      <c r="J266" s="25">
        <v>1915152</v>
      </c>
      <c r="K266" s="26">
        <v>326297.82</v>
      </c>
      <c r="L266" s="26">
        <v>1129.47</v>
      </c>
    </row>
    <row r="267" spans="1:12" ht="16" customHeight="1">
      <c r="A267" t="s">
        <v>297</v>
      </c>
      <c r="B267" t="s">
        <v>6</v>
      </c>
      <c r="C267" t="s">
        <v>19</v>
      </c>
      <c r="D267" s="24">
        <v>45931</v>
      </c>
      <c r="E267" t="s">
        <v>317</v>
      </c>
      <c r="F267" t="s">
        <v>6</v>
      </c>
      <c r="G267" t="s">
        <v>505</v>
      </c>
      <c r="H267" t="s">
        <v>505</v>
      </c>
      <c r="I267" t="s">
        <v>219</v>
      </c>
      <c r="J267" s="25">
        <v>15970</v>
      </c>
      <c r="K267" s="26">
        <v>2732.78</v>
      </c>
      <c r="L267" s="26">
        <v>16.86</v>
      </c>
    </row>
    <row r="268" spans="1:12" ht="16" customHeight="1">
      <c r="A268" t="s">
        <v>297</v>
      </c>
      <c r="B268" t="s">
        <v>6</v>
      </c>
      <c r="C268" t="s">
        <v>19</v>
      </c>
      <c r="D268" s="24">
        <v>45931</v>
      </c>
      <c r="E268" t="s">
        <v>322</v>
      </c>
      <c r="F268" t="s">
        <v>6</v>
      </c>
      <c r="G268" t="s">
        <v>505</v>
      </c>
      <c r="H268" t="s">
        <v>505</v>
      </c>
      <c r="I268" t="s">
        <v>219</v>
      </c>
      <c r="J268" s="25">
        <v>25</v>
      </c>
      <c r="K268" s="26">
        <v>4.3600000000000003</v>
      </c>
      <c r="L268" s="26">
        <v>0.03</v>
      </c>
    </row>
    <row r="269" spans="1:12" ht="16" customHeight="1">
      <c r="A269" t="s">
        <v>297</v>
      </c>
      <c r="B269" t="s">
        <v>6</v>
      </c>
      <c r="C269" t="s">
        <v>19</v>
      </c>
      <c r="D269" s="24">
        <v>45931</v>
      </c>
      <c r="E269" t="s">
        <v>327</v>
      </c>
      <c r="F269" t="s">
        <v>6</v>
      </c>
      <c r="G269" t="s">
        <v>506</v>
      </c>
      <c r="H269" t="s">
        <v>506</v>
      </c>
      <c r="I269" t="s">
        <v>219</v>
      </c>
      <c r="J269" s="25">
        <v>11690</v>
      </c>
      <c r="K269" s="26">
        <v>1999.18</v>
      </c>
      <c r="L269" s="26">
        <v>16.39</v>
      </c>
    </row>
    <row r="270" spans="1:12" ht="16" customHeight="1">
      <c r="A270" t="s">
        <v>297</v>
      </c>
      <c r="B270" t="s">
        <v>6</v>
      </c>
      <c r="C270" t="s">
        <v>19</v>
      </c>
      <c r="D270" s="24">
        <v>45931</v>
      </c>
      <c r="E270" t="s">
        <v>340</v>
      </c>
      <c r="F270" t="s">
        <v>6</v>
      </c>
      <c r="G270" t="s">
        <v>505</v>
      </c>
      <c r="H270" t="s">
        <v>505</v>
      </c>
      <c r="I270" t="s">
        <v>221</v>
      </c>
      <c r="J270" s="25">
        <v>4</v>
      </c>
      <c r="K270" s="26">
        <v>0.66</v>
      </c>
      <c r="L270" s="26">
        <v>0</v>
      </c>
    </row>
    <row r="271" spans="1:12" ht="16" customHeight="1">
      <c r="A271" t="s">
        <v>298</v>
      </c>
      <c r="B271" t="s">
        <v>7</v>
      </c>
      <c r="C271" t="s">
        <v>19</v>
      </c>
      <c r="D271" s="24">
        <v>45931</v>
      </c>
      <c r="E271" t="s">
        <v>311</v>
      </c>
      <c r="F271" t="s">
        <v>6</v>
      </c>
      <c r="G271" t="s">
        <v>505</v>
      </c>
      <c r="H271" t="s">
        <v>505</v>
      </c>
      <c r="I271" t="s">
        <v>219</v>
      </c>
      <c r="J271" s="25">
        <v>20452896</v>
      </c>
      <c r="K271" s="26">
        <v>3464883.49</v>
      </c>
      <c r="L271" s="26">
        <v>9959.39</v>
      </c>
    </row>
    <row r="272" spans="1:12" ht="16" customHeight="1">
      <c r="A272" t="s">
        <v>298</v>
      </c>
      <c r="B272" t="s">
        <v>7</v>
      </c>
      <c r="C272" t="s">
        <v>19</v>
      </c>
      <c r="D272" s="24">
        <v>45931</v>
      </c>
      <c r="E272" t="s">
        <v>317</v>
      </c>
      <c r="F272" t="s">
        <v>6</v>
      </c>
      <c r="G272" t="s">
        <v>505</v>
      </c>
      <c r="H272" t="s">
        <v>505</v>
      </c>
      <c r="I272" t="s">
        <v>219</v>
      </c>
      <c r="J272" s="25">
        <v>61266</v>
      </c>
      <c r="K272" s="26">
        <v>10437.89</v>
      </c>
      <c r="L272" s="26">
        <v>55.65</v>
      </c>
    </row>
    <row r="273" spans="1:12" ht="16" customHeight="1">
      <c r="A273" t="s">
        <v>298</v>
      </c>
      <c r="B273" t="s">
        <v>7</v>
      </c>
      <c r="C273" t="s">
        <v>19</v>
      </c>
      <c r="D273" s="24">
        <v>45931</v>
      </c>
      <c r="E273" t="s">
        <v>322</v>
      </c>
      <c r="F273" t="s">
        <v>6</v>
      </c>
      <c r="G273" t="s">
        <v>505</v>
      </c>
      <c r="H273" t="s">
        <v>505</v>
      </c>
      <c r="I273" t="s">
        <v>219</v>
      </c>
      <c r="J273" s="25">
        <v>1485</v>
      </c>
      <c r="K273" s="26">
        <v>252.87</v>
      </c>
      <c r="L273" s="26">
        <v>2.2200000000000002</v>
      </c>
    </row>
    <row r="274" spans="1:12" ht="16" customHeight="1">
      <c r="A274" t="s">
        <v>298</v>
      </c>
      <c r="B274" t="s">
        <v>7</v>
      </c>
      <c r="C274" t="s">
        <v>19</v>
      </c>
      <c r="D274" s="24">
        <v>45931</v>
      </c>
      <c r="E274" t="s">
        <v>327</v>
      </c>
      <c r="F274" t="s">
        <v>6</v>
      </c>
      <c r="G274" t="s">
        <v>506</v>
      </c>
      <c r="H274" t="s">
        <v>506</v>
      </c>
      <c r="I274" t="s">
        <v>219</v>
      </c>
      <c r="J274" s="25">
        <v>15413</v>
      </c>
      <c r="K274" s="26">
        <v>2628.93</v>
      </c>
      <c r="L274" s="26">
        <v>18.98</v>
      </c>
    </row>
    <row r="275" spans="1:12" ht="16" customHeight="1">
      <c r="A275" t="s">
        <v>298</v>
      </c>
      <c r="B275" t="s">
        <v>7</v>
      </c>
      <c r="C275" t="s">
        <v>19</v>
      </c>
      <c r="D275" s="24">
        <v>45931</v>
      </c>
      <c r="E275" t="s">
        <v>340</v>
      </c>
      <c r="F275" t="s">
        <v>6</v>
      </c>
      <c r="G275" t="s">
        <v>505</v>
      </c>
      <c r="H275" t="s">
        <v>505</v>
      </c>
      <c r="I275" t="s">
        <v>221</v>
      </c>
      <c r="J275" s="25">
        <v>0</v>
      </c>
      <c r="K275" s="26">
        <v>0</v>
      </c>
      <c r="L275" s="26">
        <v>0</v>
      </c>
    </row>
    <row r="276" spans="1:12" ht="16" customHeight="1">
      <c r="A276" t="s">
        <v>299</v>
      </c>
      <c r="B276" t="s">
        <v>3</v>
      </c>
      <c r="C276" t="s">
        <v>20</v>
      </c>
      <c r="D276" s="24">
        <v>45962</v>
      </c>
      <c r="E276" t="s">
        <v>311</v>
      </c>
      <c r="F276" t="s">
        <v>6</v>
      </c>
      <c r="G276" t="s">
        <v>505</v>
      </c>
      <c r="H276" t="s">
        <v>505</v>
      </c>
      <c r="I276" t="s">
        <v>212</v>
      </c>
      <c r="J276" s="25">
        <v>24722967</v>
      </c>
      <c r="K276" s="26">
        <v>4171160.29</v>
      </c>
      <c r="L276" s="26">
        <v>10038.85</v>
      </c>
    </row>
    <row r="277" spans="1:12" ht="16" customHeight="1">
      <c r="A277" t="s">
        <v>299</v>
      </c>
      <c r="B277" t="s">
        <v>3</v>
      </c>
      <c r="C277" t="s">
        <v>20</v>
      </c>
      <c r="D277" s="24">
        <v>45962</v>
      </c>
      <c r="E277" t="s">
        <v>317</v>
      </c>
      <c r="F277" t="s">
        <v>6</v>
      </c>
      <c r="G277" t="s">
        <v>505</v>
      </c>
      <c r="H277" t="s">
        <v>505</v>
      </c>
      <c r="I277" t="s">
        <v>212</v>
      </c>
      <c r="J277" s="25">
        <v>133120</v>
      </c>
      <c r="K277" s="26">
        <v>22562.880000000001</v>
      </c>
      <c r="L277" s="26">
        <v>111.97</v>
      </c>
    </row>
    <row r="278" spans="1:12" ht="16" customHeight="1">
      <c r="A278" t="s">
        <v>299</v>
      </c>
      <c r="B278" t="s">
        <v>3</v>
      </c>
      <c r="C278" t="s">
        <v>20</v>
      </c>
      <c r="D278" s="24">
        <v>45962</v>
      </c>
      <c r="E278" t="s">
        <v>322</v>
      </c>
      <c r="F278" t="s">
        <v>6</v>
      </c>
      <c r="G278" t="s">
        <v>505</v>
      </c>
      <c r="H278" t="s">
        <v>505</v>
      </c>
      <c r="I278" t="s">
        <v>212</v>
      </c>
      <c r="J278" s="25">
        <v>1998</v>
      </c>
      <c r="K278" s="26">
        <v>339.53</v>
      </c>
      <c r="L278" s="26">
        <v>2.71</v>
      </c>
    </row>
    <row r="279" spans="1:12" ht="16" customHeight="1">
      <c r="A279" t="s">
        <v>299</v>
      </c>
      <c r="B279" t="s">
        <v>3</v>
      </c>
      <c r="C279" t="s">
        <v>20</v>
      </c>
      <c r="D279" s="24">
        <v>45962</v>
      </c>
      <c r="E279" t="s">
        <v>327</v>
      </c>
      <c r="F279" t="s">
        <v>6</v>
      </c>
      <c r="G279" t="s">
        <v>506</v>
      </c>
      <c r="H279" t="s">
        <v>506</v>
      </c>
      <c r="I279" t="s">
        <v>212</v>
      </c>
      <c r="J279" s="25">
        <v>14982</v>
      </c>
      <c r="K279" s="26">
        <v>2545.56</v>
      </c>
      <c r="L279" s="26">
        <v>19.79</v>
      </c>
    </row>
    <row r="280" spans="1:12" ht="16" customHeight="1">
      <c r="A280" t="s">
        <v>299</v>
      </c>
      <c r="B280" t="s">
        <v>3</v>
      </c>
      <c r="C280" t="s">
        <v>20</v>
      </c>
      <c r="D280" s="24">
        <v>45962</v>
      </c>
      <c r="E280" t="s">
        <v>340</v>
      </c>
      <c r="F280" t="s">
        <v>6</v>
      </c>
      <c r="G280" t="s">
        <v>505</v>
      </c>
      <c r="H280" t="s">
        <v>505</v>
      </c>
      <c r="I280" t="s">
        <v>219</v>
      </c>
      <c r="J280" s="25">
        <v>2</v>
      </c>
      <c r="K280" s="26">
        <v>0.34</v>
      </c>
      <c r="L280" s="26">
        <v>0</v>
      </c>
    </row>
    <row r="281" spans="1:12" ht="16" customHeight="1">
      <c r="A281" t="s">
        <v>299</v>
      </c>
      <c r="B281" t="s">
        <v>3</v>
      </c>
      <c r="C281" t="s">
        <v>20</v>
      </c>
      <c r="D281" s="24">
        <v>45962</v>
      </c>
      <c r="E281" t="s">
        <v>353</v>
      </c>
      <c r="F281" t="s">
        <v>5</v>
      </c>
      <c r="G281" t="s">
        <v>507</v>
      </c>
      <c r="H281" t="s">
        <v>507</v>
      </c>
      <c r="I281" t="s">
        <v>219</v>
      </c>
      <c r="J281" s="25">
        <v>1</v>
      </c>
      <c r="K281" s="26">
        <v>0.18</v>
      </c>
      <c r="L281" s="26">
        <v>0</v>
      </c>
    </row>
    <row r="282" spans="1:12" ht="16" customHeight="1">
      <c r="A282" t="s">
        <v>262</v>
      </c>
      <c r="B282" t="s">
        <v>4</v>
      </c>
      <c r="C282" t="s">
        <v>20</v>
      </c>
      <c r="D282" s="24">
        <v>45962</v>
      </c>
      <c r="E282" t="s">
        <v>311</v>
      </c>
      <c r="F282" t="s">
        <v>6</v>
      </c>
      <c r="G282" t="s">
        <v>505</v>
      </c>
      <c r="H282" t="s">
        <v>505</v>
      </c>
      <c r="I282" t="s">
        <v>212</v>
      </c>
      <c r="J282" s="25">
        <v>30172171</v>
      </c>
      <c r="K282" s="26">
        <v>5080554.3600000003</v>
      </c>
      <c r="L282" s="26">
        <v>9027.11</v>
      </c>
    </row>
    <row r="283" spans="1:12" ht="16" customHeight="1">
      <c r="A283" t="s">
        <v>262</v>
      </c>
      <c r="B283" t="s">
        <v>4</v>
      </c>
      <c r="C283" t="s">
        <v>20</v>
      </c>
      <c r="D283" s="24">
        <v>45962</v>
      </c>
      <c r="E283" t="s">
        <v>317</v>
      </c>
      <c r="F283" t="s">
        <v>6</v>
      </c>
      <c r="G283" t="s">
        <v>505</v>
      </c>
      <c r="H283" t="s">
        <v>505</v>
      </c>
      <c r="I283" t="s">
        <v>212</v>
      </c>
      <c r="J283" s="25">
        <v>324629</v>
      </c>
      <c r="K283" s="26">
        <v>54836.13</v>
      </c>
      <c r="L283" s="26">
        <v>193.53</v>
      </c>
    </row>
    <row r="284" spans="1:12" ht="16" customHeight="1">
      <c r="A284" t="s">
        <v>262</v>
      </c>
      <c r="B284" t="s">
        <v>4</v>
      </c>
      <c r="C284" t="s">
        <v>20</v>
      </c>
      <c r="D284" s="24">
        <v>45962</v>
      </c>
      <c r="E284" t="s">
        <v>322</v>
      </c>
      <c r="F284" t="s">
        <v>6</v>
      </c>
      <c r="G284" t="s">
        <v>505</v>
      </c>
      <c r="H284" t="s">
        <v>505</v>
      </c>
      <c r="I284" t="s">
        <v>212</v>
      </c>
      <c r="J284" s="25">
        <v>1227</v>
      </c>
      <c r="K284" s="26">
        <v>207.95</v>
      </c>
      <c r="L284" s="26">
        <v>1.34</v>
      </c>
    </row>
    <row r="285" spans="1:12" ht="16" customHeight="1">
      <c r="A285" t="s">
        <v>262</v>
      </c>
      <c r="B285" t="s">
        <v>4</v>
      </c>
      <c r="C285" t="s">
        <v>20</v>
      </c>
      <c r="D285" s="24">
        <v>45962</v>
      </c>
      <c r="E285" t="s">
        <v>327</v>
      </c>
      <c r="F285" t="s">
        <v>6</v>
      </c>
      <c r="G285" t="s">
        <v>506</v>
      </c>
      <c r="H285" t="s">
        <v>506</v>
      </c>
      <c r="I285" t="s">
        <v>212</v>
      </c>
      <c r="J285" s="25">
        <v>21908</v>
      </c>
      <c r="K285" s="26">
        <v>3734.65</v>
      </c>
      <c r="L285" s="26">
        <v>29.2</v>
      </c>
    </row>
    <row r="286" spans="1:12" ht="16" customHeight="1">
      <c r="A286" t="s">
        <v>262</v>
      </c>
      <c r="B286" t="s">
        <v>4</v>
      </c>
      <c r="C286" t="s">
        <v>20</v>
      </c>
      <c r="D286" s="24">
        <v>45962</v>
      </c>
      <c r="E286" t="s">
        <v>340</v>
      </c>
      <c r="F286" t="s">
        <v>6</v>
      </c>
      <c r="G286" t="s">
        <v>505</v>
      </c>
      <c r="H286" t="s">
        <v>505</v>
      </c>
      <c r="I286" t="s">
        <v>219</v>
      </c>
      <c r="J286" s="25">
        <v>13</v>
      </c>
      <c r="K286" s="26">
        <v>2.25</v>
      </c>
      <c r="L286" s="26">
        <v>0.01</v>
      </c>
    </row>
    <row r="287" spans="1:12" ht="16" customHeight="1">
      <c r="A287" t="s">
        <v>262</v>
      </c>
      <c r="B287" t="s">
        <v>4</v>
      </c>
      <c r="C287" t="s">
        <v>20</v>
      </c>
      <c r="D287" s="24">
        <v>45962</v>
      </c>
      <c r="E287" t="s">
        <v>353</v>
      </c>
      <c r="F287" t="s">
        <v>5</v>
      </c>
      <c r="G287" t="s">
        <v>507</v>
      </c>
      <c r="H287" t="s">
        <v>507</v>
      </c>
      <c r="I287" t="s">
        <v>219</v>
      </c>
      <c r="J287" s="25">
        <v>10</v>
      </c>
      <c r="K287" s="26">
        <v>1.8</v>
      </c>
      <c r="L287" s="26">
        <v>0</v>
      </c>
    </row>
    <row r="288" spans="1:12" ht="16" customHeight="1">
      <c r="A288" t="s">
        <v>311</v>
      </c>
      <c r="B288" t="s">
        <v>6</v>
      </c>
      <c r="C288" t="s">
        <v>20</v>
      </c>
      <c r="D288" s="24">
        <v>45962</v>
      </c>
      <c r="E288" t="s">
        <v>311</v>
      </c>
      <c r="F288" t="s">
        <v>6</v>
      </c>
      <c r="G288" t="s">
        <v>505</v>
      </c>
      <c r="H288" t="s">
        <v>505</v>
      </c>
      <c r="I288" t="s">
        <v>212</v>
      </c>
      <c r="J288" s="25">
        <v>446444827</v>
      </c>
      <c r="K288" s="26">
        <v>74599013.879999995</v>
      </c>
      <c r="L288" s="26">
        <v>42026.69</v>
      </c>
    </row>
    <row r="289" spans="1:12" ht="16" customHeight="1">
      <c r="A289" t="s">
        <v>311</v>
      </c>
      <c r="B289" t="s">
        <v>6</v>
      </c>
      <c r="C289" t="s">
        <v>20</v>
      </c>
      <c r="D289" s="24">
        <v>45962</v>
      </c>
      <c r="E289" t="s">
        <v>317</v>
      </c>
      <c r="F289" t="s">
        <v>6</v>
      </c>
      <c r="G289" t="s">
        <v>505</v>
      </c>
      <c r="H289" t="s">
        <v>505</v>
      </c>
      <c r="I289" t="s">
        <v>212</v>
      </c>
      <c r="J289" s="25">
        <v>1949507</v>
      </c>
      <c r="K289" s="26">
        <v>327543.74</v>
      </c>
      <c r="L289" s="26">
        <v>1025.98</v>
      </c>
    </row>
    <row r="290" spans="1:12" ht="16" customHeight="1">
      <c r="A290" t="s">
        <v>311</v>
      </c>
      <c r="B290" t="s">
        <v>6</v>
      </c>
      <c r="C290" t="s">
        <v>20</v>
      </c>
      <c r="D290" s="24">
        <v>45962</v>
      </c>
      <c r="E290" t="s">
        <v>322</v>
      </c>
      <c r="F290" t="s">
        <v>6</v>
      </c>
      <c r="G290" t="s">
        <v>505</v>
      </c>
      <c r="H290" t="s">
        <v>505</v>
      </c>
      <c r="I290" t="s">
        <v>212</v>
      </c>
      <c r="J290" s="25">
        <v>7186</v>
      </c>
      <c r="K290" s="26">
        <v>1212.32</v>
      </c>
      <c r="L290" s="26">
        <v>6.75</v>
      </c>
    </row>
    <row r="291" spans="1:12" ht="16" customHeight="1">
      <c r="A291" t="s">
        <v>311</v>
      </c>
      <c r="B291" t="s">
        <v>6</v>
      </c>
      <c r="C291" t="s">
        <v>20</v>
      </c>
      <c r="D291" s="24">
        <v>45962</v>
      </c>
      <c r="E291" t="s">
        <v>327</v>
      </c>
      <c r="F291" t="s">
        <v>6</v>
      </c>
      <c r="G291" t="s">
        <v>506</v>
      </c>
      <c r="H291" t="s">
        <v>506</v>
      </c>
      <c r="I291" t="s">
        <v>212</v>
      </c>
      <c r="J291" s="25">
        <v>26690</v>
      </c>
      <c r="K291" s="26">
        <v>4520.3599999999997</v>
      </c>
      <c r="L291" s="26">
        <v>32.520000000000003</v>
      </c>
    </row>
    <row r="292" spans="1:12" ht="16" customHeight="1">
      <c r="A292" t="s">
        <v>311</v>
      </c>
      <c r="B292" t="s">
        <v>6</v>
      </c>
      <c r="C292" t="s">
        <v>20</v>
      </c>
      <c r="D292" s="24">
        <v>45962</v>
      </c>
      <c r="E292" t="s">
        <v>340</v>
      </c>
      <c r="F292" t="s">
        <v>6</v>
      </c>
      <c r="G292" t="s">
        <v>505</v>
      </c>
      <c r="H292" t="s">
        <v>505</v>
      </c>
      <c r="I292" t="s">
        <v>219</v>
      </c>
      <c r="J292" s="25">
        <v>1</v>
      </c>
      <c r="K292" s="26">
        <v>0.17</v>
      </c>
      <c r="L292" s="26">
        <v>0</v>
      </c>
    </row>
    <row r="293" spans="1:12" ht="16" customHeight="1">
      <c r="A293" t="s">
        <v>311</v>
      </c>
      <c r="B293" t="s">
        <v>6</v>
      </c>
      <c r="C293" t="s">
        <v>20</v>
      </c>
      <c r="D293" s="24">
        <v>45962</v>
      </c>
      <c r="E293" t="s">
        <v>345</v>
      </c>
      <c r="F293" t="s">
        <v>6</v>
      </c>
      <c r="G293" t="s">
        <v>505</v>
      </c>
      <c r="H293" t="s">
        <v>505</v>
      </c>
      <c r="I293" t="s">
        <v>219</v>
      </c>
      <c r="J293" s="25">
        <v>1</v>
      </c>
      <c r="K293" s="26">
        <v>0.17</v>
      </c>
      <c r="L293" s="26">
        <v>0</v>
      </c>
    </row>
    <row r="294" spans="1:12" ht="16" customHeight="1">
      <c r="A294" t="s">
        <v>311</v>
      </c>
      <c r="B294" t="s">
        <v>6</v>
      </c>
      <c r="C294" t="s">
        <v>20</v>
      </c>
      <c r="D294" s="24">
        <v>45962</v>
      </c>
      <c r="E294" t="s">
        <v>353</v>
      </c>
      <c r="F294" t="s">
        <v>5</v>
      </c>
      <c r="G294" t="s">
        <v>507</v>
      </c>
      <c r="H294" t="s">
        <v>507</v>
      </c>
      <c r="I294" t="s">
        <v>219</v>
      </c>
      <c r="J294" s="25">
        <v>379</v>
      </c>
      <c r="K294" s="26">
        <v>63.2</v>
      </c>
      <c r="L294" s="26">
        <v>0.56999999999999995</v>
      </c>
    </row>
    <row r="295" spans="1:12" ht="16" customHeight="1">
      <c r="A295" t="s">
        <v>313</v>
      </c>
      <c r="B295" t="s">
        <v>7</v>
      </c>
      <c r="C295" t="s">
        <v>20</v>
      </c>
      <c r="D295" s="24">
        <v>45962</v>
      </c>
      <c r="E295" t="s">
        <v>317</v>
      </c>
      <c r="F295" t="s">
        <v>6</v>
      </c>
      <c r="G295" t="s">
        <v>505</v>
      </c>
      <c r="H295" t="s">
        <v>505</v>
      </c>
      <c r="I295" t="s">
        <v>212</v>
      </c>
      <c r="J295" s="25">
        <v>22276917</v>
      </c>
      <c r="K295" s="26">
        <v>3715238.48</v>
      </c>
      <c r="L295" s="26">
        <v>10437.290000000001</v>
      </c>
    </row>
    <row r="296" spans="1:12" ht="16" customHeight="1">
      <c r="A296" t="s">
        <v>313</v>
      </c>
      <c r="B296" t="s">
        <v>7</v>
      </c>
      <c r="C296" t="s">
        <v>20</v>
      </c>
      <c r="D296" s="24">
        <v>45962</v>
      </c>
      <c r="E296" t="s">
        <v>322</v>
      </c>
      <c r="F296" t="s">
        <v>6</v>
      </c>
      <c r="G296" t="s">
        <v>505</v>
      </c>
      <c r="H296" t="s">
        <v>505</v>
      </c>
      <c r="I296" t="s">
        <v>212</v>
      </c>
      <c r="J296" s="25">
        <v>70870</v>
      </c>
      <c r="K296" s="26">
        <v>11896.72</v>
      </c>
      <c r="L296" s="26">
        <v>63.27</v>
      </c>
    </row>
    <row r="297" spans="1:12" ht="16" customHeight="1">
      <c r="A297" t="s">
        <v>313</v>
      </c>
      <c r="B297" t="s">
        <v>7</v>
      </c>
      <c r="C297" t="s">
        <v>20</v>
      </c>
      <c r="D297" s="24">
        <v>45962</v>
      </c>
      <c r="E297" t="s">
        <v>327</v>
      </c>
      <c r="F297" t="s">
        <v>6</v>
      </c>
      <c r="G297" t="s">
        <v>506</v>
      </c>
      <c r="H297" t="s">
        <v>506</v>
      </c>
      <c r="I297" t="s">
        <v>212</v>
      </c>
      <c r="J297" s="25">
        <v>31538</v>
      </c>
      <c r="K297" s="26">
        <v>5312.04</v>
      </c>
      <c r="L297" s="26">
        <v>35.75</v>
      </c>
    </row>
    <row r="298" spans="1:12" ht="16" customHeight="1">
      <c r="A298" t="s">
        <v>313</v>
      </c>
      <c r="B298" t="s">
        <v>7</v>
      </c>
      <c r="C298" t="s">
        <v>20</v>
      </c>
      <c r="D298" s="24">
        <v>45962</v>
      </c>
      <c r="E298" t="s">
        <v>340</v>
      </c>
      <c r="F298" t="s">
        <v>6</v>
      </c>
      <c r="G298" t="s">
        <v>505</v>
      </c>
      <c r="H298" t="s">
        <v>505</v>
      </c>
      <c r="I298" t="s">
        <v>219</v>
      </c>
      <c r="J298" s="25">
        <v>0</v>
      </c>
      <c r="K298" s="26">
        <v>0</v>
      </c>
      <c r="L298" s="26">
        <v>0</v>
      </c>
    </row>
    <row r="299" spans="1:12" ht="16" customHeight="1">
      <c r="A299" t="s">
        <v>313</v>
      </c>
      <c r="B299" t="s">
        <v>7</v>
      </c>
      <c r="C299" t="s">
        <v>20</v>
      </c>
      <c r="D299" s="24">
        <v>45962</v>
      </c>
      <c r="E299" t="s">
        <v>345</v>
      </c>
      <c r="F299" t="s">
        <v>6</v>
      </c>
      <c r="G299" t="s">
        <v>505</v>
      </c>
      <c r="H299" t="s">
        <v>505</v>
      </c>
      <c r="I299" t="s">
        <v>219</v>
      </c>
      <c r="J299" s="25">
        <v>1</v>
      </c>
      <c r="K299" s="26">
        <v>0.17</v>
      </c>
      <c r="L299" s="26">
        <v>0</v>
      </c>
    </row>
    <row r="300" spans="1:12" ht="16" customHeight="1">
      <c r="A300" t="s">
        <v>313</v>
      </c>
      <c r="B300" t="s">
        <v>7</v>
      </c>
      <c r="C300" t="s">
        <v>20</v>
      </c>
      <c r="D300" s="24">
        <v>45962</v>
      </c>
      <c r="E300" t="s">
        <v>353</v>
      </c>
      <c r="F300" t="s">
        <v>5</v>
      </c>
      <c r="G300" t="s">
        <v>507</v>
      </c>
      <c r="H300" t="s">
        <v>507</v>
      </c>
      <c r="I300" t="s">
        <v>219</v>
      </c>
      <c r="J300" s="25">
        <v>738</v>
      </c>
      <c r="K300" s="26">
        <v>123.76</v>
      </c>
      <c r="L300" s="26">
        <v>1.34</v>
      </c>
    </row>
    <row r="301" spans="1:12" ht="16" customHeight="1">
      <c r="A301" t="s">
        <v>314</v>
      </c>
      <c r="B301" t="s">
        <v>3</v>
      </c>
      <c r="C301" t="s">
        <v>21</v>
      </c>
      <c r="D301" s="24">
        <v>45962</v>
      </c>
      <c r="E301" t="s">
        <v>317</v>
      </c>
      <c r="F301" t="s">
        <v>6</v>
      </c>
      <c r="G301" t="s">
        <v>505</v>
      </c>
      <c r="H301" t="s">
        <v>505</v>
      </c>
      <c r="I301" t="s">
        <v>212</v>
      </c>
      <c r="J301" s="25">
        <v>20183765</v>
      </c>
      <c r="K301" s="26">
        <v>3379821.94</v>
      </c>
      <c r="L301" s="26">
        <v>8339.5400000000009</v>
      </c>
    </row>
    <row r="302" spans="1:12" ht="16" customHeight="1">
      <c r="A302" t="s">
        <v>314</v>
      </c>
      <c r="B302" t="s">
        <v>3</v>
      </c>
      <c r="C302" t="s">
        <v>21</v>
      </c>
      <c r="D302" s="24">
        <v>45962</v>
      </c>
      <c r="E302" t="s">
        <v>322</v>
      </c>
      <c r="F302" t="s">
        <v>6</v>
      </c>
      <c r="G302" t="s">
        <v>505</v>
      </c>
      <c r="H302" t="s">
        <v>505</v>
      </c>
      <c r="I302" t="s">
        <v>212</v>
      </c>
      <c r="J302" s="25">
        <v>79318</v>
      </c>
      <c r="K302" s="26">
        <v>13374.2</v>
      </c>
      <c r="L302" s="26">
        <v>58.56</v>
      </c>
    </row>
    <row r="303" spans="1:12" ht="16" customHeight="1">
      <c r="A303" t="s">
        <v>314</v>
      </c>
      <c r="B303" t="s">
        <v>3</v>
      </c>
      <c r="C303" t="s">
        <v>21</v>
      </c>
      <c r="D303" s="24">
        <v>45962</v>
      </c>
      <c r="E303" t="s">
        <v>327</v>
      </c>
      <c r="F303" t="s">
        <v>6</v>
      </c>
      <c r="G303" t="s">
        <v>506</v>
      </c>
      <c r="H303" t="s">
        <v>506</v>
      </c>
      <c r="I303" t="s">
        <v>212</v>
      </c>
      <c r="J303" s="25">
        <v>20314</v>
      </c>
      <c r="K303" s="26">
        <v>3426.92</v>
      </c>
      <c r="L303" s="26">
        <v>19.97</v>
      </c>
    </row>
    <row r="304" spans="1:12" ht="16" customHeight="1">
      <c r="A304" t="s">
        <v>314</v>
      </c>
      <c r="B304" t="s">
        <v>3</v>
      </c>
      <c r="C304" t="s">
        <v>21</v>
      </c>
      <c r="D304" s="24">
        <v>45962</v>
      </c>
      <c r="E304" t="s">
        <v>340</v>
      </c>
      <c r="F304" t="s">
        <v>6</v>
      </c>
      <c r="G304" t="s">
        <v>505</v>
      </c>
      <c r="H304" t="s">
        <v>505</v>
      </c>
      <c r="I304" t="s">
        <v>219</v>
      </c>
      <c r="J304" s="25">
        <v>1</v>
      </c>
      <c r="K304" s="26">
        <v>0.17</v>
      </c>
      <c r="L304" s="26">
        <v>0</v>
      </c>
    </row>
    <row r="305" spans="1:12" ht="16" customHeight="1">
      <c r="A305" t="s">
        <v>314</v>
      </c>
      <c r="B305" t="s">
        <v>3</v>
      </c>
      <c r="C305" t="s">
        <v>21</v>
      </c>
      <c r="D305" s="24">
        <v>45962</v>
      </c>
      <c r="E305" t="s">
        <v>353</v>
      </c>
      <c r="F305" t="s">
        <v>5</v>
      </c>
      <c r="G305" t="s">
        <v>507</v>
      </c>
      <c r="H305" t="s">
        <v>507</v>
      </c>
      <c r="I305" t="s">
        <v>219</v>
      </c>
      <c r="J305" s="25">
        <v>790</v>
      </c>
      <c r="K305" s="26">
        <v>132.78</v>
      </c>
      <c r="L305" s="26">
        <v>1.41</v>
      </c>
    </row>
    <row r="306" spans="1:12" ht="16" customHeight="1">
      <c r="A306" t="s">
        <v>282</v>
      </c>
      <c r="B306" t="s">
        <v>4</v>
      </c>
      <c r="C306" t="s">
        <v>21</v>
      </c>
      <c r="D306" s="24">
        <v>45962</v>
      </c>
      <c r="E306" t="s">
        <v>317</v>
      </c>
      <c r="F306" t="s">
        <v>6</v>
      </c>
      <c r="G306" t="s">
        <v>505</v>
      </c>
      <c r="H306" t="s">
        <v>505</v>
      </c>
      <c r="I306" t="s">
        <v>212</v>
      </c>
      <c r="J306" s="25">
        <v>29121568</v>
      </c>
      <c r="K306" s="26">
        <v>4873801.13</v>
      </c>
      <c r="L306" s="26">
        <v>10366.629999999999</v>
      </c>
    </row>
    <row r="307" spans="1:12" ht="16" customHeight="1">
      <c r="A307" t="s">
        <v>282</v>
      </c>
      <c r="B307" t="s">
        <v>4</v>
      </c>
      <c r="C307" t="s">
        <v>21</v>
      </c>
      <c r="D307" s="24">
        <v>45962</v>
      </c>
      <c r="E307" t="s">
        <v>322</v>
      </c>
      <c r="F307" t="s">
        <v>6</v>
      </c>
      <c r="G307" t="s">
        <v>505</v>
      </c>
      <c r="H307" t="s">
        <v>505</v>
      </c>
      <c r="I307" t="s">
        <v>212</v>
      </c>
      <c r="J307" s="25">
        <v>260324</v>
      </c>
      <c r="K307" s="26">
        <v>43905.599999999999</v>
      </c>
      <c r="L307" s="26">
        <v>178.92</v>
      </c>
    </row>
    <row r="308" spans="1:12" ht="16" customHeight="1">
      <c r="A308" t="s">
        <v>282</v>
      </c>
      <c r="B308" t="s">
        <v>4</v>
      </c>
      <c r="C308" t="s">
        <v>21</v>
      </c>
      <c r="D308" s="24">
        <v>45962</v>
      </c>
      <c r="E308" t="s">
        <v>327</v>
      </c>
      <c r="F308" t="s">
        <v>6</v>
      </c>
      <c r="G308" t="s">
        <v>506</v>
      </c>
      <c r="H308" t="s">
        <v>506</v>
      </c>
      <c r="I308" t="s">
        <v>212</v>
      </c>
      <c r="J308" s="25">
        <v>29904</v>
      </c>
      <c r="K308" s="26">
        <v>5050.51</v>
      </c>
      <c r="L308" s="26">
        <v>31.41</v>
      </c>
    </row>
    <row r="309" spans="1:12" ht="16" customHeight="1">
      <c r="A309" t="s">
        <v>282</v>
      </c>
      <c r="B309" t="s">
        <v>4</v>
      </c>
      <c r="C309" t="s">
        <v>21</v>
      </c>
      <c r="D309" s="24">
        <v>45962</v>
      </c>
      <c r="E309" t="s">
        <v>340</v>
      </c>
      <c r="F309" t="s">
        <v>6</v>
      </c>
      <c r="G309" t="s">
        <v>505</v>
      </c>
      <c r="H309" t="s">
        <v>505</v>
      </c>
      <c r="I309" t="s">
        <v>219</v>
      </c>
      <c r="J309" s="25">
        <v>5</v>
      </c>
      <c r="K309" s="26">
        <v>0.85</v>
      </c>
      <c r="L309" s="26">
        <v>0.01</v>
      </c>
    </row>
    <row r="310" spans="1:12" ht="16" customHeight="1">
      <c r="A310" t="s">
        <v>282</v>
      </c>
      <c r="B310" t="s">
        <v>4</v>
      </c>
      <c r="C310" t="s">
        <v>21</v>
      </c>
      <c r="D310" s="24">
        <v>45962</v>
      </c>
      <c r="E310" t="s">
        <v>353</v>
      </c>
      <c r="F310" t="s">
        <v>5</v>
      </c>
      <c r="G310" t="s">
        <v>507</v>
      </c>
      <c r="H310" t="s">
        <v>507</v>
      </c>
      <c r="I310" t="s">
        <v>219</v>
      </c>
      <c r="J310" s="25">
        <v>1629</v>
      </c>
      <c r="K310" s="26">
        <v>276.60000000000002</v>
      </c>
      <c r="L310" s="26">
        <v>2.54</v>
      </c>
    </row>
    <row r="311" spans="1:12" ht="16" customHeight="1">
      <c r="A311" t="s">
        <v>315</v>
      </c>
      <c r="B311" t="s">
        <v>5</v>
      </c>
      <c r="C311" t="s">
        <v>21</v>
      </c>
      <c r="D311" s="24">
        <v>45962</v>
      </c>
      <c r="E311" t="s">
        <v>317</v>
      </c>
      <c r="F311" t="s">
        <v>6</v>
      </c>
      <c r="G311" t="s">
        <v>505</v>
      </c>
      <c r="H311" t="s">
        <v>505</v>
      </c>
      <c r="I311" t="s">
        <v>212</v>
      </c>
      <c r="J311" s="25">
        <v>96162445</v>
      </c>
      <c r="K311" s="26">
        <v>16239994.82</v>
      </c>
      <c r="L311" s="26">
        <v>22347.32</v>
      </c>
    </row>
    <row r="312" spans="1:12" ht="16" customHeight="1">
      <c r="A312" t="s">
        <v>315</v>
      </c>
      <c r="B312" t="s">
        <v>5</v>
      </c>
      <c r="C312" t="s">
        <v>21</v>
      </c>
      <c r="D312" s="24">
        <v>45962</v>
      </c>
      <c r="E312" t="s">
        <v>322</v>
      </c>
      <c r="F312" t="s">
        <v>6</v>
      </c>
      <c r="G312" t="s">
        <v>505</v>
      </c>
      <c r="H312" t="s">
        <v>505</v>
      </c>
      <c r="I312" t="s">
        <v>212</v>
      </c>
      <c r="J312" s="25">
        <v>554526</v>
      </c>
      <c r="K312" s="26">
        <v>93692.36</v>
      </c>
      <c r="L312" s="26">
        <v>290.29000000000002</v>
      </c>
    </row>
    <row r="313" spans="1:12" ht="16" customHeight="1">
      <c r="A313" t="s">
        <v>315</v>
      </c>
      <c r="B313" t="s">
        <v>5</v>
      </c>
      <c r="C313" t="s">
        <v>21</v>
      </c>
      <c r="D313" s="24">
        <v>45962</v>
      </c>
      <c r="E313" t="s">
        <v>327</v>
      </c>
      <c r="F313" t="s">
        <v>6</v>
      </c>
      <c r="G313" t="s">
        <v>506</v>
      </c>
      <c r="H313" t="s">
        <v>506</v>
      </c>
      <c r="I313" t="s">
        <v>212</v>
      </c>
      <c r="J313" s="25">
        <v>47816</v>
      </c>
      <c r="K313" s="26">
        <v>8084.44</v>
      </c>
      <c r="L313" s="26">
        <v>43.66</v>
      </c>
    </row>
    <row r="314" spans="1:12" ht="16" customHeight="1">
      <c r="A314" t="s">
        <v>315</v>
      </c>
      <c r="B314" t="s">
        <v>5</v>
      </c>
      <c r="C314" t="s">
        <v>21</v>
      </c>
      <c r="D314" s="24">
        <v>45962</v>
      </c>
      <c r="E314" t="s">
        <v>340</v>
      </c>
      <c r="F314" t="s">
        <v>6</v>
      </c>
      <c r="G314" t="s">
        <v>505</v>
      </c>
      <c r="H314" t="s">
        <v>505</v>
      </c>
      <c r="I314" t="s">
        <v>219</v>
      </c>
      <c r="J314" s="25">
        <v>19</v>
      </c>
      <c r="K314" s="26">
        <v>3.34</v>
      </c>
      <c r="L314" s="26">
        <v>0.02</v>
      </c>
    </row>
    <row r="315" spans="1:12" ht="16" customHeight="1">
      <c r="A315" t="s">
        <v>315</v>
      </c>
      <c r="B315" t="s">
        <v>5</v>
      </c>
      <c r="C315" t="s">
        <v>21</v>
      </c>
      <c r="D315" s="24">
        <v>45962</v>
      </c>
      <c r="E315" t="s">
        <v>353</v>
      </c>
      <c r="F315" t="s">
        <v>5</v>
      </c>
      <c r="G315" t="s">
        <v>507</v>
      </c>
      <c r="H315" t="s">
        <v>507</v>
      </c>
      <c r="I315" t="s">
        <v>219</v>
      </c>
      <c r="J315" s="25">
        <v>2000</v>
      </c>
      <c r="K315" s="26">
        <v>342.92</v>
      </c>
      <c r="L315" s="26">
        <v>3.7</v>
      </c>
    </row>
    <row r="316" spans="1:12" ht="16" customHeight="1">
      <c r="A316" t="s">
        <v>317</v>
      </c>
      <c r="B316" t="s">
        <v>6</v>
      </c>
      <c r="C316" t="s">
        <v>21</v>
      </c>
      <c r="D316" s="24">
        <v>45962</v>
      </c>
      <c r="E316" t="s">
        <v>317</v>
      </c>
      <c r="F316" t="s">
        <v>6</v>
      </c>
      <c r="G316" t="s">
        <v>505</v>
      </c>
      <c r="H316" t="s">
        <v>505</v>
      </c>
      <c r="I316" t="s">
        <v>212</v>
      </c>
      <c r="J316" s="25">
        <v>483531057</v>
      </c>
      <c r="K316" s="26">
        <v>81817594.530000001</v>
      </c>
      <c r="L316" s="26">
        <v>47671.15</v>
      </c>
    </row>
    <row r="317" spans="1:12" ht="16" customHeight="1">
      <c r="A317" t="s">
        <v>317</v>
      </c>
      <c r="B317" t="s">
        <v>6</v>
      </c>
      <c r="C317" t="s">
        <v>21</v>
      </c>
      <c r="D317" s="24">
        <v>45962</v>
      </c>
      <c r="E317" t="s">
        <v>322</v>
      </c>
      <c r="F317" t="s">
        <v>6</v>
      </c>
      <c r="G317" t="s">
        <v>505</v>
      </c>
      <c r="H317" t="s">
        <v>505</v>
      </c>
      <c r="I317" t="s">
        <v>212</v>
      </c>
      <c r="J317" s="25">
        <v>1863500</v>
      </c>
      <c r="K317" s="26">
        <v>315932.56</v>
      </c>
      <c r="L317" s="26">
        <v>1069.9000000000001</v>
      </c>
    </row>
    <row r="318" spans="1:12" ht="16" customHeight="1">
      <c r="A318" t="s">
        <v>317</v>
      </c>
      <c r="B318" t="s">
        <v>6</v>
      </c>
      <c r="C318" t="s">
        <v>21</v>
      </c>
      <c r="D318" s="24">
        <v>45962</v>
      </c>
      <c r="E318" t="s">
        <v>327</v>
      </c>
      <c r="F318" t="s">
        <v>6</v>
      </c>
      <c r="G318" t="s">
        <v>506</v>
      </c>
      <c r="H318" t="s">
        <v>506</v>
      </c>
      <c r="I318" t="s">
        <v>212</v>
      </c>
      <c r="J318" s="25">
        <v>57755</v>
      </c>
      <c r="K318" s="26">
        <v>9837.51</v>
      </c>
      <c r="L318" s="26">
        <v>54.62</v>
      </c>
    </row>
    <row r="319" spans="1:12" ht="16" customHeight="1">
      <c r="A319" t="s">
        <v>317</v>
      </c>
      <c r="B319" t="s">
        <v>6</v>
      </c>
      <c r="C319" t="s">
        <v>21</v>
      </c>
      <c r="D319" s="24">
        <v>45962</v>
      </c>
      <c r="E319" t="s">
        <v>340</v>
      </c>
      <c r="F319" t="s">
        <v>6</v>
      </c>
      <c r="G319" t="s">
        <v>505</v>
      </c>
      <c r="H319" t="s">
        <v>505</v>
      </c>
      <c r="I319" t="s">
        <v>219</v>
      </c>
      <c r="J319" s="25">
        <v>44</v>
      </c>
      <c r="K319" s="26">
        <v>7.65</v>
      </c>
      <c r="L319" s="26">
        <v>0.08</v>
      </c>
    </row>
    <row r="320" spans="1:12" ht="16" customHeight="1">
      <c r="A320" t="s">
        <v>317</v>
      </c>
      <c r="B320" t="s">
        <v>6</v>
      </c>
      <c r="C320" t="s">
        <v>21</v>
      </c>
      <c r="D320" s="24">
        <v>45962</v>
      </c>
      <c r="E320" t="s">
        <v>353</v>
      </c>
      <c r="F320" t="s">
        <v>5</v>
      </c>
      <c r="G320" t="s">
        <v>507</v>
      </c>
      <c r="H320" t="s">
        <v>507</v>
      </c>
      <c r="I320" t="s">
        <v>219</v>
      </c>
      <c r="J320" s="25">
        <v>2011</v>
      </c>
      <c r="K320" s="26">
        <v>343.29</v>
      </c>
      <c r="L320" s="26">
        <v>2.99</v>
      </c>
    </row>
    <row r="321" spans="1:12" ht="16" customHeight="1">
      <c r="A321" t="s">
        <v>318</v>
      </c>
      <c r="B321" t="s">
        <v>7</v>
      </c>
      <c r="C321" t="s">
        <v>21</v>
      </c>
      <c r="D321" s="24">
        <v>45962</v>
      </c>
      <c r="E321" t="s">
        <v>322</v>
      </c>
      <c r="F321" t="s">
        <v>6</v>
      </c>
      <c r="G321" t="s">
        <v>505</v>
      </c>
      <c r="H321" t="s">
        <v>505</v>
      </c>
      <c r="I321" t="s">
        <v>212</v>
      </c>
      <c r="J321" s="25">
        <v>21939100</v>
      </c>
      <c r="K321" s="26">
        <v>3715344.71</v>
      </c>
      <c r="L321" s="26">
        <v>11152.46</v>
      </c>
    </row>
    <row r="322" spans="1:12" ht="16" customHeight="1">
      <c r="A322" t="s">
        <v>318</v>
      </c>
      <c r="B322" t="s">
        <v>7</v>
      </c>
      <c r="C322" t="s">
        <v>21</v>
      </c>
      <c r="D322" s="24">
        <v>45962</v>
      </c>
      <c r="E322" t="s">
        <v>327</v>
      </c>
      <c r="F322" t="s">
        <v>6</v>
      </c>
      <c r="G322" t="s">
        <v>506</v>
      </c>
      <c r="H322" t="s">
        <v>506</v>
      </c>
      <c r="I322" t="s">
        <v>212</v>
      </c>
      <c r="J322" s="25">
        <v>129814</v>
      </c>
      <c r="K322" s="26">
        <v>22046.97</v>
      </c>
      <c r="L322" s="26">
        <v>115.6</v>
      </c>
    </row>
    <row r="323" spans="1:12" ht="16" customHeight="1">
      <c r="A323" t="s">
        <v>318</v>
      </c>
      <c r="B323" t="s">
        <v>7</v>
      </c>
      <c r="C323" t="s">
        <v>21</v>
      </c>
      <c r="D323" s="24">
        <v>45962</v>
      </c>
      <c r="E323" t="s">
        <v>340</v>
      </c>
      <c r="F323" t="s">
        <v>6</v>
      </c>
      <c r="G323" t="s">
        <v>505</v>
      </c>
      <c r="H323" t="s">
        <v>505</v>
      </c>
      <c r="I323" t="s">
        <v>219</v>
      </c>
      <c r="J323" s="25">
        <v>1721</v>
      </c>
      <c r="K323" s="26">
        <v>292.79000000000002</v>
      </c>
      <c r="L323" s="26">
        <v>2.44</v>
      </c>
    </row>
    <row r="324" spans="1:12" ht="16" customHeight="1">
      <c r="A324" t="s">
        <v>318</v>
      </c>
      <c r="B324" t="s">
        <v>7</v>
      </c>
      <c r="C324" t="s">
        <v>21</v>
      </c>
      <c r="D324" s="24">
        <v>45962</v>
      </c>
      <c r="E324" t="s">
        <v>353</v>
      </c>
      <c r="F324" t="s">
        <v>5</v>
      </c>
      <c r="G324" t="s">
        <v>507</v>
      </c>
      <c r="H324" t="s">
        <v>507</v>
      </c>
      <c r="I324" t="s">
        <v>219</v>
      </c>
      <c r="J324" s="25">
        <v>2233</v>
      </c>
      <c r="K324" s="26">
        <v>379.94</v>
      </c>
      <c r="L324" s="26">
        <v>3.6</v>
      </c>
    </row>
    <row r="325" spans="1:12" ht="16" customHeight="1">
      <c r="A325" t="s">
        <v>319</v>
      </c>
      <c r="B325" t="s">
        <v>3</v>
      </c>
      <c r="C325" t="s">
        <v>22</v>
      </c>
      <c r="D325" s="24">
        <v>45962</v>
      </c>
      <c r="E325" t="s">
        <v>322</v>
      </c>
      <c r="F325" t="s">
        <v>6</v>
      </c>
      <c r="G325" t="s">
        <v>505</v>
      </c>
      <c r="H325" t="s">
        <v>505</v>
      </c>
      <c r="I325" t="s">
        <v>212</v>
      </c>
      <c r="J325" s="25">
        <v>18603629</v>
      </c>
      <c r="K325" s="26">
        <v>3162059.13</v>
      </c>
      <c r="L325" s="26">
        <v>7991.47</v>
      </c>
    </row>
    <row r="326" spans="1:12" ht="16" customHeight="1">
      <c r="A326" t="s">
        <v>319</v>
      </c>
      <c r="B326" t="s">
        <v>3</v>
      </c>
      <c r="C326" t="s">
        <v>22</v>
      </c>
      <c r="D326" s="24">
        <v>45962</v>
      </c>
      <c r="E326" t="s">
        <v>327</v>
      </c>
      <c r="F326" t="s">
        <v>6</v>
      </c>
      <c r="G326" t="s">
        <v>506</v>
      </c>
      <c r="H326" t="s">
        <v>506</v>
      </c>
      <c r="I326" t="s">
        <v>212</v>
      </c>
      <c r="J326" s="25">
        <v>107962</v>
      </c>
      <c r="K326" s="26">
        <v>18343.47</v>
      </c>
      <c r="L326" s="26">
        <v>81.69</v>
      </c>
    </row>
    <row r="327" spans="1:12" ht="16" customHeight="1">
      <c r="A327" t="s">
        <v>319</v>
      </c>
      <c r="B327" t="s">
        <v>3</v>
      </c>
      <c r="C327" t="s">
        <v>22</v>
      </c>
      <c r="D327" s="24">
        <v>45962</v>
      </c>
      <c r="E327" t="s">
        <v>340</v>
      </c>
      <c r="F327" t="s">
        <v>6</v>
      </c>
      <c r="G327" t="s">
        <v>505</v>
      </c>
      <c r="H327" t="s">
        <v>505</v>
      </c>
      <c r="I327" t="s">
        <v>219</v>
      </c>
      <c r="J327" s="25">
        <v>2611</v>
      </c>
      <c r="K327" s="26">
        <v>446.32</v>
      </c>
      <c r="L327" s="26">
        <v>3.46</v>
      </c>
    </row>
    <row r="328" spans="1:12" ht="16" customHeight="1">
      <c r="A328" t="s">
        <v>319</v>
      </c>
      <c r="B328" t="s">
        <v>3</v>
      </c>
      <c r="C328" t="s">
        <v>22</v>
      </c>
      <c r="D328" s="24">
        <v>45962</v>
      </c>
      <c r="E328" t="s">
        <v>345</v>
      </c>
      <c r="F328" t="s">
        <v>6</v>
      </c>
      <c r="G328" t="s">
        <v>505</v>
      </c>
      <c r="H328" t="s">
        <v>505</v>
      </c>
      <c r="I328" t="s">
        <v>219</v>
      </c>
      <c r="J328" s="25">
        <v>148</v>
      </c>
      <c r="K328" s="26">
        <v>25.55</v>
      </c>
      <c r="L328" s="26">
        <v>0.33</v>
      </c>
    </row>
    <row r="329" spans="1:12" ht="16" customHeight="1">
      <c r="A329" t="s">
        <v>319</v>
      </c>
      <c r="B329" t="s">
        <v>3</v>
      </c>
      <c r="C329" t="s">
        <v>22</v>
      </c>
      <c r="D329" s="24">
        <v>45962</v>
      </c>
      <c r="E329" t="s">
        <v>353</v>
      </c>
      <c r="F329" t="s">
        <v>5</v>
      </c>
      <c r="G329" t="s">
        <v>507</v>
      </c>
      <c r="H329" t="s">
        <v>507</v>
      </c>
      <c r="I329" t="s">
        <v>219</v>
      </c>
      <c r="J329" s="25">
        <v>1566</v>
      </c>
      <c r="K329" s="26">
        <v>268</v>
      </c>
      <c r="L329" s="26">
        <v>2.36</v>
      </c>
    </row>
    <row r="330" spans="1:12" ht="16" customHeight="1">
      <c r="A330" t="s">
        <v>287</v>
      </c>
      <c r="B330" t="s">
        <v>4</v>
      </c>
      <c r="C330" t="s">
        <v>22</v>
      </c>
      <c r="D330" s="24">
        <v>45962</v>
      </c>
      <c r="E330" t="s">
        <v>322</v>
      </c>
      <c r="F330" t="s">
        <v>6</v>
      </c>
      <c r="G330" t="s">
        <v>505</v>
      </c>
      <c r="H330" t="s">
        <v>505</v>
      </c>
      <c r="I330" t="s">
        <v>212</v>
      </c>
      <c r="J330" s="25">
        <v>24563259</v>
      </c>
      <c r="K330" s="26">
        <v>4171607.34</v>
      </c>
      <c r="L330" s="26">
        <v>8706.34</v>
      </c>
    </row>
    <row r="331" spans="1:12" ht="16" customHeight="1">
      <c r="A331" t="s">
        <v>287</v>
      </c>
      <c r="B331" t="s">
        <v>4</v>
      </c>
      <c r="C331" t="s">
        <v>22</v>
      </c>
      <c r="D331" s="24">
        <v>45962</v>
      </c>
      <c r="E331" t="s">
        <v>327</v>
      </c>
      <c r="F331" t="s">
        <v>6</v>
      </c>
      <c r="G331" t="s">
        <v>506</v>
      </c>
      <c r="H331" t="s">
        <v>506</v>
      </c>
      <c r="I331" t="s">
        <v>212</v>
      </c>
      <c r="J331" s="25">
        <v>240888</v>
      </c>
      <c r="K331" s="26">
        <v>40964.15</v>
      </c>
      <c r="L331" s="26">
        <v>169.49</v>
      </c>
    </row>
    <row r="332" spans="1:12" ht="16" customHeight="1">
      <c r="A332" t="s">
        <v>287</v>
      </c>
      <c r="B332" t="s">
        <v>4</v>
      </c>
      <c r="C332" t="s">
        <v>22</v>
      </c>
      <c r="D332" s="24">
        <v>45962</v>
      </c>
      <c r="E332" t="s">
        <v>340</v>
      </c>
      <c r="F332" t="s">
        <v>6</v>
      </c>
      <c r="G332" t="s">
        <v>505</v>
      </c>
      <c r="H332" t="s">
        <v>505</v>
      </c>
      <c r="I332" t="s">
        <v>219</v>
      </c>
      <c r="J332" s="25">
        <v>3573</v>
      </c>
      <c r="K332" s="26">
        <v>610.79999999999995</v>
      </c>
      <c r="L332" s="26">
        <v>4.72</v>
      </c>
    </row>
    <row r="333" spans="1:12" ht="16" customHeight="1">
      <c r="A333" t="s">
        <v>287</v>
      </c>
      <c r="B333" t="s">
        <v>4</v>
      </c>
      <c r="C333" t="s">
        <v>22</v>
      </c>
      <c r="D333" s="24">
        <v>45962</v>
      </c>
      <c r="E333" t="s">
        <v>345</v>
      </c>
      <c r="F333" t="s">
        <v>6</v>
      </c>
      <c r="G333" t="s">
        <v>505</v>
      </c>
      <c r="H333" t="s">
        <v>505</v>
      </c>
      <c r="I333" t="s">
        <v>219</v>
      </c>
      <c r="J333" s="25">
        <v>22</v>
      </c>
      <c r="K333" s="26">
        <v>3.75</v>
      </c>
      <c r="L333" s="26">
        <v>0.04</v>
      </c>
    </row>
    <row r="334" spans="1:12" ht="16" customHeight="1">
      <c r="A334" t="s">
        <v>287</v>
      </c>
      <c r="B334" t="s">
        <v>4</v>
      </c>
      <c r="C334" t="s">
        <v>22</v>
      </c>
      <c r="D334" s="24">
        <v>45962</v>
      </c>
      <c r="E334" t="s">
        <v>353</v>
      </c>
      <c r="F334" t="s">
        <v>5</v>
      </c>
      <c r="G334" t="s">
        <v>507</v>
      </c>
      <c r="H334" t="s">
        <v>507</v>
      </c>
      <c r="I334" t="s">
        <v>219</v>
      </c>
      <c r="J334" s="25">
        <v>2497</v>
      </c>
      <c r="K334" s="26">
        <v>416.15</v>
      </c>
      <c r="L334" s="26">
        <v>2.23</v>
      </c>
    </row>
    <row r="335" spans="1:12" ht="16" customHeight="1">
      <c r="A335" t="s">
        <v>320</v>
      </c>
      <c r="B335" t="s">
        <v>5</v>
      </c>
      <c r="C335" t="s">
        <v>22</v>
      </c>
      <c r="D335" s="24">
        <v>45962</v>
      </c>
      <c r="E335" t="s">
        <v>322</v>
      </c>
      <c r="F335" t="s">
        <v>6</v>
      </c>
      <c r="G335" t="s">
        <v>505</v>
      </c>
      <c r="H335" t="s">
        <v>505</v>
      </c>
      <c r="I335" t="s">
        <v>212</v>
      </c>
      <c r="J335" s="25">
        <v>92874552</v>
      </c>
      <c r="K335" s="26">
        <v>15780894.630000001</v>
      </c>
      <c r="L335" s="26">
        <v>22936.55</v>
      </c>
    </row>
    <row r="336" spans="1:12" ht="16" customHeight="1">
      <c r="A336" t="s">
        <v>320</v>
      </c>
      <c r="B336" t="s">
        <v>5</v>
      </c>
      <c r="C336" t="s">
        <v>22</v>
      </c>
      <c r="D336" s="24">
        <v>45962</v>
      </c>
      <c r="E336" t="s">
        <v>327</v>
      </c>
      <c r="F336" t="s">
        <v>6</v>
      </c>
      <c r="G336" t="s">
        <v>506</v>
      </c>
      <c r="H336" t="s">
        <v>506</v>
      </c>
      <c r="I336" t="s">
        <v>212</v>
      </c>
      <c r="J336" s="25">
        <v>658344</v>
      </c>
      <c r="K336" s="26">
        <v>112107.78</v>
      </c>
      <c r="L336" s="26">
        <v>396.93</v>
      </c>
    </row>
    <row r="337" spans="1:12" ht="16" customHeight="1">
      <c r="A337" t="s">
        <v>320</v>
      </c>
      <c r="B337" t="s">
        <v>5</v>
      </c>
      <c r="C337" t="s">
        <v>22</v>
      </c>
      <c r="D337" s="24">
        <v>45962</v>
      </c>
      <c r="E337" t="s">
        <v>340</v>
      </c>
      <c r="F337" t="s">
        <v>6</v>
      </c>
      <c r="G337" t="s">
        <v>505</v>
      </c>
      <c r="H337" t="s">
        <v>505</v>
      </c>
      <c r="I337" t="s">
        <v>219</v>
      </c>
      <c r="J337" s="25">
        <v>6213</v>
      </c>
      <c r="K337" s="26">
        <v>1064.79</v>
      </c>
      <c r="L337" s="26">
        <v>7.75</v>
      </c>
    </row>
    <row r="338" spans="1:12" ht="16" customHeight="1">
      <c r="A338" t="s">
        <v>320</v>
      </c>
      <c r="B338" t="s">
        <v>5</v>
      </c>
      <c r="C338" t="s">
        <v>22</v>
      </c>
      <c r="D338" s="24">
        <v>45962</v>
      </c>
      <c r="E338" t="s">
        <v>345</v>
      </c>
      <c r="F338" t="s">
        <v>6</v>
      </c>
      <c r="G338" t="s">
        <v>505</v>
      </c>
      <c r="H338" t="s">
        <v>505</v>
      </c>
      <c r="I338" t="s">
        <v>219</v>
      </c>
      <c r="J338" s="25">
        <v>62</v>
      </c>
      <c r="K338" s="26">
        <v>10.66</v>
      </c>
      <c r="L338" s="26">
        <v>0.12</v>
      </c>
    </row>
    <row r="339" spans="1:12" ht="16" customHeight="1">
      <c r="A339" t="s">
        <v>320</v>
      </c>
      <c r="B339" t="s">
        <v>5</v>
      </c>
      <c r="C339" t="s">
        <v>22</v>
      </c>
      <c r="D339" s="24">
        <v>45962</v>
      </c>
      <c r="E339" t="s">
        <v>353</v>
      </c>
      <c r="F339" t="s">
        <v>5</v>
      </c>
      <c r="G339" t="s">
        <v>507</v>
      </c>
      <c r="H339" t="s">
        <v>507</v>
      </c>
      <c r="I339" t="s">
        <v>219</v>
      </c>
      <c r="J339" s="25">
        <v>3116</v>
      </c>
      <c r="K339" s="26">
        <v>532.74</v>
      </c>
      <c r="L339" s="26">
        <v>3.81</v>
      </c>
    </row>
    <row r="340" spans="1:12" ht="16" customHeight="1">
      <c r="A340" t="s">
        <v>322</v>
      </c>
      <c r="B340" t="s">
        <v>6</v>
      </c>
      <c r="C340" t="s">
        <v>22</v>
      </c>
      <c r="D340" s="24">
        <v>45962</v>
      </c>
      <c r="E340" t="s">
        <v>322</v>
      </c>
      <c r="F340" t="s">
        <v>6</v>
      </c>
      <c r="G340" t="s">
        <v>505</v>
      </c>
      <c r="H340" t="s">
        <v>505</v>
      </c>
      <c r="I340" t="s">
        <v>212</v>
      </c>
      <c r="J340" s="25">
        <v>375685545</v>
      </c>
      <c r="K340" s="26">
        <v>64236448.380000003</v>
      </c>
      <c r="L340" s="26">
        <v>38671.410000000003</v>
      </c>
    </row>
    <row r="341" spans="1:12" ht="16" customHeight="1">
      <c r="A341" t="s">
        <v>322</v>
      </c>
      <c r="B341" t="s">
        <v>6</v>
      </c>
      <c r="C341" t="s">
        <v>22</v>
      </c>
      <c r="D341" s="24">
        <v>45962</v>
      </c>
      <c r="E341" t="s">
        <v>327</v>
      </c>
      <c r="F341" t="s">
        <v>6</v>
      </c>
      <c r="G341" t="s">
        <v>506</v>
      </c>
      <c r="H341" t="s">
        <v>506</v>
      </c>
      <c r="I341" t="s">
        <v>212</v>
      </c>
      <c r="J341" s="25">
        <v>1837946</v>
      </c>
      <c r="K341" s="26">
        <v>313976.01</v>
      </c>
      <c r="L341" s="26">
        <v>991.31</v>
      </c>
    </row>
    <row r="342" spans="1:12" ht="16" customHeight="1">
      <c r="A342" t="s">
        <v>322</v>
      </c>
      <c r="B342" t="s">
        <v>6</v>
      </c>
      <c r="C342" t="s">
        <v>22</v>
      </c>
      <c r="D342" s="24">
        <v>45962</v>
      </c>
      <c r="E342" t="s">
        <v>340</v>
      </c>
      <c r="F342" t="s">
        <v>6</v>
      </c>
      <c r="G342" t="s">
        <v>505</v>
      </c>
      <c r="H342" t="s">
        <v>505</v>
      </c>
      <c r="I342" t="s">
        <v>219</v>
      </c>
      <c r="J342" s="25">
        <v>16450</v>
      </c>
      <c r="K342" s="26">
        <v>2831.66</v>
      </c>
      <c r="L342" s="26">
        <v>18.43</v>
      </c>
    </row>
    <row r="343" spans="1:12" ht="16" customHeight="1">
      <c r="A343" t="s">
        <v>322</v>
      </c>
      <c r="B343" t="s">
        <v>6</v>
      </c>
      <c r="C343" t="s">
        <v>22</v>
      </c>
      <c r="D343" s="24">
        <v>45962</v>
      </c>
      <c r="E343" t="s">
        <v>345</v>
      </c>
      <c r="F343" t="s">
        <v>6</v>
      </c>
      <c r="G343" t="s">
        <v>505</v>
      </c>
      <c r="H343" t="s">
        <v>505</v>
      </c>
      <c r="I343" t="s">
        <v>219</v>
      </c>
      <c r="J343" s="25">
        <v>428</v>
      </c>
      <c r="K343" s="26">
        <v>74.41</v>
      </c>
      <c r="L343" s="26">
        <v>0.68</v>
      </c>
    </row>
    <row r="344" spans="1:12" ht="16" customHeight="1">
      <c r="A344" t="s">
        <v>322</v>
      </c>
      <c r="B344" t="s">
        <v>6</v>
      </c>
      <c r="C344" t="s">
        <v>22</v>
      </c>
      <c r="D344" s="24">
        <v>45962</v>
      </c>
      <c r="E344" t="s">
        <v>353</v>
      </c>
      <c r="F344" t="s">
        <v>5</v>
      </c>
      <c r="G344" t="s">
        <v>507</v>
      </c>
      <c r="H344" t="s">
        <v>507</v>
      </c>
      <c r="I344" t="s">
        <v>219</v>
      </c>
      <c r="J344" s="25">
        <v>4549</v>
      </c>
      <c r="K344" s="26">
        <v>787.48</v>
      </c>
      <c r="L344" s="26">
        <v>5.47</v>
      </c>
    </row>
    <row r="345" spans="1:12" ht="16" customHeight="1">
      <c r="A345" t="s">
        <v>323</v>
      </c>
      <c r="B345" t="s">
        <v>7</v>
      </c>
      <c r="C345" t="s">
        <v>22</v>
      </c>
      <c r="D345" s="24">
        <v>45962</v>
      </c>
      <c r="E345" t="s">
        <v>327</v>
      </c>
      <c r="F345" t="s">
        <v>6</v>
      </c>
      <c r="G345" t="s">
        <v>506</v>
      </c>
      <c r="H345" t="s">
        <v>508</v>
      </c>
      <c r="I345" t="s">
        <v>212</v>
      </c>
      <c r="J345" s="25">
        <v>16294373</v>
      </c>
      <c r="K345" s="26">
        <v>2793415.52</v>
      </c>
      <c r="L345" s="26">
        <v>8711.65</v>
      </c>
    </row>
    <row r="346" spans="1:12" ht="16" customHeight="1">
      <c r="A346" t="s">
        <v>323</v>
      </c>
      <c r="B346" t="s">
        <v>7</v>
      </c>
      <c r="C346" t="s">
        <v>22</v>
      </c>
      <c r="D346" s="24">
        <v>45962</v>
      </c>
      <c r="E346" t="s">
        <v>340</v>
      </c>
      <c r="F346" t="s">
        <v>6</v>
      </c>
      <c r="G346" t="s">
        <v>505</v>
      </c>
      <c r="H346" t="s">
        <v>505</v>
      </c>
      <c r="I346" t="s">
        <v>219</v>
      </c>
      <c r="J346" s="25">
        <v>61887</v>
      </c>
      <c r="K346" s="26">
        <v>10652.68</v>
      </c>
      <c r="L346" s="26">
        <v>71.739999999999995</v>
      </c>
    </row>
    <row r="347" spans="1:12" ht="16" customHeight="1">
      <c r="A347" t="s">
        <v>323</v>
      </c>
      <c r="B347" t="s">
        <v>7</v>
      </c>
      <c r="C347" t="s">
        <v>22</v>
      </c>
      <c r="D347" s="24">
        <v>45962</v>
      </c>
      <c r="E347" t="s">
        <v>345</v>
      </c>
      <c r="F347" t="s">
        <v>6</v>
      </c>
      <c r="G347" t="s">
        <v>505</v>
      </c>
      <c r="H347" t="s">
        <v>505</v>
      </c>
      <c r="I347" t="s">
        <v>219</v>
      </c>
      <c r="J347" s="25">
        <v>731</v>
      </c>
      <c r="K347" s="26">
        <v>126.05</v>
      </c>
      <c r="L347" s="26">
        <v>1.23</v>
      </c>
    </row>
    <row r="348" spans="1:12" ht="16" customHeight="1">
      <c r="A348" t="s">
        <v>323</v>
      </c>
      <c r="B348" t="s">
        <v>7</v>
      </c>
      <c r="C348" t="s">
        <v>22</v>
      </c>
      <c r="D348" s="24">
        <v>45962</v>
      </c>
      <c r="E348" t="s">
        <v>350</v>
      </c>
      <c r="F348" t="s">
        <v>6</v>
      </c>
      <c r="G348" t="s">
        <v>505</v>
      </c>
      <c r="H348" t="s">
        <v>505</v>
      </c>
      <c r="I348" t="s">
        <v>219</v>
      </c>
      <c r="J348" s="25">
        <v>96</v>
      </c>
      <c r="K348" s="26">
        <v>16.649999999999999</v>
      </c>
      <c r="L348" s="26">
        <v>0.23</v>
      </c>
    </row>
    <row r="349" spans="1:12" ht="16" customHeight="1">
      <c r="A349" t="s">
        <v>323</v>
      </c>
      <c r="B349" t="s">
        <v>7</v>
      </c>
      <c r="C349" t="s">
        <v>22</v>
      </c>
      <c r="D349" s="24">
        <v>45962</v>
      </c>
      <c r="E349" t="s">
        <v>353</v>
      </c>
      <c r="F349" t="s">
        <v>5</v>
      </c>
      <c r="G349" t="s">
        <v>507</v>
      </c>
      <c r="H349" t="s">
        <v>507</v>
      </c>
      <c r="I349" t="s">
        <v>219</v>
      </c>
      <c r="J349" s="25">
        <v>5119</v>
      </c>
      <c r="K349" s="26">
        <v>881.76</v>
      </c>
      <c r="L349" s="26">
        <v>7.79</v>
      </c>
    </row>
    <row r="350" spans="1:12" ht="16" customHeight="1">
      <c r="A350" t="s">
        <v>324</v>
      </c>
      <c r="B350" t="s">
        <v>3</v>
      </c>
      <c r="C350" t="s">
        <v>23</v>
      </c>
      <c r="D350" s="24">
        <v>45962</v>
      </c>
      <c r="E350" t="s">
        <v>327</v>
      </c>
      <c r="F350" t="s">
        <v>6</v>
      </c>
      <c r="G350" t="s">
        <v>506</v>
      </c>
      <c r="H350" t="s">
        <v>508</v>
      </c>
      <c r="I350" t="s">
        <v>212</v>
      </c>
      <c r="J350" s="25">
        <v>18547569</v>
      </c>
      <c r="K350" s="26">
        <v>3174189.88</v>
      </c>
      <c r="L350" s="26">
        <v>7940.28</v>
      </c>
    </row>
    <row r="351" spans="1:12" ht="16" customHeight="1">
      <c r="A351" t="s">
        <v>324</v>
      </c>
      <c r="B351" t="s">
        <v>3</v>
      </c>
      <c r="C351" t="s">
        <v>23</v>
      </c>
      <c r="D351" s="24">
        <v>45962</v>
      </c>
      <c r="E351" t="s">
        <v>340</v>
      </c>
      <c r="F351" t="s">
        <v>6</v>
      </c>
      <c r="G351" t="s">
        <v>505</v>
      </c>
      <c r="H351" t="s">
        <v>505</v>
      </c>
      <c r="I351" t="s">
        <v>219</v>
      </c>
      <c r="J351" s="25">
        <v>143459</v>
      </c>
      <c r="K351" s="26">
        <v>24670.33</v>
      </c>
      <c r="L351" s="26">
        <v>107.84</v>
      </c>
    </row>
    <row r="352" spans="1:12" ht="16" customHeight="1">
      <c r="A352" t="s">
        <v>324</v>
      </c>
      <c r="B352" t="s">
        <v>3</v>
      </c>
      <c r="C352" t="s">
        <v>23</v>
      </c>
      <c r="D352" s="24">
        <v>45962</v>
      </c>
      <c r="E352" t="s">
        <v>345</v>
      </c>
      <c r="F352" t="s">
        <v>6</v>
      </c>
      <c r="G352" t="s">
        <v>505</v>
      </c>
      <c r="H352" t="s">
        <v>505</v>
      </c>
      <c r="I352" t="s">
        <v>219</v>
      </c>
      <c r="J352" s="25">
        <v>962</v>
      </c>
      <c r="K352" s="26">
        <v>165.78</v>
      </c>
      <c r="L352" s="26">
        <v>1.46</v>
      </c>
    </row>
    <row r="353" spans="1:12" ht="16" customHeight="1">
      <c r="A353" t="s">
        <v>324</v>
      </c>
      <c r="B353" t="s">
        <v>3</v>
      </c>
      <c r="C353" t="s">
        <v>23</v>
      </c>
      <c r="D353" s="24">
        <v>45962</v>
      </c>
      <c r="E353" t="s">
        <v>350</v>
      </c>
      <c r="F353" t="s">
        <v>6</v>
      </c>
      <c r="G353" t="s">
        <v>505</v>
      </c>
      <c r="H353" t="s">
        <v>505</v>
      </c>
      <c r="I353" t="s">
        <v>219</v>
      </c>
      <c r="J353" s="25">
        <v>259</v>
      </c>
      <c r="K353" s="26">
        <v>44.87</v>
      </c>
      <c r="L353" s="26">
        <v>0.47</v>
      </c>
    </row>
    <row r="354" spans="1:12" ht="16" customHeight="1">
      <c r="A354" t="s">
        <v>324</v>
      </c>
      <c r="B354" t="s">
        <v>3</v>
      </c>
      <c r="C354" t="s">
        <v>23</v>
      </c>
      <c r="D354" s="24">
        <v>45962</v>
      </c>
      <c r="E354" t="s">
        <v>353</v>
      </c>
      <c r="F354" t="s">
        <v>5</v>
      </c>
      <c r="G354" t="s">
        <v>507</v>
      </c>
      <c r="H354" t="s">
        <v>507</v>
      </c>
      <c r="I354" t="s">
        <v>219</v>
      </c>
      <c r="J354" s="25">
        <v>4524</v>
      </c>
      <c r="K354" s="26">
        <v>778.15</v>
      </c>
      <c r="L354" s="26">
        <v>5.92</v>
      </c>
    </row>
    <row r="355" spans="1:12" ht="16" customHeight="1">
      <c r="A355" t="s">
        <v>324</v>
      </c>
      <c r="B355" t="s">
        <v>3</v>
      </c>
      <c r="C355" t="s">
        <v>23</v>
      </c>
      <c r="D355" s="24">
        <v>45962</v>
      </c>
      <c r="E355" t="s">
        <v>388</v>
      </c>
      <c r="F355" t="s">
        <v>6</v>
      </c>
      <c r="G355" t="s">
        <v>506</v>
      </c>
      <c r="H355" t="s">
        <v>506</v>
      </c>
      <c r="I355" t="s">
        <v>221</v>
      </c>
      <c r="J355" s="25">
        <v>1</v>
      </c>
      <c r="K355" s="26">
        <v>0.16</v>
      </c>
      <c r="L355" s="26">
        <v>0</v>
      </c>
    </row>
    <row r="356" spans="1:12" ht="16" customHeight="1">
      <c r="A356" t="s">
        <v>220</v>
      </c>
      <c r="B356" t="s">
        <v>4</v>
      </c>
      <c r="C356" t="s">
        <v>23</v>
      </c>
      <c r="D356" s="24">
        <v>45962</v>
      </c>
      <c r="E356" t="s">
        <v>327</v>
      </c>
      <c r="F356" t="s">
        <v>6</v>
      </c>
      <c r="G356" t="s">
        <v>506</v>
      </c>
      <c r="H356" t="s">
        <v>508</v>
      </c>
      <c r="I356" t="s">
        <v>212</v>
      </c>
      <c r="J356" s="25">
        <v>24613099</v>
      </c>
      <c r="K356" s="26">
        <v>4199516.6900000004</v>
      </c>
      <c r="L356" s="26">
        <v>8377.83</v>
      </c>
    </row>
    <row r="357" spans="1:12" ht="16" customHeight="1">
      <c r="A357" t="s">
        <v>220</v>
      </c>
      <c r="B357" t="s">
        <v>4</v>
      </c>
      <c r="C357" t="s">
        <v>23</v>
      </c>
      <c r="D357" s="24">
        <v>45962</v>
      </c>
      <c r="E357" t="s">
        <v>340</v>
      </c>
      <c r="F357" t="s">
        <v>6</v>
      </c>
      <c r="G357" t="s">
        <v>505</v>
      </c>
      <c r="H357" t="s">
        <v>505</v>
      </c>
      <c r="I357" t="s">
        <v>219</v>
      </c>
      <c r="J357" s="25">
        <v>329418</v>
      </c>
      <c r="K357" s="26">
        <v>56401.88</v>
      </c>
      <c r="L357" s="26">
        <v>240.04</v>
      </c>
    </row>
    <row r="358" spans="1:12" ht="16" customHeight="1">
      <c r="A358" t="s">
        <v>220</v>
      </c>
      <c r="B358" t="s">
        <v>4</v>
      </c>
      <c r="C358" t="s">
        <v>23</v>
      </c>
      <c r="D358" s="24">
        <v>45962</v>
      </c>
      <c r="E358" t="s">
        <v>345</v>
      </c>
      <c r="F358" t="s">
        <v>6</v>
      </c>
      <c r="G358" t="s">
        <v>505</v>
      </c>
      <c r="H358" t="s">
        <v>505</v>
      </c>
      <c r="I358" t="s">
        <v>219</v>
      </c>
      <c r="J358" s="25">
        <v>5564</v>
      </c>
      <c r="K358" s="26">
        <v>954.93</v>
      </c>
      <c r="L358" s="26">
        <v>8.89</v>
      </c>
    </row>
    <row r="359" spans="1:12" ht="16" customHeight="1">
      <c r="A359" t="s">
        <v>220</v>
      </c>
      <c r="B359" t="s">
        <v>4</v>
      </c>
      <c r="C359" t="s">
        <v>23</v>
      </c>
      <c r="D359" s="24">
        <v>45962</v>
      </c>
      <c r="E359" t="s">
        <v>350</v>
      </c>
      <c r="F359" t="s">
        <v>6</v>
      </c>
      <c r="G359" t="s">
        <v>505</v>
      </c>
      <c r="H359" t="s">
        <v>505</v>
      </c>
      <c r="I359" t="s">
        <v>219</v>
      </c>
      <c r="J359" s="25">
        <v>1277</v>
      </c>
      <c r="K359" s="26">
        <v>220.11</v>
      </c>
      <c r="L359" s="26">
        <v>2.74</v>
      </c>
    </row>
    <row r="360" spans="1:12" ht="16" customHeight="1">
      <c r="A360" t="s">
        <v>220</v>
      </c>
      <c r="B360" t="s">
        <v>4</v>
      </c>
      <c r="C360" t="s">
        <v>23</v>
      </c>
      <c r="D360" s="24">
        <v>45962</v>
      </c>
      <c r="E360" t="s">
        <v>353</v>
      </c>
      <c r="F360" t="s">
        <v>5</v>
      </c>
      <c r="G360" t="s">
        <v>507</v>
      </c>
      <c r="H360" t="s">
        <v>507</v>
      </c>
      <c r="I360" t="s">
        <v>219</v>
      </c>
      <c r="J360" s="25">
        <v>39236</v>
      </c>
      <c r="K360" s="26">
        <v>6774.66</v>
      </c>
      <c r="L360" s="26">
        <v>82.31</v>
      </c>
    </row>
    <row r="361" spans="1:12" ht="16" customHeight="1">
      <c r="A361" t="s">
        <v>220</v>
      </c>
      <c r="B361" t="s">
        <v>4</v>
      </c>
      <c r="C361" t="s">
        <v>23</v>
      </c>
      <c r="D361" s="24">
        <v>45962</v>
      </c>
      <c r="E361" t="s">
        <v>362</v>
      </c>
      <c r="F361" t="s">
        <v>6</v>
      </c>
      <c r="G361" t="s">
        <v>505</v>
      </c>
      <c r="H361" t="s">
        <v>505</v>
      </c>
      <c r="I361" t="s">
        <v>221</v>
      </c>
      <c r="J361" s="25">
        <v>1</v>
      </c>
      <c r="K361" s="26">
        <v>0.17</v>
      </c>
      <c r="L361" s="26">
        <v>0</v>
      </c>
    </row>
    <row r="362" spans="1:12" ht="16" customHeight="1">
      <c r="A362" t="s">
        <v>220</v>
      </c>
      <c r="B362" t="s">
        <v>4</v>
      </c>
      <c r="C362" t="s">
        <v>23</v>
      </c>
      <c r="D362" s="24">
        <v>45962</v>
      </c>
      <c r="E362" t="s">
        <v>388</v>
      </c>
      <c r="F362" t="s">
        <v>6</v>
      </c>
      <c r="G362" t="s">
        <v>506</v>
      </c>
      <c r="H362" t="s">
        <v>506</v>
      </c>
      <c r="I362" t="s">
        <v>221</v>
      </c>
      <c r="J362" s="25">
        <v>0</v>
      </c>
      <c r="K362" s="26">
        <v>0</v>
      </c>
      <c r="L362" s="26">
        <v>0</v>
      </c>
    </row>
    <row r="363" spans="1:12" ht="16" customHeight="1">
      <c r="A363" t="s">
        <v>325</v>
      </c>
      <c r="B363" t="s">
        <v>5</v>
      </c>
      <c r="C363" t="s">
        <v>23</v>
      </c>
      <c r="D363" s="24">
        <v>45962</v>
      </c>
      <c r="E363" t="s">
        <v>327</v>
      </c>
      <c r="F363" t="s">
        <v>6</v>
      </c>
      <c r="G363" t="s">
        <v>506</v>
      </c>
      <c r="H363" t="s">
        <v>508</v>
      </c>
      <c r="I363" t="s">
        <v>212</v>
      </c>
      <c r="J363" s="25">
        <v>100693756</v>
      </c>
      <c r="K363" s="26">
        <v>17193356.079999998</v>
      </c>
      <c r="L363" s="26">
        <v>23996.080000000002</v>
      </c>
    </row>
    <row r="364" spans="1:12" ht="16" customHeight="1">
      <c r="A364" t="s">
        <v>325</v>
      </c>
      <c r="B364" t="s">
        <v>5</v>
      </c>
      <c r="C364" t="s">
        <v>23</v>
      </c>
      <c r="D364" s="24">
        <v>45962</v>
      </c>
      <c r="E364" t="s">
        <v>340</v>
      </c>
      <c r="F364" t="s">
        <v>6</v>
      </c>
      <c r="G364" t="s">
        <v>505</v>
      </c>
      <c r="H364" t="s">
        <v>505</v>
      </c>
      <c r="I364" t="s">
        <v>219</v>
      </c>
      <c r="J364" s="25">
        <v>753744</v>
      </c>
      <c r="K364" s="26">
        <v>129169.29</v>
      </c>
      <c r="L364" s="26">
        <v>443.07</v>
      </c>
    </row>
    <row r="365" spans="1:12" ht="16" customHeight="1">
      <c r="A365" t="s">
        <v>325</v>
      </c>
      <c r="B365" t="s">
        <v>5</v>
      </c>
      <c r="C365" t="s">
        <v>23</v>
      </c>
      <c r="D365" s="24">
        <v>45962</v>
      </c>
      <c r="E365" t="s">
        <v>345</v>
      </c>
      <c r="F365" t="s">
        <v>6</v>
      </c>
      <c r="G365" t="s">
        <v>505</v>
      </c>
      <c r="H365" t="s">
        <v>505</v>
      </c>
      <c r="I365" t="s">
        <v>219</v>
      </c>
      <c r="J365" s="25">
        <v>6244</v>
      </c>
      <c r="K365" s="26">
        <v>1073.83</v>
      </c>
      <c r="L365" s="26">
        <v>7.69</v>
      </c>
    </row>
    <row r="366" spans="1:12" ht="16" customHeight="1">
      <c r="A366" t="s">
        <v>325</v>
      </c>
      <c r="B366" t="s">
        <v>5</v>
      </c>
      <c r="C366" t="s">
        <v>23</v>
      </c>
      <c r="D366" s="24">
        <v>45962</v>
      </c>
      <c r="E366" t="s">
        <v>350</v>
      </c>
      <c r="F366" t="s">
        <v>6</v>
      </c>
      <c r="G366" t="s">
        <v>505</v>
      </c>
      <c r="H366" t="s">
        <v>505</v>
      </c>
      <c r="I366" t="s">
        <v>219</v>
      </c>
      <c r="J366" s="25">
        <v>865</v>
      </c>
      <c r="K366" s="26">
        <v>149.29</v>
      </c>
      <c r="L366" s="26">
        <v>1.54</v>
      </c>
    </row>
    <row r="367" spans="1:12" ht="16" customHeight="1">
      <c r="A367" t="s">
        <v>325</v>
      </c>
      <c r="B367" t="s">
        <v>5</v>
      </c>
      <c r="C367" t="s">
        <v>23</v>
      </c>
      <c r="D367" s="24">
        <v>45962</v>
      </c>
      <c r="E367" t="s">
        <v>353</v>
      </c>
      <c r="F367" t="s">
        <v>5</v>
      </c>
      <c r="G367" t="s">
        <v>507</v>
      </c>
      <c r="H367" t="s">
        <v>507</v>
      </c>
      <c r="I367" t="s">
        <v>219</v>
      </c>
      <c r="J367" s="25">
        <v>11616</v>
      </c>
      <c r="K367" s="26">
        <v>2002.98</v>
      </c>
      <c r="L367" s="26">
        <v>16.16</v>
      </c>
    </row>
    <row r="368" spans="1:12" ht="16" customHeight="1">
      <c r="A368" t="s">
        <v>325</v>
      </c>
      <c r="B368" t="s">
        <v>5</v>
      </c>
      <c r="C368" t="s">
        <v>23</v>
      </c>
      <c r="D368" s="24">
        <v>45962</v>
      </c>
      <c r="E368" t="s">
        <v>362</v>
      </c>
      <c r="F368" t="s">
        <v>6</v>
      </c>
      <c r="G368" t="s">
        <v>505</v>
      </c>
      <c r="H368" t="s">
        <v>505</v>
      </c>
      <c r="I368" t="s">
        <v>221</v>
      </c>
      <c r="J368" s="25">
        <v>0</v>
      </c>
      <c r="K368" s="26">
        <v>0</v>
      </c>
      <c r="L368" s="26">
        <v>0</v>
      </c>
    </row>
    <row r="369" spans="1:12" ht="16" customHeight="1">
      <c r="A369" t="s">
        <v>325</v>
      </c>
      <c r="B369" t="s">
        <v>5</v>
      </c>
      <c r="C369" t="s">
        <v>23</v>
      </c>
      <c r="D369" s="24">
        <v>45962</v>
      </c>
      <c r="E369" t="s">
        <v>388</v>
      </c>
      <c r="F369" t="s">
        <v>6</v>
      </c>
      <c r="G369" t="s">
        <v>506</v>
      </c>
      <c r="H369" t="s">
        <v>506</v>
      </c>
      <c r="I369" t="s">
        <v>221</v>
      </c>
      <c r="J369" s="25">
        <v>0</v>
      </c>
      <c r="K369" s="26">
        <v>0</v>
      </c>
      <c r="L369" s="26">
        <v>0</v>
      </c>
    </row>
    <row r="370" spans="1:12" ht="16" customHeight="1">
      <c r="A370" t="s">
        <v>327</v>
      </c>
      <c r="B370" t="s">
        <v>6</v>
      </c>
      <c r="C370" t="s">
        <v>23</v>
      </c>
      <c r="D370" s="24">
        <v>45962</v>
      </c>
      <c r="E370" t="s">
        <v>327</v>
      </c>
      <c r="F370" t="s">
        <v>6</v>
      </c>
      <c r="G370" t="s">
        <v>506</v>
      </c>
      <c r="H370" t="s">
        <v>508</v>
      </c>
      <c r="I370" t="s">
        <v>212</v>
      </c>
      <c r="J370" s="25">
        <v>451877999</v>
      </c>
      <c r="K370" s="26">
        <v>77480546.769999996</v>
      </c>
      <c r="L370" s="26">
        <v>47600.78</v>
      </c>
    </row>
    <row r="371" spans="1:12" ht="16" customHeight="1">
      <c r="A371" t="s">
        <v>327</v>
      </c>
      <c r="B371" t="s">
        <v>6</v>
      </c>
      <c r="C371" t="s">
        <v>23</v>
      </c>
      <c r="D371" s="24">
        <v>45962</v>
      </c>
      <c r="E371" t="s">
        <v>340</v>
      </c>
      <c r="F371" t="s">
        <v>6</v>
      </c>
      <c r="G371" t="s">
        <v>505</v>
      </c>
      <c r="H371" t="s">
        <v>505</v>
      </c>
      <c r="I371" t="s">
        <v>219</v>
      </c>
      <c r="J371" s="25">
        <v>2126811</v>
      </c>
      <c r="K371" s="26">
        <v>365538.71</v>
      </c>
      <c r="L371" s="26">
        <v>1153.55</v>
      </c>
    </row>
    <row r="372" spans="1:12" ht="16" customHeight="1">
      <c r="A372" t="s">
        <v>327</v>
      </c>
      <c r="B372" t="s">
        <v>6</v>
      </c>
      <c r="C372" t="s">
        <v>23</v>
      </c>
      <c r="D372" s="24">
        <v>45962</v>
      </c>
      <c r="E372" t="s">
        <v>345</v>
      </c>
      <c r="F372" t="s">
        <v>6</v>
      </c>
      <c r="G372" t="s">
        <v>505</v>
      </c>
      <c r="H372" t="s">
        <v>505</v>
      </c>
      <c r="I372" t="s">
        <v>219</v>
      </c>
      <c r="J372" s="25">
        <v>14252</v>
      </c>
      <c r="K372" s="26">
        <v>2460.96</v>
      </c>
      <c r="L372" s="26">
        <v>14.96</v>
      </c>
    </row>
    <row r="373" spans="1:12" ht="16" customHeight="1">
      <c r="A373" t="s">
        <v>327</v>
      </c>
      <c r="B373" t="s">
        <v>6</v>
      </c>
      <c r="C373" t="s">
        <v>23</v>
      </c>
      <c r="D373" s="24">
        <v>45962</v>
      </c>
      <c r="E373" t="s">
        <v>350</v>
      </c>
      <c r="F373" t="s">
        <v>6</v>
      </c>
      <c r="G373" t="s">
        <v>505</v>
      </c>
      <c r="H373" t="s">
        <v>505</v>
      </c>
      <c r="I373" t="s">
        <v>219</v>
      </c>
      <c r="J373" s="25">
        <v>305</v>
      </c>
      <c r="K373" s="26">
        <v>52.85</v>
      </c>
      <c r="L373" s="26">
        <v>0.52</v>
      </c>
    </row>
    <row r="374" spans="1:12" ht="16" customHeight="1">
      <c r="A374" t="s">
        <v>327</v>
      </c>
      <c r="B374" t="s">
        <v>6</v>
      </c>
      <c r="C374" t="s">
        <v>23</v>
      </c>
      <c r="D374" s="24">
        <v>45962</v>
      </c>
      <c r="E374" t="s">
        <v>353</v>
      </c>
      <c r="F374" t="s">
        <v>5</v>
      </c>
      <c r="G374" t="s">
        <v>507</v>
      </c>
      <c r="H374" t="s">
        <v>507</v>
      </c>
      <c r="I374" t="s">
        <v>219</v>
      </c>
      <c r="J374" s="25">
        <v>14934</v>
      </c>
      <c r="K374" s="26">
        <v>2579.11</v>
      </c>
      <c r="L374" s="26">
        <v>18.54</v>
      </c>
    </row>
    <row r="375" spans="1:12" ht="16" customHeight="1">
      <c r="A375" t="s">
        <v>327</v>
      </c>
      <c r="B375" t="s">
        <v>6</v>
      </c>
      <c r="C375" t="s">
        <v>23</v>
      </c>
      <c r="D375" s="24">
        <v>45962</v>
      </c>
      <c r="E375" t="s">
        <v>362</v>
      </c>
      <c r="F375" t="s">
        <v>6</v>
      </c>
      <c r="G375" t="s">
        <v>505</v>
      </c>
      <c r="H375" t="s">
        <v>505</v>
      </c>
      <c r="I375" t="s">
        <v>221</v>
      </c>
      <c r="J375" s="25">
        <v>0</v>
      </c>
      <c r="K375" s="26">
        <v>0</v>
      </c>
      <c r="L375" s="26">
        <v>0</v>
      </c>
    </row>
    <row r="376" spans="1:12" ht="16" customHeight="1">
      <c r="A376" t="s">
        <v>327</v>
      </c>
      <c r="B376" t="s">
        <v>6</v>
      </c>
      <c r="C376" t="s">
        <v>23</v>
      </c>
      <c r="D376" s="24">
        <v>45962</v>
      </c>
      <c r="E376" t="s">
        <v>388</v>
      </c>
      <c r="F376" t="s">
        <v>6</v>
      </c>
      <c r="G376" t="s">
        <v>506</v>
      </c>
      <c r="H376" t="s">
        <v>506</v>
      </c>
      <c r="I376" t="s">
        <v>221</v>
      </c>
      <c r="J376" s="25">
        <v>0</v>
      </c>
      <c r="K376" s="26">
        <v>0</v>
      </c>
      <c r="L376" s="26">
        <v>0</v>
      </c>
    </row>
    <row r="377" spans="1:12" ht="16" customHeight="1">
      <c r="A377" t="s">
        <v>328</v>
      </c>
      <c r="B377" t="s">
        <v>7</v>
      </c>
      <c r="C377" t="s">
        <v>23</v>
      </c>
      <c r="D377" s="24">
        <v>45962</v>
      </c>
      <c r="E377" t="s">
        <v>340</v>
      </c>
      <c r="F377" t="s">
        <v>6</v>
      </c>
      <c r="G377" t="s">
        <v>505</v>
      </c>
      <c r="H377" t="s">
        <v>505</v>
      </c>
      <c r="I377" t="s">
        <v>219</v>
      </c>
      <c r="J377" s="25">
        <v>17270006</v>
      </c>
      <c r="K377" s="26">
        <v>2975135.2</v>
      </c>
      <c r="L377" s="26">
        <v>8183.09</v>
      </c>
    </row>
    <row r="378" spans="1:12" ht="16" customHeight="1">
      <c r="A378" t="s">
        <v>328</v>
      </c>
      <c r="B378" t="s">
        <v>7</v>
      </c>
      <c r="C378" t="s">
        <v>23</v>
      </c>
      <c r="D378" s="24">
        <v>45962</v>
      </c>
      <c r="E378" t="s">
        <v>345</v>
      </c>
      <c r="F378" t="s">
        <v>6</v>
      </c>
      <c r="G378" t="s">
        <v>505</v>
      </c>
      <c r="H378" t="s">
        <v>505</v>
      </c>
      <c r="I378" t="s">
        <v>219</v>
      </c>
      <c r="J378" s="25">
        <v>91618</v>
      </c>
      <c r="K378" s="26">
        <v>15950.47</v>
      </c>
      <c r="L378" s="26">
        <v>43.95</v>
      </c>
    </row>
    <row r="379" spans="1:12" ht="16" customHeight="1">
      <c r="A379" t="s">
        <v>328</v>
      </c>
      <c r="B379" t="s">
        <v>7</v>
      </c>
      <c r="C379" t="s">
        <v>23</v>
      </c>
      <c r="D379" s="24">
        <v>45962</v>
      </c>
      <c r="E379" t="s">
        <v>350</v>
      </c>
      <c r="F379" t="s">
        <v>6</v>
      </c>
      <c r="G379" t="s">
        <v>505</v>
      </c>
      <c r="H379" t="s">
        <v>505</v>
      </c>
      <c r="I379" t="s">
        <v>219</v>
      </c>
      <c r="J379" s="25">
        <v>866</v>
      </c>
      <c r="K379" s="26">
        <v>149.18</v>
      </c>
      <c r="L379" s="26">
        <v>1.18</v>
      </c>
    </row>
    <row r="380" spans="1:12" ht="16" customHeight="1">
      <c r="A380" t="s">
        <v>328</v>
      </c>
      <c r="B380" t="s">
        <v>7</v>
      </c>
      <c r="C380" t="s">
        <v>23</v>
      </c>
      <c r="D380" s="24">
        <v>45962</v>
      </c>
      <c r="E380" t="s">
        <v>353</v>
      </c>
      <c r="F380" t="s">
        <v>5</v>
      </c>
      <c r="G380" t="s">
        <v>507</v>
      </c>
      <c r="H380" t="s">
        <v>507</v>
      </c>
      <c r="I380" t="s">
        <v>219</v>
      </c>
      <c r="J380" s="25">
        <v>16031</v>
      </c>
      <c r="K380" s="26">
        <v>2783.73</v>
      </c>
      <c r="L380" s="26">
        <v>18.68</v>
      </c>
    </row>
    <row r="381" spans="1:12" ht="16" customHeight="1">
      <c r="A381" t="s">
        <v>328</v>
      </c>
      <c r="B381" t="s">
        <v>7</v>
      </c>
      <c r="C381" t="s">
        <v>23</v>
      </c>
      <c r="D381" s="24">
        <v>45962</v>
      </c>
      <c r="E381" t="s">
        <v>362</v>
      </c>
      <c r="F381" t="s">
        <v>6</v>
      </c>
      <c r="G381" t="s">
        <v>505</v>
      </c>
      <c r="H381" t="s">
        <v>505</v>
      </c>
      <c r="I381" t="s">
        <v>221</v>
      </c>
      <c r="J381" s="25">
        <v>1</v>
      </c>
      <c r="K381" s="26">
        <v>0.18</v>
      </c>
      <c r="L381" s="26">
        <v>0</v>
      </c>
    </row>
    <row r="382" spans="1:12" ht="16" customHeight="1">
      <c r="A382" t="s">
        <v>328</v>
      </c>
      <c r="B382" t="s">
        <v>7</v>
      </c>
      <c r="C382" t="s">
        <v>23</v>
      </c>
      <c r="D382" s="24">
        <v>45962</v>
      </c>
      <c r="E382" t="s">
        <v>388</v>
      </c>
      <c r="F382" t="s">
        <v>6</v>
      </c>
      <c r="G382" t="s">
        <v>506</v>
      </c>
      <c r="H382" t="s">
        <v>506</v>
      </c>
      <c r="I382" t="s">
        <v>221</v>
      </c>
      <c r="J382" s="25">
        <v>0</v>
      </c>
      <c r="K382" s="26">
        <v>0</v>
      </c>
      <c r="L382" s="26">
        <v>0</v>
      </c>
    </row>
    <row r="383" spans="1:12" ht="16" customHeight="1">
      <c r="A383" t="s">
        <v>329</v>
      </c>
      <c r="B383" t="s">
        <v>3</v>
      </c>
      <c r="C383" t="s">
        <v>25</v>
      </c>
      <c r="D383" s="24">
        <v>45992</v>
      </c>
      <c r="E383" t="s">
        <v>340</v>
      </c>
      <c r="F383" t="s">
        <v>6</v>
      </c>
      <c r="G383" t="s">
        <v>505</v>
      </c>
      <c r="H383" t="s">
        <v>505</v>
      </c>
      <c r="I383" t="s">
        <v>212</v>
      </c>
      <c r="J383" s="25">
        <v>25057343</v>
      </c>
      <c r="K383" s="26">
        <v>4311876.0199999996</v>
      </c>
      <c r="L383" s="26">
        <v>10109.030000000001</v>
      </c>
    </row>
    <row r="384" spans="1:12" ht="16" customHeight="1">
      <c r="A384" t="s">
        <v>329</v>
      </c>
      <c r="B384" t="s">
        <v>3</v>
      </c>
      <c r="C384" t="s">
        <v>25</v>
      </c>
      <c r="D384" s="24">
        <v>45992</v>
      </c>
      <c r="E384" t="s">
        <v>345</v>
      </c>
      <c r="F384" t="s">
        <v>6</v>
      </c>
      <c r="G384" t="s">
        <v>505</v>
      </c>
      <c r="H384" t="s">
        <v>505</v>
      </c>
      <c r="I384" t="s">
        <v>212</v>
      </c>
      <c r="J384" s="25">
        <v>152746</v>
      </c>
      <c r="K384" s="26">
        <v>26316.7</v>
      </c>
      <c r="L384" s="26">
        <v>86.09</v>
      </c>
    </row>
    <row r="385" spans="1:12" ht="16" customHeight="1">
      <c r="A385" t="s">
        <v>329</v>
      </c>
      <c r="B385" t="s">
        <v>3</v>
      </c>
      <c r="C385" t="s">
        <v>25</v>
      </c>
      <c r="D385" s="24">
        <v>45992</v>
      </c>
      <c r="E385" t="s">
        <v>350</v>
      </c>
      <c r="F385" t="s">
        <v>6</v>
      </c>
      <c r="G385" t="s">
        <v>505</v>
      </c>
      <c r="H385" t="s">
        <v>505</v>
      </c>
      <c r="I385" t="s">
        <v>212</v>
      </c>
      <c r="J385" s="25">
        <v>1894</v>
      </c>
      <c r="K385" s="26">
        <v>327.16000000000003</v>
      </c>
      <c r="L385" s="26">
        <v>2.63</v>
      </c>
    </row>
    <row r="386" spans="1:12" ht="16" customHeight="1">
      <c r="A386" t="s">
        <v>329</v>
      </c>
      <c r="B386" t="s">
        <v>3</v>
      </c>
      <c r="C386" t="s">
        <v>25</v>
      </c>
      <c r="D386" s="24">
        <v>45992</v>
      </c>
      <c r="E386" t="s">
        <v>353</v>
      </c>
      <c r="F386" t="s">
        <v>5</v>
      </c>
      <c r="G386" t="s">
        <v>507</v>
      </c>
      <c r="H386" t="s">
        <v>507</v>
      </c>
      <c r="I386" t="s">
        <v>212</v>
      </c>
      <c r="J386" s="25">
        <v>23544</v>
      </c>
      <c r="K386" s="26">
        <v>4095.22</v>
      </c>
      <c r="L386" s="26">
        <v>25.89</v>
      </c>
    </row>
    <row r="387" spans="1:12" ht="16" customHeight="1">
      <c r="A387" t="s">
        <v>329</v>
      </c>
      <c r="B387" t="s">
        <v>3</v>
      </c>
      <c r="C387" t="s">
        <v>25</v>
      </c>
      <c r="D387" s="24">
        <v>45992</v>
      </c>
      <c r="E387" t="s">
        <v>362</v>
      </c>
      <c r="F387" t="s">
        <v>6</v>
      </c>
      <c r="G387" t="s">
        <v>505</v>
      </c>
      <c r="H387" t="s">
        <v>505</v>
      </c>
      <c r="I387" t="s">
        <v>219</v>
      </c>
      <c r="J387" s="25">
        <v>2</v>
      </c>
      <c r="K387" s="26">
        <v>0.34</v>
      </c>
      <c r="L387" s="26">
        <v>0</v>
      </c>
    </row>
    <row r="388" spans="1:12" ht="16" customHeight="1">
      <c r="A388" t="s">
        <v>329</v>
      </c>
      <c r="B388" t="s">
        <v>3</v>
      </c>
      <c r="C388" t="s">
        <v>25</v>
      </c>
      <c r="D388" s="24">
        <v>45992</v>
      </c>
      <c r="E388" t="s">
        <v>388</v>
      </c>
      <c r="F388" t="s">
        <v>6</v>
      </c>
      <c r="G388" t="s">
        <v>506</v>
      </c>
      <c r="H388" t="s">
        <v>506</v>
      </c>
      <c r="I388" t="s">
        <v>219</v>
      </c>
      <c r="J388" s="25">
        <v>10</v>
      </c>
      <c r="K388" s="26">
        <v>1.76</v>
      </c>
      <c r="L388" s="26">
        <v>0.02</v>
      </c>
    </row>
    <row r="389" spans="1:12" ht="16" customHeight="1">
      <c r="A389" t="s">
        <v>291</v>
      </c>
      <c r="B389" t="s">
        <v>4</v>
      </c>
      <c r="C389" t="s">
        <v>25</v>
      </c>
      <c r="D389" s="24">
        <v>45992</v>
      </c>
      <c r="E389" t="s">
        <v>340</v>
      </c>
      <c r="F389" t="s">
        <v>6</v>
      </c>
      <c r="G389" t="s">
        <v>505</v>
      </c>
      <c r="H389" t="s">
        <v>505</v>
      </c>
      <c r="I389" t="s">
        <v>212</v>
      </c>
      <c r="J389" s="25">
        <v>25732723</v>
      </c>
      <c r="K389" s="26">
        <v>4410504.04</v>
      </c>
      <c r="L389" s="26">
        <v>8209.2800000000007</v>
      </c>
    </row>
    <row r="390" spans="1:12" ht="16" customHeight="1">
      <c r="A390" t="s">
        <v>291</v>
      </c>
      <c r="B390" t="s">
        <v>4</v>
      </c>
      <c r="C390" t="s">
        <v>25</v>
      </c>
      <c r="D390" s="24">
        <v>45992</v>
      </c>
      <c r="E390" t="s">
        <v>345</v>
      </c>
      <c r="F390" t="s">
        <v>6</v>
      </c>
      <c r="G390" t="s">
        <v>505</v>
      </c>
      <c r="H390" t="s">
        <v>505</v>
      </c>
      <c r="I390" t="s">
        <v>212</v>
      </c>
      <c r="J390" s="25">
        <v>275508</v>
      </c>
      <c r="K390" s="26">
        <v>47334.59</v>
      </c>
      <c r="L390" s="26">
        <v>144.49</v>
      </c>
    </row>
    <row r="391" spans="1:12" ht="16" customHeight="1">
      <c r="A391" t="s">
        <v>291</v>
      </c>
      <c r="B391" t="s">
        <v>4</v>
      </c>
      <c r="C391" t="s">
        <v>25</v>
      </c>
      <c r="D391" s="24">
        <v>45992</v>
      </c>
      <c r="E391" t="s">
        <v>350</v>
      </c>
      <c r="F391" t="s">
        <v>6</v>
      </c>
      <c r="G391" t="s">
        <v>505</v>
      </c>
      <c r="H391" t="s">
        <v>505</v>
      </c>
      <c r="I391" t="s">
        <v>212</v>
      </c>
      <c r="J391" s="25">
        <v>1591</v>
      </c>
      <c r="K391" s="26">
        <v>274.18</v>
      </c>
      <c r="L391" s="26">
        <v>1.81</v>
      </c>
    </row>
    <row r="392" spans="1:12" ht="16" customHeight="1">
      <c r="A392" t="s">
        <v>291</v>
      </c>
      <c r="B392" t="s">
        <v>4</v>
      </c>
      <c r="C392" t="s">
        <v>25</v>
      </c>
      <c r="D392" s="24">
        <v>45992</v>
      </c>
      <c r="E392" t="s">
        <v>353</v>
      </c>
      <c r="F392" t="s">
        <v>5</v>
      </c>
      <c r="G392" t="s">
        <v>507</v>
      </c>
      <c r="H392" t="s">
        <v>507</v>
      </c>
      <c r="I392" t="s">
        <v>212</v>
      </c>
      <c r="J392" s="25">
        <v>21321</v>
      </c>
      <c r="K392" s="26">
        <v>3676.96</v>
      </c>
      <c r="L392" s="26">
        <v>24.7</v>
      </c>
    </row>
    <row r="393" spans="1:12" ht="16" customHeight="1">
      <c r="A393" t="s">
        <v>291</v>
      </c>
      <c r="B393" t="s">
        <v>4</v>
      </c>
      <c r="C393" t="s">
        <v>25</v>
      </c>
      <c r="D393" s="24">
        <v>45992</v>
      </c>
      <c r="E393" t="s">
        <v>362</v>
      </c>
      <c r="F393" t="s">
        <v>6</v>
      </c>
      <c r="G393" t="s">
        <v>505</v>
      </c>
      <c r="H393" t="s">
        <v>505</v>
      </c>
      <c r="I393" t="s">
        <v>219</v>
      </c>
      <c r="J393" s="25">
        <v>2</v>
      </c>
      <c r="K393" s="26">
        <v>0.34</v>
      </c>
      <c r="L393" s="26">
        <v>0</v>
      </c>
    </row>
    <row r="394" spans="1:12" ht="16" customHeight="1">
      <c r="A394" t="s">
        <v>291</v>
      </c>
      <c r="B394" t="s">
        <v>4</v>
      </c>
      <c r="C394" t="s">
        <v>25</v>
      </c>
      <c r="D394" s="24">
        <v>45992</v>
      </c>
      <c r="E394" t="s">
        <v>388</v>
      </c>
      <c r="F394" t="s">
        <v>6</v>
      </c>
      <c r="G394" t="s">
        <v>506</v>
      </c>
      <c r="H394" t="s">
        <v>506</v>
      </c>
      <c r="I394" t="s">
        <v>219</v>
      </c>
      <c r="J394" s="25">
        <v>32</v>
      </c>
      <c r="K394" s="26">
        <v>5.6</v>
      </c>
      <c r="L394" s="26">
        <v>0.13</v>
      </c>
    </row>
    <row r="395" spans="1:12" ht="16" customHeight="1">
      <c r="A395" t="s">
        <v>338</v>
      </c>
      <c r="B395" t="s">
        <v>5</v>
      </c>
      <c r="C395" t="s">
        <v>25</v>
      </c>
      <c r="D395" s="24">
        <v>45992</v>
      </c>
      <c r="E395" t="s">
        <v>340</v>
      </c>
      <c r="F395" t="s">
        <v>6</v>
      </c>
      <c r="G395" t="s">
        <v>505</v>
      </c>
      <c r="H395" t="s">
        <v>505</v>
      </c>
      <c r="I395" t="s">
        <v>212</v>
      </c>
      <c r="J395" s="25">
        <v>116392409</v>
      </c>
      <c r="K395" s="26">
        <v>19827658.25</v>
      </c>
      <c r="L395" s="26">
        <v>25846.25</v>
      </c>
    </row>
    <row r="396" spans="1:12" ht="16" customHeight="1">
      <c r="A396" t="s">
        <v>338</v>
      </c>
      <c r="B396" t="s">
        <v>5</v>
      </c>
      <c r="C396" t="s">
        <v>25</v>
      </c>
      <c r="D396" s="24">
        <v>45992</v>
      </c>
      <c r="E396" t="s">
        <v>345</v>
      </c>
      <c r="F396" t="s">
        <v>6</v>
      </c>
      <c r="G396" t="s">
        <v>505</v>
      </c>
      <c r="H396" t="s">
        <v>505</v>
      </c>
      <c r="I396" t="s">
        <v>212</v>
      </c>
      <c r="J396" s="25">
        <v>726279</v>
      </c>
      <c r="K396" s="26">
        <v>123969.45</v>
      </c>
      <c r="L396" s="26">
        <v>352.93</v>
      </c>
    </row>
    <row r="397" spans="1:12" ht="16" customHeight="1">
      <c r="A397" t="s">
        <v>338</v>
      </c>
      <c r="B397" t="s">
        <v>5</v>
      </c>
      <c r="C397" t="s">
        <v>25</v>
      </c>
      <c r="D397" s="24">
        <v>45992</v>
      </c>
      <c r="E397" t="s">
        <v>350</v>
      </c>
      <c r="F397" t="s">
        <v>6</v>
      </c>
      <c r="G397" t="s">
        <v>505</v>
      </c>
      <c r="H397" t="s">
        <v>505</v>
      </c>
      <c r="I397" t="s">
        <v>212</v>
      </c>
      <c r="J397" s="25">
        <v>2515</v>
      </c>
      <c r="K397" s="26">
        <v>432.17</v>
      </c>
      <c r="L397" s="26">
        <v>3.17</v>
      </c>
    </row>
    <row r="398" spans="1:12" ht="16" customHeight="1">
      <c r="A398" t="s">
        <v>338</v>
      </c>
      <c r="B398" t="s">
        <v>5</v>
      </c>
      <c r="C398" t="s">
        <v>25</v>
      </c>
      <c r="D398" s="24">
        <v>45992</v>
      </c>
      <c r="E398" t="s">
        <v>353</v>
      </c>
      <c r="F398" t="s">
        <v>5</v>
      </c>
      <c r="G398" t="s">
        <v>507</v>
      </c>
      <c r="H398" t="s">
        <v>507</v>
      </c>
      <c r="I398" t="s">
        <v>212</v>
      </c>
      <c r="J398" s="25">
        <v>26067</v>
      </c>
      <c r="K398" s="26">
        <v>4365.1400000000003</v>
      </c>
      <c r="L398" s="26">
        <v>21.41</v>
      </c>
    </row>
    <row r="399" spans="1:12" ht="16" customHeight="1">
      <c r="A399" t="s">
        <v>338</v>
      </c>
      <c r="B399" t="s">
        <v>5</v>
      </c>
      <c r="C399" t="s">
        <v>25</v>
      </c>
      <c r="D399" s="24">
        <v>45992</v>
      </c>
      <c r="E399" t="s">
        <v>362</v>
      </c>
      <c r="F399" t="s">
        <v>6</v>
      </c>
      <c r="G399" t="s">
        <v>505</v>
      </c>
      <c r="H399" t="s">
        <v>505</v>
      </c>
      <c r="I399" t="s">
        <v>219</v>
      </c>
      <c r="J399" s="25">
        <v>0</v>
      </c>
      <c r="K399" s="26">
        <v>0</v>
      </c>
      <c r="L399" s="26">
        <v>0</v>
      </c>
    </row>
    <row r="400" spans="1:12" ht="16" customHeight="1">
      <c r="A400" t="s">
        <v>338</v>
      </c>
      <c r="B400" t="s">
        <v>5</v>
      </c>
      <c r="C400" t="s">
        <v>25</v>
      </c>
      <c r="D400" s="24">
        <v>45992</v>
      </c>
      <c r="E400" t="s">
        <v>388</v>
      </c>
      <c r="F400" t="s">
        <v>6</v>
      </c>
      <c r="G400" t="s">
        <v>506</v>
      </c>
      <c r="H400" t="s">
        <v>506</v>
      </c>
      <c r="I400" t="s">
        <v>219</v>
      </c>
      <c r="J400" s="25">
        <v>39</v>
      </c>
      <c r="K400" s="26">
        <v>6.8</v>
      </c>
      <c r="L400" s="26">
        <v>7.0000000000000007E-2</v>
      </c>
    </row>
    <row r="401" spans="1:12" ht="16" customHeight="1">
      <c r="A401" t="s">
        <v>340</v>
      </c>
      <c r="B401" t="s">
        <v>6</v>
      </c>
      <c r="C401" t="s">
        <v>25</v>
      </c>
      <c r="D401" s="24">
        <v>45992</v>
      </c>
      <c r="E401" t="s">
        <v>340</v>
      </c>
      <c r="F401" t="s">
        <v>6</v>
      </c>
      <c r="G401" t="s">
        <v>505</v>
      </c>
      <c r="H401" t="s">
        <v>505</v>
      </c>
      <c r="I401" t="s">
        <v>212</v>
      </c>
      <c r="J401" s="25">
        <v>470486788</v>
      </c>
      <c r="K401" s="26">
        <v>80209902.659999996</v>
      </c>
      <c r="L401" s="26">
        <v>46509.67</v>
      </c>
    </row>
    <row r="402" spans="1:12" ht="16" customHeight="1">
      <c r="A402" t="s">
        <v>340</v>
      </c>
      <c r="B402" t="s">
        <v>6</v>
      </c>
      <c r="C402" t="s">
        <v>25</v>
      </c>
      <c r="D402" s="24">
        <v>45992</v>
      </c>
      <c r="E402" t="s">
        <v>345</v>
      </c>
      <c r="F402" t="s">
        <v>6</v>
      </c>
      <c r="G402" t="s">
        <v>505</v>
      </c>
      <c r="H402" t="s">
        <v>505</v>
      </c>
      <c r="I402" t="s">
        <v>212</v>
      </c>
      <c r="J402" s="25">
        <v>1990623</v>
      </c>
      <c r="K402" s="26">
        <v>340406.1</v>
      </c>
      <c r="L402" s="26">
        <v>950.36</v>
      </c>
    </row>
    <row r="403" spans="1:12" ht="16" customHeight="1">
      <c r="A403" t="s">
        <v>340</v>
      </c>
      <c r="B403" t="s">
        <v>6</v>
      </c>
      <c r="C403" t="s">
        <v>25</v>
      </c>
      <c r="D403" s="24">
        <v>45992</v>
      </c>
      <c r="E403" t="s">
        <v>350</v>
      </c>
      <c r="F403" t="s">
        <v>6</v>
      </c>
      <c r="G403" t="s">
        <v>505</v>
      </c>
      <c r="H403" t="s">
        <v>505</v>
      </c>
      <c r="I403" t="s">
        <v>212</v>
      </c>
      <c r="J403" s="25">
        <v>5779</v>
      </c>
      <c r="K403" s="26">
        <v>993.24</v>
      </c>
      <c r="L403" s="26">
        <v>5.94</v>
      </c>
    </row>
    <row r="404" spans="1:12" ht="16" customHeight="1">
      <c r="A404" t="s">
        <v>340</v>
      </c>
      <c r="B404" t="s">
        <v>6</v>
      </c>
      <c r="C404" t="s">
        <v>25</v>
      </c>
      <c r="D404" s="24">
        <v>45992</v>
      </c>
      <c r="E404" t="s">
        <v>353</v>
      </c>
      <c r="F404" t="s">
        <v>5</v>
      </c>
      <c r="G404" t="s">
        <v>507</v>
      </c>
      <c r="H404" t="s">
        <v>507</v>
      </c>
      <c r="I404" t="s">
        <v>212</v>
      </c>
      <c r="J404" s="25">
        <v>29570</v>
      </c>
      <c r="K404" s="26">
        <v>5105.99</v>
      </c>
      <c r="L404" s="26">
        <v>37.08</v>
      </c>
    </row>
    <row r="405" spans="1:12" ht="16" customHeight="1">
      <c r="A405" t="s">
        <v>340</v>
      </c>
      <c r="B405" t="s">
        <v>6</v>
      </c>
      <c r="C405" t="s">
        <v>25</v>
      </c>
      <c r="D405" s="24">
        <v>45992</v>
      </c>
      <c r="E405" t="s">
        <v>362</v>
      </c>
      <c r="F405" t="s">
        <v>6</v>
      </c>
      <c r="G405" t="s">
        <v>505</v>
      </c>
      <c r="H405" t="s">
        <v>505</v>
      </c>
      <c r="I405" t="s">
        <v>219</v>
      </c>
      <c r="J405" s="25">
        <v>2</v>
      </c>
      <c r="K405" s="26">
        <v>0.36</v>
      </c>
      <c r="L405" s="26">
        <v>0</v>
      </c>
    </row>
    <row r="406" spans="1:12" ht="16" customHeight="1">
      <c r="A406" t="s">
        <v>340</v>
      </c>
      <c r="B406" t="s">
        <v>6</v>
      </c>
      <c r="C406" t="s">
        <v>25</v>
      </c>
      <c r="D406" s="24">
        <v>45992</v>
      </c>
      <c r="E406" t="s">
        <v>388</v>
      </c>
      <c r="F406" t="s">
        <v>6</v>
      </c>
      <c r="G406" t="s">
        <v>506</v>
      </c>
      <c r="H406" t="s">
        <v>506</v>
      </c>
      <c r="I406" t="s">
        <v>219</v>
      </c>
      <c r="J406" s="25">
        <v>57</v>
      </c>
      <c r="K406" s="26">
        <v>9.99</v>
      </c>
      <c r="L406" s="26">
        <v>0.14000000000000001</v>
      </c>
    </row>
    <row r="407" spans="1:12" ht="16" customHeight="1">
      <c r="A407" t="s">
        <v>341</v>
      </c>
      <c r="B407" t="s">
        <v>7</v>
      </c>
      <c r="C407" t="s">
        <v>25</v>
      </c>
      <c r="D407" s="24">
        <v>45992</v>
      </c>
      <c r="E407" t="s">
        <v>345</v>
      </c>
      <c r="F407" t="s">
        <v>6</v>
      </c>
      <c r="G407" t="s">
        <v>505</v>
      </c>
      <c r="H407" t="s">
        <v>505</v>
      </c>
      <c r="I407" t="s">
        <v>212</v>
      </c>
      <c r="J407" s="25">
        <v>24250095</v>
      </c>
      <c r="K407" s="26">
        <v>4163225.7</v>
      </c>
      <c r="L407" s="26">
        <v>10250.67</v>
      </c>
    </row>
    <row r="408" spans="1:12" ht="16" customHeight="1">
      <c r="A408" t="s">
        <v>341</v>
      </c>
      <c r="B408" t="s">
        <v>7</v>
      </c>
      <c r="C408" t="s">
        <v>25</v>
      </c>
      <c r="D408" s="24">
        <v>45992</v>
      </c>
      <c r="E408" t="s">
        <v>350</v>
      </c>
      <c r="F408" t="s">
        <v>6</v>
      </c>
      <c r="G408" t="s">
        <v>505</v>
      </c>
      <c r="H408" t="s">
        <v>505</v>
      </c>
      <c r="I408" t="s">
        <v>212</v>
      </c>
      <c r="J408" s="25">
        <v>133736</v>
      </c>
      <c r="K408" s="26">
        <v>23151.94</v>
      </c>
      <c r="L408" s="26">
        <v>79.28</v>
      </c>
    </row>
    <row r="409" spans="1:12" ht="16" customHeight="1">
      <c r="A409" t="s">
        <v>341</v>
      </c>
      <c r="B409" t="s">
        <v>7</v>
      </c>
      <c r="C409" t="s">
        <v>25</v>
      </c>
      <c r="D409" s="24">
        <v>45992</v>
      </c>
      <c r="E409" t="s">
        <v>353</v>
      </c>
      <c r="F409" t="s">
        <v>5</v>
      </c>
      <c r="G409" t="s">
        <v>507</v>
      </c>
      <c r="H409" t="s">
        <v>507</v>
      </c>
      <c r="I409" t="s">
        <v>212</v>
      </c>
      <c r="J409" s="25">
        <v>41794</v>
      </c>
      <c r="K409" s="26">
        <v>7221.13</v>
      </c>
      <c r="L409" s="26">
        <v>47.05</v>
      </c>
    </row>
    <row r="410" spans="1:12" ht="16" customHeight="1">
      <c r="A410" t="s">
        <v>341</v>
      </c>
      <c r="B410" t="s">
        <v>7</v>
      </c>
      <c r="C410" t="s">
        <v>25</v>
      </c>
      <c r="D410" s="24">
        <v>45992</v>
      </c>
      <c r="E410" t="s">
        <v>362</v>
      </c>
      <c r="F410" t="s">
        <v>6</v>
      </c>
      <c r="G410" t="s">
        <v>505</v>
      </c>
      <c r="H410" t="s">
        <v>505</v>
      </c>
      <c r="I410" t="s">
        <v>219</v>
      </c>
      <c r="J410" s="25">
        <v>404</v>
      </c>
      <c r="K410" s="26">
        <v>69.91</v>
      </c>
      <c r="L410" s="26">
        <v>0.55000000000000004</v>
      </c>
    </row>
    <row r="411" spans="1:12" ht="16" customHeight="1">
      <c r="A411" t="s">
        <v>341</v>
      </c>
      <c r="B411" t="s">
        <v>7</v>
      </c>
      <c r="C411" t="s">
        <v>25</v>
      </c>
      <c r="D411" s="24">
        <v>45992</v>
      </c>
      <c r="E411" t="s">
        <v>384</v>
      </c>
      <c r="F411" t="s">
        <v>6</v>
      </c>
      <c r="G411" t="s">
        <v>505</v>
      </c>
      <c r="H411" t="s">
        <v>505</v>
      </c>
      <c r="I411" t="s">
        <v>219</v>
      </c>
      <c r="J411" s="25">
        <v>1</v>
      </c>
      <c r="K411" s="26">
        <v>0.17</v>
      </c>
      <c r="L411" s="26">
        <v>0</v>
      </c>
    </row>
    <row r="412" spans="1:12" ht="16" customHeight="1">
      <c r="A412" t="s">
        <v>341</v>
      </c>
      <c r="B412" t="s">
        <v>7</v>
      </c>
      <c r="C412" t="s">
        <v>25</v>
      </c>
      <c r="D412" s="24">
        <v>45992</v>
      </c>
      <c r="E412" t="s">
        <v>388</v>
      </c>
      <c r="F412" t="s">
        <v>6</v>
      </c>
      <c r="G412" t="s">
        <v>506</v>
      </c>
      <c r="H412" t="s">
        <v>506</v>
      </c>
      <c r="I412" t="s">
        <v>219</v>
      </c>
      <c r="J412" s="25">
        <v>138</v>
      </c>
      <c r="K412" s="26">
        <v>24.01</v>
      </c>
      <c r="L412" s="26">
        <v>0.32</v>
      </c>
    </row>
    <row r="413" spans="1:12" ht="16" customHeight="1">
      <c r="A413" t="s">
        <v>342</v>
      </c>
      <c r="B413" t="s">
        <v>3</v>
      </c>
      <c r="C413" t="s">
        <v>26</v>
      </c>
      <c r="D413" s="24">
        <v>45992</v>
      </c>
      <c r="E413" t="s">
        <v>345</v>
      </c>
      <c r="F413" t="s">
        <v>6</v>
      </c>
      <c r="G413" t="s">
        <v>505</v>
      </c>
      <c r="H413" t="s">
        <v>505</v>
      </c>
      <c r="I413" t="s">
        <v>212</v>
      </c>
      <c r="J413" s="25">
        <v>28121168</v>
      </c>
      <c r="K413" s="26">
        <v>4811534.76</v>
      </c>
      <c r="L413" s="26">
        <v>10539.99</v>
      </c>
    </row>
    <row r="414" spans="1:12" ht="16" customHeight="1">
      <c r="A414" t="s">
        <v>342</v>
      </c>
      <c r="B414" t="s">
        <v>3</v>
      </c>
      <c r="C414" t="s">
        <v>26</v>
      </c>
      <c r="D414" s="24">
        <v>45992</v>
      </c>
      <c r="E414" t="s">
        <v>350</v>
      </c>
      <c r="F414" t="s">
        <v>6</v>
      </c>
      <c r="G414" t="s">
        <v>505</v>
      </c>
      <c r="H414" t="s">
        <v>505</v>
      </c>
      <c r="I414" t="s">
        <v>212</v>
      </c>
      <c r="J414" s="25">
        <v>164728</v>
      </c>
      <c r="K414" s="26">
        <v>28267.91</v>
      </c>
      <c r="L414" s="26">
        <v>111.55</v>
      </c>
    </row>
    <row r="415" spans="1:12" ht="16" customHeight="1">
      <c r="A415" t="s">
        <v>342</v>
      </c>
      <c r="B415" t="s">
        <v>3</v>
      </c>
      <c r="C415" t="s">
        <v>26</v>
      </c>
      <c r="D415" s="24">
        <v>45992</v>
      </c>
      <c r="E415" t="s">
        <v>353</v>
      </c>
      <c r="F415" t="s">
        <v>5</v>
      </c>
      <c r="G415" t="s">
        <v>507</v>
      </c>
      <c r="H415" t="s">
        <v>507</v>
      </c>
      <c r="I415" t="s">
        <v>212</v>
      </c>
      <c r="J415" s="25">
        <v>31144</v>
      </c>
      <c r="K415" s="26">
        <v>5364.79</v>
      </c>
      <c r="L415" s="26">
        <v>28.85</v>
      </c>
    </row>
    <row r="416" spans="1:12" ht="16" customHeight="1">
      <c r="A416" t="s">
        <v>342</v>
      </c>
      <c r="B416" t="s">
        <v>3</v>
      </c>
      <c r="C416" t="s">
        <v>26</v>
      </c>
      <c r="D416" s="24">
        <v>45992</v>
      </c>
      <c r="E416" t="s">
        <v>362</v>
      </c>
      <c r="F416" t="s">
        <v>6</v>
      </c>
      <c r="G416" t="s">
        <v>505</v>
      </c>
      <c r="H416" t="s">
        <v>505</v>
      </c>
      <c r="I416" t="s">
        <v>219</v>
      </c>
      <c r="J416" s="25">
        <v>289</v>
      </c>
      <c r="K416" s="26">
        <v>49.68</v>
      </c>
      <c r="L416" s="26">
        <v>0.35</v>
      </c>
    </row>
    <row r="417" spans="1:12" ht="16" customHeight="1">
      <c r="A417" t="s">
        <v>342</v>
      </c>
      <c r="B417" t="s">
        <v>3</v>
      </c>
      <c r="C417" t="s">
        <v>26</v>
      </c>
      <c r="D417" s="24">
        <v>45992</v>
      </c>
      <c r="E417" t="s">
        <v>384</v>
      </c>
      <c r="F417" t="s">
        <v>6</v>
      </c>
      <c r="G417" t="s">
        <v>505</v>
      </c>
      <c r="H417" t="s">
        <v>505</v>
      </c>
      <c r="I417" t="s">
        <v>219</v>
      </c>
      <c r="J417" s="25">
        <v>3</v>
      </c>
      <c r="K417" s="26">
        <v>0.52</v>
      </c>
      <c r="L417" s="26">
        <v>0.01</v>
      </c>
    </row>
    <row r="418" spans="1:12" ht="16" customHeight="1">
      <c r="A418" t="s">
        <v>342</v>
      </c>
      <c r="B418" t="s">
        <v>3</v>
      </c>
      <c r="C418" t="s">
        <v>26</v>
      </c>
      <c r="D418" s="24">
        <v>45992</v>
      </c>
      <c r="E418" t="s">
        <v>388</v>
      </c>
      <c r="F418" t="s">
        <v>6</v>
      </c>
      <c r="G418" t="s">
        <v>506</v>
      </c>
      <c r="H418" t="s">
        <v>506</v>
      </c>
      <c r="I418" t="s">
        <v>219</v>
      </c>
      <c r="J418" s="25">
        <v>410</v>
      </c>
      <c r="K418" s="26">
        <v>71.489999999999995</v>
      </c>
      <c r="L418" s="26">
        <v>0.86</v>
      </c>
    </row>
    <row r="419" spans="1:12" ht="16" customHeight="1">
      <c r="A419" t="s">
        <v>312</v>
      </c>
      <c r="B419" t="s">
        <v>4</v>
      </c>
      <c r="C419" t="s">
        <v>26</v>
      </c>
      <c r="D419" s="24">
        <v>45992</v>
      </c>
      <c r="E419" t="s">
        <v>345</v>
      </c>
      <c r="F419" t="s">
        <v>6</v>
      </c>
      <c r="G419" t="s">
        <v>505</v>
      </c>
      <c r="H419" t="s">
        <v>505</v>
      </c>
      <c r="I419" t="s">
        <v>212</v>
      </c>
      <c r="J419" s="25">
        <v>35907556</v>
      </c>
      <c r="K419" s="26">
        <v>6109683.5</v>
      </c>
      <c r="L419" s="26">
        <v>11245.74</v>
      </c>
    </row>
    <row r="420" spans="1:12" ht="16" customHeight="1">
      <c r="A420" t="s">
        <v>312</v>
      </c>
      <c r="B420" t="s">
        <v>4</v>
      </c>
      <c r="C420" t="s">
        <v>26</v>
      </c>
      <c r="D420" s="24">
        <v>45992</v>
      </c>
      <c r="E420" t="s">
        <v>350</v>
      </c>
      <c r="F420" t="s">
        <v>6</v>
      </c>
      <c r="G420" t="s">
        <v>505</v>
      </c>
      <c r="H420" t="s">
        <v>505</v>
      </c>
      <c r="I420" t="s">
        <v>212</v>
      </c>
      <c r="J420" s="25">
        <v>355012</v>
      </c>
      <c r="K420" s="26">
        <v>60763.82</v>
      </c>
      <c r="L420" s="26">
        <v>205.02</v>
      </c>
    </row>
    <row r="421" spans="1:12" ht="16" customHeight="1">
      <c r="A421" t="s">
        <v>312</v>
      </c>
      <c r="B421" t="s">
        <v>4</v>
      </c>
      <c r="C421" t="s">
        <v>26</v>
      </c>
      <c r="D421" s="24">
        <v>45992</v>
      </c>
      <c r="E421" t="s">
        <v>353</v>
      </c>
      <c r="F421" t="s">
        <v>5</v>
      </c>
      <c r="G421" t="s">
        <v>507</v>
      </c>
      <c r="H421" t="s">
        <v>507</v>
      </c>
      <c r="I421" t="s">
        <v>212</v>
      </c>
      <c r="J421" s="25">
        <v>40480</v>
      </c>
      <c r="K421" s="26">
        <v>6946.11</v>
      </c>
      <c r="L421" s="26">
        <v>39.340000000000003</v>
      </c>
    </row>
    <row r="422" spans="1:12" ht="16" customHeight="1">
      <c r="A422" t="s">
        <v>312</v>
      </c>
      <c r="B422" t="s">
        <v>4</v>
      </c>
      <c r="C422" t="s">
        <v>26</v>
      </c>
      <c r="D422" s="24">
        <v>45992</v>
      </c>
      <c r="E422" t="s">
        <v>362</v>
      </c>
      <c r="F422" t="s">
        <v>6</v>
      </c>
      <c r="G422" t="s">
        <v>505</v>
      </c>
      <c r="H422" t="s">
        <v>505</v>
      </c>
      <c r="I422" t="s">
        <v>219</v>
      </c>
      <c r="J422" s="25">
        <v>345</v>
      </c>
      <c r="K422" s="26">
        <v>60.72</v>
      </c>
      <c r="L422" s="26">
        <v>0.26</v>
      </c>
    </row>
    <row r="423" spans="1:12" ht="16" customHeight="1">
      <c r="A423" t="s">
        <v>312</v>
      </c>
      <c r="B423" t="s">
        <v>4</v>
      </c>
      <c r="C423" t="s">
        <v>26</v>
      </c>
      <c r="D423" s="24">
        <v>45992</v>
      </c>
      <c r="E423" t="s">
        <v>375</v>
      </c>
      <c r="F423" t="s">
        <v>6</v>
      </c>
      <c r="G423" t="s">
        <v>505</v>
      </c>
      <c r="H423" t="s">
        <v>505</v>
      </c>
      <c r="I423" t="s">
        <v>219</v>
      </c>
      <c r="J423" s="25">
        <v>1</v>
      </c>
      <c r="K423" s="26">
        <v>0.17</v>
      </c>
      <c r="L423" s="26">
        <v>0</v>
      </c>
    </row>
    <row r="424" spans="1:12" ht="16" customHeight="1">
      <c r="A424" t="s">
        <v>312</v>
      </c>
      <c r="B424" t="s">
        <v>4</v>
      </c>
      <c r="C424" t="s">
        <v>26</v>
      </c>
      <c r="D424" s="24">
        <v>45992</v>
      </c>
      <c r="E424" t="s">
        <v>384</v>
      </c>
      <c r="F424" t="s">
        <v>6</v>
      </c>
      <c r="G424" t="s">
        <v>505</v>
      </c>
      <c r="H424" t="s">
        <v>505</v>
      </c>
      <c r="I424" t="s">
        <v>219</v>
      </c>
      <c r="J424" s="25">
        <v>1</v>
      </c>
      <c r="K424" s="26">
        <v>0.17</v>
      </c>
      <c r="L424" s="26">
        <v>0</v>
      </c>
    </row>
    <row r="425" spans="1:12" ht="16" customHeight="1">
      <c r="A425" t="s">
        <v>312</v>
      </c>
      <c r="B425" t="s">
        <v>4</v>
      </c>
      <c r="C425" t="s">
        <v>26</v>
      </c>
      <c r="D425" s="24">
        <v>45992</v>
      </c>
      <c r="E425" t="s">
        <v>388</v>
      </c>
      <c r="F425" t="s">
        <v>6</v>
      </c>
      <c r="G425" t="s">
        <v>506</v>
      </c>
      <c r="H425" t="s">
        <v>506</v>
      </c>
      <c r="I425" t="s">
        <v>219</v>
      </c>
      <c r="J425" s="25">
        <v>331</v>
      </c>
      <c r="K425" s="26">
        <v>57.38</v>
      </c>
      <c r="L425" s="26">
        <v>0.7</v>
      </c>
    </row>
    <row r="426" spans="1:12" ht="16" customHeight="1">
      <c r="A426" t="s">
        <v>343</v>
      </c>
      <c r="B426" t="s">
        <v>5</v>
      </c>
      <c r="C426" t="s">
        <v>26</v>
      </c>
      <c r="D426" s="24">
        <v>45992</v>
      </c>
      <c r="E426" t="s">
        <v>345</v>
      </c>
      <c r="F426" t="s">
        <v>6</v>
      </c>
      <c r="G426" t="s">
        <v>505</v>
      </c>
      <c r="H426" t="s">
        <v>505</v>
      </c>
      <c r="I426" t="s">
        <v>212</v>
      </c>
      <c r="J426" s="25">
        <v>136505436</v>
      </c>
      <c r="K426" s="26">
        <v>23158081.129999999</v>
      </c>
      <c r="L426" s="26">
        <v>33408.300000000003</v>
      </c>
    </row>
    <row r="427" spans="1:12" ht="16" customHeight="1">
      <c r="A427" t="s">
        <v>343</v>
      </c>
      <c r="B427" t="s">
        <v>5</v>
      </c>
      <c r="C427" t="s">
        <v>26</v>
      </c>
      <c r="D427" s="24">
        <v>45992</v>
      </c>
      <c r="E427" t="s">
        <v>350</v>
      </c>
      <c r="F427" t="s">
        <v>6</v>
      </c>
      <c r="G427" t="s">
        <v>505</v>
      </c>
      <c r="H427" t="s">
        <v>505</v>
      </c>
      <c r="I427" t="s">
        <v>212</v>
      </c>
      <c r="J427" s="25">
        <v>731485</v>
      </c>
      <c r="K427" s="26">
        <v>124564.1</v>
      </c>
      <c r="L427" s="26">
        <v>353.31</v>
      </c>
    </row>
    <row r="428" spans="1:12" ht="16" customHeight="1">
      <c r="A428" t="s">
        <v>343</v>
      </c>
      <c r="B428" t="s">
        <v>5</v>
      </c>
      <c r="C428" t="s">
        <v>26</v>
      </c>
      <c r="D428" s="24">
        <v>45992</v>
      </c>
      <c r="E428" t="s">
        <v>353</v>
      </c>
      <c r="F428" t="s">
        <v>5</v>
      </c>
      <c r="G428" t="s">
        <v>507</v>
      </c>
      <c r="H428" t="s">
        <v>507</v>
      </c>
      <c r="I428" t="s">
        <v>212</v>
      </c>
      <c r="J428" s="25">
        <v>44536</v>
      </c>
      <c r="K428" s="26">
        <v>7622.02</v>
      </c>
      <c r="L428" s="26">
        <v>38.909999999999997</v>
      </c>
    </row>
    <row r="429" spans="1:12" ht="16" customHeight="1">
      <c r="A429" t="s">
        <v>343</v>
      </c>
      <c r="B429" t="s">
        <v>5</v>
      </c>
      <c r="C429" t="s">
        <v>26</v>
      </c>
      <c r="D429" s="24">
        <v>45992</v>
      </c>
      <c r="E429" t="s">
        <v>362</v>
      </c>
      <c r="F429" t="s">
        <v>6</v>
      </c>
      <c r="G429" t="s">
        <v>505</v>
      </c>
      <c r="H429" t="s">
        <v>505</v>
      </c>
      <c r="I429" t="s">
        <v>219</v>
      </c>
      <c r="J429" s="25">
        <v>505</v>
      </c>
      <c r="K429" s="26">
        <v>87.12</v>
      </c>
      <c r="L429" s="26">
        <v>0.63</v>
      </c>
    </row>
    <row r="430" spans="1:12" ht="16" customHeight="1">
      <c r="A430" t="s">
        <v>343</v>
      </c>
      <c r="B430" t="s">
        <v>5</v>
      </c>
      <c r="C430" t="s">
        <v>26</v>
      </c>
      <c r="D430" s="24">
        <v>45992</v>
      </c>
      <c r="E430" t="s">
        <v>375</v>
      </c>
      <c r="F430" t="s">
        <v>6</v>
      </c>
      <c r="G430" t="s">
        <v>505</v>
      </c>
      <c r="H430" t="s">
        <v>505</v>
      </c>
      <c r="I430" t="s">
        <v>219</v>
      </c>
      <c r="J430" s="25">
        <v>1</v>
      </c>
      <c r="K430" s="26">
        <v>0.17</v>
      </c>
      <c r="L430" s="26">
        <v>0</v>
      </c>
    </row>
    <row r="431" spans="1:12" ht="16" customHeight="1">
      <c r="A431" t="s">
        <v>343</v>
      </c>
      <c r="B431" t="s">
        <v>5</v>
      </c>
      <c r="C431" t="s">
        <v>26</v>
      </c>
      <c r="D431" s="24">
        <v>45992</v>
      </c>
      <c r="E431" t="s">
        <v>384</v>
      </c>
      <c r="F431" t="s">
        <v>6</v>
      </c>
      <c r="G431" t="s">
        <v>505</v>
      </c>
      <c r="H431" t="s">
        <v>505</v>
      </c>
      <c r="I431" t="s">
        <v>219</v>
      </c>
      <c r="J431" s="25">
        <v>0</v>
      </c>
      <c r="K431" s="26">
        <v>0</v>
      </c>
      <c r="L431" s="26">
        <v>0</v>
      </c>
    </row>
    <row r="432" spans="1:12" ht="16" customHeight="1">
      <c r="A432" t="s">
        <v>343</v>
      </c>
      <c r="B432" t="s">
        <v>5</v>
      </c>
      <c r="C432" t="s">
        <v>26</v>
      </c>
      <c r="D432" s="24">
        <v>45992</v>
      </c>
      <c r="E432" t="s">
        <v>388</v>
      </c>
      <c r="F432" t="s">
        <v>6</v>
      </c>
      <c r="G432" t="s">
        <v>506</v>
      </c>
      <c r="H432" t="s">
        <v>506</v>
      </c>
      <c r="I432" t="s">
        <v>219</v>
      </c>
      <c r="J432" s="25">
        <v>194</v>
      </c>
      <c r="K432" s="26">
        <v>33.42</v>
      </c>
      <c r="L432" s="26">
        <v>0.47</v>
      </c>
    </row>
    <row r="433" spans="1:12" ht="16" customHeight="1">
      <c r="A433" t="s">
        <v>345</v>
      </c>
      <c r="B433" t="s">
        <v>6</v>
      </c>
      <c r="C433" t="s">
        <v>26</v>
      </c>
      <c r="D433" s="24">
        <v>45992</v>
      </c>
      <c r="E433" t="s">
        <v>345</v>
      </c>
      <c r="F433" t="s">
        <v>6</v>
      </c>
      <c r="G433" t="s">
        <v>505</v>
      </c>
      <c r="H433" t="s">
        <v>505</v>
      </c>
      <c r="I433" t="s">
        <v>212</v>
      </c>
      <c r="J433" s="25">
        <v>471443833</v>
      </c>
      <c r="K433" s="26">
        <v>79865469.739999995</v>
      </c>
      <c r="L433" s="26">
        <v>52695.07</v>
      </c>
    </row>
    <row r="434" spans="1:12" ht="16" customHeight="1">
      <c r="A434" t="s">
        <v>345</v>
      </c>
      <c r="B434" t="s">
        <v>6</v>
      </c>
      <c r="C434" t="s">
        <v>26</v>
      </c>
      <c r="D434" s="24">
        <v>45992</v>
      </c>
      <c r="E434" t="s">
        <v>350</v>
      </c>
      <c r="F434" t="s">
        <v>6</v>
      </c>
      <c r="G434" t="s">
        <v>505</v>
      </c>
      <c r="H434" t="s">
        <v>505</v>
      </c>
      <c r="I434" t="s">
        <v>212</v>
      </c>
      <c r="J434" s="25">
        <v>2393536</v>
      </c>
      <c r="K434" s="26">
        <v>405981.28</v>
      </c>
      <c r="L434" s="26">
        <v>1068.77</v>
      </c>
    </row>
    <row r="435" spans="1:12" ht="16" customHeight="1">
      <c r="A435" t="s">
        <v>345</v>
      </c>
      <c r="B435" t="s">
        <v>6</v>
      </c>
      <c r="C435" t="s">
        <v>26</v>
      </c>
      <c r="D435" s="24">
        <v>45992</v>
      </c>
      <c r="E435" t="s">
        <v>353</v>
      </c>
      <c r="F435" t="s">
        <v>5</v>
      </c>
      <c r="G435" t="s">
        <v>507</v>
      </c>
      <c r="H435" t="s">
        <v>507</v>
      </c>
      <c r="I435" t="s">
        <v>212</v>
      </c>
      <c r="J435" s="25">
        <v>88575</v>
      </c>
      <c r="K435" s="26">
        <v>15074.81</v>
      </c>
      <c r="L435" s="26">
        <v>64.739999999999995</v>
      </c>
    </row>
    <row r="436" spans="1:12" ht="16" customHeight="1">
      <c r="A436" t="s">
        <v>345</v>
      </c>
      <c r="B436" t="s">
        <v>6</v>
      </c>
      <c r="C436" t="s">
        <v>26</v>
      </c>
      <c r="D436" s="24">
        <v>45992</v>
      </c>
      <c r="E436" t="s">
        <v>362</v>
      </c>
      <c r="F436" t="s">
        <v>6</v>
      </c>
      <c r="G436" t="s">
        <v>505</v>
      </c>
      <c r="H436" t="s">
        <v>505</v>
      </c>
      <c r="I436" t="s">
        <v>219</v>
      </c>
      <c r="J436" s="25">
        <v>722</v>
      </c>
      <c r="K436" s="26">
        <v>124.37</v>
      </c>
      <c r="L436" s="26">
        <v>0.72</v>
      </c>
    </row>
    <row r="437" spans="1:12" ht="16" customHeight="1">
      <c r="A437" t="s">
        <v>345</v>
      </c>
      <c r="B437" t="s">
        <v>6</v>
      </c>
      <c r="C437" t="s">
        <v>26</v>
      </c>
      <c r="D437" s="24">
        <v>45992</v>
      </c>
      <c r="E437" t="s">
        <v>375</v>
      </c>
      <c r="F437" t="s">
        <v>6</v>
      </c>
      <c r="G437" t="s">
        <v>505</v>
      </c>
      <c r="H437" t="s">
        <v>505</v>
      </c>
      <c r="I437" t="s">
        <v>219</v>
      </c>
      <c r="J437" s="25">
        <v>2</v>
      </c>
      <c r="K437" s="26">
        <v>0.34</v>
      </c>
      <c r="L437" s="26">
        <v>0</v>
      </c>
    </row>
    <row r="438" spans="1:12" ht="16" customHeight="1">
      <c r="A438" t="s">
        <v>345</v>
      </c>
      <c r="B438" t="s">
        <v>6</v>
      </c>
      <c r="C438" t="s">
        <v>26</v>
      </c>
      <c r="D438" s="24">
        <v>45992</v>
      </c>
      <c r="E438" t="s">
        <v>384</v>
      </c>
      <c r="F438" t="s">
        <v>6</v>
      </c>
      <c r="G438" t="s">
        <v>505</v>
      </c>
      <c r="H438" t="s">
        <v>505</v>
      </c>
      <c r="I438" t="s">
        <v>219</v>
      </c>
      <c r="J438" s="25">
        <v>0</v>
      </c>
      <c r="K438" s="26">
        <v>0</v>
      </c>
      <c r="L438" s="26">
        <v>0</v>
      </c>
    </row>
    <row r="439" spans="1:12" ht="16" customHeight="1">
      <c r="A439" t="s">
        <v>345</v>
      </c>
      <c r="B439" t="s">
        <v>6</v>
      </c>
      <c r="C439" t="s">
        <v>26</v>
      </c>
      <c r="D439" s="24">
        <v>45992</v>
      </c>
      <c r="E439" t="s">
        <v>388</v>
      </c>
      <c r="F439" t="s">
        <v>6</v>
      </c>
      <c r="G439" t="s">
        <v>506</v>
      </c>
      <c r="H439" t="s">
        <v>506</v>
      </c>
      <c r="I439" t="s">
        <v>219</v>
      </c>
      <c r="J439" s="25">
        <v>377</v>
      </c>
      <c r="K439" s="26">
        <v>64.86</v>
      </c>
      <c r="L439" s="26">
        <v>0.76</v>
      </c>
    </row>
    <row r="440" spans="1:12" ht="16" customHeight="1">
      <c r="A440" t="s">
        <v>346</v>
      </c>
      <c r="B440" t="s">
        <v>7</v>
      </c>
      <c r="C440" t="s">
        <v>26</v>
      </c>
      <c r="D440" s="24">
        <v>45992</v>
      </c>
      <c r="E440" t="s">
        <v>350</v>
      </c>
      <c r="F440" t="s">
        <v>6</v>
      </c>
      <c r="G440" t="s">
        <v>505</v>
      </c>
      <c r="H440" t="s">
        <v>505</v>
      </c>
      <c r="I440" t="s">
        <v>212</v>
      </c>
      <c r="J440" s="25">
        <v>22156420</v>
      </c>
      <c r="K440" s="26">
        <v>3786310.54</v>
      </c>
      <c r="L440" s="26">
        <v>9813.14</v>
      </c>
    </row>
    <row r="441" spans="1:12" ht="16" customHeight="1">
      <c r="A441" t="s">
        <v>346</v>
      </c>
      <c r="B441" t="s">
        <v>7</v>
      </c>
      <c r="C441" t="s">
        <v>26</v>
      </c>
      <c r="D441" s="24">
        <v>45992</v>
      </c>
      <c r="E441" t="s">
        <v>353</v>
      </c>
      <c r="F441" t="s">
        <v>5</v>
      </c>
      <c r="G441" t="s">
        <v>507</v>
      </c>
      <c r="H441" t="s">
        <v>507</v>
      </c>
      <c r="I441" t="s">
        <v>212</v>
      </c>
      <c r="J441" s="25">
        <v>133571</v>
      </c>
      <c r="K441" s="26">
        <v>22856.29</v>
      </c>
      <c r="L441" s="26">
        <v>82.51</v>
      </c>
    </row>
    <row r="442" spans="1:12" ht="16" customHeight="1">
      <c r="A442" t="s">
        <v>346</v>
      </c>
      <c r="B442" t="s">
        <v>7</v>
      </c>
      <c r="C442" t="s">
        <v>26</v>
      </c>
      <c r="D442" s="24">
        <v>45992</v>
      </c>
      <c r="E442" t="s">
        <v>362</v>
      </c>
      <c r="F442" t="s">
        <v>6</v>
      </c>
      <c r="G442" t="s">
        <v>505</v>
      </c>
      <c r="H442" t="s">
        <v>505</v>
      </c>
      <c r="I442" t="s">
        <v>219</v>
      </c>
      <c r="J442" s="25">
        <v>2283</v>
      </c>
      <c r="K442" s="26">
        <v>393.57</v>
      </c>
      <c r="L442" s="26">
        <v>2.2000000000000002</v>
      </c>
    </row>
    <row r="443" spans="1:12" ht="16" customHeight="1">
      <c r="A443" t="s">
        <v>346</v>
      </c>
      <c r="B443" t="s">
        <v>7</v>
      </c>
      <c r="C443" t="s">
        <v>26</v>
      </c>
      <c r="D443" s="24">
        <v>45992</v>
      </c>
      <c r="E443" t="s">
        <v>375</v>
      </c>
      <c r="F443" t="s">
        <v>6</v>
      </c>
      <c r="G443" t="s">
        <v>505</v>
      </c>
      <c r="H443" t="s">
        <v>505</v>
      </c>
      <c r="I443" t="s">
        <v>219</v>
      </c>
      <c r="J443" s="25">
        <v>14</v>
      </c>
      <c r="K443" s="26">
        <v>2.42</v>
      </c>
      <c r="L443" s="26">
        <v>0.03</v>
      </c>
    </row>
    <row r="444" spans="1:12" ht="16" customHeight="1">
      <c r="A444" t="s">
        <v>346</v>
      </c>
      <c r="B444" t="s">
        <v>7</v>
      </c>
      <c r="C444" t="s">
        <v>26</v>
      </c>
      <c r="D444" s="24">
        <v>45992</v>
      </c>
      <c r="E444" t="s">
        <v>509</v>
      </c>
      <c r="F444" t="s">
        <v>6</v>
      </c>
      <c r="G444" t="s">
        <v>505</v>
      </c>
      <c r="H444" t="s">
        <v>505</v>
      </c>
      <c r="I444" t="s">
        <v>219</v>
      </c>
      <c r="J444" s="25">
        <v>3</v>
      </c>
      <c r="K444" s="26">
        <v>0.5</v>
      </c>
      <c r="L444" s="26">
        <v>0</v>
      </c>
    </row>
    <row r="445" spans="1:12" ht="16" customHeight="1">
      <c r="A445" t="s">
        <v>346</v>
      </c>
      <c r="B445" t="s">
        <v>7</v>
      </c>
      <c r="C445" t="s">
        <v>26</v>
      </c>
      <c r="D445" s="24">
        <v>45992</v>
      </c>
      <c r="E445" t="s">
        <v>384</v>
      </c>
      <c r="F445" t="s">
        <v>6</v>
      </c>
      <c r="G445" t="s">
        <v>505</v>
      </c>
      <c r="H445" t="s">
        <v>505</v>
      </c>
      <c r="I445" t="s">
        <v>219</v>
      </c>
      <c r="J445" s="25">
        <v>1</v>
      </c>
      <c r="K445" s="26">
        <v>0.17</v>
      </c>
      <c r="L445" s="26">
        <v>0</v>
      </c>
    </row>
    <row r="446" spans="1:12" ht="16" customHeight="1">
      <c r="A446" t="s">
        <v>346</v>
      </c>
      <c r="B446" t="s">
        <v>7</v>
      </c>
      <c r="C446" t="s">
        <v>26</v>
      </c>
      <c r="D446" s="24">
        <v>45992</v>
      </c>
      <c r="E446" t="s">
        <v>388</v>
      </c>
      <c r="F446" t="s">
        <v>6</v>
      </c>
      <c r="G446" t="s">
        <v>506</v>
      </c>
      <c r="H446" t="s">
        <v>506</v>
      </c>
      <c r="I446" t="s">
        <v>219</v>
      </c>
      <c r="J446" s="25">
        <v>650</v>
      </c>
      <c r="K446" s="26">
        <v>112.04</v>
      </c>
      <c r="L446" s="26">
        <v>1.1299999999999999</v>
      </c>
    </row>
    <row r="447" spans="1:12" ht="16" customHeight="1">
      <c r="A447" t="s">
        <v>347</v>
      </c>
      <c r="B447" t="s">
        <v>3</v>
      </c>
      <c r="C447" t="s">
        <v>27</v>
      </c>
      <c r="D447" s="24">
        <v>45992</v>
      </c>
      <c r="E447" t="s">
        <v>350</v>
      </c>
      <c r="F447" t="s">
        <v>6</v>
      </c>
      <c r="G447" t="s">
        <v>505</v>
      </c>
      <c r="H447" t="s">
        <v>505</v>
      </c>
      <c r="I447" t="s">
        <v>212</v>
      </c>
      <c r="J447" s="25">
        <v>24503164</v>
      </c>
      <c r="K447" s="26">
        <v>4179369.32</v>
      </c>
      <c r="L447" s="26">
        <v>9469.01</v>
      </c>
    </row>
    <row r="448" spans="1:12" ht="16" customHeight="1">
      <c r="A448" t="s">
        <v>347</v>
      </c>
      <c r="B448" t="s">
        <v>3</v>
      </c>
      <c r="C448" t="s">
        <v>27</v>
      </c>
      <c r="D448" s="24">
        <v>45992</v>
      </c>
      <c r="E448" t="s">
        <v>353</v>
      </c>
      <c r="F448" t="s">
        <v>5</v>
      </c>
      <c r="G448" t="s">
        <v>507</v>
      </c>
      <c r="H448" t="s">
        <v>507</v>
      </c>
      <c r="I448" t="s">
        <v>212</v>
      </c>
      <c r="J448" s="25">
        <v>255414</v>
      </c>
      <c r="K448" s="26">
        <v>43616</v>
      </c>
      <c r="L448" s="26">
        <v>123.01</v>
      </c>
    </row>
    <row r="449" spans="1:12" ht="16" customHeight="1">
      <c r="A449" t="s">
        <v>347</v>
      </c>
      <c r="B449" t="s">
        <v>3</v>
      </c>
      <c r="C449" t="s">
        <v>27</v>
      </c>
      <c r="D449" s="24">
        <v>45992</v>
      </c>
      <c r="E449" t="s">
        <v>362</v>
      </c>
      <c r="F449" t="s">
        <v>6</v>
      </c>
      <c r="G449" t="s">
        <v>505</v>
      </c>
      <c r="H449" t="s">
        <v>505</v>
      </c>
      <c r="I449" t="s">
        <v>219</v>
      </c>
      <c r="J449" s="25">
        <v>3164</v>
      </c>
      <c r="K449" s="26">
        <v>545.58000000000004</v>
      </c>
      <c r="L449" s="26">
        <v>3.19</v>
      </c>
    </row>
    <row r="450" spans="1:12" ht="16" customHeight="1">
      <c r="A450" t="s">
        <v>347</v>
      </c>
      <c r="B450" t="s">
        <v>3</v>
      </c>
      <c r="C450" t="s">
        <v>27</v>
      </c>
      <c r="D450" s="24">
        <v>45992</v>
      </c>
      <c r="E450" t="s">
        <v>375</v>
      </c>
      <c r="F450" t="s">
        <v>6</v>
      </c>
      <c r="G450" t="s">
        <v>505</v>
      </c>
      <c r="H450" t="s">
        <v>505</v>
      </c>
      <c r="I450" t="s">
        <v>219</v>
      </c>
      <c r="J450" s="25">
        <v>1</v>
      </c>
      <c r="K450" s="26">
        <v>0.17</v>
      </c>
      <c r="L450" s="26">
        <v>0</v>
      </c>
    </row>
    <row r="451" spans="1:12" ht="16" customHeight="1">
      <c r="A451" t="s">
        <v>347</v>
      </c>
      <c r="B451" t="s">
        <v>3</v>
      </c>
      <c r="C451" t="s">
        <v>27</v>
      </c>
      <c r="D451" s="24">
        <v>45992</v>
      </c>
      <c r="E451" t="s">
        <v>509</v>
      </c>
      <c r="F451" t="s">
        <v>6</v>
      </c>
      <c r="G451" t="s">
        <v>505</v>
      </c>
      <c r="H451" t="s">
        <v>505</v>
      </c>
      <c r="I451" t="s">
        <v>219</v>
      </c>
      <c r="J451" s="25">
        <v>0</v>
      </c>
      <c r="K451" s="26">
        <v>0</v>
      </c>
      <c r="L451" s="26">
        <v>0</v>
      </c>
    </row>
    <row r="452" spans="1:12" ht="16" customHeight="1">
      <c r="A452" t="s">
        <v>347</v>
      </c>
      <c r="B452" t="s">
        <v>3</v>
      </c>
      <c r="C452" t="s">
        <v>27</v>
      </c>
      <c r="D452" s="24">
        <v>45992</v>
      </c>
      <c r="E452" t="s">
        <v>388</v>
      </c>
      <c r="F452" t="s">
        <v>6</v>
      </c>
      <c r="G452" t="s">
        <v>506</v>
      </c>
      <c r="H452" t="s">
        <v>506</v>
      </c>
      <c r="I452" t="s">
        <v>219</v>
      </c>
      <c r="J452" s="25">
        <v>1008</v>
      </c>
      <c r="K452" s="26">
        <v>174.07</v>
      </c>
      <c r="L452" s="26">
        <v>1.71</v>
      </c>
    </row>
    <row r="453" spans="1:12" ht="16" customHeight="1">
      <c r="A453" t="s">
        <v>316</v>
      </c>
      <c r="B453" t="s">
        <v>4</v>
      </c>
      <c r="C453" t="s">
        <v>27</v>
      </c>
      <c r="D453" s="24">
        <v>45992</v>
      </c>
      <c r="E453" t="s">
        <v>350</v>
      </c>
      <c r="F453" t="s">
        <v>6</v>
      </c>
      <c r="G453" t="s">
        <v>505</v>
      </c>
      <c r="H453" t="s">
        <v>505</v>
      </c>
      <c r="I453" t="s">
        <v>212</v>
      </c>
      <c r="J453" s="25">
        <v>26962596</v>
      </c>
      <c r="K453" s="26">
        <v>4589747.79</v>
      </c>
      <c r="L453" s="26">
        <v>8402.1299999999992</v>
      </c>
    </row>
    <row r="454" spans="1:12" ht="16" customHeight="1">
      <c r="A454" t="s">
        <v>316</v>
      </c>
      <c r="B454" t="s">
        <v>4</v>
      </c>
      <c r="C454" t="s">
        <v>27</v>
      </c>
      <c r="D454" s="24">
        <v>45992</v>
      </c>
      <c r="E454" t="s">
        <v>353</v>
      </c>
      <c r="F454" t="s">
        <v>5</v>
      </c>
      <c r="G454" t="s">
        <v>507</v>
      </c>
      <c r="H454" t="s">
        <v>507</v>
      </c>
      <c r="I454" t="s">
        <v>212</v>
      </c>
      <c r="J454" s="25">
        <v>401539</v>
      </c>
      <c r="K454" s="26">
        <v>68571.360000000001</v>
      </c>
      <c r="L454" s="26">
        <v>194.89</v>
      </c>
    </row>
    <row r="455" spans="1:12" ht="16" customHeight="1">
      <c r="A455" t="s">
        <v>316</v>
      </c>
      <c r="B455" t="s">
        <v>4</v>
      </c>
      <c r="C455" t="s">
        <v>27</v>
      </c>
      <c r="D455" s="24">
        <v>45992</v>
      </c>
      <c r="E455" t="s">
        <v>362</v>
      </c>
      <c r="F455" t="s">
        <v>6</v>
      </c>
      <c r="G455" t="s">
        <v>505</v>
      </c>
      <c r="H455" t="s">
        <v>505</v>
      </c>
      <c r="I455" t="s">
        <v>219</v>
      </c>
      <c r="J455" s="25">
        <v>4009</v>
      </c>
      <c r="K455" s="26">
        <v>689.34</v>
      </c>
      <c r="L455" s="26">
        <v>3.52</v>
      </c>
    </row>
    <row r="456" spans="1:12" ht="16" customHeight="1">
      <c r="A456" t="s">
        <v>316</v>
      </c>
      <c r="B456" t="s">
        <v>4</v>
      </c>
      <c r="C456" t="s">
        <v>27</v>
      </c>
      <c r="D456" s="24">
        <v>45992</v>
      </c>
      <c r="E456" t="s">
        <v>375</v>
      </c>
      <c r="F456" t="s">
        <v>6</v>
      </c>
      <c r="G456" t="s">
        <v>505</v>
      </c>
      <c r="H456" t="s">
        <v>505</v>
      </c>
      <c r="I456" t="s">
        <v>219</v>
      </c>
      <c r="J456" s="25">
        <v>63</v>
      </c>
      <c r="K456" s="26">
        <v>10.82</v>
      </c>
      <c r="L456" s="26">
        <v>0.09</v>
      </c>
    </row>
    <row r="457" spans="1:12" ht="16" customHeight="1">
      <c r="A457" t="s">
        <v>316</v>
      </c>
      <c r="B457" t="s">
        <v>4</v>
      </c>
      <c r="C457" t="s">
        <v>27</v>
      </c>
      <c r="D457" s="24">
        <v>45992</v>
      </c>
      <c r="E457" t="s">
        <v>509</v>
      </c>
      <c r="F457" t="s">
        <v>6</v>
      </c>
      <c r="G457" t="s">
        <v>505</v>
      </c>
      <c r="H457" t="s">
        <v>505</v>
      </c>
      <c r="I457" t="s">
        <v>219</v>
      </c>
      <c r="J457" s="25">
        <v>0</v>
      </c>
      <c r="K457" s="26">
        <v>0</v>
      </c>
      <c r="L457" s="26">
        <v>0</v>
      </c>
    </row>
    <row r="458" spans="1:12" ht="16" customHeight="1">
      <c r="A458" t="s">
        <v>316</v>
      </c>
      <c r="B458" t="s">
        <v>4</v>
      </c>
      <c r="C458" t="s">
        <v>27</v>
      </c>
      <c r="D458" s="24">
        <v>45992</v>
      </c>
      <c r="E458" t="s">
        <v>388</v>
      </c>
      <c r="F458" t="s">
        <v>6</v>
      </c>
      <c r="G458" t="s">
        <v>506</v>
      </c>
      <c r="H458" t="s">
        <v>506</v>
      </c>
      <c r="I458" t="s">
        <v>219</v>
      </c>
      <c r="J458" s="25">
        <v>1203</v>
      </c>
      <c r="K458" s="26">
        <v>206.7</v>
      </c>
      <c r="L458" s="26">
        <v>1.88</v>
      </c>
    </row>
    <row r="459" spans="1:12" ht="16" customHeight="1">
      <c r="A459" t="s">
        <v>348</v>
      </c>
      <c r="B459" t="s">
        <v>5</v>
      </c>
      <c r="C459" t="s">
        <v>27</v>
      </c>
      <c r="D459" s="24">
        <v>45992</v>
      </c>
      <c r="E459" t="s">
        <v>350</v>
      </c>
      <c r="F459" t="s">
        <v>6</v>
      </c>
      <c r="G459" t="s">
        <v>505</v>
      </c>
      <c r="H459" t="s">
        <v>505</v>
      </c>
      <c r="I459" t="s">
        <v>212</v>
      </c>
      <c r="J459" s="25">
        <v>110609327</v>
      </c>
      <c r="K459" s="26">
        <v>18757836.920000002</v>
      </c>
      <c r="L459" s="26">
        <v>25397.85</v>
      </c>
    </row>
    <row r="460" spans="1:12" ht="16" customHeight="1">
      <c r="A460" t="s">
        <v>348</v>
      </c>
      <c r="B460" t="s">
        <v>5</v>
      </c>
      <c r="C460" t="s">
        <v>27</v>
      </c>
      <c r="D460" s="24">
        <v>45992</v>
      </c>
      <c r="E460" t="s">
        <v>353</v>
      </c>
      <c r="F460" t="s">
        <v>5</v>
      </c>
      <c r="G460" t="s">
        <v>507</v>
      </c>
      <c r="H460" t="s">
        <v>507</v>
      </c>
      <c r="I460" t="s">
        <v>212</v>
      </c>
      <c r="J460" s="25">
        <v>757797</v>
      </c>
      <c r="K460" s="26">
        <v>129009.99</v>
      </c>
      <c r="L460" s="26">
        <v>329.23</v>
      </c>
    </row>
    <row r="461" spans="1:12" ht="16" customHeight="1">
      <c r="A461" t="s">
        <v>348</v>
      </c>
      <c r="B461" t="s">
        <v>5</v>
      </c>
      <c r="C461" t="s">
        <v>27</v>
      </c>
      <c r="D461" s="24">
        <v>45992</v>
      </c>
      <c r="E461" t="s">
        <v>362</v>
      </c>
      <c r="F461" t="s">
        <v>6</v>
      </c>
      <c r="G461" t="s">
        <v>505</v>
      </c>
      <c r="H461" t="s">
        <v>505</v>
      </c>
      <c r="I461" t="s">
        <v>219</v>
      </c>
      <c r="J461" s="25">
        <v>7741</v>
      </c>
      <c r="K461" s="26">
        <v>1325.36</v>
      </c>
      <c r="L461" s="26">
        <v>6.12</v>
      </c>
    </row>
    <row r="462" spans="1:12" ht="16" customHeight="1">
      <c r="A462" t="s">
        <v>348</v>
      </c>
      <c r="B462" t="s">
        <v>5</v>
      </c>
      <c r="C462" t="s">
        <v>27</v>
      </c>
      <c r="D462" s="24">
        <v>45992</v>
      </c>
      <c r="E462" t="s">
        <v>375</v>
      </c>
      <c r="F462" t="s">
        <v>6</v>
      </c>
      <c r="G462" t="s">
        <v>505</v>
      </c>
      <c r="H462" t="s">
        <v>505</v>
      </c>
      <c r="I462" t="s">
        <v>219</v>
      </c>
      <c r="J462" s="25">
        <v>77</v>
      </c>
      <c r="K462" s="26">
        <v>12.6</v>
      </c>
      <c r="L462" s="26">
        <v>0.06</v>
      </c>
    </row>
    <row r="463" spans="1:12" ht="16" customHeight="1">
      <c r="A463" t="s">
        <v>348</v>
      </c>
      <c r="B463" t="s">
        <v>5</v>
      </c>
      <c r="C463" t="s">
        <v>27</v>
      </c>
      <c r="D463" s="24">
        <v>45992</v>
      </c>
      <c r="E463" t="s">
        <v>509</v>
      </c>
      <c r="F463" t="s">
        <v>6</v>
      </c>
      <c r="G463" t="s">
        <v>505</v>
      </c>
      <c r="H463" t="s">
        <v>505</v>
      </c>
      <c r="I463" t="s">
        <v>219</v>
      </c>
      <c r="J463" s="25">
        <v>0</v>
      </c>
      <c r="K463" s="26">
        <v>0</v>
      </c>
      <c r="L463" s="26">
        <v>0</v>
      </c>
    </row>
    <row r="464" spans="1:12" ht="16" customHeight="1">
      <c r="A464" t="s">
        <v>348</v>
      </c>
      <c r="B464" t="s">
        <v>5</v>
      </c>
      <c r="C464" t="s">
        <v>27</v>
      </c>
      <c r="D464" s="24">
        <v>45992</v>
      </c>
      <c r="E464" t="s">
        <v>388</v>
      </c>
      <c r="F464" t="s">
        <v>6</v>
      </c>
      <c r="G464" t="s">
        <v>506</v>
      </c>
      <c r="H464" t="s">
        <v>506</v>
      </c>
      <c r="I464" t="s">
        <v>219</v>
      </c>
      <c r="J464" s="25">
        <v>1485</v>
      </c>
      <c r="K464" s="26">
        <v>255.77</v>
      </c>
      <c r="L464" s="26">
        <v>2.4500000000000002</v>
      </c>
    </row>
    <row r="465" spans="1:12" ht="16" customHeight="1">
      <c r="A465" t="s">
        <v>350</v>
      </c>
      <c r="B465" t="s">
        <v>6</v>
      </c>
      <c r="C465" t="s">
        <v>27</v>
      </c>
      <c r="D465" s="24">
        <v>45992</v>
      </c>
      <c r="E465" t="s">
        <v>350</v>
      </c>
      <c r="F465" t="s">
        <v>6</v>
      </c>
      <c r="G465" t="s">
        <v>505</v>
      </c>
      <c r="H465" t="s">
        <v>505</v>
      </c>
      <c r="I465" t="s">
        <v>212</v>
      </c>
      <c r="J465" s="25">
        <v>435932021</v>
      </c>
      <c r="K465" s="26">
        <v>73760360.280000001</v>
      </c>
      <c r="L465" s="26">
        <v>43637.7</v>
      </c>
    </row>
    <row r="466" spans="1:12" ht="16" customHeight="1">
      <c r="A466" t="s">
        <v>350</v>
      </c>
      <c r="B466" t="s">
        <v>6</v>
      </c>
      <c r="C466" t="s">
        <v>27</v>
      </c>
      <c r="D466" s="24">
        <v>45992</v>
      </c>
      <c r="E466" t="s">
        <v>353</v>
      </c>
      <c r="F466" t="s">
        <v>5</v>
      </c>
      <c r="G466" t="s">
        <v>507</v>
      </c>
      <c r="H466" t="s">
        <v>507</v>
      </c>
      <c r="I466" t="s">
        <v>212</v>
      </c>
      <c r="J466" s="25">
        <v>2417966</v>
      </c>
      <c r="K466" s="26">
        <v>410450.93</v>
      </c>
      <c r="L466" s="26">
        <v>989.79</v>
      </c>
    </row>
    <row r="467" spans="1:12" ht="16" customHeight="1">
      <c r="A467" t="s">
        <v>350</v>
      </c>
      <c r="B467" t="s">
        <v>6</v>
      </c>
      <c r="C467" t="s">
        <v>27</v>
      </c>
      <c r="D467" s="24">
        <v>45992</v>
      </c>
      <c r="E467" t="s">
        <v>362</v>
      </c>
      <c r="F467" t="s">
        <v>6</v>
      </c>
      <c r="G467" t="s">
        <v>505</v>
      </c>
      <c r="H467" t="s">
        <v>505</v>
      </c>
      <c r="I467" t="s">
        <v>219</v>
      </c>
      <c r="J467" s="25">
        <v>26048</v>
      </c>
      <c r="K467" s="26">
        <v>4445.57</v>
      </c>
      <c r="L467" s="26">
        <v>21.34</v>
      </c>
    </row>
    <row r="468" spans="1:12" ht="16" customHeight="1">
      <c r="A468" t="s">
        <v>350</v>
      </c>
      <c r="B468" t="s">
        <v>6</v>
      </c>
      <c r="C468" t="s">
        <v>27</v>
      </c>
      <c r="D468" s="24">
        <v>45992</v>
      </c>
      <c r="E468" t="s">
        <v>375</v>
      </c>
      <c r="F468" t="s">
        <v>6</v>
      </c>
      <c r="G468" t="s">
        <v>505</v>
      </c>
      <c r="H468" t="s">
        <v>505</v>
      </c>
      <c r="I468" t="s">
        <v>219</v>
      </c>
      <c r="J468" s="25">
        <v>218</v>
      </c>
      <c r="K468" s="26">
        <v>36.22</v>
      </c>
      <c r="L468" s="26">
        <v>0.18</v>
      </c>
    </row>
    <row r="469" spans="1:12" ht="16" customHeight="1">
      <c r="A469" t="s">
        <v>350</v>
      </c>
      <c r="B469" t="s">
        <v>6</v>
      </c>
      <c r="C469" t="s">
        <v>27</v>
      </c>
      <c r="D469" s="24">
        <v>45992</v>
      </c>
      <c r="E469" t="s">
        <v>509</v>
      </c>
      <c r="F469" t="s">
        <v>6</v>
      </c>
      <c r="G469" t="s">
        <v>505</v>
      </c>
      <c r="H469" t="s">
        <v>505</v>
      </c>
      <c r="I469" t="s">
        <v>219</v>
      </c>
      <c r="J469" s="25">
        <v>0</v>
      </c>
      <c r="K469" s="26">
        <v>0</v>
      </c>
      <c r="L469" s="26">
        <v>0</v>
      </c>
    </row>
    <row r="470" spans="1:12" ht="16" customHeight="1">
      <c r="A470" t="s">
        <v>350</v>
      </c>
      <c r="B470" t="s">
        <v>6</v>
      </c>
      <c r="C470" t="s">
        <v>27</v>
      </c>
      <c r="D470" s="24">
        <v>45992</v>
      </c>
      <c r="E470" t="s">
        <v>388</v>
      </c>
      <c r="F470" t="s">
        <v>6</v>
      </c>
      <c r="G470" t="s">
        <v>506</v>
      </c>
      <c r="H470" t="s">
        <v>506</v>
      </c>
      <c r="I470" t="s">
        <v>219</v>
      </c>
      <c r="J470" s="25">
        <v>2677</v>
      </c>
      <c r="K470" s="26">
        <v>460.53</v>
      </c>
      <c r="L470" s="26">
        <v>3.88</v>
      </c>
    </row>
    <row r="471" spans="1:12" ht="16" customHeight="1">
      <c r="A471" t="s">
        <v>351</v>
      </c>
      <c r="B471" t="s">
        <v>7</v>
      </c>
      <c r="C471" t="s">
        <v>27</v>
      </c>
      <c r="D471" s="24">
        <v>45992</v>
      </c>
      <c r="E471" t="s">
        <v>353</v>
      </c>
      <c r="F471" t="s">
        <v>5</v>
      </c>
      <c r="G471" t="s">
        <v>507</v>
      </c>
      <c r="H471" t="s">
        <v>507</v>
      </c>
      <c r="I471" t="s">
        <v>212</v>
      </c>
      <c r="J471" s="25">
        <v>21271593</v>
      </c>
      <c r="K471" s="26">
        <v>3622459.51</v>
      </c>
      <c r="L471" s="26">
        <v>8639.1299999999992</v>
      </c>
    </row>
    <row r="472" spans="1:12" ht="16" customHeight="1">
      <c r="A472" t="s">
        <v>351</v>
      </c>
      <c r="B472" t="s">
        <v>7</v>
      </c>
      <c r="C472" t="s">
        <v>27</v>
      </c>
      <c r="D472" s="24">
        <v>45992</v>
      </c>
      <c r="E472" t="s">
        <v>362</v>
      </c>
      <c r="F472" t="s">
        <v>6</v>
      </c>
      <c r="G472" t="s">
        <v>505</v>
      </c>
      <c r="H472" t="s">
        <v>505</v>
      </c>
      <c r="I472" t="s">
        <v>219</v>
      </c>
      <c r="J472" s="25">
        <v>78550</v>
      </c>
      <c r="K472" s="26">
        <v>13438.96</v>
      </c>
      <c r="L472" s="26">
        <v>57.48</v>
      </c>
    </row>
    <row r="473" spans="1:12" ht="16" customHeight="1">
      <c r="A473" t="s">
        <v>351</v>
      </c>
      <c r="B473" t="s">
        <v>7</v>
      </c>
      <c r="C473" t="s">
        <v>27</v>
      </c>
      <c r="D473" s="24">
        <v>45992</v>
      </c>
      <c r="E473" t="s">
        <v>375</v>
      </c>
      <c r="F473" t="s">
        <v>6</v>
      </c>
      <c r="G473" t="s">
        <v>505</v>
      </c>
      <c r="H473" t="s">
        <v>505</v>
      </c>
      <c r="I473" t="s">
        <v>219</v>
      </c>
      <c r="J473" s="25">
        <v>1392</v>
      </c>
      <c r="K473" s="26">
        <v>236.35</v>
      </c>
      <c r="L473" s="26">
        <v>1.2</v>
      </c>
    </row>
    <row r="474" spans="1:12" ht="16" customHeight="1">
      <c r="A474" t="s">
        <v>351</v>
      </c>
      <c r="B474" t="s">
        <v>7</v>
      </c>
      <c r="C474" t="s">
        <v>27</v>
      </c>
      <c r="D474" s="24">
        <v>45992</v>
      </c>
      <c r="E474" t="s">
        <v>509</v>
      </c>
      <c r="F474" t="s">
        <v>6</v>
      </c>
      <c r="G474" t="s">
        <v>505</v>
      </c>
      <c r="H474" t="s">
        <v>505</v>
      </c>
      <c r="I474" t="s">
        <v>219</v>
      </c>
      <c r="J474" s="25">
        <v>32</v>
      </c>
      <c r="K474" s="26">
        <v>5.49</v>
      </c>
      <c r="L474" s="26">
        <v>0.05</v>
      </c>
    </row>
    <row r="475" spans="1:12" ht="16" customHeight="1">
      <c r="A475" t="s">
        <v>351</v>
      </c>
      <c r="B475" t="s">
        <v>7</v>
      </c>
      <c r="C475" t="s">
        <v>27</v>
      </c>
      <c r="D475" s="24">
        <v>45992</v>
      </c>
      <c r="E475" t="s">
        <v>388</v>
      </c>
      <c r="F475" t="s">
        <v>6</v>
      </c>
      <c r="G475" t="s">
        <v>506</v>
      </c>
      <c r="H475" t="s">
        <v>506</v>
      </c>
      <c r="I475" t="s">
        <v>219</v>
      </c>
      <c r="J475" s="25">
        <v>3793</v>
      </c>
      <c r="K475" s="26">
        <v>653.98</v>
      </c>
      <c r="L475" s="26">
        <v>5.0199999999999996</v>
      </c>
    </row>
    <row r="476" spans="1:12" ht="16" customHeight="1">
      <c r="A476" t="s">
        <v>352</v>
      </c>
      <c r="B476" t="s">
        <v>3</v>
      </c>
      <c r="C476" t="s">
        <v>28</v>
      </c>
      <c r="D476" s="24">
        <v>45992</v>
      </c>
      <c r="E476" t="s">
        <v>353</v>
      </c>
      <c r="F476" t="s">
        <v>5</v>
      </c>
      <c r="G476" t="s">
        <v>507</v>
      </c>
      <c r="H476" t="s">
        <v>507</v>
      </c>
      <c r="I476" t="s">
        <v>212</v>
      </c>
      <c r="J476" s="25">
        <v>21431230</v>
      </c>
      <c r="K476" s="26">
        <v>3660862.51</v>
      </c>
      <c r="L476" s="26">
        <v>6793.89</v>
      </c>
    </row>
    <row r="477" spans="1:12" ht="16" customHeight="1">
      <c r="A477" t="s">
        <v>352</v>
      </c>
      <c r="B477" t="s">
        <v>3</v>
      </c>
      <c r="C477" t="s">
        <v>28</v>
      </c>
      <c r="D477" s="24">
        <v>45992</v>
      </c>
      <c r="E477" t="s">
        <v>362</v>
      </c>
      <c r="F477" t="s">
        <v>6</v>
      </c>
      <c r="G477" t="s">
        <v>505</v>
      </c>
      <c r="H477" t="s">
        <v>505</v>
      </c>
      <c r="I477" t="s">
        <v>219</v>
      </c>
      <c r="J477" s="25">
        <v>159748</v>
      </c>
      <c r="K477" s="26">
        <v>27369.17</v>
      </c>
      <c r="L477" s="26">
        <v>92.18</v>
      </c>
    </row>
    <row r="478" spans="1:12" ht="16" customHeight="1">
      <c r="A478" t="s">
        <v>352</v>
      </c>
      <c r="B478" t="s">
        <v>3</v>
      </c>
      <c r="C478" t="s">
        <v>28</v>
      </c>
      <c r="D478" s="24">
        <v>45992</v>
      </c>
      <c r="E478" t="s">
        <v>375</v>
      </c>
      <c r="F478" t="s">
        <v>6</v>
      </c>
      <c r="G478" t="s">
        <v>505</v>
      </c>
      <c r="H478" t="s">
        <v>505</v>
      </c>
      <c r="I478" t="s">
        <v>219</v>
      </c>
      <c r="J478" s="25">
        <v>2582</v>
      </c>
      <c r="K478" s="26">
        <v>443.73</v>
      </c>
      <c r="L478" s="26">
        <v>2.42</v>
      </c>
    </row>
    <row r="479" spans="1:12" ht="16" customHeight="1">
      <c r="A479" t="s">
        <v>352</v>
      </c>
      <c r="B479" t="s">
        <v>3</v>
      </c>
      <c r="C479" t="s">
        <v>28</v>
      </c>
      <c r="D479" s="24">
        <v>45992</v>
      </c>
      <c r="E479" t="s">
        <v>509</v>
      </c>
      <c r="F479" t="s">
        <v>6</v>
      </c>
      <c r="G479" t="s">
        <v>505</v>
      </c>
      <c r="H479" t="s">
        <v>505</v>
      </c>
      <c r="I479" t="s">
        <v>219</v>
      </c>
      <c r="J479" s="25">
        <v>19</v>
      </c>
      <c r="K479" s="26">
        <v>3.29</v>
      </c>
      <c r="L479" s="26">
        <v>0.03</v>
      </c>
    </row>
    <row r="480" spans="1:12" ht="16" customHeight="1">
      <c r="A480" t="s">
        <v>352</v>
      </c>
      <c r="B480" t="s">
        <v>3</v>
      </c>
      <c r="C480" t="s">
        <v>28</v>
      </c>
      <c r="D480" s="24">
        <v>45992</v>
      </c>
      <c r="E480" t="s">
        <v>388</v>
      </c>
      <c r="F480" t="s">
        <v>6</v>
      </c>
      <c r="G480" t="s">
        <v>506</v>
      </c>
      <c r="H480" t="s">
        <v>506</v>
      </c>
      <c r="I480" t="s">
        <v>219</v>
      </c>
      <c r="J480" s="25">
        <v>2969</v>
      </c>
      <c r="K480" s="26">
        <v>514.14</v>
      </c>
      <c r="L480" s="26">
        <v>4.21</v>
      </c>
    </row>
    <row r="481" spans="1:12" ht="16" customHeight="1">
      <c r="A481" t="s">
        <v>321</v>
      </c>
      <c r="B481" t="s">
        <v>4</v>
      </c>
      <c r="C481" t="s">
        <v>28</v>
      </c>
      <c r="D481" s="24">
        <v>45992</v>
      </c>
      <c r="E481" t="s">
        <v>353</v>
      </c>
      <c r="F481" t="s">
        <v>5</v>
      </c>
      <c r="G481" t="s">
        <v>507</v>
      </c>
      <c r="H481" t="s">
        <v>507</v>
      </c>
      <c r="I481" t="s">
        <v>212</v>
      </c>
      <c r="J481" s="25">
        <v>35736628</v>
      </c>
      <c r="K481" s="26">
        <v>6113366.3700000001</v>
      </c>
      <c r="L481" s="26">
        <v>7923.31</v>
      </c>
    </row>
    <row r="482" spans="1:12" ht="16" customHeight="1">
      <c r="A482" t="s">
        <v>321</v>
      </c>
      <c r="B482" t="s">
        <v>4</v>
      </c>
      <c r="C482" t="s">
        <v>28</v>
      </c>
      <c r="D482" s="24">
        <v>45992</v>
      </c>
      <c r="E482" t="s">
        <v>362</v>
      </c>
      <c r="F482" t="s">
        <v>6</v>
      </c>
      <c r="G482" t="s">
        <v>505</v>
      </c>
      <c r="H482" t="s">
        <v>505</v>
      </c>
      <c r="I482" t="s">
        <v>219</v>
      </c>
      <c r="J482" s="25">
        <v>424229</v>
      </c>
      <c r="K482" s="26">
        <v>72721.17</v>
      </c>
      <c r="L482" s="26">
        <v>216.44</v>
      </c>
    </row>
    <row r="483" spans="1:12" ht="16" customHeight="1">
      <c r="A483" t="s">
        <v>321</v>
      </c>
      <c r="B483" t="s">
        <v>4</v>
      </c>
      <c r="C483" t="s">
        <v>28</v>
      </c>
      <c r="D483" s="24">
        <v>45992</v>
      </c>
      <c r="E483" t="s">
        <v>375</v>
      </c>
      <c r="F483" t="s">
        <v>6</v>
      </c>
      <c r="G483" t="s">
        <v>505</v>
      </c>
      <c r="H483" t="s">
        <v>505</v>
      </c>
      <c r="I483" t="s">
        <v>219</v>
      </c>
      <c r="J483" s="25">
        <v>4106</v>
      </c>
      <c r="K483" s="26">
        <v>707.64</v>
      </c>
      <c r="L483" s="26">
        <v>3.93</v>
      </c>
    </row>
    <row r="484" spans="1:12" ht="16" customHeight="1">
      <c r="A484" t="s">
        <v>321</v>
      </c>
      <c r="B484" t="s">
        <v>4</v>
      </c>
      <c r="C484" t="s">
        <v>28</v>
      </c>
      <c r="D484" s="24">
        <v>45992</v>
      </c>
      <c r="E484" t="s">
        <v>509</v>
      </c>
      <c r="F484" t="s">
        <v>6</v>
      </c>
      <c r="G484" t="s">
        <v>505</v>
      </c>
      <c r="H484" t="s">
        <v>505</v>
      </c>
      <c r="I484" t="s">
        <v>219</v>
      </c>
      <c r="J484" s="25">
        <v>37</v>
      </c>
      <c r="K484" s="26">
        <v>6.44</v>
      </c>
      <c r="L484" s="26">
        <v>0.06</v>
      </c>
    </row>
    <row r="485" spans="1:12" ht="16" customHeight="1">
      <c r="A485" t="s">
        <v>321</v>
      </c>
      <c r="B485" t="s">
        <v>4</v>
      </c>
      <c r="C485" t="s">
        <v>28</v>
      </c>
      <c r="D485" s="24">
        <v>45992</v>
      </c>
      <c r="E485" t="s">
        <v>388</v>
      </c>
      <c r="F485" t="s">
        <v>6</v>
      </c>
      <c r="G485" t="s">
        <v>506</v>
      </c>
      <c r="H485" t="s">
        <v>506</v>
      </c>
      <c r="I485" t="s">
        <v>219</v>
      </c>
      <c r="J485" s="25">
        <v>3514</v>
      </c>
      <c r="K485" s="26">
        <v>606.32000000000005</v>
      </c>
      <c r="L485" s="26">
        <v>5.04</v>
      </c>
    </row>
    <row r="486" spans="1:12" ht="16" customHeight="1">
      <c r="A486" t="s">
        <v>353</v>
      </c>
      <c r="B486" t="s">
        <v>5</v>
      </c>
      <c r="C486" t="s">
        <v>28</v>
      </c>
      <c r="D486" s="24">
        <v>45992</v>
      </c>
      <c r="E486" t="s">
        <v>353</v>
      </c>
      <c r="F486" t="s">
        <v>5</v>
      </c>
      <c r="G486" t="s">
        <v>507</v>
      </c>
      <c r="H486" t="s">
        <v>507</v>
      </c>
      <c r="I486" t="s">
        <v>212</v>
      </c>
      <c r="J486" s="25">
        <v>348719565</v>
      </c>
      <c r="K486" s="26">
        <v>59642107.770000003</v>
      </c>
      <c r="L486" s="26">
        <v>31288.97</v>
      </c>
    </row>
    <row r="487" spans="1:12" ht="16" customHeight="1">
      <c r="A487" t="s">
        <v>353</v>
      </c>
      <c r="B487" t="s">
        <v>5</v>
      </c>
      <c r="C487" t="s">
        <v>28</v>
      </c>
      <c r="D487" s="24">
        <v>45992</v>
      </c>
      <c r="E487" t="s">
        <v>362</v>
      </c>
      <c r="F487" t="s">
        <v>6</v>
      </c>
      <c r="G487" t="s">
        <v>505</v>
      </c>
      <c r="H487" t="s">
        <v>505</v>
      </c>
      <c r="I487" t="s">
        <v>219</v>
      </c>
      <c r="J487" s="25">
        <v>1622301</v>
      </c>
      <c r="K487" s="26">
        <v>278434.86</v>
      </c>
      <c r="L487" s="26">
        <v>643.71</v>
      </c>
    </row>
    <row r="488" spans="1:12" ht="16" customHeight="1">
      <c r="A488" t="s">
        <v>353</v>
      </c>
      <c r="B488" t="s">
        <v>5</v>
      </c>
      <c r="C488" t="s">
        <v>28</v>
      </c>
      <c r="D488" s="24">
        <v>45992</v>
      </c>
      <c r="E488" t="s">
        <v>375</v>
      </c>
      <c r="F488" t="s">
        <v>6</v>
      </c>
      <c r="G488" t="s">
        <v>505</v>
      </c>
      <c r="H488" t="s">
        <v>505</v>
      </c>
      <c r="I488" t="s">
        <v>219</v>
      </c>
      <c r="J488" s="25">
        <v>12217</v>
      </c>
      <c r="K488" s="26">
        <v>2101.09</v>
      </c>
      <c r="L488" s="26">
        <v>8.69</v>
      </c>
    </row>
    <row r="489" spans="1:12" ht="16" customHeight="1">
      <c r="A489" t="s">
        <v>353</v>
      </c>
      <c r="B489" t="s">
        <v>5</v>
      </c>
      <c r="C489" t="s">
        <v>28</v>
      </c>
      <c r="D489" s="24">
        <v>45992</v>
      </c>
      <c r="E489" t="s">
        <v>509</v>
      </c>
      <c r="F489" t="s">
        <v>6</v>
      </c>
      <c r="G489" t="s">
        <v>505</v>
      </c>
      <c r="H489" t="s">
        <v>505</v>
      </c>
      <c r="I489" t="s">
        <v>219</v>
      </c>
      <c r="J489" s="25">
        <v>42</v>
      </c>
      <c r="K489" s="26">
        <v>7.26</v>
      </c>
      <c r="L489" s="26">
        <v>0.05</v>
      </c>
    </row>
    <row r="490" spans="1:12" ht="16" customHeight="1">
      <c r="A490" t="s">
        <v>353</v>
      </c>
      <c r="B490" t="s">
        <v>5</v>
      </c>
      <c r="C490" t="s">
        <v>28</v>
      </c>
      <c r="D490" s="24">
        <v>45992</v>
      </c>
      <c r="E490" t="s">
        <v>388</v>
      </c>
      <c r="F490" t="s">
        <v>6</v>
      </c>
      <c r="G490" t="s">
        <v>506</v>
      </c>
      <c r="H490" t="s">
        <v>506</v>
      </c>
      <c r="I490" t="s">
        <v>219</v>
      </c>
      <c r="J490" s="25">
        <v>4453</v>
      </c>
      <c r="K490" s="26">
        <v>768.91</v>
      </c>
      <c r="L490" s="26">
        <v>5.51</v>
      </c>
    </row>
    <row r="491" spans="1:12" ht="16" customHeight="1">
      <c r="A491" t="s">
        <v>355</v>
      </c>
      <c r="B491" t="s">
        <v>7</v>
      </c>
      <c r="C491" t="s">
        <v>28</v>
      </c>
      <c r="D491" s="24">
        <v>45992</v>
      </c>
      <c r="E491" t="s">
        <v>362</v>
      </c>
      <c r="F491" t="s">
        <v>6</v>
      </c>
      <c r="G491" t="s">
        <v>505</v>
      </c>
      <c r="H491" t="s">
        <v>505</v>
      </c>
      <c r="I491" t="s">
        <v>219</v>
      </c>
      <c r="J491" s="25">
        <v>15658607</v>
      </c>
      <c r="K491" s="26">
        <v>2677604.88</v>
      </c>
      <c r="L491" s="26">
        <v>5674.62</v>
      </c>
    </row>
    <row r="492" spans="1:12" ht="16" customHeight="1">
      <c r="A492" t="s">
        <v>355</v>
      </c>
      <c r="B492" t="s">
        <v>7</v>
      </c>
      <c r="C492" t="s">
        <v>28</v>
      </c>
      <c r="D492" s="24">
        <v>45992</v>
      </c>
      <c r="E492" t="s">
        <v>375</v>
      </c>
      <c r="F492" t="s">
        <v>6</v>
      </c>
      <c r="G492" t="s">
        <v>505</v>
      </c>
      <c r="H492" t="s">
        <v>505</v>
      </c>
      <c r="I492" t="s">
        <v>219</v>
      </c>
      <c r="J492" s="25">
        <v>52518</v>
      </c>
      <c r="K492" s="26">
        <v>9009.39</v>
      </c>
      <c r="L492" s="26">
        <v>33.76</v>
      </c>
    </row>
    <row r="493" spans="1:12" ht="16" customHeight="1">
      <c r="A493" t="s">
        <v>355</v>
      </c>
      <c r="B493" t="s">
        <v>7</v>
      </c>
      <c r="C493" t="s">
        <v>28</v>
      </c>
      <c r="D493" s="24">
        <v>45992</v>
      </c>
      <c r="E493" t="s">
        <v>509</v>
      </c>
      <c r="F493" t="s">
        <v>6</v>
      </c>
      <c r="G493" t="s">
        <v>505</v>
      </c>
      <c r="H493" t="s">
        <v>505</v>
      </c>
      <c r="I493" t="s">
        <v>219</v>
      </c>
      <c r="J493" s="25">
        <v>431</v>
      </c>
      <c r="K493" s="26">
        <v>74.12</v>
      </c>
      <c r="L493" s="26">
        <v>0.47</v>
      </c>
    </row>
    <row r="494" spans="1:12" ht="16" customHeight="1">
      <c r="A494" t="s">
        <v>355</v>
      </c>
      <c r="B494" t="s">
        <v>7</v>
      </c>
      <c r="C494" t="s">
        <v>28</v>
      </c>
      <c r="D494" s="24">
        <v>45992</v>
      </c>
      <c r="E494" t="s">
        <v>384</v>
      </c>
      <c r="F494" t="s">
        <v>6</v>
      </c>
      <c r="G494" t="s">
        <v>505</v>
      </c>
      <c r="H494" t="s">
        <v>505</v>
      </c>
      <c r="I494" t="s">
        <v>219</v>
      </c>
      <c r="J494" s="25">
        <v>36</v>
      </c>
      <c r="K494" s="26">
        <v>6.23</v>
      </c>
      <c r="L494" s="26">
        <v>0.06</v>
      </c>
    </row>
    <row r="495" spans="1:12" ht="16" customHeight="1">
      <c r="A495" t="s">
        <v>355</v>
      </c>
      <c r="B495" t="s">
        <v>7</v>
      </c>
      <c r="C495" t="s">
        <v>28</v>
      </c>
      <c r="D495" s="24">
        <v>45992</v>
      </c>
      <c r="E495" t="s">
        <v>388</v>
      </c>
      <c r="F495" t="s">
        <v>6</v>
      </c>
      <c r="G495" t="s">
        <v>506</v>
      </c>
      <c r="H495" t="s">
        <v>506</v>
      </c>
      <c r="I495" t="s">
        <v>219</v>
      </c>
      <c r="J495" s="25">
        <v>7815</v>
      </c>
      <c r="K495" s="26">
        <v>1347.98</v>
      </c>
      <c r="L495" s="26">
        <v>9.9499999999999993</v>
      </c>
    </row>
    <row r="496" spans="1:12" ht="16" customHeight="1">
      <c r="A496" t="s">
        <v>355</v>
      </c>
      <c r="B496" t="s">
        <v>7</v>
      </c>
      <c r="C496" t="s">
        <v>28</v>
      </c>
      <c r="D496" s="24">
        <v>45992</v>
      </c>
      <c r="E496" t="s">
        <v>417</v>
      </c>
      <c r="F496" t="s">
        <v>6</v>
      </c>
      <c r="G496" t="s">
        <v>506</v>
      </c>
      <c r="H496" t="s">
        <v>506</v>
      </c>
      <c r="I496" t="s">
        <v>221</v>
      </c>
      <c r="J496" s="25">
        <v>1</v>
      </c>
      <c r="K496" s="26">
        <v>0.17</v>
      </c>
      <c r="L496" s="26">
        <v>0</v>
      </c>
    </row>
    <row r="497" spans="1:12" ht="16" customHeight="1">
      <c r="A497" t="s">
        <v>356</v>
      </c>
      <c r="B497" t="s">
        <v>3</v>
      </c>
      <c r="C497" t="s">
        <v>29</v>
      </c>
      <c r="D497" s="24">
        <v>45992</v>
      </c>
      <c r="E497" t="s">
        <v>362</v>
      </c>
      <c r="F497" t="s">
        <v>6</v>
      </c>
      <c r="G497" t="s">
        <v>505</v>
      </c>
      <c r="H497" t="s">
        <v>505</v>
      </c>
      <c r="I497" t="s">
        <v>219</v>
      </c>
      <c r="J497" s="25">
        <v>22647619</v>
      </c>
      <c r="K497" s="26">
        <v>3858754.58</v>
      </c>
      <c r="L497" s="26">
        <v>6910.91</v>
      </c>
    </row>
    <row r="498" spans="1:12" ht="16" customHeight="1">
      <c r="A498" t="s">
        <v>356</v>
      </c>
      <c r="B498" t="s">
        <v>3</v>
      </c>
      <c r="C498" t="s">
        <v>29</v>
      </c>
      <c r="D498" s="24">
        <v>45992</v>
      </c>
      <c r="E498" t="s">
        <v>375</v>
      </c>
      <c r="F498" t="s">
        <v>6</v>
      </c>
      <c r="G498" t="s">
        <v>505</v>
      </c>
      <c r="H498" t="s">
        <v>505</v>
      </c>
      <c r="I498" t="s">
        <v>219</v>
      </c>
      <c r="J498" s="25">
        <v>136766</v>
      </c>
      <c r="K498" s="26">
        <v>23379.43</v>
      </c>
      <c r="L498" s="26">
        <v>79.62</v>
      </c>
    </row>
    <row r="499" spans="1:12" ht="16" customHeight="1">
      <c r="A499" t="s">
        <v>356</v>
      </c>
      <c r="B499" t="s">
        <v>3</v>
      </c>
      <c r="C499" t="s">
        <v>29</v>
      </c>
      <c r="D499" s="24">
        <v>45992</v>
      </c>
      <c r="E499" t="s">
        <v>509</v>
      </c>
      <c r="F499" t="s">
        <v>6</v>
      </c>
      <c r="G499" t="s">
        <v>505</v>
      </c>
      <c r="H499" t="s">
        <v>505</v>
      </c>
      <c r="I499" t="s">
        <v>219</v>
      </c>
      <c r="J499" s="25">
        <v>778</v>
      </c>
      <c r="K499" s="26">
        <v>134.16</v>
      </c>
      <c r="L499" s="26">
        <v>0.71</v>
      </c>
    </row>
    <row r="500" spans="1:12" ht="16" customHeight="1">
      <c r="A500" t="s">
        <v>356</v>
      </c>
      <c r="B500" t="s">
        <v>3</v>
      </c>
      <c r="C500" t="s">
        <v>29</v>
      </c>
      <c r="D500" s="24">
        <v>45992</v>
      </c>
      <c r="E500" t="s">
        <v>384</v>
      </c>
      <c r="F500" t="s">
        <v>6</v>
      </c>
      <c r="G500" t="s">
        <v>505</v>
      </c>
      <c r="H500" t="s">
        <v>505</v>
      </c>
      <c r="I500" t="s">
        <v>219</v>
      </c>
      <c r="J500" s="25">
        <v>28</v>
      </c>
      <c r="K500" s="26">
        <v>4.82</v>
      </c>
      <c r="L500" s="26">
        <v>0.04</v>
      </c>
    </row>
    <row r="501" spans="1:12" ht="16" customHeight="1">
      <c r="A501" t="s">
        <v>356</v>
      </c>
      <c r="B501" t="s">
        <v>3</v>
      </c>
      <c r="C501" t="s">
        <v>29</v>
      </c>
      <c r="D501" s="24">
        <v>45992</v>
      </c>
      <c r="E501" t="s">
        <v>388</v>
      </c>
      <c r="F501" t="s">
        <v>6</v>
      </c>
      <c r="G501" t="s">
        <v>506</v>
      </c>
      <c r="H501" t="s">
        <v>506</v>
      </c>
      <c r="I501" t="s">
        <v>219</v>
      </c>
      <c r="J501" s="25">
        <v>7076</v>
      </c>
      <c r="K501" s="26">
        <v>1216.53</v>
      </c>
      <c r="L501" s="26">
        <v>9.33</v>
      </c>
    </row>
    <row r="502" spans="1:12" ht="16" customHeight="1">
      <c r="A502" t="s">
        <v>356</v>
      </c>
      <c r="B502" t="s">
        <v>3</v>
      </c>
      <c r="C502" t="s">
        <v>29</v>
      </c>
      <c r="D502" s="24">
        <v>45992</v>
      </c>
      <c r="E502" t="s">
        <v>417</v>
      </c>
      <c r="F502" t="s">
        <v>6</v>
      </c>
      <c r="G502" t="s">
        <v>506</v>
      </c>
      <c r="H502" t="s">
        <v>506</v>
      </c>
      <c r="I502" t="s">
        <v>221</v>
      </c>
      <c r="J502" s="25">
        <v>24</v>
      </c>
      <c r="K502" s="26">
        <v>3.92</v>
      </c>
      <c r="L502" s="26">
        <v>0.01</v>
      </c>
    </row>
    <row r="503" spans="1:12" ht="16" customHeight="1">
      <c r="A503" t="s">
        <v>222</v>
      </c>
      <c r="B503" t="s">
        <v>4</v>
      </c>
      <c r="C503" t="s">
        <v>29</v>
      </c>
      <c r="D503" s="24">
        <v>45992</v>
      </c>
      <c r="E503" t="s">
        <v>362</v>
      </c>
      <c r="F503" t="s">
        <v>6</v>
      </c>
      <c r="G503" t="s">
        <v>505</v>
      </c>
      <c r="H503" t="s">
        <v>505</v>
      </c>
      <c r="I503" t="s">
        <v>219</v>
      </c>
      <c r="J503" s="25">
        <v>28909632</v>
      </c>
      <c r="K503" s="26">
        <v>4914475.21</v>
      </c>
      <c r="L503" s="26">
        <v>7901.64</v>
      </c>
    </row>
    <row r="504" spans="1:12" ht="16" customHeight="1">
      <c r="A504" t="s">
        <v>222</v>
      </c>
      <c r="B504" t="s">
        <v>4</v>
      </c>
      <c r="C504" t="s">
        <v>29</v>
      </c>
      <c r="D504" s="24">
        <v>45992</v>
      </c>
      <c r="E504" t="s">
        <v>375</v>
      </c>
      <c r="F504" t="s">
        <v>6</v>
      </c>
      <c r="G504" t="s">
        <v>505</v>
      </c>
      <c r="H504" t="s">
        <v>505</v>
      </c>
      <c r="I504" t="s">
        <v>219</v>
      </c>
      <c r="J504" s="25">
        <v>270109</v>
      </c>
      <c r="K504" s="26">
        <v>46053.71</v>
      </c>
      <c r="L504" s="26">
        <v>139.15</v>
      </c>
    </row>
    <row r="505" spans="1:12" ht="16" customHeight="1">
      <c r="A505" t="s">
        <v>222</v>
      </c>
      <c r="B505" t="s">
        <v>4</v>
      </c>
      <c r="C505" t="s">
        <v>29</v>
      </c>
      <c r="D505" s="24">
        <v>45992</v>
      </c>
      <c r="E505" t="s">
        <v>509</v>
      </c>
      <c r="F505" t="s">
        <v>6</v>
      </c>
      <c r="G505" t="s">
        <v>505</v>
      </c>
      <c r="H505" t="s">
        <v>505</v>
      </c>
      <c r="I505" t="s">
        <v>219</v>
      </c>
      <c r="J505" s="25">
        <v>1567</v>
      </c>
      <c r="K505" s="26">
        <v>268.55</v>
      </c>
      <c r="L505" s="26">
        <v>1.54</v>
      </c>
    </row>
    <row r="506" spans="1:12" ht="16" customHeight="1">
      <c r="A506" t="s">
        <v>222</v>
      </c>
      <c r="B506" t="s">
        <v>4</v>
      </c>
      <c r="C506" t="s">
        <v>29</v>
      </c>
      <c r="D506" s="24">
        <v>45992</v>
      </c>
      <c r="E506" t="s">
        <v>384</v>
      </c>
      <c r="F506" t="s">
        <v>6</v>
      </c>
      <c r="G506" t="s">
        <v>505</v>
      </c>
      <c r="H506" t="s">
        <v>505</v>
      </c>
      <c r="I506" t="s">
        <v>219</v>
      </c>
      <c r="J506" s="25">
        <v>180</v>
      </c>
      <c r="K506" s="26">
        <v>30.91</v>
      </c>
      <c r="L506" s="26">
        <v>0.26</v>
      </c>
    </row>
    <row r="507" spans="1:12" ht="16" customHeight="1">
      <c r="A507" t="s">
        <v>222</v>
      </c>
      <c r="B507" t="s">
        <v>4</v>
      </c>
      <c r="C507" t="s">
        <v>29</v>
      </c>
      <c r="D507" s="24">
        <v>45992</v>
      </c>
      <c r="E507" t="s">
        <v>388</v>
      </c>
      <c r="F507" t="s">
        <v>6</v>
      </c>
      <c r="G507" t="s">
        <v>506</v>
      </c>
      <c r="H507" t="s">
        <v>506</v>
      </c>
      <c r="I507" t="s">
        <v>219</v>
      </c>
      <c r="J507" s="25">
        <v>7984</v>
      </c>
      <c r="K507" s="26">
        <v>1370.69</v>
      </c>
      <c r="L507" s="26">
        <v>8.8000000000000007</v>
      </c>
    </row>
    <row r="508" spans="1:12" ht="16" customHeight="1">
      <c r="A508" t="s">
        <v>222</v>
      </c>
      <c r="B508" t="s">
        <v>4</v>
      </c>
      <c r="C508" t="s">
        <v>29</v>
      </c>
      <c r="D508" s="24">
        <v>45992</v>
      </c>
      <c r="E508" t="s">
        <v>417</v>
      </c>
      <c r="F508" t="s">
        <v>6</v>
      </c>
      <c r="G508" t="s">
        <v>506</v>
      </c>
      <c r="H508" t="s">
        <v>506</v>
      </c>
      <c r="I508" t="s">
        <v>221</v>
      </c>
      <c r="J508" s="25">
        <v>7</v>
      </c>
      <c r="K508" s="26">
        <v>1.19</v>
      </c>
      <c r="L508" s="26">
        <v>0.01</v>
      </c>
    </row>
    <row r="509" spans="1:12" ht="16" customHeight="1">
      <c r="A509" t="s">
        <v>222</v>
      </c>
      <c r="B509" t="s">
        <v>4</v>
      </c>
      <c r="C509" t="s">
        <v>29</v>
      </c>
      <c r="D509" s="24">
        <v>45992</v>
      </c>
      <c r="E509" t="s">
        <v>435</v>
      </c>
      <c r="F509" t="s">
        <v>5</v>
      </c>
      <c r="G509" t="s">
        <v>510</v>
      </c>
      <c r="H509" t="s">
        <v>510</v>
      </c>
      <c r="I509" t="s">
        <v>223</v>
      </c>
      <c r="J509" s="25">
        <v>1</v>
      </c>
      <c r="K509" s="26">
        <v>0.17</v>
      </c>
      <c r="L509" s="26">
        <v>0</v>
      </c>
    </row>
    <row r="510" spans="1:12" ht="16" customHeight="1">
      <c r="A510" t="s">
        <v>359</v>
      </c>
      <c r="B510" t="s">
        <v>5</v>
      </c>
      <c r="C510" t="s">
        <v>29</v>
      </c>
      <c r="D510" s="24">
        <v>45992</v>
      </c>
      <c r="E510" t="s">
        <v>362</v>
      </c>
      <c r="F510" t="s">
        <v>6</v>
      </c>
      <c r="G510" t="s">
        <v>505</v>
      </c>
      <c r="H510" t="s">
        <v>505</v>
      </c>
      <c r="I510" t="s">
        <v>219</v>
      </c>
      <c r="J510" s="25">
        <v>125272593</v>
      </c>
      <c r="K510" s="26">
        <v>21336524.34</v>
      </c>
      <c r="L510" s="26">
        <v>24375.42</v>
      </c>
    </row>
    <row r="511" spans="1:12" ht="16" customHeight="1">
      <c r="A511" t="s">
        <v>359</v>
      </c>
      <c r="B511" t="s">
        <v>5</v>
      </c>
      <c r="C511" t="s">
        <v>29</v>
      </c>
      <c r="D511" s="24">
        <v>45992</v>
      </c>
      <c r="E511" t="s">
        <v>375</v>
      </c>
      <c r="F511" t="s">
        <v>6</v>
      </c>
      <c r="G511" t="s">
        <v>505</v>
      </c>
      <c r="H511" t="s">
        <v>505</v>
      </c>
      <c r="I511" t="s">
        <v>219</v>
      </c>
      <c r="J511" s="25">
        <v>864792</v>
      </c>
      <c r="K511" s="26">
        <v>147637.69</v>
      </c>
      <c r="L511" s="26">
        <v>355.32</v>
      </c>
    </row>
    <row r="512" spans="1:12" ht="16" customHeight="1">
      <c r="A512" t="s">
        <v>359</v>
      </c>
      <c r="B512" t="s">
        <v>5</v>
      </c>
      <c r="C512" t="s">
        <v>29</v>
      </c>
      <c r="D512" s="24">
        <v>45992</v>
      </c>
      <c r="E512" t="s">
        <v>509</v>
      </c>
      <c r="F512" t="s">
        <v>6</v>
      </c>
      <c r="G512" t="s">
        <v>505</v>
      </c>
      <c r="H512" t="s">
        <v>505</v>
      </c>
      <c r="I512" t="s">
        <v>219</v>
      </c>
      <c r="J512" s="25">
        <v>5282</v>
      </c>
      <c r="K512" s="26">
        <v>906.1</v>
      </c>
      <c r="L512" s="26">
        <v>5.04</v>
      </c>
    </row>
    <row r="513" spans="1:12" ht="16" customHeight="1">
      <c r="A513" t="s">
        <v>359</v>
      </c>
      <c r="B513" t="s">
        <v>5</v>
      </c>
      <c r="C513" t="s">
        <v>29</v>
      </c>
      <c r="D513" s="24">
        <v>45992</v>
      </c>
      <c r="E513" t="s">
        <v>384</v>
      </c>
      <c r="F513" t="s">
        <v>6</v>
      </c>
      <c r="G513" t="s">
        <v>505</v>
      </c>
      <c r="H513" t="s">
        <v>505</v>
      </c>
      <c r="I513" t="s">
        <v>219</v>
      </c>
      <c r="J513" s="25">
        <v>151</v>
      </c>
      <c r="K513" s="26">
        <v>26</v>
      </c>
      <c r="L513" s="26">
        <v>0.24</v>
      </c>
    </row>
    <row r="514" spans="1:12" ht="16" customHeight="1">
      <c r="A514" t="s">
        <v>359</v>
      </c>
      <c r="B514" t="s">
        <v>5</v>
      </c>
      <c r="C514" t="s">
        <v>29</v>
      </c>
      <c r="D514" s="24">
        <v>45992</v>
      </c>
      <c r="E514" t="s">
        <v>388</v>
      </c>
      <c r="F514" t="s">
        <v>6</v>
      </c>
      <c r="G514" t="s">
        <v>506</v>
      </c>
      <c r="H514" t="s">
        <v>506</v>
      </c>
      <c r="I514" t="s">
        <v>219</v>
      </c>
      <c r="J514" s="25">
        <v>16823</v>
      </c>
      <c r="K514" s="26">
        <v>2897.3</v>
      </c>
      <c r="L514" s="26">
        <v>21.49</v>
      </c>
    </row>
    <row r="515" spans="1:12" ht="16" customHeight="1">
      <c r="A515" t="s">
        <v>359</v>
      </c>
      <c r="B515" t="s">
        <v>5</v>
      </c>
      <c r="C515" t="s">
        <v>29</v>
      </c>
      <c r="D515" s="24">
        <v>45992</v>
      </c>
      <c r="E515" t="s">
        <v>417</v>
      </c>
      <c r="F515" t="s">
        <v>6</v>
      </c>
      <c r="G515" t="s">
        <v>506</v>
      </c>
      <c r="H515" t="s">
        <v>506</v>
      </c>
      <c r="I515" t="s">
        <v>221</v>
      </c>
      <c r="J515" s="25">
        <v>28</v>
      </c>
      <c r="K515" s="26">
        <v>4.8499999999999996</v>
      </c>
      <c r="L515" s="26">
        <v>0.09</v>
      </c>
    </row>
    <row r="516" spans="1:12" ht="16" customHeight="1">
      <c r="A516" t="s">
        <v>359</v>
      </c>
      <c r="B516" t="s">
        <v>5</v>
      </c>
      <c r="C516" t="s">
        <v>29</v>
      </c>
      <c r="D516" s="24">
        <v>45992</v>
      </c>
      <c r="E516" t="s">
        <v>435</v>
      </c>
      <c r="F516" t="s">
        <v>5</v>
      </c>
      <c r="G516" t="s">
        <v>510</v>
      </c>
      <c r="H516" t="s">
        <v>510</v>
      </c>
      <c r="I516" t="s">
        <v>223</v>
      </c>
      <c r="J516" s="25">
        <v>0</v>
      </c>
      <c r="K516" s="26">
        <v>0</v>
      </c>
      <c r="L516" s="26">
        <v>0</v>
      </c>
    </row>
    <row r="517" spans="1:12" ht="16" customHeight="1">
      <c r="A517" t="s">
        <v>362</v>
      </c>
      <c r="B517" t="s">
        <v>6</v>
      </c>
      <c r="C517" t="s">
        <v>30</v>
      </c>
      <c r="D517" s="24">
        <v>46023</v>
      </c>
      <c r="E517" t="s">
        <v>362</v>
      </c>
      <c r="F517" t="s">
        <v>6</v>
      </c>
      <c r="G517" t="s">
        <v>505</v>
      </c>
      <c r="H517" t="s">
        <v>505</v>
      </c>
      <c r="I517" t="s">
        <v>212</v>
      </c>
      <c r="J517" s="25">
        <v>420361430</v>
      </c>
      <c r="K517" s="26">
        <v>71712975.689999998</v>
      </c>
      <c r="L517" s="26">
        <v>36075.550000000003</v>
      </c>
    </row>
    <row r="518" spans="1:12" ht="16" customHeight="1">
      <c r="A518" t="s">
        <v>362</v>
      </c>
      <c r="B518" t="s">
        <v>6</v>
      </c>
      <c r="C518" t="s">
        <v>30</v>
      </c>
      <c r="D518" s="24">
        <v>46023</v>
      </c>
      <c r="E518" t="s">
        <v>375</v>
      </c>
      <c r="F518" t="s">
        <v>6</v>
      </c>
      <c r="G518" t="s">
        <v>505</v>
      </c>
      <c r="H518" t="s">
        <v>505</v>
      </c>
      <c r="I518" t="s">
        <v>212</v>
      </c>
      <c r="J518" s="25">
        <v>1772419</v>
      </c>
      <c r="K518" s="26">
        <v>302968.40999999997</v>
      </c>
      <c r="L518" s="26">
        <v>684.74</v>
      </c>
    </row>
    <row r="519" spans="1:12" ht="16" customHeight="1">
      <c r="A519" t="s">
        <v>362</v>
      </c>
      <c r="B519" t="s">
        <v>6</v>
      </c>
      <c r="C519" t="s">
        <v>30</v>
      </c>
      <c r="D519" s="24">
        <v>46023</v>
      </c>
      <c r="E519" t="s">
        <v>509</v>
      </c>
      <c r="F519" t="s">
        <v>6</v>
      </c>
      <c r="G519" t="s">
        <v>505</v>
      </c>
      <c r="H519" t="s">
        <v>505</v>
      </c>
      <c r="I519" t="s">
        <v>212</v>
      </c>
      <c r="J519" s="25">
        <v>11272</v>
      </c>
      <c r="K519" s="26">
        <v>1938.54</v>
      </c>
      <c r="L519" s="26">
        <v>8.0299999999999994</v>
      </c>
    </row>
    <row r="520" spans="1:12" ht="16" customHeight="1">
      <c r="A520" t="s">
        <v>362</v>
      </c>
      <c r="B520" t="s">
        <v>6</v>
      </c>
      <c r="C520" t="s">
        <v>30</v>
      </c>
      <c r="D520" s="24">
        <v>46023</v>
      </c>
      <c r="E520" t="s">
        <v>384</v>
      </c>
      <c r="F520" t="s">
        <v>6</v>
      </c>
      <c r="G520" t="s">
        <v>505</v>
      </c>
      <c r="H520" t="s">
        <v>505</v>
      </c>
      <c r="I520" t="s">
        <v>212</v>
      </c>
      <c r="J520" s="25">
        <v>249</v>
      </c>
      <c r="K520" s="26">
        <v>42.83</v>
      </c>
      <c r="L520" s="26">
        <v>0.3</v>
      </c>
    </row>
    <row r="521" spans="1:12" ht="16" customHeight="1">
      <c r="A521" t="s">
        <v>362</v>
      </c>
      <c r="B521" t="s">
        <v>6</v>
      </c>
      <c r="C521" t="s">
        <v>30</v>
      </c>
      <c r="D521" s="24">
        <v>46023</v>
      </c>
      <c r="E521" t="s">
        <v>388</v>
      </c>
      <c r="F521" t="s">
        <v>6</v>
      </c>
      <c r="G521" t="s">
        <v>506</v>
      </c>
      <c r="H521" t="s">
        <v>506</v>
      </c>
      <c r="I521" t="s">
        <v>212</v>
      </c>
      <c r="J521" s="25">
        <v>17052</v>
      </c>
      <c r="K521" s="26">
        <v>2932.89</v>
      </c>
      <c r="L521" s="26">
        <v>18.47</v>
      </c>
    </row>
    <row r="522" spans="1:12" ht="16" customHeight="1">
      <c r="A522" t="s">
        <v>362</v>
      </c>
      <c r="B522" t="s">
        <v>6</v>
      </c>
      <c r="C522" t="s">
        <v>30</v>
      </c>
      <c r="D522" s="24">
        <v>46023</v>
      </c>
      <c r="E522" t="s">
        <v>402</v>
      </c>
      <c r="F522" t="s">
        <v>6</v>
      </c>
      <c r="G522" t="s">
        <v>505</v>
      </c>
      <c r="H522" t="s">
        <v>505</v>
      </c>
      <c r="I522" t="s">
        <v>219</v>
      </c>
      <c r="J522" s="25">
        <v>3</v>
      </c>
      <c r="K522" s="26">
        <v>0.54</v>
      </c>
      <c r="L522" s="26">
        <v>0</v>
      </c>
    </row>
    <row r="523" spans="1:12" ht="16" customHeight="1">
      <c r="A523" t="s">
        <v>362</v>
      </c>
      <c r="B523" t="s">
        <v>6</v>
      </c>
      <c r="C523" t="s">
        <v>30</v>
      </c>
      <c r="D523" s="24">
        <v>46023</v>
      </c>
      <c r="E523" t="s">
        <v>417</v>
      </c>
      <c r="F523" t="s">
        <v>6</v>
      </c>
      <c r="G523" t="s">
        <v>506</v>
      </c>
      <c r="H523" t="s">
        <v>506</v>
      </c>
      <c r="I523" t="s">
        <v>219</v>
      </c>
      <c r="J523" s="25">
        <v>19</v>
      </c>
      <c r="K523" s="26">
        <v>3.31</v>
      </c>
      <c r="L523" s="26">
        <v>0.05</v>
      </c>
    </row>
    <row r="524" spans="1:12" ht="16" customHeight="1">
      <c r="A524" t="s">
        <v>362</v>
      </c>
      <c r="B524" t="s">
        <v>6</v>
      </c>
      <c r="C524" t="s">
        <v>30</v>
      </c>
      <c r="D524" s="24">
        <v>46023</v>
      </c>
      <c r="E524" t="s">
        <v>435</v>
      </c>
      <c r="F524" t="s">
        <v>5</v>
      </c>
      <c r="G524" t="s">
        <v>510</v>
      </c>
      <c r="H524" t="s">
        <v>510</v>
      </c>
      <c r="I524" t="s">
        <v>221</v>
      </c>
      <c r="J524" s="25">
        <v>0</v>
      </c>
      <c r="K524" s="26">
        <v>0</v>
      </c>
      <c r="L524" s="26">
        <v>0</v>
      </c>
    </row>
    <row r="525" spans="1:12" ht="16" customHeight="1">
      <c r="A525" t="s">
        <v>371</v>
      </c>
      <c r="B525" t="s">
        <v>7</v>
      </c>
      <c r="C525" t="s">
        <v>30</v>
      </c>
      <c r="D525" s="24">
        <v>46023</v>
      </c>
      <c r="E525" t="s">
        <v>375</v>
      </c>
      <c r="F525" t="s">
        <v>6</v>
      </c>
      <c r="G525" t="s">
        <v>505</v>
      </c>
      <c r="H525" t="s">
        <v>505</v>
      </c>
      <c r="I525" t="s">
        <v>212</v>
      </c>
      <c r="J525" s="25">
        <v>19212653</v>
      </c>
      <c r="K525" s="26">
        <v>3295966.97</v>
      </c>
      <c r="L525" s="26">
        <v>7054.88</v>
      </c>
    </row>
    <row r="526" spans="1:12" ht="16" customHeight="1">
      <c r="A526" t="s">
        <v>371</v>
      </c>
      <c r="B526" t="s">
        <v>7</v>
      </c>
      <c r="C526" t="s">
        <v>30</v>
      </c>
      <c r="D526" s="24">
        <v>46023</v>
      </c>
      <c r="E526" t="s">
        <v>509</v>
      </c>
      <c r="F526" t="s">
        <v>6</v>
      </c>
      <c r="G526" t="s">
        <v>505</v>
      </c>
      <c r="H526" t="s">
        <v>505</v>
      </c>
      <c r="I526" t="s">
        <v>212</v>
      </c>
      <c r="J526" s="25">
        <v>52148</v>
      </c>
      <c r="K526" s="26">
        <v>8978.61</v>
      </c>
      <c r="L526" s="26">
        <v>37.69</v>
      </c>
    </row>
    <row r="527" spans="1:12" ht="16" customHeight="1">
      <c r="A527" t="s">
        <v>371</v>
      </c>
      <c r="B527" t="s">
        <v>7</v>
      </c>
      <c r="C527" t="s">
        <v>30</v>
      </c>
      <c r="D527" s="24">
        <v>46023</v>
      </c>
      <c r="E527" t="s">
        <v>384</v>
      </c>
      <c r="F527" t="s">
        <v>6</v>
      </c>
      <c r="G527" t="s">
        <v>505</v>
      </c>
      <c r="H527" t="s">
        <v>505</v>
      </c>
      <c r="I527" t="s">
        <v>212</v>
      </c>
      <c r="J527" s="25">
        <v>1190</v>
      </c>
      <c r="K527" s="26">
        <v>204.98</v>
      </c>
      <c r="L527" s="26">
        <v>1.43</v>
      </c>
    </row>
    <row r="528" spans="1:12" ht="16" customHeight="1">
      <c r="A528" t="s">
        <v>371</v>
      </c>
      <c r="B528" t="s">
        <v>7</v>
      </c>
      <c r="C528" t="s">
        <v>30</v>
      </c>
      <c r="D528" s="24">
        <v>46023</v>
      </c>
      <c r="E528" t="s">
        <v>388</v>
      </c>
      <c r="F528" t="s">
        <v>6</v>
      </c>
      <c r="G528" t="s">
        <v>506</v>
      </c>
      <c r="H528" t="s">
        <v>506</v>
      </c>
      <c r="I528" t="s">
        <v>212</v>
      </c>
      <c r="J528" s="25">
        <v>18302</v>
      </c>
      <c r="K528" s="26">
        <v>3157.09</v>
      </c>
      <c r="L528" s="26">
        <v>17.760000000000002</v>
      </c>
    </row>
    <row r="529" spans="1:12" ht="16" customHeight="1">
      <c r="A529" t="s">
        <v>371</v>
      </c>
      <c r="B529" t="s">
        <v>7</v>
      </c>
      <c r="C529" t="s">
        <v>30</v>
      </c>
      <c r="D529" s="24">
        <v>46023</v>
      </c>
      <c r="E529" t="s">
        <v>402</v>
      </c>
      <c r="F529" t="s">
        <v>6</v>
      </c>
      <c r="G529" t="s">
        <v>505</v>
      </c>
      <c r="H529" t="s">
        <v>505</v>
      </c>
      <c r="I529" t="s">
        <v>219</v>
      </c>
      <c r="J529" s="25">
        <v>90</v>
      </c>
      <c r="K529" s="26">
        <v>16.12</v>
      </c>
      <c r="L529" s="26">
        <v>0.05</v>
      </c>
    </row>
    <row r="530" spans="1:12" ht="16" customHeight="1">
      <c r="A530" t="s">
        <v>371</v>
      </c>
      <c r="B530" t="s">
        <v>7</v>
      </c>
      <c r="C530" t="s">
        <v>30</v>
      </c>
      <c r="D530" s="24">
        <v>46023</v>
      </c>
      <c r="E530" t="s">
        <v>417</v>
      </c>
      <c r="F530" t="s">
        <v>6</v>
      </c>
      <c r="G530" t="s">
        <v>506</v>
      </c>
      <c r="H530" t="s">
        <v>506</v>
      </c>
      <c r="I530" t="s">
        <v>219</v>
      </c>
      <c r="J530" s="25">
        <v>671</v>
      </c>
      <c r="K530" s="26">
        <v>118.59</v>
      </c>
      <c r="L530" s="26">
        <v>1.02</v>
      </c>
    </row>
    <row r="531" spans="1:12" ht="16" customHeight="1">
      <c r="A531" t="s">
        <v>371</v>
      </c>
      <c r="B531" t="s">
        <v>7</v>
      </c>
      <c r="C531" t="s">
        <v>30</v>
      </c>
      <c r="D531" s="24">
        <v>46023</v>
      </c>
      <c r="E531" t="s">
        <v>435</v>
      </c>
      <c r="F531" t="s">
        <v>5</v>
      </c>
      <c r="G531" t="s">
        <v>510</v>
      </c>
      <c r="H531" t="s">
        <v>510</v>
      </c>
      <c r="I531" t="s">
        <v>221</v>
      </c>
      <c r="J531" s="25">
        <v>0</v>
      </c>
      <c r="K531" s="26">
        <v>0</v>
      </c>
      <c r="L531" s="26">
        <v>0</v>
      </c>
    </row>
    <row r="532" spans="1:12" ht="16" customHeight="1">
      <c r="A532" t="s">
        <v>372</v>
      </c>
      <c r="B532" t="s">
        <v>3</v>
      </c>
      <c r="C532" t="s">
        <v>30</v>
      </c>
      <c r="D532" s="24">
        <v>46023</v>
      </c>
      <c r="E532" t="s">
        <v>375</v>
      </c>
      <c r="F532" t="s">
        <v>6</v>
      </c>
      <c r="G532" t="s">
        <v>505</v>
      </c>
      <c r="H532" t="s">
        <v>505</v>
      </c>
      <c r="I532" t="s">
        <v>212</v>
      </c>
      <c r="J532" s="25">
        <v>35170686</v>
      </c>
      <c r="K532" s="26">
        <v>6032540.3200000003</v>
      </c>
      <c r="L532" s="26">
        <v>11426.47</v>
      </c>
    </row>
    <row r="533" spans="1:12" ht="16" customHeight="1">
      <c r="A533" t="s">
        <v>372</v>
      </c>
      <c r="B533" t="s">
        <v>3</v>
      </c>
      <c r="C533" t="s">
        <v>30</v>
      </c>
      <c r="D533" s="24">
        <v>46023</v>
      </c>
      <c r="E533" t="s">
        <v>509</v>
      </c>
      <c r="F533" t="s">
        <v>6</v>
      </c>
      <c r="G533" t="s">
        <v>505</v>
      </c>
      <c r="H533" t="s">
        <v>505</v>
      </c>
      <c r="I533" t="s">
        <v>212</v>
      </c>
      <c r="J533" s="25">
        <v>204832</v>
      </c>
      <c r="K533" s="26">
        <v>35230.46</v>
      </c>
      <c r="L533" s="26">
        <v>129.43</v>
      </c>
    </row>
    <row r="534" spans="1:12" ht="16" customHeight="1">
      <c r="A534" t="s">
        <v>372</v>
      </c>
      <c r="B534" t="s">
        <v>3</v>
      </c>
      <c r="C534" t="s">
        <v>30</v>
      </c>
      <c r="D534" s="24">
        <v>46023</v>
      </c>
      <c r="E534" t="s">
        <v>384</v>
      </c>
      <c r="F534" t="s">
        <v>6</v>
      </c>
      <c r="G534" t="s">
        <v>505</v>
      </c>
      <c r="H534" t="s">
        <v>505</v>
      </c>
      <c r="I534" t="s">
        <v>212</v>
      </c>
      <c r="J534" s="25">
        <v>2673</v>
      </c>
      <c r="K534" s="26">
        <v>462.07</v>
      </c>
      <c r="L534" s="26">
        <v>3.05</v>
      </c>
    </row>
    <row r="535" spans="1:12" ht="16" customHeight="1">
      <c r="A535" t="s">
        <v>372</v>
      </c>
      <c r="B535" t="s">
        <v>3</v>
      </c>
      <c r="C535" t="s">
        <v>30</v>
      </c>
      <c r="D535" s="24">
        <v>46023</v>
      </c>
      <c r="E535" t="s">
        <v>388</v>
      </c>
      <c r="F535" t="s">
        <v>6</v>
      </c>
      <c r="G535" t="s">
        <v>506</v>
      </c>
      <c r="H535" t="s">
        <v>506</v>
      </c>
      <c r="I535" t="s">
        <v>212</v>
      </c>
      <c r="J535" s="25">
        <v>28754</v>
      </c>
      <c r="K535" s="26">
        <v>4971.3500000000004</v>
      </c>
      <c r="L535" s="26">
        <v>28.98</v>
      </c>
    </row>
    <row r="536" spans="1:12" ht="16" customHeight="1">
      <c r="A536" t="s">
        <v>372</v>
      </c>
      <c r="B536" t="s">
        <v>3</v>
      </c>
      <c r="C536" t="s">
        <v>30</v>
      </c>
      <c r="D536" s="24">
        <v>46023</v>
      </c>
      <c r="E536" t="s">
        <v>402</v>
      </c>
      <c r="F536" t="s">
        <v>6</v>
      </c>
      <c r="G536" t="s">
        <v>505</v>
      </c>
      <c r="H536" t="s">
        <v>505</v>
      </c>
      <c r="I536" t="s">
        <v>219</v>
      </c>
      <c r="J536" s="25">
        <v>63</v>
      </c>
      <c r="K536" s="26">
        <v>11.35</v>
      </c>
      <c r="L536" s="26">
        <v>0.01</v>
      </c>
    </row>
    <row r="537" spans="1:12" ht="16" customHeight="1">
      <c r="A537" t="s">
        <v>372</v>
      </c>
      <c r="B537" t="s">
        <v>3</v>
      </c>
      <c r="C537" t="s">
        <v>30</v>
      </c>
      <c r="D537" s="24">
        <v>46023</v>
      </c>
      <c r="E537" t="s">
        <v>417</v>
      </c>
      <c r="F537" t="s">
        <v>6</v>
      </c>
      <c r="G537" t="s">
        <v>506</v>
      </c>
      <c r="H537" t="s">
        <v>506</v>
      </c>
      <c r="I537" t="s">
        <v>219</v>
      </c>
      <c r="J537" s="25">
        <v>320</v>
      </c>
      <c r="K537" s="26">
        <v>56.07</v>
      </c>
      <c r="L537" s="26">
        <v>0.66</v>
      </c>
    </row>
    <row r="538" spans="1:12" ht="16" customHeight="1">
      <c r="A538" t="s">
        <v>372</v>
      </c>
      <c r="B538" t="s">
        <v>3</v>
      </c>
      <c r="C538" t="s">
        <v>30</v>
      </c>
      <c r="D538" s="24">
        <v>46023</v>
      </c>
      <c r="E538" t="s">
        <v>435</v>
      </c>
      <c r="F538" t="s">
        <v>5</v>
      </c>
      <c r="G538" t="s">
        <v>510</v>
      </c>
      <c r="H538" t="s">
        <v>510</v>
      </c>
      <c r="I538" t="s">
        <v>221</v>
      </c>
      <c r="J538" s="25">
        <v>0</v>
      </c>
      <c r="K538" s="26">
        <v>0</v>
      </c>
      <c r="L538" s="26">
        <v>0</v>
      </c>
    </row>
    <row r="539" spans="1:12" ht="16" customHeight="1">
      <c r="A539" t="s">
        <v>339</v>
      </c>
      <c r="B539" t="s">
        <v>4</v>
      </c>
      <c r="C539" t="s">
        <v>30</v>
      </c>
      <c r="D539" s="24">
        <v>46023</v>
      </c>
      <c r="E539" t="s">
        <v>375</v>
      </c>
      <c r="F539" t="s">
        <v>6</v>
      </c>
      <c r="G539" t="s">
        <v>505</v>
      </c>
      <c r="H539" t="s">
        <v>505</v>
      </c>
      <c r="I539" t="s">
        <v>212</v>
      </c>
      <c r="J539" s="25">
        <v>38228435</v>
      </c>
      <c r="K539" s="26">
        <v>6532024.2400000002</v>
      </c>
      <c r="L539" s="26">
        <v>10229.950000000001</v>
      </c>
    </row>
    <row r="540" spans="1:12" ht="16" customHeight="1">
      <c r="A540" t="s">
        <v>339</v>
      </c>
      <c r="B540" t="s">
        <v>4</v>
      </c>
      <c r="C540" t="s">
        <v>30</v>
      </c>
      <c r="D540" s="24">
        <v>46023</v>
      </c>
      <c r="E540" t="s">
        <v>509</v>
      </c>
      <c r="F540" t="s">
        <v>6</v>
      </c>
      <c r="G540" t="s">
        <v>505</v>
      </c>
      <c r="H540" t="s">
        <v>505</v>
      </c>
      <c r="I540" t="s">
        <v>212</v>
      </c>
      <c r="J540" s="25">
        <v>392910</v>
      </c>
      <c r="K540" s="26">
        <v>67287.64</v>
      </c>
      <c r="L540" s="26">
        <v>202.41</v>
      </c>
    </row>
    <row r="541" spans="1:12" ht="16" customHeight="1">
      <c r="A541" t="s">
        <v>339</v>
      </c>
      <c r="B541" t="s">
        <v>4</v>
      </c>
      <c r="C541" t="s">
        <v>30</v>
      </c>
      <c r="D541" s="24">
        <v>46023</v>
      </c>
      <c r="E541" t="s">
        <v>384</v>
      </c>
      <c r="F541" t="s">
        <v>6</v>
      </c>
      <c r="G541" t="s">
        <v>505</v>
      </c>
      <c r="H541" t="s">
        <v>505</v>
      </c>
      <c r="I541" t="s">
        <v>212</v>
      </c>
      <c r="J541" s="25">
        <v>2087</v>
      </c>
      <c r="K541" s="26">
        <v>358.94</v>
      </c>
      <c r="L541" s="26">
        <v>2.46</v>
      </c>
    </row>
    <row r="542" spans="1:12" ht="16" customHeight="1">
      <c r="A542" t="s">
        <v>339</v>
      </c>
      <c r="B542" t="s">
        <v>4</v>
      </c>
      <c r="C542" t="s">
        <v>30</v>
      </c>
      <c r="D542" s="24">
        <v>46023</v>
      </c>
      <c r="E542" t="s">
        <v>388</v>
      </c>
      <c r="F542" t="s">
        <v>6</v>
      </c>
      <c r="G542" t="s">
        <v>506</v>
      </c>
      <c r="H542" t="s">
        <v>506</v>
      </c>
      <c r="I542" t="s">
        <v>212</v>
      </c>
      <c r="J542" s="25">
        <v>23445</v>
      </c>
      <c r="K542" s="26">
        <v>4036.5</v>
      </c>
      <c r="L542" s="26">
        <v>23.43</v>
      </c>
    </row>
    <row r="543" spans="1:12" ht="16" customHeight="1">
      <c r="A543" t="s">
        <v>339</v>
      </c>
      <c r="B543" t="s">
        <v>4</v>
      </c>
      <c r="C543" t="s">
        <v>30</v>
      </c>
      <c r="D543" s="24">
        <v>46023</v>
      </c>
      <c r="E543" t="s">
        <v>402</v>
      </c>
      <c r="F543" t="s">
        <v>6</v>
      </c>
      <c r="G543" t="s">
        <v>505</v>
      </c>
      <c r="H543" t="s">
        <v>505</v>
      </c>
      <c r="I543" t="s">
        <v>219</v>
      </c>
      <c r="J543" s="25">
        <v>10</v>
      </c>
      <c r="K543" s="26">
        <v>1.66</v>
      </c>
      <c r="L543" s="26">
        <v>0.01</v>
      </c>
    </row>
    <row r="544" spans="1:12" ht="16" customHeight="1">
      <c r="A544" t="s">
        <v>339</v>
      </c>
      <c r="B544" t="s">
        <v>4</v>
      </c>
      <c r="C544" t="s">
        <v>30</v>
      </c>
      <c r="D544" s="24">
        <v>46023</v>
      </c>
      <c r="E544" t="s">
        <v>417</v>
      </c>
      <c r="F544" t="s">
        <v>6</v>
      </c>
      <c r="G544" t="s">
        <v>506</v>
      </c>
      <c r="H544" t="s">
        <v>506</v>
      </c>
      <c r="I544" t="s">
        <v>219</v>
      </c>
      <c r="J544" s="25">
        <v>243</v>
      </c>
      <c r="K544" s="26">
        <v>42.48</v>
      </c>
      <c r="L544" s="26">
        <v>0.5</v>
      </c>
    </row>
    <row r="545" spans="1:12" ht="16" customHeight="1">
      <c r="A545" t="s">
        <v>339</v>
      </c>
      <c r="B545" t="s">
        <v>4</v>
      </c>
      <c r="C545" t="s">
        <v>30</v>
      </c>
      <c r="D545" s="24">
        <v>46023</v>
      </c>
      <c r="E545" t="s">
        <v>435</v>
      </c>
      <c r="F545" t="s">
        <v>5</v>
      </c>
      <c r="G545" t="s">
        <v>510</v>
      </c>
      <c r="H545" t="s">
        <v>510</v>
      </c>
      <c r="I545" t="s">
        <v>221</v>
      </c>
      <c r="J545" s="25">
        <v>0</v>
      </c>
      <c r="K545" s="26">
        <v>0</v>
      </c>
      <c r="L545" s="26">
        <v>0</v>
      </c>
    </row>
    <row r="546" spans="1:12" ht="16" customHeight="1">
      <c r="A546" t="s">
        <v>373</v>
      </c>
      <c r="B546" t="s">
        <v>5</v>
      </c>
      <c r="C546" t="s">
        <v>30</v>
      </c>
      <c r="D546" s="24">
        <v>46023</v>
      </c>
      <c r="E546" t="s">
        <v>375</v>
      </c>
      <c r="F546" t="s">
        <v>6</v>
      </c>
      <c r="G546" t="s">
        <v>505</v>
      </c>
      <c r="H546" t="s">
        <v>505</v>
      </c>
      <c r="I546" t="s">
        <v>212</v>
      </c>
      <c r="J546" s="25">
        <v>142154055</v>
      </c>
      <c r="K546" s="26">
        <v>24190582.18</v>
      </c>
      <c r="L546" s="26">
        <v>27403.81</v>
      </c>
    </row>
    <row r="547" spans="1:12" ht="16" customHeight="1">
      <c r="A547" t="s">
        <v>373</v>
      </c>
      <c r="B547" t="s">
        <v>5</v>
      </c>
      <c r="C547" t="s">
        <v>30</v>
      </c>
      <c r="D547" s="24">
        <v>46023</v>
      </c>
      <c r="E547" t="s">
        <v>509</v>
      </c>
      <c r="F547" t="s">
        <v>6</v>
      </c>
      <c r="G547" t="s">
        <v>505</v>
      </c>
      <c r="H547" t="s">
        <v>505</v>
      </c>
      <c r="I547" t="s">
        <v>212</v>
      </c>
      <c r="J547" s="25">
        <v>821106</v>
      </c>
      <c r="K547" s="26">
        <v>140372.51999999999</v>
      </c>
      <c r="L547" s="26">
        <v>321.07</v>
      </c>
    </row>
    <row r="548" spans="1:12" ht="16" customHeight="1">
      <c r="A548" t="s">
        <v>373</v>
      </c>
      <c r="B548" t="s">
        <v>5</v>
      </c>
      <c r="C548" t="s">
        <v>30</v>
      </c>
      <c r="D548" s="24">
        <v>46023</v>
      </c>
      <c r="E548" t="s">
        <v>384</v>
      </c>
      <c r="F548" t="s">
        <v>6</v>
      </c>
      <c r="G548" t="s">
        <v>505</v>
      </c>
      <c r="H548" t="s">
        <v>505</v>
      </c>
      <c r="I548" t="s">
        <v>212</v>
      </c>
      <c r="J548" s="25">
        <v>4405</v>
      </c>
      <c r="K548" s="26">
        <v>755.6</v>
      </c>
      <c r="L548" s="26">
        <v>4.4800000000000004</v>
      </c>
    </row>
    <row r="549" spans="1:12" ht="16" customHeight="1">
      <c r="A549" t="s">
        <v>373</v>
      </c>
      <c r="B549" t="s">
        <v>5</v>
      </c>
      <c r="C549" t="s">
        <v>30</v>
      </c>
      <c r="D549" s="24">
        <v>46023</v>
      </c>
      <c r="E549" t="s">
        <v>388</v>
      </c>
      <c r="F549" t="s">
        <v>6</v>
      </c>
      <c r="G549" t="s">
        <v>506</v>
      </c>
      <c r="H549" t="s">
        <v>506</v>
      </c>
      <c r="I549" t="s">
        <v>212</v>
      </c>
      <c r="J549" s="25">
        <v>26023</v>
      </c>
      <c r="K549" s="26">
        <v>4468.0600000000004</v>
      </c>
      <c r="L549" s="26">
        <v>24.49</v>
      </c>
    </row>
    <row r="550" spans="1:12" ht="16" customHeight="1">
      <c r="A550" t="s">
        <v>373</v>
      </c>
      <c r="B550" t="s">
        <v>5</v>
      </c>
      <c r="C550" t="s">
        <v>30</v>
      </c>
      <c r="D550" s="24">
        <v>46023</v>
      </c>
      <c r="E550" t="s">
        <v>402</v>
      </c>
      <c r="F550" t="s">
        <v>6</v>
      </c>
      <c r="G550" t="s">
        <v>505</v>
      </c>
      <c r="H550" t="s">
        <v>505</v>
      </c>
      <c r="I550" t="s">
        <v>219</v>
      </c>
      <c r="J550" s="25">
        <v>37</v>
      </c>
      <c r="K550" s="26">
        <v>6.44</v>
      </c>
      <c r="L550" s="26">
        <v>0.01</v>
      </c>
    </row>
    <row r="551" spans="1:12" ht="16" customHeight="1">
      <c r="A551" t="s">
        <v>373</v>
      </c>
      <c r="B551" t="s">
        <v>5</v>
      </c>
      <c r="C551" t="s">
        <v>30</v>
      </c>
      <c r="D551" s="24">
        <v>46023</v>
      </c>
      <c r="E551" t="s">
        <v>407</v>
      </c>
      <c r="F551" t="s">
        <v>6</v>
      </c>
      <c r="G551" t="s">
        <v>505</v>
      </c>
      <c r="H551" t="s">
        <v>505</v>
      </c>
      <c r="I551" t="s">
        <v>219</v>
      </c>
      <c r="J551" s="25">
        <v>2</v>
      </c>
      <c r="K551" s="26">
        <v>0.32</v>
      </c>
      <c r="L551" s="26">
        <v>0</v>
      </c>
    </row>
    <row r="552" spans="1:12" ht="16" customHeight="1">
      <c r="A552" t="s">
        <v>373</v>
      </c>
      <c r="B552" t="s">
        <v>5</v>
      </c>
      <c r="C552" t="s">
        <v>30</v>
      </c>
      <c r="D552" s="24">
        <v>46023</v>
      </c>
      <c r="E552" t="s">
        <v>412</v>
      </c>
      <c r="F552" t="s">
        <v>6</v>
      </c>
      <c r="G552" t="s">
        <v>505</v>
      </c>
      <c r="H552" t="s">
        <v>505</v>
      </c>
      <c r="I552" t="s">
        <v>219</v>
      </c>
      <c r="J552" s="25">
        <v>1</v>
      </c>
      <c r="K552" s="26">
        <v>0.17</v>
      </c>
      <c r="L552" s="26">
        <v>0</v>
      </c>
    </row>
    <row r="553" spans="1:12" ht="16" customHeight="1">
      <c r="A553" t="s">
        <v>373</v>
      </c>
      <c r="B553" t="s">
        <v>5</v>
      </c>
      <c r="C553" t="s">
        <v>30</v>
      </c>
      <c r="D553" s="24">
        <v>46023</v>
      </c>
      <c r="E553" t="s">
        <v>417</v>
      </c>
      <c r="F553" t="s">
        <v>6</v>
      </c>
      <c r="G553" t="s">
        <v>506</v>
      </c>
      <c r="H553" t="s">
        <v>506</v>
      </c>
      <c r="I553" t="s">
        <v>219</v>
      </c>
      <c r="J553" s="25">
        <v>334</v>
      </c>
      <c r="K553" s="26">
        <v>57.88</v>
      </c>
      <c r="L553" s="26">
        <v>0.9</v>
      </c>
    </row>
    <row r="554" spans="1:12" ht="16" customHeight="1">
      <c r="A554" t="s">
        <v>373</v>
      </c>
      <c r="B554" t="s">
        <v>5</v>
      </c>
      <c r="C554" t="s">
        <v>30</v>
      </c>
      <c r="D554" s="24">
        <v>46023</v>
      </c>
      <c r="E554" t="s">
        <v>435</v>
      </c>
      <c r="F554" t="s">
        <v>5</v>
      </c>
      <c r="G554" t="s">
        <v>510</v>
      </c>
      <c r="H554" t="s">
        <v>510</v>
      </c>
      <c r="I554" t="s">
        <v>221</v>
      </c>
      <c r="J554" s="25">
        <v>0</v>
      </c>
      <c r="K554" s="26">
        <v>0</v>
      </c>
      <c r="L554" s="26">
        <v>0</v>
      </c>
    </row>
    <row r="555" spans="1:12" ht="16" customHeight="1">
      <c r="A555" t="s">
        <v>375</v>
      </c>
      <c r="B555" t="s">
        <v>6</v>
      </c>
      <c r="C555" t="s">
        <v>31</v>
      </c>
      <c r="D555" s="24">
        <v>46023</v>
      </c>
      <c r="E555" t="s">
        <v>375</v>
      </c>
      <c r="F555" t="s">
        <v>6</v>
      </c>
      <c r="G555" t="s">
        <v>505</v>
      </c>
      <c r="H555" t="s">
        <v>505</v>
      </c>
      <c r="I555" t="s">
        <v>212</v>
      </c>
      <c r="J555" s="25">
        <v>469209067</v>
      </c>
      <c r="K555" s="26">
        <v>79350006.810000002</v>
      </c>
      <c r="L555" s="26">
        <v>44598.5</v>
      </c>
    </row>
    <row r="556" spans="1:12" ht="16" customHeight="1">
      <c r="A556" t="s">
        <v>375</v>
      </c>
      <c r="B556" t="s">
        <v>6</v>
      </c>
      <c r="C556" t="s">
        <v>31</v>
      </c>
      <c r="D556" s="24">
        <v>46023</v>
      </c>
      <c r="E556" t="s">
        <v>509</v>
      </c>
      <c r="F556" t="s">
        <v>6</v>
      </c>
      <c r="G556" t="s">
        <v>505</v>
      </c>
      <c r="H556" t="s">
        <v>505</v>
      </c>
      <c r="I556" t="s">
        <v>212</v>
      </c>
      <c r="J556" s="25">
        <v>3116341</v>
      </c>
      <c r="K556" s="26">
        <v>529798.43000000005</v>
      </c>
      <c r="L556" s="26">
        <v>1169.97</v>
      </c>
    </row>
    <row r="557" spans="1:12" ht="16" customHeight="1">
      <c r="A557" t="s">
        <v>375</v>
      </c>
      <c r="B557" t="s">
        <v>6</v>
      </c>
      <c r="C557" t="s">
        <v>31</v>
      </c>
      <c r="D557" s="24">
        <v>46023</v>
      </c>
      <c r="E557" t="s">
        <v>384</v>
      </c>
      <c r="F557" t="s">
        <v>6</v>
      </c>
      <c r="G557" t="s">
        <v>505</v>
      </c>
      <c r="H557" t="s">
        <v>505</v>
      </c>
      <c r="I557" t="s">
        <v>212</v>
      </c>
      <c r="J557" s="25">
        <v>15737</v>
      </c>
      <c r="K557" s="26">
        <v>2685.07</v>
      </c>
      <c r="L557" s="26">
        <v>13.88</v>
      </c>
    </row>
    <row r="558" spans="1:12" ht="16" customHeight="1">
      <c r="A558" t="s">
        <v>375</v>
      </c>
      <c r="B558" t="s">
        <v>6</v>
      </c>
      <c r="C558" t="s">
        <v>31</v>
      </c>
      <c r="D558" s="24">
        <v>46023</v>
      </c>
      <c r="E558" t="s">
        <v>388</v>
      </c>
      <c r="F558" t="s">
        <v>6</v>
      </c>
      <c r="G558" t="s">
        <v>506</v>
      </c>
      <c r="H558" t="s">
        <v>506</v>
      </c>
      <c r="I558" t="s">
        <v>212</v>
      </c>
      <c r="J558" s="25">
        <v>48926</v>
      </c>
      <c r="K558" s="26">
        <v>8359.1</v>
      </c>
      <c r="L558" s="26">
        <v>49.51</v>
      </c>
    </row>
    <row r="559" spans="1:12" ht="16" customHeight="1">
      <c r="A559" t="s">
        <v>375</v>
      </c>
      <c r="B559" t="s">
        <v>6</v>
      </c>
      <c r="C559" t="s">
        <v>31</v>
      </c>
      <c r="D559" s="24">
        <v>46023</v>
      </c>
      <c r="E559" t="s">
        <v>402</v>
      </c>
      <c r="F559" t="s">
        <v>6</v>
      </c>
      <c r="G559" t="s">
        <v>505</v>
      </c>
      <c r="H559" t="s">
        <v>505</v>
      </c>
      <c r="I559" t="s">
        <v>219</v>
      </c>
      <c r="J559" s="25">
        <v>18</v>
      </c>
      <c r="K559" s="26">
        <v>3.06</v>
      </c>
      <c r="L559" s="26">
        <v>0</v>
      </c>
    </row>
    <row r="560" spans="1:12" ht="16" customHeight="1">
      <c r="A560" t="s">
        <v>375</v>
      </c>
      <c r="B560" t="s">
        <v>6</v>
      </c>
      <c r="C560" t="s">
        <v>31</v>
      </c>
      <c r="D560" s="24">
        <v>46023</v>
      </c>
      <c r="E560" t="s">
        <v>407</v>
      </c>
      <c r="F560" t="s">
        <v>6</v>
      </c>
      <c r="G560" t="s">
        <v>505</v>
      </c>
      <c r="H560" t="s">
        <v>505</v>
      </c>
      <c r="I560" t="s">
        <v>219</v>
      </c>
      <c r="J560" s="25">
        <v>0</v>
      </c>
      <c r="K560" s="26">
        <v>0</v>
      </c>
      <c r="L560" s="26">
        <v>0</v>
      </c>
    </row>
    <row r="561" spans="1:12" ht="16" customHeight="1">
      <c r="A561" t="s">
        <v>375</v>
      </c>
      <c r="B561" t="s">
        <v>6</v>
      </c>
      <c r="C561" t="s">
        <v>31</v>
      </c>
      <c r="D561" s="24">
        <v>46023</v>
      </c>
      <c r="E561" t="s">
        <v>412</v>
      </c>
      <c r="F561" t="s">
        <v>6</v>
      </c>
      <c r="G561" t="s">
        <v>505</v>
      </c>
      <c r="H561" t="s">
        <v>505</v>
      </c>
      <c r="I561" t="s">
        <v>219</v>
      </c>
      <c r="J561" s="25">
        <v>0</v>
      </c>
      <c r="K561" s="26">
        <v>0</v>
      </c>
      <c r="L561" s="26">
        <v>0</v>
      </c>
    </row>
    <row r="562" spans="1:12" ht="16" customHeight="1">
      <c r="A562" t="s">
        <v>375</v>
      </c>
      <c r="B562" t="s">
        <v>6</v>
      </c>
      <c r="C562" t="s">
        <v>31</v>
      </c>
      <c r="D562" s="24">
        <v>46023</v>
      </c>
      <c r="E562" t="s">
        <v>417</v>
      </c>
      <c r="F562" t="s">
        <v>6</v>
      </c>
      <c r="G562" t="s">
        <v>506</v>
      </c>
      <c r="H562" t="s">
        <v>506</v>
      </c>
      <c r="I562" t="s">
        <v>219</v>
      </c>
      <c r="J562" s="25">
        <v>1598</v>
      </c>
      <c r="K562" s="26">
        <v>275.68</v>
      </c>
      <c r="L562" s="26">
        <v>3.47</v>
      </c>
    </row>
    <row r="563" spans="1:12" ht="16" customHeight="1">
      <c r="A563" t="s">
        <v>375</v>
      </c>
      <c r="B563" t="s">
        <v>6</v>
      </c>
      <c r="C563" t="s">
        <v>31</v>
      </c>
      <c r="D563" s="24">
        <v>46023</v>
      </c>
      <c r="E563" t="s">
        <v>435</v>
      </c>
      <c r="F563" t="s">
        <v>5</v>
      </c>
      <c r="G563" t="s">
        <v>510</v>
      </c>
      <c r="H563" t="s">
        <v>510</v>
      </c>
      <c r="I563" t="s">
        <v>221</v>
      </c>
      <c r="J563" s="25">
        <v>0</v>
      </c>
      <c r="K563" s="26">
        <v>0</v>
      </c>
      <c r="L563" s="26">
        <v>0</v>
      </c>
    </row>
    <row r="564" spans="1:12" ht="16" customHeight="1">
      <c r="A564" t="s">
        <v>376</v>
      </c>
      <c r="B564" t="s">
        <v>7</v>
      </c>
      <c r="C564" t="s">
        <v>31</v>
      </c>
      <c r="D564" s="24">
        <v>46023</v>
      </c>
      <c r="E564" t="s">
        <v>509</v>
      </c>
      <c r="F564" t="s">
        <v>6</v>
      </c>
      <c r="G564" t="s">
        <v>505</v>
      </c>
      <c r="H564" t="s">
        <v>505</v>
      </c>
      <c r="I564" t="s">
        <v>212</v>
      </c>
      <c r="J564" s="25">
        <v>30504563</v>
      </c>
      <c r="K564" s="26">
        <v>5133235.95</v>
      </c>
      <c r="L564" s="26">
        <v>12888.39</v>
      </c>
    </row>
    <row r="565" spans="1:12" ht="16" customHeight="1">
      <c r="A565" t="s">
        <v>376</v>
      </c>
      <c r="B565" t="s">
        <v>7</v>
      </c>
      <c r="C565" t="s">
        <v>31</v>
      </c>
      <c r="D565" s="24">
        <v>46023</v>
      </c>
      <c r="E565" t="s">
        <v>384</v>
      </c>
      <c r="F565" t="s">
        <v>6</v>
      </c>
      <c r="G565" t="s">
        <v>505</v>
      </c>
      <c r="H565" t="s">
        <v>505</v>
      </c>
      <c r="I565" t="s">
        <v>212</v>
      </c>
      <c r="J565" s="25">
        <v>105185</v>
      </c>
      <c r="K565" s="26">
        <v>17812.84</v>
      </c>
      <c r="L565" s="26">
        <v>79.540000000000006</v>
      </c>
    </row>
    <row r="566" spans="1:12" ht="16" customHeight="1">
      <c r="A566" t="s">
        <v>376</v>
      </c>
      <c r="B566" t="s">
        <v>7</v>
      </c>
      <c r="C566" t="s">
        <v>31</v>
      </c>
      <c r="D566" s="24">
        <v>46023</v>
      </c>
      <c r="E566" t="s">
        <v>388</v>
      </c>
      <c r="F566" t="s">
        <v>6</v>
      </c>
      <c r="G566" t="s">
        <v>506</v>
      </c>
      <c r="H566" t="s">
        <v>506</v>
      </c>
      <c r="I566" t="s">
        <v>212</v>
      </c>
      <c r="J566" s="25">
        <v>61918</v>
      </c>
      <c r="K566" s="26">
        <v>10506.44</v>
      </c>
      <c r="L566" s="26">
        <v>57.7</v>
      </c>
    </row>
    <row r="567" spans="1:12" ht="16" customHeight="1">
      <c r="A567" t="s">
        <v>376</v>
      </c>
      <c r="B567" t="s">
        <v>7</v>
      </c>
      <c r="C567" t="s">
        <v>31</v>
      </c>
      <c r="D567" s="24">
        <v>46023</v>
      </c>
      <c r="E567" t="s">
        <v>402</v>
      </c>
      <c r="F567" t="s">
        <v>6</v>
      </c>
      <c r="G567" t="s">
        <v>505</v>
      </c>
      <c r="H567" t="s">
        <v>505</v>
      </c>
      <c r="I567" t="s">
        <v>219</v>
      </c>
      <c r="J567" s="25">
        <v>654</v>
      </c>
      <c r="K567" s="26">
        <v>112.08</v>
      </c>
      <c r="L567" s="26">
        <v>1.22</v>
      </c>
    </row>
    <row r="568" spans="1:12" ht="16" customHeight="1">
      <c r="A568" t="s">
        <v>376</v>
      </c>
      <c r="B568" t="s">
        <v>7</v>
      </c>
      <c r="C568" t="s">
        <v>31</v>
      </c>
      <c r="D568" s="24">
        <v>46023</v>
      </c>
      <c r="E568" t="s">
        <v>407</v>
      </c>
      <c r="F568" t="s">
        <v>6</v>
      </c>
      <c r="G568" t="s">
        <v>505</v>
      </c>
      <c r="H568" t="s">
        <v>505</v>
      </c>
      <c r="I568" t="s">
        <v>219</v>
      </c>
      <c r="J568" s="25">
        <v>0</v>
      </c>
      <c r="K568" s="26">
        <v>0</v>
      </c>
      <c r="L568" s="26">
        <v>0</v>
      </c>
    </row>
    <row r="569" spans="1:12" ht="16" customHeight="1">
      <c r="A569" t="s">
        <v>376</v>
      </c>
      <c r="B569" t="s">
        <v>7</v>
      </c>
      <c r="C569" t="s">
        <v>31</v>
      </c>
      <c r="D569" s="24">
        <v>46023</v>
      </c>
      <c r="E569" t="s">
        <v>412</v>
      </c>
      <c r="F569" t="s">
        <v>6</v>
      </c>
      <c r="G569" t="s">
        <v>505</v>
      </c>
      <c r="H569" t="s">
        <v>505</v>
      </c>
      <c r="I569" t="s">
        <v>219</v>
      </c>
      <c r="J569" s="25">
        <v>1</v>
      </c>
      <c r="K569" s="26">
        <v>0.17</v>
      </c>
      <c r="L569" s="26">
        <v>0</v>
      </c>
    </row>
    <row r="570" spans="1:12" ht="16" customHeight="1">
      <c r="A570" t="s">
        <v>376</v>
      </c>
      <c r="B570" t="s">
        <v>7</v>
      </c>
      <c r="C570" t="s">
        <v>31</v>
      </c>
      <c r="D570" s="24">
        <v>46023</v>
      </c>
      <c r="E570" t="s">
        <v>417</v>
      </c>
      <c r="F570" t="s">
        <v>6</v>
      </c>
      <c r="G570" t="s">
        <v>506</v>
      </c>
      <c r="H570" t="s">
        <v>506</v>
      </c>
      <c r="I570" t="s">
        <v>219</v>
      </c>
      <c r="J570" s="25">
        <v>2100</v>
      </c>
      <c r="K570" s="26">
        <v>360.9</v>
      </c>
      <c r="L570" s="26">
        <v>3.91</v>
      </c>
    </row>
    <row r="571" spans="1:12" ht="16" customHeight="1">
      <c r="A571" t="s">
        <v>376</v>
      </c>
      <c r="B571" t="s">
        <v>7</v>
      </c>
      <c r="C571" t="s">
        <v>31</v>
      </c>
      <c r="D571" s="24">
        <v>46023</v>
      </c>
      <c r="E571" t="s">
        <v>435</v>
      </c>
      <c r="F571" t="s">
        <v>5</v>
      </c>
      <c r="G571" t="s">
        <v>510</v>
      </c>
      <c r="H571" t="s">
        <v>510</v>
      </c>
      <c r="I571" t="s">
        <v>221</v>
      </c>
      <c r="J571" s="25">
        <v>0</v>
      </c>
      <c r="K571" s="26">
        <v>0</v>
      </c>
      <c r="L571" s="26">
        <v>0</v>
      </c>
    </row>
    <row r="572" spans="1:12" ht="16" customHeight="1">
      <c r="A572" t="s">
        <v>377</v>
      </c>
      <c r="B572" t="s">
        <v>3</v>
      </c>
      <c r="C572" t="s">
        <v>31</v>
      </c>
      <c r="D572" s="24">
        <v>46023</v>
      </c>
      <c r="E572" t="s">
        <v>509</v>
      </c>
      <c r="F572" t="s">
        <v>6</v>
      </c>
      <c r="G572" t="s">
        <v>505</v>
      </c>
      <c r="H572" t="s">
        <v>505</v>
      </c>
      <c r="I572" t="s">
        <v>212</v>
      </c>
      <c r="J572" s="25">
        <v>39080816</v>
      </c>
      <c r="K572" s="26">
        <v>6543140.1799999997</v>
      </c>
      <c r="L572" s="26">
        <v>15703.93</v>
      </c>
    </row>
    <row r="573" spans="1:12" ht="16" customHeight="1">
      <c r="A573" t="s">
        <v>377</v>
      </c>
      <c r="B573" t="s">
        <v>3</v>
      </c>
      <c r="C573" t="s">
        <v>31</v>
      </c>
      <c r="D573" s="24">
        <v>46023</v>
      </c>
      <c r="E573" t="s">
        <v>384</v>
      </c>
      <c r="F573" t="s">
        <v>6</v>
      </c>
      <c r="G573" t="s">
        <v>505</v>
      </c>
      <c r="H573" t="s">
        <v>505</v>
      </c>
      <c r="I573" t="s">
        <v>212</v>
      </c>
      <c r="J573" s="25">
        <v>230816</v>
      </c>
      <c r="K573" s="26">
        <v>38878.92</v>
      </c>
      <c r="L573" s="26">
        <v>161.83000000000001</v>
      </c>
    </row>
    <row r="574" spans="1:12" ht="16" customHeight="1">
      <c r="A574" t="s">
        <v>377</v>
      </c>
      <c r="B574" t="s">
        <v>3</v>
      </c>
      <c r="C574" t="s">
        <v>31</v>
      </c>
      <c r="D574" s="24">
        <v>46023</v>
      </c>
      <c r="E574" t="s">
        <v>388</v>
      </c>
      <c r="F574" t="s">
        <v>6</v>
      </c>
      <c r="G574" t="s">
        <v>506</v>
      </c>
      <c r="H574" t="s">
        <v>506</v>
      </c>
      <c r="I574" t="s">
        <v>212</v>
      </c>
      <c r="J574" s="25">
        <v>91586</v>
      </c>
      <c r="K574" s="26">
        <v>15448.15</v>
      </c>
      <c r="L574" s="26">
        <v>84</v>
      </c>
    </row>
    <row r="575" spans="1:12" ht="16" customHeight="1">
      <c r="A575" t="s">
        <v>377</v>
      </c>
      <c r="B575" t="s">
        <v>3</v>
      </c>
      <c r="C575" t="s">
        <v>31</v>
      </c>
      <c r="D575" s="24">
        <v>46023</v>
      </c>
      <c r="E575" t="s">
        <v>402</v>
      </c>
      <c r="F575" t="s">
        <v>6</v>
      </c>
      <c r="G575" t="s">
        <v>505</v>
      </c>
      <c r="H575" t="s">
        <v>505</v>
      </c>
      <c r="I575" t="s">
        <v>219</v>
      </c>
      <c r="J575" s="25">
        <v>3523</v>
      </c>
      <c r="K575" s="26">
        <v>596.89</v>
      </c>
      <c r="L575" s="26">
        <v>5.38</v>
      </c>
    </row>
    <row r="576" spans="1:12" ht="16" customHeight="1">
      <c r="A576" t="s">
        <v>377</v>
      </c>
      <c r="B576" t="s">
        <v>3</v>
      </c>
      <c r="C576" t="s">
        <v>31</v>
      </c>
      <c r="D576" s="24">
        <v>46023</v>
      </c>
      <c r="E576" t="s">
        <v>407</v>
      </c>
      <c r="F576" t="s">
        <v>6</v>
      </c>
      <c r="G576" t="s">
        <v>505</v>
      </c>
      <c r="H576" t="s">
        <v>505</v>
      </c>
      <c r="I576" t="s">
        <v>219</v>
      </c>
      <c r="J576" s="25">
        <v>3</v>
      </c>
      <c r="K576" s="26">
        <v>0.51</v>
      </c>
      <c r="L576" s="26">
        <v>0.01</v>
      </c>
    </row>
    <row r="577" spans="1:12" ht="16" customHeight="1">
      <c r="A577" t="s">
        <v>377</v>
      </c>
      <c r="B577" t="s">
        <v>3</v>
      </c>
      <c r="C577" t="s">
        <v>31</v>
      </c>
      <c r="D577" s="24">
        <v>46023</v>
      </c>
      <c r="E577" t="s">
        <v>412</v>
      </c>
      <c r="F577" t="s">
        <v>6</v>
      </c>
      <c r="G577" t="s">
        <v>505</v>
      </c>
      <c r="H577" t="s">
        <v>505</v>
      </c>
      <c r="I577" t="s">
        <v>219</v>
      </c>
      <c r="J577" s="25">
        <v>1</v>
      </c>
      <c r="K577" s="26">
        <v>0.17</v>
      </c>
      <c r="L577" s="26">
        <v>0</v>
      </c>
    </row>
    <row r="578" spans="1:12" ht="16" customHeight="1">
      <c r="A578" t="s">
        <v>377</v>
      </c>
      <c r="B578" t="s">
        <v>3</v>
      </c>
      <c r="C578" t="s">
        <v>31</v>
      </c>
      <c r="D578" s="24">
        <v>46023</v>
      </c>
      <c r="E578" t="s">
        <v>417</v>
      </c>
      <c r="F578" t="s">
        <v>6</v>
      </c>
      <c r="G578" t="s">
        <v>506</v>
      </c>
      <c r="H578" t="s">
        <v>506</v>
      </c>
      <c r="I578" t="s">
        <v>219</v>
      </c>
      <c r="J578" s="25">
        <v>2285</v>
      </c>
      <c r="K578" s="26">
        <v>389.16</v>
      </c>
      <c r="L578" s="26">
        <v>3.66</v>
      </c>
    </row>
    <row r="579" spans="1:12" ht="16" customHeight="1">
      <c r="A579" t="s">
        <v>377</v>
      </c>
      <c r="B579" t="s">
        <v>3</v>
      </c>
      <c r="C579" t="s">
        <v>31</v>
      </c>
      <c r="D579" s="24">
        <v>46023</v>
      </c>
      <c r="E579" t="s">
        <v>435</v>
      </c>
      <c r="F579" t="s">
        <v>5</v>
      </c>
      <c r="G579" t="s">
        <v>510</v>
      </c>
      <c r="H579" t="s">
        <v>510</v>
      </c>
      <c r="I579" t="s">
        <v>221</v>
      </c>
      <c r="J579" s="25">
        <v>0</v>
      </c>
      <c r="K579" s="26">
        <v>0</v>
      </c>
      <c r="L579" s="26">
        <v>0</v>
      </c>
    </row>
    <row r="580" spans="1:12" ht="16" customHeight="1">
      <c r="A580" t="s">
        <v>344</v>
      </c>
      <c r="B580" t="s">
        <v>4</v>
      </c>
      <c r="C580" t="s">
        <v>31</v>
      </c>
      <c r="D580" s="24">
        <v>46023</v>
      </c>
      <c r="E580" t="s">
        <v>378</v>
      </c>
      <c r="F580" t="s">
        <v>5</v>
      </c>
      <c r="G580" t="s">
        <v>507</v>
      </c>
      <c r="H580" t="s">
        <v>507</v>
      </c>
      <c r="I580" t="s">
        <v>212</v>
      </c>
      <c r="J580" s="25">
        <v>62410414</v>
      </c>
      <c r="K580" s="26">
        <v>10472006.26</v>
      </c>
      <c r="L580" s="26">
        <v>16875</v>
      </c>
    </row>
    <row r="581" spans="1:12" ht="16" customHeight="1">
      <c r="A581" t="s">
        <v>344</v>
      </c>
      <c r="B581" t="s">
        <v>4</v>
      </c>
      <c r="C581" t="s">
        <v>31</v>
      </c>
      <c r="D581" s="24">
        <v>46023</v>
      </c>
      <c r="E581" t="s">
        <v>384</v>
      </c>
      <c r="F581" t="s">
        <v>6</v>
      </c>
      <c r="G581" t="s">
        <v>505</v>
      </c>
      <c r="H581" t="s">
        <v>505</v>
      </c>
      <c r="I581" t="s">
        <v>212</v>
      </c>
      <c r="J581" s="25">
        <v>762693</v>
      </c>
      <c r="K581" s="26">
        <v>128753.32</v>
      </c>
      <c r="L581" s="26">
        <v>468.54</v>
      </c>
    </row>
    <row r="582" spans="1:12" ht="16" customHeight="1">
      <c r="A582" t="s">
        <v>344</v>
      </c>
      <c r="B582" t="s">
        <v>4</v>
      </c>
      <c r="C582" t="s">
        <v>31</v>
      </c>
      <c r="D582" s="24">
        <v>46023</v>
      </c>
      <c r="E582" t="s">
        <v>388</v>
      </c>
      <c r="F582" t="s">
        <v>6</v>
      </c>
      <c r="G582" t="s">
        <v>506</v>
      </c>
      <c r="H582" t="s">
        <v>506</v>
      </c>
      <c r="I582" t="s">
        <v>212</v>
      </c>
      <c r="J582" s="25">
        <v>101143</v>
      </c>
      <c r="K582" s="26">
        <v>17089.349999999999</v>
      </c>
      <c r="L582" s="26">
        <v>92.73</v>
      </c>
    </row>
    <row r="583" spans="1:12" ht="16" customHeight="1">
      <c r="A583" t="s">
        <v>344</v>
      </c>
      <c r="B583" t="s">
        <v>4</v>
      </c>
      <c r="C583" t="s">
        <v>31</v>
      </c>
      <c r="D583" s="24">
        <v>46023</v>
      </c>
      <c r="E583" t="s">
        <v>402</v>
      </c>
      <c r="F583" t="s">
        <v>6</v>
      </c>
      <c r="G583" t="s">
        <v>505</v>
      </c>
      <c r="H583" t="s">
        <v>505</v>
      </c>
      <c r="I583" t="s">
        <v>219</v>
      </c>
      <c r="J583" s="25">
        <v>2898</v>
      </c>
      <c r="K583" s="26">
        <v>491.15</v>
      </c>
      <c r="L583" s="26">
        <v>3.83</v>
      </c>
    </row>
    <row r="584" spans="1:12" ht="16" customHeight="1">
      <c r="A584" t="s">
        <v>344</v>
      </c>
      <c r="B584" t="s">
        <v>4</v>
      </c>
      <c r="C584" t="s">
        <v>31</v>
      </c>
      <c r="D584" s="24">
        <v>46023</v>
      </c>
      <c r="E584" t="s">
        <v>407</v>
      </c>
      <c r="F584" t="s">
        <v>6</v>
      </c>
      <c r="G584" t="s">
        <v>505</v>
      </c>
      <c r="H584" t="s">
        <v>505</v>
      </c>
      <c r="I584" t="s">
        <v>219</v>
      </c>
      <c r="J584" s="25">
        <v>2</v>
      </c>
      <c r="K584" s="26">
        <v>0.34</v>
      </c>
      <c r="L584" s="26">
        <v>0</v>
      </c>
    </row>
    <row r="585" spans="1:12" ht="16" customHeight="1">
      <c r="A585" t="s">
        <v>344</v>
      </c>
      <c r="B585" t="s">
        <v>4</v>
      </c>
      <c r="C585" t="s">
        <v>31</v>
      </c>
      <c r="D585" s="24">
        <v>46023</v>
      </c>
      <c r="E585" t="s">
        <v>412</v>
      </c>
      <c r="F585" t="s">
        <v>6</v>
      </c>
      <c r="G585" t="s">
        <v>505</v>
      </c>
      <c r="H585" t="s">
        <v>505</v>
      </c>
      <c r="I585" t="s">
        <v>219</v>
      </c>
      <c r="J585" s="25">
        <v>0</v>
      </c>
      <c r="K585" s="26">
        <v>0</v>
      </c>
      <c r="L585" s="26">
        <v>0</v>
      </c>
    </row>
    <row r="586" spans="1:12" ht="16" customHeight="1">
      <c r="A586" t="s">
        <v>344</v>
      </c>
      <c r="B586" t="s">
        <v>4</v>
      </c>
      <c r="C586" t="s">
        <v>31</v>
      </c>
      <c r="D586" s="24">
        <v>46023</v>
      </c>
      <c r="E586" t="s">
        <v>417</v>
      </c>
      <c r="F586" t="s">
        <v>6</v>
      </c>
      <c r="G586" t="s">
        <v>506</v>
      </c>
      <c r="H586" t="s">
        <v>506</v>
      </c>
      <c r="I586" t="s">
        <v>219</v>
      </c>
      <c r="J586" s="25">
        <v>1728</v>
      </c>
      <c r="K586" s="26">
        <v>297.64</v>
      </c>
      <c r="L586" s="26">
        <v>2.1800000000000002</v>
      </c>
    </row>
    <row r="587" spans="1:12" ht="16" customHeight="1">
      <c r="A587" t="s">
        <v>344</v>
      </c>
      <c r="B587" t="s">
        <v>4</v>
      </c>
      <c r="C587" t="s">
        <v>31</v>
      </c>
      <c r="D587" s="24">
        <v>46023</v>
      </c>
      <c r="E587" t="s">
        <v>435</v>
      </c>
      <c r="F587" t="s">
        <v>5</v>
      </c>
      <c r="G587" t="s">
        <v>510</v>
      </c>
      <c r="H587" t="s">
        <v>510</v>
      </c>
      <c r="I587" t="s">
        <v>221</v>
      </c>
      <c r="J587" s="25">
        <v>4</v>
      </c>
      <c r="K587" s="26">
        <v>0.69</v>
      </c>
      <c r="L587" s="26">
        <v>0.01</v>
      </c>
    </row>
    <row r="588" spans="1:12" ht="16" customHeight="1">
      <c r="A588" t="s">
        <v>378</v>
      </c>
      <c r="B588" t="s">
        <v>5</v>
      </c>
      <c r="C588" t="s">
        <v>31</v>
      </c>
      <c r="D588" s="24">
        <v>46023</v>
      </c>
      <c r="E588" t="s">
        <v>378</v>
      </c>
      <c r="F588" t="s">
        <v>5</v>
      </c>
      <c r="G588" t="s">
        <v>507</v>
      </c>
      <c r="H588" t="s">
        <v>507</v>
      </c>
      <c r="I588" t="s">
        <v>212</v>
      </c>
      <c r="J588" s="25">
        <v>541932069</v>
      </c>
      <c r="K588" s="26">
        <v>90578355.090000004</v>
      </c>
      <c r="L588" s="26">
        <v>56886.68</v>
      </c>
    </row>
    <row r="589" spans="1:12" ht="16" customHeight="1">
      <c r="A589" t="s">
        <v>378</v>
      </c>
      <c r="B589" t="s">
        <v>5</v>
      </c>
      <c r="C589" t="s">
        <v>31</v>
      </c>
      <c r="D589" s="24">
        <v>46023</v>
      </c>
      <c r="E589" t="s">
        <v>384</v>
      </c>
      <c r="F589" t="s">
        <v>6</v>
      </c>
      <c r="G589" t="s">
        <v>505</v>
      </c>
      <c r="H589" t="s">
        <v>505</v>
      </c>
      <c r="I589" t="s">
        <v>212</v>
      </c>
      <c r="J589" s="25">
        <v>2565900</v>
      </c>
      <c r="K589" s="26">
        <v>430472.79</v>
      </c>
      <c r="L589" s="26">
        <v>1310.43</v>
      </c>
    </row>
    <row r="590" spans="1:12" ht="16" customHeight="1">
      <c r="A590" t="s">
        <v>378</v>
      </c>
      <c r="B590" t="s">
        <v>5</v>
      </c>
      <c r="C590" t="s">
        <v>31</v>
      </c>
      <c r="D590" s="24">
        <v>46023</v>
      </c>
      <c r="E590" t="s">
        <v>388</v>
      </c>
      <c r="F590" t="s">
        <v>6</v>
      </c>
      <c r="G590" t="s">
        <v>506</v>
      </c>
      <c r="H590" t="s">
        <v>506</v>
      </c>
      <c r="I590" t="s">
        <v>212</v>
      </c>
      <c r="J590" s="25">
        <v>94993</v>
      </c>
      <c r="K590" s="26">
        <v>16048.42</v>
      </c>
      <c r="L590" s="26">
        <v>83.38</v>
      </c>
    </row>
    <row r="591" spans="1:12" ht="16" customHeight="1">
      <c r="A591" t="s">
        <v>378</v>
      </c>
      <c r="B591" t="s">
        <v>5</v>
      </c>
      <c r="C591" t="s">
        <v>31</v>
      </c>
      <c r="D591" s="24">
        <v>46023</v>
      </c>
      <c r="E591" t="s">
        <v>402</v>
      </c>
      <c r="F591" t="s">
        <v>6</v>
      </c>
      <c r="G591" t="s">
        <v>505</v>
      </c>
      <c r="H591" t="s">
        <v>505</v>
      </c>
      <c r="I591" t="s">
        <v>219</v>
      </c>
      <c r="J591" s="25">
        <v>2508</v>
      </c>
      <c r="K591" s="26">
        <v>424.11</v>
      </c>
      <c r="L591" s="26">
        <v>3.08</v>
      </c>
    </row>
    <row r="592" spans="1:12" ht="16" customHeight="1">
      <c r="A592" t="s">
        <v>378</v>
      </c>
      <c r="B592" t="s">
        <v>5</v>
      </c>
      <c r="C592" t="s">
        <v>31</v>
      </c>
      <c r="D592" s="24">
        <v>46023</v>
      </c>
      <c r="E592" t="s">
        <v>407</v>
      </c>
      <c r="F592" t="s">
        <v>6</v>
      </c>
      <c r="G592" t="s">
        <v>505</v>
      </c>
      <c r="H592" t="s">
        <v>505</v>
      </c>
      <c r="I592" t="s">
        <v>219</v>
      </c>
      <c r="J592" s="25">
        <v>355</v>
      </c>
      <c r="K592" s="26">
        <v>60.4</v>
      </c>
      <c r="L592" s="26">
        <v>2.2599999999999998</v>
      </c>
    </row>
    <row r="593" spans="1:12" ht="16" customHeight="1">
      <c r="A593" t="s">
        <v>378</v>
      </c>
      <c r="B593" t="s">
        <v>5</v>
      </c>
      <c r="C593" t="s">
        <v>31</v>
      </c>
      <c r="D593" s="24">
        <v>46023</v>
      </c>
      <c r="E593" t="s">
        <v>412</v>
      </c>
      <c r="F593" t="s">
        <v>6</v>
      </c>
      <c r="G593" t="s">
        <v>505</v>
      </c>
      <c r="H593" t="s">
        <v>505</v>
      </c>
      <c r="I593" t="s">
        <v>219</v>
      </c>
      <c r="J593" s="25">
        <v>0</v>
      </c>
      <c r="K593" s="26">
        <v>0</v>
      </c>
      <c r="L593" s="26">
        <v>0</v>
      </c>
    </row>
    <row r="594" spans="1:12" ht="16" customHeight="1">
      <c r="A594" t="s">
        <v>378</v>
      </c>
      <c r="B594" t="s">
        <v>5</v>
      </c>
      <c r="C594" t="s">
        <v>31</v>
      </c>
      <c r="D594" s="24">
        <v>46023</v>
      </c>
      <c r="E594" t="s">
        <v>417</v>
      </c>
      <c r="F594" t="s">
        <v>6</v>
      </c>
      <c r="G594" t="s">
        <v>506</v>
      </c>
      <c r="H594" t="s">
        <v>506</v>
      </c>
      <c r="I594" t="s">
        <v>219</v>
      </c>
      <c r="J594" s="25">
        <v>1718</v>
      </c>
      <c r="K594" s="26">
        <v>295.08</v>
      </c>
      <c r="L594" s="26">
        <v>2.35</v>
      </c>
    </row>
    <row r="595" spans="1:12" ht="16" customHeight="1">
      <c r="A595" t="s">
        <v>378</v>
      </c>
      <c r="B595" t="s">
        <v>5</v>
      </c>
      <c r="C595" t="s">
        <v>31</v>
      </c>
      <c r="D595" s="24">
        <v>46023</v>
      </c>
      <c r="E595" t="s">
        <v>435</v>
      </c>
      <c r="F595" t="s">
        <v>5</v>
      </c>
      <c r="G595" t="s">
        <v>510</v>
      </c>
      <c r="H595" t="s">
        <v>510</v>
      </c>
      <c r="I595" t="s">
        <v>221</v>
      </c>
      <c r="J595" s="25">
        <v>0</v>
      </c>
      <c r="K595" s="26">
        <v>0</v>
      </c>
      <c r="L595" s="26">
        <v>0</v>
      </c>
    </row>
    <row r="596" spans="1:12" ht="16" customHeight="1">
      <c r="A596" t="s">
        <v>380</v>
      </c>
      <c r="B596" t="s">
        <v>7</v>
      </c>
      <c r="C596" t="s">
        <v>32</v>
      </c>
      <c r="D596" s="24">
        <v>46023</v>
      </c>
      <c r="E596" t="s">
        <v>384</v>
      </c>
      <c r="F596" t="s">
        <v>6</v>
      </c>
      <c r="G596" t="s">
        <v>505</v>
      </c>
      <c r="H596" t="s">
        <v>505</v>
      </c>
      <c r="I596" t="s">
        <v>212</v>
      </c>
      <c r="J596" s="25">
        <v>28908498</v>
      </c>
      <c r="K596" s="26">
        <v>4862908.22</v>
      </c>
      <c r="L596" s="26">
        <v>13809.59</v>
      </c>
    </row>
    <row r="597" spans="1:12" ht="16" customHeight="1">
      <c r="A597" t="s">
        <v>380</v>
      </c>
      <c r="B597" t="s">
        <v>7</v>
      </c>
      <c r="C597" t="s">
        <v>32</v>
      </c>
      <c r="D597" s="24">
        <v>46023</v>
      </c>
      <c r="E597" t="s">
        <v>388</v>
      </c>
      <c r="F597" t="s">
        <v>6</v>
      </c>
      <c r="G597" t="s">
        <v>506</v>
      </c>
      <c r="H597" t="s">
        <v>506</v>
      </c>
      <c r="I597" t="s">
        <v>212</v>
      </c>
      <c r="J597" s="25">
        <v>233022</v>
      </c>
      <c r="K597" s="26">
        <v>39416.26</v>
      </c>
      <c r="L597" s="26">
        <v>183.5</v>
      </c>
    </row>
    <row r="598" spans="1:12" ht="16" customHeight="1">
      <c r="A598" t="s">
        <v>380</v>
      </c>
      <c r="B598" t="s">
        <v>7</v>
      </c>
      <c r="C598" t="s">
        <v>32</v>
      </c>
      <c r="D598" s="24">
        <v>46023</v>
      </c>
      <c r="E598" t="s">
        <v>402</v>
      </c>
      <c r="F598" t="s">
        <v>6</v>
      </c>
      <c r="G598" t="s">
        <v>505</v>
      </c>
      <c r="H598" t="s">
        <v>505</v>
      </c>
      <c r="I598" t="s">
        <v>219</v>
      </c>
      <c r="J598" s="25">
        <v>5037</v>
      </c>
      <c r="K598" s="26">
        <v>865.22</v>
      </c>
      <c r="L598" s="26">
        <v>5.53</v>
      </c>
    </row>
    <row r="599" spans="1:12" ht="16" customHeight="1">
      <c r="A599" t="s">
        <v>380</v>
      </c>
      <c r="B599" t="s">
        <v>7</v>
      </c>
      <c r="C599" t="s">
        <v>32</v>
      </c>
      <c r="D599" s="24">
        <v>46023</v>
      </c>
      <c r="E599" t="s">
        <v>407</v>
      </c>
      <c r="F599" t="s">
        <v>6</v>
      </c>
      <c r="G599" t="s">
        <v>505</v>
      </c>
      <c r="H599" t="s">
        <v>505</v>
      </c>
      <c r="I599" t="s">
        <v>219</v>
      </c>
      <c r="J599" s="25">
        <v>44</v>
      </c>
      <c r="K599" s="26">
        <v>7.52</v>
      </c>
      <c r="L599" s="26">
        <v>7.0000000000000007E-2</v>
      </c>
    </row>
    <row r="600" spans="1:12" ht="16" customHeight="1">
      <c r="A600" t="s">
        <v>380</v>
      </c>
      <c r="B600" t="s">
        <v>7</v>
      </c>
      <c r="C600" t="s">
        <v>32</v>
      </c>
      <c r="D600" s="24">
        <v>46023</v>
      </c>
      <c r="E600" t="s">
        <v>412</v>
      </c>
      <c r="F600" t="s">
        <v>6</v>
      </c>
      <c r="G600" t="s">
        <v>505</v>
      </c>
      <c r="H600" t="s">
        <v>505</v>
      </c>
      <c r="I600" t="s">
        <v>219</v>
      </c>
      <c r="J600" s="25">
        <v>1</v>
      </c>
      <c r="K600" s="26">
        <v>0.17</v>
      </c>
      <c r="L600" s="26">
        <v>0</v>
      </c>
    </row>
    <row r="601" spans="1:12" ht="16" customHeight="1">
      <c r="A601" t="s">
        <v>380</v>
      </c>
      <c r="B601" t="s">
        <v>7</v>
      </c>
      <c r="C601" t="s">
        <v>32</v>
      </c>
      <c r="D601" s="24">
        <v>46023</v>
      </c>
      <c r="E601" t="s">
        <v>417</v>
      </c>
      <c r="F601" t="s">
        <v>6</v>
      </c>
      <c r="G601" t="s">
        <v>506</v>
      </c>
      <c r="H601" t="s">
        <v>506</v>
      </c>
      <c r="I601" t="s">
        <v>219</v>
      </c>
      <c r="J601" s="25">
        <v>2750</v>
      </c>
      <c r="K601" s="26">
        <v>471.19</v>
      </c>
      <c r="L601" s="26">
        <v>3.76</v>
      </c>
    </row>
    <row r="602" spans="1:12" ht="16" customHeight="1">
      <c r="A602" t="s">
        <v>380</v>
      </c>
      <c r="B602" t="s">
        <v>7</v>
      </c>
      <c r="C602" t="s">
        <v>32</v>
      </c>
      <c r="D602" s="24">
        <v>46023</v>
      </c>
      <c r="E602" t="s">
        <v>435</v>
      </c>
      <c r="F602" t="s">
        <v>5</v>
      </c>
      <c r="G602" t="s">
        <v>510</v>
      </c>
      <c r="H602" t="s">
        <v>510</v>
      </c>
      <c r="I602" t="s">
        <v>221</v>
      </c>
      <c r="J602" s="25">
        <v>0</v>
      </c>
      <c r="K602" s="26">
        <v>0</v>
      </c>
      <c r="L602" s="26">
        <v>0</v>
      </c>
    </row>
    <row r="603" spans="1:12" ht="16" customHeight="1">
      <c r="A603" t="s">
        <v>381</v>
      </c>
      <c r="B603" t="s">
        <v>3</v>
      </c>
      <c r="C603" t="s">
        <v>32</v>
      </c>
      <c r="D603" s="24">
        <v>46023</v>
      </c>
      <c r="E603" t="s">
        <v>384</v>
      </c>
      <c r="F603" t="s">
        <v>6</v>
      </c>
      <c r="G603" t="s">
        <v>505</v>
      </c>
      <c r="H603" t="s">
        <v>505</v>
      </c>
      <c r="I603" t="s">
        <v>212</v>
      </c>
      <c r="J603" s="25">
        <v>30725563</v>
      </c>
      <c r="K603" s="26">
        <v>5135816.2</v>
      </c>
      <c r="L603" s="26">
        <v>12825.07</v>
      </c>
    </row>
    <row r="604" spans="1:12" ht="16" customHeight="1">
      <c r="A604" t="s">
        <v>381</v>
      </c>
      <c r="B604" t="s">
        <v>3</v>
      </c>
      <c r="C604" t="s">
        <v>32</v>
      </c>
      <c r="D604" s="24">
        <v>46023</v>
      </c>
      <c r="E604" t="s">
        <v>388</v>
      </c>
      <c r="F604" t="s">
        <v>6</v>
      </c>
      <c r="G604" t="s">
        <v>506</v>
      </c>
      <c r="H604" t="s">
        <v>506</v>
      </c>
      <c r="I604" t="s">
        <v>212</v>
      </c>
      <c r="J604" s="25">
        <v>345396</v>
      </c>
      <c r="K604" s="26">
        <v>58121.95</v>
      </c>
      <c r="L604" s="26">
        <v>215.83</v>
      </c>
    </row>
    <row r="605" spans="1:12" ht="16" customHeight="1">
      <c r="A605" t="s">
        <v>381</v>
      </c>
      <c r="B605" t="s">
        <v>3</v>
      </c>
      <c r="C605" t="s">
        <v>32</v>
      </c>
      <c r="D605" s="24">
        <v>46023</v>
      </c>
      <c r="E605" t="s">
        <v>402</v>
      </c>
      <c r="F605" t="s">
        <v>6</v>
      </c>
      <c r="G605" t="s">
        <v>505</v>
      </c>
      <c r="H605" t="s">
        <v>505</v>
      </c>
      <c r="I605" t="s">
        <v>219</v>
      </c>
      <c r="J605" s="25">
        <v>4306</v>
      </c>
      <c r="K605" s="26">
        <v>728.88</v>
      </c>
      <c r="L605" s="26">
        <v>5.71</v>
      </c>
    </row>
    <row r="606" spans="1:12" ht="16" customHeight="1">
      <c r="A606" t="s">
        <v>381</v>
      </c>
      <c r="B606" t="s">
        <v>3</v>
      </c>
      <c r="C606" t="s">
        <v>32</v>
      </c>
      <c r="D606" s="24">
        <v>46023</v>
      </c>
      <c r="E606" t="s">
        <v>407</v>
      </c>
      <c r="F606" t="s">
        <v>6</v>
      </c>
      <c r="G606" t="s">
        <v>505</v>
      </c>
      <c r="H606" t="s">
        <v>505</v>
      </c>
      <c r="I606" t="s">
        <v>219</v>
      </c>
      <c r="J606" s="25">
        <v>36</v>
      </c>
      <c r="K606" s="26">
        <v>6.1</v>
      </c>
      <c r="L606" s="26">
        <v>0.06</v>
      </c>
    </row>
    <row r="607" spans="1:12" ht="16" customHeight="1">
      <c r="A607" t="s">
        <v>381</v>
      </c>
      <c r="B607" t="s">
        <v>3</v>
      </c>
      <c r="C607" t="s">
        <v>32</v>
      </c>
      <c r="D607" s="24">
        <v>46023</v>
      </c>
      <c r="E607" t="s">
        <v>412</v>
      </c>
      <c r="F607" t="s">
        <v>6</v>
      </c>
      <c r="G607" t="s">
        <v>505</v>
      </c>
      <c r="H607" t="s">
        <v>505</v>
      </c>
      <c r="I607" t="s">
        <v>219</v>
      </c>
      <c r="J607" s="25">
        <v>0</v>
      </c>
      <c r="K607" s="26">
        <v>0</v>
      </c>
      <c r="L607" s="26">
        <v>0</v>
      </c>
    </row>
    <row r="608" spans="1:12" ht="16" customHeight="1">
      <c r="A608" t="s">
        <v>381</v>
      </c>
      <c r="B608" t="s">
        <v>3</v>
      </c>
      <c r="C608" t="s">
        <v>32</v>
      </c>
      <c r="D608" s="24">
        <v>46023</v>
      </c>
      <c r="E608" t="s">
        <v>417</v>
      </c>
      <c r="F608" t="s">
        <v>6</v>
      </c>
      <c r="G608" t="s">
        <v>506</v>
      </c>
      <c r="H608" t="s">
        <v>506</v>
      </c>
      <c r="I608" t="s">
        <v>219</v>
      </c>
      <c r="J608" s="25">
        <v>2775</v>
      </c>
      <c r="K608" s="26">
        <v>469.75</v>
      </c>
      <c r="L608" s="26">
        <v>3.56</v>
      </c>
    </row>
    <row r="609" spans="1:12" ht="16" customHeight="1">
      <c r="A609" t="s">
        <v>381</v>
      </c>
      <c r="B609" t="s">
        <v>3</v>
      </c>
      <c r="C609" t="s">
        <v>32</v>
      </c>
      <c r="D609" s="24">
        <v>46023</v>
      </c>
      <c r="E609" t="s">
        <v>435</v>
      </c>
      <c r="F609" t="s">
        <v>5</v>
      </c>
      <c r="G609" t="s">
        <v>510</v>
      </c>
      <c r="H609" t="s">
        <v>510</v>
      </c>
      <c r="I609" t="s">
        <v>221</v>
      </c>
      <c r="J609" s="25">
        <v>1</v>
      </c>
      <c r="K609" s="26">
        <v>0.17</v>
      </c>
      <c r="L609" s="26">
        <v>0</v>
      </c>
    </row>
    <row r="610" spans="1:12" ht="16" customHeight="1">
      <c r="A610" t="s">
        <v>381</v>
      </c>
      <c r="B610" t="s">
        <v>3</v>
      </c>
      <c r="C610" t="s">
        <v>32</v>
      </c>
      <c r="D610" s="24">
        <v>46023</v>
      </c>
      <c r="E610" t="s">
        <v>496</v>
      </c>
      <c r="F610" t="s">
        <v>6</v>
      </c>
      <c r="G610" t="s">
        <v>506</v>
      </c>
      <c r="H610" t="s">
        <v>506</v>
      </c>
      <c r="I610" t="s">
        <v>267</v>
      </c>
      <c r="J610" s="25">
        <v>0</v>
      </c>
      <c r="K610" s="26">
        <v>0</v>
      </c>
      <c r="L610" s="26">
        <v>0</v>
      </c>
    </row>
    <row r="611" spans="1:12" ht="16" customHeight="1">
      <c r="A611" t="s">
        <v>349</v>
      </c>
      <c r="B611" t="s">
        <v>4</v>
      </c>
      <c r="C611" t="s">
        <v>32</v>
      </c>
      <c r="D611" s="24">
        <v>46023</v>
      </c>
      <c r="E611" t="s">
        <v>384</v>
      </c>
      <c r="F611" t="s">
        <v>6</v>
      </c>
      <c r="G611" t="s">
        <v>505</v>
      </c>
      <c r="H611" t="s">
        <v>505</v>
      </c>
      <c r="I611" t="s">
        <v>212</v>
      </c>
      <c r="J611" s="25">
        <v>35733690</v>
      </c>
      <c r="K611" s="26">
        <v>5948877.5700000003</v>
      </c>
      <c r="L611" s="26">
        <v>12168.25</v>
      </c>
    </row>
    <row r="612" spans="1:12" ht="16" customHeight="1">
      <c r="A612" t="s">
        <v>349</v>
      </c>
      <c r="B612" t="s">
        <v>4</v>
      </c>
      <c r="C612" t="s">
        <v>32</v>
      </c>
      <c r="D612" s="24">
        <v>46023</v>
      </c>
      <c r="E612" t="s">
        <v>388</v>
      </c>
      <c r="F612" t="s">
        <v>6</v>
      </c>
      <c r="G612" t="s">
        <v>506</v>
      </c>
      <c r="H612" t="s">
        <v>506</v>
      </c>
      <c r="I612" t="s">
        <v>212</v>
      </c>
      <c r="J612" s="25">
        <v>490227</v>
      </c>
      <c r="K612" s="26">
        <v>81944.350000000006</v>
      </c>
      <c r="L612" s="26">
        <v>316.64999999999998</v>
      </c>
    </row>
    <row r="613" spans="1:12" ht="16" customHeight="1">
      <c r="A613" t="s">
        <v>349</v>
      </c>
      <c r="B613" t="s">
        <v>4</v>
      </c>
      <c r="C613" t="s">
        <v>32</v>
      </c>
      <c r="D613" s="24">
        <v>46023</v>
      </c>
      <c r="E613" t="s">
        <v>402</v>
      </c>
      <c r="F613" t="s">
        <v>6</v>
      </c>
      <c r="G613" t="s">
        <v>505</v>
      </c>
      <c r="H613" t="s">
        <v>505</v>
      </c>
      <c r="I613" t="s">
        <v>219</v>
      </c>
      <c r="J613" s="25">
        <v>7276</v>
      </c>
      <c r="K613" s="26">
        <v>1226.56</v>
      </c>
      <c r="L613" s="26">
        <v>9.5299999999999994</v>
      </c>
    </row>
    <row r="614" spans="1:12" ht="16" customHeight="1">
      <c r="A614" t="s">
        <v>349</v>
      </c>
      <c r="B614" t="s">
        <v>4</v>
      </c>
      <c r="C614" t="s">
        <v>32</v>
      </c>
      <c r="D614" s="24">
        <v>46023</v>
      </c>
      <c r="E614" t="s">
        <v>407</v>
      </c>
      <c r="F614" t="s">
        <v>6</v>
      </c>
      <c r="G614" t="s">
        <v>505</v>
      </c>
      <c r="H614" t="s">
        <v>505</v>
      </c>
      <c r="I614" t="s">
        <v>219</v>
      </c>
      <c r="J614" s="25">
        <v>171</v>
      </c>
      <c r="K614" s="26">
        <v>29</v>
      </c>
      <c r="L614" s="26">
        <v>0.33</v>
      </c>
    </row>
    <row r="615" spans="1:12" ht="16" customHeight="1">
      <c r="A615" t="s">
        <v>349</v>
      </c>
      <c r="B615" t="s">
        <v>4</v>
      </c>
      <c r="C615" t="s">
        <v>32</v>
      </c>
      <c r="D615" s="24">
        <v>46023</v>
      </c>
      <c r="E615" t="s">
        <v>412</v>
      </c>
      <c r="F615" t="s">
        <v>6</v>
      </c>
      <c r="G615" t="s">
        <v>505</v>
      </c>
      <c r="H615" t="s">
        <v>505</v>
      </c>
      <c r="I615" t="s">
        <v>219</v>
      </c>
      <c r="J615" s="25">
        <v>1</v>
      </c>
      <c r="K615" s="26">
        <v>0.17</v>
      </c>
      <c r="L615" s="26">
        <v>0</v>
      </c>
    </row>
    <row r="616" spans="1:12" ht="16" customHeight="1">
      <c r="A616" t="s">
        <v>349</v>
      </c>
      <c r="B616" t="s">
        <v>4</v>
      </c>
      <c r="C616" t="s">
        <v>32</v>
      </c>
      <c r="D616" s="24">
        <v>46023</v>
      </c>
      <c r="E616" t="s">
        <v>417</v>
      </c>
      <c r="F616" t="s">
        <v>6</v>
      </c>
      <c r="G616" t="s">
        <v>506</v>
      </c>
      <c r="H616" t="s">
        <v>506</v>
      </c>
      <c r="I616" t="s">
        <v>219</v>
      </c>
      <c r="J616" s="25">
        <v>4160</v>
      </c>
      <c r="K616" s="26">
        <v>708.44</v>
      </c>
      <c r="L616" s="26">
        <v>6.18</v>
      </c>
    </row>
    <row r="617" spans="1:12" ht="16" customHeight="1">
      <c r="A617" t="s">
        <v>349</v>
      </c>
      <c r="B617" t="s">
        <v>4</v>
      </c>
      <c r="C617" t="s">
        <v>32</v>
      </c>
      <c r="D617" s="24">
        <v>46023</v>
      </c>
      <c r="E617" t="s">
        <v>435</v>
      </c>
      <c r="F617" t="s">
        <v>5</v>
      </c>
      <c r="G617" t="s">
        <v>510</v>
      </c>
      <c r="H617" t="s">
        <v>510</v>
      </c>
      <c r="I617" t="s">
        <v>221</v>
      </c>
      <c r="J617" s="25">
        <v>0</v>
      </c>
      <c r="K617" s="26">
        <v>0</v>
      </c>
      <c r="L617" s="26">
        <v>0</v>
      </c>
    </row>
    <row r="618" spans="1:12" ht="16" customHeight="1">
      <c r="A618" t="s">
        <v>349</v>
      </c>
      <c r="B618" t="s">
        <v>4</v>
      </c>
      <c r="C618" t="s">
        <v>32</v>
      </c>
      <c r="D618" s="24">
        <v>46023</v>
      </c>
      <c r="E618" t="s">
        <v>496</v>
      </c>
      <c r="F618" t="s">
        <v>6</v>
      </c>
      <c r="G618" t="s">
        <v>506</v>
      </c>
      <c r="H618" t="s">
        <v>506</v>
      </c>
      <c r="I618" t="s">
        <v>267</v>
      </c>
      <c r="J618" s="25">
        <v>0</v>
      </c>
      <c r="K618" s="26">
        <v>0</v>
      </c>
      <c r="L618" s="26">
        <v>0</v>
      </c>
    </row>
    <row r="619" spans="1:12" ht="16" customHeight="1">
      <c r="A619" t="s">
        <v>382</v>
      </c>
      <c r="B619" t="s">
        <v>5</v>
      </c>
      <c r="C619" t="s">
        <v>32</v>
      </c>
      <c r="D619" s="24">
        <v>46023</v>
      </c>
      <c r="E619" t="s">
        <v>384</v>
      </c>
      <c r="F619" t="s">
        <v>6</v>
      </c>
      <c r="G619" t="s">
        <v>505</v>
      </c>
      <c r="H619" t="s">
        <v>505</v>
      </c>
      <c r="I619" t="s">
        <v>212</v>
      </c>
      <c r="J619" s="25">
        <v>195389782</v>
      </c>
      <c r="K619" s="26">
        <v>32051907.010000002</v>
      </c>
      <c r="L619" s="26">
        <v>54955.94</v>
      </c>
    </row>
    <row r="620" spans="1:12" ht="16" customHeight="1">
      <c r="A620" t="s">
        <v>382</v>
      </c>
      <c r="B620" t="s">
        <v>5</v>
      </c>
      <c r="C620" t="s">
        <v>32</v>
      </c>
      <c r="D620" s="24">
        <v>46023</v>
      </c>
      <c r="E620" t="s">
        <v>388</v>
      </c>
      <c r="F620" t="s">
        <v>6</v>
      </c>
      <c r="G620" t="s">
        <v>506</v>
      </c>
      <c r="H620" t="s">
        <v>506</v>
      </c>
      <c r="I620" t="s">
        <v>212</v>
      </c>
      <c r="J620" s="25">
        <v>1287768</v>
      </c>
      <c r="K620" s="26">
        <v>213373.47</v>
      </c>
      <c r="L620" s="26">
        <v>816.71</v>
      </c>
    </row>
    <row r="621" spans="1:12" ht="16" customHeight="1">
      <c r="A621" t="s">
        <v>382</v>
      </c>
      <c r="B621" t="s">
        <v>5</v>
      </c>
      <c r="C621" t="s">
        <v>32</v>
      </c>
      <c r="D621" s="24">
        <v>46023</v>
      </c>
      <c r="E621" t="s">
        <v>402</v>
      </c>
      <c r="F621" t="s">
        <v>6</v>
      </c>
      <c r="G621" t="s">
        <v>505</v>
      </c>
      <c r="H621" t="s">
        <v>505</v>
      </c>
      <c r="I621" t="s">
        <v>219</v>
      </c>
      <c r="J621" s="25">
        <v>12543</v>
      </c>
      <c r="K621" s="26">
        <v>2108.89</v>
      </c>
      <c r="L621" s="26">
        <v>17.04</v>
      </c>
    </row>
    <row r="622" spans="1:12" ht="16" customHeight="1">
      <c r="A622" t="s">
        <v>382</v>
      </c>
      <c r="B622" t="s">
        <v>5</v>
      </c>
      <c r="C622" t="s">
        <v>32</v>
      </c>
      <c r="D622" s="24">
        <v>46023</v>
      </c>
      <c r="E622" t="s">
        <v>407</v>
      </c>
      <c r="F622" t="s">
        <v>6</v>
      </c>
      <c r="G622" t="s">
        <v>505</v>
      </c>
      <c r="H622" t="s">
        <v>505</v>
      </c>
      <c r="I622" t="s">
        <v>219</v>
      </c>
      <c r="J622" s="25">
        <v>984</v>
      </c>
      <c r="K622" s="26">
        <v>164.9</v>
      </c>
      <c r="L622" s="26">
        <v>1.95</v>
      </c>
    </row>
    <row r="623" spans="1:12" ht="16" customHeight="1">
      <c r="A623" t="s">
        <v>382</v>
      </c>
      <c r="B623" t="s">
        <v>5</v>
      </c>
      <c r="C623" t="s">
        <v>32</v>
      </c>
      <c r="D623" s="24">
        <v>46023</v>
      </c>
      <c r="E623" t="s">
        <v>412</v>
      </c>
      <c r="F623" t="s">
        <v>6</v>
      </c>
      <c r="G623" t="s">
        <v>505</v>
      </c>
      <c r="H623" t="s">
        <v>505</v>
      </c>
      <c r="I623" t="s">
        <v>219</v>
      </c>
      <c r="J623" s="25">
        <v>0</v>
      </c>
      <c r="K623" s="26">
        <v>0</v>
      </c>
      <c r="L623" s="26">
        <v>0</v>
      </c>
    </row>
    <row r="624" spans="1:12" ht="16" customHeight="1">
      <c r="A624" t="s">
        <v>382</v>
      </c>
      <c r="B624" t="s">
        <v>5</v>
      </c>
      <c r="C624" t="s">
        <v>32</v>
      </c>
      <c r="D624" s="24">
        <v>46023</v>
      </c>
      <c r="E624" t="s">
        <v>417</v>
      </c>
      <c r="F624" t="s">
        <v>6</v>
      </c>
      <c r="G624" t="s">
        <v>506</v>
      </c>
      <c r="H624" t="s">
        <v>506</v>
      </c>
      <c r="I624" t="s">
        <v>219</v>
      </c>
      <c r="J624" s="25">
        <v>6707</v>
      </c>
      <c r="K624" s="26">
        <v>1135.42</v>
      </c>
      <c r="L624" s="26">
        <v>9.8000000000000007</v>
      </c>
    </row>
    <row r="625" spans="1:12" ht="16" customHeight="1">
      <c r="A625" t="s">
        <v>382</v>
      </c>
      <c r="B625" t="s">
        <v>5</v>
      </c>
      <c r="C625" t="s">
        <v>32</v>
      </c>
      <c r="D625" s="24">
        <v>46023</v>
      </c>
      <c r="E625" t="s">
        <v>435</v>
      </c>
      <c r="F625" t="s">
        <v>5</v>
      </c>
      <c r="G625" t="s">
        <v>510</v>
      </c>
      <c r="H625" t="s">
        <v>510</v>
      </c>
      <c r="I625" t="s">
        <v>221</v>
      </c>
      <c r="J625" s="25">
        <v>0</v>
      </c>
      <c r="K625" s="26">
        <v>0</v>
      </c>
      <c r="L625" s="26">
        <v>0</v>
      </c>
    </row>
    <row r="626" spans="1:12" ht="16" customHeight="1">
      <c r="A626" t="s">
        <v>382</v>
      </c>
      <c r="B626" t="s">
        <v>5</v>
      </c>
      <c r="C626" t="s">
        <v>32</v>
      </c>
      <c r="D626" s="24">
        <v>46023</v>
      </c>
      <c r="E626" t="s">
        <v>496</v>
      </c>
      <c r="F626" t="s">
        <v>6</v>
      </c>
      <c r="G626" t="s">
        <v>506</v>
      </c>
      <c r="H626" t="s">
        <v>506</v>
      </c>
      <c r="I626" t="s">
        <v>267</v>
      </c>
      <c r="J626" s="25">
        <v>0</v>
      </c>
      <c r="K626" s="26">
        <v>0</v>
      </c>
      <c r="L626" s="26">
        <v>0</v>
      </c>
    </row>
    <row r="627" spans="1:12" ht="16" customHeight="1">
      <c r="A627" t="s">
        <v>384</v>
      </c>
      <c r="B627" t="s">
        <v>6</v>
      </c>
      <c r="C627" t="s">
        <v>33</v>
      </c>
      <c r="D627" s="24">
        <v>46023</v>
      </c>
      <c r="E627" t="s">
        <v>384</v>
      </c>
      <c r="F627" t="s">
        <v>6</v>
      </c>
      <c r="G627" t="s">
        <v>505</v>
      </c>
      <c r="H627" t="s">
        <v>505</v>
      </c>
      <c r="I627" t="s">
        <v>212</v>
      </c>
      <c r="J627" s="25">
        <v>562410493</v>
      </c>
      <c r="K627" s="26">
        <v>92521338.219999999</v>
      </c>
      <c r="L627" s="26">
        <v>74125</v>
      </c>
    </row>
    <row r="628" spans="1:12" ht="16" customHeight="1">
      <c r="A628" t="s">
        <v>384</v>
      </c>
      <c r="B628" t="s">
        <v>6</v>
      </c>
      <c r="C628" t="s">
        <v>33</v>
      </c>
      <c r="D628" s="24">
        <v>46023</v>
      </c>
      <c r="E628" t="s">
        <v>388</v>
      </c>
      <c r="F628" t="s">
        <v>6</v>
      </c>
      <c r="G628" t="s">
        <v>506</v>
      </c>
      <c r="H628" t="s">
        <v>506</v>
      </c>
      <c r="I628" t="s">
        <v>212</v>
      </c>
      <c r="J628" s="25">
        <v>2768201</v>
      </c>
      <c r="K628" s="26">
        <v>457965.98</v>
      </c>
      <c r="L628" s="26">
        <v>1731.1</v>
      </c>
    </row>
    <row r="629" spans="1:12" ht="16" customHeight="1">
      <c r="A629" t="s">
        <v>384</v>
      </c>
      <c r="B629" t="s">
        <v>6</v>
      </c>
      <c r="C629" t="s">
        <v>33</v>
      </c>
      <c r="D629" s="24">
        <v>46023</v>
      </c>
      <c r="E629" t="s">
        <v>402</v>
      </c>
      <c r="F629" t="s">
        <v>6</v>
      </c>
      <c r="G629" t="s">
        <v>505</v>
      </c>
      <c r="H629" t="s">
        <v>505</v>
      </c>
      <c r="I629" t="s">
        <v>219</v>
      </c>
      <c r="J629" s="25">
        <v>22398</v>
      </c>
      <c r="K629" s="26">
        <v>3768</v>
      </c>
      <c r="L629" s="26">
        <v>29.75</v>
      </c>
    </row>
    <row r="630" spans="1:12" ht="16" customHeight="1">
      <c r="A630" t="s">
        <v>384</v>
      </c>
      <c r="B630" t="s">
        <v>6</v>
      </c>
      <c r="C630" t="s">
        <v>33</v>
      </c>
      <c r="D630" s="24">
        <v>46023</v>
      </c>
      <c r="E630" t="s">
        <v>407</v>
      </c>
      <c r="F630" t="s">
        <v>6</v>
      </c>
      <c r="G630" t="s">
        <v>505</v>
      </c>
      <c r="H630" t="s">
        <v>505</v>
      </c>
      <c r="I630" t="s">
        <v>219</v>
      </c>
      <c r="J630" s="25">
        <v>682</v>
      </c>
      <c r="K630" s="26">
        <v>114.55</v>
      </c>
      <c r="L630" s="26">
        <v>1.23</v>
      </c>
    </row>
    <row r="631" spans="1:12" ht="16" customHeight="1">
      <c r="A631" t="s">
        <v>384</v>
      </c>
      <c r="B631" t="s">
        <v>6</v>
      </c>
      <c r="C631" t="s">
        <v>33</v>
      </c>
      <c r="D631" s="24">
        <v>46023</v>
      </c>
      <c r="E631" t="s">
        <v>412</v>
      </c>
      <c r="F631" t="s">
        <v>6</v>
      </c>
      <c r="G631" t="s">
        <v>505</v>
      </c>
      <c r="H631" t="s">
        <v>505</v>
      </c>
      <c r="I631" t="s">
        <v>219</v>
      </c>
      <c r="J631" s="25">
        <v>1</v>
      </c>
      <c r="K631" s="26">
        <v>0.17</v>
      </c>
      <c r="L631" s="26">
        <v>0</v>
      </c>
    </row>
    <row r="632" spans="1:12" ht="16" customHeight="1">
      <c r="A632" t="s">
        <v>384</v>
      </c>
      <c r="B632" t="s">
        <v>6</v>
      </c>
      <c r="C632" t="s">
        <v>33</v>
      </c>
      <c r="D632" s="24">
        <v>46023</v>
      </c>
      <c r="E632" t="s">
        <v>417</v>
      </c>
      <c r="F632" t="s">
        <v>6</v>
      </c>
      <c r="G632" t="s">
        <v>506</v>
      </c>
      <c r="H632" t="s">
        <v>506</v>
      </c>
      <c r="I632" t="s">
        <v>219</v>
      </c>
      <c r="J632" s="25">
        <v>9530</v>
      </c>
      <c r="K632" s="26">
        <v>1612.27</v>
      </c>
      <c r="L632" s="26">
        <v>14.46</v>
      </c>
    </row>
    <row r="633" spans="1:12" ht="16" customHeight="1">
      <c r="A633" t="s">
        <v>384</v>
      </c>
      <c r="B633" t="s">
        <v>6</v>
      </c>
      <c r="C633" t="s">
        <v>33</v>
      </c>
      <c r="D633" s="24">
        <v>46023</v>
      </c>
      <c r="E633" t="s">
        <v>435</v>
      </c>
      <c r="F633" t="s">
        <v>5</v>
      </c>
      <c r="G633" t="s">
        <v>510</v>
      </c>
      <c r="H633" t="s">
        <v>510</v>
      </c>
      <c r="I633" t="s">
        <v>221</v>
      </c>
      <c r="J633" s="25">
        <v>0</v>
      </c>
      <c r="K633" s="26">
        <v>0</v>
      </c>
      <c r="L633" s="26">
        <v>0</v>
      </c>
    </row>
    <row r="634" spans="1:12" ht="16" customHeight="1">
      <c r="A634" t="s">
        <v>384</v>
      </c>
      <c r="B634" t="s">
        <v>6</v>
      </c>
      <c r="C634" t="s">
        <v>33</v>
      </c>
      <c r="D634" s="24">
        <v>46023</v>
      </c>
      <c r="E634" t="s">
        <v>496</v>
      </c>
      <c r="F634" t="s">
        <v>6</v>
      </c>
      <c r="G634" t="s">
        <v>506</v>
      </c>
      <c r="H634" t="s">
        <v>506</v>
      </c>
      <c r="I634" t="s">
        <v>267</v>
      </c>
      <c r="J634" s="25">
        <v>0</v>
      </c>
      <c r="K634" s="26">
        <v>0</v>
      </c>
      <c r="L634" s="26">
        <v>0</v>
      </c>
    </row>
    <row r="635" spans="1:12" ht="16" customHeight="1">
      <c r="A635" t="s">
        <v>385</v>
      </c>
      <c r="B635" t="s">
        <v>7</v>
      </c>
      <c r="C635" t="s">
        <v>33</v>
      </c>
      <c r="D635" s="24">
        <v>46023</v>
      </c>
      <c r="E635" t="s">
        <v>388</v>
      </c>
      <c r="F635" t="s">
        <v>6</v>
      </c>
      <c r="G635" t="s">
        <v>506</v>
      </c>
      <c r="H635" t="s">
        <v>508</v>
      </c>
      <c r="I635" t="s">
        <v>212</v>
      </c>
      <c r="J635" s="25">
        <v>27084808</v>
      </c>
      <c r="K635" s="26">
        <v>4464882.72</v>
      </c>
      <c r="L635" s="26">
        <v>14412.29</v>
      </c>
    </row>
    <row r="636" spans="1:12" ht="16" customHeight="1">
      <c r="A636" t="s">
        <v>385</v>
      </c>
      <c r="B636" t="s">
        <v>7</v>
      </c>
      <c r="C636" t="s">
        <v>33</v>
      </c>
      <c r="D636" s="24">
        <v>46023</v>
      </c>
      <c r="E636" t="s">
        <v>402</v>
      </c>
      <c r="F636" t="s">
        <v>6</v>
      </c>
      <c r="G636" t="s">
        <v>505</v>
      </c>
      <c r="H636" t="s">
        <v>505</v>
      </c>
      <c r="I636" t="s">
        <v>219</v>
      </c>
      <c r="J636" s="25">
        <v>109639</v>
      </c>
      <c r="K636" s="26">
        <v>18236.02</v>
      </c>
      <c r="L636" s="26">
        <v>125.61</v>
      </c>
    </row>
    <row r="637" spans="1:12" ht="16" customHeight="1">
      <c r="A637" t="s">
        <v>385</v>
      </c>
      <c r="B637" t="s">
        <v>7</v>
      </c>
      <c r="C637" t="s">
        <v>33</v>
      </c>
      <c r="D637" s="24">
        <v>46023</v>
      </c>
      <c r="E637" t="s">
        <v>407</v>
      </c>
      <c r="F637" t="s">
        <v>6</v>
      </c>
      <c r="G637" t="s">
        <v>505</v>
      </c>
      <c r="H637" t="s">
        <v>505</v>
      </c>
      <c r="I637" t="s">
        <v>219</v>
      </c>
      <c r="J637" s="25">
        <v>1905</v>
      </c>
      <c r="K637" s="26">
        <v>318.44</v>
      </c>
      <c r="L637" s="26">
        <v>3.55</v>
      </c>
    </row>
    <row r="638" spans="1:12" ht="16" customHeight="1">
      <c r="A638" t="s">
        <v>385</v>
      </c>
      <c r="B638" t="s">
        <v>7</v>
      </c>
      <c r="C638" t="s">
        <v>33</v>
      </c>
      <c r="D638" s="24">
        <v>46023</v>
      </c>
      <c r="E638" t="s">
        <v>412</v>
      </c>
      <c r="F638" t="s">
        <v>6</v>
      </c>
      <c r="G638" t="s">
        <v>505</v>
      </c>
      <c r="H638" t="s">
        <v>505</v>
      </c>
      <c r="I638" t="s">
        <v>219</v>
      </c>
      <c r="J638" s="25">
        <v>132</v>
      </c>
      <c r="K638" s="26">
        <v>22.19</v>
      </c>
      <c r="L638" s="26">
        <v>0.28000000000000003</v>
      </c>
    </row>
    <row r="639" spans="1:12" ht="16" customHeight="1">
      <c r="A639" t="s">
        <v>385</v>
      </c>
      <c r="B639" t="s">
        <v>7</v>
      </c>
      <c r="C639" t="s">
        <v>33</v>
      </c>
      <c r="D639" s="24">
        <v>46023</v>
      </c>
      <c r="E639" t="s">
        <v>417</v>
      </c>
      <c r="F639" t="s">
        <v>6</v>
      </c>
      <c r="G639" t="s">
        <v>506</v>
      </c>
      <c r="H639" t="s">
        <v>506</v>
      </c>
      <c r="I639" t="s">
        <v>219</v>
      </c>
      <c r="J639" s="25">
        <v>14349</v>
      </c>
      <c r="K639" s="26">
        <v>2411.36</v>
      </c>
      <c r="L639" s="26">
        <v>25.07</v>
      </c>
    </row>
    <row r="640" spans="1:12" ht="16" customHeight="1">
      <c r="A640" t="s">
        <v>385</v>
      </c>
      <c r="B640" t="s">
        <v>7</v>
      </c>
      <c r="C640" t="s">
        <v>33</v>
      </c>
      <c r="D640" s="24">
        <v>46023</v>
      </c>
      <c r="E640" t="s">
        <v>435</v>
      </c>
      <c r="F640" t="s">
        <v>5</v>
      </c>
      <c r="G640" t="s">
        <v>510</v>
      </c>
      <c r="H640" t="s">
        <v>510</v>
      </c>
      <c r="I640" t="s">
        <v>221</v>
      </c>
      <c r="J640" s="25">
        <v>0</v>
      </c>
      <c r="K640" s="26">
        <v>0</v>
      </c>
      <c r="L640" s="26">
        <v>0</v>
      </c>
    </row>
    <row r="641" spans="1:12" ht="16" customHeight="1">
      <c r="A641" t="s">
        <v>385</v>
      </c>
      <c r="B641" t="s">
        <v>7</v>
      </c>
      <c r="C641" t="s">
        <v>33</v>
      </c>
      <c r="D641" s="24">
        <v>46023</v>
      </c>
      <c r="E641" t="s">
        <v>496</v>
      </c>
      <c r="F641" t="s">
        <v>6</v>
      </c>
      <c r="G641" t="s">
        <v>506</v>
      </c>
      <c r="H641" t="s">
        <v>506</v>
      </c>
      <c r="I641" t="s">
        <v>267</v>
      </c>
      <c r="J641" s="25">
        <v>0</v>
      </c>
      <c r="K641" s="26">
        <v>0</v>
      </c>
      <c r="L641" s="26">
        <v>0</v>
      </c>
    </row>
    <row r="642" spans="1:12" ht="16" customHeight="1">
      <c r="A642" t="s">
        <v>296</v>
      </c>
      <c r="B642" t="s">
        <v>4</v>
      </c>
      <c r="C642" t="s">
        <v>33</v>
      </c>
      <c r="D642" s="24">
        <v>46023</v>
      </c>
      <c r="E642" t="s">
        <v>388</v>
      </c>
      <c r="F642" t="s">
        <v>6</v>
      </c>
      <c r="G642" t="s">
        <v>506</v>
      </c>
      <c r="H642" t="s">
        <v>508</v>
      </c>
      <c r="I642" t="s">
        <v>212</v>
      </c>
      <c r="J642" s="25">
        <v>36024252</v>
      </c>
      <c r="K642" s="26">
        <v>5906098.8799999999</v>
      </c>
      <c r="L642" s="26">
        <v>16003.09</v>
      </c>
    </row>
    <row r="643" spans="1:12" ht="16" customHeight="1">
      <c r="A643" t="s">
        <v>296</v>
      </c>
      <c r="B643" t="s">
        <v>4</v>
      </c>
      <c r="C643" t="s">
        <v>33</v>
      </c>
      <c r="D643" s="24">
        <v>46023</v>
      </c>
      <c r="E643" t="s">
        <v>402</v>
      </c>
      <c r="F643" t="s">
        <v>6</v>
      </c>
      <c r="G643" t="s">
        <v>505</v>
      </c>
      <c r="H643" t="s">
        <v>505</v>
      </c>
      <c r="I643" t="s">
        <v>219</v>
      </c>
      <c r="J643" s="25">
        <v>254292</v>
      </c>
      <c r="K643" s="26">
        <v>42050.02</v>
      </c>
      <c r="L643" s="26">
        <v>280.86</v>
      </c>
    </row>
    <row r="644" spans="1:12" ht="16" customHeight="1">
      <c r="A644" t="s">
        <v>296</v>
      </c>
      <c r="B644" t="s">
        <v>4</v>
      </c>
      <c r="C644" t="s">
        <v>33</v>
      </c>
      <c r="D644" s="24">
        <v>46023</v>
      </c>
      <c r="E644" t="s">
        <v>407</v>
      </c>
      <c r="F644" t="s">
        <v>6</v>
      </c>
      <c r="G644" t="s">
        <v>505</v>
      </c>
      <c r="H644" t="s">
        <v>505</v>
      </c>
      <c r="I644" t="s">
        <v>219</v>
      </c>
      <c r="J644" s="25">
        <v>2534</v>
      </c>
      <c r="K644" s="26">
        <v>420.6</v>
      </c>
      <c r="L644" s="26">
        <v>4.83</v>
      </c>
    </row>
    <row r="645" spans="1:12" ht="16" customHeight="1">
      <c r="A645" t="s">
        <v>296</v>
      </c>
      <c r="B645" t="s">
        <v>4</v>
      </c>
      <c r="C645" t="s">
        <v>33</v>
      </c>
      <c r="D645" s="24">
        <v>46023</v>
      </c>
      <c r="E645" t="s">
        <v>412</v>
      </c>
      <c r="F645" t="s">
        <v>6</v>
      </c>
      <c r="G645" t="s">
        <v>505</v>
      </c>
      <c r="H645" t="s">
        <v>505</v>
      </c>
      <c r="I645" t="s">
        <v>219</v>
      </c>
      <c r="J645" s="25">
        <v>118</v>
      </c>
      <c r="K645" s="26">
        <v>19.68</v>
      </c>
      <c r="L645" s="26">
        <v>0.24</v>
      </c>
    </row>
    <row r="646" spans="1:12" ht="16" customHeight="1">
      <c r="A646" t="s">
        <v>296</v>
      </c>
      <c r="B646" t="s">
        <v>4</v>
      </c>
      <c r="C646" t="s">
        <v>33</v>
      </c>
      <c r="D646" s="24">
        <v>46023</v>
      </c>
      <c r="E646" t="s">
        <v>417</v>
      </c>
      <c r="F646" t="s">
        <v>6</v>
      </c>
      <c r="G646" t="s">
        <v>506</v>
      </c>
      <c r="H646" t="s">
        <v>506</v>
      </c>
      <c r="I646" t="s">
        <v>219</v>
      </c>
      <c r="J646" s="25">
        <v>13706</v>
      </c>
      <c r="K646" s="26">
        <v>2299.71</v>
      </c>
      <c r="L646" s="26">
        <v>25.68</v>
      </c>
    </row>
    <row r="647" spans="1:12" ht="16" customHeight="1">
      <c r="A647" t="s">
        <v>296</v>
      </c>
      <c r="B647" t="s">
        <v>4</v>
      </c>
      <c r="C647" t="s">
        <v>33</v>
      </c>
      <c r="D647" s="24">
        <v>46023</v>
      </c>
      <c r="E647" t="s">
        <v>435</v>
      </c>
      <c r="F647" t="s">
        <v>5</v>
      </c>
      <c r="G647" t="s">
        <v>510</v>
      </c>
      <c r="H647" t="s">
        <v>510</v>
      </c>
      <c r="I647" t="s">
        <v>221</v>
      </c>
      <c r="J647" s="25">
        <v>1</v>
      </c>
      <c r="K647" s="26">
        <v>0.17</v>
      </c>
      <c r="L647" s="26">
        <v>0</v>
      </c>
    </row>
    <row r="648" spans="1:12" ht="16" customHeight="1">
      <c r="A648" t="s">
        <v>296</v>
      </c>
      <c r="B648" t="s">
        <v>4</v>
      </c>
      <c r="C648" t="s">
        <v>33</v>
      </c>
      <c r="D648" s="24">
        <v>46023</v>
      </c>
      <c r="E648" t="s">
        <v>496</v>
      </c>
      <c r="F648" t="s">
        <v>6</v>
      </c>
      <c r="G648" t="s">
        <v>506</v>
      </c>
      <c r="H648" t="s">
        <v>506</v>
      </c>
      <c r="I648" t="s">
        <v>267</v>
      </c>
      <c r="J648" s="25">
        <v>0</v>
      </c>
      <c r="K648" s="26">
        <v>0</v>
      </c>
      <c r="L648" s="26">
        <v>0</v>
      </c>
    </row>
    <row r="649" spans="1:12" ht="16" customHeight="1">
      <c r="A649" t="s">
        <v>386</v>
      </c>
      <c r="B649" t="s">
        <v>5</v>
      </c>
      <c r="C649" t="s">
        <v>33</v>
      </c>
      <c r="D649" s="24">
        <v>46023</v>
      </c>
      <c r="E649" t="s">
        <v>388</v>
      </c>
      <c r="F649" t="s">
        <v>6</v>
      </c>
      <c r="G649" t="s">
        <v>506</v>
      </c>
      <c r="H649" t="s">
        <v>508</v>
      </c>
      <c r="I649" t="s">
        <v>212</v>
      </c>
      <c r="J649" s="25">
        <v>158593395</v>
      </c>
      <c r="K649" s="26">
        <v>26112281.539999999</v>
      </c>
      <c r="L649" s="26">
        <v>45939.48</v>
      </c>
    </row>
    <row r="650" spans="1:12" ht="16" customHeight="1">
      <c r="A650" t="s">
        <v>386</v>
      </c>
      <c r="B650" t="s">
        <v>5</v>
      </c>
      <c r="C650" t="s">
        <v>33</v>
      </c>
      <c r="D650" s="24">
        <v>46023</v>
      </c>
      <c r="E650" t="s">
        <v>402</v>
      </c>
      <c r="F650" t="s">
        <v>6</v>
      </c>
      <c r="G650" t="s">
        <v>505</v>
      </c>
      <c r="H650" t="s">
        <v>505</v>
      </c>
      <c r="I650" t="s">
        <v>219</v>
      </c>
      <c r="J650" s="25">
        <v>595027</v>
      </c>
      <c r="K650" s="26">
        <v>98161.1</v>
      </c>
      <c r="L650" s="26">
        <v>451.84</v>
      </c>
    </row>
    <row r="651" spans="1:12" ht="16" customHeight="1">
      <c r="A651" t="s">
        <v>386</v>
      </c>
      <c r="B651" t="s">
        <v>5</v>
      </c>
      <c r="C651" t="s">
        <v>33</v>
      </c>
      <c r="D651" s="24">
        <v>46023</v>
      </c>
      <c r="E651" t="s">
        <v>407</v>
      </c>
      <c r="F651" t="s">
        <v>6</v>
      </c>
      <c r="G651" t="s">
        <v>505</v>
      </c>
      <c r="H651" t="s">
        <v>505</v>
      </c>
      <c r="I651" t="s">
        <v>219</v>
      </c>
      <c r="J651" s="25">
        <v>3485</v>
      </c>
      <c r="K651" s="26">
        <v>581.34</v>
      </c>
      <c r="L651" s="26">
        <v>5.4</v>
      </c>
    </row>
    <row r="652" spans="1:12" ht="16" customHeight="1">
      <c r="A652" t="s">
        <v>386</v>
      </c>
      <c r="B652" t="s">
        <v>5</v>
      </c>
      <c r="C652" t="s">
        <v>33</v>
      </c>
      <c r="D652" s="24">
        <v>46023</v>
      </c>
      <c r="E652" t="s">
        <v>412</v>
      </c>
      <c r="F652" t="s">
        <v>6</v>
      </c>
      <c r="G652" t="s">
        <v>505</v>
      </c>
      <c r="H652" t="s">
        <v>505</v>
      </c>
      <c r="I652" t="s">
        <v>219</v>
      </c>
      <c r="J652" s="25">
        <v>165</v>
      </c>
      <c r="K652" s="26">
        <v>27.7</v>
      </c>
      <c r="L652" s="26">
        <v>0.32</v>
      </c>
    </row>
    <row r="653" spans="1:12" ht="16" customHeight="1">
      <c r="A653" t="s">
        <v>386</v>
      </c>
      <c r="B653" t="s">
        <v>5</v>
      </c>
      <c r="C653" t="s">
        <v>33</v>
      </c>
      <c r="D653" s="24">
        <v>46023</v>
      </c>
      <c r="E653" t="s">
        <v>417</v>
      </c>
      <c r="F653" t="s">
        <v>6</v>
      </c>
      <c r="G653" t="s">
        <v>506</v>
      </c>
      <c r="H653" t="s">
        <v>506</v>
      </c>
      <c r="I653" t="s">
        <v>219</v>
      </c>
      <c r="J653" s="25">
        <v>14944</v>
      </c>
      <c r="K653" s="26">
        <v>2508.85</v>
      </c>
      <c r="L653" s="26">
        <v>23.07</v>
      </c>
    </row>
    <row r="654" spans="1:12" ht="16" customHeight="1">
      <c r="A654" t="s">
        <v>386</v>
      </c>
      <c r="B654" t="s">
        <v>5</v>
      </c>
      <c r="C654" t="s">
        <v>33</v>
      </c>
      <c r="D654" s="24">
        <v>46023</v>
      </c>
      <c r="E654" t="s">
        <v>435</v>
      </c>
      <c r="F654" t="s">
        <v>5</v>
      </c>
      <c r="G654" t="s">
        <v>510</v>
      </c>
      <c r="H654" t="s">
        <v>510</v>
      </c>
      <c r="I654" t="s">
        <v>221</v>
      </c>
      <c r="J654" s="25">
        <v>2</v>
      </c>
      <c r="K654" s="26">
        <v>0.34</v>
      </c>
      <c r="L654" s="26">
        <v>0</v>
      </c>
    </row>
    <row r="655" spans="1:12" ht="16" customHeight="1">
      <c r="A655" t="s">
        <v>386</v>
      </c>
      <c r="B655" t="s">
        <v>5</v>
      </c>
      <c r="C655" t="s">
        <v>33</v>
      </c>
      <c r="D655" s="24">
        <v>46023</v>
      </c>
      <c r="E655" t="s">
        <v>496</v>
      </c>
      <c r="F655" t="s">
        <v>6</v>
      </c>
      <c r="G655" t="s">
        <v>506</v>
      </c>
      <c r="H655" t="s">
        <v>506</v>
      </c>
      <c r="I655" t="s">
        <v>267</v>
      </c>
      <c r="J655" s="25">
        <v>0</v>
      </c>
      <c r="K655" s="26">
        <v>0</v>
      </c>
      <c r="L655" s="26">
        <v>0</v>
      </c>
    </row>
    <row r="656" spans="1:12" ht="16" customHeight="1">
      <c r="A656" t="s">
        <v>388</v>
      </c>
      <c r="B656" t="s">
        <v>6</v>
      </c>
      <c r="C656" t="s">
        <v>34</v>
      </c>
      <c r="D656" s="24">
        <v>46023</v>
      </c>
      <c r="E656" t="s">
        <v>388</v>
      </c>
      <c r="F656" t="s">
        <v>6</v>
      </c>
      <c r="G656" t="s">
        <v>506</v>
      </c>
      <c r="H656" t="s">
        <v>508</v>
      </c>
      <c r="I656" t="s">
        <v>212</v>
      </c>
      <c r="J656" s="25">
        <v>515244580</v>
      </c>
      <c r="K656" s="26">
        <v>84886660.450000003</v>
      </c>
      <c r="L656" s="26">
        <v>65837.17</v>
      </c>
    </row>
    <row r="657" spans="1:12" ht="16" customHeight="1">
      <c r="A657" t="s">
        <v>388</v>
      </c>
      <c r="B657" t="s">
        <v>6</v>
      </c>
      <c r="C657" t="s">
        <v>34</v>
      </c>
      <c r="D657" s="24">
        <v>46023</v>
      </c>
      <c r="E657" t="s">
        <v>402</v>
      </c>
      <c r="F657" t="s">
        <v>6</v>
      </c>
      <c r="G657" t="s">
        <v>505</v>
      </c>
      <c r="H657" t="s">
        <v>505</v>
      </c>
      <c r="I657" t="s">
        <v>219</v>
      </c>
      <c r="J657" s="25">
        <v>1616150</v>
      </c>
      <c r="K657" s="26">
        <v>267472.21000000002</v>
      </c>
      <c r="L657" s="26">
        <v>1297.17</v>
      </c>
    </row>
    <row r="658" spans="1:12" ht="16" customHeight="1">
      <c r="A658" t="s">
        <v>388</v>
      </c>
      <c r="B658" t="s">
        <v>6</v>
      </c>
      <c r="C658" t="s">
        <v>34</v>
      </c>
      <c r="D658" s="24">
        <v>46023</v>
      </c>
      <c r="E658" t="s">
        <v>407</v>
      </c>
      <c r="F658" t="s">
        <v>6</v>
      </c>
      <c r="G658" t="s">
        <v>505</v>
      </c>
      <c r="H658" t="s">
        <v>505</v>
      </c>
      <c r="I658" t="s">
        <v>219</v>
      </c>
      <c r="J658" s="25">
        <v>7512</v>
      </c>
      <c r="K658" s="26">
        <v>1251.6500000000001</v>
      </c>
      <c r="L658" s="26">
        <v>10.8</v>
      </c>
    </row>
    <row r="659" spans="1:12" ht="16" customHeight="1">
      <c r="A659" t="s">
        <v>388</v>
      </c>
      <c r="B659" t="s">
        <v>6</v>
      </c>
      <c r="C659" t="s">
        <v>34</v>
      </c>
      <c r="D659" s="24">
        <v>46023</v>
      </c>
      <c r="E659" t="s">
        <v>412</v>
      </c>
      <c r="F659" t="s">
        <v>6</v>
      </c>
      <c r="G659" t="s">
        <v>505</v>
      </c>
      <c r="H659" t="s">
        <v>505</v>
      </c>
      <c r="I659" t="s">
        <v>219</v>
      </c>
      <c r="J659" s="25">
        <v>833</v>
      </c>
      <c r="K659" s="26">
        <v>138.77000000000001</v>
      </c>
      <c r="L659" s="26">
        <v>1.49</v>
      </c>
    </row>
    <row r="660" spans="1:12" ht="16" customHeight="1">
      <c r="A660" t="s">
        <v>388</v>
      </c>
      <c r="B660" t="s">
        <v>6</v>
      </c>
      <c r="C660" t="s">
        <v>34</v>
      </c>
      <c r="D660" s="24">
        <v>46023</v>
      </c>
      <c r="E660" t="s">
        <v>417</v>
      </c>
      <c r="F660" t="s">
        <v>6</v>
      </c>
      <c r="G660" t="s">
        <v>506</v>
      </c>
      <c r="H660" t="s">
        <v>506</v>
      </c>
      <c r="I660" t="s">
        <v>219</v>
      </c>
      <c r="J660" s="25">
        <v>15731</v>
      </c>
      <c r="K660" s="26">
        <v>2641.55</v>
      </c>
      <c r="L660" s="26">
        <v>24.82</v>
      </c>
    </row>
    <row r="661" spans="1:12" ht="16" customHeight="1">
      <c r="A661" t="s">
        <v>388</v>
      </c>
      <c r="B661" t="s">
        <v>6</v>
      </c>
      <c r="C661" t="s">
        <v>34</v>
      </c>
      <c r="D661" s="24">
        <v>46023</v>
      </c>
      <c r="E661" t="s">
        <v>435</v>
      </c>
      <c r="F661" t="s">
        <v>5</v>
      </c>
      <c r="G661" t="s">
        <v>510</v>
      </c>
      <c r="H661" t="s">
        <v>510</v>
      </c>
      <c r="I661" t="s">
        <v>221</v>
      </c>
      <c r="J661" s="25">
        <v>1</v>
      </c>
      <c r="K661" s="26">
        <v>0.17</v>
      </c>
      <c r="L661" s="26">
        <v>0</v>
      </c>
    </row>
    <row r="662" spans="1:12" ht="16" customHeight="1">
      <c r="A662" t="s">
        <v>388</v>
      </c>
      <c r="B662" t="s">
        <v>6</v>
      </c>
      <c r="C662" t="s">
        <v>34</v>
      </c>
      <c r="D662" s="24">
        <v>46023</v>
      </c>
      <c r="E662" t="s">
        <v>496</v>
      </c>
      <c r="F662" t="s">
        <v>6</v>
      </c>
      <c r="G662" t="s">
        <v>506</v>
      </c>
      <c r="H662" t="s">
        <v>506</v>
      </c>
      <c r="I662" t="s">
        <v>267</v>
      </c>
      <c r="J662" s="25">
        <v>0</v>
      </c>
      <c r="K662" s="26">
        <v>0</v>
      </c>
      <c r="L662" s="26">
        <v>0</v>
      </c>
    </row>
    <row r="663" spans="1:12" ht="16" customHeight="1">
      <c r="A663" t="s">
        <v>389</v>
      </c>
      <c r="B663" t="s">
        <v>7</v>
      </c>
      <c r="C663" t="s">
        <v>34</v>
      </c>
      <c r="D663" s="24">
        <v>46023</v>
      </c>
      <c r="E663" t="s">
        <v>402</v>
      </c>
      <c r="F663" t="s">
        <v>6</v>
      </c>
      <c r="G663" t="s">
        <v>505</v>
      </c>
      <c r="H663" t="s">
        <v>505</v>
      </c>
      <c r="I663" t="s">
        <v>219</v>
      </c>
      <c r="J663" s="25">
        <v>17023177</v>
      </c>
      <c r="K663" s="26">
        <v>2819096.19</v>
      </c>
      <c r="L663" s="26">
        <v>13697.49</v>
      </c>
    </row>
    <row r="664" spans="1:12" ht="16" customHeight="1">
      <c r="A664" t="s">
        <v>389</v>
      </c>
      <c r="B664" t="s">
        <v>7</v>
      </c>
      <c r="C664" t="s">
        <v>34</v>
      </c>
      <c r="D664" s="24">
        <v>46023</v>
      </c>
      <c r="E664" t="s">
        <v>407</v>
      </c>
      <c r="F664" t="s">
        <v>6</v>
      </c>
      <c r="G664" t="s">
        <v>505</v>
      </c>
      <c r="H664" t="s">
        <v>505</v>
      </c>
      <c r="I664" t="s">
        <v>219</v>
      </c>
      <c r="J664" s="25">
        <v>56516</v>
      </c>
      <c r="K664" s="26">
        <v>9408.5</v>
      </c>
      <c r="L664" s="26">
        <v>73.98</v>
      </c>
    </row>
    <row r="665" spans="1:12" ht="16" customHeight="1">
      <c r="A665" t="s">
        <v>389</v>
      </c>
      <c r="B665" t="s">
        <v>7</v>
      </c>
      <c r="C665" t="s">
        <v>34</v>
      </c>
      <c r="D665" s="24">
        <v>46023</v>
      </c>
      <c r="E665" t="s">
        <v>412</v>
      </c>
      <c r="F665" t="s">
        <v>6</v>
      </c>
      <c r="G665" t="s">
        <v>505</v>
      </c>
      <c r="H665" t="s">
        <v>505</v>
      </c>
      <c r="I665" t="s">
        <v>219</v>
      </c>
      <c r="J665" s="25">
        <v>488</v>
      </c>
      <c r="K665" s="26">
        <v>80.87</v>
      </c>
      <c r="L665" s="26">
        <v>0.76</v>
      </c>
    </row>
    <row r="666" spans="1:12" ht="16" customHeight="1">
      <c r="A666" t="s">
        <v>389</v>
      </c>
      <c r="B666" t="s">
        <v>7</v>
      </c>
      <c r="C666" t="s">
        <v>34</v>
      </c>
      <c r="D666" s="24">
        <v>46023</v>
      </c>
      <c r="E666" t="s">
        <v>417</v>
      </c>
      <c r="F666" t="s">
        <v>6</v>
      </c>
      <c r="G666" t="s">
        <v>506</v>
      </c>
      <c r="H666" t="s">
        <v>506</v>
      </c>
      <c r="I666" t="s">
        <v>219</v>
      </c>
      <c r="J666" s="25">
        <v>17729</v>
      </c>
      <c r="K666" s="26">
        <v>2971.79</v>
      </c>
      <c r="L666" s="26">
        <v>27.17</v>
      </c>
    </row>
    <row r="667" spans="1:12" ht="16" customHeight="1">
      <c r="A667" t="s">
        <v>389</v>
      </c>
      <c r="B667" t="s">
        <v>7</v>
      </c>
      <c r="C667" t="s">
        <v>34</v>
      </c>
      <c r="D667" s="24">
        <v>46023</v>
      </c>
      <c r="E667" t="s">
        <v>435</v>
      </c>
      <c r="F667" t="s">
        <v>5</v>
      </c>
      <c r="G667" t="s">
        <v>510</v>
      </c>
      <c r="H667" t="s">
        <v>510</v>
      </c>
      <c r="I667" t="s">
        <v>221</v>
      </c>
      <c r="J667" s="25">
        <v>23</v>
      </c>
      <c r="K667" s="26">
        <v>3.9</v>
      </c>
      <c r="L667" s="26">
        <v>0.06</v>
      </c>
    </row>
    <row r="668" spans="1:12" ht="16" customHeight="1">
      <c r="A668" t="s">
        <v>389</v>
      </c>
      <c r="B668" t="s">
        <v>7</v>
      </c>
      <c r="C668" t="s">
        <v>34</v>
      </c>
      <c r="D668" s="24">
        <v>46023</v>
      </c>
      <c r="E668" t="s">
        <v>496</v>
      </c>
      <c r="F668" t="s">
        <v>6</v>
      </c>
      <c r="G668" t="s">
        <v>506</v>
      </c>
      <c r="H668" t="s">
        <v>506</v>
      </c>
      <c r="I668" t="s">
        <v>267</v>
      </c>
      <c r="J668" s="25">
        <v>0</v>
      </c>
      <c r="K668" s="26">
        <v>0</v>
      </c>
      <c r="L668" s="26">
        <v>0</v>
      </c>
    </row>
    <row r="669" spans="1:12" ht="16" customHeight="1">
      <c r="A669" t="s">
        <v>390</v>
      </c>
      <c r="B669" t="s">
        <v>8</v>
      </c>
      <c r="C669" t="s">
        <v>35</v>
      </c>
      <c r="D669" s="24">
        <v>46054</v>
      </c>
      <c r="E669" t="s">
        <v>402</v>
      </c>
      <c r="F669" t="s">
        <v>6</v>
      </c>
      <c r="G669" t="s">
        <v>505</v>
      </c>
      <c r="H669" t="s">
        <v>505</v>
      </c>
      <c r="I669" t="s">
        <v>212</v>
      </c>
      <c r="J669" s="25">
        <v>37163843</v>
      </c>
      <c r="K669" s="26">
        <v>6128096.2800000003</v>
      </c>
      <c r="L669" s="26">
        <v>24504.1</v>
      </c>
    </row>
    <row r="670" spans="1:12" ht="16" customHeight="1">
      <c r="A670" t="s">
        <v>390</v>
      </c>
      <c r="B670" t="s">
        <v>8</v>
      </c>
      <c r="C670" t="s">
        <v>35</v>
      </c>
      <c r="D670" s="24">
        <v>46054</v>
      </c>
      <c r="E670" t="s">
        <v>407</v>
      </c>
      <c r="F670" t="s">
        <v>6</v>
      </c>
      <c r="G670" t="s">
        <v>505</v>
      </c>
      <c r="H670" t="s">
        <v>505</v>
      </c>
      <c r="I670" t="s">
        <v>212</v>
      </c>
      <c r="J670" s="25">
        <v>185960</v>
      </c>
      <c r="K670" s="26">
        <v>30816.34</v>
      </c>
      <c r="L670" s="26">
        <v>227.97</v>
      </c>
    </row>
    <row r="671" spans="1:12" ht="16" customHeight="1">
      <c r="A671" t="s">
        <v>390</v>
      </c>
      <c r="B671" t="s">
        <v>8</v>
      </c>
      <c r="C671" t="s">
        <v>35</v>
      </c>
      <c r="D671" s="24">
        <v>46054</v>
      </c>
      <c r="E671" t="s">
        <v>412</v>
      </c>
      <c r="F671" t="s">
        <v>6</v>
      </c>
      <c r="G671" t="s">
        <v>505</v>
      </c>
      <c r="H671" t="s">
        <v>505</v>
      </c>
      <c r="I671" t="s">
        <v>212</v>
      </c>
      <c r="J671" s="25">
        <v>622</v>
      </c>
      <c r="K671" s="26">
        <v>102.83</v>
      </c>
      <c r="L671" s="26">
        <v>1.05</v>
      </c>
    </row>
    <row r="672" spans="1:12" ht="16" customHeight="1">
      <c r="A672" t="s">
        <v>390</v>
      </c>
      <c r="B672" t="s">
        <v>8</v>
      </c>
      <c r="C672" t="s">
        <v>35</v>
      </c>
      <c r="D672" s="24">
        <v>46054</v>
      </c>
      <c r="E672" t="s">
        <v>417</v>
      </c>
      <c r="F672" t="s">
        <v>6</v>
      </c>
      <c r="G672" t="s">
        <v>506</v>
      </c>
      <c r="H672" t="s">
        <v>506</v>
      </c>
      <c r="I672" t="s">
        <v>212</v>
      </c>
      <c r="J672" s="25">
        <v>32333</v>
      </c>
      <c r="K672" s="26">
        <v>5398.13</v>
      </c>
      <c r="L672" s="26">
        <v>45.06</v>
      </c>
    </row>
    <row r="673" spans="1:12" ht="16" customHeight="1">
      <c r="A673" t="s">
        <v>390</v>
      </c>
      <c r="B673" t="s">
        <v>8</v>
      </c>
      <c r="C673" t="s">
        <v>35</v>
      </c>
      <c r="D673" s="24">
        <v>46054</v>
      </c>
      <c r="E673" t="s">
        <v>435</v>
      </c>
      <c r="F673" t="s">
        <v>5</v>
      </c>
      <c r="G673" t="s">
        <v>510</v>
      </c>
      <c r="H673" t="s">
        <v>510</v>
      </c>
      <c r="I673" t="s">
        <v>219</v>
      </c>
      <c r="J673" s="25">
        <v>11</v>
      </c>
      <c r="K673" s="26">
        <v>1.75</v>
      </c>
      <c r="L673" s="26">
        <v>0.02</v>
      </c>
    </row>
    <row r="674" spans="1:12" ht="16" customHeight="1">
      <c r="A674" t="s">
        <v>390</v>
      </c>
      <c r="B674" t="s">
        <v>8</v>
      </c>
      <c r="C674" t="s">
        <v>35</v>
      </c>
      <c r="D674" s="24">
        <v>46054</v>
      </c>
      <c r="E674" t="s">
        <v>496</v>
      </c>
      <c r="F674" t="s">
        <v>6</v>
      </c>
      <c r="G674" t="s">
        <v>506</v>
      </c>
      <c r="H674" t="s">
        <v>506</v>
      </c>
      <c r="I674" t="s">
        <v>300</v>
      </c>
      <c r="J674" s="25">
        <v>0</v>
      </c>
      <c r="K674" s="26">
        <v>0</v>
      </c>
      <c r="L674" s="26">
        <v>0</v>
      </c>
    </row>
    <row r="675" spans="1:12" ht="16" customHeight="1">
      <c r="A675" t="s">
        <v>399</v>
      </c>
      <c r="B675" t="s">
        <v>3</v>
      </c>
      <c r="C675" t="s">
        <v>35</v>
      </c>
      <c r="D675" s="24">
        <v>46054</v>
      </c>
      <c r="E675" t="s">
        <v>402</v>
      </c>
      <c r="F675" t="s">
        <v>6</v>
      </c>
      <c r="G675" t="s">
        <v>505</v>
      </c>
      <c r="H675" t="s">
        <v>505</v>
      </c>
      <c r="I675" t="s">
        <v>212</v>
      </c>
      <c r="J675" s="25">
        <v>31364788</v>
      </c>
      <c r="K675" s="26">
        <v>5114044.34</v>
      </c>
      <c r="L675" s="26">
        <v>17340.13</v>
      </c>
    </row>
    <row r="676" spans="1:12" ht="16" customHeight="1">
      <c r="A676" t="s">
        <v>399</v>
      </c>
      <c r="B676" t="s">
        <v>3</v>
      </c>
      <c r="C676" t="s">
        <v>35</v>
      </c>
      <c r="D676" s="24">
        <v>46054</v>
      </c>
      <c r="E676" t="s">
        <v>407</v>
      </c>
      <c r="F676" t="s">
        <v>6</v>
      </c>
      <c r="G676" t="s">
        <v>505</v>
      </c>
      <c r="H676" t="s">
        <v>505</v>
      </c>
      <c r="I676" t="s">
        <v>212</v>
      </c>
      <c r="J676" s="25">
        <v>159942</v>
      </c>
      <c r="K676" s="26">
        <v>26251.31</v>
      </c>
      <c r="L676" s="26">
        <v>167.09</v>
      </c>
    </row>
    <row r="677" spans="1:12" ht="16" customHeight="1">
      <c r="A677" t="s">
        <v>399</v>
      </c>
      <c r="B677" t="s">
        <v>3</v>
      </c>
      <c r="C677" t="s">
        <v>35</v>
      </c>
      <c r="D677" s="24">
        <v>46054</v>
      </c>
      <c r="E677" t="s">
        <v>412</v>
      </c>
      <c r="F677" t="s">
        <v>6</v>
      </c>
      <c r="G677" t="s">
        <v>505</v>
      </c>
      <c r="H677" t="s">
        <v>505</v>
      </c>
      <c r="I677" t="s">
        <v>212</v>
      </c>
      <c r="J677" s="25">
        <v>595</v>
      </c>
      <c r="K677" s="26">
        <v>97.79</v>
      </c>
      <c r="L677" s="26">
        <v>0.7</v>
      </c>
    </row>
    <row r="678" spans="1:12" ht="16" customHeight="1">
      <c r="A678" t="s">
        <v>399</v>
      </c>
      <c r="B678" t="s">
        <v>3</v>
      </c>
      <c r="C678" t="s">
        <v>35</v>
      </c>
      <c r="D678" s="24">
        <v>46054</v>
      </c>
      <c r="E678" t="s">
        <v>417</v>
      </c>
      <c r="F678" t="s">
        <v>6</v>
      </c>
      <c r="G678" t="s">
        <v>506</v>
      </c>
      <c r="H678" t="s">
        <v>506</v>
      </c>
      <c r="I678" t="s">
        <v>212</v>
      </c>
      <c r="J678" s="25">
        <v>22143</v>
      </c>
      <c r="K678" s="26">
        <v>3666</v>
      </c>
      <c r="L678" s="26">
        <v>33.43</v>
      </c>
    </row>
    <row r="679" spans="1:12" ht="16" customHeight="1">
      <c r="A679" t="s">
        <v>399</v>
      </c>
      <c r="B679" t="s">
        <v>3</v>
      </c>
      <c r="C679" t="s">
        <v>35</v>
      </c>
      <c r="D679" s="24">
        <v>46054</v>
      </c>
      <c r="E679" t="s">
        <v>421</v>
      </c>
      <c r="F679" t="s">
        <v>6</v>
      </c>
      <c r="G679" t="s">
        <v>505</v>
      </c>
      <c r="H679" t="s">
        <v>505</v>
      </c>
      <c r="I679" t="s">
        <v>219</v>
      </c>
      <c r="J679" s="25">
        <v>2</v>
      </c>
      <c r="K679" s="26">
        <v>0.28999999999999998</v>
      </c>
      <c r="L679" s="26">
        <v>0</v>
      </c>
    </row>
    <row r="680" spans="1:12" ht="16" customHeight="1">
      <c r="A680" t="s">
        <v>399</v>
      </c>
      <c r="B680" t="s">
        <v>3</v>
      </c>
      <c r="C680" t="s">
        <v>35</v>
      </c>
      <c r="D680" s="24">
        <v>46054</v>
      </c>
      <c r="E680" t="s">
        <v>435</v>
      </c>
      <c r="F680" t="s">
        <v>5</v>
      </c>
      <c r="G680" t="s">
        <v>510</v>
      </c>
      <c r="H680" t="s">
        <v>510</v>
      </c>
      <c r="I680" t="s">
        <v>219</v>
      </c>
      <c r="J680" s="25">
        <v>14</v>
      </c>
      <c r="K680" s="26">
        <v>2.34</v>
      </c>
      <c r="L680" s="26">
        <v>0.04</v>
      </c>
    </row>
    <row r="681" spans="1:12" ht="16" customHeight="1">
      <c r="A681" t="s">
        <v>399</v>
      </c>
      <c r="B681" t="s">
        <v>3</v>
      </c>
      <c r="C681" t="s">
        <v>35</v>
      </c>
      <c r="D681" s="24">
        <v>46054</v>
      </c>
      <c r="E681" t="s">
        <v>496</v>
      </c>
      <c r="F681" t="s">
        <v>6</v>
      </c>
      <c r="G681" t="s">
        <v>506</v>
      </c>
      <c r="H681" t="s">
        <v>506</v>
      </c>
      <c r="I681" t="s">
        <v>300</v>
      </c>
      <c r="J681" s="25">
        <v>0</v>
      </c>
      <c r="K681" s="26">
        <v>0</v>
      </c>
      <c r="L681" s="26">
        <v>0</v>
      </c>
    </row>
    <row r="682" spans="1:12" ht="16" customHeight="1">
      <c r="A682" t="s">
        <v>354</v>
      </c>
      <c r="B682" t="s">
        <v>4</v>
      </c>
      <c r="C682" t="s">
        <v>35</v>
      </c>
      <c r="D682" s="24">
        <v>46054</v>
      </c>
      <c r="E682" t="s">
        <v>402</v>
      </c>
      <c r="F682" t="s">
        <v>6</v>
      </c>
      <c r="G682" t="s">
        <v>505</v>
      </c>
      <c r="H682" t="s">
        <v>505</v>
      </c>
      <c r="I682" t="s">
        <v>212</v>
      </c>
      <c r="J682" s="25">
        <v>37562693</v>
      </c>
      <c r="K682" s="26">
        <v>6308608.54</v>
      </c>
      <c r="L682" s="26">
        <v>19248</v>
      </c>
    </row>
    <row r="683" spans="1:12" ht="16" customHeight="1">
      <c r="A683" t="s">
        <v>354</v>
      </c>
      <c r="B683" t="s">
        <v>4</v>
      </c>
      <c r="C683" t="s">
        <v>35</v>
      </c>
      <c r="D683" s="24">
        <v>46054</v>
      </c>
      <c r="E683" t="s">
        <v>407</v>
      </c>
      <c r="F683" t="s">
        <v>6</v>
      </c>
      <c r="G683" t="s">
        <v>505</v>
      </c>
      <c r="H683" t="s">
        <v>505</v>
      </c>
      <c r="I683" t="s">
        <v>212</v>
      </c>
      <c r="J683" s="25">
        <v>372556</v>
      </c>
      <c r="K683" s="26">
        <v>62460.26</v>
      </c>
      <c r="L683" s="26">
        <v>397.46</v>
      </c>
    </row>
    <row r="684" spans="1:12" ht="16" customHeight="1">
      <c r="A684" t="s">
        <v>354</v>
      </c>
      <c r="B684" t="s">
        <v>4</v>
      </c>
      <c r="C684" t="s">
        <v>35</v>
      </c>
      <c r="D684" s="24">
        <v>46054</v>
      </c>
      <c r="E684" t="s">
        <v>412</v>
      </c>
      <c r="F684" t="s">
        <v>6</v>
      </c>
      <c r="G684" t="s">
        <v>505</v>
      </c>
      <c r="H684" t="s">
        <v>505</v>
      </c>
      <c r="I684" t="s">
        <v>212</v>
      </c>
      <c r="J684" s="25">
        <v>158</v>
      </c>
      <c r="K684" s="26">
        <v>27.09</v>
      </c>
      <c r="L684" s="26">
        <v>0.17</v>
      </c>
    </row>
    <row r="685" spans="1:12" ht="16" customHeight="1">
      <c r="A685" t="s">
        <v>354</v>
      </c>
      <c r="B685" t="s">
        <v>4</v>
      </c>
      <c r="C685" t="s">
        <v>35</v>
      </c>
      <c r="D685" s="24">
        <v>46054</v>
      </c>
      <c r="E685" t="s">
        <v>417</v>
      </c>
      <c r="F685" t="s">
        <v>6</v>
      </c>
      <c r="G685" t="s">
        <v>506</v>
      </c>
      <c r="H685" t="s">
        <v>506</v>
      </c>
      <c r="I685" t="s">
        <v>212</v>
      </c>
      <c r="J685" s="25">
        <v>38087</v>
      </c>
      <c r="K685" s="26">
        <v>6432.76</v>
      </c>
      <c r="L685" s="26">
        <v>62.73</v>
      </c>
    </row>
    <row r="686" spans="1:12" ht="16" customHeight="1">
      <c r="A686" t="s">
        <v>354</v>
      </c>
      <c r="B686" t="s">
        <v>4</v>
      </c>
      <c r="C686" t="s">
        <v>35</v>
      </c>
      <c r="D686" s="24">
        <v>46054</v>
      </c>
      <c r="E686" t="s">
        <v>421</v>
      </c>
      <c r="F686" t="s">
        <v>6</v>
      </c>
      <c r="G686" t="s">
        <v>505</v>
      </c>
      <c r="H686" t="s">
        <v>505</v>
      </c>
      <c r="I686" t="s">
        <v>219</v>
      </c>
      <c r="J686" s="25">
        <v>14</v>
      </c>
      <c r="K686" s="26">
        <v>2.02</v>
      </c>
      <c r="L686" s="26">
        <v>0</v>
      </c>
    </row>
    <row r="687" spans="1:12" ht="16" customHeight="1">
      <c r="A687" t="s">
        <v>354</v>
      </c>
      <c r="B687" t="s">
        <v>4</v>
      </c>
      <c r="C687" t="s">
        <v>35</v>
      </c>
      <c r="D687" s="24">
        <v>46054</v>
      </c>
      <c r="E687" t="s">
        <v>435</v>
      </c>
      <c r="F687" t="s">
        <v>5</v>
      </c>
      <c r="G687" t="s">
        <v>510</v>
      </c>
      <c r="H687" t="s">
        <v>510</v>
      </c>
      <c r="I687" t="s">
        <v>219</v>
      </c>
      <c r="J687" s="25">
        <v>5</v>
      </c>
      <c r="K687" s="26">
        <v>0.86</v>
      </c>
      <c r="L687" s="26">
        <v>0.02</v>
      </c>
    </row>
    <row r="688" spans="1:12" ht="16" customHeight="1">
      <c r="A688" t="s">
        <v>354</v>
      </c>
      <c r="B688" t="s">
        <v>4</v>
      </c>
      <c r="C688" t="s">
        <v>35</v>
      </c>
      <c r="D688" s="24">
        <v>46054</v>
      </c>
      <c r="E688" t="s">
        <v>496</v>
      </c>
      <c r="F688" t="s">
        <v>6</v>
      </c>
      <c r="G688" t="s">
        <v>506</v>
      </c>
      <c r="H688" t="s">
        <v>506</v>
      </c>
      <c r="I688" t="s">
        <v>300</v>
      </c>
      <c r="J688" s="25">
        <v>0</v>
      </c>
      <c r="K688" s="26">
        <v>0</v>
      </c>
      <c r="L688" s="26">
        <v>0</v>
      </c>
    </row>
    <row r="689" spans="1:12" ht="16" customHeight="1">
      <c r="A689" t="s">
        <v>400</v>
      </c>
      <c r="B689" t="s">
        <v>5</v>
      </c>
      <c r="C689" t="s">
        <v>35</v>
      </c>
      <c r="D689" s="24">
        <v>46054</v>
      </c>
      <c r="E689" t="s">
        <v>402</v>
      </c>
      <c r="F689" t="s">
        <v>6</v>
      </c>
      <c r="G689" t="s">
        <v>505</v>
      </c>
      <c r="H689" t="s">
        <v>505</v>
      </c>
      <c r="I689" t="s">
        <v>212</v>
      </c>
      <c r="J689" s="25">
        <v>129869631</v>
      </c>
      <c r="K689" s="26">
        <v>21768230.210000001</v>
      </c>
      <c r="L689" s="26">
        <v>36963.06</v>
      </c>
    </row>
    <row r="690" spans="1:12" ht="16" customHeight="1">
      <c r="A690" t="s">
        <v>400</v>
      </c>
      <c r="B690" t="s">
        <v>5</v>
      </c>
      <c r="C690" t="s">
        <v>35</v>
      </c>
      <c r="D690" s="24">
        <v>46054</v>
      </c>
      <c r="E690" t="s">
        <v>407</v>
      </c>
      <c r="F690" t="s">
        <v>6</v>
      </c>
      <c r="G690" t="s">
        <v>505</v>
      </c>
      <c r="H690" t="s">
        <v>505</v>
      </c>
      <c r="I690" t="s">
        <v>212</v>
      </c>
      <c r="J690" s="25">
        <v>585478</v>
      </c>
      <c r="K690" s="26">
        <v>98118.33</v>
      </c>
      <c r="L690" s="26">
        <v>390</v>
      </c>
    </row>
    <row r="691" spans="1:12" ht="16" customHeight="1">
      <c r="A691" t="s">
        <v>400</v>
      </c>
      <c r="B691" t="s">
        <v>5</v>
      </c>
      <c r="C691" t="s">
        <v>35</v>
      </c>
      <c r="D691" s="24">
        <v>46054</v>
      </c>
      <c r="E691" t="s">
        <v>412</v>
      </c>
      <c r="F691" t="s">
        <v>6</v>
      </c>
      <c r="G691" t="s">
        <v>505</v>
      </c>
      <c r="H691" t="s">
        <v>505</v>
      </c>
      <c r="I691" t="s">
        <v>212</v>
      </c>
      <c r="J691" s="25">
        <v>762</v>
      </c>
      <c r="K691" s="26">
        <v>128.31</v>
      </c>
      <c r="L691" s="26">
        <v>1.19</v>
      </c>
    </row>
    <row r="692" spans="1:12" ht="16" customHeight="1">
      <c r="A692" t="s">
        <v>400</v>
      </c>
      <c r="B692" t="s">
        <v>5</v>
      </c>
      <c r="C692" t="s">
        <v>35</v>
      </c>
      <c r="D692" s="24">
        <v>46054</v>
      </c>
      <c r="E692" t="s">
        <v>417</v>
      </c>
      <c r="F692" t="s">
        <v>6</v>
      </c>
      <c r="G692" t="s">
        <v>506</v>
      </c>
      <c r="H692" t="s">
        <v>506</v>
      </c>
      <c r="I692" t="s">
        <v>212</v>
      </c>
      <c r="J692" s="25">
        <v>30040</v>
      </c>
      <c r="K692" s="26">
        <v>5077.25</v>
      </c>
      <c r="L692" s="26">
        <v>37.22</v>
      </c>
    </row>
    <row r="693" spans="1:12" ht="16" customHeight="1">
      <c r="A693" t="s">
        <v>400</v>
      </c>
      <c r="B693" t="s">
        <v>5</v>
      </c>
      <c r="C693" t="s">
        <v>35</v>
      </c>
      <c r="D693" s="24">
        <v>46054</v>
      </c>
      <c r="E693" t="s">
        <v>421</v>
      </c>
      <c r="F693" t="s">
        <v>6</v>
      </c>
      <c r="G693" t="s">
        <v>505</v>
      </c>
      <c r="H693" t="s">
        <v>505</v>
      </c>
      <c r="I693" t="s">
        <v>219</v>
      </c>
      <c r="J693" s="25">
        <v>3</v>
      </c>
      <c r="K693" s="26">
        <v>0.43</v>
      </c>
      <c r="L693" s="26">
        <v>0</v>
      </c>
    </row>
    <row r="694" spans="1:12" ht="16" customHeight="1">
      <c r="A694" t="s">
        <v>400</v>
      </c>
      <c r="B694" t="s">
        <v>5</v>
      </c>
      <c r="C694" t="s">
        <v>35</v>
      </c>
      <c r="D694" s="24">
        <v>46054</v>
      </c>
      <c r="E694" t="s">
        <v>435</v>
      </c>
      <c r="F694" t="s">
        <v>5</v>
      </c>
      <c r="G694" t="s">
        <v>510</v>
      </c>
      <c r="H694" t="s">
        <v>510</v>
      </c>
      <c r="I694" t="s">
        <v>219</v>
      </c>
      <c r="J694" s="25">
        <v>20</v>
      </c>
      <c r="K694" s="26">
        <v>3.42</v>
      </c>
      <c r="L694" s="26">
        <v>7.0000000000000007E-2</v>
      </c>
    </row>
    <row r="695" spans="1:12" ht="16" customHeight="1">
      <c r="A695" t="s">
        <v>400</v>
      </c>
      <c r="B695" t="s">
        <v>5</v>
      </c>
      <c r="C695" t="s">
        <v>35</v>
      </c>
      <c r="D695" s="24">
        <v>46054</v>
      </c>
      <c r="E695" t="s">
        <v>496</v>
      </c>
      <c r="F695" t="s">
        <v>6</v>
      </c>
      <c r="G695" t="s">
        <v>506</v>
      </c>
      <c r="H695" t="s">
        <v>506</v>
      </c>
      <c r="I695" t="s">
        <v>300</v>
      </c>
      <c r="J695" s="25">
        <v>0</v>
      </c>
      <c r="K695" s="26">
        <v>0</v>
      </c>
      <c r="L695" s="26">
        <v>0</v>
      </c>
    </row>
    <row r="696" spans="1:12" ht="16" customHeight="1">
      <c r="A696" t="s">
        <v>402</v>
      </c>
      <c r="B696" t="s">
        <v>6</v>
      </c>
      <c r="C696" t="s">
        <v>35</v>
      </c>
      <c r="D696" s="24">
        <v>46054</v>
      </c>
      <c r="E696" t="s">
        <v>402</v>
      </c>
      <c r="F696" t="s">
        <v>6</v>
      </c>
      <c r="G696" t="s">
        <v>505</v>
      </c>
      <c r="H696" t="s">
        <v>505</v>
      </c>
      <c r="I696" t="s">
        <v>212</v>
      </c>
      <c r="J696" s="25">
        <v>458782180</v>
      </c>
      <c r="K696" s="26">
        <v>76556264.939999998</v>
      </c>
      <c r="L696" s="26">
        <v>50471.25</v>
      </c>
    </row>
    <row r="697" spans="1:12" ht="16" customHeight="1">
      <c r="A697" t="s">
        <v>402</v>
      </c>
      <c r="B697" t="s">
        <v>6</v>
      </c>
      <c r="C697" t="s">
        <v>35</v>
      </c>
      <c r="D697" s="24">
        <v>46054</v>
      </c>
      <c r="E697" t="s">
        <v>407</v>
      </c>
      <c r="F697" t="s">
        <v>6</v>
      </c>
      <c r="G697" t="s">
        <v>505</v>
      </c>
      <c r="H697" t="s">
        <v>505</v>
      </c>
      <c r="I697" t="s">
        <v>212</v>
      </c>
      <c r="J697" s="25">
        <v>1869301</v>
      </c>
      <c r="K697" s="26">
        <v>313193.94</v>
      </c>
      <c r="L697" s="26">
        <v>1049.74</v>
      </c>
    </row>
    <row r="698" spans="1:12" ht="16" customHeight="1">
      <c r="A698" t="s">
        <v>402</v>
      </c>
      <c r="B698" t="s">
        <v>6</v>
      </c>
      <c r="C698" t="s">
        <v>35</v>
      </c>
      <c r="D698" s="24">
        <v>46054</v>
      </c>
      <c r="E698" t="s">
        <v>412</v>
      </c>
      <c r="F698" t="s">
        <v>6</v>
      </c>
      <c r="G698" t="s">
        <v>505</v>
      </c>
      <c r="H698" t="s">
        <v>505</v>
      </c>
      <c r="I698" t="s">
        <v>212</v>
      </c>
      <c r="J698" s="25">
        <v>4770</v>
      </c>
      <c r="K698" s="26">
        <v>801.48</v>
      </c>
      <c r="L698" s="26">
        <v>5.99</v>
      </c>
    </row>
    <row r="699" spans="1:12" ht="16" customHeight="1">
      <c r="A699" t="s">
        <v>402</v>
      </c>
      <c r="B699" t="s">
        <v>6</v>
      </c>
      <c r="C699" t="s">
        <v>35</v>
      </c>
      <c r="D699" s="24">
        <v>46054</v>
      </c>
      <c r="E699" t="s">
        <v>417</v>
      </c>
      <c r="F699" t="s">
        <v>6</v>
      </c>
      <c r="G699" t="s">
        <v>506</v>
      </c>
      <c r="H699" t="s">
        <v>506</v>
      </c>
      <c r="I699" t="s">
        <v>212</v>
      </c>
      <c r="J699" s="25">
        <v>25304</v>
      </c>
      <c r="K699" s="26">
        <v>4259.83</v>
      </c>
      <c r="L699" s="26">
        <v>28.38</v>
      </c>
    </row>
    <row r="700" spans="1:12" ht="16" customHeight="1">
      <c r="A700" t="s">
        <v>402</v>
      </c>
      <c r="B700" t="s">
        <v>6</v>
      </c>
      <c r="C700" t="s">
        <v>35</v>
      </c>
      <c r="D700" s="24">
        <v>46054</v>
      </c>
      <c r="E700" t="s">
        <v>421</v>
      </c>
      <c r="F700" t="s">
        <v>6</v>
      </c>
      <c r="G700" t="s">
        <v>505</v>
      </c>
      <c r="H700" t="s">
        <v>505</v>
      </c>
      <c r="I700" t="s">
        <v>219</v>
      </c>
      <c r="J700" s="25">
        <v>0</v>
      </c>
      <c r="K700" s="26">
        <v>0</v>
      </c>
      <c r="L700" s="26">
        <v>0</v>
      </c>
    </row>
    <row r="701" spans="1:12" ht="16" customHeight="1">
      <c r="A701" t="s">
        <v>402</v>
      </c>
      <c r="B701" t="s">
        <v>6</v>
      </c>
      <c r="C701" t="s">
        <v>35</v>
      </c>
      <c r="D701" s="24">
        <v>46054</v>
      </c>
      <c r="E701" t="s">
        <v>435</v>
      </c>
      <c r="F701" t="s">
        <v>5</v>
      </c>
      <c r="G701" t="s">
        <v>510</v>
      </c>
      <c r="H701" t="s">
        <v>510</v>
      </c>
      <c r="I701" t="s">
        <v>219</v>
      </c>
      <c r="J701" s="25">
        <v>254</v>
      </c>
      <c r="K701" s="26">
        <v>43.63</v>
      </c>
      <c r="L701" s="26">
        <v>0.4</v>
      </c>
    </row>
    <row r="702" spans="1:12" ht="16" customHeight="1">
      <c r="A702" t="s">
        <v>402</v>
      </c>
      <c r="B702" t="s">
        <v>6</v>
      </c>
      <c r="C702" t="s">
        <v>35</v>
      </c>
      <c r="D702" s="24">
        <v>46054</v>
      </c>
      <c r="E702" t="s">
        <v>496</v>
      </c>
      <c r="F702" t="s">
        <v>6</v>
      </c>
      <c r="G702" t="s">
        <v>506</v>
      </c>
      <c r="H702" t="s">
        <v>506</v>
      </c>
      <c r="I702" t="s">
        <v>300</v>
      </c>
      <c r="J702" s="25">
        <v>0</v>
      </c>
      <c r="K702" s="26">
        <v>0</v>
      </c>
      <c r="L702" s="26">
        <v>0</v>
      </c>
    </row>
    <row r="703" spans="1:12" ht="16" customHeight="1">
      <c r="A703" t="s">
        <v>403</v>
      </c>
      <c r="B703" t="s">
        <v>7</v>
      </c>
      <c r="C703" t="s">
        <v>35</v>
      </c>
      <c r="D703" s="24">
        <v>46054</v>
      </c>
      <c r="E703" t="s">
        <v>407</v>
      </c>
      <c r="F703" t="s">
        <v>6</v>
      </c>
      <c r="G703" t="s">
        <v>505</v>
      </c>
      <c r="H703" t="s">
        <v>505</v>
      </c>
      <c r="I703" t="s">
        <v>212</v>
      </c>
      <c r="J703" s="25">
        <v>22506144</v>
      </c>
      <c r="K703" s="26">
        <v>3763221.97</v>
      </c>
      <c r="L703" s="26">
        <v>12590.04</v>
      </c>
    </row>
    <row r="704" spans="1:12" ht="16" customHeight="1">
      <c r="A704" t="s">
        <v>403</v>
      </c>
      <c r="B704" t="s">
        <v>7</v>
      </c>
      <c r="C704" t="s">
        <v>35</v>
      </c>
      <c r="D704" s="24">
        <v>46054</v>
      </c>
      <c r="E704" t="s">
        <v>412</v>
      </c>
      <c r="F704" t="s">
        <v>6</v>
      </c>
      <c r="G704" t="s">
        <v>505</v>
      </c>
      <c r="H704" t="s">
        <v>505</v>
      </c>
      <c r="I704" t="s">
        <v>212</v>
      </c>
      <c r="J704" s="25">
        <v>68944</v>
      </c>
      <c r="K704" s="26">
        <v>11557.89</v>
      </c>
      <c r="L704" s="26">
        <v>66.8</v>
      </c>
    </row>
    <row r="705" spans="1:12" ht="16" customHeight="1">
      <c r="A705" t="s">
        <v>403</v>
      </c>
      <c r="B705" t="s">
        <v>7</v>
      </c>
      <c r="C705" t="s">
        <v>35</v>
      </c>
      <c r="D705" s="24">
        <v>46054</v>
      </c>
      <c r="E705" t="s">
        <v>417</v>
      </c>
      <c r="F705" t="s">
        <v>6</v>
      </c>
      <c r="G705" t="s">
        <v>506</v>
      </c>
      <c r="H705" t="s">
        <v>506</v>
      </c>
      <c r="I705" t="s">
        <v>212</v>
      </c>
      <c r="J705" s="25">
        <v>41126</v>
      </c>
      <c r="K705" s="26">
        <v>6899.11</v>
      </c>
      <c r="L705" s="26">
        <v>44.56</v>
      </c>
    </row>
    <row r="706" spans="1:12" ht="16" customHeight="1">
      <c r="A706" t="s">
        <v>403</v>
      </c>
      <c r="B706" t="s">
        <v>7</v>
      </c>
      <c r="C706" t="s">
        <v>35</v>
      </c>
      <c r="D706" s="24">
        <v>46054</v>
      </c>
      <c r="E706" t="s">
        <v>421</v>
      </c>
      <c r="F706" t="s">
        <v>6</v>
      </c>
      <c r="G706" t="s">
        <v>505</v>
      </c>
      <c r="H706" t="s">
        <v>505</v>
      </c>
      <c r="I706" t="s">
        <v>219</v>
      </c>
      <c r="J706" s="25">
        <v>5</v>
      </c>
      <c r="K706" s="26">
        <v>0.83</v>
      </c>
      <c r="L706" s="26">
        <v>0.01</v>
      </c>
    </row>
    <row r="707" spans="1:12" ht="16" customHeight="1">
      <c r="A707" t="s">
        <v>403</v>
      </c>
      <c r="B707" t="s">
        <v>7</v>
      </c>
      <c r="C707" t="s">
        <v>35</v>
      </c>
      <c r="D707" s="24">
        <v>46054</v>
      </c>
      <c r="E707" t="s">
        <v>435</v>
      </c>
      <c r="F707" t="s">
        <v>5</v>
      </c>
      <c r="G707" t="s">
        <v>510</v>
      </c>
      <c r="H707" t="s">
        <v>510</v>
      </c>
      <c r="I707" t="s">
        <v>219</v>
      </c>
      <c r="J707" s="25">
        <v>536</v>
      </c>
      <c r="K707" s="26">
        <v>92.71</v>
      </c>
      <c r="L707" s="26">
        <v>0.53</v>
      </c>
    </row>
    <row r="708" spans="1:12" ht="16" customHeight="1">
      <c r="A708" t="s">
        <v>403</v>
      </c>
      <c r="B708" t="s">
        <v>7</v>
      </c>
      <c r="C708" t="s">
        <v>35</v>
      </c>
      <c r="D708" s="24">
        <v>46054</v>
      </c>
      <c r="E708" t="s">
        <v>496</v>
      </c>
      <c r="F708" t="s">
        <v>6</v>
      </c>
      <c r="G708" t="s">
        <v>506</v>
      </c>
      <c r="H708" t="s">
        <v>506</v>
      </c>
      <c r="I708" t="s">
        <v>300</v>
      </c>
      <c r="J708" s="25">
        <v>0</v>
      </c>
      <c r="K708" s="26">
        <v>0</v>
      </c>
      <c r="L708" s="26">
        <v>0</v>
      </c>
    </row>
    <row r="709" spans="1:12" ht="16" customHeight="1">
      <c r="A709" t="s">
        <v>404</v>
      </c>
      <c r="B709" t="s">
        <v>3</v>
      </c>
      <c r="C709" t="s">
        <v>36</v>
      </c>
      <c r="D709" s="24">
        <v>46054</v>
      </c>
      <c r="E709" t="s">
        <v>407</v>
      </c>
      <c r="F709" t="s">
        <v>6</v>
      </c>
      <c r="G709" t="s">
        <v>505</v>
      </c>
      <c r="H709" t="s">
        <v>505</v>
      </c>
      <c r="I709" t="s">
        <v>212</v>
      </c>
      <c r="J709" s="25">
        <v>19526470</v>
      </c>
      <c r="K709" s="26">
        <v>3282061.81</v>
      </c>
      <c r="L709" s="26">
        <v>8512.15</v>
      </c>
    </row>
    <row r="710" spans="1:12" ht="16" customHeight="1">
      <c r="A710" t="s">
        <v>404</v>
      </c>
      <c r="B710" t="s">
        <v>3</v>
      </c>
      <c r="C710" t="s">
        <v>36</v>
      </c>
      <c r="D710" s="24">
        <v>46054</v>
      </c>
      <c r="E710" t="s">
        <v>412</v>
      </c>
      <c r="F710" t="s">
        <v>6</v>
      </c>
      <c r="G710" t="s">
        <v>505</v>
      </c>
      <c r="H710" t="s">
        <v>505</v>
      </c>
      <c r="I710" t="s">
        <v>212</v>
      </c>
      <c r="J710" s="25">
        <v>98069</v>
      </c>
      <c r="K710" s="26">
        <v>16514.169999999998</v>
      </c>
      <c r="L710" s="26">
        <v>70.72</v>
      </c>
    </row>
    <row r="711" spans="1:12" ht="16" customHeight="1">
      <c r="A711" t="s">
        <v>404</v>
      </c>
      <c r="B711" t="s">
        <v>3</v>
      </c>
      <c r="C711" t="s">
        <v>36</v>
      </c>
      <c r="D711" s="24">
        <v>46054</v>
      </c>
      <c r="E711" t="s">
        <v>417</v>
      </c>
      <c r="F711" t="s">
        <v>6</v>
      </c>
      <c r="G711" t="s">
        <v>506</v>
      </c>
      <c r="H711" t="s">
        <v>506</v>
      </c>
      <c r="I711" t="s">
        <v>212</v>
      </c>
      <c r="J711" s="25">
        <v>46334</v>
      </c>
      <c r="K711" s="26">
        <v>7850.62</v>
      </c>
      <c r="L711" s="26">
        <v>50.99</v>
      </c>
    </row>
    <row r="712" spans="1:12" ht="16" customHeight="1">
      <c r="A712" t="s">
        <v>404</v>
      </c>
      <c r="B712" t="s">
        <v>3</v>
      </c>
      <c r="C712" t="s">
        <v>36</v>
      </c>
      <c r="D712" s="24">
        <v>46054</v>
      </c>
      <c r="E712" t="s">
        <v>421</v>
      </c>
      <c r="F712" t="s">
        <v>6</v>
      </c>
      <c r="G712" t="s">
        <v>505</v>
      </c>
      <c r="H712" t="s">
        <v>505</v>
      </c>
      <c r="I712" t="s">
        <v>219</v>
      </c>
      <c r="J712" s="25">
        <v>3</v>
      </c>
      <c r="K712" s="26">
        <v>0.51</v>
      </c>
      <c r="L712" s="26">
        <v>0</v>
      </c>
    </row>
    <row r="713" spans="1:12" ht="16" customHeight="1">
      <c r="A713" t="s">
        <v>404</v>
      </c>
      <c r="B713" t="s">
        <v>3</v>
      </c>
      <c r="C713" t="s">
        <v>36</v>
      </c>
      <c r="D713" s="24">
        <v>46054</v>
      </c>
      <c r="E713" t="s">
        <v>431</v>
      </c>
      <c r="F713" t="s">
        <v>6</v>
      </c>
      <c r="G713" t="s">
        <v>505</v>
      </c>
      <c r="H713" t="s">
        <v>505</v>
      </c>
      <c r="I713" t="s">
        <v>219</v>
      </c>
      <c r="J713" s="25">
        <v>2</v>
      </c>
      <c r="K713" s="26">
        <v>0.34</v>
      </c>
      <c r="L713" s="26">
        <v>0</v>
      </c>
    </row>
    <row r="714" spans="1:12" ht="16" customHeight="1">
      <c r="A714" t="s">
        <v>404</v>
      </c>
      <c r="B714" t="s">
        <v>3</v>
      </c>
      <c r="C714" t="s">
        <v>36</v>
      </c>
      <c r="D714" s="24">
        <v>46054</v>
      </c>
      <c r="E714" t="s">
        <v>435</v>
      </c>
      <c r="F714" t="s">
        <v>5</v>
      </c>
      <c r="G714" t="s">
        <v>510</v>
      </c>
      <c r="H714" t="s">
        <v>510</v>
      </c>
      <c r="I714" t="s">
        <v>219</v>
      </c>
      <c r="J714" s="25">
        <v>710</v>
      </c>
      <c r="K714" s="26">
        <v>120.8</v>
      </c>
      <c r="L714" s="26">
        <v>1.44</v>
      </c>
    </row>
    <row r="715" spans="1:12" ht="16" customHeight="1">
      <c r="A715" t="s">
        <v>404</v>
      </c>
      <c r="B715" t="s">
        <v>3</v>
      </c>
      <c r="C715" t="s">
        <v>36</v>
      </c>
      <c r="D715" s="24">
        <v>46054</v>
      </c>
      <c r="E715" t="s">
        <v>496</v>
      </c>
      <c r="F715" t="s">
        <v>6</v>
      </c>
      <c r="G715" t="s">
        <v>506</v>
      </c>
      <c r="H715" t="s">
        <v>506</v>
      </c>
      <c r="I715" t="s">
        <v>300</v>
      </c>
      <c r="J715" s="25">
        <v>0</v>
      </c>
      <c r="K715" s="26">
        <v>0</v>
      </c>
      <c r="L715" s="26">
        <v>0</v>
      </c>
    </row>
    <row r="716" spans="1:12" ht="16" customHeight="1">
      <c r="A716" t="s">
        <v>374</v>
      </c>
      <c r="B716" t="s">
        <v>4</v>
      </c>
      <c r="C716" t="s">
        <v>36</v>
      </c>
      <c r="D716" s="24">
        <v>46054</v>
      </c>
      <c r="E716" t="s">
        <v>407</v>
      </c>
      <c r="F716" t="s">
        <v>6</v>
      </c>
      <c r="G716" t="s">
        <v>505</v>
      </c>
      <c r="H716" t="s">
        <v>505</v>
      </c>
      <c r="I716" t="s">
        <v>212</v>
      </c>
      <c r="J716" s="25">
        <v>24884330</v>
      </c>
      <c r="K716" s="26">
        <v>4191505.06</v>
      </c>
      <c r="L716" s="26">
        <v>8617.7099999999991</v>
      </c>
    </row>
    <row r="717" spans="1:12" ht="16" customHeight="1">
      <c r="A717" t="s">
        <v>374</v>
      </c>
      <c r="B717" t="s">
        <v>4</v>
      </c>
      <c r="C717" t="s">
        <v>36</v>
      </c>
      <c r="D717" s="24">
        <v>46054</v>
      </c>
      <c r="E717" t="s">
        <v>412</v>
      </c>
      <c r="F717" t="s">
        <v>6</v>
      </c>
      <c r="G717" t="s">
        <v>505</v>
      </c>
      <c r="H717" t="s">
        <v>505</v>
      </c>
      <c r="I717" t="s">
        <v>212</v>
      </c>
      <c r="J717" s="25">
        <v>207914</v>
      </c>
      <c r="K717" s="26">
        <v>35220.839999999997</v>
      </c>
      <c r="L717" s="26">
        <v>134.66999999999999</v>
      </c>
    </row>
    <row r="718" spans="1:12" ht="16" customHeight="1">
      <c r="A718" t="s">
        <v>374</v>
      </c>
      <c r="B718" t="s">
        <v>4</v>
      </c>
      <c r="C718" t="s">
        <v>36</v>
      </c>
      <c r="D718" s="24">
        <v>46054</v>
      </c>
      <c r="E718" t="s">
        <v>417</v>
      </c>
      <c r="F718" t="s">
        <v>6</v>
      </c>
      <c r="G718" t="s">
        <v>506</v>
      </c>
      <c r="H718" t="s">
        <v>506</v>
      </c>
      <c r="I718" t="s">
        <v>212</v>
      </c>
      <c r="J718" s="25">
        <v>40923</v>
      </c>
      <c r="K718" s="26">
        <v>6930.37</v>
      </c>
      <c r="L718" s="26">
        <v>41.62</v>
      </c>
    </row>
    <row r="719" spans="1:12" ht="16" customHeight="1">
      <c r="A719" t="s">
        <v>374</v>
      </c>
      <c r="B719" t="s">
        <v>4</v>
      </c>
      <c r="C719" t="s">
        <v>36</v>
      </c>
      <c r="D719" s="24">
        <v>46054</v>
      </c>
      <c r="E719" t="s">
        <v>421</v>
      </c>
      <c r="F719" t="s">
        <v>6</v>
      </c>
      <c r="G719" t="s">
        <v>505</v>
      </c>
      <c r="H719" t="s">
        <v>505</v>
      </c>
      <c r="I719" t="s">
        <v>219</v>
      </c>
      <c r="J719" s="25">
        <v>33</v>
      </c>
      <c r="K719" s="26">
        <v>5.67</v>
      </c>
      <c r="L719" s="26">
        <v>0.06</v>
      </c>
    </row>
    <row r="720" spans="1:12" ht="16" customHeight="1">
      <c r="A720" t="s">
        <v>374</v>
      </c>
      <c r="B720" t="s">
        <v>4</v>
      </c>
      <c r="C720" t="s">
        <v>36</v>
      </c>
      <c r="D720" s="24">
        <v>46054</v>
      </c>
      <c r="E720" t="s">
        <v>431</v>
      </c>
      <c r="F720" t="s">
        <v>6</v>
      </c>
      <c r="G720" t="s">
        <v>505</v>
      </c>
      <c r="H720" t="s">
        <v>505</v>
      </c>
      <c r="I720" t="s">
        <v>219</v>
      </c>
      <c r="J720" s="25">
        <v>0</v>
      </c>
      <c r="K720" s="26">
        <v>0</v>
      </c>
      <c r="L720" s="26">
        <v>0</v>
      </c>
    </row>
    <row r="721" spans="1:12" ht="16" customHeight="1">
      <c r="A721" t="s">
        <v>374</v>
      </c>
      <c r="B721" t="s">
        <v>4</v>
      </c>
      <c r="C721" t="s">
        <v>36</v>
      </c>
      <c r="D721" s="24">
        <v>46054</v>
      </c>
      <c r="E721" t="s">
        <v>435</v>
      </c>
      <c r="F721" t="s">
        <v>5</v>
      </c>
      <c r="G721" t="s">
        <v>510</v>
      </c>
      <c r="H721" t="s">
        <v>510</v>
      </c>
      <c r="I721" t="s">
        <v>219</v>
      </c>
      <c r="J721" s="25">
        <v>528</v>
      </c>
      <c r="K721" s="26">
        <v>88.4</v>
      </c>
      <c r="L721" s="26">
        <v>0.63</v>
      </c>
    </row>
    <row r="722" spans="1:12" ht="16" customHeight="1">
      <c r="A722" t="s">
        <v>374</v>
      </c>
      <c r="B722" t="s">
        <v>4</v>
      </c>
      <c r="C722" t="s">
        <v>36</v>
      </c>
      <c r="D722" s="24">
        <v>46054</v>
      </c>
      <c r="E722" t="s">
        <v>496</v>
      </c>
      <c r="F722" t="s">
        <v>6</v>
      </c>
      <c r="G722" t="s">
        <v>506</v>
      </c>
      <c r="H722" t="s">
        <v>506</v>
      </c>
      <c r="I722" t="s">
        <v>300</v>
      </c>
      <c r="J722" s="25">
        <v>0</v>
      </c>
      <c r="K722" s="26">
        <v>0</v>
      </c>
      <c r="L722" s="26">
        <v>0</v>
      </c>
    </row>
    <row r="723" spans="1:12" ht="16" customHeight="1">
      <c r="A723" t="s">
        <v>405</v>
      </c>
      <c r="B723" t="s">
        <v>5</v>
      </c>
      <c r="C723" t="s">
        <v>36</v>
      </c>
      <c r="D723" s="24">
        <v>46054</v>
      </c>
      <c r="E723" t="s">
        <v>407</v>
      </c>
      <c r="F723" t="s">
        <v>6</v>
      </c>
      <c r="G723" t="s">
        <v>505</v>
      </c>
      <c r="H723" t="s">
        <v>505</v>
      </c>
      <c r="I723" t="s">
        <v>212</v>
      </c>
      <c r="J723" s="25">
        <v>107565495</v>
      </c>
      <c r="K723" s="26">
        <v>18134813.289999999</v>
      </c>
      <c r="L723" s="26">
        <v>25700.2</v>
      </c>
    </row>
    <row r="724" spans="1:12" ht="16" customHeight="1">
      <c r="A724" t="s">
        <v>405</v>
      </c>
      <c r="B724" t="s">
        <v>5</v>
      </c>
      <c r="C724" t="s">
        <v>36</v>
      </c>
      <c r="D724" s="24">
        <v>46054</v>
      </c>
      <c r="E724" t="s">
        <v>412</v>
      </c>
      <c r="F724" t="s">
        <v>6</v>
      </c>
      <c r="G724" t="s">
        <v>505</v>
      </c>
      <c r="H724" t="s">
        <v>505</v>
      </c>
      <c r="I724" t="s">
        <v>212</v>
      </c>
      <c r="J724" s="25">
        <v>527887</v>
      </c>
      <c r="K724" s="26">
        <v>89103.02</v>
      </c>
      <c r="L724" s="26">
        <v>249.19</v>
      </c>
    </row>
    <row r="725" spans="1:12" ht="16" customHeight="1">
      <c r="A725" t="s">
        <v>405</v>
      </c>
      <c r="B725" t="s">
        <v>5</v>
      </c>
      <c r="C725" t="s">
        <v>36</v>
      </c>
      <c r="D725" s="24">
        <v>46054</v>
      </c>
      <c r="E725" t="s">
        <v>417</v>
      </c>
      <c r="F725" t="s">
        <v>6</v>
      </c>
      <c r="G725" t="s">
        <v>506</v>
      </c>
      <c r="H725" t="s">
        <v>506</v>
      </c>
      <c r="I725" t="s">
        <v>212</v>
      </c>
      <c r="J725" s="25">
        <v>39998</v>
      </c>
      <c r="K725" s="26">
        <v>6758.27</v>
      </c>
      <c r="L725" s="26">
        <v>37.47</v>
      </c>
    </row>
    <row r="726" spans="1:12" ht="16" customHeight="1">
      <c r="A726" t="s">
        <v>405</v>
      </c>
      <c r="B726" t="s">
        <v>5</v>
      </c>
      <c r="C726" t="s">
        <v>36</v>
      </c>
      <c r="D726" s="24">
        <v>46054</v>
      </c>
      <c r="E726" t="s">
        <v>421</v>
      </c>
      <c r="F726" t="s">
        <v>6</v>
      </c>
      <c r="G726" t="s">
        <v>505</v>
      </c>
      <c r="H726" t="s">
        <v>505</v>
      </c>
      <c r="I726" t="s">
        <v>219</v>
      </c>
      <c r="J726" s="25">
        <v>137</v>
      </c>
      <c r="K726" s="26">
        <v>23.44</v>
      </c>
      <c r="L726" s="26">
        <v>0.24</v>
      </c>
    </row>
    <row r="727" spans="1:12" ht="16" customHeight="1">
      <c r="A727" t="s">
        <v>405</v>
      </c>
      <c r="B727" t="s">
        <v>5</v>
      </c>
      <c r="C727" t="s">
        <v>36</v>
      </c>
      <c r="D727" s="24">
        <v>46054</v>
      </c>
      <c r="E727" t="s">
        <v>431</v>
      </c>
      <c r="F727" t="s">
        <v>6</v>
      </c>
      <c r="G727" t="s">
        <v>505</v>
      </c>
      <c r="H727" t="s">
        <v>505</v>
      </c>
      <c r="I727" t="s">
        <v>219</v>
      </c>
      <c r="J727" s="25">
        <v>0</v>
      </c>
      <c r="K727" s="26">
        <v>0</v>
      </c>
      <c r="L727" s="26">
        <v>0</v>
      </c>
    </row>
    <row r="728" spans="1:12" ht="16" customHeight="1">
      <c r="A728" t="s">
        <v>405</v>
      </c>
      <c r="B728" t="s">
        <v>5</v>
      </c>
      <c r="C728" t="s">
        <v>36</v>
      </c>
      <c r="D728" s="24">
        <v>46054</v>
      </c>
      <c r="E728" t="s">
        <v>435</v>
      </c>
      <c r="F728" t="s">
        <v>5</v>
      </c>
      <c r="G728" t="s">
        <v>510</v>
      </c>
      <c r="H728" t="s">
        <v>510</v>
      </c>
      <c r="I728" t="s">
        <v>219</v>
      </c>
      <c r="J728" s="25">
        <v>316</v>
      </c>
      <c r="K728" s="26">
        <v>53.45</v>
      </c>
      <c r="L728" s="26">
        <v>0.31</v>
      </c>
    </row>
    <row r="729" spans="1:12" ht="16" customHeight="1">
      <c r="A729" t="s">
        <v>405</v>
      </c>
      <c r="B729" t="s">
        <v>5</v>
      </c>
      <c r="C729" t="s">
        <v>36</v>
      </c>
      <c r="D729" s="24">
        <v>46054</v>
      </c>
      <c r="E729" t="s">
        <v>496</v>
      </c>
      <c r="F729" t="s">
        <v>6</v>
      </c>
      <c r="G729" t="s">
        <v>506</v>
      </c>
      <c r="H729" t="s">
        <v>506</v>
      </c>
      <c r="I729" t="s">
        <v>300</v>
      </c>
      <c r="J729" s="25">
        <v>0</v>
      </c>
      <c r="K729" s="26">
        <v>0</v>
      </c>
      <c r="L729" s="26">
        <v>0</v>
      </c>
    </row>
    <row r="730" spans="1:12" ht="16" customHeight="1">
      <c r="A730" t="s">
        <v>407</v>
      </c>
      <c r="B730" t="s">
        <v>6</v>
      </c>
      <c r="C730" t="s">
        <v>36</v>
      </c>
      <c r="D730" s="24">
        <v>46054</v>
      </c>
      <c r="E730" t="s">
        <v>407</v>
      </c>
      <c r="F730" t="s">
        <v>6</v>
      </c>
      <c r="G730" t="s">
        <v>505</v>
      </c>
      <c r="H730" t="s">
        <v>505</v>
      </c>
      <c r="I730" t="s">
        <v>212</v>
      </c>
      <c r="J730" s="25">
        <v>452101461</v>
      </c>
      <c r="K730" s="26">
        <v>75811099.519999996</v>
      </c>
      <c r="L730" s="26">
        <v>41831.57</v>
      </c>
    </row>
    <row r="731" spans="1:12" ht="16" customHeight="1">
      <c r="A731" t="s">
        <v>407</v>
      </c>
      <c r="B731" t="s">
        <v>6</v>
      </c>
      <c r="C731" t="s">
        <v>36</v>
      </c>
      <c r="D731" s="24">
        <v>46054</v>
      </c>
      <c r="E731" t="s">
        <v>412</v>
      </c>
      <c r="F731" t="s">
        <v>6</v>
      </c>
      <c r="G731" t="s">
        <v>505</v>
      </c>
      <c r="H731" t="s">
        <v>505</v>
      </c>
      <c r="I731" t="s">
        <v>212</v>
      </c>
      <c r="J731" s="25">
        <v>1873085</v>
      </c>
      <c r="K731" s="26">
        <v>315356.90000000002</v>
      </c>
      <c r="L731" s="26">
        <v>922.75</v>
      </c>
    </row>
    <row r="732" spans="1:12" ht="16" customHeight="1">
      <c r="A732" t="s">
        <v>407</v>
      </c>
      <c r="B732" t="s">
        <v>6</v>
      </c>
      <c r="C732" t="s">
        <v>36</v>
      </c>
      <c r="D732" s="24">
        <v>46054</v>
      </c>
      <c r="E732" t="s">
        <v>417</v>
      </c>
      <c r="F732" t="s">
        <v>6</v>
      </c>
      <c r="G732" t="s">
        <v>506</v>
      </c>
      <c r="H732" t="s">
        <v>506</v>
      </c>
      <c r="I732" t="s">
        <v>212</v>
      </c>
      <c r="J732" s="25">
        <v>65256</v>
      </c>
      <c r="K732" s="26">
        <v>11001.76</v>
      </c>
      <c r="L732" s="26">
        <v>54.5</v>
      </c>
    </row>
    <row r="733" spans="1:12" ht="16" customHeight="1">
      <c r="A733" t="s">
        <v>407</v>
      </c>
      <c r="B733" t="s">
        <v>6</v>
      </c>
      <c r="C733" t="s">
        <v>36</v>
      </c>
      <c r="D733" s="24">
        <v>46054</v>
      </c>
      <c r="E733" t="s">
        <v>421</v>
      </c>
      <c r="F733" t="s">
        <v>6</v>
      </c>
      <c r="G733" t="s">
        <v>505</v>
      </c>
      <c r="H733" t="s">
        <v>505</v>
      </c>
      <c r="I733" t="s">
        <v>219</v>
      </c>
      <c r="J733" s="25">
        <v>628</v>
      </c>
      <c r="K733" s="26">
        <v>106.71</v>
      </c>
      <c r="L733" s="26">
        <v>0.83</v>
      </c>
    </row>
    <row r="734" spans="1:12" ht="16" customHeight="1">
      <c r="A734" t="s">
        <v>407</v>
      </c>
      <c r="B734" t="s">
        <v>6</v>
      </c>
      <c r="C734" t="s">
        <v>36</v>
      </c>
      <c r="D734" s="24">
        <v>46054</v>
      </c>
      <c r="E734" t="s">
        <v>431</v>
      </c>
      <c r="F734" t="s">
        <v>6</v>
      </c>
      <c r="G734" t="s">
        <v>505</v>
      </c>
      <c r="H734" t="s">
        <v>505</v>
      </c>
      <c r="I734" t="s">
        <v>219</v>
      </c>
      <c r="J734" s="25">
        <v>0</v>
      </c>
      <c r="K734" s="26">
        <v>0</v>
      </c>
      <c r="L734" s="26">
        <v>0</v>
      </c>
    </row>
    <row r="735" spans="1:12" ht="16" customHeight="1">
      <c r="A735" t="s">
        <v>407</v>
      </c>
      <c r="B735" t="s">
        <v>6</v>
      </c>
      <c r="C735" t="s">
        <v>36</v>
      </c>
      <c r="D735" s="24">
        <v>46054</v>
      </c>
      <c r="E735" t="s">
        <v>435</v>
      </c>
      <c r="F735" t="s">
        <v>5</v>
      </c>
      <c r="G735" t="s">
        <v>510</v>
      </c>
      <c r="H735" t="s">
        <v>510</v>
      </c>
      <c r="I735" t="s">
        <v>219</v>
      </c>
      <c r="J735" s="25">
        <v>1003</v>
      </c>
      <c r="K735" s="26">
        <v>169.93</v>
      </c>
      <c r="L735" s="26">
        <v>0.97</v>
      </c>
    </row>
    <row r="736" spans="1:12" ht="16" customHeight="1">
      <c r="A736" t="s">
        <v>407</v>
      </c>
      <c r="B736" t="s">
        <v>6</v>
      </c>
      <c r="C736" t="s">
        <v>36</v>
      </c>
      <c r="D736" s="24">
        <v>46054</v>
      </c>
      <c r="E736" t="s">
        <v>496</v>
      </c>
      <c r="F736" t="s">
        <v>6</v>
      </c>
      <c r="G736" t="s">
        <v>506</v>
      </c>
      <c r="H736" t="s">
        <v>506</v>
      </c>
      <c r="I736" t="s">
        <v>300</v>
      </c>
      <c r="J736" s="25">
        <v>0</v>
      </c>
      <c r="K736" s="26">
        <v>0</v>
      </c>
      <c r="L736" s="26">
        <v>0</v>
      </c>
    </row>
    <row r="737" spans="1:12" ht="16" customHeight="1">
      <c r="A737" t="s">
        <v>408</v>
      </c>
      <c r="B737" t="s">
        <v>7</v>
      </c>
      <c r="C737" t="s">
        <v>36</v>
      </c>
      <c r="D737" s="24">
        <v>46054</v>
      </c>
      <c r="E737" t="s">
        <v>412</v>
      </c>
      <c r="F737" t="s">
        <v>6</v>
      </c>
      <c r="G737" t="s">
        <v>505</v>
      </c>
      <c r="H737" t="s">
        <v>505</v>
      </c>
      <c r="I737" t="s">
        <v>212</v>
      </c>
      <c r="J737" s="25">
        <v>19115544</v>
      </c>
      <c r="K737" s="26">
        <v>3181885.99</v>
      </c>
      <c r="L737" s="26">
        <v>10274.89</v>
      </c>
    </row>
    <row r="738" spans="1:12" ht="16" customHeight="1">
      <c r="A738" t="s">
        <v>408</v>
      </c>
      <c r="B738" t="s">
        <v>7</v>
      </c>
      <c r="C738" t="s">
        <v>36</v>
      </c>
      <c r="D738" s="24">
        <v>46054</v>
      </c>
      <c r="E738" t="s">
        <v>417</v>
      </c>
      <c r="F738" t="s">
        <v>6</v>
      </c>
      <c r="G738" t="s">
        <v>506</v>
      </c>
      <c r="H738" t="s">
        <v>506</v>
      </c>
      <c r="I738" t="s">
        <v>212</v>
      </c>
      <c r="J738" s="25">
        <v>174820</v>
      </c>
      <c r="K738" s="26">
        <v>29224.05</v>
      </c>
      <c r="L738" s="26">
        <v>141.82</v>
      </c>
    </row>
    <row r="739" spans="1:12" ht="16" customHeight="1">
      <c r="A739" t="s">
        <v>408</v>
      </c>
      <c r="B739" t="s">
        <v>7</v>
      </c>
      <c r="C739" t="s">
        <v>36</v>
      </c>
      <c r="D739" s="24">
        <v>46054</v>
      </c>
      <c r="E739" t="s">
        <v>421</v>
      </c>
      <c r="F739" t="s">
        <v>6</v>
      </c>
      <c r="G739" t="s">
        <v>505</v>
      </c>
      <c r="H739" t="s">
        <v>505</v>
      </c>
      <c r="I739" t="s">
        <v>219</v>
      </c>
      <c r="J739" s="25">
        <v>934</v>
      </c>
      <c r="K739" s="26">
        <v>156.99</v>
      </c>
      <c r="L739" s="26">
        <v>1</v>
      </c>
    </row>
    <row r="740" spans="1:12" ht="16" customHeight="1">
      <c r="A740" t="s">
        <v>408</v>
      </c>
      <c r="B740" t="s">
        <v>7</v>
      </c>
      <c r="C740" t="s">
        <v>36</v>
      </c>
      <c r="D740" s="24">
        <v>46054</v>
      </c>
      <c r="E740" t="s">
        <v>426</v>
      </c>
      <c r="F740" t="s">
        <v>6</v>
      </c>
      <c r="G740" t="s">
        <v>505</v>
      </c>
      <c r="H740" t="s">
        <v>505</v>
      </c>
      <c r="I740" t="s">
        <v>219</v>
      </c>
      <c r="J740" s="25">
        <v>4</v>
      </c>
      <c r="K740" s="26">
        <v>0.73</v>
      </c>
      <c r="L740" s="26">
        <v>0</v>
      </c>
    </row>
    <row r="741" spans="1:12" ht="16" customHeight="1">
      <c r="A741" t="s">
        <v>408</v>
      </c>
      <c r="B741" t="s">
        <v>7</v>
      </c>
      <c r="C741" t="s">
        <v>36</v>
      </c>
      <c r="D741" s="24">
        <v>46054</v>
      </c>
      <c r="E741" t="s">
        <v>431</v>
      </c>
      <c r="F741" t="s">
        <v>6</v>
      </c>
      <c r="G741" t="s">
        <v>505</v>
      </c>
      <c r="H741" t="s">
        <v>505</v>
      </c>
      <c r="I741" t="s">
        <v>219</v>
      </c>
      <c r="J741" s="25">
        <v>0</v>
      </c>
      <c r="K741" s="26">
        <v>0</v>
      </c>
      <c r="L741" s="26">
        <v>0</v>
      </c>
    </row>
    <row r="742" spans="1:12" ht="16" customHeight="1">
      <c r="A742" t="s">
        <v>408</v>
      </c>
      <c r="B742" t="s">
        <v>7</v>
      </c>
      <c r="C742" t="s">
        <v>36</v>
      </c>
      <c r="D742" s="24">
        <v>46054</v>
      </c>
      <c r="E742" t="s">
        <v>435</v>
      </c>
      <c r="F742" t="s">
        <v>5</v>
      </c>
      <c r="G742" t="s">
        <v>510</v>
      </c>
      <c r="H742" t="s">
        <v>510</v>
      </c>
      <c r="I742" t="s">
        <v>219</v>
      </c>
      <c r="J742" s="25">
        <v>2362</v>
      </c>
      <c r="K742" s="26">
        <v>400.45</v>
      </c>
      <c r="L742" s="26">
        <v>2.94</v>
      </c>
    </row>
    <row r="743" spans="1:12" ht="16" customHeight="1">
      <c r="A743" t="s">
        <v>408</v>
      </c>
      <c r="B743" t="s">
        <v>7</v>
      </c>
      <c r="C743" t="s">
        <v>36</v>
      </c>
      <c r="D743" s="24">
        <v>46054</v>
      </c>
      <c r="E743" t="s">
        <v>496</v>
      </c>
      <c r="F743" t="s">
        <v>6</v>
      </c>
      <c r="G743" t="s">
        <v>506</v>
      </c>
      <c r="H743" t="s">
        <v>506</v>
      </c>
      <c r="I743" t="s">
        <v>300</v>
      </c>
      <c r="J743" s="25">
        <v>0</v>
      </c>
      <c r="K743" s="26">
        <v>0</v>
      </c>
      <c r="L743" s="26">
        <v>0</v>
      </c>
    </row>
    <row r="744" spans="1:12" ht="16" customHeight="1">
      <c r="A744" t="s">
        <v>409</v>
      </c>
      <c r="B744" t="s">
        <v>3</v>
      </c>
      <c r="C744" t="s">
        <v>37</v>
      </c>
      <c r="D744" s="24">
        <v>46054</v>
      </c>
      <c r="E744" t="s">
        <v>412</v>
      </c>
      <c r="F744" t="s">
        <v>6</v>
      </c>
      <c r="G744" t="s">
        <v>505</v>
      </c>
      <c r="H744" t="s">
        <v>505</v>
      </c>
      <c r="I744" t="s">
        <v>212</v>
      </c>
      <c r="J744" s="25">
        <v>22447715</v>
      </c>
      <c r="K744" s="26">
        <v>3733706.81</v>
      </c>
      <c r="L744" s="26">
        <v>11231.8</v>
      </c>
    </row>
    <row r="745" spans="1:12" ht="16" customHeight="1">
      <c r="A745" t="s">
        <v>409</v>
      </c>
      <c r="B745" t="s">
        <v>3</v>
      </c>
      <c r="C745" t="s">
        <v>37</v>
      </c>
      <c r="D745" s="24">
        <v>46054</v>
      </c>
      <c r="E745" t="s">
        <v>417</v>
      </c>
      <c r="F745" t="s">
        <v>6</v>
      </c>
      <c r="G745" t="s">
        <v>506</v>
      </c>
      <c r="H745" t="s">
        <v>506</v>
      </c>
      <c r="I745" t="s">
        <v>212</v>
      </c>
      <c r="J745" s="25">
        <v>193700</v>
      </c>
      <c r="K745" s="26">
        <v>32278.66</v>
      </c>
      <c r="L745" s="26">
        <v>147.66999999999999</v>
      </c>
    </row>
    <row r="746" spans="1:12" ht="16" customHeight="1">
      <c r="A746" t="s">
        <v>409</v>
      </c>
      <c r="B746" t="s">
        <v>3</v>
      </c>
      <c r="C746" t="s">
        <v>37</v>
      </c>
      <c r="D746" s="24">
        <v>46054</v>
      </c>
      <c r="E746" t="s">
        <v>421</v>
      </c>
      <c r="F746" t="s">
        <v>6</v>
      </c>
      <c r="G746" t="s">
        <v>505</v>
      </c>
      <c r="H746" t="s">
        <v>505</v>
      </c>
      <c r="I746" t="s">
        <v>219</v>
      </c>
      <c r="J746" s="25">
        <v>3561</v>
      </c>
      <c r="K746" s="26">
        <v>598.66999999999996</v>
      </c>
      <c r="L746" s="26">
        <v>3.47</v>
      </c>
    </row>
    <row r="747" spans="1:12" ht="16" customHeight="1">
      <c r="A747" t="s">
        <v>409</v>
      </c>
      <c r="B747" t="s">
        <v>3</v>
      </c>
      <c r="C747" t="s">
        <v>37</v>
      </c>
      <c r="D747" s="24">
        <v>46054</v>
      </c>
      <c r="E747" t="s">
        <v>426</v>
      </c>
      <c r="F747" t="s">
        <v>6</v>
      </c>
      <c r="G747" t="s">
        <v>505</v>
      </c>
      <c r="H747" t="s">
        <v>505</v>
      </c>
      <c r="I747" t="s">
        <v>219</v>
      </c>
      <c r="J747" s="25">
        <v>3</v>
      </c>
      <c r="K747" s="26">
        <v>0.51</v>
      </c>
      <c r="L747" s="26">
        <v>0.01</v>
      </c>
    </row>
    <row r="748" spans="1:12" ht="16" customHeight="1">
      <c r="A748" t="s">
        <v>409</v>
      </c>
      <c r="B748" t="s">
        <v>3</v>
      </c>
      <c r="C748" t="s">
        <v>37</v>
      </c>
      <c r="D748" s="24">
        <v>46054</v>
      </c>
      <c r="E748" t="s">
        <v>431</v>
      </c>
      <c r="F748" t="s">
        <v>6</v>
      </c>
      <c r="G748" t="s">
        <v>505</v>
      </c>
      <c r="H748" t="s">
        <v>505</v>
      </c>
      <c r="I748" t="s">
        <v>219</v>
      </c>
      <c r="J748" s="25">
        <v>0</v>
      </c>
      <c r="K748" s="26">
        <v>0</v>
      </c>
      <c r="L748" s="26">
        <v>0</v>
      </c>
    </row>
    <row r="749" spans="1:12" ht="16" customHeight="1">
      <c r="A749" t="s">
        <v>409</v>
      </c>
      <c r="B749" t="s">
        <v>3</v>
      </c>
      <c r="C749" t="s">
        <v>37</v>
      </c>
      <c r="D749" s="24">
        <v>46054</v>
      </c>
      <c r="E749" t="s">
        <v>435</v>
      </c>
      <c r="F749" t="s">
        <v>5</v>
      </c>
      <c r="G749" t="s">
        <v>510</v>
      </c>
      <c r="H749" t="s">
        <v>510</v>
      </c>
      <c r="I749" t="s">
        <v>219</v>
      </c>
      <c r="J749" s="25">
        <v>2763</v>
      </c>
      <c r="K749" s="26">
        <v>468.46</v>
      </c>
      <c r="L749" s="26">
        <v>2.97</v>
      </c>
    </row>
    <row r="750" spans="1:12" ht="16" customHeight="1">
      <c r="A750" t="s">
        <v>409</v>
      </c>
      <c r="B750" t="s">
        <v>3</v>
      </c>
      <c r="C750" t="s">
        <v>37</v>
      </c>
      <c r="D750" s="24">
        <v>46054</v>
      </c>
      <c r="E750" t="s">
        <v>458</v>
      </c>
      <c r="F750" t="s">
        <v>6</v>
      </c>
      <c r="G750" t="s">
        <v>506</v>
      </c>
      <c r="H750" t="s">
        <v>506</v>
      </c>
      <c r="I750" t="s">
        <v>221</v>
      </c>
      <c r="J750" s="25">
        <v>0</v>
      </c>
      <c r="K750" s="26">
        <v>0</v>
      </c>
      <c r="L750" s="26">
        <v>0</v>
      </c>
    </row>
    <row r="751" spans="1:12" ht="16" customHeight="1">
      <c r="A751" t="s">
        <v>409</v>
      </c>
      <c r="B751" t="s">
        <v>3</v>
      </c>
      <c r="C751" t="s">
        <v>37</v>
      </c>
      <c r="D751" s="24">
        <v>46054</v>
      </c>
      <c r="E751" t="s">
        <v>496</v>
      </c>
      <c r="F751" t="s">
        <v>6</v>
      </c>
      <c r="G751" t="s">
        <v>506</v>
      </c>
      <c r="H751" t="s">
        <v>506</v>
      </c>
      <c r="I751" t="s">
        <v>300</v>
      </c>
      <c r="J751" s="25">
        <v>0</v>
      </c>
      <c r="K751" s="26">
        <v>0</v>
      </c>
      <c r="L751" s="26">
        <v>0</v>
      </c>
    </row>
    <row r="752" spans="1:12" ht="16" customHeight="1">
      <c r="A752" t="s">
        <v>379</v>
      </c>
      <c r="B752" t="s">
        <v>4</v>
      </c>
      <c r="C752" t="s">
        <v>37</v>
      </c>
      <c r="D752" s="24">
        <v>46054</v>
      </c>
      <c r="E752" t="s">
        <v>412</v>
      </c>
      <c r="F752" t="s">
        <v>6</v>
      </c>
      <c r="G752" t="s">
        <v>505</v>
      </c>
      <c r="H752" t="s">
        <v>505</v>
      </c>
      <c r="I752" t="s">
        <v>212</v>
      </c>
      <c r="J752" s="25">
        <v>28298629</v>
      </c>
      <c r="K752" s="26">
        <v>4722921.16</v>
      </c>
      <c r="L752" s="26">
        <v>10987.82</v>
      </c>
    </row>
    <row r="753" spans="1:12" ht="16" customHeight="1">
      <c r="A753" t="s">
        <v>379</v>
      </c>
      <c r="B753" t="s">
        <v>4</v>
      </c>
      <c r="C753" t="s">
        <v>37</v>
      </c>
      <c r="D753" s="24">
        <v>46054</v>
      </c>
      <c r="E753" t="s">
        <v>417</v>
      </c>
      <c r="F753" t="s">
        <v>6</v>
      </c>
      <c r="G753" t="s">
        <v>506</v>
      </c>
      <c r="H753" t="s">
        <v>506</v>
      </c>
      <c r="I753" t="s">
        <v>212</v>
      </c>
      <c r="J753" s="25">
        <v>319249</v>
      </c>
      <c r="K753" s="26">
        <v>53398.83</v>
      </c>
      <c r="L753" s="26">
        <v>219.57</v>
      </c>
    </row>
    <row r="754" spans="1:12" ht="16" customHeight="1">
      <c r="A754" t="s">
        <v>379</v>
      </c>
      <c r="B754" t="s">
        <v>4</v>
      </c>
      <c r="C754" t="s">
        <v>37</v>
      </c>
      <c r="D754" s="24">
        <v>46054</v>
      </c>
      <c r="E754" t="s">
        <v>421</v>
      </c>
      <c r="F754" t="s">
        <v>6</v>
      </c>
      <c r="G754" t="s">
        <v>505</v>
      </c>
      <c r="H754" t="s">
        <v>505</v>
      </c>
      <c r="I754" t="s">
        <v>219</v>
      </c>
      <c r="J754" s="25">
        <v>4301</v>
      </c>
      <c r="K754" s="26">
        <v>717.03</v>
      </c>
      <c r="L754" s="26">
        <v>3.99</v>
      </c>
    </row>
    <row r="755" spans="1:12" ht="16" customHeight="1">
      <c r="A755" t="s">
        <v>379</v>
      </c>
      <c r="B755" t="s">
        <v>4</v>
      </c>
      <c r="C755" t="s">
        <v>37</v>
      </c>
      <c r="D755" s="24">
        <v>46054</v>
      </c>
      <c r="E755" t="s">
        <v>426</v>
      </c>
      <c r="F755" t="s">
        <v>6</v>
      </c>
      <c r="G755" t="s">
        <v>505</v>
      </c>
      <c r="H755" t="s">
        <v>505</v>
      </c>
      <c r="I755" t="s">
        <v>219</v>
      </c>
      <c r="J755" s="25">
        <v>2</v>
      </c>
      <c r="K755" s="26">
        <v>0.35</v>
      </c>
      <c r="L755" s="26">
        <v>0</v>
      </c>
    </row>
    <row r="756" spans="1:12" ht="16" customHeight="1">
      <c r="A756" t="s">
        <v>379</v>
      </c>
      <c r="B756" t="s">
        <v>4</v>
      </c>
      <c r="C756" t="s">
        <v>37</v>
      </c>
      <c r="D756" s="24">
        <v>46054</v>
      </c>
      <c r="E756" t="s">
        <v>431</v>
      </c>
      <c r="F756" t="s">
        <v>6</v>
      </c>
      <c r="G756" t="s">
        <v>505</v>
      </c>
      <c r="H756" t="s">
        <v>505</v>
      </c>
      <c r="I756" t="s">
        <v>219</v>
      </c>
      <c r="J756" s="25">
        <v>5</v>
      </c>
      <c r="K756" s="26">
        <v>0.84</v>
      </c>
      <c r="L756" s="26">
        <v>0.02</v>
      </c>
    </row>
    <row r="757" spans="1:12" ht="16" customHeight="1">
      <c r="A757" t="s">
        <v>379</v>
      </c>
      <c r="B757" t="s">
        <v>4</v>
      </c>
      <c r="C757" t="s">
        <v>37</v>
      </c>
      <c r="D757" s="24">
        <v>46054</v>
      </c>
      <c r="E757" t="s">
        <v>435</v>
      </c>
      <c r="F757" t="s">
        <v>5</v>
      </c>
      <c r="G757" t="s">
        <v>510</v>
      </c>
      <c r="H757" t="s">
        <v>510</v>
      </c>
      <c r="I757" t="s">
        <v>219</v>
      </c>
      <c r="J757" s="25">
        <v>1340</v>
      </c>
      <c r="K757" s="26">
        <v>224.82</v>
      </c>
      <c r="L757" s="26">
        <v>1.78</v>
      </c>
    </row>
    <row r="758" spans="1:12" ht="16" customHeight="1">
      <c r="A758" t="s">
        <v>379</v>
      </c>
      <c r="B758" t="s">
        <v>4</v>
      </c>
      <c r="C758" t="s">
        <v>37</v>
      </c>
      <c r="D758" s="24">
        <v>46054</v>
      </c>
      <c r="E758" t="s">
        <v>458</v>
      </c>
      <c r="F758" t="s">
        <v>6</v>
      </c>
      <c r="G758" t="s">
        <v>506</v>
      </c>
      <c r="H758" t="s">
        <v>506</v>
      </c>
      <c r="I758" t="s">
        <v>221</v>
      </c>
      <c r="J758" s="25">
        <v>0</v>
      </c>
      <c r="K758" s="26">
        <v>0</v>
      </c>
      <c r="L758" s="26">
        <v>0</v>
      </c>
    </row>
    <row r="759" spans="1:12" ht="16" customHeight="1">
      <c r="A759" t="s">
        <v>379</v>
      </c>
      <c r="B759" t="s">
        <v>4</v>
      </c>
      <c r="C759" t="s">
        <v>37</v>
      </c>
      <c r="D759" s="24">
        <v>46054</v>
      </c>
      <c r="E759" t="s">
        <v>496</v>
      </c>
      <c r="F759" t="s">
        <v>6</v>
      </c>
      <c r="G759" t="s">
        <v>506</v>
      </c>
      <c r="H759" t="s">
        <v>506</v>
      </c>
      <c r="I759" t="s">
        <v>300</v>
      </c>
      <c r="J759" s="25">
        <v>0</v>
      </c>
      <c r="K759" s="26">
        <v>0</v>
      </c>
      <c r="L759" s="26">
        <v>0</v>
      </c>
    </row>
    <row r="760" spans="1:12" ht="16" customHeight="1">
      <c r="A760" t="s">
        <v>410</v>
      </c>
      <c r="B760" t="s">
        <v>5</v>
      </c>
      <c r="C760" t="s">
        <v>37</v>
      </c>
      <c r="D760" s="24">
        <v>46054</v>
      </c>
      <c r="E760" t="s">
        <v>412</v>
      </c>
      <c r="F760" t="s">
        <v>6</v>
      </c>
      <c r="G760" t="s">
        <v>505</v>
      </c>
      <c r="H760" t="s">
        <v>505</v>
      </c>
      <c r="I760" t="s">
        <v>212</v>
      </c>
      <c r="J760" s="25">
        <v>120516501</v>
      </c>
      <c r="K760" s="26">
        <v>20126895.82</v>
      </c>
      <c r="L760" s="26">
        <v>30955.33</v>
      </c>
    </row>
    <row r="761" spans="1:12" ht="16" customHeight="1">
      <c r="A761" t="s">
        <v>410</v>
      </c>
      <c r="B761" t="s">
        <v>5</v>
      </c>
      <c r="C761" t="s">
        <v>37</v>
      </c>
      <c r="D761" s="24">
        <v>46054</v>
      </c>
      <c r="E761" t="s">
        <v>417</v>
      </c>
      <c r="F761" t="s">
        <v>6</v>
      </c>
      <c r="G761" t="s">
        <v>506</v>
      </c>
      <c r="H761" t="s">
        <v>506</v>
      </c>
      <c r="I761" t="s">
        <v>212</v>
      </c>
      <c r="J761" s="25">
        <v>746320</v>
      </c>
      <c r="K761" s="26">
        <v>124932.81</v>
      </c>
      <c r="L761" s="26">
        <v>417.09</v>
      </c>
    </row>
    <row r="762" spans="1:12" ht="16" customHeight="1">
      <c r="A762" t="s">
        <v>410</v>
      </c>
      <c r="B762" t="s">
        <v>5</v>
      </c>
      <c r="C762" t="s">
        <v>37</v>
      </c>
      <c r="D762" s="24">
        <v>46054</v>
      </c>
      <c r="E762" t="s">
        <v>421</v>
      </c>
      <c r="F762" t="s">
        <v>6</v>
      </c>
      <c r="G762" t="s">
        <v>505</v>
      </c>
      <c r="H762" t="s">
        <v>505</v>
      </c>
      <c r="I762" t="s">
        <v>219</v>
      </c>
      <c r="J762" s="25">
        <v>8790</v>
      </c>
      <c r="K762" s="26">
        <v>1463.23</v>
      </c>
      <c r="L762" s="26">
        <v>7.2</v>
      </c>
    </row>
    <row r="763" spans="1:12" ht="16" customHeight="1">
      <c r="A763" t="s">
        <v>410</v>
      </c>
      <c r="B763" t="s">
        <v>5</v>
      </c>
      <c r="C763" t="s">
        <v>37</v>
      </c>
      <c r="D763" s="24">
        <v>46054</v>
      </c>
      <c r="E763" t="s">
        <v>426</v>
      </c>
      <c r="F763" t="s">
        <v>6</v>
      </c>
      <c r="G763" t="s">
        <v>505</v>
      </c>
      <c r="H763" t="s">
        <v>505</v>
      </c>
      <c r="I763" t="s">
        <v>219</v>
      </c>
      <c r="J763" s="25">
        <v>74</v>
      </c>
      <c r="K763" s="26">
        <v>12.71</v>
      </c>
      <c r="L763" s="26">
        <v>0.09</v>
      </c>
    </row>
    <row r="764" spans="1:12" ht="16" customHeight="1">
      <c r="A764" t="s">
        <v>410</v>
      </c>
      <c r="B764" t="s">
        <v>5</v>
      </c>
      <c r="C764" t="s">
        <v>37</v>
      </c>
      <c r="D764" s="24">
        <v>46054</v>
      </c>
      <c r="E764" t="s">
        <v>431</v>
      </c>
      <c r="F764" t="s">
        <v>6</v>
      </c>
      <c r="G764" t="s">
        <v>505</v>
      </c>
      <c r="H764" t="s">
        <v>505</v>
      </c>
      <c r="I764" t="s">
        <v>219</v>
      </c>
      <c r="J764" s="25">
        <v>9</v>
      </c>
      <c r="K764" s="26">
        <v>1.52</v>
      </c>
      <c r="L764" s="26">
        <v>0.02</v>
      </c>
    </row>
    <row r="765" spans="1:12" ht="16" customHeight="1">
      <c r="A765" t="s">
        <v>410</v>
      </c>
      <c r="B765" t="s">
        <v>5</v>
      </c>
      <c r="C765" t="s">
        <v>37</v>
      </c>
      <c r="D765" s="24">
        <v>46054</v>
      </c>
      <c r="E765" t="s">
        <v>435</v>
      </c>
      <c r="F765" t="s">
        <v>5</v>
      </c>
      <c r="G765" t="s">
        <v>510</v>
      </c>
      <c r="H765" t="s">
        <v>510</v>
      </c>
      <c r="I765" t="s">
        <v>219</v>
      </c>
      <c r="J765" s="25">
        <v>1582</v>
      </c>
      <c r="K765" s="26">
        <v>266.7</v>
      </c>
      <c r="L765" s="26">
        <v>2.08</v>
      </c>
    </row>
    <row r="766" spans="1:12" ht="16" customHeight="1">
      <c r="A766" t="s">
        <v>410</v>
      </c>
      <c r="B766" t="s">
        <v>5</v>
      </c>
      <c r="C766" t="s">
        <v>37</v>
      </c>
      <c r="D766" s="24">
        <v>46054</v>
      </c>
      <c r="E766" t="s">
        <v>458</v>
      </c>
      <c r="F766" t="s">
        <v>6</v>
      </c>
      <c r="G766" t="s">
        <v>506</v>
      </c>
      <c r="H766" t="s">
        <v>506</v>
      </c>
      <c r="I766" t="s">
        <v>221</v>
      </c>
      <c r="J766" s="25">
        <v>0</v>
      </c>
      <c r="K766" s="26">
        <v>0</v>
      </c>
      <c r="L766" s="26">
        <v>0</v>
      </c>
    </row>
    <row r="767" spans="1:12" ht="16" customHeight="1">
      <c r="A767" t="s">
        <v>410</v>
      </c>
      <c r="B767" t="s">
        <v>5</v>
      </c>
      <c r="C767" t="s">
        <v>37</v>
      </c>
      <c r="D767" s="24">
        <v>46054</v>
      </c>
      <c r="E767" t="s">
        <v>496</v>
      </c>
      <c r="F767" t="s">
        <v>6</v>
      </c>
      <c r="G767" t="s">
        <v>506</v>
      </c>
      <c r="H767" t="s">
        <v>506</v>
      </c>
      <c r="I767" t="s">
        <v>300</v>
      </c>
      <c r="J767" s="25">
        <v>0</v>
      </c>
      <c r="K767" s="26">
        <v>0</v>
      </c>
      <c r="L767" s="26">
        <v>0</v>
      </c>
    </row>
    <row r="768" spans="1:12" ht="16" customHeight="1">
      <c r="A768" t="s">
        <v>412</v>
      </c>
      <c r="B768" t="s">
        <v>6</v>
      </c>
      <c r="C768" t="s">
        <v>37</v>
      </c>
      <c r="D768" s="24">
        <v>46054</v>
      </c>
      <c r="E768" t="s">
        <v>412</v>
      </c>
      <c r="F768" t="s">
        <v>6</v>
      </c>
      <c r="G768" t="s">
        <v>505</v>
      </c>
      <c r="H768" t="s">
        <v>505</v>
      </c>
      <c r="I768" t="s">
        <v>212</v>
      </c>
      <c r="J768" s="25">
        <v>519457891</v>
      </c>
      <c r="K768" s="26">
        <v>86378780.890000001</v>
      </c>
      <c r="L768" s="26">
        <v>57518.67</v>
      </c>
    </row>
    <row r="769" spans="1:12" ht="16" customHeight="1">
      <c r="A769" t="s">
        <v>412</v>
      </c>
      <c r="B769" t="s">
        <v>6</v>
      </c>
      <c r="C769" t="s">
        <v>37</v>
      </c>
      <c r="D769" s="24">
        <v>46054</v>
      </c>
      <c r="E769" t="s">
        <v>417</v>
      </c>
      <c r="F769" t="s">
        <v>6</v>
      </c>
      <c r="G769" t="s">
        <v>506</v>
      </c>
      <c r="H769" t="s">
        <v>506</v>
      </c>
      <c r="I769" t="s">
        <v>212</v>
      </c>
      <c r="J769" s="25">
        <v>2787628</v>
      </c>
      <c r="K769" s="26">
        <v>465905.57</v>
      </c>
      <c r="L769" s="26">
        <v>1743.97</v>
      </c>
    </row>
    <row r="770" spans="1:12" ht="16" customHeight="1">
      <c r="A770" t="s">
        <v>412</v>
      </c>
      <c r="B770" t="s">
        <v>6</v>
      </c>
      <c r="C770" t="s">
        <v>37</v>
      </c>
      <c r="D770" s="24">
        <v>46054</v>
      </c>
      <c r="E770" t="s">
        <v>421</v>
      </c>
      <c r="F770" t="s">
        <v>6</v>
      </c>
      <c r="G770" t="s">
        <v>505</v>
      </c>
      <c r="H770" t="s">
        <v>505</v>
      </c>
      <c r="I770" t="s">
        <v>219</v>
      </c>
      <c r="J770" s="25">
        <v>22402</v>
      </c>
      <c r="K770" s="26">
        <v>3747.96</v>
      </c>
      <c r="L770" s="26">
        <v>25.94</v>
      </c>
    </row>
    <row r="771" spans="1:12" ht="16" customHeight="1">
      <c r="A771" t="s">
        <v>412</v>
      </c>
      <c r="B771" t="s">
        <v>6</v>
      </c>
      <c r="C771" t="s">
        <v>37</v>
      </c>
      <c r="D771" s="24">
        <v>46054</v>
      </c>
      <c r="E771" t="s">
        <v>426</v>
      </c>
      <c r="F771" t="s">
        <v>6</v>
      </c>
      <c r="G771" t="s">
        <v>505</v>
      </c>
      <c r="H771" t="s">
        <v>505</v>
      </c>
      <c r="I771" t="s">
        <v>219</v>
      </c>
      <c r="J771" s="25">
        <v>329</v>
      </c>
      <c r="K771" s="26">
        <v>55.43</v>
      </c>
      <c r="L771" s="26">
        <v>0.35</v>
      </c>
    </row>
    <row r="772" spans="1:12" ht="16" customHeight="1">
      <c r="A772" t="s">
        <v>412</v>
      </c>
      <c r="B772" t="s">
        <v>6</v>
      </c>
      <c r="C772" t="s">
        <v>37</v>
      </c>
      <c r="D772" s="24">
        <v>46054</v>
      </c>
      <c r="E772" t="s">
        <v>431</v>
      </c>
      <c r="F772" t="s">
        <v>6</v>
      </c>
      <c r="G772" t="s">
        <v>505</v>
      </c>
      <c r="H772" t="s">
        <v>505</v>
      </c>
      <c r="I772" t="s">
        <v>219</v>
      </c>
      <c r="J772" s="25">
        <v>0</v>
      </c>
      <c r="K772" s="26">
        <v>0</v>
      </c>
      <c r="L772" s="26">
        <v>0</v>
      </c>
    </row>
    <row r="773" spans="1:12" ht="16" customHeight="1">
      <c r="A773" t="s">
        <v>412</v>
      </c>
      <c r="B773" t="s">
        <v>6</v>
      </c>
      <c r="C773" t="s">
        <v>37</v>
      </c>
      <c r="D773" s="24">
        <v>46054</v>
      </c>
      <c r="E773" t="s">
        <v>435</v>
      </c>
      <c r="F773" t="s">
        <v>5</v>
      </c>
      <c r="G773" t="s">
        <v>510</v>
      </c>
      <c r="H773" t="s">
        <v>510</v>
      </c>
      <c r="I773" t="s">
        <v>219</v>
      </c>
      <c r="J773" s="25">
        <v>5241</v>
      </c>
      <c r="K773" s="26">
        <v>882.36</v>
      </c>
      <c r="L773" s="26">
        <v>8.1199999999999992</v>
      </c>
    </row>
    <row r="774" spans="1:12" ht="16" customHeight="1">
      <c r="A774" t="s">
        <v>412</v>
      </c>
      <c r="B774" t="s">
        <v>6</v>
      </c>
      <c r="C774" t="s">
        <v>37</v>
      </c>
      <c r="D774" s="24">
        <v>46054</v>
      </c>
      <c r="E774" t="s">
        <v>458</v>
      </c>
      <c r="F774" t="s">
        <v>6</v>
      </c>
      <c r="G774" t="s">
        <v>506</v>
      </c>
      <c r="H774" t="s">
        <v>506</v>
      </c>
      <c r="I774" t="s">
        <v>221</v>
      </c>
      <c r="J774" s="25">
        <v>0</v>
      </c>
      <c r="K774" s="26">
        <v>0</v>
      </c>
      <c r="L774" s="26">
        <v>0</v>
      </c>
    </row>
    <row r="775" spans="1:12" ht="16" customHeight="1">
      <c r="A775" t="s">
        <v>412</v>
      </c>
      <c r="B775" t="s">
        <v>6</v>
      </c>
      <c r="C775" t="s">
        <v>37</v>
      </c>
      <c r="D775" s="24">
        <v>46054</v>
      </c>
      <c r="E775" t="s">
        <v>496</v>
      </c>
      <c r="F775" t="s">
        <v>6</v>
      </c>
      <c r="G775" t="s">
        <v>506</v>
      </c>
      <c r="H775" t="s">
        <v>506</v>
      </c>
      <c r="I775" t="s">
        <v>300</v>
      </c>
      <c r="J775" s="25">
        <v>0</v>
      </c>
      <c r="K775" s="26">
        <v>0</v>
      </c>
      <c r="L775" s="26">
        <v>0</v>
      </c>
    </row>
    <row r="776" spans="1:12" ht="16" customHeight="1">
      <c r="A776" t="s">
        <v>413</v>
      </c>
      <c r="B776" t="s">
        <v>7</v>
      </c>
      <c r="C776" t="s">
        <v>37</v>
      </c>
      <c r="D776" s="24">
        <v>46054</v>
      </c>
      <c r="E776" t="s">
        <v>417</v>
      </c>
      <c r="F776" t="s">
        <v>6</v>
      </c>
      <c r="G776" t="s">
        <v>506</v>
      </c>
      <c r="H776" t="s">
        <v>508</v>
      </c>
      <c r="I776" t="s">
        <v>212</v>
      </c>
      <c r="J776" s="25">
        <v>23486165</v>
      </c>
      <c r="K776" s="26">
        <v>3905563.35</v>
      </c>
      <c r="L776" s="26">
        <v>14573.23</v>
      </c>
    </row>
    <row r="777" spans="1:12" ht="16" customHeight="1">
      <c r="A777" t="s">
        <v>413</v>
      </c>
      <c r="B777" t="s">
        <v>7</v>
      </c>
      <c r="C777" t="s">
        <v>37</v>
      </c>
      <c r="D777" s="24">
        <v>46054</v>
      </c>
      <c r="E777" t="s">
        <v>421</v>
      </c>
      <c r="F777" t="s">
        <v>6</v>
      </c>
      <c r="G777" t="s">
        <v>505</v>
      </c>
      <c r="H777" t="s">
        <v>505</v>
      </c>
      <c r="I777" t="s">
        <v>219</v>
      </c>
      <c r="J777" s="25">
        <v>125557</v>
      </c>
      <c r="K777" s="26">
        <v>20972.68</v>
      </c>
      <c r="L777" s="26">
        <v>133.19</v>
      </c>
    </row>
    <row r="778" spans="1:12" ht="16" customHeight="1">
      <c r="A778" t="s">
        <v>413</v>
      </c>
      <c r="B778" t="s">
        <v>7</v>
      </c>
      <c r="C778" t="s">
        <v>37</v>
      </c>
      <c r="D778" s="24">
        <v>46054</v>
      </c>
      <c r="E778" t="s">
        <v>426</v>
      </c>
      <c r="F778" t="s">
        <v>6</v>
      </c>
      <c r="G778" t="s">
        <v>505</v>
      </c>
      <c r="H778" t="s">
        <v>505</v>
      </c>
      <c r="I778" t="s">
        <v>219</v>
      </c>
      <c r="J778" s="25">
        <v>794</v>
      </c>
      <c r="K778" s="26">
        <v>132.62</v>
      </c>
      <c r="L778" s="26">
        <v>1.25</v>
      </c>
    </row>
    <row r="779" spans="1:12" ht="16" customHeight="1">
      <c r="A779" t="s">
        <v>413</v>
      </c>
      <c r="B779" t="s">
        <v>7</v>
      </c>
      <c r="C779" t="s">
        <v>37</v>
      </c>
      <c r="D779" s="24">
        <v>46054</v>
      </c>
      <c r="E779" t="s">
        <v>431</v>
      </c>
      <c r="F779" t="s">
        <v>6</v>
      </c>
      <c r="G779" t="s">
        <v>505</v>
      </c>
      <c r="H779" t="s">
        <v>505</v>
      </c>
      <c r="I779" t="s">
        <v>219</v>
      </c>
      <c r="J779" s="25">
        <v>4</v>
      </c>
      <c r="K779" s="26">
        <v>0.67</v>
      </c>
      <c r="L779" s="26">
        <v>0.01</v>
      </c>
    </row>
    <row r="780" spans="1:12" ht="16" customHeight="1">
      <c r="A780" t="s">
        <v>413</v>
      </c>
      <c r="B780" t="s">
        <v>7</v>
      </c>
      <c r="C780" t="s">
        <v>37</v>
      </c>
      <c r="D780" s="24">
        <v>46054</v>
      </c>
      <c r="E780" t="s">
        <v>435</v>
      </c>
      <c r="F780" t="s">
        <v>5</v>
      </c>
      <c r="G780" t="s">
        <v>510</v>
      </c>
      <c r="H780" t="s">
        <v>510</v>
      </c>
      <c r="I780" t="s">
        <v>219</v>
      </c>
      <c r="J780" s="25">
        <v>7349</v>
      </c>
      <c r="K780" s="26">
        <v>1237.98</v>
      </c>
      <c r="L780" s="26">
        <v>10.79</v>
      </c>
    </row>
    <row r="781" spans="1:12" ht="16" customHeight="1">
      <c r="A781" t="s">
        <v>413</v>
      </c>
      <c r="B781" t="s">
        <v>7</v>
      </c>
      <c r="C781" t="s">
        <v>37</v>
      </c>
      <c r="D781" s="24">
        <v>46054</v>
      </c>
      <c r="E781" t="s">
        <v>458</v>
      </c>
      <c r="F781" t="s">
        <v>6</v>
      </c>
      <c r="G781" t="s">
        <v>506</v>
      </c>
      <c r="H781" t="s">
        <v>506</v>
      </c>
      <c r="I781" t="s">
        <v>221</v>
      </c>
      <c r="J781" s="25">
        <v>0</v>
      </c>
      <c r="K781" s="26">
        <v>0</v>
      </c>
      <c r="L781" s="26">
        <v>0</v>
      </c>
    </row>
    <row r="782" spans="1:12" ht="16" customHeight="1">
      <c r="A782" t="s">
        <v>413</v>
      </c>
      <c r="B782" t="s">
        <v>7</v>
      </c>
      <c r="C782" t="s">
        <v>37</v>
      </c>
      <c r="D782" s="24">
        <v>46054</v>
      </c>
      <c r="E782" t="s">
        <v>496</v>
      </c>
      <c r="F782" t="s">
        <v>6</v>
      </c>
      <c r="G782" t="s">
        <v>506</v>
      </c>
      <c r="H782" t="s">
        <v>506</v>
      </c>
      <c r="I782" t="s">
        <v>300</v>
      </c>
      <c r="J782" s="25">
        <v>0</v>
      </c>
      <c r="K782" s="26">
        <v>0</v>
      </c>
      <c r="L782" s="26">
        <v>0</v>
      </c>
    </row>
    <row r="783" spans="1:12" ht="16" customHeight="1">
      <c r="A783" t="s">
        <v>414</v>
      </c>
      <c r="B783" t="s">
        <v>3</v>
      </c>
      <c r="C783" t="s">
        <v>38</v>
      </c>
      <c r="D783" s="24">
        <v>46054</v>
      </c>
      <c r="E783" t="s">
        <v>417</v>
      </c>
      <c r="F783" t="s">
        <v>6</v>
      </c>
      <c r="G783" t="s">
        <v>506</v>
      </c>
      <c r="H783" t="s">
        <v>508</v>
      </c>
      <c r="I783" t="s">
        <v>212</v>
      </c>
      <c r="J783" s="25">
        <v>21428245</v>
      </c>
      <c r="K783" s="26">
        <v>3573352.67</v>
      </c>
      <c r="L783" s="26">
        <v>11788.01</v>
      </c>
    </row>
    <row r="784" spans="1:12" ht="16" customHeight="1">
      <c r="A784" t="s">
        <v>414</v>
      </c>
      <c r="B784" t="s">
        <v>3</v>
      </c>
      <c r="C784" t="s">
        <v>38</v>
      </c>
      <c r="D784" s="24">
        <v>46054</v>
      </c>
      <c r="E784" t="s">
        <v>421</v>
      </c>
      <c r="F784" t="s">
        <v>6</v>
      </c>
      <c r="G784" t="s">
        <v>505</v>
      </c>
      <c r="H784" t="s">
        <v>505</v>
      </c>
      <c r="I784" t="s">
        <v>219</v>
      </c>
      <c r="J784" s="25">
        <v>139554</v>
      </c>
      <c r="K784" s="26">
        <v>23284.87</v>
      </c>
      <c r="L784" s="26">
        <v>125.63</v>
      </c>
    </row>
    <row r="785" spans="1:12" ht="16" customHeight="1">
      <c r="A785" t="s">
        <v>414</v>
      </c>
      <c r="B785" t="s">
        <v>3</v>
      </c>
      <c r="C785" t="s">
        <v>38</v>
      </c>
      <c r="D785" s="24">
        <v>46054</v>
      </c>
      <c r="E785" t="s">
        <v>426</v>
      </c>
      <c r="F785" t="s">
        <v>6</v>
      </c>
      <c r="G785" t="s">
        <v>505</v>
      </c>
      <c r="H785" t="s">
        <v>505</v>
      </c>
      <c r="I785" t="s">
        <v>219</v>
      </c>
      <c r="J785" s="25">
        <v>961</v>
      </c>
      <c r="K785" s="26">
        <v>161.44999999999999</v>
      </c>
      <c r="L785" s="26">
        <v>1.44</v>
      </c>
    </row>
    <row r="786" spans="1:12" ht="16" customHeight="1">
      <c r="A786" t="s">
        <v>414</v>
      </c>
      <c r="B786" t="s">
        <v>3</v>
      </c>
      <c r="C786" t="s">
        <v>38</v>
      </c>
      <c r="D786" s="24">
        <v>46054</v>
      </c>
      <c r="E786" t="s">
        <v>431</v>
      </c>
      <c r="F786" t="s">
        <v>6</v>
      </c>
      <c r="G786" t="s">
        <v>505</v>
      </c>
      <c r="H786" t="s">
        <v>505</v>
      </c>
      <c r="I786" t="s">
        <v>219</v>
      </c>
      <c r="J786" s="25">
        <v>35</v>
      </c>
      <c r="K786" s="26">
        <v>6.19</v>
      </c>
      <c r="L786" s="26">
        <v>0.17</v>
      </c>
    </row>
    <row r="787" spans="1:12" ht="16" customHeight="1">
      <c r="A787" t="s">
        <v>414</v>
      </c>
      <c r="B787" t="s">
        <v>3</v>
      </c>
      <c r="C787" t="s">
        <v>38</v>
      </c>
      <c r="D787" s="24">
        <v>46054</v>
      </c>
      <c r="E787" t="s">
        <v>435</v>
      </c>
      <c r="F787" t="s">
        <v>5</v>
      </c>
      <c r="G787" t="s">
        <v>510</v>
      </c>
      <c r="H787" t="s">
        <v>510</v>
      </c>
      <c r="I787" t="s">
        <v>219</v>
      </c>
      <c r="J787" s="25">
        <v>6364</v>
      </c>
      <c r="K787" s="26">
        <v>1076.19</v>
      </c>
      <c r="L787" s="26">
        <v>9.83</v>
      </c>
    </row>
    <row r="788" spans="1:12" ht="16" customHeight="1">
      <c r="A788" t="s">
        <v>414</v>
      </c>
      <c r="B788" t="s">
        <v>3</v>
      </c>
      <c r="C788" t="s">
        <v>38</v>
      </c>
      <c r="D788" s="24">
        <v>46054</v>
      </c>
      <c r="E788" t="s">
        <v>458</v>
      </c>
      <c r="F788" t="s">
        <v>6</v>
      </c>
      <c r="G788" t="s">
        <v>506</v>
      </c>
      <c r="H788" t="s">
        <v>506</v>
      </c>
      <c r="I788" t="s">
        <v>221</v>
      </c>
      <c r="J788" s="25">
        <v>0</v>
      </c>
      <c r="K788" s="26">
        <v>0</v>
      </c>
      <c r="L788" s="26">
        <v>0</v>
      </c>
    </row>
    <row r="789" spans="1:12" ht="16" customHeight="1">
      <c r="A789" t="s">
        <v>414</v>
      </c>
      <c r="B789" t="s">
        <v>3</v>
      </c>
      <c r="C789" t="s">
        <v>38</v>
      </c>
      <c r="D789" s="24">
        <v>46054</v>
      </c>
      <c r="E789" t="s">
        <v>496</v>
      </c>
      <c r="F789" t="s">
        <v>6</v>
      </c>
      <c r="G789" t="s">
        <v>506</v>
      </c>
      <c r="H789" t="s">
        <v>506</v>
      </c>
      <c r="I789" t="s">
        <v>300</v>
      </c>
      <c r="J789" s="25">
        <v>0</v>
      </c>
      <c r="K789" s="26">
        <v>0</v>
      </c>
      <c r="L789" s="26">
        <v>0</v>
      </c>
    </row>
    <row r="790" spans="1:12" ht="16" customHeight="1">
      <c r="A790" t="s">
        <v>326</v>
      </c>
      <c r="B790" t="s">
        <v>4</v>
      </c>
      <c r="C790" t="s">
        <v>38</v>
      </c>
      <c r="D790" s="24">
        <v>46054</v>
      </c>
      <c r="E790" t="s">
        <v>417</v>
      </c>
      <c r="F790" t="s">
        <v>6</v>
      </c>
      <c r="G790" t="s">
        <v>506</v>
      </c>
      <c r="H790" t="s">
        <v>508</v>
      </c>
      <c r="I790" t="s">
        <v>212</v>
      </c>
      <c r="J790" s="25">
        <v>28316692</v>
      </c>
      <c r="K790" s="26">
        <v>4688576.54</v>
      </c>
      <c r="L790" s="26">
        <v>12261.22</v>
      </c>
    </row>
    <row r="791" spans="1:12" ht="16" customHeight="1">
      <c r="A791" t="s">
        <v>326</v>
      </c>
      <c r="B791" t="s">
        <v>4</v>
      </c>
      <c r="C791" t="s">
        <v>38</v>
      </c>
      <c r="D791" s="24">
        <v>46054</v>
      </c>
      <c r="E791" t="s">
        <v>421</v>
      </c>
      <c r="F791" t="s">
        <v>6</v>
      </c>
      <c r="G791" t="s">
        <v>505</v>
      </c>
      <c r="H791" t="s">
        <v>505</v>
      </c>
      <c r="I791" t="s">
        <v>219</v>
      </c>
      <c r="J791" s="25">
        <v>331410</v>
      </c>
      <c r="K791" s="26">
        <v>55167.99</v>
      </c>
      <c r="L791" s="26">
        <v>303</v>
      </c>
    </row>
    <row r="792" spans="1:12" ht="16" customHeight="1">
      <c r="A792" t="s">
        <v>326</v>
      </c>
      <c r="B792" t="s">
        <v>4</v>
      </c>
      <c r="C792" t="s">
        <v>38</v>
      </c>
      <c r="D792" s="24">
        <v>46054</v>
      </c>
      <c r="E792" t="s">
        <v>426</v>
      </c>
      <c r="F792" t="s">
        <v>6</v>
      </c>
      <c r="G792" t="s">
        <v>505</v>
      </c>
      <c r="H792" t="s">
        <v>505</v>
      </c>
      <c r="I792" t="s">
        <v>219</v>
      </c>
      <c r="J792" s="25">
        <v>7169</v>
      </c>
      <c r="K792" s="26">
        <v>1196.8499999999999</v>
      </c>
      <c r="L792" s="26">
        <v>11.93</v>
      </c>
    </row>
    <row r="793" spans="1:12" ht="16" customHeight="1">
      <c r="A793" t="s">
        <v>326</v>
      </c>
      <c r="B793" t="s">
        <v>4</v>
      </c>
      <c r="C793" t="s">
        <v>38</v>
      </c>
      <c r="D793" s="24">
        <v>46054</v>
      </c>
      <c r="E793" t="s">
        <v>431</v>
      </c>
      <c r="F793" t="s">
        <v>6</v>
      </c>
      <c r="G793" t="s">
        <v>505</v>
      </c>
      <c r="H793" t="s">
        <v>505</v>
      </c>
      <c r="I793" t="s">
        <v>219</v>
      </c>
      <c r="J793" s="25">
        <v>5</v>
      </c>
      <c r="K793" s="26">
        <v>0.84</v>
      </c>
      <c r="L793" s="26">
        <v>0.01</v>
      </c>
    </row>
    <row r="794" spans="1:12" ht="16" customHeight="1">
      <c r="A794" t="s">
        <v>326</v>
      </c>
      <c r="B794" t="s">
        <v>4</v>
      </c>
      <c r="C794" t="s">
        <v>38</v>
      </c>
      <c r="D794" s="24">
        <v>46054</v>
      </c>
      <c r="E794" t="s">
        <v>435</v>
      </c>
      <c r="F794" t="s">
        <v>5</v>
      </c>
      <c r="G794" t="s">
        <v>510</v>
      </c>
      <c r="H794" t="s">
        <v>510</v>
      </c>
      <c r="I794" t="s">
        <v>219</v>
      </c>
      <c r="J794" s="25">
        <v>12689</v>
      </c>
      <c r="K794" s="26">
        <v>2133.52</v>
      </c>
      <c r="L794" s="26">
        <v>22.15</v>
      </c>
    </row>
    <row r="795" spans="1:12" ht="16" customHeight="1">
      <c r="A795" t="s">
        <v>326</v>
      </c>
      <c r="B795" t="s">
        <v>4</v>
      </c>
      <c r="C795" t="s">
        <v>38</v>
      </c>
      <c r="D795" s="24">
        <v>46054</v>
      </c>
      <c r="E795" t="s">
        <v>458</v>
      </c>
      <c r="F795" t="s">
        <v>6</v>
      </c>
      <c r="G795" t="s">
        <v>506</v>
      </c>
      <c r="H795" t="s">
        <v>506</v>
      </c>
      <c r="I795" t="s">
        <v>221</v>
      </c>
      <c r="J795" s="25">
        <v>0</v>
      </c>
      <c r="K795" s="26">
        <v>0</v>
      </c>
      <c r="L795" s="26">
        <v>0</v>
      </c>
    </row>
    <row r="796" spans="1:12" ht="16" customHeight="1">
      <c r="A796" t="s">
        <v>326</v>
      </c>
      <c r="B796" t="s">
        <v>4</v>
      </c>
      <c r="C796" t="s">
        <v>38</v>
      </c>
      <c r="D796" s="24">
        <v>46054</v>
      </c>
      <c r="E796" t="s">
        <v>496</v>
      </c>
      <c r="F796" t="s">
        <v>6</v>
      </c>
      <c r="G796" t="s">
        <v>506</v>
      </c>
      <c r="H796" t="s">
        <v>506</v>
      </c>
      <c r="I796" t="s">
        <v>300</v>
      </c>
      <c r="J796" s="25">
        <v>0</v>
      </c>
      <c r="K796" s="26">
        <v>0</v>
      </c>
      <c r="L796" s="26">
        <v>0</v>
      </c>
    </row>
    <row r="797" spans="1:12" ht="16" customHeight="1">
      <c r="A797" t="s">
        <v>415</v>
      </c>
      <c r="B797" t="s">
        <v>5</v>
      </c>
      <c r="C797" t="s">
        <v>38</v>
      </c>
      <c r="D797" s="24">
        <v>46054</v>
      </c>
      <c r="E797" t="s">
        <v>417</v>
      </c>
      <c r="F797" t="s">
        <v>6</v>
      </c>
      <c r="G797" t="s">
        <v>506</v>
      </c>
      <c r="H797" t="s">
        <v>508</v>
      </c>
      <c r="I797" t="s">
        <v>212</v>
      </c>
      <c r="J797" s="25">
        <v>140214616</v>
      </c>
      <c r="K797" s="26">
        <v>23174473.09</v>
      </c>
      <c r="L797" s="26">
        <v>40117.33</v>
      </c>
    </row>
    <row r="798" spans="1:12" ht="16" customHeight="1">
      <c r="A798" t="s">
        <v>415</v>
      </c>
      <c r="B798" t="s">
        <v>5</v>
      </c>
      <c r="C798" t="s">
        <v>38</v>
      </c>
      <c r="D798" s="24">
        <v>46054</v>
      </c>
      <c r="E798" t="s">
        <v>421</v>
      </c>
      <c r="F798" t="s">
        <v>6</v>
      </c>
      <c r="G798" t="s">
        <v>505</v>
      </c>
      <c r="H798" t="s">
        <v>505</v>
      </c>
      <c r="I798" t="s">
        <v>219</v>
      </c>
      <c r="J798" s="25">
        <v>726377</v>
      </c>
      <c r="K798" s="26">
        <v>120571.12</v>
      </c>
      <c r="L798" s="26">
        <v>534.12</v>
      </c>
    </row>
    <row r="799" spans="1:12" ht="16" customHeight="1">
      <c r="A799" t="s">
        <v>415</v>
      </c>
      <c r="B799" t="s">
        <v>5</v>
      </c>
      <c r="C799" t="s">
        <v>38</v>
      </c>
      <c r="D799" s="24">
        <v>46054</v>
      </c>
      <c r="E799" t="s">
        <v>426</v>
      </c>
      <c r="F799" t="s">
        <v>6</v>
      </c>
      <c r="G799" t="s">
        <v>505</v>
      </c>
      <c r="H799" t="s">
        <v>505</v>
      </c>
      <c r="I799" t="s">
        <v>219</v>
      </c>
      <c r="J799" s="25">
        <v>15005</v>
      </c>
      <c r="K799" s="26">
        <v>2481.98</v>
      </c>
      <c r="L799" s="26">
        <v>17.48</v>
      </c>
    </row>
    <row r="800" spans="1:12" ht="16" customHeight="1">
      <c r="A800" t="s">
        <v>415</v>
      </c>
      <c r="B800" t="s">
        <v>5</v>
      </c>
      <c r="C800" t="s">
        <v>38</v>
      </c>
      <c r="D800" s="24">
        <v>46054</v>
      </c>
      <c r="E800" t="s">
        <v>431</v>
      </c>
      <c r="F800" t="s">
        <v>6</v>
      </c>
      <c r="G800" t="s">
        <v>505</v>
      </c>
      <c r="H800" t="s">
        <v>505</v>
      </c>
      <c r="I800" t="s">
        <v>219</v>
      </c>
      <c r="J800" s="25">
        <v>126</v>
      </c>
      <c r="K800" s="26">
        <v>21.11</v>
      </c>
      <c r="L800" s="26">
        <v>0.25</v>
      </c>
    </row>
    <row r="801" spans="1:12" ht="16" customHeight="1">
      <c r="A801" t="s">
        <v>415</v>
      </c>
      <c r="B801" t="s">
        <v>5</v>
      </c>
      <c r="C801" t="s">
        <v>38</v>
      </c>
      <c r="D801" s="24">
        <v>46054</v>
      </c>
      <c r="E801" t="s">
        <v>435</v>
      </c>
      <c r="F801" t="s">
        <v>5</v>
      </c>
      <c r="G801" t="s">
        <v>510</v>
      </c>
      <c r="H801" t="s">
        <v>510</v>
      </c>
      <c r="I801" t="s">
        <v>219</v>
      </c>
      <c r="J801" s="25">
        <v>15892</v>
      </c>
      <c r="K801" s="26">
        <v>2663.33</v>
      </c>
      <c r="L801" s="26">
        <v>25.56</v>
      </c>
    </row>
    <row r="802" spans="1:12" ht="16" customHeight="1">
      <c r="A802" t="s">
        <v>415</v>
      </c>
      <c r="B802" t="s">
        <v>5</v>
      </c>
      <c r="C802" t="s">
        <v>38</v>
      </c>
      <c r="D802" s="24">
        <v>46054</v>
      </c>
      <c r="E802" t="s">
        <v>458</v>
      </c>
      <c r="F802" t="s">
        <v>6</v>
      </c>
      <c r="G802" t="s">
        <v>506</v>
      </c>
      <c r="H802" t="s">
        <v>506</v>
      </c>
      <c r="I802" t="s">
        <v>221</v>
      </c>
      <c r="J802" s="25">
        <v>0</v>
      </c>
      <c r="K802" s="26">
        <v>0</v>
      </c>
      <c r="L802" s="26">
        <v>0</v>
      </c>
    </row>
    <row r="803" spans="1:12" ht="16" customHeight="1">
      <c r="A803" t="s">
        <v>415</v>
      </c>
      <c r="B803" t="s">
        <v>5</v>
      </c>
      <c r="C803" t="s">
        <v>38</v>
      </c>
      <c r="D803" s="24">
        <v>46054</v>
      </c>
      <c r="E803" t="s">
        <v>496</v>
      </c>
      <c r="F803" t="s">
        <v>6</v>
      </c>
      <c r="G803" t="s">
        <v>506</v>
      </c>
      <c r="H803" t="s">
        <v>506</v>
      </c>
      <c r="I803" t="s">
        <v>300</v>
      </c>
      <c r="J803" s="25">
        <v>0</v>
      </c>
      <c r="K803" s="26">
        <v>0</v>
      </c>
      <c r="L803" s="26">
        <v>0</v>
      </c>
    </row>
    <row r="804" spans="1:12" ht="16" customHeight="1">
      <c r="A804" t="s">
        <v>417</v>
      </c>
      <c r="B804" t="s">
        <v>6</v>
      </c>
      <c r="C804" t="s">
        <v>38</v>
      </c>
      <c r="D804" s="24">
        <v>46054</v>
      </c>
      <c r="E804" t="s">
        <v>417</v>
      </c>
      <c r="F804" t="s">
        <v>6</v>
      </c>
      <c r="G804" t="s">
        <v>506</v>
      </c>
      <c r="H804" t="s">
        <v>508</v>
      </c>
      <c r="I804" t="s">
        <v>212</v>
      </c>
      <c r="J804" s="25">
        <v>531656607</v>
      </c>
      <c r="K804" s="26">
        <v>87522464.959999993</v>
      </c>
      <c r="L804" s="26">
        <v>63300.7</v>
      </c>
    </row>
    <row r="805" spans="1:12" ht="16" customHeight="1">
      <c r="A805" t="s">
        <v>417</v>
      </c>
      <c r="B805" t="s">
        <v>6</v>
      </c>
      <c r="C805" t="s">
        <v>38</v>
      </c>
      <c r="D805" s="24">
        <v>46054</v>
      </c>
      <c r="E805" t="s">
        <v>421</v>
      </c>
      <c r="F805" t="s">
        <v>6</v>
      </c>
      <c r="G805" t="s">
        <v>505</v>
      </c>
      <c r="H805" t="s">
        <v>505</v>
      </c>
      <c r="I805" t="s">
        <v>219</v>
      </c>
      <c r="J805" s="25">
        <v>2270333</v>
      </c>
      <c r="K805" s="26">
        <v>375484.01</v>
      </c>
      <c r="L805" s="26">
        <v>1395.63</v>
      </c>
    </row>
    <row r="806" spans="1:12" ht="16" customHeight="1">
      <c r="A806" t="s">
        <v>417</v>
      </c>
      <c r="B806" t="s">
        <v>6</v>
      </c>
      <c r="C806" t="s">
        <v>38</v>
      </c>
      <c r="D806" s="24">
        <v>46054</v>
      </c>
      <c r="E806" t="s">
        <v>426</v>
      </c>
      <c r="F806" t="s">
        <v>6</v>
      </c>
      <c r="G806" t="s">
        <v>505</v>
      </c>
      <c r="H806" t="s">
        <v>505</v>
      </c>
      <c r="I806" t="s">
        <v>219</v>
      </c>
      <c r="J806" s="25">
        <v>27115</v>
      </c>
      <c r="K806" s="26">
        <v>4502.91</v>
      </c>
      <c r="L806" s="26">
        <v>29.06</v>
      </c>
    </row>
    <row r="807" spans="1:12" ht="16" customHeight="1">
      <c r="A807" t="s">
        <v>417</v>
      </c>
      <c r="B807" t="s">
        <v>6</v>
      </c>
      <c r="C807" t="s">
        <v>38</v>
      </c>
      <c r="D807" s="24">
        <v>46054</v>
      </c>
      <c r="E807" t="s">
        <v>431</v>
      </c>
      <c r="F807" t="s">
        <v>6</v>
      </c>
      <c r="G807" t="s">
        <v>505</v>
      </c>
      <c r="H807" t="s">
        <v>505</v>
      </c>
      <c r="I807" t="s">
        <v>219</v>
      </c>
      <c r="J807" s="25">
        <v>80</v>
      </c>
      <c r="K807" s="26">
        <v>13.5</v>
      </c>
      <c r="L807" s="26">
        <v>0.13</v>
      </c>
    </row>
    <row r="808" spans="1:12" ht="16" customHeight="1">
      <c r="A808" t="s">
        <v>417</v>
      </c>
      <c r="B808" t="s">
        <v>6</v>
      </c>
      <c r="C808" t="s">
        <v>38</v>
      </c>
      <c r="D808" s="24">
        <v>46054</v>
      </c>
      <c r="E808" t="s">
        <v>435</v>
      </c>
      <c r="F808" t="s">
        <v>5</v>
      </c>
      <c r="G808" t="s">
        <v>510</v>
      </c>
      <c r="H808" t="s">
        <v>510</v>
      </c>
      <c r="I808" t="s">
        <v>219</v>
      </c>
      <c r="J808" s="25">
        <v>21177</v>
      </c>
      <c r="K808" s="26">
        <v>3549.62</v>
      </c>
      <c r="L808" s="26">
        <v>34.81</v>
      </c>
    </row>
    <row r="809" spans="1:12" ht="16" customHeight="1">
      <c r="A809" t="s">
        <v>417</v>
      </c>
      <c r="B809" t="s">
        <v>6</v>
      </c>
      <c r="C809" t="s">
        <v>38</v>
      </c>
      <c r="D809" s="24">
        <v>46054</v>
      </c>
      <c r="E809" t="s">
        <v>458</v>
      </c>
      <c r="F809" t="s">
        <v>6</v>
      </c>
      <c r="G809" t="s">
        <v>506</v>
      </c>
      <c r="H809" t="s">
        <v>506</v>
      </c>
      <c r="I809" t="s">
        <v>221</v>
      </c>
      <c r="J809" s="25">
        <v>0</v>
      </c>
      <c r="K809" s="26">
        <v>0</v>
      </c>
      <c r="L809" s="26">
        <v>0</v>
      </c>
    </row>
    <row r="810" spans="1:12" ht="16" customHeight="1">
      <c r="A810" t="s">
        <v>417</v>
      </c>
      <c r="B810" t="s">
        <v>6</v>
      </c>
      <c r="C810" t="s">
        <v>38</v>
      </c>
      <c r="D810" s="24">
        <v>46054</v>
      </c>
      <c r="E810" t="s">
        <v>496</v>
      </c>
      <c r="F810" t="s">
        <v>6</v>
      </c>
      <c r="G810" t="s">
        <v>506</v>
      </c>
      <c r="H810" t="s">
        <v>506</v>
      </c>
      <c r="I810" t="s">
        <v>300</v>
      </c>
      <c r="J810" s="25">
        <v>0</v>
      </c>
      <c r="K810" s="26">
        <v>0</v>
      </c>
      <c r="L810" s="26">
        <v>0</v>
      </c>
    </row>
    <row r="811" spans="1:12" ht="16" customHeight="1">
      <c r="A811" t="s">
        <v>418</v>
      </c>
      <c r="B811" t="s">
        <v>7</v>
      </c>
      <c r="C811" t="s">
        <v>38</v>
      </c>
      <c r="D811" s="24">
        <v>46054</v>
      </c>
      <c r="E811" t="s">
        <v>421</v>
      </c>
      <c r="F811" t="s">
        <v>6</v>
      </c>
      <c r="G811" t="s">
        <v>505</v>
      </c>
      <c r="H811" t="s">
        <v>505</v>
      </c>
      <c r="I811" t="s">
        <v>219</v>
      </c>
      <c r="J811" s="25">
        <v>20443841</v>
      </c>
      <c r="K811" s="26">
        <v>3351408.24</v>
      </c>
      <c r="L811" s="26">
        <v>12116.5</v>
      </c>
    </row>
    <row r="812" spans="1:12" ht="16" customHeight="1">
      <c r="A812" t="s">
        <v>418</v>
      </c>
      <c r="B812" t="s">
        <v>7</v>
      </c>
      <c r="C812" t="s">
        <v>38</v>
      </c>
      <c r="D812" s="24">
        <v>46054</v>
      </c>
      <c r="E812" t="s">
        <v>426</v>
      </c>
      <c r="F812" t="s">
        <v>6</v>
      </c>
      <c r="G812" t="s">
        <v>505</v>
      </c>
      <c r="H812" t="s">
        <v>505</v>
      </c>
      <c r="I812" t="s">
        <v>219</v>
      </c>
      <c r="J812" s="25">
        <v>88447</v>
      </c>
      <c r="K812" s="26">
        <v>14574.97</v>
      </c>
      <c r="L812" s="26">
        <v>88.5</v>
      </c>
    </row>
    <row r="813" spans="1:12" ht="16" customHeight="1">
      <c r="A813" t="s">
        <v>418</v>
      </c>
      <c r="B813" t="s">
        <v>7</v>
      </c>
      <c r="C813" t="s">
        <v>38</v>
      </c>
      <c r="D813" s="24">
        <v>46054</v>
      </c>
      <c r="E813" t="s">
        <v>431</v>
      </c>
      <c r="F813" t="s">
        <v>6</v>
      </c>
      <c r="G813" t="s">
        <v>505</v>
      </c>
      <c r="H813" t="s">
        <v>505</v>
      </c>
      <c r="I813" t="s">
        <v>219</v>
      </c>
      <c r="J813" s="25">
        <v>327</v>
      </c>
      <c r="K813" s="26">
        <v>53.59</v>
      </c>
      <c r="L813" s="26">
        <v>0.51</v>
      </c>
    </row>
    <row r="814" spans="1:12" ht="16" customHeight="1">
      <c r="A814" t="s">
        <v>418</v>
      </c>
      <c r="B814" t="s">
        <v>7</v>
      </c>
      <c r="C814" t="s">
        <v>38</v>
      </c>
      <c r="D814" s="24">
        <v>46054</v>
      </c>
      <c r="E814" t="s">
        <v>435</v>
      </c>
      <c r="F814" t="s">
        <v>5</v>
      </c>
      <c r="G814" t="s">
        <v>510</v>
      </c>
      <c r="H814" t="s">
        <v>510</v>
      </c>
      <c r="I814" t="s">
        <v>219</v>
      </c>
      <c r="J814" s="25">
        <v>42451</v>
      </c>
      <c r="K814" s="26">
        <v>7092.57</v>
      </c>
      <c r="L814" s="26">
        <v>70.540000000000006</v>
      </c>
    </row>
    <row r="815" spans="1:12" ht="16" customHeight="1">
      <c r="A815" t="s">
        <v>418</v>
      </c>
      <c r="B815" t="s">
        <v>7</v>
      </c>
      <c r="C815" t="s">
        <v>38</v>
      </c>
      <c r="D815" s="24">
        <v>46054</v>
      </c>
      <c r="E815" t="s">
        <v>458</v>
      </c>
      <c r="F815" t="s">
        <v>6</v>
      </c>
      <c r="G815" t="s">
        <v>506</v>
      </c>
      <c r="H815" t="s">
        <v>506</v>
      </c>
      <c r="I815" t="s">
        <v>221</v>
      </c>
      <c r="J815" s="25">
        <v>0</v>
      </c>
      <c r="K815" s="26">
        <v>0</v>
      </c>
      <c r="L815" s="26">
        <v>0</v>
      </c>
    </row>
    <row r="816" spans="1:12" ht="16" customHeight="1">
      <c r="A816" t="s">
        <v>418</v>
      </c>
      <c r="B816" t="s">
        <v>7</v>
      </c>
      <c r="C816" t="s">
        <v>38</v>
      </c>
      <c r="D816" s="24">
        <v>46054</v>
      </c>
      <c r="E816" t="s">
        <v>496</v>
      </c>
      <c r="F816" t="s">
        <v>6</v>
      </c>
      <c r="G816" t="s">
        <v>506</v>
      </c>
      <c r="H816" t="s">
        <v>506</v>
      </c>
      <c r="I816" t="s">
        <v>300</v>
      </c>
      <c r="J816" s="25">
        <v>0</v>
      </c>
      <c r="K816" s="26">
        <v>0</v>
      </c>
      <c r="L816" s="26">
        <v>0</v>
      </c>
    </row>
    <row r="817" spans="1:12" ht="16" customHeight="1">
      <c r="A817" t="s">
        <v>383</v>
      </c>
      <c r="B817" t="s">
        <v>3</v>
      </c>
      <c r="C817" t="s">
        <v>39</v>
      </c>
      <c r="D817" s="24">
        <v>46082</v>
      </c>
      <c r="E817" t="s">
        <v>421</v>
      </c>
      <c r="F817" t="s">
        <v>6</v>
      </c>
      <c r="G817" t="s">
        <v>505</v>
      </c>
      <c r="H817" t="s">
        <v>505</v>
      </c>
      <c r="I817" t="s">
        <v>212</v>
      </c>
      <c r="J817" s="25">
        <v>30932779</v>
      </c>
      <c r="K817" s="26">
        <v>4975848.74</v>
      </c>
      <c r="L817" s="26">
        <v>17581.68</v>
      </c>
    </row>
    <row r="818" spans="1:12" ht="16" customHeight="1">
      <c r="A818" t="s">
        <v>383</v>
      </c>
      <c r="B818" t="s">
        <v>3</v>
      </c>
      <c r="C818" t="s">
        <v>39</v>
      </c>
      <c r="D818" s="24">
        <v>46082</v>
      </c>
      <c r="E818" t="s">
        <v>426</v>
      </c>
      <c r="F818" t="s">
        <v>6</v>
      </c>
      <c r="G818" t="s">
        <v>505</v>
      </c>
      <c r="H818" t="s">
        <v>505</v>
      </c>
      <c r="I818" t="s">
        <v>212</v>
      </c>
      <c r="J818" s="25">
        <v>247534</v>
      </c>
      <c r="K818" s="26">
        <v>40256.25</v>
      </c>
      <c r="L818" s="26">
        <v>282.54000000000002</v>
      </c>
    </row>
    <row r="819" spans="1:12" ht="16" customHeight="1">
      <c r="A819" t="s">
        <v>383</v>
      </c>
      <c r="B819" t="s">
        <v>3</v>
      </c>
      <c r="C819" t="s">
        <v>39</v>
      </c>
      <c r="D819" s="24">
        <v>46082</v>
      </c>
      <c r="E819" t="s">
        <v>431</v>
      </c>
      <c r="F819" t="s">
        <v>6</v>
      </c>
      <c r="G819" t="s">
        <v>505</v>
      </c>
      <c r="H819" t="s">
        <v>505</v>
      </c>
      <c r="I819" t="s">
        <v>212</v>
      </c>
      <c r="J819" s="25">
        <v>859</v>
      </c>
      <c r="K819" s="26">
        <v>141.19999999999999</v>
      </c>
      <c r="L819" s="26">
        <v>1.31</v>
      </c>
    </row>
    <row r="820" spans="1:12" ht="16" customHeight="1">
      <c r="A820" t="s">
        <v>383</v>
      </c>
      <c r="B820" t="s">
        <v>3</v>
      </c>
      <c r="C820" t="s">
        <v>39</v>
      </c>
      <c r="D820" s="24">
        <v>46082</v>
      </c>
      <c r="E820" t="s">
        <v>435</v>
      </c>
      <c r="F820" t="s">
        <v>5</v>
      </c>
      <c r="G820" t="s">
        <v>510</v>
      </c>
      <c r="H820" t="s">
        <v>510</v>
      </c>
      <c r="I820" t="s">
        <v>212</v>
      </c>
      <c r="J820" s="25">
        <v>50067</v>
      </c>
      <c r="K820" s="26">
        <v>8272.58</v>
      </c>
      <c r="L820" s="26">
        <v>74.86</v>
      </c>
    </row>
    <row r="821" spans="1:12" ht="16" customHeight="1">
      <c r="A821" t="s">
        <v>383</v>
      </c>
      <c r="B821" t="s">
        <v>3</v>
      </c>
      <c r="C821" t="s">
        <v>39</v>
      </c>
      <c r="D821" s="24">
        <v>46082</v>
      </c>
      <c r="E821" t="s">
        <v>458</v>
      </c>
      <c r="F821" t="s">
        <v>6</v>
      </c>
      <c r="G821" t="s">
        <v>506</v>
      </c>
      <c r="H821" t="s">
        <v>506</v>
      </c>
      <c r="I821" t="s">
        <v>219</v>
      </c>
      <c r="J821" s="25">
        <v>4</v>
      </c>
      <c r="K821" s="26">
        <v>0.66</v>
      </c>
      <c r="L821" s="26">
        <v>0.03</v>
      </c>
    </row>
    <row r="822" spans="1:12" ht="16" customHeight="1">
      <c r="A822" t="s">
        <v>383</v>
      </c>
      <c r="B822" t="s">
        <v>3</v>
      </c>
      <c r="C822" t="s">
        <v>39</v>
      </c>
      <c r="D822" s="24">
        <v>46082</v>
      </c>
      <c r="E822" t="s">
        <v>496</v>
      </c>
      <c r="F822" t="s">
        <v>6</v>
      </c>
      <c r="G822" t="s">
        <v>506</v>
      </c>
      <c r="H822" t="s">
        <v>506</v>
      </c>
      <c r="I822" t="s">
        <v>223</v>
      </c>
      <c r="J822" s="25">
        <v>0</v>
      </c>
      <c r="K822" s="26">
        <v>0</v>
      </c>
      <c r="L822" s="26">
        <v>0</v>
      </c>
    </row>
    <row r="823" spans="1:12" ht="16" customHeight="1">
      <c r="A823" t="s">
        <v>419</v>
      </c>
      <c r="B823" t="s">
        <v>5</v>
      </c>
      <c r="C823" t="s">
        <v>39</v>
      </c>
      <c r="D823" s="24">
        <v>46082</v>
      </c>
      <c r="E823" t="s">
        <v>421</v>
      </c>
      <c r="F823" t="s">
        <v>6</v>
      </c>
      <c r="G823" t="s">
        <v>505</v>
      </c>
      <c r="H823" t="s">
        <v>505</v>
      </c>
      <c r="I823" t="s">
        <v>212</v>
      </c>
      <c r="J823" s="25">
        <v>110981536</v>
      </c>
      <c r="K823" s="26">
        <v>17575014.280000001</v>
      </c>
      <c r="L823" s="26">
        <v>52118.1</v>
      </c>
    </row>
    <row r="824" spans="1:12" ht="16" customHeight="1">
      <c r="A824" t="s">
        <v>419</v>
      </c>
      <c r="B824" t="s">
        <v>5</v>
      </c>
      <c r="C824" t="s">
        <v>39</v>
      </c>
      <c r="D824" s="24">
        <v>46082</v>
      </c>
      <c r="E824" t="s">
        <v>426</v>
      </c>
      <c r="F824" t="s">
        <v>6</v>
      </c>
      <c r="G824" t="s">
        <v>505</v>
      </c>
      <c r="H824" t="s">
        <v>505</v>
      </c>
      <c r="I824" t="s">
        <v>212</v>
      </c>
      <c r="J824" s="25">
        <v>440591</v>
      </c>
      <c r="K824" s="26">
        <v>71068.149999999994</v>
      </c>
      <c r="L824" s="26">
        <v>621.05999999999995</v>
      </c>
    </row>
    <row r="825" spans="1:12" ht="16" customHeight="1">
      <c r="A825" t="s">
        <v>419</v>
      </c>
      <c r="B825" t="s">
        <v>5</v>
      </c>
      <c r="C825" t="s">
        <v>39</v>
      </c>
      <c r="D825" s="24">
        <v>46082</v>
      </c>
      <c r="E825" t="s">
        <v>431</v>
      </c>
      <c r="F825" t="s">
        <v>6</v>
      </c>
      <c r="G825" t="s">
        <v>505</v>
      </c>
      <c r="H825" t="s">
        <v>505</v>
      </c>
      <c r="I825" t="s">
        <v>212</v>
      </c>
      <c r="J825" s="25">
        <v>967</v>
      </c>
      <c r="K825" s="26">
        <v>160.77000000000001</v>
      </c>
      <c r="L825" s="26">
        <v>0.8</v>
      </c>
    </row>
    <row r="826" spans="1:12" ht="16" customHeight="1">
      <c r="A826" t="s">
        <v>419</v>
      </c>
      <c r="B826" t="s">
        <v>5</v>
      </c>
      <c r="C826" t="s">
        <v>39</v>
      </c>
      <c r="D826" s="24">
        <v>46082</v>
      </c>
      <c r="E826" t="s">
        <v>435</v>
      </c>
      <c r="F826" t="s">
        <v>5</v>
      </c>
      <c r="G826" t="s">
        <v>510</v>
      </c>
      <c r="H826" t="s">
        <v>510</v>
      </c>
      <c r="I826" t="s">
        <v>212</v>
      </c>
      <c r="J826" s="25">
        <v>56747</v>
      </c>
      <c r="K826" s="26">
        <v>9590.35</v>
      </c>
      <c r="L826" s="26">
        <v>77.19</v>
      </c>
    </row>
    <row r="827" spans="1:12" ht="16" customHeight="1">
      <c r="A827" t="s">
        <v>419</v>
      </c>
      <c r="B827" t="s">
        <v>5</v>
      </c>
      <c r="C827" t="s">
        <v>39</v>
      </c>
      <c r="D827" s="24">
        <v>46082</v>
      </c>
      <c r="E827" t="s">
        <v>440</v>
      </c>
      <c r="F827" t="s">
        <v>6</v>
      </c>
      <c r="G827" t="s">
        <v>505</v>
      </c>
      <c r="H827" t="s">
        <v>505</v>
      </c>
      <c r="I827" t="s">
        <v>219</v>
      </c>
      <c r="J827" s="25">
        <v>1</v>
      </c>
      <c r="K827" s="26">
        <v>0.14000000000000001</v>
      </c>
      <c r="L827" s="26">
        <v>0</v>
      </c>
    </row>
    <row r="828" spans="1:12" ht="16" customHeight="1">
      <c r="A828" t="s">
        <v>419</v>
      </c>
      <c r="B828" t="s">
        <v>5</v>
      </c>
      <c r="C828" t="s">
        <v>39</v>
      </c>
      <c r="D828" s="24">
        <v>46082</v>
      </c>
      <c r="E828" t="s">
        <v>458</v>
      </c>
      <c r="F828" t="s">
        <v>6</v>
      </c>
      <c r="G828" t="s">
        <v>506</v>
      </c>
      <c r="H828" t="s">
        <v>506</v>
      </c>
      <c r="I828" t="s">
        <v>219</v>
      </c>
      <c r="J828" s="25">
        <v>58</v>
      </c>
      <c r="K828" s="26">
        <v>9.3800000000000008</v>
      </c>
      <c r="L828" s="26">
        <v>0.22</v>
      </c>
    </row>
    <row r="829" spans="1:12" ht="16" customHeight="1">
      <c r="A829" t="s">
        <v>419</v>
      </c>
      <c r="B829" t="s">
        <v>5</v>
      </c>
      <c r="C829" t="s">
        <v>39</v>
      </c>
      <c r="D829" s="24">
        <v>46082</v>
      </c>
      <c r="E829" t="s">
        <v>496</v>
      </c>
      <c r="F829" t="s">
        <v>6</v>
      </c>
      <c r="G829" t="s">
        <v>506</v>
      </c>
      <c r="H829" t="s">
        <v>506</v>
      </c>
      <c r="I829" t="s">
        <v>223</v>
      </c>
      <c r="J829" s="25">
        <v>0</v>
      </c>
      <c r="K829" s="26">
        <v>0</v>
      </c>
      <c r="L829" s="26">
        <v>0</v>
      </c>
    </row>
    <row r="830" spans="1:12" ht="16" customHeight="1">
      <c r="A830" t="s">
        <v>421</v>
      </c>
      <c r="B830" t="s">
        <v>6</v>
      </c>
      <c r="C830" t="s">
        <v>39</v>
      </c>
      <c r="D830" s="24">
        <v>46082</v>
      </c>
      <c r="E830" t="s">
        <v>421</v>
      </c>
      <c r="F830" t="s">
        <v>6</v>
      </c>
      <c r="G830" t="s">
        <v>505</v>
      </c>
      <c r="H830" t="s">
        <v>505</v>
      </c>
      <c r="I830" t="s">
        <v>212</v>
      </c>
      <c r="J830" s="25">
        <v>623890211</v>
      </c>
      <c r="K830" s="26">
        <v>99324316.879999995</v>
      </c>
      <c r="L830" s="26">
        <v>80690.05</v>
      </c>
    </row>
    <row r="831" spans="1:12" ht="16" customHeight="1">
      <c r="A831" t="s">
        <v>421</v>
      </c>
      <c r="B831" t="s">
        <v>6</v>
      </c>
      <c r="C831" t="s">
        <v>39</v>
      </c>
      <c r="D831" s="24">
        <v>46082</v>
      </c>
      <c r="E831" t="s">
        <v>426</v>
      </c>
      <c r="F831" t="s">
        <v>6</v>
      </c>
      <c r="G831" t="s">
        <v>505</v>
      </c>
      <c r="H831" t="s">
        <v>505</v>
      </c>
      <c r="I831" t="s">
        <v>212</v>
      </c>
      <c r="J831" s="25">
        <v>1946780</v>
      </c>
      <c r="K831" s="26">
        <v>313820.34000000003</v>
      </c>
      <c r="L831" s="26">
        <v>2037.18</v>
      </c>
    </row>
    <row r="832" spans="1:12" ht="16" customHeight="1">
      <c r="A832" t="s">
        <v>421</v>
      </c>
      <c r="B832" t="s">
        <v>6</v>
      </c>
      <c r="C832" t="s">
        <v>39</v>
      </c>
      <c r="D832" s="24">
        <v>46082</v>
      </c>
      <c r="E832" t="s">
        <v>431</v>
      </c>
      <c r="F832" t="s">
        <v>6</v>
      </c>
      <c r="G832" t="s">
        <v>505</v>
      </c>
      <c r="H832" t="s">
        <v>505</v>
      </c>
      <c r="I832" t="s">
        <v>212</v>
      </c>
      <c r="J832" s="25">
        <v>3851</v>
      </c>
      <c r="K832" s="26">
        <v>623.88</v>
      </c>
      <c r="L832" s="26">
        <v>6.34</v>
      </c>
    </row>
    <row r="833" spans="1:12" ht="16" customHeight="1">
      <c r="A833" t="s">
        <v>421</v>
      </c>
      <c r="B833" t="s">
        <v>6</v>
      </c>
      <c r="C833" t="s">
        <v>39</v>
      </c>
      <c r="D833" s="24">
        <v>46082</v>
      </c>
      <c r="E833" t="s">
        <v>435</v>
      </c>
      <c r="F833" t="s">
        <v>5</v>
      </c>
      <c r="G833" t="s">
        <v>510</v>
      </c>
      <c r="H833" t="s">
        <v>510</v>
      </c>
      <c r="I833" t="s">
        <v>212</v>
      </c>
      <c r="J833" s="25">
        <v>54115</v>
      </c>
      <c r="K833" s="26">
        <v>9165.2900000000009</v>
      </c>
      <c r="L833" s="26">
        <v>70.239999999999995</v>
      </c>
    </row>
    <row r="834" spans="1:12" ht="16" customHeight="1">
      <c r="A834" t="s">
        <v>421</v>
      </c>
      <c r="B834" t="s">
        <v>6</v>
      </c>
      <c r="C834" t="s">
        <v>39</v>
      </c>
      <c r="D834" s="24">
        <v>46082</v>
      </c>
      <c r="E834" t="s">
        <v>440</v>
      </c>
      <c r="F834" t="s">
        <v>6</v>
      </c>
      <c r="G834" t="s">
        <v>505</v>
      </c>
      <c r="H834" t="s">
        <v>505</v>
      </c>
      <c r="I834" t="s">
        <v>219</v>
      </c>
      <c r="J834" s="25">
        <v>0</v>
      </c>
      <c r="K834" s="26">
        <v>0</v>
      </c>
      <c r="L834" s="26">
        <v>0</v>
      </c>
    </row>
    <row r="835" spans="1:12" ht="16" customHeight="1">
      <c r="A835" t="s">
        <v>421</v>
      </c>
      <c r="B835" t="s">
        <v>6</v>
      </c>
      <c r="C835" t="s">
        <v>39</v>
      </c>
      <c r="D835" s="24">
        <v>46082</v>
      </c>
      <c r="E835" t="s">
        <v>458</v>
      </c>
      <c r="F835" t="s">
        <v>6</v>
      </c>
      <c r="G835" t="s">
        <v>506</v>
      </c>
      <c r="H835" t="s">
        <v>506</v>
      </c>
      <c r="I835" t="s">
        <v>219</v>
      </c>
      <c r="J835" s="25">
        <v>154</v>
      </c>
      <c r="K835" s="26">
        <v>25.95</v>
      </c>
      <c r="L835" s="26">
        <v>0.24</v>
      </c>
    </row>
    <row r="836" spans="1:12" ht="16" customHeight="1">
      <c r="A836" t="s">
        <v>421</v>
      </c>
      <c r="B836" t="s">
        <v>6</v>
      </c>
      <c r="C836" t="s">
        <v>39</v>
      </c>
      <c r="D836" s="24">
        <v>46082</v>
      </c>
      <c r="E836" t="s">
        <v>496</v>
      </c>
      <c r="F836" t="s">
        <v>6</v>
      </c>
      <c r="G836" t="s">
        <v>506</v>
      </c>
      <c r="H836" t="s">
        <v>506</v>
      </c>
      <c r="I836" t="s">
        <v>223</v>
      </c>
      <c r="J836" s="25">
        <v>0</v>
      </c>
      <c r="K836" s="26">
        <v>0</v>
      </c>
      <c r="L836" s="26">
        <v>0</v>
      </c>
    </row>
    <row r="837" spans="1:12" ht="16" customHeight="1">
      <c r="A837" t="s">
        <v>422</v>
      </c>
      <c r="B837" t="s">
        <v>7</v>
      </c>
      <c r="C837" t="s">
        <v>39</v>
      </c>
      <c r="D837" s="24">
        <v>46082</v>
      </c>
      <c r="E837" t="s">
        <v>426</v>
      </c>
      <c r="F837" t="s">
        <v>6</v>
      </c>
      <c r="G837" t="s">
        <v>505</v>
      </c>
      <c r="H837" t="s">
        <v>505</v>
      </c>
      <c r="I837" t="s">
        <v>212</v>
      </c>
      <c r="J837" s="25">
        <v>14610254</v>
      </c>
      <c r="K837" s="26">
        <v>2338071.58</v>
      </c>
      <c r="L837" s="26">
        <v>13382.06</v>
      </c>
    </row>
    <row r="838" spans="1:12" ht="16" customHeight="1">
      <c r="A838" t="s">
        <v>422</v>
      </c>
      <c r="B838" t="s">
        <v>7</v>
      </c>
      <c r="C838" t="s">
        <v>39</v>
      </c>
      <c r="D838" s="24">
        <v>46082</v>
      </c>
      <c r="E838" t="s">
        <v>431</v>
      </c>
      <c r="F838" t="s">
        <v>6</v>
      </c>
      <c r="G838" t="s">
        <v>505</v>
      </c>
      <c r="H838" t="s">
        <v>505</v>
      </c>
      <c r="I838" t="s">
        <v>212</v>
      </c>
      <c r="J838" s="25">
        <v>44641</v>
      </c>
      <c r="K838" s="26">
        <v>7217.7</v>
      </c>
      <c r="L838" s="26">
        <v>78.84</v>
      </c>
    </row>
    <row r="839" spans="1:12" ht="16" customHeight="1">
      <c r="A839" t="s">
        <v>422</v>
      </c>
      <c r="B839" t="s">
        <v>7</v>
      </c>
      <c r="C839" t="s">
        <v>39</v>
      </c>
      <c r="D839" s="24">
        <v>46082</v>
      </c>
      <c r="E839" t="s">
        <v>435</v>
      </c>
      <c r="F839" t="s">
        <v>5</v>
      </c>
      <c r="G839" t="s">
        <v>510</v>
      </c>
      <c r="H839" t="s">
        <v>510</v>
      </c>
      <c r="I839" t="s">
        <v>212</v>
      </c>
      <c r="J839" s="25">
        <v>42835</v>
      </c>
      <c r="K839" s="26">
        <v>7237.44</v>
      </c>
      <c r="L839" s="26">
        <v>47.43</v>
      </c>
    </row>
    <row r="840" spans="1:12" ht="16" customHeight="1">
      <c r="A840" t="s">
        <v>422</v>
      </c>
      <c r="B840" t="s">
        <v>7</v>
      </c>
      <c r="C840" t="s">
        <v>39</v>
      </c>
      <c r="D840" s="24">
        <v>46082</v>
      </c>
      <c r="E840" t="s">
        <v>440</v>
      </c>
      <c r="F840" t="s">
        <v>6</v>
      </c>
      <c r="G840" t="s">
        <v>505</v>
      </c>
      <c r="H840" t="s">
        <v>505</v>
      </c>
      <c r="I840" t="s">
        <v>219</v>
      </c>
      <c r="J840" s="25">
        <v>0</v>
      </c>
      <c r="K840" s="26">
        <v>0</v>
      </c>
      <c r="L840" s="26">
        <v>0</v>
      </c>
    </row>
    <row r="841" spans="1:12" ht="16" customHeight="1">
      <c r="A841" t="s">
        <v>422</v>
      </c>
      <c r="B841" t="s">
        <v>7</v>
      </c>
      <c r="C841" t="s">
        <v>39</v>
      </c>
      <c r="D841" s="24">
        <v>46082</v>
      </c>
      <c r="E841" t="s">
        <v>458</v>
      </c>
      <c r="F841" t="s">
        <v>6</v>
      </c>
      <c r="G841" t="s">
        <v>506</v>
      </c>
      <c r="H841" t="s">
        <v>506</v>
      </c>
      <c r="I841" t="s">
        <v>219</v>
      </c>
      <c r="J841" s="25">
        <v>80</v>
      </c>
      <c r="K841" s="26">
        <v>13.27</v>
      </c>
      <c r="L841" s="26">
        <v>0.23</v>
      </c>
    </row>
    <row r="842" spans="1:12" ht="16" customHeight="1">
      <c r="A842" t="s">
        <v>422</v>
      </c>
      <c r="B842" t="s">
        <v>7</v>
      </c>
      <c r="C842" t="s">
        <v>39</v>
      </c>
      <c r="D842" s="24">
        <v>46082</v>
      </c>
      <c r="E842" t="s">
        <v>496</v>
      </c>
      <c r="F842" t="s">
        <v>6</v>
      </c>
      <c r="G842" t="s">
        <v>506</v>
      </c>
      <c r="H842" t="s">
        <v>506</v>
      </c>
      <c r="I842" t="s">
        <v>223</v>
      </c>
      <c r="J842" s="25">
        <v>0</v>
      </c>
      <c r="K842" s="26">
        <v>0</v>
      </c>
      <c r="L842" s="26">
        <v>0</v>
      </c>
    </row>
    <row r="843" spans="1:12" ht="16" customHeight="1">
      <c r="A843" t="s">
        <v>423</v>
      </c>
      <c r="B843" t="s">
        <v>3</v>
      </c>
      <c r="C843" t="s">
        <v>40</v>
      </c>
      <c r="D843" s="24">
        <v>46082</v>
      </c>
      <c r="E843" t="s">
        <v>426</v>
      </c>
      <c r="F843" t="s">
        <v>6</v>
      </c>
      <c r="G843" t="s">
        <v>505</v>
      </c>
      <c r="H843" t="s">
        <v>505</v>
      </c>
      <c r="I843" t="s">
        <v>212</v>
      </c>
      <c r="J843" s="25">
        <v>15580795</v>
      </c>
      <c r="K843" s="26">
        <v>2443159.1</v>
      </c>
      <c r="L843" s="26">
        <v>16199.3</v>
      </c>
    </row>
    <row r="844" spans="1:12" ht="16" customHeight="1">
      <c r="A844" t="s">
        <v>423</v>
      </c>
      <c r="B844" t="s">
        <v>3</v>
      </c>
      <c r="C844" t="s">
        <v>40</v>
      </c>
      <c r="D844" s="24">
        <v>46082</v>
      </c>
      <c r="E844" t="s">
        <v>431</v>
      </c>
      <c r="F844" t="s">
        <v>6</v>
      </c>
      <c r="G844" t="s">
        <v>505</v>
      </c>
      <c r="H844" t="s">
        <v>505</v>
      </c>
      <c r="I844" t="s">
        <v>212</v>
      </c>
      <c r="J844" s="25">
        <v>53316</v>
      </c>
      <c r="K844" s="26">
        <v>8517.17</v>
      </c>
      <c r="L844" s="26">
        <v>122.17</v>
      </c>
    </row>
    <row r="845" spans="1:12" ht="16" customHeight="1">
      <c r="A845" t="s">
        <v>423</v>
      </c>
      <c r="B845" t="s">
        <v>3</v>
      </c>
      <c r="C845" t="s">
        <v>40</v>
      </c>
      <c r="D845" s="24">
        <v>46082</v>
      </c>
      <c r="E845" t="s">
        <v>435</v>
      </c>
      <c r="F845" t="s">
        <v>5</v>
      </c>
      <c r="G845" t="s">
        <v>510</v>
      </c>
      <c r="H845" t="s">
        <v>510</v>
      </c>
      <c r="I845" t="s">
        <v>212</v>
      </c>
      <c r="J845" s="25">
        <v>56192</v>
      </c>
      <c r="K845" s="26">
        <v>9273.76</v>
      </c>
      <c r="L845" s="26">
        <v>89.29</v>
      </c>
    </row>
    <row r="846" spans="1:12" ht="16" customHeight="1">
      <c r="A846" t="s">
        <v>423</v>
      </c>
      <c r="B846" t="s">
        <v>3</v>
      </c>
      <c r="C846" t="s">
        <v>40</v>
      </c>
      <c r="D846" s="24">
        <v>46082</v>
      </c>
      <c r="E846" t="s">
        <v>440</v>
      </c>
      <c r="F846" t="s">
        <v>6</v>
      </c>
      <c r="G846" t="s">
        <v>505</v>
      </c>
      <c r="H846" t="s">
        <v>505</v>
      </c>
      <c r="I846" t="s">
        <v>219</v>
      </c>
      <c r="J846" s="25">
        <v>18</v>
      </c>
      <c r="K846" s="26">
        <v>2.84</v>
      </c>
      <c r="L846" s="26">
        <v>0.08</v>
      </c>
    </row>
    <row r="847" spans="1:12" ht="16" customHeight="1">
      <c r="A847" t="s">
        <v>423</v>
      </c>
      <c r="B847" t="s">
        <v>3</v>
      </c>
      <c r="C847" t="s">
        <v>40</v>
      </c>
      <c r="D847" s="24">
        <v>46082</v>
      </c>
      <c r="E847" t="s">
        <v>458</v>
      </c>
      <c r="F847" t="s">
        <v>6</v>
      </c>
      <c r="G847" t="s">
        <v>506</v>
      </c>
      <c r="H847" t="s">
        <v>506</v>
      </c>
      <c r="I847" t="s">
        <v>219</v>
      </c>
      <c r="J847" s="25">
        <v>203</v>
      </c>
      <c r="K847" s="26">
        <v>32.590000000000003</v>
      </c>
      <c r="L847" s="26">
        <v>0.95</v>
      </c>
    </row>
    <row r="848" spans="1:12" ht="16" customHeight="1">
      <c r="A848" t="s">
        <v>423</v>
      </c>
      <c r="B848" t="s">
        <v>3</v>
      </c>
      <c r="C848" t="s">
        <v>40</v>
      </c>
      <c r="D848" s="24">
        <v>46082</v>
      </c>
      <c r="E848" t="s">
        <v>496</v>
      </c>
      <c r="F848" t="s">
        <v>6</v>
      </c>
      <c r="G848" t="s">
        <v>506</v>
      </c>
      <c r="H848" t="s">
        <v>506</v>
      </c>
      <c r="I848" t="s">
        <v>223</v>
      </c>
      <c r="J848" s="25">
        <v>0</v>
      </c>
      <c r="K848" s="26">
        <v>0</v>
      </c>
      <c r="L848" s="26">
        <v>0</v>
      </c>
    </row>
    <row r="849" spans="1:12" ht="16" customHeight="1">
      <c r="A849" t="s">
        <v>401</v>
      </c>
      <c r="B849" t="s">
        <v>4</v>
      </c>
      <c r="C849" t="s">
        <v>40</v>
      </c>
      <c r="D849" s="24">
        <v>46082</v>
      </c>
      <c r="E849" t="s">
        <v>426</v>
      </c>
      <c r="F849" t="s">
        <v>6</v>
      </c>
      <c r="G849" t="s">
        <v>505</v>
      </c>
      <c r="H849" t="s">
        <v>505</v>
      </c>
      <c r="I849" t="s">
        <v>212</v>
      </c>
      <c r="J849" s="25">
        <v>22484181</v>
      </c>
      <c r="K849" s="26">
        <v>3521991.37</v>
      </c>
      <c r="L849" s="26">
        <v>12460.12</v>
      </c>
    </row>
    <row r="850" spans="1:12" ht="16" customHeight="1">
      <c r="A850" t="s">
        <v>401</v>
      </c>
      <c r="B850" t="s">
        <v>4</v>
      </c>
      <c r="C850" t="s">
        <v>40</v>
      </c>
      <c r="D850" s="24">
        <v>46082</v>
      </c>
      <c r="E850" t="s">
        <v>431</v>
      </c>
      <c r="F850" t="s">
        <v>6</v>
      </c>
      <c r="G850" t="s">
        <v>505</v>
      </c>
      <c r="H850" t="s">
        <v>505</v>
      </c>
      <c r="I850" t="s">
        <v>212</v>
      </c>
      <c r="J850" s="25">
        <v>147164</v>
      </c>
      <c r="K850" s="26">
        <v>23228.67</v>
      </c>
      <c r="L850" s="26">
        <v>180.71</v>
      </c>
    </row>
    <row r="851" spans="1:12" ht="16" customHeight="1">
      <c r="A851" t="s">
        <v>401</v>
      </c>
      <c r="B851" t="s">
        <v>4</v>
      </c>
      <c r="C851" t="s">
        <v>40</v>
      </c>
      <c r="D851" s="24">
        <v>46082</v>
      </c>
      <c r="E851" t="s">
        <v>435</v>
      </c>
      <c r="F851" t="s">
        <v>5</v>
      </c>
      <c r="G851" t="s">
        <v>510</v>
      </c>
      <c r="H851" t="s">
        <v>510</v>
      </c>
      <c r="I851" t="s">
        <v>212</v>
      </c>
      <c r="J851" s="25">
        <v>75347</v>
      </c>
      <c r="K851" s="26">
        <v>12898.16</v>
      </c>
      <c r="L851" s="26">
        <v>57.19</v>
      </c>
    </row>
    <row r="852" spans="1:12" ht="16" customHeight="1">
      <c r="A852" t="s">
        <v>401</v>
      </c>
      <c r="B852" t="s">
        <v>4</v>
      </c>
      <c r="C852" t="s">
        <v>40</v>
      </c>
      <c r="D852" s="24">
        <v>46082</v>
      </c>
      <c r="E852" t="s">
        <v>440</v>
      </c>
      <c r="F852" t="s">
        <v>6</v>
      </c>
      <c r="G852" t="s">
        <v>505</v>
      </c>
      <c r="H852" t="s">
        <v>505</v>
      </c>
      <c r="I852" t="s">
        <v>219</v>
      </c>
      <c r="J852" s="25">
        <v>15</v>
      </c>
      <c r="K852" s="26">
        <v>2.44</v>
      </c>
      <c r="L852" s="26">
        <v>0.05</v>
      </c>
    </row>
    <row r="853" spans="1:12" ht="16" customHeight="1">
      <c r="A853" t="s">
        <v>401</v>
      </c>
      <c r="B853" t="s">
        <v>4</v>
      </c>
      <c r="C853" t="s">
        <v>40</v>
      </c>
      <c r="D853" s="24">
        <v>46082</v>
      </c>
      <c r="E853" t="s">
        <v>444</v>
      </c>
      <c r="F853" t="s">
        <v>6</v>
      </c>
      <c r="G853" t="s">
        <v>505</v>
      </c>
      <c r="H853" t="s">
        <v>505</v>
      </c>
      <c r="I853" t="s">
        <v>219</v>
      </c>
      <c r="J853" s="25">
        <v>3</v>
      </c>
      <c r="K853" s="26">
        <v>0.51</v>
      </c>
      <c r="L853" s="26">
        <v>0.01</v>
      </c>
    </row>
    <row r="854" spans="1:12" ht="16" customHeight="1">
      <c r="A854" t="s">
        <v>401</v>
      </c>
      <c r="B854" t="s">
        <v>4</v>
      </c>
      <c r="C854" t="s">
        <v>40</v>
      </c>
      <c r="D854" s="24">
        <v>46082</v>
      </c>
      <c r="E854" t="s">
        <v>458</v>
      </c>
      <c r="F854" t="s">
        <v>6</v>
      </c>
      <c r="G854" t="s">
        <v>506</v>
      </c>
      <c r="H854" t="s">
        <v>506</v>
      </c>
      <c r="I854" t="s">
        <v>219</v>
      </c>
      <c r="J854" s="25">
        <v>5</v>
      </c>
      <c r="K854" s="26">
        <v>0.84</v>
      </c>
      <c r="L854" s="26">
        <v>0.01</v>
      </c>
    </row>
    <row r="855" spans="1:12" ht="16" customHeight="1">
      <c r="A855" t="s">
        <v>401</v>
      </c>
      <c r="B855" t="s">
        <v>4</v>
      </c>
      <c r="C855" t="s">
        <v>40</v>
      </c>
      <c r="D855" s="24">
        <v>46082</v>
      </c>
      <c r="E855" t="s">
        <v>496</v>
      </c>
      <c r="F855" t="s">
        <v>6</v>
      </c>
      <c r="G855" t="s">
        <v>506</v>
      </c>
      <c r="H855" t="s">
        <v>506</v>
      </c>
      <c r="I855" t="s">
        <v>223</v>
      </c>
      <c r="J855" s="25">
        <v>0</v>
      </c>
      <c r="K855" s="26">
        <v>0</v>
      </c>
      <c r="L855" s="26">
        <v>0</v>
      </c>
    </row>
    <row r="856" spans="1:12" ht="16" customHeight="1">
      <c r="A856" t="s">
        <v>424</v>
      </c>
      <c r="B856" t="s">
        <v>5</v>
      </c>
      <c r="C856" t="s">
        <v>40</v>
      </c>
      <c r="D856" s="24">
        <v>46082</v>
      </c>
      <c r="E856" t="s">
        <v>426</v>
      </c>
      <c r="F856" t="s">
        <v>6</v>
      </c>
      <c r="G856" t="s">
        <v>505</v>
      </c>
      <c r="H856" t="s">
        <v>505</v>
      </c>
      <c r="I856" t="s">
        <v>212</v>
      </c>
      <c r="J856" s="25">
        <v>115862665</v>
      </c>
      <c r="K856" s="26">
        <v>17968984.98</v>
      </c>
      <c r="L856" s="26">
        <v>47462.98</v>
      </c>
    </row>
    <row r="857" spans="1:12" ht="16" customHeight="1">
      <c r="A857" t="s">
        <v>424</v>
      </c>
      <c r="B857" t="s">
        <v>5</v>
      </c>
      <c r="C857" t="s">
        <v>40</v>
      </c>
      <c r="D857" s="24">
        <v>46082</v>
      </c>
      <c r="E857" t="s">
        <v>431</v>
      </c>
      <c r="F857" t="s">
        <v>6</v>
      </c>
      <c r="G857" t="s">
        <v>505</v>
      </c>
      <c r="H857" t="s">
        <v>505</v>
      </c>
      <c r="I857" t="s">
        <v>212</v>
      </c>
      <c r="J857" s="25">
        <v>418441</v>
      </c>
      <c r="K857" s="26">
        <v>65777.97</v>
      </c>
      <c r="L857" s="26">
        <v>473.47</v>
      </c>
    </row>
    <row r="858" spans="1:12" ht="16" customHeight="1">
      <c r="A858" t="s">
        <v>424</v>
      </c>
      <c r="B858" t="s">
        <v>5</v>
      </c>
      <c r="C858" t="s">
        <v>40</v>
      </c>
      <c r="D858" s="24">
        <v>46082</v>
      </c>
      <c r="E858" t="s">
        <v>435</v>
      </c>
      <c r="F858" t="s">
        <v>5</v>
      </c>
      <c r="G858" t="s">
        <v>510</v>
      </c>
      <c r="H858" t="s">
        <v>510</v>
      </c>
      <c r="I858" t="s">
        <v>212</v>
      </c>
      <c r="J858" s="25">
        <v>77890</v>
      </c>
      <c r="K858" s="26">
        <v>12858.72</v>
      </c>
      <c r="L858" s="26">
        <v>82.98</v>
      </c>
    </row>
    <row r="859" spans="1:12" ht="16" customHeight="1">
      <c r="A859" t="s">
        <v>424</v>
      </c>
      <c r="B859" t="s">
        <v>5</v>
      </c>
      <c r="C859" t="s">
        <v>40</v>
      </c>
      <c r="D859" s="24">
        <v>46082</v>
      </c>
      <c r="E859" t="s">
        <v>440</v>
      </c>
      <c r="F859" t="s">
        <v>6</v>
      </c>
      <c r="G859" t="s">
        <v>505</v>
      </c>
      <c r="H859" t="s">
        <v>505</v>
      </c>
      <c r="I859" t="s">
        <v>219</v>
      </c>
      <c r="J859" s="25">
        <v>27</v>
      </c>
      <c r="K859" s="26">
        <v>4.2699999999999996</v>
      </c>
      <c r="L859" s="26">
        <v>0.05</v>
      </c>
    </row>
    <row r="860" spans="1:12" ht="16" customHeight="1">
      <c r="A860" t="s">
        <v>424</v>
      </c>
      <c r="B860" t="s">
        <v>5</v>
      </c>
      <c r="C860" t="s">
        <v>40</v>
      </c>
      <c r="D860" s="24">
        <v>46082</v>
      </c>
      <c r="E860" t="s">
        <v>458</v>
      </c>
      <c r="F860" t="s">
        <v>6</v>
      </c>
      <c r="G860" t="s">
        <v>506</v>
      </c>
      <c r="H860" t="s">
        <v>506</v>
      </c>
      <c r="I860" t="s">
        <v>219</v>
      </c>
      <c r="J860" s="25">
        <v>158</v>
      </c>
      <c r="K860" s="26">
        <v>25.29</v>
      </c>
      <c r="L860" s="26">
        <v>0.76</v>
      </c>
    </row>
    <row r="861" spans="1:12" ht="16" customHeight="1">
      <c r="A861" t="s">
        <v>424</v>
      </c>
      <c r="B861" t="s">
        <v>5</v>
      </c>
      <c r="C861" t="s">
        <v>40</v>
      </c>
      <c r="D861" s="24">
        <v>46082</v>
      </c>
      <c r="E861" t="s">
        <v>496</v>
      </c>
      <c r="F861" t="s">
        <v>6</v>
      </c>
      <c r="G861" t="s">
        <v>506</v>
      </c>
      <c r="H861" t="s">
        <v>506</v>
      </c>
      <c r="I861" t="s">
        <v>223</v>
      </c>
      <c r="J861" s="25">
        <v>0</v>
      </c>
      <c r="K861" s="26">
        <v>0</v>
      </c>
      <c r="L861" s="26">
        <v>0</v>
      </c>
    </row>
    <row r="862" spans="1:12" ht="16" customHeight="1">
      <c r="A862" t="s">
        <v>426</v>
      </c>
      <c r="B862" t="s">
        <v>6</v>
      </c>
      <c r="C862" t="s">
        <v>40</v>
      </c>
      <c r="D862" s="24">
        <v>46082</v>
      </c>
      <c r="E862" t="s">
        <v>426</v>
      </c>
      <c r="F862" t="s">
        <v>6</v>
      </c>
      <c r="G862" t="s">
        <v>505</v>
      </c>
      <c r="H862" t="s">
        <v>505</v>
      </c>
      <c r="I862" t="s">
        <v>212</v>
      </c>
      <c r="J862" s="25">
        <v>561278757</v>
      </c>
      <c r="K862" s="26">
        <v>85827536.790000007</v>
      </c>
      <c r="L862" s="26">
        <v>76119.7</v>
      </c>
    </row>
    <row r="863" spans="1:12" ht="16" customHeight="1">
      <c r="A863" t="s">
        <v>426</v>
      </c>
      <c r="B863" t="s">
        <v>6</v>
      </c>
      <c r="C863" t="s">
        <v>40</v>
      </c>
      <c r="D863" s="24">
        <v>46082</v>
      </c>
      <c r="E863" t="s">
        <v>431</v>
      </c>
      <c r="F863" t="s">
        <v>6</v>
      </c>
      <c r="G863" t="s">
        <v>505</v>
      </c>
      <c r="H863" t="s">
        <v>505</v>
      </c>
      <c r="I863" t="s">
        <v>212</v>
      </c>
      <c r="J863" s="25">
        <v>1366487</v>
      </c>
      <c r="K863" s="26">
        <v>211962.3</v>
      </c>
      <c r="L863" s="26">
        <v>1615.23</v>
      </c>
    </row>
    <row r="864" spans="1:12" ht="16" customHeight="1">
      <c r="A864" t="s">
        <v>426</v>
      </c>
      <c r="B864" t="s">
        <v>6</v>
      </c>
      <c r="C864" t="s">
        <v>40</v>
      </c>
      <c r="D864" s="24">
        <v>46082</v>
      </c>
      <c r="E864" t="s">
        <v>435</v>
      </c>
      <c r="F864" t="s">
        <v>5</v>
      </c>
      <c r="G864" t="s">
        <v>510</v>
      </c>
      <c r="H864" t="s">
        <v>510</v>
      </c>
      <c r="I864" t="s">
        <v>212</v>
      </c>
      <c r="J864" s="25">
        <v>77550</v>
      </c>
      <c r="K864" s="26">
        <v>12270.41</v>
      </c>
      <c r="L864" s="26">
        <v>139.81</v>
      </c>
    </row>
    <row r="865" spans="1:12" ht="16" customHeight="1">
      <c r="A865" t="s">
        <v>426</v>
      </c>
      <c r="B865" t="s">
        <v>6</v>
      </c>
      <c r="C865" t="s">
        <v>40</v>
      </c>
      <c r="D865" s="24">
        <v>46082</v>
      </c>
      <c r="E865" t="s">
        <v>440</v>
      </c>
      <c r="F865" t="s">
        <v>6</v>
      </c>
      <c r="G865" t="s">
        <v>505</v>
      </c>
      <c r="H865" t="s">
        <v>505</v>
      </c>
      <c r="I865" t="s">
        <v>219</v>
      </c>
      <c r="J865" s="25">
        <v>125</v>
      </c>
      <c r="K865" s="26">
        <v>19.940000000000001</v>
      </c>
      <c r="L865" s="26">
        <v>0.16</v>
      </c>
    </row>
    <row r="866" spans="1:12" ht="16" customHeight="1">
      <c r="A866" t="s">
        <v>426</v>
      </c>
      <c r="B866" t="s">
        <v>6</v>
      </c>
      <c r="C866" t="s">
        <v>40</v>
      </c>
      <c r="D866" s="24">
        <v>46082</v>
      </c>
      <c r="E866" t="s">
        <v>444</v>
      </c>
      <c r="F866" t="s">
        <v>6</v>
      </c>
      <c r="G866" t="s">
        <v>505</v>
      </c>
      <c r="H866" t="s">
        <v>505</v>
      </c>
      <c r="I866" t="s">
        <v>219</v>
      </c>
      <c r="J866" s="25">
        <v>1</v>
      </c>
      <c r="K866" s="26">
        <v>0.16</v>
      </c>
      <c r="L866" s="26">
        <v>0.01</v>
      </c>
    </row>
    <row r="867" spans="1:12" ht="16" customHeight="1">
      <c r="A867" t="s">
        <v>426</v>
      </c>
      <c r="B867" t="s">
        <v>6</v>
      </c>
      <c r="C867" t="s">
        <v>40</v>
      </c>
      <c r="D867" s="24">
        <v>46082</v>
      </c>
      <c r="E867" t="s">
        <v>448</v>
      </c>
      <c r="F867" t="s">
        <v>6</v>
      </c>
      <c r="G867" t="s">
        <v>505</v>
      </c>
      <c r="H867" t="s">
        <v>505</v>
      </c>
      <c r="I867" t="s">
        <v>219</v>
      </c>
      <c r="J867" s="25">
        <v>2</v>
      </c>
      <c r="K867" s="26">
        <v>0.33</v>
      </c>
      <c r="L867" s="26">
        <v>0</v>
      </c>
    </row>
    <row r="868" spans="1:12" ht="16" customHeight="1">
      <c r="A868" t="s">
        <v>426</v>
      </c>
      <c r="B868" t="s">
        <v>6</v>
      </c>
      <c r="C868" t="s">
        <v>40</v>
      </c>
      <c r="D868" s="24">
        <v>46082</v>
      </c>
      <c r="E868" t="s">
        <v>458</v>
      </c>
      <c r="F868" t="s">
        <v>6</v>
      </c>
      <c r="G868" t="s">
        <v>506</v>
      </c>
      <c r="H868" t="s">
        <v>506</v>
      </c>
      <c r="I868" t="s">
        <v>219</v>
      </c>
      <c r="J868" s="25">
        <v>430</v>
      </c>
      <c r="K868" s="26">
        <v>68.44</v>
      </c>
      <c r="L868" s="26">
        <v>1.71</v>
      </c>
    </row>
    <row r="869" spans="1:12" ht="16" customHeight="1">
      <c r="A869" t="s">
        <v>426</v>
      </c>
      <c r="B869" t="s">
        <v>6</v>
      </c>
      <c r="C869" t="s">
        <v>40</v>
      </c>
      <c r="D869" s="24">
        <v>46082</v>
      </c>
      <c r="E869" t="s">
        <v>496</v>
      </c>
      <c r="F869" t="s">
        <v>6</v>
      </c>
      <c r="G869" t="s">
        <v>506</v>
      </c>
      <c r="H869" t="s">
        <v>506</v>
      </c>
      <c r="I869" t="s">
        <v>223</v>
      </c>
      <c r="J869" s="25">
        <v>0</v>
      </c>
      <c r="K869" s="26">
        <v>0</v>
      </c>
      <c r="L869" s="26">
        <v>0</v>
      </c>
    </row>
    <row r="870" spans="1:12" ht="16" customHeight="1">
      <c r="A870" t="s">
        <v>427</v>
      </c>
      <c r="B870" t="s">
        <v>7</v>
      </c>
      <c r="C870" t="s">
        <v>40</v>
      </c>
      <c r="D870" s="24">
        <v>46082</v>
      </c>
      <c r="E870" t="s">
        <v>431</v>
      </c>
      <c r="F870" t="s">
        <v>6</v>
      </c>
      <c r="G870" t="s">
        <v>505</v>
      </c>
      <c r="H870" t="s">
        <v>505</v>
      </c>
      <c r="I870" t="s">
        <v>212</v>
      </c>
      <c r="J870" s="25">
        <v>12335595</v>
      </c>
      <c r="K870" s="26">
        <v>1873336.43</v>
      </c>
      <c r="L870" s="26">
        <v>12934.58</v>
      </c>
    </row>
    <row r="871" spans="1:12" ht="16" customHeight="1">
      <c r="A871" t="s">
        <v>427</v>
      </c>
      <c r="B871" t="s">
        <v>7</v>
      </c>
      <c r="C871" t="s">
        <v>40</v>
      </c>
      <c r="D871" s="24">
        <v>46082</v>
      </c>
      <c r="E871" t="s">
        <v>435</v>
      </c>
      <c r="F871" t="s">
        <v>5</v>
      </c>
      <c r="G871" t="s">
        <v>510</v>
      </c>
      <c r="H871" t="s">
        <v>510</v>
      </c>
      <c r="I871" t="s">
        <v>212</v>
      </c>
      <c r="J871" s="25">
        <v>143955</v>
      </c>
      <c r="K871" s="26">
        <v>22441.09</v>
      </c>
      <c r="L871" s="26">
        <v>256.11</v>
      </c>
    </row>
    <row r="872" spans="1:12" ht="16" customHeight="1">
      <c r="A872" t="s">
        <v>427</v>
      </c>
      <c r="B872" t="s">
        <v>7</v>
      </c>
      <c r="C872" t="s">
        <v>40</v>
      </c>
      <c r="D872" s="24">
        <v>46082</v>
      </c>
      <c r="E872" t="s">
        <v>440</v>
      </c>
      <c r="F872" t="s">
        <v>6</v>
      </c>
      <c r="G872" t="s">
        <v>505</v>
      </c>
      <c r="H872" t="s">
        <v>505</v>
      </c>
      <c r="I872" t="s">
        <v>219</v>
      </c>
      <c r="J872" s="25">
        <v>647</v>
      </c>
      <c r="K872" s="26">
        <v>103.98</v>
      </c>
      <c r="L872" s="26">
        <v>0.28999999999999998</v>
      </c>
    </row>
    <row r="873" spans="1:12" ht="16" customHeight="1">
      <c r="A873" t="s">
        <v>427</v>
      </c>
      <c r="B873" t="s">
        <v>7</v>
      </c>
      <c r="C873" t="s">
        <v>40</v>
      </c>
      <c r="D873" s="24">
        <v>46082</v>
      </c>
      <c r="E873" t="s">
        <v>444</v>
      </c>
      <c r="F873" t="s">
        <v>6</v>
      </c>
      <c r="G873" t="s">
        <v>505</v>
      </c>
      <c r="H873" t="s">
        <v>505</v>
      </c>
      <c r="I873" t="s">
        <v>219</v>
      </c>
      <c r="J873" s="25">
        <v>1</v>
      </c>
      <c r="K873" s="26">
        <v>0.18</v>
      </c>
      <c r="L873" s="26">
        <v>0</v>
      </c>
    </row>
    <row r="874" spans="1:12" ht="16" customHeight="1">
      <c r="A874" t="s">
        <v>427</v>
      </c>
      <c r="B874" t="s">
        <v>7</v>
      </c>
      <c r="C874" t="s">
        <v>40</v>
      </c>
      <c r="D874" s="24">
        <v>46082</v>
      </c>
      <c r="E874" t="s">
        <v>448</v>
      </c>
      <c r="F874" t="s">
        <v>6</v>
      </c>
      <c r="G874" t="s">
        <v>505</v>
      </c>
      <c r="H874" t="s">
        <v>505</v>
      </c>
      <c r="I874" t="s">
        <v>219</v>
      </c>
      <c r="J874" s="25">
        <v>0</v>
      </c>
      <c r="K874" s="26">
        <v>0</v>
      </c>
      <c r="L874" s="26">
        <v>0</v>
      </c>
    </row>
    <row r="875" spans="1:12" ht="16" customHeight="1">
      <c r="A875" t="s">
        <v>427</v>
      </c>
      <c r="B875" t="s">
        <v>7</v>
      </c>
      <c r="C875" t="s">
        <v>40</v>
      </c>
      <c r="D875" s="24">
        <v>46082</v>
      </c>
      <c r="E875" t="s">
        <v>458</v>
      </c>
      <c r="F875" t="s">
        <v>6</v>
      </c>
      <c r="G875" t="s">
        <v>506</v>
      </c>
      <c r="H875" t="s">
        <v>506</v>
      </c>
      <c r="I875" t="s">
        <v>219</v>
      </c>
      <c r="J875" s="25">
        <v>557</v>
      </c>
      <c r="K875" s="26">
        <v>88.17</v>
      </c>
      <c r="L875" s="26">
        <v>2.2799999999999998</v>
      </c>
    </row>
    <row r="876" spans="1:12" ht="16" customHeight="1">
      <c r="A876" t="s">
        <v>427</v>
      </c>
      <c r="B876" t="s">
        <v>7</v>
      </c>
      <c r="C876" t="s">
        <v>40</v>
      </c>
      <c r="D876" s="24">
        <v>46082</v>
      </c>
      <c r="E876" t="s">
        <v>496</v>
      </c>
      <c r="F876" t="s">
        <v>6</v>
      </c>
      <c r="G876" t="s">
        <v>506</v>
      </c>
      <c r="H876" t="s">
        <v>506</v>
      </c>
      <c r="I876" t="s">
        <v>223</v>
      </c>
      <c r="J876" s="25">
        <v>0</v>
      </c>
      <c r="K876" s="26">
        <v>0</v>
      </c>
      <c r="L876" s="26">
        <v>0</v>
      </c>
    </row>
    <row r="877" spans="1:12" ht="16" customHeight="1">
      <c r="A877" t="s">
        <v>428</v>
      </c>
      <c r="B877" t="s">
        <v>3</v>
      </c>
      <c r="C877" t="s">
        <v>41</v>
      </c>
      <c r="D877" s="24">
        <v>46082</v>
      </c>
      <c r="E877" t="s">
        <v>431</v>
      </c>
      <c r="F877" t="s">
        <v>6</v>
      </c>
      <c r="G877" t="s">
        <v>505</v>
      </c>
      <c r="H877" t="s">
        <v>505</v>
      </c>
      <c r="I877" t="s">
        <v>212</v>
      </c>
      <c r="J877" s="25">
        <v>21733663</v>
      </c>
      <c r="K877" s="26">
        <v>3283694.11</v>
      </c>
      <c r="L877" s="26">
        <v>17656.63</v>
      </c>
    </row>
    <row r="878" spans="1:12" ht="16" customHeight="1">
      <c r="A878" t="s">
        <v>428</v>
      </c>
      <c r="B878" t="s">
        <v>3</v>
      </c>
      <c r="C878" t="s">
        <v>41</v>
      </c>
      <c r="D878" s="24">
        <v>46082</v>
      </c>
      <c r="E878" t="s">
        <v>435</v>
      </c>
      <c r="F878" t="s">
        <v>5</v>
      </c>
      <c r="G878" t="s">
        <v>510</v>
      </c>
      <c r="H878" t="s">
        <v>510</v>
      </c>
      <c r="I878" t="s">
        <v>212</v>
      </c>
      <c r="J878" s="25">
        <v>199674</v>
      </c>
      <c r="K878" s="26">
        <v>30922.04</v>
      </c>
      <c r="L878" s="26">
        <v>289.86</v>
      </c>
    </row>
    <row r="879" spans="1:12" ht="16" customHeight="1">
      <c r="A879" t="s">
        <v>428</v>
      </c>
      <c r="B879" t="s">
        <v>3</v>
      </c>
      <c r="C879" t="s">
        <v>41</v>
      </c>
      <c r="D879" s="24">
        <v>46082</v>
      </c>
      <c r="E879" t="s">
        <v>440</v>
      </c>
      <c r="F879" t="s">
        <v>6</v>
      </c>
      <c r="G879" t="s">
        <v>505</v>
      </c>
      <c r="H879" t="s">
        <v>505</v>
      </c>
      <c r="I879" t="s">
        <v>219</v>
      </c>
      <c r="J879" s="25">
        <v>1295</v>
      </c>
      <c r="K879" s="26">
        <v>206.07</v>
      </c>
      <c r="L879" s="26">
        <v>1.05</v>
      </c>
    </row>
    <row r="880" spans="1:12" ht="16" customHeight="1">
      <c r="A880" t="s">
        <v>428</v>
      </c>
      <c r="B880" t="s">
        <v>3</v>
      </c>
      <c r="C880" t="s">
        <v>41</v>
      </c>
      <c r="D880" s="24">
        <v>46082</v>
      </c>
      <c r="E880" t="s">
        <v>444</v>
      </c>
      <c r="F880" t="s">
        <v>6</v>
      </c>
      <c r="G880" t="s">
        <v>505</v>
      </c>
      <c r="H880" t="s">
        <v>505</v>
      </c>
      <c r="I880" t="s">
        <v>219</v>
      </c>
      <c r="J880" s="25">
        <v>14</v>
      </c>
      <c r="K880" s="26">
        <v>2.57</v>
      </c>
      <c r="L880" s="26">
        <v>0</v>
      </c>
    </row>
    <row r="881" spans="1:12" ht="16" customHeight="1">
      <c r="A881" t="s">
        <v>428</v>
      </c>
      <c r="B881" t="s">
        <v>3</v>
      </c>
      <c r="C881" t="s">
        <v>41</v>
      </c>
      <c r="D881" s="24">
        <v>46082</v>
      </c>
      <c r="E881" t="s">
        <v>448</v>
      </c>
      <c r="F881" t="s">
        <v>6</v>
      </c>
      <c r="G881" t="s">
        <v>505</v>
      </c>
      <c r="H881" t="s">
        <v>505</v>
      </c>
      <c r="I881" t="s">
        <v>219</v>
      </c>
      <c r="J881" s="25">
        <v>0</v>
      </c>
      <c r="K881" s="26">
        <v>0</v>
      </c>
      <c r="L881" s="26">
        <v>0</v>
      </c>
    </row>
    <row r="882" spans="1:12" ht="16" customHeight="1">
      <c r="A882" t="s">
        <v>428</v>
      </c>
      <c r="B882" t="s">
        <v>3</v>
      </c>
      <c r="C882" t="s">
        <v>41</v>
      </c>
      <c r="D882" s="24">
        <v>46082</v>
      </c>
      <c r="E882" t="s">
        <v>458</v>
      </c>
      <c r="F882" t="s">
        <v>6</v>
      </c>
      <c r="G882" t="s">
        <v>506</v>
      </c>
      <c r="H882" t="s">
        <v>506</v>
      </c>
      <c r="I882" t="s">
        <v>219</v>
      </c>
      <c r="J882" s="25">
        <v>161</v>
      </c>
      <c r="K882" s="26">
        <v>25.31</v>
      </c>
      <c r="L882" s="26">
        <v>0.56000000000000005</v>
      </c>
    </row>
    <row r="883" spans="1:12" ht="16" customHeight="1">
      <c r="A883" t="s">
        <v>428</v>
      </c>
      <c r="B883" t="s">
        <v>3</v>
      </c>
      <c r="C883" t="s">
        <v>41</v>
      </c>
      <c r="D883" s="24">
        <v>46082</v>
      </c>
      <c r="E883" t="s">
        <v>496</v>
      </c>
      <c r="F883" t="s">
        <v>6</v>
      </c>
      <c r="G883" t="s">
        <v>506</v>
      </c>
      <c r="H883" t="s">
        <v>506</v>
      </c>
      <c r="I883" t="s">
        <v>223</v>
      </c>
      <c r="J883" s="25">
        <v>0</v>
      </c>
      <c r="K883" s="26">
        <v>0</v>
      </c>
      <c r="L883" s="26">
        <v>0</v>
      </c>
    </row>
    <row r="884" spans="1:12" ht="16" customHeight="1">
      <c r="A884" t="s">
        <v>406</v>
      </c>
      <c r="B884" t="s">
        <v>4</v>
      </c>
      <c r="C884" t="s">
        <v>41</v>
      </c>
      <c r="D884" s="24">
        <v>46082</v>
      </c>
      <c r="E884" t="s">
        <v>431</v>
      </c>
      <c r="F884" t="s">
        <v>6</v>
      </c>
      <c r="G884" t="s">
        <v>505</v>
      </c>
      <c r="H884" t="s">
        <v>505</v>
      </c>
      <c r="I884" t="s">
        <v>212</v>
      </c>
      <c r="J884" s="25">
        <v>29487435</v>
      </c>
      <c r="K884" s="26">
        <v>4460519.54</v>
      </c>
      <c r="L884" s="26">
        <v>15145.92</v>
      </c>
    </row>
    <row r="885" spans="1:12" ht="16" customHeight="1">
      <c r="A885" t="s">
        <v>406</v>
      </c>
      <c r="B885" t="s">
        <v>4</v>
      </c>
      <c r="C885" t="s">
        <v>41</v>
      </c>
      <c r="D885" s="24">
        <v>46082</v>
      </c>
      <c r="E885" t="s">
        <v>435</v>
      </c>
      <c r="F885" t="s">
        <v>5</v>
      </c>
      <c r="G885" t="s">
        <v>510</v>
      </c>
      <c r="H885" t="s">
        <v>510</v>
      </c>
      <c r="I885" t="s">
        <v>212</v>
      </c>
      <c r="J885" s="25">
        <v>275929</v>
      </c>
      <c r="K885" s="26">
        <v>42198.77</v>
      </c>
      <c r="L885" s="26">
        <v>301.16000000000003</v>
      </c>
    </row>
    <row r="886" spans="1:12" ht="16" customHeight="1">
      <c r="A886" t="s">
        <v>406</v>
      </c>
      <c r="B886" t="s">
        <v>4</v>
      </c>
      <c r="C886" t="s">
        <v>41</v>
      </c>
      <c r="D886" s="24">
        <v>46082</v>
      </c>
      <c r="E886" t="s">
        <v>440</v>
      </c>
      <c r="F886" t="s">
        <v>6</v>
      </c>
      <c r="G886" t="s">
        <v>505</v>
      </c>
      <c r="H886" t="s">
        <v>505</v>
      </c>
      <c r="I886" t="s">
        <v>219</v>
      </c>
      <c r="J886" s="25">
        <v>2260</v>
      </c>
      <c r="K886" s="26">
        <v>350.53</v>
      </c>
      <c r="L886" s="26">
        <v>2.98</v>
      </c>
    </row>
    <row r="887" spans="1:12" ht="16" customHeight="1">
      <c r="A887" t="s">
        <v>406</v>
      </c>
      <c r="B887" t="s">
        <v>4</v>
      </c>
      <c r="C887" t="s">
        <v>41</v>
      </c>
      <c r="D887" s="24">
        <v>46082</v>
      </c>
      <c r="E887" t="s">
        <v>444</v>
      </c>
      <c r="F887" t="s">
        <v>6</v>
      </c>
      <c r="G887" t="s">
        <v>505</v>
      </c>
      <c r="H887" t="s">
        <v>505</v>
      </c>
      <c r="I887" t="s">
        <v>219</v>
      </c>
      <c r="J887" s="25">
        <v>5</v>
      </c>
      <c r="K887" s="26">
        <v>0.92</v>
      </c>
      <c r="L887" s="26">
        <v>0</v>
      </c>
    </row>
    <row r="888" spans="1:12" ht="16" customHeight="1">
      <c r="A888" t="s">
        <v>406</v>
      </c>
      <c r="B888" t="s">
        <v>4</v>
      </c>
      <c r="C888" t="s">
        <v>41</v>
      </c>
      <c r="D888" s="24">
        <v>46082</v>
      </c>
      <c r="E888" t="s">
        <v>448</v>
      </c>
      <c r="F888" t="s">
        <v>6</v>
      </c>
      <c r="G888" t="s">
        <v>505</v>
      </c>
      <c r="H888" t="s">
        <v>505</v>
      </c>
      <c r="I888" t="s">
        <v>219</v>
      </c>
      <c r="J888" s="25">
        <v>0</v>
      </c>
      <c r="K888" s="26">
        <v>0</v>
      </c>
      <c r="L888" s="26">
        <v>0</v>
      </c>
    </row>
    <row r="889" spans="1:12" ht="16" customHeight="1">
      <c r="A889" t="s">
        <v>406</v>
      </c>
      <c r="B889" t="s">
        <v>4</v>
      </c>
      <c r="C889" t="s">
        <v>41</v>
      </c>
      <c r="D889" s="24">
        <v>46082</v>
      </c>
      <c r="E889" t="s">
        <v>458</v>
      </c>
      <c r="F889" t="s">
        <v>6</v>
      </c>
      <c r="G889" t="s">
        <v>506</v>
      </c>
      <c r="H889" t="s">
        <v>506</v>
      </c>
      <c r="I889" t="s">
        <v>219</v>
      </c>
      <c r="J889" s="25">
        <v>186</v>
      </c>
      <c r="K889" s="26">
        <v>29.67</v>
      </c>
      <c r="L889" s="26">
        <v>0.61</v>
      </c>
    </row>
    <row r="890" spans="1:12" ht="16" customHeight="1">
      <c r="A890" t="s">
        <v>406</v>
      </c>
      <c r="B890" t="s">
        <v>4</v>
      </c>
      <c r="C890" t="s">
        <v>41</v>
      </c>
      <c r="D890" s="24">
        <v>46082</v>
      </c>
      <c r="E890" t="s">
        <v>496</v>
      </c>
      <c r="F890" t="s">
        <v>6</v>
      </c>
      <c r="G890" t="s">
        <v>506</v>
      </c>
      <c r="H890" t="s">
        <v>506</v>
      </c>
      <c r="I890" t="s">
        <v>223</v>
      </c>
      <c r="J890" s="25">
        <v>0</v>
      </c>
      <c r="K890" s="26">
        <v>0</v>
      </c>
      <c r="L890" s="26">
        <v>0</v>
      </c>
    </row>
    <row r="891" spans="1:12" ht="16" customHeight="1">
      <c r="A891" t="s">
        <v>429</v>
      </c>
      <c r="B891" t="s">
        <v>5</v>
      </c>
      <c r="C891" t="s">
        <v>41</v>
      </c>
      <c r="D891" s="24">
        <v>46082</v>
      </c>
      <c r="E891" t="s">
        <v>431</v>
      </c>
      <c r="F891" t="s">
        <v>6</v>
      </c>
      <c r="G891" t="s">
        <v>505</v>
      </c>
      <c r="H891" t="s">
        <v>505</v>
      </c>
      <c r="I891" t="s">
        <v>212</v>
      </c>
      <c r="J891" s="25">
        <v>116604116</v>
      </c>
      <c r="K891" s="26">
        <v>17867793.300000001</v>
      </c>
      <c r="L891" s="26">
        <v>41840.53</v>
      </c>
    </row>
    <row r="892" spans="1:12" ht="16" customHeight="1">
      <c r="A892" t="s">
        <v>429</v>
      </c>
      <c r="B892" t="s">
        <v>5</v>
      </c>
      <c r="C892" t="s">
        <v>41</v>
      </c>
      <c r="D892" s="24">
        <v>46082</v>
      </c>
      <c r="E892" t="s">
        <v>435</v>
      </c>
      <c r="F892" t="s">
        <v>5</v>
      </c>
      <c r="G892" t="s">
        <v>510</v>
      </c>
      <c r="H892" t="s">
        <v>510</v>
      </c>
      <c r="I892" t="s">
        <v>212</v>
      </c>
      <c r="J892" s="25">
        <v>548121</v>
      </c>
      <c r="K892" s="26">
        <v>84320.51</v>
      </c>
      <c r="L892" s="26">
        <v>501.99</v>
      </c>
    </row>
    <row r="893" spans="1:12" ht="16" customHeight="1">
      <c r="A893" t="s">
        <v>429</v>
      </c>
      <c r="B893" t="s">
        <v>5</v>
      </c>
      <c r="C893" t="s">
        <v>41</v>
      </c>
      <c r="D893" s="24">
        <v>46082</v>
      </c>
      <c r="E893" t="s">
        <v>440</v>
      </c>
      <c r="F893" t="s">
        <v>6</v>
      </c>
      <c r="G893" t="s">
        <v>505</v>
      </c>
      <c r="H893" t="s">
        <v>505</v>
      </c>
      <c r="I893" t="s">
        <v>219</v>
      </c>
      <c r="J893" s="25">
        <v>29994</v>
      </c>
      <c r="K893" s="26">
        <v>5295.76</v>
      </c>
      <c r="L893" s="26">
        <v>7.23</v>
      </c>
    </row>
    <row r="894" spans="1:12" ht="16" customHeight="1">
      <c r="A894" t="s">
        <v>429</v>
      </c>
      <c r="B894" t="s">
        <v>5</v>
      </c>
      <c r="C894" t="s">
        <v>41</v>
      </c>
      <c r="D894" s="24">
        <v>46082</v>
      </c>
      <c r="E894" t="s">
        <v>444</v>
      </c>
      <c r="F894" t="s">
        <v>6</v>
      </c>
      <c r="G894" t="s">
        <v>505</v>
      </c>
      <c r="H894" t="s">
        <v>505</v>
      </c>
      <c r="I894" t="s">
        <v>219</v>
      </c>
      <c r="J894" s="25">
        <v>4</v>
      </c>
      <c r="K894" s="26">
        <v>0.68</v>
      </c>
      <c r="L894" s="26">
        <v>0.01</v>
      </c>
    </row>
    <row r="895" spans="1:12" ht="16" customHeight="1">
      <c r="A895" t="s">
        <v>429</v>
      </c>
      <c r="B895" t="s">
        <v>5</v>
      </c>
      <c r="C895" t="s">
        <v>41</v>
      </c>
      <c r="D895" s="24">
        <v>46082</v>
      </c>
      <c r="E895" t="s">
        <v>448</v>
      </c>
      <c r="F895" t="s">
        <v>6</v>
      </c>
      <c r="G895" t="s">
        <v>505</v>
      </c>
      <c r="H895" t="s">
        <v>505</v>
      </c>
      <c r="I895" t="s">
        <v>219</v>
      </c>
      <c r="J895" s="25">
        <v>0</v>
      </c>
      <c r="K895" s="26">
        <v>0</v>
      </c>
      <c r="L895" s="26">
        <v>0</v>
      </c>
    </row>
    <row r="896" spans="1:12" ht="16" customHeight="1">
      <c r="A896" t="s">
        <v>429</v>
      </c>
      <c r="B896" t="s">
        <v>5</v>
      </c>
      <c r="C896" t="s">
        <v>41</v>
      </c>
      <c r="D896" s="24">
        <v>46082</v>
      </c>
      <c r="E896" t="s">
        <v>458</v>
      </c>
      <c r="F896" t="s">
        <v>6</v>
      </c>
      <c r="G896" t="s">
        <v>506</v>
      </c>
      <c r="H896" t="s">
        <v>506</v>
      </c>
      <c r="I896" t="s">
        <v>219</v>
      </c>
      <c r="J896" s="25">
        <v>1038</v>
      </c>
      <c r="K896" s="26">
        <v>164.52</v>
      </c>
      <c r="L896" s="26">
        <v>3.39</v>
      </c>
    </row>
    <row r="897" spans="1:12" ht="16" customHeight="1">
      <c r="A897" t="s">
        <v>429</v>
      </c>
      <c r="B897" t="s">
        <v>5</v>
      </c>
      <c r="C897" t="s">
        <v>41</v>
      </c>
      <c r="D897" s="24">
        <v>46082</v>
      </c>
      <c r="E897" t="s">
        <v>496</v>
      </c>
      <c r="F897" t="s">
        <v>6</v>
      </c>
      <c r="G897" t="s">
        <v>506</v>
      </c>
      <c r="H897" t="s">
        <v>506</v>
      </c>
      <c r="I897" t="s">
        <v>223</v>
      </c>
      <c r="J897" s="25">
        <v>0</v>
      </c>
      <c r="K897" s="26">
        <v>0</v>
      </c>
      <c r="L897" s="26">
        <v>0</v>
      </c>
    </row>
    <row r="898" spans="1:12" ht="16" customHeight="1">
      <c r="A898" t="s">
        <v>431</v>
      </c>
      <c r="B898" t="s">
        <v>6</v>
      </c>
      <c r="C898" t="s">
        <v>41</v>
      </c>
      <c r="D898" s="24">
        <v>46082</v>
      </c>
      <c r="E898" t="s">
        <v>431</v>
      </c>
      <c r="F898" t="s">
        <v>6</v>
      </c>
      <c r="G898" t="s">
        <v>505</v>
      </c>
      <c r="H898" t="s">
        <v>505</v>
      </c>
      <c r="I898" t="s">
        <v>212</v>
      </c>
      <c r="J898" s="25">
        <v>509485928</v>
      </c>
      <c r="K898" s="26">
        <v>76275035.650000006</v>
      </c>
      <c r="L898" s="26">
        <v>67531.22</v>
      </c>
    </row>
    <row r="899" spans="1:12" ht="16" customHeight="1">
      <c r="A899" t="s">
        <v>431</v>
      </c>
      <c r="B899" t="s">
        <v>6</v>
      </c>
      <c r="C899" t="s">
        <v>41</v>
      </c>
      <c r="D899" s="24">
        <v>46082</v>
      </c>
      <c r="E899" t="s">
        <v>435</v>
      </c>
      <c r="F899" t="s">
        <v>5</v>
      </c>
      <c r="G899" t="s">
        <v>510</v>
      </c>
      <c r="H899" t="s">
        <v>511</v>
      </c>
      <c r="I899" t="s">
        <v>212</v>
      </c>
      <c r="J899" s="25">
        <v>1730718</v>
      </c>
      <c r="K899" s="26">
        <v>262290.24</v>
      </c>
      <c r="L899" s="26">
        <v>1804.08</v>
      </c>
    </row>
    <row r="900" spans="1:12" ht="16" customHeight="1">
      <c r="A900" t="s">
        <v>431</v>
      </c>
      <c r="B900" t="s">
        <v>6</v>
      </c>
      <c r="C900" t="s">
        <v>41</v>
      </c>
      <c r="D900" s="24">
        <v>46082</v>
      </c>
      <c r="E900" t="s">
        <v>440</v>
      </c>
      <c r="F900" t="s">
        <v>6</v>
      </c>
      <c r="G900" t="s">
        <v>505</v>
      </c>
      <c r="H900" t="s">
        <v>505</v>
      </c>
      <c r="I900" t="s">
        <v>219</v>
      </c>
      <c r="J900" s="25">
        <v>10631</v>
      </c>
      <c r="K900" s="26">
        <v>1660.49</v>
      </c>
      <c r="L900" s="26">
        <v>12.52</v>
      </c>
    </row>
    <row r="901" spans="1:12" ht="16" customHeight="1">
      <c r="A901" t="s">
        <v>431</v>
      </c>
      <c r="B901" t="s">
        <v>6</v>
      </c>
      <c r="C901" t="s">
        <v>41</v>
      </c>
      <c r="D901" s="24">
        <v>46082</v>
      </c>
      <c r="E901" t="s">
        <v>444</v>
      </c>
      <c r="F901" t="s">
        <v>6</v>
      </c>
      <c r="G901" t="s">
        <v>505</v>
      </c>
      <c r="H901" t="s">
        <v>505</v>
      </c>
      <c r="I901" t="s">
        <v>219</v>
      </c>
      <c r="J901" s="25">
        <v>78</v>
      </c>
      <c r="K901" s="26">
        <v>13.16</v>
      </c>
      <c r="L901" s="26">
        <v>0.03</v>
      </c>
    </row>
    <row r="902" spans="1:12" ht="16" customHeight="1">
      <c r="A902" t="s">
        <v>431</v>
      </c>
      <c r="B902" t="s">
        <v>6</v>
      </c>
      <c r="C902" t="s">
        <v>41</v>
      </c>
      <c r="D902" s="24">
        <v>46082</v>
      </c>
      <c r="E902" t="s">
        <v>448</v>
      </c>
      <c r="F902" t="s">
        <v>6</v>
      </c>
      <c r="G902" t="s">
        <v>505</v>
      </c>
      <c r="H902" t="s">
        <v>505</v>
      </c>
      <c r="I902" t="s">
        <v>219</v>
      </c>
      <c r="J902" s="25">
        <v>0</v>
      </c>
      <c r="K902" s="26">
        <v>0</v>
      </c>
      <c r="L902" s="26">
        <v>0</v>
      </c>
    </row>
    <row r="903" spans="1:12" ht="16" customHeight="1">
      <c r="A903" t="s">
        <v>431</v>
      </c>
      <c r="B903" t="s">
        <v>6</v>
      </c>
      <c r="C903" t="s">
        <v>41</v>
      </c>
      <c r="D903" s="24">
        <v>46082</v>
      </c>
      <c r="E903" t="s">
        <v>458</v>
      </c>
      <c r="F903" t="s">
        <v>6</v>
      </c>
      <c r="G903" t="s">
        <v>506</v>
      </c>
      <c r="H903" t="s">
        <v>506</v>
      </c>
      <c r="I903" t="s">
        <v>219</v>
      </c>
      <c r="J903" s="25">
        <v>3030</v>
      </c>
      <c r="K903" s="26">
        <v>472.48</v>
      </c>
      <c r="L903" s="26">
        <v>11.32</v>
      </c>
    </row>
    <row r="904" spans="1:12" ht="16" customHeight="1">
      <c r="A904" t="s">
        <v>431</v>
      </c>
      <c r="B904" t="s">
        <v>6</v>
      </c>
      <c r="C904" t="s">
        <v>41</v>
      </c>
      <c r="D904" s="24">
        <v>46082</v>
      </c>
      <c r="E904" t="s">
        <v>496</v>
      </c>
      <c r="F904" t="s">
        <v>6</v>
      </c>
      <c r="G904" t="s">
        <v>506</v>
      </c>
      <c r="H904" t="s">
        <v>506</v>
      </c>
      <c r="I904" t="s">
        <v>223</v>
      </c>
      <c r="J904" s="25">
        <v>0</v>
      </c>
      <c r="K904" s="26">
        <v>0</v>
      </c>
      <c r="L904" s="26">
        <v>0</v>
      </c>
    </row>
    <row r="905" spans="1:12" ht="16" customHeight="1">
      <c r="A905" t="s">
        <v>432</v>
      </c>
      <c r="B905" t="s">
        <v>7</v>
      </c>
      <c r="C905" t="s">
        <v>41</v>
      </c>
      <c r="D905" s="24">
        <v>46082</v>
      </c>
      <c r="E905" t="s">
        <v>435</v>
      </c>
      <c r="F905" t="s">
        <v>5</v>
      </c>
      <c r="G905" t="s">
        <v>510</v>
      </c>
      <c r="H905" t="s">
        <v>511</v>
      </c>
      <c r="I905" t="s">
        <v>212</v>
      </c>
      <c r="J905" s="25">
        <v>15831269</v>
      </c>
      <c r="K905" s="26">
        <v>2391247.6800000002</v>
      </c>
      <c r="L905" s="26">
        <v>14853.18</v>
      </c>
    </row>
    <row r="906" spans="1:12" ht="16" customHeight="1">
      <c r="A906" t="s">
        <v>432</v>
      </c>
      <c r="B906" t="s">
        <v>7</v>
      </c>
      <c r="C906" t="s">
        <v>41</v>
      </c>
      <c r="D906" s="24">
        <v>46082</v>
      </c>
      <c r="E906" t="s">
        <v>440</v>
      </c>
      <c r="F906" t="s">
        <v>6</v>
      </c>
      <c r="G906" t="s">
        <v>505</v>
      </c>
      <c r="H906" t="s">
        <v>505</v>
      </c>
      <c r="I906" t="s">
        <v>219</v>
      </c>
      <c r="J906" s="25">
        <v>56885</v>
      </c>
      <c r="K906" s="26">
        <v>8862.2800000000007</v>
      </c>
      <c r="L906" s="26">
        <v>89.39</v>
      </c>
    </row>
    <row r="907" spans="1:12" ht="16" customHeight="1">
      <c r="A907" t="s">
        <v>432</v>
      </c>
      <c r="B907" t="s">
        <v>7</v>
      </c>
      <c r="C907" t="s">
        <v>41</v>
      </c>
      <c r="D907" s="24">
        <v>46082</v>
      </c>
      <c r="E907" t="s">
        <v>444</v>
      </c>
      <c r="F907" t="s">
        <v>6</v>
      </c>
      <c r="G907" t="s">
        <v>505</v>
      </c>
      <c r="H907" t="s">
        <v>505</v>
      </c>
      <c r="I907" t="s">
        <v>219</v>
      </c>
      <c r="J907" s="25">
        <v>2826</v>
      </c>
      <c r="K907" s="26">
        <v>510.04</v>
      </c>
      <c r="L907" s="26">
        <v>0.12</v>
      </c>
    </row>
    <row r="908" spans="1:12" ht="16" customHeight="1">
      <c r="A908" t="s">
        <v>432</v>
      </c>
      <c r="B908" t="s">
        <v>7</v>
      </c>
      <c r="C908" t="s">
        <v>41</v>
      </c>
      <c r="D908" s="24">
        <v>46082</v>
      </c>
      <c r="E908" t="s">
        <v>448</v>
      </c>
      <c r="F908" t="s">
        <v>6</v>
      </c>
      <c r="G908" t="s">
        <v>505</v>
      </c>
      <c r="H908" t="s">
        <v>505</v>
      </c>
      <c r="I908" t="s">
        <v>219</v>
      </c>
      <c r="J908" s="25">
        <v>5</v>
      </c>
      <c r="K908" s="26">
        <v>0.81</v>
      </c>
      <c r="L908" s="26">
        <v>0</v>
      </c>
    </row>
    <row r="909" spans="1:12" ht="16" customHeight="1">
      <c r="A909" t="s">
        <v>432</v>
      </c>
      <c r="B909" t="s">
        <v>7</v>
      </c>
      <c r="C909" t="s">
        <v>41</v>
      </c>
      <c r="D909" s="24">
        <v>46082</v>
      </c>
      <c r="E909" t="s">
        <v>458</v>
      </c>
      <c r="F909" t="s">
        <v>6</v>
      </c>
      <c r="G909" t="s">
        <v>506</v>
      </c>
      <c r="H909" t="s">
        <v>506</v>
      </c>
      <c r="I909" t="s">
        <v>219</v>
      </c>
      <c r="J909" s="25">
        <v>1941</v>
      </c>
      <c r="K909" s="26">
        <v>303.87</v>
      </c>
      <c r="L909" s="26">
        <v>6.8</v>
      </c>
    </row>
    <row r="910" spans="1:12" ht="16" customHeight="1">
      <c r="A910" t="s">
        <v>432</v>
      </c>
      <c r="B910" t="s">
        <v>7</v>
      </c>
      <c r="C910" t="s">
        <v>41</v>
      </c>
      <c r="D910" s="24">
        <v>46082</v>
      </c>
      <c r="E910" t="s">
        <v>496</v>
      </c>
      <c r="F910" t="s">
        <v>6</v>
      </c>
      <c r="G910" t="s">
        <v>506</v>
      </c>
      <c r="H910" t="s">
        <v>506</v>
      </c>
      <c r="I910" t="s">
        <v>223</v>
      </c>
      <c r="J910" s="25">
        <v>0</v>
      </c>
      <c r="K910" s="26">
        <v>0</v>
      </c>
      <c r="L910" s="26">
        <v>0</v>
      </c>
    </row>
    <row r="911" spans="1:12" ht="16" customHeight="1">
      <c r="A911" t="s">
        <v>433</v>
      </c>
      <c r="B911" t="s">
        <v>3</v>
      </c>
      <c r="C911" t="s">
        <v>42</v>
      </c>
      <c r="D911" s="24">
        <v>46082</v>
      </c>
      <c r="E911" t="s">
        <v>435</v>
      </c>
      <c r="F911" t="s">
        <v>5</v>
      </c>
      <c r="G911" t="s">
        <v>510</v>
      </c>
      <c r="H911" t="s">
        <v>511</v>
      </c>
      <c r="I911" t="s">
        <v>212</v>
      </c>
      <c r="J911" s="25">
        <v>16922314</v>
      </c>
      <c r="K911" s="26">
        <v>2490434.94</v>
      </c>
      <c r="L911" s="26">
        <v>15371.1</v>
      </c>
    </row>
    <row r="912" spans="1:12" ht="16" customHeight="1">
      <c r="A912" t="s">
        <v>433</v>
      </c>
      <c r="B912" t="s">
        <v>3</v>
      </c>
      <c r="C912" t="s">
        <v>42</v>
      </c>
      <c r="D912" s="24">
        <v>46082</v>
      </c>
      <c r="E912" t="s">
        <v>440</v>
      </c>
      <c r="F912" t="s">
        <v>6</v>
      </c>
      <c r="G912" t="s">
        <v>505</v>
      </c>
      <c r="H912" t="s">
        <v>505</v>
      </c>
      <c r="I912" t="s">
        <v>219</v>
      </c>
      <c r="J912" s="25">
        <v>85696</v>
      </c>
      <c r="K912" s="26">
        <v>12990.33</v>
      </c>
      <c r="L912" s="26">
        <v>196.72</v>
      </c>
    </row>
    <row r="913" spans="1:12" ht="16" customHeight="1">
      <c r="A913" t="s">
        <v>433</v>
      </c>
      <c r="B913" t="s">
        <v>3</v>
      </c>
      <c r="C913" t="s">
        <v>42</v>
      </c>
      <c r="D913" s="24">
        <v>46082</v>
      </c>
      <c r="E913" t="s">
        <v>444</v>
      </c>
      <c r="F913" t="s">
        <v>6</v>
      </c>
      <c r="G913" t="s">
        <v>505</v>
      </c>
      <c r="H913" t="s">
        <v>505</v>
      </c>
      <c r="I913" t="s">
        <v>219</v>
      </c>
      <c r="J913" s="25">
        <v>559</v>
      </c>
      <c r="K913" s="26">
        <v>87.03</v>
      </c>
      <c r="L913" s="26">
        <v>1.1299999999999999</v>
      </c>
    </row>
    <row r="914" spans="1:12" ht="16" customHeight="1">
      <c r="A914" t="s">
        <v>433</v>
      </c>
      <c r="B914" t="s">
        <v>3</v>
      </c>
      <c r="C914" t="s">
        <v>42</v>
      </c>
      <c r="D914" s="24">
        <v>46082</v>
      </c>
      <c r="E914" t="s">
        <v>448</v>
      </c>
      <c r="F914" t="s">
        <v>6</v>
      </c>
      <c r="G914" t="s">
        <v>505</v>
      </c>
      <c r="H914" t="s">
        <v>505</v>
      </c>
      <c r="I914" t="s">
        <v>219</v>
      </c>
      <c r="J914" s="25">
        <v>0</v>
      </c>
      <c r="K914" s="26">
        <v>0</v>
      </c>
      <c r="L914" s="26">
        <v>0</v>
      </c>
    </row>
    <row r="915" spans="1:12" ht="16" customHeight="1">
      <c r="A915" t="s">
        <v>433</v>
      </c>
      <c r="B915" t="s">
        <v>3</v>
      </c>
      <c r="C915" t="s">
        <v>42</v>
      </c>
      <c r="D915" s="24">
        <v>46082</v>
      </c>
      <c r="E915" t="s">
        <v>458</v>
      </c>
      <c r="F915" t="s">
        <v>6</v>
      </c>
      <c r="G915" t="s">
        <v>506</v>
      </c>
      <c r="H915" t="s">
        <v>506</v>
      </c>
      <c r="I915" t="s">
        <v>219</v>
      </c>
      <c r="J915" s="25">
        <v>4557</v>
      </c>
      <c r="K915" s="26">
        <v>701.92</v>
      </c>
      <c r="L915" s="26">
        <v>17.7</v>
      </c>
    </row>
    <row r="916" spans="1:12" ht="16" customHeight="1">
      <c r="A916" t="s">
        <v>433</v>
      </c>
      <c r="B916" t="s">
        <v>3</v>
      </c>
      <c r="C916" t="s">
        <v>42</v>
      </c>
      <c r="D916" s="24">
        <v>46082</v>
      </c>
      <c r="E916" t="s">
        <v>496</v>
      </c>
      <c r="F916" t="s">
        <v>6</v>
      </c>
      <c r="G916" t="s">
        <v>506</v>
      </c>
      <c r="H916" t="s">
        <v>506</v>
      </c>
      <c r="I916" t="s">
        <v>223</v>
      </c>
      <c r="J916" s="25">
        <v>0</v>
      </c>
      <c r="K916" s="26">
        <v>0</v>
      </c>
      <c r="L916" s="26">
        <v>0</v>
      </c>
    </row>
    <row r="917" spans="1:12" ht="16" customHeight="1">
      <c r="A917" t="s">
        <v>411</v>
      </c>
      <c r="B917" t="s">
        <v>4</v>
      </c>
      <c r="C917" t="s">
        <v>42</v>
      </c>
      <c r="D917" s="24">
        <v>46082</v>
      </c>
      <c r="E917" t="s">
        <v>435</v>
      </c>
      <c r="F917" t="s">
        <v>5</v>
      </c>
      <c r="G917" t="s">
        <v>510</v>
      </c>
      <c r="H917" t="s">
        <v>511</v>
      </c>
      <c r="I917" t="s">
        <v>212</v>
      </c>
      <c r="J917" s="25">
        <v>41456574</v>
      </c>
      <c r="K917" s="26">
        <v>6136865.1200000001</v>
      </c>
      <c r="L917" s="26">
        <v>20984.49</v>
      </c>
    </row>
    <row r="918" spans="1:12" ht="16" customHeight="1">
      <c r="A918" t="s">
        <v>411</v>
      </c>
      <c r="B918" t="s">
        <v>4</v>
      </c>
      <c r="C918" t="s">
        <v>42</v>
      </c>
      <c r="D918" s="24">
        <v>46082</v>
      </c>
      <c r="E918" t="s">
        <v>440</v>
      </c>
      <c r="F918" t="s">
        <v>6</v>
      </c>
      <c r="G918" t="s">
        <v>505</v>
      </c>
      <c r="H918" t="s">
        <v>505</v>
      </c>
      <c r="I918" t="s">
        <v>219</v>
      </c>
      <c r="J918" s="25">
        <v>269766</v>
      </c>
      <c r="K918" s="26">
        <v>40709.620000000003</v>
      </c>
      <c r="L918" s="26">
        <v>523.66</v>
      </c>
    </row>
    <row r="919" spans="1:12" ht="16" customHeight="1">
      <c r="A919" t="s">
        <v>411</v>
      </c>
      <c r="B919" t="s">
        <v>4</v>
      </c>
      <c r="C919" t="s">
        <v>42</v>
      </c>
      <c r="D919" s="24">
        <v>46082</v>
      </c>
      <c r="E919" t="s">
        <v>444</v>
      </c>
      <c r="F919" t="s">
        <v>6</v>
      </c>
      <c r="G919" t="s">
        <v>505</v>
      </c>
      <c r="H919" t="s">
        <v>505</v>
      </c>
      <c r="I919" t="s">
        <v>219</v>
      </c>
      <c r="J919" s="25">
        <v>2330</v>
      </c>
      <c r="K919" s="26">
        <v>354.06</v>
      </c>
      <c r="L919" s="26">
        <v>7.31</v>
      </c>
    </row>
    <row r="920" spans="1:12" ht="16" customHeight="1">
      <c r="A920" t="s">
        <v>411</v>
      </c>
      <c r="B920" t="s">
        <v>4</v>
      </c>
      <c r="C920" t="s">
        <v>42</v>
      </c>
      <c r="D920" s="24">
        <v>46082</v>
      </c>
      <c r="E920" t="s">
        <v>448</v>
      </c>
      <c r="F920" t="s">
        <v>6</v>
      </c>
      <c r="G920" t="s">
        <v>505</v>
      </c>
      <c r="H920" t="s">
        <v>505</v>
      </c>
      <c r="I920" t="s">
        <v>219</v>
      </c>
      <c r="J920" s="25">
        <v>0</v>
      </c>
      <c r="K920" s="26">
        <v>0</v>
      </c>
      <c r="L920" s="26">
        <v>0</v>
      </c>
    </row>
    <row r="921" spans="1:12" ht="16" customHeight="1">
      <c r="A921" t="s">
        <v>411</v>
      </c>
      <c r="B921" t="s">
        <v>4</v>
      </c>
      <c r="C921" t="s">
        <v>42</v>
      </c>
      <c r="D921" s="24">
        <v>46082</v>
      </c>
      <c r="E921" t="s">
        <v>458</v>
      </c>
      <c r="F921" t="s">
        <v>6</v>
      </c>
      <c r="G921" t="s">
        <v>506</v>
      </c>
      <c r="H921" t="s">
        <v>506</v>
      </c>
      <c r="I921" t="s">
        <v>219</v>
      </c>
      <c r="J921" s="25">
        <v>3386</v>
      </c>
      <c r="K921" s="26">
        <v>523.48</v>
      </c>
      <c r="L921" s="26">
        <v>12.51</v>
      </c>
    </row>
    <row r="922" spans="1:12" ht="16" customHeight="1">
      <c r="A922" t="s">
        <v>411</v>
      </c>
      <c r="B922" t="s">
        <v>4</v>
      </c>
      <c r="C922" t="s">
        <v>42</v>
      </c>
      <c r="D922" s="24">
        <v>46082</v>
      </c>
      <c r="E922" t="s">
        <v>496</v>
      </c>
      <c r="F922" t="s">
        <v>6</v>
      </c>
      <c r="G922" t="s">
        <v>506</v>
      </c>
      <c r="H922" t="s">
        <v>506</v>
      </c>
      <c r="I922" t="s">
        <v>223</v>
      </c>
      <c r="J922" s="25">
        <v>0</v>
      </c>
      <c r="K922" s="26">
        <v>0</v>
      </c>
      <c r="L922" s="26">
        <v>0</v>
      </c>
    </row>
    <row r="923" spans="1:12" ht="16" customHeight="1">
      <c r="A923" t="s">
        <v>435</v>
      </c>
      <c r="B923" t="s">
        <v>5</v>
      </c>
      <c r="C923" t="s">
        <v>42</v>
      </c>
      <c r="D923" s="24">
        <v>46082</v>
      </c>
      <c r="E923" t="s">
        <v>435</v>
      </c>
      <c r="F923" t="s">
        <v>5</v>
      </c>
      <c r="G923" t="s">
        <v>510</v>
      </c>
      <c r="H923" t="s">
        <v>511</v>
      </c>
      <c r="I923" t="s">
        <v>212</v>
      </c>
      <c r="J923" s="25">
        <v>480650155</v>
      </c>
      <c r="K923" s="26">
        <v>72441237.810000002</v>
      </c>
      <c r="L923" s="26">
        <v>69545.039999999994</v>
      </c>
    </row>
    <row r="924" spans="1:12" ht="16" customHeight="1">
      <c r="A924" t="s">
        <v>435</v>
      </c>
      <c r="B924" t="s">
        <v>5</v>
      </c>
      <c r="C924" t="s">
        <v>42</v>
      </c>
      <c r="D924" s="24">
        <v>46082</v>
      </c>
      <c r="E924" t="s">
        <v>440</v>
      </c>
      <c r="F924" t="s">
        <v>6</v>
      </c>
      <c r="G924" t="s">
        <v>505</v>
      </c>
      <c r="H924" t="s">
        <v>505</v>
      </c>
      <c r="I924" t="s">
        <v>219</v>
      </c>
      <c r="J924" s="25">
        <v>1156117</v>
      </c>
      <c r="K924" s="26">
        <v>174468.56</v>
      </c>
      <c r="L924" s="26">
        <v>1477.82</v>
      </c>
    </row>
    <row r="925" spans="1:12" ht="16" customHeight="1">
      <c r="A925" t="s">
        <v>435</v>
      </c>
      <c r="B925" t="s">
        <v>5</v>
      </c>
      <c r="C925" t="s">
        <v>42</v>
      </c>
      <c r="D925" s="24">
        <v>46082</v>
      </c>
      <c r="E925" t="s">
        <v>444</v>
      </c>
      <c r="F925" t="s">
        <v>6</v>
      </c>
      <c r="G925" t="s">
        <v>505</v>
      </c>
      <c r="H925" t="s">
        <v>505</v>
      </c>
      <c r="I925" t="s">
        <v>219</v>
      </c>
      <c r="J925" s="25">
        <v>3169</v>
      </c>
      <c r="K925" s="26">
        <v>486.74</v>
      </c>
      <c r="L925" s="26">
        <v>5.99</v>
      </c>
    </row>
    <row r="926" spans="1:12" ht="16" customHeight="1">
      <c r="A926" t="s">
        <v>435</v>
      </c>
      <c r="B926" t="s">
        <v>5</v>
      </c>
      <c r="C926" t="s">
        <v>42</v>
      </c>
      <c r="D926" s="24">
        <v>46082</v>
      </c>
      <c r="E926" t="s">
        <v>448</v>
      </c>
      <c r="F926" t="s">
        <v>6</v>
      </c>
      <c r="G926" t="s">
        <v>505</v>
      </c>
      <c r="H926" t="s">
        <v>505</v>
      </c>
      <c r="I926" t="s">
        <v>219</v>
      </c>
      <c r="J926" s="25">
        <v>8</v>
      </c>
      <c r="K926" s="26">
        <v>1.26</v>
      </c>
      <c r="L926" s="26">
        <v>0.02</v>
      </c>
    </row>
    <row r="927" spans="1:12" ht="16" customHeight="1">
      <c r="A927" t="s">
        <v>435</v>
      </c>
      <c r="B927" t="s">
        <v>5</v>
      </c>
      <c r="C927" t="s">
        <v>42</v>
      </c>
      <c r="D927" s="24">
        <v>46082</v>
      </c>
      <c r="E927" t="s">
        <v>458</v>
      </c>
      <c r="F927" t="s">
        <v>6</v>
      </c>
      <c r="G927" t="s">
        <v>506</v>
      </c>
      <c r="H927" t="s">
        <v>506</v>
      </c>
      <c r="I927" t="s">
        <v>219</v>
      </c>
      <c r="J927" s="25">
        <v>7293</v>
      </c>
      <c r="K927" s="26">
        <v>1140.55</v>
      </c>
      <c r="L927" s="26">
        <v>23.98</v>
      </c>
    </row>
    <row r="928" spans="1:12" ht="16" customHeight="1">
      <c r="A928" t="s">
        <v>435</v>
      </c>
      <c r="B928" t="s">
        <v>5</v>
      </c>
      <c r="C928" t="s">
        <v>42</v>
      </c>
      <c r="D928" s="24">
        <v>46082</v>
      </c>
      <c r="E928" t="s">
        <v>496</v>
      </c>
      <c r="F928" t="s">
        <v>6</v>
      </c>
      <c r="G928" t="s">
        <v>506</v>
      </c>
      <c r="H928" t="s">
        <v>506</v>
      </c>
      <c r="I928" t="s">
        <v>223</v>
      </c>
      <c r="J928" s="25">
        <v>0</v>
      </c>
      <c r="K928" s="26">
        <v>0</v>
      </c>
      <c r="L928" s="26">
        <v>0</v>
      </c>
    </row>
    <row r="929" spans="1:12" ht="16" customHeight="1">
      <c r="A929" t="s">
        <v>437</v>
      </c>
      <c r="B929" t="s">
        <v>7</v>
      </c>
      <c r="C929" t="s">
        <v>42</v>
      </c>
      <c r="D929" s="24">
        <v>46082</v>
      </c>
      <c r="E929" t="s">
        <v>440</v>
      </c>
      <c r="F929" t="s">
        <v>6</v>
      </c>
      <c r="G929" t="s">
        <v>505</v>
      </c>
      <c r="H929" t="s">
        <v>505</v>
      </c>
      <c r="I929" t="s">
        <v>219</v>
      </c>
      <c r="J929" s="25">
        <v>8647743</v>
      </c>
      <c r="K929" s="26">
        <v>1293592.72</v>
      </c>
      <c r="L929" s="26">
        <v>9975.35</v>
      </c>
    </row>
    <row r="930" spans="1:12" ht="16" customHeight="1">
      <c r="A930" t="s">
        <v>437</v>
      </c>
      <c r="B930" t="s">
        <v>7</v>
      </c>
      <c r="C930" t="s">
        <v>42</v>
      </c>
      <c r="D930" s="24">
        <v>46082</v>
      </c>
      <c r="E930" t="s">
        <v>444</v>
      </c>
      <c r="F930" t="s">
        <v>6</v>
      </c>
      <c r="G930" t="s">
        <v>505</v>
      </c>
      <c r="H930" t="s">
        <v>505</v>
      </c>
      <c r="I930" t="s">
        <v>219</v>
      </c>
      <c r="J930" s="25">
        <v>15550</v>
      </c>
      <c r="K930" s="26">
        <v>2365.2199999999998</v>
      </c>
      <c r="L930" s="26">
        <v>38.35</v>
      </c>
    </row>
    <row r="931" spans="1:12" ht="16" customHeight="1">
      <c r="A931" t="s">
        <v>437</v>
      </c>
      <c r="B931" t="s">
        <v>7</v>
      </c>
      <c r="C931" t="s">
        <v>42</v>
      </c>
      <c r="D931" s="24">
        <v>46082</v>
      </c>
      <c r="E931" t="s">
        <v>448</v>
      </c>
      <c r="F931" t="s">
        <v>6</v>
      </c>
      <c r="G931" t="s">
        <v>505</v>
      </c>
      <c r="H931" t="s">
        <v>505</v>
      </c>
      <c r="I931" t="s">
        <v>219</v>
      </c>
      <c r="J931" s="25">
        <v>0</v>
      </c>
      <c r="K931" s="26">
        <v>0</v>
      </c>
      <c r="L931" s="26">
        <v>0</v>
      </c>
    </row>
    <row r="932" spans="1:12" ht="16" customHeight="1">
      <c r="A932" t="s">
        <v>437</v>
      </c>
      <c r="B932" t="s">
        <v>7</v>
      </c>
      <c r="C932" t="s">
        <v>42</v>
      </c>
      <c r="D932" s="24">
        <v>46082</v>
      </c>
      <c r="E932" t="s">
        <v>458</v>
      </c>
      <c r="F932" t="s">
        <v>6</v>
      </c>
      <c r="G932" t="s">
        <v>506</v>
      </c>
      <c r="H932" t="s">
        <v>506</v>
      </c>
      <c r="I932" t="s">
        <v>219</v>
      </c>
      <c r="J932" s="25">
        <v>10052</v>
      </c>
      <c r="K932" s="26">
        <v>1545.36</v>
      </c>
      <c r="L932" s="26">
        <v>38.659999999999997</v>
      </c>
    </row>
    <row r="933" spans="1:12" ht="16" customHeight="1">
      <c r="A933" t="s">
        <v>437</v>
      </c>
      <c r="B933" t="s">
        <v>7</v>
      </c>
      <c r="C933" t="s">
        <v>42</v>
      </c>
      <c r="D933" s="24">
        <v>46082</v>
      </c>
      <c r="E933" t="s">
        <v>496</v>
      </c>
      <c r="F933" t="s">
        <v>6</v>
      </c>
      <c r="G933" t="s">
        <v>506</v>
      </c>
      <c r="H933" t="s">
        <v>506</v>
      </c>
      <c r="I933" t="s">
        <v>223</v>
      </c>
      <c r="J933" s="25">
        <v>0</v>
      </c>
      <c r="K933" s="26">
        <v>0</v>
      </c>
      <c r="L933" s="26">
        <v>0</v>
      </c>
    </row>
    <row r="934" spans="1:12" ht="16" customHeight="1">
      <c r="A934" t="s">
        <v>357</v>
      </c>
      <c r="B934" t="s">
        <v>3</v>
      </c>
      <c r="C934" t="s">
        <v>43</v>
      </c>
      <c r="D934" s="24">
        <v>46082</v>
      </c>
      <c r="E934" t="s">
        <v>440</v>
      </c>
      <c r="F934" t="s">
        <v>6</v>
      </c>
      <c r="G934" t="s">
        <v>505</v>
      </c>
      <c r="H934" t="s">
        <v>505</v>
      </c>
      <c r="I934" t="s">
        <v>219</v>
      </c>
      <c r="J934" s="25">
        <v>16149325</v>
      </c>
      <c r="K934" s="26">
        <v>2365694.63</v>
      </c>
      <c r="L934" s="26">
        <v>12634.05</v>
      </c>
    </row>
    <row r="935" spans="1:12" ht="16" customHeight="1">
      <c r="A935" t="s">
        <v>357</v>
      </c>
      <c r="B935" t="s">
        <v>3</v>
      </c>
      <c r="C935" t="s">
        <v>43</v>
      </c>
      <c r="D935" s="24">
        <v>46082</v>
      </c>
      <c r="E935" t="s">
        <v>444</v>
      </c>
      <c r="F935" t="s">
        <v>6</v>
      </c>
      <c r="G935" t="s">
        <v>505</v>
      </c>
      <c r="H935" t="s">
        <v>505</v>
      </c>
      <c r="I935" t="s">
        <v>219</v>
      </c>
      <c r="J935" s="25">
        <v>58041</v>
      </c>
      <c r="K935" s="26">
        <v>8619.86</v>
      </c>
      <c r="L935" s="26">
        <v>120.2</v>
      </c>
    </row>
    <row r="936" spans="1:12" ht="16" customHeight="1">
      <c r="A936" t="s">
        <v>357</v>
      </c>
      <c r="B936" t="s">
        <v>3</v>
      </c>
      <c r="C936" t="s">
        <v>43</v>
      </c>
      <c r="D936" s="24">
        <v>46082</v>
      </c>
      <c r="E936" t="s">
        <v>448</v>
      </c>
      <c r="F936" t="s">
        <v>6</v>
      </c>
      <c r="G936" t="s">
        <v>505</v>
      </c>
      <c r="H936" t="s">
        <v>505</v>
      </c>
      <c r="I936" t="s">
        <v>219</v>
      </c>
      <c r="J936" s="25">
        <v>52</v>
      </c>
      <c r="K936" s="26">
        <v>7.81</v>
      </c>
      <c r="L936" s="26">
        <v>0.06</v>
      </c>
    </row>
    <row r="937" spans="1:12" ht="16" customHeight="1">
      <c r="A937" t="s">
        <v>357</v>
      </c>
      <c r="B937" t="s">
        <v>3</v>
      </c>
      <c r="C937" t="s">
        <v>43</v>
      </c>
      <c r="D937" s="24">
        <v>46082</v>
      </c>
      <c r="E937" t="s">
        <v>458</v>
      </c>
      <c r="F937" t="s">
        <v>6</v>
      </c>
      <c r="G937" t="s">
        <v>506</v>
      </c>
      <c r="H937" t="s">
        <v>506</v>
      </c>
      <c r="I937" t="s">
        <v>219</v>
      </c>
      <c r="J937" s="25">
        <v>9991</v>
      </c>
      <c r="K937" s="26">
        <v>1526.53</v>
      </c>
      <c r="L937" s="26">
        <v>33.17</v>
      </c>
    </row>
    <row r="938" spans="1:12" ht="16" customHeight="1">
      <c r="A938" t="s">
        <v>357</v>
      </c>
      <c r="B938" t="s">
        <v>3</v>
      </c>
      <c r="C938" t="s">
        <v>43</v>
      </c>
      <c r="D938" s="24">
        <v>46082</v>
      </c>
      <c r="E938" t="s">
        <v>462</v>
      </c>
      <c r="F938" t="s">
        <v>6</v>
      </c>
      <c r="G938" t="s">
        <v>505</v>
      </c>
      <c r="H938" t="s">
        <v>505</v>
      </c>
      <c r="I938" t="s">
        <v>221</v>
      </c>
      <c r="J938" s="25">
        <v>3</v>
      </c>
      <c r="K938" s="26">
        <v>0.46</v>
      </c>
      <c r="L938" s="26">
        <v>0.02</v>
      </c>
    </row>
    <row r="939" spans="1:12" ht="16" customHeight="1">
      <c r="A939" t="s">
        <v>357</v>
      </c>
      <c r="B939" t="s">
        <v>3</v>
      </c>
      <c r="C939" t="s">
        <v>43</v>
      </c>
      <c r="D939" s="24">
        <v>46082</v>
      </c>
      <c r="E939" t="s">
        <v>475</v>
      </c>
      <c r="F939" t="s">
        <v>5</v>
      </c>
      <c r="G939" t="s">
        <v>510</v>
      </c>
      <c r="H939" t="s">
        <v>510</v>
      </c>
      <c r="I939" t="s">
        <v>221</v>
      </c>
      <c r="J939" s="25">
        <v>1</v>
      </c>
      <c r="K939" s="26">
        <v>0.15</v>
      </c>
      <c r="L939" s="26">
        <v>0.01</v>
      </c>
    </row>
    <row r="940" spans="1:12" ht="16" customHeight="1">
      <c r="A940" t="s">
        <v>357</v>
      </c>
      <c r="B940" t="s">
        <v>3</v>
      </c>
      <c r="C940" t="s">
        <v>43</v>
      </c>
      <c r="D940" s="24">
        <v>46082</v>
      </c>
      <c r="E940" t="s">
        <v>496</v>
      </c>
      <c r="F940" t="s">
        <v>6</v>
      </c>
      <c r="G940" t="s">
        <v>506</v>
      </c>
      <c r="H940" t="s">
        <v>506</v>
      </c>
      <c r="I940" t="s">
        <v>223</v>
      </c>
      <c r="J940" s="25">
        <v>0</v>
      </c>
      <c r="K940" s="26">
        <v>0</v>
      </c>
      <c r="L940" s="26">
        <v>0</v>
      </c>
    </row>
    <row r="941" spans="1:12" ht="16" customHeight="1">
      <c r="A941" t="s">
        <v>438</v>
      </c>
      <c r="B941" t="s">
        <v>5</v>
      </c>
      <c r="C941" t="s">
        <v>44</v>
      </c>
      <c r="D941" s="24">
        <v>46113</v>
      </c>
      <c r="E941" t="s">
        <v>440</v>
      </c>
      <c r="F941" t="s">
        <v>6</v>
      </c>
      <c r="G941" t="s">
        <v>505</v>
      </c>
      <c r="H941" t="s">
        <v>505</v>
      </c>
      <c r="I941" t="s">
        <v>212</v>
      </c>
      <c r="J941" s="25">
        <v>104241385</v>
      </c>
      <c r="K941" s="26">
        <v>15346754.68</v>
      </c>
      <c r="L941" s="26">
        <v>43037.36</v>
      </c>
    </row>
    <row r="942" spans="1:12" ht="16" customHeight="1">
      <c r="A942" t="s">
        <v>438</v>
      </c>
      <c r="B942" t="s">
        <v>5</v>
      </c>
      <c r="C942" t="s">
        <v>44</v>
      </c>
      <c r="D942" s="24">
        <v>46113</v>
      </c>
      <c r="E942" t="s">
        <v>444</v>
      </c>
      <c r="F942" t="s">
        <v>6</v>
      </c>
      <c r="G942" t="s">
        <v>505</v>
      </c>
      <c r="H942" t="s">
        <v>505</v>
      </c>
      <c r="I942" t="s">
        <v>212</v>
      </c>
      <c r="J942" s="25">
        <v>250478</v>
      </c>
      <c r="K942" s="26">
        <v>37462.800000000003</v>
      </c>
      <c r="L942" s="26">
        <v>382.36</v>
      </c>
    </row>
    <row r="943" spans="1:12" ht="16" customHeight="1">
      <c r="A943" t="s">
        <v>438</v>
      </c>
      <c r="B943" t="s">
        <v>5</v>
      </c>
      <c r="C943" t="s">
        <v>44</v>
      </c>
      <c r="D943" s="24">
        <v>46113</v>
      </c>
      <c r="E943" t="s">
        <v>448</v>
      </c>
      <c r="F943" t="s">
        <v>6</v>
      </c>
      <c r="G943" t="s">
        <v>505</v>
      </c>
      <c r="H943" t="s">
        <v>505</v>
      </c>
      <c r="I943" t="s">
        <v>212</v>
      </c>
      <c r="J943" s="25">
        <v>376</v>
      </c>
      <c r="K943" s="26">
        <v>56.23</v>
      </c>
      <c r="L943" s="26">
        <v>0.85</v>
      </c>
    </row>
    <row r="944" spans="1:12" ht="16" customHeight="1">
      <c r="A944" t="s">
        <v>438</v>
      </c>
      <c r="B944" t="s">
        <v>5</v>
      </c>
      <c r="C944" t="s">
        <v>44</v>
      </c>
      <c r="D944" s="24">
        <v>46113</v>
      </c>
      <c r="E944" t="s">
        <v>453</v>
      </c>
      <c r="F944" t="s">
        <v>6</v>
      </c>
      <c r="G944" t="s">
        <v>505</v>
      </c>
      <c r="H944" t="s">
        <v>505</v>
      </c>
      <c r="I944" t="s">
        <v>212</v>
      </c>
      <c r="J944" s="25">
        <v>22</v>
      </c>
      <c r="K944" s="26">
        <v>3.33</v>
      </c>
      <c r="L944" s="26">
        <v>0.05</v>
      </c>
    </row>
    <row r="945" spans="1:12" ht="16" customHeight="1">
      <c r="A945" t="s">
        <v>438</v>
      </c>
      <c r="B945" t="s">
        <v>5</v>
      </c>
      <c r="C945" t="s">
        <v>44</v>
      </c>
      <c r="D945" s="24">
        <v>46113</v>
      </c>
      <c r="E945" t="s">
        <v>458</v>
      </c>
      <c r="F945" t="s">
        <v>6</v>
      </c>
      <c r="G945" t="s">
        <v>506</v>
      </c>
      <c r="H945" t="s">
        <v>506</v>
      </c>
      <c r="I945" t="s">
        <v>212</v>
      </c>
      <c r="J945" s="25">
        <v>12219</v>
      </c>
      <c r="K945" s="26">
        <v>1868.41</v>
      </c>
      <c r="L945" s="26">
        <v>34.25</v>
      </c>
    </row>
    <row r="946" spans="1:12" ht="16" customHeight="1">
      <c r="A946" t="s">
        <v>438</v>
      </c>
      <c r="B946" t="s">
        <v>5</v>
      </c>
      <c r="C946" t="s">
        <v>44</v>
      </c>
      <c r="D946" s="24">
        <v>46113</v>
      </c>
      <c r="E946" t="s">
        <v>462</v>
      </c>
      <c r="F946" t="s">
        <v>6</v>
      </c>
      <c r="G946" t="s">
        <v>505</v>
      </c>
      <c r="H946" t="s">
        <v>505</v>
      </c>
      <c r="I946" t="s">
        <v>219</v>
      </c>
      <c r="J946" s="25">
        <v>1</v>
      </c>
      <c r="K946" s="26">
        <v>0.16</v>
      </c>
      <c r="L946" s="26">
        <v>0</v>
      </c>
    </row>
    <row r="947" spans="1:12" ht="16" customHeight="1">
      <c r="A947" t="s">
        <v>438</v>
      </c>
      <c r="B947" t="s">
        <v>5</v>
      </c>
      <c r="C947" t="s">
        <v>44</v>
      </c>
      <c r="D947" s="24">
        <v>46113</v>
      </c>
      <c r="E947" t="s">
        <v>475</v>
      </c>
      <c r="F947" t="s">
        <v>5</v>
      </c>
      <c r="G947" t="s">
        <v>510</v>
      </c>
      <c r="H947" t="s">
        <v>510</v>
      </c>
      <c r="I947" t="s">
        <v>219</v>
      </c>
      <c r="J947" s="25">
        <v>1</v>
      </c>
      <c r="K947" s="26">
        <v>0.15</v>
      </c>
      <c r="L947" s="26">
        <v>0.01</v>
      </c>
    </row>
    <row r="948" spans="1:12" ht="16" customHeight="1">
      <c r="A948" t="s">
        <v>438</v>
      </c>
      <c r="B948" t="s">
        <v>5</v>
      </c>
      <c r="C948" t="s">
        <v>44</v>
      </c>
      <c r="D948" s="24">
        <v>46113</v>
      </c>
      <c r="E948" t="s">
        <v>496</v>
      </c>
      <c r="F948" t="s">
        <v>6</v>
      </c>
      <c r="G948" t="s">
        <v>506</v>
      </c>
      <c r="H948" t="s">
        <v>506</v>
      </c>
      <c r="I948" t="s">
        <v>221</v>
      </c>
      <c r="J948" s="25">
        <v>0</v>
      </c>
      <c r="K948" s="26">
        <v>0</v>
      </c>
      <c r="L948" s="26">
        <v>0</v>
      </c>
    </row>
    <row r="949" spans="1:12" ht="16" customHeight="1">
      <c r="A949" t="s">
        <v>440</v>
      </c>
      <c r="B949" t="s">
        <v>6</v>
      </c>
      <c r="C949" t="s">
        <v>44</v>
      </c>
      <c r="D949" s="24">
        <v>46113</v>
      </c>
      <c r="E949" t="s">
        <v>440</v>
      </c>
      <c r="F949" t="s">
        <v>6</v>
      </c>
      <c r="G949" t="s">
        <v>505</v>
      </c>
      <c r="H949" t="s">
        <v>505</v>
      </c>
      <c r="I949" t="s">
        <v>212</v>
      </c>
      <c r="J949" s="25">
        <v>599549226</v>
      </c>
      <c r="K949" s="26">
        <v>87065709.450000003</v>
      </c>
      <c r="L949" s="26">
        <v>83294</v>
      </c>
    </row>
    <row r="950" spans="1:12" ht="16" customHeight="1">
      <c r="A950" t="s">
        <v>440</v>
      </c>
      <c r="B950" t="s">
        <v>6</v>
      </c>
      <c r="C950" t="s">
        <v>44</v>
      </c>
      <c r="D950" s="24">
        <v>46113</v>
      </c>
      <c r="E950" t="s">
        <v>444</v>
      </c>
      <c r="F950" t="s">
        <v>6</v>
      </c>
      <c r="G950" t="s">
        <v>505</v>
      </c>
      <c r="H950" t="s">
        <v>505</v>
      </c>
      <c r="I950" t="s">
        <v>212</v>
      </c>
      <c r="J950" s="25">
        <v>1494154</v>
      </c>
      <c r="K950" s="26">
        <v>219351.21</v>
      </c>
      <c r="L950" s="26">
        <v>1866.6</v>
      </c>
    </row>
    <row r="951" spans="1:12" ht="16" customHeight="1">
      <c r="A951" t="s">
        <v>440</v>
      </c>
      <c r="B951" t="s">
        <v>6</v>
      </c>
      <c r="C951" t="s">
        <v>44</v>
      </c>
      <c r="D951" s="24">
        <v>46113</v>
      </c>
      <c r="E951" t="s">
        <v>448</v>
      </c>
      <c r="F951" t="s">
        <v>6</v>
      </c>
      <c r="G951" t="s">
        <v>505</v>
      </c>
      <c r="H951" t="s">
        <v>505</v>
      </c>
      <c r="I951" t="s">
        <v>212</v>
      </c>
      <c r="J951" s="25">
        <v>6848</v>
      </c>
      <c r="K951" s="26">
        <v>1134.76</v>
      </c>
      <c r="L951" s="26">
        <v>5.54</v>
      </c>
    </row>
    <row r="952" spans="1:12" ht="16" customHeight="1">
      <c r="A952" t="s">
        <v>440</v>
      </c>
      <c r="B952" t="s">
        <v>6</v>
      </c>
      <c r="C952" t="s">
        <v>44</v>
      </c>
      <c r="D952" s="24">
        <v>46113</v>
      </c>
      <c r="E952" t="s">
        <v>453</v>
      </c>
      <c r="F952" t="s">
        <v>6</v>
      </c>
      <c r="G952" t="s">
        <v>505</v>
      </c>
      <c r="H952" t="s">
        <v>505</v>
      </c>
      <c r="I952" t="s">
        <v>212</v>
      </c>
      <c r="J952" s="25">
        <v>33</v>
      </c>
      <c r="K952" s="26">
        <v>5.14</v>
      </c>
      <c r="L952" s="26">
        <v>0.06</v>
      </c>
    </row>
    <row r="953" spans="1:12" ht="16" customHeight="1">
      <c r="A953" t="s">
        <v>440</v>
      </c>
      <c r="B953" t="s">
        <v>6</v>
      </c>
      <c r="C953" t="s">
        <v>44</v>
      </c>
      <c r="D953" s="24">
        <v>46113</v>
      </c>
      <c r="E953" t="s">
        <v>458</v>
      </c>
      <c r="F953" t="s">
        <v>6</v>
      </c>
      <c r="G953" t="s">
        <v>506</v>
      </c>
      <c r="H953" t="s">
        <v>506</v>
      </c>
      <c r="I953" t="s">
        <v>212</v>
      </c>
      <c r="J953" s="25">
        <v>17082</v>
      </c>
      <c r="K953" s="26">
        <v>2595.5</v>
      </c>
      <c r="L953" s="26">
        <v>42.57</v>
      </c>
    </row>
    <row r="954" spans="1:12" ht="16" customHeight="1">
      <c r="A954" t="s">
        <v>440</v>
      </c>
      <c r="B954" t="s">
        <v>6</v>
      </c>
      <c r="C954" t="s">
        <v>44</v>
      </c>
      <c r="D954" s="24">
        <v>46113</v>
      </c>
      <c r="E954" t="s">
        <v>462</v>
      </c>
      <c r="F954" t="s">
        <v>6</v>
      </c>
      <c r="G954" t="s">
        <v>505</v>
      </c>
      <c r="H954" t="s">
        <v>505</v>
      </c>
      <c r="I954" t="s">
        <v>219</v>
      </c>
      <c r="J954" s="25">
        <v>3</v>
      </c>
      <c r="K954" s="26">
        <v>0.45</v>
      </c>
      <c r="L954" s="26">
        <v>0.02</v>
      </c>
    </row>
    <row r="955" spans="1:12" ht="16" customHeight="1">
      <c r="A955" t="s">
        <v>440</v>
      </c>
      <c r="B955" t="s">
        <v>6</v>
      </c>
      <c r="C955" t="s">
        <v>44</v>
      </c>
      <c r="D955" s="24">
        <v>46113</v>
      </c>
      <c r="E955" t="s">
        <v>475</v>
      </c>
      <c r="F955" t="s">
        <v>5</v>
      </c>
      <c r="G955" t="s">
        <v>510</v>
      </c>
      <c r="H955" t="s">
        <v>510</v>
      </c>
      <c r="I955" t="s">
        <v>219</v>
      </c>
      <c r="J955" s="25">
        <v>0</v>
      </c>
      <c r="K955" s="26">
        <v>0</v>
      </c>
      <c r="L955" s="26">
        <v>0</v>
      </c>
    </row>
    <row r="956" spans="1:12" ht="16" customHeight="1">
      <c r="A956" t="s">
        <v>440</v>
      </c>
      <c r="B956" t="s">
        <v>6</v>
      </c>
      <c r="C956" t="s">
        <v>44</v>
      </c>
      <c r="D956" s="24">
        <v>46113</v>
      </c>
      <c r="E956" t="s">
        <v>496</v>
      </c>
      <c r="F956" t="s">
        <v>6</v>
      </c>
      <c r="G956" t="s">
        <v>506</v>
      </c>
      <c r="H956" t="s">
        <v>506</v>
      </c>
      <c r="I956" t="s">
        <v>221</v>
      </c>
      <c r="J956" s="25">
        <v>0</v>
      </c>
      <c r="K956" s="26">
        <v>0</v>
      </c>
      <c r="L956" s="26">
        <v>0</v>
      </c>
    </row>
    <row r="957" spans="1:12" ht="16" customHeight="1">
      <c r="A957" t="s">
        <v>441</v>
      </c>
      <c r="B957" t="s">
        <v>3</v>
      </c>
      <c r="C957" t="s">
        <v>44</v>
      </c>
      <c r="D957" s="24">
        <v>46113</v>
      </c>
      <c r="E957" t="s">
        <v>444</v>
      </c>
      <c r="F957" t="s">
        <v>6</v>
      </c>
      <c r="G957" t="s">
        <v>505</v>
      </c>
      <c r="H957" t="s">
        <v>505</v>
      </c>
      <c r="I957" t="s">
        <v>212</v>
      </c>
      <c r="J957" s="25">
        <v>20759388</v>
      </c>
      <c r="K957" s="26">
        <v>3076348.79</v>
      </c>
      <c r="L957" s="26">
        <v>16226.17</v>
      </c>
    </row>
    <row r="958" spans="1:12" ht="16" customHeight="1">
      <c r="A958" t="s">
        <v>441</v>
      </c>
      <c r="B958" t="s">
        <v>3</v>
      </c>
      <c r="C958" t="s">
        <v>44</v>
      </c>
      <c r="D958" s="24">
        <v>46113</v>
      </c>
      <c r="E958" t="s">
        <v>448</v>
      </c>
      <c r="F958" t="s">
        <v>6</v>
      </c>
      <c r="G958" t="s">
        <v>505</v>
      </c>
      <c r="H958" t="s">
        <v>505</v>
      </c>
      <c r="I958" t="s">
        <v>212</v>
      </c>
      <c r="J958" s="25">
        <v>50940</v>
      </c>
      <c r="K958" s="26">
        <v>7982.68</v>
      </c>
      <c r="L958" s="26">
        <v>64.709999999999994</v>
      </c>
    </row>
    <row r="959" spans="1:12" ht="16" customHeight="1">
      <c r="A959" t="s">
        <v>441</v>
      </c>
      <c r="B959" t="s">
        <v>3</v>
      </c>
      <c r="C959" t="s">
        <v>44</v>
      </c>
      <c r="D959" s="24">
        <v>46113</v>
      </c>
      <c r="E959" t="s">
        <v>453</v>
      </c>
      <c r="F959" t="s">
        <v>6</v>
      </c>
      <c r="G959" t="s">
        <v>505</v>
      </c>
      <c r="H959" t="s">
        <v>505</v>
      </c>
      <c r="I959" t="s">
        <v>212</v>
      </c>
      <c r="J959" s="25">
        <v>12128</v>
      </c>
      <c r="K959" s="26">
        <v>2089.36</v>
      </c>
      <c r="L959" s="26">
        <v>0.78</v>
      </c>
    </row>
    <row r="960" spans="1:12" ht="16" customHeight="1">
      <c r="A960" t="s">
        <v>441</v>
      </c>
      <c r="B960" t="s">
        <v>3</v>
      </c>
      <c r="C960" t="s">
        <v>44</v>
      </c>
      <c r="D960" s="24">
        <v>46113</v>
      </c>
      <c r="E960" t="s">
        <v>458</v>
      </c>
      <c r="F960" t="s">
        <v>6</v>
      </c>
      <c r="G960" t="s">
        <v>506</v>
      </c>
      <c r="H960" t="s">
        <v>506</v>
      </c>
      <c r="I960" t="s">
        <v>212</v>
      </c>
      <c r="J960" s="25">
        <v>36769</v>
      </c>
      <c r="K960" s="26">
        <v>6194.51</v>
      </c>
      <c r="L960" s="26">
        <v>39.840000000000003</v>
      </c>
    </row>
    <row r="961" spans="1:12" ht="16" customHeight="1">
      <c r="A961" t="s">
        <v>441</v>
      </c>
      <c r="B961" t="s">
        <v>3</v>
      </c>
      <c r="C961" t="s">
        <v>44</v>
      </c>
      <c r="D961" s="24">
        <v>46113</v>
      </c>
      <c r="E961" t="s">
        <v>462</v>
      </c>
      <c r="F961" t="s">
        <v>6</v>
      </c>
      <c r="G961" t="s">
        <v>505</v>
      </c>
      <c r="H961" t="s">
        <v>505</v>
      </c>
      <c r="I961" t="s">
        <v>219</v>
      </c>
      <c r="J961" s="25">
        <v>0</v>
      </c>
      <c r="K961" s="26">
        <v>0</v>
      </c>
      <c r="L961" s="26">
        <v>0</v>
      </c>
    </row>
    <row r="962" spans="1:12" ht="16" customHeight="1">
      <c r="A962" t="s">
        <v>441</v>
      </c>
      <c r="B962" t="s">
        <v>3</v>
      </c>
      <c r="C962" t="s">
        <v>44</v>
      </c>
      <c r="D962" s="24">
        <v>46113</v>
      </c>
      <c r="E962" t="s">
        <v>467</v>
      </c>
      <c r="F962" t="s">
        <v>6</v>
      </c>
      <c r="G962" t="s">
        <v>505</v>
      </c>
      <c r="H962" t="s">
        <v>505</v>
      </c>
      <c r="I962" t="s">
        <v>219</v>
      </c>
      <c r="J962" s="25">
        <v>6</v>
      </c>
      <c r="K962" s="26">
        <v>0.94</v>
      </c>
      <c r="L962" s="26">
        <v>0.01</v>
      </c>
    </row>
    <row r="963" spans="1:12" ht="16" customHeight="1">
      <c r="A963" t="s">
        <v>441</v>
      </c>
      <c r="B963" t="s">
        <v>3</v>
      </c>
      <c r="C963" t="s">
        <v>44</v>
      </c>
      <c r="D963" s="24">
        <v>46113</v>
      </c>
      <c r="E963" t="s">
        <v>475</v>
      </c>
      <c r="F963" t="s">
        <v>5</v>
      </c>
      <c r="G963" t="s">
        <v>510</v>
      </c>
      <c r="H963" t="s">
        <v>510</v>
      </c>
      <c r="I963" t="s">
        <v>219</v>
      </c>
      <c r="J963" s="25">
        <v>61</v>
      </c>
      <c r="K963" s="26">
        <v>9.2899999999999991</v>
      </c>
      <c r="L963" s="26">
        <v>0.26</v>
      </c>
    </row>
    <row r="964" spans="1:12" ht="16" customHeight="1">
      <c r="A964" t="s">
        <v>441</v>
      </c>
      <c r="B964" t="s">
        <v>3</v>
      </c>
      <c r="C964" t="s">
        <v>44</v>
      </c>
      <c r="D964" s="24">
        <v>46113</v>
      </c>
      <c r="E964" t="s">
        <v>496</v>
      </c>
      <c r="F964" t="s">
        <v>6</v>
      </c>
      <c r="G964" t="s">
        <v>506</v>
      </c>
      <c r="H964" t="s">
        <v>506</v>
      </c>
      <c r="I964" t="s">
        <v>221</v>
      </c>
      <c r="J964" s="25">
        <v>0</v>
      </c>
      <c r="K964" s="26">
        <v>0</v>
      </c>
      <c r="L964" s="26">
        <v>0</v>
      </c>
    </row>
    <row r="965" spans="1:12" ht="16" customHeight="1">
      <c r="A965" t="s">
        <v>420</v>
      </c>
      <c r="B965" t="s">
        <v>4</v>
      </c>
      <c r="C965" t="s">
        <v>44</v>
      </c>
      <c r="D965" s="24">
        <v>46113</v>
      </c>
      <c r="E965" t="s">
        <v>444</v>
      </c>
      <c r="F965" t="s">
        <v>6</v>
      </c>
      <c r="G965" t="s">
        <v>505</v>
      </c>
      <c r="H965" t="s">
        <v>505</v>
      </c>
      <c r="I965" t="s">
        <v>212</v>
      </c>
      <c r="J965" s="25">
        <v>20921296</v>
      </c>
      <c r="K965" s="26">
        <v>3095558.22</v>
      </c>
      <c r="L965" s="26">
        <v>14007.12</v>
      </c>
    </row>
    <row r="966" spans="1:12" ht="16" customHeight="1">
      <c r="A966" t="s">
        <v>420</v>
      </c>
      <c r="B966" t="s">
        <v>4</v>
      </c>
      <c r="C966" t="s">
        <v>44</v>
      </c>
      <c r="D966" s="24">
        <v>46113</v>
      </c>
      <c r="E966" t="s">
        <v>448</v>
      </c>
      <c r="F966" t="s">
        <v>6</v>
      </c>
      <c r="G966" t="s">
        <v>505</v>
      </c>
      <c r="H966" t="s">
        <v>505</v>
      </c>
      <c r="I966" t="s">
        <v>212</v>
      </c>
      <c r="J966" s="25">
        <v>141824</v>
      </c>
      <c r="K966" s="26">
        <v>22193.77</v>
      </c>
      <c r="L966" s="26">
        <v>160.79</v>
      </c>
    </row>
    <row r="967" spans="1:12" ht="16" customHeight="1">
      <c r="A967" t="s">
        <v>420</v>
      </c>
      <c r="B967" t="s">
        <v>4</v>
      </c>
      <c r="C967" t="s">
        <v>44</v>
      </c>
      <c r="D967" s="24">
        <v>46113</v>
      </c>
      <c r="E967" t="s">
        <v>453</v>
      </c>
      <c r="F967" t="s">
        <v>6</v>
      </c>
      <c r="G967" t="s">
        <v>505</v>
      </c>
      <c r="H967" t="s">
        <v>505</v>
      </c>
      <c r="I967" t="s">
        <v>212</v>
      </c>
      <c r="J967" s="25">
        <v>1144</v>
      </c>
      <c r="K967" s="26">
        <v>199.42</v>
      </c>
      <c r="L967" s="26">
        <v>0.02</v>
      </c>
    </row>
    <row r="968" spans="1:12" ht="16" customHeight="1">
      <c r="A968" t="s">
        <v>420</v>
      </c>
      <c r="B968" t="s">
        <v>4</v>
      </c>
      <c r="C968" t="s">
        <v>44</v>
      </c>
      <c r="D968" s="24">
        <v>46113</v>
      </c>
      <c r="E968" t="s">
        <v>458</v>
      </c>
      <c r="F968" t="s">
        <v>6</v>
      </c>
      <c r="G968" t="s">
        <v>506</v>
      </c>
      <c r="H968" t="s">
        <v>506</v>
      </c>
      <c r="I968" t="s">
        <v>212</v>
      </c>
      <c r="J968" s="25">
        <v>14498</v>
      </c>
      <c r="K968" s="26">
        <v>2274.27</v>
      </c>
      <c r="L968" s="26">
        <v>29.4</v>
      </c>
    </row>
    <row r="969" spans="1:12" ht="16" customHeight="1">
      <c r="A969" t="s">
        <v>420</v>
      </c>
      <c r="B969" t="s">
        <v>4</v>
      </c>
      <c r="C969" t="s">
        <v>44</v>
      </c>
      <c r="D969" s="24">
        <v>46113</v>
      </c>
      <c r="E969" t="s">
        <v>462</v>
      </c>
      <c r="F969" t="s">
        <v>6</v>
      </c>
      <c r="G969" t="s">
        <v>505</v>
      </c>
      <c r="H969" t="s">
        <v>505</v>
      </c>
      <c r="I969" t="s">
        <v>219</v>
      </c>
      <c r="J969" s="25">
        <v>2</v>
      </c>
      <c r="K969" s="26">
        <v>0.31</v>
      </c>
      <c r="L969" s="26">
        <v>0.01</v>
      </c>
    </row>
    <row r="970" spans="1:12" ht="16" customHeight="1">
      <c r="A970" t="s">
        <v>420</v>
      </c>
      <c r="B970" t="s">
        <v>4</v>
      </c>
      <c r="C970" t="s">
        <v>44</v>
      </c>
      <c r="D970" s="24">
        <v>46113</v>
      </c>
      <c r="E970" t="s">
        <v>475</v>
      </c>
      <c r="F970" t="s">
        <v>5</v>
      </c>
      <c r="G970" t="s">
        <v>510</v>
      </c>
      <c r="H970" t="s">
        <v>510</v>
      </c>
      <c r="I970" t="s">
        <v>219</v>
      </c>
      <c r="J970" s="25">
        <v>810</v>
      </c>
      <c r="K970" s="26">
        <v>124.23</v>
      </c>
      <c r="L970" s="26">
        <v>4.3499999999999996</v>
      </c>
    </row>
    <row r="971" spans="1:12" ht="16" customHeight="1">
      <c r="A971" t="s">
        <v>420</v>
      </c>
      <c r="B971" t="s">
        <v>4</v>
      </c>
      <c r="C971" t="s">
        <v>44</v>
      </c>
      <c r="D971" s="24">
        <v>46113</v>
      </c>
      <c r="E971" t="s">
        <v>496</v>
      </c>
      <c r="F971" t="s">
        <v>6</v>
      </c>
      <c r="G971" t="s">
        <v>506</v>
      </c>
      <c r="H971" t="s">
        <v>506</v>
      </c>
      <c r="I971" t="s">
        <v>221</v>
      </c>
      <c r="J971" s="25">
        <v>0</v>
      </c>
      <c r="K971" s="26">
        <v>0</v>
      </c>
      <c r="L971" s="26">
        <v>0</v>
      </c>
    </row>
    <row r="972" spans="1:12" ht="16" customHeight="1">
      <c r="A972" t="s">
        <v>442</v>
      </c>
      <c r="B972" t="s">
        <v>5</v>
      </c>
      <c r="C972" t="s">
        <v>45</v>
      </c>
      <c r="D972" s="24">
        <v>46113</v>
      </c>
      <c r="E972" t="s">
        <v>444</v>
      </c>
      <c r="F972" t="s">
        <v>6</v>
      </c>
      <c r="G972" t="s">
        <v>505</v>
      </c>
      <c r="H972" t="s">
        <v>505</v>
      </c>
      <c r="I972" t="s">
        <v>212</v>
      </c>
      <c r="J972" s="25">
        <v>106445866</v>
      </c>
      <c r="K972" s="26">
        <v>16438242.859999999</v>
      </c>
      <c r="L972" s="26">
        <v>41293.61</v>
      </c>
    </row>
    <row r="973" spans="1:12" ht="16" customHeight="1">
      <c r="A973" t="s">
        <v>442</v>
      </c>
      <c r="B973" t="s">
        <v>5</v>
      </c>
      <c r="C973" t="s">
        <v>45</v>
      </c>
      <c r="D973" s="24">
        <v>46113</v>
      </c>
      <c r="E973" t="s">
        <v>448</v>
      </c>
      <c r="F973" t="s">
        <v>6</v>
      </c>
      <c r="G973" t="s">
        <v>505</v>
      </c>
      <c r="H973" t="s">
        <v>505</v>
      </c>
      <c r="I973" t="s">
        <v>212</v>
      </c>
      <c r="J973" s="25">
        <v>436374</v>
      </c>
      <c r="K973" s="26">
        <v>66913.850000000006</v>
      </c>
      <c r="L973" s="26">
        <v>434.09</v>
      </c>
    </row>
    <row r="974" spans="1:12" ht="16" customHeight="1">
      <c r="A974" t="s">
        <v>442</v>
      </c>
      <c r="B974" t="s">
        <v>5</v>
      </c>
      <c r="C974" t="s">
        <v>45</v>
      </c>
      <c r="D974" s="24">
        <v>46113</v>
      </c>
      <c r="E974" t="s">
        <v>453</v>
      </c>
      <c r="F974" t="s">
        <v>6</v>
      </c>
      <c r="G974" t="s">
        <v>505</v>
      </c>
      <c r="H974" t="s">
        <v>505</v>
      </c>
      <c r="I974" t="s">
        <v>212</v>
      </c>
      <c r="J974" s="25">
        <v>700</v>
      </c>
      <c r="K974" s="26">
        <v>112.89</v>
      </c>
      <c r="L974" s="26">
        <v>1.2</v>
      </c>
    </row>
    <row r="975" spans="1:12" ht="16" customHeight="1">
      <c r="A975" t="s">
        <v>442</v>
      </c>
      <c r="B975" t="s">
        <v>5</v>
      </c>
      <c r="C975" t="s">
        <v>45</v>
      </c>
      <c r="D975" s="24">
        <v>46113</v>
      </c>
      <c r="E975" t="s">
        <v>458</v>
      </c>
      <c r="F975" t="s">
        <v>6</v>
      </c>
      <c r="G975" t="s">
        <v>506</v>
      </c>
      <c r="H975" t="s">
        <v>506</v>
      </c>
      <c r="I975" t="s">
        <v>212</v>
      </c>
      <c r="J975" s="25">
        <v>39964</v>
      </c>
      <c r="K975" s="26">
        <v>6200.13</v>
      </c>
      <c r="L975" s="26">
        <v>63.26</v>
      </c>
    </row>
    <row r="976" spans="1:12" ht="16" customHeight="1">
      <c r="A976" t="s">
        <v>442</v>
      </c>
      <c r="B976" t="s">
        <v>5</v>
      </c>
      <c r="C976" t="s">
        <v>45</v>
      </c>
      <c r="D976" s="24">
        <v>46113</v>
      </c>
      <c r="E976" t="s">
        <v>462</v>
      </c>
      <c r="F976" t="s">
        <v>6</v>
      </c>
      <c r="G976" t="s">
        <v>505</v>
      </c>
      <c r="H976" t="s">
        <v>505</v>
      </c>
      <c r="I976" t="s">
        <v>219</v>
      </c>
      <c r="J976" s="25">
        <v>1</v>
      </c>
      <c r="K976" s="26">
        <v>0.15</v>
      </c>
      <c r="L976" s="26">
        <v>0.01</v>
      </c>
    </row>
    <row r="977" spans="1:12" ht="16" customHeight="1">
      <c r="A977" t="s">
        <v>442</v>
      </c>
      <c r="B977" t="s">
        <v>5</v>
      </c>
      <c r="C977" t="s">
        <v>45</v>
      </c>
      <c r="D977" s="24">
        <v>46113</v>
      </c>
      <c r="E977" t="s">
        <v>475</v>
      </c>
      <c r="F977" t="s">
        <v>5</v>
      </c>
      <c r="G977" t="s">
        <v>510</v>
      </c>
      <c r="H977" t="s">
        <v>510</v>
      </c>
      <c r="I977" t="s">
        <v>219</v>
      </c>
      <c r="J977" s="25">
        <v>1</v>
      </c>
      <c r="K977" s="26">
        <v>0.15</v>
      </c>
      <c r="L977" s="26">
        <v>0.01</v>
      </c>
    </row>
    <row r="978" spans="1:12" ht="16" customHeight="1">
      <c r="A978" t="s">
        <v>442</v>
      </c>
      <c r="B978" t="s">
        <v>5</v>
      </c>
      <c r="C978" t="s">
        <v>45</v>
      </c>
      <c r="D978" s="24">
        <v>46113</v>
      </c>
      <c r="E978" t="s">
        <v>496</v>
      </c>
      <c r="F978" t="s">
        <v>6</v>
      </c>
      <c r="G978" t="s">
        <v>506</v>
      </c>
      <c r="H978" t="s">
        <v>506</v>
      </c>
      <c r="I978" t="s">
        <v>221</v>
      </c>
      <c r="J978" s="25">
        <v>0</v>
      </c>
      <c r="K978" s="26">
        <v>0</v>
      </c>
      <c r="L978" s="26">
        <v>0</v>
      </c>
    </row>
    <row r="979" spans="1:12" ht="16" customHeight="1">
      <c r="A979" t="s">
        <v>444</v>
      </c>
      <c r="B979" t="s">
        <v>6</v>
      </c>
      <c r="C979" t="s">
        <v>45</v>
      </c>
      <c r="D979" s="24">
        <v>46113</v>
      </c>
      <c r="E979" t="s">
        <v>444</v>
      </c>
      <c r="F979" t="s">
        <v>6</v>
      </c>
      <c r="G979" t="s">
        <v>505</v>
      </c>
      <c r="H979" t="s">
        <v>505</v>
      </c>
      <c r="I979" t="s">
        <v>212</v>
      </c>
      <c r="J979" s="25">
        <v>557236168</v>
      </c>
      <c r="K979" s="26">
        <v>85645752.090000004</v>
      </c>
      <c r="L979" s="26">
        <v>76242.460000000006</v>
      </c>
    </row>
    <row r="980" spans="1:12" ht="16" customHeight="1">
      <c r="A980" t="s">
        <v>444</v>
      </c>
      <c r="B980" t="s">
        <v>6</v>
      </c>
      <c r="C980" t="s">
        <v>45</v>
      </c>
      <c r="D980" s="24">
        <v>46113</v>
      </c>
      <c r="E980" t="s">
        <v>448</v>
      </c>
      <c r="F980" t="s">
        <v>6</v>
      </c>
      <c r="G980" t="s">
        <v>505</v>
      </c>
      <c r="H980" t="s">
        <v>505</v>
      </c>
      <c r="I980" t="s">
        <v>212</v>
      </c>
      <c r="J980" s="25">
        <v>1515370</v>
      </c>
      <c r="K980" s="26">
        <v>234035.86</v>
      </c>
      <c r="L980" s="26">
        <v>1442.07</v>
      </c>
    </row>
    <row r="981" spans="1:12" ht="16" customHeight="1">
      <c r="A981" t="s">
        <v>444</v>
      </c>
      <c r="B981" t="s">
        <v>6</v>
      </c>
      <c r="C981" t="s">
        <v>45</v>
      </c>
      <c r="D981" s="24">
        <v>46113</v>
      </c>
      <c r="E981" t="s">
        <v>453</v>
      </c>
      <c r="F981" t="s">
        <v>6</v>
      </c>
      <c r="G981" t="s">
        <v>505</v>
      </c>
      <c r="H981" t="s">
        <v>505</v>
      </c>
      <c r="I981" t="s">
        <v>212</v>
      </c>
      <c r="J981" s="25">
        <v>3119</v>
      </c>
      <c r="K981" s="26">
        <v>497.27</v>
      </c>
      <c r="L981" s="26">
        <v>4.62</v>
      </c>
    </row>
    <row r="982" spans="1:12" ht="16" customHeight="1">
      <c r="A982" t="s">
        <v>444</v>
      </c>
      <c r="B982" t="s">
        <v>6</v>
      </c>
      <c r="C982" t="s">
        <v>45</v>
      </c>
      <c r="D982" s="24">
        <v>46113</v>
      </c>
      <c r="E982" t="s">
        <v>458</v>
      </c>
      <c r="F982" t="s">
        <v>6</v>
      </c>
      <c r="G982" t="s">
        <v>506</v>
      </c>
      <c r="H982" t="s">
        <v>506</v>
      </c>
      <c r="I982" t="s">
        <v>212</v>
      </c>
      <c r="J982" s="25">
        <v>42179</v>
      </c>
      <c r="K982" s="26">
        <v>6539.21</v>
      </c>
      <c r="L982" s="26">
        <v>61.71</v>
      </c>
    </row>
    <row r="983" spans="1:12" ht="16" customHeight="1">
      <c r="A983" t="s">
        <v>444</v>
      </c>
      <c r="B983" t="s">
        <v>6</v>
      </c>
      <c r="C983" t="s">
        <v>45</v>
      </c>
      <c r="D983" s="24">
        <v>46113</v>
      </c>
      <c r="E983" t="s">
        <v>462</v>
      </c>
      <c r="F983" t="s">
        <v>6</v>
      </c>
      <c r="G983" t="s">
        <v>505</v>
      </c>
      <c r="H983" t="s">
        <v>505</v>
      </c>
      <c r="I983" t="s">
        <v>219</v>
      </c>
      <c r="J983" s="25">
        <v>23</v>
      </c>
      <c r="K983" s="26">
        <v>3.59</v>
      </c>
      <c r="L983" s="26">
        <v>0.1</v>
      </c>
    </row>
    <row r="984" spans="1:12" ht="16" customHeight="1">
      <c r="A984" t="s">
        <v>444</v>
      </c>
      <c r="B984" t="s">
        <v>6</v>
      </c>
      <c r="C984" t="s">
        <v>45</v>
      </c>
      <c r="D984" s="24">
        <v>46113</v>
      </c>
      <c r="E984" t="s">
        <v>475</v>
      </c>
      <c r="F984" t="s">
        <v>5</v>
      </c>
      <c r="G984" t="s">
        <v>510</v>
      </c>
      <c r="H984" t="s">
        <v>510</v>
      </c>
      <c r="I984" t="s">
        <v>219</v>
      </c>
      <c r="J984" s="25">
        <v>100</v>
      </c>
      <c r="K984" s="26">
        <v>15.84</v>
      </c>
      <c r="L984" s="26">
        <v>0.43</v>
      </c>
    </row>
    <row r="985" spans="1:12" ht="16" customHeight="1">
      <c r="A985" t="s">
        <v>444</v>
      </c>
      <c r="B985" t="s">
        <v>6</v>
      </c>
      <c r="C985" t="s">
        <v>45</v>
      </c>
      <c r="D985" s="24">
        <v>46113</v>
      </c>
      <c r="E985" t="s">
        <v>496</v>
      </c>
      <c r="F985" t="s">
        <v>6</v>
      </c>
      <c r="G985" t="s">
        <v>506</v>
      </c>
      <c r="H985" t="s">
        <v>506</v>
      </c>
      <c r="I985" t="s">
        <v>221</v>
      </c>
      <c r="J985" s="25">
        <v>0</v>
      </c>
      <c r="K985" s="26">
        <v>0</v>
      </c>
      <c r="L985" s="26">
        <v>0</v>
      </c>
    </row>
    <row r="986" spans="1:12" ht="16" customHeight="1">
      <c r="A986" t="s">
        <v>445</v>
      </c>
      <c r="B986" t="s">
        <v>7</v>
      </c>
      <c r="C986" t="s">
        <v>45</v>
      </c>
      <c r="D986" s="24">
        <v>46113</v>
      </c>
      <c r="E986" t="s">
        <v>448</v>
      </c>
      <c r="F986" t="s">
        <v>6</v>
      </c>
      <c r="G986" t="s">
        <v>505</v>
      </c>
      <c r="H986" t="s">
        <v>505</v>
      </c>
      <c r="I986" t="s">
        <v>212</v>
      </c>
      <c r="J986" s="25">
        <v>12731198</v>
      </c>
      <c r="K986" s="26">
        <v>1972379.56</v>
      </c>
      <c r="L986" s="26">
        <v>9970.57</v>
      </c>
    </row>
    <row r="987" spans="1:12" ht="16" customHeight="1">
      <c r="A987" t="s">
        <v>445</v>
      </c>
      <c r="B987" t="s">
        <v>7</v>
      </c>
      <c r="C987" t="s">
        <v>45</v>
      </c>
      <c r="D987" s="24">
        <v>46113</v>
      </c>
      <c r="E987" t="s">
        <v>453</v>
      </c>
      <c r="F987" t="s">
        <v>6</v>
      </c>
      <c r="G987" t="s">
        <v>505</v>
      </c>
      <c r="H987" t="s">
        <v>505</v>
      </c>
      <c r="I987" t="s">
        <v>212</v>
      </c>
      <c r="J987" s="25">
        <v>36292</v>
      </c>
      <c r="K987" s="26">
        <v>5691.55</v>
      </c>
      <c r="L987" s="26">
        <v>58.33</v>
      </c>
    </row>
    <row r="988" spans="1:12" ht="16" customHeight="1">
      <c r="A988" t="s">
        <v>445</v>
      </c>
      <c r="B988" t="s">
        <v>7</v>
      </c>
      <c r="C988" t="s">
        <v>45</v>
      </c>
      <c r="D988" s="24">
        <v>46113</v>
      </c>
      <c r="E988" t="s">
        <v>458</v>
      </c>
      <c r="F988" t="s">
        <v>6</v>
      </c>
      <c r="G988" t="s">
        <v>506</v>
      </c>
      <c r="H988" t="s">
        <v>506</v>
      </c>
      <c r="I988" t="s">
        <v>212</v>
      </c>
      <c r="J988" s="25">
        <v>21704</v>
      </c>
      <c r="K988" s="26">
        <v>3359.77</v>
      </c>
      <c r="L988" s="26">
        <v>27.37</v>
      </c>
    </row>
    <row r="989" spans="1:12" ht="16" customHeight="1">
      <c r="A989" t="s">
        <v>445</v>
      </c>
      <c r="B989" t="s">
        <v>7</v>
      </c>
      <c r="C989" t="s">
        <v>45</v>
      </c>
      <c r="D989" s="24">
        <v>46113</v>
      </c>
      <c r="E989" t="s">
        <v>462</v>
      </c>
      <c r="F989" t="s">
        <v>6</v>
      </c>
      <c r="G989" t="s">
        <v>505</v>
      </c>
      <c r="H989" t="s">
        <v>505</v>
      </c>
      <c r="I989" t="s">
        <v>219</v>
      </c>
      <c r="J989" s="25">
        <v>2</v>
      </c>
      <c r="K989" s="26">
        <v>0.33</v>
      </c>
      <c r="L989" s="26">
        <v>0</v>
      </c>
    </row>
    <row r="990" spans="1:12" ht="16" customHeight="1">
      <c r="A990" t="s">
        <v>445</v>
      </c>
      <c r="B990" t="s">
        <v>7</v>
      </c>
      <c r="C990" t="s">
        <v>45</v>
      </c>
      <c r="D990" s="24">
        <v>46113</v>
      </c>
      <c r="E990" t="s">
        <v>475</v>
      </c>
      <c r="F990" t="s">
        <v>5</v>
      </c>
      <c r="G990" t="s">
        <v>510</v>
      </c>
      <c r="H990" t="s">
        <v>510</v>
      </c>
      <c r="I990" t="s">
        <v>219</v>
      </c>
      <c r="J990" s="25">
        <v>2</v>
      </c>
      <c r="K990" s="26">
        <v>0.32</v>
      </c>
      <c r="L990" s="26">
        <v>0.01</v>
      </c>
    </row>
    <row r="991" spans="1:12" ht="16" customHeight="1">
      <c r="A991" t="s">
        <v>445</v>
      </c>
      <c r="B991" t="s">
        <v>7</v>
      </c>
      <c r="C991" t="s">
        <v>45</v>
      </c>
      <c r="D991" s="24">
        <v>46113</v>
      </c>
      <c r="E991" t="s">
        <v>496</v>
      </c>
      <c r="F991" t="s">
        <v>6</v>
      </c>
      <c r="G991" t="s">
        <v>506</v>
      </c>
      <c r="H991" t="s">
        <v>506</v>
      </c>
      <c r="I991" t="s">
        <v>221</v>
      </c>
      <c r="J991" s="25">
        <v>1</v>
      </c>
      <c r="K991" s="26">
        <v>0.18</v>
      </c>
      <c r="L991" s="26">
        <v>0</v>
      </c>
    </row>
    <row r="992" spans="1:12" ht="16" customHeight="1">
      <c r="A992" t="s">
        <v>425</v>
      </c>
      <c r="B992" t="s">
        <v>3</v>
      </c>
      <c r="C992" t="s">
        <v>45</v>
      </c>
      <c r="D992" s="24">
        <v>46113</v>
      </c>
      <c r="E992" t="s">
        <v>448</v>
      </c>
      <c r="F992" t="s">
        <v>6</v>
      </c>
      <c r="G992" t="s">
        <v>505</v>
      </c>
      <c r="H992" t="s">
        <v>505</v>
      </c>
      <c r="I992" t="s">
        <v>212</v>
      </c>
      <c r="J992" s="25">
        <v>19345986</v>
      </c>
      <c r="K992" s="26">
        <v>2969231.22</v>
      </c>
      <c r="L992" s="26">
        <v>11766.73</v>
      </c>
    </row>
    <row r="993" spans="1:12" ht="16" customHeight="1">
      <c r="A993" t="s">
        <v>425</v>
      </c>
      <c r="B993" t="s">
        <v>3</v>
      </c>
      <c r="C993" t="s">
        <v>45</v>
      </c>
      <c r="D993" s="24">
        <v>46113</v>
      </c>
      <c r="E993" t="s">
        <v>453</v>
      </c>
      <c r="F993" t="s">
        <v>6</v>
      </c>
      <c r="G993" t="s">
        <v>505</v>
      </c>
      <c r="H993" t="s">
        <v>505</v>
      </c>
      <c r="I993" t="s">
        <v>212</v>
      </c>
      <c r="J993" s="25">
        <v>79089</v>
      </c>
      <c r="K993" s="26">
        <v>12315.62</v>
      </c>
      <c r="L993" s="26">
        <v>106.84</v>
      </c>
    </row>
    <row r="994" spans="1:12" ht="16" customHeight="1">
      <c r="A994" t="s">
        <v>425</v>
      </c>
      <c r="B994" t="s">
        <v>3</v>
      </c>
      <c r="C994" t="s">
        <v>45</v>
      </c>
      <c r="D994" s="24">
        <v>46113</v>
      </c>
      <c r="E994" t="s">
        <v>458</v>
      </c>
      <c r="F994" t="s">
        <v>6</v>
      </c>
      <c r="G994" t="s">
        <v>506</v>
      </c>
      <c r="H994" t="s">
        <v>506</v>
      </c>
      <c r="I994" t="s">
        <v>212</v>
      </c>
      <c r="J994" s="25">
        <v>25768</v>
      </c>
      <c r="K994" s="26">
        <v>3981.03</v>
      </c>
      <c r="L994" s="26">
        <v>33.479999999999997</v>
      </c>
    </row>
    <row r="995" spans="1:12" ht="16" customHeight="1">
      <c r="A995" t="s">
        <v>425</v>
      </c>
      <c r="B995" t="s">
        <v>3</v>
      </c>
      <c r="C995" t="s">
        <v>45</v>
      </c>
      <c r="D995" s="24">
        <v>46113</v>
      </c>
      <c r="E995" t="s">
        <v>462</v>
      </c>
      <c r="F995" t="s">
        <v>6</v>
      </c>
      <c r="G995" t="s">
        <v>505</v>
      </c>
      <c r="H995" t="s">
        <v>505</v>
      </c>
      <c r="I995" t="s">
        <v>219</v>
      </c>
      <c r="J995" s="25">
        <v>97</v>
      </c>
      <c r="K995" s="26">
        <v>15.22</v>
      </c>
      <c r="L995" s="26">
        <v>0.34</v>
      </c>
    </row>
    <row r="996" spans="1:12" ht="16" customHeight="1">
      <c r="A996" t="s">
        <v>425</v>
      </c>
      <c r="B996" t="s">
        <v>3</v>
      </c>
      <c r="C996" t="s">
        <v>45</v>
      </c>
      <c r="D996" s="24">
        <v>46113</v>
      </c>
      <c r="E996" t="s">
        <v>475</v>
      </c>
      <c r="F996" t="s">
        <v>5</v>
      </c>
      <c r="G996" t="s">
        <v>510</v>
      </c>
      <c r="H996" t="s">
        <v>510</v>
      </c>
      <c r="I996" t="s">
        <v>219</v>
      </c>
      <c r="J996" s="25">
        <v>102</v>
      </c>
      <c r="K996" s="26">
        <v>16.010000000000002</v>
      </c>
      <c r="L996" s="26">
        <v>0.38</v>
      </c>
    </row>
    <row r="997" spans="1:12" ht="16" customHeight="1">
      <c r="A997" t="s">
        <v>425</v>
      </c>
      <c r="B997" t="s">
        <v>3</v>
      </c>
      <c r="C997" t="s">
        <v>45</v>
      </c>
      <c r="D997" s="24">
        <v>46113</v>
      </c>
      <c r="E997" t="s">
        <v>496</v>
      </c>
      <c r="F997" t="s">
        <v>6</v>
      </c>
      <c r="G997" t="s">
        <v>506</v>
      </c>
      <c r="H997" t="s">
        <v>506</v>
      </c>
      <c r="I997" t="s">
        <v>221</v>
      </c>
      <c r="J997" s="25">
        <v>4</v>
      </c>
      <c r="K997" s="26">
        <v>0.72</v>
      </c>
      <c r="L997" s="26">
        <v>0</v>
      </c>
    </row>
    <row r="998" spans="1:12" ht="16" customHeight="1">
      <c r="A998" t="s">
        <v>446</v>
      </c>
      <c r="B998" t="s">
        <v>5</v>
      </c>
      <c r="C998" t="s">
        <v>46</v>
      </c>
      <c r="D998" s="24">
        <v>46113</v>
      </c>
      <c r="E998" t="s">
        <v>448</v>
      </c>
      <c r="F998" t="s">
        <v>6</v>
      </c>
      <c r="G998" t="s">
        <v>505</v>
      </c>
      <c r="H998" t="s">
        <v>505</v>
      </c>
      <c r="I998" t="s">
        <v>212</v>
      </c>
      <c r="J998" s="25">
        <v>99256587</v>
      </c>
      <c r="K998" s="26">
        <v>15483896.18</v>
      </c>
      <c r="L998" s="26">
        <v>34376.660000000003</v>
      </c>
    </row>
    <row r="999" spans="1:12" ht="16" customHeight="1">
      <c r="A999" t="s">
        <v>446</v>
      </c>
      <c r="B999" t="s">
        <v>5</v>
      </c>
      <c r="C999" t="s">
        <v>46</v>
      </c>
      <c r="D999" s="24">
        <v>46113</v>
      </c>
      <c r="E999" t="s">
        <v>453</v>
      </c>
      <c r="F999" t="s">
        <v>6</v>
      </c>
      <c r="G999" t="s">
        <v>505</v>
      </c>
      <c r="H999" t="s">
        <v>505</v>
      </c>
      <c r="I999" t="s">
        <v>212</v>
      </c>
      <c r="J999" s="25">
        <v>324760</v>
      </c>
      <c r="K999" s="26">
        <v>50722.65</v>
      </c>
      <c r="L999" s="26">
        <v>326.8</v>
      </c>
    </row>
    <row r="1000" spans="1:12" ht="16" customHeight="1">
      <c r="A1000" t="s">
        <v>446</v>
      </c>
      <c r="B1000" t="s">
        <v>5</v>
      </c>
      <c r="C1000" t="s">
        <v>46</v>
      </c>
      <c r="D1000" s="24">
        <v>46113</v>
      </c>
      <c r="E1000" t="s">
        <v>458</v>
      </c>
      <c r="F1000" t="s">
        <v>6</v>
      </c>
      <c r="G1000" t="s">
        <v>506</v>
      </c>
      <c r="H1000" t="s">
        <v>506</v>
      </c>
      <c r="I1000" t="s">
        <v>212</v>
      </c>
      <c r="J1000" s="25">
        <v>32791</v>
      </c>
      <c r="K1000" s="26">
        <v>5142.1000000000004</v>
      </c>
      <c r="L1000" s="26">
        <v>45.44</v>
      </c>
    </row>
    <row r="1001" spans="1:12" ht="16" customHeight="1">
      <c r="A1001" t="s">
        <v>446</v>
      </c>
      <c r="B1001" t="s">
        <v>5</v>
      </c>
      <c r="C1001" t="s">
        <v>46</v>
      </c>
      <c r="D1001" s="24">
        <v>46113</v>
      </c>
      <c r="E1001" t="s">
        <v>462</v>
      </c>
      <c r="F1001" t="s">
        <v>6</v>
      </c>
      <c r="G1001" t="s">
        <v>505</v>
      </c>
      <c r="H1001" t="s">
        <v>505</v>
      </c>
      <c r="I1001" t="s">
        <v>219</v>
      </c>
      <c r="J1001" s="25">
        <v>223</v>
      </c>
      <c r="K1001" s="26">
        <v>35.58</v>
      </c>
      <c r="L1001" s="26">
        <v>0.52</v>
      </c>
    </row>
    <row r="1002" spans="1:12" ht="16" customHeight="1">
      <c r="A1002" t="s">
        <v>446</v>
      </c>
      <c r="B1002" t="s">
        <v>5</v>
      </c>
      <c r="C1002" t="s">
        <v>46</v>
      </c>
      <c r="D1002" s="24">
        <v>46113</v>
      </c>
      <c r="E1002" t="s">
        <v>467</v>
      </c>
      <c r="F1002" t="s">
        <v>6</v>
      </c>
      <c r="G1002" t="s">
        <v>505</v>
      </c>
      <c r="H1002" t="s">
        <v>505</v>
      </c>
      <c r="I1002" t="s">
        <v>219</v>
      </c>
      <c r="J1002" s="25">
        <v>3</v>
      </c>
      <c r="K1002" s="26">
        <v>0.49</v>
      </c>
      <c r="L1002" s="26">
        <v>0.01</v>
      </c>
    </row>
    <row r="1003" spans="1:12" ht="16" customHeight="1">
      <c r="A1003" t="s">
        <v>446</v>
      </c>
      <c r="B1003" t="s">
        <v>5</v>
      </c>
      <c r="C1003" t="s">
        <v>46</v>
      </c>
      <c r="D1003" s="24">
        <v>46113</v>
      </c>
      <c r="E1003" t="s">
        <v>475</v>
      </c>
      <c r="F1003" t="s">
        <v>5</v>
      </c>
      <c r="G1003" t="s">
        <v>510</v>
      </c>
      <c r="H1003" t="s">
        <v>510</v>
      </c>
      <c r="I1003" t="s">
        <v>219</v>
      </c>
      <c r="J1003" s="25">
        <v>298</v>
      </c>
      <c r="K1003" s="26">
        <v>47.84</v>
      </c>
      <c r="L1003" s="26">
        <v>1.08</v>
      </c>
    </row>
    <row r="1004" spans="1:12" ht="16" customHeight="1">
      <c r="A1004" t="s">
        <v>446</v>
      </c>
      <c r="B1004" t="s">
        <v>5</v>
      </c>
      <c r="C1004" t="s">
        <v>46</v>
      </c>
      <c r="D1004" s="24">
        <v>46113</v>
      </c>
      <c r="E1004" t="s">
        <v>496</v>
      </c>
      <c r="F1004" t="s">
        <v>6</v>
      </c>
      <c r="G1004" t="s">
        <v>506</v>
      </c>
      <c r="H1004" t="s">
        <v>506</v>
      </c>
      <c r="I1004" t="s">
        <v>221</v>
      </c>
      <c r="J1004" s="25">
        <v>4</v>
      </c>
      <c r="K1004" s="26">
        <v>0.72</v>
      </c>
      <c r="L1004" s="26">
        <v>0</v>
      </c>
    </row>
    <row r="1005" spans="1:12" ht="16" customHeight="1">
      <c r="A1005" t="s">
        <v>448</v>
      </c>
      <c r="B1005" t="s">
        <v>6</v>
      </c>
      <c r="C1005" t="s">
        <v>46</v>
      </c>
      <c r="D1005" s="24">
        <v>46113</v>
      </c>
      <c r="E1005" t="s">
        <v>448</v>
      </c>
      <c r="F1005" t="s">
        <v>6</v>
      </c>
      <c r="G1005" t="s">
        <v>505</v>
      </c>
      <c r="H1005" t="s">
        <v>505</v>
      </c>
      <c r="I1005" t="s">
        <v>212</v>
      </c>
      <c r="J1005" s="25">
        <v>542010071</v>
      </c>
      <c r="K1005" s="26">
        <v>84701228.469999999</v>
      </c>
      <c r="L1005" s="26">
        <v>68327.13</v>
      </c>
    </row>
    <row r="1006" spans="1:12" ht="16" customHeight="1">
      <c r="A1006" t="s">
        <v>448</v>
      </c>
      <c r="B1006" t="s">
        <v>6</v>
      </c>
      <c r="C1006" t="s">
        <v>46</v>
      </c>
      <c r="D1006" s="24">
        <v>46113</v>
      </c>
      <c r="E1006" t="s">
        <v>453</v>
      </c>
      <c r="F1006" t="s">
        <v>6</v>
      </c>
      <c r="G1006" t="s">
        <v>505</v>
      </c>
      <c r="H1006" t="s">
        <v>505</v>
      </c>
      <c r="I1006" t="s">
        <v>212</v>
      </c>
      <c r="J1006" s="25">
        <v>1666236</v>
      </c>
      <c r="K1006" s="26">
        <v>261332.04</v>
      </c>
      <c r="L1006" s="26">
        <v>1332.84</v>
      </c>
    </row>
    <row r="1007" spans="1:12" ht="16" customHeight="1">
      <c r="A1007" t="s">
        <v>448</v>
      </c>
      <c r="B1007" t="s">
        <v>6</v>
      </c>
      <c r="C1007" t="s">
        <v>46</v>
      </c>
      <c r="D1007" s="24">
        <v>46113</v>
      </c>
      <c r="E1007" t="s">
        <v>458</v>
      </c>
      <c r="F1007" t="s">
        <v>6</v>
      </c>
      <c r="G1007" t="s">
        <v>506</v>
      </c>
      <c r="H1007" t="s">
        <v>506</v>
      </c>
      <c r="I1007" t="s">
        <v>212</v>
      </c>
      <c r="J1007" s="25">
        <v>44407</v>
      </c>
      <c r="K1007" s="26">
        <v>7002.01</v>
      </c>
      <c r="L1007" s="26">
        <v>61.95</v>
      </c>
    </row>
    <row r="1008" spans="1:12" ht="16" customHeight="1">
      <c r="A1008" t="s">
        <v>448</v>
      </c>
      <c r="B1008" t="s">
        <v>6</v>
      </c>
      <c r="C1008" t="s">
        <v>46</v>
      </c>
      <c r="D1008" s="24">
        <v>46113</v>
      </c>
      <c r="E1008" t="s">
        <v>462</v>
      </c>
      <c r="F1008" t="s">
        <v>6</v>
      </c>
      <c r="G1008" t="s">
        <v>505</v>
      </c>
      <c r="H1008" t="s">
        <v>505</v>
      </c>
      <c r="I1008" t="s">
        <v>219</v>
      </c>
      <c r="J1008" s="25">
        <v>1811</v>
      </c>
      <c r="K1008" s="26">
        <v>288.22000000000003</v>
      </c>
      <c r="L1008" s="26">
        <v>4.6500000000000004</v>
      </c>
    </row>
    <row r="1009" spans="1:12" ht="16" customHeight="1">
      <c r="A1009" t="s">
        <v>448</v>
      </c>
      <c r="B1009" t="s">
        <v>6</v>
      </c>
      <c r="C1009" t="s">
        <v>46</v>
      </c>
      <c r="D1009" s="24">
        <v>46113</v>
      </c>
      <c r="E1009" t="s">
        <v>467</v>
      </c>
      <c r="F1009" t="s">
        <v>6</v>
      </c>
      <c r="G1009" t="s">
        <v>505</v>
      </c>
      <c r="H1009" t="s">
        <v>505</v>
      </c>
      <c r="I1009" t="s">
        <v>219</v>
      </c>
      <c r="J1009" s="25">
        <v>2</v>
      </c>
      <c r="K1009" s="26">
        <v>0.32</v>
      </c>
      <c r="L1009" s="26">
        <v>0.01</v>
      </c>
    </row>
    <row r="1010" spans="1:12" ht="16" customHeight="1">
      <c r="A1010" t="s">
        <v>448</v>
      </c>
      <c r="B1010" t="s">
        <v>6</v>
      </c>
      <c r="C1010" t="s">
        <v>46</v>
      </c>
      <c r="D1010" s="24">
        <v>46113</v>
      </c>
      <c r="E1010" t="s">
        <v>475</v>
      </c>
      <c r="F1010" t="s">
        <v>5</v>
      </c>
      <c r="G1010" t="s">
        <v>510</v>
      </c>
      <c r="H1010" t="s">
        <v>510</v>
      </c>
      <c r="I1010" t="s">
        <v>219</v>
      </c>
      <c r="J1010" s="25">
        <v>1156</v>
      </c>
      <c r="K1010" s="26">
        <v>185.13</v>
      </c>
      <c r="L1010" s="26">
        <v>3.67</v>
      </c>
    </row>
    <row r="1011" spans="1:12" ht="16" customHeight="1">
      <c r="A1011" t="s">
        <v>448</v>
      </c>
      <c r="B1011" t="s">
        <v>6</v>
      </c>
      <c r="C1011" t="s">
        <v>46</v>
      </c>
      <c r="D1011" s="24">
        <v>46113</v>
      </c>
      <c r="E1011" t="s">
        <v>496</v>
      </c>
      <c r="F1011" t="s">
        <v>6</v>
      </c>
      <c r="G1011" t="s">
        <v>506</v>
      </c>
      <c r="H1011" t="s">
        <v>506</v>
      </c>
      <c r="I1011" t="s">
        <v>221</v>
      </c>
      <c r="J1011" s="25">
        <v>7</v>
      </c>
      <c r="K1011" s="26">
        <v>1.26</v>
      </c>
      <c r="L1011" s="26">
        <v>0</v>
      </c>
    </row>
    <row r="1012" spans="1:12" ht="16" customHeight="1">
      <c r="A1012" t="s">
        <v>449</v>
      </c>
      <c r="B1012" t="s">
        <v>7</v>
      </c>
      <c r="C1012" t="s">
        <v>46</v>
      </c>
      <c r="D1012" s="24">
        <v>46113</v>
      </c>
      <c r="E1012" t="s">
        <v>453</v>
      </c>
      <c r="F1012" t="s">
        <v>6</v>
      </c>
      <c r="G1012" t="s">
        <v>505</v>
      </c>
      <c r="H1012" t="s">
        <v>505</v>
      </c>
      <c r="I1012" t="s">
        <v>212</v>
      </c>
      <c r="J1012" s="25">
        <v>12276342</v>
      </c>
      <c r="K1012" s="26">
        <v>1931494.72</v>
      </c>
      <c r="L1012" s="26">
        <v>8989.01</v>
      </c>
    </row>
    <row r="1013" spans="1:12" ht="16" customHeight="1">
      <c r="A1013" t="s">
        <v>449</v>
      </c>
      <c r="B1013" t="s">
        <v>7</v>
      </c>
      <c r="C1013" t="s">
        <v>46</v>
      </c>
      <c r="D1013" s="24">
        <v>46113</v>
      </c>
      <c r="E1013" t="s">
        <v>458</v>
      </c>
      <c r="F1013" t="s">
        <v>6</v>
      </c>
      <c r="G1013" t="s">
        <v>506</v>
      </c>
      <c r="H1013" t="s">
        <v>506</v>
      </c>
      <c r="I1013" t="s">
        <v>212</v>
      </c>
      <c r="J1013" s="25">
        <v>91788</v>
      </c>
      <c r="K1013" s="26">
        <v>14466.31</v>
      </c>
      <c r="L1013" s="26">
        <v>93.29</v>
      </c>
    </row>
    <row r="1014" spans="1:12" ht="16" customHeight="1">
      <c r="A1014" t="s">
        <v>449</v>
      </c>
      <c r="B1014" t="s">
        <v>7</v>
      </c>
      <c r="C1014" t="s">
        <v>46</v>
      </c>
      <c r="D1014" s="24">
        <v>46113</v>
      </c>
      <c r="E1014" t="s">
        <v>462</v>
      </c>
      <c r="F1014" t="s">
        <v>6</v>
      </c>
      <c r="G1014" t="s">
        <v>505</v>
      </c>
      <c r="H1014" t="s">
        <v>505</v>
      </c>
      <c r="I1014" t="s">
        <v>219</v>
      </c>
      <c r="J1014" s="25">
        <v>1388</v>
      </c>
      <c r="K1014" s="26">
        <v>221.17</v>
      </c>
      <c r="L1014" s="26">
        <v>2.9</v>
      </c>
    </row>
    <row r="1015" spans="1:12" ht="16" customHeight="1">
      <c r="A1015" t="s">
        <v>449</v>
      </c>
      <c r="B1015" t="s">
        <v>7</v>
      </c>
      <c r="C1015" t="s">
        <v>46</v>
      </c>
      <c r="D1015" s="24">
        <v>46113</v>
      </c>
      <c r="E1015" t="s">
        <v>467</v>
      </c>
      <c r="F1015" t="s">
        <v>6</v>
      </c>
      <c r="G1015" t="s">
        <v>505</v>
      </c>
      <c r="H1015" t="s">
        <v>505</v>
      </c>
      <c r="I1015" t="s">
        <v>219</v>
      </c>
      <c r="J1015" s="25">
        <v>0</v>
      </c>
      <c r="K1015" s="26">
        <v>0</v>
      </c>
      <c r="L1015" s="26">
        <v>0</v>
      </c>
    </row>
    <row r="1016" spans="1:12" ht="16" customHeight="1">
      <c r="A1016" t="s">
        <v>449</v>
      </c>
      <c r="B1016" t="s">
        <v>7</v>
      </c>
      <c r="C1016" t="s">
        <v>46</v>
      </c>
      <c r="D1016" s="24">
        <v>46113</v>
      </c>
      <c r="E1016" t="s">
        <v>475</v>
      </c>
      <c r="F1016" t="s">
        <v>5</v>
      </c>
      <c r="G1016" t="s">
        <v>510</v>
      </c>
      <c r="H1016" t="s">
        <v>510</v>
      </c>
      <c r="I1016" t="s">
        <v>219</v>
      </c>
      <c r="J1016" s="25">
        <v>862</v>
      </c>
      <c r="K1016" s="26">
        <v>139.41999999999999</v>
      </c>
      <c r="L1016" s="26">
        <v>2.48</v>
      </c>
    </row>
    <row r="1017" spans="1:12" ht="16" customHeight="1">
      <c r="A1017" t="s">
        <v>449</v>
      </c>
      <c r="B1017" t="s">
        <v>7</v>
      </c>
      <c r="C1017" t="s">
        <v>46</v>
      </c>
      <c r="D1017" s="24">
        <v>46113</v>
      </c>
      <c r="E1017" t="s">
        <v>496</v>
      </c>
      <c r="F1017" t="s">
        <v>6</v>
      </c>
      <c r="G1017" t="s">
        <v>506</v>
      </c>
      <c r="H1017" t="s">
        <v>506</v>
      </c>
      <c r="I1017" t="s">
        <v>221</v>
      </c>
      <c r="J1017" s="25">
        <v>0</v>
      </c>
      <c r="K1017" s="26">
        <v>0</v>
      </c>
      <c r="L1017" s="26">
        <v>0</v>
      </c>
    </row>
    <row r="1018" spans="1:12" ht="16" customHeight="1">
      <c r="A1018" t="s">
        <v>450</v>
      </c>
      <c r="B1018" t="s">
        <v>3</v>
      </c>
      <c r="C1018" t="s">
        <v>46</v>
      </c>
      <c r="D1018" s="24">
        <v>46113</v>
      </c>
      <c r="E1018" t="s">
        <v>453</v>
      </c>
      <c r="F1018" t="s">
        <v>6</v>
      </c>
      <c r="G1018" t="s">
        <v>505</v>
      </c>
      <c r="H1018" t="s">
        <v>505</v>
      </c>
      <c r="I1018" t="s">
        <v>212</v>
      </c>
      <c r="J1018" s="25">
        <v>17694914</v>
      </c>
      <c r="K1018" s="26">
        <v>2788297.39</v>
      </c>
      <c r="L1018" s="26">
        <v>11712.47</v>
      </c>
    </row>
    <row r="1019" spans="1:12" ht="16" customHeight="1">
      <c r="A1019" t="s">
        <v>450</v>
      </c>
      <c r="B1019" t="s">
        <v>3</v>
      </c>
      <c r="C1019" t="s">
        <v>46</v>
      </c>
      <c r="D1019" s="24">
        <v>46113</v>
      </c>
      <c r="E1019" t="s">
        <v>458</v>
      </c>
      <c r="F1019" t="s">
        <v>6</v>
      </c>
      <c r="G1019" t="s">
        <v>506</v>
      </c>
      <c r="H1019" t="s">
        <v>506</v>
      </c>
      <c r="I1019" t="s">
        <v>212</v>
      </c>
      <c r="J1019" s="25">
        <v>193645</v>
      </c>
      <c r="K1019" s="26">
        <v>30563.41</v>
      </c>
      <c r="L1019" s="26">
        <v>168.41</v>
      </c>
    </row>
    <row r="1020" spans="1:12" ht="16" customHeight="1">
      <c r="A1020" t="s">
        <v>450</v>
      </c>
      <c r="B1020" t="s">
        <v>3</v>
      </c>
      <c r="C1020" t="s">
        <v>46</v>
      </c>
      <c r="D1020" s="24">
        <v>46113</v>
      </c>
      <c r="E1020" t="s">
        <v>462</v>
      </c>
      <c r="F1020" t="s">
        <v>6</v>
      </c>
      <c r="G1020" t="s">
        <v>505</v>
      </c>
      <c r="H1020" t="s">
        <v>505</v>
      </c>
      <c r="I1020" t="s">
        <v>219</v>
      </c>
      <c r="J1020" s="25">
        <v>1596</v>
      </c>
      <c r="K1020" s="26">
        <v>255.32</v>
      </c>
      <c r="L1020" s="26">
        <v>3.08</v>
      </c>
    </row>
    <row r="1021" spans="1:12" ht="16" customHeight="1">
      <c r="A1021" t="s">
        <v>450</v>
      </c>
      <c r="B1021" t="s">
        <v>3</v>
      </c>
      <c r="C1021" t="s">
        <v>46</v>
      </c>
      <c r="D1021" s="24">
        <v>46113</v>
      </c>
      <c r="E1021" t="s">
        <v>467</v>
      </c>
      <c r="F1021" t="s">
        <v>6</v>
      </c>
      <c r="G1021" t="s">
        <v>505</v>
      </c>
      <c r="H1021" t="s">
        <v>505</v>
      </c>
      <c r="I1021" t="s">
        <v>219</v>
      </c>
      <c r="J1021" s="25">
        <v>13</v>
      </c>
      <c r="K1021" s="26">
        <v>2.11</v>
      </c>
      <c r="L1021" s="26">
        <v>0.02</v>
      </c>
    </row>
    <row r="1022" spans="1:12" ht="16" customHeight="1">
      <c r="A1022" t="s">
        <v>450</v>
      </c>
      <c r="B1022" t="s">
        <v>3</v>
      </c>
      <c r="C1022" t="s">
        <v>46</v>
      </c>
      <c r="D1022" s="24">
        <v>46113</v>
      </c>
      <c r="E1022" t="s">
        <v>475</v>
      </c>
      <c r="F1022" t="s">
        <v>5</v>
      </c>
      <c r="G1022" t="s">
        <v>510</v>
      </c>
      <c r="H1022" t="s">
        <v>510</v>
      </c>
      <c r="I1022" t="s">
        <v>219</v>
      </c>
      <c r="J1022" s="25">
        <v>1351</v>
      </c>
      <c r="K1022" s="26">
        <v>221.41</v>
      </c>
      <c r="L1022" s="26">
        <v>2.97</v>
      </c>
    </row>
    <row r="1023" spans="1:12" ht="16" customHeight="1">
      <c r="A1023" t="s">
        <v>450</v>
      </c>
      <c r="B1023" t="s">
        <v>3</v>
      </c>
      <c r="C1023" t="s">
        <v>46</v>
      </c>
      <c r="D1023" s="24">
        <v>46113</v>
      </c>
      <c r="E1023" t="s">
        <v>496</v>
      </c>
      <c r="F1023" t="s">
        <v>6</v>
      </c>
      <c r="G1023" t="s">
        <v>506</v>
      </c>
      <c r="H1023" t="s">
        <v>506</v>
      </c>
      <c r="I1023" t="s">
        <v>221</v>
      </c>
      <c r="J1023" s="25">
        <v>2</v>
      </c>
      <c r="K1023" s="26">
        <v>0.36</v>
      </c>
      <c r="L1023" s="26">
        <v>0</v>
      </c>
    </row>
    <row r="1024" spans="1:12" ht="16" customHeight="1">
      <c r="A1024" t="s">
        <v>430</v>
      </c>
      <c r="B1024" t="s">
        <v>4</v>
      </c>
      <c r="C1024" t="s">
        <v>46</v>
      </c>
      <c r="D1024" s="24">
        <v>46113</v>
      </c>
      <c r="E1024" t="s">
        <v>453</v>
      </c>
      <c r="F1024" t="s">
        <v>6</v>
      </c>
      <c r="G1024" t="s">
        <v>505</v>
      </c>
      <c r="H1024" t="s">
        <v>505</v>
      </c>
      <c r="I1024" t="s">
        <v>212</v>
      </c>
      <c r="J1024" s="25">
        <v>17992610</v>
      </c>
      <c r="K1024" s="26">
        <v>2835265.53</v>
      </c>
      <c r="L1024" s="26">
        <v>8813.5</v>
      </c>
    </row>
    <row r="1025" spans="1:12" ht="16" customHeight="1">
      <c r="A1025" t="s">
        <v>430</v>
      </c>
      <c r="B1025" t="s">
        <v>4</v>
      </c>
      <c r="C1025" t="s">
        <v>46</v>
      </c>
      <c r="D1025" s="24">
        <v>46113</v>
      </c>
      <c r="E1025" t="s">
        <v>458</v>
      </c>
      <c r="F1025" t="s">
        <v>6</v>
      </c>
      <c r="G1025" t="s">
        <v>506</v>
      </c>
      <c r="H1025" t="s">
        <v>506</v>
      </c>
      <c r="I1025" t="s">
        <v>212</v>
      </c>
      <c r="J1025" s="25">
        <v>210243</v>
      </c>
      <c r="K1025" s="26">
        <v>33213.360000000001</v>
      </c>
      <c r="L1025" s="26">
        <v>164.21</v>
      </c>
    </row>
    <row r="1026" spans="1:12" ht="16" customHeight="1">
      <c r="A1026" t="s">
        <v>430</v>
      </c>
      <c r="B1026" t="s">
        <v>4</v>
      </c>
      <c r="C1026" t="s">
        <v>46</v>
      </c>
      <c r="D1026" s="24">
        <v>46113</v>
      </c>
      <c r="E1026" t="s">
        <v>462</v>
      </c>
      <c r="F1026" t="s">
        <v>6</v>
      </c>
      <c r="G1026" t="s">
        <v>505</v>
      </c>
      <c r="H1026" t="s">
        <v>505</v>
      </c>
      <c r="I1026" t="s">
        <v>219</v>
      </c>
      <c r="J1026" s="25">
        <v>2707</v>
      </c>
      <c r="K1026" s="26">
        <v>432.27</v>
      </c>
      <c r="L1026" s="26">
        <v>3.71</v>
      </c>
    </row>
    <row r="1027" spans="1:12" ht="16" customHeight="1">
      <c r="A1027" t="s">
        <v>430</v>
      </c>
      <c r="B1027" t="s">
        <v>4</v>
      </c>
      <c r="C1027" t="s">
        <v>46</v>
      </c>
      <c r="D1027" s="24">
        <v>46113</v>
      </c>
      <c r="E1027" t="s">
        <v>467</v>
      </c>
      <c r="F1027" t="s">
        <v>6</v>
      </c>
      <c r="G1027" t="s">
        <v>505</v>
      </c>
      <c r="H1027" t="s">
        <v>505</v>
      </c>
      <c r="I1027" t="s">
        <v>219</v>
      </c>
      <c r="J1027" s="25">
        <v>18</v>
      </c>
      <c r="K1027" s="26">
        <v>2.94</v>
      </c>
      <c r="L1027" s="26">
        <v>0.03</v>
      </c>
    </row>
    <row r="1028" spans="1:12" ht="16" customHeight="1">
      <c r="A1028" t="s">
        <v>430</v>
      </c>
      <c r="B1028" t="s">
        <v>4</v>
      </c>
      <c r="C1028" t="s">
        <v>46</v>
      </c>
      <c r="D1028" s="24">
        <v>46113</v>
      </c>
      <c r="E1028" t="s">
        <v>475</v>
      </c>
      <c r="F1028" t="s">
        <v>5</v>
      </c>
      <c r="G1028" t="s">
        <v>510</v>
      </c>
      <c r="H1028" t="s">
        <v>510</v>
      </c>
      <c r="I1028" t="s">
        <v>219</v>
      </c>
      <c r="J1028" s="25">
        <v>2427</v>
      </c>
      <c r="K1028" s="26">
        <v>392.86</v>
      </c>
      <c r="L1028" s="26">
        <v>5.23</v>
      </c>
    </row>
    <row r="1029" spans="1:12" ht="16" customHeight="1">
      <c r="A1029" t="s">
        <v>430</v>
      </c>
      <c r="B1029" t="s">
        <v>4</v>
      </c>
      <c r="C1029" t="s">
        <v>46</v>
      </c>
      <c r="D1029" s="24">
        <v>46113</v>
      </c>
      <c r="E1029" t="s">
        <v>496</v>
      </c>
      <c r="F1029" t="s">
        <v>6</v>
      </c>
      <c r="G1029" t="s">
        <v>506</v>
      </c>
      <c r="H1029" t="s">
        <v>506</v>
      </c>
      <c r="I1029" t="s">
        <v>221</v>
      </c>
      <c r="J1029" s="25">
        <v>3</v>
      </c>
      <c r="K1029" s="26">
        <v>0.54</v>
      </c>
      <c r="L1029" s="26">
        <v>0</v>
      </c>
    </row>
    <row r="1030" spans="1:12" ht="16" customHeight="1">
      <c r="A1030" t="s">
        <v>451</v>
      </c>
      <c r="B1030" t="s">
        <v>5</v>
      </c>
      <c r="C1030" t="s">
        <v>47</v>
      </c>
      <c r="D1030" s="24">
        <v>46113</v>
      </c>
      <c r="E1030" t="s">
        <v>453</v>
      </c>
      <c r="F1030" t="s">
        <v>6</v>
      </c>
      <c r="G1030" t="s">
        <v>505</v>
      </c>
      <c r="H1030" t="s">
        <v>505</v>
      </c>
      <c r="I1030" t="s">
        <v>212</v>
      </c>
      <c r="J1030" s="25">
        <v>90849550</v>
      </c>
      <c r="K1030" s="26">
        <v>14325221.789999999</v>
      </c>
      <c r="L1030" s="26">
        <v>32847.050000000003</v>
      </c>
    </row>
    <row r="1031" spans="1:12" ht="16" customHeight="1">
      <c r="A1031" t="s">
        <v>451</v>
      </c>
      <c r="B1031" t="s">
        <v>5</v>
      </c>
      <c r="C1031" t="s">
        <v>47</v>
      </c>
      <c r="D1031" s="24">
        <v>46113</v>
      </c>
      <c r="E1031" t="s">
        <v>458</v>
      </c>
      <c r="F1031" t="s">
        <v>6</v>
      </c>
      <c r="G1031" t="s">
        <v>506</v>
      </c>
      <c r="H1031" t="s">
        <v>506</v>
      </c>
      <c r="I1031" t="s">
        <v>212</v>
      </c>
      <c r="J1031" s="25">
        <v>484520</v>
      </c>
      <c r="K1031" s="26">
        <v>76314.84</v>
      </c>
      <c r="L1031" s="26">
        <v>399.81</v>
      </c>
    </row>
    <row r="1032" spans="1:12" ht="16" customHeight="1">
      <c r="A1032" t="s">
        <v>451</v>
      </c>
      <c r="B1032" t="s">
        <v>5</v>
      </c>
      <c r="C1032" t="s">
        <v>47</v>
      </c>
      <c r="D1032" s="24">
        <v>46113</v>
      </c>
      <c r="E1032" t="s">
        <v>462</v>
      </c>
      <c r="F1032" t="s">
        <v>6</v>
      </c>
      <c r="G1032" t="s">
        <v>505</v>
      </c>
      <c r="H1032" t="s">
        <v>505</v>
      </c>
      <c r="I1032" t="s">
        <v>219</v>
      </c>
      <c r="J1032" s="25">
        <v>5539</v>
      </c>
      <c r="K1032" s="26">
        <v>886.09</v>
      </c>
      <c r="L1032" s="26">
        <v>8.1300000000000008</v>
      </c>
    </row>
    <row r="1033" spans="1:12" ht="16" customHeight="1">
      <c r="A1033" t="s">
        <v>451</v>
      </c>
      <c r="B1033" t="s">
        <v>5</v>
      </c>
      <c r="C1033" t="s">
        <v>47</v>
      </c>
      <c r="D1033" s="24">
        <v>46113</v>
      </c>
      <c r="E1033" t="s">
        <v>467</v>
      </c>
      <c r="F1033" t="s">
        <v>6</v>
      </c>
      <c r="G1033" t="s">
        <v>505</v>
      </c>
      <c r="H1033" t="s">
        <v>505</v>
      </c>
      <c r="I1033" t="s">
        <v>219</v>
      </c>
      <c r="J1033" s="25">
        <v>74</v>
      </c>
      <c r="K1033" s="26">
        <v>11.88</v>
      </c>
      <c r="L1033" s="26">
        <v>0.23</v>
      </c>
    </row>
    <row r="1034" spans="1:12" ht="16" customHeight="1">
      <c r="A1034" t="s">
        <v>451</v>
      </c>
      <c r="B1034" t="s">
        <v>5</v>
      </c>
      <c r="C1034" t="s">
        <v>47</v>
      </c>
      <c r="D1034" s="24">
        <v>46113</v>
      </c>
      <c r="E1034" t="s">
        <v>475</v>
      </c>
      <c r="F1034" t="s">
        <v>5</v>
      </c>
      <c r="G1034" t="s">
        <v>510</v>
      </c>
      <c r="H1034" t="s">
        <v>510</v>
      </c>
      <c r="I1034" t="s">
        <v>219</v>
      </c>
      <c r="J1034" s="25">
        <v>3095</v>
      </c>
      <c r="K1034" s="26">
        <v>500.37</v>
      </c>
      <c r="L1034" s="26">
        <v>6.34</v>
      </c>
    </row>
    <row r="1035" spans="1:12" ht="16" customHeight="1">
      <c r="A1035" t="s">
        <v>451</v>
      </c>
      <c r="B1035" t="s">
        <v>5</v>
      </c>
      <c r="C1035" t="s">
        <v>47</v>
      </c>
      <c r="D1035" s="24">
        <v>46113</v>
      </c>
      <c r="E1035" t="s">
        <v>496</v>
      </c>
      <c r="F1035" t="s">
        <v>6</v>
      </c>
      <c r="G1035" t="s">
        <v>506</v>
      </c>
      <c r="H1035" t="s">
        <v>506</v>
      </c>
      <c r="I1035" t="s">
        <v>221</v>
      </c>
      <c r="J1035" s="25">
        <v>2</v>
      </c>
      <c r="K1035" s="26">
        <v>0.34</v>
      </c>
      <c r="L1035" s="26">
        <v>0</v>
      </c>
    </row>
    <row r="1036" spans="1:12" ht="16" customHeight="1">
      <c r="A1036" t="s">
        <v>453</v>
      </c>
      <c r="B1036" t="s">
        <v>6</v>
      </c>
      <c r="C1036" t="s">
        <v>47</v>
      </c>
      <c r="D1036" s="24">
        <v>46113</v>
      </c>
      <c r="E1036" t="s">
        <v>453</v>
      </c>
      <c r="F1036" t="s">
        <v>6</v>
      </c>
      <c r="G1036" t="s">
        <v>505</v>
      </c>
      <c r="H1036" t="s">
        <v>505</v>
      </c>
      <c r="I1036" t="s">
        <v>212</v>
      </c>
      <c r="J1036" s="25">
        <v>500132473</v>
      </c>
      <c r="K1036" s="26">
        <v>77968662.680000007</v>
      </c>
      <c r="L1036" s="26">
        <v>55799.77</v>
      </c>
    </row>
    <row r="1037" spans="1:12" ht="16" customHeight="1">
      <c r="A1037" t="s">
        <v>453</v>
      </c>
      <c r="B1037" t="s">
        <v>6</v>
      </c>
      <c r="C1037" t="s">
        <v>47</v>
      </c>
      <c r="D1037" s="24">
        <v>46113</v>
      </c>
      <c r="E1037" t="s">
        <v>458</v>
      </c>
      <c r="F1037" t="s">
        <v>6</v>
      </c>
      <c r="G1037" t="s">
        <v>506</v>
      </c>
      <c r="H1037" t="s">
        <v>506</v>
      </c>
      <c r="I1037" t="s">
        <v>212</v>
      </c>
      <c r="J1037" s="25">
        <v>1614722</v>
      </c>
      <c r="K1037" s="26">
        <v>252704.85</v>
      </c>
      <c r="L1037" s="26">
        <v>1214.97</v>
      </c>
    </row>
    <row r="1038" spans="1:12" ht="16" customHeight="1">
      <c r="A1038" t="s">
        <v>453</v>
      </c>
      <c r="B1038" t="s">
        <v>6</v>
      </c>
      <c r="C1038" t="s">
        <v>47</v>
      </c>
      <c r="D1038" s="24">
        <v>46113</v>
      </c>
      <c r="E1038" t="s">
        <v>462</v>
      </c>
      <c r="F1038" t="s">
        <v>6</v>
      </c>
      <c r="G1038" t="s">
        <v>505</v>
      </c>
      <c r="H1038" t="s">
        <v>505</v>
      </c>
      <c r="I1038" t="s">
        <v>219</v>
      </c>
      <c r="J1038" s="25">
        <v>12004</v>
      </c>
      <c r="K1038" s="26">
        <v>1915.28</v>
      </c>
      <c r="L1038" s="26">
        <v>15.62</v>
      </c>
    </row>
    <row r="1039" spans="1:12" ht="16" customHeight="1">
      <c r="A1039" t="s">
        <v>453</v>
      </c>
      <c r="B1039" t="s">
        <v>6</v>
      </c>
      <c r="C1039" t="s">
        <v>47</v>
      </c>
      <c r="D1039" s="24">
        <v>46113</v>
      </c>
      <c r="E1039" t="s">
        <v>467</v>
      </c>
      <c r="F1039" t="s">
        <v>6</v>
      </c>
      <c r="G1039" t="s">
        <v>505</v>
      </c>
      <c r="H1039" t="s">
        <v>505</v>
      </c>
      <c r="I1039" t="s">
        <v>219</v>
      </c>
      <c r="J1039" s="25">
        <v>115</v>
      </c>
      <c r="K1039" s="26">
        <v>18.28</v>
      </c>
      <c r="L1039" s="26">
        <v>0.34</v>
      </c>
    </row>
    <row r="1040" spans="1:12" ht="16" customHeight="1">
      <c r="A1040" t="s">
        <v>453</v>
      </c>
      <c r="B1040" t="s">
        <v>6</v>
      </c>
      <c r="C1040" t="s">
        <v>47</v>
      </c>
      <c r="D1040" s="24">
        <v>46113</v>
      </c>
      <c r="E1040" t="s">
        <v>472</v>
      </c>
      <c r="F1040" t="s">
        <v>6</v>
      </c>
      <c r="G1040" t="s">
        <v>505</v>
      </c>
      <c r="H1040" t="s">
        <v>505</v>
      </c>
      <c r="I1040" t="s">
        <v>219</v>
      </c>
      <c r="J1040" s="25">
        <v>2</v>
      </c>
      <c r="K1040" s="26">
        <v>0.32</v>
      </c>
      <c r="L1040" s="26">
        <v>0.02</v>
      </c>
    </row>
    <row r="1041" spans="1:12" ht="16" customHeight="1">
      <c r="A1041" t="s">
        <v>453</v>
      </c>
      <c r="B1041" t="s">
        <v>6</v>
      </c>
      <c r="C1041" t="s">
        <v>47</v>
      </c>
      <c r="D1041" s="24">
        <v>46113</v>
      </c>
      <c r="E1041" t="s">
        <v>475</v>
      </c>
      <c r="F1041" t="s">
        <v>5</v>
      </c>
      <c r="G1041" t="s">
        <v>510</v>
      </c>
      <c r="H1041" t="s">
        <v>510</v>
      </c>
      <c r="I1041" t="s">
        <v>219</v>
      </c>
      <c r="J1041" s="25">
        <v>3965</v>
      </c>
      <c r="K1041" s="26">
        <v>641.44000000000005</v>
      </c>
      <c r="L1041" s="26">
        <v>7.78</v>
      </c>
    </row>
    <row r="1042" spans="1:12" ht="16" customHeight="1">
      <c r="A1042" t="s">
        <v>453</v>
      </c>
      <c r="B1042" t="s">
        <v>6</v>
      </c>
      <c r="C1042" t="s">
        <v>47</v>
      </c>
      <c r="D1042" s="24">
        <v>46113</v>
      </c>
      <c r="E1042" t="s">
        <v>496</v>
      </c>
      <c r="F1042" t="s">
        <v>6</v>
      </c>
      <c r="G1042" t="s">
        <v>506</v>
      </c>
      <c r="H1042" t="s">
        <v>506</v>
      </c>
      <c r="I1042" t="s">
        <v>221</v>
      </c>
      <c r="J1042" s="25">
        <v>13</v>
      </c>
      <c r="K1042" s="26">
        <v>2.34</v>
      </c>
      <c r="L1042" s="26">
        <v>0</v>
      </c>
    </row>
    <row r="1043" spans="1:12" ht="16" customHeight="1">
      <c r="A1043" t="s">
        <v>454</v>
      </c>
      <c r="B1043" t="s">
        <v>7</v>
      </c>
      <c r="C1043" t="s">
        <v>47</v>
      </c>
      <c r="D1043" s="24">
        <v>46113</v>
      </c>
      <c r="E1043" t="s">
        <v>458</v>
      </c>
      <c r="F1043" t="s">
        <v>6</v>
      </c>
      <c r="G1043" t="s">
        <v>506</v>
      </c>
      <c r="H1043" t="s">
        <v>508</v>
      </c>
      <c r="I1043" t="s">
        <v>212</v>
      </c>
      <c r="J1043" s="25">
        <v>12823711</v>
      </c>
      <c r="K1043" s="26">
        <v>1981501.23</v>
      </c>
      <c r="L1043" s="26">
        <v>9254.7099999999991</v>
      </c>
    </row>
    <row r="1044" spans="1:12" ht="16" customHeight="1">
      <c r="A1044" t="s">
        <v>454</v>
      </c>
      <c r="B1044" t="s">
        <v>7</v>
      </c>
      <c r="C1044" t="s">
        <v>47</v>
      </c>
      <c r="D1044" s="24">
        <v>46113</v>
      </c>
      <c r="E1044" t="s">
        <v>462</v>
      </c>
      <c r="F1044" t="s">
        <v>6</v>
      </c>
      <c r="G1044" t="s">
        <v>505</v>
      </c>
      <c r="H1044" t="s">
        <v>505</v>
      </c>
      <c r="I1044" t="s">
        <v>219</v>
      </c>
      <c r="J1044" s="25">
        <v>45252</v>
      </c>
      <c r="K1044" s="26">
        <v>7103.25</v>
      </c>
      <c r="L1044" s="26">
        <v>54.62</v>
      </c>
    </row>
    <row r="1045" spans="1:12" ht="16" customHeight="1">
      <c r="A1045" t="s">
        <v>454</v>
      </c>
      <c r="B1045" t="s">
        <v>7</v>
      </c>
      <c r="C1045" t="s">
        <v>47</v>
      </c>
      <c r="D1045" s="24">
        <v>46113</v>
      </c>
      <c r="E1045" t="s">
        <v>467</v>
      </c>
      <c r="F1045" t="s">
        <v>6</v>
      </c>
      <c r="G1045" t="s">
        <v>505</v>
      </c>
      <c r="H1045" t="s">
        <v>505</v>
      </c>
      <c r="I1045" t="s">
        <v>219</v>
      </c>
      <c r="J1045" s="25">
        <v>356</v>
      </c>
      <c r="K1045" s="26">
        <v>55.92</v>
      </c>
      <c r="L1045" s="26">
        <v>1.06</v>
      </c>
    </row>
    <row r="1046" spans="1:12" ht="16" customHeight="1">
      <c r="A1046" t="s">
        <v>454</v>
      </c>
      <c r="B1046" t="s">
        <v>7</v>
      </c>
      <c r="C1046" t="s">
        <v>47</v>
      </c>
      <c r="D1046" s="24">
        <v>46113</v>
      </c>
      <c r="E1046" t="s">
        <v>472</v>
      </c>
      <c r="F1046" t="s">
        <v>6</v>
      </c>
      <c r="G1046" t="s">
        <v>505</v>
      </c>
      <c r="H1046" t="s">
        <v>505</v>
      </c>
      <c r="I1046" t="s">
        <v>219</v>
      </c>
      <c r="J1046" s="25">
        <v>1</v>
      </c>
      <c r="K1046" s="26">
        <v>0.16</v>
      </c>
      <c r="L1046" s="26">
        <v>0</v>
      </c>
    </row>
    <row r="1047" spans="1:12" ht="16" customHeight="1">
      <c r="A1047" t="s">
        <v>454</v>
      </c>
      <c r="B1047" t="s">
        <v>7</v>
      </c>
      <c r="C1047" t="s">
        <v>47</v>
      </c>
      <c r="D1047" s="24">
        <v>46113</v>
      </c>
      <c r="E1047" t="s">
        <v>475</v>
      </c>
      <c r="F1047" t="s">
        <v>5</v>
      </c>
      <c r="G1047" t="s">
        <v>510</v>
      </c>
      <c r="H1047" t="s">
        <v>510</v>
      </c>
      <c r="I1047" t="s">
        <v>219</v>
      </c>
      <c r="J1047" s="25">
        <v>4970</v>
      </c>
      <c r="K1047" s="26">
        <v>795.3</v>
      </c>
      <c r="L1047" s="26">
        <v>10.199999999999999</v>
      </c>
    </row>
    <row r="1048" spans="1:12" ht="16" customHeight="1">
      <c r="A1048" t="s">
        <v>454</v>
      </c>
      <c r="B1048" t="s">
        <v>7</v>
      </c>
      <c r="C1048" t="s">
        <v>47</v>
      </c>
      <c r="D1048" s="24">
        <v>46113</v>
      </c>
      <c r="E1048" t="s">
        <v>496</v>
      </c>
      <c r="F1048" t="s">
        <v>6</v>
      </c>
      <c r="G1048" t="s">
        <v>506</v>
      </c>
      <c r="H1048" t="s">
        <v>506</v>
      </c>
      <c r="I1048" t="s">
        <v>221</v>
      </c>
      <c r="J1048" s="25">
        <v>165</v>
      </c>
      <c r="K1048" s="26">
        <v>26.33</v>
      </c>
      <c r="L1048" s="26">
        <v>0.75</v>
      </c>
    </row>
    <row r="1049" spans="1:12" ht="16" customHeight="1">
      <c r="A1049" t="s">
        <v>455</v>
      </c>
      <c r="B1049" t="s">
        <v>3</v>
      </c>
      <c r="C1049" t="s">
        <v>47</v>
      </c>
      <c r="D1049" s="24">
        <v>46113</v>
      </c>
      <c r="E1049" t="s">
        <v>458</v>
      </c>
      <c r="F1049" t="s">
        <v>6</v>
      </c>
      <c r="G1049" t="s">
        <v>506</v>
      </c>
      <c r="H1049" t="s">
        <v>508</v>
      </c>
      <c r="I1049" t="s">
        <v>212</v>
      </c>
      <c r="J1049" s="25">
        <v>15077713</v>
      </c>
      <c r="K1049" s="26">
        <v>2334229.15</v>
      </c>
      <c r="L1049" s="26">
        <v>8788.36</v>
      </c>
    </row>
    <row r="1050" spans="1:12" ht="16" customHeight="1">
      <c r="A1050" t="s">
        <v>455</v>
      </c>
      <c r="B1050" t="s">
        <v>3</v>
      </c>
      <c r="C1050" t="s">
        <v>47</v>
      </c>
      <c r="D1050" s="24">
        <v>46113</v>
      </c>
      <c r="E1050" t="s">
        <v>462</v>
      </c>
      <c r="F1050" t="s">
        <v>6</v>
      </c>
      <c r="G1050" t="s">
        <v>505</v>
      </c>
      <c r="H1050" t="s">
        <v>505</v>
      </c>
      <c r="I1050" t="s">
        <v>219</v>
      </c>
      <c r="J1050" s="25">
        <v>84862</v>
      </c>
      <c r="K1050" s="26">
        <v>13284.34</v>
      </c>
      <c r="L1050" s="26">
        <v>77.06</v>
      </c>
    </row>
    <row r="1051" spans="1:12" ht="16" customHeight="1">
      <c r="A1051" t="s">
        <v>455</v>
      </c>
      <c r="B1051" t="s">
        <v>3</v>
      </c>
      <c r="C1051" t="s">
        <v>47</v>
      </c>
      <c r="D1051" s="24">
        <v>46113</v>
      </c>
      <c r="E1051" t="s">
        <v>467</v>
      </c>
      <c r="F1051" t="s">
        <v>6</v>
      </c>
      <c r="G1051" t="s">
        <v>505</v>
      </c>
      <c r="H1051" t="s">
        <v>505</v>
      </c>
      <c r="I1051" t="s">
        <v>219</v>
      </c>
      <c r="J1051" s="25">
        <v>695</v>
      </c>
      <c r="K1051" s="26">
        <v>109.96</v>
      </c>
      <c r="L1051" s="26">
        <v>1.84</v>
      </c>
    </row>
    <row r="1052" spans="1:12" ht="16" customHeight="1">
      <c r="A1052" t="s">
        <v>455</v>
      </c>
      <c r="B1052" t="s">
        <v>3</v>
      </c>
      <c r="C1052" t="s">
        <v>47</v>
      </c>
      <c r="D1052" s="24">
        <v>46113</v>
      </c>
      <c r="E1052" t="s">
        <v>472</v>
      </c>
      <c r="F1052" t="s">
        <v>6</v>
      </c>
      <c r="G1052" t="s">
        <v>505</v>
      </c>
      <c r="H1052" t="s">
        <v>505</v>
      </c>
      <c r="I1052" t="s">
        <v>219</v>
      </c>
      <c r="J1052" s="25">
        <v>34</v>
      </c>
      <c r="K1052" s="26">
        <v>5.7</v>
      </c>
      <c r="L1052" s="26">
        <v>0.01</v>
      </c>
    </row>
    <row r="1053" spans="1:12" ht="16" customHeight="1">
      <c r="A1053" t="s">
        <v>455</v>
      </c>
      <c r="B1053" t="s">
        <v>3</v>
      </c>
      <c r="C1053" t="s">
        <v>47</v>
      </c>
      <c r="D1053" s="24">
        <v>46113</v>
      </c>
      <c r="E1053" t="s">
        <v>475</v>
      </c>
      <c r="F1053" t="s">
        <v>5</v>
      </c>
      <c r="G1053" t="s">
        <v>510</v>
      </c>
      <c r="H1053" t="s">
        <v>510</v>
      </c>
      <c r="I1053" t="s">
        <v>219</v>
      </c>
      <c r="J1053" s="25">
        <v>3499</v>
      </c>
      <c r="K1053" s="26">
        <v>556.12</v>
      </c>
      <c r="L1053" s="26">
        <v>6.86</v>
      </c>
    </row>
    <row r="1054" spans="1:12" ht="16" customHeight="1">
      <c r="A1054" t="s">
        <v>455</v>
      </c>
      <c r="B1054" t="s">
        <v>3</v>
      </c>
      <c r="C1054" t="s">
        <v>47</v>
      </c>
      <c r="D1054" s="24">
        <v>46113</v>
      </c>
      <c r="E1054" t="s">
        <v>496</v>
      </c>
      <c r="F1054" t="s">
        <v>6</v>
      </c>
      <c r="G1054" t="s">
        <v>506</v>
      </c>
      <c r="H1054" t="s">
        <v>506</v>
      </c>
      <c r="I1054" t="s">
        <v>221</v>
      </c>
      <c r="J1054" s="25">
        <v>15</v>
      </c>
      <c r="K1054" s="26">
        <v>2.44</v>
      </c>
      <c r="L1054" s="26">
        <v>0.06</v>
      </c>
    </row>
    <row r="1055" spans="1:12" ht="16" customHeight="1">
      <c r="A1055" t="s">
        <v>387</v>
      </c>
      <c r="B1055" t="s">
        <v>4</v>
      </c>
      <c r="C1055" t="s">
        <v>47</v>
      </c>
      <c r="D1055" s="24">
        <v>46113</v>
      </c>
      <c r="E1055" t="s">
        <v>458</v>
      </c>
      <c r="F1055" t="s">
        <v>6</v>
      </c>
      <c r="G1055" t="s">
        <v>506</v>
      </c>
      <c r="H1055" t="s">
        <v>508</v>
      </c>
      <c r="I1055" t="s">
        <v>212</v>
      </c>
      <c r="J1055" s="25">
        <v>22416130</v>
      </c>
      <c r="K1055" s="26">
        <v>3461499.07</v>
      </c>
      <c r="L1055" s="26">
        <v>9127.0300000000007</v>
      </c>
    </row>
    <row r="1056" spans="1:12" ht="16" customHeight="1">
      <c r="A1056" t="s">
        <v>387</v>
      </c>
      <c r="B1056" t="s">
        <v>4</v>
      </c>
      <c r="C1056" t="s">
        <v>47</v>
      </c>
      <c r="D1056" s="24">
        <v>46113</v>
      </c>
      <c r="E1056" t="s">
        <v>462</v>
      </c>
      <c r="F1056" t="s">
        <v>6</v>
      </c>
      <c r="G1056" t="s">
        <v>505</v>
      </c>
      <c r="H1056" t="s">
        <v>505</v>
      </c>
      <c r="I1056" t="s">
        <v>219</v>
      </c>
      <c r="J1056" s="25">
        <v>215690</v>
      </c>
      <c r="K1056" s="26">
        <v>33549.64</v>
      </c>
      <c r="L1056" s="26">
        <v>143.74</v>
      </c>
    </row>
    <row r="1057" spans="1:12" ht="16" customHeight="1">
      <c r="A1057" t="s">
        <v>387</v>
      </c>
      <c r="B1057" t="s">
        <v>4</v>
      </c>
      <c r="C1057" t="s">
        <v>47</v>
      </c>
      <c r="D1057" s="24">
        <v>46113</v>
      </c>
      <c r="E1057" t="s">
        <v>467</v>
      </c>
      <c r="F1057" t="s">
        <v>6</v>
      </c>
      <c r="G1057" t="s">
        <v>505</v>
      </c>
      <c r="H1057" t="s">
        <v>505</v>
      </c>
      <c r="I1057" t="s">
        <v>219</v>
      </c>
      <c r="J1057" s="25">
        <v>1116</v>
      </c>
      <c r="K1057" s="26">
        <v>177.22</v>
      </c>
      <c r="L1057" s="26">
        <v>1.53</v>
      </c>
    </row>
    <row r="1058" spans="1:12" ht="16" customHeight="1">
      <c r="A1058" t="s">
        <v>387</v>
      </c>
      <c r="B1058" t="s">
        <v>4</v>
      </c>
      <c r="C1058" t="s">
        <v>47</v>
      </c>
      <c r="D1058" s="24">
        <v>46113</v>
      </c>
      <c r="E1058" t="s">
        <v>472</v>
      </c>
      <c r="F1058" t="s">
        <v>6</v>
      </c>
      <c r="G1058" t="s">
        <v>505</v>
      </c>
      <c r="H1058" t="s">
        <v>505</v>
      </c>
      <c r="I1058" t="s">
        <v>219</v>
      </c>
      <c r="J1058" s="25">
        <v>141</v>
      </c>
      <c r="K1058" s="26">
        <v>22.08</v>
      </c>
      <c r="L1058" s="26">
        <v>0.56999999999999995</v>
      </c>
    </row>
    <row r="1059" spans="1:12" ht="16" customHeight="1">
      <c r="A1059" t="s">
        <v>387</v>
      </c>
      <c r="B1059" t="s">
        <v>4</v>
      </c>
      <c r="C1059" t="s">
        <v>47</v>
      </c>
      <c r="D1059" s="24">
        <v>46113</v>
      </c>
      <c r="E1059" t="s">
        <v>475</v>
      </c>
      <c r="F1059" t="s">
        <v>5</v>
      </c>
      <c r="G1059" t="s">
        <v>510</v>
      </c>
      <c r="H1059" t="s">
        <v>510</v>
      </c>
      <c r="I1059" t="s">
        <v>219</v>
      </c>
      <c r="J1059" s="25">
        <v>6361</v>
      </c>
      <c r="K1059" s="26">
        <v>1004.64</v>
      </c>
      <c r="L1059" s="26">
        <v>11.1</v>
      </c>
    </row>
    <row r="1060" spans="1:12" ht="16" customHeight="1">
      <c r="A1060" t="s">
        <v>387</v>
      </c>
      <c r="B1060" t="s">
        <v>4</v>
      </c>
      <c r="C1060" t="s">
        <v>47</v>
      </c>
      <c r="D1060" s="24">
        <v>46113</v>
      </c>
      <c r="E1060" t="s">
        <v>496</v>
      </c>
      <c r="F1060" t="s">
        <v>6</v>
      </c>
      <c r="G1060" t="s">
        <v>506</v>
      </c>
      <c r="H1060" t="s">
        <v>506</v>
      </c>
      <c r="I1060" t="s">
        <v>221</v>
      </c>
      <c r="J1060" s="25">
        <v>85</v>
      </c>
      <c r="K1060" s="26">
        <v>13.52</v>
      </c>
      <c r="L1060" s="26">
        <v>0.4</v>
      </c>
    </row>
    <row r="1061" spans="1:12" ht="16" customHeight="1">
      <c r="A1061" t="s">
        <v>456</v>
      </c>
      <c r="B1061" t="s">
        <v>5</v>
      </c>
      <c r="C1061" t="s">
        <v>48</v>
      </c>
      <c r="D1061" s="24">
        <v>46113</v>
      </c>
      <c r="E1061" t="s">
        <v>458</v>
      </c>
      <c r="F1061" t="s">
        <v>6</v>
      </c>
      <c r="G1061" t="s">
        <v>506</v>
      </c>
      <c r="H1061" t="s">
        <v>508</v>
      </c>
      <c r="I1061" t="s">
        <v>212</v>
      </c>
      <c r="J1061" s="25">
        <v>114233559</v>
      </c>
      <c r="K1061" s="26">
        <v>17765882.670000002</v>
      </c>
      <c r="L1061" s="26">
        <v>36215.699999999997</v>
      </c>
    </row>
    <row r="1062" spans="1:12" ht="16" customHeight="1">
      <c r="A1062" t="s">
        <v>456</v>
      </c>
      <c r="B1062" t="s">
        <v>5</v>
      </c>
      <c r="C1062" t="s">
        <v>48</v>
      </c>
      <c r="D1062" s="24">
        <v>46113</v>
      </c>
      <c r="E1062" t="s">
        <v>462</v>
      </c>
      <c r="F1062" t="s">
        <v>6</v>
      </c>
      <c r="G1062" t="s">
        <v>505</v>
      </c>
      <c r="H1062" t="s">
        <v>505</v>
      </c>
      <c r="I1062" t="s">
        <v>219</v>
      </c>
      <c r="J1062" s="25">
        <v>707340</v>
      </c>
      <c r="K1062" s="26">
        <v>109538.51</v>
      </c>
      <c r="L1062" s="26">
        <v>436.6</v>
      </c>
    </row>
    <row r="1063" spans="1:12" ht="16" customHeight="1">
      <c r="A1063" t="s">
        <v>456</v>
      </c>
      <c r="B1063" t="s">
        <v>5</v>
      </c>
      <c r="C1063" t="s">
        <v>48</v>
      </c>
      <c r="D1063" s="24">
        <v>46113</v>
      </c>
      <c r="E1063" t="s">
        <v>467</v>
      </c>
      <c r="F1063" t="s">
        <v>6</v>
      </c>
      <c r="G1063" t="s">
        <v>505</v>
      </c>
      <c r="H1063" t="s">
        <v>505</v>
      </c>
      <c r="I1063" t="s">
        <v>219</v>
      </c>
      <c r="J1063" s="25">
        <v>6391</v>
      </c>
      <c r="K1063" s="26">
        <v>1008.34</v>
      </c>
      <c r="L1063" s="26">
        <v>8.39</v>
      </c>
    </row>
    <row r="1064" spans="1:12" ht="16" customHeight="1">
      <c r="A1064" t="s">
        <v>456</v>
      </c>
      <c r="B1064" t="s">
        <v>5</v>
      </c>
      <c r="C1064" t="s">
        <v>48</v>
      </c>
      <c r="D1064" s="24">
        <v>46113</v>
      </c>
      <c r="E1064" t="s">
        <v>472</v>
      </c>
      <c r="F1064" t="s">
        <v>6</v>
      </c>
      <c r="G1064" t="s">
        <v>505</v>
      </c>
      <c r="H1064" t="s">
        <v>505</v>
      </c>
      <c r="I1064" t="s">
        <v>219</v>
      </c>
      <c r="J1064" s="25">
        <v>9</v>
      </c>
      <c r="K1064" s="26">
        <v>1.5</v>
      </c>
      <c r="L1064" s="26">
        <v>0</v>
      </c>
    </row>
    <row r="1065" spans="1:12" ht="16" customHeight="1">
      <c r="A1065" t="s">
        <v>456</v>
      </c>
      <c r="B1065" t="s">
        <v>5</v>
      </c>
      <c r="C1065" t="s">
        <v>48</v>
      </c>
      <c r="D1065" s="24">
        <v>46113</v>
      </c>
      <c r="E1065" t="s">
        <v>475</v>
      </c>
      <c r="F1065" t="s">
        <v>5</v>
      </c>
      <c r="G1065" t="s">
        <v>510</v>
      </c>
      <c r="H1065" t="s">
        <v>510</v>
      </c>
      <c r="I1065" t="s">
        <v>219</v>
      </c>
      <c r="J1065" s="25">
        <v>14201</v>
      </c>
      <c r="K1065" s="26">
        <v>2332.4699999999998</v>
      </c>
      <c r="L1065" s="26">
        <v>55.59</v>
      </c>
    </row>
    <row r="1066" spans="1:12" ht="16" customHeight="1">
      <c r="A1066" t="s">
        <v>456</v>
      </c>
      <c r="B1066" t="s">
        <v>5</v>
      </c>
      <c r="C1066" t="s">
        <v>48</v>
      </c>
      <c r="D1066" s="24">
        <v>46113</v>
      </c>
      <c r="E1066" t="s">
        <v>496</v>
      </c>
      <c r="F1066" t="s">
        <v>6</v>
      </c>
      <c r="G1066" t="s">
        <v>506</v>
      </c>
      <c r="H1066" t="s">
        <v>506</v>
      </c>
      <c r="I1066" t="s">
        <v>221</v>
      </c>
      <c r="J1066" s="25">
        <v>110</v>
      </c>
      <c r="K1066" s="26">
        <v>17.66</v>
      </c>
      <c r="L1066" s="26">
        <v>0.51</v>
      </c>
    </row>
    <row r="1067" spans="1:12" ht="16" customHeight="1">
      <c r="A1067" t="s">
        <v>458</v>
      </c>
      <c r="B1067" t="s">
        <v>6</v>
      </c>
      <c r="C1067" t="s">
        <v>48</v>
      </c>
      <c r="D1067" s="24">
        <v>46113</v>
      </c>
      <c r="E1067" t="s">
        <v>458</v>
      </c>
      <c r="F1067" t="s">
        <v>6</v>
      </c>
      <c r="G1067" t="s">
        <v>506</v>
      </c>
      <c r="H1067" t="s">
        <v>508</v>
      </c>
      <c r="I1067" t="s">
        <v>212</v>
      </c>
      <c r="J1067" s="25">
        <v>606194499</v>
      </c>
      <c r="K1067" s="26">
        <v>93277389.549999997</v>
      </c>
      <c r="L1067" s="26">
        <v>69857.149999999994</v>
      </c>
    </row>
    <row r="1068" spans="1:12" ht="16" customHeight="1">
      <c r="A1068" t="s">
        <v>458</v>
      </c>
      <c r="B1068" t="s">
        <v>6</v>
      </c>
      <c r="C1068" t="s">
        <v>48</v>
      </c>
      <c r="D1068" s="24">
        <v>46113</v>
      </c>
      <c r="E1068" t="s">
        <v>462</v>
      </c>
      <c r="F1068" t="s">
        <v>6</v>
      </c>
      <c r="G1068" t="s">
        <v>505</v>
      </c>
      <c r="H1068" t="s">
        <v>505</v>
      </c>
      <c r="I1068" t="s">
        <v>219</v>
      </c>
      <c r="J1068" s="25">
        <v>1990377</v>
      </c>
      <c r="K1068" s="26">
        <v>307599.39</v>
      </c>
      <c r="L1068" s="26">
        <v>1609.88</v>
      </c>
    </row>
    <row r="1069" spans="1:12" ht="16" customHeight="1">
      <c r="A1069" t="s">
        <v>458</v>
      </c>
      <c r="B1069" t="s">
        <v>6</v>
      </c>
      <c r="C1069" t="s">
        <v>48</v>
      </c>
      <c r="D1069" s="24">
        <v>46113</v>
      </c>
      <c r="E1069" t="s">
        <v>467</v>
      </c>
      <c r="F1069" t="s">
        <v>6</v>
      </c>
      <c r="G1069" t="s">
        <v>505</v>
      </c>
      <c r="H1069" t="s">
        <v>505</v>
      </c>
      <c r="I1069" t="s">
        <v>219</v>
      </c>
      <c r="J1069" s="25">
        <v>11154</v>
      </c>
      <c r="K1069" s="26">
        <v>1745.08</v>
      </c>
      <c r="L1069" s="26">
        <v>15.82</v>
      </c>
    </row>
    <row r="1070" spans="1:12" ht="16" customHeight="1">
      <c r="A1070" t="s">
        <v>458</v>
      </c>
      <c r="B1070" t="s">
        <v>6</v>
      </c>
      <c r="C1070" t="s">
        <v>48</v>
      </c>
      <c r="D1070" s="24">
        <v>46113</v>
      </c>
      <c r="E1070" t="s">
        <v>472</v>
      </c>
      <c r="F1070" t="s">
        <v>6</v>
      </c>
      <c r="G1070" t="s">
        <v>505</v>
      </c>
      <c r="H1070" t="s">
        <v>505</v>
      </c>
      <c r="I1070" t="s">
        <v>219</v>
      </c>
      <c r="J1070" s="25">
        <v>24</v>
      </c>
      <c r="K1070" s="26">
        <v>3.9</v>
      </c>
      <c r="L1070" s="26">
        <v>0.03</v>
      </c>
    </row>
    <row r="1071" spans="1:12" ht="16" customHeight="1">
      <c r="A1071" t="s">
        <v>458</v>
      </c>
      <c r="B1071" t="s">
        <v>6</v>
      </c>
      <c r="C1071" t="s">
        <v>48</v>
      </c>
      <c r="D1071" s="24">
        <v>46113</v>
      </c>
      <c r="E1071" t="s">
        <v>475</v>
      </c>
      <c r="F1071" t="s">
        <v>5</v>
      </c>
      <c r="G1071" t="s">
        <v>510</v>
      </c>
      <c r="H1071" t="s">
        <v>510</v>
      </c>
      <c r="I1071" t="s">
        <v>219</v>
      </c>
      <c r="J1071" s="25">
        <v>18371</v>
      </c>
      <c r="K1071" s="26">
        <v>2940.81</v>
      </c>
      <c r="L1071" s="26">
        <v>63.24</v>
      </c>
    </row>
    <row r="1072" spans="1:12" ht="16" customHeight="1">
      <c r="A1072" t="s">
        <v>458</v>
      </c>
      <c r="B1072" t="s">
        <v>6</v>
      </c>
      <c r="C1072" t="s">
        <v>48</v>
      </c>
      <c r="D1072" s="24">
        <v>46113</v>
      </c>
      <c r="E1072" t="s">
        <v>481</v>
      </c>
      <c r="F1072" t="s">
        <v>6</v>
      </c>
      <c r="G1072" t="s">
        <v>505</v>
      </c>
      <c r="H1072" t="s">
        <v>505</v>
      </c>
      <c r="I1072" t="s">
        <v>221</v>
      </c>
      <c r="J1072" s="25">
        <v>1</v>
      </c>
      <c r="K1072" s="26">
        <v>0.16</v>
      </c>
      <c r="L1072" s="26">
        <v>0</v>
      </c>
    </row>
    <row r="1073" spans="1:12" ht="16" customHeight="1">
      <c r="A1073" t="s">
        <v>458</v>
      </c>
      <c r="B1073" t="s">
        <v>6</v>
      </c>
      <c r="C1073" t="s">
        <v>48</v>
      </c>
      <c r="D1073" s="24">
        <v>46113</v>
      </c>
      <c r="E1073" t="s">
        <v>496</v>
      </c>
      <c r="F1073" t="s">
        <v>6</v>
      </c>
      <c r="G1073" t="s">
        <v>506</v>
      </c>
      <c r="H1073" t="s">
        <v>506</v>
      </c>
      <c r="I1073" t="s">
        <v>221</v>
      </c>
      <c r="J1073" s="25">
        <v>295</v>
      </c>
      <c r="K1073" s="26">
        <v>47.11</v>
      </c>
      <c r="L1073" s="26">
        <v>1.07</v>
      </c>
    </row>
    <row r="1074" spans="1:12" ht="16" customHeight="1">
      <c r="A1074" t="s">
        <v>459</v>
      </c>
      <c r="B1074" t="s">
        <v>3</v>
      </c>
      <c r="C1074" t="s">
        <v>49</v>
      </c>
      <c r="D1074" s="24">
        <v>46143</v>
      </c>
      <c r="E1074" t="s">
        <v>462</v>
      </c>
      <c r="F1074" t="s">
        <v>6</v>
      </c>
      <c r="G1074" t="s">
        <v>505</v>
      </c>
      <c r="H1074" t="s">
        <v>505</v>
      </c>
      <c r="I1074" t="s">
        <v>212</v>
      </c>
      <c r="J1074" s="25">
        <v>23860456</v>
      </c>
      <c r="K1074" s="26">
        <v>3709703.15</v>
      </c>
      <c r="L1074" s="26">
        <v>14848.56</v>
      </c>
    </row>
    <row r="1075" spans="1:12" ht="16" customHeight="1">
      <c r="A1075" t="s">
        <v>459</v>
      </c>
      <c r="B1075" t="s">
        <v>3</v>
      </c>
      <c r="C1075" t="s">
        <v>49</v>
      </c>
      <c r="D1075" s="24">
        <v>46143</v>
      </c>
      <c r="E1075" t="s">
        <v>467</v>
      </c>
      <c r="F1075" t="s">
        <v>6</v>
      </c>
      <c r="G1075" t="s">
        <v>505</v>
      </c>
      <c r="H1075" t="s">
        <v>505</v>
      </c>
      <c r="I1075" t="s">
        <v>212</v>
      </c>
      <c r="J1075" s="25">
        <v>90268</v>
      </c>
      <c r="K1075" s="26">
        <v>14188.96</v>
      </c>
      <c r="L1075" s="26">
        <v>97.6</v>
      </c>
    </row>
    <row r="1076" spans="1:12" ht="16" customHeight="1">
      <c r="A1076" t="s">
        <v>459</v>
      </c>
      <c r="B1076" t="s">
        <v>3</v>
      </c>
      <c r="C1076" t="s">
        <v>49</v>
      </c>
      <c r="D1076" s="24">
        <v>46143</v>
      </c>
      <c r="E1076" t="s">
        <v>472</v>
      </c>
      <c r="F1076" t="s">
        <v>6</v>
      </c>
      <c r="G1076" t="s">
        <v>505</v>
      </c>
      <c r="H1076" t="s">
        <v>505</v>
      </c>
      <c r="I1076" t="s">
        <v>212</v>
      </c>
      <c r="J1076" s="25">
        <v>1107</v>
      </c>
      <c r="K1076" s="26">
        <v>174.23</v>
      </c>
      <c r="L1076" s="26">
        <v>2.61</v>
      </c>
    </row>
    <row r="1077" spans="1:12" ht="16" customHeight="1">
      <c r="A1077" t="s">
        <v>459</v>
      </c>
      <c r="B1077" t="s">
        <v>3</v>
      </c>
      <c r="C1077" t="s">
        <v>49</v>
      </c>
      <c r="D1077" s="24">
        <v>46143</v>
      </c>
      <c r="E1077" t="s">
        <v>475</v>
      </c>
      <c r="F1077" t="s">
        <v>5</v>
      </c>
      <c r="G1077" t="s">
        <v>510</v>
      </c>
      <c r="H1077" t="s">
        <v>510</v>
      </c>
      <c r="I1077" t="s">
        <v>212</v>
      </c>
      <c r="J1077" s="25">
        <v>69728</v>
      </c>
      <c r="K1077" s="26">
        <v>12083.8</v>
      </c>
      <c r="L1077" s="26">
        <v>37.56</v>
      </c>
    </row>
    <row r="1078" spans="1:12" ht="16" customHeight="1">
      <c r="A1078" t="s">
        <v>459</v>
      </c>
      <c r="B1078" t="s">
        <v>3</v>
      </c>
      <c r="C1078" t="s">
        <v>49</v>
      </c>
      <c r="D1078" s="24">
        <v>46143</v>
      </c>
      <c r="E1078" t="s">
        <v>481</v>
      </c>
      <c r="F1078" t="s">
        <v>6</v>
      </c>
      <c r="G1078" t="s">
        <v>505</v>
      </c>
      <c r="H1078" t="s">
        <v>505</v>
      </c>
      <c r="I1078" t="s">
        <v>219</v>
      </c>
      <c r="J1078" s="25">
        <v>2</v>
      </c>
      <c r="K1078" s="26">
        <v>0.32</v>
      </c>
      <c r="L1078" s="26">
        <v>0.01</v>
      </c>
    </row>
    <row r="1079" spans="1:12" ht="16" customHeight="1">
      <c r="A1079" t="s">
        <v>459</v>
      </c>
      <c r="B1079" t="s">
        <v>3</v>
      </c>
      <c r="C1079" t="s">
        <v>49</v>
      </c>
      <c r="D1079" s="24">
        <v>46143</v>
      </c>
      <c r="E1079" t="s">
        <v>496</v>
      </c>
      <c r="F1079" t="s">
        <v>6</v>
      </c>
      <c r="G1079" t="s">
        <v>506</v>
      </c>
      <c r="H1079" t="s">
        <v>506</v>
      </c>
      <c r="I1079" t="s">
        <v>219</v>
      </c>
      <c r="J1079" s="25">
        <v>237</v>
      </c>
      <c r="K1079" s="26">
        <v>37.93</v>
      </c>
      <c r="L1079" s="26">
        <v>0.87</v>
      </c>
    </row>
    <row r="1080" spans="1:12" ht="16" customHeight="1">
      <c r="A1080" t="s">
        <v>436</v>
      </c>
      <c r="B1080" t="s">
        <v>4</v>
      </c>
      <c r="C1080" t="s">
        <v>49</v>
      </c>
      <c r="D1080" s="24">
        <v>46143</v>
      </c>
      <c r="E1080" t="s">
        <v>462</v>
      </c>
      <c r="F1080" t="s">
        <v>6</v>
      </c>
      <c r="G1080" t="s">
        <v>505</v>
      </c>
      <c r="H1080" t="s">
        <v>505</v>
      </c>
      <c r="I1080" t="s">
        <v>212</v>
      </c>
      <c r="J1080" s="25">
        <v>26472603</v>
      </c>
      <c r="K1080" s="26">
        <v>4095507</v>
      </c>
      <c r="L1080" s="26">
        <v>11795.14</v>
      </c>
    </row>
    <row r="1081" spans="1:12" ht="16" customHeight="1">
      <c r="A1081" t="s">
        <v>436</v>
      </c>
      <c r="B1081" t="s">
        <v>4</v>
      </c>
      <c r="C1081" t="s">
        <v>49</v>
      </c>
      <c r="D1081" s="24">
        <v>46143</v>
      </c>
      <c r="E1081" t="s">
        <v>467</v>
      </c>
      <c r="F1081" t="s">
        <v>6</v>
      </c>
      <c r="G1081" t="s">
        <v>505</v>
      </c>
      <c r="H1081" t="s">
        <v>505</v>
      </c>
      <c r="I1081" t="s">
        <v>212</v>
      </c>
      <c r="J1081" s="25">
        <v>189691</v>
      </c>
      <c r="K1081" s="26">
        <v>29466.46</v>
      </c>
      <c r="L1081" s="26">
        <v>143.28</v>
      </c>
    </row>
    <row r="1082" spans="1:12" ht="16" customHeight="1">
      <c r="A1082" t="s">
        <v>436</v>
      </c>
      <c r="B1082" t="s">
        <v>4</v>
      </c>
      <c r="C1082" t="s">
        <v>49</v>
      </c>
      <c r="D1082" s="24">
        <v>46143</v>
      </c>
      <c r="E1082" t="s">
        <v>472</v>
      </c>
      <c r="F1082" t="s">
        <v>6</v>
      </c>
      <c r="G1082" t="s">
        <v>505</v>
      </c>
      <c r="H1082" t="s">
        <v>505</v>
      </c>
      <c r="I1082" t="s">
        <v>212</v>
      </c>
      <c r="J1082" s="25">
        <v>639</v>
      </c>
      <c r="K1082" s="26">
        <v>100.32</v>
      </c>
      <c r="L1082" s="26">
        <v>1.28</v>
      </c>
    </row>
    <row r="1083" spans="1:12" ht="16" customHeight="1">
      <c r="A1083" t="s">
        <v>436</v>
      </c>
      <c r="B1083" t="s">
        <v>4</v>
      </c>
      <c r="C1083" t="s">
        <v>49</v>
      </c>
      <c r="D1083" s="24">
        <v>46143</v>
      </c>
      <c r="E1083" t="s">
        <v>475</v>
      </c>
      <c r="F1083" t="s">
        <v>5</v>
      </c>
      <c r="G1083" t="s">
        <v>510</v>
      </c>
      <c r="H1083" t="s">
        <v>510</v>
      </c>
      <c r="I1083" t="s">
        <v>212</v>
      </c>
      <c r="J1083" s="25">
        <v>19227</v>
      </c>
      <c r="K1083" s="26">
        <v>3014.45</v>
      </c>
      <c r="L1083" s="26">
        <v>33.75</v>
      </c>
    </row>
    <row r="1084" spans="1:12" ht="16" customHeight="1">
      <c r="A1084" t="s">
        <v>436</v>
      </c>
      <c r="B1084" t="s">
        <v>4</v>
      </c>
      <c r="C1084" t="s">
        <v>49</v>
      </c>
      <c r="D1084" s="24">
        <v>46143</v>
      </c>
      <c r="E1084" t="s">
        <v>481</v>
      </c>
      <c r="F1084" t="s">
        <v>6</v>
      </c>
      <c r="G1084" t="s">
        <v>505</v>
      </c>
      <c r="H1084" t="s">
        <v>505</v>
      </c>
      <c r="I1084" t="s">
        <v>219</v>
      </c>
      <c r="J1084" s="25">
        <v>0</v>
      </c>
      <c r="K1084" s="26">
        <v>0</v>
      </c>
      <c r="L1084" s="26">
        <v>0</v>
      </c>
    </row>
    <row r="1085" spans="1:12" ht="16" customHeight="1">
      <c r="A1085" t="s">
        <v>436</v>
      </c>
      <c r="B1085" t="s">
        <v>4</v>
      </c>
      <c r="C1085" t="s">
        <v>49</v>
      </c>
      <c r="D1085" s="24">
        <v>46143</v>
      </c>
      <c r="E1085" t="s">
        <v>496</v>
      </c>
      <c r="F1085" t="s">
        <v>6</v>
      </c>
      <c r="G1085" t="s">
        <v>506</v>
      </c>
      <c r="H1085" t="s">
        <v>506</v>
      </c>
      <c r="I1085" t="s">
        <v>219</v>
      </c>
      <c r="J1085" s="25">
        <v>316</v>
      </c>
      <c r="K1085" s="26">
        <v>49.87</v>
      </c>
      <c r="L1085" s="26">
        <v>1.1000000000000001</v>
      </c>
    </row>
    <row r="1086" spans="1:12" ht="16" customHeight="1">
      <c r="A1086" t="s">
        <v>460</v>
      </c>
      <c r="B1086" t="s">
        <v>5</v>
      </c>
      <c r="C1086" t="s">
        <v>49</v>
      </c>
      <c r="D1086" s="24">
        <v>46143</v>
      </c>
      <c r="E1086" t="s">
        <v>462</v>
      </c>
      <c r="F1086" t="s">
        <v>6</v>
      </c>
      <c r="G1086" t="s">
        <v>505</v>
      </c>
      <c r="H1086" t="s">
        <v>505</v>
      </c>
      <c r="I1086" t="s">
        <v>212</v>
      </c>
      <c r="J1086" s="25">
        <v>154690847</v>
      </c>
      <c r="K1086" s="26">
        <v>24026843.719999999</v>
      </c>
      <c r="L1086" s="26">
        <v>50544.02</v>
      </c>
    </row>
    <row r="1087" spans="1:12" ht="16" customHeight="1">
      <c r="A1087" t="s">
        <v>460</v>
      </c>
      <c r="B1087" t="s">
        <v>5</v>
      </c>
      <c r="C1087" t="s">
        <v>49</v>
      </c>
      <c r="D1087" s="24">
        <v>46143</v>
      </c>
      <c r="E1087" t="s">
        <v>467</v>
      </c>
      <c r="F1087" t="s">
        <v>6</v>
      </c>
      <c r="G1087" t="s">
        <v>505</v>
      </c>
      <c r="H1087" t="s">
        <v>505</v>
      </c>
      <c r="I1087" t="s">
        <v>212</v>
      </c>
      <c r="J1087" s="25">
        <v>789865</v>
      </c>
      <c r="K1087" s="26">
        <v>122760.57</v>
      </c>
      <c r="L1087" s="26">
        <v>517.4</v>
      </c>
    </row>
    <row r="1088" spans="1:12" ht="16" customHeight="1">
      <c r="A1088" t="s">
        <v>460</v>
      </c>
      <c r="B1088" t="s">
        <v>5</v>
      </c>
      <c r="C1088" t="s">
        <v>49</v>
      </c>
      <c r="D1088" s="24">
        <v>46143</v>
      </c>
      <c r="E1088" t="s">
        <v>472</v>
      </c>
      <c r="F1088" t="s">
        <v>6</v>
      </c>
      <c r="G1088" t="s">
        <v>505</v>
      </c>
      <c r="H1088" t="s">
        <v>505</v>
      </c>
      <c r="I1088" t="s">
        <v>212</v>
      </c>
      <c r="J1088" s="25">
        <v>2434</v>
      </c>
      <c r="K1088" s="26">
        <v>382.49</v>
      </c>
      <c r="L1088" s="26">
        <v>4.67</v>
      </c>
    </row>
    <row r="1089" spans="1:12" ht="16" customHeight="1">
      <c r="A1089" t="s">
        <v>460</v>
      </c>
      <c r="B1089" t="s">
        <v>5</v>
      </c>
      <c r="C1089" t="s">
        <v>49</v>
      </c>
      <c r="D1089" s="24">
        <v>46143</v>
      </c>
      <c r="E1089" t="s">
        <v>475</v>
      </c>
      <c r="F1089" t="s">
        <v>5</v>
      </c>
      <c r="G1089" t="s">
        <v>510</v>
      </c>
      <c r="H1089" t="s">
        <v>510</v>
      </c>
      <c r="I1089" t="s">
        <v>212</v>
      </c>
      <c r="J1089" s="25">
        <v>29115</v>
      </c>
      <c r="K1089" s="26">
        <v>4590.74</v>
      </c>
      <c r="L1089" s="26">
        <v>43.81</v>
      </c>
    </row>
    <row r="1090" spans="1:12" ht="16" customHeight="1">
      <c r="A1090" t="s">
        <v>460</v>
      </c>
      <c r="B1090" t="s">
        <v>5</v>
      </c>
      <c r="C1090" t="s">
        <v>49</v>
      </c>
      <c r="D1090" s="24">
        <v>46143</v>
      </c>
      <c r="E1090" t="s">
        <v>481</v>
      </c>
      <c r="F1090" t="s">
        <v>6</v>
      </c>
      <c r="G1090" t="s">
        <v>505</v>
      </c>
      <c r="H1090" t="s">
        <v>505</v>
      </c>
      <c r="I1090" t="s">
        <v>219</v>
      </c>
      <c r="J1090" s="25">
        <v>0</v>
      </c>
      <c r="K1090" s="26">
        <v>0</v>
      </c>
      <c r="L1090" s="26">
        <v>0</v>
      </c>
    </row>
    <row r="1091" spans="1:12" ht="16" customHeight="1">
      <c r="A1091" t="s">
        <v>460</v>
      </c>
      <c r="B1091" t="s">
        <v>5</v>
      </c>
      <c r="C1091" t="s">
        <v>49</v>
      </c>
      <c r="D1091" s="24">
        <v>46143</v>
      </c>
      <c r="E1091" t="s">
        <v>496</v>
      </c>
      <c r="F1091" t="s">
        <v>6</v>
      </c>
      <c r="G1091" t="s">
        <v>506</v>
      </c>
      <c r="H1091" t="s">
        <v>506</v>
      </c>
      <c r="I1091" t="s">
        <v>219</v>
      </c>
      <c r="J1091" s="25">
        <v>341</v>
      </c>
      <c r="K1091" s="26">
        <v>54.26</v>
      </c>
      <c r="L1091" s="26">
        <v>1.18</v>
      </c>
    </row>
    <row r="1092" spans="1:12" ht="16" customHeight="1">
      <c r="A1092" t="s">
        <v>462</v>
      </c>
      <c r="B1092" t="s">
        <v>6</v>
      </c>
      <c r="C1092" t="s">
        <v>49</v>
      </c>
      <c r="D1092" s="24">
        <v>46143</v>
      </c>
      <c r="E1092" t="s">
        <v>462</v>
      </c>
      <c r="F1092" t="s">
        <v>6</v>
      </c>
      <c r="G1092" t="s">
        <v>505</v>
      </c>
      <c r="H1092" t="s">
        <v>505</v>
      </c>
      <c r="I1092" t="s">
        <v>212</v>
      </c>
      <c r="J1092" s="25">
        <v>579709230</v>
      </c>
      <c r="K1092" s="26">
        <v>90556636.909999996</v>
      </c>
      <c r="L1092" s="26">
        <v>74684.649999999994</v>
      </c>
    </row>
    <row r="1093" spans="1:12" ht="16" customHeight="1">
      <c r="A1093" t="s">
        <v>462</v>
      </c>
      <c r="B1093" t="s">
        <v>6</v>
      </c>
      <c r="C1093" t="s">
        <v>49</v>
      </c>
      <c r="D1093" s="24">
        <v>46143</v>
      </c>
      <c r="E1093" t="s">
        <v>467</v>
      </c>
      <c r="F1093" t="s">
        <v>6</v>
      </c>
      <c r="G1093" t="s">
        <v>505</v>
      </c>
      <c r="H1093" t="s">
        <v>505</v>
      </c>
      <c r="I1093" t="s">
        <v>212</v>
      </c>
      <c r="J1093" s="25">
        <v>1994951</v>
      </c>
      <c r="K1093" s="26">
        <v>312850.52</v>
      </c>
      <c r="L1093" s="26">
        <v>1504.73</v>
      </c>
    </row>
    <row r="1094" spans="1:12" ht="16" customHeight="1">
      <c r="A1094" t="s">
        <v>462</v>
      </c>
      <c r="B1094" t="s">
        <v>6</v>
      </c>
      <c r="C1094" t="s">
        <v>49</v>
      </c>
      <c r="D1094" s="24">
        <v>46143</v>
      </c>
      <c r="E1094" t="s">
        <v>472</v>
      </c>
      <c r="F1094" t="s">
        <v>6</v>
      </c>
      <c r="G1094" t="s">
        <v>505</v>
      </c>
      <c r="H1094" t="s">
        <v>505</v>
      </c>
      <c r="I1094" t="s">
        <v>212</v>
      </c>
      <c r="J1094" s="25">
        <v>5177</v>
      </c>
      <c r="K1094" s="26">
        <v>811.84</v>
      </c>
      <c r="L1094" s="26">
        <v>7.04</v>
      </c>
    </row>
    <row r="1095" spans="1:12" ht="16" customHeight="1">
      <c r="A1095" t="s">
        <v>462</v>
      </c>
      <c r="B1095" t="s">
        <v>6</v>
      </c>
      <c r="C1095" t="s">
        <v>49</v>
      </c>
      <c r="D1095" s="24">
        <v>46143</v>
      </c>
      <c r="E1095" t="s">
        <v>475</v>
      </c>
      <c r="F1095" t="s">
        <v>5</v>
      </c>
      <c r="G1095" t="s">
        <v>510</v>
      </c>
      <c r="H1095" t="s">
        <v>510</v>
      </c>
      <c r="I1095" t="s">
        <v>212</v>
      </c>
      <c r="J1095" s="25">
        <v>45539</v>
      </c>
      <c r="K1095" s="26">
        <v>7231.19</v>
      </c>
      <c r="L1095" s="26">
        <v>79.400000000000006</v>
      </c>
    </row>
    <row r="1096" spans="1:12" ht="16" customHeight="1">
      <c r="A1096" t="s">
        <v>462</v>
      </c>
      <c r="B1096" t="s">
        <v>6</v>
      </c>
      <c r="C1096" t="s">
        <v>49</v>
      </c>
      <c r="D1096" s="24">
        <v>46143</v>
      </c>
      <c r="E1096" t="s">
        <v>481</v>
      </c>
      <c r="F1096" t="s">
        <v>6</v>
      </c>
      <c r="G1096" t="s">
        <v>505</v>
      </c>
      <c r="H1096" t="s">
        <v>505</v>
      </c>
      <c r="I1096" t="s">
        <v>219</v>
      </c>
      <c r="J1096" s="25">
        <v>1</v>
      </c>
      <c r="K1096" s="26">
        <v>0.16</v>
      </c>
      <c r="L1096" s="26">
        <v>0</v>
      </c>
    </row>
    <row r="1097" spans="1:12" ht="16" customHeight="1">
      <c r="A1097" t="s">
        <v>462</v>
      </c>
      <c r="B1097" t="s">
        <v>6</v>
      </c>
      <c r="C1097" t="s">
        <v>49</v>
      </c>
      <c r="D1097" s="24">
        <v>46143</v>
      </c>
      <c r="E1097" t="s">
        <v>496</v>
      </c>
      <c r="F1097" t="s">
        <v>6</v>
      </c>
      <c r="G1097" t="s">
        <v>506</v>
      </c>
      <c r="H1097" t="s">
        <v>506</v>
      </c>
      <c r="I1097" t="s">
        <v>219</v>
      </c>
      <c r="J1097" s="25">
        <v>669</v>
      </c>
      <c r="K1097" s="26">
        <v>106.84</v>
      </c>
      <c r="L1097" s="26">
        <v>2.44</v>
      </c>
    </row>
    <row r="1098" spans="1:12" ht="16" customHeight="1">
      <c r="A1098" t="s">
        <v>463</v>
      </c>
      <c r="B1098" t="s">
        <v>7</v>
      </c>
      <c r="C1098" t="s">
        <v>50</v>
      </c>
      <c r="D1098" s="24">
        <v>46143</v>
      </c>
      <c r="E1098" t="s">
        <v>467</v>
      </c>
      <c r="F1098" t="s">
        <v>6</v>
      </c>
      <c r="G1098" t="s">
        <v>505</v>
      </c>
      <c r="H1098" t="s">
        <v>505</v>
      </c>
      <c r="I1098" t="s">
        <v>212</v>
      </c>
      <c r="J1098" s="25">
        <v>15203339</v>
      </c>
      <c r="K1098" s="26">
        <v>2364953.4300000002</v>
      </c>
      <c r="L1098" s="26">
        <v>10856.68</v>
      </c>
    </row>
    <row r="1099" spans="1:12" ht="16" customHeight="1">
      <c r="A1099" t="s">
        <v>463</v>
      </c>
      <c r="B1099" t="s">
        <v>7</v>
      </c>
      <c r="C1099" t="s">
        <v>50</v>
      </c>
      <c r="D1099" s="24">
        <v>46143</v>
      </c>
      <c r="E1099" t="s">
        <v>472</v>
      </c>
      <c r="F1099" t="s">
        <v>6</v>
      </c>
      <c r="G1099" t="s">
        <v>505</v>
      </c>
      <c r="H1099" t="s">
        <v>505</v>
      </c>
      <c r="I1099" t="s">
        <v>212</v>
      </c>
      <c r="J1099" s="25">
        <v>56214</v>
      </c>
      <c r="K1099" s="26">
        <v>8836.94</v>
      </c>
      <c r="L1099" s="26">
        <v>66.03</v>
      </c>
    </row>
    <row r="1100" spans="1:12" ht="16" customHeight="1">
      <c r="A1100" t="s">
        <v>463</v>
      </c>
      <c r="B1100" t="s">
        <v>7</v>
      </c>
      <c r="C1100" t="s">
        <v>50</v>
      </c>
      <c r="D1100" s="24">
        <v>46143</v>
      </c>
      <c r="E1100" t="s">
        <v>475</v>
      </c>
      <c r="F1100" t="s">
        <v>5</v>
      </c>
      <c r="G1100" t="s">
        <v>510</v>
      </c>
      <c r="H1100" t="s">
        <v>510</v>
      </c>
      <c r="I1100" t="s">
        <v>212</v>
      </c>
      <c r="J1100" s="25">
        <v>29924</v>
      </c>
      <c r="K1100" s="26">
        <v>4747.59</v>
      </c>
      <c r="L1100" s="26">
        <v>40.869999999999997</v>
      </c>
    </row>
    <row r="1101" spans="1:12" ht="16" customHeight="1">
      <c r="A1101" t="s">
        <v>463</v>
      </c>
      <c r="B1101" t="s">
        <v>7</v>
      </c>
      <c r="C1101" t="s">
        <v>50</v>
      </c>
      <c r="D1101" s="24">
        <v>46143</v>
      </c>
      <c r="E1101" t="s">
        <v>481</v>
      </c>
      <c r="F1101" t="s">
        <v>6</v>
      </c>
      <c r="G1101" t="s">
        <v>505</v>
      </c>
      <c r="H1101" t="s">
        <v>505</v>
      </c>
      <c r="I1101" t="s">
        <v>219</v>
      </c>
      <c r="J1101" s="25">
        <v>392</v>
      </c>
      <c r="K1101" s="26">
        <v>61.98</v>
      </c>
      <c r="L1101" s="26">
        <v>1.1200000000000001</v>
      </c>
    </row>
    <row r="1102" spans="1:12" ht="16" customHeight="1">
      <c r="A1102" t="s">
        <v>463</v>
      </c>
      <c r="B1102" t="s">
        <v>7</v>
      </c>
      <c r="C1102" t="s">
        <v>50</v>
      </c>
      <c r="D1102" s="24">
        <v>46143</v>
      </c>
      <c r="E1102" t="s">
        <v>496</v>
      </c>
      <c r="F1102" t="s">
        <v>6</v>
      </c>
      <c r="G1102" t="s">
        <v>506</v>
      </c>
      <c r="H1102" t="s">
        <v>506</v>
      </c>
      <c r="I1102" t="s">
        <v>219</v>
      </c>
      <c r="J1102" s="25">
        <v>572</v>
      </c>
      <c r="K1102" s="26">
        <v>90.89</v>
      </c>
      <c r="L1102" s="26">
        <v>2.0299999999999998</v>
      </c>
    </row>
    <row r="1103" spans="1:12" ht="16" customHeight="1">
      <c r="A1103" t="s">
        <v>464</v>
      </c>
      <c r="B1103" t="s">
        <v>3</v>
      </c>
      <c r="C1103" t="s">
        <v>50</v>
      </c>
      <c r="D1103" s="24">
        <v>46143</v>
      </c>
      <c r="E1103" t="s">
        <v>467</v>
      </c>
      <c r="F1103" t="s">
        <v>6</v>
      </c>
      <c r="G1103" t="s">
        <v>505</v>
      </c>
      <c r="H1103" t="s">
        <v>505</v>
      </c>
      <c r="I1103" t="s">
        <v>212</v>
      </c>
      <c r="J1103" s="25">
        <v>19648716</v>
      </c>
      <c r="K1103" s="26">
        <v>3023408.05</v>
      </c>
      <c r="L1103" s="26">
        <v>11563.96</v>
      </c>
    </row>
    <row r="1104" spans="1:12" ht="16" customHeight="1">
      <c r="A1104" t="s">
        <v>464</v>
      </c>
      <c r="B1104" t="s">
        <v>3</v>
      </c>
      <c r="C1104" t="s">
        <v>50</v>
      </c>
      <c r="D1104" s="24">
        <v>46143</v>
      </c>
      <c r="E1104" t="s">
        <v>472</v>
      </c>
      <c r="F1104" t="s">
        <v>6</v>
      </c>
      <c r="G1104" t="s">
        <v>505</v>
      </c>
      <c r="H1104" t="s">
        <v>505</v>
      </c>
      <c r="I1104" t="s">
        <v>212</v>
      </c>
      <c r="J1104" s="25">
        <v>97408</v>
      </c>
      <c r="K1104" s="26">
        <v>15150.93</v>
      </c>
      <c r="L1104" s="26">
        <v>106.25</v>
      </c>
    </row>
    <row r="1105" spans="1:12" ht="16" customHeight="1">
      <c r="A1105" t="s">
        <v>464</v>
      </c>
      <c r="B1105" t="s">
        <v>3</v>
      </c>
      <c r="C1105" t="s">
        <v>50</v>
      </c>
      <c r="D1105" s="24">
        <v>46143</v>
      </c>
      <c r="E1105" t="s">
        <v>475</v>
      </c>
      <c r="F1105" t="s">
        <v>5</v>
      </c>
      <c r="G1105" t="s">
        <v>510</v>
      </c>
      <c r="H1105" t="s">
        <v>510</v>
      </c>
      <c r="I1105" t="s">
        <v>212</v>
      </c>
      <c r="J1105" s="25">
        <v>30448</v>
      </c>
      <c r="K1105" s="26">
        <v>4795.8599999999997</v>
      </c>
      <c r="L1105" s="26">
        <v>37.58</v>
      </c>
    </row>
    <row r="1106" spans="1:12" ht="16" customHeight="1">
      <c r="A1106" t="s">
        <v>464</v>
      </c>
      <c r="B1106" t="s">
        <v>3</v>
      </c>
      <c r="C1106" t="s">
        <v>50</v>
      </c>
      <c r="D1106" s="24">
        <v>46143</v>
      </c>
      <c r="E1106" t="s">
        <v>481</v>
      </c>
      <c r="F1106" t="s">
        <v>6</v>
      </c>
      <c r="G1106" t="s">
        <v>505</v>
      </c>
      <c r="H1106" t="s">
        <v>505</v>
      </c>
      <c r="I1106" t="s">
        <v>219</v>
      </c>
      <c r="J1106" s="25">
        <v>263</v>
      </c>
      <c r="K1106" s="26">
        <v>41.18</v>
      </c>
      <c r="L1106" s="26">
        <v>0.68</v>
      </c>
    </row>
    <row r="1107" spans="1:12" ht="16" customHeight="1">
      <c r="A1107" t="s">
        <v>464</v>
      </c>
      <c r="B1107" t="s">
        <v>3</v>
      </c>
      <c r="C1107" t="s">
        <v>50</v>
      </c>
      <c r="D1107" s="24">
        <v>46143</v>
      </c>
      <c r="E1107" t="s">
        <v>486</v>
      </c>
      <c r="F1107" t="s">
        <v>6</v>
      </c>
      <c r="G1107" t="s">
        <v>505</v>
      </c>
      <c r="H1107" t="s">
        <v>505</v>
      </c>
      <c r="I1107" t="s">
        <v>219</v>
      </c>
      <c r="J1107" s="25">
        <v>1</v>
      </c>
      <c r="K1107" s="26">
        <v>0.16</v>
      </c>
      <c r="L1107" s="26">
        <v>0</v>
      </c>
    </row>
    <row r="1108" spans="1:12" ht="16" customHeight="1">
      <c r="A1108" t="s">
        <v>464</v>
      </c>
      <c r="B1108" t="s">
        <v>3</v>
      </c>
      <c r="C1108" t="s">
        <v>50</v>
      </c>
      <c r="D1108" s="24">
        <v>46143</v>
      </c>
      <c r="E1108" t="s">
        <v>491</v>
      </c>
      <c r="F1108" t="s">
        <v>6</v>
      </c>
      <c r="G1108" t="s">
        <v>505</v>
      </c>
      <c r="H1108" t="s">
        <v>505</v>
      </c>
      <c r="I1108" t="s">
        <v>219</v>
      </c>
      <c r="J1108" s="25">
        <v>2</v>
      </c>
      <c r="K1108" s="26">
        <v>0.32</v>
      </c>
      <c r="L1108" s="26">
        <v>0.01</v>
      </c>
    </row>
    <row r="1109" spans="1:12" ht="16" customHeight="1">
      <c r="A1109" t="s">
        <v>464</v>
      </c>
      <c r="B1109" t="s">
        <v>3</v>
      </c>
      <c r="C1109" t="s">
        <v>50</v>
      </c>
      <c r="D1109" s="24">
        <v>46143</v>
      </c>
      <c r="E1109" t="s">
        <v>496</v>
      </c>
      <c r="F1109" t="s">
        <v>6</v>
      </c>
      <c r="G1109" t="s">
        <v>506</v>
      </c>
      <c r="H1109" t="s">
        <v>506</v>
      </c>
      <c r="I1109" t="s">
        <v>219</v>
      </c>
      <c r="J1109" s="25">
        <v>687</v>
      </c>
      <c r="K1109" s="26">
        <v>108.47</v>
      </c>
      <c r="L1109" s="26">
        <v>2.2999999999999998</v>
      </c>
    </row>
    <row r="1110" spans="1:12" ht="16" customHeight="1">
      <c r="A1110" t="s">
        <v>443</v>
      </c>
      <c r="B1110" t="s">
        <v>4</v>
      </c>
      <c r="C1110" t="s">
        <v>50</v>
      </c>
      <c r="D1110" s="24">
        <v>46143</v>
      </c>
      <c r="E1110" t="s">
        <v>467</v>
      </c>
      <c r="F1110" t="s">
        <v>6</v>
      </c>
      <c r="G1110" t="s">
        <v>505</v>
      </c>
      <c r="H1110" t="s">
        <v>505</v>
      </c>
      <c r="I1110" t="s">
        <v>212</v>
      </c>
      <c r="J1110" s="25">
        <v>27082932</v>
      </c>
      <c r="K1110" s="26">
        <v>4107622.3999999999</v>
      </c>
      <c r="L1110" s="26">
        <v>11850.02</v>
      </c>
    </row>
    <row r="1111" spans="1:12" ht="16" customHeight="1">
      <c r="A1111" t="s">
        <v>443</v>
      </c>
      <c r="B1111" t="s">
        <v>4</v>
      </c>
      <c r="C1111" t="s">
        <v>50</v>
      </c>
      <c r="D1111" s="24">
        <v>46143</v>
      </c>
      <c r="E1111" t="s">
        <v>472</v>
      </c>
      <c r="F1111" t="s">
        <v>6</v>
      </c>
      <c r="G1111" t="s">
        <v>505</v>
      </c>
      <c r="H1111" t="s">
        <v>505</v>
      </c>
      <c r="I1111" t="s">
        <v>212</v>
      </c>
      <c r="J1111" s="25">
        <v>193579</v>
      </c>
      <c r="K1111" s="26">
        <v>29580.43</v>
      </c>
      <c r="L1111" s="26">
        <v>179.78</v>
      </c>
    </row>
    <row r="1112" spans="1:12" ht="16" customHeight="1">
      <c r="A1112" t="s">
        <v>443</v>
      </c>
      <c r="B1112" t="s">
        <v>4</v>
      </c>
      <c r="C1112" t="s">
        <v>50</v>
      </c>
      <c r="D1112" s="24">
        <v>46143</v>
      </c>
      <c r="E1112" t="s">
        <v>475</v>
      </c>
      <c r="F1112" t="s">
        <v>5</v>
      </c>
      <c r="G1112" t="s">
        <v>510</v>
      </c>
      <c r="H1112" t="s">
        <v>510</v>
      </c>
      <c r="I1112" t="s">
        <v>212</v>
      </c>
      <c r="J1112" s="25">
        <v>40318</v>
      </c>
      <c r="K1112" s="26">
        <v>6252.04</v>
      </c>
      <c r="L1112" s="26">
        <v>45.5</v>
      </c>
    </row>
    <row r="1113" spans="1:12" ht="16" customHeight="1">
      <c r="A1113" t="s">
        <v>443</v>
      </c>
      <c r="B1113" t="s">
        <v>4</v>
      </c>
      <c r="C1113" t="s">
        <v>50</v>
      </c>
      <c r="D1113" s="24">
        <v>46143</v>
      </c>
      <c r="E1113" t="s">
        <v>481</v>
      </c>
      <c r="F1113" t="s">
        <v>6</v>
      </c>
      <c r="G1113" t="s">
        <v>505</v>
      </c>
      <c r="H1113" t="s">
        <v>505</v>
      </c>
      <c r="I1113" t="s">
        <v>219</v>
      </c>
      <c r="J1113" s="25">
        <v>461</v>
      </c>
      <c r="K1113" s="26">
        <v>71.03</v>
      </c>
      <c r="L1113" s="26">
        <v>1.04</v>
      </c>
    </row>
    <row r="1114" spans="1:12" ht="16" customHeight="1">
      <c r="A1114" t="s">
        <v>443</v>
      </c>
      <c r="B1114" t="s">
        <v>4</v>
      </c>
      <c r="C1114" t="s">
        <v>50</v>
      </c>
      <c r="D1114" s="24">
        <v>46143</v>
      </c>
      <c r="E1114" t="s">
        <v>486</v>
      </c>
      <c r="F1114" t="s">
        <v>6</v>
      </c>
      <c r="G1114" t="s">
        <v>505</v>
      </c>
      <c r="H1114" t="s">
        <v>505</v>
      </c>
      <c r="I1114" t="s">
        <v>219</v>
      </c>
      <c r="J1114" s="25">
        <v>5</v>
      </c>
      <c r="K1114" s="26">
        <v>0.73</v>
      </c>
      <c r="L1114" s="26">
        <v>0</v>
      </c>
    </row>
    <row r="1115" spans="1:12" ht="16" customHeight="1">
      <c r="A1115" t="s">
        <v>443</v>
      </c>
      <c r="B1115" t="s">
        <v>4</v>
      </c>
      <c r="C1115" t="s">
        <v>50</v>
      </c>
      <c r="D1115" s="24">
        <v>46143</v>
      </c>
      <c r="E1115" t="s">
        <v>491</v>
      </c>
      <c r="F1115" t="s">
        <v>6</v>
      </c>
      <c r="G1115" t="s">
        <v>505</v>
      </c>
      <c r="H1115" t="s">
        <v>505</v>
      </c>
      <c r="I1115" t="s">
        <v>219</v>
      </c>
      <c r="J1115" s="25">
        <v>2</v>
      </c>
      <c r="K1115" s="26">
        <v>0.32</v>
      </c>
      <c r="L1115" s="26">
        <v>0.01</v>
      </c>
    </row>
    <row r="1116" spans="1:12" ht="16" customHeight="1">
      <c r="A1116" t="s">
        <v>443</v>
      </c>
      <c r="B1116" t="s">
        <v>4</v>
      </c>
      <c r="C1116" t="s">
        <v>50</v>
      </c>
      <c r="D1116" s="24">
        <v>46143</v>
      </c>
      <c r="E1116" t="s">
        <v>496</v>
      </c>
      <c r="F1116" t="s">
        <v>6</v>
      </c>
      <c r="G1116" t="s">
        <v>506</v>
      </c>
      <c r="H1116" t="s">
        <v>506</v>
      </c>
      <c r="I1116" t="s">
        <v>219</v>
      </c>
      <c r="J1116" s="25">
        <v>421</v>
      </c>
      <c r="K1116" s="26">
        <v>65.77</v>
      </c>
      <c r="L1116" s="26">
        <v>0.97</v>
      </c>
    </row>
    <row r="1117" spans="1:12" ht="16" customHeight="1">
      <c r="A1117" t="s">
        <v>465</v>
      </c>
      <c r="B1117" t="s">
        <v>5</v>
      </c>
      <c r="C1117" t="s">
        <v>50</v>
      </c>
      <c r="D1117" s="24">
        <v>46143</v>
      </c>
      <c r="E1117" t="s">
        <v>467</v>
      </c>
      <c r="F1117" t="s">
        <v>6</v>
      </c>
      <c r="G1117" t="s">
        <v>505</v>
      </c>
      <c r="H1117" t="s">
        <v>505</v>
      </c>
      <c r="I1117" t="s">
        <v>212</v>
      </c>
      <c r="J1117" s="25">
        <v>147163287</v>
      </c>
      <c r="K1117" s="26">
        <v>22054115.66</v>
      </c>
      <c r="L1117" s="26">
        <v>52818.98</v>
      </c>
    </row>
    <row r="1118" spans="1:12" ht="16" customHeight="1">
      <c r="A1118" t="s">
        <v>465</v>
      </c>
      <c r="B1118" t="s">
        <v>5</v>
      </c>
      <c r="C1118" t="s">
        <v>50</v>
      </c>
      <c r="D1118" s="24">
        <v>46143</v>
      </c>
      <c r="E1118" t="s">
        <v>472</v>
      </c>
      <c r="F1118" t="s">
        <v>6</v>
      </c>
      <c r="G1118" t="s">
        <v>505</v>
      </c>
      <c r="H1118" t="s">
        <v>505</v>
      </c>
      <c r="I1118" t="s">
        <v>212</v>
      </c>
      <c r="J1118" s="25">
        <v>420609</v>
      </c>
      <c r="K1118" s="26">
        <v>63771.07</v>
      </c>
      <c r="L1118" s="26">
        <v>379.14</v>
      </c>
    </row>
    <row r="1119" spans="1:12" ht="16" customHeight="1">
      <c r="A1119" t="s">
        <v>465</v>
      </c>
      <c r="B1119" t="s">
        <v>5</v>
      </c>
      <c r="C1119" t="s">
        <v>50</v>
      </c>
      <c r="D1119" s="24">
        <v>46143</v>
      </c>
      <c r="E1119" t="s">
        <v>475</v>
      </c>
      <c r="F1119" t="s">
        <v>5</v>
      </c>
      <c r="G1119" t="s">
        <v>510</v>
      </c>
      <c r="H1119" t="s">
        <v>510</v>
      </c>
      <c r="I1119" t="s">
        <v>212</v>
      </c>
      <c r="J1119" s="25">
        <v>52824</v>
      </c>
      <c r="K1119" s="26">
        <v>8150.84</v>
      </c>
      <c r="L1119" s="26">
        <v>82.97</v>
      </c>
    </row>
    <row r="1120" spans="1:12" ht="16" customHeight="1">
      <c r="A1120" t="s">
        <v>465</v>
      </c>
      <c r="B1120" t="s">
        <v>5</v>
      </c>
      <c r="C1120" t="s">
        <v>50</v>
      </c>
      <c r="D1120" s="24">
        <v>46143</v>
      </c>
      <c r="E1120" t="s">
        <v>481</v>
      </c>
      <c r="F1120" t="s">
        <v>6</v>
      </c>
      <c r="G1120" t="s">
        <v>505</v>
      </c>
      <c r="H1120" t="s">
        <v>505</v>
      </c>
      <c r="I1120" t="s">
        <v>219</v>
      </c>
      <c r="J1120" s="25">
        <v>715</v>
      </c>
      <c r="K1120" s="26">
        <v>109.09</v>
      </c>
      <c r="L1120" s="26">
        <v>1.88</v>
      </c>
    </row>
    <row r="1121" spans="1:12" ht="16" customHeight="1">
      <c r="A1121" t="s">
        <v>465</v>
      </c>
      <c r="B1121" t="s">
        <v>5</v>
      </c>
      <c r="C1121" t="s">
        <v>50</v>
      </c>
      <c r="D1121" s="24">
        <v>46143</v>
      </c>
      <c r="E1121" t="s">
        <v>486</v>
      </c>
      <c r="F1121" t="s">
        <v>6</v>
      </c>
      <c r="G1121" t="s">
        <v>505</v>
      </c>
      <c r="H1121" t="s">
        <v>505</v>
      </c>
      <c r="I1121" t="s">
        <v>219</v>
      </c>
      <c r="J1121" s="25">
        <v>2</v>
      </c>
      <c r="K1121" s="26">
        <v>0.31</v>
      </c>
      <c r="L1121" s="26">
        <v>0</v>
      </c>
    </row>
    <row r="1122" spans="1:12" ht="16" customHeight="1">
      <c r="A1122" t="s">
        <v>465</v>
      </c>
      <c r="B1122" t="s">
        <v>5</v>
      </c>
      <c r="C1122" t="s">
        <v>50</v>
      </c>
      <c r="D1122" s="24">
        <v>46143</v>
      </c>
      <c r="E1122" t="s">
        <v>491</v>
      </c>
      <c r="F1122" t="s">
        <v>6</v>
      </c>
      <c r="G1122" t="s">
        <v>505</v>
      </c>
      <c r="H1122" t="s">
        <v>505</v>
      </c>
      <c r="I1122" t="s">
        <v>219</v>
      </c>
      <c r="J1122" s="25">
        <v>0</v>
      </c>
      <c r="K1122" s="26">
        <v>0</v>
      </c>
      <c r="L1122" s="26">
        <v>0</v>
      </c>
    </row>
    <row r="1123" spans="1:12" ht="16" customHeight="1">
      <c r="A1123" t="s">
        <v>465</v>
      </c>
      <c r="B1123" t="s">
        <v>5</v>
      </c>
      <c r="C1123" t="s">
        <v>50</v>
      </c>
      <c r="D1123" s="24">
        <v>46143</v>
      </c>
      <c r="E1123" t="s">
        <v>496</v>
      </c>
      <c r="F1123" t="s">
        <v>6</v>
      </c>
      <c r="G1123" t="s">
        <v>506</v>
      </c>
      <c r="H1123" t="s">
        <v>506</v>
      </c>
      <c r="I1123" t="s">
        <v>219</v>
      </c>
      <c r="J1123" s="25">
        <v>397</v>
      </c>
      <c r="K1123" s="26">
        <v>61.84</v>
      </c>
      <c r="L1123" s="26">
        <v>1.08</v>
      </c>
    </row>
    <row r="1124" spans="1:12" ht="16" customHeight="1">
      <c r="A1124" t="s">
        <v>467</v>
      </c>
      <c r="B1124" t="s">
        <v>6</v>
      </c>
      <c r="C1124" t="s">
        <v>50</v>
      </c>
      <c r="D1124" s="24">
        <v>46143</v>
      </c>
      <c r="E1124" t="s">
        <v>467</v>
      </c>
      <c r="F1124" t="s">
        <v>6</v>
      </c>
      <c r="G1124" t="s">
        <v>505</v>
      </c>
      <c r="H1124" t="s">
        <v>505</v>
      </c>
      <c r="I1124" t="s">
        <v>212</v>
      </c>
      <c r="J1124" s="25">
        <v>588939866</v>
      </c>
      <c r="K1124" s="26">
        <v>88667311.819999993</v>
      </c>
      <c r="L1124" s="26">
        <v>77297.63</v>
      </c>
    </row>
    <row r="1125" spans="1:12" ht="16" customHeight="1">
      <c r="A1125" t="s">
        <v>467</v>
      </c>
      <c r="B1125" t="s">
        <v>6</v>
      </c>
      <c r="C1125" t="s">
        <v>50</v>
      </c>
      <c r="D1125" s="24">
        <v>46143</v>
      </c>
      <c r="E1125" t="s">
        <v>472</v>
      </c>
      <c r="F1125" t="s">
        <v>6</v>
      </c>
      <c r="G1125" t="s">
        <v>505</v>
      </c>
      <c r="H1125" t="s">
        <v>505</v>
      </c>
      <c r="I1125" t="s">
        <v>212</v>
      </c>
      <c r="J1125" s="25">
        <v>1759203</v>
      </c>
      <c r="K1125" s="26">
        <v>266262.18</v>
      </c>
      <c r="L1125" s="26">
        <v>1414.5</v>
      </c>
    </row>
    <row r="1126" spans="1:12" ht="16" customHeight="1">
      <c r="A1126" t="s">
        <v>467</v>
      </c>
      <c r="B1126" t="s">
        <v>6</v>
      </c>
      <c r="C1126" t="s">
        <v>50</v>
      </c>
      <c r="D1126" s="24">
        <v>46143</v>
      </c>
      <c r="E1126" t="s">
        <v>475</v>
      </c>
      <c r="F1126" t="s">
        <v>5</v>
      </c>
      <c r="G1126" t="s">
        <v>510</v>
      </c>
      <c r="H1126" t="s">
        <v>510</v>
      </c>
      <c r="I1126" t="s">
        <v>212</v>
      </c>
      <c r="J1126" s="25">
        <v>61454</v>
      </c>
      <c r="K1126" s="26">
        <v>9475.6</v>
      </c>
      <c r="L1126" s="26">
        <v>59.87</v>
      </c>
    </row>
    <row r="1127" spans="1:12" ht="16" customHeight="1">
      <c r="A1127" t="s">
        <v>467</v>
      </c>
      <c r="B1127" t="s">
        <v>6</v>
      </c>
      <c r="C1127" t="s">
        <v>50</v>
      </c>
      <c r="D1127" s="24">
        <v>46143</v>
      </c>
      <c r="E1127" t="s">
        <v>481</v>
      </c>
      <c r="F1127" t="s">
        <v>6</v>
      </c>
      <c r="G1127" t="s">
        <v>505</v>
      </c>
      <c r="H1127" t="s">
        <v>505</v>
      </c>
      <c r="I1127" t="s">
        <v>219</v>
      </c>
      <c r="J1127" s="25">
        <v>708</v>
      </c>
      <c r="K1127" s="26">
        <v>108.96</v>
      </c>
      <c r="L1127" s="26">
        <v>1.52</v>
      </c>
    </row>
    <row r="1128" spans="1:12" ht="16" customHeight="1">
      <c r="A1128" t="s">
        <v>467</v>
      </c>
      <c r="B1128" t="s">
        <v>6</v>
      </c>
      <c r="C1128" t="s">
        <v>50</v>
      </c>
      <c r="D1128" s="24">
        <v>46143</v>
      </c>
      <c r="E1128" t="s">
        <v>486</v>
      </c>
      <c r="F1128" t="s">
        <v>6</v>
      </c>
      <c r="G1128" t="s">
        <v>505</v>
      </c>
      <c r="H1128" t="s">
        <v>505</v>
      </c>
      <c r="I1128" t="s">
        <v>219</v>
      </c>
      <c r="J1128" s="25">
        <v>0</v>
      </c>
      <c r="K1128" s="26">
        <v>0</v>
      </c>
      <c r="L1128" s="26">
        <v>0</v>
      </c>
    </row>
    <row r="1129" spans="1:12" ht="16" customHeight="1">
      <c r="A1129" t="s">
        <v>467</v>
      </c>
      <c r="B1129" t="s">
        <v>6</v>
      </c>
      <c r="C1129" t="s">
        <v>50</v>
      </c>
      <c r="D1129" s="24">
        <v>46143</v>
      </c>
      <c r="E1129" t="s">
        <v>491</v>
      </c>
      <c r="F1129" t="s">
        <v>6</v>
      </c>
      <c r="G1129" t="s">
        <v>505</v>
      </c>
      <c r="H1129" t="s">
        <v>505</v>
      </c>
      <c r="I1129" t="s">
        <v>219</v>
      </c>
      <c r="J1129" s="25">
        <v>1</v>
      </c>
      <c r="K1129" s="26">
        <v>0.16</v>
      </c>
      <c r="L1129" s="26">
        <v>0</v>
      </c>
    </row>
    <row r="1130" spans="1:12" ht="16" customHeight="1">
      <c r="A1130" t="s">
        <v>467</v>
      </c>
      <c r="B1130" t="s">
        <v>6</v>
      </c>
      <c r="C1130" t="s">
        <v>50</v>
      </c>
      <c r="D1130" s="24">
        <v>46143</v>
      </c>
      <c r="E1130" t="s">
        <v>496</v>
      </c>
      <c r="F1130" t="s">
        <v>6</v>
      </c>
      <c r="G1130" t="s">
        <v>506</v>
      </c>
      <c r="H1130" t="s">
        <v>506</v>
      </c>
      <c r="I1130" t="s">
        <v>219</v>
      </c>
      <c r="J1130" s="25">
        <v>921</v>
      </c>
      <c r="K1130" s="26">
        <v>143.21</v>
      </c>
      <c r="L1130" s="26">
        <v>2.74</v>
      </c>
    </row>
    <row r="1131" spans="1:12" ht="16" customHeight="1">
      <c r="A1131" t="s">
        <v>468</v>
      </c>
      <c r="B1131" t="s">
        <v>7</v>
      </c>
      <c r="C1131" t="s">
        <v>51</v>
      </c>
      <c r="D1131" s="24">
        <v>46143</v>
      </c>
      <c r="E1131" t="s">
        <v>472</v>
      </c>
      <c r="F1131" t="s">
        <v>6</v>
      </c>
      <c r="G1131" t="s">
        <v>505</v>
      </c>
      <c r="H1131" t="s">
        <v>505</v>
      </c>
      <c r="I1131" t="s">
        <v>212</v>
      </c>
      <c r="J1131" s="25">
        <v>16299906</v>
      </c>
      <c r="K1131" s="26">
        <v>2474451.48</v>
      </c>
      <c r="L1131" s="26">
        <v>12785.35</v>
      </c>
    </row>
    <row r="1132" spans="1:12" ht="16" customHeight="1">
      <c r="A1132" t="s">
        <v>468</v>
      </c>
      <c r="B1132" t="s">
        <v>7</v>
      </c>
      <c r="C1132" t="s">
        <v>51</v>
      </c>
      <c r="D1132" s="24">
        <v>46143</v>
      </c>
      <c r="E1132" t="s">
        <v>475</v>
      </c>
      <c r="F1132" t="s">
        <v>5</v>
      </c>
      <c r="G1132" t="s">
        <v>510</v>
      </c>
      <c r="H1132" t="s">
        <v>510</v>
      </c>
      <c r="I1132" t="s">
        <v>212</v>
      </c>
      <c r="J1132" s="25">
        <v>96504</v>
      </c>
      <c r="K1132" s="26">
        <v>14867.94</v>
      </c>
      <c r="L1132" s="26">
        <v>92.92</v>
      </c>
    </row>
    <row r="1133" spans="1:12" ht="16" customHeight="1">
      <c r="A1133" t="s">
        <v>468</v>
      </c>
      <c r="B1133" t="s">
        <v>7</v>
      </c>
      <c r="C1133" t="s">
        <v>51</v>
      </c>
      <c r="D1133" s="24">
        <v>46143</v>
      </c>
      <c r="E1133" t="s">
        <v>481</v>
      </c>
      <c r="F1133" t="s">
        <v>6</v>
      </c>
      <c r="G1133" t="s">
        <v>505</v>
      </c>
      <c r="H1133" t="s">
        <v>505</v>
      </c>
      <c r="I1133" t="s">
        <v>219</v>
      </c>
      <c r="J1133" s="25">
        <v>1510</v>
      </c>
      <c r="K1133" s="26">
        <v>232.44</v>
      </c>
      <c r="L1133" s="26">
        <v>3.16</v>
      </c>
    </row>
    <row r="1134" spans="1:12" ht="16" customHeight="1">
      <c r="A1134" t="s">
        <v>468</v>
      </c>
      <c r="B1134" t="s">
        <v>7</v>
      </c>
      <c r="C1134" t="s">
        <v>51</v>
      </c>
      <c r="D1134" s="24">
        <v>46143</v>
      </c>
      <c r="E1134" t="s">
        <v>486</v>
      </c>
      <c r="F1134" t="s">
        <v>6</v>
      </c>
      <c r="G1134" t="s">
        <v>505</v>
      </c>
      <c r="H1134" t="s">
        <v>505</v>
      </c>
      <c r="I1134" t="s">
        <v>219</v>
      </c>
      <c r="J1134" s="25">
        <v>15</v>
      </c>
      <c r="K1134" s="26">
        <v>2.2799999999999998</v>
      </c>
      <c r="L1134" s="26">
        <v>0.03</v>
      </c>
    </row>
    <row r="1135" spans="1:12" ht="16" customHeight="1">
      <c r="A1135" t="s">
        <v>468</v>
      </c>
      <c r="B1135" t="s">
        <v>7</v>
      </c>
      <c r="C1135" t="s">
        <v>51</v>
      </c>
      <c r="D1135" s="24">
        <v>46143</v>
      </c>
      <c r="E1135" t="s">
        <v>491</v>
      </c>
      <c r="F1135" t="s">
        <v>6</v>
      </c>
      <c r="G1135" t="s">
        <v>505</v>
      </c>
      <c r="H1135" t="s">
        <v>505</v>
      </c>
      <c r="I1135" t="s">
        <v>219</v>
      </c>
      <c r="J1135" s="25">
        <v>2</v>
      </c>
      <c r="K1135" s="26">
        <v>0.31</v>
      </c>
      <c r="L1135" s="26">
        <v>0.01</v>
      </c>
    </row>
    <row r="1136" spans="1:12" ht="16" customHeight="1">
      <c r="A1136" t="s">
        <v>468</v>
      </c>
      <c r="B1136" t="s">
        <v>7</v>
      </c>
      <c r="C1136" t="s">
        <v>51</v>
      </c>
      <c r="D1136" s="24">
        <v>46143</v>
      </c>
      <c r="E1136" t="s">
        <v>496</v>
      </c>
      <c r="F1136" t="s">
        <v>6</v>
      </c>
      <c r="G1136" t="s">
        <v>506</v>
      </c>
      <c r="H1136" t="s">
        <v>506</v>
      </c>
      <c r="I1136" t="s">
        <v>219</v>
      </c>
      <c r="J1136" s="25">
        <v>977</v>
      </c>
      <c r="K1136" s="26">
        <v>152.62</v>
      </c>
      <c r="L1136" s="26">
        <v>2.6</v>
      </c>
    </row>
    <row r="1137" spans="1:12" ht="16" customHeight="1">
      <c r="A1137" t="s">
        <v>468</v>
      </c>
      <c r="B1137" t="s">
        <v>7</v>
      </c>
      <c r="C1137" t="s">
        <v>51</v>
      </c>
      <c r="D1137" s="24">
        <v>46143</v>
      </c>
      <c r="E1137" t="s">
        <v>512</v>
      </c>
      <c r="F1137" t="s">
        <v>6</v>
      </c>
      <c r="G1137" t="s">
        <v>506</v>
      </c>
      <c r="H1137" t="s">
        <v>506</v>
      </c>
      <c r="I1137" t="s">
        <v>221</v>
      </c>
      <c r="J1137" s="25">
        <v>20</v>
      </c>
      <c r="K1137" s="26">
        <v>3.13</v>
      </c>
      <c r="L1137" s="26">
        <v>0.09</v>
      </c>
    </row>
    <row r="1138" spans="1:12" ht="16" customHeight="1">
      <c r="A1138" t="s">
        <v>469</v>
      </c>
      <c r="B1138" t="s">
        <v>3</v>
      </c>
      <c r="C1138" t="s">
        <v>51</v>
      </c>
      <c r="D1138" s="24">
        <v>46143</v>
      </c>
      <c r="E1138" t="s">
        <v>472</v>
      </c>
      <c r="F1138" t="s">
        <v>6</v>
      </c>
      <c r="G1138" t="s">
        <v>505</v>
      </c>
      <c r="H1138" t="s">
        <v>505</v>
      </c>
      <c r="I1138" t="s">
        <v>212</v>
      </c>
      <c r="J1138" s="25">
        <v>23597053</v>
      </c>
      <c r="K1138" s="26">
        <v>3549582.63</v>
      </c>
      <c r="L1138" s="26">
        <v>15600.5</v>
      </c>
    </row>
    <row r="1139" spans="1:12" ht="16" customHeight="1">
      <c r="A1139" t="s">
        <v>469</v>
      </c>
      <c r="B1139" t="s">
        <v>3</v>
      </c>
      <c r="C1139" t="s">
        <v>51</v>
      </c>
      <c r="D1139" s="24">
        <v>46143</v>
      </c>
      <c r="E1139" t="s">
        <v>475</v>
      </c>
      <c r="F1139" t="s">
        <v>5</v>
      </c>
      <c r="G1139" t="s">
        <v>510</v>
      </c>
      <c r="H1139" t="s">
        <v>510</v>
      </c>
      <c r="I1139" t="s">
        <v>212</v>
      </c>
      <c r="J1139" s="25">
        <v>174195</v>
      </c>
      <c r="K1139" s="26">
        <v>26599.86</v>
      </c>
      <c r="L1139" s="26">
        <v>155.75</v>
      </c>
    </row>
    <row r="1140" spans="1:12" ht="16" customHeight="1">
      <c r="A1140" t="s">
        <v>469</v>
      </c>
      <c r="B1140" t="s">
        <v>3</v>
      </c>
      <c r="C1140" t="s">
        <v>51</v>
      </c>
      <c r="D1140" s="24">
        <v>46143</v>
      </c>
      <c r="E1140" t="s">
        <v>481</v>
      </c>
      <c r="F1140" t="s">
        <v>6</v>
      </c>
      <c r="G1140" t="s">
        <v>505</v>
      </c>
      <c r="H1140" t="s">
        <v>505</v>
      </c>
      <c r="I1140" t="s">
        <v>219</v>
      </c>
      <c r="J1140" s="25">
        <v>1953</v>
      </c>
      <c r="K1140" s="26">
        <v>299.05</v>
      </c>
      <c r="L1140" s="26">
        <v>3.94</v>
      </c>
    </row>
    <row r="1141" spans="1:12" ht="16" customHeight="1">
      <c r="A1141" t="s">
        <v>469</v>
      </c>
      <c r="B1141" t="s">
        <v>3</v>
      </c>
      <c r="C1141" t="s">
        <v>51</v>
      </c>
      <c r="D1141" s="24">
        <v>46143</v>
      </c>
      <c r="E1141" t="s">
        <v>486</v>
      </c>
      <c r="F1141" t="s">
        <v>6</v>
      </c>
      <c r="G1141" t="s">
        <v>505</v>
      </c>
      <c r="H1141" t="s">
        <v>505</v>
      </c>
      <c r="I1141" t="s">
        <v>219</v>
      </c>
      <c r="J1141" s="25">
        <v>2</v>
      </c>
      <c r="K1141" s="26">
        <v>0.31</v>
      </c>
      <c r="L1141" s="26">
        <v>0.01</v>
      </c>
    </row>
    <row r="1142" spans="1:12" ht="16" customHeight="1">
      <c r="A1142" t="s">
        <v>469</v>
      </c>
      <c r="B1142" t="s">
        <v>3</v>
      </c>
      <c r="C1142" t="s">
        <v>51</v>
      </c>
      <c r="D1142" s="24">
        <v>46143</v>
      </c>
      <c r="E1142" t="s">
        <v>491</v>
      </c>
      <c r="F1142" t="s">
        <v>6</v>
      </c>
      <c r="G1142" t="s">
        <v>505</v>
      </c>
      <c r="H1142" t="s">
        <v>505</v>
      </c>
      <c r="I1142" t="s">
        <v>219</v>
      </c>
      <c r="J1142" s="25">
        <v>2</v>
      </c>
      <c r="K1142" s="26">
        <v>0.31</v>
      </c>
      <c r="L1142" s="26">
        <v>0.01</v>
      </c>
    </row>
    <row r="1143" spans="1:12" ht="16" customHeight="1">
      <c r="A1143" t="s">
        <v>469</v>
      </c>
      <c r="B1143" t="s">
        <v>3</v>
      </c>
      <c r="C1143" t="s">
        <v>51</v>
      </c>
      <c r="D1143" s="24">
        <v>46143</v>
      </c>
      <c r="E1143" t="s">
        <v>496</v>
      </c>
      <c r="F1143" t="s">
        <v>6</v>
      </c>
      <c r="G1143" t="s">
        <v>506</v>
      </c>
      <c r="H1143" t="s">
        <v>506</v>
      </c>
      <c r="I1143" t="s">
        <v>219</v>
      </c>
      <c r="J1143" s="25">
        <v>1851</v>
      </c>
      <c r="K1143" s="26">
        <v>287.10000000000002</v>
      </c>
      <c r="L1143" s="26">
        <v>5.0199999999999996</v>
      </c>
    </row>
    <row r="1144" spans="1:12" ht="16" customHeight="1">
      <c r="A1144" t="s">
        <v>469</v>
      </c>
      <c r="B1144" t="s">
        <v>3</v>
      </c>
      <c r="C1144" t="s">
        <v>51</v>
      </c>
      <c r="D1144" s="24">
        <v>46143</v>
      </c>
      <c r="E1144" t="s">
        <v>512</v>
      </c>
      <c r="F1144" t="s">
        <v>6</v>
      </c>
      <c r="G1144" t="s">
        <v>506</v>
      </c>
      <c r="H1144" t="s">
        <v>506</v>
      </c>
      <c r="I1144" t="s">
        <v>221</v>
      </c>
      <c r="J1144" s="25">
        <v>10</v>
      </c>
      <c r="K1144" s="26">
        <v>1.56</v>
      </c>
      <c r="L1144" s="26">
        <v>0.04</v>
      </c>
    </row>
    <row r="1145" spans="1:12" ht="16" customHeight="1">
      <c r="A1145" t="s">
        <v>447</v>
      </c>
      <c r="B1145" t="s">
        <v>4</v>
      </c>
      <c r="C1145" t="s">
        <v>51</v>
      </c>
      <c r="D1145" s="24">
        <v>46143</v>
      </c>
      <c r="E1145" t="s">
        <v>472</v>
      </c>
      <c r="F1145" t="s">
        <v>6</v>
      </c>
      <c r="G1145" t="s">
        <v>505</v>
      </c>
      <c r="H1145" t="s">
        <v>505</v>
      </c>
      <c r="I1145" t="s">
        <v>212</v>
      </c>
      <c r="J1145" s="25">
        <v>26194559</v>
      </c>
      <c r="K1145" s="26">
        <v>3954971.58</v>
      </c>
      <c r="L1145" s="26">
        <v>11395.16</v>
      </c>
    </row>
    <row r="1146" spans="1:12" ht="16" customHeight="1">
      <c r="A1146" t="s">
        <v>447</v>
      </c>
      <c r="B1146" t="s">
        <v>4</v>
      </c>
      <c r="C1146" t="s">
        <v>51</v>
      </c>
      <c r="D1146" s="24">
        <v>46143</v>
      </c>
      <c r="E1146" t="s">
        <v>475</v>
      </c>
      <c r="F1146" t="s">
        <v>5</v>
      </c>
      <c r="G1146" t="s">
        <v>510</v>
      </c>
      <c r="H1146" t="s">
        <v>510</v>
      </c>
      <c r="I1146" t="s">
        <v>212</v>
      </c>
      <c r="J1146" s="25">
        <v>257674</v>
      </c>
      <c r="K1146" s="26">
        <v>39187.86</v>
      </c>
      <c r="L1146" s="26">
        <v>183.28</v>
      </c>
    </row>
    <row r="1147" spans="1:12" ht="16" customHeight="1">
      <c r="A1147" t="s">
        <v>447</v>
      </c>
      <c r="B1147" t="s">
        <v>4</v>
      </c>
      <c r="C1147" t="s">
        <v>51</v>
      </c>
      <c r="D1147" s="24">
        <v>46143</v>
      </c>
      <c r="E1147" t="s">
        <v>481</v>
      </c>
      <c r="F1147" t="s">
        <v>6</v>
      </c>
      <c r="G1147" t="s">
        <v>505</v>
      </c>
      <c r="H1147" t="s">
        <v>505</v>
      </c>
      <c r="I1147" t="s">
        <v>219</v>
      </c>
      <c r="J1147" s="25">
        <v>3485</v>
      </c>
      <c r="K1147" s="26">
        <v>540.96</v>
      </c>
      <c r="L1147" s="26">
        <v>4.6900000000000004</v>
      </c>
    </row>
    <row r="1148" spans="1:12" ht="16" customHeight="1">
      <c r="A1148" t="s">
        <v>447</v>
      </c>
      <c r="B1148" t="s">
        <v>4</v>
      </c>
      <c r="C1148" t="s">
        <v>51</v>
      </c>
      <c r="D1148" s="24">
        <v>46143</v>
      </c>
      <c r="E1148" t="s">
        <v>486</v>
      </c>
      <c r="F1148" t="s">
        <v>6</v>
      </c>
      <c r="G1148" t="s">
        <v>505</v>
      </c>
      <c r="H1148" t="s">
        <v>505</v>
      </c>
      <c r="I1148" t="s">
        <v>219</v>
      </c>
      <c r="J1148" s="25">
        <v>9</v>
      </c>
      <c r="K1148" s="26">
        <v>1.38</v>
      </c>
      <c r="L1148" s="26">
        <v>0.02</v>
      </c>
    </row>
    <row r="1149" spans="1:12" ht="16" customHeight="1">
      <c r="A1149" t="s">
        <v>447</v>
      </c>
      <c r="B1149" t="s">
        <v>4</v>
      </c>
      <c r="C1149" t="s">
        <v>51</v>
      </c>
      <c r="D1149" s="24">
        <v>46143</v>
      </c>
      <c r="E1149" t="s">
        <v>491</v>
      </c>
      <c r="F1149" t="s">
        <v>6</v>
      </c>
      <c r="G1149" t="s">
        <v>505</v>
      </c>
      <c r="H1149" t="s">
        <v>505</v>
      </c>
      <c r="I1149" t="s">
        <v>219</v>
      </c>
      <c r="J1149" s="25">
        <v>1</v>
      </c>
      <c r="K1149" s="26">
        <v>0.15</v>
      </c>
      <c r="L1149" s="26">
        <v>0</v>
      </c>
    </row>
    <row r="1150" spans="1:12" ht="16" customHeight="1">
      <c r="A1150" t="s">
        <v>447</v>
      </c>
      <c r="B1150" t="s">
        <v>4</v>
      </c>
      <c r="C1150" t="s">
        <v>51</v>
      </c>
      <c r="D1150" s="24">
        <v>46143</v>
      </c>
      <c r="E1150" t="s">
        <v>496</v>
      </c>
      <c r="F1150" t="s">
        <v>6</v>
      </c>
      <c r="G1150" t="s">
        <v>506</v>
      </c>
      <c r="H1150" t="s">
        <v>506</v>
      </c>
      <c r="I1150" t="s">
        <v>219</v>
      </c>
      <c r="J1150" s="25">
        <v>1823</v>
      </c>
      <c r="K1150" s="26">
        <v>283.26</v>
      </c>
      <c r="L1150" s="26">
        <v>4.5199999999999996</v>
      </c>
    </row>
    <row r="1151" spans="1:12" ht="16" customHeight="1">
      <c r="A1151" t="s">
        <v>447</v>
      </c>
      <c r="B1151" t="s">
        <v>4</v>
      </c>
      <c r="C1151" t="s">
        <v>51</v>
      </c>
      <c r="D1151" s="24">
        <v>46143</v>
      </c>
      <c r="E1151" t="s">
        <v>512</v>
      </c>
      <c r="F1151" t="s">
        <v>6</v>
      </c>
      <c r="G1151" t="s">
        <v>506</v>
      </c>
      <c r="H1151" t="s">
        <v>506</v>
      </c>
      <c r="I1151" t="s">
        <v>221</v>
      </c>
      <c r="J1151" s="25">
        <v>0</v>
      </c>
      <c r="K1151" s="26">
        <v>0</v>
      </c>
      <c r="L1151" s="26">
        <v>0</v>
      </c>
    </row>
    <row r="1152" spans="1:12" ht="16" customHeight="1">
      <c r="A1152" t="s">
        <v>470</v>
      </c>
      <c r="B1152" t="s">
        <v>5</v>
      </c>
      <c r="C1152" t="s">
        <v>51</v>
      </c>
      <c r="D1152" s="24">
        <v>46143</v>
      </c>
      <c r="E1152" t="s">
        <v>472</v>
      </c>
      <c r="F1152" t="s">
        <v>6</v>
      </c>
      <c r="G1152" t="s">
        <v>505</v>
      </c>
      <c r="H1152" t="s">
        <v>505</v>
      </c>
      <c r="I1152" t="s">
        <v>212</v>
      </c>
      <c r="J1152" s="25">
        <v>120744677</v>
      </c>
      <c r="K1152" s="26">
        <v>18163800.420000002</v>
      </c>
      <c r="L1152" s="26">
        <v>41954.76</v>
      </c>
    </row>
    <row r="1153" spans="1:12" ht="16" customHeight="1">
      <c r="A1153" t="s">
        <v>470</v>
      </c>
      <c r="B1153" t="s">
        <v>5</v>
      </c>
      <c r="C1153" t="s">
        <v>51</v>
      </c>
      <c r="D1153" s="24">
        <v>46143</v>
      </c>
      <c r="E1153" t="s">
        <v>475</v>
      </c>
      <c r="F1153" t="s">
        <v>5</v>
      </c>
      <c r="G1153" t="s">
        <v>510</v>
      </c>
      <c r="H1153" t="s">
        <v>510</v>
      </c>
      <c r="I1153" t="s">
        <v>212</v>
      </c>
      <c r="J1153" s="25">
        <v>477503</v>
      </c>
      <c r="K1153" s="26">
        <v>72207.210000000006</v>
      </c>
      <c r="L1153" s="26">
        <v>336.36</v>
      </c>
    </row>
    <row r="1154" spans="1:12" ht="16" customHeight="1">
      <c r="A1154" t="s">
        <v>470</v>
      </c>
      <c r="B1154" t="s">
        <v>5</v>
      </c>
      <c r="C1154" t="s">
        <v>51</v>
      </c>
      <c r="D1154" s="24">
        <v>46143</v>
      </c>
      <c r="E1154" t="s">
        <v>481</v>
      </c>
      <c r="F1154" t="s">
        <v>6</v>
      </c>
      <c r="G1154" t="s">
        <v>505</v>
      </c>
      <c r="H1154" t="s">
        <v>505</v>
      </c>
      <c r="I1154" t="s">
        <v>219</v>
      </c>
      <c r="J1154" s="25">
        <v>6051</v>
      </c>
      <c r="K1154" s="26">
        <v>931.41</v>
      </c>
      <c r="L1154" s="26">
        <v>6.03</v>
      </c>
    </row>
    <row r="1155" spans="1:12" ht="16" customHeight="1">
      <c r="A1155" t="s">
        <v>470</v>
      </c>
      <c r="B1155" t="s">
        <v>5</v>
      </c>
      <c r="C1155" t="s">
        <v>51</v>
      </c>
      <c r="D1155" s="24">
        <v>46143</v>
      </c>
      <c r="E1155" t="s">
        <v>486</v>
      </c>
      <c r="F1155" t="s">
        <v>6</v>
      </c>
      <c r="G1155" t="s">
        <v>505</v>
      </c>
      <c r="H1155" t="s">
        <v>505</v>
      </c>
      <c r="I1155" t="s">
        <v>219</v>
      </c>
      <c r="J1155" s="25">
        <v>2</v>
      </c>
      <c r="K1155" s="26">
        <v>0.31</v>
      </c>
      <c r="L1155" s="26">
        <v>0.01</v>
      </c>
    </row>
    <row r="1156" spans="1:12" ht="16" customHeight="1">
      <c r="A1156" t="s">
        <v>470</v>
      </c>
      <c r="B1156" t="s">
        <v>5</v>
      </c>
      <c r="C1156" t="s">
        <v>51</v>
      </c>
      <c r="D1156" s="24">
        <v>46143</v>
      </c>
      <c r="E1156" t="s">
        <v>491</v>
      </c>
      <c r="F1156" t="s">
        <v>6</v>
      </c>
      <c r="G1156" t="s">
        <v>505</v>
      </c>
      <c r="H1156" t="s">
        <v>505</v>
      </c>
      <c r="I1156" t="s">
        <v>219</v>
      </c>
      <c r="J1156" s="25">
        <v>0</v>
      </c>
      <c r="K1156" s="26">
        <v>0</v>
      </c>
      <c r="L1156" s="26">
        <v>0</v>
      </c>
    </row>
    <row r="1157" spans="1:12" ht="16" customHeight="1">
      <c r="A1157" t="s">
        <v>470</v>
      </c>
      <c r="B1157" t="s">
        <v>5</v>
      </c>
      <c r="C1157" t="s">
        <v>51</v>
      </c>
      <c r="D1157" s="24">
        <v>46143</v>
      </c>
      <c r="E1157" t="s">
        <v>496</v>
      </c>
      <c r="F1157" t="s">
        <v>6</v>
      </c>
      <c r="G1157" t="s">
        <v>506</v>
      </c>
      <c r="H1157" t="s">
        <v>506</v>
      </c>
      <c r="I1157" t="s">
        <v>219</v>
      </c>
      <c r="J1157" s="25">
        <v>2507</v>
      </c>
      <c r="K1157" s="26">
        <v>387.56</v>
      </c>
      <c r="L1157" s="26">
        <v>5.86</v>
      </c>
    </row>
    <row r="1158" spans="1:12" ht="16" customHeight="1">
      <c r="A1158" t="s">
        <v>470</v>
      </c>
      <c r="B1158" t="s">
        <v>5</v>
      </c>
      <c r="C1158" t="s">
        <v>51</v>
      </c>
      <c r="D1158" s="24">
        <v>46143</v>
      </c>
      <c r="E1158" t="s">
        <v>512</v>
      </c>
      <c r="F1158" t="s">
        <v>6</v>
      </c>
      <c r="G1158" t="s">
        <v>506</v>
      </c>
      <c r="H1158" t="s">
        <v>506</v>
      </c>
      <c r="I1158" t="s">
        <v>221</v>
      </c>
      <c r="J1158" s="25">
        <v>0</v>
      </c>
      <c r="K1158" s="26">
        <v>0</v>
      </c>
      <c r="L1158" s="26">
        <v>0</v>
      </c>
    </row>
    <row r="1159" spans="1:12" ht="16" customHeight="1">
      <c r="A1159" t="s">
        <v>472</v>
      </c>
      <c r="B1159" t="s">
        <v>6</v>
      </c>
      <c r="C1159" t="s">
        <v>51</v>
      </c>
      <c r="D1159" s="24">
        <v>46143</v>
      </c>
      <c r="E1159" t="s">
        <v>472</v>
      </c>
      <c r="F1159" t="s">
        <v>6</v>
      </c>
      <c r="G1159" t="s">
        <v>505</v>
      </c>
      <c r="H1159" t="s">
        <v>505</v>
      </c>
      <c r="I1159" t="s">
        <v>212</v>
      </c>
      <c r="J1159" s="25">
        <v>533439880</v>
      </c>
      <c r="K1159" s="26">
        <v>80441066.810000002</v>
      </c>
      <c r="L1159" s="26">
        <v>65268.58</v>
      </c>
    </row>
    <row r="1160" spans="1:12" ht="16" customHeight="1">
      <c r="A1160" t="s">
        <v>472</v>
      </c>
      <c r="B1160" t="s">
        <v>6</v>
      </c>
      <c r="C1160" t="s">
        <v>51</v>
      </c>
      <c r="D1160" s="24">
        <v>46143</v>
      </c>
      <c r="E1160" t="s">
        <v>475</v>
      </c>
      <c r="F1160" t="s">
        <v>5</v>
      </c>
      <c r="G1160" t="s">
        <v>510</v>
      </c>
      <c r="H1160" t="s">
        <v>511</v>
      </c>
      <c r="I1160" t="s">
        <v>212</v>
      </c>
      <c r="J1160" s="25">
        <v>2042443</v>
      </c>
      <c r="K1160" s="26">
        <v>309382.15000000002</v>
      </c>
      <c r="L1160" s="26">
        <v>1372.74</v>
      </c>
    </row>
    <row r="1161" spans="1:12" ht="16" customHeight="1">
      <c r="A1161" t="s">
        <v>472</v>
      </c>
      <c r="B1161" t="s">
        <v>6</v>
      </c>
      <c r="C1161" t="s">
        <v>51</v>
      </c>
      <c r="D1161" s="24">
        <v>46143</v>
      </c>
      <c r="E1161" t="s">
        <v>481</v>
      </c>
      <c r="F1161" t="s">
        <v>6</v>
      </c>
      <c r="G1161" t="s">
        <v>505</v>
      </c>
      <c r="H1161" t="s">
        <v>505</v>
      </c>
      <c r="I1161" t="s">
        <v>219</v>
      </c>
      <c r="J1161" s="25">
        <v>20236</v>
      </c>
      <c r="K1161" s="26">
        <v>3094.71</v>
      </c>
      <c r="L1161" s="26">
        <v>26.38</v>
      </c>
    </row>
    <row r="1162" spans="1:12" ht="16" customHeight="1">
      <c r="A1162" t="s">
        <v>472</v>
      </c>
      <c r="B1162" t="s">
        <v>6</v>
      </c>
      <c r="C1162" t="s">
        <v>51</v>
      </c>
      <c r="D1162" s="24">
        <v>46143</v>
      </c>
      <c r="E1162" t="s">
        <v>486</v>
      </c>
      <c r="F1162" t="s">
        <v>6</v>
      </c>
      <c r="G1162" t="s">
        <v>505</v>
      </c>
      <c r="H1162" t="s">
        <v>505</v>
      </c>
      <c r="I1162" t="s">
        <v>219</v>
      </c>
      <c r="J1162" s="25">
        <v>75</v>
      </c>
      <c r="K1162" s="26">
        <v>11.39</v>
      </c>
      <c r="L1162" s="26">
        <v>0.13</v>
      </c>
    </row>
    <row r="1163" spans="1:12" ht="16" customHeight="1">
      <c r="A1163" t="s">
        <v>472</v>
      </c>
      <c r="B1163" t="s">
        <v>6</v>
      </c>
      <c r="C1163" t="s">
        <v>51</v>
      </c>
      <c r="D1163" s="24">
        <v>46143</v>
      </c>
      <c r="E1163" t="s">
        <v>491</v>
      </c>
      <c r="F1163" t="s">
        <v>6</v>
      </c>
      <c r="G1163" t="s">
        <v>505</v>
      </c>
      <c r="H1163" t="s">
        <v>505</v>
      </c>
      <c r="I1163" t="s">
        <v>219</v>
      </c>
      <c r="J1163" s="25">
        <v>1</v>
      </c>
      <c r="K1163" s="26">
        <v>0.17</v>
      </c>
      <c r="L1163" s="26">
        <v>0</v>
      </c>
    </row>
    <row r="1164" spans="1:12" ht="16" customHeight="1">
      <c r="A1164" t="s">
        <v>472</v>
      </c>
      <c r="B1164" t="s">
        <v>6</v>
      </c>
      <c r="C1164" t="s">
        <v>51</v>
      </c>
      <c r="D1164" s="24">
        <v>46143</v>
      </c>
      <c r="E1164" t="s">
        <v>496</v>
      </c>
      <c r="F1164" t="s">
        <v>6</v>
      </c>
      <c r="G1164" t="s">
        <v>506</v>
      </c>
      <c r="H1164" t="s">
        <v>506</v>
      </c>
      <c r="I1164" t="s">
        <v>219</v>
      </c>
      <c r="J1164" s="25">
        <v>2616</v>
      </c>
      <c r="K1164" s="26">
        <v>404.76</v>
      </c>
      <c r="L1164" s="26">
        <v>5.93</v>
      </c>
    </row>
    <row r="1165" spans="1:12" ht="16" customHeight="1">
      <c r="A1165" t="s">
        <v>472</v>
      </c>
      <c r="B1165" t="s">
        <v>6</v>
      </c>
      <c r="C1165" t="s">
        <v>51</v>
      </c>
      <c r="D1165" s="24">
        <v>46143</v>
      </c>
      <c r="E1165" t="s">
        <v>500</v>
      </c>
      <c r="F1165" t="s">
        <v>6</v>
      </c>
      <c r="G1165" t="s">
        <v>505</v>
      </c>
      <c r="H1165" t="s">
        <v>505</v>
      </c>
      <c r="I1165" t="s">
        <v>221</v>
      </c>
      <c r="J1165" s="25">
        <v>1</v>
      </c>
      <c r="K1165" s="26">
        <v>0.16</v>
      </c>
      <c r="L1165" s="26">
        <v>0</v>
      </c>
    </row>
    <row r="1166" spans="1:12" ht="16" customHeight="1">
      <c r="A1166" t="s">
        <v>472</v>
      </c>
      <c r="B1166" t="s">
        <v>6</v>
      </c>
      <c r="C1166" t="s">
        <v>51</v>
      </c>
      <c r="D1166" s="24">
        <v>46143</v>
      </c>
      <c r="E1166" t="s">
        <v>512</v>
      </c>
      <c r="F1166" t="s">
        <v>6</v>
      </c>
      <c r="G1166" t="s">
        <v>506</v>
      </c>
      <c r="H1166" t="s">
        <v>506</v>
      </c>
      <c r="I1166" t="s">
        <v>221</v>
      </c>
      <c r="J1166" s="25">
        <v>0</v>
      </c>
      <c r="K1166" s="26">
        <v>0</v>
      </c>
      <c r="L1166" s="26">
        <v>0</v>
      </c>
    </row>
    <row r="1167" spans="1:12" ht="16" customHeight="1">
      <c r="A1167" t="s">
        <v>473</v>
      </c>
      <c r="B1167" t="s">
        <v>7</v>
      </c>
      <c r="C1167" t="s">
        <v>52</v>
      </c>
      <c r="D1167" s="24">
        <v>46143</v>
      </c>
      <c r="E1167" t="s">
        <v>475</v>
      </c>
      <c r="F1167" t="s">
        <v>5</v>
      </c>
      <c r="G1167" t="s">
        <v>510</v>
      </c>
      <c r="H1167" t="s">
        <v>511</v>
      </c>
      <c r="I1167" t="s">
        <v>212</v>
      </c>
      <c r="J1167" s="25">
        <v>15196836</v>
      </c>
      <c r="K1167" s="26">
        <v>2307329.2000000002</v>
      </c>
      <c r="L1167" s="26">
        <v>9580.2999999999993</v>
      </c>
    </row>
    <row r="1168" spans="1:12" ht="16" customHeight="1">
      <c r="A1168" t="s">
        <v>473</v>
      </c>
      <c r="B1168" t="s">
        <v>7</v>
      </c>
      <c r="C1168" t="s">
        <v>52</v>
      </c>
      <c r="D1168" s="24">
        <v>46143</v>
      </c>
      <c r="E1168" t="s">
        <v>481</v>
      </c>
      <c r="F1168" t="s">
        <v>6</v>
      </c>
      <c r="G1168" t="s">
        <v>505</v>
      </c>
      <c r="H1168" t="s">
        <v>505</v>
      </c>
      <c r="I1168" t="s">
        <v>219</v>
      </c>
      <c r="J1168" s="25">
        <v>57728</v>
      </c>
      <c r="K1168" s="26">
        <v>8856.11</v>
      </c>
      <c r="L1168" s="26">
        <v>57.93</v>
      </c>
    </row>
    <row r="1169" spans="1:12" ht="16" customHeight="1">
      <c r="A1169" t="s">
        <v>473</v>
      </c>
      <c r="B1169" t="s">
        <v>7</v>
      </c>
      <c r="C1169" t="s">
        <v>52</v>
      </c>
      <c r="D1169" s="24">
        <v>46143</v>
      </c>
      <c r="E1169" t="s">
        <v>486</v>
      </c>
      <c r="F1169" t="s">
        <v>6</v>
      </c>
      <c r="G1169" t="s">
        <v>505</v>
      </c>
      <c r="H1169" t="s">
        <v>505</v>
      </c>
      <c r="I1169" t="s">
        <v>219</v>
      </c>
      <c r="J1169" s="25">
        <v>368</v>
      </c>
      <c r="K1169" s="26">
        <v>56.4</v>
      </c>
      <c r="L1169" s="26">
        <v>0.78</v>
      </c>
    </row>
    <row r="1170" spans="1:12" ht="16" customHeight="1">
      <c r="A1170" t="s">
        <v>473</v>
      </c>
      <c r="B1170" t="s">
        <v>7</v>
      </c>
      <c r="C1170" t="s">
        <v>52</v>
      </c>
      <c r="D1170" s="24">
        <v>46143</v>
      </c>
      <c r="E1170" t="s">
        <v>491</v>
      </c>
      <c r="F1170" t="s">
        <v>6</v>
      </c>
      <c r="G1170" t="s">
        <v>505</v>
      </c>
      <c r="H1170" t="s">
        <v>505</v>
      </c>
      <c r="I1170" t="s">
        <v>219</v>
      </c>
      <c r="J1170" s="25">
        <v>0</v>
      </c>
      <c r="K1170" s="26">
        <v>0</v>
      </c>
      <c r="L1170" s="26">
        <v>0</v>
      </c>
    </row>
    <row r="1171" spans="1:12" ht="16" customHeight="1">
      <c r="A1171" t="s">
        <v>473</v>
      </c>
      <c r="B1171" t="s">
        <v>7</v>
      </c>
      <c r="C1171" t="s">
        <v>52</v>
      </c>
      <c r="D1171" s="24">
        <v>46143</v>
      </c>
      <c r="E1171" t="s">
        <v>496</v>
      </c>
      <c r="F1171" t="s">
        <v>6</v>
      </c>
      <c r="G1171" t="s">
        <v>506</v>
      </c>
      <c r="H1171" t="s">
        <v>506</v>
      </c>
      <c r="I1171" t="s">
        <v>219</v>
      </c>
      <c r="J1171" s="25">
        <v>4435</v>
      </c>
      <c r="K1171" s="26">
        <v>688.43</v>
      </c>
      <c r="L1171" s="26">
        <v>10.3</v>
      </c>
    </row>
    <row r="1172" spans="1:12" ht="16" customHeight="1">
      <c r="A1172" t="s">
        <v>473</v>
      </c>
      <c r="B1172" t="s">
        <v>7</v>
      </c>
      <c r="C1172" t="s">
        <v>52</v>
      </c>
      <c r="D1172" s="24">
        <v>46143</v>
      </c>
      <c r="E1172" t="s">
        <v>500</v>
      </c>
      <c r="F1172" t="s">
        <v>6</v>
      </c>
      <c r="G1172" t="s">
        <v>505</v>
      </c>
      <c r="H1172" t="s">
        <v>505</v>
      </c>
      <c r="I1172" t="s">
        <v>221</v>
      </c>
      <c r="J1172" s="25">
        <v>0</v>
      </c>
      <c r="K1172" s="26">
        <v>0</v>
      </c>
      <c r="L1172" s="26">
        <v>0</v>
      </c>
    </row>
    <row r="1173" spans="1:12" ht="16" customHeight="1">
      <c r="A1173" t="s">
        <v>473</v>
      </c>
      <c r="B1173" t="s">
        <v>7</v>
      </c>
      <c r="C1173" t="s">
        <v>52</v>
      </c>
      <c r="D1173" s="24">
        <v>46143</v>
      </c>
      <c r="E1173" t="s">
        <v>512</v>
      </c>
      <c r="F1173" t="s">
        <v>6</v>
      </c>
      <c r="G1173" t="s">
        <v>506</v>
      </c>
      <c r="H1173" t="s">
        <v>506</v>
      </c>
      <c r="I1173" t="s">
        <v>221</v>
      </c>
      <c r="J1173" s="25">
        <v>116</v>
      </c>
      <c r="K1173" s="26">
        <v>18.18</v>
      </c>
      <c r="L1173" s="26">
        <v>0.51</v>
      </c>
    </row>
    <row r="1174" spans="1:12" ht="16" customHeight="1">
      <c r="A1174" t="s">
        <v>474</v>
      </c>
      <c r="B1174" t="s">
        <v>3</v>
      </c>
      <c r="C1174" t="s">
        <v>52</v>
      </c>
      <c r="D1174" s="24">
        <v>46143</v>
      </c>
      <c r="E1174" t="s">
        <v>475</v>
      </c>
      <c r="F1174" t="s">
        <v>5</v>
      </c>
      <c r="G1174" t="s">
        <v>510</v>
      </c>
      <c r="H1174" t="s">
        <v>511</v>
      </c>
      <c r="I1174" t="s">
        <v>212</v>
      </c>
      <c r="J1174" s="25">
        <v>19794703</v>
      </c>
      <c r="K1174" s="26">
        <v>3024016.59</v>
      </c>
      <c r="L1174" s="26">
        <v>9171.0499999999993</v>
      </c>
    </row>
    <row r="1175" spans="1:12" ht="16" customHeight="1">
      <c r="A1175" t="s">
        <v>474</v>
      </c>
      <c r="B1175" t="s">
        <v>3</v>
      </c>
      <c r="C1175" t="s">
        <v>52</v>
      </c>
      <c r="D1175" s="24">
        <v>46143</v>
      </c>
      <c r="E1175" t="s">
        <v>481</v>
      </c>
      <c r="F1175" t="s">
        <v>6</v>
      </c>
      <c r="G1175" t="s">
        <v>505</v>
      </c>
      <c r="H1175" t="s">
        <v>505</v>
      </c>
      <c r="I1175" t="s">
        <v>219</v>
      </c>
      <c r="J1175" s="25">
        <v>162385</v>
      </c>
      <c r="K1175" s="26">
        <v>24980.46</v>
      </c>
      <c r="L1175" s="26">
        <v>140.41999999999999</v>
      </c>
    </row>
    <row r="1176" spans="1:12" ht="16" customHeight="1">
      <c r="A1176" t="s">
        <v>474</v>
      </c>
      <c r="B1176" t="s">
        <v>3</v>
      </c>
      <c r="C1176" t="s">
        <v>52</v>
      </c>
      <c r="D1176" s="24">
        <v>46143</v>
      </c>
      <c r="E1176" t="s">
        <v>486</v>
      </c>
      <c r="F1176" t="s">
        <v>6</v>
      </c>
      <c r="G1176" t="s">
        <v>505</v>
      </c>
      <c r="H1176" t="s">
        <v>505</v>
      </c>
      <c r="I1176" t="s">
        <v>219</v>
      </c>
      <c r="J1176" s="25">
        <v>680</v>
      </c>
      <c r="K1176" s="26">
        <v>104.08</v>
      </c>
      <c r="L1176" s="26">
        <v>1.06</v>
      </c>
    </row>
    <row r="1177" spans="1:12" ht="16" customHeight="1">
      <c r="A1177" t="s">
        <v>474</v>
      </c>
      <c r="B1177" t="s">
        <v>3</v>
      </c>
      <c r="C1177" t="s">
        <v>52</v>
      </c>
      <c r="D1177" s="24">
        <v>46143</v>
      </c>
      <c r="E1177" t="s">
        <v>491</v>
      </c>
      <c r="F1177" t="s">
        <v>6</v>
      </c>
      <c r="G1177" t="s">
        <v>505</v>
      </c>
      <c r="H1177" t="s">
        <v>505</v>
      </c>
      <c r="I1177" t="s">
        <v>219</v>
      </c>
      <c r="J1177" s="25">
        <v>62</v>
      </c>
      <c r="K1177" s="26">
        <v>9.58</v>
      </c>
      <c r="L1177" s="26">
        <v>0.23</v>
      </c>
    </row>
    <row r="1178" spans="1:12" ht="16" customHeight="1">
      <c r="A1178" t="s">
        <v>474</v>
      </c>
      <c r="B1178" t="s">
        <v>3</v>
      </c>
      <c r="C1178" t="s">
        <v>52</v>
      </c>
      <c r="D1178" s="24">
        <v>46143</v>
      </c>
      <c r="E1178" t="s">
        <v>496</v>
      </c>
      <c r="F1178" t="s">
        <v>6</v>
      </c>
      <c r="G1178" t="s">
        <v>506</v>
      </c>
      <c r="H1178" t="s">
        <v>506</v>
      </c>
      <c r="I1178" t="s">
        <v>219</v>
      </c>
      <c r="J1178" s="25">
        <v>9687</v>
      </c>
      <c r="K1178" s="26">
        <v>1507.17</v>
      </c>
      <c r="L1178" s="26">
        <v>21.6</v>
      </c>
    </row>
    <row r="1179" spans="1:12" ht="16" customHeight="1">
      <c r="A1179" t="s">
        <v>474</v>
      </c>
      <c r="B1179" t="s">
        <v>3</v>
      </c>
      <c r="C1179" t="s">
        <v>52</v>
      </c>
      <c r="D1179" s="24">
        <v>46143</v>
      </c>
      <c r="E1179" t="s">
        <v>500</v>
      </c>
      <c r="F1179" t="s">
        <v>6</v>
      </c>
      <c r="G1179" t="s">
        <v>505</v>
      </c>
      <c r="H1179" t="s">
        <v>505</v>
      </c>
      <c r="I1179" t="s">
        <v>221</v>
      </c>
      <c r="J1179" s="25">
        <v>0</v>
      </c>
      <c r="K1179" s="26">
        <v>0</v>
      </c>
      <c r="L1179" s="26">
        <v>0</v>
      </c>
    </row>
    <row r="1180" spans="1:12" ht="16" customHeight="1">
      <c r="A1180" t="s">
        <v>474</v>
      </c>
      <c r="B1180" t="s">
        <v>3</v>
      </c>
      <c r="C1180" t="s">
        <v>52</v>
      </c>
      <c r="D1180" s="24">
        <v>46143</v>
      </c>
      <c r="E1180" t="s">
        <v>512</v>
      </c>
      <c r="F1180" t="s">
        <v>6</v>
      </c>
      <c r="G1180" t="s">
        <v>506</v>
      </c>
      <c r="H1180" t="s">
        <v>506</v>
      </c>
      <c r="I1180" t="s">
        <v>221</v>
      </c>
      <c r="J1180" s="25">
        <v>7</v>
      </c>
      <c r="K1180" s="26">
        <v>1.1000000000000001</v>
      </c>
      <c r="L1180" s="26">
        <v>0.03</v>
      </c>
    </row>
    <row r="1181" spans="1:12" ht="16" customHeight="1">
      <c r="A1181" t="s">
        <v>416</v>
      </c>
      <c r="B1181" t="s">
        <v>4</v>
      </c>
      <c r="C1181" t="s">
        <v>52</v>
      </c>
      <c r="D1181" s="24">
        <v>46143</v>
      </c>
      <c r="E1181" t="s">
        <v>475</v>
      </c>
      <c r="F1181" t="s">
        <v>5</v>
      </c>
      <c r="G1181" t="s">
        <v>510</v>
      </c>
      <c r="H1181" t="s">
        <v>511</v>
      </c>
      <c r="I1181" t="s">
        <v>212</v>
      </c>
      <c r="J1181" s="25">
        <v>32042404</v>
      </c>
      <c r="K1181" s="26">
        <v>4898930.37</v>
      </c>
      <c r="L1181" s="26">
        <v>9998.77</v>
      </c>
    </row>
    <row r="1182" spans="1:12" ht="16" customHeight="1">
      <c r="A1182" t="s">
        <v>416</v>
      </c>
      <c r="B1182" t="s">
        <v>4</v>
      </c>
      <c r="C1182" t="s">
        <v>52</v>
      </c>
      <c r="D1182" s="24">
        <v>46143</v>
      </c>
      <c r="E1182" t="s">
        <v>481</v>
      </c>
      <c r="F1182" t="s">
        <v>6</v>
      </c>
      <c r="G1182" t="s">
        <v>505</v>
      </c>
      <c r="H1182" t="s">
        <v>505</v>
      </c>
      <c r="I1182" t="s">
        <v>219</v>
      </c>
      <c r="J1182" s="25">
        <v>411687</v>
      </c>
      <c r="K1182" s="26">
        <v>62946.57</v>
      </c>
      <c r="L1182" s="26">
        <v>277.94</v>
      </c>
    </row>
    <row r="1183" spans="1:12" ht="16" customHeight="1">
      <c r="A1183" t="s">
        <v>416</v>
      </c>
      <c r="B1183" t="s">
        <v>4</v>
      </c>
      <c r="C1183" t="s">
        <v>52</v>
      </c>
      <c r="D1183" s="24">
        <v>46143</v>
      </c>
      <c r="E1183" t="s">
        <v>486</v>
      </c>
      <c r="F1183" t="s">
        <v>6</v>
      </c>
      <c r="G1183" t="s">
        <v>505</v>
      </c>
      <c r="H1183" t="s">
        <v>505</v>
      </c>
      <c r="I1183" t="s">
        <v>219</v>
      </c>
      <c r="J1183" s="25">
        <v>4614</v>
      </c>
      <c r="K1183" s="26">
        <v>720.02</v>
      </c>
      <c r="L1183" s="26">
        <v>4.08</v>
      </c>
    </row>
    <row r="1184" spans="1:12" ht="16" customHeight="1">
      <c r="A1184" t="s">
        <v>416</v>
      </c>
      <c r="B1184" t="s">
        <v>4</v>
      </c>
      <c r="C1184" t="s">
        <v>52</v>
      </c>
      <c r="D1184" s="24">
        <v>46143</v>
      </c>
      <c r="E1184" t="s">
        <v>491</v>
      </c>
      <c r="F1184" t="s">
        <v>6</v>
      </c>
      <c r="G1184" t="s">
        <v>505</v>
      </c>
      <c r="H1184" t="s">
        <v>505</v>
      </c>
      <c r="I1184" t="s">
        <v>219</v>
      </c>
      <c r="J1184" s="25">
        <v>16</v>
      </c>
      <c r="K1184" s="26">
        <v>2.65</v>
      </c>
      <c r="L1184" s="26">
        <v>0.01</v>
      </c>
    </row>
    <row r="1185" spans="1:12" ht="16" customHeight="1">
      <c r="A1185" t="s">
        <v>416</v>
      </c>
      <c r="B1185" t="s">
        <v>4</v>
      </c>
      <c r="C1185" t="s">
        <v>52</v>
      </c>
      <c r="D1185" s="24">
        <v>46143</v>
      </c>
      <c r="E1185" t="s">
        <v>496</v>
      </c>
      <c r="F1185" t="s">
        <v>6</v>
      </c>
      <c r="G1185" t="s">
        <v>506</v>
      </c>
      <c r="H1185" t="s">
        <v>506</v>
      </c>
      <c r="I1185" t="s">
        <v>219</v>
      </c>
      <c r="J1185" s="25">
        <v>10475</v>
      </c>
      <c r="K1185" s="26">
        <v>1678.25</v>
      </c>
      <c r="L1185" s="26">
        <v>44.08</v>
      </c>
    </row>
    <row r="1186" spans="1:12" ht="16" customHeight="1">
      <c r="A1186" t="s">
        <v>416</v>
      </c>
      <c r="B1186" t="s">
        <v>4</v>
      </c>
      <c r="C1186" t="s">
        <v>52</v>
      </c>
      <c r="D1186" s="24">
        <v>46143</v>
      </c>
      <c r="E1186" t="s">
        <v>500</v>
      </c>
      <c r="F1186" t="s">
        <v>6</v>
      </c>
      <c r="G1186" t="s">
        <v>505</v>
      </c>
      <c r="H1186" t="s">
        <v>505</v>
      </c>
      <c r="I1186" t="s">
        <v>221</v>
      </c>
      <c r="J1186" s="25">
        <v>0</v>
      </c>
      <c r="K1186" s="26">
        <v>0</v>
      </c>
      <c r="L1186" s="26">
        <v>0</v>
      </c>
    </row>
    <row r="1187" spans="1:12" ht="16" customHeight="1">
      <c r="A1187" t="s">
        <v>416</v>
      </c>
      <c r="B1187" t="s">
        <v>4</v>
      </c>
      <c r="C1187" t="s">
        <v>52</v>
      </c>
      <c r="D1187" s="24">
        <v>46143</v>
      </c>
      <c r="E1187" t="s">
        <v>512</v>
      </c>
      <c r="F1187" t="s">
        <v>6</v>
      </c>
      <c r="G1187" t="s">
        <v>506</v>
      </c>
      <c r="H1187" t="s">
        <v>506</v>
      </c>
      <c r="I1187" t="s">
        <v>221</v>
      </c>
      <c r="J1187" s="25">
        <v>224</v>
      </c>
      <c r="K1187" s="26">
        <v>35.49</v>
      </c>
      <c r="L1187" s="26">
        <v>0.87</v>
      </c>
    </row>
    <row r="1188" spans="1:12" ht="16" customHeight="1">
      <c r="A1188" t="s">
        <v>475</v>
      </c>
      <c r="B1188" t="s">
        <v>5</v>
      </c>
      <c r="C1188" t="s">
        <v>52</v>
      </c>
      <c r="D1188" s="24">
        <v>46143</v>
      </c>
      <c r="E1188" t="s">
        <v>475</v>
      </c>
      <c r="F1188" t="s">
        <v>5</v>
      </c>
      <c r="G1188" t="s">
        <v>510</v>
      </c>
      <c r="H1188" t="s">
        <v>511</v>
      </c>
      <c r="I1188" t="s">
        <v>212</v>
      </c>
      <c r="J1188" s="25">
        <v>451496139</v>
      </c>
      <c r="K1188" s="26">
        <v>68644350.260000005</v>
      </c>
      <c r="L1188" s="26">
        <v>49466.54</v>
      </c>
    </row>
    <row r="1189" spans="1:12" ht="16" customHeight="1">
      <c r="A1189" t="s">
        <v>475</v>
      </c>
      <c r="B1189" t="s">
        <v>5</v>
      </c>
      <c r="C1189" t="s">
        <v>52</v>
      </c>
      <c r="D1189" s="24">
        <v>46143</v>
      </c>
      <c r="E1189" t="s">
        <v>481</v>
      </c>
      <c r="F1189" t="s">
        <v>6</v>
      </c>
      <c r="G1189" t="s">
        <v>505</v>
      </c>
      <c r="H1189" t="s">
        <v>505</v>
      </c>
      <c r="I1189" t="s">
        <v>219</v>
      </c>
      <c r="J1189" s="25">
        <v>1653822</v>
      </c>
      <c r="K1189" s="26">
        <v>252680.3</v>
      </c>
      <c r="L1189" s="26">
        <v>1112.3</v>
      </c>
    </row>
    <row r="1190" spans="1:12" ht="16" customHeight="1">
      <c r="A1190" t="s">
        <v>475</v>
      </c>
      <c r="B1190" t="s">
        <v>5</v>
      </c>
      <c r="C1190" t="s">
        <v>52</v>
      </c>
      <c r="D1190" s="24">
        <v>46143</v>
      </c>
      <c r="E1190" t="s">
        <v>486</v>
      </c>
      <c r="F1190" t="s">
        <v>6</v>
      </c>
      <c r="G1190" t="s">
        <v>505</v>
      </c>
      <c r="H1190" t="s">
        <v>505</v>
      </c>
      <c r="I1190" t="s">
        <v>219</v>
      </c>
      <c r="J1190" s="25">
        <v>11972</v>
      </c>
      <c r="K1190" s="26">
        <v>1843.14</v>
      </c>
      <c r="L1190" s="26">
        <v>8.76</v>
      </c>
    </row>
    <row r="1191" spans="1:12" ht="16" customHeight="1">
      <c r="A1191" t="s">
        <v>475</v>
      </c>
      <c r="B1191" t="s">
        <v>5</v>
      </c>
      <c r="C1191" t="s">
        <v>52</v>
      </c>
      <c r="D1191" s="24">
        <v>46143</v>
      </c>
      <c r="E1191" t="s">
        <v>491</v>
      </c>
      <c r="F1191" t="s">
        <v>6</v>
      </c>
      <c r="G1191" t="s">
        <v>505</v>
      </c>
      <c r="H1191" t="s">
        <v>505</v>
      </c>
      <c r="I1191" t="s">
        <v>219</v>
      </c>
      <c r="J1191" s="25">
        <v>17</v>
      </c>
      <c r="K1191" s="26">
        <v>2.66</v>
      </c>
      <c r="L1191" s="26">
        <v>0.05</v>
      </c>
    </row>
    <row r="1192" spans="1:12" ht="16" customHeight="1">
      <c r="A1192" t="s">
        <v>475</v>
      </c>
      <c r="B1192" t="s">
        <v>5</v>
      </c>
      <c r="C1192" t="s">
        <v>52</v>
      </c>
      <c r="D1192" s="24">
        <v>46143</v>
      </c>
      <c r="E1192" t="s">
        <v>496</v>
      </c>
      <c r="F1192" t="s">
        <v>6</v>
      </c>
      <c r="G1192" t="s">
        <v>506</v>
      </c>
      <c r="H1192" t="s">
        <v>506</v>
      </c>
      <c r="I1192" t="s">
        <v>219</v>
      </c>
      <c r="J1192" s="25">
        <v>16912</v>
      </c>
      <c r="K1192" s="26">
        <v>2666.72</v>
      </c>
      <c r="L1192" s="26">
        <v>50.05</v>
      </c>
    </row>
    <row r="1193" spans="1:12" ht="16" customHeight="1">
      <c r="A1193" t="s">
        <v>475</v>
      </c>
      <c r="B1193" t="s">
        <v>5</v>
      </c>
      <c r="C1193" t="s">
        <v>52</v>
      </c>
      <c r="D1193" s="24">
        <v>46143</v>
      </c>
      <c r="E1193" t="s">
        <v>500</v>
      </c>
      <c r="F1193" t="s">
        <v>6</v>
      </c>
      <c r="G1193" t="s">
        <v>505</v>
      </c>
      <c r="H1193" t="s">
        <v>505</v>
      </c>
      <c r="I1193" t="s">
        <v>221</v>
      </c>
      <c r="J1193" s="25">
        <v>0</v>
      </c>
      <c r="K1193" s="26">
        <v>0</v>
      </c>
      <c r="L1193" s="26">
        <v>0</v>
      </c>
    </row>
    <row r="1194" spans="1:12" ht="16" customHeight="1">
      <c r="A1194" t="s">
        <v>475</v>
      </c>
      <c r="B1194" t="s">
        <v>5</v>
      </c>
      <c r="C1194" t="s">
        <v>52</v>
      </c>
      <c r="D1194" s="24">
        <v>46143</v>
      </c>
      <c r="E1194" t="s">
        <v>512</v>
      </c>
      <c r="F1194" t="s">
        <v>6</v>
      </c>
      <c r="G1194" t="s">
        <v>506</v>
      </c>
      <c r="H1194" t="s">
        <v>506</v>
      </c>
      <c r="I1194" t="s">
        <v>221</v>
      </c>
      <c r="J1194" s="25">
        <v>543</v>
      </c>
      <c r="K1194" s="26">
        <v>85</v>
      </c>
      <c r="L1194" s="26">
        <v>1.86</v>
      </c>
    </row>
    <row r="1195" spans="1:12" ht="16" customHeight="1">
      <c r="A1195" t="s">
        <v>477</v>
      </c>
      <c r="B1195" t="s">
        <v>7</v>
      </c>
      <c r="C1195" t="s">
        <v>53</v>
      </c>
      <c r="D1195" s="24">
        <v>46143</v>
      </c>
      <c r="E1195" t="s">
        <v>481</v>
      </c>
      <c r="F1195" t="s">
        <v>6</v>
      </c>
      <c r="G1195" t="s">
        <v>505</v>
      </c>
      <c r="H1195" t="s">
        <v>505</v>
      </c>
      <c r="I1195" t="s">
        <v>219</v>
      </c>
      <c r="J1195" s="25">
        <v>19470766</v>
      </c>
      <c r="K1195" s="26">
        <v>2961573.04</v>
      </c>
      <c r="L1195" s="26">
        <v>12089.01</v>
      </c>
    </row>
    <row r="1196" spans="1:12" ht="16" customHeight="1">
      <c r="A1196" t="s">
        <v>477</v>
      </c>
      <c r="B1196" t="s">
        <v>7</v>
      </c>
      <c r="C1196" t="s">
        <v>53</v>
      </c>
      <c r="D1196" s="24">
        <v>46143</v>
      </c>
      <c r="E1196" t="s">
        <v>486</v>
      </c>
      <c r="F1196" t="s">
        <v>6</v>
      </c>
      <c r="G1196" t="s">
        <v>505</v>
      </c>
      <c r="H1196" t="s">
        <v>505</v>
      </c>
      <c r="I1196" t="s">
        <v>219</v>
      </c>
      <c r="J1196" s="25">
        <v>59342</v>
      </c>
      <c r="K1196" s="26">
        <v>9066.89</v>
      </c>
      <c r="L1196" s="26">
        <v>48.7</v>
      </c>
    </row>
    <row r="1197" spans="1:12" ht="16" customHeight="1">
      <c r="A1197" t="s">
        <v>477</v>
      </c>
      <c r="B1197" t="s">
        <v>7</v>
      </c>
      <c r="C1197" t="s">
        <v>53</v>
      </c>
      <c r="D1197" s="24">
        <v>46143</v>
      </c>
      <c r="E1197" t="s">
        <v>491</v>
      </c>
      <c r="F1197" t="s">
        <v>6</v>
      </c>
      <c r="G1197" t="s">
        <v>505</v>
      </c>
      <c r="H1197" t="s">
        <v>505</v>
      </c>
      <c r="I1197" t="s">
        <v>219</v>
      </c>
      <c r="J1197" s="25">
        <v>1598</v>
      </c>
      <c r="K1197" s="26">
        <v>246.2</v>
      </c>
      <c r="L1197" s="26">
        <v>3.07</v>
      </c>
    </row>
    <row r="1198" spans="1:12" ht="16" customHeight="1">
      <c r="A1198" t="s">
        <v>477</v>
      </c>
      <c r="B1198" t="s">
        <v>7</v>
      </c>
      <c r="C1198" t="s">
        <v>53</v>
      </c>
      <c r="D1198" s="24">
        <v>46143</v>
      </c>
      <c r="E1198" t="s">
        <v>496</v>
      </c>
      <c r="F1198" t="s">
        <v>6</v>
      </c>
      <c r="G1198" t="s">
        <v>506</v>
      </c>
      <c r="H1198" t="s">
        <v>506</v>
      </c>
      <c r="I1198" t="s">
        <v>219</v>
      </c>
      <c r="J1198" s="25">
        <v>27684</v>
      </c>
      <c r="K1198" s="26">
        <v>4275.12</v>
      </c>
      <c r="L1198" s="26">
        <v>47.78</v>
      </c>
    </row>
    <row r="1199" spans="1:12" ht="16" customHeight="1">
      <c r="A1199" t="s">
        <v>477</v>
      </c>
      <c r="B1199" t="s">
        <v>7</v>
      </c>
      <c r="C1199" t="s">
        <v>53</v>
      </c>
      <c r="D1199" s="24">
        <v>46143</v>
      </c>
      <c r="E1199" t="s">
        <v>500</v>
      </c>
      <c r="F1199" t="s">
        <v>6</v>
      </c>
      <c r="G1199" t="s">
        <v>505</v>
      </c>
      <c r="H1199" t="s">
        <v>505</v>
      </c>
      <c r="I1199" t="s">
        <v>221</v>
      </c>
      <c r="J1199" s="25">
        <v>0</v>
      </c>
      <c r="K1199" s="26">
        <v>0</v>
      </c>
      <c r="L1199" s="26">
        <v>0</v>
      </c>
    </row>
    <row r="1200" spans="1:12" ht="16" customHeight="1">
      <c r="A1200" t="s">
        <v>477</v>
      </c>
      <c r="B1200" t="s">
        <v>7</v>
      </c>
      <c r="C1200" t="s">
        <v>53</v>
      </c>
      <c r="D1200" s="24">
        <v>46143</v>
      </c>
      <c r="E1200" t="s">
        <v>512</v>
      </c>
      <c r="F1200" t="s">
        <v>6</v>
      </c>
      <c r="G1200" t="s">
        <v>506</v>
      </c>
      <c r="H1200" t="s">
        <v>506</v>
      </c>
      <c r="I1200" t="s">
        <v>221</v>
      </c>
      <c r="J1200" s="25">
        <v>754</v>
      </c>
      <c r="K1200" s="26">
        <v>117.5</v>
      </c>
      <c r="L1200" s="26">
        <v>2.4500000000000002</v>
      </c>
    </row>
    <row r="1201" spans="1:12" ht="16" customHeight="1">
      <c r="A1201" t="s">
        <v>478</v>
      </c>
      <c r="B1201" t="s">
        <v>3</v>
      </c>
      <c r="C1201" t="s">
        <v>54</v>
      </c>
      <c r="D1201" s="24">
        <v>46174</v>
      </c>
      <c r="E1201" t="s">
        <v>481</v>
      </c>
      <c r="F1201" t="s">
        <v>6</v>
      </c>
      <c r="G1201" t="s">
        <v>505</v>
      </c>
      <c r="H1201" t="s">
        <v>505</v>
      </c>
      <c r="I1201" t="s">
        <v>212</v>
      </c>
      <c r="J1201" s="25">
        <v>22481524</v>
      </c>
      <c r="K1201" s="26">
        <v>3381932.46</v>
      </c>
      <c r="L1201" s="26">
        <v>12192.52</v>
      </c>
    </row>
    <row r="1202" spans="1:12" ht="16" customHeight="1">
      <c r="A1202" t="s">
        <v>478</v>
      </c>
      <c r="B1202" t="s">
        <v>3</v>
      </c>
      <c r="C1202" t="s">
        <v>54</v>
      </c>
      <c r="D1202" s="24">
        <v>46174</v>
      </c>
      <c r="E1202" t="s">
        <v>486</v>
      </c>
      <c r="F1202" t="s">
        <v>6</v>
      </c>
      <c r="G1202" t="s">
        <v>505</v>
      </c>
      <c r="H1202" t="s">
        <v>505</v>
      </c>
      <c r="I1202" t="s">
        <v>212</v>
      </c>
      <c r="J1202" s="25">
        <v>119231</v>
      </c>
      <c r="K1202" s="26">
        <v>18004.29</v>
      </c>
      <c r="L1202" s="26">
        <v>78.66</v>
      </c>
    </row>
    <row r="1203" spans="1:12" ht="16" customHeight="1">
      <c r="A1203" t="s">
        <v>478</v>
      </c>
      <c r="B1203" t="s">
        <v>3</v>
      </c>
      <c r="C1203" t="s">
        <v>54</v>
      </c>
      <c r="D1203" s="24">
        <v>46174</v>
      </c>
      <c r="E1203" t="s">
        <v>491</v>
      </c>
      <c r="F1203" t="s">
        <v>6</v>
      </c>
      <c r="G1203" t="s">
        <v>505</v>
      </c>
      <c r="H1203" t="s">
        <v>505</v>
      </c>
      <c r="I1203" t="s">
        <v>212</v>
      </c>
      <c r="J1203" s="25">
        <v>965</v>
      </c>
      <c r="K1203" s="26">
        <v>147.49</v>
      </c>
      <c r="L1203" s="26">
        <v>1.67</v>
      </c>
    </row>
    <row r="1204" spans="1:12" ht="16" customHeight="1">
      <c r="A1204" t="s">
        <v>478</v>
      </c>
      <c r="B1204" t="s">
        <v>3</v>
      </c>
      <c r="C1204" t="s">
        <v>54</v>
      </c>
      <c r="D1204" s="24">
        <v>46174</v>
      </c>
      <c r="E1204" t="s">
        <v>496</v>
      </c>
      <c r="F1204" t="s">
        <v>6</v>
      </c>
      <c r="G1204" t="s">
        <v>506</v>
      </c>
      <c r="H1204" t="s">
        <v>506</v>
      </c>
      <c r="I1204" t="s">
        <v>212</v>
      </c>
      <c r="J1204" s="25">
        <v>13606</v>
      </c>
      <c r="K1204" s="26">
        <v>2092</v>
      </c>
      <c r="L1204" s="26">
        <v>19.78</v>
      </c>
    </row>
    <row r="1205" spans="1:12" ht="16" customHeight="1">
      <c r="A1205" t="s">
        <v>478</v>
      </c>
      <c r="B1205" t="s">
        <v>3</v>
      </c>
      <c r="C1205" t="s">
        <v>54</v>
      </c>
      <c r="D1205" s="24">
        <v>46174</v>
      </c>
      <c r="E1205" t="s">
        <v>500</v>
      </c>
      <c r="F1205" t="s">
        <v>6</v>
      </c>
      <c r="G1205" t="s">
        <v>505</v>
      </c>
      <c r="H1205" t="s">
        <v>505</v>
      </c>
      <c r="I1205" t="s">
        <v>219</v>
      </c>
      <c r="J1205" s="25">
        <v>1</v>
      </c>
      <c r="K1205" s="26">
        <v>0.16</v>
      </c>
      <c r="L1205" s="26">
        <v>0</v>
      </c>
    </row>
    <row r="1206" spans="1:12" ht="16" customHeight="1">
      <c r="A1206" t="s">
        <v>478</v>
      </c>
      <c r="B1206" t="s">
        <v>3</v>
      </c>
      <c r="C1206" t="s">
        <v>54</v>
      </c>
      <c r="D1206" s="24">
        <v>46174</v>
      </c>
      <c r="E1206" t="s">
        <v>512</v>
      </c>
      <c r="F1206" t="s">
        <v>6</v>
      </c>
      <c r="G1206" t="s">
        <v>506</v>
      </c>
      <c r="H1206" t="s">
        <v>506</v>
      </c>
      <c r="I1206" t="s">
        <v>219</v>
      </c>
      <c r="J1206" s="25">
        <v>250</v>
      </c>
      <c r="K1206" s="26">
        <v>38.65</v>
      </c>
      <c r="L1206" s="26">
        <v>0.74</v>
      </c>
    </row>
    <row r="1207" spans="1:12" ht="16" customHeight="1">
      <c r="A1207" t="s">
        <v>452</v>
      </c>
      <c r="B1207" t="s">
        <v>4</v>
      </c>
      <c r="C1207" t="s">
        <v>54</v>
      </c>
      <c r="D1207" s="24">
        <v>46174</v>
      </c>
      <c r="E1207" t="s">
        <v>481</v>
      </c>
      <c r="F1207" t="s">
        <v>6</v>
      </c>
      <c r="G1207" t="s">
        <v>505</v>
      </c>
      <c r="H1207" t="s">
        <v>505</v>
      </c>
      <c r="I1207" t="s">
        <v>212</v>
      </c>
      <c r="J1207" s="25">
        <v>33865725</v>
      </c>
      <c r="K1207" s="26">
        <v>5059750.45</v>
      </c>
      <c r="L1207" s="26">
        <v>13356.2</v>
      </c>
    </row>
    <row r="1208" spans="1:12" ht="16" customHeight="1">
      <c r="A1208" t="s">
        <v>452</v>
      </c>
      <c r="B1208" t="s">
        <v>4</v>
      </c>
      <c r="C1208" t="s">
        <v>54</v>
      </c>
      <c r="D1208" s="24">
        <v>46174</v>
      </c>
      <c r="E1208" t="s">
        <v>486</v>
      </c>
      <c r="F1208" t="s">
        <v>6</v>
      </c>
      <c r="G1208" t="s">
        <v>505</v>
      </c>
      <c r="H1208" t="s">
        <v>505</v>
      </c>
      <c r="I1208" t="s">
        <v>212</v>
      </c>
      <c r="J1208" s="25">
        <v>298679</v>
      </c>
      <c r="K1208" s="26">
        <v>44723.96</v>
      </c>
      <c r="L1208" s="26">
        <v>179.69</v>
      </c>
    </row>
    <row r="1209" spans="1:12" ht="16" customHeight="1">
      <c r="A1209" t="s">
        <v>452</v>
      </c>
      <c r="B1209" t="s">
        <v>4</v>
      </c>
      <c r="C1209" t="s">
        <v>54</v>
      </c>
      <c r="D1209" s="24">
        <v>46174</v>
      </c>
      <c r="E1209" t="s">
        <v>491</v>
      </c>
      <c r="F1209" t="s">
        <v>6</v>
      </c>
      <c r="G1209" t="s">
        <v>505</v>
      </c>
      <c r="H1209" t="s">
        <v>505</v>
      </c>
      <c r="I1209" t="s">
        <v>212</v>
      </c>
      <c r="J1209" s="25">
        <v>2410</v>
      </c>
      <c r="K1209" s="26">
        <v>368.16</v>
      </c>
      <c r="L1209" s="26">
        <v>3.12</v>
      </c>
    </row>
    <row r="1210" spans="1:12" ht="16" customHeight="1">
      <c r="A1210" t="s">
        <v>452</v>
      </c>
      <c r="B1210" t="s">
        <v>4</v>
      </c>
      <c r="C1210" t="s">
        <v>54</v>
      </c>
      <c r="D1210" s="24">
        <v>46174</v>
      </c>
      <c r="E1210" t="s">
        <v>496</v>
      </c>
      <c r="F1210" t="s">
        <v>6</v>
      </c>
      <c r="G1210" t="s">
        <v>506</v>
      </c>
      <c r="H1210" t="s">
        <v>506</v>
      </c>
      <c r="I1210" t="s">
        <v>212</v>
      </c>
      <c r="J1210" s="25">
        <v>17170</v>
      </c>
      <c r="K1210" s="26">
        <v>2624.91</v>
      </c>
      <c r="L1210" s="26">
        <v>21.61</v>
      </c>
    </row>
    <row r="1211" spans="1:12" ht="16" customHeight="1">
      <c r="A1211" t="s">
        <v>452</v>
      </c>
      <c r="B1211" t="s">
        <v>4</v>
      </c>
      <c r="C1211" t="s">
        <v>54</v>
      </c>
      <c r="D1211" s="24">
        <v>46174</v>
      </c>
      <c r="E1211" t="s">
        <v>500</v>
      </c>
      <c r="F1211" t="s">
        <v>6</v>
      </c>
      <c r="G1211" t="s">
        <v>505</v>
      </c>
      <c r="H1211" t="s">
        <v>505</v>
      </c>
      <c r="I1211" t="s">
        <v>219</v>
      </c>
      <c r="J1211" s="25">
        <v>2</v>
      </c>
      <c r="K1211" s="26">
        <v>0.31</v>
      </c>
      <c r="L1211" s="26">
        <v>0</v>
      </c>
    </row>
    <row r="1212" spans="1:12" ht="16" customHeight="1">
      <c r="A1212" t="s">
        <v>452</v>
      </c>
      <c r="B1212" t="s">
        <v>4</v>
      </c>
      <c r="C1212" t="s">
        <v>54</v>
      </c>
      <c r="D1212" s="24">
        <v>46174</v>
      </c>
      <c r="E1212" t="s">
        <v>512</v>
      </c>
      <c r="F1212" t="s">
        <v>6</v>
      </c>
      <c r="G1212" t="s">
        <v>506</v>
      </c>
      <c r="H1212" t="s">
        <v>506</v>
      </c>
      <c r="I1212" t="s">
        <v>219</v>
      </c>
      <c r="J1212" s="25">
        <v>255</v>
      </c>
      <c r="K1212" s="26">
        <v>39.14</v>
      </c>
      <c r="L1212" s="26">
        <v>0.78</v>
      </c>
    </row>
    <row r="1213" spans="1:12" ht="16" customHeight="1">
      <c r="A1213" t="s">
        <v>479</v>
      </c>
      <c r="B1213" t="s">
        <v>5</v>
      </c>
      <c r="C1213" t="s">
        <v>54</v>
      </c>
      <c r="D1213" s="24">
        <v>46174</v>
      </c>
      <c r="E1213" t="s">
        <v>481</v>
      </c>
      <c r="F1213" t="s">
        <v>6</v>
      </c>
      <c r="G1213" t="s">
        <v>505</v>
      </c>
      <c r="H1213" t="s">
        <v>505</v>
      </c>
      <c r="I1213" t="s">
        <v>212</v>
      </c>
      <c r="J1213" s="25">
        <v>170142016</v>
      </c>
      <c r="K1213" s="26">
        <v>25320606.300000001</v>
      </c>
      <c r="L1213" s="26">
        <v>55289.36</v>
      </c>
    </row>
    <row r="1214" spans="1:12" ht="16" customHeight="1">
      <c r="A1214" t="s">
        <v>479</v>
      </c>
      <c r="B1214" t="s">
        <v>5</v>
      </c>
      <c r="C1214" t="s">
        <v>54</v>
      </c>
      <c r="D1214" s="24">
        <v>46174</v>
      </c>
      <c r="E1214" t="s">
        <v>486</v>
      </c>
      <c r="F1214" t="s">
        <v>6</v>
      </c>
      <c r="G1214" t="s">
        <v>505</v>
      </c>
      <c r="H1214" t="s">
        <v>505</v>
      </c>
      <c r="I1214" t="s">
        <v>212</v>
      </c>
      <c r="J1214" s="25">
        <v>993934</v>
      </c>
      <c r="K1214" s="26">
        <v>148508.57999999999</v>
      </c>
      <c r="L1214" s="26">
        <v>750.96</v>
      </c>
    </row>
    <row r="1215" spans="1:12" ht="16" customHeight="1">
      <c r="A1215" t="s">
        <v>479</v>
      </c>
      <c r="B1215" t="s">
        <v>5</v>
      </c>
      <c r="C1215" t="s">
        <v>54</v>
      </c>
      <c r="D1215" s="24">
        <v>46174</v>
      </c>
      <c r="E1215" t="s">
        <v>491</v>
      </c>
      <c r="F1215" t="s">
        <v>6</v>
      </c>
      <c r="G1215" t="s">
        <v>505</v>
      </c>
      <c r="H1215" t="s">
        <v>505</v>
      </c>
      <c r="I1215" t="s">
        <v>212</v>
      </c>
      <c r="J1215" s="25">
        <v>4860</v>
      </c>
      <c r="K1215" s="26">
        <v>747.49</v>
      </c>
      <c r="L1215" s="26">
        <v>3.63</v>
      </c>
    </row>
    <row r="1216" spans="1:12" ht="16" customHeight="1">
      <c r="A1216" t="s">
        <v>479</v>
      </c>
      <c r="B1216" t="s">
        <v>5</v>
      </c>
      <c r="C1216" t="s">
        <v>54</v>
      </c>
      <c r="D1216" s="24">
        <v>46174</v>
      </c>
      <c r="E1216" t="s">
        <v>496</v>
      </c>
      <c r="F1216" t="s">
        <v>6</v>
      </c>
      <c r="G1216" t="s">
        <v>506</v>
      </c>
      <c r="H1216" t="s">
        <v>506</v>
      </c>
      <c r="I1216" t="s">
        <v>212</v>
      </c>
      <c r="J1216" s="25">
        <v>36027</v>
      </c>
      <c r="K1216" s="26">
        <v>5497.51</v>
      </c>
      <c r="L1216" s="26">
        <v>67.2</v>
      </c>
    </row>
    <row r="1217" spans="1:12" ht="16" customHeight="1">
      <c r="A1217" t="s">
        <v>479</v>
      </c>
      <c r="B1217" t="s">
        <v>5</v>
      </c>
      <c r="C1217" t="s">
        <v>54</v>
      </c>
      <c r="D1217" s="24">
        <v>46174</v>
      </c>
      <c r="E1217" t="s">
        <v>500</v>
      </c>
      <c r="F1217" t="s">
        <v>6</v>
      </c>
      <c r="G1217" t="s">
        <v>505</v>
      </c>
      <c r="H1217" t="s">
        <v>505</v>
      </c>
      <c r="I1217" t="s">
        <v>219</v>
      </c>
      <c r="J1217" s="25">
        <v>1</v>
      </c>
      <c r="K1217" s="26">
        <v>0.15</v>
      </c>
      <c r="L1217" s="26">
        <v>0</v>
      </c>
    </row>
    <row r="1218" spans="1:12" ht="16" customHeight="1">
      <c r="A1218" t="s">
        <v>479</v>
      </c>
      <c r="B1218" t="s">
        <v>5</v>
      </c>
      <c r="C1218" t="s">
        <v>54</v>
      </c>
      <c r="D1218" s="24">
        <v>46174</v>
      </c>
      <c r="E1218" t="s">
        <v>513</v>
      </c>
      <c r="F1218" t="s">
        <v>6</v>
      </c>
      <c r="G1218" t="s">
        <v>505</v>
      </c>
      <c r="H1218" t="s">
        <v>505</v>
      </c>
      <c r="I1218" t="s">
        <v>219</v>
      </c>
      <c r="J1218" s="25">
        <v>1</v>
      </c>
      <c r="K1218" s="26">
        <v>0.15</v>
      </c>
      <c r="L1218" s="26">
        <v>0</v>
      </c>
    </row>
    <row r="1219" spans="1:12" ht="16" customHeight="1">
      <c r="A1219" t="s">
        <v>479</v>
      </c>
      <c r="B1219" t="s">
        <v>5</v>
      </c>
      <c r="C1219" t="s">
        <v>54</v>
      </c>
      <c r="D1219" s="24">
        <v>46174</v>
      </c>
      <c r="E1219" t="s">
        <v>512</v>
      </c>
      <c r="F1219" t="s">
        <v>6</v>
      </c>
      <c r="G1219" t="s">
        <v>506</v>
      </c>
      <c r="H1219" t="s">
        <v>506</v>
      </c>
      <c r="I1219" t="s">
        <v>219</v>
      </c>
      <c r="J1219" s="25">
        <v>1214</v>
      </c>
      <c r="K1219" s="26">
        <v>185.49</v>
      </c>
      <c r="L1219" s="26">
        <v>3.72</v>
      </c>
    </row>
    <row r="1220" spans="1:12" ht="16" customHeight="1">
      <c r="A1220" t="s">
        <v>481</v>
      </c>
      <c r="B1220" t="s">
        <v>6</v>
      </c>
      <c r="C1220" t="s">
        <v>54</v>
      </c>
      <c r="D1220" s="24">
        <v>46174</v>
      </c>
      <c r="E1220" t="s">
        <v>481</v>
      </c>
      <c r="F1220" t="s">
        <v>6</v>
      </c>
      <c r="G1220" t="s">
        <v>505</v>
      </c>
      <c r="H1220" t="s">
        <v>505</v>
      </c>
      <c r="I1220" t="s">
        <v>212</v>
      </c>
      <c r="J1220" s="25">
        <v>562898150</v>
      </c>
      <c r="K1220" s="26">
        <v>83765719.620000005</v>
      </c>
      <c r="L1220" s="26">
        <v>69992.95</v>
      </c>
    </row>
    <row r="1221" spans="1:12" ht="16" customHeight="1">
      <c r="A1221" t="s">
        <v>481</v>
      </c>
      <c r="B1221" t="s">
        <v>6</v>
      </c>
      <c r="C1221" t="s">
        <v>54</v>
      </c>
      <c r="D1221" s="24">
        <v>46174</v>
      </c>
      <c r="E1221" t="s">
        <v>486</v>
      </c>
      <c r="F1221" t="s">
        <v>6</v>
      </c>
      <c r="G1221" t="s">
        <v>505</v>
      </c>
      <c r="H1221" t="s">
        <v>505</v>
      </c>
      <c r="I1221" t="s">
        <v>212</v>
      </c>
      <c r="J1221" s="25">
        <v>2317288</v>
      </c>
      <c r="K1221" s="26">
        <v>346616.3</v>
      </c>
      <c r="L1221" s="26">
        <v>1605.48</v>
      </c>
    </row>
    <row r="1222" spans="1:12" ht="16" customHeight="1">
      <c r="A1222" t="s">
        <v>481</v>
      </c>
      <c r="B1222" t="s">
        <v>6</v>
      </c>
      <c r="C1222" t="s">
        <v>54</v>
      </c>
      <c r="D1222" s="24">
        <v>46174</v>
      </c>
      <c r="E1222" t="s">
        <v>491</v>
      </c>
      <c r="F1222" t="s">
        <v>6</v>
      </c>
      <c r="G1222" t="s">
        <v>505</v>
      </c>
      <c r="H1222" t="s">
        <v>505</v>
      </c>
      <c r="I1222" t="s">
        <v>212</v>
      </c>
      <c r="J1222" s="25">
        <v>8405</v>
      </c>
      <c r="K1222" s="26">
        <v>1277.3900000000001</v>
      </c>
      <c r="L1222" s="26">
        <v>10.06</v>
      </c>
    </row>
    <row r="1223" spans="1:12" ht="16" customHeight="1">
      <c r="A1223" t="s">
        <v>481</v>
      </c>
      <c r="B1223" t="s">
        <v>6</v>
      </c>
      <c r="C1223" t="s">
        <v>54</v>
      </c>
      <c r="D1223" s="24">
        <v>46174</v>
      </c>
      <c r="E1223" t="s">
        <v>496</v>
      </c>
      <c r="F1223" t="s">
        <v>6</v>
      </c>
      <c r="G1223" t="s">
        <v>506</v>
      </c>
      <c r="H1223" t="s">
        <v>506</v>
      </c>
      <c r="I1223" t="s">
        <v>212</v>
      </c>
      <c r="J1223" s="25">
        <v>35785</v>
      </c>
      <c r="K1223" s="26">
        <v>5423.96</v>
      </c>
      <c r="L1223" s="26">
        <v>62.22</v>
      </c>
    </row>
    <row r="1224" spans="1:12" ht="16" customHeight="1">
      <c r="A1224" t="s">
        <v>481</v>
      </c>
      <c r="B1224" t="s">
        <v>6</v>
      </c>
      <c r="C1224" t="s">
        <v>54</v>
      </c>
      <c r="D1224" s="24">
        <v>46174</v>
      </c>
      <c r="E1224" t="s">
        <v>500</v>
      </c>
      <c r="F1224" t="s">
        <v>6</v>
      </c>
      <c r="G1224" t="s">
        <v>505</v>
      </c>
      <c r="H1224" t="s">
        <v>505</v>
      </c>
      <c r="I1224" t="s">
        <v>219</v>
      </c>
      <c r="J1224" s="25">
        <v>0</v>
      </c>
      <c r="K1224" s="26">
        <v>0</v>
      </c>
      <c r="L1224" s="26">
        <v>0</v>
      </c>
    </row>
    <row r="1225" spans="1:12" ht="16" customHeight="1">
      <c r="A1225" t="s">
        <v>481</v>
      </c>
      <c r="B1225" t="s">
        <v>6</v>
      </c>
      <c r="C1225" t="s">
        <v>54</v>
      </c>
      <c r="D1225" s="24">
        <v>46174</v>
      </c>
      <c r="E1225" t="s">
        <v>513</v>
      </c>
      <c r="F1225" t="s">
        <v>6</v>
      </c>
      <c r="G1225" t="s">
        <v>505</v>
      </c>
      <c r="H1225" t="s">
        <v>505</v>
      </c>
      <c r="I1225" t="s">
        <v>219</v>
      </c>
      <c r="J1225" s="25">
        <v>2</v>
      </c>
      <c r="K1225" s="26">
        <v>0.3</v>
      </c>
      <c r="L1225" s="26">
        <v>0.01</v>
      </c>
    </row>
    <row r="1226" spans="1:12" ht="16" customHeight="1">
      <c r="A1226" t="s">
        <v>481</v>
      </c>
      <c r="B1226" t="s">
        <v>6</v>
      </c>
      <c r="C1226" t="s">
        <v>54</v>
      </c>
      <c r="D1226" s="24">
        <v>46174</v>
      </c>
      <c r="E1226" t="s">
        <v>512</v>
      </c>
      <c r="F1226" t="s">
        <v>6</v>
      </c>
      <c r="G1226" t="s">
        <v>506</v>
      </c>
      <c r="H1226" t="s">
        <v>506</v>
      </c>
      <c r="I1226" t="s">
        <v>219</v>
      </c>
      <c r="J1226" s="25">
        <v>382</v>
      </c>
      <c r="K1226" s="26">
        <v>58.36</v>
      </c>
      <c r="L1226" s="26">
        <v>1.1599999999999999</v>
      </c>
    </row>
    <row r="1227" spans="1:12" ht="16" customHeight="1">
      <c r="A1227" t="s">
        <v>482</v>
      </c>
      <c r="B1227" t="s">
        <v>7</v>
      </c>
      <c r="C1227" t="s">
        <v>54</v>
      </c>
      <c r="D1227" s="24">
        <v>46174</v>
      </c>
      <c r="E1227" t="s">
        <v>486</v>
      </c>
      <c r="F1227" t="s">
        <v>6</v>
      </c>
      <c r="G1227" t="s">
        <v>505</v>
      </c>
      <c r="H1227" t="s">
        <v>505</v>
      </c>
      <c r="I1227" t="s">
        <v>212</v>
      </c>
      <c r="J1227" s="25">
        <v>20309223</v>
      </c>
      <c r="K1227" s="26">
        <v>3037639.54</v>
      </c>
      <c r="L1227" s="26">
        <v>13914.7</v>
      </c>
    </row>
    <row r="1228" spans="1:12" ht="16" customHeight="1">
      <c r="A1228" t="s">
        <v>482</v>
      </c>
      <c r="B1228" t="s">
        <v>7</v>
      </c>
      <c r="C1228" t="s">
        <v>54</v>
      </c>
      <c r="D1228" s="24">
        <v>46174</v>
      </c>
      <c r="E1228" t="s">
        <v>491</v>
      </c>
      <c r="F1228" t="s">
        <v>6</v>
      </c>
      <c r="G1228" t="s">
        <v>505</v>
      </c>
      <c r="H1228" t="s">
        <v>505</v>
      </c>
      <c r="I1228" t="s">
        <v>212</v>
      </c>
      <c r="J1228" s="25">
        <v>48116</v>
      </c>
      <c r="K1228" s="26">
        <v>7261.52</v>
      </c>
      <c r="L1228" s="26">
        <v>50.74</v>
      </c>
    </row>
    <row r="1229" spans="1:12" ht="16" customHeight="1">
      <c r="A1229" t="s">
        <v>482</v>
      </c>
      <c r="B1229" t="s">
        <v>7</v>
      </c>
      <c r="C1229" t="s">
        <v>54</v>
      </c>
      <c r="D1229" s="24">
        <v>46174</v>
      </c>
      <c r="E1229" t="s">
        <v>496</v>
      </c>
      <c r="F1229" t="s">
        <v>6</v>
      </c>
      <c r="G1229" t="s">
        <v>506</v>
      </c>
      <c r="H1229" t="s">
        <v>506</v>
      </c>
      <c r="I1229" t="s">
        <v>212</v>
      </c>
      <c r="J1229" s="25">
        <v>21340</v>
      </c>
      <c r="K1229" s="26">
        <v>3234.28</v>
      </c>
      <c r="L1229" s="26">
        <v>26.17</v>
      </c>
    </row>
    <row r="1230" spans="1:12" ht="16" customHeight="1">
      <c r="A1230" t="s">
        <v>482</v>
      </c>
      <c r="B1230" t="s">
        <v>7</v>
      </c>
      <c r="C1230" t="s">
        <v>54</v>
      </c>
      <c r="D1230" s="24">
        <v>46174</v>
      </c>
      <c r="E1230" t="s">
        <v>500</v>
      </c>
      <c r="F1230" t="s">
        <v>6</v>
      </c>
      <c r="G1230" t="s">
        <v>505</v>
      </c>
      <c r="H1230" t="s">
        <v>505</v>
      </c>
      <c r="I1230" t="s">
        <v>219</v>
      </c>
      <c r="J1230" s="25">
        <v>677</v>
      </c>
      <c r="K1230" s="26">
        <v>103.1</v>
      </c>
      <c r="L1230" s="26">
        <v>1.52</v>
      </c>
    </row>
    <row r="1231" spans="1:12" ht="16" customHeight="1">
      <c r="A1231" t="s">
        <v>482</v>
      </c>
      <c r="B1231" t="s">
        <v>7</v>
      </c>
      <c r="C1231" t="s">
        <v>54</v>
      </c>
      <c r="D1231" s="24">
        <v>46174</v>
      </c>
      <c r="E1231" t="s">
        <v>513</v>
      </c>
      <c r="F1231" t="s">
        <v>6</v>
      </c>
      <c r="G1231" t="s">
        <v>505</v>
      </c>
      <c r="H1231" t="s">
        <v>505</v>
      </c>
      <c r="I1231" t="s">
        <v>219</v>
      </c>
      <c r="J1231" s="25">
        <v>0</v>
      </c>
      <c r="K1231" s="26">
        <v>0</v>
      </c>
      <c r="L1231" s="26">
        <v>0</v>
      </c>
    </row>
    <row r="1232" spans="1:12" ht="16" customHeight="1">
      <c r="A1232" t="s">
        <v>482</v>
      </c>
      <c r="B1232" t="s">
        <v>7</v>
      </c>
      <c r="C1232" t="s">
        <v>54</v>
      </c>
      <c r="D1232" s="24">
        <v>46174</v>
      </c>
      <c r="E1232" t="s">
        <v>512</v>
      </c>
      <c r="F1232" t="s">
        <v>6</v>
      </c>
      <c r="G1232" t="s">
        <v>506</v>
      </c>
      <c r="H1232" t="s">
        <v>506</v>
      </c>
      <c r="I1232" t="s">
        <v>219</v>
      </c>
      <c r="J1232" s="25">
        <v>406</v>
      </c>
      <c r="K1232" s="26">
        <v>62.22</v>
      </c>
      <c r="L1232" s="26">
        <v>1.22</v>
      </c>
    </row>
    <row r="1233" spans="1:12" ht="16" customHeight="1">
      <c r="A1233" t="s">
        <v>483</v>
      </c>
      <c r="B1233" t="s">
        <v>3</v>
      </c>
      <c r="C1233" t="s">
        <v>55</v>
      </c>
      <c r="D1233" s="24">
        <v>46174</v>
      </c>
      <c r="E1233" t="s">
        <v>486</v>
      </c>
      <c r="F1233" t="s">
        <v>6</v>
      </c>
      <c r="G1233" t="s">
        <v>505</v>
      </c>
      <c r="H1233" t="s">
        <v>505</v>
      </c>
      <c r="I1233" t="s">
        <v>212</v>
      </c>
      <c r="J1233" s="25">
        <v>18650848</v>
      </c>
      <c r="K1233" s="26">
        <v>2767788.5</v>
      </c>
      <c r="L1233" s="26">
        <v>11285.99</v>
      </c>
    </row>
    <row r="1234" spans="1:12" ht="16" customHeight="1">
      <c r="A1234" t="s">
        <v>483</v>
      </c>
      <c r="B1234" t="s">
        <v>3</v>
      </c>
      <c r="C1234" t="s">
        <v>55</v>
      </c>
      <c r="D1234" s="24">
        <v>46174</v>
      </c>
      <c r="E1234" t="s">
        <v>491</v>
      </c>
      <c r="F1234" t="s">
        <v>6</v>
      </c>
      <c r="G1234" t="s">
        <v>505</v>
      </c>
      <c r="H1234" t="s">
        <v>505</v>
      </c>
      <c r="I1234" t="s">
        <v>212</v>
      </c>
      <c r="J1234" s="25">
        <v>78307</v>
      </c>
      <c r="K1234" s="26">
        <v>11741.5</v>
      </c>
      <c r="L1234" s="26">
        <v>68.47</v>
      </c>
    </row>
    <row r="1235" spans="1:12" ht="16" customHeight="1">
      <c r="A1235" t="s">
        <v>483</v>
      </c>
      <c r="B1235" t="s">
        <v>3</v>
      </c>
      <c r="C1235" t="s">
        <v>55</v>
      </c>
      <c r="D1235" s="24">
        <v>46174</v>
      </c>
      <c r="E1235" t="s">
        <v>496</v>
      </c>
      <c r="F1235" t="s">
        <v>6</v>
      </c>
      <c r="G1235" t="s">
        <v>506</v>
      </c>
      <c r="H1235" t="s">
        <v>506</v>
      </c>
      <c r="I1235" t="s">
        <v>212</v>
      </c>
      <c r="J1235" s="25">
        <v>28764</v>
      </c>
      <c r="K1235" s="26">
        <v>4369.62</v>
      </c>
      <c r="L1235" s="26">
        <v>30.52</v>
      </c>
    </row>
    <row r="1236" spans="1:12" ht="16" customHeight="1">
      <c r="A1236" t="s">
        <v>483</v>
      </c>
      <c r="B1236" t="s">
        <v>3</v>
      </c>
      <c r="C1236" t="s">
        <v>55</v>
      </c>
      <c r="D1236" s="24">
        <v>46174</v>
      </c>
      <c r="E1236" t="s">
        <v>500</v>
      </c>
      <c r="F1236" t="s">
        <v>6</v>
      </c>
      <c r="G1236" t="s">
        <v>505</v>
      </c>
      <c r="H1236" t="s">
        <v>505</v>
      </c>
      <c r="I1236" t="s">
        <v>219</v>
      </c>
      <c r="J1236" s="25">
        <v>380</v>
      </c>
      <c r="K1236" s="26">
        <v>57.35</v>
      </c>
      <c r="L1236" s="26">
        <v>1</v>
      </c>
    </row>
    <row r="1237" spans="1:12" ht="16" customHeight="1">
      <c r="A1237" t="s">
        <v>483</v>
      </c>
      <c r="B1237" t="s">
        <v>3</v>
      </c>
      <c r="C1237" t="s">
        <v>55</v>
      </c>
      <c r="D1237" s="24">
        <v>46174</v>
      </c>
      <c r="E1237" t="s">
        <v>513</v>
      </c>
      <c r="F1237" t="s">
        <v>6</v>
      </c>
      <c r="G1237" t="s">
        <v>505</v>
      </c>
      <c r="H1237" t="s">
        <v>505</v>
      </c>
      <c r="I1237" t="s">
        <v>219</v>
      </c>
      <c r="J1237" s="25">
        <v>0</v>
      </c>
      <c r="K1237" s="26">
        <v>0</v>
      </c>
      <c r="L1237" s="26">
        <v>0</v>
      </c>
    </row>
    <row r="1238" spans="1:12" ht="16" customHeight="1">
      <c r="A1238" t="s">
        <v>483</v>
      </c>
      <c r="B1238" t="s">
        <v>3</v>
      </c>
      <c r="C1238" t="s">
        <v>55</v>
      </c>
      <c r="D1238" s="24">
        <v>46174</v>
      </c>
      <c r="E1238" t="s">
        <v>512</v>
      </c>
      <c r="F1238" t="s">
        <v>6</v>
      </c>
      <c r="G1238" t="s">
        <v>506</v>
      </c>
      <c r="H1238" t="s">
        <v>506</v>
      </c>
      <c r="I1238" t="s">
        <v>219</v>
      </c>
      <c r="J1238" s="25">
        <v>444</v>
      </c>
      <c r="K1238" s="26">
        <v>67.95</v>
      </c>
      <c r="L1238" s="26">
        <v>1.44</v>
      </c>
    </row>
    <row r="1239" spans="1:12" ht="16" customHeight="1">
      <c r="A1239" t="s">
        <v>461</v>
      </c>
      <c r="B1239" t="s">
        <v>4</v>
      </c>
      <c r="C1239" t="s">
        <v>55</v>
      </c>
      <c r="D1239" s="24">
        <v>46174</v>
      </c>
      <c r="E1239" t="s">
        <v>486</v>
      </c>
      <c r="F1239" t="s">
        <v>6</v>
      </c>
      <c r="G1239" t="s">
        <v>505</v>
      </c>
      <c r="H1239" t="s">
        <v>505</v>
      </c>
      <c r="I1239" t="s">
        <v>212</v>
      </c>
      <c r="J1239" s="25">
        <v>26885222</v>
      </c>
      <c r="K1239" s="26">
        <v>3976773.12</v>
      </c>
      <c r="L1239" s="26">
        <v>11223.39</v>
      </c>
    </row>
    <row r="1240" spans="1:12" ht="16" customHeight="1">
      <c r="A1240" t="s">
        <v>461</v>
      </c>
      <c r="B1240" t="s">
        <v>4</v>
      </c>
      <c r="C1240" t="s">
        <v>55</v>
      </c>
      <c r="D1240" s="24">
        <v>46174</v>
      </c>
      <c r="E1240" t="s">
        <v>491</v>
      </c>
      <c r="F1240" t="s">
        <v>6</v>
      </c>
      <c r="G1240" t="s">
        <v>505</v>
      </c>
      <c r="H1240" t="s">
        <v>505</v>
      </c>
      <c r="I1240" t="s">
        <v>212</v>
      </c>
      <c r="J1240" s="25">
        <v>261049</v>
      </c>
      <c r="K1240" s="26">
        <v>38407.42</v>
      </c>
      <c r="L1240" s="26">
        <v>133.88</v>
      </c>
    </row>
    <row r="1241" spans="1:12" ht="16" customHeight="1">
      <c r="A1241" t="s">
        <v>461</v>
      </c>
      <c r="B1241" t="s">
        <v>4</v>
      </c>
      <c r="C1241" t="s">
        <v>55</v>
      </c>
      <c r="D1241" s="24">
        <v>46174</v>
      </c>
      <c r="E1241" t="s">
        <v>496</v>
      </c>
      <c r="F1241" t="s">
        <v>6</v>
      </c>
      <c r="G1241" t="s">
        <v>506</v>
      </c>
      <c r="H1241" t="s">
        <v>506</v>
      </c>
      <c r="I1241" t="s">
        <v>212</v>
      </c>
      <c r="J1241" s="25">
        <v>25408</v>
      </c>
      <c r="K1241" s="26">
        <v>3836.69</v>
      </c>
      <c r="L1241" s="26">
        <v>25.04</v>
      </c>
    </row>
    <row r="1242" spans="1:12" ht="16" customHeight="1">
      <c r="A1242" t="s">
        <v>461</v>
      </c>
      <c r="B1242" t="s">
        <v>4</v>
      </c>
      <c r="C1242" t="s">
        <v>55</v>
      </c>
      <c r="D1242" s="24">
        <v>46174</v>
      </c>
      <c r="E1242" t="s">
        <v>500</v>
      </c>
      <c r="F1242" t="s">
        <v>6</v>
      </c>
      <c r="G1242" t="s">
        <v>505</v>
      </c>
      <c r="H1242" t="s">
        <v>505</v>
      </c>
      <c r="I1242" t="s">
        <v>219</v>
      </c>
      <c r="J1242" s="25">
        <v>376</v>
      </c>
      <c r="K1242" s="26">
        <v>56.44</v>
      </c>
      <c r="L1242" s="26">
        <v>0.87</v>
      </c>
    </row>
    <row r="1243" spans="1:12" ht="16" customHeight="1">
      <c r="A1243" t="s">
        <v>461</v>
      </c>
      <c r="B1243" t="s">
        <v>4</v>
      </c>
      <c r="C1243" t="s">
        <v>55</v>
      </c>
      <c r="D1243" s="24">
        <v>46174</v>
      </c>
      <c r="E1243" t="s">
        <v>513</v>
      </c>
      <c r="F1243" t="s">
        <v>6</v>
      </c>
      <c r="G1243" t="s">
        <v>505</v>
      </c>
      <c r="H1243" t="s">
        <v>505</v>
      </c>
      <c r="I1243" t="s">
        <v>219</v>
      </c>
      <c r="J1243" s="25">
        <v>0</v>
      </c>
      <c r="K1243" s="26">
        <v>0</v>
      </c>
      <c r="L1243" s="26">
        <v>0</v>
      </c>
    </row>
    <row r="1244" spans="1:12" ht="16" customHeight="1">
      <c r="A1244" t="s">
        <v>461</v>
      </c>
      <c r="B1244" t="s">
        <v>4</v>
      </c>
      <c r="C1244" t="s">
        <v>55</v>
      </c>
      <c r="D1244" s="24">
        <v>46174</v>
      </c>
      <c r="E1244" t="s">
        <v>512</v>
      </c>
      <c r="F1244" t="s">
        <v>6</v>
      </c>
      <c r="G1244" t="s">
        <v>506</v>
      </c>
      <c r="H1244" t="s">
        <v>506</v>
      </c>
      <c r="I1244" t="s">
        <v>219</v>
      </c>
      <c r="J1244" s="25">
        <v>204</v>
      </c>
      <c r="K1244" s="26">
        <v>31.16</v>
      </c>
      <c r="L1244" s="26">
        <v>0.63</v>
      </c>
    </row>
    <row r="1245" spans="1:12" ht="16" customHeight="1">
      <c r="A1245" t="s">
        <v>484</v>
      </c>
      <c r="B1245" t="s">
        <v>5</v>
      </c>
      <c r="C1245" t="s">
        <v>55</v>
      </c>
      <c r="D1245" s="24">
        <v>46174</v>
      </c>
      <c r="E1245" t="s">
        <v>486</v>
      </c>
      <c r="F1245" t="s">
        <v>6</v>
      </c>
      <c r="G1245" t="s">
        <v>505</v>
      </c>
      <c r="H1245" t="s">
        <v>505</v>
      </c>
      <c r="I1245" t="s">
        <v>212</v>
      </c>
      <c r="J1245" s="25">
        <v>112776627</v>
      </c>
      <c r="K1245" s="26">
        <v>16787636.16</v>
      </c>
      <c r="L1245" s="26">
        <v>37249.129999999997</v>
      </c>
    </row>
    <row r="1246" spans="1:12" ht="16" customHeight="1">
      <c r="A1246" t="s">
        <v>484</v>
      </c>
      <c r="B1246" t="s">
        <v>5</v>
      </c>
      <c r="C1246" t="s">
        <v>55</v>
      </c>
      <c r="D1246" s="24">
        <v>46174</v>
      </c>
      <c r="E1246" t="s">
        <v>491</v>
      </c>
      <c r="F1246" t="s">
        <v>6</v>
      </c>
      <c r="G1246" t="s">
        <v>505</v>
      </c>
      <c r="H1246" t="s">
        <v>505</v>
      </c>
      <c r="I1246" t="s">
        <v>212</v>
      </c>
      <c r="J1246" s="25">
        <v>655450</v>
      </c>
      <c r="K1246" s="26">
        <v>97502.63</v>
      </c>
      <c r="L1246" s="26">
        <v>395.13</v>
      </c>
    </row>
    <row r="1247" spans="1:12" ht="16" customHeight="1">
      <c r="A1247" t="s">
        <v>484</v>
      </c>
      <c r="B1247" t="s">
        <v>5</v>
      </c>
      <c r="C1247" t="s">
        <v>55</v>
      </c>
      <c r="D1247" s="24">
        <v>46174</v>
      </c>
      <c r="E1247" t="s">
        <v>496</v>
      </c>
      <c r="F1247" t="s">
        <v>6</v>
      </c>
      <c r="G1247" t="s">
        <v>506</v>
      </c>
      <c r="H1247" t="s">
        <v>506</v>
      </c>
      <c r="I1247" t="s">
        <v>212</v>
      </c>
      <c r="J1247" s="25">
        <v>36551</v>
      </c>
      <c r="K1247" s="26">
        <v>5520.47</v>
      </c>
      <c r="L1247" s="26">
        <v>39.35</v>
      </c>
    </row>
    <row r="1248" spans="1:12" ht="16" customHeight="1">
      <c r="A1248" t="s">
        <v>484</v>
      </c>
      <c r="B1248" t="s">
        <v>5</v>
      </c>
      <c r="C1248" t="s">
        <v>55</v>
      </c>
      <c r="D1248" s="24">
        <v>46174</v>
      </c>
      <c r="E1248" t="s">
        <v>500</v>
      </c>
      <c r="F1248" t="s">
        <v>6</v>
      </c>
      <c r="G1248" t="s">
        <v>505</v>
      </c>
      <c r="H1248" t="s">
        <v>505</v>
      </c>
      <c r="I1248" t="s">
        <v>219</v>
      </c>
      <c r="J1248" s="25">
        <v>735</v>
      </c>
      <c r="K1248" s="26">
        <v>112.25</v>
      </c>
      <c r="L1248" s="26">
        <v>1.04</v>
      </c>
    </row>
    <row r="1249" spans="1:12" ht="16" customHeight="1">
      <c r="A1249" t="s">
        <v>484</v>
      </c>
      <c r="B1249" t="s">
        <v>5</v>
      </c>
      <c r="C1249" t="s">
        <v>55</v>
      </c>
      <c r="D1249" s="24">
        <v>46174</v>
      </c>
      <c r="E1249" t="s">
        <v>513</v>
      </c>
      <c r="F1249" t="s">
        <v>6</v>
      </c>
      <c r="G1249" t="s">
        <v>505</v>
      </c>
      <c r="H1249" t="s">
        <v>505</v>
      </c>
      <c r="I1249" t="s">
        <v>219</v>
      </c>
      <c r="J1249" s="25">
        <v>0</v>
      </c>
      <c r="K1249" s="26">
        <v>0</v>
      </c>
      <c r="L1249" s="26">
        <v>0</v>
      </c>
    </row>
    <row r="1250" spans="1:12" ht="16" customHeight="1">
      <c r="A1250" t="s">
        <v>484</v>
      </c>
      <c r="B1250" t="s">
        <v>5</v>
      </c>
      <c r="C1250" t="s">
        <v>55</v>
      </c>
      <c r="D1250" s="24">
        <v>46174</v>
      </c>
      <c r="E1250" t="s">
        <v>512</v>
      </c>
      <c r="F1250" t="s">
        <v>6</v>
      </c>
      <c r="G1250" t="s">
        <v>506</v>
      </c>
      <c r="H1250" t="s">
        <v>506</v>
      </c>
      <c r="I1250" t="s">
        <v>219</v>
      </c>
      <c r="J1250" s="25">
        <v>310</v>
      </c>
      <c r="K1250" s="26">
        <v>47.65</v>
      </c>
      <c r="L1250" s="26">
        <v>0.87</v>
      </c>
    </row>
    <row r="1251" spans="1:12" ht="16" customHeight="1">
      <c r="A1251" t="s">
        <v>486</v>
      </c>
      <c r="B1251" t="s">
        <v>6</v>
      </c>
      <c r="C1251" t="s">
        <v>55</v>
      </c>
      <c r="D1251" s="24">
        <v>46174</v>
      </c>
      <c r="E1251" t="s">
        <v>486</v>
      </c>
      <c r="F1251" t="s">
        <v>6</v>
      </c>
      <c r="G1251" t="s">
        <v>505</v>
      </c>
      <c r="H1251" t="s">
        <v>505</v>
      </c>
      <c r="I1251" t="s">
        <v>212</v>
      </c>
      <c r="J1251" s="25">
        <v>554090630</v>
      </c>
      <c r="K1251" s="26">
        <v>82025207.5</v>
      </c>
      <c r="L1251" s="26">
        <v>64191.9</v>
      </c>
    </row>
    <row r="1252" spans="1:12" ht="16" customHeight="1">
      <c r="A1252" t="s">
        <v>486</v>
      </c>
      <c r="B1252" t="s">
        <v>6</v>
      </c>
      <c r="C1252" t="s">
        <v>55</v>
      </c>
      <c r="D1252" s="24">
        <v>46174</v>
      </c>
      <c r="E1252" t="s">
        <v>491</v>
      </c>
      <c r="F1252" t="s">
        <v>6</v>
      </c>
      <c r="G1252" t="s">
        <v>505</v>
      </c>
      <c r="H1252" t="s">
        <v>505</v>
      </c>
      <c r="I1252" t="s">
        <v>212</v>
      </c>
      <c r="J1252" s="25">
        <v>2254612</v>
      </c>
      <c r="K1252" s="26">
        <v>334593.34000000003</v>
      </c>
      <c r="L1252" s="26">
        <v>1471.66</v>
      </c>
    </row>
    <row r="1253" spans="1:12" ht="16" customHeight="1">
      <c r="A1253" t="s">
        <v>486</v>
      </c>
      <c r="B1253" t="s">
        <v>6</v>
      </c>
      <c r="C1253" t="s">
        <v>55</v>
      </c>
      <c r="D1253" s="24">
        <v>46174</v>
      </c>
      <c r="E1253" t="s">
        <v>496</v>
      </c>
      <c r="F1253" t="s">
        <v>6</v>
      </c>
      <c r="G1253" t="s">
        <v>506</v>
      </c>
      <c r="H1253" t="s">
        <v>506</v>
      </c>
      <c r="I1253" t="s">
        <v>212</v>
      </c>
      <c r="J1253" s="25">
        <v>66495</v>
      </c>
      <c r="K1253" s="26">
        <v>10016.02</v>
      </c>
      <c r="L1253" s="26">
        <v>73.03</v>
      </c>
    </row>
    <row r="1254" spans="1:12" ht="16" customHeight="1">
      <c r="A1254" t="s">
        <v>486</v>
      </c>
      <c r="B1254" t="s">
        <v>6</v>
      </c>
      <c r="C1254" t="s">
        <v>55</v>
      </c>
      <c r="D1254" s="24">
        <v>46174</v>
      </c>
      <c r="E1254" t="s">
        <v>500</v>
      </c>
      <c r="F1254" t="s">
        <v>6</v>
      </c>
      <c r="G1254" t="s">
        <v>505</v>
      </c>
      <c r="H1254" t="s">
        <v>505</v>
      </c>
      <c r="I1254" t="s">
        <v>219</v>
      </c>
      <c r="J1254" s="25">
        <v>981</v>
      </c>
      <c r="K1254" s="26">
        <v>147.86000000000001</v>
      </c>
      <c r="L1254" s="26">
        <v>2</v>
      </c>
    </row>
    <row r="1255" spans="1:12" ht="16" customHeight="1">
      <c r="A1255" t="s">
        <v>486</v>
      </c>
      <c r="B1255" t="s">
        <v>6</v>
      </c>
      <c r="C1255" t="s">
        <v>55</v>
      </c>
      <c r="D1255" s="24">
        <v>46174</v>
      </c>
      <c r="E1255" t="s">
        <v>513</v>
      </c>
      <c r="F1255" t="s">
        <v>6</v>
      </c>
      <c r="G1255" t="s">
        <v>505</v>
      </c>
      <c r="H1255" t="s">
        <v>505</v>
      </c>
      <c r="I1255" t="s">
        <v>219</v>
      </c>
      <c r="J1255" s="25">
        <v>0</v>
      </c>
      <c r="K1255" s="26">
        <v>0</v>
      </c>
      <c r="L1255" s="26">
        <v>0</v>
      </c>
    </row>
    <row r="1256" spans="1:12" ht="16" customHeight="1">
      <c r="A1256" t="s">
        <v>486</v>
      </c>
      <c r="B1256" t="s">
        <v>6</v>
      </c>
      <c r="C1256" t="s">
        <v>55</v>
      </c>
      <c r="D1256" s="24">
        <v>46174</v>
      </c>
      <c r="E1256" t="s">
        <v>512</v>
      </c>
      <c r="F1256" t="s">
        <v>6</v>
      </c>
      <c r="G1256" t="s">
        <v>506</v>
      </c>
      <c r="H1256" t="s">
        <v>506</v>
      </c>
      <c r="I1256" t="s">
        <v>219</v>
      </c>
      <c r="J1256" s="25">
        <v>1278</v>
      </c>
      <c r="K1256" s="26">
        <v>193.96</v>
      </c>
      <c r="L1256" s="26">
        <v>3.41</v>
      </c>
    </row>
    <row r="1257" spans="1:12" ht="16" customHeight="1">
      <c r="A1257" t="s">
        <v>487</v>
      </c>
      <c r="B1257" t="s">
        <v>7</v>
      </c>
      <c r="C1257" t="s">
        <v>55</v>
      </c>
      <c r="D1257" s="24">
        <v>46174</v>
      </c>
      <c r="E1257" t="s">
        <v>491</v>
      </c>
      <c r="F1257" t="s">
        <v>6</v>
      </c>
      <c r="G1257" t="s">
        <v>505</v>
      </c>
      <c r="H1257" t="s">
        <v>505</v>
      </c>
      <c r="I1257" t="s">
        <v>212</v>
      </c>
      <c r="J1257" s="25">
        <v>20794782</v>
      </c>
      <c r="K1257" s="26">
        <v>3128493.62</v>
      </c>
      <c r="L1257" s="26">
        <v>12920.18</v>
      </c>
    </row>
    <row r="1258" spans="1:12" ht="16" customHeight="1">
      <c r="A1258" t="s">
        <v>487</v>
      </c>
      <c r="B1258" t="s">
        <v>7</v>
      </c>
      <c r="C1258" t="s">
        <v>55</v>
      </c>
      <c r="D1258" s="24">
        <v>46174</v>
      </c>
      <c r="E1258" t="s">
        <v>496</v>
      </c>
      <c r="F1258" t="s">
        <v>6</v>
      </c>
      <c r="G1258" t="s">
        <v>506</v>
      </c>
      <c r="H1258" t="s">
        <v>506</v>
      </c>
      <c r="I1258" t="s">
        <v>212</v>
      </c>
      <c r="J1258" s="25">
        <v>157468</v>
      </c>
      <c r="K1258" s="26">
        <v>23926.69</v>
      </c>
      <c r="L1258" s="26">
        <v>141.16999999999999</v>
      </c>
    </row>
    <row r="1259" spans="1:12" ht="16" customHeight="1">
      <c r="A1259" t="s">
        <v>487</v>
      </c>
      <c r="B1259" t="s">
        <v>7</v>
      </c>
      <c r="C1259" t="s">
        <v>55</v>
      </c>
      <c r="D1259" s="24">
        <v>46174</v>
      </c>
      <c r="E1259" t="s">
        <v>500</v>
      </c>
      <c r="F1259" t="s">
        <v>6</v>
      </c>
      <c r="G1259" t="s">
        <v>505</v>
      </c>
      <c r="H1259" t="s">
        <v>505</v>
      </c>
      <c r="I1259" t="s">
        <v>219</v>
      </c>
      <c r="J1259" s="25">
        <v>3644</v>
      </c>
      <c r="K1259" s="26">
        <v>556.94000000000005</v>
      </c>
      <c r="L1259" s="26">
        <v>4.97</v>
      </c>
    </row>
    <row r="1260" spans="1:12" ht="16" customHeight="1">
      <c r="A1260" t="s">
        <v>487</v>
      </c>
      <c r="B1260" t="s">
        <v>7</v>
      </c>
      <c r="C1260" t="s">
        <v>55</v>
      </c>
      <c r="D1260" s="24">
        <v>46174</v>
      </c>
      <c r="E1260" t="s">
        <v>513</v>
      </c>
      <c r="F1260" t="s">
        <v>6</v>
      </c>
      <c r="G1260" t="s">
        <v>505</v>
      </c>
      <c r="H1260" t="s">
        <v>505</v>
      </c>
      <c r="I1260" t="s">
        <v>219</v>
      </c>
      <c r="J1260" s="25">
        <v>390</v>
      </c>
      <c r="K1260" s="26">
        <v>59.65</v>
      </c>
      <c r="L1260" s="26">
        <v>0.91</v>
      </c>
    </row>
    <row r="1261" spans="1:12" ht="16" customHeight="1">
      <c r="A1261" t="s">
        <v>487</v>
      </c>
      <c r="B1261" t="s">
        <v>7</v>
      </c>
      <c r="C1261" t="s">
        <v>55</v>
      </c>
      <c r="D1261" s="24">
        <v>46174</v>
      </c>
      <c r="E1261" t="s">
        <v>514</v>
      </c>
      <c r="F1261" t="s">
        <v>6</v>
      </c>
      <c r="G1261" t="s">
        <v>505</v>
      </c>
      <c r="H1261" t="s">
        <v>505</v>
      </c>
      <c r="I1261" t="s">
        <v>219</v>
      </c>
      <c r="J1261" s="25">
        <v>1</v>
      </c>
      <c r="K1261" s="26">
        <v>0.15</v>
      </c>
      <c r="L1261" s="26">
        <v>0</v>
      </c>
    </row>
    <row r="1262" spans="1:12" ht="16" customHeight="1">
      <c r="A1262" t="s">
        <v>487</v>
      </c>
      <c r="B1262" t="s">
        <v>7</v>
      </c>
      <c r="C1262" t="s">
        <v>55</v>
      </c>
      <c r="D1262" s="24">
        <v>46174</v>
      </c>
      <c r="E1262" t="s">
        <v>512</v>
      </c>
      <c r="F1262" t="s">
        <v>6</v>
      </c>
      <c r="G1262" t="s">
        <v>506</v>
      </c>
      <c r="H1262" t="s">
        <v>506</v>
      </c>
      <c r="I1262" t="s">
        <v>219</v>
      </c>
      <c r="J1262" s="25">
        <v>2743</v>
      </c>
      <c r="K1262" s="26">
        <v>421.84</v>
      </c>
      <c r="L1262" s="26">
        <v>6.51</v>
      </c>
    </row>
    <row r="1263" spans="1:12" ht="16" customHeight="1">
      <c r="A1263" t="s">
        <v>488</v>
      </c>
      <c r="B1263" t="s">
        <v>3</v>
      </c>
      <c r="C1263" t="s">
        <v>56</v>
      </c>
      <c r="D1263" s="24">
        <v>46174</v>
      </c>
      <c r="E1263" t="s">
        <v>491</v>
      </c>
      <c r="F1263" t="s">
        <v>6</v>
      </c>
      <c r="G1263" t="s">
        <v>505</v>
      </c>
      <c r="H1263" t="s">
        <v>505</v>
      </c>
      <c r="I1263" t="s">
        <v>212</v>
      </c>
      <c r="J1263" s="25">
        <v>23538849</v>
      </c>
      <c r="K1263" s="26">
        <v>3607020.19</v>
      </c>
      <c r="L1263" s="26">
        <v>11868.64</v>
      </c>
    </row>
    <row r="1264" spans="1:12" ht="16" customHeight="1">
      <c r="A1264" t="s">
        <v>488</v>
      </c>
      <c r="B1264" t="s">
        <v>3</v>
      </c>
      <c r="C1264" t="s">
        <v>56</v>
      </c>
      <c r="D1264" s="24">
        <v>46174</v>
      </c>
      <c r="E1264" t="s">
        <v>496</v>
      </c>
      <c r="F1264" t="s">
        <v>6</v>
      </c>
      <c r="G1264" t="s">
        <v>506</v>
      </c>
      <c r="H1264" t="s">
        <v>506</v>
      </c>
      <c r="I1264" t="s">
        <v>212</v>
      </c>
      <c r="J1264" s="25">
        <v>225501</v>
      </c>
      <c r="K1264" s="26">
        <v>34501.019999999997</v>
      </c>
      <c r="L1264" s="26">
        <v>176.45</v>
      </c>
    </row>
    <row r="1265" spans="1:12" ht="16" customHeight="1">
      <c r="A1265" t="s">
        <v>488</v>
      </c>
      <c r="B1265" t="s">
        <v>3</v>
      </c>
      <c r="C1265" t="s">
        <v>56</v>
      </c>
      <c r="D1265" s="24">
        <v>46174</v>
      </c>
      <c r="E1265" t="s">
        <v>500</v>
      </c>
      <c r="F1265" t="s">
        <v>6</v>
      </c>
      <c r="G1265" t="s">
        <v>505</v>
      </c>
      <c r="H1265" t="s">
        <v>505</v>
      </c>
      <c r="I1265" t="s">
        <v>219</v>
      </c>
      <c r="J1265" s="25">
        <v>3773</v>
      </c>
      <c r="K1265" s="26">
        <v>583.62</v>
      </c>
      <c r="L1265" s="26">
        <v>5.44</v>
      </c>
    </row>
    <row r="1266" spans="1:12" ht="16" customHeight="1">
      <c r="A1266" t="s">
        <v>488</v>
      </c>
      <c r="B1266" t="s">
        <v>3</v>
      </c>
      <c r="C1266" t="s">
        <v>56</v>
      </c>
      <c r="D1266" s="24">
        <v>46174</v>
      </c>
      <c r="E1266" t="s">
        <v>513</v>
      </c>
      <c r="F1266" t="s">
        <v>6</v>
      </c>
      <c r="G1266" t="s">
        <v>505</v>
      </c>
      <c r="H1266" t="s">
        <v>505</v>
      </c>
      <c r="I1266" t="s">
        <v>219</v>
      </c>
      <c r="J1266" s="25">
        <v>2475</v>
      </c>
      <c r="K1266" s="26">
        <v>383.71</v>
      </c>
      <c r="L1266" s="26">
        <v>5.87</v>
      </c>
    </row>
    <row r="1267" spans="1:12" ht="16" customHeight="1">
      <c r="A1267" t="s">
        <v>488</v>
      </c>
      <c r="B1267" t="s">
        <v>3</v>
      </c>
      <c r="C1267" t="s">
        <v>56</v>
      </c>
      <c r="D1267" s="24">
        <v>46174</v>
      </c>
      <c r="E1267" t="s">
        <v>514</v>
      </c>
      <c r="F1267" t="s">
        <v>6</v>
      </c>
      <c r="G1267" t="s">
        <v>505</v>
      </c>
      <c r="H1267" t="s">
        <v>505</v>
      </c>
      <c r="I1267" t="s">
        <v>219</v>
      </c>
      <c r="J1267" s="25">
        <v>0</v>
      </c>
      <c r="K1267" s="26">
        <v>0</v>
      </c>
      <c r="L1267" s="26">
        <v>0</v>
      </c>
    </row>
    <row r="1268" spans="1:12" ht="16" customHeight="1">
      <c r="A1268" t="s">
        <v>488</v>
      </c>
      <c r="B1268" t="s">
        <v>3</v>
      </c>
      <c r="C1268" t="s">
        <v>56</v>
      </c>
      <c r="D1268" s="24">
        <v>46174</v>
      </c>
      <c r="E1268" t="s">
        <v>515</v>
      </c>
      <c r="F1268" t="s">
        <v>6</v>
      </c>
      <c r="G1268" t="s">
        <v>505</v>
      </c>
      <c r="H1268" t="s">
        <v>505</v>
      </c>
      <c r="I1268" t="s">
        <v>219</v>
      </c>
      <c r="J1268" s="25">
        <v>1</v>
      </c>
      <c r="K1268" s="26">
        <v>0.16</v>
      </c>
      <c r="L1268" s="26">
        <v>0</v>
      </c>
    </row>
    <row r="1269" spans="1:12" ht="16" customHeight="1">
      <c r="A1269" t="s">
        <v>488</v>
      </c>
      <c r="B1269" t="s">
        <v>3</v>
      </c>
      <c r="C1269" t="s">
        <v>56</v>
      </c>
      <c r="D1269" s="24">
        <v>46174</v>
      </c>
      <c r="E1269" t="s">
        <v>512</v>
      </c>
      <c r="F1269" t="s">
        <v>6</v>
      </c>
      <c r="G1269" t="s">
        <v>506</v>
      </c>
      <c r="H1269" t="s">
        <v>506</v>
      </c>
      <c r="I1269" t="s">
        <v>219</v>
      </c>
      <c r="J1269" s="25">
        <v>6348</v>
      </c>
      <c r="K1269" s="26">
        <v>992.2</v>
      </c>
      <c r="L1269" s="26">
        <v>16.87</v>
      </c>
    </row>
    <row r="1270" spans="1:12" ht="16" customHeight="1">
      <c r="A1270" t="s">
        <v>466</v>
      </c>
      <c r="B1270" t="s">
        <v>4</v>
      </c>
      <c r="C1270" t="s">
        <v>56</v>
      </c>
      <c r="D1270" s="24">
        <v>46174</v>
      </c>
      <c r="E1270" t="s">
        <v>491</v>
      </c>
      <c r="F1270" t="s">
        <v>6</v>
      </c>
      <c r="G1270" t="s">
        <v>505</v>
      </c>
      <c r="H1270" t="s">
        <v>505</v>
      </c>
      <c r="I1270" t="s">
        <v>212</v>
      </c>
      <c r="J1270" s="25">
        <v>24258967</v>
      </c>
      <c r="K1270" s="26">
        <v>3719718.82</v>
      </c>
      <c r="L1270" s="26">
        <v>8986.94</v>
      </c>
    </row>
    <row r="1271" spans="1:12" ht="16" customHeight="1">
      <c r="A1271" t="s">
        <v>466</v>
      </c>
      <c r="B1271" t="s">
        <v>4</v>
      </c>
      <c r="C1271" t="s">
        <v>56</v>
      </c>
      <c r="D1271" s="24">
        <v>46174</v>
      </c>
      <c r="E1271" t="s">
        <v>496</v>
      </c>
      <c r="F1271" t="s">
        <v>6</v>
      </c>
      <c r="G1271" t="s">
        <v>506</v>
      </c>
      <c r="H1271" t="s">
        <v>506</v>
      </c>
      <c r="I1271" t="s">
        <v>212</v>
      </c>
      <c r="J1271" s="25">
        <v>261338</v>
      </c>
      <c r="K1271" s="26">
        <v>39842.85</v>
      </c>
      <c r="L1271" s="26">
        <v>154.72999999999999</v>
      </c>
    </row>
    <row r="1272" spans="1:12" ht="16" customHeight="1">
      <c r="A1272" t="s">
        <v>466</v>
      </c>
      <c r="B1272" t="s">
        <v>4</v>
      </c>
      <c r="C1272" t="s">
        <v>56</v>
      </c>
      <c r="D1272" s="24">
        <v>46174</v>
      </c>
      <c r="E1272" t="s">
        <v>500</v>
      </c>
      <c r="F1272" t="s">
        <v>6</v>
      </c>
      <c r="G1272" t="s">
        <v>505</v>
      </c>
      <c r="H1272" t="s">
        <v>505</v>
      </c>
      <c r="I1272" t="s">
        <v>219</v>
      </c>
      <c r="J1272" s="25">
        <v>3964</v>
      </c>
      <c r="K1272" s="26">
        <v>615.74</v>
      </c>
      <c r="L1272" s="26">
        <v>4.3099999999999996</v>
      </c>
    </row>
    <row r="1273" spans="1:12" ht="16" customHeight="1">
      <c r="A1273" t="s">
        <v>466</v>
      </c>
      <c r="B1273" t="s">
        <v>4</v>
      </c>
      <c r="C1273" t="s">
        <v>56</v>
      </c>
      <c r="D1273" s="24">
        <v>46174</v>
      </c>
      <c r="E1273" t="s">
        <v>513</v>
      </c>
      <c r="F1273" t="s">
        <v>6</v>
      </c>
      <c r="G1273" t="s">
        <v>505</v>
      </c>
      <c r="H1273" t="s">
        <v>505</v>
      </c>
      <c r="I1273" t="s">
        <v>219</v>
      </c>
      <c r="J1273" s="25">
        <v>384</v>
      </c>
      <c r="K1273" s="26">
        <v>59.59</v>
      </c>
      <c r="L1273" s="26">
        <v>0.7</v>
      </c>
    </row>
    <row r="1274" spans="1:12" ht="16" customHeight="1">
      <c r="A1274" t="s">
        <v>466</v>
      </c>
      <c r="B1274" t="s">
        <v>4</v>
      </c>
      <c r="C1274" t="s">
        <v>56</v>
      </c>
      <c r="D1274" s="24">
        <v>46174</v>
      </c>
      <c r="E1274" t="s">
        <v>514</v>
      </c>
      <c r="F1274" t="s">
        <v>6</v>
      </c>
      <c r="G1274" t="s">
        <v>505</v>
      </c>
      <c r="H1274" t="s">
        <v>505</v>
      </c>
      <c r="I1274" t="s">
        <v>219</v>
      </c>
      <c r="J1274" s="25">
        <v>0</v>
      </c>
      <c r="K1274" s="26">
        <v>0</v>
      </c>
      <c r="L1274" s="26">
        <v>0</v>
      </c>
    </row>
    <row r="1275" spans="1:12" ht="16" customHeight="1">
      <c r="A1275" t="s">
        <v>466</v>
      </c>
      <c r="B1275" t="s">
        <v>4</v>
      </c>
      <c r="C1275" t="s">
        <v>56</v>
      </c>
      <c r="D1275" s="24">
        <v>46174</v>
      </c>
      <c r="E1275" t="s">
        <v>515</v>
      </c>
      <c r="F1275" t="s">
        <v>6</v>
      </c>
      <c r="G1275" t="s">
        <v>505</v>
      </c>
      <c r="H1275" t="s">
        <v>505</v>
      </c>
      <c r="I1275" t="s">
        <v>219</v>
      </c>
      <c r="J1275" s="25">
        <v>0</v>
      </c>
      <c r="K1275" s="26">
        <v>0</v>
      </c>
      <c r="L1275" s="26">
        <v>0</v>
      </c>
    </row>
    <row r="1276" spans="1:12" ht="16" customHeight="1">
      <c r="A1276" t="s">
        <v>466</v>
      </c>
      <c r="B1276" t="s">
        <v>4</v>
      </c>
      <c r="C1276" t="s">
        <v>56</v>
      </c>
      <c r="D1276" s="24">
        <v>46174</v>
      </c>
      <c r="E1276" t="s">
        <v>512</v>
      </c>
      <c r="F1276" t="s">
        <v>6</v>
      </c>
      <c r="G1276" t="s">
        <v>506</v>
      </c>
      <c r="H1276" t="s">
        <v>506</v>
      </c>
      <c r="I1276" t="s">
        <v>219</v>
      </c>
      <c r="J1276" s="25">
        <v>1672</v>
      </c>
      <c r="K1276" s="26">
        <v>261.45</v>
      </c>
      <c r="L1276" s="26">
        <v>3.81</v>
      </c>
    </row>
    <row r="1277" spans="1:12" ht="16" customHeight="1">
      <c r="A1277" t="s">
        <v>489</v>
      </c>
      <c r="B1277" t="s">
        <v>5</v>
      </c>
      <c r="C1277" t="s">
        <v>56</v>
      </c>
      <c r="D1277" s="24">
        <v>46174</v>
      </c>
      <c r="E1277" t="s">
        <v>491</v>
      </c>
      <c r="F1277" t="s">
        <v>6</v>
      </c>
      <c r="G1277" t="s">
        <v>505</v>
      </c>
      <c r="H1277" t="s">
        <v>505</v>
      </c>
      <c r="I1277" t="s">
        <v>212</v>
      </c>
      <c r="J1277" s="25">
        <v>91482176</v>
      </c>
      <c r="K1277" s="26">
        <v>14097826.529999999</v>
      </c>
      <c r="L1277" s="26">
        <v>26455.05</v>
      </c>
    </row>
    <row r="1278" spans="1:12" ht="16" customHeight="1">
      <c r="A1278" t="s">
        <v>489</v>
      </c>
      <c r="B1278" t="s">
        <v>5</v>
      </c>
      <c r="C1278" t="s">
        <v>56</v>
      </c>
      <c r="D1278" s="24">
        <v>46174</v>
      </c>
      <c r="E1278" t="s">
        <v>496</v>
      </c>
      <c r="F1278" t="s">
        <v>6</v>
      </c>
      <c r="G1278" t="s">
        <v>506</v>
      </c>
      <c r="H1278" t="s">
        <v>506</v>
      </c>
      <c r="I1278" t="s">
        <v>212</v>
      </c>
      <c r="J1278" s="25">
        <v>525339</v>
      </c>
      <c r="K1278" s="26">
        <v>80618.490000000005</v>
      </c>
      <c r="L1278" s="26">
        <v>301.72000000000003</v>
      </c>
    </row>
    <row r="1279" spans="1:12" ht="16" customHeight="1">
      <c r="A1279" t="s">
        <v>489</v>
      </c>
      <c r="B1279" t="s">
        <v>5</v>
      </c>
      <c r="C1279" t="s">
        <v>56</v>
      </c>
      <c r="D1279" s="24">
        <v>46174</v>
      </c>
      <c r="E1279" t="s">
        <v>500</v>
      </c>
      <c r="F1279" t="s">
        <v>6</v>
      </c>
      <c r="G1279" t="s">
        <v>505</v>
      </c>
      <c r="H1279" t="s">
        <v>505</v>
      </c>
      <c r="I1279" t="s">
        <v>219</v>
      </c>
      <c r="J1279" s="25">
        <v>8825</v>
      </c>
      <c r="K1279" s="26">
        <v>1379.93</v>
      </c>
      <c r="L1279" s="26">
        <v>9.5299999999999994</v>
      </c>
    </row>
    <row r="1280" spans="1:12" ht="16" customHeight="1">
      <c r="A1280" t="s">
        <v>489</v>
      </c>
      <c r="B1280" t="s">
        <v>5</v>
      </c>
      <c r="C1280" t="s">
        <v>56</v>
      </c>
      <c r="D1280" s="24">
        <v>46174</v>
      </c>
      <c r="E1280" t="s">
        <v>513</v>
      </c>
      <c r="F1280" t="s">
        <v>6</v>
      </c>
      <c r="G1280" t="s">
        <v>505</v>
      </c>
      <c r="H1280" t="s">
        <v>505</v>
      </c>
      <c r="I1280" t="s">
        <v>219</v>
      </c>
      <c r="J1280" s="25">
        <v>122</v>
      </c>
      <c r="K1280" s="26">
        <v>19.05</v>
      </c>
      <c r="L1280" s="26">
        <v>0.2</v>
      </c>
    </row>
    <row r="1281" spans="1:12" ht="16" customHeight="1">
      <c r="A1281" t="s">
        <v>489</v>
      </c>
      <c r="B1281" t="s">
        <v>5</v>
      </c>
      <c r="C1281" t="s">
        <v>56</v>
      </c>
      <c r="D1281" s="24">
        <v>46174</v>
      </c>
      <c r="E1281" t="s">
        <v>514</v>
      </c>
      <c r="F1281" t="s">
        <v>6</v>
      </c>
      <c r="G1281" t="s">
        <v>505</v>
      </c>
      <c r="H1281" t="s">
        <v>505</v>
      </c>
      <c r="I1281" t="s">
        <v>219</v>
      </c>
      <c r="J1281" s="25">
        <v>0</v>
      </c>
      <c r="K1281" s="26">
        <v>0</v>
      </c>
      <c r="L1281" s="26">
        <v>0</v>
      </c>
    </row>
    <row r="1282" spans="1:12" ht="16" customHeight="1">
      <c r="A1282" t="s">
        <v>489</v>
      </c>
      <c r="B1282" t="s">
        <v>5</v>
      </c>
      <c r="C1282" t="s">
        <v>56</v>
      </c>
      <c r="D1282" s="24">
        <v>46174</v>
      </c>
      <c r="E1282" t="s">
        <v>515</v>
      </c>
      <c r="F1282" t="s">
        <v>6</v>
      </c>
      <c r="G1282" t="s">
        <v>505</v>
      </c>
      <c r="H1282" t="s">
        <v>505</v>
      </c>
      <c r="I1282" t="s">
        <v>219</v>
      </c>
      <c r="J1282" s="25">
        <v>0</v>
      </c>
      <c r="K1282" s="26">
        <v>0</v>
      </c>
      <c r="L1282" s="26">
        <v>0</v>
      </c>
    </row>
    <row r="1283" spans="1:12" ht="16" customHeight="1">
      <c r="A1283" t="s">
        <v>489</v>
      </c>
      <c r="B1283" t="s">
        <v>5</v>
      </c>
      <c r="C1283" t="s">
        <v>56</v>
      </c>
      <c r="D1283" s="24">
        <v>46174</v>
      </c>
      <c r="E1283" t="s">
        <v>512</v>
      </c>
      <c r="F1283" t="s">
        <v>6</v>
      </c>
      <c r="G1283" t="s">
        <v>506</v>
      </c>
      <c r="H1283" t="s">
        <v>506</v>
      </c>
      <c r="I1283" t="s">
        <v>219</v>
      </c>
      <c r="J1283" s="25">
        <v>2248</v>
      </c>
      <c r="K1283" s="26">
        <v>352.72</v>
      </c>
      <c r="L1283" s="26">
        <v>4.6100000000000003</v>
      </c>
    </row>
    <row r="1284" spans="1:12" ht="16" customHeight="1">
      <c r="A1284" t="s">
        <v>491</v>
      </c>
      <c r="B1284" t="s">
        <v>6</v>
      </c>
      <c r="C1284" t="s">
        <v>56</v>
      </c>
      <c r="D1284" s="24">
        <v>46174</v>
      </c>
      <c r="E1284" t="s">
        <v>491</v>
      </c>
      <c r="F1284" t="s">
        <v>6</v>
      </c>
      <c r="G1284" t="s">
        <v>505</v>
      </c>
      <c r="H1284" t="s">
        <v>505</v>
      </c>
      <c r="I1284" t="s">
        <v>212</v>
      </c>
      <c r="J1284" s="25">
        <v>478899730</v>
      </c>
      <c r="K1284" s="26">
        <v>73990256.530000001</v>
      </c>
      <c r="L1284" s="26">
        <v>47565.760000000002</v>
      </c>
    </row>
    <row r="1285" spans="1:12" ht="16" customHeight="1">
      <c r="A1285" t="s">
        <v>491</v>
      </c>
      <c r="B1285" t="s">
        <v>6</v>
      </c>
      <c r="C1285" t="s">
        <v>56</v>
      </c>
      <c r="D1285" s="24">
        <v>46174</v>
      </c>
      <c r="E1285" t="s">
        <v>496</v>
      </c>
      <c r="F1285" t="s">
        <v>6</v>
      </c>
      <c r="G1285" t="s">
        <v>506</v>
      </c>
      <c r="H1285" t="s">
        <v>506</v>
      </c>
      <c r="I1285" t="s">
        <v>212</v>
      </c>
      <c r="J1285" s="25">
        <v>2175162</v>
      </c>
      <c r="K1285" s="26">
        <v>336727.18</v>
      </c>
      <c r="L1285" s="26">
        <v>1206.6099999999999</v>
      </c>
    </row>
    <row r="1286" spans="1:12" ht="16" customHeight="1">
      <c r="A1286" t="s">
        <v>491</v>
      </c>
      <c r="B1286" t="s">
        <v>6</v>
      </c>
      <c r="C1286" t="s">
        <v>56</v>
      </c>
      <c r="D1286" s="24">
        <v>46174</v>
      </c>
      <c r="E1286" t="s">
        <v>500</v>
      </c>
      <c r="F1286" t="s">
        <v>6</v>
      </c>
      <c r="G1286" t="s">
        <v>505</v>
      </c>
      <c r="H1286" t="s">
        <v>505</v>
      </c>
      <c r="I1286" t="s">
        <v>219</v>
      </c>
      <c r="J1286" s="25">
        <v>17327</v>
      </c>
      <c r="K1286" s="26">
        <v>2711.58</v>
      </c>
      <c r="L1286" s="26">
        <v>15.55</v>
      </c>
    </row>
    <row r="1287" spans="1:12" ht="16" customHeight="1">
      <c r="A1287" t="s">
        <v>491</v>
      </c>
      <c r="B1287" t="s">
        <v>6</v>
      </c>
      <c r="C1287" t="s">
        <v>56</v>
      </c>
      <c r="D1287" s="24">
        <v>46174</v>
      </c>
      <c r="E1287" t="s">
        <v>513</v>
      </c>
      <c r="F1287" t="s">
        <v>6</v>
      </c>
      <c r="G1287" t="s">
        <v>505</v>
      </c>
      <c r="H1287" t="s">
        <v>505</v>
      </c>
      <c r="I1287" t="s">
        <v>219</v>
      </c>
      <c r="J1287" s="25">
        <v>168</v>
      </c>
      <c r="K1287" s="26">
        <v>26.26</v>
      </c>
      <c r="L1287" s="26">
        <v>0.3</v>
      </c>
    </row>
    <row r="1288" spans="1:12" ht="16" customHeight="1">
      <c r="A1288" t="s">
        <v>491</v>
      </c>
      <c r="B1288" t="s">
        <v>6</v>
      </c>
      <c r="C1288" t="s">
        <v>56</v>
      </c>
      <c r="D1288" s="24">
        <v>46174</v>
      </c>
      <c r="E1288" t="s">
        <v>514</v>
      </c>
      <c r="F1288" t="s">
        <v>6</v>
      </c>
      <c r="G1288" t="s">
        <v>505</v>
      </c>
      <c r="H1288" t="s">
        <v>505</v>
      </c>
      <c r="I1288" t="s">
        <v>219</v>
      </c>
      <c r="J1288" s="25">
        <v>5</v>
      </c>
      <c r="K1288" s="26">
        <v>0.73</v>
      </c>
      <c r="L1288" s="26">
        <v>0</v>
      </c>
    </row>
    <row r="1289" spans="1:12" ht="16" customHeight="1">
      <c r="A1289" t="s">
        <v>491</v>
      </c>
      <c r="B1289" t="s">
        <v>6</v>
      </c>
      <c r="C1289" t="s">
        <v>56</v>
      </c>
      <c r="D1289" s="24">
        <v>46174</v>
      </c>
      <c r="E1289" t="s">
        <v>515</v>
      </c>
      <c r="F1289" t="s">
        <v>6</v>
      </c>
      <c r="G1289" t="s">
        <v>505</v>
      </c>
      <c r="H1289" t="s">
        <v>505</v>
      </c>
      <c r="I1289" t="s">
        <v>219</v>
      </c>
      <c r="J1289" s="25">
        <v>1</v>
      </c>
      <c r="K1289" s="26">
        <v>0.15</v>
      </c>
      <c r="L1289" s="26">
        <v>0</v>
      </c>
    </row>
    <row r="1290" spans="1:12" ht="16" customHeight="1">
      <c r="A1290" t="s">
        <v>491</v>
      </c>
      <c r="B1290" t="s">
        <v>6</v>
      </c>
      <c r="C1290" t="s">
        <v>56</v>
      </c>
      <c r="D1290" s="24">
        <v>46174</v>
      </c>
      <c r="E1290" t="s">
        <v>512</v>
      </c>
      <c r="F1290" t="s">
        <v>6</v>
      </c>
      <c r="G1290" t="s">
        <v>506</v>
      </c>
      <c r="H1290" t="s">
        <v>506</v>
      </c>
      <c r="I1290" t="s">
        <v>219</v>
      </c>
      <c r="J1290" s="25">
        <v>2472</v>
      </c>
      <c r="K1290" s="26">
        <v>386.56</v>
      </c>
      <c r="L1290" s="26">
        <v>4.78</v>
      </c>
    </row>
    <row r="1291" spans="1:12" ht="16" customHeight="1">
      <c r="A1291" t="s">
        <v>492</v>
      </c>
      <c r="B1291" t="s">
        <v>7</v>
      </c>
      <c r="C1291" t="s">
        <v>56</v>
      </c>
      <c r="D1291" s="24">
        <v>46174</v>
      </c>
      <c r="E1291" t="s">
        <v>496</v>
      </c>
      <c r="F1291" t="s">
        <v>6</v>
      </c>
      <c r="G1291" t="s">
        <v>506</v>
      </c>
      <c r="H1291" t="s">
        <v>508</v>
      </c>
      <c r="I1291" t="s">
        <v>212</v>
      </c>
      <c r="J1291" s="25">
        <v>14800619</v>
      </c>
      <c r="K1291" s="26">
        <v>2280791.27</v>
      </c>
      <c r="L1291" s="26">
        <v>8636.2900000000009</v>
      </c>
    </row>
    <row r="1292" spans="1:12" ht="16" customHeight="1">
      <c r="A1292" t="s">
        <v>492</v>
      </c>
      <c r="B1292" t="s">
        <v>7</v>
      </c>
      <c r="C1292" t="s">
        <v>56</v>
      </c>
      <c r="D1292" s="24">
        <v>46174</v>
      </c>
      <c r="E1292" t="s">
        <v>500</v>
      </c>
      <c r="F1292" t="s">
        <v>6</v>
      </c>
      <c r="G1292" t="s">
        <v>505</v>
      </c>
      <c r="H1292" t="s">
        <v>505</v>
      </c>
      <c r="I1292" t="s">
        <v>219</v>
      </c>
      <c r="J1292" s="25">
        <v>129387</v>
      </c>
      <c r="K1292" s="26">
        <v>20104.63</v>
      </c>
      <c r="L1292" s="26">
        <v>130.22</v>
      </c>
    </row>
    <row r="1293" spans="1:12" ht="16" customHeight="1">
      <c r="A1293" t="s">
        <v>492</v>
      </c>
      <c r="B1293" t="s">
        <v>7</v>
      </c>
      <c r="C1293" t="s">
        <v>56</v>
      </c>
      <c r="D1293" s="24">
        <v>46174</v>
      </c>
      <c r="E1293" t="s">
        <v>513</v>
      </c>
      <c r="F1293" t="s">
        <v>6</v>
      </c>
      <c r="G1293" t="s">
        <v>505</v>
      </c>
      <c r="H1293" t="s">
        <v>505</v>
      </c>
      <c r="I1293" t="s">
        <v>219</v>
      </c>
      <c r="J1293" s="25">
        <v>1593</v>
      </c>
      <c r="K1293" s="26">
        <v>247.55</v>
      </c>
      <c r="L1293" s="26">
        <v>2.61</v>
      </c>
    </row>
    <row r="1294" spans="1:12" ht="16" customHeight="1">
      <c r="A1294" t="s">
        <v>492</v>
      </c>
      <c r="B1294" t="s">
        <v>7</v>
      </c>
      <c r="C1294" t="s">
        <v>56</v>
      </c>
      <c r="D1294" s="24">
        <v>46174</v>
      </c>
      <c r="E1294" t="s">
        <v>514</v>
      </c>
      <c r="F1294" t="s">
        <v>6</v>
      </c>
      <c r="G1294" t="s">
        <v>505</v>
      </c>
      <c r="H1294" t="s">
        <v>505</v>
      </c>
      <c r="I1294" t="s">
        <v>219</v>
      </c>
      <c r="J1294" s="25">
        <v>658</v>
      </c>
      <c r="K1294" s="26">
        <v>102.55</v>
      </c>
      <c r="L1294" s="26">
        <v>1.23</v>
      </c>
    </row>
    <row r="1295" spans="1:12" ht="16" customHeight="1">
      <c r="A1295" t="s">
        <v>492</v>
      </c>
      <c r="B1295" t="s">
        <v>7</v>
      </c>
      <c r="C1295" t="s">
        <v>56</v>
      </c>
      <c r="D1295" s="24">
        <v>46174</v>
      </c>
      <c r="E1295" t="s">
        <v>515</v>
      </c>
      <c r="F1295" t="s">
        <v>6</v>
      </c>
      <c r="G1295" t="s">
        <v>505</v>
      </c>
      <c r="H1295" t="s">
        <v>505</v>
      </c>
      <c r="I1295" t="s">
        <v>219</v>
      </c>
      <c r="J1295" s="25">
        <v>0</v>
      </c>
      <c r="K1295" s="26">
        <v>0</v>
      </c>
      <c r="L1295" s="26">
        <v>0</v>
      </c>
    </row>
    <row r="1296" spans="1:12" ht="16" customHeight="1">
      <c r="A1296" t="s">
        <v>492</v>
      </c>
      <c r="B1296" t="s">
        <v>7</v>
      </c>
      <c r="C1296" t="s">
        <v>56</v>
      </c>
      <c r="D1296" s="24">
        <v>46174</v>
      </c>
      <c r="E1296" t="s">
        <v>512</v>
      </c>
      <c r="F1296" t="s">
        <v>6</v>
      </c>
      <c r="G1296" t="s">
        <v>506</v>
      </c>
      <c r="H1296" t="s">
        <v>506</v>
      </c>
      <c r="I1296" t="s">
        <v>219</v>
      </c>
      <c r="J1296" s="25">
        <v>3317</v>
      </c>
      <c r="K1296" s="26">
        <v>518.37</v>
      </c>
      <c r="L1296" s="26">
        <v>7.1</v>
      </c>
    </row>
    <row r="1297" spans="1:12" ht="16" customHeight="1">
      <c r="A1297" t="s">
        <v>493</v>
      </c>
      <c r="B1297" t="s">
        <v>3</v>
      </c>
      <c r="C1297" t="s">
        <v>57</v>
      </c>
      <c r="D1297" s="24">
        <v>46174</v>
      </c>
      <c r="E1297" t="s">
        <v>496</v>
      </c>
      <c r="F1297" t="s">
        <v>6</v>
      </c>
      <c r="G1297" t="s">
        <v>506</v>
      </c>
      <c r="H1297" t="s">
        <v>508</v>
      </c>
      <c r="I1297" t="s">
        <v>212</v>
      </c>
      <c r="J1297" s="25">
        <v>15143822</v>
      </c>
      <c r="K1297" s="26">
        <v>2344026.92</v>
      </c>
      <c r="L1297" s="26">
        <v>6647.46</v>
      </c>
    </row>
    <row r="1298" spans="1:12" ht="16" customHeight="1">
      <c r="A1298" t="s">
        <v>493</v>
      </c>
      <c r="B1298" t="s">
        <v>3</v>
      </c>
      <c r="C1298" t="s">
        <v>57</v>
      </c>
      <c r="D1298" s="24">
        <v>46174</v>
      </c>
      <c r="E1298" t="s">
        <v>500</v>
      </c>
      <c r="F1298" t="s">
        <v>6</v>
      </c>
      <c r="G1298" t="s">
        <v>505</v>
      </c>
      <c r="H1298" t="s">
        <v>505</v>
      </c>
      <c r="I1298" t="s">
        <v>219</v>
      </c>
      <c r="J1298" s="25">
        <v>127363</v>
      </c>
      <c r="K1298" s="26">
        <v>19814.8</v>
      </c>
      <c r="L1298" s="26">
        <v>96.88</v>
      </c>
    </row>
    <row r="1299" spans="1:12" ht="16" customHeight="1">
      <c r="A1299" t="s">
        <v>493</v>
      </c>
      <c r="B1299" t="s">
        <v>3</v>
      </c>
      <c r="C1299" t="s">
        <v>57</v>
      </c>
      <c r="D1299" s="24">
        <v>46174</v>
      </c>
      <c r="E1299" t="s">
        <v>513</v>
      </c>
      <c r="F1299" t="s">
        <v>6</v>
      </c>
      <c r="G1299" t="s">
        <v>505</v>
      </c>
      <c r="H1299" t="s">
        <v>505</v>
      </c>
      <c r="I1299" t="s">
        <v>219</v>
      </c>
      <c r="J1299" s="25">
        <v>1072</v>
      </c>
      <c r="K1299" s="26">
        <v>167.77</v>
      </c>
      <c r="L1299" s="26">
        <v>1.49</v>
      </c>
    </row>
    <row r="1300" spans="1:12" ht="16" customHeight="1">
      <c r="A1300" t="s">
        <v>493</v>
      </c>
      <c r="B1300" t="s">
        <v>3</v>
      </c>
      <c r="C1300" t="s">
        <v>57</v>
      </c>
      <c r="D1300" s="24">
        <v>46174</v>
      </c>
      <c r="E1300" t="s">
        <v>514</v>
      </c>
      <c r="F1300" t="s">
        <v>6</v>
      </c>
      <c r="G1300" t="s">
        <v>505</v>
      </c>
      <c r="H1300" t="s">
        <v>505</v>
      </c>
      <c r="I1300" t="s">
        <v>219</v>
      </c>
      <c r="J1300" s="25">
        <v>139</v>
      </c>
      <c r="K1300" s="26">
        <v>21.85</v>
      </c>
      <c r="L1300" s="26">
        <v>0.2</v>
      </c>
    </row>
    <row r="1301" spans="1:12" ht="16" customHeight="1">
      <c r="A1301" t="s">
        <v>493</v>
      </c>
      <c r="B1301" t="s">
        <v>3</v>
      </c>
      <c r="C1301" t="s">
        <v>57</v>
      </c>
      <c r="D1301" s="24">
        <v>46174</v>
      </c>
      <c r="E1301" t="s">
        <v>515</v>
      </c>
      <c r="F1301" t="s">
        <v>6</v>
      </c>
      <c r="G1301" t="s">
        <v>505</v>
      </c>
      <c r="H1301" t="s">
        <v>505</v>
      </c>
      <c r="I1301" t="s">
        <v>219</v>
      </c>
      <c r="J1301" s="25">
        <v>0</v>
      </c>
      <c r="K1301" s="26">
        <v>0</v>
      </c>
      <c r="L1301" s="26">
        <v>0</v>
      </c>
    </row>
    <row r="1302" spans="1:12" ht="16" customHeight="1">
      <c r="A1302" t="s">
        <v>493</v>
      </c>
      <c r="B1302" t="s">
        <v>3</v>
      </c>
      <c r="C1302" t="s">
        <v>57</v>
      </c>
      <c r="D1302" s="24">
        <v>46174</v>
      </c>
      <c r="E1302" t="s">
        <v>512</v>
      </c>
      <c r="F1302" t="s">
        <v>6</v>
      </c>
      <c r="G1302" t="s">
        <v>506</v>
      </c>
      <c r="H1302" t="s">
        <v>506</v>
      </c>
      <c r="I1302" t="s">
        <v>219</v>
      </c>
      <c r="J1302" s="25">
        <v>2639</v>
      </c>
      <c r="K1302" s="26">
        <v>413.46</v>
      </c>
      <c r="L1302" s="26">
        <v>5.33</v>
      </c>
    </row>
    <row r="1303" spans="1:12" ht="16" customHeight="1">
      <c r="A1303" t="s">
        <v>471</v>
      </c>
      <c r="B1303" t="s">
        <v>4</v>
      </c>
      <c r="C1303" t="s">
        <v>57</v>
      </c>
      <c r="D1303" s="24">
        <v>46174</v>
      </c>
      <c r="E1303" t="s">
        <v>496</v>
      </c>
      <c r="F1303" t="s">
        <v>6</v>
      </c>
      <c r="G1303" t="s">
        <v>506</v>
      </c>
      <c r="H1303" t="s">
        <v>508</v>
      </c>
      <c r="I1303" t="s">
        <v>212</v>
      </c>
      <c r="J1303" s="25">
        <v>34360080</v>
      </c>
      <c r="K1303" s="26">
        <v>5293662.9000000004</v>
      </c>
      <c r="L1303" s="26">
        <v>11381.89</v>
      </c>
    </row>
    <row r="1304" spans="1:12" ht="16" customHeight="1">
      <c r="A1304" t="s">
        <v>471</v>
      </c>
      <c r="B1304" t="s">
        <v>4</v>
      </c>
      <c r="C1304" t="s">
        <v>57</v>
      </c>
      <c r="D1304" s="24">
        <v>46174</v>
      </c>
      <c r="E1304" t="s">
        <v>500</v>
      </c>
      <c r="F1304" t="s">
        <v>6</v>
      </c>
      <c r="G1304" t="s">
        <v>505</v>
      </c>
      <c r="H1304" t="s">
        <v>505</v>
      </c>
      <c r="I1304" t="s">
        <v>219</v>
      </c>
      <c r="J1304" s="25">
        <v>400349</v>
      </c>
      <c r="K1304" s="26">
        <v>61720.07</v>
      </c>
      <c r="L1304" s="26">
        <v>253.62</v>
      </c>
    </row>
    <row r="1305" spans="1:12" ht="16" customHeight="1">
      <c r="A1305" t="s">
        <v>471</v>
      </c>
      <c r="B1305" t="s">
        <v>4</v>
      </c>
      <c r="C1305" t="s">
        <v>57</v>
      </c>
      <c r="D1305" s="24">
        <v>46174</v>
      </c>
      <c r="E1305" t="s">
        <v>513</v>
      </c>
      <c r="F1305" t="s">
        <v>6</v>
      </c>
      <c r="G1305" t="s">
        <v>505</v>
      </c>
      <c r="H1305" t="s">
        <v>505</v>
      </c>
      <c r="I1305" t="s">
        <v>219</v>
      </c>
      <c r="J1305" s="25">
        <v>6247</v>
      </c>
      <c r="K1305" s="26">
        <v>973.36</v>
      </c>
      <c r="L1305" s="26">
        <v>8</v>
      </c>
    </row>
    <row r="1306" spans="1:12" ht="16" customHeight="1">
      <c r="A1306" t="s">
        <v>471</v>
      </c>
      <c r="B1306" t="s">
        <v>4</v>
      </c>
      <c r="C1306" t="s">
        <v>57</v>
      </c>
      <c r="D1306" s="24">
        <v>46174</v>
      </c>
      <c r="E1306" t="s">
        <v>514</v>
      </c>
      <c r="F1306" t="s">
        <v>6</v>
      </c>
      <c r="G1306" t="s">
        <v>505</v>
      </c>
      <c r="H1306" t="s">
        <v>505</v>
      </c>
      <c r="I1306" t="s">
        <v>219</v>
      </c>
      <c r="J1306" s="25">
        <v>854</v>
      </c>
      <c r="K1306" s="26">
        <v>133.44</v>
      </c>
      <c r="L1306" s="26">
        <v>1.57</v>
      </c>
    </row>
    <row r="1307" spans="1:12" ht="16" customHeight="1">
      <c r="A1307" t="s">
        <v>471</v>
      </c>
      <c r="B1307" t="s">
        <v>4</v>
      </c>
      <c r="C1307" t="s">
        <v>57</v>
      </c>
      <c r="D1307" s="24">
        <v>46174</v>
      </c>
      <c r="E1307" t="s">
        <v>515</v>
      </c>
      <c r="F1307" t="s">
        <v>6</v>
      </c>
      <c r="G1307" t="s">
        <v>505</v>
      </c>
      <c r="H1307" t="s">
        <v>505</v>
      </c>
      <c r="I1307" t="s">
        <v>219</v>
      </c>
      <c r="J1307" s="25">
        <v>0</v>
      </c>
      <c r="K1307" s="26">
        <v>0</v>
      </c>
      <c r="L1307" s="26">
        <v>0</v>
      </c>
    </row>
    <row r="1308" spans="1:12" ht="16" customHeight="1">
      <c r="A1308" t="s">
        <v>471</v>
      </c>
      <c r="B1308" t="s">
        <v>4</v>
      </c>
      <c r="C1308" t="s">
        <v>57</v>
      </c>
      <c r="D1308" s="24">
        <v>46174</v>
      </c>
      <c r="E1308" t="s">
        <v>512</v>
      </c>
      <c r="F1308" t="s">
        <v>6</v>
      </c>
      <c r="G1308" t="s">
        <v>506</v>
      </c>
      <c r="H1308" t="s">
        <v>506</v>
      </c>
      <c r="I1308" t="s">
        <v>219</v>
      </c>
      <c r="J1308" s="25">
        <v>6215</v>
      </c>
      <c r="K1308" s="26">
        <v>967.36</v>
      </c>
      <c r="L1308" s="26">
        <v>10.75</v>
      </c>
    </row>
    <row r="1309" spans="1:12" ht="16" customHeight="1">
      <c r="A1309" t="s">
        <v>494</v>
      </c>
      <c r="B1309" t="s">
        <v>5</v>
      </c>
      <c r="C1309" t="s">
        <v>57</v>
      </c>
      <c r="D1309" s="24">
        <v>46174</v>
      </c>
      <c r="E1309" t="s">
        <v>496</v>
      </c>
      <c r="F1309" t="s">
        <v>6</v>
      </c>
      <c r="G1309" t="s">
        <v>506</v>
      </c>
      <c r="H1309" t="s">
        <v>508</v>
      </c>
      <c r="I1309" t="s">
        <v>212</v>
      </c>
      <c r="J1309" s="25">
        <v>129858422</v>
      </c>
      <c r="K1309" s="26">
        <v>19975890.760000002</v>
      </c>
      <c r="L1309" s="26">
        <v>37557.120000000003</v>
      </c>
    </row>
    <row r="1310" spans="1:12" ht="16" customHeight="1">
      <c r="A1310" t="s">
        <v>494</v>
      </c>
      <c r="B1310" t="s">
        <v>5</v>
      </c>
      <c r="C1310" t="s">
        <v>57</v>
      </c>
      <c r="D1310" s="24">
        <v>46174</v>
      </c>
      <c r="E1310" t="s">
        <v>500</v>
      </c>
      <c r="F1310" t="s">
        <v>6</v>
      </c>
      <c r="G1310" t="s">
        <v>505</v>
      </c>
      <c r="H1310" t="s">
        <v>505</v>
      </c>
      <c r="I1310" t="s">
        <v>219</v>
      </c>
      <c r="J1310" s="25">
        <v>706983</v>
      </c>
      <c r="K1310" s="26">
        <v>109085.08</v>
      </c>
      <c r="L1310" s="26">
        <v>444.04</v>
      </c>
    </row>
    <row r="1311" spans="1:12" ht="16" customHeight="1">
      <c r="A1311" t="s">
        <v>494</v>
      </c>
      <c r="B1311" t="s">
        <v>5</v>
      </c>
      <c r="C1311" t="s">
        <v>57</v>
      </c>
      <c r="D1311" s="24">
        <v>46174</v>
      </c>
      <c r="E1311" t="s">
        <v>513</v>
      </c>
      <c r="F1311" t="s">
        <v>6</v>
      </c>
      <c r="G1311" t="s">
        <v>505</v>
      </c>
      <c r="H1311" t="s">
        <v>505</v>
      </c>
      <c r="I1311" t="s">
        <v>219</v>
      </c>
      <c r="J1311" s="25">
        <v>10001</v>
      </c>
      <c r="K1311" s="26">
        <v>1566.44</v>
      </c>
      <c r="L1311" s="26">
        <v>11.9</v>
      </c>
    </row>
    <row r="1312" spans="1:12" ht="16" customHeight="1">
      <c r="A1312" t="s">
        <v>494</v>
      </c>
      <c r="B1312" t="s">
        <v>5</v>
      </c>
      <c r="C1312" t="s">
        <v>57</v>
      </c>
      <c r="D1312" s="24">
        <v>46174</v>
      </c>
      <c r="E1312" t="s">
        <v>514</v>
      </c>
      <c r="F1312" t="s">
        <v>6</v>
      </c>
      <c r="G1312" t="s">
        <v>505</v>
      </c>
      <c r="H1312" t="s">
        <v>505</v>
      </c>
      <c r="I1312" t="s">
        <v>219</v>
      </c>
      <c r="J1312" s="25">
        <v>735</v>
      </c>
      <c r="K1312" s="26">
        <v>114.9</v>
      </c>
      <c r="L1312" s="26">
        <v>1.29</v>
      </c>
    </row>
    <row r="1313" spans="1:12" ht="16" customHeight="1">
      <c r="A1313" t="s">
        <v>494</v>
      </c>
      <c r="B1313" t="s">
        <v>5</v>
      </c>
      <c r="C1313" t="s">
        <v>57</v>
      </c>
      <c r="D1313" s="24">
        <v>46174</v>
      </c>
      <c r="E1313" t="s">
        <v>515</v>
      </c>
      <c r="F1313" t="s">
        <v>6</v>
      </c>
      <c r="G1313" t="s">
        <v>505</v>
      </c>
      <c r="H1313" t="s">
        <v>505</v>
      </c>
      <c r="I1313" t="s">
        <v>219</v>
      </c>
      <c r="J1313" s="25">
        <v>4</v>
      </c>
      <c r="K1313" s="26">
        <v>0.63</v>
      </c>
      <c r="L1313" s="26">
        <v>0.01</v>
      </c>
    </row>
    <row r="1314" spans="1:12" ht="16" customHeight="1">
      <c r="A1314" t="s">
        <v>494</v>
      </c>
      <c r="B1314" t="s">
        <v>5</v>
      </c>
      <c r="C1314" t="s">
        <v>57</v>
      </c>
      <c r="D1314" s="24">
        <v>46174</v>
      </c>
      <c r="E1314" t="s">
        <v>512</v>
      </c>
      <c r="F1314" t="s">
        <v>6</v>
      </c>
      <c r="G1314" t="s">
        <v>506</v>
      </c>
      <c r="H1314" t="s">
        <v>506</v>
      </c>
      <c r="I1314" t="s">
        <v>219</v>
      </c>
      <c r="J1314" s="25">
        <v>7046</v>
      </c>
      <c r="K1314" s="26">
        <v>1117.69</v>
      </c>
      <c r="L1314" s="26">
        <v>18.899999999999999</v>
      </c>
    </row>
    <row r="1315" spans="1:12" ht="16" customHeight="1">
      <c r="A1315" t="s">
        <v>496</v>
      </c>
      <c r="B1315" t="s">
        <v>6</v>
      </c>
      <c r="C1315" t="s">
        <v>57</v>
      </c>
      <c r="D1315" s="24">
        <v>46174</v>
      </c>
      <c r="E1315" t="s">
        <v>496</v>
      </c>
      <c r="F1315" t="s">
        <v>6</v>
      </c>
      <c r="G1315" t="s">
        <v>506</v>
      </c>
      <c r="H1315" t="s">
        <v>508</v>
      </c>
      <c r="I1315" t="s">
        <v>212</v>
      </c>
      <c r="J1315" s="25">
        <v>544402510</v>
      </c>
      <c r="K1315" s="26">
        <v>84236638.739999995</v>
      </c>
      <c r="L1315" s="26">
        <v>58088.32</v>
      </c>
    </row>
    <row r="1316" spans="1:12" ht="16" customHeight="1">
      <c r="A1316" t="s">
        <v>496</v>
      </c>
      <c r="B1316" t="s">
        <v>6</v>
      </c>
      <c r="C1316" t="s">
        <v>57</v>
      </c>
      <c r="D1316" s="24">
        <v>46174</v>
      </c>
      <c r="E1316" t="s">
        <v>500</v>
      </c>
      <c r="F1316" t="s">
        <v>6</v>
      </c>
      <c r="G1316" t="s">
        <v>505</v>
      </c>
      <c r="H1316" t="s">
        <v>505</v>
      </c>
      <c r="I1316" t="s">
        <v>219</v>
      </c>
      <c r="J1316" s="25">
        <v>2414775</v>
      </c>
      <c r="K1316" s="26">
        <v>375183.3</v>
      </c>
      <c r="L1316" s="26">
        <v>1459.12</v>
      </c>
    </row>
    <row r="1317" spans="1:12" ht="16" customHeight="1">
      <c r="A1317" t="s">
        <v>496</v>
      </c>
      <c r="B1317" t="s">
        <v>6</v>
      </c>
      <c r="C1317" t="s">
        <v>57</v>
      </c>
      <c r="D1317" s="24">
        <v>46174</v>
      </c>
      <c r="E1317" t="s">
        <v>513</v>
      </c>
      <c r="F1317" t="s">
        <v>6</v>
      </c>
      <c r="G1317" t="s">
        <v>505</v>
      </c>
      <c r="H1317" t="s">
        <v>505</v>
      </c>
      <c r="I1317" t="s">
        <v>219</v>
      </c>
      <c r="J1317" s="25">
        <v>23740</v>
      </c>
      <c r="K1317" s="26">
        <v>3707.05</v>
      </c>
      <c r="L1317" s="26">
        <v>24.27</v>
      </c>
    </row>
    <row r="1318" spans="1:12" ht="16" customHeight="1">
      <c r="A1318" t="s">
        <v>496</v>
      </c>
      <c r="B1318" t="s">
        <v>6</v>
      </c>
      <c r="C1318" t="s">
        <v>57</v>
      </c>
      <c r="D1318" s="24">
        <v>46174</v>
      </c>
      <c r="E1318" t="s">
        <v>514</v>
      </c>
      <c r="F1318" t="s">
        <v>6</v>
      </c>
      <c r="G1318" t="s">
        <v>505</v>
      </c>
      <c r="H1318" t="s">
        <v>505</v>
      </c>
      <c r="I1318" t="s">
        <v>219</v>
      </c>
      <c r="J1318" s="25">
        <v>1079</v>
      </c>
      <c r="K1318" s="26">
        <v>168.83</v>
      </c>
      <c r="L1318" s="26">
        <v>1.83</v>
      </c>
    </row>
    <row r="1319" spans="1:12" ht="16" customHeight="1">
      <c r="A1319" t="s">
        <v>496</v>
      </c>
      <c r="B1319" t="s">
        <v>6</v>
      </c>
      <c r="C1319" t="s">
        <v>57</v>
      </c>
      <c r="D1319" s="24">
        <v>46174</v>
      </c>
      <c r="E1319" t="s">
        <v>515</v>
      </c>
      <c r="F1319" t="s">
        <v>6</v>
      </c>
      <c r="G1319" t="s">
        <v>505</v>
      </c>
      <c r="H1319" t="s">
        <v>505</v>
      </c>
      <c r="I1319" t="s">
        <v>219</v>
      </c>
      <c r="J1319" s="25">
        <v>0</v>
      </c>
      <c r="K1319" s="26">
        <v>0</v>
      </c>
      <c r="L1319" s="26">
        <v>0</v>
      </c>
    </row>
    <row r="1320" spans="1:12" ht="16" customHeight="1">
      <c r="A1320" t="s">
        <v>496</v>
      </c>
      <c r="B1320" t="s">
        <v>6</v>
      </c>
      <c r="C1320" t="s">
        <v>57</v>
      </c>
      <c r="D1320" s="24">
        <v>46174</v>
      </c>
      <c r="E1320" t="s">
        <v>512</v>
      </c>
      <c r="F1320" t="s">
        <v>6</v>
      </c>
      <c r="G1320" t="s">
        <v>506</v>
      </c>
      <c r="H1320" t="s">
        <v>506</v>
      </c>
      <c r="I1320" t="s">
        <v>219</v>
      </c>
      <c r="J1320" s="25">
        <v>18608</v>
      </c>
      <c r="K1320" s="26">
        <v>2917.02</v>
      </c>
      <c r="L1320" s="26">
        <v>39.03</v>
      </c>
    </row>
    <row r="1321" spans="1:12" ht="16" customHeight="1">
      <c r="A1321" t="s">
        <v>496</v>
      </c>
      <c r="B1321" t="s">
        <v>6</v>
      </c>
      <c r="C1321" t="s">
        <v>57</v>
      </c>
      <c r="D1321" s="24">
        <v>46174</v>
      </c>
      <c r="E1321" t="s">
        <v>516</v>
      </c>
      <c r="F1321" t="s">
        <v>6</v>
      </c>
      <c r="G1321" t="s">
        <v>506</v>
      </c>
      <c r="H1321" t="s">
        <v>506</v>
      </c>
      <c r="I1321" t="s">
        <v>221</v>
      </c>
      <c r="J1321" s="25">
        <v>5</v>
      </c>
      <c r="K1321" s="26">
        <v>0.81</v>
      </c>
      <c r="L1321" s="26">
        <v>0.02</v>
      </c>
    </row>
    <row r="1322" spans="1:12" ht="16" customHeight="1">
      <c r="A1322" t="s">
        <v>497</v>
      </c>
      <c r="B1322" t="s">
        <v>3</v>
      </c>
      <c r="C1322" t="s">
        <v>58</v>
      </c>
      <c r="D1322" s="24">
        <v>46174</v>
      </c>
      <c r="E1322" t="s">
        <v>500</v>
      </c>
      <c r="F1322" t="s">
        <v>6</v>
      </c>
      <c r="G1322" t="s">
        <v>505</v>
      </c>
      <c r="H1322" t="s">
        <v>505</v>
      </c>
      <c r="I1322" t="s">
        <v>219</v>
      </c>
      <c r="J1322" s="25">
        <v>20330522</v>
      </c>
      <c r="K1322" s="26">
        <v>3135288.71</v>
      </c>
      <c r="L1322" s="26">
        <v>9759.86</v>
      </c>
    </row>
    <row r="1323" spans="1:12" ht="16" customHeight="1">
      <c r="A1323" t="s">
        <v>497</v>
      </c>
      <c r="B1323" t="s">
        <v>3</v>
      </c>
      <c r="C1323" t="s">
        <v>58</v>
      </c>
      <c r="D1323" s="24">
        <v>46174</v>
      </c>
      <c r="E1323" t="s">
        <v>513</v>
      </c>
      <c r="F1323" t="s">
        <v>6</v>
      </c>
      <c r="G1323" t="s">
        <v>505</v>
      </c>
      <c r="H1323" t="s">
        <v>505</v>
      </c>
      <c r="I1323" t="s">
        <v>219</v>
      </c>
      <c r="J1323" s="25">
        <v>94103</v>
      </c>
      <c r="K1323" s="26">
        <v>14576.93</v>
      </c>
      <c r="L1323" s="26">
        <v>93.21</v>
      </c>
    </row>
    <row r="1324" spans="1:12" ht="16" customHeight="1">
      <c r="A1324" t="s">
        <v>497</v>
      </c>
      <c r="B1324" t="s">
        <v>3</v>
      </c>
      <c r="C1324" t="s">
        <v>58</v>
      </c>
      <c r="D1324" s="24">
        <v>46174</v>
      </c>
      <c r="E1324" t="s">
        <v>514</v>
      </c>
      <c r="F1324" t="s">
        <v>6</v>
      </c>
      <c r="G1324" t="s">
        <v>505</v>
      </c>
      <c r="H1324" t="s">
        <v>505</v>
      </c>
      <c r="I1324" t="s">
        <v>219</v>
      </c>
      <c r="J1324" s="25">
        <v>1345</v>
      </c>
      <c r="K1324" s="26">
        <v>209.81</v>
      </c>
      <c r="L1324" s="26">
        <v>2.1800000000000002</v>
      </c>
    </row>
    <row r="1325" spans="1:12" ht="16" customHeight="1">
      <c r="A1325" t="s">
        <v>497</v>
      </c>
      <c r="B1325" t="s">
        <v>3</v>
      </c>
      <c r="C1325" t="s">
        <v>58</v>
      </c>
      <c r="D1325" s="24">
        <v>46174</v>
      </c>
      <c r="E1325" t="s">
        <v>515</v>
      </c>
      <c r="F1325" t="s">
        <v>6</v>
      </c>
      <c r="G1325" t="s">
        <v>505</v>
      </c>
      <c r="H1325" t="s">
        <v>505</v>
      </c>
      <c r="I1325" t="s">
        <v>219</v>
      </c>
      <c r="J1325" s="25">
        <v>30</v>
      </c>
      <c r="K1325" s="26">
        <v>4.63</v>
      </c>
      <c r="L1325" s="26">
        <v>0.04</v>
      </c>
    </row>
    <row r="1326" spans="1:12" ht="16" customHeight="1">
      <c r="A1326" t="s">
        <v>497</v>
      </c>
      <c r="B1326" t="s">
        <v>3</v>
      </c>
      <c r="C1326" t="s">
        <v>58</v>
      </c>
      <c r="D1326" s="24">
        <v>46174</v>
      </c>
      <c r="E1326" t="s">
        <v>512</v>
      </c>
      <c r="F1326" t="s">
        <v>6</v>
      </c>
      <c r="G1326" t="s">
        <v>506</v>
      </c>
      <c r="H1326" t="s">
        <v>506</v>
      </c>
      <c r="I1326" t="s">
        <v>219</v>
      </c>
      <c r="J1326" s="25">
        <v>18056</v>
      </c>
      <c r="K1326" s="26">
        <v>2897.69</v>
      </c>
      <c r="L1326" s="26">
        <v>72.38</v>
      </c>
    </row>
    <row r="1327" spans="1:12" ht="16" customHeight="1">
      <c r="A1327" t="s">
        <v>497</v>
      </c>
      <c r="B1327" t="s">
        <v>3</v>
      </c>
      <c r="C1327" t="s">
        <v>58</v>
      </c>
      <c r="D1327" s="24">
        <v>46174</v>
      </c>
      <c r="E1327" t="s">
        <v>516</v>
      </c>
      <c r="F1327" t="s">
        <v>6</v>
      </c>
      <c r="G1327" t="s">
        <v>506</v>
      </c>
      <c r="H1327" t="s">
        <v>506</v>
      </c>
      <c r="I1327" t="s">
        <v>221</v>
      </c>
      <c r="J1327" s="25">
        <v>398</v>
      </c>
      <c r="K1327" s="26">
        <v>63</v>
      </c>
      <c r="L1327" s="26">
        <v>1.51</v>
      </c>
    </row>
    <row r="1328" spans="1:12" ht="16" customHeight="1">
      <c r="A1328" t="s">
        <v>226</v>
      </c>
      <c r="B1328" t="s">
        <v>4</v>
      </c>
      <c r="C1328" t="s">
        <v>58</v>
      </c>
      <c r="D1328" s="24">
        <v>46174</v>
      </c>
      <c r="E1328" t="s">
        <v>500</v>
      </c>
      <c r="F1328" t="s">
        <v>6</v>
      </c>
      <c r="G1328" t="s">
        <v>505</v>
      </c>
      <c r="H1328" t="s">
        <v>505</v>
      </c>
      <c r="I1328" t="s">
        <v>219</v>
      </c>
      <c r="J1328" s="25">
        <v>25962486</v>
      </c>
      <c r="K1328" s="26">
        <v>3997121.97</v>
      </c>
      <c r="L1328" s="26">
        <v>10176.120000000001</v>
      </c>
    </row>
    <row r="1329" spans="1:12" ht="16" customHeight="1">
      <c r="A1329" t="s">
        <v>226</v>
      </c>
      <c r="B1329" t="s">
        <v>4</v>
      </c>
      <c r="C1329" t="s">
        <v>58</v>
      </c>
      <c r="D1329" s="24">
        <v>46174</v>
      </c>
      <c r="E1329" t="s">
        <v>513</v>
      </c>
      <c r="F1329" t="s">
        <v>6</v>
      </c>
      <c r="G1329" t="s">
        <v>505</v>
      </c>
      <c r="H1329" t="s">
        <v>505</v>
      </c>
      <c r="I1329" t="s">
        <v>219</v>
      </c>
      <c r="J1329" s="25">
        <v>226286</v>
      </c>
      <c r="K1329" s="26">
        <v>34970.120000000003</v>
      </c>
      <c r="L1329" s="26">
        <v>171.25</v>
      </c>
    </row>
    <row r="1330" spans="1:12" ht="16" customHeight="1">
      <c r="A1330" t="s">
        <v>226</v>
      </c>
      <c r="B1330" t="s">
        <v>4</v>
      </c>
      <c r="C1330" t="s">
        <v>58</v>
      </c>
      <c r="D1330" s="24">
        <v>46174</v>
      </c>
      <c r="E1330" t="s">
        <v>514</v>
      </c>
      <c r="F1330" t="s">
        <v>6</v>
      </c>
      <c r="G1330" t="s">
        <v>505</v>
      </c>
      <c r="H1330" t="s">
        <v>505</v>
      </c>
      <c r="I1330" t="s">
        <v>219</v>
      </c>
      <c r="J1330" s="25">
        <v>2103</v>
      </c>
      <c r="K1330" s="26">
        <v>325.72000000000003</v>
      </c>
      <c r="L1330" s="26">
        <v>3.03</v>
      </c>
    </row>
    <row r="1331" spans="1:12" ht="16" customHeight="1">
      <c r="A1331" t="s">
        <v>226</v>
      </c>
      <c r="B1331" t="s">
        <v>4</v>
      </c>
      <c r="C1331" t="s">
        <v>58</v>
      </c>
      <c r="D1331" s="24">
        <v>46174</v>
      </c>
      <c r="E1331" t="s">
        <v>515</v>
      </c>
      <c r="F1331" t="s">
        <v>6</v>
      </c>
      <c r="G1331" t="s">
        <v>505</v>
      </c>
      <c r="H1331" t="s">
        <v>505</v>
      </c>
      <c r="I1331" t="s">
        <v>219</v>
      </c>
      <c r="J1331" s="25">
        <v>4</v>
      </c>
      <c r="K1331" s="26">
        <v>0.62</v>
      </c>
      <c r="L1331" s="26">
        <v>0.01</v>
      </c>
    </row>
    <row r="1332" spans="1:12" ht="16" customHeight="1">
      <c r="A1332" t="s">
        <v>226</v>
      </c>
      <c r="B1332" t="s">
        <v>4</v>
      </c>
      <c r="C1332" t="s">
        <v>58</v>
      </c>
      <c r="D1332" s="24">
        <v>46174</v>
      </c>
      <c r="E1332" t="s">
        <v>512</v>
      </c>
      <c r="F1332" t="s">
        <v>6</v>
      </c>
      <c r="G1332" t="s">
        <v>506</v>
      </c>
      <c r="H1332" t="s">
        <v>506</v>
      </c>
      <c r="I1332" t="s">
        <v>219</v>
      </c>
      <c r="J1332" s="25">
        <v>7517</v>
      </c>
      <c r="K1332" s="26">
        <v>1182.22</v>
      </c>
      <c r="L1332" s="26">
        <v>13.31</v>
      </c>
    </row>
    <row r="1333" spans="1:12" ht="16" customHeight="1">
      <c r="A1333" t="s">
        <v>226</v>
      </c>
      <c r="B1333" t="s">
        <v>4</v>
      </c>
      <c r="C1333" t="s">
        <v>58</v>
      </c>
      <c r="D1333" s="24">
        <v>46174</v>
      </c>
      <c r="E1333" t="s">
        <v>516</v>
      </c>
      <c r="F1333" t="s">
        <v>6</v>
      </c>
      <c r="G1333" t="s">
        <v>506</v>
      </c>
      <c r="H1333" t="s">
        <v>506</v>
      </c>
      <c r="I1333" t="s">
        <v>221</v>
      </c>
      <c r="J1333" s="25">
        <v>388</v>
      </c>
      <c r="K1333" s="26">
        <v>61.1</v>
      </c>
      <c r="L1333" s="26">
        <v>1.08</v>
      </c>
    </row>
    <row r="1334" spans="1:12" ht="16" customHeight="1">
      <c r="A1334" t="s">
        <v>498</v>
      </c>
      <c r="B1334" t="s">
        <v>5</v>
      </c>
      <c r="C1334" t="s">
        <v>59</v>
      </c>
      <c r="D1334" s="24">
        <v>46204</v>
      </c>
      <c r="E1334" t="s">
        <v>500</v>
      </c>
      <c r="F1334" t="s">
        <v>6</v>
      </c>
      <c r="G1334" t="s">
        <v>505</v>
      </c>
      <c r="H1334" t="s">
        <v>505</v>
      </c>
      <c r="I1334" t="s">
        <v>212</v>
      </c>
      <c r="J1334" s="25">
        <v>121504128</v>
      </c>
      <c r="K1334" s="26">
        <v>18720769.120000001</v>
      </c>
      <c r="L1334" s="26">
        <v>35224.5</v>
      </c>
    </row>
    <row r="1335" spans="1:12" ht="16" customHeight="1">
      <c r="A1335" t="s">
        <v>498</v>
      </c>
      <c r="B1335" t="s">
        <v>5</v>
      </c>
      <c r="C1335" t="s">
        <v>59</v>
      </c>
      <c r="D1335" s="24">
        <v>46204</v>
      </c>
      <c r="E1335" t="s">
        <v>513</v>
      </c>
      <c r="F1335" t="s">
        <v>6</v>
      </c>
      <c r="G1335" t="s">
        <v>505</v>
      </c>
      <c r="H1335" t="s">
        <v>505</v>
      </c>
      <c r="I1335" t="s">
        <v>212</v>
      </c>
      <c r="J1335" s="25">
        <v>486793</v>
      </c>
      <c r="K1335" s="26">
        <v>75033.47</v>
      </c>
      <c r="L1335" s="26">
        <v>255.8</v>
      </c>
    </row>
    <row r="1336" spans="1:12" ht="16" customHeight="1">
      <c r="A1336" t="s">
        <v>498</v>
      </c>
      <c r="B1336" t="s">
        <v>5</v>
      </c>
      <c r="C1336" t="s">
        <v>59</v>
      </c>
      <c r="D1336" s="24">
        <v>46204</v>
      </c>
      <c r="E1336" t="s">
        <v>514</v>
      </c>
      <c r="F1336" t="s">
        <v>6</v>
      </c>
      <c r="G1336" t="s">
        <v>505</v>
      </c>
      <c r="H1336" t="s">
        <v>505</v>
      </c>
      <c r="I1336" t="s">
        <v>212</v>
      </c>
      <c r="J1336" s="25">
        <v>3678</v>
      </c>
      <c r="K1336" s="26">
        <v>571.84</v>
      </c>
      <c r="L1336" s="26">
        <v>5.19</v>
      </c>
    </row>
    <row r="1337" spans="1:12" ht="16" customHeight="1">
      <c r="A1337" t="s">
        <v>498</v>
      </c>
      <c r="B1337" t="s">
        <v>5</v>
      </c>
      <c r="C1337" t="s">
        <v>59</v>
      </c>
      <c r="D1337" s="24">
        <v>46204</v>
      </c>
      <c r="E1337" t="s">
        <v>515</v>
      </c>
      <c r="F1337" t="s">
        <v>6</v>
      </c>
      <c r="G1337" t="s">
        <v>505</v>
      </c>
      <c r="H1337" t="s">
        <v>505</v>
      </c>
      <c r="I1337" t="s">
        <v>212</v>
      </c>
      <c r="J1337" s="25">
        <v>11</v>
      </c>
      <c r="K1337" s="26">
        <v>1.76</v>
      </c>
      <c r="L1337" s="26">
        <v>0.01</v>
      </c>
    </row>
    <row r="1338" spans="1:12" ht="16" customHeight="1">
      <c r="A1338" t="s">
        <v>498</v>
      </c>
      <c r="B1338" t="s">
        <v>5</v>
      </c>
      <c r="C1338" t="s">
        <v>59</v>
      </c>
      <c r="D1338" s="24">
        <v>46204</v>
      </c>
      <c r="E1338" t="s">
        <v>512</v>
      </c>
      <c r="F1338" t="s">
        <v>6</v>
      </c>
      <c r="G1338" t="s">
        <v>506</v>
      </c>
      <c r="H1338" t="s">
        <v>506</v>
      </c>
      <c r="I1338" t="s">
        <v>212</v>
      </c>
      <c r="J1338" s="25">
        <v>11530</v>
      </c>
      <c r="K1338" s="26">
        <v>1796.95</v>
      </c>
      <c r="L1338" s="26">
        <v>16.579999999999998</v>
      </c>
    </row>
    <row r="1339" spans="1:12" ht="16" customHeight="1">
      <c r="A1339" t="s">
        <v>498</v>
      </c>
      <c r="B1339" t="s">
        <v>5</v>
      </c>
      <c r="C1339" t="s">
        <v>59</v>
      </c>
      <c r="D1339" s="24">
        <v>46204</v>
      </c>
      <c r="E1339" t="s">
        <v>516</v>
      </c>
      <c r="F1339" t="s">
        <v>6</v>
      </c>
      <c r="G1339" t="s">
        <v>506</v>
      </c>
      <c r="H1339" t="s">
        <v>506</v>
      </c>
      <c r="I1339" t="s">
        <v>219</v>
      </c>
      <c r="J1339" s="25">
        <v>248</v>
      </c>
      <c r="K1339" s="26">
        <v>39.200000000000003</v>
      </c>
      <c r="L1339" s="26">
        <v>0.77</v>
      </c>
    </row>
    <row r="1340" spans="1:12" ht="16" customHeight="1">
      <c r="A1340" t="s">
        <v>500</v>
      </c>
      <c r="B1340" t="s">
        <v>6</v>
      </c>
      <c r="C1340" t="s">
        <v>59</v>
      </c>
      <c r="D1340" s="24">
        <v>46204</v>
      </c>
      <c r="E1340" t="s">
        <v>500</v>
      </c>
      <c r="F1340" t="s">
        <v>6</v>
      </c>
      <c r="G1340" t="s">
        <v>505</v>
      </c>
      <c r="H1340" t="s">
        <v>505</v>
      </c>
      <c r="I1340" t="s">
        <v>212</v>
      </c>
      <c r="J1340" s="25">
        <v>482093606</v>
      </c>
      <c r="K1340" s="26">
        <v>74569763.620000005</v>
      </c>
      <c r="L1340" s="26">
        <v>53544.23</v>
      </c>
    </row>
    <row r="1341" spans="1:12" ht="16" customHeight="1">
      <c r="A1341" t="s">
        <v>500</v>
      </c>
      <c r="B1341" t="s">
        <v>6</v>
      </c>
      <c r="C1341" t="s">
        <v>59</v>
      </c>
      <c r="D1341" s="24">
        <v>46204</v>
      </c>
      <c r="E1341" t="s">
        <v>513</v>
      </c>
      <c r="F1341" t="s">
        <v>6</v>
      </c>
      <c r="G1341" t="s">
        <v>505</v>
      </c>
      <c r="H1341" t="s">
        <v>505</v>
      </c>
      <c r="I1341" t="s">
        <v>212</v>
      </c>
      <c r="J1341" s="25">
        <v>2051872</v>
      </c>
      <c r="K1341" s="26">
        <v>318168.28000000003</v>
      </c>
      <c r="L1341" s="26">
        <v>1112.4000000000001</v>
      </c>
    </row>
    <row r="1342" spans="1:12" ht="16" customHeight="1">
      <c r="A1342" t="s">
        <v>500</v>
      </c>
      <c r="B1342" t="s">
        <v>6</v>
      </c>
      <c r="C1342" t="s">
        <v>59</v>
      </c>
      <c r="D1342" s="24">
        <v>46204</v>
      </c>
      <c r="E1342" t="s">
        <v>514</v>
      </c>
      <c r="F1342" t="s">
        <v>6</v>
      </c>
      <c r="G1342" t="s">
        <v>505</v>
      </c>
      <c r="H1342" t="s">
        <v>505</v>
      </c>
      <c r="I1342" t="s">
        <v>212</v>
      </c>
      <c r="J1342" s="25">
        <v>10495</v>
      </c>
      <c r="K1342" s="26">
        <v>1624.92</v>
      </c>
      <c r="L1342" s="26">
        <v>11.76</v>
      </c>
    </row>
    <row r="1343" spans="1:12" ht="16" customHeight="1">
      <c r="A1343" t="s">
        <v>500</v>
      </c>
      <c r="B1343" t="s">
        <v>6</v>
      </c>
      <c r="C1343" t="s">
        <v>59</v>
      </c>
      <c r="D1343" s="24">
        <v>46204</v>
      </c>
      <c r="E1343" t="s">
        <v>515</v>
      </c>
      <c r="F1343" t="s">
        <v>6</v>
      </c>
      <c r="G1343" t="s">
        <v>505</v>
      </c>
      <c r="H1343" t="s">
        <v>505</v>
      </c>
      <c r="I1343" t="s">
        <v>212</v>
      </c>
      <c r="J1343" s="25">
        <v>5</v>
      </c>
      <c r="K1343" s="26">
        <v>0.78</v>
      </c>
      <c r="L1343" s="26">
        <v>0.01</v>
      </c>
    </row>
    <row r="1344" spans="1:12" ht="16" customHeight="1">
      <c r="A1344" t="s">
        <v>500</v>
      </c>
      <c r="B1344" t="s">
        <v>6</v>
      </c>
      <c r="C1344" t="s">
        <v>59</v>
      </c>
      <c r="D1344" s="24">
        <v>46204</v>
      </c>
      <c r="E1344" t="s">
        <v>512</v>
      </c>
      <c r="F1344" t="s">
        <v>6</v>
      </c>
      <c r="G1344" t="s">
        <v>506</v>
      </c>
      <c r="H1344" t="s">
        <v>506</v>
      </c>
      <c r="I1344" t="s">
        <v>212</v>
      </c>
      <c r="J1344" s="25">
        <v>17662</v>
      </c>
      <c r="K1344" s="26">
        <v>2769.99</v>
      </c>
      <c r="L1344" s="26">
        <v>24.93</v>
      </c>
    </row>
    <row r="1345" spans="1:12" ht="16" customHeight="1">
      <c r="A1345" t="s">
        <v>500</v>
      </c>
      <c r="B1345" t="s">
        <v>6</v>
      </c>
      <c r="C1345" t="s">
        <v>59</v>
      </c>
      <c r="D1345" s="24">
        <v>46204</v>
      </c>
      <c r="E1345" t="s">
        <v>516</v>
      </c>
      <c r="F1345" t="s">
        <v>6</v>
      </c>
      <c r="G1345" t="s">
        <v>506</v>
      </c>
      <c r="H1345" t="s">
        <v>506</v>
      </c>
      <c r="I1345" t="s">
        <v>219</v>
      </c>
      <c r="J1345" s="25">
        <v>346</v>
      </c>
      <c r="K1345" s="26">
        <v>54.92</v>
      </c>
      <c r="L1345" s="26">
        <v>0.93</v>
      </c>
    </row>
    <row r="1346" spans="1:12" ht="16" customHeight="1">
      <c r="A1346" t="s">
        <v>501</v>
      </c>
      <c r="B1346" t="s">
        <v>7</v>
      </c>
      <c r="C1346" t="s">
        <v>59</v>
      </c>
      <c r="D1346" s="24">
        <v>46204</v>
      </c>
      <c r="E1346" t="s">
        <v>513</v>
      </c>
      <c r="F1346" t="s">
        <v>6</v>
      </c>
      <c r="G1346" t="s">
        <v>505</v>
      </c>
      <c r="H1346" t="s">
        <v>505</v>
      </c>
      <c r="I1346" t="s">
        <v>212</v>
      </c>
      <c r="J1346" s="25">
        <v>16764340</v>
      </c>
      <c r="K1346" s="26">
        <v>2619541.9700000002</v>
      </c>
      <c r="L1346" s="26">
        <v>9137.23</v>
      </c>
    </row>
    <row r="1347" spans="1:12" ht="16" customHeight="1">
      <c r="A1347" t="s">
        <v>501</v>
      </c>
      <c r="B1347" t="s">
        <v>7</v>
      </c>
      <c r="C1347" t="s">
        <v>59</v>
      </c>
      <c r="D1347" s="24">
        <v>46204</v>
      </c>
      <c r="E1347" t="s">
        <v>514</v>
      </c>
      <c r="F1347" t="s">
        <v>6</v>
      </c>
      <c r="G1347" t="s">
        <v>505</v>
      </c>
      <c r="H1347" t="s">
        <v>505</v>
      </c>
      <c r="I1347" t="s">
        <v>212</v>
      </c>
      <c r="J1347" s="25">
        <v>49154</v>
      </c>
      <c r="K1347" s="26">
        <v>7713.54</v>
      </c>
      <c r="L1347" s="26">
        <v>44.98</v>
      </c>
    </row>
    <row r="1348" spans="1:12" ht="16" customHeight="1">
      <c r="A1348" t="s">
        <v>501</v>
      </c>
      <c r="B1348" t="s">
        <v>7</v>
      </c>
      <c r="C1348" t="s">
        <v>59</v>
      </c>
      <c r="D1348" s="24">
        <v>46204</v>
      </c>
      <c r="E1348" t="s">
        <v>515</v>
      </c>
      <c r="F1348" t="s">
        <v>6</v>
      </c>
      <c r="G1348" t="s">
        <v>505</v>
      </c>
      <c r="H1348" t="s">
        <v>505</v>
      </c>
      <c r="I1348" t="s">
        <v>212</v>
      </c>
      <c r="J1348" s="25">
        <v>1000</v>
      </c>
      <c r="K1348" s="26">
        <v>157.96</v>
      </c>
      <c r="L1348" s="26">
        <v>1.54</v>
      </c>
    </row>
    <row r="1349" spans="1:12" ht="16" customHeight="1">
      <c r="A1349" t="s">
        <v>501</v>
      </c>
      <c r="B1349" t="s">
        <v>7</v>
      </c>
      <c r="C1349" t="s">
        <v>59</v>
      </c>
      <c r="D1349" s="24">
        <v>46204</v>
      </c>
      <c r="E1349" t="s">
        <v>512</v>
      </c>
      <c r="F1349" t="s">
        <v>6</v>
      </c>
      <c r="G1349" t="s">
        <v>506</v>
      </c>
      <c r="H1349" t="s">
        <v>506</v>
      </c>
      <c r="I1349" t="s">
        <v>212</v>
      </c>
      <c r="J1349" s="25">
        <v>17546</v>
      </c>
      <c r="K1349" s="26">
        <v>2746.48</v>
      </c>
      <c r="L1349" s="26">
        <v>21.19</v>
      </c>
    </row>
    <row r="1350" spans="1:12" ht="16" customHeight="1">
      <c r="A1350" t="s">
        <v>501</v>
      </c>
      <c r="B1350" t="s">
        <v>7</v>
      </c>
      <c r="C1350" t="s">
        <v>59</v>
      </c>
      <c r="D1350" s="24">
        <v>46204</v>
      </c>
      <c r="E1350" t="s">
        <v>516</v>
      </c>
      <c r="F1350" t="s">
        <v>6</v>
      </c>
      <c r="G1350" t="s">
        <v>506</v>
      </c>
      <c r="H1350" t="s">
        <v>506</v>
      </c>
      <c r="I1350" t="s">
        <v>219</v>
      </c>
      <c r="J1350" s="25">
        <v>740</v>
      </c>
      <c r="K1350" s="26">
        <v>118.6</v>
      </c>
      <c r="L1350" s="26">
        <v>2.17</v>
      </c>
    </row>
    <row r="1351" spans="1:12" ht="16" customHeight="1">
      <c r="A1351" t="s">
        <v>502</v>
      </c>
      <c r="B1351" t="s">
        <v>3</v>
      </c>
      <c r="C1351" t="s">
        <v>59</v>
      </c>
      <c r="D1351" s="24">
        <v>46204</v>
      </c>
      <c r="E1351" t="s">
        <v>513</v>
      </c>
      <c r="F1351" t="s">
        <v>6</v>
      </c>
      <c r="G1351" t="s">
        <v>505</v>
      </c>
      <c r="H1351" t="s">
        <v>505</v>
      </c>
      <c r="I1351" t="s">
        <v>212</v>
      </c>
      <c r="J1351" s="25">
        <v>20047833</v>
      </c>
      <c r="K1351" s="26">
        <v>3137595.28</v>
      </c>
      <c r="L1351" s="26">
        <v>8615.92</v>
      </c>
    </row>
    <row r="1352" spans="1:12" ht="16" customHeight="1">
      <c r="A1352" t="s">
        <v>502</v>
      </c>
      <c r="B1352" t="s">
        <v>3</v>
      </c>
      <c r="C1352" t="s">
        <v>59</v>
      </c>
      <c r="D1352" s="24">
        <v>46204</v>
      </c>
      <c r="E1352" t="s">
        <v>514</v>
      </c>
      <c r="F1352" t="s">
        <v>6</v>
      </c>
      <c r="G1352" t="s">
        <v>505</v>
      </c>
      <c r="H1352" t="s">
        <v>505</v>
      </c>
      <c r="I1352" t="s">
        <v>212</v>
      </c>
      <c r="J1352" s="25">
        <v>98823</v>
      </c>
      <c r="K1352" s="26">
        <v>15508.26</v>
      </c>
      <c r="L1352" s="26">
        <v>73.180000000000007</v>
      </c>
    </row>
    <row r="1353" spans="1:12" ht="16" customHeight="1">
      <c r="A1353" t="s">
        <v>502</v>
      </c>
      <c r="B1353" t="s">
        <v>3</v>
      </c>
      <c r="C1353" t="s">
        <v>59</v>
      </c>
      <c r="D1353" s="24">
        <v>46204</v>
      </c>
      <c r="E1353" t="s">
        <v>515</v>
      </c>
      <c r="F1353" t="s">
        <v>6</v>
      </c>
      <c r="G1353" t="s">
        <v>505</v>
      </c>
      <c r="H1353" t="s">
        <v>505</v>
      </c>
      <c r="I1353" t="s">
        <v>212</v>
      </c>
      <c r="J1353" s="25">
        <v>819</v>
      </c>
      <c r="K1353" s="26">
        <v>129.63</v>
      </c>
      <c r="L1353" s="26">
        <v>1.17</v>
      </c>
    </row>
    <row r="1354" spans="1:12" ht="16" customHeight="1">
      <c r="A1354" t="s">
        <v>502</v>
      </c>
      <c r="B1354" t="s">
        <v>3</v>
      </c>
      <c r="C1354" t="s">
        <v>59</v>
      </c>
      <c r="D1354" s="24">
        <v>46204</v>
      </c>
      <c r="E1354" t="s">
        <v>512</v>
      </c>
      <c r="F1354" t="s">
        <v>6</v>
      </c>
      <c r="G1354" t="s">
        <v>506</v>
      </c>
      <c r="H1354" t="s">
        <v>506</v>
      </c>
      <c r="I1354" t="s">
        <v>212</v>
      </c>
      <c r="J1354" s="25">
        <v>13617</v>
      </c>
      <c r="K1354" s="26">
        <v>2139.33</v>
      </c>
      <c r="L1354" s="26">
        <v>13.58</v>
      </c>
    </row>
    <row r="1355" spans="1:12" ht="16" customHeight="1">
      <c r="A1355" t="s">
        <v>502</v>
      </c>
      <c r="B1355" t="s">
        <v>3</v>
      </c>
      <c r="C1355" t="s">
        <v>59</v>
      </c>
      <c r="D1355" s="24">
        <v>46204</v>
      </c>
      <c r="E1355" t="s">
        <v>517</v>
      </c>
      <c r="F1355" t="s">
        <v>6</v>
      </c>
      <c r="G1355" t="s">
        <v>505</v>
      </c>
      <c r="H1355" t="s">
        <v>505</v>
      </c>
      <c r="I1355" t="s">
        <v>219</v>
      </c>
      <c r="J1355" s="25">
        <v>1</v>
      </c>
      <c r="K1355" s="26">
        <v>0.16</v>
      </c>
      <c r="L1355" s="26">
        <v>0</v>
      </c>
    </row>
    <row r="1356" spans="1:12" ht="16" customHeight="1">
      <c r="A1356" t="s">
        <v>502</v>
      </c>
      <c r="B1356" t="s">
        <v>3</v>
      </c>
      <c r="C1356" t="s">
        <v>59</v>
      </c>
      <c r="D1356" s="24">
        <v>46204</v>
      </c>
      <c r="E1356" t="s">
        <v>516</v>
      </c>
      <c r="F1356" t="s">
        <v>6</v>
      </c>
      <c r="G1356" t="s">
        <v>506</v>
      </c>
      <c r="H1356" t="s">
        <v>506</v>
      </c>
      <c r="I1356" t="s">
        <v>219</v>
      </c>
      <c r="J1356" s="25">
        <v>220</v>
      </c>
      <c r="K1356" s="26">
        <v>35.22</v>
      </c>
      <c r="L1356" s="26">
        <v>0.52</v>
      </c>
    </row>
    <row r="1357" spans="1:12" ht="16" customHeight="1">
      <c r="A1357" t="s">
        <v>480</v>
      </c>
      <c r="B1357" t="s">
        <v>4</v>
      </c>
      <c r="C1357" t="s">
        <v>59</v>
      </c>
      <c r="D1357" s="24">
        <v>46204</v>
      </c>
      <c r="E1357" t="s">
        <v>513</v>
      </c>
      <c r="F1357" t="s">
        <v>6</v>
      </c>
      <c r="G1357" t="s">
        <v>505</v>
      </c>
      <c r="H1357" t="s">
        <v>505</v>
      </c>
      <c r="I1357" t="s">
        <v>212</v>
      </c>
      <c r="J1357" s="25">
        <v>29473822</v>
      </c>
      <c r="K1357" s="26">
        <v>4623714.96</v>
      </c>
      <c r="L1357" s="26">
        <v>9957.7800000000007</v>
      </c>
    </row>
    <row r="1358" spans="1:12" ht="16" customHeight="1">
      <c r="A1358" t="s">
        <v>480</v>
      </c>
      <c r="B1358" t="s">
        <v>4</v>
      </c>
      <c r="C1358" t="s">
        <v>59</v>
      </c>
      <c r="D1358" s="24">
        <v>46204</v>
      </c>
      <c r="E1358" t="s">
        <v>514</v>
      </c>
      <c r="F1358" t="s">
        <v>6</v>
      </c>
      <c r="G1358" t="s">
        <v>505</v>
      </c>
      <c r="H1358" t="s">
        <v>505</v>
      </c>
      <c r="I1358" t="s">
        <v>212</v>
      </c>
      <c r="J1358" s="25">
        <v>266466</v>
      </c>
      <c r="K1358" s="26">
        <v>41856.06</v>
      </c>
      <c r="L1358" s="26">
        <v>175.91</v>
      </c>
    </row>
    <row r="1359" spans="1:12" ht="16" customHeight="1">
      <c r="A1359" t="s">
        <v>480</v>
      </c>
      <c r="B1359" t="s">
        <v>4</v>
      </c>
      <c r="C1359" t="s">
        <v>59</v>
      </c>
      <c r="D1359" s="24">
        <v>46204</v>
      </c>
      <c r="E1359" t="s">
        <v>515</v>
      </c>
      <c r="F1359" t="s">
        <v>6</v>
      </c>
      <c r="G1359" t="s">
        <v>505</v>
      </c>
      <c r="H1359" t="s">
        <v>505</v>
      </c>
      <c r="I1359" t="s">
        <v>212</v>
      </c>
      <c r="J1359" s="25">
        <v>2466</v>
      </c>
      <c r="K1359" s="26">
        <v>389.54</v>
      </c>
      <c r="L1359" s="26">
        <v>2.97</v>
      </c>
    </row>
    <row r="1360" spans="1:12" ht="16" customHeight="1">
      <c r="A1360" t="s">
        <v>480</v>
      </c>
      <c r="B1360" t="s">
        <v>4</v>
      </c>
      <c r="C1360" t="s">
        <v>59</v>
      </c>
      <c r="D1360" s="24">
        <v>46204</v>
      </c>
      <c r="E1360" t="s">
        <v>512</v>
      </c>
      <c r="F1360" t="s">
        <v>6</v>
      </c>
      <c r="G1360" t="s">
        <v>506</v>
      </c>
      <c r="H1360" t="s">
        <v>506</v>
      </c>
      <c r="I1360" t="s">
        <v>212</v>
      </c>
      <c r="J1360" s="25">
        <v>15854</v>
      </c>
      <c r="K1360" s="26">
        <v>2498.25</v>
      </c>
      <c r="L1360" s="26">
        <v>16.510000000000002</v>
      </c>
    </row>
    <row r="1361" spans="1:12" ht="16" customHeight="1">
      <c r="A1361" t="s">
        <v>480</v>
      </c>
      <c r="B1361" t="s">
        <v>4</v>
      </c>
      <c r="C1361" t="s">
        <v>59</v>
      </c>
      <c r="D1361" s="24">
        <v>46204</v>
      </c>
      <c r="E1361" t="s">
        <v>517</v>
      </c>
      <c r="F1361" t="s">
        <v>6</v>
      </c>
      <c r="G1361" t="s">
        <v>505</v>
      </c>
      <c r="H1361" t="s">
        <v>505</v>
      </c>
      <c r="I1361" t="s">
        <v>219</v>
      </c>
      <c r="J1361" s="25">
        <v>0</v>
      </c>
      <c r="K1361" s="26">
        <v>0</v>
      </c>
      <c r="L1361" s="26">
        <v>0</v>
      </c>
    </row>
    <row r="1362" spans="1:12" ht="16" customHeight="1">
      <c r="A1362" t="s">
        <v>480</v>
      </c>
      <c r="B1362" t="s">
        <v>4</v>
      </c>
      <c r="C1362" t="s">
        <v>59</v>
      </c>
      <c r="D1362" s="24">
        <v>46204</v>
      </c>
      <c r="E1362" t="s">
        <v>516</v>
      </c>
      <c r="F1362" t="s">
        <v>6</v>
      </c>
      <c r="G1362" t="s">
        <v>506</v>
      </c>
      <c r="H1362" t="s">
        <v>506</v>
      </c>
      <c r="I1362" t="s">
        <v>219</v>
      </c>
      <c r="J1362" s="25">
        <v>184</v>
      </c>
      <c r="K1362" s="26">
        <v>29.5</v>
      </c>
      <c r="L1362" s="26">
        <v>0.46</v>
      </c>
    </row>
    <row r="1363" spans="1:12" ht="16">
      <c r="A1363" t="s">
        <v>503</v>
      </c>
      <c r="B1363" t="s">
        <v>5</v>
      </c>
      <c r="C1363" t="s">
        <v>60</v>
      </c>
      <c r="D1363" s="24">
        <v>46204</v>
      </c>
      <c r="E1363" t="s">
        <v>513</v>
      </c>
      <c r="F1363" t="s">
        <v>6</v>
      </c>
      <c r="G1363" t="s">
        <v>505</v>
      </c>
      <c r="H1363" t="s">
        <v>505</v>
      </c>
      <c r="I1363" t="s">
        <v>212</v>
      </c>
      <c r="J1363" s="25">
        <v>171595314</v>
      </c>
      <c r="K1363" s="26">
        <v>26538534.510000002</v>
      </c>
      <c r="L1363" s="26">
        <v>49206.73</v>
      </c>
    </row>
    <row r="1364" spans="1:12" ht="16">
      <c r="A1364" t="s">
        <v>503</v>
      </c>
      <c r="B1364" t="s">
        <v>5</v>
      </c>
      <c r="C1364" t="s">
        <v>60</v>
      </c>
      <c r="D1364" s="24">
        <v>46204</v>
      </c>
      <c r="E1364" t="s">
        <v>514</v>
      </c>
      <c r="F1364" t="s">
        <v>6</v>
      </c>
      <c r="G1364" t="s">
        <v>505</v>
      </c>
      <c r="H1364" t="s">
        <v>505</v>
      </c>
      <c r="I1364" t="s">
        <v>212</v>
      </c>
      <c r="J1364" s="25">
        <v>1020707</v>
      </c>
      <c r="K1364" s="26">
        <v>157996.21</v>
      </c>
      <c r="L1364" s="26">
        <v>656.77</v>
      </c>
    </row>
    <row r="1365" spans="1:12" ht="16">
      <c r="A1365" t="s">
        <v>503</v>
      </c>
      <c r="B1365" t="s">
        <v>5</v>
      </c>
      <c r="C1365" t="s">
        <v>60</v>
      </c>
      <c r="D1365" s="24">
        <v>46204</v>
      </c>
      <c r="E1365" t="s">
        <v>515</v>
      </c>
      <c r="F1365" t="s">
        <v>6</v>
      </c>
      <c r="G1365" t="s">
        <v>505</v>
      </c>
      <c r="H1365" t="s">
        <v>505</v>
      </c>
      <c r="I1365" t="s">
        <v>212</v>
      </c>
      <c r="J1365" s="25">
        <v>7474</v>
      </c>
      <c r="K1365" s="26">
        <v>1168.83</v>
      </c>
      <c r="L1365" s="26">
        <v>9.89</v>
      </c>
    </row>
    <row r="1366" spans="1:12" ht="16">
      <c r="A1366" t="s">
        <v>503</v>
      </c>
      <c r="B1366" t="s">
        <v>5</v>
      </c>
      <c r="C1366" t="s">
        <v>60</v>
      </c>
      <c r="D1366" s="24">
        <v>46204</v>
      </c>
      <c r="E1366" t="s">
        <v>512</v>
      </c>
      <c r="F1366" t="s">
        <v>6</v>
      </c>
      <c r="G1366" t="s">
        <v>506</v>
      </c>
      <c r="H1366" t="s">
        <v>506</v>
      </c>
      <c r="I1366" t="s">
        <v>212</v>
      </c>
      <c r="J1366" s="25">
        <v>47247</v>
      </c>
      <c r="K1366" s="26">
        <v>7348.87</v>
      </c>
      <c r="L1366" s="26">
        <v>53.74</v>
      </c>
    </row>
    <row r="1367" spans="1:12" ht="16">
      <c r="A1367" t="s">
        <v>503</v>
      </c>
      <c r="B1367" t="s">
        <v>5</v>
      </c>
      <c r="C1367" t="s">
        <v>60</v>
      </c>
      <c r="D1367" s="24">
        <v>46204</v>
      </c>
      <c r="E1367" t="s">
        <v>517</v>
      </c>
      <c r="F1367" t="s">
        <v>6</v>
      </c>
      <c r="G1367" t="s">
        <v>505</v>
      </c>
      <c r="H1367" t="s">
        <v>505</v>
      </c>
      <c r="I1367" t="s">
        <v>219</v>
      </c>
      <c r="J1367" s="25">
        <v>2</v>
      </c>
      <c r="K1367" s="26">
        <v>0.32</v>
      </c>
      <c r="L1367" s="26">
        <v>0</v>
      </c>
    </row>
    <row r="1368" spans="1:12" ht="16">
      <c r="A1368" t="s">
        <v>503</v>
      </c>
      <c r="B1368" t="s">
        <v>5</v>
      </c>
      <c r="C1368" t="s">
        <v>60</v>
      </c>
      <c r="D1368" s="24">
        <v>46204</v>
      </c>
      <c r="E1368" t="s">
        <v>516</v>
      </c>
      <c r="F1368" t="s">
        <v>6</v>
      </c>
      <c r="G1368" t="s">
        <v>506</v>
      </c>
      <c r="H1368" t="s">
        <v>506</v>
      </c>
      <c r="I1368" t="s">
        <v>219</v>
      </c>
      <c r="J1368" s="25">
        <v>484</v>
      </c>
      <c r="K1368" s="26">
        <v>76.59</v>
      </c>
      <c r="L1368" s="26">
        <v>1.3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390"/>
  <sheetViews>
    <sheetView workbookViewId="0">
      <pane ySplit="1" topLeftCell="A362" activePane="bottomLeft" state="frozen"/>
      <selection pane="bottomLeft"/>
    </sheetView>
  </sheetViews>
  <sheetFormatPr baseColWidth="10" defaultColWidth="8.83203125" defaultRowHeight="15"/>
  <cols>
    <col min="1" max="1" width="12" style="4" customWidth="1"/>
    <col min="2" max="2" width="11" style="4" customWidth="1"/>
    <col min="3" max="3" width="18.83203125" style="4" customWidth="1"/>
    <col min="4" max="4" width="14" style="4" customWidth="1"/>
    <col min="5" max="5" width="12" style="4" customWidth="1"/>
    <col min="6" max="6" width="11" style="4" customWidth="1"/>
    <col min="7" max="7" width="20" style="4" customWidth="1"/>
    <col min="8" max="8" width="20.83203125" style="4" customWidth="1"/>
    <col min="9" max="9" width="18" style="4" customWidth="1"/>
    <col min="10" max="10" width="20" style="4" customWidth="1"/>
    <col min="11" max="12" width="26" style="4" customWidth="1"/>
    <col min="13" max="30" width="8.83203125" style="4" customWidth="1"/>
    <col min="31" max="16384" width="8.83203125" style="4"/>
  </cols>
  <sheetData>
    <row r="1" spans="1:12" ht="16" customHeight="1">
      <c r="A1" s="35" t="s">
        <v>200</v>
      </c>
      <c r="B1" s="35" t="s">
        <v>201</v>
      </c>
      <c r="C1" s="35" t="s">
        <v>2</v>
      </c>
      <c r="D1" s="35" t="s">
        <v>192</v>
      </c>
      <c r="E1" s="35" t="s">
        <v>202</v>
      </c>
      <c r="F1" s="35" t="s">
        <v>203</v>
      </c>
      <c r="G1" s="35" t="s">
        <v>204</v>
      </c>
      <c r="H1" s="35" t="s">
        <v>205</v>
      </c>
      <c r="I1" s="35" t="s">
        <v>206</v>
      </c>
      <c r="J1" s="35" t="s">
        <v>207</v>
      </c>
      <c r="K1" s="35" t="s">
        <v>208</v>
      </c>
      <c r="L1" s="35" t="s">
        <v>157</v>
      </c>
    </row>
    <row r="2" spans="1:12" ht="16" customHeight="1">
      <c r="A2" t="s">
        <v>209</v>
      </c>
      <c r="B2" t="s">
        <v>3</v>
      </c>
      <c r="C2" t="s">
        <v>10</v>
      </c>
      <c r="D2" s="24">
        <v>45901</v>
      </c>
      <c r="E2" t="s">
        <v>263</v>
      </c>
      <c r="F2" t="s">
        <v>6</v>
      </c>
      <c r="G2" t="s">
        <v>506</v>
      </c>
      <c r="H2" t="s">
        <v>506</v>
      </c>
      <c r="I2" t="s">
        <v>212</v>
      </c>
      <c r="J2" s="25">
        <v>1824</v>
      </c>
      <c r="K2" s="26">
        <v>335.03</v>
      </c>
      <c r="L2" s="26">
        <v>3.25</v>
      </c>
    </row>
    <row r="3" spans="1:12" ht="16" customHeight="1">
      <c r="A3" t="s">
        <v>209</v>
      </c>
      <c r="B3" t="s">
        <v>3</v>
      </c>
      <c r="C3" t="s">
        <v>10</v>
      </c>
      <c r="D3" s="24">
        <v>45901</v>
      </c>
      <c r="E3" t="s">
        <v>297</v>
      </c>
      <c r="F3" t="s">
        <v>6</v>
      </c>
      <c r="G3" t="s">
        <v>506</v>
      </c>
      <c r="H3" t="s">
        <v>506</v>
      </c>
      <c r="I3" t="s">
        <v>219</v>
      </c>
      <c r="J3" s="25">
        <v>526</v>
      </c>
      <c r="K3" s="26">
        <v>98.23</v>
      </c>
      <c r="L3" s="26">
        <v>2.97</v>
      </c>
    </row>
    <row r="4" spans="1:12" ht="16" customHeight="1">
      <c r="A4" t="s">
        <v>209</v>
      </c>
      <c r="B4" t="s">
        <v>3</v>
      </c>
      <c r="C4" t="s">
        <v>10</v>
      </c>
      <c r="D4" s="24">
        <v>45901</v>
      </c>
      <c r="E4" t="s">
        <v>327</v>
      </c>
      <c r="F4" t="s">
        <v>6</v>
      </c>
      <c r="G4" t="s">
        <v>506</v>
      </c>
      <c r="H4" t="s">
        <v>506</v>
      </c>
      <c r="I4" t="s">
        <v>221</v>
      </c>
      <c r="J4" s="25">
        <v>3</v>
      </c>
      <c r="K4" s="26">
        <v>0.56999999999999995</v>
      </c>
      <c r="L4" s="26">
        <v>0.01</v>
      </c>
    </row>
    <row r="5" spans="1:12" ht="16" customHeight="1">
      <c r="A5" t="s">
        <v>210</v>
      </c>
      <c r="B5" t="s">
        <v>4</v>
      </c>
      <c r="C5" t="s">
        <v>10</v>
      </c>
      <c r="D5" s="24">
        <v>45901</v>
      </c>
      <c r="E5" t="s">
        <v>263</v>
      </c>
      <c r="F5" t="s">
        <v>6</v>
      </c>
      <c r="G5" t="s">
        <v>506</v>
      </c>
      <c r="H5" t="s">
        <v>506</v>
      </c>
      <c r="I5" t="s">
        <v>212</v>
      </c>
      <c r="J5" s="25">
        <v>2217</v>
      </c>
      <c r="K5" s="26">
        <v>407.12</v>
      </c>
      <c r="L5" s="26">
        <v>3.3</v>
      </c>
    </row>
    <row r="6" spans="1:12" ht="16" customHeight="1">
      <c r="A6" t="s">
        <v>210</v>
      </c>
      <c r="B6" t="s">
        <v>4</v>
      </c>
      <c r="C6" t="s">
        <v>10</v>
      </c>
      <c r="D6" s="24">
        <v>45901</v>
      </c>
      <c r="E6" t="s">
        <v>297</v>
      </c>
      <c r="F6" t="s">
        <v>6</v>
      </c>
      <c r="G6" t="s">
        <v>506</v>
      </c>
      <c r="H6" t="s">
        <v>506</v>
      </c>
      <c r="I6" t="s">
        <v>219</v>
      </c>
      <c r="J6" s="25">
        <v>350</v>
      </c>
      <c r="K6" s="26">
        <v>64.959999999999994</v>
      </c>
      <c r="L6" s="26">
        <v>1.58</v>
      </c>
    </row>
    <row r="7" spans="1:12" ht="16" customHeight="1">
      <c r="A7" t="s">
        <v>245</v>
      </c>
      <c r="B7" t="s">
        <v>5</v>
      </c>
      <c r="C7" t="s">
        <v>10</v>
      </c>
      <c r="D7" s="24">
        <v>45901</v>
      </c>
      <c r="E7" t="s">
        <v>263</v>
      </c>
      <c r="F7" t="s">
        <v>6</v>
      </c>
      <c r="G7" t="s">
        <v>506</v>
      </c>
      <c r="H7" t="s">
        <v>506</v>
      </c>
      <c r="I7" t="s">
        <v>212</v>
      </c>
      <c r="J7" s="25">
        <v>2547</v>
      </c>
      <c r="K7" s="26">
        <v>467.7</v>
      </c>
      <c r="L7" s="26">
        <v>3.54</v>
      </c>
    </row>
    <row r="8" spans="1:12" ht="16" customHeight="1">
      <c r="A8" t="s">
        <v>245</v>
      </c>
      <c r="B8" t="s">
        <v>5</v>
      </c>
      <c r="C8" t="s">
        <v>10</v>
      </c>
      <c r="D8" s="24">
        <v>45901</v>
      </c>
      <c r="E8" t="s">
        <v>297</v>
      </c>
      <c r="F8" t="s">
        <v>6</v>
      </c>
      <c r="G8" t="s">
        <v>506</v>
      </c>
      <c r="H8" t="s">
        <v>506</v>
      </c>
      <c r="I8" t="s">
        <v>219</v>
      </c>
      <c r="J8" s="25">
        <v>433</v>
      </c>
      <c r="K8" s="26">
        <v>80.33</v>
      </c>
      <c r="L8" s="26">
        <v>1.76</v>
      </c>
    </row>
    <row r="9" spans="1:12" ht="16" customHeight="1">
      <c r="A9" t="s">
        <v>247</v>
      </c>
      <c r="B9" t="s">
        <v>6</v>
      </c>
      <c r="C9" t="s">
        <v>10</v>
      </c>
      <c r="D9" s="24">
        <v>45901</v>
      </c>
      <c r="E9" t="s">
        <v>263</v>
      </c>
      <c r="F9" t="s">
        <v>6</v>
      </c>
      <c r="G9" t="s">
        <v>506</v>
      </c>
      <c r="H9" t="s">
        <v>506</v>
      </c>
      <c r="I9" t="s">
        <v>212</v>
      </c>
      <c r="J9" s="25">
        <v>2107</v>
      </c>
      <c r="K9" s="26">
        <v>387</v>
      </c>
      <c r="L9" s="26">
        <v>2.41</v>
      </c>
    </row>
    <row r="10" spans="1:12" ht="16" customHeight="1">
      <c r="A10" t="s">
        <v>247</v>
      </c>
      <c r="B10" t="s">
        <v>6</v>
      </c>
      <c r="C10" t="s">
        <v>10</v>
      </c>
      <c r="D10" s="24">
        <v>45901</v>
      </c>
      <c r="E10" t="s">
        <v>297</v>
      </c>
      <c r="F10" t="s">
        <v>6</v>
      </c>
      <c r="G10" t="s">
        <v>506</v>
      </c>
      <c r="H10" t="s">
        <v>506</v>
      </c>
      <c r="I10" t="s">
        <v>219</v>
      </c>
      <c r="J10" s="25">
        <v>326</v>
      </c>
      <c r="K10" s="26">
        <v>60.25</v>
      </c>
      <c r="L10" s="26">
        <v>2.09</v>
      </c>
    </row>
    <row r="11" spans="1:12" ht="16" customHeight="1">
      <c r="A11" t="s">
        <v>248</v>
      </c>
      <c r="B11" t="s">
        <v>7</v>
      </c>
      <c r="C11" t="s">
        <v>10</v>
      </c>
      <c r="D11" s="24">
        <v>45901</v>
      </c>
      <c r="E11" t="s">
        <v>263</v>
      </c>
      <c r="F11" t="s">
        <v>6</v>
      </c>
      <c r="G11" t="s">
        <v>506</v>
      </c>
      <c r="H11" t="s">
        <v>506</v>
      </c>
      <c r="I11" t="s">
        <v>212</v>
      </c>
      <c r="J11" s="25">
        <v>3052</v>
      </c>
      <c r="K11" s="26">
        <v>554.54999999999995</v>
      </c>
      <c r="L11" s="26">
        <v>2.5</v>
      </c>
    </row>
    <row r="12" spans="1:12" ht="16" customHeight="1">
      <c r="A12" t="s">
        <v>248</v>
      </c>
      <c r="B12" t="s">
        <v>7</v>
      </c>
      <c r="C12" t="s">
        <v>10</v>
      </c>
      <c r="D12" s="24">
        <v>45901</v>
      </c>
      <c r="E12" t="s">
        <v>297</v>
      </c>
      <c r="F12" t="s">
        <v>6</v>
      </c>
      <c r="G12" t="s">
        <v>506</v>
      </c>
      <c r="H12" t="s">
        <v>506</v>
      </c>
      <c r="I12" t="s">
        <v>219</v>
      </c>
      <c r="J12" s="25">
        <v>147</v>
      </c>
      <c r="K12" s="26">
        <v>27.55</v>
      </c>
      <c r="L12" s="26">
        <v>0.43</v>
      </c>
    </row>
    <row r="13" spans="1:12" ht="16" customHeight="1">
      <c r="A13" t="s">
        <v>249</v>
      </c>
      <c r="B13" t="s">
        <v>3</v>
      </c>
      <c r="C13" t="s">
        <v>11</v>
      </c>
      <c r="D13" s="24">
        <v>45901</v>
      </c>
      <c r="E13" t="s">
        <v>263</v>
      </c>
      <c r="F13" t="s">
        <v>6</v>
      </c>
      <c r="G13" t="s">
        <v>506</v>
      </c>
      <c r="H13" t="s">
        <v>506</v>
      </c>
      <c r="I13" t="s">
        <v>212</v>
      </c>
      <c r="J13" s="25">
        <v>4402</v>
      </c>
      <c r="K13" s="26">
        <v>803.75</v>
      </c>
      <c r="L13" s="26">
        <v>4.2</v>
      </c>
    </row>
    <row r="14" spans="1:12" ht="16" customHeight="1">
      <c r="A14" t="s">
        <v>249</v>
      </c>
      <c r="B14" t="s">
        <v>3</v>
      </c>
      <c r="C14" t="s">
        <v>11</v>
      </c>
      <c r="D14" s="24">
        <v>45901</v>
      </c>
      <c r="E14" t="s">
        <v>297</v>
      </c>
      <c r="F14" t="s">
        <v>6</v>
      </c>
      <c r="G14" t="s">
        <v>506</v>
      </c>
      <c r="H14" t="s">
        <v>506</v>
      </c>
      <c r="I14" t="s">
        <v>219</v>
      </c>
      <c r="J14" s="25">
        <v>467</v>
      </c>
      <c r="K14" s="26">
        <v>87.43</v>
      </c>
      <c r="L14" s="26">
        <v>2.08</v>
      </c>
    </row>
    <row r="15" spans="1:12" ht="16" customHeight="1">
      <c r="A15" t="s">
        <v>249</v>
      </c>
      <c r="B15" t="s">
        <v>3</v>
      </c>
      <c r="C15" t="s">
        <v>11</v>
      </c>
      <c r="D15" s="24">
        <v>45901</v>
      </c>
      <c r="E15" t="s">
        <v>327</v>
      </c>
      <c r="F15" t="s">
        <v>6</v>
      </c>
      <c r="G15" t="s">
        <v>506</v>
      </c>
      <c r="H15" t="s">
        <v>506</v>
      </c>
      <c r="I15" t="s">
        <v>221</v>
      </c>
      <c r="J15" s="25">
        <v>3</v>
      </c>
      <c r="K15" s="26">
        <v>0.56000000000000005</v>
      </c>
      <c r="L15" s="26">
        <v>0.01</v>
      </c>
    </row>
    <row r="16" spans="1:12" ht="16" customHeight="1">
      <c r="A16" t="s">
        <v>213</v>
      </c>
      <c r="B16" t="s">
        <v>4</v>
      </c>
      <c r="C16" t="s">
        <v>11</v>
      </c>
      <c r="D16" s="24">
        <v>45901</v>
      </c>
      <c r="E16" t="s">
        <v>263</v>
      </c>
      <c r="F16" t="s">
        <v>6</v>
      </c>
      <c r="G16" t="s">
        <v>506</v>
      </c>
      <c r="H16" t="s">
        <v>506</v>
      </c>
      <c r="I16" t="s">
        <v>212</v>
      </c>
      <c r="J16" s="25">
        <v>3576</v>
      </c>
      <c r="K16" s="26">
        <v>649.16</v>
      </c>
      <c r="L16" s="26">
        <v>2.84</v>
      </c>
    </row>
    <row r="17" spans="1:12" ht="16" customHeight="1">
      <c r="A17" t="s">
        <v>213</v>
      </c>
      <c r="B17" t="s">
        <v>4</v>
      </c>
      <c r="C17" t="s">
        <v>11</v>
      </c>
      <c r="D17" s="24">
        <v>45901</v>
      </c>
      <c r="E17" t="s">
        <v>297</v>
      </c>
      <c r="F17" t="s">
        <v>6</v>
      </c>
      <c r="G17" t="s">
        <v>506</v>
      </c>
      <c r="H17" t="s">
        <v>506</v>
      </c>
      <c r="I17" t="s">
        <v>219</v>
      </c>
      <c r="J17" s="25">
        <v>180</v>
      </c>
      <c r="K17" s="26">
        <v>33.24</v>
      </c>
      <c r="L17" s="26">
        <v>0.78</v>
      </c>
    </row>
    <row r="18" spans="1:12" ht="16" customHeight="1">
      <c r="A18" t="s">
        <v>250</v>
      </c>
      <c r="B18" t="s">
        <v>5</v>
      </c>
      <c r="C18" t="s">
        <v>11</v>
      </c>
      <c r="D18" s="24">
        <v>45901</v>
      </c>
      <c r="E18" t="s">
        <v>263</v>
      </c>
      <c r="F18" t="s">
        <v>6</v>
      </c>
      <c r="G18" t="s">
        <v>506</v>
      </c>
      <c r="H18" t="s">
        <v>506</v>
      </c>
      <c r="I18" t="s">
        <v>212</v>
      </c>
      <c r="J18" s="25">
        <v>4519</v>
      </c>
      <c r="K18" s="26">
        <v>833.4</v>
      </c>
      <c r="L18" s="26">
        <v>4.49</v>
      </c>
    </row>
    <row r="19" spans="1:12" ht="16" customHeight="1">
      <c r="A19" t="s">
        <v>250</v>
      </c>
      <c r="B19" t="s">
        <v>5</v>
      </c>
      <c r="C19" t="s">
        <v>11</v>
      </c>
      <c r="D19" s="24">
        <v>45901</v>
      </c>
      <c r="E19" t="s">
        <v>297</v>
      </c>
      <c r="F19" t="s">
        <v>6</v>
      </c>
      <c r="G19" t="s">
        <v>506</v>
      </c>
      <c r="H19" t="s">
        <v>506</v>
      </c>
      <c r="I19" t="s">
        <v>219</v>
      </c>
      <c r="J19" s="25">
        <v>279</v>
      </c>
      <c r="K19" s="26">
        <v>51.87</v>
      </c>
      <c r="L19" s="26">
        <v>0.76</v>
      </c>
    </row>
    <row r="20" spans="1:12" ht="16" customHeight="1">
      <c r="A20" t="s">
        <v>252</v>
      </c>
      <c r="B20" t="s">
        <v>6</v>
      </c>
      <c r="C20" t="s">
        <v>11</v>
      </c>
      <c r="D20" s="24">
        <v>45901</v>
      </c>
      <c r="E20" t="s">
        <v>263</v>
      </c>
      <c r="F20" t="s">
        <v>6</v>
      </c>
      <c r="G20" t="s">
        <v>506</v>
      </c>
      <c r="H20" t="s">
        <v>506</v>
      </c>
      <c r="I20" t="s">
        <v>212</v>
      </c>
      <c r="J20" s="25">
        <v>5851</v>
      </c>
      <c r="K20" s="26">
        <v>1068.07</v>
      </c>
      <c r="L20" s="26">
        <v>4.25</v>
      </c>
    </row>
    <row r="21" spans="1:12" ht="16" customHeight="1">
      <c r="A21" t="s">
        <v>252</v>
      </c>
      <c r="B21" t="s">
        <v>6</v>
      </c>
      <c r="C21" t="s">
        <v>11</v>
      </c>
      <c r="D21" s="24">
        <v>45901</v>
      </c>
      <c r="E21" t="s">
        <v>297</v>
      </c>
      <c r="F21" t="s">
        <v>6</v>
      </c>
      <c r="G21" t="s">
        <v>506</v>
      </c>
      <c r="H21" t="s">
        <v>506</v>
      </c>
      <c r="I21" t="s">
        <v>219</v>
      </c>
      <c r="J21" s="25">
        <v>300</v>
      </c>
      <c r="K21" s="26">
        <v>55.84</v>
      </c>
      <c r="L21" s="26">
        <v>0.87</v>
      </c>
    </row>
    <row r="22" spans="1:12" ht="16" customHeight="1">
      <c r="A22" t="s">
        <v>253</v>
      </c>
      <c r="B22" t="s">
        <v>7</v>
      </c>
      <c r="C22" t="s">
        <v>11</v>
      </c>
      <c r="D22" s="24">
        <v>45901</v>
      </c>
      <c r="E22" t="s">
        <v>263</v>
      </c>
      <c r="F22" t="s">
        <v>6</v>
      </c>
      <c r="G22" t="s">
        <v>506</v>
      </c>
      <c r="H22" t="s">
        <v>506</v>
      </c>
      <c r="I22" t="s">
        <v>212</v>
      </c>
      <c r="J22" s="25">
        <v>5647</v>
      </c>
      <c r="K22" s="26">
        <v>1037.8699999999999</v>
      </c>
      <c r="L22" s="26">
        <v>3.54</v>
      </c>
    </row>
    <row r="23" spans="1:12" ht="16" customHeight="1">
      <c r="A23" t="s">
        <v>253</v>
      </c>
      <c r="B23" t="s">
        <v>7</v>
      </c>
      <c r="C23" t="s">
        <v>11</v>
      </c>
      <c r="D23" s="24">
        <v>45901</v>
      </c>
      <c r="E23" t="s">
        <v>297</v>
      </c>
      <c r="F23" t="s">
        <v>6</v>
      </c>
      <c r="G23" t="s">
        <v>506</v>
      </c>
      <c r="H23" t="s">
        <v>506</v>
      </c>
      <c r="I23" t="s">
        <v>219</v>
      </c>
      <c r="J23" s="25">
        <v>341</v>
      </c>
      <c r="K23" s="26">
        <v>64.62</v>
      </c>
      <c r="L23" s="26">
        <v>1.44</v>
      </c>
    </row>
    <row r="24" spans="1:12" ht="16" customHeight="1">
      <c r="A24" t="s">
        <v>254</v>
      </c>
      <c r="B24" t="s">
        <v>3</v>
      </c>
      <c r="C24" t="s">
        <v>12</v>
      </c>
      <c r="D24" s="24">
        <v>45901</v>
      </c>
      <c r="E24" t="s">
        <v>263</v>
      </c>
      <c r="F24" t="s">
        <v>6</v>
      </c>
      <c r="G24" t="s">
        <v>506</v>
      </c>
      <c r="H24" t="s">
        <v>506</v>
      </c>
      <c r="I24" t="s">
        <v>212</v>
      </c>
      <c r="J24" s="25">
        <v>6677</v>
      </c>
      <c r="K24" s="26">
        <v>1233.71</v>
      </c>
      <c r="L24" s="26">
        <v>4.8</v>
      </c>
    </row>
    <row r="25" spans="1:12" ht="16" customHeight="1">
      <c r="A25" t="s">
        <v>254</v>
      </c>
      <c r="B25" t="s">
        <v>3</v>
      </c>
      <c r="C25" t="s">
        <v>12</v>
      </c>
      <c r="D25" s="24">
        <v>45901</v>
      </c>
      <c r="E25" t="s">
        <v>297</v>
      </c>
      <c r="F25" t="s">
        <v>6</v>
      </c>
      <c r="G25" t="s">
        <v>506</v>
      </c>
      <c r="H25" t="s">
        <v>506</v>
      </c>
      <c r="I25" t="s">
        <v>219</v>
      </c>
      <c r="J25" s="25">
        <v>298</v>
      </c>
      <c r="K25" s="26">
        <v>56.69</v>
      </c>
      <c r="L25" s="26">
        <v>1.05</v>
      </c>
    </row>
    <row r="26" spans="1:12" ht="16" customHeight="1">
      <c r="A26" t="s">
        <v>214</v>
      </c>
      <c r="B26" t="s">
        <v>4</v>
      </c>
      <c r="C26" t="s">
        <v>12</v>
      </c>
      <c r="D26" s="24">
        <v>45901</v>
      </c>
      <c r="E26" t="s">
        <v>263</v>
      </c>
      <c r="F26" t="s">
        <v>6</v>
      </c>
      <c r="G26" t="s">
        <v>506</v>
      </c>
      <c r="H26" t="s">
        <v>506</v>
      </c>
      <c r="I26" t="s">
        <v>212</v>
      </c>
      <c r="J26" s="25">
        <v>9880</v>
      </c>
      <c r="K26" s="26">
        <v>1830.6</v>
      </c>
      <c r="L26" s="26">
        <v>6.8</v>
      </c>
    </row>
    <row r="27" spans="1:12" ht="16" customHeight="1">
      <c r="A27" t="s">
        <v>214</v>
      </c>
      <c r="B27" t="s">
        <v>4</v>
      </c>
      <c r="C27" t="s">
        <v>12</v>
      </c>
      <c r="D27" s="24">
        <v>45901</v>
      </c>
      <c r="E27" t="s">
        <v>297</v>
      </c>
      <c r="F27" t="s">
        <v>6</v>
      </c>
      <c r="G27" t="s">
        <v>506</v>
      </c>
      <c r="H27" t="s">
        <v>506</v>
      </c>
      <c r="I27" t="s">
        <v>219</v>
      </c>
      <c r="J27" s="25">
        <v>114</v>
      </c>
      <c r="K27" s="26">
        <v>21.56</v>
      </c>
      <c r="L27" s="26">
        <v>0.59</v>
      </c>
    </row>
    <row r="28" spans="1:12" ht="16" customHeight="1">
      <c r="A28" t="s">
        <v>255</v>
      </c>
      <c r="B28" t="s">
        <v>5</v>
      </c>
      <c r="C28" t="s">
        <v>12</v>
      </c>
      <c r="D28" s="24">
        <v>45901</v>
      </c>
      <c r="E28" t="s">
        <v>263</v>
      </c>
      <c r="F28" t="s">
        <v>6</v>
      </c>
      <c r="G28" t="s">
        <v>506</v>
      </c>
      <c r="H28" t="s">
        <v>506</v>
      </c>
      <c r="I28" t="s">
        <v>212</v>
      </c>
      <c r="J28" s="25">
        <v>17124</v>
      </c>
      <c r="K28" s="26">
        <v>3204.47</v>
      </c>
      <c r="L28" s="26">
        <v>10.53</v>
      </c>
    </row>
    <row r="29" spans="1:12" ht="16" customHeight="1">
      <c r="A29" t="s">
        <v>255</v>
      </c>
      <c r="B29" t="s">
        <v>5</v>
      </c>
      <c r="C29" t="s">
        <v>12</v>
      </c>
      <c r="D29" s="24">
        <v>45901</v>
      </c>
      <c r="E29" t="s">
        <v>297</v>
      </c>
      <c r="F29" t="s">
        <v>6</v>
      </c>
      <c r="G29" t="s">
        <v>506</v>
      </c>
      <c r="H29" t="s">
        <v>506</v>
      </c>
      <c r="I29" t="s">
        <v>219</v>
      </c>
      <c r="J29" s="25">
        <v>271</v>
      </c>
      <c r="K29" s="26">
        <v>51.84</v>
      </c>
      <c r="L29" s="26">
        <v>0.92</v>
      </c>
    </row>
    <row r="30" spans="1:12" ht="16" customHeight="1">
      <c r="A30" t="s">
        <v>255</v>
      </c>
      <c r="B30" t="s">
        <v>5</v>
      </c>
      <c r="C30" t="s">
        <v>12</v>
      </c>
      <c r="D30" s="24">
        <v>45901</v>
      </c>
      <c r="E30" t="s">
        <v>327</v>
      </c>
      <c r="F30" t="s">
        <v>6</v>
      </c>
      <c r="G30" t="s">
        <v>506</v>
      </c>
      <c r="H30" t="s">
        <v>506</v>
      </c>
      <c r="I30" t="s">
        <v>221</v>
      </c>
      <c r="J30" s="25">
        <v>27</v>
      </c>
      <c r="K30" s="26">
        <v>5.01</v>
      </c>
      <c r="L30" s="26">
        <v>0.05</v>
      </c>
    </row>
    <row r="31" spans="1:12" ht="16" customHeight="1">
      <c r="A31" t="s">
        <v>257</v>
      </c>
      <c r="B31" t="s">
        <v>6</v>
      </c>
      <c r="C31" t="s">
        <v>12</v>
      </c>
      <c r="D31" s="24">
        <v>45901</v>
      </c>
      <c r="E31" t="s">
        <v>263</v>
      </c>
      <c r="F31" t="s">
        <v>6</v>
      </c>
      <c r="G31" t="s">
        <v>506</v>
      </c>
      <c r="H31" t="s">
        <v>506</v>
      </c>
      <c r="I31" t="s">
        <v>212</v>
      </c>
      <c r="J31" s="25">
        <v>27478</v>
      </c>
      <c r="K31" s="26">
        <v>5180.58</v>
      </c>
      <c r="L31" s="26">
        <v>15.18</v>
      </c>
    </row>
    <row r="32" spans="1:12" ht="16" customHeight="1">
      <c r="A32" t="s">
        <v>257</v>
      </c>
      <c r="B32" t="s">
        <v>6</v>
      </c>
      <c r="C32" t="s">
        <v>12</v>
      </c>
      <c r="D32" s="24">
        <v>45901</v>
      </c>
      <c r="E32" t="s">
        <v>297</v>
      </c>
      <c r="F32" t="s">
        <v>6</v>
      </c>
      <c r="G32" t="s">
        <v>506</v>
      </c>
      <c r="H32" t="s">
        <v>506</v>
      </c>
      <c r="I32" t="s">
        <v>219</v>
      </c>
      <c r="J32" s="25">
        <v>129</v>
      </c>
      <c r="K32" s="26">
        <v>24.93</v>
      </c>
      <c r="L32" s="26">
        <v>0.75</v>
      </c>
    </row>
    <row r="33" spans="1:12" ht="16" customHeight="1">
      <c r="A33" t="s">
        <v>258</v>
      </c>
      <c r="B33" t="s">
        <v>7</v>
      </c>
      <c r="C33" t="s">
        <v>12</v>
      </c>
      <c r="D33" s="24">
        <v>45901</v>
      </c>
      <c r="E33" t="s">
        <v>263</v>
      </c>
      <c r="F33" t="s">
        <v>6</v>
      </c>
      <c r="G33" t="s">
        <v>506</v>
      </c>
      <c r="H33" t="s">
        <v>506</v>
      </c>
      <c r="I33" t="s">
        <v>212</v>
      </c>
      <c r="J33" s="25">
        <v>22754</v>
      </c>
      <c r="K33" s="26">
        <v>4270.3100000000004</v>
      </c>
      <c r="L33" s="26">
        <v>10.86</v>
      </c>
    </row>
    <row r="34" spans="1:12" ht="16" customHeight="1">
      <c r="A34" t="s">
        <v>258</v>
      </c>
      <c r="B34" t="s">
        <v>7</v>
      </c>
      <c r="C34" t="s">
        <v>12</v>
      </c>
      <c r="D34" s="24">
        <v>45901</v>
      </c>
      <c r="E34" t="s">
        <v>297</v>
      </c>
      <c r="F34" t="s">
        <v>6</v>
      </c>
      <c r="G34" t="s">
        <v>506</v>
      </c>
      <c r="H34" t="s">
        <v>506</v>
      </c>
      <c r="I34" t="s">
        <v>219</v>
      </c>
      <c r="J34" s="25">
        <v>94</v>
      </c>
      <c r="K34" s="26">
        <v>18.14</v>
      </c>
      <c r="L34" s="26">
        <v>0.39</v>
      </c>
    </row>
    <row r="35" spans="1:12" ht="16" customHeight="1">
      <c r="A35" t="s">
        <v>259</v>
      </c>
      <c r="B35" t="s">
        <v>3</v>
      </c>
      <c r="C35" t="s">
        <v>13</v>
      </c>
      <c r="D35" s="24">
        <v>45901</v>
      </c>
      <c r="E35" t="s">
        <v>263</v>
      </c>
      <c r="F35" t="s">
        <v>6</v>
      </c>
      <c r="G35" t="s">
        <v>506</v>
      </c>
      <c r="H35" t="s">
        <v>506</v>
      </c>
      <c r="I35" t="s">
        <v>212</v>
      </c>
      <c r="J35" s="25">
        <v>60039</v>
      </c>
      <c r="K35" s="26">
        <v>11282.99</v>
      </c>
      <c r="L35" s="26">
        <v>23.85</v>
      </c>
    </row>
    <row r="36" spans="1:12" ht="16" customHeight="1">
      <c r="A36" t="s">
        <v>259</v>
      </c>
      <c r="B36" t="s">
        <v>3</v>
      </c>
      <c r="C36" t="s">
        <v>13</v>
      </c>
      <c r="D36" s="24">
        <v>45901</v>
      </c>
      <c r="E36" t="s">
        <v>297</v>
      </c>
      <c r="F36" t="s">
        <v>6</v>
      </c>
      <c r="G36" t="s">
        <v>506</v>
      </c>
      <c r="H36" t="s">
        <v>506</v>
      </c>
      <c r="I36" t="s">
        <v>219</v>
      </c>
      <c r="J36" s="25">
        <v>120</v>
      </c>
      <c r="K36" s="26">
        <v>23.06</v>
      </c>
      <c r="L36" s="26">
        <v>0.46</v>
      </c>
    </row>
    <row r="37" spans="1:12" ht="16" customHeight="1">
      <c r="A37" t="s">
        <v>215</v>
      </c>
      <c r="B37" t="s">
        <v>4</v>
      </c>
      <c r="C37" t="s">
        <v>13</v>
      </c>
      <c r="D37" s="24">
        <v>45901</v>
      </c>
      <c r="E37" t="s">
        <v>263</v>
      </c>
      <c r="F37" t="s">
        <v>6</v>
      </c>
      <c r="G37" t="s">
        <v>506</v>
      </c>
      <c r="H37" t="s">
        <v>506</v>
      </c>
      <c r="I37" t="s">
        <v>212</v>
      </c>
      <c r="J37" s="25">
        <v>78320</v>
      </c>
      <c r="K37" s="26">
        <v>14676.97</v>
      </c>
      <c r="L37" s="26">
        <v>27.88</v>
      </c>
    </row>
    <row r="38" spans="1:12" ht="16" customHeight="1">
      <c r="A38" t="s">
        <v>215</v>
      </c>
      <c r="B38" t="s">
        <v>4</v>
      </c>
      <c r="C38" t="s">
        <v>13</v>
      </c>
      <c r="D38" s="24">
        <v>45901</v>
      </c>
      <c r="E38" t="s">
        <v>297</v>
      </c>
      <c r="F38" t="s">
        <v>6</v>
      </c>
      <c r="G38" t="s">
        <v>506</v>
      </c>
      <c r="H38" t="s">
        <v>506</v>
      </c>
      <c r="I38" t="s">
        <v>219</v>
      </c>
      <c r="J38" s="25">
        <v>91</v>
      </c>
      <c r="K38" s="26">
        <v>17.22</v>
      </c>
      <c r="L38" s="26">
        <v>0.26</v>
      </c>
    </row>
    <row r="39" spans="1:12" ht="16" customHeight="1">
      <c r="A39" t="s">
        <v>260</v>
      </c>
      <c r="B39" t="s">
        <v>5</v>
      </c>
      <c r="C39" t="s">
        <v>13</v>
      </c>
      <c r="D39" s="24">
        <v>45901</v>
      </c>
      <c r="E39" t="s">
        <v>263</v>
      </c>
      <c r="F39" t="s">
        <v>6</v>
      </c>
      <c r="G39" t="s">
        <v>506</v>
      </c>
      <c r="H39" t="s">
        <v>506</v>
      </c>
      <c r="I39" t="s">
        <v>212</v>
      </c>
      <c r="J39" s="25">
        <v>892932</v>
      </c>
      <c r="K39" s="26">
        <v>167327.82999999999</v>
      </c>
      <c r="L39" s="26">
        <v>266.95999999999998</v>
      </c>
    </row>
    <row r="40" spans="1:12" ht="16" customHeight="1">
      <c r="A40" t="s">
        <v>260</v>
      </c>
      <c r="B40" t="s">
        <v>5</v>
      </c>
      <c r="C40" t="s">
        <v>13</v>
      </c>
      <c r="D40" s="24">
        <v>45901</v>
      </c>
      <c r="E40" t="s">
        <v>297</v>
      </c>
      <c r="F40" t="s">
        <v>6</v>
      </c>
      <c r="G40" t="s">
        <v>506</v>
      </c>
      <c r="H40" t="s">
        <v>506</v>
      </c>
      <c r="I40" t="s">
        <v>219</v>
      </c>
      <c r="J40" s="25">
        <v>73</v>
      </c>
      <c r="K40" s="26">
        <v>14.16</v>
      </c>
      <c r="L40" s="26">
        <v>0.34</v>
      </c>
    </row>
    <row r="41" spans="1:12" ht="16" customHeight="1">
      <c r="A41" t="s">
        <v>263</v>
      </c>
      <c r="B41" t="s">
        <v>6</v>
      </c>
      <c r="C41" t="s">
        <v>13</v>
      </c>
      <c r="D41" s="24">
        <v>45901</v>
      </c>
      <c r="E41" t="s">
        <v>263</v>
      </c>
      <c r="F41" t="s">
        <v>6</v>
      </c>
      <c r="G41" t="s">
        <v>506</v>
      </c>
      <c r="H41" t="s">
        <v>506</v>
      </c>
      <c r="I41" t="s">
        <v>212</v>
      </c>
      <c r="J41" s="25">
        <v>6261198</v>
      </c>
      <c r="K41" s="26">
        <v>1168113.28</v>
      </c>
      <c r="L41" s="26">
        <v>839.46</v>
      </c>
    </row>
    <row r="42" spans="1:12" ht="16" customHeight="1">
      <c r="A42" t="s">
        <v>263</v>
      </c>
      <c r="B42" t="s">
        <v>6</v>
      </c>
      <c r="C42" t="s">
        <v>13</v>
      </c>
      <c r="D42" s="24">
        <v>45901</v>
      </c>
      <c r="E42" t="s">
        <v>297</v>
      </c>
      <c r="F42" t="s">
        <v>6</v>
      </c>
      <c r="G42" t="s">
        <v>506</v>
      </c>
      <c r="H42" t="s">
        <v>506</v>
      </c>
      <c r="I42" t="s">
        <v>219</v>
      </c>
      <c r="J42" s="25">
        <v>301</v>
      </c>
      <c r="K42" s="26">
        <v>57.75</v>
      </c>
      <c r="L42" s="26">
        <v>0.35</v>
      </c>
    </row>
    <row r="43" spans="1:12" ht="16" customHeight="1">
      <c r="A43" t="s">
        <v>264</v>
      </c>
      <c r="B43" t="s">
        <v>7</v>
      </c>
      <c r="C43" t="s">
        <v>13</v>
      </c>
      <c r="D43" s="24">
        <v>45901</v>
      </c>
      <c r="E43" t="s">
        <v>297</v>
      </c>
      <c r="F43" t="s">
        <v>6</v>
      </c>
      <c r="G43" t="s">
        <v>506</v>
      </c>
      <c r="H43" t="s">
        <v>506</v>
      </c>
      <c r="I43" t="s">
        <v>219</v>
      </c>
      <c r="J43" s="25">
        <v>1583</v>
      </c>
      <c r="K43" s="26">
        <v>297.86</v>
      </c>
      <c r="L43" s="26">
        <v>3.13</v>
      </c>
    </row>
    <row r="44" spans="1:12" ht="16" customHeight="1">
      <c r="A44" t="s">
        <v>265</v>
      </c>
      <c r="B44" t="s">
        <v>3</v>
      </c>
      <c r="C44" t="s">
        <v>14</v>
      </c>
      <c r="D44" s="24">
        <v>45901</v>
      </c>
      <c r="E44" t="s">
        <v>297</v>
      </c>
      <c r="F44" t="s">
        <v>6</v>
      </c>
      <c r="G44" t="s">
        <v>506</v>
      </c>
      <c r="H44" t="s">
        <v>506</v>
      </c>
      <c r="I44" t="s">
        <v>219</v>
      </c>
      <c r="J44" s="25">
        <v>971</v>
      </c>
      <c r="K44" s="26">
        <v>182.45</v>
      </c>
      <c r="L44" s="26">
        <v>1.79</v>
      </c>
    </row>
    <row r="45" spans="1:12" ht="16" customHeight="1">
      <c r="A45" t="s">
        <v>265</v>
      </c>
      <c r="B45" t="s">
        <v>3</v>
      </c>
      <c r="C45" t="s">
        <v>14</v>
      </c>
      <c r="D45" s="24">
        <v>45901</v>
      </c>
      <c r="E45" t="s">
        <v>353</v>
      </c>
      <c r="F45" t="s">
        <v>5</v>
      </c>
      <c r="G45" t="s">
        <v>507</v>
      </c>
      <c r="H45" t="s">
        <v>507</v>
      </c>
      <c r="I45" t="s">
        <v>223</v>
      </c>
      <c r="J45" s="25">
        <v>21</v>
      </c>
      <c r="K45" s="26">
        <v>3.99</v>
      </c>
      <c r="L45" s="26">
        <v>0.12</v>
      </c>
    </row>
    <row r="46" spans="1:12" ht="16" customHeight="1">
      <c r="A46" t="s">
        <v>216</v>
      </c>
      <c r="B46" t="s">
        <v>4</v>
      </c>
      <c r="C46" t="s">
        <v>14</v>
      </c>
      <c r="D46" s="24">
        <v>45901</v>
      </c>
      <c r="E46" t="s">
        <v>297</v>
      </c>
      <c r="F46" t="s">
        <v>6</v>
      </c>
      <c r="G46" t="s">
        <v>506</v>
      </c>
      <c r="H46" t="s">
        <v>506</v>
      </c>
      <c r="I46" t="s">
        <v>219</v>
      </c>
      <c r="J46" s="25">
        <v>533</v>
      </c>
      <c r="K46" s="26">
        <v>101.56</v>
      </c>
      <c r="L46" s="26">
        <v>0.83</v>
      </c>
    </row>
    <row r="47" spans="1:12" ht="16" customHeight="1">
      <c r="A47" t="s">
        <v>266</v>
      </c>
      <c r="B47" t="s">
        <v>5</v>
      </c>
      <c r="C47" t="s">
        <v>15</v>
      </c>
      <c r="D47" s="24">
        <v>45931</v>
      </c>
      <c r="E47" t="s">
        <v>297</v>
      </c>
      <c r="F47" t="s">
        <v>6</v>
      </c>
      <c r="G47" t="s">
        <v>506</v>
      </c>
      <c r="H47" t="s">
        <v>506</v>
      </c>
      <c r="I47" t="s">
        <v>212</v>
      </c>
      <c r="J47" s="25">
        <v>1671</v>
      </c>
      <c r="K47" s="26">
        <v>315.24</v>
      </c>
      <c r="L47" s="26">
        <v>2.81</v>
      </c>
    </row>
    <row r="48" spans="1:12" ht="16" customHeight="1">
      <c r="A48" t="s">
        <v>266</v>
      </c>
      <c r="B48" t="s">
        <v>5</v>
      </c>
      <c r="C48" t="s">
        <v>15</v>
      </c>
      <c r="D48" s="24">
        <v>45931</v>
      </c>
      <c r="E48" t="s">
        <v>353</v>
      </c>
      <c r="F48" t="s">
        <v>5</v>
      </c>
      <c r="G48" t="s">
        <v>507</v>
      </c>
      <c r="H48" t="s">
        <v>507</v>
      </c>
      <c r="I48" t="s">
        <v>221</v>
      </c>
      <c r="J48" s="25">
        <v>11</v>
      </c>
      <c r="K48" s="26">
        <v>2.08</v>
      </c>
      <c r="L48" s="26">
        <v>0.05</v>
      </c>
    </row>
    <row r="49" spans="1:12" ht="16" customHeight="1">
      <c r="A49" t="s">
        <v>279</v>
      </c>
      <c r="B49" t="s">
        <v>7</v>
      </c>
      <c r="C49" t="s">
        <v>15</v>
      </c>
      <c r="D49" s="24">
        <v>45931</v>
      </c>
      <c r="E49" t="s">
        <v>297</v>
      </c>
      <c r="F49" t="s">
        <v>6</v>
      </c>
      <c r="G49" t="s">
        <v>506</v>
      </c>
      <c r="H49" t="s">
        <v>506</v>
      </c>
      <c r="I49" t="s">
        <v>212</v>
      </c>
      <c r="J49" s="25">
        <v>2668</v>
      </c>
      <c r="K49" s="26">
        <v>500.72</v>
      </c>
      <c r="L49" s="26">
        <v>3.71</v>
      </c>
    </row>
    <row r="50" spans="1:12" ht="16" customHeight="1">
      <c r="A50" t="s">
        <v>279</v>
      </c>
      <c r="B50" t="s">
        <v>7</v>
      </c>
      <c r="C50" t="s">
        <v>15</v>
      </c>
      <c r="D50" s="24">
        <v>45931</v>
      </c>
      <c r="E50" t="s">
        <v>353</v>
      </c>
      <c r="F50" t="s">
        <v>5</v>
      </c>
      <c r="G50" t="s">
        <v>507</v>
      </c>
      <c r="H50" t="s">
        <v>507</v>
      </c>
      <c r="I50" t="s">
        <v>221</v>
      </c>
      <c r="J50" s="25">
        <v>9</v>
      </c>
      <c r="K50" s="26">
        <v>1.76</v>
      </c>
      <c r="L50" s="26">
        <v>0.03</v>
      </c>
    </row>
    <row r="51" spans="1:12" ht="16" customHeight="1">
      <c r="A51" t="s">
        <v>280</v>
      </c>
      <c r="B51" t="s">
        <v>3</v>
      </c>
      <c r="C51" t="s">
        <v>15</v>
      </c>
      <c r="D51" s="24">
        <v>45931</v>
      </c>
      <c r="E51" t="s">
        <v>297</v>
      </c>
      <c r="F51" t="s">
        <v>6</v>
      </c>
      <c r="G51" t="s">
        <v>506</v>
      </c>
      <c r="H51" t="s">
        <v>506</v>
      </c>
      <c r="I51" t="s">
        <v>212</v>
      </c>
      <c r="J51" s="25">
        <v>2291</v>
      </c>
      <c r="K51" s="26">
        <v>433.35</v>
      </c>
      <c r="L51" s="26">
        <v>2.4500000000000002</v>
      </c>
    </row>
    <row r="52" spans="1:12" ht="16" customHeight="1">
      <c r="A52" t="s">
        <v>280</v>
      </c>
      <c r="B52" t="s">
        <v>3</v>
      </c>
      <c r="C52" t="s">
        <v>15</v>
      </c>
      <c r="D52" s="24">
        <v>45931</v>
      </c>
      <c r="E52" t="s">
        <v>353</v>
      </c>
      <c r="F52" t="s">
        <v>5</v>
      </c>
      <c r="G52" t="s">
        <v>507</v>
      </c>
      <c r="H52" t="s">
        <v>507</v>
      </c>
      <c r="I52" t="s">
        <v>221</v>
      </c>
      <c r="J52" s="25">
        <v>9</v>
      </c>
      <c r="K52" s="26">
        <v>1.74</v>
      </c>
      <c r="L52" s="26">
        <v>0.03</v>
      </c>
    </row>
    <row r="53" spans="1:12" ht="16" customHeight="1">
      <c r="A53" t="s">
        <v>246</v>
      </c>
      <c r="B53" t="s">
        <v>4</v>
      </c>
      <c r="C53" t="s">
        <v>15</v>
      </c>
      <c r="D53" s="24">
        <v>45931</v>
      </c>
      <c r="E53" t="s">
        <v>297</v>
      </c>
      <c r="F53" t="s">
        <v>6</v>
      </c>
      <c r="G53" t="s">
        <v>506</v>
      </c>
      <c r="H53" t="s">
        <v>506</v>
      </c>
      <c r="I53" t="s">
        <v>212</v>
      </c>
      <c r="J53" s="25">
        <v>1687</v>
      </c>
      <c r="K53" s="26">
        <v>322.70999999999998</v>
      </c>
      <c r="L53" s="26">
        <v>1.63</v>
      </c>
    </row>
    <row r="54" spans="1:12" ht="16" customHeight="1">
      <c r="A54" t="s">
        <v>246</v>
      </c>
      <c r="B54" t="s">
        <v>4</v>
      </c>
      <c r="C54" t="s">
        <v>15</v>
      </c>
      <c r="D54" s="24">
        <v>45931</v>
      </c>
      <c r="E54" t="s">
        <v>353</v>
      </c>
      <c r="F54" t="s">
        <v>5</v>
      </c>
      <c r="G54" t="s">
        <v>507</v>
      </c>
      <c r="H54" t="s">
        <v>507</v>
      </c>
      <c r="I54" t="s">
        <v>221</v>
      </c>
      <c r="J54" s="25">
        <v>1</v>
      </c>
      <c r="K54" s="26">
        <v>0.17</v>
      </c>
      <c r="L54" s="26">
        <v>0</v>
      </c>
    </row>
    <row r="55" spans="1:12" ht="16" customHeight="1">
      <c r="A55" t="s">
        <v>281</v>
      </c>
      <c r="B55" t="s">
        <v>5</v>
      </c>
      <c r="C55" t="s">
        <v>16</v>
      </c>
      <c r="D55" s="24">
        <v>45931</v>
      </c>
      <c r="E55" t="s">
        <v>297</v>
      </c>
      <c r="F55" t="s">
        <v>6</v>
      </c>
      <c r="G55" t="s">
        <v>506</v>
      </c>
      <c r="H55" t="s">
        <v>506</v>
      </c>
      <c r="I55" t="s">
        <v>212</v>
      </c>
      <c r="J55" s="25">
        <v>1233</v>
      </c>
      <c r="K55" s="26">
        <v>235.59</v>
      </c>
      <c r="L55" s="26">
        <v>1.67</v>
      </c>
    </row>
    <row r="56" spans="1:12" ht="16" customHeight="1">
      <c r="A56" t="s">
        <v>283</v>
      </c>
      <c r="B56" t="s">
        <v>6</v>
      </c>
      <c r="C56" t="s">
        <v>16</v>
      </c>
      <c r="D56" s="24">
        <v>45931</v>
      </c>
      <c r="E56" t="s">
        <v>297</v>
      </c>
      <c r="F56" t="s">
        <v>6</v>
      </c>
      <c r="G56" t="s">
        <v>506</v>
      </c>
      <c r="H56" t="s">
        <v>506</v>
      </c>
      <c r="I56" t="s">
        <v>212</v>
      </c>
      <c r="J56" s="25">
        <v>1228</v>
      </c>
      <c r="K56" s="26">
        <v>236.1</v>
      </c>
      <c r="L56" s="26">
        <v>2.2200000000000002</v>
      </c>
    </row>
    <row r="57" spans="1:12" ht="16" customHeight="1">
      <c r="A57" t="s">
        <v>283</v>
      </c>
      <c r="B57" t="s">
        <v>6</v>
      </c>
      <c r="C57" t="s">
        <v>16</v>
      </c>
      <c r="D57" s="24">
        <v>45931</v>
      </c>
      <c r="E57" t="s">
        <v>327</v>
      </c>
      <c r="F57" t="s">
        <v>6</v>
      </c>
      <c r="G57" t="s">
        <v>506</v>
      </c>
      <c r="H57" t="s">
        <v>506</v>
      </c>
      <c r="I57" t="s">
        <v>219</v>
      </c>
      <c r="J57" s="25">
        <v>2</v>
      </c>
      <c r="K57" s="26">
        <v>0.38</v>
      </c>
      <c r="L57" s="26">
        <v>0.03</v>
      </c>
    </row>
    <row r="58" spans="1:12" ht="16" customHeight="1">
      <c r="A58" t="s">
        <v>283</v>
      </c>
      <c r="B58" t="s">
        <v>6</v>
      </c>
      <c r="C58" t="s">
        <v>16</v>
      </c>
      <c r="D58" s="24">
        <v>45931</v>
      </c>
      <c r="E58" t="s">
        <v>353</v>
      </c>
      <c r="F58" t="s">
        <v>5</v>
      </c>
      <c r="G58" t="s">
        <v>507</v>
      </c>
      <c r="H58" t="s">
        <v>507</v>
      </c>
      <c r="I58" t="s">
        <v>221</v>
      </c>
      <c r="J58" s="25">
        <v>4</v>
      </c>
      <c r="K58" s="26">
        <v>0.77</v>
      </c>
      <c r="L58" s="26">
        <v>0.02</v>
      </c>
    </row>
    <row r="59" spans="1:12" ht="16" customHeight="1">
      <c r="A59" t="s">
        <v>284</v>
      </c>
      <c r="B59" t="s">
        <v>7</v>
      </c>
      <c r="C59" t="s">
        <v>16</v>
      </c>
      <c r="D59" s="24">
        <v>45931</v>
      </c>
      <c r="E59" t="s">
        <v>297</v>
      </c>
      <c r="F59" t="s">
        <v>6</v>
      </c>
      <c r="G59" t="s">
        <v>506</v>
      </c>
      <c r="H59" t="s">
        <v>506</v>
      </c>
      <c r="I59" t="s">
        <v>212</v>
      </c>
      <c r="J59" s="25">
        <v>2611</v>
      </c>
      <c r="K59" s="26">
        <v>500.23</v>
      </c>
      <c r="L59" s="26">
        <v>2.65</v>
      </c>
    </row>
    <row r="60" spans="1:12" ht="16" customHeight="1">
      <c r="A60" t="s">
        <v>284</v>
      </c>
      <c r="B60" t="s">
        <v>7</v>
      </c>
      <c r="C60" t="s">
        <v>16</v>
      </c>
      <c r="D60" s="24">
        <v>45931</v>
      </c>
      <c r="E60" t="s">
        <v>327</v>
      </c>
      <c r="F60" t="s">
        <v>6</v>
      </c>
      <c r="G60" t="s">
        <v>506</v>
      </c>
      <c r="H60" t="s">
        <v>506</v>
      </c>
      <c r="I60" t="s">
        <v>219</v>
      </c>
      <c r="J60" s="25">
        <v>1</v>
      </c>
      <c r="K60" s="26">
        <v>0.19</v>
      </c>
      <c r="L60" s="26">
        <v>0.02</v>
      </c>
    </row>
    <row r="61" spans="1:12" ht="16" customHeight="1">
      <c r="A61" t="s">
        <v>285</v>
      </c>
      <c r="B61" t="s">
        <v>3</v>
      </c>
      <c r="C61" t="s">
        <v>16</v>
      </c>
      <c r="D61" s="24">
        <v>45931</v>
      </c>
      <c r="E61" t="s">
        <v>297</v>
      </c>
      <c r="F61" t="s">
        <v>6</v>
      </c>
      <c r="G61" t="s">
        <v>506</v>
      </c>
      <c r="H61" t="s">
        <v>506</v>
      </c>
      <c r="I61" t="s">
        <v>212</v>
      </c>
      <c r="J61" s="25">
        <v>3420</v>
      </c>
      <c r="K61" s="26">
        <v>655.48</v>
      </c>
      <c r="L61" s="26">
        <v>3.84</v>
      </c>
    </row>
    <row r="62" spans="1:12" ht="16" customHeight="1">
      <c r="A62" t="s">
        <v>285</v>
      </c>
      <c r="B62" t="s">
        <v>3</v>
      </c>
      <c r="C62" t="s">
        <v>16</v>
      </c>
      <c r="D62" s="24">
        <v>45931</v>
      </c>
      <c r="E62" t="s">
        <v>327</v>
      </c>
      <c r="F62" t="s">
        <v>6</v>
      </c>
      <c r="G62" t="s">
        <v>506</v>
      </c>
      <c r="H62" t="s">
        <v>506</v>
      </c>
      <c r="I62" t="s">
        <v>219</v>
      </c>
      <c r="J62" s="25">
        <v>30</v>
      </c>
      <c r="K62" s="26">
        <v>5.88</v>
      </c>
      <c r="L62" s="26">
        <v>0.08</v>
      </c>
    </row>
    <row r="63" spans="1:12" ht="16" customHeight="1">
      <c r="A63" t="s">
        <v>251</v>
      </c>
      <c r="B63" t="s">
        <v>4</v>
      </c>
      <c r="C63" t="s">
        <v>16</v>
      </c>
      <c r="D63" s="24">
        <v>45931</v>
      </c>
      <c r="E63" t="s">
        <v>297</v>
      </c>
      <c r="F63" t="s">
        <v>6</v>
      </c>
      <c r="G63" t="s">
        <v>506</v>
      </c>
      <c r="H63" t="s">
        <v>506</v>
      </c>
      <c r="I63" t="s">
        <v>212</v>
      </c>
      <c r="J63" s="25">
        <v>1577</v>
      </c>
      <c r="K63" s="26">
        <v>304.17</v>
      </c>
      <c r="L63" s="26">
        <v>2.2599999999999998</v>
      </c>
    </row>
    <row r="64" spans="1:12" ht="16" customHeight="1">
      <c r="A64" t="s">
        <v>251</v>
      </c>
      <c r="B64" t="s">
        <v>4</v>
      </c>
      <c r="C64" t="s">
        <v>16</v>
      </c>
      <c r="D64" s="24">
        <v>45931</v>
      </c>
      <c r="E64" t="s">
        <v>327</v>
      </c>
      <c r="F64" t="s">
        <v>6</v>
      </c>
      <c r="G64" t="s">
        <v>506</v>
      </c>
      <c r="H64" t="s">
        <v>506</v>
      </c>
      <c r="I64" t="s">
        <v>219</v>
      </c>
      <c r="J64" s="25">
        <v>2</v>
      </c>
      <c r="K64" s="26">
        <v>0.39</v>
      </c>
      <c r="L64" s="26">
        <v>0.01</v>
      </c>
    </row>
    <row r="65" spans="1:12" ht="16" customHeight="1">
      <c r="A65" t="s">
        <v>286</v>
      </c>
      <c r="B65" t="s">
        <v>5</v>
      </c>
      <c r="C65" t="s">
        <v>17</v>
      </c>
      <c r="D65" s="24">
        <v>45931</v>
      </c>
      <c r="E65" t="s">
        <v>297</v>
      </c>
      <c r="F65" t="s">
        <v>6</v>
      </c>
      <c r="G65" t="s">
        <v>506</v>
      </c>
      <c r="H65" t="s">
        <v>506</v>
      </c>
      <c r="I65" t="s">
        <v>212</v>
      </c>
      <c r="J65" s="25">
        <v>5288</v>
      </c>
      <c r="K65" s="26">
        <v>1011.76</v>
      </c>
      <c r="L65" s="26">
        <v>5.65</v>
      </c>
    </row>
    <row r="66" spans="1:12" ht="16" customHeight="1">
      <c r="A66" t="s">
        <v>286</v>
      </c>
      <c r="B66" t="s">
        <v>5</v>
      </c>
      <c r="C66" t="s">
        <v>17</v>
      </c>
      <c r="D66" s="24">
        <v>45931</v>
      </c>
      <c r="E66" t="s">
        <v>327</v>
      </c>
      <c r="F66" t="s">
        <v>6</v>
      </c>
      <c r="G66" t="s">
        <v>506</v>
      </c>
      <c r="H66" t="s">
        <v>506</v>
      </c>
      <c r="I66" t="s">
        <v>219</v>
      </c>
      <c r="J66" s="25">
        <v>23</v>
      </c>
      <c r="K66" s="26">
        <v>4.55</v>
      </c>
      <c r="L66" s="26">
        <v>0.11</v>
      </c>
    </row>
    <row r="67" spans="1:12" ht="16" customHeight="1">
      <c r="A67" t="s">
        <v>288</v>
      </c>
      <c r="B67" t="s">
        <v>6</v>
      </c>
      <c r="C67" t="s">
        <v>17</v>
      </c>
      <c r="D67" s="24">
        <v>45931</v>
      </c>
      <c r="E67" t="s">
        <v>297</v>
      </c>
      <c r="F67" t="s">
        <v>6</v>
      </c>
      <c r="G67" t="s">
        <v>506</v>
      </c>
      <c r="H67" t="s">
        <v>506</v>
      </c>
      <c r="I67" t="s">
        <v>212</v>
      </c>
      <c r="J67" s="25">
        <v>2017</v>
      </c>
      <c r="K67" s="26">
        <v>388.91</v>
      </c>
      <c r="L67" s="26">
        <v>2.14</v>
      </c>
    </row>
    <row r="68" spans="1:12" ht="16" customHeight="1">
      <c r="A68" t="s">
        <v>288</v>
      </c>
      <c r="B68" t="s">
        <v>6</v>
      </c>
      <c r="C68" t="s">
        <v>17</v>
      </c>
      <c r="D68" s="24">
        <v>45931</v>
      </c>
      <c r="E68" t="s">
        <v>327</v>
      </c>
      <c r="F68" t="s">
        <v>6</v>
      </c>
      <c r="G68" t="s">
        <v>506</v>
      </c>
      <c r="H68" t="s">
        <v>506</v>
      </c>
      <c r="I68" t="s">
        <v>219</v>
      </c>
      <c r="J68" s="25">
        <v>23</v>
      </c>
      <c r="K68" s="26">
        <v>4.57</v>
      </c>
      <c r="L68" s="26">
        <v>0.04</v>
      </c>
    </row>
    <row r="69" spans="1:12" ht="16" customHeight="1">
      <c r="A69" t="s">
        <v>289</v>
      </c>
      <c r="B69" t="s">
        <v>7</v>
      </c>
      <c r="C69" t="s">
        <v>17</v>
      </c>
      <c r="D69" s="24">
        <v>45931</v>
      </c>
      <c r="E69" t="s">
        <v>297</v>
      </c>
      <c r="F69" t="s">
        <v>6</v>
      </c>
      <c r="G69" t="s">
        <v>506</v>
      </c>
      <c r="H69" t="s">
        <v>506</v>
      </c>
      <c r="I69" t="s">
        <v>212</v>
      </c>
      <c r="J69" s="25">
        <v>4418</v>
      </c>
      <c r="K69" s="26">
        <v>860.64</v>
      </c>
      <c r="L69" s="26">
        <v>5.89</v>
      </c>
    </row>
    <row r="70" spans="1:12" ht="16" customHeight="1">
      <c r="A70" t="s">
        <v>289</v>
      </c>
      <c r="B70" t="s">
        <v>7</v>
      </c>
      <c r="C70" t="s">
        <v>17</v>
      </c>
      <c r="D70" s="24">
        <v>45931</v>
      </c>
      <c r="E70" t="s">
        <v>327</v>
      </c>
      <c r="F70" t="s">
        <v>6</v>
      </c>
      <c r="G70" t="s">
        <v>506</v>
      </c>
      <c r="H70" t="s">
        <v>506</v>
      </c>
      <c r="I70" t="s">
        <v>219</v>
      </c>
      <c r="J70" s="25">
        <v>4</v>
      </c>
      <c r="K70" s="26">
        <v>0.79</v>
      </c>
      <c r="L70" s="26">
        <v>0.03</v>
      </c>
    </row>
    <row r="71" spans="1:12" ht="16" customHeight="1">
      <c r="A71" t="s">
        <v>256</v>
      </c>
      <c r="B71" t="s">
        <v>3</v>
      </c>
      <c r="C71" t="s">
        <v>17</v>
      </c>
      <c r="D71" s="24">
        <v>45931</v>
      </c>
      <c r="E71" t="s">
        <v>297</v>
      </c>
      <c r="F71" t="s">
        <v>6</v>
      </c>
      <c r="G71" t="s">
        <v>506</v>
      </c>
      <c r="H71" t="s">
        <v>506</v>
      </c>
      <c r="I71" t="s">
        <v>212</v>
      </c>
      <c r="J71" s="25">
        <v>4441</v>
      </c>
      <c r="K71" s="26">
        <v>876.27</v>
      </c>
      <c r="L71" s="26">
        <v>5.17</v>
      </c>
    </row>
    <row r="72" spans="1:12" ht="16" customHeight="1">
      <c r="A72" t="s">
        <v>256</v>
      </c>
      <c r="B72" t="s">
        <v>3</v>
      </c>
      <c r="C72" t="s">
        <v>17</v>
      </c>
      <c r="D72" s="24">
        <v>45931</v>
      </c>
      <c r="E72" t="s">
        <v>327</v>
      </c>
      <c r="F72" t="s">
        <v>6</v>
      </c>
      <c r="G72" t="s">
        <v>506</v>
      </c>
      <c r="H72" t="s">
        <v>506</v>
      </c>
      <c r="I72" t="s">
        <v>219</v>
      </c>
      <c r="J72" s="25">
        <v>2</v>
      </c>
      <c r="K72" s="26">
        <v>0.39</v>
      </c>
      <c r="L72" s="26">
        <v>0</v>
      </c>
    </row>
    <row r="73" spans="1:12" ht="16" customHeight="1">
      <c r="A73" t="s">
        <v>256</v>
      </c>
      <c r="B73" t="s">
        <v>3</v>
      </c>
      <c r="C73" t="s">
        <v>17</v>
      </c>
      <c r="D73" s="24">
        <v>45931</v>
      </c>
      <c r="E73" t="s">
        <v>353</v>
      </c>
      <c r="F73" t="s">
        <v>5</v>
      </c>
      <c r="G73" t="s">
        <v>507</v>
      </c>
      <c r="H73" t="s">
        <v>507</v>
      </c>
      <c r="I73" t="s">
        <v>221</v>
      </c>
      <c r="J73" s="25">
        <v>11</v>
      </c>
      <c r="K73" s="26">
        <v>2.2000000000000002</v>
      </c>
      <c r="L73" s="26">
        <v>0.04</v>
      </c>
    </row>
    <row r="74" spans="1:12" ht="16" customHeight="1">
      <c r="A74" t="s">
        <v>290</v>
      </c>
      <c r="B74" t="s">
        <v>4</v>
      </c>
      <c r="C74" t="s">
        <v>17</v>
      </c>
      <c r="D74" s="24">
        <v>45931</v>
      </c>
      <c r="E74" t="s">
        <v>297</v>
      </c>
      <c r="F74" t="s">
        <v>6</v>
      </c>
      <c r="G74" t="s">
        <v>506</v>
      </c>
      <c r="H74" t="s">
        <v>506</v>
      </c>
      <c r="I74" t="s">
        <v>212</v>
      </c>
      <c r="J74" s="25">
        <v>607</v>
      </c>
      <c r="K74" s="26">
        <v>119.23</v>
      </c>
      <c r="L74" s="26">
        <v>0.66</v>
      </c>
    </row>
    <row r="75" spans="1:12" ht="16" customHeight="1">
      <c r="A75" t="s">
        <v>290</v>
      </c>
      <c r="B75" t="s">
        <v>4</v>
      </c>
      <c r="C75" t="s">
        <v>17</v>
      </c>
      <c r="D75" s="24">
        <v>45931</v>
      </c>
      <c r="E75" t="s">
        <v>327</v>
      </c>
      <c r="F75" t="s">
        <v>6</v>
      </c>
      <c r="G75" t="s">
        <v>506</v>
      </c>
      <c r="H75" t="s">
        <v>506</v>
      </c>
      <c r="I75" t="s">
        <v>219</v>
      </c>
      <c r="J75" s="25">
        <v>2</v>
      </c>
      <c r="K75" s="26">
        <v>0.4</v>
      </c>
      <c r="L75" s="26">
        <v>0.01</v>
      </c>
    </row>
    <row r="76" spans="1:12" ht="16" customHeight="1">
      <c r="A76" t="s">
        <v>292</v>
      </c>
      <c r="B76" t="s">
        <v>6</v>
      </c>
      <c r="C76" t="s">
        <v>18</v>
      </c>
      <c r="D76" s="24">
        <v>45931</v>
      </c>
      <c r="E76" t="s">
        <v>297</v>
      </c>
      <c r="F76" t="s">
        <v>6</v>
      </c>
      <c r="G76" t="s">
        <v>506</v>
      </c>
      <c r="H76" t="s">
        <v>506</v>
      </c>
      <c r="I76" t="s">
        <v>212</v>
      </c>
      <c r="J76" s="25">
        <v>7862</v>
      </c>
      <c r="K76" s="26">
        <v>1543.69</v>
      </c>
      <c r="L76" s="26">
        <v>7.15</v>
      </c>
    </row>
    <row r="77" spans="1:12" ht="16" customHeight="1">
      <c r="A77" t="s">
        <v>292</v>
      </c>
      <c r="B77" t="s">
        <v>6</v>
      </c>
      <c r="C77" t="s">
        <v>18</v>
      </c>
      <c r="D77" s="24">
        <v>45931</v>
      </c>
      <c r="E77" t="s">
        <v>327</v>
      </c>
      <c r="F77" t="s">
        <v>6</v>
      </c>
      <c r="G77" t="s">
        <v>506</v>
      </c>
      <c r="H77" t="s">
        <v>506</v>
      </c>
      <c r="I77" t="s">
        <v>219</v>
      </c>
      <c r="J77" s="25">
        <v>0</v>
      </c>
      <c r="K77" s="26">
        <v>0</v>
      </c>
      <c r="L77" s="26">
        <v>0</v>
      </c>
    </row>
    <row r="78" spans="1:12" ht="16" customHeight="1">
      <c r="A78" t="s">
        <v>293</v>
      </c>
      <c r="B78" t="s">
        <v>7</v>
      </c>
      <c r="C78" t="s">
        <v>18</v>
      </c>
      <c r="D78" s="24">
        <v>45931</v>
      </c>
      <c r="E78" t="s">
        <v>297</v>
      </c>
      <c r="F78" t="s">
        <v>6</v>
      </c>
      <c r="G78" t="s">
        <v>506</v>
      </c>
      <c r="H78" t="s">
        <v>506</v>
      </c>
      <c r="I78" t="s">
        <v>212</v>
      </c>
      <c r="J78" s="25">
        <v>16056</v>
      </c>
      <c r="K78" s="26">
        <v>3142.99</v>
      </c>
      <c r="L78" s="26">
        <v>13.93</v>
      </c>
    </row>
    <row r="79" spans="1:12" ht="16" customHeight="1">
      <c r="A79" t="s">
        <v>293</v>
      </c>
      <c r="B79" t="s">
        <v>7</v>
      </c>
      <c r="C79" t="s">
        <v>18</v>
      </c>
      <c r="D79" s="24">
        <v>45931</v>
      </c>
      <c r="E79" t="s">
        <v>327</v>
      </c>
      <c r="F79" t="s">
        <v>6</v>
      </c>
      <c r="G79" t="s">
        <v>506</v>
      </c>
      <c r="H79" t="s">
        <v>506</v>
      </c>
      <c r="I79" t="s">
        <v>219</v>
      </c>
      <c r="J79" s="25">
        <v>3</v>
      </c>
      <c r="K79" s="26">
        <v>0.57999999999999996</v>
      </c>
      <c r="L79" s="26">
        <v>0.01</v>
      </c>
    </row>
    <row r="80" spans="1:12" ht="16" customHeight="1">
      <c r="A80" t="s">
        <v>294</v>
      </c>
      <c r="B80" t="s">
        <v>3</v>
      </c>
      <c r="C80" t="s">
        <v>18</v>
      </c>
      <c r="D80" s="24">
        <v>45931</v>
      </c>
      <c r="E80" t="s">
        <v>297</v>
      </c>
      <c r="F80" t="s">
        <v>6</v>
      </c>
      <c r="G80" t="s">
        <v>506</v>
      </c>
      <c r="H80" t="s">
        <v>506</v>
      </c>
      <c r="I80" t="s">
        <v>212</v>
      </c>
      <c r="J80" s="25">
        <v>17155</v>
      </c>
      <c r="K80" s="26">
        <v>3367.13</v>
      </c>
      <c r="L80" s="26">
        <v>11.92</v>
      </c>
    </row>
    <row r="81" spans="1:12" ht="16" customHeight="1">
      <c r="A81" t="s">
        <v>294</v>
      </c>
      <c r="B81" t="s">
        <v>3</v>
      </c>
      <c r="C81" t="s">
        <v>18</v>
      </c>
      <c r="D81" s="24">
        <v>45931</v>
      </c>
      <c r="E81" t="s">
        <v>327</v>
      </c>
      <c r="F81" t="s">
        <v>6</v>
      </c>
      <c r="G81" t="s">
        <v>506</v>
      </c>
      <c r="H81" t="s">
        <v>506</v>
      </c>
      <c r="I81" t="s">
        <v>219</v>
      </c>
      <c r="J81" s="25">
        <v>33</v>
      </c>
      <c r="K81" s="26">
        <v>6.47</v>
      </c>
      <c r="L81" s="26">
        <v>0.11</v>
      </c>
    </row>
    <row r="82" spans="1:12" ht="16" customHeight="1">
      <c r="A82" t="s">
        <v>218</v>
      </c>
      <c r="B82" t="s">
        <v>4</v>
      </c>
      <c r="C82" t="s">
        <v>18</v>
      </c>
      <c r="D82" s="24">
        <v>45931</v>
      </c>
      <c r="E82" t="s">
        <v>297</v>
      </c>
      <c r="F82" t="s">
        <v>6</v>
      </c>
      <c r="G82" t="s">
        <v>506</v>
      </c>
      <c r="H82" t="s">
        <v>506</v>
      </c>
      <c r="I82" t="s">
        <v>212</v>
      </c>
      <c r="J82" s="25">
        <v>44685</v>
      </c>
      <c r="K82" s="26">
        <v>8748.9599999999991</v>
      </c>
      <c r="L82" s="26">
        <v>27.44</v>
      </c>
    </row>
    <row r="83" spans="1:12" ht="16" customHeight="1">
      <c r="A83" t="s">
        <v>218</v>
      </c>
      <c r="B83" t="s">
        <v>4</v>
      </c>
      <c r="C83" t="s">
        <v>18</v>
      </c>
      <c r="D83" s="24">
        <v>45931</v>
      </c>
      <c r="E83" t="s">
        <v>327</v>
      </c>
      <c r="F83" t="s">
        <v>6</v>
      </c>
      <c r="G83" t="s">
        <v>506</v>
      </c>
      <c r="H83" t="s">
        <v>506</v>
      </c>
      <c r="I83" t="s">
        <v>219</v>
      </c>
      <c r="J83" s="25">
        <v>1</v>
      </c>
      <c r="K83" s="26">
        <v>0.2</v>
      </c>
      <c r="L83" s="26">
        <v>0</v>
      </c>
    </row>
    <row r="84" spans="1:12" ht="16" customHeight="1">
      <c r="A84" t="s">
        <v>218</v>
      </c>
      <c r="B84" t="s">
        <v>4</v>
      </c>
      <c r="C84" t="s">
        <v>18</v>
      </c>
      <c r="D84" s="24">
        <v>45931</v>
      </c>
      <c r="E84" t="s">
        <v>353</v>
      </c>
      <c r="F84" t="s">
        <v>5</v>
      </c>
      <c r="G84" t="s">
        <v>507</v>
      </c>
      <c r="H84" t="s">
        <v>507</v>
      </c>
      <c r="I84" t="s">
        <v>221</v>
      </c>
      <c r="J84" s="25">
        <v>4</v>
      </c>
      <c r="K84" s="26">
        <v>0.78</v>
      </c>
      <c r="L84" s="26">
        <v>0.03</v>
      </c>
    </row>
    <row r="85" spans="1:12" ht="16" customHeight="1">
      <c r="A85" t="s">
        <v>295</v>
      </c>
      <c r="B85" t="s">
        <v>5</v>
      </c>
      <c r="C85" t="s">
        <v>19</v>
      </c>
      <c r="D85" s="24">
        <v>45931</v>
      </c>
      <c r="E85" t="s">
        <v>297</v>
      </c>
      <c r="F85" t="s">
        <v>6</v>
      </c>
      <c r="G85" t="s">
        <v>506</v>
      </c>
      <c r="H85" t="s">
        <v>506</v>
      </c>
      <c r="I85" t="s">
        <v>212</v>
      </c>
      <c r="J85" s="25">
        <v>881903</v>
      </c>
      <c r="K85" s="26">
        <v>174155.97</v>
      </c>
      <c r="L85" s="26">
        <v>350.29</v>
      </c>
    </row>
    <row r="86" spans="1:12" ht="16" customHeight="1">
      <c r="A86" t="s">
        <v>295</v>
      </c>
      <c r="B86" t="s">
        <v>5</v>
      </c>
      <c r="C86" t="s">
        <v>19</v>
      </c>
      <c r="D86" s="24">
        <v>45931</v>
      </c>
      <c r="E86" t="s">
        <v>327</v>
      </c>
      <c r="F86" t="s">
        <v>6</v>
      </c>
      <c r="G86" t="s">
        <v>506</v>
      </c>
      <c r="H86" t="s">
        <v>506</v>
      </c>
      <c r="I86" t="s">
        <v>219</v>
      </c>
      <c r="J86" s="25">
        <v>33</v>
      </c>
      <c r="K86" s="26">
        <v>6.58</v>
      </c>
      <c r="L86" s="26">
        <v>0.09</v>
      </c>
    </row>
    <row r="87" spans="1:12" ht="16" customHeight="1">
      <c r="A87" t="s">
        <v>295</v>
      </c>
      <c r="B87" t="s">
        <v>5</v>
      </c>
      <c r="C87" t="s">
        <v>19</v>
      </c>
      <c r="D87" s="24">
        <v>45931</v>
      </c>
      <c r="E87" t="s">
        <v>353</v>
      </c>
      <c r="F87" t="s">
        <v>5</v>
      </c>
      <c r="G87" t="s">
        <v>507</v>
      </c>
      <c r="H87" t="s">
        <v>507</v>
      </c>
      <c r="I87" t="s">
        <v>221</v>
      </c>
      <c r="J87" s="25">
        <v>4</v>
      </c>
      <c r="K87" s="26">
        <v>0.8</v>
      </c>
      <c r="L87" s="26">
        <v>0.05</v>
      </c>
    </row>
    <row r="88" spans="1:12" ht="16" customHeight="1">
      <c r="A88" t="s">
        <v>297</v>
      </c>
      <c r="B88" t="s">
        <v>6</v>
      </c>
      <c r="C88" t="s">
        <v>19</v>
      </c>
      <c r="D88" s="24">
        <v>45931</v>
      </c>
      <c r="E88" t="s">
        <v>297</v>
      </c>
      <c r="F88" t="s">
        <v>6</v>
      </c>
      <c r="G88" t="s">
        <v>506</v>
      </c>
      <c r="H88" t="s">
        <v>506</v>
      </c>
      <c r="I88" t="s">
        <v>212</v>
      </c>
      <c r="J88" s="25">
        <v>4978445</v>
      </c>
      <c r="K88" s="26">
        <v>978318.05</v>
      </c>
      <c r="L88" s="26">
        <v>662.73</v>
      </c>
    </row>
    <row r="89" spans="1:12" ht="16" customHeight="1">
      <c r="A89" t="s">
        <v>297</v>
      </c>
      <c r="B89" t="s">
        <v>6</v>
      </c>
      <c r="C89" t="s">
        <v>19</v>
      </c>
      <c r="D89" s="24">
        <v>45931</v>
      </c>
      <c r="E89" t="s">
        <v>327</v>
      </c>
      <c r="F89" t="s">
        <v>6</v>
      </c>
      <c r="G89" t="s">
        <v>506</v>
      </c>
      <c r="H89" t="s">
        <v>506</v>
      </c>
      <c r="I89" t="s">
        <v>219</v>
      </c>
      <c r="J89" s="25">
        <v>172</v>
      </c>
      <c r="K89" s="26">
        <v>33.950000000000003</v>
      </c>
      <c r="L89" s="26">
        <v>0.27</v>
      </c>
    </row>
    <row r="90" spans="1:12" ht="16" customHeight="1">
      <c r="A90" t="s">
        <v>298</v>
      </c>
      <c r="B90" t="s">
        <v>7</v>
      </c>
      <c r="C90" t="s">
        <v>19</v>
      </c>
      <c r="D90" s="24">
        <v>45931</v>
      </c>
      <c r="E90" t="s">
        <v>327</v>
      </c>
      <c r="F90" t="s">
        <v>6</v>
      </c>
      <c r="G90" t="s">
        <v>506</v>
      </c>
      <c r="H90" t="s">
        <v>506</v>
      </c>
      <c r="I90" t="s">
        <v>219</v>
      </c>
      <c r="J90" s="25">
        <v>1240</v>
      </c>
      <c r="K90" s="26">
        <v>244.25</v>
      </c>
      <c r="L90" s="26">
        <v>2.14</v>
      </c>
    </row>
    <row r="91" spans="1:12" ht="16" customHeight="1">
      <c r="A91" t="s">
        <v>299</v>
      </c>
      <c r="B91" t="s">
        <v>3</v>
      </c>
      <c r="C91" t="s">
        <v>20</v>
      </c>
      <c r="D91" s="24">
        <v>45962</v>
      </c>
      <c r="E91" t="s">
        <v>327</v>
      </c>
      <c r="F91" t="s">
        <v>6</v>
      </c>
      <c r="G91" t="s">
        <v>506</v>
      </c>
      <c r="H91" t="s">
        <v>506</v>
      </c>
      <c r="I91" t="s">
        <v>212</v>
      </c>
      <c r="J91" s="25">
        <v>1274</v>
      </c>
      <c r="K91" s="26">
        <v>252.15</v>
      </c>
      <c r="L91" s="26">
        <v>2.1800000000000002</v>
      </c>
    </row>
    <row r="92" spans="1:12" ht="16" customHeight="1">
      <c r="A92" t="s">
        <v>299</v>
      </c>
      <c r="B92" t="s">
        <v>3</v>
      </c>
      <c r="C92" t="s">
        <v>20</v>
      </c>
      <c r="D92" s="24">
        <v>45962</v>
      </c>
      <c r="E92" t="s">
        <v>353</v>
      </c>
      <c r="F92" t="s">
        <v>5</v>
      </c>
      <c r="G92" t="s">
        <v>507</v>
      </c>
      <c r="H92" t="s">
        <v>507</v>
      </c>
      <c r="I92" t="s">
        <v>219</v>
      </c>
      <c r="J92" s="25">
        <v>4</v>
      </c>
      <c r="K92" s="26">
        <v>0.78</v>
      </c>
      <c r="L92" s="26">
        <v>0.02</v>
      </c>
    </row>
    <row r="93" spans="1:12" ht="16" customHeight="1">
      <c r="A93" t="s">
        <v>262</v>
      </c>
      <c r="B93" t="s">
        <v>4</v>
      </c>
      <c r="C93" t="s">
        <v>20</v>
      </c>
      <c r="D93" s="24">
        <v>45962</v>
      </c>
      <c r="E93" t="s">
        <v>327</v>
      </c>
      <c r="F93" t="s">
        <v>6</v>
      </c>
      <c r="G93" t="s">
        <v>506</v>
      </c>
      <c r="H93" t="s">
        <v>506</v>
      </c>
      <c r="I93" t="s">
        <v>212</v>
      </c>
      <c r="J93" s="25">
        <v>678</v>
      </c>
      <c r="K93" s="26">
        <v>132.9</v>
      </c>
      <c r="L93" s="26">
        <v>0.98</v>
      </c>
    </row>
    <row r="94" spans="1:12" ht="16" customHeight="1">
      <c r="A94" t="s">
        <v>262</v>
      </c>
      <c r="B94" t="s">
        <v>4</v>
      </c>
      <c r="C94" t="s">
        <v>20</v>
      </c>
      <c r="D94" s="24">
        <v>45962</v>
      </c>
      <c r="E94" t="s">
        <v>353</v>
      </c>
      <c r="F94" t="s">
        <v>5</v>
      </c>
      <c r="G94" t="s">
        <v>507</v>
      </c>
      <c r="H94" t="s">
        <v>507</v>
      </c>
      <c r="I94" t="s">
        <v>219</v>
      </c>
      <c r="J94" s="25">
        <v>3</v>
      </c>
      <c r="K94" s="26">
        <v>0.59</v>
      </c>
      <c r="L94" s="26">
        <v>0.02</v>
      </c>
    </row>
    <row r="95" spans="1:12" ht="16" customHeight="1">
      <c r="A95" t="s">
        <v>311</v>
      </c>
      <c r="B95" t="s">
        <v>6</v>
      </c>
      <c r="C95" t="s">
        <v>20</v>
      </c>
      <c r="D95" s="24">
        <v>45962</v>
      </c>
      <c r="E95" t="s">
        <v>327</v>
      </c>
      <c r="F95" t="s">
        <v>6</v>
      </c>
      <c r="G95" t="s">
        <v>506</v>
      </c>
      <c r="H95" t="s">
        <v>506</v>
      </c>
      <c r="I95" t="s">
        <v>212</v>
      </c>
      <c r="J95" s="25">
        <v>1259</v>
      </c>
      <c r="K95" s="26">
        <v>246.91</v>
      </c>
      <c r="L95" s="26">
        <v>1.62</v>
      </c>
    </row>
    <row r="96" spans="1:12" ht="16" customHeight="1">
      <c r="A96" t="s">
        <v>311</v>
      </c>
      <c r="B96" t="s">
        <v>6</v>
      </c>
      <c r="C96" t="s">
        <v>20</v>
      </c>
      <c r="D96" s="24">
        <v>45962</v>
      </c>
      <c r="E96" t="s">
        <v>353</v>
      </c>
      <c r="F96" t="s">
        <v>5</v>
      </c>
      <c r="G96" t="s">
        <v>507</v>
      </c>
      <c r="H96" t="s">
        <v>507</v>
      </c>
      <c r="I96" t="s">
        <v>219</v>
      </c>
      <c r="J96" s="25">
        <v>15</v>
      </c>
      <c r="K96" s="26">
        <v>2.83</v>
      </c>
      <c r="L96" s="26">
        <v>0.02</v>
      </c>
    </row>
    <row r="97" spans="1:12" ht="16" customHeight="1">
      <c r="A97" t="s">
        <v>313</v>
      </c>
      <c r="B97" t="s">
        <v>7</v>
      </c>
      <c r="C97" t="s">
        <v>20</v>
      </c>
      <c r="D97" s="24">
        <v>45962</v>
      </c>
      <c r="E97" t="s">
        <v>327</v>
      </c>
      <c r="F97" t="s">
        <v>6</v>
      </c>
      <c r="G97" t="s">
        <v>506</v>
      </c>
      <c r="H97" t="s">
        <v>506</v>
      </c>
      <c r="I97" t="s">
        <v>212</v>
      </c>
      <c r="J97" s="25">
        <v>2756</v>
      </c>
      <c r="K97" s="26">
        <v>543.35</v>
      </c>
      <c r="L97" s="26">
        <v>2.82</v>
      </c>
    </row>
    <row r="98" spans="1:12" ht="16" customHeight="1">
      <c r="A98" t="s">
        <v>313</v>
      </c>
      <c r="B98" t="s">
        <v>7</v>
      </c>
      <c r="C98" t="s">
        <v>20</v>
      </c>
      <c r="D98" s="24">
        <v>45962</v>
      </c>
      <c r="E98" t="s">
        <v>353</v>
      </c>
      <c r="F98" t="s">
        <v>5</v>
      </c>
      <c r="G98" t="s">
        <v>507</v>
      </c>
      <c r="H98" t="s">
        <v>507</v>
      </c>
      <c r="I98" t="s">
        <v>219</v>
      </c>
      <c r="J98" s="25">
        <v>2</v>
      </c>
      <c r="K98" s="26">
        <v>0.4</v>
      </c>
      <c r="L98" s="26">
        <v>0.01</v>
      </c>
    </row>
    <row r="99" spans="1:12" ht="16" customHeight="1">
      <c r="A99" t="s">
        <v>314</v>
      </c>
      <c r="B99" t="s">
        <v>3</v>
      </c>
      <c r="C99" t="s">
        <v>21</v>
      </c>
      <c r="D99" s="24">
        <v>45962</v>
      </c>
      <c r="E99" t="s">
        <v>327</v>
      </c>
      <c r="F99" t="s">
        <v>6</v>
      </c>
      <c r="G99" t="s">
        <v>506</v>
      </c>
      <c r="H99" t="s">
        <v>506</v>
      </c>
      <c r="I99" t="s">
        <v>212</v>
      </c>
      <c r="J99" s="25">
        <v>1396</v>
      </c>
      <c r="K99" s="26">
        <v>276.36</v>
      </c>
      <c r="L99" s="26">
        <v>1.42</v>
      </c>
    </row>
    <row r="100" spans="1:12" ht="16" customHeight="1">
      <c r="A100" t="s">
        <v>314</v>
      </c>
      <c r="B100" t="s">
        <v>3</v>
      </c>
      <c r="C100" t="s">
        <v>21</v>
      </c>
      <c r="D100" s="24">
        <v>45962</v>
      </c>
      <c r="E100" t="s">
        <v>353</v>
      </c>
      <c r="F100" t="s">
        <v>5</v>
      </c>
      <c r="G100" t="s">
        <v>507</v>
      </c>
      <c r="H100" t="s">
        <v>507</v>
      </c>
      <c r="I100" t="s">
        <v>219</v>
      </c>
      <c r="J100" s="25">
        <v>5</v>
      </c>
      <c r="K100" s="26">
        <v>0.99</v>
      </c>
      <c r="L100" s="26">
        <v>0.01</v>
      </c>
    </row>
    <row r="101" spans="1:12" ht="16" customHeight="1">
      <c r="A101" t="s">
        <v>282</v>
      </c>
      <c r="B101" t="s">
        <v>4</v>
      </c>
      <c r="C101" t="s">
        <v>21</v>
      </c>
      <c r="D101" s="24">
        <v>45962</v>
      </c>
      <c r="E101" t="s">
        <v>327</v>
      </c>
      <c r="F101" t="s">
        <v>6</v>
      </c>
      <c r="G101" t="s">
        <v>506</v>
      </c>
      <c r="H101" t="s">
        <v>506</v>
      </c>
      <c r="I101" t="s">
        <v>212</v>
      </c>
      <c r="J101" s="25">
        <v>1529</v>
      </c>
      <c r="K101" s="26">
        <v>300.20999999999998</v>
      </c>
      <c r="L101" s="26">
        <v>1.79</v>
      </c>
    </row>
    <row r="102" spans="1:12" ht="16" customHeight="1">
      <c r="A102" t="s">
        <v>282</v>
      </c>
      <c r="B102" t="s">
        <v>4</v>
      </c>
      <c r="C102" t="s">
        <v>21</v>
      </c>
      <c r="D102" s="24">
        <v>45962</v>
      </c>
      <c r="E102" t="s">
        <v>353</v>
      </c>
      <c r="F102" t="s">
        <v>5</v>
      </c>
      <c r="G102" t="s">
        <v>507</v>
      </c>
      <c r="H102" t="s">
        <v>507</v>
      </c>
      <c r="I102" t="s">
        <v>219</v>
      </c>
      <c r="J102" s="25">
        <v>46</v>
      </c>
      <c r="K102" s="26">
        <v>9.09</v>
      </c>
      <c r="L102" s="26">
        <v>0.12</v>
      </c>
    </row>
    <row r="103" spans="1:12" ht="16" customHeight="1">
      <c r="A103" t="s">
        <v>282</v>
      </c>
      <c r="B103" t="s">
        <v>4</v>
      </c>
      <c r="C103" t="s">
        <v>21</v>
      </c>
      <c r="D103" s="24">
        <v>45962</v>
      </c>
      <c r="E103" t="s">
        <v>388</v>
      </c>
      <c r="F103" t="s">
        <v>6</v>
      </c>
      <c r="G103" t="s">
        <v>506</v>
      </c>
      <c r="H103" t="s">
        <v>506</v>
      </c>
      <c r="I103" t="s">
        <v>221</v>
      </c>
      <c r="J103" s="25">
        <v>7</v>
      </c>
      <c r="K103" s="26">
        <v>1.32</v>
      </c>
      <c r="L103" s="26">
        <v>0.01</v>
      </c>
    </row>
    <row r="104" spans="1:12" ht="16" customHeight="1">
      <c r="A104" t="s">
        <v>315</v>
      </c>
      <c r="B104" t="s">
        <v>5</v>
      </c>
      <c r="C104" t="s">
        <v>21</v>
      </c>
      <c r="D104" s="24">
        <v>45962</v>
      </c>
      <c r="E104" t="s">
        <v>327</v>
      </c>
      <c r="F104" t="s">
        <v>6</v>
      </c>
      <c r="G104" t="s">
        <v>506</v>
      </c>
      <c r="H104" t="s">
        <v>506</v>
      </c>
      <c r="I104" t="s">
        <v>212</v>
      </c>
      <c r="J104" s="25">
        <v>1546</v>
      </c>
      <c r="K104" s="26">
        <v>306.42</v>
      </c>
      <c r="L104" s="26">
        <v>1.99</v>
      </c>
    </row>
    <row r="105" spans="1:12" ht="16" customHeight="1">
      <c r="A105" t="s">
        <v>315</v>
      </c>
      <c r="B105" t="s">
        <v>5</v>
      </c>
      <c r="C105" t="s">
        <v>21</v>
      </c>
      <c r="D105" s="24">
        <v>45962</v>
      </c>
      <c r="E105" t="s">
        <v>353</v>
      </c>
      <c r="F105" t="s">
        <v>5</v>
      </c>
      <c r="G105" t="s">
        <v>507</v>
      </c>
      <c r="H105" t="s">
        <v>507</v>
      </c>
      <c r="I105" t="s">
        <v>219</v>
      </c>
      <c r="J105" s="25">
        <v>37</v>
      </c>
      <c r="K105" s="26">
        <v>7.35</v>
      </c>
      <c r="L105" s="26">
        <v>0.1</v>
      </c>
    </row>
    <row r="106" spans="1:12" ht="16" customHeight="1">
      <c r="A106" t="s">
        <v>317</v>
      </c>
      <c r="B106" t="s">
        <v>6</v>
      </c>
      <c r="C106" t="s">
        <v>21</v>
      </c>
      <c r="D106" s="24">
        <v>45962</v>
      </c>
      <c r="E106" t="s">
        <v>327</v>
      </c>
      <c r="F106" t="s">
        <v>6</v>
      </c>
      <c r="G106" t="s">
        <v>506</v>
      </c>
      <c r="H106" t="s">
        <v>506</v>
      </c>
      <c r="I106" t="s">
        <v>212</v>
      </c>
      <c r="J106" s="25">
        <v>2023</v>
      </c>
      <c r="K106" s="26">
        <v>396.67</v>
      </c>
      <c r="L106" s="26">
        <v>2.19</v>
      </c>
    </row>
    <row r="107" spans="1:12" ht="16" customHeight="1">
      <c r="A107" t="s">
        <v>317</v>
      </c>
      <c r="B107" t="s">
        <v>6</v>
      </c>
      <c r="C107" t="s">
        <v>21</v>
      </c>
      <c r="D107" s="24">
        <v>45962</v>
      </c>
      <c r="E107" t="s">
        <v>353</v>
      </c>
      <c r="F107" t="s">
        <v>5</v>
      </c>
      <c r="G107" t="s">
        <v>507</v>
      </c>
      <c r="H107" t="s">
        <v>507</v>
      </c>
      <c r="I107" t="s">
        <v>219</v>
      </c>
      <c r="J107" s="25">
        <v>9</v>
      </c>
      <c r="K107" s="26">
        <v>1.76</v>
      </c>
      <c r="L107" s="26">
        <v>0.02</v>
      </c>
    </row>
    <row r="108" spans="1:12" ht="16" customHeight="1">
      <c r="A108" t="s">
        <v>318</v>
      </c>
      <c r="B108" t="s">
        <v>7</v>
      </c>
      <c r="C108" t="s">
        <v>21</v>
      </c>
      <c r="D108" s="24">
        <v>45962</v>
      </c>
      <c r="E108" t="s">
        <v>327</v>
      </c>
      <c r="F108" t="s">
        <v>6</v>
      </c>
      <c r="G108" t="s">
        <v>506</v>
      </c>
      <c r="H108" t="s">
        <v>506</v>
      </c>
      <c r="I108" t="s">
        <v>212</v>
      </c>
      <c r="J108" s="25">
        <v>2700</v>
      </c>
      <c r="K108" s="26">
        <v>531.28</v>
      </c>
      <c r="L108" s="26">
        <v>3.22</v>
      </c>
    </row>
    <row r="109" spans="1:12" ht="16" customHeight="1">
      <c r="A109" t="s">
        <v>318</v>
      </c>
      <c r="B109" t="s">
        <v>7</v>
      </c>
      <c r="C109" t="s">
        <v>21</v>
      </c>
      <c r="D109" s="24">
        <v>45962</v>
      </c>
      <c r="E109" t="s">
        <v>353</v>
      </c>
      <c r="F109" t="s">
        <v>5</v>
      </c>
      <c r="G109" t="s">
        <v>507</v>
      </c>
      <c r="H109" t="s">
        <v>507</v>
      </c>
      <c r="I109" t="s">
        <v>219</v>
      </c>
      <c r="J109" s="25">
        <v>1</v>
      </c>
      <c r="K109" s="26">
        <v>0.2</v>
      </c>
      <c r="L109" s="26">
        <v>0</v>
      </c>
    </row>
    <row r="110" spans="1:12" ht="16" customHeight="1">
      <c r="A110" t="s">
        <v>319</v>
      </c>
      <c r="B110" t="s">
        <v>3</v>
      </c>
      <c r="C110" t="s">
        <v>22</v>
      </c>
      <c r="D110" s="24">
        <v>45962</v>
      </c>
      <c r="E110" t="s">
        <v>327</v>
      </c>
      <c r="F110" t="s">
        <v>6</v>
      </c>
      <c r="G110" t="s">
        <v>506</v>
      </c>
      <c r="H110" t="s">
        <v>506</v>
      </c>
      <c r="I110" t="s">
        <v>212</v>
      </c>
      <c r="J110" s="25">
        <v>2907</v>
      </c>
      <c r="K110" s="26">
        <v>576.44000000000005</v>
      </c>
      <c r="L110" s="26">
        <v>3.23</v>
      </c>
    </row>
    <row r="111" spans="1:12" ht="16" customHeight="1">
      <c r="A111" t="s">
        <v>319</v>
      </c>
      <c r="B111" t="s">
        <v>3</v>
      </c>
      <c r="C111" t="s">
        <v>22</v>
      </c>
      <c r="D111" s="24">
        <v>45962</v>
      </c>
      <c r="E111" t="s">
        <v>353</v>
      </c>
      <c r="F111" t="s">
        <v>5</v>
      </c>
      <c r="G111" t="s">
        <v>507</v>
      </c>
      <c r="H111" t="s">
        <v>507</v>
      </c>
      <c r="I111" t="s">
        <v>219</v>
      </c>
      <c r="J111" s="25">
        <v>6</v>
      </c>
      <c r="K111" s="26">
        <v>1.21</v>
      </c>
      <c r="L111" s="26">
        <v>0.02</v>
      </c>
    </row>
    <row r="112" spans="1:12" ht="16" customHeight="1">
      <c r="A112" t="s">
        <v>287</v>
      </c>
      <c r="B112" t="s">
        <v>4</v>
      </c>
      <c r="C112" t="s">
        <v>22</v>
      </c>
      <c r="D112" s="24">
        <v>45962</v>
      </c>
      <c r="E112" t="s">
        <v>327</v>
      </c>
      <c r="F112" t="s">
        <v>6</v>
      </c>
      <c r="G112" t="s">
        <v>506</v>
      </c>
      <c r="H112" t="s">
        <v>506</v>
      </c>
      <c r="I112" t="s">
        <v>212</v>
      </c>
      <c r="J112" s="25">
        <v>3933</v>
      </c>
      <c r="K112" s="26">
        <v>782.13</v>
      </c>
      <c r="L112" s="26">
        <v>3.89</v>
      </c>
    </row>
    <row r="113" spans="1:12" ht="16" customHeight="1">
      <c r="A113" t="s">
        <v>287</v>
      </c>
      <c r="B113" t="s">
        <v>4</v>
      </c>
      <c r="C113" t="s">
        <v>22</v>
      </c>
      <c r="D113" s="24">
        <v>45962</v>
      </c>
      <c r="E113" t="s">
        <v>353</v>
      </c>
      <c r="F113" t="s">
        <v>5</v>
      </c>
      <c r="G113" t="s">
        <v>507</v>
      </c>
      <c r="H113" t="s">
        <v>507</v>
      </c>
      <c r="I113" t="s">
        <v>219</v>
      </c>
      <c r="J113" s="25">
        <v>0</v>
      </c>
      <c r="K113" s="26">
        <v>0</v>
      </c>
      <c r="L113" s="26">
        <v>0</v>
      </c>
    </row>
    <row r="114" spans="1:12" ht="16" customHeight="1">
      <c r="A114" t="s">
        <v>320</v>
      </c>
      <c r="B114" t="s">
        <v>5</v>
      </c>
      <c r="C114" t="s">
        <v>22</v>
      </c>
      <c r="D114" s="24">
        <v>45962</v>
      </c>
      <c r="E114" t="s">
        <v>327</v>
      </c>
      <c r="F114" t="s">
        <v>6</v>
      </c>
      <c r="G114" t="s">
        <v>506</v>
      </c>
      <c r="H114" t="s">
        <v>506</v>
      </c>
      <c r="I114" t="s">
        <v>212</v>
      </c>
      <c r="J114" s="25">
        <v>5796</v>
      </c>
      <c r="K114" s="26">
        <v>1153.6400000000001</v>
      </c>
      <c r="L114" s="26">
        <v>4.6399999999999997</v>
      </c>
    </row>
    <row r="115" spans="1:12" ht="16" customHeight="1">
      <c r="A115" t="s">
        <v>320</v>
      </c>
      <c r="B115" t="s">
        <v>5</v>
      </c>
      <c r="C115" t="s">
        <v>22</v>
      </c>
      <c r="D115" s="24">
        <v>45962</v>
      </c>
      <c r="E115" t="s">
        <v>353</v>
      </c>
      <c r="F115" t="s">
        <v>5</v>
      </c>
      <c r="G115" t="s">
        <v>507</v>
      </c>
      <c r="H115" t="s">
        <v>507</v>
      </c>
      <c r="I115" t="s">
        <v>219</v>
      </c>
      <c r="J115" s="25">
        <v>2</v>
      </c>
      <c r="K115" s="26">
        <v>0.39</v>
      </c>
      <c r="L115" s="26">
        <v>0</v>
      </c>
    </row>
    <row r="116" spans="1:12" ht="16" customHeight="1">
      <c r="A116" t="s">
        <v>322</v>
      </c>
      <c r="B116" t="s">
        <v>6</v>
      </c>
      <c r="C116" t="s">
        <v>22</v>
      </c>
      <c r="D116" s="24">
        <v>45962</v>
      </c>
      <c r="E116" t="s">
        <v>327</v>
      </c>
      <c r="F116" t="s">
        <v>6</v>
      </c>
      <c r="G116" t="s">
        <v>506</v>
      </c>
      <c r="H116" t="s">
        <v>506</v>
      </c>
      <c r="I116" t="s">
        <v>212</v>
      </c>
      <c r="J116" s="25">
        <v>5271</v>
      </c>
      <c r="K116" s="26">
        <v>1057.1600000000001</v>
      </c>
      <c r="L116" s="26">
        <v>4.53</v>
      </c>
    </row>
    <row r="117" spans="1:12" ht="16" customHeight="1">
      <c r="A117" t="s">
        <v>322</v>
      </c>
      <c r="B117" t="s">
        <v>6</v>
      </c>
      <c r="C117" t="s">
        <v>22</v>
      </c>
      <c r="D117" s="24">
        <v>45962</v>
      </c>
      <c r="E117" t="s">
        <v>353</v>
      </c>
      <c r="F117" t="s">
        <v>5</v>
      </c>
      <c r="G117" t="s">
        <v>507</v>
      </c>
      <c r="H117" t="s">
        <v>507</v>
      </c>
      <c r="I117" t="s">
        <v>219</v>
      </c>
      <c r="J117" s="25">
        <v>0</v>
      </c>
      <c r="K117" s="26">
        <v>0</v>
      </c>
      <c r="L117" s="26">
        <v>0</v>
      </c>
    </row>
    <row r="118" spans="1:12" ht="16" customHeight="1">
      <c r="A118" t="s">
        <v>323</v>
      </c>
      <c r="B118" t="s">
        <v>7</v>
      </c>
      <c r="C118" t="s">
        <v>22</v>
      </c>
      <c r="D118" s="24">
        <v>45962</v>
      </c>
      <c r="E118" t="s">
        <v>327</v>
      </c>
      <c r="F118" t="s">
        <v>6</v>
      </c>
      <c r="G118" t="s">
        <v>506</v>
      </c>
      <c r="H118" t="s">
        <v>506</v>
      </c>
      <c r="I118" t="s">
        <v>212</v>
      </c>
      <c r="J118" s="25">
        <v>7542</v>
      </c>
      <c r="K118" s="26">
        <v>1509.03</v>
      </c>
      <c r="L118" s="26">
        <v>6.28</v>
      </c>
    </row>
    <row r="119" spans="1:12" ht="16" customHeight="1">
      <c r="A119" t="s">
        <v>323</v>
      </c>
      <c r="B119" t="s">
        <v>7</v>
      </c>
      <c r="C119" t="s">
        <v>22</v>
      </c>
      <c r="D119" s="24">
        <v>45962</v>
      </c>
      <c r="E119" t="s">
        <v>353</v>
      </c>
      <c r="F119" t="s">
        <v>5</v>
      </c>
      <c r="G119" t="s">
        <v>507</v>
      </c>
      <c r="H119" t="s">
        <v>507</v>
      </c>
      <c r="I119" t="s">
        <v>219</v>
      </c>
      <c r="J119" s="25">
        <v>1</v>
      </c>
      <c r="K119" s="26">
        <v>0.2</v>
      </c>
      <c r="L119" s="26">
        <v>0</v>
      </c>
    </row>
    <row r="120" spans="1:12" ht="16" customHeight="1">
      <c r="A120" t="s">
        <v>324</v>
      </c>
      <c r="B120" t="s">
        <v>3</v>
      </c>
      <c r="C120" t="s">
        <v>23</v>
      </c>
      <c r="D120" s="24">
        <v>45962</v>
      </c>
      <c r="E120" t="s">
        <v>327</v>
      </c>
      <c r="F120" t="s">
        <v>6</v>
      </c>
      <c r="G120" t="s">
        <v>506</v>
      </c>
      <c r="H120" t="s">
        <v>506</v>
      </c>
      <c r="I120" t="s">
        <v>212</v>
      </c>
      <c r="J120" s="25">
        <v>18719</v>
      </c>
      <c r="K120" s="26">
        <v>3737.35</v>
      </c>
      <c r="L120" s="26">
        <v>11.36</v>
      </c>
    </row>
    <row r="121" spans="1:12" ht="16" customHeight="1">
      <c r="A121" t="s">
        <v>324</v>
      </c>
      <c r="B121" t="s">
        <v>3</v>
      </c>
      <c r="C121" t="s">
        <v>23</v>
      </c>
      <c r="D121" s="24">
        <v>45962</v>
      </c>
      <c r="E121" t="s">
        <v>353</v>
      </c>
      <c r="F121" t="s">
        <v>5</v>
      </c>
      <c r="G121" t="s">
        <v>507</v>
      </c>
      <c r="H121" t="s">
        <v>507</v>
      </c>
      <c r="I121" t="s">
        <v>219</v>
      </c>
      <c r="J121" s="25">
        <v>0</v>
      </c>
      <c r="K121" s="26">
        <v>0</v>
      </c>
      <c r="L121" s="26">
        <v>0</v>
      </c>
    </row>
    <row r="122" spans="1:12" ht="16" customHeight="1">
      <c r="A122" t="s">
        <v>220</v>
      </c>
      <c r="B122" t="s">
        <v>4</v>
      </c>
      <c r="C122" t="s">
        <v>23</v>
      </c>
      <c r="D122" s="24">
        <v>45962</v>
      </c>
      <c r="E122" t="s">
        <v>327</v>
      </c>
      <c r="F122" t="s">
        <v>6</v>
      </c>
      <c r="G122" t="s">
        <v>506</v>
      </c>
      <c r="H122" t="s">
        <v>506</v>
      </c>
      <c r="I122" t="s">
        <v>212</v>
      </c>
      <c r="J122" s="25">
        <v>39960</v>
      </c>
      <c r="K122" s="26">
        <v>7935.58</v>
      </c>
      <c r="L122" s="26">
        <v>19.13</v>
      </c>
    </row>
    <row r="123" spans="1:12" ht="16" customHeight="1">
      <c r="A123" t="s">
        <v>220</v>
      </c>
      <c r="B123" t="s">
        <v>4</v>
      </c>
      <c r="C123" t="s">
        <v>23</v>
      </c>
      <c r="D123" s="24">
        <v>45962</v>
      </c>
      <c r="E123" t="s">
        <v>353</v>
      </c>
      <c r="F123" t="s">
        <v>5</v>
      </c>
      <c r="G123" t="s">
        <v>507</v>
      </c>
      <c r="H123" t="s">
        <v>507</v>
      </c>
      <c r="I123" t="s">
        <v>219</v>
      </c>
      <c r="J123" s="25">
        <v>7</v>
      </c>
      <c r="K123" s="26">
        <v>1.3</v>
      </c>
      <c r="L123" s="26">
        <v>0</v>
      </c>
    </row>
    <row r="124" spans="1:12" ht="16" customHeight="1">
      <c r="A124" t="s">
        <v>325</v>
      </c>
      <c r="B124" t="s">
        <v>5</v>
      </c>
      <c r="C124" t="s">
        <v>23</v>
      </c>
      <c r="D124" s="24">
        <v>45962</v>
      </c>
      <c r="E124" t="s">
        <v>327</v>
      </c>
      <c r="F124" t="s">
        <v>6</v>
      </c>
      <c r="G124" t="s">
        <v>506</v>
      </c>
      <c r="H124" t="s">
        <v>506</v>
      </c>
      <c r="I124" t="s">
        <v>212</v>
      </c>
      <c r="J124" s="25">
        <v>870644</v>
      </c>
      <c r="K124" s="26">
        <v>174147.13</v>
      </c>
      <c r="L124" s="26">
        <v>296.44</v>
      </c>
    </row>
    <row r="125" spans="1:12" ht="16" customHeight="1">
      <c r="A125" t="s">
        <v>325</v>
      </c>
      <c r="B125" t="s">
        <v>5</v>
      </c>
      <c r="C125" t="s">
        <v>23</v>
      </c>
      <c r="D125" s="24">
        <v>45962</v>
      </c>
      <c r="E125" t="s">
        <v>353</v>
      </c>
      <c r="F125" t="s">
        <v>5</v>
      </c>
      <c r="G125" t="s">
        <v>507</v>
      </c>
      <c r="H125" t="s">
        <v>507</v>
      </c>
      <c r="I125" t="s">
        <v>219</v>
      </c>
      <c r="J125" s="25">
        <v>24</v>
      </c>
      <c r="K125" s="26">
        <v>4.57</v>
      </c>
      <c r="L125" s="26">
        <v>0</v>
      </c>
    </row>
    <row r="126" spans="1:12" ht="16" customHeight="1">
      <c r="A126" t="s">
        <v>327</v>
      </c>
      <c r="B126" t="s">
        <v>6</v>
      </c>
      <c r="C126" t="s">
        <v>23</v>
      </c>
      <c r="D126" s="24">
        <v>45962</v>
      </c>
      <c r="E126" t="s">
        <v>327</v>
      </c>
      <c r="F126" t="s">
        <v>6</v>
      </c>
      <c r="G126" t="s">
        <v>506</v>
      </c>
      <c r="H126" t="s">
        <v>506</v>
      </c>
      <c r="I126" t="s">
        <v>212</v>
      </c>
      <c r="J126" s="25">
        <v>6809087</v>
      </c>
      <c r="K126" s="26">
        <v>1367238.33</v>
      </c>
      <c r="L126" s="26">
        <v>892</v>
      </c>
    </row>
    <row r="127" spans="1:12" ht="16" customHeight="1">
      <c r="A127" t="s">
        <v>327</v>
      </c>
      <c r="B127" t="s">
        <v>6</v>
      </c>
      <c r="C127" t="s">
        <v>23</v>
      </c>
      <c r="D127" s="24">
        <v>45962</v>
      </c>
      <c r="E127" t="s">
        <v>353</v>
      </c>
      <c r="F127" t="s">
        <v>5</v>
      </c>
      <c r="G127" t="s">
        <v>507</v>
      </c>
      <c r="H127" t="s">
        <v>507</v>
      </c>
      <c r="I127" t="s">
        <v>219</v>
      </c>
      <c r="J127" s="25">
        <v>948</v>
      </c>
      <c r="K127" s="26">
        <v>189.43</v>
      </c>
      <c r="L127" s="26">
        <v>1.08</v>
      </c>
    </row>
    <row r="128" spans="1:12" ht="16" customHeight="1">
      <c r="A128" t="s">
        <v>328</v>
      </c>
      <c r="B128" t="s">
        <v>7</v>
      </c>
      <c r="C128" t="s">
        <v>23</v>
      </c>
      <c r="D128" s="24">
        <v>45962</v>
      </c>
      <c r="E128" t="s">
        <v>353</v>
      </c>
      <c r="F128" t="s">
        <v>5</v>
      </c>
      <c r="G128" t="s">
        <v>507</v>
      </c>
      <c r="H128" t="s">
        <v>507</v>
      </c>
      <c r="I128" t="s">
        <v>219</v>
      </c>
      <c r="J128" s="25">
        <v>2768</v>
      </c>
      <c r="K128" s="26">
        <v>560.48</v>
      </c>
      <c r="L128" s="26">
        <v>4.68</v>
      </c>
    </row>
    <row r="129" spans="1:12" ht="16" customHeight="1">
      <c r="A129" t="s">
        <v>329</v>
      </c>
      <c r="B129" t="s">
        <v>3</v>
      </c>
      <c r="C129" t="s">
        <v>25</v>
      </c>
      <c r="D129" s="24">
        <v>45992</v>
      </c>
      <c r="E129" t="s">
        <v>353</v>
      </c>
      <c r="F129" t="s">
        <v>5</v>
      </c>
      <c r="G129" t="s">
        <v>507</v>
      </c>
      <c r="H129" t="s">
        <v>507</v>
      </c>
      <c r="I129" t="s">
        <v>212</v>
      </c>
      <c r="J129" s="25">
        <v>2680</v>
      </c>
      <c r="K129" s="26">
        <v>545.39</v>
      </c>
      <c r="L129" s="26">
        <v>4.18</v>
      </c>
    </row>
    <row r="130" spans="1:12" ht="16" customHeight="1">
      <c r="A130" t="s">
        <v>291</v>
      </c>
      <c r="B130" t="s">
        <v>4</v>
      </c>
      <c r="C130" t="s">
        <v>25</v>
      </c>
      <c r="D130" s="24">
        <v>45992</v>
      </c>
      <c r="E130" t="s">
        <v>353</v>
      </c>
      <c r="F130" t="s">
        <v>5</v>
      </c>
      <c r="G130" t="s">
        <v>507</v>
      </c>
      <c r="H130" t="s">
        <v>507</v>
      </c>
      <c r="I130" t="s">
        <v>212</v>
      </c>
      <c r="J130" s="25">
        <v>1672</v>
      </c>
      <c r="K130" s="26">
        <v>338.08</v>
      </c>
      <c r="L130" s="26">
        <v>2.17</v>
      </c>
    </row>
    <row r="131" spans="1:12" ht="16" customHeight="1">
      <c r="A131" t="s">
        <v>338</v>
      </c>
      <c r="B131" t="s">
        <v>5</v>
      </c>
      <c r="C131" t="s">
        <v>25</v>
      </c>
      <c r="D131" s="24">
        <v>45992</v>
      </c>
      <c r="E131" t="s">
        <v>353</v>
      </c>
      <c r="F131" t="s">
        <v>5</v>
      </c>
      <c r="G131" t="s">
        <v>507</v>
      </c>
      <c r="H131" t="s">
        <v>507</v>
      </c>
      <c r="I131" t="s">
        <v>212</v>
      </c>
      <c r="J131" s="25">
        <v>1498</v>
      </c>
      <c r="K131" s="26">
        <v>302.74</v>
      </c>
      <c r="L131" s="26">
        <v>1.95</v>
      </c>
    </row>
    <row r="132" spans="1:12" ht="16" customHeight="1">
      <c r="A132" t="s">
        <v>340</v>
      </c>
      <c r="B132" t="s">
        <v>6</v>
      </c>
      <c r="C132" t="s">
        <v>25</v>
      </c>
      <c r="D132" s="24">
        <v>45992</v>
      </c>
      <c r="E132" t="s">
        <v>353</v>
      </c>
      <c r="F132" t="s">
        <v>5</v>
      </c>
      <c r="G132" t="s">
        <v>507</v>
      </c>
      <c r="H132" t="s">
        <v>507</v>
      </c>
      <c r="I132" t="s">
        <v>212</v>
      </c>
      <c r="J132" s="25">
        <v>1693</v>
      </c>
      <c r="K132" s="26">
        <v>341.04</v>
      </c>
      <c r="L132" s="26">
        <v>2.23</v>
      </c>
    </row>
    <row r="133" spans="1:12" ht="16" customHeight="1">
      <c r="A133" t="s">
        <v>340</v>
      </c>
      <c r="B133" t="s">
        <v>6</v>
      </c>
      <c r="C133" t="s">
        <v>25</v>
      </c>
      <c r="D133" s="24">
        <v>45992</v>
      </c>
      <c r="E133" t="s">
        <v>388</v>
      </c>
      <c r="F133" t="s">
        <v>6</v>
      </c>
      <c r="G133" t="s">
        <v>506</v>
      </c>
      <c r="H133" t="s">
        <v>506</v>
      </c>
      <c r="I133" t="s">
        <v>219</v>
      </c>
      <c r="J133" s="25">
        <v>11</v>
      </c>
      <c r="K133" s="26">
        <v>2.2200000000000002</v>
      </c>
      <c r="L133" s="26">
        <v>0.09</v>
      </c>
    </row>
    <row r="134" spans="1:12" ht="16" customHeight="1">
      <c r="A134" t="s">
        <v>341</v>
      </c>
      <c r="B134" t="s">
        <v>7</v>
      </c>
      <c r="C134" t="s">
        <v>25</v>
      </c>
      <c r="D134" s="24">
        <v>45992</v>
      </c>
      <c r="E134" t="s">
        <v>353</v>
      </c>
      <c r="F134" t="s">
        <v>5</v>
      </c>
      <c r="G134" t="s">
        <v>507</v>
      </c>
      <c r="H134" t="s">
        <v>507</v>
      </c>
      <c r="I134" t="s">
        <v>212</v>
      </c>
      <c r="J134" s="25">
        <v>3703</v>
      </c>
      <c r="K134" s="26">
        <v>749</v>
      </c>
      <c r="L134" s="26">
        <v>3.86</v>
      </c>
    </row>
    <row r="135" spans="1:12" ht="16" customHeight="1">
      <c r="A135" t="s">
        <v>341</v>
      </c>
      <c r="B135" t="s">
        <v>7</v>
      </c>
      <c r="C135" t="s">
        <v>25</v>
      </c>
      <c r="D135" s="24">
        <v>45992</v>
      </c>
      <c r="E135" t="s">
        <v>388</v>
      </c>
      <c r="F135" t="s">
        <v>6</v>
      </c>
      <c r="G135" t="s">
        <v>506</v>
      </c>
      <c r="H135" t="s">
        <v>506</v>
      </c>
      <c r="I135" t="s">
        <v>219</v>
      </c>
      <c r="J135" s="25">
        <v>1</v>
      </c>
      <c r="K135" s="26">
        <v>0.2</v>
      </c>
      <c r="L135" s="26">
        <v>0.01</v>
      </c>
    </row>
    <row r="136" spans="1:12" ht="16" customHeight="1">
      <c r="A136" t="s">
        <v>342</v>
      </c>
      <c r="B136" t="s">
        <v>3</v>
      </c>
      <c r="C136" t="s">
        <v>26</v>
      </c>
      <c r="D136" s="24">
        <v>45992</v>
      </c>
      <c r="E136" t="s">
        <v>353</v>
      </c>
      <c r="F136" t="s">
        <v>5</v>
      </c>
      <c r="G136" t="s">
        <v>507</v>
      </c>
      <c r="H136" t="s">
        <v>507</v>
      </c>
      <c r="I136" t="s">
        <v>212</v>
      </c>
      <c r="J136" s="25">
        <v>2722</v>
      </c>
      <c r="K136" s="26">
        <v>548.73</v>
      </c>
      <c r="L136" s="26">
        <v>3.32</v>
      </c>
    </row>
    <row r="137" spans="1:12" ht="16" customHeight="1">
      <c r="A137" t="s">
        <v>342</v>
      </c>
      <c r="B137" t="s">
        <v>3</v>
      </c>
      <c r="C137" t="s">
        <v>26</v>
      </c>
      <c r="D137" s="24">
        <v>45992</v>
      </c>
      <c r="E137" t="s">
        <v>388</v>
      </c>
      <c r="F137" t="s">
        <v>6</v>
      </c>
      <c r="G137" t="s">
        <v>506</v>
      </c>
      <c r="H137" t="s">
        <v>506</v>
      </c>
      <c r="I137" t="s">
        <v>219</v>
      </c>
      <c r="J137" s="25">
        <v>0</v>
      </c>
      <c r="K137" s="26">
        <v>0</v>
      </c>
      <c r="L137" s="26">
        <v>0</v>
      </c>
    </row>
    <row r="138" spans="1:12" ht="16" customHeight="1">
      <c r="A138" t="s">
        <v>312</v>
      </c>
      <c r="B138" t="s">
        <v>4</v>
      </c>
      <c r="C138" t="s">
        <v>26</v>
      </c>
      <c r="D138" s="24">
        <v>45992</v>
      </c>
      <c r="E138" t="s">
        <v>353</v>
      </c>
      <c r="F138" t="s">
        <v>5</v>
      </c>
      <c r="G138" t="s">
        <v>507</v>
      </c>
      <c r="H138" t="s">
        <v>507</v>
      </c>
      <c r="I138" t="s">
        <v>212</v>
      </c>
      <c r="J138" s="25">
        <v>3096</v>
      </c>
      <c r="K138" s="26">
        <v>621.41</v>
      </c>
      <c r="L138" s="26">
        <v>2.84</v>
      </c>
    </row>
    <row r="139" spans="1:12" ht="16" customHeight="1">
      <c r="A139" t="s">
        <v>312</v>
      </c>
      <c r="B139" t="s">
        <v>4</v>
      </c>
      <c r="C139" t="s">
        <v>26</v>
      </c>
      <c r="D139" s="24">
        <v>45992</v>
      </c>
      <c r="E139" t="s">
        <v>388</v>
      </c>
      <c r="F139" t="s">
        <v>6</v>
      </c>
      <c r="G139" t="s">
        <v>506</v>
      </c>
      <c r="H139" t="s">
        <v>506</v>
      </c>
      <c r="I139" t="s">
        <v>219</v>
      </c>
      <c r="J139" s="25">
        <v>0</v>
      </c>
      <c r="K139" s="26">
        <v>0</v>
      </c>
      <c r="L139" s="26">
        <v>0</v>
      </c>
    </row>
    <row r="140" spans="1:12" ht="16" customHeight="1">
      <c r="A140" t="s">
        <v>343</v>
      </c>
      <c r="B140" t="s">
        <v>5</v>
      </c>
      <c r="C140" t="s">
        <v>26</v>
      </c>
      <c r="D140" s="24">
        <v>45992</v>
      </c>
      <c r="E140" t="s">
        <v>353</v>
      </c>
      <c r="F140" t="s">
        <v>5</v>
      </c>
      <c r="G140" t="s">
        <v>507</v>
      </c>
      <c r="H140" t="s">
        <v>507</v>
      </c>
      <c r="I140" t="s">
        <v>212</v>
      </c>
      <c r="J140" s="25">
        <v>4106</v>
      </c>
      <c r="K140" s="26">
        <v>817.18</v>
      </c>
      <c r="L140" s="26">
        <v>3.8</v>
      </c>
    </row>
    <row r="141" spans="1:12" ht="16" customHeight="1">
      <c r="A141" t="s">
        <v>343</v>
      </c>
      <c r="B141" t="s">
        <v>5</v>
      </c>
      <c r="C141" t="s">
        <v>26</v>
      </c>
      <c r="D141" s="24">
        <v>45992</v>
      </c>
      <c r="E141" t="s">
        <v>388</v>
      </c>
      <c r="F141" t="s">
        <v>6</v>
      </c>
      <c r="G141" t="s">
        <v>506</v>
      </c>
      <c r="H141" t="s">
        <v>506</v>
      </c>
      <c r="I141" t="s">
        <v>219</v>
      </c>
      <c r="J141" s="25">
        <v>0</v>
      </c>
      <c r="K141" s="26">
        <v>0</v>
      </c>
      <c r="L141" s="26">
        <v>0</v>
      </c>
    </row>
    <row r="142" spans="1:12" ht="16" customHeight="1">
      <c r="A142" t="s">
        <v>345</v>
      </c>
      <c r="B142" t="s">
        <v>6</v>
      </c>
      <c r="C142" t="s">
        <v>26</v>
      </c>
      <c r="D142" s="24">
        <v>45992</v>
      </c>
      <c r="E142" t="s">
        <v>353</v>
      </c>
      <c r="F142" t="s">
        <v>5</v>
      </c>
      <c r="G142" t="s">
        <v>507</v>
      </c>
      <c r="H142" t="s">
        <v>507</v>
      </c>
      <c r="I142" t="s">
        <v>212</v>
      </c>
      <c r="J142" s="25">
        <v>4232</v>
      </c>
      <c r="K142" s="26">
        <v>851.71</v>
      </c>
      <c r="L142" s="26">
        <v>4.0999999999999996</v>
      </c>
    </row>
    <row r="143" spans="1:12" ht="16" customHeight="1">
      <c r="A143" t="s">
        <v>345</v>
      </c>
      <c r="B143" t="s">
        <v>6</v>
      </c>
      <c r="C143" t="s">
        <v>26</v>
      </c>
      <c r="D143" s="24">
        <v>45992</v>
      </c>
      <c r="E143" t="s">
        <v>388</v>
      </c>
      <c r="F143" t="s">
        <v>6</v>
      </c>
      <c r="G143" t="s">
        <v>506</v>
      </c>
      <c r="H143" t="s">
        <v>506</v>
      </c>
      <c r="I143" t="s">
        <v>219</v>
      </c>
      <c r="J143" s="25">
        <v>0</v>
      </c>
      <c r="K143" s="26">
        <v>0</v>
      </c>
      <c r="L143" s="26">
        <v>0</v>
      </c>
    </row>
    <row r="144" spans="1:12" ht="16" customHeight="1">
      <c r="A144" t="s">
        <v>346</v>
      </c>
      <c r="B144" t="s">
        <v>7</v>
      </c>
      <c r="C144" t="s">
        <v>26</v>
      </c>
      <c r="D144" s="24">
        <v>45992</v>
      </c>
      <c r="E144" t="s">
        <v>353</v>
      </c>
      <c r="F144" t="s">
        <v>5</v>
      </c>
      <c r="G144" t="s">
        <v>507</v>
      </c>
      <c r="H144" t="s">
        <v>507</v>
      </c>
      <c r="I144" t="s">
        <v>212</v>
      </c>
      <c r="J144" s="25">
        <v>3664</v>
      </c>
      <c r="K144" s="26">
        <v>737.44</v>
      </c>
      <c r="L144" s="26">
        <v>3.07</v>
      </c>
    </row>
    <row r="145" spans="1:12" ht="16" customHeight="1">
      <c r="A145" t="s">
        <v>346</v>
      </c>
      <c r="B145" t="s">
        <v>7</v>
      </c>
      <c r="C145" t="s">
        <v>26</v>
      </c>
      <c r="D145" s="24">
        <v>45992</v>
      </c>
      <c r="E145" t="s">
        <v>388</v>
      </c>
      <c r="F145" t="s">
        <v>6</v>
      </c>
      <c r="G145" t="s">
        <v>506</v>
      </c>
      <c r="H145" t="s">
        <v>506</v>
      </c>
      <c r="I145" t="s">
        <v>219</v>
      </c>
      <c r="J145" s="25">
        <v>0</v>
      </c>
      <c r="K145" s="26">
        <v>0</v>
      </c>
      <c r="L145" s="26">
        <v>0</v>
      </c>
    </row>
    <row r="146" spans="1:12" ht="16" customHeight="1">
      <c r="A146" t="s">
        <v>347</v>
      </c>
      <c r="B146" t="s">
        <v>3</v>
      </c>
      <c r="C146" t="s">
        <v>27</v>
      </c>
      <c r="D146" s="24">
        <v>45992</v>
      </c>
      <c r="E146" t="s">
        <v>353</v>
      </c>
      <c r="F146" t="s">
        <v>5</v>
      </c>
      <c r="G146" t="s">
        <v>507</v>
      </c>
      <c r="H146" t="s">
        <v>507</v>
      </c>
      <c r="I146" t="s">
        <v>212</v>
      </c>
      <c r="J146" s="25">
        <v>3419</v>
      </c>
      <c r="K146" s="26">
        <v>690.23</v>
      </c>
      <c r="L146" s="26">
        <v>2.86</v>
      </c>
    </row>
    <row r="147" spans="1:12" ht="16" customHeight="1">
      <c r="A147" t="s">
        <v>347</v>
      </c>
      <c r="B147" t="s">
        <v>3</v>
      </c>
      <c r="C147" t="s">
        <v>27</v>
      </c>
      <c r="D147" s="24">
        <v>45992</v>
      </c>
      <c r="E147" t="s">
        <v>388</v>
      </c>
      <c r="F147" t="s">
        <v>6</v>
      </c>
      <c r="G147" t="s">
        <v>506</v>
      </c>
      <c r="H147" t="s">
        <v>506</v>
      </c>
      <c r="I147" t="s">
        <v>219</v>
      </c>
      <c r="J147" s="25">
        <v>0</v>
      </c>
      <c r="K147" s="26">
        <v>0</v>
      </c>
      <c r="L147" s="26">
        <v>0</v>
      </c>
    </row>
    <row r="148" spans="1:12" ht="16" customHeight="1">
      <c r="A148" t="s">
        <v>316</v>
      </c>
      <c r="B148" t="s">
        <v>4</v>
      </c>
      <c r="C148" t="s">
        <v>27</v>
      </c>
      <c r="D148" s="24">
        <v>45992</v>
      </c>
      <c r="E148" t="s">
        <v>353</v>
      </c>
      <c r="F148" t="s">
        <v>5</v>
      </c>
      <c r="G148" t="s">
        <v>507</v>
      </c>
      <c r="H148" t="s">
        <v>507</v>
      </c>
      <c r="I148" t="s">
        <v>212</v>
      </c>
      <c r="J148" s="25">
        <v>8489</v>
      </c>
      <c r="K148" s="26">
        <v>1701.44</v>
      </c>
      <c r="L148" s="26">
        <v>6.82</v>
      </c>
    </row>
    <row r="149" spans="1:12" ht="16" customHeight="1">
      <c r="A149" t="s">
        <v>316</v>
      </c>
      <c r="B149" t="s">
        <v>4</v>
      </c>
      <c r="C149" t="s">
        <v>27</v>
      </c>
      <c r="D149" s="24">
        <v>45992</v>
      </c>
      <c r="E149" t="s">
        <v>388</v>
      </c>
      <c r="F149" t="s">
        <v>6</v>
      </c>
      <c r="G149" t="s">
        <v>506</v>
      </c>
      <c r="H149" t="s">
        <v>506</v>
      </c>
      <c r="I149" t="s">
        <v>219</v>
      </c>
      <c r="J149" s="25">
        <v>1</v>
      </c>
      <c r="K149" s="26">
        <v>0.18</v>
      </c>
      <c r="L149" s="26">
        <v>0</v>
      </c>
    </row>
    <row r="150" spans="1:12" ht="16" customHeight="1">
      <c r="A150" t="s">
        <v>316</v>
      </c>
      <c r="B150" t="s">
        <v>4</v>
      </c>
      <c r="C150" t="s">
        <v>27</v>
      </c>
      <c r="D150" s="24">
        <v>45992</v>
      </c>
      <c r="E150" t="s">
        <v>417</v>
      </c>
      <c r="F150" t="s">
        <v>6</v>
      </c>
      <c r="G150" t="s">
        <v>506</v>
      </c>
      <c r="H150" t="s">
        <v>506</v>
      </c>
      <c r="I150" t="s">
        <v>221</v>
      </c>
      <c r="J150" s="25">
        <v>0</v>
      </c>
      <c r="K150" s="26">
        <v>0</v>
      </c>
      <c r="L150" s="26">
        <v>0</v>
      </c>
    </row>
    <row r="151" spans="1:12" ht="16" customHeight="1">
      <c r="A151" t="s">
        <v>348</v>
      </c>
      <c r="B151" t="s">
        <v>5</v>
      </c>
      <c r="C151" t="s">
        <v>27</v>
      </c>
      <c r="D151" s="24">
        <v>45992</v>
      </c>
      <c r="E151" t="s">
        <v>353</v>
      </c>
      <c r="F151" t="s">
        <v>5</v>
      </c>
      <c r="G151" t="s">
        <v>507</v>
      </c>
      <c r="H151" t="s">
        <v>507</v>
      </c>
      <c r="I151" t="s">
        <v>212</v>
      </c>
      <c r="J151" s="25">
        <v>9577</v>
      </c>
      <c r="K151" s="26">
        <v>1917.58</v>
      </c>
      <c r="L151" s="26">
        <v>6.51</v>
      </c>
    </row>
    <row r="152" spans="1:12" ht="16" customHeight="1">
      <c r="A152" t="s">
        <v>348</v>
      </c>
      <c r="B152" t="s">
        <v>5</v>
      </c>
      <c r="C152" t="s">
        <v>27</v>
      </c>
      <c r="D152" s="24">
        <v>45992</v>
      </c>
      <c r="E152" t="s">
        <v>388</v>
      </c>
      <c r="F152" t="s">
        <v>6</v>
      </c>
      <c r="G152" t="s">
        <v>506</v>
      </c>
      <c r="H152" t="s">
        <v>506</v>
      </c>
      <c r="I152" t="s">
        <v>219</v>
      </c>
      <c r="J152" s="25">
        <v>0</v>
      </c>
      <c r="K152" s="26">
        <v>0</v>
      </c>
      <c r="L152" s="26">
        <v>0</v>
      </c>
    </row>
    <row r="153" spans="1:12" ht="16" customHeight="1">
      <c r="A153" t="s">
        <v>348</v>
      </c>
      <c r="B153" t="s">
        <v>5</v>
      </c>
      <c r="C153" t="s">
        <v>27</v>
      </c>
      <c r="D153" s="24">
        <v>45992</v>
      </c>
      <c r="E153" t="s">
        <v>417</v>
      </c>
      <c r="F153" t="s">
        <v>6</v>
      </c>
      <c r="G153" t="s">
        <v>506</v>
      </c>
      <c r="H153" t="s">
        <v>506</v>
      </c>
      <c r="I153" t="s">
        <v>221</v>
      </c>
      <c r="J153" s="25">
        <v>0</v>
      </c>
      <c r="K153" s="26">
        <v>0</v>
      </c>
      <c r="L153" s="26">
        <v>0</v>
      </c>
    </row>
    <row r="154" spans="1:12" ht="16" customHeight="1">
      <c r="A154" t="s">
        <v>350</v>
      </c>
      <c r="B154" t="s">
        <v>6</v>
      </c>
      <c r="C154" t="s">
        <v>27</v>
      </c>
      <c r="D154" s="24">
        <v>45992</v>
      </c>
      <c r="E154" t="s">
        <v>353</v>
      </c>
      <c r="F154" t="s">
        <v>5</v>
      </c>
      <c r="G154" t="s">
        <v>507</v>
      </c>
      <c r="H154" t="s">
        <v>507</v>
      </c>
      <c r="I154" t="s">
        <v>212</v>
      </c>
      <c r="J154" s="25">
        <v>12385</v>
      </c>
      <c r="K154" s="26">
        <v>2468.4899999999998</v>
      </c>
      <c r="L154" s="26">
        <v>7.13</v>
      </c>
    </row>
    <row r="155" spans="1:12" ht="16" customHeight="1">
      <c r="A155" t="s">
        <v>350</v>
      </c>
      <c r="B155" t="s">
        <v>6</v>
      </c>
      <c r="C155" t="s">
        <v>27</v>
      </c>
      <c r="D155" s="24">
        <v>45992</v>
      </c>
      <c r="E155" t="s">
        <v>388</v>
      </c>
      <c r="F155" t="s">
        <v>6</v>
      </c>
      <c r="G155" t="s">
        <v>506</v>
      </c>
      <c r="H155" t="s">
        <v>506</v>
      </c>
      <c r="I155" t="s">
        <v>219</v>
      </c>
      <c r="J155" s="25">
        <v>3</v>
      </c>
      <c r="K155" s="26">
        <v>0.6</v>
      </c>
      <c r="L155" s="26">
        <v>0.02</v>
      </c>
    </row>
    <row r="156" spans="1:12" ht="16" customHeight="1">
      <c r="A156" t="s">
        <v>350</v>
      </c>
      <c r="B156" t="s">
        <v>6</v>
      </c>
      <c r="C156" t="s">
        <v>27</v>
      </c>
      <c r="D156" s="24">
        <v>45992</v>
      </c>
      <c r="E156" t="s">
        <v>417</v>
      </c>
      <c r="F156" t="s">
        <v>6</v>
      </c>
      <c r="G156" t="s">
        <v>506</v>
      </c>
      <c r="H156" t="s">
        <v>506</v>
      </c>
      <c r="I156" t="s">
        <v>221</v>
      </c>
      <c r="J156" s="25">
        <v>0</v>
      </c>
      <c r="K156" s="26">
        <v>0</v>
      </c>
      <c r="L156" s="26">
        <v>0</v>
      </c>
    </row>
    <row r="157" spans="1:12" ht="16" customHeight="1">
      <c r="A157" t="s">
        <v>351</v>
      </c>
      <c r="B157" t="s">
        <v>7</v>
      </c>
      <c r="C157" t="s">
        <v>27</v>
      </c>
      <c r="D157" s="24">
        <v>45992</v>
      </c>
      <c r="E157" t="s">
        <v>353</v>
      </c>
      <c r="F157" t="s">
        <v>5</v>
      </c>
      <c r="G157" t="s">
        <v>507</v>
      </c>
      <c r="H157" t="s">
        <v>507</v>
      </c>
      <c r="I157" t="s">
        <v>212</v>
      </c>
      <c r="J157" s="25">
        <v>13067</v>
      </c>
      <c r="K157" s="26">
        <v>2607.56</v>
      </c>
      <c r="L157" s="26">
        <v>6.66</v>
      </c>
    </row>
    <row r="158" spans="1:12" ht="16" customHeight="1">
      <c r="A158" t="s">
        <v>351</v>
      </c>
      <c r="B158" t="s">
        <v>7</v>
      </c>
      <c r="C158" t="s">
        <v>27</v>
      </c>
      <c r="D158" s="24">
        <v>45992</v>
      </c>
      <c r="E158" t="s">
        <v>388</v>
      </c>
      <c r="F158" t="s">
        <v>6</v>
      </c>
      <c r="G158" t="s">
        <v>506</v>
      </c>
      <c r="H158" t="s">
        <v>506</v>
      </c>
      <c r="I158" t="s">
        <v>219</v>
      </c>
      <c r="J158" s="25">
        <v>0</v>
      </c>
      <c r="K158" s="26">
        <v>0</v>
      </c>
      <c r="L158" s="26">
        <v>0</v>
      </c>
    </row>
    <row r="159" spans="1:12" ht="16" customHeight="1">
      <c r="A159" t="s">
        <v>351</v>
      </c>
      <c r="B159" t="s">
        <v>7</v>
      </c>
      <c r="C159" t="s">
        <v>27</v>
      </c>
      <c r="D159" s="24">
        <v>45992</v>
      </c>
      <c r="E159" t="s">
        <v>417</v>
      </c>
      <c r="F159" t="s">
        <v>6</v>
      </c>
      <c r="G159" t="s">
        <v>506</v>
      </c>
      <c r="H159" t="s">
        <v>506</v>
      </c>
      <c r="I159" t="s">
        <v>221</v>
      </c>
      <c r="J159" s="25">
        <v>0</v>
      </c>
      <c r="K159" s="26">
        <v>0</v>
      </c>
      <c r="L159" s="26">
        <v>0</v>
      </c>
    </row>
    <row r="160" spans="1:12" ht="16" customHeight="1">
      <c r="A160" t="s">
        <v>352</v>
      </c>
      <c r="B160" t="s">
        <v>3</v>
      </c>
      <c r="C160" t="s">
        <v>28</v>
      </c>
      <c r="D160" s="24">
        <v>45992</v>
      </c>
      <c r="E160" t="s">
        <v>353</v>
      </c>
      <c r="F160" t="s">
        <v>5</v>
      </c>
      <c r="G160" t="s">
        <v>507</v>
      </c>
      <c r="H160" t="s">
        <v>507</v>
      </c>
      <c r="I160" t="s">
        <v>212</v>
      </c>
      <c r="J160" s="25">
        <v>35679</v>
      </c>
      <c r="K160" s="26">
        <v>7120.47</v>
      </c>
      <c r="L160" s="26">
        <v>13.56</v>
      </c>
    </row>
    <row r="161" spans="1:12" ht="16" customHeight="1">
      <c r="A161" t="s">
        <v>352</v>
      </c>
      <c r="B161" t="s">
        <v>3</v>
      </c>
      <c r="C161" t="s">
        <v>28</v>
      </c>
      <c r="D161" s="24">
        <v>45992</v>
      </c>
      <c r="E161" t="s">
        <v>388</v>
      </c>
      <c r="F161" t="s">
        <v>6</v>
      </c>
      <c r="G161" t="s">
        <v>506</v>
      </c>
      <c r="H161" t="s">
        <v>506</v>
      </c>
      <c r="I161" t="s">
        <v>219</v>
      </c>
      <c r="J161" s="25">
        <v>2</v>
      </c>
      <c r="K161" s="26">
        <v>0.41</v>
      </c>
      <c r="L161" s="26">
        <v>0.01</v>
      </c>
    </row>
    <row r="162" spans="1:12" ht="16" customHeight="1">
      <c r="A162" t="s">
        <v>352</v>
      </c>
      <c r="B162" t="s">
        <v>3</v>
      </c>
      <c r="C162" t="s">
        <v>28</v>
      </c>
      <c r="D162" s="24">
        <v>45992</v>
      </c>
      <c r="E162" t="s">
        <v>417</v>
      </c>
      <c r="F162" t="s">
        <v>6</v>
      </c>
      <c r="G162" t="s">
        <v>506</v>
      </c>
      <c r="H162" t="s">
        <v>506</v>
      </c>
      <c r="I162" t="s">
        <v>221</v>
      </c>
      <c r="J162" s="25">
        <v>0</v>
      </c>
      <c r="K162" s="26">
        <v>0</v>
      </c>
      <c r="L162" s="26">
        <v>0</v>
      </c>
    </row>
    <row r="163" spans="1:12" ht="16" customHeight="1">
      <c r="A163" t="s">
        <v>321</v>
      </c>
      <c r="B163" t="s">
        <v>4</v>
      </c>
      <c r="C163" t="s">
        <v>28</v>
      </c>
      <c r="D163" s="24">
        <v>45992</v>
      </c>
      <c r="E163" t="s">
        <v>353</v>
      </c>
      <c r="F163" t="s">
        <v>5</v>
      </c>
      <c r="G163" t="s">
        <v>507</v>
      </c>
      <c r="H163" t="s">
        <v>507</v>
      </c>
      <c r="I163" t="s">
        <v>212</v>
      </c>
      <c r="J163" s="25">
        <v>114389</v>
      </c>
      <c r="K163" s="26">
        <v>22814.54</v>
      </c>
      <c r="L163" s="26">
        <v>24.63</v>
      </c>
    </row>
    <row r="164" spans="1:12" ht="16" customHeight="1">
      <c r="A164" t="s">
        <v>321</v>
      </c>
      <c r="B164" t="s">
        <v>4</v>
      </c>
      <c r="C164" t="s">
        <v>28</v>
      </c>
      <c r="D164" s="24">
        <v>45992</v>
      </c>
      <c r="E164" t="s">
        <v>388</v>
      </c>
      <c r="F164" t="s">
        <v>6</v>
      </c>
      <c r="G164" t="s">
        <v>506</v>
      </c>
      <c r="H164" t="s">
        <v>506</v>
      </c>
      <c r="I164" t="s">
        <v>219</v>
      </c>
      <c r="J164" s="25">
        <v>20</v>
      </c>
      <c r="K164" s="26">
        <v>4</v>
      </c>
      <c r="L164" s="26">
        <v>0.04</v>
      </c>
    </row>
    <row r="165" spans="1:12" ht="16" customHeight="1">
      <c r="A165" t="s">
        <v>321</v>
      </c>
      <c r="B165" t="s">
        <v>4</v>
      </c>
      <c r="C165" t="s">
        <v>28</v>
      </c>
      <c r="D165" s="24">
        <v>45992</v>
      </c>
      <c r="E165" t="s">
        <v>417</v>
      </c>
      <c r="F165" t="s">
        <v>6</v>
      </c>
      <c r="G165" t="s">
        <v>506</v>
      </c>
      <c r="H165" t="s">
        <v>506</v>
      </c>
      <c r="I165" t="s">
        <v>221</v>
      </c>
      <c r="J165" s="25">
        <v>0</v>
      </c>
      <c r="K165" s="26">
        <v>0</v>
      </c>
      <c r="L165" s="26">
        <v>0</v>
      </c>
    </row>
    <row r="166" spans="1:12" ht="16" customHeight="1">
      <c r="A166" t="s">
        <v>353</v>
      </c>
      <c r="B166" t="s">
        <v>5</v>
      </c>
      <c r="C166" t="s">
        <v>28</v>
      </c>
      <c r="D166" s="24">
        <v>45992</v>
      </c>
      <c r="E166" t="s">
        <v>353</v>
      </c>
      <c r="F166" t="s">
        <v>5</v>
      </c>
      <c r="G166" t="s">
        <v>507</v>
      </c>
      <c r="H166" t="s">
        <v>507</v>
      </c>
      <c r="I166" t="s">
        <v>212</v>
      </c>
      <c r="J166" s="25">
        <v>5394460</v>
      </c>
      <c r="K166" s="26">
        <v>1072810.02</v>
      </c>
      <c r="L166" s="26">
        <v>578.34</v>
      </c>
    </row>
    <row r="167" spans="1:12" ht="16" customHeight="1">
      <c r="A167" t="s">
        <v>353</v>
      </c>
      <c r="B167" t="s">
        <v>5</v>
      </c>
      <c r="C167" t="s">
        <v>28</v>
      </c>
      <c r="D167" s="24">
        <v>45992</v>
      </c>
      <c r="E167" t="s">
        <v>388</v>
      </c>
      <c r="F167" t="s">
        <v>6</v>
      </c>
      <c r="G167" t="s">
        <v>506</v>
      </c>
      <c r="H167" t="s">
        <v>506</v>
      </c>
      <c r="I167" t="s">
        <v>219</v>
      </c>
      <c r="J167" s="25">
        <v>48</v>
      </c>
      <c r="K167" s="26">
        <v>9.6</v>
      </c>
      <c r="L167" s="26">
        <v>0.09</v>
      </c>
    </row>
    <row r="168" spans="1:12" ht="16" customHeight="1">
      <c r="A168" t="s">
        <v>353</v>
      </c>
      <c r="B168" t="s">
        <v>5</v>
      </c>
      <c r="C168" t="s">
        <v>28</v>
      </c>
      <c r="D168" s="24">
        <v>45992</v>
      </c>
      <c r="E168" t="s">
        <v>417</v>
      </c>
      <c r="F168" t="s">
        <v>6</v>
      </c>
      <c r="G168" t="s">
        <v>506</v>
      </c>
      <c r="H168" t="s">
        <v>506</v>
      </c>
      <c r="I168" t="s">
        <v>221</v>
      </c>
      <c r="J168" s="25">
        <v>0</v>
      </c>
      <c r="K168" s="26">
        <v>0</v>
      </c>
      <c r="L168" s="26">
        <v>0</v>
      </c>
    </row>
    <row r="169" spans="1:12" ht="16" customHeight="1">
      <c r="A169" t="s">
        <v>355</v>
      </c>
      <c r="B169" t="s">
        <v>7</v>
      </c>
      <c r="C169" t="s">
        <v>28</v>
      </c>
      <c r="D169" s="24">
        <v>45992</v>
      </c>
      <c r="E169" t="s">
        <v>388</v>
      </c>
      <c r="F169" t="s">
        <v>6</v>
      </c>
      <c r="G169" t="s">
        <v>506</v>
      </c>
      <c r="H169" t="s">
        <v>506</v>
      </c>
      <c r="I169" t="s">
        <v>219</v>
      </c>
      <c r="J169" s="25">
        <v>1211</v>
      </c>
      <c r="K169" s="26">
        <v>244.33</v>
      </c>
      <c r="L169" s="26">
        <v>1.27</v>
      </c>
    </row>
    <row r="170" spans="1:12" ht="16" customHeight="1">
      <c r="A170" t="s">
        <v>355</v>
      </c>
      <c r="B170" t="s">
        <v>7</v>
      </c>
      <c r="C170" t="s">
        <v>28</v>
      </c>
      <c r="D170" s="24">
        <v>45992</v>
      </c>
      <c r="E170" t="s">
        <v>417</v>
      </c>
      <c r="F170" t="s">
        <v>6</v>
      </c>
      <c r="G170" t="s">
        <v>506</v>
      </c>
      <c r="H170" t="s">
        <v>506</v>
      </c>
      <c r="I170" t="s">
        <v>221</v>
      </c>
      <c r="J170" s="25">
        <v>0</v>
      </c>
      <c r="K170" s="26">
        <v>0</v>
      </c>
      <c r="L170" s="26">
        <v>0</v>
      </c>
    </row>
    <row r="171" spans="1:12" ht="16" customHeight="1">
      <c r="A171" t="s">
        <v>356</v>
      </c>
      <c r="B171" t="s">
        <v>3</v>
      </c>
      <c r="C171" t="s">
        <v>29</v>
      </c>
      <c r="D171" s="24">
        <v>45992</v>
      </c>
      <c r="E171" t="s">
        <v>388</v>
      </c>
      <c r="F171" t="s">
        <v>6</v>
      </c>
      <c r="G171" t="s">
        <v>506</v>
      </c>
      <c r="H171" t="s">
        <v>506</v>
      </c>
      <c r="I171" t="s">
        <v>219</v>
      </c>
      <c r="J171" s="25">
        <v>758</v>
      </c>
      <c r="K171" s="26">
        <v>152.69</v>
      </c>
      <c r="L171" s="26">
        <v>0.98</v>
      </c>
    </row>
    <row r="172" spans="1:12" ht="16" customHeight="1">
      <c r="A172" t="s">
        <v>356</v>
      </c>
      <c r="B172" t="s">
        <v>3</v>
      </c>
      <c r="C172" t="s">
        <v>29</v>
      </c>
      <c r="D172" s="24">
        <v>45992</v>
      </c>
      <c r="E172" t="s">
        <v>417</v>
      </c>
      <c r="F172" t="s">
        <v>6</v>
      </c>
      <c r="G172" t="s">
        <v>506</v>
      </c>
      <c r="H172" t="s">
        <v>506</v>
      </c>
      <c r="I172" t="s">
        <v>221</v>
      </c>
      <c r="J172" s="25">
        <v>0</v>
      </c>
      <c r="K172" s="26">
        <v>0</v>
      </c>
      <c r="L172" s="26">
        <v>0</v>
      </c>
    </row>
    <row r="173" spans="1:12" ht="16" customHeight="1">
      <c r="A173" t="s">
        <v>222</v>
      </c>
      <c r="B173" t="s">
        <v>4</v>
      </c>
      <c r="C173" t="s">
        <v>29</v>
      </c>
      <c r="D173" s="24">
        <v>45992</v>
      </c>
      <c r="E173" t="s">
        <v>388</v>
      </c>
      <c r="F173" t="s">
        <v>6</v>
      </c>
      <c r="G173" t="s">
        <v>506</v>
      </c>
      <c r="H173" t="s">
        <v>506</v>
      </c>
      <c r="I173" t="s">
        <v>219</v>
      </c>
      <c r="J173" s="25">
        <v>848</v>
      </c>
      <c r="K173" s="26">
        <v>168.91</v>
      </c>
      <c r="L173" s="26">
        <v>0.93</v>
      </c>
    </row>
    <row r="174" spans="1:12" ht="16" customHeight="1">
      <c r="A174" t="s">
        <v>222</v>
      </c>
      <c r="B174" t="s">
        <v>4</v>
      </c>
      <c r="C174" t="s">
        <v>29</v>
      </c>
      <c r="D174" s="24">
        <v>45992</v>
      </c>
      <c r="E174" t="s">
        <v>417</v>
      </c>
      <c r="F174" t="s">
        <v>6</v>
      </c>
      <c r="G174" t="s">
        <v>506</v>
      </c>
      <c r="H174" t="s">
        <v>506</v>
      </c>
      <c r="I174" t="s">
        <v>221</v>
      </c>
      <c r="J174" s="25">
        <v>4</v>
      </c>
      <c r="K174" s="26">
        <v>0.71</v>
      </c>
      <c r="L174" s="26">
        <v>0</v>
      </c>
    </row>
    <row r="175" spans="1:12" ht="16" customHeight="1">
      <c r="A175" t="s">
        <v>359</v>
      </c>
      <c r="B175" t="s">
        <v>5</v>
      </c>
      <c r="C175" t="s">
        <v>29</v>
      </c>
      <c r="D175" s="24">
        <v>45992</v>
      </c>
      <c r="E175" t="s">
        <v>388</v>
      </c>
      <c r="F175" t="s">
        <v>6</v>
      </c>
      <c r="G175" t="s">
        <v>506</v>
      </c>
      <c r="H175" t="s">
        <v>506</v>
      </c>
      <c r="I175" t="s">
        <v>219</v>
      </c>
      <c r="J175" s="25">
        <v>864</v>
      </c>
      <c r="K175" s="26">
        <v>172.37</v>
      </c>
      <c r="L175" s="26">
        <v>0.88</v>
      </c>
    </row>
    <row r="176" spans="1:12" ht="16" customHeight="1">
      <c r="A176" t="s">
        <v>359</v>
      </c>
      <c r="B176" t="s">
        <v>5</v>
      </c>
      <c r="C176" t="s">
        <v>29</v>
      </c>
      <c r="D176" s="24">
        <v>45992</v>
      </c>
      <c r="E176" t="s">
        <v>417</v>
      </c>
      <c r="F176" t="s">
        <v>6</v>
      </c>
      <c r="G176" t="s">
        <v>506</v>
      </c>
      <c r="H176" t="s">
        <v>506</v>
      </c>
      <c r="I176" t="s">
        <v>221</v>
      </c>
      <c r="J176" s="25">
        <v>0</v>
      </c>
      <c r="K176" s="26">
        <v>0</v>
      </c>
      <c r="L176" s="26">
        <v>0</v>
      </c>
    </row>
    <row r="177" spans="1:12" ht="16" customHeight="1">
      <c r="A177" t="s">
        <v>362</v>
      </c>
      <c r="B177" t="s">
        <v>6</v>
      </c>
      <c r="C177" t="s">
        <v>30</v>
      </c>
      <c r="D177" s="24">
        <v>46023</v>
      </c>
      <c r="E177" t="s">
        <v>388</v>
      </c>
      <c r="F177" t="s">
        <v>6</v>
      </c>
      <c r="G177" t="s">
        <v>506</v>
      </c>
      <c r="H177" t="s">
        <v>506</v>
      </c>
      <c r="I177" t="s">
        <v>212</v>
      </c>
      <c r="J177" s="25">
        <v>1142</v>
      </c>
      <c r="K177" s="26">
        <v>230.52</v>
      </c>
      <c r="L177" s="26">
        <v>1.42</v>
      </c>
    </row>
    <row r="178" spans="1:12" ht="16" customHeight="1">
      <c r="A178" t="s">
        <v>362</v>
      </c>
      <c r="B178" t="s">
        <v>6</v>
      </c>
      <c r="C178" t="s">
        <v>30</v>
      </c>
      <c r="D178" s="24">
        <v>46023</v>
      </c>
      <c r="E178" t="s">
        <v>417</v>
      </c>
      <c r="F178" t="s">
        <v>6</v>
      </c>
      <c r="G178" t="s">
        <v>506</v>
      </c>
      <c r="H178" t="s">
        <v>506</v>
      </c>
      <c r="I178" t="s">
        <v>219</v>
      </c>
      <c r="J178" s="25">
        <v>4</v>
      </c>
      <c r="K178" s="26">
        <v>0.76</v>
      </c>
      <c r="L178" s="26">
        <v>0.01</v>
      </c>
    </row>
    <row r="179" spans="1:12" ht="16" customHeight="1">
      <c r="A179" t="s">
        <v>371</v>
      </c>
      <c r="B179" t="s">
        <v>7</v>
      </c>
      <c r="C179" t="s">
        <v>30</v>
      </c>
      <c r="D179" s="24">
        <v>46023</v>
      </c>
      <c r="E179" t="s">
        <v>388</v>
      </c>
      <c r="F179" t="s">
        <v>6</v>
      </c>
      <c r="G179" t="s">
        <v>506</v>
      </c>
      <c r="H179" t="s">
        <v>506</v>
      </c>
      <c r="I179" t="s">
        <v>212</v>
      </c>
      <c r="J179" s="25">
        <v>1769</v>
      </c>
      <c r="K179" s="26">
        <v>362.59</v>
      </c>
      <c r="L179" s="26">
        <v>1.69</v>
      </c>
    </row>
    <row r="180" spans="1:12" ht="16" customHeight="1">
      <c r="A180" t="s">
        <v>371</v>
      </c>
      <c r="B180" t="s">
        <v>7</v>
      </c>
      <c r="C180" t="s">
        <v>30</v>
      </c>
      <c r="D180" s="24">
        <v>46023</v>
      </c>
      <c r="E180" t="s">
        <v>417</v>
      </c>
      <c r="F180" t="s">
        <v>6</v>
      </c>
      <c r="G180" t="s">
        <v>506</v>
      </c>
      <c r="H180" t="s">
        <v>506</v>
      </c>
      <c r="I180" t="s">
        <v>219</v>
      </c>
      <c r="J180" s="25">
        <v>0</v>
      </c>
      <c r="K180" s="26">
        <v>0</v>
      </c>
      <c r="L180" s="26">
        <v>0</v>
      </c>
    </row>
    <row r="181" spans="1:12" ht="16" customHeight="1">
      <c r="A181" t="s">
        <v>372</v>
      </c>
      <c r="B181" t="s">
        <v>3</v>
      </c>
      <c r="C181" t="s">
        <v>30</v>
      </c>
      <c r="D181" s="24">
        <v>46023</v>
      </c>
      <c r="E181" t="s">
        <v>388</v>
      </c>
      <c r="F181" t="s">
        <v>6</v>
      </c>
      <c r="G181" t="s">
        <v>506</v>
      </c>
      <c r="H181" t="s">
        <v>506</v>
      </c>
      <c r="I181" t="s">
        <v>212</v>
      </c>
      <c r="J181" s="25">
        <v>1965</v>
      </c>
      <c r="K181" s="26">
        <v>399.36</v>
      </c>
      <c r="L181" s="26">
        <v>2.0299999999999998</v>
      </c>
    </row>
    <row r="182" spans="1:12" ht="16" customHeight="1">
      <c r="A182" t="s">
        <v>372</v>
      </c>
      <c r="B182" t="s">
        <v>3</v>
      </c>
      <c r="C182" t="s">
        <v>30</v>
      </c>
      <c r="D182" s="24">
        <v>46023</v>
      </c>
      <c r="E182" t="s">
        <v>417</v>
      </c>
      <c r="F182" t="s">
        <v>6</v>
      </c>
      <c r="G182" t="s">
        <v>506</v>
      </c>
      <c r="H182" t="s">
        <v>506</v>
      </c>
      <c r="I182" t="s">
        <v>219</v>
      </c>
      <c r="J182" s="25">
        <v>3</v>
      </c>
      <c r="K182" s="26">
        <v>0.62</v>
      </c>
      <c r="L182" s="26">
        <v>0.02</v>
      </c>
    </row>
    <row r="183" spans="1:12" ht="16" customHeight="1">
      <c r="A183" t="s">
        <v>339</v>
      </c>
      <c r="B183" t="s">
        <v>4</v>
      </c>
      <c r="C183" t="s">
        <v>30</v>
      </c>
      <c r="D183" s="24">
        <v>46023</v>
      </c>
      <c r="E183" t="s">
        <v>388</v>
      </c>
      <c r="F183" t="s">
        <v>6</v>
      </c>
      <c r="G183" t="s">
        <v>506</v>
      </c>
      <c r="H183" t="s">
        <v>506</v>
      </c>
      <c r="I183" t="s">
        <v>212</v>
      </c>
      <c r="J183" s="25">
        <v>1951</v>
      </c>
      <c r="K183" s="26">
        <v>391.52</v>
      </c>
      <c r="L183" s="26">
        <v>1.64</v>
      </c>
    </row>
    <row r="184" spans="1:12" ht="16" customHeight="1">
      <c r="A184" t="s">
        <v>339</v>
      </c>
      <c r="B184" t="s">
        <v>4</v>
      </c>
      <c r="C184" t="s">
        <v>30</v>
      </c>
      <c r="D184" s="24">
        <v>46023</v>
      </c>
      <c r="E184" t="s">
        <v>417</v>
      </c>
      <c r="F184" t="s">
        <v>6</v>
      </c>
      <c r="G184" t="s">
        <v>506</v>
      </c>
      <c r="H184" t="s">
        <v>506</v>
      </c>
      <c r="I184" t="s">
        <v>219</v>
      </c>
      <c r="J184" s="25">
        <v>2</v>
      </c>
      <c r="K184" s="26">
        <v>0.41</v>
      </c>
      <c r="L184" s="26">
        <v>0.02</v>
      </c>
    </row>
    <row r="185" spans="1:12" ht="16" customHeight="1">
      <c r="A185" t="s">
        <v>373</v>
      </c>
      <c r="B185" t="s">
        <v>5</v>
      </c>
      <c r="C185" t="s">
        <v>30</v>
      </c>
      <c r="D185" s="24">
        <v>46023</v>
      </c>
      <c r="E185" t="s">
        <v>388</v>
      </c>
      <c r="F185" t="s">
        <v>6</v>
      </c>
      <c r="G185" t="s">
        <v>506</v>
      </c>
      <c r="H185" t="s">
        <v>506</v>
      </c>
      <c r="I185" t="s">
        <v>212</v>
      </c>
      <c r="J185" s="25">
        <v>1636</v>
      </c>
      <c r="K185" s="26">
        <v>332.57</v>
      </c>
      <c r="L185" s="26">
        <v>1.1000000000000001</v>
      </c>
    </row>
    <row r="186" spans="1:12" ht="16" customHeight="1">
      <c r="A186" t="s">
        <v>373</v>
      </c>
      <c r="B186" t="s">
        <v>5</v>
      </c>
      <c r="C186" t="s">
        <v>30</v>
      </c>
      <c r="D186" s="24">
        <v>46023</v>
      </c>
      <c r="E186" t="s">
        <v>417</v>
      </c>
      <c r="F186" t="s">
        <v>6</v>
      </c>
      <c r="G186" t="s">
        <v>506</v>
      </c>
      <c r="H186" t="s">
        <v>506</v>
      </c>
      <c r="I186" t="s">
        <v>219</v>
      </c>
      <c r="J186" s="25">
        <v>0</v>
      </c>
      <c r="K186" s="26">
        <v>0</v>
      </c>
      <c r="L186" s="26">
        <v>0</v>
      </c>
    </row>
    <row r="187" spans="1:12" ht="16" customHeight="1">
      <c r="A187" t="s">
        <v>375</v>
      </c>
      <c r="B187" t="s">
        <v>6</v>
      </c>
      <c r="C187" t="s">
        <v>31</v>
      </c>
      <c r="D187" s="24">
        <v>46023</v>
      </c>
      <c r="E187" t="s">
        <v>388</v>
      </c>
      <c r="F187" t="s">
        <v>6</v>
      </c>
      <c r="G187" t="s">
        <v>506</v>
      </c>
      <c r="H187" t="s">
        <v>506</v>
      </c>
      <c r="I187" t="s">
        <v>212</v>
      </c>
      <c r="J187" s="25">
        <v>2550</v>
      </c>
      <c r="K187" s="26">
        <v>517.16999999999996</v>
      </c>
      <c r="L187" s="26">
        <v>2.46</v>
      </c>
    </row>
    <row r="188" spans="1:12" ht="16" customHeight="1">
      <c r="A188" t="s">
        <v>375</v>
      </c>
      <c r="B188" t="s">
        <v>6</v>
      </c>
      <c r="C188" t="s">
        <v>31</v>
      </c>
      <c r="D188" s="24">
        <v>46023</v>
      </c>
      <c r="E188" t="s">
        <v>417</v>
      </c>
      <c r="F188" t="s">
        <v>6</v>
      </c>
      <c r="G188" t="s">
        <v>506</v>
      </c>
      <c r="H188" t="s">
        <v>506</v>
      </c>
      <c r="I188" t="s">
        <v>219</v>
      </c>
      <c r="J188" s="25">
        <v>0</v>
      </c>
      <c r="K188" s="26">
        <v>0</v>
      </c>
      <c r="L188" s="26">
        <v>0</v>
      </c>
    </row>
    <row r="189" spans="1:12" ht="16" customHeight="1">
      <c r="A189" t="s">
        <v>376</v>
      </c>
      <c r="B189" t="s">
        <v>7</v>
      </c>
      <c r="C189" t="s">
        <v>31</v>
      </c>
      <c r="D189" s="24">
        <v>46023</v>
      </c>
      <c r="E189" t="s">
        <v>388</v>
      </c>
      <c r="F189" t="s">
        <v>6</v>
      </c>
      <c r="G189" t="s">
        <v>506</v>
      </c>
      <c r="H189" t="s">
        <v>506</v>
      </c>
      <c r="I189" t="s">
        <v>212</v>
      </c>
      <c r="J189" s="25">
        <v>3411</v>
      </c>
      <c r="K189" s="26">
        <v>689.81</v>
      </c>
      <c r="L189" s="26">
        <v>3.51</v>
      </c>
    </row>
    <row r="190" spans="1:12" ht="16" customHeight="1">
      <c r="A190" t="s">
        <v>376</v>
      </c>
      <c r="B190" t="s">
        <v>7</v>
      </c>
      <c r="C190" t="s">
        <v>31</v>
      </c>
      <c r="D190" s="24">
        <v>46023</v>
      </c>
      <c r="E190" t="s">
        <v>417</v>
      </c>
      <c r="F190" t="s">
        <v>6</v>
      </c>
      <c r="G190" t="s">
        <v>506</v>
      </c>
      <c r="H190" t="s">
        <v>506</v>
      </c>
      <c r="I190" t="s">
        <v>219</v>
      </c>
      <c r="J190" s="25">
        <v>0</v>
      </c>
      <c r="K190" s="26">
        <v>0</v>
      </c>
      <c r="L190" s="26">
        <v>0</v>
      </c>
    </row>
    <row r="191" spans="1:12" ht="16" customHeight="1">
      <c r="A191" t="s">
        <v>377</v>
      </c>
      <c r="B191" t="s">
        <v>3</v>
      </c>
      <c r="C191" t="s">
        <v>31</v>
      </c>
      <c r="D191" s="24">
        <v>46023</v>
      </c>
      <c r="E191" t="s">
        <v>388</v>
      </c>
      <c r="F191" t="s">
        <v>6</v>
      </c>
      <c r="G191" t="s">
        <v>506</v>
      </c>
      <c r="H191" t="s">
        <v>506</v>
      </c>
      <c r="I191" t="s">
        <v>212</v>
      </c>
      <c r="J191" s="25">
        <v>2651</v>
      </c>
      <c r="K191" s="26">
        <v>536.89</v>
      </c>
      <c r="L191" s="26">
        <v>3.02</v>
      </c>
    </row>
    <row r="192" spans="1:12" ht="16" customHeight="1">
      <c r="A192" t="s">
        <v>377</v>
      </c>
      <c r="B192" t="s">
        <v>3</v>
      </c>
      <c r="C192" t="s">
        <v>31</v>
      </c>
      <c r="D192" s="24">
        <v>46023</v>
      </c>
      <c r="E192" t="s">
        <v>417</v>
      </c>
      <c r="F192" t="s">
        <v>6</v>
      </c>
      <c r="G192" t="s">
        <v>506</v>
      </c>
      <c r="H192" t="s">
        <v>506</v>
      </c>
      <c r="I192" t="s">
        <v>219</v>
      </c>
      <c r="J192" s="25">
        <v>0</v>
      </c>
      <c r="K192" s="26">
        <v>0</v>
      </c>
      <c r="L192" s="26">
        <v>0</v>
      </c>
    </row>
    <row r="193" spans="1:12" ht="16" customHeight="1">
      <c r="A193" t="s">
        <v>344</v>
      </c>
      <c r="B193" t="s">
        <v>4</v>
      </c>
      <c r="C193" t="s">
        <v>31</v>
      </c>
      <c r="D193" s="24">
        <v>46023</v>
      </c>
      <c r="E193" t="s">
        <v>388</v>
      </c>
      <c r="F193" t="s">
        <v>6</v>
      </c>
      <c r="G193" t="s">
        <v>506</v>
      </c>
      <c r="H193" t="s">
        <v>506</v>
      </c>
      <c r="I193" t="s">
        <v>212</v>
      </c>
      <c r="J193" s="25">
        <v>2007</v>
      </c>
      <c r="K193" s="26">
        <v>405.22</v>
      </c>
      <c r="L193" s="26">
        <v>1.94</v>
      </c>
    </row>
    <row r="194" spans="1:12" ht="16" customHeight="1">
      <c r="A194" t="s">
        <v>344</v>
      </c>
      <c r="B194" t="s">
        <v>4</v>
      </c>
      <c r="C194" t="s">
        <v>31</v>
      </c>
      <c r="D194" s="24">
        <v>46023</v>
      </c>
      <c r="E194" t="s">
        <v>417</v>
      </c>
      <c r="F194" t="s">
        <v>6</v>
      </c>
      <c r="G194" t="s">
        <v>506</v>
      </c>
      <c r="H194" t="s">
        <v>506</v>
      </c>
      <c r="I194" t="s">
        <v>219</v>
      </c>
      <c r="J194" s="25">
        <v>1</v>
      </c>
      <c r="K194" s="26">
        <v>0.2</v>
      </c>
      <c r="L194" s="26">
        <v>0.02</v>
      </c>
    </row>
    <row r="195" spans="1:12" ht="16" customHeight="1">
      <c r="A195" t="s">
        <v>378</v>
      </c>
      <c r="B195" t="s">
        <v>5</v>
      </c>
      <c r="C195" t="s">
        <v>31</v>
      </c>
      <c r="D195" s="24">
        <v>46023</v>
      </c>
      <c r="E195" t="s">
        <v>388</v>
      </c>
      <c r="F195" t="s">
        <v>6</v>
      </c>
      <c r="G195" t="s">
        <v>506</v>
      </c>
      <c r="H195" t="s">
        <v>506</v>
      </c>
      <c r="I195" t="s">
        <v>212</v>
      </c>
      <c r="J195" s="25">
        <v>3158</v>
      </c>
      <c r="K195" s="26">
        <v>638.95000000000005</v>
      </c>
      <c r="L195" s="26">
        <v>3.17</v>
      </c>
    </row>
    <row r="196" spans="1:12" ht="16" customHeight="1">
      <c r="A196" t="s">
        <v>378</v>
      </c>
      <c r="B196" t="s">
        <v>5</v>
      </c>
      <c r="C196" t="s">
        <v>31</v>
      </c>
      <c r="D196" s="24">
        <v>46023</v>
      </c>
      <c r="E196" t="s">
        <v>417</v>
      </c>
      <c r="F196" t="s">
        <v>6</v>
      </c>
      <c r="G196" t="s">
        <v>506</v>
      </c>
      <c r="H196" t="s">
        <v>506</v>
      </c>
      <c r="I196" t="s">
        <v>219</v>
      </c>
      <c r="J196" s="25">
        <v>0</v>
      </c>
      <c r="K196" s="26">
        <v>0</v>
      </c>
      <c r="L196" s="26">
        <v>0</v>
      </c>
    </row>
    <row r="197" spans="1:12" ht="16" customHeight="1">
      <c r="A197" t="s">
        <v>380</v>
      </c>
      <c r="B197" t="s">
        <v>7</v>
      </c>
      <c r="C197" t="s">
        <v>32</v>
      </c>
      <c r="D197" s="24">
        <v>46023</v>
      </c>
      <c r="E197" t="s">
        <v>388</v>
      </c>
      <c r="F197" t="s">
        <v>6</v>
      </c>
      <c r="G197" t="s">
        <v>506</v>
      </c>
      <c r="H197" t="s">
        <v>506</v>
      </c>
      <c r="I197" t="s">
        <v>212</v>
      </c>
      <c r="J197" s="25">
        <v>4187</v>
      </c>
      <c r="K197" s="26">
        <v>852.37</v>
      </c>
      <c r="L197" s="26">
        <v>4.05</v>
      </c>
    </row>
    <row r="198" spans="1:12" ht="16" customHeight="1">
      <c r="A198" t="s">
        <v>380</v>
      </c>
      <c r="B198" t="s">
        <v>7</v>
      </c>
      <c r="C198" t="s">
        <v>32</v>
      </c>
      <c r="D198" s="24">
        <v>46023</v>
      </c>
      <c r="E198" t="s">
        <v>417</v>
      </c>
      <c r="F198" t="s">
        <v>6</v>
      </c>
      <c r="G198" t="s">
        <v>506</v>
      </c>
      <c r="H198" t="s">
        <v>506</v>
      </c>
      <c r="I198" t="s">
        <v>219</v>
      </c>
      <c r="J198" s="25">
        <v>0</v>
      </c>
      <c r="K198" s="26">
        <v>0</v>
      </c>
      <c r="L198" s="26">
        <v>0</v>
      </c>
    </row>
    <row r="199" spans="1:12" ht="16" customHeight="1">
      <c r="A199" t="s">
        <v>381</v>
      </c>
      <c r="B199" t="s">
        <v>3</v>
      </c>
      <c r="C199" t="s">
        <v>32</v>
      </c>
      <c r="D199" s="24">
        <v>46023</v>
      </c>
      <c r="E199" t="s">
        <v>388</v>
      </c>
      <c r="F199" t="s">
        <v>6</v>
      </c>
      <c r="G199" t="s">
        <v>506</v>
      </c>
      <c r="H199" t="s">
        <v>506</v>
      </c>
      <c r="I199" t="s">
        <v>212</v>
      </c>
      <c r="J199" s="25">
        <v>4019</v>
      </c>
      <c r="K199" s="26">
        <v>815.83</v>
      </c>
      <c r="L199" s="26">
        <v>3.39</v>
      </c>
    </row>
    <row r="200" spans="1:12" ht="16" customHeight="1">
      <c r="A200" t="s">
        <v>381</v>
      </c>
      <c r="B200" t="s">
        <v>3</v>
      </c>
      <c r="C200" t="s">
        <v>32</v>
      </c>
      <c r="D200" s="24">
        <v>46023</v>
      </c>
      <c r="E200" t="s">
        <v>417</v>
      </c>
      <c r="F200" t="s">
        <v>6</v>
      </c>
      <c r="G200" t="s">
        <v>506</v>
      </c>
      <c r="H200" t="s">
        <v>506</v>
      </c>
      <c r="I200" t="s">
        <v>219</v>
      </c>
      <c r="J200" s="25">
        <v>1</v>
      </c>
      <c r="K200" s="26">
        <v>0.21</v>
      </c>
      <c r="L200" s="26">
        <v>0</v>
      </c>
    </row>
    <row r="201" spans="1:12" ht="16" customHeight="1">
      <c r="A201" t="s">
        <v>349</v>
      </c>
      <c r="B201" t="s">
        <v>4</v>
      </c>
      <c r="C201" t="s">
        <v>32</v>
      </c>
      <c r="D201" s="24">
        <v>46023</v>
      </c>
      <c r="E201" t="s">
        <v>388</v>
      </c>
      <c r="F201" t="s">
        <v>6</v>
      </c>
      <c r="G201" t="s">
        <v>506</v>
      </c>
      <c r="H201" t="s">
        <v>506</v>
      </c>
      <c r="I201" t="s">
        <v>212</v>
      </c>
      <c r="J201" s="25">
        <v>5548</v>
      </c>
      <c r="K201" s="26">
        <v>1124.57</v>
      </c>
      <c r="L201" s="26">
        <v>5.03</v>
      </c>
    </row>
    <row r="202" spans="1:12" ht="16" customHeight="1">
      <c r="A202" t="s">
        <v>349</v>
      </c>
      <c r="B202" t="s">
        <v>4</v>
      </c>
      <c r="C202" t="s">
        <v>32</v>
      </c>
      <c r="D202" s="24">
        <v>46023</v>
      </c>
      <c r="E202" t="s">
        <v>417</v>
      </c>
      <c r="F202" t="s">
        <v>6</v>
      </c>
      <c r="G202" t="s">
        <v>506</v>
      </c>
      <c r="H202" t="s">
        <v>506</v>
      </c>
      <c r="I202" t="s">
        <v>219</v>
      </c>
      <c r="J202" s="25">
        <v>0</v>
      </c>
      <c r="K202" s="26">
        <v>0</v>
      </c>
      <c r="L202" s="26">
        <v>0</v>
      </c>
    </row>
    <row r="203" spans="1:12" ht="16" customHeight="1">
      <c r="A203" t="s">
        <v>382</v>
      </c>
      <c r="B203" t="s">
        <v>5</v>
      </c>
      <c r="C203" t="s">
        <v>32</v>
      </c>
      <c r="D203" s="24">
        <v>46023</v>
      </c>
      <c r="E203" t="s">
        <v>388</v>
      </c>
      <c r="F203" t="s">
        <v>6</v>
      </c>
      <c r="G203" t="s">
        <v>506</v>
      </c>
      <c r="H203" t="s">
        <v>506</v>
      </c>
      <c r="I203" t="s">
        <v>212</v>
      </c>
      <c r="J203" s="25">
        <v>13315</v>
      </c>
      <c r="K203" s="26">
        <v>2686.45</v>
      </c>
      <c r="L203" s="26">
        <v>12.31</v>
      </c>
    </row>
    <row r="204" spans="1:12" ht="16" customHeight="1">
      <c r="A204" t="s">
        <v>382</v>
      </c>
      <c r="B204" t="s">
        <v>5</v>
      </c>
      <c r="C204" t="s">
        <v>32</v>
      </c>
      <c r="D204" s="24">
        <v>46023</v>
      </c>
      <c r="E204" t="s">
        <v>417</v>
      </c>
      <c r="F204" t="s">
        <v>6</v>
      </c>
      <c r="G204" t="s">
        <v>506</v>
      </c>
      <c r="H204" t="s">
        <v>506</v>
      </c>
      <c r="I204" t="s">
        <v>219</v>
      </c>
      <c r="J204" s="25">
        <v>2</v>
      </c>
      <c r="K204" s="26">
        <v>0.35</v>
      </c>
      <c r="L204" s="26">
        <v>0</v>
      </c>
    </row>
    <row r="205" spans="1:12" ht="16" customHeight="1">
      <c r="A205" t="s">
        <v>384</v>
      </c>
      <c r="B205" t="s">
        <v>6</v>
      </c>
      <c r="C205" t="s">
        <v>33</v>
      </c>
      <c r="D205" s="24">
        <v>46023</v>
      </c>
      <c r="E205" t="s">
        <v>388</v>
      </c>
      <c r="F205" t="s">
        <v>6</v>
      </c>
      <c r="G205" t="s">
        <v>506</v>
      </c>
      <c r="H205" t="s">
        <v>506</v>
      </c>
      <c r="I205" t="s">
        <v>212</v>
      </c>
      <c r="J205" s="25">
        <v>15483</v>
      </c>
      <c r="K205" s="26">
        <v>3119.5</v>
      </c>
      <c r="L205" s="26">
        <v>11.88</v>
      </c>
    </row>
    <row r="206" spans="1:12" ht="16" customHeight="1">
      <c r="A206" t="s">
        <v>384</v>
      </c>
      <c r="B206" t="s">
        <v>6</v>
      </c>
      <c r="C206" t="s">
        <v>33</v>
      </c>
      <c r="D206" s="24">
        <v>46023</v>
      </c>
      <c r="E206" t="s">
        <v>417</v>
      </c>
      <c r="F206" t="s">
        <v>6</v>
      </c>
      <c r="G206" t="s">
        <v>506</v>
      </c>
      <c r="H206" t="s">
        <v>506</v>
      </c>
      <c r="I206" t="s">
        <v>219</v>
      </c>
      <c r="J206" s="25">
        <v>0</v>
      </c>
      <c r="K206" s="26">
        <v>0</v>
      </c>
      <c r="L206" s="26">
        <v>0</v>
      </c>
    </row>
    <row r="207" spans="1:12" ht="16" customHeight="1">
      <c r="A207" t="s">
        <v>385</v>
      </c>
      <c r="B207" t="s">
        <v>7</v>
      </c>
      <c r="C207" t="s">
        <v>33</v>
      </c>
      <c r="D207" s="24">
        <v>46023</v>
      </c>
      <c r="E207" t="s">
        <v>388</v>
      </c>
      <c r="F207" t="s">
        <v>6</v>
      </c>
      <c r="G207" t="s">
        <v>506</v>
      </c>
      <c r="H207" t="s">
        <v>506</v>
      </c>
      <c r="I207" t="s">
        <v>212</v>
      </c>
      <c r="J207" s="25">
        <v>24430</v>
      </c>
      <c r="K207" s="26">
        <v>4899.7</v>
      </c>
      <c r="L207" s="26">
        <v>20.440000000000001</v>
      </c>
    </row>
    <row r="208" spans="1:12" ht="16" customHeight="1">
      <c r="A208" t="s">
        <v>385</v>
      </c>
      <c r="B208" t="s">
        <v>7</v>
      </c>
      <c r="C208" t="s">
        <v>33</v>
      </c>
      <c r="D208" s="24">
        <v>46023</v>
      </c>
      <c r="E208" t="s">
        <v>417</v>
      </c>
      <c r="F208" t="s">
        <v>6</v>
      </c>
      <c r="G208" t="s">
        <v>506</v>
      </c>
      <c r="H208" t="s">
        <v>506</v>
      </c>
      <c r="I208" t="s">
        <v>219</v>
      </c>
      <c r="J208" s="25">
        <v>74</v>
      </c>
      <c r="K208" s="26">
        <v>15.06</v>
      </c>
      <c r="L208" s="26">
        <v>0.15</v>
      </c>
    </row>
    <row r="209" spans="1:12" ht="16" customHeight="1">
      <c r="A209" t="s">
        <v>296</v>
      </c>
      <c r="B209" t="s">
        <v>4</v>
      </c>
      <c r="C209" t="s">
        <v>33</v>
      </c>
      <c r="D209" s="24">
        <v>46023</v>
      </c>
      <c r="E209" t="s">
        <v>388</v>
      </c>
      <c r="F209" t="s">
        <v>6</v>
      </c>
      <c r="G209" t="s">
        <v>506</v>
      </c>
      <c r="H209" t="s">
        <v>506</v>
      </c>
      <c r="I209" t="s">
        <v>212</v>
      </c>
      <c r="J209" s="25">
        <v>34632</v>
      </c>
      <c r="K209" s="26">
        <v>6906.47</v>
      </c>
      <c r="L209" s="26">
        <v>24.87</v>
      </c>
    </row>
    <row r="210" spans="1:12" ht="16" customHeight="1">
      <c r="A210" t="s">
        <v>296</v>
      </c>
      <c r="B210" t="s">
        <v>4</v>
      </c>
      <c r="C210" t="s">
        <v>33</v>
      </c>
      <c r="D210" s="24">
        <v>46023</v>
      </c>
      <c r="E210" t="s">
        <v>417</v>
      </c>
      <c r="F210" t="s">
        <v>6</v>
      </c>
      <c r="G210" t="s">
        <v>506</v>
      </c>
      <c r="H210" t="s">
        <v>506</v>
      </c>
      <c r="I210" t="s">
        <v>219</v>
      </c>
      <c r="J210" s="25">
        <v>55</v>
      </c>
      <c r="K210" s="26">
        <v>11.16</v>
      </c>
      <c r="L210" s="26">
        <v>0.11</v>
      </c>
    </row>
    <row r="211" spans="1:12" ht="16" customHeight="1">
      <c r="A211" t="s">
        <v>386</v>
      </c>
      <c r="B211" t="s">
        <v>5</v>
      </c>
      <c r="C211" t="s">
        <v>33</v>
      </c>
      <c r="D211" s="24">
        <v>46023</v>
      </c>
      <c r="E211" t="s">
        <v>388</v>
      </c>
      <c r="F211" t="s">
        <v>6</v>
      </c>
      <c r="G211" t="s">
        <v>506</v>
      </c>
      <c r="H211" t="s">
        <v>506</v>
      </c>
      <c r="I211" t="s">
        <v>212</v>
      </c>
      <c r="J211" s="25">
        <v>977915</v>
      </c>
      <c r="K211" s="26">
        <v>196834.85</v>
      </c>
      <c r="L211" s="26">
        <v>377.37</v>
      </c>
    </row>
    <row r="212" spans="1:12" ht="16" customHeight="1">
      <c r="A212" t="s">
        <v>386</v>
      </c>
      <c r="B212" t="s">
        <v>5</v>
      </c>
      <c r="C212" t="s">
        <v>33</v>
      </c>
      <c r="D212" s="24">
        <v>46023</v>
      </c>
      <c r="E212" t="s">
        <v>417</v>
      </c>
      <c r="F212" t="s">
        <v>6</v>
      </c>
      <c r="G212" t="s">
        <v>506</v>
      </c>
      <c r="H212" t="s">
        <v>506</v>
      </c>
      <c r="I212" t="s">
        <v>219</v>
      </c>
      <c r="J212" s="25">
        <v>267</v>
      </c>
      <c r="K212" s="26">
        <v>54.85</v>
      </c>
      <c r="L212" s="26">
        <v>0.4</v>
      </c>
    </row>
    <row r="213" spans="1:12" ht="16" customHeight="1">
      <c r="A213" t="s">
        <v>388</v>
      </c>
      <c r="B213" t="s">
        <v>6</v>
      </c>
      <c r="C213" t="s">
        <v>34</v>
      </c>
      <c r="D213" s="24">
        <v>46023</v>
      </c>
      <c r="E213" t="s">
        <v>388</v>
      </c>
      <c r="F213" t="s">
        <v>6</v>
      </c>
      <c r="G213" t="s">
        <v>506</v>
      </c>
      <c r="H213" t="s">
        <v>506</v>
      </c>
      <c r="I213" t="s">
        <v>212</v>
      </c>
      <c r="J213" s="25">
        <v>6328193</v>
      </c>
      <c r="K213" s="26">
        <v>1278293.98</v>
      </c>
      <c r="L213" s="26">
        <v>1106.1600000000001</v>
      </c>
    </row>
    <row r="214" spans="1:12" ht="16" customHeight="1">
      <c r="A214" t="s">
        <v>388</v>
      </c>
      <c r="B214" t="s">
        <v>6</v>
      </c>
      <c r="C214" t="s">
        <v>34</v>
      </c>
      <c r="D214" s="24">
        <v>46023</v>
      </c>
      <c r="E214" t="s">
        <v>417</v>
      </c>
      <c r="F214" t="s">
        <v>6</v>
      </c>
      <c r="G214" t="s">
        <v>506</v>
      </c>
      <c r="H214" t="s">
        <v>506</v>
      </c>
      <c r="I214" t="s">
        <v>219</v>
      </c>
      <c r="J214" s="25">
        <v>419</v>
      </c>
      <c r="K214" s="26">
        <v>86.23</v>
      </c>
      <c r="L214" s="26">
        <v>0.66</v>
      </c>
    </row>
    <row r="215" spans="1:12" ht="16" customHeight="1">
      <c r="A215" t="s">
        <v>389</v>
      </c>
      <c r="B215" t="s">
        <v>7</v>
      </c>
      <c r="C215" t="s">
        <v>34</v>
      </c>
      <c r="D215" s="24">
        <v>46023</v>
      </c>
      <c r="E215" t="s">
        <v>417</v>
      </c>
      <c r="F215" t="s">
        <v>6</v>
      </c>
      <c r="G215" t="s">
        <v>506</v>
      </c>
      <c r="H215" t="s">
        <v>506</v>
      </c>
      <c r="I215" t="s">
        <v>219</v>
      </c>
      <c r="J215" s="25">
        <v>1134</v>
      </c>
      <c r="K215" s="26">
        <v>230.56</v>
      </c>
      <c r="L215" s="26">
        <v>2.39</v>
      </c>
    </row>
    <row r="216" spans="1:12" ht="16" customHeight="1">
      <c r="A216" t="s">
        <v>390</v>
      </c>
      <c r="B216" t="s">
        <v>8</v>
      </c>
      <c r="C216" t="s">
        <v>35</v>
      </c>
      <c r="D216" s="24">
        <v>46054</v>
      </c>
      <c r="E216" t="s">
        <v>417</v>
      </c>
      <c r="F216" t="s">
        <v>6</v>
      </c>
      <c r="G216" t="s">
        <v>506</v>
      </c>
      <c r="H216" t="s">
        <v>506</v>
      </c>
      <c r="I216" t="s">
        <v>212</v>
      </c>
      <c r="J216" s="25">
        <v>3213</v>
      </c>
      <c r="K216" s="26">
        <v>653.19000000000005</v>
      </c>
      <c r="L216" s="26">
        <v>6.73</v>
      </c>
    </row>
    <row r="217" spans="1:12" ht="16" customHeight="1">
      <c r="A217" t="s">
        <v>399</v>
      </c>
      <c r="B217" t="s">
        <v>3</v>
      </c>
      <c r="C217" t="s">
        <v>35</v>
      </c>
      <c r="D217" s="24">
        <v>46054</v>
      </c>
      <c r="E217" t="s">
        <v>417</v>
      </c>
      <c r="F217" t="s">
        <v>6</v>
      </c>
      <c r="G217" t="s">
        <v>506</v>
      </c>
      <c r="H217" t="s">
        <v>506</v>
      </c>
      <c r="I217" t="s">
        <v>212</v>
      </c>
      <c r="J217" s="25">
        <v>1579</v>
      </c>
      <c r="K217" s="26">
        <v>317.14999999999998</v>
      </c>
      <c r="L217" s="26">
        <v>2.39</v>
      </c>
    </row>
    <row r="218" spans="1:12" ht="16" customHeight="1">
      <c r="A218" t="s">
        <v>354</v>
      </c>
      <c r="B218" t="s">
        <v>4</v>
      </c>
      <c r="C218" t="s">
        <v>35</v>
      </c>
      <c r="D218" s="24">
        <v>46054</v>
      </c>
      <c r="E218" t="s">
        <v>417</v>
      </c>
      <c r="F218" t="s">
        <v>6</v>
      </c>
      <c r="G218" t="s">
        <v>506</v>
      </c>
      <c r="H218" t="s">
        <v>506</v>
      </c>
      <c r="I218" t="s">
        <v>212</v>
      </c>
      <c r="J218" s="25">
        <v>1544</v>
      </c>
      <c r="K218" s="26">
        <v>314.43</v>
      </c>
      <c r="L218" s="26">
        <v>3.22</v>
      </c>
    </row>
    <row r="219" spans="1:12" ht="16" customHeight="1">
      <c r="A219" t="s">
        <v>400</v>
      </c>
      <c r="B219" t="s">
        <v>5</v>
      </c>
      <c r="C219" t="s">
        <v>35</v>
      </c>
      <c r="D219" s="24">
        <v>46054</v>
      </c>
      <c r="E219" t="s">
        <v>417</v>
      </c>
      <c r="F219" t="s">
        <v>6</v>
      </c>
      <c r="G219" t="s">
        <v>506</v>
      </c>
      <c r="H219" t="s">
        <v>506</v>
      </c>
      <c r="I219" t="s">
        <v>212</v>
      </c>
      <c r="J219" s="25">
        <v>2053</v>
      </c>
      <c r="K219" s="26">
        <v>416.96</v>
      </c>
      <c r="L219" s="26">
        <v>2.85</v>
      </c>
    </row>
    <row r="220" spans="1:12" ht="16" customHeight="1">
      <c r="A220" t="s">
        <v>402</v>
      </c>
      <c r="B220" t="s">
        <v>6</v>
      </c>
      <c r="C220" t="s">
        <v>35</v>
      </c>
      <c r="D220" s="24">
        <v>46054</v>
      </c>
      <c r="E220" t="s">
        <v>417</v>
      </c>
      <c r="F220" t="s">
        <v>6</v>
      </c>
      <c r="G220" t="s">
        <v>506</v>
      </c>
      <c r="H220" t="s">
        <v>506</v>
      </c>
      <c r="I220" t="s">
        <v>212</v>
      </c>
      <c r="J220" s="25">
        <v>1595</v>
      </c>
      <c r="K220" s="26">
        <v>325.7</v>
      </c>
      <c r="L220" s="26">
        <v>2.2000000000000002</v>
      </c>
    </row>
    <row r="221" spans="1:12" ht="16" customHeight="1">
      <c r="A221" t="s">
        <v>403</v>
      </c>
      <c r="B221" t="s">
        <v>7</v>
      </c>
      <c r="C221" t="s">
        <v>35</v>
      </c>
      <c r="D221" s="24">
        <v>46054</v>
      </c>
      <c r="E221" t="s">
        <v>417</v>
      </c>
      <c r="F221" t="s">
        <v>6</v>
      </c>
      <c r="G221" t="s">
        <v>506</v>
      </c>
      <c r="H221" t="s">
        <v>506</v>
      </c>
      <c r="I221" t="s">
        <v>212</v>
      </c>
      <c r="J221" s="25">
        <v>3726</v>
      </c>
      <c r="K221" s="26">
        <v>759.67</v>
      </c>
      <c r="L221" s="26">
        <v>4.42</v>
      </c>
    </row>
    <row r="222" spans="1:12" ht="16" customHeight="1">
      <c r="A222" t="s">
        <v>404</v>
      </c>
      <c r="B222" t="s">
        <v>3</v>
      </c>
      <c r="C222" t="s">
        <v>36</v>
      </c>
      <c r="D222" s="24">
        <v>46054</v>
      </c>
      <c r="E222" t="s">
        <v>417</v>
      </c>
      <c r="F222" t="s">
        <v>6</v>
      </c>
      <c r="G222" t="s">
        <v>506</v>
      </c>
      <c r="H222" t="s">
        <v>506</v>
      </c>
      <c r="I222" t="s">
        <v>212</v>
      </c>
      <c r="J222" s="25">
        <v>2884</v>
      </c>
      <c r="K222" s="26">
        <v>590.94000000000005</v>
      </c>
      <c r="L222" s="26">
        <v>2.97</v>
      </c>
    </row>
    <row r="223" spans="1:12" ht="16" customHeight="1">
      <c r="A223" t="s">
        <v>374</v>
      </c>
      <c r="B223" t="s">
        <v>4</v>
      </c>
      <c r="C223" t="s">
        <v>36</v>
      </c>
      <c r="D223" s="24">
        <v>46054</v>
      </c>
      <c r="E223" t="s">
        <v>417</v>
      </c>
      <c r="F223" t="s">
        <v>6</v>
      </c>
      <c r="G223" t="s">
        <v>506</v>
      </c>
      <c r="H223" t="s">
        <v>506</v>
      </c>
      <c r="I223" t="s">
        <v>212</v>
      </c>
      <c r="J223" s="25">
        <v>2764</v>
      </c>
      <c r="K223" s="26">
        <v>567.72</v>
      </c>
      <c r="L223" s="26">
        <v>3.05</v>
      </c>
    </row>
    <row r="224" spans="1:12" ht="16" customHeight="1">
      <c r="A224" t="s">
        <v>405</v>
      </c>
      <c r="B224" t="s">
        <v>5</v>
      </c>
      <c r="C224" t="s">
        <v>36</v>
      </c>
      <c r="D224" s="24">
        <v>46054</v>
      </c>
      <c r="E224" t="s">
        <v>417</v>
      </c>
      <c r="F224" t="s">
        <v>6</v>
      </c>
      <c r="G224" t="s">
        <v>506</v>
      </c>
      <c r="H224" t="s">
        <v>506</v>
      </c>
      <c r="I224" t="s">
        <v>212</v>
      </c>
      <c r="J224" s="25">
        <v>3545</v>
      </c>
      <c r="K224" s="26">
        <v>724.84</v>
      </c>
      <c r="L224" s="26">
        <v>3.38</v>
      </c>
    </row>
    <row r="225" spans="1:12" ht="16" customHeight="1">
      <c r="A225" t="s">
        <v>407</v>
      </c>
      <c r="B225" t="s">
        <v>6</v>
      </c>
      <c r="C225" t="s">
        <v>36</v>
      </c>
      <c r="D225" s="24">
        <v>46054</v>
      </c>
      <c r="E225" t="s">
        <v>417</v>
      </c>
      <c r="F225" t="s">
        <v>6</v>
      </c>
      <c r="G225" t="s">
        <v>506</v>
      </c>
      <c r="H225" t="s">
        <v>506</v>
      </c>
      <c r="I225" t="s">
        <v>212</v>
      </c>
      <c r="J225" s="25">
        <v>2780</v>
      </c>
      <c r="K225" s="26">
        <v>567.55999999999995</v>
      </c>
      <c r="L225" s="26">
        <v>2.44</v>
      </c>
    </row>
    <row r="226" spans="1:12" ht="16" customHeight="1">
      <c r="A226" t="s">
        <v>408</v>
      </c>
      <c r="B226" t="s">
        <v>7</v>
      </c>
      <c r="C226" t="s">
        <v>36</v>
      </c>
      <c r="D226" s="24">
        <v>46054</v>
      </c>
      <c r="E226" t="s">
        <v>417</v>
      </c>
      <c r="F226" t="s">
        <v>6</v>
      </c>
      <c r="G226" t="s">
        <v>506</v>
      </c>
      <c r="H226" t="s">
        <v>506</v>
      </c>
      <c r="I226" t="s">
        <v>212</v>
      </c>
      <c r="J226" s="25">
        <v>8397</v>
      </c>
      <c r="K226" s="26">
        <v>1711.63</v>
      </c>
      <c r="L226" s="26">
        <v>8.98</v>
      </c>
    </row>
    <row r="227" spans="1:12" ht="16" customHeight="1">
      <c r="A227" t="s">
        <v>409</v>
      </c>
      <c r="B227" t="s">
        <v>3</v>
      </c>
      <c r="C227" t="s">
        <v>37</v>
      </c>
      <c r="D227" s="24">
        <v>46054</v>
      </c>
      <c r="E227" t="s">
        <v>417</v>
      </c>
      <c r="F227" t="s">
        <v>6</v>
      </c>
      <c r="G227" t="s">
        <v>506</v>
      </c>
      <c r="H227" t="s">
        <v>506</v>
      </c>
      <c r="I227" t="s">
        <v>212</v>
      </c>
      <c r="J227" s="25">
        <v>6732</v>
      </c>
      <c r="K227" s="26">
        <v>1373.05</v>
      </c>
      <c r="L227" s="26">
        <v>5.72</v>
      </c>
    </row>
    <row r="228" spans="1:12" ht="16" customHeight="1">
      <c r="A228" t="s">
        <v>409</v>
      </c>
      <c r="B228" t="s">
        <v>3</v>
      </c>
      <c r="C228" t="s">
        <v>37</v>
      </c>
      <c r="D228" s="24">
        <v>46054</v>
      </c>
      <c r="E228" t="s">
        <v>458</v>
      </c>
      <c r="F228" t="s">
        <v>6</v>
      </c>
      <c r="G228" t="s">
        <v>506</v>
      </c>
      <c r="H228" t="s">
        <v>506</v>
      </c>
      <c r="I228" t="s">
        <v>221</v>
      </c>
      <c r="J228" s="25">
        <v>0</v>
      </c>
      <c r="K228" s="26">
        <v>0</v>
      </c>
      <c r="L228" s="26">
        <v>0</v>
      </c>
    </row>
    <row r="229" spans="1:12" ht="16" customHeight="1">
      <c r="A229" t="s">
        <v>379</v>
      </c>
      <c r="B229" t="s">
        <v>4</v>
      </c>
      <c r="C229" t="s">
        <v>37</v>
      </c>
      <c r="D229" s="24">
        <v>46054</v>
      </c>
      <c r="E229" t="s">
        <v>417</v>
      </c>
      <c r="F229" t="s">
        <v>6</v>
      </c>
      <c r="G229" t="s">
        <v>506</v>
      </c>
      <c r="H229" t="s">
        <v>506</v>
      </c>
      <c r="I229" t="s">
        <v>212</v>
      </c>
      <c r="J229" s="25">
        <v>16693</v>
      </c>
      <c r="K229" s="26">
        <v>3431.47</v>
      </c>
      <c r="L229" s="26">
        <v>13.69</v>
      </c>
    </row>
    <row r="230" spans="1:12" ht="16" customHeight="1">
      <c r="A230" t="s">
        <v>379</v>
      </c>
      <c r="B230" t="s">
        <v>4</v>
      </c>
      <c r="C230" t="s">
        <v>37</v>
      </c>
      <c r="D230" s="24">
        <v>46054</v>
      </c>
      <c r="E230" t="s">
        <v>458</v>
      </c>
      <c r="F230" t="s">
        <v>6</v>
      </c>
      <c r="G230" t="s">
        <v>506</v>
      </c>
      <c r="H230" t="s">
        <v>506</v>
      </c>
      <c r="I230" t="s">
        <v>221</v>
      </c>
      <c r="J230" s="25">
        <v>0</v>
      </c>
      <c r="K230" s="26">
        <v>0</v>
      </c>
      <c r="L230" s="26">
        <v>0</v>
      </c>
    </row>
    <row r="231" spans="1:12" ht="16" customHeight="1">
      <c r="A231" t="s">
        <v>410</v>
      </c>
      <c r="B231" t="s">
        <v>5</v>
      </c>
      <c r="C231" t="s">
        <v>37</v>
      </c>
      <c r="D231" s="24">
        <v>46054</v>
      </c>
      <c r="E231" t="s">
        <v>417</v>
      </c>
      <c r="F231" t="s">
        <v>6</v>
      </c>
      <c r="G231" t="s">
        <v>506</v>
      </c>
      <c r="H231" t="s">
        <v>506</v>
      </c>
      <c r="I231" t="s">
        <v>212</v>
      </c>
      <c r="J231" s="25">
        <v>14317</v>
      </c>
      <c r="K231" s="26">
        <v>2937.41</v>
      </c>
      <c r="L231" s="26">
        <v>10.119999999999999</v>
      </c>
    </row>
    <row r="232" spans="1:12" ht="16" customHeight="1">
      <c r="A232" t="s">
        <v>410</v>
      </c>
      <c r="B232" t="s">
        <v>5</v>
      </c>
      <c r="C232" t="s">
        <v>37</v>
      </c>
      <c r="D232" s="24">
        <v>46054</v>
      </c>
      <c r="E232" t="s">
        <v>458</v>
      </c>
      <c r="F232" t="s">
        <v>6</v>
      </c>
      <c r="G232" t="s">
        <v>506</v>
      </c>
      <c r="H232" t="s">
        <v>506</v>
      </c>
      <c r="I232" t="s">
        <v>221</v>
      </c>
      <c r="J232" s="25">
        <v>0</v>
      </c>
      <c r="K232" s="26">
        <v>0</v>
      </c>
      <c r="L232" s="26">
        <v>0</v>
      </c>
    </row>
    <row r="233" spans="1:12" ht="16" customHeight="1">
      <c r="A233" t="s">
        <v>412</v>
      </c>
      <c r="B233" t="s">
        <v>6</v>
      </c>
      <c r="C233" t="s">
        <v>37</v>
      </c>
      <c r="D233" s="24">
        <v>46054</v>
      </c>
      <c r="E233" t="s">
        <v>417</v>
      </c>
      <c r="F233" t="s">
        <v>6</v>
      </c>
      <c r="G233" t="s">
        <v>506</v>
      </c>
      <c r="H233" t="s">
        <v>506</v>
      </c>
      <c r="I233" t="s">
        <v>212</v>
      </c>
      <c r="J233" s="25">
        <v>15051</v>
      </c>
      <c r="K233" s="26">
        <v>3105.91</v>
      </c>
      <c r="L233" s="26">
        <v>13.28</v>
      </c>
    </row>
    <row r="234" spans="1:12" ht="16" customHeight="1">
      <c r="A234" t="s">
        <v>412</v>
      </c>
      <c r="B234" t="s">
        <v>6</v>
      </c>
      <c r="C234" t="s">
        <v>37</v>
      </c>
      <c r="D234" s="24">
        <v>46054</v>
      </c>
      <c r="E234" t="s">
        <v>435</v>
      </c>
      <c r="F234" t="s">
        <v>5</v>
      </c>
      <c r="G234" t="s">
        <v>510</v>
      </c>
      <c r="H234" t="s">
        <v>510</v>
      </c>
      <c r="I234" t="s">
        <v>219</v>
      </c>
      <c r="J234" s="25">
        <v>4</v>
      </c>
      <c r="K234" s="26">
        <v>0.82</v>
      </c>
      <c r="L234" s="26">
        <v>0.02</v>
      </c>
    </row>
    <row r="235" spans="1:12" ht="16" customHeight="1">
      <c r="A235" t="s">
        <v>412</v>
      </c>
      <c r="B235" t="s">
        <v>6</v>
      </c>
      <c r="C235" t="s">
        <v>37</v>
      </c>
      <c r="D235" s="24">
        <v>46054</v>
      </c>
      <c r="E235" t="s">
        <v>458</v>
      </c>
      <c r="F235" t="s">
        <v>6</v>
      </c>
      <c r="G235" t="s">
        <v>506</v>
      </c>
      <c r="H235" t="s">
        <v>506</v>
      </c>
      <c r="I235" t="s">
        <v>221</v>
      </c>
      <c r="J235" s="25">
        <v>0</v>
      </c>
      <c r="K235" s="26">
        <v>0</v>
      </c>
      <c r="L235" s="26">
        <v>0</v>
      </c>
    </row>
    <row r="236" spans="1:12" ht="16" customHeight="1">
      <c r="A236" t="s">
        <v>413</v>
      </c>
      <c r="B236" t="s">
        <v>7</v>
      </c>
      <c r="C236" t="s">
        <v>37</v>
      </c>
      <c r="D236" s="24">
        <v>46054</v>
      </c>
      <c r="E236" t="s">
        <v>417</v>
      </c>
      <c r="F236" t="s">
        <v>6</v>
      </c>
      <c r="G236" t="s">
        <v>506</v>
      </c>
      <c r="H236" t="s">
        <v>506</v>
      </c>
      <c r="I236" t="s">
        <v>212</v>
      </c>
      <c r="J236" s="25">
        <v>31740</v>
      </c>
      <c r="K236" s="26">
        <v>6566.22</v>
      </c>
      <c r="L236" s="26">
        <v>27.67</v>
      </c>
    </row>
    <row r="237" spans="1:12" ht="16" customHeight="1">
      <c r="A237" t="s">
        <v>413</v>
      </c>
      <c r="B237" t="s">
        <v>7</v>
      </c>
      <c r="C237" t="s">
        <v>37</v>
      </c>
      <c r="D237" s="24">
        <v>46054</v>
      </c>
      <c r="E237" t="s">
        <v>435</v>
      </c>
      <c r="F237" t="s">
        <v>5</v>
      </c>
      <c r="G237" t="s">
        <v>510</v>
      </c>
      <c r="H237" t="s">
        <v>510</v>
      </c>
      <c r="I237" t="s">
        <v>219</v>
      </c>
      <c r="J237" s="25">
        <v>2</v>
      </c>
      <c r="K237" s="26">
        <v>0.42</v>
      </c>
      <c r="L237" s="26">
        <v>0.01</v>
      </c>
    </row>
    <row r="238" spans="1:12" ht="16" customHeight="1">
      <c r="A238" t="s">
        <v>413</v>
      </c>
      <c r="B238" t="s">
        <v>7</v>
      </c>
      <c r="C238" t="s">
        <v>37</v>
      </c>
      <c r="D238" s="24">
        <v>46054</v>
      </c>
      <c r="E238" t="s">
        <v>458</v>
      </c>
      <c r="F238" t="s">
        <v>6</v>
      </c>
      <c r="G238" t="s">
        <v>506</v>
      </c>
      <c r="H238" t="s">
        <v>506</v>
      </c>
      <c r="I238" t="s">
        <v>221</v>
      </c>
      <c r="J238" s="25">
        <v>0</v>
      </c>
      <c r="K238" s="26">
        <v>0</v>
      </c>
      <c r="L238" s="26">
        <v>0</v>
      </c>
    </row>
    <row r="239" spans="1:12" ht="16" customHeight="1">
      <c r="A239" t="s">
        <v>414</v>
      </c>
      <c r="B239" t="s">
        <v>3</v>
      </c>
      <c r="C239" t="s">
        <v>38</v>
      </c>
      <c r="D239" s="24">
        <v>46054</v>
      </c>
      <c r="E239" t="s">
        <v>417</v>
      </c>
      <c r="F239" t="s">
        <v>6</v>
      </c>
      <c r="G239" t="s">
        <v>506</v>
      </c>
      <c r="H239" t="s">
        <v>506</v>
      </c>
      <c r="I239" t="s">
        <v>212</v>
      </c>
      <c r="J239" s="25">
        <v>43534</v>
      </c>
      <c r="K239" s="26">
        <v>8988.9500000000007</v>
      </c>
      <c r="L239" s="26">
        <v>41.01</v>
      </c>
    </row>
    <row r="240" spans="1:12" ht="16" customHeight="1">
      <c r="A240" t="s">
        <v>414</v>
      </c>
      <c r="B240" t="s">
        <v>3</v>
      </c>
      <c r="C240" t="s">
        <v>38</v>
      </c>
      <c r="D240" s="24">
        <v>46054</v>
      </c>
      <c r="E240" t="s">
        <v>435</v>
      </c>
      <c r="F240" t="s">
        <v>5</v>
      </c>
      <c r="G240" t="s">
        <v>510</v>
      </c>
      <c r="H240" t="s">
        <v>510</v>
      </c>
      <c r="I240" t="s">
        <v>219</v>
      </c>
      <c r="J240" s="25">
        <v>6</v>
      </c>
      <c r="K240" s="26">
        <v>1.26</v>
      </c>
      <c r="L240" s="26">
        <v>0.04</v>
      </c>
    </row>
    <row r="241" spans="1:12" ht="16" customHeight="1">
      <c r="A241" t="s">
        <v>414</v>
      </c>
      <c r="B241" t="s">
        <v>3</v>
      </c>
      <c r="C241" t="s">
        <v>38</v>
      </c>
      <c r="D241" s="24">
        <v>46054</v>
      </c>
      <c r="E241" t="s">
        <v>458</v>
      </c>
      <c r="F241" t="s">
        <v>6</v>
      </c>
      <c r="G241" t="s">
        <v>506</v>
      </c>
      <c r="H241" t="s">
        <v>506</v>
      </c>
      <c r="I241" t="s">
        <v>221</v>
      </c>
      <c r="J241" s="25">
        <v>0</v>
      </c>
      <c r="K241" s="26">
        <v>0</v>
      </c>
      <c r="L241" s="26">
        <v>0</v>
      </c>
    </row>
    <row r="242" spans="1:12" ht="16" customHeight="1">
      <c r="A242" t="s">
        <v>326</v>
      </c>
      <c r="B242" t="s">
        <v>4</v>
      </c>
      <c r="C242" t="s">
        <v>38</v>
      </c>
      <c r="D242" s="24">
        <v>46054</v>
      </c>
      <c r="E242" t="s">
        <v>417</v>
      </c>
      <c r="F242" t="s">
        <v>6</v>
      </c>
      <c r="G242" t="s">
        <v>506</v>
      </c>
      <c r="H242" t="s">
        <v>506</v>
      </c>
      <c r="I242" t="s">
        <v>212</v>
      </c>
      <c r="J242" s="25">
        <v>53853</v>
      </c>
      <c r="K242" s="26">
        <v>11130.47</v>
      </c>
      <c r="L242" s="26">
        <v>41.76</v>
      </c>
    </row>
    <row r="243" spans="1:12" ht="16" customHeight="1">
      <c r="A243" t="s">
        <v>326</v>
      </c>
      <c r="B243" t="s">
        <v>4</v>
      </c>
      <c r="C243" t="s">
        <v>38</v>
      </c>
      <c r="D243" s="24">
        <v>46054</v>
      </c>
      <c r="E243" t="s">
        <v>435</v>
      </c>
      <c r="F243" t="s">
        <v>5</v>
      </c>
      <c r="G243" t="s">
        <v>510</v>
      </c>
      <c r="H243" t="s">
        <v>510</v>
      </c>
      <c r="I243" t="s">
        <v>219</v>
      </c>
      <c r="J243" s="25">
        <v>40</v>
      </c>
      <c r="K243" s="26">
        <v>8.3699999999999992</v>
      </c>
      <c r="L243" s="26">
        <v>0.13</v>
      </c>
    </row>
    <row r="244" spans="1:12" ht="16" customHeight="1">
      <c r="A244" t="s">
        <v>326</v>
      </c>
      <c r="B244" t="s">
        <v>4</v>
      </c>
      <c r="C244" t="s">
        <v>38</v>
      </c>
      <c r="D244" s="24">
        <v>46054</v>
      </c>
      <c r="E244" t="s">
        <v>458</v>
      </c>
      <c r="F244" t="s">
        <v>6</v>
      </c>
      <c r="G244" t="s">
        <v>506</v>
      </c>
      <c r="H244" t="s">
        <v>506</v>
      </c>
      <c r="I244" t="s">
        <v>221</v>
      </c>
      <c r="J244" s="25">
        <v>0</v>
      </c>
      <c r="K244" s="26">
        <v>0</v>
      </c>
      <c r="L244" s="26">
        <v>0</v>
      </c>
    </row>
    <row r="245" spans="1:12" ht="16" customHeight="1">
      <c r="A245" t="s">
        <v>415</v>
      </c>
      <c r="B245" t="s">
        <v>5</v>
      </c>
      <c r="C245" t="s">
        <v>38</v>
      </c>
      <c r="D245" s="24">
        <v>46054</v>
      </c>
      <c r="E245" t="s">
        <v>417</v>
      </c>
      <c r="F245" t="s">
        <v>6</v>
      </c>
      <c r="G245" t="s">
        <v>506</v>
      </c>
      <c r="H245" t="s">
        <v>506</v>
      </c>
      <c r="I245" t="s">
        <v>212</v>
      </c>
      <c r="J245" s="25">
        <v>706826</v>
      </c>
      <c r="K245" s="26">
        <v>145733.66</v>
      </c>
      <c r="L245" s="26">
        <v>322.58999999999997</v>
      </c>
    </row>
    <row r="246" spans="1:12" ht="16" customHeight="1">
      <c r="A246" t="s">
        <v>415</v>
      </c>
      <c r="B246" t="s">
        <v>5</v>
      </c>
      <c r="C246" t="s">
        <v>38</v>
      </c>
      <c r="D246" s="24">
        <v>46054</v>
      </c>
      <c r="E246" t="s">
        <v>435</v>
      </c>
      <c r="F246" t="s">
        <v>5</v>
      </c>
      <c r="G246" t="s">
        <v>510</v>
      </c>
      <c r="H246" t="s">
        <v>510</v>
      </c>
      <c r="I246" t="s">
        <v>219</v>
      </c>
      <c r="J246" s="25">
        <v>263</v>
      </c>
      <c r="K246" s="26">
        <v>53.76</v>
      </c>
      <c r="L246" s="26">
        <v>0.34</v>
      </c>
    </row>
    <row r="247" spans="1:12" ht="16" customHeight="1">
      <c r="A247" t="s">
        <v>415</v>
      </c>
      <c r="B247" t="s">
        <v>5</v>
      </c>
      <c r="C247" t="s">
        <v>38</v>
      </c>
      <c r="D247" s="24">
        <v>46054</v>
      </c>
      <c r="E247" t="s">
        <v>458</v>
      </c>
      <c r="F247" t="s">
        <v>6</v>
      </c>
      <c r="G247" t="s">
        <v>506</v>
      </c>
      <c r="H247" t="s">
        <v>506</v>
      </c>
      <c r="I247" t="s">
        <v>221</v>
      </c>
      <c r="J247" s="25">
        <v>0</v>
      </c>
      <c r="K247" s="26">
        <v>0</v>
      </c>
      <c r="L247" s="26">
        <v>0</v>
      </c>
    </row>
    <row r="248" spans="1:12" ht="16" customHeight="1">
      <c r="A248" t="s">
        <v>417</v>
      </c>
      <c r="B248" t="s">
        <v>6</v>
      </c>
      <c r="C248" t="s">
        <v>38</v>
      </c>
      <c r="D248" s="24">
        <v>46054</v>
      </c>
      <c r="E248" t="s">
        <v>417</v>
      </c>
      <c r="F248" t="s">
        <v>6</v>
      </c>
      <c r="G248" t="s">
        <v>506</v>
      </c>
      <c r="H248" t="s">
        <v>506</v>
      </c>
      <c r="I248" t="s">
        <v>212</v>
      </c>
      <c r="J248" s="25">
        <v>6384699</v>
      </c>
      <c r="K248" s="26">
        <v>1315711.45</v>
      </c>
      <c r="L248" s="26">
        <v>959.93</v>
      </c>
    </row>
    <row r="249" spans="1:12" ht="16" customHeight="1">
      <c r="A249" t="s">
        <v>417</v>
      </c>
      <c r="B249" t="s">
        <v>6</v>
      </c>
      <c r="C249" t="s">
        <v>38</v>
      </c>
      <c r="D249" s="24">
        <v>46054</v>
      </c>
      <c r="E249" t="s">
        <v>435</v>
      </c>
      <c r="F249" t="s">
        <v>5</v>
      </c>
      <c r="G249" t="s">
        <v>510</v>
      </c>
      <c r="H249" t="s">
        <v>510</v>
      </c>
      <c r="I249" t="s">
        <v>219</v>
      </c>
      <c r="J249" s="25">
        <v>343</v>
      </c>
      <c r="K249" s="26">
        <v>71.569999999999993</v>
      </c>
      <c r="L249" s="26">
        <v>0.46</v>
      </c>
    </row>
    <row r="250" spans="1:12" ht="16" customHeight="1">
      <c r="A250" t="s">
        <v>417</v>
      </c>
      <c r="B250" t="s">
        <v>6</v>
      </c>
      <c r="C250" t="s">
        <v>38</v>
      </c>
      <c r="D250" s="24">
        <v>46054</v>
      </c>
      <c r="E250" t="s">
        <v>458</v>
      </c>
      <c r="F250" t="s">
        <v>6</v>
      </c>
      <c r="G250" t="s">
        <v>506</v>
      </c>
      <c r="H250" t="s">
        <v>506</v>
      </c>
      <c r="I250" t="s">
        <v>221</v>
      </c>
      <c r="J250" s="25">
        <v>0</v>
      </c>
      <c r="K250" s="26">
        <v>0</v>
      </c>
      <c r="L250" s="26">
        <v>0</v>
      </c>
    </row>
    <row r="251" spans="1:12" ht="16" customHeight="1">
      <c r="A251" t="s">
        <v>418</v>
      </c>
      <c r="B251" t="s">
        <v>7</v>
      </c>
      <c r="C251" t="s">
        <v>38</v>
      </c>
      <c r="D251" s="24">
        <v>46054</v>
      </c>
      <c r="E251" t="s">
        <v>435</v>
      </c>
      <c r="F251" t="s">
        <v>5</v>
      </c>
      <c r="G251" t="s">
        <v>510</v>
      </c>
      <c r="H251" t="s">
        <v>510</v>
      </c>
      <c r="I251" t="s">
        <v>219</v>
      </c>
      <c r="J251" s="25">
        <v>5184</v>
      </c>
      <c r="K251" s="26">
        <v>1064.24</v>
      </c>
      <c r="L251" s="26">
        <v>7.37</v>
      </c>
    </row>
    <row r="252" spans="1:12" ht="16" customHeight="1">
      <c r="A252" t="s">
        <v>418</v>
      </c>
      <c r="B252" t="s">
        <v>7</v>
      </c>
      <c r="C252" t="s">
        <v>38</v>
      </c>
      <c r="D252" s="24">
        <v>46054</v>
      </c>
      <c r="E252" t="s">
        <v>458</v>
      </c>
      <c r="F252" t="s">
        <v>6</v>
      </c>
      <c r="G252" t="s">
        <v>506</v>
      </c>
      <c r="H252" t="s">
        <v>506</v>
      </c>
      <c r="I252" t="s">
        <v>221</v>
      </c>
      <c r="J252" s="25">
        <v>0</v>
      </c>
      <c r="K252" s="26">
        <v>0</v>
      </c>
      <c r="L252" s="26">
        <v>0</v>
      </c>
    </row>
    <row r="253" spans="1:12" ht="16" customHeight="1">
      <c r="A253" t="s">
        <v>383</v>
      </c>
      <c r="B253" t="s">
        <v>3</v>
      </c>
      <c r="C253" t="s">
        <v>39</v>
      </c>
      <c r="D253" s="24">
        <v>46082</v>
      </c>
      <c r="E253" t="s">
        <v>435</v>
      </c>
      <c r="F253" t="s">
        <v>5</v>
      </c>
      <c r="G253" t="s">
        <v>510</v>
      </c>
      <c r="H253" t="s">
        <v>510</v>
      </c>
      <c r="I253" t="s">
        <v>212</v>
      </c>
      <c r="J253" s="25">
        <v>4508</v>
      </c>
      <c r="K253" s="26">
        <v>927.49</v>
      </c>
      <c r="L253" s="26">
        <v>8.66</v>
      </c>
    </row>
    <row r="254" spans="1:12" ht="16" customHeight="1">
      <c r="A254" t="s">
        <v>383</v>
      </c>
      <c r="B254" t="s">
        <v>3</v>
      </c>
      <c r="C254" t="s">
        <v>39</v>
      </c>
      <c r="D254" s="24">
        <v>46082</v>
      </c>
      <c r="E254" t="s">
        <v>458</v>
      </c>
      <c r="F254" t="s">
        <v>6</v>
      </c>
      <c r="G254" t="s">
        <v>506</v>
      </c>
      <c r="H254" t="s">
        <v>506</v>
      </c>
      <c r="I254" t="s">
        <v>219</v>
      </c>
      <c r="J254" s="25">
        <v>6</v>
      </c>
      <c r="K254" s="26">
        <v>1.19</v>
      </c>
      <c r="L254" s="26">
        <v>0.01</v>
      </c>
    </row>
    <row r="255" spans="1:12" ht="16" customHeight="1">
      <c r="A255" t="s">
        <v>419</v>
      </c>
      <c r="B255" t="s">
        <v>5</v>
      </c>
      <c r="C255" t="s">
        <v>39</v>
      </c>
      <c r="D255" s="24">
        <v>46082</v>
      </c>
      <c r="E255" t="s">
        <v>435</v>
      </c>
      <c r="F255" t="s">
        <v>5</v>
      </c>
      <c r="G255" t="s">
        <v>510</v>
      </c>
      <c r="H255" t="s">
        <v>510</v>
      </c>
      <c r="I255" t="s">
        <v>212</v>
      </c>
      <c r="J255" s="25">
        <v>4317</v>
      </c>
      <c r="K255" s="26">
        <v>883.69</v>
      </c>
      <c r="L255" s="26">
        <v>10.85</v>
      </c>
    </row>
    <row r="256" spans="1:12" ht="16" customHeight="1">
      <c r="A256" t="s">
        <v>419</v>
      </c>
      <c r="B256" t="s">
        <v>5</v>
      </c>
      <c r="C256" t="s">
        <v>39</v>
      </c>
      <c r="D256" s="24">
        <v>46082</v>
      </c>
      <c r="E256" t="s">
        <v>458</v>
      </c>
      <c r="F256" t="s">
        <v>6</v>
      </c>
      <c r="G256" t="s">
        <v>506</v>
      </c>
      <c r="H256" t="s">
        <v>506</v>
      </c>
      <c r="I256" t="s">
        <v>219</v>
      </c>
      <c r="J256" s="25">
        <v>0</v>
      </c>
      <c r="K256" s="26">
        <v>0</v>
      </c>
      <c r="L256" s="26">
        <v>0</v>
      </c>
    </row>
    <row r="257" spans="1:12" ht="16" customHeight="1">
      <c r="A257" t="s">
        <v>421</v>
      </c>
      <c r="B257" t="s">
        <v>6</v>
      </c>
      <c r="C257" t="s">
        <v>39</v>
      </c>
      <c r="D257" s="24">
        <v>46082</v>
      </c>
      <c r="E257" t="s">
        <v>435</v>
      </c>
      <c r="F257" t="s">
        <v>5</v>
      </c>
      <c r="G257" t="s">
        <v>510</v>
      </c>
      <c r="H257" t="s">
        <v>510</v>
      </c>
      <c r="I257" t="s">
        <v>212</v>
      </c>
      <c r="J257" s="25">
        <v>5371</v>
      </c>
      <c r="K257" s="26">
        <v>1092.6400000000001</v>
      </c>
      <c r="L257" s="26">
        <v>12.83</v>
      </c>
    </row>
    <row r="258" spans="1:12" ht="16" customHeight="1">
      <c r="A258" t="s">
        <v>421</v>
      </c>
      <c r="B258" t="s">
        <v>6</v>
      </c>
      <c r="C258" t="s">
        <v>39</v>
      </c>
      <c r="D258" s="24">
        <v>46082</v>
      </c>
      <c r="E258" t="s">
        <v>458</v>
      </c>
      <c r="F258" t="s">
        <v>6</v>
      </c>
      <c r="G258" t="s">
        <v>506</v>
      </c>
      <c r="H258" t="s">
        <v>506</v>
      </c>
      <c r="I258" t="s">
        <v>219</v>
      </c>
      <c r="J258" s="25">
        <v>13</v>
      </c>
      <c r="K258" s="26">
        <v>2.63</v>
      </c>
      <c r="L258" s="26">
        <v>0.05</v>
      </c>
    </row>
    <row r="259" spans="1:12" ht="16" customHeight="1">
      <c r="A259" t="s">
        <v>422</v>
      </c>
      <c r="B259" t="s">
        <v>7</v>
      </c>
      <c r="C259" t="s">
        <v>39</v>
      </c>
      <c r="D259" s="24">
        <v>46082</v>
      </c>
      <c r="E259" t="s">
        <v>435</v>
      </c>
      <c r="F259" t="s">
        <v>5</v>
      </c>
      <c r="G259" t="s">
        <v>510</v>
      </c>
      <c r="H259" t="s">
        <v>510</v>
      </c>
      <c r="I259" t="s">
        <v>212</v>
      </c>
      <c r="J259" s="25">
        <v>6296</v>
      </c>
      <c r="K259" s="26">
        <v>1264.96</v>
      </c>
      <c r="L259" s="26">
        <v>13.43</v>
      </c>
    </row>
    <row r="260" spans="1:12" ht="16" customHeight="1">
      <c r="A260" t="s">
        <v>422</v>
      </c>
      <c r="B260" t="s">
        <v>7</v>
      </c>
      <c r="C260" t="s">
        <v>39</v>
      </c>
      <c r="D260" s="24">
        <v>46082</v>
      </c>
      <c r="E260" t="s">
        <v>458</v>
      </c>
      <c r="F260" t="s">
        <v>6</v>
      </c>
      <c r="G260" t="s">
        <v>506</v>
      </c>
      <c r="H260" t="s">
        <v>506</v>
      </c>
      <c r="I260" t="s">
        <v>219</v>
      </c>
      <c r="J260" s="25">
        <v>0</v>
      </c>
      <c r="K260" s="26">
        <v>0</v>
      </c>
      <c r="L260" s="26">
        <v>0</v>
      </c>
    </row>
    <row r="261" spans="1:12" ht="16" customHeight="1">
      <c r="A261" t="s">
        <v>423</v>
      </c>
      <c r="B261" t="s">
        <v>3</v>
      </c>
      <c r="C261" t="s">
        <v>40</v>
      </c>
      <c r="D261" s="24">
        <v>46082</v>
      </c>
      <c r="E261" t="s">
        <v>435</v>
      </c>
      <c r="F261" t="s">
        <v>5</v>
      </c>
      <c r="G261" t="s">
        <v>510</v>
      </c>
      <c r="H261" t="s">
        <v>510</v>
      </c>
      <c r="I261" t="s">
        <v>212</v>
      </c>
      <c r="J261" s="25">
        <v>1455</v>
      </c>
      <c r="K261" s="26">
        <v>295.77</v>
      </c>
      <c r="L261" s="26">
        <v>7.91</v>
      </c>
    </row>
    <row r="262" spans="1:12" ht="16" customHeight="1">
      <c r="A262" t="s">
        <v>423</v>
      </c>
      <c r="B262" t="s">
        <v>3</v>
      </c>
      <c r="C262" t="s">
        <v>40</v>
      </c>
      <c r="D262" s="24">
        <v>46082</v>
      </c>
      <c r="E262" t="s">
        <v>458</v>
      </c>
      <c r="F262" t="s">
        <v>6</v>
      </c>
      <c r="G262" t="s">
        <v>506</v>
      </c>
      <c r="H262" t="s">
        <v>506</v>
      </c>
      <c r="I262" t="s">
        <v>219</v>
      </c>
      <c r="J262" s="25">
        <v>0</v>
      </c>
      <c r="K262" s="26">
        <v>0</v>
      </c>
      <c r="L262" s="26">
        <v>0</v>
      </c>
    </row>
    <row r="263" spans="1:12" ht="16" customHeight="1">
      <c r="A263" t="s">
        <v>401</v>
      </c>
      <c r="B263" t="s">
        <v>4</v>
      </c>
      <c r="C263" t="s">
        <v>40</v>
      </c>
      <c r="D263" s="24">
        <v>46082</v>
      </c>
      <c r="E263" t="s">
        <v>435</v>
      </c>
      <c r="F263" t="s">
        <v>5</v>
      </c>
      <c r="G263" t="s">
        <v>510</v>
      </c>
      <c r="H263" t="s">
        <v>510</v>
      </c>
      <c r="I263" t="s">
        <v>212</v>
      </c>
      <c r="J263" s="25">
        <v>4293</v>
      </c>
      <c r="K263" s="26">
        <v>846.4</v>
      </c>
      <c r="L263" s="26">
        <v>8.11</v>
      </c>
    </row>
    <row r="264" spans="1:12" ht="16" customHeight="1">
      <c r="A264" t="s">
        <v>401</v>
      </c>
      <c r="B264" t="s">
        <v>4</v>
      </c>
      <c r="C264" t="s">
        <v>40</v>
      </c>
      <c r="D264" s="24">
        <v>46082</v>
      </c>
      <c r="E264" t="s">
        <v>458</v>
      </c>
      <c r="F264" t="s">
        <v>6</v>
      </c>
      <c r="G264" t="s">
        <v>506</v>
      </c>
      <c r="H264" t="s">
        <v>506</v>
      </c>
      <c r="I264" t="s">
        <v>219</v>
      </c>
      <c r="J264" s="25">
        <v>0</v>
      </c>
      <c r="K264" s="26">
        <v>0</v>
      </c>
      <c r="L264" s="26">
        <v>0</v>
      </c>
    </row>
    <row r="265" spans="1:12" ht="16" customHeight="1">
      <c r="A265" t="s">
        <v>424</v>
      </c>
      <c r="B265" t="s">
        <v>5</v>
      </c>
      <c r="C265" t="s">
        <v>40</v>
      </c>
      <c r="D265" s="24">
        <v>46082</v>
      </c>
      <c r="E265" t="s">
        <v>435</v>
      </c>
      <c r="F265" t="s">
        <v>5</v>
      </c>
      <c r="G265" t="s">
        <v>510</v>
      </c>
      <c r="H265" t="s">
        <v>510</v>
      </c>
      <c r="I265" t="s">
        <v>212</v>
      </c>
      <c r="J265" s="25">
        <v>8478</v>
      </c>
      <c r="K265" s="26">
        <v>1654.86</v>
      </c>
      <c r="L265" s="26">
        <v>15.64</v>
      </c>
    </row>
    <row r="266" spans="1:12" ht="16" customHeight="1">
      <c r="A266" t="s">
        <v>424</v>
      </c>
      <c r="B266" t="s">
        <v>5</v>
      </c>
      <c r="C266" t="s">
        <v>40</v>
      </c>
      <c r="D266" s="24">
        <v>46082</v>
      </c>
      <c r="E266" t="s">
        <v>458</v>
      </c>
      <c r="F266" t="s">
        <v>6</v>
      </c>
      <c r="G266" t="s">
        <v>506</v>
      </c>
      <c r="H266" t="s">
        <v>506</v>
      </c>
      <c r="I266" t="s">
        <v>219</v>
      </c>
      <c r="J266" s="25">
        <v>0</v>
      </c>
      <c r="K266" s="26">
        <v>0</v>
      </c>
      <c r="L266" s="26">
        <v>0</v>
      </c>
    </row>
    <row r="267" spans="1:12" ht="16" customHeight="1">
      <c r="A267" t="s">
        <v>426</v>
      </c>
      <c r="B267" t="s">
        <v>6</v>
      </c>
      <c r="C267" t="s">
        <v>40</v>
      </c>
      <c r="D267" s="24">
        <v>46082</v>
      </c>
      <c r="E267" t="s">
        <v>435</v>
      </c>
      <c r="F267" t="s">
        <v>5</v>
      </c>
      <c r="G267" t="s">
        <v>510</v>
      </c>
      <c r="H267" t="s">
        <v>510</v>
      </c>
      <c r="I267" t="s">
        <v>212</v>
      </c>
      <c r="J267" s="25">
        <v>5309</v>
      </c>
      <c r="K267" s="26">
        <v>1020.21</v>
      </c>
      <c r="L267" s="26">
        <v>14.63</v>
      </c>
    </row>
    <row r="268" spans="1:12" ht="16" customHeight="1">
      <c r="A268" t="s">
        <v>426</v>
      </c>
      <c r="B268" t="s">
        <v>6</v>
      </c>
      <c r="C268" t="s">
        <v>40</v>
      </c>
      <c r="D268" s="24">
        <v>46082</v>
      </c>
      <c r="E268" t="s">
        <v>458</v>
      </c>
      <c r="F268" t="s">
        <v>6</v>
      </c>
      <c r="G268" t="s">
        <v>506</v>
      </c>
      <c r="H268" t="s">
        <v>506</v>
      </c>
      <c r="I268" t="s">
        <v>219</v>
      </c>
      <c r="J268" s="25">
        <v>0</v>
      </c>
      <c r="K268" s="26">
        <v>0</v>
      </c>
      <c r="L268" s="26">
        <v>0</v>
      </c>
    </row>
    <row r="269" spans="1:12" ht="16" customHeight="1">
      <c r="A269" t="s">
        <v>427</v>
      </c>
      <c r="B269" t="s">
        <v>7</v>
      </c>
      <c r="C269" t="s">
        <v>40</v>
      </c>
      <c r="D269" s="24">
        <v>46082</v>
      </c>
      <c r="E269" t="s">
        <v>435</v>
      </c>
      <c r="F269" t="s">
        <v>5</v>
      </c>
      <c r="G269" t="s">
        <v>510</v>
      </c>
      <c r="H269" t="s">
        <v>510</v>
      </c>
      <c r="I269" t="s">
        <v>212</v>
      </c>
      <c r="J269" s="25">
        <v>5740</v>
      </c>
      <c r="K269" s="26">
        <v>1093.9100000000001</v>
      </c>
      <c r="L269" s="26">
        <v>11.57</v>
      </c>
    </row>
    <row r="270" spans="1:12" ht="16" customHeight="1">
      <c r="A270" t="s">
        <v>427</v>
      </c>
      <c r="B270" t="s">
        <v>7</v>
      </c>
      <c r="C270" t="s">
        <v>40</v>
      </c>
      <c r="D270" s="24">
        <v>46082</v>
      </c>
      <c r="E270" t="s">
        <v>458</v>
      </c>
      <c r="F270" t="s">
        <v>6</v>
      </c>
      <c r="G270" t="s">
        <v>506</v>
      </c>
      <c r="H270" t="s">
        <v>506</v>
      </c>
      <c r="I270" t="s">
        <v>219</v>
      </c>
      <c r="J270" s="25">
        <v>0</v>
      </c>
      <c r="K270" s="26">
        <v>0</v>
      </c>
      <c r="L270" s="26">
        <v>0</v>
      </c>
    </row>
    <row r="271" spans="1:12" ht="16" customHeight="1">
      <c r="A271" t="s">
        <v>428</v>
      </c>
      <c r="B271" t="s">
        <v>3</v>
      </c>
      <c r="C271" t="s">
        <v>41</v>
      </c>
      <c r="D271" s="24">
        <v>46082</v>
      </c>
      <c r="E271" t="s">
        <v>435</v>
      </c>
      <c r="F271" t="s">
        <v>5</v>
      </c>
      <c r="G271" t="s">
        <v>510</v>
      </c>
      <c r="H271" t="s">
        <v>510</v>
      </c>
      <c r="I271" t="s">
        <v>212</v>
      </c>
      <c r="J271" s="25">
        <v>8874</v>
      </c>
      <c r="K271" s="26">
        <v>1663.34</v>
      </c>
      <c r="L271" s="26">
        <v>23.35</v>
      </c>
    </row>
    <row r="272" spans="1:12" ht="16" customHeight="1">
      <c r="A272" t="s">
        <v>428</v>
      </c>
      <c r="B272" t="s">
        <v>3</v>
      </c>
      <c r="C272" t="s">
        <v>41</v>
      </c>
      <c r="D272" s="24">
        <v>46082</v>
      </c>
      <c r="E272" t="s">
        <v>458</v>
      </c>
      <c r="F272" t="s">
        <v>6</v>
      </c>
      <c r="G272" t="s">
        <v>506</v>
      </c>
      <c r="H272" t="s">
        <v>506</v>
      </c>
      <c r="I272" t="s">
        <v>219</v>
      </c>
      <c r="J272" s="25">
        <v>0</v>
      </c>
      <c r="K272" s="26">
        <v>0</v>
      </c>
      <c r="L272" s="26">
        <v>0</v>
      </c>
    </row>
    <row r="273" spans="1:12" ht="16" customHeight="1">
      <c r="A273" t="s">
        <v>406</v>
      </c>
      <c r="B273" t="s">
        <v>4</v>
      </c>
      <c r="C273" t="s">
        <v>41</v>
      </c>
      <c r="D273" s="24">
        <v>46082</v>
      </c>
      <c r="E273" t="s">
        <v>435</v>
      </c>
      <c r="F273" t="s">
        <v>5</v>
      </c>
      <c r="G273" t="s">
        <v>510</v>
      </c>
      <c r="H273" t="s">
        <v>510</v>
      </c>
      <c r="I273" t="s">
        <v>212</v>
      </c>
      <c r="J273" s="25">
        <v>10898</v>
      </c>
      <c r="K273" s="26">
        <v>2020.97</v>
      </c>
      <c r="L273" s="26">
        <v>22.52</v>
      </c>
    </row>
    <row r="274" spans="1:12" ht="16" customHeight="1">
      <c r="A274" t="s">
        <v>406</v>
      </c>
      <c r="B274" t="s">
        <v>4</v>
      </c>
      <c r="C274" t="s">
        <v>41</v>
      </c>
      <c r="D274" s="24">
        <v>46082</v>
      </c>
      <c r="E274" t="s">
        <v>458</v>
      </c>
      <c r="F274" t="s">
        <v>6</v>
      </c>
      <c r="G274" t="s">
        <v>506</v>
      </c>
      <c r="H274" t="s">
        <v>506</v>
      </c>
      <c r="I274" t="s">
        <v>219</v>
      </c>
      <c r="J274" s="25">
        <v>0</v>
      </c>
      <c r="K274" s="26">
        <v>0</v>
      </c>
      <c r="L274" s="26">
        <v>0</v>
      </c>
    </row>
    <row r="275" spans="1:12" ht="16" customHeight="1">
      <c r="A275" t="s">
        <v>429</v>
      </c>
      <c r="B275" t="s">
        <v>5</v>
      </c>
      <c r="C275" t="s">
        <v>41</v>
      </c>
      <c r="D275" s="24">
        <v>46082</v>
      </c>
      <c r="E275" t="s">
        <v>435</v>
      </c>
      <c r="F275" t="s">
        <v>5</v>
      </c>
      <c r="G275" t="s">
        <v>510</v>
      </c>
      <c r="H275" t="s">
        <v>510</v>
      </c>
      <c r="I275" t="s">
        <v>212</v>
      </c>
      <c r="J275" s="25">
        <v>12088</v>
      </c>
      <c r="K275" s="26">
        <v>2225.69</v>
      </c>
      <c r="L275" s="26">
        <v>14.28</v>
      </c>
    </row>
    <row r="276" spans="1:12" ht="16" customHeight="1">
      <c r="A276" t="s">
        <v>429</v>
      </c>
      <c r="B276" t="s">
        <v>5</v>
      </c>
      <c r="C276" t="s">
        <v>41</v>
      </c>
      <c r="D276" s="24">
        <v>46082</v>
      </c>
      <c r="E276" t="s">
        <v>458</v>
      </c>
      <c r="F276" t="s">
        <v>6</v>
      </c>
      <c r="G276" t="s">
        <v>506</v>
      </c>
      <c r="H276" t="s">
        <v>506</v>
      </c>
      <c r="I276" t="s">
        <v>219</v>
      </c>
      <c r="J276" s="25">
        <v>1</v>
      </c>
      <c r="K276" s="26">
        <v>0.19</v>
      </c>
      <c r="L276" s="26">
        <v>0</v>
      </c>
    </row>
    <row r="277" spans="1:12" ht="16" customHeight="1">
      <c r="A277" t="s">
        <v>431</v>
      </c>
      <c r="B277" t="s">
        <v>6</v>
      </c>
      <c r="C277" t="s">
        <v>41</v>
      </c>
      <c r="D277" s="24">
        <v>46082</v>
      </c>
      <c r="E277" t="s">
        <v>435</v>
      </c>
      <c r="F277" t="s">
        <v>5</v>
      </c>
      <c r="G277" t="s">
        <v>510</v>
      </c>
      <c r="H277" t="s">
        <v>510</v>
      </c>
      <c r="I277" t="s">
        <v>212</v>
      </c>
      <c r="J277" s="25">
        <v>7943</v>
      </c>
      <c r="K277" s="26">
        <v>1464.71</v>
      </c>
      <c r="L277" s="26">
        <v>14.31</v>
      </c>
    </row>
    <row r="278" spans="1:12" ht="16" customHeight="1">
      <c r="A278" t="s">
        <v>431</v>
      </c>
      <c r="B278" t="s">
        <v>6</v>
      </c>
      <c r="C278" t="s">
        <v>41</v>
      </c>
      <c r="D278" s="24">
        <v>46082</v>
      </c>
      <c r="E278" t="s">
        <v>458</v>
      </c>
      <c r="F278" t="s">
        <v>6</v>
      </c>
      <c r="G278" t="s">
        <v>506</v>
      </c>
      <c r="H278" t="s">
        <v>506</v>
      </c>
      <c r="I278" t="s">
        <v>219</v>
      </c>
      <c r="J278" s="25">
        <v>2</v>
      </c>
      <c r="K278" s="26">
        <v>0.38</v>
      </c>
      <c r="L278" s="26">
        <v>0.01</v>
      </c>
    </row>
    <row r="279" spans="1:12" ht="16" customHeight="1">
      <c r="A279" t="s">
        <v>432</v>
      </c>
      <c r="B279" t="s">
        <v>7</v>
      </c>
      <c r="C279" t="s">
        <v>41</v>
      </c>
      <c r="D279" s="24">
        <v>46082</v>
      </c>
      <c r="E279" t="s">
        <v>435</v>
      </c>
      <c r="F279" t="s">
        <v>5</v>
      </c>
      <c r="G279" t="s">
        <v>510</v>
      </c>
      <c r="H279" t="s">
        <v>510</v>
      </c>
      <c r="I279" t="s">
        <v>212</v>
      </c>
      <c r="J279" s="25">
        <v>32300</v>
      </c>
      <c r="K279" s="26">
        <v>5952.62</v>
      </c>
      <c r="L279" s="26">
        <v>52.03</v>
      </c>
    </row>
    <row r="280" spans="1:12" ht="16" customHeight="1">
      <c r="A280" t="s">
        <v>432</v>
      </c>
      <c r="B280" t="s">
        <v>7</v>
      </c>
      <c r="C280" t="s">
        <v>41</v>
      </c>
      <c r="D280" s="24">
        <v>46082</v>
      </c>
      <c r="E280" t="s">
        <v>458</v>
      </c>
      <c r="F280" t="s">
        <v>6</v>
      </c>
      <c r="G280" t="s">
        <v>506</v>
      </c>
      <c r="H280" t="s">
        <v>506</v>
      </c>
      <c r="I280" t="s">
        <v>219</v>
      </c>
      <c r="J280" s="25">
        <v>0</v>
      </c>
      <c r="K280" s="26">
        <v>0</v>
      </c>
      <c r="L280" s="26">
        <v>0</v>
      </c>
    </row>
    <row r="281" spans="1:12" ht="16" customHeight="1">
      <c r="A281" t="s">
        <v>433</v>
      </c>
      <c r="B281" t="s">
        <v>3</v>
      </c>
      <c r="C281" t="s">
        <v>42</v>
      </c>
      <c r="D281" s="24">
        <v>46082</v>
      </c>
      <c r="E281" t="s">
        <v>435</v>
      </c>
      <c r="F281" t="s">
        <v>5</v>
      </c>
      <c r="G281" t="s">
        <v>510</v>
      </c>
      <c r="H281" t="s">
        <v>510</v>
      </c>
      <c r="I281" t="s">
        <v>212</v>
      </c>
      <c r="J281" s="25">
        <v>18991</v>
      </c>
      <c r="K281" s="26">
        <v>3429.58</v>
      </c>
      <c r="L281" s="26">
        <v>31.45</v>
      </c>
    </row>
    <row r="282" spans="1:12" ht="16" customHeight="1">
      <c r="A282" t="s">
        <v>433</v>
      </c>
      <c r="B282" t="s">
        <v>3</v>
      </c>
      <c r="C282" t="s">
        <v>42</v>
      </c>
      <c r="D282" s="24">
        <v>46082</v>
      </c>
      <c r="E282" t="s">
        <v>458</v>
      </c>
      <c r="F282" t="s">
        <v>6</v>
      </c>
      <c r="G282" t="s">
        <v>506</v>
      </c>
      <c r="H282" t="s">
        <v>506</v>
      </c>
      <c r="I282" t="s">
        <v>219</v>
      </c>
      <c r="J282" s="25">
        <v>2</v>
      </c>
      <c r="K282" s="26">
        <v>0.39</v>
      </c>
      <c r="L282" s="26">
        <v>0.02</v>
      </c>
    </row>
    <row r="283" spans="1:12" ht="16" customHeight="1">
      <c r="A283" t="s">
        <v>411</v>
      </c>
      <c r="B283" t="s">
        <v>4</v>
      </c>
      <c r="C283" t="s">
        <v>42</v>
      </c>
      <c r="D283" s="24">
        <v>46082</v>
      </c>
      <c r="E283" t="s">
        <v>435</v>
      </c>
      <c r="F283" t="s">
        <v>5</v>
      </c>
      <c r="G283" t="s">
        <v>510</v>
      </c>
      <c r="H283" t="s">
        <v>510</v>
      </c>
      <c r="I283" t="s">
        <v>212</v>
      </c>
      <c r="J283" s="25">
        <v>68543</v>
      </c>
      <c r="K283" s="26">
        <v>12214.38</v>
      </c>
      <c r="L283" s="26">
        <v>59.73</v>
      </c>
    </row>
    <row r="284" spans="1:12" ht="16" customHeight="1">
      <c r="A284" t="s">
        <v>411</v>
      </c>
      <c r="B284" t="s">
        <v>4</v>
      </c>
      <c r="C284" t="s">
        <v>42</v>
      </c>
      <c r="D284" s="24">
        <v>46082</v>
      </c>
      <c r="E284" t="s">
        <v>458</v>
      </c>
      <c r="F284" t="s">
        <v>6</v>
      </c>
      <c r="G284" t="s">
        <v>506</v>
      </c>
      <c r="H284" t="s">
        <v>506</v>
      </c>
      <c r="I284" t="s">
        <v>219</v>
      </c>
      <c r="J284" s="25">
        <v>1</v>
      </c>
      <c r="K284" s="26">
        <v>0.19</v>
      </c>
      <c r="L284" s="26">
        <v>0.01</v>
      </c>
    </row>
    <row r="285" spans="1:12" ht="16" customHeight="1">
      <c r="A285" t="s">
        <v>435</v>
      </c>
      <c r="B285" t="s">
        <v>5</v>
      </c>
      <c r="C285" t="s">
        <v>42</v>
      </c>
      <c r="D285" s="24">
        <v>46082</v>
      </c>
      <c r="E285" t="s">
        <v>435</v>
      </c>
      <c r="F285" t="s">
        <v>5</v>
      </c>
      <c r="G285" t="s">
        <v>510</v>
      </c>
      <c r="H285" t="s">
        <v>510</v>
      </c>
      <c r="I285" t="s">
        <v>212</v>
      </c>
      <c r="J285" s="25">
        <v>5725364</v>
      </c>
      <c r="K285" s="26">
        <v>1040091.18</v>
      </c>
      <c r="L285" s="26">
        <v>1143.28</v>
      </c>
    </row>
    <row r="286" spans="1:12" ht="16" customHeight="1">
      <c r="A286" t="s">
        <v>435</v>
      </c>
      <c r="B286" t="s">
        <v>5</v>
      </c>
      <c r="C286" t="s">
        <v>42</v>
      </c>
      <c r="D286" s="24">
        <v>46082</v>
      </c>
      <c r="E286" t="s">
        <v>458</v>
      </c>
      <c r="F286" t="s">
        <v>6</v>
      </c>
      <c r="G286" t="s">
        <v>506</v>
      </c>
      <c r="H286" t="s">
        <v>506</v>
      </c>
      <c r="I286" t="s">
        <v>219</v>
      </c>
      <c r="J286" s="25">
        <v>12</v>
      </c>
      <c r="K286" s="26">
        <v>2.19</v>
      </c>
      <c r="L286" s="26">
        <v>7.0000000000000007E-2</v>
      </c>
    </row>
    <row r="287" spans="1:12" ht="16" customHeight="1">
      <c r="A287" t="s">
        <v>437</v>
      </c>
      <c r="B287" t="s">
        <v>7</v>
      </c>
      <c r="C287" t="s">
        <v>42</v>
      </c>
      <c r="D287" s="24">
        <v>46082</v>
      </c>
      <c r="E287" t="s">
        <v>458</v>
      </c>
      <c r="F287" t="s">
        <v>6</v>
      </c>
      <c r="G287" t="s">
        <v>506</v>
      </c>
      <c r="H287" t="s">
        <v>506</v>
      </c>
      <c r="I287" t="s">
        <v>219</v>
      </c>
      <c r="J287" s="25">
        <v>122</v>
      </c>
      <c r="K287" s="26">
        <v>22.62</v>
      </c>
      <c r="L287" s="26">
        <v>0.65</v>
      </c>
    </row>
    <row r="288" spans="1:12" ht="16" customHeight="1">
      <c r="A288" t="s">
        <v>357</v>
      </c>
      <c r="B288" t="s">
        <v>3</v>
      </c>
      <c r="C288" t="s">
        <v>43</v>
      </c>
      <c r="D288" s="24">
        <v>46082</v>
      </c>
      <c r="E288" t="s">
        <v>458</v>
      </c>
      <c r="F288" t="s">
        <v>6</v>
      </c>
      <c r="G288" t="s">
        <v>506</v>
      </c>
      <c r="H288" t="s">
        <v>506</v>
      </c>
      <c r="I288" t="s">
        <v>219</v>
      </c>
      <c r="J288" s="25">
        <v>85</v>
      </c>
      <c r="K288" s="26">
        <v>15.58</v>
      </c>
      <c r="L288" s="26">
        <v>0.23</v>
      </c>
    </row>
    <row r="289" spans="1:12" ht="16" customHeight="1">
      <c r="A289" t="s">
        <v>357</v>
      </c>
      <c r="B289" t="s">
        <v>3</v>
      </c>
      <c r="C289" t="s">
        <v>43</v>
      </c>
      <c r="D289" s="24">
        <v>46082</v>
      </c>
      <c r="E289" t="s">
        <v>475</v>
      </c>
      <c r="F289" t="s">
        <v>5</v>
      </c>
      <c r="G289" t="s">
        <v>510</v>
      </c>
      <c r="H289" t="s">
        <v>510</v>
      </c>
      <c r="I289" t="s">
        <v>221</v>
      </c>
      <c r="J289" s="25">
        <v>10</v>
      </c>
      <c r="K289" s="26">
        <v>1.72</v>
      </c>
      <c r="L289" s="26">
        <v>0.04</v>
      </c>
    </row>
    <row r="290" spans="1:12" ht="16" customHeight="1">
      <c r="A290" t="s">
        <v>438</v>
      </c>
      <c r="B290" t="s">
        <v>5</v>
      </c>
      <c r="C290" t="s">
        <v>44</v>
      </c>
      <c r="D290" s="24">
        <v>46113</v>
      </c>
      <c r="E290" t="s">
        <v>458</v>
      </c>
      <c r="F290" t="s">
        <v>6</v>
      </c>
      <c r="G290" t="s">
        <v>506</v>
      </c>
      <c r="H290" t="s">
        <v>506</v>
      </c>
      <c r="I290" t="s">
        <v>212</v>
      </c>
      <c r="J290" s="25">
        <v>650</v>
      </c>
      <c r="K290" s="26">
        <v>120.18</v>
      </c>
      <c r="L290" s="26">
        <v>1.88</v>
      </c>
    </row>
    <row r="291" spans="1:12" ht="16" customHeight="1">
      <c r="A291" t="s">
        <v>440</v>
      </c>
      <c r="B291" t="s">
        <v>6</v>
      </c>
      <c r="C291" t="s">
        <v>44</v>
      </c>
      <c r="D291" s="24">
        <v>46113</v>
      </c>
      <c r="E291" t="s">
        <v>458</v>
      </c>
      <c r="F291" t="s">
        <v>6</v>
      </c>
      <c r="G291" t="s">
        <v>506</v>
      </c>
      <c r="H291" t="s">
        <v>506</v>
      </c>
      <c r="I291" t="s">
        <v>212</v>
      </c>
      <c r="J291" s="25">
        <v>1099</v>
      </c>
      <c r="K291" s="26">
        <v>202.2</v>
      </c>
      <c r="L291" s="26">
        <v>2.57</v>
      </c>
    </row>
    <row r="292" spans="1:12" ht="16" customHeight="1">
      <c r="A292" t="s">
        <v>440</v>
      </c>
      <c r="B292" t="s">
        <v>6</v>
      </c>
      <c r="C292" t="s">
        <v>44</v>
      </c>
      <c r="D292" s="24">
        <v>46113</v>
      </c>
      <c r="E292" t="s">
        <v>475</v>
      </c>
      <c r="F292" t="s">
        <v>5</v>
      </c>
      <c r="G292" t="s">
        <v>510</v>
      </c>
      <c r="H292" t="s">
        <v>510</v>
      </c>
      <c r="I292" t="s">
        <v>219</v>
      </c>
      <c r="J292" s="25">
        <v>2</v>
      </c>
      <c r="K292" s="26">
        <v>0.32</v>
      </c>
      <c r="L292" s="26">
        <v>0</v>
      </c>
    </row>
    <row r="293" spans="1:12" ht="16" customHeight="1">
      <c r="A293" t="s">
        <v>441</v>
      </c>
      <c r="B293" t="s">
        <v>3</v>
      </c>
      <c r="C293" t="s">
        <v>44</v>
      </c>
      <c r="D293" s="24">
        <v>46113</v>
      </c>
      <c r="E293" t="s">
        <v>458</v>
      </c>
      <c r="F293" t="s">
        <v>6</v>
      </c>
      <c r="G293" t="s">
        <v>506</v>
      </c>
      <c r="H293" t="s">
        <v>506</v>
      </c>
      <c r="I293" t="s">
        <v>212</v>
      </c>
      <c r="J293" s="25">
        <v>1614</v>
      </c>
      <c r="K293" s="26">
        <v>293.20999999999998</v>
      </c>
      <c r="L293" s="26">
        <v>5.32</v>
      </c>
    </row>
    <row r="294" spans="1:12" ht="16" customHeight="1">
      <c r="A294" t="s">
        <v>441</v>
      </c>
      <c r="B294" t="s">
        <v>3</v>
      </c>
      <c r="C294" t="s">
        <v>44</v>
      </c>
      <c r="D294" s="24">
        <v>46113</v>
      </c>
      <c r="E294" t="s">
        <v>475</v>
      </c>
      <c r="F294" t="s">
        <v>5</v>
      </c>
      <c r="G294" t="s">
        <v>510</v>
      </c>
      <c r="H294" t="s">
        <v>510</v>
      </c>
      <c r="I294" t="s">
        <v>219</v>
      </c>
      <c r="J294" s="25">
        <v>1</v>
      </c>
      <c r="K294" s="26">
        <v>0.16</v>
      </c>
      <c r="L294" s="26">
        <v>0</v>
      </c>
    </row>
    <row r="295" spans="1:12" ht="16" customHeight="1">
      <c r="A295" t="s">
        <v>420</v>
      </c>
      <c r="B295" t="s">
        <v>4</v>
      </c>
      <c r="C295" t="s">
        <v>44</v>
      </c>
      <c r="D295" s="24">
        <v>46113</v>
      </c>
      <c r="E295" t="s">
        <v>458</v>
      </c>
      <c r="F295" t="s">
        <v>6</v>
      </c>
      <c r="G295" t="s">
        <v>506</v>
      </c>
      <c r="H295" t="s">
        <v>506</v>
      </c>
      <c r="I295" t="s">
        <v>212</v>
      </c>
      <c r="J295" s="25">
        <v>1902</v>
      </c>
      <c r="K295" s="26">
        <v>344.89</v>
      </c>
      <c r="L295" s="26">
        <v>4.6900000000000004</v>
      </c>
    </row>
    <row r="296" spans="1:12" ht="16" customHeight="1">
      <c r="A296" t="s">
        <v>420</v>
      </c>
      <c r="B296" t="s">
        <v>4</v>
      </c>
      <c r="C296" t="s">
        <v>44</v>
      </c>
      <c r="D296" s="24">
        <v>46113</v>
      </c>
      <c r="E296" t="s">
        <v>475</v>
      </c>
      <c r="F296" t="s">
        <v>5</v>
      </c>
      <c r="G296" t="s">
        <v>510</v>
      </c>
      <c r="H296" t="s">
        <v>510</v>
      </c>
      <c r="I296" t="s">
        <v>219</v>
      </c>
      <c r="J296" s="25">
        <v>2</v>
      </c>
      <c r="K296" s="26">
        <v>0.32</v>
      </c>
      <c r="L296" s="26">
        <v>0</v>
      </c>
    </row>
    <row r="297" spans="1:12" ht="16" customHeight="1">
      <c r="A297" t="s">
        <v>442</v>
      </c>
      <c r="B297" t="s">
        <v>5</v>
      </c>
      <c r="C297" t="s">
        <v>45</v>
      </c>
      <c r="D297" s="24">
        <v>46113</v>
      </c>
      <c r="E297" t="s">
        <v>458</v>
      </c>
      <c r="F297" t="s">
        <v>6</v>
      </c>
      <c r="G297" t="s">
        <v>506</v>
      </c>
      <c r="H297" t="s">
        <v>506</v>
      </c>
      <c r="I297" t="s">
        <v>212</v>
      </c>
      <c r="J297" s="25">
        <v>432</v>
      </c>
      <c r="K297" s="26">
        <v>99.8</v>
      </c>
      <c r="L297" s="26">
        <v>8.9</v>
      </c>
    </row>
    <row r="298" spans="1:12" ht="16" customHeight="1">
      <c r="A298" t="s">
        <v>442</v>
      </c>
      <c r="B298" t="s">
        <v>5</v>
      </c>
      <c r="C298" t="s">
        <v>45</v>
      </c>
      <c r="D298" s="24">
        <v>46113</v>
      </c>
      <c r="E298" t="s">
        <v>475</v>
      </c>
      <c r="F298" t="s">
        <v>5</v>
      </c>
      <c r="G298" t="s">
        <v>510</v>
      </c>
      <c r="H298" t="s">
        <v>510</v>
      </c>
      <c r="I298" t="s">
        <v>219</v>
      </c>
      <c r="J298" s="25">
        <v>2</v>
      </c>
      <c r="K298" s="26">
        <v>0.32</v>
      </c>
      <c r="L298" s="26">
        <v>0</v>
      </c>
    </row>
    <row r="299" spans="1:12" ht="16" customHeight="1">
      <c r="A299" t="s">
        <v>444</v>
      </c>
      <c r="B299" t="s">
        <v>6</v>
      </c>
      <c r="C299" t="s">
        <v>45</v>
      </c>
      <c r="D299" s="24">
        <v>46113</v>
      </c>
      <c r="E299" t="s">
        <v>458</v>
      </c>
      <c r="F299" t="s">
        <v>6</v>
      </c>
      <c r="G299" t="s">
        <v>506</v>
      </c>
      <c r="H299" t="s">
        <v>506</v>
      </c>
      <c r="I299" t="s">
        <v>212</v>
      </c>
      <c r="J299" s="25">
        <v>3722</v>
      </c>
      <c r="K299" s="26">
        <v>695.65</v>
      </c>
      <c r="L299" s="26">
        <v>13.04</v>
      </c>
    </row>
    <row r="300" spans="1:12" ht="16" customHeight="1">
      <c r="A300" t="s">
        <v>445</v>
      </c>
      <c r="B300" t="s">
        <v>7</v>
      </c>
      <c r="C300" t="s">
        <v>45</v>
      </c>
      <c r="D300" s="24">
        <v>46113</v>
      </c>
      <c r="E300" t="s">
        <v>458</v>
      </c>
      <c r="F300" t="s">
        <v>6</v>
      </c>
      <c r="G300" t="s">
        <v>506</v>
      </c>
      <c r="H300" t="s">
        <v>506</v>
      </c>
      <c r="I300" t="s">
        <v>212</v>
      </c>
      <c r="J300" s="25">
        <v>2442</v>
      </c>
      <c r="K300" s="26">
        <v>462.41</v>
      </c>
      <c r="L300" s="26">
        <v>8.27</v>
      </c>
    </row>
    <row r="301" spans="1:12" ht="16" customHeight="1">
      <c r="A301" t="s">
        <v>425</v>
      </c>
      <c r="B301" t="s">
        <v>3</v>
      </c>
      <c r="C301" t="s">
        <v>45</v>
      </c>
      <c r="D301" s="24">
        <v>46113</v>
      </c>
      <c r="E301" t="s">
        <v>458</v>
      </c>
      <c r="F301" t="s">
        <v>6</v>
      </c>
      <c r="G301" t="s">
        <v>506</v>
      </c>
      <c r="H301" t="s">
        <v>506</v>
      </c>
      <c r="I301" t="s">
        <v>212</v>
      </c>
      <c r="J301" s="25">
        <v>2547</v>
      </c>
      <c r="K301" s="26">
        <v>479.51</v>
      </c>
      <c r="L301" s="26">
        <v>6.97</v>
      </c>
    </row>
    <row r="302" spans="1:12" ht="16" customHeight="1">
      <c r="A302" t="s">
        <v>446</v>
      </c>
      <c r="B302" t="s">
        <v>5</v>
      </c>
      <c r="C302" t="s">
        <v>46</v>
      </c>
      <c r="D302" s="24">
        <v>46113</v>
      </c>
      <c r="E302" t="s">
        <v>458</v>
      </c>
      <c r="F302" t="s">
        <v>6</v>
      </c>
      <c r="G302" t="s">
        <v>506</v>
      </c>
      <c r="H302" t="s">
        <v>506</v>
      </c>
      <c r="I302" t="s">
        <v>212</v>
      </c>
      <c r="J302" s="25">
        <v>2117</v>
      </c>
      <c r="K302" s="26">
        <v>409.79</v>
      </c>
      <c r="L302" s="26">
        <v>5.6</v>
      </c>
    </row>
    <row r="303" spans="1:12" ht="16" customHeight="1">
      <c r="A303" t="s">
        <v>446</v>
      </c>
      <c r="B303" t="s">
        <v>5</v>
      </c>
      <c r="C303" t="s">
        <v>46</v>
      </c>
      <c r="D303" s="24">
        <v>46113</v>
      </c>
      <c r="E303" t="s">
        <v>475</v>
      </c>
      <c r="F303" t="s">
        <v>5</v>
      </c>
      <c r="G303" t="s">
        <v>510</v>
      </c>
      <c r="H303" t="s">
        <v>510</v>
      </c>
      <c r="I303" t="s">
        <v>219</v>
      </c>
      <c r="J303" s="25">
        <v>1</v>
      </c>
      <c r="K303" s="26">
        <v>0.23</v>
      </c>
      <c r="L303" s="26">
        <v>0</v>
      </c>
    </row>
    <row r="304" spans="1:12" ht="16" customHeight="1">
      <c r="A304" t="s">
        <v>448</v>
      </c>
      <c r="B304" t="s">
        <v>6</v>
      </c>
      <c r="C304" t="s">
        <v>46</v>
      </c>
      <c r="D304" s="24">
        <v>46113</v>
      </c>
      <c r="E304" t="s">
        <v>458</v>
      </c>
      <c r="F304" t="s">
        <v>6</v>
      </c>
      <c r="G304" t="s">
        <v>506</v>
      </c>
      <c r="H304" t="s">
        <v>506</v>
      </c>
      <c r="I304" t="s">
        <v>212</v>
      </c>
      <c r="J304" s="25">
        <v>2245</v>
      </c>
      <c r="K304" s="26">
        <v>423.93</v>
      </c>
      <c r="L304" s="26">
        <v>4.9400000000000004</v>
      </c>
    </row>
    <row r="305" spans="1:12" ht="16" customHeight="1">
      <c r="A305" t="s">
        <v>448</v>
      </c>
      <c r="B305" t="s">
        <v>6</v>
      </c>
      <c r="C305" t="s">
        <v>46</v>
      </c>
      <c r="D305" s="24">
        <v>46113</v>
      </c>
      <c r="E305" t="s">
        <v>475</v>
      </c>
      <c r="F305" t="s">
        <v>5</v>
      </c>
      <c r="G305" t="s">
        <v>510</v>
      </c>
      <c r="H305" t="s">
        <v>510</v>
      </c>
      <c r="I305" t="s">
        <v>219</v>
      </c>
      <c r="J305" s="25">
        <v>2</v>
      </c>
      <c r="K305" s="26">
        <v>0.41</v>
      </c>
      <c r="L305" s="26">
        <v>0</v>
      </c>
    </row>
    <row r="306" spans="1:12" ht="16" customHeight="1">
      <c r="A306" t="s">
        <v>449</v>
      </c>
      <c r="B306" t="s">
        <v>7</v>
      </c>
      <c r="C306" t="s">
        <v>46</v>
      </c>
      <c r="D306" s="24">
        <v>46113</v>
      </c>
      <c r="E306" t="s">
        <v>458</v>
      </c>
      <c r="F306" t="s">
        <v>6</v>
      </c>
      <c r="G306" t="s">
        <v>506</v>
      </c>
      <c r="H306" t="s">
        <v>506</v>
      </c>
      <c r="I306" t="s">
        <v>212</v>
      </c>
      <c r="J306" s="25">
        <v>2554</v>
      </c>
      <c r="K306" s="26">
        <v>472.28</v>
      </c>
      <c r="L306" s="26">
        <v>4.16</v>
      </c>
    </row>
    <row r="307" spans="1:12" ht="16" customHeight="1">
      <c r="A307" t="s">
        <v>449</v>
      </c>
      <c r="B307" t="s">
        <v>7</v>
      </c>
      <c r="C307" t="s">
        <v>46</v>
      </c>
      <c r="D307" s="24">
        <v>46113</v>
      </c>
      <c r="E307" t="s">
        <v>475</v>
      </c>
      <c r="F307" t="s">
        <v>5</v>
      </c>
      <c r="G307" t="s">
        <v>510</v>
      </c>
      <c r="H307" t="s">
        <v>510</v>
      </c>
      <c r="I307" t="s">
        <v>219</v>
      </c>
      <c r="J307" s="25">
        <v>0</v>
      </c>
      <c r="K307" s="26">
        <v>0</v>
      </c>
      <c r="L307" s="26">
        <v>0</v>
      </c>
    </row>
    <row r="308" spans="1:12" ht="16" customHeight="1">
      <c r="A308" t="s">
        <v>450</v>
      </c>
      <c r="B308" t="s">
        <v>3</v>
      </c>
      <c r="C308" t="s">
        <v>46</v>
      </c>
      <c r="D308" s="24">
        <v>46113</v>
      </c>
      <c r="E308" t="s">
        <v>458</v>
      </c>
      <c r="F308" t="s">
        <v>6</v>
      </c>
      <c r="G308" t="s">
        <v>506</v>
      </c>
      <c r="H308" t="s">
        <v>506</v>
      </c>
      <c r="I308" t="s">
        <v>212</v>
      </c>
      <c r="J308" s="25">
        <v>5563</v>
      </c>
      <c r="K308" s="26">
        <v>1054.5999999999999</v>
      </c>
      <c r="L308" s="26">
        <v>11.07</v>
      </c>
    </row>
    <row r="309" spans="1:12" ht="16" customHeight="1">
      <c r="A309" t="s">
        <v>450</v>
      </c>
      <c r="B309" t="s">
        <v>3</v>
      </c>
      <c r="C309" t="s">
        <v>46</v>
      </c>
      <c r="D309" s="24">
        <v>46113</v>
      </c>
      <c r="E309" t="s">
        <v>475</v>
      </c>
      <c r="F309" t="s">
        <v>5</v>
      </c>
      <c r="G309" t="s">
        <v>510</v>
      </c>
      <c r="H309" t="s">
        <v>510</v>
      </c>
      <c r="I309" t="s">
        <v>219</v>
      </c>
      <c r="J309" s="25">
        <v>1</v>
      </c>
      <c r="K309" s="26">
        <v>0.2</v>
      </c>
      <c r="L309" s="26">
        <v>0</v>
      </c>
    </row>
    <row r="310" spans="1:12" ht="16" customHeight="1">
      <c r="A310" t="s">
        <v>430</v>
      </c>
      <c r="B310" t="s">
        <v>4</v>
      </c>
      <c r="C310" t="s">
        <v>46</v>
      </c>
      <c r="D310" s="24">
        <v>46113</v>
      </c>
      <c r="E310" t="s">
        <v>458</v>
      </c>
      <c r="F310" t="s">
        <v>6</v>
      </c>
      <c r="G310" t="s">
        <v>506</v>
      </c>
      <c r="H310" t="s">
        <v>506</v>
      </c>
      <c r="I310" t="s">
        <v>212</v>
      </c>
      <c r="J310" s="25">
        <v>3779</v>
      </c>
      <c r="K310" s="26">
        <v>722.81</v>
      </c>
      <c r="L310" s="26">
        <v>7.96</v>
      </c>
    </row>
    <row r="311" spans="1:12" ht="16" customHeight="1">
      <c r="A311" t="s">
        <v>430</v>
      </c>
      <c r="B311" t="s">
        <v>4</v>
      </c>
      <c r="C311" t="s">
        <v>46</v>
      </c>
      <c r="D311" s="24">
        <v>46113</v>
      </c>
      <c r="E311" t="s">
        <v>475</v>
      </c>
      <c r="F311" t="s">
        <v>5</v>
      </c>
      <c r="G311" t="s">
        <v>510</v>
      </c>
      <c r="H311" t="s">
        <v>510</v>
      </c>
      <c r="I311" t="s">
        <v>219</v>
      </c>
      <c r="J311" s="25">
        <v>2</v>
      </c>
      <c r="K311" s="26">
        <v>0.47</v>
      </c>
      <c r="L311" s="26">
        <v>0</v>
      </c>
    </row>
    <row r="312" spans="1:12" ht="16" customHeight="1">
      <c r="A312" t="s">
        <v>451</v>
      </c>
      <c r="B312" t="s">
        <v>5</v>
      </c>
      <c r="C312" t="s">
        <v>47</v>
      </c>
      <c r="D312" s="24">
        <v>46113</v>
      </c>
      <c r="E312" t="s">
        <v>458</v>
      </c>
      <c r="F312" t="s">
        <v>6</v>
      </c>
      <c r="G312" t="s">
        <v>506</v>
      </c>
      <c r="H312" t="s">
        <v>506</v>
      </c>
      <c r="I312" t="s">
        <v>212</v>
      </c>
      <c r="J312" s="25">
        <v>4622</v>
      </c>
      <c r="K312" s="26">
        <v>889.63</v>
      </c>
      <c r="L312" s="26">
        <v>8.49</v>
      </c>
    </row>
    <row r="313" spans="1:12" ht="16" customHeight="1">
      <c r="A313" t="s">
        <v>451</v>
      </c>
      <c r="B313" t="s">
        <v>5</v>
      </c>
      <c r="C313" t="s">
        <v>47</v>
      </c>
      <c r="D313" s="24">
        <v>46113</v>
      </c>
      <c r="E313" t="s">
        <v>475</v>
      </c>
      <c r="F313" t="s">
        <v>5</v>
      </c>
      <c r="G313" t="s">
        <v>510</v>
      </c>
      <c r="H313" t="s">
        <v>510</v>
      </c>
      <c r="I313" t="s">
        <v>219</v>
      </c>
      <c r="J313" s="25">
        <v>3</v>
      </c>
      <c r="K313" s="26">
        <v>0.63</v>
      </c>
      <c r="L313" s="26">
        <v>0</v>
      </c>
    </row>
    <row r="314" spans="1:12" ht="16" customHeight="1">
      <c r="A314" t="s">
        <v>453</v>
      </c>
      <c r="B314" t="s">
        <v>6</v>
      </c>
      <c r="C314" t="s">
        <v>47</v>
      </c>
      <c r="D314" s="24">
        <v>46113</v>
      </c>
      <c r="E314" t="s">
        <v>458</v>
      </c>
      <c r="F314" t="s">
        <v>6</v>
      </c>
      <c r="G314" t="s">
        <v>506</v>
      </c>
      <c r="H314" t="s">
        <v>506</v>
      </c>
      <c r="I314" t="s">
        <v>212</v>
      </c>
      <c r="J314" s="25">
        <v>5464</v>
      </c>
      <c r="K314" s="26">
        <v>1048.5</v>
      </c>
      <c r="L314" s="26">
        <v>9.3800000000000008</v>
      </c>
    </row>
    <row r="315" spans="1:12" ht="16" customHeight="1">
      <c r="A315" t="s">
        <v>453</v>
      </c>
      <c r="B315" t="s">
        <v>6</v>
      </c>
      <c r="C315" t="s">
        <v>47</v>
      </c>
      <c r="D315" s="24">
        <v>46113</v>
      </c>
      <c r="E315" t="s">
        <v>475</v>
      </c>
      <c r="F315" t="s">
        <v>5</v>
      </c>
      <c r="G315" t="s">
        <v>510</v>
      </c>
      <c r="H315" t="s">
        <v>510</v>
      </c>
      <c r="I315" t="s">
        <v>219</v>
      </c>
      <c r="J315" s="25">
        <v>1</v>
      </c>
      <c r="K315" s="26">
        <v>0.2</v>
      </c>
      <c r="L315" s="26">
        <v>0.01</v>
      </c>
    </row>
    <row r="316" spans="1:12" ht="16" customHeight="1">
      <c r="A316" t="s">
        <v>454</v>
      </c>
      <c r="B316" t="s">
        <v>7</v>
      </c>
      <c r="C316" t="s">
        <v>47</v>
      </c>
      <c r="D316" s="24">
        <v>46113</v>
      </c>
      <c r="E316" t="s">
        <v>458</v>
      </c>
      <c r="F316" t="s">
        <v>6</v>
      </c>
      <c r="G316" t="s">
        <v>506</v>
      </c>
      <c r="H316" t="s">
        <v>506</v>
      </c>
      <c r="I316" t="s">
        <v>212</v>
      </c>
      <c r="J316" s="25">
        <v>7159</v>
      </c>
      <c r="K316" s="26">
        <v>1368.19</v>
      </c>
      <c r="L316" s="26">
        <v>10.34</v>
      </c>
    </row>
    <row r="317" spans="1:12" ht="16" customHeight="1">
      <c r="A317" t="s">
        <v>454</v>
      </c>
      <c r="B317" t="s">
        <v>7</v>
      </c>
      <c r="C317" t="s">
        <v>47</v>
      </c>
      <c r="D317" s="24">
        <v>46113</v>
      </c>
      <c r="E317" t="s">
        <v>475</v>
      </c>
      <c r="F317" t="s">
        <v>5</v>
      </c>
      <c r="G317" t="s">
        <v>510</v>
      </c>
      <c r="H317" t="s">
        <v>510</v>
      </c>
      <c r="I317" t="s">
        <v>219</v>
      </c>
      <c r="J317" s="25">
        <v>5</v>
      </c>
      <c r="K317" s="26">
        <v>1.04</v>
      </c>
      <c r="L317" s="26">
        <v>0</v>
      </c>
    </row>
    <row r="318" spans="1:12" ht="16" customHeight="1">
      <c r="A318" t="s">
        <v>455</v>
      </c>
      <c r="B318" t="s">
        <v>3</v>
      </c>
      <c r="C318" t="s">
        <v>47</v>
      </c>
      <c r="D318" s="24">
        <v>46113</v>
      </c>
      <c r="E318" t="s">
        <v>458</v>
      </c>
      <c r="F318" t="s">
        <v>6</v>
      </c>
      <c r="G318" t="s">
        <v>506</v>
      </c>
      <c r="H318" t="s">
        <v>506</v>
      </c>
      <c r="I318" t="s">
        <v>212</v>
      </c>
      <c r="J318" s="25">
        <v>17004</v>
      </c>
      <c r="K318" s="26">
        <v>3235.43</v>
      </c>
      <c r="L318" s="26">
        <v>18.100000000000001</v>
      </c>
    </row>
    <row r="319" spans="1:12" ht="16" customHeight="1">
      <c r="A319" t="s">
        <v>455</v>
      </c>
      <c r="B319" t="s">
        <v>3</v>
      </c>
      <c r="C319" t="s">
        <v>47</v>
      </c>
      <c r="D319" s="24">
        <v>46113</v>
      </c>
      <c r="E319" t="s">
        <v>475</v>
      </c>
      <c r="F319" t="s">
        <v>5</v>
      </c>
      <c r="G319" t="s">
        <v>510</v>
      </c>
      <c r="H319" t="s">
        <v>510</v>
      </c>
      <c r="I319" t="s">
        <v>219</v>
      </c>
      <c r="J319" s="25">
        <v>0</v>
      </c>
      <c r="K319" s="26">
        <v>0</v>
      </c>
      <c r="L319" s="26">
        <v>0</v>
      </c>
    </row>
    <row r="320" spans="1:12" ht="16" customHeight="1">
      <c r="A320" t="s">
        <v>387</v>
      </c>
      <c r="B320" t="s">
        <v>4</v>
      </c>
      <c r="C320" t="s">
        <v>47</v>
      </c>
      <c r="D320" s="24">
        <v>46113</v>
      </c>
      <c r="E320" t="s">
        <v>458</v>
      </c>
      <c r="F320" t="s">
        <v>6</v>
      </c>
      <c r="G320" t="s">
        <v>506</v>
      </c>
      <c r="H320" t="s">
        <v>506</v>
      </c>
      <c r="I320" t="s">
        <v>212</v>
      </c>
      <c r="J320" s="25">
        <v>21677</v>
      </c>
      <c r="K320" s="26">
        <v>4086.75</v>
      </c>
      <c r="L320" s="26">
        <v>16.45</v>
      </c>
    </row>
    <row r="321" spans="1:12" ht="16" customHeight="1">
      <c r="A321" t="s">
        <v>387</v>
      </c>
      <c r="B321" t="s">
        <v>4</v>
      </c>
      <c r="C321" t="s">
        <v>47</v>
      </c>
      <c r="D321" s="24">
        <v>46113</v>
      </c>
      <c r="E321" t="s">
        <v>475</v>
      </c>
      <c r="F321" t="s">
        <v>5</v>
      </c>
      <c r="G321" t="s">
        <v>510</v>
      </c>
      <c r="H321" t="s">
        <v>510</v>
      </c>
      <c r="I321" t="s">
        <v>219</v>
      </c>
      <c r="J321" s="25">
        <v>27</v>
      </c>
      <c r="K321" s="26">
        <v>5.29</v>
      </c>
      <c r="L321" s="26">
        <v>0.06</v>
      </c>
    </row>
    <row r="322" spans="1:12" ht="16" customHeight="1">
      <c r="A322" t="s">
        <v>456</v>
      </c>
      <c r="B322" t="s">
        <v>5</v>
      </c>
      <c r="C322" t="s">
        <v>48</v>
      </c>
      <c r="D322" s="24">
        <v>46113</v>
      </c>
      <c r="E322" t="s">
        <v>458</v>
      </c>
      <c r="F322" t="s">
        <v>6</v>
      </c>
      <c r="G322" t="s">
        <v>506</v>
      </c>
      <c r="H322" t="s">
        <v>506</v>
      </c>
      <c r="I322" t="s">
        <v>212</v>
      </c>
      <c r="J322" s="25">
        <v>781125</v>
      </c>
      <c r="K322" s="26">
        <v>147222.04999999999</v>
      </c>
      <c r="L322" s="26">
        <v>365.8</v>
      </c>
    </row>
    <row r="323" spans="1:12" ht="16" customHeight="1">
      <c r="A323" t="s">
        <v>456</v>
      </c>
      <c r="B323" t="s">
        <v>5</v>
      </c>
      <c r="C323" t="s">
        <v>48</v>
      </c>
      <c r="D323" s="24">
        <v>46113</v>
      </c>
      <c r="E323" t="s">
        <v>475</v>
      </c>
      <c r="F323" t="s">
        <v>5</v>
      </c>
      <c r="G323" t="s">
        <v>510</v>
      </c>
      <c r="H323" t="s">
        <v>510</v>
      </c>
      <c r="I323" t="s">
        <v>219</v>
      </c>
      <c r="J323" s="25">
        <v>24</v>
      </c>
      <c r="K323" s="26">
        <v>4.63</v>
      </c>
      <c r="L323" s="26">
        <v>0.05</v>
      </c>
    </row>
    <row r="324" spans="1:12" ht="16" customHeight="1">
      <c r="A324" t="s">
        <v>458</v>
      </c>
      <c r="B324" t="s">
        <v>6</v>
      </c>
      <c r="C324" t="s">
        <v>48</v>
      </c>
      <c r="D324" s="24">
        <v>46113</v>
      </c>
      <c r="E324" t="s">
        <v>458</v>
      </c>
      <c r="F324" t="s">
        <v>6</v>
      </c>
      <c r="G324" t="s">
        <v>506</v>
      </c>
      <c r="H324" t="s">
        <v>506</v>
      </c>
      <c r="I324" t="s">
        <v>212</v>
      </c>
      <c r="J324" s="25">
        <v>6877305</v>
      </c>
      <c r="K324" s="26">
        <v>1273870.3899999999</v>
      </c>
      <c r="L324" s="26">
        <v>1194.51</v>
      </c>
    </row>
    <row r="325" spans="1:12" ht="16" customHeight="1">
      <c r="A325" t="s">
        <v>458</v>
      </c>
      <c r="B325" t="s">
        <v>6</v>
      </c>
      <c r="C325" t="s">
        <v>48</v>
      </c>
      <c r="D325" s="24">
        <v>46113</v>
      </c>
      <c r="E325" t="s">
        <v>475</v>
      </c>
      <c r="F325" t="s">
        <v>5</v>
      </c>
      <c r="G325" t="s">
        <v>510</v>
      </c>
      <c r="H325" t="s">
        <v>510</v>
      </c>
      <c r="I325" t="s">
        <v>219</v>
      </c>
      <c r="J325" s="25">
        <v>400</v>
      </c>
      <c r="K325" s="26">
        <v>65.89</v>
      </c>
      <c r="L325" s="26">
        <v>0.28999999999999998</v>
      </c>
    </row>
    <row r="326" spans="1:12" ht="16" customHeight="1">
      <c r="A326" t="s">
        <v>459</v>
      </c>
      <c r="B326" t="s">
        <v>3</v>
      </c>
      <c r="C326" t="s">
        <v>49</v>
      </c>
      <c r="D326" s="24">
        <v>46143</v>
      </c>
      <c r="E326" t="s">
        <v>475</v>
      </c>
      <c r="F326" t="s">
        <v>5</v>
      </c>
      <c r="G326" t="s">
        <v>510</v>
      </c>
      <c r="H326" t="s">
        <v>510</v>
      </c>
      <c r="I326" t="s">
        <v>212</v>
      </c>
      <c r="J326" s="25">
        <v>828</v>
      </c>
      <c r="K326" s="26">
        <v>155.30000000000001</v>
      </c>
      <c r="L326" s="26">
        <v>1.24</v>
      </c>
    </row>
    <row r="327" spans="1:12" ht="16" customHeight="1">
      <c r="A327" t="s">
        <v>436</v>
      </c>
      <c r="B327" t="s">
        <v>4</v>
      </c>
      <c r="C327" t="s">
        <v>49</v>
      </c>
      <c r="D327" s="24">
        <v>46143</v>
      </c>
      <c r="E327" t="s">
        <v>475</v>
      </c>
      <c r="F327" t="s">
        <v>5</v>
      </c>
      <c r="G327" t="s">
        <v>510</v>
      </c>
      <c r="H327" t="s">
        <v>510</v>
      </c>
      <c r="I327" t="s">
        <v>212</v>
      </c>
      <c r="J327" s="25">
        <v>1376</v>
      </c>
      <c r="K327" s="26">
        <v>260.94</v>
      </c>
      <c r="L327" s="26">
        <v>3.32</v>
      </c>
    </row>
    <row r="328" spans="1:12" ht="16" customHeight="1">
      <c r="A328" t="s">
        <v>460</v>
      </c>
      <c r="B328" t="s">
        <v>5</v>
      </c>
      <c r="C328" t="s">
        <v>49</v>
      </c>
      <c r="D328" s="24">
        <v>46143</v>
      </c>
      <c r="E328" t="s">
        <v>475</v>
      </c>
      <c r="F328" t="s">
        <v>5</v>
      </c>
      <c r="G328" t="s">
        <v>510</v>
      </c>
      <c r="H328" t="s">
        <v>510</v>
      </c>
      <c r="I328" t="s">
        <v>212</v>
      </c>
      <c r="J328" s="25">
        <v>3073</v>
      </c>
      <c r="K328" s="26">
        <v>581.25</v>
      </c>
      <c r="L328" s="26">
        <v>7.09</v>
      </c>
    </row>
    <row r="329" spans="1:12" ht="16" customHeight="1">
      <c r="A329" t="s">
        <v>460</v>
      </c>
      <c r="B329" t="s">
        <v>5</v>
      </c>
      <c r="C329" t="s">
        <v>49</v>
      </c>
      <c r="D329" s="24">
        <v>46143</v>
      </c>
      <c r="E329" t="s">
        <v>496</v>
      </c>
      <c r="F329" t="s">
        <v>6</v>
      </c>
      <c r="G329" t="s">
        <v>506</v>
      </c>
      <c r="H329" t="s">
        <v>506</v>
      </c>
      <c r="I329" t="s">
        <v>219</v>
      </c>
      <c r="J329" s="25">
        <v>4</v>
      </c>
      <c r="K329" s="26">
        <v>0.78</v>
      </c>
      <c r="L329" s="26">
        <v>0.01</v>
      </c>
    </row>
    <row r="330" spans="1:12" ht="16" customHeight="1">
      <c r="A330" t="s">
        <v>462</v>
      </c>
      <c r="B330" t="s">
        <v>6</v>
      </c>
      <c r="C330" t="s">
        <v>49</v>
      </c>
      <c r="D330" s="24">
        <v>46143</v>
      </c>
      <c r="E330" t="s">
        <v>475</v>
      </c>
      <c r="F330" t="s">
        <v>5</v>
      </c>
      <c r="G330" t="s">
        <v>510</v>
      </c>
      <c r="H330" t="s">
        <v>510</v>
      </c>
      <c r="I330" t="s">
        <v>212</v>
      </c>
      <c r="J330" s="25">
        <v>1664</v>
      </c>
      <c r="K330" s="26">
        <v>316.56</v>
      </c>
      <c r="L330" s="26">
        <v>3.62</v>
      </c>
    </row>
    <row r="331" spans="1:12" ht="16" customHeight="1">
      <c r="A331" t="s">
        <v>462</v>
      </c>
      <c r="B331" t="s">
        <v>6</v>
      </c>
      <c r="C331" t="s">
        <v>49</v>
      </c>
      <c r="D331" s="24">
        <v>46143</v>
      </c>
      <c r="E331" t="s">
        <v>496</v>
      </c>
      <c r="F331" t="s">
        <v>6</v>
      </c>
      <c r="G331" t="s">
        <v>506</v>
      </c>
      <c r="H331" t="s">
        <v>506</v>
      </c>
      <c r="I331" t="s">
        <v>219</v>
      </c>
      <c r="J331" s="25">
        <v>0</v>
      </c>
      <c r="K331" s="26">
        <v>0</v>
      </c>
      <c r="L331" s="26">
        <v>0</v>
      </c>
    </row>
    <row r="332" spans="1:12" ht="16" customHeight="1">
      <c r="A332" t="s">
        <v>463</v>
      </c>
      <c r="B332" t="s">
        <v>7</v>
      </c>
      <c r="C332" t="s">
        <v>50</v>
      </c>
      <c r="D332" s="24">
        <v>46143</v>
      </c>
      <c r="E332" t="s">
        <v>475</v>
      </c>
      <c r="F332" t="s">
        <v>5</v>
      </c>
      <c r="G332" t="s">
        <v>510</v>
      </c>
      <c r="H332" t="s">
        <v>510</v>
      </c>
      <c r="I332" t="s">
        <v>212</v>
      </c>
      <c r="J332" s="25">
        <v>2742</v>
      </c>
      <c r="K332" s="26">
        <v>516.87</v>
      </c>
      <c r="L332" s="26">
        <v>6.64</v>
      </c>
    </row>
    <row r="333" spans="1:12" ht="16" customHeight="1">
      <c r="A333" t="s">
        <v>463</v>
      </c>
      <c r="B333" t="s">
        <v>7</v>
      </c>
      <c r="C333" t="s">
        <v>50</v>
      </c>
      <c r="D333" s="24">
        <v>46143</v>
      </c>
      <c r="E333" t="s">
        <v>496</v>
      </c>
      <c r="F333" t="s">
        <v>6</v>
      </c>
      <c r="G333" t="s">
        <v>506</v>
      </c>
      <c r="H333" t="s">
        <v>506</v>
      </c>
      <c r="I333" t="s">
        <v>219</v>
      </c>
      <c r="J333" s="25">
        <v>0</v>
      </c>
      <c r="K333" s="26">
        <v>0</v>
      </c>
      <c r="L333" s="26">
        <v>0</v>
      </c>
    </row>
    <row r="334" spans="1:12" ht="16" customHeight="1">
      <c r="A334" t="s">
        <v>464</v>
      </c>
      <c r="B334" t="s">
        <v>3</v>
      </c>
      <c r="C334" t="s">
        <v>50</v>
      </c>
      <c r="D334" s="24">
        <v>46143</v>
      </c>
      <c r="E334" t="s">
        <v>475</v>
      </c>
      <c r="F334" t="s">
        <v>5</v>
      </c>
      <c r="G334" t="s">
        <v>510</v>
      </c>
      <c r="H334" t="s">
        <v>510</v>
      </c>
      <c r="I334" t="s">
        <v>212</v>
      </c>
      <c r="J334" s="25">
        <v>1747</v>
      </c>
      <c r="K334" s="26">
        <v>311.44</v>
      </c>
      <c r="L334" s="26">
        <v>2.17</v>
      </c>
    </row>
    <row r="335" spans="1:12" ht="16" customHeight="1">
      <c r="A335" t="s">
        <v>464</v>
      </c>
      <c r="B335" t="s">
        <v>3</v>
      </c>
      <c r="C335" t="s">
        <v>50</v>
      </c>
      <c r="D335" s="24">
        <v>46143</v>
      </c>
      <c r="E335" t="s">
        <v>496</v>
      </c>
      <c r="F335" t="s">
        <v>6</v>
      </c>
      <c r="G335" t="s">
        <v>506</v>
      </c>
      <c r="H335" t="s">
        <v>506</v>
      </c>
      <c r="I335" t="s">
        <v>219</v>
      </c>
      <c r="J335" s="25">
        <v>0</v>
      </c>
      <c r="K335" s="26">
        <v>0</v>
      </c>
      <c r="L335" s="26">
        <v>0</v>
      </c>
    </row>
    <row r="336" spans="1:12" ht="16" customHeight="1">
      <c r="A336" t="s">
        <v>443</v>
      </c>
      <c r="B336" t="s">
        <v>4</v>
      </c>
      <c r="C336" t="s">
        <v>50</v>
      </c>
      <c r="D336" s="24">
        <v>46143</v>
      </c>
      <c r="E336" t="s">
        <v>475</v>
      </c>
      <c r="F336" t="s">
        <v>5</v>
      </c>
      <c r="G336" t="s">
        <v>510</v>
      </c>
      <c r="H336" t="s">
        <v>510</v>
      </c>
      <c r="I336" t="s">
        <v>212</v>
      </c>
      <c r="J336" s="25">
        <v>1389</v>
      </c>
      <c r="K336" s="26">
        <v>245.76</v>
      </c>
      <c r="L336" s="26">
        <v>1.51</v>
      </c>
    </row>
    <row r="337" spans="1:12" ht="16" customHeight="1">
      <c r="A337" t="s">
        <v>443</v>
      </c>
      <c r="B337" t="s">
        <v>4</v>
      </c>
      <c r="C337" t="s">
        <v>50</v>
      </c>
      <c r="D337" s="24">
        <v>46143</v>
      </c>
      <c r="E337" t="s">
        <v>496</v>
      </c>
      <c r="F337" t="s">
        <v>6</v>
      </c>
      <c r="G337" t="s">
        <v>506</v>
      </c>
      <c r="H337" t="s">
        <v>506</v>
      </c>
      <c r="I337" t="s">
        <v>219</v>
      </c>
      <c r="J337" s="25">
        <v>0</v>
      </c>
      <c r="K337" s="26">
        <v>0</v>
      </c>
      <c r="L337" s="26">
        <v>0</v>
      </c>
    </row>
    <row r="338" spans="1:12" ht="16" customHeight="1">
      <c r="A338" t="s">
        <v>465</v>
      </c>
      <c r="B338" t="s">
        <v>5</v>
      </c>
      <c r="C338" t="s">
        <v>50</v>
      </c>
      <c r="D338" s="24">
        <v>46143</v>
      </c>
      <c r="E338" t="s">
        <v>475</v>
      </c>
      <c r="F338" t="s">
        <v>5</v>
      </c>
      <c r="G338" t="s">
        <v>510</v>
      </c>
      <c r="H338" t="s">
        <v>510</v>
      </c>
      <c r="I338" t="s">
        <v>212</v>
      </c>
      <c r="J338" s="25">
        <v>3893</v>
      </c>
      <c r="K338" s="26">
        <v>672.23</v>
      </c>
      <c r="L338" s="26">
        <v>3.9</v>
      </c>
    </row>
    <row r="339" spans="1:12" ht="16" customHeight="1">
      <c r="A339" t="s">
        <v>465</v>
      </c>
      <c r="B339" t="s">
        <v>5</v>
      </c>
      <c r="C339" t="s">
        <v>50</v>
      </c>
      <c r="D339" s="24">
        <v>46143</v>
      </c>
      <c r="E339" t="s">
        <v>496</v>
      </c>
      <c r="F339" t="s">
        <v>6</v>
      </c>
      <c r="G339" t="s">
        <v>506</v>
      </c>
      <c r="H339" t="s">
        <v>506</v>
      </c>
      <c r="I339" t="s">
        <v>219</v>
      </c>
      <c r="J339" s="25">
        <v>0</v>
      </c>
      <c r="K339" s="26">
        <v>0</v>
      </c>
      <c r="L339" s="26">
        <v>0</v>
      </c>
    </row>
    <row r="340" spans="1:12" ht="16" customHeight="1">
      <c r="A340" t="s">
        <v>467</v>
      </c>
      <c r="B340" t="s">
        <v>6</v>
      </c>
      <c r="C340" t="s">
        <v>50</v>
      </c>
      <c r="D340" s="24">
        <v>46143</v>
      </c>
      <c r="E340" t="s">
        <v>475</v>
      </c>
      <c r="F340" t="s">
        <v>5</v>
      </c>
      <c r="G340" t="s">
        <v>510</v>
      </c>
      <c r="H340" t="s">
        <v>510</v>
      </c>
      <c r="I340" t="s">
        <v>212</v>
      </c>
      <c r="J340" s="25">
        <v>6178</v>
      </c>
      <c r="K340" s="26">
        <v>1097</v>
      </c>
      <c r="L340" s="26">
        <v>9.8000000000000007</v>
      </c>
    </row>
    <row r="341" spans="1:12" ht="16" customHeight="1">
      <c r="A341" t="s">
        <v>467</v>
      </c>
      <c r="B341" t="s">
        <v>6</v>
      </c>
      <c r="C341" t="s">
        <v>50</v>
      </c>
      <c r="D341" s="24">
        <v>46143</v>
      </c>
      <c r="E341" t="s">
        <v>496</v>
      </c>
      <c r="F341" t="s">
        <v>6</v>
      </c>
      <c r="G341" t="s">
        <v>506</v>
      </c>
      <c r="H341" t="s">
        <v>506</v>
      </c>
      <c r="I341" t="s">
        <v>219</v>
      </c>
      <c r="J341" s="25">
        <v>0</v>
      </c>
      <c r="K341" s="26">
        <v>0</v>
      </c>
      <c r="L341" s="26">
        <v>0</v>
      </c>
    </row>
    <row r="342" spans="1:12" ht="16" customHeight="1">
      <c r="A342" t="s">
        <v>468</v>
      </c>
      <c r="B342" t="s">
        <v>7</v>
      </c>
      <c r="C342" t="s">
        <v>51</v>
      </c>
      <c r="D342" s="24">
        <v>46143</v>
      </c>
      <c r="E342" t="s">
        <v>475</v>
      </c>
      <c r="F342" t="s">
        <v>5</v>
      </c>
      <c r="G342" t="s">
        <v>510</v>
      </c>
      <c r="H342" t="s">
        <v>510</v>
      </c>
      <c r="I342" t="s">
        <v>212</v>
      </c>
      <c r="J342" s="25">
        <v>6654</v>
      </c>
      <c r="K342" s="26">
        <v>1175.26</v>
      </c>
      <c r="L342" s="26">
        <v>10.15</v>
      </c>
    </row>
    <row r="343" spans="1:12" ht="16" customHeight="1">
      <c r="A343" t="s">
        <v>468</v>
      </c>
      <c r="B343" t="s">
        <v>7</v>
      </c>
      <c r="C343" t="s">
        <v>51</v>
      </c>
      <c r="D343" s="24">
        <v>46143</v>
      </c>
      <c r="E343" t="s">
        <v>496</v>
      </c>
      <c r="F343" t="s">
        <v>6</v>
      </c>
      <c r="G343" t="s">
        <v>506</v>
      </c>
      <c r="H343" t="s">
        <v>506</v>
      </c>
      <c r="I343" t="s">
        <v>219</v>
      </c>
      <c r="J343" s="25">
        <v>2</v>
      </c>
      <c r="K343" s="26">
        <v>0.38</v>
      </c>
      <c r="L343" s="26">
        <v>0.01</v>
      </c>
    </row>
    <row r="344" spans="1:12" ht="16" customHeight="1">
      <c r="A344" t="s">
        <v>469</v>
      </c>
      <c r="B344" t="s">
        <v>3</v>
      </c>
      <c r="C344" t="s">
        <v>51</v>
      </c>
      <c r="D344" s="24">
        <v>46143</v>
      </c>
      <c r="E344" t="s">
        <v>475</v>
      </c>
      <c r="F344" t="s">
        <v>5</v>
      </c>
      <c r="G344" t="s">
        <v>510</v>
      </c>
      <c r="H344" t="s">
        <v>510</v>
      </c>
      <c r="I344" t="s">
        <v>212</v>
      </c>
      <c r="J344" s="25">
        <v>5130</v>
      </c>
      <c r="K344" s="26">
        <v>901.24</v>
      </c>
      <c r="L344" s="26">
        <v>8.7200000000000006</v>
      </c>
    </row>
    <row r="345" spans="1:12" ht="16" customHeight="1">
      <c r="A345" t="s">
        <v>469</v>
      </c>
      <c r="B345" t="s">
        <v>3</v>
      </c>
      <c r="C345" t="s">
        <v>51</v>
      </c>
      <c r="D345" s="24">
        <v>46143</v>
      </c>
      <c r="E345" t="s">
        <v>496</v>
      </c>
      <c r="F345" t="s">
        <v>6</v>
      </c>
      <c r="G345" t="s">
        <v>506</v>
      </c>
      <c r="H345" t="s">
        <v>506</v>
      </c>
      <c r="I345" t="s">
        <v>219</v>
      </c>
      <c r="J345" s="25">
        <v>0</v>
      </c>
      <c r="K345" s="26">
        <v>0</v>
      </c>
      <c r="L345" s="26">
        <v>0</v>
      </c>
    </row>
    <row r="346" spans="1:12" ht="16" customHeight="1">
      <c r="A346" t="s">
        <v>447</v>
      </c>
      <c r="B346" t="s">
        <v>4</v>
      </c>
      <c r="C346" t="s">
        <v>51</v>
      </c>
      <c r="D346" s="24">
        <v>46143</v>
      </c>
      <c r="E346" t="s">
        <v>475</v>
      </c>
      <c r="F346" t="s">
        <v>5</v>
      </c>
      <c r="G346" t="s">
        <v>510</v>
      </c>
      <c r="H346" t="s">
        <v>510</v>
      </c>
      <c r="I346" t="s">
        <v>212</v>
      </c>
      <c r="J346" s="25">
        <v>6964</v>
      </c>
      <c r="K346" s="26">
        <v>1219.48</v>
      </c>
      <c r="L346" s="26">
        <v>10.7</v>
      </c>
    </row>
    <row r="347" spans="1:12" ht="16" customHeight="1">
      <c r="A347" t="s">
        <v>447</v>
      </c>
      <c r="B347" t="s">
        <v>4</v>
      </c>
      <c r="C347" t="s">
        <v>51</v>
      </c>
      <c r="D347" s="24">
        <v>46143</v>
      </c>
      <c r="E347" t="s">
        <v>496</v>
      </c>
      <c r="F347" t="s">
        <v>6</v>
      </c>
      <c r="G347" t="s">
        <v>506</v>
      </c>
      <c r="H347" t="s">
        <v>506</v>
      </c>
      <c r="I347" t="s">
        <v>219</v>
      </c>
      <c r="J347" s="25">
        <v>3</v>
      </c>
      <c r="K347" s="26">
        <v>0.65</v>
      </c>
      <c r="L347" s="26">
        <v>0</v>
      </c>
    </row>
    <row r="348" spans="1:12" ht="16" customHeight="1">
      <c r="A348" t="s">
        <v>470</v>
      </c>
      <c r="B348" t="s">
        <v>5</v>
      </c>
      <c r="C348" t="s">
        <v>51</v>
      </c>
      <c r="D348" s="24">
        <v>46143</v>
      </c>
      <c r="E348" t="s">
        <v>475</v>
      </c>
      <c r="F348" t="s">
        <v>5</v>
      </c>
      <c r="G348" t="s">
        <v>510</v>
      </c>
      <c r="H348" t="s">
        <v>510</v>
      </c>
      <c r="I348" t="s">
        <v>212</v>
      </c>
      <c r="J348" s="25">
        <v>4771</v>
      </c>
      <c r="K348" s="26">
        <v>836.41</v>
      </c>
      <c r="L348" s="26">
        <v>7.04</v>
      </c>
    </row>
    <row r="349" spans="1:12" ht="16" customHeight="1">
      <c r="A349" t="s">
        <v>470</v>
      </c>
      <c r="B349" t="s">
        <v>5</v>
      </c>
      <c r="C349" t="s">
        <v>51</v>
      </c>
      <c r="D349" s="24">
        <v>46143</v>
      </c>
      <c r="E349" t="s">
        <v>496</v>
      </c>
      <c r="F349" t="s">
        <v>6</v>
      </c>
      <c r="G349" t="s">
        <v>506</v>
      </c>
      <c r="H349" t="s">
        <v>506</v>
      </c>
      <c r="I349" t="s">
        <v>219</v>
      </c>
      <c r="J349" s="25">
        <v>7</v>
      </c>
      <c r="K349" s="26">
        <v>1.48</v>
      </c>
      <c r="L349" s="26">
        <v>0.01</v>
      </c>
    </row>
    <row r="350" spans="1:12" ht="16" customHeight="1">
      <c r="A350" t="s">
        <v>472</v>
      </c>
      <c r="B350" t="s">
        <v>6</v>
      </c>
      <c r="C350" t="s">
        <v>51</v>
      </c>
      <c r="D350" s="24">
        <v>46143</v>
      </c>
      <c r="E350" t="s">
        <v>475</v>
      </c>
      <c r="F350" t="s">
        <v>5</v>
      </c>
      <c r="G350" t="s">
        <v>510</v>
      </c>
      <c r="H350" t="s">
        <v>510</v>
      </c>
      <c r="I350" t="s">
        <v>212</v>
      </c>
      <c r="J350" s="25">
        <v>10940</v>
      </c>
      <c r="K350" s="26">
        <v>1940.1</v>
      </c>
      <c r="L350" s="26">
        <v>13.01</v>
      </c>
    </row>
    <row r="351" spans="1:12" ht="16" customHeight="1">
      <c r="A351" t="s">
        <v>472</v>
      </c>
      <c r="B351" t="s">
        <v>6</v>
      </c>
      <c r="C351" t="s">
        <v>51</v>
      </c>
      <c r="D351" s="24">
        <v>46143</v>
      </c>
      <c r="E351" t="s">
        <v>496</v>
      </c>
      <c r="F351" t="s">
        <v>6</v>
      </c>
      <c r="G351" t="s">
        <v>506</v>
      </c>
      <c r="H351" t="s">
        <v>506</v>
      </c>
      <c r="I351" t="s">
        <v>219</v>
      </c>
      <c r="J351" s="25">
        <v>1</v>
      </c>
      <c r="K351" s="26">
        <v>0.17</v>
      </c>
      <c r="L351" s="26">
        <v>0</v>
      </c>
    </row>
    <row r="352" spans="1:12" ht="16" customHeight="1">
      <c r="A352" t="s">
        <v>473</v>
      </c>
      <c r="B352" t="s">
        <v>7</v>
      </c>
      <c r="C352" t="s">
        <v>52</v>
      </c>
      <c r="D352" s="24">
        <v>46143</v>
      </c>
      <c r="E352" t="s">
        <v>475</v>
      </c>
      <c r="F352" t="s">
        <v>5</v>
      </c>
      <c r="G352" t="s">
        <v>510</v>
      </c>
      <c r="H352" t="s">
        <v>510</v>
      </c>
      <c r="I352" t="s">
        <v>212</v>
      </c>
      <c r="J352" s="25">
        <v>11023</v>
      </c>
      <c r="K352" s="26">
        <v>1955.22</v>
      </c>
      <c r="L352" s="26">
        <v>9.2100000000000009</v>
      </c>
    </row>
    <row r="353" spans="1:12" ht="16" customHeight="1">
      <c r="A353" t="s">
        <v>473</v>
      </c>
      <c r="B353" t="s">
        <v>7</v>
      </c>
      <c r="C353" t="s">
        <v>52</v>
      </c>
      <c r="D353" s="24">
        <v>46143</v>
      </c>
      <c r="E353" t="s">
        <v>496</v>
      </c>
      <c r="F353" t="s">
        <v>6</v>
      </c>
      <c r="G353" t="s">
        <v>506</v>
      </c>
      <c r="H353" t="s">
        <v>506</v>
      </c>
      <c r="I353" t="s">
        <v>219</v>
      </c>
      <c r="J353" s="25">
        <v>0</v>
      </c>
      <c r="K353" s="26">
        <v>0</v>
      </c>
      <c r="L353" s="26">
        <v>0</v>
      </c>
    </row>
    <row r="354" spans="1:12" ht="16" customHeight="1">
      <c r="A354" t="s">
        <v>474</v>
      </c>
      <c r="B354" t="s">
        <v>3</v>
      </c>
      <c r="C354" t="s">
        <v>52</v>
      </c>
      <c r="D354" s="24">
        <v>46143</v>
      </c>
      <c r="E354" t="s">
        <v>475</v>
      </c>
      <c r="F354" t="s">
        <v>5</v>
      </c>
      <c r="G354" t="s">
        <v>510</v>
      </c>
      <c r="H354" t="s">
        <v>510</v>
      </c>
      <c r="I354" t="s">
        <v>212</v>
      </c>
      <c r="J354" s="25">
        <v>14856</v>
      </c>
      <c r="K354" s="26">
        <v>2718.5</v>
      </c>
      <c r="L354" s="26">
        <v>11.46</v>
      </c>
    </row>
    <row r="355" spans="1:12" ht="16" customHeight="1">
      <c r="A355" t="s">
        <v>474</v>
      </c>
      <c r="B355" t="s">
        <v>3</v>
      </c>
      <c r="C355" t="s">
        <v>52</v>
      </c>
      <c r="D355" s="24">
        <v>46143</v>
      </c>
      <c r="E355" t="s">
        <v>496</v>
      </c>
      <c r="F355" t="s">
        <v>6</v>
      </c>
      <c r="G355" t="s">
        <v>506</v>
      </c>
      <c r="H355" t="s">
        <v>506</v>
      </c>
      <c r="I355" t="s">
        <v>219</v>
      </c>
      <c r="J355" s="25">
        <v>8</v>
      </c>
      <c r="K355" s="26">
        <v>1.23</v>
      </c>
      <c r="L355" s="26">
        <v>0</v>
      </c>
    </row>
    <row r="356" spans="1:12" ht="16" customHeight="1">
      <c r="A356" t="s">
        <v>416</v>
      </c>
      <c r="B356" t="s">
        <v>4</v>
      </c>
      <c r="C356" t="s">
        <v>52</v>
      </c>
      <c r="D356" s="24">
        <v>46143</v>
      </c>
      <c r="E356" t="s">
        <v>475</v>
      </c>
      <c r="F356" t="s">
        <v>5</v>
      </c>
      <c r="G356" t="s">
        <v>510</v>
      </c>
      <c r="H356" t="s">
        <v>510</v>
      </c>
      <c r="I356" t="s">
        <v>212</v>
      </c>
      <c r="J356" s="25">
        <v>56880</v>
      </c>
      <c r="K356" s="26">
        <v>10609.84</v>
      </c>
      <c r="L356" s="26">
        <v>29.59</v>
      </c>
    </row>
    <row r="357" spans="1:12" ht="16" customHeight="1">
      <c r="A357" t="s">
        <v>416</v>
      </c>
      <c r="B357" t="s">
        <v>4</v>
      </c>
      <c r="C357" t="s">
        <v>52</v>
      </c>
      <c r="D357" s="24">
        <v>46143</v>
      </c>
      <c r="E357" t="s">
        <v>496</v>
      </c>
      <c r="F357" t="s">
        <v>6</v>
      </c>
      <c r="G357" t="s">
        <v>506</v>
      </c>
      <c r="H357" t="s">
        <v>506</v>
      </c>
      <c r="I357" t="s">
        <v>219</v>
      </c>
      <c r="J357" s="25">
        <v>145</v>
      </c>
      <c r="K357" s="26">
        <v>27.36</v>
      </c>
      <c r="L357" s="26">
        <v>0.44</v>
      </c>
    </row>
    <row r="358" spans="1:12" ht="16" customHeight="1">
      <c r="A358" t="s">
        <v>475</v>
      </c>
      <c r="B358" t="s">
        <v>5</v>
      </c>
      <c r="C358" t="s">
        <v>52</v>
      </c>
      <c r="D358" s="24">
        <v>46143</v>
      </c>
      <c r="E358" t="s">
        <v>475</v>
      </c>
      <c r="F358" t="s">
        <v>5</v>
      </c>
      <c r="G358" t="s">
        <v>510</v>
      </c>
      <c r="H358" t="s">
        <v>510</v>
      </c>
      <c r="I358" t="s">
        <v>212</v>
      </c>
      <c r="J358" s="25">
        <v>6532534</v>
      </c>
      <c r="K358" s="26">
        <v>1214490.1299999999</v>
      </c>
      <c r="L358" s="26">
        <v>1019.84</v>
      </c>
    </row>
    <row r="359" spans="1:12" ht="16" customHeight="1">
      <c r="A359" t="s">
        <v>475</v>
      </c>
      <c r="B359" t="s">
        <v>5</v>
      </c>
      <c r="C359" t="s">
        <v>52</v>
      </c>
      <c r="D359" s="24">
        <v>46143</v>
      </c>
      <c r="E359" t="s">
        <v>496</v>
      </c>
      <c r="F359" t="s">
        <v>6</v>
      </c>
      <c r="G359" t="s">
        <v>506</v>
      </c>
      <c r="H359" t="s">
        <v>506</v>
      </c>
      <c r="I359" t="s">
        <v>219</v>
      </c>
      <c r="J359" s="25">
        <v>236</v>
      </c>
      <c r="K359" s="26">
        <v>41.4</v>
      </c>
      <c r="L359" s="26">
        <v>0.77</v>
      </c>
    </row>
    <row r="360" spans="1:12" ht="16" customHeight="1">
      <c r="A360" t="s">
        <v>477</v>
      </c>
      <c r="B360" t="s">
        <v>7</v>
      </c>
      <c r="C360" t="s">
        <v>53</v>
      </c>
      <c r="D360" s="24">
        <v>46143</v>
      </c>
      <c r="E360" t="s">
        <v>496</v>
      </c>
      <c r="F360" t="s">
        <v>6</v>
      </c>
      <c r="G360" t="s">
        <v>506</v>
      </c>
      <c r="H360" t="s">
        <v>506</v>
      </c>
      <c r="I360" t="s">
        <v>219</v>
      </c>
      <c r="J360" s="25">
        <v>2579</v>
      </c>
      <c r="K360" s="26">
        <v>474.03</v>
      </c>
      <c r="L360" s="26">
        <v>7.36</v>
      </c>
    </row>
    <row r="361" spans="1:12" ht="16" customHeight="1">
      <c r="A361" t="s">
        <v>478</v>
      </c>
      <c r="B361" t="s">
        <v>3</v>
      </c>
      <c r="C361" t="s">
        <v>54</v>
      </c>
      <c r="D361" s="24">
        <v>46174</v>
      </c>
      <c r="E361" t="s">
        <v>496</v>
      </c>
      <c r="F361" t="s">
        <v>6</v>
      </c>
      <c r="G361" t="s">
        <v>506</v>
      </c>
      <c r="H361" t="s">
        <v>506</v>
      </c>
      <c r="I361" t="s">
        <v>212</v>
      </c>
      <c r="J361" s="25">
        <v>2492</v>
      </c>
      <c r="K361" s="26">
        <v>449.35</v>
      </c>
      <c r="L361" s="26">
        <v>7.19</v>
      </c>
    </row>
    <row r="362" spans="1:12" ht="16" customHeight="1">
      <c r="A362" t="s">
        <v>452</v>
      </c>
      <c r="B362" t="s">
        <v>4</v>
      </c>
      <c r="C362" t="s">
        <v>54</v>
      </c>
      <c r="D362" s="24">
        <v>46174</v>
      </c>
      <c r="E362" t="s">
        <v>496</v>
      </c>
      <c r="F362" t="s">
        <v>6</v>
      </c>
      <c r="G362" t="s">
        <v>506</v>
      </c>
      <c r="H362" t="s">
        <v>506</v>
      </c>
      <c r="I362" t="s">
        <v>212</v>
      </c>
      <c r="J362" s="25">
        <v>2671</v>
      </c>
      <c r="K362" s="26">
        <v>470.07</v>
      </c>
      <c r="L362" s="26">
        <v>6.32</v>
      </c>
    </row>
    <row r="363" spans="1:12" ht="16" customHeight="1">
      <c r="A363" t="s">
        <v>479</v>
      </c>
      <c r="B363" t="s">
        <v>5</v>
      </c>
      <c r="C363" t="s">
        <v>54</v>
      </c>
      <c r="D363" s="24">
        <v>46174</v>
      </c>
      <c r="E363" t="s">
        <v>496</v>
      </c>
      <c r="F363" t="s">
        <v>6</v>
      </c>
      <c r="G363" t="s">
        <v>506</v>
      </c>
      <c r="H363" t="s">
        <v>506</v>
      </c>
      <c r="I363" t="s">
        <v>212</v>
      </c>
      <c r="J363" s="25">
        <v>4996</v>
      </c>
      <c r="K363" s="26">
        <v>884.15</v>
      </c>
      <c r="L363" s="26">
        <v>12.96</v>
      </c>
    </row>
    <row r="364" spans="1:12" ht="16" customHeight="1">
      <c r="A364" t="s">
        <v>481</v>
      </c>
      <c r="B364" t="s">
        <v>6</v>
      </c>
      <c r="C364" t="s">
        <v>54</v>
      </c>
      <c r="D364" s="24">
        <v>46174</v>
      </c>
      <c r="E364" t="s">
        <v>496</v>
      </c>
      <c r="F364" t="s">
        <v>6</v>
      </c>
      <c r="G364" t="s">
        <v>506</v>
      </c>
      <c r="H364" t="s">
        <v>506</v>
      </c>
      <c r="I364" t="s">
        <v>212</v>
      </c>
      <c r="J364" s="25">
        <v>2962</v>
      </c>
      <c r="K364" s="26">
        <v>536.69000000000005</v>
      </c>
      <c r="L364" s="26">
        <v>7.98</v>
      </c>
    </row>
    <row r="365" spans="1:12" ht="16" customHeight="1">
      <c r="A365" t="s">
        <v>482</v>
      </c>
      <c r="B365" t="s">
        <v>7</v>
      </c>
      <c r="C365" t="s">
        <v>54</v>
      </c>
      <c r="D365" s="24">
        <v>46174</v>
      </c>
      <c r="E365" t="s">
        <v>496</v>
      </c>
      <c r="F365" t="s">
        <v>6</v>
      </c>
      <c r="G365" t="s">
        <v>506</v>
      </c>
      <c r="H365" t="s">
        <v>506</v>
      </c>
      <c r="I365" t="s">
        <v>212</v>
      </c>
      <c r="J365" s="25">
        <v>5449</v>
      </c>
      <c r="K365" s="26">
        <v>1008.55</v>
      </c>
      <c r="L365" s="26">
        <v>14.19</v>
      </c>
    </row>
    <row r="366" spans="1:12" ht="16" customHeight="1">
      <c r="A366" t="s">
        <v>483</v>
      </c>
      <c r="B366" t="s">
        <v>3</v>
      </c>
      <c r="C366" t="s">
        <v>55</v>
      </c>
      <c r="D366" s="24">
        <v>46174</v>
      </c>
      <c r="E366" t="s">
        <v>496</v>
      </c>
      <c r="F366" t="s">
        <v>6</v>
      </c>
      <c r="G366" t="s">
        <v>506</v>
      </c>
      <c r="H366" t="s">
        <v>506</v>
      </c>
      <c r="I366" t="s">
        <v>212</v>
      </c>
      <c r="J366" s="25">
        <v>2927</v>
      </c>
      <c r="K366" s="26">
        <v>534.95000000000005</v>
      </c>
      <c r="L366" s="26">
        <v>6.84</v>
      </c>
    </row>
    <row r="367" spans="1:12" ht="16" customHeight="1">
      <c r="A367" t="s">
        <v>461</v>
      </c>
      <c r="B367" t="s">
        <v>4</v>
      </c>
      <c r="C367" t="s">
        <v>55</v>
      </c>
      <c r="D367" s="24">
        <v>46174</v>
      </c>
      <c r="E367" t="s">
        <v>496</v>
      </c>
      <c r="F367" t="s">
        <v>6</v>
      </c>
      <c r="G367" t="s">
        <v>506</v>
      </c>
      <c r="H367" t="s">
        <v>506</v>
      </c>
      <c r="I367" t="s">
        <v>212</v>
      </c>
      <c r="J367" s="25">
        <v>5829</v>
      </c>
      <c r="K367" s="26">
        <v>1022.77</v>
      </c>
      <c r="L367" s="26">
        <v>6.78</v>
      </c>
    </row>
    <row r="368" spans="1:12" ht="16" customHeight="1">
      <c r="A368" t="s">
        <v>484</v>
      </c>
      <c r="B368" t="s">
        <v>5</v>
      </c>
      <c r="C368" t="s">
        <v>55</v>
      </c>
      <c r="D368" s="24">
        <v>46174</v>
      </c>
      <c r="E368" t="s">
        <v>496</v>
      </c>
      <c r="F368" t="s">
        <v>6</v>
      </c>
      <c r="G368" t="s">
        <v>506</v>
      </c>
      <c r="H368" t="s">
        <v>506</v>
      </c>
      <c r="I368" t="s">
        <v>212</v>
      </c>
      <c r="J368" s="25">
        <v>3225</v>
      </c>
      <c r="K368" s="26">
        <v>596.67999999999995</v>
      </c>
      <c r="L368" s="26">
        <v>5.76</v>
      </c>
    </row>
    <row r="369" spans="1:12" ht="16" customHeight="1">
      <c r="A369" t="s">
        <v>486</v>
      </c>
      <c r="B369" t="s">
        <v>6</v>
      </c>
      <c r="C369" t="s">
        <v>55</v>
      </c>
      <c r="D369" s="24">
        <v>46174</v>
      </c>
      <c r="E369" t="s">
        <v>496</v>
      </c>
      <c r="F369" t="s">
        <v>6</v>
      </c>
      <c r="G369" t="s">
        <v>506</v>
      </c>
      <c r="H369" t="s">
        <v>506</v>
      </c>
      <c r="I369" t="s">
        <v>212</v>
      </c>
      <c r="J369" s="25">
        <v>4118</v>
      </c>
      <c r="K369" s="26">
        <v>753.72</v>
      </c>
      <c r="L369" s="26">
        <v>7.81</v>
      </c>
    </row>
    <row r="370" spans="1:12" ht="16" customHeight="1">
      <c r="A370" t="s">
        <v>487</v>
      </c>
      <c r="B370" t="s">
        <v>7</v>
      </c>
      <c r="C370" t="s">
        <v>55</v>
      </c>
      <c r="D370" s="24">
        <v>46174</v>
      </c>
      <c r="E370" t="s">
        <v>496</v>
      </c>
      <c r="F370" t="s">
        <v>6</v>
      </c>
      <c r="G370" t="s">
        <v>506</v>
      </c>
      <c r="H370" t="s">
        <v>506</v>
      </c>
      <c r="I370" t="s">
        <v>212</v>
      </c>
      <c r="J370" s="25">
        <v>6419</v>
      </c>
      <c r="K370" s="26">
        <v>1162.3599999999999</v>
      </c>
      <c r="L370" s="26">
        <v>6.77</v>
      </c>
    </row>
    <row r="371" spans="1:12" ht="16" customHeight="1">
      <c r="A371" t="s">
        <v>488</v>
      </c>
      <c r="B371" t="s">
        <v>3</v>
      </c>
      <c r="C371" t="s">
        <v>56</v>
      </c>
      <c r="D371" s="24">
        <v>46174</v>
      </c>
      <c r="E371" t="s">
        <v>496</v>
      </c>
      <c r="F371" t="s">
        <v>6</v>
      </c>
      <c r="G371" t="s">
        <v>506</v>
      </c>
      <c r="H371" t="s">
        <v>506</v>
      </c>
      <c r="I371" t="s">
        <v>212</v>
      </c>
      <c r="J371" s="25">
        <v>4515</v>
      </c>
      <c r="K371" s="26">
        <v>844.82</v>
      </c>
      <c r="L371" s="26">
        <v>7.28</v>
      </c>
    </row>
    <row r="372" spans="1:12" ht="16" customHeight="1">
      <c r="A372" t="s">
        <v>466</v>
      </c>
      <c r="B372" t="s">
        <v>4</v>
      </c>
      <c r="C372" t="s">
        <v>56</v>
      </c>
      <c r="D372" s="24">
        <v>46174</v>
      </c>
      <c r="E372" t="s">
        <v>496</v>
      </c>
      <c r="F372" t="s">
        <v>6</v>
      </c>
      <c r="G372" t="s">
        <v>506</v>
      </c>
      <c r="H372" t="s">
        <v>506</v>
      </c>
      <c r="I372" t="s">
        <v>212</v>
      </c>
      <c r="J372" s="25">
        <v>4725</v>
      </c>
      <c r="K372" s="26">
        <v>877.51</v>
      </c>
      <c r="L372" s="26">
        <v>6.47</v>
      </c>
    </row>
    <row r="373" spans="1:12" ht="16" customHeight="1">
      <c r="A373" t="s">
        <v>489</v>
      </c>
      <c r="B373" t="s">
        <v>5</v>
      </c>
      <c r="C373" t="s">
        <v>56</v>
      </c>
      <c r="D373" s="24">
        <v>46174</v>
      </c>
      <c r="E373" t="s">
        <v>496</v>
      </c>
      <c r="F373" t="s">
        <v>6</v>
      </c>
      <c r="G373" t="s">
        <v>506</v>
      </c>
      <c r="H373" t="s">
        <v>506</v>
      </c>
      <c r="I373" t="s">
        <v>212</v>
      </c>
      <c r="J373" s="25">
        <v>6611</v>
      </c>
      <c r="K373" s="26">
        <v>1249.17</v>
      </c>
      <c r="L373" s="26">
        <v>7.42</v>
      </c>
    </row>
    <row r="374" spans="1:12" ht="16" customHeight="1">
      <c r="A374" t="s">
        <v>491</v>
      </c>
      <c r="B374" t="s">
        <v>6</v>
      </c>
      <c r="C374" t="s">
        <v>56</v>
      </c>
      <c r="D374" s="24">
        <v>46174</v>
      </c>
      <c r="E374" t="s">
        <v>496</v>
      </c>
      <c r="F374" t="s">
        <v>6</v>
      </c>
      <c r="G374" t="s">
        <v>506</v>
      </c>
      <c r="H374" t="s">
        <v>506</v>
      </c>
      <c r="I374" t="s">
        <v>212</v>
      </c>
      <c r="J374" s="25">
        <v>10049</v>
      </c>
      <c r="K374" s="26">
        <v>1855.7</v>
      </c>
      <c r="L374" s="26">
        <v>10.1</v>
      </c>
    </row>
    <row r="375" spans="1:12" ht="16" customHeight="1">
      <c r="A375" t="s">
        <v>492</v>
      </c>
      <c r="B375" t="s">
        <v>7</v>
      </c>
      <c r="C375" t="s">
        <v>56</v>
      </c>
      <c r="D375" s="24">
        <v>46174</v>
      </c>
      <c r="E375" t="s">
        <v>496</v>
      </c>
      <c r="F375" t="s">
        <v>6</v>
      </c>
      <c r="G375" t="s">
        <v>506</v>
      </c>
      <c r="H375" t="s">
        <v>506</v>
      </c>
      <c r="I375" t="s">
        <v>212</v>
      </c>
      <c r="J375" s="25">
        <v>19264</v>
      </c>
      <c r="K375" s="26">
        <v>3449.43</v>
      </c>
      <c r="L375" s="26">
        <v>15.74</v>
      </c>
    </row>
    <row r="376" spans="1:12" ht="16" customHeight="1">
      <c r="A376" t="s">
        <v>493</v>
      </c>
      <c r="B376" t="s">
        <v>3</v>
      </c>
      <c r="C376" t="s">
        <v>57</v>
      </c>
      <c r="D376" s="24">
        <v>46174</v>
      </c>
      <c r="E376" t="s">
        <v>496</v>
      </c>
      <c r="F376" t="s">
        <v>6</v>
      </c>
      <c r="G376" t="s">
        <v>506</v>
      </c>
      <c r="H376" t="s">
        <v>506</v>
      </c>
      <c r="I376" t="s">
        <v>212</v>
      </c>
      <c r="J376" s="25">
        <v>17827</v>
      </c>
      <c r="K376" s="26">
        <v>3294.51</v>
      </c>
      <c r="L376" s="26">
        <v>11.91</v>
      </c>
    </row>
    <row r="377" spans="1:12" ht="16" customHeight="1">
      <c r="A377" t="s">
        <v>471</v>
      </c>
      <c r="B377" t="s">
        <v>4</v>
      </c>
      <c r="C377" t="s">
        <v>57</v>
      </c>
      <c r="D377" s="24">
        <v>46174</v>
      </c>
      <c r="E377" t="s">
        <v>496</v>
      </c>
      <c r="F377" t="s">
        <v>6</v>
      </c>
      <c r="G377" t="s">
        <v>506</v>
      </c>
      <c r="H377" t="s">
        <v>506</v>
      </c>
      <c r="I377" t="s">
        <v>212</v>
      </c>
      <c r="J377" s="25">
        <v>35145</v>
      </c>
      <c r="K377" s="26">
        <v>6663.42</v>
      </c>
      <c r="L377" s="26">
        <v>23.47</v>
      </c>
    </row>
    <row r="378" spans="1:12" ht="16" customHeight="1">
      <c r="A378" t="s">
        <v>471</v>
      </c>
      <c r="B378" t="s">
        <v>4</v>
      </c>
      <c r="C378" t="s">
        <v>57</v>
      </c>
      <c r="D378" s="24">
        <v>46174</v>
      </c>
      <c r="E378" t="s">
        <v>512</v>
      </c>
      <c r="F378" t="s">
        <v>6</v>
      </c>
      <c r="G378" t="s">
        <v>506</v>
      </c>
      <c r="H378" t="s">
        <v>506</v>
      </c>
      <c r="I378" t="s">
        <v>219</v>
      </c>
      <c r="J378" s="25">
        <v>123</v>
      </c>
      <c r="K378" s="26">
        <v>19.03</v>
      </c>
      <c r="L378" s="26">
        <v>0.67</v>
      </c>
    </row>
    <row r="379" spans="1:12" ht="16" customHeight="1">
      <c r="A379" t="s">
        <v>494</v>
      </c>
      <c r="B379" t="s">
        <v>5</v>
      </c>
      <c r="C379" t="s">
        <v>57</v>
      </c>
      <c r="D379" s="24">
        <v>46174</v>
      </c>
      <c r="E379" t="s">
        <v>496</v>
      </c>
      <c r="F379" t="s">
        <v>6</v>
      </c>
      <c r="G379" t="s">
        <v>506</v>
      </c>
      <c r="H379" t="s">
        <v>506</v>
      </c>
      <c r="I379" t="s">
        <v>212</v>
      </c>
      <c r="J379" s="25">
        <v>584158</v>
      </c>
      <c r="K379" s="26">
        <v>114441.38</v>
      </c>
      <c r="L379" s="26">
        <v>266.75</v>
      </c>
    </row>
    <row r="380" spans="1:12" ht="16" customHeight="1">
      <c r="A380" t="s">
        <v>494</v>
      </c>
      <c r="B380" t="s">
        <v>5</v>
      </c>
      <c r="C380" t="s">
        <v>57</v>
      </c>
      <c r="D380" s="24">
        <v>46174</v>
      </c>
      <c r="E380" t="s">
        <v>512</v>
      </c>
      <c r="F380" t="s">
        <v>6</v>
      </c>
      <c r="G380" t="s">
        <v>506</v>
      </c>
      <c r="H380" t="s">
        <v>506</v>
      </c>
      <c r="I380" t="s">
        <v>219</v>
      </c>
      <c r="J380" s="25">
        <v>364</v>
      </c>
      <c r="K380" s="26">
        <v>63.21</v>
      </c>
      <c r="L380" s="26">
        <v>1.26</v>
      </c>
    </row>
    <row r="381" spans="1:12" ht="16" customHeight="1">
      <c r="A381" t="s">
        <v>496</v>
      </c>
      <c r="B381" t="s">
        <v>6</v>
      </c>
      <c r="C381" t="s">
        <v>57</v>
      </c>
      <c r="D381" s="24">
        <v>46174</v>
      </c>
      <c r="E381" t="s">
        <v>496</v>
      </c>
      <c r="F381" t="s">
        <v>6</v>
      </c>
      <c r="G381" t="s">
        <v>506</v>
      </c>
      <c r="H381" t="s">
        <v>506</v>
      </c>
      <c r="I381" t="s">
        <v>212</v>
      </c>
      <c r="J381" s="25">
        <v>6959031</v>
      </c>
      <c r="K381" s="26">
        <v>1373884.88</v>
      </c>
      <c r="L381" s="26">
        <v>1069.27</v>
      </c>
    </row>
    <row r="382" spans="1:12" ht="16" customHeight="1">
      <c r="A382" t="s">
        <v>496</v>
      </c>
      <c r="B382" t="s">
        <v>6</v>
      </c>
      <c r="C382" t="s">
        <v>57</v>
      </c>
      <c r="D382" s="24">
        <v>46174</v>
      </c>
      <c r="E382" t="s">
        <v>512</v>
      </c>
      <c r="F382" t="s">
        <v>6</v>
      </c>
      <c r="G382" t="s">
        <v>506</v>
      </c>
      <c r="H382" t="s">
        <v>506</v>
      </c>
      <c r="I382" t="s">
        <v>219</v>
      </c>
      <c r="J382" s="25">
        <v>876</v>
      </c>
      <c r="K382" s="26">
        <v>151.94</v>
      </c>
      <c r="L382" s="26">
        <v>1.33</v>
      </c>
    </row>
    <row r="383" spans="1:12" ht="16" customHeight="1">
      <c r="A383" t="s">
        <v>497</v>
      </c>
      <c r="B383" t="s">
        <v>3</v>
      </c>
      <c r="C383" t="s">
        <v>58</v>
      </c>
      <c r="D383" s="24">
        <v>46174</v>
      </c>
      <c r="E383" t="s">
        <v>512</v>
      </c>
      <c r="F383" t="s">
        <v>6</v>
      </c>
      <c r="G383" t="s">
        <v>506</v>
      </c>
      <c r="H383" t="s">
        <v>506</v>
      </c>
      <c r="I383" t="s">
        <v>219</v>
      </c>
      <c r="J383" s="25">
        <v>1472</v>
      </c>
      <c r="K383" s="26">
        <v>270.83</v>
      </c>
      <c r="L383" s="26">
        <v>4.2300000000000004</v>
      </c>
    </row>
    <row r="384" spans="1:12" ht="16" customHeight="1">
      <c r="A384" t="s">
        <v>226</v>
      </c>
      <c r="B384" t="s">
        <v>4</v>
      </c>
      <c r="C384" t="s">
        <v>58</v>
      </c>
      <c r="D384" s="24">
        <v>46174</v>
      </c>
      <c r="E384" t="s">
        <v>512</v>
      </c>
      <c r="F384" t="s">
        <v>6</v>
      </c>
      <c r="G384" t="s">
        <v>506</v>
      </c>
      <c r="H384" t="s">
        <v>506</v>
      </c>
      <c r="I384" t="s">
        <v>219</v>
      </c>
      <c r="J384" s="25">
        <v>2019</v>
      </c>
      <c r="K384" s="26">
        <v>340.11</v>
      </c>
      <c r="L384" s="26">
        <v>4.6900000000000004</v>
      </c>
    </row>
    <row r="385" spans="1:12" ht="16" customHeight="1">
      <c r="A385" t="s">
        <v>498</v>
      </c>
      <c r="B385" t="s">
        <v>5</v>
      </c>
      <c r="C385" t="s">
        <v>59</v>
      </c>
      <c r="D385" s="24">
        <v>46204</v>
      </c>
      <c r="E385" t="s">
        <v>512</v>
      </c>
      <c r="F385" t="s">
        <v>6</v>
      </c>
      <c r="G385" t="s">
        <v>506</v>
      </c>
      <c r="H385" t="s">
        <v>506</v>
      </c>
      <c r="I385" t="s">
        <v>212</v>
      </c>
      <c r="J385" s="25">
        <v>2665</v>
      </c>
      <c r="K385" s="26">
        <v>461.63</v>
      </c>
      <c r="L385" s="26">
        <v>8.41</v>
      </c>
    </row>
    <row r="386" spans="1:12" ht="16" customHeight="1">
      <c r="A386" t="s">
        <v>500</v>
      </c>
      <c r="B386" t="s">
        <v>6</v>
      </c>
      <c r="C386" t="s">
        <v>59</v>
      </c>
      <c r="D386" s="24">
        <v>46204</v>
      </c>
      <c r="E386" t="s">
        <v>512</v>
      </c>
      <c r="F386" t="s">
        <v>6</v>
      </c>
      <c r="G386" t="s">
        <v>506</v>
      </c>
      <c r="H386" t="s">
        <v>506</v>
      </c>
      <c r="I386" t="s">
        <v>212</v>
      </c>
      <c r="J386" s="25">
        <v>3117</v>
      </c>
      <c r="K386" s="26">
        <v>568.42999999999995</v>
      </c>
      <c r="L386" s="26">
        <v>7.87</v>
      </c>
    </row>
    <row r="387" spans="1:12" ht="16" customHeight="1">
      <c r="A387" t="s">
        <v>501</v>
      </c>
      <c r="B387" t="s">
        <v>7</v>
      </c>
      <c r="C387" t="s">
        <v>59</v>
      </c>
      <c r="D387" s="24">
        <v>46204</v>
      </c>
      <c r="E387" t="s">
        <v>512</v>
      </c>
      <c r="F387" t="s">
        <v>6</v>
      </c>
      <c r="G387" t="s">
        <v>506</v>
      </c>
      <c r="H387" t="s">
        <v>506</v>
      </c>
      <c r="I387" t="s">
        <v>212</v>
      </c>
      <c r="J387" s="25">
        <v>1946</v>
      </c>
      <c r="K387" s="26">
        <v>344.09</v>
      </c>
      <c r="L387" s="26">
        <v>4.43</v>
      </c>
    </row>
    <row r="388" spans="1:12" ht="16" customHeight="1">
      <c r="A388" t="s">
        <v>502</v>
      </c>
      <c r="B388" t="s">
        <v>3</v>
      </c>
      <c r="C388" t="s">
        <v>59</v>
      </c>
      <c r="D388" s="24">
        <v>46204</v>
      </c>
      <c r="E388" t="s">
        <v>512</v>
      </c>
      <c r="F388" t="s">
        <v>6</v>
      </c>
      <c r="G388" t="s">
        <v>506</v>
      </c>
      <c r="H388" t="s">
        <v>506</v>
      </c>
      <c r="I388" t="s">
        <v>212</v>
      </c>
      <c r="J388" s="25">
        <v>1871</v>
      </c>
      <c r="K388" s="26">
        <v>350.92</v>
      </c>
      <c r="L388" s="26">
        <v>3.64</v>
      </c>
    </row>
    <row r="389" spans="1:12" ht="16" customHeight="1">
      <c r="A389" t="s">
        <v>480</v>
      </c>
      <c r="B389" t="s">
        <v>4</v>
      </c>
      <c r="C389" t="s">
        <v>59</v>
      </c>
      <c r="D389" s="24">
        <v>46204</v>
      </c>
      <c r="E389" t="s">
        <v>512</v>
      </c>
      <c r="F389" t="s">
        <v>6</v>
      </c>
      <c r="G389" t="s">
        <v>506</v>
      </c>
      <c r="H389" t="s">
        <v>506</v>
      </c>
      <c r="I389" t="s">
        <v>212</v>
      </c>
      <c r="J389" s="25">
        <v>3823</v>
      </c>
      <c r="K389" s="26">
        <v>653.75</v>
      </c>
      <c r="L389" s="26">
        <v>5.67</v>
      </c>
    </row>
    <row r="390" spans="1:12" ht="16">
      <c r="A390" t="s">
        <v>503</v>
      </c>
      <c r="B390" t="s">
        <v>5</v>
      </c>
      <c r="C390" t="s">
        <v>60</v>
      </c>
      <c r="D390" s="24">
        <v>46204</v>
      </c>
      <c r="E390" t="s">
        <v>512</v>
      </c>
      <c r="F390" t="s">
        <v>6</v>
      </c>
      <c r="G390" t="s">
        <v>506</v>
      </c>
      <c r="H390" t="s">
        <v>506</v>
      </c>
      <c r="I390" t="s">
        <v>212</v>
      </c>
      <c r="J390" s="25">
        <v>4709</v>
      </c>
      <c r="K390" s="26">
        <v>890.8</v>
      </c>
      <c r="L390" s="26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Quality Check</vt:lpstr>
      <vt:lpstr>Analysis1</vt:lpstr>
      <vt:lpstr>Analysis2</vt:lpstr>
      <vt:lpstr>Analysis3</vt:lpstr>
      <vt:lpstr>Analysis4</vt:lpstr>
      <vt:lpstr>Analysis5</vt:lpstr>
      <vt:lpstr>Analysis6</vt:lpstr>
      <vt:lpstr>Overall Summary</vt:lpstr>
      <vt:lpstr>NSE Summary</vt:lpstr>
      <vt:lpstr>BSE Summary</vt:lpstr>
      <vt:lpstr>NSE - NIFTY Index Options</vt:lpstr>
      <vt:lpstr>NSE - Other Index Options</vt:lpstr>
      <vt:lpstr>BSE - SENSEX Index Options</vt:lpstr>
      <vt:lpstr>BSE - Other Index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Samidha Sangai</dc:creator>
  <cp:lastModifiedBy>Samidha Sangai</cp:lastModifiedBy>
  <dcterms:created xsi:type="dcterms:W3CDTF">2026-07-07T07:02:18Z</dcterms:created>
  <dcterms:modified xsi:type="dcterms:W3CDTF">2026-07-09T05:23:08Z</dcterms:modified>
</cp:coreProperties>
</file>